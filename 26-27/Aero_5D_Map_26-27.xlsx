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pcompanies-my.sharepoint.com/personal/hayes_dodson_satpon_com/Documents/Desktop/"/>
    </mc:Choice>
  </mc:AlternateContent>
  <xr:revisionPtr revIDLastSave="0" documentId="8_{A2F079D4-5337-4FC2-8BDA-C22E53D696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lculator" sheetId="1" r:id="rId1"/>
    <sheet name="Graphs" sheetId="2" r:id="rId2"/>
    <sheet name="CCD" sheetId="3" r:id="rId3"/>
    <sheet name="LINEST VARS" sheetId="4" r:id="rId4"/>
    <sheet name="Ref Values" sheetId="5" r:id="rId5"/>
    <sheet name="Front &amp; Rear Track" sheetId="6" state="hidden" r:id="rId6"/>
  </sheets>
  <definedNames>
    <definedName name="_xlnm._FilterDatabase" localSheetId="2" hidden="1">CCD!$A$2:$T$2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R46" i="4"/>
  <c r="N46" i="4"/>
  <c r="L46" i="4"/>
  <c r="J46" i="4"/>
  <c r="H46" i="4"/>
  <c r="F46" i="4"/>
  <c r="E46" i="4"/>
  <c r="D46" i="4"/>
  <c r="I46" i="4" s="1"/>
  <c r="C46" i="4"/>
  <c r="S46" i="4" s="1"/>
  <c r="B46" i="4"/>
  <c r="A46" i="4"/>
  <c r="T45" i="4"/>
  <c r="R45" i="4"/>
  <c r="P45" i="4"/>
  <c r="N45" i="4"/>
  <c r="L45" i="4"/>
  <c r="J45" i="4"/>
  <c r="H45" i="4"/>
  <c r="F45" i="4"/>
  <c r="E45" i="4"/>
  <c r="D45" i="4"/>
  <c r="I45" i="4" s="1"/>
  <c r="C45" i="4"/>
  <c r="S45" i="4" s="1"/>
  <c r="B45" i="4"/>
  <c r="A45" i="4"/>
  <c r="M45" i="4" s="1"/>
  <c r="N44" i="4"/>
  <c r="L44" i="4"/>
  <c r="J44" i="4"/>
  <c r="H44" i="4"/>
  <c r="F44" i="4"/>
  <c r="E44" i="4"/>
  <c r="D44" i="4"/>
  <c r="C44" i="4"/>
  <c r="S44" i="4" s="1"/>
  <c r="B44" i="4"/>
  <c r="A44" i="4"/>
  <c r="P43" i="4"/>
  <c r="N43" i="4"/>
  <c r="L43" i="4"/>
  <c r="J43" i="4"/>
  <c r="H43" i="4"/>
  <c r="F43" i="4"/>
  <c r="E43" i="4"/>
  <c r="D43" i="4"/>
  <c r="I43" i="4" s="1"/>
  <c r="C43" i="4"/>
  <c r="S43" i="4" s="1"/>
  <c r="B43" i="4"/>
  <c r="A43" i="4"/>
  <c r="M43" i="4" s="1"/>
  <c r="N42" i="4"/>
  <c r="L42" i="4"/>
  <c r="J42" i="4"/>
  <c r="H42" i="4"/>
  <c r="F42" i="4"/>
  <c r="E42" i="4"/>
  <c r="D42" i="4"/>
  <c r="C42" i="4"/>
  <c r="S42" i="4" s="1"/>
  <c r="B42" i="4"/>
  <c r="A42" i="4"/>
  <c r="T41" i="4"/>
  <c r="R41" i="4"/>
  <c r="P41" i="4"/>
  <c r="N41" i="4"/>
  <c r="L41" i="4"/>
  <c r="J41" i="4"/>
  <c r="H41" i="4"/>
  <c r="F41" i="4"/>
  <c r="E41" i="4"/>
  <c r="D41" i="4"/>
  <c r="I41" i="4" s="1"/>
  <c r="C41" i="4"/>
  <c r="S41" i="4" s="1"/>
  <c r="B41" i="4"/>
  <c r="A41" i="4"/>
  <c r="M41" i="4" s="1"/>
  <c r="T40" i="4"/>
  <c r="R40" i="4"/>
  <c r="N40" i="4"/>
  <c r="L40" i="4"/>
  <c r="J40" i="4"/>
  <c r="H40" i="4"/>
  <c r="F40" i="4"/>
  <c r="E40" i="4"/>
  <c r="D40" i="4"/>
  <c r="C40" i="4"/>
  <c r="S40" i="4" s="1"/>
  <c r="B40" i="4"/>
  <c r="P40" i="4" s="1"/>
  <c r="A40" i="4"/>
  <c r="P39" i="4"/>
  <c r="N39" i="4"/>
  <c r="L39" i="4"/>
  <c r="J39" i="4"/>
  <c r="H39" i="4"/>
  <c r="F39" i="4"/>
  <c r="E39" i="4"/>
  <c r="D39" i="4"/>
  <c r="I39" i="4" s="1"/>
  <c r="C39" i="4"/>
  <c r="S39" i="4" s="1"/>
  <c r="B39" i="4"/>
  <c r="A39" i="4"/>
  <c r="N38" i="4"/>
  <c r="L38" i="4"/>
  <c r="J38" i="4"/>
  <c r="H38" i="4"/>
  <c r="F38" i="4"/>
  <c r="E38" i="4"/>
  <c r="D38" i="4"/>
  <c r="I38" i="4" s="1"/>
  <c r="C38" i="4"/>
  <c r="S38" i="4" s="1"/>
  <c r="B38" i="4"/>
  <c r="A38" i="4"/>
  <c r="N37" i="4"/>
  <c r="L37" i="4"/>
  <c r="J37" i="4"/>
  <c r="H37" i="4"/>
  <c r="F37" i="4"/>
  <c r="E37" i="4"/>
  <c r="D37" i="4"/>
  <c r="I37" i="4" s="1"/>
  <c r="C37" i="4"/>
  <c r="S37" i="4" s="1"/>
  <c r="B37" i="4"/>
  <c r="A37" i="4"/>
  <c r="T36" i="4"/>
  <c r="R36" i="4"/>
  <c r="N36" i="4"/>
  <c r="L36" i="4"/>
  <c r="J36" i="4"/>
  <c r="H36" i="4"/>
  <c r="F36" i="4"/>
  <c r="E36" i="4"/>
  <c r="D36" i="4"/>
  <c r="C36" i="4"/>
  <c r="S36" i="4" s="1"/>
  <c r="B36" i="4"/>
  <c r="A36" i="4"/>
  <c r="T35" i="4"/>
  <c r="R35" i="4"/>
  <c r="P35" i="4"/>
  <c r="N35" i="4"/>
  <c r="L35" i="4"/>
  <c r="J35" i="4"/>
  <c r="H35" i="4"/>
  <c r="F35" i="4"/>
  <c r="E35" i="4"/>
  <c r="D35" i="4"/>
  <c r="I35" i="4" s="1"/>
  <c r="C35" i="4"/>
  <c r="S35" i="4" s="1"/>
  <c r="B35" i="4"/>
  <c r="A35" i="4"/>
  <c r="T34" i="4"/>
  <c r="R34" i="4"/>
  <c r="P34" i="4"/>
  <c r="N34" i="4"/>
  <c r="L34" i="4"/>
  <c r="J34" i="4"/>
  <c r="H34" i="4"/>
  <c r="F34" i="4"/>
  <c r="H34" i="3" s="1"/>
  <c r="E34" i="4"/>
  <c r="D34" i="4"/>
  <c r="I34" i="4" s="1"/>
  <c r="C34" i="4"/>
  <c r="S34" i="4" s="1"/>
  <c r="B34" i="4"/>
  <c r="A34" i="4"/>
  <c r="M34" i="4" s="1"/>
  <c r="T33" i="4"/>
  <c r="N33" i="4"/>
  <c r="L33" i="4"/>
  <c r="J33" i="4"/>
  <c r="H33" i="4"/>
  <c r="F33" i="4"/>
  <c r="E33" i="4"/>
  <c r="D33" i="4"/>
  <c r="I33" i="4" s="1"/>
  <c r="C33" i="4"/>
  <c r="S33" i="4" s="1"/>
  <c r="B33" i="4"/>
  <c r="A33" i="4"/>
  <c r="N32" i="4"/>
  <c r="L32" i="4"/>
  <c r="J32" i="4"/>
  <c r="H32" i="4"/>
  <c r="F32" i="4"/>
  <c r="H32" i="3" s="1"/>
  <c r="E32" i="4"/>
  <c r="D32" i="4"/>
  <c r="I32" i="4" s="1"/>
  <c r="C32" i="4"/>
  <c r="S32" i="4" s="1"/>
  <c r="B32" i="4"/>
  <c r="A32" i="4"/>
  <c r="T31" i="4"/>
  <c r="R31" i="4"/>
  <c r="N31" i="4"/>
  <c r="L31" i="4"/>
  <c r="J31" i="4"/>
  <c r="H31" i="4"/>
  <c r="F31" i="4"/>
  <c r="E31" i="4"/>
  <c r="D31" i="4"/>
  <c r="I31" i="4" s="1"/>
  <c r="C31" i="4"/>
  <c r="S31" i="4" s="1"/>
  <c r="B31" i="4"/>
  <c r="A31" i="4"/>
  <c r="M31" i="4" s="1"/>
  <c r="T30" i="4"/>
  <c r="R30" i="4"/>
  <c r="N30" i="4"/>
  <c r="L30" i="4"/>
  <c r="J30" i="4"/>
  <c r="H30" i="4"/>
  <c r="F30" i="4"/>
  <c r="E30" i="4"/>
  <c r="D30" i="4"/>
  <c r="I30" i="4" s="1"/>
  <c r="C30" i="4"/>
  <c r="S30" i="4" s="1"/>
  <c r="B30" i="4"/>
  <c r="A30" i="4"/>
  <c r="T29" i="4"/>
  <c r="R29" i="4"/>
  <c r="P29" i="4"/>
  <c r="N29" i="4"/>
  <c r="L29" i="4"/>
  <c r="J29" i="4"/>
  <c r="H29" i="4"/>
  <c r="F29" i="4"/>
  <c r="E29" i="4"/>
  <c r="D29" i="4"/>
  <c r="I29" i="4" s="1"/>
  <c r="C29" i="4"/>
  <c r="S29" i="4" s="1"/>
  <c r="B29" i="4"/>
  <c r="A29" i="4"/>
  <c r="M29" i="4" s="1"/>
  <c r="N28" i="4"/>
  <c r="L28" i="4"/>
  <c r="J28" i="4"/>
  <c r="H28" i="4"/>
  <c r="F28" i="4"/>
  <c r="H28" i="3" s="1"/>
  <c r="E28" i="4"/>
  <c r="D28" i="4"/>
  <c r="C28" i="4"/>
  <c r="S28" i="4" s="1"/>
  <c r="B28" i="4"/>
  <c r="A28" i="4"/>
  <c r="N27" i="4"/>
  <c r="L27" i="4"/>
  <c r="J27" i="4"/>
  <c r="H27" i="4"/>
  <c r="F27" i="4"/>
  <c r="E27" i="4"/>
  <c r="D27" i="4"/>
  <c r="I27" i="4" s="1"/>
  <c r="C27" i="4"/>
  <c r="S27" i="4" s="1"/>
  <c r="B27" i="4"/>
  <c r="A27" i="4"/>
  <c r="M27" i="4" s="1"/>
  <c r="N26" i="4"/>
  <c r="L26" i="4"/>
  <c r="J26" i="4"/>
  <c r="H26" i="4"/>
  <c r="F26" i="4"/>
  <c r="E26" i="4"/>
  <c r="D26" i="4"/>
  <c r="C26" i="4"/>
  <c r="S26" i="4" s="1"/>
  <c r="B26" i="4"/>
  <c r="A26" i="4"/>
  <c r="T25" i="4"/>
  <c r="R25" i="4"/>
  <c r="P25" i="4"/>
  <c r="N25" i="4"/>
  <c r="L25" i="4"/>
  <c r="J25" i="4"/>
  <c r="H25" i="4"/>
  <c r="F25" i="4"/>
  <c r="E25" i="4"/>
  <c r="D25" i="4"/>
  <c r="I25" i="4" s="1"/>
  <c r="C25" i="4"/>
  <c r="S25" i="4" s="1"/>
  <c r="B25" i="4"/>
  <c r="A25" i="4"/>
  <c r="M25" i="4" s="1"/>
  <c r="T24" i="4"/>
  <c r="R24" i="4"/>
  <c r="P24" i="4"/>
  <c r="N24" i="4"/>
  <c r="L24" i="4"/>
  <c r="J24" i="4"/>
  <c r="H24" i="4"/>
  <c r="F24" i="4"/>
  <c r="E24" i="4"/>
  <c r="D24" i="4"/>
  <c r="I24" i="4" s="1"/>
  <c r="C24" i="4"/>
  <c r="S24" i="4" s="1"/>
  <c r="B24" i="4"/>
  <c r="A24" i="4"/>
  <c r="M24" i="4" s="1"/>
  <c r="P23" i="4"/>
  <c r="N23" i="4"/>
  <c r="L23" i="4"/>
  <c r="J23" i="4"/>
  <c r="H23" i="4"/>
  <c r="F23" i="4"/>
  <c r="E23" i="4"/>
  <c r="D23" i="4"/>
  <c r="I23" i="4" s="1"/>
  <c r="C23" i="4"/>
  <c r="S23" i="4" s="1"/>
  <c r="B23" i="4"/>
  <c r="A23" i="4"/>
  <c r="N22" i="4"/>
  <c r="L22" i="4"/>
  <c r="J22" i="4"/>
  <c r="H22" i="4"/>
  <c r="F22" i="4"/>
  <c r="E22" i="4"/>
  <c r="D22" i="4"/>
  <c r="I22" i="4" s="1"/>
  <c r="C22" i="4"/>
  <c r="S22" i="4" s="1"/>
  <c r="B22" i="4"/>
  <c r="A22" i="4"/>
  <c r="N21" i="4"/>
  <c r="L21" i="4"/>
  <c r="J21" i="4"/>
  <c r="H21" i="4"/>
  <c r="F21" i="4"/>
  <c r="E21" i="4"/>
  <c r="D21" i="4"/>
  <c r="I21" i="4" s="1"/>
  <c r="C21" i="4"/>
  <c r="S21" i="4" s="1"/>
  <c r="B21" i="4"/>
  <c r="A21" i="4"/>
  <c r="T20" i="4"/>
  <c r="R20" i="4"/>
  <c r="N20" i="4"/>
  <c r="L20" i="4"/>
  <c r="J20" i="4"/>
  <c r="H20" i="4"/>
  <c r="F20" i="4"/>
  <c r="E20" i="4"/>
  <c r="D20" i="4"/>
  <c r="I20" i="4" s="1"/>
  <c r="C20" i="4"/>
  <c r="S20" i="4" s="1"/>
  <c r="B20" i="4"/>
  <c r="A20" i="4"/>
  <c r="M20" i="4" s="1"/>
  <c r="T19" i="4"/>
  <c r="R19" i="4"/>
  <c r="P19" i="4"/>
  <c r="N19" i="4"/>
  <c r="L19" i="4"/>
  <c r="J19" i="4"/>
  <c r="H19" i="4"/>
  <c r="F19" i="4"/>
  <c r="E19" i="4"/>
  <c r="D19" i="4"/>
  <c r="I19" i="4" s="1"/>
  <c r="C19" i="4"/>
  <c r="S19" i="4" s="1"/>
  <c r="B19" i="4"/>
  <c r="A19" i="4"/>
  <c r="T18" i="4"/>
  <c r="R18" i="4"/>
  <c r="P18" i="4"/>
  <c r="N18" i="4"/>
  <c r="L18" i="4"/>
  <c r="J18" i="4"/>
  <c r="H18" i="4"/>
  <c r="F18" i="4"/>
  <c r="H18" i="3" s="1"/>
  <c r="E18" i="4"/>
  <c r="D18" i="4"/>
  <c r="I18" i="4" s="1"/>
  <c r="C18" i="4"/>
  <c r="S18" i="4" s="1"/>
  <c r="B18" i="4"/>
  <c r="A18" i="4"/>
  <c r="M18" i="4" s="1"/>
  <c r="N17" i="4"/>
  <c r="L17" i="4"/>
  <c r="K17" i="4"/>
  <c r="J17" i="4"/>
  <c r="H17" i="4"/>
  <c r="F17" i="4"/>
  <c r="H17" i="3" s="1"/>
  <c r="E17" i="4"/>
  <c r="D17" i="4"/>
  <c r="C17" i="4"/>
  <c r="S17" i="4" s="1"/>
  <c r="B17" i="4"/>
  <c r="A17" i="4"/>
  <c r="N16" i="4"/>
  <c r="L16" i="4"/>
  <c r="J16" i="4"/>
  <c r="H16" i="4"/>
  <c r="F16" i="4"/>
  <c r="E16" i="4"/>
  <c r="D16" i="4"/>
  <c r="I16" i="4" s="1"/>
  <c r="C16" i="4"/>
  <c r="S16" i="4" s="1"/>
  <c r="B16" i="4"/>
  <c r="A16" i="4"/>
  <c r="N15" i="4"/>
  <c r="J15" i="4"/>
  <c r="F15" i="4"/>
  <c r="E15" i="4"/>
  <c r="D15" i="4"/>
  <c r="I15" i="4" s="1"/>
  <c r="C15" i="4"/>
  <c r="S15" i="4" s="1"/>
  <c r="B15" i="4"/>
  <c r="A15" i="4"/>
  <c r="T14" i="4"/>
  <c r="N14" i="4"/>
  <c r="L14" i="4"/>
  <c r="J14" i="4"/>
  <c r="H14" i="4"/>
  <c r="F14" i="4"/>
  <c r="E14" i="4"/>
  <c r="D14" i="4"/>
  <c r="C14" i="4"/>
  <c r="S14" i="4" s="1"/>
  <c r="B14" i="4"/>
  <c r="A14" i="4"/>
  <c r="T13" i="4"/>
  <c r="R13" i="4"/>
  <c r="P13" i="4"/>
  <c r="N13" i="4"/>
  <c r="L13" i="4"/>
  <c r="J13" i="4"/>
  <c r="H13" i="4"/>
  <c r="F13" i="4"/>
  <c r="E13" i="4"/>
  <c r="D13" i="4"/>
  <c r="I13" i="4" s="1"/>
  <c r="C13" i="4"/>
  <c r="S13" i="4" s="1"/>
  <c r="B13" i="4"/>
  <c r="A13" i="4"/>
  <c r="M13" i="4" s="1"/>
  <c r="T12" i="4"/>
  <c r="R12" i="4"/>
  <c r="P12" i="4"/>
  <c r="O12" i="4"/>
  <c r="N12" i="4"/>
  <c r="L12" i="4"/>
  <c r="J12" i="4"/>
  <c r="H12" i="4"/>
  <c r="F12" i="4"/>
  <c r="E12" i="4"/>
  <c r="D12" i="4"/>
  <c r="I12" i="4" s="1"/>
  <c r="C12" i="4"/>
  <c r="S12" i="4" s="1"/>
  <c r="B12" i="4"/>
  <c r="A12" i="4"/>
  <c r="T11" i="4"/>
  <c r="S11" i="4"/>
  <c r="R11" i="4"/>
  <c r="P11" i="4"/>
  <c r="N11" i="4"/>
  <c r="L11" i="4"/>
  <c r="J11" i="4"/>
  <c r="F11" i="4"/>
  <c r="E11" i="4"/>
  <c r="D11" i="4"/>
  <c r="I11" i="4" s="1"/>
  <c r="C11" i="4"/>
  <c r="H11" i="4" s="1"/>
  <c r="B11" i="4"/>
  <c r="A11" i="4"/>
  <c r="M11" i="4" s="1"/>
  <c r="T10" i="4"/>
  <c r="R10" i="4"/>
  <c r="P10" i="4"/>
  <c r="N10" i="4"/>
  <c r="L10" i="4"/>
  <c r="J10" i="4"/>
  <c r="H10" i="4"/>
  <c r="G10" i="4"/>
  <c r="F10" i="4"/>
  <c r="E10" i="4"/>
  <c r="D10" i="4"/>
  <c r="I10" i="4" s="1"/>
  <c r="C10" i="4"/>
  <c r="S10" i="4" s="1"/>
  <c r="B10" i="4"/>
  <c r="A10" i="4"/>
  <c r="M10" i="4" s="1"/>
  <c r="N9" i="4"/>
  <c r="L9" i="4"/>
  <c r="K9" i="4"/>
  <c r="J9" i="4"/>
  <c r="H9" i="4"/>
  <c r="F9" i="4"/>
  <c r="H9" i="3" s="1"/>
  <c r="E9" i="4"/>
  <c r="D9" i="4"/>
  <c r="C9" i="4"/>
  <c r="S9" i="4" s="1"/>
  <c r="B9" i="4"/>
  <c r="A9" i="4"/>
  <c r="N8" i="4"/>
  <c r="L8" i="4"/>
  <c r="J8" i="4"/>
  <c r="H8" i="4"/>
  <c r="F8" i="4"/>
  <c r="E8" i="4"/>
  <c r="D8" i="4"/>
  <c r="I8" i="4" s="1"/>
  <c r="C8" i="4"/>
  <c r="S8" i="4" s="1"/>
  <c r="B8" i="4"/>
  <c r="A8" i="4"/>
  <c r="N7" i="4"/>
  <c r="J7" i="4"/>
  <c r="F7" i="4"/>
  <c r="E7" i="4"/>
  <c r="D7" i="4"/>
  <c r="I7" i="4" s="1"/>
  <c r="C7" i="4"/>
  <c r="S7" i="4" s="1"/>
  <c r="B7" i="4"/>
  <c r="A7" i="4"/>
  <c r="T6" i="4"/>
  <c r="N6" i="4"/>
  <c r="L6" i="4"/>
  <c r="J6" i="4"/>
  <c r="H6" i="4"/>
  <c r="F6" i="4"/>
  <c r="E6" i="4"/>
  <c r="D6" i="4"/>
  <c r="C6" i="4"/>
  <c r="S6" i="4" s="1"/>
  <c r="B6" i="4"/>
  <c r="A6" i="4"/>
  <c r="T5" i="4"/>
  <c r="R5" i="4"/>
  <c r="P5" i="4"/>
  <c r="N5" i="4"/>
  <c r="L5" i="4"/>
  <c r="J5" i="4"/>
  <c r="H5" i="4"/>
  <c r="F5" i="4"/>
  <c r="E5" i="4"/>
  <c r="D5" i="4"/>
  <c r="I5" i="4" s="1"/>
  <c r="C5" i="4"/>
  <c r="S5" i="4" s="1"/>
  <c r="B5" i="4"/>
  <c r="A5" i="4"/>
  <c r="M5" i="4" s="1"/>
  <c r="T4" i="4"/>
  <c r="P4" i="4"/>
  <c r="O4" i="4"/>
  <c r="N4" i="4"/>
  <c r="L4" i="4"/>
  <c r="J4" i="4"/>
  <c r="H4" i="4"/>
  <c r="F4" i="4"/>
  <c r="E4" i="4"/>
  <c r="D4" i="4"/>
  <c r="I4" i="4" s="1"/>
  <c r="C4" i="4"/>
  <c r="S4" i="4" s="1"/>
  <c r="B4" i="4"/>
  <c r="A4" i="4"/>
  <c r="T3" i="4"/>
  <c r="S3" i="4"/>
  <c r="R3" i="4"/>
  <c r="N3" i="4"/>
  <c r="L3" i="4"/>
  <c r="J3" i="4"/>
  <c r="F3" i="4"/>
  <c r="E3" i="4"/>
  <c r="D3" i="4"/>
  <c r="I3" i="4" s="1"/>
  <c r="C3" i="4"/>
  <c r="H3" i="4" s="1"/>
  <c r="B3" i="4"/>
  <c r="A3" i="4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T45" i="3"/>
  <c r="S45" i="3"/>
  <c r="R45" i="3"/>
  <c r="Q45" i="3"/>
  <c r="P45" i="3"/>
  <c r="O45" i="3"/>
  <c r="N45" i="3"/>
  <c r="M45" i="3"/>
  <c r="L45" i="3"/>
  <c r="K45" i="3"/>
  <c r="J45" i="3"/>
  <c r="I45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T43" i="3"/>
  <c r="S43" i="3"/>
  <c r="R43" i="3"/>
  <c r="Q43" i="3"/>
  <c r="P43" i="3"/>
  <c r="O43" i="3"/>
  <c r="N43" i="3"/>
  <c r="M43" i="3"/>
  <c r="L43" i="3"/>
  <c r="K43" i="3"/>
  <c r="J43" i="3"/>
  <c r="I43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T39" i="3"/>
  <c r="S39" i="3"/>
  <c r="R39" i="3"/>
  <c r="Q39" i="3"/>
  <c r="P39" i="3"/>
  <c r="O39" i="3"/>
  <c r="N39" i="3"/>
  <c r="M39" i="3"/>
  <c r="L39" i="3"/>
  <c r="K39" i="3"/>
  <c r="J39" i="3"/>
  <c r="I39" i="3"/>
  <c r="T38" i="3"/>
  <c r="S38" i="3"/>
  <c r="R38" i="3"/>
  <c r="Q38" i="3"/>
  <c r="P38" i="3"/>
  <c r="O38" i="3"/>
  <c r="N38" i="3"/>
  <c r="M38" i="3"/>
  <c r="L38" i="3"/>
  <c r="K38" i="3"/>
  <c r="J38" i="3"/>
  <c r="I38" i="3"/>
  <c r="T37" i="3"/>
  <c r="S37" i="3"/>
  <c r="R37" i="3"/>
  <c r="Q37" i="3"/>
  <c r="P37" i="3"/>
  <c r="O37" i="3"/>
  <c r="N37" i="3"/>
  <c r="M37" i="3"/>
  <c r="L37" i="3"/>
  <c r="K37" i="3"/>
  <c r="J37" i="3"/>
  <c r="I37" i="3"/>
  <c r="T36" i="3"/>
  <c r="S36" i="3"/>
  <c r="R36" i="3"/>
  <c r="Q36" i="3"/>
  <c r="P36" i="3"/>
  <c r="O36" i="3"/>
  <c r="N36" i="3"/>
  <c r="M36" i="3"/>
  <c r="L36" i="3"/>
  <c r="K36" i="3"/>
  <c r="J36" i="3"/>
  <c r="I36" i="3"/>
  <c r="T35" i="3"/>
  <c r="S35" i="3"/>
  <c r="R35" i="3"/>
  <c r="Q35" i="3"/>
  <c r="P35" i="3"/>
  <c r="O35" i="3"/>
  <c r="N35" i="3"/>
  <c r="M35" i="3"/>
  <c r="L35" i="3"/>
  <c r="K35" i="3"/>
  <c r="J35" i="3"/>
  <c r="I35" i="3"/>
  <c r="T34" i="3"/>
  <c r="S34" i="3"/>
  <c r="R34" i="3"/>
  <c r="Q34" i="3"/>
  <c r="P34" i="3"/>
  <c r="O34" i="3"/>
  <c r="N34" i="3"/>
  <c r="M34" i="3"/>
  <c r="L34" i="3"/>
  <c r="K34" i="3"/>
  <c r="J34" i="3"/>
  <c r="I34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T32" i="3"/>
  <c r="S32" i="3"/>
  <c r="R32" i="3"/>
  <c r="Q32" i="3"/>
  <c r="P32" i="3"/>
  <c r="O32" i="3"/>
  <c r="N32" i="3"/>
  <c r="M32" i="3"/>
  <c r="L32" i="3"/>
  <c r="K32" i="3"/>
  <c r="J32" i="3"/>
  <c r="I32" i="3"/>
  <c r="T31" i="3"/>
  <c r="S31" i="3"/>
  <c r="R31" i="3"/>
  <c r="Q31" i="3"/>
  <c r="P31" i="3"/>
  <c r="O31" i="3"/>
  <c r="N31" i="3"/>
  <c r="M31" i="3"/>
  <c r="L31" i="3"/>
  <c r="K31" i="3"/>
  <c r="J31" i="3"/>
  <c r="I31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T29" i="3"/>
  <c r="S29" i="3"/>
  <c r="R29" i="3"/>
  <c r="Q29" i="3"/>
  <c r="P29" i="3"/>
  <c r="O29" i="3"/>
  <c r="N29" i="3"/>
  <c r="M29" i="3"/>
  <c r="L29" i="3"/>
  <c r="K29" i="3"/>
  <c r="J29" i="3"/>
  <c r="I29" i="3"/>
  <c r="T28" i="3"/>
  <c r="S28" i="3"/>
  <c r="R28" i="3"/>
  <c r="Q28" i="3"/>
  <c r="P28" i="3"/>
  <c r="O28" i="3"/>
  <c r="N28" i="3"/>
  <c r="M28" i="3"/>
  <c r="L28" i="3"/>
  <c r="K28" i="3"/>
  <c r="J28" i="3"/>
  <c r="I28" i="3"/>
  <c r="T27" i="3"/>
  <c r="S27" i="3"/>
  <c r="R27" i="3"/>
  <c r="Q27" i="3"/>
  <c r="P27" i="3"/>
  <c r="O27" i="3"/>
  <c r="N27" i="3"/>
  <c r="M27" i="3"/>
  <c r="L27" i="3"/>
  <c r="K27" i="3"/>
  <c r="J27" i="3"/>
  <c r="I27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T23" i="3"/>
  <c r="S23" i="3"/>
  <c r="R23" i="3"/>
  <c r="Q23" i="3"/>
  <c r="P23" i="3"/>
  <c r="O23" i="3"/>
  <c r="N23" i="3"/>
  <c r="M23" i="3"/>
  <c r="L23" i="3"/>
  <c r="K23" i="3"/>
  <c r="J23" i="3"/>
  <c r="I23" i="3"/>
  <c r="T22" i="3"/>
  <c r="S22" i="3"/>
  <c r="R22" i="3"/>
  <c r="Q22" i="3"/>
  <c r="P22" i="3"/>
  <c r="O22" i="3"/>
  <c r="N22" i="3"/>
  <c r="M22" i="3"/>
  <c r="L22" i="3"/>
  <c r="K22" i="3"/>
  <c r="J22" i="3"/>
  <c r="I22" i="3"/>
  <c r="T21" i="3"/>
  <c r="S21" i="3"/>
  <c r="R21" i="3"/>
  <c r="Q21" i="3"/>
  <c r="P21" i="3"/>
  <c r="O21" i="3"/>
  <c r="N21" i="3"/>
  <c r="M21" i="3"/>
  <c r="L21" i="3"/>
  <c r="K21" i="3"/>
  <c r="J21" i="3"/>
  <c r="I21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T19" i="3"/>
  <c r="S19" i="3"/>
  <c r="R19" i="3"/>
  <c r="Q19" i="3"/>
  <c r="P19" i="3"/>
  <c r="O19" i="3"/>
  <c r="N19" i="3"/>
  <c r="M19" i="3"/>
  <c r="L19" i="3"/>
  <c r="K19" i="3"/>
  <c r="J19" i="3"/>
  <c r="I19" i="3"/>
  <c r="T18" i="3"/>
  <c r="S18" i="3"/>
  <c r="R18" i="3"/>
  <c r="Q18" i="3"/>
  <c r="P18" i="3"/>
  <c r="O18" i="3"/>
  <c r="N18" i="3"/>
  <c r="M18" i="3"/>
  <c r="L18" i="3"/>
  <c r="K18" i="3"/>
  <c r="J18" i="3"/>
  <c r="I18" i="3"/>
  <c r="T17" i="3"/>
  <c r="S17" i="3"/>
  <c r="R17" i="3"/>
  <c r="Q17" i="3"/>
  <c r="P17" i="3"/>
  <c r="O17" i="3"/>
  <c r="N17" i="3"/>
  <c r="M17" i="3"/>
  <c r="L17" i="3"/>
  <c r="K17" i="3"/>
  <c r="J17" i="3"/>
  <c r="I17" i="3"/>
  <c r="T16" i="3"/>
  <c r="S16" i="3"/>
  <c r="R16" i="3"/>
  <c r="Q16" i="3"/>
  <c r="P16" i="3"/>
  <c r="O16" i="3"/>
  <c r="N16" i="3"/>
  <c r="M16" i="3"/>
  <c r="L16" i="3"/>
  <c r="K16" i="3"/>
  <c r="J16" i="3"/>
  <c r="I16" i="3"/>
  <c r="T15" i="3"/>
  <c r="S15" i="3"/>
  <c r="R15" i="3"/>
  <c r="Q15" i="3"/>
  <c r="P15" i="3"/>
  <c r="O15" i="3"/>
  <c r="N15" i="3"/>
  <c r="M15" i="3"/>
  <c r="L15" i="3"/>
  <c r="K15" i="3"/>
  <c r="J15" i="3"/>
  <c r="I15" i="3"/>
  <c r="T14" i="3"/>
  <c r="S14" i="3"/>
  <c r="R14" i="3"/>
  <c r="Q14" i="3"/>
  <c r="P14" i="3"/>
  <c r="O14" i="3"/>
  <c r="N14" i="3"/>
  <c r="M14" i="3"/>
  <c r="L14" i="3"/>
  <c r="K14" i="3"/>
  <c r="J14" i="3"/>
  <c r="I14" i="3"/>
  <c r="T13" i="3"/>
  <c r="S13" i="3"/>
  <c r="R13" i="3"/>
  <c r="Q13" i="3"/>
  <c r="P13" i="3"/>
  <c r="O13" i="3"/>
  <c r="N13" i="3"/>
  <c r="M13" i="3"/>
  <c r="L13" i="3"/>
  <c r="K13" i="3"/>
  <c r="J13" i="3"/>
  <c r="I13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T11" i="3"/>
  <c r="S11" i="3"/>
  <c r="R11" i="3"/>
  <c r="Q11" i="3"/>
  <c r="P11" i="3"/>
  <c r="O11" i="3"/>
  <c r="N11" i="3"/>
  <c r="M11" i="3"/>
  <c r="L11" i="3"/>
  <c r="K11" i="3"/>
  <c r="J11" i="3"/>
  <c r="I11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T9" i="3"/>
  <c r="S9" i="3"/>
  <c r="R9" i="3"/>
  <c r="Q9" i="3"/>
  <c r="P9" i="3"/>
  <c r="O9" i="3"/>
  <c r="N9" i="3"/>
  <c r="M9" i="3"/>
  <c r="L9" i="3"/>
  <c r="K9" i="3"/>
  <c r="J9" i="3"/>
  <c r="I9" i="3"/>
  <c r="T8" i="3"/>
  <c r="S8" i="3"/>
  <c r="R8" i="3"/>
  <c r="Q8" i="3"/>
  <c r="P8" i="3"/>
  <c r="O8" i="3"/>
  <c r="N8" i="3"/>
  <c r="M8" i="3"/>
  <c r="L8" i="3"/>
  <c r="K8" i="3"/>
  <c r="J8" i="3"/>
  <c r="I8" i="3"/>
  <c r="T7" i="3"/>
  <c r="S7" i="3"/>
  <c r="R7" i="3"/>
  <c r="Q7" i="3"/>
  <c r="P7" i="3"/>
  <c r="O7" i="3"/>
  <c r="N7" i="3"/>
  <c r="M7" i="3"/>
  <c r="L7" i="3"/>
  <c r="K7" i="3"/>
  <c r="J7" i="3"/>
  <c r="I7" i="3"/>
  <c r="T6" i="3"/>
  <c r="S6" i="3"/>
  <c r="R6" i="3"/>
  <c r="Q6" i="3"/>
  <c r="P6" i="3"/>
  <c r="O6" i="3"/>
  <c r="N6" i="3"/>
  <c r="M6" i="3"/>
  <c r="L6" i="3"/>
  <c r="K6" i="3"/>
  <c r="J6" i="3"/>
  <c r="I6" i="3"/>
  <c r="H6" i="3"/>
  <c r="T5" i="3"/>
  <c r="S5" i="3"/>
  <c r="R5" i="3"/>
  <c r="Q5" i="3"/>
  <c r="P5" i="3"/>
  <c r="O5" i="3"/>
  <c r="N5" i="3"/>
  <c r="M5" i="3"/>
  <c r="L5" i="3"/>
  <c r="K5" i="3"/>
  <c r="J5" i="3"/>
  <c r="I5" i="3"/>
  <c r="T4" i="3"/>
  <c r="S4" i="3"/>
  <c r="R4" i="3"/>
  <c r="Q4" i="3"/>
  <c r="P4" i="3"/>
  <c r="O4" i="3"/>
  <c r="N4" i="3"/>
  <c r="M4" i="3"/>
  <c r="L4" i="3"/>
  <c r="K4" i="3"/>
  <c r="J4" i="3"/>
  <c r="I4" i="3"/>
  <c r="H4" i="3"/>
  <c r="T3" i="3"/>
  <c r="S3" i="3"/>
  <c r="R3" i="3"/>
  <c r="Q3" i="3"/>
  <c r="P3" i="3"/>
  <c r="O3" i="3"/>
  <c r="N3" i="3"/>
  <c r="M3" i="3"/>
  <c r="L3" i="3"/>
  <c r="K3" i="3"/>
  <c r="J3" i="3"/>
  <c r="I3" i="3"/>
  <c r="Q22" i="4" l="1"/>
  <c r="O22" i="4"/>
  <c r="G22" i="4"/>
  <c r="H22" i="3"/>
  <c r="P22" i="4"/>
  <c r="I26" i="4"/>
  <c r="R26" i="4"/>
  <c r="T26" i="4"/>
  <c r="G36" i="4"/>
  <c r="Q36" i="4"/>
  <c r="O36" i="4"/>
  <c r="K36" i="4"/>
  <c r="H36" i="3"/>
  <c r="P36" i="4"/>
  <c r="A52" i="4" a="1"/>
  <c r="I28" i="4"/>
  <c r="T28" i="4"/>
  <c r="R28" i="4"/>
  <c r="P28" i="4"/>
  <c r="I17" i="4"/>
  <c r="T17" i="4"/>
  <c r="R17" i="4"/>
  <c r="P17" i="4"/>
  <c r="Q38" i="4"/>
  <c r="O38" i="4"/>
  <c r="G38" i="4"/>
  <c r="P38" i="4"/>
  <c r="H38" i="3"/>
  <c r="I42" i="4"/>
  <c r="R42" i="4"/>
  <c r="T42" i="4"/>
  <c r="I9" i="4"/>
  <c r="T9" i="4"/>
  <c r="R9" i="4"/>
  <c r="P9" i="4"/>
  <c r="I14" i="4"/>
  <c r="R14" i="4"/>
  <c r="G20" i="4"/>
  <c r="Q20" i="4"/>
  <c r="O20" i="4"/>
  <c r="P20" i="4"/>
  <c r="Q13" i="4"/>
  <c r="O13" i="4"/>
  <c r="H13" i="3"/>
  <c r="G13" i="4"/>
  <c r="K13" i="4"/>
  <c r="G16" i="4"/>
  <c r="Q16" i="4"/>
  <c r="P16" i="4"/>
  <c r="O16" i="4"/>
  <c r="H16" i="3"/>
  <c r="I6" i="4"/>
  <c r="R6" i="4"/>
  <c r="I44" i="4"/>
  <c r="M44" i="4"/>
  <c r="T44" i="4"/>
  <c r="R44" i="4"/>
  <c r="P44" i="4"/>
  <c r="Q5" i="4"/>
  <c r="O5" i="4"/>
  <c r="G5" i="4"/>
  <c r="H5" i="3"/>
  <c r="K5" i="4"/>
  <c r="G8" i="4"/>
  <c r="A62" i="4" s="1" a="1"/>
  <c r="Q8" i="4"/>
  <c r="H8" i="3"/>
  <c r="P8" i="4"/>
  <c r="O8" i="4"/>
  <c r="M8" i="4"/>
  <c r="M16" i="4"/>
  <c r="M22" i="4"/>
  <c r="Q33" i="4"/>
  <c r="O33" i="4"/>
  <c r="G33" i="4"/>
  <c r="M38" i="4"/>
  <c r="M7" i="4"/>
  <c r="M15" i="4"/>
  <c r="H27" i="3"/>
  <c r="K27" i="4"/>
  <c r="G27" i="4"/>
  <c r="Q27" i="4"/>
  <c r="O27" i="4"/>
  <c r="P30" i="4"/>
  <c r="M32" i="4"/>
  <c r="H43" i="3"/>
  <c r="K43" i="4"/>
  <c r="G43" i="4"/>
  <c r="Q43" i="4"/>
  <c r="O43" i="4"/>
  <c r="P46" i="4"/>
  <c r="K7" i="4"/>
  <c r="H7" i="3"/>
  <c r="G7" i="4"/>
  <c r="Q7" i="4"/>
  <c r="O7" i="4"/>
  <c r="K15" i="4"/>
  <c r="G15" i="4"/>
  <c r="Q15" i="4"/>
  <c r="H15" i="3"/>
  <c r="O15" i="4"/>
  <c r="M21" i="4"/>
  <c r="G32" i="4"/>
  <c r="Q32" i="4"/>
  <c r="O32" i="4"/>
  <c r="K32" i="4"/>
  <c r="M37" i="4"/>
  <c r="P3" i="4"/>
  <c r="R4" i="4"/>
  <c r="M6" i="4"/>
  <c r="M14" i="4"/>
  <c r="Q21" i="4"/>
  <c r="O21" i="4"/>
  <c r="K21" i="4"/>
  <c r="G21" i="4"/>
  <c r="H21" i="3"/>
  <c r="M26" i="4"/>
  <c r="Q37" i="4"/>
  <c r="O37" i="4"/>
  <c r="G37" i="4"/>
  <c r="H37" i="3"/>
  <c r="M42" i="4"/>
  <c r="T46" i="4"/>
  <c r="Q6" i="4"/>
  <c r="O6" i="4"/>
  <c r="Q14" i="4"/>
  <c r="O14" i="4"/>
  <c r="Q26" i="4"/>
  <c r="O26" i="4"/>
  <c r="G26" i="4"/>
  <c r="Q42" i="4"/>
  <c r="O42" i="4"/>
  <c r="G42" i="4"/>
  <c r="K31" i="4"/>
  <c r="G31" i="4"/>
  <c r="Q31" i="4"/>
  <c r="H31" i="3"/>
  <c r="O31" i="4"/>
  <c r="M4" i="4"/>
  <c r="H7" i="4"/>
  <c r="M12" i="4"/>
  <c r="H15" i="4"/>
  <c r="R23" i="4"/>
  <c r="Q25" i="4"/>
  <c r="O25" i="4"/>
  <c r="K25" i="4"/>
  <c r="G25" i="4"/>
  <c r="M30" i="4"/>
  <c r="R39" i="4"/>
  <c r="Q41" i="4"/>
  <c r="O41" i="4"/>
  <c r="G41" i="4"/>
  <c r="M46" i="4"/>
  <c r="H14" i="3"/>
  <c r="G4" i="4"/>
  <c r="A50" i="4" s="1" a="1"/>
  <c r="Q4" i="4"/>
  <c r="G12" i="4"/>
  <c r="Q12" i="4"/>
  <c r="M19" i="4"/>
  <c r="T23" i="4"/>
  <c r="Q30" i="4"/>
  <c r="O30" i="4"/>
  <c r="G30" i="4"/>
  <c r="P33" i="4"/>
  <c r="M35" i="4"/>
  <c r="I36" i="4"/>
  <c r="M36" i="4"/>
  <c r="T39" i="4"/>
  <c r="Q46" i="4"/>
  <c r="O46" i="4"/>
  <c r="G46" i="4"/>
  <c r="M3" i="4"/>
  <c r="G6" i="4"/>
  <c r="A54" i="4" s="1" a="1"/>
  <c r="L7" i="4"/>
  <c r="G14" i="4"/>
  <c r="L15" i="4"/>
  <c r="K19" i="4"/>
  <c r="G19" i="4"/>
  <c r="H19" i="3"/>
  <c r="Q19" i="4"/>
  <c r="O19" i="4"/>
  <c r="R33" i="4"/>
  <c r="K35" i="4"/>
  <c r="G35" i="4"/>
  <c r="H35" i="3"/>
  <c r="Q35" i="4"/>
  <c r="O35" i="4"/>
  <c r="K3" i="4"/>
  <c r="A72" i="4" a="1"/>
  <c r="G3" i="4"/>
  <c r="H3" i="3"/>
  <c r="A70" i="4" a="1"/>
  <c r="Q3" i="4"/>
  <c r="O3" i="4"/>
  <c r="H11" i="3"/>
  <c r="K11" i="4"/>
  <c r="G11" i="4"/>
  <c r="Q11" i="4"/>
  <c r="O11" i="4"/>
  <c r="R22" i="4"/>
  <c r="G24" i="4"/>
  <c r="Q24" i="4"/>
  <c r="O24" i="4"/>
  <c r="K24" i="4"/>
  <c r="P27" i="4"/>
  <c r="R38" i="4"/>
  <c r="G40" i="4"/>
  <c r="Q40" i="4"/>
  <c r="O40" i="4"/>
  <c r="K40" i="4"/>
  <c r="P7" i="4"/>
  <c r="R8" i="4"/>
  <c r="P15" i="4"/>
  <c r="R16" i="4"/>
  <c r="T22" i="4"/>
  <c r="R27" i="4"/>
  <c r="Q29" i="4"/>
  <c r="O29" i="4"/>
  <c r="H29" i="3"/>
  <c r="G29" i="4"/>
  <c r="P32" i="4"/>
  <c r="T38" i="4"/>
  <c r="R43" i="4"/>
  <c r="Q45" i="4"/>
  <c r="O45" i="4"/>
  <c r="H45" i="3"/>
  <c r="G45" i="4"/>
  <c r="R7" i="4"/>
  <c r="T8" i="4"/>
  <c r="Q10" i="4"/>
  <c r="O10" i="4"/>
  <c r="R15" i="4"/>
  <c r="T16" i="4"/>
  <c r="Q18" i="4"/>
  <c r="O18" i="4"/>
  <c r="G18" i="4"/>
  <c r="P21" i="4"/>
  <c r="M23" i="4"/>
  <c r="T27" i="4"/>
  <c r="R32" i="4"/>
  <c r="Q34" i="4"/>
  <c r="O34" i="4"/>
  <c r="G34" i="4"/>
  <c r="P37" i="4"/>
  <c r="M39" i="4"/>
  <c r="I40" i="4"/>
  <c r="M40" i="4"/>
  <c r="T43" i="4"/>
  <c r="M9" i="4"/>
  <c r="M17" i="4"/>
  <c r="R21" i="4"/>
  <c r="K23" i="4"/>
  <c r="H23" i="3"/>
  <c r="G23" i="4"/>
  <c r="Q23" i="4"/>
  <c r="O23" i="4"/>
  <c r="P26" i="4"/>
  <c r="M28" i="4"/>
  <c r="T32" i="4"/>
  <c r="R37" i="4"/>
  <c r="K39" i="4"/>
  <c r="H39" i="3"/>
  <c r="G39" i="4"/>
  <c r="Q39" i="4"/>
  <c r="O39" i="4"/>
  <c r="P42" i="4"/>
  <c r="P6" i="4"/>
  <c r="T7" i="4"/>
  <c r="Q9" i="4"/>
  <c r="O9" i="4"/>
  <c r="G9" i="4"/>
  <c r="P14" i="4"/>
  <c r="T15" i="4"/>
  <c r="Q17" i="4"/>
  <c r="O17" i="4"/>
  <c r="G17" i="4"/>
  <c r="T21" i="4"/>
  <c r="G28" i="4"/>
  <c r="Q28" i="4"/>
  <c r="O28" i="4"/>
  <c r="K28" i="4"/>
  <c r="P31" i="4"/>
  <c r="M33" i="4"/>
  <c r="T37" i="4"/>
  <c r="G44" i="4"/>
  <c r="Q44" i="4"/>
  <c r="O44" i="4"/>
  <c r="K44" i="4"/>
  <c r="K4" i="4"/>
  <c r="K8" i="4"/>
  <c r="K12" i="4"/>
  <c r="K16" i="4"/>
  <c r="K20" i="4"/>
  <c r="K29" i="4"/>
  <c r="K33" i="4"/>
  <c r="K37" i="4"/>
  <c r="K41" i="4"/>
  <c r="K45" i="4"/>
  <c r="K6" i="4"/>
  <c r="K10" i="4"/>
  <c r="K14" i="4"/>
  <c r="K18" i="4"/>
  <c r="K22" i="4"/>
  <c r="K26" i="4"/>
  <c r="K30" i="4"/>
  <c r="K34" i="4"/>
  <c r="K38" i="4"/>
  <c r="K42" i="4"/>
  <c r="K46" i="4"/>
  <c r="A66" i="4" a="1"/>
  <c r="R62" i="4" l="1"/>
  <c r="B62" i="4"/>
  <c r="Q62" i="4"/>
  <c r="P62" i="4"/>
  <c r="A62" i="4"/>
  <c r="N62" i="4"/>
  <c r="M62" i="4"/>
  <c r="L62" i="4"/>
  <c r="K62" i="4"/>
  <c r="J62" i="4"/>
  <c r="I62" i="4"/>
  <c r="H62" i="4"/>
  <c r="F62" i="4"/>
  <c r="U62" i="4"/>
  <c r="E62" i="4"/>
  <c r="T62" i="4"/>
  <c r="D62" i="4"/>
  <c r="S62" i="4"/>
  <c r="O62" i="4"/>
  <c r="G62" i="4"/>
  <c r="C62" i="4"/>
  <c r="F50" i="4"/>
  <c r="U50" i="4"/>
  <c r="E50" i="4"/>
  <c r="T50" i="4"/>
  <c r="D50" i="4"/>
  <c r="R50" i="4"/>
  <c r="B50" i="4"/>
  <c r="Q50" i="4"/>
  <c r="P50" i="4"/>
  <c r="A50" i="4"/>
  <c r="N50" i="4"/>
  <c r="L50" i="4"/>
  <c r="J50" i="4"/>
  <c r="H50" i="4"/>
  <c r="C50" i="4"/>
  <c r="S50" i="4"/>
  <c r="O50" i="4"/>
  <c r="M50" i="4"/>
  <c r="K50" i="4"/>
  <c r="G50" i="4"/>
  <c r="I50" i="4"/>
  <c r="J54" i="4"/>
  <c r="I54" i="4"/>
  <c r="H54" i="4"/>
  <c r="F54" i="4"/>
  <c r="U54" i="4"/>
  <c r="E54" i="4"/>
  <c r="T54" i="4"/>
  <c r="D54" i="4"/>
  <c r="R54" i="4"/>
  <c r="B54" i="4"/>
  <c r="Q54" i="4"/>
  <c r="P54" i="4"/>
  <c r="A54" i="4"/>
  <c r="N54" i="4"/>
  <c r="L54" i="4"/>
  <c r="C54" i="4"/>
  <c r="S54" i="4"/>
  <c r="O54" i="4"/>
  <c r="M54" i="4"/>
  <c r="G54" i="4"/>
  <c r="K54" i="4"/>
  <c r="A68" i="4" a="1"/>
  <c r="P52" i="4"/>
  <c r="A52" i="4"/>
  <c r="O52" i="4"/>
  <c r="N52" i="4"/>
  <c r="L52" i="4"/>
  <c r="K52" i="4"/>
  <c r="J52" i="4"/>
  <c r="H52" i="4"/>
  <c r="F52" i="4"/>
  <c r="T52" i="4"/>
  <c r="D52" i="4"/>
  <c r="R52" i="4"/>
  <c r="B52" i="4"/>
  <c r="U52" i="4"/>
  <c r="S52" i="4"/>
  <c r="Q52" i="4"/>
  <c r="M52" i="4"/>
  <c r="I52" i="4"/>
  <c r="G52" i="4"/>
  <c r="E52" i="4"/>
  <c r="C52" i="4"/>
  <c r="A58" i="4" a="1"/>
  <c r="A64" i="4" a="1"/>
  <c r="A56" i="4" a="1"/>
  <c r="A48" i="4" a="1"/>
  <c r="K70" i="4"/>
  <c r="J70" i="4"/>
  <c r="I70" i="4"/>
  <c r="H70" i="4"/>
  <c r="F70" i="4"/>
  <c r="U70" i="4"/>
  <c r="E70" i="4"/>
  <c r="T70" i="4"/>
  <c r="D70" i="4"/>
  <c r="S70" i="4"/>
  <c r="C70" i="4"/>
  <c r="R70" i="4"/>
  <c r="B70" i="4"/>
  <c r="Q70" i="4"/>
  <c r="P70" i="4"/>
  <c r="A70" i="4"/>
  <c r="O70" i="4"/>
  <c r="N70" i="4"/>
  <c r="M70" i="4"/>
  <c r="L70" i="4"/>
  <c r="G70" i="4"/>
  <c r="A60" i="4" a="1"/>
  <c r="U72" i="4"/>
  <c r="C22" i="1" s="1"/>
  <c r="E72" i="4"/>
  <c r="T72" i="4"/>
  <c r="D72" i="4"/>
  <c r="S72" i="4"/>
  <c r="C72" i="4"/>
  <c r="R72" i="4"/>
  <c r="B72" i="4"/>
  <c r="Q72" i="4"/>
  <c r="P72" i="4"/>
  <c r="A72" i="4"/>
  <c r="O72" i="4"/>
  <c r="N72" i="4"/>
  <c r="M72" i="4"/>
  <c r="L72" i="4"/>
  <c r="K72" i="4"/>
  <c r="J72" i="4"/>
  <c r="I72" i="4"/>
  <c r="H72" i="4"/>
  <c r="G72" i="4"/>
  <c r="F72" i="4"/>
  <c r="F66" i="4"/>
  <c r="U66" i="4"/>
  <c r="E66" i="4"/>
  <c r="T66" i="4"/>
  <c r="D66" i="4"/>
  <c r="R66" i="4"/>
  <c r="B66" i="4"/>
  <c r="Q66" i="4"/>
  <c r="P66" i="4"/>
  <c r="A66" i="4"/>
  <c r="O66" i="4"/>
  <c r="N66" i="4"/>
  <c r="M66" i="4"/>
  <c r="L66" i="4"/>
  <c r="K66" i="4"/>
  <c r="J66" i="4"/>
  <c r="I66" i="4"/>
  <c r="H66" i="4"/>
  <c r="S66" i="4"/>
  <c r="G66" i="4"/>
  <c r="C66" i="4"/>
  <c r="Q68" i="4" l="1"/>
  <c r="P68" i="4"/>
  <c r="A68" i="4"/>
  <c r="O68" i="4"/>
  <c r="N68" i="4"/>
  <c r="L68" i="4"/>
  <c r="K68" i="4"/>
  <c r="J68" i="4"/>
  <c r="I68" i="4"/>
  <c r="H68" i="4"/>
  <c r="G68" i="4"/>
  <c r="F68" i="4"/>
  <c r="U68" i="4"/>
  <c r="E68" i="4"/>
  <c r="T68" i="4"/>
  <c r="D68" i="4"/>
  <c r="S68" i="4"/>
  <c r="C68" i="4"/>
  <c r="R68" i="4"/>
  <c r="B68" i="4"/>
  <c r="M68" i="4"/>
  <c r="L48" i="4"/>
  <c r="K48" i="4"/>
  <c r="J48" i="4"/>
  <c r="H48" i="4"/>
  <c r="F48" i="4"/>
  <c r="T48" i="4"/>
  <c r="D48" i="4"/>
  <c r="R48" i="4"/>
  <c r="B48" i="4"/>
  <c r="P48" i="4"/>
  <c r="A48" i="4"/>
  <c r="N48" i="4"/>
  <c r="U48" i="4"/>
  <c r="S48" i="4"/>
  <c r="Q48" i="4"/>
  <c r="O48" i="4"/>
  <c r="M48" i="4"/>
  <c r="I48" i="4"/>
  <c r="G48" i="4"/>
  <c r="E48" i="4"/>
  <c r="C48" i="4"/>
  <c r="H60" i="4"/>
  <c r="G60" i="4"/>
  <c r="F60" i="4"/>
  <c r="T60" i="4"/>
  <c r="D60" i="4"/>
  <c r="S60" i="4"/>
  <c r="C60" i="4"/>
  <c r="R60" i="4"/>
  <c r="B60" i="4"/>
  <c r="Q60" i="4"/>
  <c r="P60" i="4"/>
  <c r="A60" i="4"/>
  <c r="O60" i="4"/>
  <c r="N60" i="4"/>
  <c r="L60" i="4"/>
  <c r="K60" i="4"/>
  <c r="J60" i="4"/>
  <c r="U60" i="4"/>
  <c r="M60" i="4"/>
  <c r="I60" i="4"/>
  <c r="E60" i="4"/>
  <c r="EG149" i="2"/>
  <c r="EQ148" i="2"/>
  <c r="EA148" i="2"/>
  <c r="EK147" i="2"/>
  <c r="EE146" i="2"/>
  <c r="EO145" i="2"/>
  <c r="DY145" i="2"/>
  <c r="EC149" i="2"/>
  <c r="EM148" i="2"/>
  <c r="DW148" i="2"/>
  <c r="EG147" i="2"/>
  <c r="EQ146" i="2"/>
  <c r="EA146" i="2"/>
  <c r="EK145" i="2"/>
  <c r="EE144" i="2"/>
  <c r="EO143" i="2"/>
  <c r="DY143" i="2"/>
  <c r="EI142" i="2"/>
  <c r="EC141" i="2"/>
  <c r="EM140" i="2"/>
  <c r="DW140" i="2"/>
  <c r="EG139" i="2"/>
  <c r="EQ149" i="2"/>
  <c r="EA149" i="2"/>
  <c r="EK148" i="2"/>
  <c r="EE147" i="2"/>
  <c r="EO146" i="2"/>
  <c r="DY146" i="2"/>
  <c r="EI145" i="2"/>
  <c r="EC144" i="2"/>
  <c r="EM143" i="2"/>
  <c r="DW143" i="2"/>
  <c r="EG142" i="2"/>
  <c r="EO149" i="2"/>
  <c r="DY149" i="2"/>
  <c r="EI148" i="2"/>
  <c r="EC147" i="2"/>
  <c r="EM146" i="2"/>
  <c r="DW146" i="2"/>
  <c r="EG145" i="2"/>
  <c r="EK149" i="2"/>
  <c r="EE148" i="2"/>
  <c r="EO147" i="2"/>
  <c r="DY147" i="2"/>
  <c r="EI146" i="2"/>
  <c r="EC145" i="2"/>
  <c r="EM144" i="2"/>
  <c r="DW144" i="2"/>
  <c r="EG143" i="2"/>
  <c r="EQ142" i="2"/>
  <c r="EA142" i="2"/>
  <c r="EK141" i="2"/>
  <c r="EI149" i="2"/>
  <c r="EC148" i="2"/>
  <c r="EM147" i="2"/>
  <c r="DW147" i="2"/>
  <c r="EG146" i="2"/>
  <c r="EQ145" i="2"/>
  <c r="EF149" i="2"/>
  <c r="DX148" i="2"/>
  <c r="EN147" i="2"/>
  <c r="ED146" i="2"/>
  <c r="DW145" i="2"/>
  <c r="DY144" i="2"/>
  <c r="EB143" i="2"/>
  <c r="ED142" i="2"/>
  <c r="EI141" i="2"/>
  <c r="EQ140" i="2"/>
  <c r="DZ140" i="2"/>
  <c r="EH139" i="2"/>
  <c r="EQ138" i="2"/>
  <c r="EA138" i="2"/>
  <c r="EK137" i="2"/>
  <c r="EE136" i="2"/>
  <c r="EO135" i="2"/>
  <c r="DY135" i="2"/>
  <c r="EI134" i="2"/>
  <c r="EC133" i="2"/>
  <c r="C28" i="1"/>
  <c r="EE149" i="2"/>
  <c r="EL147" i="2"/>
  <c r="EC146" i="2"/>
  <c r="EQ144" i="2"/>
  <c r="DX144" i="2"/>
  <c r="EA143" i="2"/>
  <c r="EC142" i="2"/>
  <c r="EH141" i="2"/>
  <c r="EP140" i="2"/>
  <c r="DY140" i="2"/>
  <c r="EF139" i="2"/>
  <c r="EP138" i="2"/>
  <c r="DZ138" i="2"/>
  <c r="EJ137" i="2"/>
  <c r="ED136" i="2"/>
  <c r="EN135" i="2"/>
  <c r="DX135" i="2"/>
  <c r="EH134" i="2"/>
  <c r="EB133" i="2"/>
  <c r="EL132" i="2"/>
  <c r="EF131" i="2"/>
  <c r="EP130" i="2"/>
  <c r="DZ130" i="2"/>
  <c r="EJ129" i="2"/>
  <c r="ED149" i="2"/>
  <c r="EJ147" i="2"/>
  <c r="EB146" i="2"/>
  <c r="EP144" i="2"/>
  <c r="DZ143" i="2"/>
  <c r="EB142" i="2"/>
  <c r="EG141" i="2"/>
  <c r="EB149" i="2"/>
  <c r="EI147" i="2"/>
  <c r="DX149" i="2"/>
  <c r="EO148" i="2"/>
  <c r="EF147" i="2"/>
  <c r="EM145" i="2"/>
  <c r="EL144" i="2"/>
  <c r="EP143" i="2"/>
  <c r="DX142" i="2"/>
  <c r="ED141" i="2"/>
  <c r="EK140" i="2"/>
  <c r="EB139" i="2"/>
  <c r="EL138" i="2"/>
  <c r="EF137" i="2"/>
  <c r="EP136" i="2"/>
  <c r="DZ136" i="2"/>
  <c r="EJ135" i="2"/>
  <c r="ED134" i="2"/>
  <c r="EN133" i="2"/>
  <c r="DX133" i="2"/>
  <c r="EH132" i="2"/>
  <c r="EB131" i="2"/>
  <c r="EL130" i="2"/>
  <c r="EF129" i="2"/>
  <c r="DW149" i="2"/>
  <c r="EN148" i="2"/>
  <c r="ED147" i="2"/>
  <c r="EL145" i="2"/>
  <c r="EK144" i="2"/>
  <c r="EN143" i="2"/>
  <c r="EP142" i="2"/>
  <c r="DW142" i="2"/>
  <c r="EB141" i="2"/>
  <c r="EJ140" i="2"/>
  <c r="EA139" i="2"/>
  <c r="EK138" i="2"/>
  <c r="EE137" i="2"/>
  <c r="EO136" i="2"/>
  <c r="DY136" i="2"/>
  <c r="EI135" i="2"/>
  <c r="EC134" i="2"/>
  <c r="EM133" i="2"/>
  <c r="DW133" i="2"/>
  <c r="EG132" i="2"/>
  <c r="EQ131" i="2"/>
  <c r="EA131" i="2"/>
  <c r="EK130" i="2"/>
  <c r="EL148" i="2"/>
  <c r="EB147" i="2"/>
  <c r="EJ145" i="2"/>
  <c r="EJ144" i="2"/>
  <c r="EL143" i="2"/>
  <c r="EO142" i="2"/>
  <c r="EA141" i="2"/>
  <c r="EI140" i="2"/>
  <c r="EQ139" i="2"/>
  <c r="DZ139" i="2"/>
  <c r="EJ138" i="2"/>
  <c r="ED137" i="2"/>
  <c r="EN136" i="2"/>
  <c r="DX136" i="2"/>
  <c r="EH135" i="2"/>
  <c r="EB134" i="2"/>
  <c r="EL133" i="2"/>
  <c r="EF132" i="2"/>
  <c r="EP131" i="2"/>
  <c r="DZ131" i="2"/>
  <c r="EJ130" i="2"/>
  <c r="ED129" i="2"/>
  <c r="EL149" i="2"/>
  <c r="EB148" i="2"/>
  <c r="EJ146" i="2"/>
  <c r="EA145" i="2"/>
  <c r="EB144" i="2"/>
  <c r="EE143" i="2"/>
  <c r="EH142" i="2"/>
  <c r="EM141" i="2"/>
  <c r="EC140" i="2"/>
  <c r="EK139" i="2"/>
  <c r="ED138" i="2"/>
  <c r="EN137" i="2"/>
  <c r="DX137" i="2"/>
  <c r="EH149" i="2"/>
  <c r="DY148" i="2"/>
  <c r="EP147" i="2"/>
  <c r="EF146" i="2"/>
  <c r="DX145" i="2"/>
  <c r="DZ144" i="2"/>
  <c r="EC143" i="2"/>
  <c r="EE142" i="2"/>
  <c r="EJ141" i="2"/>
  <c r="EA140" i="2"/>
  <c r="EI139" i="2"/>
  <c r="EB138" i="2"/>
  <c r="EL137" i="2"/>
  <c r="EF136" i="2"/>
  <c r="EP135" i="2"/>
  <c r="DZ135" i="2"/>
  <c r="EJ134" i="2"/>
  <c r="EJ149" i="2"/>
  <c r="EP146" i="2"/>
  <c r="EF145" i="2"/>
  <c r="EH144" i="2"/>
  <c r="EJ143" i="2"/>
  <c r="EM142" i="2"/>
  <c r="EQ141" i="2"/>
  <c r="EE139" i="2"/>
  <c r="EC137" i="2"/>
  <c r="EK135" i="2"/>
  <c r="DZ134" i="2"/>
  <c r="EQ133" i="2"/>
  <c r="EN132" i="2"/>
  <c r="EL131" i="2"/>
  <c r="EM130" i="2"/>
  <c r="EL129" i="2"/>
  <c r="DZ149" i="2"/>
  <c r="EN146" i="2"/>
  <c r="EE145" i="2"/>
  <c r="EG144" i="2"/>
  <c r="EI143" i="2"/>
  <c r="EL142" i="2"/>
  <c r="EP141" i="2"/>
  <c r="ED139" i="2"/>
  <c r="EB137" i="2"/>
  <c r="EG135" i="2"/>
  <c r="DY134" i="2"/>
  <c r="EP133" i="2"/>
  <c r="EM132" i="2"/>
  <c r="EK131" i="2"/>
  <c r="EI130" i="2"/>
  <c r="EK129" i="2"/>
  <c r="EL146" i="2"/>
  <c r="ED145" i="2"/>
  <c r="EF144" i="2"/>
  <c r="EH143" i="2"/>
  <c r="EK142" i="2"/>
  <c r="EO141" i="2"/>
  <c r="EC139" i="2"/>
  <c r="EO138" i="2"/>
  <c r="EA137" i="2"/>
  <c r="EQ136" i="2"/>
  <c r="EF135" i="2"/>
  <c r="DX134" i="2"/>
  <c r="EO133" i="2"/>
  <c r="EK132" i="2"/>
  <c r="EJ131" i="2"/>
  <c r="EH130" i="2"/>
  <c r="EI129" i="2"/>
  <c r="EK146" i="2"/>
  <c r="EB145" i="2"/>
  <c r="ED144" i="2"/>
  <c r="EF143" i="2"/>
  <c r="EJ142" i="2"/>
  <c r="EN141" i="2"/>
  <c r="DY139" i="2"/>
  <c r="EN138" i="2"/>
  <c r="DZ137" i="2"/>
  <c r="EM136" i="2"/>
  <c r="EE135" i="2"/>
  <c r="DW134" i="2"/>
  <c r="EK133" i="2"/>
  <c r="EJ132" i="2"/>
  <c r="EI131" i="2"/>
  <c r="EG130" i="2"/>
  <c r="EH129" i="2"/>
  <c r="EH146" i="2"/>
  <c r="DZ145" i="2"/>
  <c r="EA144" i="2"/>
  <c r="ED143" i="2"/>
  <c r="EF142" i="2"/>
  <c r="EL141" i="2"/>
  <c r="DX139" i="2"/>
  <c r="EM138" i="2"/>
  <c r="DY137" i="2"/>
  <c r="EL136" i="2"/>
  <c r="ED135" i="2"/>
  <c r="EJ133" i="2"/>
  <c r="EI132" i="2"/>
  <c r="EH131" i="2"/>
  <c r="EF130" i="2"/>
  <c r="EG129" i="2"/>
  <c r="EQ147" i="2"/>
  <c r="DZ146" i="2"/>
  <c r="DX143" i="2"/>
  <c r="DZ142" i="2"/>
  <c r="EF141" i="2"/>
  <c r="EO140" i="2"/>
  <c r="DW139" i="2"/>
  <c r="EI138" i="2"/>
  <c r="DW137" i="2"/>
  <c r="EK136" i="2"/>
  <c r="EC135" i="2"/>
  <c r="EQ134" i="2"/>
  <c r="EI133" i="2"/>
  <c r="EE132" i="2"/>
  <c r="EG131" i="2"/>
  <c r="EE130" i="2"/>
  <c r="EE129" i="2"/>
  <c r="EH147" i="2"/>
  <c r="DX146" i="2"/>
  <c r="DY142" i="2"/>
  <c r="EE141" i="2"/>
  <c r="EN140" i="2"/>
  <c r="EH138" i="2"/>
  <c r="EJ136" i="2"/>
  <c r="EB135" i="2"/>
  <c r="EP134" i="2"/>
  <c r="EH133" i="2"/>
  <c r="ED132" i="2"/>
  <c r="EE131" i="2"/>
  <c r="ED130" i="2"/>
  <c r="EC129" i="2"/>
  <c r="EA147" i="2"/>
  <c r="DZ141" i="2"/>
  <c r="EL140" i="2"/>
  <c r="EG138" i="2"/>
  <c r="EI136" i="2"/>
  <c r="EA135" i="2"/>
  <c r="EO134" i="2"/>
  <c r="EG133" i="2"/>
  <c r="EC132" i="2"/>
  <c r="ED131" i="2"/>
  <c r="EC130" i="2"/>
  <c r="EB129" i="2"/>
  <c r="EP148" i="2"/>
  <c r="DZ147" i="2"/>
  <c r="DY141" i="2"/>
  <c r="EH140" i="2"/>
  <c r="EF138" i="2"/>
  <c r="EH136" i="2"/>
  <c r="DW135" i="2"/>
  <c r="EN134" i="2"/>
  <c r="EF133" i="2"/>
  <c r="EB132" i="2"/>
  <c r="EC131" i="2"/>
  <c r="EB130" i="2"/>
  <c r="EA129" i="2"/>
  <c r="EJ148" i="2"/>
  <c r="DX147" i="2"/>
  <c r="DX141" i="2"/>
  <c r="EG140" i="2"/>
  <c r="EE138" i="2"/>
  <c r="EQ137" i="2"/>
  <c r="EG136" i="2"/>
  <c r="EM134" i="2"/>
  <c r="EE133" i="2"/>
  <c r="EA132" i="2"/>
  <c r="DY131" i="2"/>
  <c r="EH148" i="2"/>
  <c r="DW141" i="2"/>
  <c r="EF140" i="2"/>
  <c r="EP139" i="2"/>
  <c r="EC138" i="2"/>
  <c r="EP137" i="2"/>
  <c r="EC136" i="2"/>
  <c r="EL134" i="2"/>
  <c r="ED133" i="2"/>
  <c r="DZ132" i="2"/>
  <c r="DX131" i="2"/>
  <c r="DY130" i="2"/>
  <c r="DY129" i="2"/>
  <c r="EG148" i="2"/>
  <c r="EE140" i="2"/>
  <c r="EO139" i="2"/>
  <c r="DY138" i="2"/>
  <c r="EO137" i="2"/>
  <c r="EB136" i="2"/>
  <c r="EK134" i="2"/>
  <c r="EA133" i="2"/>
  <c r="DY132" i="2"/>
  <c r="DW131" i="2"/>
  <c r="DX130" i="2"/>
  <c r="EQ129" i="2"/>
  <c r="DX129" i="2"/>
  <c r="EF148" i="2"/>
  <c r="ED140" i="2"/>
  <c r="EN139" i="2"/>
  <c r="DX138" i="2"/>
  <c r="EM137" i="2"/>
  <c r="EA136" i="2"/>
  <c r="EG134" i="2"/>
  <c r="DZ133" i="2"/>
  <c r="DX132" i="2"/>
  <c r="DW130" i="2"/>
  <c r="EP129" i="2"/>
  <c r="DW129" i="2"/>
  <c r="EP149" i="2"/>
  <c r="ED148" i="2"/>
  <c r="EP145" i="2"/>
  <c r="EO144" i="2"/>
  <c r="EB140" i="2"/>
  <c r="EM139" i="2"/>
  <c r="DW138" i="2"/>
  <c r="EI137" i="2"/>
  <c r="DW136" i="2"/>
  <c r="EQ135" i="2"/>
  <c r="EF134" i="2"/>
  <c r="DY133" i="2"/>
  <c r="EQ132" i="2"/>
  <c r="DW132" i="2"/>
  <c r="EO131" i="2"/>
  <c r="EQ130" i="2"/>
  <c r="EO129" i="2"/>
  <c r="EI144" i="2"/>
  <c r="EN129" i="2"/>
  <c r="EQ143" i="2"/>
  <c r="EH137" i="2"/>
  <c r="EP132" i="2"/>
  <c r="EM129" i="2"/>
  <c r="EK143" i="2"/>
  <c r="EG137" i="2"/>
  <c r="EO132" i="2"/>
  <c r="DZ129" i="2"/>
  <c r="EN142" i="2"/>
  <c r="EN131" i="2"/>
  <c r="EM131" i="2"/>
  <c r="EN149" i="2"/>
  <c r="EM135" i="2"/>
  <c r="EM149" i="2"/>
  <c r="EL135" i="2"/>
  <c r="DZ148" i="2"/>
  <c r="DX140" i="2"/>
  <c r="EO130" i="2"/>
  <c r="EL139" i="2"/>
  <c r="EE134" i="2"/>
  <c r="EN130" i="2"/>
  <c r="EJ139" i="2"/>
  <c r="EA134" i="2"/>
  <c r="EA130" i="2"/>
  <c r="EN144" i="2"/>
  <c r="EN145" i="2"/>
  <c r="EH145" i="2"/>
  <c r="CM149" i="2"/>
  <c r="CG148" i="2"/>
  <c r="CQ147" i="2"/>
  <c r="CA147" i="2"/>
  <c r="CK146" i="2"/>
  <c r="CE145" i="2"/>
  <c r="CO144" i="2"/>
  <c r="BY144" i="2"/>
  <c r="CI143" i="2"/>
  <c r="CS142" i="2"/>
  <c r="CC142" i="2"/>
  <c r="CM141" i="2"/>
  <c r="CG140" i="2"/>
  <c r="CQ139" i="2"/>
  <c r="CA139" i="2"/>
  <c r="CH149" i="2"/>
  <c r="CR148" i="2"/>
  <c r="CB148" i="2"/>
  <c r="CF149" i="2"/>
  <c r="CP148" i="2"/>
  <c r="BZ148" i="2"/>
  <c r="CS149" i="2"/>
  <c r="BZ149" i="2"/>
  <c r="CC148" i="2"/>
  <c r="CH147" i="2"/>
  <c r="CP146" i="2"/>
  <c r="BY146" i="2"/>
  <c r="CG145" i="2"/>
  <c r="CN144" i="2"/>
  <c r="CE143" i="2"/>
  <c r="CM142" i="2"/>
  <c r="CD141" i="2"/>
  <c r="CL140" i="2"/>
  <c r="CC139" i="2"/>
  <c r="CK138" i="2"/>
  <c r="CE137" i="2"/>
  <c r="CO136" i="2"/>
  <c r="BY136" i="2"/>
  <c r="CI135" i="2"/>
  <c r="CS134" i="2"/>
  <c r="CC134" i="2"/>
  <c r="CM133" i="2"/>
  <c r="CG132" i="2"/>
  <c r="CQ131" i="2"/>
  <c r="CA131" i="2"/>
  <c r="CK130" i="2"/>
  <c r="CE129" i="2"/>
  <c r="CR149" i="2"/>
  <c r="BY149" i="2"/>
  <c r="CA148" i="2"/>
  <c r="CG147" i="2"/>
  <c r="CO146" i="2"/>
  <c r="CF145" i="2"/>
  <c r="CM144" i="2"/>
  <c r="CD143" i="2"/>
  <c r="CL142" i="2"/>
  <c r="CC141" i="2"/>
  <c r="CK140" i="2"/>
  <c r="CS139" i="2"/>
  <c r="CB139" i="2"/>
  <c r="CJ138" i="2"/>
  <c r="CQ149" i="2"/>
  <c r="BY148" i="2"/>
  <c r="CF147" i="2"/>
  <c r="CN146" i="2"/>
  <c r="CD145" i="2"/>
  <c r="CL144" i="2"/>
  <c r="CC143" i="2"/>
  <c r="CK142" i="2"/>
  <c r="CS141" i="2"/>
  <c r="CP149" i="2"/>
  <c r="CS148" i="2"/>
  <c r="CE147" i="2"/>
  <c r="CM146" i="2"/>
  <c r="CC145" i="2"/>
  <c r="CK144" i="2"/>
  <c r="CS143" i="2"/>
  <c r="CB143" i="2"/>
  <c r="CJ142" i="2"/>
  <c r="CR141" i="2"/>
  <c r="CA141" i="2"/>
  <c r="CI140" i="2"/>
  <c r="CP139" i="2"/>
  <c r="BY139" i="2"/>
  <c r="CH138" i="2"/>
  <c r="CR137" i="2"/>
  <c r="CB137" i="2"/>
  <c r="CL136" i="2"/>
  <c r="CF135" i="2"/>
  <c r="CP134" i="2"/>
  <c r="BZ134" i="2"/>
  <c r="CJ133" i="2"/>
  <c r="CD132" i="2"/>
  <c r="CN131" i="2"/>
  <c r="CO149" i="2"/>
  <c r="CQ148" i="2"/>
  <c r="CD147" i="2"/>
  <c r="CL146" i="2"/>
  <c r="CS145" i="2"/>
  <c r="CN149" i="2"/>
  <c r="CO148" i="2"/>
  <c r="CC147" i="2"/>
  <c r="CJ146" i="2"/>
  <c r="CR145" i="2"/>
  <c r="CA145" i="2"/>
  <c r="CI144" i="2"/>
  <c r="CQ143" i="2"/>
  <c r="BZ143" i="2"/>
  <c r="CH142" i="2"/>
  <c r="CL149" i="2"/>
  <c r="CN148" i="2"/>
  <c r="CS147" i="2"/>
  <c r="CB147" i="2"/>
  <c r="CI146" i="2"/>
  <c r="CQ145" i="2"/>
  <c r="BZ145" i="2"/>
  <c r="CH144" i="2"/>
  <c r="CP143" i="2"/>
  <c r="BY143" i="2"/>
  <c r="CK149" i="2"/>
  <c r="CM148" i="2"/>
  <c r="CI147" i="2"/>
  <c r="CS146" i="2"/>
  <c r="CQ144" i="2"/>
  <c r="CA143" i="2"/>
  <c r="CR142" i="2"/>
  <c r="CK141" i="2"/>
  <c r="CM140" i="2"/>
  <c r="CK139" i="2"/>
  <c r="CM138" i="2"/>
  <c r="CP137" i="2"/>
  <c r="CD136" i="2"/>
  <c r="CJ135" i="2"/>
  <c r="CN134" i="2"/>
  <c r="CB133" i="2"/>
  <c r="CH132" i="2"/>
  <c r="CL131" i="2"/>
  <c r="CR130" i="2"/>
  <c r="CA130" i="2"/>
  <c r="CI129" i="2"/>
  <c r="BZ147" i="2"/>
  <c r="CR146" i="2"/>
  <c r="CP144" i="2"/>
  <c r="CQ142" i="2"/>
  <c r="CJ141" i="2"/>
  <c r="CJ140" i="2"/>
  <c r="CJ139" i="2"/>
  <c r="CL138" i="2"/>
  <c r="CO137" i="2"/>
  <c r="CC136" i="2"/>
  <c r="CH135" i="2"/>
  <c r="CM134" i="2"/>
  <c r="CS133" i="2"/>
  <c r="CA133" i="2"/>
  <c r="CF132" i="2"/>
  <c r="CK131" i="2"/>
  <c r="CQ130" i="2"/>
  <c r="BZ130" i="2"/>
  <c r="CH129" i="2"/>
  <c r="BY147" i="2"/>
  <c r="CQ146" i="2"/>
  <c r="CJ144" i="2"/>
  <c r="CP142" i="2"/>
  <c r="CI141" i="2"/>
  <c r="CH140" i="2"/>
  <c r="CI139" i="2"/>
  <c r="CI138" i="2"/>
  <c r="CN137" i="2"/>
  <c r="CB136" i="2"/>
  <c r="CG135" i="2"/>
  <c r="CL134" i="2"/>
  <c r="CR133" i="2"/>
  <c r="BZ133" i="2"/>
  <c r="CE132" i="2"/>
  <c r="CJ131" i="2"/>
  <c r="CP130" i="2"/>
  <c r="BY130" i="2"/>
  <c r="CG129" i="2"/>
  <c r="CH146" i="2"/>
  <c r="CG144" i="2"/>
  <c r="CO142" i="2"/>
  <c r="CH141" i="2"/>
  <c r="CF140" i="2"/>
  <c r="CH139" i="2"/>
  <c r="CG138" i="2"/>
  <c r="CM137" i="2"/>
  <c r="CS136" i="2"/>
  <c r="CA136" i="2"/>
  <c r="CE135" i="2"/>
  <c r="CK134" i="2"/>
  <c r="CQ133" i="2"/>
  <c r="BY133" i="2"/>
  <c r="CC132" i="2"/>
  <c r="CI131" i="2"/>
  <c r="CO130" i="2"/>
  <c r="CF129" i="2"/>
  <c r="CG146" i="2"/>
  <c r="CF144" i="2"/>
  <c r="CN142" i="2"/>
  <c r="CG141" i="2"/>
  <c r="CE140" i="2"/>
  <c r="CG139" i="2"/>
  <c r="CF138" i="2"/>
  <c r="CL137" i="2"/>
  <c r="CR136" i="2"/>
  <c r="BZ136" i="2"/>
  <c r="CD135" i="2"/>
  <c r="CJ134" i="2"/>
  <c r="CP133" i="2"/>
  <c r="CB132" i="2"/>
  <c r="CH131" i="2"/>
  <c r="CN130" i="2"/>
  <c r="CD129" i="2"/>
  <c r="CF146" i="2"/>
  <c r="CP145" i="2"/>
  <c r="CE144" i="2"/>
  <c r="CI142" i="2"/>
  <c r="CF141" i="2"/>
  <c r="CD140" i="2"/>
  <c r="CF139" i="2"/>
  <c r="CE138" i="2"/>
  <c r="CK137" i="2"/>
  <c r="CQ136" i="2"/>
  <c r="CC135" i="2"/>
  <c r="CI134" i="2"/>
  <c r="CO133" i="2"/>
  <c r="CS132" i="2"/>
  <c r="CA132" i="2"/>
  <c r="CG131" i="2"/>
  <c r="CM130" i="2"/>
  <c r="CC129" i="2"/>
  <c r="CE146" i="2"/>
  <c r="CO145" i="2"/>
  <c r="CD144" i="2"/>
  <c r="CR143" i="2"/>
  <c r="CG142" i="2"/>
  <c r="CE141" i="2"/>
  <c r="CC140" i="2"/>
  <c r="CE139" i="2"/>
  <c r="CD138" i="2"/>
  <c r="CJ137" i="2"/>
  <c r="CP136" i="2"/>
  <c r="CB135" i="2"/>
  <c r="CH134" i="2"/>
  <c r="CN133" i="2"/>
  <c r="CR132" i="2"/>
  <c r="BZ132" i="2"/>
  <c r="CF131" i="2"/>
  <c r="CL130" i="2"/>
  <c r="CS129" i="2"/>
  <c r="CB129" i="2"/>
  <c r="CD146" i="2"/>
  <c r="CN145" i="2"/>
  <c r="CC144" i="2"/>
  <c r="CO143" i="2"/>
  <c r="CF142" i="2"/>
  <c r="CB141" i="2"/>
  <c r="CB140" i="2"/>
  <c r="CD139" i="2"/>
  <c r="CC138" i="2"/>
  <c r="CI137" i="2"/>
  <c r="CN136" i="2"/>
  <c r="CS135" i="2"/>
  <c r="CA135" i="2"/>
  <c r="CG134" i="2"/>
  <c r="CL133" i="2"/>
  <c r="CQ132" i="2"/>
  <c r="BY132" i="2"/>
  <c r="CE131" i="2"/>
  <c r="CJ130" i="2"/>
  <c r="CR129" i="2"/>
  <c r="CA129" i="2"/>
  <c r="CJ149" i="2"/>
  <c r="CL148" i="2"/>
  <c r="CR147" i="2"/>
  <c r="CC146" i="2"/>
  <c r="CM145" i="2"/>
  <c r="CB144" i="2"/>
  <c r="CN143" i="2"/>
  <c r="CE142" i="2"/>
  <c r="BZ141" i="2"/>
  <c r="CA140" i="2"/>
  <c r="BZ139" i="2"/>
  <c r="CB138" i="2"/>
  <c r="CH137" i="2"/>
  <c r="CM136" i="2"/>
  <c r="CR135" i="2"/>
  <c r="BZ135" i="2"/>
  <c r="CF134" i="2"/>
  <c r="CK133" i="2"/>
  <c r="CP132" i="2"/>
  <c r="CD131" i="2"/>
  <c r="CI130" i="2"/>
  <c r="CQ129" i="2"/>
  <c r="BZ129" i="2"/>
  <c r="CI149" i="2"/>
  <c r="CK148" i="2"/>
  <c r="CP147" i="2"/>
  <c r="CB146" i="2"/>
  <c r="CL145" i="2"/>
  <c r="CA144" i="2"/>
  <c r="CM143" i="2"/>
  <c r="CD142" i="2"/>
  <c r="BY141" i="2"/>
  <c r="BZ140" i="2"/>
  <c r="CA138" i="2"/>
  <c r="CG137" i="2"/>
  <c r="CK136" i="2"/>
  <c r="CQ135" i="2"/>
  <c r="BY135" i="2"/>
  <c r="CG149" i="2"/>
  <c r="CJ148" i="2"/>
  <c r="CO147" i="2"/>
  <c r="CA146" i="2"/>
  <c r="CK145" i="2"/>
  <c r="BZ144" i="2"/>
  <c r="CL143" i="2"/>
  <c r="CB142" i="2"/>
  <c r="CS140" i="2"/>
  <c r="BY140" i="2"/>
  <c r="CS138" i="2"/>
  <c r="BZ138" i="2"/>
  <c r="CF137" i="2"/>
  <c r="CE149" i="2"/>
  <c r="CI148" i="2"/>
  <c r="CN147" i="2"/>
  <c r="BZ146" i="2"/>
  <c r="CJ145" i="2"/>
  <c r="CK143" i="2"/>
  <c r="CA142" i="2"/>
  <c r="CQ141" i="2"/>
  <c r="CR140" i="2"/>
  <c r="CR139" i="2"/>
  <c r="CD149" i="2"/>
  <c r="CH148" i="2"/>
  <c r="CM147" i="2"/>
  <c r="CI145" i="2"/>
  <c r="CJ143" i="2"/>
  <c r="BZ142" i="2"/>
  <c r="CP141" i="2"/>
  <c r="CC149" i="2"/>
  <c r="CF148" i="2"/>
  <c r="CL147" i="2"/>
  <c r="CH145" i="2"/>
  <c r="CH143" i="2"/>
  <c r="BY142" i="2"/>
  <c r="CO141" i="2"/>
  <c r="CP140" i="2"/>
  <c r="CN139" i="2"/>
  <c r="CP138" i="2"/>
  <c r="CA137" i="2"/>
  <c r="CG136" i="2"/>
  <c r="CM135" i="2"/>
  <c r="CR134" i="2"/>
  <c r="BY134" i="2"/>
  <c r="CE133" i="2"/>
  <c r="CK132" i="2"/>
  <c r="CP131" i="2"/>
  <c r="CD130" i="2"/>
  <c r="CL129" i="2"/>
  <c r="CJ147" i="2"/>
  <c r="BZ137" i="2"/>
  <c r="CE134" i="2"/>
  <c r="CD133" i="2"/>
  <c r="CN141" i="2"/>
  <c r="BY137" i="2"/>
  <c r="CP135" i="2"/>
  <c r="CD134" i="2"/>
  <c r="CC133" i="2"/>
  <c r="CL141" i="2"/>
  <c r="CR138" i="2"/>
  <c r="CO135" i="2"/>
  <c r="CB134" i="2"/>
  <c r="CP129" i="2"/>
  <c r="CQ138" i="2"/>
  <c r="CN135" i="2"/>
  <c r="CA134" i="2"/>
  <c r="CO129" i="2"/>
  <c r="CO138" i="2"/>
  <c r="CL135" i="2"/>
  <c r="CN129" i="2"/>
  <c r="CB145" i="2"/>
  <c r="CN138" i="2"/>
  <c r="CK135" i="2"/>
  <c r="CS130" i="2"/>
  <c r="CM129" i="2"/>
  <c r="BY145" i="2"/>
  <c r="CQ140" i="2"/>
  <c r="BY138" i="2"/>
  <c r="CS131" i="2"/>
  <c r="CH130" i="2"/>
  <c r="CK129" i="2"/>
  <c r="CS144" i="2"/>
  <c r="CO140" i="2"/>
  <c r="CJ136" i="2"/>
  <c r="CR131" i="2"/>
  <c r="CG130" i="2"/>
  <c r="CJ129" i="2"/>
  <c r="CR144" i="2"/>
  <c r="CN140" i="2"/>
  <c r="CI136" i="2"/>
  <c r="CO132" i="2"/>
  <c r="CO131" i="2"/>
  <c r="CF130" i="2"/>
  <c r="BY129" i="2"/>
  <c r="CH136" i="2"/>
  <c r="CN132" i="2"/>
  <c r="CM131" i="2"/>
  <c r="CE130" i="2"/>
  <c r="CF136" i="2"/>
  <c r="CM132" i="2"/>
  <c r="CC131" i="2"/>
  <c r="CC130" i="2"/>
  <c r="CB149" i="2"/>
  <c r="CG143" i="2"/>
  <c r="CE136" i="2"/>
  <c r="CL132" i="2"/>
  <c r="CB131" i="2"/>
  <c r="CB130" i="2"/>
  <c r="CA149" i="2"/>
  <c r="CF143" i="2"/>
  <c r="CO139" i="2"/>
  <c r="CS137" i="2"/>
  <c r="CI133" i="2"/>
  <c r="CJ132" i="2"/>
  <c r="BZ131" i="2"/>
  <c r="CK147" i="2"/>
  <c r="CC137" i="2"/>
  <c r="CO134" i="2"/>
  <c r="CF133" i="2"/>
  <c r="CL139" i="2"/>
  <c r="CQ137" i="2"/>
  <c r="CD137" i="2"/>
  <c r="CQ134" i="2"/>
  <c r="CH133" i="2"/>
  <c r="CG133" i="2"/>
  <c r="CI132" i="2"/>
  <c r="CE148" i="2"/>
  <c r="BY131" i="2"/>
  <c r="CD148" i="2"/>
  <c r="AI149" i="2"/>
  <c r="AS148" i="2"/>
  <c r="AC148" i="2"/>
  <c r="AM147" i="2"/>
  <c r="AG146" i="2"/>
  <c r="AQ145" i="2"/>
  <c r="AA145" i="2"/>
  <c r="AK144" i="2"/>
  <c r="AU143" i="2"/>
  <c r="AE143" i="2"/>
  <c r="AO142" i="2"/>
  <c r="AI141" i="2"/>
  <c r="AS140" i="2"/>
  <c r="AC140" i="2"/>
  <c r="AM139" i="2"/>
  <c r="AG138" i="2"/>
  <c r="AQ137" i="2"/>
  <c r="AA137" i="2"/>
  <c r="AK136" i="2"/>
  <c r="AU135" i="2"/>
  <c r="AE135" i="2"/>
  <c r="AO134" i="2"/>
  <c r="AI133" i="2"/>
  <c r="AS132" i="2"/>
  <c r="AC132" i="2"/>
  <c r="AM131" i="2"/>
  <c r="AG130" i="2"/>
  <c r="AQ129" i="2"/>
  <c r="AA129" i="2"/>
  <c r="AH149" i="2"/>
  <c r="AR148" i="2"/>
  <c r="AB148" i="2"/>
  <c r="AL147" i="2"/>
  <c r="AF146" i="2"/>
  <c r="AP145" i="2"/>
  <c r="AJ144" i="2"/>
  <c r="AT143" i="2"/>
  <c r="AD143" i="2"/>
  <c r="AN142" i="2"/>
  <c r="AH141" i="2"/>
  <c r="AR140" i="2"/>
  <c r="AB140" i="2"/>
  <c r="AL139" i="2"/>
  <c r="AF138" i="2"/>
  <c r="AG149" i="2"/>
  <c r="AQ148" i="2"/>
  <c r="AA148" i="2"/>
  <c r="AK147" i="2"/>
  <c r="AU146" i="2"/>
  <c r="AE146" i="2"/>
  <c r="AO145" i="2"/>
  <c r="AF149" i="2"/>
  <c r="AP148" i="2"/>
  <c r="AJ147" i="2"/>
  <c r="AT146" i="2"/>
  <c r="AD146" i="2"/>
  <c r="AN145" i="2"/>
  <c r="AH144" i="2"/>
  <c r="AR143" i="2"/>
  <c r="AB143" i="2"/>
  <c r="AL142" i="2"/>
  <c r="AF141" i="2"/>
  <c r="AP140" i="2"/>
  <c r="AJ139" i="2"/>
  <c r="AT138" i="2"/>
  <c r="AD138" i="2"/>
  <c r="AN137" i="2"/>
  <c r="AH136" i="2"/>
  <c r="AR135" i="2"/>
  <c r="AB135" i="2"/>
  <c r="AL134" i="2"/>
  <c r="AF133" i="2"/>
  <c r="AP132" i="2"/>
  <c r="AJ131" i="2"/>
  <c r="AT130" i="2"/>
  <c r="AD130" i="2"/>
  <c r="AN129" i="2"/>
  <c r="AU149" i="2"/>
  <c r="AE149" i="2"/>
  <c r="AO148" i="2"/>
  <c r="AI147" i="2"/>
  <c r="AS146" i="2"/>
  <c r="AC146" i="2"/>
  <c r="AM145" i="2"/>
  <c r="AG144" i="2"/>
  <c r="AQ143" i="2"/>
  <c r="AA143" i="2"/>
  <c r="AT149" i="2"/>
  <c r="AD149" i="2"/>
  <c r="AN148" i="2"/>
  <c r="AH147" i="2"/>
  <c r="AR146" i="2"/>
  <c r="AB146" i="2"/>
  <c r="AL145" i="2"/>
  <c r="AF144" i="2"/>
  <c r="AP143" i="2"/>
  <c r="AJ142" i="2"/>
  <c r="AT141" i="2"/>
  <c r="AD141" i="2"/>
  <c r="AN140" i="2"/>
  <c r="AH139" i="2"/>
  <c r="AR138" i="2"/>
  <c r="AB138" i="2"/>
  <c r="AL137" i="2"/>
  <c r="AF136" i="2"/>
  <c r="AS149" i="2"/>
  <c r="AC149" i="2"/>
  <c r="AM148" i="2"/>
  <c r="AG147" i="2"/>
  <c r="AQ146" i="2"/>
  <c r="AA146" i="2"/>
  <c r="AK145" i="2"/>
  <c r="AU144" i="2"/>
  <c r="AE144" i="2"/>
  <c r="AO143" i="2"/>
  <c r="AI142" i="2"/>
  <c r="AS141" i="2"/>
  <c r="AC141" i="2"/>
  <c r="AM140" i="2"/>
  <c r="AG139" i="2"/>
  <c r="AQ138" i="2"/>
  <c r="AA138" i="2"/>
  <c r="AK137" i="2"/>
  <c r="AU136" i="2"/>
  <c r="AE136" i="2"/>
  <c r="AO135" i="2"/>
  <c r="AI134" i="2"/>
  <c r="AS133" i="2"/>
  <c r="AC133" i="2"/>
  <c r="AM132" i="2"/>
  <c r="AG131" i="2"/>
  <c r="AQ130" i="2"/>
  <c r="AA130" i="2"/>
  <c r="AK129" i="2"/>
  <c r="AR149" i="2"/>
  <c r="AB149" i="2"/>
  <c r="AL148" i="2"/>
  <c r="AF147" i="2"/>
  <c r="AP146" i="2"/>
  <c r="AJ145" i="2"/>
  <c r="AT144" i="2"/>
  <c r="AD144" i="2"/>
  <c r="AN143" i="2"/>
  <c r="AH142" i="2"/>
  <c r="AR141" i="2"/>
  <c r="AB141" i="2"/>
  <c r="AL140" i="2"/>
  <c r="AF139" i="2"/>
  <c r="AP138" i="2"/>
  <c r="AJ137" i="2"/>
  <c r="CM139" i="2"/>
  <c r="AE148" i="2"/>
  <c r="AO147" i="2"/>
  <c r="AC145" i="2"/>
  <c r="AN144" i="2"/>
  <c r="AP142" i="2"/>
  <c r="AE141" i="2"/>
  <c r="AN139" i="2"/>
  <c r="AC138" i="2"/>
  <c r="AU137" i="2"/>
  <c r="AR136" i="2"/>
  <c r="AS135" i="2"/>
  <c r="AU134" i="2"/>
  <c r="AB134" i="2"/>
  <c r="AD133" i="2"/>
  <c r="AG132" i="2"/>
  <c r="AI131" i="2"/>
  <c r="AL130" i="2"/>
  <c r="AO129" i="2"/>
  <c r="AD148" i="2"/>
  <c r="AN147" i="2"/>
  <c r="AB145" i="2"/>
  <c r="AM144" i="2"/>
  <c r="AM142" i="2"/>
  <c r="AA141" i="2"/>
  <c r="AU140" i="2"/>
  <c r="AK139" i="2"/>
  <c r="AT137" i="2"/>
  <c r="AQ136" i="2"/>
  <c r="AQ135" i="2"/>
  <c r="AT134" i="2"/>
  <c r="AA134" i="2"/>
  <c r="AB133" i="2"/>
  <c r="AF132" i="2"/>
  <c r="AH131" i="2"/>
  <c r="AK130" i="2"/>
  <c r="AM129" i="2"/>
  <c r="AQ149" i="2"/>
  <c r="AE147" i="2"/>
  <c r="AO146" i="2"/>
  <c r="AL144" i="2"/>
  <c r="AK142" i="2"/>
  <c r="AT140" i="2"/>
  <c r="AI139" i="2"/>
  <c r="AS137" i="2"/>
  <c r="AP136" i="2"/>
  <c r="AP135" i="2"/>
  <c r="AS134" i="2"/>
  <c r="AU133" i="2"/>
  <c r="AA133" i="2"/>
  <c r="AE132" i="2"/>
  <c r="AF131" i="2"/>
  <c r="AJ130" i="2"/>
  <c r="AL129" i="2"/>
  <c r="AP149" i="2"/>
  <c r="AD147" i="2"/>
  <c r="AN146" i="2"/>
  <c r="AI144" i="2"/>
  <c r="AG142" i="2"/>
  <c r="AQ140" i="2"/>
  <c r="AE139" i="2"/>
  <c r="AR137" i="2"/>
  <c r="AO136" i="2"/>
  <c r="AN135" i="2"/>
  <c r="AR134" i="2"/>
  <c r="AT133" i="2"/>
  <c r="AD132" i="2"/>
  <c r="AE131" i="2"/>
  <c r="AI130" i="2"/>
  <c r="AJ129" i="2"/>
  <c r="AO149" i="2"/>
  <c r="AC147" i="2"/>
  <c r="AM146" i="2"/>
  <c r="AC144" i="2"/>
  <c r="AF142" i="2"/>
  <c r="AO140" i="2"/>
  <c r="AD139" i="2"/>
  <c r="AP137" i="2"/>
  <c r="AN136" i="2"/>
  <c r="AM135" i="2"/>
  <c r="AQ134" i="2"/>
  <c r="AR133" i="2"/>
  <c r="AB132" i="2"/>
  <c r="AD131" i="2"/>
  <c r="AH130" i="2"/>
  <c r="AI129" i="2"/>
  <c r="AN149" i="2"/>
  <c r="AB147" i="2"/>
  <c r="AL146" i="2"/>
  <c r="AB144" i="2"/>
  <c r="AS143" i="2"/>
  <c r="AE142" i="2"/>
  <c r="AK140" i="2"/>
  <c r="AC139" i="2"/>
  <c r="AU138" i="2"/>
  <c r="AO137" i="2"/>
  <c r="AM136" i="2"/>
  <c r="AL135" i="2"/>
  <c r="AP134" i="2"/>
  <c r="AQ133" i="2"/>
  <c r="AU132" i="2"/>
  <c r="AA132" i="2"/>
  <c r="AC131" i="2"/>
  <c r="AF130" i="2"/>
  <c r="AH129" i="2"/>
  <c r="AM149" i="2"/>
  <c r="AA147" i="2"/>
  <c r="AK146" i="2"/>
  <c r="AU145" i="2"/>
  <c r="AA144" i="2"/>
  <c r="AM143" i="2"/>
  <c r="AD142" i="2"/>
  <c r="AU141" i="2"/>
  <c r="AJ140" i="2"/>
  <c r="AB139" i="2"/>
  <c r="AS138" i="2"/>
  <c r="AM137" i="2"/>
  <c r="AL136" i="2"/>
  <c r="AK135" i="2"/>
  <c r="AN134" i="2"/>
  <c r="AP133" i="2"/>
  <c r="AT132" i="2"/>
  <c r="AU131" i="2"/>
  <c r="AB131" i="2"/>
  <c r="AE130" i="2"/>
  <c r="AG129" i="2"/>
  <c r="AL149" i="2"/>
  <c r="AJ146" i="2"/>
  <c r="AT145" i="2"/>
  <c r="AL143" i="2"/>
  <c r="AC142" i="2"/>
  <c r="AQ141" i="2"/>
  <c r="AI140" i="2"/>
  <c r="AA139" i="2"/>
  <c r="AO138" i="2"/>
  <c r="AI137" i="2"/>
  <c r="AJ136" i="2"/>
  <c r="AJ135" i="2"/>
  <c r="AM134" i="2"/>
  <c r="AO133" i="2"/>
  <c r="AR132" i="2"/>
  <c r="AT131" i="2"/>
  <c r="AA131" i="2"/>
  <c r="AC130" i="2"/>
  <c r="AF129" i="2"/>
  <c r="AK149" i="2"/>
  <c r="AU148" i="2"/>
  <c r="AI146" i="2"/>
  <c r="AS145" i="2"/>
  <c r="AK143" i="2"/>
  <c r="AB142" i="2"/>
  <c r="AP141" i="2"/>
  <c r="AH140" i="2"/>
  <c r="AN138" i="2"/>
  <c r="AH137" i="2"/>
  <c r="AI136" i="2"/>
  <c r="AI135" i="2"/>
  <c r="AK134" i="2"/>
  <c r="AN133" i="2"/>
  <c r="AQ132" i="2"/>
  <c r="AS131" i="2"/>
  <c r="AB130" i="2"/>
  <c r="AE129" i="2"/>
  <c r="AJ149" i="2"/>
  <c r="AT148" i="2"/>
  <c r="AH146" i="2"/>
  <c r="AR145" i="2"/>
  <c r="AJ143" i="2"/>
  <c r="AA142" i="2"/>
  <c r="AO141" i="2"/>
  <c r="AG140" i="2"/>
  <c r="AU139" i="2"/>
  <c r="AM138" i="2"/>
  <c r="AG137" i="2"/>
  <c r="AG136" i="2"/>
  <c r="AH135" i="2"/>
  <c r="AJ134" i="2"/>
  <c r="AM133" i="2"/>
  <c r="AO132" i="2"/>
  <c r="AR131" i="2"/>
  <c r="AU130" i="2"/>
  <c r="AD129" i="2"/>
  <c r="AA149" i="2"/>
  <c r="AK148" i="2"/>
  <c r="AU147" i="2"/>
  <c r="AI145" i="2"/>
  <c r="AI143" i="2"/>
  <c r="AN141" i="2"/>
  <c r="AF140" i="2"/>
  <c r="AT139" i="2"/>
  <c r="AL138" i="2"/>
  <c r="AF137" i="2"/>
  <c r="AD136" i="2"/>
  <c r="AG135" i="2"/>
  <c r="AH134" i="2"/>
  <c r="AL133" i="2"/>
  <c r="AN132" i="2"/>
  <c r="AQ131" i="2"/>
  <c r="AS130" i="2"/>
  <c r="AC129" i="2"/>
  <c r="AJ148" i="2"/>
  <c r="AT147" i="2"/>
  <c r="AH145" i="2"/>
  <c r="AS144" i="2"/>
  <c r="AH143" i="2"/>
  <c r="AU142" i="2"/>
  <c r="AM141" i="2"/>
  <c r="AE140" i="2"/>
  <c r="AS139" i="2"/>
  <c r="AK138" i="2"/>
  <c r="AE137" i="2"/>
  <c r="AC136" i="2"/>
  <c r="AF135" i="2"/>
  <c r="AG134" i="2"/>
  <c r="AK133" i="2"/>
  <c r="AL132" i="2"/>
  <c r="AP131" i="2"/>
  <c r="AR130" i="2"/>
  <c r="AU129" i="2"/>
  <c r="AB129" i="2"/>
  <c r="AI148" i="2"/>
  <c r="AS147" i="2"/>
  <c r="AG145" i="2"/>
  <c r="AR144" i="2"/>
  <c r="AG143" i="2"/>
  <c r="AT142" i="2"/>
  <c r="AL141" i="2"/>
  <c r="AD140" i="2"/>
  <c r="AR139" i="2"/>
  <c r="AJ138" i="2"/>
  <c r="AD137" i="2"/>
  <c r="AB136" i="2"/>
  <c r="AD135" i="2"/>
  <c r="AF134" i="2"/>
  <c r="AJ133" i="2"/>
  <c r="AK132" i="2"/>
  <c r="AO131" i="2"/>
  <c r="AP130" i="2"/>
  <c r="AF148" i="2"/>
  <c r="AP147" i="2"/>
  <c r="AD145" i="2"/>
  <c r="AO144" i="2"/>
  <c r="AQ142" i="2"/>
  <c r="AG141" i="2"/>
  <c r="AO139" i="2"/>
  <c r="AE138" i="2"/>
  <c r="AS136" i="2"/>
  <c r="AT135" i="2"/>
  <c r="AC134" i="2"/>
  <c r="AE133" i="2"/>
  <c r="AH132" i="2"/>
  <c r="AK131" i="2"/>
  <c r="AM130" i="2"/>
  <c r="AP129" i="2"/>
  <c r="AI132" i="2"/>
  <c r="AF145" i="2"/>
  <c r="AA140" i="2"/>
  <c r="AE145" i="2"/>
  <c r="AQ144" i="2"/>
  <c r="AQ139" i="2"/>
  <c r="AC135" i="2"/>
  <c r="AN131" i="2"/>
  <c r="AP144" i="2"/>
  <c r="AP139" i="2"/>
  <c r="AA135" i="2"/>
  <c r="AL131" i="2"/>
  <c r="AF143" i="2"/>
  <c r="AI138" i="2"/>
  <c r="AE134" i="2"/>
  <c r="AO130" i="2"/>
  <c r="AC143" i="2"/>
  <c r="AH138" i="2"/>
  <c r="AD134" i="2"/>
  <c r="AN130" i="2"/>
  <c r="AH148" i="2"/>
  <c r="AS142" i="2"/>
  <c r="AG148" i="2"/>
  <c r="AR142" i="2"/>
  <c r="AR147" i="2"/>
  <c r="AC137" i="2"/>
  <c r="AH133" i="2"/>
  <c r="AT129" i="2"/>
  <c r="AQ147" i="2"/>
  <c r="AB137" i="2"/>
  <c r="AG133" i="2"/>
  <c r="AS129" i="2"/>
  <c r="AK141" i="2"/>
  <c r="AJ141" i="2"/>
  <c r="AT136" i="2"/>
  <c r="AA136" i="2"/>
  <c r="AJ132" i="2"/>
  <c r="AR129" i="2"/>
  <c r="C19" i="1"/>
  <c r="ED53" i="2"/>
  <c r="EN52" i="2"/>
  <c r="DX52" i="2"/>
  <c r="EH51" i="2"/>
  <c r="EG53" i="2"/>
  <c r="EO52" i="2"/>
  <c r="DW52" i="2"/>
  <c r="EE51" i="2"/>
  <c r="EM50" i="2"/>
  <c r="DW50" i="2"/>
  <c r="EG49" i="2"/>
  <c r="EQ48" i="2"/>
  <c r="EA48" i="2"/>
  <c r="EK47" i="2"/>
  <c r="EE46" i="2"/>
  <c r="EO45" i="2"/>
  <c r="DY45" i="2"/>
  <c r="EI44" i="2"/>
  <c r="EC43" i="2"/>
  <c r="EM42" i="2"/>
  <c r="DW42" i="2"/>
  <c r="EG41" i="2"/>
  <c r="EQ40" i="2"/>
  <c r="EA40" i="2"/>
  <c r="EK39" i="2"/>
  <c r="EE38" i="2"/>
  <c r="EO37" i="2"/>
  <c r="DY37" i="2"/>
  <c r="EI36" i="2"/>
  <c r="EC35" i="2"/>
  <c r="EM34" i="2"/>
  <c r="DW34" i="2"/>
  <c r="EG33" i="2"/>
  <c r="EF53" i="2"/>
  <c r="EM52" i="2"/>
  <c r="ED51" i="2"/>
  <c r="EL50" i="2"/>
  <c r="EF49" i="2"/>
  <c r="EP48" i="2"/>
  <c r="DZ48" i="2"/>
  <c r="EJ47" i="2"/>
  <c r="ED46" i="2"/>
  <c r="EN45" i="2"/>
  <c r="DX45" i="2"/>
  <c r="EH44" i="2"/>
  <c r="EB43" i="2"/>
  <c r="EL42" i="2"/>
  <c r="EF41" i="2"/>
  <c r="EE53" i="2"/>
  <c r="EL52" i="2"/>
  <c r="EC51" i="2"/>
  <c r="EK50" i="2"/>
  <c r="EE49" i="2"/>
  <c r="EO48" i="2"/>
  <c r="DY48" i="2"/>
  <c r="EI47" i="2"/>
  <c r="EC46" i="2"/>
  <c r="EM45" i="2"/>
  <c r="DW45" i="2"/>
  <c r="EC53" i="2"/>
  <c r="EK52" i="2"/>
  <c r="EB51" i="2"/>
  <c r="EJ50" i="2"/>
  <c r="ED49" i="2"/>
  <c r="EN48" i="2"/>
  <c r="DX48" i="2"/>
  <c r="EH47" i="2"/>
  <c r="EB46" i="2"/>
  <c r="EL45" i="2"/>
  <c r="EB53" i="2"/>
  <c r="EJ52" i="2"/>
  <c r="EA51" i="2"/>
  <c r="EI50" i="2"/>
  <c r="EC49" i="2"/>
  <c r="EM48" i="2"/>
  <c r="DW48" i="2"/>
  <c r="EG47" i="2"/>
  <c r="EQ46" i="2"/>
  <c r="EA46" i="2"/>
  <c r="EA53" i="2"/>
  <c r="EI52" i="2"/>
  <c r="EQ51" i="2"/>
  <c r="DZ51" i="2"/>
  <c r="EH50" i="2"/>
  <c r="EB49" i="2"/>
  <c r="EL48" i="2"/>
  <c r="EF47" i="2"/>
  <c r="EP46" i="2"/>
  <c r="DZ46" i="2"/>
  <c r="EJ45" i="2"/>
  <c r="ED44" i="2"/>
  <c r="EN43" i="2"/>
  <c r="DX43" i="2"/>
  <c r="EH42" i="2"/>
  <c r="EB41" i="2"/>
  <c r="EL40" i="2"/>
  <c r="EF39" i="2"/>
  <c r="EP38" i="2"/>
  <c r="DZ38" i="2"/>
  <c r="EJ37" i="2"/>
  <c r="ED36" i="2"/>
  <c r="EN35" i="2"/>
  <c r="DX35" i="2"/>
  <c r="EH34" i="2"/>
  <c r="EB33" i="2"/>
  <c r="EQ53" i="2"/>
  <c r="DZ53" i="2"/>
  <c r="EH52" i="2"/>
  <c r="EP51" i="2"/>
  <c r="DY51" i="2"/>
  <c r="EG50" i="2"/>
  <c r="EQ49" i="2"/>
  <c r="EA49" i="2"/>
  <c r="EK48" i="2"/>
  <c r="EE47" i="2"/>
  <c r="EO46" i="2"/>
  <c r="DY46" i="2"/>
  <c r="EI45" i="2"/>
  <c r="EC44" i="2"/>
  <c r="EM43" i="2"/>
  <c r="DW43" i="2"/>
  <c r="EG42" i="2"/>
  <c r="EQ41" i="2"/>
  <c r="EA41" i="2"/>
  <c r="EK40" i="2"/>
  <c r="EE39" i="2"/>
  <c r="EO38" i="2"/>
  <c r="DY38" i="2"/>
  <c r="EI37" i="2"/>
  <c r="EP53" i="2"/>
  <c r="DY53" i="2"/>
  <c r="EG52" i="2"/>
  <c r="EO51" i="2"/>
  <c r="DX51" i="2"/>
  <c r="EF50" i="2"/>
  <c r="EP49" i="2"/>
  <c r="DZ49" i="2"/>
  <c r="EJ48" i="2"/>
  <c r="ED47" i="2"/>
  <c r="EN46" i="2"/>
  <c r="DX46" i="2"/>
  <c r="EH45" i="2"/>
  <c r="EB44" i="2"/>
  <c r="EL43" i="2"/>
  <c r="EF42" i="2"/>
  <c r="EP41" i="2"/>
  <c r="DZ41" i="2"/>
  <c r="EJ40" i="2"/>
  <c r="EM53" i="2"/>
  <c r="ED52" i="2"/>
  <c r="EL51" i="2"/>
  <c r="EC50" i="2"/>
  <c r="EM49" i="2"/>
  <c r="DW49" i="2"/>
  <c r="EG48" i="2"/>
  <c r="EQ47" i="2"/>
  <c r="EA47" i="2"/>
  <c r="EH53" i="2"/>
  <c r="EP52" i="2"/>
  <c r="DY52" i="2"/>
  <c r="EF51" i="2"/>
  <c r="EB48" i="2"/>
  <c r="EB47" i="2"/>
  <c r="EK46" i="2"/>
  <c r="EK44" i="2"/>
  <c r="EF43" i="2"/>
  <c r="EA42" i="2"/>
  <c r="DW40" i="2"/>
  <c r="EP39" i="2"/>
  <c r="DW39" i="2"/>
  <c r="DX38" i="2"/>
  <c r="EB37" i="2"/>
  <c r="EG36" i="2"/>
  <c r="EL35" i="2"/>
  <c r="DZ34" i="2"/>
  <c r="EE33" i="2"/>
  <c r="DZ47" i="2"/>
  <c r="EJ46" i="2"/>
  <c r="EJ44" i="2"/>
  <c r="EE43" i="2"/>
  <c r="DZ42" i="2"/>
  <c r="EP40" i="2"/>
  <c r="EO39" i="2"/>
  <c r="DW38" i="2"/>
  <c r="EA37" i="2"/>
  <c r="EF36" i="2"/>
  <c r="EK35" i="2"/>
  <c r="EQ34" i="2"/>
  <c r="DY34" i="2"/>
  <c r="ED33" i="2"/>
  <c r="DY47" i="2"/>
  <c r="EI46" i="2"/>
  <c r="EG44" i="2"/>
  <c r="ED43" i="2"/>
  <c r="DY42" i="2"/>
  <c r="EO41" i="2"/>
  <c r="EO40" i="2"/>
  <c r="EN39" i="2"/>
  <c r="EQ38" i="2"/>
  <c r="DZ37" i="2"/>
  <c r="EE36" i="2"/>
  <c r="EJ35" i="2"/>
  <c r="EP34" i="2"/>
  <c r="DX34" i="2"/>
  <c r="EC33" i="2"/>
  <c r="EN51" i="2"/>
  <c r="EQ50" i="2"/>
  <c r="DX47" i="2"/>
  <c r="EH46" i="2"/>
  <c r="EF44" i="2"/>
  <c r="EA43" i="2"/>
  <c r="DX42" i="2"/>
  <c r="EN41" i="2"/>
  <c r="EN40" i="2"/>
  <c r="EM39" i="2"/>
  <c r="EN38" i="2"/>
  <c r="DX37" i="2"/>
  <c r="EC36" i="2"/>
  <c r="EI35" i="2"/>
  <c r="EO34" i="2"/>
  <c r="EA33" i="2"/>
  <c r="EM51" i="2"/>
  <c r="EP50" i="2"/>
  <c r="DW47" i="2"/>
  <c r="EG46" i="2"/>
  <c r="EQ45" i="2"/>
  <c r="EE44" i="2"/>
  <c r="DZ43" i="2"/>
  <c r="EM41" i="2"/>
  <c r="EM40" i="2"/>
  <c r="EL39" i="2"/>
  <c r="EM38" i="2"/>
  <c r="EQ37" i="2"/>
  <c r="DW37" i="2"/>
  <c r="EB36" i="2"/>
  <c r="EH35" i="2"/>
  <c r="EN34" i="2"/>
  <c r="DZ33" i="2"/>
  <c r="EO53" i="2"/>
  <c r="EK51" i="2"/>
  <c r="EO50" i="2"/>
  <c r="EO49" i="2"/>
  <c r="EF46" i="2"/>
  <c r="EP45" i="2"/>
  <c r="EA44" i="2"/>
  <c r="DY43" i="2"/>
  <c r="EQ42" i="2"/>
  <c r="EL41" i="2"/>
  <c r="EI40" i="2"/>
  <c r="EJ39" i="2"/>
  <c r="EL38" i="2"/>
  <c r="EP37" i="2"/>
  <c r="EA36" i="2"/>
  <c r="EG35" i="2"/>
  <c r="EL34" i="2"/>
  <c r="EQ33" i="2"/>
  <c r="DY33" i="2"/>
  <c r="EN53" i="2"/>
  <c r="EQ52" i="2"/>
  <c r="EJ51" i="2"/>
  <c r="EN50" i="2"/>
  <c r="EN49" i="2"/>
  <c r="DW46" i="2"/>
  <c r="EK45" i="2"/>
  <c r="DZ44" i="2"/>
  <c r="EP42" i="2"/>
  <c r="EK41" i="2"/>
  <c r="EH40" i="2"/>
  <c r="EI39" i="2"/>
  <c r="EK38" i="2"/>
  <c r="EN37" i="2"/>
  <c r="DZ36" i="2"/>
  <c r="EF35" i="2"/>
  <c r="EK34" i="2"/>
  <c r="EP33" i="2"/>
  <c r="DX33" i="2"/>
  <c r="EL53" i="2"/>
  <c r="EF52" i="2"/>
  <c r="EI51" i="2"/>
  <c r="EE50" i="2"/>
  <c r="EL49" i="2"/>
  <c r="EG45" i="2"/>
  <c r="DY44" i="2"/>
  <c r="EO42" i="2"/>
  <c r="EJ41" i="2"/>
  <c r="EG40" i="2"/>
  <c r="EH39" i="2"/>
  <c r="EJ38" i="2"/>
  <c r="EM37" i="2"/>
  <c r="EQ36" i="2"/>
  <c r="DY36" i="2"/>
  <c r="EE35" i="2"/>
  <c r="EJ34" i="2"/>
  <c r="EO33" i="2"/>
  <c r="DW33" i="2"/>
  <c r="EK53" i="2"/>
  <c r="EE52" i="2"/>
  <c r="EG51" i="2"/>
  <c r="ED50" i="2"/>
  <c r="EK49" i="2"/>
  <c r="EF45" i="2"/>
  <c r="DX44" i="2"/>
  <c r="EQ43" i="2"/>
  <c r="EN42" i="2"/>
  <c r="EI41" i="2"/>
  <c r="EF40" i="2"/>
  <c r="EG39" i="2"/>
  <c r="EI38" i="2"/>
  <c r="EL37" i="2"/>
  <c r="EP36" i="2"/>
  <c r="DX36" i="2"/>
  <c r="ED35" i="2"/>
  <c r="EI34" i="2"/>
  <c r="EN33" i="2"/>
  <c r="EJ53" i="2"/>
  <c r="EC52" i="2"/>
  <c r="DW51" i="2"/>
  <c r="EB50" i="2"/>
  <c r="EJ49" i="2"/>
  <c r="EE45" i="2"/>
  <c r="DW44" i="2"/>
  <c r="EP43" i="2"/>
  <c r="EK42" i="2"/>
  <c r="EH41" i="2"/>
  <c r="EE40" i="2"/>
  <c r="ED39" i="2"/>
  <c r="EH38" i="2"/>
  <c r="EK37" i="2"/>
  <c r="EO36" i="2"/>
  <c r="DW36" i="2"/>
  <c r="EB35" i="2"/>
  <c r="EI53" i="2"/>
  <c r="EB52" i="2"/>
  <c r="EA50" i="2"/>
  <c r="EI49" i="2"/>
  <c r="EI48" i="2"/>
  <c r="EP47" i="2"/>
  <c r="ED45" i="2"/>
  <c r="EQ44" i="2"/>
  <c r="EO43" i="2"/>
  <c r="EJ42" i="2"/>
  <c r="EE41" i="2"/>
  <c r="ED40" i="2"/>
  <c r="EC39" i="2"/>
  <c r="EG38" i="2"/>
  <c r="EH37" i="2"/>
  <c r="EN36" i="2"/>
  <c r="DX53" i="2"/>
  <c r="EA52" i="2"/>
  <c r="DZ50" i="2"/>
  <c r="EH49" i="2"/>
  <c r="EH48" i="2"/>
  <c r="EO47" i="2"/>
  <c r="EC45" i="2"/>
  <c r="EP44" i="2"/>
  <c r="EK43" i="2"/>
  <c r="EI42" i="2"/>
  <c r="ED41" i="2"/>
  <c r="EC40" i="2"/>
  <c r="EB39" i="2"/>
  <c r="EF38" i="2"/>
  <c r="DW53" i="2"/>
  <c r="DZ52" i="2"/>
  <c r="DY50" i="2"/>
  <c r="DY49" i="2"/>
  <c r="EF48" i="2"/>
  <c r="EN47" i="2"/>
  <c r="EB45" i="2"/>
  <c r="EO44" i="2"/>
  <c r="EJ43" i="2"/>
  <c r="EE42" i="2"/>
  <c r="EC41" i="2"/>
  <c r="EC48" i="2"/>
  <c r="EC47" i="2"/>
  <c r="EL46" i="2"/>
  <c r="EL44" i="2"/>
  <c r="EG43" i="2"/>
  <c r="EB42" i="2"/>
  <c r="DW41" i="2"/>
  <c r="DX40" i="2"/>
  <c r="EQ39" i="2"/>
  <c r="DX39" i="2"/>
  <c r="EA38" i="2"/>
  <c r="EC37" i="2"/>
  <c r="EH36" i="2"/>
  <c r="EM35" i="2"/>
  <c r="EA34" i="2"/>
  <c r="EF33" i="2"/>
  <c r="EG37" i="2"/>
  <c r="EF34" i="2"/>
  <c r="EH33" i="2"/>
  <c r="DX49" i="2"/>
  <c r="EI43" i="2"/>
  <c r="EF37" i="2"/>
  <c r="EE34" i="2"/>
  <c r="EH43" i="2"/>
  <c r="EE37" i="2"/>
  <c r="EQ35" i="2"/>
  <c r="ED34" i="2"/>
  <c r="EE48" i="2"/>
  <c r="EA39" i="2"/>
  <c r="ED37" i="2"/>
  <c r="EP35" i="2"/>
  <c r="EC34" i="2"/>
  <c r="ED48" i="2"/>
  <c r="DZ39" i="2"/>
  <c r="EO35" i="2"/>
  <c r="EB34" i="2"/>
  <c r="EM47" i="2"/>
  <c r="ED42" i="2"/>
  <c r="DY39" i="2"/>
  <c r="EA35" i="2"/>
  <c r="EL47" i="2"/>
  <c r="EC42" i="2"/>
  <c r="DZ35" i="2"/>
  <c r="DY35" i="2"/>
  <c r="EM46" i="2"/>
  <c r="EM36" i="2"/>
  <c r="DW35" i="2"/>
  <c r="DY41" i="2"/>
  <c r="ED38" i="2"/>
  <c r="EB38" i="2"/>
  <c r="DX50" i="2"/>
  <c r="EG34" i="2"/>
  <c r="EA45" i="2"/>
  <c r="DZ45" i="2"/>
  <c r="EL36" i="2"/>
  <c r="EM33" i="2"/>
  <c r="EN44" i="2"/>
  <c r="EK36" i="2"/>
  <c r="EL33" i="2"/>
  <c r="EM44" i="2"/>
  <c r="EJ36" i="2"/>
  <c r="EK33" i="2"/>
  <c r="EJ33" i="2"/>
  <c r="DX41" i="2"/>
  <c r="EI33" i="2"/>
  <c r="EB40" i="2"/>
  <c r="DZ40" i="2"/>
  <c r="DY40" i="2"/>
  <c r="EC38" i="2"/>
  <c r="CR53" i="2"/>
  <c r="CB53" i="2"/>
  <c r="CL52" i="2"/>
  <c r="CF51" i="2"/>
  <c r="CP50" i="2"/>
  <c r="BZ50" i="2"/>
  <c r="CJ49" i="2"/>
  <c r="CD48" i="2"/>
  <c r="CN47" i="2"/>
  <c r="CH46" i="2"/>
  <c r="CR45" i="2"/>
  <c r="CB45" i="2"/>
  <c r="CL44" i="2"/>
  <c r="CF43" i="2"/>
  <c r="CP42" i="2"/>
  <c r="BZ42" i="2"/>
  <c r="CJ41" i="2"/>
  <c r="CD40" i="2"/>
  <c r="CN39" i="2"/>
  <c r="CH38" i="2"/>
  <c r="CR37" i="2"/>
  <c r="CB37" i="2"/>
  <c r="CL36" i="2"/>
  <c r="CF35" i="2"/>
  <c r="CP34" i="2"/>
  <c r="BZ34" i="2"/>
  <c r="CJ33" i="2"/>
  <c r="CQ53" i="2"/>
  <c r="CA53" i="2"/>
  <c r="CK52" i="2"/>
  <c r="CE51" i="2"/>
  <c r="CO50" i="2"/>
  <c r="BY50" i="2"/>
  <c r="CI49" i="2"/>
  <c r="CS48" i="2"/>
  <c r="CC48" i="2"/>
  <c r="CM47" i="2"/>
  <c r="CG46" i="2"/>
  <c r="CQ45" i="2"/>
  <c r="CA45" i="2"/>
  <c r="CK44" i="2"/>
  <c r="CE43" i="2"/>
  <c r="CO42" i="2"/>
  <c r="BY42" i="2"/>
  <c r="CP53" i="2"/>
  <c r="BZ53" i="2"/>
  <c r="CJ52" i="2"/>
  <c r="CD51" i="2"/>
  <c r="CN50" i="2"/>
  <c r="CH49" i="2"/>
  <c r="CR48" i="2"/>
  <c r="CB48" i="2"/>
  <c r="CL47" i="2"/>
  <c r="CO53" i="2"/>
  <c r="BY53" i="2"/>
  <c r="CI52" i="2"/>
  <c r="CS51" i="2"/>
  <c r="CC51" i="2"/>
  <c r="CM50" i="2"/>
  <c r="CG49" i="2"/>
  <c r="CQ48" i="2"/>
  <c r="CA48" i="2"/>
  <c r="CK47" i="2"/>
  <c r="CE46" i="2"/>
  <c r="CO45" i="2"/>
  <c r="BY45" i="2"/>
  <c r="CI44" i="2"/>
  <c r="CS43" i="2"/>
  <c r="CC43" i="2"/>
  <c r="CN53" i="2"/>
  <c r="CH52" i="2"/>
  <c r="CR51" i="2"/>
  <c r="CB51" i="2"/>
  <c r="CL50" i="2"/>
  <c r="CF49" i="2"/>
  <c r="CP48" i="2"/>
  <c r="BZ48" i="2"/>
  <c r="CJ47" i="2"/>
  <c r="CD46" i="2"/>
  <c r="CN45" i="2"/>
  <c r="CM53" i="2"/>
  <c r="CG52" i="2"/>
  <c r="CQ51" i="2"/>
  <c r="CA51" i="2"/>
  <c r="CK50" i="2"/>
  <c r="CE49" i="2"/>
  <c r="CO48" i="2"/>
  <c r="BY48" i="2"/>
  <c r="CI47" i="2"/>
  <c r="CS46" i="2"/>
  <c r="CC46" i="2"/>
  <c r="CM45" i="2"/>
  <c r="CG44" i="2"/>
  <c r="CQ43" i="2"/>
  <c r="CA43" i="2"/>
  <c r="CK42" i="2"/>
  <c r="CE41" i="2"/>
  <c r="CO40" i="2"/>
  <c r="BY40" i="2"/>
  <c r="CI39" i="2"/>
  <c r="CS38" i="2"/>
  <c r="CC38" i="2"/>
  <c r="CM37" i="2"/>
  <c r="CG36" i="2"/>
  <c r="CQ35" i="2"/>
  <c r="CA35" i="2"/>
  <c r="CK34" i="2"/>
  <c r="CE33" i="2"/>
  <c r="CL53" i="2"/>
  <c r="CF52" i="2"/>
  <c r="CP51" i="2"/>
  <c r="BZ51" i="2"/>
  <c r="CJ50" i="2"/>
  <c r="CD49" i="2"/>
  <c r="CN48" i="2"/>
  <c r="CH47" i="2"/>
  <c r="CR46" i="2"/>
  <c r="CB46" i="2"/>
  <c r="CL45" i="2"/>
  <c r="CF44" i="2"/>
  <c r="CP43" i="2"/>
  <c r="BZ43" i="2"/>
  <c r="CJ42" i="2"/>
  <c r="CD41" i="2"/>
  <c r="CN40" i="2"/>
  <c r="CH39" i="2"/>
  <c r="CR38" i="2"/>
  <c r="CB38" i="2"/>
  <c r="CL37" i="2"/>
  <c r="CF36" i="2"/>
  <c r="CP35" i="2"/>
  <c r="BZ35" i="2"/>
  <c r="CJ34" i="2"/>
  <c r="CD33" i="2"/>
  <c r="CK53" i="2"/>
  <c r="CE52" i="2"/>
  <c r="CO51" i="2"/>
  <c r="BY51" i="2"/>
  <c r="CI50" i="2"/>
  <c r="CS49" i="2"/>
  <c r="CC49" i="2"/>
  <c r="CM48" i="2"/>
  <c r="CG47" i="2"/>
  <c r="CQ46" i="2"/>
  <c r="CA46" i="2"/>
  <c r="CK45" i="2"/>
  <c r="CE44" i="2"/>
  <c r="CO43" i="2"/>
  <c r="BY43" i="2"/>
  <c r="CI42" i="2"/>
  <c r="CS41" i="2"/>
  <c r="CC41" i="2"/>
  <c r="CM40" i="2"/>
  <c r="CG39" i="2"/>
  <c r="CQ38" i="2"/>
  <c r="CA38" i="2"/>
  <c r="CK37" i="2"/>
  <c r="CE36" i="2"/>
  <c r="CO35" i="2"/>
  <c r="BY35" i="2"/>
  <c r="CI34" i="2"/>
  <c r="CS33" i="2"/>
  <c r="CC33" i="2"/>
  <c r="CJ53" i="2"/>
  <c r="CD52" i="2"/>
  <c r="CN51" i="2"/>
  <c r="CH50" i="2"/>
  <c r="CR49" i="2"/>
  <c r="CB49" i="2"/>
  <c r="CL48" i="2"/>
  <c r="CF47" i="2"/>
  <c r="CP46" i="2"/>
  <c r="BZ46" i="2"/>
  <c r="CJ45" i="2"/>
  <c r="CD44" i="2"/>
  <c r="CN43" i="2"/>
  <c r="CH42" i="2"/>
  <c r="CR41" i="2"/>
  <c r="CB41" i="2"/>
  <c r="CL40" i="2"/>
  <c r="CF39" i="2"/>
  <c r="CP38" i="2"/>
  <c r="BZ38" i="2"/>
  <c r="CJ37" i="2"/>
  <c r="CD36" i="2"/>
  <c r="CN35" i="2"/>
  <c r="CH34" i="2"/>
  <c r="CI53" i="2"/>
  <c r="CS52" i="2"/>
  <c r="CC52" i="2"/>
  <c r="CH53" i="2"/>
  <c r="CR52" i="2"/>
  <c r="CF53" i="2"/>
  <c r="CP52" i="2"/>
  <c r="BZ52" i="2"/>
  <c r="CJ51" i="2"/>
  <c r="CD50" i="2"/>
  <c r="CN49" i="2"/>
  <c r="CH48" i="2"/>
  <c r="CR47" i="2"/>
  <c r="CB47" i="2"/>
  <c r="CL46" i="2"/>
  <c r="CF45" i="2"/>
  <c r="CP44" i="2"/>
  <c r="BZ44" i="2"/>
  <c r="CJ43" i="2"/>
  <c r="CD42" i="2"/>
  <c r="CN41" i="2"/>
  <c r="CH40" i="2"/>
  <c r="CR39" i="2"/>
  <c r="CB39" i="2"/>
  <c r="CL38" i="2"/>
  <c r="CF37" i="2"/>
  <c r="CP36" i="2"/>
  <c r="CL51" i="2"/>
  <c r="CQ50" i="2"/>
  <c r="CM49" i="2"/>
  <c r="CJ48" i="2"/>
  <c r="CO47" i="2"/>
  <c r="CK46" i="2"/>
  <c r="CS45" i="2"/>
  <c r="CS44" i="2"/>
  <c r="CM42" i="2"/>
  <c r="BY41" i="2"/>
  <c r="CQ40" i="2"/>
  <c r="CE39" i="2"/>
  <c r="CO37" i="2"/>
  <c r="CC36" i="2"/>
  <c r="CB35" i="2"/>
  <c r="CS34" i="2"/>
  <c r="CO33" i="2"/>
  <c r="CQ52" i="2"/>
  <c r="CK51" i="2"/>
  <c r="CG50" i="2"/>
  <c r="CL49" i="2"/>
  <c r="CI48" i="2"/>
  <c r="CE47" i="2"/>
  <c r="CJ46" i="2"/>
  <c r="CP45" i="2"/>
  <c r="CR44" i="2"/>
  <c r="CL42" i="2"/>
  <c r="CP40" i="2"/>
  <c r="CD39" i="2"/>
  <c r="CN37" i="2"/>
  <c r="CB36" i="2"/>
  <c r="CR34" i="2"/>
  <c r="CN33" i="2"/>
  <c r="CO52" i="2"/>
  <c r="CI51" i="2"/>
  <c r="CF50" i="2"/>
  <c r="CK49" i="2"/>
  <c r="CG48" i="2"/>
  <c r="CD47" i="2"/>
  <c r="CI46" i="2"/>
  <c r="CI45" i="2"/>
  <c r="CQ44" i="2"/>
  <c r="CG42" i="2"/>
  <c r="CK40" i="2"/>
  <c r="CC39" i="2"/>
  <c r="CI37" i="2"/>
  <c r="CA36" i="2"/>
  <c r="CQ34" i="2"/>
  <c r="CM33" i="2"/>
  <c r="CN52" i="2"/>
  <c r="CH51" i="2"/>
  <c r="CE50" i="2"/>
  <c r="CA49" i="2"/>
  <c r="CF48" i="2"/>
  <c r="CC47" i="2"/>
  <c r="CF46" i="2"/>
  <c r="CH45" i="2"/>
  <c r="CO44" i="2"/>
  <c r="CF42" i="2"/>
  <c r="CJ40" i="2"/>
  <c r="CA39" i="2"/>
  <c r="CH37" i="2"/>
  <c r="BZ36" i="2"/>
  <c r="CO34" i="2"/>
  <c r="CL33" i="2"/>
  <c r="CM52" i="2"/>
  <c r="CG51" i="2"/>
  <c r="CC50" i="2"/>
  <c r="BZ49" i="2"/>
  <c r="CE48" i="2"/>
  <c r="CA47" i="2"/>
  <c r="BY46" i="2"/>
  <c r="CG45" i="2"/>
  <c r="CN44" i="2"/>
  <c r="CE42" i="2"/>
  <c r="CQ41" i="2"/>
  <c r="CI40" i="2"/>
  <c r="BZ39" i="2"/>
  <c r="CO38" i="2"/>
  <c r="CG37" i="2"/>
  <c r="BY36" i="2"/>
  <c r="CS35" i="2"/>
  <c r="CN34" i="2"/>
  <c r="CK33" i="2"/>
  <c r="CB52" i="2"/>
  <c r="CB50" i="2"/>
  <c r="BY49" i="2"/>
  <c r="BZ47" i="2"/>
  <c r="CE45" i="2"/>
  <c r="CM44" i="2"/>
  <c r="CC42" i="2"/>
  <c r="CP41" i="2"/>
  <c r="CG40" i="2"/>
  <c r="BY39" i="2"/>
  <c r="CN38" i="2"/>
  <c r="CE37" i="2"/>
  <c r="CR35" i="2"/>
  <c r="CM34" i="2"/>
  <c r="CI33" i="2"/>
  <c r="CA52" i="2"/>
  <c r="CA50" i="2"/>
  <c r="BY47" i="2"/>
  <c r="CD45" i="2"/>
  <c r="CJ44" i="2"/>
  <c r="CB42" i="2"/>
  <c r="CO41" i="2"/>
  <c r="CF40" i="2"/>
  <c r="CM38" i="2"/>
  <c r="CD37" i="2"/>
  <c r="CS36" i="2"/>
  <c r="CM35" i="2"/>
  <c r="CL34" i="2"/>
  <c r="CH33" i="2"/>
  <c r="BY52" i="2"/>
  <c r="CC45" i="2"/>
  <c r="CH44" i="2"/>
  <c r="CR43" i="2"/>
  <c r="CA42" i="2"/>
  <c r="CM41" i="2"/>
  <c r="CE40" i="2"/>
  <c r="CK38" i="2"/>
  <c r="CC37" i="2"/>
  <c r="CR36" i="2"/>
  <c r="CL35" i="2"/>
  <c r="CG34" i="2"/>
  <c r="CG33" i="2"/>
  <c r="CS53" i="2"/>
  <c r="BZ45" i="2"/>
  <c r="CC44" i="2"/>
  <c r="CM43" i="2"/>
  <c r="CL41" i="2"/>
  <c r="CC40" i="2"/>
  <c r="CS39" i="2"/>
  <c r="CJ38" i="2"/>
  <c r="CA37" i="2"/>
  <c r="CQ36" i="2"/>
  <c r="CK35" i="2"/>
  <c r="CF34" i="2"/>
  <c r="CF33" i="2"/>
  <c r="CG53" i="2"/>
  <c r="CB44" i="2"/>
  <c r="CL43" i="2"/>
  <c r="CK41" i="2"/>
  <c r="CB40" i="2"/>
  <c r="CQ39" i="2"/>
  <c r="CI38" i="2"/>
  <c r="BZ37" i="2"/>
  <c r="CO36" i="2"/>
  <c r="CJ35" i="2"/>
  <c r="CE34" i="2"/>
  <c r="CB33" i="2"/>
  <c r="CE53" i="2"/>
  <c r="CA44" i="2"/>
  <c r="CK43" i="2"/>
  <c r="CI41" i="2"/>
  <c r="CA40" i="2"/>
  <c r="CP39" i="2"/>
  <c r="CG38" i="2"/>
  <c r="BY37" i="2"/>
  <c r="CN36" i="2"/>
  <c r="CI35" i="2"/>
  <c r="CD34" i="2"/>
  <c r="CA33" i="2"/>
  <c r="CD53" i="2"/>
  <c r="BY44" i="2"/>
  <c r="CI43" i="2"/>
  <c r="CH41" i="2"/>
  <c r="BZ40" i="2"/>
  <c r="CO39" i="2"/>
  <c r="CF38" i="2"/>
  <c r="CM36" i="2"/>
  <c r="CH35" i="2"/>
  <c r="CC34" i="2"/>
  <c r="BZ33" i="2"/>
  <c r="CC53" i="2"/>
  <c r="CH43" i="2"/>
  <c r="CS42" i="2"/>
  <c r="CG41" i="2"/>
  <c r="CM39" i="2"/>
  <c r="CE38" i="2"/>
  <c r="CQ49" i="2"/>
  <c r="CS47" i="2"/>
  <c r="CO46" i="2"/>
  <c r="CG43" i="2"/>
  <c r="CR42" i="2"/>
  <c r="CF41" i="2"/>
  <c r="CL39" i="2"/>
  <c r="CD38" i="2"/>
  <c r="CS37" i="2"/>
  <c r="CJ36" i="2"/>
  <c r="CE35" i="2"/>
  <c r="CA34" i="2"/>
  <c r="CP47" i="2"/>
  <c r="BZ41" i="2"/>
  <c r="CN46" i="2"/>
  <c r="CS40" i="2"/>
  <c r="CK36" i="2"/>
  <c r="CR33" i="2"/>
  <c r="CM46" i="2"/>
  <c r="CR40" i="2"/>
  <c r="CI36" i="2"/>
  <c r="CQ33" i="2"/>
  <c r="CH36" i="2"/>
  <c r="CP33" i="2"/>
  <c r="BY33" i="2"/>
  <c r="CK39" i="2"/>
  <c r="CJ39" i="2"/>
  <c r="CG35" i="2"/>
  <c r="CM51" i="2"/>
  <c r="CD35" i="2"/>
  <c r="CS50" i="2"/>
  <c r="CD43" i="2"/>
  <c r="BY38" i="2"/>
  <c r="CC35" i="2"/>
  <c r="CR50" i="2"/>
  <c r="CB43" i="2"/>
  <c r="CP49" i="2"/>
  <c r="CQ42" i="2"/>
  <c r="CO49" i="2"/>
  <c r="CN42" i="2"/>
  <c r="CQ37" i="2"/>
  <c r="CQ47" i="2"/>
  <c r="CA41" i="2"/>
  <c r="CB34" i="2"/>
  <c r="BY34" i="2"/>
  <c r="CK48" i="2"/>
  <c r="AI53" i="2"/>
  <c r="AS52" i="2"/>
  <c r="AC52" i="2"/>
  <c r="AM51" i="2"/>
  <c r="AG50" i="2"/>
  <c r="AQ49" i="2"/>
  <c r="AA49" i="2"/>
  <c r="AK48" i="2"/>
  <c r="AU47" i="2"/>
  <c r="AE47" i="2"/>
  <c r="AO46" i="2"/>
  <c r="AI45" i="2"/>
  <c r="AS44" i="2"/>
  <c r="AC44" i="2"/>
  <c r="AM43" i="2"/>
  <c r="AG42" i="2"/>
  <c r="AQ41" i="2"/>
  <c r="AA41" i="2"/>
  <c r="AK40" i="2"/>
  <c r="AU39" i="2"/>
  <c r="AE39" i="2"/>
  <c r="AO38" i="2"/>
  <c r="AI37" i="2"/>
  <c r="AS36" i="2"/>
  <c r="AC36" i="2"/>
  <c r="AM35" i="2"/>
  <c r="AG34" i="2"/>
  <c r="AQ33" i="2"/>
  <c r="AA33" i="2"/>
  <c r="AH53" i="2"/>
  <c r="AR52" i="2"/>
  <c r="AB52" i="2"/>
  <c r="AL51" i="2"/>
  <c r="AF50" i="2"/>
  <c r="AP49" i="2"/>
  <c r="AJ48" i="2"/>
  <c r="AT47" i="2"/>
  <c r="AD47" i="2"/>
  <c r="AN46" i="2"/>
  <c r="AH45" i="2"/>
  <c r="AR44" i="2"/>
  <c r="AB44" i="2"/>
  <c r="AL43" i="2"/>
  <c r="AF42" i="2"/>
  <c r="AP41" i="2"/>
  <c r="AJ40" i="2"/>
  <c r="AT39" i="2"/>
  <c r="AD39" i="2"/>
  <c r="AN38" i="2"/>
  <c r="AH37" i="2"/>
  <c r="AR36" i="2"/>
  <c r="AB36" i="2"/>
  <c r="AL35" i="2"/>
  <c r="AF34" i="2"/>
  <c r="AP33" i="2"/>
  <c r="AG53" i="2"/>
  <c r="AQ52" i="2"/>
  <c r="AA52" i="2"/>
  <c r="AK51" i="2"/>
  <c r="AU50" i="2"/>
  <c r="AE50" i="2"/>
  <c r="AO49" i="2"/>
  <c r="AI48" i="2"/>
  <c r="AS47" i="2"/>
  <c r="AC47" i="2"/>
  <c r="AM46" i="2"/>
  <c r="AG45" i="2"/>
  <c r="AQ44" i="2"/>
  <c r="AA44" i="2"/>
  <c r="AK43" i="2"/>
  <c r="AU42" i="2"/>
  <c r="AE42" i="2"/>
  <c r="AO41" i="2"/>
  <c r="AI40" i="2"/>
  <c r="AS39" i="2"/>
  <c r="AC39" i="2"/>
  <c r="AM38" i="2"/>
  <c r="AG37" i="2"/>
  <c r="AQ36" i="2"/>
  <c r="AA36" i="2"/>
  <c r="AK35" i="2"/>
  <c r="AU34" i="2"/>
  <c r="AE34" i="2"/>
  <c r="AO33" i="2"/>
  <c r="AF53" i="2"/>
  <c r="AP52" i="2"/>
  <c r="AJ51" i="2"/>
  <c r="AT50" i="2"/>
  <c r="AD50" i="2"/>
  <c r="AN49" i="2"/>
  <c r="AH48" i="2"/>
  <c r="AR47" i="2"/>
  <c r="AB47" i="2"/>
  <c r="AL46" i="2"/>
  <c r="AF45" i="2"/>
  <c r="AP44" i="2"/>
  <c r="AJ43" i="2"/>
  <c r="AT42" i="2"/>
  <c r="AD42" i="2"/>
  <c r="AN41" i="2"/>
  <c r="AH40" i="2"/>
  <c r="AR39" i="2"/>
  <c r="AB39" i="2"/>
  <c r="AL38" i="2"/>
  <c r="AF37" i="2"/>
  <c r="AP36" i="2"/>
  <c r="AJ35" i="2"/>
  <c r="AT34" i="2"/>
  <c r="AD34" i="2"/>
  <c r="AN33" i="2"/>
  <c r="AU53" i="2"/>
  <c r="AE53" i="2"/>
  <c r="AO52" i="2"/>
  <c r="AI51" i="2"/>
  <c r="AS50" i="2"/>
  <c r="AC50" i="2"/>
  <c r="AM49" i="2"/>
  <c r="AG48" i="2"/>
  <c r="AQ47" i="2"/>
  <c r="AA47" i="2"/>
  <c r="AK46" i="2"/>
  <c r="AU45" i="2"/>
  <c r="AE45" i="2"/>
  <c r="AO44" i="2"/>
  <c r="AI43" i="2"/>
  <c r="AS42" i="2"/>
  <c r="AC42" i="2"/>
  <c r="AM41" i="2"/>
  <c r="AG40" i="2"/>
  <c r="AQ39" i="2"/>
  <c r="AA39" i="2"/>
  <c r="AK38" i="2"/>
  <c r="AU37" i="2"/>
  <c r="AT53" i="2"/>
  <c r="AD53" i="2"/>
  <c r="AN52" i="2"/>
  <c r="AS53" i="2"/>
  <c r="AC53" i="2"/>
  <c r="AM52" i="2"/>
  <c r="AG51" i="2"/>
  <c r="AQ50" i="2"/>
  <c r="AA50" i="2"/>
  <c r="AK49" i="2"/>
  <c r="AU48" i="2"/>
  <c r="AE48" i="2"/>
  <c r="AO47" i="2"/>
  <c r="AI46" i="2"/>
  <c r="AS45" i="2"/>
  <c r="AC45" i="2"/>
  <c r="AM44" i="2"/>
  <c r="AR53" i="2"/>
  <c r="AB53" i="2"/>
  <c r="AL52" i="2"/>
  <c r="AF51" i="2"/>
  <c r="AP50" i="2"/>
  <c r="AJ49" i="2"/>
  <c r="AT48" i="2"/>
  <c r="AD48" i="2"/>
  <c r="AN47" i="2"/>
  <c r="AQ53" i="2"/>
  <c r="AA53" i="2"/>
  <c r="AK52" i="2"/>
  <c r="AU51" i="2"/>
  <c r="AE51" i="2"/>
  <c r="AO50" i="2"/>
  <c r="CP37" i="2"/>
  <c r="AP53" i="2"/>
  <c r="AJ52" i="2"/>
  <c r="AT51" i="2"/>
  <c r="AD51" i="2"/>
  <c r="AN50" i="2"/>
  <c r="AO53" i="2"/>
  <c r="AI52" i="2"/>
  <c r="AS51" i="2"/>
  <c r="AC51" i="2"/>
  <c r="AM50" i="2"/>
  <c r="AG49" i="2"/>
  <c r="AQ48" i="2"/>
  <c r="AA48" i="2"/>
  <c r="AK47" i="2"/>
  <c r="AU46" i="2"/>
  <c r="AN53" i="2"/>
  <c r="AH52" i="2"/>
  <c r="AR51" i="2"/>
  <c r="AB51" i="2"/>
  <c r="AL50" i="2"/>
  <c r="AF49" i="2"/>
  <c r="AM53" i="2"/>
  <c r="AG52" i="2"/>
  <c r="AQ51" i="2"/>
  <c r="AA51" i="2"/>
  <c r="AH51" i="2"/>
  <c r="AC48" i="2"/>
  <c r="AM47" i="2"/>
  <c r="AN45" i="2"/>
  <c r="AF44" i="2"/>
  <c r="AA43" i="2"/>
  <c r="AQ42" i="2"/>
  <c r="AL41" i="2"/>
  <c r="AL40" i="2"/>
  <c r="AG39" i="2"/>
  <c r="AB38" i="2"/>
  <c r="AR37" i="2"/>
  <c r="AT36" i="2"/>
  <c r="AR35" i="2"/>
  <c r="AP34" i="2"/>
  <c r="AR33" i="2"/>
  <c r="AB48" i="2"/>
  <c r="AL47" i="2"/>
  <c r="AM45" i="2"/>
  <c r="AE44" i="2"/>
  <c r="AU43" i="2"/>
  <c r="AP42" i="2"/>
  <c r="AK41" i="2"/>
  <c r="AF40" i="2"/>
  <c r="AF39" i="2"/>
  <c r="AA38" i="2"/>
  <c r="AQ37" i="2"/>
  <c r="AO36" i="2"/>
  <c r="AQ35" i="2"/>
  <c r="AO34" i="2"/>
  <c r="AM33" i="2"/>
  <c r="AJ47" i="2"/>
  <c r="AT46" i="2"/>
  <c r="AL45" i="2"/>
  <c r="AD44" i="2"/>
  <c r="AT43" i="2"/>
  <c r="AO42" i="2"/>
  <c r="AJ41" i="2"/>
  <c r="AE40" i="2"/>
  <c r="AU38" i="2"/>
  <c r="AP37" i="2"/>
  <c r="AN36" i="2"/>
  <c r="AP35" i="2"/>
  <c r="AN34" i="2"/>
  <c r="AL33" i="2"/>
  <c r="AI47" i="2"/>
  <c r="AS46" i="2"/>
  <c r="AK45" i="2"/>
  <c r="AS43" i="2"/>
  <c r="AN42" i="2"/>
  <c r="AI41" i="2"/>
  <c r="AD40" i="2"/>
  <c r="AT38" i="2"/>
  <c r="AO37" i="2"/>
  <c r="AM36" i="2"/>
  <c r="AO35" i="2"/>
  <c r="AM34" i="2"/>
  <c r="AK33" i="2"/>
  <c r="AU52" i="2"/>
  <c r="AH47" i="2"/>
  <c r="AR46" i="2"/>
  <c r="AJ45" i="2"/>
  <c r="AR43" i="2"/>
  <c r="AM42" i="2"/>
  <c r="AH41" i="2"/>
  <c r="AC40" i="2"/>
  <c r="AS38" i="2"/>
  <c r="AN37" i="2"/>
  <c r="AL36" i="2"/>
  <c r="AN35" i="2"/>
  <c r="AL34" i="2"/>
  <c r="AJ33" i="2"/>
  <c r="AT52" i="2"/>
  <c r="AU49" i="2"/>
  <c r="AG47" i="2"/>
  <c r="AQ46" i="2"/>
  <c r="AD45" i="2"/>
  <c r="AQ43" i="2"/>
  <c r="AL42" i="2"/>
  <c r="AG41" i="2"/>
  <c r="AB40" i="2"/>
  <c r="AR38" i="2"/>
  <c r="AM37" i="2"/>
  <c r="AK36" i="2"/>
  <c r="AI35" i="2"/>
  <c r="AK34" i="2"/>
  <c r="AI33" i="2"/>
  <c r="AF52" i="2"/>
  <c r="AT49" i="2"/>
  <c r="AF47" i="2"/>
  <c r="AP46" i="2"/>
  <c r="AB45" i="2"/>
  <c r="AP43" i="2"/>
  <c r="AK42" i="2"/>
  <c r="AF41" i="2"/>
  <c r="AA40" i="2"/>
  <c r="AQ38" i="2"/>
  <c r="AL37" i="2"/>
  <c r="AJ36" i="2"/>
  <c r="AH35" i="2"/>
  <c r="AJ34" i="2"/>
  <c r="AH33" i="2"/>
  <c r="AE52" i="2"/>
  <c r="AS49" i="2"/>
  <c r="AJ46" i="2"/>
  <c r="AA45" i="2"/>
  <c r="AU44" i="2"/>
  <c r="AO43" i="2"/>
  <c r="AJ42" i="2"/>
  <c r="AE41" i="2"/>
  <c r="AU40" i="2"/>
  <c r="AP39" i="2"/>
  <c r="AP38" i="2"/>
  <c r="AK37" i="2"/>
  <c r="AI36" i="2"/>
  <c r="AG35" i="2"/>
  <c r="AI34" i="2"/>
  <c r="AG33" i="2"/>
  <c r="AD52" i="2"/>
  <c r="AR50" i="2"/>
  <c r="AR49" i="2"/>
  <c r="AS48" i="2"/>
  <c r="AH46" i="2"/>
  <c r="AT44" i="2"/>
  <c r="AN43" i="2"/>
  <c r="AI42" i="2"/>
  <c r="AD41" i="2"/>
  <c r="AT40" i="2"/>
  <c r="AO39" i="2"/>
  <c r="AJ38" i="2"/>
  <c r="AJ37" i="2"/>
  <c r="AH36" i="2"/>
  <c r="AF35" i="2"/>
  <c r="AH34" i="2"/>
  <c r="AF33" i="2"/>
  <c r="AK50" i="2"/>
  <c r="AL49" i="2"/>
  <c r="AR48" i="2"/>
  <c r="AG46" i="2"/>
  <c r="AN44" i="2"/>
  <c r="AH43" i="2"/>
  <c r="AH42" i="2"/>
  <c r="AC41" i="2"/>
  <c r="AS40" i="2"/>
  <c r="AN39" i="2"/>
  <c r="AI38" i="2"/>
  <c r="AE37" i="2"/>
  <c r="AG36" i="2"/>
  <c r="AE35" i="2"/>
  <c r="AC34" i="2"/>
  <c r="AE33" i="2"/>
  <c r="AJ50" i="2"/>
  <c r="AI49" i="2"/>
  <c r="AP48" i="2"/>
  <c r="AF46" i="2"/>
  <c r="AL44" i="2"/>
  <c r="AG43" i="2"/>
  <c r="AB42" i="2"/>
  <c r="AB41" i="2"/>
  <c r="AR40" i="2"/>
  <c r="AM39" i="2"/>
  <c r="AH38" i="2"/>
  <c r="AD37" i="2"/>
  <c r="AF36" i="2"/>
  <c r="AD35" i="2"/>
  <c r="AB34" i="2"/>
  <c r="AD33" i="2"/>
  <c r="AI50" i="2"/>
  <c r="AH49" i="2"/>
  <c r="AO48" i="2"/>
  <c r="AE46" i="2"/>
  <c r="AT45" i="2"/>
  <c r="AK44" i="2"/>
  <c r="AF43" i="2"/>
  <c r="AA42" i="2"/>
  <c r="AQ40" i="2"/>
  <c r="AL39" i="2"/>
  <c r="AG38" i="2"/>
  <c r="AC37" i="2"/>
  <c r="AE36" i="2"/>
  <c r="AC35" i="2"/>
  <c r="AA34" i="2"/>
  <c r="AC33" i="2"/>
  <c r="AH50" i="2"/>
  <c r="AE49" i="2"/>
  <c r="AN48" i="2"/>
  <c r="AD46" i="2"/>
  <c r="AR45" i="2"/>
  <c r="AJ44" i="2"/>
  <c r="AE43" i="2"/>
  <c r="AU41" i="2"/>
  <c r="AP40" i="2"/>
  <c r="AK39" i="2"/>
  <c r="AF38" i="2"/>
  <c r="AB37" i="2"/>
  <c r="AD36" i="2"/>
  <c r="AB35" i="2"/>
  <c r="AB33" i="2"/>
  <c r="AN51" i="2"/>
  <c r="AC46" i="2"/>
  <c r="AC43" i="2"/>
  <c r="AM40" i="2"/>
  <c r="AA37" i="2"/>
  <c r="AR34" i="2"/>
  <c r="AF48" i="2"/>
  <c r="AB50" i="2"/>
  <c r="AB46" i="2"/>
  <c r="AB43" i="2"/>
  <c r="AQ34" i="2"/>
  <c r="AA46" i="2"/>
  <c r="AQ45" i="2"/>
  <c r="AS41" i="2"/>
  <c r="AA35" i="2"/>
  <c r="AP51" i="2"/>
  <c r="AS34" i="2"/>
  <c r="AD49" i="2"/>
  <c r="AP45" i="2"/>
  <c r="AR42" i="2"/>
  <c r="AJ39" i="2"/>
  <c r="AI44" i="2"/>
  <c r="AC49" i="2"/>
  <c r="AO45" i="2"/>
  <c r="AI39" i="2"/>
  <c r="AU36" i="2"/>
  <c r="AU33" i="2"/>
  <c r="AS33" i="2"/>
  <c r="AK53" i="2"/>
  <c r="AD43" i="2"/>
  <c r="AB49" i="2"/>
  <c r="AH39" i="2"/>
  <c r="AT33" i="2"/>
  <c r="AU35" i="2"/>
  <c r="AP47" i="2"/>
  <c r="AM48" i="2"/>
  <c r="AL48" i="2"/>
  <c r="AT41" i="2"/>
  <c r="AJ53" i="2"/>
  <c r="AH44" i="2"/>
  <c r="AR41" i="2"/>
  <c r="AE38" i="2"/>
  <c r="AT35" i="2"/>
  <c r="AO51" i="2"/>
  <c r="AL53" i="2"/>
  <c r="AG44" i="2"/>
  <c r="AD38" i="2"/>
  <c r="AS35" i="2"/>
  <c r="AC38" i="2"/>
  <c r="AT37" i="2"/>
  <c r="AO40" i="2"/>
  <c r="AN40" i="2"/>
  <c r="AS37" i="2"/>
  <c r="C18" i="1"/>
  <c r="DK53" i="2"/>
  <c r="DE52" i="2"/>
  <c r="DO51" i="2"/>
  <c r="CY51" i="2"/>
  <c r="DM53" i="2"/>
  <c r="DC52" i="2"/>
  <c r="DK51" i="2"/>
  <c r="DD50" i="2"/>
  <c r="DN49" i="2"/>
  <c r="DH48" i="2"/>
  <c r="DR47" i="2"/>
  <c r="DB47" i="2"/>
  <c r="DL46" i="2"/>
  <c r="DF45" i="2"/>
  <c r="DP44" i="2"/>
  <c r="CZ44" i="2"/>
  <c r="DJ43" i="2"/>
  <c r="DD42" i="2"/>
  <c r="DN41" i="2"/>
  <c r="DH40" i="2"/>
  <c r="DR39" i="2"/>
  <c r="DB39" i="2"/>
  <c r="DL38" i="2"/>
  <c r="DF37" i="2"/>
  <c r="DP36" i="2"/>
  <c r="CZ36" i="2"/>
  <c r="DJ35" i="2"/>
  <c r="DD34" i="2"/>
  <c r="DN33" i="2"/>
  <c r="DL53" i="2"/>
  <c r="DS52" i="2"/>
  <c r="DB52" i="2"/>
  <c r="DJ51" i="2"/>
  <c r="DS50" i="2"/>
  <c r="DC50" i="2"/>
  <c r="DM49" i="2"/>
  <c r="DG48" i="2"/>
  <c r="DQ47" i="2"/>
  <c r="DA47" i="2"/>
  <c r="DK46" i="2"/>
  <c r="DE45" i="2"/>
  <c r="DO44" i="2"/>
  <c r="CY44" i="2"/>
  <c r="DI43" i="2"/>
  <c r="DS42" i="2"/>
  <c r="DC42" i="2"/>
  <c r="DJ53" i="2"/>
  <c r="DR52" i="2"/>
  <c r="DA52" i="2"/>
  <c r="DI51" i="2"/>
  <c r="DR50" i="2"/>
  <c r="DB50" i="2"/>
  <c r="DL49" i="2"/>
  <c r="DF48" i="2"/>
  <c r="DP47" i="2"/>
  <c r="CZ47" i="2"/>
  <c r="DJ46" i="2"/>
  <c r="DI53" i="2"/>
  <c r="DQ52" i="2"/>
  <c r="CZ52" i="2"/>
  <c r="DH51" i="2"/>
  <c r="DQ50" i="2"/>
  <c r="DA50" i="2"/>
  <c r="DK49" i="2"/>
  <c r="DE48" i="2"/>
  <c r="DO47" i="2"/>
  <c r="CY47" i="2"/>
  <c r="DI46" i="2"/>
  <c r="DS45" i="2"/>
  <c r="DC45" i="2"/>
  <c r="DH53" i="2"/>
  <c r="DP52" i="2"/>
  <c r="CY52" i="2"/>
  <c r="DG51" i="2"/>
  <c r="DP50" i="2"/>
  <c r="CZ50" i="2"/>
  <c r="DJ49" i="2"/>
  <c r="DD48" i="2"/>
  <c r="DN47" i="2"/>
  <c r="DH46" i="2"/>
  <c r="DG53" i="2"/>
  <c r="DO52" i="2"/>
  <c r="DF51" i="2"/>
  <c r="DO50" i="2"/>
  <c r="CY50" i="2"/>
  <c r="DI49" i="2"/>
  <c r="DS48" i="2"/>
  <c r="DC48" i="2"/>
  <c r="DM47" i="2"/>
  <c r="DG46" i="2"/>
  <c r="DQ45" i="2"/>
  <c r="DA45" i="2"/>
  <c r="DK44" i="2"/>
  <c r="DE43" i="2"/>
  <c r="DO42" i="2"/>
  <c r="CY42" i="2"/>
  <c r="DI41" i="2"/>
  <c r="DS40" i="2"/>
  <c r="DC40" i="2"/>
  <c r="DM39" i="2"/>
  <c r="DG38" i="2"/>
  <c r="DQ37" i="2"/>
  <c r="DA37" i="2"/>
  <c r="DK36" i="2"/>
  <c r="DE35" i="2"/>
  <c r="DO34" i="2"/>
  <c r="CY34" i="2"/>
  <c r="DF53" i="2"/>
  <c r="DN52" i="2"/>
  <c r="DE51" i="2"/>
  <c r="DN50" i="2"/>
  <c r="DH49" i="2"/>
  <c r="DR48" i="2"/>
  <c r="DB48" i="2"/>
  <c r="DL47" i="2"/>
  <c r="DF46" i="2"/>
  <c r="DP45" i="2"/>
  <c r="CZ45" i="2"/>
  <c r="DJ44" i="2"/>
  <c r="DD43" i="2"/>
  <c r="DN42" i="2"/>
  <c r="DH41" i="2"/>
  <c r="DR40" i="2"/>
  <c r="DB40" i="2"/>
  <c r="DL39" i="2"/>
  <c r="DF38" i="2"/>
  <c r="DE53" i="2"/>
  <c r="DM52" i="2"/>
  <c r="DD51" i="2"/>
  <c r="DM50" i="2"/>
  <c r="DG49" i="2"/>
  <c r="DQ48" i="2"/>
  <c r="DA48" i="2"/>
  <c r="DK47" i="2"/>
  <c r="DE46" i="2"/>
  <c r="DO45" i="2"/>
  <c r="CY45" i="2"/>
  <c r="DI44" i="2"/>
  <c r="DS43" i="2"/>
  <c r="DC43" i="2"/>
  <c r="DM42" i="2"/>
  <c r="DG41" i="2"/>
  <c r="DQ40" i="2"/>
  <c r="DA40" i="2"/>
  <c r="DS53" i="2"/>
  <c r="DB53" i="2"/>
  <c r="DJ52" i="2"/>
  <c r="DR51" i="2"/>
  <c r="DA51" i="2"/>
  <c r="DJ50" i="2"/>
  <c r="DD49" i="2"/>
  <c r="DN48" i="2"/>
  <c r="DN53" i="2"/>
  <c r="DD52" i="2"/>
  <c r="DO53" i="2"/>
  <c r="DH52" i="2"/>
  <c r="DC51" i="2"/>
  <c r="DI50" i="2"/>
  <c r="DQ49" i="2"/>
  <c r="DB46" i="2"/>
  <c r="DN45" i="2"/>
  <c r="DH44" i="2"/>
  <c r="DF43" i="2"/>
  <c r="DA42" i="2"/>
  <c r="DS41" i="2"/>
  <c r="CY41" i="2"/>
  <c r="CZ39" i="2"/>
  <c r="DB38" i="2"/>
  <c r="DG37" i="2"/>
  <c r="DL36" i="2"/>
  <c r="DQ35" i="2"/>
  <c r="CY35" i="2"/>
  <c r="DE34" i="2"/>
  <c r="DJ33" i="2"/>
  <c r="DD53" i="2"/>
  <c r="DG52" i="2"/>
  <c r="DB51" i="2"/>
  <c r="DH50" i="2"/>
  <c r="DP49" i="2"/>
  <c r="DP48" i="2"/>
  <c r="DA46" i="2"/>
  <c r="DM45" i="2"/>
  <c r="DG44" i="2"/>
  <c r="DB43" i="2"/>
  <c r="CZ42" i="2"/>
  <c r="DR41" i="2"/>
  <c r="DP40" i="2"/>
  <c r="DS39" i="2"/>
  <c r="CY39" i="2"/>
  <c r="DA38" i="2"/>
  <c r="DE37" i="2"/>
  <c r="DJ36" i="2"/>
  <c r="DP35" i="2"/>
  <c r="DC34" i="2"/>
  <c r="DI33" i="2"/>
  <c r="DC53" i="2"/>
  <c r="DF52" i="2"/>
  <c r="CZ51" i="2"/>
  <c r="DG50" i="2"/>
  <c r="DO49" i="2"/>
  <c r="DO48" i="2"/>
  <c r="CZ46" i="2"/>
  <c r="DL45" i="2"/>
  <c r="DF44" i="2"/>
  <c r="DA43" i="2"/>
  <c r="DQ41" i="2"/>
  <c r="DO40" i="2"/>
  <c r="DQ39" i="2"/>
  <c r="DS38" i="2"/>
  <c r="CZ38" i="2"/>
  <c r="DD37" i="2"/>
  <c r="DI36" i="2"/>
  <c r="DO35" i="2"/>
  <c r="DB34" i="2"/>
  <c r="DH33" i="2"/>
  <c r="DA53" i="2"/>
  <c r="DF50" i="2"/>
  <c r="DF49" i="2"/>
  <c r="DM48" i="2"/>
  <c r="CY46" i="2"/>
  <c r="DK45" i="2"/>
  <c r="DE44" i="2"/>
  <c r="CZ43" i="2"/>
  <c r="DP41" i="2"/>
  <c r="DN40" i="2"/>
  <c r="DP39" i="2"/>
  <c r="DR38" i="2"/>
  <c r="CY38" i="2"/>
  <c r="DC37" i="2"/>
  <c r="DH36" i="2"/>
  <c r="DN35" i="2"/>
  <c r="DS34" i="2"/>
  <c r="DA34" i="2"/>
  <c r="DG33" i="2"/>
  <c r="CZ53" i="2"/>
  <c r="DE50" i="2"/>
  <c r="DE49" i="2"/>
  <c r="DL48" i="2"/>
  <c r="DJ45" i="2"/>
  <c r="DD44" i="2"/>
  <c r="CY43" i="2"/>
  <c r="DR42" i="2"/>
  <c r="DO41" i="2"/>
  <c r="DM40" i="2"/>
  <c r="DO39" i="2"/>
  <c r="DQ38" i="2"/>
  <c r="DB37" i="2"/>
  <c r="DG36" i="2"/>
  <c r="DM35" i="2"/>
  <c r="DR34" i="2"/>
  <c r="CZ34" i="2"/>
  <c r="DF33" i="2"/>
  <c r="CY53" i="2"/>
  <c r="DC49" i="2"/>
  <c r="DK48" i="2"/>
  <c r="DS47" i="2"/>
  <c r="DI45" i="2"/>
  <c r="DC44" i="2"/>
  <c r="DQ42" i="2"/>
  <c r="DM41" i="2"/>
  <c r="DL40" i="2"/>
  <c r="DN39" i="2"/>
  <c r="DP38" i="2"/>
  <c r="DS37" i="2"/>
  <c r="CZ37" i="2"/>
  <c r="DF36" i="2"/>
  <c r="DL35" i="2"/>
  <c r="DQ34" i="2"/>
  <c r="DE33" i="2"/>
  <c r="DB49" i="2"/>
  <c r="DJ48" i="2"/>
  <c r="DJ47" i="2"/>
  <c r="DH45" i="2"/>
  <c r="DB44" i="2"/>
  <c r="DR43" i="2"/>
  <c r="DP42" i="2"/>
  <c r="DL41" i="2"/>
  <c r="DK40" i="2"/>
  <c r="DK39" i="2"/>
  <c r="DO38" i="2"/>
  <c r="DR37" i="2"/>
  <c r="CY37" i="2"/>
  <c r="DE36" i="2"/>
  <c r="DK35" i="2"/>
  <c r="DP34" i="2"/>
  <c r="DD33" i="2"/>
  <c r="DA49" i="2"/>
  <c r="DI48" i="2"/>
  <c r="DI47" i="2"/>
  <c r="DS46" i="2"/>
  <c r="DG45" i="2"/>
  <c r="DA44" i="2"/>
  <c r="DQ43" i="2"/>
  <c r="DL42" i="2"/>
  <c r="DK41" i="2"/>
  <c r="DJ40" i="2"/>
  <c r="DJ39" i="2"/>
  <c r="DN38" i="2"/>
  <c r="DP37" i="2"/>
  <c r="DD36" i="2"/>
  <c r="DI35" i="2"/>
  <c r="DN34" i="2"/>
  <c r="DC33" i="2"/>
  <c r="CZ49" i="2"/>
  <c r="CZ48" i="2"/>
  <c r="DH47" i="2"/>
  <c r="DR46" i="2"/>
  <c r="DD45" i="2"/>
  <c r="DP43" i="2"/>
  <c r="DK42" i="2"/>
  <c r="DJ41" i="2"/>
  <c r="DI40" i="2"/>
  <c r="DI39" i="2"/>
  <c r="DM38" i="2"/>
  <c r="DO37" i="2"/>
  <c r="DC36" i="2"/>
  <c r="DH35" i="2"/>
  <c r="DM34" i="2"/>
  <c r="DS33" i="2"/>
  <c r="DB33" i="2"/>
  <c r="CY49" i="2"/>
  <c r="CY48" i="2"/>
  <c r="DG47" i="2"/>
  <c r="DQ46" i="2"/>
  <c r="DB45" i="2"/>
  <c r="DO43" i="2"/>
  <c r="DJ42" i="2"/>
  <c r="DF41" i="2"/>
  <c r="DG40" i="2"/>
  <c r="DH39" i="2"/>
  <c r="DK38" i="2"/>
  <c r="DN37" i="2"/>
  <c r="DB36" i="2"/>
  <c r="DG35" i="2"/>
  <c r="DS51" i="2"/>
  <c r="DF47" i="2"/>
  <c r="DP46" i="2"/>
  <c r="DS44" i="2"/>
  <c r="DN43" i="2"/>
  <c r="DI42" i="2"/>
  <c r="DE41" i="2"/>
  <c r="DF40" i="2"/>
  <c r="DG39" i="2"/>
  <c r="DJ38" i="2"/>
  <c r="DM37" i="2"/>
  <c r="DS36" i="2"/>
  <c r="DQ51" i="2"/>
  <c r="DE47" i="2"/>
  <c r="DO46" i="2"/>
  <c r="DR44" i="2"/>
  <c r="DM43" i="2"/>
  <c r="DH42" i="2"/>
  <c r="DD41" i="2"/>
  <c r="DE40" i="2"/>
  <c r="DF39" i="2"/>
  <c r="DP51" i="2"/>
  <c r="DD47" i="2"/>
  <c r="DN46" i="2"/>
  <c r="DQ44" i="2"/>
  <c r="DL43" i="2"/>
  <c r="DG42" i="2"/>
  <c r="DC41" i="2"/>
  <c r="DP53" i="2"/>
  <c r="DI52" i="2"/>
  <c r="DL51" i="2"/>
  <c r="DK50" i="2"/>
  <c r="DR49" i="2"/>
  <c r="DC46" i="2"/>
  <c r="DR45" i="2"/>
  <c r="DL44" i="2"/>
  <c r="DG43" i="2"/>
  <c r="DB42" i="2"/>
  <c r="CZ41" i="2"/>
  <c r="DA39" i="2"/>
  <c r="DC38" i="2"/>
  <c r="DH37" i="2"/>
  <c r="DM36" i="2"/>
  <c r="DR35" i="2"/>
  <c r="CZ35" i="2"/>
  <c r="DF34" i="2"/>
  <c r="DK33" i="2"/>
  <c r="DL50" i="2"/>
  <c r="DM44" i="2"/>
  <c r="DD40" i="2"/>
  <c r="DA36" i="2"/>
  <c r="CZ40" i="2"/>
  <c r="CY36" i="2"/>
  <c r="DR33" i="2"/>
  <c r="DS49" i="2"/>
  <c r="CY40" i="2"/>
  <c r="DQ33" i="2"/>
  <c r="DK43" i="2"/>
  <c r="DP33" i="2"/>
  <c r="DH43" i="2"/>
  <c r="DL37" i="2"/>
  <c r="DO33" i="2"/>
  <c r="DK37" i="2"/>
  <c r="DL34" i="2"/>
  <c r="DM33" i="2"/>
  <c r="DE39" i="2"/>
  <c r="DJ37" i="2"/>
  <c r="DK34" i="2"/>
  <c r="DL33" i="2"/>
  <c r="DC47" i="2"/>
  <c r="DF42" i="2"/>
  <c r="DD39" i="2"/>
  <c r="DI37" i="2"/>
  <c r="DJ34" i="2"/>
  <c r="DA33" i="2"/>
  <c r="DE42" i="2"/>
  <c r="DC39" i="2"/>
  <c r="DI34" i="2"/>
  <c r="CZ33" i="2"/>
  <c r="DR53" i="2"/>
  <c r="DM46" i="2"/>
  <c r="DN51" i="2"/>
  <c r="DB35" i="2"/>
  <c r="DM51" i="2"/>
  <c r="DI38" i="2"/>
  <c r="DA35" i="2"/>
  <c r="DH38" i="2"/>
  <c r="DD46" i="2"/>
  <c r="DE38" i="2"/>
  <c r="DH34" i="2"/>
  <c r="DD38" i="2"/>
  <c r="DG34" i="2"/>
  <c r="DN44" i="2"/>
  <c r="DR36" i="2"/>
  <c r="DQ36" i="2"/>
  <c r="DB41" i="2"/>
  <c r="DO36" i="2"/>
  <c r="CY33" i="2"/>
  <c r="DA41" i="2"/>
  <c r="DN36" i="2"/>
  <c r="DS35" i="2"/>
  <c r="DQ53" i="2"/>
  <c r="DF35" i="2"/>
  <c r="DL52" i="2"/>
  <c r="DK52" i="2"/>
  <c r="DD35" i="2"/>
  <c r="DC35" i="2"/>
  <c r="BI53" i="2"/>
  <c r="BS52" i="2"/>
  <c r="BC52" i="2"/>
  <c r="BM51" i="2"/>
  <c r="BG50" i="2"/>
  <c r="BQ49" i="2"/>
  <c r="BA49" i="2"/>
  <c r="BK48" i="2"/>
  <c r="BU47" i="2"/>
  <c r="BE47" i="2"/>
  <c r="BO46" i="2"/>
  <c r="BI45" i="2"/>
  <c r="BS44" i="2"/>
  <c r="BC44" i="2"/>
  <c r="BM43" i="2"/>
  <c r="BG42" i="2"/>
  <c r="BQ41" i="2"/>
  <c r="BA41" i="2"/>
  <c r="BK40" i="2"/>
  <c r="BU39" i="2"/>
  <c r="BE39" i="2"/>
  <c r="BO38" i="2"/>
  <c r="BI37" i="2"/>
  <c r="BS36" i="2"/>
  <c r="BC36" i="2"/>
  <c r="BM35" i="2"/>
  <c r="BG34" i="2"/>
  <c r="BQ33" i="2"/>
  <c r="BA33" i="2"/>
  <c r="BH53" i="2"/>
  <c r="BR52" i="2"/>
  <c r="BB52" i="2"/>
  <c r="BL51" i="2"/>
  <c r="BF50" i="2"/>
  <c r="BP49" i="2"/>
  <c r="BJ48" i="2"/>
  <c r="BT47" i="2"/>
  <c r="BD47" i="2"/>
  <c r="BN46" i="2"/>
  <c r="BH45" i="2"/>
  <c r="BR44" i="2"/>
  <c r="BB44" i="2"/>
  <c r="BL43" i="2"/>
  <c r="BF42" i="2"/>
  <c r="BG53" i="2"/>
  <c r="BQ52" i="2"/>
  <c r="BA52" i="2"/>
  <c r="BK51" i="2"/>
  <c r="BU50" i="2"/>
  <c r="BE50" i="2"/>
  <c r="BO49" i="2"/>
  <c r="BI48" i="2"/>
  <c r="BS47" i="2"/>
  <c r="BC47" i="2"/>
  <c r="BF53" i="2"/>
  <c r="BP52" i="2"/>
  <c r="BJ51" i="2"/>
  <c r="BT50" i="2"/>
  <c r="BD50" i="2"/>
  <c r="BN49" i="2"/>
  <c r="BH48" i="2"/>
  <c r="BR47" i="2"/>
  <c r="BB47" i="2"/>
  <c r="BL46" i="2"/>
  <c r="BF45" i="2"/>
  <c r="BP44" i="2"/>
  <c r="BU53" i="2"/>
  <c r="BE53" i="2"/>
  <c r="BO52" i="2"/>
  <c r="BI51" i="2"/>
  <c r="BS50" i="2"/>
  <c r="BC50" i="2"/>
  <c r="BM49" i="2"/>
  <c r="BG48" i="2"/>
  <c r="BQ47" i="2"/>
  <c r="BA47" i="2"/>
  <c r="BK46" i="2"/>
  <c r="BU45" i="2"/>
  <c r="BE45" i="2"/>
  <c r="BT53" i="2"/>
  <c r="BD53" i="2"/>
  <c r="BN52" i="2"/>
  <c r="BH51" i="2"/>
  <c r="BR50" i="2"/>
  <c r="BB50" i="2"/>
  <c r="BL49" i="2"/>
  <c r="BF48" i="2"/>
  <c r="BP47" i="2"/>
  <c r="BJ46" i="2"/>
  <c r="BT45" i="2"/>
  <c r="BD45" i="2"/>
  <c r="BN44" i="2"/>
  <c r="BH43" i="2"/>
  <c r="BR42" i="2"/>
  <c r="BB42" i="2"/>
  <c r="BL41" i="2"/>
  <c r="BF40" i="2"/>
  <c r="BP39" i="2"/>
  <c r="BJ38" i="2"/>
  <c r="BT37" i="2"/>
  <c r="BD37" i="2"/>
  <c r="BN36" i="2"/>
  <c r="BH35" i="2"/>
  <c r="BR34" i="2"/>
  <c r="BB34" i="2"/>
  <c r="BL33" i="2"/>
  <c r="BS53" i="2"/>
  <c r="BC53" i="2"/>
  <c r="BM52" i="2"/>
  <c r="BG51" i="2"/>
  <c r="BQ50" i="2"/>
  <c r="BA50" i="2"/>
  <c r="BK49" i="2"/>
  <c r="BU48" i="2"/>
  <c r="BE48" i="2"/>
  <c r="BO47" i="2"/>
  <c r="BI46" i="2"/>
  <c r="BS45" i="2"/>
  <c r="BC45" i="2"/>
  <c r="BM44" i="2"/>
  <c r="BG43" i="2"/>
  <c r="BQ42" i="2"/>
  <c r="BA42" i="2"/>
  <c r="BK41" i="2"/>
  <c r="BU40" i="2"/>
  <c r="BE40" i="2"/>
  <c r="BO39" i="2"/>
  <c r="BI38" i="2"/>
  <c r="BS37" i="2"/>
  <c r="BC37" i="2"/>
  <c r="BM36" i="2"/>
  <c r="BG35" i="2"/>
  <c r="BQ34" i="2"/>
  <c r="BA34" i="2"/>
  <c r="BK33" i="2"/>
  <c r="BR53" i="2"/>
  <c r="BB53" i="2"/>
  <c r="BL52" i="2"/>
  <c r="BF51" i="2"/>
  <c r="BP50" i="2"/>
  <c r="BJ49" i="2"/>
  <c r="BT48" i="2"/>
  <c r="BD48" i="2"/>
  <c r="BN47" i="2"/>
  <c r="BH46" i="2"/>
  <c r="BR45" i="2"/>
  <c r="BB45" i="2"/>
  <c r="BL44" i="2"/>
  <c r="BF43" i="2"/>
  <c r="BP42" i="2"/>
  <c r="BJ41" i="2"/>
  <c r="BT40" i="2"/>
  <c r="BD40" i="2"/>
  <c r="BN39" i="2"/>
  <c r="BH38" i="2"/>
  <c r="BR37" i="2"/>
  <c r="BB37" i="2"/>
  <c r="BL36" i="2"/>
  <c r="BF35" i="2"/>
  <c r="BP34" i="2"/>
  <c r="BJ33" i="2"/>
  <c r="BQ53" i="2"/>
  <c r="BA53" i="2"/>
  <c r="BK52" i="2"/>
  <c r="BU51" i="2"/>
  <c r="BE51" i="2"/>
  <c r="BO50" i="2"/>
  <c r="BI49" i="2"/>
  <c r="BS48" i="2"/>
  <c r="BC48" i="2"/>
  <c r="BM47" i="2"/>
  <c r="BG46" i="2"/>
  <c r="BQ45" i="2"/>
  <c r="BA45" i="2"/>
  <c r="BK44" i="2"/>
  <c r="BU43" i="2"/>
  <c r="BE43" i="2"/>
  <c r="BO42" i="2"/>
  <c r="BI41" i="2"/>
  <c r="BS40" i="2"/>
  <c r="BC40" i="2"/>
  <c r="BM39" i="2"/>
  <c r="BG38" i="2"/>
  <c r="BQ37" i="2"/>
  <c r="BA37" i="2"/>
  <c r="BK36" i="2"/>
  <c r="BU35" i="2"/>
  <c r="BE35" i="2"/>
  <c r="BO34" i="2"/>
  <c r="BP53" i="2"/>
  <c r="BJ52" i="2"/>
  <c r="BO53" i="2"/>
  <c r="BM53" i="2"/>
  <c r="BG52" i="2"/>
  <c r="BQ51" i="2"/>
  <c r="BA51" i="2"/>
  <c r="BK50" i="2"/>
  <c r="BU49" i="2"/>
  <c r="BE49" i="2"/>
  <c r="BO48" i="2"/>
  <c r="BI47" i="2"/>
  <c r="BS46" i="2"/>
  <c r="BC46" i="2"/>
  <c r="BM45" i="2"/>
  <c r="BG44" i="2"/>
  <c r="BQ43" i="2"/>
  <c r="BA43" i="2"/>
  <c r="BK42" i="2"/>
  <c r="BU41" i="2"/>
  <c r="BE41" i="2"/>
  <c r="BO40" i="2"/>
  <c r="BI39" i="2"/>
  <c r="BS38" i="2"/>
  <c r="BC38" i="2"/>
  <c r="BM37" i="2"/>
  <c r="BJ53" i="2"/>
  <c r="BJ44" i="2"/>
  <c r="BT43" i="2"/>
  <c r="BH42" i="2"/>
  <c r="BM40" i="2"/>
  <c r="BD39" i="2"/>
  <c r="BT38" i="2"/>
  <c r="BK37" i="2"/>
  <c r="BE36" i="2"/>
  <c r="BT34" i="2"/>
  <c r="BR33" i="2"/>
  <c r="BI44" i="2"/>
  <c r="BS43" i="2"/>
  <c r="BE42" i="2"/>
  <c r="BT41" i="2"/>
  <c r="BL40" i="2"/>
  <c r="BC39" i="2"/>
  <c r="BR38" i="2"/>
  <c r="BJ37" i="2"/>
  <c r="BD36" i="2"/>
  <c r="BT35" i="2"/>
  <c r="BS34" i="2"/>
  <c r="BP33" i="2"/>
  <c r="BH44" i="2"/>
  <c r="BR43" i="2"/>
  <c r="BD42" i="2"/>
  <c r="BS41" i="2"/>
  <c r="BJ40" i="2"/>
  <c r="BB39" i="2"/>
  <c r="BQ38" i="2"/>
  <c r="BH37" i="2"/>
  <c r="BB36" i="2"/>
  <c r="BS35" i="2"/>
  <c r="BN34" i="2"/>
  <c r="BO33" i="2"/>
  <c r="BF44" i="2"/>
  <c r="BP43" i="2"/>
  <c r="BC42" i="2"/>
  <c r="BR41" i="2"/>
  <c r="BI40" i="2"/>
  <c r="BA39" i="2"/>
  <c r="BP38" i="2"/>
  <c r="BG37" i="2"/>
  <c r="BA36" i="2"/>
  <c r="BR35" i="2"/>
  <c r="BM34" i="2"/>
  <c r="BN33" i="2"/>
  <c r="BE44" i="2"/>
  <c r="BO43" i="2"/>
  <c r="BP41" i="2"/>
  <c r="BH40" i="2"/>
  <c r="BN38" i="2"/>
  <c r="BF37" i="2"/>
  <c r="BQ35" i="2"/>
  <c r="BL34" i="2"/>
  <c r="BM33" i="2"/>
  <c r="BT51" i="2"/>
  <c r="BR48" i="2"/>
  <c r="BU46" i="2"/>
  <c r="BD44" i="2"/>
  <c r="BN43" i="2"/>
  <c r="BO41" i="2"/>
  <c r="BG40" i="2"/>
  <c r="BM38" i="2"/>
  <c r="BE37" i="2"/>
  <c r="BU36" i="2"/>
  <c r="BP35" i="2"/>
  <c r="BK34" i="2"/>
  <c r="BI33" i="2"/>
  <c r="BS51" i="2"/>
  <c r="BT49" i="2"/>
  <c r="BQ48" i="2"/>
  <c r="BT46" i="2"/>
  <c r="BA44" i="2"/>
  <c r="BK43" i="2"/>
  <c r="BN41" i="2"/>
  <c r="BB40" i="2"/>
  <c r="BT39" i="2"/>
  <c r="BL38" i="2"/>
  <c r="BT36" i="2"/>
  <c r="BO35" i="2"/>
  <c r="BJ34" i="2"/>
  <c r="BH33" i="2"/>
  <c r="BR51" i="2"/>
  <c r="BN50" i="2"/>
  <c r="BS49" i="2"/>
  <c r="BP48" i="2"/>
  <c r="BL47" i="2"/>
  <c r="BR46" i="2"/>
  <c r="BJ43" i="2"/>
  <c r="BM41" i="2"/>
  <c r="BA40" i="2"/>
  <c r="BS39" i="2"/>
  <c r="BK38" i="2"/>
  <c r="BR36" i="2"/>
  <c r="BN35" i="2"/>
  <c r="BI34" i="2"/>
  <c r="BG33" i="2"/>
  <c r="BU52" i="2"/>
  <c r="BP51" i="2"/>
  <c r="BM50" i="2"/>
  <c r="BR49" i="2"/>
  <c r="BN48" i="2"/>
  <c r="BK47" i="2"/>
  <c r="BQ46" i="2"/>
  <c r="BI43" i="2"/>
  <c r="BU42" i="2"/>
  <c r="BH41" i="2"/>
  <c r="BR39" i="2"/>
  <c r="BF38" i="2"/>
  <c r="BQ36" i="2"/>
  <c r="BL35" i="2"/>
  <c r="BH34" i="2"/>
  <c r="BF33" i="2"/>
  <c r="BT52" i="2"/>
  <c r="BO51" i="2"/>
  <c r="BL50" i="2"/>
  <c r="BH49" i="2"/>
  <c r="BM48" i="2"/>
  <c r="BJ47" i="2"/>
  <c r="BP46" i="2"/>
  <c r="BP45" i="2"/>
  <c r="BD43" i="2"/>
  <c r="BT42" i="2"/>
  <c r="BG41" i="2"/>
  <c r="BQ39" i="2"/>
  <c r="BE38" i="2"/>
  <c r="BP36" i="2"/>
  <c r="BK35" i="2"/>
  <c r="BF34" i="2"/>
  <c r="BE33" i="2"/>
  <c r="BI52" i="2"/>
  <c r="BN51" i="2"/>
  <c r="BJ50" i="2"/>
  <c r="BG49" i="2"/>
  <c r="BL48" i="2"/>
  <c r="BH47" i="2"/>
  <c r="BM46" i="2"/>
  <c r="BO45" i="2"/>
  <c r="BC43" i="2"/>
  <c r="BS42" i="2"/>
  <c r="BF41" i="2"/>
  <c r="BL39" i="2"/>
  <c r="BD38" i="2"/>
  <c r="BO36" i="2"/>
  <c r="BJ35" i="2"/>
  <c r="BE34" i="2"/>
  <c r="BD33" i="2"/>
  <c r="BH52" i="2"/>
  <c r="BD51" i="2"/>
  <c r="BI50" i="2"/>
  <c r="BF49" i="2"/>
  <c r="BB48" i="2"/>
  <c r="BG47" i="2"/>
  <c r="BF46" i="2"/>
  <c r="BN45" i="2"/>
  <c r="BB43" i="2"/>
  <c r="BN42" i="2"/>
  <c r="BD41" i="2"/>
  <c r="BK39" i="2"/>
  <c r="BB38" i="2"/>
  <c r="BU37" i="2"/>
  <c r="BJ36" i="2"/>
  <c r="BI35" i="2"/>
  <c r="BD34" i="2"/>
  <c r="BC33" i="2"/>
  <c r="BF52" i="2"/>
  <c r="BC51" i="2"/>
  <c r="BH50" i="2"/>
  <c r="BD49" i="2"/>
  <c r="BA48" i="2"/>
  <c r="BF47" i="2"/>
  <c r="BE46" i="2"/>
  <c r="BL45" i="2"/>
  <c r="BU44" i="2"/>
  <c r="BM42" i="2"/>
  <c r="BC41" i="2"/>
  <c r="BR40" i="2"/>
  <c r="BJ39" i="2"/>
  <c r="BN53" i="2"/>
  <c r="BE52" i="2"/>
  <c r="BB51" i="2"/>
  <c r="BC49" i="2"/>
  <c r="BD46" i="2"/>
  <c r="BK45" i="2"/>
  <c r="BT44" i="2"/>
  <c r="BL42" i="2"/>
  <c r="BB41" i="2"/>
  <c r="BQ40" i="2"/>
  <c r="BH39" i="2"/>
  <c r="BO37" i="2"/>
  <c r="BH36" i="2"/>
  <c r="BC35" i="2"/>
  <c r="BL37" i="2"/>
  <c r="BC34" i="2"/>
  <c r="BB46" i="2"/>
  <c r="BP40" i="2"/>
  <c r="BA46" i="2"/>
  <c r="BN40" i="2"/>
  <c r="BI36" i="2"/>
  <c r="BL53" i="2"/>
  <c r="BJ45" i="2"/>
  <c r="BG36" i="2"/>
  <c r="BU33" i="2"/>
  <c r="BK53" i="2"/>
  <c r="BG45" i="2"/>
  <c r="BF36" i="2"/>
  <c r="BT33" i="2"/>
  <c r="BD52" i="2"/>
  <c r="BQ44" i="2"/>
  <c r="BG39" i="2"/>
  <c r="BS33" i="2"/>
  <c r="BO44" i="2"/>
  <c r="BF39" i="2"/>
  <c r="BB33" i="2"/>
  <c r="BU38" i="2"/>
  <c r="BD35" i="2"/>
  <c r="BA38" i="2"/>
  <c r="BB35" i="2"/>
  <c r="BA35" i="2"/>
  <c r="BN37" i="2"/>
  <c r="BU34" i="2"/>
  <c r="BP37" i="2"/>
  <c r="BB49" i="2"/>
  <c r="P53" i="2"/>
  <c r="J52" i="2"/>
  <c r="T51" i="2"/>
  <c r="D51" i="2"/>
  <c r="N50" i="2"/>
  <c r="H49" i="2"/>
  <c r="R48" i="2"/>
  <c r="L47" i="2"/>
  <c r="V46" i="2"/>
  <c r="F46" i="2"/>
  <c r="P45" i="2"/>
  <c r="J44" i="2"/>
  <c r="T43" i="2"/>
  <c r="D43" i="2"/>
  <c r="N42" i="2"/>
  <c r="H41" i="2"/>
  <c r="R40" i="2"/>
  <c r="L39" i="2"/>
  <c r="V38" i="2"/>
  <c r="F38" i="2"/>
  <c r="P37" i="2"/>
  <c r="J36" i="2"/>
  <c r="T35" i="2"/>
  <c r="D35" i="2"/>
  <c r="N34" i="2"/>
  <c r="H33" i="2"/>
  <c r="O53" i="2"/>
  <c r="I52" i="2"/>
  <c r="S51" i="2"/>
  <c r="C51" i="2"/>
  <c r="M50" i="2"/>
  <c r="W49" i="2"/>
  <c r="G49" i="2"/>
  <c r="Q48" i="2"/>
  <c r="K47" i="2"/>
  <c r="U46" i="2"/>
  <c r="E46" i="2"/>
  <c r="O45" i="2"/>
  <c r="I44" i="2"/>
  <c r="S43" i="2"/>
  <c r="C43" i="2"/>
  <c r="M42" i="2"/>
  <c r="W41" i="2"/>
  <c r="G41" i="2"/>
  <c r="Q40" i="2"/>
  <c r="K39" i="2"/>
  <c r="U38" i="2"/>
  <c r="E38" i="2"/>
  <c r="O37" i="2"/>
  <c r="I36" i="2"/>
  <c r="S35" i="2"/>
  <c r="C35" i="2"/>
  <c r="M34" i="2"/>
  <c r="W33" i="2"/>
  <c r="G33" i="2"/>
  <c r="N53" i="2"/>
  <c r="H52" i="2"/>
  <c r="R51" i="2"/>
  <c r="L50" i="2"/>
  <c r="V49" i="2"/>
  <c r="F49" i="2"/>
  <c r="P48" i="2"/>
  <c r="J47" i="2"/>
  <c r="T46" i="2"/>
  <c r="D46" i="2"/>
  <c r="N45" i="2"/>
  <c r="H44" i="2"/>
  <c r="R43" i="2"/>
  <c r="L42" i="2"/>
  <c r="V41" i="2"/>
  <c r="F41" i="2"/>
  <c r="P40" i="2"/>
  <c r="J39" i="2"/>
  <c r="T38" i="2"/>
  <c r="D38" i="2"/>
  <c r="N37" i="2"/>
  <c r="H36" i="2"/>
  <c r="R35" i="2"/>
  <c r="L34" i="2"/>
  <c r="V33" i="2"/>
  <c r="F33" i="2"/>
  <c r="M53" i="2"/>
  <c r="W52" i="2"/>
  <c r="G52" i="2"/>
  <c r="Q51" i="2"/>
  <c r="K50" i="2"/>
  <c r="U49" i="2"/>
  <c r="E49" i="2"/>
  <c r="O48" i="2"/>
  <c r="I47" i="2"/>
  <c r="S46" i="2"/>
  <c r="C46" i="2"/>
  <c r="M45" i="2"/>
  <c r="W44" i="2"/>
  <c r="G44" i="2"/>
  <c r="Q43" i="2"/>
  <c r="K42" i="2"/>
  <c r="U41" i="2"/>
  <c r="E41" i="2"/>
  <c r="O40" i="2"/>
  <c r="I39" i="2"/>
  <c r="S38" i="2"/>
  <c r="C38" i="2"/>
  <c r="M37" i="2"/>
  <c r="W36" i="2"/>
  <c r="G36" i="2"/>
  <c r="Q35" i="2"/>
  <c r="K34" i="2"/>
  <c r="U33" i="2"/>
  <c r="E33" i="2"/>
  <c r="L53" i="2"/>
  <c r="V52" i="2"/>
  <c r="F52" i="2"/>
  <c r="P51" i="2"/>
  <c r="J50" i="2"/>
  <c r="T49" i="2"/>
  <c r="D49" i="2"/>
  <c r="N48" i="2"/>
  <c r="H47" i="2"/>
  <c r="R46" i="2"/>
  <c r="L45" i="2"/>
  <c r="V44" i="2"/>
  <c r="F44" i="2"/>
  <c r="P43" i="2"/>
  <c r="J42" i="2"/>
  <c r="T41" i="2"/>
  <c r="D41" i="2"/>
  <c r="N40" i="2"/>
  <c r="H39" i="2"/>
  <c r="R38" i="2"/>
  <c r="K53" i="2"/>
  <c r="U52" i="2"/>
  <c r="J53" i="2"/>
  <c r="T52" i="2"/>
  <c r="D52" i="2"/>
  <c r="N51" i="2"/>
  <c r="H50" i="2"/>
  <c r="R49" i="2"/>
  <c r="L48" i="2"/>
  <c r="V47" i="2"/>
  <c r="F47" i="2"/>
  <c r="P46" i="2"/>
  <c r="J45" i="2"/>
  <c r="BJ42" i="2"/>
  <c r="I53" i="2"/>
  <c r="S52" i="2"/>
  <c r="C52" i="2"/>
  <c r="M51" i="2"/>
  <c r="W50" i="2"/>
  <c r="G50" i="2"/>
  <c r="Q49" i="2"/>
  <c r="K48" i="2"/>
  <c r="U47" i="2"/>
  <c r="E47" i="2"/>
  <c r="BI42" i="2"/>
  <c r="H53" i="2"/>
  <c r="R52" i="2"/>
  <c r="L51" i="2"/>
  <c r="W53" i="2"/>
  <c r="G53" i="2"/>
  <c r="Q52" i="2"/>
  <c r="K51" i="2"/>
  <c r="U50" i="2"/>
  <c r="E50" i="2"/>
  <c r="V53" i="2"/>
  <c r="F53" i="2"/>
  <c r="P52" i="2"/>
  <c r="J51" i="2"/>
  <c r="T50" i="2"/>
  <c r="D50" i="2"/>
  <c r="N49" i="2"/>
  <c r="H48" i="2"/>
  <c r="R47" i="2"/>
  <c r="U53" i="2"/>
  <c r="E53" i="2"/>
  <c r="O52" i="2"/>
  <c r="I51" i="2"/>
  <c r="S50" i="2"/>
  <c r="C50" i="2"/>
  <c r="M49" i="2"/>
  <c r="T53" i="2"/>
  <c r="D53" i="2"/>
  <c r="N52" i="2"/>
  <c r="H51" i="2"/>
  <c r="S53" i="2"/>
  <c r="Q50" i="2"/>
  <c r="S49" i="2"/>
  <c r="D47" i="2"/>
  <c r="W46" i="2"/>
  <c r="I45" i="2"/>
  <c r="C44" i="2"/>
  <c r="S42" i="2"/>
  <c r="N41" i="2"/>
  <c r="I40" i="2"/>
  <c r="D39" i="2"/>
  <c r="U37" i="2"/>
  <c r="S36" i="2"/>
  <c r="U35" i="2"/>
  <c r="S34" i="2"/>
  <c r="Q33" i="2"/>
  <c r="R53" i="2"/>
  <c r="W51" i="2"/>
  <c r="P50" i="2"/>
  <c r="P49" i="2"/>
  <c r="C47" i="2"/>
  <c r="Q46" i="2"/>
  <c r="H45" i="2"/>
  <c r="W43" i="2"/>
  <c r="R42" i="2"/>
  <c r="M41" i="2"/>
  <c r="H40" i="2"/>
  <c r="C39" i="2"/>
  <c r="T37" i="2"/>
  <c r="R36" i="2"/>
  <c r="P35" i="2"/>
  <c r="R34" i="2"/>
  <c r="P33" i="2"/>
  <c r="Q53" i="2"/>
  <c r="V51" i="2"/>
  <c r="O50" i="2"/>
  <c r="O49" i="2"/>
  <c r="W48" i="2"/>
  <c r="O46" i="2"/>
  <c r="G45" i="2"/>
  <c r="V43" i="2"/>
  <c r="Q42" i="2"/>
  <c r="L41" i="2"/>
  <c r="G40" i="2"/>
  <c r="W39" i="2"/>
  <c r="W38" i="2"/>
  <c r="S37" i="2"/>
  <c r="Q36" i="2"/>
  <c r="O35" i="2"/>
  <c r="Q34" i="2"/>
  <c r="O33" i="2"/>
  <c r="C53" i="2"/>
  <c r="U51" i="2"/>
  <c r="I50" i="2"/>
  <c r="L49" i="2"/>
  <c r="V48" i="2"/>
  <c r="N46" i="2"/>
  <c r="F45" i="2"/>
  <c r="U44" i="2"/>
  <c r="U43" i="2"/>
  <c r="P42" i="2"/>
  <c r="K41" i="2"/>
  <c r="F40" i="2"/>
  <c r="V39" i="2"/>
  <c r="Q38" i="2"/>
  <c r="R37" i="2"/>
  <c r="P36" i="2"/>
  <c r="N35" i="2"/>
  <c r="P34" i="2"/>
  <c r="N33" i="2"/>
  <c r="O51" i="2"/>
  <c r="F50" i="2"/>
  <c r="K49" i="2"/>
  <c r="U48" i="2"/>
  <c r="M46" i="2"/>
  <c r="E45" i="2"/>
  <c r="T44" i="2"/>
  <c r="O43" i="2"/>
  <c r="O42" i="2"/>
  <c r="J41" i="2"/>
  <c r="E40" i="2"/>
  <c r="U39" i="2"/>
  <c r="P38" i="2"/>
  <c r="Q37" i="2"/>
  <c r="O36" i="2"/>
  <c r="M35" i="2"/>
  <c r="O34" i="2"/>
  <c r="M33" i="2"/>
  <c r="G51" i="2"/>
  <c r="J49" i="2"/>
  <c r="T48" i="2"/>
  <c r="L46" i="2"/>
  <c r="D45" i="2"/>
  <c r="S44" i="2"/>
  <c r="N43" i="2"/>
  <c r="I42" i="2"/>
  <c r="I41" i="2"/>
  <c r="D40" i="2"/>
  <c r="T39" i="2"/>
  <c r="O38" i="2"/>
  <c r="L37" i="2"/>
  <c r="N36" i="2"/>
  <c r="L35" i="2"/>
  <c r="J34" i="2"/>
  <c r="L33" i="2"/>
  <c r="F51" i="2"/>
  <c r="I49" i="2"/>
  <c r="S48" i="2"/>
  <c r="K46" i="2"/>
  <c r="C45" i="2"/>
  <c r="R44" i="2"/>
  <c r="M43" i="2"/>
  <c r="H42" i="2"/>
  <c r="C41" i="2"/>
  <c r="C40" i="2"/>
  <c r="S39" i="2"/>
  <c r="N38" i="2"/>
  <c r="K37" i="2"/>
  <c r="M36" i="2"/>
  <c r="K35" i="2"/>
  <c r="I34" i="2"/>
  <c r="K33" i="2"/>
  <c r="E51" i="2"/>
  <c r="C49" i="2"/>
  <c r="M48" i="2"/>
  <c r="W47" i="2"/>
  <c r="J46" i="2"/>
  <c r="Q44" i="2"/>
  <c r="L43" i="2"/>
  <c r="G42" i="2"/>
  <c r="W40" i="2"/>
  <c r="R39" i="2"/>
  <c r="M38" i="2"/>
  <c r="J37" i="2"/>
  <c r="L36" i="2"/>
  <c r="J35" i="2"/>
  <c r="H34" i="2"/>
  <c r="J33" i="2"/>
  <c r="J48" i="2"/>
  <c r="T47" i="2"/>
  <c r="I46" i="2"/>
  <c r="W45" i="2"/>
  <c r="P44" i="2"/>
  <c r="K43" i="2"/>
  <c r="F42" i="2"/>
  <c r="V40" i="2"/>
  <c r="Q39" i="2"/>
  <c r="L38" i="2"/>
  <c r="I37" i="2"/>
  <c r="K36" i="2"/>
  <c r="I35" i="2"/>
  <c r="G34" i="2"/>
  <c r="I33" i="2"/>
  <c r="M52" i="2"/>
  <c r="I48" i="2"/>
  <c r="S47" i="2"/>
  <c r="H46" i="2"/>
  <c r="V45" i="2"/>
  <c r="O44" i="2"/>
  <c r="J43" i="2"/>
  <c r="E42" i="2"/>
  <c r="U40" i="2"/>
  <c r="P39" i="2"/>
  <c r="K38" i="2"/>
  <c r="H37" i="2"/>
  <c r="F36" i="2"/>
  <c r="H35" i="2"/>
  <c r="F34" i="2"/>
  <c r="D33" i="2"/>
  <c r="L52" i="2"/>
  <c r="G48" i="2"/>
  <c r="Q47" i="2"/>
  <c r="G46" i="2"/>
  <c r="U45" i="2"/>
  <c r="N44" i="2"/>
  <c r="I43" i="2"/>
  <c r="D42" i="2"/>
  <c r="T40" i="2"/>
  <c r="O39" i="2"/>
  <c r="J38" i="2"/>
  <c r="G37" i="2"/>
  <c r="E36" i="2"/>
  <c r="G35" i="2"/>
  <c r="E34" i="2"/>
  <c r="C33" i="2"/>
  <c r="K52" i="2"/>
  <c r="F48" i="2"/>
  <c r="P47" i="2"/>
  <c r="T45" i="2"/>
  <c r="M44" i="2"/>
  <c r="H43" i="2"/>
  <c r="C42" i="2"/>
  <c r="S41" i="2"/>
  <c r="S40" i="2"/>
  <c r="N39" i="2"/>
  <c r="I38" i="2"/>
  <c r="F37" i="2"/>
  <c r="D36" i="2"/>
  <c r="F35" i="2"/>
  <c r="D34" i="2"/>
  <c r="E52" i="2"/>
  <c r="E48" i="2"/>
  <c r="O47" i="2"/>
  <c r="S45" i="2"/>
  <c r="L44" i="2"/>
  <c r="G43" i="2"/>
  <c r="W42" i="2"/>
  <c r="R41" i="2"/>
  <c r="M40" i="2"/>
  <c r="M39" i="2"/>
  <c r="H38" i="2"/>
  <c r="E37" i="2"/>
  <c r="C36" i="2"/>
  <c r="E35" i="2"/>
  <c r="W34" i="2"/>
  <c r="C34" i="2"/>
  <c r="G47" i="2"/>
  <c r="L40" i="2"/>
  <c r="W37" i="2"/>
  <c r="O41" i="2"/>
  <c r="V50" i="2"/>
  <c r="F43" i="2"/>
  <c r="K40" i="2"/>
  <c r="V37" i="2"/>
  <c r="V34" i="2"/>
  <c r="E39" i="2"/>
  <c r="M47" i="2"/>
  <c r="R50" i="2"/>
  <c r="E43" i="2"/>
  <c r="J40" i="2"/>
  <c r="D37" i="2"/>
  <c r="U34" i="2"/>
  <c r="E44" i="2"/>
  <c r="C37" i="2"/>
  <c r="T34" i="2"/>
  <c r="W35" i="2"/>
  <c r="V42" i="2"/>
  <c r="S33" i="2"/>
  <c r="R45" i="2"/>
  <c r="U42" i="2"/>
  <c r="V36" i="2"/>
  <c r="G38" i="2"/>
  <c r="Q45" i="2"/>
  <c r="T42" i="2"/>
  <c r="G39" i="2"/>
  <c r="U36" i="2"/>
  <c r="N47" i="2"/>
  <c r="V35" i="2"/>
  <c r="K45" i="2"/>
  <c r="F39" i="2"/>
  <c r="T36" i="2"/>
  <c r="T33" i="2"/>
  <c r="K44" i="2"/>
  <c r="D44" i="2"/>
  <c r="D48" i="2"/>
  <c r="R33" i="2"/>
  <c r="C48" i="2"/>
  <c r="Q41" i="2"/>
  <c r="P41" i="2"/>
  <c r="EQ101" i="2"/>
  <c r="EA101" i="2"/>
  <c r="C24" i="1"/>
  <c r="EB101" i="2"/>
  <c r="EK100" i="2"/>
  <c r="EE99" i="2"/>
  <c r="EO98" i="2"/>
  <c r="DY98" i="2"/>
  <c r="EI97" i="2"/>
  <c r="EC96" i="2"/>
  <c r="EM95" i="2"/>
  <c r="DW95" i="2"/>
  <c r="EG94" i="2"/>
  <c r="EQ93" i="2"/>
  <c r="EA93" i="2"/>
  <c r="EK92" i="2"/>
  <c r="EE91" i="2"/>
  <c r="EO90" i="2"/>
  <c r="DY90" i="2"/>
  <c r="EI89" i="2"/>
  <c r="EC88" i="2"/>
  <c r="EM87" i="2"/>
  <c r="DW87" i="2"/>
  <c r="EG86" i="2"/>
  <c r="EQ85" i="2"/>
  <c r="EA85" i="2"/>
  <c r="DZ101" i="2"/>
  <c r="EJ100" i="2"/>
  <c r="ED99" i="2"/>
  <c r="EN98" i="2"/>
  <c r="DX98" i="2"/>
  <c r="EH97" i="2"/>
  <c r="EB96" i="2"/>
  <c r="EL95" i="2"/>
  <c r="EF94" i="2"/>
  <c r="EP93" i="2"/>
  <c r="DZ93" i="2"/>
  <c r="EJ92" i="2"/>
  <c r="ED91" i="2"/>
  <c r="EN90" i="2"/>
  <c r="DX90" i="2"/>
  <c r="EH89" i="2"/>
  <c r="EB88" i="2"/>
  <c r="EL87" i="2"/>
  <c r="EF86" i="2"/>
  <c r="EP101" i="2"/>
  <c r="DY101" i="2"/>
  <c r="EI100" i="2"/>
  <c r="EC99" i="2"/>
  <c r="EM98" i="2"/>
  <c r="DW98" i="2"/>
  <c r="EG97" i="2"/>
  <c r="EQ96" i="2"/>
  <c r="EA96" i="2"/>
  <c r="EK95" i="2"/>
  <c r="EE94" i="2"/>
  <c r="EO93" i="2"/>
  <c r="DY93" i="2"/>
  <c r="EI92" i="2"/>
  <c r="EC91" i="2"/>
  <c r="EM90" i="2"/>
  <c r="DW90" i="2"/>
  <c r="EG89" i="2"/>
  <c r="EQ88" i="2"/>
  <c r="EA88" i="2"/>
  <c r="EK87" i="2"/>
  <c r="EE86" i="2"/>
  <c r="EO85" i="2"/>
  <c r="DY85" i="2"/>
  <c r="EI84" i="2"/>
  <c r="EC83" i="2"/>
  <c r="EM82" i="2"/>
  <c r="DW82" i="2"/>
  <c r="EG81" i="2"/>
  <c r="EO101" i="2"/>
  <c r="DX101" i="2"/>
  <c r="EH100" i="2"/>
  <c r="EB99" i="2"/>
  <c r="EL98" i="2"/>
  <c r="EF97" i="2"/>
  <c r="EP96" i="2"/>
  <c r="DZ96" i="2"/>
  <c r="EJ95" i="2"/>
  <c r="ED94" i="2"/>
  <c r="EN93" i="2"/>
  <c r="DX93" i="2"/>
  <c r="EH92" i="2"/>
  <c r="EB91" i="2"/>
  <c r="EL90" i="2"/>
  <c r="EF89" i="2"/>
  <c r="EP88" i="2"/>
  <c r="DZ88" i="2"/>
  <c r="EN101" i="2"/>
  <c r="DW101" i="2"/>
  <c r="EG100" i="2"/>
  <c r="EQ99" i="2"/>
  <c r="EA99" i="2"/>
  <c r="EK98" i="2"/>
  <c r="EE97" i="2"/>
  <c r="EO96" i="2"/>
  <c r="DY96" i="2"/>
  <c r="EI95" i="2"/>
  <c r="EC94" i="2"/>
  <c r="EM93" i="2"/>
  <c r="DW93" i="2"/>
  <c r="EG92" i="2"/>
  <c r="EQ91" i="2"/>
  <c r="EA91" i="2"/>
  <c r="EK90" i="2"/>
  <c r="EE89" i="2"/>
  <c r="EO88" i="2"/>
  <c r="DY88" i="2"/>
  <c r="EI87" i="2"/>
  <c r="EC86" i="2"/>
  <c r="EM85" i="2"/>
  <c r="DW85" i="2"/>
  <c r="EG84" i="2"/>
  <c r="EQ83" i="2"/>
  <c r="EA83" i="2"/>
  <c r="EK82" i="2"/>
  <c r="EE81" i="2"/>
  <c r="EM101" i="2"/>
  <c r="EF100" i="2"/>
  <c r="EP99" i="2"/>
  <c r="DZ99" i="2"/>
  <c r="EJ98" i="2"/>
  <c r="ED97" i="2"/>
  <c r="EN96" i="2"/>
  <c r="DX96" i="2"/>
  <c r="EH95" i="2"/>
  <c r="EB94" i="2"/>
  <c r="EL93" i="2"/>
  <c r="EF92" i="2"/>
  <c r="EP91" i="2"/>
  <c r="DZ91" i="2"/>
  <c r="EJ90" i="2"/>
  <c r="ED89" i="2"/>
  <c r="EN88" i="2"/>
  <c r="DX88" i="2"/>
  <c r="EH87" i="2"/>
  <c r="EB86" i="2"/>
  <c r="EL85" i="2"/>
  <c r="EF84" i="2"/>
  <c r="EP83" i="2"/>
  <c r="DZ83" i="2"/>
  <c r="EJ82" i="2"/>
  <c r="EL101" i="2"/>
  <c r="EE100" i="2"/>
  <c r="EO99" i="2"/>
  <c r="DY99" i="2"/>
  <c r="EI98" i="2"/>
  <c r="EC97" i="2"/>
  <c r="EM96" i="2"/>
  <c r="DW96" i="2"/>
  <c r="EG95" i="2"/>
  <c r="EQ94" i="2"/>
  <c r="EA94" i="2"/>
  <c r="EK93" i="2"/>
  <c r="EE92" i="2"/>
  <c r="EO91" i="2"/>
  <c r="DY91" i="2"/>
  <c r="EI90" i="2"/>
  <c r="EC89" i="2"/>
  <c r="EM88" i="2"/>
  <c r="DW88" i="2"/>
  <c r="EG87" i="2"/>
  <c r="EQ86" i="2"/>
  <c r="EA86" i="2"/>
  <c r="EK85" i="2"/>
  <c r="EE84" i="2"/>
  <c r="EO83" i="2"/>
  <c r="DY83" i="2"/>
  <c r="EK101" i="2"/>
  <c r="ED100" i="2"/>
  <c r="EN99" i="2"/>
  <c r="DX99" i="2"/>
  <c r="EH98" i="2"/>
  <c r="EB97" i="2"/>
  <c r="EL96" i="2"/>
  <c r="EF95" i="2"/>
  <c r="EP94" i="2"/>
  <c r="DZ94" i="2"/>
  <c r="EJ93" i="2"/>
  <c r="ED92" i="2"/>
  <c r="EJ101" i="2"/>
  <c r="EC100" i="2"/>
  <c r="EM99" i="2"/>
  <c r="DW99" i="2"/>
  <c r="EG98" i="2"/>
  <c r="EQ97" i="2"/>
  <c r="EA97" i="2"/>
  <c r="EK96" i="2"/>
  <c r="EE95" i="2"/>
  <c r="EO94" i="2"/>
  <c r="DY94" i="2"/>
  <c r="EI93" i="2"/>
  <c r="EC92" i="2"/>
  <c r="EM91" i="2"/>
  <c r="DW91" i="2"/>
  <c r="EG90" i="2"/>
  <c r="EQ89" i="2"/>
  <c r="EA89" i="2"/>
  <c r="EK88" i="2"/>
  <c r="EE87" i="2"/>
  <c r="EO86" i="2"/>
  <c r="DY86" i="2"/>
  <c r="EI101" i="2"/>
  <c r="EB100" i="2"/>
  <c r="EL99" i="2"/>
  <c r="EF98" i="2"/>
  <c r="EP97" i="2"/>
  <c r="DZ97" i="2"/>
  <c r="EJ96" i="2"/>
  <c r="ED95" i="2"/>
  <c r="EN94" i="2"/>
  <c r="DX94" i="2"/>
  <c r="EH93" i="2"/>
  <c r="EB92" i="2"/>
  <c r="EL91" i="2"/>
  <c r="EF90" i="2"/>
  <c r="EP89" i="2"/>
  <c r="DZ89" i="2"/>
  <c r="EJ88" i="2"/>
  <c r="ED87" i="2"/>
  <c r="EN86" i="2"/>
  <c r="DX86" i="2"/>
  <c r="EH85" i="2"/>
  <c r="EB84" i="2"/>
  <c r="EL83" i="2"/>
  <c r="EF82" i="2"/>
  <c r="EP81" i="2"/>
  <c r="DZ81" i="2"/>
  <c r="EH101" i="2"/>
  <c r="EQ100" i="2"/>
  <c r="EA100" i="2"/>
  <c r="EK99" i="2"/>
  <c r="EE98" i="2"/>
  <c r="EO97" i="2"/>
  <c r="DY97" i="2"/>
  <c r="EI96" i="2"/>
  <c r="EC95" i="2"/>
  <c r="EM94" i="2"/>
  <c r="DW94" i="2"/>
  <c r="EG93" i="2"/>
  <c r="EQ92" i="2"/>
  <c r="EG101" i="2"/>
  <c r="EP100" i="2"/>
  <c r="DZ100" i="2"/>
  <c r="EJ99" i="2"/>
  <c r="ED98" i="2"/>
  <c r="EN97" i="2"/>
  <c r="DX97" i="2"/>
  <c r="EF101" i="2"/>
  <c r="EO100" i="2"/>
  <c r="DY100" i="2"/>
  <c r="EI99" i="2"/>
  <c r="EC98" i="2"/>
  <c r="EM97" i="2"/>
  <c r="DW97" i="2"/>
  <c r="EG96" i="2"/>
  <c r="EQ95" i="2"/>
  <c r="EA95" i="2"/>
  <c r="EK94" i="2"/>
  <c r="EE93" i="2"/>
  <c r="EO92" i="2"/>
  <c r="DY92" i="2"/>
  <c r="EI91" i="2"/>
  <c r="EC90" i="2"/>
  <c r="EM89" i="2"/>
  <c r="DW89" i="2"/>
  <c r="EG88" i="2"/>
  <c r="EQ87" i="2"/>
  <c r="EA87" i="2"/>
  <c r="EK86" i="2"/>
  <c r="EE85" i="2"/>
  <c r="EO84" i="2"/>
  <c r="DY84" i="2"/>
  <c r="EI83" i="2"/>
  <c r="EC82" i="2"/>
  <c r="EM81" i="2"/>
  <c r="DW81" i="2"/>
  <c r="EC101" i="2"/>
  <c r="EL100" i="2"/>
  <c r="EF99" i="2"/>
  <c r="EP98" i="2"/>
  <c r="DZ98" i="2"/>
  <c r="EJ97" i="2"/>
  <c r="EQ98" i="2"/>
  <c r="EJ94" i="2"/>
  <c r="EO89" i="2"/>
  <c r="EP87" i="2"/>
  <c r="EB85" i="2"/>
  <c r="EN84" i="2"/>
  <c r="EF83" i="2"/>
  <c r="DY82" i="2"/>
  <c r="DX81" i="2"/>
  <c r="EE101" i="2"/>
  <c r="EB98" i="2"/>
  <c r="EI94" i="2"/>
  <c r="EN91" i="2"/>
  <c r="EQ90" i="2"/>
  <c r="EN89" i="2"/>
  <c r="EL88" i="2"/>
  <c r="EO87" i="2"/>
  <c r="DZ85" i="2"/>
  <c r="EM84" i="2"/>
  <c r="EE83" i="2"/>
  <c r="DX82" i="2"/>
  <c r="ED101" i="2"/>
  <c r="EA98" i="2"/>
  <c r="EH94" i="2"/>
  <c r="EK91" i="2"/>
  <c r="EP90" i="2"/>
  <c r="EL89" i="2"/>
  <c r="EI88" i="2"/>
  <c r="EN87" i="2"/>
  <c r="EP86" i="2"/>
  <c r="DX85" i="2"/>
  <c r="EL84" i="2"/>
  <c r="ED83" i="2"/>
  <c r="EQ81" i="2"/>
  <c r="EP92" i="2"/>
  <c r="EJ91" i="2"/>
  <c r="EH90" i="2"/>
  <c r="EK89" i="2"/>
  <c r="EH88" i="2"/>
  <c r="EJ87" i="2"/>
  <c r="EM86" i="2"/>
  <c r="EK84" i="2"/>
  <c r="EB83" i="2"/>
  <c r="EQ82" i="2"/>
  <c r="EO81" i="2"/>
  <c r="EP95" i="2"/>
  <c r="EN92" i="2"/>
  <c r="EH91" i="2"/>
  <c r="EE90" i="2"/>
  <c r="EJ89" i="2"/>
  <c r="EF88" i="2"/>
  <c r="EF87" i="2"/>
  <c r="EL86" i="2"/>
  <c r="EJ84" i="2"/>
  <c r="DX83" i="2"/>
  <c r="EP82" i="2"/>
  <c r="EN81" i="2"/>
  <c r="EN100" i="2"/>
  <c r="EL97" i="2"/>
  <c r="EO95" i="2"/>
  <c r="EM92" i="2"/>
  <c r="EG91" i="2"/>
  <c r="ED90" i="2"/>
  <c r="EB89" i="2"/>
  <c r="EE88" i="2"/>
  <c r="EC87" i="2"/>
  <c r="EJ86" i="2"/>
  <c r="EH84" i="2"/>
  <c r="DW83" i="2"/>
  <c r="EO82" i="2"/>
  <c r="EL81" i="2"/>
  <c r="EM100" i="2"/>
  <c r="EK97" i="2"/>
  <c r="EN95" i="2"/>
  <c r="EL92" i="2"/>
  <c r="EF91" i="2"/>
  <c r="EB90" i="2"/>
  <c r="DY89" i="2"/>
  <c r="ED88" i="2"/>
  <c r="EB87" i="2"/>
  <c r="EI86" i="2"/>
  <c r="ED84" i="2"/>
  <c r="EN82" i="2"/>
  <c r="EK81" i="2"/>
  <c r="DX100" i="2"/>
  <c r="EB95" i="2"/>
  <c r="EA92" i="2"/>
  <c r="DX91" i="2"/>
  <c r="EA90" i="2"/>
  <c r="DX89" i="2"/>
  <c r="DZ87" i="2"/>
  <c r="EH86" i="2"/>
  <c r="EC84" i="2"/>
  <c r="EL82" i="2"/>
  <c r="EJ81" i="2"/>
  <c r="DW100" i="2"/>
  <c r="DZ95" i="2"/>
  <c r="DZ92" i="2"/>
  <c r="DZ90" i="2"/>
  <c r="DY87" i="2"/>
  <c r="ED86" i="2"/>
  <c r="EP85" i="2"/>
  <c r="EA84" i="2"/>
  <c r="EI82" i="2"/>
  <c r="EI81" i="2"/>
  <c r="DY95" i="2"/>
  <c r="DX92" i="2"/>
  <c r="DX87" i="2"/>
  <c r="DZ86" i="2"/>
  <c r="DX95" i="2"/>
  <c r="DW92" i="2"/>
  <c r="EH99" i="2"/>
  <c r="EH96" i="2"/>
  <c r="EF93" i="2"/>
  <c r="EG99" i="2"/>
  <c r="EF96" i="2"/>
  <c r="EL94" i="2"/>
  <c r="EC85" i="2"/>
  <c r="EP84" i="2"/>
  <c r="EG83" i="2"/>
  <c r="DZ82" i="2"/>
  <c r="DY81" i="2"/>
  <c r="ED96" i="2"/>
  <c r="EH81" i="2"/>
  <c r="DW86" i="2"/>
  <c r="EQ84" i="2"/>
  <c r="EF81" i="2"/>
  <c r="DZ84" i="2"/>
  <c r="ED81" i="2"/>
  <c r="DX84" i="2"/>
  <c r="EC81" i="2"/>
  <c r="ED93" i="2"/>
  <c r="DW84" i="2"/>
  <c r="EH82" i="2"/>
  <c r="EB81" i="2"/>
  <c r="EC93" i="2"/>
  <c r="EG82" i="2"/>
  <c r="EA81" i="2"/>
  <c r="EB93" i="2"/>
  <c r="EN85" i="2"/>
  <c r="EE82" i="2"/>
  <c r="EJ85" i="2"/>
  <c r="ED82" i="2"/>
  <c r="EI85" i="2"/>
  <c r="EB82" i="2"/>
  <c r="EG85" i="2"/>
  <c r="EN83" i="2"/>
  <c r="EA82" i="2"/>
  <c r="EF85" i="2"/>
  <c r="EM83" i="2"/>
  <c r="ED85" i="2"/>
  <c r="EK83" i="2"/>
  <c r="EJ83" i="2"/>
  <c r="EE96" i="2"/>
  <c r="EH83" i="2"/>
  <c r="CP101" i="2"/>
  <c r="BZ101" i="2"/>
  <c r="CJ100" i="2"/>
  <c r="CD99" i="2"/>
  <c r="CN98" i="2"/>
  <c r="CH97" i="2"/>
  <c r="CR96" i="2"/>
  <c r="CB96" i="2"/>
  <c r="CL95" i="2"/>
  <c r="CF94" i="2"/>
  <c r="CP93" i="2"/>
  <c r="BZ93" i="2"/>
  <c r="CJ92" i="2"/>
  <c r="CK101" i="2"/>
  <c r="CE100" i="2"/>
  <c r="CO101" i="2"/>
  <c r="CB100" i="2"/>
  <c r="CJ99" i="2"/>
  <c r="CR98" i="2"/>
  <c r="CA98" i="2"/>
  <c r="CI97" i="2"/>
  <c r="CP96" i="2"/>
  <c r="BY96" i="2"/>
  <c r="CG95" i="2"/>
  <c r="CO94" i="2"/>
  <c r="CF93" i="2"/>
  <c r="CN92" i="2"/>
  <c r="CE91" i="2"/>
  <c r="CO90" i="2"/>
  <c r="BY90" i="2"/>
  <c r="CI89" i="2"/>
  <c r="CS88" i="2"/>
  <c r="CC88" i="2"/>
  <c r="CM87" i="2"/>
  <c r="CG86" i="2"/>
  <c r="CQ85" i="2"/>
  <c r="CA85" i="2"/>
  <c r="CK84" i="2"/>
  <c r="CE83" i="2"/>
  <c r="CO82" i="2"/>
  <c r="BY82" i="2"/>
  <c r="CI81" i="2"/>
  <c r="CN101" i="2"/>
  <c r="CS100" i="2"/>
  <c r="CA100" i="2"/>
  <c r="CI99" i="2"/>
  <c r="CQ98" i="2"/>
  <c r="BZ98" i="2"/>
  <c r="CG97" i="2"/>
  <c r="CO96" i="2"/>
  <c r="CF95" i="2"/>
  <c r="CN94" i="2"/>
  <c r="CE93" i="2"/>
  <c r="CM92" i="2"/>
  <c r="CD91" i="2"/>
  <c r="CN90" i="2"/>
  <c r="CH89" i="2"/>
  <c r="CR88" i="2"/>
  <c r="CB88" i="2"/>
  <c r="CL87" i="2"/>
  <c r="CF86" i="2"/>
  <c r="CP85" i="2"/>
  <c r="BZ85" i="2"/>
  <c r="CJ84" i="2"/>
  <c r="CM101" i="2"/>
  <c r="CR100" i="2"/>
  <c r="BZ100" i="2"/>
  <c r="CH99" i="2"/>
  <c r="CP98" i="2"/>
  <c r="BY98" i="2"/>
  <c r="CF97" i="2"/>
  <c r="CN96" i="2"/>
  <c r="CE95" i="2"/>
  <c r="CM94" i="2"/>
  <c r="CD93" i="2"/>
  <c r="CL92" i="2"/>
  <c r="CS91" i="2"/>
  <c r="CC91" i="2"/>
  <c r="CM90" i="2"/>
  <c r="CG89" i="2"/>
  <c r="CQ88" i="2"/>
  <c r="CA88" i="2"/>
  <c r="CK87" i="2"/>
  <c r="CE86" i="2"/>
  <c r="CL101" i="2"/>
  <c r="CQ100" i="2"/>
  <c r="BY100" i="2"/>
  <c r="CG99" i="2"/>
  <c r="CO98" i="2"/>
  <c r="CE97" i="2"/>
  <c r="CM96" i="2"/>
  <c r="CD95" i="2"/>
  <c r="CL94" i="2"/>
  <c r="CC93" i="2"/>
  <c r="CK92" i="2"/>
  <c r="CR91" i="2"/>
  <c r="CB91" i="2"/>
  <c r="CL90" i="2"/>
  <c r="CF89" i="2"/>
  <c r="CP88" i="2"/>
  <c r="BZ88" i="2"/>
  <c r="CJ87" i="2"/>
  <c r="CD86" i="2"/>
  <c r="CN85" i="2"/>
  <c r="CH84" i="2"/>
  <c r="CR83" i="2"/>
  <c r="CB83" i="2"/>
  <c r="CL82" i="2"/>
  <c r="CF81" i="2"/>
  <c r="CJ101" i="2"/>
  <c r="CP100" i="2"/>
  <c r="CF99" i="2"/>
  <c r="CM98" i="2"/>
  <c r="CD97" i="2"/>
  <c r="CL96" i="2"/>
  <c r="CC95" i="2"/>
  <c r="CK94" i="2"/>
  <c r="CS93" i="2"/>
  <c r="CB93" i="2"/>
  <c r="CI92" i="2"/>
  <c r="CQ91" i="2"/>
  <c r="CA91" i="2"/>
  <c r="CK90" i="2"/>
  <c r="CE89" i="2"/>
  <c r="CO88" i="2"/>
  <c r="BY88" i="2"/>
  <c r="CI87" i="2"/>
  <c r="CI101" i="2"/>
  <c r="CO100" i="2"/>
  <c r="CE99" i="2"/>
  <c r="CL98" i="2"/>
  <c r="CC97" i="2"/>
  <c r="CK96" i="2"/>
  <c r="CS95" i="2"/>
  <c r="CB95" i="2"/>
  <c r="CJ94" i="2"/>
  <c r="CR93" i="2"/>
  <c r="CA93" i="2"/>
  <c r="CH92" i="2"/>
  <c r="CP91" i="2"/>
  <c r="BZ91" i="2"/>
  <c r="CJ90" i="2"/>
  <c r="CD89" i="2"/>
  <c r="CN88" i="2"/>
  <c r="CH87" i="2"/>
  <c r="CR86" i="2"/>
  <c r="CB86" i="2"/>
  <c r="CL85" i="2"/>
  <c r="CF84" i="2"/>
  <c r="CP83" i="2"/>
  <c r="BZ83" i="2"/>
  <c r="CJ82" i="2"/>
  <c r="CD81" i="2"/>
  <c r="CH101" i="2"/>
  <c r="CN100" i="2"/>
  <c r="CC99" i="2"/>
  <c r="CK98" i="2"/>
  <c r="CS97" i="2"/>
  <c r="CB97" i="2"/>
  <c r="CJ96" i="2"/>
  <c r="CR95" i="2"/>
  <c r="CA95" i="2"/>
  <c r="CI94" i="2"/>
  <c r="CQ93" i="2"/>
  <c r="BY93" i="2"/>
  <c r="CG92" i="2"/>
  <c r="CO91" i="2"/>
  <c r="BY91" i="2"/>
  <c r="CI90" i="2"/>
  <c r="CS89" i="2"/>
  <c r="CC89" i="2"/>
  <c r="CM88" i="2"/>
  <c r="CG87" i="2"/>
  <c r="CQ86" i="2"/>
  <c r="CA86" i="2"/>
  <c r="CK85" i="2"/>
  <c r="CE84" i="2"/>
  <c r="CO83" i="2"/>
  <c r="BY83" i="2"/>
  <c r="CI82" i="2"/>
  <c r="CS81" i="2"/>
  <c r="CC81" i="2"/>
  <c r="CG101" i="2"/>
  <c r="CM100" i="2"/>
  <c r="CS99" i="2"/>
  <c r="CB99" i="2"/>
  <c r="CJ98" i="2"/>
  <c r="CR97" i="2"/>
  <c r="CA97" i="2"/>
  <c r="CI96" i="2"/>
  <c r="CQ95" i="2"/>
  <c r="BZ95" i="2"/>
  <c r="CH94" i="2"/>
  <c r="CO93" i="2"/>
  <c r="CF92" i="2"/>
  <c r="CN91" i="2"/>
  <c r="CH90" i="2"/>
  <c r="CR89" i="2"/>
  <c r="CB89" i="2"/>
  <c r="CL88" i="2"/>
  <c r="CF87" i="2"/>
  <c r="CP86" i="2"/>
  <c r="BZ86" i="2"/>
  <c r="CJ85" i="2"/>
  <c r="CD84" i="2"/>
  <c r="CN83" i="2"/>
  <c r="CH82" i="2"/>
  <c r="CR81" i="2"/>
  <c r="CB81" i="2"/>
  <c r="CF101" i="2"/>
  <c r="CL100" i="2"/>
  <c r="CR99" i="2"/>
  <c r="CA99" i="2"/>
  <c r="CI98" i="2"/>
  <c r="CQ97" i="2"/>
  <c r="BZ97" i="2"/>
  <c r="CH96" i="2"/>
  <c r="CP95" i="2"/>
  <c r="BY95" i="2"/>
  <c r="CG94" i="2"/>
  <c r="CN93" i="2"/>
  <c r="CE101" i="2"/>
  <c r="CK100" i="2"/>
  <c r="CQ99" i="2"/>
  <c r="BZ99" i="2"/>
  <c r="CH98" i="2"/>
  <c r="CP97" i="2"/>
  <c r="BY97" i="2"/>
  <c r="CG96" i="2"/>
  <c r="CO95" i="2"/>
  <c r="CD101" i="2"/>
  <c r="CI100" i="2"/>
  <c r="CP99" i="2"/>
  <c r="BY99" i="2"/>
  <c r="CG98" i="2"/>
  <c r="CC101" i="2"/>
  <c r="CH100" i="2"/>
  <c r="CO99" i="2"/>
  <c r="CF98" i="2"/>
  <c r="CN97" i="2"/>
  <c r="CE96" i="2"/>
  <c r="CM95" i="2"/>
  <c r="CC94" i="2"/>
  <c r="CK93" i="2"/>
  <c r="CS92" i="2"/>
  <c r="CB92" i="2"/>
  <c r="CJ91" i="2"/>
  <c r="CD90" i="2"/>
  <c r="CN89" i="2"/>
  <c r="CH88" i="2"/>
  <c r="CR87" i="2"/>
  <c r="CQ101" i="2"/>
  <c r="CC100" i="2"/>
  <c r="CK99" i="2"/>
  <c r="CS98" i="2"/>
  <c r="CB98" i="2"/>
  <c r="CJ97" i="2"/>
  <c r="CQ96" i="2"/>
  <c r="BZ96" i="2"/>
  <c r="CH95" i="2"/>
  <c r="CP94" i="2"/>
  <c r="BY94" i="2"/>
  <c r="CG93" i="2"/>
  <c r="CO92" i="2"/>
  <c r="CF91" i="2"/>
  <c r="CP90" i="2"/>
  <c r="BZ90" i="2"/>
  <c r="CJ89" i="2"/>
  <c r="CD88" i="2"/>
  <c r="CR101" i="2"/>
  <c r="CK97" i="2"/>
  <c r="CB94" i="2"/>
  <c r="CH86" i="2"/>
  <c r="CL84" i="2"/>
  <c r="CF83" i="2"/>
  <c r="CA82" i="2"/>
  <c r="CQ81" i="2"/>
  <c r="CB101" i="2"/>
  <c r="CN95" i="2"/>
  <c r="CA94" i="2"/>
  <c r="CC86" i="2"/>
  <c r="CS85" i="2"/>
  <c r="CI84" i="2"/>
  <c r="CD83" i="2"/>
  <c r="BZ82" i="2"/>
  <c r="CP81" i="2"/>
  <c r="CA101" i="2"/>
  <c r="CK95" i="2"/>
  <c r="BZ94" i="2"/>
  <c r="CQ89" i="2"/>
  <c r="BY86" i="2"/>
  <c r="CR85" i="2"/>
  <c r="CG84" i="2"/>
  <c r="CC83" i="2"/>
  <c r="CO81" i="2"/>
  <c r="BY101" i="2"/>
  <c r="CJ95" i="2"/>
  <c r="CS90" i="2"/>
  <c r="CP89" i="2"/>
  <c r="CS87" i="2"/>
  <c r="CO85" i="2"/>
  <c r="CC84" i="2"/>
  <c r="CA83" i="2"/>
  <c r="CS82" i="2"/>
  <c r="CN81" i="2"/>
  <c r="CI95" i="2"/>
  <c r="CM91" i="2"/>
  <c r="CR90" i="2"/>
  <c r="CO89" i="2"/>
  <c r="CK88" i="2"/>
  <c r="CQ87" i="2"/>
  <c r="CM85" i="2"/>
  <c r="CB84" i="2"/>
  <c r="CR82" i="2"/>
  <c r="CM81" i="2"/>
  <c r="CR92" i="2"/>
  <c r="CL91" i="2"/>
  <c r="CQ90" i="2"/>
  <c r="CM89" i="2"/>
  <c r="CJ88" i="2"/>
  <c r="CP87" i="2"/>
  <c r="CI85" i="2"/>
  <c r="CA84" i="2"/>
  <c r="CQ82" i="2"/>
  <c r="CL81" i="2"/>
  <c r="CE98" i="2"/>
  <c r="CQ92" i="2"/>
  <c r="CK91" i="2"/>
  <c r="CG90" i="2"/>
  <c r="CL89" i="2"/>
  <c r="CI88" i="2"/>
  <c r="CO87" i="2"/>
  <c r="CH85" i="2"/>
  <c r="BZ84" i="2"/>
  <c r="CP82" i="2"/>
  <c r="CK81" i="2"/>
  <c r="CG100" i="2"/>
  <c r="CD98" i="2"/>
  <c r="CP92" i="2"/>
  <c r="CI91" i="2"/>
  <c r="CF90" i="2"/>
  <c r="CK89" i="2"/>
  <c r="CG88" i="2"/>
  <c r="CN87" i="2"/>
  <c r="CG85" i="2"/>
  <c r="BY84" i="2"/>
  <c r="CS83" i="2"/>
  <c r="CN82" i="2"/>
  <c r="CJ81" i="2"/>
  <c r="CF100" i="2"/>
  <c r="CC98" i="2"/>
  <c r="CS96" i="2"/>
  <c r="CM93" i="2"/>
  <c r="CE92" i="2"/>
  <c r="CH91" i="2"/>
  <c r="CE90" i="2"/>
  <c r="CA89" i="2"/>
  <c r="CF88" i="2"/>
  <c r="CE87" i="2"/>
  <c r="CS86" i="2"/>
  <c r="CF85" i="2"/>
  <c r="CQ83" i="2"/>
  <c r="CM82" i="2"/>
  <c r="CH81" i="2"/>
  <c r="CD100" i="2"/>
  <c r="CF96" i="2"/>
  <c r="CL93" i="2"/>
  <c r="CD92" i="2"/>
  <c r="CG91" i="2"/>
  <c r="CC90" i="2"/>
  <c r="BZ89" i="2"/>
  <c r="CE88" i="2"/>
  <c r="CD87" i="2"/>
  <c r="CO86" i="2"/>
  <c r="CE85" i="2"/>
  <c r="CS84" i="2"/>
  <c r="CM83" i="2"/>
  <c r="CK82" i="2"/>
  <c r="CG81" i="2"/>
  <c r="CD96" i="2"/>
  <c r="CJ93" i="2"/>
  <c r="CC92" i="2"/>
  <c r="CB90" i="2"/>
  <c r="BY89" i="2"/>
  <c r="CC87" i="2"/>
  <c r="CN86" i="2"/>
  <c r="CD85" i="2"/>
  <c r="CR84" i="2"/>
  <c r="CL83" i="2"/>
  <c r="CG82" i="2"/>
  <c r="CE81" i="2"/>
  <c r="CC96" i="2"/>
  <c r="CS94" i="2"/>
  <c r="CI93" i="2"/>
  <c r="CA92" i="2"/>
  <c r="CA90" i="2"/>
  <c r="CB87" i="2"/>
  <c r="CM86" i="2"/>
  <c r="CC85" i="2"/>
  <c r="CQ84" i="2"/>
  <c r="CK83" i="2"/>
  <c r="CF82" i="2"/>
  <c r="CA81" i="2"/>
  <c r="CA96" i="2"/>
  <c r="CR94" i="2"/>
  <c r="CH93" i="2"/>
  <c r="BZ92" i="2"/>
  <c r="CA87" i="2"/>
  <c r="CL86" i="2"/>
  <c r="CB85" i="2"/>
  <c r="CP84" i="2"/>
  <c r="CJ83" i="2"/>
  <c r="CE82" i="2"/>
  <c r="BZ81" i="2"/>
  <c r="CM97" i="2"/>
  <c r="CL97" i="2"/>
  <c r="CD82" i="2"/>
  <c r="BY85" i="2"/>
  <c r="CC82" i="2"/>
  <c r="CB82" i="2"/>
  <c r="CQ94" i="2"/>
  <c r="CE94" i="2"/>
  <c r="CO84" i="2"/>
  <c r="CD94" i="2"/>
  <c r="CN84" i="2"/>
  <c r="CM84" i="2"/>
  <c r="BY81" i="2"/>
  <c r="BZ87" i="2"/>
  <c r="CS101" i="2"/>
  <c r="BY92" i="2"/>
  <c r="BY87" i="2"/>
  <c r="CN99" i="2"/>
  <c r="CI83" i="2"/>
  <c r="CM99" i="2"/>
  <c r="CK86" i="2"/>
  <c r="CH83" i="2"/>
  <c r="AK101" i="2"/>
  <c r="AU100" i="2"/>
  <c r="AE100" i="2"/>
  <c r="AO99" i="2"/>
  <c r="AI98" i="2"/>
  <c r="AS97" i="2"/>
  <c r="AC97" i="2"/>
  <c r="AM96" i="2"/>
  <c r="AG95" i="2"/>
  <c r="AQ94" i="2"/>
  <c r="AA94" i="2"/>
  <c r="AK93" i="2"/>
  <c r="AU92" i="2"/>
  <c r="AE92" i="2"/>
  <c r="AO91" i="2"/>
  <c r="AI90" i="2"/>
  <c r="AS89" i="2"/>
  <c r="AC89" i="2"/>
  <c r="AM88" i="2"/>
  <c r="AG87" i="2"/>
  <c r="AF101" i="2"/>
  <c r="AP100" i="2"/>
  <c r="AJ99" i="2"/>
  <c r="AT101" i="2"/>
  <c r="AD101" i="2"/>
  <c r="AN100" i="2"/>
  <c r="AH99" i="2"/>
  <c r="AR98" i="2"/>
  <c r="AB98" i="2"/>
  <c r="AL97" i="2"/>
  <c r="AF96" i="2"/>
  <c r="AP95" i="2"/>
  <c r="AJ94" i="2"/>
  <c r="CL99" i="2"/>
  <c r="CO97" i="2"/>
  <c r="CG83" i="2"/>
  <c r="AN101" i="2"/>
  <c r="AQ100" i="2"/>
  <c r="AS99" i="2"/>
  <c r="AD98" i="2"/>
  <c r="AI97" i="2"/>
  <c r="AO96" i="2"/>
  <c r="AT95" i="2"/>
  <c r="AB95" i="2"/>
  <c r="AG94" i="2"/>
  <c r="AN93" i="2"/>
  <c r="AD92" i="2"/>
  <c r="AL91" i="2"/>
  <c r="AT90" i="2"/>
  <c r="AC90" i="2"/>
  <c r="AK89" i="2"/>
  <c r="AS88" i="2"/>
  <c r="AB88" i="2"/>
  <c r="AJ87" i="2"/>
  <c r="AR86" i="2"/>
  <c r="AB86" i="2"/>
  <c r="AL85" i="2"/>
  <c r="AF84" i="2"/>
  <c r="AP83" i="2"/>
  <c r="AJ82" i="2"/>
  <c r="AT81" i="2"/>
  <c r="AD81" i="2"/>
  <c r="AM101" i="2"/>
  <c r="AO100" i="2"/>
  <c r="AR99" i="2"/>
  <c r="AU98" i="2"/>
  <c r="AC98" i="2"/>
  <c r="AH97" i="2"/>
  <c r="AN96" i="2"/>
  <c r="AS95" i="2"/>
  <c r="AA95" i="2"/>
  <c r="AF94" i="2"/>
  <c r="AM93" i="2"/>
  <c r="AT92" i="2"/>
  <c r="AC92" i="2"/>
  <c r="AK91" i="2"/>
  <c r="AS90" i="2"/>
  <c r="AB90" i="2"/>
  <c r="AJ89" i="2"/>
  <c r="AR88" i="2"/>
  <c r="AA88" i="2"/>
  <c r="AI87" i="2"/>
  <c r="AQ86" i="2"/>
  <c r="AA86" i="2"/>
  <c r="AK85" i="2"/>
  <c r="AU84" i="2"/>
  <c r="AE84" i="2"/>
  <c r="AO83" i="2"/>
  <c r="AI82" i="2"/>
  <c r="AS81" i="2"/>
  <c r="AC81" i="2"/>
  <c r="AL101" i="2"/>
  <c r="AM100" i="2"/>
  <c r="AQ99" i="2"/>
  <c r="AT98" i="2"/>
  <c r="AA98" i="2"/>
  <c r="AG97" i="2"/>
  <c r="AL96" i="2"/>
  <c r="AR95" i="2"/>
  <c r="AE94" i="2"/>
  <c r="AL93" i="2"/>
  <c r="AS92" i="2"/>
  <c r="AB92" i="2"/>
  <c r="AJ91" i="2"/>
  <c r="AR90" i="2"/>
  <c r="AA90" i="2"/>
  <c r="AI89" i="2"/>
  <c r="AQ88" i="2"/>
  <c r="AH87" i="2"/>
  <c r="AP86" i="2"/>
  <c r="AJ85" i="2"/>
  <c r="AT84" i="2"/>
  <c r="AD84" i="2"/>
  <c r="AN83" i="2"/>
  <c r="AH82" i="2"/>
  <c r="AR81" i="2"/>
  <c r="AB81" i="2"/>
  <c r="AJ101" i="2"/>
  <c r="AL100" i="2"/>
  <c r="AP99" i="2"/>
  <c r="AS98" i="2"/>
  <c r="AF97" i="2"/>
  <c r="AK96" i="2"/>
  <c r="AQ95" i="2"/>
  <c r="AD94" i="2"/>
  <c r="AJ93" i="2"/>
  <c r="AR92" i="2"/>
  <c r="AA92" i="2"/>
  <c r="AI91" i="2"/>
  <c r="AQ90" i="2"/>
  <c r="AH89" i="2"/>
  <c r="AP88" i="2"/>
  <c r="AF87" i="2"/>
  <c r="AO86" i="2"/>
  <c r="AI85" i="2"/>
  <c r="AS84" i="2"/>
  <c r="AC84" i="2"/>
  <c r="AM83" i="2"/>
  <c r="AG82" i="2"/>
  <c r="AQ81" i="2"/>
  <c r="AA81" i="2"/>
  <c r="AI101" i="2"/>
  <c r="AK100" i="2"/>
  <c r="AN99" i="2"/>
  <c r="AQ98" i="2"/>
  <c r="AE97" i="2"/>
  <c r="AJ96" i="2"/>
  <c r="AO95" i="2"/>
  <c r="AU94" i="2"/>
  <c r="AC94" i="2"/>
  <c r="AI93" i="2"/>
  <c r="AQ92" i="2"/>
  <c r="AH91" i="2"/>
  <c r="AP90" i="2"/>
  <c r="AG89" i="2"/>
  <c r="AO88" i="2"/>
  <c r="AE87" i="2"/>
  <c r="AN86" i="2"/>
  <c r="AH85" i="2"/>
  <c r="AR84" i="2"/>
  <c r="AB84" i="2"/>
  <c r="AL83" i="2"/>
  <c r="AF82" i="2"/>
  <c r="AP81" i="2"/>
  <c r="AH101" i="2"/>
  <c r="AJ100" i="2"/>
  <c r="AM99" i="2"/>
  <c r="AP98" i="2"/>
  <c r="AD97" i="2"/>
  <c r="AI96" i="2"/>
  <c r="AN95" i="2"/>
  <c r="AT94" i="2"/>
  <c r="AB94" i="2"/>
  <c r="AH93" i="2"/>
  <c r="AP92" i="2"/>
  <c r="AG91" i="2"/>
  <c r="AO90" i="2"/>
  <c r="AF89" i="2"/>
  <c r="AN88" i="2"/>
  <c r="AU87" i="2"/>
  <c r="AD87" i="2"/>
  <c r="AM86" i="2"/>
  <c r="AG85" i="2"/>
  <c r="AQ84" i="2"/>
  <c r="AA84" i="2"/>
  <c r="AK83" i="2"/>
  <c r="AU82" i="2"/>
  <c r="AE82" i="2"/>
  <c r="AO81" i="2"/>
  <c r="AG101" i="2"/>
  <c r="AI100" i="2"/>
  <c r="AL99" i="2"/>
  <c r="AO98" i="2"/>
  <c r="AU97" i="2"/>
  <c r="AB97" i="2"/>
  <c r="AH96" i="2"/>
  <c r="AM95" i="2"/>
  <c r="AS94" i="2"/>
  <c r="AG93" i="2"/>
  <c r="AO92" i="2"/>
  <c r="AF91" i="2"/>
  <c r="AN90" i="2"/>
  <c r="AE89" i="2"/>
  <c r="AL88" i="2"/>
  <c r="AT87" i="2"/>
  <c r="AC87" i="2"/>
  <c r="AL86" i="2"/>
  <c r="AF85" i="2"/>
  <c r="AP84" i="2"/>
  <c r="AJ83" i="2"/>
  <c r="AT82" i="2"/>
  <c r="AD82" i="2"/>
  <c r="AN81" i="2"/>
  <c r="CJ86" i="2"/>
  <c r="AE101" i="2"/>
  <c r="AH100" i="2"/>
  <c r="AK99" i="2"/>
  <c r="AN98" i="2"/>
  <c r="AT97" i="2"/>
  <c r="AA97" i="2"/>
  <c r="AG96" i="2"/>
  <c r="AL95" i="2"/>
  <c r="AR94" i="2"/>
  <c r="AF93" i="2"/>
  <c r="AN92" i="2"/>
  <c r="AE91" i="2"/>
  <c r="AM90" i="2"/>
  <c r="AU89" i="2"/>
  <c r="AD89" i="2"/>
  <c r="AK88" i="2"/>
  <c r="AS87" i="2"/>
  <c r="AB87" i="2"/>
  <c r="AK86" i="2"/>
  <c r="AU85" i="2"/>
  <c r="AE85" i="2"/>
  <c r="AO84" i="2"/>
  <c r="AI83" i="2"/>
  <c r="AS82" i="2"/>
  <c r="AC82" i="2"/>
  <c r="AM81" i="2"/>
  <c r="CI86" i="2"/>
  <c r="AC101" i="2"/>
  <c r="AG100" i="2"/>
  <c r="AI99" i="2"/>
  <c r="AM98" i="2"/>
  <c r="AR97" i="2"/>
  <c r="AE96" i="2"/>
  <c r="AK95" i="2"/>
  <c r="AP94" i="2"/>
  <c r="AE93" i="2"/>
  <c r="AM92" i="2"/>
  <c r="AU91" i="2"/>
  <c r="AD91" i="2"/>
  <c r="AL90" i="2"/>
  <c r="AT89" i="2"/>
  <c r="AB89" i="2"/>
  <c r="AJ88" i="2"/>
  <c r="AR87" i="2"/>
  <c r="AA87" i="2"/>
  <c r="AJ86" i="2"/>
  <c r="AT85" i="2"/>
  <c r="AD85" i="2"/>
  <c r="AN84" i="2"/>
  <c r="AH83" i="2"/>
  <c r="AR82" i="2"/>
  <c r="AB82" i="2"/>
  <c r="AL81" i="2"/>
  <c r="AB101" i="2"/>
  <c r="AF100" i="2"/>
  <c r="AG99" i="2"/>
  <c r="AL98" i="2"/>
  <c r="AQ97" i="2"/>
  <c r="AD96" i="2"/>
  <c r="AJ95" i="2"/>
  <c r="AO94" i="2"/>
  <c r="AU93" i="2"/>
  <c r="AD93" i="2"/>
  <c r="AL92" i="2"/>
  <c r="AT91" i="2"/>
  <c r="AC91" i="2"/>
  <c r="AK90" i="2"/>
  <c r="AR89" i="2"/>
  <c r="AA89" i="2"/>
  <c r="AI88" i="2"/>
  <c r="AQ87" i="2"/>
  <c r="AI86" i="2"/>
  <c r="AS85" i="2"/>
  <c r="AC85" i="2"/>
  <c r="AM84" i="2"/>
  <c r="AG83" i="2"/>
  <c r="AQ82" i="2"/>
  <c r="AA82" i="2"/>
  <c r="AK81" i="2"/>
  <c r="AU101" i="2"/>
  <c r="AA101" i="2"/>
  <c r="AD100" i="2"/>
  <c r="AF99" i="2"/>
  <c r="AK98" i="2"/>
  <c r="AP97" i="2"/>
  <c r="AU96" i="2"/>
  <c r="AC96" i="2"/>
  <c r="AI95" i="2"/>
  <c r="AN94" i="2"/>
  <c r="AT93" i="2"/>
  <c r="AC93" i="2"/>
  <c r="AK92" i="2"/>
  <c r="AS91" i="2"/>
  <c r="AB91" i="2"/>
  <c r="AJ90" i="2"/>
  <c r="AQ89" i="2"/>
  <c r="AH88" i="2"/>
  <c r="AP87" i="2"/>
  <c r="AH86" i="2"/>
  <c r="AR85" i="2"/>
  <c r="AB85" i="2"/>
  <c r="AL84" i="2"/>
  <c r="AS101" i="2"/>
  <c r="AC100" i="2"/>
  <c r="AE99" i="2"/>
  <c r="AJ98" i="2"/>
  <c r="AO97" i="2"/>
  <c r="AT96" i="2"/>
  <c r="AB96" i="2"/>
  <c r="AH95" i="2"/>
  <c r="AM94" i="2"/>
  <c r="AS93" i="2"/>
  <c r="AB93" i="2"/>
  <c r="AJ92" i="2"/>
  <c r="AR91" i="2"/>
  <c r="AA91" i="2"/>
  <c r="AH90" i="2"/>
  <c r="AP89" i="2"/>
  <c r="AG88" i="2"/>
  <c r="AO87" i="2"/>
  <c r="AG86" i="2"/>
  <c r="AQ85" i="2"/>
  <c r="AA85" i="2"/>
  <c r="AR101" i="2"/>
  <c r="AB100" i="2"/>
  <c r="AD99" i="2"/>
  <c r="AH98" i="2"/>
  <c r="AN97" i="2"/>
  <c r="AS96" i="2"/>
  <c r="AA96" i="2"/>
  <c r="AF95" i="2"/>
  <c r="AL94" i="2"/>
  <c r="AR93" i="2"/>
  <c r="AA93" i="2"/>
  <c r="AI92" i="2"/>
  <c r="AQ91" i="2"/>
  <c r="AG90" i="2"/>
  <c r="AO89" i="2"/>
  <c r="AF88" i="2"/>
  <c r="AN87" i="2"/>
  <c r="AF86" i="2"/>
  <c r="AP85" i="2"/>
  <c r="AA100" i="2"/>
  <c r="AU95" i="2"/>
  <c r="AU86" i="2"/>
  <c r="AR83" i="2"/>
  <c r="AN82" i="2"/>
  <c r="AJ81" i="2"/>
  <c r="AE95" i="2"/>
  <c r="AT86" i="2"/>
  <c r="AQ83" i="2"/>
  <c r="AM82" i="2"/>
  <c r="AI81" i="2"/>
  <c r="AM97" i="2"/>
  <c r="AD95" i="2"/>
  <c r="AU88" i="2"/>
  <c r="AS86" i="2"/>
  <c r="AF83" i="2"/>
  <c r="AL82" i="2"/>
  <c r="AH81" i="2"/>
  <c r="AK97" i="2"/>
  <c r="AC95" i="2"/>
  <c r="AT88" i="2"/>
  <c r="AE86" i="2"/>
  <c r="AK84" i="2"/>
  <c r="AE83" i="2"/>
  <c r="AK82" i="2"/>
  <c r="AG81" i="2"/>
  <c r="AU99" i="2"/>
  <c r="AJ97" i="2"/>
  <c r="AU90" i="2"/>
  <c r="AE88" i="2"/>
  <c r="AD86" i="2"/>
  <c r="AJ84" i="2"/>
  <c r="AD83" i="2"/>
  <c r="AF81" i="2"/>
  <c r="AT99" i="2"/>
  <c r="AF90" i="2"/>
  <c r="AD88" i="2"/>
  <c r="AC86" i="2"/>
  <c r="AI84" i="2"/>
  <c r="AC83" i="2"/>
  <c r="AE81" i="2"/>
  <c r="AC99" i="2"/>
  <c r="AH92" i="2"/>
  <c r="AE90" i="2"/>
  <c r="AC88" i="2"/>
  <c r="AH84" i="2"/>
  <c r="AB83" i="2"/>
  <c r="AQ101" i="2"/>
  <c r="AB99" i="2"/>
  <c r="AK94" i="2"/>
  <c r="AG92" i="2"/>
  <c r="AD90" i="2"/>
  <c r="AG84" i="2"/>
  <c r="AA83" i="2"/>
  <c r="AP101" i="2"/>
  <c r="AA99" i="2"/>
  <c r="AR96" i="2"/>
  <c r="AI94" i="2"/>
  <c r="AF92" i="2"/>
  <c r="AO101" i="2"/>
  <c r="AQ96" i="2"/>
  <c r="AH94" i="2"/>
  <c r="AO85" i="2"/>
  <c r="AP96" i="2"/>
  <c r="AM87" i="2"/>
  <c r="AN85" i="2"/>
  <c r="AN89" i="2"/>
  <c r="AL87" i="2"/>
  <c r="AM85" i="2"/>
  <c r="AG98" i="2"/>
  <c r="AP91" i="2"/>
  <c r="AM89" i="2"/>
  <c r="AK87" i="2"/>
  <c r="AU83" i="2"/>
  <c r="AQ93" i="2"/>
  <c r="AT83" i="2"/>
  <c r="AP93" i="2"/>
  <c r="AS83" i="2"/>
  <c r="AO93" i="2"/>
  <c r="AN91" i="2"/>
  <c r="AP82" i="2"/>
  <c r="AM91" i="2"/>
  <c r="AO82" i="2"/>
  <c r="AL89" i="2"/>
  <c r="AT100" i="2"/>
  <c r="AU81" i="2"/>
  <c r="AS100" i="2"/>
  <c r="AR100" i="2"/>
  <c r="AF98" i="2"/>
  <c r="AE98" i="2"/>
  <c r="T56" i="4"/>
  <c r="D56" i="4"/>
  <c r="S56" i="4"/>
  <c r="C56" i="4"/>
  <c r="R56" i="4"/>
  <c r="B56" i="4"/>
  <c r="P56" i="4"/>
  <c r="A56" i="4"/>
  <c r="O56" i="4"/>
  <c r="N56" i="4"/>
  <c r="L56" i="4"/>
  <c r="K56" i="4"/>
  <c r="J56" i="4"/>
  <c r="H56" i="4"/>
  <c r="F56" i="4"/>
  <c r="U56" i="4"/>
  <c r="Q56" i="4"/>
  <c r="M56" i="4"/>
  <c r="I56" i="4"/>
  <c r="G56" i="4"/>
  <c r="E56" i="4"/>
  <c r="L64" i="4"/>
  <c r="K64" i="4"/>
  <c r="J64" i="4"/>
  <c r="H64" i="4"/>
  <c r="G64" i="4"/>
  <c r="F64" i="4"/>
  <c r="U64" i="4"/>
  <c r="E64" i="4"/>
  <c r="T64" i="4"/>
  <c r="D64" i="4"/>
  <c r="S64" i="4"/>
  <c r="C64" i="4"/>
  <c r="R64" i="4"/>
  <c r="B64" i="4"/>
  <c r="Q64" i="4"/>
  <c r="P64" i="4"/>
  <c r="A64" i="4"/>
  <c r="O64" i="4"/>
  <c r="N64" i="4"/>
  <c r="M64" i="4"/>
  <c r="I64" i="4"/>
  <c r="C17" i="1"/>
  <c r="EQ29" i="2"/>
  <c r="EA29" i="2"/>
  <c r="EK28" i="2"/>
  <c r="EE27" i="2"/>
  <c r="EO26" i="2"/>
  <c r="DY26" i="2"/>
  <c r="EI25" i="2"/>
  <c r="EC24" i="2"/>
  <c r="EM23" i="2"/>
  <c r="DW23" i="2"/>
  <c r="EG22" i="2"/>
  <c r="EL29" i="2"/>
  <c r="EC28" i="2"/>
  <c r="EK27" i="2"/>
  <c r="EB26" i="2"/>
  <c r="EJ25" i="2"/>
  <c r="EQ24" i="2"/>
  <c r="DZ24" i="2"/>
  <c r="EH23" i="2"/>
  <c r="EP22" i="2"/>
  <c r="DY22" i="2"/>
  <c r="EI21" i="2"/>
  <c r="EC20" i="2"/>
  <c r="EM19" i="2"/>
  <c r="DW19" i="2"/>
  <c r="EG18" i="2"/>
  <c r="EQ17" i="2"/>
  <c r="EA17" i="2"/>
  <c r="EK16" i="2"/>
  <c r="EE15" i="2"/>
  <c r="EO14" i="2"/>
  <c r="DY14" i="2"/>
  <c r="EI13" i="2"/>
  <c r="EC12" i="2"/>
  <c r="EM11" i="2"/>
  <c r="DW11" i="2"/>
  <c r="EG10" i="2"/>
  <c r="EQ9" i="2"/>
  <c r="EA9" i="2"/>
  <c r="EK29" i="2"/>
  <c r="EB28" i="2"/>
  <c r="EJ27" i="2"/>
  <c r="EA26" i="2"/>
  <c r="EH25" i="2"/>
  <c r="EP24" i="2"/>
  <c r="DY24" i="2"/>
  <c r="EG23" i="2"/>
  <c r="EO22" i="2"/>
  <c r="DX22" i="2"/>
  <c r="EH21" i="2"/>
  <c r="EB20" i="2"/>
  <c r="EL19" i="2"/>
  <c r="EF18" i="2"/>
  <c r="EP17" i="2"/>
  <c r="DZ17" i="2"/>
  <c r="EJ16" i="2"/>
  <c r="ED15" i="2"/>
  <c r="EN14" i="2"/>
  <c r="DX14" i="2"/>
  <c r="EJ29" i="2"/>
  <c r="EA28" i="2"/>
  <c r="EI27" i="2"/>
  <c r="EQ26" i="2"/>
  <c r="DZ26" i="2"/>
  <c r="EG25" i="2"/>
  <c r="EO24" i="2"/>
  <c r="DX24" i="2"/>
  <c r="EF23" i="2"/>
  <c r="EN22" i="2"/>
  <c r="DW22" i="2"/>
  <c r="EG21" i="2"/>
  <c r="EQ20" i="2"/>
  <c r="EA20" i="2"/>
  <c r="EK19" i="2"/>
  <c r="EI29" i="2"/>
  <c r="EQ28" i="2"/>
  <c r="DZ28" i="2"/>
  <c r="EH27" i="2"/>
  <c r="EP26" i="2"/>
  <c r="DX26" i="2"/>
  <c r="EF25" i="2"/>
  <c r="EN24" i="2"/>
  <c r="DW24" i="2"/>
  <c r="EE23" i="2"/>
  <c r="EM22" i="2"/>
  <c r="EF21" i="2"/>
  <c r="EP20" i="2"/>
  <c r="DZ20" i="2"/>
  <c r="EJ19" i="2"/>
  <c r="EH29" i="2"/>
  <c r="EP28" i="2"/>
  <c r="DY28" i="2"/>
  <c r="EG27" i="2"/>
  <c r="EN26" i="2"/>
  <c r="DW26" i="2"/>
  <c r="EE25" i="2"/>
  <c r="EM24" i="2"/>
  <c r="ED23" i="2"/>
  <c r="EL22" i="2"/>
  <c r="EE21" i="2"/>
  <c r="EO20" i="2"/>
  <c r="DY20" i="2"/>
  <c r="EI19" i="2"/>
  <c r="EC18" i="2"/>
  <c r="EG29" i="2"/>
  <c r="EO28" i="2"/>
  <c r="DX28" i="2"/>
  <c r="EF27" i="2"/>
  <c r="EM26" i="2"/>
  <c r="ED25" i="2"/>
  <c r="EL24" i="2"/>
  <c r="EC23" i="2"/>
  <c r="EK22" i="2"/>
  <c r="ED21" i="2"/>
  <c r="EN20" i="2"/>
  <c r="DX20" i="2"/>
  <c r="EH19" i="2"/>
  <c r="EB18" i="2"/>
  <c r="EL17" i="2"/>
  <c r="EF16" i="2"/>
  <c r="EP15" i="2"/>
  <c r="DZ15" i="2"/>
  <c r="EJ14" i="2"/>
  <c r="ED13" i="2"/>
  <c r="EN12" i="2"/>
  <c r="DX12" i="2"/>
  <c r="EH11" i="2"/>
  <c r="EB10" i="2"/>
  <c r="EL9" i="2"/>
  <c r="EF29" i="2"/>
  <c r="EN28" i="2"/>
  <c r="DW28" i="2"/>
  <c r="ED27" i="2"/>
  <c r="EL26" i="2"/>
  <c r="EC25" i="2"/>
  <c r="EK24" i="2"/>
  <c r="EB23" i="2"/>
  <c r="EJ22" i="2"/>
  <c r="EC21" i="2"/>
  <c r="EM20" i="2"/>
  <c r="DW20" i="2"/>
  <c r="EG19" i="2"/>
  <c r="EQ18" i="2"/>
  <c r="EA18" i="2"/>
  <c r="EK17" i="2"/>
  <c r="EE16" i="2"/>
  <c r="EO15" i="2"/>
  <c r="DY15" i="2"/>
  <c r="EI14" i="2"/>
  <c r="EC13" i="2"/>
  <c r="EM12" i="2"/>
  <c r="DW12" i="2"/>
  <c r="EG11" i="2"/>
  <c r="EQ10" i="2"/>
  <c r="EA10" i="2"/>
  <c r="EE29" i="2"/>
  <c r="EM28" i="2"/>
  <c r="EC27" i="2"/>
  <c r="EK26" i="2"/>
  <c r="EB25" i="2"/>
  <c r="EJ24" i="2"/>
  <c r="EA23" i="2"/>
  <c r="EI22" i="2"/>
  <c r="EB21" i="2"/>
  <c r="EL20" i="2"/>
  <c r="EF19" i="2"/>
  <c r="EP18" i="2"/>
  <c r="DZ18" i="2"/>
  <c r="EJ17" i="2"/>
  <c r="ED16" i="2"/>
  <c r="EN15" i="2"/>
  <c r="DX15" i="2"/>
  <c r="EH14" i="2"/>
  <c r="EB13" i="2"/>
  <c r="EL12" i="2"/>
  <c r="EF11" i="2"/>
  <c r="EP10" i="2"/>
  <c r="DZ10" i="2"/>
  <c r="EJ9" i="2"/>
  <c r="ED29" i="2"/>
  <c r="EL28" i="2"/>
  <c r="EB27" i="2"/>
  <c r="EJ26" i="2"/>
  <c r="EA25" i="2"/>
  <c r="EI24" i="2"/>
  <c r="EQ23" i="2"/>
  <c r="DZ23" i="2"/>
  <c r="EH22" i="2"/>
  <c r="EQ21" i="2"/>
  <c r="EA21" i="2"/>
  <c r="EK20" i="2"/>
  <c r="EE19" i="2"/>
  <c r="EO18" i="2"/>
  <c r="DY18" i="2"/>
  <c r="EI17" i="2"/>
  <c r="EC16" i="2"/>
  <c r="EM29" i="2"/>
  <c r="ED28" i="2"/>
  <c r="EL27" i="2"/>
  <c r="EC26" i="2"/>
  <c r="EK25" i="2"/>
  <c r="EA24" i="2"/>
  <c r="EI23" i="2"/>
  <c r="EQ22" i="2"/>
  <c r="DZ22" i="2"/>
  <c r="EJ21" i="2"/>
  <c r="DY29" i="2"/>
  <c r="EO21" i="2"/>
  <c r="ED18" i="2"/>
  <c r="EI16" i="2"/>
  <c r="EC15" i="2"/>
  <c r="DZ14" i="2"/>
  <c r="EP13" i="2"/>
  <c r="EQ12" i="2"/>
  <c r="EP11" i="2"/>
  <c r="EN10" i="2"/>
  <c r="EO9" i="2"/>
  <c r="DX29" i="2"/>
  <c r="EP23" i="2"/>
  <c r="EN21" i="2"/>
  <c r="DX18" i="2"/>
  <c r="EH16" i="2"/>
  <c r="EB15" i="2"/>
  <c r="DW14" i="2"/>
  <c r="EO13" i="2"/>
  <c r="EP12" i="2"/>
  <c r="EO11" i="2"/>
  <c r="EM10" i="2"/>
  <c r="EN9" i="2"/>
  <c r="DW29" i="2"/>
  <c r="EO23" i="2"/>
  <c r="EM21" i="2"/>
  <c r="EJ20" i="2"/>
  <c r="DW18" i="2"/>
  <c r="EO17" i="2"/>
  <c r="EG16" i="2"/>
  <c r="EA15" i="2"/>
  <c r="EN13" i="2"/>
  <c r="EO12" i="2"/>
  <c r="EN11" i="2"/>
  <c r="EL10" i="2"/>
  <c r="EM9" i="2"/>
  <c r="EQ25" i="2"/>
  <c r="EN23" i="2"/>
  <c r="EF22" i="2"/>
  <c r="EL21" i="2"/>
  <c r="EI20" i="2"/>
  <c r="EQ19" i="2"/>
  <c r="EN17" i="2"/>
  <c r="EB16" i="2"/>
  <c r="DW15" i="2"/>
  <c r="EM13" i="2"/>
  <c r="EK12" i="2"/>
  <c r="EL11" i="2"/>
  <c r="EK10" i="2"/>
  <c r="EK9" i="2"/>
  <c r="EP25" i="2"/>
  <c r="EL23" i="2"/>
  <c r="EE22" i="2"/>
  <c r="EK21" i="2"/>
  <c r="EH20" i="2"/>
  <c r="EP19" i="2"/>
  <c r="EM17" i="2"/>
  <c r="EA16" i="2"/>
  <c r="EQ14" i="2"/>
  <c r="EL13" i="2"/>
  <c r="EJ12" i="2"/>
  <c r="EK11" i="2"/>
  <c r="EJ10" i="2"/>
  <c r="EI9" i="2"/>
  <c r="EO25" i="2"/>
  <c r="EH24" i="2"/>
  <c r="EK23" i="2"/>
  <c r="ED22" i="2"/>
  <c r="DZ21" i="2"/>
  <c r="EG20" i="2"/>
  <c r="EO19" i="2"/>
  <c r="EH17" i="2"/>
  <c r="DZ16" i="2"/>
  <c r="EP14" i="2"/>
  <c r="EK13" i="2"/>
  <c r="EI12" i="2"/>
  <c r="EJ11" i="2"/>
  <c r="EI10" i="2"/>
  <c r="EH9" i="2"/>
  <c r="EQ27" i="2"/>
  <c r="EN25" i="2"/>
  <c r="EG24" i="2"/>
  <c r="EJ23" i="2"/>
  <c r="EC22" i="2"/>
  <c r="DY21" i="2"/>
  <c r="EF20" i="2"/>
  <c r="EN19" i="2"/>
  <c r="EG17" i="2"/>
  <c r="DY16" i="2"/>
  <c r="EM14" i="2"/>
  <c r="EJ13" i="2"/>
  <c r="EH12" i="2"/>
  <c r="EI11" i="2"/>
  <c r="EH10" i="2"/>
  <c r="EG9" i="2"/>
  <c r="EP27" i="2"/>
  <c r="EI26" i="2"/>
  <c r="EM25" i="2"/>
  <c r="EF24" i="2"/>
  <c r="DY23" i="2"/>
  <c r="EB22" i="2"/>
  <c r="DX21" i="2"/>
  <c r="EE20" i="2"/>
  <c r="ED19" i="2"/>
  <c r="EF17" i="2"/>
  <c r="DX16" i="2"/>
  <c r="EQ15" i="2"/>
  <c r="EL14" i="2"/>
  <c r="EH13" i="2"/>
  <c r="EG12" i="2"/>
  <c r="EE11" i="2"/>
  <c r="EF10" i="2"/>
  <c r="EF9" i="2"/>
  <c r="DZ29" i="2"/>
  <c r="EH26" i="2"/>
  <c r="EE24" i="2"/>
  <c r="EA22" i="2"/>
  <c r="ED20" i="2"/>
  <c r="EN18" i="2"/>
  <c r="EE17" i="2"/>
  <c r="DW16" i="2"/>
  <c r="EJ28" i="2"/>
  <c r="EG26" i="2"/>
  <c r="ED24" i="2"/>
  <c r="EM18" i="2"/>
  <c r="ED17" i="2"/>
  <c r="EI28" i="2"/>
  <c r="EF26" i="2"/>
  <c r="EB24" i="2"/>
  <c r="EL18" i="2"/>
  <c r="EC17" i="2"/>
  <c r="EH28" i="2"/>
  <c r="EE26" i="2"/>
  <c r="EK18" i="2"/>
  <c r="EB17" i="2"/>
  <c r="EG28" i="2"/>
  <c r="ED26" i="2"/>
  <c r="EJ18" i="2"/>
  <c r="DY17" i="2"/>
  <c r="EF28" i="2"/>
  <c r="EI18" i="2"/>
  <c r="DX17" i="2"/>
  <c r="EE28" i="2"/>
  <c r="EH18" i="2"/>
  <c r="DW17" i="2"/>
  <c r="EP21" i="2"/>
  <c r="EE18" i="2"/>
  <c r="EQ13" i="2"/>
  <c r="EQ11" i="2"/>
  <c r="EO10" i="2"/>
  <c r="EP9" i="2"/>
  <c r="EO27" i="2"/>
  <c r="EL25" i="2"/>
  <c r="DX23" i="2"/>
  <c r="DW21" i="2"/>
  <c r="EC19" i="2"/>
  <c r="EM15" i="2"/>
  <c r="EK14" i="2"/>
  <c r="EG13" i="2"/>
  <c r="EF12" i="2"/>
  <c r="ED11" i="2"/>
  <c r="EE10" i="2"/>
  <c r="EE9" i="2"/>
  <c r="EN27" i="2"/>
  <c r="DZ25" i="2"/>
  <c r="EB19" i="2"/>
  <c r="EL15" i="2"/>
  <c r="EG14" i="2"/>
  <c r="EF13" i="2"/>
  <c r="EE12" i="2"/>
  <c r="EC11" i="2"/>
  <c r="ED10" i="2"/>
  <c r="ED9" i="2"/>
  <c r="EM27" i="2"/>
  <c r="DY25" i="2"/>
  <c r="EA19" i="2"/>
  <c r="EQ16" i="2"/>
  <c r="EK15" i="2"/>
  <c r="EF14" i="2"/>
  <c r="EE13" i="2"/>
  <c r="ED12" i="2"/>
  <c r="EB11" i="2"/>
  <c r="EC10" i="2"/>
  <c r="EC9" i="2"/>
  <c r="EP29" i="2"/>
  <c r="EA27" i="2"/>
  <c r="DX25" i="2"/>
  <c r="DZ19" i="2"/>
  <c r="EP16" i="2"/>
  <c r="EJ15" i="2"/>
  <c r="EE14" i="2"/>
  <c r="EA13" i="2"/>
  <c r="EB12" i="2"/>
  <c r="EA11" i="2"/>
  <c r="DY10" i="2"/>
  <c r="EB9" i="2"/>
  <c r="EO29" i="2"/>
  <c r="DZ27" i="2"/>
  <c r="DW25" i="2"/>
  <c r="DY19" i="2"/>
  <c r="EO16" i="2"/>
  <c r="EI15" i="2"/>
  <c r="ED14" i="2"/>
  <c r="DZ13" i="2"/>
  <c r="EA12" i="2"/>
  <c r="DZ11" i="2"/>
  <c r="DX10" i="2"/>
  <c r="DZ9" i="2"/>
  <c r="EN29" i="2"/>
  <c r="DY27" i="2"/>
  <c r="DX19" i="2"/>
  <c r="EN16" i="2"/>
  <c r="EH15" i="2"/>
  <c r="EC14" i="2"/>
  <c r="DY13" i="2"/>
  <c r="DZ12" i="2"/>
  <c r="DY11" i="2"/>
  <c r="DW10" i="2"/>
  <c r="DY9" i="2"/>
  <c r="DW27" i="2"/>
  <c r="EA14" i="2"/>
  <c r="DX13" i="2"/>
  <c r="DW13" i="2"/>
  <c r="DY12" i="2"/>
  <c r="DX11" i="2"/>
  <c r="DX9" i="2"/>
  <c r="DW9" i="2"/>
  <c r="EM16" i="2"/>
  <c r="EL16" i="2"/>
  <c r="DX27" i="2"/>
  <c r="EB14" i="2"/>
  <c r="CD29" i="2"/>
  <c r="CN28" i="2"/>
  <c r="CH27" i="2"/>
  <c r="CR26" i="2"/>
  <c r="CB26" i="2"/>
  <c r="CL25" i="2"/>
  <c r="CF24" i="2"/>
  <c r="CP23" i="2"/>
  <c r="BZ23" i="2"/>
  <c r="CJ22" i="2"/>
  <c r="CD21" i="2"/>
  <c r="CN20" i="2"/>
  <c r="CH19" i="2"/>
  <c r="CR18" i="2"/>
  <c r="CB18" i="2"/>
  <c r="CL17" i="2"/>
  <c r="CF16" i="2"/>
  <c r="CO29" i="2"/>
  <c r="BY29" i="2"/>
  <c r="CI28" i="2"/>
  <c r="CS27" i="2"/>
  <c r="CC27" i="2"/>
  <c r="CM26" i="2"/>
  <c r="CG25" i="2"/>
  <c r="CQ24" i="2"/>
  <c r="CA24" i="2"/>
  <c r="CK23" i="2"/>
  <c r="CE22" i="2"/>
  <c r="CO21" i="2"/>
  <c r="BY21" i="2"/>
  <c r="CI20" i="2"/>
  <c r="CS19" i="2"/>
  <c r="CC19" i="2"/>
  <c r="CM18" i="2"/>
  <c r="CG17" i="2"/>
  <c r="CQ16" i="2"/>
  <c r="CN29" i="2"/>
  <c r="CH28" i="2"/>
  <c r="CR27" i="2"/>
  <c r="CB27" i="2"/>
  <c r="EC29" i="2"/>
  <c r="CM29" i="2"/>
  <c r="CG28" i="2"/>
  <c r="CQ27" i="2"/>
  <c r="CA27" i="2"/>
  <c r="CK26" i="2"/>
  <c r="CE25" i="2"/>
  <c r="CO24" i="2"/>
  <c r="BY24" i="2"/>
  <c r="CI23" i="2"/>
  <c r="CS22" i="2"/>
  <c r="CC22" i="2"/>
  <c r="CM21" i="2"/>
  <c r="CG20" i="2"/>
  <c r="CQ19" i="2"/>
  <c r="CA19" i="2"/>
  <c r="CK18" i="2"/>
  <c r="EB29" i="2"/>
  <c r="EG15" i="2"/>
  <c r="EF15" i="2"/>
  <c r="CP29" i="2"/>
  <c r="CO28" i="2"/>
  <c r="CM27" i="2"/>
  <c r="CO26" i="2"/>
  <c r="CQ25" i="2"/>
  <c r="BZ24" i="2"/>
  <c r="CC23" i="2"/>
  <c r="CF22" i="2"/>
  <c r="CH21" i="2"/>
  <c r="CK20" i="2"/>
  <c r="CM19" i="2"/>
  <c r="CP18" i="2"/>
  <c r="CB17" i="2"/>
  <c r="CH16" i="2"/>
  <c r="CQ15" i="2"/>
  <c r="CA15" i="2"/>
  <c r="CK14" i="2"/>
  <c r="CE13" i="2"/>
  <c r="CO12" i="2"/>
  <c r="BY12" i="2"/>
  <c r="CI11" i="2"/>
  <c r="CS10" i="2"/>
  <c r="CC10" i="2"/>
  <c r="CM9" i="2"/>
  <c r="CL29" i="2"/>
  <c r="CM28" i="2"/>
  <c r="CL27" i="2"/>
  <c r="CN26" i="2"/>
  <c r="CP25" i="2"/>
  <c r="CS24" i="2"/>
  <c r="CB23" i="2"/>
  <c r="CD22" i="2"/>
  <c r="CG21" i="2"/>
  <c r="CJ20" i="2"/>
  <c r="CL19" i="2"/>
  <c r="CO18" i="2"/>
  <c r="CS17" i="2"/>
  <c r="CA17" i="2"/>
  <c r="CG16" i="2"/>
  <c r="CP15" i="2"/>
  <c r="BZ15" i="2"/>
  <c r="CJ14" i="2"/>
  <c r="CD13" i="2"/>
  <c r="CN12" i="2"/>
  <c r="CH11" i="2"/>
  <c r="CR10" i="2"/>
  <c r="CB10" i="2"/>
  <c r="CL9" i="2"/>
  <c r="CK29" i="2"/>
  <c r="CL28" i="2"/>
  <c r="CK27" i="2"/>
  <c r="CL26" i="2"/>
  <c r="CO25" i="2"/>
  <c r="CR24" i="2"/>
  <c r="CA23" i="2"/>
  <c r="CB22" i="2"/>
  <c r="CF21" i="2"/>
  <c r="CH20" i="2"/>
  <c r="CK19" i="2"/>
  <c r="CN18" i="2"/>
  <c r="CR17" i="2"/>
  <c r="BZ17" i="2"/>
  <c r="CE16" i="2"/>
  <c r="CO15" i="2"/>
  <c r="BY15" i="2"/>
  <c r="CI14" i="2"/>
  <c r="CS13" i="2"/>
  <c r="CC13" i="2"/>
  <c r="CM12" i="2"/>
  <c r="CG11" i="2"/>
  <c r="CQ10" i="2"/>
  <c r="CA10" i="2"/>
  <c r="CK9" i="2"/>
  <c r="CJ29" i="2"/>
  <c r="CK28" i="2"/>
  <c r="CJ27" i="2"/>
  <c r="CJ26" i="2"/>
  <c r="CN25" i="2"/>
  <c r="CP24" i="2"/>
  <c r="CS23" i="2"/>
  <c r="BY23" i="2"/>
  <c r="CA22" i="2"/>
  <c r="CE21" i="2"/>
  <c r="CF20" i="2"/>
  <c r="CJ19" i="2"/>
  <c r="CL18" i="2"/>
  <c r="CQ17" i="2"/>
  <c r="BY17" i="2"/>
  <c r="CD16" i="2"/>
  <c r="CN15" i="2"/>
  <c r="CH14" i="2"/>
  <c r="CR13" i="2"/>
  <c r="CB13" i="2"/>
  <c r="CL12" i="2"/>
  <c r="CF11" i="2"/>
  <c r="CP10" i="2"/>
  <c r="BZ10" i="2"/>
  <c r="CJ9" i="2"/>
  <c r="CI29" i="2"/>
  <c r="CJ28" i="2"/>
  <c r="CI27" i="2"/>
  <c r="CI26" i="2"/>
  <c r="CM25" i="2"/>
  <c r="CN24" i="2"/>
  <c r="CR23" i="2"/>
  <c r="BZ22" i="2"/>
  <c r="CC21" i="2"/>
  <c r="CE20" i="2"/>
  <c r="CI19" i="2"/>
  <c r="CJ18" i="2"/>
  <c r="CP17" i="2"/>
  <c r="CC16" i="2"/>
  <c r="CM15" i="2"/>
  <c r="CG14" i="2"/>
  <c r="CQ13" i="2"/>
  <c r="CA13" i="2"/>
  <c r="CK12" i="2"/>
  <c r="CE11" i="2"/>
  <c r="CO10" i="2"/>
  <c r="BY10" i="2"/>
  <c r="CI9" i="2"/>
  <c r="CH29" i="2"/>
  <c r="CF28" i="2"/>
  <c r="CG27" i="2"/>
  <c r="CH26" i="2"/>
  <c r="CK25" i="2"/>
  <c r="CM24" i="2"/>
  <c r="CQ23" i="2"/>
  <c r="CR22" i="2"/>
  <c r="BY22" i="2"/>
  <c r="CB21" i="2"/>
  <c r="CD20" i="2"/>
  <c r="CG19" i="2"/>
  <c r="CI18" i="2"/>
  <c r="CO17" i="2"/>
  <c r="CB16" i="2"/>
  <c r="CL15" i="2"/>
  <c r="CF14" i="2"/>
  <c r="CP13" i="2"/>
  <c r="BZ13" i="2"/>
  <c r="CJ12" i="2"/>
  <c r="CD11" i="2"/>
  <c r="CN10" i="2"/>
  <c r="CH9" i="2"/>
  <c r="CG29" i="2"/>
  <c r="CE28" i="2"/>
  <c r="CF27" i="2"/>
  <c r="CG26" i="2"/>
  <c r="CJ25" i="2"/>
  <c r="CL24" i="2"/>
  <c r="CO23" i="2"/>
  <c r="CQ22" i="2"/>
  <c r="CA21" i="2"/>
  <c r="CC20" i="2"/>
  <c r="CF19" i="2"/>
  <c r="CH18" i="2"/>
  <c r="CN17" i="2"/>
  <c r="CS16" i="2"/>
  <c r="CA16" i="2"/>
  <c r="CK15" i="2"/>
  <c r="CE14" i="2"/>
  <c r="CO13" i="2"/>
  <c r="BY13" i="2"/>
  <c r="CI12" i="2"/>
  <c r="CS11" i="2"/>
  <c r="CC11" i="2"/>
  <c r="CM10" i="2"/>
  <c r="CG9" i="2"/>
  <c r="CF29" i="2"/>
  <c r="CD28" i="2"/>
  <c r="CE27" i="2"/>
  <c r="CF26" i="2"/>
  <c r="CI25" i="2"/>
  <c r="CK24" i="2"/>
  <c r="CN23" i="2"/>
  <c r="CP22" i="2"/>
  <c r="CS21" i="2"/>
  <c r="BZ21" i="2"/>
  <c r="CB20" i="2"/>
  <c r="CE19" i="2"/>
  <c r="CG18" i="2"/>
  <c r="CM17" i="2"/>
  <c r="CR16" i="2"/>
  <c r="BZ16" i="2"/>
  <c r="CJ15" i="2"/>
  <c r="CD14" i="2"/>
  <c r="CN13" i="2"/>
  <c r="CH12" i="2"/>
  <c r="CR11" i="2"/>
  <c r="CB11" i="2"/>
  <c r="CL10" i="2"/>
  <c r="CF9" i="2"/>
  <c r="CE29" i="2"/>
  <c r="CC28" i="2"/>
  <c r="CD27" i="2"/>
  <c r="CE26" i="2"/>
  <c r="CH25" i="2"/>
  <c r="CJ24" i="2"/>
  <c r="CM23" i="2"/>
  <c r="CO22" i="2"/>
  <c r="CR21" i="2"/>
  <c r="CA20" i="2"/>
  <c r="CD19" i="2"/>
  <c r="CF18" i="2"/>
  <c r="CK17" i="2"/>
  <c r="CP16" i="2"/>
  <c r="BY16" i="2"/>
  <c r="CC29" i="2"/>
  <c r="CB28" i="2"/>
  <c r="BZ27" i="2"/>
  <c r="CD26" i="2"/>
  <c r="CF25" i="2"/>
  <c r="CI24" i="2"/>
  <c r="CL23" i="2"/>
  <c r="CN22" i="2"/>
  <c r="CQ21" i="2"/>
  <c r="CS20" i="2"/>
  <c r="BZ20" i="2"/>
  <c r="CB19" i="2"/>
  <c r="CE18" i="2"/>
  <c r="CB29" i="2"/>
  <c r="CA28" i="2"/>
  <c r="BY27" i="2"/>
  <c r="CC26" i="2"/>
  <c r="CD25" i="2"/>
  <c r="CH24" i="2"/>
  <c r="CA29" i="2"/>
  <c r="BZ28" i="2"/>
  <c r="CA26" i="2"/>
  <c r="CC25" i="2"/>
  <c r="CG24" i="2"/>
  <c r="CH23" i="2"/>
  <c r="CL22" i="2"/>
  <c r="CN21" i="2"/>
  <c r="CQ20" i="2"/>
  <c r="BY19" i="2"/>
  <c r="CC18" i="2"/>
  <c r="CH17" i="2"/>
  <c r="CM16" i="2"/>
  <c r="CF15" i="2"/>
  <c r="CP14" i="2"/>
  <c r="BZ14" i="2"/>
  <c r="CJ13" i="2"/>
  <c r="CD12" i="2"/>
  <c r="CN11" i="2"/>
  <c r="CS28" i="2"/>
  <c r="CE23" i="2"/>
  <c r="BY20" i="2"/>
  <c r="CF17" i="2"/>
  <c r="CE15" i="2"/>
  <c r="CM14" i="2"/>
  <c r="CM13" i="2"/>
  <c r="CE10" i="2"/>
  <c r="CO9" i="2"/>
  <c r="CR28" i="2"/>
  <c r="CS26" i="2"/>
  <c r="CD23" i="2"/>
  <c r="CP21" i="2"/>
  <c r="CE17" i="2"/>
  <c r="CD15" i="2"/>
  <c r="CL14" i="2"/>
  <c r="CL13" i="2"/>
  <c r="CS12" i="2"/>
  <c r="CD10" i="2"/>
  <c r="CN9" i="2"/>
  <c r="CQ28" i="2"/>
  <c r="CQ26" i="2"/>
  <c r="CL21" i="2"/>
  <c r="CS18" i="2"/>
  <c r="CD17" i="2"/>
  <c r="CC15" i="2"/>
  <c r="CC14" i="2"/>
  <c r="CK13" i="2"/>
  <c r="CR12" i="2"/>
  <c r="CE9" i="2"/>
  <c r="CP28" i="2"/>
  <c r="CP26" i="2"/>
  <c r="CK21" i="2"/>
  <c r="CQ18" i="2"/>
  <c r="CC17" i="2"/>
  <c r="CB15" i="2"/>
  <c r="CB14" i="2"/>
  <c r="CI13" i="2"/>
  <c r="CQ12" i="2"/>
  <c r="CQ11" i="2"/>
  <c r="CD9" i="2"/>
  <c r="BY28" i="2"/>
  <c r="BZ26" i="2"/>
  <c r="CE24" i="2"/>
  <c r="CJ21" i="2"/>
  <c r="CD18" i="2"/>
  <c r="CA14" i="2"/>
  <c r="CH13" i="2"/>
  <c r="CP12" i="2"/>
  <c r="CP11" i="2"/>
  <c r="CC9" i="2"/>
  <c r="BY26" i="2"/>
  <c r="CD24" i="2"/>
  <c r="CI21" i="2"/>
  <c r="CA18" i="2"/>
  <c r="BY14" i="2"/>
  <c r="CG13" i="2"/>
  <c r="CG12" i="2"/>
  <c r="CO11" i="2"/>
  <c r="CB9" i="2"/>
  <c r="CC24" i="2"/>
  <c r="CR19" i="2"/>
  <c r="BZ18" i="2"/>
  <c r="CF13" i="2"/>
  <c r="CF12" i="2"/>
  <c r="CM11" i="2"/>
  <c r="CA9" i="2"/>
  <c r="CB24" i="2"/>
  <c r="CM22" i="2"/>
  <c r="CP19" i="2"/>
  <c r="BY18" i="2"/>
  <c r="CE12" i="2"/>
  <c r="CL11" i="2"/>
  <c r="BZ9" i="2"/>
  <c r="CK22" i="2"/>
  <c r="CO19" i="2"/>
  <c r="CC12" i="2"/>
  <c r="CK11" i="2"/>
  <c r="BY9" i="2"/>
  <c r="CS29" i="2"/>
  <c r="CP27" i="2"/>
  <c r="CI22" i="2"/>
  <c r="CN19" i="2"/>
  <c r="CB12" i="2"/>
  <c r="CJ11" i="2"/>
  <c r="CR29" i="2"/>
  <c r="CO27" i="2"/>
  <c r="CS25" i="2"/>
  <c r="CH22" i="2"/>
  <c r="BZ19" i="2"/>
  <c r="CO16" i="2"/>
  <c r="CA12" i="2"/>
  <c r="CA11" i="2"/>
  <c r="CK10" i="2"/>
  <c r="CQ29" i="2"/>
  <c r="CN27" i="2"/>
  <c r="CR25" i="2"/>
  <c r="CG22" i="2"/>
  <c r="CR20" i="2"/>
  <c r="CN16" i="2"/>
  <c r="CS15" i="2"/>
  <c r="CS14" i="2"/>
  <c r="BZ12" i="2"/>
  <c r="BZ11" i="2"/>
  <c r="CJ10" i="2"/>
  <c r="BZ29" i="2"/>
  <c r="CB25" i="2"/>
  <c r="CP20" i="2"/>
  <c r="CL16" i="2"/>
  <c r="CR15" i="2"/>
  <c r="CR14" i="2"/>
  <c r="BY11" i="2"/>
  <c r="CI10" i="2"/>
  <c r="CS9" i="2"/>
  <c r="BY25" i="2"/>
  <c r="CF23" i="2"/>
  <c r="CL20" i="2"/>
  <c r="CI17" i="2"/>
  <c r="CI16" i="2"/>
  <c r="CG15" i="2"/>
  <c r="CN14" i="2"/>
  <c r="CF10" i="2"/>
  <c r="CP9" i="2"/>
  <c r="CH10" i="2"/>
  <c r="CJ17" i="2"/>
  <c r="CG10" i="2"/>
  <c r="CK16" i="2"/>
  <c r="CR9" i="2"/>
  <c r="CJ16" i="2"/>
  <c r="CQ9" i="2"/>
  <c r="CI15" i="2"/>
  <c r="CH15" i="2"/>
  <c r="CA25" i="2"/>
  <c r="CQ14" i="2"/>
  <c r="BZ25" i="2"/>
  <c r="CO14" i="2"/>
  <c r="CJ23" i="2"/>
  <c r="CG23" i="2"/>
  <c r="AK29" i="2"/>
  <c r="AU28" i="2"/>
  <c r="AE28" i="2"/>
  <c r="AO27" i="2"/>
  <c r="AI26" i="2"/>
  <c r="AS25" i="2"/>
  <c r="AC25" i="2"/>
  <c r="AM24" i="2"/>
  <c r="AG23" i="2"/>
  <c r="AQ22" i="2"/>
  <c r="AA22" i="2"/>
  <c r="AJ29" i="2"/>
  <c r="AT28" i="2"/>
  <c r="AD28" i="2"/>
  <c r="AN27" i="2"/>
  <c r="AH26" i="2"/>
  <c r="AR25" i="2"/>
  <c r="AB25" i="2"/>
  <c r="AL24" i="2"/>
  <c r="AF23" i="2"/>
  <c r="AP22" i="2"/>
  <c r="AI29" i="2"/>
  <c r="AS28" i="2"/>
  <c r="AC28" i="2"/>
  <c r="AM27" i="2"/>
  <c r="AG26" i="2"/>
  <c r="AQ25" i="2"/>
  <c r="AA25" i="2"/>
  <c r="AK24" i="2"/>
  <c r="AU23" i="2"/>
  <c r="AE23" i="2"/>
  <c r="AO22" i="2"/>
  <c r="AH29" i="2"/>
  <c r="AR28" i="2"/>
  <c r="AB28" i="2"/>
  <c r="AL27" i="2"/>
  <c r="AF26" i="2"/>
  <c r="AP25" i="2"/>
  <c r="AJ24" i="2"/>
  <c r="CO20" i="2"/>
  <c r="CM20" i="2"/>
  <c r="AP29" i="2"/>
  <c r="AN28" i="2"/>
  <c r="AP27" i="2"/>
  <c r="AN26" i="2"/>
  <c r="AL25" i="2"/>
  <c r="AN24" i="2"/>
  <c r="AN23" i="2"/>
  <c r="AR22" i="2"/>
  <c r="AS21" i="2"/>
  <c r="AC21" i="2"/>
  <c r="AM20" i="2"/>
  <c r="AG19" i="2"/>
  <c r="AQ18" i="2"/>
  <c r="AA18" i="2"/>
  <c r="AK17" i="2"/>
  <c r="AU16" i="2"/>
  <c r="AE16" i="2"/>
  <c r="AO15" i="2"/>
  <c r="AI14" i="2"/>
  <c r="AS13" i="2"/>
  <c r="AC13" i="2"/>
  <c r="AM12" i="2"/>
  <c r="AG11" i="2"/>
  <c r="AQ10" i="2"/>
  <c r="AA10" i="2"/>
  <c r="AK9" i="2"/>
  <c r="AN10" i="2"/>
  <c r="AH9" i="2"/>
  <c r="AC19" i="2"/>
  <c r="AI12" i="2"/>
  <c r="AC11" i="2"/>
  <c r="AO29" i="2"/>
  <c r="AM28" i="2"/>
  <c r="AK27" i="2"/>
  <c r="AM26" i="2"/>
  <c r="AK25" i="2"/>
  <c r="AI24" i="2"/>
  <c r="AM23" i="2"/>
  <c r="AN22" i="2"/>
  <c r="AR21" i="2"/>
  <c r="AB21" i="2"/>
  <c r="AL20" i="2"/>
  <c r="AF19" i="2"/>
  <c r="AP18" i="2"/>
  <c r="AJ17" i="2"/>
  <c r="AT16" i="2"/>
  <c r="AD16" i="2"/>
  <c r="AN15" i="2"/>
  <c r="AH14" i="2"/>
  <c r="AR13" i="2"/>
  <c r="AB13" i="2"/>
  <c r="AL12" i="2"/>
  <c r="AF11" i="2"/>
  <c r="AP10" i="2"/>
  <c r="AJ9" i="2"/>
  <c r="AO10" i="2"/>
  <c r="AI9" i="2"/>
  <c r="AJ12" i="2"/>
  <c r="AM18" i="2"/>
  <c r="AQ16" i="2"/>
  <c r="AU14" i="2"/>
  <c r="AO13" i="2"/>
  <c r="AM10" i="2"/>
  <c r="AD14" i="2"/>
  <c r="AB11" i="2"/>
  <c r="AN29" i="2"/>
  <c r="AL28" i="2"/>
  <c r="AJ27" i="2"/>
  <c r="AL26" i="2"/>
  <c r="AJ25" i="2"/>
  <c r="AH24" i="2"/>
  <c r="AL23" i="2"/>
  <c r="AM22" i="2"/>
  <c r="AQ21" i="2"/>
  <c r="AA21" i="2"/>
  <c r="AK20" i="2"/>
  <c r="AU19" i="2"/>
  <c r="AE19" i="2"/>
  <c r="AO18" i="2"/>
  <c r="AI17" i="2"/>
  <c r="AS16" i="2"/>
  <c r="AC16" i="2"/>
  <c r="AM15" i="2"/>
  <c r="AG14" i="2"/>
  <c r="AQ13" i="2"/>
  <c r="AA13" i="2"/>
  <c r="AK12" i="2"/>
  <c r="AU11" i="2"/>
  <c r="AE11" i="2"/>
  <c r="AD11" i="2"/>
  <c r="AS19" i="2"/>
  <c r="AG17" i="2"/>
  <c r="AA16" i="2"/>
  <c r="AS11" i="2"/>
  <c r="AG9" i="2"/>
  <c r="AJ15" i="2"/>
  <c r="AH12" i="2"/>
  <c r="AF9" i="2"/>
  <c r="AM13" i="2"/>
  <c r="AM29" i="2"/>
  <c r="AK28" i="2"/>
  <c r="AI27" i="2"/>
  <c r="AK26" i="2"/>
  <c r="AI25" i="2"/>
  <c r="AG24" i="2"/>
  <c r="AK23" i="2"/>
  <c r="AL22" i="2"/>
  <c r="AP21" i="2"/>
  <c r="AJ20" i="2"/>
  <c r="AT19" i="2"/>
  <c r="AD19" i="2"/>
  <c r="AN18" i="2"/>
  <c r="AH17" i="2"/>
  <c r="AR16" i="2"/>
  <c r="AB16" i="2"/>
  <c r="AL15" i="2"/>
  <c r="AF14" i="2"/>
  <c r="AP13" i="2"/>
  <c r="AT11" i="2"/>
  <c r="AK15" i="2"/>
  <c r="AE14" i="2"/>
  <c r="AL29" i="2"/>
  <c r="AJ28" i="2"/>
  <c r="AH27" i="2"/>
  <c r="AJ26" i="2"/>
  <c r="AH25" i="2"/>
  <c r="AF24" i="2"/>
  <c r="AJ23" i="2"/>
  <c r="AK22" i="2"/>
  <c r="AO21" i="2"/>
  <c r="AI20" i="2"/>
  <c r="AG29" i="2"/>
  <c r="AI28" i="2"/>
  <c r="AG27" i="2"/>
  <c r="AE26" i="2"/>
  <c r="AG25" i="2"/>
  <c r="AE24" i="2"/>
  <c r="AI23" i="2"/>
  <c r="AJ22" i="2"/>
  <c r="AN21" i="2"/>
  <c r="AH20" i="2"/>
  <c r="AR19" i="2"/>
  <c r="AB19" i="2"/>
  <c r="AL18" i="2"/>
  <c r="AF17" i="2"/>
  <c r="AP16" i="2"/>
  <c r="AT14" i="2"/>
  <c r="AN13" i="2"/>
  <c r="AR11" i="2"/>
  <c r="AL10" i="2"/>
  <c r="AF29" i="2"/>
  <c r="AH28" i="2"/>
  <c r="AF27" i="2"/>
  <c r="AD26" i="2"/>
  <c r="AF25" i="2"/>
  <c r="AD24" i="2"/>
  <c r="AH23" i="2"/>
  <c r="AI22" i="2"/>
  <c r="AM21" i="2"/>
  <c r="AG20" i="2"/>
  <c r="AQ19" i="2"/>
  <c r="AA19" i="2"/>
  <c r="AK18" i="2"/>
  <c r="AU17" i="2"/>
  <c r="AE17" i="2"/>
  <c r="AO16" i="2"/>
  <c r="AI15" i="2"/>
  <c r="AE29" i="2"/>
  <c r="AG28" i="2"/>
  <c r="AE27" i="2"/>
  <c r="AC26" i="2"/>
  <c r="AE25" i="2"/>
  <c r="AC24" i="2"/>
  <c r="AD23" i="2"/>
  <c r="AH22" i="2"/>
  <c r="AL21" i="2"/>
  <c r="AF20" i="2"/>
  <c r="AP19" i="2"/>
  <c r="AJ18" i="2"/>
  <c r="AT17" i="2"/>
  <c r="AD29" i="2"/>
  <c r="AF28" i="2"/>
  <c r="AD27" i="2"/>
  <c r="AB26" i="2"/>
  <c r="AD25" i="2"/>
  <c r="AB24" i="2"/>
  <c r="AC23" i="2"/>
  <c r="AG22" i="2"/>
  <c r="AK21" i="2"/>
  <c r="AU20" i="2"/>
  <c r="AE20" i="2"/>
  <c r="AO19" i="2"/>
  <c r="AI18" i="2"/>
  <c r="AS17" i="2"/>
  <c r="AC17" i="2"/>
  <c r="AM16" i="2"/>
  <c r="AG15" i="2"/>
  <c r="AQ14" i="2"/>
  <c r="AA14" i="2"/>
  <c r="AK13" i="2"/>
  <c r="AU12" i="2"/>
  <c r="AE12" i="2"/>
  <c r="AO11" i="2"/>
  <c r="AC29" i="2"/>
  <c r="AA28" i="2"/>
  <c r="AC27" i="2"/>
  <c r="AU26" i="2"/>
  <c r="AA26" i="2"/>
  <c r="AU24" i="2"/>
  <c r="AA24" i="2"/>
  <c r="AB23" i="2"/>
  <c r="AF22" i="2"/>
  <c r="AJ21" i="2"/>
  <c r="AT20" i="2"/>
  <c r="AD20" i="2"/>
  <c r="AN19" i="2"/>
  <c r="AH18" i="2"/>
  <c r="AR17" i="2"/>
  <c r="AB17" i="2"/>
  <c r="AL16" i="2"/>
  <c r="AF15" i="2"/>
  <c r="AP14" i="2"/>
  <c r="AJ13" i="2"/>
  <c r="AB29" i="2"/>
  <c r="AB27" i="2"/>
  <c r="AT26" i="2"/>
  <c r="AT24" i="2"/>
  <c r="AT23" i="2"/>
  <c r="AA23" i="2"/>
  <c r="AE22" i="2"/>
  <c r="AI21" i="2"/>
  <c r="AU29" i="2"/>
  <c r="AA29" i="2"/>
  <c r="AU27" i="2"/>
  <c r="AA27" i="2"/>
  <c r="AS26" i="2"/>
  <c r="AU25" i="2"/>
  <c r="AS24" i="2"/>
  <c r="AS23" i="2"/>
  <c r="AD22" i="2"/>
  <c r="AH21" i="2"/>
  <c r="AR20" i="2"/>
  <c r="AB20" i="2"/>
  <c r="AL19" i="2"/>
  <c r="AF18" i="2"/>
  <c r="AP17" i="2"/>
  <c r="AJ16" i="2"/>
  <c r="AT15" i="2"/>
  <c r="AD15" i="2"/>
  <c r="AN14" i="2"/>
  <c r="AH13" i="2"/>
  <c r="AR12" i="2"/>
  <c r="AT29" i="2"/>
  <c r="AT27" i="2"/>
  <c r="AR26" i="2"/>
  <c r="AT25" i="2"/>
  <c r="AR24" i="2"/>
  <c r="AR23" i="2"/>
  <c r="AC22" i="2"/>
  <c r="AG21" i="2"/>
  <c r="AQ20" i="2"/>
  <c r="AA20" i="2"/>
  <c r="AK19" i="2"/>
  <c r="AU18" i="2"/>
  <c r="AE18" i="2"/>
  <c r="AP23" i="2"/>
  <c r="AD21" i="2"/>
  <c r="AB18" i="2"/>
  <c r="AD12" i="2"/>
  <c r="AQ11" i="2"/>
  <c r="AG10" i="2"/>
  <c r="AP11" i="2"/>
  <c r="AF10" i="2"/>
  <c r="AU9" i="2"/>
  <c r="AN17" i="2"/>
  <c r="AU13" i="2"/>
  <c r="AM17" i="2"/>
  <c r="AA11" i="2"/>
  <c r="AQ29" i="2"/>
  <c r="AG12" i="2"/>
  <c r="AQ28" i="2"/>
  <c r="AO23" i="2"/>
  <c r="AM19" i="2"/>
  <c r="AC12" i="2"/>
  <c r="AR9" i="2"/>
  <c r="AB10" i="2"/>
  <c r="AO20" i="2"/>
  <c r="AT12" i="2"/>
  <c r="AQ27" i="2"/>
  <c r="AP26" i="2"/>
  <c r="AF12" i="2"/>
  <c r="AP28" i="2"/>
  <c r="AJ19" i="2"/>
  <c r="AB12" i="2"/>
  <c r="AN11" i="2"/>
  <c r="AE10" i="2"/>
  <c r="AT9" i="2"/>
  <c r="AS15" i="2"/>
  <c r="AI16" i="2"/>
  <c r="AH11" i="2"/>
  <c r="AD9" i="2"/>
  <c r="AT21" i="2"/>
  <c r="AQ23" i="2"/>
  <c r="AA9" i="2"/>
  <c r="AO28" i="2"/>
  <c r="AO25" i="2"/>
  <c r="AI19" i="2"/>
  <c r="AU15" i="2"/>
  <c r="AA12" i="2"/>
  <c r="AM11" i="2"/>
  <c r="AD10" i="2"/>
  <c r="AS9" i="2"/>
  <c r="AL11" i="2"/>
  <c r="AQ9" i="2"/>
  <c r="AP9" i="2"/>
  <c r="AE15" i="2"/>
  <c r="AK10" i="2"/>
  <c r="AN25" i="2"/>
  <c r="AH19" i="2"/>
  <c r="AS14" i="2"/>
  <c r="AC10" i="2"/>
  <c r="AS22" i="2"/>
  <c r="AI11" i="2"/>
  <c r="AN20" i="2"/>
  <c r="AL14" i="2"/>
  <c r="AN9" i="2"/>
  <c r="AH16" i="2"/>
  <c r="AS12" i="2"/>
  <c r="AC9" i="2"/>
  <c r="AF21" i="2"/>
  <c r="AI10" i="2"/>
  <c r="AE21" i="2"/>
  <c r="AH10" i="2"/>
  <c r="AM25" i="2"/>
  <c r="AU22" i="2"/>
  <c r="AS20" i="2"/>
  <c r="AQ17" i="2"/>
  <c r="AR15" i="2"/>
  <c r="AR14" i="2"/>
  <c r="AK11" i="2"/>
  <c r="AO9" i="2"/>
  <c r="AT13" i="2"/>
  <c r="AL13" i="2"/>
  <c r="AG13" i="2"/>
  <c r="AU21" i="2"/>
  <c r="AO12" i="2"/>
  <c r="AT22" i="2"/>
  <c r="AP20" i="2"/>
  <c r="AO17" i="2"/>
  <c r="AN16" i="2"/>
  <c r="AQ15" i="2"/>
  <c r="AO14" i="2"/>
  <c r="AJ11" i="2"/>
  <c r="AK16" i="2"/>
  <c r="AM14" i="2"/>
  <c r="AR27" i="2"/>
  <c r="AU10" i="2"/>
  <c r="AC20" i="2"/>
  <c r="AK14" i="2"/>
  <c r="AM9" i="2"/>
  <c r="AP12" i="2"/>
  <c r="AA15" i="2"/>
  <c r="AS27" i="2"/>
  <c r="AP15" i="2"/>
  <c r="AR29" i="2"/>
  <c r="AB22" i="2"/>
  <c r="AH15" i="2"/>
  <c r="AL17" i="2"/>
  <c r="AQ24" i="2"/>
  <c r="AT10" i="2"/>
  <c r="AP24" i="2"/>
  <c r="AT18" i="2"/>
  <c r="AD17" i="2"/>
  <c r="AG16" i="2"/>
  <c r="AC15" i="2"/>
  <c r="AJ14" i="2"/>
  <c r="AI13" i="2"/>
  <c r="AQ12" i="2"/>
  <c r="AS10" i="2"/>
  <c r="AL9" i="2"/>
  <c r="AA17" i="2"/>
  <c r="AF16" i="2"/>
  <c r="AC14" i="2"/>
  <c r="AE9" i="2"/>
  <c r="AB14" i="2"/>
  <c r="AS29" i="2"/>
  <c r="AO24" i="2"/>
  <c r="AS18" i="2"/>
  <c r="AB15" i="2"/>
  <c r="AR10" i="2"/>
  <c r="AD18" i="2"/>
  <c r="AR18" i="2"/>
  <c r="AF13" i="2"/>
  <c r="AE13" i="2"/>
  <c r="AQ26" i="2"/>
  <c r="AG18" i="2"/>
  <c r="AN12" i="2"/>
  <c r="AJ10" i="2"/>
  <c r="AD13" i="2"/>
  <c r="AB9" i="2"/>
  <c r="AO26" i="2"/>
  <c r="AC18" i="2"/>
  <c r="ED125" i="2"/>
  <c r="EN124" i="2"/>
  <c r="DX124" i="2"/>
  <c r="EH123" i="2"/>
  <c r="EB122" i="2"/>
  <c r="EL121" i="2"/>
  <c r="C26" i="1"/>
  <c r="EP125" i="2"/>
  <c r="DZ125" i="2"/>
  <c r="EJ124" i="2"/>
  <c r="ED123" i="2"/>
  <c r="EN122" i="2"/>
  <c r="DX122" i="2"/>
  <c r="EH121" i="2"/>
  <c r="EB120" i="2"/>
  <c r="EN125" i="2"/>
  <c r="DX125" i="2"/>
  <c r="EH124" i="2"/>
  <c r="EB123" i="2"/>
  <c r="EL122" i="2"/>
  <c r="EF121" i="2"/>
  <c r="EP120" i="2"/>
  <c r="DZ120" i="2"/>
  <c r="EJ119" i="2"/>
  <c r="EM125" i="2"/>
  <c r="EQ124" i="2"/>
  <c r="DW124" i="2"/>
  <c r="DY123" i="2"/>
  <c r="EC122" i="2"/>
  <c r="ED121" i="2"/>
  <c r="EI120" i="2"/>
  <c r="EP119" i="2"/>
  <c r="DY119" i="2"/>
  <c r="EG118" i="2"/>
  <c r="EQ117" i="2"/>
  <c r="EA117" i="2"/>
  <c r="EK116" i="2"/>
  <c r="EE115" i="2"/>
  <c r="EO114" i="2"/>
  <c r="DY114" i="2"/>
  <c r="EI113" i="2"/>
  <c r="EC112" i="2"/>
  <c r="EM111" i="2"/>
  <c r="DW111" i="2"/>
  <c r="EG110" i="2"/>
  <c r="EQ109" i="2"/>
  <c r="EA109" i="2"/>
  <c r="EK108" i="2"/>
  <c r="EE107" i="2"/>
  <c r="EO106" i="2"/>
  <c r="DY106" i="2"/>
  <c r="EI105" i="2"/>
  <c r="EL125" i="2"/>
  <c r="EP124" i="2"/>
  <c r="EQ123" i="2"/>
  <c r="DX123" i="2"/>
  <c r="EA122" i="2"/>
  <c r="EC121" i="2"/>
  <c r="EH120" i="2"/>
  <c r="EO119" i="2"/>
  <c r="DX119" i="2"/>
  <c r="EF118" i="2"/>
  <c r="EP117" i="2"/>
  <c r="DZ117" i="2"/>
  <c r="EJ116" i="2"/>
  <c r="ED115" i="2"/>
  <c r="EN114" i="2"/>
  <c r="DX114" i="2"/>
  <c r="EH113" i="2"/>
  <c r="EB112" i="2"/>
  <c r="EL111" i="2"/>
  <c r="EF110" i="2"/>
  <c r="EP109" i="2"/>
  <c r="DZ109" i="2"/>
  <c r="EJ108" i="2"/>
  <c r="ED107" i="2"/>
  <c r="EN106" i="2"/>
  <c r="EK125" i="2"/>
  <c r="EO124" i="2"/>
  <c r="EP123" i="2"/>
  <c r="DW123" i="2"/>
  <c r="DZ122" i="2"/>
  <c r="EB121" i="2"/>
  <c r="EG120" i="2"/>
  <c r="EN119" i="2"/>
  <c r="DW119" i="2"/>
  <c r="EE118" i="2"/>
  <c r="EO117" i="2"/>
  <c r="DY117" i="2"/>
  <c r="EI116" i="2"/>
  <c r="EC115" i="2"/>
  <c r="EM114" i="2"/>
  <c r="DW114" i="2"/>
  <c r="EG113" i="2"/>
  <c r="EQ112" i="2"/>
  <c r="EA112" i="2"/>
  <c r="EK111" i="2"/>
  <c r="EE110" i="2"/>
  <c r="EO109" i="2"/>
  <c r="DY109" i="2"/>
  <c r="EI108" i="2"/>
  <c r="EC107" i="2"/>
  <c r="EM106" i="2"/>
  <c r="DW106" i="2"/>
  <c r="EG105" i="2"/>
  <c r="EJ125" i="2"/>
  <c r="EM124" i="2"/>
  <c r="EO123" i="2"/>
  <c r="DY122" i="2"/>
  <c r="EA121" i="2"/>
  <c r="EF120" i="2"/>
  <c r="EM119" i="2"/>
  <c r="ED118" i="2"/>
  <c r="EN117" i="2"/>
  <c r="DX117" i="2"/>
  <c r="EH116" i="2"/>
  <c r="EI125" i="2"/>
  <c r="EL124" i="2"/>
  <c r="EN123" i="2"/>
  <c r="EQ122" i="2"/>
  <c r="DW122" i="2"/>
  <c r="DZ121" i="2"/>
  <c r="EE120" i="2"/>
  <c r="EL119" i="2"/>
  <c r="EC118" i="2"/>
  <c r="EM117" i="2"/>
  <c r="DW117" i="2"/>
  <c r="EG116" i="2"/>
  <c r="EQ115" i="2"/>
  <c r="EA115" i="2"/>
  <c r="EK114" i="2"/>
  <c r="EH125" i="2"/>
  <c r="EK124" i="2"/>
  <c r="EM123" i="2"/>
  <c r="EP122" i="2"/>
  <c r="DY121" i="2"/>
  <c r="ED120" i="2"/>
  <c r="EK119" i="2"/>
  <c r="EB118" i="2"/>
  <c r="EL117" i="2"/>
  <c r="EF116" i="2"/>
  <c r="EP115" i="2"/>
  <c r="DZ115" i="2"/>
  <c r="EJ114" i="2"/>
  <c r="ED113" i="2"/>
  <c r="EN112" i="2"/>
  <c r="DX112" i="2"/>
  <c r="EH111" i="2"/>
  <c r="EB110" i="2"/>
  <c r="EL109" i="2"/>
  <c r="EF108" i="2"/>
  <c r="EP107" i="2"/>
  <c r="DZ107" i="2"/>
  <c r="EJ106" i="2"/>
  <c r="ED105" i="2"/>
  <c r="EG125" i="2"/>
  <c r="EI124" i="2"/>
  <c r="EL123" i="2"/>
  <c r="EO122" i="2"/>
  <c r="EQ121" i="2"/>
  <c r="DX121" i="2"/>
  <c r="EC120" i="2"/>
  <c r="EI119" i="2"/>
  <c r="EQ118" i="2"/>
  <c r="EA118" i="2"/>
  <c r="EK117" i="2"/>
  <c r="EE116" i="2"/>
  <c r="EO115" i="2"/>
  <c r="DY115" i="2"/>
  <c r="EI114" i="2"/>
  <c r="EC113" i="2"/>
  <c r="EM112" i="2"/>
  <c r="DW112" i="2"/>
  <c r="EG111" i="2"/>
  <c r="EQ110" i="2"/>
  <c r="EA110" i="2"/>
  <c r="EK109" i="2"/>
  <c r="EE108" i="2"/>
  <c r="EO107" i="2"/>
  <c r="DY107" i="2"/>
  <c r="EI106" i="2"/>
  <c r="EC105" i="2"/>
  <c r="EF125" i="2"/>
  <c r="EG124" i="2"/>
  <c r="EK123" i="2"/>
  <c r="EM122" i="2"/>
  <c r="EP121" i="2"/>
  <c r="DW121" i="2"/>
  <c r="EA120" i="2"/>
  <c r="EH119" i="2"/>
  <c r="EP118" i="2"/>
  <c r="DZ118" i="2"/>
  <c r="EJ117" i="2"/>
  <c r="ED116" i="2"/>
  <c r="EN115" i="2"/>
  <c r="DX115" i="2"/>
  <c r="EH114" i="2"/>
  <c r="EB113" i="2"/>
  <c r="EL112" i="2"/>
  <c r="EF111" i="2"/>
  <c r="EP110" i="2"/>
  <c r="DZ110" i="2"/>
  <c r="EJ109" i="2"/>
  <c r="ED108" i="2"/>
  <c r="EN107" i="2"/>
  <c r="DX107" i="2"/>
  <c r="EH106" i="2"/>
  <c r="EB105" i="2"/>
  <c r="EE125" i="2"/>
  <c r="EF124" i="2"/>
  <c r="EJ123" i="2"/>
  <c r="EK122" i="2"/>
  <c r="EO121" i="2"/>
  <c r="DY120" i="2"/>
  <c r="EG119" i="2"/>
  <c r="EO118" i="2"/>
  <c r="DY118" i="2"/>
  <c r="EI117" i="2"/>
  <c r="EC116" i="2"/>
  <c r="EM115" i="2"/>
  <c r="DW115" i="2"/>
  <c r="EG114" i="2"/>
  <c r="EQ113" i="2"/>
  <c r="EA113" i="2"/>
  <c r="EK112" i="2"/>
  <c r="EE111" i="2"/>
  <c r="EO110" i="2"/>
  <c r="DY110" i="2"/>
  <c r="EI109" i="2"/>
  <c r="EC108" i="2"/>
  <c r="EM107" i="2"/>
  <c r="DW107" i="2"/>
  <c r="EG106" i="2"/>
  <c r="EQ105" i="2"/>
  <c r="EA105" i="2"/>
  <c r="EB125" i="2"/>
  <c r="ED124" i="2"/>
  <c r="EG123" i="2"/>
  <c r="EI122" i="2"/>
  <c r="EM121" i="2"/>
  <c r="EO120" i="2"/>
  <c r="DW120" i="2"/>
  <c r="EE119" i="2"/>
  <c r="EM118" i="2"/>
  <c r="DW118" i="2"/>
  <c r="EG117" i="2"/>
  <c r="EQ116" i="2"/>
  <c r="EA116" i="2"/>
  <c r="EK115" i="2"/>
  <c r="EE114" i="2"/>
  <c r="EO113" i="2"/>
  <c r="DY113" i="2"/>
  <c r="EI112" i="2"/>
  <c r="EC111" i="2"/>
  <c r="EM110" i="2"/>
  <c r="DW110" i="2"/>
  <c r="EG109" i="2"/>
  <c r="EQ108" i="2"/>
  <c r="EA108" i="2"/>
  <c r="EK107" i="2"/>
  <c r="EE106" i="2"/>
  <c r="EO105" i="2"/>
  <c r="DY105" i="2"/>
  <c r="EA125" i="2"/>
  <c r="EC124" i="2"/>
  <c r="EF123" i="2"/>
  <c r="EH122" i="2"/>
  <c r="EK121" i="2"/>
  <c r="EN120" i="2"/>
  <c r="ED119" i="2"/>
  <c r="EL118" i="2"/>
  <c r="EF117" i="2"/>
  <c r="EP116" i="2"/>
  <c r="DZ116" i="2"/>
  <c r="DY125" i="2"/>
  <c r="EB124" i="2"/>
  <c r="EE123" i="2"/>
  <c r="EG122" i="2"/>
  <c r="EJ121" i="2"/>
  <c r="EM120" i="2"/>
  <c r="EC119" i="2"/>
  <c r="EK118" i="2"/>
  <c r="EE117" i="2"/>
  <c r="EO116" i="2"/>
  <c r="DY116" i="2"/>
  <c r="EI115" i="2"/>
  <c r="EC114" i="2"/>
  <c r="EM113" i="2"/>
  <c r="DW113" i="2"/>
  <c r="EG112" i="2"/>
  <c r="DW125" i="2"/>
  <c r="EA124" i="2"/>
  <c r="EC123" i="2"/>
  <c r="EF122" i="2"/>
  <c r="EI121" i="2"/>
  <c r="EL120" i="2"/>
  <c r="EB119" i="2"/>
  <c r="EJ118" i="2"/>
  <c r="ED117" i="2"/>
  <c r="EN116" i="2"/>
  <c r="DX116" i="2"/>
  <c r="EH115" i="2"/>
  <c r="EB114" i="2"/>
  <c r="EL113" i="2"/>
  <c r="EF112" i="2"/>
  <c r="EP111" i="2"/>
  <c r="DZ111" i="2"/>
  <c r="EJ110" i="2"/>
  <c r="ED109" i="2"/>
  <c r="EN108" i="2"/>
  <c r="DX108" i="2"/>
  <c r="EH107" i="2"/>
  <c r="EB106" i="2"/>
  <c r="EL105" i="2"/>
  <c r="DY124" i="2"/>
  <c r="EN121" i="2"/>
  <c r="EA119" i="2"/>
  <c r="EB117" i="2"/>
  <c r="EJ115" i="2"/>
  <c r="EA114" i="2"/>
  <c r="DY111" i="2"/>
  <c r="ED110" i="2"/>
  <c r="EH109" i="2"/>
  <c r="EO108" i="2"/>
  <c r="DZ105" i="2"/>
  <c r="EG121" i="2"/>
  <c r="DZ119" i="2"/>
  <c r="EG115" i="2"/>
  <c r="DZ114" i="2"/>
  <c r="DX111" i="2"/>
  <c r="EC110" i="2"/>
  <c r="EF109" i="2"/>
  <c r="EM108" i="2"/>
  <c r="DX105" i="2"/>
  <c r="EE121" i="2"/>
  <c r="EF115" i="2"/>
  <c r="DX110" i="2"/>
  <c r="EE109" i="2"/>
  <c r="EL108" i="2"/>
  <c r="EQ107" i="2"/>
  <c r="DW105" i="2"/>
  <c r="EB115" i="2"/>
  <c r="EC109" i="2"/>
  <c r="EH108" i="2"/>
  <c r="EL107" i="2"/>
  <c r="EI123" i="2"/>
  <c r="EB109" i="2"/>
  <c r="EG108" i="2"/>
  <c r="EJ107" i="2"/>
  <c r="EQ106" i="2"/>
  <c r="EA123" i="2"/>
  <c r="EN118" i="2"/>
  <c r="EM116" i="2"/>
  <c r="DX109" i="2"/>
  <c r="EB108" i="2"/>
  <c r="EI107" i="2"/>
  <c r="EP106" i="2"/>
  <c r="EQ125" i="2"/>
  <c r="DZ123" i="2"/>
  <c r="EQ120" i="2"/>
  <c r="EI118" i="2"/>
  <c r="EL116" i="2"/>
  <c r="DW109" i="2"/>
  <c r="DZ108" i="2"/>
  <c r="EG107" i="2"/>
  <c r="EL106" i="2"/>
  <c r="EO125" i="2"/>
  <c r="EK120" i="2"/>
  <c r="EH118" i="2"/>
  <c r="EB116" i="2"/>
  <c r="DY108" i="2"/>
  <c r="EF107" i="2"/>
  <c r="EK106" i="2"/>
  <c r="EC125" i="2"/>
  <c r="EJ120" i="2"/>
  <c r="DX118" i="2"/>
  <c r="DW116" i="2"/>
  <c r="EP113" i="2"/>
  <c r="EP112" i="2"/>
  <c r="EQ111" i="2"/>
  <c r="DW108" i="2"/>
  <c r="EB107" i="2"/>
  <c r="EF106" i="2"/>
  <c r="EP105" i="2"/>
  <c r="DX120" i="2"/>
  <c r="EN113" i="2"/>
  <c r="EO112" i="2"/>
  <c r="EO111" i="2"/>
  <c r="EA107" i="2"/>
  <c r="ED106" i="2"/>
  <c r="EN105" i="2"/>
  <c r="EJ122" i="2"/>
  <c r="EK113" i="2"/>
  <c r="EJ112" i="2"/>
  <c r="EN111" i="2"/>
  <c r="EC106" i="2"/>
  <c r="EM105" i="2"/>
  <c r="EE122" i="2"/>
  <c r="EQ114" i="2"/>
  <c r="EJ113" i="2"/>
  <c r="EH112" i="2"/>
  <c r="EJ111" i="2"/>
  <c r="EN110" i="2"/>
  <c r="EA106" i="2"/>
  <c r="EK105" i="2"/>
  <c r="ED122" i="2"/>
  <c r="EP114" i="2"/>
  <c r="EF113" i="2"/>
  <c r="EE112" i="2"/>
  <c r="EI111" i="2"/>
  <c r="EL110" i="2"/>
  <c r="DZ106" i="2"/>
  <c r="EJ105" i="2"/>
  <c r="DZ124" i="2"/>
  <c r="EF119" i="2"/>
  <c r="EC117" i="2"/>
  <c r="EL115" i="2"/>
  <c r="ED114" i="2"/>
  <c r="DX113" i="2"/>
  <c r="DY112" i="2"/>
  <c r="EA111" i="2"/>
  <c r="EH110" i="2"/>
  <c r="EM109" i="2"/>
  <c r="EP108" i="2"/>
  <c r="EE105" i="2"/>
  <c r="EE124" i="2"/>
  <c r="EB111" i="2"/>
  <c r="EK110" i="2"/>
  <c r="EI110" i="2"/>
  <c r="EQ119" i="2"/>
  <c r="EN109" i="2"/>
  <c r="EH117" i="2"/>
  <c r="EL114" i="2"/>
  <c r="EF114" i="2"/>
  <c r="EE113" i="2"/>
  <c r="DX106" i="2"/>
  <c r="DZ113" i="2"/>
  <c r="ED111" i="2"/>
  <c r="ED112" i="2"/>
  <c r="DZ112" i="2"/>
  <c r="EH105" i="2"/>
  <c r="EF105" i="2"/>
  <c r="CO125" i="2"/>
  <c r="BY125" i="2"/>
  <c r="CI124" i="2"/>
  <c r="CS123" i="2"/>
  <c r="CC123" i="2"/>
  <c r="CM122" i="2"/>
  <c r="CG121" i="2"/>
  <c r="CQ120" i="2"/>
  <c r="CA120" i="2"/>
  <c r="CK119" i="2"/>
  <c r="CQ125" i="2"/>
  <c r="BZ125" i="2"/>
  <c r="CG124" i="2"/>
  <c r="CO123" i="2"/>
  <c r="CF122" i="2"/>
  <c r="CN121" i="2"/>
  <c r="CE120" i="2"/>
  <c r="CM119" i="2"/>
  <c r="CD118" i="2"/>
  <c r="CN117" i="2"/>
  <c r="CH116" i="2"/>
  <c r="CR115" i="2"/>
  <c r="CB115" i="2"/>
  <c r="CL114" i="2"/>
  <c r="CF113" i="2"/>
  <c r="CP112" i="2"/>
  <c r="BZ112" i="2"/>
  <c r="CJ111" i="2"/>
  <c r="CD110" i="2"/>
  <c r="CN109" i="2"/>
  <c r="CH108" i="2"/>
  <c r="CR107" i="2"/>
  <c r="CB107" i="2"/>
  <c r="CL106" i="2"/>
  <c r="CF105" i="2"/>
  <c r="CP125" i="2"/>
  <c r="CF124" i="2"/>
  <c r="CN123" i="2"/>
  <c r="CE122" i="2"/>
  <c r="CM121" i="2"/>
  <c r="CD120" i="2"/>
  <c r="CL119" i="2"/>
  <c r="CS118" i="2"/>
  <c r="CC118" i="2"/>
  <c r="CM117" i="2"/>
  <c r="CN125" i="2"/>
  <c r="CE124" i="2"/>
  <c r="CM123" i="2"/>
  <c r="CD122" i="2"/>
  <c r="CL121" i="2"/>
  <c r="CC120" i="2"/>
  <c r="CJ119" i="2"/>
  <c r="CM125" i="2"/>
  <c r="CD124" i="2"/>
  <c r="CL123" i="2"/>
  <c r="CC122" i="2"/>
  <c r="CK121" i="2"/>
  <c r="CS120" i="2"/>
  <c r="CB120" i="2"/>
  <c r="CI119" i="2"/>
  <c r="CL125" i="2"/>
  <c r="CC124" i="2"/>
  <c r="CK123" i="2"/>
  <c r="CS122" i="2"/>
  <c r="CB122" i="2"/>
  <c r="CJ121" i="2"/>
  <c r="CR120" i="2"/>
  <c r="BZ120" i="2"/>
  <c r="CH119" i="2"/>
  <c r="CP118" i="2"/>
  <c r="BZ118" i="2"/>
  <c r="CK125" i="2"/>
  <c r="CS124" i="2"/>
  <c r="CB124" i="2"/>
  <c r="CJ123" i="2"/>
  <c r="CR122" i="2"/>
  <c r="CA122" i="2"/>
  <c r="CI121" i="2"/>
  <c r="CP120" i="2"/>
  <c r="BY120" i="2"/>
  <c r="CG119" i="2"/>
  <c r="CO118" i="2"/>
  <c r="BY118" i="2"/>
  <c r="CI117" i="2"/>
  <c r="CS116" i="2"/>
  <c r="CC116" i="2"/>
  <c r="CM115" i="2"/>
  <c r="CG114" i="2"/>
  <c r="CQ113" i="2"/>
  <c r="CA113" i="2"/>
  <c r="CK112" i="2"/>
  <c r="CE111" i="2"/>
  <c r="CO110" i="2"/>
  <c r="BY110" i="2"/>
  <c r="CI109" i="2"/>
  <c r="CS108" i="2"/>
  <c r="CC108" i="2"/>
  <c r="CM107" i="2"/>
  <c r="CG106" i="2"/>
  <c r="CQ105" i="2"/>
  <c r="CA105" i="2"/>
  <c r="CJ125" i="2"/>
  <c r="CR124" i="2"/>
  <c r="CA124" i="2"/>
  <c r="CI123" i="2"/>
  <c r="CQ122" i="2"/>
  <c r="BZ122" i="2"/>
  <c r="CH121" i="2"/>
  <c r="CO120" i="2"/>
  <c r="CF119" i="2"/>
  <c r="CN118" i="2"/>
  <c r="CH117" i="2"/>
  <c r="CR116" i="2"/>
  <c r="CB116" i="2"/>
  <c r="CL115" i="2"/>
  <c r="CF114" i="2"/>
  <c r="CP113" i="2"/>
  <c r="BZ113" i="2"/>
  <c r="CI125" i="2"/>
  <c r="CQ124" i="2"/>
  <c r="BZ124" i="2"/>
  <c r="CH123" i="2"/>
  <c r="CP122" i="2"/>
  <c r="BY122" i="2"/>
  <c r="CF121" i="2"/>
  <c r="CN120" i="2"/>
  <c r="CE119" i="2"/>
  <c r="CM118" i="2"/>
  <c r="CG117" i="2"/>
  <c r="CQ116" i="2"/>
  <c r="CA116" i="2"/>
  <c r="CK115" i="2"/>
  <c r="CE114" i="2"/>
  <c r="CO113" i="2"/>
  <c r="BY113" i="2"/>
  <c r="CI112" i="2"/>
  <c r="CS111" i="2"/>
  <c r="CC111" i="2"/>
  <c r="CM110" i="2"/>
  <c r="CH125" i="2"/>
  <c r="CP124" i="2"/>
  <c r="BY124" i="2"/>
  <c r="CG123" i="2"/>
  <c r="CO122" i="2"/>
  <c r="CE121" i="2"/>
  <c r="CM120" i="2"/>
  <c r="CD119" i="2"/>
  <c r="CL118" i="2"/>
  <c r="CF117" i="2"/>
  <c r="CP116" i="2"/>
  <c r="BZ116" i="2"/>
  <c r="CJ115" i="2"/>
  <c r="CC125" i="2"/>
  <c r="CK124" i="2"/>
  <c r="CR123" i="2"/>
  <c r="CA123" i="2"/>
  <c r="CI122" i="2"/>
  <c r="CQ121" i="2"/>
  <c r="BZ121" i="2"/>
  <c r="CO124" i="2"/>
  <c r="CQ123" i="2"/>
  <c r="CK122" i="2"/>
  <c r="CD121" i="2"/>
  <c r="CI120" i="2"/>
  <c r="CO119" i="2"/>
  <c r="CE117" i="2"/>
  <c r="CD116" i="2"/>
  <c r="BY115" i="2"/>
  <c r="CR114" i="2"/>
  <c r="CS113" i="2"/>
  <c r="CR112" i="2"/>
  <c r="BZ111" i="2"/>
  <c r="CC110" i="2"/>
  <c r="CF109" i="2"/>
  <c r="CL108" i="2"/>
  <c r="CQ107" i="2"/>
  <c r="BY107" i="2"/>
  <c r="CD106" i="2"/>
  <c r="CJ105" i="2"/>
  <c r="CN124" i="2"/>
  <c r="CP123" i="2"/>
  <c r="CJ122" i="2"/>
  <c r="CC121" i="2"/>
  <c r="CH120" i="2"/>
  <c r="CN119" i="2"/>
  <c r="CD117" i="2"/>
  <c r="BY116" i="2"/>
  <c r="CQ114" i="2"/>
  <c r="CR113" i="2"/>
  <c r="CQ112" i="2"/>
  <c r="CR111" i="2"/>
  <c r="BY111" i="2"/>
  <c r="CB110" i="2"/>
  <c r="CE109" i="2"/>
  <c r="CK108" i="2"/>
  <c r="CP107" i="2"/>
  <c r="CC106" i="2"/>
  <c r="CI105" i="2"/>
  <c r="CS125" i="2"/>
  <c r="CM124" i="2"/>
  <c r="CF123" i="2"/>
  <c r="CH122" i="2"/>
  <c r="CB121" i="2"/>
  <c r="CG120" i="2"/>
  <c r="CC119" i="2"/>
  <c r="CR118" i="2"/>
  <c r="CC117" i="2"/>
  <c r="CS115" i="2"/>
  <c r="CP114" i="2"/>
  <c r="CN113" i="2"/>
  <c r="CO112" i="2"/>
  <c r="CQ111" i="2"/>
  <c r="CA110" i="2"/>
  <c r="CD109" i="2"/>
  <c r="CJ108" i="2"/>
  <c r="CO107" i="2"/>
  <c r="CB106" i="2"/>
  <c r="CH105" i="2"/>
  <c r="CR125" i="2"/>
  <c r="CL124" i="2"/>
  <c r="CE123" i="2"/>
  <c r="CG122" i="2"/>
  <c r="CA121" i="2"/>
  <c r="CF120" i="2"/>
  <c r="CB119" i="2"/>
  <c r="CQ118" i="2"/>
  <c r="CB117" i="2"/>
  <c r="CQ115" i="2"/>
  <c r="CO114" i="2"/>
  <c r="CM113" i="2"/>
  <c r="CN112" i="2"/>
  <c r="CP111" i="2"/>
  <c r="CS110" i="2"/>
  <c r="BZ110" i="2"/>
  <c r="CC109" i="2"/>
  <c r="CI108" i="2"/>
  <c r="CN107" i="2"/>
  <c r="CS106" i="2"/>
  <c r="CA106" i="2"/>
  <c r="CG105" i="2"/>
  <c r="CG125" i="2"/>
  <c r="CJ124" i="2"/>
  <c r="CD123" i="2"/>
  <c r="BY121" i="2"/>
  <c r="CA119" i="2"/>
  <c r="CK118" i="2"/>
  <c r="CA117" i="2"/>
  <c r="CP115" i="2"/>
  <c r="CN114" i="2"/>
  <c r="CL113" i="2"/>
  <c r="CM112" i="2"/>
  <c r="CO111" i="2"/>
  <c r="CR110" i="2"/>
  <c r="CB109" i="2"/>
  <c r="CG108" i="2"/>
  <c r="CL107" i="2"/>
  <c r="CR106" i="2"/>
  <c r="BZ106" i="2"/>
  <c r="CE105" i="2"/>
  <c r="CF125" i="2"/>
  <c r="CH124" i="2"/>
  <c r="CB123" i="2"/>
  <c r="BZ119" i="2"/>
  <c r="CJ118" i="2"/>
  <c r="BZ117" i="2"/>
  <c r="CO115" i="2"/>
  <c r="CM114" i="2"/>
  <c r="CK113" i="2"/>
  <c r="CL112" i="2"/>
  <c r="CN111" i="2"/>
  <c r="CQ110" i="2"/>
  <c r="CS109" i="2"/>
  <c r="CA109" i="2"/>
  <c r="CF108" i="2"/>
  <c r="CK107" i="2"/>
  <c r="CQ106" i="2"/>
  <c r="BY106" i="2"/>
  <c r="CD105" i="2"/>
  <c r="CE125" i="2"/>
  <c r="BZ123" i="2"/>
  <c r="BY119" i="2"/>
  <c r="CI118" i="2"/>
  <c r="BY117" i="2"/>
  <c r="CO116" i="2"/>
  <c r="CN115" i="2"/>
  <c r="CK114" i="2"/>
  <c r="CJ113" i="2"/>
  <c r="CJ112" i="2"/>
  <c r="CM111" i="2"/>
  <c r="CP110" i="2"/>
  <c r="CR109" i="2"/>
  <c r="BZ109" i="2"/>
  <c r="CE108" i="2"/>
  <c r="CJ107" i="2"/>
  <c r="CP106" i="2"/>
  <c r="CC105" i="2"/>
  <c r="CD125" i="2"/>
  <c r="BY123" i="2"/>
  <c r="CH118" i="2"/>
  <c r="CN116" i="2"/>
  <c r="CI115" i="2"/>
  <c r="CJ114" i="2"/>
  <c r="CI113" i="2"/>
  <c r="CH112" i="2"/>
  <c r="CL111" i="2"/>
  <c r="CN110" i="2"/>
  <c r="CQ109" i="2"/>
  <c r="BY109" i="2"/>
  <c r="CD108" i="2"/>
  <c r="CI107" i="2"/>
  <c r="CO106" i="2"/>
  <c r="CB105" i="2"/>
  <c r="CB125" i="2"/>
  <c r="CG118" i="2"/>
  <c r="CS117" i="2"/>
  <c r="CM116" i="2"/>
  <c r="CH115" i="2"/>
  <c r="CI114" i="2"/>
  <c r="CH113" i="2"/>
  <c r="CG112" i="2"/>
  <c r="CK111" i="2"/>
  <c r="CL110" i="2"/>
  <c r="CP109" i="2"/>
  <c r="CB108" i="2"/>
  <c r="CH107" i="2"/>
  <c r="CN106" i="2"/>
  <c r="CS105" i="2"/>
  <c r="BZ105" i="2"/>
  <c r="CA125" i="2"/>
  <c r="CF118" i="2"/>
  <c r="CR117" i="2"/>
  <c r="CL116" i="2"/>
  <c r="CG115" i="2"/>
  <c r="CH114" i="2"/>
  <c r="CG113" i="2"/>
  <c r="CF112" i="2"/>
  <c r="CI111" i="2"/>
  <c r="CK110" i="2"/>
  <c r="CO109" i="2"/>
  <c r="CA108" i="2"/>
  <c r="CG107" i="2"/>
  <c r="CM106" i="2"/>
  <c r="CR105" i="2"/>
  <c r="BY105" i="2"/>
  <c r="CE118" i="2"/>
  <c r="CQ117" i="2"/>
  <c r="CK116" i="2"/>
  <c r="CF115" i="2"/>
  <c r="CD114" i="2"/>
  <c r="CE113" i="2"/>
  <c r="CE112" i="2"/>
  <c r="CH111" i="2"/>
  <c r="CJ110" i="2"/>
  <c r="CM109" i="2"/>
  <c r="CR108" i="2"/>
  <c r="BZ108" i="2"/>
  <c r="CF107" i="2"/>
  <c r="CK106" i="2"/>
  <c r="CP105" i="2"/>
  <c r="CB118" i="2"/>
  <c r="CP117" i="2"/>
  <c r="CJ116" i="2"/>
  <c r="CE115" i="2"/>
  <c r="CC114" i="2"/>
  <c r="CD113" i="2"/>
  <c r="CD112" i="2"/>
  <c r="CG111" i="2"/>
  <c r="CI110" i="2"/>
  <c r="CL109" i="2"/>
  <c r="CQ108" i="2"/>
  <c r="BY108" i="2"/>
  <c r="CE107" i="2"/>
  <c r="CJ106" i="2"/>
  <c r="CO105" i="2"/>
  <c r="CS121" i="2"/>
  <c r="CS119" i="2"/>
  <c r="CA118" i="2"/>
  <c r="CO117" i="2"/>
  <c r="CI116" i="2"/>
  <c r="CD115" i="2"/>
  <c r="CB114" i="2"/>
  <c r="CC113" i="2"/>
  <c r="CC112" i="2"/>
  <c r="CF111" i="2"/>
  <c r="CH110" i="2"/>
  <c r="CK109" i="2"/>
  <c r="CP108" i="2"/>
  <c r="CL122" i="2"/>
  <c r="CO121" i="2"/>
  <c r="CJ120" i="2"/>
  <c r="CP119" i="2"/>
  <c r="CJ117" i="2"/>
  <c r="CE116" i="2"/>
  <c r="BZ115" i="2"/>
  <c r="CS114" i="2"/>
  <c r="BY114" i="2"/>
  <c r="CS112" i="2"/>
  <c r="BY112" i="2"/>
  <c r="CA111" i="2"/>
  <c r="CE110" i="2"/>
  <c r="CG109" i="2"/>
  <c r="CM108" i="2"/>
  <c r="CS107" i="2"/>
  <c r="BZ107" i="2"/>
  <c r="CE106" i="2"/>
  <c r="CK105" i="2"/>
  <c r="CL117" i="2"/>
  <c r="CB113" i="2"/>
  <c r="CJ109" i="2"/>
  <c r="CK117" i="2"/>
  <c r="CH109" i="2"/>
  <c r="CI106" i="2"/>
  <c r="CH106" i="2"/>
  <c r="CF106" i="2"/>
  <c r="CG116" i="2"/>
  <c r="CB112" i="2"/>
  <c r="CO108" i="2"/>
  <c r="CN122" i="2"/>
  <c r="CF116" i="2"/>
  <c r="CA112" i="2"/>
  <c r="CN108" i="2"/>
  <c r="CR121" i="2"/>
  <c r="CP121" i="2"/>
  <c r="CN105" i="2"/>
  <c r="CL120" i="2"/>
  <c r="CC115" i="2"/>
  <c r="CD111" i="2"/>
  <c r="CM105" i="2"/>
  <c r="CK120" i="2"/>
  <c r="CA115" i="2"/>
  <c r="CB111" i="2"/>
  <c r="CL105" i="2"/>
  <c r="CR119" i="2"/>
  <c r="CQ119" i="2"/>
  <c r="CD107" i="2"/>
  <c r="CA114" i="2"/>
  <c r="AK125" i="2"/>
  <c r="AU124" i="2"/>
  <c r="AE124" i="2"/>
  <c r="AO123" i="2"/>
  <c r="AI122" i="2"/>
  <c r="AS121" i="2"/>
  <c r="AC121" i="2"/>
  <c r="AM120" i="2"/>
  <c r="AG119" i="2"/>
  <c r="AQ118" i="2"/>
  <c r="AA118" i="2"/>
  <c r="AK117" i="2"/>
  <c r="AU116" i="2"/>
  <c r="AE116" i="2"/>
  <c r="AO115" i="2"/>
  <c r="AI114" i="2"/>
  <c r="AS113" i="2"/>
  <c r="AC113" i="2"/>
  <c r="BZ114" i="2"/>
  <c r="CG110" i="2"/>
  <c r="AH125" i="2"/>
  <c r="AR124" i="2"/>
  <c r="AB124" i="2"/>
  <c r="AL123" i="2"/>
  <c r="AF122" i="2"/>
  <c r="AP121" i="2"/>
  <c r="AJ120" i="2"/>
  <c r="AT119" i="2"/>
  <c r="AD119" i="2"/>
  <c r="AN118" i="2"/>
  <c r="AH117" i="2"/>
  <c r="CF110" i="2"/>
  <c r="CC107" i="2"/>
  <c r="AU125" i="2"/>
  <c r="CA107" i="2"/>
  <c r="AQ125" i="2"/>
  <c r="AD124" i="2"/>
  <c r="AI123" i="2"/>
  <c r="AO122" i="2"/>
  <c r="AU121" i="2"/>
  <c r="AB121" i="2"/>
  <c r="AG120" i="2"/>
  <c r="AM119" i="2"/>
  <c r="AS118" i="2"/>
  <c r="AE117" i="2"/>
  <c r="AL116" i="2"/>
  <c r="AT115" i="2"/>
  <c r="AC115" i="2"/>
  <c r="AK114" i="2"/>
  <c r="AR113" i="2"/>
  <c r="AA113" i="2"/>
  <c r="AK112" i="2"/>
  <c r="AU111" i="2"/>
  <c r="AE111" i="2"/>
  <c r="AO110" i="2"/>
  <c r="AI109" i="2"/>
  <c r="AS108" i="2"/>
  <c r="AC108" i="2"/>
  <c r="AM107" i="2"/>
  <c r="AG106" i="2"/>
  <c r="AQ105" i="2"/>
  <c r="AA105" i="2"/>
  <c r="AP125" i="2"/>
  <c r="AC124" i="2"/>
  <c r="AH123" i="2"/>
  <c r="AN122" i="2"/>
  <c r="AT121" i="2"/>
  <c r="AA121" i="2"/>
  <c r="AF120" i="2"/>
  <c r="AL119" i="2"/>
  <c r="AR118" i="2"/>
  <c r="AD117" i="2"/>
  <c r="AK116" i="2"/>
  <c r="AS115" i="2"/>
  <c r="AB115" i="2"/>
  <c r="AJ114" i="2"/>
  <c r="AQ113" i="2"/>
  <c r="AJ112" i="2"/>
  <c r="AT111" i="2"/>
  <c r="AD111" i="2"/>
  <c r="AN110" i="2"/>
  <c r="AH109" i="2"/>
  <c r="AR108" i="2"/>
  <c r="AB108" i="2"/>
  <c r="AO125" i="2"/>
  <c r="AT124" i="2"/>
  <c r="AA124" i="2"/>
  <c r="AG123" i="2"/>
  <c r="AM122" i="2"/>
  <c r="AR121" i="2"/>
  <c r="AE120" i="2"/>
  <c r="AK119" i="2"/>
  <c r="AP118" i="2"/>
  <c r="AU117" i="2"/>
  <c r="AC117" i="2"/>
  <c r="AJ116" i="2"/>
  <c r="AR115" i="2"/>
  <c r="AA115" i="2"/>
  <c r="AH114" i="2"/>
  <c r="AP113" i="2"/>
  <c r="AI112" i="2"/>
  <c r="AS111" i="2"/>
  <c r="AC111" i="2"/>
  <c r="AN125" i="2"/>
  <c r="AS124" i="2"/>
  <c r="AF123" i="2"/>
  <c r="AL122" i="2"/>
  <c r="AQ121" i="2"/>
  <c r="AD120" i="2"/>
  <c r="AJ119" i="2"/>
  <c r="AO118" i="2"/>
  <c r="AT117" i="2"/>
  <c r="AB117" i="2"/>
  <c r="AI116" i="2"/>
  <c r="AQ115" i="2"/>
  <c r="AG114" i="2"/>
  <c r="AM125" i="2"/>
  <c r="AQ124" i="2"/>
  <c r="AE123" i="2"/>
  <c r="AK122" i="2"/>
  <c r="AO121" i="2"/>
  <c r="AU120" i="2"/>
  <c r="AC120" i="2"/>
  <c r="AI119" i="2"/>
  <c r="AM118" i="2"/>
  <c r="AS117" i="2"/>
  <c r="AA117" i="2"/>
  <c r="AH116" i="2"/>
  <c r="AP115" i="2"/>
  <c r="AF114" i="2"/>
  <c r="AN113" i="2"/>
  <c r="AG112" i="2"/>
  <c r="AQ111" i="2"/>
  <c r="AA111" i="2"/>
  <c r="AK110" i="2"/>
  <c r="AU109" i="2"/>
  <c r="AE109" i="2"/>
  <c r="AO108" i="2"/>
  <c r="AL125" i="2"/>
  <c r="AP124" i="2"/>
  <c r="AD123" i="2"/>
  <c r="AJ122" i="2"/>
  <c r="AN121" i="2"/>
  <c r="AT120" i="2"/>
  <c r="AB120" i="2"/>
  <c r="AH119" i="2"/>
  <c r="AL118" i="2"/>
  <c r="AR117" i="2"/>
  <c r="AG116" i="2"/>
  <c r="AN115" i="2"/>
  <c r="AE114" i="2"/>
  <c r="AM113" i="2"/>
  <c r="AF112" i="2"/>
  <c r="AP111" i="2"/>
  <c r="AJ110" i="2"/>
  <c r="AT109" i="2"/>
  <c r="AD109" i="2"/>
  <c r="AN108" i="2"/>
  <c r="AH107" i="2"/>
  <c r="AR106" i="2"/>
  <c r="AB106" i="2"/>
  <c r="AL105" i="2"/>
  <c r="AJ125" i="2"/>
  <c r="AO124" i="2"/>
  <c r="AU123" i="2"/>
  <c r="AC123" i="2"/>
  <c r="AH122" i="2"/>
  <c r="AM121" i="2"/>
  <c r="AS120" i="2"/>
  <c r="AA120" i="2"/>
  <c r="AF119" i="2"/>
  <c r="AK118" i="2"/>
  <c r="AQ117" i="2"/>
  <c r="AF116" i="2"/>
  <c r="AM115" i="2"/>
  <c r="AU114" i="2"/>
  <c r="AD114" i="2"/>
  <c r="AL113" i="2"/>
  <c r="AU112" i="2"/>
  <c r="AE112" i="2"/>
  <c r="AO111" i="2"/>
  <c r="AI110" i="2"/>
  <c r="AS109" i="2"/>
  <c r="AC109" i="2"/>
  <c r="AM108" i="2"/>
  <c r="AG107" i="2"/>
  <c r="AQ106" i="2"/>
  <c r="AI125" i="2"/>
  <c r="AN124" i="2"/>
  <c r="AT123" i="2"/>
  <c r="AB123" i="2"/>
  <c r="AG122" i="2"/>
  <c r="AL121" i="2"/>
  <c r="AR120" i="2"/>
  <c r="AE119" i="2"/>
  <c r="AJ118" i="2"/>
  <c r="AP117" i="2"/>
  <c r="AD116" i="2"/>
  <c r="AL115" i="2"/>
  <c r="AT114" i="2"/>
  <c r="AC114" i="2"/>
  <c r="AK113" i="2"/>
  <c r="AT112" i="2"/>
  <c r="AD112" i="2"/>
  <c r="AN111" i="2"/>
  <c r="AH110" i="2"/>
  <c r="AR109" i="2"/>
  <c r="AB109" i="2"/>
  <c r="AL108" i="2"/>
  <c r="AF107" i="2"/>
  <c r="AP106" i="2"/>
  <c r="AJ105" i="2"/>
  <c r="AG125" i="2"/>
  <c r="AM124" i="2"/>
  <c r="AS123" i="2"/>
  <c r="AA123" i="2"/>
  <c r="AE122" i="2"/>
  <c r="AK121" i="2"/>
  <c r="AQ120" i="2"/>
  <c r="AC119" i="2"/>
  <c r="AI118" i="2"/>
  <c r="AO117" i="2"/>
  <c r="AT116" i="2"/>
  <c r="AC116" i="2"/>
  <c r="AK115" i="2"/>
  <c r="AS114" i="2"/>
  <c r="AB114" i="2"/>
  <c r="AJ113" i="2"/>
  <c r="AS112" i="2"/>
  <c r="AC112" i="2"/>
  <c r="AM111" i="2"/>
  <c r="AF125" i="2"/>
  <c r="AL124" i="2"/>
  <c r="AR123" i="2"/>
  <c r="AD122" i="2"/>
  <c r="AJ121" i="2"/>
  <c r="AE125" i="2"/>
  <c r="AK124" i="2"/>
  <c r="AQ123" i="2"/>
  <c r="AU122" i="2"/>
  <c r="AD125" i="2"/>
  <c r="AR125" i="2"/>
  <c r="AF124" i="2"/>
  <c r="AJ123" i="2"/>
  <c r="AP122" i="2"/>
  <c r="AD121" i="2"/>
  <c r="AH120" i="2"/>
  <c r="AN119" i="2"/>
  <c r="AT118" i="2"/>
  <c r="AB118" i="2"/>
  <c r="AF117" i="2"/>
  <c r="AM116" i="2"/>
  <c r="AU115" i="2"/>
  <c r="AD115" i="2"/>
  <c r="AA122" i="2"/>
  <c r="AR119" i="2"/>
  <c r="AH118" i="2"/>
  <c r="AI117" i="2"/>
  <c r="AF113" i="2"/>
  <c r="AO112" i="2"/>
  <c r="AF110" i="2"/>
  <c r="AP108" i="2"/>
  <c r="AJ107" i="2"/>
  <c r="AI106" i="2"/>
  <c r="AK105" i="2"/>
  <c r="AQ119" i="2"/>
  <c r="AG118" i="2"/>
  <c r="AG117" i="2"/>
  <c r="AE113" i="2"/>
  <c r="AN112" i="2"/>
  <c r="AE110" i="2"/>
  <c r="AK108" i="2"/>
  <c r="AI107" i="2"/>
  <c r="AH106" i="2"/>
  <c r="AI105" i="2"/>
  <c r="AT125" i="2"/>
  <c r="AP123" i="2"/>
  <c r="AP120" i="2"/>
  <c r="AP119" i="2"/>
  <c r="AF118" i="2"/>
  <c r="AD113" i="2"/>
  <c r="AM112" i="2"/>
  <c r="AD110" i="2"/>
  <c r="AJ108" i="2"/>
  <c r="AE107" i="2"/>
  <c r="AF106" i="2"/>
  <c r="AH105" i="2"/>
  <c r="AS125" i="2"/>
  <c r="AN123" i="2"/>
  <c r="AO120" i="2"/>
  <c r="AO119" i="2"/>
  <c r="AE118" i="2"/>
  <c r="AB113" i="2"/>
  <c r="AL112" i="2"/>
  <c r="AC110" i="2"/>
  <c r="AQ109" i="2"/>
  <c r="AI108" i="2"/>
  <c r="AD107" i="2"/>
  <c r="AE106" i="2"/>
  <c r="AG105" i="2"/>
  <c r="AC125" i="2"/>
  <c r="AM123" i="2"/>
  <c r="AN120" i="2"/>
  <c r="AB119" i="2"/>
  <c r="AD118" i="2"/>
  <c r="AH112" i="2"/>
  <c r="AR111" i="2"/>
  <c r="AB110" i="2"/>
  <c r="AP109" i="2"/>
  <c r="AH108" i="2"/>
  <c r="AC107" i="2"/>
  <c r="AD106" i="2"/>
  <c r="AF105" i="2"/>
  <c r="AB125" i="2"/>
  <c r="AK123" i="2"/>
  <c r="AL120" i="2"/>
  <c r="AA119" i="2"/>
  <c r="AC118" i="2"/>
  <c r="AB112" i="2"/>
  <c r="AL111" i="2"/>
  <c r="AA110" i="2"/>
  <c r="AO109" i="2"/>
  <c r="AG108" i="2"/>
  <c r="AB107" i="2"/>
  <c r="AC106" i="2"/>
  <c r="AE105" i="2"/>
  <c r="AA125" i="2"/>
  <c r="AK120" i="2"/>
  <c r="AA112" i="2"/>
  <c r="AK111" i="2"/>
  <c r="AN109" i="2"/>
  <c r="AF108" i="2"/>
  <c r="AU107" i="2"/>
  <c r="AA107" i="2"/>
  <c r="AA106" i="2"/>
  <c r="AD105" i="2"/>
  <c r="AI120" i="2"/>
  <c r="AR114" i="2"/>
  <c r="AJ111" i="2"/>
  <c r="AU110" i="2"/>
  <c r="AM109" i="2"/>
  <c r="AE108" i="2"/>
  <c r="AT107" i="2"/>
  <c r="AU106" i="2"/>
  <c r="AC105" i="2"/>
  <c r="AI121" i="2"/>
  <c r="AS116" i="2"/>
  <c r="AQ114" i="2"/>
  <c r="AI111" i="2"/>
  <c r="AT110" i="2"/>
  <c r="AL109" i="2"/>
  <c r="AD108" i="2"/>
  <c r="AS107" i="2"/>
  <c r="AT106" i="2"/>
  <c r="AU105" i="2"/>
  <c r="AB105" i="2"/>
  <c r="AH121" i="2"/>
  <c r="AR116" i="2"/>
  <c r="AP114" i="2"/>
  <c r="AH111" i="2"/>
  <c r="AS110" i="2"/>
  <c r="AK109" i="2"/>
  <c r="AA108" i="2"/>
  <c r="AR107" i="2"/>
  <c r="AS106" i="2"/>
  <c r="AT105" i="2"/>
  <c r="AJ124" i="2"/>
  <c r="AT122" i="2"/>
  <c r="AG121" i="2"/>
  <c r="AQ116" i="2"/>
  <c r="AJ115" i="2"/>
  <c r="AO114" i="2"/>
  <c r="AU113" i="2"/>
  <c r="AG111" i="2"/>
  <c r="AR110" i="2"/>
  <c r="AJ109" i="2"/>
  <c r="AQ107" i="2"/>
  <c r="AO106" i="2"/>
  <c r="AS105" i="2"/>
  <c r="AI124" i="2"/>
  <c r="AS122" i="2"/>
  <c r="AF121" i="2"/>
  <c r="AP116" i="2"/>
  <c r="AI115" i="2"/>
  <c r="AN114" i="2"/>
  <c r="AT113" i="2"/>
  <c r="AF111" i="2"/>
  <c r="AQ110" i="2"/>
  <c r="AG109" i="2"/>
  <c r="AP107" i="2"/>
  <c r="AN106" i="2"/>
  <c r="AR105" i="2"/>
  <c r="AH124" i="2"/>
  <c r="AR122" i="2"/>
  <c r="AE121" i="2"/>
  <c r="AN117" i="2"/>
  <c r="AO116" i="2"/>
  <c r="AH115" i="2"/>
  <c r="AM114" i="2"/>
  <c r="AO113" i="2"/>
  <c r="AB111" i="2"/>
  <c r="AP110" i="2"/>
  <c r="AF109" i="2"/>
  <c r="AO107" i="2"/>
  <c r="AM106" i="2"/>
  <c r="AP105" i="2"/>
  <c r="AJ117" i="2"/>
  <c r="AT108" i="2"/>
  <c r="AN116" i="2"/>
  <c r="AQ108" i="2"/>
  <c r="AO105" i="2"/>
  <c r="AQ122" i="2"/>
  <c r="AB116" i="2"/>
  <c r="AN105" i="2"/>
  <c r="AC122" i="2"/>
  <c r="AA116" i="2"/>
  <c r="AM105" i="2"/>
  <c r="AB122" i="2"/>
  <c r="AG115" i="2"/>
  <c r="AF115" i="2"/>
  <c r="AN107" i="2"/>
  <c r="AE115" i="2"/>
  <c r="AM110" i="2"/>
  <c r="AL107" i="2"/>
  <c r="AL114" i="2"/>
  <c r="AL110" i="2"/>
  <c r="AK107" i="2"/>
  <c r="AA114" i="2"/>
  <c r="AG110" i="2"/>
  <c r="AU119" i="2"/>
  <c r="AS119" i="2"/>
  <c r="AI113" i="2"/>
  <c r="AH113" i="2"/>
  <c r="AL106" i="2"/>
  <c r="AG113" i="2"/>
  <c r="AA109" i="2"/>
  <c r="AK106" i="2"/>
  <c r="AR112" i="2"/>
  <c r="AQ112" i="2"/>
  <c r="AP112" i="2"/>
  <c r="AU108" i="2"/>
  <c r="AJ106" i="2"/>
  <c r="AG124" i="2"/>
  <c r="AL117" i="2"/>
  <c r="AU118" i="2"/>
  <c r="AM117" i="2"/>
  <c r="N58" i="4"/>
  <c r="M58" i="4"/>
  <c r="L58" i="4"/>
  <c r="J58" i="4"/>
  <c r="I58" i="4"/>
  <c r="H58" i="4"/>
  <c r="F58" i="4"/>
  <c r="U58" i="4"/>
  <c r="E58" i="4"/>
  <c r="T58" i="4"/>
  <c r="D58" i="4"/>
  <c r="R58" i="4"/>
  <c r="B58" i="4"/>
  <c r="Q58" i="4"/>
  <c r="P58" i="4"/>
  <c r="A58" i="4"/>
  <c r="O58" i="4"/>
  <c r="K58" i="4"/>
  <c r="G58" i="4"/>
  <c r="C58" i="4"/>
  <c r="S58" i="4"/>
  <c r="C20" i="1" l="1"/>
  <c r="DF77" i="2"/>
  <c r="DP76" i="2"/>
  <c r="CZ76" i="2"/>
  <c r="DJ75" i="2"/>
  <c r="DN77" i="2"/>
  <c r="DH76" i="2"/>
  <c r="DR75" i="2"/>
  <c r="DB75" i="2"/>
  <c r="DH77" i="2"/>
  <c r="DM76" i="2"/>
  <c r="DS75" i="2"/>
  <c r="CZ75" i="2"/>
  <c r="DG74" i="2"/>
  <c r="DQ73" i="2"/>
  <c r="DA73" i="2"/>
  <c r="DK72" i="2"/>
  <c r="DE71" i="2"/>
  <c r="DO70" i="2"/>
  <c r="CY70" i="2"/>
  <c r="DI69" i="2"/>
  <c r="DS68" i="2"/>
  <c r="DC68" i="2"/>
  <c r="DM67" i="2"/>
  <c r="DG66" i="2"/>
  <c r="DQ65" i="2"/>
  <c r="DA65" i="2"/>
  <c r="DK64" i="2"/>
  <c r="DE63" i="2"/>
  <c r="DO62" i="2"/>
  <c r="CY62" i="2"/>
  <c r="DI61" i="2"/>
  <c r="DS60" i="2"/>
  <c r="DC60" i="2"/>
  <c r="DM59" i="2"/>
  <c r="DG58" i="2"/>
  <c r="DQ57" i="2"/>
  <c r="DA57" i="2"/>
  <c r="DG77" i="2"/>
  <c r="DL76" i="2"/>
  <c r="DQ75" i="2"/>
  <c r="CY75" i="2"/>
  <c r="DF74" i="2"/>
  <c r="DP73" i="2"/>
  <c r="CZ73" i="2"/>
  <c r="DJ72" i="2"/>
  <c r="DD71" i="2"/>
  <c r="DN70" i="2"/>
  <c r="DH69" i="2"/>
  <c r="DR68" i="2"/>
  <c r="DB68" i="2"/>
  <c r="DL67" i="2"/>
  <c r="DF66" i="2"/>
  <c r="DP65" i="2"/>
  <c r="CZ65" i="2"/>
  <c r="DE77" i="2"/>
  <c r="DK76" i="2"/>
  <c r="DP75" i="2"/>
  <c r="DE74" i="2"/>
  <c r="DO73" i="2"/>
  <c r="CY73" i="2"/>
  <c r="DI72" i="2"/>
  <c r="DS71" i="2"/>
  <c r="DC71" i="2"/>
  <c r="DD77" i="2"/>
  <c r="DJ76" i="2"/>
  <c r="DO75" i="2"/>
  <c r="DD74" i="2"/>
  <c r="DN73" i="2"/>
  <c r="DH72" i="2"/>
  <c r="DC77" i="2"/>
  <c r="DI76" i="2"/>
  <c r="DN75" i="2"/>
  <c r="DS74" i="2"/>
  <c r="DC74" i="2"/>
  <c r="DM73" i="2"/>
  <c r="DG72" i="2"/>
  <c r="DQ71" i="2"/>
  <c r="DA71" i="2"/>
  <c r="DK70" i="2"/>
  <c r="DB77" i="2"/>
  <c r="DG76" i="2"/>
  <c r="DM75" i="2"/>
  <c r="DR74" i="2"/>
  <c r="DB74" i="2"/>
  <c r="DL73" i="2"/>
  <c r="DF72" i="2"/>
  <c r="DP71" i="2"/>
  <c r="CZ71" i="2"/>
  <c r="DJ70" i="2"/>
  <c r="DD69" i="2"/>
  <c r="DN68" i="2"/>
  <c r="DH67" i="2"/>
  <c r="DR66" i="2"/>
  <c r="DB66" i="2"/>
  <c r="DL65" i="2"/>
  <c r="DF64" i="2"/>
  <c r="DP63" i="2"/>
  <c r="CZ63" i="2"/>
  <c r="DJ62" i="2"/>
  <c r="DS77" i="2"/>
  <c r="DA77" i="2"/>
  <c r="DF76" i="2"/>
  <c r="DL75" i="2"/>
  <c r="DQ74" i="2"/>
  <c r="DA74" i="2"/>
  <c r="DK73" i="2"/>
  <c r="DE72" i="2"/>
  <c r="DO71" i="2"/>
  <c r="CY71" i="2"/>
  <c r="DI70" i="2"/>
  <c r="DS69" i="2"/>
  <c r="DC69" i="2"/>
  <c r="DM68" i="2"/>
  <c r="DR77" i="2"/>
  <c r="CZ77" i="2"/>
  <c r="DE76" i="2"/>
  <c r="DK75" i="2"/>
  <c r="DP74" i="2"/>
  <c r="CZ74" i="2"/>
  <c r="DJ73" i="2"/>
  <c r="DD72" i="2"/>
  <c r="DN71" i="2"/>
  <c r="DH70" i="2"/>
  <c r="DR69" i="2"/>
  <c r="DB69" i="2"/>
  <c r="DL68" i="2"/>
  <c r="DF67" i="2"/>
  <c r="DP66" i="2"/>
  <c r="CZ66" i="2"/>
  <c r="DJ65" i="2"/>
  <c r="DD64" i="2"/>
  <c r="DN63" i="2"/>
  <c r="DH62" i="2"/>
  <c r="DR61" i="2"/>
  <c r="DB61" i="2"/>
  <c r="DL60" i="2"/>
  <c r="DQ77" i="2"/>
  <c r="CY77" i="2"/>
  <c r="DD76" i="2"/>
  <c r="DI75" i="2"/>
  <c r="DO74" i="2"/>
  <c r="CY74" i="2"/>
  <c r="DI73" i="2"/>
  <c r="DS72" i="2"/>
  <c r="DC72" i="2"/>
  <c r="DM71" i="2"/>
  <c r="DI77" i="2"/>
  <c r="DS76" i="2"/>
  <c r="DF71" i="2"/>
  <c r="DQ70" i="2"/>
  <c r="DK69" i="2"/>
  <c r="DF68" i="2"/>
  <c r="DB67" i="2"/>
  <c r="DA66" i="2"/>
  <c r="DB65" i="2"/>
  <c r="DB64" i="2"/>
  <c r="DF63" i="2"/>
  <c r="DG62" i="2"/>
  <c r="DK61" i="2"/>
  <c r="DP60" i="2"/>
  <c r="DF59" i="2"/>
  <c r="DN58" i="2"/>
  <c r="DE57" i="2"/>
  <c r="DR76" i="2"/>
  <c r="DN74" i="2"/>
  <c r="DB71" i="2"/>
  <c r="DP70" i="2"/>
  <c r="DJ69" i="2"/>
  <c r="DE68" i="2"/>
  <c r="DA67" i="2"/>
  <c r="CY66" i="2"/>
  <c r="CY65" i="2"/>
  <c r="DA64" i="2"/>
  <c r="DD63" i="2"/>
  <c r="DF62" i="2"/>
  <c r="DJ61" i="2"/>
  <c r="DO60" i="2"/>
  <c r="DE59" i="2"/>
  <c r="DM58" i="2"/>
  <c r="DD57" i="2"/>
  <c r="DP77" i="2"/>
  <c r="DQ76" i="2"/>
  <c r="DM74" i="2"/>
  <c r="DM70" i="2"/>
  <c r="DG69" i="2"/>
  <c r="DD68" i="2"/>
  <c r="CZ67" i="2"/>
  <c r="DS64" i="2"/>
  <c r="CZ64" i="2"/>
  <c r="DC63" i="2"/>
  <c r="DE62" i="2"/>
  <c r="DH61" i="2"/>
  <c r="DN60" i="2"/>
  <c r="DD59" i="2"/>
  <c r="DL58" i="2"/>
  <c r="DC57" i="2"/>
  <c r="DO77" i="2"/>
  <c r="DO76" i="2"/>
  <c r="DH75" i="2"/>
  <c r="DL74" i="2"/>
  <c r="DL70" i="2"/>
  <c r="DF69" i="2"/>
  <c r="DA68" i="2"/>
  <c r="DS67" i="2"/>
  <c r="CY67" i="2"/>
  <c r="DS66" i="2"/>
  <c r="DS65" i="2"/>
  <c r="DR64" i="2"/>
  <c r="CY64" i="2"/>
  <c r="DB63" i="2"/>
  <c r="DD62" i="2"/>
  <c r="DG61" i="2"/>
  <c r="DM60" i="2"/>
  <c r="DC59" i="2"/>
  <c r="DK58" i="2"/>
  <c r="DS57" i="2"/>
  <c r="DB57" i="2"/>
  <c r="DM77" i="2"/>
  <c r="DN76" i="2"/>
  <c r="DG75" i="2"/>
  <c r="DK74" i="2"/>
  <c r="DS73" i="2"/>
  <c r="DR72" i="2"/>
  <c r="DG70" i="2"/>
  <c r="DE69" i="2"/>
  <c r="CZ68" i="2"/>
  <c r="DR67" i="2"/>
  <c r="DQ66" i="2"/>
  <c r="DR65" i="2"/>
  <c r="DQ64" i="2"/>
  <c r="DA63" i="2"/>
  <c r="DC62" i="2"/>
  <c r="DF61" i="2"/>
  <c r="DK60" i="2"/>
  <c r="DS59" i="2"/>
  <c r="DB59" i="2"/>
  <c r="DJ58" i="2"/>
  <c r="DR57" i="2"/>
  <c r="CZ57" i="2"/>
  <c r="DL77" i="2"/>
  <c r="DC76" i="2"/>
  <c r="DF75" i="2"/>
  <c r="DJ74" i="2"/>
  <c r="DR73" i="2"/>
  <c r="DQ72" i="2"/>
  <c r="DF70" i="2"/>
  <c r="DA69" i="2"/>
  <c r="CY68" i="2"/>
  <c r="DQ67" i="2"/>
  <c r="DO66" i="2"/>
  <c r="DO65" i="2"/>
  <c r="DP64" i="2"/>
  <c r="DS63" i="2"/>
  <c r="CY63" i="2"/>
  <c r="DB62" i="2"/>
  <c r="DE61" i="2"/>
  <c r="DJ60" i="2"/>
  <c r="DR59" i="2"/>
  <c r="DA59" i="2"/>
  <c r="DI58" i="2"/>
  <c r="DP57" i="2"/>
  <c r="CY57" i="2"/>
  <c r="DK77" i="2"/>
  <c r="DB76" i="2"/>
  <c r="DE75" i="2"/>
  <c r="DI74" i="2"/>
  <c r="DH73" i="2"/>
  <c r="DP72" i="2"/>
  <c r="DE70" i="2"/>
  <c r="CZ69" i="2"/>
  <c r="DP67" i="2"/>
  <c r="DN66" i="2"/>
  <c r="DN65" i="2"/>
  <c r="DO64" i="2"/>
  <c r="DR63" i="2"/>
  <c r="DA62" i="2"/>
  <c r="DD61" i="2"/>
  <c r="DI60" i="2"/>
  <c r="DQ59" i="2"/>
  <c r="CZ59" i="2"/>
  <c r="DH58" i="2"/>
  <c r="DO57" i="2"/>
  <c r="DJ77" i="2"/>
  <c r="DA76" i="2"/>
  <c r="DD75" i="2"/>
  <c r="DH74" i="2"/>
  <c r="DG73" i="2"/>
  <c r="DO72" i="2"/>
  <c r="DD70" i="2"/>
  <c r="CY69" i="2"/>
  <c r="DO67" i="2"/>
  <c r="DM66" i="2"/>
  <c r="DM65" i="2"/>
  <c r="DN64" i="2"/>
  <c r="DQ63" i="2"/>
  <c r="DS62" i="2"/>
  <c r="CZ62" i="2"/>
  <c r="DC61" i="2"/>
  <c r="DH60" i="2"/>
  <c r="DP59" i="2"/>
  <c r="CY59" i="2"/>
  <c r="DF58" i="2"/>
  <c r="DN57" i="2"/>
  <c r="CY76" i="2"/>
  <c r="DC75" i="2"/>
  <c r="DF73" i="2"/>
  <c r="DN72" i="2"/>
  <c r="DC70" i="2"/>
  <c r="DQ68" i="2"/>
  <c r="DN67" i="2"/>
  <c r="DL66" i="2"/>
  <c r="DK65" i="2"/>
  <c r="DM64" i="2"/>
  <c r="DO63" i="2"/>
  <c r="DR62" i="2"/>
  <c r="DA61" i="2"/>
  <c r="DG60" i="2"/>
  <c r="DO59" i="2"/>
  <c r="DE58" i="2"/>
  <c r="DA75" i="2"/>
  <c r="DE73" i="2"/>
  <c r="DM72" i="2"/>
  <c r="DR71" i="2"/>
  <c r="DB70" i="2"/>
  <c r="DP68" i="2"/>
  <c r="DK67" i="2"/>
  <c r="DK66" i="2"/>
  <c r="DI65" i="2"/>
  <c r="DL64" i="2"/>
  <c r="DM63" i="2"/>
  <c r="DQ62" i="2"/>
  <c r="DS61" i="2"/>
  <c r="CZ61" i="2"/>
  <c r="DF60" i="2"/>
  <c r="DD73" i="2"/>
  <c r="DL72" i="2"/>
  <c r="DL71" i="2"/>
  <c r="DA70" i="2"/>
  <c r="DQ69" i="2"/>
  <c r="DO68" i="2"/>
  <c r="DJ67" i="2"/>
  <c r="DJ66" i="2"/>
  <c r="DH65" i="2"/>
  <c r="DJ64" i="2"/>
  <c r="DL63" i="2"/>
  <c r="DP62" i="2"/>
  <c r="DQ61" i="2"/>
  <c r="CY61" i="2"/>
  <c r="DE60" i="2"/>
  <c r="DL59" i="2"/>
  <c r="DC58" i="2"/>
  <c r="DK57" i="2"/>
  <c r="DC73" i="2"/>
  <c r="DB72" i="2"/>
  <c r="DK71" i="2"/>
  <c r="CZ70" i="2"/>
  <c r="DP69" i="2"/>
  <c r="DK68" i="2"/>
  <c r="DI67" i="2"/>
  <c r="DB73" i="2"/>
  <c r="DA72" i="2"/>
  <c r="DJ71" i="2"/>
  <c r="DO69" i="2"/>
  <c r="DG71" i="2"/>
  <c r="DR70" i="2"/>
  <c r="DL69" i="2"/>
  <c r="DG68" i="2"/>
  <c r="DC67" i="2"/>
  <c r="DC66" i="2"/>
  <c r="DC65" i="2"/>
  <c r="DC64" i="2"/>
  <c r="DG63" i="2"/>
  <c r="DI62" i="2"/>
  <c r="DL61" i="2"/>
  <c r="DQ60" i="2"/>
  <c r="CY60" i="2"/>
  <c r="DG59" i="2"/>
  <c r="DO58" i="2"/>
  <c r="DF57" i="2"/>
  <c r="CY72" i="2"/>
  <c r="CZ60" i="2"/>
  <c r="DL57" i="2"/>
  <c r="DI71" i="2"/>
  <c r="DG65" i="2"/>
  <c r="DK63" i="2"/>
  <c r="DP61" i="2"/>
  <c r="DS58" i="2"/>
  <c r="DJ57" i="2"/>
  <c r="DH71" i="2"/>
  <c r="DG67" i="2"/>
  <c r="DF65" i="2"/>
  <c r="DJ63" i="2"/>
  <c r="DO61" i="2"/>
  <c r="DR58" i="2"/>
  <c r="DI57" i="2"/>
  <c r="DE67" i="2"/>
  <c r="DE65" i="2"/>
  <c r="DI63" i="2"/>
  <c r="DN61" i="2"/>
  <c r="DQ58" i="2"/>
  <c r="DH57" i="2"/>
  <c r="DS70" i="2"/>
  <c r="DD67" i="2"/>
  <c r="DD65" i="2"/>
  <c r="DH63" i="2"/>
  <c r="DM61" i="2"/>
  <c r="DP58" i="2"/>
  <c r="DG57" i="2"/>
  <c r="DD58" i="2"/>
  <c r="DN59" i="2"/>
  <c r="DB58" i="2"/>
  <c r="DN69" i="2"/>
  <c r="DK59" i="2"/>
  <c r="DA58" i="2"/>
  <c r="DM69" i="2"/>
  <c r="DJ59" i="2"/>
  <c r="CZ58" i="2"/>
  <c r="DI66" i="2"/>
  <c r="DI64" i="2"/>
  <c r="DN62" i="2"/>
  <c r="DI59" i="2"/>
  <c r="CY58" i="2"/>
  <c r="DH66" i="2"/>
  <c r="DH64" i="2"/>
  <c r="DM62" i="2"/>
  <c r="DH59" i="2"/>
  <c r="DE66" i="2"/>
  <c r="DG64" i="2"/>
  <c r="DL62" i="2"/>
  <c r="DJ68" i="2"/>
  <c r="DD66" i="2"/>
  <c r="DE64" i="2"/>
  <c r="DK62" i="2"/>
  <c r="DR60" i="2"/>
  <c r="CZ72" i="2"/>
  <c r="DA60" i="2"/>
  <c r="DM57" i="2"/>
  <c r="DD60" i="2"/>
  <c r="DB60" i="2"/>
  <c r="DI68" i="2"/>
  <c r="DH68" i="2"/>
  <c r="BG77" i="2"/>
  <c r="BQ76" i="2"/>
  <c r="BA76" i="2"/>
  <c r="BK75" i="2"/>
  <c r="BU74" i="2"/>
  <c r="BE74" i="2"/>
  <c r="BO73" i="2"/>
  <c r="BI72" i="2"/>
  <c r="BS71" i="2"/>
  <c r="BC71" i="2"/>
  <c r="BM70" i="2"/>
  <c r="BU77" i="2"/>
  <c r="BE77" i="2"/>
  <c r="BO76" i="2"/>
  <c r="BI75" i="2"/>
  <c r="BS74" i="2"/>
  <c r="BC74" i="2"/>
  <c r="BM73" i="2"/>
  <c r="BG72" i="2"/>
  <c r="BQ71" i="2"/>
  <c r="BA71" i="2"/>
  <c r="BT77" i="2"/>
  <c r="BD77" i="2"/>
  <c r="BN76" i="2"/>
  <c r="BH75" i="2"/>
  <c r="BR74" i="2"/>
  <c r="BB74" i="2"/>
  <c r="BL73" i="2"/>
  <c r="BS77" i="2"/>
  <c r="BC77" i="2"/>
  <c r="BM76" i="2"/>
  <c r="BG75" i="2"/>
  <c r="BQ77" i="2"/>
  <c r="BS76" i="2"/>
  <c r="BQ75" i="2"/>
  <c r="BP74" i="2"/>
  <c r="BT73" i="2"/>
  <c r="BA73" i="2"/>
  <c r="BU72" i="2"/>
  <c r="BC72" i="2"/>
  <c r="BI71" i="2"/>
  <c r="BO70" i="2"/>
  <c r="BG69" i="2"/>
  <c r="BQ68" i="2"/>
  <c r="BA68" i="2"/>
  <c r="BK67" i="2"/>
  <c r="BU66" i="2"/>
  <c r="BE66" i="2"/>
  <c r="BO65" i="2"/>
  <c r="BI64" i="2"/>
  <c r="BS63" i="2"/>
  <c r="BC63" i="2"/>
  <c r="BM62" i="2"/>
  <c r="BG61" i="2"/>
  <c r="BQ60" i="2"/>
  <c r="BA60" i="2"/>
  <c r="BK59" i="2"/>
  <c r="BU58" i="2"/>
  <c r="BE58" i="2"/>
  <c r="BO57" i="2"/>
  <c r="BP77" i="2"/>
  <c r="BR76" i="2"/>
  <c r="BP75" i="2"/>
  <c r="BO74" i="2"/>
  <c r="BS73" i="2"/>
  <c r="BT72" i="2"/>
  <c r="BB72" i="2"/>
  <c r="BH71" i="2"/>
  <c r="BN70" i="2"/>
  <c r="BF69" i="2"/>
  <c r="BP68" i="2"/>
  <c r="BJ67" i="2"/>
  <c r="BT66" i="2"/>
  <c r="BD66" i="2"/>
  <c r="BN65" i="2"/>
  <c r="BH64" i="2"/>
  <c r="BR63" i="2"/>
  <c r="BB63" i="2"/>
  <c r="BL62" i="2"/>
  <c r="BF61" i="2"/>
  <c r="BP60" i="2"/>
  <c r="BJ59" i="2"/>
  <c r="BT58" i="2"/>
  <c r="BD58" i="2"/>
  <c r="BN57" i="2"/>
  <c r="BO77" i="2"/>
  <c r="BP76" i="2"/>
  <c r="BO75" i="2"/>
  <c r="BN74" i="2"/>
  <c r="BR73" i="2"/>
  <c r="BS72" i="2"/>
  <c r="BA72" i="2"/>
  <c r="BG71" i="2"/>
  <c r="BL70" i="2"/>
  <c r="BU69" i="2"/>
  <c r="BE69" i="2"/>
  <c r="BO68" i="2"/>
  <c r="BI67" i="2"/>
  <c r="BS66" i="2"/>
  <c r="BC66" i="2"/>
  <c r="BM65" i="2"/>
  <c r="BG64" i="2"/>
  <c r="BQ63" i="2"/>
  <c r="BA63" i="2"/>
  <c r="BK62" i="2"/>
  <c r="BU61" i="2"/>
  <c r="BE61" i="2"/>
  <c r="BO60" i="2"/>
  <c r="BI59" i="2"/>
  <c r="BS58" i="2"/>
  <c r="BC58" i="2"/>
  <c r="BM57" i="2"/>
  <c r="BN77" i="2"/>
  <c r="BL76" i="2"/>
  <c r="BN75" i="2"/>
  <c r="BM74" i="2"/>
  <c r="BQ73" i="2"/>
  <c r="BR72" i="2"/>
  <c r="BF71" i="2"/>
  <c r="BK70" i="2"/>
  <c r="BT69" i="2"/>
  <c r="BD69" i="2"/>
  <c r="BN68" i="2"/>
  <c r="BH67" i="2"/>
  <c r="BR66" i="2"/>
  <c r="BB66" i="2"/>
  <c r="BL65" i="2"/>
  <c r="BF64" i="2"/>
  <c r="BP63" i="2"/>
  <c r="BJ62" i="2"/>
  <c r="BT61" i="2"/>
  <c r="BD61" i="2"/>
  <c r="BN60" i="2"/>
  <c r="BH59" i="2"/>
  <c r="BR58" i="2"/>
  <c r="BB58" i="2"/>
  <c r="BL57" i="2"/>
  <c r="BM77" i="2"/>
  <c r="BK76" i="2"/>
  <c r="BM75" i="2"/>
  <c r="BL74" i="2"/>
  <c r="BP73" i="2"/>
  <c r="BQ72" i="2"/>
  <c r="BE71" i="2"/>
  <c r="BJ70" i="2"/>
  <c r="BS69" i="2"/>
  <c r="BC69" i="2"/>
  <c r="BM68" i="2"/>
  <c r="BG67" i="2"/>
  <c r="BQ66" i="2"/>
  <c r="BA66" i="2"/>
  <c r="BK65" i="2"/>
  <c r="BU64" i="2"/>
  <c r="BE64" i="2"/>
  <c r="BO63" i="2"/>
  <c r="BI62" i="2"/>
  <c r="BS61" i="2"/>
  <c r="BC61" i="2"/>
  <c r="BM60" i="2"/>
  <c r="BG59" i="2"/>
  <c r="BQ58" i="2"/>
  <c r="BA58" i="2"/>
  <c r="BK57" i="2"/>
  <c r="BL77" i="2"/>
  <c r="BJ76" i="2"/>
  <c r="BL75" i="2"/>
  <c r="BK74" i="2"/>
  <c r="BN73" i="2"/>
  <c r="BP72" i="2"/>
  <c r="BD71" i="2"/>
  <c r="BI70" i="2"/>
  <c r="BR69" i="2"/>
  <c r="BB69" i="2"/>
  <c r="BL68" i="2"/>
  <c r="BF67" i="2"/>
  <c r="BP66" i="2"/>
  <c r="BJ65" i="2"/>
  <c r="BT64" i="2"/>
  <c r="BD64" i="2"/>
  <c r="BN63" i="2"/>
  <c r="BH62" i="2"/>
  <c r="BR61" i="2"/>
  <c r="BB61" i="2"/>
  <c r="BL60" i="2"/>
  <c r="BF59" i="2"/>
  <c r="BP58" i="2"/>
  <c r="BJ57" i="2"/>
  <c r="BK77" i="2"/>
  <c r="BI76" i="2"/>
  <c r="BJ75" i="2"/>
  <c r="BJ74" i="2"/>
  <c r="BK73" i="2"/>
  <c r="BO72" i="2"/>
  <c r="BU71" i="2"/>
  <c r="BB71" i="2"/>
  <c r="BH70" i="2"/>
  <c r="BQ69" i="2"/>
  <c r="BA69" i="2"/>
  <c r="BK68" i="2"/>
  <c r="BU67" i="2"/>
  <c r="BE67" i="2"/>
  <c r="BO66" i="2"/>
  <c r="BI65" i="2"/>
  <c r="BS64" i="2"/>
  <c r="BC64" i="2"/>
  <c r="BM63" i="2"/>
  <c r="BG62" i="2"/>
  <c r="BQ61" i="2"/>
  <c r="BA61" i="2"/>
  <c r="BK60" i="2"/>
  <c r="BU59" i="2"/>
  <c r="BE59" i="2"/>
  <c r="BO58" i="2"/>
  <c r="BI57" i="2"/>
  <c r="BJ77" i="2"/>
  <c r="BH76" i="2"/>
  <c r="BF75" i="2"/>
  <c r="BI74" i="2"/>
  <c r="BJ73" i="2"/>
  <c r="BN72" i="2"/>
  <c r="BT71" i="2"/>
  <c r="BG70" i="2"/>
  <c r="BP69" i="2"/>
  <c r="BJ68" i="2"/>
  <c r="BT67" i="2"/>
  <c r="BD67" i="2"/>
  <c r="BN66" i="2"/>
  <c r="BH65" i="2"/>
  <c r="BR64" i="2"/>
  <c r="BB64" i="2"/>
  <c r="BL63" i="2"/>
  <c r="BF62" i="2"/>
  <c r="BP61" i="2"/>
  <c r="BJ60" i="2"/>
  <c r="BT59" i="2"/>
  <c r="BD59" i="2"/>
  <c r="BN58" i="2"/>
  <c r="BH57" i="2"/>
  <c r="BI77" i="2"/>
  <c r="BG76" i="2"/>
  <c r="BE75" i="2"/>
  <c r="BH74" i="2"/>
  <c r="BI73" i="2"/>
  <c r="BM72" i="2"/>
  <c r="BR71" i="2"/>
  <c r="BF70" i="2"/>
  <c r="BO69" i="2"/>
  <c r="BI68" i="2"/>
  <c r="BS67" i="2"/>
  <c r="BC67" i="2"/>
  <c r="BM66" i="2"/>
  <c r="BG65" i="2"/>
  <c r="BQ64" i="2"/>
  <c r="BA64" i="2"/>
  <c r="BK63" i="2"/>
  <c r="BU62" i="2"/>
  <c r="BE62" i="2"/>
  <c r="BO61" i="2"/>
  <c r="BI60" i="2"/>
  <c r="BS59" i="2"/>
  <c r="BC59" i="2"/>
  <c r="BM58" i="2"/>
  <c r="BG57" i="2"/>
  <c r="BH77" i="2"/>
  <c r="BF76" i="2"/>
  <c r="BD75" i="2"/>
  <c r="BG74" i="2"/>
  <c r="BH73" i="2"/>
  <c r="BL72" i="2"/>
  <c r="BP71" i="2"/>
  <c r="BE70" i="2"/>
  <c r="BN69" i="2"/>
  <c r="BH68" i="2"/>
  <c r="BR67" i="2"/>
  <c r="BB67" i="2"/>
  <c r="BL66" i="2"/>
  <c r="BF65" i="2"/>
  <c r="BP64" i="2"/>
  <c r="BJ63" i="2"/>
  <c r="BT62" i="2"/>
  <c r="BD62" i="2"/>
  <c r="BN61" i="2"/>
  <c r="BH60" i="2"/>
  <c r="BR59" i="2"/>
  <c r="BB59" i="2"/>
  <c r="BL58" i="2"/>
  <c r="BF57" i="2"/>
  <c r="BF77" i="2"/>
  <c r="BE76" i="2"/>
  <c r="BC75" i="2"/>
  <c r="BF74" i="2"/>
  <c r="BG73" i="2"/>
  <c r="BK72" i="2"/>
  <c r="BO71" i="2"/>
  <c r="BU70" i="2"/>
  <c r="BD70" i="2"/>
  <c r="BM69" i="2"/>
  <c r="BG68" i="2"/>
  <c r="BQ67" i="2"/>
  <c r="BA67" i="2"/>
  <c r="BK66" i="2"/>
  <c r="BU65" i="2"/>
  <c r="BE65" i="2"/>
  <c r="BO64" i="2"/>
  <c r="BI63" i="2"/>
  <c r="BS62" i="2"/>
  <c r="BC62" i="2"/>
  <c r="BM61" i="2"/>
  <c r="BG60" i="2"/>
  <c r="BQ59" i="2"/>
  <c r="BA59" i="2"/>
  <c r="BK58" i="2"/>
  <c r="BU57" i="2"/>
  <c r="BE57" i="2"/>
  <c r="BB77" i="2"/>
  <c r="BD76" i="2"/>
  <c r="BB75" i="2"/>
  <c r="BD74" i="2"/>
  <c r="BF73" i="2"/>
  <c r="BJ72" i="2"/>
  <c r="BN71" i="2"/>
  <c r="BT70" i="2"/>
  <c r="BC70" i="2"/>
  <c r="BL69" i="2"/>
  <c r="BF68" i="2"/>
  <c r="BP67" i="2"/>
  <c r="BJ66" i="2"/>
  <c r="BT65" i="2"/>
  <c r="BD65" i="2"/>
  <c r="BN64" i="2"/>
  <c r="BH63" i="2"/>
  <c r="BR62" i="2"/>
  <c r="BB62" i="2"/>
  <c r="BL61" i="2"/>
  <c r="BF60" i="2"/>
  <c r="BP59" i="2"/>
  <c r="BJ58" i="2"/>
  <c r="BA77" i="2"/>
  <c r="BC76" i="2"/>
  <c r="BU75" i="2"/>
  <c r="BA75" i="2"/>
  <c r="BA74" i="2"/>
  <c r="BE73" i="2"/>
  <c r="BH72" i="2"/>
  <c r="BM71" i="2"/>
  <c r="BS70" i="2"/>
  <c r="BB70" i="2"/>
  <c r="BK69" i="2"/>
  <c r="BU68" i="2"/>
  <c r="BE68" i="2"/>
  <c r="BO67" i="2"/>
  <c r="BI66" i="2"/>
  <c r="BS65" i="2"/>
  <c r="BC65" i="2"/>
  <c r="BM64" i="2"/>
  <c r="BG63" i="2"/>
  <c r="BQ62" i="2"/>
  <c r="BA62" i="2"/>
  <c r="BK61" i="2"/>
  <c r="BU60" i="2"/>
  <c r="BE60" i="2"/>
  <c r="BO59" i="2"/>
  <c r="BI58" i="2"/>
  <c r="BS57" i="2"/>
  <c r="BC57" i="2"/>
  <c r="BR77" i="2"/>
  <c r="BE72" i="2"/>
  <c r="BT74" i="2"/>
  <c r="BD72" i="2"/>
  <c r="BT57" i="2"/>
  <c r="BQ74" i="2"/>
  <c r="BR65" i="2"/>
  <c r="BU63" i="2"/>
  <c r="BN59" i="2"/>
  <c r="BR57" i="2"/>
  <c r="BN67" i="2"/>
  <c r="BQ65" i="2"/>
  <c r="BT63" i="2"/>
  <c r="BJ61" i="2"/>
  <c r="BM59" i="2"/>
  <c r="BQ57" i="2"/>
  <c r="BJ69" i="2"/>
  <c r="BM67" i="2"/>
  <c r="BP65" i="2"/>
  <c r="BF63" i="2"/>
  <c r="BI61" i="2"/>
  <c r="BL59" i="2"/>
  <c r="BP57" i="2"/>
  <c r="BU76" i="2"/>
  <c r="BL71" i="2"/>
  <c r="BI69" i="2"/>
  <c r="BL67" i="2"/>
  <c r="BB65" i="2"/>
  <c r="BE63" i="2"/>
  <c r="BH61" i="2"/>
  <c r="BD57" i="2"/>
  <c r="BT76" i="2"/>
  <c r="BK71" i="2"/>
  <c r="BH69" i="2"/>
  <c r="BA65" i="2"/>
  <c r="BD63" i="2"/>
  <c r="BB57" i="2"/>
  <c r="BB76" i="2"/>
  <c r="BJ71" i="2"/>
  <c r="BA57" i="2"/>
  <c r="BU73" i="2"/>
  <c r="BD73" i="2"/>
  <c r="BT60" i="2"/>
  <c r="BT75" i="2"/>
  <c r="BC73" i="2"/>
  <c r="BT68" i="2"/>
  <c r="BP62" i="2"/>
  <c r="BS60" i="2"/>
  <c r="BS75" i="2"/>
  <c r="BB73" i="2"/>
  <c r="BR70" i="2"/>
  <c r="BS68" i="2"/>
  <c r="BL64" i="2"/>
  <c r="BO62" i="2"/>
  <c r="BR60" i="2"/>
  <c r="BH58" i="2"/>
  <c r="BR75" i="2"/>
  <c r="BQ70" i="2"/>
  <c r="BR68" i="2"/>
  <c r="BH66" i="2"/>
  <c r="BK64" i="2"/>
  <c r="BN62" i="2"/>
  <c r="BD60" i="2"/>
  <c r="BG58" i="2"/>
  <c r="BP70" i="2"/>
  <c r="BD68" i="2"/>
  <c r="BG66" i="2"/>
  <c r="BJ64" i="2"/>
  <c r="BC60" i="2"/>
  <c r="BF58" i="2"/>
  <c r="BB60" i="2"/>
  <c r="BF72" i="2"/>
  <c r="BA70" i="2"/>
  <c r="BC68" i="2"/>
  <c r="BB68" i="2"/>
  <c r="BF66" i="2"/>
  <c r="U77" i="2"/>
  <c r="E77" i="2"/>
  <c r="O76" i="2"/>
  <c r="I75" i="2"/>
  <c r="S74" i="2"/>
  <c r="C74" i="2"/>
  <c r="T77" i="2"/>
  <c r="D77" i="2"/>
  <c r="N76" i="2"/>
  <c r="H75" i="2"/>
  <c r="R74" i="2"/>
  <c r="S77" i="2"/>
  <c r="C77" i="2"/>
  <c r="M76" i="2"/>
  <c r="W75" i="2"/>
  <c r="G75" i="2"/>
  <c r="Q74" i="2"/>
  <c r="R77" i="2"/>
  <c r="L76" i="2"/>
  <c r="V75" i="2"/>
  <c r="F75" i="2"/>
  <c r="P74" i="2"/>
  <c r="Q77" i="2"/>
  <c r="K76" i="2"/>
  <c r="U75" i="2"/>
  <c r="E75" i="2"/>
  <c r="O74" i="2"/>
  <c r="P77" i="2"/>
  <c r="J76" i="2"/>
  <c r="T75" i="2"/>
  <c r="D75" i="2"/>
  <c r="N74" i="2"/>
  <c r="O77" i="2"/>
  <c r="I76" i="2"/>
  <c r="S75" i="2"/>
  <c r="C75" i="2"/>
  <c r="M74" i="2"/>
  <c r="W73" i="2"/>
  <c r="N77" i="2"/>
  <c r="H76" i="2"/>
  <c r="R75" i="2"/>
  <c r="L74" i="2"/>
  <c r="M77" i="2"/>
  <c r="W76" i="2"/>
  <c r="G76" i="2"/>
  <c r="Q75" i="2"/>
  <c r="K74" i="2"/>
  <c r="U73" i="2"/>
  <c r="C76" i="2"/>
  <c r="K75" i="2"/>
  <c r="J74" i="2"/>
  <c r="F73" i="2"/>
  <c r="P72" i="2"/>
  <c r="J71" i="2"/>
  <c r="T70" i="2"/>
  <c r="D70" i="2"/>
  <c r="N69" i="2"/>
  <c r="H68" i="2"/>
  <c r="R67" i="2"/>
  <c r="L66" i="2"/>
  <c r="V65" i="2"/>
  <c r="F65" i="2"/>
  <c r="P64" i="2"/>
  <c r="J63" i="2"/>
  <c r="T62" i="2"/>
  <c r="D62" i="2"/>
  <c r="N61" i="2"/>
  <c r="H60" i="2"/>
  <c r="R59" i="2"/>
  <c r="L58" i="2"/>
  <c r="V57" i="2"/>
  <c r="F57" i="2"/>
  <c r="J75" i="2"/>
  <c r="I74" i="2"/>
  <c r="V73" i="2"/>
  <c r="E73" i="2"/>
  <c r="O72" i="2"/>
  <c r="I71" i="2"/>
  <c r="S70" i="2"/>
  <c r="C70" i="2"/>
  <c r="M69" i="2"/>
  <c r="W68" i="2"/>
  <c r="G68" i="2"/>
  <c r="Q67" i="2"/>
  <c r="K66" i="2"/>
  <c r="U65" i="2"/>
  <c r="E65" i="2"/>
  <c r="O64" i="2"/>
  <c r="I63" i="2"/>
  <c r="S62" i="2"/>
  <c r="C62" i="2"/>
  <c r="M61" i="2"/>
  <c r="W60" i="2"/>
  <c r="G60" i="2"/>
  <c r="Q59" i="2"/>
  <c r="K58" i="2"/>
  <c r="U57" i="2"/>
  <c r="E57" i="2"/>
  <c r="H74" i="2"/>
  <c r="T73" i="2"/>
  <c r="D73" i="2"/>
  <c r="N72" i="2"/>
  <c r="H71" i="2"/>
  <c r="R70" i="2"/>
  <c r="L69" i="2"/>
  <c r="V68" i="2"/>
  <c r="F68" i="2"/>
  <c r="P67" i="2"/>
  <c r="J66" i="2"/>
  <c r="T65" i="2"/>
  <c r="D65" i="2"/>
  <c r="N64" i="2"/>
  <c r="H63" i="2"/>
  <c r="R62" i="2"/>
  <c r="L61" i="2"/>
  <c r="V60" i="2"/>
  <c r="F60" i="2"/>
  <c r="P59" i="2"/>
  <c r="J58" i="2"/>
  <c r="T57" i="2"/>
  <c r="D57" i="2"/>
  <c r="G74" i="2"/>
  <c r="S73" i="2"/>
  <c r="C73" i="2"/>
  <c r="M72" i="2"/>
  <c r="W71" i="2"/>
  <c r="G71" i="2"/>
  <c r="Q70" i="2"/>
  <c r="K69" i="2"/>
  <c r="U68" i="2"/>
  <c r="E68" i="2"/>
  <c r="O67" i="2"/>
  <c r="I66" i="2"/>
  <c r="S65" i="2"/>
  <c r="C65" i="2"/>
  <c r="M64" i="2"/>
  <c r="W63" i="2"/>
  <c r="G63" i="2"/>
  <c r="Q62" i="2"/>
  <c r="K61" i="2"/>
  <c r="U60" i="2"/>
  <c r="E60" i="2"/>
  <c r="O59" i="2"/>
  <c r="I58" i="2"/>
  <c r="S57" i="2"/>
  <c r="C57" i="2"/>
  <c r="F74" i="2"/>
  <c r="R73" i="2"/>
  <c r="L72" i="2"/>
  <c r="V71" i="2"/>
  <c r="F71" i="2"/>
  <c r="P70" i="2"/>
  <c r="J69" i="2"/>
  <c r="T68" i="2"/>
  <c r="D68" i="2"/>
  <c r="N67" i="2"/>
  <c r="H66" i="2"/>
  <c r="R65" i="2"/>
  <c r="L64" i="2"/>
  <c r="V63" i="2"/>
  <c r="F63" i="2"/>
  <c r="P62" i="2"/>
  <c r="J61" i="2"/>
  <c r="T60" i="2"/>
  <c r="D60" i="2"/>
  <c r="N59" i="2"/>
  <c r="H58" i="2"/>
  <c r="R57" i="2"/>
  <c r="E74" i="2"/>
  <c r="Q73" i="2"/>
  <c r="K72" i="2"/>
  <c r="U71" i="2"/>
  <c r="E71" i="2"/>
  <c r="O70" i="2"/>
  <c r="I69" i="2"/>
  <c r="S68" i="2"/>
  <c r="C68" i="2"/>
  <c r="M67" i="2"/>
  <c r="W66" i="2"/>
  <c r="G66" i="2"/>
  <c r="Q65" i="2"/>
  <c r="K64" i="2"/>
  <c r="U63" i="2"/>
  <c r="E63" i="2"/>
  <c r="O62" i="2"/>
  <c r="I61" i="2"/>
  <c r="S60" i="2"/>
  <c r="C60" i="2"/>
  <c r="M59" i="2"/>
  <c r="W58" i="2"/>
  <c r="G58" i="2"/>
  <c r="Q57" i="2"/>
  <c r="W77" i="2"/>
  <c r="V76" i="2"/>
  <c r="D74" i="2"/>
  <c r="P73" i="2"/>
  <c r="J72" i="2"/>
  <c r="T71" i="2"/>
  <c r="D71" i="2"/>
  <c r="N70" i="2"/>
  <c r="H69" i="2"/>
  <c r="R68" i="2"/>
  <c r="L67" i="2"/>
  <c r="V66" i="2"/>
  <c r="F66" i="2"/>
  <c r="P65" i="2"/>
  <c r="J64" i="2"/>
  <c r="T63" i="2"/>
  <c r="D63" i="2"/>
  <c r="N62" i="2"/>
  <c r="H61" i="2"/>
  <c r="R60" i="2"/>
  <c r="L59" i="2"/>
  <c r="V58" i="2"/>
  <c r="F58" i="2"/>
  <c r="P57" i="2"/>
  <c r="V77" i="2"/>
  <c r="U76" i="2"/>
  <c r="O73" i="2"/>
  <c r="I72" i="2"/>
  <c r="S71" i="2"/>
  <c r="C71" i="2"/>
  <c r="M70" i="2"/>
  <c r="W69" i="2"/>
  <c r="G69" i="2"/>
  <c r="Q68" i="2"/>
  <c r="K67" i="2"/>
  <c r="U66" i="2"/>
  <c r="E66" i="2"/>
  <c r="O65" i="2"/>
  <c r="I64" i="2"/>
  <c r="S63" i="2"/>
  <c r="C63" i="2"/>
  <c r="M62" i="2"/>
  <c r="W61" i="2"/>
  <c r="G61" i="2"/>
  <c r="Q60" i="2"/>
  <c r="K59" i="2"/>
  <c r="U58" i="2"/>
  <c r="E58" i="2"/>
  <c r="O57" i="2"/>
  <c r="L77" i="2"/>
  <c r="T76" i="2"/>
  <c r="N73" i="2"/>
  <c r="H72" i="2"/>
  <c r="R71" i="2"/>
  <c r="L70" i="2"/>
  <c r="V69" i="2"/>
  <c r="F69" i="2"/>
  <c r="P68" i="2"/>
  <c r="J67" i="2"/>
  <c r="T66" i="2"/>
  <c r="D66" i="2"/>
  <c r="N65" i="2"/>
  <c r="H64" i="2"/>
  <c r="R63" i="2"/>
  <c r="L62" i="2"/>
  <c r="V61" i="2"/>
  <c r="F61" i="2"/>
  <c r="P60" i="2"/>
  <c r="J59" i="2"/>
  <c r="T58" i="2"/>
  <c r="D58" i="2"/>
  <c r="N57" i="2"/>
  <c r="K77" i="2"/>
  <c r="S76" i="2"/>
  <c r="M73" i="2"/>
  <c r="W72" i="2"/>
  <c r="G72" i="2"/>
  <c r="Q71" i="2"/>
  <c r="K70" i="2"/>
  <c r="U69" i="2"/>
  <c r="E69" i="2"/>
  <c r="O68" i="2"/>
  <c r="I67" i="2"/>
  <c r="S66" i="2"/>
  <c r="C66" i="2"/>
  <c r="M65" i="2"/>
  <c r="W64" i="2"/>
  <c r="G64" i="2"/>
  <c r="Q63" i="2"/>
  <c r="K62" i="2"/>
  <c r="U61" i="2"/>
  <c r="E61" i="2"/>
  <c r="O60" i="2"/>
  <c r="I59" i="2"/>
  <c r="S58" i="2"/>
  <c r="C58" i="2"/>
  <c r="M57" i="2"/>
  <c r="J77" i="2"/>
  <c r="R76" i="2"/>
  <c r="L73" i="2"/>
  <c r="V72" i="2"/>
  <c r="F72" i="2"/>
  <c r="P71" i="2"/>
  <c r="J70" i="2"/>
  <c r="T69" i="2"/>
  <c r="D69" i="2"/>
  <c r="N68" i="2"/>
  <c r="H67" i="2"/>
  <c r="R66" i="2"/>
  <c r="L65" i="2"/>
  <c r="V64" i="2"/>
  <c r="F64" i="2"/>
  <c r="P63" i="2"/>
  <c r="J62" i="2"/>
  <c r="T61" i="2"/>
  <c r="D61" i="2"/>
  <c r="N60" i="2"/>
  <c r="H59" i="2"/>
  <c r="R58" i="2"/>
  <c r="L57" i="2"/>
  <c r="I77" i="2"/>
  <c r="Q76" i="2"/>
  <c r="P75" i="2"/>
  <c r="K73" i="2"/>
  <c r="U72" i="2"/>
  <c r="E72" i="2"/>
  <c r="O71" i="2"/>
  <c r="I70" i="2"/>
  <c r="S69" i="2"/>
  <c r="C69" i="2"/>
  <c r="M68" i="2"/>
  <c r="W67" i="2"/>
  <c r="G67" i="2"/>
  <c r="Q66" i="2"/>
  <c r="K65" i="2"/>
  <c r="U64" i="2"/>
  <c r="E64" i="2"/>
  <c r="O63" i="2"/>
  <c r="I62" i="2"/>
  <c r="S61" i="2"/>
  <c r="C61" i="2"/>
  <c r="M60" i="2"/>
  <c r="W59" i="2"/>
  <c r="G59" i="2"/>
  <c r="Q58" i="2"/>
  <c r="K57" i="2"/>
  <c r="H77" i="2"/>
  <c r="P76" i="2"/>
  <c r="O75" i="2"/>
  <c r="W74" i="2"/>
  <c r="J73" i="2"/>
  <c r="T72" i="2"/>
  <c r="D72" i="2"/>
  <c r="N71" i="2"/>
  <c r="H70" i="2"/>
  <c r="R69" i="2"/>
  <c r="L68" i="2"/>
  <c r="V67" i="2"/>
  <c r="F67" i="2"/>
  <c r="P66" i="2"/>
  <c r="J65" i="2"/>
  <c r="T64" i="2"/>
  <c r="D64" i="2"/>
  <c r="N63" i="2"/>
  <c r="H62" i="2"/>
  <c r="R61" i="2"/>
  <c r="L60" i="2"/>
  <c r="V59" i="2"/>
  <c r="F59" i="2"/>
  <c r="P58" i="2"/>
  <c r="J57" i="2"/>
  <c r="F76" i="2"/>
  <c r="W62" i="2"/>
  <c r="E76" i="2"/>
  <c r="W70" i="2"/>
  <c r="S64" i="2"/>
  <c r="V62" i="2"/>
  <c r="O58" i="2"/>
  <c r="D76" i="2"/>
  <c r="S72" i="2"/>
  <c r="V70" i="2"/>
  <c r="O66" i="2"/>
  <c r="R64" i="2"/>
  <c r="U62" i="2"/>
  <c r="K60" i="2"/>
  <c r="N58" i="2"/>
  <c r="N75" i="2"/>
  <c r="R72" i="2"/>
  <c r="U70" i="2"/>
  <c r="K68" i="2"/>
  <c r="N66" i="2"/>
  <c r="Q64" i="2"/>
  <c r="G62" i="2"/>
  <c r="J60" i="2"/>
  <c r="M58" i="2"/>
  <c r="M75" i="2"/>
  <c r="Q72" i="2"/>
  <c r="G70" i="2"/>
  <c r="J68" i="2"/>
  <c r="M66" i="2"/>
  <c r="C64" i="2"/>
  <c r="F62" i="2"/>
  <c r="I60" i="2"/>
  <c r="L75" i="2"/>
  <c r="C72" i="2"/>
  <c r="F70" i="2"/>
  <c r="I68" i="2"/>
  <c r="E62" i="2"/>
  <c r="V74" i="2"/>
  <c r="E70" i="2"/>
  <c r="U74" i="2"/>
  <c r="T74" i="2"/>
  <c r="U59" i="2"/>
  <c r="U67" i="2"/>
  <c r="Q61" i="2"/>
  <c r="T59" i="2"/>
  <c r="W57" i="2"/>
  <c r="Q69" i="2"/>
  <c r="T67" i="2"/>
  <c r="W65" i="2"/>
  <c r="M63" i="2"/>
  <c r="P61" i="2"/>
  <c r="S59" i="2"/>
  <c r="I57" i="2"/>
  <c r="M71" i="2"/>
  <c r="P69" i="2"/>
  <c r="S67" i="2"/>
  <c r="I65" i="2"/>
  <c r="L63" i="2"/>
  <c r="O61" i="2"/>
  <c r="E59" i="2"/>
  <c r="H57" i="2"/>
  <c r="I73" i="2"/>
  <c r="L71" i="2"/>
  <c r="O69" i="2"/>
  <c r="E67" i="2"/>
  <c r="H65" i="2"/>
  <c r="K63" i="2"/>
  <c r="D59" i="2"/>
  <c r="G57" i="2"/>
  <c r="G77" i="2"/>
  <c r="F77" i="2"/>
  <c r="H73" i="2"/>
  <c r="G73" i="2"/>
  <c r="K71" i="2"/>
  <c r="G65" i="2"/>
  <c r="C59" i="2"/>
  <c r="D67" i="2"/>
  <c r="C67" i="2"/>
  <c r="DN149" i="2"/>
  <c r="DH148" i="2"/>
  <c r="DR147" i="2"/>
  <c r="DB147" i="2"/>
  <c r="DL146" i="2"/>
  <c r="DJ149" i="2"/>
  <c r="DD148" i="2"/>
  <c r="DN147" i="2"/>
  <c r="DH146" i="2"/>
  <c r="DR145" i="2"/>
  <c r="DB145" i="2"/>
  <c r="DL144" i="2"/>
  <c r="DF143" i="2"/>
  <c r="DP142" i="2"/>
  <c r="CZ142" i="2"/>
  <c r="DJ141" i="2"/>
  <c r="DD140" i="2"/>
  <c r="DH149" i="2"/>
  <c r="DR148" i="2"/>
  <c r="DB148" i="2"/>
  <c r="DL147" i="2"/>
  <c r="DF146" i="2"/>
  <c r="DP145" i="2"/>
  <c r="CZ145" i="2"/>
  <c r="DJ144" i="2"/>
  <c r="DD143" i="2"/>
  <c r="DF149" i="2"/>
  <c r="DP148" i="2"/>
  <c r="CZ148" i="2"/>
  <c r="DJ147" i="2"/>
  <c r="DD146" i="2"/>
  <c r="DR149" i="2"/>
  <c r="DB149" i="2"/>
  <c r="DL148" i="2"/>
  <c r="DF147" i="2"/>
  <c r="DP146" i="2"/>
  <c r="CZ146" i="2"/>
  <c r="DJ145" i="2"/>
  <c r="DD144" i="2"/>
  <c r="DN143" i="2"/>
  <c r="DH142" i="2"/>
  <c r="DP149" i="2"/>
  <c r="CZ149" i="2"/>
  <c r="DJ148" i="2"/>
  <c r="DD147" i="2"/>
  <c r="DN146" i="2"/>
  <c r="DD149" i="2"/>
  <c r="DK147" i="2"/>
  <c r="DB146" i="2"/>
  <c r="CY145" i="2"/>
  <c r="DB144" i="2"/>
  <c r="DE143" i="2"/>
  <c r="DI142" i="2"/>
  <c r="DO141" i="2"/>
  <c r="DF140" i="2"/>
  <c r="DN139" i="2"/>
  <c r="DH138" i="2"/>
  <c r="DR137" i="2"/>
  <c r="DB137" i="2"/>
  <c r="DL136" i="2"/>
  <c r="DF135" i="2"/>
  <c r="DP134" i="2"/>
  <c r="CZ134" i="2"/>
  <c r="DJ133" i="2"/>
  <c r="DC149" i="2"/>
  <c r="DS148" i="2"/>
  <c r="DI147" i="2"/>
  <c r="DA146" i="2"/>
  <c r="DS145" i="2"/>
  <c r="DA144" i="2"/>
  <c r="DC143" i="2"/>
  <c r="DG142" i="2"/>
  <c r="DN141" i="2"/>
  <c r="DE140" i="2"/>
  <c r="DM139" i="2"/>
  <c r="DG138" i="2"/>
  <c r="DQ137" i="2"/>
  <c r="DA137" i="2"/>
  <c r="DK136" i="2"/>
  <c r="DE135" i="2"/>
  <c r="DO134" i="2"/>
  <c r="CY134" i="2"/>
  <c r="DI133" i="2"/>
  <c r="DS132" i="2"/>
  <c r="DC132" i="2"/>
  <c r="DM131" i="2"/>
  <c r="DG130" i="2"/>
  <c r="DQ129" i="2"/>
  <c r="DA129" i="2"/>
  <c r="C27" i="1"/>
  <c r="DA149" i="2"/>
  <c r="DQ148" i="2"/>
  <c r="DH147" i="2"/>
  <c r="CY146" i="2"/>
  <c r="DQ145" i="2"/>
  <c r="DS144" i="2"/>
  <c r="CZ144" i="2"/>
  <c r="DB143" i="2"/>
  <c r="DF142" i="2"/>
  <c r="DM141" i="2"/>
  <c r="CY149" i="2"/>
  <c r="DO148" i="2"/>
  <c r="DM148" i="2"/>
  <c r="DC147" i="2"/>
  <c r="DS146" i="2"/>
  <c r="DM145" i="2"/>
  <c r="DP144" i="2"/>
  <c r="DR143" i="2"/>
  <c r="CY143" i="2"/>
  <c r="DC142" i="2"/>
  <c r="DI141" i="2"/>
  <c r="DQ140" i="2"/>
  <c r="CZ140" i="2"/>
  <c r="DI139" i="2"/>
  <c r="DS138" i="2"/>
  <c r="DC138" i="2"/>
  <c r="DM137" i="2"/>
  <c r="DG136" i="2"/>
  <c r="DQ135" i="2"/>
  <c r="DA135" i="2"/>
  <c r="DK134" i="2"/>
  <c r="DE133" i="2"/>
  <c r="DO132" i="2"/>
  <c r="CY132" i="2"/>
  <c r="DI131" i="2"/>
  <c r="DS130" i="2"/>
  <c r="DC130" i="2"/>
  <c r="DM129" i="2"/>
  <c r="DK148" i="2"/>
  <c r="DA147" i="2"/>
  <c r="DR146" i="2"/>
  <c r="DL145" i="2"/>
  <c r="DO144" i="2"/>
  <c r="DQ143" i="2"/>
  <c r="DB142" i="2"/>
  <c r="DH141" i="2"/>
  <c r="DP140" i="2"/>
  <c r="CY140" i="2"/>
  <c r="DH139" i="2"/>
  <c r="DR138" i="2"/>
  <c r="DB138" i="2"/>
  <c r="DL137" i="2"/>
  <c r="DF136" i="2"/>
  <c r="DP135" i="2"/>
  <c r="CZ135" i="2"/>
  <c r="DJ134" i="2"/>
  <c r="DD133" i="2"/>
  <c r="DN132" i="2"/>
  <c r="DH131" i="2"/>
  <c r="DR130" i="2"/>
  <c r="DB130" i="2"/>
  <c r="DS149" i="2"/>
  <c r="DI148" i="2"/>
  <c r="CZ147" i="2"/>
  <c r="DQ146" i="2"/>
  <c r="DK145" i="2"/>
  <c r="DN144" i="2"/>
  <c r="DP143" i="2"/>
  <c r="DS142" i="2"/>
  <c r="DA142" i="2"/>
  <c r="DG141" i="2"/>
  <c r="DO140" i="2"/>
  <c r="DG139" i="2"/>
  <c r="DQ138" i="2"/>
  <c r="DA138" i="2"/>
  <c r="DK137" i="2"/>
  <c r="DE136" i="2"/>
  <c r="DO135" i="2"/>
  <c r="CY135" i="2"/>
  <c r="DI134" i="2"/>
  <c r="DS133" i="2"/>
  <c r="DC133" i="2"/>
  <c r="DM132" i="2"/>
  <c r="DG131" i="2"/>
  <c r="DQ130" i="2"/>
  <c r="DA130" i="2"/>
  <c r="DK129" i="2"/>
  <c r="DI149" i="2"/>
  <c r="CY148" i="2"/>
  <c r="DP147" i="2"/>
  <c r="DG146" i="2"/>
  <c r="DD145" i="2"/>
  <c r="DF144" i="2"/>
  <c r="DI143" i="2"/>
  <c r="DL142" i="2"/>
  <c r="DR141" i="2"/>
  <c r="DA141" i="2"/>
  <c r="DI140" i="2"/>
  <c r="DQ139" i="2"/>
  <c r="DA139" i="2"/>
  <c r="DK138" i="2"/>
  <c r="DE149" i="2"/>
  <c r="DM147" i="2"/>
  <c r="DC146" i="2"/>
  <c r="DA145" i="2"/>
  <c r="DC144" i="2"/>
  <c r="DG143" i="2"/>
  <c r="DJ142" i="2"/>
  <c r="DP141" i="2"/>
  <c r="CY141" i="2"/>
  <c r="DG140" i="2"/>
  <c r="DO139" i="2"/>
  <c r="CY139" i="2"/>
  <c r="DI138" i="2"/>
  <c r="DS137" i="2"/>
  <c r="DC137" i="2"/>
  <c r="DM136" i="2"/>
  <c r="DG135" i="2"/>
  <c r="DQ134" i="2"/>
  <c r="DA134" i="2"/>
  <c r="DG148" i="2"/>
  <c r="DE141" i="2"/>
  <c r="DR140" i="2"/>
  <c r="DB139" i="2"/>
  <c r="DN138" i="2"/>
  <c r="CZ137" i="2"/>
  <c r="DQ136" i="2"/>
  <c r="DI135" i="2"/>
  <c r="DP133" i="2"/>
  <c r="DP132" i="2"/>
  <c r="DO131" i="2"/>
  <c r="DM130" i="2"/>
  <c r="DO129" i="2"/>
  <c r="DF148" i="2"/>
  <c r="DD141" i="2"/>
  <c r="DN140" i="2"/>
  <c r="CZ139" i="2"/>
  <c r="DM138" i="2"/>
  <c r="CY137" i="2"/>
  <c r="DP136" i="2"/>
  <c r="DH135" i="2"/>
  <c r="DO133" i="2"/>
  <c r="DL132" i="2"/>
  <c r="DN131" i="2"/>
  <c r="DL130" i="2"/>
  <c r="DN129" i="2"/>
  <c r="DQ149" i="2"/>
  <c r="DE148" i="2"/>
  <c r="DC141" i="2"/>
  <c r="DM140" i="2"/>
  <c r="DL138" i="2"/>
  <c r="DO136" i="2"/>
  <c r="DD135" i="2"/>
  <c r="DN133" i="2"/>
  <c r="DK132" i="2"/>
  <c r="DL131" i="2"/>
  <c r="DK130" i="2"/>
  <c r="DL129" i="2"/>
  <c r="DO149" i="2"/>
  <c r="DC148" i="2"/>
  <c r="DB141" i="2"/>
  <c r="DL140" i="2"/>
  <c r="DJ138" i="2"/>
  <c r="DN136" i="2"/>
  <c r="DC135" i="2"/>
  <c r="DM133" i="2"/>
  <c r="DJ132" i="2"/>
  <c r="DK131" i="2"/>
  <c r="DJ130" i="2"/>
  <c r="DJ129" i="2"/>
  <c r="DM149" i="2"/>
  <c r="DA148" i="2"/>
  <c r="CZ141" i="2"/>
  <c r="DK140" i="2"/>
  <c r="DF138" i="2"/>
  <c r="DJ136" i="2"/>
  <c r="DB135" i="2"/>
  <c r="DS134" i="2"/>
  <c r="DL133" i="2"/>
  <c r="DI132" i="2"/>
  <c r="DJ131" i="2"/>
  <c r="DI130" i="2"/>
  <c r="DI129" i="2"/>
  <c r="DL149" i="2"/>
  <c r="DO145" i="2"/>
  <c r="DR144" i="2"/>
  <c r="DJ140" i="2"/>
  <c r="DE138" i="2"/>
  <c r="DI136" i="2"/>
  <c r="DR134" i="2"/>
  <c r="DK133" i="2"/>
  <c r="DH132" i="2"/>
  <c r="DF131" i="2"/>
  <c r="DH130" i="2"/>
  <c r="DH129" i="2"/>
  <c r="DK149" i="2"/>
  <c r="DN145" i="2"/>
  <c r="DQ144" i="2"/>
  <c r="DS143" i="2"/>
  <c r="DH140" i="2"/>
  <c r="DS139" i="2"/>
  <c r="DD138" i="2"/>
  <c r="DP137" i="2"/>
  <c r="DH136" i="2"/>
  <c r="DN134" i="2"/>
  <c r="DH133" i="2"/>
  <c r="DG132" i="2"/>
  <c r="DE131" i="2"/>
  <c r="DF130" i="2"/>
  <c r="DG129" i="2"/>
  <c r="DG149" i="2"/>
  <c r="DO146" i="2"/>
  <c r="DI145" i="2"/>
  <c r="DM144" i="2"/>
  <c r="DO143" i="2"/>
  <c r="DR142" i="2"/>
  <c r="DC140" i="2"/>
  <c r="DR139" i="2"/>
  <c r="CZ138" i="2"/>
  <c r="DO137" i="2"/>
  <c r="DD136" i="2"/>
  <c r="DM134" i="2"/>
  <c r="DG133" i="2"/>
  <c r="DF132" i="2"/>
  <c r="DD131" i="2"/>
  <c r="DE130" i="2"/>
  <c r="DF129" i="2"/>
  <c r="DM146" i="2"/>
  <c r="DH145" i="2"/>
  <c r="DK144" i="2"/>
  <c r="DM143" i="2"/>
  <c r="DQ142" i="2"/>
  <c r="DB140" i="2"/>
  <c r="DP139" i="2"/>
  <c r="CY138" i="2"/>
  <c r="DN137" i="2"/>
  <c r="DC136" i="2"/>
  <c r="DL134" i="2"/>
  <c r="DF133" i="2"/>
  <c r="DE132" i="2"/>
  <c r="DC131" i="2"/>
  <c r="DD130" i="2"/>
  <c r="DE129" i="2"/>
  <c r="DK146" i="2"/>
  <c r="DG145" i="2"/>
  <c r="DI144" i="2"/>
  <c r="DL143" i="2"/>
  <c r="DO142" i="2"/>
  <c r="DA140" i="2"/>
  <c r="DL139" i="2"/>
  <c r="DJ137" i="2"/>
  <c r="DB136" i="2"/>
  <c r="DS135" i="2"/>
  <c r="DH134" i="2"/>
  <c r="DB133" i="2"/>
  <c r="DD132" i="2"/>
  <c r="DS147" i="2"/>
  <c r="DJ146" i="2"/>
  <c r="DF145" i="2"/>
  <c r="DH144" i="2"/>
  <c r="DK143" i="2"/>
  <c r="DN142" i="2"/>
  <c r="DK139" i="2"/>
  <c r="DI137" i="2"/>
  <c r="DA136" i="2"/>
  <c r="DR135" i="2"/>
  <c r="DG134" i="2"/>
  <c r="DA133" i="2"/>
  <c r="DB132" i="2"/>
  <c r="DA131" i="2"/>
  <c r="CY130" i="2"/>
  <c r="DC129" i="2"/>
  <c r="DQ147" i="2"/>
  <c r="DI146" i="2"/>
  <c r="DE145" i="2"/>
  <c r="DG144" i="2"/>
  <c r="DJ143" i="2"/>
  <c r="DM142" i="2"/>
  <c r="DS141" i="2"/>
  <c r="DJ139" i="2"/>
  <c r="DH137" i="2"/>
  <c r="CZ136" i="2"/>
  <c r="DN135" i="2"/>
  <c r="DF134" i="2"/>
  <c r="CZ133" i="2"/>
  <c r="DA132" i="2"/>
  <c r="CZ131" i="2"/>
  <c r="DB129" i="2"/>
  <c r="DO147" i="2"/>
  <c r="DE146" i="2"/>
  <c r="DC145" i="2"/>
  <c r="DE144" i="2"/>
  <c r="DH143" i="2"/>
  <c r="DK142" i="2"/>
  <c r="DQ141" i="2"/>
  <c r="DF139" i="2"/>
  <c r="DG137" i="2"/>
  <c r="CY136" i="2"/>
  <c r="DM135" i="2"/>
  <c r="DE134" i="2"/>
  <c r="CY133" i="2"/>
  <c r="CZ132" i="2"/>
  <c r="DS131" i="2"/>
  <c r="CY131" i="2"/>
  <c r="CZ129" i="2"/>
  <c r="DG147" i="2"/>
  <c r="CY144" i="2"/>
  <c r="DA143" i="2"/>
  <c r="DE142" i="2"/>
  <c r="DL141" i="2"/>
  <c r="DE139" i="2"/>
  <c r="DF137" i="2"/>
  <c r="DL135" i="2"/>
  <c r="DD134" i="2"/>
  <c r="DR131" i="2"/>
  <c r="DP130" i="2"/>
  <c r="DS129" i="2"/>
  <c r="CY129" i="2"/>
  <c r="DO138" i="2"/>
  <c r="DQ133" i="2"/>
  <c r="CZ143" i="2"/>
  <c r="DE137" i="2"/>
  <c r="DR132" i="2"/>
  <c r="DR129" i="2"/>
  <c r="DD137" i="2"/>
  <c r="DQ132" i="2"/>
  <c r="DP129" i="2"/>
  <c r="DD142" i="2"/>
  <c r="DS136" i="2"/>
  <c r="DD129" i="2"/>
  <c r="CY142" i="2"/>
  <c r="DR136" i="2"/>
  <c r="DK141" i="2"/>
  <c r="DQ131" i="2"/>
  <c r="DF141" i="2"/>
  <c r="DP131" i="2"/>
  <c r="DK135" i="2"/>
  <c r="DB131" i="2"/>
  <c r="DN148" i="2"/>
  <c r="DS140" i="2"/>
  <c r="DJ135" i="2"/>
  <c r="DE147" i="2"/>
  <c r="CY147" i="2"/>
  <c r="DP138" i="2"/>
  <c r="DR133" i="2"/>
  <c r="CZ130" i="2"/>
  <c r="DD139" i="2"/>
  <c r="DC139" i="2"/>
  <c r="DC134" i="2"/>
  <c r="DB134" i="2"/>
  <c r="DO130" i="2"/>
  <c r="DN130" i="2"/>
  <c r="BT149" i="2"/>
  <c r="BD149" i="2"/>
  <c r="BN148" i="2"/>
  <c r="BH147" i="2"/>
  <c r="BR146" i="2"/>
  <c r="BB146" i="2"/>
  <c r="BL145" i="2"/>
  <c r="BF144" i="2"/>
  <c r="BP143" i="2"/>
  <c r="BJ142" i="2"/>
  <c r="BT141" i="2"/>
  <c r="BD141" i="2"/>
  <c r="BN140" i="2"/>
  <c r="BH139" i="2"/>
  <c r="BO149" i="2"/>
  <c r="BI148" i="2"/>
  <c r="BM149" i="2"/>
  <c r="BC149" i="2"/>
  <c r="BF148" i="2"/>
  <c r="BN147" i="2"/>
  <c r="BE146" i="2"/>
  <c r="BM145" i="2"/>
  <c r="BT144" i="2"/>
  <c r="BC144" i="2"/>
  <c r="BK143" i="2"/>
  <c r="BS142" i="2"/>
  <c r="BB142" i="2"/>
  <c r="BJ141" i="2"/>
  <c r="BR140" i="2"/>
  <c r="BA140" i="2"/>
  <c r="BI139" i="2"/>
  <c r="BR138" i="2"/>
  <c r="BB138" i="2"/>
  <c r="BL137" i="2"/>
  <c r="BF136" i="2"/>
  <c r="BP135" i="2"/>
  <c r="BJ134" i="2"/>
  <c r="BT133" i="2"/>
  <c r="BD133" i="2"/>
  <c r="BN132" i="2"/>
  <c r="BH131" i="2"/>
  <c r="BR130" i="2"/>
  <c r="BB130" i="2"/>
  <c r="BL129" i="2"/>
  <c r="BB149" i="2"/>
  <c r="BE148" i="2"/>
  <c r="BM147" i="2"/>
  <c r="BU146" i="2"/>
  <c r="BD146" i="2"/>
  <c r="BK145" i="2"/>
  <c r="BS144" i="2"/>
  <c r="BB144" i="2"/>
  <c r="BJ143" i="2"/>
  <c r="BR142" i="2"/>
  <c r="BA142" i="2"/>
  <c r="BI141" i="2"/>
  <c r="BQ140" i="2"/>
  <c r="BG139" i="2"/>
  <c r="BU149" i="2"/>
  <c r="BA149" i="2"/>
  <c r="BD148" i="2"/>
  <c r="BL147" i="2"/>
  <c r="BT146" i="2"/>
  <c r="BC146" i="2"/>
  <c r="BJ145" i="2"/>
  <c r="BR144" i="2"/>
  <c r="BA144" i="2"/>
  <c r="BI143" i="2"/>
  <c r="BQ142" i="2"/>
  <c r="BS149" i="2"/>
  <c r="BU148" i="2"/>
  <c r="BC148" i="2"/>
  <c r="BK147" i="2"/>
  <c r="BS146" i="2"/>
  <c r="BA146" i="2"/>
  <c r="BI145" i="2"/>
  <c r="BQ144" i="2"/>
  <c r="BH143" i="2"/>
  <c r="BP142" i="2"/>
  <c r="BG141" i="2"/>
  <c r="BO140" i="2"/>
  <c r="BE139" i="2"/>
  <c r="BO138" i="2"/>
  <c r="BI137" i="2"/>
  <c r="BS136" i="2"/>
  <c r="BC136" i="2"/>
  <c r="BM135" i="2"/>
  <c r="BG134" i="2"/>
  <c r="BQ133" i="2"/>
  <c r="BA133" i="2"/>
  <c r="BK132" i="2"/>
  <c r="BU131" i="2"/>
  <c r="BE131" i="2"/>
  <c r="BR149" i="2"/>
  <c r="BT148" i="2"/>
  <c r="BB148" i="2"/>
  <c r="BJ147" i="2"/>
  <c r="BQ146" i="2"/>
  <c r="BQ149" i="2"/>
  <c r="BS148" i="2"/>
  <c r="BA148" i="2"/>
  <c r="BI147" i="2"/>
  <c r="BP146" i="2"/>
  <c r="BG145" i="2"/>
  <c r="BO144" i="2"/>
  <c r="BF143" i="2"/>
  <c r="BN142" i="2"/>
  <c r="BP149" i="2"/>
  <c r="BR148" i="2"/>
  <c r="BG147" i="2"/>
  <c r="BO146" i="2"/>
  <c r="BF145" i="2"/>
  <c r="BN144" i="2"/>
  <c r="BN149" i="2"/>
  <c r="BQ148" i="2"/>
  <c r="BL149" i="2"/>
  <c r="BP148" i="2"/>
  <c r="BJ146" i="2"/>
  <c r="BU145" i="2"/>
  <c r="BJ144" i="2"/>
  <c r="BO142" i="2"/>
  <c r="BN141" i="2"/>
  <c r="BL140" i="2"/>
  <c r="BN139" i="2"/>
  <c r="BP138" i="2"/>
  <c r="BU137" i="2"/>
  <c r="BC137" i="2"/>
  <c r="BI136" i="2"/>
  <c r="BN135" i="2"/>
  <c r="BS134" i="2"/>
  <c r="BA134" i="2"/>
  <c r="BG133" i="2"/>
  <c r="BL132" i="2"/>
  <c r="BQ131" i="2"/>
  <c r="BG130" i="2"/>
  <c r="BO129" i="2"/>
  <c r="BK149" i="2"/>
  <c r="BO148" i="2"/>
  <c r="BI146" i="2"/>
  <c r="BT145" i="2"/>
  <c r="BI144" i="2"/>
  <c r="BU143" i="2"/>
  <c r="BM142" i="2"/>
  <c r="BM141" i="2"/>
  <c r="BK140" i="2"/>
  <c r="BM139" i="2"/>
  <c r="BN138" i="2"/>
  <c r="BT137" i="2"/>
  <c r="BB137" i="2"/>
  <c r="BH136" i="2"/>
  <c r="BL135" i="2"/>
  <c r="BR134" i="2"/>
  <c r="BF133" i="2"/>
  <c r="BJ132" i="2"/>
  <c r="BP131" i="2"/>
  <c r="BF130" i="2"/>
  <c r="BN129" i="2"/>
  <c r="BJ149" i="2"/>
  <c r="BM148" i="2"/>
  <c r="BH146" i="2"/>
  <c r="BS145" i="2"/>
  <c r="BH144" i="2"/>
  <c r="BT143" i="2"/>
  <c r="BL142" i="2"/>
  <c r="BL141" i="2"/>
  <c r="BJ140" i="2"/>
  <c r="BL139" i="2"/>
  <c r="BM138" i="2"/>
  <c r="BS137" i="2"/>
  <c r="BA137" i="2"/>
  <c r="BG136" i="2"/>
  <c r="BK135" i="2"/>
  <c r="BQ134" i="2"/>
  <c r="BE133" i="2"/>
  <c r="BI132" i="2"/>
  <c r="BO131" i="2"/>
  <c r="BE130" i="2"/>
  <c r="BM129" i="2"/>
  <c r="BI149" i="2"/>
  <c r="BL148" i="2"/>
  <c r="BU147" i="2"/>
  <c r="BG146" i="2"/>
  <c r="BR145" i="2"/>
  <c r="BG144" i="2"/>
  <c r="BS143" i="2"/>
  <c r="BK142" i="2"/>
  <c r="BK141" i="2"/>
  <c r="BI140" i="2"/>
  <c r="BK139" i="2"/>
  <c r="BL138" i="2"/>
  <c r="BR137" i="2"/>
  <c r="BE136" i="2"/>
  <c r="BJ135" i="2"/>
  <c r="BP134" i="2"/>
  <c r="BC133" i="2"/>
  <c r="BH132" i="2"/>
  <c r="BN131" i="2"/>
  <c r="BU130" i="2"/>
  <c r="BD130" i="2"/>
  <c r="BK129" i="2"/>
  <c r="BH149" i="2"/>
  <c r="BK148" i="2"/>
  <c r="BT147" i="2"/>
  <c r="BF146" i="2"/>
  <c r="BQ145" i="2"/>
  <c r="BE144" i="2"/>
  <c r="BR143" i="2"/>
  <c r="BI142" i="2"/>
  <c r="BH141" i="2"/>
  <c r="BH140" i="2"/>
  <c r="BJ139" i="2"/>
  <c r="BK138" i="2"/>
  <c r="BQ137" i="2"/>
  <c r="BD136" i="2"/>
  <c r="BI135" i="2"/>
  <c r="BO134" i="2"/>
  <c r="BU133" i="2"/>
  <c r="BB133" i="2"/>
  <c r="BG132" i="2"/>
  <c r="BM131" i="2"/>
  <c r="BT130" i="2"/>
  <c r="BC130" i="2"/>
  <c r="BJ129" i="2"/>
  <c r="BG149" i="2"/>
  <c r="BJ148" i="2"/>
  <c r="BS147" i="2"/>
  <c r="BP145" i="2"/>
  <c r="BD144" i="2"/>
  <c r="BQ143" i="2"/>
  <c r="BH142" i="2"/>
  <c r="BF141" i="2"/>
  <c r="BG140" i="2"/>
  <c r="BF139" i="2"/>
  <c r="BJ138" i="2"/>
  <c r="BP137" i="2"/>
  <c r="BU136" i="2"/>
  <c r="BB136" i="2"/>
  <c r="BH135" i="2"/>
  <c r="BN134" i="2"/>
  <c r="BS133" i="2"/>
  <c r="BF132" i="2"/>
  <c r="BL131" i="2"/>
  <c r="BS130" i="2"/>
  <c r="BA130" i="2"/>
  <c r="BI129" i="2"/>
  <c r="BF149" i="2"/>
  <c r="BH148" i="2"/>
  <c r="BR147" i="2"/>
  <c r="BO145" i="2"/>
  <c r="BO143" i="2"/>
  <c r="BG142" i="2"/>
  <c r="BE141" i="2"/>
  <c r="BF140" i="2"/>
  <c r="BD139" i="2"/>
  <c r="BI138" i="2"/>
  <c r="BO137" i="2"/>
  <c r="BT136" i="2"/>
  <c r="BA136" i="2"/>
  <c r="BG135" i="2"/>
  <c r="BM134" i="2"/>
  <c r="BR133" i="2"/>
  <c r="BE132" i="2"/>
  <c r="BK131" i="2"/>
  <c r="BQ130" i="2"/>
  <c r="BH129" i="2"/>
  <c r="BE149" i="2"/>
  <c r="BG148" i="2"/>
  <c r="BQ147" i="2"/>
  <c r="BN145" i="2"/>
  <c r="BN143" i="2"/>
  <c r="BF142" i="2"/>
  <c r="BC141" i="2"/>
  <c r="BE140" i="2"/>
  <c r="BC139" i="2"/>
  <c r="BH138" i="2"/>
  <c r="BN137" i="2"/>
  <c r="BR136" i="2"/>
  <c r="BF135" i="2"/>
  <c r="BL134" i="2"/>
  <c r="BP133" i="2"/>
  <c r="BD132" i="2"/>
  <c r="BJ131" i="2"/>
  <c r="BP130" i="2"/>
  <c r="BG129" i="2"/>
  <c r="BP147" i="2"/>
  <c r="BH145" i="2"/>
  <c r="BM143" i="2"/>
  <c r="BE142" i="2"/>
  <c r="BB141" i="2"/>
  <c r="BD140" i="2"/>
  <c r="BB139" i="2"/>
  <c r="BG138" i="2"/>
  <c r="BM137" i="2"/>
  <c r="BQ136" i="2"/>
  <c r="BE135" i="2"/>
  <c r="BK134" i="2"/>
  <c r="BO133" i="2"/>
  <c r="BU132" i="2"/>
  <c r="BC132" i="2"/>
  <c r="BI131" i="2"/>
  <c r="BO130" i="2"/>
  <c r="BF129" i="2"/>
  <c r="BO147" i="2"/>
  <c r="BE145" i="2"/>
  <c r="BL143" i="2"/>
  <c r="BD142" i="2"/>
  <c r="BA141" i="2"/>
  <c r="BC140" i="2"/>
  <c r="BU139" i="2"/>
  <c r="BA139" i="2"/>
  <c r="BF138" i="2"/>
  <c r="BK137" i="2"/>
  <c r="BP136" i="2"/>
  <c r="BD135" i="2"/>
  <c r="BF147" i="2"/>
  <c r="BD145" i="2"/>
  <c r="BG143" i="2"/>
  <c r="BC142" i="2"/>
  <c r="BU141" i="2"/>
  <c r="BB140" i="2"/>
  <c r="BT139" i="2"/>
  <c r="BE138" i="2"/>
  <c r="BE147" i="2"/>
  <c r="BC145" i="2"/>
  <c r="BU144" i="2"/>
  <c r="BE143" i="2"/>
  <c r="BS141" i="2"/>
  <c r="BU140" i="2"/>
  <c r="BS139" i="2"/>
  <c r="BD147" i="2"/>
  <c r="BN146" i="2"/>
  <c r="BB145" i="2"/>
  <c r="BP144" i="2"/>
  <c r="BD143" i="2"/>
  <c r="BC147" i="2"/>
  <c r="BM146" i="2"/>
  <c r="BA145" i="2"/>
  <c r="BM144" i="2"/>
  <c r="BC143" i="2"/>
  <c r="BQ141" i="2"/>
  <c r="BS140" i="2"/>
  <c r="BQ139" i="2"/>
  <c r="BT138" i="2"/>
  <c r="BA138" i="2"/>
  <c r="BF137" i="2"/>
  <c r="BL136" i="2"/>
  <c r="BR135" i="2"/>
  <c r="BD134" i="2"/>
  <c r="BJ133" i="2"/>
  <c r="BP132" i="2"/>
  <c r="BT131" i="2"/>
  <c r="BB131" i="2"/>
  <c r="BJ130" i="2"/>
  <c r="BR129" i="2"/>
  <c r="BA129" i="2"/>
  <c r="BT142" i="2"/>
  <c r="BP139" i="2"/>
  <c r="BJ136" i="2"/>
  <c r="BR132" i="2"/>
  <c r="BG131" i="2"/>
  <c r="BI130" i="2"/>
  <c r="BC129" i="2"/>
  <c r="BB147" i="2"/>
  <c r="BO139" i="2"/>
  <c r="BQ132" i="2"/>
  <c r="BF131" i="2"/>
  <c r="BH130" i="2"/>
  <c r="BB129" i="2"/>
  <c r="BA147" i="2"/>
  <c r="BJ137" i="2"/>
  <c r="BN133" i="2"/>
  <c r="BO132" i="2"/>
  <c r="BD131" i="2"/>
  <c r="BL146" i="2"/>
  <c r="BR141" i="2"/>
  <c r="BH137" i="2"/>
  <c r="BM133" i="2"/>
  <c r="BM132" i="2"/>
  <c r="BC131" i="2"/>
  <c r="BK146" i="2"/>
  <c r="BP141" i="2"/>
  <c r="BG137" i="2"/>
  <c r="BU134" i="2"/>
  <c r="BL133" i="2"/>
  <c r="BB132" i="2"/>
  <c r="BA131" i="2"/>
  <c r="BO141" i="2"/>
  <c r="BE137" i="2"/>
  <c r="BT134" i="2"/>
  <c r="BK133" i="2"/>
  <c r="BA132" i="2"/>
  <c r="BD137" i="2"/>
  <c r="BU135" i="2"/>
  <c r="BI134" i="2"/>
  <c r="BI133" i="2"/>
  <c r="BU138" i="2"/>
  <c r="BT135" i="2"/>
  <c r="BH134" i="2"/>
  <c r="BH133" i="2"/>
  <c r="BS138" i="2"/>
  <c r="BS135" i="2"/>
  <c r="BF134" i="2"/>
  <c r="BL144" i="2"/>
  <c r="BT140" i="2"/>
  <c r="BQ138" i="2"/>
  <c r="BQ135" i="2"/>
  <c r="BE134" i="2"/>
  <c r="BU129" i="2"/>
  <c r="BK144" i="2"/>
  <c r="BP140" i="2"/>
  <c r="BD138" i="2"/>
  <c r="BO135" i="2"/>
  <c r="BC134" i="2"/>
  <c r="BT129" i="2"/>
  <c r="BM140" i="2"/>
  <c r="BC138" i="2"/>
  <c r="BC135" i="2"/>
  <c r="BB134" i="2"/>
  <c r="BS129" i="2"/>
  <c r="BO136" i="2"/>
  <c r="BB135" i="2"/>
  <c r="BN130" i="2"/>
  <c r="BQ129" i="2"/>
  <c r="BU142" i="2"/>
  <c r="BR139" i="2"/>
  <c r="BK136" i="2"/>
  <c r="BS132" i="2"/>
  <c r="BR131" i="2"/>
  <c r="BK130" i="2"/>
  <c r="BD129" i="2"/>
  <c r="BE129" i="2"/>
  <c r="BN136" i="2"/>
  <c r="BM136" i="2"/>
  <c r="BA135" i="2"/>
  <c r="BT132" i="2"/>
  <c r="BS131" i="2"/>
  <c r="P149" i="2"/>
  <c r="J148" i="2"/>
  <c r="T147" i="2"/>
  <c r="D147" i="2"/>
  <c r="N146" i="2"/>
  <c r="H145" i="2"/>
  <c r="R144" i="2"/>
  <c r="L143" i="2"/>
  <c r="V142" i="2"/>
  <c r="F142" i="2"/>
  <c r="P141" i="2"/>
  <c r="J140" i="2"/>
  <c r="T139" i="2"/>
  <c r="D139" i="2"/>
  <c r="N138" i="2"/>
  <c r="H137" i="2"/>
  <c r="R136" i="2"/>
  <c r="L135" i="2"/>
  <c r="V134" i="2"/>
  <c r="F134" i="2"/>
  <c r="P133" i="2"/>
  <c r="J132" i="2"/>
  <c r="T131" i="2"/>
  <c r="D131" i="2"/>
  <c r="N130" i="2"/>
  <c r="H129" i="2"/>
  <c r="O149" i="2"/>
  <c r="I148" i="2"/>
  <c r="S147" i="2"/>
  <c r="C147" i="2"/>
  <c r="M146" i="2"/>
  <c r="W145" i="2"/>
  <c r="G145" i="2"/>
  <c r="Q144" i="2"/>
  <c r="K143" i="2"/>
  <c r="U142" i="2"/>
  <c r="E142" i="2"/>
  <c r="O141" i="2"/>
  <c r="I140" i="2"/>
  <c r="S139" i="2"/>
  <c r="C139" i="2"/>
  <c r="N149" i="2"/>
  <c r="H148" i="2"/>
  <c r="R147" i="2"/>
  <c r="L146" i="2"/>
  <c r="V145" i="2"/>
  <c r="M149" i="2"/>
  <c r="W148" i="2"/>
  <c r="G148" i="2"/>
  <c r="Q147" i="2"/>
  <c r="K146" i="2"/>
  <c r="U145" i="2"/>
  <c r="E145" i="2"/>
  <c r="O144" i="2"/>
  <c r="I143" i="2"/>
  <c r="S142" i="2"/>
  <c r="C142" i="2"/>
  <c r="M141" i="2"/>
  <c r="W140" i="2"/>
  <c r="G140" i="2"/>
  <c r="Q139" i="2"/>
  <c r="K138" i="2"/>
  <c r="U137" i="2"/>
  <c r="E137" i="2"/>
  <c r="O136" i="2"/>
  <c r="I135" i="2"/>
  <c r="S134" i="2"/>
  <c r="C134" i="2"/>
  <c r="M133" i="2"/>
  <c r="W132" i="2"/>
  <c r="G132" i="2"/>
  <c r="Q131" i="2"/>
  <c r="K130" i="2"/>
  <c r="U129" i="2"/>
  <c r="E129" i="2"/>
  <c r="L149" i="2"/>
  <c r="V148" i="2"/>
  <c r="F148" i="2"/>
  <c r="P147" i="2"/>
  <c r="J146" i="2"/>
  <c r="T145" i="2"/>
  <c r="D145" i="2"/>
  <c r="N144" i="2"/>
  <c r="K149" i="2"/>
  <c r="U148" i="2"/>
  <c r="E148" i="2"/>
  <c r="O147" i="2"/>
  <c r="I146" i="2"/>
  <c r="S145" i="2"/>
  <c r="C145" i="2"/>
  <c r="M144" i="2"/>
  <c r="W143" i="2"/>
  <c r="G143" i="2"/>
  <c r="Q142" i="2"/>
  <c r="K141" i="2"/>
  <c r="U140" i="2"/>
  <c r="E140" i="2"/>
  <c r="O139" i="2"/>
  <c r="I138" i="2"/>
  <c r="S137" i="2"/>
  <c r="C137" i="2"/>
  <c r="M136" i="2"/>
  <c r="J149" i="2"/>
  <c r="T148" i="2"/>
  <c r="D148" i="2"/>
  <c r="N147" i="2"/>
  <c r="H146" i="2"/>
  <c r="R145" i="2"/>
  <c r="L144" i="2"/>
  <c r="V143" i="2"/>
  <c r="F143" i="2"/>
  <c r="P142" i="2"/>
  <c r="J141" i="2"/>
  <c r="T140" i="2"/>
  <c r="D140" i="2"/>
  <c r="N139" i="2"/>
  <c r="H138" i="2"/>
  <c r="R137" i="2"/>
  <c r="L136" i="2"/>
  <c r="V135" i="2"/>
  <c r="F135" i="2"/>
  <c r="P134" i="2"/>
  <c r="J133" i="2"/>
  <c r="T132" i="2"/>
  <c r="D132" i="2"/>
  <c r="N131" i="2"/>
  <c r="H130" i="2"/>
  <c r="R129" i="2"/>
  <c r="BB143" i="2"/>
  <c r="I149" i="2"/>
  <c r="S148" i="2"/>
  <c r="C148" i="2"/>
  <c r="M147" i="2"/>
  <c r="W146" i="2"/>
  <c r="G146" i="2"/>
  <c r="Q145" i="2"/>
  <c r="K144" i="2"/>
  <c r="U143" i="2"/>
  <c r="E143" i="2"/>
  <c r="O142" i="2"/>
  <c r="I141" i="2"/>
  <c r="S140" i="2"/>
  <c r="C140" i="2"/>
  <c r="M139" i="2"/>
  <c r="W138" i="2"/>
  <c r="G138" i="2"/>
  <c r="BA143" i="2"/>
  <c r="BM130" i="2"/>
  <c r="BL130" i="2"/>
  <c r="BP129" i="2"/>
  <c r="R149" i="2"/>
  <c r="F147" i="2"/>
  <c r="P146" i="2"/>
  <c r="G144" i="2"/>
  <c r="S143" i="2"/>
  <c r="K142" i="2"/>
  <c r="C141" i="2"/>
  <c r="Q140" i="2"/>
  <c r="I139" i="2"/>
  <c r="V137" i="2"/>
  <c r="U136" i="2"/>
  <c r="U135" i="2"/>
  <c r="E134" i="2"/>
  <c r="G133" i="2"/>
  <c r="K132" i="2"/>
  <c r="L131" i="2"/>
  <c r="P130" i="2"/>
  <c r="Q129" i="2"/>
  <c r="Q149" i="2"/>
  <c r="E147" i="2"/>
  <c r="O146" i="2"/>
  <c r="F144" i="2"/>
  <c r="R143" i="2"/>
  <c r="J142" i="2"/>
  <c r="P140" i="2"/>
  <c r="H139" i="2"/>
  <c r="V138" i="2"/>
  <c r="T137" i="2"/>
  <c r="T136" i="2"/>
  <c r="T135" i="2"/>
  <c r="D134" i="2"/>
  <c r="F133" i="2"/>
  <c r="I132" i="2"/>
  <c r="K131" i="2"/>
  <c r="O130" i="2"/>
  <c r="P129" i="2"/>
  <c r="H149" i="2"/>
  <c r="R148" i="2"/>
  <c r="F146" i="2"/>
  <c r="P145" i="2"/>
  <c r="E144" i="2"/>
  <c r="Q143" i="2"/>
  <c r="I142" i="2"/>
  <c r="W141" i="2"/>
  <c r="O140" i="2"/>
  <c r="G139" i="2"/>
  <c r="U138" i="2"/>
  <c r="Q137" i="2"/>
  <c r="S136" i="2"/>
  <c r="S135" i="2"/>
  <c r="W134" i="2"/>
  <c r="E133" i="2"/>
  <c r="H132" i="2"/>
  <c r="J131" i="2"/>
  <c r="M130" i="2"/>
  <c r="O129" i="2"/>
  <c r="G149" i="2"/>
  <c r="Q148" i="2"/>
  <c r="E146" i="2"/>
  <c r="O145" i="2"/>
  <c r="D144" i="2"/>
  <c r="P143" i="2"/>
  <c r="H142" i="2"/>
  <c r="V141" i="2"/>
  <c r="N140" i="2"/>
  <c r="F139" i="2"/>
  <c r="T138" i="2"/>
  <c r="P137" i="2"/>
  <c r="Q136" i="2"/>
  <c r="R135" i="2"/>
  <c r="U134" i="2"/>
  <c r="W133" i="2"/>
  <c r="D133" i="2"/>
  <c r="F132" i="2"/>
  <c r="I131" i="2"/>
  <c r="L130" i="2"/>
  <c r="N129" i="2"/>
  <c r="F149" i="2"/>
  <c r="P148" i="2"/>
  <c r="D146" i="2"/>
  <c r="N145" i="2"/>
  <c r="C144" i="2"/>
  <c r="O143" i="2"/>
  <c r="G142" i="2"/>
  <c r="U141" i="2"/>
  <c r="M140" i="2"/>
  <c r="E139" i="2"/>
  <c r="S138" i="2"/>
  <c r="O137" i="2"/>
  <c r="P136" i="2"/>
  <c r="Q135" i="2"/>
  <c r="T134" i="2"/>
  <c r="V133" i="2"/>
  <c r="C133" i="2"/>
  <c r="E132" i="2"/>
  <c r="H131" i="2"/>
  <c r="J130" i="2"/>
  <c r="M129" i="2"/>
  <c r="E149" i="2"/>
  <c r="O148" i="2"/>
  <c r="C146" i="2"/>
  <c r="M145" i="2"/>
  <c r="N143" i="2"/>
  <c r="D142" i="2"/>
  <c r="T141" i="2"/>
  <c r="L140" i="2"/>
  <c r="R138" i="2"/>
  <c r="N137" i="2"/>
  <c r="N136" i="2"/>
  <c r="P135" i="2"/>
  <c r="R134" i="2"/>
  <c r="U133" i="2"/>
  <c r="C132" i="2"/>
  <c r="G131" i="2"/>
  <c r="I130" i="2"/>
  <c r="L129" i="2"/>
  <c r="D149" i="2"/>
  <c r="N148" i="2"/>
  <c r="L145" i="2"/>
  <c r="M143" i="2"/>
  <c r="S141" i="2"/>
  <c r="K140" i="2"/>
  <c r="Q138" i="2"/>
  <c r="M137" i="2"/>
  <c r="K136" i="2"/>
  <c r="O135" i="2"/>
  <c r="Q134" i="2"/>
  <c r="T133" i="2"/>
  <c r="V132" i="2"/>
  <c r="F131" i="2"/>
  <c r="G130" i="2"/>
  <c r="K129" i="2"/>
  <c r="C149" i="2"/>
  <c r="M148" i="2"/>
  <c r="W147" i="2"/>
  <c r="K145" i="2"/>
  <c r="W144" i="2"/>
  <c r="J143" i="2"/>
  <c r="R141" i="2"/>
  <c r="H140" i="2"/>
  <c r="P138" i="2"/>
  <c r="L137" i="2"/>
  <c r="J136" i="2"/>
  <c r="N135" i="2"/>
  <c r="O134" i="2"/>
  <c r="S133" i="2"/>
  <c r="U132" i="2"/>
  <c r="E131" i="2"/>
  <c r="F130" i="2"/>
  <c r="J129" i="2"/>
  <c r="L148" i="2"/>
  <c r="V147" i="2"/>
  <c r="J145" i="2"/>
  <c r="V144" i="2"/>
  <c r="H143" i="2"/>
  <c r="Q141" i="2"/>
  <c r="F140" i="2"/>
  <c r="W139" i="2"/>
  <c r="O138" i="2"/>
  <c r="K137" i="2"/>
  <c r="I136" i="2"/>
  <c r="M135" i="2"/>
  <c r="N134" i="2"/>
  <c r="R133" i="2"/>
  <c r="S132" i="2"/>
  <c r="W131" i="2"/>
  <c r="C131" i="2"/>
  <c r="E130" i="2"/>
  <c r="I129" i="2"/>
  <c r="K148" i="2"/>
  <c r="U147" i="2"/>
  <c r="I145" i="2"/>
  <c r="U144" i="2"/>
  <c r="D143" i="2"/>
  <c r="N141" i="2"/>
  <c r="V139" i="2"/>
  <c r="M138" i="2"/>
  <c r="J137" i="2"/>
  <c r="H136" i="2"/>
  <c r="K135" i="2"/>
  <c r="M134" i="2"/>
  <c r="Q133" i="2"/>
  <c r="R132" i="2"/>
  <c r="V131" i="2"/>
  <c r="W130" i="2"/>
  <c r="D130" i="2"/>
  <c r="G129" i="2"/>
  <c r="L147" i="2"/>
  <c r="V146" i="2"/>
  <c r="F145" i="2"/>
  <c r="T144" i="2"/>
  <c r="C143" i="2"/>
  <c r="W142" i="2"/>
  <c r="L141" i="2"/>
  <c r="U139" i="2"/>
  <c r="L138" i="2"/>
  <c r="I137" i="2"/>
  <c r="G136" i="2"/>
  <c r="J135" i="2"/>
  <c r="L134" i="2"/>
  <c r="O133" i="2"/>
  <c r="Q132" i="2"/>
  <c r="U131" i="2"/>
  <c r="V130" i="2"/>
  <c r="C130" i="2"/>
  <c r="F129" i="2"/>
  <c r="W149" i="2"/>
  <c r="K147" i="2"/>
  <c r="U146" i="2"/>
  <c r="S144" i="2"/>
  <c r="T142" i="2"/>
  <c r="H141" i="2"/>
  <c r="R139" i="2"/>
  <c r="J138" i="2"/>
  <c r="G137" i="2"/>
  <c r="F136" i="2"/>
  <c r="H135" i="2"/>
  <c r="K134" i="2"/>
  <c r="N133" i="2"/>
  <c r="P132" i="2"/>
  <c r="S131" i="2"/>
  <c r="U130" i="2"/>
  <c r="D129" i="2"/>
  <c r="V149" i="2"/>
  <c r="J147" i="2"/>
  <c r="T146" i="2"/>
  <c r="P144" i="2"/>
  <c r="R142" i="2"/>
  <c r="G141" i="2"/>
  <c r="P139" i="2"/>
  <c r="F138" i="2"/>
  <c r="F137" i="2"/>
  <c r="E136" i="2"/>
  <c r="G135" i="2"/>
  <c r="J134" i="2"/>
  <c r="L133" i="2"/>
  <c r="O132" i="2"/>
  <c r="R131" i="2"/>
  <c r="T130" i="2"/>
  <c r="S149" i="2"/>
  <c r="G147" i="2"/>
  <c r="Q146" i="2"/>
  <c r="H144" i="2"/>
  <c r="T143" i="2"/>
  <c r="L142" i="2"/>
  <c r="D141" i="2"/>
  <c r="R140" i="2"/>
  <c r="J139" i="2"/>
  <c r="C138" i="2"/>
  <c r="W137" i="2"/>
  <c r="V136" i="2"/>
  <c r="W135" i="2"/>
  <c r="C135" i="2"/>
  <c r="G134" i="2"/>
  <c r="H133" i="2"/>
  <c r="L132" i="2"/>
  <c r="M131" i="2"/>
  <c r="Q130" i="2"/>
  <c r="S129" i="2"/>
  <c r="R146" i="2"/>
  <c r="E141" i="2"/>
  <c r="W136" i="2"/>
  <c r="T129" i="2"/>
  <c r="D136" i="2"/>
  <c r="N132" i="2"/>
  <c r="C129" i="2"/>
  <c r="V140" i="2"/>
  <c r="C136" i="2"/>
  <c r="M132" i="2"/>
  <c r="J144" i="2"/>
  <c r="L139" i="2"/>
  <c r="E135" i="2"/>
  <c r="P131" i="2"/>
  <c r="I144" i="2"/>
  <c r="K139" i="2"/>
  <c r="D135" i="2"/>
  <c r="O131" i="2"/>
  <c r="U149" i="2"/>
  <c r="T149" i="2"/>
  <c r="E138" i="2"/>
  <c r="I134" i="2"/>
  <c r="S130" i="2"/>
  <c r="D138" i="2"/>
  <c r="H134" i="2"/>
  <c r="R130" i="2"/>
  <c r="N142" i="2"/>
  <c r="M142" i="2"/>
  <c r="I147" i="2"/>
  <c r="H147" i="2"/>
  <c r="S146" i="2"/>
  <c r="F141" i="2"/>
  <c r="D137" i="2"/>
  <c r="K133" i="2"/>
  <c r="I133" i="2"/>
  <c r="W129" i="2"/>
  <c r="V129" i="2"/>
  <c r="C23" i="1"/>
  <c r="DH101" i="2"/>
  <c r="DR100" i="2"/>
  <c r="DB100" i="2"/>
  <c r="DL99" i="2"/>
  <c r="DF98" i="2"/>
  <c r="DP97" i="2"/>
  <c r="CZ97" i="2"/>
  <c r="DJ96" i="2"/>
  <c r="DD95" i="2"/>
  <c r="DN94" i="2"/>
  <c r="DH93" i="2"/>
  <c r="DR92" i="2"/>
  <c r="DB92" i="2"/>
  <c r="DL91" i="2"/>
  <c r="DF90" i="2"/>
  <c r="DP89" i="2"/>
  <c r="CZ89" i="2"/>
  <c r="DJ88" i="2"/>
  <c r="DD87" i="2"/>
  <c r="DN86" i="2"/>
  <c r="DH85" i="2"/>
  <c r="DG101" i="2"/>
  <c r="DQ100" i="2"/>
  <c r="DA100" i="2"/>
  <c r="DK99" i="2"/>
  <c r="DE98" i="2"/>
  <c r="DO97" i="2"/>
  <c r="CY97" i="2"/>
  <c r="DI96" i="2"/>
  <c r="DS95" i="2"/>
  <c r="DC95" i="2"/>
  <c r="DM94" i="2"/>
  <c r="DG93" i="2"/>
  <c r="DQ92" i="2"/>
  <c r="DA92" i="2"/>
  <c r="DK91" i="2"/>
  <c r="DE90" i="2"/>
  <c r="DO89" i="2"/>
  <c r="CY89" i="2"/>
  <c r="DI88" i="2"/>
  <c r="DS87" i="2"/>
  <c r="DC87" i="2"/>
  <c r="DF101" i="2"/>
  <c r="DP100" i="2"/>
  <c r="CZ100" i="2"/>
  <c r="DJ99" i="2"/>
  <c r="DD98" i="2"/>
  <c r="DN97" i="2"/>
  <c r="DH96" i="2"/>
  <c r="DR95" i="2"/>
  <c r="DB95" i="2"/>
  <c r="DL94" i="2"/>
  <c r="DF93" i="2"/>
  <c r="DP92" i="2"/>
  <c r="CZ92" i="2"/>
  <c r="DJ91" i="2"/>
  <c r="DD90" i="2"/>
  <c r="DN89" i="2"/>
  <c r="DH88" i="2"/>
  <c r="DR87" i="2"/>
  <c r="DB87" i="2"/>
  <c r="DL86" i="2"/>
  <c r="DF85" i="2"/>
  <c r="DP84" i="2"/>
  <c r="CZ84" i="2"/>
  <c r="DJ83" i="2"/>
  <c r="DD82" i="2"/>
  <c r="DE101" i="2"/>
  <c r="DO100" i="2"/>
  <c r="CY100" i="2"/>
  <c r="DI99" i="2"/>
  <c r="DS98" i="2"/>
  <c r="DC98" i="2"/>
  <c r="DM97" i="2"/>
  <c r="DG96" i="2"/>
  <c r="DQ95" i="2"/>
  <c r="DA95" i="2"/>
  <c r="DK94" i="2"/>
  <c r="DE93" i="2"/>
  <c r="DO92" i="2"/>
  <c r="CY92" i="2"/>
  <c r="DI91" i="2"/>
  <c r="DS90" i="2"/>
  <c r="DC90" i="2"/>
  <c r="DM89" i="2"/>
  <c r="DG88" i="2"/>
  <c r="DD101" i="2"/>
  <c r="DN100" i="2"/>
  <c r="DH99" i="2"/>
  <c r="DR98" i="2"/>
  <c r="DB98" i="2"/>
  <c r="DL97" i="2"/>
  <c r="DF96" i="2"/>
  <c r="DP95" i="2"/>
  <c r="CZ95" i="2"/>
  <c r="DJ94" i="2"/>
  <c r="DD93" i="2"/>
  <c r="DN92" i="2"/>
  <c r="DH91" i="2"/>
  <c r="DR90" i="2"/>
  <c r="DB90" i="2"/>
  <c r="DL89" i="2"/>
  <c r="DF88" i="2"/>
  <c r="DP87" i="2"/>
  <c r="CZ87" i="2"/>
  <c r="DJ86" i="2"/>
  <c r="DD85" i="2"/>
  <c r="DN84" i="2"/>
  <c r="DH83" i="2"/>
  <c r="DR82" i="2"/>
  <c r="DB82" i="2"/>
  <c r="DL81" i="2"/>
  <c r="DS101" i="2"/>
  <c r="DC101" i="2"/>
  <c r="DM100" i="2"/>
  <c r="DG99" i="2"/>
  <c r="DQ98" i="2"/>
  <c r="DA98" i="2"/>
  <c r="DK97" i="2"/>
  <c r="DE96" i="2"/>
  <c r="DO95" i="2"/>
  <c r="CY95" i="2"/>
  <c r="DI94" i="2"/>
  <c r="DS93" i="2"/>
  <c r="DC93" i="2"/>
  <c r="DM92" i="2"/>
  <c r="DG91" i="2"/>
  <c r="DQ90" i="2"/>
  <c r="DA90" i="2"/>
  <c r="DK89" i="2"/>
  <c r="DE88" i="2"/>
  <c r="DO87" i="2"/>
  <c r="CY87" i="2"/>
  <c r="DI86" i="2"/>
  <c r="DS85" i="2"/>
  <c r="DC85" i="2"/>
  <c r="DM84" i="2"/>
  <c r="DG83" i="2"/>
  <c r="DR101" i="2"/>
  <c r="DB101" i="2"/>
  <c r="DL100" i="2"/>
  <c r="DF99" i="2"/>
  <c r="DP98" i="2"/>
  <c r="CZ98" i="2"/>
  <c r="DJ97" i="2"/>
  <c r="DD96" i="2"/>
  <c r="DN95" i="2"/>
  <c r="DH94" i="2"/>
  <c r="DR93" i="2"/>
  <c r="DB93" i="2"/>
  <c r="DL92" i="2"/>
  <c r="DF91" i="2"/>
  <c r="DP90" i="2"/>
  <c r="CZ90" i="2"/>
  <c r="DJ89" i="2"/>
  <c r="DD88" i="2"/>
  <c r="DN87" i="2"/>
  <c r="DH86" i="2"/>
  <c r="DR85" i="2"/>
  <c r="DB85" i="2"/>
  <c r="DL84" i="2"/>
  <c r="DF83" i="2"/>
  <c r="DQ101" i="2"/>
  <c r="DA101" i="2"/>
  <c r="DK100" i="2"/>
  <c r="DE99" i="2"/>
  <c r="DO98" i="2"/>
  <c r="CY98" i="2"/>
  <c r="DI97" i="2"/>
  <c r="DS96" i="2"/>
  <c r="DC96" i="2"/>
  <c r="DM95" i="2"/>
  <c r="DG94" i="2"/>
  <c r="DQ93" i="2"/>
  <c r="DA93" i="2"/>
  <c r="DK92" i="2"/>
  <c r="DP101" i="2"/>
  <c r="CZ101" i="2"/>
  <c r="DJ100" i="2"/>
  <c r="DD99" i="2"/>
  <c r="DN98" i="2"/>
  <c r="DH97" i="2"/>
  <c r="DR96" i="2"/>
  <c r="DB96" i="2"/>
  <c r="DL95" i="2"/>
  <c r="DF94" i="2"/>
  <c r="DP93" i="2"/>
  <c r="CZ93" i="2"/>
  <c r="DJ92" i="2"/>
  <c r="DD91" i="2"/>
  <c r="DN90" i="2"/>
  <c r="DH89" i="2"/>
  <c r="DR88" i="2"/>
  <c r="DB88" i="2"/>
  <c r="DL87" i="2"/>
  <c r="DO101" i="2"/>
  <c r="CY101" i="2"/>
  <c r="DI100" i="2"/>
  <c r="DS99" i="2"/>
  <c r="DC99" i="2"/>
  <c r="DM98" i="2"/>
  <c r="DG97" i="2"/>
  <c r="DQ96" i="2"/>
  <c r="DA96" i="2"/>
  <c r="DK95" i="2"/>
  <c r="DE94" i="2"/>
  <c r="DO93" i="2"/>
  <c r="CY93" i="2"/>
  <c r="DI92" i="2"/>
  <c r="DS91" i="2"/>
  <c r="DC91" i="2"/>
  <c r="DM90" i="2"/>
  <c r="DG89" i="2"/>
  <c r="DQ88" i="2"/>
  <c r="DA88" i="2"/>
  <c r="DK87" i="2"/>
  <c r="DE86" i="2"/>
  <c r="DO85" i="2"/>
  <c r="CY85" i="2"/>
  <c r="DI84" i="2"/>
  <c r="DS83" i="2"/>
  <c r="DC83" i="2"/>
  <c r="DM82" i="2"/>
  <c r="DN101" i="2"/>
  <c r="DH100" i="2"/>
  <c r="DR99" i="2"/>
  <c r="DB99" i="2"/>
  <c r="DL98" i="2"/>
  <c r="DF97" i="2"/>
  <c r="DP96" i="2"/>
  <c r="CZ96" i="2"/>
  <c r="DJ95" i="2"/>
  <c r="DD94" i="2"/>
  <c r="DN93" i="2"/>
  <c r="DM101" i="2"/>
  <c r="DG100" i="2"/>
  <c r="DQ99" i="2"/>
  <c r="DA99" i="2"/>
  <c r="DK98" i="2"/>
  <c r="DE97" i="2"/>
  <c r="DL101" i="2"/>
  <c r="DF100" i="2"/>
  <c r="DP99" i="2"/>
  <c r="CZ99" i="2"/>
  <c r="DJ98" i="2"/>
  <c r="DD97" i="2"/>
  <c r="DN96" i="2"/>
  <c r="DH95" i="2"/>
  <c r="DR94" i="2"/>
  <c r="DB94" i="2"/>
  <c r="DL93" i="2"/>
  <c r="DF92" i="2"/>
  <c r="DP91" i="2"/>
  <c r="CZ91" i="2"/>
  <c r="DJ90" i="2"/>
  <c r="DD89" i="2"/>
  <c r="DN88" i="2"/>
  <c r="DH87" i="2"/>
  <c r="DR86" i="2"/>
  <c r="DB86" i="2"/>
  <c r="DL85" i="2"/>
  <c r="DF84" i="2"/>
  <c r="DP83" i="2"/>
  <c r="CZ83" i="2"/>
  <c r="DJ82" i="2"/>
  <c r="DD81" i="2"/>
  <c r="DI101" i="2"/>
  <c r="DS100" i="2"/>
  <c r="DC100" i="2"/>
  <c r="DM99" i="2"/>
  <c r="DG98" i="2"/>
  <c r="DQ97" i="2"/>
  <c r="DA97" i="2"/>
  <c r="DM96" i="2"/>
  <c r="DK93" i="2"/>
  <c r="DC92" i="2"/>
  <c r="CY91" i="2"/>
  <c r="DA89" i="2"/>
  <c r="DE87" i="2"/>
  <c r="DK86" i="2"/>
  <c r="DK84" i="2"/>
  <c r="DB83" i="2"/>
  <c r="CZ82" i="2"/>
  <c r="DB81" i="2"/>
  <c r="DL96" i="2"/>
  <c r="DJ93" i="2"/>
  <c r="DA87" i="2"/>
  <c r="DG86" i="2"/>
  <c r="DJ84" i="2"/>
  <c r="DA83" i="2"/>
  <c r="CY82" i="2"/>
  <c r="DS81" i="2"/>
  <c r="DA81" i="2"/>
  <c r="DK96" i="2"/>
  <c r="DI93" i="2"/>
  <c r="DF86" i="2"/>
  <c r="DH84" i="2"/>
  <c r="CY83" i="2"/>
  <c r="DS82" i="2"/>
  <c r="DR81" i="2"/>
  <c r="CZ81" i="2"/>
  <c r="DK101" i="2"/>
  <c r="DI98" i="2"/>
  <c r="CY96" i="2"/>
  <c r="DS94" i="2"/>
  <c r="DD86" i="2"/>
  <c r="DQ85" i="2"/>
  <c r="DG84" i="2"/>
  <c r="DQ82" i="2"/>
  <c r="DQ81" i="2"/>
  <c r="CY81" i="2"/>
  <c r="DJ101" i="2"/>
  <c r="DH98" i="2"/>
  <c r="DQ94" i="2"/>
  <c r="DC86" i="2"/>
  <c r="DP85" i="2"/>
  <c r="DE84" i="2"/>
  <c r="DP82" i="2"/>
  <c r="DP81" i="2"/>
  <c r="DP94" i="2"/>
  <c r="DA86" i="2"/>
  <c r="DN85" i="2"/>
  <c r="DD84" i="2"/>
  <c r="DO82" i="2"/>
  <c r="DO81" i="2"/>
  <c r="DO94" i="2"/>
  <c r="CZ86" i="2"/>
  <c r="DM85" i="2"/>
  <c r="DC84" i="2"/>
  <c r="DR83" i="2"/>
  <c r="DN82" i="2"/>
  <c r="DN81" i="2"/>
  <c r="DS97" i="2"/>
  <c r="DC94" i="2"/>
  <c r="DS88" i="2"/>
  <c r="CY86" i="2"/>
  <c r="DK85" i="2"/>
  <c r="DB84" i="2"/>
  <c r="DQ83" i="2"/>
  <c r="DL82" i="2"/>
  <c r="DM81" i="2"/>
  <c r="DR97" i="2"/>
  <c r="DA94" i="2"/>
  <c r="DR91" i="2"/>
  <c r="DS89" i="2"/>
  <c r="DP88" i="2"/>
  <c r="DJ85" i="2"/>
  <c r="DA84" i="2"/>
  <c r="DO83" i="2"/>
  <c r="DK82" i="2"/>
  <c r="DK81" i="2"/>
  <c r="DE100" i="2"/>
  <c r="DC97" i="2"/>
  <c r="CZ94" i="2"/>
  <c r="DQ91" i="2"/>
  <c r="DO90" i="2"/>
  <c r="DR89" i="2"/>
  <c r="DO88" i="2"/>
  <c r="DD100" i="2"/>
  <c r="DB97" i="2"/>
  <c r="CY94" i="2"/>
  <c r="DO91" i="2"/>
  <c r="DL90" i="2"/>
  <c r="DQ89" i="2"/>
  <c r="DI95" i="2"/>
  <c r="CY99" i="2"/>
  <c r="DO96" i="2"/>
  <c r="DM93" i="2"/>
  <c r="DD92" i="2"/>
  <c r="DA91" i="2"/>
  <c r="CY90" i="2"/>
  <c r="DB89" i="2"/>
  <c r="CY88" i="2"/>
  <c r="DF87" i="2"/>
  <c r="DM86" i="2"/>
  <c r="DO84" i="2"/>
  <c r="DD83" i="2"/>
  <c r="DA82" i="2"/>
  <c r="DC81" i="2"/>
  <c r="DI90" i="2"/>
  <c r="DG87" i="2"/>
  <c r="CZ85" i="2"/>
  <c r="DL83" i="2"/>
  <c r="DG95" i="2"/>
  <c r="DH90" i="2"/>
  <c r="DK83" i="2"/>
  <c r="DF95" i="2"/>
  <c r="DG90" i="2"/>
  <c r="DS86" i="2"/>
  <c r="DI83" i="2"/>
  <c r="DE95" i="2"/>
  <c r="DI89" i="2"/>
  <c r="DQ86" i="2"/>
  <c r="DE83" i="2"/>
  <c r="DF89" i="2"/>
  <c r="DP86" i="2"/>
  <c r="DE89" i="2"/>
  <c r="DO86" i="2"/>
  <c r="DS84" i="2"/>
  <c r="DC89" i="2"/>
  <c r="DR84" i="2"/>
  <c r="DJ81" i="2"/>
  <c r="DS92" i="2"/>
  <c r="DM88" i="2"/>
  <c r="DQ84" i="2"/>
  <c r="DI81" i="2"/>
  <c r="DH92" i="2"/>
  <c r="DL88" i="2"/>
  <c r="CY84" i="2"/>
  <c r="DH81" i="2"/>
  <c r="DG92" i="2"/>
  <c r="DK88" i="2"/>
  <c r="DG81" i="2"/>
  <c r="DE92" i="2"/>
  <c r="DC88" i="2"/>
  <c r="DI82" i="2"/>
  <c r="DF81" i="2"/>
  <c r="DN91" i="2"/>
  <c r="CZ88" i="2"/>
  <c r="DH82" i="2"/>
  <c r="DE81" i="2"/>
  <c r="DM91" i="2"/>
  <c r="DQ87" i="2"/>
  <c r="DI85" i="2"/>
  <c r="DG82" i="2"/>
  <c r="DK90" i="2"/>
  <c r="DI87" i="2"/>
  <c r="DA85" i="2"/>
  <c r="DM83" i="2"/>
  <c r="DC82" i="2"/>
  <c r="DN83" i="2"/>
  <c r="DF82" i="2"/>
  <c r="DE82" i="2"/>
  <c r="DO99" i="2"/>
  <c r="DN99" i="2"/>
  <c r="DE91" i="2"/>
  <c r="DB91" i="2"/>
  <c r="DM87" i="2"/>
  <c r="DJ87" i="2"/>
  <c r="DG85" i="2"/>
  <c r="DE85" i="2"/>
  <c r="BG101" i="2"/>
  <c r="BQ100" i="2"/>
  <c r="BA100" i="2"/>
  <c r="BK99" i="2"/>
  <c r="BU98" i="2"/>
  <c r="BE98" i="2"/>
  <c r="BO97" i="2"/>
  <c r="BI96" i="2"/>
  <c r="BS95" i="2"/>
  <c r="BC95" i="2"/>
  <c r="BM94" i="2"/>
  <c r="BG93" i="2"/>
  <c r="BQ92" i="2"/>
  <c r="BA92" i="2"/>
  <c r="BR101" i="2"/>
  <c r="BB101" i="2"/>
  <c r="BT101" i="2"/>
  <c r="BA101" i="2"/>
  <c r="BH100" i="2"/>
  <c r="BP99" i="2"/>
  <c r="BG98" i="2"/>
  <c r="BN97" i="2"/>
  <c r="BE96" i="2"/>
  <c r="BM95" i="2"/>
  <c r="BU94" i="2"/>
  <c r="BD94" i="2"/>
  <c r="BL93" i="2"/>
  <c r="BT92" i="2"/>
  <c r="BC92" i="2"/>
  <c r="BL91" i="2"/>
  <c r="BF90" i="2"/>
  <c r="BP89" i="2"/>
  <c r="BJ88" i="2"/>
  <c r="BT87" i="2"/>
  <c r="BD87" i="2"/>
  <c r="BN86" i="2"/>
  <c r="BH85" i="2"/>
  <c r="BR84" i="2"/>
  <c r="BB84" i="2"/>
  <c r="BL83" i="2"/>
  <c r="BF82" i="2"/>
  <c r="BS101" i="2"/>
  <c r="BG100" i="2"/>
  <c r="BO99" i="2"/>
  <c r="BF98" i="2"/>
  <c r="BM97" i="2"/>
  <c r="BU96" i="2"/>
  <c r="BD96" i="2"/>
  <c r="BL95" i="2"/>
  <c r="BT94" i="2"/>
  <c r="BC94" i="2"/>
  <c r="BK93" i="2"/>
  <c r="BS92" i="2"/>
  <c r="BB92" i="2"/>
  <c r="BK91" i="2"/>
  <c r="BU90" i="2"/>
  <c r="BE90" i="2"/>
  <c r="BO89" i="2"/>
  <c r="BI88" i="2"/>
  <c r="BS87" i="2"/>
  <c r="BC87" i="2"/>
  <c r="BM86" i="2"/>
  <c r="BG85" i="2"/>
  <c r="BQ101" i="2"/>
  <c r="BF100" i="2"/>
  <c r="BN99" i="2"/>
  <c r="BD98" i="2"/>
  <c r="BL97" i="2"/>
  <c r="BT96" i="2"/>
  <c r="BC96" i="2"/>
  <c r="BK95" i="2"/>
  <c r="BS94" i="2"/>
  <c r="BB94" i="2"/>
  <c r="BJ93" i="2"/>
  <c r="BR92" i="2"/>
  <c r="BJ91" i="2"/>
  <c r="BT90" i="2"/>
  <c r="BD90" i="2"/>
  <c r="BN89" i="2"/>
  <c r="BH88" i="2"/>
  <c r="BR87" i="2"/>
  <c r="BB87" i="2"/>
  <c r="BL86" i="2"/>
  <c r="BP101" i="2"/>
  <c r="BE100" i="2"/>
  <c r="BM99" i="2"/>
  <c r="BT98" i="2"/>
  <c r="BC98" i="2"/>
  <c r="BK97" i="2"/>
  <c r="BS96" i="2"/>
  <c r="BB96" i="2"/>
  <c r="BJ95" i="2"/>
  <c r="BR94" i="2"/>
  <c r="BA94" i="2"/>
  <c r="BI93" i="2"/>
  <c r="BP92" i="2"/>
  <c r="BI91" i="2"/>
  <c r="BS90" i="2"/>
  <c r="BC90" i="2"/>
  <c r="BM89" i="2"/>
  <c r="BG88" i="2"/>
  <c r="BQ87" i="2"/>
  <c r="BA87" i="2"/>
  <c r="BK86" i="2"/>
  <c r="BU85" i="2"/>
  <c r="BE85" i="2"/>
  <c r="BO84" i="2"/>
  <c r="BI83" i="2"/>
  <c r="BS82" i="2"/>
  <c r="BC82" i="2"/>
  <c r="BM81" i="2"/>
  <c r="BO101" i="2"/>
  <c r="BU100" i="2"/>
  <c r="BD100" i="2"/>
  <c r="BL99" i="2"/>
  <c r="BS98" i="2"/>
  <c r="BB98" i="2"/>
  <c r="BJ97" i="2"/>
  <c r="BR96" i="2"/>
  <c r="BA96" i="2"/>
  <c r="BI95" i="2"/>
  <c r="BQ94" i="2"/>
  <c r="BH93" i="2"/>
  <c r="BO92" i="2"/>
  <c r="BH91" i="2"/>
  <c r="BR90" i="2"/>
  <c r="BB90" i="2"/>
  <c r="BL89" i="2"/>
  <c r="BF88" i="2"/>
  <c r="BP87" i="2"/>
  <c r="BN101" i="2"/>
  <c r="BT100" i="2"/>
  <c r="BC100" i="2"/>
  <c r="BJ99" i="2"/>
  <c r="BR98" i="2"/>
  <c r="BA98" i="2"/>
  <c r="BI97" i="2"/>
  <c r="BQ96" i="2"/>
  <c r="BH95" i="2"/>
  <c r="BP94" i="2"/>
  <c r="BF93" i="2"/>
  <c r="BN92" i="2"/>
  <c r="BG91" i="2"/>
  <c r="BQ90" i="2"/>
  <c r="BA90" i="2"/>
  <c r="BK89" i="2"/>
  <c r="BU88" i="2"/>
  <c r="BE88" i="2"/>
  <c r="BO87" i="2"/>
  <c r="BI86" i="2"/>
  <c r="BS85" i="2"/>
  <c r="BC85" i="2"/>
  <c r="BM84" i="2"/>
  <c r="BG83" i="2"/>
  <c r="BQ82" i="2"/>
  <c r="BA82" i="2"/>
  <c r="BK81" i="2"/>
  <c r="BM101" i="2"/>
  <c r="BS100" i="2"/>
  <c r="BB100" i="2"/>
  <c r="BI99" i="2"/>
  <c r="BQ98" i="2"/>
  <c r="BH97" i="2"/>
  <c r="BP96" i="2"/>
  <c r="BG95" i="2"/>
  <c r="BO94" i="2"/>
  <c r="BE93" i="2"/>
  <c r="BM92" i="2"/>
  <c r="BF91" i="2"/>
  <c r="BP90" i="2"/>
  <c r="BJ89" i="2"/>
  <c r="BT88" i="2"/>
  <c r="BD88" i="2"/>
  <c r="BN87" i="2"/>
  <c r="BH86" i="2"/>
  <c r="BR85" i="2"/>
  <c r="BB85" i="2"/>
  <c r="BL84" i="2"/>
  <c r="BF83" i="2"/>
  <c r="BP82" i="2"/>
  <c r="BJ81" i="2"/>
  <c r="BL101" i="2"/>
  <c r="BR100" i="2"/>
  <c r="BH99" i="2"/>
  <c r="BP98" i="2"/>
  <c r="BG97" i="2"/>
  <c r="BO96" i="2"/>
  <c r="BF95" i="2"/>
  <c r="BN94" i="2"/>
  <c r="BU93" i="2"/>
  <c r="BD93" i="2"/>
  <c r="BL92" i="2"/>
  <c r="BU91" i="2"/>
  <c r="BE91" i="2"/>
  <c r="BO90" i="2"/>
  <c r="BI89" i="2"/>
  <c r="BS88" i="2"/>
  <c r="BC88" i="2"/>
  <c r="BM87" i="2"/>
  <c r="BG86" i="2"/>
  <c r="BQ85" i="2"/>
  <c r="BA85" i="2"/>
  <c r="BK84" i="2"/>
  <c r="BU83" i="2"/>
  <c r="BE83" i="2"/>
  <c r="BO82" i="2"/>
  <c r="BI81" i="2"/>
  <c r="BK101" i="2"/>
  <c r="BP100" i="2"/>
  <c r="BG99" i="2"/>
  <c r="BO98" i="2"/>
  <c r="BF97" i="2"/>
  <c r="BN96" i="2"/>
  <c r="BE95" i="2"/>
  <c r="BL94" i="2"/>
  <c r="BT93" i="2"/>
  <c r="BJ101" i="2"/>
  <c r="BO100" i="2"/>
  <c r="BF99" i="2"/>
  <c r="BN98" i="2"/>
  <c r="BE97" i="2"/>
  <c r="BM96" i="2"/>
  <c r="BU95" i="2"/>
  <c r="BI101" i="2"/>
  <c r="BN100" i="2"/>
  <c r="BE99" i="2"/>
  <c r="BH101" i="2"/>
  <c r="BM100" i="2"/>
  <c r="BU99" i="2"/>
  <c r="BD99" i="2"/>
  <c r="BL98" i="2"/>
  <c r="BT97" i="2"/>
  <c r="BC97" i="2"/>
  <c r="BK96" i="2"/>
  <c r="BR95" i="2"/>
  <c r="BA95" i="2"/>
  <c r="BI94" i="2"/>
  <c r="BQ93" i="2"/>
  <c r="BH92" i="2"/>
  <c r="BQ91" i="2"/>
  <c r="BA91" i="2"/>
  <c r="BK90" i="2"/>
  <c r="BU89" i="2"/>
  <c r="BE89" i="2"/>
  <c r="BO88" i="2"/>
  <c r="BU101" i="2"/>
  <c r="BC101" i="2"/>
  <c r="BI100" i="2"/>
  <c r="BQ99" i="2"/>
  <c r="BH98" i="2"/>
  <c r="BP97" i="2"/>
  <c r="BF96" i="2"/>
  <c r="BN95" i="2"/>
  <c r="BE94" i="2"/>
  <c r="BM93" i="2"/>
  <c r="BU92" i="2"/>
  <c r="BD92" i="2"/>
  <c r="BM91" i="2"/>
  <c r="BG90" i="2"/>
  <c r="BQ89" i="2"/>
  <c r="BA89" i="2"/>
  <c r="BT99" i="2"/>
  <c r="BG96" i="2"/>
  <c r="BO93" i="2"/>
  <c r="BI92" i="2"/>
  <c r="BD91" i="2"/>
  <c r="BI90" i="2"/>
  <c r="BF89" i="2"/>
  <c r="BK88" i="2"/>
  <c r="BL87" i="2"/>
  <c r="BA86" i="2"/>
  <c r="BO85" i="2"/>
  <c r="BH84" i="2"/>
  <c r="BC83" i="2"/>
  <c r="BS81" i="2"/>
  <c r="BS99" i="2"/>
  <c r="BU97" i="2"/>
  <c r="BN93" i="2"/>
  <c r="BG92" i="2"/>
  <c r="BC91" i="2"/>
  <c r="BH90" i="2"/>
  <c r="BD89" i="2"/>
  <c r="BB88" i="2"/>
  <c r="BK87" i="2"/>
  <c r="BN85" i="2"/>
  <c r="BG84" i="2"/>
  <c r="BB83" i="2"/>
  <c r="BR81" i="2"/>
  <c r="BR99" i="2"/>
  <c r="BS97" i="2"/>
  <c r="BC93" i="2"/>
  <c r="BF92" i="2"/>
  <c r="BB91" i="2"/>
  <c r="BC89" i="2"/>
  <c r="BA88" i="2"/>
  <c r="BJ87" i="2"/>
  <c r="BM85" i="2"/>
  <c r="BF84" i="2"/>
  <c r="BA83" i="2"/>
  <c r="BU82" i="2"/>
  <c r="BQ81" i="2"/>
  <c r="BC99" i="2"/>
  <c r="BR97" i="2"/>
  <c r="BK94" i="2"/>
  <c r="BB93" i="2"/>
  <c r="BE92" i="2"/>
  <c r="BB89" i="2"/>
  <c r="BI87" i="2"/>
  <c r="BU86" i="2"/>
  <c r="BL85" i="2"/>
  <c r="BE84" i="2"/>
  <c r="BT82" i="2"/>
  <c r="BP81" i="2"/>
  <c r="BF101" i="2"/>
  <c r="BB99" i="2"/>
  <c r="BQ97" i="2"/>
  <c r="BJ94" i="2"/>
  <c r="BA93" i="2"/>
  <c r="BH87" i="2"/>
  <c r="BT86" i="2"/>
  <c r="BK85" i="2"/>
  <c r="BD84" i="2"/>
  <c r="BT83" i="2"/>
  <c r="BR82" i="2"/>
  <c r="BO81" i="2"/>
  <c r="BE101" i="2"/>
  <c r="BA99" i="2"/>
  <c r="BD97" i="2"/>
  <c r="BT95" i="2"/>
  <c r="BH94" i="2"/>
  <c r="BG87" i="2"/>
  <c r="BS86" i="2"/>
  <c r="BJ85" i="2"/>
  <c r="BC84" i="2"/>
  <c r="BS83" i="2"/>
  <c r="BN82" i="2"/>
  <c r="BN81" i="2"/>
  <c r="BD101" i="2"/>
  <c r="BB97" i="2"/>
  <c r="BQ95" i="2"/>
  <c r="BG94" i="2"/>
  <c r="BF87" i="2"/>
  <c r="BR86" i="2"/>
  <c r="BI85" i="2"/>
  <c r="BA84" i="2"/>
  <c r="BR83" i="2"/>
  <c r="BM82" i="2"/>
  <c r="BL81" i="2"/>
  <c r="BA97" i="2"/>
  <c r="BP95" i="2"/>
  <c r="BF94" i="2"/>
  <c r="BE87" i="2"/>
  <c r="BQ86" i="2"/>
  <c r="BF85" i="2"/>
  <c r="BQ83" i="2"/>
  <c r="BL82" i="2"/>
  <c r="BH81" i="2"/>
  <c r="BO95" i="2"/>
  <c r="BP86" i="2"/>
  <c r="BD85" i="2"/>
  <c r="BU84" i="2"/>
  <c r="BP83" i="2"/>
  <c r="BK82" i="2"/>
  <c r="BG81" i="2"/>
  <c r="BM98" i="2"/>
  <c r="BD95" i="2"/>
  <c r="BO86" i="2"/>
  <c r="BT84" i="2"/>
  <c r="BO83" i="2"/>
  <c r="BJ82" i="2"/>
  <c r="BF81" i="2"/>
  <c r="BL100" i="2"/>
  <c r="BK98" i="2"/>
  <c r="BB95" i="2"/>
  <c r="BT91" i="2"/>
  <c r="BR88" i="2"/>
  <c r="BJ86" i="2"/>
  <c r="BS84" i="2"/>
  <c r="BN83" i="2"/>
  <c r="BI82" i="2"/>
  <c r="BE81" i="2"/>
  <c r="BK100" i="2"/>
  <c r="BJ98" i="2"/>
  <c r="BS91" i="2"/>
  <c r="BT89" i="2"/>
  <c r="BQ88" i="2"/>
  <c r="BF86" i="2"/>
  <c r="BQ84" i="2"/>
  <c r="BM83" i="2"/>
  <c r="BH82" i="2"/>
  <c r="BD81" i="2"/>
  <c r="BJ100" i="2"/>
  <c r="BI98" i="2"/>
  <c r="BR91" i="2"/>
  <c r="BN90" i="2"/>
  <c r="BS89" i="2"/>
  <c r="BP88" i="2"/>
  <c r="BE86" i="2"/>
  <c r="BP84" i="2"/>
  <c r="BK83" i="2"/>
  <c r="BG82" i="2"/>
  <c r="BC81" i="2"/>
  <c r="BN91" i="2"/>
  <c r="BD86" i="2"/>
  <c r="BH83" i="2"/>
  <c r="BM90" i="2"/>
  <c r="BC86" i="2"/>
  <c r="BD83" i="2"/>
  <c r="BL96" i="2"/>
  <c r="BL90" i="2"/>
  <c r="BB86" i="2"/>
  <c r="BJ96" i="2"/>
  <c r="BJ90" i="2"/>
  <c r="BH96" i="2"/>
  <c r="BR89" i="2"/>
  <c r="BT85" i="2"/>
  <c r="BH89" i="2"/>
  <c r="BP85" i="2"/>
  <c r="BE82" i="2"/>
  <c r="BG89" i="2"/>
  <c r="BD82" i="2"/>
  <c r="BN88" i="2"/>
  <c r="BB82" i="2"/>
  <c r="BS93" i="2"/>
  <c r="BM88" i="2"/>
  <c r="BR93" i="2"/>
  <c r="BL88" i="2"/>
  <c r="BN84" i="2"/>
  <c r="BU81" i="2"/>
  <c r="BP93" i="2"/>
  <c r="BJ84" i="2"/>
  <c r="BT81" i="2"/>
  <c r="BI84" i="2"/>
  <c r="BB81" i="2"/>
  <c r="BK92" i="2"/>
  <c r="BU87" i="2"/>
  <c r="BA81" i="2"/>
  <c r="BJ92" i="2"/>
  <c r="BJ83" i="2"/>
  <c r="R101" i="2"/>
  <c r="L100" i="2"/>
  <c r="V99" i="2"/>
  <c r="F99" i="2"/>
  <c r="P98" i="2"/>
  <c r="J97" i="2"/>
  <c r="T96" i="2"/>
  <c r="D96" i="2"/>
  <c r="N95" i="2"/>
  <c r="H94" i="2"/>
  <c r="R93" i="2"/>
  <c r="L92" i="2"/>
  <c r="V91" i="2"/>
  <c r="F91" i="2"/>
  <c r="P90" i="2"/>
  <c r="J89" i="2"/>
  <c r="T88" i="2"/>
  <c r="D88" i="2"/>
  <c r="N87" i="2"/>
  <c r="M101" i="2"/>
  <c r="W100" i="2"/>
  <c r="G100" i="2"/>
  <c r="Q99" i="2"/>
  <c r="K101" i="2"/>
  <c r="U100" i="2"/>
  <c r="E100" i="2"/>
  <c r="O99" i="2"/>
  <c r="I98" i="2"/>
  <c r="S97" i="2"/>
  <c r="C97" i="2"/>
  <c r="M96" i="2"/>
  <c r="W95" i="2"/>
  <c r="G95" i="2"/>
  <c r="Q94" i="2"/>
  <c r="BP91" i="2"/>
  <c r="BO91" i="2"/>
  <c r="Q101" i="2"/>
  <c r="S100" i="2"/>
  <c r="W99" i="2"/>
  <c r="C99" i="2"/>
  <c r="H98" i="2"/>
  <c r="N97" i="2"/>
  <c r="S96" i="2"/>
  <c r="F95" i="2"/>
  <c r="L94" i="2"/>
  <c r="T93" i="2"/>
  <c r="C93" i="2"/>
  <c r="J92" i="2"/>
  <c r="R91" i="2"/>
  <c r="I90" i="2"/>
  <c r="Q89" i="2"/>
  <c r="H88" i="2"/>
  <c r="P87" i="2"/>
  <c r="I86" i="2"/>
  <c r="S85" i="2"/>
  <c r="C85" i="2"/>
  <c r="M84" i="2"/>
  <c r="W83" i="2"/>
  <c r="G83" i="2"/>
  <c r="Q82" i="2"/>
  <c r="K81" i="2"/>
  <c r="P101" i="2"/>
  <c r="R100" i="2"/>
  <c r="U99" i="2"/>
  <c r="G98" i="2"/>
  <c r="M97" i="2"/>
  <c r="R96" i="2"/>
  <c r="E95" i="2"/>
  <c r="K94" i="2"/>
  <c r="S93" i="2"/>
  <c r="I92" i="2"/>
  <c r="Q91" i="2"/>
  <c r="H90" i="2"/>
  <c r="P89" i="2"/>
  <c r="G88" i="2"/>
  <c r="O87" i="2"/>
  <c r="H86" i="2"/>
  <c r="R85" i="2"/>
  <c r="L84" i="2"/>
  <c r="V83" i="2"/>
  <c r="F83" i="2"/>
  <c r="P82" i="2"/>
  <c r="J81" i="2"/>
  <c r="O101" i="2"/>
  <c r="Q100" i="2"/>
  <c r="T99" i="2"/>
  <c r="F98" i="2"/>
  <c r="L97" i="2"/>
  <c r="Q96" i="2"/>
  <c r="V95" i="2"/>
  <c r="D95" i="2"/>
  <c r="J94" i="2"/>
  <c r="Q93" i="2"/>
  <c r="H92" i="2"/>
  <c r="P91" i="2"/>
  <c r="G90" i="2"/>
  <c r="O89" i="2"/>
  <c r="W88" i="2"/>
  <c r="F88" i="2"/>
  <c r="M87" i="2"/>
  <c r="W86" i="2"/>
  <c r="G86" i="2"/>
  <c r="Q85" i="2"/>
  <c r="K84" i="2"/>
  <c r="U83" i="2"/>
  <c r="E83" i="2"/>
  <c r="O82" i="2"/>
  <c r="I81" i="2"/>
  <c r="N101" i="2"/>
  <c r="P100" i="2"/>
  <c r="S99" i="2"/>
  <c r="W98" i="2"/>
  <c r="E98" i="2"/>
  <c r="K97" i="2"/>
  <c r="P96" i="2"/>
  <c r="U95" i="2"/>
  <c r="C95" i="2"/>
  <c r="I94" i="2"/>
  <c r="P93" i="2"/>
  <c r="G92" i="2"/>
  <c r="O91" i="2"/>
  <c r="W90" i="2"/>
  <c r="F90" i="2"/>
  <c r="N89" i="2"/>
  <c r="V88" i="2"/>
  <c r="E88" i="2"/>
  <c r="L87" i="2"/>
  <c r="V86" i="2"/>
  <c r="F86" i="2"/>
  <c r="P85" i="2"/>
  <c r="J84" i="2"/>
  <c r="T83" i="2"/>
  <c r="D83" i="2"/>
  <c r="N82" i="2"/>
  <c r="H81" i="2"/>
  <c r="L101" i="2"/>
  <c r="O100" i="2"/>
  <c r="R99" i="2"/>
  <c r="V98" i="2"/>
  <c r="D98" i="2"/>
  <c r="I97" i="2"/>
  <c r="O96" i="2"/>
  <c r="T95" i="2"/>
  <c r="G94" i="2"/>
  <c r="O93" i="2"/>
  <c r="W92" i="2"/>
  <c r="F92" i="2"/>
  <c r="N91" i="2"/>
  <c r="V90" i="2"/>
  <c r="E90" i="2"/>
  <c r="M89" i="2"/>
  <c r="U88" i="2"/>
  <c r="C88" i="2"/>
  <c r="K87" i="2"/>
  <c r="U86" i="2"/>
  <c r="E86" i="2"/>
  <c r="O85" i="2"/>
  <c r="I84" i="2"/>
  <c r="S83" i="2"/>
  <c r="C83" i="2"/>
  <c r="M82" i="2"/>
  <c r="W81" i="2"/>
  <c r="G81" i="2"/>
  <c r="J101" i="2"/>
  <c r="N100" i="2"/>
  <c r="P99" i="2"/>
  <c r="U98" i="2"/>
  <c r="C98" i="2"/>
  <c r="H97" i="2"/>
  <c r="N96" i="2"/>
  <c r="S95" i="2"/>
  <c r="F94" i="2"/>
  <c r="N93" i="2"/>
  <c r="V92" i="2"/>
  <c r="E92" i="2"/>
  <c r="M91" i="2"/>
  <c r="U90" i="2"/>
  <c r="D90" i="2"/>
  <c r="L89" i="2"/>
  <c r="S88" i="2"/>
  <c r="J87" i="2"/>
  <c r="T86" i="2"/>
  <c r="D86" i="2"/>
  <c r="N85" i="2"/>
  <c r="H84" i="2"/>
  <c r="R83" i="2"/>
  <c r="L82" i="2"/>
  <c r="V81" i="2"/>
  <c r="F81" i="2"/>
  <c r="I101" i="2"/>
  <c r="M100" i="2"/>
  <c r="N99" i="2"/>
  <c r="T98" i="2"/>
  <c r="G97" i="2"/>
  <c r="L96" i="2"/>
  <c r="R95" i="2"/>
  <c r="W94" i="2"/>
  <c r="E94" i="2"/>
  <c r="M93" i="2"/>
  <c r="U92" i="2"/>
  <c r="D92" i="2"/>
  <c r="L91" i="2"/>
  <c r="T90" i="2"/>
  <c r="C90" i="2"/>
  <c r="K89" i="2"/>
  <c r="R88" i="2"/>
  <c r="I87" i="2"/>
  <c r="S86" i="2"/>
  <c r="C86" i="2"/>
  <c r="M85" i="2"/>
  <c r="W84" i="2"/>
  <c r="G84" i="2"/>
  <c r="Q83" i="2"/>
  <c r="K82" i="2"/>
  <c r="U81" i="2"/>
  <c r="E81" i="2"/>
  <c r="H101" i="2"/>
  <c r="K100" i="2"/>
  <c r="M99" i="2"/>
  <c r="S98" i="2"/>
  <c r="F97" i="2"/>
  <c r="K96" i="2"/>
  <c r="Q95" i="2"/>
  <c r="V94" i="2"/>
  <c r="D94" i="2"/>
  <c r="L93" i="2"/>
  <c r="T92" i="2"/>
  <c r="C92" i="2"/>
  <c r="K91" i="2"/>
  <c r="S90" i="2"/>
  <c r="I89" i="2"/>
  <c r="Q88" i="2"/>
  <c r="H87" i="2"/>
  <c r="R86" i="2"/>
  <c r="L85" i="2"/>
  <c r="V84" i="2"/>
  <c r="F84" i="2"/>
  <c r="P83" i="2"/>
  <c r="J82" i="2"/>
  <c r="T81" i="2"/>
  <c r="D81" i="2"/>
  <c r="G101" i="2"/>
  <c r="J100" i="2"/>
  <c r="L99" i="2"/>
  <c r="R98" i="2"/>
  <c r="W97" i="2"/>
  <c r="E97" i="2"/>
  <c r="J96" i="2"/>
  <c r="P95" i="2"/>
  <c r="U94" i="2"/>
  <c r="C94" i="2"/>
  <c r="K93" i="2"/>
  <c r="S92" i="2"/>
  <c r="J91" i="2"/>
  <c r="R90" i="2"/>
  <c r="H89" i="2"/>
  <c r="P88" i="2"/>
  <c r="G87" i="2"/>
  <c r="Q86" i="2"/>
  <c r="K85" i="2"/>
  <c r="U84" i="2"/>
  <c r="E84" i="2"/>
  <c r="O83" i="2"/>
  <c r="I82" i="2"/>
  <c r="S81" i="2"/>
  <c r="C81" i="2"/>
  <c r="F101" i="2"/>
  <c r="I100" i="2"/>
  <c r="K99" i="2"/>
  <c r="Q98" i="2"/>
  <c r="V97" i="2"/>
  <c r="D97" i="2"/>
  <c r="I96" i="2"/>
  <c r="O95" i="2"/>
  <c r="T94" i="2"/>
  <c r="J93" i="2"/>
  <c r="R92" i="2"/>
  <c r="I91" i="2"/>
  <c r="Q90" i="2"/>
  <c r="G89" i="2"/>
  <c r="O88" i="2"/>
  <c r="W87" i="2"/>
  <c r="F87" i="2"/>
  <c r="P86" i="2"/>
  <c r="J85" i="2"/>
  <c r="T84" i="2"/>
  <c r="D84" i="2"/>
  <c r="N83" i="2"/>
  <c r="H82" i="2"/>
  <c r="R81" i="2"/>
  <c r="E101" i="2"/>
  <c r="H100" i="2"/>
  <c r="J99" i="2"/>
  <c r="O98" i="2"/>
  <c r="U97" i="2"/>
  <c r="H96" i="2"/>
  <c r="M95" i="2"/>
  <c r="S94" i="2"/>
  <c r="I93" i="2"/>
  <c r="Q92" i="2"/>
  <c r="H91" i="2"/>
  <c r="O90" i="2"/>
  <c r="W89" i="2"/>
  <c r="F89" i="2"/>
  <c r="N88" i="2"/>
  <c r="V87" i="2"/>
  <c r="E87" i="2"/>
  <c r="O86" i="2"/>
  <c r="I85" i="2"/>
  <c r="S84" i="2"/>
  <c r="C84" i="2"/>
  <c r="W101" i="2"/>
  <c r="D101" i="2"/>
  <c r="F100" i="2"/>
  <c r="I99" i="2"/>
  <c r="N98" i="2"/>
  <c r="T97" i="2"/>
  <c r="G96" i="2"/>
  <c r="L95" i="2"/>
  <c r="R94" i="2"/>
  <c r="H93" i="2"/>
  <c r="P92" i="2"/>
  <c r="G91" i="2"/>
  <c r="N90" i="2"/>
  <c r="V89" i="2"/>
  <c r="E89" i="2"/>
  <c r="M88" i="2"/>
  <c r="U87" i="2"/>
  <c r="D87" i="2"/>
  <c r="N86" i="2"/>
  <c r="V101" i="2"/>
  <c r="C101" i="2"/>
  <c r="D100" i="2"/>
  <c r="H99" i="2"/>
  <c r="M98" i="2"/>
  <c r="R97" i="2"/>
  <c r="F96" i="2"/>
  <c r="K95" i="2"/>
  <c r="P94" i="2"/>
  <c r="G93" i="2"/>
  <c r="O92" i="2"/>
  <c r="W91" i="2"/>
  <c r="E91" i="2"/>
  <c r="M90" i="2"/>
  <c r="U89" i="2"/>
  <c r="D89" i="2"/>
  <c r="L88" i="2"/>
  <c r="T87" i="2"/>
  <c r="C87" i="2"/>
  <c r="M86" i="2"/>
  <c r="W85" i="2"/>
  <c r="G85" i="2"/>
  <c r="K98" i="2"/>
  <c r="W93" i="2"/>
  <c r="T91" i="2"/>
  <c r="R89" i="2"/>
  <c r="F85" i="2"/>
  <c r="V100" i="2"/>
  <c r="J98" i="2"/>
  <c r="V93" i="2"/>
  <c r="S91" i="2"/>
  <c r="C89" i="2"/>
  <c r="E85" i="2"/>
  <c r="T100" i="2"/>
  <c r="U93" i="2"/>
  <c r="D91" i="2"/>
  <c r="D85" i="2"/>
  <c r="C100" i="2"/>
  <c r="F93" i="2"/>
  <c r="C91" i="2"/>
  <c r="J95" i="2"/>
  <c r="E93" i="2"/>
  <c r="W82" i="2"/>
  <c r="Q97" i="2"/>
  <c r="I95" i="2"/>
  <c r="D93" i="2"/>
  <c r="V82" i="2"/>
  <c r="P97" i="2"/>
  <c r="H95" i="2"/>
  <c r="L86" i="2"/>
  <c r="U82" i="2"/>
  <c r="Q81" i="2"/>
  <c r="O97" i="2"/>
  <c r="K88" i="2"/>
  <c r="K86" i="2"/>
  <c r="T82" i="2"/>
  <c r="P81" i="2"/>
  <c r="L90" i="2"/>
  <c r="J88" i="2"/>
  <c r="J86" i="2"/>
  <c r="R84" i="2"/>
  <c r="M83" i="2"/>
  <c r="S82" i="2"/>
  <c r="O81" i="2"/>
  <c r="G99" i="2"/>
  <c r="N92" i="2"/>
  <c r="K90" i="2"/>
  <c r="I88" i="2"/>
  <c r="Q84" i="2"/>
  <c r="L83" i="2"/>
  <c r="R82" i="2"/>
  <c r="N81" i="2"/>
  <c r="U101" i="2"/>
  <c r="E99" i="2"/>
  <c r="O94" i="2"/>
  <c r="M92" i="2"/>
  <c r="J90" i="2"/>
  <c r="P84" i="2"/>
  <c r="K83" i="2"/>
  <c r="G82" i="2"/>
  <c r="M81" i="2"/>
  <c r="T101" i="2"/>
  <c r="D99" i="2"/>
  <c r="W96" i="2"/>
  <c r="N94" i="2"/>
  <c r="K92" i="2"/>
  <c r="O84" i="2"/>
  <c r="J83" i="2"/>
  <c r="F82" i="2"/>
  <c r="L81" i="2"/>
  <c r="S101" i="2"/>
  <c r="V96" i="2"/>
  <c r="M94" i="2"/>
  <c r="V85" i="2"/>
  <c r="N84" i="2"/>
  <c r="I83" i="2"/>
  <c r="E82" i="2"/>
  <c r="E96" i="2"/>
  <c r="H85" i="2"/>
  <c r="C96" i="2"/>
  <c r="H83" i="2"/>
  <c r="U91" i="2"/>
  <c r="D82" i="2"/>
  <c r="C82" i="2"/>
  <c r="T89" i="2"/>
  <c r="S89" i="2"/>
  <c r="S87" i="2"/>
  <c r="R87" i="2"/>
  <c r="U96" i="2"/>
  <c r="L98" i="2"/>
  <c r="Q87" i="2"/>
  <c r="U85" i="2"/>
  <c r="T85" i="2"/>
  <c r="C25" i="1"/>
  <c r="DK125" i="2"/>
  <c r="DE124" i="2"/>
  <c r="DO123" i="2"/>
  <c r="CY123" i="2"/>
  <c r="DI122" i="2"/>
  <c r="DS121" i="2"/>
  <c r="DG125" i="2"/>
  <c r="DQ124" i="2"/>
  <c r="DA124" i="2"/>
  <c r="DK123" i="2"/>
  <c r="DE122" i="2"/>
  <c r="DO121" i="2"/>
  <c r="CY121" i="2"/>
  <c r="DE125" i="2"/>
  <c r="DO124" i="2"/>
  <c r="CY124" i="2"/>
  <c r="DI123" i="2"/>
  <c r="DS122" i="2"/>
  <c r="DC122" i="2"/>
  <c r="DM121" i="2"/>
  <c r="DG120" i="2"/>
  <c r="DQ119" i="2"/>
  <c r="DA119" i="2"/>
  <c r="DQ125" i="2"/>
  <c r="CZ124" i="2"/>
  <c r="DC123" i="2"/>
  <c r="DF122" i="2"/>
  <c r="DH121" i="2"/>
  <c r="DN120" i="2"/>
  <c r="DE119" i="2"/>
  <c r="DN118" i="2"/>
  <c r="DH117" i="2"/>
  <c r="DR116" i="2"/>
  <c r="DB116" i="2"/>
  <c r="DL115" i="2"/>
  <c r="DF114" i="2"/>
  <c r="DP113" i="2"/>
  <c r="CZ113" i="2"/>
  <c r="DJ112" i="2"/>
  <c r="DD111" i="2"/>
  <c r="DN110" i="2"/>
  <c r="DH109" i="2"/>
  <c r="DR108" i="2"/>
  <c r="DB108" i="2"/>
  <c r="DL107" i="2"/>
  <c r="DF106" i="2"/>
  <c r="DP105" i="2"/>
  <c r="DP125" i="2"/>
  <c r="DS124" i="2"/>
  <c r="DB123" i="2"/>
  <c r="DD122" i="2"/>
  <c r="DG121" i="2"/>
  <c r="DM120" i="2"/>
  <c r="DD119" i="2"/>
  <c r="DM118" i="2"/>
  <c r="DG117" i="2"/>
  <c r="DQ116" i="2"/>
  <c r="DA116" i="2"/>
  <c r="DK115" i="2"/>
  <c r="DE114" i="2"/>
  <c r="DO113" i="2"/>
  <c r="CY113" i="2"/>
  <c r="DI112" i="2"/>
  <c r="DS111" i="2"/>
  <c r="DC111" i="2"/>
  <c r="DM110" i="2"/>
  <c r="DG109" i="2"/>
  <c r="DQ108" i="2"/>
  <c r="DA108" i="2"/>
  <c r="DK107" i="2"/>
  <c r="DO125" i="2"/>
  <c r="DR124" i="2"/>
  <c r="DA123" i="2"/>
  <c r="DB122" i="2"/>
  <c r="DF121" i="2"/>
  <c r="DL120" i="2"/>
  <c r="DC119" i="2"/>
  <c r="DL118" i="2"/>
  <c r="DF117" i="2"/>
  <c r="DP116" i="2"/>
  <c r="CZ116" i="2"/>
  <c r="DJ115" i="2"/>
  <c r="DD114" i="2"/>
  <c r="DN113" i="2"/>
  <c r="DH112" i="2"/>
  <c r="DR111" i="2"/>
  <c r="DB111" i="2"/>
  <c r="DL110" i="2"/>
  <c r="DF109" i="2"/>
  <c r="DP108" i="2"/>
  <c r="CZ108" i="2"/>
  <c r="DJ107" i="2"/>
  <c r="DD106" i="2"/>
  <c r="DN105" i="2"/>
  <c r="DN125" i="2"/>
  <c r="DP124" i="2"/>
  <c r="DS123" i="2"/>
  <c r="CZ123" i="2"/>
  <c r="DA122" i="2"/>
  <c r="DE121" i="2"/>
  <c r="DK120" i="2"/>
  <c r="DS119" i="2"/>
  <c r="DB119" i="2"/>
  <c r="DK118" i="2"/>
  <c r="DE117" i="2"/>
  <c r="DO116" i="2"/>
  <c r="DM125" i="2"/>
  <c r="DN124" i="2"/>
  <c r="DR123" i="2"/>
  <c r="CZ122" i="2"/>
  <c r="DD121" i="2"/>
  <c r="DJ120" i="2"/>
  <c r="DR119" i="2"/>
  <c r="CZ119" i="2"/>
  <c r="DJ118" i="2"/>
  <c r="DD117" i="2"/>
  <c r="DN116" i="2"/>
  <c r="DH115" i="2"/>
  <c r="DR114" i="2"/>
  <c r="DB114" i="2"/>
  <c r="DL125" i="2"/>
  <c r="DM124" i="2"/>
  <c r="DQ123" i="2"/>
  <c r="DR122" i="2"/>
  <c r="CY122" i="2"/>
  <c r="DC121" i="2"/>
  <c r="DI120" i="2"/>
  <c r="DP119" i="2"/>
  <c r="CY119" i="2"/>
  <c r="DI118" i="2"/>
  <c r="DS117" i="2"/>
  <c r="DC117" i="2"/>
  <c r="DM116" i="2"/>
  <c r="DG115" i="2"/>
  <c r="DQ114" i="2"/>
  <c r="DA114" i="2"/>
  <c r="DK113" i="2"/>
  <c r="DE112" i="2"/>
  <c r="DO111" i="2"/>
  <c r="CY111" i="2"/>
  <c r="DI110" i="2"/>
  <c r="DS109" i="2"/>
  <c r="DC109" i="2"/>
  <c r="DM108" i="2"/>
  <c r="DG107" i="2"/>
  <c r="DQ106" i="2"/>
  <c r="DA106" i="2"/>
  <c r="DK105" i="2"/>
  <c r="DJ125" i="2"/>
  <c r="DL124" i="2"/>
  <c r="DP123" i="2"/>
  <c r="DQ122" i="2"/>
  <c r="DB121" i="2"/>
  <c r="DH120" i="2"/>
  <c r="DO119" i="2"/>
  <c r="DH118" i="2"/>
  <c r="DR117" i="2"/>
  <c r="DB117" i="2"/>
  <c r="DL116" i="2"/>
  <c r="DF115" i="2"/>
  <c r="DP114" i="2"/>
  <c r="CZ114" i="2"/>
  <c r="DJ113" i="2"/>
  <c r="DD112" i="2"/>
  <c r="DN111" i="2"/>
  <c r="DH110" i="2"/>
  <c r="DR109" i="2"/>
  <c r="DB109" i="2"/>
  <c r="DL108" i="2"/>
  <c r="DF107" i="2"/>
  <c r="DP106" i="2"/>
  <c r="CZ106" i="2"/>
  <c r="DI125" i="2"/>
  <c r="DK124" i="2"/>
  <c r="DN123" i="2"/>
  <c r="DP122" i="2"/>
  <c r="DA121" i="2"/>
  <c r="DF120" i="2"/>
  <c r="DN119" i="2"/>
  <c r="DG118" i="2"/>
  <c r="DQ117" i="2"/>
  <c r="DA117" i="2"/>
  <c r="DK116" i="2"/>
  <c r="DE115" i="2"/>
  <c r="DO114" i="2"/>
  <c r="CY114" i="2"/>
  <c r="DI113" i="2"/>
  <c r="DS112" i="2"/>
  <c r="DC112" i="2"/>
  <c r="DM111" i="2"/>
  <c r="DG110" i="2"/>
  <c r="DQ109" i="2"/>
  <c r="DA109" i="2"/>
  <c r="DK108" i="2"/>
  <c r="DE107" i="2"/>
  <c r="DO106" i="2"/>
  <c r="CY106" i="2"/>
  <c r="DI105" i="2"/>
  <c r="DH125" i="2"/>
  <c r="DJ124" i="2"/>
  <c r="DM123" i="2"/>
  <c r="DO122" i="2"/>
  <c r="DR121" i="2"/>
  <c r="CZ121" i="2"/>
  <c r="DE120" i="2"/>
  <c r="DM119" i="2"/>
  <c r="DF118" i="2"/>
  <c r="DP117" i="2"/>
  <c r="CZ117" i="2"/>
  <c r="DJ116" i="2"/>
  <c r="DD115" i="2"/>
  <c r="DN114" i="2"/>
  <c r="DH113" i="2"/>
  <c r="DR112" i="2"/>
  <c r="DB112" i="2"/>
  <c r="DL111" i="2"/>
  <c r="DF110" i="2"/>
  <c r="DP109" i="2"/>
  <c r="CZ109" i="2"/>
  <c r="DJ108" i="2"/>
  <c r="DD107" i="2"/>
  <c r="DN106" i="2"/>
  <c r="DH105" i="2"/>
  <c r="DD125" i="2"/>
  <c r="DH124" i="2"/>
  <c r="DJ123" i="2"/>
  <c r="DM122" i="2"/>
  <c r="DP121" i="2"/>
  <c r="DC120" i="2"/>
  <c r="DK119" i="2"/>
  <c r="DD118" i="2"/>
  <c r="DN117" i="2"/>
  <c r="DH116" i="2"/>
  <c r="DR115" i="2"/>
  <c r="DB115" i="2"/>
  <c r="DL114" i="2"/>
  <c r="DF113" i="2"/>
  <c r="DP112" i="2"/>
  <c r="CZ112" i="2"/>
  <c r="DJ111" i="2"/>
  <c r="DD110" i="2"/>
  <c r="DN109" i="2"/>
  <c r="DH108" i="2"/>
  <c r="DR107" i="2"/>
  <c r="DB107" i="2"/>
  <c r="DL106" i="2"/>
  <c r="DC125" i="2"/>
  <c r="DG124" i="2"/>
  <c r="DH123" i="2"/>
  <c r="DL122" i="2"/>
  <c r="DN121" i="2"/>
  <c r="DS120" i="2"/>
  <c r="DB120" i="2"/>
  <c r="DJ119" i="2"/>
  <c r="DS118" i="2"/>
  <c r="DC118" i="2"/>
  <c r="DM117" i="2"/>
  <c r="DB125" i="2"/>
  <c r="DF124" i="2"/>
  <c r="DG123" i="2"/>
  <c r="DK122" i="2"/>
  <c r="DL121" i="2"/>
  <c r="DR120" i="2"/>
  <c r="DA120" i="2"/>
  <c r="DI119" i="2"/>
  <c r="DR118" i="2"/>
  <c r="DB118" i="2"/>
  <c r="DL117" i="2"/>
  <c r="DF116" i="2"/>
  <c r="DP115" i="2"/>
  <c r="CZ115" i="2"/>
  <c r="DJ114" i="2"/>
  <c r="DD113" i="2"/>
  <c r="DN112" i="2"/>
  <c r="DA125" i="2"/>
  <c r="DD124" i="2"/>
  <c r="DF123" i="2"/>
  <c r="DJ122" i="2"/>
  <c r="DK121" i="2"/>
  <c r="DQ120" i="2"/>
  <c r="CZ120" i="2"/>
  <c r="DH119" i="2"/>
  <c r="DQ118" i="2"/>
  <c r="DA118" i="2"/>
  <c r="DK117" i="2"/>
  <c r="DE116" i="2"/>
  <c r="DO115" i="2"/>
  <c r="CY115" i="2"/>
  <c r="DI114" i="2"/>
  <c r="DS113" i="2"/>
  <c r="DC113" i="2"/>
  <c r="DM112" i="2"/>
  <c r="DG111" i="2"/>
  <c r="DQ110" i="2"/>
  <c r="DA110" i="2"/>
  <c r="DK109" i="2"/>
  <c r="DE108" i="2"/>
  <c r="DO107" i="2"/>
  <c r="CY107" i="2"/>
  <c r="DI106" i="2"/>
  <c r="DS105" i="2"/>
  <c r="DR113" i="2"/>
  <c r="DQ112" i="2"/>
  <c r="DC108" i="2"/>
  <c r="DH107" i="2"/>
  <c r="DM106" i="2"/>
  <c r="CZ105" i="2"/>
  <c r="DI124" i="2"/>
  <c r="DO117" i="2"/>
  <c r="DQ113" i="2"/>
  <c r="DO112" i="2"/>
  <c r="CY108" i="2"/>
  <c r="DC107" i="2"/>
  <c r="DK106" i="2"/>
  <c r="CY105" i="2"/>
  <c r="DC124" i="2"/>
  <c r="DL119" i="2"/>
  <c r="DJ117" i="2"/>
  <c r="DS114" i="2"/>
  <c r="DM113" i="2"/>
  <c r="DL112" i="2"/>
  <c r="DQ111" i="2"/>
  <c r="DA107" i="2"/>
  <c r="DJ106" i="2"/>
  <c r="DB124" i="2"/>
  <c r="DQ121" i="2"/>
  <c r="DG119" i="2"/>
  <c r="DI117" i="2"/>
  <c r="DM114" i="2"/>
  <c r="DL113" i="2"/>
  <c r="DK112" i="2"/>
  <c r="DP111" i="2"/>
  <c r="DS110" i="2"/>
  <c r="CZ107" i="2"/>
  <c r="DH106" i="2"/>
  <c r="DR105" i="2"/>
  <c r="DJ121" i="2"/>
  <c r="DF119" i="2"/>
  <c r="CY117" i="2"/>
  <c r="DS115" i="2"/>
  <c r="DK114" i="2"/>
  <c r="DG113" i="2"/>
  <c r="DG112" i="2"/>
  <c r="DK111" i="2"/>
  <c r="DR110" i="2"/>
  <c r="DG106" i="2"/>
  <c r="DQ105" i="2"/>
  <c r="DI121" i="2"/>
  <c r="DQ115" i="2"/>
  <c r="DH114" i="2"/>
  <c r="DE113" i="2"/>
  <c r="DF112" i="2"/>
  <c r="DI111" i="2"/>
  <c r="DP110" i="2"/>
  <c r="DE106" i="2"/>
  <c r="DO105" i="2"/>
  <c r="DN115" i="2"/>
  <c r="DG114" i="2"/>
  <c r="DB113" i="2"/>
  <c r="DA112" i="2"/>
  <c r="DH111" i="2"/>
  <c r="DO110" i="2"/>
  <c r="DC106" i="2"/>
  <c r="DM105" i="2"/>
  <c r="DL123" i="2"/>
  <c r="DM115" i="2"/>
  <c r="DC114" i="2"/>
  <c r="DA113" i="2"/>
  <c r="CY112" i="2"/>
  <c r="DF111" i="2"/>
  <c r="DK110" i="2"/>
  <c r="DO109" i="2"/>
  <c r="DB106" i="2"/>
  <c r="DL105" i="2"/>
  <c r="DE123" i="2"/>
  <c r="DI115" i="2"/>
  <c r="DE111" i="2"/>
  <c r="DJ110" i="2"/>
  <c r="DM109" i="2"/>
  <c r="DJ105" i="2"/>
  <c r="DS125" i="2"/>
  <c r="DD123" i="2"/>
  <c r="DP118" i="2"/>
  <c r="DS116" i="2"/>
  <c r="DC115" i="2"/>
  <c r="DA111" i="2"/>
  <c r="DE110" i="2"/>
  <c r="DL109" i="2"/>
  <c r="DS108" i="2"/>
  <c r="DG105" i="2"/>
  <c r="DR125" i="2"/>
  <c r="DP120" i="2"/>
  <c r="DO118" i="2"/>
  <c r="DI116" i="2"/>
  <c r="DA115" i="2"/>
  <c r="CZ111" i="2"/>
  <c r="DC110" i="2"/>
  <c r="DJ109" i="2"/>
  <c r="DO108" i="2"/>
  <c r="DS107" i="2"/>
  <c r="DF105" i="2"/>
  <c r="DF125" i="2"/>
  <c r="DO120" i="2"/>
  <c r="DE118" i="2"/>
  <c r="DG116" i="2"/>
  <c r="DB110" i="2"/>
  <c r="DI109" i="2"/>
  <c r="DN108" i="2"/>
  <c r="DQ107" i="2"/>
  <c r="DE105" i="2"/>
  <c r="CZ125" i="2"/>
  <c r="DD120" i="2"/>
  <c r="CZ118" i="2"/>
  <c r="DD116" i="2"/>
  <c r="CZ110" i="2"/>
  <c r="DE109" i="2"/>
  <c r="DI108" i="2"/>
  <c r="DP107" i="2"/>
  <c r="DD105" i="2"/>
  <c r="DG122" i="2"/>
  <c r="DD108" i="2"/>
  <c r="DI107" i="2"/>
  <c r="DR106" i="2"/>
  <c r="DA105" i="2"/>
  <c r="DB105" i="2"/>
  <c r="DN122" i="2"/>
  <c r="DH122" i="2"/>
  <c r="CY120" i="2"/>
  <c r="CY110" i="2"/>
  <c r="CY118" i="2"/>
  <c r="DD109" i="2"/>
  <c r="CY109" i="2"/>
  <c r="DC116" i="2"/>
  <c r="DG108" i="2"/>
  <c r="CY116" i="2"/>
  <c r="DF108" i="2"/>
  <c r="DN107" i="2"/>
  <c r="DM107" i="2"/>
  <c r="DS106" i="2"/>
  <c r="CY125" i="2"/>
  <c r="DC105" i="2"/>
  <c r="BF125" i="2"/>
  <c r="BP124" i="2"/>
  <c r="BJ123" i="2"/>
  <c r="BT122" i="2"/>
  <c r="BD122" i="2"/>
  <c r="BN121" i="2"/>
  <c r="BH120" i="2"/>
  <c r="BR119" i="2"/>
  <c r="BB119" i="2"/>
  <c r="BE125" i="2"/>
  <c r="BM124" i="2"/>
  <c r="BU123" i="2"/>
  <c r="BD123" i="2"/>
  <c r="BL122" i="2"/>
  <c r="BT121" i="2"/>
  <c r="BC121" i="2"/>
  <c r="BK120" i="2"/>
  <c r="BS119" i="2"/>
  <c r="BA119" i="2"/>
  <c r="BK118" i="2"/>
  <c r="BU117" i="2"/>
  <c r="BE117" i="2"/>
  <c r="BO116" i="2"/>
  <c r="BI115" i="2"/>
  <c r="BS114" i="2"/>
  <c r="BC114" i="2"/>
  <c r="BM113" i="2"/>
  <c r="BG112" i="2"/>
  <c r="BQ111" i="2"/>
  <c r="BA111" i="2"/>
  <c r="BK110" i="2"/>
  <c r="BU109" i="2"/>
  <c r="BE109" i="2"/>
  <c r="BO108" i="2"/>
  <c r="BI107" i="2"/>
  <c r="BS106" i="2"/>
  <c r="BC106" i="2"/>
  <c r="BM105" i="2"/>
  <c r="BU125" i="2"/>
  <c r="BD125" i="2"/>
  <c r="BL124" i="2"/>
  <c r="BT123" i="2"/>
  <c r="BC123" i="2"/>
  <c r="BK122" i="2"/>
  <c r="BS121" i="2"/>
  <c r="BB121" i="2"/>
  <c r="BJ120" i="2"/>
  <c r="BQ119" i="2"/>
  <c r="BJ118" i="2"/>
  <c r="BT125" i="2"/>
  <c r="BC125" i="2"/>
  <c r="BK124" i="2"/>
  <c r="BS123" i="2"/>
  <c r="BB123" i="2"/>
  <c r="BJ122" i="2"/>
  <c r="BR121" i="2"/>
  <c r="BA121" i="2"/>
  <c r="BI120" i="2"/>
  <c r="BS125" i="2"/>
  <c r="BB125" i="2"/>
  <c r="BJ124" i="2"/>
  <c r="BR123" i="2"/>
  <c r="BA123" i="2"/>
  <c r="BI122" i="2"/>
  <c r="BQ121" i="2"/>
  <c r="BG120" i="2"/>
  <c r="BR125" i="2"/>
  <c r="BA125" i="2"/>
  <c r="BI124" i="2"/>
  <c r="BQ123" i="2"/>
  <c r="BH122" i="2"/>
  <c r="BP121" i="2"/>
  <c r="BF120" i="2"/>
  <c r="BN119" i="2"/>
  <c r="BG118" i="2"/>
  <c r="BQ125" i="2"/>
  <c r="BH124" i="2"/>
  <c r="BP123" i="2"/>
  <c r="BG122" i="2"/>
  <c r="BO121" i="2"/>
  <c r="BE120" i="2"/>
  <c r="BM119" i="2"/>
  <c r="BF118" i="2"/>
  <c r="BP117" i="2"/>
  <c r="BJ116" i="2"/>
  <c r="BT115" i="2"/>
  <c r="BD115" i="2"/>
  <c r="BN114" i="2"/>
  <c r="BH113" i="2"/>
  <c r="BR112" i="2"/>
  <c r="BB112" i="2"/>
  <c r="BL111" i="2"/>
  <c r="BF110" i="2"/>
  <c r="BP109" i="2"/>
  <c r="BJ108" i="2"/>
  <c r="BT107" i="2"/>
  <c r="BD107" i="2"/>
  <c r="BN106" i="2"/>
  <c r="BH105" i="2"/>
  <c r="BP125" i="2"/>
  <c r="BG124" i="2"/>
  <c r="BO123" i="2"/>
  <c r="BF122" i="2"/>
  <c r="BM121" i="2"/>
  <c r="BU120" i="2"/>
  <c r="BD120" i="2"/>
  <c r="BL119" i="2"/>
  <c r="BU118" i="2"/>
  <c r="BE118" i="2"/>
  <c r="BO117" i="2"/>
  <c r="BI116" i="2"/>
  <c r="BS115" i="2"/>
  <c r="BC115" i="2"/>
  <c r="BM114" i="2"/>
  <c r="BG113" i="2"/>
  <c r="BO125" i="2"/>
  <c r="BF124" i="2"/>
  <c r="BN123" i="2"/>
  <c r="BE122" i="2"/>
  <c r="BL121" i="2"/>
  <c r="BT120" i="2"/>
  <c r="BC120" i="2"/>
  <c r="BK119" i="2"/>
  <c r="BT118" i="2"/>
  <c r="BD118" i="2"/>
  <c r="BN117" i="2"/>
  <c r="BH116" i="2"/>
  <c r="BR115" i="2"/>
  <c r="BB115" i="2"/>
  <c r="BL114" i="2"/>
  <c r="BF113" i="2"/>
  <c r="BP112" i="2"/>
  <c r="BJ111" i="2"/>
  <c r="BT110" i="2"/>
  <c r="BD110" i="2"/>
  <c r="BN125" i="2"/>
  <c r="BE124" i="2"/>
  <c r="BM123" i="2"/>
  <c r="BU122" i="2"/>
  <c r="BC122" i="2"/>
  <c r="BK121" i="2"/>
  <c r="BS120" i="2"/>
  <c r="BB120" i="2"/>
  <c r="BJ119" i="2"/>
  <c r="BS118" i="2"/>
  <c r="BC118" i="2"/>
  <c r="BM117" i="2"/>
  <c r="BG116" i="2"/>
  <c r="BI125" i="2"/>
  <c r="BQ124" i="2"/>
  <c r="BG123" i="2"/>
  <c r="BO122" i="2"/>
  <c r="BD119" i="2"/>
  <c r="BO118" i="2"/>
  <c r="BG117" i="2"/>
  <c r="BB116" i="2"/>
  <c r="BU114" i="2"/>
  <c r="BS113" i="2"/>
  <c r="BU112" i="2"/>
  <c r="BA112" i="2"/>
  <c r="BD111" i="2"/>
  <c r="BG110" i="2"/>
  <c r="BK109" i="2"/>
  <c r="BQ108" i="2"/>
  <c r="BC107" i="2"/>
  <c r="BI106" i="2"/>
  <c r="BO105" i="2"/>
  <c r="BC119" i="2"/>
  <c r="BN118" i="2"/>
  <c r="BF117" i="2"/>
  <c r="BA116" i="2"/>
  <c r="BU115" i="2"/>
  <c r="BT114" i="2"/>
  <c r="BR113" i="2"/>
  <c r="BT112" i="2"/>
  <c r="BC111" i="2"/>
  <c r="BE110" i="2"/>
  <c r="BJ109" i="2"/>
  <c r="BP108" i="2"/>
  <c r="BU107" i="2"/>
  <c r="BB107" i="2"/>
  <c r="BH106" i="2"/>
  <c r="BN105" i="2"/>
  <c r="BM118" i="2"/>
  <c r="BD117" i="2"/>
  <c r="BU116" i="2"/>
  <c r="BQ115" i="2"/>
  <c r="BR114" i="2"/>
  <c r="BQ113" i="2"/>
  <c r="BS112" i="2"/>
  <c r="BU111" i="2"/>
  <c r="BB111" i="2"/>
  <c r="BC110" i="2"/>
  <c r="BI109" i="2"/>
  <c r="BN108" i="2"/>
  <c r="BS107" i="2"/>
  <c r="BA107" i="2"/>
  <c r="BG106" i="2"/>
  <c r="BL105" i="2"/>
  <c r="BL118" i="2"/>
  <c r="BC117" i="2"/>
  <c r="BT116" i="2"/>
  <c r="BP115" i="2"/>
  <c r="BQ114" i="2"/>
  <c r="BP113" i="2"/>
  <c r="BQ112" i="2"/>
  <c r="BT111" i="2"/>
  <c r="BB110" i="2"/>
  <c r="BH109" i="2"/>
  <c r="BM108" i="2"/>
  <c r="BR107" i="2"/>
  <c r="BF106" i="2"/>
  <c r="BK105" i="2"/>
  <c r="BS122" i="2"/>
  <c r="BR120" i="2"/>
  <c r="BI118" i="2"/>
  <c r="BB117" i="2"/>
  <c r="BS116" i="2"/>
  <c r="BO115" i="2"/>
  <c r="BP114" i="2"/>
  <c r="BO113" i="2"/>
  <c r="BO112" i="2"/>
  <c r="BS111" i="2"/>
  <c r="BU110" i="2"/>
  <c r="BA110" i="2"/>
  <c r="BG109" i="2"/>
  <c r="BL108" i="2"/>
  <c r="BQ107" i="2"/>
  <c r="BE106" i="2"/>
  <c r="BJ105" i="2"/>
  <c r="BR122" i="2"/>
  <c r="BU121" i="2"/>
  <c r="BQ120" i="2"/>
  <c r="BH118" i="2"/>
  <c r="BA117" i="2"/>
  <c r="BR116" i="2"/>
  <c r="BN115" i="2"/>
  <c r="BO114" i="2"/>
  <c r="BN113" i="2"/>
  <c r="BN112" i="2"/>
  <c r="BR111" i="2"/>
  <c r="BS110" i="2"/>
  <c r="BF109" i="2"/>
  <c r="BK108" i="2"/>
  <c r="BP107" i="2"/>
  <c r="BD106" i="2"/>
  <c r="BI105" i="2"/>
  <c r="BU124" i="2"/>
  <c r="BQ122" i="2"/>
  <c r="BJ121" i="2"/>
  <c r="BP120" i="2"/>
  <c r="BB118" i="2"/>
  <c r="BQ116" i="2"/>
  <c r="BM115" i="2"/>
  <c r="BK114" i="2"/>
  <c r="BL113" i="2"/>
  <c r="BM112" i="2"/>
  <c r="BP111" i="2"/>
  <c r="BR110" i="2"/>
  <c r="BD109" i="2"/>
  <c r="BI108" i="2"/>
  <c r="BO107" i="2"/>
  <c r="BU106" i="2"/>
  <c r="BB106" i="2"/>
  <c r="BG105" i="2"/>
  <c r="BT124" i="2"/>
  <c r="BP122" i="2"/>
  <c r="BI121" i="2"/>
  <c r="BO120" i="2"/>
  <c r="BU119" i="2"/>
  <c r="BA118" i="2"/>
  <c r="BT117" i="2"/>
  <c r="BP116" i="2"/>
  <c r="BL115" i="2"/>
  <c r="BJ114" i="2"/>
  <c r="BK113" i="2"/>
  <c r="BL112" i="2"/>
  <c r="BO111" i="2"/>
  <c r="BQ110" i="2"/>
  <c r="BC109" i="2"/>
  <c r="BH108" i="2"/>
  <c r="BN107" i="2"/>
  <c r="BT106" i="2"/>
  <c r="BA106" i="2"/>
  <c r="BF105" i="2"/>
  <c r="BS124" i="2"/>
  <c r="BL123" i="2"/>
  <c r="BN122" i="2"/>
  <c r="BH121" i="2"/>
  <c r="BN120" i="2"/>
  <c r="BT119" i="2"/>
  <c r="BS117" i="2"/>
  <c r="BN116" i="2"/>
  <c r="BK115" i="2"/>
  <c r="BI114" i="2"/>
  <c r="BJ113" i="2"/>
  <c r="BK112" i="2"/>
  <c r="BN111" i="2"/>
  <c r="BP110" i="2"/>
  <c r="BT109" i="2"/>
  <c r="BB109" i="2"/>
  <c r="BG108" i="2"/>
  <c r="BM107" i="2"/>
  <c r="BR106" i="2"/>
  <c r="BE105" i="2"/>
  <c r="BR124" i="2"/>
  <c r="BK123" i="2"/>
  <c r="BM122" i="2"/>
  <c r="BG121" i="2"/>
  <c r="BM120" i="2"/>
  <c r="BP119" i="2"/>
  <c r="BR117" i="2"/>
  <c r="BM116" i="2"/>
  <c r="BJ115" i="2"/>
  <c r="BH114" i="2"/>
  <c r="BI113" i="2"/>
  <c r="BJ112" i="2"/>
  <c r="BM111" i="2"/>
  <c r="BO110" i="2"/>
  <c r="BS109" i="2"/>
  <c r="BA109" i="2"/>
  <c r="BF108" i="2"/>
  <c r="BL107" i="2"/>
  <c r="BQ106" i="2"/>
  <c r="BD105" i="2"/>
  <c r="BM125" i="2"/>
  <c r="BO124" i="2"/>
  <c r="BI123" i="2"/>
  <c r="BB122" i="2"/>
  <c r="BF121" i="2"/>
  <c r="BL120" i="2"/>
  <c r="BO119" i="2"/>
  <c r="BQ117" i="2"/>
  <c r="BL116" i="2"/>
  <c r="BH115" i="2"/>
  <c r="BG114" i="2"/>
  <c r="BE113" i="2"/>
  <c r="BI112" i="2"/>
  <c r="BK111" i="2"/>
  <c r="BN110" i="2"/>
  <c r="BR109" i="2"/>
  <c r="BE108" i="2"/>
  <c r="BK107" i="2"/>
  <c r="BP106" i="2"/>
  <c r="BU105" i="2"/>
  <c r="BC105" i="2"/>
  <c r="BL125" i="2"/>
  <c r="BN124" i="2"/>
  <c r="BH123" i="2"/>
  <c r="BA122" i="2"/>
  <c r="BE121" i="2"/>
  <c r="BA120" i="2"/>
  <c r="BI119" i="2"/>
  <c r="BL117" i="2"/>
  <c r="BK116" i="2"/>
  <c r="BG115" i="2"/>
  <c r="BF114" i="2"/>
  <c r="BD113" i="2"/>
  <c r="BH112" i="2"/>
  <c r="BI111" i="2"/>
  <c r="BM110" i="2"/>
  <c r="BQ109" i="2"/>
  <c r="BD108" i="2"/>
  <c r="BJ107" i="2"/>
  <c r="BO106" i="2"/>
  <c r="BT105" i="2"/>
  <c r="BB105" i="2"/>
  <c r="BK125" i="2"/>
  <c r="BD124" i="2"/>
  <c r="BF123" i="2"/>
  <c r="BD121" i="2"/>
  <c r="BH119" i="2"/>
  <c r="BK117" i="2"/>
  <c r="BF116" i="2"/>
  <c r="BF115" i="2"/>
  <c r="BE114" i="2"/>
  <c r="BC113" i="2"/>
  <c r="BF112" i="2"/>
  <c r="BH111" i="2"/>
  <c r="BL110" i="2"/>
  <c r="BO109" i="2"/>
  <c r="BU108" i="2"/>
  <c r="BG125" i="2"/>
  <c r="BA124" i="2"/>
  <c r="BE119" i="2"/>
  <c r="BP118" i="2"/>
  <c r="BH117" i="2"/>
  <c r="BC116" i="2"/>
  <c r="BA114" i="2"/>
  <c r="BT113" i="2"/>
  <c r="BC112" i="2"/>
  <c r="BE111" i="2"/>
  <c r="BH110" i="2"/>
  <c r="BL109" i="2"/>
  <c r="BR108" i="2"/>
  <c r="BE107" i="2"/>
  <c r="BJ106" i="2"/>
  <c r="BP105" i="2"/>
  <c r="BQ118" i="2"/>
  <c r="BB114" i="2"/>
  <c r="BI110" i="2"/>
  <c r="BG107" i="2"/>
  <c r="BJ125" i="2"/>
  <c r="BF107" i="2"/>
  <c r="BH125" i="2"/>
  <c r="BU113" i="2"/>
  <c r="BC124" i="2"/>
  <c r="BJ117" i="2"/>
  <c r="BB113" i="2"/>
  <c r="BN109" i="2"/>
  <c r="BB124" i="2"/>
  <c r="BI117" i="2"/>
  <c r="BA113" i="2"/>
  <c r="BM109" i="2"/>
  <c r="BE123" i="2"/>
  <c r="BM106" i="2"/>
  <c r="BL106" i="2"/>
  <c r="BE116" i="2"/>
  <c r="BE112" i="2"/>
  <c r="BT108" i="2"/>
  <c r="BK106" i="2"/>
  <c r="BD116" i="2"/>
  <c r="BD112" i="2"/>
  <c r="BS108" i="2"/>
  <c r="BC108" i="2"/>
  <c r="BB108" i="2"/>
  <c r="BE115" i="2"/>
  <c r="BG111" i="2"/>
  <c r="BA108" i="2"/>
  <c r="BS105" i="2"/>
  <c r="BA115" i="2"/>
  <c r="BF111" i="2"/>
  <c r="BR105" i="2"/>
  <c r="R125" i="2"/>
  <c r="L124" i="2"/>
  <c r="V123" i="2"/>
  <c r="F123" i="2"/>
  <c r="P122" i="2"/>
  <c r="J121" i="2"/>
  <c r="T120" i="2"/>
  <c r="D120" i="2"/>
  <c r="N119" i="2"/>
  <c r="H118" i="2"/>
  <c r="R117" i="2"/>
  <c r="L116" i="2"/>
  <c r="V115" i="2"/>
  <c r="F115" i="2"/>
  <c r="P114" i="2"/>
  <c r="BD114" i="2"/>
  <c r="O125" i="2"/>
  <c r="I124" i="2"/>
  <c r="S123" i="2"/>
  <c r="C123" i="2"/>
  <c r="M122" i="2"/>
  <c r="W121" i="2"/>
  <c r="G121" i="2"/>
  <c r="Q120" i="2"/>
  <c r="K119" i="2"/>
  <c r="U118" i="2"/>
  <c r="E118" i="2"/>
  <c r="O117" i="2"/>
  <c r="BJ110" i="2"/>
  <c r="BH107" i="2"/>
  <c r="BQ105" i="2"/>
  <c r="BA105" i="2"/>
  <c r="BG119" i="2"/>
  <c r="V125" i="2"/>
  <c r="D125" i="2"/>
  <c r="H124" i="2"/>
  <c r="N123" i="2"/>
  <c r="T122" i="2"/>
  <c r="F121" i="2"/>
  <c r="L120" i="2"/>
  <c r="R119" i="2"/>
  <c r="W118" i="2"/>
  <c r="D118" i="2"/>
  <c r="J117" i="2"/>
  <c r="R116" i="2"/>
  <c r="I115" i="2"/>
  <c r="Q114" i="2"/>
  <c r="H113" i="2"/>
  <c r="R112" i="2"/>
  <c r="L111" i="2"/>
  <c r="V110" i="2"/>
  <c r="F110" i="2"/>
  <c r="P109" i="2"/>
  <c r="J108" i="2"/>
  <c r="T107" i="2"/>
  <c r="D107" i="2"/>
  <c r="N106" i="2"/>
  <c r="H105" i="2"/>
  <c r="U125" i="2"/>
  <c r="C125" i="2"/>
  <c r="G124" i="2"/>
  <c r="M123" i="2"/>
  <c r="S122" i="2"/>
  <c r="E121" i="2"/>
  <c r="K120" i="2"/>
  <c r="Q119" i="2"/>
  <c r="V118" i="2"/>
  <c r="C118" i="2"/>
  <c r="I117" i="2"/>
  <c r="Q116" i="2"/>
  <c r="H115" i="2"/>
  <c r="O114" i="2"/>
  <c r="W113" i="2"/>
  <c r="G113" i="2"/>
  <c r="Q112" i="2"/>
  <c r="K111" i="2"/>
  <c r="U110" i="2"/>
  <c r="E110" i="2"/>
  <c r="O109" i="2"/>
  <c r="T125" i="2"/>
  <c r="F124" i="2"/>
  <c r="L123" i="2"/>
  <c r="R122" i="2"/>
  <c r="V121" i="2"/>
  <c r="D121" i="2"/>
  <c r="J120" i="2"/>
  <c r="P119" i="2"/>
  <c r="T118" i="2"/>
  <c r="H117" i="2"/>
  <c r="P116" i="2"/>
  <c r="G115" i="2"/>
  <c r="N114" i="2"/>
  <c r="V113" i="2"/>
  <c r="F113" i="2"/>
  <c r="P112" i="2"/>
  <c r="S125" i="2"/>
  <c r="W124" i="2"/>
  <c r="E124" i="2"/>
  <c r="K123" i="2"/>
  <c r="Q122" i="2"/>
  <c r="U121" i="2"/>
  <c r="C121" i="2"/>
  <c r="I120" i="2"/>
  <c r="O119" i="2"/>
  <c r="S118" i="2"/>
  <c r="G117" i="2"/>
  <c r="O116" i="2"/>
  <c r="W115" i="2"/>
  <c r="E115" i="2"/>
  <c r="M114" i="2"/>
  <c r="Q125" i="2"/>
  <c r="V124" i="2"/>
  <c r="D124" i="2"/>
  <c r="J123" i="2"/>
  <c r="O122" i="2"/>
  <c r="T121" i="2"/>
  <c r="H120" i="2"/>
  <c r="M119" i="2"/>
  <c r="R118" i="2"/>
  <c r="F117" i="2"/>
  <c r="N116" i="2"/>
  <c r="U115" i="2"/>
  <c r="D115" i="2"/>
  <c r="L114" i="2"/>
  <c r="T113" i="2"/>
  <c r="D113" i="2"/>
  <c r="N112" i="2"/>
  <c r="H111" i="2"/>
  <c r="R110" i="2"/>
  <c r="L109" i="2"/>
  <c r="V108" i="2"/>
  <c r="F108" i="2"/>
  <c r="P125" i="2"/>
  <c r="U124" i="2"/>
  <c r="C124" i="2"/>
  <c r="I123" i="2"/>
  <c r="N122" i="2"/>
  <c r="S121" i="2"/>
  <c r="G120" i="2"/>
  <c r="L119" i="2"/>
  <c r="Q118" i="2"/>
  <c r="W117" i="2"/>
  <c r="E117" i="2"/>
  <c r="M116" i="2"/>
  <c r="T115" i="2"/>
  <c r="C115" i="2"/>
  <c r="K114" i="2"/>
  <c r="S113" i="2"/>
  <c r="C113" i="2"/>
  <c r="M112" i="2"/>
  <c r="W111" i="2"/>
  <c r="G111" i="2"/>
  <c r="Q110" i="2"/>
  <c r="K109" i="2"/>
  <c r="U108" i="2"/>
  <c r="E108" i="2"/>
  <c r="O107" i="2"/>
  <c r="I106" i="2"/>
  <c r="S105" i="2"/>
  <c r="C105" i="2"/>
  <c r="N125" i="2"/>
  <c r="T124" i="2"/>
  <c r="H123" i="2"/>
  <c r="L122" i="2"/>
  <c r="R121" i="2"/>
  <c r="F120" i="2"/>
  <c r="J119" i="2"/>
  <c r="P118" i="2"/>
  <c r="V117" i="2"/>
  <c r="D117" i="2"/>
  <c r="K116" i="2"/>
  <c r="S115" i="2"/>
  <c r="J114" i="2"/>
  <c r="R113" i="2"/>
  <c r="L112" i="2"/>
  <c r="V111" i="2"/>
  <c r="F111" i="2"/>
  <c r="P110" i="2"/>
  <c r="J109" i="2"/>
  <c r="T108" i="2"/>
  <c r="D108" i="2"/>
  <c r="N107" i="2"/>
  <c r="BF119" i="2"/>
  <c r="M125" i="2"/>
  <c r="S124" i="2"/>
  <c r="G123" i="2"/>
  <c r="K122" i="2"/>
  <c r="Q121" i="2"/>
  <c r="W120" i="2"/>
  <c r="E120" i="2"/>
  <c r="I119" i="2"/>
  <c r="O118" i="2"/>
  <c r="U117" i="2"/>
  <c r="C117" i="2"/>
  <c r="J116" i="2"/>
  <c r="R115" i="2"/>
  <c r="I114" i="2"/>
  <c r="Q113" i="2"/>
  <c r="K112" i="2"/>
  <c r="U111" i="2"/>
  <c r="E111" i="2"/>
  <c r="O110" i="2"/>
  <c r="I109" i="2"/>
  <c r="S108" i="2"/>
  <c r="C108" i="2"/>
  <c r="M107" i="2"/>
  <c r="W106" i="2"/>
  <c r="G106" i="2"/>
  <c r="Q105" i="2"/>
  <c r="BR118" i="2"/>
  <c r="L125" i="2"/>
  <c r="R124" i="2"/>
  <c r="E123" i="2"/>
  <c r="J122" i="2"/>
  <c r="P121" i="2"/>
  <c r="V120" i="2"/>
  <c r="C120" i="2"/>
  <c r="H119" i="2"/>
  <c r="N118" i="2"/>
  <c r="T117" i="2"/>
  <c r="I116" i="2"/>
  <c r="Q115" i="2"/>
  <c r="H114" i="2"/>
  <c r="P113" i="2"/>
  <c r="J112" i="2"/>
  <c r="T111" i="2"/>
  <c r="D111" i="2"/>
  <c r="K125" i="2"/>
  <c r="Q124" i="2"/>
  <c r="W123" i="2"/>
  <c r="D123" i="2"/>
  <c r="I122" i="2"/>
  <c r="O121" i="2"/>
  <c r="J125" i="2"/>
  <c r="P124" i="2"/>
  <c r="U123" i="2"/>
  <c r="I125" i="2"/>
  <c r="W125" i="2"/>
  <c r="E125" i="2"/>
  <c r="J124" i="2"/>
  <c r="O123" i="2"/>
  <c r="U122" i="2"/>
  <c r="C122" i="2"/>
  <c r="H121" i="2"/>
  <c r="M120" i="2"/>
  <c r="S119" i="2"/>
  <c r="F118" i="2"/>
  <c r="K117" i="2"/>
  <c r="S116" i="2"/>
  <c r="M124" i="2"/>
  <c r="K121" i="2"/>
  <c r="W116" i="2"/>
  <c r="P115" i="2"/>
  <c r="V114" i="2"/>
  <c r="F112" i="2"/>
  <c r="P111" i="2"/>
  <c r="G110" i="2"/>
  <c r="U109" i="2"/>
  <c r="M108" i="2"/>
  <c r="J107" i="2"/>
  <c r="L106" i="2"/>
  <c r="N105" i="2"/>
  <c r="K124" i="2"/>
  <c r="W122" i="2"/>
  <c r="I121" i="2"/>
  <c r="V116" i="2"/>
  <c r="O115" i="2"/>
  <c r="U114" i="2"/>
  <c r="E112" i="2"/>
  <c r="O111" i="2"/>
  <c r="D110" i="2"/>
  <c r="T109" i="2"/>
  <c r="L108" i="2"/>
  <c r="I107" i="2"/>
  <c r="K106" i="2"/>
  <c r="M105" i="2"/>
  <c r="V122" i="2"/>
  <c r="S117" i="2"/>
  <c r="U116" i="2"/>
  <c r="N115" i="2"/>
  <c r="T114" i="2"/>
  <c r="D112" i="2"/>
  <c r="N111" i="2"/>
  <c r="C110" i="2"/>
  <c r="S109" i="2"/>
  <c r="K108" i="2"/>
  <c r="H107" i="2"/>
  <c r="J106" i="2"/>
  <c r="L105" i="2"/>
  <c r="H122" i="2"/>
  <c r="Q117" i="2"/>
  <c r="T116" i="2"/>
  <c r="M115" i="2"/>
  <c r="S114" i="2"/>
  <c r="C112" i="2"/>
  <c r="M111" i="2"/>
  <c r="R109" i="2"/>
  <c r="I108" i="2"/>
  <c r="G107" i="2"/>
  <c r="H106" i="2"/>
  <c r="K105" i="2"/>
  <c r="G122" i="2"/>
  <c r="P117" i="2"/>
  <c r="H116" i="2"/>
  <c r="L115" i="2"/>
  <c r="R114" i="2"/>
  <c r="U113" i="2"/>
  <c r="J111" i="2"/>
  <c r="Q109" i="2"/>
  <c r="H108" i="2"/>
  <c r="F107" i="2"/>
  <c r="F106" i="2"/>
  <c r="J105" i="2"/>
  <c r="F122" i="2"/>
  <c r="N117" i="2"/>
  <c r="G116" i="2"/>
  <c r="K115" i="2"/>
  <c r="G114" i="2"/>
  <c r="O113" i="2"/>
  <c r="I111" i="2"/>
  <c r="N109" i="2"/>
  <c r="G108" i="2"/>
  <c r="E107" i="2"/>
  <c r="E106" i="2"/>
  <c r="I105" i="2"/>
  <c r="T123" i="2"/>
  <c r="E122" i="2"/>
  <c r="W119" i="2"/>
  <c r="M118" i="2"/>
  <c r="M117" i="2"/>
  <c r="F116" i="2"/>
  <c r="J115" i="2"/>
  <c r="F114" i="2"/>
  <c r="N113" i="2"/>
  <c r="C111" i="2"/>
  <c r="W110" i="2"/>
  <c r="M109" i="2"/>
  <c r="C107" i="2"/>
  <c r="D106" i="2"/>
  <c r="G105" i="2"/>
  <c r="H125" i="2"/>
  <c r="R123" i="2"/>
  <c r="D122" i="2"/>
  <c r="V119" i="2"/>
  <c r="L118" i="2"/>
  <c r="L117" i="2"/>
  <c r="E116" i="2"/>
  <c r="E114" i="2"/>
  <c r="M113" i="2"/>
  <c r="W112" i="2"/>
  <c r="T110" i="2"/>
  <c r="H109" i="2"/>
  <c r="W107" i="2"/>
  <c r="V106" i="2"/>
  <c r="C106" i="2"/>
  <c r="F105" i="2"/>
  <c r="G125" i="2"/>
  <c r="Q123" i="2"/>
  <c r="U120" i="2"/>
  <c r="U119" i="2"/>
  <c r="K118" i="2"/>
  <c r="D116" i="2"/>
  <c r="D114" i="2"/>
  <c r="L113" i="2"/>
  <c r="V112" i="2"/>
  <c r="S110" i="2"/>
  <c r="G109" i="2"/>
  <c r="V107" i="2"/>
  <c r="U106" i="2"/>
  <c r="E105" i="2"/>
  <c r="F125" i="2"/>
  <c r="P123" i="2"/>
  <c r="S120" i="2"/>
  <c r="T119" i="2"/>
  <c r="J118" i="2"/>
  <c r="C116" i="2"/>
  <c r="C114" i="2"/>
  <c r="K113" i="2"/>
  <c r="U112" i="2"/>
  <c r="N110" i="2"/>
  <c r="F109" i="2"/>
  <c r="U107" i="2"/>
  <c r="T106" i="2"/>
  <c r="W105" i="2"/>
  <c r="D105" i="2"/>
  <c r="R120" i="2"/>
  <c r="G119" i="2"/>
  <c r="I118" i="2"/>
  <c r="J113" i="2"/>
  <c r="T112" i="2"/>
  <c r="M110" i="2"/>
  <c r="E109" i="2"/>
  <c r="W108" i="2"/>
  <c r="S107" i="2"/>
  <c r="S106" i="2"/>
  <c r="V105" i="2"/>
  <c r="P120" i="2"/>
  <c r="F119" i="2"/>
  <c r="G118" i="2"/>
  <c r="I113" i="2"/>
  <c r="S112" i="2"/>
  <c r="L110" i="2"/>
  <c r="D109" i="2"/>
  <c r="R108" i="2"/>
  <c r="R107" i="2"/>
  <c r="R106" i="2"/>
  <c r="U105" i="2"/>
  <c r="O120" i="2"/>
  <c r="E119" i="2"/>
  <c r="E113" i="2"/>
  <c r="O112" i="2"/>
  <c r="K110" i="2"/>
  <c r="C109" i="2"/>
  <c r="Q108" i="2"/>
  <c r="Q107" i="2"/>
  <c r="Q106" i="2"/>
  <c r="T105" i="2"/>
  <c r="O124" i="2"/>
  <c r="I112" i="2"/>
  <c r="M106" i="2"/>
  <c r="N124" i="2"/>
  <c r="H112" i="2"/>
  <c r="G112" i="2"/>
  <c r="P108" i="2"/>
  <c r="S111" i="2"/>
  <c r="O108" i="2"/>
  <c r="R111" i="2"/>
  <c r="N108" i="2"/>
  <c r="R105" i="2"/>
  <c r="N121" i="2"/>
  <c r="Q111" i="2"/>
  <c r="P105" i="2"/>
  <c r="M121" i="2"/>
  <c r="O105" i="2"/>
  <c r="L121" i="2"/>
  <c r="N120" i="2"/>
  <c r="P107" i="2"/>
  <c r="W114" i="2"/>
  <c r="J110" i="2"/>
  <c r="L107" i="2"/>
  <c r="I110" i="2"/>
  <c r="K107" i="2"/>
  <c r="D119" i="2"/>
  <c r="H110" i="2"/>
  <c r="C119" i="2"/>
  <c r="W109" i="2"/>
  <c r="V109" i="2"/>
  <c r="P106" i="2"/>
  <c r="O106" i="2"/>
  <c r="C21" i="1"/>
  <c r="EO77" i="2"/>
  <c r="DY77" i="2"/>
  <c r="EI76" i="2"/>
  <c r="EC75" i="2"/>
  <c r="EM74" i="2"/>
  <c r="DW74" i="2"/>
  <c r="EG77" i="2"/>
  <c r="EQ76" i="2"/>
  <c r="EA76" i="2"/>
  <c r="EK75" i="2"/>
  <c r="EE74" i="2"/>
  <c r="EC77" i="2"/>
  <c r="EH76" i="2"/>
  <c r="EN75" i="2"/>
  <c r="EA74" i="2"/>
  <c r="EJ73" i="2"/>
  <c r="ED72" i="2"/>
  <c r="EN71" i="2"/>
  <c r="DX71" i="2"/>
  <c r="EH70" i="2"/>
  <c r="EB69" i="2"/>
  <c r="EL68" i="2"/>
  <c r="EF67" i="2"/>
  <c r="EP66" i="2"/>
  <c r="DZ66" i="2"/>
  <c r="EJ65" i="2"/>
  <c r="ED64" i="2"/>
  <c r="EN63" i="2"/>
  <c r="DX63" i="2"/>
  <c r="EH62" i="2"/>
  <c r="EB61" i="2"/>
  <c r="EL60" i="2"/>
  <c r="EF59" i="2"/>
  <c r="EP58" i="2"/>
  <c r="DZ58" i="2"/>
  <c r="EJ57" i="2"/>
  <c r="EB77" i="2"/>
  <c r="EG76" i="2"/>
  <c r="EM75" i="2"/>
  <c r="DZ74" i="2"/>
  <c r="EI73" i="2"/>
  <c r="EC72" i="2"/>
  <c r="EM71" i="2"/>
  <c r="DW71" i="2"/>
  <c r="EG70" i="2"/>
  <c r="EQ69" i="2"/>
  <c r="EA69" i="2"/>
  <c r="EK68" i="2"/>
  <c r="EE67" i="2"/>
  <c r="EO66" i="2"/>
  <c r="DY66" i="2"/>
  <c r="EI65" i="2"/>
  <c r="EA77" i="2"/>
  <c r="EF76" i="2"/>
  <c r="EL75" i="2"/>
  <c r="EQ74" i="2"/>
  <c r="DY74" i="2"/>
  <c r="EH73" i="2"/>
  <c r="EB72" i="2"/>
  <c r="EL71" i="2"/>
  <c r="DZ77" i="2"/>
  <c r="EE76" i="2"/>
  <c r="EJ75" i="2"/>
  <c r="EP74" i="2"/>
  <c r="DX74" i="2"/>
  <c r="EG73" i="2"/>
  <c r="EQ72" i="2"/>
  <c r="EA72" i="2"/>
  <c r="EK71" i="2"/>
  <c r="EQ77" i="2"/>
  <c r="DX77" i="2"/>
  <c r="ED76" i="2"/>
  <c r="EI75" i="2"/>
  <c r="EO74" i="2"/>
  <c r="EF73" i="2"/>
  <c r="EP72" i="2"/>
  <c r="DZ72" i="2"/>
  <c r="EJ71" i="2"/>
  <c r="ED70" i="2"/>
  <c r="EP77" i="2"/>
  <c r="DW77" i="2"/>
  <c r="EC76" i="2"/>
  <c r="EH75" i="2"/>
  <c r="EN74" i="2"/>
  <c r="EE73" i="2"/>
  <c r="EO72" i="2"/>
  <c r="DY72" i="2"/>
  <c r="EI71" i="2"/>
  <c r="EC70" i="2"/>
  <c r="EM69" i="2"/>
  <c r="DW69" i="2"/>
  <c r="EG68" i="2"/>
  <c r="EQ67" i="2"/>
  <c r="EA67" i="2"/>
  <c r="EK66" i="2"/>
  <c r="EE65" i="2"/>
  <c r="EO64" i="2"/>
  <c r="DY64" i="2"/>
  <c r="EI63" i="2"/>
  <c r="EC62" i="2"/>
  <c r="EM61" i="2"/>
  <c r="DW61" i="2"/>
  <c r="EN77" i="2"/>
  <c r="EB76" i="2"/>
  <c r="EG75" i="2"/>
  <c r="EL74" i="2"/>
  <c r="ED73" i="2"/>
  <c r="EN72" i="2"/>
  <c r="DX72" i="2"/>
  <c r="EH71" i="2"/>
  <c r="EB70" i="2"/>
  <c r="EL69" i="2"/>
  <c r="EF68" i="2"/>
  <c r="EP67" i="2"/>
  <c r="DZ67" i="2"/>
  <c r="EM77" i="2"/>
  <c r="DZ76" i="2"/>
  <c r="EF75" i="2"/>
  <c r="EK74" i="2"/>
  <c r="EC73" i="2"/>
  <c r="EM72" i="2"/>
  <c r="DW72" i="2"/>
  <c r="EG71" i="2"/>
  <c r="EQ70" i="2"/>
  <c r="EA70" i="2"/>
  <c r="EK69" i="2"/>
  <c r="EE68" i="2"/>
  <c r="EO67" i="2"/>
  <c r="DY67" i="2"/>
  <c r="EI66" i="2"/>
  <c r="EC65" i="2"/>
  <c r="EM64" i="2"/>
  <c r="DW64" i="2"/>
  <c r="EG63" i="2"/>
  <c r="EQ62" i="2"/>
  <c r="EA62" i="2"/>
  <c r="EK61" i="2"/>
  <c r="EE60" i="2"/>
  <c r="EL77" i="2"/>
  <c r="DY76" i="2"/>
  <c r="EE75" i="2"/>
  <c r="EJ74" i="2"/>
  <c r="EB73" i="2"/>
  <c r="EL72" i="2"/>
  <c r="EF71" i="2"/>
  <c r="EP70" i="2"/>
  <c r="DZ70" i="2"/>
  <c r="ED77" i="2"/>
  <c r="EJ76" i="2"/>
  <c r="EF77" i="2"/>
  <c r="DY75" i="2"/>
  <c r="EB74" i="2"/>
  <c r="DZ73" i="2"/>
  <c r="EH72" i="2"/>
  <c r="EP71" i="2"/>
  <c r="EI69" i="2"/>
  <c r="ED68" i="2"/>
  <c r="EB67" i="2"/>
  <c r="EA66" i="2"/>
  <c r="DY65" i="2"/>
  <c r="DZ64" i="2"/>
  <c r="EB63" i="2"/>
  <c r="EE62" i="2"/>
  <c r="EG61" i="2"/>
  <c r="EK60" i="2"/>
  <c r="EQ59" i="2"/>
  <c r="DZ59" i="2"/>
  <c r="EH58" i="2"/>
  <c r="EP57" i="2"/>
  <c r="DY57" i="2"/>
  <c r="EE77" i="2"/>
  <c r="DX75" i="2"/>
  <c r="DY73" i="2"/>
  <c r="EG72" i="2"/>
  <c r="EO71" i="2"/>
  <c r="EH69" i="2"/>
  <c r="EC68" i="2"/>
  <c r="DX67" i="2"/>
  <c r="DX66" i="2"/>
  <c r="DX65" i="2"/>
  <c r="DX64" i="2"/>
  <c r="EA63" i="2"/>
  <c r="ED62" i="2"/>
  <c r="EF61" i="2"/>
  <c r="EJ60" i="2"/>
  <c r="EP59" i="2"/>
  <c r="DY59" i="2"/>
  <c r="EG58" i="2"/>
  <c r="EO57" i="2"/>
  <c r="DX57" i="2"/>
  <c r="DW75" i="2"/>
  <c r="DX73" i="2"/>
  <c r="EF72" i="2"/>
  <c r="EE71" i="2"/>
  <c r="EO70" i="2"/>
  <c r="EG69" i="2"/>
  <c r="EB68" i="2"/>
  <c r="DW67" i="2"/>
  <c r="DW66" i="2"/>
  <c r="EQ65" i="2"/>
  <c r="DW65" i="2"/>
  <c r="EQ64" i="2"/>
  <c r="DZ63" i="2"/>
  <c r="EB62" i="2"/>
  <c r="EE61" i="2"/>
  <c r="EI60" i="2"/>
  <c r="EO59" i="2"/>
  <c r="DX59" i="2"/>
  <c r="EF58" i="2"/>
  <c r="EN57" i="2"/>
  <c r="DW57" i="2"/>
  <c r="DW73" i="2"/>
  <c r="EE72" i="2"/>
  <c r="ED71" i="2"/>
  <c r="EN70" i="2"/>
  <c r="EF69" i="2"/>
  <c r="EA68" i="2"/>
  <c r="EP65" i="2"/>
  <c r="EP64" i="2"/>
  <c r="DY63" i="2"/>
  <c r="DZ62" i="2"/>
  <c r="ED61" i="2"/>
  <c r="EH60" i="2"/>
  <c r="EN59" i="2"/>
  <c r="DW59" i="2"/>
  <c r="EE58" i="2"/>
  <c r="EM57" i="2"/>
  <c r="EC71" i="2"/>
  <c r="EM70" i="2"/>
  <c r="EE69" i="2"/>
  <c r="DZ68" i="2"/>
  <c r="EQ66" i="2"/>
  <c r="EO65" i="2"/>
  <c r="EN64" i="2"/>
  <c r="EQ63" i="2"/>
  <c r="DW63" i="2"/>
  <c r="DY62" i="2"/>
  <c r="EC61" i="2"/>
  <c r="EG60" i="2"/>
  <c r="EM59" i="2"/>
  <c r="ED58" i="2"/>
  <c r="EL57" i="2"/>
  <c r="EB71" i="2"/>
  <c r="EL70" i="2"/>
  <c r="ED69" i="2"/>
  <c r="DY68" i="2"/>
  <c r="EN66" i="2"/>
  <c r="EN65" i="2"/>
  <c r="EL64" i="2"/>
  <c r="EP63" i="2"/>
  <c r="DX62" i="2"/>
  <c r="EA61" i="2"/>
  <c r="EF60" i="2"/>
  <c r="EL59" i="2"/>
  <c r="EC58" i="2"/>
  <c r="EK57" i="2"/>
  <c r="EA71" i="2"/>
  <c r="EK70" i="2"/>
  <c r="EC69" i="2"/>
  <c r="DX68" i="2"/>
  <c r="EN67" i="2"/>
  <c r="EM66" i="2"/>
  <c r="EM65" i="2"/>
  <c r="EK64" i="2"/>
  <c r="EO63" i="2"/>
  <c r="EP62" i="2"/>
  <c r="DW62" i="2"/>
  <c r="DZ61" i="2"/>
  <c r="ED60" i="2"/>
  <c r="EK59" i="2"/>
  <c r="EB58" i="2"/>
  <c r="EI57" i="2"/>
  <c r="DZ71" i="2"/>
  <c r="EJ70" i="2"/>
  <c r="DZ69" i="2"/>
  <c r="DW68" i="2"/>
  <c r="EM67" i="2"/>
  <c r="EL66" i="2"/>
  <c r="EL65" i="2"/>
  <c r="EJ64" i="2"/>
  <c r="EM63" i="2"/>
  <c r="EO62" i="2"/>
  <c r="DY61" i="2"/>
  <c r="EC60" i="2"/>
  <c r="EJ59" i="2"/>
  <c r="EA58" i="2"/>
  <c r="EH57" i="2"/>
  <c r="EP76" i="2"/>
  <c r="EQ73" i="2"/>
  <c r="DY71" i="2"/>
  <c r="EI70" i="2"/>
  <c r="DY69" i="2"/>
  <c r="EQ68" i="2"/>
  <c r="EL67" i="2"/>
  <c r="EJ66" i="2"/>
  <c r="EK65" i="2"/>
  <c r="EI64" i="2"/>
  <c r="EL63" i="2"/>
  <c r="EN62" i="2"/>
  <c r="EQ61" i="2"/>
  <c r="DX61" i="2"/>
  <c r="EB60" i="2"/>
  <c r="EI59" i="2"/>
  <c r="EQ58" i="2"/>
  <c r="DY58" i="2"/>
  <c r="EG57" i="2"/>
  <c r="EO76" i="2"/>
  <c r="EQ75" i="2"/>
  <c r="EP73" i="2"/>
  <c r="EF70" i="2"/>
  <c r="DX69" i="2"/>
  <c r="EP68" i="2"/>
  <c r="EK67" i="2"/>
  <c r="EH66" i="2"/>
  <c r="EH65" i="2"/>
  <c r="EH64" i="2"/>
  <c r="EK63" i="2"/>
  <c r="EM62" i="2"/>
  <c r="EP61" i="2"/>
  <c r="EA60" i="2"/>
  <c r="EN76" i="2"/>
  <c r="EP75" i="2"/>
  <c r="EI74" i="2"/>
  <c r="EO73" i="2"/>
  <c r="EE70" i="2"/>
  <c r="EO68" i="2"/>
  <c r="EJ67" i="2"/>
  <c r="EG66" i="2"/>
  <c r="EG65" i="2"/>
  <c r="EG64" i="2"/>
  <c r="EJ63" i="2"/>
  <c r="EL62" i="2"/>
  <c r="EO61" i="2"/>
  <c r="DZ60" i="2"/>
  <c r="EG59" i="2"/>
  <c r="EN58" i="2"/>
  <c r="DW58" i="2"/>
  <c r="EE57" i="2"/>
  <c r="EM76" i="2"/>
  <c r="EO75" i="2"/>
  <c r="EH74" i="2"/>
  <c r="EN73" i="2"/>
  <c r="DY70" i="2"/>
  <c r="EN68" i="2"/>
  <c r="EI67" i="2"/>
  <c r="EK77" i="2"/>
  <c r="EL76" i="2"/>
  <c r="ED75" i="2"/>
  <c r="EG74" i="2"/>
  <c r="EM73" i="2"/>
  <c r="DX70" i="2"/>
  <c r="EP69" i="2"/>
  <c r="EH77" i="2"/>
  <c r="DW76" i="2"/>
  <c r="DZ75" i="2"/>
  <c r="EC74" i="2"/>
  <c r="EA73" i="2"/>
  <c r="EI72" i="2"/>
  <c r="EQ71" i="2"/>
  <c r="EJ69" i="2"/>
  <c r="EH68" i="2"/>
  <c r="EC67" i="2"/>
  <c r="EB66" i="2"/>
  <c r="DZ65" i="2"/>
  <c r="EA64" i="2"/>
  <c r="EC63" i="2"/>
  <c r="EF62" i="2"/>
  <c r="EH61" i="2"/>
  <c r="EM60" i="2"/>
  <c r="EA59" i="2"/>
  <c r="EI58" i="2"/>
  <c r="EQ57" i="2"/>
  <c r="DZ57" i="2"/>
  <c r="EG67" i="2"/>
  <c r="EA65" i="2"/>
  <c r="ED63" i="2"/>
  <c r="EI61" i="2"/>
  <c r="DX58" i="2"/>
  <c r="ED67" i="2"/>
  <c r="EH59" i="2"/>
  <c r="EE59" i="2"/>
  <c r="EJ77" i="2"/>
  <c r="DW70" i="2"/>
  <c r="ED59" i="2"/>
  <c r="EI77" i="2"/>
  <c r="EC59" i="2"/>
  <c r="EK76" i="2"/>
  <c r="EO69" i="2"/>
  <c r="EF66" i="2"/>
  <c r="EF64" i="2"/>
  <c r="EK62" i="2"/>
  <c r="EQ60" i="2"/>
  <c r="EB59" i="2"/>
  <c r="DX76" i="2"/>
  <c r="EN69" i="2"/>
  <c r="EE66" i="2"/>
  <c r="EE64" i="2"/>
  <c r="EJ62" i="2"/>
  <c r="EP60" i="2"/>
  <c r="EB75" i="2"/>
  <c r="ED66" i="2"/>
  <c r="EC64" i="2"/>
  <c r="EI62" i="2"/>
  <c r="EO60" i="2"/>
  <c r="EA75" i="2"/>
  <c r="EC66" i="2"/>
  <c r="EB64" i="2"/>
  <c r="EG62" i="2"/>
  <c r="EN60" i="2"/>
  <c r="EF74" i="2"/>
  <c r="EM68" i="2"/>
  <c r="DY60" i="2"/>
  <c r="ED74" i="2"/>
  <c r="EJ68" i="2"/>
  <c r="DX60" i="2"/>
  <c r="EF57" i="2"/>
  <c r="EL73" i="2"/>
  <c r="EI68" i="2"/>
  <c r="DW60" i="2"/>
  <c r="EO58" i="2"/>
  <c r="ED57" i="2"/>
  <c r="EK73" i="2"/>
  <c r="EM58" i="2"/>
  <c r="EC57" i="2"/>
  <c r="EH67" i="2"/>
  <c r="EB65" i="2"/>
  <c r="EE63" i="2"/>
  <c r="EJ61" i="2"/>
  <c r="EJ58" i="2"/>
  <c r="EF63" i="2"/>
  <c r="EN61" i="2"/>
  <c r="EL61" i="2"/>
  <c r="EL58" i="2"/>
  <c r="EK58" i="2"/>
  <c r="EB57" i="2"/>
  <c r="EA57" i="2"/>
  <c r="EK72" i="2"/>
  <c r="EJ72" i="2"/>
  <c r="EF65" i="2"/>
  <c r="ED65" i="2"/>
  <c r="EH63" i="2"/>
  <c r="CP77" i="2"/>
  <c r="BZ77" i="2"/>
  <c r="CJ76" i="2"/>
  <c r="CD75" i="2"/>
  <c r="CN74" i="2"/>
  <c r="CH73" i="2"/>
  <c r="CR72" i="2"/>
  <c r="CB72" i="2"/>
  <c r="CL71" i="2"/>
  <c r="CF70" i="2"/>
  <c r="CP69" i="2"/>
  <c r="CN77" i="2"/>
  <c r="CH76" i="2"/>
  <c r="CR75" i="2"/>
  <c r="CB75" i="2"/>
  <c r="CL74" i="2"/>
  <c r="CF73" i="2"/>
  <c r="CP72" i="2"/>
  <c r="BZ72" i="2"/>
  <c r="CJ71" i="2"/>
  <c r="CD70" i="2"/>
  <c r="CM77" i="2"/>
  <c r="CG76" i="2"/>
  <c r="CQ75" i="2"/>
  <c r="CA75" i="2"/>
  <c r="CK74" i="2"/>
  <c r="CE73" i="2"/>
  <c r="CO72" i="2"/>
  <c r="BY72" i="2"/>
  <c r="CL77" i="2"/>
  <c r="CF76" i="2"/>
  <c r="CP75" i="2"/>
  <c r="BZ75" i="2"/>
  <c r="CJ74" i="2"/>
  <c r="CR77" i="2"/>
  <c r="CP76" i="2"/>
  <c r="CN75" i="2"/>
  <c r="CP74" i="2"/>
  <c r="CP73" i="2"/>
  <c r="CD71" i="2"/>
  <c r="CJ70" i="2"/>
  <c r="CQ69" i="2"/>
  <c r="BZ69" i="2"/>
  <c r="CJ68" i="2"/>
  <c r="CD67" i="2"/>
  <c r="CN66" i="2"/>
  <c r="CH65" i="2"/>
  <c r="CR64" i="2"/>
  <c r="CB64" i="2"/>
  <c r="CL63" i="2"/>
  <c r="CF62" i="2"/>
  <c r="CP61" i="2"/>
  <c r="BZ61" i="2"/>
  <c r="CJ60" i="2"/>
  <c r="CD59" i="2"/>
  <c r="CN58" i="2"/>
  <c r="CH57" i="2"/>
  <c r="CQ77" i="2"/>
  <c r="CO76" i="2"/>
  <c r="CM75" i="2"/>
  <c r="CO74" i="2"/>
  <c r="CO73" i="2"/>
  <c r="CS72" i="2"/>
  <c r="CC71" i="2"/>
  <c r="CI70" i="2"/>
  <c r="CO69" i="2"/>
  <c r="BY69" i="2"/>
  <c r="CI68" i="2"/>
  <c r="CS67" i="2"/>
  <c r="CC67" i="2"/>
  <c r="CM66" i="2"/>
  <c r="CG65" i="2"/>
  <c r="CQ64" i="2"/>
  <c r="CA64" i="2"/>
  <c r="CK63" i="2"/>
  <c r="CE62" i="2"/>
  <c r="CO61" i="2"/>
  <c r="BY61" i="2"/>
  <c r="CI60" i="2"/>
  <c r="CS59" i="2"/>
  <c r="CC59" i="2"/>
  <c r="CM58" i="2"/>
  <c r="CG57" i="2"/>
  <c r="CO77" i="2"/>
  <c r="CN76" i="2"/>
  <c r="CL75" i="2"/>
  <c r="CM74" i="2"/>
  <c r="CN73" i="2"/>
  <c r="CQ72" i="2"/>
  <c r="CB71" i="2"/>
  <c r="CH70" i="2"/>
  <c r="CN69" i="2"/>
  <c r="CH68" i="2"/>
  <c r="CR67" i="2"/>
  <c r="CB67" i="2"/>
  <c r="CL66" i="2"/>
  <c r="CF65" i="2"/>
  <c r="CP64" i="2"/>
  <c r="BZ64" i="2"/>
  <c r="CJ63" i="2"/>
  <c r="CD62" i="2"/>
  <c r="CN61" i="2"/>
  <c r="CH60" i="2"/>
  <c r="CR59" i="2"/>
  <c r="CB59" i="2"/>
  <c r="CL58" i="2"/>
  <c r="CF57" i="2"/>
  <c r="CK77" i="2"/>
  <c r="CM76" i="2"/>
  <c r="CK75" i="2"/>
  <c r="CI74" i="2"/>
  <c r="CM73" i="2"/>
  <c r="CN72" i="2"/>
  <c r="CS71" i="2"/>
  <c r="CA71" i="2"/>
  <c r="CG70" i="2"/>
  <c r="CM69" i="2"/>
  <c r="CG68" i="2"/>
  <c r="CQ67" i="2"/>
  <c r="CA67" i="2"/>
  <c r="CK66" i="2"/>
  <c r="CE65" i="2"/>
  <c r="CO64" i="2"/>
  <c r="BY64" i="2"/>
  <c r="CI63" i="2"/>
  <c r="CS62" i="2"/>
  <c r="CC62" i="2"/>
  <c r="CM61" i="2"/>
  <c r="CG60" i="2"/>
  <c r="CQ59" i="2"/>
  <c r="CA59" i="2"/>
  <c r="CK58" i="2"/>
  <c r="CE57" i="2"/>
  <c r="CJ77" i="2"/>
  <c r="CL76" i="2"/>
  <c r="CJ75" i="2"/>
  <c r="CH74" i="2"/>
  <c r="CL73" i="2"/>
  <c r="CM72" i="2"/>
  <c r="CR71" i="2"/>
  <c r="BZ71" i="2"/>
  <c r="CE70" i="2"/>
  <c r="CL69" i="2"/>
  <c r="CF68" i="2"/>
  <c r="CP67" i="2"/>
  <c r="BZ67" i="2"/>
  <c r="CJ66" i="2"/>
  <c r="CD65" i="2"/>
  <c r="CN64" i="2"/>
  <c r="CH63" i="2"/>
  <c r="CR62" i="2"/>
  <c r="CB62" i="2"/>
  <c r="CL61" i="2"/>
  <c r="CF60" i="2"/>
  <c r="CP59" i="2"/>
  <c r="BZ59" i="2"/>
  <c r="CJ58" i="2"/>
  <c r="CD57" i="2"/>
  <c r="CI77" i="2"/>
  <c r="CK76" i="2"/>
  <c r="CI75" i="2"/>
  <c r="CG74" i="2"/>
  <c r="CK73" i="2"/>
  <c r="CL72" i="2"/>
  <c r="CQ71" i="2"/>
  <c r="BY71" i="2"/>
  <c r="CC70" i="2"/>
  <c r="CK69" i="2"/>
  <c r="CE68" i="2"/>
  <c r="CO67" i="2"/>
  <c r="BY67" i="2"/>
  <c r="CI66" i="2"/>
  <c r="CS65" i="2"/>
  <c r="CC65" i="2"/>
  <c r="CM64" i="2"/>
  <c r="CG63" i="2"/>
  <c r="CQ62" i="2"/>
  <c r="CA62" i="2"/>
  <c r="CK61" i="2"/>
  <c r="CE60" i="2"/>
  <c r="CO59" i="2"/>
  <c r="BY59" i="2"/>
  <c r="CI58" i="2"/>
  <c r="CS57" i="2"/>
  <c r="CC57" i="2"/>
  <c r="CH77" i="2"/>
  <c r="CI76" i="2"/>
  <c r="CH75" i="2"/>
  <c r="CF74" i="2"/>
  <c r="CJ73" i="2"/>
  <c r="CK72" i="2"/>
  <c r="CP71" i="2"/>
  <c r="CB70" i="2"/>
  <c r="CJ69" i="2"/>
  <c r="CD68" i="2"/>
  <c r="CN67" i="2"/>
  <c r="CH66" i="2"/>
  <c r="CR65" i="2"/>
  <c r="CB65" i="2"/>
  <c r="CL64" i="2"/>
  <c r="CF63" i="2"/>
  <c r="CP62" i="2"/>
  <c r="BZ62" i="2"/>
  <c r="CJ61" i="2"/>
  <c r="CD60" i="2"/>
  <c r="CN59" i="2"/>
  <c r="CH58" i="2"/>
  <c r="CR57" i="2"/>
  <c r="CB57" i="2"/>
  <c r="CG77" i="2"/>
  <c r="CE76" i="2"/>
  <c r="CG75" i="2"/>
  <c r="CE74" i="2"/>
  <c r="CI73" i="2"/>
  <c r="CJ72" i="2"/>
  <c r="CO71" i="2"/>
  <c r="CS70" i="2"/>
  <c r="CA70" i="2"/>
  <c r="CI69" i="2"/>
  <c r="CS68" i="2"/>
  <c r="CC68" i="2"/>
  <c r="CM67" i="2"/>
  <c r="CG66" i="2"/>
  <c r="CQ65" i="2"/>
  <c r="CA65" i="2"/>
  <c r="CK64" i="2"/>
  <c r="CE63" i="2"/>
  <c r="CO62" i="2"/>
  <c r="BY62" i="2"/>
  <c r="CI61" i="2"/>
  <c r="CS60" i="2"/>
  <c r="CC60" i="2"/>
  <c r="CM59" i="2"/>
  <c r="CG58" i="2"/>
  <c r="CQ57" i="2"/>
  <c r="CA57" i="2"/>
  <c r="CF77" i="2"/>
  <c r="CD76" i="2"/>
  <c r="CF75" i="2"/>
  <c r="CD74" i="2"/>
  <c r="CG73" i="2"/>
  <c r="CI72" i="2"/>
  <c r="CN71" i="2"/>
  <c r="CR70" i="2"/>
  <c r="BZ70" i="2"/>
  <c r="CH69" i="2"/>
  <c r="CR68" i="2"/>
  <c r="CB68" i="2"/>
  <c r="CL67" i="2"/>
  <c r="CF66" i="2"/>
  <c r="CP65" i="2"/>
  <c r="BZ65" i="2"/>
  <c r="CJ64" i="2"/>
  <c r="CD63" i="2"/>
  <c r="CN62" i="2"/>
  <c r="CH61" i="2"/>
  <c r="CR60" i="2"/>
  <c r="CB60" i="2"/>
  <c r="CL59" i="2"/>
  <c r="CF58" i="2"/>
  <c r="CP57" i="2"/>
  <c r="BZ57" i="2"/>
  <c r="CE77" i="2"/>
  <c r="CC76" i="2"/>
  <c r="CE75" i="2"/>
  <c r="CC74" i="2"/>
  <c r="CD73" i="2"/>
  <c r="CH72" i="2"/>
  <c r="CM71" i="2"/>
  <c r="CQ70" i="2"/>
  <c r="BY70" i="2"/>
  <c r="CG69" i="2"/>
  <c r="CQ68" i="2"/>
  <c r="CA68" i="2"/>
  <c r="CK67" i="2"/>
  <c r="CE66" i="2"/>
  <c r="CO65" i="2"/>
  <c r="BY65" i="2"/>
  <c r="CI64" i="2"/>
  <c r="CS63" i="2"/>
  <c r="CC63" i="2"/>
  <c r="CM62" i="2"/>
  <c r="CG61" i="2"/>
  <c r="CQ60" i="2"/>
  <c r="CA60" i="2"/>
  <c r="CK59" i="2"/>
  <c r="CE58" i="2"/>
  <c r="CO57" i="2"/>
  <c r="BY57" i="2"/>
  <c r="CD77" i="2"/>
  <c r="CB76" i="2"/>
  <c r="CC75" i="2"/>
  <c r="CB74" i="2"/>
  <c r="CC73" i="2"/>
  <c r="CG72" i="2"/>
  <c r="CK71" i="2"/>
  <c r="CP70" i="2"/>
  <c r="CF69" i="2"/>
  <c r="CP68" i="2"/>
  <c r="BZ68" i="2"/>
  <c r="CJ67" i="2"/>
  <c r="CD66" i="2"/>
  <c r="CN65" i="2"/>
  <c r="CH64" i="2"/>
  <c r="CR63" i="2"/>
  <c r="CB63" i="2"/>
  <c r="CL62" i="2"/>
  <c r="CF61" i="2"/>
  <c r="CP60" i="2"/>
  <c r="BZ60" i="2"/>
  <c r="CJ59" i="2"/>
  <c r="CD58" i="2"/>
  <c r="CN57" i="2"/>
  <c r="CC77" i="2"/>
  <c r="CA76" i="2"/>
  <c r="BY75" i="2"/>
  <c r="CA74" i="2"/>
  <c r="CB73" i="2"/>
  <c r="CF72" i="2"/>
  <c r="CI71" i="2"/>
  <c r="CO70" i="2"/>
  <c r="CE69" i="2"/>
  <c r="CO68" i="2"/>
  <c r="BY68" i="2"/>
  <c r="CI67" i="2"/>
  <c r="CS66" i="2"/>
  <c r="CC66" i="2"/>
  <c r="CM65" i="2"/>
  <c r="CG64" i="2"/>
  <c r="CQ63" i="2"/>
  <c r="CA63" i="2"/>
  <c r="CK62" i="2"/>
  <c r="CE61" i="2"/>
  <c r="CO60" i="2"/>
  <c r="BY60" i="2"/>
  <c r="CI59" i="2"/>
  <c r="CS58" i="2"/>
  <c r="CC58" i="2"/>
  <c r="CM57" i="2"/>
  <c r="CB77" i="2"/>
  <c r="BZ76" i="2"/>
  <c r="BZ74" i="2"/>
  <c r="CA73" i="2"/>
  <c r="CE72" i="2"/>
  <c r="CH71" i="2"/>
  <c r="CN70" i="2"/>
  <c r="CD69" i="2"/>
  <c r="CN68" i="2"/>
  <c r="CH67" i="2"/>
  <c r="CR66" i="2"/>
  <c r="CB66" i="2"/>
  <c r="CL65" i="2"/>
  <c r="CF64" i="2"/>
  <c r="CP63" i="2"/>
  <c r="BZ63" i="2"/>
  <c r="CJ62" i="2"/>
  <c r="CD61" i="2"/>
  <c r="CN60" i="2"/>
  <c r="CH59" i="2"/>
  <c r="CR58" i="2"/>
  <c r="CB58" i="2"/>
  <c r="CL57" i="2"/>
  <c r="BY74" i="2"/>
  <c r="CR69" i="2"/>
  <c r="CG67" i="2"/>
  <c r="CJ65" i="2"/>
  <c r="CM63" i="2"/>
  <c r="CC61" i="2"/>
  <c r="CF59" i="2"/>
  <c r="CI57" i="2"/>
  <c r="CS76" i="2"/>
  <c r="CC69" i="2"/>
  <c r="CF67" i="2"/>
  <c r="CI65" i="2"/>
  <c r="BY63" i="2"/>
  <c r="CB61" i="2"/>
  <c r="CE59" i="2"/>
  <c r="CR76" i="2"/>
  <c r="CG71" i="2"/>
  <c r="CB69" i="2"/>
  <c r="CE67" i="2"/>
  <c r="CA61" i="2"/>
  <c r="CQ76" i="2"/>
  <c r="CS73" i="2"/>
  <c r="CF71" i="2"/>
  <c r="CA69" i="2"/>
  <c r="BY76" i="2"/>
  <c r="CR73" i="2"/>
  <c r="CE71" i="2"/>
  <c r="CQ73" i="2"/>
  <c r="CQ58" i="2"/>
  <c r="BZ73" i="2"/>
  <c r="CQ66" i="2"/>
  <c r="CM60" i="2"/>
  <c r="CP58" i="2"/>
  <c r="BY73" i="2"/>
  <c r="CM68" i="2"/>
  <c r="CP66" i="2"/>
  <c r="CS64" i="2"/>
  <c r="CI62" i="2"/>
  <c r="CL60" i="2"/>
  <c r="CO58" i="2"/>
  <c r="CS75" i="2"/>
  <c r="CM70" i="2"/>
  <c r="CL68" i="2"/>
  <c r="CO66" i="2"/>
  <c r="CE64" i="2"/>
  <c r="CH62" i="2"/>
  <c r="CK60" i="2"/>
  <c r="CA58" i="2"/>
  <c r="CO75" i="2"/>
  <c r="CL70" i="2"/>
  <c r="CK68" i="2"/>
  <c r="CA66" i="2"/>
  <c r="CD64" i="2"/>
  <c r="CG62" i="2"/>
  <c r="BZ58" i="2"/>
  <c r="CK70" i="2"/>
  <c r="BZ66" i="2"/>
  <c r="CC64" i="2"/>
  <c r="BY58" i="2"/>
  <c r="BY66" i="2"/>
  <c r="CD72" i="2"/>
  <c r="CS77" i="2"/>
  <c r="CS74" i="2"/>
  <c r="CC72" i="2"/>
  <c r="CS61" i="2"/>
  <c r="CQ61" i="2"/>
  <c r="CA77" i="2"/>
  <c r="BY77" i="2"/>
  <c r="CG59" i="2"/>
  <c r="CR74" i="2"/>
  <c r="CK57" i="2"/>
  <c r="CQ74" i="2"/>
  <c r="CJ57" i="2"/>
  <c r="CA72" i="2"/>
  <c r="CS69" i="2"/>
  <c r="CK65" i="2"/>
  <c r="CR61" i="2"/>
  <c r="AN77" i="2"/>
  <c r="AH76" i="2"/>
  <c r="AR75" i="2"/>
  <c r="AB75" i="2"/>
  <c r="AL74" i="2"/>
  <c r="AF73" i="2"/>
  <c r="AM77" i="2"/>
  <c r="AG76" i="2"/>
  <c r="AQ75" i="2"/>
  <c r="AA75" i="2"/>
  <c r="AK74" i="2"/>
  <c r="AU73" i="2"/>
  <c r="AE73" i="2"/>
  <c r="AL77" i="2"/>
  <c r="AF76" i="2"/>
  <c r="AP75" i="2"/>
  <c r="AJ74" i="2"/>
  <c r="AT73" i="2"/>
  <c r="AK77" i="2"/>
  <c r="AU76" i="2"/>
  <c r="AE76" i="2"/>
  <c r="AO75" i="2"/>
  <c r="AI74" i="2"/>
  <c r="AS73" i="2"/>
  <c r="AC73" i="2"/>
  <c r="AJ77" i="2"/>
  <c r="AT76" i="2"/>
  <c r="AD76" i="2"/>
  <c r="AN75" i="2"/>
  <c r="AH74" i="2"/>
  <c r="AI77" i="2"/>
  <c r="AS76" i="2"/>
  <c r="AC76" i="2"/>
  <c r="AM75" i="2"/>
  <c r="AG74" i="2"/>
  <c r="AQ73" i="2"/>
  <c r="AA73" i="2"/>
  <c r="AH77" i="2"/>
  <c r="AR76" i="2"/>
  <c r="AB76" i="2"/>
  <c r="AL75" i="2"/>
  <c r="AF74" i="2"/>
  <c r="AP73" i="2"/>
  <c r="AG77" i="2"/>
  <c r="AQ76" i="2"/>
  <c r="AA76" i="2"/>
  <c r="AK75" i="2"/>
  <c r="AU74" i="2"/>
  <c r="AE74" i="2"/>
  <c r="AO73" i="2"/>
  <c r="AF77" i="2"/>
  <c r="AP76" i="2"/>
  <c r="AJ75" i="2"/>
  <c r="AT74" i="2"/>
  <c r="AD74" i="2"/>
  <c r="AN73" i="2"/>
  <c r="CO63" i="2"/>
  <c r="AU77" i="2"/>
  <c r="AE77" i="2"/>
  <c r="CN63" i="2"/>
  <c r="AP77" i="2"/>
  <c r="AN76" i="2"/>
  <c r="AB73" i="2"/>
  <c r="AI72" i="2"/>
  <c r="AS71" i="2"/>
  <c r="AC71" i="2"/>
  <c r="AM70" i="2"/>
  <c r="AG69" i="2"/>
  <c r="AQ68" i="2"/>
  <c r="AA68" i="2"/>
  <c r="AK67" i="2"/>
  <c r="AU66" i="2"/>
  <c r="AE66" i="2"/>
  <c r="AO65" i="2"/>
  <c r="AI64" i="2"/>
  <c r="AS63" i="2"/>
  <c r="AC63" i="2"/>
  <c r="AM62" i="2"/>
  <c r="AG61" i="2"/>
  <c r="AQ60" i="2"/>
  <c r="AA60" i="2"/>
  <c r="AK59" i="2"/>
  <c r="AU58" i="2"/>
  <c r="AE58" i="2"/>
  <c r="AO57" i="2"/>
  <c r="AO77" i="2"/>
  <c r="AM76" i="2"/>
  <c r="AU75" i="2"/>
  <c r="AH72" i="2"/>
  <c r="AR71" i="2"/>
  <c r="AB71" i="2"/>
  <c r="AL70" i="2"/>
  <c r="AF69" i="2"/>
  <c r="AP68" i="2"/>
  <c r="AJ67" i="2"/>
  <c r="AT66" i="2"/>
  <c r="AD66" i="2"/>
  <c r="AN65" i="2"/>
  <c r="AH64" i="2"/>
  <c r="AR63" i="2"/>
  <c r="AB63" i="2"/>
  <c r="AL62" i="2"/>
  <c r="AF61" i="2"/>
  <c r="AP60" i="2"/>
  <c r="AJ59" i="2"/>
  <c r="AT58" i="2"/>
  <c r="AD58" i="2"/>
  <c r="AN57" i="2"/>
  <c r="AD77" i="2"/>
  <c r="AL76" i="2"/>
  <c r="AT75" i="2"/>
  <c r="AS74" i="2"/>
  <c r="AG72" i="2"/>
  <c r="AQ71" i="2"/>
  <c r="AA71" i="2"/>
  <c r="AK70" i="2"/>
  <c r="AU69" i="2"/>
  <c r="AE69" i="2"/>
  <c r="AO68" i="2"/>
  <c r="AI67" i="2"/>
  <c r="AS66" i="2"/>
  <c r="AC66" i="2"/>
  <c r="AM65" i="2"/>
  <c r="AG64" i="2"/>
  <c r="AQ63" i="2"/>
  <c r="AA63" i="2"/>
  <c r="AK62" i="2"/>
  <c r="AU61" i="2"/>
  <c r="AE61" i="2"/>
  <c r="AO60" i="2"/>
  <c r="AI59" i="2"/>
  <c r="AS58" i="2"/>
  <c r="AC58" i="2"/>
  <c r="AM57" i="2"/>
  <c r="AC77" i="2"/>
  <c r="AK76" i="2"/>
  <c r="AS75" i="2"/>
  <c r="AR74" i="2"/>
  <c r="AF72" i="2"/>
  <c r="AP71" i="2"/>
  <c r="AJ70" i="2"/>
  <c r="AT69" i="2"/>
  <c r="AD69" i="2"/>
  <c r="AN68" i="2"/>
  <c r="AH67" i="2"/>
  <c r="AR66" i="2"/>
  <c r="AB66" i="2"/>
  <c r="AL65" i="2"/>
  <c r="AF64" i="2"/>
  <c r="AP63" i="2"/>
  <c r="AJ62" i="2"/>
  <c r="AT61" i="2"/>
  <c r="AD61" i="2"/>
  <c r="AN60" i="2"/>
  <c r="AH59" i="2"/>
  <c r="AR58" i="2"/>
  <c r="AB58" i="2"/>
  <c r="AL57" i="2"/>
  <c r="AB77" i="2"/>
  <c r="AJ76" i="2"/>
  <c r="AI75" i="2"/>
  <c r="AQ74" i="2"/>
  <c r="AU72" i="2"/>
  <c r="AE72" i="2"/>
  <c r="AO71" i="2"/>
  <c r="AI70" i="2"/>
  <c r="AS69" i="2"/>
  <c r="AC69" i="2"/>
  <c r="AM68" i="2"/>
  <c r="AG67" i="2"/>
  <c r="AQ66" i="2"/>
  <c r="AA66" i="2"/>
  <c r="AK65" i="2"/>
  <c r="AU64" i="2"/>
  <c r="AE64" i="2"/>
  <c r="AO63" i="2"/>
  <c r="AI62" i="2"/>
  <c r="AS61" i="2"/>
  <c r="AC61" i="2"/>
  <c r="AM60" i="2"/>
  <c r="AG59" i="2"/>
  <c r="AQ58" i="2"/>
  <c r="AA58" i="2"/>
  <c r="AK57" i="2"/>
  <c r="AA77" i="2"/>
  <c r="AI76" i="2"/>
  <c r="AH75" i="2"/>
  <c r="AP74" i="2"/>
  <c r="AT72" i="2"/>
  <c r="AD72" i="2"/>
  <c r="AN71" i="2"/>
  <c r="AH70" i="2"/>
  <c r="AR69" i="2"/>
  <c r="AB69" i="2"/>
  <c r="AL68" i="2"/>
  <c r="AF67" i="2"/>
  <c r="AP66" i="2"/>
  <c r="AJ65" i="2"/>
  <c r="AT64" i="2"/>
  <c r="AD64" i="2"/>
  <c r="AN63" i="2"/>
  <c r="AH62" i="2"/>
  <c r="AR61" i="2"/>
  <c r="AB61" i="2"/>
  <c r="AL60" i="2"/>
  <c r="AF59" i="2"/>
  <c r="AP58" i="2"/>
  <c r="AJ57" i="2"/>
  <c r="AG75" i="2"/>
  <c r="AO74" i="2"/>
  <c r="AS72" i="2"/>
  <c r="AC72" i="2"/>
  <c r="AM71" i="2"/>
  <c r="AG70" i="2"/>
  <c r="AQ69" i="2"/>
  <c r="AA69" i="2"/>
  <c r="AK68" i="2"/>
  <c r="AU67" i="2"/>
  <c r="AE67" i="2"/>
  <c r="AO66" i="2"/>
  <c r="AI65" i="2"/>
  <c r="AS64" i="2"/>
  <c r="AC64" i="2"/>
  <c r="AM63" i="2"/>
  <c r="AG62" i="2"/>
  <c r="AQ61" i="2"/>
  <c r="AA61" i="2"/>
  <c r="AK60" i="2"/>
  <c r="AU59" i="2"/>
  <c r="AE59" i="2"/>
  <c r="AO58" i="2"/>
  <c r="AI57" i="2"/>
  <c r="AF75" i="2"/>
  <c r="AN74" i="2"/>
  <c r="AR73" i="2"/>
  <c r="AR72" i="2"/>
  <c r="AB72" i="2"/>
  <c r="AL71" i="2"/>
  <c r="AF70" i="2"/>
  <c r="AP69" i="2"/>
  <c r="AJ68" i="2"/>
  <c r="AT67" i="2"/>
  <c r="AD67" i="2"/>
  <c r="AN66" i="2"/>
  <c r="AH65" i="2"/>
  <c r="AR64" i="2"/>
  <c r="AB64" i="2"/>
  <c r="AL63" i="2"/>
  <c r="AF62" i="2"/>
  <c r="AP61" i="2"/>
  <c r="AJ60" i="2"/>
  <c r="AT59" i="2"/>
  <c r="AD59" i="2"/>
  <c r="AN58" i="2"/>
  <c r="AH57" i="2"/>
  <c r="AE75" i="2"/>
  <c r="AM74" i="2"/>
  <c r="AM73" i="2"/>
  <c r="AQ72" i="2"/>
  <c r="AA72" i="2"/>
  <c r="AK71" i="2"/>
  <c r="AU70" i="2"/>
  <c r="AE70" i="2"/>
  <c r="AO69" i="2"/>
  <c r="AI68" i="2"/>
  <c r="AS67" i="2"/>
  <c r="AC67" i="2"/>
  <c r="AM66" i="2"/>
  <c r="AG65" i="2"/>
  <c r="AQ64" i="2"/>
  <c r="AA64" i="2"/>
  <c r="AK63" i="2"/>
  <c r="AU62" i="2"/>
  <c r="AE62" i="2"/>
  <c r="AO61" i="2"/>
  <c r="AI60" i="2"/>
  <c r="AS59" i="2"/>
  <c r="AC59" i="2"/>
  <c r="AM58" i="2"/>
  <c r="AG57" i="2"/>
  <c r="AD75" i="2"/>
  <c r="AC74" i="2"/>
  <c r="AL73" i="2"/>
  <c r="AP72" i="2"/>
  <c r="AJ71" i="2"/>
  <c r="AT70" i="2"/>
  <c r="AD70" i="2"/>
  <c r="AN69" i="2"/>
  <c r="AH68" i="2"/>
  <c r="AR67" i="2"/>
  <c r="AB67" i="2"/>
  <c r="AL66" i="2"/>
  <c r="AF65" i="2"/>
  <c r="AP64" i="2"/>
  <c r="AJ63" i="2"/>
  <c r="AT62" i="2"/>
  <c r="AD62" i="2"/>
  <c r="AN61" i="2"/>
  <c r="AH60" i="2"/>
  <c r="AR59" i="2"/>
  <c r="AB59" i="2"/>
  <c r="AL58" i="2"/>
  <c r="AF57" i="2"/>
  <c r="AC75" i="2"/>
  <c r="AB74" i="2"/>
  <c r="AK73" i="2"/>
  <c r="AO72" i="2"/>
  <c r="AI71" i="2"/>
  <c r="AS70" i="2"/>
  <c r="AC70" i="2"/>
  <c r="AM69" i="2"/>
  <c r="AG68" i="2"/>
  <c r="AQ67" i="2"/>
  <c r="AA67" i="2"/>
  <c r="AK66" i="2"/>
  <c r="AU65" i="2"/>
  <c r="AE65" i="2"/>
  <c r="AO64" i="2"/>
  <c r="AI63" i="2"/>
  <c r="AS62" i="2"/>
  <c r="AC62" i="2"/>
  <c r="AM61" i="2"/>
  <c r="AG60" i="2"/>
  <c r="AQ59" i="2"/>
  <c r="AA59" i="2"/>
  <c r="AK58" i="2"/>
  <c r="AU57" i="2"/>
  <c r="AE57" i="2"/>
  <c r="AA74" i="2"/>
  <c r="AJ73" i="2"/>
  <c r="AN72" i="2"/>
  <c r="AH71" i="2"/>
  <c r="AR70" i="2"/>
  <c r="AB70" i="2"/>
  <c r="AL69" i="2"/>
  <c r="AF68" i="2"/>
  <c r="AP67" i="2"/>
  <c r="AJ66" i="2"/>
  <c r="AT65" i="2"/>
  <c r="AD65" i="2"/>
  <c r="AN64" i="2"/>
  <c r="AH63" i="2"/>
  <c r="AR62" i="2"/>
  <c r="AB62" i="2"/>
  <c r="AL61" i="2"/>
  <c r="AF60" i="2"/>
  <c r="AP59" i="2"/>
  <c r="AJ58" i="2"/>
  <c r="AT57" i="2"/>
  <c r="AD57" i="2"/>
  <c r="AT77" i="2"/>
  <c r="AI73" i="2"/>
  <c r="AM72" i="2"/>
  <c r="AG71" i="2"/>
  <c r="AQ70" i="2"/>
  <c r="AA70" i="2"/>
  <c r="AK69" i="2"/>
  <c r="AU68" i="2"/>
  <c r="AE68" i="2"/>
  <c r="AO67" i="2"/>
  <c r="AI66" i="2"/>
  <c r="AS65" i="2"/>
  <c r="AC65" i="2"/>
  <c r="AM64" i="2"/>
  <c r="AG63" i="2"/>
  <c r="AQ62" i="2"/>
  <c r="AA62" i="2"/>
  <c r="AK61" i="2"/>
  <c r="AU60" i="2"/>
  <c r="AE60" i="2"/>
  <c r="AO59" i="2"/>
  <c r="AI58" i="2"/>
  <c r="AS57" i="2"/>
  <c r="AC57" i="2"/>
  <c r="AK72" i="2"/>
  <c r="AN70" i="2"/>
  <c r="AD68" i="2"/>
  <c r="AG66" i="2"/>
  <c r="AJ64" i="2"/>
  <c r="AC60" i="2"/>
  <c r="AF58" i="2"/>
  <c r="AJ72" i="2"/>
  <c r="AC68" i="2"/>
  <c r="AF66" i="2"/>
  <c r="AB60" i="2"/>
  <c r="AB68" i="2"/>
  <c r="AR57" i="2"/>
  <c r="AR65" i="2"/>
  <c r="AU63" i="2"/>
  <c r="AN59" i="2"/>
  <c r="AQ57" i="2"/>
  <c r="AU71" i="2"/>
  <c r="AN67" i="2"/>
  <c r="AQ65" i="2"/>
  <c r="AT63" i="2"/>
  <c r="AJ61" i="2"/>
  <c r="AM59" i="2"/>
  <c r="AP57" i="2"/>
  <c r="AT71" i="2"/>
  <c r="AJ69" i="2"/>
  <c r="AM67" i="2"/>
  <c r="AP65" i="2"/>
  <c r="AF63" i="2"/>
  <c r="AI61" i="2"/>
  <c r="AL59" i="2"/>
  <c r="AB57" i="2"/>
  <c r="AF71" i="2"/>
  <c r="AI69" i="2"/>
  <c r="AL67" i="2"/>
  <c r="AB65" i="2"/>
  <c r="AE63" i="2"/>
  <c r="AH61" i="2"/>
  <c r="AA57" i="2"/>
  <c r="AH73" i="2"/>
  <c r="AE71" i="2"/>
  <c r="AH69" i="2"/>
  <c r="AA65" i="2"/>
  <c r="AD63" i="2"/>
  <c r="AS77" i="2"/>
  <c r="AG73" i="2"/>
  <c r="AD71" i="2"/>
  <c r="AR77" i="2"/>
  <c r="AD73" i="2"/>
  <c r="AQ77" i="2"/>
  <c r="AT60" i="2"/>
  <c r="AL64" i="2"/>
  <c r="AK64" i="2"/>
  <c r="AO76" i="2"/>
  <c r="AP62" i="2"/>
  <c r="AO62" i="2"/>
  <c r="AN62" i="2"/>
  <c r="AH66" i="2"/>
  <c r="AL72" i="2"/>
  <c r="AS60" i="2"/>
  <c r="AR60" i="2"/>
  <c r="AT68" i="2"/>
  <c r="AP70" i="2"/>
  <c r="AD60" i="2"/>
  <c r="AH58" i="2"/>
  <c r="AO70" i="2"/>
  <c r="AS68" i="2"/>
  <c r="AG58" i="2"/>
  <c r="AR68" i="2"/>
  <c r="C16" i="1"/>
  <c r="DH29" i="2"/>
  <c r="DR28" i="2"/>
  <c r="DB28" i="2"/>
  <c r="DL27" i="2"/>
  <c r="DF26" i="2"/>
  <c r="DP25" i="2"/>
  <c r="CZ25" i="2"/>
  <c r="DJ24" i="2"/>
  <c r="DD23" i="2"/>
  <c r="DR29" i="2"/>
  <c r="DA29" i="2"/>
  <c r="DI28" i="2"/>
  <c r="DQ27" i="2"/>
  <c r="CZ27" i="2"/>
  <c r="DH26" i="2"/>
  <c r="DO25" i="2"/>
  <c r="DF24" i="2"/>
  <c r="DN23" i="2"/>
  <c r="DF22" i="2"/>
  <c r="DP21" i="2"/>
  <c r="CZ21" i="2"/>
  <c r="DJ20" i="2"/>
  <c r="DD19" i="2"/>
  <c r="DN18" i="2"/>
  <c r="DH17" i="2"/>
  <c r="DR16" i="2"/>
  <c r="DB16" i="2"/>
  <c r="DL15" i="2"/>
  <c r="DF14" i="2"/>
  <c r="DP13" i="2"/>
  <c r="CZ13" i="2"/>
  <c r="DJ12" i="2"/>
  <c r="DD11" i="2"/>
  <c r="DN10" i="2"/>
  <c r="DH9" i="2"/>
  <c r="DQ29" i="2"/>
  <c r="CZ29" i="2"/>
  <c r="DH28" i="2"/>
  <c r="DP27" i="2"/>
  <c r="CY27" i="2"/>
  <c r="DG26" i="2"/>
  <c r="DN25" i="2"/>
  <c r="DE24" i="2"/>
  <c r="DM23" i="2"/>
  <c r="DE22" i="2"/>
  <c r="DO21" i="2"/>
  <c r="CY21" i="2"/>
  <c r="DI20" i="2"/>
  <c r="DS19" i="2"/>
  <c r="DC19" i="2"/>
  <c r="DM18" i="2"/>
  <c r="DG17" i="2"/>
  <c r="DQ16" i="2"/>
  <c r="DA16" i="2"/>
  <c r="DK15" i="2"/>
  <c r="DE14" i="2"/>
  <c r="DP29" i="2"/>
  <c r="CY29" i="2"/>
  <c r="DG28" i="2"/>
  <c r="DO27" i="2"/>
  <c r="DE26" i="2"/>
  <c r="DM25" i="2"/>
  <c r="DD24" i="2"/>
  <c r="DL23" i="2"/>
  <c r="DD22" i="2"/>
  <c r="DN21" i="2"/>
  <c r="DH20" i="2"/>
  <c r="DO29" i="2"/>
  <c r="DF28" i="2"/>
  <c r="DN27" i="2"/>
  <c r="DD26" i="2"/>
  <c r="DL25" i="2"/>
  <c r="DC24" i="2"/>
  <c r="DK23" i="2"/>
  <c r="DS22" i="2"/>
  <c r="DC22" i="2"/>
  <c r="DM21" i="2"/>
  <c r="DG20" i="2"/>
  <c r="DQ19" i="2"/>
  <c r="DN29" i="2"/>
  <c r="DE28" i="2"/>
  <c r="DM27" i="2"/>
  <c r="DC26" i="2"/>
  <c r="DK25" i="2"/>
  <c r="DS24" i="2"/>
  <c r="DB24" i="2"/>
  <c r="DJ23" i="2"/>
  <c r="DR22" i="2"/>
  <c r="DB22" i="2"/>
  <c r="DL21" i="2"/>
  <c r="DF20" i="2"/>
  <c r="DP19" i="2"/>
  <c r="CZ19" i="2"/>
  <c r="DM29" i="2"/>
  <c r="DD28" i="2"/>
  <c r="DK27" i="2"/>
  <c r="DS26" i="2"/>
  <c r="DB26" i="2"/>
  <c r="DJ25" i="2"/>
  <c r="DR24" i="2"/>
  <c r="DA24" i="2"/>
  <c r="DI23" i="2"/>
  <c r="DQ22" i="2"/>
  <c r="DA22" i="2"/>
  <c r="DK21" i="2"/>
  <c r="DE20" i="2"/>
  <c r="DO19" i="2"/>
  <c r="CY19" i="2"/>
  <c r="DI18" i="2"/>
  <c r="DS17" i="2"/>
  <c r="DC17" i="2"/>
  <c r="DM16" i="2"/>
  <c r="DG15" i="2"/>
  <c r="DQ14" i="2"/>
  <c r="DA14" i="2"/>
  <c r="DK13" i="2"/>
  <c r="DE12" i="2"/>
  <c r="DO11" i="2"/>
  <c r="CY11" i="2"/>
  <c r="DI10" i="2"/>
  <c r="DS9" i="2"/>
  <c r="DC9" i="2"/>
  <c r="DL29" i="2"/>
  <c r="DC28" i="2"/>
  <c r="DJ27" i="2"/>
  <c r="DR26" i="2"/>
  <c r="DA26" i="2"/>
  <c r="DI25" i="2"/>
  <c r="DQ24" i="2"/>
  <c r="CZ24" i="2"/>
  <c r="DH23" i="2"/>
  <c r="DP22" i="2"/>
  <c r="CZ22" i="2"/>
  <c r="DJ21" i="2"/>
  <c r="DD20" i="2"/>
  <c r="DN19" i="2"/>
  <c r="DH18" i="2"/>
  <c r="DR17" i="2"/>
  <c r="DB17" i="2"/>
  <c r="DL16" i="2"/>
  <c r="DF15" i="2"/>
  <c r="DP14" i="2"/>
  <c r="CZ14" i="2"/>
  <c r="DJ13" i="2"/>
  <c r="DD12" i="2"/>
  <c r="DN11" i="2"/>
  <c r="DH10" i="2"/>
  <c r="DK29" i="2"/>
  <c r="DS28" i="2"/>
  <c r="DA28" i="2"/>
  <c r="DI27" i="2"/>
  <c r="DQ26" i="2"/>
  <c r="CZ26" i="2"/>
  <c r="DH25" i="2"/>
  <c r="DP24" i="2"/>
  <c r="CY24" i="2"/>
  <c r="DG23" i="2"/>
  <c r="DO22" i="2"/>
  <c r="CY22" i="2"/>
  <c r="DI21" i="2"/>
  <c r="DS20" i="2"/>
  <c r="DC20" i="2"/>
  <c r="DM19" i="2"/>
  <c r="DG18" i="2"/>
  <c r="DQ17" i="2"/>
  <c r="DA17" i="2"/>
  <c r="DK16" i="2"/>
  <c r="DE15" i="2"/>
  <c r="DO14" i="2"/>
  <c r="CY14" i="2"/>
  <c r="DI13" i="2"/>
  <c r="DS12" i="2"/>
  <c r="DC12" i="2"/>
  <c r="DM11" i="2"/>
  <c r="DG10" i="2"/>
  <c r="DQ9" i="2"/>
  <c r="DA9" i="2"/>
  <c r="DJ29" i="2"/>
  <c r="DQ28" i="2"/>
  <c r="CZ28" i="2"/>
  <c r="DH27" i="2"/>
  <c r="DP26" i="2"/>
  <c r="CY26" i="2"/>
  <c r="DG25" i="2"/>
  <c r="DO24" i="2"/>
  <c r="DF23" i="2"/>
  <c r="DN22" i="2"/>
  <c r="DH21" i="2"/>
  <c r="DR20" i="2"/>
  <c r="DB20" i="2"/>
  <c r="DL19" i="2"/>
  <c r="DF18" i="2"/>
  <c r="DP17" i="2"/>
  <c r="CZ17" i="2"/>
  <c r="DS29" i="2"/>
  <c r="DB29" i="2"/>
  <c r="DJ28" i="2"/>
  <c r="DR27" i="2"/>
  <c r="DA27" i="2"/>
  <c r="DI26" i="2"/>
  <c r="DQ25" i="2"/>
  <c r="CY25" i="2"/>
  <c r="DG24" i="2"/>
  <c r="DO23" i="2"/>
  <c r="DG22" i="2"/>
  <c r="DQ21" i="2"/>
  <c r="DO28" i="2"/>
  <c r="DS27" i="2"/>
  <c r="DL26" i="2"/>
  <c r="DE25" i="2"/>
  <c r="DH24" i="2"/>
  <c r="DA23" i="2"/>
  <c r="DB21" i="2"/>
  <c r="DA20" i="2"/>
  <c r="DJ19" i="2"/>
  <c r="CZ18" i="2"/>
  <c r="DN17" i="2"/>
  <c r="DG16" i="2"/>
  <c r="DB15" i="2"/>
  <c r="DS13" i="2"/>
  <c r="DQ12" i="2"/>
  <c r="DR11" i="2"/>
  <c r="DQ10" i="2"/>
  <c r="DR9" i="2"/>
  <c r="DN28" i="2"/>
  <c r="DG27" i="2"/>
  <c r="DK26" i="2"/>
  <c r="DD25" i="2"/>
  <c r="CZ23" i="2"/>
  <c r="DA21" i="2"/>
  <c r="CZ20" i="2"/>
  <c r="DI19" i="2"/>
  <c r="CY18" i="2"/>
  <c r="DM17" i="2"/>
  <c r="DF16" i="2"/>
  <c r="DA15" i="2"/>
  <c r="DR13" i="2"/>
  <c r="DP12" i="2"/>
  <c r="DQ11" i="2"/>
  <c r="DP10" i="2"/>
  <c r="DP9" i="2"/>
  <c r="DM28" i="2"/>
  <c r="DF27" i="2"/>
  <c r="DJ26" i="2"/>
  <c r="DC25" i="2"/>
  <c r="CY23" i="2"/>
  <c r="CY20" i="2"/>
  <c r="DH19" i="2"/>
  <c r="DL17" i="2"/>
  <c r="DE16" i="2"/>
  <c r="CZ15" i="2"/>
  <c r="DS14" i="2"/>
  <c r="DQ13" i="2"/>
  <c r="DO12" i="2"/>
  <c r="DP11" i="2"/>
  <c r="DO10" i="2"/>
  <c r="DO9" i="2"/>
  <c r="DI29" i="2"/>
  <c r="DL28" i="2"/>
  <c r="DE27" i="2"/>
  <c r="DB25" i="2"/>
  <c r="DG19" i="2"/>
  <c r="DS18" i="2"/>
  <c r="DK17" i="2"/>
  <c r="DD16" i="2"/>
  <c r="CY15" i="2"/>
  <c r="DR14" i="2"/>
  <c r="DO13" i="2"/>
  <c r="DN12" i="2"/>
  <c r="DL11" i="2"/>
  <c r="DM10" i="2"/>
  <c r="DN9" i="2"/>
  <c r="DG29" i="2"/>
  <c r="DK28" i="2"/>
  <c r="DD27" i="2"/>
  <c r="DA25" i="2"/>
  <c r="DF19" i="2"/>
  <c r="DR18" i="2"/>
  <c r="DJ17" i="2"/>
  <c r="DC16" i="2"/>
  <c r="DS15" i="2"/>
  <c r="DN14" i="2"/>
  <c r="DN13" i="2"/>
  <c r="DM12" i="2"/>
  <c r="DK11" i="2"/>
  <c r="DL10" i="2"/>
  <c r="DM9" i="2"/>
  <c r="DF29" i="2"/>
  <c r="CY28" i="2"/>
  <c r="DC27" i="2"/>
  <c r="DE19" i="2"/>
  <c r="DQ18" i="2"/>
  <c r="DI17" i="2"/>
  <c r="CZ16" i="2"/>
  <c r="DR15" i="2"/>
  <c r="DM14" i="2"/>
  <c r="DM13" i="2"/>
  <c r="DL12" i="2"/>
  <c r="DJ11" i="2"/>
  <c r="DK10" i="2"/>
  <c r="DL9" i="2"/>
  <c r="DE29" i="2"/>
  <c r="DB27" i="2"/>
  <c r="DB19" i="2"/>
  <c r="DP18" i="2"/>
  <c r="DF17" i="2"/>
  <c r="CY16" i="2"/>
  <c r="DQ15" i="2"/>
  <c r="DL14" i="2"/>
  <c r="DL13" i="2"/>
  <c r="DK12" i="2"/>
  <c r="DI11" i="2"/>
  <c r="DJ10" i="2"/>
  <c r="DK9" i="2"/>
  <c r="DD29" i="2"/>
  <c r="DA19" i="2"/>
  <c r="DO18" i="2"/>
  <c r="DE17" i="2"/>
  <c r="DP15" i="2"/>
  <c r="DK14" i="2"/>
  <c r="DH13" i="2"/>
  <c r="DI12" i="2"/>
  <c r="DH11" i="2"/>
  <c r="DF10" i="2"/>
  <c r="DJ9" i="2"/>
  <c r="DC29" i="2"/>
  <c r="DO15" i="2"/>
  <c r="DJ14" i="2"/>
  <c r="DG13" i="2"/>
  <c r="DH12" i="2"/>
  <c r="DG11" i="2"/>
  <c r="DE10" i="2"/>
  <c r="DI9" i="2"/>
  <c r="DM22" i="2"/>
  <c r="DQ20" i="2"/>
  <c r="DS16" i="2"/>
  <c r="DN15" i="2"/>
  <c r="DI14" i="2"/>
  <c r="DF13" i="2"/>
  <c r="DG12" i="2"/>
  <c r="DF11" i="2"/>
  <c r="DD10" i="2"/>
  <c r="DG9" i="2"/>
  <c r="DL22" i="2"/>
  <c r="DP20" i="2"/>
  <c r="DP16" i="2"/>
  <c r="DM15" i="2"/>
  <c r="DH14" i="2"/>
  <c r="DE13" i="2"/>
  <c r="DF12" i="2"/>
  <c r="DE11" i="2"/>
  <c r="DC10" i="2"/>
  <c r="DF9" i="2"/>
  <c r="DN24" i="2"/>
  <c r="DK22" i="2"/>
  <c r="DO20" i="2"/>
  <c r="DO16" i="2"/>
  <c r="DJ15" i="2"/>
  <c r="DG14" i="2"/>
  <c r="DD13" i="2"/>
  <c r="DB12" i="2"/>
  <c r="DC11" i="2"/>
  <c r="DB10" i="2"/>
  <c r="DE9" i="2"/>
  <c r="DM24" i="2"/>
  <c r="DJ22" i="2"/>
  <c r="DN20" i="2"/>
  <c r="DN16" i="2"/>
  <c r="DI15" i="2"/>
  <c r="DD14" i="2"/>
  <c r="DC13" i="2"/>
  <c r="DA12" i="2"/>
  <c r="DB11" i="2"/>
  <c r="DA10" i="2"/>
  <c r="DD9" i="2"/>
  <c r="DO26" i="2"/>
  <c r="DL24" i="2"/>
  <c r="DI22" i="2"/>
  <c r="DM20" i="2"/>
  <c r="DJ16" i="2"/>
  <c r="DH15" i="2"/>
  <c r="DC14" i="2"/>
  <c r="DB13" i="2"/>
  <c r="CZ12" i="2"/>
  <c r="DA11" i="2"/>
  <c r="CZ10" i="2"/>
  <c r="DB9" i="2"/>
  <c r="DN26" i="2"/>
  <c r="DK24" i="2"/>
  <c r="DH22" i="2"/>
  <c r="DL20" i="2"/>
  <c r="DI16" i="2"/>
  <c r="DD15" i="2"/>
  <c r="DB14" i="2"/>
  <c r="DA13" i="2"/>
  <c r="CY12" i="2"/>
  <c r="CZ11" i="2"/>
  <c r="CY10" i="2"/>
  <c r="CZ9" i="2"/>
  <c r="DP28" i="2"/>
  <c r="DM26" i="2"/>
  <c r="DI24" i="2"/>
  <c r="DK20" i="2"/>
  <c r="DO17" i="2"/>
  <c r="DH16" i="2"/>
  <c r="DC15" i="2"/>
  <c r="CY13" i="2"/>
  <c r="CY9" i="2"/>
  <c r="DL18" i="2"/>
  <c r="DD17" i="2"/>
  <c r="DS23" i="2"/>
  <c r="DS21" i="2"/>
  <c r="DK18" i="2"/>
  <c r="CY17" i="2"/>
  <c r="DR23" i="2"/>
  <c r="DR21" i="2"/>
  <c r="DJ18" i="2"/>
  <c r="DQ23" i="2"/>
  <c r="DG21" i="2"/>
  <c r="DE18" i="2"/>
  <c r="DP23" i="2"/>
  <c r="DF21" i="2"/>
  <c r="DD18" i="2"/>
  <c r="DS25" i="2"/>
  <c r="DE23" i="2"/>
  <c r="DE21" i="2"/>
  <c r="DC18" i="2"/>
  <c r="DR25" i="2"/>
  <c r="DF25" i="2"/>
  <c r="DC23" i="2"/>
  <c r="DB23" i="2"/>
  <c r="DR12" i="2"/>
  <c r="DD21" i="2"/>
  <c r="DC21" i="2"/>
  <c r="DS11" i="2"/>
  <c r="DR19" i="2"/>
  <c r="DS10" i="2"/>
  <c r="DK19" i="2"/>
  <c r="DR10" i="2"/>
  <c r="DB18" i="2"/>
  <c r="DA18" i="2"/>
  <c r="BK29" i="2"/>
  <c r="BU28" i="2"/>
  <c r="BE28" i="2"/>
  <c r="BO27" i="2"/>
  <c r="BI26" i="2"/>
  <c r="BS25" i="2"/>
  <c r="BC25" i="2"/>
  <c r="BM24" i="2"/>
  <c r="BG23" i="2"/>
  <c r="BQ22" i="2"/>
  <c r="BA22" i="2"/>
  <c r="BK21" i="2"/>
  <c r="BU20" i="2"/>
  <c r="BE20" i="2"/>
  <c r="BO19" i="2"/>
  <c r="BI18" i="2"/>
  <c r="BS17" i="2"/>
  <c r="BC17" i="2"/>
  <c r="BF29" i="2"/>
  <c r="BP28" i="2"/>
  <c r="BJ27" i="2"/>
  <c r="BT26" i="2"/>
  <c r="BD26" i="2"/>
  <c r="BN25" i="2"/>
  <c r="BH24" i="2"/>
  <c r="BR23" i="2"/>
  <c r="BB23" i="2"/>
  <c r="BL22" i="2"/>
  <c r="BF21" i="2"/>
  <c r="BP20" i="2"/>
  <c r="BJ19" i="2"/>
  <c r="BT18" i="2"/>
  <c r="BD18" i="2"/>
  <c r="BN17" i="2"/>
  <c r="BU29" i="2"/>
  <c r="BE29" i="2"/>
  <c r="BO28" i="2"/>
  <c r="BT29" i="2"/>
  <c r="BD29" i="2"/>
  <c r="BN28" i="2"/>
  <c r="BH27" i="2"/>
  <c r="BR26" i="2"/>
  <c r="BB26" i="2"/>
  <c r="BL25" i="2"/>
  <c r="BF24" i="2"/>
  <c r="BP23" i="2"/>
  <c r="BJ22" i="2"/>
  <c r="BT21" i="2"/>
  <c r="BD21" i="2"/>
  <c r="BN20" i="2"/>
  <c r="BH19" i="2"/>
  <c r="BP29" i="2"/>
  <c r="BQ28" i="2"/>
  <c r="BP27" i="2"/>
  <c r="BQ26" i="2"/>
  <c r="BU25" i="2"/>
  <c r="BA25" i="2"/>
  <c r="BC24" i="2"/>
  <c r="BF23" i="2"/>
  <c r="BH22" i="2"/>
  <c r="BL21" i="2"/>
  <c r="BM20" i="2"/>
  <c r="BQ19" i="2"/>
  <c r="BS18" i="2"/>
  <c r="BA18" i="2"/>
  <c r="BG17" i="2"/>
  <c r="BN16" i="2"/>
  <c r="BH15" i="2"/>
  <c r="BR14" i="2"/>
  <c r="BB14" i="2"/>
  <c r="BL13" i="2"/>
  <c r="BF12" i="2"/>
  <c r="BP11" i="2"/>
  <c r="BJ10" i="2"/>
  <c r="BT9" i="2"/>
  <c r="BD9" i="2"/>
  <c r="BO29" i="2"/>
  <c r="BM28" i="2"/>
  <c r="BN27" i="2"/>
  <c r="BP26" i="2"/>
  <c r="BT25" i="2"/>
  <c r="BU24" i="2"/>
  <c r="BB24" i="2"/>
  <c r="BE23" i="2"/>
  <c r="BG22" i="2"/>
  <c r="BJ21" i="2"/>
  <c r="BL20" i="2"/>
  <c r="BP19" i="2"/>
  <c r="BR18" i="2"/>
  <c r="BF17" i="2"/>
  <c r="BM16" i="2"/>
  <c r="BG15" i="2"/>
  <c r="BQ14" i="2"/>
  <c r="BA14" i="2"/>
  <c r="BK13" i="2"/>
  <c r="BU12" i="2"/>
  <c r="BE12" i="2"/>
  <c r="BO11" i="2"/>
  <c r="BI10" i="2"/>
  <c r="BS9" i="2"/>
  <c r="BC9" i="2"/>
  <c r="BN29" i="2"/>
  <c r="BL28" i="2"/>
  <c r="BM27" i="2"/>
  <c r="BO26" i="2"/>
  <c r="BR25" i="2"/>
  <c r="BT24" i="2"/>
  <c r="BA24" i="2"/>
  <c r="BD23" i="2"/>
  <c r="BF22" i="2"/>
  <c r="BI21" i="2"/>
  <c r="BK20" i="2"/>
  <c r="BN19" i="2"/>
  <c r="BQ18" i="2"/>
  <c r="BE17" i="2"/>
  <c r="BL16" i="2"/>
  <c r="BF15" i="2"/>
  <c r="BP14" i="2"/>
  <c r="BJ13" i="2"/>
  <c r="BT12" i="2"/>
  <c r="BD12" i="2"/>
  <c r="BN11" i="2"/>
  <c r="BH10" i="2"/>
  <c r="BR9" i="2"/>
  <c r="BB9" i="2"/>
  <c r="BM29" i="2"/>
  <c r="BK28" i="2"/>
  <c r="BL27" i="2"/>
  <c r="BN26" i="2"/>
  <c r="BQ25" i="2"/>
  <c r="BS24" i="2"/>
  <c r="BC23" i="2"/>
  <c r="BE22" i="2"/>
  <c r="BH21" i="2"/>
  <c r="BJ20" i="2"/>
  <c r="BM19" i="2"/>
  <c r="BP18" i="2"/>
  <c r="BD17" i="2"/>
  <c r="BK16" i="2"/>
  <c r="BU15" i="2"/>
  <c r="BE15" i="2"/>
  <c r="BO14" i="2"/>
  <c r="BI13" i="2"/>
  <c r="BS12" i="2"/>
  <c r="BC12" i="2"/>
  <c r="BM11" i="2"/>
  <c r="BG10" i="2"/>
  <c r="BQ9" i="2"/>
  <c r="BA9" i="2"/>
  <c r="BL29" i="2"/>
  <c r="BJ28" i="2"/>
  <c r="BK27" i="2"/>
  <c r="BM26" i="2"/>
  <c r="BP25" i="2"/>
  <c r="BR24" i="2"/>
  <c r="BU23" i="2"/>
  <c r="BA23" i="2"/>
  <c r="BD22" i="2"/>
  <c r="BG21" i="2"/>
  <c r="BI20" i="2"/>
  <c r="BL19" i="2"/>
  <c r="BO18" i="2"/>
  <c r="BU17" i="2"/>
  <c r="BB17" i="2"/>
  <c r="BJ16" i="2"/>
  <c r="BT15" i="2"/>
  <c r="BD15" i="2"/>
  <c r="BN14" i="2"/>
  <c r="BH13" i="2"/>
  <c r="BR12" i="2"/>
  <c r="BB12" i="2"/>
  <c r="BL11" i="2"/>
  <c r="BF10" i="2"/>
  <c r="BP9" i="2"/>
  <c r="BJ29" i="2"/>
  <c r="BI28" i="2"/>
  <c r="BI27" i="2"/>
  <c r="BL26" i="2"/>
  <c r="BO25" i="2"/>
  <c r="BQ24" i="2"/>
  <c r="BT23" i="2"/>
  <c r="BC22" i="2"/>
  <c r="BE21" i="2"/>
  <c r="BH20" i="2"/>
  <c r="BK19" i="2"/>
  <c r="BN18" i="2"/>
  <c r="BT17" i="2"/>
  <c r="BA17" i="2"/>
  <c r="BI16" i="2"/>
  <c r="BS15" i="2"/>
  <c r="BC15" i="2"/>
  <c r="BM14" i="2"/>
  <c r="BG13" i="2"/>
  <c r="BQ12" i="2"/>
  <c r="BA12" i="2"/>
  <c r="BK11" i="2"/>
  <c r="BU10" i="2"/>
  <c r="BE10" i="2"/>
  <c r="BO9" i="2"/>
  <c r="BI29" i="2"/>
  <c r="BH28" i="2"/>
  <c r="BG27" i="2"/>
  <c r="BK26" i="2"/>
  <c r="BM25" i="2"/>
  <c r="BP24" i="2"/>
  <c r="BS23" i="2"/>
  <c r="BU22" i="2"/>
  <c r="BB22" i="2"/>
  <c r="BC21" i="2"/>
  <c r="BG20" i="2"/>
  <c r="BI19" i="2"/>
  <c r="BM18" i="2"/>
  <c r="BR17" i="2"/>
  <c r="BH16" i="2"/>
  <c r="BR15" i="2"/>
  <c r="BB15" i="2"/>
  <c r="BL14" i="2"/>
  <c r="BF13" i="2"/>
  <c r="BP12" i="2"/>
  <c r="BJ11" i="2"/>
  <c r="BT10" i="2"/>
  <c r="BD10" i="2"/>
  <c r="BN9" i="2"/>
  <c r="BH29" i="2"/>
  <c r="BG28" i="2"/>
  <c r="BF27" i="2"/>
  <c r="BJ26" i="2"/>
  <c r="BK25" i="2"/>
  <c r="BO24" i="2"/>
  <c r="BQ23" i="2"/>
  <c r="BT22" i="2"/>
  <c r="BB21" i="2"/>
  <c r="BF20" i="2"/>
  <c r="BG19" i="2"/>
  <c r="BL18" i="2"/>
  <c r="BQ17" i="2"/>
  <c r="BG16" i="2"/>
  <c r="BQ15" i="2"/>
  <c r="BA15" i="2"/>
  <c r="BK14" i="2"/>
  <c r="BU13" i="2"/>
  <c r="BE13" i="2"/>
  <c r="BO12" i="2"/>
  <c r="BI11" i="2"/>
  <c r="BS10" i="2"/>
  <c r="BC10" i="2"/>
  <c r="BM9" i="2"/>
  <c r="BG29" i="2"/>
  <c r="BF28" i="2"/>
  <c r="BE27" i="2"/>
  <c r="BH26" i="2"/>
  <c r="BJ25" i="2"/>
  <c r="BN24" i="2"/>
  <c r="BO23" i="2"/>
  <c r="BS22" i="2"/>
  <c r="BU21" i="2"/>
  <c r="BA21" i="2"/>
  <c r="BD20" i="2"/>
  <c r="BF19" i="2"/>
  <c r="BK18" i="2"/>
  <c r="BP17" i="2"/>
  <c r="BC29" i="2"/>
  <c r="BD28" i="2"/>
  <c r="BD27" i="2"/>
  <c r="BG26" i="2"/>
  <c r="BI25" i="2"/>
  <c r="BL24" i="2"/>
  <c r="BN23" i="2"/>
  <c r="BR22" i="2"/>
  <c r="BS21" i="2"/>
  <c r="BC20" i="2"/>
  <c r="BE19" i="2"/>
  <c r="BJ18" i="2"/>
  <c r="BB29" i="2"/>
  <c r="BC28" i="2"/>
  <c r="BC27" i="2"/>
  <c r="BF26" i="2"/>
  <c r="BH25" i="2"/>
  <c r="BA29" i="2"/>
  <c r="BB28" i="2"/>
  <c r="BU27" i="2"/>
  <c r="BB27" i="2"/>
  <c r="BE26" i="2"/>
  <c r="BG25" i="2"/>
  <c r="BJ24" i="2"/>
  <c r="BL23" i="2"/>
  <c r="BO22" i="2"/>
  <c r="BQ21" i="2"/>
  <c r="BT20" i="2"/>
  <c r="BA20" i="2"/>
  <c r="BC19" i="2"/>
  <c r="BG18" i="2"/>
  <c r="BL17" i="2"/>
  <c r="BS16" i="2"/>
  <c r="BC16" i="2"/>
  <c r="BM15" i="2"/>
  <c r="BG14" i="2"/>
  <c r="BQ13" i="2"/>
  <c r="BA13" i="2"/>
  <c r="BK12" i="2"/>
  <c r="BA27" i="2"/>
  <c r="BF25" i="2"/>
  <c r="BI22" i="2"/>
  <c r="BB19" i="2"/>
  <c r="BU16" i="2"/>
  <c r="BB13" i="2"/>
  <c r="BI12" i="2"/>
  <c r="BR11" i="2"/>
  <c r="BF9" i="2"/>
  <c r="BE25" i="2"/>
  <c r="BS20" i="2"/>
  <c r="BA19" i="2"/>
  <c r="BT16" i="2"/>
  <c r="BH12" i="2"/>
  <c r="BQ11" i="2"/>
  <c r="BE9" i="2"/>
  <c r="BD25" i="2"/>
  <c r="BM23" i="2"/>
  <c r="BR20" i="2"/>
  <c r="BR16" i="2"/>
  <c r="BG12" i="2"/>
  <c r="BH11" i="2"/>
  <c r="BR10" i="2"/>
  <c r="BB25" i="2"/>
  <c r="BK23" i="2"/>
  <c r="BQ20" i="2"/>
  <c r="BQ16" i="2"/>
  <c r="BG11" i="2"/>
  <c r="BQ10" i="2"/>
  <c r="BJ23" i="2"/>
  <c r="BO20" i="2"/>
  <c r="BO17" i="2"/>
  <c r="BP16" i="2"/>
  <c r="BP15" i="2"/>
  <c r="BF11" i="2"/>
  <c r="BP10" i="2"/>
  <c r="BT28" i="2"/>
  <c r="BI23" i="2"/>
  <c r="BB20" i="2"/>
  <c r="BM17" i="2"/>
  <c r="BO16" i="2"/>
  <c r="BO15" i="2"/>
  <c r="BE11" i="2"/>
  <c r="BO10" i="2"/>
  <c r="BS28" i="2"/>
  <c r="BU26" i="2"/>
  <c r="BH23" i="2"/>
  <c r="BR21" i="2"/>
  <c r="BK17" i="2"/>
  <c r="BF16" i="2"/>
  <c r="BN15" i="2"/>
  <c r="BU14" i="2"/>
  <c r="BD11" i="2"/>
  <c r="BN10" i="2"/>
  <c r="BR28" i="2"/>
  <c r="BS26" i="2"/>
  <c r="BP21" i="2"/>
  <c r="BJ17" i="2"/>
  <c r="BE16" i="2"/>
  <c r="BL15" i="2"/>
  <c r="BT14" i="2"/>
  <c r="BT13" i="2"/>
  <c r="BC11" i="2"/>
  <c r="BM10" i="2"/>
  <c r="BA28" i="2"/>
  <c r="BC26" i="2"/>
  <c r="BK24" i="2"/>
  <c r="BO21" i="2"/>
  <c r="BU18" i="2"/>
  <c r="BI17" i="2"/>
  <c r="BD16" i="2"/>
  <c r="BK15" i="2"/>
  <c r="BS14" i="2"/>
  <c r="BS13" i="2"/>
  <c r="BB11" i="2"/>
  <c r="BL10" i="2"/>
  <c r="BA26" i="2"/>
  <c r="BI24" i="2"/>
  <c r="BN21" i="2"/>
  <c r="BH18" i="2"/>
  <c r="BH17" i="2"/>
  <c r="BB16" i="2"/>
  <c r="BJ15" i="2"/>
  <c r="BJ14" i="2"/>
  <c r="BR13" i="2"/>
  <c r="BA11" i="2"/>
  <c r="BK10" i="2"/>
  <c r="BU9" i="2"/>
  <c r="BG24" i="2"/>
  <c r="BM21" i="2"/>
  <c r="BF18" i="2"/>
  <c r="BA16" i="2"/>
  <c r="BI15" i="2"/>
  <c r="BI14" i="2"/>
  <c r="BP13" i="2"/>
  <c r="BB10" i="2"/>
  <c r="BL9" i="2"/>
  <c r="BE24" i="2"/>
  <c r="BU19" i="2"/>
  <c r="BE18" i="2"/>
  <c r="BH14" i="2"/>
  <c r="BO13" i="2"/>
  <c r="BA10" i="2"/>
  <c r="BK9" i="2"/>
  <c r="BT27" i="2"/>
  <c r="BD24" i="2"/>
  <c r="BP22" i="2"/>
  <c r="BT19" i="2"/>
  <c r="BC18" i="2"/>
  <c r="BF14" i="2"/>
  <c r="BN13" i="2"/>
  <c r="BN12" i="2"/>
  <c r="BJ9" i="2"/>
  <c r="BQ29" i="2"/>
  <c r="BQ27" i="2"/>
  <c r="BK22" i="2"/>
  <c r="BD19" i="2"/>
  <c r="BC14" i="2"/>
  <c r="BC13" i="2"/>
  <c r="BJ12" i="2"/>
  <c r="BS11" i="2"/>
  <c r="BG9" i="2"/>
  <c r="BR19" i="2"/>
  <c r="BT11" i="2"/>
  <c r="BB18" i="2"/>
  <c r="BS29" i="2"/>
  <c r="BR29" i="2"/>
  <c r="BS27" i="2"/>
  <c r="BI9" i="2"/>
  <c r="BR27" i="2"/>
  <c r="BH9" i="2"/>
  <c r="BE14" i="2"/>
  <c r="BD14" i="2"/>
  <c r="BN22" i="2"/>
  <c r="BM13" i="2"/>
  <c r="BM22" i="2"/>
  <c r="BD13" i="2"/>
  <c r="R29" i="2"/>
  <c r="L28" i="2"/>
  <c r="V27" i="2"/>
  <c r="F27" i="2"/>
  <c r="P26" i="2"/>
  <c r="J25" i="2"/>
  <c r="T24" i="2"/>
  <c r="D24" i="2"/>
  <c r="N23" i="2"/>
  <c r="H22" i="2"/>
  <c r="Q29" i="2"/>
  <c r="K28" i="2"/>
  <c r="U27" i="2"/>
  <c r="E27" i="2"/>
  <c r="O26" i="2"/>
  <c r="I25" i="2"/>
  <c r="S24" i="2"/>
  <c r="C24" i="2"/>
  <c r="M23" i="2"/>
  <c r="W22" i="2"/>
  <c r="G22" i="2"/>
  <c r="P29" i="2"/>
  <c r="J28" i="2"/>
  <c r="T27" i="2"/>
  <c r="D27" i="2"/>
  <c r="N26" i="2"/>
  <c r="H25" i="2"/>
  <c r="R24" i="2"/>
  <c r="L23" i="2"/>
  <c r="V22" i="2"/>
  <c r="F22" i="2"/>
  <c r="O29" i="2"/>
  <c r="I28" i="2"/>
  <c r="S27" i="2"/>
  <c r="C27" i="2"/>
  <c r="M26" i="2"/>
  <c r="W25" i="2"/>
  <c r="G25" i="2"/>
  <c r="BS19" i="2"/>
  <c r="S29" i="2"/>
  <c r="Q28" i="2"/>
  <c r="O27" i="2"/>
  <c r="Q26" i="2"/>
  <c r="O25" i="2"/>
  <c r="N24" i="2"/>
  <c r="R23" i="2"/>
  <c r="S22" i="2"/>
  <c r="J21" i="2"/>
  <c r="T20" i="2"/>
  <c r="D20" i="2"/>
  <c r="N19" i="2"/>
  <c r="H18" i="2"/>
  <c r="R17" i="2"/>
  <c r="L16" i="2"/>
  <c r="V15" i="2"/>
  <c r="F15" i="2"/>
  <c r="P14" i="2"/>
  <c r="J13" i="2"/>
  <c r="T12" i="2"/>
  <c r="D12" i="2"/>
  <c r="N11" i="2"/>
  <c r="H10" i="2"/>
  <c r="R9" i="2"/>
  <c r="F10" i="2"/>
  <c r="P9" i="2"/>
  <c r="Q12" i="2"/>
  <c r="D18" i="2"/>
  <c r="H16" i="2"/>
  <c r="V13" i="2"/>
  <c r="D10" i="2"/>
  <c r="Q15" i="2"/>
  <c r="O12" i="2"/>
  <c r="S10" i="2"/>
  <c r="N29" i="2"/>
  <c r="P28" i="2"/>
  <c r="N27" i="2"/>
  <c r="L26" i="2"/>
  <c r="N25" i="2"/>
  <c r="M24" i="2"/>
  <c r="Q23" i="2"/>
  <c r="R22" i="2"/>
  <c r="I21" i="2"/>
  <c r="S20" i="2"/>
  <c r="C20" i="2"/>
  <c r="M19" i="2"/>
  <c r="W18" i="2"/>
  <c r="G18" i="2"/>
  <c r="Q17" i="2"/>
  <c r="K16" i="2"/>
  <c r="U15" i="2"/>
  <c r="E15" i="2"/>
  <c r="O14" i="2"/>
  <c r="I13" i="2"/>
  <c r="S12" i="2"/>
  <c r="C12" i="2"/>
  <c r="M11" i="2"/>
  <c r="W10" i="2"/>
  <c r="G10" i="2"/>
  <c r="Q9" i="2"/>
  <c r="K11" i="2"/>
  <c r="U10" i="2"/>
  <c r="O9" i="2"/>
  <c r="N17" i="2"/>
  <c r="P12" i="2"/>
  <c r="N9" i="2"/>
  <c r="U13" i="2"/>
  <c r="C10" i="2"/>
  <c r="M29" i="2"/>
  <c r="O28" i="2"/>
  <c r="M27" i="2"/>
  <c r="K26" i="2"/>
  <c r="M25" i="2"/>
  <c r="L24" i="2"/>
  <c r="P23" i="2"/>
  <c r="Q22" i="2"/>
  <c r="H21" i="2"/>
  <c r="R20" i="2"/>
  <c r="L19" i="2"/>
  <c r="V18" i="2"/>
  <c r="F18" i="2"/>
  <c r="P17" i="2"/>
  <c r="J16" i="2"/>
  <c r="T15" i="2"/>
  <c r="D15" i="2"/>
  <c r="N14" i="2"/>
  <c r="H13" i="2"/>
  <c r="R12" i="2"/>
  <c r="L11" i="2"/>
  <c r="V10" i="2"/>
  <c r="G13" i="2"/>
  <c r="L14" i="2"/>
  <c r="L29" i="2"/>
  <c r="N28" i="2"/>
  <c r="L27" i="2"/>
  <c r="J26" i="2"/>
  <c r="L25" i="2"/>
  <c r="K24" i="2"/>
  <c r="O23" i="2"/>
  <c r="P22" i="2"/>
  <c r="W21" i="2"/>
  <c r="G21" i="2"/>
  <c r="Q20" i="2"/>
  <c r="K19" i="2"/>
  <c r="U18" i="2"/>
  <c r="E18" i="2"/>
  <c r="O17" i="2"/>
  <c r="I16" i="2"/>
  <c r="S15" i="2"/>
  <c r="C15" i="2"/>
  <c r="M14" i="2"/>
  <c r="W13" i="2"/>
  <c r="F13" i="2"/>
  <c r="J11" i="2"/>
  <c r="K14" i="2"/>
  <c r="E13" i="2"/>
  <c r="I11" i="2"/>
  <c r="M9" i="2"/>
  <c r="T13" i="2"/>
  <c r="K29" i="2"/>
  <c r="M28" i="2"/>
  <c r="K27" i="2"/>
  <c r="I26" i="2"/>
  <c r="K25" i="2"/>
  <c r="J24" i="2"/>
  <c r="K23" i="2"/>
  <c r="O22" i="2"/>
  <c r="V21" i="2"/>
  <c r="F21" i="2"/>
  <c r="P20" i="2"/>
  <c r="J19" i="2"/>
  <c r="T18" i="2"/>
  <c r="R15" i="2"/>
  <c r="J29" i="2"/>
  <c r="H28" i="2"/>
  <c r="J27" i="2"/>
  <c r="H26" i="2"/>
  <c r="F25" i="2"/>
  <c r="I24" i="2"/>
  <c r="J23" i="2"/>
  <c r="N22" i="2"/>
  <c r="U21" i="2"/>
  <c r="E21" i="2"/>
  <c r="O20" i="2"/>
  <c r="I19" i="2"/>
  <c r="S18" i="2"/>
  <c r="C18" i="2"/>
  <c r="M17" i="2"/>
  <c r="W16" i="2"/>
  <c r="G16" i="2"/>
  <c r="I29" i="2"/>
  <c r="G28" i="2"/>
  <c r="I27" i="2"/>
  <c r="G26" i="2"/>
  <c r="E25" i="2"/>
  <c r="H24" i="2"/>
  <c r="I23" i="2"/>
  <c r="M22" i="2"/>
  <c r="T21" i="2"/>
  <c r="D21" i="2"/>
  <c r="N20" i="2"/>
  <c r="H19" i="2"/>
  <c r="R18" i="2"/>
  <c r="L17" i="2"/>
  <c r="V16" i="2"/>
  <c r="F16" i="2"/>
  <c r="P15" i="2"/>
  <c r="BM12" i="2"/>
  <c r="H29" i="2"/>
  <c r="F28" i="2"/>
  <c r="H27" i="2"/>
  <c r="F26" i="2"/>
  <c r="D25" i="2"/>
  <c r="G24" i="2"/>
  <c r="H23" i="2"/>
  <c r="L22" i="2"/>
  <c r="S21" i="2"/>
  <c r="C21" i="2"/>
  <c r="M20" i="2"/>
  <c r="W19" i="2"/>
  <c r="G19" i="2"/>
  <c r="Q18" i="2"/>
  <c r="BL12" i="2"/>
  <c r="G29" i="2"/>
  <c r="E28" i="2"/>
  <c r="G27" i="2"/>
  <c r="E26" i="2"/>
  <c r="C25" i="2"/>
  <c r="F24" i="2"/>
  <c r="G23" i="2"/>
  <c r="K22" i="2"/>
  <c r="R21" i="2"/>
  <c r="L20" i="2"/>
  <c r="V19" i="2"/>
  <c r="F19" i="2"/>
  <c r="P18" i="2"/>
  <c r="J17" i="2"/>
  <c r="T16" i="2"/>
  <c r="D16" i="2"/>
  <c r="N15" i="2"/>
  <c r="H14" i="2"/>
  <c r="R13" i="2"/>
  <c r="L12" i="2"/>
  <c r="V11" i="2"/>
  <c r="BU11" i="2"/>
  <c r="F29" i="2"/>
  <c r="D28" i="2"/>
  <c r="D26" i="2"/>
  <c r="V25" i="2"/>
  <c r="E24" i="2"/>
  <c r="F23" i="2"/>
  <c r="J22" i="2"/>
  <c r="Q21" i="2"/>
  <c r="K20" i="2"/>
  <c r="U19" i="2"/>
  <c r="E19" i="2"/>
  <c r="O18" i="2"/>
  <c r="I17" i="2"/>
  <c r="S16" i="2"/>
  <c r="C16" i="2"/>
  <c r="M15" i="2"/>
  <c r="W14" i="2"/>
  <c r="G14" i="2"/>
  <c r="E29" i="2"/>
  <c r="W28" i="2"/>
  <c r="C28" i="2"/>
  <c r="W26" i="2"/>
  <c r="C26" i="2"/>
  <c r="U25" i="2"/>
  <c r="W24" i="2"/>
  <c r="E23" i="2"/>
  <c r="I22" i="2"/>
  <c r="D29" i="2"/>
  <c r="V28" i="2"/>
  <c r="V26" i="2"/>
  <c r="T25" i="2"/>
  <c r="V24" i="2"/>
  <c r="W23" i="2"/>
  <c r="D23" i="2"/>
  <c r="E22" i="2"/>
  <c r="O21" i="2"/>
  <c r="I20" i="2"/>
  <c r="S19" i="2"/>
  <c r="C19" i="2"/>
  <c r="M18" i="2"/>
  <c r="W17" i="2"/>
  <c r="G17" i="2"/>
  <c r="Q16" i="2"/>
  <c r="K15" i="2"/>
  <c r="U14" i="2"/>
  <c r="E14" i="2"/>
  <c r="O13" i="2"/>
  <c r="W29" i="2"/>
  <c r="C29" i="2"/>
  <c r="U28" i="2"/>
  <c r="W27" i="2"/>
  <c r="U26" i="2"/>
  <c r="S25" i="2"/>
  <c r="U24" i="2"/>
  <c r="V23" i="2"/>
  <c r="C23" i="2"/>
  <c r="D22" i="2"/>
  <c r="N21" i="2"/>
  <c r="H20" i="2"/>
  <c r="R19" i="2"/>
  <c r="L18" i="2"/>
  <c r="T29" i="2"/>
  <c r="T26" i="2"/>
  <c r="E20" i="2"/>
  <c r="K17" i="2"/>
  <c r="N16" i="2"/>
  <c r="J15" i="2"/>
  <c r="R14" i="2"/>
  <c r="Q13" i="2"/>
  <c r="P11" i="2"/>
  <c r="I10" i="2"/>
  <c r="W9" i="2"/>
  <c r="P13" i="2"/>
  <c r="F14" i="2"/>
  <c r="S9" i="2"/>
  <c r="U12" i="2"/>
  <c r="J9" i="2"/>
  <c r="M12" i="2"/>
  <c r="S26" i="2"/>
  <c r="P21" i="2"/>
  <c r="N18" i="2"/>
  <c r="H17" i="2"/>
  <c r="M16" i="2"/>
  <c r="I15" i="2"/>
  <c r="Q14" i="2"/>
  <c r="O11" i="2"/>
  <c r="V9" i="2"/>
  <c r="D11" i="2"/>
  <c r="N12" i="2"/>
  <c r="O19" i="2"/>
  <c r="P27" i="2"/>
  <c r="M10" i="2"/>
  <c r="R26" i="2"/>
  <c r="U23" i="2"/>
  <c r="M21" i="2"/>
  <c r="K18" i="2"/>
  <c r="F17" i="2"/>
  <c r="E16" i="2"/>
  <c r="H15" i="2"/>
  <c r="J14" i="2"/>
  <c r="N13" i="2"/>
  <c r="H11" i="2"/>
  <c r="U9" i="2"/>
  <c r="W12" i="2"/>
  <c r="F11" i="2"/>
  <c r="E11" i="2"/>
  <c r="T10" i="2"/>
  <c r="Q25" i="2"/>
  <c r="R10" i="2"/>
  <c r="K12" i="2"/>
  <c r="P16" i="2"/>
  <c r="L15" i="2"/>
  <c r="T23" i="2"/>
  <c r="L21" i="2"/>
  <c r="J18" i="2"/>
  <c r="E17" i="2"/>
  <c r="G15" i="2"/>
  <c r="I14" i="2"/>
  <c r="M13" i="2"/>
  <c r="G11" i="2"/>
  <c r="T9" i="2"/>
  <c r="I18" i="2"/>
  <c r="L13" i="2"/>
  <c r="P19" i="2"/>
  <c r="C13" i="2"/>
  <c r="P25" i="2"/>
  <c r="Q10" i="2"/>
  <c r="S11" i="2"/>
  <c r="F12" i="2"/>
  <c r="T28" i="2"/>
  <c r="S23" i="2"/>
  <c r="K21" i="2"/>
  <c r="D17" i="2"/>
  <c r="K9" i="2"/>
  <c r="U22" i="2"/>
  <c r="H9" i="2"/>
  <c r="U11" i="2"/>
  <c r="N10" i="2"/>
  <c r="Q24" i="2"/>
  <c r="T11" i="2"/>
  <c r="S28" i="2"/>
  <c r="T19" i="2"/>
  <c r="C17" i="2"/>
  <c r="D14" i="2"/>
  <c r="K13" i="2"/>
  <c r="V12" i="2"/>
  <c r="L9" i="2"/>
  <c r="I9" i="2"/>
  <c r="D19" i="2"/>
  <c r="P10" i="2"/>
  <c r="F9" i="2"/>
  <c r="V17" i="2"/>
  <c r="U17" i="2"/>
  <c r="L10" i="2"/>
  <c r="T17" i="2"/>
  <c r="E12" i="2"/>
  <c r="R28" i="2"/>
  <c r="R25" i="2"/>
  <c r="Q19" i="2"/>
  <c r="C14" i="2"/>
  <c r="D13" i="2"/>
  <c r="C11" i="2"/>
  <c r="R11" i="2"/>
  <c r="H12" i="2"/>
  <c r="V14" i="2"/>
  <c r="O15" i="2"/>
  <c r="U29" i="2"/>
  <c r="S13" i="2"/>
  <c r="U16" i="2"/>
  <c r="G12" i="2"/>
  <c r="K10" i="2"/>
  <c r="F20" i="2"/>
  <c r="R27" i="2"/>
  <c r="T22" i="2"/>
  <c r="W20" i="2"/>
  <c r="J12" i="2"/>
  <c r="W11" i="2"/>
  <c r="O10" i="2"/>
  <c r="G9" i="2"/>
  <c r="Q27" i="2"/>
  <c r="V20" i="2"/>
  <c r="I12" i="2"/>
  <c r="P24" i="2"/>
  <c r="T14" i="2"/>
  <c r="C22" i="2"/>
  <c r="J20" i="2"/>
  <c r="Q11" i="2"/>
  <c r="U20" i="2"/>
  <c r="E9" i="2"/>
  <c r="C9" i="2"/>
  <c r="S17" i="2"/>
  <c r="R16" i="2"/>
  <c r="W15" i="2"/>
  <c r="D9" i="2"/>
  <c r="V29" i="2"/>
  <c r="O24" i="2"/>
  <c r="G20" i="2"/>
  <c r="O16" i="2"/>
  <c r="S14" i="2"/>
  <c r="J10" i="2"/>
</calcChain>
</file>

<file path=xl/sharedStrings.xml><?xml version="1.0" encoding="utf-8"?>
<sst xmlns="http://schemas.openxmlformats.org/spreadsheetml/2006/main" count="250" uniqueCount="137">
  <si>
    <t>AERO RESPONSE-SURFACE HEATMAPS</t>
  </si>
  <si>
    <t>21×21 grids per pairing, 12 outputs each (36 heatmaps total). Non-axis variables held at CCD center: FT=8.0, RT=8.0, Yaw=4.0, Roll=0.5, Steer=12.73. Colors are conditional formatting — green=low, yellow=mid, red=high (per grid).</t>
  </si>
  <si>
    <t>━ Front Track × Rear Track  (other vars at CCD center) ━</t>
  </si>
  <si>
    <t>COP Sprung [% Front]  (Front Track [in]  vs  Rear Track [in])</t>
  </si>
  <si>
    <t>COP Unsprung [% Front]  (Front Track [in]  vs  Rear Track [in])</t>
  </si>
  <si>
    <t>Rear Track [in]  \  Front Track [in]</t>
  </si>
  <si>
    <t>COP Sprung Height [in]  (Front Track [in]  vs  Rear Track [in])</t>
  </si>
  <si>
    <t>COP Unsprung Height [in]  (Front Track [in]  vs  Rear Track [in])</t>
  </si>
  <si>
    <t>SCz  (Front Track [in]  vs  Rear Track [in])</t>
  </si>
  <si>
    <t>SCx  (Front Track [in]  vs  Rear Track [in])</t>
  </si>
  <si>
    <t>Total Wheel Drag [lbf]  (Front Track [in]  vs  Rear Track [in])</t>
  </si>
  <si>
    <t>Total DF [lbf]  (Front Track [in]  vs  Rear Track [in])</t>
  </si>
  <si>
    <t>Total Drag [lbf]  (Front Track [in]  vs  Rear Track [in])</t>
  </si>
  <si>
    <t>Front Wing DF [lbf]  (Front Track [in]  vs  Rear Track [in])</t>
  </si>
  <si>
    <t>Undertray DF [lbf]  (Front Track [in]  vs  Rear Track [in])</t>
  </si>
  <si>
    <t>Rear Wing DF [lbf]  (Front Track [in]  vs  Rear Track [in])</t>
  </si>
  <si>
    <t>━ Yaw × Roll  (other vars at CCD center) ━</t>
  </si>
  <si>
    <t>COP Sprung [% Front]  (Yaw Angle [deg]  vs  Roll Angle [deg])</t>
  </si>
  <si>
    <t>COP Unsprung [% Front]  (Yaw Angle [deg]  vs  Roll Angle [deg])</t>
  </si>
  <si>
    <t>Roll Angle [deg]  \  Yaw Angle [deg]</t>
  </si>
  <si>
    <t>COP Sprung Height [in]  (Yaw Angle [deg]  vs  Roll Angle [deg])</t>
  </si>
  <si>
    <t>COP Unsprung Height [in]  (Yaw Angle [deg]  vs  Roll Angle [deg])</t>
  </si>
  <si>
    <t>SCz  (Yaw Angle [deg]  vs  Roll Angle [deg])</t>
  </si>
  <si>
    <t>SCx  (Yaw Angle [deg]  vs  Roll Angle [deg])</t>
  </si>
  <si>
    <t>Total Wheel Drag [lbf]  (Yaw Angle [deg]  vs  Roll Angle [deg])</t>
  </si>
  <si>
    <t>Total DF [lbf]  (Yaw Angle [deg]  vs  Roll Angle [deg])</t>
  </si>
  <si>
    <t>Total Drag [lbf]  (Yaw Angle [deg]  vs  Roll Angle [deg])</t>
  </si>
  <si>
    <t>Front Wing DF [lbf]  (Yaw Angle [deg]  vs  Roll Angle [deg])</t>
  </si>
  <si>
    <t>Undertray DF [lbf]  (Yaw Angle [deg]  vs  Roll Angle [deg])</t>
  </si>
  <si>
    <t>Rear Wing DF [lbf]  (Yaw Angle [deg]  vs  Roll Angle [deg])</t>
  </si>
  <si>
    <t>━ Yaw × Steer  (other vars at CCD center) ━</t>
  </si>
  <si>
    <t>COP Sprung [% Front]  (Yaw Angle [deg]  vs  Steer Angle [deg])</t>
  </si>
  <si>
    <t>COP Unsprung [% Front]  (Yaw Angle [deg]  vs  Steer Angle [deg])</t>
  </si>
  <si>
    <t>Steer Angle [deg]  \  Yaw Angle [deg]</t>
  </si>
  <si>
    <t>COP Sprung Height [in]  (Yaw Angle [deg]  vs  Steer Angle [deg])</t>
  </si>
  <si>
    <t>COP Unsprung Height [in]  (Yaw Angle [deg]  vs  Steer Angle [deg])</t>
  </si>
  <si>
    <t>SCz  (Yaw Angle [deg]  vs  Steer Angle [deg])</t>
  </si>
  <si>
    <t>SCx  (Yaw Angle [deg]  vs  Steer Angle [deg])</t>
  </si>
  <si>
    <t>Total Wheel Drag [lbf]  (Yaw Angle [deg]  vs  Steer Angle [deg])</t>
  </si>
  <si>
    <t>Total DF [lbf]  (Yaw Angle [deg]  vs  Steer Angle [deg])</t>
  </si>
  <si>
    <t>Total Drag [lbf]  (Yaw Angle [deg]  vs  Steer Angle [deg])</t>
  </si>
  <si>
    <t>Front Wing DF [lbf]  (Yaw Angle [deg]  vs  Steer Angle [deg])</t>
  </si>
  <si>
    <t>Undertray DF [lbf]  (Yaw Angle [deg]  vs  Steer Angle [deg])</t>
  </si>
  <si>
    <t>Rear Wing DF [lbf]  (Yaw Angle [deg]  vs  Steer Angle [deg])</t>
  </si>
  <si>
    <t>AERO RESPONSE-SURFACE CALCULATOR</t>
  </si>
  <si>
    <t>Enter any combination of inputs in the yellow cells. Predicted outputs update automatically using the LINEST quadratic fits.</t>
  </si>
  <si>
    <t>INPUTS</t>
  </si>
  <si>
    <t>Variable</t>
  </si>
  <si>
    <t>Value</t>
  </si>
  <si>
    <t>Valid Range</t>
  </si>
  <si>
    <t>Front Track [in]</t>
  </si>
  <si>
    <t>7.4 – 8.6</t>
  </si>
  <si>
    <t>Rear Track [in]</t>
  </si>
  <si>
    <t>Yaw Angle [deg]</t>
  </si>
  <si>
    <t>0 – 8</t>
  </si>
  <si>
    <t>Roll Angle [deg]</t>
  </si>
  <si>
    <t>0 – 1.0</t>
  </si>
  <si>
    <t>Steer Angle [deg]</t>
  </si>
  <si>
    <t>0 – 25.99</t>
  </si>
  <si>
    <t>PREDICTED OUTPUTS</t>
  </si>
  <si>
    <t>Output</t>
  </si>
  <si>
    <t>Predicted Value</t>
  </si>
  <si>
    <t>Notes</t>
  </si>
  <si>
    <t>COP Sprung [% Front]</t>
  </si>
  <si>
    <t>from LINEST row 48</t>
  </si>
  <si>
    <t>COP Unsprung [% Front]</t>
  </si>
  <si>
    <t>from LINEST row 50</t>
  </si>
  <si>
    <t>COP Sprung Height [in]</t>
  </si>
  <si>
    <t>from LINEST row 52</t>
  </si>
  <si>
    <t>COP Unsprung Height [in]</t>
  </si>
  <si>
    <t>from LINEST row 54</t>
  </si>
  <si>
    <t>SCz</t>
  </si>
  <si>
    <t>from LINEST row 56</t>
  </si>
  <si>
    <t>SCx</t>
  </si>
  <si>
    <t>from LINEST row 58</t>
  </si>
  <si>
    <t>Total Wheel Lift [lbf]</t>
  </si>
  <si>
    <t>no LINEST row for this output</t>
  </si>
  <si>
    <t>Total Wheel Drag [lbf]</t>
  </si>
  <si>
    <t>from LINEST row 60</t>
  </si>
  <si>
    <t>Total DF [lbf]</t>
  </si>
  <si>
    <t>from LINEST row 62</t>
  </si>
  <si>
    <t>Total Drag [lbf]</t>
  </si>
  <si>
    <t>from LINEST row 64</t>
  </si>
  <si>
    <t>Front Wing DF [lbf]</t>
  </si>
  <si>
    <t>from LINEST row 66</t>
  </si>
  <si>
    <t>Undertray DF [lbf]</t>
  </si>
  <si>
    <t>from LINEST row 68</t>
  </si>
  <si>
    <t>Rear Wing DF [lbf]</t>
  </si>
  <si>
    <t>from LINEST row 70</t>
  </si>
  <si>
    <t>How it works: each predicted value = intercept + Σ(coefficientₖ × termₖ) using the 21-term quadratic fit on the LINEST VARS sheet.</t>
  </si>
  <si>
    <t>Variable convention: X1=Front Track, X2=Rear Track, X3=Yaw, X4=Roll, X5=Steer. Terms = 5 linear + 5 squared + 10 two-way interactions.</t>
  </si>
  <si>
    <t>Predictions are valid only INSIDE the ranges shown. Extrapolating beyond the CCD envelope will give unreliable numbers.</t>
  </si>
  <si>
    <t>Total Wheel Lift has no LINEST row in LINEST VARS — add a LINEST for CCD column N if you want it fitted, then point the calculator at it.</t>
  </si>
  <si>
    <t>CENTRAL COMPOSITE DESIGN  |  Face-centered, 5 factors = 44 runs. Fit a quadratic response surface, then interpolate any point.</t>
  </si>
  <si>
    <t>Run #</t>
  </si>
  <si>
    <t>Type</t>
  </si>
  <si>
    <t>REF Steer Angle [deg]</t>
  </si>
  <si>
    <t>Corner</t>
  </si>
  <si>
    <t>Center</t>
  </si>
  <si>
    <t>Face</t>
  </si>
  <si>
    <t>Standard Terms</t>
  </si>
  <si>
    <t>Squared Terms</t>
  </si>
  <si>
    <t>Interaction Terms</t>
  </si>
  <si>
    <t>X1</t>
  </si>
  <si>
    <t>X2</t>
  </si>
  <si>
    <t>X3</t>
  </si>
  <si>
    <t>X4</t>
  </si>
  <si>
    <t>X5</t>
  </si>
  <si>
    <t>X1^2</t>
  </si>
  <si>
    <t>X2^2</t>
  </si>
  <si>
    <t>X3^2</t>
  </si>
  <si>
    <t>X4^2</t>
  </si>
  <si>
    <t>X5^2</t>
  </si>
  <si>
    <t>X1X2</t>
  </si>
  <si>
    <t>X1X3</t>
  </si>
  <si>
    <t>X1X4</t>
  </si>
  <si>
    <t>X1X5</t>
  </si>
  <si>
    <t>X2X3</t>
  </si>
  <si>
    <t>X2X4</t>
  </si>
  <si>
    <t>X2X5</t>
  </si>
  <si>
    <t>X3X4</t>
  </si>
  <si>
    <t>X3X5</t>
  </si>
  <si>
    <t>X4X5</t>
  </si>
  <si>
    <t>Run</t>
  </si>
  <si>
    <t>Max Steer [°]</t>
  </si>
  <si>
    <t>FL Max [°]</t>
  </si>
  <si>
    <t>Ackerman [%]</t>
  </si>
  <si>
    <t>FR Max [°]</t>
  </si>
  <si>
    <t>assuming left hand turn at max steering angle with auto x setup</t>
  </si>
  <si>
    <t>assuming left hand turn at max steering angle with no toe</t>
  </si>
  <si>
    <t>Ref Area [m^2]</t>
  </si>
  <si>
    <t>FL Half [°]</t>
  </si>
  <si>
    <t>Flat</t>
  </si>
  <si>
    <t>COP [% Front]</t>
  </si>
  <si>
    <t xml:space="preserve">                    Front Track [in]
Rear Track [in]</t>
  </si>
  <si>
    <t>Wheel Lift FL [lbf]</t>
  </si>
  <si>
    <t>Wheel Drag FL [lbf]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</si>
</sst>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##"/>
    <numFmt numFmtId="166" formatCode="0.0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</font>
    <font>
      <i/>
      <sz val="10"/>
      <name val="Calibri"/>
    </font>
    <font>
      <b/>
      <sz val="12"/>
      <name val="Calibri"/>
    </font>
    <font>
      <sz val="12"/>
      <name val="Calibri"/>
    </font>
    <font>
      <b/>
      <sz val="13"/>
      <name val="Calibri"/>
    </font>
    <font>
      <i/>
      <sz val="9"/>
      <name val="Calibri"/>
    </font>
    <font>
      <b/>
      <sz val="12"/>
      <color rgb="FF1F4E78"/>
      <name val="Calibri"/>
    </font>
    <font>
      <b/>
      <sz val="11"/>
      <name val="Calibri"/>
    </font>
    <font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ck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0" borderId="17" xfId="0" applyBorder="1"/>
    <xf numFmtId="0" fontId="0" fillId="8" borderId="1" xfId="0" applyFill="1" applyBorder="1"/>
    <xf numFmtId="0" fontId="7" fillId="0" borderId="0" xfId="0" applyFont="1" applyAlignment="1">
      <alignment horizontal="left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7" fillId="10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64" fontId="7" fillId="11" borderId="8" xfId="0" applyNumberFormat="1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165" fontId="12" fillId="13" borderId="21" xfId="0" applyNumberFormat="1" applyFont="1" applyFill="1" applyBorder="1" applyAlignment="1">
      <alignment horizontal="center" vertical="center"/>
    </xf>
    <xf numFmtId="165" fontId="12" fillId="13" borderId="22" xfId="0" applyNumberFormat="1" applyFont="1" applyFill="1" applyBorder="1" applyAlignment="1">
      <alignment horizontal="center" vertical="center"/>
    </xf>
    <xf numFmtId="165" fontId="12" fillId="13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165" fontId="12" fillId="13" borderId="26" xfId="0" applyNumberFormat="1" applyFont="1" applyFill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 vertical="center"/>
    </xf>
    <xf numFmtId="2" fontId="13" fillId="0" borderId="28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164" fontId="13" fillId="0" borderId="28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6" fontId="13" fillId="0" borderId="27" xfId="0" applyNumberFormat="1" applyFont="1" applyBorder="1" applyAlignment="1">
      <alignment horizontal="center" vertical="center"/>
    </xf>
    <xf numFmtId="166" fontId="13" fillId="0" borderId="2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1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18" xfId="0" applyBorder="1"/>
    <xf numFmtId="0" fontId="0" fillId="0" borderId="17" xfId="0" applyBorder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F33"/>
  <sheetViews>
    <sheetView topLeftCell="A15" workbookViewId="0">
      <selection activeCell="C23" sqref="C23"/>
    </sheetView>
  </sheetViews>
  <sheetFormatPr defaultRowHeight="15" x14ac:dyDescent="0.25"/>
  <cols>
    <col min="1" max="1" width="14.5703125" customWidth="1"/>
    <col min="2" max="2" width="22.140625" bestFit="1" customWidth="1"/>
    <col min="3" max="3" width="14.42578125" bestFit="1" customWidth="1"/>
    <col min="4" max="4" width="20.7109375" bestFit="1" customWidth="1"/>
  </cols>
  <sheetData>
    <row r="2" spans="2:6" ht="18.75" customHeight="1" x14ac:dyDescent="0.25">
      <c r="B2" s="65" t="s">
        <v>44</v>
      </c>
      <c r="C2" s="60"/>
      <c r="D2" s="60"/>
      <c r="E2" s="60"/>
      <c r="F2" s="60"/>
    </row>
    <row r="3" spans="2:6" x14ac:dyDescent="0.25">
      <c r="B3" s="64" t="s">
        <v>45</v>
      </c>
      <c r="C3" s="60"/>
      <c r="D3" s="60"/>
      <c r="E3" s="60"/>
      <c r="F3" s="60"/>
    </row>
    <row r="5" spans="2:6" ht="16.5" customHeight="1" thickBot="1" x14ac:dyDescent="0.3">
      <c r="B5" s="30" t="s">
        <v>46</v>
      </c>
    </row>
    <row r="6" spans="2:6" ht="15.75" customHeight="1" x14ac:dyDescent="0.25">
      <c r="B6" s="31" t="s">
        <v>47</v>
      </c>
      <c r="C6" s="32" t="s">
        <v>48</v>
      </c>
      <c r="D6" s="33" t="s">
        <v>49</v>
      </c>
    </row>
    <row r="7" spans="2:6" ht="15.75" customHeight="1" x14ac:dyDescent="0.25">
      <c r="B7" s="34" t="s">
        <v>50</v>
      </c>
      <c r="C7" s="35">
        <v>8</v>
      </c>
      <c r="D7" s="36" t="s">
        <v>51</v>
      </c>
    </row>
    <row r="8" spans="2:6" ht="15.75" customHeight="1" x14ac:dyDescent="0.25">
      <c r="B8" s="34" t="s">
        <v>52</v>
      </c>
      <c r="C8" s="35">
        <v>8</v>
      </c>
      <c r="D8" s="36" t="s">
        <v>51</v>
      </c>
    </row>
    <row r="9" spans="2:6" ht="15.75" customHeight="1" x14ac:dyDescent="0.25">
      <c r="B9" s="34" t="s">
        <v>53</v>
      </c>
      <c r="C9" s="35">
        <v>0</v>
      </c>
      <c r="D9" s="36" t="s">
        <v>54</v>
      </c>
    </row>
    <row r="10" spans="2:6" ht="15.75" customHeight="1" x14ac:dyDescent="0.25">
      <c r="B10" s="34" t="s">
        <v>55</v>
      </c>
      <c r="C10" s="35">
        <v>0</v>
      </c>
      <c r="D10" s="36" t="s">
        <v>56</v>
      </c>
    </row>
    <row r="11" spans="2:6" ht="16.5" customHeight="1" thickBot="1" x14ac:dyDescent="0.3">
      <c r="B11" s="37" t="s">
        <v>57</v>
      </c>
      <c r="C11" s="38">
        <v>0</v>
      </c>
      <c r="D11" s="39" t="s">
        <v>58</v>
      </c>
    </row>
    <row r="14" spans="2:6" ht="16.5" customHeight="1" thickBot="1" x14ac:dyDescent="0.3">
      <c r="B14" s="30" t="s">
        <v>59</v>
      </c>
    </row>
    <row r="15" spans="2:6" ht="15.75" customHeight="1" x14ac:dyDescent="0.25">
      <c r="B15" s="31" t="s">
        <v>60</v>
      </c>
      <c r="C15" s="32" t="s">
        <v>61</v>
      </c>
      <c r="D15" s="33" t="s">
        <v>62</v>
      </c>
    </row>
    <row r="16" spans="2:6" ht="15.75" customHeight="1" x14ac:dyDescent="0.25">
      <c r="B16" s="34" t="s">
        <v>63</v>
      </c>
      <c r="C16" s="40">
        <f>'LINEST VARS'!$U$48+'LINEST VARS'!$T$48*($C$7)+'LINEST VARS'!$S$48*($C$8)+'LINEST VARS'!$R$48*($C$9)+'LINEST VARS'!$Q$48*($C$10)+'LINEST VARS'!$P$48*($C$11)+'LINEST VARS'!$O$48*($C$7^2)+'LINEST VARS'!$N$48*($C$8^2)+'LINEST VARS'!$M$48*($C$9^2)+'LINEST VARS'!$L$48*($C$10^2)+'LINEST VARS'!$K$48*($C$11^2)+'LINEST VARS'!$J$48*($C$7*$C$8)+'LINEST VARS'!$I$48*($C$7*$C$9)+'LINEST VARS'!$H$48*($C$7*$C$10)+'LINEST VARS'!$G$48*($C$7*$C$11)+'LINEST VARS'!$F$48*($C$8*$C$9)+'LINEST VARS'!$E$48*($C$8*$C$10)+'LINEST VARS'!$D$48*($C$8*$C$11)+'LINEST VARS'!$C$48*($C$9*$C$10)+'LINEST VARS'!$B$48*($C$9*$C$11)+'LINEST VARS'!$A$48*($C$10*$C$11)</f>
        <v>369.99999999999983</v>
      </c>
      <c r="D16" s="36" t="s">
        <v>64</v>
      </c>
    </row>
    <row r="17" spans="2:6" ht="15.75" customHeight="1" x14ac:dyDescent="0.25">
      <c r="B17" s="34" t="s">
        <v>65</v>
      </c>
      <c r="C17" s="40">
        <f>'LINEST VARS'!$U$50+'LINEST VARS'!$T$50*($C$7)+'LINEST VARS'!$S$50*($C$8)+'LINEST VARS'!$R$50*($C$9)+'LINEST VARS'!$Q$50*($C$10)+'LINEST VARS'!$P$50*($C$11)+'LINEST VARS'!$O$50*($C$7^2)+'LINEST VARS'!$N$50*($C$8^2)+'LINEST VARS'!$M$50*($C$9^2)+'LINEST VARS'!$L$50*($C$10^2)+'LINEST VARS'!$K$50*($C$11^2)+'LINEST VARS'!$J$50*($C$7*$C$8)+'LINEST VARS'!$I$50*($C$7*$C$9)+'LINEST VARS'!$H$50*($C$7*$C$10)+'LINEST VARS'!$G$50*($C$7*$C$11)+'LINEST VARS'!$F$50*($C$8*$C$9)+'LINEST VARS'!$E$50*($C$8*$C$10)+'LINEST VARS'!$D$50*($C$8*$C$11)+'LINEST VARS'!$C$50*($C$9*$C$10)+'LINEST VARS'!$B$50*($C$9*$C$11)+'LINEST VARS'!$A$50*($C$10*$C$11)</f>
        <v>331.99999999999989</v>
      </c>
      <c r="D17" s="36" t="s">
        <v>66</v>
      </c>
    </row>
    <row r="18" spans="2:6" ht="15.75" customHeight="1" x14ac:dyDescent="0.25">
      <c r="B18" s="34" t="s">
        <v>67</v>
      </c>
      <c r="C18" s="40">
        <f>'LINEST VARS'!$U$52+'LINEST VARS'!$T$52*($C$7)+'LINEST VARS'!$S$52*($C$8)+'LINEST VARS'!$R$52*($C$9)+'LINEST VARS'!$Q$52*($C$10)+'LINEST VARS'!$P$52*($C$11)+'LINEST VARS'!$O$52*($C$7^2)+'LINEST VARS'!$N$52*($C$8^2)+'LINEST VARS'!$M$52*($C$9^2)+'LINEST VARS'!$L$52*($C$10^2)+'LINEST VARS'!$K$52*($C$11^2)+'LINEST VARS'!$J$52*($C$7*$C$8)+'LINEST VARS'!$I$52*($C$7*$C$9)+'LINEST VARS'!$H$52*($C$7*$C$10)+'LINEST VARS'!$G$52*($C$7*$C$11)+'LINEST VARS'!$F$52*($C$8*$C$9)+'LINEST VARS'!$E$52*($C$8*$C$10)+'LINEST VARS'!$D$52*($C$8*$C$11)+'LINEST VARS'!$C$52*($C$9*$C$10)+'LINEST VARS'!$B$52*($C$9*$C$11)+'LINEST VARS'!$A$52*($C$10*$C$11)</f>
        <v>4.4999999999999982</v>
      </c>
      <c r="D18" s="36" t="s">
        <v>68</v>
      </c>
    </row>
    <row r="19" spans="2:6" ht="15.75" customHeight="1" x14ac:dyDescent="0.25">
      <c r="B19" s="34" t="s">
        <v>69</v>
      </c>
      <c r="C19" s="40">
        <f>'LINEST VARS'!$U$54+'LINEST VARS'!$T$54*($C$7)+'LINEST VARS'!$S$54*($C$8)+'LINEST VARS'!$R$54*($C$9)+'LINEST VARS'!$Q$54*($C$10)+'LINEST VARS'!$P$54*($C$11)+'LINEST VARS'!$O$54*($C$7^2)+'LINEST VARS'!$N$54*($C$8^2)+'LINEST VARS'!$M$54*($C$9^2)+'LINEST VARS'!$L$54*($C$10^2)+'LINEST VARS'!$K$54*($C$11^2)+'LINEST VARS'!$J$54*($C$7*$C$8)+'LINEST VARS'!$I$54*($C$7*$C$9)+'LINEST VARS'!$H$54*($C$7*$C$10)+'LINEST VARS'!$G$54*($C$7*$C$11)+'LINEST VARS'!$F$54*($C$8*$C$9)+'LINEST VARS'!$E$54*($C$8*$C$10)+'LINEST VARS'!$D$54*($C$8*$C$11)+'LINEST VARS'!$C$54*($C$9*$C$10)+'LINEST VARS'!$B$54*($C$9*$C$11)+'LINEST VARS'!$A$54*($C$10*$C$11)</f>
        <v>3.9999999999999996</v>
      </c>
      <c r="D19" s="36" t="s">
        <v>70</v>
      </c>
    </row>
    <row r="20" spans="2:6" ht="15.75" customHeight="1" x14ac:dyDescent="0.25">
      <c r="B20" s="34" t="s">
        <v>71</v>
      </c>
      <c r="C20" s="40">
        <f>'LINEST VARS'!$U$56+'LINEST VARS'!$T$56*($C$7)+'LINEST VARS'!$S$56*($C$8)+'LINEST VARS'!$R$56*($C$9)+'LINEST VARS'!$Q$56*($C$10)+'LINEST VARS'!$P$56*($C$11)+'LINEST VARS'!$O$56*($C$7^2)+'LINEST VARS'!$N$56*($C$8^2)+'LINEST VARS'!$M$56*($C$9^2)+'LINEST VARS'!$L$56*($C$10^2)+'LINEST VARS'!$K$56*($C$11^2)+'LINEST VARS'!$J$56*($C$7*$C$8)+'LINEST VARS'!$I$56*($C$7*$C$9)+'LINEST VARS'!$H$56*($C$7*$C$10)+'LINEST VARS'!$G$56*($C$7*$C$11)+'LINEST VARS'!$F$56*($C$8*$C$9)+'LINEST VARS'!$E$56*($C$8*$C$10)+'LINEST VARS'!$D$56*($C$8*$C$11)+'LINEST VARS'!$C$56*($C$9*$C$10)+'LINEST VARS'!$B$56*($C$9*$C$11)+'LINEST VARS'!$A$56*($C$10*$C$11)</f>
        <v>2.8000000000000012</v>
      </c>
      <c r="D20" s="36" t="s">
        <v>72</v>
      </c>
    </row>
    <row r="21" spans="2:6" ht="15.75" customHeight="1" x14ac:dyDescent="0.25">
      <c r="B21" s="34" t="s">
        <v>73</v>
      </c>
      <c r="C21" s="40">
        <f>'LINEST VARS'!$U$58+'LINEST VARS'!$T$58*($C$7)+'LINEST VARS'!$S$58*($C$8)+'LINEST VARS'!$R$58*($C$9)+'LINEST VARS'!$Q$58*($C$10)+'LINEST VARS'!$P$58*($C$11)+'LINEST VARS'!$O$58*($C$7^2)+'LINEST VARS'!$N$58*($C$8^2)+'LINEST VARS'!$M$58*($C$9^2)+'LINEST VARS'!$L$58*($C$10^2)+'LINEST VARS'!$K$58*($C$11^2)+'LINEST VARS'!$J$58*($C$7*$C$8)+'LINEST VARS'!$I$58*($C$7*$C$9)+'LINEST VARS'!$H$58*($C$7*$C$10)+'LINEST VARS'!$G$58*($C$7*$C$11)+'LINEST VARS'!$F$58*($C$8*$C$9)+'LINEST VARS'!$E$58*($C$8*$C$10)+'LINEST VARS'!$D$58*($C$8*$C$11)+'LINEST VARS'!$C$58*($C$9*$C$10)+'LINEST VARS'!$B$58*($C$9*$C$11)+'LINEST VARS'!$A$58*($C$10*$C$11)</f>
        <v>0.80000000000000027</v>
      </c>
      <c r="D21" s="36" t="s">
        <v>74</v>
      </c>
    </row>
    <row r="22" spans="2:6" ht="15.75" customHeight="1" x14ac:dyDescent="0.25">
      <c r="B22" s="34" t="s">
        <v>75</v>
      </c>
      <c r="C22" s="40">
        <f>'LINEST VARS'!$U$72+'LINEST VARS'!$T$72*($C$7)+'LINEST VARS'!$S$72*($C$8)+'LINEST VARS'!$R$72*($C$9)+'LINEST VARS'!$Q$72*($C$10)+'LINEST VARS'!$P$72*($C$11)+'LINEST VARS'!$O$72*($C$7^2)+'LINEST VARS'!$N$72*($C$8^2)+'LINEST VARS'!$M$72*($C$9^2)+'LINEST VARS'!$L$72*($C$10^2)+'LINEST VARS'!$K$72*($C$11^2)+'LINEST VARS'!$J$72*($C$7*$C$8)+'LINEST VARS'!$I$72*($C$7*$C$9)+'LINEST VARS'!$H$72*($C$7*$C$10)+'LINEST VARS'!$G$72*($C$7*$C$11)+'LINEST VARS'!$F$72*($C$8*$C$9)+'LINEST VARS'!$E$72*($C$8*$C$10)+'LINEST VARS'!$D$72*($C$8*$C$11)+'LINEST VARS'!$C$72*($C$9*$C$10)+'LINEST VARS'!$B$72*($C$9*$C$11)+'LINEST VARS'!$A$72*($C$10*$C$11)</f>
        <v>50.000000000000028</v>
      </c>
      <c r="D22" s="36" t="s">
        <v>76</v>
      </c>
    </row>
    <row r="23" spans="2:6" ht="15.75" customHeight="1" x14ac:dyDescent="0.25">
      <c r="B23" s="34" t="s">
        <v>77</v>
      </c>
      <c r="C23" s="40">
        <f>'LINEST VARS'!$U$60+'LINEST VARS'!$T$60*($C$7)+'LINEST VARS'!$S$60*($C$8)+'LINEST VARS'!$R$60*($C$9)+'LINEST VARS'!$Q$60*($C$10)+'LINEST VARS'!$P$60*($C$11)+'LINEST VARS'!$O$60*($C$7^2)+'LINEST VARS'!$N$60*($C$8^2)+'LINEST VARS'!$M$60*($C$9^2)+'LINEST VARS'!$L$60*($C$10^2)+'LINEST VARS'!$K$60*($C$11^2)+'LINEST VARS'!$J$60*($C$7*$C$8)+'LINEST VARS'!$I$60*($C$7*$C$9)+'LINEST VARS'!$H$60*($C$7*$C$10)+'LINEST VARS'!$G$60*($C$7*$C$11)+'LINEST VARS'!$F$60*($C$8*$C$9)+'LINEST VARS'!$E$60*($C$8*$C$10)+'LINEST VARS'!$D$60*($C$8*$C$11)+'LINEST VARS'!$C$60*($C$9*$C$10)+'LINEST VARS'!$B$60*($C$9*$C$11)+'LINEST VARS'!$A$60*($C$10*$C$11)</f>
        <v>15.000000000000009</v>
      </c>
      <c r="D23" s="36" t="s">
        <v>78</v>
      </c>
    </row>
    <row r="24" spans="2:6" ht="15.75" customHeight="1" x14ac:dyDescent="0.25">
      <c r="B24" s="34" t="s">
        <v>79</v>
      </c>
      <c r="C24" s="40">
        <f>'LINEST VARS'!$U$62+'LINEST VARS'!$T$62*($C$7)+'LINEST VARS'!$S$62*($C$8)+'LINEST VARS'!$R$62*($C$9)+'LINEST VARS'!$Q$62*($C$10)+'LINEST VARS'!$P$62*($C$11)+'LINEST VARS'!$O$62*($C$7^2)+'LINEST VARS'!$N$62*($C$8^2)+'LINEST VARS'!$M$62*($C$9^2)+'LINEST VARS'!$L$62*($C$10^2)+'LINEST VARS'!$K$62*($C$11^2)+'LINEST VARS'!$J$62*($C$7*$C$8)+'LINEST VARS'!$I$62*($C$7*$C$9)+'LINEST VARS'!$H$62*($C$7*$C$10)+'LINEST VARS'!$G$62*($C$7*$C$11)+'LINEST VARS'!$F$62*($C$8*$C$9)+'LINEST VARS'!$E$62*($C$8*$C$10)+'LINEST VARS'!$D$62*($C$8*$C$11)+'LINEST VARS'!$C$62*($C$9*$C$10)+'LINEST VARS'!$B$62*($C$9*$C$11)+'LINEST VARS'!$A$62*($C$10*$C$11)</f>
        <v>349.99999999999983</v>
      </c>
      <c r="D24" s="36" t="s">
        <v>80</v>
      </c>
    </row>
    <row r="25" spans="2:6" ht="15.75" customHeight="1" x14ac:dyDescent="0.25">
      <c r="B25" s="34" t="s">
        <v>81</v>
      </c>
      <c r="C25" s="40">
        <f>'LINEST VARS'!$U$64+'LINEST VARS'!$T$64*($C$7)+'LINEST VARS'!$S$64*($C$8)+'LINEST VARS'!$R$64*($C$9)+'LINEST VARS'!$Q$64*($C$10)+'LINEST VARS'!$P$64*($C$11)+'LINEST VARS'!$O$64*($C$7^2)+'LINEST VARS'!$N$64*($C$8^2)+'LINEST VARS'!$M$64*($C$9^2)+'LINEST VARS'!$L$64*($C$10^2)+'LINEST VARS'!$K$64*($C$11^2)+'LINEST VARS'!$J$64*($C$7*$C$8)+'LINEST VARS'!$I$64*($C$7*$C$9)+'LINEST VARS'!$H$64*($C$7*$C$10)+'LINEST VARS'!$G$64*($C$7*$C$11)+'LINEST VARS'!$F$64*($C$8*$C$9)+'LINEST VARS'!$E$64*($C$8*$C$10)+'LINEST VARS'!$D$64*($C$8*$C$11)+'LINEST VARS'!$C$64*($C$9*$C$10)+'LINEST VARS'!$B$64*($C$9*$C$11)+'LINEST VARS'!$A$64*($C$10*$C$11)</f>
        <v>109.99999999999993</v>
      </c>
      <c r="D25" s="36" t="s">
        <v>82</v>
      </c>
    </row>
    <row r="26" spans="2:6" ht="15.75" customHeight="1" x14ac:dyDescent="0.25">
      <c r="B26" s="34" t="s">
        <v>83</v>
      </c>
      <c r="C26" s="40">
        <f>'LINEST VARS'!$U$66+'LINEST VARS'!$T$66*($C$7)+'LINEST VARS'!$S$66*($C$8)+'LINEST VARS'!$R$66*($C$9)+'LINEST VARS'!$Q$66*($C$10)+'LINEST VARS'!$P$66*($C$11)+'LINEST VARS'!$O$66*($C$7^2)+'LINEST VARS'!$N$66*($C$8^2)+'LINEST VARS'!$M$66*($C$9^2)+'LINEST VARS'!$L$66*($C$10^2)+'LINEST VARS'!$K$66*($C$11^2)+'LINEST VARS'!$J$66*($C$7*$C$8)+'LINEST VARS'!$I$66*($C$7*$C$9)+'LINEST VARS'!$H$66*($C$7*$C$10)+'LINEST VARS'!$G$66*($C$7*$C$11)+'LINEST VARS'!$F$66*($C$8*$C$9)+'LINEST VARS'!$E$66*($C$8*$C$10)+'LINEST VARS'!$D$66*($C$8*$C$11)+'LINEST VARS'!$C$66*($C$9*$C$10)+'LINEST VARS'!$B$66*($C$9*$C$11)+'LINEST VARS'!$A$66*($C$10*$C$11)</f>
        <v>144.00000000000003</v>
      </c>
      <c r="D26" s="36" t="s">
        <v>84</v>
      </c>
    </row>
    <row r="27" spans="2:6" ht="15.75" customHeight="1" x14ac:dyDescent="0.25">
      <c r="B27" s="34" t="s">
        <v>85</v>
      </c>
      <c r="C27" s="40">
        <f>'LINEST VARS'!$U$68+'LINEST VARS'!$T$68*($C$7)+'LINEST VARS'!$S$68*($C$8)+'LINEST VARS'!$R$68*($C$9)+'LINEST VARS'!$Q$68*($C$10)+'LINEST VARS'!$P$68*($C$11)+'LINEST VARS'!$O$68*($C$7^2)+'LINEST VARS'!$N$68*($C$8^2)+'LINEST VARS'!$M$68*($C$9^2)+'LINEST VARS'!$L$68*($C$10^2)+'LINEST VARS'!$K$68*($C$11^2)+'LINEST VARS'!$J$68*($C$7*$C$8)+'LINEST VARS'!$I$68*($C$7*$C$9)+'LINEST VARS'!$H$68*($C$7*$C$10)+'LINEST VARS'!$G$68*($C$7*$C$11)+'LINEST VARS'!$F$68*($C$8*$C$9)+'LINEST VARS'!$E$68*($C$8*$C$10)+'LINEST VARS'!$D$68*($C$8*$C$11)+'LINEST VARS'!$C$68*($C$9*$C$10)+'LINEST VARS'!$B$68*($C$9*$C$11)+'LINEST VARS'!$A$68*($C$10*$C$11)</f>
        <v>150</v>
      </c>
      <c r="D27" s="36" t="s">
        <v>86</v>
      </c>
    </row>
    <row r="28" spans="2:6" ht="16.5" customHeight="1" thickBot="1" x14ac:dyDescent="0.3">
      <c r="B28" s="37" t="s">
        <v>87</v>
      </c>
      <c r="C28" s="41">
        <f>'LINEST VARS'!$U$70+'LINEST VARS'!$T$70*($C$7)+'LINEST VARS'!$S$70*($C$8)+'LINEST VARS'!$R$70*($C$9)+'LINEST VARS'!$Q$70*($C$10)+'LINEST VARS'!$P$70*($C$11)+'LINEST VARS'!$O$70*($C$7^2)+'LINEST VARS'!$N$70*($C$8^2)+'LINEST VARS'!$M$70*($C$9^2)+'LINEST VARS'!$L$70*($C$10^2)+'LINEST VARS'!$K$70*($C$11^2)+'LINEST VARS'!$J$70*($C$7*$C$8)+'LINEST VARS'!$I$70*($C$7*$C$9)+'LINEST VARS'!$H$70*($C$7*$C$10)+'LINEST VARS'!$G$70*($C$7*$C$11)+'LINEST VARS'!$F$70*($C$8*$C$9)+'LINEST VARS'!$E$70*($C$8*$C$10)+'LINEST VARS'!$D$70*($C$8*$C$11)+'LINEST VARS'!$C$70*($C$9*$C$10)+'LINEST VARS'!$B$70*($C$9*$C$11)+'LINEST VARS'!$A$70*($C$10*$C$11)</f>
        <v>92.000000000000014</v>
      </c>
      <c r="D28" s="39" t="s">
        <v>88</v>
      </c>
    </row>
    <row r="30" spans="2:6" x14ac:dyDescent="0.25">
      <c r="B30" s="64" t="s">
        <v>89</v>
      </c>
      <c r="C30" s="60"/>
      <c r="D30" s="60"/>
      <c r="E30" s="60"/>
      <c r="F30" s="60"/>
    </row>
    <row r="31" spans="2:6" x14ac:dyDescent="0.25">
      <c r="B31" s="64" t="s">
        <v>90</v>
      </c>
      <c r="C31" s="60"/>
      <c r="D31" s="60"/>
      <c r="E31" s="60"/>
      <c r="F31" s="60"/>
    </row>
    <row r="32" spans="2:6" x14ac:dyDescent="0.25">
      <c r="B32" s="64" t="s">
        <v>91</v>
      </c>
      <c r="C32" s="60"/>
      <c r="D32" s="60"/>
      <c r="E32" s="60"/>
      <c r="F32" s="60"/>
    </row>
    <row r="33" spans="2:6" x14ac:dyDescent="0.25">
      <c r="B33" s="64" t="s">
        <v>92</v>
      </c>
      <c r="C33" s="60"/>
      <c r="D33" s="60"/>
      <c r="E33" s="60"/>
      <c r="F33" s="60"/>
    </row>
  </sheetData>
  <mergeCells count="6">
    <mergeCell ref="B30:F30"/>
    <mergeCell ref="B2:F2"/>
    <mergeCell ref="B33:F33"/>
    <mergeCell ref="B3:F3"/>
    <mergeCell ref="B31:F31"/>
    <mergeCell ref="B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ET450"/>
  <sheetViews>
    <sheetView tabSelected="1" topLeftCell="BO1" zoomScale="85" zoomScaleNormal="85" workbookViewId="0">
      <selection activeCell="CW5" sqref="CW5:EW156"/>
    </sheetView>
  </sheetViews>
  <sheetFormatPr defaultRowHeight="15" x14ac:dyDescent="0.25"/>
  <cols>
    <col min="2" max="2" width="14" customWidth="1"/>
    <col min="3" max="4" width="13" customWidth="1"/>
    <col min="5" max="5" width="12.28515625" bestFit="1" customWidth="1"/>
    <col min="6" max="23" width="13" customWidth="1"/>
    <col min="26" max="26" width="14" customWidth="1"/>
    <col min="27" max="47" width="13" customWidth="1"/>
  </cols>
  <sheetData>
    <row r="1" spans="2:150" ht="15" customHeight="1" x14ac:dyDescent="0.25"/>
    <row r="2" spans="2:150" ht="15" customHeight="1" x14ac:dyDescent="0.25">
      <c r="B2" s="63" t="s">
        <v>0</v>
      </c>
      <c r="C2" s="60"/>
      <c r="D2" s="60"/>
      <c r="E2" s="60"/>
      <c r="F2" s="60"/>
      <c r="G2" s="60"/>
      <c r="H2" s="60"/>
      <c r="I2" s="60"/>
      <c r="J2" s="60"/>
      <c r="K2" s="60"/>
    </row>
    <row r="3" spans="2:150" ht="15" customHeight="1" x14ac:dyDescent="0.25">
      <c r="B3" s="62" t="s">
        <v>1</v>
      </c>
      <c r="C3" s="60"/>
      <c r="D3" s="60"/>
      <c r="E3" s="60"/>
      <c r="F3" s="60"/>
      <c r="G3" s="60"/>
      <c r="H3" s="60"/>
      <c r="I3" s="60"/>
      <c r="J3" s="60"/>
      <c r="K3" s="60"/>
    </row>
    <row r="4" spans="2:150" ht="15" customHeight="1" x14ac:dyDescent="0.25"/>
    <row r="5" spans="2:150" ht="15" customHeight="1" x14ac:dyDescent="0.25">
      <c r="B5" s="61" t="s">
        <v>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Z5" s="61" t="s">
        <v>16</v>
      </c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X5" s="61" t="s">
        <v>30</v>
      </c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</row>
    <row r="6" spans="2:150" ht="15" customHeight="1" x14ac:dyDescent="0.25"/>
    <row r="7" spans="2:150" ht="15" customHeight="1" thickBot="1" x14ac:dyDescent="0.3">
      <c r="B7" s="59" t="s">
        <v>3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Z7" s="59" t="s">
        <v>4</v>
      </c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Z7" s="59" t="s">
        <v>17</v>
      </c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X7" s="59" t="s">
        <v>18</v>
      </c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X7" s="59" t="s">
        <v>31</v>
      </c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V7" s="59" t="s">
        <v>32</v>
      </c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</row>
    <row r="8" spans="2:150" ht="15" customHeight="1" x14ac:dyDescent="0.25">
      <c r="B8" s="42" t="s">
        <v>5</v>
      </c>
      <c r="C8" s="43">
        <v>7.4</v>
      </c>
      <c r="D8" s="43">
        <v>7.46</v>
      </c>
      <c r="E8" s="43">
        <v>7.52</v>
      </c>
      <c r="F8" s="43">
        <v>7.58</v>
      </c>
      <c r="G8" s="43">
        <v>7.64</v>
      </c>
      <c r="H8" s="43">
        <v>7.7</v>
      </c>
      <c r="I8" s="43">
        <v>7.76</v>
      </c>
      <c r="J8" s="43">
        <v>7.82</v>
      </c>
      <c r="K8" s="43">
        <v>7.88</v>
      </c>
      <c r="L8" s="43">
        <v>7.94</v>
      </c>
      <c r="M8" s="43">
        <v>8</v>
      </c>
      <c r="N8" s="43">
        <v>8.06</v>
      </c>
      <c r="O8" s="43">
        <v>8.1199999999999992</v>
      </c>
      <c r="P8" s="43">
        <v>8.18</v>
      </c>
      <c r="Q8" s="43">
        <v>8.24</v>
      </c>
      <c r="R8" s="43">
        <v>8.3000000000000007</v>
      </c>
      <c r="S8" s="43">
        <v>8.36</v>
      </c>
      <c r="T8" s="43">
        <v>8.42</v>
      </c>
      <c r="U8" s="43">
        <v>8.48</v>
      </c>
      <c r="V8" s="43">
        <v>8.5399999999999991</v>
      </c>
      <c r="W8" s="44">
        <v>8.6</v>
      </c>
      <c r="Z8" s="42" t="s">
        <v>5</v>
      </c>
      <c r="AA8" s="43">
        <v>7.4</v>
      </c>
      <c r="AB8" s="43">
        <v>7.46</v>
      </c>
      <c r="AC8" s="43">
        <v>7.52</v>
      </c>
      <c r="AD8" s="43">
        <v>7.58</v>
      </c>
      <c r="AE8" s="43">
        <v>7.64</v>
      </c>
      <c r="AF8" s="43">
        <v>7.7</v>
      </c>
      <c r="AG8" s="43">
        <v>7.76</v>
      </c>
      <c r="AH8" s="43">
        <v>7.82</v>
      </c>
      <c r="AI8" s="43">
        <v>7.88</v>
      </c>
      <c r="AJ8" s="43">
        <v>7.94</v>
      </c>
      <c r="AK8" s="43">
        <v>8</v>
      </c>
      <c r="AL8" s="43">
        <v>8.06</v>
      </c>
      <c r="AM8" s="43">
        <v>8.1199999999999992</v>
      </c>
      <c r="AN8" s="43">
        <v>8.18</v>
      </c>
      <c r="AO8" s="43">
        <v>8.24</v>
      </c>
      <c r="AP8" s="43">
        <v>8.3000000000000007</v>
      </c>
      <c r="AQ8" s="43">
        <v>8.36</v>
      </c>
      <c r="AR8" s="43">
        <v>8.42</v>
      </c>
      <c r="AS8" s="43">
        <v>8.48</v>
      </c>
      <c r="AT8" s="43">
        <v>8.5399999999999991</v>
      </c>
      <c r="AU8" s="44">
        <v>8.6</v>
      </c>
      <c r="AZ8" s="42" t="s">
        <v>19</v>
      </c>
      <c r="BA8" s="43">
        <v>0</v>
      </c>
      <c r="BB8" s="43">
        <v>0.4</v>
      </c>
      <c r="BC8" s="43">
        <v>0.8</v>
      </c>
      <c r="BD8" s="43">
        <v>1.2</v>
      </c>
      <c r="BE8" s="43">
        <v>1.6</v>
      </c>
      <c r="BF8" s="43">
        <v>2</v>
      </c>
      <c r="BG8" s="43">
        <v>2.4</v>
      </c>
      <c r="BH8" s="43">
        <v>2.8</v>
      </c>
      <c r="BI8" s="43">
        <v>3.2</v>
      </c>
      <c r="BJ8" s="43">
        <v>3.6</v>
      </c>
      <c r="BK8" s="43">
        <v>4</v>
      </c>
      <c r="BL8" s="43">
        <v>4.4000000000000004</v>
      </c>
      <c r="BM8" s="43">
        <v>4.8</v>
      </c>
      <c r="BN8" s="43">
        <v>5.2</v>
      </c>
      <c r="BO8" s="43">
        <v>5.6</v>
      </c>
      <c r="BP8" s="43">
        <v>6</v>
      </c>
      <c r="BQ8" s="43">
        <v>6.4</v>
      </c>
      <c r="BR8" s="43">
        <v>6.8</v>
      </c>
      <c r="BS8" s="43">
        <v>7.2</v>
      </c>
      <c r="BT8" s="43">
        <v>7.6</v>
      </c>
      <c r="BU8" s="44">
        <v>8</v>
      </c>
      <c r="BX8" s="42" t="s">
        <v>19</v>
      </c>
      <c r="BY8" s="43">
        <v>0</v>
      </c>
      <c r="BZ8" s="43">
        <v>0.4</v>
      </c>
      <c r="CA8" s="43">
        <v>0.8</v>
      </c>
      <c r="CB8" s="43">
        <v>1.2</v>
      </c>
      <c r="CC8" s="43">
        <v>1.6</v>
      </c>
      <c r="CD8" s="43">
        <v>2</v>
      </c>
      <c r="CE8" s="43">
        <v>2.4</v>
      </c>
      <c r="CF8" s="43">
        <v>2.8</v>
      </c>
      <c r="CG8" s="43">
        <v>3.2</v>
      </c>
      <c r="CH8" s="43">
        <v>3.6</v>
      </c>
      <c r="CI8" s="43">
        <v>4</v>
      </c>
      <c r="CJ8" s="43">
        <v>4.4000000000000004</v>
      </c>
      <c r="CK8" s="43">
        <v>4.8</v>
      </c>
      <c r="CL8" s="43">
        <v>5.2</v>
      </c>
      <c r="CM8" s="43">
        <v>5.6</v>
      </c>
      <c r="CN8" s="43">
        <v>6</v>
      </c>
      <c r="CO8" s="43">
        <v>6.4</v>
      </c>
      <c r="CP8" s="43">
        <v>6.8</v>
      </c>
      <c r="CQ8" s="43">
        <v>7.2</v>
      </c>
      <c r="CR8" s="43">
        <v>7.6</v>
      </c>
      <c r="CS8" s="44">
        <v>8</v>
      </c>
      <c r="CX8" s="42" t="s">
        <v>33</v>
      </c>
      <c r="CY8" s="43">
        <v>0</v>
      </c>
      <c r="CZ8" s="43">
        <v>0.4</v>
      </c>
      <c r="DA8" s="43">
        <v>0.8</v>
      </c>
      <c r="DB8" s="43">
        <v>1.2</v>
      </c>
      <c r="DC8" s="43">
        <v>1.6</v>
      </c>
      <c r="DD8" s="43">
        <v>2</v>
      </c>
      <c r="DE8" s="43">
        <v>2.4</v>
      </c>
      <c r="DF8" s="43">
        <v>2.8</v>
      </c>
      <c r="DG8" s="43">
        <v>3.2</v>
      </c>
      <c r="DH8" s="43">
        <v>3.6</v>
      </c>
      <c r="DI8" s="43">
        <v>4</v>
      </c>
      <c r="DJ8" s="43">
        <v>4.4000000000000004</v>
      </c>
      <c r="DK8" s="43">
        <v>4.8</v>
      </c>
      <c r="DL8" s="43">
        <v>5.2</v>
      </c>
      <c r="DM8" s="43">
        <v>5.6</v>
      </c>
      <c r="DN8" s="43">
        <v>6</v>
      </c>
      <c r="DO8" s="43">
        <v>6.4</v>
      </c>
      <c r="DP8" s="43">
        <v>6.8</v>
      </c>
      <c r="DQ8" s="43">
        <v>7.2</v>
      </c>
      <c r="DR8" s="43">
        <v>7.6</v>
      </c>
      <c r="DS8" s="44">
        <v>8</v>
      </c>
      <c r="DV8" s="42" t="s">
        <v>33</v>
      </c>
      <c r="DW8" s="43">
        <v>0</v>
      </c>
      <c r="DX8" s="43">
        <v>0.4</v>
      </c>
      <c r="DY8" s="43">
        <v>0.8</v>
      </c>
      <c r="DZ8" s="43">
        <v>1.2</v>
      </c>
      <c r="EA8" s="43">
        <v>1.6</v>
      </c>
      <c r="EB8" s="43">
        <v>2</v>
      </c>
      <c r="EC8" s="43">
        <v>2.4</v>
      </c>
      <c r="ED8" s="43">
        <v>2.8</v>
      </c>
      <c r="EE8" s="43">
        <v>3.2</v>
      </c>
      <c r="EF8" s="43">
        <v>3.6</v>
      </c>
      <c r="EG8" s="43">
        <v>4</v>
      </c>
      <c r="EH8" s="43">
        <v>4.4000000000000004</v>
      </c>
      <c r="EI8" s="43">
        <v>4.8</v>
      </c>
      <c r="EJ8" s="43">
        <v>5.2</v>
      </c>
      <c r="EK8" s="43">
        <v>5.6</v>
      </c>
      <c r="EL8" s="43">
        <v>6</v>
      </c>
      <c r="EM8" s="43">
        <v>6.4</v>
      </c>
      <c r="EN8" s="43">
        <v>6.8</v>
      </c>
      <c r="EO8" s="43">
        <v>7.2</v>
      </c>
      <c r="EP8" s="43">
        <v>7.6</v>
      </c>
      <c r="EQ8" s="44">
        <v>8</v>
      </c>
    </row>
    <row r="9" spans="2:150" ht="15" customHeight="1" x14ac:dyDescent="0.25">
      <c r="B9" s="45">
        <v>7.4</v>
      </c>
      <c r="C9" s="46">
        <f>'LINEST VARS'!$U$48+'LINEST VARS'!$T$48*($C$8)+'LINEST VARS'!$S$48*($B9)+'LINEST VARS'!$R$48*(4)+'LINEST VARS'!$Q$48*(0.5)+'LINEST VARS'!$P$48*(12.73)+'LINEST VARS'!$O$48*($C$8^2)+'LINEST VARS'!$N$48*($B9^2)+'LINEST VARS'!$M$48*(4^2)+'LINEST VARS'!$L$48*(0.5^2)+'LINEST VARS'!$K$48*(12.73^2)+'LINEST VARS'!$J$48*($C$8*$B9)+'LINEST VARS'!$I$48*($C$8*4)+'LINEST VARS'!$H$48*($C$8*0.5)+'LINEST VARS'!$G$48*($C$8*12.73)+'LINEST VARS'!$F$48*($B9*4)+'LINEST VARS'!$E$48*($B9*0.5)+'LINEST VARS'!$D$48*($B9*12.73)+'LINEST VARS'!$C$48*(4*0.5)+'LINEST VARS'!$B$48*(4*12.73)+'LINEST VARS'!$A$48*(0.5*12.73)</f>
        <v>320.7999999999999</v>
      </c>
      <c r="D9" s="46">
        <f>'LINEST VARS'!$U$48+'LINEST VARS'!$T$48*($D$8)+'LINEST VARS'!$S$48*($B9)+'LINEST VARS'!$R$48*(4)+'LINEST VARS'!$Q$48*(0.5)+'LINEST VARS'!$P$48*(12.73)+'LINEST VARS'!$O$48*($D$8^2)+'LINEST VARS'!$N$48*($B9^2)+'LINEST VARS'!$M$48*(4^2)+'LINEST VARS'!$L$48*(0.5^2)+'LINEST VARS'!$K$48*(12.73^2)+'LINEST VARS'!$J$48*($D$8*$B9)+'LINEST VARS'!$I$48*($D$8*4)+'LINEST VARS'!$H$48*($D$8*0.5)+'LINEST VARS'!$G$48*($D$8*12.73)+'LINEST VARS'!$F$48*($B9*4)+'LINEST VARS'!$E$48*($B9*0.5)+'LINEST VARS'!$D$48*($B9*12.73)+'LINEST VARS'!$C$48*(4*0.5)+'LINEST VARS'!$B$48*(4*12.73)+'LINEST VARS'!$A$48*(0.5*12.73)</f>
        <v>325.37799999999987</v>
      </c>
      <c r="E9" s="46">
        <f>'LINEST VARS'!$U$48+'LINEST VARS'!$T$48*($E$8)+'LINEST VARS'!$S$48*($B9)+'LINEST VARS'!$R$48*(4)+'LINEST VARS'!$Q$48*(0.5)+'LINEST VARS'!$P$48*(12.73)+'LINEST VARS'!$O$48*($E$8^2)+'LINEST VARS'!$N$48*($B9^2)+'LINEST VARS'!$M$48*(4^2)+'LINEST VARS'!$L$48*(0.5^2)+'LINEST VARS'!$K$48*(12.73^2)+'LINEST VARS'!$J$48*($E$8*$B9)+'LINEST VARS'!$I$48*($E$8*4)+'LINEST VARS'!$H$48*($E$8*0.5)+'LINEST VARS'!$G$48*($E$8*12.73)+'LINEST VARS'!$F$48*($B9*4)+'LINEST VARS'!$E$48*($B9*0.5)+'LINEST VARS'!$D$48*($B9*12.73)+'LINEST VARS'!$C$48*(4*0.5)+'LINEST VARS'!$B$48*(4*12.73)+'LINEST VARS'!$A$48*(0.5*12.73)</f>
        <v>329.99199999999985</v>
      </c>
      <c r="F9" s="46">
        <f>'LINEST VARS'!$U$48+'LINEST VARS'!$T$48*($F$8)+'LINEST VARS'!$S$48*($B9)+'LINEST VARS'!$R$48*(4)+'LINEST VARS'!$Q$48*(0.5)+'LINEST VARS'!$P$48*(12.73)+'LINEST VARS'!$O$48*($F$8^2)+'LINEST VARS'!$N$48*($B9^2)+'LINEST VARS'!$M$48*(4^2)+'LINEST VARS'!$L$48*(0.5^2)+'LINEST VARS'!$K$48*(12.73^2)+'LINEST VARS'!$J$48*($F$8*$B9)+'LINEST VARS'!$I$48*($F$8*4)+'LINEST VARS'!$H$48*($F$8*0.5)+'LINEST VARS'!$G$48*($F$8*12.73)+'LINEST VARS'!$F$48*($B9*4)+'LINEST VARS'!$E$48*($B9*0.5)+'LINEST VARS'!$D$48*($B9*12.73)+'LINEST VARS'!$C$48*(4*0.5)+'LINEST VARS'!$B$48*(4*12.73)+'LINEST VARS'!$A$48*(0.5*12.73)</f>
        <v>334.64199999999988</v>
      </c>
      <c r="G9" s="46">
        <f>'LINEST VARS'!$U$48+'LINEST VARS'!$T$48*($G$8)+'LINEST VARS'!$S$48*($B9)+'LINEST VARS'!$R$48*(4)+'LINEST VARS'!$Q$48*(0.5)+'LINEST VARS'!$P$48*(12.73)+'LINEST VARS'!$O$48*($G$8^2)+'LINEST VARS'!$N$48*($B9^2)+'LINEST VARS'!$M$48*(4^2)+'LINEST VARS'!$L$48*(0.5^2)+'LINEST VARS'!$K$48*(12.73^2)+'LINEST VARS'!$J$48*($G$8*$B9)+'LINEST VARS'!$I$48*($G$8*4)+'LINEST VARS'!$H$48*($G$8*0.5)+'LINEST VARS'!$G$48*($G$8*12.73)+'LINEST VARS'!$F$48*($B9*4)+'LINEST VARS'!$E$48*($B9*0.5)+'LINEST VARS'!$D$48*($B9*12.73)+'LINEST VARS'!$C$48*(4*0.5)+'LINEST VARS'!$B$48*(4*12.73)+'LINEST VARS'!$A$48*(0.5*12.73)</f>
        <v>339.32799999999986</v>
      </c>
      <c r="H9" s="46">
        <f>'LINEST VARS'!$U$48+'LINEST VARS'!$T$48*($H$8)+'LINEST VARS'!$S$48*($B9)+'LINEST VARS'!$R$48*(4)+'LINEST VARS'!$Q$48*(0.5)+'LINEST VARS'!$P$48*(12.73)+'LINEST VARS'!$O$48*($H$8^2)+'LINEST VARS'!$N$48*($B9^2)+'LINEST VARS'!$M$48*(4^2)+'LINEST VARS'!$L$48*(0.5^2)+'LINEST VARS'!$K$48*(12.73^2)+'LINEST VARS'!$J$48*($H$8*$B9)+'LINEST VARS'!$I$48*($H$8*4)+'LINEST VARS'!$H$48*($H$8*0.5)+'LINEST VARS'!$G$48*($H$8*12.73)+'LINEST VARS'!$F$48*($B9*4)+'LINEST VARS'!$E$48*($B9*0.5)+'LINEST VARS'!$D$48*($B9*12.73)+'LINEST VARS'!$C$48*(4*0.5)+'LINEST VARS'!$B$48*(4*12.73)+'LINEST VARS'!$A$48*(0.5*12.73)</f>
        <v>344.0499999999999</v>
      </c>
      <c r="I9" s="46">
        <f>'LINEST VARS'!$U$48+'LINEST VARS'!$T$48*($I$8)+'LINEST VARS'!$S$48*($B9)+'LINEST VARS'!$R$48*(4)+'LINEST VARS'!$Q$48*(0.5)+'LINEST VARS'!$P$48*(12.73)+'LINEST VARS'!$O$48*($I$8^2)+'LINEST VARS'!$N$48*($B9^2)+'LINEST VARS'!$M$48*(4^2)+'LINEST VARS'!$L$48*(0.5^2)+'LINEST VARS'!$K$48*(12.73^2)+'LINEST VARS'!$J$48*($I$8*$B9)+'LINEST VARS'!$I$48*($I$8*4)+'LINEST VARS'!$H$48*($I$8*0.5)+'LINEST VARS'!$G$48*($I$8*12.73)+'LINEST VARS'!$F$48*($B9*4)+'LINEST VARS'!$E$48*($B9*0.5)+'LINEST VARS'!$D$48*($B9*12.73)+'LINEST VARS'!$C$48*(4*0.5)+'LINEST VARS'!$B$48*(4*12.73)+'LINEST VARS'!$A$48*(0.5*12.73)</f>
        <v>348.80799999999982</v>
      </c>
      <c r="J9" s="46">
        <f>'LINEST VARS'!$U$48+'LINEST VARS'!$T$48*($J$8)+'LINEST VARS'!$S$48*($B9)+'LINEST VARS'!$R$48*(4)+'LINEST VARS'!$Q$48*(0.5)+'LINEST VARS'!$P$48*(12.73)+'LINEST VARS'!$O$48*($J$8^2)+'LINEST VARS'!$N$48*($B9^2)+'LINEST VARS'!$M$48*(4^2)+'LINEST VARS'!$L$48*(0.5^2)+'LINEST VARS'!$K$48*(12.73^2)+'LINEST VARS'!$J$48*($J$8*$B9)+'LINEST VARS'!$I$48*($J$8*4)+'LINEST VARS'!$H$48*($J$8*0.5)+'LINEST VARS'!$G$48*($J$8*12.73)+'LINEST VARS'!$F$48*($B9*4)+'LINEST VARS'!$E$48*($B9*0.5)+'LINEST VARS'!$D$48*($B9*12.73)+'LINEST VARS'!$C$48*(4*0.5)+'LINEST VARS'!$B$48*(4*12.73)+'LINEST VARS'!$A$48*(0.5*12.73)</f>
        <v>353.60199999999992</v>
      </c>
      <c r="K9" s="46">
        <f>'LINEST VARS'!$U$48+'LINEST VARS'!$T$48*($K$8)+'LINEST VARS'!$S$48*($B9)+'LINEST VARS'!$R$48*(4)+'LINEST VARS'!$Q$48*(0.5)+'LINEST VARS'!$P$48*(12.73)+'LINEST VARS'!$O$48*($K$8^2)+'LINEST VARS'!$N$48*($B9^2)+'LINEST VARS'!$M$48*(4^2)+'LINEST VARS'!$L$48*(0.5^2)+'LINEST VARS'!$K$48*(12.73^2)+'LINEST VARS'!$J$48*($K$8*$B9)+'LINEST VARS'!$I$48*($K$8*4)+'LINEST VARS'!$H$48*($K$8*0.5)+'LINEST VARS'!$G$48*($K$8*12.73)+'LINEST VARS'!$F$48*($B9*4)+'LINEST VARS'!$E$48*($B9*0.5)+'LINEST VARS'!$D$48*($B9*12.73)+'LINEST VARS'!$C$48*(4*0.5)+'LINEST VARS'!$B$48*(4*12.73)+'LINEST VARS'!$A$48*(0.5*12.73)</f>
        <v>358.4319999999999</v>
      </c>
      <c r="L9" s="46">
        <f>'LINEST VARS'!$U$48+'LINEST VARS'!$T$48*($L$8)+'LINEST VARS'!$S$48*($B9)+'LINEST VARS'!$R$48*(4)+'LINEST VARS'!$Q$48*(0.5)+'LINEST VARS'!$P$48*(12.73)+'LINEST VARS'!$O$48*($L$8^2)+'LINEST VARS'!$N$48*($B9^2)+'LINEST VARS'!$M$48*(4^2)+'LINEST VARS'!$L$48*(0.5^2)+'LINEST VARS'!$K$48*(12.73^2)+'LINEST VARS'!$J$48*($L$8*$B9)+'LINEST VARS'!$I$48*($L$8*4)+'LINEST VARS'!$H$48*($L$8*0.5)+'LINEST VARS'!$G$48*($L$8*12.73)+'LINEST VARS'!$F$48*($B9*4)+'LINEST VARS'!$E$48*($B9*0.5)+'LINEST VARS'!$D$48*($B9*12.73)+'LINEST VARS'!$C$48*(4*0.5)+'LINEST VARS'!$B$48*(4*12.73)+'LINEST VARS'!$A$48*(0.5*12.73)</f>
        <v>363.29799999999989</v>
      </c>
      <c r="M9" s="46">
        <f>'LINEST VARS'!$U$48+'LINEST VARS'!$T$48*($M$8)+'LINEST VARS'!$S$48*($B9)+'LINEST VARS'!$R$48*(4)+'LINEST VARS'!$Q$48*(0.5)+'LINEST VARS'!$P$48*(12.73)+'LINEST VARS'!$O$48*($M$8^2)+'LINEST VARS'!$N$48*($B9^2)+'LINEST VARS'!$M$48*(4^2)+'LINEST VARS'!$L$48*(0.5^2)+'LINEST VARS'!$K$48*(12.73^2)+'LINEST VARS'!$J$48*($M$8*$B9)+'LINEST VARS'!$I$48*($M$8*4)+'LINEST VARS'!$H$48*($M$8*0.5)+'LINEST VARS'!$G$48*($M$8*12.73)+'LINEST VARS'!$F$48*($B9*4)+'LINEST VARS'!$E$48*($B9*0.5)+'LINEST VARS'!$D$48*($B9*12.73)+'LINEST VARS'!$C$48*(4*0.5)+'LINEST VARS'!$B$48*(4*12.73)+'LINEST VARS'!$A$48*(0.5*12.73)</f>
        <v>368.19999999999982</v>
      </c>
      <c r="N9" s="46">
        <f>'LINEST VARS'!$U$48+'LINEST VARS'!$T$48*($N$8)+'LINEST VARS'!$S$48*($B9)+'LINEST VARS'!$R$48*(4)+'LINEST VARS'!$Q$48*(0.5)+'LINEST VARS'!$P$48*(12.73)+'LINEST VARS'!$O$48*($N$8^2)+'LINEST VARS'!$N$48*($B9^2)+'LINEST VARS'!$M$48*(4^2)+'LINEST VARS'!$L$48*(0.5^2)+'LINEST VARS'!$K$48*(12.73^2)+'LINEST VARS'!$J$48*($N$8*$B9)+'LINEST VARS'!$I$48*($N$8*4)+'LINEST VARS'!$H$48*($N$8*0.5)+'LINEST VARS'!$G$48*($N$8*12.73)+'LINEST VARS'!$F$48*($B9*4)+'LINEST VARS'!$E$48*($B9*0.5)+'LINEST VARS'!$D$48*($B9*12.73)+'LINEST VARS'!$C$48*(4*0.5)+'LINEST VARS'!$B$48*(4*12.73)+'LINEST VARS'!$A$48*(0.5*12.73)</f>
        <v>373.13799999999992</v>
      </c>
      <c r="O9" s="46">
        <f>'LINEST VARS'!$U$48+'LINEST VARS'!$T$48*($O$8)+'LINEST VARS'!$S$48*($B9)+'LINEST VARS'!$R$48*(4)+'LINEST VARS'!$Q$48*(0.5)+'LINEST VARS'!$P$48*(12.73)+'LINEST VARS'!$O$48*($O$8^2)+'LINEST VARS'!$N$48*($B9^2)+'LINEST VARS'!$M$48*(4^2)+'LINEST VARS'!$L$48*(0.5^2)+'LINEST VARS'!$K$48*(12.73^2)+'LINEST VARS'!$J$48*($O$8*$B9)+'LINEST VARS'!$I$48*($O$8*4)+'LINEST VARS'!$H$48*($O$8*0.5)+'LINEST VARS'!$G$48*($O$8*12.73)+'LINEST VARS'!$F$48*($B9*4)+'LINEST VARS'!$E$48*($B9*0.5)+'LINEST VARS'!$D$48*($B9*12.73)+'LINEST VARS'!$C$48*(4*0.5)+'LINEST VARS'!$B$48*(4*12.73)+'LINEST VARS'!$A$48*(0.5*12.73)</f>
        <v>378.11199999999974</v>
      </c>
      <c r="P9" s="46">
        <f>'LINEST VARS'!$U$48+'LINEST VARS'!$T$48*($P$8)+'LINEST VARS'!$S$48*($B9)+'LINEST VARS'!$R$48*(4)+'LINEST VARS'!$Q$48*(0.5)+'LINEST VARS'!$P$48*(12.73)+'LINEST VARS'!$O$48*($P$8^2)+'LINEST VARS'!$N$48*($B9^2)+'LINEST VARS'!$M$48*(4^2)+'LINEST VARS'!$L$48*(0.5^2)+'LINEST VARS'!$K$48*(12.73^2)+'LINEST VARS'!$J$48*($P$8*$B9)+'LINEST VARS'!$I$48*($P$8*4)+'LINEST VARS'!$H$48*($P$8*0.5)+'LINEST VARS'!$G$48*($P$8*12.73)+'LINEST VARS'!$F$48*($B9*4)+'LINEST VARS'!$E$48*($B9*0.5)+'LINEST VARS'!$D$48*($B9*12.73)+'LINEST VARS'!$C$48*(4*0.5)+'LINEST VARS'!$B$48*(4*12.73)+'LINEST VARS'!$A$48*(0.5*12.73)</f>
        <v>383.12199999999973</v>
      </c>
      <c r="Q9" s="46">
        <f>'LINEST VARS'!$U$48+'LINEST VARS'!$T$48*($Q$8)+'LINEST VARS'!$S$48*($B9)+'LINEST VARS'!$R$48*(4)+'LINEST VARS'!$Q$48*(0.5)+'LINEST VARS'!$P$48*(12.73)+'LINEST VARS'!$O$48*($Q$8^2)+'LINEST VARS'!$N$48*($B9^2)+'LINEST VARS'!$M$48*(4^2)+'LINEST VARS'!$L$48*(0.5^2)+'LINEST VARS'!$K$48*(12.73^2)+'LINEST VARS'!$J$48*($Q$8*$B9)+'LINEST VARS'!$I$48*($Q$8*4)+'LINEST VARS'!$H$48*($Q$8*0.5)+'LINEST VARS'!$G$48*($Q$8*12.73)+'LINEST VARS'!$F$48*($B9*4)+'LINEST VARS'!$E$48*($B9*0.5)+'LINEST VARS'!$D$48*($B9*12.73)+'LINEST VARS'!$C$48*(4*0.5)+'LINEST VARS'!$B$48*(4*12.73)+'LINEST VARS'!$A$48*(0.5*12.73)</f>
        <v>388.16799999999978</v>
      </c>
      <c r="R9" s="46">
        <f>'LINEST VARS'!$U$48+'LINEST VARS'!$T$48*($R$8)+'LINEST VARS'!$S$48*($B9)+'LINEST VARS'!$R$48*(4)+'LINEST VARS'!$Q$48*(0.5)+'LINEST VARS'!$P$48*(12.73)+'LINEST VARS'!$O$48*($R$8^2)+'LINEST VARS'!$N$48*($B9^2)+'LINEST VARS'!$M$48*(4^2)+'LINEST VARS'!$L$48*(0.5^2)+'LINEST VARS'!$K$48*(12.73^2)+'LINEST VARS'!$J$48*($R$8*$B9)+'LINEST VARS'!$I$48*($R$8*4)+'LINEST VARS'!$H$48*($R$8*0.5)+'LINEST VARS'!$G$48*($R$8*12.73)+'LINEST VARS'!$F$48*($B9*4)+'LINEST VARS'!$E$48*($B9*0.5)+'LINEST VARS'!$D$48*($B9*12.73)+'LINEST VARS'!$C$48*(4*0.5)+'LINEST VARS'!$B$48*(4*12.73)+'LINEST VARS'!$A$48*(0.5*12.73)</f>
        <v>393.24999999999989</v>
      </c>
      <c r="S9" s="46">
        <f>'LINEST VARS'!$U$48+'LINEST VARS'!$T$48*($S$8)+'LINEST VARS'!$S$48*($B9)+'LINEST VARS'!$R$48*(4)+'LINEST VARS'!$Q$48*(0.5)+'LINEST VARS'!$P$48*(12.73)+'LINEST VARS'!$O$48*($S$8^2)+'LINEST VARS'!$N$48*($B9^2)+'LINEST VARS'!$M$48*(4^2)+'LINEST VARS'!$L$48*(0.5^2)+'LINEST VARS'!$K$48*(12.73^2)+'LINEST VARS'!$J$48*($S$8*$B9)+'LINEST VARS'!$I$48*($S$8*4)+'LINEST VARS'!$H$48*($S$8*0.5)+'LINEST VARS'!$G$48*($S$8*12.73)+'LINEST VARS'!$F$48*($B9*4)+'LINEST VARS'!$E$48*($B9*0.5)+'LINEST VARS'!$D$48*($B9*12.73)+'LINEST VARS'!$C$48*(4*0.5)+'LINEST VARS'!$B$48*(4*12.73)+'LINEST VARS'!$A$48*(0.5*12.73)</f>
        <v>398.36799999999977</v>
      </c>
      <c r="T9" s="46">
        <f>'LINEST VARS'!$U$48+'LINEST VARS'!$T$48*($T$8)+'LINEST VARS'!$S$48*($B9)+'LINEST VARS'!$R$48*(4)+'LINEST VARS'!$Q$48*(0.5)+'LINEST VARS'!$P$48*(12.73)+'LINEST VARS'!$O$48*($T$8^2)+'LINEST VARS'!$N$48*($B9^2)+'LINEST VARS'!$M$48*(4^2)+'LINEST VARS'!$L$48*(0.5^2)+'LINEST VARS'!$K$48*(12.73^2)+'LINEST VARS'!$J$48*($T$8*$B9)+'LINEST VARS'!$I$48*($T$8*4)+'LINEST VARS'!$H$48*($T$8*0.5)+'LINEST VARS'!$G$48*($T$8*12.73)+'LINEST VARS'!$F$48*($B9*4)+'LINEST VARS'!$E$48*($B9*0.5)+'LINEST VARS'!$D$48*($B9*12.73)+'LINEST VARS'!$C$48*(4*0.5)+'LINEST VARS'!$B$48*(4*12.73)+'LINEST VARS'!$A$48*(0.5*12.73)</f>
        <v>403.52199999999982</v>
      </c>
      <c r="U9" s="46">
        <f>'LINEST VARS'!$U$48+'LINEST VARS'!$T$48*($U$8)+'LINEST VARS'!$S$48*($B9)+'LINEST VARS'!$R$48*(4)+'LINEST VARS'!$Q$48*(0.5)+'LINEST VARS'!$P$48*(12.73)+'LINEST VARS'!$O$48*($U$8^2)+'LINEST VARS'!$N$48*($B9^2)+'LINEST VARS'!$M$48*(4^2)+'LINEST VARS'!$L$48*(0.5^2)+'LINEST VARS'!$K$48*(12.73^2)+'LINEST VARS'!$J$48*($U$8*$B9)+'LINEST VARS'!$I$48*($U$8*4)+'LINEST VARS'!$H$48*($U$8*0.5)+'LINEST VARS'!$G$48*($U$8*12.73)+'LINEST VARS'!$F$48*($B9*4)+'LINEST VARS'!$E$48*($B9*0.5)+'LINEST VARS'!$D$48*($B9*12.73)+'LINEST VARS'!$C$48*(4*0.5)+'LINEST VARS'!$B$48*(4*12.73)+'LINEST VARS'!$A$48*(0.5*12.73)</f>
        <v>408.71199999999988</v>
      </c>
      <c r="V9" s="46">
        <f>'LINEST VARS'!$U$48+'LINEST VARS'!$T$48*($V$8)+'LINEST VARS'!$S$48*($B9)+'LINEST VARS'!$R$48*(4)+'LINEST VARS'!$Q$48*(0.5)+'LINEST VARS'!$P$48*(12.73)+'LINEST VARS'!$O$48*($V$8^2)+'LINEST VARS'!$N$48*($B9^2)+'LINEST VARS'!$M$48*(4^2)+'LINEST VARS'!$L$48*(0.5^2)+'LINEST VARS'!$K$48*(12.73^2)+'LINEST VARS'!$J$48*($V$8*$B9)+'LINEST VARS'!$I$48*($V$8*4)+'LINEST VARS'!$H$48*($V$8*0.5)+'LINEST VARS'!$G$48*($V$8*12.73)+'LINEST VARS'!$F$48*($B9*4)+'LINEST VARS'!$E$48*($B9*0.5)+'LINEST VARS'!$D$48*($B9*12.73)+'LINEST VARS'!$C$48*(4*0.5)+'LINEST VARS'!$B$48*(4*12.73)+'LINEST VARS'!$A$48*(0.5*12.73)</f>
        <v>413.93799999999982</v>
      </c>
      <c r="W9" s="47">
        <f>'LINEST VARS'!$U$48+'LINEST VARS'!$T$48*($W$8)+'LINEST VARS'!$S$48*($B9)+'LINEST VARS'!$R$48*(4)+'LINEST VARS'!$Q$48*(0.5)+'LINEST VARS'!$P$48*(12.73)+'LINEST VARS'!$O$48*($W$8^2)+'LINEST VARS'!$N$48*($B9^2)+'LINEST VARS'!$M$48*(4^2)+'LINEST VARS'!$L$48*(0.5^2)+'LINEST VARS'!$K$48*(12.73^2)+'LINEST VARS'!$J$48*($W$8*$B9)+'LINEST VARS'!$I$48*($W$8*4)+'LINEST VARS'!$H$48*($W$8*0.5)+'LINEST VARS'!$G$48*($W$8*12.73)+'LINEST VARS'!$F$48*($B9*4)+'LINEST VARS'!$E$48*($B9*0.5)+'LINEST VARS'!$D$48*($B9*12.73)+'LINEST VARS'!$C$48*(4*0.5)+'LINEST VARS'!$B$48*(4*12.73)+'LINEST VARS'!$A$48*(0.5*12.73)</f>
        <v>419.19999999999982</v>
      </c>
      <c r="Z9" s="45">
        <v>7.4</v>
      </c>
      <c r="AA9" s="46">
        <f>'LINEST VARS'!$U$50+'LINEST VARS'!$T$50*($AA$8)+'LINEST VARS'!$S$50*($Z9)+'LINEST VARS'!$R$50*(4)+'LINEST VARS'!$Q$50*(0.5)+'LINEST VARS'!$P$50*(12.73)+'LINEST VARS'!$O$50*($AA$8^2)+'LINEST VARS'!$N$50*($Z9^2)+'LINEST VARS'!$M$50*(4^2)+'LINEST VARS'!$L$50*(0.5^2)+'LINEST VARS'!$K$50*(12.73^2)+'LINEST VARS'!$J$50*($AA$8*$Z9)+'LINEST VARS'!$I$50*($AA$8*4)+'LINEST VARS'!$H$50*($AA$8*0.5)+'LINEST VARS'!$G$50*($AA$8*12.73)+'LINEST VARS'!$F$50*($Z9*4)+'LINEST VARS'!$E$50*($Z9*0.5)+'LINEST VARS'!$D$50*($Z9*12.73)+'LINEST VARS'!$C$50*(4*0.5)+'LINEST VARS'!$B$50*(4*12.73)+'LINEST VARS'!$A$50*(0.5*12.73)</f>
        <v>329.59999999999991</v>
      </c>
      <c r="AB9" s="46">
        <f>'LINEST VARS'!$U$50+'LINEST VARS'!$T$50*($AB$8)+'LINEST VARS'!$S$50*($Z9)+'LINEST VARS'!$R$50*(4)+'LINEST VARS'!$Q$50*(0.5)+'LINEST VARS'!$P$50*(12.73)+'LINEST VARS'!$O$50*($AB$8^2)+'LINEST VARS'!$N$50*($Z9^2)+'LINEST VARS'!$M$50*(4^2)+'LINEST VARS'!$L$50*(0.5^2)+'LINEST VARS'!$K$50*(12.73^2)+'LINEST VARS'!$J$50*($AB$8*$Z9)+'LINEST VARS'!$I$50*($AB$8*4)+'LINEST VARS'!$H$50*($AB$8*0.5)+'LINEST VARS'!$G$50*($AB$8*12.73)+'LINEST VARS'!$F$50*($Z9*4)+'LINEST VARS'!$E$50*($Z9*0.5)+'LINEST VARS'!$D$50*($Z9*12.73)+'LINEST VARS'!$C$50*(4*0.5)+'LINEST VARS'!$B$50*(4*12.73)+'LINEST VARS'!$A$50*(0.5*12.73)</f>
        <v>329.68999999999988</v>
      </c>
      <c r="AC9" s="46">
        <f>'LINEST VARS'!$U$50+'LINEST VARS'!$T$50*($AC$8)+'LINEST VARS'!$S$50*($Z9)+'LINEST VARS'!$R$50*(4)+'LINEST VARS'!$Q$50*(0.5)+'LINEST VARS'!$P$50*(12.73)+'LINEST VARS'!$O$50*($AC$8^2)+'LINEST VARS'!$N$50*($Z9^2)+'LINEST VARS'!$M$50*(4^2)+'LINEST VARS'!$L$50*(0.5^2)+'LINEST VARS'!$K$50*(12.73^2)+'LINEST VARS'!$J$50*($AC$8*$Z9)+'LINEST VARS'!$I$50*($AC$8*4)+'LINEST VARS'!$H$50*($AC$8*0.5)+'LINEST VARS'!$G$50*($AC$8*12.73)+'LINEST VARS'!$F$50*($Z9*4)+'LINEST VARS'!$E$50*($Z9*0.5)+'LINEST VARS'!$D$50*($Z9*12.73)+'LINEST VARS'!$C$50*(4*0.5)+'LINEST VARS'!$B$50*(4*12.73)+'LINEST VARS'!$A$50*(0.5*12.73)</f>
        <v>329.77999999999992</v>
      </c>
      <c r="AD9" s="46">
        <f>'LINEST VARS'!$U$50+'LINEST VARS'!$T$50*($AD$8)+'LINEST VARS'!$S$50*($Z9)+'LINEST VARS'!$R$50*(4)+'LINEST VARS'!$Q$50*(0.5)+'LINEST VARS'!$P$50*(12.73)+'LINEST VARS'!$O$50*($AD$8^2)+'LINEST VARS'!$N$50*($Z9^2)+'LINEST VARS'!$M$50*(4^2)+'LINEST VARS'!$L$50*(0.5^2)+'LINEST VARS'!$K$50*(12.73^2)+'LINEST VARS'!$J$50*($AD$8*$Z9)+'LINEST VARS'!$I$50*($AD$8*4)+'LINEST VARS'!$H$50*($AD$8*0.5)+'LINEST VARS'!$G$50*($AD$8*12.73)+'LINEST VARS'!$F$50*($Z9*4)+'LINEST VARS'!$E$50*($Z9*0.5)+'LINEST VARS'!$D$50*($Z9*12.73)+'LINEST VARS'!$C$50*(4*0.5)+'LINEST VARS'!$B$50*(4*12.73)+'LINEST VARS'!$A$50*(0.5*12.73)</f>
        <v>329.86999999999989</v>
      </c>
      <c r="AE9" s="46">
        <f>'LINEST VARS'!$U$50+'LINEST VARS'!$T$50*($AE$8)+'LINEST VARS'!$S$50*($Z9)+'LINEST VARS'!$R$50*(4)+'LINEST VARS'!$Q$50*(0.5)+'LINEST VARS'!$P$50*(12.73)+'LINEST VARS'!$O$50*($AE$8^2)+'LINEST VARS'!$N$50*($Z9^2)+'LINEST VARS'!$M$50*(4^2)+'LINEST VARS'!$L$50*(0.5^2)+'LINEST VARS'!$K$50*(12.73^2)+'LINEST VARS'!$J$50*($AE$8*$Z9)+'LINEST VARS'!$I$50*($AE$8*4)+'LINEST VARS'!$H$50*($AE$8*0.5)+'LINEST VARS'!$G$50*($AE$8*12.73)+'LINEST VARS'!$F$50*($Z9*4)+'LINEST VARS'!$E$50*($Z9*0.5)+'LINEST VARS'!$D$50*($Z9*12.73)+'LINEST VARS'!$C$50*(4*0.5)+'LINEST VARS'!$B$50*(4*12.73)+'LINEST VARS'!$A$50*(0.5*12.73)</f>
        <v>329.95999999999987</v>
      </c>
      <c r="AF9" s="46">
        <f>'LINEST VARS'!$U$50+'LINEST VARS'!$T$50*($AF$8)+'LINEST VARS'!$S$50*($Z9)+'LINEST VARS'!$R$50*(4)+'LINEST VARS'!$Q$50*(0.5)+'LINEST VARS'!$P$50*(12.73)+'LINEST VARS'!$O$50*($AF$8^2)+'LINEST VARS'!$N$50*($Z9^2)+'LINEST VARS'!$M$50*(4^2)+'LINEST VARS'!$L$50*(0.5^2)+'LINEST VARS'!$K$50*(12.73^2)+'LINEST VARS'!$J$50*($AF$8*$Z9)+'LINEST VARS'!$I$50*($AF$8*4)+'LINEST VARS'!$H$50*($AF$8*0.5)+'LINEST VARS'!$G$50*($AF$8*12.73)+'LINEST VARS'!$F$50*($Z9*4)+'LINEST VARS'!$E$50*($Z9*0.5)+'LINEST VARS'!$D$50*($Z9*12.73)+'LINEST VARS'!$C$50*(4*0.5)+'LINEST VARS'!$B$50*(4*12.73)+'LINEST VARS'!$A$50*(0.5*12.73)</f>
        <v>330.0499999999999</v>
      </c>
      <c r="AG9" s="46">
        <f>'LINEST VARS'!$U$50+'LINEST VARS'!$T$50*($AG$8)+'LINEST VARS'!$S$50*($Z9)+'LINEST VARS'!$R$50*(4)+'LINEST VARS'!$Q$50*(0.5)+'LINEST VARS'!$P$50*(12.73)+'LINEST VARS'!$O$50*($AG$8^2)+'LINEST VARS'!$N$50*($Z9^2)+'LINEST VARS'!$M$50*(4^2)+'LINEST VARS'!$L$50*(0.5^2)+'LINEST VARS'!$K$50*(12.73^2)+'LINEST VARS'!$J$50*($AG$8*$Z9)+'LINEST VARS'!$I$50*($AG$8*4)+'LINEST VARS'!$H$50*($AG$8*0.5)+'LINEST VARS'!$G$50*($AG$8*12.73)+'LINEST VARS'!$F$50*($Z9*4)+'LINEST VARS'!$E$50*($Z9*0.5)+'LINEST VARS'!$D$50*($Z9*12.73)+'LINEST VARS'!$C$50*(4*0.5)+'LINEST VARS'!$B$50*(4*12.73)+'LINEST VARS'!$A$50*(0.5*12.73)</f>
        <v>330.13999999999987</v>
      </c>
      <c r="AH9" s="46">
        <f>'LINEST VARS'!$U$50+'LINEST VARS'!$T$50*($AH$8)+'LINEST VARS'!$S$50*($Z9)+'LINEST VARS'!$R$50*(4)+'LINEST VARS'!$Q$50*(0.5)+'LINEST VARS'!$P$50*(12.73)+'LINEST VARS'!$O$50*($AH$8^2)+'LINEST VARS'!$N$50*($Z9^2)+'LINEST VARS'!$M$50*(4^2)+'LINEST VARS'!$L$50*(0.5^2)+'LINEST VARS'!$K$50*(12.73^2)+'LINEST VARS'!$J$50*($AH$8*$Z9)+'LINEST VARS'!$I$50*($AH$8*4)+'LINEST VARS'!$H$50*($AH$8*0.5)+'LINEST VARS'!$G$50*($AH$8*12.73)+'LINEST VARS'!$F$50*($Z9*4)+'LINEST VARS'!$E$50*($Z9*0.5)+'LINEST VARS'!$D$50*($Z9*12.73)+'LINEST VARS'!$C$50*(4*0.5)+'LINEST VARS'!$B$50*(4*12.73)+'LINEST VARS'!$A$50*(0.5*12.73)</f>
        <v>330.2299999999999</v>
      </c>
      <c r="AI9" s="46">
        <f>'LINEST VARS'!$U$50+'LINEST VARS'!$T$50*($AI$8)+'LINEST VARS'!$S$50*($Z9)+'LINEST VARS'!$R$50*(4)+'LINEST VARS'!$Q$50*(0.5)+'LINEST VARS'!$P$50*(12.73)+'LINEST VARS'!$O$50*($AI$8^2)+'LINEST VARS'!$N$50*($Z9^2)+'LINEST VARS'!$M$50*(4^2)+'LINEST VARS'!$L$50*(0.5^2)+'LINEST VARS'!$K$50*(12.73^2)+'LINEST VARS'!$J$50*($AI$8*$Z9)+'LINEST VARS'!$I$50*($AI$8*4)+'LINEST VARS'!$H$50*($AI$8*0.5)+'LINEST VARS'!$G$50*($AI$8*12.73)+'LINEST VARS'!$F$50*($Z9*4)+'LINEST VARS'!$E$50*($Z9*0.5)+'LINEST VARS'!$D$50*($Z9*12.73)+'LINEST VARS'!$C$50*(4*0.5)+'LINEST VARS'!$B$50*(4*12.73)+'LINEST VARS'!$A$50*(0.5*12.73)</f>
        <v>330.31999999999988</v>
      </c>
      <c r="AJ9" s="46">
        <f>'LINEST VARS'!$U$50+'LINEST VARS'!$T$50*($AJ$8)+'LINEST VARS'!$S$50*($Z9)+'LINEST VARS'!$R$50*(4)+'LINEST VARS'!$Q$50*(0.5)+'LINEST VARS'!$P$50*(12.73)+'LINEST VARS'!$O$50*($AJ$8^2)+'LINEST VARS'!$N$50*($Z9^2)+'LINEST VARS'!$M$50*(4^2)+'LINEST VARS'!$L$50*(0.5^2)+'LINEST VARS'!$K$50*(12.73^2)+'LINEST VARS'!$J$50*($AJ$8*$Z9)+'LINEST VARS'!$I$50*($AJ$8*4)+'LINEST VARS'!$H$50*($AJ$8*0.5)+'LINEST VARS'!$G$50*($AJ$8*12.73)+'LINEST VARS'!$F$50*($Z9*4)+'LINEST VARS'!$E$50*($Z9*0.5)+'LINEST VARS'!$D$50*($Z9*12.73)+'LINEST VARS'!$C$50*(4*0.5)+'LINEST VARS'!$B$50*(4*12.73)+'LINEST VARS'!$A$50*(0.5*12.73)</f>
        <v>330.40999999999991</v>
      </c>
      <c r="AK9" s="46">
        <f>'LINEST VARS'!$U$50+'LINEST VARS'!$T$50*($AK$8)+'LINEST VARS'!$S$50*($Z9)+'LINEST VARS'!$R$50*(4)+'LINEST VARS'!$Q$50*(0.5)+'LINEST VARS'!$P$50*(12.73)+'LINEST VARS'!$O$50*($AK$8^2)+'LINEST VARS'!$N$50*($Z9^2)+'LINEST VARS'!$M$50*(4^2)+'LINEST VARS'!$L$50*(0.5^2)+'LINEST VARS'!$K$50*(12.73^2)+'LINEST VARS'!$J$50*($AK$8*$Z9)+'LINEST VARS'!$I$50*($AK$8*4)+'LINEST VARS'!$H$50*($AK$8*0.5)+'LINEST VARS'!$G$50*($AK$8*12.73)+'LINEST VARS'!$F$50*($Z9*4)+'LINEST VARS'!$E$50*($Z9*0.5)+'LINEST VARS'!$D$50*($Z9*12.73)+'LINEST VARS'!$C$50*(4*0.5)+'LINEST VARS'!$B$50*(4*12.73)+'LINEST VARS'!$A$50*(0.5*12.73)</f>
        <v>330.49999999999989</v>
      </c>
      <c r="AL9" s="46">
        <f>'LINEST VARS'!$U$50+'LINEST VARS'!$T$50*($AL$8)+'LINEST VARS'!$S$50*($Z9)+'LINEST VARS'!$R$50*(4)+'LINEST VARS'!$Q$50*(0.5)+'LINEST VARS'!$P$50*(12.73)+'LINEST VARS'!$O$50*($AL$8^2)+'LINEST VARS'!$N$50*($Z9^2)+'LINEST VARS'!$M$50*(4^2)+'LINEST VARS'!$L$50*(0.5^2)+'LINEST VARS'!$K$50*(12.73^2)+'LINEST VARS'!$J$50*($AL$8*$Z9)+'LINEST VARS'!$I$50*($AL$8*4)+'LINEST VARS'!$H$50*($AL$8*0.5)+'LINEST VARS'!$G$50*($AL$8*12.73)+'LINEST VARS'!$F$50*($Z9*4)+'LINEST VARS'!$E$50*($Z9*0.5)+'LINEST VARS'!$D$50*($Z9*12.73)+'LINEST VARS'!$C$50*(4*0.5)+'LINEST VARS'!$B$50*(4*12.73)+'LINEST VARS'!$A$50*(0.5*12.73)</f>
        <v>330.58999999999986</v>
      </c>
      <c r="AM9" s="46">
        <f>'LINEST VARS'!$U$50+'LINEST VARS'!$T$50*($AM$8)+'LINEST VARS'!$S$50*($Z9)+'LINEST VARS'!$R$50*(4)+'LINEST VARS'!$Q$50*(0.5)+'LINEST VARS'!$P$50*(12.73)+'LINEST VARS'!$O$50*($AM$8^2)+'LINEST VARS'!$N$50*($Z9^2)+'LINEST VARS'!$M$50*(4^2)+'LINEST VARS'!$L$50*(0.5^2)+'LINEST VARS'!$K$50*(12.73^2)+'LINEST VARS'!$J$50*($AM$8*$Z9)+'LINEST VARS'!$I$50*($AM$8*4)+'LINEST VARS'!$H$50*($AM$8*0.5)+'LINEST VARS'!$G$50*($AM$8*12.73)+'LINEST VARS'!$F$50*($Z9*4)+'LINEST VARS'!$E$50*($Z9*0.5)+'LINEST VARS'!$D$50*($Z9*12.73)+'LINEST VARS'!$C$50*(4*0.5)+'LINEST VARS'!$B$50*(4*12.73)+'LINEST VARS'!$A$50*(0.5*12.73)</f>
        <v>330.67999999999989</v>
      </c>
      <c r="AN9" s="46">
        <f>'LINEST VARS'!$U$50+'LINEST VARS'!$T$50*($AN$8)+'LINEST VARS'!$S$50*($Z9)+'LINEST VARS'!$R$50*(4)+'LINEST VARS'!$Q$50*(0.5)+'LINEST VARS'!$P$50*(12.73)+'LINEST VARS'!$O$50*($AN$8^2)+'LINEST VARS'!$N$50*($Z9^2)+'LINEST VARS'!$M$50*(4^2)+'LINEST VARS'!$L$50*(0.5^2)+'LINEST VARS'!$K$50*(12.73^2)+'LINEST VARS'!$J$50*($AN$8*$Z9)+'LINEST VARS'!$I$50*($AN$8*4)+'LINEST VARS'!$H$50*($AN$8*0.5)+'LINEST VARS'!$G$50*($AN$8*12.73)+'LINEST VARS'!$F$50*($Z9*4)+'LINEST VARS'!$E$50*($Z9*0.5)+'LINEST VARS'!$D$50*($Z9*12.73)+'LINEST VARS'!$C$50*(4*0.5)+'LINEST VARS'!$B$50*(4*12.73)+'LINEST VARS'!$A$50*(0.5*12.73)</f>
        <v>330.76999999999987</v>
      </c>
      <c r="AO9" s="46">
        <f>'LINEST VARS'!$U$50+'LINEST VARS'!$T$50*($AO$8)+'LINEST VARS'!$S$50*($Z9)+'LINEST VARS'!$R$50*(4)+'LINEST VARS'!$Q$50*(0.5)+'LINEST VARS'!$P$50*(12.73)+'LINEST VARS'!$O$50*($AO$8^2)+'LINEST VARS'!$N$50*($Z9^2)+'LINEST VARS'!$M$50*(4^2)+'LINEST VARS'!$L$50*(0.5^2)+'LINEST VARS'!$K$50*(12.73^2)+'LINEST VARS'!$J$50*($AO$8*$Z9)+'LINEST VARS'!$I$50*($AO$8*4)+'LINEST VARS'!$H$50*($AO$8*0.5)+'LINEST VARS'!$G$50*($AO$8*12.73)+'LINEST VARS'!$F$50*($Z9*4)+'LINEST VARS'!$E$50*($Z9*0.5)+'LINEST VARS'!$D$50*($Z9*12.73)+'LINEST VARS'!$C$50*(4*0.5)+'LINEST VARS'!$B$50*(4*12.73)+'LINEST VARS'!$A$50*(0.5*12.73)</f>
        <v>330.85999999999984</v>
      </c>
      <c r="AP9" s="46">
        <f>'LINEST VARS'!$U$50+'LINEST VARS'!$T$50*($AP$8)+'LINEST VARS'!$S$50*($Z9)+'LINEST VARS'!$R$50*(4)+'LINEST VARS'!$Q$50*(0.5)+'LINEST VARS'!$P$50*(12.73)+'LINEST VARS'!$O$50*($AP$8^2)+'LINEST VARS'!$N$50*($Z9^2)+'LINEST VARS'!$M$50*(4^2)+'LINEST VARS'!$L$50*(0.5^2)+'LINEST VARS'!$K$50*(12.73^2)+'LINEST VARS'!$J$50*($AP$8*$Z9)+'LINEST VARS'!$I$50*($AP$8*4)+'LINEST VARS'!$H$50*($AP$8*0.5)+'LINEST VARS'!$G$50*($AP$8*12.73)+'LINEST VARS'!$F$50*($Z9*4)+'LINEST VARS'!$E$50*($Z9*0.5)+'LINEST VARS'!$D$50*($Z9*12.73)+'LINEST VARS'!$C$50*(4*0.5)+'LINEST VARS'!$B$50*(4*12.73)+'LINEST VARS'!$A$50*(0.5*12.73)</f>
        <v>330.94999999999982</v>
      </c>
      <c r="AQ9" s="46">
        <f>'LINEST VARS'!$U$50+'LINEST VARS'!$T$50*($AQ$8)+'LINEST VARS'!$S$50*($Z9)+'LINEST VARS'!$R$50*(4)+'LINEST VARS'!$Q$50*(0.5)+'LINEST VARS'!$P$50*(12.73)+'LINEST VARS'!$O$50*($AQ$8^2)+'LINEST VARS'!$N$50*($Z9^2)+'LINEST VARS'!$M$50*(4^2)+'LINEST VARS'!$L$50*(0.5^2)+'LINEST VARS'!$K$50*(12.73^2)+'LINEST VARS'!$J$50*($AQ$8*$Z9)+'LINEST VARS'!$I$50*($AQ$8*4)+'LINEST VARS'!$H$50*($AQ$8*0.5)+'LINEST VARS'!$G$50*($AQ$8*12.73)+'LINEST VARS'!$F$50*($Z9*4)+'LINEST VARS'!$E$50*($Z9*0.5)+'LINEST VARS'!$D$50*($Z9*12.73)+'LINEST VARS'!$C$50*(4*0.5)+'LINEST VARS'!$B$50*(4*12.73)+'LINEST VARS'!$A$50*(0.5*12.73)</f>
        <v>331.03999999999985</v>
      </c>
      <c r="AR9" s="46">
        <f>'LINEST VARS'!$U$50+'LINEST VARS'!$T$50*($AR$8)+'LINEST VARS'!$S$50*($Z9)+'LINEST VARS'!$R$50*(4)+'LINEST VARS'!$Q$50*(0.5)+'LINEST VARS'!$P$50*(12.73)+'LINEST VARS'!$O$50*($AR$8^2)+'LINEST VARS'!$N$50*($Z9^2)+'LINEST VARS'!$M$50*(4^2)+'LINEST VARS'!$L$50*(0.5^2)+'LINEST VARS'!$K$50*(12.73^2)+'LINEST VARS'!$J$50*($AR$8*$Z9)+'LINEST VARS'!$I$50*($AR$8*4)+'LINEST VARS'!$H$50*($AR$8*0.5)+'LINEST VARS'!$G$50*($AR$8*12.73)+'LINEST VARS'!$F$50*($Z9*4)+'LINEST VARS'!$E$50*($Z9*0.5)+'LINEST VARS'!$D$50*($Z9*12.73)+'LINEST VARS'!$C$50*(4*0.5)+'LINEST VARS'!$B$50*(4*12.73)+'LINEST VARS'!$A$50*(0.5*12.73)</f>
        <v>331.12999999999982</v>
      </c>
      <c r="AS9" s="46">
        <f>'LINEST VARS'!$U$50+'LINEST VARS'!$T$50*($AS$8)+'LINEST VARS'!$S$50*($Z9)+'LINEST VARS'!$R$50*(4)+'LINEST VARS'!$Q$50*(0.5)+'LINEST VARS'!$P$50*(12.73)+'LINEST VARS'!$O$50*($AS$8^2)+'LINEST VARS'!$N$50*($Z9^2)+'LINEST VARS'!$M$50*(4^2)+'LINEST VARS'!$L$50*(0.5^2)+'LINEST VARS'!$K$50*(12.73^2)+'LINEST VARS'!$J$50*($AS$8*$Z9)+'LINEST VARS'!$I$50*($AS$8*4)+'LINEST VARS'!$H$50*($AS$8*0.5)+'LINEST VARS'!$G$50*($AS$8*12.73)+'LINEST VARS'!$F$50*($Z9*4)+'LINEST VARS'!$E$50*($Z9*0.5)+'LINEST VARS'!$D$50*($Z9*12.73)+'LINEST VARS'!$C$50*(4*0.5)+'LINEST VARS'!$B$50*(4*12.73)+'LINEST VARS'!$A$50*(0.5*12.73)</f>
        <v>331.2199999999998</v>
      </c>
      <c r="AT9" s="46">
        <f>'LINEST VARS'!$U$50+'LINEST VARS'!$T$50*($AT$8)+'LINEST VARS'!$S$50*($Z9)+'LINEST VARS'!$R$50*(4)+'LINEST VARS'!$Q$50*(0.5)+'LINEST VARS'!$P$50*(12.73)+'LINEST VARS'!$O$50*($AT$8^2)+'LINEST VARS'!$N$50*($Z9^2)+'LINEST VARS'!$M$50*(4^2)+'LINEST VARS'!$L$50*(0.5^2)+'LINEST VARS'!$K$50*(12.73^2)+'LINEST VARS'!$J$50*($AT$8*$Z9)+'LINEST VARS'!$I$50*($AT$8*4)+'LINEST VARS'!$H$50*($AT$8*0.5)+'LINEST VARS'!$G$50*($AT$8*12.73)+'LINEST VARS'!$F$50*($Z9*4)+'LINEST VARS'!$E$50*($Z9*0.5)+'LINEST VARS'!$D$50*($Z9*12.73)+'LINEST VARS'!$C$50*(4*0.5)+'LINEST VARS'!$B$50*(4*12.73)+'LINEST VARS'!$A$50*(0.5*12.73)</f>
        <v>331.30999999999983</v>
      </c>
      <c r="AU9" s="47">
        <f>'LINEST VARS'!$U$50+'LINEST VARS'!$T$50*($AU$8)+'LINEST VARS'!$S$50*($Z9)+'LINEST VARS'!$R$50*(4)+'LINEST VARS'!$Q$50*(0.5)+'LINEST VARS'!$P$50*(12.73)+'LINEST VARS'!$O$50*($AU$8^2)+'LINEST VARS'!$N$50*($Z9^2)+'LINEST VARS'!$M$50*(4^2)+'LINEST VARS'!$L$50*(0.5^2)+'LINEST VARS'!$K$50*(12.73^2)+'LINEST VARS'!$J$50*($AU$8*$Z9)+'LINEST VARS'!$I$50*($AU$8*4)+'LINEST VARS'!$H$50*($AU$8*0.5)+'LINEST VARS'!$G$50*($AU$8*12.73)+'LINEST VARS'!$F$50*($Z9*4)+'LINEST VARS'!$E$50*($Z9*0.5)+'LINEST VARS'!$D$50*($Z9*12.73)+'LINEST VARS'!$C$50*(4*0.5)+'LINEST VARS'!$B$50*(4*12.73)+'LINEST VARS'!$A$50*(0.5*12.73)</f>
        <v>331.39999999999981</v>
      </c>
      <c r="AZ9" s="45">
        <v>0</v>
      </c>
      <c r="BA9" s="46">
        <f>'LINEST VARS'!$U$48+'LINEST VARS'!$T$48*(8)+'LINEST VARS'!$S$48*(8)+'LINEST VARS'!$R$48*($BA$8)+'LINEST VARS'!$Q$48*($AZ9)+'LINEST VARS'!$P$48*(12.73)+'LINEST VARS'!$O$48*(8^2)+'LINEST VARS'!$N$48*(8^2)+'LINEST VARS'!$M$48*($BA$8^2)+'LINEST VARS'!$L$48*($AZ9^2)+'LINEST VARS'!$K$48*(12.73^2)+'LINEST VARS'!$J$48*(8*8)+'LINEST VARS'!$I$48*(8*$BA$8)+'LINEST VARS'!$H$48*(8*$AZ9)+'LINEST VARS'!$G$48*(8*12.73)+'LINEST VARS'!$F$48*(8*$BA$8)+'LINEST VARS'!$E$48*(8*$AZ9)+'LINEST VARS'!$D$48*(8*12.73)+'LINEST VARS'!$C$48*($BA$8*$AZ9)+'LINEST VARS'!$B$48*($BA$8*12.73)+'LINEST VARS'!$A$48*($AZ9*12.73)</f>
        <v>369.99999999999983</v>
      </c>
      <c r="BB9" s="46">
        <f>'LINEST VARS'!$U$48+'LINEST VARS'!$T$48*(8)+'LINEST VARS'!$S$48*(8)+'LINEST VARS'!$R$48*($BB$8)+'LINEST VARS'!$Q$48*($AZ9)+'LINEST VARS'!$P$48*(12.73)+'LINEST VARS'!$O$48*(8^2)+'LINEST VARS'!$N$48*(8^2)+'LINEST VARS'!$M$48*($BB$8^2)+'LINEST VARS'!$L$48*($AZ9^2)+'LINEST VARS'!$K$48*(12.73^2)+'LINEST VARS'!$J$48*(8*8)+'LINEST VARS'!$I$48*(8*$BB$8)+'LINEST VARS'!$H$48*(8*$AZ9)+'LINEST VARS'!$G$48*(8*12.73)+'LINEST VARS'!$F$48*(8*$BB$8)+'LINEST VARS'!$E$48*(8*$AZ9)+'LINEST VARS'!$D$48*(8*12.73)+'LINEST VARS'!$C$48*($BB$8*$AZ9)+'LINEST VARS'!$B$48*($BB$8*12.73)+'LINEST VARS'!$A$48*($AZ9*12.73)</f>
        <v>369.99999999999983</v>
      </c>
      <c r="BC9" s="46">
        <f>'LINEST VARS'!$U$48+'LINEST VARS'!$T$48*(8)+'LINEST VARS'!$S$48*(8)+'LINEST VARS'!$R$48*($BC$8)+'LINEST VARS'!$Q$48*($AZ9)+'LINEST VARS'!$P$48*(12.73)+'LINEST VARS'!$O$48*(8^2)+'LINEST VARS'!$N$48*(8^2)+'LINEST VARS'!$M$48*($BC$8^2)+'LINEST VARS'!$L$48*($AZ9^2)+'LINEST VARS'!$K$48*(12.73^2)+'LINEST VARS'!$J$48*(8*8)+'LINEST VARS'!$I$48*(8*$BC$8)+'LINEST VARS'!$H$48*(8*$AZ9)+'LINEST VARS'!$G$48*(8*12.73)+'LINEST VARS'!$F$48*(8*$BC$8)+'LINEST VARS'!$E$48*(8*$AZ9)+'LINEST VARS'!$D$48*(8*12.73)+'LINEST VARS'!$C$48*($BC$8*$AZ9)+'LINEST VARS'!$B$48*($BC$8*12.73)+'LINEST VARS'!$A$48*($AZ9*12.73)</f>
        <v>369.99999999999983</v>
      </c>
      <c r="BD9" s="46">
        <f>'LINEST VARS'!$U$48+'LINEST VARS'!$T$48*(8)+'LINEST VARS'!$S$48*(8)+'LINEST VARS'!$R$48*($BD$8)+'LINEST VARS'!$Q$48*($AZ9)+'LINEST VARS'!$P$48*(12.73)+'LINEST VARS'!$O$48*(8^2)+'LINEST VARS'!$N$48*(8^2)+'LINEST VARS'!$M$48*($BD$8^2)+'LINEST VARS'!$L$48*($AZ9^2)+'LINEST VARS'!$K$48*(12.73^2)+'LINEST VARS'!$J$48*(8*8)+'LINEST VARS'!$I$48*(8*$BD$8)+'LINEST VARS'!$H$48*(8*$AZ9)+'LINEST VARS'!$G$48*(8*12.73)+'LINEST VARS'!$F$48*(8*$BD$8)+'LINEST VARS'!$E$48*(8*$AZ9)+'LINEST VARS'!$D$48*(8*12.73)+'LINEST VARS'!$C$48*($BD$8*$AZ9)+'LINEST VARS'!$B$48*($BD$8*12.73)+'LINEST VARS'!$A$48*($AZ9*12.73)</f>
        <v>369.99999999999983</v>
      </c>
      <c r="BE9" s="46">
        <f>'LINEST VARS'!$U$48+'LINEST VARS'!$T$48*(8)+'LINEST VARS'!$S$48*(8)+'LINEST VARS'!$R$48*($BE$8)+'LINEST VARS'!$Q$48*($AZ9)+'LINEST VARS'!$P$48*(12.73)+'LINEST VARS'!$O$48*(8^2)+'LINEST VARS'!$N$48*(8^2)+'LINEST VARS'!$M$48*($BE$8^2)+'LINEST VARS'!$L$48*($AZ9^2)+'LINEST VARS'!$K$48*(12.73^2)+'LINEST VARS'!$J$48*(8*8)+'LINEST VARS'!$I$48*(8*$BE$8)+'LINEST VARS'!$H$48*(8*$AZ9)+'LINEST VARS'!$G$48*(8*12.73)+'LINEST VARS'!$F$48*(8*$BE$8)+'LINEST VARS'!$E$48*(8*$AZ9)+'LINEST VARS'!$D$48*(8*12.73)+'LINEST VARS'!$C$48*($BE$8*$AZ9)+'LINEST VARS'!$B$48*($BE$8*12.73)+'LINEST VARS'!$A$48*($AZ9*12.73)</f>
        <v>369.99999999999983</v>
      </c>
      <c r="BF9" s="46">
        <f>'LINEST VARS'!$U$48+'LINEST VARS'!$T$48*(8)+'LINEST VARS'!$S$48*(8)+'LINEST VARS'!$R$48*($BF$8)+'LINEST VARS'!$Q$48*($AZ9)+'LINEST VARS'!$P$48*(12.73)+'LINEST VARS'!$O$48*(8^2)+'LINEST VARS'!$N$48*(8^2)+'LINEST VARS'!$M$48*($BF$8^2)+'LINEST VARS'!$L$48*($AZ9^2)+'LINEST VARS'!$K$48*(12.73^2)+'LINEST VARS'!$J$48*(8*8)+'LINEST VARS'!$I$48*(8*$BF$8)+'LINEST VARS'!$H$48*(8*$AZ9)+'LINEST VARS'!$G$48*(8*12.73)+'LINEST VARS'!$F$48*(8*$BF$8)+'LINEST VARS'!$E$48*(8*$AZ9)+'LINEST VARS'!$D$48*(8*12.73)+'LINEST VARS'!$C$48*($BF$8*$AZ9)+'LINEST VARS'!$B$48*($BF$8*12.73)+'LINEST VARS'!$A$48*($AZ9*12.73)</f>
        <v>369.99999999999983</v>
      </c>
      <c r="BG9" s="46">
        <f>'LINEST VARS'!$U$48+'LINEST VARS'!$T$48*(8)+'LINEST VARS'!$S$48*(8)+'LINEST VARS'!$R$48*($BG$8)+'LINEST VARS'!$Q$48*($AZ9)+'LINEST VARS'!$P$48*(12.73)+'LINEST VARS'!$O$48*(8^2)+'LINEST VARS'!$N$48*(8^2)+'LINEST VARS'!$M$48*($BG$8^2)+'LINEST VARS'!$L$48*($AZ9^2)+'LINEST VARS'!$K$48*(12.73^2)+'LINEST VARS'!$J$48*(8*8)+'LINEST VARS'!$I$48*(8*$BG$8)+'LINEST VARS'!$H$48*(8*$AZ9)+'LINEST VARS'!$G$48*(8*12.73)+'LINEST VARS'!$F$48*(8*$BG$8)+'LINEST VARS'!$E$48*(8*$AZ9)+'LINEST VARS'!$D$48*(8*12.73)+'LINEST VARS'!$C$48*($BG$8*$AZ9)+'LINEST VARS'!$B$48*($BG$8*12.73)+'LINEST VARS'!$A$48*($AZ9*12.73)</f>
        <v>369.99999999999983</v>
      </c>
      <c r="BH9" s="46">
        <f>'LINEST VARS'!$U$48+'LINEST VARS'!$T$48*(8)+'LINEST VARS'!$S$48*(8)+'LINEST VARS'!$R$48*($BH$8)+'LINEST VARS'!$Q$48*($AZ9)+'LINEST VARS'!$P$48*(12.73)+'LINEST VARS'!$O$48*(8^2)+'LINEST VARS'!$N$48*(8^2)+'LINEST VARS'!$M$48*($BH$8^2)+'LINEST VARS'!$L$48*($AZ9^2)+'LINEST VARS'!$K$48*(12.73^2)+'LINEST VARS'!$J$48*(8*8)+'LINEST VARS'!$I$48*(8*$BH$8)+'LINEST VARS'!$H$48*(8*$AZ9)+'LINEST VARS'!$G$48*(8*12.73)+'LINEST VARS'!$F$48*(8*$BH$8)+'LINEST VARS'!$E$48*(8*$AZ9)+'LINEST VARS'!$D$48*(8*12.73)+'LINEST VARS'!$C$48*($BH$8*$AZ9)+'LINEST VARS'!$B$48*($BH$8*12.73)+'LINEST VARS'!$A$48*($AZ9*12.73)</f>
        <v>369.99999999999983</v>
      </c>
      <c r="BI9" s="46">
        <f>'LINEST VARS'!$U$48+'LINEST VARS'!$T$48*(8)+'LINEST VARS'!$S$48*(8)+'LINEST VARS'!$R$48*($BI$8)+'LINEST VARS'!$Q$48*($AZ9)+'LINEST VARS'!$P$48*(12.73)+'LINEST VARS'!$O$48*(8^2)+'LINEST VARS'!$N$48*(8^2)+'LINEST VARS'!$M$48*($BI$8^2)+'LINEST VARS'!$L$48*($AZ9^2)+'LINEST VARS'!$K$48*(12.73^2)+'LINEST VARS'!$J$48*(8*8)+'LINEST VARS'!$I$48*(8*$BI$8)+'LINEST VARS'!$H$48*(8*$AZ9)+'LINEST VARS'!$G$48*(8*12.73)+'LINEST VARS'!$F$48*(8*$BI$8)+'LINEST VARS'!$E$48*(8*$AZ9)+'LINEST VARS'!$D$48*(8*12.73)+'LINEST VARS'!$C$48*($BI$8*$AZ9)+'LINEST VARS'!$B$48*($BI$8*12.73)+'LINEST VARS'!$A$48*($AZ9*12.73)</f>
        <v>369.99999999999983</v>
      </c>
      <c r="BJ9" s="46">
        <f>'LINEST VARS'!$U$48+'LINEST VARS'!$T$48*(8)+'LINEST VARS'!$S$48*(8)+'LINEST VARS'!$R$48*($BJ$8)+'LINEST VARS'!$Q$48*($AZ9)+'LINEST VARS'!$P$48*(12.73)+'LINEST VARS'!$O$48*(8^2)+'LINEST VARS'!$N$48*(8^2)+'LINEST VARS'!$M$48*($BJ$8^2)+'LINEST VARS'!$L$48*($AZ9^2)+'LINEST VARS'!$K$48*(12.73^2)+'LINEST VARS'!$J$48*(8*8)+'LINEST VARS'!$I$48*(8*$BJ$8)+'LINEST VARS'!$H$48*(8*$AZ9)+'LINEST VARS'!$G$48*(8*12.73)+'LINEST VARS'!$F$48*(8*$BJ$8)+'LINEST VARS'!$E$48*(8*$AZ9)+'LINEST VARS'!$D$48*(8*12.73)+'LINEST VARS'!$C$48*($BJ$8*$AZ9)+'LINEST VARS'!$B$48*($BJ$8*12.73)+'LINEST VARS'!$A$48*($AZ9*12.73)</f>
        <v>369.99999999999983</v>
      </c>
      <c r="BK9" s="46">
        <f>'LINEST VARS'!$U$48+'LINEST VARS'!$T$48*(8)+'LINEST VARS'!$S$48*(8)+'LINEST VARS'!$R$48*($BK$8)+'LINEST VARS'!$Q$48*($AZ9)+'LINEST VARS'!$P$48*(12.73)+'LINEST VARS'!$O$48*(8^2)+'LINEST VARS'!$N$48*(8^2)+'LINEST VARS'!$M$48*($BK$8^2)+'LINEST VARS'!$L$48*($AZ9^2)+'LINEST VARS'!$K$48*(12.73^2)+'LINEST VARS'!$J$48*(8*8)+'LINEST VARS'!$I$48*(8*$BK$8)+'LINEST VARS'!$H$48*(8*$AZ9)+'LINEST VARS'!$G$48*(8*12.73)+'LINEST VARS'!$F$48*(8*$BK$8)+'LINEST VARS'!$E$48*(8*$AZ9)+'LINEST VARS'!$D$48*(8*12.73)+'LINEST VARS'!$C$48*($BK$8*$AZ9)+'LINEST VARS'!$B$48*($BK$8*12.73)+'LINEST VARS'!$A$48*($AZ9*12.73)</f>
        <v>369.99999999999983</v>
      </c>
      <c r="BL9" s="46">
        <f>'LINEST VARS'!$U$48+'LINEST VARS'!$T$48*(8)+'LINEST VARS'!$S$48*(8)+'LINEST VARS'!$R$48*($BL$8)+'LINEST VARS'!$Q$48*($AZ9)+'LINEST VARS'!$P$48*(12.73)+'LINEST VARS'!$O$48*(8^2)+'LINEST VARS'!$N$48*(8^2)+'LINEST VARS'!$M$48*($BL$8^2)+'LINEST VARS'!$L$48*($AZ9^2)+'LINEST VARS'!$K$48*(12.73^2)+'LINEST VARS'!$J$48*(8*8)+'LINEST VARS'!$I$48*(8*$BL$8)+'LINEST VARS'!$H$48*(8*$AZ9)+'LINEST VARS'!$G$48*(8*12.73)+'LINEST VARS'!$F$48*(8*$BL$8)+'LINEST VARS'!$E$48*(8*$AZ9)+'LINEST VARS'!$D$48*(8*12.73)+'LINEST VARS'!$C$48*($BL$8*$AZ9)+'LINEST VARS'!$B$48*($BL$8*12.73)+'LINEST VARS'!$A$48*($AZ9*12.73)</f>
        <v>369.99999999999983</v>
      </c>
      <c r="BM9" s="46">
        <f>'LINEST VARS'!$U$48+'LINEST VARS'!$T$48*(8)+'LINEST VARS'!$S$48*(8)+'LINEST VARS'!$R$48*($BM$8)+'LINEST VARS'!$Q$48*($AZ9)+'LINEST VARS'!$P$48*(12.73)+'LINEST VARS'!$O$48*(8^2)+'LINEST VARS'!$N$48*(8^2)+'LINEST VARS'!$M$48*($BM$8^2)+'LINEST VARS'!$L$48*($AZ9^2)+'LINEST VARS'!$K$48*(12.73^2)+'LINEST VARS'!$J$48*(8*8)+'LINEST VARS'!$I$48*(8*$BM$8)+'LINEST VARS'!$H$48*(8*$AZ9)+'LINEST VARS'!$G$48*(8*12.73)+'LINEST VARS'!$F$48*(8*$BM$8)+'LINEST VARS'!$E$48*(8*$AZ9)+'LINEST VARS'!$D$48*(8*12.73)+'LINEST VARS'!$C$48*($BM$8*$AZ9)+'LINEST VARS'!$B$48*($BM$8*12.73)+'LINEST VARS'!$A$48*($AZ9*12.73)</f>
        <v>369.99999999999983</v>
      </c>
      <c r="BN9" s="46">
        <f>'LINEST VARS'!$U$48+'LINEST VARS'!$T$48*(8)+'LINEST VARS'!$S$48*(8)+'LINEST VARS'!$R$48*($BN$8)+'LINEST VARS'!$Q$48*($AZ9)+'LINEST VARS'!$P$48*(12.73)+'LINEST VARS'!$O$48*(8^2)+'LINEST VARS'!$N$48*(8^2)+'LINEST VARS'!$M$48*($BN$8^2)+'LINEST VARS'!$L$48*($AZ9^2)+'LINEST VARS'!$K$48*(12.73^2)+'LINEST VARS'!$J$48*(8*8)+'LINEST VARS'!$I$48*(8*$BN$8)+'LINEST VARS'!$H$48*(8*$AZ9)+'LINEST VARS'!$G$48*(8*12.73)+'LINEST VARS'!$F$48*(8*$BN$8)+'LINEST VARS'!$E$48*(8*$AZ9)+'LINEST VARS'!$D$48*(8*12.73)+'LINEST VARS'!$C$48*($BN$8*$AZ9)+'LINEST VARS'!$B$48*($BN$8*12.73)+'LINEST VARS'!$A$48*($AZ9*12.73)</f>
        <v>369.99999999999989</v>
      </c>
      <c r="BO9" s="46">
        <f>'LINEST VARS'!$U$48+'LINEST VARS'!$T$48*(8)+'LINEST VARS'!$S$48*(8)+'LINEST VARS'!$R$48*($BO$8)+'LINEST VARS'!$Q$48*($AZ9)+'LINEST VARS'!$P$48*(12.73)+'LINEST VARS'!$O$48*(8^2)+'LINEST VARS'!$N$48*(8^2)+'LINEST VARS'!$M$48*($BO$8^2)+'LINEST VARS'!$L$48*($AZ9^2)+'LINEST VARS'!$K$48*(12.73^2)+'LINEST VARS'!$J$48*(8*8)+'LINEST VARS'!$I$48*(8*$BO$8)+'LINEST VARS'!$H$48*(8*$AZ9)+'LINEST VARS'!$G$48*(8*12.73)+'LINEST VARS'!$F$48*(8*$BO$8)+'LINEST VARS'!$E$48*(8*$AZ9)+'LINEST VARS'!$D$48*(8*12.73)+'LINEST VARS'!$C$48*($BO$8*$AZ9)+'LINEST VARS'!$B$48*($BO$8*12.73)+'LINEST VARS'!$A$48*($AZ9*12.73)</f>
        <v>369.99999999999989</v>
      </c>
      <c r="BP9" s="46">
        <f>'LINEST VARS'!$U$48+'LINEST VARS'!$T$48*(8)+'LINEST VARS'!$S$48*(8)+'LINEST VARS'!$R$48*($BP$8)+'LINEST VARS'!$Q$48*($AZ9)+'LINEST VARS'!$P$48*(12.73)+'LINEST VARS'!$O$48*(8^2)+'LINEST VARS'!$N$48*(8^2)+'LINEST VARS'!$M$48*($BP$8^2)+'LINEST VARS'!$L$48*($AZ9^2)+'LINEST VARS'!$K$48*(12.73^2)+'LINEST VARS'!$J$48*(8*8)+'LINEST VARS'!$I$48*(8*$BP$8)+'LINEST VARS'!$H$48*(8*$AZ9)+'LINEST VARS'!$G$48*(8*12.73)+'LINEST VARS'!$F$48*(8*$BP$8)+'LINEST VARS'!$E$48*(8*$AZ9)+'LINEST VARS'!$D$48*(8*12.73)+'LINEST VARS'!$C$48*($BP$8*$AZ9)+'LINEST VARS'!$B$48*($BP$8*12.73)+'LINEST VARS'!$A$48*($AZ9*12.73)</f>
        <v>369.99999999999989</v>
      </c>
      <c r="BQ9" s="46">
        <f>'LINEST VARS'!$U$48+'LINEST VARS'!$T$48*(8)+'LINEST VARS'!$S$48*(8)+'LINEST VARS'!$R$48*($BQ$8)+'LINEST VARS'!$Q$48*($AZ9)+'LINEST VARS'!$P$48*(12.73)+'LINEST VARS'!$O$48*(8^2)+'LINEST VARS'!$N$48*(8^2)+'LINEST VARS'!$M$48*($BQ$8^2)+'LINEST VARS'!$L$48*($AZ9^2)+'LINEST VARS'!$K$48*(12.73^2)+'LINEST VARS'!$J$48*(8*8)+'LINEST VARS'!$I$48*(8*$BQ$8)+'LINEST VARS'!$H$48*(8*$AZ9)+'LINEST VARS'!$G$48*(8*12.73)+'LINEST VARS'!$F$48*(8*$BQ$8)+'LINEST VARS'!$E$48*(8*$AZ9)+'LINEST VARS'!$D$48*(8*12.73)+'LINEST VARS'!$C$48*($BQ$8*$AZ9)+'LINEST VARS'!$B$48*($BQ$8*12.73)+'LINEST VARS'!$A$48*($AZ9*12.73)</f>
        <v>369.99999999999983</v>
      </c>
      <c r="BR9" s="46">
        <f>'LINEST VARS'!$U$48+'LINEST VARS'!$T$48*(8)+'LINEST VARS'!$S$48*(8)+'LINEST VARS'!$R$48*($BR$8)+'LINEST VARS'!$Q$48*($AZ9)+'LINEST VARS'!$P$48*(12.73)+'LINEST VARS'!$O$48*(8^2)+'LINEST VARS'!$N$48*(8^2)+'LINEST VARS'!$M$48*($BR$8^2)+'LINEST VARS'!$L$48*($AZ9^2)+'LINEST VARS'!$K$48*(12.73^2)+'LINEST VARS'!$J$48*(8*8)+'LINEST VARS'!$I$48*(8*$BR$8)+'LINEST VARS'!$H$48*(8*$AZ9)+'LINEST VARS'!$G$48*(8*12.73)+'LINEST VARS'!$F$48*(8*$BR$8)+'LINEST VARS'!$E$48*(8*$AZ9)+'LINEST VARS'!$D$48*(8*12.73)+'LINEST VARS'!$C$48*($BR$8*$AZ9)+'LINEST VARS'!$B$48*($BR$8*12.73)+'LINEST VARS'!$A$48*($AZ9*12.73)</f>
        <v>369.99999999999983</v>
      </c>
      <c r="BS9" s="46">
        <f>'LINEST VARS'!$U$48+'LINEST VARS'!$T$48*(8)+'LINEST VARS'!$S$48*(8)+'LINEST VARS'!$R$48*($BS$8)+'LINEST VARS'!$Q$48*($AZ9)+'LINEST VARS'!$P$48*(12.73)+'LINEST VARS'!$O$48*(8^2)+'LINEST VARS'!$N$48*(8^2)+'LINEST VARS'!$M$48*($BS$8^2)+'LINEST VARS'!$L$48*($AZ9^2)+'LINEST VARS'!$K$48*(12.73^2)+'LINEST VARS'!$J$48*(8*8)+'LINEST VARS'!$I$48*(8*$BS$8)+'LINEST VARS'!$H$48*(8*$AZ9)+'LINEST VARS'!$G$48*(8*12.73)+'LINEST VARS'!$F$48*(8*$BS$8)+'LINEST VARS'!$E$48*(8*$AZ9)+'LINEST VARS'!$D$48*(8*12.73)+'LINEST VARS'!$C$48*($BS$8*$AZ9)+'LINEST VARS'!$B$48*($BS$8*12.73)+'LINEST VARS'!$A$48*($AZ9*12.73)</f>
        <v>369.99999999999983</v>
      </c>
      <c r="BT9" s="46">
        <f>'LINEST VARS'!$U$48+'LINEST VARS'!$T$48*(8)+'LINEST VARS'!$S$48*(8)+'LINEST VARS'!$R$48*($BT$8)+'LINEST VARS'!$Q$48*($AZ9)+'LINEST VARS'!$P$48*(12.73)+'LINEST VARS'!$O$48*(8^2)+'LINEST VARS'!$N$48*(8^2)+'LINEST VARS'!$M$48*($BT$8^2)+'LINEST VARS'!$L$48*($AZ9^2)+'LINEST VARS'!$K$48*(12.73^2)+'LINEST VARS'!$J$48*(8*8)+'LINEST VARS'!$I$48*(8*$BT$8)+'LINEST VARS'!$H$48*(8*$AZ9)+'LINEST VARS'!$G$48*(8*12.73)+'LINEST VARS'!$F$48*(8*$BT$8)+'LINEST VARS'!$E$48*(8*$AZ9)+'LINEST VARS'!$D$48*(8*12.73)+'LINEST VARS'!$C$48*($BT$8*$AZ9)+'LINEST VARS'!$B$48*($BT$8*12.73)+'LINEST VARS'!$A$48*($AZ9*12.73)</f>
        <v>369.99999999999983</v>
      </c>
      <c r="BU9" s="47">
        <f>'LINEST VARS'!$U$48+'LINEST VARS'!$T$48*(8)+'LINEST VARS'!$S$48*(8)+'LINEST VARS'!$R$48*($BU$8)+'LINEST VARS'!$Q$48*($AZ9)+'LINEST VARS'!$P$48*(12.73)+'LINEST VARS'!$O$48*(8^2)+'LINEST VARS'!$N$48*(8^2)+'LINEST VARS'!$M$48*($BU$8^2)+'LINEST VARS'!$L$48*($AZ9^2)+'LINEST VARS'!$K$48*(12.73^2)+'LINEST VARS'!$J$48*(8*8)+'LINEST VARS'!$I$48*(8*$BU$8)+'LINEST VARS'!$H$48*(8*$AZ9)+'LINEST VARS'!$G$48*(8*12.73)+'LINEST VARS'!$F$48*(8*$BU$8)+'LINEST VARS'!$E$48*(8*$AZ9)+'LINEST VARS'!$D$48*(8*12.73)+'LINEST VARS'!$C$48*($BU$8*$AZ9)+'LINEST VARS'!$B$48*($BU$8*12.73)+'LINEST VARS'!$A$48*($AZ9*12.73)</f>
        <v>369.99999999999983</v>
      </c>
      <c r="BX9" s="45">
        <v>0</v>
      </c>
      <c r="BY9" s="46">
        <f>'LINEST VARS'!$U$50+'LINEST VARS'!$T$50*(8)+'LINEST VARS'!$S$50*(8)+'LINEST VARS'!$R$50*($BY$8)+'LINEST VARS'!$Q$50*($BX9)+'LINEST VARS'!$P$50*(12.73)+'LINEST VARS'!$O$50*(8^2)+'LINEST VARS'!$N$50*(8^2)+'LINEST VARS'!$M$50*($BY$8^2)+'LINEST VARS'!$L$50*($BX9^2)+'LINEST VARS'!$K$50*(12.73^2)+'LINEST VARS'!$J$50*(8*8)+'LINEST VARS'!$I$50*(8*$BY$8)+'LINEST VARS'!$H$50*(8*$BX9)+'LINEST VARS'!$G$50*(8*12.73)+'LINEST VARS'!$F$50*(8*$BY$8)+'LINEST VARS'!$E$50*(8*$BX9)+'LINEST VARS'!$D$50*(8*12.73)+'LINEST VARS'!$C$50*($BY$8*$BX9)+'LINEST VARS'!$B$50*($BY$8*12.73)+'LINEST VARS'!$A$50*($BX9*12.73)</f>
        <v>331.99999999999989</v>
      </c>
      <c r="BZ9" s="46">
        <f>'LINEST VARS'!$U$50+'LINEST VARS'!$T$50*(8)+'LINEST VARS'!$S$50*(8)+'LINEST VARS'!$R$50*($BZ$8)+'LINEST VARS'!$Q$50*($BX9)+'LINEST VARS'!$P$50*(12.73)+'LINEST VARS'!$O$50*(8^2)+'LINEST VARS'!$N$50*(8^2)+'LINEST VARS'!$M$50*($BZ$8^2)+'LINEST VARS'!$L$50*($BX9^2)+'LINEST VARS'!$K$50*(12.73^2)+'LINEST VARS'!$J$50*(8*8)+'LINEST VARS'!$I$50*(8*$BZ$8)+'LINEST VARS'!$H$50*(8*$BX9)+'LINEST VARS'!$G$50*(8*12.73)+'LINEST VARS'!$F$50*(8*$BZ$8)+'LINEST VARS'!$E$50*(8*$BX9)+'LINEST VARS'!$D$50*(8*12.73)+'LINEST VARS'!$C$50*($BZ$8*$BX9)+'LINEST VARS'!$B$50*($BZ$8*12.73)+'LINEST VARS'!$A$50*($BX9*12.73)</f>
        <v>331.99999999999989</v>
      </c>
      <c r="CA9" s="46">
        <f>'LINEST VARS'!$U$50+'LINEST VARS'!$T$50*(8)+'LINEST VARS'!$S$50*(8)+'LINEST VARS'!$R$50*($CA$8)+'LINEST VARS'!$Q$50*($BX9)+'LINEST VARS'!$P$50*(12.73)+'LINEST VARS'!$O$50*(8^2)+'LINEST VARS'!$N$50*(8^2)+'LINEST VARS'!$M$50*($CA$8^2)+'LINEST VARS'!$L$50*($BX9^2)+'LINEST VARS'!$K$50*(12.73^2)+'LINEST VARS'!$J$50*(8*8)+'LINEST VARS'!$I$50*(8*$CA$8)+'LINEST VARS'!$H$50*(8*$BX9)+'LINEST VARS'!$G$50*(8*12.73)+'LINEST VARS'!$F$50*(8*$CA$8)+'LINEST VARS'!$E$50*(8*$BX9)+'LINEST VARS'!$D$50*(8*12.73)+'LINEST VARS'!$C$50*($CA$8*$BX9)+'LINEST VARS'!$B$50*($CA$8*12.73)+'LINEST VARS'!$A$50*($BX9*12.73)</f>
        <v>331.99999999999989</v>
      </c>
      <c r="CB9" s="46">
        <f>'LINEST VARS'!$U$50+'LINEST VARS'!$T$50*(8)+'LINEST VARS'!$S$50*(8)+'LINEST VARS'!$R$50*($CB$8)+'LINEST VARS'!$Q$50*($BX9)+'LINEST VARS'!$P$50*(12.73)+'LINEST VARS'!$O$50*(8^2)+'LINEST VARS'!$N$50*(8^2)+'LINEST VARS'!$M$50*($CB$8^2)+'LINEST VARS'!$L$50*($BX9^2)+'LINEST VARS'!$K$50*(12.73^2)+'LINEST VARS'!$J$50*(8*8)+'LINEST VARS'!$I$50*(8*$CB$8)+'LINEST VARS'!$H$50*(8*$BX9)+'LINEST VARS'!$G$50*(8*12.73)+'LINEST VARS'!$F$50*(8*$CB$8)+'LINEST VARS'!$E$50*(8*$BX9)+'LINEST VARS'!$D$50*(8*12.73)+'LINEST VARS'!$C$50*($CB$8*$BX9)+'LINEST VARS'!$B$50*($CB$8*12.73)+'LINEST VARS'!$A$50*($BX9*12.73)</f>
        <v>331.99999999999989</v>
      </c>
      <c r="CC9" s="46">
        <f>'LINEST VARS'!$U$50+'LINEST VARS'!$T$50*(8)+'LINEST VARS'!$S$50*(8)+'LINEST VARS'!$R$50*($CC$8)+'LINEST VARS'!$Q$50*($BX9)+'LINEST VARS'!$P$50*(12.73)+'LINEST VARS'!$O$50*(8^2)+'LINEST VARS'!$N$50*(8^2)+'LINEST VARS'!$M$50*($CC$8^2)+'LINEST VARS'!$L$50*($BX9^2)+'LINEST VARS'!$K$50*(12.73^2)+'LINEST VARS'!$J$50*(8*8)+'LINEST VARS'!$I$50*(8*$CC$8)+'LINEST VARS'!$H$50*(8*$BX9)+'LINEST VARS'!$G$50*(8*12.73)+'LINEST VARS'!$F$50*(8*$CC$8)+'LINEST VARS'!$E$50*(8*$BX9)+'LINEST VARS'!$D$50*(8*12.73)+'LINEST VARS'!$C$50*($CC$8*$BX9)+'LINEST VARS'!$B$50*($CC$8*12.73)+'LINEST VARS'!$A$50*($BX9*12.73)</f>
        <v>331.99999999999989</v>
      </c>
      <c r="CD9" s="46">
        <f>'LINEST VARS'!$U$50+'LINEST VARS'!$T$50*(8)+'LINEST VARS'!$S$50*(8)+'LINEST VARS'!$R$50*($CD$8)+'LINEST VARS'!$Q$50*($BX9)+'LINEST VARS'!$P$50*(12.73)+'LINEST VARS'!$O$50*(8^2)+'LINEST VARS'!$N$50*(8^2)+'LINEST VARS'!$M$50*($CD$8^2)+'LINEST VARS'!$L$50*($BX9^2)+'LINEST VARS'!$K$50*(12.73^2)+'LINEST VARS'!$J$50*(8*8)+'LINEST VARS'!$I$50*(8*$CD$8)+'LINEST VARS'!$H$50*(8*$BX9)+'LINEST VARS'!$G$50*(8*12.73)+'LINEST VARS'!$F$50*(8*$CD$8)+'LINEST VARS'!$E$50*(8*$BX9)+'LINEST VARS'!$D$50*(8*12.73)+'LINEST VARS'!$C$50*($CD$8*$BX9)+'LINEST VARS'!$B$50*($CD$8*12.73)+'LINEST VARS'!$A$50*($BX9*12.73)</f>
        <v>331.99999999999989</v>
      </c>
      <c r="CE9" s="46">
        <f>'LINEST VARS'!$U$50+'LINEST VARS'!$T$50*(8)+'LINEST VARS'!$S$50*(8)+'LINEST VARS'!$R$50*($CE$8)+'LINEST VARS'!$Q$50*($BX9)+'LINEST VARS'!$P$50*(12.73)+'LINEST VARS'!$O$50*(8^2)+'LINEST VARS'!$N$50*(8^2)+'LINEST VARS'!$M$50*($CE$8^2)+'LINEST VARS'!$L$50*($BX9^2)+'LINEST VARS'!$K$50*(12.73^2)+'LINEST VARS'!$J$50*(8*8)+'LINEST VARS'!$I$50*(8*$CE$8)+'LINEST VARS'!$H$50*(8*$BX9)+'LINEST VARS'!$G$50*(8*12.73)+'LINEST VARS'!$F$50*(8*$CE$8)+'LINEST VARS'!$E$50*(8*$BX9)+'LINEST VARS'!$D$50*(8*12.73)+'LINEST VARS'!$C$50*($CE$8*$BX9)+'LINEST VARS'!$B$50*($CE$8*12.73)+'LINEST VARS'!$A$50*($BX9*12.73)</f>
        <v>331.99999999999989</v>
      </c>
      <c r="CF9" s="46">
        <f>'LINEST VARS'!$U$50+'LINEST VARS'!$T$50*(8)+'LINEST VARS'!$S$50*(8)+'LINEST VARS'!$R$50*($CF$8)+'LINEST VARS'!$Q$50*($BX9)+'LINEST VARS'!$P$50*(12.73)+'LINEST VARS'!$O$50*(8^2)+'LINEST VARS'!$N$50*(8^2)+'LINEST VARS'!$M$50*($CF$8^2)+'LINEST VARS'!$L$50*($BX9^2)+'LINEST VARS'!$K$50*(12.73^2)+'LINEST VARS'!$J$50*(8*8)+'LINEST VARS'!$I$50*(8*$CF$8)+'LINEST VARS'!$H$50*(8*$BX9)+'LINEST VARS'!$G$50*(8*12.73)+'LINEST VARS'!$F$50*(8*$CF$8)+'LINEST VARS'!$E$50*(8*$BX9)+'LINEST VARS'!$D$50*(8*12.73)+'LINEST VARS'!$C$50*($CF$8*$BX9)+'LINEST VARS'!$B$50*($CF$8*12.73)+'LINEST VARS'!$A$50*($BX9*12.73)</f>
        <v>331.99999999999989</v>
      </c>
      <c r="CG9" s="46">
        <f>'LINEST VARS'!$U$50+'LINEST VARS'!$T$50*(8)+'LINEST VARS'!$S$50*(8)+'LINEST VARS'!$R$50*($CG$8)+'LINEST VARS'!$Q$50*($BX9)+'LINEST VARS'!$P$50*(12.73)+'LINEST VARS'!$O$50*(8^2)+'LINEST VARS'!$N$50*(8^2)+'LINEST VARS'!$M$50*($CG$8^2)+'LINEST VARS'!$L$50*($BX9^2)+'LINEST VARS'!$K$50*(12.73^2)+'LINEST VARS'!$J$50*(8*8)+'LINEST VARS'!$I$50*(8*$CG$8)+'LINEST VARS'!$H$50*(8*$BX9)+'LINEST VARS'!$G$50*(8*12.73)+'LINEST VARS'!$F$50*(8*$CG$8)+'LINEST VARS'!$E$50*(8*$BX9)+'LINEST VARS'!$D$50*(8*12.73)+'LINEST VARS'!$C$50*($CG$8*$BX9)+'LINEST VARS'!$B$50*($CG$8*12.73)+'LINEST VARS'!$A$50*($BX9*12.73)</f>
        <v>331.99999999999989</v>
      </c>
      <c r="CH9" s="46">
        <f>'LINEST VARS'!$U$50+'LINEST VARS'!$T$50*(8)+'LINEST VARS'!$S$50*(8)+'LINEST VARS'!$R$50*($CH$8)+'LINEST VARS'!$Q$50*($BX9)+'LINEST VARS'!$P$50*(12.73)+'LINEST VARS'!$O$50*(8^2)+'LINEST VARS'!$N$50*(8^2)+'LINEST VARS'!$M$50*($CH$8^2)+'LINEST VARS'!$L$50*($BX9^2)+'LINEST VARS'!$K$50*(12.73^2)+'LINEST VARS'!$J$50*(8*8)+'LINEST VARS'!$I$50*(8*$CH$8)+'LINEST VARS'!$H$50*(8*$BX9)+'LINEST VARS'!$G$50*(8*12.73)+'LINEST VARS'!$F$50*(8*$CH$8)+'LINEST VARS'!$E$50*(8*$BX9)+'LINEST VARS'!$D$50*(8*12.73)+'LINEST VARS'!$C$50*($CH$8*$BX9)+'LINEST VARS'!$B$50*($CH$8*12.73)+'LINEST VARS'!$A$50*($BX9*12.73)</f>
        <v>331.99999999999989</v>
      </c>
      <c r="CI9" s="46">
        <f>'LINEST VARS'!$U$50+'LINEST VARS'!$T$50*(8)+'LINEST VARS'!$S$50*(8)+'LINEST VARS'!$R$50*($CI$8)+'LINEST VARS'!$Q$50*($BX9)+'LINEST VARS'!$P$50*(12.73)+'LINEST VARS'!$O$50*(8^2)+'LINEST VARS'!$N$50*(8^2)+'LINEST VARS'!$M$50*($CI$8^2)+'LINEST VARS'!$L$50*($BX9^2)+'LINEST VARS'!$K$50*(12.73^2)+'LINEST VARS'!$J$50*(8*8)+'LINEST VARS'!$I$50*(8*$CI$8)+'LINEST VARS'!$H$50*(8*$BX9)+'LINEST VARS'!$G$50*(8*12.73)+'LINEST VARS'!$F$50*(8*$CI$8)+'LINEST VARS'!$E$50*(8*$BX9)+'LINEST VARS'!$D$50*(8*12.73)+'LINEST VARS'!$C$50*($CI$8*$BX9)+'LINEST VARS'!$B$50*($CI$8*12.73)+'LINEST VARS'!$A$50*($BX9*12.73)</f>
        <v>331.99999999999989</v>
      </c>
      <c r="CJ9" s="46">
        <f>'LINEST VARS'!$U$50+'LINEST VARS'!$T$50*(8)+'LINEST VARS'!$S$50*(8)+'LINEST VARS'!$R$50*($CJ$8)+'LINEST VARS'!$Q$50*($BX9)+'LINEST VARS'!$P$50*(12.73)+'LINEST VARS'!$O$50*(8^2)+'LINEST VARS'!$N$50*(8^2)+'LINEST VARS'!$M$50*($CJ$8^2)+'LINEST VARS'!$L$50*($BX9^2)+'LINEST VARS'!$K$50*(12.73^2)+'LINEST VARS'!$J$50*(8*8)+'LINEST VARS'!$I$50*(8*$CJ$8)+'LINEST VARS'!$H$50*(8*$BX9)+'LINEST VARS'!$G$50*(8*12.73)+'LINEST VARS'!$F$50*(8*$CJ$8)+'LINEST VARS'!$E$50*(8*$BX9)+'LINEST VARS'!$D$50*(8*12.73)+'LINEST VARS'!$C$50*($CJ$8*$BX9)+'LINEST VARS'!$B$50*($CJ$8*12.73)+'LINEST VARS'!$A$50*($BX9*12.73)</f>
        <v>331.99999999999989</v>
      </c>
      <c r="CK9" s="46">
        <f>'LINEST VARS'!$U$50+'LINEST VARS'!$T$50*(8)+'LINEST VARS'!$S$50*(8)+'LINEST VARS'!$R$50*($CK$8)+'LINEST VARS'!$Q$50*($BX9)+'LINEST VARS'!$P$50*(12.73)+'LINEST VARS'!$O$50*(8^2)+'LINEST VARS'!$N$50*(8^2)+'LINEST VARS'!$M$50*($CK$8^2)+'LINEST VARS'!$L$50*($BX9^2)+'LINEST VARS'!$K$50*(12.73^2)+'LINEST VARS'!$J$50*(8*8)+'LINEST VARS'!$I$50*(8*$CK$8)+'LINEST VARS'!$H$50*(8*$BX9)+'LINEST VARS'!$G$50*(8*12.73)+'LINEST VARS'!$F$50*(8*$CK$8)+'LINEST VARS'!$E$50*(8*$BX9)+'LINEST VARS'!$D$50*(8*12.73)+'LINEST VARS'!$C$50*($CK$8*$BX9)+'LINEST VARS'!$B$50*($CK$8*12.73)+'LINEST VARS'!$A$50*($BX9*12.73)</f>
        <v>331.99999999999989</v>
      </c>
      <c r="CL9" s="46">
        <f>'LINEST VARS'!$U$50+'LINEST VARS'!$T$50*(8)+'LINEST VARS'!$S$50*(8)+'LINEST VARS'!$R$50*($CL$8)+'LINEST VARS'!$Q$50*($BX9)+'LINEST VARS'!$P$50*(12.73)+'LINEST VARS'!$O$50*(8^2)+'LINEST VARS'!$N$50*(8^2)+'LINEST VARS'!$M$50*($CL$8^2)+'LINEST VARS'!$L$50*($BX9^2)+'LINEST VARS'!$K$50*(12.73^2)+'LINEST VARS'!$J$50*(8*8)+'LINEST VARS'!$I$50*(8*$CL$8)+'LINEST VARS'!$H$50*(8*$BX9)+'LINEST VARS'!$G$50*(8*12.73)+'LINEST VARS'!$F$50*(8*$CL$8)+'LINEST VARS'!$E$50*(8*$BX9)+'LINEST VARS'!$D$50*(8*12.73)+'LINEST VARS'!$C$50*($CL$8*$BX9)+'LINEST VARS'!$B$50*($CL$8*12.73)+'LINEST VARS'!$A$50*($BX9*12.73)</f>
        <v>331.99999999999989</v>
      </c>
      <c r="CM9" s="46">
        <f>'LINEST VARS'!$U$50+'LINEST VARS'!$T$50*(8)+'LINEST VARS'!$S$50*(8)+'LINEST VARS'!$R$50*($CM$8)+'LINEST VARS'!$Q$50*($BX9)+'LINEST VARS'!$P$50*(12.73)+'LINEST VARS'!$O$50*(8^2)+'LINEST VARS'!$N$50*(8^2)+'LINEST VARS'!$M$50*($CM$8^2)+'LINEST VARS'!$L$50*($BX9^2)+'LINEST VARS'!$K$50*(12.73^2)+'LINEST VARS'!$J$50*(8*8)+'LINEST VARS'!$I$50*(8*$CM$8)+'LINEST VARS'!$H$50*(8*$BX9)+'LINEST VARS'!$G$50*(8*12.73)+'LINEST VARS'!$F$50*(8*$CM$8)+'LINEST VARS'!$E$50*(8*$BX9)+'LINEST VARS'!$D$50*(8*12.73)+'LINEST VARS'!$C$50*($CM$8*$BX9)+'LINEST VARS'!$B$50*($CM$8*12.73)+'LINEST VARS'!$A$50*($BX9*12.73)</f>
        <v>331.99999999999989</v>
      </c>
      <c r="CN9" s="46">
        <f>'LINEST VARS'!$U$50+'LINEST VARS'!$T$50*(8)+'LINEST VARS'!$S$50*(8)+'LINEST VARS'!$R$50*($CN$8)+'LINEST VARS'!$Q$50*($BX9)+'LINEST VARS'!$P$50*(12.73)+'LINEST VARS'!$O$50*(8^2)+'LINEST VARS'!$N$50*(8^2)+'LINEST VARS'!$M$50*($CN$8^2)+'LINEST VARS'!$L$50*($BX9^2)+'LINEST VARS'!$K$50*(12.73^2)+'LINEST VARS'!$J$50*(8*8)+'LINEST VARS'!$I$50*(8*$CN$8)+'LINEST VARS'!$H$50*(8*$BX9)+'LINEST VARS'!$G$50*(8*12.73)+'LINEST VARS'!$F$50*(8*$CN$8)+'LINEST VARS'!$E$50*(8*$BX9)+'LINEST VARS'!$D$50*(8*12.73)+'LINEST VARS'!$C$50*($CN$8*$BX9)+'LINEST VARS'!$B$50*($CN$8*12.73)+'LINEST VARS'!$A$50*($BX9*12.73)</f>
        <v>331.99999999999989</v>
      </c>
      <c r="CO9" s="46">
        <f>'LINEST VARS'!$U$50+'LINEST VARS'!$T$50*(8)+'LINEST VARS'!$S$50*(8)+'LINEST VARS'!$R$50*($CO$8)+'LINEST VARS'!$Q$50*($BX9)+'LINEST VARS'!$P$50*(12.73)+'LINEST VARS'!$O$50*(8^2)+'LINEST VARS'!$N$50*(8^2)+'LINEST VARS'!$M$50*($CO$8^2)+'LINEST VARS'!$L$50*($BX9^2)+'LINEST VARS'!$K$50*(12.73^2)+'LINEST VARS'!$J$50*(8*8)+'LINEST VARS'!$I$50*(8*$CO$8)+'LINEST VARS'!$H$50*(8*$BX9)+'LINEST VARS'!$G$50*(8*12.73)+'LINEST VARS'!$F$50*(8*$CO$8)+'LINEST VARS'!$E$50*(8*$BX9)+'LINEST VARS'!$D$50*(8*12.73)+'LINEST VARS'!$C$50*($CO$8*$BX9)+'LINEST VARS'!$B$50*($CO$8*12.73)+'LINEST VARS'!$A$50*($BX9*12.73)</f>
        <v>331.99999999999989</v>
      </c>
      <c r="CP9" s="46">
        <f>'LINEST VARS'!$U$50+'LINEST VARS'!$T$50*(8)+'LINEST VARS'!$S$50*(8)+'LINEST VARS'!$R$50*($CP$8)+'LINEST VARS'!$Q$50*($BX9)+'LINEST VARS'!$P$50*(12.73)+'LINEST VARS'!$O$50*(8^2)+'LINEST VARS'!$N$50*(8^2)+'LINEST VARS'!$M$50*($CP$8^2)+'LINEST VARS'!$L$50*($BX9^2)+'LINEST VARS'!$K$50*(12.73^2)+'LINEST VARS'!$J$50*(8*8)+'LINEST VARS'!$I$50*(8*$CP$8)+'LINEST VARS'!$H$50*(8*$BX9)+'LINEST VARS'!$G$50*(8*12.73)+'LINEST VARS'!$F$50*(8*$CP$8)+'LINEST VARS'!$E$50*(8*$BX9)+'LINEST VARS'!$D$50*(8*12.73)+'LINEST VARS'!$C$50*($CP$8*$BX9)+'LINEST VARS'!$B$50*($CP$8*12.73)+'LINEST VARS'!$A$50*($BX9*12.73)</f>
        <v>331.99999999999989</v>
      </c>
      <c r="CQ9" s="46">
        <f>'LINEST VARS'!$U$50+'LINEST VARS'!$T$50*(8)+'LINEST VARS'!$S$50*(8)+'LINEST VARS'!$R$50*($CQ$8)+'LINEST VARS'!$Q$50*($BX9)+'LINEST VARS'!$P$50*(12.73)+'LINEST VARS'!$O$50*(8^2)+'LINEST VARS'!$N$50*(8^2)+'LINEST VARS'!$M$50*($CQ$8^2)+'LINEST VARS'!$L$50*($BX9^2)+'LINEST VARS'!$K$50*(12.73^2)+'LINEST VARS'!$J$50*(8*8)+'LINEST VARS'!$I$50*(8*$CQ$8)+'LINEST VARS'!$H$50*(8*$BX9)+'LINEST VARS'!$G$50*(8*12.73)+'LINEST VARS'!$F$50*(8*$CQ$8)+'LINEST VARS'!$E$50*(8*$BX9)+'LINEST VARS'!$D$50*(8*12.73)+'LINEST VARS'!$C$50*($CQ$8*$BX9)+'LINEST VARS'!$B$50*($CQ$8*12.73)+'LINEST VARS'!$A$50*($BX9*12.73)</f>
        <v>331.99999999999989</v>
      </c>
      <c r="CR9" s="46">
        <f>'LINEST VARS'!$U$50+'LINEST VARS'!$T$50*(8)+'LINEST VARS'!$S$50*(8)+'LINEST VARS'!$R$50*($CR$8)+'LINEST VARS'!$Q$50*($BX9)+'LINEST VARS'!$P$50*(12.73)+'LINEST VARS'!$O$50*(8^2)+'LINEST VARS'!$N$50*(8^2)+'LINEST VARS'!$M$50*($CR$8^2)+'LINEST VARS'!$L$50*($BX9^2)+'LINEST VARS'!$K$50*(12.73^2)+'LINEST VARS'!$J$50*(8*8)+'LINEST VARS'!$I$50*(8*$CR$8)+'LINEST VARS'!$H$50*(8*$BX9)+'LINEST VARS'!$G$50*(8*12.73)+'LINEST VARS'!$F$50*(8*$CR$8)+'LINEST VARS'!$E$50*(8*$BX9)+'LINEST VARS'!$D$50*(8*12.73)+'LINEST VARS'!$C$50*($CR$8*$BX9)+'LINEST VARS'!$B$50*($CR$8*12.73)+'LINEST VARS'!$A$50*($BX9*12.73)</f>
        <v>331.99999999999989</v>
      </c>
      <c r="CS9" s="47">
        <f>'LINEST VARS'!$U$50+'LINEST VARS'!$T$50*(8)+'LINEST VARS'!$S$50*(8)+'LINEST VARS'!$R$50*($CS$8)+'LINEST VARS'!$Q$50*($BX9)+'LINEST VARS'!$P$50*(12.73)+'LINEST VARS'!$O$50*(8^2)+'LINEST VARS'!$N$50*(8^2)+'LINEST VARS'!$M$50*($CS$8^2)+'LINEST VARS'!$L$50*($BX9^2)+'LINEST VARS'!$K$50*(12.73^2)+'LINEST VARS'!$J$50*(8*8)+'LINEST VARS'!$I$50*(8*$CS$8)+'LINEST VARS'!$H$50*(8*$BX9)+'LINEST VARS'!$G$50*(8*12.73)+'LINEST VARS'!$F$50*(8*$CS$8)+'LINEST VARS'!$E$50*(8*$BX9)+'LINEST VARS'!$D$50*(8*12.73)+'LINEST VARS'!$C$50*($CS$8*$BX9)+'LINEST VARS'!$B$50*($CS$8*12.73)+'LINEST VARS'!$A$50*($BX9*12.73)</f>
        <v>331.99999999999989</v>
      </c>
      <c r="CX9" s="45">
        <v>0</v>
      </c>
      <c r="CY9" s="46">
        <f>'LINEST VARS'!$U$48+'LINEST VARS'!$T$48*(8)+'LINEST VARS'!$S$48*(8)+'LINEST VARS'!$R$48*($CY$8)+'LINEST VARS'!$Q$48*(0.5)+'LINEST VARS'!$P$48*($CX9)+'LINEST VARS'!$O$48*(8^2)+'LINEST VARS'!$N$48*(8^2)+'LINEST VARS'!$M$48*($CY$8^2)+'LINEST VARS'!$L$48*(0.5^2)+'LINEST VARS'!$K$48*($CX9^2)+'LINEST VARS'!$J$48*(8*8)+'LINEST VARS'!$I$48*(8*$CY$8)+'LINEST VARS'!$H$48*(8*0.5)+'LINEST VARS'!$G$48*(8*$CX9)+'LINEST VARS'!$F$48*(8*$CY$8)+'LINEST VARS'!$E$48*(8*0.5)+'LINEST VARS'!$D$48*(8*$CX9)+'LINEST VARS'!$C$48*($CY$8*0.5)+'LINEST VARS'!$B$48*($CY$8*$CX9)+'LINEST VARS'!$A$48*(0.5*$CX9)</f>
        <v>369.99999999999983</v>
      </c>
      <c r="CZ9" s="46">
        <f>'LINEST VARS'!$U$48+'LINEST VARS'!$T$48*(8)+'LINEST VARS'!$S$48*(8)+'LINEST VARS'!$R$48*($CZ$8)+'LINEST VARS'!$Q$48*(0.5)+'LINEST VARS'!$P$48*($CX9)+'LINEST VARS'!$O$48*(8^2)+'LINEST VARS'!$N$48*(8^2)+'LINEST VARS'!$M$48*($CZ$8^2)+'LINEST VARS'!$L$48*(0.5^2)+'LINEST VARS'!$K$48*($CX9^2)+'LINEST VARS'!$J$48*(8*8)+'LINEST VARS'!$I$48*(8*$CZ$8)+'LINEST VARS'!$H$48*(8*0.5)+'LINEST VARS'!$G$48*(8*$CX9)+'LINEST VARS'!$F$48*(8*$CZ$8)+'LINEST VARS'!$E$48*(8*0.5)+'LINEST VARS'!$D$48*(8*$CX9)+'LINEST VARS'!$C$48*($CZ$8*0.5)+'LINEST VARS'!$B$48*($CZ$8*$CX9)+'LINEST VARS'!$A$48*(0.5*$CX9)</f>
        <v>369.99999999999983</v>
      </c>
      <c r="DA9" s="46">
        <f>'LINEST VARS'!$U$48+'LINEST VARS'!$T$48*(8)+'LINEST VARS'!$S$48*(8)+'LINEST VARS'!$R$48*($DA$8)+'LINEST VARS'!$Q$48*(0.5)+'LINEST VARS'!$P$48*($CX9)+'LINEST VARS'!$O$48*(8^2)+'LINEST VARS'!$N$48*(8^2)+'LINEST VARS'!$M$48*($DA$8^2)+'LINEST VARS'!$L$48*(0.5^2)+'LINEST VARS'!$K$48*($CX9^2)+'LINEST VARS'!$J$48*(8*8)+'LINEST VARS'!$I$48*(8*$DA$8)+'LINEST VARS'!$H$48*(8*0.5)+'LINEST VARS'!$G$48*(8*$CX9)+'LINEST VARS'!$F$48*(8*$DA$8)+'LINEST VARS'!$E$48*(8*0.5)+'LINEST VARS'!$D$48*(8*$CX9)+'LINEST VARS'!$C$48*($DA$8*0.5)+'LINEST VARS'!$B$48*($DA$8*$CX9)+'LINEST VARS'!$A$48*(0.5*$CX9)</f>
        <v>369.99999999999983</v>
      </c>
      <c r="DB9" s="46">
        <f>'LINEST VARS'!$U$48+'LINEST VARS'!$T$48*(8)+'LINEST VARS'!$S$48*(8)+'LINEST VARS'!$R$48*($DB$8)+'LINEST VARS'!$Q$48*(0.5)+'LINEST VARS'!$P$48*($CX9)+'LINEST VARS'!$O$48*(8^2)+'LINEST VARS'!$N$48*(8^2)+'LINEST VARS'!$M$48*($DB$8^2)+'LINEST VARS'!$L$48*(0.5^2)+'LINEST VARS'!$K$48*($CX9^2)+'LINEST VARS'!$J$48*(8*8)+'LINEST VARS'!$I$48*(8*$DB$8)+'LINEST VARS'!$H$48*(8*0.5)+'LINEST VARS'!$G$48*(8*$CX9)+'LINEST VARS'!$F$48*(8*$DB$8)+'LINEST VARS'!$E$48*(8*0.5)+'LINEST VARS'!$D$48*(8*$CX9)+'LINEST VARS'!$C$48*($DB$8*0.5)+'LINEST VARS'!$B$48*($DB$8*$CX9)+'LINEST VARS'!$A$48*(0.5*$CX9)</f>
        <v>369.99999999999983</v>
      </c>
      <c r="DC9" s="46">
        <f>'LINEST VARS'!$U$48+'LINEST VARS'!$T$48*(8)+'LINEST VARS'!$S$48*(8)+'LINEST VARS'!$R$48*($DC$8)+'LINEST VARS'!$Q$48*(0.5)+'LINEST VARS'!$P$48*($CX9)+'LINEST VARS'!$O$48*(8^2)+'LINEST VARS'!$N$48*(8^2)+'LINEST VARS'!$M$48*($DC$8^2)+'LINEST VARS'!$L$48*(0.5^2)+'LINEST VARS'!$K$48*($CX9^2)+'LINEST VARS'!$J$48*(8*8)+'LINEST VARS'!$I$48*(8*$DC$8)+'LINEST VARS'!$H$48*(8*0.5)+'LINEST VARS'!$G$48*(8*$CX9)+'LINEST VARS'!$F$48*(8*$DC$8)+'LINEST VARS'!$E$48*(8*0.5)+'LINEST VARS'!$D$48*(8*$CX9)+'LINEST VARS'!$C$48*($DC$8*0.5)+'LINEST VARS'!$B$48*($DC$8*$CX9)+'LINEST VARS'!$A$48*(0.5*$CX9)</f>
        <v>369.99999999999983</v>
      </c>
      <c r="DD9" s="46">
        <f>'LINEST VARS'!$U$48+'LINEST VARS'!$T$48*(8)+'LINEST VARS'!$S$48*(8)+'LINEST VARS'!$R$48*($DD$8)+'LINEST VARS'!$Q$48*(0.5)+'LINEST VARS'!$P$48*($CX9)+'LINEST VARS'!$O$48*(8^2)+'LINEST VARS'!$N$48*(8^2)+'LINEST VARS'!$M$48*($DD$8^2)+'LINEST VARS'!$L$48*(0.5^2)+'LINEST VARS'!$K$48*($CX9^2)+'LINEST VARS'!$J$48*(8*8)+'LINEST VARS'!$I$48*(8*$DD$8)+'LINEST VARS'!$H$48*(8*0.5)+'LINEST VARS'!$G$48*(8*$CX9)+'LINEST VARS'!$F$48*(8*$DD$8)+'LINEST VARS'!$E$48*(8*0.5)+'LINEST VARS'!$D$48*(8*$CX9)+'LINEST VARS'!$C$48*($DD$8*0.5)+'LINEST VARS'!$B$48*($DD$8*$CX9)+'LINEST VARS'!$A$48*(0.5*$CX9)</f>
        <v>369.99999999999983</v>
      </c>
      <c r="DE9" s="46">
        <f>'LINEST VARS'!$U$48+'LINEST VARS'!$T$48*(8)+'LINEST VARS'!$S$48*(8)+'LINEST VARS'!$R$48*($DE$8)+'LINEST VARS'!$Q$48*(0.5)+'LINEST VARS'!$P$48*($CX9)+'LINEST VARS'!$O$48*(8^2)+'LINEST VARS'!$N$48*(8^2)+'LINEST VARS'!$M$48*($DE$8^2)+'LINEST VARS'!$L$48*(0.5^2)+'LINEST VARS'!$K$48*($CX9^2)+'LINEST VARS'!$J$48*(8*8)+'LINEST VARS'!$I$48*(8*$DE$8)+'LINEST VARS'!$H$48*(8*0.5)+'LINEST VARS'!$G$48*(8*$CX9)+'LINEST VARS'!$F$48*(8*$DE$8)+'LINEST VARS'!$E$48*(8*0.5)+'LINEST VARS'!$D$48*(8*$CX9)+'LINEST VARS'!$C$48*($DE$8*0.5)+'LINEST VARS'!$B$48*($DE$8*$CX9)+'LINEST VARS'!$A$48*(0.5*$CX9)</f>
        <v>369.99999999999983</v>
      </c>
      <c r="DF9" s="46">
        <f>'LINEST VARS'!$U$48+'LINEST VARS'!$T$48*(8)+'LINEST VARS'!$S$48*(8)+'LINEST VARS'!$R$48*($DF$8)+'LINEST VARS'!$Q$48*(0.5)+'LINEST VARS'!$P$48*($CX9)+'LINEST VARS'!$O$48*(8^2)+'LINEST VARS'!$N$48*(8^2)+'LINEST VARS'!$M$48*($DF$8^2)+'LINEST VARS'!$L$48*(0.5^2)+'LINEST VARS'!$K$48*($CX9^2)+'LINEST VARS'!$J$48*(8*8)+'LINEST VARS'!$I$48*(8*$DF$8)+'LINEST VARS'!$H$48*(8*0.5)+'LINEST VARS'!$G$48*(8*$CX9)+'LINEST VARS'!$F$48*(8*$DF$8)+'LINEST VARS'!$E$48*(8*0.5)+'LINEST VARS'!$D$48*(8*$CX9)+'LINEST VARS'!$C$48*($DF$8*0.5)+'LINEST VARS'!$B$48*($DF$8*$CX9)+'LINEST VARS'!$A$48*(0.5*$CX9)</f>
        <v>369.99999999999983</v>
      </c>
      <c r="DG9" s="46">
        <f>'LINEST VARS'!$U$48+'LINEST VARS'!$T$48*(8)+'LINEST VARS'!$S$48*(8)+'LINEST VARS'!$R$48*($DG$8)+'LINEST VARS'!$Q$48*(0.5)+'LINEST VARS'!$P$48*($CX9)+'LINEST VARS'!$O$48*(8^2)+'LINEST VARS'!$N$48*(8^2)+'LINEST VARS'!$M$48*($DG$8^2)+'LINEST VARS'!$L$48*(0.5^2)+'LINEST VARS'!$K$48*($CX9^2)+'LINEST VARS'!$J$48*(8*8)+'LINEST VARS'!$I$48*(8*$DG$8)+'LINEST VARS'!$H$48*(8*0.5)+'LINEST VARS'!$G$48*(8*$CX9)+'LINEST VARS'!$F$48*(8*$DG$8)+'LINEST VARS'!$E$48*(8*0.5)+'LINEST VARS'!$D$48*(8*$CX9)+'LINEST VARS'!$C$48*($DG$8*0.5)+'LINEST VARS'!$B$48*($DG$8*$CX9)+'LINEST VARS'!$A$48*(0.5*$CX9)</f>
        <v>369.99999999999983</v>
      </c>
      <c r="DH9" s="46">
        <f>'LINEST VARS'!$U$48+'LINEST VARS'!$T$48*(8)+'LINEST VARS'!$S$48*(8)+'LINEST VARS'!$R$48*($DH$8)+'LINEST VARS'!$Q$48*(0.5)+'LINEST VARS'!$P$48*($CX9)+'LINEST VARS'!$O$48*(8^2)+'LINEST VARS'!$N$48*(8^2)+'LINEST VARS'!$M$48*($DH$8^2)+'LINEST VARS'!$L$48*(0.5^2)+'LINEST VARS'!$K$48*($CX9^2)+'LINEST VARS'!$J$48*(8*8)+'LINEST VARS'!$I$48*(8*$DH$8)+'LINEST VARS'!$H$48*(8*0.5)+'LINEST VARS'!$G$48*(8*$CX9)+'LINEST VARS'!$F$48*(8*$DH$8)+'LINEST VARS'!$E$48*(8*0.5)+'LINEST VARS'!$D$48*(8*$CX9)+'LINEST VARS'!$C$48*($DH$8*0.5)+'LINEST VARS'!$B$48*($DH$8*$CX9)+'LINEST VARS'!$A$48*(0.5*$CX9)</f>
        <v>369.99999999999983</v>
      </c>
      <c r="DI9" s="46">
        <f>'LINEST VARS'!$U$48+'LINEST VARS'!$T$48*(8)+'LINEST VARS'!$S$48*(8)+'LINEST VARS'!$R$48*($DI$8)+'LINEST VARS'!$Q$48*(0.5)+'LINEST VARS'!$P$48*($CX9)+'LINEST VARS'!$O$48*(8^2)+'LINEST VARS'!$N$48*(8^2)+'LINEST VARS'!$M$48*($DI$8^2)+'LINEST VARS'!$L$48*(0.5^2)+'LINEST VARS'!$K$48*($CX9^2)+'LINEST VARS'!$J$48*(8*8)+'LINEST VARS'!$I$48*(8*$DI$8)+'LINEST VARS'!$H$48*(8*0.5)+'LINEST VARS'!$G$48*(8*$CX9)+'LINEST VARS'!$F$48*(8*$DI$8)+'LINEST VARS'!$E$48*(8*0.5)+'LINEST VARS'!$D$48*(8*$CX9)+'LINEST VARS'!$C$48*($DI$8*0.5)+'LINEST VARS'!$B$48*($DI$8*$CX9)+'LINEST VARS'!$A$48*(0.5*$CX9)</f>
        <v>369.99999999999983</v>
      </c>
      <c r="DJ9" s="46">
        <f>'LINEST VARS'!$U$48+'LINEST VARS'!$T$48*(8)+'LINEST VARS'!$S$48*(8)+'LINEST VARS'!$R$48*($DJ$8)+'LINEST VARS'!$Q$48*(0.5)+'LINEST VARS'!$P$48*($CX9)+'LINEST VARS'!$O$48*(8^2)+'LINEST VARS'!$N$48*(8^2)+'LINEST VARS'!$M$48*($DJ$8^2)+'LINEST VARS'!$L$48*(0.5^2)+'LINEST VARS'!$K$48*($CX9^2)+'LINEST VARS'!$J$48*(8*8)+'LINEST VARS'!$I$48*(8*$DJ$8)+'LINEST VARS'!$H$48*(8*0.5)+'LINEST VARS'!$G$48*(8*$CX9)+'LINEST VARS'!$F$48*(8*$DJ$8)+'LINEST VARS'!$E$48*(8*0.5)+'LINEST VARS'!$D$48*(8*$CX9)+'LINEST VARS'!$C$48*($DJ$8*0.5)+'LINEST VARS'!$B$48*($DJ$8*$CX9)+'LINEST VARS'!$A$48*(0.5*$CX9)</f>
        <v>369.99999999999983</v>
      </c>
      <c r="DK9" s="46">
        <f>'LINEST VARS'!$U$48+'LINEST VARS'!$T$48*(8)+'LINEST VARS'!$S$48*(8)+'LINEST VARS'!$R$48*($DK$8)+'LINEST VARS'!$Q$48*(0.5)+'LINEST VARS'!$P$48*($CX9)+'LINEST VARS'!$O$48*(8^2)+'LINEST VARS'!$N$48*(8^2)+'LINEST VARS'!$M$48*($DK$8^2)+'LINEST VARS'!$L$48*(0.5^2)+'LINEST VARS'!$K$48*($CX9^2)+'LINEST VARS'!$J$48*(8*8)+'LINEST VARS'!$I$48*(8*$DK$8)+'LINEST VARS'!$H$48*(8*0.5)+'LINEST VARS'!$G$48*(8*$CX9)+'LINEST VARS'!$F$48*(8*$DK$8)+'LINEST VARS'!$E$48*(8*0.5)+'LINEST VARS'!$D$48*(8*$CX9)+'LINEST VARS'!$C$48*($DK$8*0.5)+'LINEST VARS'!$B$48*($DK$8*$CX9)+'LINEST VARS'!$A$48*(0.5*$CX9)</f>
        <v>369.99999999999983</v>
      </c>
      <c r="DL9" s="46">
        <f>'LINEST VARS'!$U$48+'LINEST VARS'!$T$48*(8)+'LINEST VARS'!$S$48*(8)+'LINEST VARS'!$R$48*($DL$8)+'LINEST VARS'!$Q$48*(0.5)+'LINEST VARS'!$P$48*($CX9)+'LINEST VARS'!$O$48*(8^2)+'LINEST VARS'!$N$48*(8^2)+'LINEST VARS'!$M$48*($DL$8^2)+'LINEST VARS'!$L$48*(0.5^2)+'LINEST VARS'!$K$48*($CX9^2)+'LINEST VARS'!$J$48*(8*8)+'LINEST VARS'!$I$48*(8*$DL$8)+'LINEST VARS'!$H$48*(8*0.5)+'LINEST VARS'!$G$48*(8*$CX9)+'LINEST VARS'!$F$48*(8*$DL$8)+'LINEST VARS'!$E$48*(8*0.5)+'LINEST VARS'!$D$48*(8*$CX9)+'LINEST VARS'!$C$48*($DL$8*0.5)+'LINEST VARS'!$B$48*($DL$8*$CX9)+'LINEST VARS'!$A$48*(0.5*$CX9)</f>
        <v>369.99999999999989</v>
      </c>
      <c r="DM9" s="46">
        <f>'LINEST VARS'!$U$48+'LINEST VARS'!$T$48*(8)+'LINEST VARS'!$S$48*(8)+'LINEST VARS'!$R$48*($DM$8)+'LINEST VARS'!$Q$48*(0.5)+'LINEST VARS'!$P$48*($CX9)+'LINEST VARS'!$O$48*(8^2)+'LINEST VARS'!$N$48*(8^2)+'LINEST VARS'!$M$48*($DM$8^2)+'LINEST VARS'!$L$48*(0.5^2)+'LINEST VARS'!$K$48*($CX9^2)+'LINEST VARS'!$J$48*(8*8)+'LINEST VARS'!$I$48*(8*$DM$8)+'LINEST VARS'!$H$48*(8*0.5)+'LINEST VARS'!$G$48*(8*$CX9)+'LINEST VARS'!$F$48*(8*$DM$8)+'LINEST VARS'!$E$48*(8*0.5)+'LINEST VARS'!$D$48*(8*$CX9)+'LINEST VARS'!$C$48*($DM$8*0.5)+'LINEST VARS'!$B$48*($DM$8*$CX9)+'LINEST VARS'!$A$48*(0.5*$CX9)</f>
        <v>369.99999999999989</v>
      </c>
      <c r="DN9" s="46">
        <f>'LINEST VARS'!$U$48+'LINEST VARS'!$T$48*(8)+'LINEST VARS'!$S$48*(8)+'LINEST VARS'!$R$48*($DN$8)+'LINEST VARS'!$Q$48*(0.5)+'LINEST VARS'!$P$48*($CX9)+'LINEST VARS'!$O$48*(8^2)+'LINEST VARS'!$N$48*(8^2)+'LINEST VARS'!$M$48*($DN$8^2)+'LINEST VARS'!$L$48*(0.5^2)+'LINEST VARS'!$K$48*($CX9^2)+'LINEST VARS'!$J$48*(8*8)+'LINEST VARS'!$I$48*(8*$DN$8)+'LINEST VARS'!$H$48*(8*0.5)+'LINEST VARS'!$G$48*(8*$CX9)+'LINEST VARS'!$F$48*(8*$DN$8)+'LINEST VARS'!$E$48*(8*0.5)+'LINEST VARS'!$D$48*(8*$CX9)+'LINEST VARS'!$C$48*($DN$8*0.5)+'LINEST VARS'!$B$48*($DN$8*$CX9)+'LINEST VARS'!$A$48*(0.5*$CX9)</f>
        <v>369.99999999999989</v>
      </c>
      <c r="DO9" s="46">
        <f>'LINEST VARS'!$U$48+'LINEST VARS'!$T$48*(8)+'LINEST VARS'!$S$48*(8)+'LINEST VARS'!$R$48*($DO$8)+'LINEST VARS'!$Q$48*(0.5)+'LINEST VARS'!$P$48*($CX9)+'LINEST VARS'!$O$48*(8^2)+'LINEST VARS'!$N$48*(8^2)+'LINEST VARS'!$M$48*($DO$8^2)+'LINEST VARS'!$L$48*(0.5^2)+'LINEST VARS'!$K$48*($CX9^2)+'LINEST VARS'!$J$48*(8*8)+'LINEST VARS'!$I$48*(8*$DO$8)+'LINEST VARS'!$H$48*(8*0.5)+'LINEST VARS'!$G$48*(8*$CX9)+'LINEST VARS'!$F$48*(8*$DO$8)+'LINEST VARS'!$E$48*(8*0.5)+'LINEST VARS'!$D$48*(8*$CX9)+'LINEST VARS'!$C$48*($DO$8*0.5)+'LINEST VARS'!$B$48*($DO$8*$CX9)+'LINEST VARS'!$A$48*(0.5*$CX9)</f>
        <v>369.99999999999983</v>
      </c>
      <c r="DP9" s="46">
        <f>'LINEST VARS'!$U$48+'LINEST VARS'!$T$48*(8)+'LINEST VARS'!$S$48*(8)+'LINEST VARS'!$R$48*($DP$8)+'LINEST VARS'!$Q$48*(0.5)+'LINEST VARS'!$P$48*($CX9)+'LINEST VARS'!$O$48*(8^2)+'LINEST VARS'!$N$48*(8^2)+'LINEST VARS'!$M$48*($DP$8^2)+'LINEST VARS'!$L$48*(0.5^2)+'LINEST VARS'!$K$48*($CX9^2)+'LINEST VARS'!$J$48*(8*8)+'LINEST VARS'!$I$48*(8*$DP$8)+'LINEST VARS'!$H$48*(8*0.5)+'LINEST VARS'!$G$48*(8*$CX9)+'LINEST VARS'!$F$48*(8*$DP$8)+'LINEST VARS'!$E$48*(8*0.5)+'LINEST VARS'!$D$48*(8*$CX9)+'LINEST VARS'!$C$48*($DP$8*0.5)+'LINEST VARS'!$B$48*($DP$8*$CX9)+'LINEST VARS'!$A$48*(0.5*$CX9)</f>
        <v>369.99999999999983</v>
      </c>
      <c r="DQ9" s="46">
        <f>'LINEST VARS'!$U$48+'LINEST VARS'!$T$48*(8)+'LINEST VARS'!$S$48*(8)+'LINEST VARS'!$R$48*($DQ$8)+'LINEST VARS'!$Q$48*(0.5)+'LINEST VARS'!$P$48*($CX9)+'LINEST VARS'!$O$48*(8^2)+'LINEST VARS'!$N$48*(8^2)+'LINEST VARS'!$M$48*($DQ$8^2)+'LINEST VARS'!$L$48*(0.5^2)+'LINEST VARS'!$K$48*($CX9^2)+'LINEST VARS'!$J$48*(8*8)+'LINEST VARS'!$I$48*(8*$DQ$8)+'LINEST VARS'!$H$48*(8*0.5)+'LINEST VARS'!$G$48*(8*$CX9)+'LINEST VARS'!$F$48*(8*$DQ$8)+'LINEST VARS'!$E$48*(8*0.5)+'LINEST VARS'!$D$48*(8*$CX9)+'LINEST VARS'!$C$48*($DQ$8*0.5)+'LINEST VARS'!$B$48*($DQ$8*$CX9)+'LINEST VARS'!$A$48*(0.5*$CX9)</f>
        <v>369.99999999999983</v>
      </c>
      <c r="DR9" s="46">
        <f>'LINEST VARS'!$U$48+'LINEST VARS'!$T$48*(8)+'LINEST VARS'!$S$48*(8)+'LINEST VARS'!$R$48*($DR$8)+'LINEST VARS'!$Q$48*(0.5)+'LINEST VARS'!$P$48*($CX9)+'LINEST VARS'!$O$48*(8^2)+'LINEST VARS'!$N$48*(8^2)+'LINEST VARS'!$M$48*($DR$8^2)+'LINEST VARS'!$L$48*(0.5^2)+'LINEST VARS'!$K$48*($CX9^2)+'LINEST VARS'!$J$48*(8*8)+'LINEST VARS'!$I$48*(8*$DR$8)+'LINEST VARS'!$H$48*(8*0.5)+'LINEST VARS'!$G$48*(8*$CX9)+'LINEST VARS'!$F$48*(8*$DR$8)+'LINEST VARS'!$E$48*(8*0.5)+'LINEST VARS'!$D$48*(8*$CX9)+'LINEST VARS'!$C$48*($DR$8*0.5)+'LINEST VARS'!$B$48*($DR$8*$CX9)+'LINEST VARS'!$A$48*(0.5*$CX9)</f>
        <v>369.99999999999983</v>
      </c>
      <c r="DS9" s="47">
        <f>'LINEST VARS'!$U$48+'LINEST VARS'!$T$48*(8)+'LINEST VARS'!$S$48*(8)+'LINEST VARS'!$R$48*($DS$8)+'LINEST VARS'!$Q$48*(0.5)+'LINEST VARS'!$P$48*($CX9)+'LINEST VARS'!$O$48*(8^2)+'LINEST VARS'!$N$48*(8^2)+'LINEST VARS'!$M$48*($DS$8^2)+'LINEST VARS'!$L$48*(0.5^2)+'LINEST VARS'!$K$48*($CX9^2)+'LINEST VARS'!$J$48*(8*8)+'LINEST VARS'!$I$48*(8*$DS$8)+'LINEST VARS'!$H$48*(8*0.5)+'LINEST VARS'!$G$48*(8*$CX9)+'LINEST VARS'!$F$48*(8*$DS$8)+'LINEST VARS'!$E$48*(8*0.5)+'LINEST VARS'!$D$48*(8*$CX9)+'LINEST VARS'!$C$48*($DS$8*0.5)+'LINEST VARS'!$B$48*($DS$8*$CX9)+'LINEST VARS'!$A$48*(0.5*$CX9)</f>
        <v>369.99999999999983</v>
      </c>
      <c r="DV9" s="45">
        <v>0</v>
      </c>
      <c r="DW9" s="46">
        <f>'LINEST VARS'!$U$50+'LINEST VARS'!$T$50*(8)+'LINEST VARS'!$S$50*(8)+'LINEST VARS'!$R$50*($DW$8)+'LINEST VARS'!$Q$50*(0.5)+'LINEST VARS'!$P$50*($DV9)+'LINEST VARS'!$O$50*(8^2)+'LINEST VARS'!$N$50*(8^2)+'LINEST VARS'!$M$50*($DW$8^2)+'LINEST VARS'!$L$50*(0.5^2)+'LINEST VARS'!$K$50*($DV9^2)+'LINEST VARS'!$J$50*(8*8)+'LINEST VARS'!$I$50*(8*$DW$8)+'LINEST VARS'!$H$50*(8*0.5)+'LINEST VARS'!$G$50*(8*$DV9)+'LINEST VARS'!$F$50*(8*$DW$8)+'LINEST VARS'!$E$50*(8*0.5)+'LINEST VARS'!$D$50*(8*$DV9)+'LINEST VARS'!$C$50*($DW$8*0.5)+'LINEST VARS'!$B$50*($DW$8*$DV9)+'LINEST VARS'!$A$50*(0.5*$DV9)</f>
        <v>331.99999999999989</v>
      </c>
      <c r="DX9" s="46">
        <f>'LINEST VARS'!$U$50+'LINEST VARS'!$T$50*(8)+'LINEST VARS'!$S$50*(8)+'LINEST VARS'!$R$50*($DX$8)+'LINEST VARS'!$Q$50*(0.5)+'LINEST VARS'!$P$50*($DV9)+'LINEST VARS'!$O$50*(8^2)+'LINEST VARS'!$N$50*(8^2)+'LINEST VARS'!$M$50*($DX$8^2)+'LINEST VARS'!$L$50*(0.5^2)+'LINEST VARS'!$K$50*($DV9^2)+'LINEST VARS'!$J$50*(8*8)+'LINEST VARS'!$I$50*(8*$DX$8)+'LINEST VARS'!$H$50*(8*0.5)+'LINEST VARS'!$G$50*(8*$DV9)+'LINEST VARS'!$F$50*(8*$DX$8)+'LINEST VARS'!$E$50*(8*0.5)+'LINEST VARS'!$D$50*(8*$DV9)+'LINEST VARS'!$C$50*($DX$8*0.5)+'LINEST VARS'!$B$50*($DX$8*$DV9)+'LINEST VARS'!$A$50*(0.5*$DV9)</f>
        <v>331.99999999999989</v>
      </c>
      <c r="DY9" s="46">
        <f>'LINEST VARS'!$U$50+'LINEST VARS'!$T$50*(8)+'LINEST VARS'!$S$50*(8)+'LINEST VARS'!$R$50*($DY$8)+'LINEST VARS'!$Q$50*(0.5)+'LINEST VARS'!$P$50*($DV9)+'LINEST VARS'!$O$50*(8^2)+'LINEST VARS'!$N$50*(8^2)+'LINEST VARS'!$M$50*($DY$8^2)+'LINEST VARS'!$L$50*(0.5^2)+'LINEST VARS'!$K$50*($DV9^2)+'LINEST VARS'!$J$50*(8*8)+'LINEST VARS'!$I$50*(8*$DY$8)+'LINEST VARS'!$H$50*(8*0.5)+'LINEST VARS'!$G$50*(8*$DV9)+'LINEST VARS'!$F$50*(8*$DY$8)+'LINEST VARS'!$E$50*(8*0.5)+'LINEST VARS'!$D$50*(8*$DV9)+'LINEST VARS'!$C$50*($DY$8*0.5)+'LINEST VARS'!$B$50*($DY$8*$DV9)+'LINEST VARS'!$A$50*(0.5*$DV9)</f>
        <v>331.99999999999989</v>
      </c>
      <c r="DZ9" s="46">
        <f>'LINEST VARS'!$U$50+'LINEST VARS'!$T$50*(8)+'LINEST VARS'!$S$50*(8)+'LINEST VARS'!$R$50*($DZ$8)+'LINEST VARS'!$Q$50*(0.5)+'LINEST VARS'!$P$50*($DV9)+'LINEST VARS'!$O$50*(8^2)+'LINEST VARS'!$N$50*(8^2)+'LINEST VARS'!$M$50*($DZ$8^2)+'LINEST VARS'!$L$50*(0.5^2)+'LINEST VARS'!$K$50*($DV9^2)+'LINEST VARS'!$J$50*(8*8)+'LINEST VARS'!$I$50*(8*$DZ$8)+'LINEST VARS'!$H$50*(8*0.5)+'LINEST VARS'!$G$50*(8*$DV9)+'LINEST VARS'!$F$50*(8*$DZ$8)+'LINEST VARS'!$E$50*(8*0.5)+'LINEST VARS'!$D$50*(8*$DV9)+'LINEST VARS'!$C$50*($DZ$8*0.5)+'LINEST VARS'!$B$50*($DZ$8*$DV9)+'LINEST VARS'!$A$50*(0.5*$DV9)</f>
        <v>331.99999999999989</v>
      </c>
      <c r="EA9" s="46">
        <f>'LINEST VARS'!$U$50+'LINEST VARS'!$T$50*(8)+'LINEST VARS'!$S$50*(8)+'LINEST VARS'!$R$50*($EA$8)+'LINEST VARS'!$Q$50*(0.5)+'LINEST VARS'!$P$50*($DV9)+'LINEST VARS'!$O$50*(8^2)+'LINEST VARS'!$N$50*(8^2)+'LINEST VARS'!$M$50*($EA$8^2)+'LINEST VARS'!$L$50*(0.5^2)+'LINEST VARS'!$K$50*($DV9^2)+'LINEST VARS'!$J$50*(8*8)+'LINEST VARS'!$I$50*(8*$EA$8)+'LINEST VARS'!$H$50*(8*0.5)+'LINEST VARS'!$G$50*(8*$DV9)+'LINEST VARS'!$F$50*(8*$EA$8)+'LINEST VARS'!$E$50*(8*0.5)+'LINEST VARS'!$D$50*(8*$DV9)+'LINEST VARS'!$C$50*($EA$8*0.5)+'LINEST VARS'!$B$50*($EA$8*$DV9)+'LINEST VARS'!$A$50*(0.5*$DV9)</f>
        <v>331.99999999999989</v>
      </c>
      <c r="EB9" s="46">
        <f>'LINEST VARS'!$U$50+'LINEST VARS'!$T$50*(8)+'LINEST VARS'!$S$50*(8)+'LINEST VARS'!$R$50*($EB$8)+'LINEST VARS'!$Q$50*(0.5)+'LINEST VARS'!$P$50*($DV9)+'LINEST VARS'!$O$50*(8^2)+'LINEST VARS'!$N$50*(8^2)+'LINEST VARS'!$M$50*($EB$8^2)+'LINEST VARS'!$L$50*(0.5^2)+'LINEST VARS'!$K$50*($DV9^2)+'LINEST VARS'!$J$50*(8*8)+'LINEST VARS'!$I$50*(8*$EB$8)+'LINEST VARS'!$H$50*(8*0.5)+'LINEST VARS'!$G$50*(8*$DV9)+'LINEST VARS'!$F$50*(8*$EB$8)+'LINEST VARS'!$E$50*(8*0.5)+'LINEST VARS'!$D$50*(8*$DV9)+'LINEST VARS'!$C$50*($EB$8*0.5)+'LINEST VARS'!$B$50*($EB$8*$DV9)+'LINEST VARS'!$A$50*(0.5*$DV9)</f>
        <v>331.99999999999989</v>
      </c>
      <c r="EC9" s="46">
        <f>'LINEST VARS'!$U$50+'LINEST VARS'!$T$50*(8)+'LINEST VARS'!$S$50*(8)+'LINEST VARS'!$R$50*($EC$8)+'LINEST VARS'!$Q$50*(0.5)+'LINEST VARS'!$P$50*($DV9)+'LINEST VARS'!$O$50*(8^2)+'LINEST VARS'!$N$50*(8^2)+'LINEST VARS'!$M$50*($EC$8^2)+'LINEST VARS'!$L$50*(0.5^2)+'LINEST VARS'!$K$50*($DV9^2)+'LINEST VARS'!$J$50*(8*8)+'LINEST VARS'!$I$50*(8*$EC$8)+'LINEST VARS'!$H$50*(8*0.5)+'LINEST VARS'!$G$50*(8*$DV9)+'LINEST VARS'!$F$50*(8*$EC$8)+'LINEST VARS'!$E$50*(8*0.5)+'LINEST VARS'!$D$50*(8*$DV9)+'LINEST VARS'!$C$50*($EC$8*0.5)+'LINEST VARS'!$B$50*($EC$8*$DV9)+'LINEST VARS'!$A$50*(0.5*$DV9)</f>
        <v>331.99999999999989</v>
      </c>
      <c r="ED9" s="46">
        <f>'LINEST VARS'!$U$50+'LINEST VARS'!$T$50*(8)+'LINEST VARS'!$S$50*(8)+'LINEST VARS'!$R$50*($ED$8)+'LINEST VARS'!$Q$50*(0.5)+'LINEST VARS'!$P$50*($DV9)+'LINEST VARS'!$O$50*(8^2)+'LINEST VARS'!$N$50*(8^2)+'LINEST VARS'!$M$50*($ED$8^2)+'LINEST VARS'!$L$50*(0.5^2)+'LINEST VARS'!$K$50*($DV9^2)+'LINEST VARS'!$J$50*(8*8)+'LINEST VARS'!$I$50*(8*$ED$8)+'LINEST VARS'!$H$50*(8*0.5)+'LINEST VARS'!$G$50*(8*$DV9)+'LINEST VARS'!$F$50*(8*$ED$8)+'LINEST VARS'!$E$50*(8*0.5)+'LINEST VARS'!$D$50*(8*$DV9)+'LINEST VARS'!$C$50*($ED$8*0.5)+'LINEST VARS'!$B$50*($ED$8*$DV9)+'LINEST VARS'!$A$50*(0.5*$DV9)</f>
        <v>331.99999999999989</v>
      </c>
      <c r="EE9" s="46">
        <f>'LINEST VARS'!$U$50+'LINEST VARS'!$T$50*(8)+'LINEST VARS'!$S$50*(8)+'LINEST VARS'!$R$50*($EE$8)+'LINEST VARS'!$Q$50*(0.5)+'LINEST VARS'!$P$50*($DV9)+'LINEST VARS'!$O$50*(8^2)+'LINEST VARS'!$N$50*(8^2)+'LINEST VARS'!$M$50*($EE$8^2)+'LINEST VARS'!$L$50*(0.5^2)+'LINEST VARS'!$K$50*($DV9^2)+'LINEST VARS'!$J$50*(8*8)+'LINEST VARS'!$I$50*(8*$EE$8)+'LINEST VARS'!$H$50*(8*0.5)+'LINEST VARS'!$G$50*(8*$DV9)+'LINEST VARS'!$F$50*(8*$EE$8)+'LINEST VARS'!$E$50*(8*0.5)+'LINEST VARS'!$D$50*(8*$DV9)+'LINEST VARS'!$C$50*($EE$8*0.5)+'LINEST VARS'!$B$50*($EE$8*$DV9)+'LINEST VARS'!$A$50*(0.5*$DV9)</f>
        <v>331.99999999999989</v>
      </c>
      <c r="EF9" s="46">
        <f>'LINEST VARS'!$U$50+'LINEST VARS'!$T$50*(8)+'LINEST VARS'!$S$50*(8)+'LINEST VARS'!$R$50*($EF$8)+'LINEST VARS'!$Q$50*(0.5)+'LINEST VARS'!$P$50*($DV9)+'LINEST VARS'!$O$50*(8^2)+'LINEST VARS'!$N$50*(8^2)+'LINEST VARS'!$M$50*($EF$8^2)+'LINEST VARS'!$L$50*(0.5^2)+'LINEST VARS'!$K$50*($DV9^2)+'LINEST VARS'!$J$50*(8*8)+'LINEST VARS'!$I$50*(8*$EF$8)+'LINEST VARS'!$H$50*(8*0.5)+'LINEST VARS'!$G$50*(8*$DV9)+'LINEST VARS'!$F$50*(8*$EF$8)+'LINEST VARS'!$E$50*(8*0.5)+'LINEST VARS'!$D$50*(8*$DV9)+'LINEST VARS'!$C$50*($EF$8*0.5)+'LINEST VARS'!$B$50*($EF$8*$DV9)+'LINEST VARS'!$A$50*(0.5*$DV9)</f>
        <v>331.99999999999989</v>
      </c>
      <c r="EG9" s="46">
        <f>'LINEST VARS'!$U$50+'LINEST VARS'!$T$50*(8)+'LINEST VARS'!$S$50*(8)+'LINEST VARS'!$R$50*($EG$8)+'LINEST VARS'!$Q$50*(0.5)+'LINEST VARS'!$P$50*($DV9)+'LINEST VARS'!$O$50*(8^2)+'LINEST VARS'!$N$50*(8^2)+'LINEST VARS'!$M$50*($EG$8^2)+'LINEST VARS'!$L$50*(0.5^2)+'LINEST VARS'!$K$50*($DV9^2)+'LINEST VARS'!$J$50*(8*8)+'LINEST VARS'!$I$50*(8*$EG$8)+'LINEST VARS'!$H$50*(8*0.5)+'LINEST VARS'!$G$50*(8*$DV9)+'LINEST VARS'!$F$50*(8*$EG$8)+'LINEST VARS'!$E$50*(8*0.5)+'LINEST VARS'!$D$50*(8*$DV9)+'LINEST VARS'!$C$50*($EG$8*0.5)+'LINEST VARS'!$B$50*($EG$8*$DV9)+'LINEST VARS'!$A$50*(0.5*$DV9)</f>
        <v>331.99999999999989</v>
      </c>
      <c r="EH9" s="46">
        <f>'LINEST VARS'!$U$50+'LINEST VARS'!$T$50*(8)+'LINEST VARS'!$S$50*(8)+'LINEST VARS'!$R$50*($EH$8)+'LINEST VARS'!$Q$50*(0.5)+'LINEST VARS'!$P$50*($DV9)+'LINEST VARS'!$O$50*(8^2)+'LINEST VARS'!$N$50*(8^2)+'LINEST VARS'!$M$50*($EH$8^2)+'LINEST VARS'!$L$50*(0.5^2)+'LINEST VARS'!$K$50*($DV9^2)+'LINEST VARS'!$J$50*(8*8)+'LINEST VARS'!$I$50*(8*$EH$8)+'LINEST VARS'!$H$50*(8*0.5)+'LINEST VARS'!$G$50*(8*$DV9)+'LINEST VARS'!$F$50*(8*$EH$8)+'LINEST VARS'!$E$50*(8*0.5)+'LINEST VARS'!$D$50*(8*$DV9)+'LINEST VARS'!$C$50*($EH$8*0.5)+'LINEST VARS'!$B$50*($EH$8*$DV9)+'LINEST VARS'!$A$50*(0.5*$DV9)</f>
        <v>331.99999999999989</v>
      </c>
      <c r="EI9" s="46">
        <f>'LINEST VARS'!$U$50+'LINEST VARS'!$T$50*(8)+'LINEST VARS'!$S$50*(8)+'LINEST VARS'!$R$50*($EI$8)+'LINEST VARS'!$Q$50*(0.5)+'LINEST VARS'!$P$50*($DV9)+'LINEST VARS'!$O$50*(8^2)+'LINEST VARS'!$N$50*(8^2)+'LINEST VARS'!$M$50*($EI$8^2)+'LINEST VARS'!$L$50*(0.5^2)+'LINEST VARS'!$K$50*($DV9^2)+'LINEST VARS'!$J$50*(8*8)+'LINEST VARS'!$I$50*(8*$EI$8)+'LINEST VARS'!$H$50*(8*0.5)+'LINEST VARS'!$G$50*(8*$DV9)+'LINEST VARS'!$F$50*(8*$EI$8)+'LINEST VARS'!$E$50*(8*0.5)+'LINEST VARS'!$D$50*(8*$DV9)+'LINEST VARS'!$C$50*($EI$8*0.5)+'LINEST VARS'!$B$50*($EI$8*$DV9)+'LINEST VARS'!$A$50*(0.5*$DV9)</f>
        <v>331.99999999999989</v>
      </c>
      <c r="EJ9" s="46">
        <f>'LINEST VARS'!$U$50+'LINEST VARS'!$T$50*(8)+'LINEST VARS'!$S$50*(8)+'LINEST VARS'!$R$50*($EJ$8)+'LINEST VARS'!$Q$50*(0.5)+'LINEST VARS'!$P$50*($DV9)+'LINEST VARS'!$O$50*(8^2)+'LINEST VARS'!$N$50*(8^2)+'LINEST VARS'!$M$50*($EJ$8^2)+'LINEST VARS'!$L$50*(0.5^2)+'LINEST VARS'!$K$50*($DV9^2)+'LINEST VARS'!$J$50*(8*8)+'LINEST VARS'!$I$50*(8*$EJ$8)+'LINEST VARS'!$H$50*(8*0.5)+'LINEST VARS'!$G$50*(8*$DV9)+'LINEST VARS'!$F$50*(8*$EJ$8)+'LINEST VARS'!$E$50*(8*0.5)+'LINEST VARS'!$D$50*(8*$DV9)+'LINEST VARS'!$C$50*($EJ$8*0.5)+'LINEST VARS'!$B$50*($EJ$8*$DV9)+'LINEST VARS'!$A$50*(0.5*$DV9)</f>
        <v>331.99999999999989</v>
      </c>
      <c r="EK9" s="46">
        <f>'LINEST VARS'!$U$50+'LINEST VARS'!$T$50*(8)+'LINEST VARS'!$S$50*(8)+'LINEST VARS'!$R$50*($EK$8)+'LINEST VARS'!$Q$50*(0.5)+'LINEST VARS'!$P$50*($DV9)+'LINEST VARS'!$O$50*(8^2)+'LINEST VARS'!$N$50*(8^2)+'LINEST VARS'!$M$50*($EK$8^2)+'LINEST VARS'!$L$50*(0.5^2)+'LINEST VARS'!$K$50*($DV9^2)+'LINEST VARS'!$J$50*(8*8)+'LINEST VARS'!$I$50*(8*$EK$8)+'LINEST VARS'!$H$50*(8*0.5)+'LINEST VARS'!$G$50*(8*$DV9)+'LINEST VARS'!$F$50*(8*$EK$8)+'LINEST VARS'!$E$50*(8*0.5)+'LINEST VARS'!$D$50*(8*$DV9)+'LINEST VARS'!$C$50*($EK$8*0.5)+'LINEST VARS'!$B$50*($EK$8*$DV9)+'LINEST VARS'!$A$50*(0.5*$DV9)</f>
        <v>331.99999999999989</v>
      </c>
      <c r="EL9" s="46">
        <f>'LINEST VARS'!$U$50+'LINEST VARS'!$T$50*(8)+'LINEST VARS'!$S$50*(8)+'LINEST VARS'!$R$50*($EL$8)+'LINEST VARS'!$Q$50*(0.5)+'LINEST VARS'!$P$50*($DV9)+'LINEST VARS'!$O$50*(8^2)+'LINEST VARS'!$N$50*(8^2)+'LINEST VARS'!$M$50*($EL$8^2)+'LINEST VARS'!$L$50*(0.5^2)+'LINEST VARS'!$K$50*($DV9^2)+'LINEST VARS'!$J$50*(8*8)+'LINEST VARS'!$I$50*(8*$EL$8)+'LINEST VARS'!$H$50*(8*0.5)+'LINEST VARS'!$G$50*(8*$DV9)+'LINEST VARS'!$F$50*(8*$EL$8)+'LINEST VARS'!$E$50*(8*0.5)+'LINEST VARS'!$D$50*(8*$DV9)+'LINEST VARS'!$C$50*($EL$8*0.5)+'LINEST VARS'!$B$50*($EL$8*$DV9)+'LINEST VARS'!$A$50*(0.5*$DV9)</f>
        <v>331.99999999999989</v>
      </c>
      <c r="EM9" s="46">
        <f>'LINEST VARS'!$U$50+'LINEST VARS'!$T$50*(8)+'LINEST VARS'!$S$50*(8)+'LINEST VARS'!$R$50*($EM$8)+'LINEST VARS'!$Q$50*(0.5)+'LINEST VARS'!$P$50*($DV9)+'LINEST VARS'!$O$50*(8^2)+'LINEST VARS'!$N$50*(8^2)+'LINEST VARS'!$M$50*($EM$8^2)+'LINEST VARS'!$L$50*(0.5^2)+'LINEST VARS'!$K$50*($DV9^2)+'LINEST VARS'!$J$50*(8*8)+'LINEST VARS'!$I$50*(8*$EM$8)+'LINEST VARS'!$H$50*(8*0.5)+'LINEST VARS'!$G$50*(8*$DV9)+'LINEST VARS'!$F$50*(8*$EM$8)+'LINEST VARS'!$E$50*(8*0.5)+'LINEST VARS'!$D$50*(8*$DV9)+'LINEST VARS'!$C$50*($EM$8*0.5)+'LINEST VARS'!$B$50*($EM$8*$DV9)+'LINEST VARS'!$A$50*(0.5*$DV9)</f>
        <v>331.99999999999989</v>
      </c>
      <c r="EN9" s="46">
        <f>'LINEST VARS'!$U$50+'LINEST VARS'!$T$50*(8)+'LINEST VARS'!$S$50*(8)+'LINEST VARS'!$R$50*($EN$8)+'LINEST VARS'!$Q$50*(0.5)+'LINEST VARS'!$P$50*($DV9)+'LINEST VARS'!$O$50*(8^2)+'LINEST VARS'!$N$50*(8^2)+'LINEST VARS'!$M$50*($EN$8^2)+'LINEST VARS'!$L$50*(0.5^2)+'LINEST VARS'!$K$50*($DV9^2)+'LINEST VARS'!$J$50*(8*8)+'LINEST VARS'!$I$50*(8*$EN$8)+'LINEST VARS'!$H$50*(8*0.5)+'LINEST VARS'!$G$50*(8*$DV9)+'LINEST VARS'!$F$50*(8*$EN$8)+'LINEST VARS'!$E$50*(8*0.5)+'LINEST VARS'!$D$50*(8*$DV9)+'LINEST VARS'!$C$50*($EN$8*0.5)+'LINEST VARS'!$B$50*($EN$8*$DV9)+'LINEST VARS'!$A$50*(0.5*$DV9)</f>
        <v>331.99999999999989</v>
      </c>
      <c r="EO9" s="46">
        <f>'LINEST VARS'!$U$50+'LINEST VARS'!$T$50*(8)+'LINEST VARS'!$S$50*(8)+'LINEST VARS'!$R$50*($EO$8)+'LINEST VARS'!$Q$50*(0.5)+'LINEST VARS'!$P$50*($DV9)+'LINEST VARS'!$O$50*(8^2)+'LINEST VARS'!$N$50*(8^2)+'LINEST VARS'!$M$50*($EO$8^2)+'LINEST VARS'!$L$50*(0.5^2)+'LINEST VARS'!$K$50*($DV9^2)+'LINEST VARS'!$J$50*(8*8)+'LINEST VARS'!$I$50*(8*$EO$8)+'LINEST VARS'!$H$50*(8*0.5)+'LINEST VARS'!$G$50*(8*$DV9)+'LINEST VARS'!$F$50*(8*$EO$8)+'LINEST VARS'!$E$50*(8*0.5)+'LINEST VARS'!$D$50*(8*$DV9)+'LINEST VARS'!$C$50*($EO$8*0.5)+'LINEST VARS'!$B$50*($EO$8*$DV9)+'LINEST VARS'!$A$50*(0.5*$DV9)</f>
        <v>331.99999999999989</v>
      </c>
      <c r="EP9" s="46">
        <f>'LINEST VARS'!$U$50+'LINEST VARS'!$T$50*(8)+'LINEST VARS'!$S$50*(8)+'LINEST VARS'!$R$50*($EP$8)+'LINEST VARS'!$Q$50*(0.5)+'LINEST VARS'!$P$50*($DV9)+'LINEST VARS'!$O$50*(8^2)+'LINEST VARS'!$N$50*(8^2)+'LINEST VARS'!$M$50*($EP$8^2)+'LINEST VARS'!$L$50*(0.5^2)+'LINEST VARS'!$K$50*($DV9^2)+'LINEST VARS'!$J$50*(8*8)+'LINEST VARS'!$I$50*(8*$EP$8)+'LINEST VARS'!$H$50*(8*0.5)+'LINEST VARS'!$G$50*(8*$DV9)+'LINEST VARS'!$F$50*(8*$EP$8)+'LINEST VARS'!$E$50*(8*0.5)+'LINEST VARS'!$D$50*(8*$DV9)+'LINEST VARS'!$C$50*($EP$8*0.5)+'LINEST VARS'!$B$50*($EP$8*$DV9)+'LINEST VARS'!$A$50*(0.5*$DV9)</f>
        <v>331.99999999999989</v>
      </c>
      <c r="EQ9" s="47">
        <f>'LINEST VARS'!$U$50+'LINEST VARS'!$T$50*(8)+'LINEST VARS'!$S$50*(8)+'LINEST VARS'!$R$50*($EQ$8)+'LINEST VARS'!$Q$50*(0.5)+'LINEST VARS'!$P$50*($DV9)+'LINEST VARS'!$O$50*(8^2)+'LINEST VARS'!$N$50*(8^2)+'LINEST VARS'!$M$50*($EQ$8^2)+'LINEST VARS'!$L$50*(0.5^2)+'LINEST VARS'!$K$50*($DV9^2)+'LINEST VARS'!$J$50*(8*8)+'LINEST VARS'!$I$50*(8*$EQ$8)+'LINEST VARS'!$H$50*(8*0.5)+'LINEST VARS'!$G$50*(8*$DV9)+'LINEST VARS'!$F$50*(8*$EQ$8)+'LINEST VARS'!$E$50*(8*0.5)+'LINEST VARS'!$D$50*(8*$DV9)+'LINEST VARS'!$C$50*($EQ$8*0.5)+'LINEST VARS'!$B$50*($EQ$8*$DV9)+'LINEST VARS'!$A$50*(0.5*$DV9)</f>
        <v>331.99999999999989</v>
      </c>
    </row>
    <row r="10" spans="2:150" ht="15" customHeight="1" x14ac:dyDescent="0.25">
      <c r="B10" s="45">
        <v>7.46</v>
      </c>
      <c r="C10" s="46">
        <f>'LINEST VARS'!$U$48+'LINEST VARS'!$T$48*($C$8)+'LINEST VARS'!$S$48*($B10)+'LINEST VARS'!$R$48*(4)+'LINEST VARS'!$Q$48*(0.5)+'LINEST VARS'!$P$48*(12.73)+'LINEST VARS'!$O$48*($C$8^2)+'LINEST VARS'!$N$48*($B10^2)+'LINEST VARS'!$M$48*(4^2)+'LINEST VARS'!$L$48*(0.5^2)+'LINEST VARS'!$K$48*(12.73^2)+'LINEST VARS'!$J$48*($C$8*$B10)+'LINEST VARS'!$I$48*($C$8*4)+'LINEST VARS'!$H$48*($C$8*0.5)+'LINEST VARS'!$G$48*($C$8*12.73)+'LINEST VARS'!$F$48*($B10*4)+'LINEST VARS'!$E$48*($B10*0.5)+'LINEST VARS'!$D$48*($B10*12.73)+'LINEST VARS'!$C$48*(4*0.5)+'LINEST VARS'!$B$48*(4*12.73)+'LINEST VARS'!$A$48*(0.5*12.73)</f>
        <v>320.9799999999999</v>
      </c>
      <c r="D10" s="46">
        <f>'LINEST VARS'!$U$48+'LINEST VARS'!$T$48*($D$8)+'LINEST VARS'!$S$48*($B10)+'LINEST VARS'!$R$48*(4)+'LINEST VARS'!$Q$48*(0.5)+'LINEST VARS'!$P$48*(12.73)+'LINEST VARS'!$O$48*($D$8^2)+'LINEST VARS'!$N$48*($B10^2)+'LINEST VARS'!$M$48*(4^2)+'LINEST VARS'!$L$48*(0.5^2)+'LINEST VARS'!$K$48*(12.73^2)+'LINEST VARS'!$J$48*($D$8*$B10)+'LINEST VARS'!$I$48*($D$8*4)+'LINEST VARS'!$H$48*($D$8*0.5)+'LINEST VARS'!$G$48*($D$8*12.73)+'LINEST VARS'!$F$48*($B10*4)+'LINEST VARS'!$E$48*($B10*0.5)+'LINEST VARS'!$D$48*($B10*12.73)+'LINEST VARS'!$C$48*(4*0.5)+'LINEST VARS'!$B$48*(4*12.73)+'LINEST VARS'!$A$48*(0.5*12.73)</f>
        <v>325.55799999999988</v>
      </c>
      <c r="E10" s="46">
        <f>'LINEST VARS'!$U$48+'LINEST VARS'!$T$48*($E$8)+'LINEST VARS'!$S$48*($B10)+'LINEST VARS'!$R$48*(4)+'LINEST VARS'!$Q$48*(0.5)+'LINEST VARS'!$P$48*(12.73)+'LINEST VARS'!$O$48*($E$8^2)+'LINEST VARS'!$N$48*($B10^2)+'LINEST VARS'!$M$48*(4^2)+'LINEST VARS'!$L$48*(0.5^2)+'LINEST VARS'!$K$48*(12.73^2)+'LINEST VARS'!$J$48*($E$8*$B10)+'LINEST VARS'!$I$48*($E$8*4)+'LINEST VARS'!$H$48*($E$8*0.5)+'LINEST VARS'!$G$48*($E$8*12.73)+'LINEST VARS'!$F$48*($B10*4)+'LINEST VARS'!$E$48*($B10*0.5)+'LINEST VARS'!$D$48*($B10*12.73)+'LINEST VARS'!$C$48*(4*0.5)+'LINEST VARS'!$B$48*(4*12.73)+'LINEST VARS'!$A$48*(0.5*12.73)</f>
        <v>330.17199999999985</v>
      </c>
      <c r="F10" s="46">
        <f>'LINEST VARS'!$U$48+'LINEST VARS'!$T$48*($F$8)+'LINEST VARS'!$S$48*($B10)+'LINEST VARS'!$R$48*(4)+'LINEST VARS'!$Q$48*(0.5)+'LINEST VARS'!$P$48*(12.73)+'LINEST VARS'!$O$48*($F$8^2)+'LINEST VARS'!$N$48*($B10^2)+'LINEST VARS'!$M$48*(4^2)+'LINEST VARS'!$L$48*(0.5^2)+'LINEST VARS'!$K$48*(12.73^2)+'LINEST VARS'!$J$48*($F$8*$B10)+'LINEST VARS'!$I$48*($F$8*4)+'LINEST VARS'!$H$48*($F$8*0.5)+'LINEST VARS'!$G$48*($F$8*12.73)+'LINEST VARS'!$F$48*($B10*4)+'LINEST VARS'!$E$48*($B10*0.5)+'LINEST VARS'!$D$48*($B10*12.73)+'LINEST VARS'!$C$48*(4*0.5)+'LINEST VARS'!$B$48*(4*12.73)+'LINEST VARS'!$A$48*(0.5*12.73)</f>
        <v>334.82199999999989</v>
      </c>
      <c r="G10" s="46">
        <f>'LINEST VARS'!$U$48+'LINEST VARS'!$T$48*($G$8)+'LINEST VARS'!$S$48*($B10)+'LINEST VARS'!$R$48*(4)+'LINEST VARS'!$Q$48*(0.5)+'LINEST VARS'!$P$48*(12.73)+'LINEST VARS'!$O$48*($G$8^2)+'LINEST VARS'!$N$48*($B10^2)+'LINEST VARS'!$M$48*(4^2)+'LINEST VARS'!$L$48*(0.5^2)+'LINEST VARS'!$K$48*(12.73^2)+'LINEST VARS'!$J$48*($G$8*$B10)+'LINEST VARS'!$I$48*($G$8*4)+'LINEST VARS'!$H$48*($G$8*0.5)+'LINEST VARS'!$G$48*($G$8*12.73)+'LINEST VARS'!$F$48*($B10*4)+'LINEST VARS'!$E$48*($B10*0.5)+'LINEST VARS'!$D$48*($B10*12.73)+'LINEST VARS'!$C$48*(4*0.5)+'LINEST VARS'!$B$48*(4*12.73)+'LINEST VARS'!$A$48*(0.5*12.73)</f>
        <v>339.50799999999987</v>
      </c>
      <c r="H10" s="46">
        <f>'LINEST VARS'!$U$48+'LINEST VARS'!$T$48*($H$8)+'LINEST VARS'!$S$48*($B10)+'LINEST VARS'!$R$48*(4)+'LINEST VARS'!$Q$48*(0.5)+'LINEST VARS'!$P$48*(12.73)+'LINEST VARS'!$O$48*($H$8^2)+'LINEST VARS'!$N$48*($B10^2)+'LINEST VARS'!$M$48*(4^2)+'LINEST VARS'!$L$48*(0.5^2)+'LINEST VARS'!$K$48*(12.73^2)+'LINEST VARS'!$J$48*($H$8*$B10)+'LINEST VARS'!$I$48*($H$8*4)+'LINEST VARS'!$H$48*($H$8*0.5)+'LINEST VARS'!$G$48*($H$8*12.73)+'LINEST VARS'!$F$48*($B10*4)+'LINEST VARS'!$E$48*($B10*0.5)+'LINEST VARS'!$D$48*($B10*12.73)+'LINEST VARS'!$C$48*(4*0.5)+'LINEST VARS'!$B$48*(4*12.73)+'LINEST VARS'!$A$48*(0.5*12.73)</f>
        <v>344.2299999999999</v>
      </c>
      <c r="I10" s="46">
        <f>'LINEST VARS'!$U$48+'LINEST VARS'!$T$48*($I$8)+'LINEST VARS'!$S$48*($B10)+'LINEST VARS'!$R$48*(4)+'LINEST VARS'!$Q$48*(0.5)+'LINEST VARS'!$P$48*(12.73)+'LINEST VARS'!$O$48*($I$8^2)+'LINEST VARS'!$N$48*($B10^2)+'LINEST VARS'!$M$48*(4^2)+'LINEST VARS'!$L$48*(0.5^2)+'LINEST VARS'!$K$48*(12.73^2)+'LINEST VARS'!$J$48*($I$8*$B10)+'LINEST VARS'!$I$48*($I$8*4)+'LINEST VARS'!$H$48*($I$8*0.5)+'LINEST VARS'!$G$48*($I$8*12.73)+'LINEST VARS'!$F$48*($B10*4)+'LINEST VARS'!$E$48*($B10*0.5)+'LINEST VARS'!$D$48*($B10*12.73)+'LINEST VARS'!$C$48*(4*0.5)+'LINEST VARS'!$B$48*(4*12.73)+'LINEST VARS'!$A$48*(0.5*12.73)</f>
        <v>348.98799999999989</v>
      </c>
      <c r="J10" s="46">
        <f>'LINEST VARS'!$U$48+'LINEST VARS'!$T$48*($J$8)+'LINEST VARS'!$S$48*($B10)+'LINEST VARS'!$R$48*(4)+'LINEST VARS'!$Q$48*(0.5)+'LINEST VARS'!$P$48*(12.73)+'LINEST VARS'!$O$48*($J$8^2)+'LINEST VARS'!$N$48*($B10^2)+'LINEST VARS'!$M$48*(4^2)+'LINEST VARS'!$L$48*(0.5^2)+'LINEST VARS'!$K$48*(12.73^2)+'LINEST VARS'!$J$48*($J$8*$B10)+'LINEST VARS'!$I$48*($J$8*4)+'LINEST VARS'!$H$48*($J$8*0.5)+'LINEST VARS'!$G$48*($J$8*12.73)+'LINEST VARS'!$F$48*($B10*4)+'LINEST VARS'!$E$48*($B10*0.5)+'LINEST VARS'!$D$48*($B10*12.73)+'LINEST VARS'!$C$48*(4*0.5)+'LINEST VARS'!$B$48*(4*12.73)+'LINEST VARS'!$A$48*(0.5*12.73)</f>
        <v>353.78199999999993</v>
      </c>
      <c r="K10" s="46">
        <f>'LINEST VARS'!$U$48+'LINEST VARS'!$T$48*($K$8)+'LINEST VARS'!$S$48*($B10)+'LINEST VARS'!$R$48*(4)+'LINEST VARS'!$Q$48*(0.5)+'LINEST VARS'!$P$48*(12.73)+'LINEST VARS'!$O$48*($K$8^2)+'LINEST VARS'!$N$48*($B10^2)+'LINEST VARS'!$M$48*(4^2)+'LINEST VARS'!$L$48*(0.5^2)+'LINEST VARS'!$K$48*(12.73^2)+'LINEST VARS'!$J$48*($K$8*$B10)+'LINEST VARS'!$I$48*($K$8*4)+'LINEST VARS'!$H$48*($K$8*0.5)+'LINEST VARS'!$G$48*($K$8*12.73)+'LINEST VARS'!$F$48*($B10*4)+'LINEST VARS'!$E$48*($B10*0.5)+'LINEST VARS'!$D$48*($B10*12.73)+'LINEST VARS'!$C$48*(4*0.5)+'LINEST VARS'!$B$48*(4*12.73)+'LINEST VARS'!$A$48*(0.5*12.73)</f>
        <v>358.61199999999991</v>
      </c>
      <c r="L10" s="46">
        <f>'LINEST VARS'!$U$48+'LINEST VARS'!$T$48*($L$8)+'LINEST VARS'!$S$48*($B10)+'LINEST VARS'!$R$48*(4)+'LINEST VARS'!$Q$48*(0.5)+'LINEST VARS'!$P$48*(12.73)+'LINEST VARS'!$O$48*($L$8^2)+'LINEST VARS'!$N$48*($B10^2)+'LINEST VARS'!$M$48*(4^2)+'LINEST VARS'!$L$48*(0.5^2)+'LINEST VARS'!$K$48*(12.73^2)+'LINEST VARS'!$J$48*($L$8*$B10)+'LINEST VARS'!$I$48*($L$8*4)+'LINEST VARS'!$H$48*($L$8*0.5)+'LINEST VARS'!$G$48*($L$8*12.73)+'LINEST VARS'!$F$48*($B10*4)+'LINEST VARS'!$E$48*($B10*0.5)+'LINEST VARS'!$D$48*($B10*12.73)+'LINEST VARS'!$C$48*(4*0.5)+'LINEST VARS'!$B$48*(4*12.73)+'LINEST VARS'!$A$48*(0.5*12.73)</f>
        <v>363.47799999999989</v>
      </c>
      <c r="M10" s="46">
        <f>'LINEST VARS'!$U$48+'LINEST VARS'!$T$48*($M$8)+'LINEST VARS'!$S$48*($B10)+'LINEST VARS'!$R$48*(4)+'LINEST VARS'!$Q$48*(0.5)+'LINEST VARS'!$P$48*(12.73)+'LINEST VARS'!$O$48*($M$8^2)+'LINEST VARS'!$N$48*($B10^2)+'LINEST VARS'!$M$48*(4^2)+'LINEST VARS'!$L$48*(0.5^2)+'LINEST VARS'!$K$48*(12.73^2)+'LINEST VARS'!$J$48*($M$8*$B10)+'LINEST VARS'!$I$48*($M$8*4)+'LINEST VARS'!$H$48*($M$8*0.5)+'LINEST VARS'!$G$48*($M$8*12.73)+'LINEST VARS'!$F$48*($B10*4)+'LINEST VARS'!$E$48*($B10*0.5)+'LINEST VARS'!$D$48*($B10*12.73)+'LINEST VARS'!$C$48*(4*0.5)+'LINEST VARS'!$B$48*(4*12.73)+'LINEST VARS'!$A$48*(0.5*12.73)</f>
        <v>368.37999999999988</v>
      </c>
      <c r="N10" s="46">
        <f>'LINEST VARS'!$U$48+'LINEST VARS'!$T$48*($N$8)+'LINEST VARS'!$S$48*($B10)+'LINEST VARS'!$R$48*(4)+'LINEST VARS'!$Q$48*(0.5)+'LINEST VARS'!$P$48*(12.73)+'LINEST VARS'!$O$48*($N$8^2)+'LINEST VARS'!$N$48*($B10^2)+'LINEST VARS'!$M$48*(4^2)+'LINEST VARS'!$L$48*(0.5^2)+'LINEST VARS'!$K$48*(12.73^2)+'LINEST VARS'!$J$48*($N$8*$B10)+'LINEST VARS'!$I$48*($N$8*4)+'LINEST VARS'!$H$48*($N$8*0.5)+'LINEST VARS'!$G$48*($N$8*12.73)+'LINEST VARS'!$F$48*($B10*4)+'LINEST VARS'!$E$48*($B10*0.5)+'LINEST VARS'!$D$48*($B10*12.73)+'LINEST VARS'!$C$48*(4*0.5)+'LINEST VARS'!$B$48*(4*12.73)+'LINEST VARS'!$A$48*(0.5*12.73)</f>
        <v>373.31799999999987</v>
      </c>
      <c r="O10" s="46">
        <f>'LINEST VARS'!$U$48+'LINEST VARS'!$T$48*($O$8)+'LINEST VARS'!$S$48*($B10)+'LINEST VARS'!$R$48*(4)+'LINEST VARS'!$Q$48*(0.5)+'LINEST VARS'!$P$48*(12.73)+'LINEST VARS'!$O$48*($O$8^2)+'LINEST VARS'!$N$48*($B10^2)+'LINEST VARS'!$M$48*(4^2)+'LINEST VARS'!$L$48*(0.5^2)+'LINEST VARS'!$K$48*(12.73^2)+'LINEST VARS'!$J$48*($O$8*$B10)+'LINEST VARS'!$I$48*($O$8*4)+'LINEST VARS'!$H$48*($O$8*0.5)+'LINEST VARS'!$G$48*($O$8*12.73)+'LINEST VARS'!$F$48*($B10*4)+'LINEST VARS'!$E$48*($B10*0.5)+'LINEST VARS'!$D$48*($B10*12.73)+'LINEST VARS'!$C$48*(4*0.5)+'LINEST VARS'!$B$48*(4*12.73)+'LINEST VARS'!$A$48*(0.5*12.73)</f>
        <v>378.29199999999975</v>
      </c>
      <c r="P10" s="46">
        <f>'LINEST VARS'!$U$48+'LINEST VARS'!$T$48*($P$8)+'LINEST VARS'!$S$48*($B10)+'LINEST VARS'!$R$48*(4)+'LINEST VARS'!$Q$48*(0.5)+'LINEST VARS'!$P$48*(12.73)+'LINEST VARS'!$O$48*($P$8^2)+'LINEST VARS'!$N$48*($B10^2)+'LINEST VARS'!$M$48*(4^2)+'LINEST VARS'!$L$48*(0.5^2)+'LINEST VARS'!$K$48*(12.73^2)+'LINEST VARS'!$J$48*($P$8*$B10)+'LINEST VARS'!$I$48*($P$8*4)+'LINEST VARS'!$H$48*($P$8*0.5)+'LINEST VARS'!$G$48*($P$8*12.73)+'LINEST VARS'!$F$48*($B10*4)+'LINEST VARS'!$E$48*($B10*0.5)+'LINEST VARS'!$D$48*($B10*12.73)+'LINEST VARS'!$C$48*(4*0.5)+'LINEST VARS'!$B$48*(4*12.73)+'LINEST VARS'!$A$48*(0.5*12.73)</f>
        <v>383.30199999999974</v>
      </c>
      <c r="Q10" s="46">
        <f>'LINEST VARS'!$U$48+'LINEST VARS'!$T$48*($Q$8)+'LINEST VARS'!$S$48*($B10)+'LINEST VARS'!$R$48*(4)+'LINEST VARS'!$Q$48*(0.5)+'LINEST VARS'!$P$48*(12.73)+'LINEST VARS'!$O$48*($Q$8^2)+'LINEST VARS'!$N$48*($B10^2)+'LINEST VARS'!$M$48*(4^2)+'LINEST VARS'!$L$48*(0.5^2)+'LINEST VARS'!$K$48*(12.73^2)+'LINEST VARS'!$J$48*($Q$8*$B10)+'LINEST VARS'!$I$48*($Q$8*4)+'LINEST VARS'!$H$48*($Q$8*0.5)+'LINEST VARS'!$G$48*($Q$8*12.73)+'LINEST VARS'!$F$48*($B10*4)+'LINEST VARS'!$E$48*($B10*0.5)+'LINEST VARS'!$D$48*($B10*12.73)+'LINEST VARS'!$C$48*(4*0.5)+'LINEST VARS'!$B$48*(4*12.73)+'LINEST VARS'!$A$48*(0.5*12.73)</f>
        <v>388.34799999999984</v>
      </c>
      <c r="R10" s="46">
        <f>'LINEST VARS'!$U$48+'LINEST VARS'!$T$48*($R$8)+'LINEST VARS'!$S$48*($B10)+'LINEST VARS'!$R$48*(4)+'LINEST VARS'!$Q$48*(0.5)+'LINEST VARS'!$P$48*(12.73)+'LINEST VARS'!$O$48*($R$8^2)+'LINEST VARS'!$N$48*($B10^2)+'LINEST VARS'!$M$48*(4^2)+'LINEST VARS'!$L$48*(0.5^2)+'LINEST VARS'!$K$48*(12.73^2)+'LINEST VARS'!$J$48*($R$8*$B10)+'LINEST VARS'!$I$48*($R$8*4)+'LINEST VARS'!$H$48*($R$8*0.5)+'LINEST VARS'!$G$48*($R$8*12.73)+'LINEST VARS'!$F$48*($B10*4)+'LINEST VARS'!$E$48*($B10*0.5)+'LINEST VARS'!$D$48*($B10*12.73)+'LINEST VARS'!$C$48*(4*0.5)+'LINEST VARS'!$B$48*(4*12.73)+'LINEST VARS'!$A$48*(0.5*12.73)</f>
        <v>393.42999999999989</v>
      </c>
      <c r="S10" s="46">
        <f>'LINEST VARS'!$U$48+'LINEST VARS'!$T$48*($S$8)+'LINEST VARS'!$S$48*($B10)+'LINEST VARS'!$R$48*(4)+'LINEST VARS'!$Q$48*(0.5)+'LINEST VARS'!$P$48*(12.73)+'LINEST VARS'!$O$48*($S$8^2)+'LINEST VARS'!$N$48*($B10^2)+'LINEST VARS'!$M$48*(4^2)+'LINEST VARS'!$L$48*(0.5^2)+'LINEST VARS'!$K$48*(12.73^2)+'LINEST VARS'!$J$48*($S$8*$B10)+'LINEST VARS'!$I$48*($S$8*4)+'LINEST VARS'!$H$48*($S$8*0.5)+'LINEST VARS'!$G$48*($S$8*12.73)+'LINEST VARS'!$F$48*($B10*4)+'LINEST VARS'!$E$48*($B10*0.5)+'LINEST VARS'!$D$48*($B10*12.73)+'LINEST VARS'!$C$48*(4*0.5)+'LINEST VARS'!$B$48*(4*12.73)+'LINEST VARS'!$A$48*(0.5*12.73)</f>
        <v>398.54799999999977</v>
      </c>
      <c r="T10" s="46">
        <f>'LINEST VARS'!$U$48+'LINEST VARS'!$T$48*($T$8)+'LINEST VARS'!$S$48*($B10)+'LINEST VARS'!$R$48*(4)+'LINEST VARS'!$Q$48*(0.5)+'LINEST VARS'!$P$48*(12.73)+'LINEST VARS'!$O$48*($T$8^2)+'LINEST VARS'!$N$48*($B10^2)+'LINEST VARS'!$M$48*(4^2)+'LINEST VARS'!$L$48*(0.5^2)+'LINEST VARS'!$K$48*(12.73^2)+'LINEST VARS'!$J$48*($T$8*$B10)+'LINEST VARS'!$I$48*($T$8*4)+'LINEST VARS'!$H$48*($T$8*0.5)+'LINEST VARS'!$G$48*($T$8*12.73)+'LINEST VARS'!$F$48*($B10*4)+'LINEST VARS'!$E$48*($B10*0.5)+'LINEST VARS'!$D$48*($B10*12.73)+'LINEST VARS'!$C$48*(4*0.5)+'LINEST VARS'!$B$48*(4*12.73)+'LINEST VARS'!$A$48*(0.5*12.73)</f>
        <v>403.70199999999983</v>
      </c>
      <c r="U10" s="46">
        <f>'LINEST VARS'!$U$48+'LINEST VARS'!$T$48*($U$8)+'LINEST VARS'!$S$48*($B10)+'LINEST VARS'!$R$48*(4)+'LINEST VARS'!$Q$48*(0.5)+'LINEST VARS'!$P$48*(12.73)+'LINEST VARS'!$O$48*($U$8^2)+'LINEST VARS'!$N$48*($B10^2)+'LINEST VARS'!$M$48*(4^2)+'LINEST VARS'!$L$48*(0.5^2)+'LINEST VARS'!$K$48*(12.73^2)+'LINEST VARS'!$J$48*($U$8*$B10)+'LINEST VARS'!$I$48*($U$8*4)+'LINEST VARS'!$H$48*($U$8*0.5)+'LINEST VARS'!$G$48*($U$8*12.73)+'LINEST VARS'!$F$48*($B10*4)+'LINEST VARS'!$E$48*($B10*0.5)+'LINEST VARS'!$D$48*($B10*12.73)+'LINEST VARS'!$C$48*(4*0.5)+'LINEST VARS'!$B$48*(4*12.73)+'LINEST VARS'!$A$48*(0.5*12.73)</f>
        <v>408.89199999999994</v>
      </c>
      <c r="V10" s="46">
        <f>'LINEST VARS'!$U$48+'LINEST VARS'!$T$48*($V$8)+'LINEST VARS'!$S$48*($B10)+'LINEST VARS'!$R$48*(4)+'LINEST VARS'!$Q$48*(0.5)+'LINEST VARS'!$P$48*(12.73)+'LINEST VARS'!$O$48*($V$8^2)+'LINEST VARS'!$N$48*($B10^2)+'LINEST VARS'!$M$48*(4^2)+'LINEST VARS'!$L$48*(0.5^2)+'LINEST VARS'!$K$48*(12.73^2)+'LINEST VARS'!$J$48*($V$8*$B10)+'LINEST VARS'!$I$48*($V$8*4)+'LINEST VARS'!$H$48*($V$8*0.5)+'LINEST VARS'!$G$48*($V$8*12.73)+'LINEST VARS'!$F$48*($B10*4)+'LINEST VARS'!$E$48*($B10*0.5)+'LINEST VARS'!$D$48*($B10*12.73)+'LINEST VARS'!$C$48*(4*0.5)+'LINEST VARS'!$B$48*(4*12.73)+'LINEST VARS'!$A$48*(0.5*12.73)</f>
        <v>414.11799999999982</v>
      </c>
      <c r="W10" s="47">
        <f>'LINEST VARS'!$U$48+'LINEST VARS'!$T$48*($W$8)+'LINEST VARS'!$S$48*($B10)+'LINEST VARS'!$R$48*(4)+'LINEST VARS'!$Q$48*(0.5)+'LINEST VARS'!$P$48*(12.73)+'LINEST VARS'!$O$48*($W$8^2)+'LINEST VARS'!$N$48*($B10^2)+'LINEST VARS'!$M$48*(4^2)+'LINEST VARS'!$L$48*(0.5^2)+'LINEST VARS'!$K$48*(12.73^2)+'LINEST VARS'!$J$48*($W$8*$B10)+'LINEST VARS'!$I$48*($W$8*4)+'LINEST VARS'!$H$48*($W$8*0.5)+'LINEST VARS'!$G$48*($W$8*12.73)+'LINEST VARS'!$F$48*($B10*4)+'LINEST VARS'!$E$48*($B10*0.5)+'LINEST VARS'!$D$48*($B10*12.73)+'LINEST VARS'!$C$48*(4*0.5)+'LINEST VARS'!$B$48*(4*12.73)+'LINEST VARS'!$A$48*(0.5*12.73)</f>
        <v>419.37999999999977</v>
      </c>
      <c r="Z10" s="45">
        <v>7.46</v>
      </c>
      <c r="AA10" s="46">
        <f>'LINEST VARS'!$U$50+'LINEST VARS'!$T$50*($AA$8)+'LINEST VARS'!$S$50*($Z10)+'LINEST VARS'!$R$50*(4)+'LINEST VARS'!$Q$50*(0.5)+'LINEST VARS'!$P$50*(12.73)+'LINEST VARS'!$O$50*($AA$8^2)+'LINEST VARS'!$N$50*($Z10^2)+'LINEST VARS'!$M$50*(4^2)+'LINEST VARS'!$L$50*(0.5^2)+'LINEST VARS'!$K$50*(12.73^2)+'LINEST VARS'!$J$50*($AA$8*$Z10)+'LINEST VARS'!$I$50*($AA$8*4)+'LINEST VARS'!$H$50*($AA$8*0.5)+'LINEST VARS'!$G$50*($AA$8*12.73)+'LINEST VARS'!$F$50*($Z10*4)+'LINEST VARS'!$E$50*($Z10*0.5)+'LINEST VARS'!$D$50*($Z10*12.73)+'LINEST VARS'!$C$50*(4*0.5)+'LINEST VARS'!$B$50*(4*12.73)+'LINEST VARS'!$A$50*(0.5*12.73)</f>
        <v>329.74999999999994</v>
      </c>
      <c r="AB10" s="46">
        <f>'LINEST VARS'!$U$50+'LINEST VARS'!$T$50*($AB$8)+'LINEST VARS'!$S$50*($Z10)+'LINEST VARS'!$R$50*(4)+'LINEST VARS'!$Q$50*(0.5)+'LINEST VARS'!$P$50*(12.73)+'LINEST VARS'!$O$50*($AB$8^2)+'LINEST VARS'!$N$50*($Z10^2)+'LINEST VARS'!$M$50*(4^2)+'LINEST VARS'!$L$50*(0.5^2)+'LINEST VARS'!$K$50*(12.73^2)+'LINEST VARS'!$J$50*($AB$8*$Z10)+'LINEST VARS'!$I$50*($AB$8*4)+'LINEST VARS'!$H$50*($AB$8*0.5)+'LINEST VARS'!$G$50*($AB$8*12.73)+'LINEST VARS'!$F$50*($Z10*4)+'LINEST VARS'!$E$50*($Z10*0.5)+'LINEST VARS'!$D$50*($Z10*12.73)+'LINEST VARS'!$C$50*(4*0.5)+'LINEST VARS'!$B$50*(4*12.73)+'LINEST VARS'!$A$50*(0.5*12.73)</f>
        <v>329.83999999999992</v>
      </c>
      <c r="AC10" s="46">
        <f>'LINEST VARS'!$U$50+'LINEST VARS'!$T$50*($AC$8)+'LINEST VARS'!$S$50*($Z10)+'LINEST VARS'!$R$50*(4)+'LINEST VARS'!$Q$50*(0.5)+'LINEST VARS'!$P$50*(12.73)+'LINEST VARS'!$O$50*($AC$8^2)+'LINEST VARS'!$N$50*($Z10^2)+'LINEST VARS'!$M$50*(4^2)+'LINEST VARS'!$L$50*(0.5^2)+'LINEST VARS'!$K$50*(12.73^2)+'LINEST VARS'!$J$50*($AC$8*$Z10)+'LINEST VARS'!$I$50*($AC$8*4)+'LINEST VARS'!$H$50*($AC$8*0.5)+'LINEST VARS'!$G$50*($AC$8*12.73)+'LINEST VARS'!$F$50*($Z10*4)+'LINEST VARS'!$E$50*($Z10*0.5)+'LINEST VARS'!$D$50*($Z10*12.73)+'LINEST VARS'!$C$50*(4*0.5)+'LINEST VARS'!$B$50*(4*12.73)+'LINEST VARS'!$A$50*(0.5*12.73)</f>
        <v>329.92999999999995</v>
      </c>
      <c r="AD10" s="46">
        <f>'LINEST VARS'!$U$50+'LINEST VARS'!$T$50*($AD$8)+'LINEST VARS'!$S$50*($Z10)+'LINEST VARS'!$R$50*(4)+'LINEST VARS'!$Q$50*(0.5)+'LINEST VARS'!$P$50*(12.73)+'LINEST VARS'!$O$50*($AD$8^2)+'LINEST VARS'!$N$50*($Z10^2)+'LINEST VARS'!$M$50*(4^2)+'LINEST VARS'!$L$50*(0.5^2)+'LINEST VARS'!$K$50*(12.73^2)+'LINEST VARS'!$J$50*($AD$8*$Z10)+'LINEST VARS'!$I$50*($AD$8*4)+'LINEST VARS'!$H$50*($AD$8*0.5)+'LINEST VARS'!$G$50*($AD$8*12.73)+'LINEST VARS'!$F$50*($Z10*4)+'LINEST VARS'!$E$50*($Z10*0.5)+'LINEST VARS'!$D$50*($Z10*12.73)+'LINEST VARS'!$C$50*(4*0.5)+'LINEST VARS'!$B$50*(4*12.73)+'LINEST VARS'!$A$50*(0.5*12.73)</f>
        <v>330.01999999999992</v>
      </c>
      <c r="AE10" s="46">
        <f>'LINEST VARS'!$U$50+'LINEST VARS'!$T$50*($AE$8)+'LINEST VARS'!$S$50*($Z10)+'LINEST VARS'!$R$50*(4)+'LINEST VARS'!$Q$50*(0.5)+'LINEST VARS'!$P$50*(12.73)+'LINEST VARS'!$O$50*($AE$8^2)+'LINEST VARS'!$N$50*($Z10^2)+'LINEST VARS'!$M$50*(4^2)+'LINEST VARS'!$L$50*(0.5^2)+'LINEST VARS'!$K$50*(12.73^2)+'LINEST VARS'!$J$50*($AE$8*$Z10)+'LINEST VARS'!$I$50*($AE$8*4)+'LINEST VARS'!$H$50*($AE$8*0.5)+'LINEST VARS'!$G$50*($AE$8*12.73)+'LINEST VARS'!$F$50*($Z10*4)+'LINEST VARS'!$E$50*($Z10*0.5)+'LINEST VARS'!$D$50*($Z10*12.73)+'LINEST VARS'!$C$50*(4*0.5)+'LINEST VARS'!$B$50*(4*12.73)+'LINEST VARS'!$A$50*(0.5*12.73)</f>
        <v>330.1099999999999</v>
      </c>
      <c r="AF10" s="46">
        <f>'LINEST VARS'!$U$50+'LINEST VARS'!$T$50*($AF$8)+'LINEST VARS'!$S$50*($Z10)+'LINEST VARS'!$R$50*(4)+'LINEST VARS'!$Q$50*(0.5)+'LINEST VARS'!$P$50*(12.73)+'LINEST VARS'!$O$50*($AF$8^2)+'LINEST VARS'!$N$50*($Z10^2)+'LINEST VARS'!$M$50*(4^2)+'LINEST VARS'!$L$50*(0.5^2)+'LINEST VARS'!$K$50*(12.73^2)+'LINEST VARS'!$J$50*($AF$8*$Z10)+'LINEST VARS'!$I$50*($AF$8*4)+'LINEST VARS'!$H$50*($AF$8*0.5)+'LINEST VARS'!$G$50*($AF$8*12.73)+'LINEST VARS'!$F$50*($Z10*4)+'LINEST VARS'!$E$50*($Z10*0.5)+'LINEST VARS'!$D$50*($Z10*12.73)+'LINEST VARS'!$C$50*(4*0.5)+'LINEST VARS'!$B$50*(4*12.73)+'LINEST VARS'!$A$50*(0.5*12.73)</f>
        <v>330.19999999999993</v>
      </c>
      <c r="AG10" s="46">
        <f>'LINEST VARS'!$U$50+'LINEST VARS'!$T$50*($AG$8)+'LINEST VARS'!$S$50*($Z10)+'LINEST VARS'!$R$50*(4)+'LINEST VARS'!$Q$50*(0.5)+'LINEST VARS'!$P$50*(12.73)+'LINEST VARS'!$O$50*($AG$8^2)+'LINEST VARS'!$N$50*($Z10^2)+'LINEST VARS'!$M$50*(4^2)+'LINEST VARS'!$L$50*(0.5^2)+'LINEST VARS'!$K$50*(12.73^2)+'LINEST VARS'!$J$50*($AG$8*$Z10)+'LINEST VARS'!$I$50*($AG$8*4)+'LINEST VARS'!$H$50*($AG$8*0.5)+'LINEST VARS'!$G$50*($AG$8*12.73)+'LINEST VARS'!$F$50*($Z10*4)+'LINEST VARS'!$E$50*($Z10*0.5)+'LINEST VARS'!$D$50*($Z10*12.73)+'LINEST VARS'!$C$50*(4*0.5)+'LINEST VARS'!$B$50*(4*12.73)+'LINEST VARS'!$A$50*(0.5*12.73)</f>
        <v>330.28999999999991</v>
      </c>
      <c r="AH10" s="46">
        <f>'LINEST VARS'!$U$50+'LINEST VARS'!$T$50*($AH$8)+'LINEST VARS'!$S$50*($Z10)+'LINEST VARS'!$R$50*(4)+'LINEST VARS'!$Q$50*(0.5)+'LINEST VARS'!$P$50*(12.73)+'LINEST VARS'!$O$50*($AH$8^2)+'LINEST VARS'!$N$50*($Z10^2)+'LINEST VARS'!$M$50*(4^2)+'LINEST VARS'!$L$50*(0.5^2)+'LINEST VARS'!$K$50*(12.73^2)+'LINEST VARS'!$J$50*($AH$8*$Z10)+'LINEST VARS'!$I$50*($AH$8*4)+'LINEST VARS'!$H$50*($AH$8*0.5)+'LINEST VARS'!$G$50*($AH$8*12.73)+'LINEST VARS'!$F$50*($Z10*4)+'LINEST VARS'!$E$50*($Z10*0.5)+'LINEST VARS'!$D$50*($Z10*12.73)+'LINEST VARS'!$C$50*(4*0.5)+'LINEST VARS'!$B$50*(4*12.73)+'LINEST VARS'!$A$50*(0.5*12.73)</f>
        <v>330.37999999999994</v>
      </c>
      <c r="AI10" s="46">
        <f>'LINEST VARS'!$U$50+'LINEST VARS'!$T$50*($AI$8)+'LINEST VARS'!$S$50*($Z10)+'LINEST VARS'!$R$50*(4)+'LINEST VARS'!$Q$50*(0.5)+'LINEST VARS'!$P$50*(12.73)+'LINEST VARS'!$O$50*($AI$8^2)+'LINEST VARS'!$N$50*($Z10^2)+'LINEST VARS'!$M$50*(4^2)+'LINEST VARS'!$L$50*(0.5^2)+'LINEST VARS'!$K$50*(12.73^2)+'LINEST VARS'!$J$50*($AI$8*$Z10)+'LINEST VARS'!$I$50*($AI$8*4)+'LINEST VARS'!$H$50*($AI$8*0.5)+'LINEST VARS'!$G$50*($AI$8*12.73)+'LINEST VARS'!$F$50*($Z10*4)+'LINEST VARS'!$E$50*($Z10*0.5)+'LINEST VARS'!$D$50*($Z10*12.73)+'LINEST VARS'!$C$50*(4*0.5)+'LINEST VARS'!$B$50*(4*12.73)+'LINEST VARS'!$A$50*(0.5*12.73)</f>
        <v>330.46999999999991</v>
      </c>
      <c r="AJ10" s="46">
        <f>'LINEST VARS'!$U$50+'LINEST VARS'!$T$50*($AJ$8)+'LINEST VARS'!$S$50*($Z10)+'LINEST VARS'!$R$50*(4)+'LINEST VARS'!$Q$50*(0.5)+'LINEST VARS'!$P$50*(12.73)+'LINEST VARS'!$O$50*($AJ$8^2)+'LINEST VARS'!$N$50*($Z10^2)+'LINEST VARS'!$M$50*(4^2)+'LINEST VARS'!$L$50*(0.5^2)+'LINEST VARS'!$K$50*(12.73^2)+'LINEST VARS'!$J$50*($AJ$8*$Z10)+'LINEST VARS'!$I$50*($AJ$8*4)+'LINEST VARS'!$H$50*($AJ$8*0.5)+'LINEST VARS'!$G$50*($AJ$8*12.73)+'LINEST VARS'!$F$50*($Z10*4)+'LINEST VARS'!$E$50*($Z10*0.5)+'LINEST VARS'!$D$50*($Z10*12.73)+'LINEST VARS'!$C$50*(4*0.5)+'LINEST VARS'!$B$50*(4*12.73)+'LINEST VARS'!$A$50*(0.5*12.73)</f>
        <v>330.55999999999995</v>
      </c>
      <c r="AK10" s="46">
        <f>'LINEST VARS'!$U$50+'LINEST VARS'!$T$50*($AK$8)+'LINEST VARS'!$S$50*($Z10)+'LINEST VARS'!$R$50*(4)+'LINEST VARS'!$Q$50*(0.5)+'LINEST VARS'!$P$50*(12.73)+'LINEST VARS'!$O$50*($AK$8^2)+'LINEST VARS'!$N$50*($Z10^2)+'LINEST VARS'!$M$50*(4^2)+'LINEST VARS'!$L$50*(0.5^2)+'LINEST VARS'!$K$50*(12.73^2)+'LINEST VARS'!$J$50*($AK$8*$Z10)+'LINEST VARS'!$I$50*($AK$8*4)+'LINEST VARS'!$H$50*($AK$8*0.5)+'LINEST VARS'!$G$50*($AK$8*12.73)+'LINEST VARS'!$F$50*($Z10*4)+'LINEST VARS'!$E$50*($Z10*0.5)+'LINEST VARS'!$D$50*($Z10*12.73)+'LINEST VARS'!$C$50*(4*0.5)+'LINEST VARS'!$B$50*(4*12.73)+'LINEST VARS'!$A$50*(0.5*12.73)</f>
        <v>330.64999999999992</v>
      </c>
      <c r="AL10" s="46">
        <f>'LINEST VARS'!$U$50+'LINEST VARS'!$T$50*($AL$8)+'LINEST VARS'!$S$50*($Z10)+'LINEST VARS'!$R$50*(4)+'LINEST VARS'!$Q$50*(0.5)+'LINEST VARS'!$P$50*(12.73)+'LINEST VARS'!$O$50*($AL$8^2)+'LINEST VARS'!$N$50*($Z10^2)+'LINEST VARS'!$M$50*(4^2)+'LINEST VARS'!$L$50*(0.5^2)+'LINEST VARS'!$K$50*(12.73^2)+'LINEST VARS'!$J$50*($AL$8*$Z10)+'LINEST VARS'!$I$50*($AL$8*4)+'LINEST VARS'!$H$50*($AL$8*0.5)+'LINEST VARS'!$G$50*($AL$8*12.73)+'LINEST VARS'!$F$50*($Z10*4)+'LINEST VARS'!$E$50*($Z10*0.5)+'LINEST VARS'!$D$50*($Z10*12.73)+'LINEST VARS'!$C$50*(4*0.5)+'LINEST VARS'!$B$50*(4*12.73)+'LINEST VARS'!$A$50*(0.5*12.73)</f>
        <v>330.7399999999999</v>
      </c>
      <c r="AM10" s="46">
        <f>'LINEST VARS'!$U$50+'LINEST VARS'!$T$50*($AM$8)+'LINEST VARS'!$S$50*($Z10)+'LINEST VARS'!$R$50*(4)+'LINEST VARS'!$Q$50*(0.5)+'LINEST VARS'!$P$50*(12.73)+'LINEST VARS'!$O$50*($AM$8^2)+'LINEST VARS'!$N$50*($Z10^2)+'LINEST VARS'!$M$50*(4^2)+'LINEST VARS'!$L$50*(0.5^2)+'LINEST VARS'!$K$50*(12.73^2)+'LINEST VARS'!$J$50*($AM$8*$Z10)+'LINEST VARS'!$I$50*($AM$8*4)+'LINEST VARS'!$H$50*($AM$8*0.5)+'LINEST VARS'!$G$50*($AM$8*12.73)+'LINEST VARS'!$F$50*($Z10*4)+'LINEST VARS'!$E$50*($Z10*0.5)+'LINEST VARS'!$D$50*($Z10*12.73)+'LINEST VARS'!$C$50*(4*0.5)+'LINEST VARS'!$B$50*(4*12.73)+'LINEST VARS'!$A$50*(0.5*12.73)</f>
        <v>330.82999999999993</v>
      </c>
      <c r="AN10" s="46">
        <f>'LINEST VARS'!$U$50+'LINEST VARS'!$T$50*($AN$8)+'LINEST VARS'!$S$50*($Z10)+'LINEST VARS'!$R$50*(4)+'LINEST VARS'!$Q$50*(0.5)+'LINEST VARS'!$P$50*(12.73)+'LINEST VARS'!$O$50*($AN$8^2)+'LINEST VARS'!$N$50*($Z10^2)+'LINEST VARS'!$M$50*(4^2)+'LINEST VARS'!$L$50*(0.5^2)+'LINEST VARS'!$K$50*(12.73^2)+'LINEST VARS'!$J$50*($AN$8*$Z10)+'LINEST VARS'!$I$50*($AN$8*4)+'LINEST VARS'!$H$50*($AN$8*0.5)+'LINEST VARS'!$G$50*($AN$8*12.73)+'LINEST VARS'!$F$50*($Z10*4)+'LINEST VARS'!$E$50*($Z10*0.5)+'LINEST VARS'!$D$50*($Z10*12.73)+'LINEST VARS'!$C$50*(4*0.5)+'LINEST VARS'!$B$50*(4*12.73)+'LINEST VARS'!$A$50*(0.5*12.73)</f>
        <v>330.91999999999985</v>
      </c>
      <c r="AO10" s="46">
        <f>'LINEST VARS'!$U$50+'LINEST VARS'!$T$50*($AO$8)+'LINEST VARS'!$S$50*($Z10)+'LINEST VARS'!$R$50*(4)+'LINEST VARS'!$Q$50*(0.5)+'LINEST VARS'!$P$50*(12.73)+'LINEST VARS'!$O$50*($AO$8^2)+'LINEST VARS'!$N$50*($Z10^2)+'LINEST VARS'!$M$50*(4^2)+'LINEST VARS'!$L$50*(0.5^2)+'LINEST VARS'!$K$50*(12.73^2)+'LINEST VARS'!$J$50*($AO$8*$Z10)+'LINEST VARS'!$I$50*($AO$8*4)+'LINEST VARS'!$H$50*($AO$8*0.5)+'LINEST VARS'!$G$50*($AO$8*12.73)+'LINEST VARS'!$F$50*($Z10*4)+'LINEST VARS'!$E$50*($Z10*0.5)+'LINEST VARS'!$D$50*($Z10*12.73)+'LINEST VARS'!$C$50*(4*0.5)+'LINEST VARS'!$B$50*(4*12.73)+'LINEST VARS'!$A$50*(0.5*12.73)</f>
        <v>331.00999999999988</v>
      </c>
      <c r="AP10" s="46">
        <f>'LINEST VARS'!$U$50+'LINEST VARS'!$T$50*($AP$8)+'LINEST VARS'!$S$50*($Z10)+'LINEST VARS'!$R$50*(4)+'LINEST VARS'!$Q$50*(0.5)+'LINEST VARS'!$P$50*(12.73)+'LINEST VARS'!$O$50*($AP$8^2)+'LINEST VARS'!$N$50*($Z10^2)+'LINEST VARS'!$M$50*(4^2)+'LINEST VARS'!$L$50*(0.5^2)+'LINEST VARS'!$K$50*(12.73^2)+'LINEST VARS'!$J$50*($AP$8*$Z10)+'LINEST VARS'!$I$50*($AP$8*4)+'LINEST VARS'!$H$50*($AP$8*0.5)+'LINEST VARS'!$G$50*($AP$8*12.73)+'LINEST VARS'!$F$50*($Z10*4)+'LINEST VARS'!$E$50*($Z10*0.5)+'LINEST VARS'!$D$50*($Z10*12.73)+'LINEST VARS'!$C$50*(4*0.5)+'LINEST VARS'!$B$50*(4*12.73)+'LINEST VARS'!$A$50*(0.5*12.73)</f>
        <v>331.09999999999985</v>
      </c>
      <c r="AQ10" s="46">
        <f>'LINEST VARS'!$U$50+'LINEST VARS'!$T$50*($AQ$8)+'LINEST VARS'!$S$50*($Z10)+'LINEST VARS'!$R$50*(4)+'LINEST VARS'!$Q$50*(0.5)+'LINEST VARS'!$P$50*(12.73)+'LINEST VARS'!$O$50*($AQ$8^2)+'LINEST VARS'!$N$50*($Z10^2)+'LINEST VARS'!$M$50*(4^2)+'LINEST VARS'!$L$50*(0.5^2)+'LINEST VARS'!$K$50*(12.73^2)+'LINEST VARS'!$J$50*($AQ$8*$Z10)+'LINEST VARS'!$I$50*($AQ$8*4)+'LINEST VARS'!$H$50*($AQ$8*0.5)+'LINEST VARS'!$G$50*($AQ$8*12.73)+'LINEST VARS'!$F$50*($Z10*4)+'LINEST VARS'!$E$50*($Z10*0.5)+'LINEST VARS'!$D$50*($Z10*12.73)+'LINEST VARS'!$C$50*(4*0.5)+'LINEST VARS'!$B$50*(4*12.73)+'LINEST VARS'!$A$50*(0.5*12.73)</f>
        <v>331.18999999999988</v>
      </c>
      <c r="AR10" s="46">
        <f>'LINEST VARS'!$U$50+'LINEST VARS'!$T$50*($AR$8)+'LINEST VARS'!$S$50*($Z10)+'LINEST VARS'!$R$50*(4)+'LINEST VARS'!$Q$50*(0.5)+'LINEST VARS'!$P$50*(12.73)+'LINEST VARS'!$O$50*($AR$8^2)+'LINEST VARS'!$N$50*($Z10^2)+'LINEST VARS'!$M$50*(4^2)+'LINEST VARS'!$L$50*(0.5^2)+'LINEST VARS'!$K$50*(12.73^2)+'LINEST VARS'!$J$50*($AR$8*$Z10)+'LINEST VARS'!$I$50*($AR$8*4)+'LINEST VARS'!$H$50*($AR$8*0.5)+'LINEST VARS'!$G$50*($AR$8*12.73)+'LINEST VARS'!$F$50*($Z10*4)+'LINEST VARS'!$E$50*($Z10*0.5)+'LINEST VARS'!$D$50*($Z10*12.73)+'LINEST VARS'!$C$50*(4*0.5)+'LINEST VARS'!$B$50*(4*12.73)+'LINEST VARS'!$A$50*(0.5*12.73)</f>
        <v>331.27999999999986</v>
      </c>
      <c r="AS10" s="46">
        <f>'LINEST VARS'!$U$50+'LINEST VARS'!$T$50*($AS$8)+'LINEST VARS'!$S$50*($Z10)+'LINEST VARS'!$R$50*(4)+'LINEST VARS'!$Q$50*(0.5)+'LINEST VARS'!$P$50*(12.73)+'LINEST VARS'!$O$50*($AS$8^2)+'LINEST VARS'!$N$50*($Z10^2)+'LINEST VARS'!$M$50*(4^2)+'LINEST VARS'!$L$50*(0.5^2)+'LINEST VARS'!$K$50*(12.73^2)+'LINEST VARS'!$J$50*($AS$8*$Z10)+'LINEST VARS'!$I$50*($AS$8*4)+'LINEST VARS'!$H$50*($AS$8*0.5)+'LINEST VARS'!$G$50*($AS$8*12.73)+'LINEST VARS'!$F$50*($Z10*4)+'LINEST VARS'!$E$50*($Z10*0.5)+'LINEST VARS'!$D$50*($Z10*12.73)+'LINEST VARS'!$C$50*(4*0.5)+'LINEST VARS'!$B$50*(4*12.73)+'LINEST VARS'!$A$50*(0.5*12.73)</f>
        <v>331.36999999999983</v>
      </c>
      <c r="AT10" s="46">
        <f>'LINEST VARS'!$U$50+'LINEST VARS'!$T$50*($AT$8)+'LINEST VARS'!$S$50*($Z10)+'LINEST VARS'!$R$50*(4)+'LINEST VARS'!$Q$50*(0.5)+'LINEST VARS'!$P$50*(12.73)+'LINEST VARS'!$O$50*($AT$8^2)+'LINEST VARS'!$N$50*($Z10^2)+'LINEST VARS'!$M$50*(4^2)+'LINEST VARS'!$L$50*(0.5^2)+'LINEST VARS'!$K$50*(12.73^2)+'LINEST VARS'!$J$50*($AT$8*$Z10)+'LINEST VARS'!$I$50*($AT$8*4)+'LINEST VARS'!$H$50*($AT$8*0.5)+'LINEST VARS'!$G$50*($AT$8*12.73)+'LINEST VARS'!$F$50*($Z10*4)+'LINEST VARS'!$E$50*($Z10*0.5)+'LINEST VARS'!$D$50*($Z10*12.73)+'LINEST VARS'!$C$50*(4*0.5)+'LINEST VARS'!$B$50*(4*12.73)+'LINEST VARS'!$A$50*(0.5*12.73)</f>
        <v>331.45999999999987</v>
      </c>
      <c r="AU10" s="47">
        <f>'LINEST VARS'!$U$50+'LINEST VARS'!$T$50*($AU$8)+'LINEST VARS'!$S$50*($Z10)+'LINEST VARS'!$R$50*(4)+'LINEST VARS'!$Q$50*(0.5)+'LINEST VARS'!$P$50*(12.73)+'LINEST VARS'!$O$50*($AU$8^2)+'LINEST VARS'!$N$50*($Z10^2)+'LINEST VARS'!$M$50*(4^2)+'LINEST VARS'!$L$50*(0.5^2)+'LINEST VARS'!$K$50*(12.73^2)+'LINEST VARS'!$J$50*($AU$8*$Z10)+'LINEST VARS'!$I$50*($AU$8*4)+'LINEST VARS'!$H$50*($AU$8*0.5)+'LINEST VARS'!$G$50*($AU$8*12.73)+'LINEST VARS'!$F$50*($Z10*4)+'LINEST VARS'!$E$50*($Z10*0.5)+'LINEST VARS'!$D$50*($Z10*12.73)+'LINEST VARS'!$C$50*(4*0.5)+'LINEST VARS'!$B$50*(4*12.73)+'LINEST VARS'!$A$50*(0.5*12.73)</f>
        <v>331.54999999999984</v>
      </c>
      <c r="AZ10" s="45">
        <v>0.05</v>
      </c>
      <c r="BA10" s="46">
        <f>'LINEST VARS'!$U$48+'LINEST VARS'!$T$48*(8)+'LINEST VARS'!$S$48*(8)+'LINEST VARS'!$R$48*($BA$8)+'LINEST VARS'!$Q$48*($AZ10)+'LINEST VARS'!$P$48*(12.73)+'LINEST VARS'!$O$48*(8^2)+'LINEST VARS'!$N$48*(8^2)+'LINEST VARS'!$M$48*($BA$8^2)+'LINEST VARS'!$L$48*($AZ10^2)+'LINEST VARS'!$K$48*(12.73^2)+'LINEST VARS'!$J$48*(8*8)+'LINEST VARS'!$I$48*(8*$BA$8)+'LINEST VARS'!$H$48*(8*$AZ10)+'LINEST VARS'!$G$48*(8*12.73)+'LINEST VARS'!$F$48*(8*$BA$8)+'LINEST VARS'!$E$48*(8*$AZ10)+'LINEST VARS'!$D$48*(8*12.73)+'LINEST VARS'!$C$48*($BA$8*$AZ10)+'LINEST VARS'!$B$48*($BA$8*12.73)+'LINEST VARS'!$A$48*($AZ10*12.73)</f>
        <v>369.99999999999983</v>
      </c>
      <c r="BB10" s="46">
        <f>'LINEST VARS'!$U$48+'LINEST VARS'!$T$48*(8)+'LINEST VARS'!$S$48*(8)+'LINEST VARS'!$R$48*($BB$8)+'LINEST VARS'!$Q$48*($AZ10)+'LINEST VARS'!$P$48*(12.73)+'LINEST VARS'!$O$48*(8^2)+'LINEST VARS'!$N$48*(8^2)+'LINEST VARS'!$M$48*($BB$8^2)+'LINEST VARS'!$L$48*($AZ10^2)+'LINEST VARS'!$K$48*(12.73^2)+'LINEST VARS'!$J$48*(8*8)+'LINEST VARS'!$I$48*(8*$BB$8)+'LINEST VARS'!$H$48*(8*$AZ10)+'LINEST VARS'!$G$48*(8*12.73)+'LINEST VARS'!$F$48*(8*$BB$8)+'LINEST VARS'!$E$48*(8*$AZ10)+'LINEST VARS'!$D$48*(8*12.73)+'LINEST VARS'!$C$48*($BB$8*$AZ10)+'LINEST VARS'!$B$48*($BB$8*12.73)+'LINEST VARS'!$A$48*($AZ10*12.73)</f>
        <v>369.99999999999983</v>
      </c>
      <c r="BC10" s="46">
        <f>'LINEST VARS'!$U$48+'LINEST VARS'!$T$48*(8)+'LINEST VARS'!$S$48*(8)+'LINEST VARS'!$R$48*($BC$8)+'LINEST VARS'!$Q$48*($AZ10)+'LINEST VARS'!$P$48*(12.73)+'LINEST VARS'!$O$48*(8^2)+'LINEST VARS'!$N$48*(8^2)+'LINEST VARS'!$M$48*($BC$8^2)+'LINEST VARS'!$L$48*($AZ10^2)+'LINEST VARS'!$K$48*(12.73^2)+'LINEST VARS'!$J$48*(8*8)+'LINEST VARS'!$I$48*(8*$BC$8)+'LINEST VARS'!$H$48*(8*$AZ10)+'LINEST VARS'!$G$48*(8*12.73)+'LINEST VARS'!$F$48*(8*$BC$8)+'LINEST VARS'!$E$48*(8*$AZ10)+'LINEST VARS'!$D$48*(8*12.73)+'LINEST VARS'!$C$48*($BC$8*$AZ10)+'LINEST VARS'!$B$48*($BC$8*12.73)+'LINEST VARS'!$A$48*($AZ10*12.73)</f>
        <v>369.99999999999983</v>
      </c>
      <c r="BD10" s="46">
        <f>'LINEST VARS'!$U$48+'LINEST VARS'!$T$48*(8)+'LINEST VARS'!$S$48*(8)+'LINEST VARS'!$R$48*($BD$8)+'LINEST VARS'!$Q$48*($AZ10)+'LINEST VARS'!$P$48*(12.73)+'LINEST VARS'!$O$48*(8^2)+'LINEST VARS'!$N$48*(8^2)+'LINEST VARS'!$M$48*($BD$8^2)+'LINEST VARS'!$L$48*($AZ10^2)+'LINEST VARS'!$K$48*(12.73^2)+'LINEST VARS'!$J$48*(8*8)+'LINEST VARS'!$I$48*(8*$BD$8)+'LINEST VARS'!$H$48*(8*$AZ10)+'LINEST VARS'!$G$48*(8*12.73)+'LINEST VARS'!$F$48*(8*$BD$8)+'LINEST VARS'!$E$48*(8*$AZ10)+'LINEST VARS'!$D$48*(8*12.73)+'LINEST VARS'!$C$48*($BD$8*$AZ10)+'LINEST VARS'!$B$48*($BD$8*12.73)+'LINEST VARS'!$A$48*($AZ10*12.73)</f>
        <v>369.99999999999983</v>
      </c>
      <c r="BE10" s="46">
        <f>'LINEST VARS'!$U$48+'LINEST VARS'!$T$48*(8)+'LINEST VARS'!$S$48*(8)+'LINEST VARS'!$R$48*($BE$8)+'LINEST VARS'!$Q$48*($AZ10)+'LINEST VARS'!$P$48*(12.73)+'LINEST VARS'!$O$48*(8^2)+'LINEST VARS'!$N$48*(8^2)+'LINEST VARS'!$M$48*($BE$8^2)+'LINEST VARS'!$L$48*($AZ10^2)+'LINEST VARS'!$K$48*(12.73^2)+'LINEST VARS'!$J$48*(8*8)+'LINEST VARS'!$I$48*(8*$BE$8)+'LINEST VARS'!$H$48*(8*$AZ10)+'LINEST VARS'!$G$48*(8*12.73)+'LINEST VARS'!$F$48*(8*$BE$8)+'LINEST VARS'!$E$48*(8*$AZ10)+'LINEST VARS'!$D$48*(8*12.73)+'LINEST VARS'!$C$48*($BE$8*$AZ10)+'LINEST VARS'!$B$48*($BE$8*12.73)+'LINEST VARS'!$A$48*($AZ10*12.73)</f>
        <v>369.99999999999983</v>
      </c>
      <c r="BF10" s="46">
        <f>'LINEST VARS'!$U$48+'LINEST VARS'!$T$48*(8)+'LINEST VARS'!$S$48*(8)+'LINEST VARS'!$R$48*($BF$8)+'LINEST VARS'!$Q$48*($AZ10)+'LINEST VARS'!$P$48*(12.73)+'LINEST VARS'!$O$48*(8^2)+'LINEST VARS'!$N$48*(8^2)+'LINEST VARS'!$M$48*($BF$8^2)+'LINEST VARS'!$L$48*($AZ10^2)+'LINEST VARS'!$K$48*(12.73^2)+'LINEST VARS'!$J$48*(8*8)+'LINEST VARS'!$I$48*(8*$BF$8)+'LINEST VARS'!$H$48*(8*$AZ10)+'LINEST VARS'!$G$48*(8*12.73)+'LINEST VARS'!$F$48*(8*$BF$8)+'LINEST VARS'!$E$48*(8*$AZ10)+'LINEST VARS'!$D$48*(8*12.73)+'LINEST VARS'!$C$48*($BF$8*$AZ10)+'LINEST VARS'!$B$48*($BF$8*12.73)+'LINEST VARS'!$A$48*($AZ10*12.73)</f>
        <v>369.99999999999983</v>
      </c>
      <c r="BG10" s="46">
        <f>'LINEST VARS'!$U$48+'LINEST VARS'!$T$48*(8)+'LINEST VARS'!$S$48*(8)+'LINEST VARS'!$R$48*($BG$8)+'LINEST VARS'!$Q$48*($AZ10)+'LINEST VARS'!$P$48*(12.73)+'LINEST VARS'!$O$48*(8^2)+'LINEST VARS'!$N$48*(8^2)+'LINEST VARS'!$M$48*($BG$8^2)+'LINEST VARS'!$L$48*($AZ10^2)+'LINEST VARS'!$K$48*(12.73^2)+'LINEST VARS'!$J$48*(8*8)+'LINEST VARS'!$I$48*(8*$BG$8)+'LINEST VARS'!$H$48*(8*$AZ10)+'LINEST VARS'!$G$48*(8*12.73)+'LINEST VARS'!$F$48*(8*$BG$8)+'LINEST VARS'!$E$48*(8*$AZ10)+'LINEST VARS'!$D$48*(8*12.73)+'LINEST VARS'!$C$48*($BG$8*$AZ10)+'LINEST VARS'!$B$48*($BG$8*12.73)+'LINEST VARS'!$A$48*($AZ10*12.73)</f>
        <v>369.99999999999983</v>
      </c>
      <c r="BH10" s="46">
        <f>'LINEST VARS'!$U$48+'LINEST VARS'!$T$48*(8)+'LINEST VARS'!$S$48*(8)+'LINEST VARS'!$R$48*($BH$8)+'LINEST VARS'!$Q$48*($AZ10)+'LINEST VARS'!$P$48*(12.73)+'LINEST VARS'!$O$48*(8^2)+'LINEST VARS'!$N$48*(8^2)+'LINEST VARS'!$M$48*($BH$8^2)+'LINEST VARS'!$L$48*($AZ10^2)+'LINEST VARS'!$K$48*(12.73^2)+'LINEST VARS'!$J$48*(8*8)+'LINEST VARS'!$I$48*(8*$BH$8)+'LINEST VARS'!$H$48*(8*$AZ10)+'LINEST VARS'!$G$48*(8*12.73)+'LINEST VARS'!$F$48*(8*$BH$8)+'LINEST VARS'!$E$48*(8*$AZ10)+'LINEST VARS'!$D$48*(8*12.73)+'LINEST VARS'!$C$48*($BH$8*$AZ10)+'LINEST VARS'!$B$48*($BH$8*12.73)+'LINEST VARS'!$A$48*($AZ10*12.73)</f>
        <v>369.99999999999983</v>
      </c>
      <c r="BI10" s="46">
        <f>'LINEST VARS'!$U$48+'LINEST VARS'!$T$48*(8)+'LINEST VARS'!$S$48*(8)+'LINEST VARS'!$R$48*($BI$8)+'LINEST VARS'!$Q$48*($AZ10)+'LINEST VARS'!$P$48*(12.73)+'LINEST VARS'!$O$48*(8^2)+'LINEST VARS'!$N$48*(8^2)+'LINEST VARS'!$M$48*($BI$8^2)+'LINEST VARS'!$L$48*($AZ10^2)+'LINEST VARS'!$K$48*(12.73^2)+'LINEST VARS'!$J$48*(8*8)+'LINEST VARS'!$I$48*(8*$BI$8)+'LINEST VARS'!$H$48*(8*$AZ10)+'LINEST VARS'!$G$48*(8*12.73)+'LINEST VARS'!$F$48*(8*$BI$8)+'LINEST VARS'!$E$48*(8*$AZ10)+'LINEST VARS'!$D$48*(8*12.73)+'LINEST VARS'!$C$48*($BI$8*$AZ10)+'LINEST VARS'!$B$48*($BI$8*12.73)+'LINEST VARS'!$A$48*($AZ10*12.73)</f>
        <v>369.99999999999983</v>
      </c>
      <c r="BJ10" s="46">
        <f>'LINEST VARS'!$U$48+'LINEST VARS'!$T$48*(8)+'LINEST VARS'!$S$48*(8)+'LINEST VARS'!$R$48*($BJ$8)+'LINEST VARS'!$Q$48*($AZ10)+'LINEST VARS'!$P$48*(12.73)+'LINEST VARS'!$O$48*(8^2)+'LINEST VARS'!$N$48*(8^2)+'LINEST VARS'!$M$48*($BJ$8^2)+'LINEST VARS'!$L$48*($AZ10^2)+'LINEST VARS'!$K$48*(12.73^2)+'LINEST VARS'!$J$48*(8*8)+'LINEST VARS'!$I$48*(8*$BJ$8)+'LINEST VARS'!$H$48*(8*$AZ10)+'LINEST VARS'!$G$48*(8*12.73)+'LINEST VARS'!$F$48*(8*$BJ$8)+'LINEST VARS'!$E$48*(8*$AZ10)+'LINEST VARS'!$D$48*(8*12.73)+'LINEST VARS'!$C$48*($BJ$8*$AZ10)+'LINEST VARS'!$B$48*($BJ$8*12.73)+'LINEST VARS'!$A$48*($AZ10*12.73)</f>
        <v>369.99999999999983</v>
      </c>
      <c r="BK10" s="46">
        <f>'LINEST VARS'!$U$48+'LINEST VARS'!$T$48*(8)+'LINEST VARS'!$S$48*(8)+'LINEST VARS'!$R$48*($BK$8)+'LINEST VARS'!$Q$48*($AZ10)+'LINEST VARS'!$P$48*(12.73)+'LINEST VARS'!$O$48*(8^2)+'LINEST VARS'!$N$48*(8^2)+'LINEST VARS'!$M$48*($BK$8^2)+'LINEST VARS'!$L$48*($AZ10^2)+'LINEST VARS'!$K$48*(12.73^2)+'LINEST VARS'!$J$48*(8*8)+'LINEST VARS'!$I$48*(8*$BK$8)+'LINEST VARS'!$H$48*(8*$AZ10)+'LINEST VARS'!$G$48*(8*12.73)+'LINEST VARS'!$F$48*(8*$BK$8)+'LINEST VARS'!$E$48*(8*$AZ10)+'LINEST VARS'!$D$48*(8*12.73)+'LINEST VARS'!$C$48*($BK$8*$AZ10)+'LINEST VARS'!$B$48*($BK$8*12.73)+'LINEST VARS'!$A$48*($AZ10*12.73)</f>
        <v>369.99999999999983</v>
      </c>
      <c r="BL10" s="46">
        <f>'LINEST VARS'!$U$48+'LINEST VARS'!$T$48*(8)+'LINEST VARS'!$S$48*(8)+'LINEST VARS'!$R$48*($BL$8)+'LINEST VARS'!$Q$48*($AZ10)+'LINEST VARS'!$P$48*(12.73)+'LINEST VARS'!$O$48*(8^2)+'LINEST VARS'!$N$48*(8^2)+'LINEST VARS'!$M$48*($BL$8^2)+'LINEST VARS'!$L$48*($AZ10^2)+'LINEST VARS'!$K$48*(12.73^2)+'LINEST VARS'!$J$48*(8*8)+'LINEST VARS'!$I$48*(8*$BL$8)+'LINEST VARS'!$H$48*(8*$AZ10)+'LINEST VARS'!$G$48*(8*12.73)+'LINEST VARS'!$F$48*(8*$BL$8)+'LINEST VARS'!$E$48*(8*$AZ10)+'LINEST VARS'!$D$48*(8*12.73)+'LINEST VARS'!$C$48*($BL$8*$AZ10)+'LINEST VARS'!$B$48*($BL$8*12.73)+'LINEST VARS'!$A$48*($AZ10*12.73)</f>
        <v>369.99999999999983</v>
      </c>
      <c r="BM10" s="46">
        <f>'LINEST VARS'!$U$48+'LINEST VARS'!$T$48*(8)+'LINEST VARS'!$S$48*(8)+'LINEST VARS'!$R$48*($BM$8)+'LINEST VARS'!$Q$48*($AZ10)+'LINEST VARS'!$P$48*(12.73)+'LINEST VARS'!$O$48*(8^2)+'LINEST VARS'!$N$48*(8^2)+'LINEST VARS'!$M$48*($BM$8^2)+'LINEST VARS'!$L$48*($AZ10^2)+'LINEST VARS'!$K$48*(12.73^2)+'LINEST VARS'!$J$48*(8*8)+'LINEST VARS'!$I$48*(8*$BM$8)+'LINEST VARS'!$H$48*(8*$AZ10)+'LINEST VARS'!$G$48*(8*12.73)+'LINEST VARS'!$F$48*(8*$BM$8)+'LINEST VARS'!$E$48*(8*$AZ10)+'LINEST VARS'!$D$48*(8*12.73)+'LINEST VARS'!$C$48*($BM$8*$AZ10)+'LINEST VARS'!$B$48*($BM$8*12.73)+'LINEST VARS'!$A$48*($AZ10*12.73)</f>
        <v>369.99999999999983</v>
      </c>
      <c r="BN10" s="46">
        <f>'LINEST VARS'!$U$48+'LINEST VARS'!$T$48*(8)+'LINEST VARS'!$S$48*(8)+'LINEST VARS'!$R$48*($BN$8)+'LINEST VARS'!$Q$48*($AZ10)+'LINEST VARS'!$P$48*(12.73)+'LINEST VARS'!$O$48*(8^2)+'LINEST VARS'!$N$48*(8^2)+'LINEST VARS'!$M$48*($BN$8^2)+'LINEST VARS'!$L$48*($AZ10^2)+'LINEST VARS'!$K$48*(12.73^2)+'LINEST VARS'!$J$48*(8*8)+'LINEST VARS'!$I$48*(8*$BN$8)+'LINEST VARS'!$H$48*(8*$AZ10)+'LINEST VARS'!$G$48*(8*12.73)+'LINEST VARS'!$F$48*(8*$BN$8)+'LINEST VARS'!$E$48*(8*$AZ10)+'LINEST VARS'!$D$48*(8*12.73)+'LINEST VARS'!$C$48*($BN$8*$AZ10)+'LINEST VARS'!$B$48*($BN$8*12.73)+'LINEST VARS'!$A$48*($AZ10*12.73)</f>
        <v>369.99999999999989</v>
      </c>
      <c r="BO10" s="46">
        <f>'LINEST VARS'!$U$48+'LINEST VARS'!$T$48*(8)+'LINEST VARS'!$S$48*(8)+'LINEST VARS'!$R$48*($BO$8)+'LINEST VARS'!$Q$48*($AZ10)+'LINEST VARS'!$P$48*(12.73)+'LINEST VARS'!$O$48*(8^2)+'LINEST VARS'!$N$48*(8^2)+'LINEST VARS'!$M$48*($BO$8^2)+'LINEST VARS'!$L$48*($AZ10^2)+'LINEST VARS'!$K$48*(12.73^2)+'LINEST VARS'!$J$48*(8*8)+'LINEST VARS'!$I$48*(8*$BO$8)+'LINEST VARS'!$H$48*(8*$AZ10)+'LINEST VARS'!$G$48*(8*12.73)+'LINEST VARS'!$F$48*(8*$BO$8)+'LINEST VARS'!$E$48*(8*$AZ10)+'LINEST VARS'!$D$48*(8*12.73)+'LINEST VARS'!$C$48*($BO$8*$AZ10)+'LINEST VARS'!$B$48*($BO$8*12.73)+'LINEST VARS'!$A$48*($AZ10*12.73)</f>
        <v>369.99999999999989</v>
      </c>
      <c r="BP10" s="46">
        <f>'LINEST VARS'!$U$48+'LINEST VARS'!$T$48*(8)+'LINEST VARS'!$S$48*(8)+'LINEST VARS'!$R$48*($BP$8)+'LINEST VARS'!$Q$48*($AZ10)+'LINEST VARS'!$P$48*(12.73)+'LINEST VARS'!$O$48*(8^2)+'LINEST VARS'!$N$48*(8^2)+'LINEST VARS'!$M$48*($BP$8^2)+'LINEST VARS'!$L$48*($AZ10^2)+'LINEST VARS'!$K$48*(12.73^2)+'LINEST VARS'!$J$48*(8*8)+'LINEST VARS'!$I$48*(8*$BP$8)+'LINEST VARS'!$H$48*(8*$AZ10)+'LINEST VARS'!$G$48*(8*12.73)+'LINEST VARS'!$F$48*(8*$BP$8)+'LINEST VARS'!$E$48*(8*$AZ10)+'LINEST VARS'!$D$48*(8*12.73)+'LINEST VARS'!$C$48*($BP$8*$AZ10)+'LINEST VARS'!$B$48*($BP$8*12.73)+'LINEST VARS'!$A$48*($AZ10*12.73)</f>
        <v>369.99999999999989</v>
      </c>
      <c r="BQ10" s="46">
        <f>'LINEST VARS'!$U$48+'LINEST VARS'!$T$48*(8)+'LINEST VARS'!$S$48*(8)+'LINEST VARS'!$R$48*($BQ$8)+'LINEST VARS'!$Q$48*($AZ10)+'LINEST VARS'!$P$48*(12.73)+'LINEST VARS'!$O$48*(8^2)+'LINEST VARS'!$N$48*(8^2)+'LINEST VARS'!$M$48*($BQ$8^2)+'LINEST VARS'!$L$48*($AZ10^2)+'LINEST VARS'!$K$48*(12.73^2)+'LINEST VARS'!$J$48*(8*8)+'LINEST VARS'!$I$48*(8*$BQ$8)+'LINEST VARS'!$H$48*(8*$AZ10)+'LINEST VARS'!$G$48*(8*12.73)+'LINEST VARS'!$F$48*(8*$BQ$8)+'LINEST VARS'!$E$48*(8*$AZ10)+'LINEST VARS'!$D$48*(8*12.73)+'LINEST VARS'!$C$48*($BQ$8*$AZ10)+'LINEST VARS'!$B$48*($BQ$8*12.73)+'LINEST VARS'!$A$48*($AZ10*12.73)</f>
        <v>369.99999999999983</v>
      </c>
      <c r="BR10" s="46">
        <f>'LINEST VARS'!$U$48+'LINEST VARS'!$T$48*(8)+'LINEST VARS'!$S$48*(8)+'LINEST VARS'!$R$48*($BR$8)+'LINEST VARS'!$Q$48*($AZ10)+'LINEST VARS'!$P$48*(12.73)+'LINEST VARS'!$O$48*(8^2)+'LINEST VARS'!$N$48*(8^2)+'LINEST VARS'!$M$48*($BR$8^2)+'LINEST VARS'!$L$48*($AZ10^2)+'LINEST VARS'!$K$48*(12.73^2)+'LINEST VARS'!$J$48*(8*8)+'LINEST VARS'!$I$48*(8*$BR$8)+'LINEST VARS'!$H$48*(8*$AZ10)+'LINEST VARS'!$G$48*(8*12.73)+'LINEST VARS'!$F$48*(8*$BR$8)+'LINEST VARS'!$E$48*(8*$AZ10)+'LINEST VARS'!$D$48*(8*12.73)+'LINEST VARS'!$C$48*($BR$8*$AZ10)+'LINEST VARS'!$B$48*($BR$8*12.73)+'LINEST VARS'!$A$48*($AZ10*12.73)</f>
        <v>369.99999999999983</v>
      </c>
      <c r="BS10" s="46">
        <f>'LINEST VARS'!$U$48+'LINEST VARS'!$T$48*(8)+'LINEST VARS'!$S$48*(8)+'LINEST VARS'!$R$48*($BS$8)+'LINEST VARS'!$Q$48*($AZ10)+'LINEST VARS'!$P$48*(12.73)+'LINEST VARS'!$O$48*(8^2)+'LINEST VARS'!$N$48*(8^2)+'LINEST VARS'!$M$48*($BS$8^2)+'LINEST VARS'!$L$48*($AZ10^2)+'LINEST VARS'!$K$48*(12.73^2)+'LINEST VARS'!$J$48*(8*8)+'LINEST VARS'!$I$48*(8*$BS$8)+'LINEST VARS'!$H$48*(8*$AZ10)+'LINEST VARS'!$G$48*(8*12.73)+'LINEST VARS'!$F$48*(8*$BS$8)+'LINEST VARS'!$E$48*(8*$AZ10)+'LINEST VARS'!$D$48*(8*12.73)+'LINEST VARS'!$C$48*($BS$8*$AZ10)+'LINEST VARS'!$B$48*($BS$8*12.73)+'LINEST VARS'!$A$48*($AZ10*12.73)</f>
        <v>369.99999999999983</v>
      </c>
      <c r="BT10" s="46">
        <f>'LINEST VARS'!$U$48+'LINEST VARS'!$T$48*(8)+'LINEST VARS'!$S$48*(8)+'LINEST VARS'!$R$48*($BT$8)+'LINEST VARS'!$Q$48*($AZ10)+'LINEST VARS'!$P$48*(12.73)+'LINEST VARS'!$O$48*(8^2)+'LINEST VARS'!$N$48*(8^2)+'LINEST VARS'!$M$48*($BT$8^2)+'LINEST VARS'!$L$48*($AZ10^2)+'LINEST VARS'!$K$48*(12.73^2)+'LINEST VARS'!$J$48*(8*8)+'LINEST VARS'!$I$48*(8*$BT$8)+'LINEST VARS'!$H$48*(8*$AZ10)+'LINEST VARS'!$G$48*(8*12.73)+'LINEST VARS'!$F$48*(8*$BT$8)+'LINEST VARS'!$E$48*(8*$AZ10)+'LINEST VARS'!$D$48*(8*12.73)+'LINEST VARS'!$C$48*($BT$8*$AZ10)+'LINEST VARS'!$B$48*($BT$8*12.73)+'LINEST VARS'!$A$48*($AZ10*12.73)</f>
        <v>369.99999999999983</v>
      </c>
      <c r="BU10" s="47">
        <f>'LINEST VARS'!$U$48+'LINEST VARS'!$T$48*(8)+'LINEST VARS'!$S$48*(8)+'LINEST VARS'!$R$48*($BU$8)+'LINEST VARS'!$Q$48*($AZ10)+'LINEST VARS'!$P$48*(12.73)+'LINEST VARS'!$O$48*(8^2)+'LINEST VARS'!$N$48*(8^2)+'LINEST VARS'!$M$48*($BU$8^2)+'LINEST VARS'!$L$48*($AZ10^2)+'LINEST VARS'!$K$48*(12.73^2)+'LINEST VARS'!$J$48*(8*8)+'LINEST VARS'!$I$48*(8*$BU$8)+'LINEST VARS'!$H$48*(8*$AZ10)+'LINEST VARS'!$G$48*(8*12.73)+'LINEST VARS'!$F$48*(8*$BU$8)+'LINEST VARS'!$E$48*(8*$AZ10)+'LINEST VARS'!$D$48*(8*12.73)+'LINEST VARS'!$C$48*($BU$8*$AZ10)+'LINEST VARS'!$B$48*($BU$8*12.73)+'LINEST VARS'!$A$48*($AZ10*12.73)</f>
        <v>369.99999999999983</v>
      </c>
      <c r="BX10" s="45">
        <v>0.05</v>
      </c>
      <c r="BY10" s="46">
        <f>'LINEST VARS'!$U$50+'LINEST VARS'!$T$50*(8)+'LINEST VARS'!$S$50*(8)+'LINEST VARS'!$R$50*($BY$8)+'LINEST VARS'!$Q$50*($BX10)+'LINEST VARS'!$P$50*(12.73)+'LINEST VARS'!$O$50*(8^2)+'LINEST VARS'!$N$50*(8^2)+'LINEST VARS'!$M$50*($BY$8^2)+'LINEST VARS'!$L$50*($BX10^2)+'LINEST VARS'!$K$50*(12.73^2)+'LINEST VARS'!$J$50*(8*8)+'LINEST VARS'!$I$50*(8*$BY$8)+'LINEST VARS'!$H$50*(8*$BX10)+'LINEST VARS'!$G$50*(8*12.73)+'LINEST VARS'!$F$50*(8*$BY$8)+'LINEST VARS'!$E$50*(8*$BX10)+'LINEST VARS'!$D$50*(8*12.73)+'LINEST VARS'!$C$50*($BY$8*$BX10)+'LINEST VARS'!$B$50*($BY$8*12.73)+'LINEST VARS'!$A$50*($BX10*12.73)</f>
        <v>331.99999999999989</v>
      </c>
      <c r="BZ10" s="46">
        <f>'LINEST VARS'!$U$50+'LINEST VARS'!$T$50*(8)+'LINEST VARS'!$S$50*(8)+'LINEST VARS'!$R$50*($BZ$8)+'LINEST VARS'!$Q$50*($BX10)+'LINEST VARS'!$P$50*(12.73)+'LINEST VARS'!$O$50*(8^2)+'LINEST VARS'!$N$50*(8^2)+'LINEST VARS'!$M$50*($BZ$8^2)+'LINEST VARS'!$L$50*($BX10^2)+'LINEST VARS'!$K$50*(12.73^2)+'LINEST VARS'!$J$50*(8*8)+'LINEST VARS'!$I$50*(8*$BZ$8)+'LINEST VARS'!$H$50*(8*$BX10)+'LINEST VARS'!$G$50*(8*12.73)+'LINEST VARS'!$F$50*(8*$BZ$8)+'LINEST VARS'!$E$50*(8*$BX10)+'LINEST VARS'!$D$50*(8*12.73)+'LINEST VARS'!$C$50*($BZ$8*$BX10)+'LINEST VARS'!$B$50*($BZ$8*12.73)+'LINEST VARS'!$A$50*($BX10*12.73)</f>
        <v>331.99999999999989</v>
      </c>
      <c r="CA10" s="46">
        <f>'LINEST VARS'!$U$50+'LINEST VARS'!$T$50*(8)+'LINEST VARS'!$S$50*(8)+'LINEST VARS'!$R$50*($CA$8)+'LINEST VARS'!$Q$50*($BX10)+'LINEST VARS'!$P$50*(12.73)+'LINEST VARS'!$O$50*(8^2)+'LINEST VARS'!$N$50*(8^2)+'LINEST VARS'!$M$50*($CA$8^2)+'LINEST VARS'!$L$50*($BX10^2)+'LINEST VARS'!$K$50*(12.73^2)+'LINEST VARS'!$J$50*(8*8)+'LINEST VARS'!$I$50*(8*$CA$8)+'LINEST VARS'!$H$50*(8*$BX10)+'LINEST VARS'!$G$50*(8*12.73)+'LINEST VARS'!$F$50*(8*$CA$8)+'LINEST VARS'!$E$50*(8*$BX10)+'LINEST VARS'!$D$50*(8*12.73)+'LINEST VARS'!$C$50*($CA$8*$BX10)+'LINEST VARS'!$B$50*($CA$8*12.73)+'LINEST VARS'!$A$50*($BX10*12.73)</f>
        <v>331.99999999999989</v>
      </c>
      <c r="CB10" s="46">
        <f>'LINEST VARS'!$U$50+'LINEST VARS'!$T$50*(8)+'LINEST VARS'!$S$50*(8)+'LINEST VARS'!$R$50*($CB$8)+'LINEST VARS'!$Q$50*($BX10)+'LINEST VARS'!$P$50*(12.73)+'LINEST VARS'!$O$50*(8^2)+'LINEST VARS'!$N$50*(8^2)+'LINEST VARS'!$M$50*($CB$8^2)+'LINEST VARS'!$L$50*($BX10^2)+'LINEST VARS'!$K$50*(12.73^2)+'LINEST VARS'!$J$50*(8*8)+'LINEST VARS'!$I$50*(8*$CB$8)+'LINEST VARS'!$H$50*(8*$BX10)+'LINEST VARS'!$G$50*(8*12.73)+'LINEST VARS'!$F$50*(8*$CB$8)+'LINEST VARS'!$E$50*(8*$BX10)+'LINEST VARS'!$D$50*(8*12.73)+'LINEST VARS'!$C$50*($CB$8*$BX10)+'LINEST VARS'!$B$50*($CB$8*12.73)+'LINEST VARS'!$A$50*($BX10*12.73)</f>
        <v>331.99999999999989</v>
      </c>
      <c r="CC10" s="46">
        <f>'LINEST VARS'!$U$50+'LINEST VARS'!$T$50*(8)+'LINEST VARS'!$S$50*(8)+'LINEST VARS'!$R$50*($CC$8)+'LINEST VARS'!$Q$50*($BX10)+'LINEST VARS'!$P$50*(12.73)+'LINEST VARS'!$O$50*(8^2)+'LINEST VARS'!$N$50*(8^2)+'LINEST VARS'!$M$50*($CC$8^2)+'LINEST VARS'!$L$50*($BX10^2)+'LINEST VARS'!$K$50*(12.73^2)+'LINEST VARS'!$J$50*(8*8)+'LINEST VARS'!$I$50*(8*$CC$8)+'LINEST VARS'!$H$50*(8*$BX10)+'LINEST VARS'!$G$50*(8*12.73)+'LINEST VARS'!$F$50*(8*$CC$8)+'LINEST VARS'!$E$50*(8*$BX10)+'LINEST VARS'!$D$50*(8*12.73)+'LINEST VARS'!$C$50*($CC$8*$BX10)+'LINEST VARS'!$B$50*($CC$8*12.73)+'LINEST VARS'!$A$50*($BX10*12.73)</f>
        <v>331.99999999999989</v>
      </c>
      <c r="CD10" s="46">
        <f>'LINEST VARS'!$U$50+'LINEST VARS'!$T$50*(8)+'LINEST VARS'!$S$50*(8)+'LINEST VARS'!$R$50*($CD$8)+'LINEST VARS'!$Q$50*($BX10)+'LINEST VARS'!$P$50*(12.73)+'LINEST VARS'!$O$50*(8^2)+'LINEST VARS'!$N$50*(8^2)+'LINEST VARS'!$M$50*($CD$8^2)+'LINEST VARS'!$L$50*($BX10^2)+'LINEST VARS'!$K$50*(12.73^2)+'LINEST VARS'!$J$50*(8*8)+'LINEST VARS'!$I$50*(8*$CD$8)+'LINEST VARS'!$H$50*(8*$BX10)+'LINEST VARS'!$G$50*(8*12.73)+'LINEST VARS'!$F$50*(8*$CD$8)+'LINEST VARS'!$E$50*(8*$BX10)+'LINEST VARS'!$D$50*(8*12.73)+'LINEST VARS'!$C$50*($CD$8*$BX10)+'LINEST VARS'!$B$50*($CD$8*12.73)+'LINEST VARS'!$A$50*($BX10*12.73)</f>
        <v>331.99999999999989</v>
      </c>
      <c r="CE10" s="46">
        <f>'LINEST VARS'!$U$50+'LINEST VARS'!$T$50*(8)+'LINEST VARS'!$S$50*(8)+'LINEST VARS'!$R$50*($CE$8)+'LINEST VARS'!$Q$50*($BX10)+'LINEST VARS'!$P$50*(12.73)+'LINEST VARS'!$O$50*(8^2)+'LINEST VARS'!$N$50*(8^2)+'LINEST VARS'!$M$50*($CE$8^2)+'LINEST VARS'!$L$50*($BX10^2)+'LINEST VARS'!$K$50*(12.73^2)+'LINEST VARS'!$J$50*(8*8)+'LINEST VARS'!$I$50*(8*$CE$8)+'LINEST VARS'!$H$50*(8*$BX10)+'LINEST VARS'!$G$50*(8*12.73)+'LINEST VARS'!$F$50*(8*$CE$8)+'LINEST VARS'!$E$50*(8*$BX10)+'LINEST VARS'!$D$50*(8*12.73)+'LINEST VARS'!$C$50*($CE$8*$BX10)+'LINEST VARS'!$B$50*($CE$8*12.73)+'LINEST VARS'!$A$50*($BX10*12.73)</f>
        <v>331.99999999999989</v>
      </c>
      <c r="CF10" s="46">
        <f>'LINEST VARS'!$U$50+'LINEST VARS'!$T$50*(8)+'LINEST VARS'!$S$50*(8)+'LINEST VARS'!$R$50*($CF$8)+'LINEST VARS'!$Q$50*($BX10)+'LINEST VARS'!$P$50*(12.73)+'LINEST VARS'!$O$50*(8^2)+'LINEST VARS'!$N$50*(8^2)+'LINEST VARS'!$M$50*($CF$8^2)+'LINEST VARS'!$L$50*($BX10^2)+'LINEST VARS'!$K$50*(12.73^2)+'LINEST VARS'!$J$50*(8*8)+'LINEST VARS'!$I$50*(8*$CF$8)+'LINEST VARS'!$H$50*(8*$BX10)+'LINEST VARS'!$G$50*(8*12.73)+'LINEST VARS'!$F$50*(8*$CF$8)+'LINEST VARS'!$E$50*(8*$BX10)+'LINEST VARS'!$D$50*(8*12.73)+'LINEST VARS'!$C$50*($CF$8*$BX10)+'LINEST VARS'!$B$50*($CF$8*12.73)+'LINEST VARS'!$A$50*($BX10*12.73)</f>
        <v>331.99999999999989</v>
      </c>
      <c r="CG10" s="46">
        <f>'LINEST VARS'!$U$50+'LINEST VARS'!$T$50*(8)+'LINEST VARS'!$S$50*(8)+'LINEST VARS'!$R$50*($CG$8)+'LINEST VARS'!$Q$50*($BX10)+'LINEST VARS'!$P$50*(12.73)+'LINEST VARS'!$O$50*(8^2)+'LINEST VARS'!$N$50*(8^2)+'LINEST VARS'!$M$50*($CG$8^2)+'LINEST VARS'!$L$50*($BX10^2)+'LINEST VARS'!$K$50*(12.73^2)+'LINEST VARS'!$J$50*(8*8)+'LINEST VARS'!$I$50*(8*$CG$8)+'LINEST VARS'!$H$50*(8*$BX10)+'LINEST VARS'!$G$50*(8*12.73)+'LINEST VARS'!$F$50*(8*$CG$8)+'LINEST VARS'!$E$50*(8*$BX10)+'LINEST VARS'!$D$50*(8*12.73)+'LINEST VARS'!$C$50*($CG$8*$BX10)+'LINEST VARS'!$B$50*($CG$8*12.73)+'LINEST VARS'!$A$50*($BX10*12.73)</f>
        <v>331.99999999999989</v>
      </c>
      <c r="CH10" s="46">
        <f>'LINEST VARS'!$U$50+'LINEST VARS'!$T$50*(8)+'LINEST VARS'!$S$50*(8)+'LINEST VARS'!$R$50*($CH$8)+'LINEST VARS'!$Q$50*($BX10)+'LINEST VARS'!$P$50*(12.73)+'LINEST VARS'!$O$50*(8^2)+'LINEST VARS'!$N$50*(8^2)+'LINEST VARS'!$M$50*($CH$8^2)+'LINEST VARS'!$L$50*($BX10^2)+'LINEST VARS'!$K$50*(12.73^2)+'LINEST VARS'!$J$50*(8*8)+'LINEST VARS'!$I$50*(8*$CH$8)+'LINEST VARS'!$H$50*(8*$BX10)+'LINEST VARS'!$G$50*(8*12.73)+'LINEST VARS'!$F$50*(8*$CH$8)+'LINEST VARS'!$E$50*(8*$BX10)+'LINEST VARS'!$D$50*(8*12.73)+'LINEST VARS'!$C$50*($CH$8*$BX10)+'LINEST VARS'!$B$50*($CH$8*12.73)+'LINEST VARS'!$A$50*($BX10*12.73)</f>
        <v>331.99999999999989</v>
      </c>
      <c r="CI10" s="46">
        <f>'LINEST VARS'!$U$50+'LINEST VARS'!$T$50*(8)+'LINEST VARS'!$S$50*(8)+'LINEST VARS'!$R$50*($CI$8)+'LINEST VARS'!$Q$50*($BX10)+'LINEST VARS'!$P$50*(12.73)+'LINEST VARS'!$O$50*(8^2)+'LINEST VARS'!$N$50*(8^2)+'LINEST VARS'!$M$50*($CI$8^2)+'LINEST VARS'!$L$50*($BX10^2)+'LINEST VARS'!$K$50*(12.73^2)+'LINEST VARS'!$J$50*(8*8)+'LINEST VARS'!$I$50*(8*$CI$8)+'LINEST VARS'!$H$50*(8*$BX10)+'LINEST VARS'!$G$50*(8*12.73)+'LINEST VARS'!$F$50*(8*$CI$8)+'LINEST VARS'!$E$50*(8*$BX10)+'LINEST VARS'!$D$50*(8*12.73)+'LINEST VARS'!$C$50*($CI$8*$BX10)+'LINEST VARS'!$B$50*($CI$8*12.73)+'LINEST VARS'!$A$50*($BX10*12.73)</f>
        <v>331.99999999999989</v>
      </c>
      <c r="CJ10" s="46">
        <f>'LINEST VARS'!$U$50+'LINEST VARS'!$T$50*(8)+'LINEST VARS'!$S$50*(8)+'LINEST VARS'!$R$50*($CJ$8)+'LINEST VARS'!$Q$50*($BX10)+'LINEST VARS'!$P$50*(12.73)+'LINEST VARS'!$O$50*(8^2)+'LINEST VARS'!$N$50*(8^2)+'LINEST VARS'!$M$50*($CJ$8^2)+'LINEST VARS'!$L$50*($BX10^2)+'LINEST VARS'!$K$50*(12.73^2)+'LINEST VARS'!$J$50*(8*8)+'LINEST VARS'!$I$50*(8*$CJ$8)+'LINEST VARS'!$H$50*(8*$BX10)+'LINEST VARS'!$G$50*(8*12.73)+'LINEST VARS'!$F$50*(8*$CJ$8)+'LINEST VARS'!$E$50*(8*$BX10)+'LINEST VARS'!$D$50*(8*12.73)+'LINEST VARS'!$C$50*($CJ$8*$BX10)+'LINEST VARS'!$B$50*($CJ$8*12.73)+'LINEST VARS'!$A$50*($BX10*12.73)</f>
        <v>331.99999999999989</v>
      </c>
      <c r="CK10" s="46">
        <f>'LINEST VARS'!$U$50+'LINEST VARS'!$T$50*(8)+'LINEST VARS'!$S$50*(8)+'LINEST VARS'!$R$50*($CK$8)+'LINEST VARS'!$Q$50*($BX10)+'LINEST VARS'!$P$50*(12.73)+'LINEST VARS'!$O$50*(8^2)+'LINEST VARS'!$N$50*(8^2)+'LINEST VARS'!$M$50*($CK$8^2)+'LINEST VARS'!$L$50*($BX10^2)+'LINEST VARS'!$K$50*(12.73^2)+'LINEST VARS'!$J$50*(8*8)+'LINEST VARS'!$I$50*(8*$CK$8)+'LINEST VARS'!$H$50*(8*$BX10)+'LINEST VARS'!$G$50*(8*12.73)+'LINEST VARS'!$F$50*(8*$CK$8)+'LINEST VARS'!$E$50*(8*$BX10)+'LINEST VARS'!$D$50*(8*12.73)+'LINEST VARS'!$C$50*($CK$8*$BX10)+'LINEST VARS'!$B$50*($CK$8*12.73)+'LINEST VARS'!$A$50*($BX10*12.73)</f>
        <v>331.99999999999989</v>
      </c>
      <c r="CL10" s="46">
        <f>'LINEST VARS'!$U$50+'LINEST VARS'!$T$50*(8)+'LINEST VARS'!$S$50*(8)+'LINEST VARS'!$R$50*($CL$8)+'LINEST VARS'!$Q$50*($BX10)+'LINEST VARS'!$P$50*(12.73)+'LINEST VARS'!$O$50*(8^2)+'LINEST VARS'!$N$50*(8^2)+'LINEST VARS'!$M$50*($CL$8^2)+'LINEST VARS'!$L$50*($BX10^2)+'LINEST VARS'!$K$50*(12.73^2)+'LINEST VARS'!$J$50*(8*8)+'LINEST VARS'!$I$50*(8*$CL$8)+'LINEST VARS'!$H$50*(8*$BX10)+'LINEST VARS'!$G$50*(8*12.73)+'LINEST VARS'!$F$50*(8*$CL$8)+'LINEST VARS'!$E$50*(8*$BX10)+'LINEST VARS'!$D$50*(8*12.73)+'LINEST VARS'!$C$50*($CL$8*$BX10)+'LINEST VARS'!$B$50*($CL$8*12.73)+'LINEST VARS'!$A$50*($BX10*12.73)</f>
        <v>331.99999999999989</v>
      </c>
      <c r="CM10" s="46">
        <f>'LINEST VARS'!$U$50+'LINEST VARS'!$T$50*(8)+'LINEST VARS'!$S$50*(8)+'LINEST VARS'!$R$50*($CM$8)+'LINEST VARS'!$Q$50*($BX10)+'LINEST VARS'!$P$50*(12.73)+'LINEST VARS'!$O$50*(8^2)+'LINEST VARS'!$N$50*(8^2)+'LINEST VARS'!$M$50*($CM$8^2)+'LINEST VARS'!$L$50*($BX10^2)+'LINEST VARS'!$K$50*(12.73^2)+'LINEST VARS'!$J$50*(8*8)+'LINEST VARS'!$I$50*(8*$CM$8)+'LINEST VARS'!$H$50*(8*$BX10)+'LINEST VARS'!$G$50*(8*12.73)+'LINEST VARS'!$F$50*(8*$CM$8)+'LINEST VARS'!$E$50*(8*$BX10)+'LINEST VARS'!$D$50*(8*12.73)+'LINEST VARS'!$C$50*($CM$8*$BX10)+'LINEST VARS'!$B$50*($CM$8*12.73)+'LINEST VARS'!$A$50*($BX10*12.73)</f>
        <v>331.99999999999989</v>
      </c>
      <c r="CN10" s="46">
        <f>'LINEST VARS'!$U$50+'LINEST VARS'!$T$50*(8)+'LINEST VARS'!$S$50*(8)+'LINEST VARS'!$R$50*($CN$8)+'LINEST VARS'!$Q$50*($BX10)+'LINEST VARS'!$P$50*(12.73)+'LINEST VARS'!$O$50*(8^2)+'LINEST VARS'!$N$50*(8^2)+'LINEST VARS'!$M$50*($CN$8^2)+'LINEST VARS'!$L$50*($BX10^2)+'LINEST VARS'!$K$50*(12.73^2)+'LINEST VARS'!$J$50*(8*8)+'LINEST VARS'!$I$50*(8*$CN$8)+'LINEST VARS'!$H$50*(8*$BX10)+'LINEST VARS'!$G$50*(8*12.73)+'LINEST VARS'!$F$50*(8*$CN$8)+'LINEST VARS'!$E$50*(8*$BX10)+'LINEST VARS'!$D$50*(8*12.73)+'LINEST VARS'!$C$50*($CN$8*$BX10)+'LINEST VARS'!$B$50*($CN$8*12.73)+'LINEST VARS'!$A$50*($BX10*12.73)</f>
        <v>331.99999999999989</v>
      </c>
      <c r="CO10" s="46">
        <f>'LINEST VARS'!$U$50+'LINEST VARS'!$T$50*(8)+'LINEST VARS'!$S$50*(8)+'LINEST VARS'!$R$50*($CO$8)+'LINEST VARS'!$Q$50*($BX10)+'LINEST VARS'!$P$50*(12.73)+'LINEST VARS'!$O$50*(8^2)+'LINEST VARS'!$N$50*(8^2)+'LINEST VARS'!$M$50*($CO$8^2)+'LINEST VARS'!$L$50*($BX10^2)+'LINEST VARS'!$K$50*(12.73^2)+'LINEST VARS'!$J$50*(8*8)+'LINEST VARS'!$I$50*(8*$CO$8)+'LINEST VARS'!$H$50*(8*$BX10)+'LINEST VARS'!$G$50*(8*12.73)+'LINEST VARS'!$F$50*(8*$CO$8)+'LINEST VARS'!$E$50*(8*$BX10)+'LINEST VARS'!$D$50*(8*12.73)+'LINEST VARS'!$C$50*($CO$8*$BX10)+'LINEST VARS'!$B$50*($CO$8*12.73)+'LINEST VARS'!$A$50*($BX10*12.73)</f>
        <v>331.99999999999989</v>
      </c>
      <c r="CP10" s="46">
        <f>'LINEST VARS'!$U$50+'LINEST VARS'!$T$50*(8)+'LINEST VARS'!$S$50*(8)+'LINEST VARS'!$R$50*($CP$8)+'LINEST VARS'!$Q$50*($BX10)+'LINEST VARS'!$P$50*(12.73)+'LINEST VARS'!$O$50*(8^2)+'LINEST VARS'!$N$50*(8^2)+'LINEST VARS'!$M$50*($CP$8^2)+'LINEST VARS'!$L$50*($BX10^2)+'LINEST VARS'!$K$50*(12.73^2)+'LINEST VARS'!$J$50*(8*8)+'LINEST VARS'!$I$50*(8*$CP$8)+'LINEST VARS'!$H$50*(8*$BX10)+'LINEST VARS'!$G$50*(8*12.73)+'LINEST VARS'!$F$50*(8*$CP$8)+'LINEST VARS'!$E$50*(8*$BX10)+'LINEST VARS'!$D$50*(8*12.73)+'LINEST VARS'!$C$50*($CP$8*$BX10)+'LINEST VARS'!$B$50*($CP$8*12.73)+'LINEST VARS'!$A$50*($BX10*12.73)</f>
        <v>331.99999999999989</v>
      </c>
      <c r="CQ10" s="46">
        <f>'LINEST VARS'!$U$50+'LINEST VARS'!$T$50*(8)+'LINEST VARS'!$S$50*(8)+'LINEST VARS'!$R$50*($CQ$8)+'LINEST VARS'!$Q$50*($BX10)+'LINEST VARS'!$P$50*(12.73)+'LINEST VARS'!$O$50*(8^2)+'LINEST VARS'!$N$50*(8^2)+'LINEST VARS'!$M$50*($CQ$8^2)+'LINEST VARS'!$L$50*($BX10^2)+'LINEST VARS'!$K$50*(12.73^2)+'LINEST VARS'!$J$50*(8*8)+'LINEST VARS'!$I$50*(8*$CQ$8)+'LINEST VARS'!$H$50*(8*$BX10)+'LINEST VARS'!$G$50*(8*12.73)+'LINEST VARS'!$F$50*(8*$CQ$8)+'LINEST VARS'!$E$50*(8*$BX10)+'LINEST VARS'!$D$50*(8*12.73)+'LINEST VARS'!$C$50*($CQ$8*$BX10)+'LINEST VARS'!$B$50*($CQ$8*12.73)+'LINEST VARS'!$A$50*($BX10*12.73)</f>
        <v>331.99999999999989</v>
      </c>
      <c r="CR10" s="46">
        <f>'LINEST VARS'!$U$50+'LINEST VARS'!$T$50*(8)+'LINEST VARS'!$S$50*(8)+'LINEST VARS'!$R$50*($CR$8)+'LINEST VARS'!$Q$50*($BX10)+'LINEST VARS'!$P$50*(12.73)+'LINEST VARS'!$O$50*(8^2)+'LINEST VARS'!$N$50*(8^2)+'LINEST VARS'!$M$50*($CR$8^2)+'LINEST VARS'!$L$50*($BX10^2)+'LINEST VARS'!$K$50*(12.73^2)+'LINEST VARS'!$J$50*(8*8)+'LINEST VARS'!$I$50*(8*$CR$8)+'LINEST VARS'!$H$50*(8*$BX10)+'LINEST VARS'!$G$50*(8*12.73)+'LINEST VARS'!$F$50*(8*$CR$8)+'LINEST VARS'!$E$50*(8*$BX10)+'LINEST VARS'!$D$50*(8*12.73)+'LINEST VARS'!$C$50*($CR$8*$BX10)+'LINEST VARS'!$B$50*($CR$8*12.73)+'LINEST VARS'!$A$50*($BX10*12.73)</f>
        <v>331.99999999999989</v>
      </c>
      <c r="CS10" s="47">
        <f>'LINEST VARS'!$U$50+'LINEST VARS'!$T$50*(8)+'LINEST VARS'!$S$50*(8)+'LINEST VARS'!$R$50*($CS$8)+'LINEST VARS'!$Q$50*($BX10)+'LINEST VARS'!$P$50*(12.73)+'LINEST VARS'!$O$50*(8^2)+'LINEST VARS'!$N$50*(8^2)+'LINEST VARS'!$M$50*($CS$8^2)+'LINEST VARS'!$L$50*($BX10^2)+'LINEST VARS'!$K$50*(12.73^2)+'LINEST VARS'!$J$50*(8*8)+'LINEST VARS'!$I$50*(8*$CS$8)+'LINEST VARS'!$H$50*(8*$BX10)+'LINEST VARS'!$G$50*(8*12.73)+'LINEST VARS'!$F$50*(8*$CS$8)+'LINEST VARS'!$E$50*(8*$BX10)+'LINEST VARS'!$D$50*(8*12.73)+'LINEST VARS'!$C$50*($CS$8*$BX10)+'LINEST VARS'!$B$50*($CS$8*12.73)+'LINEST VARS'!$A$50*($BX10*12.73)</f>
        <v>331.99999999999989</v>
      </c>
      <c r="CX10" s="45">
        <v>1.2995000000000001</v>
      </c>
      <c r="CY10" s="46">
        <f>'LINEST VARS'!$U$48+'LINEST VARS'!$T$48*(8)+'LINEST VARS'!$S$48*(8)+'LINEST VARS'!$R$48*($CY$8)+'LINEST VARS'!$Q$48*(0.5)+'LINEST VARS'!$P$48*($CX10)+'LINEST VARS'!$O$48*(8^2)+'LINEST VARS'!$N$48*(8^2)+'LINEST VARS'!$M$48*($CY$8^2)+'LINEST VARS'!$L$48*(0.5^2)+'LINEST VARS'!$K$48*($CX10^2)+'LINEST VARS'!$J$48*(8*8)+'LINEST VARS'!$I$48*(8*$CY$8)+'LINEST VARS'!$H$48*(8*0.5)+'LINEST VARS'!$G$48*(8*$CX10)+'LINEST VARS'!$F$48*(8*$CY$8)+'LINEST VARS'!$E$48*(8*0.5)+'LINEST VARS'!$D$48*(8*$CX10)+'LINEST VARS'!$C$48*($CY$8*0.5)+'LINEST VARS'!$B$48*($CY$8*$CX10)+'LINEST VARS'!$A$48*(0.5*$CX10)</f>
        <v>369.99999999999983</v>
      </c>
      <c r="CZ10" s="46">
        <f>'LINEST VARS'!$U$48+'LINEST VARS'!$T$48*(8)+'LINEST VARS'!$S$48*(8)+'LINEST VARS'!$R$48*($CZ$8)+'LINEST VARS'!$Q$48*(0.5)+'LINEST VARS'!$P$48*($CX10)+'LINEST VARS'!$O$48*(8^2)+'LINEST VARS'!$N$48*(8^2)+'LINEST VARS'!$M$48*($CZ$8^2)+'LINEST VARS'!$L$48*(0.5^2)+'LINEST VARS'!$K$48*($CX10^2)+'LINEST VARS'!$J$48*(8*8)+'LINEST VARS'!$I$48*(8*$CZ$8)+'LINEST VARS'!$H$48*(8*0.5)+'LINEST VARS'!$G$48*(8*$CX10)+'LINEST VARS'!$F$48*(8*$CZ$8)+'LINEST VARS'!$E$48*(8*0.5)+'LINEST VARS'!$D$48*(8*$CX10)+'LINEST VARS'!$C$48*($CZ$8*0.5)+'LINEST VARS'!$B$48*($CZ$8*$CX10)+'LINEST VARS'!$A$48*(0.5*$CX10)</f>
        <v>369.99999999999983</v>
      </c>
      <c r="DA10" s="46">
        <f>'LINEST VARS'!$U$48+'LINEST VARS'!$T$48*(8)+'LINEST VARS'!$S$48*(8)+'LINEST VARS'!$R$48*($DA$8)+'LINEST VARS'!$Q$48*(0.5)+'LINEST VARS'!$P$48*($CX10)+'LINEST VARS'!$O$48*(8^2)+'LINEST VARS'!$N$48*(8^2)+'LINEST VARS'!$M$48*($DA$8^2)+'LINEST VARS'!$L$48*(0.5^2)+'LINEST VARS'!$K$48*($CX10^2)+'LINEST VARS'!$J$48*(8*8)+'LINEST VARS'!$I$48*(8*$DA$8)+'LINEST VARS'!$H$48*(8*0.5)+'LINEST VARS'!$G$48*(8*$CX10)+'LINEST VARS'!$F$48*(8*$DA$8)+'LINEST VARS'!$E$48*(8*0.5)+'LINEST VARS'!$D$48*(8*$CX10)+'LINEST VARS'!$C$48*($DA$8*0.5)+'LINEST VARS'!$B$48*($DA$8*$CX10)+'LINEST VARS'!$A$48*(0.5*$CX10)</f>
        <v>369.99999999999983</v>
      </c>
      <c r="DB10" s="46">
        <f>'LINEST VARS'!$U$48+'LINEST VARS'!$T$48*(8)+'LINEST VARS'!$S$48*(8)+'LINEST VARS'!$R$48*($DB$8)+'LINEST VARS'!$Q$48*(0.5)+'LINEST VARS'!$P$48*($CX10)+'LINEST VARS'!$O$48*(8^2)+'LINEST VARS'!$N$48*(8^2)+'LINEST VARS'!$M$48*($DB$8^2)+'LINEST VARS'!$L$48*(0.5^2)+'LINEST VARS'!$K$48*($CX10^2)+'LINEST VARS'!$J$48*(8*8)+'LINEST VARS'!$I$48*(8*$DB$8)+'LINEST VARS'!$H$48*(8*0.5)+'LINEST VARS'!$G$48*(8*$CX10)+'LINEST VARS'!$F$48*(8*$DB$8)+'LINEST VARS'!$E$48*(8*0.5)+'LINEST VARS'!$D$48*(8*$CX10)+'LINEST VARS'!$C$48*($DB$8*0.5)+'LINEST VARS'!$B$48*($DB$8*$CX10)+'LINEST VARS'!$A$48*(0.5*$CX10)</f>
        <v>369.99999999999983</v>
      </c>
      <c r="DC10" s="46">
        <f>'LINEST VARS'!$U$48+'LINEST VARS'!$T$48*(8)+'LINEST VARS'!$S$48*(8)+'LINEST VARS'!$R$48*($DC$8)+'LINEST VARS'!$Q$48*(0.5)+'LINEST VARS'!$P$48*($CX10)+'LINEST VARS'!$O$48*(8^2)+'LINEST VARS'!$N$48*(8^2)+'LINEST VARS'!$M$48*($DC$8^2)+'LINEST VARS'!$L$48*(0.5^2)+'LINEST VARS'!$K$48*($CX10^2)+'LINEST VARS'!$J$48*(8*8)+'LINEST VARS'!$I$48*(8*$DC$8)+'LINEST VARS'!$H$48*(8*0.5)+'LINEST VARS'!$G$48*(8*$CX10)+'LINEST VARS'!$F$48*(8*$DC$8)+'LINEST VARS'!$E$48*(8*0.5)+'LINEST VARS'!$D$48*(8*$CX10)+'LINEST VARS'!$C$48*($DC$8*0.5)+'LINEST VARS'!$B$48*($DC$8*$CX10)+'LINEST VARS'!$A$48*(0.5*$CX10)</f>
        <v>369.99999999999983</v>
      </c>
      <c r="DD10" s="46">
        <f>'LINEST VARS'!$U$48+'LINEST VARS'!$T$48*(8)+'LINEST VARS'!$S$48*(8)+'LINEST VARS'!$R$48*($DD$8)+'LINEST VARS'!$Q$48*(0.5)+'LINEST VARS'!$P$48*($CX10)+'LINEST VARS'!$O$48*(8^2)+'LINEST VARS'!$N$48*(8^2)+'LINEST VARS'!$M$48*($DD$8^2)+'LINEST VARS'!$L$48*(0.5^2)+'LINEST VARS'!$K$48*($CX10^2)+'LINEST VARS'!$J$48*(8*8)+'LINEST VARS'!$I$48*(8*$DD$8)+'LINEST VARS'!$H$48*(8*0.5)+'LINEST VARS'!$G$48*(8*$CX10)+'LINEST VARS'!$F$48*(8*$DD$8)+'LINEST VARS'!$E$48*(8*0.5)+'LINEST VARS'!$D$48*(8*$CX10)+'LINEST VARS'!$C$48*($DD$8*0.5)+'LINEST VARS'!$B$48*($DD$8*$CX10)+'LINEST VARS'!$A$48*(0.5*$CX10)</f>
        <v>369.99999999999983</v>
      </c>
      <c r="DE10" s="46">
        <f>'LINEST VARS'!$U$48+'LINEST VARS'!$T$48*(8)+'LINEST VARS'!$S$48*(8)+'LINEST VARS'!$R$48*($DE$8)+'LINEST VARS'!$Q$48*(0.5)+'LINEST VARS'!$P$48*($CX10)+'LINEST VARS'!$O$48*(8^2)+'LINEST VARS'!$N$48*(8^2)+'LINEST VARS'!$M$48*($DE$8^2)+'LINEST VARS'!$L$48*(0.5^2)+'LINEST VARS'!$K$48*($CX10^2)+'LINEST VARS'!$J$48*(8*8)+'LINEST VARS'!$I$48*(8*$DE$8)+'LINEST VARS'!$H$48*(8*0.5)+'LINEST VARS'!$G$48*(8*$CX10)+'LINEST VARS'!$F$48*(8*$DE$8)+'LINEST VARS'!$E$48*(8*0.5)+'LINEST VARS'!$D$48*(8*$CX10)+'LINEST VARS'!$C$48*($DE$8*0.5)+'LINEST VARS'!$B$48*($DE$8*$CX10)+'LINEST VARS'!$A$48*(0.5*$CX10)</f>
        <v>369.99999999999983</v>
      </c>
      <c r="DF10" s="46">
        <f>'LINEST VARS'!$U$48+'LINEST VARS'!$T$48*(8)+'LINEST VARS'!$S$48*(8)+'LINEST VARS'!$R$48*($DF$8)+'LINEST VARS'!$Q$48*(0.5)+'LINEST VARS'!$P$48*($CX10)+'LINEST VARS'!$O$48*(8^2)+'LINEST VARS'!$N$48*(8^2)+'LINEST VARS'!$M$48*($DF$8^2)+'LINEST VARS'!$L$48*(0.5^2)+'LINEST VARS'!$K$48*($CX10^2)+'LINEST VARS'!$J$48*(8*8)+'LINEST VARS'!$I$48*(8*$DF$8)+'LINEST VARS'!$H$48*(8*0.5)+'LINEST VARS'!$G$48*(8*$CX10)+'LINEST VARS'!$F$48*(8*$DF$8)+'LINEST VARS'!$E$48*(8*0.5)+'LINEST VARS'!$D$48*(8*$CX10)+'LINEST VARS'!$C$48*($DF$8*0.5)+'LINEST VARS'!$B$48*($DF$8*$CX10)+'LINEST VARS'!$A$48*(0.5*$CX10)</f>
        <v>369.99999999999983</v>
      </c>
      <c r="DG10" s="46">
        <f>'LINEST VARS'!$U$48+'LINEST VARS'!$T$48*(8)+'LINEST VARS'!$S$48*(8)+'LINEST VARS'!$R$48*($DG$8)+'LINEST VARS'!$Q$48*(0.5)+'LINEST VARS'!$P$48*($CX10)+'LINEST VARS'!$O$48*(8^2)+'LINEST VARS'!$N$48*(8^2)+'LINEST VARS'!$M$48*($DG$8^2)+'LINEST VARS'!$L$48*(0.5^2)+'LINEST VARS'!$K$48*($CX10^2)+'LINEST VARS'!$J$48*(8*8)+'LINEST VARS'!$I$48*(8*$DG$8)+'LINEST VARS'!$H$48*(8*0.5)+'LINEST VARS'!$G$48*(8*$CX10)+'LINEST VARS'!$F$48*(8*$DG$8)+'LINEST VARS'!$E$48*(8*0.5)+'LINEST VARS'!$D$48*(8*$CX10)+'LINEST VARS'!$C$48*($DG$8*0.5)+'LINEST VARS'!$B$48*($DG$8*$CX10)+'LINEST VARS'!$A$48*(0.5*$CX10)</f>
        <v>369.99999999999983</v>
      </c>
      <c r="DH10" s="46">
        <f>'LINEST VARS'!$U$48+'LINEST VARS'!$T$48*(8)+'LINEST VARS'!$S$48*(8)+'LINEST VARS'!$R$48*($DH$8)+'LINEST VARS'!$Q$48*(0.5)+'LINEST VARS'!$P$48*($CX10)+'LINEST VARS'!$O$48*(8^2)+'LINEST VARS'!$N$48*(8^2)+'LINEST VARS'!$M$48*($DH$8^2)+'LINEST VARS'!$L$48*(0.5^2)+'LINEST VARS'!$K$48*($CX10^2)+'LINEST VARS'!$J$48*(8*8)+'LINEST VARS'!$I$48*(8*$DH$8)+'LINEST VARS'!$H$48*(8*0.5)+'LINEST VARS'!$G$48*(8*$CX10)+'LINEST VARS'!$F$48*(8*$DH$8)+'LINEST VARS'!$E$48*(8*0.5)+'LINEST VARS'!$D$48*(8*$CX10)+'LINEST VARS'!$C$48*($DH$8*0.5)+'LINEST VARS'!$B$48*($DH$8*$CX10)+'LINEST VARS'!$A$48*(0.5*$CX10)</f>
        <v>369.99999999999983</v>
      </c>
      <c r="DI10" s="46">
        <f>'LINEST VARS'!$U$48+'LINEST VARS'!$T$48*(8)+'LINEST VARS'!$S$48*(8)+'LINEST VARS'!$R$48*($DI$8)+'LINEST VARS'!$Q$48*(0.5)+'LINEST VARS'!$P$48*($CX10)+'LINEST VARS'!$O$48*(8^2)+'LINEST VARS'!$N$48*(8^2)+'LINEST VARS'!$M$48*($DI$8^2)+'LINEST VARS'!$L$48*(0.5^2)+'LINEST VARS'!$K$48*($CX10^2)+'LINEST VARS'!$J$48*(8*8)+'LINEST VARS'!$I$48*(8*$DI$8)+'LINEST VARS'!$H$48*(8*0.5)+'LINEST VARS'!$G$48*(8*$CX10)+'LINEST VARS'!$F$48*(8*$DI$8)+'LINEST VARS'!$E$48*(8*0.5)+'LINEST VARS'!$D$48*(8*$CX10)+'LINEST VARS'!$C$48*($DI$8*0.5)+'LINEST VARS'!$B$48*($DI$8*$CX10)+'LINEST VARS'!$A$48*(0.5*$CX10)</f>
        <v>369.99999999999983</v>
      </c>
      <c r="DJ10" s="46">
        <f>'LINEST VARS'!$U$48+'LINEST VARS'!$T$48*(8)+'LINEST VARS'!$S$48*(8)+'LINEST VARS'!$R$48*($DJ$8)+'LINEST VARS'!$Q$48*(0.5)+'LINEST VARS'!$P$48*($CX10)+'LINEST VARS'!$O$48*(8^2)+'LINEST VARS'!$N$48*(8^2)+'LINEST VARS'!$M$48*($DJ$8^2)+'LINEST VARS'!$L$48*(0.5^2)+'LINEST VARS'!$K$48*($CX10^2)+'LINEST VARS'!$J$48*(8*8)+'LINEST VARS'!$I$48*(8*$DJ$8)+'LINEST VARS'!$H$48*(8*0.5)+'LINEST VARS'!$G$48*(8*$CX10)+'LINEST VARS'!$F$48*(8*$DJ$8)+'LINEST VARS'!$E$48*(8*0.5)+'LINEST VARS'!$D$48*(8*$CX10)+'LINEST VARS'!$C$48*($DJ$8*0.5)+'LINEST VARS'!$B$48*($DJ$8*$CX10)+'LINEST VARS'!$A$48*(0.5*$CX10)</f>
        <v>369.99999999999983</v>
      </c>
      <c r="DK10" s="46">
        <f>'LINEST VARS'!$U$48+'LINEST VARS'!$T$48*(8)+'LINEST VARS'!$S$48*(8)+'LINEST VARS'!$R$48*($DK$8)+'LINEST VARS'!$Q$48*(0.5)+'LINEST VARS'!$P$48*($CX10)+'LINEST VARS'!$O$48*(8^2)+'LINEST VARS'!$N$48*(8^2)+'LINEST VARS'!$M$48*($DK$8^2)+'LINEST VARS'!$L$48*(0.5^2)+'LINEST VARS'!$K$48*($CX10^2)+'LINEST VARS'!$J$48*(8*8)+'LINEST VARS'!$I$48*(8*$DK$8)+'LINEST VARS'!$H$48*(8*0.5)+'LINEST VARS'!$G$48*(8*$CX10)+'LINEST VARS'!$F$48*(8*$DK$8)+'LINEST VARS'!$E$48*(8*0.5)+'LINEST VARS'!$D$48*(8*$CX10)+'LINEST VARS'!$C$48*($DK$8*0.5)+'LINEST VARS'!$B$48*($DK$8*$CX10)+'LINEST VARS'!$A$48*(0.5*$CX10)</f>
        <v>369.99999999999983</v>
      </c>
      <c r="DL10" s="46">
        <f>'LINEST VARS'!$U$48+'LINEST VARS'!$T$48*(8)+'LINEST VARS'!$S$48*(8)+'LINEST VARS'!$R$48*($DL$8)+'LINEST VARS'!$Q$48*(0.5)+'LINEST VARS'!$P$48*($CX10)+'LINEST VARS'!$O$48*(8^2)+'LINEST VARS'!$N$48*(8^2)+'LINEST VARS'!$M$48*($DL$8^2)+'LINEST VARS'!$L$48*(0.5^2)+'LINEST VARS'!$K$48*($CX10^2)+'LINEST VARS'!$J$48*(8*8)+'LINEST VARS'!$I$48*(8*$DL$8)+'LINEST VARS'!$H$48*(8*0.5)+'LINEST VARS'!$G$48*(8*$CX10)+'LINEST VARS'!$F$48*(8*$DL$8)+'LINEST VARS'!$E$48*(8*0.5)+'LINEST VARS'!$D$48*(8*$CX10)+'LINEST VARS'!$C$48*($DL$8*0.5)+'LINEST VARS'!$B$48*($DL$8*$CX10)+'LINEST VARS'!$A$48*(0.5*$CX10)</f>
        <v>369.99999999999989</v>
      </c>
      <c r="DM10" s="46">
        <f>'LINEST VARS'!$U$48+'LINEST VARS'!$T$48*(8)+'LINEST VARS'!$S$48*(8)+'LINEST VARS'!$R$48*($DM$8)+'LINEST VARS'!$Q$48*(0.5)+'LINEST VARS'!$P$48*($CX10)+'LINEST VARS'!$O$48*(8^2)+'LINEST VARS'!$N$48*(8^2)+'LINEST VARS'!$M$48*($DM$8^2)+'LINEST VARS'!$L$48*(0.5^2)+'LINEST VARS'!$K$48*($CX10^2)+'LINEST VARS'!$J$48*(8*8)+'LINEST VARS'!$I$48*(8*$DM$8)+'LINEST VARS'!$H$48*(8*0.5)+'LINEST VARS'!$G$48*(8*$CX10)+'LINEST VARS'!$F$48*(8*$DM$8)+'LINEST VARS'!$E$48*(8*0.5)+'LINEST VARS'!$D$48*(8*$CX10)+'LINEST VARS'!$C$48*($DM$8*0.5)+'LINEST VARS'!$B$48*($DM$8*$CX10)+'LINEST VARS'!$A$48*(0.5*$CX10)</f>
        <v>369.99999999999989</v>
      </c>
      <c r="DN10" s="46">
        <f>'LINEST VARS'!$U$48+'LINEST VARS'!$T$48*(8)+'LINEST VARS'!$S$48*(8)+'LINEST VARS'!$R$48*($DN$8)+'LINEST VARS'!$Q$48*(0.5)+'LINEST VARS'!$P$48*($CX10)+'LINEST VARS'!$O$48*(8^2)+'LINEST VARS'!$N$48*(8^2)+'LINEST VARS'!$M$48*($DN$8^2)+'LINEST VARS'!$L$48*(0.5^2)+'LINEST VARS'!$K$48*($CX10^2)+'LINEST VARS'!$J$48*(8*8)+'LINEST VARS'!$I$48*(8*$DN$8)+'LINEST VARS'!$H$48*(8*0.5)+'LINEST VARS'!$G$48*(8*$CX10)+'LINEST VARS'!$F$48*(8*$DN$8)+'LINEST VARS'!$E$48*(8*0.5)+'LINEST VARS'!$D$48*(8*$CX10)+'LINEST VARS'!$C$48*($DN$8*0.5)+'LINEST VARS'!$B$48*($DN$8*$CX10)+'LINEST VARS'!$A$48*(0.5*$CX10)</f>
        <v>369.99999999999989</v>
      </c>
      <c r="DO10" s="46">
        <f>'LINEST VARS'!$U$48+'LINEST VARS'!$T$48*(8)+'LINEST VARS'!$S$48*(8)+'LINEST VARS'!$R$48*($DO$8)+'LINEST VARS'!$Q$48*(0.5)+'LINEST VARS'!$P$48*($CX10)+'LINEST VARS'!$O$48*(8^2)+'LINEST VARS'!$N$48*(8^2)+'LINEST VARS'!$M$48*($DO$8^2)+'LINEST VARS'!$L$48*(0.5^2)+'LINEST VARS'!$K$48*($CX10^2)+'LINEST VARS'!$J$48*(8*8)+'LINEST VARS'!$I$48*(8*$DO$8)+'LINEST VARS'!$H$48*(8*0.5)+'LINEST VARS'!$G$48*(8*$CX10)+'LINEST VARS'!$F$48*(8*$DO$8)+'LINEST VARS'!$E$48*(8*0.5)+'LINEST VARS'!$D$48*(8*$CX10)+'LINEST VARS'!$C$48*($DO$8*0.5)+'LINEST VARS'!$B$48*($DO$8*$CX10)+'LINEST VARS'!$A$48*(0.5*$CX10)</f>
        <v>369.99999999999983</v>
      </c>
      <c r="DP10" s="46">
        <f>'LINEST VARS'!$U$48+'LINEST VARS'!$T$48*(8)+'LINEST VARS'!$S$48*(8)+'LINEST VARS'!$R$48*($DP$8)+'LINEST VARS'!$Q$48*(0.5)+'LINEST VARS'!$P$48*($CX10)+'LINEST VARS'!$O$48*(8^2)+'LINEST VARS'!$N$48*(8^2)+'LINEST VARS'!$M$48*($DP$8^2)+'LINEST VARS'!$L$48*(0.5^2)+'LINEST VARS'!$K$48*($CX10^2)+'LINEST VARS'!$J$48*(8*8)+'LINEST VARS'!$I$48*(8*$DP$8)+'LINEST VARS'!$H$48*(8*0.5)+'LINEST VARS'!$G$48*(8*$CX10)+'LINEST VARS'!$F$48*(8*$DP$8)+'LINEST VARS'!$E$48*(8*0.5)+'LINEST VARS'!$D$48*(8*$CX10)+'LINEST VARS'!$C$48*($DP$8*0.5)+'LINEST VARS'!$B$48*($DP$8*$CX10)+'LINEST VARS'!$A$48*(0.5*$CX10)</f>
        <v>369.99999999999983</v>
      </c>
      <c r="DQ10" s="46">
        <f>'LINEST VARS'!$U$48+'LINEST VARS'!$T$48*(8)+'LINEST VARS'!$S$48*(8)+'LINEST VARS'!$R$48*($DQ$8)+'LINEST VARS'!$Q$48*(0.5)+'LINEST VARS'!$P$48*($CX10)+'LINEST VARS'!$O$48*(8^2)+'LINEST VARS'!$N$48*(8^2)+'LINEST VARS'!$M$48*($DQ$8^2)+'LINEST VARS'!$L$48*(0.5^2)+'LINEST VARS'!$K$48*($CX10^2)+'LINEST VARS'!$J$48*(8*8)+'LINEST VARS'!$I$48*(8*$DQ$8)+'LINEST VARS'!$H$48*(8*0.5)+'LINEST VARS'!$G$48*(8*$CX10)+'LINEST VARS'!$F$48*(8*$DQ$8)+'LINEST VARS'!$E$48*(8*0.5)+'LINEST VARS'!$D$48*(8*$CX10)+'LINEST VARS'!$C$48*($DQ$8*0.5)+'LINEST VARS'!$B$48*($DQ$8*$CX10)+'LINEST VARS'!$A$48*(0.5*$CX10)</f>
        <v>369.99999999999983</v>
      </c>
      <c r="DR10" s="46">
        <f>'LINEST VARS'!$U$48+'LINEST VARS'!$T$48*(8)+'LINEST VARS'!$S$48*(8)+'LINEST VARS'!$R$48*($DR$8)+'LINEST VARS'!$Q$48*(0.5)+'LINEST VARS'!$P$48*($CX10)+'LINEST VARS'!$O$48*(8^2)+'LINEST VARS'!$N$48*(8^2)+'LINEST VARS'!$M$48*($DR$8^2)+'LINEST VARS'!$L$48*(0.5^2)+'LINEST VARS'!$K$48*($CX10^2)+'LINEST VARS'!$J$48*(8*8)+'LINEST VARS'!$I$48*(8*$DR$8)+'LINEST VARS'!$H$48*(8*0.5)+'LINEST VARS'!$G$48*(8*$CX10)+'LINEST VARS'!$F$48*(8*$DR$8)+'LINEST VARS'!$E$48*(8*0.5)+'LINEST VARS'!$D$48*(8*$CX10)+'LINEST VARS'!$C$48*($DR$8*0.5)+'LINEST VARS'!$B$48*($DR$8*$CX10)+'LINEST VARS'!$A$48*(0.5*$CX10)</f>
        <v>369.99999999999983</v>
      </c>
      <c r="DS10" s="47">
        <f>'LINEST VARS'!$U$48+'LINEST VARS'!$T$48*(8)+'LINEST VARS'!$S$48*(8)+'LINEST VARS'!$R$48*($DS$8)+'LINEST VARS'!$Q$48*(0.5)+'LINEST VARS'!$P$48*($CX10)+'LINEST VARS'!$O$48*(8^2)+'LINEST VARS'!$N$48*(8^2)+'LINEST VARS'!$M$48*($DS$8^2)+'LINEST VARS'!$L$48*(0.5^2)+'LINEST VARS'!$K$48*($CX10^2)+'LINEST VARS'!$J$48*(8*8)+'LINEST VARS'!$I$48*(8*$DS$8)+'LINEST VARS'!$H$48*(8*0.5)+'LINEST VARS'!$G$48*(8*$CX10)+'LINEST VARS'!$F$48*(8*$DS$8)+'LINEST VARS'!$E$48*(8*0.5)+'LINEST VARS'!$D$48*(8*$CX10)+'LINEST VARS'!$C$48*($DS$8*0.5)+'LINEST VARS'!$B$48*($DS$8*$CX10)+'LINEST VARS'!$A$48*(0.5*$CX10)</f>
        <v>369.99999999999983</v>
      </c>
      <c r="DV10" s="45">
        <v>1.2995000000000001</v>
      </c>
      <c r="DW10" s="46">
        <f>'LINEST VARS'!$U$50+'LINEST VARS'!$T$50*(8)+'LINEST VARS'!$S$50*(8)+'LINEST VARS'!$R$50*($DW$8)+'LINEST VARS'!$Q$50*(0.5)+'LINEST VARS'!$P$50*($DV10)+'LINEST VARS'!$O$50*(8^2)+'LINEST VARS'!$N$50*(8^2)+'LINEST VARS'!$M$50*($DW$8^2)+'LINEST VARS'!$L$50*(0.5^2)+'LINEST VARS'!$K$50*($DV10^2)+'LINEST VARS'!$J$50*(8*8)+'LINEST VARS'!$I$50*(8*$DW$8)+'LINEST VARS'!$H$50*(8*0.5)+'LINEST VARS'!$G$50*(8*$DV10)+'LINEST VARS'!$F$50*(8*$DW$8)+'LINEST VARS'!$E$50*(8*0.5)+'LINEST VARS'!$D$50*(8*$DV10)+'LINEST VARS'!$C$50*($DW$8*0.5)+'LINEST VARS'!$B$50*($DW$8*$DV10)+'LINEST VARS'!$A$50*(0.5*$DV10)</f>
        <v>331.99999999999989</v>
      </c>
      <c r="DX10" s="46">
        <f>'LINEST VARS'!$U$50+'LINEST VARS'!$T$50*(8)+'LINEST VARS'!$S$50*(8)+'LINEST VARS'!$R$50*($DX$8)+'LINEST VARS'!$Q$50*(0.5)+'LINEST VARS'!$P$50*($DV10)+'LINEST VARS'!$O$50*(8^2)+'LINEST VARS'!$N$50*(8^2)+'LINEST VARS'!$M$50*($DX$8^2)+'LINEST VARS'!$L$50*(0.5^2)+'LINEST VARS'!$K$50*($DV10^2)+'LINEST VARS'!$J$50*(8*8)+'LINEST VARS'!$I$50*(8*$DX$8)+'LINEST VARS'!$H$50*(8*0.5)+'LINEST VARS'!$G$50*(8*$DV10)+'LINEST VARS'!$F$50*(8*$DX$8)+'LINEST VARS'!$E$50*(8*0.5)+'LINEST VARS'!$D$50*(8*$DV10)+'LINEST VARS'!$C$50*($DX$8*0.5)+'LINEST VARS'!$B$50*($DX$8*$DV10)+'LINEST VARS'!$A$50*(0.5*$DV10)</f>
        <v>331.99999999999989</v>
      </c>
      <c r="DY10" s="46">
        <f>'LINEST VARS'!$U$50+'LINEST VARS'!$T$50*(8)+'LINEST VARS'!$S$50*(8)+'LINEST VARS'!$R$50*($DY$8)+'LINEST VARS'!$Q$50*(0.5)+'LINEST VARS'!$P$50*($DV10)+'LINEST VARS'!$O$50*(8^2)+'LINEST VARS'!$N$50*(8^2)+'LINEST VARS'!$M$50*($DY$8^2)+'LINEST VARS'!$L$50*(0.5^2)+'LINEST VARS'!$K$50*($DV10^2)+'LINEST VARS'!$J$50*(8*8)+'LINEST VARS'!$I$50*(8*$DY$8)+'LINEST VARS'!$H$50*(8*0.5)+'LINEST VARS'!$G$50*(8*$DV10)+'LINEST VARS'!$F$50*(8*$DY$8)+'LINEST VARS'!$E$50*(8*0.5)+'LINEST VARS'!$D$50*(8*$DV10)+'LINEST VARS'!$C$50*($DY$8*0.5)+'LINEST VARS'!$B$50*($DY$8*$DV10)+'LINEST VARS'!$A$50*(0.5*$DV10)</f>
        <v>331.99999999999989</v>
      </c>
      <c r="DZ10" s="46">
        <f>'LINEST VARS'!$U$50+'LINEST VARS'!$T$50*(8)+'LINEST VARS'!$S$50*(8)+'LINEST VARS'!$R$50*($DZ$8)+'LINEST VARS'!$Q$50*(0.5)+'LINEST VARS'!$P$50*($DV10)+'LINEST VARS'!$O$50*(8^2)+'LINEST VARS'!$N$50*(8^2)+'LINEST VARS'!$M$50*($DZ$8^2)+'LINEST VARS'!$L$50*(0.5^2)+'LINEST VARS'!$K$50*($DV10^2)+'LINEST VARS'!$J$50*(8*8)+'LINEST VARS'!$I$50*(8*$DZ$8)+'LINEST VARS'!$H$50*(8*0.5)+'LINEST VARS'!$G$50*(8*$DV10)+'LINEST VARS'!$F$50*(8*$DZ$8)+'LINEST VARS'!$E$50*(8*0.5)+'LINEST VARS'!$D$50*(8*$DV10)+'LINEST VARS'!$C$50*($DZ$8*0.5)+'LINEST VARS'!$B$50*($DZ$8*$DV10)+'LINEST VARS'!$A$50*(0.5*$DV10)</f>
        <v>331.99999999999989</v>
      </c>
      <c r="EA10" s="46">
        <f>'LINEST VARS'!$U$50+'LINEST VARS'!$T$50*(8)+'LINEST VARS'!$S$50*(8)+'LINEST VARS'!$R$50*($EA$8)+'LINEST VARS'!$Q$50*(0.5)+'LINEST VARS'!$P$50*($DV10)+'LINEST VARS'!$O$50*(8^2)+'LINEST VARS'!$N$50*(8^2)+'LINEST VARS'!$M$50*($EA$8^2)+'LINEST VARS'!$L$50*(0.5^2)+'LINEST VARS'!$K$50*($DV10^2)+'LINEST VARS'!$J$50*(8*8)+'LINEST VARS'!$I$50*(8*$EA$8)+'LINEST VARS'!$H$50*(8*0.5)+'LINEST VARS'!$G$50*(8*$DV10)+'LINEST VARS'!$F$50*(8*$EA$8)+'LINEST VARS'!$E$50*(8*0.5)+'LINEST VARS'!$D$50*(8*$DV10)+'LINEST VARS'!$C$50*($EA$8*0.5)+'LINEST VARS'!$B$50*($EA$8*$DV10)+'LINEST VARS'!$A$50*(0.5*$DV10)</f>
        <v>331.99999999999989</v>
      </c>
      <c r="EB10" s="46">
        <f>'LINEST VARS'!$U$50+'LINEST VARS'!$T$50*(8)+'LINEST VARS'!$S$50*(8)+'LINEST VARS'!$R$50*($EB$8)+'LINEST VARS'!$Q$50*(0.5)+'LINEST VARS'!$P$50*($DV10)+'LINEST VARS'!$O$50*(8^2)+'LINEST VARS'!$N$50*(8^2)+'LINEST VARS'!$M$50*($EB$8^2)+'LINEST VARS'!$L$50*(0.5^2)+'LINEST VARS'!$K$50*($DV10^2)+'LINEST VARS'!$J$50*(8*8)+'LINEST VARS'!$I$50*(8*$EB$8)+'LINEST VARS'!$H$50*(8*0.5)+'LINEST VARS'!$G$50*(8*$DV10)+'LINEST VARS'!$F$50*(8*$EB$8)+'LINEST VARS'!$E$50*(8*0.5)+'LINEST VARS'!$D$50*(8*$DV10)+'LINEST VARS'!$C$50*($EB$8*0.5)+'LINEST VARS'!$B$50*($EB$8*$DV10)+'LINEST VARS'!$A$50*(0.5*$DV10)</f>
        <v>331.99999999999989</v>
      </c>
      <c r="EC10" s="46">
        <f>'LINEST VARS'!$U$50+'LINEST VARS'!$T$50*(8)+'LINEST VARS'!$S$50*(8)+'LINEST VARS'!$R$50*($EC$8)+'LINEST VARS'!$Q$50*(0.5)+'LINEST VARS'!$P$50*($DV10)+'LINEST VARS'!$O$50*(8^2)+'LINEST VARS'!$N$50*(8^2)+'LINEST VARS'!$M$50*($EC$8^2)+'LINEST VARS'!$L$50*(0.5^2)+'LINEST VARS'!$K$50*($DV10^2)+'LINEST VARS'!$J$50*(8*8)+'LINEST VARS'!$I$50*(8*$EC$8)+'LINEST VARS'!$H$50*(8*0.5)+'LINEST VARS'!$G$50*(8*$DV10)+'LINEST VARS'!$F$50*(8*$EC$8)+'LINEST VARS'!$E$50*(8*0.5)+'LINEST VARS'!$D$50*(8*$DV10)+'LINEST VARS'!$C$50*($EC$8*0.5)+'LINEST VARS'!$B$50*($EC$8*$DV10)+'LINEST VARS'!$A$50*(0.5*$DV10)</f>
        <v>331.99999999999989</v>
      </c>
      <c r="ED10" s="46">
        <f>'LINEST VARS'!$U$50+'LINEST VARS'!$T$50*(8)+'LINEST VARS'!$S$50*(8)+'LINEST VARS'!$R$50*($ED$8)+'LINEST VARS'!$Q$50*(0.5)+'LINEST VARS'!$P$50*($DV10)+'LINEST VARS'!$O$50*(8^2)+'LINEST VARS'!$N$50*(8^2)+'LINEST VARS'!$M$50*($ED$8^2)+'LINEST VARS'!$L$50*(0.5^2)+'LINEST VARS'!$K$50*($DV10^2)+'LINEST VARS'!$J$50*(8*8)+'LINEST VARS'!$I$50*(8*$ED$8)+'LINEST VARS'!$H$50*(8*0.5)+'LINEST VARS'!$G$50*(8*$DV10)+'LINEST VARS'!$F$50*(8*$ED$8)+'LINEST VARS'!$E$50*(8*0.5)+'LINEST VARS'!$D$50*(8*$DV10)+'LINEST VARS'!$C$50*($ED$8*0.5)+'LINEST VARS'!$B$50*($ED$8*$DV10)+'LINEST VARS'!$A$50*(0.5*$DV10)</f>
        <v>331.99999999999989</v>
      </c>
      <c r="EE10" s="46">
        <f>'LINEST VARS'!$U$50+'LINEST VARS'!$T$50*(8)+'LINEST VARS'!$S$50*(8)+'LINEST VARS'!$R$50*($EE$8)+'LINEST VARS'!$Q$50*(0.5)+'LINEST VARS'!$P$50*($DV10)+'LINEST VARS'!$O$50*(8^2)+'LINEST VARS'!$N$50*(8^2)+'LINEST VARS'!$M$50*($EE$8^2)+'LINEST VARS'!$L$50*(0.5^2)+'LINEST VARS'!$K$50*($DV10^2)+'LINEST VARS'!$J$50*(8*8)+'LINEST VARS'!$I$50*(8*$EE$8)+'LINEST VARS'!$H$50*(8*0.5)+'LINEST VARS'!$G$50*(8*$DV10)+'LINEST VARS'!$F$50*(8*$EE$8)+'LINEST VARS'!$E$50*(8*0.5)+'LINEST VARS'!$D$50*(8*$DV10)+'LINEST VARS'!$C$50*($EE$8*0.5)+'LINEST VARS'!$B$50*($EE$8*$DV10)+'LINEST VARS'!$A$50*(0.5*$DV10)</f>
        <v>331.99999999999989</v>
      </c>
      <c r="EF10" s="46">
        <f>'LINEST VARS'!$U$50+'LINEST VARS'!$T$50*(8)+'LINEST VARS'!$S$50*(8)+'LINEST VARS'!$R$50*($EF$8)+'LINEST VARS'!$Q$50*(0.5)+'LINEST VARS'!$P$50*($DV10)+'LINEST VARS'!$O$50*(8^2)+'LINEST VARS'!$N$50*(8^2)+'LINEST VARS'!$M$50*($EF$8^2)+'LINEST VARS'!$L$50*(0.5^2)+'LINEST VARS'!$K$50*($DV10^2)+'LINEST VARS'!$J$50*(8*8)+'LINEST VARS'!$I$50*(8*$EF$8)+'LINEST VARS'!$H$50*(8*0.5)+'LINEST VARS'!$G$50*(8*$DV10)+'LINEST VARS'!$F$50*(8*$EF$8)+'LINEST VARS'!$E$50*(8*0.5)+'LINEST VARS'!$D$50*(8*$DV10)+'LINEST VARS'!$C$50*($EF$8*0.5)+'LINEST VARS'!$B$50*($EF$8*$DV10)+'LINEST VARS'!$A$50*(0.5*$DV10)</f>
        <v>331.99999999999989</v>
      </c>
      <c r="EG10" s="46">
        <f>'LINEST VARS'!$U$50+'LINEST VARS'!$T$50*(8)+'LINEST VARS'!$S$50*(8)+'LINEST VARS'!$R$50*($EG$8)+'LINEST VARS'!$Q$50*(0.5)+'LINEST VARS'!$P$50*($DV10)+'LINEST VARS'!$O$50*(8^2)+'LINEST VARS'!$N$50*(8^2)+'LINEST VARS'!$M$50*($EG$8^2)+'LINEST VARS'!$L$50*(0.5^2)+'LINEST VARS'!$K$50*($DV10^2)+'LINEST VARS'!$J$50*(8*8)+'LINEST VARS'!$I$50*(8*$EG$8)+'LINEST VARS'!$H$50*(8*0.5)+'LINEST VARS'!$G$50*(8*$DV10)+'LINEST VARS'!$F$50*(8*$EG$8)+'LINEST VARS'!$E$50*(8*0.5)+'LINEST VARS'!$D$50*(8*$DV10)+'LINEST VARS'!$C$50*($EG$8*0.5)+'LINEST VARS'!$B$50*($EG$8*$DV10)+'LINEST VARS'!$A$50*(0.5*$DV10)</f>
        <v>331.99999999999989</v>
      </c>
      <c r="EH10" s="46">
        <f>'LINEST VARS'!$U$50+'LINEST VARS'!$T$50*(8)+'LINEST VARS'!$S$50*(8)+'LINEST VARS'!$R$50*($EH$8)+'LINEST VARS'!$Q$50*(0.5)+'LINEST VARS'!$P$50*($DV10)+'LINEST VARS'!$O$50*(8^2)+'LINEST VARS'!$N$50*(8^2)+'LINEST VARS'!$M$50*($EH$8^2)+'LINEST VARS'!$L$50*(0.5^2)+'LINEST VARS'!$K$50*($DV10^2)+'LINEST VARS'!$J$50*(8*8)+'LINEST VARS'!$I$50*(8*$EH$8)+'LINEST VARS'!$H$50*(8*0.5)+'LINEST VARS'!$G$50*(8*$DV10)+'LINEST VARS'!$F$50*(8*$EH$8)+'LINEST VARS'!$E$50*(8*0.5)+'LINEST VARS'!$D$50*(8*$DV10)+'LINEST VARS'!$C$50*($EH$8*0.5)+'LINEST VARS'!$B$50*($EH$8*$DV10)+'LINEST VARS'!$A$50*(0.5*$DV10)</f>
        <v>331.99999999999989</v>
      </c>
      <c r="EI10" s="46">
        <f>'LINEST VARS'!$U$50+'LINEST VARS'!$T$50*(8)+'LINEST VARS'!$S$50*(8)+'LINEST VARS'!$R$50*($EI$8)+'LINEST VARS'!$Q$50*(0.5)+'LINEST VARS'!$P$50*($DV10)+'LINEST VARS'!$O$50*(8^2)+'LINEST VARS'!$N$50*(8^2)+'LINEST VARS'!$M$50*($EI$8^2)+'LINEST VARS'!$L$50*(0.5^2)+'LINEST VARS'!$K$50*($DV10^2)+'LINEST VARS'!$J$50*(8*8)+'LINEST VARS'!$I$50*(8*$EI$8)+'LINEST VARS'!$H$50*(8*0.5)+'LINEST VARS'!$G$50*(8*$DV10)+'LINEST VARS'!$F$50*(8*$EI$8)+'LINEST VARS'!$E$50*(8*0.5)+'LINEST VARS'!$D$50*(8*$DV10)+'LINEST VARS'!$C$50*($EI$8*0.5)+'LINEST VARS'!$B$50*($EI$8*$DV10)+'LINEST VARS'!$A$50*(0.5*$DV10)</f>
        <v>331.99999999999989</v>
      </c>
      <c r="EJ10" s="46">
        <f>'LINEST VARS'!$U$50+'LINEST VARS'!$T$50*(8)+'LINEST VARS'!$S$50*(8)+'LINEST VARS'!$R$50*($EJ$8)+'LINEST VARS'!$Q$50*(0.5)+'LINEST VARS'!$P$50*($DV10)+'LINEST VARS'!$O$50*(8^2)+'LINEST VARS'!$N$50*(8^2)+'LINEST VARS'!$M$50*($EJ$8^2)+'LINEST VARS'!$L$50*(0.5^2)+'LINEST VARS'!$K$50*($DV10^2)+'LINEST VARS'!$J$50*(8*8)+'LINEST VARS'!$I$50*(8*$EJ$8)+'LINEST VARS'!$H$50*(8*0.5)+'LINEST VARS'!$G$50*(8*$DV10)+'LINEST VARS'!$F$50*(8*$EJ$8)+'LINEST VARS'!$E$50*(8*0.5)+'LINEST VARS'!$D$50*(8*$DV10)+'LINEST VARS'!$C$50*($EJ$8*0.5)+'LINEST VARS'!$B$50*($EJ$8*$DV10)+'LINEST VARS'!$A$50*(0.5*$DV10)</f>
        <v>331.99999999999989</v>
      </c>
      <c r="EK10" s="46">
        <f>'LINEST VARS'!$U$50+'LINEST VARS'!$T$50*(8)+'LINEST VARS'!$S$50*(8)+'LINEST VARS'!$R$50*($EK$8)+'LINEST VARS'!$Q$50*(0.5)+'LINEST VARS'!$P$50*($DV10)+'LINEST VARS'!$O$50*(8^2)+'LINEST VARS'!$N$50*(8^2)+'LINEST VARS'!$M$50*($EK$8^2)+'LINEST VARS'!$L$50*(0.5^2)+'LINEST VARS'!$K$50*($DV10^2)+'LINEST VARS'!$J$50*(8*8)+'LINEST VARS'!$I$50*(8*$EK$8)+'LINEST VARS'!$H$50*(8*0.5)+'LINEST VARS'!$G$50*(8*$DV10)+'LINEST VARS'!$F$50*(8*$EK$8)+'LINEST VARS'!$E$50*(8*0.5)+'LINEST VARS'!$D$50*(8*$DV10)+'LINEST VARS'!$C$50*($EK$8*0.5)+'LINEST VARS'!$B$50*($EK$8*$DV10)+'LINEST VARS'!$A$50*(0.5*$DV10)</f>
        <v>331.99999999999989</v>
      </c>
      <c r="EL10" s="46">
        <f>'LINEST VARS'!$U$50+'LINEST VARS'!$T$50*(8)+'LINEST VARS'!$S$50*(8)+'LINEST VARS'!$R$50*($EL$8)+'LINEST VARS'!$Q$50*(0.5)+'LINEST VARS'!$P$50*($DV10)+'LINEST VARS'!$O$50*(8^2)+'LINEST VARS'!$N$50*(8^2)+'LINEST VARS'!$M$50*($EL$8^2)+'LINEST VARS'!$L$50*(0.5^2)+'LINEST VARS'!$K$50*($DV10^2)+'LINEST VARS'!$J$50*(8*8)+'LINEST VARS'!$I$50*(8*$EL$8)+'LINEST VARS'!$H$50*(8*0.5)+'LINEST VARS'!$G$50*(8*$DV10)+'LINEST VARS'!$F$50*(8*$EL$8)+'LINEST VARS'!$E$50*(8*0.5)+'LINEST VARS'!$D$50*(8*$DV10)+'LINEST VARS'!$C$50*($EL$8*0.5)+'LINEST VARS'!$B$50*($EL$8*$DV10)+'LINEST VARS'!$A$50*(0.5*$DV10)</f>
        <v>331.99999999999989</v>
      </c>
      <c r="EM10" s="46">
        <f>'LINEST VARS'!$U$50+'LINEST VARS'!$T$50*(8)+'LINEST VARS'!$S$50*(8)+'LINEST VARS'!$R$50*($EM$8)+'LINEST VARS'!$Q$50*(0.5)+'LINEST VARS'!$P$50*($DV10)+'LINEST VARS'!$O$50*(8^2)+'LINEST VARS'!$N$50*(8^2)+'LINEST VARS'!$M$50*($EM$8^2)+'LINEST VARS'!$L$50*(0.5^2)+'LINEST VARS'!$K$50*($DV10^2)+'LINEST VARS'!$J$50*(8*8)+'LINEST VARS'!$I$50*(8*$EM$8)+'LINEST VARS'!$H$50*(8*0.5)+'LINEST VARS'!$G$50*(8*$DV10)+'LINEST VARS'!$F$50*(8*$EM$8)+'LINEST VARS'!$E$50*(8*0.5)+'LINEST VARS'!$D$50*(8*$DV10)+'LINEST VARS'!$C$50*($EM$8*0.5)+'LINEST VARS'!$B$50*($EM$8*$DV10)+'LINEST VARS'!$A$50*(0.5*$DV10)</f>
        <v>331.99999999999989</v>
      </c>
      <c r="EN10" s="46">
        <f>'LINEST VARS'!$U$50+'LINEST VARS'!$T$50*(8)+'LINEST VARS'!$S$50*(8)+'LINEST VARS'!$R$50*($EN$8)+'LINEST VARS'!$Q$50*(0.5)+'LINEST VARS'!$P$50*($DV10)+'LINEST VARS'!$O$50*(8^2)+'LINEST VARS'!$N$50*(8^2)+'LINEST VARS'!$M$50*($EN$8^2)+'LINEST VARS'!$L$50*(0.5^2)+'LINEST VARS'!$K$50*($DV10^2)+'LINEST VARS'!$J$50*(8*8)+'LINEST VARS'!$I$50*(8*$EN$8)+'LINEST VARS'!$H$50*(8*0.5)+'LINEST VARS'!$G$50*(8*$DV10)+'LINEST VARS'!$F$50*(8*$EN$8)+'LINEST VARS'!$E$50*(8*0.5)+'LINEST VARS'!$D$50*(8*$DV10)+'LINEST VARS'!$C$50*($EN$8*0.5)+'LINEST VARS'!$B$50*($EN$8*$DV10)+'LINEST VARS'!$A$50*(0.5*$DV10)</f>
        <v>331.99999999999989</v>
      </c>
      <c r="EO10" s="46">
        <f>'LINEST VARS'!$U$50+'LINEST VARS'!$T$50*(8)+'LINEST VARS'!$S$50*(8)+'LINEST VARS'!$R$50*($EO$8)+'LINEST VARS'!$Q$50*(0.5)+'LINEST VARS'!$P$50*($DV10)+'LINEST VARS'!$O$50*(8^2)+'LINEST VARS'!$N$50*(8^2)+'LINEST VARS'!$M$50*($EO$8^2)+'LINEST VARS'!$L$50*(0.5^2)+'LINEST VARS'!$K$50*($DV10^2)+'LINEST VARS'!$J$50*(8*8)+'LINEST VARS'!$I$50*(8*$EO$8)+'LINEST VARS'!$H$50*(8*0.5)+'LINEST VARS'!$G$50*(8*$DV10)+'LINEST VARS'!$F$50*(8*$EO$8)+'LINEST VARS'!$E$50*(8*0.5)+'LINEST VARS'!$D$50*(8*$DV10)+'LINEST VARS'!$C$50*($EO$8*0.5)+'LINEST VARS'!$B$50*($EO$8*$DV10)+'LINEST VARS'!$A$50*(0.5*$DV10)</f>
        <v>331.99999999999989</v>
      </c>
      <c r="EP10" s="46">
        <f>'LINEST VARS'!$U$50+'LINEST VARS'!$T$50*(8)+'LINEST VARS'!$S$50*(8)+'LINEST VARS'!$R$50*($EP$8)+'LINEST VARS'!$Q$50*(0.5)+'LINEST VARS'!$P$50*($DV10)+'LINEST VARS'!$O$50*(8^2)+'LINEST VARS'!$N$50*(8^2)+'LINEST VARS'!$M$50*($EP$8^2)+'LINEST VARS'!$L$50*(0.5^2)+'LINEST VARS'!$K$50*($DV10^2)+'LINEST VARS'!$J$50*(8*8)+'LINEST VARS'!$I$50*(8*$EP$8)+'LINEST VARS'!$H$50*(8*0.5)+'LINEST VARS'!$G$50*(8*$DV10)+'LINEST VARS'!$F$50*(8*$EP$8)+'LINEST VARS'!$E$50*(8*0.5)+'LINEST VARS'!$D$50*(8*$DV10)+'LINEST VARS'!$C$50*($EP$8*0.5)+'LINEST VARS'!$B$50*($EP$8*$DV10)+'LINEST VARS'!$A$50*(0.5*$DV10)</f>
        <v>331.99999999999989</v>
      </c>
      <c r="EQ10" s="47">
        <f>'LINEST VARS'!$U$50+'LINEST VARS'!$T$50*(8)+'LINEST VARS'!$S$50*(8)+'LINEST VARS'!$R$50*($EQ$8)+'LINEST VARS'!$Q$50*(0.5)+'LINEST VARS'!$P$50*($DV10)+'LINEST VARS'!$O$50*(8^2)+'LINEST VARS'!$N$50*(8^2)+'LINEST VARS'!$M$50*($EQ$8^2)+'LINEST VARS'!$L$50*(0.5^2)+'LINEST VARS'!$K$50*($DV10^2)+'LINEST VARS'!$J$50*(8*8)+'LINEST VARS'!$I$50*(8*$EQ$8)+'LINEST VARS'!$H$50*(8*0.5)+'LINEST VARS'!$G$50*(8*$DV10)+'LINEST VARS'!$F$50*(8*$EQ$8)+'LINEST VARS'!$E$50*(8*0.5)+'LINEST VARS'!$D$50*(8*$DV10)+'LINEST VARS'!$C$50*($EQ$8*0.5)+'LINEST VARS'!$B$50*($EQ$8*$DV10)+'LINEST VARS'!$A$50*(0.5*$DV10)</f>
        <v>331.99999999999989</v>
      </c>
    </row>
    <row r="11" spans="2:150" ht="15" customHeight="1" x14ac:dyDescent="0.25">
      <c r="B11" s="45">
        <v>7.52</v>
      </c>
      <c r="C11" s="46">
        <f>'LINEST VARS'!$U$48+'LINEST VARS'!$T$48*($C$8)+'LINEST VARS'!$S$48*($B11)+'LINEST VARS'!$R$48*(4)+'LINEST VARS'!$Q$48*(0.5)+'LINEST VARS'!$P$48*(12.73)+'LINEST VARS'!$O$48*($C$8^2)+'LINEST VARS'!$N$48*($B11^2)+'LINEST VARS'!$M$48*(4^2)+'LINEST VARS'!$L$48*(0.5^2)+'LINEST VARS'!$K$48*(12.73^2)+'LINEST VARS'!$J$48*($C$8*$B11)+'LINEST VARS'!$I$48*($C$8*4)+'LINEST VARS'!$H$48*($C$8*0.5)+'LINEST VARS'!$G$48*($C$8*12.73)+'LINEST VARS'!$F$48*($B11*4)+'LINEST VARS'!$E$48*($B11*0.5)+'LINEST VARS'!$D$48*($B11*12.73)+'LINEST VARS'!$C$48*(4*0.5)+'LINEST VARS'!$B$48*(4*12.73)+'LINEST VARS'!$A$48*(0.5*12.73)</f>
        <v>321.15999999999985</v>
      </c>
      <c r="D11" s="46">
        <f>'LINEST VARS'!$U$48+'LINEST VARS'!$T$48*($D$8)+'LINEST VARS'!$S$48*($B11)+'LINEST VARS'!$R$48*(4)+'LINEST VARS'!$Q$48*(0.5)+'LINEST VARS'!$P$48*(12.73)+'LINEST VARS'!$O$48*($D$8^2)+'LINEST VARS'!$N$48*($B11^2)+'LINEST VARS'!$M$48*(4^2)+'LINEST VARS'!$L$48*(0.5^2)+'LINEST VARS'!$K$48*(12.73^2)+'LINEST VARS'!$J$48*($D$8*$B11)+'LINEST VARS'!$I$48*($D$8*4)+'LINEST VARS'!$H$48*($D$8*0.5)+'LINEST VARS'!$G$48*($D$8*12.73)+'LINEST VARS'!$F$48*($B11*4)+'LINEST VARS'!$E$48*($B11*0.5)+'LINEST VARS'!$D$48*($B11*12.73)+'LINEST VARS'!$C$48*(4*0.5)+'LINEST VARS'!$B$48*(4*12.73)+'LINEST VARS'!$A$48*(0.5*12.73)</f>
        <v>325.73799999999989</v>
      </c>
      <c r="E11" s="46">
        <f>'LINEST VARS'!$U$48+'LINEST VARS'!$T$48*($E$8)+'LINEST VARS'!$S$48*($B11)+'LINEST VARS'!$R$48*(4)+'LINEST VARS'!$Q$48*(0.5)+'LINEST VARS'!$P$48*(12.73)+'LINEST VARS'!$O$48*($E$8^2)+'LINEST VARS'!$N$48*($B11^2)+'LINEST VARS'!$M$48*(4^2)+'LINEST VARS'!$L$48*(0.5^2)+'LINEST VARS'!$K$48*(12.73^2)+'LINEST VARS'!$J$48*($E$8*$B11)+'LINEST VARS'!$I$48*($E$8*4)+'LINEST VARS'!$H$48*($E$8*0.5)+'LINEST VARS'!$G$48*($E$8*12.73)+'LINEST VARS'!$F$48*($B11*4)+'LINEST VARS'!$E$48*($B11*0.5)+'LINEST VARS'!$D$48*($B11*12.73)+'LINEST VARS'!$C$48*(4*0.5)+'LINEST VARS'!$B$48*(4*12.73)+'LINEST VARS'!$A$48*(0.5*12.73)</f>
        <v>330.35199999999986</v>
      </c>
      <c r="F11" s="46">
        <f>'LINEST VARS'!$U$48+'LINEST VARS'!$T$48*($F$8)+'LINEST VARS'!$S$48*($B11)+'LINEST VARS'!$R$48*(4)+'LINEST VARS'!$Q$48*(0.5)+'LINEST VARS'!$P$48*(12.73)+'LINEST VARS'!$O$48*($F$8^2)+'LINEST VARS'!$N$48*($B11^2)+'LINEST VARS'!$M$48*(4^2)+'LINEST VARS'!$L$48*(0.5^2)+'LINEST VARS'!$K$48*(12.73^2)+'LINEST VARS'!$J$48*($F$8*$B11)+'LINEST VARS'!$I$48*($F$8*4)+'LINEST VARS'!$H$48*($F$8*0.5)+'LINEST VARS'!$G$48*($F$8*12.73)+'LINEST VARS'!$F$48*($B11*4)+'LINEST VARS'!$E$48*($B11*0.5)+'LINEST VARS'!$D$48*($B11*12.73)+'LINEST VARS'!$C$48*(4*0.5)+'LINEST VARS'!$B$48*(4*12.73)+'LINEST VARS'!$A$48*(0.5*12.73)</f>
        <v>335.0019999999999</v>
      </c>
      <c r="G11" s="46">
        <f>'LINEST VARS'!$U$48+'LINEST VARS'!$T$48*($G$8)+'LINEST VARS'!$S$48*($B11)+'LINEST VARS'!$R$48*(4)+'LINEST VARS'!$Q$48*(0.5)+'LINEST VARS'!$P$48*(12.73)+'LINEST VARS'!$O$48*($G$8^2)+'LINEST VARS'!$N$48*($B11^2)+'LINEST VARS'!$M$48*(4^2)+'LINEST VARS'!$L$48*(0.5^2)+'LINEST VARS'!$K$48*(12.73^2)+'LINEST VARS'!$J$48*($G$8*$B11)+'LINEST VARS'!$I$48*($G$8*4)+'LINEST VARS'!$H$48*($G$8*0.5)+'LINEST VARS'!$G$48*($G$8*12.73)+'LINEST VARS'!$F$48*($B11*4)+'LINEST VARS'!$E$48*($B11*0.5)+'LINEST VARS'!$D$48*($B11*12.73)+'LINEST VARS'!$C$48*(4*0.5)+'LINEST VARS'!$B$48*(4*12.73)+'LINEST VARS'!$A$48*(0.5*12.73)</f>
        <v>339.68799999999987</v>
      </c>
      <c r="H11" s="46">
        <f>'LINEST VARS'!$U$48+'LINEST VARS'!$T$48*($H$8)+'LINEST VARS'!$S$48*($B11)+'LINEST VARS'!$R$48*(4)+'LINEST VARS'!$Q$48*(0.5)+'LINEST VARS'!$P$48*(12.73)+'LINEST VARS'!$O$48*($H$8^2)+'LINEST VARS'!$N$48*($B11^2)+'LINEST VARS'!$M$48*(4^2)+'LINEST VARS'!$L$48*(0.5^2)+'LINEST VARS'!$K$48*(12.73^2)+'LINEST VARS'!$J$48*($H$8*$B11)+'LINEST VARS'!$I$48*($H$8*4)+'LINEST VARS'!$H$48*($H$8*0.5)+'LINEST VARS'!$G$48*($H$8*12.73)+'LINEST VARS'!$F$48*($B11*4)+'LINEST VARS'!$E$48*($B11*0.5)+'LINEST VARS'!$D$48*($B11*12.73)+'LINEST VARS'!$C$48*(4*0.5)+'LINEST VARS'!$B$48*(4*12.73)+'LINEST VARS'!$A$48*(0.5*12.73)</f>
        <v>344.40999999999997</v>
      </c>
      <c r="I11" s="46">
        <f>'LINEST VARS'!$U$48+'LINEST VARS'!$T$48*($I$8)+'LINEST VARS'!$S$48*($B11)+'LINEST VARS'!$R$48*(4)+'LINEST VARS'!$Q$48*(0.5)+'LINEST VARS'!$P$48*(12.73)+'LINEST VARS'!$O$48*($I$8^2)+'LINEST VARS'!$N$48*($B11^2)+'LINEST VARS'!$M$48*(4^2)+'LINEST VARS'!$L$48*(0.5^2)+'LINEST VARS'!$K$48*(12.73^2)+'LINEST VARS'!$J$48*($I$8*$B11)+'LINEST VARS'!$I$48*($I$8*4)+'LINEST VARS'!$H$48*($I$8*0.5)+'LINEST VARS'!$G$48*($I$8*12.73)+'LINEST VARS'!$F$48*($B11*4)+'LINEST VARS'!$E$48*($B11*0.5)+'LINEST VARS'!$D$48*($B11*12.73)+'LINEST VARS'!$C$48*(4*0.5)+'LINEST VARS'!$B$48*(4*12.73)+'LINEST VARS'!$A$48*(0.5*12.73)</f>
        <v>349.16799999999989</v>
      </c>
      <c r="J11" s="46">
        <f>'LINEST VARS'!$U$48+'LINEST VARS'!$T$48*($J$8)+'LINEST VARS'!$S$48*($B11)+'LINEST VARS'!$R$48*(4)+'LINEST VARS'!$Q$48*(0.5)+'LINEST VARS'!$P$48*(12.73)+'LINEST VARS'!$O$48*($J$8^2)+'LINEST VARS'!$N$48*($B11^2)+'LINEST VARS'!$M$48*(4^2)+'LINEST VARS'!$L$48*(0.5^2)+'LINEST VARS'!$K$48*(12.73^2)+'LINEST VARS'!$J$48*($J$8*$B11)+'LINEST VARS'!$I$48*($J$8*4)+'LINEST VARS'!$H$48*($J$8*0.5)+'LINEST VARS'!$G$48*($J$8*12.73)+'LINEST VARS'!$F$48*($B11*4)+'LINEST VARS'!$E$48*($B11*0.5)+'LINEST VARS'!$D$48*($B11*12.73)+'LINEST VARS'!$C$48*(4*0.5)+'LINEST VARS'!$B$48*(4*12.73)+'LINEST VARS'!$A$48*(0.5*12.73)</f>
        <v>353.96199999999993</v>
      </c>
      <c r="K11" s="46">
        <f>'LINEST VARS'!$U$48+'LINEST VARS'!$T$48*($K$8)+'LINEST VARS'!$S$48*($B11)+'LINEST VARS'!$R$48*(4)+'LINEST VARS'!$Q$48*(0.5)+'LINEST VARS'!$P$48*(12.73)+'LINEST VARS'!$O$48*($K$8^2)+'LINEST VARS'!$N$48*($B11^2)+'LINEST VARS'!$M$48*(4^2)+'LINEST VARS'!$L$48*(0.5^2)+'LINEST VARS'!$K$48*(12.73^2)+'LINEST VARS'!$J$48*($K$8*$B11)+'LINEST VARS'!$I$48*($K$8*4)+'LINEST VARS'!$H$48*($K$8*0.5)+'LINEST VARS'!$G$48*($K$8*12.73)+'LINEST VARS'!$F$48*($B11*4)+'LINEST VARS'!$E$48*($B11*0.5)+'LINEST VARS'!$D$48*($B11*12.73)+'LINEST VARS'!$C$48*(4*0.5)+'LINEST VARS'!$B$48*(4*12.73)+'LINEST VARS'!$A$48*(0.5*12.73)</f>
        <v>358.79199999999992</v>
      </c>
      <c r="L11" s="46">
        <f>'LINEST VARS'!$U$48+'LINEST VARS'!$T$48*($L$8)+'LINEST VARS'!$S$48*($B11)+'LINEST VARS'!$R$48*(4)+'LINEST VARS'!$Q$48*(0.5)+'LINEST VARS'!$P$48*(12.73)+'LINEST VARS'!$O$48*($L$8^2)+'LINEST VARS'!$N$48*($B11^2)+'LINEST VARS'!$M$48*(4^2)+'LINEST VARS'!$L$48*(0.5^2)+'LINEST VARS'!$K$48*(12.73^2)+'LINEST VARS'!$J$48*($L$8*$B11)+'LINEST VARS'!$I$48*($L$8*4)+'LINEST VARS'!$H$48*($L$8*0.5)+'LINEST VARS'!$G$48*($L$8*12.73)+'LINEST VARS'!$F$48*($B11*4)+'LINEST VARS'!$E$48*($B11*0.5)+'LINEST VARS'!$D$48*($B11*12.73)+'LINEST VARS'!$C$48*(4*0.5)+'LINEST VARS'!$B$48*(4*12.73)+'LINEST VARS'!$A$48*(0.5*12.73)</f>
        <v>363.65799999999996</v>
      </c>
      <c r="M11" s="46">
        <f>'LINEST VARS'!$U$48+'LINEST VARS'!$T$48*($M$8)+'LINEST VARS'!$S$48*($B11)+'LINEST VARS'!$R$48*(4)+'LINEST VARS'!$Q$48*(0.5)+'LINEST VARS'!$P$48*(12.73)+'LINEST VARS'!$O$48*($M$8^2)+'LINEST VARS'!$N$48*($B11^2)+'LINEST VARS'!$M$48*(4^2)+'LINEST VARS'!$L$48*(0.5^2)+'LINEST VARS'!$K$48*(12.73^2)+'LINEST VARS'!$J$48*($M$8*$B11)+'LINEST VARS'!$I$48*($M$8*4)+'LINEST VARS'!$H$48*($M$8*0.5)+'LINEST VARS'!$G$48*($M$8*12.73)+'LINEST VARS'!$F$48*($B11*4)+'LINEST VARS'!$E$48*($B11*0.5)+'LINEST VARS'!$D$48*($B11*12.73)+'LINEST VARS'!$C$48*(4*0.5)+'LINEST VARS'!$B$48*(4*12.73)+'LINEST VARS'!$A$48*(0.5*12.73)</f>
        <v>368.55999999999983</v>
      </c>
      <c r="N11" s="46">
        <f>'LINEST VARS'!$U$48+'LINEST VARS'!$T$48*($N$8)+'LINEST VARS'!$S$48*($B11)+'LINEST VARS'!$R$48*(4)+'LINEST VARS'!$Q$48*(0.5)+'LINEST VARS'!$P$48*(12.73)+'LINEST VARS'!$O$48*($N$8^2)+'LINEST VARS'!$N$48*($B11^2)+'LINEST VARS'!$M$48*(4^2)+'LINEST VARS'!$L$48*(0.5^2)+'LINEST VARS'!$K$48*(12.73^2)+'LINEST VARS'!$J$48*($N$8*$B11)+'LINEST VARS'!$I$48*($N$8*4)+'LINEST VARS'!$H$48*($N$8*0.5)+'LINEST VARS'!$G$48*($N$8*12.73)+'LINEST VARS'!$F$48*($B11*4)+'LINEST VARS'!$E$48*($B11*0.5)+'LINEST VARS'!$D$48*($B11*12.73)+'LINEST VARS'!$C$48*(4*0.5)+'LINEST VARS'!$B$48*(4*12.73)+'LINEST VARS'!$A$48*(0.5*12.73)</f>
        <v>373.49799999999988</v>
      </c>
      <c r="O11" s="46">
        <f>'LINEST VARS'!$U$48+'LINEST VARS'!$T$48*($O$8)+'LINEST VARS'!$S$48*($B11)+'LINEST VARS'!$R$48*(4)+'LINEST VARS'!$Q$48*(0.5)+'LINEST VARS'!$P$48*(12.73)+'LINEST VARS'!$O$48*($O$8^2)+'LINEST VARS'!$N$48*($B11^2)+'LINEST VARS'!$M$48*(4^2)+'LINEST VARS'!$L$48*(0.5^2)+'LINEST VARS'!$K$48*(12.73^2)+'LINEST VARS'!$J$48*($O$8*$B11)+'LINEST VARS'!$I$48*($O$8*4)+'LINEST VARS'!$H$48*($O$8*0.5)+'LINEST VARS'!$G$48*($O$8*12.73)+'LINEST VARS'!$F$48*($B11*4)+'LINEST VARS'!$E$48*($B11*0.5)+'LINEST VARS'!$D$48*($B11*12.73)+'LINEST VARS'!$C$48*(4*0.5)+'LINEST VARS'!$B$48*(4*12.73)+'LINEST VARS'!$A$48*(0.5*12.73)</f>
        <v>378.47199999999975</v>
      </c>
      <c r="P11" s="46">
        <f>'LINEST VARS'!$U$48+'LINEST VARS'!$T$48*($P$8)+'LINEST VARS'!$S$48*($B11)+'LINEST VARS'!$R$48*(4)+'LINEST VARS'!$Q$48*(0.5)+'LINEST VARS'!$P$48*(12.73)+'LINEST VARS'!$O$48*($P$8^2)+'LINEST VARS'!$N$48*($B11^2)+'LINEST VARS'!$M$48*(4^2)+'LINEST VARS'!$L$48*(0.5^2)+'LINEST VARS'!$K$48*(12.73^2)+'LINEST VARS'!$J$48*($P$8*$B11)+'LINEST VARS'!$I$48*($P$8*4)+'LINEST VARS'!$H$48*($P$8*0.5)+'LINEST VARS'!$G$48*($P$8*12.73)+'LINEST VARS'!$F$48*($B11*4)+'LINEST VARS'!$E$48*($B11*0.5)+'LINEST VARS'!$D$48*($B11*12.73)+'LINEST VARS'!$C$48*(4*0.5)+'LINEST VARS'!$B$48*(4*12.73)+'LINEST VARS'!$A$48*(0.5*12.73)</f>
        <v>383.4819999999998</v>
      </c>
      <c r="Q11" s="46">
        <f>'LINEST VARS'!$U$48+'LINEST VARS'!$T$48*($Q$8)+'LINEST VARS'!$S$48*($B11)+'LINEST VARS'!$R$48*(4)+'LINEST VARS'!$Q$48*(0.5)+'LINEST VARS'!$P$48*(12.73)+'LINEST VARS'!$O$48*($Q$8^2)+'LINEST VARS'!$N$48*($B11^2)+'LINEST VARS'!$M$48*(4^2)+'LINEST VARS'!$L$48*(0.5^2)+'LINEST VARS'!$K$48*(12.73^2)+'LINEST VARS'!$J$48*($Q$8*$B11)+'LINEST VARS'!$I$48*($Q$8*4)+'LINEST VARS'!$H$48*($Q$8*0.5)+'LINEST VARS'!$G$48*($Q$8*12.73)+'LINEST VARS'!$F$48*($B11*4)+'LINEST VARS'!$E$48*($B11*0.5)+'LINEST VARS'!$D$48*($B11*12.73)+'LINEST VARS'!$C$48*(4*0.5)+'LINEST VARS'!$B$48*(4*12.73)+'LINEST VARS'!$A$48*(0.5*12.73)</f>
        <v>388.52799999999985</v>
      </c>
      <c r="R11" s="46">
        <f>'LINEST VARS'!$U$48+'LINEST VARS'!$T$48*($R$8)+'LINEST VARS'!$S$48*($B11)+'LINEST VARS'!$R$48*(4)+'LINEST VARS'!$Q$48*(0.5)+'LINEST VARS'!$P$48*(12.73)+'LINEST VARS'!$O$48*($R$8^2)+'LINEST VARS'!$N$48*($B11^2)+'LINEST VARS'!$M$48*(4^2)+'LINEST VARS'!$L$48*(0.5^2)+'LINEST VARS'!$K$48*(12.73^2)+'LINEST VARS'!$J$48*($R$8*$B11)+'LINEST VARS'!$I$48*($R$8*4)+'LINEST VARS'!$H$48*($R$8*0.5)+'LINEST VARS'!$G$48*($R$8*12.73)+'LINEST VARS'!$F$48*($B11*4)+'LINEST VARS'!$E$48*($B11*0.5)+'LINEST VARS'!$D$48*($B11*12.73)+'LINEST VARS'!$C$48*(4*0.5)+'LINEST VARS'!$B$48*(4*12.73)+'LINEST VARS'!$A$48*(0.5*12.73)</f>
        <v>393.6099999999999</v>
      </c>
      <c r="S11" s="46">
        <f>'LINEST VARS'!$U$48+'LINEST VARS'!$T$48*($S$8)+'LINEST VARS'!$S$48*($B11)+'LINEST VARS'!$R$48*(4)+'LINEST VARS'!$Q$48*(0.5)+'LINEST VARS'!$P$48*(12.73)+'LINEST VARS'!$O$48*($S$8^2)+'LINEST VARS'!$N$48*($B11^2)+'LINEST VARS'!$M$48*(4^2)+'LINEST VARS'!$L$48*(0.5^2)+'LINEST VARS'!$K$48*(12.73^2)+'LINEST VARS'!$J$48*($S$8*$B11)+'LINEST VARS'!$I$48*($S$8*4)+'LINEST VARS'!$H$48*($S$8*0.5)+'LINEST VARS'!$G$48*($S$8*12.73)+'LINEST VARS'!$F$48*($B11*4)+'LINEST VARS'!$E$48*($B11*0.5)+'LINEST VARS'!$D$48*($B11*12.73)+'LINEST VARS'!$C$48*(4*0.5)+'LINEST VARS'!$B$48*(4*12.73)+'LINEST VARS'!$A$48*(0.5*12.73)</f>
        <v>398.72799999999978</v>
      </c>
      <c r="T11" s="46">
        <f>'LINEST VARS'!$U$48+'LINEST VARS'!$T$48*($T$8)+'LINEST VARS'!$S$48*($B11)+'LINEST VARS'!$R$48*(4)+'LINEST VARS'!$Q$48*(0.5)+'LINEST VARS'!$P$48*(12.73)+'LINEST VARS'!$O$48*($T$8^2)+'LINEST VARS'!$N$48*($B11^2)+'LINEST VARS'!$M$48*(4^2)+'LINEST VARS'!$L$48*(0.5^2)+'LINEST VARS'!$K$48*(12.73^2)+'LINEST VARS'!$J$48*($T$8*$B11)+'LINEST VARS'!$I$48*($T$8*4)+'LINEST VARS'!$H$48*($T$8*0.5)+'LINEST VARS'!$G$48*($T$8*12.73)+'LINEST VARS'!$F$48*($B11*4)+'LINEST VARS'!$E$48*($B11*0.5)+'LINEST VARS'!$D$48*($B11*12.73)+'LINEST VARS'!$C$48*(4*0.5)+'LINEST VARS'!$B$48*(4*12.73)+'LINEST VARS'!$A$48*(0.5*12.73)</f>
        <v>403.88199999999983</v>
      </c>
      <c r="U11" s="46">
        <f>'LINEST VARS'!$U$48+'LINEST VARS'!$T$48*($U$8)+'LINEST VARS'!$S$48*($B11)+'LINEST VARS'!$R$48*(4)+'LINEST VARS'!$Q$48*(0.5)+'LINEST VARS'!$P$48*(12.73)+'LINEST VARS'!$O$48*($U$8^2)+'LINEST VARS'!$N$48*($B11^2)+'LINEST VARS'!$M$48*(4^2)+'LINEST VARS'!$L$48*(0.5^2)+'LINEST VARS'!$K$48*(12.73^2)+'LINEST VARS'!$J$48*($U$8*$B11)+'LINEST VARS'!$I$48*($U$8*4)+'LINEST VARS'!$H$48*($U$8*0.5)+'LINEST VARS'!$G$48*($U$8*12.73)+'LINEST VARS'!$F$48*($B11*4)+'LINEST VARS'!$E$48*($B11*0.5)+'LINEST VARS'!$D$48*($B11*12.73)+'LINEST VARS'!$C$48*(4*0.5)+'LINEST VARS'!$B$48*(4*12.73)+'LINEST VARS'!$A$48*(0.5*12.73)</f>
        <v>409.07199999999989</v>
      </c>
      <c r="V11" s="46">
        <f>'LINEST VARS'!$U$48+'LINEST VARS'!$T$48*($V$8)+'LINEST VARS'!$S$48*($B11)+'LINEST VARS'!$R$48*(4)+'LINEST VARS'!$Q$48*(0.5)+'LINEST VARS'!$P$48*(12.73)+'LINEST VARS'!$O$48*($V$8^2)+'LINEST VARS'!$N$48*($B11^2)+'LINEST VARS'!$M$48*(4^2)+'LINEST VARS'!$L$48*(0.5^2)+'LINEST VARS'!$K$48*(12.73^2)+'LINEST VARS'!$J$48*($V$8*$B11)+'LINEST VARS'!$I$48*($V$8*4)+'LINEST VARS'!$H$48*($V$8*0.5)+'LINEST VARS'!$G$48*($V$8*12.73)+'LINEST VARS'!$F$48*($B11*4)+'LINEST VARS'!$E$48*($B11*0.5)+'LINEST VARS'!$D$48*($B11*12.73)+'LINEST VARS'!$C$48*(4*0.5)+'LINEST VARS'!$B$48*(4*12.73)+'LINEST VARS'!$A$48*(0.5*12.73)</f>
        <v>414.29799999999977</v>
      </c>
      <c r="W11" s="47">
        <f>'LINEST VARS'!$U$48+'LINEST VARS'!$T$48*($W$8)+'LINEST VARS'!$S$48*($B11)+'LINEST VARS'!$R$48*(4)+'LINEST VARS'!$Q$48*(0.5)+'LINEST VARS'!$P$48*(12.73)+'LINEST VARS'!$O$48*($W$8^2)+'LINEST VARS'!$N$48*($B11^2)+'LINEST VARS'!$M$48*(4^2)+'LINEST VARS'!$L$48*(0.5^2)+'LINEST VARS'!$K$48*(12.73^2)+'LINEST VARS'!$J$48*($W$8*$B11)+'LINEST VARS'!$I$48*($W$8*4)+'LINEST VARS'!$H$48*($W$8*0.5)+'LINEST VARS'!$G$48*($W$8*12.73)+'LINEST VARS'!$F$48*($B11*4)+'LINEST VARS'!$E$48*($B11*0.5)+'LINEST VARS'!$D$48*($B11*12.73)+'LINEST VARS'!$C$48*(4*0.5)+'LINEST VARS'!$B$48*(4*12.73)+'LINEST VARS'!$A$48*(0.5*12.73)</f>
        <v>419.55999999999977</v>
      </c>
      <c r="Z11" s="45">
        <v>7.52</v>
      </c>
      <c r="AA11" s="46">
        <f>'LINEST VARS'!$U$50+'LINEST VARS'!$T$50*($AA$8)+'LINEST VARS'!$S$50*($Z11)+'LINEST VARS'!$R$50*(4)+'LINEST VARS'!$Q$50*(0.5)+'LINEST VARS'!$P$50*(12.73)+'LINEST VARS'!$O$50*($AA$8^2)+'LINEST VARS'!$N$50*($Z11^2)+'LINEST VARS'!$M$50*(4^2)+'LINEST VARS'!$L$50*(0.5^2)+'LINEST VARS'!$K$50*(12.73^2)+'LINEST VARS'!$J$50*($AA$8*$Z11)+'LINEST VARS'!$I$50*($AA$8*4)+'LINEST VARS'!$H$50*($AA$8*0.5)+'LINEST VARS'!$G$50*($AA$8*12.73)+'LINEST VARS'!$F$50*($Z11*4)+'LINEST VARS'!$E$50*($Z11*0.5)+'LINEST VARS'!$D$50*($Z11*12.73)+'LINEST VARS'!$C$50*(4*0.5)+'LINEST VARS'!$B$50*(4*12.73)+'LINEST VARS'!$A$50*(0.5*12.73)</f>
        <v>329.89999999999992</v>
      </c>
      <c r="AB11" s="46">
        <f>'LINEST VARS'!$U$50+'LINEST VARS'!$T$50*($AB$8)+'LINEST VARS'!$S$50*($Z11)+'LINEST VARS'!$R$50*(4)+'LINEST VARS'!$Q$50*(0.5)+'LINEST VARS'!$P$50*(12.73)+'LINEST VARS'!$O$50*($AB$8^2)+'LINEST VARS'!$N$50*($Z11^2)+'LINEST VARS'!$M$50*(4^2)+'LINEST VARS'!$L$50*(0.5^2)+'LINEST VARS'!$K$50*(12.73^2)+'LINEST VARS'!$J$50*($AB$8*$Z11)+'LINEST VARS'!$I$50*($AB$8*4)+'LINEST VARS'!$H$50*($AB$8*0.5)+'LINEST VARS'!$G$50*($AB$8*12.73)+'LINEST VARS'!$F$50*($Z11*4)+'LINEST VARS'!$E$50*($Z11*0.5)+'LINEST VARS'!$D$50*($Z11*12.73)+'LINEST VARS'!$C$50*(4*0.5)+'LINEST VARS'!$B$50*(4*12.73)+'LINEST VARS'!$A$50*(0.5*12.73)</f>
        <v>329.9899999999999</v>
      </c>
      <c r="AC11" s="46">
        <f>'LINEST VARS'!$U$50+'LINEST VARS'!$T$50*($AC$8)+'LINEST VARS'!$S$50*($Z11)+'LINEST VARS'!$R$50*(4)+'LINEST VARS'!$Q$50*(0.5)+'LINEST VARS'!$P$50*(12.73)+'LINEST VARS'!$O$50*($AC$8^2)+'LINEST VARS'!$N$50*($Z11^2)+'LINEST VARS'!$M$50*(4^2)+'LINEST VARS'!$L$50*(0.5^2)+'LINEST VARS'!$K$50*(12.73^2)+'LINEST VARS'!$J$50*($AC$8*$Z11)+'LINEST VARS'!$I$50*($AC$8*4)+'LINEST VARS'!$H$50*($AC$8*0.5)+'LINEST VARS'!$G$50*($AC$8*12.73)+'LINEST VARS'!$F$50*($Z11*4)+'LINEST VARS'!$E$50*($Z11*0.5)+'LINEST VARS'!$D$50*($Z11*12.73)+'LINEST VARS'!$C$50*(4*0.5)+'LINEST VARS'!$B$50*(4*12.73)+'LINEST VARS'!$A$50*(0.5*12.73)</f>
        <v>330.07999999999993</v>
      </c>
      <c r="AD11" s="46">
        <f>'LINEST VARS'!$U$50+'LINEST VARS'!$T$50*($AD$8)+'LINEST VARS'!$S$50*($Z11)+'LINEST VARS'!$R$50*(4)+'LINEST VARS'!$Q$50*(0.5)+'LINEST VARS'!$P$50*(12.73)+'LINEST VARS'!$O$50*($AD$8^2)+'LINEST VARS'!$N$50*($Z11^2)+'LINEST VARS'!$M$50*(4^2)+'LINEST VARS'!$L$50*(0.5^2)+'LINEST VARS'!$K$50*(12.73^2)+'LINEST VARS'!$J$50*($AD$8*$Z11)+'LINEST VARS'!$I$50*($AD$8*4)+'LINEST VARS'!$H$50*($AD$8*0.5)+'LINEST VARS'!$G$50*($AD$8*12.73)+'LINEST VARS'!$F$50*($Z11*4)+'LINEST VARS'!$E$50*($Z11*0.5)+'LINEST VARS'!$D$50*($Z11*12.73)+'LINEST VARS'!$C$50*(4*0.5)+'LINEST VARS'!$B$50*(4*12.73)+'LINEST VARS'!$A$50*(0.5*12.73)</f>
        <v>330.1699999999999</v>
      </c>
      <c r="AE11" s="46">
        <f>'LINEST VARS'!$U$50+'LINEST VARS'!$T$50*($AE$8)+'LINEST VARS'!$S$50*($Z11)+'LINEST VARS'!$R$50*(4)+'LINEST VARS'!$Q$50*(0.5)+'LINEST VARS'!$P$50*(12.73)+'LINEST VARS'!$O$50*($AE$8^2)+'LINEST VARS'!$N$50*($Z11^2)+'LINEST VARS'!$M$50*(4^2)+'LINEST VARS'!$L$50*(0.5^2)+'LINEST VARS'!$K$50*(12.73^2)+'LINEST VARS'!$J$50*($AE$8*$Z11)+'LINEST VARS'!$I$50*($AE$8*4)+'LINEST VARS'!$H$50*($AE$8*0.5)+'LINEST VARS'!$G$50*($AE$8*12.73)+'LINEST VARS'!$F$50*($Z11*4)+'LINEST VARS'!$E$50*($Z11*0.5)+'LINEST VARS'!$D$50*($Z11*12.73)+'LINEST VARS'!$C$50*(4*0.5)+'LINEST VARS'!$B$50*(4*12.73)+'LINEST VARS'!$A$50*(0.5*12.73)</f>
        <v>330.25999999999988</v>
      </c>
      <c r="AF11" s="46">
        <f>'LINEST VARS'!$U$50+'LINEST VARS'!$T$50*($AF$8)+'LINEST VARS'!$S$50*($Z11)+'LINEST VARS'!$R$50*(4)+'LINEST VARS'!$Q$50*(0.5)+'LINEST VARS'!$P$50*(12.73)+'LINEST VARS'!$O$50*($AF$8^2)+'LINEST VARS'!$N$50*($Z11^2)+'LINEST VARS'!$M$50*(4^2)+'LINEST VARS'!$L$50*(0.5^2)+'LINEST VARS'!$K$50*(12.73^2)+'LINEST VARS'!$J$50*($AF$8*$Z11)+'LINEST VARS'!$I$50*($AF$8*4)+'LINEST VARS'!$H$50*($AF$8*0.5)+'LINEST VARS'!$G$50*($AF$8*12.73)+'LINEST VARS'!$F$50*($Z11*4)+'LINEST VARS'!$E$50*($Z11*0.5)+'LINEST VARS'!$D$50*($Z11*12.73)+'LINEST VARS'!$C$50*(4*0.5)+'LINEST VARS'!$B$50*(4*12.73)+'LINEST VARS'!$A$50*(0.5*12.73)</f>
        <v>330.34999999999991</v>
      </c>
      <c r="AG11" s="46">
        <f>'LINEST VARS'!$U$50+'LINEST VARS'!$T$50*($AG$8)+'LINEST VARS'!$S$50*($Z11)+'LINEST VARS'!$R$50*(4)+'LINEST VARS'!$Q$50*(0.5)+'LINEST VARS'!$P$50*(12.73)+'LINEST VARS'!$O$50*($AG$8^2)+'LINEST VARS'!$N$50*($Z11^2)+'LINEST VARS'!$M$50*(4^2)+'LINEST VARS'!$L$50*(0.5^2)+'LINEST VARS'!$K$50*(12.73^2)+'LINEST VARS'!$J$50*($AG$8*$Z11)+'LINEST VARS'!$I$50*($AG$8*4)+'LINEST VARS'!$H$50*($AG$8*0.5)+'LINEST VARS'!$G$50*($AG$8*12.73)+'LINEST VARS'!$F$50*($Z11*4)+'LINEST VARS'!$E$50*($Z11*0.5)+'LINEST VARS'!$D$50*($Z11*12.73)+'LINEST VARS'!$C$50*(4*0.5)+'LINEST VARS'!$B$50*(4*12.73)+'LINEST VARS'!$A$50*(0.5*12.73)</f>
        <v>330.43999999999988</v>
      </c>
      <c r="AH11" s="46">
        <f>'LINEST VARS'!$U$50+'LINEST VARS'!$T$50*($AH$8)+'LINEST VARS'!$S$50*($Z11)+'LINEST VARS'!$R$50*(4)+'LINEST VARS'!$Q$50*(0.5)+'LINEST VARS'!$P$50*(12.73)+'LINEST VARS'!$O$50*($AH$8^2)+'LINEST VARS'!$N$50*($Z11^2)+'LINEST VARS'!$M$50*(4^2)+'LINEST VARS'!$L$50*(0.5^2)+'LINEST VARS'!$K$50*(12.73^2)+'LINEST VARS'!$J$50*($AH$8*$Z11)+'LINEST VARS'!$I$50*($AH$8*4)+'LINEST VARS'!$H$50*($AH$8*0.5)+'LINEST VARS'!$G$50*($AH$8*12.73)+'LINEST VARS'!$F$50*($Z11*4)+'LINEST VARS'!$E$50*($Z11*0.5)+'LINEST VARS'!$D$50*($Z11*12.73)+'LINEST VARS'!$C$50*(4*0.5)+'LINEST VARS'!$B$50*(4*12.73)+'LINEST VARS'!$A$50*(0.5*12.73)</f>
        <v>330.52999999999992</v>
      </c>
      <c r="AI11" s="46">
        <f>'LINEST VARS'!$U$50+'LINEST VARS'!$T$50*($AI$8)+'LINEST VARS'!$S$50*($Z11)+'LINEST VARS'!$R$50*(4)+'LINEST VARS'!$Q$50*(0.5)+'LINEST VARS'!$P$50*(12.73)+'LINEST VARS'!$O$50*($AI$8^2)+'LINEST VARS'!$N$50*($Z11^2)+'LINEST VARS'!$M$50*(4^2)+'LINEST VARS'!$L$50*(0.5^2)+'LINEST VARS'!$K$50*(12.73^2)+'LINEST VARS'!$J$50*($AI$8*$Z11)+'LINEST VARS'!$I$50*($AI$8*4)+'LINEST VARS'!$H$50*($AI$8*0.5)+'LINEST VARS'!$G$50*($AI$8*12.73)+'LINEST VARS'!$F$50*($Z11*4)+'LINEST VARS'!$E$50*($Z11*0.5)+'LINEST VARS'!$D$50*($Z11*12.73)+'LINEST VARS'!$C$50*(4*0.5)+'LINEST VARS'!$B$50*(4*12.73)+'LINEST VARS'!$A$50*(0.5*12.73)</f>
        <v>330.61999999999989</v>
      </c>
      <c r="AJ11" s="46">
        <f>'LINEST VARS'!$U$50+'LINEST VARS'!$T$50*($AJ$8)+'LINEST VARS'!$S$50*($Z11)+'LINEST VARS'!$R$50*(4)+'LINEST VARS'!$Q$50*(0.5)+'LINEST VARS'!$P$50*(12.73)+'LINEST VARS'!$O$50*($AJ$8^2)+'LINEST VARS'!$N$50*($Z11^2)+'LINEST VARS'!$M$50*(4^2)+'LINEST VARS'!$L$50*(0.5^2)+'LINEST VARS'!$K$50*(12.73^2)+'LINEST VARS'!$J$50*($AJ$8*$Z11)+'LINEST VARS'!$I$50*($AJ$8*4)+'LINEST VARS'!$H$50*($AJ$8*0.5)+'LINEST VARS'!$G$50*($AJ$8*12.73)+'LINEST VARS'!$F$50*($Z11*4)+'LINEST VARS'!$E$50*($Z11*0.5)+'LINEST VARS'!$D$50*($Z11*12.73)+'LINEST VARS'!$C$50*(4*0.5)+'LINEST VARS'!$B$50*(4*12.73)+'LINEST VARS'!$A$50*(0.5*12.73)</f>
        <v>330.70999999999992</v>
      </c>
      <c r="AK11" s="46">
        <f>'LINEST VARS'!$U$50+'LINEST VARS'!$T$50*($AK$8)+'LINEST VARS'!$S$50*($Z11)+'LINEST VARS'!$R$50*(4)+'LINEST VARS'!$Q$50*(0.5)+'LINEST VARS'!$P$50*(12.73)+'LINEST VARS'!$O$50*($AK$8^2)+'LINEST VARS'!$N$50*($Z11^2)+'LINEST VARS'!$M$50*(4^2)+'LINEST VARS'!$L$50*(0.5^2)+'LINEST VARS'!$K$50*(12.73^2)+'LINEST VARS'!$J$50*($AK$8*$Z11)+'LINEST VARS'!$I$50*($AK$8*4)+'LINEST VARS'!$H$50*($AK$8*0.5)+'LINEST VARS'!$G$50*($AK$8*12.73)+'LINEST VARS'!$F$50*($Z11*4)+'LINEST VARS'!$E$50*($Z11*0.5)+'LINEST VARS'!$D$50*($Z11*12.73)+'LINEST VARS'!$C$50*(4*0.5)+'LINEST VARS'!$B$50*(4*12.73)+'LINEST VARS'!$A$50*(0.5*12.73)</f>
        <v>330.7999999999999</v>
      </c>
      <c r="AL11" s="46">
        <f>'LINEST VARS'!$U$50+'LINEST VARS'!$T$50*($AL$8)+'LINEST VARS'!$S$50*($Z11)+'LINEST VARS'!$R$50*(4)+'LINEST VARS'!$Q$50*(0.5)+'LINEST VARS'!$P$50*(12.73)+'LINEST VARS'!$O$50*($AL$8^2)+'LINEST VARS'!$N$50*($Z11^2)+'LINEST VARS'!$M$50*(4^2)+'LINEST VARS'!$L$50*(0.5^2)+'LINEST VARS'!$K$50*(12.73^2)+'LINEST VARS'!$J$50*($AL$8*$Z11)+'LINEST VARS'!$I$50*($AL$8*4)+'LINEST VARS'!$H$50*($AL$8*0.5)+'LINEST VARS'!$G$50*($AL$8*12.73)+'LINEST VARS'!$F$50*($Z11*4)+'LINEST VARS'!$E$50*($Z11*0.5)+'LINEST VARS'!$D$50*($Z11*12.73)+'LINEST VARS'!$C$50*(4*0.5)+'LINEST VARS'!$B$50*(4*12.73)+'LINEST VARS'!$A$50*(0.5*12.73)</f>
        <v>330.88999999999987</v>
      </c>
      <c r="AM11" s="46">
        <f>'LINEST VARS'!$U$50+'LINEST VARS'!$T$50*($AM$8)+'LINEST VARS'!$S$50*($Z11)+'LINEST VARS'!$R$50*(4)+'LINEST VARS'!$Q$50*(0.5)+'LINEST VARS'!$P$50*(12.73)+'LINEST VARS'!$O$50*($AM$8^2)+'LINEST VARS'!$N$50*($Z11^2)+'LINEST VARS'!$M$50*(4^2)+'LINEST VARS'!$L$50*(0.5^2)+'LINEST VARS'!$K$50*(12.73^2)+'LINEST VARS'!$J$50*($AM$8*$Z11)+'LINEST VARS'!$I$50*($AM$8*4)+'LINEST VARS'!$H$50*($AM$8*0.5)+'LINEST VARS'!$G$50*($AM$8*12.73)+'LINEST VARS'!$F$50*($Z11*4)+'LINEST VARS'!$E$50*($Z11*0.5)+'LINEST VARS'!$D$50*($Z11*12.73)+'LINEST VARS'!$C$50*(4*0.5)+'LINEST VARS'!$B$50*(4*12.73)+'LINEST VARS'!$A$50*(0.5*12.73)</f>
        <v>330.97999999999985</v>
      </c>
      <c r="AN11" s="46">
        <f>'LINEST VARS'!$U$50+'LINEST VARS'!$T$50*($AN$8)+'LINEST VARS'!$S$50*($Z11)+'LINEST VARS'!$R$50*(4)+'LINEST VARS'!$Q$50*(0.5)+'LINEST VARS'!$P$50*(12.73)+'LINEST VARS'!$O$50*($AN$8^2)+'LINEST VARS'!$N$50*($Z11^2)+'LINEST VARS'!$M$50*(4^2)+'LINEST VARS'!$L$50*(0.5^2)+'LINEST VARS'!$K$50*(12.73^2)+'LINEST VARS'!$J$50*($AN$8*$Z11)+'LINEST VARS'!$I$50*($AN$8*4)+'LINEST VARS'!$H$50*($AN$8*0.5)+'LINEST VARS'!$G$50*($AN$8*12.73)+'LINEST VARS'!$F$50*($Z11*4)+'LINEST VARS'!$E$50*($Z11*0.5)+'LINEST VARS'!$D$50*($Z11*12.73)+'LINEST VARS'!$C$50*(4*0.5)+'LINEST VARS'!$B$50*(4*12.73)+'LINEST VARS'!$A$50*(0.5*12.73)</f>
        <v>331.06999999999982</v>
      </c>
      <c r="AO11" s="46">
        <f>'LINEST VARS'!$U$50+'LINEST VARS'!$T$50*($AO$8)+'LINEST VARS'!$S$50*($Z11)+'LINEST VARS'!$R$50*(4)+'LINEST VARS'!$Q$50*(0.5)+'LINEST VARS'!$P$50*(12.73)+'LINEST VARS'!$O$50*($AO$8^2)+'LINEST VARS'!$N$50*($Z11^2)+'LINEST VARS'!$M$50*(4^2)+'LINEST VARS'!$L$50*(0.5^2)+'LINEST VARS'!$K$50*(12.73^2)+'LINEST VARS'!$J$50*($AO$8*$Z11)+'LINEST VARS'!$I$50*($AO$8*4)+'LINEST VARS'!$H$50*($AO$8*0.5)+'LINEST VARS'!$G$50*($AO$8*12.73)+'LINEST VARS'!$F$50*($Z11*4)+'LINEST VARS'!$E$50*($Z11*0.5)+'LINEST VARS'!$D$50*($Z11*12.73)+'LINEST VARS'!$C$50*(4*0.5)+'LINEST VARS'!$B$50*(4*12.73)+'LINEST VARS'!$A$50*(0.5*12.73)</f>
        <v>331.15999999999985</v>
      </c>
      <c r="AP11" s="46">
        <f>'LINEST VARS'!$U$50+'LINEST VARS'!$T$50*($AP$8)+'LINEST VARS'!$S$50*($Z11)+'LINEST VARS'!$R$50*(4)+'LINEST VARS'!$Q$50*(0.5)+'LINEST VARS'!$P$50*(12.73)+'LINEST VARS'!$O$50*($AP$8^2)+'LINEST VARS'!$N$50*($Z11^2)+'LINEST VARS'!$M$50*(4^2)+'LINEST VARS'!$L$50*(0.5^2)+'LINEST VARS'!$K$50*(12.73^2)+'LINEST VARS'!$J$50*($AP$8*$Z11)+'LINEST VARS'!$I$50*($AP$8*4)+'LINEST VARS'!$H$50*($AP$8*0.5)+'LINEST VARS'!$G$50*($AP$8*12.73)+'LINEST VARS'!$F$50*($Z11*4)+'LINEST VARS'!$E$50*($Z11*0.5)+'LINEST VARS'!$D$50*($Z11*12.73)+'LINEST VARS'!$C$50*(4*0.5)+'LINEST VARS'!$B$50*(4*12.73)+'LINEST VARS'!$A$50*(0.5*12.73)</f>
        <v>331.24999999999983</v>
      </c>
      <c r="AQ11" s="46">
        <f>'LINEST VARS'!$U$50+'LINEST VARS'!$T$50*($AQ$8)+'LINEST VARS'!$S$50*($Z11)+'LINEST VARS'!$R$50*(4)+'LINEST VARS'!$Q$50*(0.5)+'LINEST VARS'!$P$50*(12.73)+'LINEST VARS'!$O$50*($AQ$8^2)+'LINEST VARS'!$N$50*($Z11^2)+'LINEST VARS'!$M$50*(4^2)+'LINEST VARS'!$L$50*(0.5^2)+'LINEST VARS'!$K$50*(12.73^2)+'LINEST VARS'!$J$50*($AQ$8*$Z11)+'LINEST VARS'!$I$50*($AQ$8*4)+'LINEST VARS'!$H$50*($AQ$8*0.5)+'LINEST VARS'!$G$50*($AQ$8*12.73)+'LINEST VARS'!$F$50*($Z11*4)+'LINEST VARS'!$E$50*($Z11*0.5)+'LINEST VARS'!$D$50*($Z11*12.73)+'LINEST VARS'!$C$50*(4*0.5)+'LINEST VARS'!$B$50*(4*12.73)+'LINEST VARS'!$A$50*(0.5*12.73)</f>
        <v>331.33999999999986</v>
      </c>
      <c r="AR11" s="46">
        <f>'LINEST VARS'!$U$50+'LINEST VARS'!$T$50*($AR$8)+'LINEST VARS'!$S$50*($Z11)+'LINEST VARS'!$R$50*(4)+'LINEST VARS'!$Q$50*(0.5)+'LINEST VARS'!$P$50*(12.73)+'LINEST VARS'!$O$50*($AR$8^2)+'LINEST VARS'!$N$50*($Z11^2)+'LINEST VARS'!$M$50*(4^2)+'LINEST VARS'!$L$50*(0.5^2)+'LINEST VARS'!$K$50*(12.73^2)+'LINEST VARS'!$J$50*($AR$8*$Z11)+'LINEST VARS'!$I$50*($AR$8*4)+'LINEST VARS'!$H$50*($AR$8*0.5)+'LINEST VARS'!$G$50*($AR$8*12.73)+'LINEST VARS'!$F$50*($Z11*4)+'LINEST VARS'!$E$50*($Z11*0.5)+'LINEST VARS'!$D$50*($Z11*12.73)+'LINEST VARS'!$C$50*(4*0.5)+'LINEST VARS'!$B$50*(4*12.73)+'LINEST VARS'!$A$50*(0.5*12.73)</f>
        <v>331.42999999999984</v>
      </c>
      <c r="AS11" s="46">
        <f>'LINEST VARS'!$U$50+'LINEST VARS'!$T$50*($AS$8)+'LINEST VARS'!$S$50*($Z11)+'LINEST VARS'!$R$50*(4)+'LINEST VARS'!$Q$50*(0.5)+'LINEST VARS'!$P$50*(12.73)+'LINEST VARS'!$O$50*($AS$8^2)+'LINEST VARS'!$N$50*($Z11^2)+'LINEST VARS'!$M$50*(4^2)+'LINEST VARS'!$L$50*(0.5^2)+'LINEST VARS'!$K$50*(12.73^2)+'LINEST VARS'!$J$50*($AS$8*$Z11)+'LINEST VARS'!$I$50*($AS$8*4)+'LINEST VARS'!$H$50*($AS$8*0.5)+'LINEST VARS'!$G$50*($AS$8*12.73)+'LINEST VARS'!$F$50*($Z11*4)+'LINEST VARS'!$E$50*($Z11*0.5)+'LINEST VARS'!$D$50*($Z11*12.73)+'LINEST VARS'!$C$50*(4*0.5)+'LINEST VARS'!$B$50*(4*12.73)+'LINEST VARS'!$A$50*(0.5*12.73)</f>
        <v>331.51999999999981</v>
      </c>
      <c r="AT11" s="46">
        <f>'LINEST VARS'!$U$50+'LINEST VARS'!$T$50*($AT$8)+'LINEST VARS'!$S$50*($Z11)+'LINEST VARS'!$R$50*(4)+'LINEST VARS'!$Q$50*(0.5)+'LINEST VARS'!$P$50*(12.73)+'LINEST VARS'!$O$50*($AT$8^2)+'LINEST VARS'!$N$50*($Z11^2)+'LINEST VARS'!$M$50*(4^2)+'LINEST VARS'!$L$50*(0.5^2)+'LINEST VARS'!$K$50*(12.73^2)+'LINEST VARS'!$J$50*($AT$8*$Z11)+'LINEST VARS'!$I$50*($AT$8*4)+'LINEST VARS'!$H$50*($AT$8*0.5)+'LINEST VARS'!$G$50*($AT$8*12.73)+'LINEST VARS'!$F$50*($Z11*4)+'LINEST VARS'!$E$50*($Z11*0.5)+'LINEST VARS'!$D$50*($Z11*12.73)+'LINEST VARS'!$C$50*(4*0.5)+'LINEST VARS'!$B$50*(4*12.73)+'LINEST VARS'!$A$50*(0.5*12.73)</f>
        <v>331.60999999999984</v>
      </c>
      <c r="AU11" s="47">
        <f>'LINEST VARS'!$U$50+'LINEST VARS'!$T$50*($AU$8)+'LINEST VARS'!$S$50*($Z11)+'LINEST VARS'!$R$50*(4)+'LINEST VARS'!$Q$50*(0.5)+'LINEST VARS'!$P$50*(12.73)+'LINEST VARS'!$O$50*($AU$8^2)+'LINEST VARS'!$N$50*($Z11^2)+'LINEST VARS'!$M$50*(4^2)+'LINEST VARS'!$L$50*(0.5^2)+'LINEST VARS'!$K$50*(12.73^2)+'LINEST VARS'!$J$50*($AU$8*$Z11)+'LINEST VARS'!$I$50*($AU$8*4)+'LINEST VARS'!$H$50*($AU$8*0.5)+'LINEST VARS'!$G$50*($AU$8*12.73)+'LINEST VARS'!$F$50*($Z11*4)+'LINEST VARS'!$E$50*($Z11*0.5)+'LINEST VARS'!$D$50*($Z11*12.73)+'LINEST VARS'!$C$50*(4*0.5)+'LINEST VARS'!$B$50*(4*12.73)+'LINEST VARS'!$A$50*(0.5*12.73)</f>
        <v>331.69999999999982</v>
      </c>
      <c r="AZ11" s="45">
        <v>0.1</v>
      </c>
      <c r="BA11" s="46">
        <f>'LINEST VARS'!$U$48+'LINEST VARS'!$T$48*(8)+'LINEST VARS'!$S$48*(8)+'LINEST VARS'!$R$48*($BA$8)+'LINEST VARS'!$Q$48*($AZ11)+'LINEST VARS'!$P$48*(12.73)+'LINEST VARS'!$O$48*(8^2)+'LINEST VARS'!$N$48*(8^2)+'LINEST VARS'!$M$48*($BA$8^2)+'LINEST VARS'!$L$48*($AZ11^2)+'LINEST VARS'!$K$48*(12.73^2)+'LINEST VARS'!$J$48*(8*8)+'LINEST VARS'!$I$48*(8*$BA$8)+'LINEST VARS'!$H$48*(8*$AZ11)+'LINEST VARS'!$G$48*(8*12.73)+'LINEST VARS'!$F$48*(8*$BA$8)+'LINEST VARS'!$E$48*(8*$AZ11)+'LINEST VARS'!$D$48*(8*12.73)+'LINEST VARS'!$C$48*($BA$8*$AZ11)+'LINEST VARS'!$B$48*($BA$8*12.73)+'LINEST VARS'!$A$48*($AZ11*12.73)</f>
        <v>369.99999999999989</v>
      </c>
      <c r="BB11" s="46">
        <f>'LINEST VARS'!$U$48+'LINEST VARS'!$T$48*(8)+'LINEST VARS'!$S$48*(8)+'LINEST VARS'!$R$48*($BB$8)+'LINEST VARS'!$Q$48*($AZ11)+'LINEST VARS'!$P$48*(12.73)+'LINEST VARS'!$O$48*(8^2)+'LINEST VARS'!$N$48*(8^2)+'LINEST VARS'!$M$48*($BB$8^2)+'LINEST VARS'!$L$48*($AZ11^2)+'LINEST VARS'!$K$48*(12.73^2)+'LINEST VARS'!$J$48*(8*8)+'LINEST VARS'!$I$48*(8*$BB$8)+'LINEST VARS'!$H$48*(8*$AZ11)+'LINEST VARS'!$G$48*(8*12.73)+'LINEST VARS'!$F$48*(8*$BB$8)+'LINEST VARS'!$E$48*(8*$AZ11)+'LINEST VARS'!$D$48*(8*12.73)+'LINEST VARS'!$C$48*($BB$8*$AZ11)+'LINEST VARS'!$B$48*($BB$8*12.73)+'LINEST VARS'!$A$48*($AZ11*12.73)</f>
        <v>369.99999999999989</v>
      </c>
      <c r="BC11" s="46">
        <f>'LINEST VARS'!$U$48+'LINEST VARS'!$T$48*(8)+'LINEST VARS'!$S$48*(8)+'LINEST VARS'!$R$48*($BC$8)+'LINEST VARS'!$Q$48*($AZ11)+'LINEST VARS'!$P$48*(12.73)+'LINEST VARS'!$O$48*(8^2)+'LINEST VARS'!$N$48*(8^2)+'LINEST VARS'!$M$48*($BC$8^2)+'LINEST VARS'!$L$48*($AZ11^2)+'LINEST VARS'!$K$48*(12.73^2)+'LINEST VARS'!$J$48*(8*8)+'LINEST VARS'!$I$48*(8*$BC$8)+'LINEST VARS'!$H$48*(8*$AZ11)+'LINEST VARS'!$G$48*(8*12.73)+'LINEST VARS'!$F$48*(8*$BC$8)+'LINEST VARS'!$E$48*(8*$AZ11)+'LINEST VARS'!$D$48*(8*12.73)+'LINEST VARS'!$C$48*($BC$8*$AZ11)+'LINEST VARS'!$B$48*($BC$8*12.73)+'LINEST VARS'!$A$48*($AZ11*12.73)</f>
        <v>369.99999999999989</v>
      </c>
      <c r="BD11" s="46">
        <f>'LINEST VARS'!$U$48+'LINEST VARS'!$T$48*(8)+'LINEST VARS'!$S$48*(8)+'LINEST VARS'!$R$48*($BD$8)+'LINEST VARS'!$Q$48*($AZ11)+'LINEST VARS'!$P$48*(12.73)+'LINEST VARS'!$O$48*(8^2)+'LINEST VARS'!$N$48*(8^2)+'LINEST VARS'!$M$48*($BD$8^2)+'LINEST VARS'!$L$48*($AZ11^2)+'LINEST VARS'!$K$48*(12.73^2)+'LINEST VARS'!$J$48*(8*8)+'LINEST VARS'!$I$48*(8*$BD$8)+'LINEST VARS'!$H$48*(8*$AZ11)+'LINEST VARS'!$G$48*(8*12.73)+'LINEST VARS'!$F$48*(8*$BD$8)+'LINEST VARS'!$E$48*(8*$AZ11)+'LINEST VARS'!$D$48*(8*12.73)+'LINEST VARS'!$C$48*($BD$8*$AZ11)+'LINEST VARS'!$B$48*($BD$8*12.73)+'LINEST VARS'!$A$48*($AZ11*12.73)</f>
        <v>369.99999999999989</v>
      </c>
      <c r="BE11" s="46">
        <f>'LINEST VARS'!$U$48+'LINEST VARS'!$T$48*(8)+'LINEST VARS'!$S$48*(8)+'LINEST VARS'!$R$48*($BE$8)+'LINEST VARS'!$Q$48*($AZ11)+'LINEST VARS'!$P$48*(12.73)+'LINEST VARS'!$O$48*(8^2)+'LINEST VARS'!$N$48*(8^2)+'LINEST VARS'!$M$48*($BE$8^2)+'LINEST VARS'!$L$48*($AZ11^2)+'LINEST VARS'!$K$48*(12.73^2)+'LINEST VARS'!$J$48*(8*8)+'LINEST VARS'!$I$48*(8*$BE$8)+'LINEST VARS'!$H$48*(8*$AZ11)+'LINEST VARS'!$G$48*(8*12.73)+'LINEST VARS'!$F$48*(8*$BE$8)+'LINEST VARS'!$E$48*(8*$AZ11)+'LINEST VARS'!$D$48*(8*12.73)+'LINEST VARS'!$C$48*($BE$8*$AZ11)+'LINEST VARS'!$B$48*($BE$8*12.73)+'LINEST VARS'!$A$48*($AZ11*12.73)</f>
        <v>369.99999999999989</v>
      </c>
      <c r="BF11" s="46">
        <f>'LINEST VARS'!$U$48+'LINEST VARS'!$T$48*(8)+'LINEST VARS'!$S$48*(8)+'LINEST VARS'!$R$48*($BF$8)+'LINEST VARS'!$Q$48*($AZ11)+'LINEST VARS'!$P$48*(12.73)+'LINEST VARS'!$O$48*(8^2)+'LINEST VARS'!$N$48*(8^2)+'LINEST VARS'!$M$48*($BF$8^2)+'LINEST VARS'!$L$48*($AZ11^2)+'LINEST VARS'!$K$48*(12.73^2)+'LINEST VARS'!$J$48*(8*8)+'LINEST VARS'!$I$48*(8*$BF$8)+'LINEST VARS'!$H$48*(8*$AZ11)+'LINEST VARS'!$G$48*(8*12.73)+'LINEST VARS'!$F$48*(8*$BF$8)+'LINEST VARS'!$E$48*(8*$AZ11)+'LINEST VARS'!$D$48*(8*12.73)+'LINEST VARS'!$C$48*($BF$8*$AZ11)+'LINEST VARS'!$B$48*($BF$8*12.73)+'LINEST VARS'!$A$48*($AZ11*12.73)</f>
        <v>369.99999999999989</v>
      </c>
      <c r="BG11" s="46">
        <f>'LINEST VARS'!$U$48+'LINEST VARS'!$T$48*(8)+'LINEST VARS'!$S$48*(8)+'LINEST VARS'!$R$48*($BG$8)+'LINEST VARS'!$Q$48*($AZ11)+'LINEST VARS'!$P$48*(12.73)+'LINEST VARS'!$O$48*(8^2)+'LINEST VARS'!$N$48*(8^2)+'LINEST VARS'!$M$48*($BG$8^2)+'LINEST VARS'!$L$48*($AZ11^2)+'LINEST VARS'!$K$48*(12.73^2)+'LINEST VARS'!$J$48*(8*8)+'LINEST VARS'!$I$48*(8*$BG$8)+'LINEST VARS'!$H$48*(8*$AZ11)+'LINEST VARS'!$G$48*(8*12.73)+'LINEST VARS'!$F$48*(8*$BG$8)+'LINEST VARS'!$E$48*(8*$AZ11)+'LINEST VARS'!$D$48*(8*12.73)+'LINEST VARS'!$C$48*($BG$8*$AZ11)+'LINEST VARS'!$B$48*($BG$8*12.73)+'LINEST VARS'!$A$48*($AZ11*12.73)</f>
        <v>369.99999999999989</v>
      </c>
      <c r="BH11" s="46">
        <f>'LINEST VARS'!$U$48+'LINEST VARS'!$T$48*(8)+'LINEST VARS'!$S$48*(8)+'LINEST VARS'!$R$48*($BH$8)+'LINEST VARS'!$Q$48*($AZ11)+'LINEST VARS'!$P$48*(12.73)+'LINEST VARS'!$O$48*(8^2)+'LINEST VARS'!$N$48*(8^2)+'LINEST VARS'!$M$48*($BH$8^2)+'LINEST VARS'!$L$48*($AZ11^2)+'LINEST VARS'!$K$48*(12.73^2)+'LINEST VARS'!$J$48*(8*8)+'LINEST VARS'!$I$48*(8*$BH$8)+'LINEST VARS'!$H$48*(8*$AZ11)+'LINEST VARS'!$G$48*(8*12.73)+'LINEST VARS'!$F$48*(8*$BH$8)+'LINEST VARS'!$E$48*(8*$AZ11)+'LINEST VARS'!$D$48*(8*12.73)+'LINEST VARS'!$C$48*($BH$8*$AZ11)+'LINEST VARS'!$B$48*($BH$8*12.73)+'LINEST VARS'!$A$48*($AZ11*12.73)</f>
        <v>369.99999999999983</v>
      </c>
      <c r="BI11" s="46">
        <f>'LINEST VARS'!$U$48+'LINEST VARS'!$T$48*(8)+'LINEST VARS'!$S$48*(8)+'LINEST VARS'!$R$48*($BI$8)+'LINEST VARS'!$Q$48*($AZ11)+'LINEST VARS'!$P$48*(12.73)+'LINEST VARS'!$O$48*(8^2)+'LINEST VARS'!$N$48*(8^2)+'LINEST VARS'!$M$48*($BI$8^2)+'LINEST VARS'!$L$48*($AZ11^2)+'LINEST VARS'!$K$48*(12.73^2)+'LINEST VARS'!$J$48*(8*8)+'LINEST VARS'!$I$48*(8*$BI$8)+'LINEST VARS'!$H$48*(8*$AZ11)+'LINEST VARS'!$G$48*(8*12.73)+'LINEST VARS'!$F$48*(8*$BI$8)+'LINEST VARS'!$E$48*(8*$AZ11)+'LINEST VARS'!$D$48*(8*12.73)+'LINEST VARS'!$C$48*($BI$8*$AZ11)+'LINEST VARS'!$B$48*($BI$8*12.73)+'LINEST VARS'!$A$48*($AZ11*12.73)</f>
        <v>369.99999999999983</v>
      </c>
      <c r="BJ11" s="46">
        <f>'LINEST VARS'!$U$48+'LINEST VARS'!$T$48*(8)+'LINEST VARS'!$S$48*(8)+'LINEST VARS'!$R$48*($BJ$8)+'LINEST VARS'!$Q$48*($AZ11)+'LINEST VARS'!$P$48*(12.73)+'LINEST VARS'!$O$48*(8^2)+'LINEST VARS'!$N$48*(8^2)+'LINEST VARS'!$M$48*($BJ$8^2)+'LINEST VARS'!$L$48*($AZ11^2)+'LINEST VARS'!$K$48*(12.73^2)+'LINEST VARS'!$J$48*(8*8)+'LINEST VARS'!$I$48*(8*$BJ$8)+'LINEST VARS'!$H$48*(8*$AZ11)+'LINEST VARS'!$G$48*(8*12.73)+'LINEST VARS'!$F$48*(8*$BJ$8)+'LINEST VARS'!$E$48*(8*$AZ11)+'LINEST VARS'!$D$48*(8*12.73)+'LINEST VARS'!$C$48*($BJ$8*$AZ11)+'LINEST VARS'!$B$48*($BJ$8*12.73)+'LINEST VARS'!$A$48*($AZ11*12.73)</f>
        <v>369.99999999999983</v>
      </c>
      <c r="BK11" s="46">
        <f>'LINEST VARS'!$U$48+'LINEST VARS'!$T$48*(8)+'LINEST VARS'!$S$48*(8)+'LINEST VARS'!$R$48*($BK$8)+'LINEST VARS'!$Q$48*($AZ11)+'LINEST VARS'!$P$48*(12.73)+'LINEST VARS'!$O$48*(8^2)+'LINEST VARS'!$N$48*(8^2)+'LINEST VARS'!$M$48*($BK$8^2)+'LINEST VARS'!$L$48*($AZ11^2)+'LINEST VARS'!$K$48*(12.73^2)+'LINEST VARS'!$J$48*(8*8)+'LINEST VARS'!$I$48*(8*$BK$8)+'LINEST VARS'!$H$48*(8*$AZ11)+'LINEST VARS'!$G$48*(8*12.73)+'LINEST VARS'!$F$48*(8*$BK$8)+'LINEST VARS'!$E$48*(8*$AZ11)+'LINEST VARS'!$D$48*(8*12.73)+'LINEST VARS'!$C$48*($BK$8*$AZ11)+'LINEST VARS'!$B$48*($BK$8*12.73)+'LINEST VARS'!$A$48*($AZ11*12.73)</f>
        <v>369.99999999999983</v>
      </c>
      <c r="BL11" s="46">
        <f>'LINEST VARS'!$U$48+'LINEST VARS'!$T$48*(8)+'LINEST VARS'!$S$48*(8)+'LINEST VARS'!$R$48*($BL$8)+'LINEST VARS'!$Q$48*($AZ11)+'LINEST VARS'!$P$48*(12.73)+'LINEST VARS'!$O$48*(8^2)+'LINEST VARS'!$N$48*(8^2)+'LINEST VARS'!$M$48*($BL$8^2)+'LINEST VARS'!$L$48*($AZ11^2)+'LINEST VARS'!$K$48*(12.73^2)+'LINEST VARS'!$J$48*(8*8)+'LINEST VARS'!$I$48*(8*$BL$8)+'LINEST VARS'!$H$48*(8*$AZ11)+'LINEST VARS'!$G$48*(8*12.73)+'LINEST VARS'!$F$48*(8*$BL$8)+'LINEST VARS'!$E$48*(8*$AZ11)+'LINEST VARS'!$D$48*(8*12.73)+'LINEST VARS'!$C$48*($BL$8*$AZ11)+'LINEST VARS'!$B$48*($BL$8*12.73)+'LINEST VARS'!$A$48*($AZ11*12.73)</f>
        <v>369.99999999999983</v>
      </c>
      <c r="BM11" s="46">
        <f>'LINEST VARS'!$U$48+'LINEST VARS'!$T$48*(8)+'LINEST VARS'!$S$48*(8)+'LINEST VARS'!$R$48*($BM$8)+'LINEST VARS'!$Q$48*($AZ11)+'LINEST VARS'!$P$48*(12.73)+'LINEST VARS'!$O$48*(8^2)+'LINEST VARS'!$N$48*(8^2)+'LINEST VARS'!$M$48*($BM$8^2)+'LINEST VARS'!$L$48*($AZ11^2)+'LINEST VARS'!$K$48*(12.73^2)+'LINEST VARS'!$J$48*(8*8)+'LINEST VARS'!$I$48*(8*$BM$8)+'LINEST VARS'!$H$48*(8*$AZ11)+'LINEST VARS'!$G$48*(8*12.73)+'LINEST VARS'!$F$48*(8*$BM$8)+'LINEST VARS'!$E$48*(8*$AZ11)+'LINEST VARS'!$D$48*(8*12.73)+'LINEST VARS'!$C$48*($BM$8*$AZ11)+'LINEST VARS'!$B$48*($BM$8*12.73)+'LINEST VARS'!$A$48*($AZ11*12.73)</f>
        <v>369.99999999999983</v>
      </c>
      <c r="BN11" s="46">
        <f>'LINEST VARS'!$U$48+'LINEST VARS'!$T$48*(8)+'LINEST VARS'!$S$48*(8)+'LINEST VARS'!$R$48*($BN$8)+'LINEST VARS'!$Q$48*($AZ11)+'LINEST VARS'!$P$48*(12.73)+'LINEST VARS'!$O$48*(8^2)+'LINEST VARS'!$N$48*(8^2)+'LINEST VARS'!$M$48*($BN$8^2)+'LINEST VARS'!$L$48*($AZ11^2)+'LINEST VARS'!$K$48*(12.73^2)+'LINEST VARS'!$J$48*(8*8)+'LINEST VARS'!$I$48*(8*$BN$8)+'LINEST VARS'!$H$48*(8*$AZ11)+'LINEST VARS'!$G$48*(8*12.73)+'LINEST VARS'!$F$48*(8*$BN$8)+'LINEST VARS'!$E$48*(8*$AZ11)+'LINEST VARS'!$D$48*(8*12.73)+'LINEST VARS'!$C$48*($BN$8*$AZ11)+'LINEST VARS'!$B$48*($BN$8*12.73)+'LINEST VARS'!$A$48*($AZ11*12.73)</f>
        <v>369.99999999999989</v>
      </c>
      <c r="BO11" s="46">
        <f>'LINEST VARS'!$U$48+'LINEST VARS'!$T$48*(8)+'LINEST VARS'!$S$48*(8)+'LINEST VARS'!$R$48*($BO$8)+'LINEST VARS'!$Q$48*($AZ11)+'LINEST VARS'!$P$48*(12.73)+'LINEST VARS'!$O$48*(8^2)+'LINEST VARS'!$N$48*(8^2)+'LINEST VARS'!$M$48*($BO$8^2)+'LINEST VARS'!$L$48*($AZ11^2)+'LINEST VARS'!$K$48*(12.73^2)+'LINEST VARS'!$J$48*(8*8)+'LINEST VARS'!$I$48*(8*$BO$8)+'LINEST VARS'!$H$48*(8*$AZ11)+'LINEST VARS'!$G$48*(8*12.73)+'LINEST VARS'!$F$48*(8*$BO$8)+'LINEST VARS'!$E$48*(8*$AZ11)+'LINEST VARS'!$D$48*(8*12.73)+'LINEST VARS'!$C$48*($BO$8*$AZ11)+'LINEST VARS'!$B$48*($BO$8*12.73)+'LINEST VARS'!$A$48*($AZ11*12.73)</f>
        <v>369.99999999999989</v>
      </c>
      <c r="BP11" s="46">
        <f>'LINEST VARS'!$U$48+'LINEST VARS'!$T$48*(8)+'LINEST VARS'!$S$48*(8)+'LINEST VARS'!$R$48*($BP$8)+'LINEST VARS'!$Q$48*($AZ11)+'LINEST VARS'!$P$48*(12.73)+'LINEST VARS'!$O$48*(8^2)+'LINEST VARS'!$N$48*(8^2)+'LINEST VARS'!$M$48*($BP$8^2)+'LINEST VARS'!$L$48*($AZ11^2)+'LINEST VARS'!$K$48*(12.73^2)+'LINEST VARS'!$J$48*(8*8)+'LINEST VARS'!$I$48*(8*$BP$8)+'LINEST VARS'!$H$48*(8*$AZ11)+'LINEST VARS'!$G$48*(8*12.73)+'LINEST VARS'!$F$48*(8*$BP$8)+'LINEST VARS'!$E$48*(8*$AZ11)+'LINEST VARS'!$D$48*(8*12.73)+'LINEST VARS'!$C$48*($BP$8*$AZ11)+'LINEST VARS'!$B$48*($BP$8*12.73)+'LINEST VARS'!$A$48*($AZ11*12.73)</f>
        <v>369.99999999999989</v>
      </c>
      <c r="BQ11" s="46">
        <f>'LINEST VARS'!$U$48+'LINEST VARS'!$T$48*(8)+'LINEST VARS'!$S$48*(8)+'LINEST VARS'!$R$48*($BQ$8)+'LINEST VARS'!$Q$48*($AZ11)+'LINEST VARS'!$P$48*(12.73)+'LINEST VARS'!$O$48*(8^2)+'LINEST VARS'!$N$48*(8^2)+'LINEST VARS'!$M$48*($BQ$8^2)+'LINEST VARS'!$L$48*($AZ11^2)+'LINEST VARS'!$K$48*(12.73^2)+'LINEST VARS'!$J$48*(8*8)+'LINEST VARS'!$I$48*(8*$BQ$8)+'LINEST VARS'!$H$48*(8*$AZ11)+'LINEST VARS'!$G$48*(8*12.73)+'LINEST VARS'!$F$48*(8*$BQ$8)+'LINEST VARS'!$E$48*(8*$AZ11)+'LINEST VARS'!$D$48*(8*12.73)+'LINEST VARS'!$C$48*($BQ$8*$AZ11)+'LINEST VARS'!$B$48*($BQ$8*12.73)+'LINEST VARS'!$A$48*($AZ11*12.73)</f>
        <v>369.99999999999983</v>
      </c>
      <c r="BR11" s="46">
        <f>'LINEST VARS'!$U$48+'LINEST VARS'!$T$48*(8)+'LINEST VARS'!$S$48*(8)+'LINEST VARS'!$R$48*($BR$8)+'LINEST VARS'!$Q$48*($AZ11)+'LINEST VARS'!$P$48*(12.73)+'LINEST VARS'!$O$48*(8^2)+'LINEST VARS'!$N$48*(8^2)+'LINEST VARS'!$M$48*($BR$8^2)+'LINEST VARS'!$L$48*($AZ11^2)+'LINEST VARS'!$K$48*(12.73^2)+'LINEST VARS'!$J$48*(8*8)+'LINEST VARS'!$I$48*(8*$BR$8)+'LINEST VARS'!$H$48*(8*$AZ11)+'LINEST VARS'!$G$48*(8*12.73)+'LINEST VARS'!$F$48*(8*$BR$8)+'LINEST VARS'!$E$48*(8*$AZ11)+'LINEST VARS'!$D$48*(8*12.73)+'LINEST VARS'!$C$48*($BR$8*$AZ11)+'LINEST VARS'!$B$48*($BR$8*12.73)+'LINEST VARS'!$A$48*($AZ11*12.73)</f>
        <v>369.99999999999983</v>
      </c>
      <c r="BS11" s="46">
        <f>'LINEST VARS'!$U$48+'LINEST VARS'!$T$48*(8)+'LINEST VARS'!$S$48*(8)+'LINEST VARS'!$R$48*($BS$8)+'LINEST VARS'!$Q$48*($AZ11)+'LINEST VARS'!$P$48*(12.73)+'LINEST VARS'!$O$48*(8^2)+'LINEST VARS'!$N$48*(8^2)+'LINEST VARS'!$M$48*($BS$8^2)+'LINEST VARS'!$L$48*($AZ11^2)+'LINEST VARS'!$K$48*(12.73^2)+'LINEST VARS'!$J$48*(8*8)+'LINEST VARS'!$I$48*(8*$BS$8)+'LINEST VARS'!$H$48*(8*$AZ11)+'LINEST VARS'!$G$48*(8*12.73)+'LINEST VARS'!$F$48*(8*$BS$8)+'LINEST VARS'!$E$48*(8*$AZ11)+'LINEST VARS'!$D$48*(8*12.73)+'LINEST VARS'!$C$48*($BS$8*$AZ11)+'LINEST VARS'!$B$48*($BS$8*12.73)+'LINEST VARS'!$A$48*($AZ11*12.73)</f>
        <v>369.99999999999983</v>
      </c>
      <c r="BT11" s="46">
        <f>'LINEST VARS'!$U$48+'LINEST VARS'!$T$48*(8)+'LINEST VARS'!$S$48*(8)+'LINEST VARS'!$R$48*($BT$8)+'LINEST VARS'!$Q$48*($AZ11)+'LINEST VARS'!$P$48*(12.73)+'LINEST VARS'!$O$48*(8^2)+'LINEST VARS'!$N$48*(8^2)+'LINEST VARS'!$M$48*($BT$8^2)+'LINEST VARS'!$L$48*($AZ11^2)+'LINEST VARS'!$K$48*(12.73^2)+'LINEST VARS'!$J$48*(8*8)+'LINEST VARS'!$I$48*(8*$BT$8)+'LINEST VARS'!$H$48*(8*$AZ11)+'LINEST VARS'!$G$48*(8*12.73)+'LINEST VARS'!$F$48*(8*$BT$8)+'LINEST VARS'!$E$48*(8*$AZ11)+'LINEST VARS'!$D$48*(8*12.73)+'LINEST VARS'!$C$48*($BT$8*$AZ11)+'LINEST VARS'!$B$48*($BT$8*12.73)+'LINEST VARS'!$A$48*($AZ11*12.73)</f>
        <v>369.99999999999983</v>
      </c>
      <c r="BU11" s="47">
        <f>'LINEST VARS'!$U$48+'LINEST VARS'!$T$48*(8)+'LINEST VARS'!$S$48*(8)+'LINEST VARS'!$R$48*($BU$8)+'LINEST VARS'!$Q$48*($AZ11)+'LINEST VARS'!$P$48*(12.73)+'LINEST VARS'!$O$48*(8^2)+'LINEST VARS'!$N$48*(8^2)+'LINEST VARS'!$M$48*($BU$8^2)+'LINEST VARS'!$L$48*($AZ11^2)+'LINEST VARS'!$K$48*(12.73^2)+'LINEST VARS'!$J$48*(8*8)+'LINEST VARS'!$I$48*(8*$BU$8)+'LINEST VARS'!$H$48*(8*$AZ11)+'LINEST VARS'!$G$48*(8*12.73)+'LINEST VARS'!$F$48*(8*$BU$8)+'LINEST VARS'!$E$48*(8*$AZ11)+'LINEST VARS'!$D$48*(8*12.73)+'LINEST VARS'!$C$48*($BU$8*$AZ11)+'LINEST VARS'!$B$48*($BU$8*12.73)+'LINEST VARS'!$A$48*($AZ11*12.73)</f>
        <v>369.99999999999983</v>
      </c>
      <c r="BX11" s="45">
        <v>0.1</v>
      </c>
      <c r="BY11" s="46">
        <f>'LINEST VARS'!$U$50+'LINEST VARS'!$T$50*(8)+'LINEST VARS'!$S$50*(8)+'LINEST VARS'!$R$50*($BY$8)+'LINEST VARS'!$Q$50*($BX11)+'LINEST VARS'!$P$50*(12.73)+'LINEST VARS'!$O$50*(8^2)+'LINEST VARS'!$N$50*(8^2)+'LINEST VARS'!$M$50*($BY$8^2)+'LINEST VARS'!$L$50*($BX11^2)+'LINEST VARS'!$K$50*(12.73^2)+'LINEST VARS'!$J$50*(8*8)+'LINEST VARS'!$I$50*(8*$BY$8)+'LINEST VARS'!$H$50*(8*$BX11)+'LINEST VARS'!$G$50*(8*12.73)+'LINEST VARS'!$F$50*(8*$BY$8)+'LINEST VARS'!$E$50*(8*$BX11)+'LINEST VARS'!$D$50*(8*12.73)+'LINEST VARS'!$C$50*($BY$8*$BX11)+'LINEST VARS'!$B$50*($BY$8*12.73)+'LINEST VARS'!$A$50*($BX11*12.73)</f>
        <v>331.99999999999989</v>
      </c>
      <c r="BZ11" s="46">
        <f>'LINEST VARS'!$U$50+'LINEST VARS'!$T$50*(8)+'LINEST VARS'!$S$50*(8)+'LINEST VARS'!$R$50*($BZ$8)+'LINEST VARS'!$Q$50*($BX11)+'LINEST VARS'!$P$50*(12.73)+'LINEST VARS'!$O$50*(8^2)+'LINEST VARS'!$N$50*(8^2)+'LINEST VARS'!$M$50*($BZ$8^2)+'LINEST VARS'!$L$50*($BX11^2)+'LINEST VARS'!$K$50*(12.73^2)+'LINEST VARS'!$J$50*(8*8)+'LINEST VARS'!$I$50*(8*$BZ$8)+'LINEST VARS'!$H$50*(8*$BX11)+'LINEST VARS'!$G$50*(8*12.73)+'LINEST VARS'!$F$50*(8*$BZ$8)+'LINEST VARS'!$E$50*(8*$BX11)+'LINEST VARS'!$D$50*(8*12.73)+'LINEST VARS'!$C$50*($BZ$8*$BX11)+'LINEST VARS'!$B$50*($BZ$8*12.73)+'LINEST VARS'!$A$50*($BX11*12.73)</f>
        <v>331.99999999999989</v>
      </c>
      <c r="CA11" s="46">
        <f>'LINEST VARS'!$U$50+'LINEST VARS'!$T$50*(8)+'LINEST VARS'!$S$50*(8)+'LINEST VARS'!$R$50*($CA$8)+'LINEST VARS'!$Q$50*($BX11)+'LINEST VARS'!$P$50*(12.73)+'LINEST VARS'!$O$50*(8^2)+'LINEST VARS'!$N$50*(8^2)+'LINEST VARS'!$M$50*($CA$8^2)+'LINEST VARS'!$L$50*($BX11^2)+'LINEST VARS'!$K$50*(12.73^2)+'LINEST VARS'!$J$50*(8*8)+'LINEST VARS'!$I$50*(8*$CA$8)+'LINEST VARS'!$H$50*(8*$BX11)+'LINEST VARS'!$G$50*(8*12.73)+'LINEST VARS'!$F$50*(8*$CA$8)+'LINEST VARS'!$E$50*(8*$BX11)+'LINEST VARS'!$D$50*(8*12.73)+'LINEST VARS'!$C$50*($CA$8*$BX11)+'LINEST VARS'!$B$50*($CA$8*12.73)+'LINEST VARS'!$A$50*($BX11*12.73)</f>
        <v>331.99999999999989</v>
      </c>
      <c r="CB11" s="46">
        <f>'LINEST VARS'!$U$50+'LINEST VARS'!$T$50*(8)+'LINEST VARS'!$S$50*(8)+'LINEST VARS'!$R$50*($CB$8)+'LINEST VARS'!$Q$50*($BX11)+'LINEST VARS'!$P$50*(12.73)+'LINEST VARS'!$O$50*(8^2)+'LINEST VARS'!$N$50*(8^2)+'LINEST VARS'!$M$50*($CB$8^2)+'LINEST VARS'!$L$50*($BX11^2)+'LINEST VARS'!$K$50*(12.73^2)+'LINEST VARS'!$J$50*(8*8)+'LINEST VARS'!$I$50*(8*$CB$8)+'LINEST VARS'!$H$50*(8*$BX11)+'LINEST VARS'!$G$50*(8*12.73)+'LINEST VARS'!$F$50*(8*$CB$8)+'LINEST VARS'!$E$50*(8*$BX11)+'LINEST VARS'!$D$50*(8*12.73)+'LINEST VARS'!$C$50*($CB$8*$BX11)+'LINEST VARS'!$B$50*($CB$8*12.73)+'LINEST VARS'!$A$50*($BX11*12.73)</f>
        <v>331.99999999999989</v>
      </c>
      <c r="CC11" s="46">
        <f>'LINEST VARS'!$U$50+'LINEST VARS'!$T$50*(8)+'LINEST VARS'!$S$50*(8)+'LINEST VARS'!$R$50*($CC$8)+'LINEST VARS'!$Q$50*($BX11)+'LINEST VARS'!$P$50*(12.73)+'LINEST VARS'!$O$50*(8^2)+'LINEST VARS'!$N$50*(8^2)+'LINEST VARS'!$M$50*($CC$8^2)+'LINEST VARS'!$L$50*($BX11^2)+'LINEST VARS'!$K$50*(12.73^2)+'LINEST VARS'!$J$50*(8*8)+'LINEST VARS'!$I$50*(8*$CC$8)+'LINEST VARS'!$H$50*(8*$BX11)+'LINEST VARS'!$G$50*(8*12.73)+'LINEST VARS'!$F$50*(8*$CC$8)+'LINEST VARS'!$E$50*(8*$BX11)+'LINEST VARS'!$D$50*(8*12.73)+'LINEST VARS'!$C$50*($CC$8*$BX11)+'LINEST VARS'!$B$50*($CC$8*12.73)+'LINEST VARS'!$A$50*($BX11*12.73)</f>
        <v>331.99999999999989</v>
      </c>
      <c r="CD11" s="46">
        <f>'LINEST VARS'!$U$50+'LINEST VARS'!$T$50*(8)+'LINEST VARS'!$S$50*(8)+'LINEST VARS'!$R$50*($CD$8)+'LINEST VARS'!$Q$50*($BX11)+'LINEST VARS'!$P$50*(12.73)+'LINEST VARS'!$O$50*(8^2)+'LINEST VARS'!$N$50*(8^2)+'LINEST VARS'!$M$50*($CD$8^2)+'LINEST VARS'!$L$50*($BX11^2)+'LINEST VARS'!$K$50*(12.73^2)+'LINEST VARS'!$J$50*(8*8)+'LINEST VARS'!$I$50*(8*$CD$8)+'LINEST VARS'!$H$50*(8*$BX11)+'LINEST VARS'!$G$50*(8*12.73)+'LINEST VARS'!$F$50*(8*$CD$8)+'LINEST VARS'!$E$50*(8*$BX11)+'LINEST VARS'!$D$50*(8*12.73)+'LINEST VARS'!$C$50*($CD$8*$BX11)+'LINEST VARS'!$B$50*($CD$8*12.73)+'LINEST VARS'!$A$50*($BX11*12.73)</f>
        <v>331.99999999999989</v>
      </c>
      <c r="CE11" s="46">
        <f>'LINEST VARS'!$U$50+'LINEST VARS'!$T$50*(8)+'LINEST VARS'!$S$50*(8)+'LINEST VARS'!$R$50*($CE$8)+'LINEST VARS'!$Q$50*($BX11)+'LINEST VARS'!$P$50*(12.73)+'LINEST VARS'!$O$50*(8^2)+'LINEST VARS'!$N$50*(8^2)+'LINEST VARS'!$M$50*($CE$8^2)+'LINEST VARS'!$L$50*($BX11^2)+'LINEST VARS'!$K$50*(12.73^2)+'LINEST VARS'!$J$50*(8*8)+'LINEST VARS'!$I$50*(8*$CE$8)+'LINEST VARS'!$H$50*(8*$BX11)+'LINEST VARS'!$G$50*(8*12.73)+'LINEST VARS'!$F$50*(8*$CE$8)+'LINEST VARS'!$E$50*(8*$BX11)+'LINEST VARS'!$D$50*(8*12.73)+'LINEST VARS'!$C$50*($CE$8*$BX11)+'LINEST VARS'!$B$50*($CE$8*12.73)+'LINEST VARS'!$A$50*($BX11*12.73)</f>
        <v>331.99999999999989</v>
      </c>
      <c r="CF11" s="46">
        <f>'LINEST VARS'!$U$50+'LINEST VARS'!$T$50*(8)+'LINEST VARS'!$S$50*(8)+'LINEST VARS'!$R$50*($CF$8)+'LINEST VARS'!$Q$50*($BX11)+'LINEST VARS'!$P$50*(12.73)+'LINEST VARS'!$O$50*(8^2)+'LINEST VARS'!$N$50*(8^2)+'LINEST VARS'!$M$50*($CF$8^2)+'LINEST VARS'!$L$50*($BX11^2)+'LINEST VARS'!$K$50*(12.73^2)+'LINEST VARS'!$J$50*(8*8)+'LINEST VARS'!$I$50*(8*$CF$8)+'LINEST VARS'!$H$50*(8*$BX11)+'LINEST VARS'!$G$50*(8*12.73)+'LINEST VARS'!$F$50*(8*$CF$8)+'LINEST VARS'!$E$50*(8*$BX11)+'LINEST VARS'!$D$50*(8*12.73)+'LINEST VARS'!$C$50*($CF$8*$BX11)+'LINEST VARS'!$B$50*($CF$8*12.73)+'LINEST VARS'!$A$50*($BX11*12.73)</f>
        <v>331.99999999999989</v>
      </c>
      <c r="CG11" s="46">
        <f>'LINEST VARS'!$U$50+'LINEST VARS'!$T$50*(8)+'LINEST VARS'!$S$50*(8)+'LINEST VARS'!$R$50*($CG$8)+'LINEST VARS'!$Q$50*($BX11)+'LINEST VARS'!$P$50*(12.73)+'LINEST VARS'!$O$50*(8^2)+'LINEST VARS'!$N$50*(8^2)+'LINEST VARS'!$M$50*($CG$8^2)+'LINEST VARS'!$L$50*($BX11^2)+'LINEST VARS'!$K$50*(12.73^2)+'LINEST VARS'!$J$50*(8*8)+'LINEST VARS'!$I$50*(8*$CG$8)+'LINEST VARS'!$H$50*(8*$BX11)+'LINEST VARS'!$G$50*(8*12.73)+'LINEST VARS'!$F$50*(8*$CG$8)+'LINEST VARS'!$E$50*(8*$BX11)+'LINEST VARS'!$D$50*(8*12.73)+'LINEST VARS'!$C$50*($CG$8*$BX11)+'LINEST VARS'!$B$50*($CG$8*12.73)+'LINEST VARS'!$A$50*($BX11*12.73)</f>
        <v>331.99999999999989</v>
      </c>
      <c r="CH11" s="46">
        <f>'LINEST VARS'!$U$50+'LINEST VARS'!$T$50*(8)+'LINEST VARS'!$S$50*(8)+'LINEST VARS'!$R$50*($CH$8)+'LINEST VARS'!$Q$50*($BX11)+'LINEST VARS'!$P$50*(12.73)+'LINEST VARS'!$O$50*(8^2)+'LINEST VARS'!$N$50*(8^2)+'LINEST VARS'!$M$50*($CH$8^2)+'LINEST VARS'!$L$50*($BX11^2)+'LINEST VARS'!$K$50*(12.73^2)+'LINEST VARS'!$J$50*(8*8)+'LINEST VARS'!$I$50*(8*$CH$8)+'LINEST VARS'!$H$50*(8*$BX11)+'LINEST VARS'!$G$50*(8*12.73)+'LINEST VARS'!$F$50*(8*$CH$8)+'LINEST VARS'!$E$50*(8*$BX11)+'LINEST VARS'!$D$50*(8*12.73)+'LINEST VARS'!$C$50*($CH$8*$BX11)+'LINEST VARS'!$B$50*($CH$8*12.73)+'LINEST VARS'!$A$50*($BX11*12.73)</f>
        <v>331.99999999999989</v>
      </c>
      <c r="CI11" s="46">
        <f>'LINEST VARS'!$U$50+'LINEST VARS'!$T$50*(8)+'LINEST VARS'!$S$50*(8)+'LINEST VARS'!$R$50*($CI$8)+'LINEST VARS'!$Q$50*($BX11)+'LINEST VARS'!$P$50*(12.73)+'LINEST VARS'!$O$50*(8^2)+'LINEST VARS'!$N$50*(8^2)+'LINEST VARS'!$M$50*($CI$8^2)+'LINEST VARS'!$L$50*($BX11^2)+'LINEST VARS'!$K$50*(12.73^2)+'LINEST VARS'!$J$50*(8*8)+'LINEST VARS'!$I$50*(8*$CI$8)+'LINEST VARS'!$H$50*(8*$BX11)+'LINEST VARS'!$G$50*(8*12.73)+'LINEST VARS'!$F$50*(8*$CI$8)+'LINEST VARS'!$E$50*(8*$BX11)+'LINEST VARS'!$D$50*(8*12.73)+'LINEST VARS'!$C$50*($CI$8*$BX11)+'LINEST VARS'!$B$50*($CI$8*12.73)+'LINEST VARS'!$A$50*($BX11*12.73)</f>
        <v>331.99999999999989</v>
      </c>
      <c r="CJ11" s="46">
        <f>'LINEST VARS'!$U$50+'LINEST VARS'!$T$50*(8)+'LINEST VARS'!$S$50*(8)+'LINEST VARS'!$R$50*($CJ$8)+'LINEST VARS'!$Q$50*($BX11)+'LINEST VARS'!$P$50*(12.73)+'LINEST VARS'!$O$50*(8^2)+'LINEST VARS'!$N$50*(8^2)+'LINEST VARS'!$M$50*($CJ$8^2)+'LINEST VARS'!$L$50*($BX11^2)+'LINEST VARS'!$K$50*(12.73^2)+'LINEST VARS'!$J$50*(8*8)+'LINEST VARS'!$I$50*(8*$CJ$8)+'LINEST VARS'!$H$50*(8*$BX11)+'LINEST VARS'!$G$50*(8*12.73)+'LINEST VARS'!$F$50*(8*$CJ$8)+'LINEST VARS'!$E$50*(8*$BX11)+'LINEST VARS'!$D$50*(8*12.73)+'LINEST VARS'!$C$50*($CJ$8*$BX11)+'LINEST VARS'!$B$50*($CJ$8*12.73)+'LINEST VARS'!$A$50*($BX11*12.73)</f>
        <v>331.99999999999989</v>
      </c>
      <c r="CK11" s="46">
        <f>'LINEST VARS'!$U$50+'LINEST VARS'!$T$50*(8)+'LINEST VARS'!$S$50*(8)+'LINEST VARS'!$R$50*($CK$8)+'LINEST VARS'!$Q$50*($BX11)+'LINEST VARS'!$P$50*(12.73)+'LINEST VARS'!$O$50*(8^2)+'LINEST VARS'!$N$50*(8^2)+'LINEST VARS'!$M$50*($CK$8^2)+'LINEST VARS'!$L$50*($BX11^2)+'LINEST VARS'!$K$50*(12.73^2)+'LINEST VARS'!$J$50*(8*8)+'LINEST VARS'!$I$50*(8*$CK$8)+'LINEST VARS'!$H$50*(8*$BX11)+'LINEST VARS'!$G$50*(8*12.73)+'LINEST VARS'!$F$50*(8*$CK$8)+'LINEST VARS'!$E$50*(8*$BX11)+'LINEST VARS'!$D$50*(8*12.73)+'LINEST VARS'!$C$50*($CK$8*$BX11)+'LINEST VARS'!$B$50*($CK$8*12.73)+'LINEST VARS'!$A$50*($BX11*12.73)</f>
        <v>331.99999999999989</v>
      </c>
      <c r="CL11" s="46">
        <f>'LINEST VARS'!$U$50+'LINEST VARS'!$T$50*(8)+'LINEST VARS'!$S$50*(8)+'LINEST VARS'!$R$50*($CL$8)+'LINEST VARS'!$Q$50*($BX11)+'LINEST VARS'!$P$50*(12.73)+'LINEST VARS'!$O$50*(8^2)+'LINEST VARS'!$N$50*(8^2)+'LINEST VARS'!$M$50*($CL$8^2)+'LINEST VARS'!$L$50*($BX11^2)+'LINEST VARS'!$K$50*(12.73^2)+'LINEST VARS'!$J$50*(8*8)+'LINEST VARS'!$I$50*(8*$CL$8)+'LINEST VARS'!$H$50*(8*$BX11)+'LINEST VARS'!$G$50*(8*12.73)+'LINEST VARS'!$F$50*(8*$CL$8)+'LINEST VARS'!$E$50*(8*$BX11)+'LINEST VARS'!$D$50*(8*12.73)+'LINEST VARS'!$C$50*($CL$8*$BX11)+'LINEST VARS'!$B$50*($CL$8*12.73)+'LINEST VARS'!$A$50*($BX11*12.73)</f>
        <v>331.99999999999989</v>
      </c>
      <c r="CM11" s="46">
        <f>'LINEST VARS'!$U$50+'LINEST VARS'!$T$50*(8)+'LINEST VARS'!$S$50*(8)+'LINEST VARS'!$R$50*($CM$8)+'LINEST VARS'!$Q$50*($BX11)+'LINEST VARS'!$P$50*(12.73)+'LINEST VARS'!$O$50*(8^2)+'LINEST VARS'!$N$50*(8^2)+'LINEST VARS'!$M$50*($CM$8^2)+'LINEST VARS'!$L$50*($BX11^2)+'LINEST VARS'!$K$50*(12.73^2)+'LINEST VARS'!$J$50*(8*8)+'LINEST VARS'!$I$50*(8*$CM$8)+'LINEST VARS'!$H$50*(8*$BX11)+'LINEST VARS'!$G$50*(8*12.73)+'LINEST VARS'!$F$50*(8*$CM$8)+'LINEST VARS'!$E$50*(8*$BX11)+'LINEST VARS'!$D$50*(8*12.73)+'LINEST VARS'!$C$50*($CM$8*$BX11)+'LINEST VARS'!$B$50*($CM$8*12.73)+'LINEST VARS'!$A$50*($BX11*12.73)</f>
        <v>331.99999999999989</v>
      </c>
      <c r="CN11" s="46">
        <f>'LINEST VARS'!$U$50+'LINEST VARS'!$T$50*(8)+'LINEST VARS'!$S$50*(8)+'LINEST VARS'!$R$50*($CN$8)+'LINEST VARS'!$Q$50*($BX11)+'LINEST VARS'!$P$50*(12.73)+'LINEST VARS'!$O$50*(8^2)+'LINEST VARS'!$N$50*(8^2)+'LINEST VARS'!$M$50*($CN$8^2)+'LINEST VARS'!$L$50*($BX11^2)+'LINEST VARS'!$K$50*(12.73^2)+'LINEST VARS'!$J$50*(8*8)+'LINEST VARS'!$I$50*(8*$CN$8)+'LINEST VARS'!$H$50*(8*$BX11)+'LINEST VARS'!$G$50*(8*12.73)+'LINEST VARS'!$F$50*(8*$CN$8)+'LINEST VARS'!$E$50*(8*$BX11)+'LINEST VARS'!$D$50*(8*12.73)+'LINEST VARS'!$C$50*($CN$8*$BX11)+'LINEST VARS'!$B$50*($CN$8*12.73)+'LINEST VARS'!$A$50*($BX11*12.73)</f>
        <v>331.99999999999989</v>
      </c>
      <c r="CO11" s="46">
        <f>'LINEST VARS'!$U$50+'LINEST VARS'!$T$50*(8)+'LINEST VARS'!$S$50*(8)+'LINEST VARS'!$R$50*($CO$8)+'LINEST VARS'!$Q$50*($BX11)+'LINEST VARS'!$P$50*(12.73)+'LINEST VARS'!$O$50*(8^2)+'LINEST VARS'!$N$50*(8^2)+'LINEST VARS'!$M$50*($CO$8^2)+'LINEST VARS'!$L$50*($BX11^2)+'LINEST VARS'!$K$50*(12.73^2)+'LINEST VARS'!$J$50*(8*8)+'LINEST VARS'!$I$50*(8*$CO$8)+'LINEST VARS'!$H$50*(8*$BX11)+'LINEST VARS'!$G$50*(8*12.73)+'LINEST VARS'!$F$50*(8*$CO$8)+'LINEST VARS'!$E$50*(8*$BX11)+'LINEST VARS'!$D$50*(8*12.73)+'LINEST VARS'!$C$50*($CO$8*$BX11)+'LINEST VARS'!$B$50*($CO$8*12.73)+'LINEST VARS'!$A$50*($BX11*12.73)</f>
        <v>331.99999999999989</v>
      </c>
      <c r="CP11" s="46">
        <f>'LINEST VARS'!$U$50+'LINEST VARS'!$T$50*(8)+'LINEST VARS'!$S$50*(8)+'LINEST VARS'!$R$50*($CP$8)+'LINEST VARS'!$Q$50*($BX11)+'LINEST VARS'!$P$50*(12.73)+'LINEST VARS'!$O$50*(8^2)+'LINEST VARS'!$N$50*(8^2)+'LINEST VARS'!$M$50*($CP$8^2)+'LINEST VARS'!$L$50*($BX11^2)+'LINEST VARS'!$K$50*(12.73^2)+'LINEST VARS'!$J$50*(8*8)+'LINEST VARS'!$I$50*(8*$CP$8)+'LINEST VARS'!$H$50*(8*$BX11)+'LINEST VARS'!$G$50*(8*12.73)+'LINEST VARS'!$F$50*(8*$CP$8)+'LINEST VARS'!$E$50*(8*$BX11)+'LINEST VARS'!$D$50*(8*12.73)+'LINEST VARS'!$C$50*($CP$8*$BX11)+'LINEST VARS'!$B$50*($CP$8*12.73)+'LINEST VARS'!$A$50*($BX11*12.73)</f>
        <v>331.99999999999989</v>
      </c>
      <c r="CQ11" s="46">
        <f>'LINEST VARS'!$U$50+'LINEST VARS'!$T$50*(8)+'LINEST VARS'!$S$50*(8)+'LINEST VARS'!$R$50*($CQ$8)+'LINEST VARS'!$Q$50*($BX11)+'LINEST VARS'!$P$50*(12.73)+'LINEST VARS'!$O$50*(8^2)+'LINEST VARS'!$N$50*(8^2)+'LINEST VARS'!$M$50*($CQ$8^2)+'LINEST VARS'!$L$50*($BX11^2)+'LINEST VARS'!$K$50*(12.73^2)+'LINEST VARS'!$J$50*(8*8)+'LINEST VARS'!$I$50*(8*$CQ$8)+'LINEST VARS'!$H$50*(8*$BX11)+'LINEST VARS'!$G$50*(8*12.73)+'LINEST VARS'!$F$50*(8*$CQ$8)+'LINEST VARS'!$E$50*(8*$BX11)+'LINEST VARS'!$D$50*(8*12.73)+'LINEST VARS'!$C$50*($CQ$8*$BX11)+'LINEST VARS'!$B$50*($CQ$8*12.73)+'LINEST VARS'!$A$50*($BX11*12.73)</f>
        <v>331.99999999999989</v>
      </c>
      <c r="CR11" s="46">
        <f>'LINEST VARS'!$U$50+'LINEST VARS'!$T$50*(8)+'LINEST VARS'!$S$50*(8)+'LINEST VARS'!$R$50*($CR$8)+'LINEST VARS'!$Q$50*($BX11)+'LINEST VARS'!$P$50*(12.73)+'LINEST VARS'!$O$50*(8^2)+'LINEST VARS'!$N$50*(8^2)+'LINEST VARS'!$M$50*($CR$8^2)+'LINEST VARS'!$L$50*($BX11^2)+'LINEST VARS'!$K$50*(12.73^2)+'LINEST VARS'!$J$50*(8*8)+'LINEST VARS'!$I$50*(8*$CR$8)+'LINEST VARS'!$H$50*(8*$BX11)+'LINEST VARS'!$G$50*(8*12.73)+'LINEST VARS'!$F$50*(8*$CR$8)+'LINEST VARS'!$E$50*(8*$BX11)+'LINEST VARS'!$D$50*(8*12.73)+'LINEST VARS'!$C$50*($CR$8*$BX11)+'LINEST VARS'!$B$50*($CR$8*12.73)+'LINEST VARS'!$A$50*($BX11*12.73)</f>
        <v>331.99999999999989</v>
      </c>
      <c r="CS11" s="47">
        <f>'LINEST VARS'!$U$50+'LINEST VARS'!$T$50*(8)+'LINEST VARS'!$S$50*(8)+'LINEST VARS'!$R$50*($CS$8)+'LINEST VARS'!$Q$50*($BX11)+'LINEST VARS'!$P$50*(12.73)+'LINEST VARS'!$O$50*(8^2)+'LINEST VARS'!$N$50*(8^2)+'LINEST VARS'!$M$50*($CS$8^2)+'LINEST VARS'!$L$50*($BX11^2)+'LINEST VARS'!$K$50*(12.73^2)+'LINEST VARS'!$J$50*(8*8)+'LINEST VARS'!$I$50*(8*$CS$8)+'LINEST VARS'!$H$50*(8*$BX11)+'LINEST VARS'!$G$50*(8*12.73)+'LINEST VARS'!$F$50*(8*$CS$8)+'LINEST VARS'!$E$50*(8*$BX11)+'LINEST VARS'!$D$50*(8*12.73)+'LINEST VARS'!$C$50*($CS$8*$BX11)+'LINEST VARS'!$B$50*($CS$8*12.73)+'LINEST VARS'!$A$50*($BX11*12.73)</f>
        <v>331.99999999999989</v>
      </c>
      <c r="CX11" s="45">
        <v>2.5990000000000002</v>
      </c>
      <c r="CY11" s="46">
        <f>'LINEST VARS'!$U$48+'LINEST VARS'!$T$48*(8)+'LINEST VARS'!$S$48*(8)+'LINEST VARS'!$R$48*($CY$8)+'LINEST VARS'!$Q$48*(0.5)+'LINEST VARS'!$P$48*($CX11)+'LINEST VARS'!$O$48*(8^2)+'LINEST VARS'!$N$48*(8^2)+'LINEST VARS'!$M$48*($CY$8^2)+'LINEST VARS'!$L$48*(0.5^2)+'LINEST VARS'!$K$48*($CX11^2)+'LINEST VARS'!$J$48*(8*8)+'LINEST VARS'!$I$48*(8*$CY$8)+'LINEST VARS'!$H$48*(8*0.5)+'LINEST VARS'!$G$48*(8*$CX11)+'LINEST VARS'!$F$48*(8*$CY$8)+'LINEST VARS'!$E$48*(8*0.5)+'LINEST VARS'!$D$48*(8*$CX11)+'LINEST VARS'!$C$48*($CY$8*0.5)+'LINEST VARS'!$B$48*($CY$8*$CX11)+'LINEST VARS'!$A$48*(0.5*$CX11)</f>
        <v>369.99999999999983</v>
      </c>
      <c r="CZ11" s="46">
        <f>'LINEST VARS'!$U$48+'LINEST VARS'!$T$48*(8)+'LINEST VARS'!$S$48*(8)+'LINEST VARS'!$R$48*($CZ$8)+'LINEST VARS'!$Q$48*(0.5)+'LINEST VARS'!$P$48*($CX11)+'LINEST VARS'!$O$48*(8^2)+'LINEST VARS'!$N$48*(8^2)+'LINEST VARS'!$M$48*($CZ$8^2)+'LINEST VARS'!$L$48*(0.5^2)+'LINEST VARS'!$K$48*($CX11^2)+'LINEST VARS'!$J$48*(8*8)+'LINEST VARS'!$I$48*(8*$CZ$8)+'LINEST VARS'!$H$48*(8*0.5)+'LINEST VARS'!$G$48*(8*$CX11)+'LINEST VARS'!$F$48*(8*$CZ$8)+'LINEST VARS'!$E$48*(8*0.5)+'LINEST VARS'!$D$48*(8*$CX11)+'LINEST VARS'!$C$48*($CZ$8*0.5)+'LINEST VARS'!$B$48*($CZ$8*$CX11)+'LINEST VARS'!$A$48*(0.5*$CX11)</f>
        <v>369.99999999999983</v>
      </c>
      <c r="DA11" s="46">
        <f>'LINEST VARS'!$U$48+'LINEST VARS'!$T$48*(8)+'LINEST VARS'!$S$48*(8)+'LINEST VARS'!$R$48*($DA$8)+'LINEST VARS'!$Q$48*(0.5)+'LINEST VARS'!$P$48*($CX11)+'LINEST VARS'!$O$48*(8^2)+'LINEST VARS'!$N$48*(8^2)+'LINEST VARS'!$M$48*($DA$8^2)+'LINEST VARS'!$L$48*(0.5^2)+'LINEST VARS'!$K$48*($CX11^2)+'LINEST VARS'!$J$48*(8*8)+'LINEST VARS'!$I$48*(8*$DA$8)+'LINEST VARS'!$H$48*(8*0.5)+'LINEST VARS'!$G$48*(8*$CX11)+'LINEST VARS'!$F$48*(8*$DA$8)+'LINEST VARS'!$E$48*(8*0.5)+'LINEST VARS'!$D$48*(8*$CX11)+'LINEST VARS'!$C$48*($DA$8*0.5)+'LINEST VARS'!$B$48*($DA$8*$CX11)+'LINEST VARS'!$A$48*(0.5*$CX11)</f>
        <v>369.99999999999983</v>
      </c>
      <c r="DB11" s="46">
        <f>'LINEST VARS'!$U$48+'LINEST VARS'!$T$48*(8)+'LINEST VARS'!$S$48*(8)+'LINEST VARS'!$R$48*($DB$8)+'LINEST VARS'!$Q$48*(0.5)+'LINEST VARS'!$P$48*($CX11)+'LINEST VARS'!$O$48*(8^2)+'LINEST VARS'!$N$48*(8^2)+'LINEST VARS'!$M$48*($DB$8^2)+'LINEST VARS'!$L$48*(0.5^2)+'LINEST VARS'!$K$48*($CX11^2)+'LINEST VARS'!$J$48*(8*8)+'LINEST VARS'!$I$48*(8*$DB$8)+'LINEST VARS'!$H$48*(8*0.5)+'LINEST VARS'!$G$48*(8*$CX11)+'LINEST VARS'!$F$48*(8*$DB$8)+'LINEST VARS'!$E$48*(8*0.5)+'LINEST VARS'!$D$48*(8*$CX11)+'LINEST VARS'!$C$48*($DB$8*0.5)+'LINEST VARS'!$B$48*($DB$8*$CX11)+'LINEST VARS'!$A$48*(0.5*$CX11)</f>
        <v>369.99999999999983</v>
      </c>
      <c r="DC11" s="46">
        <f>'LINEST VARS'!$U$48+'LINEST VARS'!$T$48*(8)+'LINEST VARS'!$S$48*(8)+'LINEST VARS'!$R$48*($DC$8)+'LINEST VARS'!$Q$48*(0.5)+'LINEST VARS'!$P$48*($CX11)+'LINEST VARS'!$O$48*(8^2)+'LINEST VARS'!$N$48*(8^2)+'LINEST VARS'!$M$48*($DC$8^2)+'LINEST VARS'!$L$48*(0.5^2)+'LINEST VARS'!$K$48*($CX11^2)+'LINEST VARS'!$J$48*(8*8)+'LINEST VARS'!$I$48*(8*$DC$8)+'LINEST VARS'!$H$48*(8*0.5)+'LINEST VARS'!$G$48*(8*$CX11)+'LINEST VARS'!$F$48*(8*$DC$8)+'LINEST VARS'!$E$48*(8*0.5)+'LINEST VARS'!$D$48*(8*$CX11)+'LINEST VARS'!$C$48*($DC$8*0.5)+'LINEST VARS'!$B$48*($DC$8*$CX11)+'LINEST VARS'!$A$48*(0.5*$CX11)</f>
        <v>369.99999999999983</v>
      </c>
      <c r="DD11" s="46">
        <f>'LINEST VARS'!$U$48+'LINEST VARS'!$T$48*(8)+'LINEST VARS'!$S$48*(8)+'LINEST VARS'!$R$48*($DD$8)+'LINEST VARS'!$Q$48*(0.5)+'LINEST VARS'!$P$48*($CX11)+'LINEST VARS'!$O$48*(8^2)+'LINEST VARS'!$N$48*(8^2)+'LINEST VARS'!$M$48*($DD$8^2)+'LINEST VARS'!$L$48*(0.5^2)+'LINEST VARS'!$K$48*($CX11^2)+'LINEST VARS'!$J$48*(8*8)+'LINEST VARS'!$I$48*(8*$DD$8)+'LINEST VARS'!$H$48*(8*0.5)+'LINEST VARS'!$G$48*(8*$CX11)+'LINEST VARS'!$F$48*(8*$DD$8)+'LINEST VARS'!$E$48*(8*0.5)+'LINEST VARS'!$D$48*(8*$CX11)+'LINEST VARS'!$C$48*($DD$8*0.5)+'LINEST VARS'!$B$48*($DD$8*$CX11)+'LINEST VARS'!$A$48*(0.5*$CX11)</f>
        <v>369.99999999999983</v>
      </c>
      <c r="DE11" s="46">
        <f>'LINEST VARS'!$U$48+'LINEST VARS'!$T$48*(8)+'LINEST VARS'!$S$48*(8)+'LINEST VARS'!$R$48*($DE$8)+'LINEST VARS'!$Q$48*(0.5)+'LINEST VARS'!$P$48*($CX11)+'LINEST VARS'!$O$48*(8^2)+'LINEST VARS'!$N$48*(8^2)+'LINEST VARS'!$M$48*($DE$8^2)+'LINEST VARS'!$L$48*(0.5^2)+'LINEST VARS'!$K$48*($CX11^2)+'LINEST VARS'!$J$48*(8*8)+'LINEST VARS'!$I$48*(8*$DE$8)+'LINEST VARS'!$H$48*(8*0.5)+'LINEST VARS'!$G$48*(8*$CX11)+'LINEST VARS'!$F$48*(8*$DE$8)+'LINEST VARS'!$E$48*(8*0.5)+'LINEST VARS'!$D$48*(8*$CX11)+'LINEST VARS'!$C$48*($DE$8*0.5)+'LINEST VARS'!$B$48*($DE$8*$CX11)+'LINEST VARS'!$A$48*(0.5*$CX11)</f>
        <v>369.99999999999983</v>
      </c>
      <c r="DF11" s="46">
        <f>'LINEST VARS'!$U$48+'LINEST VARS'!$T$48*(8)+'LINEST VARS'!$S$48*(8)+'LINEST VARS'!$R$48*($DF$8)+'LINEST VARS'!$Q$48*(0.5)+'LINEST VARS'!$P$48*($CX11)+'LINEST VARS'!$O$48*(8^2)+'LINEST VARS'!$N$48*(8^2)+'LINEST VARS'!$M$48*($DF$8^2)+'LINEST VARS'!$L$48*(0.5^2)+'LINEST VARS'!$K$48*($CX11^2)+'LINEST VARS'!$J$48*(8*8)+'LINEST VARS'!$I$48*(8*$DF$8)+'LINEST VARS'!$H$48*(8*0.5)+'LINEST VARS'!$G$48*(8*$CX11)+'LINEST VARS'!$F$48*(8*$DF$8)+'LINEST VARS'!$E$48*(8*0.5)+'LINEST VARS'!$D$48*(8*$CX11)+'LINEST VARS'!$C$48*($DF$8*0.5)+'LINEST VARS'!$B$48*($DF$8*$CX11)+'LINEST VARS'!$A$48*(0.5*$CX11)</f>
        <v>369.99999999999983</v>
      </c>
      <c r="DG11" s="46">
        <f>'LINEST VARS'!$U$48+'LINEST VARS'!$T$48*(8)+'LINEST VARS'!$S$48*(8)+'LINEST VARS'!$R$48*($DG$8)+'LINEST VARS'!$Q$48*(0.5)+'LINEST VARS'!$P$48*($CX11)+'LINEST VARS'!$O$48*(8^2)+'LINEST VARS'!$N$48*(8^2)+'LINEST VARS'!$M$48*($DG$8^2)+'LINEST VARS'!$L$48*(0.5^2)+'LINEST VARS'!$K$48*($CX11^2)+'LINEST VARS'!$J$48*(8*8)+'LINEST VARS'!$I$48*(8*$DG$8)+'LINEST VARS'!$H$48*(8*0.5)+'LINEST VARS'!$G$48*(8*$CX11)+'LINEST VARS'!$F$48*(8*$DG$8)+'LINEST VARS'!$E$48*(8*0.5)+'LINEST VARS'!$D$48*(8*$CX11)+'LINEST VARS'!$C$48*($DG$8*0.5)+'LINEST VARS'!$B$48*($DG$8*$CX11)+'LINEST VARS'!$A$48*(0.5*$CX11)</f>
        <v>369.99999999999983</v>
      </c>
      <c r="DH11" s="46">
        <f>'LINEST VARS'!$U$48+'LINEST VARS'!$T$48*(8)+'LINEST VARS'!$S$48*(8)+'LINEST VARS'!$R$48*($DH$8)+'LINEST VARS'!$Q$48*(0.5)+'LINEST VARS'!$P$48*($CX11)+'LINEST VARS'!$O$48*(8^2)+'LINEST VARS'!$N$48*(8^2)+'LINEST VARS'!$M$48*($DH$8^2)+'LINEST VARS'!$L$48*(0.5^2)+'LINEST VARS'!$K$48*($CX11^2)+'LINEST VARS'!$J$48*(8*8)+'LINEST VARS'!$I$48*(8*$DH$8)+'LINEST VARS'!$H$48*(8*0.5)+'LINEST VARS'!$G$48*(8*$CX11)+'LINEST VARS'!$F$48*(8*$DH$8)+'LINEST VARS'!$E$48*(8*0.5)+'LINEST VARS'!$D$48*(8*$CX11)+'LINEST VARS'!$C$48*($DH$8*0.5)+'LINEST VARS'!$B$48*($DH$8*$CX11)+'LINEST VARS'!$A$48*(0.5*$CX11)</f>
        <v>369.99999999999983</v>
      </c>
      <c r="DI11" s="46">
        <f>'LINEST VARS'!$U$48+'LINEST VARS'!$T$48*(8)+'LINEST VARS'!$S$48*(8)+'LINEST VARS'!$R$48*($DI$8)+'LINEST VARS'!$Q$48*(0.5)+'LINEST VARS'!$P$48*($CX11)+'LINEST VARS'!$O$48*(8^2)+'LINEST VARS'!$N$48*(8^2)+'LINEST VARS'!$M$48*($DI$8^2)+'LINEST VARS'!$L$48*(0.5^2)+'LINEST VARS'!$K$48*($CX11^2)+'LINEST VARS'!$J$48*(8*8)+'LINEST VARS'!$I$48*(8*$DI$8)+'LINEST VARS'!$H$48*(8*0.5)+'LINEST VARS'!$G$48*(8*$CX11)+'LINEST VARS'!$F$48*(8*$DI$8)+'LINEST VARS'!$E$48*(8*0.5)+'LINEST VARS'!$D$48*(8*$CX11)+'LINEST VARS'!$C$48*($DI$8*0.5)+'LINEST VARS'!$B$48*($DI$8*$CX11)+'LINEST VARS'!$A$48*(0.5*$CX11)</f>
        <v>369.99999999999983</v>
      </c>
      <c r="DJ11" s="46">
        <f>'LINEST VARS'!$U$48+'LINEST VARS'!$T$48*(8)+'LINEST VARS'!$S$48*(8)+'LINEST VARS'!$R$48*($DJ$8)+'LINEST VARS'!$Q$48*(0.5)+'LINEST VARS'!$P$48*($CX11)+'LINEST VARS'!$O$48*(8^2)+'LINEST VARS'!$N$48*(8^2)+'LINEST VARS'!$M$48*($DJ$8^2)+'LINEST VARS'!$L$48*(0.5^2)+'LINEST VARS'!$K$48*($CX11^2)+'LINEST VARS'!$J$48*(8*8)+'LINEST VARS'!$I$48*(8*$DJ$8)+'LINEST VARS'!$H$48*(8*0.5)+'LINEST VARS'!$G$48*(8*$CX11)+'LINEST VARS'!$F$48*(8*$DJ$8)+'LINEST VARS'!$E$48*(8*0.5)+'LINEST VARS'!$D$48*(8*$CX11)+'LINEST VARS'!$C$48*($DJ$8*0.5)+'LINEST VARS'!$B$48*($DJ$8*$CX11)+'LINEST VARS'!$A$48*(0.5*$CX11)</f>
        <v>369.99999999999983</v>
      </c>
      <c r="DK11" s="46">
        <f>'LINEST VARS'!$U$48+'LINEST VARS'!$T$48*(8)+'LINEST VARS'!$S$48*(8)+'LINEST VARS'!$R$48*($DK$8)+'LINEST VARS'!$Q$48*(0.5)+'LINEST VARS'!$P$48*($CX11)+'LINEST VARS'!$O$48*(8^2)+'LINEST VARS'!$N$48*(8^2)+'LINEST VARS'!$M$48*($DK$8^2)+'LINEST VARS'!$L$48*(0.5^2)+'LINEST VARS'!$K$48*($CX11^2)+'LINEST VARS'!$J$48*(8*8)+'LINEST VARS'!$I$48*(8*$DK$8)+'LINEST VARS'!$H$48*(8*0.5)+'LINEST VARS'!$G$48*(8*$CX11)+'LINEST VARS'!$F$48*(8*$DK$8)+'LINEST VARS'!$E$48*(8*0.5)+'LINEST VARS'!$D$48*(8*$CX11)+'LINEST VARS'!$C$48*($DK$8*0.5)+'LINEST VARS'!$B$48*($DK$8*$CX11)+'LINEST VARS'!$A$48*(0.5*$CX11)</f>
        <v>369.99999999999983</v>
      </c>
      <c r="DL11" s="46">
        <f>'LINEST VARS'!$U$48+'LINEST VARS'!$T$48*(8)+'LINEST VARS'!$S$48*(8)+'LINEST VARS'!$R$48*($DL$8)+'LINEST VARS'!$Q$48*(0.5)+'LINEST VARS'!$P$48*($CX11)+'LINEST VARS'!$O$48*(8^2)+'LINEST VARS'!$N$48*(8^2)+'LINEST VARS'!$M$48*($DL$8^2)+'LINEST VARS'!$L$48*(0.5^2)+'LINEST VARS'!$K$48*($CX11^2)+'LINEST VARS'!$J$48*(8*8)+'LINEST VARS'!$I$48*(8*$DL$8)+'LINEST VARS'!$H$48*(8*0.5)+'LINEST VARS'!$G$48*(8*$CX11)+'LINEST VARS'!$F$48*(8*$DL$8)+'LINEST VARS'!$E$48*(8*0.5)+'LINEST VARS'!$D$48*(8*$CX11)+'LINEST VARS'!$C$48*($DL$8*0.5)+'LINEST VARS'!$B$48*($DL$8*$CX11)+'LINEST VARS'!$A$48*(0.5*$CX11)</f>
        <v>369.99999999999989</v>
      </c>
      <c r="DM11" s="46">
        <f>'LINEST VARS'!$U$48+'LINEST VARS'!$T$48*(8)+'LINEST VARS'!$S$48*(8)+'LINEST VARS'!$R$48*($DM$8)+'LINEST VARS'!$Q$48*(0.5)+'LINEST VARS'!$P$48*($CX11)+'LINEST VARS'!$O$48*(8^2)+'LINEST VARS'!$N$48*(8^2)+'LINEST VARS'!$M$48*($DM$8^2)+'LINEST VARS'!$L$48*(0.5^2)+'LINEST VARS'!$K$48*($CX11^2)+'LINEST VARS'!$J$48*(8*8)+'LINEST VARS'!$I$48*(8*$DM$8)+'LINEST VARS'!$H$48*(8*0.5)+'LINEST VARS'!$G$48*(8*$CX11)+'LINEST VARS'!$F$48*(8*$DM$8)+'LINEST VARS'!$E$48*(8*0.5)+'LINEST VARS'!$D$48*(8*$CX11)+'LINEST VARS'!$C$48*($DM$8*0.5)+'LINEST VARS'!$B$48*($DM$8*$CX11)+'LINEST VARS'!$A$48*(0.5*$CX11)</f>
        <v>369.99999999999989</v>
      </c>
      <c r="DN11" s="46">
        <f>'LINEST VARS'!$U$48+'LINEST VARS'!$T$48*(8)+'LINEST VARS'!$S$48*(8)+'LINEST VARS'!$R$48*($DN$8)+'LINEST VARS'!$Q$48*(0.5)+'LINEST VARS'!$P$48*($CX11)+'LINEST VARS'!$O$48*(8^2)+'LINEST VARS'!$N$48*(8^2)+'LINEST VARS'!$M$48*($DN$8^2)+'LINEST VARS'!$L$48*(0.5^2)+'LINEST VARS'!$K$48*($CX11^2)+'LINEST VARS'!$J$48*(8*8)+'LINEST VARS'!$I$48*(8*$DN$8)+'LINEST VARS'!$H$48*(8*0.5)+'LINEST VARS'!$G$48*(8*$CX11)+'LINEST VARS'!$F$48*(8*$DN$8)+'LINEST VARS'!$E$48*(8*0.5)+'LINEST VARS'!$D$48*(8*$CX11)+'LINEST VARS'!$C$48*($DN$8*0.5)+'LINEST VARS'!$B$48*($DN$8*$CX11)+'LINEST VARS'!$A$48*(0.5*$CX11)</f>
        <v>369.99999999999989</v>
      </c>
      <c r="DO11" s="46">
        <f>'LINEST VARS'!$U$48+'LINEST VARS'!$T$48*(8)+'LINEST VARS'!$S$48*(8)+'LINEST VARS'!$R$48*($DO$8)+'LINEST VARS'!$Q$48*(0.5)+'LINEST VARS'!$P$48*($CX11)+'LINEST VARS'!$O$48*(8^2)+'LINEST VARS'!$N$48*(8^2)+'LINEST VARS'!$M$48*($DO$8^2)+'LINEST VARS'!$L$48*(0.5^2)+'LINEST VARS'!$K$48*($CX11^2)+'LINEST VARS'!$J$48*(8*8)+'LINEST VARS'!$I$48*(8*$DO$8)+'LINEST VARS'!$H$48*(8*0.5)+'LINEST VARS'!$G$48*(8*$CX11)+'LINEST VARS'!$F$48*(8*$DO$8)+'LINEST VARS'!$E$48*(8*0.5)+'LINEST VARS'!$D$48*(8*$CX11)+'LINEST VARS'!$C$48*($DO$8*0.5)+'LINEST VARS'!$B$48*($DO$8*$CX11)+'LINEST VARS'!$A$48*(0.5*$CX11)</f>
        <v>369.99999999999983</v>
      </c>
      <c r="DP11" s="46">
        <f>'LINEST VARS'!$U$48+'LINEST VARS'!$T$48*(8)+'LINEST VARS'!$S$48*(8)+'LINEST VARS'!$R$48*($DP$8)+'LINEST VARS'!$Q$48*(0.5)+'LINEST VARS'!$P$48*($CX11)+'LINEST VARS'!$O$48*(8^2)+'LINEST VARS'!$N$48*(8^2)+'LINEST VARS'!$M$48*($DP$8^2)+'LINEST VARS'!$L$48*(0.5^2)+'LINEST VARS'!$K$48*($CX11^2)+'LINEST VARS'!$J$48*(8*8)+'LINEST VARS'!$I$48*(8*$DP$8)+'LINEST VARS'!$H$48*(8*0.5)+'LINEST VARS'!$G$48*(8*$CX11)+'LINEST VARS'!$F$48*(8*$DP$8)+'LINEST VARS'!$E$48*(8*0.5)+'LINEST VARS'!$D$48*(8*$CX11)+'LINEST VARS'!$C$48*($DP$8*0.5)+'LINEST VARS'!$B$48*($DP$8*$CX11)+'LINEST VARS'!$A$48*(0.5*$CX11)</f>
        <v>369.99999999999983</v>
      </c>
      <c r="DQ11" s="46">
        <f>'LINEST VARS'!$U$48+'LINEST VARS'!$T$48*(8)+'LINEST VARS'!$S$48*(8)+'LINEST VARS'!$R$48*($DQ$8)+'LINEST VARS'!$Q$48*(0.5)+'LINEST VARS'!$P$48*($CX11)+'LINEST VARS'!$O$48*(8^2)+'LINEST VARS'!$N$48*(8^2)+'LINEST VARS'!$M$48*($DQ$8^2)+'LINEST VARS'!$L$48*(0.5^2)+'LINEST VARS'!$K$48*($CX11^2)+'LINEST VARS'!$J$48*(8*8)+'LINEST VARS'!$I$48*(8*$DQ$8)+'LINEST VARS'!$H$48*(8*0.5)+'LINEST VARS'!$G$48*(8*$CX11)+'LINEST VARS'!$F$48*(8*$DQ$8)+'LINEST VARS'!$E$48*(8*0.5)+'LINEST VARS'!$D$48*(8*$CX11)+'LINEST VARS'!$C$48*($DQ$8*0.5)+'LINEST VARS'!$B$48*($DQ$8*$CX11)+'LINEST VARS'!$A$48*(0.5*$CX11)</f>
        <v>369.99999999999983</v>
      </c>
      <c r="DR11" s="46">
        <f>'LINEST VARS'!$U$48+'LINEST VARS'!$T$48*(8)+'LINEST VARS'!$S$48*(8)+'LINEST VARS'!$R$48*($DR$8)+'LINEST VARS'!$Q$48*(0.5)+'LINEST VARS'!$P$48*($CX11)+'LINEST VARS'!$O$48*(8^2)+'LINEST VARS'!$N$48*(8^2)+'LINEST VARS'!$M$48*($DR$8^2)+'LINEST VARS'!$L$48*(0.5^2)+'LINEST VARS'!$K$48*($CX11^2)+'LINEST VARS'!$J$48*(8*8)+'LINEST VARS'!$I$48*(8*$DR$8)+'LINEST VARS'!$H$48*(8*0.5)+'LINEST VARS'!$G$48*(8*$CX11)+'LINEST VARS'!$F$48*(8*$DR$8)+'LINEST VARS'!$E$48*(8*0.5)+'LINEST VARS'!$D$48*(8*$CX11)+'LINEST VARS'!$C$48*($DR$8*0.5)+'LINEST VARS'!$B$48*($DR$8*$CX11)+'LINEST VARS'!$A$48*(0.5*$CX11)</f>
        <v>369.99999999999983</v>
      </c>
      <c r="DS11" s="47">
        <f>'LINEST VARS'!$U$48+'LINEST VARS'!$T$48*(8)+'LINEST VARS'!$S$48*(8)+'LINEST VARS'!$R$48*($DS$8)+'LINEST VARS'!$Q$48*(0.5)+'LINEST VARS'!$P$48*($CX11)+'LINEST VARS'!$O$48*(8^2)+'LINEST VARS'!$N$48*(8^2)+'LINEST VARS'!$M$48*($DS$8^2)+'LINEST VARS'!$L$48*(0.5^2)+'LINEST VARS'!$K$48*($CX11^2)+'LINEST VARS'!$J$48*(8*8)+'LINEST VARS'!$I$48*(8*$DS$8)+'LINEST VARS'!$H$48*(8*0.5)+'LINEST VARS'!$G$48*(8*$CX11)+'LINEST VARS'!$F$48*(8*$DS$8)+'LINEST VARS'!$E$48*(8*0.5)+'LINEST VARS'!$D$48*(8*$CX11)+'LINEST VARS'!$C$48*($DS$8*0.5)+'LINEST VARS'!$B$48*($DS$8*$CX11)+'LINEST VARS'!$A$48*(0.5*$CX11)</f>
        <v>369.99999999999983</v>
      </c>
      <c r="DV11" s="45">
        <v>2.5990000000000002</v>
      </c>
      <c r="DW11" s="46">
        <f>'LINEST VARS'!$U$50+'LINEST VARS'!$T$50*(8)+'LINEST VARS'!$S$50*(8)+'LINEST VARS'!$R$50*($DW$8)+'LINEST VARS'!$Q$50*(0.5)+'LINEST VARS'!$P$50*($DV11)+'LINEST VARS'!$O$50*(8^2)+'LINEST VARS'!$N$50*(8^2)+'LINEST VARS'!$M$50*($DW$8^2)+'LINEST VARS'!$L$50*(0.5^2)+'LINEST VARS'!$K$50*($DV11^2)+'LINEST VARS'!$J$50*(8*8)+'LINEST VARS'!$I$50*(8*$DW$8)+'LINEST VARS'!$H$50*(8*0.5)+'LINEST VARS'!$G$50*(8*$DV11)+'LINEST VARS'!$F$50*(8*$DW$8)+'LINEST VARS'!$E$50*(8*0.5)+'LINEST VARS'!$D$50*(8*$DV11)+'LINEST VARS'!$C$50*($DW$8*0.5)+'LINEST VARS'!$B$50*($DW$8*$DV11)+'LINEST VARS'!$A$50*(0.5*$DV11)</f>
        <v>331.99999999999989</v>
      </c>
      <c r="DX11" s="46">
        <f>'LINEST VARS'!$U$50+'LINEST VARS'!$T$50*(8)+'LINEST VARS'!$S$50*(8)+'LINEST VARS'!$R$50*($DX$8)+'LINEST VARS'!$Q$50*(0.5)+'LINEST VARS'!$P$50*($DV11)+'LINEST VARS'!$O$50*(8^2)+'LINEST VARS'!$N$50*(8^2)+'LINEST VARS'!$M$50*($DX$8^2)+'LINEST VARS'!$L$50*(0.5^2)+'LINEST VARS'!$K$50*($DV11^2)+'LINEST VARS'!$J$50*(8*8)+'LINEST VARS'!$I$50*(8*$DX$8)+'LINEST VARS'!$H$50*(8*0.5)+'LINEST VARS'!$G$50*(8*$DV11)+'LINEST VARS'!$F$50*(8*$DX$8)+'LINEST VARS'!$E$50*(8*0.5)+'LINEST VARS'!$D$50*(8*$DV11)+'LINEST VARS'!$C$50*($DX$8*0.5)+'LINEST VARS'!$B$50*($DX$8*$DV11)+'LINEST VARS'!$A$50*(0.5*$DV11)</f>
        <v>331.99999999999989</v>
      </c>
      <c r="DY11" s="46">
        <f>'LINEST VARS'!$U$50+'LINEST VARS'!$T$50*(8)+'LINEST VARS'!$S$50*(8)+'LINEST VARS'!$R$50*($DY$8)+'LINEST VARS'!$Q$50*(0.5)+'LINEST VARS'!$P$50*($DV11)+'LINEST VARS'!$O$50*(8^2)+'LINEST VARS'!$N$50*(8^2)+'LINEST VARS'!$M$50*($DY$8^2)+'LINEST VARS'!$L$50*(0.5^2)+'LINEST VARS'!$K$50*($DV11^2)+'LINEST VARS'!$J$50*(8*8)+'LINEST VARS'!$I$50*(8*$DY$8)+'LINEST VARS'!$H$50*(8*0.5)+'LINEST VARS'!$G$50*(8*$DV11)+'LINEST VARS'!$F$50*(8*$DY$8)+'LINEST VARS'!$E$50*(8*0.5)+'LINEST VARS'!$D$50*(8*$DV11)+'LINEST VARS'!$C$50*($DY$8*0.5)+'LINEST VARS'!$B$50*($DY$8*$DV11)+'LINEST VARS'!$A$50*(0.5*$DV11)</f>
        <v>331.99999999999989</v>
      </c>
      <c r="DZ11" s="46">
        <f>'LINEST VARS'!$U$50+'LINEST VARS'!$T$50*(8)+'LINEST VARS'!$S$50*(8)+'LINEST VARS'!$R$50*($DZ$8)+'LINEST VARS'!$Q$50*(0.5)+'LINEST VARS'!$P$50*($DV11)+'LINEST VARS'!$O$50*(8^2)+'LINEST VARS'!$N$50*(8^2)+'LINEST VARS'!$M$50*($DZ$8^2)+'LINEST VARS'!$L$50*(0.5^2)+'LINEST VARS'!$K$50*($DV11^2)+'LINEST VARS'!$J$50*(8*8)+'LINEST VARS'!$I$50*(8*$DZ$8)+'LINEST VARS'!$H$50*(8*0.5)+'LINEST VARS'!$G$50*(8*$DV11)+'LINEST VARS'!$F$50*(8*$DZ$8)+'LINEST VARS'!$E$50*(8*0.5)+'LINEST VARS'!$D$50*(8*$DV11)+'LINEST VARS'!$C$50*($DZ$8*0.5)+'LINEST VARS'!$B$50*($DZ$8*$DV11)+'LINEST VARS'!$A$50*(0.5*$DV11)</f>
        <v>331.99999999999989</v>
      </c>
      <c r="EA11" s="46">
        <f>'LINEST VARS'!$U$50+'LINEST VARS'!$T$50*(8)+'LINEST VARS'!$S$50*(8)+'LINEST VARS'!$R$50*($EA$8)+'LINEST VARS'!$Q$50*(0.5)+'LINEST VARS'!$P$50*($DV11)+'LINEST VARS'!$O$50*(8^2)+'LINEST VARS'!$N$50*(8^2)+'LINEST VARS'!$M$50*($EA$8^2)+'LINEST VARS'!$L$50*(0.5^2)+'LINEST VARS'!$K$50*($DV11^2)+'LINEST VARS'!$J$50*(8*8)+'LINEST VARS'!$I$50*(8*$EA$8)+'LINEST VARS'!$H$50*(8*0.5)+'LINEST VARS'!$G$50*(8*$DV11)+'LINEST VARS'!$F$50*(8*$EA$8)+'LINEST VARS'!$E$50*(8*0.5)+'LINEST VARS'!$D$50*(8*$DV11)+'LINEST VARS'!$C$50*($EA$8*0.5)+'LINEST VARS'!$B$50*($EA$8*$DV11)+'LINEST VARS'!$A$50*(0.5*$DV11)</f>
        <v>331.99999999999989</v>
      </c>
      <c r="EB11" s="46">
        <f>'LINEST VARS'!$U$50+'LINEST VARS'!$T$50*(8)+'LINEST VARS'!$S$50*(8)+'LINEST VARS'!$R$50*($EB$8)+'LINEST VARS'!$Q$50*(0.5)+'LINEST VARS'!$P$50*($DV11)+'LINEST VARS'!$O$50*(8^2)+'LINEST VARS'!$N$50*(8^2)+'LINEST VARS'!$M$50*($EB$8^2)+'LINEST VARS'!$L$50*(0.5^2)+'LINEST VARS'!$K$50*($DV11^2)+'LINEST VARS'!$J$50*(8*8)+'LINEST VARS'!$I$50*(8*$EB$8)+'LINEST VARS'!$H$50*(8*0.5)+'LINEST VARS'!$G$50*(8*$DV11)+'LINEST VARS'!$F$50*(8*$EB$8)+'LINEST VARS'!$E$50*(8*0.5)+'LINEST VARS'!$D$50*(8*$DV11)+'LINEST VARS'!$C$50*($EB$8*0.5)+'LINEST VARS'!$B$50*($EB$8*$DV11)+'LINEST VARS'!$A$50*(0.5*$DV11)</f>
        <v>331.99999999999989</v>
      </c>
      <c r="EC11" s="46">
        <f>'LINEST VARS'!$U$50+'LINEST VARS'!$T$50*(8)+'LINEST VARS'!$S$50*(8)+'LINEST VARS'!$R$50*($EC$8)+'LINEST VARS'!$Q$50*(0.5)+'LINEST VARS'!$P$50*($DV11)+'LINEST VARS'!$O$50*(8^2)+'LINEST VARS'!$N$50*(8^2)+'LINEST VARS'!$M$50*($EC$8^2)+'LINEST VARS'!$L$50*(0.5^2)+'LINEST VARS'!$K$50*($DV11^2)+'LINEST VARS'!$J$50*(8*8)+'LINEST VARS'!$I$50*(8*$EC$8)+'LINEST VARS'!$H$50*(8*0.5)+'LINEST VARS'!$G$50*(8*$DV11)+'LINEST VARS'!$F$50*(8*$EC$8)+'LINEST VARS'!$E$50*(8*0.5)+'LINEST VARS'!$D$50*(8*$DV11)+'LINEST VARS'!$C$50*($EC$8*0.5)+'LINEST VARS'!$B$50*($EC$8*$DV11)+'LINEST VARS'!$A$50*(0.5*$DV11)</f>
        <v>331.99999999999989</v>
      </c>
      <c r="ED11" s="46">
        <f>'LINEST VARS'!$U$50+'LINEST VARS'!$T$50*(8)+'LINEST VARS'!$S$50*(8)+'LINEST VARS'!$R$50*($ED$8)+'LINEST VARS'!$Q$50*(0.5)+'LINEST VARS'!$P$50*($DV11)+'LINEST VARS'!$O$50*(8^2)+'LINEST VARS'!$N$50*(8^2)+'LINEST VARS'!$M$50*($ED$8^2)+'LINEST VARS'!$L$50*(0.5^2)+'LINEST VARS'!$K$50*($DV11^2)+'LINEST VARS'!$J$50*(8*8)+'LINEST VARS'!$I$50*(8*$ED$8)+'LINEST VARS'!$H$50*(8*0.5)+'LINEST VARS'!$G$50*(8*$DV11)+'LINEST VARS'!$F$50*(8*$ED$8)+'LINEST VARS'!$E$50*(8*0.5)+'LINEST VARS'!$D$50*(8*$DV11)+'LINEST VARS'!$C$50*($ED$8*0.5)+'LINEST VARS'!$B$50*($ED$8*$DV11)+'LINEST VARS'!$A$50*(0.5*$DV11)</f>
        <v>331.99999999999989</v>
      </c>
      <c r="EE11" s="46">
        <f>'LINEST VARS'!$U$50+'LINEST VARS'!$T$50*(8)+'LINEST VARS'!$S$50*(8)+'LINEST VARS'!$R$50*($EE$8)+'LINEST VARS'!$Q$50*(0.5)+'LINEST VARS'!$P$50*($DV11)+'LINEST VARS'!$O$50*(8^2)+'LINEST VARS'!$N$50*(8^2)+'LINEST VARS'!$M$50*($EE$8^2)+'LINEST VARS'!$L$50*(0.5^2)+'LINEST VARS'!$K$50*($DV11^2)+'LINEST VARS'!$J$50*(8*8)+'LINEST VARS'!$I$50*(8*$EE$8)+'LINEST VARS'!$H$50*(8*0.5)+'LINEST VARS'!$G$50*(8*$DV11)+'LINEST VARS'!$F$50*(8*$EE$8)+'LINEST VARS'!$E$50*(8*0.5)+'LINEST VARS'!$D$50*(8*$DV11)+'LINEST VARS'!$C$50*($EE$8*0.5)+'LINEST VARS'!$B$50*($EE$8*$DV11)+'LINEST VARS'!$A$50*(0.5*$DV11)</f>
        <v>331.99999999999989</v>
      </c>
      <c r="EF11" s="46">
        <f>'LINEST VARS'!$U$50+'LINEST VARS'!$T$50*(8)+'LINEST VARS'!$S$50*(8)+'LINEST VARS'!$R$50*($EF$8)+'LINEST VARS'!$Q$50*(0.5)+'LINEST VARS'!$P$50*($DV11)+'LINEST VARS'!$O$50*(8^2)+'LINEST VARS'!$N$50*(8^2)+'LINEST VARS'!$M$50*($EF$8^2)+'LINEST VARS'!$L$50*(0.5^2)+'LINEST VARS'!$K$50*($DV11^2)+'LINEST VARS'!$J$50*(8*8)+'LINEST VARS'!$I$50*(8*$EF$8)+'LINEST VARS'!$H$50*(8*0.5)+'LINEST VARS'!$G$50*(8*$DV11)+'LINEST VARS'!$F$50*(8*$EF$8)+'LINEST VARS'!$E$50*(8*0.5)+'LINEST VARS'!$D$50*(8*$DV11)+'LINEST VARS'!$C$50*($EF$8*0.5)+'LINEST VARS'!$B$50*($EF$8*$DV11)+'LINEST VARS'!$A$50*(0.5*$DV11)</f>
        <v>331.99999999999989</v>
      </c>
      <c r="EG11" s="46">
        <f>'LINEST VARS'!$U$50+'LINEST VARS'!$T$50*(8)+'LINEST VARS'!$S$50*(8)+'LINEST VARS'!$R$50*($EG$8)+'LINEST VARS'!$Q$50*(0.5)+'LINEST VARS'!$P$50*($DV11)+'LINEST VARS'!$O$50*(8^2)+'LINEST VARS'!$N$50*(8^2)+'LINEST VARS'!$M$50*($EG$8^2)+'LINEST VARS'!$L$50*(0.5^2)+'LINEST VARS'!$K$50*($DV11^2)+'LINEST VARS'!$J$50*(8*8)+'LINEST VARS'!$I$50*(8*$EG$8)+'LINEST VARS'!$H$50*(8*0.5)+'LINEST VARS'!$G$50*(8*$DV11)+'LINEST VARS'!$F$50*(8*$EG$8)+'LINEST VARS'!$E$50*(8*0.5)+'LINEST VARS'!$D$50*(8*$DV11)+'LINEST VARS'!$C$50*($EG$8*0.5)+'LINEST VARS'!$B$50*($EG$8*$DV11)+'LINEST VARS'!$A$50*(0.5*$DV11)</f>
        <v>331.99999999999989</v>
      </c>
      <c r="EH11" s="46">
        <f>'LINEST VARS'!$U$50+'LINEST VARS'!$T$50*(8)+'LINEST VARS'!$S$50*(8)+'LINEST VARS'!$R$50*($EH$8)+'LINEST VARS'!$Q$50*(0.5)+'LINEST VARS'!$P$50*($DV11)+'LINEST VARS'!$O$50*(8^2)+'LINEST VARS'!$N$50*(8^2)+'LINEST VARS'!$M$50*($EH$8^2)+'LINEST VARS'!$L$50*(0.5^2)+'LINEST VARS'!$K$50*($DV11^2)+'LINEST VARS'!$J$50*(8*8)+'LINEST VARS'!$I$50*(8*$EH$8)+'LINEST VARS'!$H$50*(8*0.5)+'LINEST VARS'!$G$50*(8*$DV11)+'LINEST VARS'!$F$50*(8*$EH$8)+'LINEST VARS'!$E$50*(8*0.5)+'LINEST VARS'!$D$50*(8*$DV11)+'LINEST VARS'!$C$50*($EH$8*0.5)+'LINEST VARS'!$B$50*($EH$8*$DV11)+'LINEST VARS'!$A$50*(0.5*$DV11)</f>
        <v>331.99999999999989</v>
      </c>
      <c r="EI11" s="46">
        <f>'LINEST VARS'!$U$50+'LINEST VARS'!$T$50*(8)+'LINEST VARS'!$S$50*(8)+'LINEST VARS'!$R$50*($EI$8)+'LINEST VARS'!$Q$50*(0.5)+'LINEST VARS'!$P$50*($DV11)+'LINEST VARS'!$O$50*(8^2)+'LINEST VARS'!$N$50*(8^2)+'LINEST VARS'!$M$50*($EI$8^2)+'LINEST VARS'!$L$50*(0.5^2)+'LINEST VARS'!$K$50*($DV11^2)+'LINEST VARS'!$J$50*(8*8)+'LINEST VARS'!$I$50*(8*$EI$8)+'LINEST VARS'!$H$50*(8*0.5)+'LINEST VARS'!$G$50*(8*$DV11)+'LINEST VARS'!$F$50*(8*$EI$8)+'LINEST VARS'!$E$50*(8*0.5)+'LINEST VARS'!$D$50*(8*$DV11)+'LINEST VARS'!$C$50*($EI$8*0.5)+'LINEST VARS'!$B$50*($EI$8*$DV11)+'LINEST VARS'!$A$50*(0.5*$DV11)</f>
        <v>331.99999999999989</v>
      </c>
      <c r="EJ11" s="46">
        <f>'LINEST VARS'!$U$50+'LINEST VARS'!$T$50*(8)+'LINEST VARS'!$S$50*(8)+'LINEST VARS'!$R$50*($EJ$8)+'LINEST VARS'!$Q$50*(0.5)+'LINEST VARS'!$P$50*($DV11)+'LINEST VARS'!$O$50*(8^2)+'LINEST VARS'!$N$50*(8^2)+'LINEST VARS'!$M$50*($EJ$8^2)+'LINEST VARS'!$L$50*(0.5^2)+'LINEST VARS'!$K$50*($DV11^2)+'LINEST VARS'!$J$50*(8*8)+'LINEST VARS'!$I$50*(8*$EJ$8)+'LINEST VARS'!$H$50*(8*0.5)+'LINEST VARS'!$G$50*(8*$DV11)+'LINEST VARS'!$F$50*(8*$EJ$8)+'LINEST VARS'!$E$50*(8*0.5)+'LINEST VARS'!$D$50*(8*$DV11)+'LINEST VARS'!$C$50*($EJ$8*0.5)+'LINEST VARS'!$B$50*($EJ$8*$DV11)+'LINEST VARS'!$A$50*(0.5*$DV11)</f>
        <v>331.99999999999989</v>
      </c>
      <c r="EK11" s="46">
        <f>'LINEST VARS'!$U$50+'LINEST VARS'!$T$50*(8)+'LINEST VARS'!$S$50*(8)+'LINEST VARS'!$R$50*($EK$8)+'LINEST VARS'!$Q$50*(0.5)+'LINEST VARS'!$P$50*($DV11)+'LINEST VARS'!$O$50*(8^2)+'LINEST VARS'!$N$50*(8^2)+'LINEST VARS'!$M$50*($EK$8^2)+'LINEST VARS'!$L$50*(0.5^2)+'LINEST VARS'!$K$50*($DV11^2)+'LINEST VARS'!$J$50*(8*8)+'LINEST VARS'!$I$50*(8*$EK$8)+'LINEST VARS'!$H$50*(8*0.5)+'LINEST VARS'!$G$50*(8*$DV11)+'LINEST VARS'!$F$50*(8*$EK$8)+'LINEST VARS'!$E$50*(8*0.5)+'LINEST VARS'!$D$50*(8*$DV11)+'LINEST VARS'!$C$50*($EK$8*0.5)+'LINEST VARS'!$B$50*($EK$8*$DV11)+'LINEST VARS'!$A$50*(0.5*$DV11)</f>
        <v>331.99999999999989</v>
      </c>
      <c r="EL11" s="46">
        <f>'LINEST VARS'!$U$50+'LINEST VARS'!$T$50*(8)+'LINEST VARS'!$S$50*(8)+'LINEST VARS'!$R$50*($EL$8)+'LINEST VARS'!$Q$50*(0.5)+'LINEST VARS'!$P$50*($DV11)+'LINEST VARS'!$O$50*(8^2)+'LINEST VARS'!$N$50*(8^2)+'LINEST VARS'!$M$50*($EL$8^2)+'LINEST VARS'!$L$50*(0.5^2)+'LINEST VARS'!$K$50*($DV11^2)+'LINEST VARS'!$J$50*(8*8)+'LINEST VARS'!$I$50*(8*$EL$8)+'LINEST VARS'!$H$50*(8*0.5)+'LINEST VARS'!$G$50*(8*$DV11)+'LINEST VARS'!$F$50*(8*$EL$8)+'LINEST VARS'!$E$50*(8*0.5)+'LINEST VARS'!$D$50*(8*$DV11)+'LINEST VARS'!$C$50*($EL$8*0.5)+'LINEST VARS'!$B$50*($EL$8*$DV11)+'LINEST VARS'!$A$50*(0.5*$DV11)</f>
        <v>331.99999999999989</v>
      </c>
      <c r="EM11" s="46">
        <f>'LINEST VARS'!$U$50+'LINEST VARS'!$T$50*(8)+'LINEST VARS'!$S$50*(8)+'LINEST VARS'!$R$50*($EM$8)+'LINEST VARS'!$Q$50*(0.5)+'LINEST VARS'!$P$50*($DV11)+'LINEST VARS'!$O$50*(8^2)+'LINEST VARS'!$N$50*(8^2)+'LINEST VARS'!$M$50*($EM$8^2)+'LINEST VARS'!$L$50*(0.5^2)+'LINEST VARS'!$K$50*($DV11^2)+'LINEST VARS'!$J$50*(8*8)+'LINEST VARS'!$I$50*(8*$EM$8)+'LINEST VARS'!$H$50*(8*0.5)+'LINEST VARS'!$G$50*(8*$DV11)+'LINEST VARS'!$F$50*(8*$EM$8)+'LINEST VARS'!$E$50*(8*0.5)+'LINEST VARS'!$D$50*(8*$DV11)+'LINEST VARS'!$C$50*($EM$8*0.5)+'LINEST VARS'!$B$50*($EM$8*$DV11)+'LINEST VARS'!$A$50*(0.5*$DV11)</f>
        <v>331.99999999999989</v>
      </c>
      <c r="EN11" s="46">
        <f>'LINEST VARS'!$U$50+'LINEST VARS'!$T$50*(8)+'LINEST VARS'!$S$50*(8)+'LINEST VARS'!$R$50*($EN$8)+'LINEST VARS'!$Q$50*(0.5)+'LINEST VARS'!$P$50*($DV11)+'LINEST VARS'!$O$50*(8^2)+'LINEST VARS'!$N$50*(8^2)+'LINEST VARS'!$M$50*($EN$8^2)+'LINEST VARS'!$L$50*(0.5^2)+'LINEST VARS'!$K$50*($DV11^2)+'LINEST VARS'!$J$50*(8*8)+'LINEST VARS'!$I$50*(8*$EN$8)+'LINEST VARS'!$H$50*(8*0.5)+'LINEST VARS'!$G$50*(8*$DV11)+'LINEST VARS'!$F$50*(8*$EN$8)+'LINEST VARS'!$E$50*(8*0.5)+'LINEST VARS'!$D$50*(8*$DV11)+'LINEST VARS'!$C$50*($EN$8*0.5)+'LINEST VARS'!$B$50*($EN$8*$DV11)+'LINEST VARS'!$A$50*(0.5*$DV11)</f>
        <v>331.99999999999989</v>
      </c>
      <c r="EO11" s="46">
        <f>'LINEST VARS'!$U$50+'LINEST VARS'!$T$50*(8)+'LINEST VARS'!$S$50*(8)+'LINEST VARS'!$R$50*($EO$8)+'LINEST VARS'!$Q$50*(0.5)+'LINEST VARS'!$P$50*($DV11)+'LINEST VARS'!$O$50*(8^2)+'LINEST VARS'!$N$50*(8^2)+'LINEST VARS'!$M$50*($EO$8^2)+'LINEST VARS'!$L$50*(0.5^2)+'LINEST VARS'!$K$50*($DV11^2)+'LINEST VARS'!$J$50*(8*8)+'LINEST VARS'!$I$50*(8*$EO$8)+'LINEST VARS'!$H$50*(8*0.5)+'LINEST VARS'!$G$50*(8*$DV11)+'LINEST VARS'!$F$50*(8*$EO$8)+'LINEST VARS'!$E$50*(8*0.5)+'LINEST VARS'!$D$50*(8*$DV11)+'LINEST VARS'!$C$50*($EO$8*0.5)+'LINEST VARS'!$B$50*($EO$8*$DV11)+'LINEST VARS'!$A$50*(0.5*$DV11)</f>
        <v>331.99999999999989</v>
      </c>
      <c r="EP11" s="46">
        <f>'LINEST VARS'!$U$50+'LINEST VARS'!$T$50*(8)+'LINEST VARS'!$S$50*(8)+'LINEST VARS'!$R$50*($EP$8)+'LINEST VARS'!$Q$50*(0.5)+'LINEST VARS'!$P$50*($DV11)+'LINEST VARS'!$O$50*(8^2)+'LINEST VARS'!$N$50*(8^2)+'LINEST VARS'!$M$50*($EP$8^2)+'LINEST VARS'!$L$50*(0.5^2)+'LINEST VARS'!$K$50*($DV11^2)+'LINEST VARS'!$J$50*(8*8)+'LINEST VARS'!$I$50*(8*$EP$8)+'LINEST VARS'!$H$50*(8*0.5)+'LINEST VARS'!$G$50*(8*$DV11)+'LINEST VARS'!$F$50*(8*$EP$8)+'LINEST VARS'!$E$50*(8*0.5)+'LINEST VARS'!$D$50*(8*$DV11)+'LINEST VARS'!$C$50*($EP$8*0.5)+'LINEST VARS'!$B$50*($EP$8*$DV11)+'LINEST VARS'!$A$50*(0.5*$DV11)</f>
        <v>331.99999999999989</v>
      </c>
      <c r="EQ11" s="47">
        <f>'LINEST VARS'!$U$50+'LINEST VARS'!$T$50*(8)+'LINEST VARS'!$S$50*(8)+'LINEST VARS'!$R$50*($EQ$8)+'LINEST VARS'!$Q$50*(0.5)+'LINEST VARS'!$P$50*($DV11)+'LINEST VARS'!$O$50*(8^2)+'LINEST VARS'!$N$50*(8^2)+'LINEST VARS'!$M$50*($EQ$8^2)+'LINEST VARS'!$L$50*(0.5^2)+'LINEST VARS'!$K$50*($DV11^2)+'LINEST VARS'!$J$50*(8*8)+'LINEST VARS'!$I$50*(8*$EQ$8)+'LINEST VARS'!$H$50*(8*0.5)+'LINEST VARS'!$G$50*(8*$DV11)+'LINEST VARS'!$F$50*(8*$EQ$8)+'LINEST VARS'!$E$50*(8*0.5)+'LINEST VARS'!$D$50*(8*$DV11)+'LINEST VARS'!$C$50*($EQ$8*0.5)+'LINEST VARS'!$B$50*($EQ$8*$DV11)+'LINEST VARS'!$A$50*(0.5*$DV11)</f>
        <v>331.99999999999989</v>
      </c>
    </row>
    <row r="12" spans="2:150" ht="15" customHeight="1" x14ac:dyDescent="0.25">
      <c r="B12" s="45">
        <v>7.58</v>
      </c>
      <c r="C12" s="46">
        <f>'LINEST VARS'!$U$48+'LINEST VARS'!$T$48*($C$8)+'LINEST VARS'!$S$48*($B12)+'LINEST VARS'!$R$48*(4)+'LINEST VARS'!$Q$48*(0.5)+'LINEST VARS'!$P$48*(12.73)+'LINEST VARS'!$O$48*($C$8^2)+'LINEST VARS'!$N$48*($B12^2)+'LINEST VARS'!$M$48*(4^2)+'LINEST VARS'!$L$48*(0.5^2)+'LINEST VARS'!$K$48*(12.73^2)+'LINEST VARS'!$J$48*($C$8*$B12)+'LINEST VARS'!$I$48*($C$8*4)+'LINEST VARS'!$H$48*($C$8*0.5)+'LINEST VARS'!$G$48*($C$8*12.73)+'LINEST VARS'!$F$48*($B12*4)+'LINEST VARS'!$E$48*($B12*0.5)+'LINEST VARS'!$D$48*($B12*12.73)+'LINEST VARS'!$C$48*(4*0.5)+'LINEST VARS'!$B$48*(4*12.73)+'LINEST VARS'!$A$48*(0.5*12.73)</f>
        <v>321.33999999999992</v>
      </c>
      <c r="D12" s="46">
        <f>'LINEST VARS'!$U$48+'LINEST VARS'!$T$48*($D$8)+'LINEST VARS'!$S$48*($B12)+'LINEST VARS'!$R$48*(4)+'LINEST VARS'!$Q$48*(0.5)+'LINEST VARS'!$P$48*(12.73)+'LINEST VARS'!$O$48*($D$8^2)+'LINEST VARS'!$N$48*($B12^2)+'LINEST VARS'!$M$48*(4^2)+'LINEST VARS'!$L$48*(0.5^2)+'LINEST VARS'!$K$48*(12.73^2)+'LINEST VARS'!$J$48*($D$8*$B12)+'LINEST VARS'!$I$48*($D$8*4)+'LINEST VARS'!$H$48*($D$8*0.5)+'LINEST VARS'!$G$48*($D$8*12.73)+'LINEST VARS'!$F$48*($B12*4)+'LINEST VARS'!$E$48*($B12*0.5)+'LINEST VARS'!$D$48*($B12*12.73)+'LINEST VARS'!$C$48*(4*0.5)+'LINEST VARS'!$B$48*(4*12.73)+'LINEST VARS'!$A$48*(0.5*12.73)</f>
        <v>325.91799999999989</v>
      </c>
      <c r="E12" s="46">
        <f>'LINEST VARS'!$U$48+'LINEST VARS'!$T$48*($E$8)+'LINEST VARS'!$S$48*($B12)+'LINEST VARS'!$R$48*(4)+'LINEST VARS'!$Q$48*(0.5)+'LINEST VARS'!$P$48*(12.73)+'LINEST VARS'!$O$48*($E$8^2)+'LINEST VARS'!$N$48*($B12^2)+'LINEST VARS'!$M$48*(4^2)+'LINEST VARS'!$L$48*(0.5^2)+'LINEST VARS'!$K$48*(12.73^2)+'LINEST VARS'!$J$48*($E$8*$B12)+'LINEST VARS'!$I$48*($E$8*4)+'LINEST VARS'!$H$48*($E$8*0.5)+'LINEST VARS'!$G$48*($E$8*12.73)+'LINEST VARS'!$F$48*($B12*4)+'LINEST VARS'!$E$48*($B12*0.5)+'LINEST VARS'!$D$48*($B12*12.73)+'LINEST VARS'!$C$48*(4*0.5)+'LINEST VARS'!$B$48*(4*12.73)+'LINEST VARS'!$A$48*(0.5*12.73)</f>
        <v>330.53199999999987</v>
      </c>
      <c r="F12" s="46">
        <f>'LINEST VARS'!$U$48+'LINEST VARS'!$T$48*($F$8)+'LINEST VARS'!$S$48*($B12)+'LINEST VARS'!$R$48*(4)+'LINEST VARS'!$Q$48*(0.5)+'LINEST VARS'!$P$48*(12.73)+'LINEST VARS'!$O$48*($F$8^2)+'LINEST VARS'!$N$48*($B12^2)+'LINEST VARS'!$M$48*(4^2)+'LINEST VARS'!$L$48*(0.5^2)+'LINEST VARS'!$K$48*(12.73^2)+'LINEST VARS'!$J$48*($F$8*$B12)+'LINEST VARS'!$I$48*($F$8*4)+'LINEST VARS'!$H$48*($F$8*0.5)+'LINEST VARS'!$G$48*($F$8*12.73)+'LINEST VARS'!$F$48*($B12*4)+'LINEST VARS'!$E$48*($B12*0.5)+'LINEST VARS'!$D$48*($B12*12.73)+'LINEST VARS'!$C$48*(4*0.5)+'LINEST VARS'!$B$48*(4*12.73)+'LINEST VARS'!$A$48*(0.5*12.73)</f>
        <v>335.1819999999999</v>
      </c>
      <c r="G12" s="46">
        <f>'LINEST VARS'!$U$48+'LINEST VARS'!$T$48*($G$8)+'LINEST VARS'!$S$48*($B12)+'LINEST VARS'!$R$48*(4)+'LINEST VARS'!$Q$48*(0.5)+'LINEST VARS'!$P$48*(12.73)+'LINEST VARS'!$O$48*($G$8^2)+'LINEST VARS'!$N$48*($B12^2)+'LINEST VARS'!$M$48*(4^2)+'LINEST VARS'!$L$48*(0.5^2)+'LINEST VARS'!$K$48*(12.73^2)+'LINEST VARS'!$J$48*($G$8*$B12)+'LINEST VARS'!$I$48*($G$8*4)+'LINEST VARS'!$H$48*($G$8*0.5)+'LINEST VARS'!$G$48*($G$8*12.73)+'LINEST VARS'!$F$48*($B12*4)+'LINEST VARS'!$E$48*($B12*0.5)+'LINEST VARS'!$D$48*($B12*12.73)+'LINEST VARS'!$C$48*(4*0.5)+'LINEST VARS'!$B$48*(4*12.73)+'LINEST VARS'!$A$48*(0.5*12.73)</f>
        <v>339.86799999999994</v>
      </c>
      <c r="H12" s="46">
        <f>'LINEST VARS'!$U$48+'LINEST VARS'!$T$48*($H$8)+'LINEST VARS'!$S$48*($B12)+'LINEST VARS'!$R$48*(4)+'LINEST VARS'!$Q$48*(0.5)+'LINEST VARS'!$P$48*(12.73)+'LINEST VARS'!$O$48*($H$8^2)+'LINEST VARS'!$N$48*($B12^2)+'LINEST VARS'!$M$48*(4^2)+'LINEST VARS'!$L$48*(0.5^2)+'LINEST VARS'!$K$48*(12.73^2)+'LINEST VARS'!$J$48*($H$8*$B12)+'LINEST VARS'!$I$48*($H$8*4)+'LINEST VARS'!$H$48*($H$8*0.5)+'LINEST VARS'!$G$48*($H$8*12.73)+'LINEST VARS'!$F$48*($B12*4)+'LINEST VARS'!$E$48*($B12*0.5)+'LINEST VARS'!$D$48*($B12*12.73)+'LINEST VARS'!$C$48*(4*0.5)+'LINEST VARS'!$B$48*(4*12.73)+'LINEST VARS'!$A$48*(0.5*12.73)</f>
        <v>344.59</v>
      </c>
      <c r="I12" s="46">
        <f>'LINEST VARS'!$U$48+'LINEST VARS'!$T$48*($I$8)+'LINEST VARS'!$S$48*($B12)+'LINEST VARS'!$R$48*(4)+'LINEST VARS'!$Q$48*(0.5)+'LINEST VARS'!$P$48*(12.73)+'LINEST VARS'!$O$48*($I$8^2)+'LINEST VARS'!$N$48*($B12^2)+'LINEST VARS'!$M$48*(4^2)+'LINEST VARS'!$L$48*(0.5^2)+'LINEST VARS'!$K$48*(12.73^2)+'LINEST VARS'!$J$48*($I$8*$B12)+'LINEST VARS'!$I$48*($I$8*4)+'LINEST VARS'!$H$48*($I$8*0.5)+'LINEST VARS'!$G$48*($I$8*12.73)+'LINEST VARS'!$F$48*($B12*4)+'LINEST VARS'!$E$48*($B12*0.5)+'LINEST VARS'!$D$48*($B12*12.73)+'LINEST VARS'!$C$48*(4*0.5)+'LINEST VARS'!$B$48*(4*12.73)+'LINEST VARS'!$A$48*(0.5*12.73)</f>
        <v>349.3479999999999</v>
      </c>
      <c r="J12" s="46">
        <f>'LINEST VARS'!$U$48+'LINEST VARS'!$T$48*($J$8)+'LINEST VARS'!$S$48*($B12)+'LINEST VARS'!$R$48*(4)+'LINEST VARS'!$Q$48*(0.5)+'LINEST VARS'!$P$48*(12.73)+'LINEST VARS'!$O$48*($J$8^2)+'LINEST VARS'!$N$48*($B12^2)+'LINEST VARS'!$M$48*(4^2)+'LINEST VARS'!$L$48*(0.5^2)+'LINEST VARS'!$K$48*(12.73^2)+'LINEST VARS'!$J$48*($J$8*$B12)+'LINEST VARS'!$I$48*($J$8*4)+'LINEST VARS'!$H$48*($J$8*0.5)+'LINEST VARS'!$G$48*($J$8*12.73)+'LINEST VARS'!$F$48*($B12*4)+'LINEST VARS'!$E$48*($B12*0.5)+'LINEST VARS'!$D$48*($B12*12.73)+'LINEST VARS'!$C$48*(4*0.5)+'LINEST VARS'!$B$48*(4*12.73)+'LINEST VARS'!$A$48*(0.5*12.73)</f>
        <v>354.14199999999994</v>
      </c>
      <c r="K12" s="46">
        <f>'LINEST VARS'!$U$48+'LINEST VARS'!$T$48*($K$8)+'LINEST VARS'!$S$48*($B12)+'LINEST VARS'!$R$48*(4)+'LINEST VARS'!$Q$48*(0.5)+'LINEST VARS'!$P$48*(12.73)+'LINEST VARS'!$O$48*($K$8^2)+'LINEST VARS'!$N$48*($B12^2)+'LINEST VARS'!$M$48*(4^2)+'LINEST VARS'!$L$48*(0.5^2)+'LINEST VARS'!$K$48*(12.73^2)+'LINEST VARS'!$J$48*($K$8*$B12)+'LINEST VARS'!$I$48*($K$8*4)+'LINEST VARS'!$H$48*($K$8*0.5)+'LINEST VARS'!$G$48*($K$8*12.73)+'LINEST VARS'!$F$48*($B12*4)+'LINEST VARS'!$E$48*($B12*0.5)+'LINEST VARS'!$D$48*($B12*12.73)+'LINEST VARS'!$C$48*(4*0.5)+'LINEST VARS'!$B$48*(4*12.73)+'LINEST VARS'!$A$48*(0.5*12.73)</f>
        <v>358.97199999999992</v>
      </c>
      <c r="L12" s="46">
        <f>'LINEST VARS'!$U$48+'LINEST VARS'!$T$48*($L$8)+'LINEST VARS'!$S$48*($B12)+'LINEST VARS'!$R$48*(4)+'LINEST VARS'!$Q$48*(0.5)+'LINEST VARS'!$P$48*(12.73)+'LINEST VARS'!$O$48*($L$8^2)+'LINEST VARS'!$N$48*($B12^2)+'LINEST VARS'!$M$48*(4^2)+'LINEST VARS'!$L$48*(0.5^2)+'LINEST VARS'!$K$48*(12.73^2)+'LINEST VARS'!$J$48*($L$8*$B12)+'LINEST VARS'!$I$48*($L$8*4)+'LINEST VARS'!$H$48*($L$8*0.5)+'LINEST VARS'!$G$48*($L$8*12.73)+'LINEST VARS'!$F$48*($B12*4)+'LINEST VARS'!$E$48*($B12*0.5)+'LINEST VARS'!$D$48*($B12*12.73)+'LINEST VARS'!$C$48*(4*0.5)+'LINEST VARS'!$B$48*(4*12.73)+'LINEST VARS'!$A$48*(0.5*12.73)</f>
        <v>363.83799999999991</v>
      </c>
      <c r="M12" s="46">
        <f>'LINEST VARS'!$U$48+'LINEST VARS'!$T$48*($M$8)+'LINEST VARS'!$S$48*($B12)+'LINEST VARS'!$R$48*(4)+'LINEST VARS'!$Q$48*(0.5)+'LINEST VARS'!$P$48*(12.73)+'LINEST VARS'!$O$48*($M$8^2)+'LINEST VARS'!$N$48*($B12^2)+'LINEST VARS'!$M$48*(4^2)+'LINEST VARS'!$L$48*(0.5^2)+'LINEST VARS'!$K$48*(12.73^2)+'LINEST VARS'!$J$48*($M$8*$B12)+'LINEST VARS'!$I$48*($M$8*4)+'LINEST VARS'!$H$48*($M$8*0.5)+'LINEST VARS'!$G$48*($M$8*12.73)+'LINEST VARS'!$F$48*($B12*4)+'LINEST VARS'!$E$48*($B12*0.5)+'LINEST VARS'!$D$48*($B12*12.73)+'LINEST VARS'!$C$48*(4*0.5)+'LINEST VARS'!$B$48*(4*12.73)+'LINEST VARS'!$A$48*(0.5*12.73)</f>
        <v>368.73999999999984</v>
      </c>
      <c r="N12" s="46">
        <f>'LINEST VARS'!$U$48+'LINEST VARS'!$T$48*($N$8)+'LINEST VARS'!$S$48*($B12)+'LINEST VARS'!$R$48*(4)+'LINEST VARS'!$Q$48*(0.5)+'LINEST VARS'!$P$48*(12.73)+'LINEST VARS'!$O$48*($N$8^2)+'LINEST VARS'!$N$48*($B12^2)+'LINEST VARS'!$M$48*(4^2)+'LINEST VARS'!$L$48*(0.5^2)+'LINEST VARS'!$K$48*(12.73^2)+'LINEST VARS'!$J$48*($N$8*$B12)+'LINEST VARS'!$I$48*($N$8*4)+'LINEST VARS'!$H$48*($N$8*0.5)+'LINEST VARS'!$G$48*($N$8*12.73)+'LINEST VARS'!$F$48*($B12*4)+'LINEST VARS'!$E$48*($B12*0.5)+'LINEST VARS'!$D$48*($B12*12.73)+'LINEST VARS'!$C$48*(4*0.5)+'LINEST VARS'!$B$48*(4*12.73)+'LINEST VARS'!$A$48*(0.5*12.73)</f>
        <v>373.67799999999988</v>
      </c>
      <c r="O12" s="46">
        <f>'LINEST VARS'!$U$48+'LINEST VARS'!$T$48*($O$8)+'LINEST VARS'!$S$48*($B12)+'LINEST VARS'!$R$48*(4)+'LINEST VARS'!$Q$48*(0.5)+'LINEST VARS'!$P$48*(12.73)+'LINEST VARS'!$O$48*($O$8^2)+'LINEST VARS'!$N$48*($B12^2)+'LINEST VARS'!$M$48*(4^2)+'LINEST VARS'!$L$48*(0.5^2)+'LINEST VARS'!$K$48*(12.73^2)+'LINEST VARS'!$J$48*($O$8*$B12)+'LINEST VARS'!$I$48*($O$8*4)+'LINEST VARS'!$H$48*($O$8*0.5)+'LINEST VARS'!$G$48*($O$8*12.73)+'LINEST VARS'!$F$48*($B12*4)+'LINEST VARS'!$E$48*($B12*0.5)+'LINEST VARS'!$D$48*($B12*12.73)+'LINEST VARS'!$C$48*(4*0.5)+'LINEST VARS'!$B$48*(4*12.73)+'LINEST VARS'!$A$48*(0.5*12.73)</f>
        <v>378.65199999999982</v>
      </c>
      <c r="P12" s="46">
        <f>'LINEST VARS'!$U$48+'LINEST VARS'!$T$48*($P$8)+'LINEST VARS'!$S$48*($B12)+'LINEST VARS'!$R$48*(4)+'LINEST VARS'!$Q$48*(0.5)+'LINEST VARS'!$P$48*(12.73)+'LINEST VARS'!$O$48*($P$8^2)+'LINEST VARS'!$N$48*($B12^2)+'LINEST VARS'!$M$48*(4^2)+'LINEST VARS'!$L$48*(0.5^2)+'LINEST VARS'!$K$48*(12.73^2)+'LINEST VARS'!$J$48*($P$8*$B12)+'LINEST VARS'!$I$48*($P$8*4)+'LINEST VARS'!$H$48*($P$8*0.5)+'LINEST VARS'!$G$48*($P$8*12.73)+'LINEST VARS'!$F$48*($B12*4)+'LINEST VARS'!$E$48*($B12*0.5)+'LINEST VARS'!$D$48*($B12*12.73)+'LINEST VARS'!$C$48*(4*0.5)+'LINEST VARS'!$B$48*(4*12.73)+'LINEST VARS'!$A$48*(0.5*12.73)</f>
        <v>383.66199999999981</v>
      </c>
      <c r="Q12" s="46">
        <f>'LINEST VARS'!$U$48+'LINEST VARS'!$T$48*($Q$8)+'LINEST VARS'!$S$48*($B12)+'LINEST VARS'!$R$48*(4)+'LINEST VARS'!$Q$48*(0.5)+'LINEST VARS'!$P$48*(12.73)+'LINEST VARS'!$O$48*($Q$8^2)+'LINEST VARS'!$N$48*($B12^2)+'LINEST VARS'!$M$48*(4^2)+'LINEST VARS'!$L$48*(0.5^2)+'LINEST VARS'!$K$48*(12.73^2)+'LINEST VARS'!$J$48*($Q$8*$B12)+'LINEST VARS'!$I$48*($Q$8*4)+'LINEST VARS'!$H$48*($Q$8*0.5)+'LINEST VARS'!$G$48*($Q$8*12.73)+'LINEST VARS'!$F$48*($B12*4)+'LINEST VARS'!$E$48*($B12*0.5)+'LINEST VARS'!$D$48*($B12*12.73)+'LINEST VARS'!$C$48*(4*0.5)+'LINEST VARS'!$B$48*(4*12.73)+'LINEST VARS'!$A$48*(0.5*12.73)</f>
        <v>388.70799999999986</v>
      </c>
      <c r="R12" s="46">
        <f>'LINEST VARS'!$U$48+'LINEST VARS'!$T$48*($R$8)+'LINEST VARS'!$S$48*($B12)+'LINEST VARS'!$R$48*(4)+'LINEST VARS'!$Q$48*(0.5)+'LINEST VARS'!$P$48*(12.73)+'LINEST VARS'!$O$48*($R$8^2)+'LINEST VARS'!$N$48*($B12^2)+'LINEST VARS'!$M$48*(4^2)+'LINEST VARS'!$L$48*(0.5^2)+'LINEST VARS'!$K$48*(12.73^2)+'LINEST VARS'!$J$48*($R$8*$B12)+'LINEST VARS'!$I$48*($R$8*4)+'LINEST VARS'!$H$48*($R$8*0.5)+'LINEST VARS'!$G$48*($R$8*12.73)+'LINEST VARS'!$F$48*($B12*4)+'LINEST VARS'!$E$48*($B12*0.5)+'LINEST VARS'!$D$48*($B12*12.73)+'LINEST VARS'!$C$48*(4*0.5)+'LINEST VARS'!$B$48*(4*12.73)+'LINEST VARS'!$A$48*(0.5*12.73)</f>
        <v>393.78999999999991</v>
      </c>
      <c r="S12" s="46">
        <f>'LINEST VARS'!$U$48+'LINEST VARS'!$T$48*($S$8)+'LINEST VARS'!$S$48*($B12)+'LINEST VARS'!$R$48*(4)+'LINEST VARS'!$Q$48*(0.5)+'LINEST VARS'!$P$48*(12.73)+'LINEST VARS'!$O$48*($S$8^2)+'LINEST VARS'!$N$48*($B12^2)+'LINEST VARS'!$M$48*(4^2)+'LINEST VARS'!$L$48*(0.5^2)+'LINEST VARS'!$K$48*(12.73^2)+'LINEST VARS'!$J$48*($S$8*$B12)+'LINEST VARS'!$I$48*($S$8*4)+'LINEST VARS'!$H$48*($S$8*0.5)+'LINEST VARS'!$G$48*($S$8*12.73)+'LINEST VARS'!$F$48*($B12*4)+'LINEST VARS'!$E$48*($B12*0.5)+'LINEST VARS'!$D$48*($B12*12.73)+'LINEST VARS'!$C$48*(4*0.5)+'LINEST VARS'!$B$48*(4*12.73)+'LINEST VARS'!$A$48*(0.5*12.73)</f>
        <v>398.90799999999979</v>
      </c>
      <c r="T12" s="46">
        <f>'LINEST VARS'!$U$48+'LINEST VARS'!$T$48*($T$8)+'LINEST VARS'!$S$48*($B12)+'LINEST VARS'!$R$48*(4)+'LINEST VARS'!$Q$48*(0.5)+'LINEST VARS'!$P$48*(12.73)+'LINEST VARS'!$O$48*($T$8^2)+'LINEST VARS'!$N$48*($B12^2)+'LINEST VARS'!$M$48*(4^2)+'LINEST VARS'!$L$48*(0.5^2)+'LINEST VARS'!$K$48*(12.73^2)+'LINEST VARS'!$J$48*($T$8*$B12)+'LINEST VARS'!$I$48*($T$8*4)+'LINEST VARS'!$H$48*($T$8*0.5)+'LINEST VARS'!$G$48*($T$8*12.73)+'LINEST VARS'!$F$48*($B12*4)+'LINEST VARS'!$E$48*($B12*0.5)+'LINEST VARS'!$D$48*($B12*12.73)+'LINEST VARS'!$C$48*(4*0.5)+'LINEST VARS'!$B$48*(4*12.73)+'LINEST VARS'!$A$48*(0.5*12.73)</f>
        <v>404.0619999999999</v>
      </c>
      <c r="U12" s="46">
        <f>'LINEST VARS'!$U$48+'LINEST VARS'!$T$48*($U$8)+'LINEST VARS'!$S$48*($B12)+'LINEST VARS'!$R$48*(4)+'LINEST VARS'!$Q$48*(0.5)+'LINEST VARS'!$P$48*(12.73)+'LINEST VARS'!$O$48*($U$8^2)+'LINEST VARS'!$N$48*($B12^2)+'LINEST VARS'!$M$48*(4^2)+'LINEST VARS'!$L$48*(0.5^2)+'LINEST VARS'!$K$48*(12.73^2)+'LINEST VARS'!$J$48*($U$8*$B12)+'LINEST VARS'!$I$48*($U$8*4)+'LINEST VARS'!$H$48*($U$8*0.5)+'LINEST VARS'!$G$48*($U$8*12.73)+'LINEST VARS'!$F$48*($B12*4)+'LINEST VARS'!$E$48*($B12*0.5)+'LINEST VARS'!$D$48*($B12*12.73)+'LINEST VARS'!$C$48*(4*0.5)+'LINEST VARS'!$B$48*(4*12.73)+'LINEST VARS'!$A$48*(0.5*12.73)</f>
        <v>409.2519999999999</v>
      </c>
      <c r="V12" s="46">
        <f>'LINEST VARS'!$U$48+'LINEST VARS'!$T$48*($V$8)+'LINEST VARS'!$S$48*($B12)+'LINEST VARS'!$R$48*(4)+'LINEST VARS'!$Q$48*(0.5)+'LINEST VARS'!$P$48*(12.73)+'LINEST VARS'!$O$48*($V$8^2)+'LINEST VARS'!$N$48*($B12^2)+'LINEST VARS'!$M$48*(4^2)+'LINEST VARS'!$L$48*(0.5^2)+'LINEST VARS'!$K$48*(12.73^2)+'LINEST VARS'!$J$48*($V$8*$B12)+'LINEST VARS'!$I$48*($V$8*4)+'LINEST VARS'!$H$48*($V$8*0.5)+'LINEST VARS'!$G$48*($V$8*12.73)+'LINEST VARS'!$F$48*($B12*4)+'LINEST VARS'!$E$48*($B12*0.5)+'LINEST VARS'!$D$48*($B12*12.73)+'LINEST VARS'!$C$48*(4*0.5)+'LINEST VARS'!$B$48*(4*12.73)+'LINEST VARS'!$A$48*(0.5*12.73)</f>
        <v>414.47799999999978</v>
      </c>
      <c r="W12" s="47">
        <f>'LINEST VARS'!$U$48+'LINEST VARS'!$T$48*($W$8)+'LINEST VARS'!$S$48*($B12)+'LINEST VARS'!$R$48*(4)+'LINEST VARS'!$Q$48*(0.5)+'LINEST VARS'!$P$48*(12.73)+'LINEST VARS'!$O$48*($W$8^2)+'LINEST VARS'!$N$48*($B12^2)+'LINEST VARS'!$M$48*(4^2)+'LINEST VARS'!$L$48*(0.5^2)+'LINEST VARS'!$K$48*(12.73^2)+'LINEST VARS'!$J$48*($W$8*$B12)+'LINEST VARS'!$I$48*($W$8*4)+'LINEST VARS'!$H$48*($W$8*0.5)+'LINEST VARS'!$G$48*($W$8*12.73)+'LINEST VARS'!$F$48*($B12*4)+'LINEST VARS'!$E$48*($B12*0.5)+'LINEST VARS'!$D$48*($B12*12.73)+'LINEST VARS'!$C$48*(4*0.5)+'LINEST VARS'!$B$48*(4*12.73)+'LINEST VARS'!$A$48*(0.5*12.73)</f>
        <v>419.73999999999984</v>
      </c>
      <c r="Z12" s="45">
        <v>7.58</v>
      </c>
      <c r="AA12" s="46">
        <f>'LINEST VARS'!$U$50+'LINEST VARS'!$T$50*($AA$8)+'LINEST VARS'!$S$50*($Z12)+'LINEST VARS'!$R$50*(4)+'LINEST VARS'!$Q$50*(0.5)+'LINEST VARS'!$P$50*(12.73)+'LINEST VARS'!$O$50*($AA$8^2)+'LINEST VARS'!$N$50*($Z12^2)+'LINEST VARS'!$M$50*(4^2)+'LINEST VARS'!$L$50*(0.5^2)+'LINEST VARS'!$K$50*(12.73^2)+'LINEST VARS'!$J$50*($AA$8*$Z12)+'LINEST VARS'!$I$50*($AA$8*4)+'LINEST VARS'!$H$50*($AA$8*0.5)+'LINEST VARS'!$G$50*($AA$8*12.73)+'LINEST VARS'!$F$50*($Z12*4)+'LINEST VARS'!$E$50*($Z12*0.5)+'LINEST VARS'!$D$50*($Z12*12.73)+'LINEST VARS'!$C$50*(4*0.5)+'LINEST VARS'!$B$50*(4*12.73)+'LINEST VARS'!$A$50*(0.5*12.73)</f>
        <v>330.04999999999995</v>
      </c>
      <c r="AB12" s="46">
        <f>'LINEST VARS'!$U$50+'LINEST VARS'!$T$50*($AB$8)+'LINEST VARS'!$S$50*($Z12)+'LINEST VARS'!$R$50*(4)+'LINEST VARS'!$Q$50*(0.5)+'LINEST VARS'!$P$50*(12.73)+'LINEST VARS'!$O$50*($AB$8^2)+'LINEST VARS'!$N$50*($Z12^2)+'LINEST VARS'!$M$50*(4^2)+'LINEST VARS'!$L$50*(0.5^2)+'LINEST VARS'!$K$50*(12.73^2)+'LINEST VARS'!$J$50*($AB$8*$Z12)+'LINEST VARS'!$I$50*($AB$8*4)+'LINEST VARS'!$H$50*($AB$8*0.5)+'LINEST VARS'!$G$50*($AB$8*12.73)+'LINEST VARS'!$F$50*($Z12*4)+'LINEST VARS'!$E$50*($Z12*0.5)+'LINEST VARS'!$D$50*($Z12*12.73)+'LINEST VARS'!$C$50*(4*0.5)+'LINEST VARS'!$B$50*(4*12.73)+'LINEST VARS'!$A$50*(0.5*12.73)</f>
        <v>330.13999999999993</v>
      </c>
      <c r="AC12" s="46">
        <f>'LINEST VARS'!$U$50+'LINEST VARS'!$T$50*($AC$8)+'LINEST VARS'!$S$50*($Z12)+'LINEST VARS'!$R$50*(4)+'LINEST VARS'!$Q$50*(0.5)+'LINEST VARS'!$P$50*(12.73)+'LINEST VARS'!$O$50*($AC$8^2)+'LINEST VARS'!$N$50*($Z12^2)+'LINEST VARS'!$M$50*(4^2)+'LINEST VARS'!$L$50*(0.5^2)+'LINEST VARS'!$K$50*(12.73^2)+'LINEST VARS'!$J$50*($AC$8*$Z12)+'LINEST VARS'!$I$50*($AC$8*4)+'LINEST VARS'!$H$50*($AC$8*0.5)+'LINEST VARS'!$G$50*($AC$8*12.73)+'LINEST VARS'!$F$50*($Z12*4)+'LINEST VARS'!$E$50*($Z12*0.5)+'LINEST VARS'!$D$50*($Z12*12.73)+'LINEST VARS'!$C$50*(4*0.5)+'LINEST VARS'!$B$50*(4*12.73)+'LINEST VARS'!$A$50*(0.5*12.73)</f>
        <v>330.22999999999996</v>
      </c>
      <c r="AD12" s="46">
        <f>'LINEST VARS'!$U$50+'LINEST VARS'!$T$50*($AD$8)+'LINEST VARS'!$S$50*($Z12)+'LINEST VARS'!$R$50*(4)+'LINEST VARS'!$Q$50*(0.5)+'LINEST VARS'!$P$50*(12.73)+'LINEST VARS'!$O$50*($AD$8^2)+'LINEST VARS'!$N$50*($Z12^2)+'LINEST VARS'!$M$50*(4^2)+'LINEST VARS'!$L$50*(0.5^2)+'LINEST VARS'!$K$50*(12.73^2)+'LINEST VARS'!$J$50*($AD$8*$Z12)+'LINEST VARS'!$I$50*($AD$8*4)+'LINEST VARS'!$H$50*($AD$8*0.5)+'LINEST VARS'!$G$50*($AD$8*12.73)+'LINEST VARS'!$F$50*($Z12*4)+'LINEST VARS'!$E$50*($Z12*0.5)+'LINEST VARS'!$D$50*($Z12*12.73)+'LINEST VARS'!$C$50*(4*0.5)+'LINEST VARS'!$B$50*(4*12.73)+'LINEST VARS'!$A$50*(0.5*12.73)</f>
        <v>330.31999999999994</v>
      </c>
      <c r="AE12" s="46">
        <f>'LINEST VARS'!$U$50+'LINEST VARS'!$T$50*($AE$8)+'LINEST VARS'!$S$50*($Z12)+'LINEST VARS'!$R$50*(4)+'LINEST VARS'!$Q$50*(0.5)+'LINEST VARS'!$P$50*(12.73)+'LINEST VARS'!$O$50*($AE$8^2)+'LINEST VARS'!$N$50*($Z12^2)+'LINEST VARS'!$M$50*(4^2)+'LINEST VARS'!$L$50*(0.5^2)+'LINEST VARS'!$K$50*(12.73^2)+'LINEST VARS'!$J$50*($AE$8*$Z12)+'LINEST VARS'!$I$50*($AE$8*4)+'LINEST VARS'!$H$50*($AE$8*0.5)+'LINEST VARS'!$G$50*($AE$8*12.73)+'LINEST VARS'!$F$50*($Z12*4)+'LINEST VARS'!$E$50*($Z12*0.5)+'LINEST VARS'!$D$50*($Z12*12.73)+'LINEST VARS'!$C$50*(4*0.5)+'LINEST VARS'!$B$50*(4*12.73)+'LINEST VARS'!$A$50*(0.5*12.73)</f>
        <v>330.40999999999991</v>
      </c>
      <c r="AF12" s="46">
        <f>'LINEST VARS'!$U$50+'LINEST VARS'!$T$50*($AF$8)+'LINEST VARS'!$S$50*($Z12)+'LINEST VARS'!$R$50*(4)+'LINEST VARS'!$Q$50*(0.5)+'LINEST VARS'!$P$50*(12.73)+'LINEST VARS'!$O$50*($AF$8^2)+'LINEST VARS'!$N$50*($Z12^2)+'LINEST VARS'!$M$50*(4^2)+'LINEST VARS'!$L$50*(0.5^2)+'LINEST VARS'!$K$50*(12.73^2)+'LINEST VARS'!$J$50*($AF$8*$Z12)+'LINEST VARS'!$I$50*($AF$8*4)+'LINEST VARS'!$H$50*($AF$8*0.5)+'LINEST VARS'!$G$50*($AF$8*12.73)+'LINEST VARS'!$F$50*($Z12*4)+'LINEST VARS'!$E$50*($Z12*0.5)+'LINEST VARS'!$D$50*($Z12*12.73)+'LINEST VARS'!$C$50*(4*0.5)+'LINEST VARS'!$B$50*(4*12.73)+'LINEST VARS'!$A$50*(0.5*12.73)</f>
        <v>330.49999999999994</v>
      </c>
      <c r="AG12" s="46">
        <f>'LINEST VARS'!$U$50+'LINEST VARS'!$T$50*($AG$8)+'LINEST VARS'!$S$50*($Z12)+'LINEST VARS'!$R$50*(4)+'LINEST VARS'!$Q$50*(0.5)+'LINEST VARS'!$P$50*(12.73)+'LINEST VARS'!$O$50*($AG$8^2)+'LINEST VARS'!$N$50*($Z12^2)+'LINEST VARS'!$M$50*(4^2)+'LINEST VARS'!$L$50*(0.5^2)+'LINEST VARS'!$K$50*(12.73^2)+'LINEST VARS'!$J$50*($AG$8*$Z12)+'LINEST VARS'!$I$50*($AG$8*4)+'LINEST VARS'!$H$50*($AG$8*0.5)+'LINEST VARS'!$G$50*($AG$8*12.73)+'LINEST VARS'!$F$50*($Z12*4)+'LINEST VARS'!$E$50*($Z12*0.5)+'LINEST VARS'!$D$50*($Z12*12.73)+'LINEST VARS'!$C$50*(4*0.5)+'LINEST VARS'!$B$50*(4*12.73)+'LINEST VARS'!$A$50*(0.5*12.73)</f>
        <v>330.58999999999992</v>
      </c>
      <c r="AH12" s="46">
        <f>'LINEST VARS'!$U$50+'LINEST VARS'!$T$50*($AH$8)+'LINEST VARS'!$S$50*($Z12)+'LINEST VARS'!$R$50*(4)+'LINEST VARS'!$Q$50*(0.5)+'LINEST VARS'!$P$50*(12.73)+'LINEST VARS'!$O$50*($AH$8^2)+'LINEST VARS'!$N$50*($Z12^2)+'LINEST VARS'!$M$50*(4^2)+'LINEST VARS'!$L$50*(0.5^2)+'LINEST VARS'!$K$50*(12.73^2)+'LINEST VARS'!$J$50*($AH$8*$Z12)+'LINEST VARS'!$I$50*($AH$8*4)+'LINEST VARS'!$H$50*($AH$8*0.5)+'LINEST VARS'!$G$50*($AH$8*12.73)+'LINEST VARS'!$F$50*($Z12*4)+'LINEST VARS'!$E$50*($Z12*0.5)+'LINEST VARS'!$D$50*($Z12*12.73)+'LINEST VARS'!$C$50*(4*0.5)+'LINEST VARS'!$B$50*(4*12.73)+'LINEST VARS'!$A$50*(0.5*12.73)</f>
        <v>330.67999999999995</v>
      </c>
      <c r="AI12" s="46">
        <f>'LINEST VARS'!$U$50+'LINEST VARS'!$T$50*($AI$8)+'LINEST VARS'!$S$50*($Z12)+'LINEST VARS'!$R$50*(4)+'LINEST VARS'!$Q$50*(0.5)+'LINEST VARS'!$P$50*(12.73)+'LINEST VARS'!$O$50*($AI$8^2)+'LINEST VARS'!$N$50*($Z12^2)+'LINEST VARS'!$M$50*(4^2)+'LINEST VARS'!$L$50*(0.5^2)+'LINEST VARS'!$K$50*(12.73^2)+'LINEST VARS'!$J$50*($AI$8*$Z12)+'LINEST VARS'!$I$50*($AI$8*4)+'LINEST VARS'!$H$50*($AI$8*0.5)+'LINEST VARS'!$G$50*($AI$8*12.73)+'LINEST VARS'!$F$50*($Z12*4)+'LINEST VARS'!$E$50*($Z12*0.5)+'LINEST VARS'!$D$50*($Z12*12.73)+'LINEST VARS'!$C$50*(4*0.5)+'LINEST VARS'!$B$50*(4*12.73)+'LINEST VARS'!$A$50*(0.5*12.73)</f>
        <v>330.76999999999992</v>
      </c>
      <c r="AJ12" s="46">
        <f>'LINEST VARS'!$U$50+'LINEST VARS'!$T$50*($AJ$8)+'LINEST VARS'!$S$50*($Z12)+'LINEST VARS'!$R$50*(4)+'LINEST VARS'!$Q$50*(0.5)+'LINEST VARS'!$P$50*(12.73)+'LINEST VARS'!$O$50*($AJ$8^2)+'LINEST VARS'!$N$50*($Z12^2)+'LINEST VARS'!$M$50*(4^2)+'LINEST VARS'!$L$50*(0.5^2)+'LINEST VARS'!$K$50*(12.73^2)+'LINEST VARS'!$J$50*($AJ$8*$Z12)+'LINEST VARS'!$I$50*($AJ$8*4)+'LINEST VARS'!$H$50*($AJ$8*0.5)+'LINEST VARS'!$G$50*($AJ$8*12.73)+'LINEST VARS'!$F$50*($Z12*4)+'LINEST VARS'!$E$50*($Z12*0.5)+'LINEST VARS'!$D$50*($Z12*12.73)+'LINEST VARS'!$C$50*(4*0.5)+'LINEST VARS'!$B$50*(4*12.73)+'LINEST VARS'!$A$50*(0.5*12.73)</f>
        <v>330.85999999999996</v>
      </c>
      <c r="AK12" s="46">
        <f>'LINEST VARS'!$U$50+'LINEST VARS'!$T$50*($AK$8)+'LINEST VARS'!$S$50*($Z12)+'LINEST VARS'!$R$50*(4)+'LINEST VARS'!$Q$50*(0.5)+'LINEST VARS'!$P$50*(12.73)+'LINEST VARS'!$O$50*($AK$8^2)+'LINEST VARS'!$N$50*($Z12^2)+'LINEST VARS'!$M$50*(4^2)+'LINEST VARS'!$L$50*(0.5^2)+'LINEST VARS'!$K$50*(12.73^2)+'LINEST VARS'!$J$50*($AK$8*$Z12)+'LINEST VARS'!$I$50*($AK$8*4)+'LINEST VARS'!$H$50*($AK$8*0.5)+'LINEST VARS'!$G$50*($AK$8*12.73)+'LINEST VARS'!$F$50*($Z12*4)+'LINEST VARS'!$E$50*($Z12*0.5)+'LINEST VARS'!$D$50*($Z12*12.73)+'LINEST VARS'!$C$50*(4*0.5)+'LINEST VARS'!$B$50*(4*12.73)+'LINEST VARS'!$A$50*(0.5*12.73)</f>
        <v>330.94999999999993</v>
      </c>
      <c r="AL12" s="46">
        <f>'LINEST VARS'!$U$50+'LINEST VARS'!$T$50*($AL$8)+'LINEST VARS'!$S$50*($Z12)+'LINEST VARS'!$R$50*(4)+'LINEST VARS'!$Q$50*(0.5)+'LINEST VARS'!$P$50*(12.73)+'LINEST VARS'!$O$50*($AL$8^2)+'LINEST VARS'!$N$50*($Z12^2)+'LINEST VARS'!$M$50*(4^2)+'LINEST VARS'!$L$50*(0.5^2)+'LINEST VARS'!$K$50*(12.73^2)+'LINEST VARS'!$J$50*($AL$8*$Z12)+'LINEST VARS'!$I$50*($AL$8*4)+'LINEST VARS'!$H$50*($AL$8*0.5)+'LINEST VARS'!$G$50*($AL$8*12.73)+'LINEST VARS'!$F$50*($Z12*4)+'LINEST VARS'!$E$50*($Z12*0.5)+'LINEST VARS'!$D$50*($Z12*12.73)+'LINEST VARS'!$C$50*(4*0.5)+'LINEST VARS'!$B$50*(4*12.73)+'LINEST VARS'!$A$50*(0.5*12.73)</f>
        <v>331.03999999999985</v>
      </c>
      <c r="AM12" s="46">
        <f>'LINEST VARS'!$U$50+'LINEST VARS'!$T$50*($AM$8)+'LINEST VARS'!$S$50*($Z12)+'LINEST VARS'!$R$50*(4)+'LINEST VARS'!$Q$50*(0.5)+'LINEST VARS'!$P$50*(12.73)+'LINEST VARS'!$O$50*($AM$8^2)+'LINEST VARS'!$N$50*($Z12^2)+'LINEST VARS'!$M$50*(4^2)+'LINEST VARS'!$L$50*(0.5^2)+'LINEST VARS'!$K$50*(12.73^2)+'LINEST VARS'!$J$50*($AM$8*$Z12)+'LINEST VARS'!$I$50*($AM$8*4)+'LINEST VARS'!$H$50*($AM$8*0.5)+'LINEST VARS'!$G$50*($AM$8*12.73)+'LINEST VARS'!$F$50*($Z12*4)+'LINEST VARS'!$E$50*($Z12*0.5)+'LINEST VARS'!$D$50*($Z12*12.73)+'LINEST VARS'!$C$50*(4*0.5)+'LINEST VARS'!$B$50*(4*12.73)+'LINEST VARS'!$A$50*(0.5*12.73)</f>
        <v>331.12999999999988</v>
      </c>
      <c r="AN12" s="46">
        <f>'LINEST VARS'!$U$50+'LINEST VARS'!$T$50*($AN$8)+'LINEST VARS'!$S$50*($Z12)+'LINEST VARS'!$R$50*(4)+'LINEST VARS'!$Q$50*(0.5)+'LINEST VARS'!$P$50*(12.73)+'LINEST VARS'!$O$50*($AN$8^2)+'LINEST VARS'!$N$50*($Z12^2)+'LINEST VARS'!$M$50*(4^2)+'LINEST VARS'!$L$50*(0.5^2)+'LINEST VARS'!$K$50*(12.73^2)+'LINEST VARS'!$J$50*($AN$8*$Z12)+'LINEST VARS'!$I$50*($AN$8*4)+'LINEST VARS'!$H$50*($AN$8*0.5)+'LINEST VARS'!$G$50*($AN$8*12.73)+'LINEST VARS'!$F$50*($Z12*4)+'LINEST VARS'!$E$50*($Z12*0.5)+'LINEST VARS'!$D$50*($Z12*12.73)+'LINEST VARS'!$C$50*(4*0.5)+'LINEST VARS'!$B$50*(4*12.73)+'LINEST VARS'!$A$50*(0.5*12.73)</f>
        <v>331.21999999999986</v>
      </c>
      <c r="AO12" s="46">
        <f>'LINEST VARS'!$U$50+'LINEST VARS'!$T$50*($AO$8)+'LINEST VARS'!$S$50*($Z12)+'LINEST VARS'!$R$50*(4)+'LINEST VARS'!$Q$50*(0.5)+'LINEST VARS'!$P$50*(12.73)+'LINEST VARS'!$O$50*($AO$8^2)+'LINEST VARS'!$N$50*($Z12^2)+'LINEST VARS'!$M$50*(4^2)+'LINEST VARS'!$L$50*(0.5^2)+'LINEST VARS'!$K$50*(12.73^2)+'LINEST VARS'!$J$50*($AO$8*$Z12)+'LINEST VARS'!$I$50*($AO$8*4)+'LINEST VARS'!$H$50*($AO$8*0.5)+'LINEST VARS'!$G$50*($AO$8*12.73)+'LINEST VARS'!$F$50*($Z12*4)+'LINEST VARS'!$E$50*($Z12*0.5)+'LINEST VARS'!$D$50*($Z12*12.73)+'LINEST VARS'!$C$50*(4*0.5)+'LINEST VARS'!$B$50*(4*12.73)+'LINEST VARS'!$A$50*(0.5*12.73)</f>
        <v>331.30999999999989</v>
      </c>
      <c r="AP12" s="46">
        <f>'LINEST VARS'!$U$50+'LINEST VARS'!$T$50*($AP$8)+'LINEST VARS'!$S$50*($Z12)+'LINEST VARS'!$R$50*(4)+'LINEST VARS'!$Q$50*(0.5)+'LINEST VARS'!$P$50*(12.73)+'LINEST VARS'!$O$50*($AP$8^2)+'LINEST VARS'!$N$50*($Z12^2)+'LINEST VARS'!$M$50*(4^2)+'LINEST VARS'!$L$50*(0.5^2)+'LINEST VARS'!$K$50*(12.73^2)+'LINEST VARS'!$J$50*($AP$8*$Z12)+'LINEST VARS'!$I$50*($AP$8*4)+'LINEST VARS'!$H$50*($AP$8*0.5)+'LINEST VARS'!$G$50*($AP$8*12.73)+'LINEST VARS'!$F$50*($Z12*4)+'LINEST VARS'!$E$50*($Z12*0.5)+'LINEST VARS'!$D$50*($Z12*12.73)+'LINEST VARS'!$C$50*(4*0.5)+'LINEST VARS'!$B$50*(4*12.73)+'LINEST VARS'!$A$50*(0.5*12.73)</f>
        <v>331.39999999999986</v>
      </c>
      <c r="AQ12" s="46">
        <f>'LINEST VARS'!$U$50+'LINEST VARS'!$T$50*($AQ$8)+'LINEST VARS'!$S$50*($Z12)+'LINEST VARS'!$R$50*(4)+'LINEST VARS'!$Q$50*(0.5)+'LINEST VARS'!$P$50*(12.73)+'LINEST VARS'!$O$50*($AQ$8^2)+'LINEST VARS'!$N$50*($Z12^2)+'LINEST VARS'!$M$50*(4^2)+'LINEST VARS'!$L$50*(0.5^2)+'LINEST VARS'!$K$50*(12.73^2)+'LINEST VARS'!$J$50*($AQ$8*$Z12)+'LINEST VARS'!$I$50*($AQ$8*4)+'LINEST VARS'!$H$50*($AQ$8*0.5)+'LINEST VARS'!$G$50*($AQ$8*12.73)+'LINEST VARS'!$F$50*($Z12*4)+'LINEST VARS'!$E$50*($Z12*0.5)+'LINEST VARS'!$D$50*($Z12*12.73)+'LINEST VARS'!$C$50*(4*0.5)+'LINEST VARS'!$B$50*(4*12.73)+'LINEST VARS'!$A$50*(0.5*12.73)</f>
        <v>331.4899999999999</v>
      </c>
      <c r="AR12" s="46">
        <f>'LINEST VARS'!$U$50+'LINEST VARS'!$T$50*($AR$8)+'LINEST VARS'!$S$50*($Z12)+'LINEST VARS'!$R$50*(4)+'LINEST VARS'!$Q$50*(0.5)+'LINEST VARS'!$P$50*(12.73)+'LINEST VARS'!$O$50*($AR$8^2)+'LINEST VARS'!$N$50*($Z12^2)+'LINEST VARS'!$M$50*(4^2)+'LINEST VARS'!$L$50*(0.5^2)+'LINEST VARS'!$K$50*(12.73^2)+'LINEST VARS'!$J$50*($AR$8*$Z12)+'LINEST VARS'!$I$50*($AR$8*4)+'LINEST VARS'!$H$50*($AR$8*0.5)+'LINEST VARS'!$G$50*($AR$8*12.73)+'LINEST VARS'!$F$50*($Z12*4)+'LINEST VARS'!$E$50*($Z12*0.5)+'LINEST VARS'!$D$50*($Z12*12.73)+'LINEST VARS'!$C$50*(4*0.5)+'LINEST VARS'!$B$50*(4*12.73)+'LINEST VARS'!$A$50*(0.5*12.73)</f>
        <v>331.57999999999987</v>
      </c>
      <c r="AS12" s="46">
        <f>'LINEST VARS'!$U$50+'LINEST VARS'!$T$50*($AS$8)+'LINEST VARS'!$S$50*($Z12)+'LINEST VARS'!$R$50*(4)+'LINEST VARS'!$Q$50*(0.5)+'LINEST VARS'!$P$50*(12.73)+'LINEST VARS'!$O$50*($AS$8^2)+'LINEST VARS'!$N$50*($Z12^2)+'LINEST VARS'!$M$50*(4^2)+'LINEST VARS'!$L$50*(0.5^2)+'LINEST VARS'!$K$50*(12.73^2)+'LINEST VARS'!$J$50*($AS$8*$Z12)+'LINEST VARS'!$I$50*($AS$8*4)+'LINEST VARS'!$H$50*($AS$8*0.5)+'LINEST VARS'!$G$50*($AS$8*12.73)+'LINEST VARS'!$F$50*($Z12*4)+'LINEST VARS'!$E$50*($Z12*0.5)+'LINEST VARS'!$D$50*($Z12*12.73)+'LINEST VARS'!$C$50*(4*0.5)+'LINEST VARS'!$B$50*(4*12.73)+'LINEST VARS'!$A$50*(0.5*12.73)</f>
        <v>331.66999999999985</v>
      </c>
      <c r="AT12" s="46">
        <f>'LINEST VARS'!$U$50+'LINEST VARS'!$T$50*($AT$8)+'LINEST VARS'!$S$50*($Z12)+'LINEST VARS'!$R$50*(4)+'LINEST VARS'!$Q$50*(0.5)+'LINEST VARS'!$P$50*(12.73)+'LINEST VARS'!$O$50*($AT$8^2)+'LINEST VARS'!$N$50*($Z12^2)+'LINEST VARS'!$M$50*(4^2)+'LINEST VARS'!$L$50*(0.5^2)+'LINEST VARS'!$K$50*(12.73^2)+'LINEST VARS'!$J$50*($AT$8*$Z12)+'LINEST VARS'!$I$50*($AT$8*4)+'LINEST VARS'!$H$50*($AT$8*0.5)+'LINEST VARS'!$G$50*($AT$8*12.73)+'LINEST VARS'!$F$50*($Z12*4)+'LINEST VARS'!$E$50*($Z12*0.5)+'LINEST VARS'!$D$50*($Z12*12.73)+'LINEST VARS'!$C$50*(4*0.5)+'LINEST VARS'!$B$50*(4*12.73)+'LINEST VARS'!$A$50*(0.5*12.73)</f>
        <v>331.75999999999988</v>
      </c>
      <c r="AU12" s="47">
        <f>'LINEST VARS'!$U$50+'LINEST VARS'!$T$50*($AU$8)+'LINEST VARS'!$S$50*($Z12)+'LINEST VARS'!$R$50*(4)+'LINEST VARS'!$Q$50*(0.5)+'LINEST VARS'!$P$50*(12.73)+'LINEST VARS'!$O$50*($AU$8^2)+'LINEST VARS'!$N$50*($Z12^2)+'LINEST VARS'!$M$50*(4^2)+'LINEST VARS'!$L$50*(0.5^2)+'LINEST VARS'!$K$50*(12.73^2)+'LINEST VARS'!$J$50*($AU$8*$Z12)+'LINEST VARS'!$I$50*($AU$8*4)+'LINEST VARS'!$H$50*($AU$8*0.5)+'LINEST VARS'!$G$50*($AU$8*12.73)+'LINEST VARS'!$F$50*($Z12*4)+'LINEST VARS'!$E$50*($Z12*0.5)+'LINEST VARS'!$D$50*($Z12*12.73)+'LINEST VARS'!$C$50*(4*0.5)+'LINEST VARS'!$B$50*(4*12.73)+'LINEST VARS'!$A$50*(0.5*12.73)</f>
        <v>331.84999999999985</v>
      </c>
      <c r="AZ12" s="45">
        <v>0.15</v>
      </c>
      <c r="BA12" s="46">
        <f>'LINEST VARS'!$U$48+'LINEST VARS'!$T$48*(8)+'LINEST VARS'!$S$48*(8)+'LINEST VARS'!$R$48*($BA$8)+'LINEST VARS'!$Q$48*($AZ12)+'LINEST VARS'!$P$48*(12.73)+'LINEST VARS'!$O$48*(8^2)+'LINEST VARS'!$N$48*(8^2)+'LINEST VARS'!$M$48*($BA$8^2)+'LINEST VARS'!$L$48*($AZ12^2)+'LINEST VARS'!$K$48*(12.73^2)+'LINEST VARS'!$J$48*(8*8)+'LINEST VARS'!$I$48*(8*$BA$8)+'LINEST VARS'!$H$48*(8*$AZ12)+'LINEST VARS'!$G$48*(8*12.73)+'LINEST VARS'!$F$48*(8*$BA$8)+'LINEST VARS'!$E$48*(8*$AZ12)+'LINEST VARS'!$D$48*(8*12.73)+'LINEST VARS'!$C$48*($BA$8*$AZ12)+'LINEST VARS'!$B$48*($BA$8*12.73)+'LINEST VARS'!$A$48*($AZ12*12.73)</f>
        <v>369.99999999999989</v>
      </c>
      <c r="BB12" s="46">
        <f>'LINEST VARS'!$U$48+'LINEST VARS'!$T$48*(8)+'LINEST VARS'!$S$48*(8)+'LINEST VARS'!$R$48*($BB$8)+'LINEST VARS'!$Q$48*($AZ12)+'LINEST VARS'!$P$48*(12.73)+'LINEST VARS'!$O$48*(8^2)+'LINEST VARS'!$N$48*(8^2)+'LINEST VARS'!$M$48*($BB$8^2)+'LINEST VARS'!$L$48*($AZ12^2)+'LINEST VARS'!$K$48*(12.73^2)+'LINEST VARS'!$J$48*(8*8)+'LINEST VARS'!$I$48*(8*$BB$8)+'LINEST VARS'!$H$48*(8*$AZ12)+'LINEST VARS'!$G$48*(8*12.73)+'LINEST VARS'!$F$48*(8*$BB$8)+'LINEST VARS'!$E$48*(8*$AZ12)+'LINEST VARS'!$D$48*(8*12.73)+'LINEST VARS'!$C$48*($BB$8*$AZ12)+'LINEST VARS'!$B$48*($BB$8*12.73)+'LINEST VARS'!$A$48*($AZ12*12.73)</f>
        <v>369.99999999999989</v>
      </c>
      <c r="BC12" s="46">
        <f>'LINEST VARS'!$U$48+'LINEST VARS'!$T$48*(8)+'LINEST VARS'!$S$48*(8)+'LINEST VARS'!$R$48*($BC$8)+'LINEST VARS'!$Q$48*($AZ12)+'LINEST VARS'!$P$48*(12.73)+'LINEST VARS'!$O$48*(8^2)+'LINEST VARS'!$N$48*(8^2)+'LINEST VARS'!$M$48*($BC$8^2)+'LINEST VARS'!$L$48*($AZ12^2)+'LINEST VARS'!$K$48*(12.73^2)+'LINEST VARS'!$J$48*(8*8)+'LINEST VARS'!$I$48*(8*$BC$8)+'LINEST VARS'!$H$48*(8*$AZ12)+'LINEST VARS'!$G$48*(8*12.73)+'LINEST VARS'!$F$48*(8*$BC$8)+'LINEST VARS'!$E$48*(8*$AZ12)+'LINEST VARS'!$D$48*(8*12.73)+'LINEST VARS'!$C$48*($BC$8*$AZ12)+'LINEST VARS'!$B$48*($BC$8*12.73)+'LINEST VARS'!$A$48*($AZ12*12.73)</f>
        <v>369.99999999999989</v>
      </c>
      <c r="BD12" s="46">
        <f>'LINEST VARS'!$U$48+'LINEST VARS'!$T$48*(8)+'LINEST VARS'!$S$48*(8)+'LINEST VARS'!$R$48*($BD$8)+'LINEST VARS'!$Q$48*($AZ12)+'LINEST VARS'!$P$48*(12.73)+'LINEST VARS'!$O$48*(8^2)+'LINEST VARS'!$N$48*(8^2)+'LINEST VARS'!$M$48*($BD$8^2)+'LINEST VARS'!$L$48*($AZ12^2)+'LINEST VARS'!$K$48*(12.73^2)+'LINEST VARS'!$J$48*(8*8)+'LINEST VARS'!$I$48*(8*$BD$8)+'LINEST VARS'!$H$48*(8*$AZ12)+'LINEST VARS'!$G$48*(8*12.73)+'LINEST VARS'!$F$48*(8*$BD$8)+'LINEST VARS'!$E$48*(8*$AZ12)+'LINEST VARS'!$D$48*(8*12.73)+'LINEST VARS'!$C$48*($BD$8*$AZ12)+'LINEST VARS'!$B$48*($BD$8*12.73)+'LINEST VARS'!$A$48*($AZ12*12.73)</f>
        <v>369.99999999999989</v>
      </c>
      <c r="BE12" s="46">
        <f>'LINEST VARS'!$U$48+'LINEST VARS'!$T$48*(8)+'LINEST VARS'!$S$48*(8)+'LINEST VARS'!$R$48*($BE$8)+'LINEST VARS'!$Q$48*($AZ12)+'LINEST VARS'!$P$48*(12.73)+'LINEST VARS'!$O$48*(8^2)+'LINEST VARS'!$N$48*(8^2)+'LINEST VARS'!$M$48*($BE$8^2)+'LINEST VARS'!$L$48*($AZ12^2)+'LINEST VARS'!$K$48*(12.73^2)+'LINEST VARS'!$J$48*(8*8)+'LINEST VARS'!$I$48*(8*$BE$8)+'LINEST VARS'!$H$48*(8*$AZ12)+'LINEST VARS'!$G$48*(8*12.73)+'LINEST VARS'!$F$48*(8*$BE$8)+'LINEST VARS'!$E$48*(8*$AZ12)+'LINEST VARS'!$D$48*(8*12.73)+'LINEST VARS'!$C$48*($BE$8*$AZ12)+'LINEST VARS'!$B$48*($BE$8*12.73)+'LINEST VARS'!$A$48*($AZ12*12.73)</f>
        <v>369.99999999999989</v>
      </c>
      <c r="BF12" s="46">
        <f>'LINEST VARS'!$U$48+'LINEST VARS'!$T$48*(8)+'LINEST VARS'!$S$48*(8)+'LINEST VARS'!$R$48*($BF$8)+'LINEST VARS'!$Q$48*($AZ12)+'LINEST VARS'!$P$48*(12.73)+'LINEST VARS'!$O$48*(8^2)+'LINEST VARS'!$N$48*(8^2)+'LINEST VARS'!$M$48*($BF$8^2)+'LINEST VARS'!$L$48*($AZ12^2)+'LINEST VARS'!$K$48*(12.73^2)+'LINEST VARS'!$J$48*(8*8)+'LINEST VARS'!$I$48*(8*$BF$8)+'LINEST VARS'!$H$48*(8*$AZ12)+'LINEST VARS'!$G$48*(8*12.73)+'LINEST VARS'!$F$48*(8*$BF$8)+'LINEST VARS'!$E$48*(8*$AZ12)+'LINEST VARS'!$D$48*(8*12.73)+'LINEST VARS'!$C$48*($BF$8*$AZ12)+'LINEST VARS'!$B$48*($BF$8*12.73)+'LINEST VARS'!$A$48*($AZ12*12.73)</f>
        <v>369.99999999999989</v>
      </c>
      <c r="BG12" s="46">
        <f>'LINEST VARS'!$U$48+'LINEST VARS'!$T$48*(8)+'LINEST VARS'!$S$48*(8)+'LINEST VARS'!$R$48*($BG$8)+'LINEST VARS'!$Q$48*($AZ12)+'LINEST VARS'!$P$48*(12.73)+'LINEST VARS'!$O$48*(8^2)+'LINEST VARS'!$N$48*(8^2)+'LINEST VARS'!$M$48*($BG$8^2)+'LINEST VARS'!$L$48*($AZ12^2)+'LINEST VARS'!$K$48*(12.73^2)+'LINEST VARS'!$J$48*(8*8)+'LINEST VARS'!$I$48*(8*$BG$8)+'LINEST VARS'!$H$48*(8*$AZ12)+'LINEST VARS'!$G$48*(8*12.73)+'LINEST VARS'!$F$48*(8*$BG$8)+'LINEST VARS'!$E$48*(8*$AZ12)+'LINEST VARS'!$D$48*(8*12.73)+'LINEST VARS'!$C$48*($BG$8*$AZ12)+'LINEST VARS'!$B$48*($BG$8*12.73)+'LINEST VARS'!$A$48*($AZ12*12.73)</f>
        <v>369.99999999999989</v>
      </c>
      <c r="BH12" s="46">
        <f>'LINEST VARS'!$U$48+'LINEST VARS'!$T$48*(8)+'LINEST VARS'!$S$48*(8)+'LINEST VARS'!$R$48*($BH$8)+'LINEST VARS'!$Q$48*($AZ12)+'LINEST VARS'!$P$48*(12.73)+'LINEST VARS'!$O$48*(8^2)+'LINEST VARS'!$N$48*(8^2)+'LINEST VARS'!$M$48*($BH$8^2)+'LINEST VARS'!$L$48*($AZ12^2)+'LINEST VARS'!$K$48*(12.73^2)+'LINEST VARS'!$J$48*(8*8)+'LINEST VARS'!$I$48*(8*$BH$8)+'LINEST VARS'!$H$48*(8*$AZ12)+'LINEST VARS'!$G$48*(8*12.73)+'LINEST VARS'!$F$48*(8*$BH$8)+'LINEST VARS'!$E$48*(8*$AZ12)+'LINEST VARS'!$D$48*(8*12.73)+'LINEST VARS'!$C$48*($BH$8*$AZ12)+'LINEST VARS'!$B$48*($BH$8*12.73)+'LINEST VARS'!$A$48*($AZ12*12.73)</f>
        <v>369.99999999999983</v>
      </c>
      <c r="BI12" s="46">
        <f>'LINEST VARS'!$U$48+'LINEST VARS'!$T$48*(8)+'LINEST VARS'!$S$48*(8)+'LINEST VARS'!$R$48*($BI$8)+'LINEST VARS'!$Q$48*($AZ12)+'LINEST VARS'!$P$48*(12.73)+'LINEST VARS'!$O$48*(8^2)+'LINEST VARS'!$N$48*(8^2)+'LINEST VARS'!$M$48*($BI$8^2)+'LINEST VARS'!$L$48*($AZ12^2)+'LINEST VARS'!$K$48*(12.73^2)+'LINEST VARS'!$J$48*(8*8)+'LINEST VARS'!$I$48*(8*$BI$8)+'LINEST VARS'!$H$48*(8*$AZ12)+'LINEST VARS'!$G$48*(8*12.73)+'LINEST VARS'!$F$48*(8*$BI$8)+'LINEST VARS'!$E$48*(8*$AZ12)+'LINEST VARS'!$D$48*(8*12.73)+'LINEST VARS'!$C$48*($BI$8*$AZ12)+'LINEST VARS'!$B$48*($BI$8*12.73)+'LINEST VARS'!$A$48*($AZ12*12.73)</f>
        <v>369.99999999999983</v>
      </c>
      <c r="BJ12" s="46">
        <f>'LINEST VARS'!$U$48+'LINEST VARS'!$T$48*(8)+'LINEST VARS'!$S$48*(8)+'LINEST VARS'!$R$48*($BJ$8)+'LINEST VARS'!$Q$48*($AZ12)+'LINEST VARS'!$P$48*(12.73)+'LINEST VARS'!$O$48*(8^2)+'LINEST VARS'!$N$48*(8^2)+'LINEST VARS'!$M$48*($BJ$8^2)+'LINEST VARS'!$L$48*($AZ12^2)+'LINEST VARS'!$K$48*(12.73^2)+'LINEST VARS'!$J$48*(8*8)+'LINEST VARS'!$I$48*(8*$BJ$8)+'LINEST VARS'!$H$48*(8*$AZ12)+'LINEST VARS'!$G$48*(8*12.73)+'LINEST VARS'!$F$48*(8*$BJ$8)+'LINEST VARS'!$E$48*(8*$AZ12)+'LINEST VARS'!$D$48*(8*12.73)+'LINEST VARS'!$C$48*($BJ$8*$AZ12)+'LINEST VARS'!$B$48*($BJ$8*12.73)+'LINEST VARS'!$A$48*($AZ12*12.73)</f>
        <v>369.99999999999983</v>
      </c>
      <c r="BK12" s="46">
        <f>'LINEST VARS'!$U$48+'LINEST VARS'!$T$48*(8)+'LINEST VARS'!$S$48*(8)+'LINEST VARS'!$R$48*($BK$8)+'LINEST VARS'!$Q$48*($AZ12)+'LINEST VARS'!$P$48*(12.73)+'LINEST VARS'!$O$48*(8^2)+'LINEST VARS'!$N$48*(8^2)+'LINEST VARS'!$M$48*($BK$8^2)+'LINEST VARS'!$L$48*($AZ12^2)+'LINEST VARS'!$K$48*(12.73^2)+'LINEST VARS'!$J$48*(8*8)+'LINEST VARS'!$I$48*(8*$BK$8)+'LINEST VARS'!$H$48*(8*$AZ12)+'LINEST VARS'!$G$48*(8*12.73)+'LINEST VARS'!$F$48*(8*$BK$8)+'LINEST VARS'!$E$48*(8*$AZ12)+'LINEST VARS'!$D$48*(8*12.73)+'LINEST VARS'!$C$48*($BK$8*$AZ12)+'LINEST VARS'!$B$48*($BK$8*12.73)+'LINEST VARS'!$A$48*($AZ12*12.73)</f>
        <v>369.99999999999983</v>
      </c>
      <c r="BL12" s="46">
        <f>'LINEST VARS'!$U$48+'LINEST VARS'!$T$48*(8)+'LINEST VARS'!$S$48*(8)+'LINEST VARS'!$R$48*($BL$8)+'LINEST VARS'!$Q$48*($AZ12)+'LINEST VARS'!$P$48*(12.73)+'LINEST VARS'!$O$48*(8^2)+'LINEST VARS'!$N$48*(8^2)+'LINEST VARS'!$M$48*($BL$8^2)+'LINEST VARS'!$L$48*($AZ12^2)+'LINEST VARS'!$K$48*(12.73^2)+'LINEST VARS'!$J$48*(8*8)+'LINEST VARS'!$I$48*(8*$BL$8)+'LINEST VARS'!$H$48*(8*$AZ12)+'LINEST VARS'!$G$48*(8*12.73)+'LINEST VARS'!$F$48*(8*$BL$8)+'LINEST VARS'!$E$48*(8*$AZ12)+'LINEST VARS'!$D$48*(8*12.73)+'LINEST VARS'!$C$48*($BL$8*$AZ12)+'LINEST VARS'!$B$48*($BL$8*12.73)+'LINEST VARS'!$A$48*($AZ12*12.73)</f>
        <v>369.99999999999983</v>
      </c>
      <c r="BM12" s="46">
        <f>'LINEST VARS'!$U$48+'LINEST VARS'!$T$48*(8)+'LINEST VARS'!$S$48*(8)+'LINEST VARS'!$R$48*($BM$8)+'LINEST VARS'!$Q$48*($AZ12)+'LINEST VARS'!$P$48*(12.73)+'LINEST VARS'!$O$48*(8^2)+'LINEST VARS'!$N$48*(8^2)+'LINEST VARS'!$M$48*($BM$8^2)+'LINEST VARS'!$L$48*($AZ12^2)+'LINEST VARS'!$K$48*(12.73^2)+'LINEST VARS'!$J$48*(8*8)+'LINEST VARS'!$I$48*(8*$BM$8)+'LINEST VARS'!$H$48*(8*$AZ12)+'LINEST VARS'!$G$48*(8*12.73)+'LINEST VARS'!$F$48*(8*$BM$8)+'LINEST VARS'!$E$48*(8*$AZ12)+'LINEST VARS'!$D$48*(8*12.73)+'LINEST VARS'!$C$48*($BM$8*$AZ12)+'LINEST VARS'!$B$48*($BM$8*12.73)+'LINEST VARS'!$A$48*($AZ12*12.73)</f>
        <v>369.99999999999983</v>
      </c>
      <c r="BN12" s="46">
        <f>'LINEST VARS'!$U$48+'LINEST VARS'!$T$48*(8)+'LINEST VARS'!$S$48*(8)+'LINEST VARS'!$R$48*($BN$8)+'LINEST VARS'!$Q$48*($AZ12)+'LINEST VARS'!$P$48*(12.73)+'LINEST VARS'!$O$48*(8^2)+'LINEST VARS'!$N$48*(8^2)+'LINEST VARS'!$M$48*($BN$8^2)+'LINEST VARS'!$L$48*($AZ12^2)+'LINEST VARS'!$K$48*(12.73^2)+'LINEST VARS'!$J$48*(8*8)+'LINEST VARS'!$I$48*(8*$BN$8)+'LINEST VARS'!$H$48*(8*$AZ12)+'LINEST VARS'!$G$48*(8*12.73)+'LINEST VARS'!$F$48*(8*$BN$8)+'LINEST VARS'!$E$48*(8*$AZ12)+'LINEST VARS'!$D$48*(8*12.73)+'LINEST VARS'!$C$48*($BN$8*$AZ12)+'LINEST VARS'!$B$48*($BN$8*12.73)+'LINEST VARS'!$A$48*($AZ12*12.73)</f>
        <v>369.99999999999989</v>
      </c>
      <c r="BO12" s="46">
        <f>'LINEST VARS'!$U$48+'LINEST VARS'!$T$48*(8)+'LINEST VARS'!$S$48*(8)+'LINEST VARS'!$R$48*($BO$8)+'LINEST VARS'!$Q$48*($AZ12)+'LINEST VARS'!$P$48*(12.73)+'LINEST VARS'!$O$48*(8^2)+'LINEST VARS'!$N$48*(8^2)+'LINEST VARS'!$M$48*($BO$8^2)+'LINEST VARS'!$L$48*($AZ12^2)+'LINEST VARS'!$K$48*(12.73^2)+'LINEST VARS'!$J$48*(8*8)+'LINEST VARS'!$I$48*(8*$BO$8)+'LINEST VARS'!$H$48*(8*$AZ12)+'LINEST VARS'!$G$48*(8*12.73)+'LINEST VARS'!$F$48*(8*$BO$8)+'LINEST VARS'!$E$48*(8*$AZ12)+'LINEST VARS'!$D$48*(8*12.73)+'LINEST VARS'!$C$48*($BO$8*$AZ12)+'LINEST VARS'!$B$48*($BO$8*12.73)+'LINEST VARS'!$A$48*($AZ12*12.73)</f>
        <v>369.99999999999989</v>
      </c>
      <c r="BP12" s="46">
        <f>'LINEST VARS'!$U$48+'LINEST VARS'!$T$48*(8)+'LINEST VARS'!$S$48*(8)+'LINEST VARS'!$R$48*($BP$8)+'LINEST VARS'!$Q$48*($AZ12)+'LINEST VARS'!$P$48*(12.73)+'LINEST VARS'!$O$48*(8^2)+'LINEST VARS'!$N$48*(8^2)+'LINEST VARS'!$M$48*($BP$8^2)+'LINEST VARS'!$L$48*($AZ12^2)+'LINEST VARS'!$K$48*(12.73^2)+'LINEST VARS'!$J$48*(8*8)+'LINEST VARS'!$I$48*(8*$BP$8)+'LINEST VARS'!$H$48*(8*$AZ12)+'LINEST VARS'!$G$48*(8*12.73)+'LINEST VARS'!$F$48*(8*$BP$8)+'LINEST VARS'!$E$48*(8*$AZ12)+'LINEST VARS'!$D$48*(8*12.73)+'LINEST VARS'!$C$48*($BP$8*$AZ12)+'LINEST VARS'!$B$48*($BP$8*12.73)+'LINEST VARS'!$A$48*($AZ12*12.73)</f>
        <v>369.99999999999989</v>
      </c>
      <c r="BQ12" s="46">
        <f>'LINEST VARS'!$U$48+'LINEST VARS'!$T$48*(8)+'LINEST VARS'!$S$48*(8)+'LINEST VARS'!$R$48*($BQ$8)+'LINEST VARS'!$Q$48*($AZ12)+'LINEST VARS'!$P$48*(12.73)+'LINEST VARS'!$O$48*(8^2)+'LINEST VARS'!$N$48*(8^2)+'LINEST VARS'!$M$48*($BQ$8^2)+'LINEST VARS'!$L$48*($AZ12^2)+'LINEST VARS'!$K$48*(12.73^2)+'LINEST VARS'!$J$48*(8*8)+'LINEST VARS'!$I$48*(8*$BQ$8)+'LINEST VARS'!$H$48*(8*$AZ12)+'LINEST VARS'!$G$48*(8*12.73)+'LINEST VARS'!$F$48*(8*$BQ$8)+'LINEST VARS'!$E$48*(8*$AZ12)+'LINEST VARS'!$D$48*(8*12.73)+'LINEST VARS'!$C$48*($BQ$8*$AZ12)+'LINEST VARS'!$B$48*($BQ$8*12.73)+'LINEST VARS'!$A$48*($AZ12*12.73)</f>
        <v>369.99999999999983</v>
      </c>
      <c r="BR12" s="46">
        <f>'LINEST VARS'!$U$48+'LINEST VARS'!$T$48*(8)+'LINEST VARS'!$S$48*(8)+'LINEST VARS'!$R$48*($BR$8)+'LINEST VARS'!$Q$48*($AZ12)+'LINEST VARS'!$P$48*(12.73)+'LINEST VARS'!$O$48*(8^2)+'LINEST VARS'!$N$48*(8^2)+'LINEST VARS'!$M$48*($BR$8^2)+'LINEST VARS'!$L$48*($AZ12^2)+'LINEST VARS'!$K$48*(12.73^2)+'LINEST VARS'!$J$48*(8*8)+'LINEST VARS'!$I$48*(8*$BR$8)+'LINEST VARS'!$H$48*(8*$AZ12)+'LINEST VARS'!$G$48*(8*12.73)+'LINEST VARS'!$F$48*(8*$BR$8)+'LINEST VARS'!$E$48*(8*$AZ12)+'LINEST VARS'!$D$48*(8*12.73)+'LINEST VARS'!$C$48*($BR$8*$AZ12)+'LINEST VARS'!$B$48*($BR$8*12.73)+'LINEST VARS'!$A$48*($AZ12*12.73)</f>
        <v>369.99999999999983</v>
      </c>
      <c r="BS12" s="46">
        <f>'LINEST VARS'!$U$48+'LINEST VARS'!$T$48*(8)+'LINEST VARS'!$S$48*(8)+'LINEST VARS'!$R$48*($BS$8)+'LINEST VARS'!$Q$48*($AZ12)+'LINEST VARS'!$P$48*(12.73)+'LINEST VARS'!$O$48*(8^2)+'LINEST VARS'!$N$48*(8^2)+'LINEST VARS'!$M$48*($BS$8^2)+'LINEST VARS'!$L$48*($AZ12^2)+'LINEST VARS'!$K$48*(12.73^2)+'LINEST VARS'!$J$48*(8*8)+'LINEST VARS'!$I$48*(8*$BS$8)+'LINEST VARS'!$H$48*(8*$AZ12)+'LINEST VARS'!$G$48*(8*12.73)+'LINEST VARS'!$F$48*(8*$BS$8)+'LINEST VARS'!$E$48*(8*$AZ12)+'LINEST VARS'!$D$48*(8*12.73)+'LINEST VARS'!$C$48*($BS$8*$AZ12)+'LINEST VARS'!$B$48*($BS$8*12.73)+'LINEST VARS'!$A$48*($AZ12*12.73)</f>
        <v>369.99999999999983</v>
      </c>
      <c r="BT12" s="46">
        <f>'LINEST VARS'!$U$48+'LINEST VARS'!$T$48*(8)+'LINEST VARS'!$S$48*(8)+'LINEST VARS'!$R$48*($BT$8)+'LINEST VARS'!$Q$48*($AZ12)+'LINEST VARS'!$P$48*(12.73)+'LINEST VARS'!$O$48*(8^2)+'LINEST VARS'!$N$48*(8^2)+'LINEST VARS'!$M$48*($BT$8^2)+'LINEST VARS'!$L$48*($AZ12^2)+'LINEST VARS'!$K$48*(12.73^2)+'LINEST VARS'!$J$48*(8*8)+'LINEST VARS'!$I$48*(8*$BT$8)+'LINEST VARS'!$H$48*(8*$AZ12)+'LINEST VARS'!$G$48*(8*12.73)+'LINEST VARS'!$F$48*(8*$BT$8)+'LINEST VARS'!$E$48*(8*$AZ12)+'LINEST VARS'!$D$48*(8*12.73)+'LINEST VARS'!$C$48*($BT$8*$AZ12)+'LINEST VARS'!$B$48*($BT$8*12.73)+'LINEST VARS'!$A$48*($AZ12*12.73)</f>
        <v>369.99999999999983</v>
      </c>
      <c r="BU12" s="47">
        <f>'LINEST VARS'!$U$48+'LINEST VARS'!$T$48*(8)+'LINEST VARS'!$S$48*(8)+'LINEST VARS'!$R$48*($BU$8)+'LINEST VARS'!$Q$48*($AZ12)+'LINEST VARS'!$P$48*(12.73)+'LINEST VARS'!$O$48*(8^2)+'LINEST VARS'!$N$48*(8^2)+'LINEST VARS'!$M$48*($BU$8^2)+'LINEST VARS'!$L$48*($AZ12^2)+'LINEST VARS'!$K$48*(12.73^2)+'LINEST VARS'!$J$48*(8*8)+'LINEST VARS'!$I$48*(8*$BU$8)+'LINEST VARS'!$H$48*(8*$AZ12)+'LINEST VARS'!$G$48*(8*12.73)+'LINEST VARS'!$F$48*(8*$BU$8)+'LINEST VARS'!$E$48*(8*$AZ12)+'LINEST VARS'!$D$48*(8*12.73)+'LINEST VARS'!$C$48*($BU$8*$AZ12)+'LINEST VARS'!$B$48*($BU$8*12.73)+'LINEST VARS'!$A$48*($AZ12*12.73)</f>
        <v>369.99999999999983</v>
      </c>
      <c r="BX12" s="45">
        <v>0.15</v>
      </c>
      <c r="BY12" s="46">
        <f>'LINEST VARS'!$U$50+'LINEST VARS'!$T$50*(8)+'LINEST VARS'!$S$50*(8)+'LINEST VARS'!$R$50*($BY$8)+'LINEST VARS'!$Q$50*($BX12)+'LINEST VARS'!$P$50*(12.73)+'LINEST VARS'!$O$50*(8^2)+'LINEST VARS'!$N$50*(8^2)+'LINEST VARS'!$M$50*($BY$8^2)+'LINEST VARS'!$L$50*($BX12^2)+'LINEST VARS'!$K$50*(12.73^2)+'LINEST VARS'!$J$50*(8*8)+'LINEST VARS'!$I$50*(8*$BY$8)+'LINEST VARS'!$H$50*(8*$BX12)+'LINEST VARS'!$G$50*(8*12.73)+'LINEST VARS'!$F$50*(8*$BY$8)+'LINEST VARS'!$E$50*(8*$BX12)+'LINEST VARS'!$D$50*(8*12.73)+'LINEST VARS'!$C$50*($BY$8*$BX12)+'LINEST VARS'!$B$50*($BY$8*12.73)+'LINEST VARS'!$A$50*($BX12*12.73)</f>
        <v>331.99999999999989</v>
      </c>
      <c r="BZ12" s="46">
        <f>'LINEST VARS'!$U$50+'LINEST VARS'!$T$50*(8)+'LINEST VARS'!$S$50*(8)+'LINEST VARS'!$R$50*($BZ$8)+'LINEST VARS'!$Q$50*($BX12)+'LINEST VARS'!$P$50*(12.73)+'LINEST VARS'!$O$50*(8^2)+'LINEST VARS'!$N$50*(8^2)+'LINEST VARS'!$M$50*($BZ$8^2)+'LINEST VARS'!$L$50*($BX12^2)+'LINEST VARS'!$K$50*(12.73^2)+'LINEST VARS'!$J$50*(8*8)+'LINEST VARS'!$I$50*(8*$BZ$8)+'LINEST VARS'!$H$50*(8*$BX12)+'LINEST VARS'!$G$50*(8*12.73)+'LINEST VARS'!$F$50*(8*$BZ$8)+'LINEST VARS'!$E$50*(8*$BX12)+'LINEST VARS'!$D$50*(8*12.73)+'LINEST VARS'!$C$50*($BZ$8*$BX12)+'LINEST VARS'!$B$50*($BZ$8*12.73)+'LINEST VARS'!$A$50*($BX12*12.73)</f>
        <v>331.99999999999989</v>
      </c>
      <c r="CA12" s="46">
        <f>'LINEST VARS'!$U$50+'LINEST VARS'!$T$50*(8)+'LINEST VARS'!$S$50*(8)+'LINEST VARS'!$R$50*($CA$8)+'LINEST VARS'!$Q$50*($BX12)+'LINEST VARS'!$P$50*(12.73)+'LINEST VARS'!$O$50*(8^2)+'LINEST VARS'!$N$50*(8^2)+'LINEST VARS'!$M$50*($CA$8^2)+'LINEST VARS'!$L$50*($BX12^2)+'LINEST VARS'!$K$50*(12.73^2)+'LINEST VARS'!$J$50*(8*8)+'LINEST VARS'!$I$50*(8*$CA$8)+'LINEST VARS'!$H$50*(8*$BX12)+'LINEST VARS'!$G$50*(8*12.73)+'LINEST VARS'!$F$50*(8*$CA$8)+'LINEST VARS'!$E$50*(8*$BX12)+'LINEST VARS'!$D$50*(8*12.73)+'LINEST VARS'!$C$50*($CA$8*$BX12)+'LINEST VARS'!$B$50*($CA$8*12.73)+'LINEST VARS'!$A$50*($BX12*12.73)</f>
        <v>331.99999999999989</v>
      </c>
      <c r="CB12" s="46">
        <f>'LINEST VARS'!$U$50+'LINEST VARS'!$T$50*(8)+'LINEST VARS'!$S$50*(8)+'LINEST VARS'!$R$50*($CB$8)+'LINEST VARS'!$Q$50*($BX12)+'LINEST VARS'!$P$50*(12.73)+'LINEST VARS'!$O$50*(8^2)+'LINEST VARS'!$N$50*(8^2)+'LINEST VARS'!$M$50*($CB$8^2)+'LINEST VARS'!$L$50*($BX12^2)+'LINEST VARS'!$K$50*(12.73^2)+'LINEST VARS'!$J$50*(8*8)+'LINEST VARS'!$I$50*(8*$CB$8)+'LINEST VARS'!$H$50*(8*$BX12)+'LINEST VARS'!$G$50*(8*12.73)+'LINEST VARS'!$F$50*(8*$CB$8)+'LINEST VARS'!$E$50*(8*$BX12)+'LINEST VARS'!$D$50*(8*12.73)+'LINEST VARS'!$C$50*($CB$8*$BX12)+'LINEST VARS'!$B$50*($CB$8*12.73)+'LINEST VARS'!$A$50*($BX12*12.73)</f>
        <v>331.99999999999989</v>
      </c>
      <c r="CC12" s="46">
        <f>'LINEST VARS'!$U$50+'LINEST VARS'!$T$50*(8)+'LINEST VARS'!$S$50*(8)+'LINEST VARS'!$R$50*($CC$8)+'LINEST VARS'!$Q$50*($BX12)+'LINEST VARS'!$P$50*(12.73)+'LINEST VARS'!$O$50*(8^2)+'LINEST VARS'!$N$50*(8^2)+'LINEST VARS'!$M$50*($CC$8^2)+'LINEST VARS'!$L$50*($BX12^2)+'LINEST VARS'!$K$50*(12.73^2)+'LINEST VARS'!$J$50*(8*8)+'LINEST VARS'!$I$50*(8*$CC$8)+'LINEST VARS'!$H$50*(8*$BX12)+'LINEST VARS'!$G$50*(8*12.73)+'LINEST VARS'!$F$50*(8*$CC$8)+'LINEST VARS'!$E$50*(8*$BX12)+'LINEST VARS'!$D$50*(8*12.73)+'LINEST VARS'!$C$50*($CC$8*$BX12)+'LINEST VARS'!$B$50*($CC$8*12.73)+'LINEST VARS'!$A$50*($BX12*12.73)</f>
        <v>331.99999999999989</v>
      </c>
      <c r="CD12" s="46">
        <f>'LINEST VARS'!$U$50+'LINEST VARS'!$T$50*(8)+'LINEST VARS'!$S$50*(8)+'LINEST VARS'!$R$50*($CD$8)+'LINEST VARS'!$Q$50*($BX12)+'LINEST VARS'!$P$50*(12.73)+'LINEST VARS'!$O$50*(8^2)+'LINEST VARS'!$N$50*(8^2)+'LINEST VARS'!$M$50*($CD$8^2)+'LINEST VARS'!$L$50*($BX12^2)+'LINEST VARS'!$K$50*(12.73^2)+'LINEST VARS'!$J$50*(8*8)+'LINEST VARS'!$I$50*(8*$CD$8)+'LINEST VARS'!$H$50*(8*$BX12)+'LINEST VARS'!$G$50*(8*12.73)+'LINEST VARS'!$F$50*(8*$CD$8)+'LINEST VARS'!$E$50*(8*$BX12)+'LINEST VARS'!$D$50*(8*12.73)+'LINEST VARS'!$C$50*($CD$8*$BX12)+'LINEST VARS'!$B$50*($CD$8*12.73)+'LINEST VARS'!$A$50*($BX12*12.73)</f>
        <v>331.99999999999989</v>
      </c>
      <c r="CE12" s="46">
        <f>'LINEST VARS'!$U$50+'LINEST VARS'!$T$50*(8)+'LINEST VARS'!$S$50*(8)+'LINEST VARS'!$R$50*($CE$8)+'LINEST VARS'!$Q$50*($BX12)+'LINEST VARS'!$P$50*(12.73)+'LINEST VARS'!$O$50*(8^2)+'LINEST VARS'!$N$50*(8^2)+'LINEST VARS'!$M$50*($CE$8^2)+'LINEST VARS'!$L$50*($BX12^2)+'LINEST VARS'!$K$50*(12.73^2)+'LINEST VARS'!$J$50*(8*8)+'LINEST VARS'!$I$50*(8*$CE$8)+'LINEST VARS'!$H$50*(8*$BX12)+'LINEST VARS'!$G$50*(8*12.73)+'LINEST VARS'!$F$50*(8*$CE$8)+'LINEST VARS'!$E$50*(8*$BX12)+'LINEST VARS'!$D$50*(8*12.73)+'LINEST VARS'!$C$50*($CE$8*$BX12)+'LINEST VARS'!$B$50*($CE$8*12.73)+'LINEST VARS'!$A$50*($BX12*12.73)</f>
        <v>331.99999999999989</v>
      </c>
      <c r="CF12" s="46">
        <f>'LINEST VARS'!$U$50+'LINEST VARS'!$T$50*(8)+'LINEST VARS'!$S$50*(8)+'LINEST VARS'!$R$50*($CF$8)+'LINEST VARS'!$Q$50*($BX12)+'LINEST VARS'!$P$50*(12.73)+'LINEST VARS'!$O$50*(8^2)+'LINEST VARS'!$N$50*(8^2)+'LINEST VARS'!$M$50*($CF$8^2)+'LINEST VARS'!$L$50*($BX12^2)+'LINEST VARS'!$K$50*(12.73^2)+'LINEST VARS'!$J$50*(8*8)+'LINEST VARS'!$I$50*(8*$CF$8)+'LINEST VARS'!$H$50*(8*$BX12)+'LINEST VARS'!$G$50*(8*12.73)+'LINEST VARS'!$F$50*(8*$CF$8)+'LINEST VARS'!$E$50*(8*$BX12)+'LINEST VARS'!$D$50*(8*12.73)+'LINEST VARS'!$C$50*($CF$8*$BX12)+'LINEST VARS'!$B$50*($CF$8*12.73)+'LINEST VARS'!$A$50*($BX12*12.73)</f>
        <v>331.99999999999989</v>
      </c>
      <c r="CG12" s="46">
        <f>'LINEST VARS'!$U$50+'LINEST VARS'!$T$50*(8)+'LINEST VARS'!$S$50*(8)+'LINEST VARS'!$R$50*($CG$8)+'LINEST VARS'!$Q$50*($BX12)+'LINEST VARS'!$P$50*(12.73)+'LINEST VARS'!$O$50*(8^2)+'LINEST VARS'!$N$50*(8^2)+'LINEST VARS'!$M$50*($CG$8^2)+'LINEST VARS'!$L$50*($BX12^2)+'LINEST VARS'!$K$50*(12.73^2)+'LINEST VARS'!$J$50*(8*8)+'LINEST VARS'!$I$50*(8*$CG$8)+'LINEST VARS'!$H$50*(8*$BX12)+'LINEST VARS'!$G$50*(8*12.73)+'LINEST VARS'!$F$50*(8*$CG$8)+'LINEST VARS'!$E$50*(8*$BX12)+'LINEST VARS'!$D$50*(8*12.73)+'LINEST VARS'!$C$50*($CG$8*$BX12)+'LINEST VARS'!$B$50*($CG$8*12.73)+'LINEST VARS'!$A$50*($BX12*12.73)</f>
        <v>331.99999999999989</v>
      </c>
      <c r="CH12" s="46">
        <f>'LINEST VARS'!$U$50+'LINEST VARS'!$T$50*(8)+'LINEST VARS'!$S$50*(8)+'LINEST VARS'!$R$50*($CH$8)+'LINEST VARS'!$Q$50*($BX12)+'LINEST VARS'!$P$50*(12.73)+'LINEST VARS'!$O$50*(8^2)+'LINEST VARS'!$N$50*(8^2)+'LINEST VARS'!$M$50*($CH$8^2)+'LINEST VARS'!$L$50*($BX12^2)+'LINEST VARS'!$K$50*(12.73^2)+'LINEST VARS'!$J$50*(8*8)+'LINEST VARS'!$I$50*(8*$CH$8)+'LINEST VARS'!$H$50*(8*$BX12)+'LINEST VARS'!$G$50*(8*12.73)+'LINEST VARS'!$F$50*(8*$CH$8)+'LINEST VARS'!$E$50*(8*$BX12)+'LINEST VARS'!$D$50*(8*12.73)+'LINEST VARS'!$C$50*($CH$8*$BX12)+'LINEST VARS'!$B$50*($CH$8*12.73)+'LINEST VARS'!$A$50*($BX12*12.73)</f>
        <v>331.99999999999989</v>
      </c>
      <c r="CI12" s="46">
        <f>'LINEST VARS'!$U$50+'LINEST VARS'!$T$50*(8)+'LINEST VARS'!$S$50*(8)+'LINEST VARS'!$R$50*($CI$8)+'LINEST VARS'!$Q$50*($BX12)+'LINEST VARS'!$P$50*(12.73)+'LINEST VARS'!$O$50*(8^2)+'LINEST VARS'!$N$50*(8^2)+'LINEST VARS'!$M$50*($CI$8^2)+'LINEST VARS'!$L$50*($BX12^2)+'LINEST VARS'!$K$50*(12.73^2)+'LINEST VARS'!$J$50*(8*8)+'LINEST VARS'!$I$50*(8*$CI$8)+'LINEST VARS'!$H$50*(8*$BX12)+'LINEST VARS'!$G$50*(8*12.73)+'LINEST VARS'!$F$50*(8*$CI$8)+'LINEST VARS'!$E$50*(8*$BX12)+'LINEST VARS'!$D$50*(8*12.73)+'LINEST VARS'!$C$50*($CI$8*$BX12)+'LINEST VARS'!$B$50*($CI$8*12.73)+'LINEST VARS'!$A$50*($BX12*12.73)</f>
        <v>331.99999999999989</v>
      </c>
      <c r="CJ12" s="46">
        <f>'LINEST VARS'!$U$50+'LINEST VARS'!$T$50*(8)+'LINEST VARS'!$S$50*(8)+'LINEST VARS'!$R$50*($CJ$8)+'LINEST VARS'!$Q$50*($BX12)+'LINEST VARS'!$P$50*(12.73)+'LINEST VARS'!$O$50*(8^2)+'LINEST VARS'!$N$50*(8^2)+'LINEST VARS'!$M$50*($CJ$8^2)+'LINEST VARS'!$L$50*($BX12^2)+'LINEST VARS'!$K$50*(12.73^2)+'LINEST VARS'!$J$50*(8*8)+'LINEST VARS'!$I$50*(8*$CJ$8)+'LINEST VARS'!$H$50*(8*$BX12)+'LINEST VARS'!$G$50*(8*12.73)+'LINEST VARS'!$F$50*(8*$CJ$8)+'LINEST VARS'!$E$50*(8*$BX12)+'LINEST VARS'!$D$50*(8*12.73)+'LINEST VARS'!$C$50*($CJ$8*$BX12)+'LINEST VARS'!$B$50*($CJ$8*12.73)+'LINEST VARS'!$A$50*($BX12*12.73)</f>
        <v>331.99999999999989</v>
      </c>
      <c r="CK12" s="46">
        <f>'LINEST VARS'!$U$50+'LINEST VARS'!$T$50*(8)+'LINEST VARS'!$S$50*(8)+'LINEST VARS'!$R$50*($CK$8)+'LINEST VARS'!$Q$50*($BX12)+'LINEST VARS'!$P$50*(12.73)+'LINEST VARS'!$O$50*(8^2)+'LINEST VARS'!$N$50*(8^2)+'LINEST VARS'!$M$50*($CK$8^2)+'LINEST VARS'!$L$50*($BX12^2)+'LINEST VARS'!$K$50*(12.73^2)+'LINEST VARS'!$J$50*(8*8)+'LINEST VARS'!$I$50*(8*$CK$8)+'LINEST VARS'!$H$50*(8*$BX12)+'LINEST VARS'!$G$50*(8*12.73)+'LINEST VARS'!$F$50*(8*$CK$8)+'LINEST VARS'!$E$50*(8*$BX12)+'LINEST VARS'!$D$50*(8*12.73)+'LINEST VARS'!$C$50*($CK$8*$BX12)+'LINEST VARS'!$B$50*($CK$8*12.73)+'LINEST VARS'!$A$50*($BX12*12.73)</f>
        <v>331.99999999999989</v>
      </c>
      <c r="CL12" s="46">
        <f>'LINEST VARS'!$U$50+'LINEST VARS'!$T$50*(8)+'LINEST VARS'!$S$50*(8)+'LINEST VARS'!$R$50*($CL$8)+'LINEST VARS'!$Q$50*($BX12)+'LINEST VARS'!$P$50*(12.73)+'LINEST VARS'!$O$50*(8^2)+'LINEST VARS'!$N$50*(8^2)+'LINEST VARS'!$M$50*($CL$8^2)+'LINEST VARS'!$L$50*($BX12^2)+'LINEST VARS'!$K$50*(12.73^2)+'LINEST VARS'!$J$50*(8*8)+'LINEST VARS'!$I$50*(8*$CL$8)+'LINEST VARS'!$H$50*(8*$BX12)+'LINEST VARS'!$G$50*(8*12.73)+'LINEST VARS'!$F$50*(8*$CL$8)+'LINEST VARS'!$E$50*(8*$BX12)+'LINEST VARS'!$D$50*(8*12.73)+'LINEST VARS'!$C$50*($CL$8*$BX12)+'LINEST VARS'!$B$50*($CL$8*12.73)+'LINEST VARS'!$A$50*($BX12*12.73)</f>
        <v>331.99999999999989</v>
      </c>
      <c r="CM12" s="46">
        <f>'LINEST VARS'!$U$50+'LINEST VARS'!$T$50*(8)+'LINEST VARS'!$S$50*(8)+'LINEST VARS'!$R$50*($CM$8)+'LINEST VARS'!$Q$50*($BX12)+'LINEST VARS'!$P$50*(12.73)+'LINEST VARS'!$O$50*(8^2)+'LINEST VARS'!$N$50*(8^2)+'LINEST VARS'!$M$50*($CM$8^2)+'LINEST VARS'!$L$50*($BX12^2)+'LINEST VARS'!$K$50*(12.73^2)+'LINEST VARS'!$J$50*(8*8)+'LINEST VARS'!$I$50*(8*$CM$8)+'LINEST VARS'!$H$50*(8*$BX12)+'LINEST VARS'!$G$50*(8*12.73)+'LINEST VARS'!$F$50*(8*$CM$8)+'LINEST VARS'!$E$50*(8*$BX12)+'LINEST VARS'!$D$50*(8*12.73)+'LINEST VARS'!$C$50*($CM$8*$BX12)+'LINEST VARS'!$B$50*($CM$8*12.73)+'LINEST VARS'!$A$50*($BX12*12.73)</f>
        <v>331.99999999999989</v>
      </c>
      <c r="CN12" s="46">
        <f>'LINEST VARS'!$U$50+'LINEST VARS'!$T$50*(8)+'LINEST VARS'!$S$50*(8)+'LINEST VARS'!$R$50*($CN$8)+'LINEST VARS'!$Q$50*($BX12)+'LINEST VARS'!$P$50*(12.73)+'LINEST VARS'!$O$50*(8^2)+'LINEST VARS'!$N$50*(8^2)+'LINEST VARS'!$M$50*($CN$8^2)+'LINEST VARS'!$L$50*($BX12^2)+'LINEST VARS'!$K$50*(12.73^2)+'LINEST VARS'!$J$50*(8*8)+'LINEST VARS'!$I$50*(8*$CN$8)+'LINEST VARS'!$H$50*(8*$BX12)+'LINEST VARS'!$G$50*(8*12.73)+'LINEST VARS'!$F$50*(8*$CN$8)+'LINEST VARS'!$E$50*(8*$BX12)+'LINEST VARS'!$D$50*(8*12.73)+'LINEST VARS'!$C$50*($CN$8*$BX12)+'LINEST VARS'!$B$50*($CN$8*12.73)+'LINEST VARS'!$A$50*($BX12*12.73)</f>
        <v>331.99999999999989</v>
      </c>
      <c r="CO12" s="46">
        <f>'LINEST VARS'!$U$50+'LINEST VARS'!$T$50*(8)+'LINEST VARS'!$S$50*(8)+'LINEST VARS'!$R$50*($CO$8)+'LINEST VARS'!$Q$50*($BX12)+'LINEST VARS'!$P$50*(12.73)+'LINEST VARS'!$O$50*(8^2)+'LINEST VARS'!$N$50*(8^2)+'LINEST VARS'!$M$50*($CO$8^2)+'LINEST VARS'!$L$50*($BX12^2)+'LINEST VARS'!$K$50*(12.73^2)+'LINEST VARS'!$J$50*(8*8)+'LINEST VARS'!$I$50*(8*$CO$8)+'LINEST VARS'!$H$50*(8*$BX12)+'LINEST VARS'!$G$50*(8*12.73)+'LINEST VARS'!$F$50*(8*$CO$8)+'LINEST VARS'!$E$50*(8*$BX12)+'LINEST VARS'!$D$50*(8*12.73)+'LINEST VARS'!$C$50*($CO$8*$BX12)+'LINEST VARS'!$B$50*($CO$8*12.73)+'LINEST VARS'!$A$50*($BX12*12.73)</f>
        <v>331.99999999999989</v>
      </c>
      <c r="CP12" s="46">
        <f>'LINEST VARS'!$U$50+'LINEST VARS'!$T$50*(8)+'LINEST VARS'!$S$50*(8)+'LINEST VARS'!$R$50*($CP$8)+'LINEST VARS'!$Q$50*($BX12)+'LINEST VARS'!$P$50*(12.73)+'LINEST VARS'!$O$50*(8^2)+'LINEST VARS'!$N$50*(8^2)+'LINEST VARS'!$M$50*($CP$8^2)+'LINEST VARS'!$L$50*($BX12^2)+'LINEST VARS'!$K$50*(12.73^2)+'LINEST VARS'!$J$50*(8*8)+'LINEST VARS'!$I$50*(8*$CP$8)+'LINEST VARS'!$H$50*(8*$BX12)+'LINEST VARS'!$G$50*(8*12.73)+'LINEST VARS'!$F$50*(8*$CP$8)+'LINEST VARS'!$E$50*(8*$BX12)+'LINEST VARS'!$D$50*(8*12.73)+'LINEST VARS'!$C$50*($CP$8*$BX12)+'LINEST VARS'!$B$50*($CP$8*12.73)+'LINEST VARS'!$A$50*($BX12*12.73)</f>
        <v>331.99999999999989</v>
      </c>
      <c r="CQ12" s="46">
        <f>'LINEST VARS'!$U$50+'LINEST VARS'!$T$50*(8)+'LINEST VARS'!$S$50*(8)+'LINEST VARS'!$R$50*($CQ$8)+'LINEST VARS'!$Q$50*($BX12)+'LINEST VARS'!$P$50*(12.73)+'LINEST VARS'!$O$50*(8^2)+'LINEST VARS'!$N$50*(8^2)+'LINEST VARS'!$M$50*($CQ$8^2)+'LINEST VARS'!$L$50*($BX12^2)+'LINEST VARS'!$K$50*(12.73^2)+'LINEST VARS'!$J$50*(8*8)+'LINEST VARS'!$I$50*(8*$CQ$8)+'LINEST VARS'!$H$50*(8*$BX12)+'LINEST VARS'!$G$50*(8*12.73)+'LINEST VARS'!$F$50*(8*$CQ$8)+'LINEST VARS'!$E$50*(8*$BX12)+'LINEST VARS'!$D$50*(8*12.73)+'LINEST VARS'!$C$50*($CQ$8*$BX12)+'LINEST VARS'!$B$50*($CQ$8*12.73)+'LINEST VARS'!$A$50*($BX12*12.73)</f>
        <v>331.99999999999989</v>
      </c>
      <c r="CR12" s="46">
        <f>'LINEST VARS'!$U$50+'LINEST VARS'!$T$50*(8)+'LINEST VARS'!$S$50*(8)+'LINEST VARS'!$R$50*($CR$8)+'LINEST VARS'!$Q$50*($BX12)+'LINEST VARS'!$P$50*(12.73)+'LINEST VARS'!$O$50*(8^2)+'LINEST VARS'!$N$50*(8^2)+'LINEST VARS'!$M$50*($CR$8^2)+'LINEST VARS'!$L$50*($BX12^2)+'LINEST VARS'!$K$50*(12.73^2)+'LINEST VARS'!$J$50*(8*8)+'LINEST VARS'!$I$50*(8*$CR$8)+'LINEST VARS'!$H$50*(8*$BX12)+'LINEST VARS'!$G$50*(8*12.73)+'LINEST VARS'!$F$50*(8*$CR$8)+'LINEST VARS'!$E$50*(8*$BX12)+'LINEST VARS'!$D$50*(8*12.73)+'LINEST VARS'!$C$50*($CR$8*$BX12)+'LINEST VARS'!$B$50*($CR$8*12.73)+'LINEST VARS'!$A$50*($BX12*12.73)</f>
        <v>331.99999999999989</v>
      </c>
      <c r="CS12" s="47">
        <f>'LINEST VARS'!$U$50+'LINEST VARS'!$T$50*(8)+'LINEST VARS'!$S$50*(8)+'LINEST VARS'!$R$50*($CS$8)+'LINEST VARS'!$Q$50*($BX12)+'LINEST VARS'!$P$50*(12.73)+'LINEST VARS'!$O$50*(8^2)+'LINEST VARS'!$N$50*(8^2)+'LINEST VARS'!$M$50*($CS$8^2)+'LINEST VARS'!$L$50*($BX12^2)+'LINEST VARS'!$K$50*(12.73^2)+'LINEST VARS'!$J$50*(8*8)+'LINEST VARS'!$I$50*(8*$CS$8)+'LINEST VARS'!$H$50*(8*$BX12)+'LINEST VARS'!$G$50*(8*12.73)+'LINEST VARS'!$F$50*(8*$CS$8)+'LINEST VARS'!$E$50*(8*$BX12)+'LINEST VARS'!$D$50*(8*12.73)+'LINEST VARS'!$C$50*($CS$8*$BX12)+'LINEST VARS'!$B$50*($CS$8*12.73)+'LINEST VARS'!$A$50*($BX12*12.73)</f>
        <v>331.99999999999989</v>
      </c>
      <c r="CX12" s="45">
        <v>3.8984999999999999</v>
      </c>
      <c r="CY12" s="46">
        <f>'LINEST VARS'!$U$48+'LINEST VARS'!$T$48*(8)+'LINEST VARS'!$S$48*(8)+'LINEST VARS'!$R$48*($CY$8)+'LINEST VARS'!$Q$48*(0.5)+'LINEST VARS'!$P$48*($CX12)+'LINEST VARS'!$O$48*(8^2)+'LINEST VARS'!$N$48*(8^2)+'LINEST VARS'!$M$48*($CY$8^2)+'LINEST VARS'!$L$48*(0.5^2)+'LINEST VARS'!$K$48*($CX12^2)+'LINEST VARS'!$J$48*(8*8)+'LINEST VARS'!$I$48*(8*$CY$8)+'LINEST VARS'!$H$48*(8*0.5)+'LINEST VARS'!$G$48*(8*$CX12)+'LINEST VARS'!$F$48*(8*$CY$8)+'LINEST VARS'!$E$48*(8*0.5)+'LINEST VARS'!$D$48*(8*$CX12)+'LINEST VARS'!$C$48*($CY$8*0.5)+'LINEST VARS'!$B$48*($CY$8*$CX12)+'LINEST VARS'!$A$48*(0.5*$CX12)</f>
        <v>369.99999999999989</v>
      </c>
      <c r="CZ12" s="46">
        <f>'LINEST VARS'!$U$48+'LINEST VARS'!$T$48*(8)+'LINEST VARS'!$S$48*(8)+'LINEST VARS'!$R$48*($CZ$8)+'LINEST VARS'!$Q$48*(0.5)+'LINEST VARS'!$P$48*($CX12)+'LINEST VARS'!$O$48*(8^2)+'LINEST VARS'!$N$48*(8^2)+'LINEST VARS'!$M$48*($CZ$8^2)+'LINEST VARS'!$L$48*(0.5^2)+'LINEST VARS'!$K$48*($CX12^2)+'LINEST VARS'!$J$48*(8*8)+'LINEST VARS'!$I$48*(8*$CZ$8)+'LINEST VARS'!$H$48*(8*0.5)+'LINEST VARS'!$G$48*(8*$CX12)+'LINEST VARS'!$F$48*(8*$CZ$8)+'LINEST VARS'!$E$48*(8*0.5)+'LINEST VARS'!$D$48*(8*$CX12)+'LINEST VARS'!$C$48*($CZ$8*0.5)+'LINEST VARS'!$B$48*($CZ$8*$CX12)+'LINEST VARS'!$A$48*(0.5*$CX12)</f>
        <v>369.99999999999989</v>
      </c>
      <c r="DA12" s="46">
        <f>'LINEST VARS'!$U$48+'LINEST VARS'!$T$48*(8)+'LINEST VARS'!$S$48*(8)+'LINEST VARS'!$R$48*($DA$8)+'LINEST VARS'!$Q$48*(0.5)+'LINEST VARS'!$P$48*($CX12)+'LINEST VARS'!$O$48*(8^2)+'LINEST VARS'!$N$48*(8^2)+'LINEST VARS'!$M$48*($DA$8^2)+'LINEST VARS'!$L$48*(0.5^2)+'LINEST VARS'!$K$48*($CX12^2)+'LINEST VARS'!$J$48*(8*8)+'LINEST VARS'!$I$48*(8*$DA$8)+'LINEST VARS'!$H$48*(8*0.5)+'LINEST VARS'!$G$48*(8*$CX12)+'LINEST VARS'!$F$48*(8*$DA$8)+'LINEST VARS'!$E$48*(8*0.5)+'LINEST VARS'!$D$48*(8*$CX12)+'LINEST VARS'!$C$48*($DA$8*0.5)+'LINEST VARS'!$B$48*($DA$8*$CX12)+'LINEST VARS'!$A$48*(0.5*$CX12)</f>
        <v>369.99999999999989</v>
      </c>
      <c r="DB12" s="46">
        <f>'LINEST VARS'!$U$48+'LINEST VARS'!$T$48*(8)+'LINEST VARS'!$S$48*(8)+'LINEST VARS'!$R$48*($DB$8)+'LINEST VARS'!$Q$48*(0.5)+'LINEST VARS'!$P$48*($CX12)+'LINEST VARS'!$O$48*(8^2)+'LINEST VARS'!$N$48*(8^2)+'LINEST VARS'!$M$48*($DB$8^2)+'LINEST VARS'!$L$48*(0.5^2)+'LINEST VARS'!$K$48*($CX12^2)+'LINEST VARS'!$J$48*(8*8)+'LINEST VARS'!$I$48*(8*$DB$8)+'LINEST VARS'!$H$48*(8*0.5)+'LINEST VARS'!$G$48*(8*$CX12)+'LINEST VARS'!$F$48*(8*$DB$8)+'LINEST VARS'!$E$48*(8*0.5)+'LINEST VARS'!$D$48*(8*$CX12)+'LINEST VARS'!$C$48*($DB$8*0.5)+'LINEST VARS'!$B$48*($DB$8*$CX12)+'LINEST VARS'!$A$48*(0.5*$CX12)</f>
        <v>369.99999999999989</v>
      </c>
      <c r="DC12" s="46">
        <f>'LINEST VARS'!$U$48+'LINEST VARS'!$T$48*(8)+'LINEST VARS'!$S$48*(8)+'LINEST VARS'!$R$48*($DC$8)+'LINEST VARS'!$Q$48*(0.5)+'LINEST VARS'!$P$48*($CX12)+'LINEST VARS'!$O$48*(8^2)+'LINEST VARS'!$N$48*(8^2)+'LINEST VARS'!$M$48*($DC$8^2)+'LINEST VARS'!$L$48*(0.5^2)+'LINEST VARS'!$K$48*($CX12^2)+'LINEST VARS'!$J$48*(8*8)+'LINEST VARS'!$I$48*(8*$DC$8)+'LINEST VARS'!$H$48*(8*0.5)+'LINEST VARS'!$G$48*(8*$CX12)+'LINEST VARS'!$F$48*(8*$DC$8)+'LINEST VARS'!$E$48*(8*0.5)+'LINEST VARS'!$D$48*(8*$CX12)+'LINEST VARS'!$C$48*($DC$8*0.5)+'LINEST VARS'!$B$48*($DC$8*$CX12)+'LINEST VARS'!$A$48*(0.5*$CX12)</f>
        <v>369.99999999999989</v>
      </c>
      <c r="DD12" s="46">
        <f>'LINEST VARS'!$U$48+'LINEST VARS'!$T$48*(8)+'LINEST VARS'!$S$48*(8)+'LINEST VARS'!$R$48*($DD$8)+'LINEST VARS'!$Q$48*(0.5)+'LINEST VARS'!$P$48*($CX12)+'LINEST VARS'!$O$48*(8^2)+'LINEST VARS'!$N$48*(8^2)+'LINEST VARS'!$M$48*($DD$8^2)+'LINEST VARS'!$L$48*(0.5^2)+'LINEST VARS'!$K$48*($CX12^2)+'LINEST VARS'!$J$48*(8*8)+'LINEST VARS'!$I$48*(8*$DD$8)+'LINEST VARS'!$H$48*(8*0.5)+'LINEST VARS'!$G$48*(8*$CX12)+'LINEST VARS'!$F$48*(8*$DD$8)+'LINEST VARS'!$E$48*(8*0.5)+'LINEST VARS'!$D$48*(8*$CX12)+'LINEST VARS'!$C$48*($DD$8*0.5)+'LINEST VARS'!$B$48*($DD$8*$CX12)+'LINEST VARS'!$A$48*(0.5*$CX12)</f>
        <v>369.99999999999989</v>
      </c>
      <c r="DE12" s="46">
        <f>'LINEST VARS'!$U$48+'LINEST VARS'!$T$48*(8)+'LINEST VARS'!$S$48*(8)+'LINEST VARS'!$R$48*($DE$8)+'LINEST VARS'!$Q$48*(0.5)+'LINEST VARS'!$P$48*($CX12)+'LINEST VARS'!$O$48*(8^2)+'LINEST VARS'!$N$48*(8^2)+'LINEST VARS'!$M$48*($DE$8^2)+'LINEST VARS'!$L$48*(0.5^2)+'LINEST VARS'!$K$48*($CX12^2)+'LINEST VARS'!$J$48*(8*8)+'LINEST VARS'!$I$48*(8*$DE$8)+'LINEST VARS'!$H$48*(8*0.5)+'LINEST VARS'!$G$48*(8*$CX12)+'LINEST VARS'!$F$48*(8*$DE$8)+'LINEST VARS'!$E$48*(8*0.5)+'LINEST VARS'!$D$48*(8*$CX12)+'LINEST VARS'!$C$48*($DE$8*0.5)+'LINEST VARS'!$B$48*($DE$8*$CX12)+'LINEST VARS'!$A$48*(0.5*$CX12)</f>
        <v>369.99999999999989</v>
      </c>
      <c r="DF12" s="46">
        <f>'LINEST VARS'!$U$48+'LINEST VARS'!$T$48*(8)+'LINEST VARS'!$S$48*(8)+'LINEST VARS'!$R$48*($DF$8)+'LINEST VARS'!$Q$48*(0.5)+'LINEST VARS'!$P$48*($CX12)+'LINEST VARS'!$O$48*(8^2)+'LINEST VARS'!$N$48*(8^2)+'LINEST VARS'!$M$48*($DF$8^2)+'LINEST VARS'!$L$48*(0.5^2)+'LINEST VARS'!$K$48*($CX12^2)+'LINEST VARS'!$J$48*(8*8)+'LINEST VARS'!$I$48*(8*$DF$8)+'LINEST VARS'!$H$48*(8*0.5)+'LINEST VARS'!$G$48*(8*$CX12)+'LINEST VARS'!$F$48*(8*$DF$8)+'LINEST VARS'!$E$48*(8*0.5)+'LINEST VARS'!$D$48*(8*$CX12)+'LINEST VARS'!$C$48*($DF$8*0.5)+'LINEST VARS'!$B$48*($DF$8*$CX12)+'LINEST VARS'!$A$48*(0.5*$CX12)</f>
        <v>369.99999999999989</v>
      </c>
      <c r="DG12" s="46">
        <f>'LINEST VARS'!$U$48+'LINEST VARS'!$T$48*(8)+'LINEST VARS'!$S$48*(8)+'LINEST VARS'!$R$48*($DG$8)+'LINEST VARS'!$Q$48*(0.5)+'LINEST VARS'!$P$48*($CX12)+'LINEST VARS'!$O$48*(8^2)+'LINEST VARS'!$N$48*(8^2)+'LINEST VARS'!$M$48*($DG$8^2)+'LINEST VARS'!$L$48*(0.5^2)+'LINEST VARS'!$K$48*($CX12^2)+'LINEST VARS'!$J$48*(8*8)+'LINEST VARS'!$I$48*(8*$DG$8)+'LINEST VARS'!$H$48*(8*0.5)+'LINEST VARS'!$G$48*(8*$CX12)+'LINEST VARS'!$F$48*(8*$DG$8)+'LINEST VARS'!$E$48*(8*0.5)+'LINEST VARS'!$D$48*(8*$CX12)+'LINEST VARS'!$C$48*($DG$8*0.5)+'LINEST VARS'!$B$48*($DG$8*$CX12)+'LINEST VARS'!$A$48*(0.5*$CX12)</f>
        <v>369.99999999999989</v>
      </c>
      <c r="DH12" s="46">
        <f>'LINEST VARS'!$U$48+'LINEST VARS'!$T$48*(8)+'LINEST VARS'!$S$48*(8)+'LINEST VARS'!$R$48*($DH$8)+'LINEST VARS'!$Q$48*(0.5)+'LINEST VARS'!$P$48*($CX12)+'LINEST VARS'!$O$48*(8^2)+'LINEST VARS'!$N$48*(8^2)+'LINEST VARS'!$M$48*($DH$8^2)+'LINEST VARS'!$L$48*(0.5^2)+'LINEST VARS'!$K$48*($CX12^2)+'LINEST VARS'!$J$48*(8*8)+'LINEST VARS'!$I$48*(8*$DH$8)+'LINEST VARS'!$H$48*(8*0.5)+'LINEST VARS'!$G$48*(8*$CX12)+'LINEST VARS'!$F$48*(8*$DH$8)+'LINEST VARS'!$E$48*(8*0.5)+'LINEST VARS'!$D$48*(8*$CX12)+'LINEST VARS'!$C$48*($DH$8*0.5)+'LINEST VARS'!$B$48*($DH$8*$CX12)+'LINEST VARS'!$A$48*(0.5*$CX12)</f>
        <v>369.99999999999989</v>
      </c>
      <c r="DI12" s="46">
        <f>'LINEST VARS'!$U$48+'LINEST VARS'!$T$48*(8)+'LINEST VARS'!$S$48*(8)+'LINEST VARS'!$R$48*($DI$8)+'LINEST VARS'!$Q$48*(0.5)+'LINEST VARS'!$P$48*($CX12)+'LINEST VARS'!$O$48*(8^2)+'LINEST VARS'!$N$48*(8^2)+'LINEST VARS'!$M$48*($DI$8^2)+'LINEST VARS'!$L$48*(0.5^2)+'LINEST VARS'!$K$48*($CX12^2)+'LINEST VARS'!$J$48*(8*8)+'LINEST VARS'!$I$48*(8*$DI$8)+'LINEST VARS'!$H$48*(8*0.5)+'LINEST VARS'!$G$48*(8*$CX12)+'LINEST VARS'!$F$48*(8*$DI$8)+'LINEST VARS'!$E$48*(8*0.5)+'LINEST VARS'!$D$48*(8*$CX12)+'LINEST VARS'!$C$48*($DI$8*0.5)+'LINEST VARS'!$B$48*($DI$8*$CX12)+'LINEST VARS'!$A$48*(0.5*$CX12)</f>
        <v>369.99999999999989</v>
      </c>
      <c r="DJ12" s="46">
        <f>'LINEST VARS'!$U$48+'LINEST VARS'!$T$48*(8)+'LINEST VARS'!$S$48*(8)+'LINEST VARS'!$R$48*($DJ$8)+'LINEST VARS'!$Q$48*(0.5)+'LINEST VARS'!$P$48*($CX12)+'LINEST VARS'!$O$48*(8^2)+'LINEST VARS'!$N$48*(8^2)+'LINEST VARS'!$M$48*($DJ$8^2)+'LINEST VARS'!$L$48*(0.5^2)+'LINEST VARS'!$K$48*($CX12^2)+'LINEST VARS'!$J$48*(8*8)+'LINEST VARS'!$I$48*(8*$DJ$8)+'LINEST VARS'!$H$48*(8*0.5)+'LINEST VARS'!$G$48*(8*$CX12)+'LINEST VARS'!$F$48*(8*$DJ$8)+'LINEST VARS'!$E$48*(8*0.5)+'LINEST VARS'!$D$48*(8*$CX12)+'LINEST VARS'!$C$48*($DJ$8*0.5)+'LINEST VARS'!$B$48*($DJ$8*$CX12)+'LINEST VARS'!$A$48*(0.5*$CX12)</f>
        <v>369.99999999999989</v>
      </c>
      <c r="DK12" s="46">
        <f>'LINEST VARS'!$U$48+'LINEST VARS'!$T$48*(8)+'LINEST VARS'!$S$48*(8)+'LINEST VARS'!$R$48*($DK$8)+'LINEST VARS'!$Q$48*(0.5)+'LINEST VARS'!$P$48*($CX12)+'LINEST VARS'!$O$48*(8^2)+'LINEST VARS'!$N$48*(8^2)+'LINEST VARS'!$M$48*($DK$8^2)+'LINEST VARS'!$L$48*(0.5^2)+'LINEST VARS'!$K$48*($CX12^2)+'LINEST VARS'!$J$48*(8*8)+'LINEST VARS'!$I$48*(8*$DK$8)+'LINEST VARS'!$H$48*(8*0.5)+'LINEST VARS'!$G$48*(8*$CX12)+'LINEST VARS'!$F$48*(8*$DK$8)+'LINEST VARS'!$E$48*(8*0.5)+'LINEST VARS'!$D$48*(8*$CX12)+'LINEST VARS'!$C$48*($DK$8*0.5)+'LINEST VARS'!$B$48*($DK$8*$CX12)+'LINEST VARS'!$A$48*(0.5*$CX12)</f>
        <v>369.99999999999989</v>
      </c>
      <c r="DL12" s="46">
        <f>'LINEST VARS'!$U$48+'LINEST VARS'!$T$48*(8)+'LINEST VARS'!$S$48*(8)+'LINEST VARS'!$R$48*($DL$8)+'LINEST VARS'!$Q$48*(0.5)+'LINEST VARS'!$P$48*($CX12)+'LINEST VARS'!$O$48*(8^2)+'LINEST VARS'!$N$48*(8^2)+'LINEST VARS'!$M$48*($DL$8^2)+'LINEST VARS'!$L$48*(0.5^2)+'LINEST VARS'!$K$48*($CX12^2)+'LINEST VARS'!$J$48*(8*8)+'LINEST VARS'!$I$48*(8*$DL$8)+'LINEST VARS'!$H$48*(8*0.5)+'LINEST VARS'!$G$48*(8*$CX12)+'LINEST VARS'!$F$48*(8*$DL$8)+'LINEST VARS'!$E$48*(8*0.5)+'LINEST VARS'!$D$48*(8*$CX12)+'LINEST VARS'!$C$48*($DL$8*0.5)+'LINEST VARS'!$B$48*($DL$8*$CX12)+'LINEST VARS'!$A$48*(0.5*$CX12)</f>
        <v>369.99999999999994</v>
      </c>
      <c r="DM12" s="46">
        <f>'LINEST VARS'!$U$48+'LINEST VARS'!$T$48*(8)+'LINEST VARS'!$S$48*(8)+'LINEST VARS'!$R$48*($DM$8)+'LINEST VARS'!$Q$48*(0.5)+'LINEST VARS'!$P$48*($CX12)+'LINEST VARS'!$O$48*(8^2)+'LINEST VARS'!$N$48*(8^2)+'LINEST VARS'!$M$48*($DM$8^2)+'LINEST VARS'!$L$48*(0.5^2)+'LINEST VARS'!$K$48*($CX12^2)+'LINEST VARS'!$J$48*(8*8)+'LINEST VARS'!$I$48*(8*$DM$8)+'LINEST VARS'!$H$48*(8*0.5)+'LINEST VARS'!$G$48*(8*$CX12)+'LINEST VARS'!$F$48*(8*$DM$8)+'LINEST VARS'!$E$48*(8*0.5)+'LINEST VARS'!$D$48*(8*$CX12)+'LINEST VARS'!$C$48*($DM$8*0.5)+'LINEST VARS'!$B$48*($DM$8*$CX12)+'LINEST VARS'!$A$48*(0.5*$CX12)</f>
        <v>369.99999999999994</v>
      </c>
      <c r="DN12" s="46">
        <f>'LINEST VARS'!$U$48+'LINEST VARS'!$T$48*(8)+'LINEST VARS'!$S$48*(8)+'LINEST VARS'!$R$48*($DN$8)+'LINEST VARS'!$Q$48*(0.5)+'LINEST VARS'!$P$48*($CX12)+'LINEST VARS'!$O$48*(8^2)+'LINEST VARS'!$N$48*(8^2)+'LINEST VARS'!$M$48*($DN$8^2)+'LINEST VARS'!$L$48*(0.5^2)+'LINEST VARS'!$K$48*($CX12^2)+'LINEST VARS'!$J$48*(8*8)+'LINEST VARS'!$I$48*(8*$DN$8)+'LINEST VARS'!$H$48*(8*0.5)+'LINEST VARS'!$G$48*(8*$CX12)+'LINEST VARS'!$F$48*(8*$DN$8)+'LINEST VARS'!$E$48*(8*0.5)+'LINEST VARS'!$D$48*(8*$CX12)+'LINEST VARS'!$C$48*($DN$8*0.5)+'LINEST VARS'!$B$48*($DN$8*$CX12)+'LINEST VARS'!$A$48*(0.5*$CX12)</f>
        <v>369.99999999999994</v>
      </c>
      <c r="DO12" s="46">
        <f>'LINEST VARS'!$U$48+'LINEST VARS'!$T$48*(8)+'LINEST VARS'!$S$48*(8)+'LINEST VARS'!$R$48*($DO$8)+'LINEST VARS'!$Q$48*(0.5)+'LINEST VARS'!$P$48*($CX12)+'LINEST VARS'!$O$48*(8^2)+'LINEST VARS'!$N$48*(8^2)+'LINEST VARS'!$M$48*($DO$8^2)+'LINEST VARS'!$L$48*(0.5^2)+'LINEST VARS'!$K$48*($CX12^2)+'LINEST VARS'!$J$48*(8*8)+'LINEST VARS'!$I$48*(8*$DO$8)+'LINEST VARS'!$H$48*(8*0.5)+'LINEST VARS'!$G$48*(8*$CX12)+'LINEST VARS'!$F$48*(8*$DO$8)+'LINEST VARS'!$E$48*(8*0.5)+'LINEST VARS'!$D$48*(8*$CX12)+'LINEST VARS'!$C$48*($DO$8*0.5)+'LINEST VARS'!$B$48*($DO$8*$CX12)+'LINEST VARS'!$A$48*(0.5*$CX12)</f>
        <v>369.99999999999989</v>
      </c>
      <c r="DP12" s="46">
        <f>'LINEST VARS'!$U$48+'LINEST VARS'!$T$48*(8)+'LINEST VARS'!$S$48*(8)+'LINEST VARS'!$R$48*($DP$8)+'LINEST VARS'!$Q$48*(0.5)+'LINEST VARS'!$P$48*($CX12)+'LINEST VARS'!$O$48*(8^2)+'LINEST VARS'!$N$48*(8^2)+'LINEST VARS'!$M$48*($DP$8^2)+'LINEST VARS'!$L$48*(0.5^2)+'LINEST VARS'!$K$48*($CX12^2)+'LINEST VARS'!$J$48*(8*8)+'LINEST VARS'!$I$48*(8*$DP$8)+'LINEST VARS'!$H$48*(8*0.5)+'LINEST VARS'!$G$48*(8*$CX12)+'LINEST VARS'!$F$48*(8*$DP$8)+'LINEST VARS'!$E$48*(8*0.5)+'LINEST VARS'!$D$48*(8*$CX12)+'LINEST VARS'!$C$48*($DP$8*0.5)+'LINEST VARS'!$B$48*($DP$8*$CX12)+'LINEST VARS'!$A$48*(0.5*$CX12)</f>
        <v>369.99999999999989</v>
      </c>
      <c r="DQ12" s="46">
        <f>'LINEST VARS'!$U$48+'LINEST VARS'!$T$48*(8)+'LINEST VARS'!$S$48*(8)+'LINEST VARS'!$R$48*($DQ$8)+'LINEST VARS'!$Q$48*(0.5)+'LINEST VARS'!$P$48*($CX12)+'LINEST VARS'!$O$48*(8^2)+'LINEST VARS'!$N$48*(8^2)+'LINEST VARS'!$M$48*($DQ$8^2)+'LINEST VARS'!$L$48*(0.5^2)+'LINEST VARS'!$K$48*($CX12^2)+'LINEST VARS'!$J$48*(8*8)+'LINEST VARS'!$I$48*(8*$DQ$8)+'LINEST VARS'!$H$48*(8*0.5)+'LINEST VARS'!$G$48*(8*$CX12)+'LINEST VARS'!$F$48*(8*$DQ$8)+'LINEST VARS'!$E$48*(8*0.5)+'LINEST VARS'!$D$48*(8*$CX12)+'LINEST VARS'!$C$48*($DQ$8*0.5)+'LINEST VARS'!$B$48*($DQ$8*$CX12)+'LINEST VARS'!$A$48*(0.5*$CX12)</f>
        <v>369.99999999999989</v>
      </c>
      <c r="DR12" s="46">
        <f>'LINEST VARS'!$U$48+'LINEST VARS'!$T$48*(8)+'LINEST VARS'!$S$48*(8)+'LINEST VARS'!$R$48*($DR$8)+'LINEST VARS'!$Q$48*(0.5)+'LINEST VARS'!$P$48*($CX12)+'LINEST VARS'!$O$48*(8^2)+'LINEST VARS'!$N$48*(8^2)+'LINEST VARS'!$M$48*($DR$8^2)+'LINEST VARS'!$L$48*(0.5^2)+'LINEST VARS'!$K$48*($CX12^2)+'LINEST VARS'!$J$48*(8*8)+'LINEST VARS'!$I$48*(8*$DR$8)+'LINEST VARS'!$H$48*(8*0.5)+'LINEST VARS'!$G$48*(8*$CX12)+'LINEST VARS'!$F$48*(8*$DR$8)+'LINEST VARS'!$E$48*(8*0.5)+'LINEST VARS'!$D$48*(8*$CX12)+'LINEST VARS'!$C$48*($DR$8*0.5)+'LINEST VARS'!$B$48*($DR$8*$CX12)+'LINEST VARS'!$A$48*(0.5*$CX12)</f>
        <v>369.99999999999989</v>
      </c>
      <c r="DS12" s="47">
        <f>'LINEST VARS'!$U$48+'LINEST VARS'!$T$48*(8)+'LINEST VARS'!$S$48*(8)+'LINEST VARS'!$R$48*($DS$8)+'LINEST VARS'!$Q$48*(0.5)+'LINEST VARS'!$P$48*($CX12)+'LINEST VARS'!$O$48*(8^2)+'LINEST VARS'!$N$48*(8^2)+'LINEST VARS'!$M$48*($DS$8^2)+'LINEST VARS'!$L$48*(0.5^2)+'LINEST VARS'!$K$48*($CX12^2)+'LINEST VARS'!$J$48*(8*8)+'LINEST VARS'!$I$48*(8*$DS$8)+'LINEST VARS'!$H$48*(8*0.5)+'LINEST VARS'!$G$48*(8*$CX12)+'LINEST VARS'!$F$48*(8*$DS$8)+'LINEST VARS'!$E$48*(8*0.5)+'LINEST VARS'!$D$48*(8*$CX12)+'LINEST VARS'!$C$48*($DS$8*0.5)+'LINEST VARS'!$B$48*($DS$8*$CX12)+'LINEST VARS'!$A$48*(0.5*$CX12)</f>
        <v>369.99999999999989</v>
      </c>
      <c r="DV12" s="45">
        <v>3.8984999999999999</v>
      </c>
      <c r="DW12" s="46">
        <f>'LINEST VARS'!$U$50+'LINEST VARS'!$T$50*(8)+'LINEST VARS'!$S$50*(8)+'LINEST VARS'!$R$50*($DW$8)+'LINEST VARS'!$Q$50*(0.5)+'LINEST VARS'!$P$50*($DV12)+'LINEST VARS'!$O$50*(8^2)+'LINEST VARS'!$N$50*(8^2)+'LINEST VARS'!$M$50*($DW$8^2)+'LINEST VARS'!$L$50*(0.5^2)+'LINEST VARS'!$K$50*($DV12^2)+'LINEST VARS'!$J$50*(8*8)+'LINEST VARS'!$I$50*(8*$DW$8)+'LINEST VARS'!$H$50*(8*0.5)+'LINEST VARS'!$G$50*(8*$DV12)+'LINEST VARS'!$F$50*(8*$DW$8)+'LINEST VARS'!$E$50*(8*0.5)+'LINEST VARS'!$D$50*(8*$DV12)+'LINEST VARS'!$C$50*($DW$8*0.5)+'LINEST VARS'!$B$50*($DW$8*$DV12)+'LINEST VARS'!$A$50*(0.5*$DV12)</f>
        <v>331.99999999999989</v>
      </c>
      <c r="DX12" s="46">
        <f>'LINEST VARS'!$U$50+'LINEST VARS'!$T$50*(8)+'LINEST VARS'!$S$50*(8)+'LINEST VARS'!$R$50*($DX$8)+'LINEST VARS'!$Q$50*(0.5)+'LINEST VARS'!$P$50*($DV12)+'LINEST VARS'!$O$50*(8^2)+'LINEST VARS'!$N$50*(8^2)+'LINEST VARS'!$M$50*($DX$8^2)+'LINEST VARS'!$L$50*(0.5^2)+'LINEST VARS'!$K$50*($DV12^2)+'LINEST VARS'!$J$50*(8*8)+'LINEST VARS'!$I$50*(8*$DX$8)+'LINEST VARS'!$H$50*(8*0.5)+'LINEST VARS'!$G$50*(8*$DV12)+'LINEST VARS'!$F$50*(8*$DX$8)+'LINEST VARS'!$E$50*(8*0.5)+'LINEST VARS'!$D$50*(8*$DV12)+'LINEST VARS'!$C$50*($DX$8*0.5)+'LINEST VARS'!$B$50*($DX$8*$DV12)+'LINEST VARS'!$A$50*(0.5*$DV12)</f>
        <v>331.99999999999989</v>
      </c>
      <c r="DY12" s="46">
        <f>'LINEST VARS'!$U$50+'LINEST VARS'!$T$50*(8)+'LINEST VARS'!$S$50*(8)+'LINEST VARS'!$R$50*($DY$8)+'LINEST VARS'!$Q$50*(0.5)+'LINEST VARS'!$P$50*($DV12)+'LINEST VARS'!$O$50*(8^2)+'LINEST VARS'!$N$50*(8^2)+'LINEST VARS'!$M$50*($DY$8^2)+'LINEST VARS'!$L$50*(0.5^2)+'LINEST VARS'!$K$50*($DV12^2)+'LINEST VARS'!$J$50*(8*8)+'LINEST VARS'!$I$50*(8*$DY$8)+'LINEST VARS'!$H$50*(8*0.5)+'LINEST VARS'!$G$50*(8*$DV12)+'LINEST VARS'!$F$50*(8*$DY$8)+'LINEST VARS'!$E$50*(8*0.5)+'LINEST VARS'!$D$50*(8*$DV12)+'LINEST VARS'!$C$50*($DY$8*0.5)+'LINEST VARS'!$B$50*($DY$8*$DV12)+'LINEST VARS'!$A$50*(0.5*$DV12)</f>
        <v>331.99999999999989</v>
      </c>
      <c r="DZ12" s="46">
        <f>'LINEST VARS'!$U$50+'LINEST VARS'!$T$50*(8)+'LINEST VARS'!$S$50*(8)+'LINEST VARS'!$R$50*($DZ$8)+'LINEST VARS'!$Q$50*(0.5)+'LINEST VARS'!$P$50*($DV12)+'LINEST VARS'!$O$50*(8^2)+'LINEST VARS'!$N$50*(8^2)+'LINEST VARS'!$M$50*($DZ$8^2)+'LINEST VARS'!$L$50*(0.5^2)+'LINEST VARS'!$K$50*($DV12^2)+'LINEST VARS'!$J$50*(8*8)+'LINEST VARS'!$I$50*(8*$DZ$8)+'LINEST VARS'!$H$50*(8*0.5)+'LINEST VARS'!$G$50*(8*$DV12)+'LINEST VARS'!$F$50*(8*$DZ$8)+'LINEST VARS'!$E$50*(8*0.5)+'LINEST VARS'!$D$50*(8*$DV12)+'LINEST VARS'!$C$50*($DZ$8*0.5)+'LINEST VARS'!$B$50*($DZ$8*$DV12)+'LINEST VARS'!$A$50*(0.5*$DV12)</f>
        <v>331.99999999999989</v>
      </c>
      <c r="EA12" s="46">
        <f>'LINEST VARS'!$U$50+'LINEST VARS'!$T$50*(8)+'LINEST VARS'!$S$50*(8)+'LINEST VARS'!$R$50*($EA$8)+'LINEST VARS'!$Q$50*(0.5)+'LINEST VARS'!$P$50*($DV12)+'LINEST VARS'!$O$50*(8^2)+'LINEST VARS'!$N$50*(8^2)+'LINEST VARS'!$M$50*($EA$8^2)+'LINEST VARS'!$L$50*(0.5^2)+'LINEST VARS'!$K$50*($DV12^2)+'LINEST VARS'!$J$50*(8*8)+'LINEST VARS'!$I$50*(8*$EA$8)+'LINEST VARS'!$H$50*(8*0.5)+'LINEST VARS'!$G$50*(8*$DV12)+'LINEST VARS'!$F$50*(8*$EA$8)+'LINEST VARS'!$E$50*(8*0.5)+'LINEST VARS'!$D$50*(8*$DV12)+'LINEST VARS'!$C$50*($EA$8*0.5)+'LINEST VARS'!$B$50*($EA$8*$DV12)+'LINEST VARS'!$A$50*(0.5*$DV12)</f>
        <v>331.99999999999989</v>
      </c>
      <c r="EB12" s="46">
        <f>'LINEST VARS'!$U$50+'LINEST VARS'!$T$50*(8)+'LINEST VARS'!$S$50*(8)+'LINEST VARS'!$R$50*($EB$8)+'LINEST VARS'!$Q$50*(0.5)+'LINEST VARS'!$P$50*($DV12)+'LINEST VARS'!$O$50*(8^2)+'LINEST VARS'!$N$50*(8^2)+'LINEST VARS'!$M$50*($EB$8^2)+'LINEST VARS'!$L$50*(0.5^2)+'LINEST VARS'!$K$50*($DV12^2)+'LINEST VARS'!$J$50*(8*8)+'LINEST VARS'!$I$50*(8*$EB$8)+'LINEST VARS'!$H$50*(8*0.5)+'LINEST VARS'!$G$50*(8*$DV12)+'LINEST VARS'!$F$50*(8*$EB$8)+'LINEST VARS'!$E$50*(8*0.5)+'LINEST VARS'!$D$50*(8*$DV12)+'LINEST VARS'!$C$50*($EB$8*0.5)+'LINEST VARS'!$B$50*($EB$8*$DV12)+'LINEST VARS'!$A$50*(0.5*$DV12)</f>
        <v>331.99999999999989</v>
      </c>
      <c r="EC12" s="46">
        <f>'LINEST VARS'!$U$50+'LINEST VARS'!$T$50*(8)+'LINEST VARS'!$S$50*(8)+'LINEST VARS'!$R$50*($EC$8)+'LINEST VARS'!$Q$50*(0.5)+'LINEST VARS'!$P$50*($DV12)+'LINEST VARS'!$O$50*(8^2)+'LINEST VARS'!$N$50*(8^2)+'LINEST VARS'!$M$50*($EC$8^2)+'LINEST VARS'!$L$50*(0.5^2)+'LINEST VARS'!$K$50*($DV12^2)+'LINEST VARS'!$J$50*(8*8)+'LINEST VARS'!$I$50*(8*$EC$8)+'LINEST VARS'!$H$50*(8*0.5)+'LINEST VARS'!$G$50*(8*$DV12)+'LINEST VARS'!$F$50*(8*$EC$8)+'LINEST VARS'!$E$50*(8*0.5)+'LINEST VARS'!$D$50*(8*$DV12)+'LINEST VARS'!$C$50*($EC$8*0.5)+'LINEST VARS'!$B$50*($EC$8*$DV12)+'LINEST VARS'!$A$50*(0.5*$DV12)</f>
        <v>331.99999999999989</v>
      </c>
      <c r="ED12" s="46">
        <f>'LINEST VARS'!$U$50+'LINEST VARS'!$T$50*(8)+'LINEST VARS'!$S$50*(8)+'LINEST VARS'!$R$50*($ED$8)+'LINEST VARS'!$Q$50*(0.5)+'LINEST VARS'!$P$50*($DV12)+'LINEST VARS'!$O$50*(8^2)+'LINEST VARS'!$N$50*(8^2)+'LINEST VARS'!$M$50*($ED$8^2)+'LINEST VARS'!$L$50*(0.5^2)+'LINEST VARS'!$K$50*($DV12^2)+'LINEST VARS'!$J$50*(8*8)+'LINEST VARS'!$I$50*(8*$ED$8)+'LINEST VARS'!$H$50*(8*0.5)+'LINEST VARS'!$G$50*(8*$DV12)+'LINEST VARS'!$F$50*(8*$ED$8)+'LINEST VARS'!$E$50*(8*0.5)+'LINEST VARS'!$D$50*(8*$DV12)+'LINEST VARS'!$C$50*($ED$8*0.5)+'LINEST VARS'!$B$50*($ED$8*$DV12)+'LINEST VARS'!$A$50*(0.5*$DV12)</f>
        <v>331.99999999999989</v>
      </c>
      <c r="EE12" s="46">
        <f>'LINEST VARS'!$U$50+'LINEST VARS'!$T$50*(8)+'LINEST VARS'!$S$50*(8)+'LINEST VARS'!$R$50*($EE$8)+'LINEST VARS'!$Q$50*(0.5)+'LINEST VARS'!$P$50*($DV12)+'LINEST VARS'!$O$50*(8^2)+'LINEST VARS'!$N$50*(8^2)+'LINEST VARS'!$M$50*($EE$8^2)+'LINEST VARS'!$L$50*(0.5^2)+'LINEST VARS'!$K$50*($DV12^2)+'LINEST VARS'!$J$50*(8*8)+'LINEST VARS'!$I$50*(8*$EE$8)+'LINEST VARS'!$H$50*(8*0.5)+'LINEST VARS'!$G$50*(8*$DV12)+'LINEST VARS'!$F$50*(8*$EE$8)+'LINEST VARS'!$E$50*(8*0.5)+'LINEST VARS'!$D$50*(8*$DV12)+'LINEST VARS'!$C$50*($EE$8*0.5)+'LINEST VARS'!$B$50*($EE$8*$DV12)+'LINEST VARS'!$A$50*(0.5*$DV12)</f>
        <v>331.99999999999989</v>
      </c>
      <c r="EF12" s="46">
        <f>'LINEST VARS'!$U$50+'LINEST VARS'!$T$50*(8)+'LINEST VARS'!$S$50*(8)+'LINEST VARS'!$R$50*($EF$8)+'LINEST VARS'!$Q$50*(0.5)+'LINEST VARS'!$P$50*($DV12)+'LINEST VARS'!$O$50*(8^2)+'LINEST VARS'!$N$50*(8^2)+'LINEST VARS'!$M$50*($EF$8^2)+'LINEST VARS'!$L$50*(0.5^2)+'LINEST VARS'!$K$50*($DV12^2)+'LINEST VARS'!$J$50*(8*8)+'LINEST VARS'!$I$50*(8*$EF$8)+'LINEST VARS'!$H$50*(8*0.5)+'LINEST VARS'!$G$50*(8*$DV12)+'LINEST VARS'!$F$50*(8*$EF$8)+'LINEST VARS'!$E$50*(8*0.5)+'LINEST VARS'!$D$50*(8*$DV12)+'LINEST VARS'!$C$50*($EF$8*0.5)+'LINEST VARS'!$B$50*($EF$8*$DV12)+'LINEST VARS'!$A$50*(0.5*$DV12)</f>
        <v>331.99999999999989</v>
      </c>
      <c r="EG12" s="46">
        <f>'LINEST VARS'!$U$50+'LINEST VARS'!$T$50*(8)+'LINEST VARS'!$S$50*(8)+'LINEST VARS'!$R$50*($EG$8)+'LINEST VARS'!$Q$50*(0.5)+'LINEST VARS'!$P$50*($DV12)+'LINEST VARS'!$O$50*(8^2)+'LINEST VARS'!$N$50*(8^2)+'LINEST VARS'!$M$50*($EG$8^2)+'LINEST VARS'!$L$50*(0.5^2)+'LINEST VARS'!$K$50*($DV12^2)+'LINEST VARS'!$J$50*(8*8)+'LINEST VARS'!$I$50*(8*$EG$8)+'LINEST VARS'!$H$50*(8*0.5)+'LINEST VARS'!$G$50*(8*$DV12)+'LINEST VARS'!$F$50*(8*$EG$8)+'LINEST VARS'!$E$50*(8*0.5)+'LINEST VARS'!$D$50*(8*$DV12)+'LINEST VARS'!$C$50*($EG$8*0.5)+'LINEST VARS'!$B$50*($EG$8*$DV12)+'LINEST VARS'!$A$50*(0.5*$DV12)</f>
        <v>331.99999999999989</v>
      </c>
      <c r="EH12" s="46">
        <f>'LINEST VARS'!$U$50+'LINEST VARS'!$T$50*(8)+'LINEST VARS'!$S$50*(8)+'LINEST VARS'!$R$50*($EH$8)+'LINEST VARS'!$Q$50*(0.5)+'LINEST VARS'!$P$50*($DV12)+'LINEST VARS'!$O$50*(8^2)+'LINEST VARS'!$N$50*(8^2)+'LINEST VARS'!$M$50*($EH$8^2)+'LINEST VARS'!$L$50*(0.5^2)+'LINEST VARS'!$K$50*($DV12^2)+'LINEST VARS'!$J$50*(8*8)+'LINEST VARS'!$I$50*(8*$EH$8)+'LINEST VARS'!$H$50*(8*0.5)+'LINEST VARS'!$G$50*(8*$DV12)+'LINEST VARS'!$F$50*(8*$EH$8)+'LINEST VARS'!$E$50*(8*0.5)+'LINEST VARS'!$D$50*(8*$DV12)+'LINEST VARS'!$C$50*($EH$8*0.5)+'LINEST VARS'!$B$50*($EH$8*$DV12)+'LINEST VARS'!$A$50*(0.5*$DV12)</f>
        <v>331.99999999999989</v>
      </c>
      <c r="EI12" s="46">
        <f>'LINEST VARS'!$U$50+'LINEST VARS'!$T$50*(8)+'LINEST VARS'!$S$50*(8)+'LINEST VARS'!$R$50*($EI$8)+'LINEST VARS'!$Q$50*(0.5)+'LINEST VARS'!$P$50*($DV12)+'LINEST VARS'!$O$50*(8^2)+'LINEST VARS'!$N$50*(8^2)+'LINEST VARS'!$M$50*($EI$8^2)+'LINEST VARS'!$L$50*(0.5^2)+'LINEST VARS'!$K$50*($DV12^2)+'LINEST VARS'!$J$50*(8*8)+'LINEST VARS'!$I$50*(8*$EI$8)+'LINEST VARS'!$H$50*(8*0.5)+'LINEST VARS'!$G$50*(8*$DV12)+'LINEST VARS'!$F$50*(8*$EI$8)+'LINEST VARS'!$E$50*(8*0.5)+'LINEST VARS'!$D$50*(8*$DV12)+'LINEST VARS'!$C$50*($EI$8*0.5)+'LINEST VARS'!$B$50*($EI$8*$DV12)+'LINEST VARS'!$A$50*(0.5*$DV12)</f>
        <v>331.99999999999989</v>
      </c>
      <c r="EJ12" s="46">
        <f>'LINEST VARS'!$U$50+'LINEST VARS'!$T$50*(8)+'LINEST VARS'!$S$50*(8)+'LINEST VARS'!$R$50*($EJ$8)+'LINEST VARS'!$Q$50*(0.5)+'LINEST VARS'!$P$50*($DV12)+'LINEST VARS'!$O$50*(8^2)+'LINEST VARS'!$N$50*(8^2)+'LINEST VARS'!$M$50*($EJ$8^2)+'LINEST VARS'!$L$50*(0.5^2)+'LINEST VARS'!$K$50*($DV12^2)+'LINEST VARS'!$J$50*(8*8)+'LINEST VARS'!$I$50*(8*$EJ$8)+'LINEST VARS'!$H$50*(8*0.5)+'LINEST VARS'!$G$50*(8*$DV12)+'LINEST VARS'!$F$50*(8*$EJ$8)+'LINEST VARS'!$E$50*(8*0.5)+'LINEST VARS'!$D$50*(8*$DV12)+'LINEST VARS'!$C$50*($EJ$8*0.5)+'LINEST VARS'!$B$50*($EJ$8*$DV12)+'LINEST VARS'!$A$50*(0.5*$DV12)</f>
        <v>331.99999999999989</v>
      </c>
      <c r="EK12" s="46">
        <f>'LINEST VARS'!$U$50+'LINEST VARS'!$T$50*(8)+'LINEST VARS'!$S$50*(8)+'LINEST VARS'!$R$50*($EK$8)+'LINEST VARS'!$Q$50*(0.5)+'LINEST VARS'!$P$50*($DV12)+'LINEST VARS'!$O$50*(8^2)+'LINEST VARS'!$N$50*(8^2)+'LINEST VARS'!$M$50*($EK$8^2)+'LINEST VARS'!$L$50*(0.5^2)+'LINEST VARS'!$K$50*($DV12^2)+'LINEST VARS'!$J$50*(8*8)+'LINEST VARS'!$I$50*(8*$EK$8)+'LINEST VARS'!$H$50*(8*0.5)+'LINEST VARS'!$G$50*(8*$DV12)+'LINEST VARS'!$F$50*(8*$EK$8)+'LINEST VARS'!$E$50*(8*0.5)+'LINEST VARS'!$D$50*(8*$DV12)+'LINEST VARS'!$C$50*($EK$8*0.5)+'LINEST VARS'!$B$50*($EK$8*$DV12)+'LINEST VARS'!$A$50*(0.5*$DV12)</f>
        <v>331.99999999999989</v>
      </c>
      <c r="EL12" s="46">
        <f>'LINEST VARS'!$U$50+'LINEST VARS'!$T$50*(8)+'LINEST VARS'!$S$50*(8)+'LINEST VARS'!$R$50*($EL$8)+'LINEST VARS'!$Q$50*(0.5)+'LINEST VARS'!$P$50*($DV12)+'LINEST VARS'!$O$50*(8^2)+'LINEST VARS'!$N$50*(8^2)+'LINEST VARS'!$M$50*($EL$8^2)+'LINEST VARS'!$L$50*(0.5^2)+'LINEST VARS'!$K$50*($DV12^2)+'LINEST VARS'!$J$50*(8*8)+'LINEST VARS'!$I$50*(8*$EL$8)+'LINEST VARS'!$H$50*(8*0.5)+'LINEST VARS'!$G$50*(8*$DV12)+'LINEST VARS'!$F$50*(8*$EL$8)+'LINEST VARS'!$E$50*(8*0.5)+'LINEST VARS'!$D$50*(8*$DV12)+'LINEST VARS'!$C$50*($EL$8*0.5)+'LINEST VARS'!$B$50*($EL$8*$DV12)+'LINEST VARS'!$A$50*(0.5*$DV12)</f>
        <v>331.99999999999989</v>
      </c>
      <c r="EM12" s="46">
        <f>'LINEST VARS'!$U$50+'LINEST VARS'!$T$50*(8)+'LINEST VARS'!$S$50*(8)+'LINEST VARS'!$R$50*($EM$8)+'LINEST VARS'!$Q$50*(0.5)+'LINEST VARS'!$P$50*($DV12)+'LINEST VARS'!$O$50*(8^2)+'LINEST VARS'!$N$50*(8^2)+'LINEST VARS'!$M$50*($EM$8^2)+'LINEST VARS'!$L$50*(0.5^2)+'LINEST VARS'!$K$50*($DV12^2)+'LINEST VARS'!$J$50*(8*8)+'LINEST VARS'!$I$50*(8*$EM$8)+'LINEST VARS'!$H$50*(8*0.5)+'LINEST VARS'!$G$50*(8*$DV12)+'LINEST VARS'!$F$50*(8*$EM$8)+'LINEST VARS'!$E$50*(8*0.5)+'LINEST VARS'!$D$50*(8*$DV12)+'LINEST VARS'!$C$50*($EM$8*0.5)+'LINEST VARS'!$B$50*($EM$8*$DV12)+'LINEST VARS'!$A$50*(0.5*$DV12)</f>
        <v>331.99999999999989</v>
      </c>
      <c r="EN12" s="46">
        <f>'LINEST VARS'!$U$50+'LINEST VARS'!$T$50*(8)+'LINEST VARS'!$S$50*(8)+'LINEST VARS'!$R$50*($EN$8)+'LINEST VARS'!$Q$50*(0.5)+'LINEST VARS'!$P$50*($DV12)+'LINEST VARS'!$O$50*(8^2)+'LINEST VARS'!$N$50*(8^2)+'LINEST VARS'!$M$50*($EN$8^2)+'LINEST VARS'!$L$50*(0.5^2)+'LINEST VARS'!$K$50*($DV12^2)+'LINEST VARS'!$J$50*(8*8)+'LINEST VARS'!$I$50*(8*$EN$8)+'LINEST VARS'!$H$50*(8*0.5)+'LINEST VARS'!$G$50*(8*$DV12)+'LINEST VARS'!$F$50*(8*$EN$8)+'LINEST VARS'!$E$50*(8*0.5)+'LINEST VARS'!$D$50*(8*$DV12)+'LINEST VARS'!$C$50*($EN$8*0.5)+'LINEST VARS'!$B$50*($EN$8*$DV12)+'LINEST VARS'!$A$50*(0.5*$DV12)</f>
        <v>331.99999999999989</v>
      </c>
      <c r="EO12" s="46">
        <f>'LINEST VARS'!$U$50+'LINEST VARS'!$T$50*(8)+'LINEST VARS'!$S$50*(8)+'LINEST VARS'!$R$50*($EO$8)+'LINEST VARS'!$Q$50*(0.5)+'LINEST VARS'!$P$50*($DV12)+'LINEST VARS'!$O$50*(8^2)+'LINEST VARS'!$N$50*(8^2)+'LINEST VARS'!$M$50*($EO$8^2)+'LINEST VARS'!$L$50*(0.5^2)+'LINEST VARS'!$K$50*($DV12^2)+'LINEST VARS'!$J$50*(8*8)+'LINEST VARS'!$I$50*(8*$EO$8)+'LINEST VARS'!$H$50*(8*0.5)+'LINEST VARS'!$G$50*(8*$DV12)+'LINEST VARS'!$F$50*(8*$EO$8)+'LINEST VARS'!$E$50*(8*0.5)+'LINEST VARS'!$D$50*(8*$DV12)+'LINEST VARS'!$C$50*($EO$8*0.5)+'LINEST VARS'!$B$50*($EO$8*$DV12)+'LINEST VARS'!$A$50*(0.5*$DV12)</f>
        <v>331.99999999999989</v>
      </c>
      <c r="EP12" s="46">
        <f>'LINEST VARS'!$U$50+'LINEST VARS'!$T$50*(8)+'LINEST VARS'!$S$50*(8)+'LINEST VARS'!$R$50*($EP$8)+'LINEST VARS'!$Q$50*(0.5)+'LINEST VARS'!$P$50*($DV12)+'LINEST VARS'!$O$50*(8^2)+'LINEST VARS'!$N$50*(8^2)+'LINEST VARS'!$M$50*($EP$8^2)+'LINEST VARS'!$L$50*(0.5^2)+'LINEST VARS'!$K$50*($DV12^2)+'LINEST VARS'!$J$50*(8*8)+'LINEST VARS'!$I$50*(8*$EP$8)+'LINEST VARS'!$H$50*(8*0.5)+'LINEST VARS'!$G$50*(8*$DV12)+'LINEST VARS'!$F$50*(8*$EP$8)+'LINEST VARS'!$E$50*(8*0.5)+'LINEST VARS'!$D$50*(8*$DV12)+'LINEST VARS'!$C$50*($EP$8*0.5)+'LINEST VARS'!$B$50*($EP$8*$DV12)+'LINEST VARS'!$A$50*(0.5*$DV12)</f>
        <v>331.99999999999989</v>
      </c>
      <c r="EQ12" s="47">
        <f>'LINEST VARS'!$U$50+'LINEST VARS'!$T$50*(8)+'LINEST VARS'!$S$50*(8)+'LINEST VARS'!$R$50*($EQ$8)+'LINEST VARS'!$Q$50*(0.5)+'LINEST VARS'!$P$50*($DV12)+'LINEST VARS'!$O$50*(8^2)+'LINEST VARS'!$N$50*(8^2)+'LINEST VARS'!$M$50*($EQ$8^2)+'LINEST VARS'!$L$50*(0.5^2)+'LINEST VARS'!$K$50*($DV12^2)+'LINEST VARS'!$J$50*(8*8)+'LINEST VARS'!$I$50*(8*$EQ$8)+'LINEST VARS'!$H$50*(8*0.5)+'LINEST VARS'!$G$50*(8*$DV12)+'LINEST VARS'!$F$50*(8*$EQ$8)+'LINEST VARS'!$E$50*(8*0.5)+'LINEST VARS'!$D$50*(8*$DV12)+'LINEST VARS'!$C$50*($EQ$8*0.5)+'LINEST VARS'!$B$50*($EQ$8*$DV12)+'LINEST VARS'!$A$50*(0.5*$DV12)</f>
        <v>331.99999999999989</v>
      </c>
    </row>
    <row r="13" spans="2:150" ht="15" customHeight="1" x14ac:dyDescent="0.25">
      <c r="B13" s="45">
        <v>7.64</v>
      </c>
      <c r="C13" s="46">
        <f>'LINEST VARS'!$U$48+'LINEST VARS'!$T$48*($C$8)+'LINEST VARS'!$S$48*($B13)+'LINEST VARS'!$R$48*(4)+'LINEST VARS'!$Q$48*(0.5)+'LINEST VARS'!$P$48*(12.73)+'LINEST VARS'!$O$48*($C$8^2)+'LINEST VARS'!$N$48*($B13^2)+'LINEST VARS'!$M$48*(4^2)+'LINEST VARS'!$L$48*(0.5^2)+'LINEST VARS'!$K$48*(12.73^2)+'LINEST VARS'!$J$48*($C$8*$B13)+'LINEST VARS'!$I$48*($C$8*4)+'LINEST VARS'!$H$48*($C$8*0.5)+'LINEST VARS'!$G$48*($C$8*12.73)+'LINEST VARS'!$F$48*($B13*4)+'LINEST VARS'!$E$48*($B13*0.5)+'LINEST VARS'!$D$48*($B13*12.73)+'LINEST VARS'!$C$48*(4*0.5)+'LINEST VARS'!$B$48*(4*12.73)+'LINEST VARS'!$A$48*(0.5*12.73)</f>
        <v>321.51999999999987</v>
      </c>
      <c r="D13" s="46">
        <f>'LINEST VARS'!$U$48+'LINEST VARS'!$T$48*($D$8)+'LINEST VARS'!$S$48*($B13)+'LINEST VARS'!$R$48*(4)+'LINEST VARS'!$Q$48*(0.5)+'LINEST VARS'!$P$48*(12.73)+'LINEST VARS'!$O$48*($D$8^2)+'LINEST VARS'!$N$48*($B13^2)+'LINEST VARS'!$M$48*(4^2)+'LINEST VARS'!$L$48*(0.5^2)+'LINEST VARS'!$K$48*(12.73^2)+'LINEST VARS'!$J$48*($D$8*$B13)+'LINEST VARS'!$I$48*($D$8*4)+'LINEST VARS'!$H$48*($D$8*0.5)+'LINEST VARS'!$G$48*($D$8*12.73)+'LINEST VARS'!$F$48*($B13*4)+'LINEST VARS'!$E$48*($B13*0.5)+'LINEST VARS'!$D$48*($B13*12.73)+'LINEST VARS'!$C$48*(4*0.5)+'LINEST VARS'!$B$48*(4*12.73)+'LINEST VARS'!$A$48*(0.5*12.73)</f>
        <v>326.09799999999984</v>
      </c>
      <c r="E13" s="46">
        <f>'LINEST VARS'!$U$48+'LINEST VARS'!$T$48*($E$8)+'LINEST VARS'!$S$48*($B13)+'LINEST VARS'!$R$48*(4)+'LINEST VARS'!$Q$48*(0.5)+'LINEST VARS'!$P$48*(12.73)+'LINEST VARS'!$O$48*($E$8^2)+'LINEST VARS'!$N$48*($B13^2)+'LINEST VARS'!$M$48*(4^2)+'LINEST VARS'!$L$48*(0.5^2)+'LINEST VARS'!$K$48*(12.73^2)+'LINEST VARS'!$J$48*($E$8*$B13)+'LINEST VARS'!$I$48*($E$8*4)+'LINEST VARS'!$H$48*($E$8*0.5)+'LINEST VARS'!$G$48*($E$8*12.73)+'LINEST VARS'!$F$48*($B13*4)+'LINEST VARS'!$E$48*($B13*0.5)+'LINEST VARS'!$D$48*($B13*12.73)+'LINEST VARS'!$C$48*(4*0.5)+'LINEST VARS'!$B$48*(4*12.73)+'LINEST VARS'!$A$48*(0.5*12.73)</f>
        <v>330.71199999999982</v>
      </c>
      <c r="F13" s="46">
        <f>'LINEST VARS'!$U$48+'LINEST VARS'!$T$48*($F$8)+'LINEST VARS'!$S$48*($B13)+'LINEST VARS'!$R$48*(4)+'LINEST VARS'!$Q$48*(0.5)+'LINEST VARS'!$P$48*(12.73)+'LINEST VARS'!$O$48*($F$8^2)+'LINEST VARS'!$N$48*($B13^2)+'LINEST VARS'!$M$48*(4^2)+'LINEST VARS'!$L$48*(0.5^2)+'LINEST VARS'!$K$48*(12.73^2)+'LINEST VARS'!$J$48*($F$8*$B13)+'LINEST VARS'!$I$48*($F$8*4)+'LINEST VARS'!$H$48*($F$8*0.5)+'LINEST VARS'!$G$48*($F$8*12.73)+'LINEST VARS'!$F$48*($B13*4)+'LINEST VARS'!$E$48*($B13*0.5)+'LINEST VARS'!$D$48*($B13*12.73)+'LINEST VARS'!$C$48*(4*0.5)+'LINEST VARS'!$B$48*(4*12.73)+'LINEST VARS'!$A$48*(0.5*12.73)</f>
        <v>335.36199999999991</v>
      </c>
      <c r="G13" s="46">
        <f>'LINEST VARS'!$U$48+'LINEST VARS'!$T$48*($G$8)+'LINEST VARS'!$S$48*($B13)+'LINEST VARS'!$R$48*(4)+'LINEST VARS'!$Q$48*(0.5)+'LINEST VARS'!$P$48*(12.73)+'LINEST VARS'!$O$48*($G$8^2)+'LINEST VARS'!$N$48*($B13^2)+'LINEST VARS'!$M$48*(4^2)+'LINEST VARS'!$L$48*(0.5^2)+'LINEST VARS'!$K$48*(12.73^2)+'LINEST VARS'!$J$48*($G$8*$B13)+'LINEST VARS'!$I$48*($G$8*4)+'LINEST VARS'!$H$48*($G$8*0.5)+'LINEST VARS'!$G$48*($G$8*12.73)+'LINEST VARS'!$F$48*($B13*4)+'LINEST VARS'!$E$48*($B13*0.5)+'LINEST VARS'!$D$48*($B13*12.73)+'LINEST VARS'!$C$48*(4*0.5)+'LINEST VARS'!$B$48*(4*12.73)+'LINEST VARS'!$A$48*(0.5*12.73)</f>
        <v>340.04799999999989</v>
      </c>
      <c r="H13" s="46">
        <f>'LINEST VARS'!$U$48+'LINEST VARS'!$T$48*($H$8)+'LINEST VARS'!$S$48*($B13)+'LINEST VARS'!$R$48*(4)+'LINEST VARS'!$Q$48*(0.5)+'LINEST VARS'!$P$48*(12.73)+'LINEST VARS'!$O$48*($H$8^2)+'LINEST VARS'!$N$48*($B13^2)+'LINEST VARS'!$M$48*(4^2)+'LINEST VARS'!$L$48*(0.5^2)+'LINEST VARS'!$K$48*(12.73^2)+'LINEST VARS'!$J$48*($H$8*$B13)+'LINEST VARS'!$I$48*($H$8*4)+'LINEST VARS'!$H$48*($H$8*0.5)+'LINEST VARS'!$G$48*($H$8*12.73)+'LINEST VARS'!$F$48*($B13*4)+'LINEST VARS'!$E$48*($B13*0.5)+'LINEST VARS'!$D$48*($B13*12.73)+'LINEST VARS'!$C$48*(4*0.5)+'LINEST VARS'!$B$48*(4*12.73)+'LINEST VARS'!$A$48*(0.5*12.73)</f>
        <v>344.76999999999992</v>
      </c>
      <c r="I13" s="46">
        <f>'LINEST VARS'!$U$48+'LINEST VARS'!$T$48*($I$8)+'LINEST VARS'!$S$48*($B13)+'LINEST VARS'!$R$48*(4)+'LINEST VARS'!$Q$48*(0.5)+'LINEST VARS'!$P$48*(12.73)+'LINEST VARS'!$O$48*($I$8^2)+'LINEST VARS'!$N$48*($B13^2)+'LINEST VARS'!$M$48*(4^2)+'LINEST VARS'!$L$48*(0.5^2)+'LINEST VARS'!$K$48*(12.73^2)+'LINEST VARS'!$J$48*($I$8*$B13)+'LINEST VARS'!$I$48*($I$8*4)+'LINEST VARS'!$H$48*($I$8*0.5)+'LINEST VARS'!$G$48*($I$8*12.73)+'LINEST VARS'!$F$48*($B13*4)+'LINEST VARS'!$E$48*($B13*0.5)+'LINEST VARS'!$D$48*($B13*12.73)+'LINEST VARS'!$C$48*(4*0.5)+'LINEST VARS'!$B$48*(4*12.73)+'LINEST VARS'!$A$48*(0.5*12.73)</f>
        <v>349.52799999999985</v>
      </c>
      <c r="J13" s="46">
        <f>'LINEST VARS'!$U$48+'LINEST VARS'!$T$48*($J$8)+'LINEST VARS'!$S$48*($B13)+'LINEST VARS'!$R$48*(4)+'LINEST VARS'!$Q$48*(0.5)+'LINEST VARS'!$P$48*(12.73)+'LINEST VARS'!$O$48*($J$8^2)+'LINEST VARS'!$N$48*($B13^2)+'LINEST VARS'!$M$48*(4^2)+'LINEST VARS'!$L$48*(0.5^2)+'LINEST VARS'!$K$48*(12.73^2)+'LINEST VARS'!$J$48*($J$8*$B13)+'LINEST VARS'!$I$48*($J$8*4)+'LINEST VARS'!$H$48*($J$8*0.5)+'LINEST VARS'!$G$48*($J$8*12.73)+'LINEST VARS'!$F$48*($B13*4)+'LINEST VARS'!$E$48*($B13*0.5)+'LINEST VARS'!$D$48*($B13*12.73)+'LINEST VARS'!$C$48*(4*0.5)+'LINEST VARS'!$B$48*(4*12.73)+'LINEST VARS'!$A$48*(0.5*12.73)</f>
        <v>354.32199999999989</v>
      </c>
      <c r="K13" s="46">
        <f>'LINEST VARS'!$U$48+'LINEST VARS'!$T$48*($K$8)+'LINEST VARS'!$S$48*($B13)+'LINEST VARS'!$R$48*(4)+'LINEST VARS'!$Q$48*(0.5)+'LINEST VARS'!$P$48*(12.73)+'LINEST VARS'!$O$48*($K$8^2)+'LINEST VARS'!$N$48*($B13^2)+'LINEST VARS'!$M$48*(4^2)+'LINEST VARS'!$L$48*(0.5^2)+'LINEST VARS'!$K$48*(12.73^2)+'LINEST VARS'!$J$48*($K$8*$B13)+'LINEST VARS'!$I$48*($K$8*4)+'LINEST VARS'!$H$48*($K$8*0.5)+'LINEST VARS'!$G$48*($K$8*12.73)+'LINEST VARS'!$F$48*($B13*4)+'LINEST VARS'!$E$48*($B13*0.5)+'LINEST VARS'!$D$48*($B13*12.73)+'LINEST VARS'!$C$48*(4*0.5)+'LINEST VARS'!$B$48*(4*12.73)+'LINEST VARS'!$A$48*(0.5*12.73)</f>
        <v>359.15199999999987</v>
      </c>
      <c r="L13" s="46">
        <f>'LINEST VARS'!$U$48+'LINEST VARS'!$T$48*($L$8)+'LINEST VARS'!$S$48*($B13)+'LINEST VARS'!$R$48*(4)+'LINEST VARS'!$Q$48*(0.5)+'LINEST VARS'!$P$48*(12.73)+'LINEST VARS'!$O$48*($L$8^2)+'LINEST VARS'!$N$48*($B13^2)+'LINEST VARS'!$M$48*(4^2)+'LINEST VARS'!$L$48*(0.5^2)+'LINEST VARS'!$K$48*(12.73^2)+'LINEST VARS'!$J$48*($L$8*$B13)+'LINEST VARS'!$I$48*($L$8*4)+'LINEST VARS'!$H$48*($L$8*0.5)+'LINEST VARS'!$G$48*($L$8*12.73)+'LINEST VARS'!$F$48*($B13*4)+'LINEST VARS'!$E$48*($B13*0.5)+'LINEST VARS'!$D$48*($B13*12.73)+'LINEST VARS'!$C$48*(4*0.5)+'LINEST VARS'!$B$48*(4*12.73)+'LINEST VARS'!$A$48*(0.5*12.73)</f>
        <v>364.01799999999986</v>
      </c>
      <c r="M13" s="46">
        <f>'LINEST VARS'!$U$48+'LINEST VARS'!$T$48*($M$8)+'LINEST VARS'!$S$48*($B13)+'LINEST VARS'!$R$48*(4)+'LINEST VARS'!$Q$48*(0.5)+'LINEST VARS'!$P$48*(12.73)+'LINEST VARS'!$O$48*($M$8^2)+'LINEST VARS'!$N$48*($B13^2)+'LINEST VARS'!$M$48*(4^2)+'LINEST VARS'!$L$48*(0.5^2)+'LINEST VARS'!$K$48*(12.73^2)+'LINEST VARS'!$J$48*($M$8*$B13)+'LINEST VARS'!$I$48*($M$8*4)+'LINEST VARS'!$H$48*($M$8*0.5)+'LINEST VARS'!$G$48*($M$8*12.73)+'LINEST VARS'!$F$48*($B13*4)+'LINEST VARS'!$E$48*($B13*0.5)+'LINEST VARS'!$D$48*($B13*12.73)+'LINEST VARS'!$C$48*(4*0.5)+'LINEST VARS'!$B$48*(4*12.73)+'LINEST VARS'!$A$48*(0.5*12.73)</f>
        <v>368.91999999999979</v>
      </c>
      <c r="N13" s="46">
        <f>'LINEST VARS'!$U$48+'LINEST VARS'!$T$48*($N$8)+'LINEST VARS'!$S$48*($B13)+'LINEST VARS'!$R$48*(4)+'LINEST VARS'!$Q$48*(0.5)+'LINEST VARS'!$P$48*(12.73)+'LINEST VARS'!$O$48*($N$8^2)+'LINEST VARS'!$N$48*($B13^2)+'LINEST VARS'!$M$48*(4^2)+'LINEST VARS'!$L$48*(0.5^2)+'LINEST VARS'!$K$48*(12.73^2)+'LINEST VARS'!$J$48*($N$8*$B13)+'LINEST VARS'!$I$48*($N$8*4)+'LINEST VARS'!$H$48*($N$8*0.5)+'LINEST VARS'!$G$48*($N$8*12.73)+'LINEST VARS'!$F$48*($B13*4)+'LINEST VARS'!$E$48*($B13*0.5)+'LINEST VARS'!$D$48*($B13*12.73)+'LINEST VARS'!$C$48*(4*0.5)+'LINEST VARS'!$B$48*(4*12.73)+'LINEST VARS'!$A$48*(0.5*12.73)</f>
        <v>373.85799999999989</v>
      </c>
      <c r="O13" s="46">
        <f>'LINEST VARS'!$U$48+'LINEST VARS'!$T$48*($O$8)+'LINEST VARS'!$S$48*($B13)+'LINEST VARS'!$R$48*(4)+'LINEST VARS'!$Q$48*(0.5)+'LINEST VARS'!$P$48*(12.73)+'LINEST VARS'!$O$48*($O$8^2)+'LINEST VARS'!$N$48*($B13^2)+'LINEST VARS'!$M$48*(4^2)+'LINEST VARS'!$L$48*(0.5^2)+'LINEST VARS'!$K$48*(12.73^2)+'LINEST VARS'!$J$48*($O$8*$B13)+'LINEST VARS'!$I$48*($O$8*4)+'LINEST VARS'!$H$48*($O$8*0.5)+'LINEST VARS'!$G$48*($O$8*12.73)+'LINEST VARS'!$F$48*($B13*4)+'LINEST VARS'!$E$48*($B13*0.5)+'LINEST VARS'!$D$48*($B13*12.73)+'LINEST VARS'!$C$48*(4*0.5)+'LINEST VARS'!$B$48*(4*12.73)+'LINEST VARS'!$A$48*(0.5*12.73)</f>
        <v>378.83199999999977</v>
      </c>
      <c r="P13" s="46">
        <f>'LINEST VARS'!$U$48+'LINEST VARS'!$T$48*($P$8)+'LINEST VARS'!$S$48*($B13)+'LINEST VARS'!$R$48*(4)+'LINEST VARS'!$Q$48*(0.5)+'LINEST VARS'!$P$48*(12.73)+'LINEST VARS'!$O$48*($P$8^2)+'LINEST VARS'!$N$48*($B13^2)+'LINEST VARS'!$M$48*(4^2)+'LINEST VARS'!$L$48*(0.5^2)+'LINEST VARS'!$K$48*(12.73^2)+'LINEST VARS'!$J$48*($P$8*$B13)+'LINEST VARS'!$I$48*($P$8*4)+'LINEST VARS'!$H$48*($P$8*0.5)+'LINEST VARS'!$G$48*($P$8*12.73)+'LINEST VARS'!$F$48*($B13*4)+'LINEST VARS'!$E$48*($B13*0.5)+'LINEST VARS'!$D$48*($B13*12.73)+'LINEST VARS'!$C$48*(4*0.5)+'LINEST VARS'!$B$48*(4*12.73)+'LINEST VARS'!$A$48*(0.5*12.73)</f>
        <v>383.84199999999976</v>
      </c>
      <c r="Q13" s="46">
        <f>'LINEST VARS'!$U$48+'LINEST VARS'!$T$48*($Q$8)+'LINEST VARS'!$S$48*($B13)+'LINEST VARS'!$R$48*(4)+'LINEST VARS'!$Q$48*(0.5)+'LINEST VARS'!$P$48*(12.73)+'LINEST VARS'!$O$48*($Q$8^2)+'LINEST VARS'!$N$48*($B13^2)+'LINEST VARS'!$M$48*(4^2)+'LINEST VARS'!$L$48*(0.5^2)+'LINEST VARS'!$K$48*(12.73^2)+'LINEST VARS'!$J$48*($Q$8*$B13)+'LINEST VARS'!$I$48*($Q$8*4)+'LINEST VARS'!$H$48*($Q$8*0.5)+'LINEST VARS'!$G$48*($Q$8*12.73)+'LINEST VARS'!$F$48*($B13*4)+'LINEST VARS'!$E$48*($B13*0.5)+'LINEST VARS'!$D$48*($B13*12.73)+'LINEST VARS'!$C$48*(4*0.5)+'LINEST VARS'!$B$48*(4*12.73)+'LINEST VARS'!$A$48*(0.5*12.73)</f>
        <v>388.88799999999981</v>
      </c>
      <c r="R13" s="46">
        <f>'LINEST VARS'!$U$48+'LINEST VARS'!$T$48*($R$8)+'LINEST VARS'!$S$48*($B13)+'LINEST VARS'!$R$48*(4)+'LINEST VARS'!$Q$48*(0.5)+'LINEST VARS'!$P$48*(12.73)+'LINEST VARS'!$O$48*($R$8^2)+'LINEST VARS'!$N$48*($B13^2)+'LINEST VARS'!$M$48*(4^2)+'LINEST VARS'!$L$48*(0.5^2)+'LINEST VARS'!$K$48*(12.73^2)+'LINEST VARS'!$J$48*($R$8*$B13)+'LINEST VARS'!$I$48*($R$8*4)+'LINEST VARS'!$H$48*($R$8*0.5)+'LINEST VARS'!$G$48*($R$8*12.73)+'LINEST VARS'!$F$48*($B13*4)+'LINEST VARS'!$E$48*($B13*0.5)+'LINEST VARS'!$D$48*($B13*12.73)+'LINEST VARS'!$C$48*(4*0.5)+'LINEST VARS'!$B$48*(4*12.73)+'LINEST VARS'!$A$48*(0.5*12.73)</f>
        <v>393.96999999999986</v>
      </c>
      <c r="S13" s="46">
        <f>'LINEST VARS'!$U$48+'LINEST VARS'!$T$48*($S$8)+'LINEST VARS'!$S$48*($B13)+'LINEST VARS'!$R$48*(4)+'LINEST VARS'!$Q$48*(0.5)+'LINEST VARS'!$P$48*(12.73)+'LINEST VARS'!$O$48*($S$8^2)+'LINEST VARS'!$N$48*($B13^2)+'LINEST VARS'!$M$48*(4^2)+'LINEST VARS'!$L$48*(0.5^2)+'LINEST VARS'!$K$48*(12.73^2)+'LINEST VARS'!$J$48*($S$8*$B13)+'LINEST VARS'!$I$48*($S$8*4)+'LINEST VARS'!$H$48*($S$8*0.5)+'LINEST VARS'!$G$48*($S$8*12.73)+'LINEST VARS'!$F$48*($B13*4)+'LINEST VARS'!$E$48*($B13*0.5)+'LINEST VARS'!$D$48*($B13*12.73)+'LINEST VARS'!$C$48*(4*0.5)+'LINEST VARS'!$B$48*(4*12.73)+'LINEST VARS'!$A$48*(0.5*12.73)</f>
        <v>399.08799999999974</v>
      </c>
      <c r="T13" s="46">
        <f>'LINEST VARS'!$U$48+'LINEST VARS'!$T$48*($T$8)+'LINEST VARS'!$S$48*($B13)+'LINEST VARS'!$R$48*(4)+'LINEST VARS'!$Q$48*(0.5)+'LINEST VARS'!$P$48*(12.73)+'LINEST VARS'!$O$48*($T$8^2)+'LINEST VARS'!$N$48*($B13^2)+'LINEST VARS'!$M$48*(4^2)+'LINEST VARS'!$L$48*(0.5^2)+'LINEST VARS'!$K$48*(12.73^2)+'LINEST VARS'!$J$48*($T$8*$B13)+'LINEST VARS'!$I$48*($T$8*4)+'LINEST VARS'!$H$48*($T$8*0.5)+'LINEST VARS'!$G$48*($T$8*12.73)+'LINEST VARS'!$F$48*($B13*4)+'LINEST VARS'!$E$48*($B13*0.5)+'LINEST VARS'!$D$48*($B13*12.73)+'LINEST VARS'!$C$48*(4*0.5)+'LINEST VARS'!$B$48*(4*12.73)+'LINEST VARS'!$A$48*(0.5*12.73)</f>
        <v>404.24199999999979</v>
      </c>
      <c r="U13" s="46">
        <f>'LINEST VARS'!$U$48+'LINEST VARS'!$T$48*($U$8)+'LINEST VARS'!$S$48*($B13)+'LINEST VARS'!$R$48*(4)+'LINEST VARS'!$Q$48*(0.5)+'LINEST VARS'!$P$48*(12.73)+'LINEST VARS'!$O$48*($U$8^2)+'LINEST VARS'!$N$48*($B13^2)+'LINEST VARS'!$M$48*(4^2)+'LINEST VARS'!$L$48*(0.5^2)+'LINEST VARS'!$K$48*(12.73^2)+'LINEST VARS'!$J$48*($U$8*$B13)+'LINEST VARS'!$I$48*($U$8*4)+'LINEST VARS'!$H$48*($U$8*0.5)+'LINEST VARS'!$G$48*($U$8*12.73)+'LINEST VARS'!$F$48*($B13*4)+'LINEST VARS'!$E$48*($B13*0.5)+'LINEST VARS'!$D$48*($B13*12.73)+'LINEST VARS'!$C$48*(4*0.5)+'LINEST VARS'!$B$48*(4*12.73)+'LINEST VARS'!$A$48*(0.5*12.73)</f>
        <v>409.4319999999999</v>
      </c>
      <c r="V13" s="46">
        <f>'LINEST VARS'!$U$48+'LINEST VARS'!$T$48*($V$8)+'LINEST VARS'!$S$48*($B13)+'LINEST VARS'!$R$48*(4)+'LINEST VARS'!$Q$48*(0.5)+'LINEST VARS'!$P$48*(12.73)+'LINEST VARS'!$O$48*($V$8^2)+'LINEST VARS'!$N$48*($B13^2)+'LINEST VARS'!$M$48*(4^2)+'LINEST VARS'!$L$48*(0.5^2)+'LINEST VARS'!$K$48*(12.73^2)+'LINEST VARS'!$J$48*($V$8*$B13)+'LINEST VARS'!$I$48*($V$8*4)+'LINEST VARS'!$H$48*($V$8*0.5)+'LINEST VARS'!$G$48*($V$8*12.73)+'LINEST VARS'!$F$48*($B13*4)+'LINEST VARS'!$E$48*($B13*0.5)+'LINEST VARS'!$D$48*($B13*12.73)+'LINEST VARS'!$C$48*(4*0.5)+'LINEST VARS'!$B$48*(4*12.73)+'LINEST VARS'!$A$48*(0.5*12.73)</f>
        <v>414.65799999999979</v>
      </c>
      <c r="W13" s="47">
        <f>'LINEST VARS'!$U$48+'LINEST VARS'!$T$48*($W$8)+'LINEST VARS'!$S$48*($B13)+'LINEST VARS'!$R$48*(4)+'LINEST VARS'!$Q$48*(0.5)+'LINEST VARS'!$P$48*(12.73)+'LINEST VARS'!$O$48*($W$8^2)+'LINEST VARS'!$N$48*($B13^2)+'LINEST VARS'!$M$48*(4^2)+'LINEST VARS'!$L$48*(0.5^2)+'LINEST VARS'!$K$48*(12.73^2)+'LINEST VARS'!$J$48*($W$8*$B13)+'LINEST VARS'!$I$48*($W$8*4)+'LINEST VARS'!$H$48*($W$8*0.5)+'LINEST VARS'!$G$48*($W$8*12.73)+'LINEST VARS'!$F$48*($B13*4)+'LINEST VARS'!$E$48*($B13*0.5)+'LINEST VARS'!$D$48*($B13*12.73)+'LINEST VARS'!$C$48*(4*0.5)+'LINEST VARS'!$B$48*(4*12.73)+'LINEST VARS'!$A$48*(0.5*12.73)</f>
        <v>419.91999999999979</v>
      </c>
      <c r="Z13" s="45">
        <v>7.64</v>
      </c>
      <c r="AA13" s="46">
        <f>'LINEST VARS'!$U$50+'LINEST VARS'!$T$50*($AA$8)+'LINEST VARS'!$S$50*($Z13)+'LINEST VARS'!$R$50*(4)+'LINEST VARS'!$Q$50*(0.5)+'LINEST VARS'!$P$50*(12.73)+'LINEST VARS'!$O$50*($AA$8^2)+'LINEST VARS'!$N$50*($Z13^2)+'LINEST VARS'!$M$50*(4^2)+'LINEST VARS'!$L$50*(0.5^2)+'LINEST VARS'!$K$50*(12.73^2)+'LINEST VARS'!$J$50*($AA$8*$Z13)+'LINEST VARS'!$I$50*($AA$8*4)+'LINEST VARS'!$H$50*($AA$8*0.5)+'LINEST VARS'!$G$50*($AA$8*12.73)+'LINEST VARS'!$F$50*($Z13*4)+'LINEST VARS'!$E$50*($Z13*0.5)+'LINEST VARS'!$D$50*($Z13*12.73)+'LINEST VARS'!$C$50*(4*0.5)+'LINEST VARS'!$B$50*(4*12.73)+'LINEST VARS'!$A$50*(0.5*12.73)</f>
        <v>330.19999999999993</v>
      </c>
      <c r="AB13" s="46">
        <f>'LINEST VARS'!$U$50+'LINEST VARS'!$T$50*($AB$8)+'LINEST VARS'!$S$50*($Z13)+'LINEST VARS'!$R$50*(4)+'LINEST VARS'!$Q$50*(0.5)+'LINEST VARS'!$P$50*(12.73)+'LINEST VARS'!$O$50*($AB$8^2)+'LINEST VARS'!$N$50*($Z13^2)+'LINEST VARS'!$M$50*(4^2)+'LINEST VARS'!$L$50*(0.5^2)+'LINEST VARS'!$K$50*(12.73^2)+'LINEST VARS'!$J$50*($AB$8*$Z13)+'LINEST VARS'!$I$50*($AB$8*4)+'LINEST VARS'!$H$50*($AB$8*0.5)+'LINEST VARS'!$G$50*($AB$8*12.73)+'LINEST VARS'!$F$50*($Z13*4)+'LINEST VARS'!$E$50*($Z13*0.5)+'LINEST VARS'!$D$50*($Z13*12.73)+'LINEST VARS'!$C$50*(4*0.5)+'LINEST VARS'!$B$50*(4*12.73)+'LINEST VARS'!$A$50*(0.5*12.73)</f>
        <v>330.28999999999991</v>
      </c>
      <c r="AC13" s="46">
        <f>'LINEST VARS'!$U$50+'LINEST VARS'!$T$50*($AC$8)+'LINEST VARS'!$S$50*($Z13)+'LINEST VARS'!$R$50*(4)+'LINEST VARS'!$Q$50*(0.5)+'LINEST VARS'!$P$50*(12.73)+'LINEST VARS'!$O$50*($AC$8^2)+'LINEST VARS'!$N$50*($Z13^2)+'LINEST VARS'!$M$50*(4^2)+'LINEST VARS'!$L$50*(0.5^2)+'LINEST VARS'!$K$50*(12.73^2)+'LINEST VARS'!$J$50*($AC$8*$Z13)+'LINEST VARS'!$I$50*($AC$8*4)+'LINEST VARS'!$H$50*($AC$8*0.5)+'LINEST VARS'!$G$50*($AC$8*12.73)+'LINEST VARS'!$F$50*($Z13*4)+'LINEST VARS'!$E$50*($Z13*0.5)+'LINEST VARS'!$D$50*($Z13*12.73)+'LINEST VARS'!$C$50*(4*0.5)+'LINEST VARS'!$B$50*(4*12.73)+'LINEST VARS'!$A$50*(0.5*12.73)</f>
        <v>330.37999999999994</v>
      </c>
      <c r="AD13" s="46">
        <f>'LINEST VARS'!$U$50+'LINEST VARS'!$T$50*($AD$8)+'LINEST VARS'!$S$50*($Z13)+'LINEST VARS'!$R$50*(4)+'LINEST VARS'!$Q$50*(0.5)+'LINEST VARS'!$P$50*(12.73)+'LINEST VARS'!$O$50*($AD$8^2)+'LINEST VARS'!$N$50*($Z13^2)+'LINEST VARS'!$M$50*(4^2)+'LINEST VARS'!$L$50*(0.5^2)+'LINEST VARS'!$K$50*(12.73^2)+'LINEST VARS'!$J$50*($AD$8*$Z13)+'LINEST VARS'!$I$50*($AD$8*4)+'LINEST VARS'!$H$50*($AD$8*0.5)+'LINEST VARS'!$G$50*($AD$8*12.73)+'LINEST VARS'!$F$50*($Z13*4)+'LINEST VARS'!$E$50*($Z13*0.5)+'LINEST VARS'!$D$50*($Z13*12.73)+'LINEST VARS'!$C$50*(4*0.5)+'LINEST VARS'!$B$50*(4*12.73)+'LINEST VARS'!$A$50*(0.5*12.73)</f>
        <v>330.46999999999991</v>
      </c>
      <c r="AE13" s="46">
        <f>'LINEST VARS'!$U$50+'LINEST VARS'!$T$50*($AE$8)+'LINEST VARS'!$S$50*($Z13)+'LINEST VARS'!$R$50*(4)+'LINEST VARS'!$Q$50*(0.5)+'LINEST VARS'!$P$50*(12.73)+'LINEST VARS'!$O$50*($AE$8^2)+'LINEST VARS'!$N$50*($Z13^2)+'LINEST VARS'!$M$50*(4^2)+'LINEST VARS'!$L$50*(0.5^2)+'LINEST VARS'!$K$50*(12.73^2)+'LINEST VARS'!$J$50*($AE$8*$Z13)+'LINEST VARS'!$I$50*($AE$8*4)+'LINEST VARS'!$H$50*($AE$8*0.5)+'LINEST VARS'!$G$50*($AE$8*12.73)+'LINEST VARS'!$F$50*($Z13*4)+'LINEST VARS'!$E$50*($Z13*0.5)+'LINEST VARS'!$D$50*($Z13*12.73)+'LINEST VARS'!$C$50*(4*0.5)+'LINEST VARS'!$B$50*(4*12.73)+'LINEST VARS'!$A$50*(0.5*12.73)</f>
        <v>330.55999999999989</v>
      </c>
      <c r="AF13" s="46">
        <f>'LINEST VARS'!$U$50+'LINEST VARS'!$T$50*($AF$8)+'LINEST VARS'!$S$50*($Z13)+'LINEST VARS'!$R$50*(4)+'LINEST VARS'!$Q$50*(0.5)+'LINEST VARS'!$P$50*(12.73)+'LINEST VARS'!$O$50*($AF$8^2)+'LINEST VARS'!$N$50*($Z13^2)+'LINEST VARS'!$M$50*(4^2)+'LINEST VARS'!$L$50*(0.5^2)+'LINEST VARS'!$K$50*(12.73^2)+'LINEST VARS'!$J$50*($AF$8*$Z13)+'LINEST VARS'!$I$50*($AF$8*4)+'LINEST VARS'!$H$50*($AF$8*0.5)+'LINEST VARS'!$G$50*($AF$8*12.73)+'LINEST VARS'!$F$50*($Z13*4)+'LINEST VARS'!$E$50*($Z13*0.5)+'LINEST VARS'!$D$50*($Z13*12.73)+'LINEST VARS'!$C$50*(4*0.5)+'LINEST VARS'!$B$50*(4*12.73)+'LINEST VARS'!$A$50*(0.5*12.73)</f>
        <v>330.64999999999992</v>
      </c>
      <c r="AG13" s="46">
        <f>'LINEST VARS'!$U$50+'LINEST VARS'!$T$50*($AG$8)+'LINEST VARS'!$S$50*($Z13)+'LINEST VARS'!$R$50*(4)+'LINEST VARS'!$Q$50*(0.5)+'LINEST VARS'!$P$50*(12.73)+'LINEST VARS'!$O$50*($AG$8^2)+'LINEST VARS'!$N$50*($Z13^2)+'LINEST VARS'!$M$50*(4^2)+'LINEST VARS'!$L$50*(0.5^2)+'LINEST VARS'!$K$50*(12.73^2)+'LINEST VARS'!$J$50*($AG$8*$Z13)+'LINEST VARS'!$I$50*($AG$8*4)+'LINEST VARS'!$H$50*($AG$8*0.5)+'LINEST VARS'!$G$50*($AG$8*12.73)+'LINEST VARS'!$F$50*($Z13*4)+'LINEST VARS'!$E$50*($Z13*0.5)+'LINEST VARS'!$D$50*($Z13*12.73)+'LINEST VARS'!$C$50*(4*0.5)+'LINEST VARS'!$B$50*(4*12.73)+'LINEST VARS'!$A$50*(0.5*12.73)</f>
        <v>330.7399999999999</v>
      </c>
      <c r="AH13" s="46">
        <f>'LINEST VARS'!$U$50+'LINEST VARS'!$T$50*($AH$8)+'LINEST VARS'!$S$50*($Z13)+'LINEST VARS'!$R$50*(4)+'LINEST VARS'!$Q$50*(0.5)+'LINEST VARS'!$P$50*(12.73)+'LINEST VARS'!$O$50*($AH$8^2)+'LINEST VARS'!$N$50*($Z13^2)+'LINEST VARS'!$M$50*(4^2)+'LINEST VARS'!$L$50*(0.5^2)+'LINEST VARS'!$K$50*(12.73^2)+'LINEST VARS'!$J$50*($AH$8*$Z13)+'LINEST VARS'!$I$50*($AH$8*4)+'LINEST VARS'!$H$50*($AH$8*0.5)+'LINEST VARS'!$G$50*($AH$8*12.73)+'LINEST VARS'!$F$50*($Z13*4)+'LINEST VARS'!$E$50*($Z13*0.5)+'LINEST VARS'!$D$50*($Z13*12.73)+'LINEST VARS'!$C$50*(4*0.5)+'LINEST VARS'!$B$50*(4*12.73)+'LINEST VARS'!$A$50*(0.5*12.73)</f>
        <v>330.82999999999993</v>
      </c>
      <c r="AI13" s="46">
        <f>'LINEST VARS'!$U$50+'LINEST VARS'!$T$50*($AI$8)+'LINEST VARS'!$S$50*($Z13)+'LINEST VARS'!$R$50*(4)+'LINEST VARS'!$Q$50*(0.5)+'LINEST VARS'!$P$50*(12.73)+'LINEST VARS'!$O$50*($AI$8^2)+'LINEST VARS'!$N$50*($Z13^2)+'LINEST VARS'!$M$50*(4^2)+'LINEST VARS'!$L$50*(0.5^2)+'LINEST VARS'!$K$50*(12.73^2)+'LINEST VARS'!$J$50*($AI$8*$Z13)+'LINEST VARS'!$I$50*($AI$8*4)+'LINEST VARS'!$H$50*($AI$8*0.5)+'LINEST VARS'!$G$50*($AI$8*12.73)+'LINEST VARS'!$F$50*($Z13*4)+'LINEST VARS'!$E$50*($Z13*0.5)+'LINEST VARS'!$D$50*($Z13*12.73)+'LINEST VARS'!$C$50*(4*0.5)+'LINEST VARS'!$B$50*(4*12.73)+'LINEST VARS'!$A$50*(0.5*12.73)</f>
        <v>330.9199999999999</v>
      </c>
      <c r="AJ13" s="46">
        <f>'LINEST VARS'!$U$50+'LINEST VARS'!$T$50*($AJ$8)+'LINEST VARS'!$S$50*($Z13)+'LINEST VARS'!$R$50*(4)+'LINEST VARS'!$Q$50*(0.5)+'LINEST VARS'!$P$50*(12.73)+'LINEST VARS'!$O$50*($AJ$8^2)+'LINEST VARS'!$N$50*($Z13^2)+'LINEST VARS'!$M$50*(4^2)+'LINEST VARS'!$L$50*(0.5^2)+'LINEST VARS'!$K$50*(12.73^2)+'LINEST VARS'!$J$50*($AJ$8*$Z13)+'LINEST VARS'!$I$50*($AJ$8*4)+'LINEST VARS'!$H$50*($AJ$8*0.5)+'LINEST VARS'!$G$50*($AJ$8*12.73)+'LINEST VARS'!$F$50*($Z13*4)+'LINEST VARS'!$E$50*($Z13*0.5)+'LINEST VARS'!$D$50*($Z13*12.73)+'LINEST VARS'!$C$50*(4*0.5)+'LINEST VARS'!$B$50*(4*12.73)+'LINEST VARS'!$A$50*(0.5*12.73)</f>
        <v>331.00999999999993</v>
      </c>
      <c r="AK13" s="46">
        <f>'LINEST VARS'!$U$50+'LINEST VARS'!$T$50*($AK$8)+'LINEST VARS'!$S$50*($Z13)+'LINEST VARS'!$R$50*(4)+'LINEST VARS'!$Q$50*(0.5)+'LINEST VARS'!$P$50*(12.73)+'LINEST VARS'!$O$50*($AK$8^2)+'LINEST VARS'!$N$50*($Z13^2)+'LINEST VARS'!$M$50*(4^2)+'LINEST VARS'!$L$50*(0.5^2)+'LINEST VARS'!$K$50*(12.73^2)+'LINEST VARS'!$J$50*($AK$8*$Z13)+'LINEST VARS'!$I$50*($AK$8*4)+'LINEST VARS'!$H$50*($AK$8*0.5)+'LINEST VARS'!$G$50*($AK$8*12.73)+'LINEST VARS'!$F$50*($Z13*4)+'LINEST VARS'!$E$50*($Z13*0.5)+'LINEST VARS'!$D$50*($Z13*12.73)+'LINEST VARS'!$C$50*(4*0.5)+'LINEST VARS'!$B$50*(4*12.73)+'LINEST VARS'!$A$50*(0.5*12.73)</f>
        <v>331.09999999999985</v>
      </c>
      <c r="AL13" s="46">
        <f>'LINEST VARS'!$U$50+'LINEST VARS'!$T$50*($AL$8)+'LINEST VARS'!$S$50*($Z13)+'LINEST VARS'!$R$50*(4)+'LINEST VARS'!$Q$50*(0.5)+'LINEST VARS'!$P$50*(12.73)+'LINEST VARS'!$O$50*($AL$8^2)+'LINEST VARS'!$N$50*($Z13^2)+'LINEST VARS'!$M$50*(4^2)+'LINEST VARS'!$L$50*(0.5^2)+'LINEST VARS'!$K$50*(12.73^2)+'LINEST VARS'!$J$50*($AL$8*$Z13)+'LINEST VARS'!$I$50*($AL$8*4)+'LINEST VARS'!$H$50*($AL$8*0.5)+'LINEST VARS'!$G$50*($AL$8*12.73)+'LINEST VARS'!$F$50*($Z13*4)+'LINEST VARS'!$E$50*($Z13*0.5)+'LINEST VARS'!$D$50*($Z13*12.73)+'LINEST VARS'!$C$50*(4*0.5)+'LINEST VARS'!$B$50*(4*12.73)+'LINEST VARS'!$A$50*(0.5*12.73)</f>
        <v>331.18999999999983</v>
      </c>
      <c r="AM13" s="46">
        <f>'LINEST VARS'!$U$50+'LINEST VARS'!$T$50*($AM$8)+'LINEST VARS'!$S$50*($Z13)+'LINEST VARS'!$R$50*(4)+'LINEST VARS'!$Q$50*(0.5)+'LINEST VARS'!$P$50*(12.73)+'LINEST VARS'!$O$50*($AM$8^2)+'LINEST VARS'!$N$50*($Z13^2)+'LINEST VARS'!$M$50*(4^2)+'LINEST VARS'!$L$50*(0.5^2)+'LINEST VARS'!$K$50*(12.73^2)+'LINEST VARS'!$J$50*($AM$8*$Z13)+'LINEST VARS'!$I$50*($AM$8*4)+'LINEST VARS'!$H$50*($AM$8*0.5)+'LINEST VARS'!$G$50*($AM$8*12.73)+'LINEST VARS'!$F$50*($Z13*4)+'LINEST VARS'!$E$50*($Z13*0.5)+'LINEST VARS'!$D$50*($Z13*12.73)+'LINEST VARS'!$C$50*(4*0.5)+'LINEST VARS'!$B$50*(4*12.73)+'LINEST VARS'!$A$50*(0.5*12.73)</f>
        <v>331.27999999999986</v>
      </c>
      <c r="AN13" s="46">
        <f>'LINEST VARS'!$U$50+'LINEST VARS'!$T$50*($AN$8)+'LINEST VARS'!$S$50*($Z13)+'LINEST VARS'!$R$50*(4)+'LINEST VARS'!$Q$50*(0.5)+'LINEST VARS'!$P$50*(12.73)+'LINEST VARS'!$O$50*($AN$8^2)+'LINEST VARS'!$N$50*($Z13^2)+'LINEST VARS'!$M$50*(4^2)+'LINEST VARS'!$L$50*(0.5^2)+'LINEST VARS'!$K$50*(12.73^2)+'LINEST VARS'!$J$50*($AN$8*$Z13)+'LINEST VARS'!$I$50*($AN$8*4)+'LINEST VARS'!$H$50*($AN$8*0.5)+'LINEST VARS'!$G$50*($AN$8*12.73)+'LINEST VARS'!$F$50*($Z13*4)+'LINEST VARS'!$E$50*($Z13*0.5)+'LINEST VARS'!$D$50*($Z13*12.73)+'LINEST VARS'!$C$50*(4*0.5)+'LINEST VARS'!$B$50*(4*12.73)+'LINEST VARS'!$A$50*(0.5*12.73)</f>
        <v>331.36999999999983</v>
      </c>
      <c r="AO13" s="46">
        <f>'LINEST VARS'!$U$50+'LINEST VARS'!$T$50*($AO$8)+'LINEST VARS'!$S$50*($Z13)+'LINEST VARS'!$R$50*(4)+'LINEST VARS'!$Q$50*(0.5)+'LINEST VARS'!$P$50*(12.73)+'LINEST VARS'!$O$50*($AO$8^2)+'LINEST VARS'!$N$50*($Z13^2)+'LINEST VARS'!$M$50*(4^2)+'LINEST VARS'!$L$50*(0.5^2)+'LINEST VARS'!$K$50*(12.73^2)+'LINEST VARS'!$J$50*($AO$8*$Z13)+'LINEST VARS'!$I$50*($AO$8*4)+'LINEST VARS'!$H$50*($AO$8*0.5)+'LINEST VARS'!$G$50*($AO$8*12.73)+'LINEST VARS'!$F$50*($Z13*4)+'LINEST VARS'!$E$50*($Z13*0.5)+'LINEST VARS'!$D$50*($Z13*12.73)+'LINEST VARS'!$C$50*(4*0.5)+'LINEST VARS'!$B$50*(4*12.73)+'LINEST VARS'!$A$50*(0.5*12.73)</f>
        <v>331.45999999999987</v>
      </c>
      <c r="AP13" s="46">
        <f>'LINEST VARS'!$U$50+'LINEST VARS'!$T$50*($AP$8)+'LINEST VARS'!$S$50*($Z13)+'LINEST VARS'!$R$50*(4)+'LINEST VARS'!$Q$50*(0.5)+'LINEST VARS'!$P$50*(12.73)+'LINEST VARS'!$O$50*($AP$8^2)+'LINEST VARS'!$N$50*($Z13^2)+'LINEST VARS'!$M$50*(4^2)+'LINEST VARS'!$L$50*(0.5^2)+'LINEST VARS'!$K$50*(12.73^2)+'LINEST VARS'!$J$50*($AP$8*$Z13)+'LINEST VARS'!$I$50*($AP$8*4)+'LINEST VARS'!$H$50*($AP$8*0.5)+'LINEST VARS'!$G$50*($AP$8*12.73)+'LINEST VARS'!$F$50*($Z13*4)+'LINEST VARS'!$E$50*($Z13*0.5)+'LINEST VARS'!$D$50*($Z13*12.73)+'LINEST VARS'!$C$50*(4*0.5)+'LINEST VARS'!$B$50*(4*12.73)+'LINEST VARS'!$A$50*(0.5*12.73)</f>
        <v>331.54999999999984</v>
      </c>
      <c r="AQ13" s="46">
        <f>'LINEST VARS'!$U$50+'LINEST VARS'!$T$50*($AQ$8)+'LINEST VARS'!$S$50*($Z13)+'LINEST VARS'!$R$50*(4)+'LINEST VARS'!$Q$50*(0.5)+'LINEST VARS'!$P$50*(12.73)+'LINEST VARS'!$O$50*($AQ$8^2)+'LINEST VARS'!$N$50*($Z13^2)+'LINEST VARS'!$M$50*(4^2)+'LINEST VARS'!$L$50*(0.5^2)+'LINEST VARS'!$K$50*(12.73^2)+'LINEST VARS'!$J$50*($AQ$8*$Z13)+'LINEST VARS'!$I$50*($AQ$8*4)+'LINEST VARS'!$H$50*($AQ$8*0.5)+'LINEST VARS'!$G$50*($AQ$8*12.73)+'LINEST VARS'!$F$50*($Z13*4)+'LINEST VARS'!$E$50*($Z13*0.5)+'LINEST VARS'!$D$50*($Z13*12.73)+'LINEST VARS'!$C$50*(4*0.5)+'LINEST VARS'!$B$50*(4*12.73)+'LINEST VARS'!$A$50*(0.5*12.73)</f>
        <v>331.63999999999987</v>
      </c>
      <c r="AR13" s="46">
        <f>'LINEST VARS'!$U$50+'LINEST VARS'!$T$50*($AR$8)+'LINEST VARS'!$S$50*($Z13)+'LINEST VARS'!$R$50*(4)+'LINEST VARS'!$Q$50*(0.5)+'LINEST VARS'!$P$50*(12.73)+'LINEST VARS'!$O$50*($AR$8^2)+'LINEST VARS'!$N$50*($Z13^2)+'LINEST VARS'!$M$50*(4^2)+'LINEST VARS'!$L$50*(0.5^2)+'LINEST VARS'!$K$50*(12.73^2)+'LINEST VARS'!$J$50*($AR$8*$Z13)+'LINEST VARS'!$I$50*($AR$8*4)+'LINEST VARS'!$H$50*($AR$8*0.5)+'LINEST VARS'!$G$50*($AR$8*12.73)+'LINEST VARS'!$F$50*($Z13*4)+'LINEST VARS'!$E$50*($Z13*0.5)+'LINEST VARS'!$D$50*($Z13*12.73)+'LINEST VARS'!$C$50*(4*0.5)+'LINEST VARS'!$B$50*(4*12.73)+'LINEST VARS'!$A$50*(0.5*12.73)</f>
        <v>331.72999999999985</v>
      </c>
      <c r="AS13" s="46">
        <f>'LINEST VARS'!$U$50+'LINEST VARS'!$T$50*($AS$8)+'LINEST VARS'!$S$50*($Z13)+'LINEST VARS'!$R$50*(4)+'LINEST VARS'!$Q$50*(0.5)+'LINEST VARS'!$P$50*(12.73)+'LINEST VARS'!$O$50*($AS$8^2)+'LINEST VARS'!$N$50*($Z13^2)+'LINEST VARS'!$M$50*(4^2)+'LINEST VARS'!$L$50*(0.5^2)+'LINEST VARS'!$K$50*(12.73^2)+'LINEST VARS'!$J$50*($AS$8*$Z13)+'LINEST VARS'!$I$50*($AS$8*4)+'LINEST VARS'!$H$50*($AS$8*0.5)+'LINEST VARS'!$G$50*($AS$8*12.73)+'LINEST VARS'!$F$50*($Z13*4)+'LINEST VARS'!$E$50*($Z13*0.5)+'LINEST VARS'!$D$50*($Z13*12.73)+'LINEST VARS'!$C$50*(4*0.5)+'LINEST VARS'!$B$50*(4*12.73)+'LINEST VARS'!$A$50*(0.5*12.73)</f>
        <v>331.81999999999982</v>
      </c>
      <c r="AT13" s="46">
        <f>'LINEST VARS'!$U$50+'LINEST VARS'!$T$50*($AT$8)+'LINEST VARS'!$S$50*($Z13)+'LINEST VARS'!$R$50*(4)+'LINEST VARS'!$Q$50*(0.5)+'LINEST VARS'!$P$50*(12.73)+'LINEST VARS'!$O$50*($AT$8^2)+'LINEST VARS'!$N$50*($Z13^2)+'LINEST VARS'!$M$50*(4^2)+'LINEST VARS'!$L$50*(0.5^2)+'LINEST VARS'!$K$50*(12.73^2)+'LINEST VARS'!$J$50*($AT$8*$Z13)+'LINEST VARS'!$I$50*($AT$8*4)+'LINEST VARS'!$H$50*($AT$8*0.5)+'LINEST VARS'!$G$50*($AT$8*12.73)+'LINEST VARS'!$F$50*($Z13*4)+'LINEST VARS'!$E$50*($Z13*0.5)+'LINEST VARS'!$D$50*($Z13*12.73)+'LINEST VARS'!$C$50*(4*0.5)+'LINEST VARS'!$B$50*(4*12.73)+'LINEST VARS'!$A$50*(0.5*12.73)</f>
        <v>331.90999999999985</v>
      </c>
      <c r="AU13" s="47">
        <f>'LINEST VARS'!$U$50+'LINEST VARS'!$T$50*($AU$8)+'LINEST VARS'!$S$50*($Z13)+'LINEST VARS'!$R$50*(4)+'LINEST VARS'!$Q$50*(0.5)+'LINEST VARS'!$P$50*(12.73)+'LINEST VARS'!$O$50*($AU$8^2)+'LINEST VARS'!$N$50*($Z13^2)+'LINEST VARS'!$M$50*(4^2)+'LINEST VARS'!$L$50*(0.5^2)+'LINEST VARS'!$K$50*(12.73^2)+'LINEST VARS'!$J$50*($AU$8*$Z13)+'LINEST VARS'!$I$50*($AU$8*4)+'LINEST VARS'!$H$50*($AU$8*0.5)+'LINEST VARS'!$G$50*($AU$8*12.73)+'LINEST VARS'!$F$50*($Z13*4)+'LINEST VARS'!$E$50*($Z13*0.5)+'LINEST VARS'!$D$50*($Z13*12.73)+'LINEST VARS'!$C$50*(4*0.5)+'LINEST VARS'!$B$50*(4*12.73)+'LINEST VARS'!$A$50*(0.5*12.73)</f>
        <v>331.99999999999983</v>
      </c>
      <c r="AZ13" s="45">
        <v>0.2</v>
      </c>
      <c r="BA13" s="46">
        <f>'LINEST VARS'!$U$48+'LINEST VARS'!$T$48*(8)+'LINEST VARS'!$S$48*(8)+'LINEST VARS'!$R$48*($BA$8)+'LINEST VARS'!$Q$48*($AZ13)+'LINEST VARS'!$P$48*(12.73)+'LINEST VARS'!$O$48*(8^2)+'LINEST VARS'!$N$48*(8^2)+'LINEST VARS'!$M$48*($BA$8^2)+'LINEST VARS'!$L$48*($AZ13^2)+'LINEST VARS'!$K$48*(12.73^2)+'LINEST VARS'!$J$48*(8*8)+'LINEST VARS'!$I$48*(8*$BA$8)+'LINEST VARS'!$H$48*(8*$AZ13)+'LINEST VARS'!$G$48*(8*12.73)+'LINEST VARS'!$F$48*(8*$BA$8)+'LINEST VARS'!$E$48*(8*$AZ13)+'LINEST VARS'!$D$48*(8*12.73)+'LINEST VARS'!$C$48*($BA$8*$AZ13)+'LINEST VARS'!$B$48*($BA$8*12.73)+'LINEST VARS'!$A$48*($AZ13*12.73)</f>
        <v>369.99999999999989</v>
      </c>
      <c r="BB13" s="46">
        <f>'LINEST VARS'!$U$48+'LINEST VARS'!$T$48*(8)+'LINEST VARS'!$S$48*(8)+'LINEST VARS'!$R$48*($BB$8)+'LINEST VARS'!$Q$48*($AZ13)+'LINEST VARS'!$P$48*(12.73)+'LINEST VARS'!$O$48*(8^2)+'LINEST VARS'!$N$48*(8^2)+'LINEST VARS'!$M$48*($BB$8^2)+'LINEST VARS'!$L$48*($AZ13^2)+'LINEST VARS'!$K$48*(12.73^2)+'LINEST VARS'!$J$48*(8*8)+'LINEST VARS'!$I$48*(8*$BB$8)+'LINEST VARS'!$H$48*(8*$AZ13)+'LINEST VARS'!$G$48*(8*12.73)+'LINEST VARS'!$F$48*(8*$BB$8)+'LINEST VARS'!$E$48*(8*$AZ13)+'LINEST VARS'!$D$48*(8*12.73)+'LINEST VARS'!$C$48*($BB$8*$AZ13)+'LINEST VARS'!$B$48*($BB$8*12.73)+'LINEST VARS'!$A$48*($AZ13*12.73)</f>
        <v>369.99999999999989</v>
      </c>
      <c r="BC13" s="46">
        <f>'LINEST VARS'!$U$48+'LINEST VARS'!$T$48*(8)+'LINEST VARS'!$S$48*(8)+'LINEST VARS'!$R$48*($BC$8)+'LINEST VARS'!$Q$48*($AZ13)+'LINEST VARS'!$P$48*(12.73)+'LINEST VARS'!$O$48*(8^2)+'LINEST VARS'!$N$48*(8^2)+'LINEST VARS'!$M$48*($BC$8^2)+'LINEST VARS'!$L$48*($AZ13^2)+'LINEST VARS'!$K$48*(12.73^2)+'LINEST VARS'!$J$48*(8*8)+'LINEST VARS'!$I$48*(8*$BC$8)+'LINEST VARS'!$H$48*(8*$AZ13)+'LINEST VARS'!$G$48*(8*12.73)+'LINEST VARS'!$F$48*(8*$BC$8)+'LINEST VARS'!$E$48*(8*$AZ13)+'LINEST VARS'!$D$48*(8*12.73)+'LINEST VARS'!$C$48*($BC$8*$AZ13)+'LINEST VARS'!$B$48*($BC$8*12.73)+'LINEST VARS'!$A$48*($AZ13*12.73)</f>
        <v>369.99999999999989</v>
      </c>
      <c r="BD13" s="46">
        <f>'LINEST VARS'!$U$48+'LINEST VARS'!$T$48*(8)+'LINEST VARS'!$S$48*(8)+'LINEST VARS'!$R$48*($BD$8)+'LINEST VARS'!$Q$48*($AZ13)+'LINEST VARS'!$P$48*(12.73)+'LINEST VARS'!$O$48*(8^2)+'LINEST VARS'!$N$48*(8^2)+'LINEST VARS'!$M$48*($BD$8^2)+'LINEST VARS'!$L$48*($AZ13^2)+'LINEST VARS'!$K$48*(12.73^2)+'LINEST VARS'!$J$48*(8*8)+'LINEST VARS'!$I$48*(8*$BD$8)+'LINEST VARS'!$H$48*(8*$AZ13)+'LINEST VARS'!$G$48*(8*12.73)+'LINEST VARS'!$F$48*(8*$BD$8)+'LINEST VARS'!$E$48*(8*$AZ13)+'LINEST VARS'!$D$48*(8*12.73)+'LINEST VARS'!$C$48*($BD$8*$AZ13)+'LINEST VARS'!$B$48*($BD$8*12.73)+'LINEST VARS'!$A$48*($AZ13*12.73)</f>
        <v>369.99999999999989</v>
      </c>
      <c r="BE13" s="46">
        <f>'LINEST VARS'!$U$48+'LINEST VARS'!$T$48*(8)+'LINEST VARS'!$S$48*(8)+'LINEST VARS'!$R$48*($BE$8)+'LINEST VARS'!$Q$48*($AZ13)+'LINEST VARS'!$P$48*(12.73)+'LINEST VARS'!$O$48*(8^2)+'LINEST VARS'!$N$48*(8^2)+'LINEST VARS'!$M$48*($BE$8^2)+'LINEST VARS'!$L$48*($AZ13^2)+'LINEST VARS'!$K$48*(12.73^2)+'LINEST VARS'!$J$48*(8*8)+'LINEST VARS'!$I$48*(8*$BE$8)+'LINEST VARS'!$H$48*(8*$AZ13)+'LINEST VARS'!$G$48*(8*12.73)+'LINEST VARS'!$F$48*(8*$BE$8)+'LINEST VARS'!$E$48*(8*$AZ13)+'LINEST VARS'!$D$48*(8*12.73)+'LINEST VARS'!$C$48*($BE$8*$AZ13)+'LINEST VARS'!$B$48*($BE$8*12.73)+'LINEST VARS'!$A$48*($AZ13*12.73)</f>
        <v>369.99999999999989</v>
      </c>
      <c r="BF13" s="46">
        <f>'LINEST VARS'!$U$48+'LINEST VARS'!$T$48*(8)+'LINEST VARS'!$S$48*(8)+'LINEST VARS'!$R$48*($BF$8)+'LINEST VARS'!$Q$48*($AZ13)+'LINEST VARS'!$P$48*(12.73)+'LINEST VARS'!$O$48*(8^2)+'LINEST VARS'!$N$48*(8^2)+'LINEST VARS'!$M$48*($BF$8^2)+'LINEST VARS'!$L$48*($AZ13^2)+'LINEST VARS'!$K$48*(12.73^2)+'LINEST VARS'!$J$48*(8*8)+'LINEST VARS'!$I$48*(8*$BF$8)+'LINEST VARS'!$H$48*(8*$AZ13)+'LINEST VARS'!$G$48*(8*12.73)+'LINEST VARS'!$F$48*(8*$BF$8)+'LINEST VARS'!$E$48*(8*$AZ13)+'LINEST VARS'!$D$48*(8*12.73)+'LINEST VARS'!$C$48*($BF$8*$AZ13)+'LINEST VARS'!$B$48*($BF$8*12.73)+'LINEST VARS'!$A$48*($AZ13*12.73)</f>
        <v>369.99999999999989</v>
      </c>
      <c r="BG13" s="46">
        <f>'LINEST VARS'!$U$48+'LINEST VARS'!$T$48*(8)+'LINEST VARS'!$S$48*(8)+'LINEST VARS'!$R$48*($BG$8)+'LINEST VARS'!$Q$48*($AZ13)+'LINEST VARS'!$P$48*(12.73)+'LINEST VARS'!$O$48*(8^2)+'LINEST VARS'!$N$48*(8^2)+'LINEST VARS'!$M$48*($BG$8^2)+'LINEST VARS'!$L$48*($AZ13^2)+'LINEST VARS'!$K$48*(12.73^2)+'LINEST VARS'!$J$48*(8*8)+'LINEST VARS'!$I$48*(8*$BG$8)+'LINEST VARS'!$H$48*(8*$AZ13)+'LINEST VARS'!$G$48*(8*12.73)+'LINEST VARS'!$F$48*(8*$BG$8)+'LINEST VARS'!$E$48*(8*$AZ13)+'LINEST VARS'!$D$48*(8*12.73)+'LINEST VARS'!$C$48*($BG$8*$AZ13)+'LINEST VARS'!$B$48*($BG$8*12.73)+'LINEST VARS'!$A$48*($AZ13*12.73)</f>
        <v>369.99999999999989</v>
      </c>
      <c r="BH13" s="46">
        <f>'LINEST VARS'!$U$48+'LINEST VARS'!$T$48*(8)+'LINEST VARS'!$S$48*(8)+'LINEST VARS'!$R$48*($BH$8)+'LINEST VARS'!$Q$48*($AZ13)+'LINEST VARS'!$P$48*(12.73)+'LINEST VARS'!$O$48*(8^2)+'LINEST VARS'!$N$48*(8^2)+'LINEST VARS'!$M$48*($BH$8^2)+'LINEST VARS'!$L$48*($AZ13^2)+'LINEST VARS'!$K$48*(12.73^2)+'LINEST VARS'!$J$48*(8*8)+'LINEST VARS'!$I$48*(8*$BH$8)+'LINEST VARS'!$H$48*(8*$AZ13)+'LINEST VARS'!$G$48*(8*12.73)+'LINEST VARS'!$F$48*(8*$BH$8)+'LINEST VARS'!$E$48*(8*$AZ13)+'LINEST VARS'!$D$48*(8*12.73)+'LINEST VARS'!$C$48*($BH$8*$AZ13)+'LINEST VARS'!$B$48*($BH$8*12.73)+'LINEST VARS'!$A$48*($AZ13*12.73)</f>
        <v>369.99999999999989</v>
      </c>
      <c r="BI13" s="46">
        <f>'LINEST VARS'!$U$48+'LINEST VARS'!$T$48*(8)+'LINEST VARS'!$S$48*(8)+'LINEST VARS'!$R$48*($BI$8)+'LINEST VARS'!$Q$48*($AZ13)+'LINEST VARS'!$P$48*(12.73)+'LINEST VARS'!$O$48*(8^2)+'LINEST VARS'!$N$48*(8^2)+'LINEST VARS'!$M$48*($BI$8^2)+'LINEST VARS'!$L$48*($AZ13^2)+'LINEST VARS'!$K$48*(12.73^2)+'LINEST VARS'!$J$48*(8*8)+'LINEST VARS'!$I$48*(8*$BI$8)+'LINEST VARS'!$H$48*(8*$AZ13)+'LINEST VARS'!$G$48*(8*12.73)+'LINEST VARS'!$F$48*(8*$BI$8)+'LINEST VARS'!$E$48*(8*$AZ13)+'LINEST VARS'!$D$48*(8*12.73)+'LINEST VARS'!$C$48*($BI$8*$AZ13)+'LINEST VARS'!$B$48*($BI$8*12.73)+'LINEST VARS'!$A$48*($AZ13*12.73)</f>
        <v>369.99999999999989</v>
      </c>
      <c r="BJ13" s="46">
        <f>'LINEST VARS'!$U$48+'LINEST VARS'!$T$48*(8)+'LINEST VARS'!$S$48*(8)+'LINEST VARS'!$R$48*($BJ$8)+'LINEST VARS'!$Q$48*($AZ13)+'LINEST VARS'!$P$48*(12.73)+'LINEST VARS'!$O$48*(8^2)+'LINEST VARS'!$N$48*(8^2)+'LINEST VARS'!$M$48*($BJ$8^2)+'LINEST VARS'!$L$48*($AZ13^2)+'LINEST VARS'!$K$48*(12.73^2)+'LINEST VARS'!$J$48*(8*8)+'LINEST VARS'!$I$48*(8*$BJ$8)+'LINEST VARS'!$H$48*(8*$AZ13)+'LINEST VARS'!$G$48*(8*12.73)+'LINEST VARS'!$F$48*(8*$BJ$8)+'LINEST VARS'!$E$48*(8*$AZ13)+'LINEST VARS'!$D$48*(8*12.73)+'LINEST VARS'!$C$48*($BJ$8*$AZ13)+'LINEST VARS'!$B$48*($BJ$8*12.73)+'LINEST VARS'!$A$48*($AZ13*12.73)</f>
        <v>369.99999999999989</v>
      </c>
      <c r="BK13" s="46">
        <f>'LINEST VARS'!$U$48+'LINEST VARS'!$T$48*(8)+'LINEST VARS'!$S$48*(8)+'LINEST VARS'!$R$48*($BK$8)+'LINEST VARS'!$Q$48*($AZ13)+'LINEST VARS'!$P$48*(12.73)+'LINEST VARS'!$O$48*(8^2)+'LINEST VARS'!$N$48*(8^2)+'LINEST VARS'!$M$48*($BK$8^2)+'LINEST VARS'!$L$48*($AZ13^2)+'LINEST VARS'!$K$48*(12.73^2)+'LINEST VARS'!$J$48*(8*8)+'LINEST VARS'!$I$48*(8*$BK$8)+'LINEST VARS'!$H$48*(8*$AZ13)+'LINEST VARS'!$G$48*(8*12.73)+'LINEST VARS'!$F$48*(8*$BK$8)+'LINEST VARS'!$E$48*(8*$AZ13)+'LINEST VARS'!$D$48*(8*12.73)+'LINEST VARS'!$C$48*($BK$8*$AZ13)+'LINEST VARS'!$B$48*($BK$8*12.73)+'LINEST VARS'!$A$48*($AZ13*12.73)</f>
        <v>369.99999999999989</v>
      </c>
      <c r="BL13" s="46">
        <f>'LINEST VARS'!$U$48+'LINEST VARS'!$T$48*(8)+'LINEST VARS'!$S$48*(8)+'LINEST VARS'!$R$48*($BL$8)+'LINEST VARS'!$Q$48*($AZ13)+'LINEST VARS'!$P$48*(12.73)+'LINEST VARS'!$O$48*(8^2)+'LINEST VARS'!$N$48*(8^2)+'LINEST VARS'!$M$48*($BL$8^2)+'LINEST VARS'!$L$48*($AZ13^2)+'LINEST VARS'!$K$48*(12.73^2)+'LINEST VARS'!$J$48*(8*8)+'LINEST VARS'!$I$48*(8*$BL$8)+'LINEST VARS'!$H$48*(8*$AZ13)+'LINEST VARS'!$G$48*(8*12.73)+'LINEST VARS'!$F$48*(8*$BL$8)+'LINEST VARS'!$E$48*(8*$AZ13)+'LINEST VARS'!$D$48*(8*12.73)+'LINEST VARS'!$C$48*($BL$8*$AZ13)+'LINEST VARS'!$B$48*($BL$8*12.73)+'LINEST VARS'!$A$48*($AZ13*12.73)</f>
        <v>369.99999999999989</v>
      </c>
      <c r="BM13" s="46">
        <f>'LINEST VARS'!$U$48+'LINEST VARS'!$T$48*(8)+'LINEST VARS'!$S$48*(8)+'LINEST VARS'!$R$48*($BM$8)+'LINEST VARS'!$Q$48*($AZ13)+'LINEST VARS'!$P$48*(12.73)+'LINEST VARS'!$O$48*(8^2)+'LINEST VARS'!$N$48*(8^2)+'LINEST VARS'!$M$48*($BM$8^2)+'LINEST VARS'!$L$48*($AZ13^2)+'LINEST VARS'!$K$48*(12.73^2)+'LINEST VARS'!$J$48*(8*8)+'LINEST VARS'!$I$48*(8*$BM$8)+'LINEST VARS'!$H$48*(8*$AZ13)+'LINEST VARS'!$G$48*(8*12.73)+'LINEST VARS'!$F$48*(8*$BM$8)+'LINEST VARS'!$E$48*(8*$AZ13)+'LINEST VARS'!$D$48*(8*12.73)+'LINEST VARS'!$C$48*($BM$8*$AZ13)+'LINEST VARS'!$B$48*($BM$8*12.73)+'LINEST VARS'!$A$48*($AZ13*12.73)</f>
        <v>369.99999999999989</v>
      </c>
      <c r="BN13" s="46">
        <f>'LINEST VARS'!$U$48+'LINEST VARS'!$T$48*(8)+'LINEST VARS'!$S$48*(8)+'LINEST VARS'!$R$48*($BN$8)+'LINEST VARS'!$Q$48*($AZ13)+'LINEST VARS'!$P$48*(12.73)+'LINEST VARS'!$O$48*(8^2)+'LINEST VARS'!$N$48*(8^2)+'LINEST VARS'!$M$48*($BN$8^2)+'LINEST VARS'!$L$48*($AZ13^2)+'LINEST VARS'!$K$48*(12.73^2)+'LINEST VARS'!$J$48*(8*8)+'LINEST VARS'!$I$48*(8*$BN$8)+'LINEST VARS'!$H$48*(8*$AZ13)+'LINEST VARS'!$G$48*(8*12.73)+'LINEST VARS'!$F$48*(8*$BN$8)+'LINEST VARS'!$E$48*(8*$AZ13)+'LINEST VARS'!$D$48*(8*12.73)+'LINEST VARS'!$C$48*($BN$8*$AZ13)+'LINEST VARS'!$B$48*($BN$8*12.73)+'LINEST VARS'!$A$48*($AZ13*12.73)</f>
        <v>369.99999999999994</v>
      </c>
      <c r="BO13" s="46">
        <f>'LINEST VARS'!$U$48+'LINEST VARS'!$T$48*(8)+'LINEST VARS'!$S$48*(8)+'LINEST VARS'!$R$48*($BO$8)+'LINEST VARS'!$Q$48*($AZ13)+'LINEST VARS'!$P$48*(12.73)+'LINEST VARS'!$O$48*(8^2)+'LINEST VARS'!$N$48*(8^2)+'LINEST VARS'!$M$48*($BO$8^2)+'LINEST VARS'!$L$48*($AZ13^2)+'LINEST VARS'!$K$48*(12.73^2)+'LINEST VARS'!$J$48*(8*8)+'LINEST VARS'!$I$48*(8*$BO$8)+'LINEST VARS'!$H$48*(8*$AZ13)+'LINEST VARS'!$G$48*(8*12.73)+'LINEST VARS'!$F$48*(8*$BO$8)+'LINEST VARS'!$E$48*(8*$AZ13)+'LINEST VARS'!$D$48*(8*12.73)+'LINEST VARS'!$C$48*($BO$8*$AZ13)+'LINEST VARS'!$B$48*($BO$8*12.73)+'LINEST VARS'!$A$48*($AZ13*12.73)</f>
        <v>369.99999999999994</v>
      </c>
      <c r="BP13" s="46">
        <f>'LINEST VARS'!$U$48+'LINEST VARS'!$T$48*(8)+'LINEST VARS'!$S$48*(8)+'LINEST VARS'!$R$48*($BP$8)+'LINEST VARS'!$Q$48*($AZ13)+'LINEST VARS'!$P$48*(12.73)+'LINEST VARS'!$O$48*(8^2)+'LINEST VARS'!$N$48*(8^2)+'LINEST VARS'!$M$48*($BP$8^2)+'LINEST VARS'!$L$48*($AZ13^2)+'LINEST VARS'!$K$48*(12.73^2)+'LINEST VARS'!$J$48*(8*8)+'LINEST VARS'!$I$48*(8*$BP$8)+'LINEST VARS'!$H$48*(8*$AZ13)+'LINEST VARS'!$G$48*(8*12.73)+'LINEST VARS'!$F$48*(8*$BP$8)+'LINEST VARS'!$E$48*(8*$AZ13)+'LINEST VARS'!$D$48*(8*12.73)+'LINEST VARS'!$C$48*($BP$8*$AZ13)+'LINEST VARS'!$B$48*($BP$8*12.73)+'LINEST VARS'!$A$48*($AZ13*12.73)</f>
        <v>369.99999999999994</v>
      </c>
      <c r="BQ13" s="46">
        <f>'LINEST VARS'!$U$48+'LINEST VARS'!$T$48*(8)+'LINEST VARS'!$S$48*(8)+'LINEST VARS'!$R$48*($BQ$8)+'LINEST VARS'!$Q$48*($AZ13)+'LINEST VARS'!$P$48*(12.73)+'LINEST VARS'!$O$48*(8^2)+'LINEST VARS'!$N$48*(8^2)+'LINEST VARS'!$M$48*($BQ$8^2)+'LINEST VARS'!$L$48*($AZ13^2)+'LINEST VARS'!$K$48*(12.73^2)+'LINEST VARS'!$J$48*(8*8)+'LINEST VARS'!$I$48*(8*$BQ$8)+'LINEST VARS'!$H$48*(8*$AZ13)+'LINEST VARS'!$G$48*(8*12.73)+'LINEST VARS'!$F$48*(8*$BQ$8)+'LINEST VARS'!$E$48*(8*$AZ13)+'LINEST VARS'!$D$48*(8*12.73)+'LINEST VARS'!$C$48*($BQ$8*$AZ13)+'LINEST VARS'!$B$48*($BQ$8*12.73)+'LINEST VARS'!$A$48*($AZ13*12.73)</f>
        <v>369.99999999999989</v>
      </c>
      <c r="BR13" s="46">
        <f>'LINEST VARS'!$U$48+'LINEST VARS'!$T$48*(8)+'LINEST VARS'!$S$48*(8)+'LINEST VARS'!$R$48*($BR$8)+'LINEST VARS'!$Q$48*($AZ13)+'LINEST VARS'!$P$48*(12.73)+'LINEST VARS'!$O$48*(8^2)+'LINEST VARS'!$N$48*(8^2)+'LINEST VARS'!$M$48*($BR$8^2)+'LINEST VARS'!$L$48*($AZ13^2)+'LINEST VARS'!$K$48*(12.73^2)+'LINEST VARS'!$J$48*(8*8)+'LINEST VARS'!$I$48*(8*$BR$8)+'LINEST VARS'!$H$48*(8*$AZ13)+'LINEST VARS'!$G$48*(8*12.73)+'LINEST VARS'!$F$48*(8*$BR$8)+'LINEST VARS'!$E$48*(8*$AZ13)+'LINEST VARS'!$D$48*(8*12.73)+'LINEST VARS'!$C$48*($BR$8*$AZ13)+'LINEST VARS'!$B$48*($BR$8*12.73)+'LINEST VARS'!$A$48*($AZ13*12.73)</f>
        <v>369.99999999999989</v>
      </c>
      <c r="BS13" s="46">
        <f>'LINEST VARS'!$U$48+'LINEST VARS'!$T$48*(8)+'LINEST VARS'!$S$48*(8)+'LINEST VARS'!$R$48*($BS$8)+'LINEST VARS'!$Q$48*($AZ13)+'LINEST VARS'!$P$48*(12.73)+'LINEST VARS'!$O$48*(8^2)+'LINEST VARS'!$N$48*(8^2)+'LINEST VARS'!$M$48*($BS$8^2)+'LINEST VARS'!$L$48*($AZ13^2)+'LINEST VARS'!$K$48*(12.73^2)+'LINEST VARS'!$J$48*(8*8)+'LINEST VARS'!$I$48*(8*$BS$8)+'LINEST VARS'!$H$48*(8*$AZ13)+'LINEST VARS'!$G$48*(8*12.73)+'LINEST VARS'!$F$48*(8*$BS$8)+'LINEST VARS'!$E$48*(8*$AZ13)+'LINEST VARS'!$D$48*(8*12.73)+'LINEST VARS'!$C$48*($BS$8*$AZ13)+'LINEST VARS'!$B$48*($BS$8*12.73)+'LINEST VARS'!$A$48*($AZ13*12.73)</f>
        <v>369.99999999999989</v>
      </c>
      <c r="BT13" s="46">
        <f>'LINEST VARS'!$U$48+'LINEST VARS'!$T$48*(8)+'LINEST VARS'!$S$48*(8)+'LINEST VARS'!$R$48*($BT$8)+'LINEST VARS'!$Q$48*($AZ13)+'LINEST VARS'!$P$48*(12.73)+'LINEST VARS'!$O$48*(8^2)+'LINEST VARS'!$N$48*(8^2)+'LINEST VARS'!$M$48*($BT$8^2)+'LINEST VARS'!$L$48*($AZ13^2)+'LINEST VARS'!$K$48*(12.73^2)+'LINEST VARS'!$J$48*(8*8)+'LINEST VARS'!$I$48*(8*$BT$8)+'LINEST VARS'!$H$48*(8*$AZ13)+'LINEST VARS'!$G$48*(8*12.73)+'LINEST VARS'!$F$48*(8*$BT$8)+'LINEST VARS'!$E$48*(8*$AZ13)+'LINEST VARS'!$D$48*(8*12.73)+'LINEST VARS'!$C$48*($BT$8*$AZ13)+'LINEST VARS'!$B$48*($BT$8*12.73)+'LINEST VARS'!$A$48*($AZ13*12.73)</f>
        <v>369.99999999999983</v>
      </c>
      <c r="BU13" s="47">
        <f>'LINEST VARS'!$U$48+'LINEST VARS'!$T$48*(8)+'LINEST VARS'!$S$48*(8)+'LINEST VARS'!$R$48*($BU$8)+'LINEST VARS'!$Q$48*($AZ13)+'LINEST VARS'!$P$48*(12.73)+'LINEST VARS'!$O$48*(8^2)+'LINEST VARS'!$N$48*(8^2)+'LINEST VARS'!$M$48*($BU$8^2)+'LINEST VARS'!$L$48*($AZ13^2)+'LINEST VARS'!$K$48*(12.73^2)+'LINEST VARS'!$J$48*(8*8)+'LINEST VARS'!$I$48*(8*$BU$8)+'LINEST VARS'!$H$48*(8*$AZ13)+'LINEST VARS'!$G$48*(8*12.73)+'LINEST VARS'!$F$48*(8*$BU$8)+'LINEST VARS'!$E$48*(8*$AZ13)+'LINEST VARS'!$D$48*(8*12.73)+'LINEST VARS'!$C$48*($BU$8*$AZ13)+'LINEST VARS'!$B$48*($BU$8*12.73)+'LINEST VARS'!$A$48*($AZ13*12.73)</f>
        <v>369.99999999999983</v>
      </c>
      <c r="BX13" s="45">
        <v>0.2</v>
      </c>
      <c r="BY13" s="46">
        <f>'LINEST VARS'!$U$50+'LINEST VARS'!$T$50*(8)+'LINEST VARS'!$S$50*(8)+'LINEST VARS'!$R$50*($BY$8)+'LINEST VARS'!$Q$50*($BX13)+'LINEST VARS'!$P$50*(12.73)+'LINEST VARS'!$O$50*(8^2)+'LINEST VARS'!$N$50*(8^2)+'LINEST VARS'!$M$50*($BY$8^2)+'LINEST VARS'!$L$50*($BX13^2)+'LINEST VARS'!$K$50*(12.73^2)+'LINEST VARS'!$J$50*(8*8)+'LINEST VARS'!$I$50*(8*$BY$8)+'LINEST VARS'!$H$50*(8*$BX13)+'LINEST VARS'!$G$50*(8*12.73)+'LINEST VARS'!$F$50*(8*$BY$8)+'LINEST VARS'!$E$50*(8*$BX13)+'LINEST VARS'!$D$50*(8*12.73)+'LINEST VARS'!$C$50*($BY$8*$BX13)+'LINEST VARS'!$B$50*($BY$8*12.73)+'LINEST VARS'!$A$50*($BX13*12.73)</f>
        <v>331.99999999999989</v>
      </c>
      <c r="BZ13" s="46">
        <f>'LINEST VARS'!$U$50+'LINEST VARS'!$T$50*(8)+'LINEST VARS'!$S$50*(8)+'LINEST VARS'!$R$50*($BZ$8)+'LINEST VARS'!$Q$50*($BX13)+'LINEST VARS'!$P$50*(12.73)+'LINEST VARS'!$O$50*(8^2)+'LINEST VARS'!$N$50*(8^2)+'LINEST VARS'!$M$50*($BZ$8^2)+'LINEST VARS'!$L$50*($BX13^2)+'LINEST VARS'!$K$50*(12.73^2)+'LINEST VARS'!$J$50*(8*8)+'LINEST VARS'!$I$50*(8*$BZ$8)+'LINEST VARS'!$H$50*(8*$BX13)+'LINEST VARS'!$G$50*(8*12.73)+'LINEST VARS'!$F$50*(8*$BZ$8)+'LINEST VARS'!$E$50*(8*$BX13)+'LINEST VARS'!$D$50*(8*12.73)+'LINEST VARS'!$C$50*($BZ$8*$BX13)+'LINEST VARS'!$B$50*($BZ$8*12.73)+'LINEST VARS'!$A$50*($BX13*12.73)</f>
        <v>331.99999999999989</v>
      </c>
      <c r="CA13" s="46">
        <f>'LINEST VARS'!$U$50+'LINEST VARS'!$T$50*(8)+'LINEST VARS'!$S$50*(8)+'LINEST VARS'!$R$50*($CA$8)+'LINEST VARS'!$Q$50*($BX13)+'LINEST VARS'!$P$50*(12.73)+'LINEST VARS'!$O$50*(8^2)+'LINEST VARS'!$N$50*(8^2)+'LINEST VARS'!$M$50*($CA$8^2)+'LINEST VARS'!$L$50*($BX13^2)+'LINEST VARS'!$K$50*(12.73^2)+'LINEST VARS'!$J$50*(8*8)+'LINEST VARS'!$I$50*(8*$CA$8)+'LINEST VARS'!$H$50*(8*$BX13)+'LINEST VARS'!$G$50*(8*12.73)+'LINEST VARS'!$F$50*(8*$CA$8)+'LINEST VARS'!$E$50*(8*$BX13)+'LINEST VARS'!$D$50*(8*12.73)+'LINEST VARS'!$C$50*($CA$8*$BX13)+'LINEST VARS'!$B$50*($CA$8*12.73)+'LINEST VARS'!$A$50*($BX13*12.73)</f>
        <v>331.99999999999989</v>
      </c>
      <c r="CB13" s="46">
        <f>'LINEST VARS'!$U$50+'LINEST VARS'!$T$50*(8)+'LINEST VARS'!$S$50*(8)+'LINEST VARS'!$R$50*($CB$8)+'LINEST VARS'!$Q$50*($BX13)+'LINEST VARS'!$P$50*(12.73)+'LINEST VARS'!$O$50*(8^2)+'LINEST VARS'!$N$50*(8^2)+'LINEST VARS'!$M$50*($CB$8^2)+'LINEST VARS'!$L$50*($BX13^2)+'LINEST VARS'!$K$50*(12.73^2)+'LINEST VARS'!$J$50*(8*8)+'LINEST VARS'!$I$50*(8*$CB$8)+'LINEST VARS'!$H$50*(8*$BX13)+'LINEST VARS'!$G$50*(8*12.73)+'LINEST VARS'!$F$50*(8*$CB$8)+'LINEST VARS'!$E$50*(8*$BX13)+'LINEST VARS'!$D$50*(8*12.73)+'LINEST VARS'!$C$50*($CB$8*$BX13)+'LINEST VARS'!$B$50*($CB$8*12.73)+'LINEST VARS'!$A$50*($BX13*12.73)</f>
        <v>331.99999999999989</v>
      </c>
      <c r="CC13" s="46">
        <f>'LINEST VARS'!$U$50+'LINEST VARS'!$T$50*(8)+'LINEST VARS'!$S$50*(8)+'LINEST VARS'!$R$50*($CC$8)+'LINEST VARS'!$Q$50*($BX13)+'LINEST VARS'!$P$50*(12.73)+'LINEST VARS'!$O$50*(8^2)+'LINEST VARS'!$N$50*(8^2)+'LINEST VARS'!$M$50*($CC$8^2)+'LINEST VARS'!$L$50*($BX13^2)+'LINEST VARS'!$K$50*(12.73^2)+'LINEST VARS'!$J$50*(8*8)+'LINEST VARS'!$I$50*(8*$CC$8)+'LINEST VARS'!$H$50*(8*$BX13)+'LINEST VARS'!$G$50*(8*12.73)+'LINEST VARS'!$F$50*(8*$CC$8)+'LINEST VARS'!$E$50*(8*$BX13)+'LINEST VARS'!$D$50*(8*12.73)+'LINEST VARS'!$C$50*($CC$8*$BX13)+'LINEST VARS'!$B$50*($CC$8*12.73)+'LINEST VARS'!$A$50*($BX13*12.73)</f>
        <v>331.99999999999989</v>
      </c>
      <c r="CD13" s="46">
        <f>'LINEST VARS'!$U$50+'LINEST VARS'!$T$50*(8)+'LINEST VARS'!$S$50*(8)+'LINEST VARS'!$R$50*($CD$8)+'LINEST VARS'!$Q$50*($BX13)+'LINEST VARS'!$P$50*(12.73)+'LINEST VARS'!$O$50*(8^2)+'LINEST VARS'!$N$50*(8^2)+'LINEST VARS'!$M$50*($CD$8^2)+'LINEST VARS'!$L$50*($BX13^2)+'LINEST VARS'!$K$50*(12.73^2)+'LINEST VARS'!$J$50*(8*8)+'LINEST VARS'!$I$50*(8*$CD$8)+'LINEST VARS'!$H$50*(8*$BX13)+'LINEST VARS'!$G$50*(8*12.73)+'LINEST VARS'!$F$50*(8*$CD$8)+'LINEST VARS'!$E$50*(8*$BX13)+'LINEST VARS'!$D$50*(8*12.73)+'LINEST VARS'!$C$50*($CD$8*$BX13)+'LINEST VARS'!$B$50*($CD$8*12.73)+'LINEST VARS'!$A$50*($BX13*12.73)</f>
        <v>331.99999999999989</v>
      </c>
      <c r="CE13" s="46">
        <f>'LINEST VARS'!$U$50+'LINEST VARS'!$T$50*(8)+'LINEST VARS'!$S$50*(8)+'LINEST VARS'!$R$50*($CE$8)+'LINEST VARS'!$Q$50*($BX13)+'LINEST VARS'!$P$50*(12.73)+'LINEST VARS'!$O$50*(8^2)+'LINEST VARS'!$N$50*(8^2)+'LINEST VARS'!$M$50*($CE$8^2)+'LINEST VARS'!$L$50*($BX13^2)+'LINEST VARS'!$K$50*(12.73^2)+'LINEST VARS'!$J$50*(8*8)+'LINEST VARS'!$I$50*(8*$CE$8)+'LINEST VARS'!$H$50*(8*$BX13)+'LINEST VARS'!$G$50*(8*12.73)+'LINEST VARS'!$F$50*(8*$CE$8)+'LINEST VARS'!$E$50*(8*$BX13)+'LINEST VARS'!$D$50*(8*12.73)+'LINEST VARS'!$C$50*($CE$8*$BX13)+'LINEST VARS'!$B$50*($CE$8*12.73)+'LINEST VARS'!$A$50*($BX13*12.73)</f>
        <v>331.99999999999989</v>
      </c>
      <c r="CF13" s="46">
        <f>'LINEST VARS'!$U$50+'LINEST VARS'!$T$50*(8)+'LINEST VARS'!$S$50*(8)+'LINEST VARS'!$R$50*($CF$8)+'LINEST VARS'!$Q$50*($BX13)+'LINEST VARS'!$P$50*(12.73)+'LINEST VARS'!$O$50*(8^2)+'LINEST VARS'!$N$50*(8^2)+'LINEST VARS'!$M$50*($CF$8^2)+'LINEST VARS'!$L$50*($BX13^2)+'LINEST VARS'!$K$50*(12.73^2)+'LINEST VARS'!$J$50*(8*8)+'LINEST VARS'!$I$50*(8*$CF$8)+'LINEST VARS'!$H$50*(8*$BX13)+'LINEST VARS'!$G$50*(8*12.73)+'LINEST VARS'!$F$50*(8*$CF$8)+'LINEST VARS'!$E$50*(8*$BX13)+'LINEST VARS'!$D$50*(8*12.73)+'LINEST VARS'!$C$50*($CF$8*$BX13)+'LINEST VARS'!$B$50*($CF$8*12.73)+'LINEST VARS'!$A$50*($BX13*12.73)</f>
        <v>331.99999999999989</v>
      </c>
      <c r="CG13" s="46">
        <f>'LINEST VARS'!$U$50+'LINEST VARS'!$T$50*(8)+'LINEST VARS'!$S$50*(8)+'LINEST VARS'!$R$50*($CG$8)+'LINEST VARS'!$Q$50*($BX13)+'LINEST VARS'!$P$50*(12.73)+'LINEST VARS'!$O$50*(8^2)+'LINEST VARS'!$N$50*(8^2)+'LINEST VARS'!$M$50*($CG$8^2)+'LINEST VARS'!$L$50*($BX13^2)+'LINEST VARS'!$K$50*(12.73^2)+'LINEST VARS'!$J$50*(8*8)+'LINEST VARS'!$I$50*(8*$CG$8)+'LINEST VARS'!$H$50*(8*$BX13)+'LINEST VARS'!$G$50*(8*12.73)+'LINEST VARS'!$F$50*(8*$CG$8)+'LINEST VARS'!$E$50*(8*$BX13)+'LINEST VARS'!$D$50*(8*12.73)+'LINEST VARS'!$C$50*($CG$8*$BX13)+'LINEST VARS'!$B$50*($CG$8*12.73)+'LINEST VARS'!$A$50*($BX13*12.73)</f>
        <v>331.99999999999989</v>
      </c>
      <c r="CH13" s="46">
        <f>'LINEST VARS'!$U$50+'LINEST VARS'!$T$50*(8)+'LINEST VARS'!$S$50*(8)+'LINEST VARS'!$R$50*($CH$8)+'LINEST VARS'!$Q$50*($BX13)+'LINEST VARS'!$P$50*(12.73)+'LINEST VARS'!$O$50*(8^2)+'LINEST VARS'!$N$50*(8^2)+'LINEST VARS'!$M$50*($CH$8^2)+'LINEST VARS'!$L$50*($BX13^2)+'LINEST VARS'!$K$50*(12.73^2)+'LINEST VARS'!$J$50*(8*8)+'LINEST VARS'!$I$50*(8*$CH$8)+'LINEST VARS'!$H$50*(8*$BX13)+'LINEST VARS'!$G$50*(8*12.73)+'LINEST VARS'!$F$50*(8*$CH$8)+'LINEST VARS'!$E$50*(8*$BX13)+'LINEST VARS'!$D$50*(8*12.73)+'LINEST VARS'!$C$50*($CH$8*$BX13)+'LINEST VARS'!$B$50*($CH$8*12.73)+'LINEST VARS'!$A$50*($BX13*12.73)</f>
        <v>331.99999999999989</v>
      </c>
      <c r="CI13" s="46">
        <f>'LINEST VARS'!$U$50+'LINEST VARS'!$T$50*(8)+'LINEST VARS'!$S$50*(8)+'LINEST VARS'!$R$50*($CI$8)+'LINEST VARS'!$Q$50*($BX13)+'LINEST VARS'!$P$50*(12.73)+'LINEST VARS'!$O$50*(8^2)+'LINEST VARS'!$N$50*(8^2)+'LINEST VARS'!$M$50*($CI$8^2)+'LINEST VARS'!$L$50*($BX13^2)+'LINEST VARS'!$K$50*(12.73^2)+'LINEST VARS'!$J$50*(8*8)+'LINEST VARS'!$I$50*(8*$CI$8)+'LINEST VARS'!$H$50*(8*$BX13)+'LINEST VARS'!$G$50*(8*12.73)+'LINEST VARS'!$F$50*(8*$CI$8)+'LINEST VARS'!$E$50*(8*$BX13)+'LINEST VARS'!$D$50*(8*12.73)+'LINEST VARS'!$C$50*($CI$8*$BX13)+'LINEST VARS'!$B$50*($CI$8*12.73)+'LINEST VARS'!$A$50*($BX13*12.73)</f>
        <v>331.99999999999989</v>
      </c>
      <c r="CJ13" s="46">
        <f>'LINEST VARS'!$U$50+'LINEST VARS'!$T$50*(8)+'LINEST VARS'!$S$50*(8)+'LINEST VARS'!$R$50*($CJ$8)+'LINEST VARS'!$Q$50*($BX13)+'LINEST VARS'!$P$50*(12.73)+'LINEST VARS'!$O$50*(8^2)+'LINEST VARS'!$N$50*(8^2)+'LINEST VARS'!$M$50*($CJ$8^2)+'LINEST VARS'!$L$50*($BX13^2)+'LINEST VARS'!$K$50*(12.73^2)+'LINEST VARS'!$J$50*(8*8)+'LINEST VARS'!$I$50*(8*$CJ$8)+'LINEST VARS'!$H$50*(8*$BX13)+'LINEST VARS'!$G$50*(8*12.73)+'LINEST VARS'!$F$50*(8*$CJ$8)+'LINEST VARS'!$E$50*(8*$BX13)+'LINEST VARS'!$D$50*(8*12.73)+'LINEST VARS'!$C$50*($CJ$8*$BX13)+'LINEST VARS'!$B$50*($CJ$8*12.73)+'LINEST VARS'!$A$50*($BX13*12.73)</f>
        <v>331.99999999999989</v>
      </c>
      <c r="CK13" s="46">
        <f>'LINEST VARS'!$U$50+'LINEST VARS'!$T$50*(8)+'LINEST VARS'!$S$50*(8)+'LINEST VARS'!$R$50*($CK$8)+'LINEST VARS'!$Q$50*($BX13)+'LINEST VARS'!$P$50*(12.73)+'LINEST VARS'!$O$50*(8^2)+'LINEST VARS'!$N$50*(8^2)+'LINEST VARS'!$M$50*($CK$8^2)+'LINEST VARS'!$L$50*($BX13^2)+'LINEST VARS'!$K$50*(12.73^2)+'LINEST VARS'!$J$50*(8*8)+'LINEST VARS'!$I$50*(8*$CK$8)+'LINEST VARS'!$H$50*(8*$BX13)+'LINEST VARS'!$G$50*(8*12.73)+'LINEST VARS'!$F$50*(8*$CK$8)+'LINEST VARS'!$E$50*(8*$BX13)+'LINEST VARS'!$D$50*(8*12.73)+'LINEST VARS'!$C$50*($CK$8*$BX13)+'LINEST VARS'!$B$50*($CK$8*12.73)+'LINEST VARS'!$A$50*($BX13*12.73)</f>
        <v>331.99999999999989</v>
      </c>
      <c r="CL13" s="46">
        <f>'LINEST VARS'!$U$50+'LINEST VARS'!$T$50*(8)+'LINEST VARS'!$S$50*(8)+'LINEST VARS'!$R$50*($CL$8)+'LINEST VARS'!$Q$50*($BX13)+'LINEST VARS'!$P$50*(12.73)+'LINEST VARS'!$O$50*(8^2)+'LINEST VARS'!$N$50*(8^2)+'LINEST VARS'!$M$50*($CL$8^2)+'LINEST VARS'!$L$50*($BX13^2)+'LINEST VARS'!$K$50*(12.73^2)+'LINEST VARS'!$J$50*(8*8)+'LINEST VARS'!$I$50*(8*$CL$8)+'LINEST VARS'!$H$50*(8*$BX13)+'LINEST VARS'!$G$50*(8*12.73)+'LINEST VARS'!$F$50*(8*$CL$8)+'LINEST VARS'!$E$50*(8*$BX13)+'LINEST VARS'!$D$50*(8*12.73)+'LINEST VARS'!$C$50*($CL$8*$BX13)+'LINEST VARS'!$B$50*($CL$8*12.73)+'LINEST VARS'!$A$50*($BX13*12.73)</f>
        <v>331.99999999999989</v>
      </c>
      <c r="CM13" s="46">
        <f>'LINEST VARS'!$U$50+'LINEST VARS'!$T$50*(8)+'LINEST VARS'!$S$50*(8)+'LINEST VARS'!$R$50*($CM$8)+'LINEST VARS'!$Q$50*($BX13)+'LINEST VARS'!$P$50*(12.73)+'LINEST VARS'!$O$50*(8^2)+'LINEST VARS'!$N$50*(8^2)+'LINEST VARS'!$M$50*($CM$8^2)+'LINEST VARS'!$L$50*($BX13^2)+'LINEST VARS'!$K$50*(12.73^2)+'LINEST VARS'!$J$50*(8*8)+'LINEST VARS'!$I$50*(8*$CM$8)+'LINEST VARS'!$H$50*(8*$BX13)+'LINEST VARS'!$G$50*(8*12.73)+'LINEST VARS'!$F$50*(8*$CM$8)+'LINEST VARS'!$E$50*(8*$BX13)+'LINEST VARS'!$D$50*(8*12.73)+'LINEST VARS'!$C$50*($CM$8*$BX13)+'LINEST VARS'!$B$50*($CM$8*12.73)+'LINEST VARS'!$A$50*($BX13*12.73)</f>
        <v>331.99999999999989</v>
      </c>
      <c r="CN13" s="46">
        <f>'LINEST VARS'!$U$50+'LINEST VARS'!$T$50*(8)+'LINEST VARS'!$S$50*(8)+'LINEST VARS'!$R$50*($CN$8)+'LINEST VARS'!$Q$50*($BX13)+'LINEST VARS'!$P$50*(12.73)+'LINEST VARS'!$O$50*(8^2)+'LINEST VARS'!$N$50*(8^2)+'LINEST VARS'!$M$50*($CN$8^2)+'LINEST VARS'!$L$50*($BX13^2)+'LINEST VARS'!$K$50*(12.73^2)+'LINEST VARS'!$J$50*(8*8)+'LINEST VARS'!$I$50*(8*$CN$8)+'LINEST VARS'!$H$50*(8*$BX13)+'LINEST VARS'!$G$50*(8*12.73)+'LINEST VARS'!$F$50*(8*$CN$8)+'LINEST VARS'!$E$50*(8*$BX13)+'LINEST VARS'!$D$50*(8*12.73)+'LINEST VARS'!$C$50*($CN$8*$BX13)+'LINEST VARS'!$B$50*($CN$8*12.73)+'LINEST VARS'!$A$50*($BX13*12.73)</f>
        <v>331.99999999999989</v>
      </c>
      <c r="CO13" s="46">
        <f>'LINEST VARS'!$U$50+'LINEST VARS'!$T$50*(8)+'LINEST VARS'!$S$50*(8)+'LINEST VARS'!$R$50*($CO$8)+'LINEST VARS'!$Q$50*($BX13)+'LINEST VARS'!$P$50*(12.73)+'LINEST VARS'!$O$50*(8^2)+'LINEST VARS'!$N$50*(8^2)+'LINEST VARS'!$M$50*($CO$8^2)+'LINEST VARS'!$L$50*($BX13^2)+'LINEST VARS'!$K$50*(12.73^2)+'LINEST VARS'!$J$50*(8*8)+'LINEST VARS'!$I$50*(8*$CO$8)+'LINEST VARS'!$H$50*(8*$BX13)+'LINEST VARS'!$G$50*(8*12.73)+'LINEST VARS'!$F$50*(8*$CO$8)+'LINEST VARS'!$E$50*(8*$BX13)+'LINEST VARS'!$D$50*(8*12.73)+'LINEST VARS'!$C$50*($CO$8*$BX13)+'LINEST VARS'!$B$50*($CO$8*12.73)+'LINEST VARS'!$A$50*($BX13*12.73)</f>
        <v>331.99999999999989</v>
      </c>
      <c r="CP13" s="46">
        <f>'LINEST VARS'!$U$50+'LINEST VARS'!$T$50*(8)+'LINEST VARS'!$S$50*(8)+'LINEST VARS'!$R$50*($CP$8)+'LINEST VARS'!$Q$50*($BX13)+'LINEST VARS'!$P$50*(12.73)+'LINEST VARS'!$O$50*(8^2)+'LINEST VARS'!$N$50*(8^2)+'LINEST VARS'!$M$50*($CP$8^2)+'LINEST VARS'!$L$50*($BX13^2)+'LINEST VARS'!$K$50*(12.73^2)+'LINEST VARS'!$J$50*(8*8)+'LINEST VARS'!$I$50*(8*$CP$8)+'LINEST VARS'!$H$50*(8*$BX13)+'LINEST VARS'!$G$50*(8*12.73)+'LINEST VARS'!$F$50*(8*$CP$8)+'LINEST VARS'!$E$50*(8*$BX13)+'LINEST VARS'!$D$50*(8*12.73)+'LINEST VARS'!$C$50*($CP$8*$BX13)+'LINEST VARS'!$B$50*($CP$8*12.73)+'LINEST VARS'!$A$50*($BX13*12.73)</f>
        <v>331.99999999999989</v>
      </c>
      <c r="CQ13" s="46">
        <f>'LINEST VARS'!$U$50+'LINEST VARS'!$T$50*(8)+'LINEST VARS'!$S$50*(8)+'LINEST VARS'!$R$50*($CQ$8)+'LINEST VARS'!$Q$50*($BX13)+'LINEST VARS'!$P$50*(12.73)+'LINEST VARS'!$O$50*(8^2)+'LINEST VARS'!$N$50*(8^2)+'LINEST VARS'!$M$50*($CQ$8^2)+'LINEST VARS'!$L$50*($BX13^2)+'LINEST VARS'!$K$50*(12.73^2)+'LINEST VARS'!$J$50*(8*8)+'LINEST VARS'!$I$50*(8*$CQ$8)+'LINEST VARS'!$H$50*(8*$BX13)+'LINEST VARS'!$G$50*(8*12.73)+'LINEST VARS'!$F$50*(8*$CQ$8)+'LINEST VARS'!$E$50*(8*$BX13)+'LINEST VARS'!$D$50*(8*12.73)+'LINEST VARS'!$C$50*($CQ$8*$BX13)+'LINEST VARS'!$B$50*($CQ$8*12.73)+'LINEST VARS'!$A$50*($BX13*12.73)</f>
        <v>331.99999999999989</v>
      </c>
      <c r="CR13" s="46">
        <f>'LINEST VARS'!$U$50+'LINEST VARS'!$T$50*(8)+'LINEST VARS'!$S$50*(8)+'LINEST VARS'!$R$50*($CR$8)+'LINEST VARS'!$Q$50*($BX13)+'LINEST VARS'!$P$50*(12.73)+'LINEST VARS'!$O$50*(8^2)+'LINEST VARS'!$N$50*(8^2)+'LINEST VARS'!$M$50*($CR$8^2)+'LINEST VARS'!$L$50*($BX13^2)+'LINEST VARS'!$K$50*(12.73^2)+'LINEST VARS'!$J$50*(8*8)+'LINEST VARS'!$I$50*(8*$CR$8)+'LINEST VARS'!$H$50*(8*$BX13)+'LINEST VARS'!$G$50*(8*12.73)+'LINEST VARS'!$F$50*(8*$CR$8)+'LINEST VARS'!$E$50*(8*$BX13)+'LINEST VARS'!$D$50*(8*12.73)+'LINEST VARS'!$C$50*($CR$8*$BX13)+'LINEST VARS'!$B$50*($CR$8*12.73)+'LINEST VARS'!$A$50*($BX13*12.73)</f>
        <v>331.99999999999989</v>
      </c>
      <c r="CS13" s="47">
        <f>'LINEST VARS'!$U$50+'LINEST VARS'!$T$50*(8)+'LINEST VARS'!$S$50*(8)+'LINEST VARS'!$R$50*($CS$8)+'LINEST VARS'!$Q$50*($BX13)+'LINEST VARS'!$P$50*(12.73)+'LINEST VARS'!$O$50*(8^2)+'LINEST VARS'!$N$50*(8^2)+'LINEST VARS'!$M$50*($CS$8^2)+'LINEST VARS'!$L$50*($BX13^2)+'LINEST VARS'!$K$50*(12.73^2)+'LINEST VARS'!$J$50*(8*8)+'LINEST VARS'!$I$50*(8*$CS$8)+'LINEST VARS'!$H$50*(8*$BX13)+'LINEST VARS'!$G$50*(8*12.73)+'LINEST VARS'!$F$50*(8*$CS$8)+'LINEST VARS'!$E$50*(8*$BX13)+'LINEST VARS'!$D$50*(8*12.73)+'LINEST VARS'!$C$50*($CS$8*$BX13)+'LINEST VARS'!$B$50*($CS$8*12.73)+'LINEST VARS'!$A$50*($BX13*12.73)</f>
        <v>331.99999999999989</v>
      </c>
      <c r="CX13" s="45">
        <v>5.1980000000000004</v>
      </c>
      <c r="CY13" s="46">
        <f>'LINEST VARS'!$U$48+'LINEST VARS'!$T$48*(8)+'LINEST VARS'!$S$48*(8)+'LINEST VARS'!$R$48*($CY$8)+'LINEST VARS'!$Q$48*(0.5)+'LINEST VARS'!$P$48*($CX13)+'LINEST VARS'!$O$48*(8^2)+'LINEST VARS'!$N$48*(8^2)+'LINEST VARS'!$M$48*($CY$8^2)+'LINEST VARS'!$L$48*(0.5^2)+'LINEST VARS'!$K$48*($CX13^2)+'LINEST VARS'!$J$48*(8*8)+'LINEST VARS'!$I$48*(8*$CY$8)+'LINEST VARS'!$H$48*(8*0.5)+'LINEST VARS'!$G$48*(8*$CX13)+'LINEST VARS'!$F$48*(8*$CY$8)+'LINEST VARS'!$E$48*(8*0.5)+'LINEST VARS'!$D$48*(8*$CX13)+'LINEST VARS'!$C$48*($CY$8*0.5)+'LINEST VARS'!$B$48*($CY$8*$CX13)+'LINEST VARS'!$A$48*(0.5*$CX13)</f>
        <v>369.99999999999989</v>
      </c>
      <c r="CZ13" s="46">
        <f>'LINEST VARS'!$U$48+'LINEST VARS'!$T$48*(8)+'LINEST VARS'!$S$48*(8)+'LINEST VARS'!$R$48*($CZ$8)+'LINEST VARS'!$Q$48*(0.5)+'LINEST VARS'!$P$48*($CX13)+'LINEST VARS'!$O$48*(8^2)+'LINEST VARS'!$N$48*(8^2)+'LINEST VARS'!$M$48*($CZ$8^2)+'LINEST VARS'!$L$48*(0.5^2)+'LINEST VARS'!$K$48*($CX13^2)+'LINEST VARS'!$J$48*(8*8)+'LINEST VARS'!$I$48*(8*$CZ$8)+'LINEST VARS'!$H$48*(8*0.5)+'LINEST VARS'!$G$48*(8*$CX13)+'LINEST VARS'!$F$48*(8*$CZ$8)+'LINEST VARS'!$E$48*(8*0.5)+'LINEST VARS'!$D$48*(8*$CX13)+'LINEST VARS'!$C$48*($CZ$8*0.5)+'LINEST VARS'!$B$48*($CZ$8*$CX13)+'LINEST VARS'!$A$48*(0.5*$CX13)</f>
        <v>369.99999999999989</v>
      </c>
      <c r="DA13" s="46">
        <f>'LINEST VARS'!$U$48+'LINEST VARS'!$T$48*(8)+'LINEST VARS'!$S$48*(8)+'LINEST VARS'!$R$48*($DA$8)+'LINEST VARS'!$Q$48*(0.5)+'LINEST VARS'!$P$48*($CX13)+'LINEST VARS'!$O$48*(8^2)+'LINEST VARS'!$N$48*(8^2)+'LINEST VARS'!$M$48*($DA$8^2)+'LINEST VARS'!$L$48*(0.5^2)+'LINEST VARS'!$K$48*($CX13^2)+'LINEST VARS'!$J$48*(8*8)+'LINEST VARS'!$I$48*(8*$DA$8)+'LINEST VARS'!$H$48*(8*0.5)+'LINEST VARS'!$G$48*(8*$CX13)+'LINEST VARS'!$F$48*(8*$DA$8)+'LINEST VARS'!$E$48*(8*0.5)+'LINEST VARS'!$D$48*(8*$CX13)+'LINEST VARS'!$C$48*($DA$8*0.5)+'LINEST VARS'!$B$48*($DA$8*$CX13)+'LINEST VARS'!$A$48*(0.5*$CX13)</f>
        <v>369.99999999999989</v>
      </c>
      <c r="DB13" s="46">
        <f>'LINEST VARS'!$U$48+'LINEST VARS'!$T$48*(8)+'LINEST VARS'!$S$48*(8)+'LINEST VARS'!$R$48*($DB$8)+'LINEST VARS'!$Q$48*(0.5)+'LINEST VARS'!$P$48*($CX13)+'LINEST VARS'!$O$48*(8^2)+'LINEST VARS'!$N$48*(8^2)+'LINEST VARS'!$M$48*($DB$8^2)+'LINEST VARS'!$L$48*(0.5^2)+'LINEST VARS'!$K$48*($CX13^2)+'LINEST VARS'!$J$48*(8*8)+'LINEST VARS'!$I$48*(8*$DB$8)+'LINEST VARS'!$H$48*(8*0.5)+'LINEST VARS'!$G$48*(8*$CX13)+'LINEST VARS'!$F$48*(8*$DB$8)+'LINEST VARS'!$E$48*(8*0.5)+'LINEST VARS'!$D$48*(8*$CX13)+'LINEST VARS'!$C$48*($DB$8*0.5)+'LINEST VARS'!$B$48*($DB$8*$CX13)+'LINEST VARS'!$A$48*(0.5*$CX13)</f>
        <v>369.99999999999989</v>
      </c>
      <c r="DC13" s="46">
        <f>'LINEST VARS'!$U$48+'LINEST VARS'!$T$48*(8)+'LINEST VARS'!$S$48*(8)+'LINEST VARS'!$R$48*($DC$8)+'LINEST VARS'!$Q$48*(0.5)+'LINEST VARS'!$P$48*($CX13)+'LINEST VARS'!$O$48*(8^2)+'LINEST VARS'!$N$48*(8^2)+'LINEST VARS'!$M$48*($DC$8^2)+'LINEST VARS'!$L$48*(0.5^2)+'LINEST VARS'!$K$48*($CX13^2)+'LINEST VARS'!$J$48*(8*8)+'LINEST VARS'!$I$48*(8*$DC$8)+'LINEST VARS'!$H$48*(8*0.5)+'LINEST VARS'!$G$48*(8*$CX13)+'LINEST VARS'!$F$48*(8*$DC$8)+'LINEST VARS'!$E$48*(8*0.5)+'LINEST VARS'!$D$48*(8*$CX13)+'LINEST VARS'!$C$48*($DC$8*0.5)+'LINEST VARS'!$B$48*($DC$8*$CX13)+'LINEST VARS'!$A$48*(0.5*$CX13)</f>
        <v>369.99999999999989</v>
      </c>
      <c r="DD13" s="46">
        <f>'LINEST VARS'!$U$48+'LINEST VARS'!$T$48*(8)+'LINEST VARS'!$S$48*(8)+'LINEST VARS'!$R$48*($DD$8)+'LINEST VARS'!$Q$48*(0.5)+'LINEST VARS'!$P$48*($CX13)+'LINEST VARS'!$O$48*(8^2)+'LINEST VARS'!$N$48*(8^2)+'LINEST VARS'!$M$48*($DD$8^2)+'LINEST VARS'!$L$48*(0.5^2)+'LINEST VARS'!$K$48*($CX13^2)+'LINEST VARS'!$J$48*(8*8)+'LINEST VARS'!$I$48*(8*$DD$8)+'LINEST VARS'!$H$48*(8*0.5)+'LINEST VARS'!$G$48*(8*$CX13)+'LINEST VARS'!$F$48*(8*$DD$8)+'LINEST VARS'!$E$48*(8*0.5)+'LINEST VARS'!$D$48*(8*$CX13)+'LINEST VARS'!$C$48*($DD$8*0.5)+'LINEST VARS'!$B$48*($DD$8*$CX13)+'LINEST VARS'!$A$48*(0.5*$CX13)</f>
        <v>369.99999999999989</v>
      </c>
      <c r="DE13" s="46">
        <f>'LINEST VARS'!$U$48+'LINEST VARS'!$T$48*(8)+'LINEST VARS'!$S$48*(8)+'LINEST VARS'!$R$48*($DE$8)+'LINEST VARS'!$Q$48*(0.5)+'LINEST VARS'!$P$48*($CX13)+'LINEST VARS'!$O$48*(8^2)+'LINEST VARS'!$N$48*(8^2)+'LINEST VARS'!$M$48*($DE$8^2)+'LINEST VARS'!$L$48*(0.5^2)+'LINEST VARS'!$K$48*($CX13^2)+'LINEST VARS'!$J$48*(8*8)+'LINEST VARS'!$I$48*(8*$DE$8)+'LINEST VARS'!$H$48*(8*0.5)+'LINEST VARS'!$G$48*(8*$CX13)+'LINEST VARS'!$F$48*(8*$DE$8)+'LINEST VARS'!$E$48*(8*0.5)+'LINEST VARS'!$D$48*(8*$CX13)+'LINEST VARS'!$C$48*($DE$8*0.5)+'LINEST VARS'!$B$48*($DE$8*$CX13)+'LINEST VARS'!$A$48*(0.5*$CX13)</f>
        <v>369.99999999999989</v>
      </c>
      <c r="DF13" s="46">
        <f>'LINEST VARS'!$U$48+'LINEST VARS'!$T$48*(8)+'LINEST VARS'!$S$48*(8)+'LINEST VARS'!$R$48*($DF$8)+'LINEST VARS'!$Q$48*(0.5)+'LINEST VARS'!$P$48*($CX13)+'LINEST VARS'!$O$48*(8^2)+'LINEST VARS'!$N$48*(8^2)+'LINEST VARS'!$M$48*($DF$8^2)+'LINEST VARS'!$L$48*(0.5^2)+'LINEST VARS'!$K$48*($CX13^2)+'LINEST VARS'!$J$48*(8*8)+'LINEST VARS'!$I$48*(8*$DF$8)+'LINEST VARS'!$H$48*(8*0.5)+'LINEST VARS'!$G$48*(8*$CX13)+'LINEST VARS'!$F$48*(8*$DF$8)+'LINEST VARS'!$E$48*(8*0.5)+'LINEST VARS'!$D$48*(8*$CX13)+'LINEST VARS'!$C$48*($DF$8*0.5)+'LINEST VARS'!$B$48*($DF$8*$CX13)+'LINEST VARS'!$A$48*(0.5*$CX13)</f>
        <v>369.99999999999989</v>
      </c>
      <c r="DG13" s="46">
        <f>'LINEST VARS'!$U$48+'LINEST VARS'!$T$48*(8)+'LINEST VARS'!$S$48*(8)+'LINEST VARS'!$R$48*($DG$8)+'LINEST VARS'!$Q$48*(0.5)+'LINEST VARS'!$P$48*($CX13)+'LINEST VARS'!$O$48*(8^2)+'LINEST VARS'!$N$48*(8^2)+'LINEST VARS'!$M$48*($DG$8^2)+'LINEST VARS'!$L$48*(0.5^2)+'LINEST VARS'!$K$48*($CX13^2)+'LINEST VARS'!$J$48*(8*8)+'LINEST VARS'!$I$48*(8*$DG$8)+'LINEST VARS'!$H$48*(8*0.5)+'LINEST VARS'!$G$48*(8*$CX13)+'LINEST VARS'!$F$48*(8*$DG$8)+'LINEST VARS'!$E$48*(8*0.5)+'LINEST VARS'!$D$48*(8*$CX13)+'LINEST VARS'!$C$48*($DG$8*0.5)+'LINEST VARS'!$B$48*($DG$8*$CX13)+'LINEST VARS'!$A$48*(0.5*$CX13)</f>
        <v>369.99999999999989</v>
      </c>
      <c r="DH13" s="46">
        <f>'LINEST VARS'!$U$48+'LINEST VARS'!$T$48*(8)+'LINEST VARS'!$S$48*(8)+'LINEST VARS'!$R$48*($DH$8)+'LINEST VARS'!$Q$48*(0.5)+'LINEST VARS'!$P$48*($CX13)+'LINEST VARS'!$O$48*(8^2)+'LINEST VARS'!$N$48*(8^2)+'LINEST VARS'!$M$48*($DH$8^2)+'LINEST VARS'!$L$48*(0.5^2)+'LINEST VARS'!$K$48*($CX13^2)+'LINEST VARS'!$J$48*(8*8)+'LINEST VARS'!$I$48*(8*$DH$8)+'LINEST VARS'!$H$48*(8*0.5)+'LINEST VARS'!$G$48*(8*$CX13)+'LINEST VARS'!$F$48*(8*$DH$8)+'LINEST VARS'!$E$48*(8*0.5)+'LINEST VARS'!$D$48*(8*$CX13)+'LINEST VARS'!$C$48*($DH$8*0.5)+'LINEST VARS'!$B$48*($DH$8*$CX13)+'LINEST VARS'!$A$48*(0.5*$CX13)</f>
        <v>369.99999999999989</v>
      </c>
      <c r="DI13" s="46">
        <f>'LINEST VARS'!$U$48+'LINEST VARS'!$T$48*(8)+'LINEST VARS'!$S$48*(8)+'LINEST VARS'!$R$48*($DI$8)+'LINEST VARS'!$Q$48*(0.5)+'LINEST VARS'!$P$48*($CX13)+'LINEST VARS'!$O$48*(8^2)+'LINEST VARS'!$N$48*(8^2)+'LINEST VARS'!$M$48*($DI$8^2)+'LINEST VARS'!$L$48*(0.5^2)+'LINEST VARS'!$K$48*($CX13^2)+'LINEST VARS'!$J$48*(8*8)+'LINEST VARS'!$I$48*(8*$DI$8)+'LINEST VARS'!$H$48*(8*0.5)+'LINEST VARS'!$G$48*(8*$CX13)+'LINEST VARS'!$F$48*(8*$DI$8)+'LINEST VARS'!$E$48*(8*0.5)+'LINEST VARS'!$D$48*(8*$CX13)+'LINEST VARS'!$C$48*($DI$8*0.5)+'LINEST VARS'!$B$48*($DI$8*$CX13)+'LINEST VARS'!$A$48*(0.5*$CX13)</f>
        <v>369.99999999999989</v>
      </c>
      <c r="DJ13" s="46">
        <f>'LINEST VARS'!$U$48+'LINEST VARS'!$T$48*(8)+'LINEST VARS'!$S$48*(8)+'LINEST VARS'!$R$48*($DJ$8)+'LINEST VARS'!$Q$48*(0.5)+'LINEST VARS'!$P$48*($CX13)+'LINEST VARS'!$O$48*(8^2)+'LINEST VARS'!$N$48*(8^2)+'LINEST VARS'!$M$48*($DJ$8^2)+'LINEST VARS'!$L$48*(0.5^2)+'LINEST VARS'!$K$48*($CX13^2)+'LINEST VARS'!$J$48*(8*8)+'LINEST VARS'!$I$48*(8*$DJ$8)+'LINEST VARS'!$H$48*(8*0.5)+'LINEST VARS'!$G$48*(8*$CX13)+'LINEST VARS'!$F$48*(8*$DJ$8)+'LINEST VARS'!$E$48*(8*0.5)+'LINEST VARS'!$D$48*(8*$CX13)+'LINEST VARS'!$C$48*($DJ$8*0.5)+'LINEST VARS'!$B$48*($DJ$8*$CX13)+'LINEST VARS'!$A$48*(0.5*$CX13)</f>
        <v>369.99999999999989</v>
      </c>
      <c r="DK13" s="46">
        <f>'LINEST VARS'!$U$48+'LINEST VARS'!$T$48*(8)+'LINEST VARS'!$S$48*(8)+'LINEST VARS'!$R$48*($DK$8)+'LINEST VARS'!$Q$48*(0.5)+'LINEST VARS'!$P$48*($CX13)+'LINEST VARS'!$O$48*(8^2)+'LINEST VARS'!$N$48*(8^2)+'LINEST VARS'!$M$48*($DK$8^2)+'LINEST VARS'!$L$48*(0.5^2)+'LINEST VARS'!$K$48*($CX13^2)+'LINEST VARS'!$J$48*(8*8)+'LINEST VARS'!$I$48*(8*$DK$8)+'LINEST VARS'!$H$48*(8*0.5)+'LINEST VARS'!$G$48*(8*$CX13)+'LINEST VARS'!$F$48*(8*$DK$8)+'LINEST VARS'!$E$48*(8*0.5)+'LINEST VARS'!$D$48*(8*$CX13)+'LINEST VARS'!$C$48*($DK$8*0.5)+'LINEST VARS'!$B$48*($DK$8*$CX13)+'LINEST VARS'!$A$48*(0.5*$CX13)</f>
        <v>369.99999999999989</v>
      </c>
      <c r="DL13" s="46">
        <f>'LINEST VARS'!$U$48+'LINEST VARS'!$T$48*(8)+'LINEST VARS'!$S$48*(8)+'LINEST VARS'!$R$48*($DL$8)+'LINEST VARS'!$Q$48*(0.5)+'LINEST VARS'!$P$48*($CX13)+'LINEST VARS'!$O$48*(8^2)+'LINEST VARS'!$N$48*(8^2)+'LINEST VARS'!$M$48*($DL$8^2)+'LINEST VARS'!$L$48*(0.5^2)+'LINEST VARS'!$K$48*($CX13^2)+'LINEST VARS'!$J$48*(8*8)+'LINEST VARS'!$I$48*(8*$DL$8)+'LINEST VARS'!$H$48*(8*0.5)+'LINEST VARS'!$G$48*(8*$CX13)+'LINEST VARS'!$F$48*(8*$DL$8)+'LINEST VARS'!$E$48*(8*0.5)+'LINEST VARS'!$D$48*(8*$CX13)+'LINEST VARS'!$C$48*($DL$8*0.5)+'LINEST VARS'!$B$48*($DL$8*$CX13)+'LINEST VARS'!$A$48*(0.5*$CX13)</f>
        <v>369.99999999999994</v>
      </c>
      <c r="DM13" s="46">
        <f>'LINEST VARS'!$U$48+'LINEST VARS'!$T$48*(8)+'LINEST VARS'!$S$48*(8)+'LINEST VARS'!$R$48*($DM$8)+'LINEST VARS'!$Q$48*(0.5)+'LINEST VARS'!$P$48*($CX13)+'LINEST VARS'!$O$48*(8^2)+'LINEST VARS'!$N$48*(8^2)+'LINEST VARS'!$M$48*($DM$8^2)+'LINEST VARS'!$L$48*(0.5^2)+'LINEST VARS'!$K$48*($CX13^2)+'LINEST VARS'!$J$48*(8*8)+'LINEST VARS'!$I$48*(8*$DM$8)+'LINEST VARS'!$H$48*(8*0.5)+'LINEST VARS'!$G$48*(8*$CX13)+'LINEST VARS'!$F$48*(8*$DM$8)+'LINEST VARS'!$E$48*(8*0.5)+'LINEST VARS'!$D$48*(8*$CX13)+'LINEST VARS'!$C$48*($DM$8*0.5)+'LINEST VARS'!$B$48*($DM$8*$CX13)+'LINEST VARS'!$A$48*(0.5*$CX13)</f>
        <v>369.99999999999994</v>
      </c>
      <c r="DN13" s="46">
        <f>'LINEST VARS'!$U$48+'LINEST VARS'!$T$48*(8)+'LINEST VARS'!$S$48*(8)+'LINEST VARS'!$R$48*($DN$8)+'LINEST VARS'!$Q$48*(0.5)+'LINEST VARS'!$P$48*($CX13)+'LINEST VARS'!$O$48*(8^2)+'LINEST VARS'!$N$48*(8^2)+'LINEST VARS'!$M$48*($DN$8^2)+'LINEST VARS'!$L$48*(0.5^2)+'LINEST VARS'!$K$48*($CX13^2)+'LINEST VARS'!$J$48*(8*8)+'LINEST VARS'!$I$48*(8*$DN$8)+'LINEST VARS'!$H$48*(8*0.5)+'LINEST VARS'!$G$48*(8*$CX13)+'LINEST VARS'!$F$48*(8*$DN$8)+'LINEST VARS'!$E$48*(8*0.5)+'LINEST VARS'!$D$48*(8*$CX13)+'LINEST VARS'!$C$48*($DN$8*0.5)+'LINEST VARS'!$B$48*($DN$8*$CX13)+'LINEST VARS'!$A$48*(0.5*$CX13)</f>
        <v>369.99999999999994</v>
      </c>
      <c r="DO13" s="46">
        <f>'LINEST VARS'!$U$48+'LINEST VARS'!$T$48*(8)+'LINEST VARS'!$S$48*(8)+'LINEST VARS'!$R$48*($DO$8)+'LINEST VARS'!$Q$48*(0.5)+'LINEST VARS'!$P$48*($CX13)+'LINEST VARS'!$O$48*(8^2)+'LINEST VARS'!$N$48*(8^2)+'LINEST VARS'!$M$48*($DO$8^2)+'LINEST VARS'!$L$48*(0.5^2)+'LINEST VARS'!$K$48*($CX13^2)+'LINEST VARS'!$J$48*(8*8)+'LINEST VARS'!$I$48*(8*$DO$8)+'LINEST VARS'!$H$48*(8*0.5)+'LINEST VARS'!$G$48*(8*$CX13)+'LINEST VARS'!$F$48*(8*$DO$8)+'LINEST VARS'!$E$48*(8*0.5)+'LINEST VARS'!$D$48*(8*$CX13)+'LINEST VARS'!$C$48*($DO$8*0.5)+'LINEST VARS'!$B$48*($DO$8*$CX13)+'LINEST VARS'!$A$48*(0.5*$CX13)</f>
        <v>369.99999999999989</v>
      </c>
      <c r="DP13" s="46">
        <f>'LINEST VARS'!$U$48+'LINEST VARS'!$T$48*(8)+'LINEST VARS'!$S$48*(8)+'LINEST VARS'!$R$48*($DP$8)+'LINEST VARS'!$Q$48*(0.5)+'LINEST VARS'!$P$48*($CX13)+'LINEST VARS'!$O$48*(8^2)+'LINEST VARS'!$N$48*(8^2)+'LINEST VARS'!$M$48*($DP$8^2)+'LINEST VARS'!$L$48*(0.5^2)+'LINEST VARS'!$K$48*($CX13^2)+'LINEST VARS'!$J$48*(8*8)+'LINEST VARS'!$I$48*(8*$DP$8)+'LINEST VARS'!$H$48*(8*0.5)+'LINEST VARS'!$G$48*(8*$CX13)+'LINEST VARS'!$F$48*(8*$DP$8)+'LINEST VARS'!$E$48*(8*0.5)+'LINEST VARS'!$D$48*(8*$CX13)+'LINEST VARS'!$C$48*($DP$8*0.5)+'LINEST VARS'!$B$48*($DP$8*$CX13)+'LINEST VARS'!$A$48*(0.5*$CX13)</f>
        <v>369.99999999999989</v>
      </c>
      <c r="DQ13" s="46">
        <f>'LINEST VARS'!$U$48+'LINEST VARS'!$T$48*(8)+'LINEST VARS'!$S$48*(8)+'LINEST VARS'!$R$48*($DQ$8)+'LINEST VARS'!$Q$48*(0.5)+'LINEST VARS'!$P$48*($CX13)+'LINEST VARS'!$O$48*(8^2)+'LINEST VARS'!$N$48*(8^2)+'LINEST VARS'!$M$48*($DQ$8^2)+'LINEST VARS'!$L$48*(0.5^2)+'LINEST VARS'!$K$48*($CX13^2)+'LINEST VARS'!$J$48*(8*8)+'LINEST VARS'!$I$48*(8*$DQ$8)+'LINEST VARS'!$H$48*(8*0.5)+'LINEST VARS'!$G$48*(8*$CX13)+'LINEST VARS'!$F$48*(8*$DQ$8)+'LINEST VARS'!$E$48*(8*0.5)+'LINEST VARS'!$D$48*(8*$CX13)+'LINEST VARS'!$C$48*($DQ$8*0.5)+'LINEST VARS'!$B$48*($DQ$8*$CX13)+'LINEST VARS'!$A$48*(0.5*$CX13)</f>
        <v>369.99999999999989</v>
      </c>
      <c r="DR13" s="46">
        <f>'LINEST VARS'!$U$48+'LINEST VARS'!$T$48*(8)+'LINEST VARS'!$S$48*(8)+'LINEST VARS'!$R$48*($DR$8)+'LINEST VARS'!$Q$48*(0.5)+'LINEST VARS'!$P$48*($CX13)+'LINEST VARS'!$O$48*(8^2)+'LINEST VARS'!$N$48*(8^2)+'LINEST VARS'!$M$48*($DR$8^2)+'LINEST VARS'!$L$48*(0.5^2)+'LINEST VARS'!$K$48*($CX13^2)+'LINEST VARS'!$J$48*(8*8)+'LINEST VARS'!$I$48*(8*$DR$8)+'LINEST VARS'!$H$48*(8*0.5)+'LINEST VARS'!$G$48*(8*$CX13)+'LINEST VARS'!$F$48*(8*$DR$8)+'LINEST VARS'!$E$48*(8*0.5)+'LINEST VARS'!$D$48*(8*$CX13)+'LINEST VARS'!$C$48*($DR$8*0.5)+'LINEST VARS'!$B$48*($DR$8*$CX13)+'LINEST VARS'!$A$48*(0.5*$CX13)</f>
        <v>369.99999999999989</v>
      </c>
      <c r="DS13" s="47">
        <f>'LINEST VARS'!$U$48+'LINEST VARS'!$T$48*(8)+'LINEST VARS'!$S$48*(8)+'LINEST VARS'!$R$48*($DS$8)+'LINEST VARS'!$Q$48*(0.5)+'LINEST VARS'!$P$48*($CX13)+'LINEST VARS'!$O$48*(8^2)+'LINEST VARS'!$N$48*(8^2)+'LINEST VARS'!$M$48*($DS$8^2)+'LINEST VARS'!$L$48*(0.5^2)+'LINEST VARS'!$K$48*($CX13^2)+'LINEST VARS'!$J$48*(8*8)+'LINEST VARS'!$I$48*(8*$DS$8)+'LINEST VARS'!$H$48*(8*0.5)+'LINEST VARS'!$G$48*(8*$CX13)+'LINEST VARS'!$F$48*(8*$DS$8)+'LINEST VARS'!$E$48*(8*0.5)+'LINEST VARS'!$D$48*(8*$CX13)+'LINEST VARS'!$C$48*($DS$8*0.5)+'LINEST VARS'!$B$48*($DS$8*$CX13)+'LINEST VARS'!$A$48*(0.5*$CX13)</f>
        <v>369.99999999999989</v>
      </c>
      <c r="DV13" s="45">
        <v>5.1980000000000004</v>
      </c>
      <c r="DW13" s="46">
        <f>'LINEST VARS'!$U$50+'LINEST VARS'!$T$50*(8)+'LINEST VARS'!$S$50*(8)+'LINEST VARS'!$R$50*($DW$8)+'LINEST VARS'!$Q$50*(0.5)+'LINEST VARS'!$P$50*($DV13)+'LINEST VARS'!$O$50*(8^2)+'LINEST VARS'!$N$50*(8^2)+'LINEST VARS'!$M$50*($DW$8^2)+'LINEST VARS'!$L$50*(0.5^2)+'LINEST VARS'!$K$50*($DV13^2)+'LINEST VARS'!$J$50*(8*8)+'LINEST VARS'!$I$50*(8*$DW$8)+'LINEST VARS'!$H$50*(8*0.5)+'LINEST VARS'!$G$50*(8*$DV13)+'LINEST VARS'!$F$50*(8*$DW$8)+'LINEST VARS'!$E$50*(8*0.5)+'LINEST VARS'!$D$50*(8*$DV13)+'LINEST VARS'!$C$50*($DW$8*0.5)+'LINEST VARS'!$B$50*($DW$8*$DV13)+'LINEST VARS'!$A$50*(0.5*$DV13)</f>
        <v>331.99999999999989</v>
      </c>
      <c r="DX13" s="46">
        <f>'LINEST VARS'!$U$50+'LINEST VARS'!$T$50*(8)+'LINEST VARS'!$S$50*(8)+'LINEST VARS'!$R$50*($DX$8)+'LINEST VARS'!$Q$50*(0.5)+'LINEST VARS'!$P$50*($DV13)+'LINEST VARS'!$O$50*(8^2)+'LINEST VARS'!$N$50*(8^2)+'LINEST VARS'!$M$50*($DX$8^2)+'LINEST VARS'!$L$50*(0.5^2)+'LINEST VARS'!$K$50*($DV13^2)+'LINEST VARS'!$J$50*(8*8)+'LINEST VARS'!$I$50*(8*$DX$8)+'LINEST VARS'!$H$50*(8*0.5)+'LINEST VARS'!$G$50*(8*$DV13)+'LINEST VARS'!$F$50*(8*$DX$8)+'LINEST VARS'!$E$50*(8*0.5)+'LINEST VARS'!$D$50*(8*$DV13)+'LINEST VARS'!$C$50*($DX$8*0.5)+'LINEST VARS'!$B$50*($DX$8*$DV13)+'LINEST VARS'!$A$50*(0.5*$DV13)</f>
        <v>331.99999999999989</v>
      </c>
      <c r="DY13" s="46">
        <f>'LINEST VARS'!$U$50+'LINEST VARS'!$T$50*(8)+'LINEST VARS'!$S$50*(8)+'LINEST VARS'!$R$50*($DY$8)+'LINEST VARS'!$Q$50*(0.5)+'LINEST VARS'!$P$50*($DV13)+'LINEST VARS'!$O$50*(8^2)+'LINEST VARS'!$N$50*(8^2)+'LINEST VARS'!$M$50*($DY$8^2)+'LINEST VARS'!$L$50*(0.5^2)+'LINEST VARS'!$K$50*($DV13^2)+'LINEST VARS'!$J$50*(8*8)+'LINEST VARS'!$I$50*(8*$DY$8)+'LINEST VARS'!$H$50*(8*0.5)+'LINEST VARS'!$G$50*(8*$DV13)+'LINEST VARS'!$F$50*(8*$DY$8)+'LINEST VARS'!$E$50*(8*0.5)+'LINEST VARS'!$D$50*(8*$DV13)+'LINEST VARS'!$C$50*($DY$8*0.5)+'LINEST VARS'!$B$50*($DY$8*$DV13)+'LINEST VARS'!$A$50*(0.5*$DV13)</f>
        <v>331.99999999999989</v>
      </c>
      <c r="DZ13" s="46">
        <f>'LINEST VARS'!$U$50+'LINEST VARS'!$T$50*(8)+'LINEST VARS'!$S$50*(8)+'LINEST VARS'!$R$50*($DZ$8)+'LINEST VARS'!$Q$50*(0.5)+'LINEST VARS'!$P$50*($DV13)+'LINEST VARS'!$O$50*(8^2)+'LINEST VARS'!$N$50*(8^2)+'LINEST VARS'!$M$50*($DZ$8^2)+'LINEST VARS'!$L$50*(0.5^2)+'LINEST VARS'!$K$50*($DV13^2)+'LINEST VARS'!$J$50*(8*8)+'LINEST VARS'!$I$50*(8*$DZ$8)+'LINEST VARS'!$H$50*(8*0.5)+'LINEST VARS'!$G$50*(8*$DV13)+'LINEST VARS'!$F$50*(8*$DZ$8)+'LINEST VARS'!$E$50*(8*0.5)+'LINEST VARS'!$D$50*(8*$DV13)+'LINEST VARS'!$C$50*($DZ$8*0.5)+'LINEST VARS'!$B$50*($DZ$8*$DV13)+'LINEST VARS'!$A$50*(0.5*$DV13)</f>
        <v>331.99999999999989</v>
      </c>
      <c r="EA13" s="46">
        <f>'LINEST VARS'!$U$50+'LINEST VARS'!$T$50*(8)+'LINEST VARS'!$S$50*(8)+'LINEST VARS'!$R$50*($EA$8)+'LINEST VARS'!$Q$50*(0.5)+'LINEST VARS'!$P$50*($DV13)+'LINEST VARS'!$O$50*(8^2)+'LINEST VARS'!$N$50*(8^2)+'LINEST VARS'!$M$50*($EA$8^2)+'LINEST VARS'!$L$50*(0.5^2)+'LINEST VARS'!$K$50*($DV13^2)+'LINEST VARS'!$J$50*(8*8)+'LINEST VARS'!$I$50*(8*$EA$8)+'LINEST VARS'!$H$50*(8*0.5)+'LINEST VARS'!$G$50*(8*$DV13)+'LINEST VARS'!$F$50*(8*$EA$8)+'LINEST VARS'!$E$50*(8*0.5)+'LINEST VARS'!$D$50*(8*$DV13)+'LINEST VARS'!$C$50*($EA$8*0.5)+'LINEST VARS'!$B$50*($EA$8*$DV13)+'LINEST VARS'!$A$50*(0.5*$DV13)</f>
        <v>331.99999999999989</v>
      </c>
      <c r="EB13" s="46">
        <f>'LINEST VARS'!$U$50+'LINEST VARS'!$T$50*(8)+'LINEST VARS'!$S$50*(8)+'LINEST VARS'!$R$50*($EB$8)+'LINEST VARS'!$Q$50*(0.5)+'LINEST VARS'!$P$50*($DV13)+'LINEST VARS'!$O$50*(8^2)+'LINEST VARS'!$N$50*(8^2)+'LINEST VARS'!$M$50*($EB$8^2)+'LINEST VARS'!$L$50*(0.5^2)+'LINEST VARS'!$K$50*($DV13^2)+'LINEST VARS'!$J$50*(8*8)+'LINEST VARS'!$I$50*(8*$EB$8)+'LINEST VARS'!$H$50*(8*0.5)+'LINEST VARS'!$G$50*(8*$DV13)+'LINEST VARS'!$F$50*(8*$EB$8)+'LINEST VARS'!$E$50*(8*0.5)+'LINEST VARS'!$D$50*(8*$DV13)+'LINEST VARS'!$C$50*($EB$8*0.5)+'LINEST VARS'!$B$50*($EB$8*$DV13)+'LINEST VARS'!$A$50*(0.5*$DV13)</f>
        <v>331.99999999999989</v>
      </c>
      <c r="EC13" s="46">
        <f>'LINEST VARS'!$U$50+'LINEST VARS'!$T$50*(8)+'LINEST VARS'!$S$50*(8)+'LINEST VARS'!$R$50*($EC$8)+'LINEST VARS'!$Q$50*(0.5)+'LINEST VARS'!$P$50*($DV13)+'LINEST VARS'!$O$50*(8^2)+'LINEST VARS'!$N$50*(8^2)+'LINEST VARS'!$M$50*($EC$8^2)+'LINEST VARS'!$L$50*(0.5^2)+'LINEST VARS'!$K$50*($DV13^2)+'LINEST VARS'!$J$50*(8*8)+'LINEST VARS'!$I$50*(8*$EC$8)+'LINEST VARS'!$H$50*(8*0.5)+'LINEST VARS'!$G$50*(8*$DV13)+'LINEST VARS'!$F$50*(8*$EC$8)+'LINEST VARS'!$E$50*(8*0.5)+'LINEST VARS'!$D$50*(8*$DV13)+'LINEST VARS'!$C$50*($EC$8*0.5)+'LINEST VARS'!$B$50*($EC$8*$DV13)+'LINEST VARS'!$A$50*(0.5*$DV13)</f>
        <v>331.99999999999989</v>
      </c>
      <c r="ED13" s="46">
        <f>'LINEST VARS'!$U$50+'LINEST VARS'!$T$50*(8)+'LINEST VARS'!$S$50*(8)+'LINEST VARS'!$R$50*($ED$8)+'LINEST VARS'!$Q$50*(0.5)+'LINEST VARS'!$P$50*($DV13)+'LINEST VARS'!$O$50*(8^2)+'LINEST VARS'!$N$50*(8^2)+'LINEST VARS'!$M$50*($ED$8^2)+'LINEST VARS'!$L$50*(0.5^2)+'LINEST VARS'!$K$50*($DV13^2)+'LINEST VARS'!$J$50*(8*8)+'LINEST VARS'!$I$50*(8*$ED$8)+'LINEST VARS'!$H$50*(8*0.5)+'LINEST VARS'!$G$50*(8*$DV13)+'LINEST VARS'!$F$50*(8*$ED$8)+'LINEST VARS'!$E$50*(8*0.5)+'LINEST VARS'!$D$50*(8*$DV13)+'LINEST VARS'!$C$50*($ED$8*0.5)+'LINEST VARS'!$B$50*($ED$8*$DV13)+'LINEST VARS'!$A$50*(0.5*$DV13)</f>
        <v>331.99999999999989</v>
      </c>
      <c r="EE13" s="46">
        <f>'LINEST VARS'!$U$50+'LINEST VARS'!$T$50*(8)+'LINEST VARS'!$S$50*(8)+'LINEST VARS'!$R$50*($EE$8)+'LINEST VARS'!$Q$50*(0.5)+'LINEST VARS'!$P$50*($DV13)+'LINEST VARS'!$O$50*(8^2)+'LINEST VARS'!$N$50*(8^2)+'LINEST VARS'!$M$50*($EE$8^2)+'LINEST VARS'!$L$50*(0.5^2)+'LINEST VARS'!$K$50*($DV13^2)+'LINEST VARS'!$J$50*(8*8)+'LINEST VARS'!$I$50*(8*$EE$8)+'LINEST VARS'!$H$50*(8*0.5)+'LINEST VARS'!$G$50*(8*$DV13)+'LINEST VARS'!$F$50*(8*$EE$8)+'LINEST VARS'!$E$50*(8*0.5)+'LINEST VARS'!$D$50*(8*$DV13)+'LINEST VARS'!$C$50*($EE$8*0.5)+'LINEST VARS'!$B$50*($EE$8*$DV13)+'LINEST VARS'!$A$50*(0.5*$DV13)</f>
        <v>331.99999999999989</v>
      </c>
      <c r="EF13" s="46">
        <f>'LINEST VARS'!$U$50+'LINEST VARS'!$T$50*(8)+'LINEST VARS'!$S$50*(8)+'LINEST VARS'!$R$50*($EF$8)+'LINEST VARS'!$Q$50*(0.5)+'LINEST VARS'!$P$50*($DV13)+'LINEST VARS'!$O$50*(8^2)+'LINEST VARS'!$N$50*(8^2)+'LINEST VARS'!$M$50*($EF$8^2)+'LINEST VARS'!$L$50*(0.5^2)+'LINEST VARS'!$K$50*($DV13^2)+'LINEST VARS'!$J$50*(8*8)+'LINEST VARS'!$I$50*(8*$EF$8)+'LINEST VARS'!$H$50*(8*0.5)+'LINEST VARS'!$G$50*(8*$DV13)+'LINEST VARS'!$F$50*(8*$EF$8)+'LINEST VARS'!$E$50*(8*0.5)+'LINEST VARS'!$D$50*(8*$DV13)+'LINEST VARS'!$C$50*($EF$8*0.5)+'LINEST VARS'!$B$50*($EF$8*$DV13)+'LINEST VARS'!$A$50*(0.5*$DV13)</f>
        <v>331.99999999999989</v>
      </c>
      <c r="EG13" s="46">
        <f>'LINEST VARS'!$U$50+'LINEST VARS'!$T$50*(8)+'LINEST VARS'!$S$50*(8)+'LINEST VARS'!$R$50*($EG$8)+'LINEST VARS'!$Q$50*(0.5)+'LINEST VARS'!$P$50*($DV13)+'LINEST VARS'!$O$50*(8^2)+'LINEST VARS'!$N$50*(8^2)+'LINEST VARS'!$M$50*($EG$8^2)+'LINEST VARS'!$L$50*(0.5^2)+'LINEST VARS'!$K$50*($DV13^2)+'LINEST VARS'!$J$50*(8*8)+'LINEST VARS'!$I$50*(8*$EG$8)+'LINEST VARS'!$H$50*(8*0.5)+'LINEST VARS'!$G$50*(8*$DV13)+'LINEST VARS'!$F$50*(8*$EG$8)+'LINEST VARS'!$E$50*(8*0.5)+'LINEST VARS'!$D$50*(8*$DV13)+'LINEST VARS'!$C$50*($EG$8*0.5)+'LINEST VARS'!$B$50*($EG$8*$DV13)+'LINEST VARS'!$A$50*(0.5*$DV13)</f>
        <v>331.99999999999989</v>
      </c>
      <c r="EH13" s="46">
        <f>'LINEST VARS'!$U$50+'LINEST VARS'!$T$50*(8)+'LINEST VARS'!$S$50*(8)+'LINEST VARS'!$R$50*($EH$8)+'LINEST VARS'!$Q$50*(0.5)+'LINEST VARS'!$P$50*($DV13)+'LINEST VARS'!$O$50*(8^2)+'LINEST VARS'!$N$50*(8^2)+'LINEST VARS'!$M$50*($EH$8^2)+'LINEST VARS'!$L$50*(0.5^2)+'LINEST VARS'!$K$50*($DV13^2)+'LINEST VARS'!$J$50*(8*8)+'LINEST VARS'!$I$50*(8*$EH$8)+'LINEST VARS'!$H$50*(8*0.5)+'LINEST VARS'!$G$50*(8*$DV13)+'LINEST VARS'!$F$50*(8*$EH$8)+'LINEST VARS'!$E$50*(8*0.5)+'LINEST VARS'!$D$50*(8*$DV13)+'LINEST VARS'!$C$50*($EH$8*0.5)+'LINEST VARS'!$B$50*($EH$8*$DV13)+'LINEST VARS'!$A$50*(0.5*$DV13)</f>
        <v>331.99999999999989</v>
      </c>
      <c r="EI13" s="46">
        <f>'LINEST VARS'!$U$50+'LINEST VARS'!$T$50*(8)+'LINEST VARS'!$S$50*(8)+'LINEST VARS'!$R$50*($EI$8)+'LINEST VARS'!$Q$50*(0.5)+'LINEST VARS'!$P$50*($DV13)+'LINEST VARS'!$O$50*(8^2)+'LINEST VARS'!$N$50*(8^2)+'LINEST VARS'!$M$50*($EI$8^2)+'LINEST VARS'!$L$50*(0.5^2)+'LINEST VARS'!$K$50*($DV13^2)+'LINEST VARS'!$J$50*(8*8)+'LINEST VARS'!$I$50*(8*$EI$8)+'LINEST VARS'!$H$50*(8*0.5)+'LINEST VARS'!$G$50*(8*$DV13)+'LINEST VARS'!$F$50*(8*$EI$8)+'LINEST VARS'!$E$50*(8*0.5)+'LINEST VARS'!$D$50*(8*$DV13)+'LINEST VARS'!$C$50*($EI$8*0.5)+'LINEST VARS'!$B$50*($EI$8*$DV13)+'LINEST VARS'!$A$50*(0.5*$DV13)</f>
        <v>331.99999999999989</v>
      </c>
      <c r="EJ13" s="46">
        <f>'LINEST VARS'!$U$50+'LINEST VARS'!$T$50*(8)+'LINEST VARS'!$S$50*(8)+'LINEST VARS'!$R$50*($EJ$8)+'LINEST VARS'!$Q$50*(0.5)+'LINEST VARS'!$P$50*($DV13)+'LINEST VARS'!$O$50*(8^2)+'LINEST VARS'!$N$50*(8^2)+'LINEST VARS'!$M$50*($EJ$8^2)+'LINEST VARS'!$L$50*(0.5^2)+'LINEST VARS'!$K$50*($DV13^2)+'LINEST VARS'!$J$50*(8*8)+'LINEST VARS'!$I$50*(8*$EJ$8)+'LINEST VARS'!$H$50*(8*0.5)+'LINEST VARS'!$G$50*(8*$DV13)+'LINEST VARS'!$F$50*(8*$EJ$8)+'LINEST VARS'!$E$50*(8*0.5)+'LINEST VARS'!$D$50*(8*$DV13)+'LINEST VARS'!$C$50*($EJ$8*0.5)+'LINEST VARS'!$B$50*($EJ$8*$DV13)+'LINEST VARS'!$A$50*(0.5*$DV13)</f>
        <v>331.99999999999989</v>
      </c>
      <c r="EK13" s="46">
        <f>'LINEST VARS'!$U$50+'LINEST VARS'!$T$50*(8)+'LINEST VARS'!$S$50*(8)+'LINEST VARS'!$R$50*($EK$8)+'LINEST VARS'!$Q$50*(0.5)+'LINEST VARS'!$P$50*($DV13)+'LINEST VARS'!$O$50*(8^2)+'LINEST VARS'!$N$50*(8^2)+'LINEST VARS'!$M$50*($EK$8^2)+'LINEST VARS'!$L$50*(0.5^2)+'LINEST VARS'!$K$50*($DV13^2)+'LINEST VARS'!$J$50*(8*8)+'LINEST VARS'!$I$50*(8*$EK$8)+'LINEST VARS'!$H$50*(8*0.5)+'LINEST VARS'!$G$50*(8*$DV13)+'LINEST VARS'!$F$50*(8*$EK$8)+'LINEST VARS'!$E$50*(8*0.5)+'LINEST VARS'!$D$50*(8*$DV13)+'LINEST VARS'!$C$50*($EK$8*0.5)+'LINEST VARS'!$B$50*($EK$8*$DV13)+'LINEST VARS'!$A$50*(0.5*$DV13)</f>
        <v>331.99999999999989</v>
      </c>
      <c r="EL13" s="46">
        <f>'LINEST VARS'!$U$50+'LINEST VARS'!$T$50*(8)+'LINEST VARS'!$S$50*(8)+'LINEST VARS'!$R$50*($EL$8)+'LINEST VARS'!$Q$50*(0.5)+'LINEST VARS'!$P$50*($DV13)+'LINEST VARS'!$O$50*(8^2)+'LINEST VARS'!$N$50*(8^2)+'LINEST VARS'!$M$50*($EL$8^2)+'LINEST VARS'!$L$50*(0.5^2)+'LINEST VARS'!$K$50*($DV13^2)+'LINEST VARS'!$J$50*(8*8)+'LINEST VARS'!$I$50*(8*$EL$8)+'LINEST VARS'!$H$50*(8*0.5)+'LINEST VARS'!$G$50*(8*$DV13)+'LINEST VARS'!$F$50*(8*$EL$8)+'LINEST VARS'!$E$50*(8*0.5)+'LINEST VARS'!$D$50*(8*$DV13)+'LINEST VARS'!$C$50*($EL$8*0.5)+'LINEST VARS'!$B$50*($EL$8*$DV13)+'LINEST VARS'!$A$50*(0.5*$DV13)</f>
        <v>331.99999999999989</v>
      </c>
      <c r="EM13" s="46">
        <f>'LINEST VARS'!$U$50+'LINEST VARS'!$T$50*(8)+'LINEST VARS'!$S$50*(8)+'LINEST VARS'!$R$50*($EM$8)+'LINEST VARS'!$Q$50*(0.5)+'LINEST VARS'!$P$50*($DV13)+'LINEST VARS'!$O$50*(8^2)+'LINEST VARS'!$N$50*(8^2)+'LINEST VARS'!$M$50*($EM$8^2)+'LINEST VARS'!$L$50*(0.5^2)+'LINEST VARS'!$K$50*($DV13^2)+'LINEST VARS'!$J$50*(8*8)+'LINEST VARS'!$I$50*(8*$EM$8)+'LINEST VARS'!$H$50*(8*0.5)+'LINEST VARS'!$G$50*(8*$DV13)+'LINEST VARS'!$F$50*(8*$EM$8)+'LINEST VARS'!$E$50*(8*0.5)+'LINEST VARS'!$D$50*(8*$DV13)+'LINEST VARS'!$C$50*($EM$8*0.5)+'LINEST VARS'!$B$50*($EM$8*$DV13)+'LINEST VARS'!$A$50*(0.5*$DV13)</f>
        <v>331.99999999999989</v>
      </c>
      <c r="EN13" s="46">
        <f>'LINEST VARS'!$U$50+'LINEST VARS'!$T$50*(8)+'LINEST VARS'!$S$50*(8)+'LINEST VARS'!$R$50*($EN$8)+'LINEST VARS'!$Q$50*(0.5)+'LINEST VARS'!$P$50*($DV13)+'LINEST VARS'!$O$50*(8^2)+'LINEST VARS'!$N$50*(8^2)+'LINEST VARS'!$M$50*($EN$8^2)+'LINEST VARS'!$L$50*(0.5^2)+'LINEST VARS'!$K$50*($DV13^2)+'LINEST VARS'!$J$50*(8*8)+'LINEST VARS'!$I$50*(8*$EN$8)+'LINEST VARS'!$H$50*(8*0.5)+'LINEST VARS'!$G$50*(8*$DV13)+'LINEST VARS'!$F$50*(8*$EN$8)+'LINEST VARS'!$E$50*(8*0.5)+'LINEST VARS'!$D$50*(8*$DV13)+'LINEST VARS'!$C$50*($EN$8*0.5)+'LINEST VARS'!$B$50*($EN$8*$DV13)+'LINEST VARS'!$A$50*(0.5*$DV13)</f>
        <v>331.99999999999989</v>
      </c>
      <c r="EO13" s="46">
        <f>'LINEST VARS'!$U$50+'LINEST VARS'!$T$50*(8)+'LINEST VARS'!$S$50*(8)+'LINEST VARS'!$R$50*($EO$8)+'LINEST VARS'!$Q$50*(0.5)+'LINEST VARS'!$P$50*($DV13)+'LINEST VARS'!$O$50*(8^2)+'LINEST VARS'!$N$50*(8^2)+'LINEST VARS'!$M$50*($EO$8^2)+'LINEST VARS'!$L$50*(0.5^2)+'LINEST VARS'!$K$50*($DV13^2)+'LINEST VARS'!$J$50*(8*8)+'LINEST VARS'!$I$50*(8*$EO$8)+'LINEST VARS'!$H$50*(8*0.5)+'LINEST VARS'!$G$50*(8*$DV13)+'LINEST VARS'!$F$50*(8*$EO$8)+'LINEST VARS'!$E$50*(8*0.5)+'LINEST VARS'!$D$50*(8*$DV13)+'LINEST VARS'!$C$50*($EO$8*0.5)+'LINEST VARS'!$B$50*($EO$8*$DV13)+'LINEST VARS'!$A$50*(0.5*$DV13)</f>
        <v>331.99999999999989</v>
      </c>
      <c r="EP13" s="46">
        <f>'LINEST VARS'!$U$50+'LINEST VARS'!$T$50*(8)+'LINEST VARS'!$S$50*(8)+'LINEST VARS'!$R$50*($EP$8)+'LINEST VARS'!$Q$50*(0.5)+'LINEST VARS'!$P$50*($DV13)+'LINEST VARS'!$O$50*(8^2)+'LINEST VARS'!$N$50*(8^2)+'LINEST VARS'!$M$50*($EP$8^2)+'LINEST VARS'!$L$50*(0.5^2)+'LINEST VARS'!$K$50*($DV13^2)+'LINEST VARS'!$J$50*(8*8)+'LINEST VARS'!$I$50*(8*$EP$8)+'LINEST VARS'!$H$50*(8*0.5)+'LINEST VARS'!$G$50*(8*$DV13)+'LINEST VARS'!$F$50*(8*$EP$8)+'LINEST VARS'!$E$50*(8*0.5)+'LINEST VARS'!$D$50*(8*$DV13)+'LINEST VARS'!$C$50*($EP$8*0.5)+'LINEST VARS'!$B$50*($EP$8*$DV13)+'LINEST VARS'!$A$50*(0.5*$DV13)</f>
        <v>331.99999999999989</v>
      </c>
      <c r="EQ13" s="47">
        <f>'LINEST VARS'!$U$50+'LINEST VARS'!$T$50*(8)+'LINEST VARS'!$S$50*(8)+'LINEST VARS'!$R$50*($EQ$8)+'LINEST VARS'!$Q$50*(0.5)+'LINEST VARS'!$P$50*($DV13)+'LINEST VARS'!$O$50*(8^2)+'LINEST VARS'!$N$50*(8^2)+'LINEST VARS'!$M$50*($EQ$8^2)+'LINEST VARS'!$L$50*(0.5^2)+'LINEST VARS'!$K$50*($DV13^2)+'LINEST VARS'!$J$50*(8*8)+'LINEST VARS'!$I$50*(8*$EQ$8)+'LINEST VARS'!$H$50*(8*0.5)+'LINEST VARS'!$G$50*(8*$DV13)+'LINEST VARS'!$F$50*(8*$EQ$8)+'LINEST VARS'!$E$50*(8*0.5)+'LINEST VARS'!$D$50*(8*$DV13)+'LINEST VARS'!$C$50*($EQ$8*0.5)+'LINEST VARS'!$B$50*($EQ$8*$DV13)+'LINEST VARS'!$A$50*(0.5*$DV13)</f>
        <v>331.99999999999989</v>
      </c>
    </row>
    <row r="14" spans="2:150" ht="15" customHeight="1" x14ac:dyDescent="0.25">
      <c r="B14" s="45">
        <v>7.7</v>
      </c>
      <c r="C14" s="46">
        <f>'LINEST VARS'!$U$48+'LINEST VARS'!$T$48*($C$8)+'LINEST VARS'!$S$48*($B14)+'LINEST VARS'!$R$48*(4)+'LINEST VARS'!$Q$48*(0.5)+'LINEST VARS'!$P$48*(12.73)+'LINEST VARS'!$O$48*($C$8^2)+'LINEST VARS'!$N$48*($B14^2)+'LINEST VARS'!$M$48*(4^2)+'LINEST VARS'!$L$48*(0.5^2)+'LINEST VARS'!$K$48*(12.73^2)+'LINEST VARS'!$J$48*($C$8*$B14)+'LINEST VARS'!$I$48*($C$8*4)+'LINEST VARS'!$H$48*($C$8*0.5)+'LINEST VARS'!$G$48*($C$8*12.73)+'LINEST VARS'!$F$48*($B14*4)+'LINEST VARS'!$E$48*($B14*0.5)+'LINEST VARS'!$D$48*($B14*12.73)+'LINEST VARS'!$C$48*(4*0.5)+'LINEST VARS'!$B$48*(4*12.73)+'LINEST VARS'!$A$48*(0.5*12.73)</f>
        <v>321.69999999999987</v>
      </c>
      <c r="D14" s="46">
        <f>'LINEST VARS'!$U$48+'LINEST VARS'!$T$48*($D$8)+'LINEST VARS'!$S$48*($B14)+'LINEST VARS'!$R$48*(4)+'LINEST VARS'!$Q$48*(0.5)+'LINEST VARS'!$P$48*(12.73)+'LINEST VARS'!$O$48*($D$8^2)+'LINEST VARS'!$N$48*($B14^2)+'LINEST VARS'!$M$48*(4^2)+'LINEST VARS'!$L$48*(0.5^2)+'LINEST VARS'!$K$48*(12.73^2)+'LINEST VARS'!$J$48*($D$8*$B14)+'LINEST VARS'!$I$48*($D$8*4)+'LINEST VARS'!$H$48*($D$8*0.5)+'LINEST VARS'!$G$48*($D$8*12.73)+'LINEST VARS'!$F$48*($B14*4)+'LINEST VARS'!$E$48*($B14*0.5)+'LINEST VARS'!$D$48*($B14*12.73)+'LINEST VARS'!$C$48*(4*0.5)+'LINEST VARS'!$B$48*(4*12.73)+'LINEST VARS'!$A$48*(0.5*12.73)</f>
        <v>326.27799999999985</v>
      </c>
      <c r="E14" s="46">
        <f>'LINEST VARS'!$U$48+'LINEST VARS'!$T$48*($E$8)+'LINEST VARS'!$S$48*($B14)+'LINEST VARS'!$R$48*(4)+'LINEST VARS'!$Q$48*(0.5)+'LINEST VARS'!$P$48*(12.73)+'LINEST VARS'!$O$48*($E$8^2)+'LINEST VARS'!$N$48*($B14^2)+'LINEST VARS'!$M$48*(4^2)+'LINEST VARS'!$L$48*(0.5^2)+'LINEST VARS'!$K$48*(12.73^2)+'LINEST VARS'!$J$48*($E$8*$B14)+'LINEST VARS'!$I$48*($E$8*4)+'LINEST VARS'!$H$48*($E$8*0.5)+'LINEST VARS'!$G$48*($E$8*12.73)+'LINEST VARS'!$F$48*($B14*4)+'LINEST VARS'!$E$48*($B14*0.5)+'LINEST VARS'!$D$48*($B14*12.73)+'LINEST VARS'!$C$48*(4*0.5)+'LINEST VARS'!$B$48*(4*12.73)+'LINEST VARS'!$A$48*(0.5*12.73)</f>
        <v>330.89199999999988</v>
      </c>
      <c r="F14" s="46">
        <f>'LINEST VARS'!$U$48+'LINEST VARS'!$T$48*($F$8)+'LINEST VARS'!$S$48*($B14)+'LINEST VARS'!$R$48*(4)+'LINEST VARS'!$Q$48*(0.5)+'LINEST VARS'!$P$48*(12.73)+'LINEST VARS'!$O$48*($F$8^2)+'LINEST VARS'!$N$48*($B14^2)+'LINEST VARS'!$M$48*(4^2)+'LINEST VARS'!$L$48*(0.5^2)+'LINEST VARS'!$K$48*(12.73^2)+'LINEST VARS'!$J$48*($F$8*$B14)+'LINEST VARS'!$I$48*($F$8*4)+'LINEST VARS'!$H$48*($F$8*0.5)+'LINEST VARS'!$G$48*($F$8*12.73)+'LINEST VARS'!$F$48*($B14*4)+'LINEST VARS'!$E$48*($B14*0.5)+'LINEST VARS'!$D$48*($B14*12.73)+'LINEST VARS'!$C$48*(4*0.5)+'LINEST VARS'!$B$48*(4*12.73)+'LINEST VARS'!$A$48*(0.5*12.73)</f>
        <v>335.54199999999992</v>
      </c>
      <c r="G14" s="46">
        <f>'LINEST VARS'!$U$48+'LINEST VARS'!$T$48*($G$8)+'LINEST VARS'!$S$48*($B14)+'LINEST VARS'!$R$48*(4)+'LINEST VARS'!$Q$48*(0.5)+'LINEST VARS'!$P$48*(12.73)+'LINEST VARS'!$O$48*($G$8^2)+'LINEST VARS'!$N$48*($B14^2)+'LINEST VARS'!$M$48*(4^2)+'LINEST VARS'!$L$48*(0.5^2)+'LINEST VARS'!$K$48*(12.73^2)+'LINEST VARS'!$J$48*($G$8*$B14)+'LINEST VARS'!$I$48*($G$8*4)+'LINEST VARS'!$H$48*($G$8*0.5)+'LINEST VARS'!$G$48*($G$8*12.73)+'LINEST VARS'!$F$48*($B14*4)+'LINEST VARS'!$E$48*($B14*0.5)+'LINEST VARS'!$D$48*($B14*12.73)+'LINEST VARS'!$C$48*(4*0.5)+'LINEST VARS'!$B$48*(4*12.73)+'LINEST VARS'!$A$48*(0.5*12.73)</f>
        <v>340.22799999999989</v>
      </c>
      <c r="H14" s="46">
        <f>'LINEST VARS'!$U$48+'LINEST VARS'!$T$48*($H$8)+'LINEST VARS'!$S$48*($B14)+'LINEST VARS'!$R$48*(4)+'LINEST VARS'!$Q$48*(0.5)+'LINEST VARS'!$P$48*(12.73)+'LINEST VARS'!$O$48*($H$8^2)+'LINEST VARS'!$N$48*($B14^2)+'LINEST VARS'!$M$48*(4^2)+'LINEST VARS'!$L$48*(0.5^2)+'LINEST VARS'!$K$48*(12.73^2)+'LINEST VARS'!$J$48*($H$8*$B14)+'LINEST VARS'!$I$48*($H$8*4)+'LINEST VARS'!$H$48*($H$8*0.5)+'LINEST VARS'!$G$48*($H$8*12.73)+'LINEST VARS'!$F$48*($B14*4)+'LINEST VARS'!$E$48*($B14*0.5)+'LINEST VARS'!$D$48*($B14*12.73)+'LINEST VARS'!$C$48*(4*0.5)+'LINEST VARS'!$B$48*(4*12.73)+'LINEST VARS'!$A$48*(0.5*12.73)</f>
        <v>344.94999999999987</v>
      </c>
      <c r="I14" s="46">
        <f>'LINEST VARS'!$U$48+'LINEST VARS'!$T$48*($I$8)+'LINEST VARS'!$S$48*($B14)+'LINEST VARS'!$R$48*(4)+'LINEST VARS'!$Q$48*(0.5)+'LINEST VARS'!$P$48*(12.73)+'LINEST VARS'!$O$48*($I$8^2)+'LINEST VARS'!$N$48*($B14^2)+'LINEST VARS'!$M$48*(4^2)+'LINEST VARS'!$L$48*(0.5^2)+'LINEST VARS'!$K$48*(12.73^2)+'LINEST VARS'!$J$48*($I$8*$B14)+'LINEST VARS'!$I$48*($I$8*4)+'LINEST VARS'!$H$48*($I$8*0.5)+'LINEST VARS'!$G$48*($I$8*12.73)+'LINEST VARS'!$F$48*($B14*4)+'LINEST VARS'!$E$48*($B14*0.5)+'LINEST VARS'!$D$48*($B14*12.73)+'LINEST VARS'!$C$48*(4*0.5)+'LINEST VARS'!$B$48*(4*12.73)+'LINEST VARS'!$A$48*(0.5*12.73)</f>
        <v>349.70799999999986</v>
      </c>
      <c r="J14" s="46">
        <f>'LINEST VARS'!$U$48+'LINEST VARS'!$T$48*($J$8)+'LINEST VARS'!$S$48*($B14)+'LINEST VARS'!$R$48*(4)+'LINEST VARS'!$Q$48*(0.5)+'LINEST VARS'!$P$48*(12.73)+'LINEST VARS'!$O$48*($J$8^2)+'LINEST VARS'!$N$48*($B14^2)+'LINEST VARS'!$M$48*(4^2)+'LINEST VARS'!$L$48*(0.5^2)+'LINEST VARS'!$K$48*(12.73^2)+'LINEST VARS'!$J$48*($J$8*$B14)+'LINEST VARS'!$I$48*($J$8*4)+'LINEST VARS'!$H$48*($J$8*0.5)+'LINEST VARS'!$G$48*($J$8*12.73)+'LINEST VARS'!$F$48*($B14*4)+'LINEST VARS'!$E$48*($B14*0.5)+'LINEST VARS'!$D$48*($B14*12.73)+'LINEST VARS'!$C$48*(4*0.5)+'LINEST VARS'!$B$48*(4*12.73)+'LINEST VARS'!$A$48*(0.5*12.73)</f>
        <v>354.5019999999999</v>
      </c>
      <c r="K14" s="46">
        <f>'LINEST VARS'!$U$48+'LINEST VARS'!$T$48*($K$8)+'LINEST VARS'!$S$48*($B14)+'LINEST VARS'!$R$48*(4)+'LINEST VARS'!$Q$48*(0.5)+'LINEST VARS'!$P$48*(12.73)+'LINEST VARS'!$O$48*($K$8^2)+'LINEST VARS'!$N$48*($B14^2)+'LINEST VARS'!$M$48*(4^2)+'LINEST VARS'!$L$48*(0.5^2)+'LINEST VARS'!$K$48*(12.73^2)+'LINEST VARS'!$J$48*($K$8*$B14)+'LINEST VARS'!$I$48*($K$8*4)+'LINEST VARS'!$H$48*($K$8*0.5)+'LINEST VARS'!$G$48*($K$8*12.73)+'LINEST VARS'!$F$48*($B14*4)+'LINEST VARS'!$E$48*($B14*0.5)+'LINEST VARS'!$D$48*($B14*12.73)+'LINEST VARS'!$C$48*(4*0.5)+'LINEST VARS'!$B$48*(4*12.73)+'LINEST VARS'!$A$48*(0.5*12.73)</f>
        <v>359.33199999999988</v>
      </c>
      <c r="L14" s="46">
        <f>'LINEST VARS'!$U$48+'LINEST VARS'!$T$48*($L$8)+'LINEST VARS'!$S$48*($B14)+'LINEST VARS'!$R$48*(4)+'LINEST VARS'!$Q$48*(0.5)+'LINEST VARS'!$P$48*(12.73)+'LINEST VARS'!$O$48*($L$8^2)+'LINEST VARS'!$N$48*($B14^2)+'LINEST VARS'!$M$48*(4^2)+'LINEST VARS'!$L$48*(0.5^2)+'LINEST VARS'!$K$48*(12.73^2)+'LINEST VARS'!$J$48*($L$8*$B14)+'LINEST VARS'!$I$48*($L$8*4)+'LINEST VARS'!$H$48*($L$8*0.5)+'LINEST VARS'!$G$48*($L$8*12.73)+'LINEST VARS'!$F$48*($B14*4)+'LINEST VARS'!$E$48*($B14*0.5)+'LINEST VARS'!$D$48*($B14*12.73)+'LINEST VARS'!$C$48*(4*0.5)+'LINEST VARS'!$B$48*(4*12.73)+'LINEST VARS'!$A$48*(0.5*12.73)</f>
        <v>364.19799999999992</v>
      </c>
      <c r="M14" s="46">
        <f>'LINEST VARS'!$U$48+'LINEST VARS'!$T$48*($M$8)+'LINEST VARS'!$S$48*($B14)+'LINEST VARS'!$R$48*(4)+'LINEST VARS'!$Q$48*(0.5)+'LINEST VARS'!$P$48*(12.73)+'LINEST VARS'!$O$48*($M$8^2)+'LINEST VARS'!$N$48*($B14^2)+'LINEST VARS'!$M$48*(4^2)+'LINEST VARS'!$L$48*(0.5^2)+'LINEST VARS'!$K$48*(12.73^2)+'LINEST VARS'!$J$48*($M$8*$B14)+'LINEST VARS'!$I$48*($M$8*4)+'LINEST VARS'!$H$48*($M$8*0.5)+'LINEST VARS'!$G$48*($M$8*12.73)+'LINEST VARS'!$F$48*($B14*4)+'LINEST VARS'!$E$48*($B14*0.5)+'LINEST VARS'!$D$48*($B14*12.73)+'LINEST VARS'!$C$48*(4*0.5)+'LINEST VARS'!$B$48*(4*12.73)+'LINEST VARS'!$A$48*(0.5*12.73)</f>
        <v>369.09999999999985</v>
      </c>
      <c r="N14" s="46">
        <f>'LINEST VARS'!$U$48+'LINEST VARS'!$T$48*($N$8)+'LINEST VARS'!$S$48*($B14)+'LINEST VARS'!$R$48*(4)+'LINEST VARS'!$Q$48*(0.5)+'LINEST VARS'!$P$48*(12.73)+'LINEST VARS'!$O$48*($N$8^2)+'LINEST VARS'!$N$48*($B14^2)+'LINEST VARS'!$M$48*(4^2)+'LINEST VARS'!$L$48*(0.5^2)+'LINEST VARS'!$K$48*(12.73^2)+'LINEST VARS'!$J$48*($N$8*$B14)+'LINEST VARS'!$I$48*($N$8*4)+'LINEST VARS'!$H$48*($N$8*0.5)+'LINEST VARS'!$G$48*($N$8*12.73)+'LINEST VARS'!$F$48*($B14*4)+'LINEST VARS'!$E$48*($B14*0.5)+'LINEST VARS'!$D$48*($B14*12.73)+'LINEST VARS'!$C$48*(4*0.5)+'LINEST VARS'!$B$48*(4*12.73)+'LINEST VARS'!$A$48*(0.5*12.73)</f>
        <v>374.0379999999999</v>
      </c>
      <c r="O14" s="46">
        <f>'LINEST VARS'!$U$48+'LINEST VARS'!$T$48*($O$8)+'LINEST VARS'!$S$48*($B14)+'LINEST VARS'!$R$48*(4)+'LINEST VARS'!$Q$48*(0.5)+'LINEST VARS'!$P$48*(12.73)+'LINEST VARS'!$O$48*($O$8^2)+'LINEST VARS'!$N$48*($B14^2)+'LINEST VARS'!$M$48*(4^2)+'LINEST VARS'!$L$48*(0.5^2)+'LINEST VARS'!$K$48*(12.73^2)+'LINEST VARS'!$J$48*($O$8*$B14)+'LINEST VARS'!$I$48*($O$8*4)+'LINEST VARS'!$H$48*($O$8*0.5)+'LINEST VARS'!$G$48*($O$8*12.73)+'LINEST VARS'!$F$48*($B14*4)+'LINEST VARS'!$E$48*($B14*0.5)+'LINEST VARS'!$D$48*($B14*12.73)+'LINEST VARS'!$C$48*(4*0.5)+'LINEST VARS'!$B$48*(4*12.73)+'LINEST VARS'!$A$48*(0.5*12.73)</f>
        <v>379.01199999999977</v>
      </c>
      <c r="P14" s="46">
        <f>'LINEST VARS'!$U$48+'LINEST VARS'!$T$48*($P$8)+'LINEST VARS'!$S$48*($B14)+'LINEST VARS'!$R$48*(4)+'LINEST VARS'!$Q$48*(0.5)+'LINEST VARS'!$P$48*(12.73)+'LINEST VARS'!$O$48*($P$8^2)+'LINEST VARS'!$N$48*($B14^2)+'LINEST VARS'!$M$48*(4^2)+'LINEST VARS'!$L$48*(0.5^2)+'LINEST VARS'!$K$48*(12.73^2)+'LINEST VARS'!$J$48*($P$8*$B14)+'LINEST VARS'!$I$48*($P$8*4)+'LINEST VARS'!$H$48*($P$8*0.5)+'LINEST VARS'!$G$48*($P$8*12.73)+'LINEST VARS'!$F$48*($B14*4)+'LINEST VARS'!$E$48*($B14*0.5)+'LINEST VARS'!$D$48*($B14*12.73)+'LINEST VARS'!$C$48*(4*0.5)+'LINEST VARS'!$B$48*(4*12.73)+'LINEST VARS'!$A$48*(0.5*12.73)</f>
        <v>384.02199999999982</v>
      </c>
      <c r="Q14" s="46">
        <f>'LINEST VARS'!$U$48+'LINEST VARS'!$T$48*($Q$8)+'LINEST VARS'!$S$48*($B14)+'LINEST VARS'!$R$48*(4)+'LINEST VARS'!$Q$48*(0.5)+'LINEST VARS'!$P$48*(12.73)+'LINEST VARS'!$O$48*($Q$8^2)+'LINEST VARS'!$N$48*($B14^2)+'LINEST VARS'!$M$48*(4^2)+'LINEST VARS'!$L$48*(0.5^2)+'LINEST VARS'!$K$48*(12.73^2)+'LINEST VARS'!$J$48*($Q$8*$B14)+'LINEST VARS'!$I$48*($Q$8*4)+'LINEST VARS'!$H$48*($Q$8*0.5)+'LINEST VARS'!$G$48*($Q$8*12.73)+'LINEST VARS'!$F$48*($B14*4)+'LINEST VARS'!$E$48*($B14*0.5)+'LINEST VARS'!$D$48*($B14*12.73)+'LINEST VARS'!$C$48*(4*0.5)+'LINEST VARS'!$B$48*(4*12.73)+'LINEST VARS'!$A$48*(0.5*12.73)</f>
        <v>389.06799999999981</v>
      </c>
      <c r="R14" s="46">
        <f>'LINEST VARS'!$U$48+'LINEST VARS'!$T$48*($R$8)+'LINEST VARS'!$S$48*($B14)+'LINEST VARS'!$R$48*(4)+'LINEST VARS'!$Q$48*(0.5)+'LINEST VARS'!$P$48*(12.73)+'LINEST VARS'!$O$48*($R$8^2)+'LINEST VARS'!$N$48*($B14^2)+'LINEST VARS'!$M$48*(4^2)+'LINEST VARS'!$L$48*(0.5^2)+'LINEST VARS'!$K$48*(12.73^2)+'LINEST VARS'!$J$48*($R$8*$B14)+'LINEST VARS'!$I$48*($R$8*4)+'LINEST VARS'!$H$48*($R$8*0.5)+'LINEST VARS'!$G$48*($R$8*12.73)+'LINEST VARS'!$F$48*($B14*4)+'LINEST VARS'!$E$48*($B14*0.5)+'LINEST VARS'!$D$48*($B14*12.73)+'LINEST VARS'!$C$48*(4*0.5)+'LINEST VARS'!$B$48*(4*12.73)+'LINEST VARS'!$A$48*(0.5*12.73)</f>
        <v>394.14999999999992</v>
      </c>
      <c r="S14" s="46">
        <f>'LINEST VARS'!$U$48+'LINEST VARS'!$T$48*($S$8)+'LINEST VARS'!$S$48*($B14)+'LINEST VARS'!$R$48*(4)+'LINEST VARS'!$Q$48*(0.5)+'LINEST VARS'!$P$48*(12.73)+'LINEST VARS'!$O$48*($S$8^2)+'LINEST VARS'!$N$48*($B14^2)+'LINEST VARS'!$M$48*(4^2)+'LINEST VARS'!$L$48*(0.5^2)+'LINEST VARS'!$K$48*(12.73^2)+'LINEST VARS'!$J$48*($S$8*$B14)+'LINEST VARS'!$I$48*($S$8*4)+'LINEST VARS'!$H$48*($S$8*0.5)+'LINEST VARS'!$G$48*($S$8*12.73)+'LINEST VARS'!$F$48*($B14*4)+'LINEST VARS'!$E$48*($B14*0.5)+'LINEST VARS'!$D$48*($B14*12.73)+'LINEST VARS'!$C$48*(4*0.5)+'LINEST VARS'!$B$48*(4*12.73)+'LINEST VARS'!$A$48*(0.5*12.73)</f>
        <v>399.26799999999974</v>
      </c>
      <c r="T14" s="46">
        <f>'LINEST VARS'!$U$48+'LINEST VARS'!$T$48*($T$8)+'LINEST VARS'!$S$48*($B14)+'LINEST VARS'!$R$48*(4)+'LINEST VARS'!$Q$48*(0.5)+'LINEST VARS'!$P$48*(12.73)+'LINEST VARS'!$O$48*($T$8^2)+'LINEST VARS'!$N$48*($B14^2)+'LINEST VARS'!$M$48*(4^2)+'LINEST VARS'!$L$48*(0.5^2)+'LINEST VARS'!$K$48*(12.73^2)+'LINEST VARS'!$J$48*($T$8*$B14)+'LINEST VARS'!$I$48*($T$8*4)+'LINEST VARS'!$H$48*($T$8*0.5)+'LINEST VARS'!$G$48*($T$8*12.73)+'LINEST VARS'!$F$48*($B14*4)+'LINEST VARS'!$E$48*($B14*0.5)+'LINEST VARS'!$D$48*($B14*12.73)+'LINEST VARS'!$C$48*(4*0.5)+'LINEST VARS'!$B$48*(4*12.73)+'LINEST VARS'!$A$48*(0.5*12.73)</f>
        <v>404.42199999999985</v>
      </c>
      <c r="U14" s="46">
        <f>'LINEST VARS'!$U$48+'LINEST VARS'!$T$48*($U$8)+'LINEST VARS'!$S$48*($B14)+'LINEST VARS'!$R$48*(4)+'LINEST VARS'!$Q$48*(0.5)+'LINEST VARS'!$P$48*(12.73)+'LINEST VARS'!$O$48*($U$8^2)+'LINEST VARS'!$N$48*($B14^2)+'LINEST VARS'!$M$48*(4^2)+'LINEST VARS'!$L$48*(0.5^2)+'LINEST VARS'!$K$48*(12.73^2)+'LINEST VARS'!$J$48*($U$8*$B14)+'LINEST VARS'!$I$48*($U$8*4)+'LINEST VARS'!$H$48*($U$8*0.5)+'LINEST VARS'!$G$48*($U$8*12.73)+'LINEST VARS'!$F$48*($B14*4)+'LINEST VARS'!$E$48*($B14*0.5)+'LINEST VARS'!$D$48*($B14*12.73)+'LINEST VARS'!$C$48*(4*0.5)+'LINEST VARS'!$B$48*(4*12.73)+'LINEST VARS'!$A$48*(0.5*12.73)</f>
        <v>409.61199999999991</v>
      </c>
      <c r="V14" s="46">
        <f>'LINEST VARS'!$U$48+'LINEST VARS'!$T$48*($V$8)+'LINEST VARS'!$S$48*($B14)+'LINEST VARS'!$R$48*(4)+'LINEST VARS'!$Q$48*(0.5)+'LINEST VARS'!$P$48*(12.73)+'LINEST VARS'!$O$48*($V$8^2)+'LINEST VARS'!$N$48*($B14^2)+'LINEST VARS'!$M$48*(4^2)+'LINEST VARS'!$L$48*(0.5^2)+'LINEST VARS'!$K$48*(12.73^2)+'LINEST VARS'!$J$48*($V$8*$B14)+'LINEST VARS'!$I$48*($V$8*4)+'LINEST VARS'!$H$48*($V$8*0.5)+'LINEST VARS'!$G$48*($V$8*12.73)+'LINEST VARS'!$F$48*($B14*4)+'LINEST VARS'!$E$48*($B14*0.5)+'LINEST VARS'!$D$48*($B14*12.73)+'LINEST VARS'!$C$48*(4*0.5)+'LINEST VARS'!$B$48*(4*12.73)+'LINEST VARS'!$A$48*(0.5*12.73)</f>
        <v>414.83799999999979</v>
      </c>
      <c r="W14" s="47">
        <f>'LINEST VARS'!$U$48+'LINEST VARS'!$T$48*($W$8)+'LINEST VARS'!$S$48*($B14)+'LINEST VARS'!$R$48*(4)+'LINEST VARS'!$Q$48*(0.5)+'LINEST VARS'!$P$48*(12.73)+'LINEST VARS'!$O$48*($W$8^2)+'LINEST VARS'!$N$48*($B14^2)+'LINEST VARS'!$M$48*(4^2)+'LINEST VARS'!$L$48*(0.5^2)+'LINEST VARS'!$K$48*(12.73^2)+'LINEST VARS'!$J$48*($W$8*$B14)+'LINEST VARS'!$I$48*($W$8*4)+'LINEST VARS'!$H$48*($W$8*0.5)+'LINEST VARS'!$G$48*($W$8*12.73)+'LINEST VARS'!$F$48*($B14*4)+'LINEST VARS'!$E$48*($B14*0.5)+'LINEST VARS'!$D$48*($B14*12.73)+'LINEST VARS'!$C$48*(4*0.5)+'LINEST VARS'!$B$48*(4*12.73)+'LINEST VARS'!$A$48*(0.5*12.73)</f>
        <v>420.0999999999998</v>
      </c>
      <c r="Z14" s="45">
        <v>7.7</v>
      </c>
      <c r="AA14" s="46">
        <f>'LINEST VARS'!$U$50+'LINEST VARS'!$T$50*($AA$8)+'LINEST VARS'!$S$50*($Z14)+'LINEST VARS'!$R$50*(4)+'LINEST VARS'!$Q$50*(0.5)+'LINEST VARS'!$P$50*(12.73)+'LINEST VARS'!$O$50*($AA$8^2)+'LINEST VARS'!$N$50*($Z14^2)+'LINEST VARS'!$M$50*(4^2)+'LINEST VARS'!$L$50*(0.5^2)+'LINEST VARS'!$K$50*(12.73^2)+'LINEST VARS'!$J$50*($AA$8*$Z14)+'LINEST VARS'!$I$50*($AA$8*4)+'LINEST VARS'!$H$50*($AA$8*0.5)+'LINEST VARS'!$G$50*($AA$8*12.73)+'LINEST VARS'!$F$50*($Z14*4)+'LINEST VARS'!$E$50*($Z14*0.5)+'LINEST VARS'!$D$50*($Z14*12.73)+'LINEST VARS'!$C$50*(4*0.5)+'LINEST VARS'!$B$50*(4*12.73)+'LINEST VARS'!$A$50*(0.5*12.73)</f>
        <v>330.34999999999997</v>
      </c>
      <c r="AB14" s="46">
        <f>'LINEST VARS'!$U$50+'LINEST VARS'!$T$50*($AB$8)+'LINEST VARS'!$S$50*($Z14)+'LINEST VARS'!$R$50*(4)+'LINEST VARS'!$Q$50*(0.5)+'LINEST VARS'!$P$50*(12.73)+'LINEST VARS'!$O$50*($AB$8^2)+'LINEST VARS'!$N$50*($Z14^2)+'LINEST VARS'!$M$50*(4^2)+'LINEST VARS'!$L$50*(0.5^2)+'LINEST VARS'!$K$50*(12.73^2)+'LINEST VARS'!$J$50*($AB$8*$Z14)+'LINEST VARS'!$I$50*($AB$8*4)+'LINEST VARS'!$H$50*($AB$8*0.5)+'LINEST VARS'!$G$50*($AB$8*12.73)+'LINEST VARS'!$F$50*($Z14*4)+'LINEST VARS'!$E$50*($Z14*0.5)+'LINEST VARS'!$D$50*($Z14*12.73)+'LINEST VARS'!$C$50*(4*0.5)+'LINEST VARS'!$B$50*(4*12.73)+'LINEST VARS'!$A$50*(0.5*12.73)</f>
        <v>330.43999999999994</v>
      </c>
      <c r="AC14" s="46">
        <f>'LINEST VARS'!$U$50+'LINEST VARS'!$T$50*($AC$8)+'LINEST VARS'!$S$50*($Z14)+'LINEST VARS'!$R$50*(4)+'LINEST VARS'!$Q$50*(0.5)+'LINEST VARS'!$P$50*(12.73)+'LINEST VARS'!$O$50*($AC$8^2)+'LINEST VARS'!$N$50*($Z14^2)+'LINEST VARS'!$M$50*(4^2)+'LINEST VARS'!$L$50*(0.5^2)+'LINEST VARS'!$K$50*(12.73^2)+'LINEST VARS'!$J$50*($AC$8*$Z14)+'LINEST VARS'!$I$50*($AC$8*4)+'LINEST VARS'!$H$50*($AC$8*0.5)+'LINEST VARS'!$G$50*($AC$8*12.73)+'LINEST VARS'!$F$50*($Z14*4)+'LINEST VARS'!$E$50*($Z14*0.5)+'LINEST VARS'!$D$50*($Z14*12.73)+'LINEST VARS'!$C$50*(4*0.5)+'LINEST VARS'!$B$50*(4*12.73)+'LINEST VARS'!$A$50*(0.5*12.73)</f>
        <v>330.53</v>
      </c>
      <c r="AD14" s="46">
        <f>'LINEST VARS'!$U$50+'LINEST VARS'!$T$50*($AD$8)+'LINEST VARS'!$S$50*($Z14)+'LINEST VARS'!$R$50*(4)+'LINEST VARS'!$Q$50*(0.5)+'LINEST VARS'!$P$50*(12.73)+'LINEST VARS'!$O$50*($AD$8^2)+'LINEST VARS'!$N$50*($Z14^2)+'LINEST VARS'!$M$50*(4^2)+'LINEST VARS'!$L$50*(0.5^2)+'LINEST VARS'!$K$50*(12.73^2)+'LINEST VARS'!$J$50*($AD$8*$Z14)+'LINEST VARS'!$I$50*($AD$8*4)+'LINEST VARS'!$H$50*($AD$8*0.5)+'LINEST VARS'!$G$50*($AD$8*12.73)+'LINEST VARS'!$F$50*($Z14*4)+'LINEST VARS'!$E$50*($Z14*0.5)+'LINEST VARS'!$D$50*($Z14*12.73)+'LINEST VARS'!$C$50*(4*0.5)+'LINEST VARS'!$B$50*(4*12.73)+'LINEST VARS'!$A$50*(0.5*12.73)</f>
        <v>330.61999999999995</v>
      </c>
      <c r="AE14" s="46">
        <f>'LINEST VARS'!$U$50+'LINEST VARS'!$T$50*($AE$8)+'LINEST VARS'!$S$50*($Z14)+'LINEST VARS'!$R$50*(4)+'LINEST VARS'!$Q$50*(0.5)+'LINEST VARS'!$P$50*(12.73)+'LINEST VARS'!$O$50*($AE$8^2)+'LINEST VARS'!$N$50*($Z14^2)+'LINEST VARS'!$M$50*(4^2)+'LINEST VARS'!$L$50*(0.5^2)+'LINEST VARS'!$K$50*(12.73^2)+'LINEST VARS'!$J$50*($AE$8*$Z14)+'LINEST VARS'!$I$50*($AE$8*4)+'LINEST VARS'!$H$50*($AE$8*0.5)+'LINEST VARS'!$G$50*($AE$8*12.73)+'LINEST VARS'!$F$50*($Z14*4)+'LINEST VARS'!$E$50*($Z14*0.5)+'LINEST VARS'!$D$50*($Z14*12.73)+'LINEST VARS'!$C$50*(4*0.5)+'LINEST VARS'!$B$50*(4*12.73)+'LINEST VARS'!$A$50*(0.5*12.73)</f>
        <v>330.70999999999992</v>
      </c>
      <c r="AF14" s="46">
        <f>'LINEST VARS'!$U$50+'LINEST VARS'!$T$50*($AF$8)+'LINEST VARS'!$S$50*($Z14)+'LINEST VARS'!$R$50*(4)+'LINEST VARS'!$Q$50*(0.5)+'LINEST VARS'!$P$50*(12.73)+'LINEST VARS'!$O$50*($AF$8^2)+'LINEST VARS'!$N$50*($Z14^2)+'LINEST VARS'!$M$50*(4^2)+'LINEST VARS'!$L$50*(0.5^2)+'LINEST VARS'!$K$50*(12.73^2)+'LINEST VARS'!$J$50*($AF$8*$Z14)+'LINEST VARS'!$I$50*($AF$8*4)+'LINEST VARS'!$H$50*($AF$8*0.5)+'LINEST VARS'!$G$50*($AF$8*12.73)+'LINEST VARS'!$F$50*($Z14*4)+'LINEST VARS'!$E$50*($Z14*0.5)+'LINEST VARS'!$D$50*($Z14*12.73)+'LINEST VARS'!$C$50*(4*0.5)+'LINEST VARS'!$B$50*(4*12.73)+'LINEST VARS'!$A$50*(0.5*12.73)</f>
        <v>330.79999999999995</v>
      </c>
      <c r="AG14" s="46">
        <f>'LINEST VARS'!$U$50+'LINEST VARS'!$T$50*($AG$8)+'LINEST VARS'!$S$50*($Z14)+'LINEST VARS'!$R$50*(4)+'LINEST VARS'!$Q$50*(0.5)+'LINEST VARS'!$P$50*(12.73)+'LINEST VARS'!$O$50*($AG$8^2)+'LINEST VARS'!$N$50*($Z14^2)+'LINEST VARS'!$M$50*(4^2)+'LINEST VARS'!$L$50*(0.5^2)+'LINEST VARS'!$K$50*(12.73^2)+'LINEST VARS'!$J$50*($AG$8*$Z14)+'LINEST VARS'!$I$50*($AG$8*4)+'LINEST VARS'!$H$50*($AG$8*0.5)+'LINEST VARS'!$G$50*($AG$8*12.73)+'LINEST VARS'!$F$50*($Z14*4)+'LINEST VARS'!$E$50*($Z14*0.5)+'LINEST VARS'!$D$50*($Z14*12.73)+'LINEST VARS'!$C$50*(4*0.5)+'LINEST VARS'!$B$50*(4*12.73)+'LINEST VARS'!$A$50*(0.5*12.73)</f>
        <v>330.88999999999993</v>
      </c>
      <c r="AH14" s="46">
        <f>'LINEST VARS'!$U$50+'LINEST VARS'!$T$50*($AH$8)+'LINEST VARS'!$S$50*($Z14)+'LINEST VARS'!$R$50*(4)+'LINEST VARS'!$Q$50*(0.5)+'LINEST VARS'!$P$50*(12.73)+'LINEST VARS'!$O$50*($AH$8^2)+'LINEST VARS'!$N$50*($Z14^2)+'LINEST VARS'!$M$50*(4^2)+'LINEST VARS'!$L$50*(0.5^2)+'LINEST VARS'!$K$50*(12.73^2)+'LINEST VARS'!$J$50*($AH$8*$Z14)+'LINEST VARS'!$I$50*($AH$8*4)+'LINEST VARS'!$H$50*($AH$8*0.5)+'LINEST VARS'!$G$50*($AH$8*12.73)+'LINEST VARS'!$F$50*($Z14*4)+'LINEST VARS'!$E$50*($Z14*0.5)+'LINEST VARS'!$D$50*($Z14*12.73)+'LINEST VARS'!$C$50*(4*0.5)+'LINEST VARS'!$B$50*(4*12.73)+'LINEST VARS'!$A$50*(0.5*12.73)</f>
        <v>330.97999999999996</v>
      </c>
      <c r="AI14" s="46">
        <f>'LINEST VARS'!$U$50+'LINEST VARS'!$T$50*($AI$8)+'LINEST VARS'!$S$50*($Z14)+'LINEST VARS'!$R$50*(4)+'LINEST VARS'!$Q$50*(0.5)+'LINEST VARS'!$P$50*(12.73)+'LINEST VARS'!$O$50*($AI$8^2)+'LINEST VARS'!$N$50*($Z14^2)+'LINEST VARS'!$M$50*(4^2)+'LINEST VARS'!$L$50*(0.5^2)+'LINEST VARS'!$K$50*(12.73^2)+'LINEST VARS'!$J$50*($AI$8*$Z14)+'LINEST VARS'!$I$50*($AI$8*4)+'LINEST VARS'!$H$50*($AI$8*0.5)+'LINEST VARS'!$G$50*($AI$8*12.73)+'LINEST VARS'!$F$50*($Z14*4)+'LINEST VARS'!$E$50*($Z14*0.5)+'LINEST VARS'!$D$50*($Z14*12.73)+'LINEST VARS'!$C$50*(4*0.5)+'LINEST VARS'!$B$50*(4*12.73)+'LINEST VARS'!$A$50*(0.5*12.73)</f>
        <v>331.06999999999994</v>
      </c>
      <c r="AJ14" s="46">
        <f>'LINEST VARS'!$U$50+'LINEST VARS'!$T$50*($AJ$8)+'LINEST VARS'!$S$50*($Z14)+'LINEST VARS'!$R$50*(4)+'LINEST VARS'!$Q$50*(0.5)+'LINEST VARS'!$P$50*(12.73)+'LINEST VARS'!$O$50*($AJ$8^2)+'LINEST VARS'!$N$50*($Z14^2)+'LINEST VARS'!$M$50*(4^2)+'LINEST VARS'!$L$50*(0.5^2)+'LINEST VARS'!$K$50*(12.73^2)+'LINEST VARS'!$J$50*($AJ$8*$Z14)+'LINEST VARS'!$I$50*($AJ$8*4)+'LINEST VARS'!$H$50*($AJ$8*0.5)+'LINEST VARS'!$G$50*($AJ$8*12.73)+'LINEST VARS'!$F$50*($Z14*4)+'LINEST VARS'!$E$50*($Z14*0.5)+'LINEST VARS'!$D$50*($Z14*12.73)+'LINEST VARS'!$C$50*(4*0.5)+'LINEST VARS'!$B$50*(4*12.73)+'LINEST VARS'!$A$50*(0.5*12.73)</f>
        <v>331.15999999999991</v>
      </c>
      <c r="AK14" s="46">
        <f>'LINEST VARS'!$U$50+'LINEST VARS'!$T$50*($AK$8)+'LINEST VARS'!$S$50*($Z14)+'LINEST VARS'!$R$50*(4)+'LINEST VARS'!$Q$50*(0.5)+'LINEST VARS'!$P$50*(12.73)+'LINEST VARS'!$O$50*($AK$8^2)+'LINEST VARS'!$N$50*($Z14^2)+'LINEST VARS'!$M$50*(4^2)+'LINEST VARS'!$L$50*(0.5^2)+'LINEST VARS'!$K$50*(12.73^2)+'LINEST VARS'!$J$50*($AK$8*$Z14)+'LINEST VARS'!$I$50*($AK$8*4)+'LINEST VARS'!$H$50*($AK$8*0.5)+'LINEST VARS'!$G$50*($AK$8*12.73)+'LINEST VARS'!$F$50*($Z14*4)+'LINEST VARS'!$E$50*($Z14*0.5)+'LINEST VARS'!$D$50*($Z14*12.73)+'LINEST VARS'!$C$50*(4*0.5)+'LINEST VARS'!$B$50*(4*12.73)+'LINEST VARS'!$A$50*(0.5*12.73)</f>
        <v>331.24999999999989</v>
      </c>
      <c r="AL14" s="46">
        <f>'LINEST VARS'!$U$50+'LINEST VARS'!$T$50*($AL$8)+'LINEST VARS'!$S$50*($Z14)+'LINEST VARS'!$R$50*(4)+'LINEST VARS'!$Q$50*(0.5)+'LINEST VARS'!$P$50*(12.73)+'LINEST VARS'!$O$50*($AL$8^2)+'LINEST VARS'!$N$50*($Z14^2)+'LINEST VARS'!$M$50*(4^2)+'LINEST VARS'!$L$50*(0.5^2)+'LINEST VARS'!$K$50*(12.73^2)+'LINEST VARS'!$J$50*($AL$8*$Z14)+'LINEST VARS'!$I$50*($AL$8*4)+'LINEST VARS'!$H$50*($AL$8*0.5)+'LINEST VARS'!$G$50*($AL$8*12.73)+'LINEST VARS'!$F$50*($Z14*4)+'LINEST VARS'!$E$50*($Z14*0.5)+'LINEST VARS'!$D$50*($Z14*12.73)+'LINEST VARS'!$C$50*(4*0.5)+'LINEST VARS'!$B$50*(4*12.73)+'LINEST VARS'!$A$50*(0.5*12.73)</f>
        <v>331.33999999999986</v>
      </c>
      <c r="AM14" s="46">
        <f>'LINEST VARS'!$U$50+'LINEST VARS'!$T$50*($AM$8)+'LINEST VARS'!$S$50*($Z14)+'LINEST VARS'!$R$50*(4)+'LINEST VARS'!$Q$50*(0.5)+'LINEST VARS'!$P$50*(12.73)+'LINEST VARS'!$O$50*($AM$8^2)+'LINEST VARS'!$N$50*($Z14^2)+'LINEST VARS'!$M$50*(4^2)+'LINEST VARS'!$L$50*(0.5^2)+'LINEST VARS'!$K$50*(12.73^2)+'LINEST VARS'!$J$50*($AM$8*$Z14)+'LINEST VARS'!$I$50*($AM$8*4)+'LINEST VARS'!$H$50*($AM$8*0.5)+'LINEST VARS'!$G$50*($AM$8*12.73)+'LINEST VARS'!$F$50*($Z14*4)+'LINEST VARS'!$E$50*($Z14*0.5)+'LINEST VARS'!$D$50*($Z14*12.73)+'LINEST VARS'!$C$50*(4*0.5)+'LINEST VARS'!$B$50*(4*12.73)+'LINEST VARS'!$A$50*(0.5*12.73)</f>
        <v>331.42999999999989</v>
      </c>
      <c r="AN14" s="46">
        <f>'LINEST VARS'!$U$50+'LINEST VARS'!$T$50*($AN$8)+'LINEST VARS'!$S$50*($Z14)+'LINEST VARS'!$R$50*(4)+'LINEST VARS'!$Q$50*(0.5)+'LINEST VARS'!$P$50*(12.73)+'LINEST VARS'!$O$50*($AN$8^2)+'LINEST VARS'!$N$50*($Z14^2)+'LINEST VARS'!$M$50*(4^2)+'LINEST VARS'!$L$50*(0.5^2)+'LINEST VARS'!$K$50*(12.73^2)+'LINEST VARS'!$J$50*($AN$8*$Z14)+'LINEST VARS'!$I$50*($AN$8*4)+'LINEST VARS'!$H$50*($AN$8*0.5)+'LINEST VARS'!$G$50*($AN$8*12.73)+'LINEST VARS'!$F$50*($Z14*4)+'LINEST VARS'!$E$50*($Z14*0.5)+'LINEST VARS'!$D$50*($Z14*12.73)+'LINEST VARS'!$C$50*(4*0.5)+'LINEST VARS'!$B$50*(4*12.73)+'LINEST VARS'!$A$50*(0.5*12.73)</f>
        <v>331.51999999999987</v>
      </c>
      <c r="AO14" s="46">
        <f>'LINEST VARS'!$U$50+'LINEST VARS'!$T$50*($AO$8)+'LINEST VARS'!$S$50*($Z14)+'LINEST VARS'!$R$50*(4)+'LINEST VARS'!$Q$50*(0.5)+'LINEST VARS'!$P$50*(12.73)+'LINEST VARS'!$O$50*($AO$8^2)+'LINEST VARS'!$N$50*($Z14^2)+'LINEST VARS'!$M$50*(4^2)+'LINEST VARS'!$L$50*(0.5^2)+'LINEST VARS'!$K$50*(12.73^2)+'LINEST VARS'!$J$50*($AO$8*$Z14)+'LINEST VARS'!$I$50*($AO$8*4)+'LINEST VARS'!$H$50*($AO$8*0.5)+'LINEST VARS'!$G$50*($AO$8*12.73)+'LINEST VARS'!$F$50*($Z14*4)+'LINEST VARS'!$E$50*($Z14*0.5)+'LINEST VARS'!$D$50*($Z14*12.73)+'LINEST VARS'!$C$50*(4*0.5)+'LINEST VARS'!$B$50*(4*12.73)+'LINEST VARS'!$A$50*(0.5*12.73)</f>
        <v>331.6099999999999</v>
      </c>
      <c r="AP14" s="46">
        <f>'LINEST VARS'!$U$50+'LINEST VARS'!$T$50*($AP$8)+'LINEST VARS'!$S$50*($Z14)+'LINEST VARS'!$R$50*(4)+'LINEST VARS'!$Q$50*(0.5)+'LINEST VARS'!$P$50*(12.73)+'LINEST VARS'!$O$50*($AP$8^2)+'LINEST VARS'!$N$50*($Z14^2)+'LINEST VARS'!$M$50*(4^2)+'LINEST VARS'!$L$50*(0.5^2)+'LINEST VARS'!$K$50*(12.73^2)+'LINEST VARS'!$J$50*($AP$8*$Z14)+'LINEST VARS'!$I$50*($AP$8*4)+'LINEST VARS'!$H$50*($AP$8*0.5)+'LINEST VARS'!$G$50*($AP$8*12.73)+'LINEST VARS'!$F$50*($Z14*4)+'LINEST VARS'!$E$50*($Z14*0.5)+'LINEST VARS'!$D$50*($Z14*12.73)+'LINEST VARS'!$C$50*(4*0.5)+'LINEST VARS'!$B$50*(4*12.73)+'LINEST VARS'!$A$50*(0.5*12.73)</f>
        <v>331.69999999999987</v>
      </c>
      <c r="AQ14" s="46">
        <f>'LINEST VARS'!$U$50+'LINEST VARS'!$T$50*($AQ$8)+'LINEST VARS'!$S$50*($Z14)+'LINEST VARS'!$R$50*(4)+'LINEST VARS'!$Q$50*(0.5)+'LINEST VARS'!$P$50*(12.73)+'LINEST VARS'!$O$50*($AQ$8^2)+'LINEST VARS'!$N$50*($Z14^2)+'LINEST VARS'!$M$50*(4^2)+'LINEST VARS'!$L$50*(0.5^2)+'LINEST VARS'!$K$50*(12.73^2)+'LINEST VARS'!$J$50*($AQ$8*$Z14)+'LINEST VARS'!$I$50*($AQ$8*4)+'LINEST VARS'!$H$50*($AQ$8*0.5)+'LINEST VARS'!$G$50*($AQ$8*12.73)+'LINEST VARS'!$F$50*($Z14*4)+'LINEST VARS'!$E$50*($Z14*0.5)+'LINEST VARS'!$D$50*($Z14*12.73)+'LINEST VARS'!$C$50*(4*0.5)+'LINEST VARS'!$B$50*(4*12.73)+'LINEST VARS'!$A$50*(0.5*12.73)</f>
        <v>331.78999999999991</v>
      </c>
      <c r="AR14" s="46">
        <f>'LINEST VARS'!$U$50+'LINEST VARS'!$T$50*($AR$8)+'LINEST VARS'!$S$50*($Z14)+'LINEST VARS'!$R$50*(4)+'LINEST VARS'!$Q$50*(0.5)+'LINEST VARS'!$P$50*(12.73)+'LINEST VARS'!$O$50*($AR$8^2)+'LINEST VARS'!$N$50*($Z14^2)+'LINEST VARS'!$M$50*(4^2)+'LINEST VARS'!$L$50*(0.5^2)+'LINEST VARS'!$K$50*(12.73^2)+'LINEST VARS'!$J$50*($AR$8*$Z14)+'LINEST VARS'!$I$50*($AR$8*4)+'LINEST VARS'!$H$50*($AR$8*0.5)+'LINEST VARS'!$G$50*($AR$8*12.73)+'LINEST VARS'!$F$50*($Z14*4)+'LINEST VARS'!$E$50*($Z14*0.5)+'LINEST VARS'!$D$50*($Z14*12.73)+'LINEST VARS'!$C$50*(4*0.5)+'LINEST VARS'!$B$50*(4*12.73)+'LINEST VARS'!$A$50*(0.5*12.73)</f>
        <v>331.87999999999988</v>
      </c>
      <c r="AS14" s="46">
        <f>'LINEST VARS'!$U$50+'LINEST VARS'!$T$50*($AS$8)+'LINEST VARS'!$S$50*($Z14)+'LINEST VARS'!$R$50*(4)+'LINEST VARS'!$Q$50*(0.5)+'LINEST VARS'!$P$50*(12.73)+'LINEST VARS'!$O$50*($AS$8^2)+'LINEST VARS'!$N$50*($Z14^2)+'LINEST VARS'!$M$50*(4^2)+'LINEST VARS'!$L$50*(0.5^2)+'LINEST VARS'!$K$50*(12.73^2)+'LINEST VARS'!$J$50*($AS$8*$Z14)+'LINEST VARS'!$I$50*($AS$8*4)+'LINEST VARS'!$H$50*($AS$8*0.5)+'LINEST VARS'!$G$50*($AS$8*12.73)+'LINEST VARS'!$F$50*($Z14*4)+'LINEST VARS'!$E$50*($Z14*0.5)+'LINEST VARS'!$D$50*($Z14*12.73)+'LINEST VARS'!$C$50*(4*0.5)+'LINEST VARS'!$B$50*(4*12.73)+'LINEST VARS'!$A$50*(0.5*12.73)</f>
        <v>331.96999999999986</v>
      </c>
      <c r="AT14" s="46">
        <f>'LINEST VARS'!$U$50+'LINEST VARS'!$T$50*($AT$8)+'LINEST VARS'!$S$50*($Z14)+'LINEST VARS'!$R$50*(4)+'LINEST VARS'!$Q$50*(0.5)+'LINEST VARS'!$P$50*(12.73)+'LINEST VARS'!$O$50*($AT$8^2)+'LINEST VARS'!$N$50*($Z14^2)+'LINEST VARS'!$M$50*(4^2)+'LINEST VARS'!$L$50*(0.5^2)+'LINEST VARS'!$K$50*(12.73^2)+'LINEST VARS'!$J$50*($AT$8*$Z14)+'LINEST VARS'!$I$50*($AT$8*4)+'LINEST VARS'!$H$50*($AT$8*0.5)+'LINEST VARS'!$G$50*($AT$8*12.73)+'LINEST VARS'!$F$50*($Z14*4)+'LINEST VARS'!$E$50*($Z14*0.5)+'LINEST VARS'!$D$50*($Z14*12.73)+'LINEST VARS'!$C$50*(4*0.5)+'LINEST VARS'!$B$50*(4*12.73)+'LINEST VARS'!$A$50*(0.5*12.73)</f>
        <v>332.05999999999989</v>
      </c>
      <c r="AU14" s="47">
        <f>'LINEST VARS'!$U$50+'LINEST VARS'!$T$50*($AU$8)+'LINEST VARS'!$S$50*($Z14)+'LINEST VARS'!$R$50*(4)+'LINEST VARS'!$Q$50*(0.5)+'LINEST VARS'!$P$50*(12.73)+'LINEST VARS'!$O$50*($AU$8^2)+'LINEST VARS'!$N$50*($Z14^2)+'LINEST VARS'!$M$50*(4^2)+'LINEST VARS'!$L$50*(0.5^2)+'LINEST VARS'!$K$50*(12.73^2)+'LINEST VARS'!$J$50*($AU$8*$Z14)+'LINEST VARS'!$I$50*($AU$8*4)+'LINEST VARS'!$H$50*($AU$8*0.5)+'LINEST VARS'!$G$50*($AU$8*12.73)+'LINEST VARS'!$F$50*($Z14*4)+'LINEST VARS'!$E$50*($Z14*0.5)+'LINEST VARS'!$D$50*($Z14*12.73)+'LINEST VARS'!$C$50*(4*0.5)+'LINEST VARS'!$B$50*(4*12.73)+'LINEST VARS'!$A$50*(0.5*12.73)</f>
        <v>332.14999999999986</v>
      </c>
      <c r="AZ14" s="45">
        <v>0.25</v>
      </c>
      <c r="BA14" s="46">
        <f>'LINEST VARS'!$U$48+'LINEST VARS'!$T$48*(8)+'LINEST VARS'!$S$48*(8)+'LINEST VARS'!$R$48*($BA$8)+'LINEST VARS'!$Q$48*($AZ14)+'LINEST VARS'!$P$48*(12.73)+'LINEST VARS'!$O$48*(8^2)+'LINEST VARS'!$N$48*(8^2)+'LINEST VARS'!$M$48*($BA$8^2)+'LINEST VARS'!$L$48*($AZ14^2)+'LINEST VARS'!$K$48*(12.73^2)+'LINEST VARS'!$J$48*(8*8)+'LINEST VARS'!$I$48*(8*$BA$8)+'LINEST VARS'!$H$48*(8*$AZ14)+'LINEST VARS'!$G$48*(8*12.73)+'LINEST VARS'!$F$48*(8*$BA$8)+'LINEST VARS'!$E$48*(8*$AZ14)+'LINEST VARS'!$D$48*(8*12.73)+'LINEST VARS'!$C$48*($BA$8*$AZ14)+'LINEST VARS'!$B$48*($BA$8*12.73)+'LINEST VARS'!$A$48*($AZ14*12.73)</f>
        <v>369.99999999999989</v>
      </c>
      <c r="BB14" s="46">
        <f>'LINEST VARS'!$U$48+'LINEST VARS'!$T$48*(8)+'LINEST VARS'!$S$48*(8)+'LINEST VARS'!$R$48*($BB$8)+'LINEST VARS'!$Q$48*($AZ14)+'LINEST VARS'!$P$48*(12.73)+'LINEST VARS'!$O$48*(8^2)+'LINEST VARS'!$N$48*(8^2)+'LINEST VARS'!$M$48*($BB$8^2)+'LINEST VARS'!$L$48*($AZ14^2)+'LINEST VARS'!$K$48*(12.73^2)+'LINEST VARS'!$J$48*(8*8)+'LINEST VARS'!$I$48*(8*$BB$8)+'LINEST VARS'!$H$48*(8*$AZ14)+'LINEST VARS'!$G$48*(8*12.73)+'LINEST VARS'!$F$48*(8*$BB$8)+'LINEST VARS'!$E$48*(8*$AZ14)+'LINEST VARS'!$D$48*(8*12.73)+'LINEST VARS'!$C$48*($BB$8*$AZ14)+'LINEST VARS'!$B$48*($BB$8*12.73)+'LINEST VARS'!$A$48*($AZ14*12.73)</f>
        <v>369.99999999999989</v>
      </c>
      <c r="BC14" s="46">
        <f>'LINEST VARS'!$U$48+'LINEST VARS'!$T$48*(8)+'LINEST VARS'!$S$48*(8)+'LINEST VARS'!$R$48*($BC$8)+'LINEST VARS'!$Q$48*($AZ14)+'LINEST VARS'!$P$48*(12.73)+'LINEST VARS'!$O$48*(8^2)+'LINEST VARS'!$N$48*(8^2)+'LINEST VARS'!$M$48*($BC$8^2)+'LINEST VARS'!$L$48*($AZ14^2)+'LINEST VARS'!$K$48*(12.73^2)+'LINEST VARS'!$J$48*(8*8)+'LINEST VARS'!$I$48*(8*$BC$8)+'LINEST VARS'!$H$48*(8*$AZ14)+'LINEST VARS'!$G$48*(8*12.73)+'LINEST VARS'!$F$48*(8*$BC$8)+'LINEST VARS'!$E$48*(8*$AZ14)+'LINEST VARS'!$D$48*(8*12.73)+'LINEST VARS'!$C$48*($BC$8*$AZ14)+'LINEST VARS'!$B$48*($BC$8*12.73)+'LINEST VARS'!$A$48*($AZ14*12.73)</f>
        <v>369.99999999999989</v>
      </c>
      <c r="BD14" s="46">
        <f>'LINEST VARS'!$U$48+'LINEST VARS'!$T$48*(8)+'LINEST VARS'!$S$48*(8)+'LINEST VARS'!$R$48*($BD$8)+'LINEST VARS'!$Q$48*($AZ14)+'LINEST VARS'!$P$48*(12.73)+'LINEST VARS'!$O$48*(8^2)+'LINEST VARS'!$N$48*(8^2)+'LINEST VARS'!$M$48*($BD$8^2)+'LINEST VARS'!$L$48*($AZ14^2)+'LINEST VARS'!$K$48*(12.73^2)+'LINEST VARS'!$J$48*(8*8)+'LINEST VARS'!$I$48*(8*$BD$8)+'LINEST VARS'!$H$48*(8*$AZ14)+'LINEST VARS'!$G$48*(8*12.73)+'LINEST VARS'!$F$48*(8*$BD$8)+'LINEST VARS'!$E$48*(8*$AZ14)+'LINEST VARS'!$D$48*(8*12.73)+'LINEST VARS'!$C$48*($BD$8*$AZ14)+'LINEST VARS'!$B$48*($BD$8*12.73)+'LINEST VARS'!$A$48*($AZ14*12.73)</f>
        <v>369.99999999999989</v>
      </c>
      <c r="BE14" s="46">
        <f>'LINEST VARS'!$U$48+'LINEST VARS'!$T$48*(8)+'LINEST VARS'!$S$48*(8)+'LINEST VARS'!$R$48*($BE$8)+'LINEST VARS'!$Q$48*($AZ14)+'LINEST VARS'!$P$48*(12.73)+'LINEST VARS'!$O$48*(8^2)+'LINEST VARS'!$N$48*(8^2)+'LINEST VARS'!$M$48*($BE$8^2)+'LINEST VARS'!$L$48*($AZ14^2)+'LINEST VARS'!$K$48*(12.73^2)+'LINEST VARS'!$J$48*(8*8)+'LINEST VARS'!$I$48*(8*$BE$8)+'LINEST VARS'!$H$48*(8*$AZ14)+'LINEST VARS'!$G$48*(8*12.73)+'LINEST VARS'!$F$48*(8*$BE$8)+'LINEST VARS'!$E$48*(8*$AZ14)+'LINEST VARS'!$D$48*(8*12.73)+'LINEST VARS'!$C$48*($BE$8*$AZ14)+'LINEST VARS'!$B$48*($BE$8*12.73)+'LINEST VARS'!$A$48*($AZ14*12.73)</f>
        <v>369.99999999999989</v>
      </c>
      <c r="BF14" s="46">
        <f>'LINEST VARS'!$U$48+'LINEST VARS'!$T$48*(8)+'LINEST VARS'!$S$48*(8)+'LINEST VARS'!$R$48*($BF$8)+'LINEST VARS'!$Q$48*($AZ14)+'LINEST VARS'!$P$48*(12.73)+'LINEST VARS'!$O$48*(8^2)+'LINEST VARS'!$N$48*(8^2)+'LINEST VARS'!$M$48*($BF$8^2)+'LINEST VARS'!$L$48*($AZ14^2)+'LINEST VARS'!$K$48*(12.73^2)+'LINEST VARS'!$J$48*(8*8)+'LINEST VARS'!$I$48*(8*$BF$8)+'LINEST VARS'!$H$48*(8*$AZ14)+'LINEST VARS'!$G$48*(8*12.73)+'LINEST VARS'!$F$48*(8*$BF$8)+'LINEST VARS'!$E$48*(8*$AZ14)+'LINEST VARS'!$D$48*(8*12.73)+'LINEST VARS'!$C$48*($BF$8*$AZ14)+'LINEST VARS'!$B$48*($BF$8*12.73)+'LINEST VARS'!$A$48*($AZ14*12.73)</f>
        <v>369.99999999999989</v>
      </c>
      <c r="BG14" s="46">
        <f>'LINEST VARS'!$U$48+'LINEST VARS'!$T$48*(8)+'LINEST VARS'!$S$48*(8)+'LINEST VARS'!$R$48*($BG$8)+'LINEST VARS'!$Q$48*($AZ14)+'LINEST VARS'!$P$48*(12.73)+'LINEST VARS'!$O$48*(8^2)+'LINEST VARS'!$N$48*(8^2)+'LINEST VARS'!$M$48*($BG$8^2)+'LINEST VARS'!$L$48*($AZ14^2)+'LINEST VARS'!$K$48*(12.73^2)+'LINEST VARS'!$J$48*(8*8)+'LINEST VARS'!$I$48*(8*$BG$8)+'LINEST VARS'!$H$48*(8*$AZ14)+'LINEST VARS'!$G$48*(8*12.73)+'LINEST VARS'!$F$48*(8*$BG$8)+'LINEST VARS'!$E$48*(8*$AZ14)+'LINEST VARS'!$D$48*(8*12.73)+'LINEST VARS'!$C$48*($BG$8*$AZ14)+'LINEST VARS'!$B$48*($BG$8*12.73)+'LINEST VARS'!$A$48*($AZ14*12.73)</f>
        <v>369.99999999999989</v>
      </c>
      <c r="BH14" s="46">
        <f>'LINEST VARS'!$U$48+'LINEST VARS'!$T$48*(8)+'LINEST VARS'!$S$48*(8)+'LINEST VARS'!$R$48*($BH$8)+'LINEST VARS'!$Q$48*($AZ14)+'LINEST VARS'!$P$48*(12.73)+'LINEST VARS'!$O$48*(8^2)+'LINEST VARS'!$N$48*(8^2)+'LINEST VARS'!$M$48*($BH$8^2)+'LINEST VARS'!$L$48*($AZ14^2)+'LINEST VARS'!$K$48*(12.73^2)+'LINEST VARS'!$J$48*(8*8)+'LINEST VARS'!$I$48*(8*$BH$8)+'LINEST VARS'!$H$48*(8*$AZ14)+'LINEST VARS'!$G$48*(8*12.73)+'LINEST VARS'!$F$48*(8*$BH$8)+'LINEST VARS'!$E$48*(8*$AZ14)+'LINEST VARS'!$D$48*(8*12.73)+'LINEST VARS'!$C$48*($BH$8*$AZ14)+'LINEST VARS'!$B$48*($BH$8*12.73)+'LINEST VARS'!$A$48*($AZ14*12.73)</f>
        <v>369.99999999999989</v>
      </c>
      <c r="BI14" s="46">
        <f>'LINEST VARS'!$U$48+'LINEST VARS'!$T$48*(8)+'LINEST VARS'!$S$48*(8)+'LINEST VARS'!$R$48*($BI$8)+'LINEST VARS'!$Q$48*($AZ14)+'LINEST VARS'!$P$48*(12.73)+'LINEST VARS'!$O$48*(8^2)+'LINEST VARS'!$N$48*(8^2)+'LINEST VARS'!$M$48*($BI$8^2)+'LINEST VARS'!$L$48*($AZ14^2)+'LINEST VARS'!$K$48*(12.73^2)+'LINEST VARS'!$J$48*(8*8)+'LINEST VARS'!$I$48*(8*$BI$8)+'LINEST VARS'!$H$48*(8*$AZ14)+'LINEST VARS'!$G$48*(8*12.73)+'LINEST VARS'!$F$48*(8*$BI$8)+'LINEST VARS'!$E$48*(8*$AZ14)+'LINEST VARS'!$D$48*(8*12.73)+'LINEST VARS'!$C$48*($BI$8*$AZ14)+'LINEST VARS'!$B$48*($BI$8*12.73)+'LINEST VARS'!$A$48*($AZ14*12.73)</f>
        <v>369.99999999999989</v>
      </c>
      <c r="BJ14" s="46">
        <f>'LINEST VARS'!$U$48+'LINEST VARS'!$T$48*(8)+'LINEST VARS'!$S$48*(8)+'LINEST VARS'!$R$48*($BJ$8)+'LINEST VARS'!$Q$48*($AZ14)+'LINEST VARS'!$P$48*(12.73)+'LINEST VARS'!$O$48*(8^2)+'LINEST VARS'!$N$48*(8^2)+'LINEST VARS'!$M$48*($BJ$8^2)+'LINEST VARS'!$L$48*($AZ14^2)+'LINEST VARS'!$K$48*(12.73^2)+'LINEST VARS'!$J$48*(8*8)+'LINEST VARS'!$I$48*(8*$BJ$8)+'LINEST VARS'!$H$48*(8*$AZ14)+'LINEST VARS'!$G$48*(8*12.73)+'LINEST VARS'!$F$48*(8*$BJ$8)+'LINEST VARS'!$E$48*(8*$AZ14)+'LINEST VARS'!$D$48*(8*12.73)+'LINEST VARS'!$C$48*($BJ$8*$AZ14)+'LINEST VARS'!$B$48*($BJ$8*12.73)+'LINEST VARS'!$A$48*($AZ14*12.73)</f>
        <v>369.99999999999989</v>
      </c>
      <c r="BK14" s="46">
        <f>'LINEST VARS'!$U$48+'LINEST VARS'!$T$48*(8)+'LINEST VARS'!$S$48*(8)+'LINEST VARS'!$R$48*($BK$8)+'LINEST VARS'!$Q$48*($AZ14)+'LINEST VARS'!$P$48*(12.73)+'LINEST VARS'!$O$48*(8^2)+'LINEST VARS'!$N$48*(8^2)+'LINEST VARS'!$M$48*($BK$8^2)+'LINEST VARS'!$L$48*($AZ14^2)+'LINEST VARS'!$K$48*(12.73^2)+'LINEST VARS'!$J$48*(8*8)+'LINEST VARS'!$I$48*(8*$BK$8)+'LINEST VARS'!$H$48*(8*$AZ14)+'LINEST VARS'!$G$48*(8*12.73)+'LINEST VARS'!$F$48*(8*$BK$8)+'LINEST VARS'!$E$48*(8*$AZ14)+'LINEST VARS'!$D$48*(8*12.73)+'LINEST VARS'!$C$48*($BK$8*$AZ14)+'LINEST VARS'!$B$48*($BK$8*12.73)+'LINEST VARS'!$A$48*($AZ14*12.73)</f>
        <v>369.99999999999989</v>
      </c>
      <c r="BL14" s="46">
        <f>'LINEST VARS'!$U$48+'LINEST VARS'!$T$48*(8)+'LINEST VARS'!$S$48*(8)+'LINEST VARS'!$R$48*($BL$8)+'LINEST VARS'!$Q$48*($AZ14)+'LINEST VARS'!$P$48*(12.73)+'LINEST VARS'!$O$48*(8^2)+'LINEST VARS'!$N$48*(8^2)+'LINEST VARS'!$M$48*($BL$8^2)+'LINEST VARS'!$L$48*($AZ14^2)+'LINEST VARS'!$K$48*(12.73^2)+'LINEST VARS'!$J$48*(8*8)+'LINEST VARS'!$I$48*(8*$BL$8)+'LINEST VARS'!$H$48*(8*$AZ14)+'LINEST VARS'!$G$48*(8*12.73)+'LINEST VARS'!$F$48*(8*$BL$8)+'LINEST VARS'!$E$48*(8*$AZ14)+'LINEST VARS'!$D$48*(8*12.73)+'LINEST VARS'!$C$48*($BL$8*$AZ14)+'LINEST VARS'!$B$48*($BL$8*12.73)+'LINEST VARS'!$A$48*($AZ14*12.73)</f>
        <v>369.99999999999989</v>
      </c>
      <c r="BM14" s="46">
        <f>'LINEST VARS'!$U$48+'LINEST VARS'!$T$48*(8)+'LINEST VARS'!$S$48*(8)+'LINEST VARS'!$R$48*($BM$8)+'LINEST VARS'!$Q$48*($AZ14)+'LINEST VARS'!$P$48*(12.73)+'LINEST VARS'!$O$48*(8^2)+'LINEST VARS'!$N$48*(8^2)+'LINEST VARS'!$M$48*($BM$8^2)+'LINEST VARS'!$L$48*($AZ14^2)+'LINEST VARS'!$K$48*(12.73^2)+'LINEST VARS'!$J$48*(8*8)+'LINEST VARS'!$I$48*(8*$BM$8)+'LINEST VARS'!$H$48*(8*$AZ14)+'LINEST VARS'!$G$48*(8*12.73)+'LINEST VARS'!$F$48*(8*$BM$8)+'LINEST VARS'!$E$48*(8*$AZ14)+'LINEST VARS'!$D$48*(8*12.73)+'LINEST VARS'!$C$48*($BM$8*$AZ14)+'LINEST VARS'!$B$48*($BM$8*12.73)+'LINEST VARS'!$A$48*($AZ14*12.73)</f>
        <v>369.99999999999989</v>
      </c>
      <c r="BN14" s="46">
        <f>'LINEST VARS'!$U$48+'LINEST VARS'!$T$48*(8)+'LINEST VARS'!$S$48*(8)+'LINEST VARS'!$R$48*($BN$8)+'LINEST VARS'!$Q$48*($AZ14)+'LINEST VARS'!$P$48*(12.73)+'LINEST VARS'!$O$48*(8^2)+'LINEST VARS'!$N$48*(8^2)+'LINEST VARS'!$M$48*($BN$8^2)+'LINEST VARS'!$L$48*($AZ14^2)+'LINEST VARS'!$K$48*(12.73^2)+'LINEST VARS'!$J$48*(8*8)+'LINEST VARS'!$I$48*(8*$BN$8)+'LINEST VARS'!$H$48*(8*$AZ14)+'LINEST VARS'!$G$48*(8*12.73)+'LINEST VARS'!$F$48*(8*$BN$8)+'LINEST VARS'!$E$48*(8*$AZ14)+'LINEST VARS'!$D$48*(8*12.73)+'LINEST VARS'!$C$48*($BN$8*$AZ14)+'LINEST VARS'!$B$48*($BN$8*12.73)+'LINEST VARS'!$A$48*($AZ14*12.73)</f>
        <v>369.99999999999994</v>
      </c>
      <c r="BO14" s="46">
        <f>'LINEST VARS'!$U$48+'LINEST VARS'!$T$48*(8)+'LINEST VARS'!$S$48*(8)+'LINEST VARS'!$R$48*($BO$8)+'LINEST VARS'!$Q$48*($AZ14)+'LINEST VARS'!$P$48*(12.73)+'LINEST VARS'!$O$48*(8^2)+'LINEST VARS'!$N$48*(8^2)+'LINEST VARS'!$M$48*($BO$8^2)+'LINEST VARS'!$L$48*($AZ14^2)+'LINEST VARS'!$K$48*(12.73^2)+'LINEST VARS'!$J$48*(8*8)+'LINEST VARS'!$I$48*(8*$BO$8)+'LINEST VARS'!$H$48*(8*$AZ14)+'LINEST VARS'!$G$48*(8*12.73)+'LINEST VARS'!$F$48*(8*$BO$8)+'LINEST VARS'!$E$48*(8*$AZ14)+'LINEST VARS'!$D$48*(8*12.73)+'LINEST VARS'!$C$48*($BO$8*$AZ14)+'LINEST VARS'!$B$48*($BO$8*12.73)+'LINEST VARS'!$A$48*($AZ14*12.73)</f>
        <v>369.99999999999994</v>
      </c>
      <c r="BP14" s="46">
        <f>'LINEST VARS'!$U$48+'LINEST VARS'!$T$48*(8)+'LINEST VARS'!$S$48*(8)+'LINEST VARS'!$R$48*($BP$8)+'LINEST VARS'!$Q$48*($AZ14)+'LINEST VARS'!$P$48*(12.73)+'LINEST VARS'!$O$48*(8^2)+'LINEST VARS'!$N$48*(8^2)+'LINEST VARS'!$M$48*($BP$8^2)+'LINEST VARS'!$L$48*($AZ14^2)+'LINEST VARS'!$K$48*(12.73^2)+'LINEST VARS'!$J$48*(8*8)+'LINEST VARS'!$I$48*(8*$BP$8)+'LINEST VARS'!$H$48*(8*$AZ14)+'LINEST VARS'!$G$48*(8*12.73)+'LINEST VARS'!$F$48*(8*$BP$8)+'LINEST VARS'!$E$48*(8*$AZ14)+'LINEST VARS'!$D$48*(8*12.73)+'LINEST VARS'!$C$48*($BP$8*$AZ14)+'LINEST VARS'!$B$48*($BP$8*12.73)+'LINEST VARS'!$A$48*($AZ14*12.73)</f>
        <v>369.99999999999994</v>
      </c>
      <c r="BQ14" s="46">
        <f>'LINEST VARS'!$U$48+'LINEST VARS'!$T$48*(8)+'LINEST VARS'!$S$48*(8)+'LINEST VARS'!$R$48*($BQ$8)+'LINEST VARS'!$Q$48*($AZ14)+'LINEST VARS'!$P$48*(12.73)+'LINEST VARS'!$O$48*(8^2)+'LINEST VARS'!$N$48*(8^2)+'LINEST VARS'!$M$48*($BQ$8^2)+'LINEST VARS'!$L$48*($AZ14^2)+'LINEST VARS'!$K$48*(12.73^2)+'LINEST VARS'!$J$48*(8*8)+'LINEST VARS'!$I$48*(8*$BQ$8)+'LINEST VARS'!$H$48*(8*$AZ14)+'LINEST VARS'!$G$48*(8*12.73)+'LINEST VARS'!$F$48*(8*$BQ$8)+'LINEST VARS'!$E$48*(8*$AZ14)+'LINEST VARS'!$D$48*(8*12.73)+'LINEST VARS'!$C$48*($BQ$8*$AZ14)+'LINEST VARS'!$B$48*($BQ$8*12.73)+'LINEST VARS'!$A$48*($AZ14*12.73)</f>
        <v>369.99999999999989</v>
      </c>
      <c r="BR14" s="46">
        <f>'LINEST VARS'!$U$48+'LINEST VARS'!$T$48*(8)+'LINEST VARS'!$S$48*(8)+'LINEST VARS'!$R$48*($BR$8)+'LINEST VARS'!$Q$48*($AZ14)+'LINEST VARS'!$P$48*(12.73)+'LINEST VARS'!$O$48*(8^2)+'LINEST VARS'!$N$48*(8^2)+'LINEST VARS'!$M$48*($BR$8^2)+'LINEST VARS'!$L$48*($AZ14^2)+'LINEST VARS'!$K$48*(12.73^2)+'LINEST VARS'!$J$48*(8*8)+'LINEST VARS'!$I$48*(8*$BR$8)+'LINEST VARS'!$H$48*(8*$AZ14)+'LINEST VARS'!$G$48*(8*12.73)+'LINEST VARS'!$F$48*(8*$BR$8)+'LINEST VARS'!$E$48*(8*$AZ14)+'LINEST VARS'!$D$48*(8*12.73)+'LINEST VARS'!$C$48*($BR$8*$AZ14)+'LINEST VARS'!$B$48*($BR$8*12.73)+'LINEST VARS'!$A$48*($AZ14*12.73)</f>
        <v>369.99999999999989</v>
      </c>
      <c r="BS14" s="46">
        <f>'LINEST VARS'!$U$48+'LINEST VARS'!$T$48*(8)+'LINEST VARS'!$S$48*(8)+'LINEST VARS'!$R$48*($BS$8)+'LINEST VARS'!$Q$48*($AZ14)+'LINEST VARS'!$P$48*(12.73)+'LINEST VARS'!$O$48*(8^2)+'LINEST VARS'!$N$48*(8^2)+'LINEST VARS'!$M$48*($BS$8^2)+'LINEST VARS'!$L$48*($AZ14^2)+'LINEST VARS'!$K$48*(12.73^2)+'LINEST VARS'!$J$48*(8*8)+'LINEST VARS'!$I$48*(8*$BS$8)+'LINEST VARS'!$H$48*(8*$AZ14)+'LINEST VARS'!$G$48*(8*12.73)+'LINEST VARS'!$F$48*(8*$BS$8)+'LINEST VARS'!$E$48*(8*$AZ14)+'LINEST VARS'!$D$48*(8*12.73)+'LINEST VARS'!$C$48*($BS$8*$AZ14)+'LINEST VARS'!$B$48*($BS$8*12.73)+'LINEST VARS'!$A$48*($AZ14*12.73)</f>
        <v>369.99999999999989</v>
      </c>
      <c r="BT14" s="46">
        <f>'LINEST VARS'!$U$48+'LINEST VARS'!$T$48*(8)+'LINEST VARS'!$S$48*(8)+'LINEST VARS'!$R$48*($BT$8)+'LINEST VARS'!$Q$48*($AZ14)+'LINEST VARS'!$P$48*(12.73)+'LINEST VARS'!$O$48*(8^2)+'LINEST VARS'!$N$48*(8^2)+'LINEST VARS'!$M$48*($BT$8^2)+'LINEST VARS'!$L$48*($AZ14^2)+'LINEST VARS'!$K$48*(12.73^2)+'LINEST VARS'!$J$48*(8*8)+'LINEST VARS'!$I$48*(8*$BT$8)+'LINEST VARS'!$H$48*(8*$AZ14)+'LINEST VARS'!$G$48*(8*12.73)+'LINEST VARS'!$F$48*(8*$BT$8)+'LINEST VARS'!$E$48*(8*$AZ14)+'LINEST VARS'!$D$48*(8*12.73)+'LINEST VARS'!$C$48*($BT$8*$AZ14)+'LINEST VARS'!$B$48*($BT$8*12.73)+'LINEST VARS'!$A$48*($AZ14*12.73)</f>
        <v>369.99999999999989</v>
      </c>
      <c r="BU14" s="47">
        <f>'LINEST VARS'!$U$48+'LINEST VARS'!$T$48*(8)+'LINEST VARS'!$S$48*(8)+'LINEST VARS'!$R$48*($BU$8)+'LINEST VARS'!$Q$48*($AZ14)+'LINEST VARS'!$P$48*(12.73)+'LINEST VARS'!$O$48*(8^2)+'LINEST VARS'!$N$48*(8^2)+'LINEST VARS'!$M$48*($BU$8^2)+'LINEST VARS'!$L$48*($AZ14^2)+'LINEST VARS'!$K$48*(12.73^2)+'LINEST VARS'!$J$48*(8*8)+'LINEST VARS'!$I$48*(8*$BU$8)+'LINEST VARS'!$H$48*(8*$AZ14)+'LINEST VARS'!$G$48*(8*12.73)+'LINEST VARS'!$F$48*(8*$BU$8)+'LINEST VARS'!$E$48*(8*$AZ14)+'LINEST VARS'!$D$48*(8*12.73)+'LINEST VARS'!$C$48*($BU$8*$AZ14)+'LINEST VARS'!$B$48*($BU$8*12.73)+'LINEST VARS'!$A$48*($AZ14*12.73)</f>
        <v>369.99999999999989</v>
      </c>
      <c r="BX14" s="45">
        <v>0.25</v>
      </c>
      <c r="BY14" s="46">
        <f>'LINEST VARS'!$U$50+'LINEST VARS'!$T$50*(8)+'LINEST VARS'!$S$50*(8)+'LINEST VARS'!$R$50*($BY$8)+'LINEST VARS'!$Q$50*($BX14)+'LINEST VARS'!$P$50*(12.73)+'LINEST VARS'!$O$50*(8^2)+'LINEST VARS'!$N$50*(8^2)+'LINEST VARS'!$M$50*($BY$8^2)+'LINEST VARS'!$L$50*($BX14^2)+'LINEST VARS'!$K$50*(12.73^2)+'LINEST VARS'!$J$50*(8*8)+'LINEST VARS'!$I$50*(8*$BY$8)+'LINEST VARS'!$H$50*(8*$BX14)+'LINEST VARS'!$G$50*(8*12.73)+'LINEST VARS'!$F$50*(8*$BY$8)+'LINEST VARS'!$E$50*(8*$BX14)+'LINEST VARS'!$D$50*(8*12.73)+'LINEST VARS'!$C$50*($BY$8*$BX14)+'LINEST VARS'!$B$50*($BY$8*12.73)+'LINEST VARS'!$A$50*($BX14*12.73)</f>
        <v>331.99999999999989</v>
      </c>
      <c r="BZ14" s="46">
        <f>'LINEST VARS'!$U$50+'LINEST VARS'!$T$50*(8)+'LINEST VARS'!$S$50*(8)+'LINEST VARS'!$R$50*($BZ$8)+'LINEST VARS'!$Q$50*($BX14)+'LINEST VARS'!$P$50*(12.73)+'LINEST VARS'!$O$50*(8^2)+'LINEST VARS'!$N$50*(8^2)+'LINEST VARS'!$M$50*($BZ$8^2)+'LINEST VARS'!$L$50*($BX14^2)+'LINEST VARS'!$K$50*(12.73^2)+'LINEST VARS'!$J$50*(8*8)+'LINEST VARS'!$I$50*(8*$BZ$8)+'LINEST VARS'!$H$50*(8*$BX14)+'LINEST VARS'!$G$50*(8*12.73)+'LINEST VARS'!$F$50*(8*$BZ$8)+'LINEST VARS'!$E$50*(8*$BX14)+'LINEST VARS'!$D$50*(8*12.73)+'LINEST VARS'!$C$50*($BZ$8*$BX14)+'LINEST VARS'!$B$50*($BZ$8*12.73)+'LINEST VARS'!$A$50*($BX14*12.73)</f>
        <v>331.99999999999989</v>
      </c>
      <c r="CA14" s="46">
        <f>'LINEST VARS'!$U$50+'LINEST VARS'!$T$50*(8)+'LINEST VARS'!$S$50*(8)+'LINEST VARS'!$R$50*($CA$8)+'LINEST VARS'!$Q$50*($BX14)+'LINEST VARS'!$P$50*(12.73)+'LINEST VARS'!$O$50*(8^2)+'LINEST VARS'!$N$50*(8^2)+'LINEST VARS'!$M$50*($CA$8^2)+'LINEST VARS'!$L$50*($BX14^2)+'LINEST VARS'!$K$50*(12.73^2)+'LINEST VARS'!$J$50*(8*8)+'LINEST VARS'!$I$50*(8*$CA$8)+'LINEST VARS'!$H$50*(8*$BX14)+'LINEST VARS'!$G$50*(8*12.73)+'LINEST VARS'!$F$50*(8*$CA$8)+'LINEST VARS'!$E$50*(8*$BX14)+'LINEST VARS'!$D$50*(8*12.73)+'LINEST VARS'!$C$50*($CA$8*$BX14)+'LINEST VARS'!$B$50*($CA$8*12.73)+'LINEST VARS'!$A$50*($BX14*12.73)</f>
        <v>331.99999999999989</v>
      </c>
      <c r="CB14" s="46">
        <f>'LINEST VARS'!$U$50+'LINEST VARS'!$T$50*(8)+'LINEST VARS'!$S$50*(8)+'LINEST VARS'!$R$50*($CB$8)+'LINEST VARS'!$Q$50*($BX14)+'LINEST VARS'!$P$50*(12.73)+'LINEST VARS'!$O$50*(8^2)+'LINEST VARS'!$N$50*(8^2)+'LINEST VARS'!$M$50*($CB$8^2)+'LINEST VARS'!$L$50*($BX14^2)+'LINEST VARS'!$K$50*(12.73^2)+'LINEST VARS'!$J$50*(8*8)+'LINEST VARS'!$I$50*(8*$CB$8)+'LINEST VARS'!$H$50*(8*$BX14)+'LINEST VARS'!$G$50*(8*12.73)+'LINEST VARS'!$F$50*(8*$CB$8)+'LINEST VARS'!$E$50*(8*$BX14)+'LINEST VARS'!$D$50*(8*12.73)+'LINEST VARS'!$C$50*($CB$8*$BX14)+'LINEST VARS'!$B$50*($CB$8*12.73)+'LINEST VARS'!$A$50*($BX14*12.73)</f>
        <v>331.99999999999989</v>
      </c>
      <c r="CC14" s="46">
        <f>'LINEST VARS'!$U$50+'LINEST VARS'!$T$50*(8)+'LINEST VARS'!$S$50*(8)+'LINEST VARS'!$R$50*($CC$8)+'LINEST VARS'!$Q$50*($BX14)+'LINEST VARS'!$P$50*(12.73)+'LINEST VARS'!$O$50*(8^2)+'LINEST VARS'!$N$50*(8^2)+'LINEST VARS'!$M$50*($CC$8^2)+'LINEST VARS'!$L$50*($BX14^2)+'LINEST VARS'!$K$50*(12.73^2)+'LINEST VARS'!$J$50*(8*8)+'LINEST VARS'!$I$50*(8*$CC$8)+'LINEST VARS'!$H$50*(8*$BX14)+'LINEST VARS'!$G$50*(8*12.73)+'LINEST VARS'!$F$50*(8*$CC$8)+'LINEST VARS'!$E$50*(8*$BX14)+'LINEST VARS'!$D$50*(8*12.73)+'LINEST VARS'!$C$50*($CC$8*$BX14)+'LINEST VARS'!$B$50*($CC$8*12.73)+'LINEST VARS'!$A$50*($BX14*12.73)</f>
        <v>331.99999999999989</v>
      </c>
      <c r="CD14" s="46">
        <f>'LINEST VARS'!$U$50+'LINEST VARS'!$T$50*(8)+'LINEST VARS'!$S$50*(8)+'LINEST VARS'!$R$50*($CD$8)+'LINEST VARS'!$Q$50*($BX14)+'LINEST VARS'!$P$50*(12.73)+'LINEST VARS'!$O$50*(8^2)+'LINEST VARS'!$N$50*(8^2)+'LINEST VARS'!$M$50*($CD$8^2)+'LINEST VARS'!$L$50*($BX14^2)+'LINEST VARS'!$K$50*(12.73^2)+'LINEST VARS'!$J$50*(8*8)+'LINEST VARS'!$I$50*(8*$CD$8)+'LINEST VARS'!$H$50*(8*$BX14)+'LINEST VARS'!$G$50*(8*12.73)+'LINEST VARS'!$F$50*(8*$CD$8)+'LINEST VARS'!$E$50*(8*$BX14)+'LINEST VARS'!$D$50*(8*12.73)+'LINEST VARS'!$C$50*($CD$8*$BX14)+'LINEST VARS'!$B$50*($CD$8*12.73)+'LINEST VARS'!$A$50*($BX14*12.73)</f>
        <v>331.99999999999989</v>
      </c>
      <c r="CE14" s="46">
        <f>'LINEST VARS'!$U$50+'LINEST VARS'!$T$50*(8)+'LINEST VARS'!$S$50*(8)+'LINEST VARS'!$R$50*($CE$8)+'LINEST VARS'!$Q$50*($BX14)+'LINEST VARS'!$P$50*(12.73)+'LINEST VARS'!$O$50*(8^2)+'LINEST VARS'!$N$50*(8^2)+'LINEST VARS'!$M$50*($CE$8^2)+'LINEST VARS'!$L$50*($BX14^2)+'LINEST VARS'!$K$50*(12.73^2)+'LINEST VARS'!$J$50*(8*8)+'LINEST VARS'!$I$50*(8*$CE$8)+'LINEST VARS'!$H$50*(8*$BX14)+'LINEST VARS'!$G$50*(8*12.73)+'LINEST VARS'!$F$50*(8*$CE$8)+'LINEST VARS'!$E$50*(8*$BX14)+'LINEST VARS'!$D$50*(8*12.73)+'LINEST VARS'!$C$50*($CE$8*$BX14)+'LINEST VARS'!$B$50*($CE$8*12.73)+'LINEST VARS'!$A$50*($BX14*12.73)</f>
        <v>331.99999999999989</v>
      </c>
      <c r="CF14" s="46">
        <f>'LINEST VARS'!$U$50+'LINEST VARS'!$T$50*(8)+'LINEST VARS'!$S$50*(8)+'LINEST VARS'!$R$50*($CF$8)+'LINEST VARS'!$Q$50*($BX14)+'LINEST VARS'!$P$50*(12.73)+'LINEST VARS'!$O$50*(8^2)+'LINEST VARS'!$N$50*(8^2)+'LINEST VARS'!$M$50*($CF$8^2)+'LINEST VARS'!$L$50*($BX14^2)+'LINEST VARS'!$K$50*(12.73^2)+'LINEST VARS'!$J$50*(8*8)+'LINEST VARS'!$I$50*(8*$CF$8)+'LINEST VARS'!$H$50*(8*$BX14)+'LINEST VARS'!$G$50*(8*12.73)+'LINEST VARS'!$F$50*(8*$CF$8)+'LINEST VARS'!$E$50*(8*$BX14)+'LINEST VARS'!$D$50*(8*12.73)+'LINEST VARS'!$C$50*($CF$8*$BX14)+'LINEST VARS'!$B$50*($CF$8*12.73)+'LINEST VARS'!$A$50*($BX14*12.73)</f>
        <v>331.99999999999989</v>
      </c>
      <c r="CG14" s="46">
        <f>'LINEST VARS'!$U$50+'LINEST VARS'!$T$50*(8)+'LINEST VARS'!$S$50*(8)+'LINEST VARS'!$R$50*($CG$8)+'LINEST VARS'!$Q$50*($BX14)+'LINEST VARS'!$P$50*(12.73)+'LINEST VARS'!$O$50*(8^2)+'LINEST VARS'!$N$50*(8^2)+'LINEST VARS'!$M$50*($CG$8^2)+'LINEST VARS'!$L$50*($BX14^2)+'LINEST VARS'!$K$50*(12.73^2)+'LINEST VARS'!$J$50*(8*8)+'LINEST VARS'!$I$50*(8*$CG$8)+'LINEST VARS'!$H$50*(8*$BX14)+'LINEST VARS'!$G$50*(8*12.73)+'LINEST VARS'!$F$50*(8*$CG$8)+'LINEST VARS'!$E$50*(8*$BX14)+'LINEST VARS'!$D$50*(8*12.73)+'LINEST VARS'!$C$50*($CG$8*$BX14)+'LINEST VARS'!$B$50*($CG$8*12.73)+'LINEST VARS'!$A$50*($BX14*12.73)</f>
        <v>331.99999999999989</v>
      </c>
      <c r="CH14" s="46">
        <f>'LINEST VARS'!$U$50+'LINEST VARS'!$T$50*(8)+'LINEST VARS'!$S$50*(8)+'LINEST VARS'!$R$50*($CH$8)+'LINEST VARS'!$Q$50*($BX14)+'LINEST VARS'!$P$50*(12.73)+'LINEST VARS'!$O$50*(8^2)+'LINEST VARS'!$N$50*(8^2)+'LINEST VARS'!$M$50*($CH$8^2)+'LINEST VARS'!$L$50*($BX14^2)+'LINEST VARS'!$K$50*(12.73^2)+'LINEST VARS'!$J$50*(8*8)+'LINEST VARS'!$I$50*(8*$CH$8)+'LINEST VARS'!$H$50*(8*$BX14)+'LINEST VARS'!$G$50*(8*12.73)+'LINEST VARS'!$F$50*(8*$CH$8)+'LINEST VARS'!$E$50*(8*$BX14)+'LINEST VARS'!$D$50*(8*12.73)+'LINEST VARS'!$C$50*($CH$8*$BX14)+'LINEST VARS'!$B$50*($CH$8*12.73)+'LINEST VARS'!$A$50*($BX14*12.73)</f>
        <v>331.99999999999989</v>
      </c>
      <c r="CI14" s="46">
        <f>'LINEST VARS'!$U$50+'LINEST VARS'!$T$50*(8)+'LINEST VARS'!$S$50*(8)+'LINEST VARS'!$R$50*($CI$8)+'LINEST VARS'!$Q$50*($BX14)+'LINEST VARS'!$P$50*(12.73)+'LINEST VARS'!$O$50*(8^2)+'LINEST VARS'!$N$50*(8^2)+'LINEST VARS'!$M$50*($CI$8^2)+'LINEST VARS'!$L$50*($BX14^2)+'LINEST VARS'!$K$50*(12.73^2)+'LINEST VARS'!$J$50*(8*8)+'LINEST VARS'!$I$50*(8*$CI$8)+'LINEST VARS'!$H$50*(8*$BX14)+'LINEST VARS'!$G$50*(8*12.73)+'LINEST VARS'!$F$50*(8*$CI$8)+'LINEST VARS'!$E$50*(8*$BX14)+'LINEST VARS'!$D$50*(8*12.73)+'LINEST VARS'!$C$50*($CI$8*$BX14)+'LINEST VARS'!$B$50*($CI$8*12.73)+'LINEST VARS'!$A$50*($BX14*12.73)</f>
        <v>331.99999999999989</v>
      </c>
      <c r="CJ14" s="46">
        <f>'LINEST VARS'!$U$50+'LINEST VARS'!$T$50*(8)+'LINEST VARS'!$S$50*(8)+'LINEST VARS'!$R$50*($CJ$8)+'LINEST VARS'!$Q$50*($BX14)+'LINEST VARS'!$P$50*(12.73)+'LINEST VARS'!$O$50*(8^2)+'LINEST VARS'!$N$50*(8^2)+'LINEST VARS'!$M$50*($CJ$8^2)+'LINEST VARS'!$L$50*($BX14^2)+'LINEST VARS'!$K$50*(12.73^2)+'LINEST VARS'!$J$50*(8*8)+'LINEST VARS'!$I$50*(8*$CJ$8)+'LINEST VARS'!$H$50*(8*$BX14)+'LINEST VARS'!$G$50*(8*12.73)+'LINEST VARS'!$F$50*(8*$CJ$8)+'LINEST VARS'!$E$50*(8*$BX14)+'LINEST VARS'!$D$50*(8*12.73)+'LINEST VARS'!$C$50*($CJ$8*$BX14)+'LINEST VARS'!$B$50*($CJ$8*12.73)+'LINEST VARS'!$A$50*($BX14*12.73)</f>
        <v>331.99999999999989</v>
      </c>
      <c r="CK14" s="46">
        <f>'LINEST VARS'!$U$50+'LINEST VARS'!$T$50*(8)+'LINEST VARS'!$S$50*(8)+'LINEST VARS'!$R$50*($CK$8)+'LINEST VARS'!$Q$50*($BX14)+'LINEST VARS'!$P$50*(12.73)+'LINEST VARS'!$O$50*(8^2)+'LINEST VARS'!$N$50*(8^2)+'LINEST VARS'!$M$50*($CK$8^2)+'LINEST VARS'!$L$50*($BX14^2)+'LINEST VARS'!$K$50*(12.73^2)+'LINEST VARS'!$J$50*(8*8)+'LINEST VARS'!$I$50*(8*$CK$8)+'LINEST VARS'!$H$50*(8*$BX14)+'LINEST VARS'!$G$50*(8*12.73)+'LINEST VARS'!$F$50*(8*$CK$8)+'LINEST VARS'!$E$50*(8*$BX14)+'LINEST VARS'!$D$50*(8*12.73)+'LINEST VARS'!$C$50*($CK$8*$BX14)+'LINEST VARS'!$B$50*($CK$8*12.73)+'LINEST VARS'!$A$50*($BX14*12.73)</f>
        <v>331.99999999999989</v>
      </c>
      <c r="CL14" s="46">
        <f>'LINEST VARS'!$U$50+'LINEST VARS'!$T$50*(8)+'LINEST VARS'!$S$50*(8)+'LINEST VARS'!$R$50*($CL$8)+'LINEST VARS'!$Q$50*($BX14)+'LINEST VARS'!$P$50*(12.73)+'LINEST VARS'!$O$50*(8^2)+'LINEST VARS'!$N$50*(8^2)+'LINEST VARS'!$M$50*($CL$8^2)+'LINEST VARS'!$L$50*($BX14^2)+'LINEST VARS'!$K$50*(12.73^2)+'LINEST VARS'!$J$50*(8*8)+'LINEST VARS'!$I$50*(8*$CL$8)+'LINEST VARS'!$H$50*(8*$BX14)+'LINEST VARS'!$G$50*(8*12.73)+'LINEST VARS'!$F$50*(8*$CL$8)+'LINEST VARS'!$E$50*(8*$BX14)+'LINEST VARS'!$D$50*(8*12.73)+'LINEST VARS'!$C$50*($CL$8*$BX14)+'LINEST VARS'!$B$50*($CL$8*12.73)+'LINEST VARS'!$A$50*($BX14*12.73)</f>
        <v>331.99999999999989</v>
      </c>
      <c r="CM14" s="46">
        <f>'LINEST VARS'!$U$50+'LINEST VARS'!$T$50*(8)+'LINEST VARS'!$S$50*(8)+'LINEST VARS'!$R$50*($CM$8)+'LINEST VARS'!$Q$50*($BX14)+'LINEST VARS'!$P$50*(12.73)+'LINEST VARS'!$O$50*(8^2)+'LINEST VARS'!$N$50*(8^2)+'LINEST VARS'!$M$50*($CM$8^2)+'LINEST VARS'!$L$50*($BX14^2)+'LINEST VARS'!$K$50*(12.73^2)+'LINEST VARS'!$J$50*(8*8)+'LINEST VARS'!$I$50*(8*$CM$8)+'LINEST VARS'!$H$50*(8*$BX14)+'LINEST VARS'!$G$50*(8*12.73)+'LINEST VARS'!$F$50*(8*$CM$8)+'LINEST VARS'!$E$50*(8*$BX14)+'LINEST VARS'!$D$50*(8*12.73)+'LINEST VARS'!$C$50*($CM$8*$BX14)+'LINEST VARS'!$B$50*($CM$8*12.73)+'LINEST VARS'!$A$50*($BX14*12.73)</f>
        <v>331.99999999999989</v>
      </c>
      <c r="CN14" s="46">
        <f>'LINEST VARS'!$U$50+'LINEST VARS'!$T$50*(8)+'LINEST VARS'!$S$50*(8)+'LINEST VARS'!$R$50*($CN$8)+'LINEST VARS'!$Q$50*($BX14)+'LINEST VARS'!$P$50*(12.73)+'LINEST VARS'!$O$50*(8^2)+'LINEST VARS'!$N$50*(8^2)+'LINEST VARS'!$M$50*($CN$8^2)+'LINEST VARS'!$L$50*($BX14^2)+'LINEST VARS'!$K$50*(12.73^2)+'LINEST VARS'!$J$50*(8*8)+'LINEST VARS'!$I$50*(8*$CN$8)+'LINEST VARS'!$H$50*(8*$BX14)+'LINEST VARS'!$G$50*(8*12.73)+'LINEST VARS'!$F$50*(8*$CN$8)+'LINEST VARS'!$E$50*(8*$BX14)+'LINEST VARS'!$D$50*(8*12.73)+'LINEST VARS'!$C$50*($CN$8*$BX14)+'LINEST VARS'!$B$50*($CN$8*12.73)+'LINEST VARS'!$A$50*($BX14*12.73)</f>
        <v>331.99999999999989</v>
      </c>
      <c r="CO14" s="46">
        <f>'LINEST VARS'!$U$50+'LINEST VARS'!$T$50*(8)+'LINEST VARS'!$S$50*(8)+'LINEST VARS'!$R$50*($CO$8)+'LINEST VARS'!$Q$50*($BX14)+'LINEST VARS'!$P$50*(12.73)+'LINEST VARS'!$O$50*(8^2)+'LINEST VARS'!$N$50*(8^2)+'LINEST VARS'!$M$50*($CO$8^2)+'LINEST VARS'!$L$50*($BX14^2)+'LINEST VARS'!$K$50*(12.73^2)+'LINEST VARS'!$J$50*(8*8)+'LINEST VARS'!$I$50*(8*$CO$8)+'LINEST VARS'!$H$50*(8*$BX14)+'LINEST VARS'!$G$50*(8*12.73)+'LINEST VARS'!$F$50*(8*$CO$8)+'LINEST VARS'!$E$50*(8*$BX14)+'LINEST VARS'!$D$50*(8*12.73)+'LINEST VARS'!$C$50*($CO$8*$BX14)+'LINEST VARS'!$B$50*($CO$8*12.73)+'LINEST VARS'!$A$50*($BX14*12.73)</f>
        <v>331.99999999999989</v>
      </c>
      <c r="CP14" s="46">
        <f>'LINEST VARS'!$U$50+'LINEST VARS'!$T$50*(8)+'LINEST VARS'!$S$50*(8)+'LINEST VARS'!$R$50*($CP$8)+'LINEST VARS'!$Q$50*($BX14)+'LINEST VARS'!$P$50*(12.73)+'LINEST VARS'!$O$50*(8^2)+'LINEST VARS'!$N$50*(8^2)+'LINEST VARS'!$M$50*($CP$8^2)+'LINEST VARS'!$L$50*($BX14^2)+'LINEST VARS'!$K$50*(12.73^2)+'LINEST VARS'!$J$50*(8*8)+'LINEST VARS'!$I$50*(8*$CP$8)+'LINEST VARS'!$H$50*(8*$BX14)+'LINEST VARS'!$G$50*(8*12.73)+'LINEST VARS'!$F$50*(8*$CP$8)+'LINEST VARS'!$E$50*(8*$BX14)+'LINEST VARS'!$D$50*(8*12.73)+'LINEST VARS'!$C$50*($CP$8*$BX14)+'LINEST VARS'!$B$50*($CP$8*12.73)+'LINEST VARS'!$A$50*($BX14*12.73)</f>
        <v>331.99999999999989</v>
      </c>
      <c r="CQ14" s="46">
        <f>'LINEST VARS'!$U$50+'LINEST VARS'!$T$50*(8)+'LINEST VARS'!$S$50*(8)+'LINEST VARS'!$R$50*($CQ$8)+'LINEST VARS'!$Q$50*($BX14)+'LINEST VARS'!$P$50*(12.73)+'LINEST VARS'!$O$50*(8^2)+'LINEST VARS'!$N$50*(8^2)+'LINEST VARS'!$M$50*($CQ$8^2)+'LINEST VARS'!$L$50*($BX14^2)+'LINEST VARS'!$K$50*(12.73^2)+'LINEST VARS'!$J$50*(8*8)+'LINEST VARS'!$I$50*(8*$CQ$8)+'LINEST VARS'!$H$50*(8*$BX14)+'LINEST VARS'!$G$50*(8*12.73)+'LINEST VARS'!$F$50*(8*$CQ$8)+'LINEST VARS'!$E$50*(8*$BX14)+'LINEST VARS'!$D$50*(8*12.73)+'LINEST VARS'!$C$50*($CQ$8*$BX14)+'LINEST VARS'!$B$50*($CQ$8*12.73)+'LINEST VARS'!$A$50*($BX14*12.73)</f>
        <v>331.99999999999989</v>
      </c>
      <c r="CR14" s="46">
        <f>'LINEST VARS'!$U$50+'LINEST VARS'!$T$50*(8)+'LINEST VARS'!$S$50*(8)+'LINEST VARS'!$R$50*($CR$8)+'LINEST VARS'!$Q$50*($BX14)+'LINEST VARS'!$P$50*(12.73)+'LINEST VARS'!$O$50*(8^2)+'LINEST VARS'!$N$50*(8^2)+'LINEST VARS'!$M$50*($CR$8^2)+'LINEST VARS'!$L$50*($BX14^2)+'LINEST VARS'!$K$50*(12.73^2)+'LINEST VARS'!$J$50*(8*8)+'LINEST VARS'!$I$50*(8*$CR$8)+'LINEST VARS'!$H$50*(8*$BX14)+'LINEST VARS'!$G$50*(8*12.73)+'LINEST VARS'!$F$50*(8*$CR$8)+'LINEST VARS'!$E$50*(8*$BX14)+'LINEST VARS'!$D$50*(8*12.73)+'LINEST VARS'!$C$50*($CR$8*$BX14)+'LINEST VARS'!$B$50*($CR$8*12.73)+'LINEST VARS'!$A$50*($BX14*12.73)</f>
        <v>331.99999999999989</v>
      </c>
      <c r="CS14" s="47">
        <f>'LINEST VARS'!$U$50+'LINEST VARS'!$T$50*(8)+'LINEST VARS'!$S$50*(8)+'LINEST VARS'!$R$50*($CS$8)+'LINEST VARS'!$Q$50*($BX14)+'LINEST VARS'!$P$50*(12.73)+'LINEST VARS'!$O$50*(8^2)+'LINEST VARS'!$N$50*(8^2)+'LINEST VARS'!$M$50*($CS$8^2)+'LINEST VARS'!$L$50*($BX14^2)+'LINEST VARS'!$K$50*(12.73^2)+'LINEST VARS'!$J$50*(8*8)+'LINEST VARS'!$I$50*(8*$CS$8)+'LINEST VARS'!$H$50*(8*$BX14)+'LINEST VARS'!$G$50*(8*12.73)+'LINEST VARS'!$F$50*(8*$CS$8)+'LINEST VARS'!$E$50*(8*$BX14)+'LINEST VARS'!$D$50*(8*12.73)+'LINEST VARS'!$C$50*($CS$8*$BX14)+'LINEST VARS'!$B$50*($CS$8*12.73)+'LINEST VARS'!$A$50*($BX14*12.73)</f>
        <v>331.99999999999989</v>
      </c>
      <c r="CX14" s="45">
        <v>6.4974999999999996</v>
      </c>
      <c r="CY14" s="46">
        <f>'LINEST VARS'!$U$48+'LINEST VARS'!$T$48*(8)+'LINEST VARS'!$S$48*(8)+'LINEST VARS'!$R$48*($CY$8)+'LINEST VARS'!$Q$48*(0.5)+'LINEST VARS'!$P$48*($CX14)+'LINEST VARS'!$O$48*(8^2)+'LINEST VARS'!$N$48*(8^2)+'LINEST VARS'!$M$48*($CY$8^2)+'LINEST VARS'!$L$48*(0.5^2)+'LINEST VARS'!$K$48*($CX14^2)+'LINEST VARS'!$J$48*(8*8)+'LINEST VARS'!$I$48*(8*$CY$8)+'LINEST VARS'!$H$48*(8*0.5)+'LINEST VARS'!$G$48*(8*$CX14)+'LINEST VARS'!$F$48*(8*$CY$8)+'LINEST VARS'!$E$48*(8*0.5)+'LINEST VARS'!$D$48*(8*$CX14)+'LINEST VARS'!$C$48*($CY$8*0.5)+'LINEST VARS'!$B$48*($CY$8*$CX14)+'LINEST VARS'!$A$48*(0.5*$CX14)</f>
        <v>369.99999999999989</v>
      </c>
      <c r="CZ14" s="46">
        <f>'LINEST VARS'!$U$48+'LINEST VARS'!$T$48*(8)+'LINEST VARS'!$S$48*(8)+'LINEST VARS'!$R$48*($CZ$8)+'LINEST VARS'!$Q$48*(0.5)+'LINEST VARS'!$P$48*($CX14)+'LINEST VARS'!$O$48*(8^2)+'LINEST VARS'!$N$48*(8^2)+'LINEST VARS'!$M$48*($CZ$8^2)+'LINEST VARS'!$L$48*(0.5^2)+'LINEST VARS'!$K$48*($CX14^2)+'LINEST VARS'!$J$48*(8*8)+'LINEST VARS'!$I$48*(8*$CZ$8)+'LINEST VARS'!$H$48*(8*0.5)+'LINEST VARS'!$G$48*(8*$CX14)+'LINEST VARS'!$F$48*(8*$CZ$8)+'LINEST VARS'!$E$48*(8*0.5)+'LINEST VARS'!$D$48*(8*$CX14)+'LINEST VARS'!$C$48*($CZ$8*0.5)+'LINEST VARS'!$B$48*($CZ$8*$CX14)+'LINEST VARS'!$A$48*(0.5*$CX14)</f>
        <v>369.99999999999989</v>
      </c>
      <c r="DA14" s="46">
        <f>'LINEST VARS'!$U$48+'LINEST VARS'!$T$48*(8)+'LINEST VARS'!$S$48*(8)+'LINEST VARS'!$R$48*($DA$8)+'LINEST VARS'!$Q$48*(0.5)+'LINEST VARS'!$P$48*($CX14)+'LINEST VARS'!$O$48*(8^2)+'LINEST VARS'!$N$48*(8^2)+'LINEST VARS'!$M$48*($DA$8^2)+'LINEST VARS'!$L$48*(0.5^2)+'LINEST VARS'!$K$48*($CX14^2)+'LINEST VARS'!$J$48*(8*8)+'LINEST VARS'!$I$48*(8*$DA$8)+'LINEST VARS'!$H$48*(8*0.5)+'LINEST VARS'!$G$48*(8*$CX14)+'LINEST VARS'!$F$48*(8*$DA$8)+'LINEST VARS'!$E$48*(8*0.5)+'LINEST VARS'!$D$48*(8*$CX14)+'LINEST VARS'!$C$48*($DA$8*0.5)+'LINEST VARS'!$B$48*($DA$8*$CX14)+'LINEST VARS'!$A$48*(0.5*$CX14)</f>
        <v>369.99999999999989</v>
      </c>
      <c r="DB14" s="46">
        <f>'LINEST VARS'!$U$48+'LINEST VARS'!$T$48*(8)+'LINEST VARS'!$S$48*(8)+'LINEST VARS'!$R$48*($DB$8)+'LINEST VARS'!$Q$48*(0.5)+'LINEST VARS'!$P$48*($CX14)+'LINEST VARS'!$O$48*(8^2)+'LINEST VARS'!$N$48*(8^2)+'LINEST VARS'!$M$48*($DB$8^2)+'LINEST VARS'!$L$48*(0.5^2)+'LINEST VARS'!$K$48*($CX14^2)+'LINEST VARS'!$J$48*(8*8)+'LINEST VARS'!$I$48*(8*$DB$8)+'LINEST VARS'!$H$48*(8*0.5)+'LINEST VARS'!$G$48*(8*$CX14)+'LINEST VARS'!$F$48*(8*$DB$8)+'LINEST VARS'!$E$48*(8*0.5)+'LINEST VARS'!$D$48*(8*$CX14)+'LINEST VARS'!$C$48*($DB$8*0.5)+'LINEST VARS'!$B$48*($DB$8*$CX14)+'LINEST VARS'!$A$48*(0.5*$CX14)</f>
        <v>369.99999999999989</v>
      </c>
      <c r="DC14" s="46">
        <f>'LINEST VARS'!$U$48+'LINEST VARS'!$T$48*(8)+'LINEST VARS'!$S$48*(8)+'LINEST VARS'!$R$48*($DC$8)+'LINEST VARS'!$Q$48*(0.5)+'LINEST VARS'!$P$48*($CX14)+'LINEST VARS'!$O$48*(8^2)+'LINEST VARS'!$N$48*(8^2)+'LINEST VARS'!$M$48*($DC$8^2)+'LINEST VARS'!$L$48*(0.5^2)+'LINEST VARS'!$K$48*($CX14^2)+'LINEST VARS'!$J$48*(8*8)+'LINEST VARS'!$I$48*(8*$DC$8)+'LINEST VARS'!$H$48*(8*0.5)+'LINEST VARS'!$G$48*(8*$CX14)+'LINEST VARS'!$F$48*(8*$DC$8)+'LINEST VARS'!$E$48*(8*0.5)+'LINEST VARS'!$D$48*(8*$CX14)+'LINEST VARS'!$C$48*($DC$8*0.5)+'LINEST VARS'!$B$48*($DC$8*$CX14)+'LINEST VARS'!$A$48*(0.5*$CX14)</f>
        <v>369.99999999999989</v>
      </c>
      <c r="DD14" s="46">
        <f>'LINEST VARS'!$U$48+'LINEST VARS'!$T$48*(8)+'LINEST VARS'!$S$48*(8)+'LINEST VARS'!$R$48*($DD$8)+'LINEST VARS'!$Q$48*(0.5)+'LINEST VARS'!$P$48*($CX14)+'LINEST VARS'!$O$48*(8^2)+'LINEST VARS'!$N$48*(8^2)+'LINEST VARS'!$M$48*($DD$8^2)+'LINEST VARS'!$L$48*(0.5^2)+'LINEST VARS'!$K$48*($CX14^2)+'LINEST VARS'!$J$48*(8*8)+'LINEST VARS'!$I$48*(8*$DD$8)+'LINEST VARS'!$H$48*(8*0.5)+'LINEST VARS'!$G$48*(8*$CX14)+'LINEST VARS'!$F$48*(8*$DD$8)+'LINEST VARS'!$E$48*(8*0.5)+'LINEST VARS'!$D$48*(8*$CX14)+'LINEST VARS'!$C$48*($DD$8*0.5)+'LINEST VARS'!$B$48*($DD$8*$CX14)+'LINEST VARS'!$A$48*(0.5*$CX14)</f>
        <v>369.99999999999989</v>
      </c>
      <c r="DE14" s="46">
        <f>'LINEST VARS'!$U$48+'LINEST VARS'!$T$48*(8)+'LINEST VARS'!$S$48*(8)+'LINEST VARS'!$R$48*($DE$8)+'LINEST VARS'!$Q$48*(0.5)+'LINEST VARS'!$P$48*($CX14)+'LINEST VARS'!$O$48*(8^2)+'LINEST VARS'!$N$48*(8^2)+'LINEST VARS'!$M$48*($DE$8^2)+'LINEST VARS'!$L$48*(0.5^2)+'LINEST VARS'!$K$48*($CX14^2)+'LINEST VARS'!$J$48*(8*8)+'LINEST VARS'!$I$48*(8*$DE$8)+'LINEST VARS'!$H$48*(8*0.5)+'LINEST VARS'!$G$48*(8*$CX14)+'LINEST VARS'!$F$48*(8*$DE$8)+'LINEST VARS'!$E$48*(8*0.5)+'LINEST VARS'!$D$48*(8*$CX14)+'LINEST VARS'!$C$48*($DE$8*0.5)+'LINEST VARS'!$B$48*($DE$8*$CX14)+'LINEST VARS'!$A$48*(0.5*$CX14)</f>
        <v>369.99999999999989</v>
      </c>
      <c r="DF14" s="46">
        <f>'LINEST VARS'!$U$48+'LINEST VARS'!$T$48*(8)+'LINEST VARS'!$S$48*(8)+'LINEST VARS'!$R$48*($DF$8)+'LINEST VARS'!$Q$48*(0.5)+'LINEST VARS'!$P$48*($CX14)+'LINEST VARS'!$O$48*(8^2)+'LINEST VARS'!$N$48*(8^2)+'LINEST VARS'!$M$48*($DF$8^2)+'LINEST VARS'!$L$48*(0.5^2)+'LINEST VARS'!$K$48*($CX14^2)+'LINEST VARS'!$J$48*(8*8)+'LINEST VARS'!$I$48*(8*$DF$8)+'LINEST VARS'!$H$48*(8*0.5)+'LINEST VARS'!$G$48*(8*$CX14)+'LINEST VARS'!$F$48*(8*$DF$8)+'LINEST VARS'!$E$48*(8*0.5)+'LINEST VARS'!$D$48*(8*$CX14)+'LINEST VARS'!$C$48*($DF$8*0.5)+'LINEST VARS'!$B$48*($DF$8*$CX14)+'LINEST VARS'!$A$48*(0.5*$CX14)</f>
        <v>369.99999999999989</v>
      </c>
      <c r="DG14" s="46">
        <f>'LINEST VARS'!$U$48+'LINEST VARS'!$T$48*(8)+'LINEST VARS'!$S$48*(8)+'LINEST VARS'!$R$48*($DG$8)+'LINEST VARS'!$Q$48*(0.5)+'LINEST VARS'!$P$48*($CX14)+'LINEST VARS'!$O$48*(8^2)+'LINEST VARS'!$N$48*(8^2)+'LINEST VARS'!$M$48*($DG$8^2)+'LINEST VARS'!$L$48*(0.5^2)+'LINEST VARS'!$K$48*($CX14^2)+'LINEST VARS'!$J$48*(8*8)+'LINEST VARS'!$I$48*(8*$DG$8)+'LINEST VARS'!$H$48*(8*0.5)+'LINEST VARS'!$G$48*(8*$CX14)+'LINEST VARS'!$F$48*(8*$DG$8)+'LINEST VARS'!$E$48*(8*0.5)+'LINEST VARS'!$D$48*(8*$CX14)+'LINEST VARS'!$C$48*($DG$8*0.5)+'LINEST VARS'!$B$48*($DG$8*$CX14)+'LINEST VARS'!$A$48*(0.5*$CX14)</f>
        <v>369.99999999999989</v>
      </c>
      <c r="DH14" s="46">
        <f>'LINEST VARS'!$U$48+'LINEST VARS'!$T$48*(8)+'LINEST VARS'!$S$48*(8)+'LINEST VARS'!$R$48*($DH$8)+'LINEST VARS'!$Q$48*(0.5)+'LINEST VARS'!$P$48*($CX14)+'LINEST VARS'!$O$48*(8^2)+'LINEST VARS'!$N$48*(8^2)+'LINEST VARS'!$M$48*($DH$8^2)+'LINEST VARS'!$L$48*(0.5^2)+'LINEST VARS'!$K$48*($CX14^2)+'LINEST VARS'!$J$48*(8*8)+'LINEST VARS'!$I$48*(8*$DH$8)+'LINEST VARS'!$H$48*(8*0.5)+'LINEST VARS'!$G$48*(8*$CX14)+'LINEST VARS'!$F$48*(8*$DH$8)+'LINEST VARS'!$E$48*(8*0.5)+'LINEST VARS'!$D$48*(8*$CX14)+'LINEST VARS'!$C$48*($DH$8*0.5)+'LINEST VARS'!$B$48*($DH$8*$CX14)+'LINEST VARS'!$A$48*(0.5*$CX14)</f>
        <v>369.99999999999989</v>
      </c>
      <c r="DI14" s="46">
        <f>'LINEST VARS'!$U$48+'LINEST VARS'!$T$48*(8)+'LINEST VARS'!$S$48*(8)+'LINEST VARS'!$R$48*($DI$8)+'LINEST VARS'!$Q$48*(0.5)+'LINEST VARS'!$P$48*($CX14)+'LINEST VARS'!$O$48*(8^2)+'LINEST VARS'!$N$48*(8^2)+'LINEST VARS'!$M$48*($DI$8^2)+'LINEST VARS'!$L$48*(0.5^2)+'LINEST VARS'!$K$48*($CX14^2)+'LINEST VARS'!$J$48*(8*8)+'LINEST VARS'!$I$48*(8*$DI$8)+'LINEST VARS'!$H$48*(8*0.5)+'LINEST VARS'!$G$48*(8*$CX14)+'LINEST VARS'!$F$48*(8*$DI$8)+'LINEST VARS'!$E$48*(8*0.5)+'LINEST VARS'!$D$48*(8*$CX14)+'LINEST VARS'!$C$48*($DI$8*0.5)+'LINEST VARS'!$B$48*($DI$8*$CX14)+'LINEST VARS'!$A$48*(0.5*$CX14)</f>
        <v>369.99999999999989</v>
      </c>
      <c r="DJ14" s="46">
        <f>'LINEST VARS'!$U$48+'LINEST VARS'!$T$48*(8)+'LINEST VARS'!$S$48*(8)+'LINEST VARS'!$R$48*($DJ$8)+'LINEST VARS'!$Q$48*(0.5)+'LINEST VARS'!$P$48*($CX14)+'LINEST VARS'!$O$48*(8^2)+'LINEST VARS'!$N$48*(8^2)+'LINEST VARS'!$M$48*($DJ$8^2)+'LINEST VARS'!$L$48*(0.5^2)+'LINEST VARS'!$K$48*($CX14^2)+'LINEST VARS'!$J$48*(8*8)+'LINEST VARS'!$I$48*(8*$DJ$8)+'LINEST VARS'!$H$48*(8*0.5)+'LINEST VARS'!$G$48*(8*$CX14)+'LINEST VARS'!$F$48*(8*$DJ$8)+'LINEST VARS'!$E$48*(8*0.5)+'LINEST VARS'!$D$48*(8*$CX14)+'LINEST VARS'!$C$48*($DJ$8*0.5)+'LINEST VARS'!$B$48*($DJ$8*$CX14)+'LINEST VARS'!$A$48*(0.5*$CX14)</f>
        <v>369.99999999999989</v>
      </c>
      <c r="DK14" s="46">
        <f>'LINEST VARS'!$U$48+'LINEST VARS'!$T$48*(8)+'LINEST VARS'!$S$48*(8)+'LINEST VARS'!$R$48*($DK$8)+'LINEST VARS'!$Q$48*(0.5)+'LINEST VARS'!$P$48*($CX14)+'LINEST VARS'!$O$48*(8^2)+'LINEST VARS'!$N$48*(8^2)+'LINEST VARS'!$M$48*($DK$8^2)+'LINEST VARS'!$L$48*(0.5^2)+'LINEST VARS'!$K$48*($CX14^2)+'LINEST VARS'!$J$48*(8*8)+'LINEST VARS'!$I$48*(8*$DK$8)+'LINEST VARS'!$H$48*(8*0.5)+'LINEST VARS'!$G$48*(8*$CX14)+'LINEST VARS'!$F$48*(8*$DK$8)+'LINEST VARS'!$E$48*(8*0.5)+'LINEST VARS'!$D$48*(8*$CX14)+'LINEST VARS'!$C$48*($DK$8*0.5)+'LINEST VARS'!$B$48*($DK$8*$CX14)+'LINEST VARS'!$A$48*(0.5*$CX14)</f>
        <v>369.99999999999989</v>
      </c>
      <c r="DL14" s="46">
        <f>'LINEST VARS'!$U$48+'LINEST VARS'!$T$48*(8)+'LINEST VARS'!$S$48*(8)+'LINEST VARS'!$R$48*($DL$8)+'LINEST VARS'!$Q$48*(0.5)+'LINEST VARS'!$P$48*($CX14)+'LINEST VARS'!$O$48*(8^2)+'LINEST VARS'!$N$48*(8^2)+'LINEST VARS'!$M$48*($DL$8^2)+'LINEST VARS'!$L$48*(0.5^2)+'LINEST VARS'!$K$48*($CX14^2)+'LINEST VARS'!$J$48*(8*8)+'LINEST VARS'!$I$48*(8*$DL$8)+'LINEST VARS'!$H$48*(8*0.5)+'LINEST VARS'!$G$48*(8*$CX14)+'LINEST VARS'!$F$48*(8*$DL$8)+'LINEST VARS'!$E$48*(8*0.5)+'LINEST VARS'!$D$48*(8*$CX14)+'LINEST VARS'!$C$48*($DL$8*0.5)+'LINEST VARS'!$B$48*($DL$8*$CX14)+'LINEST VARS'!$A$48*(0.5*$CX14)</f>
        <v>369.99999999999994</v>
      </c>
      <c r="DM14" s="46">
        <f>'LINEST VARS'!$U$48+'LINEST VARS'!$T$48*(8)+'LINEST VARS'!$S$48*(8)+'LINEST VARS'!$R$48*($DM$8)+'LINEST VARS'!$Q$48*(0.5)+'LINEST VARS'!$P$48*($CX14)+'LINEST VARS'!$O$48*(8^2)+'LINEST VARS'!$N$48*(8^2)+'LINEST VARS'!$M$48*($DM$8^2)+'LINEST VARS'!$L$48*(0.5^2)+'LINEST VARS'!$K$48*($CX14^2)+'LINEST VARS'!$J$48*(8*8)+'LINEST VARS'!$I$48*(8*$DM$8)+'LINEST VARS'!$H$48*(8*0.5)+'LINEST VARS'!$G$48*(8*$CX14)+'LINEST VARS'!$F$48*(8*$DM$8)+'LINEST VARS'!$E$48*(8*0.5)+'LINEST VARS'!$D$48*(8*$CX14)+'LINEST VARS'!$C$48*($DM$8*0.5)+'LINEST VARS'!$B$48*($DM$8*$CX14)+'LINEST VARS'!$A$48*(0.5*$CX14)</f>
        <v>369.99999999999994</v>
      </c>
      <c r="DN14" s="46">
        <f>'LINEST VARS'!$U$48+'LINEST VARS'!$T$48*(8)+'LINEST VARS'!$S$48*(8)+'LINEST VARS'!$R$48*($DN$8)+'LINEST VARS'!$Q$48*(0.5)+'LINEST VARS'!$P$48*($CX14)+'LINEST VARS'!$O$48*(8^2)+'LINEST VARS'!$N$48*(8^2)+'LINEST VARS'!$M$48*($DN$8^2)+'LINEST VARS'!$L$48*(0.5^2)+'LINEST VARS'!$K$48*($CX14^2)+'LINEST VARS'!$J$48*(8*8)+'LINEST VARS'!$I$48*(8*$DN$8)+'LINEST VARS'!$H$48*(8*0.5)+'LINEST VARS'!$G$48*(8*$CX14)+'LINEST VARS'!$F$48*(8*$DN$8)+'LINEST VARS'!$E$48*(8*0.5)+'LINEST VARS'!$D$48*(8*$CX14)+'LINEST VARS'!$C$48*($DN$8*0.5)+'LINEST VARS'!$B$48*($DN$8*$CX14)+'LINEST VARS'!$A$48*(0.5*$CX14)</f>
        <v>369.99999999999994</v>
      </c>
      <c r="DO14" s="46">
        <f>'LINEST VARS'!$U$48+'LINEST VARS'!$T$48*(8)+'LINEST VARS'!$S$48*(8)+'LINEST VARS'!$R$48*($DO$8)+'LINEST VARS'!$Q$48*(0.5)+'LINEST VARS'!$P$48*($CX14)+'LINEST VARS'!$O$48*(8^2)+'LINEST VARS'!$N$48*(8^2)+'LINEST VARS'!$M$48*($DO$8^2)+'LINEST VARS'!$L$48*(0.5^2)+'LINEST VARS'!$K$48*($CX14^2)+'LINEST VARS'!$J$48*(8*8)+'LINEST VARS'!$I$48*(8*$DO$8)+'LINEST VARS'!$H$48*(8*0.5)+'LINEST VARS'!$G$48*(8*$CX14)+'LINEST VARS'!$F$48*(8*$DO$8)+'LINEST VARS'!$E$48*(8*0.5)+'LINEST VARS'!$D$48*(8*$CX14)+'LINEST VARS'!$C$48*($DO$8*0.5)+'LINEST VARS'!$B$48*($DO$8*$CX14)+'LINEST VARS'!$A$48*(0.5*$CX14)</f>
        <v>369.99999999999989</v>
      </c>
      <c r="DP14" s="46">
        <f>'LINEST VARS'!$U$48+'LINEST VARS'!$T$48*(8)+'LINEST VARS'!$S$48*(8)+'LINEST VARS'!$R$48*($DP$8)+'LINEST VARS'!$Q$48*(0.5)+'LINEST VARS'!$P$48*($CX14)+'LINEST VARS'!$O$48*(8^2)+'LINEST VARS'!$N$48*(8^2)+'LINEST VARS'!$M$48*($DP$8^2)+'LINEST VARS'!$L$48*(0.5^2)+'LINEST VARS'!$K$48*($CX14^2)+'LINEST VARS'!$J$48*(8*8)+'LINEST VARS'!$I$48*(8*$DP$8)+'LINEST VARS'!$H$48*(8*0.5)+'LINEST VARS'!$G$48*(8*$CX14)+'LINEST VARS'!$F$48*(8*$DP$8)+'LINEST VARS'!$E$48*(8*0.5)+'LINEST VARS'!$D$48*(8*$CX14)+'LINEST VARS'!$C$48*($DP$8*0.5)+'LINEST VARS'!$B$48*($DP$8*$CX14)+'LINEST VARS'!$A$48*(0.5*$CX14)</f>
        <v>369.99999999999989</v>
      </c>
      <c r="DQ14" s="46">
        <f>'LINEST VARS'!$U$48+'LINEST VARS'!$T$48*(8)+'LINEST VARS'!$S$48*(8)+'LINEST VARS'!$R$48*($DQ$8)+'LINEST VARS'!$Q$48*(0.5)+'LINEST VARS'!$P$48*($CX14)+'LINEST VARS'!$O$48*(8^2)+'LINEST VARS'!$N$48*(8^2)+'LINEST VARS'!$M$48*($DQ$8^2)+'LINEST VARS'!$L$48*(0.5^2)+'LINEST VARS'!$K$48*($CX14^2)+'LINEST VARS'!$J$48*(8*8)+'LINEST VARS'!$I$48*(8*$DQ$8)+'LINEST VARS'!$H$48*(8*0.5)+'LINEST VARS'!$G$48*(8*$CX14)+'LINEST VARS'!$F$48*(8*$DQ$8)+'LINEST VARS'!$E$48*(8*0.5)+'LINEST VARS'!$D$48*(8*$CX14)+'LINEST VARS'!$C$48*($DQ$8*0.5)+'LINEST VARS'!$B$48*($DQ$8*$CX14)+'LINEST VARS'!$A$48*(0.5*$CX14)</f>
        <v>369.99999999999989</v>
      </c>
      <c r="DR14" s="46">
        <f>'LINEST VARS'!$U$48+'LINEST VARS'!$T$48*(8)+'LINEST VARS'!$S$48*(8)+'LINEST VARS'!$R$48*($DR$8)+'LINEST VARS'!$Q$48*(0.5)+'LINEST VARS'!$P$48*($CX14)+'LINEST VARS'!$O$48*(8^2)+'LINEST VARS'!$N$48*(8^2)+'LINEST VARS'!$M$48*($DR$8^2)+'LINEST VARS'!$L$48*(0.5^2)+'LINEST VARS'!$K$48*($CX14^2)+'LINEST VARS'!$J$48*(8*8)+'LINEST VARS'!$I$48*(8*$DR$8)+'LINEST VARS'!$H$48*(8*0.5)+'LINEST VARS'!$G$48*(8*$CX14)+'LINEST VARS'!$F$48*(8*$DR$8)+'LINEST VARS'!$E$48*(8*0.5)+'LINEST VARS'!$D$48*(8*$CX14)+'LINEST VARS'!$C$48*($DR$8*0.5)+'LINEST VARS'!$B$48*($DR$8*$CX14)+'LINEST VARS'!$A$48*(0.5*$CX14)</f>
        <v>369.99999999999989</v>
      </c>
      <c r="DS14" s="47">
        <f>'LINEST VARS'!$U$48+'LINEST VARS'!$T$48*(8)+'LINEST VARS'!$S$48*(8)+'LINEST VARS'!$R$48*($DS$8)+'LINEST VARS'!$Q$48*(0.5)+'LINEST VARS'!$P$48*($CX14)+'LINEST VARS'!$O$48*(8^2)+'LINEST VARS'!$N$48*(8^2)+'LINEST VARS'!$M$48*($DS$8^2)+'LINEST VARS'!$L$48*(0.5^2)+'LINEST VARS'!$K$48*($CX14^2)+'LINEST VARS'!$J$48*(8*8)+'LINEST VARS'!$I$48*(8*$DS$8)+'LINEST VARS'!$H$48*(8*0.5)+'LINEST VARS'!$G$48*(8*$CX14)+'LINEST VARS'!$F$48*(8*$DS$8)+'LINEST VARS'!$E$48*(8*0.5)+'LINEST VARS'!$D$48*(8*$CX14)+'LINEST VARS'!$C$48*($DS$8*0.5)+'LINEST VARS'!$B$48*($DS$8*$CX14)+'LINEST VARS'!$A$48*(0.5*$CX14)</f>
        <v>369.99999999999989</v>
      </c>
      <c r="DV14" s="45">
        <v>6.4974999999999996</v>
      </c>
      <c r="DW14" s="46">
        <f>'LINEST VARS'!$U$50+'LINEST VARS'!$T$50*(8)+'LINEST VARS'!$S$50*(8)+'LINEST VARS'!$R$50*($DW$8)+'LINEST VARS'!$Q$50*(0.5)+'LINEST VARS'!$P$50*($DV14)+'LINEST VARS'!$O$50*(8^2)+'LINEST VARS'!$N$50*(8^2)+'LINEST VARS'!$M$50*($DW$8^2)+'LINEST VARS'!$L$50*(0.5^2)+'LINEST VARS'!$K$50*($DV14^2)+'LINEST VARS'!$J$50*(8*8)+'LINEST VARS'!$I$50*(8*$DW$8)+'LINEST VARS'!$H$50*(8*0.5)+'LINEST VARS'!$G$50*(8*$DV14)+'LINEST VARS'!$F$50*(8*$DW$8)+'LINEST VARS'!$E$50*(8*0.5)+'LINEST VARS'!$D$50*(8*$DV14)+'LINEST VARS'!$C$50*($DW$8*0.5)+'LINEST VARS'!$B$50*($DW$8*$DV14)+'LINEST VARS'!$A$50*(0.5*$DV14)</f>
        <v>331.99999999999989</v>
      </c>
      <c r="DX14" s="46">
        <f>'LINEST VARS'!$U$50+'LINEST VARS'!$T$50*(8)+'LINEST VARS'!$S$50*(8)+'LINEST VARS'!$R$50*($DX$8)+'LINEST VARS'!$Q$50*(0.5)+'LINEST VARS'!$P$50*($DV14)+'LINEST VARS'!$O$50*(8^2)+'LINEST VARS'!$N$50*(8^2)+'LINEST VARS'!$M$50*($DX$8^2)+'LINEST VARS'!$L$50*(0.5^2)+'LINEST VARS'!$K$50*($DV14^2)+'LINEST VARS'!$J$50*(8*8)+'LINEST VARS'!$I$50*(8*$DX$8)+'LINEST VARS'!$H$50*(8*0.5)+'LINEST VARS'!$G$50*(8*$DV14)+'LINEST VARS'!$F$50*(8*$DX$8)+'LINEST VARS'!$E$50*(8*0.5)+'LINEST VARS'!$D$50*(8*$DV14)+'LINEST VARS'!$C$50*($DX$8*0.5)+'LINEST VARS'!$B$50*($DX$8*$DV14)+'LINEST VARS'!$A$50*(0.5*$DV14)</f>
        <v>331.99999999999989</v>
      </c>
      <c r="DY14" s="46">
        <f>'LINEST VARS'!$U$50+'LINEST VARS'!$T$50*(8)+'LINEST VARS'!$S$50*(8)+'LINEST VARS'!$R$50*($DY$8)+'LINEST VARS'!$Q$50*(0.5)+'LINEST VARS'!$P$50*($DV14)+'LINEST VARS'!$O$50*(8^2)+'LINEST VARS'!$N$50*(8^2)+'LINEST VARS'!$M$50*($DY$8^2)+'LINEST VARS'!$L$50*(0.5^2)+'LINEST VARS'!$K$50*($DV14^2)+'LINEST VARS'!$J$50*(8*8)+'LINEST VARS'!$I$50*(8*$DY$8)+'LINEST VARS'!$H$50*(8*0.5)+'LINEST VARS'!$G$50*(8*$DV14)+'LINEST VARS'!$F$50*(8*$DY$8)+'LINEST VARS'!$E$50*(8*0.5)+'LINEST VARS'!$D$50*(8*$DV14)+'LINEST VARS'!$C$50*($DY$8*0.5)+'LINEST VARS'!$B$50*($DY$8*$DV14)+'LINEST VARS'!$A$50*(0.5*$DV14)</f>
        <v>331.99999999999989</v>
      </c>
      <c r="DZ14" s="46">
        <f>'LINEST VARS'!$U$50+'LINEST VARS'!$T$50*(8)+'LINEST VARS'!$S$50*(8)+'LINEST VARS'!$R$50*($DZ$8)+'LINEST VARS'!$Q$50*(0.5)+'LINEST VARS'!$P$50*($DV14)+'LINEST VARS'!$O$50*(8^2)+'LINEST VARS'!$N$50*(8^2)+'LINEST VARS'!$M$50*($DZ$8^2)+'LINEST VARS'!$L$50*(0.5^2)+'LINEST VARS'!$K$50*($DV14^2)+'LINEST VARS'!$J$50*(8*8)+'LINEST VARS'!$I$50*(8*$DZ$8)+'LINEST VARS'!$H$50*(8*0.5)+'LINEST VARS'!$G$50*(8*$DV14)+'LINEST VARS'!$F$50*(8*$DZ$8)+'LINEST VARS'!$E$50*(8*0.5)+'LINEST VARS'!$D$50*(8*$DV14)+'LINEST VARS'!$C$50*($DZ$8*0.5)+'LINEST VARS'!$B$50*($DZ$8*$DV14)+'LINEST VARS'!$A$50*(0.5*$DV14)</f>
        <v>331.99999999999989</v>
      </c>
      <c r="EA14" s="46">
        <f>'LINEST VARS'!$U$50+'LINEST VARS'!$T$50*(8)+'LINEST VARS'!$S$50*(8)+'LINEST VARS'!$R$50*($EA$8)+'LINEST VARS'!$Q$50*(0.5)+'LINEST VARS'!$P$50*($DV14)+'LINEST VARS'!$O$50*(8^2)+'LINEST VARS'!$N$50*(8^2)+'LINEST VARS'!$M$50*($EA$8^2)+'LINEST VARS'!$L$50*(0.5^2)+'LINEST VARS'!$K$50*($DV14^2)+'LINEST VARS'!$J$50*(8*8)+'LINEST VARS'!$I$50*(8*$EA$8)+'LINEST VARS'!$H$50*(8*0.5)+'LINEST VARS'!$G$50*(8*$DV14)+'LINEST VARS'!$F$50*(8*$EA$8)+'LINEST VARS'!$E$50*(8*0.5)+'LINEST VARS'!$D$50*(8*$DV14)+'LINEST VARS'!$C$50*($EA$8*0.5)+'LINEST VARS'!$B$50*($EA$8*$DV14)+'LINEST VARS'!$A$50*(0.5*$DV14)</f>
        <v>331.99999999999989</v>
      </c>
      <c r="EB14" s="46">
        <f>'LINEST VARS'!$U$50+'LINEST VARS'!$T$50*(8)+'LINEST VARS'!$S$50*(8)+'LINEST VARS'!$R$50*($EB$8)+'LINEST VARS'!$Q$50*(0.5)+'LINEST VARS'!$P$50*($DV14)+'LINEST VARS'!$O$50*(8^2)+'LINEST VARS'!$N$50*(8^2)+'LINEST VARS'!$M$50*($EB$8^2)+'LINEST VARS'!$L$50*(0.5^2)+'LINEST VARS'!$K$50*($DV14^2)+'LINEST VARS'!$J$50*(8*8)+'LINEST VARS'!$I$50*(8*$EB$8)+'LINEST VARS'!$H$50*(8*0.5)+'LINEST VARS'!$G$50*(8*$DV14)+'LINEST VARS'!$F$50*(8*$EB$8)+'LINEST VARS'!$E$50*(8*0.5)+'LINEST VARS'!$D$50*(8*$DV14)+'LINEST VARS'!$C$50*($EB$8*0.5)+'LINEST VARS'!$B$50*($EB$8*$DV14)+'LINEST VARS'!$A$50*(0.5*$DV14)</f>
        <v>331.99999999999989</v>
      </c>
      <c r="EC14" s="46">
        <f>'LINEST VARS'!$U$50+'LINEST VARS'!$T$50*(8)+'LINEST VARS'!$S$50*(8)+'LINEST VARS'!$R$50*($EC$8)+'LINEST VARS'!$Q$50*(0.5)+'LINEST VARS'!$P$50*($DV14)+'LINEST VARS'!$O$50*(8^2)+'LINEST VARS'!$N$50*(8^2)+'LINEST VARS'!$M$50*($EC$8^2)+'LINEST VARS'!$L$50*(0.5^2)+'LINEST VARS'!$K$50*($DV14^2)+'LINEST VARS'!$J$50*(8*8)+'LINEST VARS'!$I$50*(8*$EC$8)+'LINEST VARS'!$H$50*(8*0.5)+'LINEST VARS'!$G$50*(8*$DV14)+'LINEST VARS'!$F$50*(8*$EC$8)+'LINEST VARS'!$E$50*(8*0.5)+'LINEST VARS'!$D$50*(8*$DV14)+'LINEST VARS'!$C$50*($EC$8*0.5)+'LINEST VARS'!$B$50*($EC$8*$DV14)+'LINEST VARS'!$A$50*(0.5*$DV14)</f>
        <v>331.99999999999989</v>
      </c>
      <c r="ED14" s="46">
        <f>'LINEST VARS'!$U$50+'LINEST VARS'!$T$50*(8)+'LINEST VARS'!$S$50*(8)+'LINEST VARS'!$R$50*($ED$8)+'LINEST VARS'!$Q$50*(0.5)+'LINEST VARS'!$P$50*($DV14)+'LINEST VARS'!$O$50*(8^2)+'LINEST VARS'!$N$50*(8^2)+'LINEST VARS'!$M$50*($ED$8^2)+'LINEST VARS'!$L$50*(0.5^2)+'LINEST VARS'!$K$50*($DV14^2)+'LINEST VARS'!$J$50*(8*8)+'LINEST VARS'!$I$50*(8*$ED$8)+'LINEST VARS'!$H$50*(8*0.5)+'LINEST VARS'!$G$50*(8*$DV14)+'LINEST VARS'!$F$50*(8*$ED$8)+'LINEST VARS'!$E$50*(8*0.5)+'LINEST VARS'!$D$50*(8*$DV14)+'LINEST VARS'!$C$50*($ED$8*0.5)+'LINEST VARS'!$B$50*($ED$8*$DV14)+'LINEST VARS'!$A$50*(0.5*$DV14)</f>
        <v>331.99999999999989</v>
      </c>
      <c r="EE14" s="46">
        <f>'LINEST VARS'!$U$50+'LINEST VARS'!$T$50*(8)+'LINEST VARS'!$S$50*(8)+'LINEST VARS'!$R$50*($EE$8)+'LINEST VARS'!$Q$50*(0.5)+'LINEST VARS'!$P$50*($DV14)+'LINEST VARS'!$O$50*(8^2)+'LINEST VARS'!$N$50*(8^2)+'LINEST VARS'!$M$50*($EE$8^2)+'LINEST VARS'!$L$50*(0.5^2)+'LINEST VARS'!$K$50*($DV14^2)+'LINEST VARS'!$J$50*(8*8)+'LINEST VARS'!$I$50*(8*$EE$8)+'LINEST VARS'!$H$50*(8*0.5)+'LINEST VARS'!$G$50*(8*$DV14)+'LINEST VARS'!$F$50*(8*$EE$8)+'LINEST VARS'!$E$50*(8*0.5)+'LINEST VARS'!$D$50*(8*$DV14)+'LINEST VARS'!$C$50*($EE$8*0.5)+'LINEST VARS'!$B$50*($EE$8*$DV14)+'LINEST VARS'!$A$50*(0.5*$DV14)</f>
        <v>331.99999999999989</v>
      </c>
      <c r="EF14" s="46">
        <f>'LINEST VARS'!$U$50+'LINEST VARS'!$T$50*(8)+'LINEST VARS'!$S$50*(8)+'LINEST VARS'!$R$50*($EF$8)+'LINEST VARS'!$Q$50*(0.5)+'LINEST VARS'!$P$50*($DV14)+'LINEST VARS'!$O$50*(8^2)+'LINEST VARS'!$N$50*(8^2)+'LINEST VARS'!$M$50*($EF$8^2)+'LINEST VARS'!$L$50*(0.5^2)+'LINEST VARS'!$K$50*($DV14^2)+'LINEST VARS'!$J$50*(8*8)+'LINEST VARS'!$I$50*(8*$EF$8)+'LINEST VARS'!$H$50*(8*0.5)+'LINEST VARS'!$G$50*(8*$DV14)+'LINEST VARS'!$F$50*(8*$EF$8)+'LINEST VARS'!$E$50*(8*0.5)+'LINEST VARS'!$D$50*(8*$DV14)+'LINEST VARS'!$C$50*($EF$8*0.5)+'LINEST VARS'!$B$50*($EF$8*$DV14)+'LINEST VARS'!$A$50*(0.5*$DV14)</f>
        <v>331.99999999999989</v>
      </c>
      <c r="EG14" s="46">
        <f>'LINEST VARS'!$U$50+'LINEST VARS'!$T$50*(8)+'LINEST VARS'!$S$50*(8)+'LINEST VARS'!$R$50*($EG$8)+'LINEST VARS'!$Q$50*(0.5)+'LINEST VARS'!$P$50*($DV14)+'LINEST VARS'!$O$50*(8^2)+'LINEST VARS'!$N$50*(8^2)+'LINEST VARS'!$M$50*($EG$8^2)+'LINEST VARS'!$L$50*(0.5^2)+'LINEST VARS'!$K$50*($DV14^2)+'LINEST VARS'!$J$50*(8*8)+'LINEST VARS'!$I$50*(8*$EG$8)+'LINEST VARS'!$H$50*(8*0.5)+'LINEST VARS'!$G$50*(8*$DV14)+'LINEST VARS'!$F$50*(8*$EG$8)+'LINEST VARS'!$E$50*(8*0.5)+'LINEST VARS'!$D$50*(8*$DV14)+'LINEST VARS'!$C$50*($EG$8*0.5)+'LINEST VARS'!$B$50*($EG$8*$DV14)+'LINEST VARS'!$A$50*(0.5*$DV14)</f>
        <v>331.99999999999989</v>
      </c>
      <c r="EH14" s="46">
        <f>'LINEST VARS'!$U$50+'LINEST VARS'!$T$50*(8)+'LINEST VARS'!$S$50*(8)+'LINEST VARS'!$R$50*($EH$8)+'LINEST VARS'!$Q$50*(0.5)+'LINEST VARS'!$P$50*($DV14)+'LINEST VARS'!$O$50*(8^2)+'LINEST VARS'!$N$50*(8^2)+'LINEST VARS'!$M$50*($EH$8^2)+'LINEST VARS'!$L$50*(0.5^2)+'LINEST VARS'!$K$50*($DV14^2)+'LINEST VARS'!$J$50*(8*8)+'LINEST VARS'!$I$50*(8*$EH$8)+'LINEST VARS'!$H$50*(8*0.5)+'LINEST VARS'!$G$50*(8*$DV14)+'LINEST VARS'!$F$50*(8*$EH$8)+'LINEST VARS'!$E$50*(8*0.5)+'LINEST VARS'!$D$50*(8*$DV14)+'LINEST VARS'!$C$50*($EH$8*0.5)+'LINEST VARS'!$B$50*($EH$8*$DV14)+'LINEST VARS'!$A$50*(0.5*$DV14)</f>
        <v>331.99999999999989</v>
      </c>
      <c r="EI14" s="46">
        <f>'LINEST VARS'!$U$50+'LINEST VARS'!$T$50*(8)+'LINEST VARS'!$S$50*(8)+'LINEST VARS'!$R$50*($EI$8)+'LINEST VARS'!$Q$50*(0.5)+'LINEST VARS'!$P$50*($DV14)+'LINEST VARS'!$O$50*(8^2)+'LINEST VARS'!$N$50*(8^2)+'LINEST VARS'!$M$50*($EI$8^2)+'LINEST VARS'!$L$50*(0.5^2)+'LINEST VARS'!$K$50*($DV14^2)+'LINEST VARS'!$J$50*(8*8)+'LINEST VARS'!$I$50*(8*$EI$8)+'LINEST VARS'!$H$50*(8*0.5)+'LINEST VARS'!$G$50*(8*$DV14)+'LINEST VARS'!$F$50*(8*$EI$8)+'LINEST VARS'!$E$50*(8*0.5)+'LINEST VARS'!$D$50*(8*$DV14)+'LINEST VARS'!$C$50*($EI$8*0.5)+'LINEST VARS'!$B$50*($EI$8*$DV14)+'LINEST VARS'!$A$50*(0.5*$DV14)</f>
        <v>331.99999999999989</v>
      </c>
      <c r="EJ14" s="46">
        <f>'LINEST VARS'!$U$50+'LINEST VARS'!$T$50*(8)+'LINEST VARS'!$S$50*(8)+'LINEST VARS'!$R$50*($EJ$8)+'LINEST VARS'!$Q$50*(0.5)+'LINEST VARS'!$P$50*($DV14)+'LINEST VARS'!$O$50*(8^2)+'LINEST VARS'!$N$50*(8^2)+'LINEST VARS'!$M$50*($EJ$8^2)+'LINEST VARS'!$L$50*(0.5^2)+'LINEST VARS'!$K$50*($DV14^2)+'LINEST VARS'!$J$50*(8*8)+'LINEST VARS'!$I$50*(8*$EJ$8)+'LINEST VARS'!$H$50*(8*0.5)+'LINEST VARS'!$G$50*(8*$DV14)+'LINEST VARS'!$F$50*(8*$EJ$8)+'LINEST VARS'!$E$50*(8*0.5)+'LINEST VARS'!$D$50*(8*$DV14)+'LINEST VARS'!$C$50*($EJ$8*0.5)+'LINEST VARS'!$B$50*($EJ$8*$DV14)+'LINEST VARS'!$A$50*(0.5*$DV14)</f>
        <v>331.99999999999989</v>
      </c>
      <c r="EK14" s="46">
        <f>'LINEST VARS'!$U$50+'LINEST VARS'!$T$50*(8)+'LINEST VARS'!$S$50*(8)+'LINEST VARS'!$R$50*($EK$8)+'LINEST VARS'!$Q$50*(0.5)+'LINEST VARS'!$P$50*($DV14)+'LINEST VARS'!$O$50*(8^2)+'LINEST VARS'!$N$50*(8^2)+'LINEST VARS'!$M$50*($EK$8^2)+'LINEST VARS'!$L$50*(0.5^2)+'LINEST VARS'!$K$50*($DV14^2)+'LINEST VARS'!$J$50*(8*8)+'LINEST VARS'!$I$50*(8*$EK$8)+'LINEST VARS'!$H$50*(8*0.5)+'LINEST VARS'!$G$50*(8*$DV14)+'LINEST VARS'!$F$50*(8*$EK$8)+'LINEST VARS'!$E$50*(8*0.5)+'LINEST VARS'!$D$50*(8*$DV14)+'LINEST VARS'!$C$50*($EK$8*0.5)+'LINEST VARS'!$B$50*($EK$8*$DV14)+'LINEST VARS'!$A$50*(0.5*$DV14)</f>
        <v>331.99999999999989</v>
      </c>
      <c r="EL14" s="46">
        <f>'LINEST VARS'!$U$50+'LINEST VARS'!$T$50*(8)+'LINEST VARS'!$S$50*(8)+'LINEST VARS'!$R$50*($EL$8)+'LINEST VARS'!$Q$50*(0.5)+'LINEST VARS'!$P$50*($DV14)+'LINEST VARS'!$O$50*(8^2)+'LINEST VARS'!$N$50*(8^2)+'LINEST VARS'!$M$50*($EL$8^2)+'LINEST VARS'!$L$50*(0.5^2)+'LINEST VARS'!$K$50*($DV14^2)+'LINEST VARS'!$J$50*(8*8)+'LINEST VARS'!$I$50*(8*$EL$8)+'LINEST VARS'!$H$50*(8*0.5)+'LINEST VARS'!$G$50*(8*$DV14)+'LINEST VARS'!$F$50*(8*$EL$8)+'LINEST VARS'!$E$50*(8*0.5)+'LINEST VARS'!$D$50*(8*$DV14)+'LINEST VARS'!$C$50*($EL$8*0.5)+'LINEST VARS'!$B$50*($EL$8*$DV14)+'LINEST VARS'!$A$50*(0.5*$DV14)</f>
        <v>331.99999999999989</v>
      </c>
      <c r="EM14" s="46">
        <f>'LINEST VARS'!$U$50+'LINEST VARS'!$T$50*(8)+'LINEST VARS'!$S$50*(8)+'LINEST VARS'!$R$50*($EM$8)+'LINEST VARS'!$Q$50*(0.5)+'LINEST VARS'!$P$50*($DV14)+'LINEST VARS'!$O$50*(8^2)+'LINEST VARS'!$N$50*(8^2)+'LINEST VARS'!$M$50*($EM$8^2)+'LINEST VARS'!$L$50*(0.5^2)+'LINEST VARS'!$K$50*($DV14^2)+'LINEST VARS'!$J$50*(8*8)+'LINEST VARS'!$I$50*(8*$EM$8)+'LINEST VARS'!$H$50*(8*0.5)+'LINEST VARS'!$G$50*(8*$DV14)+'LINEST VARS'!$F$50*(8*$EM$8)+'LINEST VARS'!$E$50*(8*0.5)+'LINEST VARS'!$D$50*(8*$DV14)+'LINEST VARS'!$C$50*($EM$8*0.5)+'LINEST VARS'!$B$50*($EM$8*$DV14)+'LINEST VARS'!$A$50*(0.5*$DV14)</f>
        <v>331.99999999999989</v>
      </c>
      <c r="EN14" s="46">
        <f>'LINEST VARS'!$U$50+'LINEST VARS'!$T$50*(8)+'LINEST VARS'!$S$50*(8)+'LINEST VARS'!$R$50*($EN$8)+'LINEST VARS'!$Q$50*(0.5)+'LINEST VARS'!$P$50*($DV14)+'LINEST VARS'!$O$50*(8^2)+'LINEST VARS'!$N$50*(8^2)+'LINEST VARS'!$M$50*($EN$8^2)+'LINEST VARS'!$L$50*(0.5^2)+'LINEST VARS'!$K$50*($DV14^2)+'LINEST VARS'!$J$50*(8*8)+'LINEST VARS'!$I$50*(8*$EN$8)+'LINEST VARS'!$H$50*(8*0.5)+'LINEST VARS'!$G$50*(8*$DV14)+'LINEST VARS'!$F$50*(8*$EN$8)+'LINEST VARS'!$E$50*(8*0.5)+'LINEST VARS'!$D$50*(8*$DV14)+'LINEST VARS'!$C$50*($EN$8*0.5)+'LINEST VARS'!$B$50*($EN$8*$DV14)+'LINEST VARS'!$A$50*(0.5*$DV14)</f>
        <v>331.99999999999989</v>
      </c>
      <c r="EO14" s="46">
        <f>'LINEST VARS'!$U$50+'LINEST VARS'!$T$50*(8)+'LINEST VARS'!$S$50*(8)+'LINEST VARS'!$R$50*($EO$8)+'LINEST VARS'!$Q$50*(0.5)+'LINEST VARS'!$P$50*($DV14)+'LINEST VARS'!$O$50*(8^2)+'LINEST VARS'!$N$50*(8^2)+'LINEST VARS'!$M$50*($EO$8^2)+'LINEST VARS'!$L$50*(0.5^2)+'LINEST VARS'!$K$50*($DV14^2)+'LINEST VARS'!$J$50*(8*8)+'LINEST VARS'!$I$50*(8*$EO$8)+'LINEST VARS'!$H$50*(8*0.5)+'LINEST VARS'!$G$50*(8*$DV14)+'LINEST VARS'!$F$50*(8*$EO$8)+'LINEST VARS'!$E$50*(8*0.5)+'LINEST VARS'!$D$50*(8*$DV14)+'LINEST VARS'!$C$50*($EO$8*0.5)+'LINEST VARS'!$B$50*($EO$8*$DV14)+'LINEST VARS'!$A$50*(0.5*$DV14)</f>
        <v>331.99999999999989</v>
      </c>
      <c r="EP14" s="46">
        <f>'LINEST VARS'!$U$50+'LINEST VARS'!$T$50*(8)+'LINEST VARS'!$S$50*(8)+'LINEST VARS'!$R$50*($EP$8)+'LINEST VARS'!$Q$50*(0.5)+'LINEST VARS'!$P$50*($DV14)+'LINEST VARS'!$O$50*(8^2)+'LINEST VARS'!$N$50*(8^2)+'LINEST VARS'!$M$50*($EP$8^2)+'LINEST VARS'!$L$50*(0.5^2)+'LINEST VARS'!$K$50*($DV14^2)+'LINEST VARS'!$J$50*(8*8)+'LINEST VARS'!$I$50*(8*$EP$8)+'LINEST VARS'!$H$50*(8*0.5)+'LINEST VARS'!$G$50*(8*$DV14)+'LINEST VARS'!$F$50*(8*$EP$8)+'LINEST VARS'!$E$50*(8*0.5)+'LINEST VARS'!$D$50*(8*$DV14)+'LINEST VARS'!$C$50*($EP$8*0.5)+'LINEST VARS'!$B$50*($EP$8*$DV14)+'LINEST VARS'!$A$50*(0.5*$DV14)</f>
        <v>331.99999999999989</v>
      </c>
      <c r="EQ14" s="47">
        <f>'LINEST VARS'!$U$50+'LINEST VARS'!$T$50*(8)+'LINEST VARS'!$S$50*(8)+'LINEST VARS'!$R$50*($EQ$8)+'LINEST VARS'!$Q$50*(0.5)+'LINEST VARS'!$P$50*($DV14)+'LINEST VARS'!$O$50*(8^2)+'LINEST VARS'!$N$50*(8^2)+'LINEST VARS'!$M$50*($EQ$8^2)+'LINEST VARS'!$L$50*(0.5^2)+'LINEST VARS'!$K$50*($DV14^2)+'LINEST VARS'!$J$50*(8*8)+'LINEST VARS'!$I$50*(8*$EQ$8)+'LINEST VARS'!$H$50*(8*0.5)+'LINEST VARS'!$G$50*(8*$DV14)+'LINEST VARS'!$F$50*(8*$EQ$8)+'LINEST VARS'!$E$50*(8*0.5)+'LINEST VARS'!$D$50*(8*$DV14)+'LINEST VARS'!$C$50*($EQ$8*0.5)+'LINEST VARS'!$B$50*($EQ$8*$DV14)+'LINEST VARS'!$A$50*(0.5*$DV14)</f>
        <v>331.99999999999989</v>
      </c>
    </row>
    <row r="15" spans="2:150" ht="15" customHeight="1" x14ac:dyDescent="0.25">
      <c r="B15" s="45">
        <v>7.76</v>
      </c>
      <c r="C15" s="46">
        <f>'LINEST VARS'!$U$48+'LINEST VARS'!$T$48*($C$8)+'LINEST VARS'!$S$48*($B15)+'LINEST VARS'!$R$48*(4)+'LINEST VARS'!$Q$48*(0.5)+'LINEST VARS'!$P$48*(12.73)+'LINEST VARS'!$O$48*($C$8^2)+'LINEST VARS'!$N$48*($B15^2)+'LINEST VARS'!$M$48*(4^2)+'LINEST VARS'!$L$48*(0.5^2)+'LINEST VARS'!$K$48*(12.73^2)+'LINEST VARS'!$J$48*($C$8*$B15)+'LINEST VARS'!$I$48*($C$8*4)+'LINEST VARS'!$H$48*($C$8*0.5)+'LINEST VARS'!$G$48*($C$8*12.73)+'LINEST VARS'!$F$48*($B15*4)+'LINEST VARS'!$E$48*($B15*0.5)+'LINEST VARS'!$D$48*($B15*12.73)+'LINEST VARS'!$C$48*(4*0.5)+'LINEST VARS'!$B$48*(4*12.73)+'LINEST VARS'!$A$48*(0.5*12.73)</f>
        <v>321.87999999999988</v>
      </c>
      <c r="D15" s="46">
        <f>'LINEST VARS'!$U$48+'LINEST VARS'!$T$48*($D$8)+'LINEST VARS'!$S$48*($B15)+'LINEST VARS'!$R$48*(4)+'LINEST VARS'!$Q$48*(0.5)+'LINEST VARS'!$P$48*(12.73)+'LINEST VARS'!$O$48*($D$8^2)+'LINEST VARS'!$N$48*($B15^2)+'LINEST VARS'!$M$48*(4^2)+'LINEST VARS'!$L$48*(0.5^2)+'LINEST VARS'!$K$48*(12.73^2)+'LINEST VARS'!$J$48*($D$8*$B15)+'LINEST VARS'!$I$48*($D$8*4)+'LINEST VARS'!$H$48*($D$8*0.5)+'LINEST VARS'!$G$48*($D$8*12.73)+'LINEST VARS'!$F$48*($B15*4)+'LINEST VARS'!$E$48*($B15*0.5)+'LINEST VARS'!$D$48*($B15*12.73)+'LINEST VARS'!$C$48*(4*0.5)+'LINEST VARS'!$B$48*(4*12.73)+'LINEST VARS'!$A$48*(0.5*12.73)</f>
        <v>326.45799999999991</v>
      </c>
      <c r="E15" s="46">
        <f>'LINEST VARS'!$U$48+'LINEST VARS'!$T$48*($E$8)+'LINEST VARS'!$S$48*($B15)+'LINEST VARS'!$R$48*(4)+'LINEST VARS'!$Q$48*(0.5)+'LINEST VARS'!$P$48*(12.73)+'LINEST VARS'!$O$48*($E$8^2)+'LINEST VARS'!$N$48*($B15^2)+'LINEST VARS'!$M$48*(4^2)+'LINEST VARS'!$L$48*(0.5^2)+'LINEST VARS'!$K$48*(12.73^2)+'LINEST VARS'!$J$48*($E$8*$B15)+'LINEST VARS'!$I$48*($E$8*4)+'LINEST VARS'!$H$48*($E$8*0.5)+'LINEST VARS'!$G$48*($E$8*12.73)+'LINEST VARS'!$F$48*($B15*4)+'LINEST VARS'!$E$48*($B15*0.5)+'LINEST VARS'!$D$48*($B15*12.73)+'LINEST VARS'!$C$48*(4*0.5)+'LINEST VARS'!$B$48*(4*12.73)+'LINEST VARS'!$A$48*(0.5*12.73)</f>
        <v>331.07199999999989</v>
      </c>
      <c r="F15" s="46">
        <f>'LINEST VARS'!$U$48+'LINEST VARS'!$T$48*($F$8)+'LINEST VARS'!$S$48*($B15)+'LINEST VARS'!$R$48*(4)+'LINEST VARS'!$Q$48*(0.5)+'LINEST VARS'!$P$48*(12.73)+'LINEST VARS'!$O$48*($F$8^2)+'LINEST VARS'!$N$48*($B15^2)+'LINEST VARS'!$M$48*(4^2)+'LINEST VARS'!$L$48*(0.5^2)+'LINEST VARS'!$K$48*(12.73^2)+'LINEST VARS'!$J$48*($F$8*$B15)+'LINEST VARS'!$I$48*($F$8*4)+'LINEST VARS'!$H$48*($F$8*0.5)+'LINEST VARS'!$G$48*($F$8*12.73)+'LINEST VARS'!$F$48*($B15*4)+'LINEST VARS'!$E$48*($B15*0.5)+'LINEST VARS'!$D$48*($B15*12.73)+'LINEST VARS'!$C$48*(4*0.5)+'LINEST VARS'!$B$48*(4*12.73)+'LINEST VARS'!$A$48*(0.5*12.73)</f>
        <v>335.72199999999992</v>
      </c>
      <c r="G15" s="46">
        <f>'LINEST VARS'!$U$48+'LINEST VARS'!$T$48*($G$8)+'LINEST VARS'!$S$48*($B15)+'LINEST VARS'!$R$48*(4)+'LINEST VARS'!$Q$48*(0.5)+'LINEST VARS'!$P$48*(12.73)+'LINEST VARS'!$O$48*($G$8^2)+'LINEST VARS'!$N$48*($B15^2)+'LINEST VARS'!$M$48*(4^2)+'LINEST VARS'!$L$48*(0.5^2)+'LINEST VARS'!$K$48*(12.73^2)+'LINEST VARS'!$J$48*($G$8*$B15)+'LINEST VARS'!$I$48*($G$8*4)+'LINEST VARS'!$H$48*($G$8*0.5)+'LINEST VARS'!$G$48*($G$8*12.73)+'LINEST VARS'!$F$48*($B15*4)+'LINEST VARS'!$E$48*($B15*0.5)+'LINEST VARS'!$D$48*($B15*12.73)+'LINEST VARS'!$C$48*(4*0.5)+'LINEST VARS'!$B$48*(4*12.73)+'LINEST VARS'!$A$48*(0.5*12.73)</f>
        <v>340.40799999999984</v>
      </c>
      <c r="H15" s="46">
        <f>'LINEST VARS'!$U$48+'LINEST VARS'!$T$48*($H$8)+'LINEST VARS'!$S$48*($B15)+'LINEST VARS'!$R$48*(4)+'LINEST VARS'!$Q$48*(0.5)+'LINEST VARS'!$P$48*(12.73)+'LINEST VARS'!$O$48*($H$8^2)+'LINEST VARS'!$N$48*($B15^2)+'LINEST VARS'!$M$48*(4^2)+'LINEST VARS'!$L$48*(0.5^2)+'LINEST VARS'!$K$48*(12.73^2)+'LINEST VARS'!$J$48*($H$8*$B15)+'LINEST VARS'!$I$48*($H$8*4)+'LINEST VARS'!$H$48*($H$8*0.5)+'LINEST VARS'!$G$48*($H$8*12.73)+'LINEST VARS'!$F$48*($B15*4)+'LINEST VARS'!$E$48*($B15*0.5)+'LINEST VARS'!$D$48*($B15*12.73)+'LINEST VARS'!$C$48*(4*0.5)+'LINEST VARS'!$B$48*(4*12.73)+'LINEST VARS'!$A$48*(0.5*12.73)</f>
        <v>345.12999999999994</v>
      </c>
      <c r="I15" s="46">
        <f>'LINEST VARS'!$U$48+'LINEST VARS'!$T$48*($I$8)+'LINEST VARS'!$S$48*($B15)+'LINEST VARS'!$R$48*(4)+'LINEST VARS'!$Q$48*(0.5)+'LINEST VARS'!$P$48*(12.73)+'LINEST VARS'!$O$48*($I$8^2)+'LINEST VARS'!$N$48*($B15^2)+'LINEST VARS'!$M$48*(4^2)+'LINEST VARS'!$L$48*(0.5^2)+'LINEST VARS'!$K$48*(12.73^2)+'LINEST VARS'!$J$48*($I$8*$B15)+'LINEST VARS'!$I$48*($I$8*4)+'LINEST VARS'!$H$48*($I$8*0.5)+'LINEST VARS'!$G$48*($I$8*12.73)+'LINEST VARS'!$F$48*($B15*4)+'LINEST VARS'!$E$48*($B15*0.5)+'LINEST VARS'!$D$48*($B15*12.73)+'LINEST VARS'!$C$48*(4*0.5)+'LINEST VARS'!$B$48*(4*12.73)+'LINEST VARS'!$A$48*(0.5*12.73)</f>
        <v>349.88799999999986</v>
      </c>
      <c r="J15" s="46">
        <f>'LINEST VARS'!$U$48+'LINEST VARS'!$T$48*($J$8)+'LINEST VARS'!$S$48*($B15)+'LINEST VARS'!$R$48*(4)+'LINEST VARS'!$Q$48*(0.5)+'LINEST VARS'!$P$48*(12.73)+'LINEST VARS'!$O$48*($J$8^2)+'LINEST VARS'!$N$48*($B15^2)+'LINEST VARS'!$M$48*(4^2)+'LINEST VARS'!$L$48*(0.5^2)+'LINEST VARS'!$K$48*(12.73^2)+'LINEST VARS'!$J$48*($J$8*$B15)+'LINEST VARS'!$I$48*($J$8*4)+'LINEST VARS'!$H$48*($J$8*0.5)+'LINEST VARS'!$G$48*($J$8*12.73)+'LINEST VARS'!$F$48*($B15*4)+'LINEST VARS'!$E$48*($B15*0.5)+'LINEST VARS'!$D$48*($B15*12.73)+'LINEST VARS'!$C$48*(4*0.5)+'LINEST VARS'!$B$48*(4*12.73)+'LINEST VARS'!$A$48*(0.5*12.73)</f>
        <v>354.6819999999999</v>
      </c>
      <c r="K15" s="46">
        <f>'LINEST VARS'!$U$48+'LINEST VARS'!$T$48*($K$8)+'LINEST VARS'!$S$48*($B15)+'LINEST VARS'!$R$48*(4)+'LINEST VARS'!$Q$48*(0.5)+'LINEST VARS'!$P$48*(12.73)+'LINEST VARS'!$O$48*($K$8^2)+'LINEST VARS'!$N$48*($B15^2)+'LINEST VARS'!$M$48*(4^2)+'LINEST VARS'!$L$48*(0.5^2)+'LINEST VARS'!$K$48*(12.73^2)+'LINEST VARS'!$J$48*($K$8*$B15)+'LINEST VARS'!$I$48*($K$8*4)+'LINEST VARS'!$H$48*($K$8*0.5)+'LINEST VARS'!$G$48*($K$8*12.73)+'LINEST VARS'!$F$48*($B15*4)+'LINEST VARS'!$E$48*($B15*0.5)+'LINEST VARS'!$D$48*($B15*12.73)+'LINEST VARS'!$C$48*(4*0.5)+'LINEST VARS'!$B$48*(4*12.73)+'LINEST VARS'!$A$48*(0.5*12.73)</f>
        <v>359.51199999999994</v>
      </c>
      <c r="L15" s="46">
        <f>'LINEST VARS'!$U$48+'LINEST VARS'!$T$48*($L$8)+'LINEST VARS'!$S$48*($B15)+'LINEST VARS'!$R$48*(4)+'LINEST VARS'!$Q$48*(0.5)+'LINEST VARS'!$P$48*(12.73)+'LINEST VARS'!$O$48*($L$8^2)+'LINEST VARS'!$N$48*($B15^2)+'LINEST VARS'!$M$48*(4^2)+'LINEST VARS'!$L$48*(0.5^2)+'LINEST VARS'!$K$48*(12.73^2)+'LINEST VARS'!$J$48*($L$8*$B15)+'LINEST VARS'!$I$48*($L$8*4)+'LINEST VARS'!$H$48*($L$8*0.5)+'LINEST VARS'!$G$48*($L$8*12.73)+'LINEST VARS'!$F$48*($B15*4)+'LINEST VARS'!$E$48*($B15*0.5)+'LINEST VARS'!$D$48*($B15*12.73)+'LINEST VARS'!$C$48*(4*0.5)+'LINEST VARS'!$B$48*(4*12.73)+'LINEST VARS'!$A$48*(0.5*12.73)</f>
        <v>364.37799999999993</v>
      </c>
      <c r="M15" s="46">
        <f>'LINEST VARS'!$U$48+'LINEST VARS'!$T$48*($M$8)+'LINEST VARS'!$S$48*($B15)+'LINEST VARS'!$R$48*(4)+'LINEST VARS'!$Q$48*(0.5)+'LINEST VARS'!$P$48*(12.73)+'LINEST VARS'!$O$48*($M$8^2)+'LINEST VARS'!$N$48*($B15^2)+'LINEST VARS'!$M$48*(4^2)+'LINEST VARS'!$L$48*(0.5^2)+'LINEST VARS'!$K$48*(12.73^2)+'LINEST VARS'!$J$48*($M$8*$B15)+'LINEST VARS'!$I$48*($M$8*4)+'LINEST VARS'!$H$48*($M$8*0.5)+'LINEST VARS'!$G$48*($M$8*12.73)+'LINEST VARS'!$F$48*($B15*4)+'LINEST VARS'!$E$48*($B15*0.5)+'LINEST VARS'!$D$48*($B15*12.73)+'LINEST VARS'!$C$48*(4*0.5)+'LINEST VARS'!$B$48*(4*12.73)+'LINEST VARS'!$A$48*(0.5*12.73)</f>
        <v>369.27999999999986</v>
      </c>
      <c r="N15" s="46">
        <f>'LINEST VARS'!$U$48+'LINEST VARS'!$T$48*($N$8)+'LINEST VARS'!$S$48*($B15)+'LINEST VARS'!$R$48*(4)+'LINEST VARS'!$Q$48*(0.5)+'LINEST VARS'!$P$48*(12.73)+'LINEST VARS'!$O$48*($N$8^2)+'LINEST VARS'!$N$48*($B15^2)+'LINEST VARS'!$M$48*(4^2)+'LINEST VARS'!$L$48*(0.5^2)+'LINEST VARS'!$K$48*(12.73^2)+'LINEST VARS'!$J$48*($N$8*$B15)+'LINEST VARS'!$I$48*($N$8*4)+'LINEST VARS'!$H$48*($N$8*0.5)+'LINEST VARS'!$G$48*($N$8*12.73)+'LINEST VARS'!$F$48*($B15*4)+'LINEST VARS'!$E$48*($B15*0.5)+'LINEST VARS'!$D$48*($B15*12.73)+'LINEST VARS'!$C$48*(4*0.5)+'LINEST VARS'!$B$48*(4*12.73)+'LINEST VARS'!$A$48*(0.5*12.73)</f>
        <v>374.2179999999999</v>
      </c>
      <c r="O15" s="46">
        <f>'LINEST VARS'!$U$48+'LINEST VARS'!$T$48*($O$8)+'LINEST VARS'!$S$48*($B15)+'LINEST VARS'!$R$48*(4)+'LINEST VARS'!$Q$48*(0.5)+'LINEST VARS'!$P$48*(12.73)+'LINEST VARS'!$O$48*($O$8^2)+'LINEST VARS'!$N$48*($B15^2)+'LINEST VARS'!$M$48*(4^2)+'LINEST VARS'!$L$48*(0.5^2)+'LINEST VARS'!$K$48*(12.73^2)+'LINEST VARS'!$J$48*($O$8*$B15)+'LINEST VARS'!$I$48*($O$8*4)+'LINEST VARS'!$H$48*($O$8*0.5)+'LINEST VARS'!$G$48*($O$8*12.73)+'LINEST VARS'!$F$48*($B15*4)+'LINEST VARS'!$E$48*($B15*0.5)+'LINEST VARS'!$D$48*($B15*12.73)+'LINEST VARS'!$C$48*(4*0.5)+'LINEST VARS'!$B$48*(4*12.73)+'LINEST VARS'!$A$48*(0.5*12.73)</f>
        <v>379.19199999999984</v>
      </c>
      <c r="P15" s="46">
        <f>'LINEST VARS'!$U$48+'LINEST VARS'!$T$48*($P$8)+'LINEST VARS'!$S$48*($B15)+'LINEST VARS'!$R$48*(4)+'LINEST VARS'!$Q$48*(0.5)+'LINEST VARS'!$P$48*(12.73)+'LINEST VARS'!$O$48*($P$8^2)+'LINEST VARS'!$N$48*($B15^2)+'LINEST VARS'!$M$48*(4^2)+'LINEST VARS'!$L$48*(0.5^2)+'LINEST VARS'!$K$48*(12.73^2)+'LINEST VARS'!$J$48*($P$8*$B15)+'LINEST VARS'!$I$48*($P$8*4)+'LINEST VARS'!$H$48*($P$8*0.5)+'LINEST VARS'!$G$48*($P$8*12.73)+'LINEST VARS'!$F$48*($B15*4)+'LINEST VARS'!$E$48*($B15*0.5)+'LINEST VARS'!$D$48*($B15*12.73)+'LINEST VARS'!$C$48*(4*0.5)+'LINEST VARS'!$B$48*(4*12.73)+'LINEST VARS'!$A$48*(0.5*12.73)</f>
        <v>384.20199999999983</v>
      </c>
      <c r="Q15" s="46">
        <f>'LINEST VARS'!$U$48+'LINEST VARS'!$T$48*($Q$8)+'LINEST VARS'!$S$48*($B15)+'LINEST VARS'!$R$48*(4)+'LINEST VARS'!$Q$48*(0.5)+'LINEST VARS'!$P$48*(12.73)+'LINEST VARS'!$O$48*($Q$8^2)+'LINEST VARS'!$N$48*($B15^2)+'LINEST VARS'!$M$48*(4^2)+'LINEST VARS'!$L$48*(0.5^2)+'LINEST VARS'!$K$48*(12.73^2)+'LINEST VARS'!$J$48*($Q$8*$B15)+'LINEST VARS'!$I$48*($Q$8*4)+'LINEST VARS'!$H$48*($Q$8*0.5)+'LINEST VARS'!$G$48*($Q$8*12.73)+'LINEST VARS'!$F$48*($B15*4)+'LINEST VARS'!$E$48*($B15*0.5)+'LINEST VARS'!$D$48*($B15*12.73)+'LINEST VARS'!$C$48*(4*0.5)+'LINEST VARS'!$B$48*(4*12.73)+'LINEST VARS'!$A$48*(0.5*12.73)</f>
        <v>389.24799999999982</v>
      </c>
      <c r="R15" s="46">
        <f>'LINEST VARS'!$U$48+'LINEST VARS'!$T$48*($R$8)+'LINEST VARS'!$S$48*($B15)+'LINEST VARS'!$R$48*(4)+'LINEST VARS'!$Q$48*(0.5)+'LINEST VARS'!$P$48*(12.73)+'LINEST VARS'!$O$48*($R$8^2)+'LINEST VARS'!$N$48*($B15^2)+'LINEST VARS'!$M$48*(4^2)+'LINEST VARS'!$L$48*(0.5^2)+'LINEST VARS'!$K$48*(12.73^2)+'LINEST VARS'!$J$48*($R$8*$B15)+'LINEST VARS'!$I$48*($R$8*4)+'LINEST VARS'!$H$48*($R$8*0.5)+'LINEST VARS'!$G$48*($R$8*12.73)+'LINEST VARS'!$F$48*($B15*4)+'LINEST VARS'!$E$48*($B15*0.5)+'LINEST VARS'!$D$48*($B15*12.73)+'LINEST VARS'!$C$48*(4*0.5)+'LINEST VARS'!$B$48*(4*12.73)+'LINEST VARS'!$A$48*(0.5*12.73)</f>
        <v>394.32999999999987</v>
      </c>
      <c r="S15" s="46">
        <f>'LINEST VARS'!$U$48+'LINEST VARS'!$T$48*($S$8)+'LINEST VARS'!$S$48*($B15)+'LINEST VARS'!$R$48*(4)+'LINEST VARS'!$Q$48*(0.5)+'LINEST VARS'!$P$48*(12.73)+'LINEST VARS'!$O$48*($S$8^2)+'LINEST VARS'!$N$48*($B15^2)+'LINEST VARS'!$M$48*(4^2)+'LINEST VARS'!$L$48*(0.5^2)+'LINEST VARS'!$K$48*(12.73^2)+'LINEST VARS'!$J$48*($S$8*$B15)+'LINEST VARS'!$I$48*($S$8*4)+'LINEST VARS'!$H$48*($S$8*0.5)+'LINEST VARS'!$G$48*($S$8*12.73)+'LINEST VARS'!$F$48*($B15*4)+'LINEST VARS'!$E$48*($B15*0.5)+'LINEST VARS'!$D$48*($B15*12.73)+'LINEST VARS'!$C$48*(4*0.5)+'LINEST VARS'!$B$48*(4*12.73)+'LINEST VARS'!$A$48*(0.5*12.73)</f>
        <v>399.44799999999981</v>
      </c>
      <c r="T15" s="46">
        <f>'LINEST VARS'!$U$48+'LINEST VARS'!$T$48*($T$8)+'LINEST VARS'!$S$48*($B15)+'LINEST VARS'!$R$48*(4)+'LINEST VARS'!$Q$48*(0.5)+'LINEST VARS'!$P$48*(12.73)+'LINEST VARS'!$O$48*($T$8^2)+'LINEST VARS'!$N$48*($B15^2)+'LINEST VARS'!$M$48*(4^2)+'LINEST VARS'!$L$48*(0.5^2)+'LINEST VARS'!$K$48*(12.73^2)+'LINEST VARS'!$J$48*($T$8*$B15)+'LINEST VARS'!$I$48*($T$8*4)+'LINEST VARS'!$H$48*($T$8*0.5)+'LINEST VARS'!$G$48*($T$8*12.73)+'LINEST VARS'!$F$48*($B15*4)+'LINEST VARS'!$E$48*($B15*0.5)+'LINEST VARS'!$D$48*($B15*12.73)+'LINEST VARS'!$C$48*(4*0.5)+'LINEST VARS'!$B$48*(4*12.73)+'LINEST VARS'!$A$48*(0.5*12.73)</f>
        <v>404.60199999999986</v>
      </c>
      <c r="U15" s="46">
        <f>'LINEST VARS'!$U$48+'LINEST VARS'!$T$48*($U$8)+'LINEST VARS'!$S$48*($B15)+'LINEST VARS'!$R$48*(4)+'LINEST VARS'!$Q$48*(0.5)+'LINEST VARS'!$P$48*(12.73)+'LINEST VARS'!$O$48*($U$8^2)+'LINEST VARS'!$N$48*($B15^2)+'LINEST VARS'!$M$48*(4^2)+'LINEST VARS'!$L$48*(0.5^2)+'LINEST VARS'!$K$48*(12.73^2)+'LINEST VARS'!$J$48*($U$8*$B15)+'LINEST VARS'!$I$48*($U$8*4)+'LINEST VARS'!$H$48*($U$8*0.5)+'LINEST VARS'!$G$48*($U$8*12.73)+'LINEST VARS'!$F$48*($B15*4)+'LINEST VARS'!$E$48*($B15*0.5)+'LINEST VARS'!$D$48*($B15*12.73)+'LINEST VARS'!$C$48*(4*0.5)+'LINEST VARS'!$B$48*(4*12.73)+'LINEST VARS'!$A$48*(0.5*12.73)</f>
        <v>409.79199999999992</v>
      </c>
      <c r="V15" s="46">
        <f>'LINEST VARS'!$U$48+'LINEST VARS'!$T$48*($V$8)+'LINEST VARS'!$S$48*($B15)+'LINEST VARS'!$R$48*(4)+'LINEST VARS'!$Q$48*(0.5)+'LINEST VARS'!$P$48*(12.73)+'LINEST VARS'!$O$48*($V$8^2)+'LINEST VARS'!$N$48*($B15^2)+'LINEST VARS'!$M$48*(4^2)+'LINEST VARS'!$L$48*(0.5^2)+'LINEST VARS'!$K$48*(12.73^2)+'LINEST VARS'!$J$48*($V$8*$B15)+'LINEST VARS'!$I$48*($V$8*4)+'LINEST VARS'!$H$48*($V$8*0.5)+'LINEST VARS'!$G$48*($V$8*12.73)+'LINEST VARS'!$F$48*($B15*4)+'LINEST VARS'!$E$48*($B15*0.5)+'LINEST VARS'!$D$48*($B15*12.73)+'LINEST VARS'!$C$48*(4*0.5)+'LINEST VARS'!$B$48*(4*12.73)+'LINEST VARS'!$A$48*(0.5*12.73)</f>
        <v>415.0179999999998</v>
      </c>
      <c r="W15" s="47">
        <f>'LINEST VARS'!$U$48+'LINEST VARS'!$T$48*($W$8)+'LINEST VARS'!$S$48*($B15)+'LINEST VARS'!$R$48*(4)+'LINEST VARS'!$Q$48*(0.5)+'LINEST VARS'!$P$48*(12.73)+'LINEST VARS'!$O$48*($W$8^2)+'LINEST VARS'!$N$48*($B15^2)+'LINEST VARS'!$M$48*(4^2)+'LINEST VARS'!$L$48*(0.5^2)+'LINEST VARS'!$K$48*(12.73^2)+'LINEST VARS'!$J$48*($W$8*$B15)+'LINEST VARS'!$I$48*($W$8*4)+'LINEST VARS'!$H$48*($W$8*0.5)+'LINEST VARS'!$G$48*($W$8*12.73)+'LINEST VARS'!$F$48*($B15*4)+'LINEST VARS'!$E$48*($B15*0.5)+'LINEST VARS'!$D$48*($B15*12.73)+'LINEST VARS'!$C$48*(4*0.5)+'LINEST VARS'!$B$48*(4*12.73)+'LINEST VARS'!$A$48*(0.5*12.73)</f>
        <v>420.27999999999986</v>
      </c>
      <c r="Z15" s="45">
        <v>7.76</v>
      </c>
      <c r="AA15" s="46">
        <f>'LINEST VARS'!$U$50+'LINEST VARS'!$T$50*($AA$8)+'LINEST VARS'!$S$50*($Z15)+'LINEST VARS'!$R$50*(4)+'LINEST VARS'!$Q$50*(0.5)+'LINEST VARS'!$P$50*(12.73)+'LINEST VARS'!$O$50*($AA$8^2)+'LINEST VARS'!$N$50*($Z15^2)+'LINEST VARS'!$M$50*(4^2)+'LINEST VARS'!$L$50*(0.5^2)+'LINEST VARS'!$K$50*(12.73^2)+'LINEST VARS'!$J$50*($AA$8*$Z15)+'LINEST VARS'!$I$50*($AA$8*4)+'LINEST VARS'!$H$50*($AA$8*0.5)+'LINEST VARS'!$G$50*($AA$8*12.73)+'LINEST VARS'!$F$50*($Z15*4)+'LINEST VARS'!$E$50*($Z15*0.5)+'LINEST VARS'!$D$50*($Z15*12.73)+'LINEST VARS'!$C$50*(4*0.5)+'LINEST VARS'!$B$50*(4*12.73)+'LINEST VARS'!$A$50*(0.5*12.73)</f>
        <v>330.49999999999994</v>
      </c>
      <c r="AB15" s="46">
        <f>'LINEST VARS'!$U$50+'LINEST VARS'!$T$50*($AB$8)+'LINEST VARS'!$S$50*($Z15)+'LINEST VARS'!$R$50*(4)+'LINEST VARS'!$Q$50*(0.5)+'LINEST VARS'!$P$50*(12.73)+'LINEST VARS'!$O$50*($AB$8^2)+'LINEST VARS'!$N$50*($Z15^2)+'LINEST VARS'!$M$50*(4^2)+'LINEST VARS'!$L$50*(0.5^2)+'LINEST VARS'!$K$50*(12.73^2)+'LINEST VARS'!$J$50*($AB$8*$Z15)+'LINEST VARS'!$I$50*($AB$8*4)+'LINEST VARS'!$H$50*($AB$8*0.5)+'LINEST VARS'!$G$50*($AB$8*12.73)+'LINEST VARS'!$F$50*($Z15*4)+'LINEST VARS'!$E$50*($Z15*0.5)+'LINEST VARS'!$D$50*($Z15*12.73)+'LINEST VARS'!$C$50*(4*0.5)+'LINEST VARS'!$B$50*(4*12.73)+'LINEST VARS'!$A$50*(0.5*12.73)</f>
        <v>330.58999999999992</v>
      </c>
      <c r="AC15" s="46">
        <f>'LINEST VARS'!$U$50+'LINEST VARS'!$T$50*($AC$8)+'LINEST VARS'!$S$50*($Z15)+'LINEST VARS'!$R$50*(4)+'LINEST VARS'!$Q$50*(0.5)+'LINEST VARS'!$P$50*(12.73)+'LINEST VARS'!$O$50*($AC$8^2)+'LINEST VARS'!$N$50*($Z15^2)+'LINEST VARS'!$M$50*(4^2)+'LINEST VARS'!$L$50*(0.5^2)+'LINEST VARS'!$K$50*(12.73^2)+'LINEST VARS'!$J$50*($AC$8*$Z15)+'LINEST VARS'!$I$50*($AC$8*4)+'LINEST VARS'!$H$50*($AC$8*0.5)+'LINEST VARS'!$G$50*($AC$8*12.73)+'LINEST VARS'!$F$50*($Z15*4)+'LINEST VARS'!$E$50*($Z15*0.5)+'LINEST VARS'!$D$50*($Z15*12.73)+'LINEST VARS'!$C$50*(4*0.5)+'LINEST VARS'!$B$50*(4*12.73)+'LINEST VARS'!$A$50*(0.5*12.73)</f>
        <v>330.67999999999995</v>
      </c>
      <c r="AD15" s="46">
        <f>'LINEST VARS'!$U$50+'LINEST VARS'!$T$50*($AD$8)+'LINEST VARS'!$S$50*($Z15)+'LINEST VARS'!$R$50*(4)+'LINEST VARS'!$Q$50*(0.5)+'LINEST VARS'!$P$50*(12.73)+'LINEST VARS'!$O$50*($AD$8^2)+'LINEST VARS'!$N$50*($Z15^2)+'LINEST VARS'!$M$50*(4^2)+'LINEST VARS'!$L$50*(0.5^2)+'LINEST VARS'!$K$50*(12.73^2)+'LINEST VARS'!$J$50*($AD$8*$Z15)+'LINEST VARS'!$I$50*($AD$8*4)+'LINEST VARS'!$H$50*($AD$8*0.5)+'LINEST VARS'!$G$50*($AD$8*12.73)+'LINEST VARS'!$F$50*($Z15*4)+'LINEST VARS'!$E$50*($Z15*0.5)+'LINEST VARS'!$D$50*($Z15*12.73)+'LINEST VARS'!$C$50*(4*0.5)+'LINEST VARS'!$B$50*(4*12.73)+'LINEST VARS'!$A$50*(0.5*12.73)</f>
        <v>330.76999999999992</v>
      </c>
      <c r="AE15" s="46">
        <f>'LINEST VARS'!$U$50+'LINEST VARS'!$T$50*($AE$8)+'LINEST VARS'!$S$50*($Z15)+'LINEST VARS'!$R$50*(4)+'LINEST VARS'!$Q$50*(0.5)+'LINEST VARS'!$P$50*(12.73)+'LINEST VARS'!$O$50*($AE$8^2)+'LINEST VARS'!$N$50*($Z15^2)+'LINEST VARS'!$M$50*(4^2)+'LINEST VARS'!$L$50*(0.5^2)+'LINEST VARS'!$K$50*(12.73^2)+'LINEST VARS'!$J$50*($AE$8*$Z15)+'LINEST VARS'!$I$50*($AE$8*4)+'LINEST VARS'!$H$50*($AE$8*0.5)+'LINEST VARS'!$G$50*($AE$8*12.73)+'LINEST VARS'!$F$50*($Z15*4)+'LINEST VARS'!$E$50*($Z15*0.5)+'LINEST VARS'!$D$50*($Z15*12.73)+'LINEST VARS'!$C$50*(4*0.5)+'LINEST VARS'!$B$50*(4*12.73)+'LINEST VARS'!$A$50*(0.5*12.73)</f>
        <v>330.8599999999999</v>
      </c>
      <c r="AF15" s="46">
        <f>'LINEST VARS'!$U$50+'LINEST VARS'!$T$50*($AF$8)+'LINEST VARS'!$S$50*($Z15)+'LINEST VARS'!$R$50*(4)+'LINEST VARS'!$Q$50*(0.5)+'LINEST VARS'!$P$50*(12.73)+'LINEST VARS'!$O$50*($AF$8^2)+'LINEST VARS'!$N$50*($Z15^2)+'LINEST VARS'!$M$50*(4^2)+'LINEST VARS'!$L$50*(0.5^2)+'LINEST VARS'!$K$50*(12.73^2)+'LINEST VARS'!$J$50*($AF$8*$Z15)+'LINEST VARS'!$I$50*($AF$8*4)+'LINEST VARS'!$H$50*($AF$8*0.5)+'LINEST VARS'!$G$50*($AF$8*12.73)+'LINEST VARS'!$F$50*($Z15*4)+'LINEST VARS'!$E$50*($Z15*0.5)+'LINEST VARS'!$D$50*($Z15*12.73)+'LINEST VARS'!$C$50*(4*0.5)+'LINEST VARS'!$B$50*(4*12.73)+'LINEST VARS'!$A$50*(0.5*12.73)</f>
        <v>330.94999999999993</v>
      </c>
      <c r="AG15" s="46">
        <f>'LINEST VARS'!$U$50+'LINEST VARS'!$T$50*($AG$8)+'LINEST VARS'!$S$50*($Z15)+'LINEST VARS'!$R$50*(4)+'LINEST VARS'!$Q$50*(0.5)+'LINEST VARS'!$P$50*(12.73)+'LINEST VARS'!$O$50*($AG$8^2)+'LINEST VARS'!$N$50*($Z15^2)+'LINEST VARS'!$M$50*(4^2)+'LINEST VARS'!$L$50*(0.5^2)+'LINEST VARS'!$K$50*(12.73^2)+'LINEST VARS'!$J$50*($AG$8*$Z15)+'LINEST VARS'!$I$50*($AG$8*4)+'LINEST VARS'!$H$50*($AG$8*0.5)+'LINEST VARS'!$G$50*($AG$8*12.73)+'LINEST VARS'!$F$50*($Z15*4)+'LINEST VARS'!$E$50*($Z15*0.5)+'LINEST VARS'!$D$50*($Z15*12.73)+'LINEST VARS'!$C$50*(4*0.5)+'LINEST VARS'!$B$50*(4*12.73)+'LINEST VARS'!$A$50*(0.5*12.73)</f>
        <v>331.03999999999991</v>
      </c>
      <c r="AH15" s="46">
        <f>'LINEST VARS'!$U$50+'LINEST VARS'!$T$50*($AH$8)+'LINEST VARS'!$S$50*($Z15)+'LINEST VARS'!$R$50*(4)+'LINEST VARS'!$Q$50*(0.5)+'LINEST VARS'!$P$50*(12.73)+'LINEST VARS'!$O$50*($AH$8^2)+'LINEST VARS'!$N$50*($Z15^2)+'LINEST VARS'!$M$50*(4^2)+'LINEST VARS'!$L$50*(0.5^2)+'LINEST VARS'!$K$50*(12.73^2)+'LINEST VARS'!$J$50*($AH$8*$Z15)+'LINEST VARS'!$I$50*($AH$8*4)+'LINEST VARS'!$H$50*($AH$8*0.5)+'LINEST VARS'!$G$50*($AH$8*12.73)+'LINEST VARS'!$F$50*($Z15*4)+'LINEST VARS'!$E$50*($Z15*0.5)+'LINEST VARS'!$D$50*($Z15*12.73)+'LINEST VARS'!$C$50*(4*0.5)+'LINEST VARS'!$B$50*(4*12.73)+'LINEST VARS'!$A$50*(0.5*12.73)</f>
        <v>331.12999999999994</v>
      </c>
      <c r="AI15" s="46">
        <f>'LINEST VARS'!$U$50+'LINEST VARS'!$T$50*($AI$8)+'LINEST VARS'!$S$50*($Z15)+'LINEST VARS'!$R$50*(4)+'LINEST VARS'!$Q$50*(0.5)+'LINEST VARS'!$P$50*(12.73)+'LINEST VARS'!$O$50*($AI$8^2)+'LINEST VARS'!$N$50*($Z15^2)+'LINEST VARS'!$M$50*(4^2)+'LINEST VARS'!$L$50*(0.5^2)+'LINEST VARS'!$K$50*(12.73^2)+'LINEST VARS'!$J$50*($AI$8*$Z15)+'LINEST VARS'!$I$50*($AI$8*4)+'LINEST VARS'!$H$50*($AI$8*0.5)+'LINEST VARS'!$G$50*($AI$8*12.73)+'LINEST VARS'!$F$50*($Z15*4)+'LINEST VARS'!$E$50*($Z15*0.5)+'LINEST VARS'!$D$50*($Z15*12.73)+'LINEST VARS'!$C$50*(4*0.5)+'LINEST VARS'!$B$50*(4*12.73)+'LINEST VARS'!$A$50*(0.5*12.73)</f>
        <v>331.21999999999986</v>
      </c>
      <c r="AJ15" s="46">
        <f>'LINEST VARS'!$U$50+'LINEST VARS'!$T$50*($AJ$8)+'LINEST VARS'!$S$50*($Z15)+'LINEST VARS'!$R$50*(4)+'LINEST VARS'!$Q$50*(0.5)+'LINEST VARS'!$P$50*(12.73)+'LINEST VARS'!$O$50*($AJ$8^2)+'LINEST VARS'!$N$50*($Z15^2)+'LINEST VARS'!$M$50*(4^2)+'LINEST VARS'!$L$50*(0.5^2)+'LINEST VARS'!$K$50*(12.73^2)+'LINEST VARS'!$J$50*($AJ$8*$Z15)+'LINEST VARS'!$I$50*($AJ$8*4)+'LINEST VARS'!$H$50*($AJ$8*0.5)+'LINEST VARS'!$G$50*($AJ$8*12.73)+'LINEST VARS'!$F$50*($Z15*4)+'LINEST VARS'!$E$50*($Z15*0.5)+'LINEST VARS'!$D$50*($Z15*12.73)+'LINEST VARS'!$C$50*(4*0.5)+'LINEST VARS'!$B$50*(4*12.73)+'LINEST VARS'!$A$50*(0.5*12.73)</f>
        <v>331.30999999999989</v>
      </c>
      <c r="AK15" s="46">
        <f>'LINEST VARS'!$U$50+'LINEST VARS'!$T$50*($AK$8)+'LINEST VARS'!$S$50*($Z15)+'LINEST VARS'!$R$50*(4)+'LINEST VARS'!$Q$50*(0.5)+'LINEST VARS'!$P$50*(12.73)+'LINEST VARS'!$O$50*($AK$8^2)+'LINEST VARS'!$N$50*($Z15^2)+'LINEST VARS'!$M$50*(4^2)+'LINEST VARS'!$L$50*(0.5^2)+'LINEST VARS'!$K$50*(12.73^2)+'LINEST VARS'!$J$50*($AK$8*$Z15)+'LINEST VARS'!$I$50*($AK$8*4)+'LINEST VARS'!$H$50*($AK$8*0.5)+'LINEST VARS'!$G$50*($AK$8*12.73)+'LINEST VARS'!$F$50*($Z15*4)+'LINEST VARS'!$E$50*($Z15*0.5)+'LINEST VARS'!$D$50*($Z15*12.73)+'LINEST VARS'!$C$50*(4*0.5)+'LINEST VARS'!$B$50*(4*12.73)+'LINEST VARS'!$A$50*(0.5*12.73)</f>
        <v>331.39999999999986</v>
      </c>
      <c r="AL15" s="46">
        <f>'LINEST VARS'!$U$50+'LINEST VARS'!$T$50*($AL$8)+'LINEST VARS'!$S$50*($Z15)+'LINEST VARS'!$R$50*(4)+'LINEST VARS'!$Q$50*(0.5)+'LINEST VARS'!$P$50*(12.73)+'LINEST VARS'!$O$50*($AL$8^2)+'LINEST VARS'!$N$50*($Z15^2)+'LINEST VARS'!$M$50*(4^2)+'LINEST VARS'!$L$50*(0.5^2)+'LINEST VARS'!$K$50*(12.73^2)+'LINEST VARS'!$J$50*($AL$8*$Z15)+'LINEST VARS'!$I$50*($AL$8*4)+'LINEST VARS'!$H$50*($AL$8*0.5)+'LINEST VARS'!$G$50*($AL$8*12.73)+'LINEST VARS'!$F$50*($Z15*4)+'LINEST VARS'!$E$50*($Z15*0.5)+'LINEST VARS'!$D$50*($Z15*12.73)+'LINEST VARS'!$C$50*(4*0.5)+'LINEST VARS'!$B$50*(4*12.73)+'LINEST VARS'!$A$50*(0.5*12.73)</f>
        <v>331.48999999999984</v>
      </c>
      <c r="AM15" s="46">
        <f>'LINEST VARS'!$U$50+'LINEST VARS'!$T$50*($AM$8)+'LINEST VARS'!$S$50*($Z15)+'LINEST VARS'!$R$50*(4)+'LINEST VARS'!$Q$50*(0.5)+'LINEST VARS'!$P$50*(12.73)+'LINEST VARS'!$O$50*($AM$8^2)+'LINEST VARS'!$N$50*($Z15^2)+'LINEST VARS'!$M$50*(4^2)+'LINEST VARS'!$L$50*(0.5^2)+'LINEST VARS'!$K$50*(12.73^2)+'LINEST VARS'!$J$50*($AM$8*$Z15)+'LINEST VARS'!$I$50*($AM$8*4)+'LINEST VARS'!$H$50*($AM$8*0.5)+'LINEST VARS'!$G$50*($AM$8*12.73)+'LINEST VARS'!$F$50*($Z15*4)+'LINEST VARS'!$E$50*($Z15*0.5)+'LINEST VARS'!$D$50*($Z15*12.73)+'LINEST VARS'!$C$50*(4*0.5)+'LINEST VARS'!$B$50*(4*12.73)+'LINEST VARS'!$A$50*(0.5*12.73)</f>
        <v>331.57999999999987</v>
      </c>
      <c r="AN15" s="46">
        <f>'LINEST VARS'!$U$50+'LINEST VARS'!$T$50*($AN$8)+'LINEST VARS'!$S$50*($Z15)+'LINEST VARS'!$R$50*(4)+'LINEST VARS'!$Q$50*(0.5)+'LINEST VARS'!$P$50*(12.73)+'LINEST VARS'!$O$50*($AN$8^2)+'LINEST VARS'!$N$50*($Z15^2)+'LINEST VARS'!$M$50*(4^2)+'LINEST VARS'!$L$50*(0.5^2)+'LINEST VARS'!$K$50*(12.73^2)+'LINEST VARS'!$J$50*($AN$8*$Z15)+'LINEST VARS'!$I$50*($AN$8*4)+'LINEST VARS'!$H$50*($AN$8*0.5)+'LINEST VARS'!$G$50*($AN$8*12.73)+'LINEST VARS'!$F$50*($Z15*4)+'LINEST VARS'!$E$50*($Z15*0.5)+'LINEST VARS'!$D$50*($Z15*12.73)+'LINEST VARS'!$C$50*(4*0.5)+'LINEST VARS'!$B$50*(4*12.73)+'LINEST VARS'!$A$50*(0.5*12.73)</f>
        <v>331.66999999999985</v>
      </c>
      <c r="AO15" s="46">
        <f>'LINEST VARS'!$U$50+'LINEST VARS'!$T$50*($AO$8)+'LINEST VARS'!$S$50*($Z15)+'LINEST VARS'!$R$50*(4)+'LINEST VARS'!$Q$50*(0.5)+'LINEST VARS'!$P$50*(12.73)+'LINEST VARS'!$O$50*($AO$8^2)+'LINEST VARS'!$N$50*($Z15^2)+'LINEST VARS'!$M$50*(4^2)+'LINEST VARS'!$L$50*(0.5^2)+'LINEST VARS'!$K$50*(12.73^2)+'LINEST VARS'!$J$50*($AO$8*$Z15)+'LINEST VARS'!$I$50*($AO$8*4)+'LINEST VARS'!$H$50*($AO$8*0.5)+'LINEST VARS'!$G$50*($AO$8*12.73)+'LINEST VARS'!$F$50*($Z15*4)+'LINEST VARS'!$E$50*($Z15*0.5)+'LINEST VARS'!$D$50*($Z15*12.73)+'LINEST VARS'!$C$50*(4*0.5)+'LINEST VARS'!$B$50*(4*12.73)+'LINEST VARS'!$A$50*(0.5*12.73)</f>
        <v>331.75999999999988</v>
      </c>
      <c r="AP15" s="46">
        <f>'LINEST VARS'!$U$50+'LINEST VARS'!$T$50*($AP$8)+'LINEST VARS'!$S$50*($Z15)+'LINEST VARS'!$R$50*(4)+'LINEST VARS'!$Q$50*(0.5)+'LINEST VARS'!$P$50*(12.73)+'LINEST VARS'!$O$50*($AP$8^2)+'LINEST VARS'!$N$50*($Z15^2)+'LINEST VARS'!$M$50*(4^2)+'LINEST VARS'!$L$50*(0.5^2)+'LINEST VARS'!$K$50*(12.73^2)+'LINEST VARS'!$J$50*($AP$8*$Z15)+'LINEST VARS'!$I$50*($AP$8*4)+'LINEST VARS'!$H$50*($AP$8*0.5)+'LINEST VARS'!$G$50*($AP$8*12.73)+'LINEST VARS'!$F$50*($Z15*4)+'LINEST VARS'!$E$50*($Z15*0.5)+'LINEST VARS'!$D$50*($Z15*12.73)+'LINEST VARS'!$C$50*(4*0.5)+'LINEST VARS'!$B$50*(4*12.73)+'LINEST VARS'!$A$50*(0.5*12.73)</f>
        <v>331.84999999999985</v>
      </c>
      <c r="AQ15" s="46">
        <f>'LINEST VARS'!$U$50+'LINEST VARS'!$T$50*($AQ$8)+'LINEST VARS'!$S$50*($Z15)+'LINEST VARS'!$R$50*(4)+'LINEST VARS'!$Q$50*(0.5)+'LINEST VARS'!$P$50*(12.73)+'LINEST VARS'!$O$50*($AQ$8^2)+'LINEST VARS'!$N$50*($Z15^2)+'LINEST VARS'!$M$50*(4^2)+'LINEST VARS'!$L$50*(0.5^2)+'LINEST VARS'!$K$50*(12.73^2)+'LINEST VARS'!$J$50*($AQ$8*$Z15)+'LINEST VARS'!$I$50*($AQ$8*4)+'LINEST VARS'!$H$50*($AQ$8*0.5)+'LINEST VARS'!$G$50*($AQ$8*12.73)+'LINEST VARS'!$F$50*($Z15*4)+'LINEST VARS'!$E$50*($Z15*0.5)+'LINEST VARS'!$D$50*($Z15*12.73)+'LINEST VARS'!$C$50*(4*0.5)+'LINEST VARS'!$B$50*(4*12.73)+'LINEST VARS'!$A$50*(0.5*12.73)</f>
        <v>331.93999999999988</v>
      </c>
      <c r="AR15" s="46">
        <f>'LINEST VARS'!$U$50+'LINEST VARS'!$T$50*($AR$8)+'LINEST VARS'!$S$50*($Z15)+'LINEST VARS'!$R$50*(4)+'LINEST VARS'!$Q$50*(0.5)+'LINEST VARS'!$P$50*(12.73)+'LINEST VARS'!$O$50*($AR$8^2)+'LINEST VARS'!$N$50*($Z15^2)+'LINEST VARS'!$M$50*(4^2)+'LINEST VARS'!$L$50*(0.5^2)+'LINEST VARS'!$K$50*(12.73^2)+'LINEST VARS'!$J$50*($AR$8*$Z15)+'LINEST VARS'!$I$50*($AR$8*4)+'LINEST VARS'!$H$50*($AR$8*0.5)+'LINEST VARS'!$G$50*($AR$8*12.73)+'LINEST VARS'!$F$50*($Z15*4)+'LINEST VARS'!$E$50*($Z15*0.5)+'LINEST VARS'!$D$50*($Z15*12.73)+'LINEST VARS'!$C$50*(4*0.5)+'LINEST VARS'!$B$50*(4*12.73)+'LINEST VARS'!$A$50*(0.5*12.73)</f>
        <v>332.02999999999986</v>
      </c>
      <c r="AS15" s="46">
        <f>'LINEST VARS'!$U$50+'LINEST VARS'!$T$50*($AS$8)+'LINEST VARS'!$S$50*($Z15)+'LINEST VARS'!$R$50*(4)+'LINEST VARS'!$Q$50*(0.5)+'LINEST VARS'!$P$50*(12.73)+'LINEST VARS'!$O$50*($AS$8^2)+'LINEST VARS'!$N$50*($Z15^2)+'LINEST VARS'!$M$50*(4^2)+'LINEST VARS'!$L$50*(0.5^2)+'LINEST VARS'!$K$50*(12.73^2)+'LINEST VARS'!$J$50*($AS$8*$Z15)+'LINEST VARS'!$I$50*($AS$8*4)+'LINEST VARS'!$H$50*($AS$8*0.5)+'LINEST VARS'!$G$50*($AS$8*12.73)+'LINEST VARS'!$F$50*($Z15*4)+'LINEST VARS'!$E$50*($Z15*0.5)+'LINEST VARS'!$D$50*($Z15*12.73)+'LINEST VARS'!$C$50*(4*0.5)+'LINEST VARS'!$B$50*(4*12.73)+'LINEST VARS'!$A$50*(0.5*12.73)</f>
        <v>332.11999999999983</v>
      </c>
      <c r="AT15" s="46">
        <f>'LINEST VARS'!$U$50+'LINEST VARS'!$T$50*($AT$8)+'LINEST VARS'!$S$50*($Z15)+'LINEST VARS'!$R$50*(4)+'LINEST VARS'!$Q$50*(0.5)+'LINEST VARS'!$P$50*(12.73)+'LINEST VARS'!$O$50*($AT$8^2)+'LINEST VARS'!$N$50*($Z15^2)+'LINEST VARS'!$M$50*(4^2)+'LINEST VARS'!$L$50*(0.5^2)+'LINEST VARS'!$K$50*(12.73^2)+'LINEST VARS'!$J$50*($AT$8*$Z15)+'LINEST VARS'!$I$50*($AT$8*4)+'LINEST VARS'!$H$50*($AT$8*0.5)+'LINEST VARS'!$G$50*($AT$8*12.73)+'LINEST VARS'!$F$50*($Z15*4)+'LINEST VARS'!$E$50*($Z15*0.5)+'LINEST VARS'!$D$50*($Z15*12.73)+'LINEST VARS'!$C$50*(4*0.5)+'LINEST VARS'!$B$50*(4*12.73)+'LINEST VARS'!$A$50*(0.5*12.73)</f>
        <v>332.20999999999987</v>
      </c>
      <c r="AU15" s="47">
        <f>'LINEST VARS'!$U$50+'LINEST VARS'!$T$50*($AU$8)+'LINEST VARS'!$S$50*($Z15)+'LINEST VARS'!$R$50*(4)+'LINEST VARS'!$Q$50*(0.5)+'LINEST VARS'!$P$50*(12.73)+'LINEST VARS'!$O$50*($AU$8^2)+'LINEST VARS'!$N$50*($Z15^2)+'LINEST VARS'!$M$50*(4^2)+'LINEST VARS'!$L$50*(0.5^2)+'LINEST VARS'!$K$50*(12.73^2)+'LINEST VARS'!$J$50*($AU$8*$Z15)+'LINEST VARS'!$I$50*($AU$8*4)+'LINEST VARS'!$H$50*($AU$8*0.5)+'LINEST VARS'!$G$50*($AU$8*12.73)+'LINEST VARS'!$F$50*($Z15*4)+'LINEST VARS'!$E$50*($Z15*0.5)+'LINEST VARS'!$D$50*($Z15*12.73)+'LINEST VARS'!$C$50*(4*0.5)+'LINEST VARS'!$B$50*(4*12.73)+'LINEST VARS'!$A$50*(0.5*12.73)</f>
        <v>332.29999999999984</v>
      </c>
      <c r="AZ15" s="45">
        <v>0.3</v>
      </c>
      <c r="BA15" s="46">
        <f>'LINEST VARS'!$U$48+'LINEST VARS'!$T$48*(8)+'LINEST VARS'!$S$48*(8)+'LINEST VARS'!$R$48*($BA$8)+'LINEST VARS'!$Q$48*($AZ15)+'LINEST VARS'!$P$48*(12.73)+'LINEST VARS'!$O$48*(8^2)+'LINEST VARS'!$N$48*(8^2)+'LINEST VARS'!$M$48*($BA$8^2)+'LINEST VARS'!$L$48*($AZ15^2)+'LINEST VARS'!$K$48*(12.73^2)+'LINEST VARS'!$J$48*(8*8)+'LINEST VARS'!$I$48*(8*$BA$8)+'LINEST VARS'!$H$48*(8*$AZ15)+'LINEST VARS'!$G$48*(8*12.73)+'LINEST VARS'!$F$48*(8*$BA$8)+'LINEST VARS'!$E$48*(8*$AZ15)+'LINEST VARS'!$D$48*(8*12.73)+'LINEST VARS'!$C$48*($BA$8*$AZ15)+'LINEST VARS'!$B$48*($BA$8*12.73)+'LINEST VARS'!$A$48*($AZ15*12.73)</f>
        <v>369.99999999999983</v>
      </c>
      <c r="BB15" s="46">
        <f>'LINEST VARS'!$U$48+'LINEST VARS'!$T$48*(8)+'LINEST VARS'!$S$48*(8)+'LINEST VARS'!$R$48*($BB$8)+'LINEST VARS'!$Q$48*($AZ15)+'LINEST VARS'!$P$48*(12.73)+'LINEST VARS'!$O$48*(8^2)+'LINEST VARS'!$N$48*(8^2)+'LINEST VARS'!$M$48*($BB$8^2)+'LINEST VARS'!$L$48*($AZ15^2)+'LINEST VARS'!$K$48*(12.73^2)+'LINEST VARS'!$J$48*(8*8)+'LINEST VARS'!$I$48*(8*$BB$8)+'LINEST VARS'!$H$48*(8*$AZ15)+'LINEST VARS'!$G$48*(8*12.73)+'LINEST VARS'!$F$48*(8*$BB$8)+'LINEST VARS'!$E$48*(8*$AZ15)+'LINEST VARS'!$D$48*(8*12.73)+'LINEST VARS'!$C$48*($BB$8*$AZ15)+'LINEST VARS'!$B$48*($BB$8*12.73)+'LINEST VARS'!$A$48*($AZ15*12.73)</f>
        <v>369.99999999999983</v>
      </c>
      <c r="BC15" s="46">
        <f>'LINEST VARS'!$U$48+'LINEST VARS'!$T$48*(8)+'LINEST VARS'!$S$48*(8)+'LINEST VARS'!$R$48*($BC$8)+'LINEST VARS'!$Q$48*($AZ15)+'LINEST VARS'!$P$48*(12.73)+'LINEST VARS'!$O$48*(8^2)+'LINEST VARS'!$N$48*(8^2)+'LINEST VARS'!$M$48*($BC$8^2)+'LINEST VARS'!$L$48*($AZ15^2)+'LINEST VARS'!$K$48*(12.73^2)+'LINEST VARS'!$J$48*(8*8)+'LINEST VARS'!$I$48*(8*$BC$8)+'LINEST VARS'!$H$48*(8*$AZ15)+'LINEST VARS'!$G$48*(8*12.73)+'LINEST VARS'!$F$48*(8*$BC$8)+'LINEST VARS'!$E$48*(8*$AZ15)+'LINEST VARS'!$D$48*(8*12.73)+'LINEST VARS'!$C$48*($BC$8*$AZ15)+'LINEST VARS'!$B$48*($BC$8*12.73)+'LINEST VARS'!$A$48*($AZ15*12.73)</f>
        <v>369.99999999999983</v>
      </c>
      <c r="BD15" s="46">
        <f>'LINEST VARS'!$U$48+'LINEST VARS'!$T$48*(8)+'LINEST VARS'!$S$48*(8)+'LINEST VARS'!$R$48*($BD$8)+'LINEST VARS'!$Q$48*($AZ15)+'LINEST VARS'!$P$48*(12.73)+'LINEST VARS'!$O$48*(8^2)+'LINEST VARS'!$N$48*(8^2)+'LINEST VARS'!$M$48*($BD$8^2)+'LINEST VARS'!$L$48*($AZ15^2)+'LINEST VARS'!$K$48*(12.73^2)+'LINEST VARS'!$J$48*(8*8)+'LINEST VARS'!$I$48*(8*$BD$8)+'LINEST VARS'!$H$48*(8*$AZ15)+'LINEST VARS'!$G$48*(8*12.73)+'LINEST VARS'!$F$48*(8*$BD$8)+'LINEST VARS'!$E$48*(8*$AZ15)+'LINEST VARS'!$D$48*(8*12.73)+'LINEST VARS'!$C$48*($BD$8*$AZ15)+'LINEST VARS'!$B$48*($BD$8*12.73)+'LINEST VARS'!$A$48*($AZ15*12.73)</f>
        <v>369.99999999999983</v>
      </c>
      <c r="BE15" s="46">
        <f>'LINEST VARS'!$U$48+'LINEST VARS'!$T$48*(8)+'LINEST VARS'!$S$48*(8)+'LINEST VARS'!$R$48*($BE$8)+'LINEST VARS'!$Q$48*($AZ15)+'LINEST VARS'!$P$48*(12.73)+'LINEST VARS'!$O$48*(8^2)+'LINEST VARS'!$N$48*(8^2)+'LINEST VARS'!$M$48*($BE$8^2)+'LINEST VARS'!$L$48*($AZ15^2)+'LINEST VARS'!$K$48*(12.73^2)+'LINEST VARS'!$J$48*(8*8)+'LINEST VARS'!$I$48*(8*$BE$8)+'LINEST VARS'!$H$48*(8*$AZ15)+'LINEST VARS'!$G$48*(8*12.73)+'LINEST VARS'!$F$48*(8*$BE$8)+'LINEST VARS'!$E$48*(8*$AZ15)+'LINEST VARS'!$D$48*(8*12.73)+'LINEST VARS'!$C$48*($BE$8*$AZ15)+'LINEST VARS'!$B$48*($BE$8*12.73)+'LINEST VARS'!$A$48*($AZ15*12.73)</f>
        <v>369.99999999999983</v>
      </c>
      <c r="BF15" s="46">
        <f>'LINEST VARS'!$U$48+'LINEST VARS'!$T$48*(8)+'LINEST VARS'!$S$48*(8)+'LINEST VARS'!$R$48*($BF$8)+'LINEST VARS'!$Q$48*($AZ15)+'LINEST VARS'!$P$48*(12.73)+'LINEST VARS'!$O$48*(8^2)+'LINEST VARS'!$N$48*(8^2)+'LINEST VARS'!$M$48*($BF$8^2)+'LINEST VARS'!$L$48*($AZ15^2)+'LINEST VARS'!$K$48*(12.73^2)+'LINEST VARS'!$J$48*(8*8)+'LINEST VARS'!$I$48*(8*$BF$8)+'LINEST VARS'!$H$48*(8*$AZ15)+'LINEST VARS'!$G$48*(8*12.73)+'LINEST VARS'!$F$48*(8*$BF$8)+'LINEST VARS'!$E$48*(8*$AZ15)+'LINEST VARS'!$D$48*(8*12.73)+'LINEST VARS'!$C$48*($BF$8*$AZ15)+'LINEST VARS'!$B$48*($BF$8*12.73)+'LINEST VARS'!$A$48*($AZ15*12.73)</f>
        <v>369.99999999999983</v>
      </c>
      <c r="BG15" s="46">
        <f>'LINEST VARS'!$U$48+'LINEST VARS'!$T$48*(8)+'LINEST VARS'!$S$48*(8)+'LINEST VARS'!$R$48*($BG$8)+'LINEST VARS'!$Q$48*($AZ15)+'LINEST VARS'!$P$48*(12.73)+'LINEST VARS'!$O$48*(8^2)+'LINEST VARS'!$N$48*(8^2)+'LINEST VARS'!$M$48*($BG$8^2)+'LINEST VARS'!$L$48*($AZ15^2)+'LINEST VARS'!$K$48*(12.73^2)+'LINEST VARS'!$J$48*(8*8)+'LINEST VARS'!$I$48*(8*$BG$8)+'LINEST VARS'!$H$48*(8*$AZ15)+'LINEST VARS'!$G$48*(8*12.73)+'LINEST VARS'!$F$48*(8*$BG$8)+'LINEST VARS'!$E$48*(8*$AZ15)+'LINEST VARS'!$D$48*(8*12.73)+'LINEST VARS'!$C$48*($BG$8*$AZ15)+'LINEST VARS'!$B$48*($BG$8*12.73)+'LINEST VARS'!$A$48*($AZ15*12.73)</f>
        <v>369.99999999999983</v>
      </c>
      <c r="BH15" s="46">
        <f>'LINEST VARS'!$U$48+'LINEST VARS'!$T$48*(8)+'LINEST VARS'!$S$48*(8)+'LINEST VARS'!$R$48*($BH$8)+'LINEST VARS'!$Q$48*($AZ15)+'LINEST VARS'!$P$48*(12.73)+'LINEST VARS'!$O$48*(8^2)+'LINEST VARS'!$N$48*(8^2)+'LINEST VARS'!$M$48*($BH$8^2)+'LINEST VARS'!$L$48*($AZ15^2)+'LINEST VARS'!$K$48*(12.73^2)+'LINEST VARS'!$J$48*(8*8)+'LINEST VARS'!$I$48*(8*$BH$8)+'LINEST VARS'!$H$48*(8*$AZ15)+'LINEST VARS'!$G$48*(8*12.73)+'LINEST VARS'!$F$48*(8*$BH$8)+'LINEST VARS'!$E$48*(8*$AZ15)+'LINEST VARS'!$D$48*(8*12.73)+'LINEST VARS'!$C$48*($BH$8*$AZ15)+'LINEST VARS'!$B$48*($BH$8*12.73)+'LINEST VARS'!$A$48*($AZ15*12.73)</f>
        <v>369.99999999999983</v>
      </c>
      <c r="BI15" s="46">
        <f>'LINEST VARS'!$U$48+'LINEST VARS'!$T$48*(8)+'LINEST VARS'!$S$48*(8)+'LINEST VARS'!$R$48*($BI$8)+'LINEST VARS'!$Q$48*($AZ15)+'LINEST VARS'!$P$48*(12.73)+'LINEST VARS'!$O$48*(8^2)+'LINEST VARS'!$N$48*(8^2)+'LINEST VARS'!$M$48*($BI$8^2)+'LINEST VARS'!$L$48*($AZ15^2)+'LINEST VARS'!$K$48*(12.73^2)+'LINEST VARS'!$J$48*(8*8)+'LINEST VARS'!$I$48*(8*$BI$8)+'LINEST VARS'!$H$48*(8*$AZ15)+'LINEST VARS'!$G$48*(8*12.73)+'LINEST VARS'!$F$48*(8*$BI$8)+'LINEST VARS'!$E$48*(8*$AZ15)+'LINEST VARS'!$D$48*(8*12.73)+'LINEST VARS'!$C$48*($BI$8*$AZ15)+'LINEST VARS'!$B$48*($BI$8*12.73)+'LINEST VARS'!$A$48*($AZ15*12.73)</f>
        <v>369.99999999999983</v>
      </c>
      <c r="BJ15" s="46">
        <f>'LINEST VARS'!$U$48+'LINEST VARS'!$T$48*(8)+'LINEST VARS'!$S$48*(8)+'LINEST VARS'!$R$48*($BJ$8)+'LINEST VARS'!$Q$48*($AZ15)+'LINEST VARS'!$P$48*(12.73)+'LINEST VARS'!$O$48*(8^2)+'LINEST VARS'!$N$48*(8^2)+'LINEST VARS'!$M$48*($BJ$8^2)+'LINEST VARS'!$L$48*($AZ15^2)+'LINEST VARS'!$K$48*(12.73^2)+'LINEST VARS'!$J$48*(8*8)+'LINEST VARS'!$I$48*(8*$BJ$8)+'LINEST VARS'!$H$48*(8*$AZ15)+'LINEST VARS'!$G$48*(8*12.73)+'LINEST VARS'!$F$48*(8*$BJ$8)+'LINEST VARS'!$E$48*(8*$AZ15)+'LINEST VARS'!$D$48*(8*12.73)+'LINEST VARS'!$C$48*($BJ$8*$AZ15)+'LINEST VARS'!$B$48*($BJ$8*12.73)+'LINEST VARS'!$A$48*($AZ15*12.73)</f>
        <v>369.99999999999983</v>
      </c>
      <c r="BK15" s="46">
        <f>'LINEST VARS'!$U$48+'LINEST VARS'!$T$48*(8)+'LINEST VARS'!$S$48*(8)+'LINEST VARS'!$R$48*($BK$8)+'LINEST VARS'!$Q$48*($AZ15)+'LINEST VARS'!$P$48*(12.73)+'LINEST VARS'!$O$48*(8^2)+'LINEST VARS'!$N$48*(8^2)+'LINEST VARS'!$M$48*($BK$8^2)+'LINEST VARS'!$L$48*($AZ15^2)+'LINEST VARS'!$K$48*(12.73^2)+'LINEST VARS'!$J$48*(8*8)+'LINEST VARS'!$I$48*(8*$BK$8)+'LINEST VARS'!$H$48*(8*$AZ15)+'LINEST VARS'!$G$48*(8*12.73)+'LINEST VARS'!$F$48*(8*$BK$8)+'LINEST VARS'!$E$48*(8*$AZ15)+'LINEST VARS'!$D$48*(8*12.73)+'LINEST VARS'!$C$48*($BK$8*$AZ15)+'LINEST VARS'!$B$48*($BK$8*12.73)+'LINEST VARS'!$A$48*($AZ15*12.73)</f>
        <v>369.99999999999983</v>
      </c>
      <c r="BL15" s="46">
        <f>'LINEST VARS'!$U$48+'LINEST VARS'!$T$48*(8)+'LINEST VARS'!$S$48*(8)+'LINEST VARS'!$R$48*($BL$8)+'LINEST VARS'!$Q$48*($AZ15)+'LINEST VARS'!$P$48*(12.73)+'LINEST VARS'!$O$48*(8^2)+'LINEST VARS'!$N$48*(8^2)+'LINEST VARS'!$M$48*($BL$8^2)+'LINEST VARS'!$L$48*($AZ15^2)+'LINEST VARS'!$K$48*(12.73^2)+'LINEST VARS'!$J$48*(8*8)+'LINEST VARS'!$I$48*(8*$BL$8)+'LINEST VARS'!$H$48*(8*$AZ15)+'LINEST VARS'!$G$48*(8*12.73)+'LINEST VARS'!$F$48*(8*$BL$8)+'LINEST VARS'!$E$48*(8*$AZ15)+'LINEST VARS'!$D$48*(8*12.73)+'LINEST VARS'!$C$48*($BL$8*$AZ15)+'LINEST VARS'!$B$48*($BL$8*12.73)+'LINEST VARS'!$A$48*($AZ15*12.73)</f>
        <v>369.99999999999983</v>
      </c>
      <c r="BM15" s="46">
        <f>'LINEST VARS'!$U$48+'LINEST VARS'!$T$48*(8)+'LINEST VARS'!$S$48*(8)+'LINEST VARS'!$R$48*($BM$8)+'LINEST VARS'!$Q$48*($AZ15)+'LINEST VARS'!$P$48*(12.73)+'LINEST VARS'!$O$48*(8^2)+'LINEST VARS'!$N$48*(8^2)+'LINEST VARS'!$M$48*($BM$8^2)+'LINEST VARS'!$L$48*($AZ15^2)+'LINEST VARS'!$K$48*(12.73^2)+'LINEST VARS'!$J$48*(8*8)+'LINEST VARS'!$I$48*(8*$BM$8)+'LINEST VARS'!$H$48*(8*$AZ15)+'LINEST VARS'!$G$48*(8*12.73)+'LINEST VARS'!$F$48*(8*$BM$8)+'LINEST VARS'!$E$48*(8*$AZ15)+'LINEST VARS'!$D$48*(8*12.73)+'LINEST VARS'!$C$48*($BM$8*$AZ15)+'LINEST VARS'!$B$48*($BM$8*12.73)+'LINEST VARS'!$A$48*($AZ15*12.73)</f>
        <v>369.99999999999983</v>
      </c>
      <c r="BN15" s="46">
        <f>'LINEST VARS'!$U$48+'LINEST VARS'!$T$48*(8)+'LINEST VARS'!$S$48*(8)+'LINEST VARS'!$R$48*($BN$8)+'LINEST VARS'!$Q$48*($AZ15)+'LINEST VARS'!$P$48*(12.73)+'LINEST VARS'!$O$48*(8^2)+'LINEST VARS'!$N$48*(8^2)+'LINEST VARS'!$M$48*($BN$8^2)+'LINEST VARS'!$L$48*($AZ15^2)+'LINEST VARS'!$K$48*(12.73^2)+'LINEST VARS'!$J$48*(8*8)+'LINEST VARS'!$I$48*(8*$BN$8)+'LINEST VARS'!$H$48*(8*$AZ15)+'LINEST VARS'!$G$48*(8*12.73)+'LINEST VARS'!$F$48*(8*$BN$8)+'LINEST VARS'!$E$48*(8*$AZ15)+'LINEST VARS'!$D$48*(8*12.73)+'LINEST VARS'!$C$48*($BN$8*$AZ15)+'LINEST VARS'!$B$48*($BN$8*12.73)+'LINEST VARS'!$A$48*($AZ15*12.73)</f>
        <v>369.99999999999989</v>
      </c>
      <c r="BO15" s="46">
        <f>'LINEST VARS'!$U$48+'LINEST VARS'!$T$48*(8)+'LINEST VARS'!$S$48*(8)+'LINEST VARS'!$R$48*($BO$8)+'LINEST VARS'!$Q$48*($AZ15)+'LINEST VARS'!$P$48*(12.73)+'LINEST VARS'!$O$48*(8^2)+'LINEST VARS'!$N$48*(8^2)+'LINEST VARS'!$M$48*($BO$8^2)+'LINEST VARS'!$L$48*($AZ15^2)+'LINEST VARS'!$K$48*(12.73^2)+'LINEST VARS'!$J$48*(8*8)+'LINEST VARS'!$I$48*(8*$BO$8)+'LINEST VARS'!$H$48*(8*$AZ15)+'LINEST VARS'!$G$48*(8*12.73)+'LINEST VARS'!$F$48*(8*$BO$8)+'LINEST VARS'!$E$48*(8*$AZ15)+'LINEST VARS'!$D$48*(8*12.73)+'LINEST VARS'!$C$48*($BO$8*$AZ15)+'LINEST VARS'!$B$48*($BO$8*12.73)+'LINEST VARS'!$A$48*($AZ15*12.73)</f>
        <v>369.99999999999989</v>
      </c>
      <c r="BP15" s="46">
        <f>'LINEST VARS'!$U$48+'LINEST VARS'!$T$48*(8)+'LINEST VARS'!$S$48*(8)+'LINEST VARS'!$R$48*($BP$8)+'LINEST VARS'!$Q$48*($AZ15)+'LINEST VARS'!$P$48*(12.73)+'LINEST VARS'!$O$48*(8^2)+'LINEST VARS'!$N$48*(8^2)+'LINEST VARS'!$M$48*($BP$8^2)+'LINEST VARS'!$L$48*($AZ15^2)+'LINEST VARS'!$K$48*(12.73^2)+'LINEST VARS'!$J$48*(8*8)+'LINEST VARS'!$I$48*(8*$BP$8)+'LINEST VARS'!$H$48*(8*$AZ15)+'LINEST VARS'!$G$48*(8*12.73)+'LINEST VARS'!$F$48*(8*$BP$8)+'LINEST VARS'!$E$48*(8*$AZ15)+'LINEST VARS'!$D$48*(8*12.73)+'LINEST VARS'!$C$48*($BP$8*$AZ15)+'LINEST VARS'!$B$48*($BP$8*12.73)+'LINEST VARS'!$A$48*($AZ15*12.73)</f>
        <v>369.99999999999989</v>
      </c>
      <c r="BQ15" s="46">
        <f>'LINEST VARS'!$U$48+'LINEST VARS'!$T$48*(8)+'LINEST VARS'!$S$48*(8)+'LINEST VARS'!$R$48*($BQ$8)+'LINEST VARS'!$Q$48*($AZ15)+'LINEST VARS'!$P$48*(12.73)+'LINEST VARS'!$O$48*(8^2)+'LINEST VARS'!$N$48*(8^2)+'LINEST VARS'!$M$48*($BQ$8^2)+'LINEST VARS'!$L$48*($AZ15^2)+'LINEST VARS'!$K$48*(12.73^2)+'LINEST VARS'!$J$48*(8*8)+'LINEST VARS'!$I$48*(8*$BQ$8)+'LINEST VARS'!$H$48*(8*$AZ15)+'LINEST VARS'!$G$48*(8*12.73)+'LINEST VARS'!$F$48*(8*$BQ$8)+'LINEST VARS'!$E$48*(8*$AZ15)+'LINEST VARS'!$D$48*(8*12.73)+'LINEST VARS'!$C$48*($BQ$8*$AZ15)+'LINEST VARS'!$B$48*($BQ$8*12.73)+'LINEST VARS'!$A$48*($AZ15*12.73)</f>
        <v>369.99999999999983</v>
      </c>
      <c r="BR15" s="46">
        <f>'LINEST VARS'!$U$48+'LINEST VARS'!$T$48*(8)+'LINEST VARS'!$S$48*(8)+'LINEST VARS'!$R$48*($BR$8)+'LINEST VARS'!$Q$48*($AZ15)+'LINEST VARS'!$P$48*(12.73)+'LINEST VARS'!$O$48*(8^2)+'LINEST VARS'!$N$48*(8^2)+'LINEST VARS'!$M$48*($BR$8^2)+'LINEST VARS'!$L$48*($AZ15^2)+'LINEST VARS'!$K$48*(12.73^2)+'LINEST VARS'!$J$48*(8*8)+'LINEST VARS'!$I$48*(8*$BR$8)+'LINEST VARS'!$H$48*(8*$AZ15)+'LINEST VARS'!$G$48*(8*12.73)+'LINEST VARS'!$F$48*(8*$BR$8)+'LINEST VARS'!$E$48*(8*$AZ15)+'LINEST VARS'!$D$48*(8*12.73)+'LINEST VARS'!$C$48*($BR$8*$AZ15)+'LINEST VARS'!$B$48*($BR$8*12.73)+'LINEST VARS'!$A$48*($AZ15*12.73)</f>
        <v>369.99999999999983</v>
      </c>
      <c r="BS15" s="46">
        <f>'LINEST VARS'!$U$48+'LINEST VARS'!$T$48*(8)+'LINEST VARS'!$S$48*(8)+'LINEST VARS'!$R$48*($BS$8)+'LINEST VARS'!$Q$48*($AZ15)+'LINEST VARS'!$P$48*(12.73)+'LINEST VARS'!$O$48*(8^2)+'LINEST VARS'!$N$48*(8^2)+'LINEST VARS'!$M$48*($BS$8^2)+'LINEST VARS'!$L$48*($AZ15^2)+'LINEST VARS'!$K$48*(12.73^2)+'LINEST VARS'!$J$48*(8*8)+'LINEST VARS'!$I$48*(8*$BS$8)+'LINEST VARS'!$H$48*(8*$AZ15)+'LINEST VARS'!$G$48*(8*12.73)+'LINEST VARS'!$F$48*(8*$BS$8)+'LINEST VARS'!$E$48*(8*$AZ15)+'LINEST VARS'!$D$48*(8*12.73)+'LINEST VARS'!$C$48*($BS$8*$AZ15)+'LINEST VARS'!$B$48*($BS$8*12.73)+'LINEST VARS'!$A$48*($AZ15*12.73)</f>
        <v>369.99999999999983</v>
      </c>
      <c r="BT15" s="46">
        <f>'LINEST VARS'!$U$48+'LINEST VARS'!$T$48*(8)+'LINEST VARS'!$S$48*(8)+'LINEST VARS'!$R$48*($BT$8)+'LINEST VARS'!$Q$48*($AZ15)+'LINEST VARS'!$P$48*(12.73)+'LINEST VARS'!$O$48*(8^2)+'LINEST VARS'!$N$48*(8^2)+'LINEST VARS'!$M$48*($BT$8^2)+'LINEST VARS'!$L$48*($AZ15^2)+'LINEST VARS'!$K$48*(12.73^2)+'LINEST VARS'!$J$48*(8*8)+'LINEST VARS'!$I$48*(8*$BT$8)+'LINEST VARS'!$H$48*(8*$AZ15)+'LINEST VARS'!$G$48*(8*12.73)+'LINEST VARS'!$F$48*(8*$BT$8)+'LINEST VARS'!$E$48*(8*$AZ15)+'LINEST VARS'!$D$48*(8*12.73)+'LINEST VARS'!$C$48*($BT$8*$AZ15)+'LINEST VARS'!$B$48*($BT$8*12.73)+'LINEST VARS'!$A$48*($AZ15*12.73)</f>
        <v>369.99999999999983</v>
      </c>
      <c r="BU15" s="47">
        <f>'LINEST VARS'!$U$48+'LINEST VARS'!$T$48*(8)+'LINEST VARS'!$S$48*(8)+'LINEST VARS'!$R$48*($BU$8)+'LINEST VARS'!$Q$48*($AZ15)+'LINEST VARS'!$P$48*(12.73)+'LINEST VARS'!$O$48*(8^2)+'LINEST VARS'!$N$48*(8^2)+'LINEST VARS'!$M$48*($BU$8^2)+'LINEST VARS'!$L$48*($AZ15^2)+'LINEST VARS'!$K$48*(12.73^2)+'LINEST VARS'!$J$48*(8*8)+'LINEST VARS'!$I$48*(8*$BU$8)+'LINEST VARS'!$H$48*(8*$AZ15)+'LINEST VARS'!$G$48*(8*12.73)+'LINEST VARS'!$F$48*(8*$BU$8)+'LINEST VARS'!$E$48*(8*$AZ15)+'LINEST VARS'!$D$48*(8*12.73)+'LINEST VARS'!$C$48*($BU$8*$AZ15)+'LINEST VARS'!$B$48*($BU$8*12.73)+'LINEST VARS'!$A$48*($AZ15*12.73)</f>
        <v>369.99999999999983</v>
      </c>
      <c r="BX15" s="45">
        <v>0.3</v>
      </c>
      <c r="BY15" s="46">
        <f>'LINEST VARS'!$U$50+'LINEST VARS'!$T$50*(8)+'LINEST VARS'!$S$50*(8)+'LINEST VARS'!$R$50*($BY$8)+'LINEST VARS'!$Q$50*($BX15)+'LINEST VARS'!$P$50*(12.73)+'LINEST VARS'!$O$50*(8^2)+'LINEST VARS'!$N$50*(8^2)+'LINEST VARS'!$M$50*($BY$8^2)+'LINEST VARS'!$L$50*($BX15^2)+'LINEST VARS'!$K$50*(12.73^2)+'LINEST VARS'!$J$50*(8*8)+'LINEST VARS'!$I$50*(8*$BY$8)+'LINEST VARS'!$H$50*(8*$BX15)+'LINEST VARS'!$G$50*(8*12.73)+'LINEST VARS'!$F$50*(8*$BY$8)+'LINEST VARS'!$E$50*(8*$BX15)+'LINEST VARS'!$D$50*(8*12.73)+'LINEST VARS'!$C$50*($BY$8*$BX15)+'LINEST VARS'!$B$50*($BY$8*12.73)+'LINEST VARS'!$A$50*($BX15*12.73)</f>
        <v>331.99999999999989</v>
      </c>
      <c r="BZ15" s="46">
        <f>'LINEST VARS'!$U$50+'LINEST VARS'!$T$50*(8)+'LINEST VARS'!$S$50*(8)+'LINEST VARS'!$R$50*($BZ$8)+'LINEST VARS'!$Q$50*($BX15)+'LINEST VARS'!$P$50*(12.73)+'LINEST VARS'!$O$50*(8^2)+'LINEST VARS'!$N$50*(8^2)+'LINEST VARS'!$M$50*($BZ$8^2)+'LINEST VARS'!$L$50*($BX15^2)+'LINEST VARS'!$K$50*(12.73^2)+'LINEST VARS'!$J$50*(8*8)+'LINEST VARS'!$I$50*(8*$BZ$8)+'LINEST VARS'!$H$50*(8*$BX15)+'LINEST VARS'!$G$50*(8*12.73)+'LINEST VARS'!$F$50*(8*$BZ$8)+'LINEST VARS'!$E$50*(8*$BX15)+'LINEST VARS'!$D$50*(8*12.73)+'LINEST VARS'!$C$50*($BZ$8*$BX15)+'LINEST VARS'!$B$50*($BZ$8*12.73)+'LINEST VARS'!$A$50*($BX15*12.73)</f>
        <v>331.99999999999989</v>
      </c>
      <c r="CA15" s="46">
        <f>'LINEST VARS'!$U$50+'LINEST VARS'!$T$50*(8)+'LINEST VARS'!$S$50*(8)+'LINEST VARS'!$R$50*($CA$8)+'LINEST VARS'!$Q$50*($BX15)+'LINEST VARS'!$P$50*(12.73)+'LINEST VARS'!$O$50*(8^2)+'LINEST VARS'!$N$50*(8^2)+'LINEST VARS'!$M$50*($CA$8^2)+'LINEST VARS'!$L$50*($BX15^2)+'LINEST VARS'!$K$50*(12.73^2)+'LINEST VARS'!$J$50*(8*8)+'LINEST VARS'!$I$50*(8*$CA$8)+'LINEST VARS'!$H$50*(8*$BX15)+'LINEST VARS'!$G$50*(8*12.73)+'LINEST VARS'!$F$50*(8*$CA$8)+'LINEST VARS'!$E$50*(8*$BX15)+'LINEST VARS'!$D$50*(8*12.73)+'LINEST VARS'!$C$50*($CA$8*$BX15)+'LINEST VARS'!$B$50*($CA$8*12.73)+'LINEST VARS'!$A$50*($BX15*12.73)</f>
        <v>331.99999999999989</v>
      </c>
      <c r="CB15" s="46">
        <f>'LINEST VARS'!$U$50+'LINEST VARS'!$T$50*(8)+'LINEST VARS'!$S$50*(8)+'LINEST VARS'!$R$50*($CB$8)+'LINEST VARS'!$Q$50*($BX15)+'LINEST VARS'!$P$50*(12.73)+'LINEST VARS'!$O$50*(8^2)+'LINEST VARS'!$N$50*(8^2)+'LINEST VARS'!$M$50*($CB$8^2)+'LINEST VARS'!$L$50*($BX15^2)+'LINEST VARS'!$K$50*(12.73^2)+'LINEST VARS'!$J$50*(8*8)+'LINEST VARS'!$I$50*(8*$CB$8)+'LINEST VARS'!$H$50*(8*$BX15)+'LINEST VARS'!$G$50*(8*12.73)+'LINEST VARS'!$F$50*(8*$CB$8)+'LINEST VARS'!$E$50*(8*$BX15)+'LINEST VARS'!$D$50*(8*12.73)+'LINEST VARS'!$C$50*($CB$8*$BX15)+'LINEST VARS'!$B$50*($CB$8*12.73)+'LINEST VARS'!$A$50*($BX15*12.73)</f>
        <v>331.99999999999989</v>
      </c>
      <c r="CC15" s="46">
        <f>'LINEST VARS'!$U$50+'LINEST VARS'!$T$50*(8)+'LINEST VARS'!$S$50*(8)+'LINEST VARS'!$R$50*($CC$8)+'LINEST VARS'!$Q$50*($BX15)+'LINEST VARS'!$P$50*(12.73)+'LINEST VARS'!$O$50*(8^2)+'LINEST VARS'!$N$50*(8^2)+'LINEST VARS'!$M$50*($CC$8^2)+'LINEST VARS'!$L$50*($BX15^2)+'LINEST VARS'!$K$50*(12.73^2)+'LINEST VARS'!$J$50*(8*8)+'LINEST VARS'!$I$50*(8*$CC$8)+'LINEST VARS'!$H$50*(8*$BX15)+'LINEST VARS'!$G$50*(8*12.73)+'LINEST VARS'!$F$50*(8*$CC$8)+'LINEST VARS'!$E$50*(8*$BX15)+'LINEST VARS'!$D$50*(8*12.73)+'LINEST VARS'!$C$50*($CC$8*$BX15)+'LINEST VARS'!$B$50*($CC$8*12.73)+'LINEST VARS'!$A$50*($BX15*12.73)</f>
        <v>331.99999999999989</v>
      </c>
      <c r="CD15" s="46">
        <f>'LINEST VARS'!$U$50+'LINEST VARS'!$T$50*(8)+'LINEST VARS'!$S$50*(8)+'LINEST VARS'!$R$50*($CD$8)+'LINEST VARS'!$Q$50*($BX15)+'LINEST VARS'!$P$50*(12.73)+'LINEST VARS'!$O$50*(8^2)+'LINEST VARS'!$N$50*(8^2)+'LINEST VARS'!$M$50*($CD$8^2)+'LINEST VARS'!$L$50*($BX15^2)+'LINEST VARS'!$K$50*(12.73^2)+'LINEST VARS'!$J$50*(8*8)+'LINEST VARS'!$I$50*(8*$CD$8)+'LINEST VARS'!$H$50*(8*$BX15)+'LINEST VARS'!$G$50*(8*12.73)+'LINEST VARS'!$F$50*(8*$CD$8)+'LINEST VARS'!$E$50*(8*$BX15)+'LINEST VARS'!$D$50*(8*12.73)+'LINEST VARS'!$C$50*($CD$8*$BX15)+'LINEST VARS'!$B$50*($CD$8*12.73)+'LINEST VARS'!$A$50*($BX15*12.73)</f>
        <v>331.99999999999989</v>
      </c>
      <c r="CE15" s="46">
        <f>'LINEST VARS'!$U$50+'LINEST VARS'!$T$50*(8)+'LINEST VARS'!$S$50*(8)+'LINEST VARS'!$R$50*($CE$8)+'LINEST VARS'!$Q$50*($BX15)+'LINEST VARS'!$P$50*(12.73)+'LINEST VARS'!$O$50*(8^2)+'LINEST VARS'!$N$50*(8^2)+'LINEST VARS'!$M$50*($CE$8^2)+'LINEST VARS'!$L$50*($BX15^2)+'LINEST VARS'!$K$50*(12.73^2)+'LINEST VARS'!$J$50*(8*8)+'LINEST VARS'!$I$50*(8*$CE$8)+'LINEST VARS'!$H$50*(8*$BX15)+'LINEST VARS'!$G$50*(8*12.73)+'LINEST VARS'!$F$50*(8*$CE$8)+'LINEST VARS'!$E$50*(8*$BX15)+'LINEST VARS'!$D$50*(8*12.73)+'LINEST VARS'!$C$50*($CE$8*$BX15)+'LINEST VARS'!$B$50*($CE$8*12.73)+'LINEST VARS'!$A$50*($BX15*12.73)</f>
        <v>331.99999999999989</v>
      </c>
      <c r="CF15" s="46">
        <f>'LINEST VARS'!$U$50+'LINEST VARS'!$T$50*(8)+'LINEST VARS'!$S$50*(8)+'LINEST VARS'!$R$50*($CF$8)+'LINEST VARS'!$Q$50*($BX15)+'LINEST VARS'!$P$50*(12.73)+'LINEST VARS'!$O$50*(8^2)+'LINEST VARS'!$N$50*(8^2)+'LINEST VARS'!$M$50*($CF$8^2)+'LINEST VARS'!$L$50*($BX15^2)+'LINEST VARS'!$K$50*(12.73^2)+'LINEST VARS'!$J$50*(8*8)+'LINEST VARS'!$I$50*(8*$CF$8)+'LINEST VARS'!$H$50*(8*$BX15)+'LINEST VARS'!$G$50*(8*12.73)+'LINEST VARS'!$F$50*(8*$CF$8)+'LINEST VARS'!$E$50*(8*$BX15)+'LINEST VARS'!$D$50*(8*12.73)+'LINEST VARS'!$C$50*($CF$8*$BX15)+'LINEST VARS'!$B$50*($CF$8*12.73)+'LINEST VARS'!$A$50*($BX15*12.73)</f>
        <v>331.99999999999989</v>
      </c>
      <c r="CG15" s="46">
        <f>'LINEST VARS'!$U$50+'LINEST VARS'!$T$50*(8)+'LINEST VARS'!$S$50*(8)+'LINEST VARS'!$R$50*($CG$8)+'LINEST VARS'!$Q$50*($BX15)+'LINEST VARS'!$P$50*(12.73)+'LINEST VARS'!$O$50*(8^2)+'LINEST VARS'!$N$50*(8^2)+'LINEST VARS'!$M$50*($CG$8^2)+'LINEST VARS'!$L$50*($BX15^2)+'LINEST VARS'!$K$50*(12.73^2)+'LINEST VARS'!$J$50*(8*8)+'LINEST VARS'!$I$50*(8*$CG$8)+'LINEST VARS'!$H$50*(8*$BX15)+'LINEST VARS'!$G$50*(8*12.73)+'LINEST VARS'!$F$50*(8*$CG$8)+'LINEST VARS'!$E$50*(8*$BX15)+'LINEST VARS'!$D$50*(8*12.73)+'LINEST VARS'!$C$50*($CG$8*$BX15)+'LINEST VARS'!$B$50*($CG$8*12.73)+'LINEST VARS'!$A$50*($BX15*12.73)</f>
        <v>331.99999999999989</v>
      </c>
      <c r="CH15" s="46">
        <f>'LINEST VARS'!$U$50+'LINEST VARS'!$T$50*(8)+'LINEST VARS'!$S$50*(8)+'LINEST VARS'!$R$50*($CH$8)+'LINEST VARS'!$Q$50*($BX15)+'LINEST VARS'!$P$50*(12.73)+'LINEST VARS'!$O$50*(8^2)+'LINEST VARS'!$N$50*(8^2)+'LINEST VARS'!$M$50*($CH$8^2)+'LINEST VARS'!$L$50*($BX15^2)+'LINEST VARS'!$K$50*(12.73^2)+'LINEST VARS'!$J$50*(8*8)+'LINEST VARS'!$I$50*(8*$CH$8)+'LINEST VARS'!$H$50*(8*$BX15)+'LINEST VARS'!$G$50*(8*12.73)+'LINEST VARS'!$F$50*(8*$CH$8)+'LINEST VARS'!$E$50*(8*$BX15)+'LINEST VARS'!$D$50*(8*12.73)+'LINEST VARS'!$C$50*($CH$8*$BX15)+'LINEST VARS'!$B$50*($CH$8*12.73)+'LINEST VARS'!$A$50*($BX15*12.73)</f>
        <v>331.99999999999989</v>
      </c>
      <c r="CI15" s="46">
        <f>'LINEST VARS'!$U$50+'LINEST VARS'!$T$50*(8)+'LINEST VARS'!$S$50*(8)+'LINEST VARS'!$R$50*($CI$8)+'LINEST VARS'!$Q$50*($BX15)+'LINEST VARS'!$P$50*(12.73)+'LINEST VARS'!$O$50*(8^2)+'LINEST VARS'!$N$50*(8^2)+'LINEST VARS'!$M$50*($CI$8^2)+'LINEST VARS'!$L$50*($BX15^2)+'LINEST VARS'!$K$50*(12.73^2)+'LINEST VARS'!$J$50*(8*8)+'LINEST VARS'!$I$50*(8*$CI$8)+'LINEST VARS'!$H$50*(8*$BX15)+'LINEST VARS'!$G$50*(8*12.73)+'LINEST VARS'!$F$50*(8*$CI$8)+'LINEST VARS'!$E$50*(8*$BX15)+'LINEST VARS'!$D$50*(8*12.73)+'LINEST VARS'!$C$50*($CI$8*$BX15)+'LINEST VARS'!$B$50*($CI$8*12.73)+'LINEST VARS'!$A$50*($BX15*12.73)</f>
        <v>331.99999999999989</v>
      </c>
      <c r="CJ15" s="46">
        <f>'LINEST VARS'!$U$50+'LINEST VARS'!$T$50*(8)+'LINEST VARS'!$S$50*(8)+'LINEST VARS'!$R$50*($CJ$8)+'LINEST VARS'!$Q$50*($BX15)+'LINEST VARS'!$P$50*(12.73)+'LINEST VARS'!$O$50*(8^2)+'LINEST VARS'!$N$50*(8^2)+'LINEST VARS'!$M$50*($CJ$8^2)+'LINEST VARS'!$L$50*($BX15^2)+'LINEST VARS'!$K$50*(12.73^2)+'LINEST VARS'!$J$50*(8*8)+'LINEST VARS'!$I$50*(8*$CJ$8)+'LINEST VARS'!$H$50*(8*$BX15)+'LINEST VARS'!$G$50*(8*12.73)+'LINEST VARS'!$F$50*(8*$CJ$8)+'LINEST VARS'!$E$50*(8*$BX15)+'LINEST VARS'!$D$50*(8*12.73)+'LINEST VARS'!$C$50*($CJ$8*$BX15)+'LINEST VARS'!$B$50*($CJ$8*12.73)+'LINEST VARS'!$A$50*($BX15*12.73)</f>
        <v>331.99999999999989</v>
      </c>
      <c r="CK15" s="46">
        <f>'LINEST VARS'!$U$50+'LINEST VARS'!$T$50*(8)+'LINEST VARS'!$S$50*(8)+'LINEST VARS'!$R$50*($CK$8)+'LINEST VARS'!$Q$50*($BX15)+'LINEST VARS'!$P$50*(12.73)+'LINEST VARS'!$O$50*(8^2)+'LINEST VARS'!$N$50*(8^2)+'LINEST VARS'!$M$50*($CK$8^2)+'LINEST VARS'!$L$50*($BX15^2)+'LINEST VARS'!$K$50*(12.73^2)+'LINEST VARS'!$J$50*(8*8)+'LINEST VARS'!$I$50*(8*$CK$8)+'LINEST VARS'!$H$50*(8*$BX15)+'LINEST VARS'!$G$50*(8*12.73)+'LINEST VARS'!$F$50*(8*$CK$8)+'LINEST VARS'!$E$50*(8*$BX15)+'LINEST VARS'!$D$50*(8*12.73)+'LINEST VARS'!$C$50*($CK$8*$BX15)+'LINEST VARS'!$B$50*($CK$8*12.73)+'LINEST VARS'!$A$50*($BX15*12.73)</f>
        <v>331.99999999999989</v>
      </c>
      <c r="CL15" s="46">
        <f>'LINEST VARS'!$U$50+'LINEST VARS'!$T$50*(8)+'LINEST VARS'!$S$50*(8)+'LINEST VARS'!$R$50*($CL$8)+'LINEST VARS'!$Q$50*($BX15)+'LINEST VARS'!$P$50*(12.73)+'LINEST VARS'!$O$50*(8^2)+'LINEST VARS'!$N$50*(8^2)+'LINEST VARS'!$M$50*($CL$8^2)+'LINEST VARS'!$L$50*($BX15^2)+'LINEST VARS'!$K$50*(12.73^2)+'LINEST VARS'!$J$50*(8*8)+'LINEST VARS'!$I$50*(8*$CL$8)+'LINEST VARS'!$H$50*(8*$BX15)+'LINEST VARS'!$G$50*(8*12.73)+'LINEST VARS'!$F$50*(8*$CL$8)+'LINEST VARS'!$E$50*(8*$BX15)+'LINEST VARS'!$D$50*(8*12.73)+'LINEST VARS'!$C$50*($CL$8*$BX15)+'LINEST VARS'!$B$50*($CL$8*12.73)+'LINEST VARS'!$A$50*($BX15*12.73)</f>
        <v>331.99999999999989</v>
      </c>
      <c r="CM15" s="46">
        <f>'LINEST VARS'!$U$50+'LINEST VARS'!$T$50*(8)+'LINEST VARS'!$S$50*(8)+'LINEST VARS'!$R$50*($CM$8)+'LINEST VARS'!$Q$50*($BX15)+'LINEST VARS'!$P$50*(12.73)+'LINEST VARS'!$O$50*(8^2)+'LINEST VARS'!$N$50*(8^2)+'LINEST VARS'!$M$50*($CM$8^2)+'LINEST VARS'!$L$50*($BX15^2)+'LINEST VARS'!$K$50*(12.73^2)+'LINEST VARS'!$J$50*(8*8)+'LINEST VARS'!$I$50*(8*$CM$8)+'LINEST VARS'!$H$50*(8*$BX15)+'LINEST VARS'!$G$50*(8*12.73)+'LINEST VARS'!$F$50*(8*$CM$8)+'LINEST VARS'!$E$50*(8*$BX15)+'LINEST VARS'!$D$50*(8*12.73)+'LINEST VARS'!$C$50*($CM$8*$BX15)+'LINEST VARS'!$B$50*($CM$8*12.73)+'LINEST VARS'!$A$50*($BX15*12.73)</f>
        <v>331.99999999999989</v>
      </c>
      <c r="CN15" s="46">
        <f>'LINEST VARS'!$U$50+'LINEST VARS'!$T$50*(8)+'LINEST VARS'!$S$50*(8)+'LINEST VARS'!$R$50*($CN$8)+'LINEST VARS'!$Q$50*($BX15)+'LINEST VARS'!$P$50*(12.73)+'LINEST VARS'!$O$50*(8^2)+'LINEST VARS'!$N$50*(8^2)+'LINEST VARS'!$M$50*($CN$8^2)+'LINEST VARS'!$L$50*($BX15^2)+'LINEST VARS'!$K$50*(12.73^2)+'LINEST VARS'!$J$50*(8*8)+'LINEST VARS'!$I$50*(8*$CN$8)+'LINEST VARS'!$H$50*(8*$BX15)+'LINEST VARS'!$G$50*(8*12.73)+'LINEST VARS'!$F$50*(8*$CN$8)+'LINEST VARS'!$E$50*(8*$BX15)+'LINEST VARS'!$D$50*(8*12.73)+'LINEST VARS'!$C$50*($CN$8*$BX15)+'LINEST VARS'!$B$50*($CN$8*12.73)+'LINEST VARS'!$A$50*($BX15*12.73)</f>
        <v>331.99999999999989</v>
      </c>
      <c r="CO15" s="46">
        <f>'LINEST VARS'!$U$50+'LINEST VARS'!$T$50*(8)+'LINEST VARS'!$S$50*(8)+'LINEST VARS'!$R$50*($CO$8)+'LINEST VARS'!$Q$50*($BX15)+'LINEST VARS'!$P$50*(12.73)+'LINEST VARS'!$O$50*(8^2)+'LINEST VARS'!$N$50*(8^2)+'LINEST VARS'!$M$50*($CO$8^2)+'LINEST VARS'!$L$50*($BX15^2)+'LINEST VARS'!$K$50*(12.73^2)+'LINEST VARS'!$J$50*(8*8)+'LINEST VARS'!$I$50*(8*$CO$8)+'LINEST VARS'!$H$50*(8*$BX15)+'LINEST VARS'!$G$50*(8*12.73)+'LINEST VARS'!$F$50*(8*$CO$8)+'LINEST VARS'!$E$50*(8*$BX15)+'LINEST VARS'!$D$50*(8*12.73)+'LINEST VARS'!$C$50*($CO$8*$BX15)+'LINEST VARS'!$B$50*($CO$8*12.73)+'LINEST VARS'!$A$50*($BX15*12.73)</f>
        <v>331.99999999999989</v>
      </c>
      <c r="CP15" s="46">
        <f>'LINEST VARS'!$U$50+'LINEST VARS'!$T$50*(8)+'LINEST VARS'!$S$50*(8)+'LINEST VARS'!$R$50*($CP$8)+'LINEST VARS'!$Q$50*($BX15)+'LINEST VARS'!$P$50*(12.73)+'LINEST VARS'!$O$50*(8^2)+'LINEST VARS'!$N$50*(8^2)+'LINEST VARS'!$M$50*($CP$8^2)+'LINEST VARS'!$L$50*($BX15^2)+'LINEST VARS'!$K$50*(12.73^2)+'LINEST VARS'!$J$50*(8*8)+'LINEST VARS'!$I$50*(8*$CP$8)+'LINEST VARS'!$H$50*(8*$BX15)+'LINEST VARS'!$G$50*(8*12.73)+'LINEST VARS'!$F$50*(8*$CP$8)+'LINEST VARS'!$E$50*(8*$BX15)+'LINEST VARS'!$D$50*(8*12.73)+'LINEST VARS'!$C$50*($CP$8*$BX15)+'LINEST VARS'!$B$50*($CP$8*12.73)+'LINEST VARS'!$A$50*($BX15*12.73)</f>
        <v>331.99999999999989</v>
      </c>
      <c r="CQ15" s="46">
        <f>'LINEST VARS'!$U$50+'LINEST VARS'!$T$50*(8)+'LINEST VARS'!$S$50*(8)+'LINEST VARS'!$R$50*($CQ$8)+'LINEST VARS'!$Q$50*($BX15)+'LINEST VARS'!$P$50*(12.73)+'LINEST VARS'!$O$50*(8^2)+'LINEST VARS'!$N$50*(8^2)+'LINEST VARS'!$M$50*($CQ$8^2)+'LINEST VARS'!$L$50*($BX15^2)+'LINEST VARS'!$K$50*(12.73^2)+'LINEST VARS'!$J$50*(8*8)+'LINEST VARS'!$I$50*(8*$CQ$8)+'LINEST VARS'!$H$50*(8*$BX15)+'LINEST VARS'!$G$50*(8*12.73)+'LINEST VARS'!$F$50*(8*$CQ$8)+'LINEST VARS'!$E$50*(8*$BX15)+'LINEST VARS'!$D$50*(8*12.73)+'LINEST VARS'!$C$50*($CQ$8*$BX15)+'LINEST VARS'!$B$50*($CQ$8*12.73)+'LINEST VARS'!$A$50*($BX15*12.73)</f>
        <v>331.99999999999989</v>
      </c>
      <c r="CR15" s="46">
        <f>'LINEST VARS'!$U$50+'LINEST VARS'!$T$50*(8)+'LINEST VARS'!$S$50*(8)+'LINEST VARS'!$R$50*($CR$8)+'LINEST VARS'!$Q$50*($BX15)+'LINEST VARS'!$P$50*(12.73)+'LINEST VARS'!$O$50*(8^2)+'LINEST VARS'!$N$50*(8^2)+'LINEST VARS'!$M$50*($CR$8^2)+'LINEST VARS'!$L$50*($BX15^2)+'LINEST VARS'!$K$50*(12.73^2)+'LINEST VARS'!$J$50*(8*8)+'LINEST VARS'!$I$50*(8*$CR$8)+'LINEST VARS'!$H$50*(8*$BX15)+'LINEST VARS'!$G$50*(8*12.73)+'LINEST VARS'!$F$50*(8*$CR$8)+'LINEST VARS'!$E$50*(8*$BX15)+'LINEST VARS'!$D$50*(8*12.73)+'LINEST VARS'!$C$50*($CR$8*$BX15)+'LINEST VARS'!$B$50*($CR$8*12.73)+'LINEST VARS'!$A$50*($BX15*12.73)</f>
        <v>331.99999999999989</v>
      </c>
      <c r="CS15" s="47">
        <f>'LINEST VARS'!$U$50+'LINEST VARS'!$T$50*(8)+'LINEST VARS'!$S$50*(8)+'LINEST VARS'!$R$50*($CS$8)+'LINEST VARS'!$Q$50*($BX15)+'LINEST VARS'!$P$50*(12.73)+'LINEST VARS'!$O$50*(8^2)+'LINEST VARS'!$N$50*(8^2)+'LINEST VARS'!$M$50*($CS$8^2)+'LINEST VARS'!$L$50*($BX15^2)+'LINEST VARS'!$K$50*(12.73^2)+'LINEST VARS'!$J$50*(8*8)+'LINEST VARS'!$I$50*(8*$CS$8)+'LINEST VARS'!$H$50*(8*$BX15)+'LINEST VARS'!$G$50*(8*12.73)+'LINEST VARS'!$F$50*(8*$CS$8)+'LINEST VARS'!$E$50*(8*$BX15)+'LINEST VARS'!$D$50*(8*12.73)+'LINEST VARS'!$C$50*($CS$8*$BX15)+'LINEST VARS'!$B$50*($CS$8*12.73)+'LINEST VARS'!$A$50*($BX15*12.73)</f>
        <v>331.99999999999989</v>
      </c>
      <c r="CX15" s="45">
        <v>7.7969999999999997</v>
      </c>
      <c r="CY15" s="46">
        <f>'LINEST VARS'!$U$48+'LINEST VARS'!$T$48*(8)+'LINEST VARS'!$S$48*(8)+'LINEST VARS'!$R$48*($CY$8)+'LINEST VARS'!$Q$48*(0.5)+'LINEST VARS'!$P$48*($CX15)+'LINEST VARS'!$O$48*(8^2)+'LINEST VARS'!$N$48*(8^2)+'LINEST VARS'!$M$48*($CY$8^2)+'LINEST VARS'!$L$48*(0.5^2)+'LINEST VARS'!$K$48*($CX15^2)+'LINEST VARS'!$J$48*(8*8)+'LINEST VARS'!$I$48*(8*$CY$8)+'LINEST VARS'!$H$48*(8*0.5)+'LINEST VARS'!$G$48*(8*$CX15)+'LINEST VARS'!$F$48*(8*$CY$8)+'LINEST VARS'!$E$48*(8*0.5)+'LINEST VARS'!$D$48*(8*$CX15)+'LINEST VARS'!$C$48*($CY$8*0.5)+'LINEST VARS'!$B$48*($CY$8*$CX15)+'LINEST VARS'!$A$48*(0.5*$CX15)</f>
        <v>369.99999999999989</v>
      </c>
      <c r="CZ15" s="46">
        <f>'LINEST VARS'!$U$48+'LINEST VARS'!$T$48*(8)+'LINEST VARS'!$S$48*(8)+'LINEST VARS'!$R$48*($CZ$8)+'LINEST VARS'!$Q$48*(0.5)+'LINEST VARS'!$P$48*($CX15)+'LINEST VARS'!$O$48*(8^2)+'LINEST VARS'!$N$48*(8^2)+'LINEST VARS'!$M$48*($CZ$8^2)+'LINEST VARS'!$L$48*(0.5^2)+'LINEST VARS'!$K$48*($CX15^2)+'LINEST VARS'!$J$48*(8*8)+'LINEST VARS'!$I$48*(8*$CZ$8)+'LINEST VARS'!$H$48*(8*0.5)+'LINEST VARS'!$G$48*(8*$CX15)+'LINEST VARS'!$F$48*(8*$CZ$8)+'LINEST VARS'!$E$48*(8*0.5)+'LINEST VARS'!$D$48*(8*$CX15)+'LINEST VARS'!$C$48*($CZ$8*0.5)+'LINEST VARS'!$B$48*($CZ$8*$CX15)+'LINEST VARS'!$A$48*(0.5*$CX15)</f>
        <v>369.99999999999989</v>
      </c>
      <c r="DA15" s="46">
        <f>'LINEST VARS'!$U$48+'LINEST VARS'!$T$48*(8)+'LINEST VARS'!$S$48*(8)+'LINEST VARS'!$R$48*($DA$8)+'LINEST VARS'!$Q$48*(0.5)+'LINEST VARS'!$P$48*($CX15)+'LINEST VARS'!$O$48*(8^2)+'LINEST VARS'!$N$48*(8^2)+'LINEST VARS'!$M$48*($DA$8^2)+'LINEST VARS'!$L$48*(0.5^2)+'LINEST VARS'!$K$48*($CX15^2)+'LINEST VARS'!$J$48*(8*8)+'LINEST VARS'!$I$48*(8*$DA$8)+'LINEST VARS'!$H$48*(8*0.5)+'LINEST VARS'!$G$48*(8*$CX15)+'LINEST VARS'!$F$48*(8*$DA$8)+'LINEST VARS'!$E$48*(8*0.5)+'LINEST VARS'!$D$48*(8*$CX15)+'LINEST VARS'!$C$48*($DA$8*0.5)+'LINEST VARS'!$B$48*($DA$8*$CX15)+'LINEST VARS'!$A$48*(0.5*$CX15)</f>
        <v>369.99999999999989</v>
      </c>
      <c r="DB15" s="46">
        <f>'LINEST VARS'!$U$48+'LINEST VARS'!$T$48*(8)+'LINEST VARS'!$S$48*(8)+'LINEST VARS'!$R$48*($DB$8)+'LINEST VARS'!$Q$48*(0.5)+'LINEST VARS'!$P$48*($CX15)+'LINEST VARS'!$O$48*(8^2)+'LINEST VARS'!$N$48*(8^2)+'LINEST VARS'!$M$48*($DB$8^2)+'LINEST VARS'!$L$48*(0.5^2)+'LINEST VARS'!$K$48*($CX15^2)+'LINEST VARS'!$J$48*(8*8)+'LINEST VARS'!$I$48*(8*$DB$8)+'LINEST VARS'!$H$48*(8*0.5)+'LINEST VARS'!$G$48*(8*$CX15)+'LINEST VARS'!$F$48*(8*$DB$8)+'LINEST VARS'!$E$48*(8*0.5)+'LINEST VARS'!$D$48*(8*$CX15)+'LINEST VARS'!$C$48*($DB$8*0.5)+'LINEST VARS'!$B$48*($DB$8*$CX15)+'LINEST VARS'!$A$48*(0.5*$CX15)</f>
        <v>369.99999999999989</v>
      </c>
      <c r="DC15" s="46">
        <f>'LINEST VARS'!$U$48+'LINEST VARS'!$T$48*(8)+'LINEST VARS'!$S$48*(8)+'LINEST VARS'!$R$48*($DC$8)+'LINEST VARS'!$Q$48*(0.5)+'LINEST VARS'!$P$48*($CX15)+'LINEST VARS'!$O$48*(8^2)+'LINEST VARS'!$N$48*(8^2)+'LINEST VARS'!$M$48*($DC$8^2)+'LINEST VARS'!$L$48*(0.5^2)+'LINEST VARS'!$K$48*($CX15^2)+'LINEST VARS'!$J$48*(8*8)+'LINEST VARS'!$I$48*(8*$DC$8)+'LINEST VARS'!$H$48*(8*0.5)+'LINEST VARS'!$G$48*(8*$CX15)+'LINEST VARS'!$F$48*(8*$DC$8)+'LINEST VARS'!$E$48*(8*0.5)+'LINEST VARS'!$D$48*(8*$CX15)+'LINEST VARS'!$C$48*($DC$8*0.5)+'LINEST VARS'!$B$48*($DC$8*$CX15)+'LINEST VARS'!$A$48*(0.5*$CX15)</f>
        <v>369.99999999999989</v>
      </c>
      <c r="DD15" s="46">
        <f>'LINEST VARS'!$U$48+'LINEST VARS'!$T$48*(8)+'LINEST VARS'!$S$48*(8)+'LINEST VARS'!$R$48*($DD$8)+'LINEST VARS'!$Q$48*(0.5)+'LINEST VARS'!$P$48*($CX15)+'LINEST VARS'!$O$48*(8^2)+'LINEST VARS'!$N$48*(8^2)+'LINEST VARS'!$M$48*($DD$8^2)+'LINEST VARS'!$L$48*(0.5^2)+'LINEST VARS'!$K$48*($CX15^2)+'LINEST VARS'!$J$48*(8*8)+'LINEST VARS'!$I$48*(8*$DD$8)+'LINEST VARS'!$H$48*(8*0.5)+'LINEST VARS'!$G$48*(8*$CX15)+'LINEST VARS'!$F$48*(8*$DD$8)+'LINEST VARS'!$E$48*(8*0.5)+'LINEST VARS'!$D$48*(8*$CX15)+'LINEST VARS'!$C$48*($DD$8*0.5)+'LINEST VARS'!$B$48*($DD$8*$CX15)+'LINEST VARS'!$A$48*(0.5*$CX15)</f>
        <v>369.99999999999989</v>
      </c>
      <c r="DE15" s="46">
        <f>'LINEST VARS'!$U$48+'LINEST VARS'!$T$48*(8)+'LINEST VARS'!$S$48*(8)+'LINEST VARS'!$R$48*($DE$8)+'LINEST VARS'!$Q$48*(0.5)+'LINEST VARS'!$P$48*($CX15)+'LINEST VARS'!$O$48*(8^2)+'LINEST VARS'!$N$48*(8^2)+'LINEST VARS'!$M$48*($DE$8^2)+'LINEST VARS'!$L$48*(0.5^2)+'LINEST VARS'!$K$48*($CX15^2)+'LINEST VARS'!$J$48*(8*8)+'LINEST VARS'!$I$48*(8*$DE$8)+'LINEST VARS'!$H$48*(8*0.5)+'LINEST VARS'!$G$48*(8*$CX15)+'LINEST VARS'!$F$48*(8*$DE$8)+'LINEST VARS'!$E$48*(8*0.5)+'LINEST VARS'!$D$48*(8*$CX15)+'LINEST VARS'!$C$48*($DE$8*0.5)+'LINEST VARS'!$B$48*($DE$8*$CX15)+'LINEST VARS'!$A$48*(0.5*$CX15)</f>
        <v>369.99999999999989</v>
      </c>
      <c r="DF15" s="46">
        <f>'LINEST VARS'!$U$48+'LINEST VARS'!$T$48*(8)+'LINEST VARS'!$S$48*(8)+'LINEST VARS'!$R$48*($DF$8)+'LINEST VARS'!$Q$48*(0.5)+'LINEST VARS'!$P$48*($CX15)+'LINEST VARS'!$O$48*(8^2)+'LINEST VARS'!$N$48*(8^2)+'LINEST VARS'!$M$48*($DF$8^2)+'LINEST VARS'!$L$48*(0.5^2)+'LINEST VARS'!$K$48*($CX15^2)+'LINEST VARS'!$J$48*(8*8)+'LINEST VARS'!$I$48*(8*$DF$8)+'LINEST VARS'!$H$48*(8*0.5)+'LINEST VARS'!$G$48*(8*$CX15)+'LINEST VARS'!$F$48*(8*$DF$8)+'LINEST VARS'!$E$48*(8*0.5)+'LINEST VARS'!$D$48*(8*$CX15)+'LINEST VARS'!$C$48*($DF$8*0.5)+'LINEST VARS'!$B$48*($DF$8*$CX15)+'LINEST VARS'!$A$48*(0.5*$CX15)</f>
        <v>369.99999999999989</v>
      </c>
      <c r="DG15" s="46">
        <f>'LINEST VARS'!$U$48+'LINEST VARS'!$T$48*(8)+'LINEST VARS'!$S$48*(8)+'LINEST VARS'!$R$48*($DG$8)+'LINEST VARS'!$Q$48*(0.5)+'LINEST VARS'!$P$48*($CX15)+'LINEST VARS'!$O$48*(8^2)+'LINEST VARS'!$N$48*(8^2)+'LINEST VARS'!$M$48*($DG$8^2)+'LINEST VARS'!$L$48*(0.5^2)+'LINEST VARS'!$K$48*($CX15^2)+'LINEST VARS'!$J$48*(8*8)+'LINEST VARS'!$I$48*(8*$DG$8)+'LINEST VARS'!$H$48*(8*0.5)+'LINEST VARS'!$G$48*(8*$CX15)+'LINEST VARS'!$F$48*(8*$DG$8)+'LINEST VARS'!$E$48*(8*0.5)+'LINEST VARS'!$D$48*(8*$CX15)+'LINEST VARS'!$C$48*($DG$8*0.5)+'LINEST VARS'!$B$48*($DG$8*$CX15)+'LINEST VARS'!$A$48*(0.5*$CX15)</f>
        <v>369.99999999999989</v>
      </c>
      <c r="DH15" s="46">
        <f>'LINEST VARS'!$U$48+'LINEST VARS'!$T$48*(8)+'LINEST VARS'!$S$48*(8)+'LINEST VARS'!$R$48*($DH$8)+'LINEST VARS'!$Q$48*(0.5)+'LINEST VARS'!$P$48*($CX15)+'LINEST VARS'!$O$48*(8^2)+'LINEST VARS'!$N$48*(8^2)+'LINEST VARS'!$M$48*($DH$8^2)+'LINEST VARS'!$L$48*(0.5^2)+'LINEST VARS'!$K$48*($CX15^2)+'LINEST VARS'!$J$48*(8*8)+'LINEST VARS'!$I$48*(8*$DH$8)+'LINEST VARS'!$H$48*(8*0.5)+'LINEST VARS'!$G$48*(8*$CX15)+'LINEST VARS'!$F$48*(8*$DH$8)+'LINEST VARS'!$E$48*(8*0.5)+'LINEST VARS'!$D$48*(8*$CX15)+'LINEST VARS'!$C$48*($DH$8*0.5)+'LINEST VARS'!$B$48*($DH$8*$CX15)+'LINEST VARS'!$A$48*(0.5*$CX15)</f>
        <v>369.99999999999989</v>
      </c>
      <c r="DI15" s="46">
        <f>'LINEST VARS'!$U$48+'LINEST VARS'!$T$48*(8)+'LINEST VARS'!$S$48*(8)+'LINEST VARS'!$R$48*($DI$8)+'LINEST VARS'!$Q$48*(0.5)+'LINEST VARS'!$P$48*($CX15)+'LINEST VARS'!$O$48*(8^2)+'LINEST VARS'!$N$48*(8^2)+'LINEST VARS'!$M$48*($DI$8^2)+'LINEST VARS'!$L$48*(0.5^2)+'LINEST VARS'!$K$48*($CX15^2)+'LINEST VARS'!$J$48*(8*8)+'LINEST VARS'!$I$48*(8*$DI$8)+'LINEST VARS'!$H$48*(8*0.5)+'LINEST VARS'!$G$48*(8*$CX15)+'LINEST VARS'!$F$48*(8*$DI$8)+'LINEST VARS'!$E$48*(8*0.5)+'LINEST VARS'!$D$48*(8*$CX15)+'LINEST VARS'!$C$48*($DI$8*0.5)+'LINEST VARS'!$B$48*($DI$8*$CX15)+'LINEST VARS'!$A$48*(0.5*$CX15)</f>
        <v>369.99999999999989</v>
      </c>
      <c r="DJ15" s="46">
        <f>'LINEST VARS'!$U$48+'LINEST VARS'!$T$48*(8)+'LINEST VARS'!$S$48*(8)+'LINEST VARS'!$R$48*($DJ$8)+'LINEST VARS'!$Q$48*(0.5)+'LINEST VARS'!$P$48*($CX15)+'LINEST VARS'!$O$48*(8^2)+'LINEST VARS'!$N$48*(8^2)+'LINEST VARS'!$M$48*($DJ$8^2)+'LINEST VARS'!$L$48*(0.5^2)+'LINEST VARS'!$K$48*($CX15^2)+'LINEST VARS'!$J$48*(8*8)+'LINEST VARS'!$I$48*(8*$DJ$8)+'LINEST VARS'!$H$48*(8*0.5)+'LINEST VARS'!$G$48*(8*$CX15)+'LINEST VARS'!$F$48*(8*$DJ$8)+'LINEST VARS'!$E$48*(8*0.5)+'LINEST VARS'!$D$48*(8*$CX15)+'LINEST VARS'!$C$48*($DJ$8*0.5)+'LINEST VARS'!$B$48*($DJ$8*$CX15)+'LINEST VARS'!$A$48*(0.5*$CX15)</f>
        <v>369.99999999999989</v>
      </c>
      <c r="DK15" s="46">
        <f>'LINEST VARS'!$U$48+'LINEST VARS'!$T$48*(8)+'LINEST VARS'!$S$48*(8)+'LINEST VARS'!$R$48*($DK$8)+'LINEST VARS'!$Q$48*(0.5)+'LINEST VARS'!$P$48*($CX15)+'LINEST VARS'!$O$48*(8^2)+'LINEST VARS'!$N$48*(8^2)+'LINEST VARS'!$M$48*($DK$8^2)+'LINEST VARS'!$L$48*(0.5^2)+'LINEST VARS'!$K$48*($CX15^2)+'LINEST VARS'!$J$48*(8*8)+'LINEST VARS'!$I$48*(8*$DK$8)+'LINEST VARS'!$H$48*(8*0.5)+'LINEST VARS'!$G$48*(8*$CX15)+'LINEST VARS'!$F$48*(8*$DK$8)+'LINEST VARS'!$E$48*(8*0.5)+'LINEST VARS'!$D$48*(8*$CX15)+'LINEST VARS'!$C$48*($DK$8*0.5)+'LINEST VARS'!$B$48*($DK$8*$CX15)+'LINEST VARS'!$A$48*(0.5*$CX15)</f>
        <v>369.99999999999989</v>
      </c>
      <c r="DL15" s="46">
        <f>'LINEST VARS'!$U$48+'LINEST VARS'!$T$48*(8)+'LINEST VARS'!$S$48*(8)+'LINEST VARS'!$R$48*($DL$8)+'LINEST VARS'!$Q$48*(0.5)+'LINEST VARS'!$P$48*($CX15)+'LINEST VARS'!$O$48*(8^2)+'LINEST VARS'!$N$48*(8^2)+'LINEST VARS'!$M$48*($DL$8^2)+'LINEST VARS'!$L$48*(0.5^2)+'LINEST VARS'!$K$48*($CX15^2)+'LINEST VARS'!$J$48*(8*8)+'LINEST VARS'!$I$48*(8*$DL$8)+'LINEST VARS'!$H$48*(8*0.5)+'LINEST VARS'!$G$48*(8*$CX15)+'LINEST VARS'!$F$48*(8*$DL$8)+'LINEST VARS'!$E$48*(8*0.5)+'LINEST VARS'!$D$48*(8*$CX15)+'LINEST VARS'!$C$48*($DL$8*0.5)+'LINEST VARS'!$B$48*($DL$8*$CX15)+'LINEST VARS'!$A$48*(0.5*$CX15)</f>
        <v>369.99999999999994</v>
      </c>
      <c r="DM15" s="46">
        <f>'LINEST VARS'!$U$48+'LINEST VARS'!$T$48*(8)+'LINEST VARS'!$S$48*(8)+'LINEST VARS'!$R$48*($DM$8)+'LINEST VARS'!$Q$48*(0.5)+'LINEST VARS'!$P$48*($CX15)+'LINEST VARS'!$O$48*(8^2)+'LINEST VARS'!$N$48*(8^2)+'LINEST VARS'!$M$48*($DM$8^2)+'LINEST VARS'!$L$48*(0.5^2)+'LINEST VARS'!$K$48*($CX15^2)+'LINEST VARS'!$J$48*(8*8)+'LINEST VARS'!$I$48*(8*$DM$8)+'LINEST VARS'!$H$48*(8*0.5)+'LINEST VARS'!$G$48*(8*$CX15)+'LINEST VARS'!$F$48*(8*$DM$8)+'LINEST VARS'!$E$48*(8*0.5)+'LINEST VARS'!$D$48*(8*$CX15)+'LINEST VARS'!$C$48*($DM$8*0.5)+'LINEST VARS'!$B$48*($DM$8*$CX15)+'LINEST VARS'!$A$48*(0.5*$CX15)</f>
        <v>369.99999999999994</v>
      </c>
      <c r="DN15" s="46">
        <f>'LINEST VARS'!$U$48+'LINEST VARS'!$T$48*(8)+'LINEST VARS'!$S$48*(8)+'LINEST VARS'!$R$48*($DN$8)+'LINEST VARS'!$Q$48*(0.5)+'LINEST VARS'!$P$48*($CX15)+'LINEST VARS'!$O$48*(8^2)+'LINEST VARS'!$N$48*(8^2)+'LINEST VARS'!$M$48*($DN$8^2)+'LINEST VARS'!$L$48*(0.5^2)+'LINEST VARS'!$K$48*($CX15^2)+'LINEST VARS'!$J$48*(8*8)+'LINEST VARS'!$I$48*(8*$DN$8)+'LINEST VARS'!$H$48*(8*0.5)+'LINEST VARS'!$G$48*(8*$CX15)+'LINEST VARS'!$F$48*(8*$DN$8)+'LINEST VARS'!$E$48*(8*0.5)+'LINEST VARS'!$D$48*(8*$CX15)+'LINEST VARS'!$C$48*($DN$8*0.5)+'LINEST VARS'!$B$48*($DN$8*$CX15)+'LINEST VARS'!$A$48*(0.5*$CX15)</f>
        <v>369.99999999999994</v>
      </c>
      <c r="DO15" s="46">
        <f>'LINEST VARS'!$U$48+'LINEST VARS'!$T$48*(8)+'LINEST VARS'!$S$48*(8)+'LINEST VARS'!$R$48*($DO$8)+'LINEST VARS'!$Q$48*(0.5)+'LINEST VARS'!$P$48*($CX15)+'LINEST VARS'!$O$48*(8^2)+'LINEST VARS'!$N$48*(8^2)+'LINEST VARS'!$M$48*($DO$8^2)+'LINEST VARS'!$L$48*(0.5^2)+'LINEST VARS'!$K$48*($CX15^2)+'LINEST VARS'!$J$48*(8*8)+'LINEST VARS'!$I$48*(8*$DO$8)+'LINEST VARS'!$H$48*(8*0.5)+'LINEST VARS'!$G$48*(8*$CX15)+'LINEST VARS'!$F$48*(8*$DO$8)+'LINEST VARS'!$E$48*(8*0.5)+'LINEST VARS'!$D$48*(8*$CX15)+'LINEST VARS'!$C$48*($DO$8*0.5)+'LINEST VARS'!$B$48*($DO$8*$CX15)+'LINEST VARS'!$A$48*(0.5*$CX15)</f>
        <v>369.99999999999989</v>
      </c>
      <c r="DP15" s="46">
        <f>'LINEST VARS'!$U$48+'LINEST VARS'!$T$48*(8)+'LINEST VARS'!$S$48*(8)+'LINEST VARS'!$R$48*($DP$8)+'LINEST VARS'!$Q$48*(0.5)+'LINEST VARS'!$P$48*($CX15)+'LINEST VARS'!$O$48*(8^2)+'LINEST VARS'!$N$48*(8^2)+'LINEST VARS'!$M$48*($DP$8^2)+'LINEST VARS'!$L$48*(0.5^2)+'LINEST VARS'!$K$48*($CX15^2)+'LINEST VARS'!$J$48*(8*8)+'LINEST VARS'!$I$48*(8*$DP$8)+'LINEST VARS'!$H$48*(8*0.5)+'LINEST VARS'!$G$48*(8*$CX15)+'LINEST VARS'!$F$48*(8*$DP$8)+'LINEST VARS'!$E$48*(8*0.5)+'LINEST VARS'!$D$48*(8*$CX15)+'LINEST VARS'!$C$48*($DP$8*0.5)+'LINEST VARS'!$B$48*($DP$8*$CX15)+'LINEST VARS'!$A$48*(0.5*$CX15)</f>
        <v>369.99999999999989</v>
      </c>
      <c r="DQ15" s="46">
        <f>'LINEST VARS'!$U$48+'LINEST VARS'!$T$48*(8)+'LINEST VARS'!$S$48*(8)+'LINEST VARS'!$R$48*($DQ$8)+'LINEST VARS'!$Q$48*(0.5)+'LINEST VARS'!$P$48*($CX15)+'LINEST VARS'!$O$48*(8^2)+'LINEST VARS'!$N$48*(8^2)+'LINEST VARS'!$M$48*($DQ$8^2)+'LINEST VARS'!$L$48*(0.5^2)+'LINEST VARS'!$K$48*($CX15^2)+'LINEST VARS'!$J$48*(8*8)+'LINEST VARS'!$I$48*(8*$DQ$8)+'LINEST VARS'!$H$48*(8*0.5)+'LINEST VARS'!$G$48*(8*$CX15)+'LINEST VARS'!$F$48*(8*$DQ$8)+'LINEST VARS'!$E$48*(8*0.5)+'LINEST VARS'!$D$48*(8*$CX15)+'LINEST VARS'!$C$48*($DQ$8*0.5)+'LINEST VARS'!$B$48*($DQ$8*$CX15)+'LINEST VARS'!$A$48*(0.5*$CX15)</f>
        <v>369.99999999999989</v>
      </c>
      <c r="DR15" s="46">
        <f>'LINEST VARS'!$U$48+'LINEST VARS'!$T$48*(8)+'LINEST VARS'!$S$48*(8)+'LINEST VARS'!$R$48*($DR$8)+'LINEST VARS'!$Q$48*(0.5)+'LINEST VARS'!$P$48*($CX15)+'LINEST VARS'!$O$48*(8^2)+'LINEST VARS'!$N$48*(8^2)+'LINEST VARS'!$M$48*($DR$8^2)+'LINEST VARS'!$L$48*(0.5^2)+'LINEST VARS'!$K$48*($CX15^2)+'LINEST VARS'!$J$48*(8*8)+'LINEST VARS'!$I$48*(8*$DR$8)+'LINEST VARS'!$H$48*(8*0.5)+'LINEST VARS'!$G$48*(8*$CX15)+'LINEST VARS'!$F$48*(8*$DR$8)+'LINEST VARS'!$E$48*(8*0.5)+'LINEST VARS'!$D$48*(8*$CX15)+'LINEST VARS'!$C$48*($DR$8*0.5)+'LINEST VARS'!$B$48*($DR$8*$CX15)+'LINEST VARS'!$A$48*(0.5*$CX15)</f>
        <v>369.99999999999989</v>
      </c>
      <c r="DS15" s="47">
        <f>'LINEST VARS'!$U$48+'LINEST VARS'!$T$48*(8)+'LINEST VARS'!$S$48*(8)+'LINEST VARS'!$R$48*($DS$8)+'LINEST VARS'!$Q$48*(0.5)+'LINEST VARS'!$P$48*($CX15)+'LINEST VARS'!$O$48*(8^2)+'LINEST VARS'!$N$48*(8^2)+'LINEST VARS'!$M$48*($DS$8^2)+'LINEST VARS'!$L$48*(0.5^2)+'LINEST VARS'!$K$48*($CX15^2)+'LINEST VARS'!$J$48*(8*8)+'LINEST VARS'!$I$48*(8*$DS$8)+'LINEST VARS'!$H$48*(8*0.5)+'LINEST VARS'!$G$48*(8*$CX15)+'LINEST VARS'!$F$48*(8*$DS$8)+'LINEST VARS'!$E$48*(8*0.5)+'LINEST VARS'!$D$48*(8*$CX15)+'LINEST VARS'!$C$48*($DS$8*0.5)+'LINEST VARS'!$B$48*($DS$8*$CX15)+'LINEST VARS'!$A$48*(0.5*$CX15)</f>
        <v>369.99999999999989</v>
      </c>
      <c r="DV15" s="45">
        <v>7.7969999999999997</v>
      </c>
      <c r="DW15" s="46">
        <f>'LINEST VARS'!$U$50+'LINEST VARS'!$T$50*(8)+'LINEST VARS'!$S$50*(8)+'LINEST VARS'!$R$50*($DW$8)+'LINEST VARS'!$Q$50*(0.5)+'LINEST VARS'!$P$50*($DV15)+'LINEST VARS'!$O$50*(8^2)+'LINEST VARS'!$N$50*(8^2)+'LINEST VARS'!$M$50*($DW$8^2)+'LINEST VARS'!$L$50*(0.5^2)+'LINEST VARS'!$K$50*($DV15^2)+'LINEST VARS'!$J$50*(8*8)+'LINEST VARS'!$I$50*(8*$DW$8)+'LINEST VARS'!$H$50*(8*0.5)+'LINEST VARS'!$G$50*(8*$DV15)+'LINEST VARS'!$F$50*(8*$DW$8)+'LINEST VARS'!$E$50*(8*0.5)+'LINEST VARS'!$D$50*(8*$DV15)+'LINEST VARS'!$C$50*($DW$8*0.5)+'LINEST VARS'!$B$50*($DW$8*$DV15)+'LINEST VARS'!$A$50*(0.5*$DV15)</f>
        <v>331.99999999999989</v>
      </c>
      <c r="DX15" s="46">
        <f>'LINEST VARS'!$U$50+'LINEST VARS'!$T$50*(8)+'LINEST VARS'!$S$50*(8)+'LINEST VARS'!$R$50*($DX$8)+'LINEST VARS'!$Q$50*(0.5)+'LINEST VARS'!$P$50*($DV15)+'LINEST VARS'!$O$50*(8^2)+'LINEST VARS'!$N$50*(8^2)+'LINEST VARS'!$M$50*($DX$8^2)+'LINEST VARS'!$L$50*(0.5^2)+'LINEST VARS'!$K$50*($DV15^2)+'LINEST VARS'!$J$50*(8*8)+'LINEST VARS'!$I$50*(8*$DX$8)+'LINEST VARS'!$H$50*(8*0.5)+'LINEST VARS'!$G$50*(8*$DV15)+'LINEST VARS'!$F$50*(8*$DX$8)+'LINEST VARS'!$E$50*(8*0.5)+'LINEST VARS'!$D$50*(8*$DV15)+'LINEST VARS'!$C$50*($DX$8*0.5)+'LINEST VARS'!$B$50*($DX$8*$DV15)+'LINEST VARS'!$A$50*(0.5*$DV15)</f>
        <v>331.99999999999989</v>
      </c>
      <c r="DY15" s="46">
        <f>'LINEST VARS'!$U$50+'LINEST VARS'!$T$50*(8)+'LINEST VARS'!$S$50*(8)+'LINEST VARS'!$R$50*($DY$8)+'LINEST VARS'!$Q$50*(0.5)+'LINEST VARS'!$P$50*($DV15)+'LINEST VARS'!$O$50*(8^2)+'LINEST VARS'!$N$50*(8^2)+'LINEST VARS'!$M$50*($DY$8^2)+'LINEST VARS'!$L$50*(0.5^2)+'LINEST VARS'!$K$50*($DV15^2)+'LINEST VARS'!$J$50*(8*8)+'LINEST VARS'!$I$50*(8*$DY$8)+'LINEST VARS'!$H$50*(8*0.5)+'LINEST VARS'!$G$50*(8*$DV15)+'LINEST VARS'!$F$50*(8*$DY$8)+'LINEST VARS'!$E$50*(8*0.5)+'LINEST VARS'!$D$50*(8*$DV15)+'LINEST VARS'!$C$50*($DY$8*0.5)+'LINEST VARS'!$B$50*($DY$8*$DV15)+'LINEST VARS'!$A$50*(0.5*$DV15)</f>
        <v>331.99999999999989</v>
      </c>
      <c r="DZ15" s="46">
        <f>'LINEST VARS'!$U$50+'LINEST VARS'!$T$50*(8)+'LINEST VARS'!$S$50*(8)+'LINEST VARS'!$R$50*($DZ$8)+'LINEST VARS'!$Q$50*(0.5)+'LINEST VARS'!$P$50*($DV15)+'LINEST VARS'!$O$50*(8^2)+'LINEST VARS'!$N$50*(8^2)+'LINEST VARS'!$M$50*($DZ$8^2)+'LINEST VARS'!$L$50*(0.5^2)+'LINEST VARS'!$K$50*($DV15^2)+'LINEST VARS'!$J$50*(8*8)+'LINEST VARS'!$I$50*(8*$DZ$8)+'LINEST VARS'!$H$50*(8*0.5)+'LINEST VARS'!$G$50*(8*$DV15)+'LINEST VARS'!$F$50*(8*$DZ$8)+'LINEST VARS'!$E$50*(8*0.5)+'LINEST VARS'!$D$50*(8*$DV15)+'LINEST VARS'!$C$50*($DZ$8*0.5)+'LINEST VARS'!$B$50*($DZ$8*$DV15)+'LINEST VARS'!$A$50*(0.5*$DV15)</f>
        <v>331.99999999999989</v>
      </c>
      <c r="EA15" s="46">
        <f>'LINEST VARS'!$U$50+'LINEST VARS'!$T$50*(8)+'LINEST VARS'!$S$50*(8)+'LINEST VARS'!$R$50*($EA$8)+'LINEST VARS'!$Q$50*(0.5)+'LINEST VARS'!$P$50*($DV15)+'LINEST VARS'!$O$50*(8^2)+'LINEST VARS'!$N$50*(8^2)+'LINEST VARS'!$M$50*($EA$8^2)+'LINEST VARS'!$L$50*(0.5^2)+'LINEST VARS'!$K$50*($DV15^2)+'LINEST VARS'!$J$50*(8*8)+'LINEST VARS'!$I$50*(8*$EA$8)+'LINEST VARS'!$H$50*(8*0.5)+'LINEST VARS'!$G$50*(8*$DV15)+'LINEST VARS'!$F$50*(8*$EA$8)+'LINEST VARS'!$E$50*(8*0.5)+'LINEST VARS'!$D$50*(8*$DV15)+'LINEST VARS'!$C$50*($EA$8*0.5)+'LINEST VARS'!$B$50*($EA$8*$DV15)+'LINEST VARS'!$A$50*(0.5*$DV15)</f>
        <v>331.99999999999989</v>
      </c>
      <c r="EB15" s="46">
        <f>'LINEST VARS'!$U$50+'LINEST VARS'!$T$50*(8)+'LINEST VARS'!$S$50*(8)+'LINEST VARS'!$R$50*($EB$8)+'LINEST VARS'!$Q$50*(0.5)+'LINEST VARS'!$P$50*($DV15)+'LINEST VARS'!$O$50*(8^2)+'LINEST VARS'!$N$50*(8^2)+'LINEST VARS'!$M$50*($EB$8^2)+'LINEST VARS'!$L$50*(0.5^2)+'LINEST VARS'!$K$50*($DV15^2)+'LINEST VARS'!$J$50*(8*8)+'LINEST VARS'!$I$50*(8*$EB$8)+'LINEST VARS'!$H$50*(8*0.5)+'LINEST VARS'!$G$50*(8*$DV15)+'LINEST VARS'!$F$50*(8*$EB$8)+'LINEST VARS'!$E$50*(8*0.5)+'LINEST VARS'!$D$50*(8*$DV15)+'LINEST VARS'!$C$50*($EB$8*0.5)+'LINEST VARS'!$B$50*($EB$8*$DV15)+'LINEST VARS'!$A$50*(0.5*$DV15)</f>
        <v>331.99999999999989</v>
      </c>
      <c r="EC15" s="46">
        <f>'LINEST VARS'!$U$50+'LINEST VARS'!$T$50*(8)+'LINEST VARS'!$S$50*(8)+'LINEST VARS'!$R$50*($EC$8)+'LINEST VARS'!$Q$50*(0.5)+'LINEST VARS'!$P$50*($DV15)+'LINEST VARS'!$O$50*(8^2)+'LINEST VARS'!$N$50*(8^2)+'LINEST VARS'!$M$50*($EC$8^2)+'LINEST VARS'!$L$50*(0.5^2)+'LINEST VARS'!$K$50*($DV15^2)+'LINEST VARS'!$J$50*(8*8)+'LINEST VARS'!$I$50*(8*$EC$8)+'LINEST VARS'!$H$50*(8*0.5)+'LINEST VARS'!$G$50*(8*$DV15)+'LINEST VARS'!$F$50*(8*$EC$8)+'LINEST VARS'!$E$50*(8*0.5)+'LINEST VARS'!$D$50*(8*$DV15)+'LINEST VARS'!$C$50*($EC$8*0.5)+'LINEST VARS'!$B$50*($EC$8*$DV15)+'LINEST VARS'!$A$50*(0.5*$DV15)</f>
        <v>331.99999999999989</v>
      </c>
      <c r="ED15" s="46">
        <f>'LINEST VARS'!$U$50+'LINEST VARS'!$T$50*(8)+'LINEST VARS'!$S$50*(8)+'LINEST VARS'!$R$50*($ED$8)+'LINEST VARS'!$Q$50*(0.5)+'LINEST VARS'!$P$50*($DV15)+'LINEST VARS'!$O$50*(8^2)+'LINEST VARS'!$N$50*(8^2)+'LINEST VARS'!$M$50*($ED$8^2)+'LINEST VARS'!$L$50*(0.5^2)+'LINEST VARS'!$K$50*($DV15^2)+'LINEST VARS'!$J$50*(8*8)+'LINEST VARS'!$I$50*(8*$ED$8)+'LINEST VARS'!$H$50*(8*0.5)+'LINEST VARS'!$G$50*(8*$DV15)+'LINEST VARS'!$F$50*(8*$ED$8)+'LINEST VARS'!$E$50*(8*0.5)+'LINEST VARS'!$D$50*(8*$DV15)+'LINEST VARS'!$C$50*($ED$8*0.5)+'LINEST VARS'!$B$50*($ED$8*$DV15)+'LINEST VARS'!$A$50*(0.5*$DV15)</f>
        <v>331.99999999999989</v>
      </c>
      <c r="EE15" s="46">
        <f>'LINEST VARS'!$U$50+'LINEST VARS'!$T$50*(8)+'LINEST VARS'!$S$50*(8)+'LINEST VARS'!$R$50*($EE$8)+'LINEST VARS'!$Q$50*(0.5)+'LINEST VARS'!$P$50*($DV15)+'LINEST VARS'!$O$50*(8^2)+'LINEST VARS'!$N$50*(8^2)+'LINEST VARS'!$M$50*($EE$8^2)+'LINEST VARS'!$L$50*(0.5^2)+'LINEST VARS'!$K$50*($DV15^2)+'LINEST VARS'!$J$50*(8*8)+'LINEST VARS'!$I$50*(8*$EE$8)+'LINEST VARS'!$H$50*(8*0.5)+'LINEST VARS'!$G$50*(8*$DV15)+'LINEST VARS'!$F$50*(8*$EE$8)+'LINEST VARS'!$E$50*(8*0.5)+'LINEST VARS'!$D$50*(8*$DV15)+'LINEST VARS'!$C$50*($EE$8*0.5)+'LINEST VARS'!$B$50*($EE$8*$DV15)+'LINEST VARS'!$A$50*(0.5*$DV15)</f>
        <v>331.99999999999989</v>
      </c>
      <c r="EF15" s="46">
        <f>'LINEST VARS'!$U$50+'LINEST VARS'!$T$50*(8)+'LINEST VARS'!$S$50*(8)+'LINEST VARS'!$R$50*($EF$8)+'LINEST VARS'!$Q$50*(0.5)+'LINEST VARS'!$P$50*($DV15)+'LINEST VARS'!$O$50*(8^2)+'LINEST VARS'!$N$50*(8^2)+'LINEST VARS'!$M$50*($EF$8^2)+'LINEST VARS'!$L$50*(0.5^2)+'LINEST VARS'!$K$50*($DV15^2)+'LINEST VARS'!$J$50*(8*8)+'LINEST VARS'!$I$50*(8*$EF$8)+'LINEST VARS'!$H$50*(8*0.5)+'LINEST VARS'!$G$50*(8*$DV15)+'LINEST VARS'!$F$50*(8*$EF$8)+'LINEST VARS'!$E$50*(8*0.5)+'LINEST VARS'!$D$50*(8*$DV15)+'LINEST VARS'!$C$50*($EF$8*0.5)+'LINEST VARS'!$B$50*($EF$8*$DV15)+'LINEST VARS'!$A$50*(0.5*$DV15)</f>
        <v>331.99999999999989</v>
      </c>
      <c r="EG15" s="46">
        <f>'LINEST VARS'!$U$50+'LINEST VARS'!$T$50*(8)+'LINEST VARS'!$S$50*(8)+'LINEST VARS'!$R$50*($EG$8)+'LINEST VARS'!$Q$50*(0.5)+'LINEST VARS'!$P$50*($DV15)+'LINEST VARS'!$O$50*(8^2)+'LINEST VARS'!$N$50*(8^2)+'LINEST VARS'!$M$50*($EG$8^2)+'LINEST VARS'!$L$50*(0.5^2)+'LINEST VARS'!$K$50*($DV15^2)+'LINEST VARS'!$J$50*(8*8)+'LINEST VARS'!$I$50*(8*$EG$8)+'LINEST VARS'!$H$50*(8*0.5)+'LINEST VARS'!$G$50*(8*$DV15)+'LINEST VARS'!$F$50*(8*$EG$8)+'LINEST VARS'!$E$50*(8*0.5)+'LINEST VARS'!$D$50*(8*$DV15)+'LINEST VARS'!$C$50*($EG$8*0.5)+'LINEST VARS'!$B$50*($EG$8*$DV15)+'LINEST VARS'!$A$50*(0.5*$DV15)</f>
        <v>331.99999999999989</v>
      </c>
      <c r="EH15" s="46">
        <f>'LINEST VARS'!$U$50+'LINEST VARS'!$T$50*(8)+'LINEST VARS'!$S$50*(8)+'LINEST VARS'!$R$50*($EH$8)+'LINEST VARS'!$Q$50*(0.5)+'LINEST VARS'!$P$50*($DV15)+'LINEST VARS'!$O$50*(8^2)+'LINEST VARS'!$N$50*(8^2)+'LINEST VARS'!$M$50*($EH$8^2)+'LINEST VARS'!$L$50*(0.5^2)+'LINEST VARS'!$K$50*($DV15^2)+'LINEST VARS'!$J$50*(8*8)+'LINEST VARS'!$I$50*(8*$EH$8)+'LINEST VARS'!$H$50*(8*0.5)+'LINEST VARS'!$G$50*(8*$DV15)+'LINEST VARS'!$F$50*(8*$EH$8)+'LINEST VARS'!$E$50*(8*0.5)+'LINEST VARS'!$D$50*(8*$DV15)+'LINEST VARS'!$C$50*($EH$8*0.5)+'LINEST VARS'!$B$50*($EH$8*$DV15)+'LINEST VARS'!$A$50*(0.5*$DV15)</f>
        <v>331.99999999999989</v>
      </c>
      <c r="EI15" s="46">
        <f>'LINEST VARS'!$U$50+'LINEST VARS'!$T$50*(8)+'LINEST VARS'!$S$50*(8)+'LINEST VARS'!$R$50*($EI$8)+'LINEST VARS'!$Q$50*(0.5)+'LINEST VARS'!$P$50*($DV15)+'LINEST VARS'!$O$50*(8^2)+'LINEST VARS'!$N$50*(8^2)+'LINEST VARS'!$M$50*($EI$8^2)+'LINEST VARS'!$L$50*(0.5^2)+'LINEST VARS'!$K$50*($DV15^2)+'LINEST VARS'!$J$50*(8*8)+'LINEST VARS'!$I$50*(8*$EI$8)+'LINEST VARS'!$H$50*(8*0.5)+'LINEST VARS'!$G$50*(8*$DV15)+'LINEST VARS'!$F$50*(8*$EI$8)+'LINEST VARS'!$E$50*(8*0.5)+'LINEST VARS'!$D$50*(8*$DV15)+'LINEST VARS'!$C$50*($EI$8*0.5)+'LINEST VARS'!$B$50*($EI$8*$DV15)+'LINEST VARS'!$A$50*(0.5*$DV15)</f>
        <v>331.99999999999989</v>
      </c>
      <c r="EJ15" s="46">
        <f>'LINEST VARS'!$U$50+'LINEST VARS'!$T$50*(8)+'LINEST VARS'!$S$50*(8)+'LINEST VARS'!$R$50*($EJ$8)+'LINEST VARS'!$Q$50*(0.5)+'LINEST VARS'!$P$50*($DV15)+'LINEST VARS'!$O$50*(8^2)+'LINEST VARS'!$N$50*(8^2)+'LINEST VARS'!$M$50*($EJ$8^2)+'LINEST VARS'!$L$50*(0.5^2)+'LINEST VARS'!$K$50*($DV15^2)+'LINEST VARS'!$J$50*(8*8)+'LINEST VARS'!$I$50*(8*$EJ$8)+'LINEST VARS'!$H$50*(8*0.5)+'LINEST VARS'!$G$50*(8*$DV15)+'LINEST VARS'!$F$50*(8*$EJ$8)+'LINEST VARS'!$E$50*(8*0.5)+'LINEST VARS'!$D$50*(8*$DV15)+'LINEST VARS'!$C$50*($EJ$8*0.5)+'LINEST VARS'!$B$50*($EJ$8*$DV15)+'LINEST VARS'!$A$50*(0.5*$DV15)</f>
        <v>331.99999999999989</v>
      </c>
      <c r="EK15" s="46">
        <f>'LINEST VARS'!$U$50+'LINEST VARS'!$T$50*(8)+'LINEST VARS'!$S$50*(8)+'LINEST VARS'!$R$50*($EK$8)+'LINEST VARS'!$Q$50*(0.5)+'LINEST VARS'!$P$50*($DV15)+'LINEST VARS'!$O$50*(8^2)+'LINEST VARS'!$N$50*(8^2)+'LINEST VARS'!$M$50*($EK$8^2)+'LINEST VARS'!$L$50*(0.5^2)+'LINEST VARS'!$K$50*($DV15^2)+'LINEST VARS'!$J$50*(8*8)+'LINEST VARS'!$I$50*(8*$EK$8)+'LINEST VARS'!$H$50*(8*0.5)+'LINEST VARS'!$G$50*(8*$DV15)+'LINEST VARS'!$F$50*(8*$EK$8)+'LINEST VARS'!$E$50*(8*0.5)+'LINEST VARS'!$D$50*(8*$DV15)+'LINEST VARS'!$C$50*($EK$8*0.5)+'LINEST VARS'!$B$50*($EK$8*$DV15)+'LINEST VARS'!$A$50*(0.5*$DV15)</f>
        <v>331.99999999999989</v>
      </c>
      <c r="EL15" s="46">
        <f>'LINEST VARS'!$U$50+'LINEST VARS'!$T$50*(8)+'LINEST VARS'!$S$50*(8)+'LINEST VARS'!$R$50*($EL$8)+'LINEST VARS'!$Q$50*(0.5)+'LINEST VARS'!$P$50*($DV15)+'LINEST VARS'!$O$50*(8^2)+'LINEST VARS'!$N$50*(8^2)+'LINEST VARS'!$M$50*($EL$8^2)+'LINEST VARS'!$L$50*(0.5^2)+'LINEST VARS'!$K$50*($DV15^2)+'LINEST VARS'!$J$50*(8*8)+'LINEST VARS'!$I$50*(8*$EL$8)+'LINEST VARS'!$H$50*(8*0.5)+'LINEST VARS'!$G$50*(8*$DV15)+'LINEST VARS'!$F$50*(8*$EL$8)+'LINEST VARS'!$E$50*(8*0.5)+'LINEST VARS'!$D$50*(8*$DV15)+'LINEST VARS'!$C$50*($EL$8*0.5)+'LINEST VARS'!$B$50*($EL$8*$DV15)+'LINEST VARS'!$A$50*(0.5*$DV15)</f>
        <v>331.99999999999989</v>
      </c>
      <c r="EM15" s="46">
        <f>'LINEST VARS'!$U$50+'LINEST VARS'!$T$50*(8)+'LINEST VARS'!$S$50*(8)+'LINEST VARS'!$R$50*($EM$8)+'LINEST VARS'!$Q$50*(0.5)+'LINEST VARS'!$P$50*($DV15)+'LINEST VARS'!$O$50*(8^2)+'LINEST VARS'!$N$50*(8^2)+'LINEST VARS'!$M$50*($EM$8^2)+'LINEST VARS'!$L$50*(0.5^2)+'LINEST VARS'!$K$50*($DV15^2)+'LINEST VARS'!$J$50*(8*8)+'LINEST VARS'!$I$50*(8*$EM$8)+'LINEST VARS'!$H$50*(8*0.5)+'LINEST VARS'!$G$50*(8*$DV15)+'LINEST VARS'!$F$50*(8*$EM$8)+'LINEST VARS'!$E$50*(8*0.5)+'LINEST VARS'!$D$50*(8*$DV15)+'LINEST VARS'!$C$50*($EM$8*0.5)+'LINEST VARS'!$B$50*($EM$8*$DV15)+'LINEST VARS'!$A$50*(0.5*$DV15)</f>
        <v>331.99999999999989</v>
      </c>
      <c r="EN15" s="46">
        <f>'LINEST VARS'!$U$50+'LINEST VARS'!$T$50*(8)+'LINEST VARS'!$S$50*(8)+'LINEST VARS'!$R$50*($EN$8)+'LINEST VARS'!$Q$50*(0.5)+'LINEST VARS'!$P$50*($DV15)+'LINEST VARS'!$O$50*(8^2)+'LINEST VARS'!$N$50*(8^2)+'LINEST VARS'!$M$50*($EN$8^2)+'LINEST VARS'!$L$50*(0.5^2)+'LINEST VARS'!$K$50*($DV15^2)+'LINEST VARS'!$J$50*(8*8)+'LINEST VARS'!$I$50*(8*$EN$8)+'LINEST VARS'!$H$50*(8*0.5)+'LINEST VARS'!$G$50*(8*$DV15)+'LINEST VARS'!$F$50*(8*$EN$8)+'LINEST VARS'!$E$50*(8*0.5)+'LINEST VARS'!$D$50*(8*$DV15)+'LINEST VARS'!$C$50*($EN$8*0.5)+'LINEST VARS'!$B$50*($EN$8*$DV15)+'LINEST VARS'!$A$50*(0.5*$DV15)</f>
        <v>331.99999999999989</v>
      </c>
      <c r="EO15" s="46">
        <f>'LINEST VARS'!$U$50+'LINEST VARS'!$T$50*(8)+'LINEST VARS'!$S$50*(8)+'LINEST VARS'!$R$50*($EO$8)+'LINEST VARS'!$Q$50*(0.5)+'LINEST VARS'!$P$50*($DV15)+'LINEST VARS'!$O$50*(8^2)+'LINEST VARS'!$N$50*(8^2)+'LINEST VARS'!$M$50*($EO$8^2)+'LINEST VARS'!$L$50*(0.5^2)+'LINEST VARS'!$K$50*($DV15^2)+'LINEST VARS'!$J$50*(8*8)+'LINEST VARS'!$I$50*(8*$EO$8)+'LINEST VARS'!$H$50*(8*0.5)+'LINEST VARS'!$G$50*(8*$DV15)+'LINEST VARS'!$F$50*(8*$EO$8)+'LINEST VARS'!$E$50*(8*0.5)+'LINEST VARS'!$D$50*(8*$DV15)+'LINEST VARS'!$C$50*($EO$8*0.5)+'LINEST VARS'!$B$50*($EO$8*$DV15)+'LINEST VARS'!$A$50*(0.5*$DV15)</f>
        <v>331.99999999999989</v>
      </c>
      <c r="EP15" s="46">
        <f>'LINEST VARS'!$U$50+'LINEST VARS'!$T$50*(8)+'LINEST VARS'!$S$50*(8)+'LINEST VARS'!$R$50*($EP$8)+'LINEST VARS'!$Q$50*(0.5)+'LINEST VARS'!$P$50*($DV15)+'LINEST VARS'!$O$50*(8^2)+'LINEST VARS'!$N$50*(8^2)+'LINEST VARS'!$M$50*($EP$8^2)+'LINEST VARS'!$L$50*(0.5^2)+'LINEST VARS'!$K$50*($DV15^2)+'LINEST VARS'!$J$50*(8*8)+'LINEST VARS'!$I$50*(8*$EP$8)+'LINEST VARS'!$H$50*(8*0.5)+'LINEST VARS'!$G$50*(8*$DV15)+'LINEST VARS'!$F$50*(8*$EP$8)+'LINEST VARS'!$E$50*(8*0.5)+'LINEST VARS'!$D$50*(8*$DV15)+'LINEST VARS'!$C$50*($EP$8*0.5)+'LINEST VARS'!$B$50*($EP$8*$DV15)+'LINEST VARS'!$A$50*(0.5*$DV15)</f>
        <v>331.99999999999989</v>
      </c>
      <c r="EQ15" s="47">
        <f>'LINEST VARS'!$U$50+'LINEST VARS'!$T$50*(8)+'LINEST VARS'!$S$50*(8)+'LINEST VARS'!$R$50*($EQ$8)+'LINEST VARS'!$Q$50*(0.5)+'LINEST VARS'!$P$50*($DV15)+'LINEST VARS'!$O$50*(8^2)+'LINEST VARS'!$N$50*(8^2)+'LINEST VARS'!$M$50*($EQ$8^2)+'LINEST VARS'!$L$50*(0.5^2)+'LINEST VARS'!$K$50*($DV15^2)+'LINEST VARS'!$J$50*(8*8)+'LINEST VARS'!$I$50*(8*$EQ$8)+'LINEST VARS'!$H$50*(8*0.5)+'LINEST VARS'!$G$50*(8*$DV15)+'LINEST VARS'!$F$50*(8*$EQ$8)+'LINEST VARS'!$E$50*(8*0.5)+'LINEST VARS'!$D$50*(8*$DV15)+'LINEST VARS'!$C$50*($EQ$8*0.5)+'LINEST VARS'!$B$50*($EQ$8*$DV15)+'LINEST VARS'!$A$50*(0.5*$DV15)</f>
        <v>331.99999999999989</v>
      </c>
    </row>
    <row r="16" spans="2:150" ht="15" customHeight="1" x14ac:dyDescent="0.25">
      <c r="B16" s="45">
        <v>7.82</v>
      </c>
      <c r="C16" s="46">
        <f>'LINEST VARS'!$U$48+'LINEST VARS'!$T$48*($C$8)+'LINEST VARS'!$S$48*($B16)+'LINEST VARS'!$R$48*(4)+'LINEST VARS'!$Q$48*(0.5)+'LINEST VARS'!$P$48*(12.73)+'LINEST VARS'!$O$48*($C$8^2)+'LINEST VARS'!$N$48*($B16^2)+'LINEST VARS'!$M$48*(4^2)+'LINEST VARS'!$L$48*(0.5^2)+'LINEST VARS'!$K$48*(12.73^2)+'LINEST VARS'!$J$48*($C$8*$B16)+'LINEST VARS'!$I$48*($C$8*4)+'LINEST VARS'!$H$48*($C$8*0.5)+'LINEST VARS'!$G$48*($C$8*12.73)+'LINEST VARS'!$F$48*($B16*4)+'LINEST VARS'!$E$48*($B16*0.5)+'LINEST VARS'!$D$48*($B16*12.73)+'LINEST VARS'!$C$48*(4*0.5)+'LINEST VARS'!$B$48*(4*12.73)+'LINEST VARS'!$A$48*(0.5*12.73)</f>
        <v>322.05999999999995</v>
      </c>
      <c r="D16" s="46">
        <f>'LINEST VARS'!$U$48+'LINEST VARS'!$T$48*($D$8)+'LINEST VARS'!$S$48*($B16)+'LINEST VARS'!$R$48*(4)+'LINEST VARS'!$Q$48*(0.5)+'LINEST VARS'!$P$48*(12.73)+'LINEST VARS'!$O$48*($D$8^2)+'LINEST VARS'!$N$48*($B16^2)+'LINEST VARS'!$M$48*(4^2)+'LINEST VARS'!$L$48*(0.5^2)+'LINEST VARS'!$K$48*(12.73^2)+'LINEST VARS'!$J$48*($D$8*$B16)+'LINEST VARS'!$I$48*($D$8*4)+'LINEST VARS'!$H$48*($D$8*0.5)+'LINEST VARS'!$G$48*($D$8*12.73)+'LINEST VARS'!$F$48*($B16*4)+'LINEST VARS'!$E$48*($B16*0.5)+'LINEST VARS'!$D$48*($B16*12.73)+'LINEST VARS'!$C$48*(4*0.5)+'LINEST VARS'!$B$48*(4*12.73)+'LINEST VARS'!$A$48*(0.5*12.73)</f>
        <v>326.63799999999992</v>
      </c>
      <c r="E16" s="46">
        <f>'LINEST VARS'!$U$48+'LINEST VARS'!$T$48*($E$8)+'LINEST VARS'!$S$48*($B16)+'LINEST VARS'!$R$48*(4)+'LINEST VARS'!$Q$48*(0.5)+'LINEST VARS'!$P$48*(12.73)+'LINEST VARS'!$O$48*($E$8^2)+'LINEST VARS'!$N$48*($B16^2)+'LINEST VARS'!$M$48*(4^2)+'LINEST VARS'!$L$48*(0.5^2)+'LINEST VARS'!$K$48*(12.73^2)+'LINEST VARS'!$J$48*($E$8*$B16)+'LINEST VARS'!$I$48*($E$8*4)+'LINEST VARS'!$H$48*($E$8*0.5)+'LINEST VARS'!$G$48*($E$8*12.73)+'LINEST VARS'!$F$48*($B16*4)+'LINEST VARS'!$E$48*($B16*0.5)+'LINEST VARS'!$D$48*($B16*12.73)+'LINEST VARS'!$C$48*(4*0.5)+'LINEST VARS'!$B$48*(4*12.73)+'LINEST VARS'!$A$48*(0.5*12.73)</f>
        <v>331.2519999999999</v>
      </c>
      <c r="F16" s="46">
        <f>'LINEST VARS'!$U$48+'LINEST VARS'!$T$48*($F$8)+'LINEST VARS'!$S$48*($B16)+'LINEST VARS'!$R$48*(4)+'LINEST VARS'!$Q$48*(0.5)+'LINEST VARS'!$P$48*(12.73)+'LINEST VARS'!$O$48*($F$8^2)+'LINEST VARS'!$N$48*($B16^2)+'LINEST VARS'!$M$48*(4^2)+'LINEST VARS'!$L$48*(0.5^2)+'LINEST VARS'!$K$48*(12.73^2)+'LINEST VARS'!$J$48*($F$8*$B16)+'LINEST VARS'!$I$48*($F$8*4)+'LINEST VARS'!$H$48*($F$8*0.5)+'LINEST VARS'!$G$48*($F$8*12.73)+'LINEST VARS'!$F$48*($B16*4)+'LINEST VARS'!$E$48*($B16*0.5)+'LINEST VARS'!$D$48*($B16*12.73)+'LINEST VARS'!$C$48*(4*0.5)+'LINEST VARS'!$B$48*(4*12.73)+'LINEST VARS'!$A$48*(0.5*12.73)</f>
        <v>335.90199999999987</v>
      </c>
      <c r="G16" s="46">
        <f>'LINEST VARS'!$U$48+'LINEST VARS'!$T$48*($G$8)+'LINEST VARS'!$S$48*($B16)+'LINEST VARS'!$R$48*(4)+'LINEST VARS'!$Q$48*(0.5)+'LINEST VARS'!$P$48*(12.73)+'LINEST VARS'!$O$48*($G$8^2)+'LINEST VARS'!$N$48*($B16^2)+'LINEST VARS'!$M$48*(4^2)+'LINEST VARS'!$L$48*(0.5^2)+'LINEST VARS'!$K$48*(12.73^2)+'LINEST VARS'!$J$48*($G$8*$B16)+'LINEST VARS'!$I$48*($G$8*4)+'LINEST VARS'!$H$48*($G$8*0.5)+'LINEST VARS'!$G$48*($G$8*12.73)+'LINEST VARS'!$F$48*($B16*4)+'LINEST VARS'!$E$48*($B16*0.5)+'LINEST VARS'!$D$48*($B16*12.73)+'LINEST VARS'!$C$48*(4*0.5)+'LINEST VARS'!$B$48*(4*12.73)+'LINEST VARS'!$A$48*(0.5*12.73)</f>
        <v>340.58799999999991</v>
      </c>
      <c r="H16" s="46">
        <f>'LINEST VARS'!$U$48+'LINEST VARS'!$T$48*($H$8)+'LINEST VARS'!$S$48*($B16)+'LINEST VARS'!$R$48*(4)+'LINEST VARS'!$Q$48*(0.5)+'LINEST VARS'!$P$48*(12.73)+'LINEST VARS'!$O$48*($H$8^2)+'LINEST VARS'!$N$48*($B16^2)+'LINEST VARS'!$M$48*(4^2)+'LINEST VARS'!$L$48*(0.5^2)+'LINEST VARS'!$K$48*(12.73^2)+'LINEST VARS'!$J$48*($H$8*$B16)+'LINEST VARS'!$I$48*($H$8*4)+'LINEST VARS'!$H$48*($H$8*0.5)+'LINEST VARS'!$G$48*($H$8*12.73)+'LINEST VARS'!$F$48*($B16*4)+'LINEST VARS'!$E$48*($B16*0.5)+'LINEST VARS'!$D$48*($B16*12.73)+'LINEST VARS'!$C$48*(4*0.5)+'LINEST VARS'!$B$48*(4*12.73)+'LINEST VARS'!$A$48*(0.5*12.73)</f>
        <v>345.30999999999995</v>
      </c>
      <c r="I16" s="46">
        <f>'LINEST VARS'!$U$48+'LINEST VARS'!$T$48*($I$8)+'LINEST VARS'!$S$48*($B16)+'LINEST VARS'!$R$48*(4)+'LINEST VARS'!$Q$48*(0.5)+'LINEST VARS'!$P$48*(12.73)+'LINEST VARS'!$O$48*($I$8^2)+'LINEST VARS'!$N$48*($B16^2)+'LINEST VARS'!$M$48*(4^2)+'LINEST VARS'!$L$48*(0.5^2)+'LINEST VARS'!$K$48*(12.73^2)+'LINEST VARS'!$J$48*($I$8*$B16)+'LINEST VARS'!$I$48*($I$8*4)+'LINEST VARS'!$H$48*($I$8*0.5)+'LINEST VARS'!$G$48*($I$8*12.73)+'LINEST VARS'!$F$48*($B16*4)+'LINEST VARS'!$E$48*($B16*0.5)+'LINEST VARS'!$D$48*($B16*12.73)+'LINEST VARS'!$C$48*(4*0.5)+'LINEST VARS'!$B$48*(4*12.73)+'LINEST VARS'!$A$48*(0.5*12.73)</f>
        <v>350.06799999999987</v>
      </c>
      <c r="J16" s="46">
        <f>'LINEST VARS'!$U$48+'LINEST VARS'!$T$48*($J$8)+'LINEST VARS'!$S$48*($B16)+'LINEST VARS'!$R$48*(4)+'LINEST VARS'!$Q$48*(0.5)+'LINEST VARS'!$P$48*(12.73)+'LINEST VARS'!$O$48*($J$8^2)+'LINEST VARS'!$N$48*($B16^2)+'LINEST VARS'!$M$48*(4^2)+'LINEST VARS'!$L$48*(0.5^2)+'LINEST VARS'!$K$48*(12.73^2)+'LINEST VARS'!$J$48*($J$8*$B16)+'LINEST VARS'!$I$48*($J$8*4)+'LINEST VARS'!$H$48*($J$8*0.5)+'LINEST VARS'!$G$48*($J$8*12.73)+'LINEST VARS'!$F$48*($B16*4)+'LINEST VARS'!$E$48*($B16*0.5)+'LINEST VARS'!$D$48*($B16*12.73)+'LINEST VARS'!$C$48*(4*0.5)+'LINEST VARS'!$B$48*(4*12.73)+'LINEST VARS'!$A$48*(0.5*12.73)</f>
        <v>354.86199999999997</v>
      </c>
      <c r="K16" s="46">
        <f>'LINEST VARS'!$U$48+'LINEST VARS'!$T$48*($K$8)+'LINEST VARS'!$S$48*($B16)+'LINEST VARS'!$R$48*(4)+'LINEST VARS'!$Q$48*(0.5)+'LINEST VARS'!$P$48*(12.73)+'LINEST VARS'!$O$48*($K$8^2)+'LINEST VARS'!$N$48*($B16^2)+'LINEST VARS'!$M$48*(4^2)+'LINEST VARS'!$L$48*(0.5^2)+'LINEST VARS'!$K$48*(12.73^2)+'LINEST VARS'!$J$48*($K$8*$B16)+'LINEST VARS'!$I$48*($K$8*4)+'LINEST VARS'!$H$48*($K$8*0.5)+'LINEST VARS'!$G$48*($K$8*12.73)+'LINEST VARS'!$F$48*($B16*4)+'LINEST VARS'!$E$48*($B16*0.5)+'LINEST VARS'!$D$48*($B16*12.73)+'LINEST VARS'!$C$48*(4*0.5)+'LINEST VARS'!$B$48*(4*12.73)+'LINEST VARS'!$A$48*(0.5*12.73)</f>
        <v>359.69199999999995</v>
      </c>
      <c r="L16" s="46">
        <f>'LINEST VARS'!$U$48+'LINEST VARS'!$T$48*($L$8)+'LINEST VARS'!$S$48*($B16)+'LINEST VARS'!$R$48*(4)+'LINEST VARS'!$Q$48*(0.5)+'LINEST VARS'!$P$48*(12.73)+'LINEST VARS'!$O$48*($L$8^2)+'LINEST VARS'!$N$48*($B16^2)+'LINEST VARS'!$M$48*(4^2)+'LINEST VARS'!$L$48*(0.5^2)+'LINEST VARS'!$K$48*(12.73^2)+'LINEST VARS'!$J$48*($L$8*$B16)+'LINEST VARS'!$I$48*($L$8*4)+'LINEST VARS'!$H$48*($L$8*0.5)+'LINEST VARS'!$G$48*($L$8*12.73)+'LINEST VARS'!$F$48*($B16*4)+'LINEST VARS'!$E$48*($B16*0.5)+'LINEST VARS'!$D$48*($B16*12.73)+'LINEST VARS'!$C$48*(4*0.5)+'LINEST VARS'!$B$48*(4*12.73)+'LINEST VARS'!$A$48*(0.5*12.73)</f>
        <v>364.55799999999994</v>
      </c>
      <c r="M16" s="46">
        <f>'LINEST VARS'!$U$48+'LINEST VARS'!$T$48*($M$8)+'LINEST VARS'!$S$48*($B16)+'LINEST VARS'!$R$48*(4)+'LINEST VARS'!$Q$48*(0.5)+'LINEST VARS'!$P$48*(12.73)+'LINEST VARS'!$O$48*($M$8^2)+'LINEST VARS'!$N$48*($B16^2)+'LINEST VARS'!$M$48*(4^2)+'LINEST VARS'!$L$48*(0.5^2)+'LINEST VARS'!$K$48*(12.73^2)+'LINEST VARS'!$J$48*($M$8*$B16)+'LINEST VARS'!$I$48*($M$8*4)+'LINEST VARS'!$H$48*($M$8*0.5)+'LINEST VARS'!$G$48*($M$8*12.73)+'LINEST VARS'!$F$48*($B16*4)+'LINEST VARS'!$E$48*($B16*0.5)+'LINEST VARS'!$D$48*($B16*12.73)+'LINEST VARS'!$C$48*(4*0.5)+'LINEST VARS'!$B$48*(4*12.73)+'LINEST VARS'!$A$48*(0.5*12.73)</f>
        <v>369.45999999999987</v>
      </c>
      <c r="N16" s="46">
        <f>'LINEST VARS'!$U$48+'LINEST VARS'!$T$48*($N$8)+'LINEST VARS'!$S$48*($B16)+'LINEST VARS'!$R$48*(4)+'LINEST VARS'!$Q$48*(0.5)+'LINEST VARS'!$P$48*(12.73)+'LINEST VARS'!$O$48*($N$8^2)+'LINEST VARS'!$N$48*($B16^2)+'LINEST VARS'!$M$48*(4^2)+'LINEST VARS'!$L$48*(0.5^2)+'LINEST VARS'!$K$48*(12.73^2)+'LINEST VARS'!$J$48*($N$8*$B16)+'LINEST VARS'!$I$48*($N$8*4)+'LINEST VARS'!$H$48*($N$8*0.5)+'LINEST VARS'!$G$48*($N$8*12.73)+'LINEST VARS'!$F$48*($B16*4)+'LINEST VARS'!$E$48*($B16*0.5)+'LINEST VARS'!$D$48*($B16*12.73)+'LINEST VARS'!$C$48*(4*0.5)+'LINEST VARS'!$B$48*(4*12.73)+'LINEST VARS'!$A$48*(0.5*12.73)</f>
        <v>374.39799999999997</v>
      </c>
      <c r="O16" s="46">
        <f>'LINEST VARS'!$U$48+'LINEST VARS'!$T$48*($O$8)+'LINEST VARS'!$S$48*($B16)+'LINEST VARS'!$R$48*(4)+'LINEST VARS'!$Q$48*(0.5)+'LINEST VARS'!$P$48*(12.73)+'LINEST VARS'!$O$48*($O$8^2)+'LINEST VARS'!$N$48*($B16^2)+'LINEST VARS'!$M$48*(4^2)+'LINEST VARS'!$L$48*(0.5^2)+'LINEST VARS'!$K$48*(12.73^2)+'LINEST VARS'!$J$48*($O$8*$B16)+'LINEST VARS'!$I$48*($O$8*4)+'LINEST VARS'!$H$48*($O$8*0.5)+'LINEST VARS'!$G$48*($O$8*12.73)+'LINEST VARS'!$F$48*($B16*4)+'LINEST VARS'!$E$48*($B16*0.5)+'LINEST VARS'!$D$48*($B16*12.73)+'LINEST VARS'!$C$48*(4*0.5)+'LINEST VARS'!$B$48*(4*12.73)+'LINEST VARS'!$A$48*(0.5*12.73)</f>
        <v>379.37199999999979</v>
      </c>
      <c r="P16" s="46">
        <f>'LINEST VARS'!$U$48+'LINEST VARS'!$T$48*($P$8)+'LINEST VARS'!$S$48*($B16)+'LINEST VARS'!$R$48*(4)+'LINEST VARS'!$Q$48*(0.5)+'LINEST VARS'!$P$48*(12.73)+'LINEST VARS'!$O$48*($P$8^2)+'LINEST VARS'!$N$48*($B16^2)+'LINEST VARS'!$M$48*(4^2)+'LINEST VARS'!$L$48*(0.5^2)+'LINEST VARS'!$K$48*(12.73^2)+'LINEST VARS'!$J$48*($P$8*$B16)+'LINEST VARS'!$I$48*($P$8*4)+'LINEST VARS'!$H$48*($P$8*0.5)+'LINEST VARS'!$G$48*($P$8*12.73)+'LINEST VARS'!$F$48*($B16*4)+'LINEST VARS'!$E$48*($B16*0.5)+'LINEST VARS'!$D$48*($B16*12.73)+'LINEST VARS'!$C$48*(4*0.5)+'LINEST VARS'!$B$48*(4*12.73)+'LINEST VARS'!$A$48*(0.5*12.73)</f>
        <v>384.38199999999978</v>
      </c>
      <c r="Q16" s="46">
        <f>'LINEST VARS'!$U$48+'LINEST VARS'!$T$48*($Q$8)+'LINEST VARS'!$S$48*($B16)+'LINEST VARS'!$R$48*(4)+'LINEST VARS'!$Q$48*(0.5)+'LINEST VARS'!$P$48*(12.73)+'LINEST VARS'!$O$48*($Q$8^2)+'LINEST VARS'!$N$48*($B16^2)+'LINEST VARS'!$M$48*(4^2)+'LINEST VARS'!$L$48*(0.5^2)+'LINEST VARS'!$K$48*(12.73^2)+'LINEST VARS'!$J$48*($Q$8*$B16)+'LINEST VARS'!$I$48*($Q$8*4)+'LINEST VARS'!$H$48*($Q$8*0.5)+'LINEST VARS'!$G$48*($Q$8*12.73)+'LINEST VARS'!$F$48*($B16*4)+'LINEST VARS'!$E$48*($B16*0.5)+'LINEST VARS'!$D$48*($B16*12.73)+'LINEST VARS'!$C$48*(4*0.5)+'LINEST VARS'!$B$48*(4*12.73)+'LINEST VARS'!$A$48*(0.5*12.73)</f>
        <v>389.42799999999983</v>
      </c>
      <c r="R16" s="46">
        <f>'LINEST VARS'!$U$48+'LINEST VARS'!$T$48*($R$8)+'LINEST VARS'!$S$48*($B16)+'LINEST VARS'!$R$48*(4)+'LINEST VARS'!$Q$48*(0.5)+'LINEST VARS'!$P$48*(12.73)+'LINEST VARS'!$O$48*($R$8^2)+'LINEST VARS'!$N$48*($B16^2)+'LINEST VARS'!$M$48*(4^2)+'LINEST VARS'!$L$48*(0.5^2)+'LINEST VARS'!$K$48*(12.73^2)+'LINEST VARS'!$J$48*($R$8*$B16)+'LINEST VARS'!$I$48*($R$8*4)+'LINEST VARS'!$H$48*($R$8*0.5)+'LINEST VARS'!$G$48*($R$8*12.73)+'LINEST VARS'!$F$48*($B16*4)+'LINEST VARS'!$E$48*($B16*0.5)+'LINEST VARS'!$D$48*($B16*12.73)+'LINEST VARS'!$C$48*(4*0.5)+'LINEST VARS'!$B$48*(4*12.73)+'LINEST VARS'!$A$48*(0.5*12.73)</f>
        <v>394.50999999999993</v>
      </c>
      <c r="S16" s="46">
        <f>'LINEST VARS'!$U$48+'LINEST VARS'!$T$48*($S$8)+'LINEST VARS'!$S$48*($B16)+'LINEST VARS'!$R$48*(4)+'LINEST VARS'!$Q$48*(0.5)+'LINEST VARS'!$P$48*(12.73)+'LINEST VARS'!$O$48*($S$8^2)+'LINEST VARS'!$N$48*($B16^2)+'LINEST VARS'!$M$48*(4^2)+'LINEST VARS'!$L$48*(0.5^2)+'LINEST VARS'!$K$48*(12.73^2)+'LINEST VARS'!$J$48*($S$8*$B16)+'LINEST VARS'!$I$48*($S$8*4)+'LINEST VARS'!$H$48*($S$8*0.5)+'LINEST VARS'!$G$48*($S$8*12.73)+'LINEST VARS'!$F$48*($B16*4)+'LINEST VARS'!$E$48*($B16*0.5)+'LINEST VARS'!$D$48*($B16*12.73)+'LINEST VARS'!$C$48*(4*0.5)+'LINEST VARS'!$B$48*(4*12.73)+'LINEST VARS'!$A$48*(0.5*12.73)</f>
        <v>399.62799999999982</v>
      </c>
      <c r="T16" s="46">
        <f>'LINEST VARS'!$U$48+'LINEST VARS'!$T$48*($T$8)+'LINEST VARS'!$S$48*($B16)+'LINEST VARS'!$R$48*(4)+'LINEST VARS'!$Q$48*(0.5)+'LINEST VARS'!$P$48*(12.73)+'LINEST VARS'!$O$48*($T$8^2)+'LINEST VARS'!$N$48*($B16^2)+'LINEST VARS'!$M$48*(4^2)+'LINEST VARS'!$L$48*(0.5^2)+'LINEST VARS'!$K$48*(12.73^2)+'LINEST VARS'!$J$48*($T$8*$B16)+'LINEST VARS'!$I$48*($T$8*4)+'LINEST VARS'!$H$48*($T$8*0.5)+'LINEST VARS'!$G$48*($T$8*12.73)+'LINEST VARS'!$F$48*($B16*4)+'LINEST VARS'!$E$48*($B16*0.5)+'LINEST VARS'!$D$48*($B16*12.73)+'LINEST VARS'!$C$48*(4*0.5)+'LINEST VARS'!$B$48*(4*12.73)+'LINEST VARS'!$A$48*(0.5*12.73)</f>
        <v>404.78199999999987</v>
      </c>
      <c r="U16" s="46">
        <f>'LINEST VARS'!$U$48+'LINEST VARS'!$T$48*($U$8)+'LINEST VARS'!$S$48*($B16)+'LINEST VARS'!$R$48*(4)+'LINEST VARS'!$Q$48*(0.5)+'LINEST VARS'!$P$48*(12.73)+'LINEST VARS'!$O$48*($U$8^2)+'LINEST VARS'!$N$48*($B16^2)+'LINEST VARS'!$M$48*(4^2)+'LINEST VARS'!$L$48*(0.5^2)+'LINEST VARS'!$K$48*(12.73^2)+'LINEST VARS'!$J$48*($U$8*$B16)+'LINEST VARS'!$I$48*($U$8*4)+'LINEST VARS'!$H$48*($U$8*0.5)+'LINEST VARS'!$G$48*($U$8*12.73)+'LINEST VARS'!$F$48*($B16*4)+'LINEST VARS'!$E$48*($B16*0.5)+'LINEST VARS'!$D$48*($B16*12.73)+'LINEST VARS'!$C$48*(4*0.5)+'LINEST VARS'!$B$48*(4*12.73)+'LINEST VARS'!$A$48*(0.5*12.73)</f>
        <v>409.97199999999992</v>
      </c>
      <c r="V16" s="46">
        <f>'LINEST VARS'!$U$48+'LINEST VARS'!$T$48*($V$8)+'LINEST VARS'!$S$48*($B16)+'LINEST VARS'!$R$48*(4)+'LINEST VARS'!$Q$48*(0.5)+'LINEST VARS'!$P$48*(12.73)+'LINEST VARS'!$O$48*($V$8^2)+'LINEST VARS'!$N$48*($B16^2)+'LINEST VARS'!$M$48*(4^2)+'LINEST VARS'!$L$48*(0.5^2)+'LINEST VARS'!$K$48*(12.73^2)+'LINEST VARS'!$J$48*($V$8*$B16)+'LINEST VARS'!$I$48*($V$8*4)+'LINEST VARS'!$H$48*($V$8*0.5)+'LINEST VARS'!$G$48*($V$8*12.73)+'LINEST VARS'!$F$48*($B16*4)+'LINEST VARS'!$E$48*($B16*0.5)+'LINEST VARS'!$D$48*($B16*12.73)+'LINEST VARS'!$C$48*(4*0.5)+'LINEST VARS'!$B$48*(4*12.73)+'LINEST VARS'!$A$48*(0.5*12.73)</f>
        <v>415.19799999999987</v>
      </c>
      <c r="W16" s="47">
        <f>'LINEST VARS'!$U$48+'LINEST VARS'!$T$48*($W$8)+'LINEST VARS'!$S$48*($B16)+'LINEST VARS'!$R$48*(4)+'LINEST VARS'!$Q$48*(0.5)+'LINEST VARS'!$P$48*(12.73)+'LINEST VARS'!$O$48*($W$8^2)+'LINEST VARS'!$N$48*($B16^2)+'LINEST VARS'!$M$48*(4^2)+'LINEST VARS'!$L$48*(0.5^2)+'LINEST VARS'!$K$48*(12.73^2)+'LINEST VARS'!$J$48*($W$8*$B16)+'LINEST VARS'!$I$48*($W$8*4)+'LINEST VARS'!$H$48*($W$8*0.5)+'LINEST VARS'!$G$48*($W$8*12.73)+'LINEST VARS'!$F$48*($B16*4)+'LINEST VARS'!$E$48*($B16*0.5)+'LINEST VARS'!$D$48*($B16*12.73)+'LINEST VARS'!$C$48*(4*0.5)+'LINEST VARS'!$B$48*(4*12.73)+'LINEST VARS'!$A$48*(0.5*12.73)</f>
        <v>420.45999999999987</v>
      </c>
      <c r="Z16" s="45">
        <v>7.82</v>
      </c>
      <c r="AA16" s="46">
        <f>'LINEST VARS'!$U$50+'LINEST VARS'!$T$50*($AA$8)+'LINEST VARS'!$S$50*($Z16)+'LINEST VARS'!$R$50*(4)+'LINEST VARS'!$Q$50*(0.5)+'LINEST VARS'!$P$50*(12.73)+'LINEST VARS'!$O$50*($AA$8^2)+'LINEST VARS'!$N$50*($Z16^2)+'LINEST VARS'!$M$50*(4^2)+'LINEST VARS'!$L$50*(0.5^2)+'LINEST VARS'!$K$50*(12.73^2)+'LINEST VARS'!$J$50*($AA$8*$Z16)+'LINEST VARS'!$I$50*($AA$8*4)+'LINEST VARS'!$H$50*($AA$8*0.5)+'LINEST VARS'!$G$50*($AA$8*12.73)+'LINEST VARS'!$F$50*($Z16*4)+'LINEST VARS'!$E$50*($Z16*0.5)+'LINEST VARS'!$D$50*($Z16*12.73)+'LINEST VARS'!$C$50*(4*0.5)+'LINEST VARS'!$B$50*(4*12.73)+'LINEST VARS'!$A$50*(0.5*12.73)</f>
        <v>330.64999999999992</v>
      </c>
      <c r="AB16" s="46">
        <f>'LINEST VARS'!$U$50+'LINEST VARS'!$T$50*($AB$8)+'LINEST VARS'!$S$50*($Z16)+'LINEST VARS'!$R$50*(4)+'LINEST VARS'!$Q$50*(0.5)+'LINEST VARS'!$P$50*(12.73)+'LINEST VARS'!$O$50*($AB$8^2)+'LINEST VARS'!$N$50*($Z16^2)+'LINEST VARS'!$M$50*(4^2)+'LINEST VARS'!$L$50*(0.5^2)+'LINEST VARS'!$K$50*(12.73^2)+'LINEST VARS'!$J$50*($AB$8*$Z16)+'LINEST VARS'!$I$50*($AB$8*4)+'LINEST VARS'!$H$50*($AB$8*0.5)+'LINEST VARS'!$G$50*($AB$8*12.73)+'LINEST VARS'!$F$50*($Z16*4)+'LINEST VARS'!$E$50*($Z16*0.5)+'LINEST VARS'!$D$50*($Z16*12.73)+'LINEST VARS'!$C$50*(4*0.5)+'LINEST VARS'!$B$50*(4*12.73)+'LINEST VARS'!$A$50*(0.5*12.73)</f>
        <v>330.7399999999999</v>
      </c>
      <c r="AC16" s="46">
        <f>'LINEST VARS'!$U$50+'LINEST VARS'!$T$50*($AC$8)+'LINEST VARS'!$S$50*($Z16)+'LINEST VARS'!$R$50*(4)+'LINEST VARS'!$Q$50*(0.5)+'LINEST VARS'!$P$50*(12.73)+'LINEST VARS'!$O$50*($AC$8^2)+'LINEST VARS'!$N$50*($Z16^2)+'LINEST VARS'!$M$50*(4^2)+'LINEST VARS'!$L$50*(0.5^2)+'LINEST VARS'!$K$50*(12.73^2)+'LINEST VARS'!$J$50*($AC$8*$Z16)+'LINEST VARS'!$I$50*($AC$8*4)+'LINEST VARS'!$H$50*($AC$8*0.5)+'LINEST VARS'!$G$50*($AC$8*12.73)+'LINEST VARS'!$F$50*($Z16*4)+'LINEST VARS'!$E$50*($Z16*0.5)+'LINEST VARS'!$D$50*($Z16*12.73)+'LINEST VARS'!$C$50*(4*0.5)+'LINEST VARS'!$B$50*(4*12.73)+'LINEST VARS'!$A$50*(0.5*12.73)</f>
        <v>330.82999999999993</v>
      </c>
      <c r="AD16" s="46">
        <f>'LINEST VARS'!$U$50+'LINEST VARS'!$T$50*($AD$8)+'LINEST VARS'!$S$50*($Z16)+'LINEST VARS'!$R$50*(4)+'LINEST VARS'!$Q$50*(0.5)+'LINEST VARS'!$P$50*(12.73)+'LINEST VARS'!$O$50*($AD$8^2)+'LINEST VARS'!$N$50*($Z16^2)+'LINEST VARS'!$M$50*(4^2)+'LINEST VARS'!$L$50*(0.5^2)+'LINEST VARS'!$K$50*(12.73^2)+'LINEST VARS'!$J$50*($AD$8*$Z16)+'LINEST VARS'!$I$50*($AD$8*4)+'LINEST VARS'!$H$50*($AD$8*0.5)+'LINEST VARS'!$G$50*($AD$8*12.73)+'LINEST VARS'!$F$50*($Z16*4)+'LINEST VARS'!$E$50*($Z16*0.5)+'LINEST VARS'!$D$50*($Z16*12.73)+'LINEST VARS'!$C$50*(4*0.5)+'LINEST VARS'!$B$50*(4*12.73)+'LINEST VARS'!$A$50*(0.5*12.73)</f>
        <v>330.9199999999999</v>
      </c>
      <c r="AE16" s="46">
        <f>'LINEST VARS'!$U$50+'LINEST VARS'!$T$50*($AE$8)+'LINEST VARS'!$S$50*($Z16)+'LINEST VARS'!$R$50*(4)+'LINEST VARS'!$Q$50*(0.5)+'LINEST VARS'!$P$50*(12.73)+'LINEST VARS'!$O$50*($AE$8^2)+'LINEST VARS'!$N$50*($Z16^2)+'LINEST VARS'!$M$50*(4^2)+'LINEST VARS'!$L$50*(0.5^2)+'LINEST VARS'!$K$50*(12.73^2)+'LINEST VARS'!$J$50*($AE$8*$Z16)+'LINEST VARS'!$I$50*($AE$8*4)+'LINEST VARS'!$H$50*($AE$8*0.5)+'LINEST VARS'!$G$50*($AE$8*12.73)+'LINEST VARS'!$F$50*($Z16*4)+'LINEST VARS'!$E$50*($Z16*0.5)+'LINEST VARS'!$D$50*($Z16*12.73)+'LINEST VARS'!$C$50*(4*0.5)+'LINEST VARS'!$B$50*(4*12.73)+'LINEST VARS'!$A$50*(0.5*12.73)</f>
        <v>331.00999999999988</v>
      </c>
      <c r="AF16" s="46">
        <f>'LINEST VARS'!$U$50+'LINEST VARS'!$T$50*($AF$8)+'LINEST VARS'!$S$50*($Z16)+'LINEST VARS'!$R$50*(4)+'LINEST VARS'!$Q$50*(0.5)+'LINEST VARS'!$P$50*(12.73)+'LINEST VARS'!$O$50*($AF$8^2)+'LINEST VARS'!$N$50*($Z16^2)+'LINEST VARS'!$M$50*(4^2)+'LINEST VARS'!$L$50*(0.5^2)+'LINEST VARS'!$K$50*(12.73^2)+'LINEST VARS'!$J$50*($AF$8*$Z16)+'LINEST VARS'!$I$50*($AF$8*4)+'LINEST VARS'!$H$50*($AF$8*0.5)+'LINEST VARS'!$G$50*($AF$8*12.73)+'LINEST VARS'!$F$50*($Z16*4)+'LINEST VARS'!$E$50*($Z16*0.5)+'LINEST VARS'!$D$50*($Z16*12.73)+'LINEST VARS'!$C$50*(4*0.5)+'LINEST VARS'!$B$50*(4*12.73)+'LINEST VARS'!$A$50*(0.5*12.73)</f>
        <v>331.09999999999991</v>
      </c>
      <c r="AG16" s="46">
        <f>'LINEST VARS'!$U$50+'LINEST VARS'!$T$50*($AG$8)+'LINEST VARS'!$S$50*($Z16)+'LINEST VARS'!$R$50*(4)+'LINEST VARS'!$Q$50*(0.5)+'LINEST VARS'!$P$50*(12.73)+'LINEST VARS'!$O$50*($AG$8^2)+'LINEST VARS'!$N$50*($Z16^2)+'LINEST VARS'!$M$50*(4^2)+'LINEST VARS'!$L$50*(0.5^2)+'LINEST VARS'!$K$50*(12.73^2)+'LINEST VARS'!$J$50*($AG$8*$Z16)+'LINEST VARS'!$I$50*($AG$8*4)+'LINEST VARS'!$H$50*($AG$8*0.5)+'LINEST VARS'!$G$50*($AG$8*12.73)+'LINEST VARS'!$F$50*($Z16*4)+'LINEST VARS'!$E$50*($Z16*0.5)+'LINEST VARS'!$D$50*($Z16*12.73)+'LINEST VARS'!$C$50*(4*0.5)+'LINEST VARS'!$B$50*(4*12.73)+'LINEST VARS'!$A$50*(0.5*12.73)</f>
        <v>331.18999999999988</v>
      </c>
      <c r="AH16" s="46">
        <f>'LINEST VARS'!$U$50+'LINEST VARS'!$T$50*($AH$8)+'LINEST VARS'!$S$50*($Z16)+'LINEST VARS'!$R$50*(4)+'LINEST VARS'!$Q$50*(0.5)+'LINEST VARS'!$P$50*(12.73)+'LINEST VARS'!$O$50*($AH$8^2)+'LINEST VARS'!$N$50*($Z16^2)+'LINEST VARS'!$M$50*(4^2)+'LINEST VARS'!$L$50*(0.5^2)+'LINEST VARS'!$K$50*(12.73^2)+'LINEST VARS'!$J$50*($AH$8*$Z16)+'LINEST VARS'!$I$50*($AH$8*4)+'LINEST VARS'!$H$50*($AH$8*0.5)+'LINEST VARS'!$G$50*($AH$8*12.73)+'LINEST VARS'!$F$50*($Z16*4)+'LINEST VARS'!$E$50*($Z16*0.5)+'LINEST VARS'!$D$50*($Z16*12.73)+'LINEST VARS'!$C$50*(4*0.5)+'LINEST VARS'!$B$50*(4*12.73)+'LINEST VARS'!$A$50*(0.5*12.73)</f>
        <v>331.27999999999986</v>
      </c>
      <c r="AI16" s="46">
        <f>'LINEST VARS'!$U$50+'LINEST VARS'!$T$50*($AI$8)+'LINEST VARS'!$S$50*($Z16)+'LINEST VARS'!$R$50*(4)+'LINEST VARS'!$Q$50*(0.5)+'LINEST VARS'!$P$50*(12.73)+'LINEST VARS'!$O$50*($AI$8^2)+'LINEST VARS'!$N$50*($Z16^2)+'LINEST VARS'!$M$50*(4^2)+'LINEST VARS'!$L$50*(0.5^2)+'LINEST VARS'!$K$50*(12.73^2)+'LINEST VARS'!$J$50*($AI$8*$Z16)+'LINEST VARS'!$I$50*($AI$8*4)+'LINEST VARS'!$H$50*($AI$8*0.5)+'LINEST VARS'!$G$50*($AI$8*12.73)+'LINEST VARS'!$F$50*($Z16*4)+'LINEST VARS'!$E$50*($Z16*0.5)+'LINEST VARS'!$D$50*($Z16*12.73)+'LINEST VARS'!$C$50*(4*0.5)+'LINEST VARS'!$B$50*(4*12.73)+'LINEST VARS'!$A$50*(0.5*12.73)</f>
        <v>331.36999999999983</v>
      </c>
      <c r="AJ16" s="46">
        <f>'LINEST VARS'!$U$50+'LINEST VARS'!$T$50*($AJ$8)+'LINEST VARS'!$S$50*($Z16)+'LINEST VARS'!$R$50*(4)+'LINEST VARS'!$Q$50*(0.5)+'LINEST VARS'!$P$50*(12.73)+'LINEST VARS'!$O$50*($AJ$8^2)+'LINEST VARS'!$N$50*($Z16^2)+'LINEST VARS'!$M$50*(4^2)+'LINEST VARS'!$L$50*(0.5^2)+'LINEST VARS'!$K$50*(12.73^2)+'LINEST VARS'!$J$50*($AJ$8*$Z16)+'LINEST VARS'!$I$50*($AJ$8*4)+'LINEST VARS'!$H$50*($AJ$8*0.5)+'LINEST VARS'!$G$50*($AJ$8*12.73)+'LINEST VARS'!$F$50*($Z16*4)+'LINEST VARS'!$E$50*($Z16*0.5)+'LINEST VARS'!$D$50*($Z16*12.73)+'LINEST VARS'!$C$50*(4*0.5)+'LINEST VARS'!$B$50*(4*12.73)+'LINEST VARS'!$A$50*(0.5*12.73)</f>
        <v>331.45999999999987</v>
      </c>
      <c r="AK16" s="46">
        <f>'LINEST VARS'!$U$50+'LINEST VARS'!$T$50*($AK$8)+'LINEST VARS'!$S$50*($Z16)+'LINEST VARS'!$R$50*(4)+'LINEST VARS'!$Q$50*(0.5)+'LINEST VARS'!$P$50*(12.73)+'LINEST VARS'!$O$50*($AK$8^2)+'LINEST VARS'!$N$50*($Z16^2)+'LINEST VARS'!$M$50*(4^2)+'LINEST VARS'!$L$50*(0.5^2)+'LINEST VARS'!$K$50*(12.73^2)+'LINEST VARS'!$J$50*($AK$8*$Z16)+'LINEST VARS'!$I$50*($AK$8*4)+'LINEST VARS'!$H$50*($AK$8*0.5)+'LINEST VARS'!$G$50*($AK$8*12.73)+'LINEST VARS'!$F$50*($Z16*4)+'LINEST VARS'!$E$50*($Z16*0.5)+'LINEST VARS'!$D$50*($Z16*12.73)+'LINEST VARS'!$C$50*(4*0.5)+'LINEST VARS'!$B$50*(4*12.73)+'LINEST VARS'!$A$50*(0.5*12.73)</f>
        <v>331.54999999999984</v>
      </c>
      <c r="AL16" s="46">
        <f>'LINEST VARS'!$U$50+'LINEST VARS'!$T$50*($AL$8)+'LINEST VARS'!$S$50*($Z16)+'LINEST VARS'!$R$50*(4)+'LINEST VARS'!$Q$50*(0.5)+'LINEST VARS'!$P$50*(12.73)+'LINEST VARS'!$O$50*($AL$8^2)+'LINEST VARS'!$N$50*($Z16^2)+'LINEST VARS'!$M$50*(4^2)+'LINEST VARS'!$L$50*(0.5^2)+'LINEST VARS'!$K$50*(12.73^2)+'LINEST VARS'!$J$50*($AL$8*$Z16)+'LINEST VARS'!$I$50*($AL$8*4)+'LINEST VARS'!$H$50*($AL$8*0.5)+'LINEST VARS'!$G$50*($AL$8*12.73)+'LINEST VARS'!$F$50*($Z16*4)+'LINEST VARS'!$E$50*($Z16*0.5)+'LINEST VARS'!$D$50*($Z16*12.73)+'LINEST VARS'!$C$50*(4*0.5)+'LINEST VARS'!$B$50*(4*12.73)+'LINEST VARS'!$A$50*(0.5*12.73)</f>
        <v>331.63999999999982</v>
      </c>
      <c r="AM16" s="46">
        <f>'LINEST VARS'!$U$50+'LINEST VARS'!$T$50*($AM$8)+'LINEST VARS'!$S$50*($Z16)+'LINEST VARS'!$R$50*(4)+'LINEST VARS'!$Q$50*(0.5)+'LINEST VARS'!$P$50*(12.73)+'LINEST VARS'!$O$50*($AM$8^2)+'LINEST VARS'!$N$50*($Z16^2)+'LINEST VARS'!$M$50*(4^2)+'LINEST VARS'!$L$50*(0.5^2)+'LINEST VARS'!$K$50*(12.73^2)+'LINEST VARS'!$J$50*($AM$8*$Z16)+'LINEST VARS'!$I$50*($AM$8*4)+'LINEST VARS'!$H$50*($AM$8*0.5)+'LINEST VARS'!$G$50*($AM$8*12.73)+'LINEST VARS'!$F$50*($Z16*4)+'LINEST VARS'!$E$50*($Z16*0.5)+'LINEST VARS'!$D$50*($Z16*12.73)+'LINEST VARS'!$C$50*(4*0.5)+'LINEST VARS'!$B$50*(4*12.73)+'LINEST VARS'!$A$50*(0.5*12.73)</f>
        <v>331.72999999999985</v>
      </c>
      <c r="AN16" s="46">
        <f>'LINEST VARS'!$U$50+'LINEST VARS'!$T$50*($AN$8)+'LINEST VARS'!$S$50*($Z16)+'LINEST VARS'!$R$50*(4)+'LINEST VARS'!$Q$50*(0.5)+'LINEST VARS'!$P$50*(12.73)+'LINEST VARS'!$O$50*($AN$8^2)+'LINEST VARS'!$N$50*($Z16^2)+'LINEST VARS'!$M$50*(4^2)+'LINEST VARS'!$L$50*(0.5^2)+'LINEST VARS'!$K$50*(12.73^2)+'LINEST VARS'!$J$50*($AN$8*$Z16)+'LINEST VARS'!$I$50*($AN$8*4)+'LINEST VARS'!$H$50*($AN$8*0.5)+'LINEST VARS'!$G$50*($AN$8*12.73)+'LINEST VARS'!$F$50*($Z16*4)+'LINEST VARS'!$E$50*($Z16*0.5)+'LINEST VARS'!$D$50*($Z16*12.73)+'LINEST VARS'!$C$50*(4*0.5)+'LINEST VARS'!$B$50*(4*12.73)+'LINEST VARS'!$A$50*(0.5*12.73)</f>
        <v>331.81999999999982</v>
      </c>
      <c r="AO16" s="46">
        <f>'LINEST VARS'!$U$50+'LINEST VARS'!$T$50*($AO$8)+'LINEST VARS'!$S$50*($Z16)+'LINEST VARS'!$R$50*(4)+'LINEST VARS'!$Q$50*(0.5)+'LINEST VARS'!$P$50*(12.73)+'LINEST VARS'!$O$50*($AO$8^2)+'LINEST VARS'!$N$50*($Z16^2)+'LINEST VARS'!$M$50*(4^2)+'LINEST VARS'!$L$50*(0.5^2)+'LINEST VARS'!$K$50*(12.73^2)+'LINEST VARS'!$J$50*($AO$8*$Z16)+'LINEST VARS'!$I$50*($AO$8*4)+'LINEST VARS'!$H$50*($AO$8*0.5)+'LINEST VARS'!$G$50*($AO$8*12.73)+'LINEST VARS'!$F$50*($Z16*4)+'LINEST VARS'!$E$50*($Z16*0.5)+'LINEST VARS'!$D$50*($Z16*12.73)+'LINEST VARS'!$C$50*(4*0.5)+'LINEST VARS'!$B$50*(4*12.73)+'LINEST VARS'!$A$50*(0.5*12.73)</f>
        <v>331.90999999999985</v>
      </c>
      <c r="AP16" s="46">
        <f>'LINEST VARS'!$U$50+'LINEST VARS'!$T$50*($AP$8)+'LINEST VARS'!$S$50*($Z16)+'LINEST VARS'!$R$50*(4)+'LINEST VARS'!$Q$50*(0.5)+'LINEST VARS'!$P$50*(12.73)+'LINEST VARS'!$O$50*($AP$8^2)+'LINEST VARS'!$N$50*($Z16^2)+'LINEST VARS'!$M$50*(4^2)+'LINEST VARS'!$L$50*(0.5^2)+'LINEST VARS'!$K$50*(12.73^2)+'LINEST VARS'!$J$50*($AP$8*$Z16)+'LINEST VARS'!$I$50*($AP$8*4)+'LINEST VARS'!$H$50*($AP$8*0.5)+'LINEST VARS'!$G$50*($AP$8*12.73)+'LINEST VARS'!$F$50*($Z16*4)+'LINEST VARS'!$E$50*($Z16*0.5)+'LINEST VARS'!$D$50*($Z16*12.73)+'LINEST VARS'!$C$50*(4*0.5)+'LINEST VARS'!$B$50*(4*12.73)+'LINEST VARS'!$A$50*(0.5*12.73)</f>
        <v>331.99999999999983</v>
      </c>
      <c r="AQ16" s="46">
        <f>'LINEST VARS'!$U$50+'LINEST VARS'!$T$50*($AQ$8)+'LINEST VARS'!$S$50*($Z16)+'LINEST VARS'!$R$50*(4)+'LINEST VARS'!$Q$50*(0.5)+'LINEST VARS'!$P$50*(12.73)+'LINEST VARS'!$O$50*($AQ$8^2)+'LINEST VARS'!$N$50*($Z16^2)+'LINEST VARS'!$M$50*(4^2)+'LINEST VARS'!$L$50*(0.5^2)+'LINEST VARS'!$K$50*(12.73^2)+'LINEST VARS'!$J$50*($AQ$8*$Z16)+'LINEST VARS'!$I$50*($AQ$8*4)+'LINEST VARS'!$H$50*($AQ$8*0.5)+'LINEST VARS'!$G$50*($AQ$8*12.73)+'LINEST VARS'!$F$50*($Z16*4)+'LINEST VARS'!$E$50*($Z16*0.5)+'LINEST VARS'!$D$50*($Z16*12.73)+'LINEST VARS'!$C$50*(4*0.5)+'LINEST VARS'!$B$50*(4*12.73)+'LINEST VARS'!$A$50*(0.5*12.73)</f>
        <v>332.08999999999986</v>
      </c>
      <c r="AR16" s="46">
        <f>'LINEST VARS'!$U$50+'LINEST VARS'!$T$50*($AR$8)+'LINEST VARS'!$S$50*($Z16)+'LINEST VARS'!$R$50*(4)+'LINEST VARS'!$Q$50*(0.5)+'LINEST VARS'!$P$50*(12.73)+'LINEST VARS'!$O$50*($AR$8^2)+'LINEST VARS'!$N$50*($Z16^2)+'LINEST VARS'!$M$50*(4^2)+'LINEST VARS'!$L$50*(0.5^2)+'LINEST VARS'!$K$50*(12.73^2)+'LINEST VARS'!$J$50*($AR$8*$Z16)+'LINEST VARS'!$I$50*($AR$8*4)+'LINEST VARS'!$H$50*($AR$8*0.5)+'LINEST VARS'!$G$50*($AR$8*12.73)+'LINEST VARS'!$F$50*($Z16*4)+'LINEST VARS'!$E$50*($Z16*0.5)+'LINEST VARS'!$D$50*($Z16*12.73)+'LINEST VARS'!$C$50*(4*0.5)+'LINEST VARS'!$B$50*(4*12.73)+'LINEST VARS'!$A$50*(0.5*12.73)</f>
        <v>332.17999999999984</v>
      </c>
      <c r="AS16" s="46">
        <f>'LINEST VARS'!$U$50+'LINEST VARS'!$T$50*($AS$8)+'LINEST VARS'!$S$50*($Z16)+'LINEST VARS'!$R$50*(4)+'LINEST VARS'!$Q$50*(0.5)+'LINEST VARS'!$P$50*(12.73)+'LINEST VARS'!$O$50*($AS$8^2)+'LINEST VARS'!$N$50*($Z16^2)+'LINEST VARS'!$M$50*(4^2)+'LINEST VARS'!$L$50*(0.5^2)+'LINEST VARS'!$K$50*(12.73^2)+'LINEST VARS'!$J$50*($AS$8*$Z16)+'LINEST VARS'!$I$50*($AS$8*4)+'LINEST VARS'!$H$50*($AS$8*0.5)+'LINEST VARS'!$G$50*($AS$8*12.73)+'LINEST VARS'!$F$50*($Z16*4)+'LINEST VARS'!$E$50*($Z16*0.5)+'LINEST VARS'!$D$50*($Z16*12.73)+'LINEST VARS'!$C$50*(4*0.5)+'LINEST VARS'!$B$50*(4*12.73)+'LINEST VARS'!$A$50*(0.5*12.73)</f>
        <v>332.26999999999981</v>
      </c>
      <c r="AT16" s="46">
        <f>'LINEST VARS'!$U$50+'LINEST VARS'!$T$50*($AT$8)+'LINEST VARS'!$S$50*($Z16)+'LINEST VARS'!$R$50*(4)+'LINEST VARS'!$Q$50*(0.5)+'LINEST VARS'!$P$50*(12.73)+'LINEST VARS'!$O$50*($AT$8^2)+'LINEST VARS'!$N$50*($Z16^2)+'LINEST VARS'!$M$50*(4^2)+'LINEST VARS'!$L$50*(0.5^2)+'LINEST VARS'!$K$50*(12.73^2)+'LINEST VARS'!$J$50*($AT$8*$Z16)+'LINEST VARS'!$I$50*($AT$8*4)+'LINEST VARS'!$H$50*($AT$8*0.5)+'LINEST VARS'!$G$50*($AT$8*12.73)+'LINEST VARS'!$F$50*($Z16*4)+'LINEST VARS'!$E$50*($Z16*0.5)+'LINEST VARS'!$D$50*($Z16*12.73)+'LINEST VARS'!$C$50*(4*0.5)+'LINEST VARS'!$B$50*(4*12.73)+'LINEST VARS'!$A$50*(0.5*12.73)</f>
        <v>332.35999999999984</v>
      </c>
      <c r="AU16" s="47">
        <f>'LINEST VARS'!$U$50+'LINEST VARS'!$T$50*($AU$8)+'LINEST VARS'!$S$50*($Z16)+'LINEST VARS'!$R$50*(4)+'LINEST VARS'!$Q$50*(0.5)+'LINEST VARS'!$P$50*(12.73)+'LINEST VARS'!$O$50*($AU$8^2)+'LINEST VARS'!$N$50*($Z16^2)+'LINEST VARS'!$M$50*(4^2)+'LINEST VARS'!$L$50*(0.5^2)+'LINEST VARS'!$K$50*(12.73^2)+'LINEST VARS'!$J$50*($AU$8*$Z16)+'LINEST VARS'!$I$50*($AU$8*4)+'LINEST VARS'!$H$50*($AU$8*0.5)+'LINEST VARS'!$G$50*($AU$8*12.73)+'LINEST VARS'!$F$50*($Z16*4)+'LINEST VARS'!$E$50*($Z16*0.5)+'LINEST VARS'!$D$50*($Z16*12.73)+'LINEST VARS'!$C$50*(4*0.5)+'LINEST VARS'!$B$50*(4*12.73)+'LINEST VARS'!$A$50*(0.5*12.73)</f>
        <v>332.44999999999982</v>
      </c>
      <c r="AZ16" s="45">
        <v>0.35</v>
      </c>
      <c r="BA16" s="46">
        <f>'LINEST VARS'!$U$48+'LINEST VARS'!$T$48*(8)+'LINEST VARS'!$S$48*(8)+'LINEST VARS'!$R$48*($BA$8)+'LINEST VARS'!$Q$48*($AZ16)+'LINEST VARS'!$P$48*(12.73)+'LINEST VARS'!$O$48*(8^2)+'LINEST VARS'!$N$48*(8^2)+'LINEST VARS'!$M$48*($BA$8^2)+'LINEST VARS'!$L$48*($AZ16^2)+'LINEST VARS'!$K$48*(12.73^2)+'LINEST VARS'!$J$48*(8*8)+'LINEST VARS'!$I$48*(8*$BA$8)+'LINEST VARS'!$H$48*(8*$AZ16)+'LINEST VARS'!$G$48*(8*12.73)+'LINEST VARS'!$F$48*(8*$BA$8)+'LINEST VARS'!$E$48*(8*$AZ16)+'LINEST VARS'!$D$48*(8*12.73)+'LINEST VARS'!$C$48*($BA$8*$AZ16)+'LINEST VARS'!$B$48*($BA$8*12.73)+'LINEST VARS'!$A$48*($AZ16*12.73)</f>
        <v>369.99999999999983</v>
      </c>
      <c r="BB16" s="46">
        <f>'LINEST VARS'!$U$48+'LINEST VARS'!$T$48*(8)+'LINEST VARS'!$S$48*(8)+'LINEST VARS'!$R$48*($BB$8)+'LINEST VARS'!$Q$48*($AZ16)+'LINEST VARS'!$P$48*(12.73)+'LINEST VARS'!$O$48*(8^2)+'LINEST VARS'!$N$48*(8^2)+'LINEST VARS'!$M$48*($BB$8^2)+'LINEST VARS'!$L$48*($AZ16^2)+'LINEST VARS'!$K$48*(12.73^2)+'LINEST VARS'!$J$48*(8*8)+'LINEST VARS'!$I$48*(8*$BB$8)+'LINEST VARS'!$H$48*(8*$AZ16)+'LINEST VARS'!$G$48*(8*12.73)+'LINEST VARS'!$F$48*(8*$BB$8)+'LINEST VARS'!$E$48*(8*$AZ16)+'LINEST VARS'!$D$48*(8*12.73)+'LINEST VARS'!$C$48*($BB$8*$AZ16)+'LINEST VARS'!$B$48*($BB$8*12.73)+'LINEST VARS'!$A$48*($AZ16*12.73)</f>
        <v>369.99999999999983</v>
      </c>
      <c r="BC16" s="46">
        <f>'LINEST VARS'!$U$48+'LINEST VARS'!$T$48*(8)+'LINEST VARS'!$S$48*(8)+'LINEST VARS'!$R$48*($BC$8)+'LINEST VARS'!$Q$48*($AZ16)+'LINEST VARS'!$P$48*(12.73)+'LINEST VARS'!$O$48*(8^2)+'LINEST VARS'!$N$48*(8^2)+'LINEST VARS'!$M$48*($BC$8^2)+'LINEST VARS'!$L$48*($AZ16^2)+'LINEST VARS'!$K$48*(12.73^2)+'LINEST VARS'!$J$48*(8*8)+'LINEST VARS'!$I$48*(8*$BC$8)+'LINEST VARS'!$H$48*(8*$AZ16)+'LINEST VARS'!$G$48*(8*12.73)+'LINEST VARS'!$F$48*(8*$BC$8)+'LINEST VARS'!$E$48*(8*$AZ16)+'LINEST VARS'!$D$48*(8*12.73)+'LINEST VARS'!$C$48*($BC$8*$AZ16)+'LINEST VARS'!$B$48*($BC$8*12.73)+'LINEST VARS'!$A$48*($AZ16*12.73)</f>
        <v>369.99999999999983</v>
      </c>
      <c r="BD16" s="46">
        <f>'LINEST VARS'!$U$48+'LINEST VARS'!$T$48*(8)+'LINEST VARS'!$S$48*(8)+'LINEST VARS'!$R$48*($BD$8)+'LINEST VARS'!$Q$48*($AZ16)+'LINEST VARS'!$P$48*(12.73)+'LINEST VARS'!$O$48*(8^2)+'LINEST VARS'!$N$48*(8^2)+'LINEST VARS'!$M$48*($BD$8^2)+'LINEST VARS'!$L$48*($AZ16^2)+'LINEST VARS'!$K$48*(12.73^2)+'LINEST VARS'!$J$48*(8*8)+'LINEST VARS'!$I$48*(8*$BD$8)+'LINEST VARS'!$H$48*(8*$AZ16)+'LINEST VARS'!$G$48*(8*12.73)+'LINEST VARS'!$F$48*(8*$BD$8)+'LINEST VARS'!$E$48*(8*$AZ16)+'LINEST VARS'!$D$48*(8*12.73)+'LINEST VARS'!$C$48*($BD$8*$AZ16)+'LINEST VARS'!$B$48*($BD$8*12.73)+'LINEST VARS'!$A$48*($AZ16*12.73)</f>
        <v>369.99999999999983</v>
      </c>
      <c r="BE16" s="46">
        <f>'LINEST VARS'!$U$48+'LINEST VARS'!$T$48*(8)+'LINEST VARS'!$S$48*(8)+'LINEST VARS'!$R$48*($BE$8)+'LINEST VARS'!$Q$48*($AZ16)+'LINEST VARS'!$P$48*(12.73)+'LINEST VARS'!$O$48*(8^2)+'LINEST VARS'!$N$48*(8^2)+'LINEST VARS'!$M$48*($BE$8^2)+'LINEST VARS'!$L$48*($AZ16^2)+'LINEST VARS'!$K$48*(12.73^2)+'LINEST VARS'!$J$48*(8*8)+'LINEST VARS'!$I$48*(8*$BE$8)+'LINEST VARS'!$H$48*(8*$AZ16)+'LINEST VARS'!$G$48*(8*12.73)+'LINEST VARS'!$F$48*(8*$BE$8)+'LINEST VARS'!$E$48*(8*$AZ16)+'LINEST VARS'!$D$48*(8*12.73)+'LINEST VARS'!$C$48*($BE$8*$AZ16)+'LINEST VARS'!$B$48*($BE$8*12.73)+'LINEST VARS'!$A$48*($AZ16*12.73)</f>
        <v>369.99999999999983</v>
      </c>
      <c r="BF16" s="46">
        <f>'LINEST VARS'!$U$48+'LINEST VARS'!$T$48*(8)+'LINEST VARS'!$S$48*(8)+'LINEST VARS'!$R$48*($BF$8)+'LINEST VARS'!$Q$48*($AZ16)+'LINEST VARS'!$P$48*(12.73)+'LINEST VARS'!$O$48*(8^2)+'LINEST VARS'!$N$48*(8^2)+'LINEST VARS'!$M$48*($BF$8^2)+'LINEST VARS'!$L$48*($AZ16^2)+'LINEST VARS'!$K$48*(12.73^2)+'LINEST VARS'!$J$48*(8*8)+'LINEST VARS'!$I$48*(8*$BF$8)+'LINEST VARS'!$H$48*(8*$AZ16)+'LINEST VARS'!$G$48*(8*12.73)+'LINEST VARS'!$F$48*(8*$BF$8)+'LINEST VARS'!$E$48*(8*$AZ16)+'LINEST VARS'!$D$48*(8*12.73)+'LINEST VARS'!$C$48*($BF$8*$AZ16)+'LINEST VARS'!$B$48*($BF$8*12.73)+'LINEST VARS'!$A$48*($AZ16*12.73)</f>
        <v>369.99999999999983</v>
      </c>
      <c r="BG16" s="46">
        <f>'LINEST VARS'!$U$48+'LINEST VARS'!$T$48*(8)+'LINEST VARS'!$S$48*(8)+'LINEST VARS'!$R$48*($BG$8)+'LINEST VARS'!$Q$48*($AZ16)+'LINEST VARS'!$P$48*(12.73)+'LINEST VARS'!$O$48*(8^2)+'LINEST VARS'!$N$48*(8^2)+'LINEST VARS'!$M$48*($BG$8^2)+'LINEST VARS'!$L$48*($AZ16^2)+'LINEST VARS'!$K$48*(12.73^2)+'LINEST VARS'!$J$48*(8*8)+'LINEST VARS'!$I$48*(8*$BG$8)+'LINEST VARS'!$H$48*(8*$AZ16)+'LINEST VARS'!$G$48*(8*12.73)+'LINEST VARS'!$F$48*(8*$BG$8)+'LINEST VARS'!$E$48*(8*$AZ16)+'LINEST VARS'!$D$48*(8*12.73)+'LINEST VARS'!$C$48*($BG$8*$AZ16)+'LINEST VARS'!$B$48*($BG$8*12.73)+'LINEST VARS'!$A$48*($AZ16*12.73)</f>
        <v>369.99999999999983</v>
      </c>
      <c r="BH16" s="46">
        <f>'LINEST VARS'!$U$48+'LINEST VARS'!$T$48*(8)+'LINEST VARS'!$S$48*(8)+'LINEST VARS'!$R$48*($BH$8)+'LINEST VARS'!$Q$48*($AZ16)+'LINEST VARS'!$P$48*(12.73)+'LINEST VARS'!$O$48*(8^2)+'LINEST VARS'!$N$48*(8^2)+'LINEST VARS'!$M$48*($BH$8^2)+'LINEST VARS'!$L$48*($AZ16^2)+'LINEST VARS'!$K$48*(12.73^2)+'LINEST VARS'!$J$48*(8*8)+'LINEST VARS'!$I$48*(8*$BH$8)+'LINEST VARS'!$H$48*(8*$AZ16)+'LINEST VARS'!$G$48*(8*12.73)+'LINEST VARS'!$F$48*(8*$BH$8)+'LINEST VARS'!$E$48*(8*$AZ16)+'LINEST VARS'!$D$48*(8*12.73)+'LINEST VARS'!$C$48*($BH$8*$AZ16)+'LINEST VARS'!$B$48*($BH$8*12.73)+'LINEST VARS'!$A$48*($AZ16*12.73)</f>
        <v>369.99999999999983</v>
      </c>
      <c r="BI16" s="46">
        <f>'LINEST VARS'!$U$48+'LINEST VARS'!$T$48*(8)+'LINEST VARS'!$S$48*(8)+'LINEST VARS'!$R$48*($BI$8)+'LINEST VARS'!$Q$48*($AZ16)+'LINEST VARS'!$P$48*(12.73)+'LINEST VARS'!$O$48*(8^2)+'LINEST VARS'!$N$48*(8^2)+'LINEST VARS'!$M$48*($BI$8^2)+'LINEST VARS'!$L$48*($AZ16^2)+'LINEST VARS'!$K$48*(12.73^2)+'LINEST VARS'!$J$48*(8*8)+'LINEST VARS'!$I$48*(8*$BI$8)+'LINEST VARS'!$H$48*(8*$AZ16)+'LINEST VARS'!$G$48*(8*12.73)+'LINEST VARS'!$F$48*(8*$BI$8)+'LINEST VARS'!$E$48*(8*$AZ16)+'LINEST VARS'!$D$48*(8*12.73)+'LINEST VARS'!$C$48*($BI$8*$AZ16)+'LINEST VARS'!$B$48*($BI$8*12.73)+'LINEST VARS'!$A$48*($AZ16*12.73)</f>
        <v>369.99999999999983</v>
      </c>
      <c r="BJ16" s="46">
        <f>'LINEST VARS'!$U$48+'LINEST VARS'!$T$48*(8)+'LINEST VARS'!$S$48*(8)+'LINEST VARS'!$R$48*($BJ$8)+'LINEST VARS'!$Q$48*($AZ16)+'LINEST VARS'!$P$48*(12.73)+'LINEST VARS'!$O$48*(8^2)+'LINEST VARS'!$N$48*(8^2)+'LINEST VARS'!$M$48*($BJ$8^2)+'LINEST VARS'!$L$48*($AZ16^2)+'LINEST VARS'!$K$48*(12.73^2)+'LINEST VARS'!$J$48*(8*8)+'LINEST VARS'!$I$48*(8*$BJ$8)+'LINEST VARS'!$H$48*(8*$AZ16)+'LINEST VARS'!$G$48*(8*12.73)+'LINEST VARS'!$F$48*(8*$BJ$8)+'LINEST VARS'!$E$48*(8*$AZ16)+'LINEST VARS'!$D$48*(8*12.73)+'LINEST VARS'!$C$48*($BJ$8*$AZ16)+'LINEST VARS'!$B$48*($BJ$8*12.73)+'LINEST VARS'!$A$48*($AZ16*12.73)</f>
        <v>369.99999999999983</v>
      </c>
      <c r="BK16" s="46">
        <f>'LINEST VARS'!$U$48+'LINEST VARS'!$T$48*(8)+'LINEST VARS'!$S$48*(8)+'LINEST VARS'!$R$48*($BK$8)+'LINEST VARS'!$Q$48*($AZ16)+'LINEST VARS'!$P$48*(12.73)+'LINEST VARS'!$O$48*(8^2)+'LINEST VARS'!$N$48*(8^2)+'LINEST VARS'!$M$48*($BK$8^2)+'LINEST VARS'!$L$48*($AZ16^2)+'LINEST VARS'!$K$48*(12.73^2)+'LINEST VARS'!$J$48*(8*8)+'LINEST VARS'!$I$48*(8*$BK$8)+'LINEST VARS'!$H$48*(8*$AZ16)+'LINEST VARS'!$G$48*(8*12.73)+'LINEST VARS'!$F$48*(8*$BK$8)+'LINEST VARS'!$E$48*(8*$AZ16)+'LINEST VARS'!$D$48*(8*12.73)+'LINEST VARS'!$C$48*($BK$8*$AZ16)+'LINEST VARS'!$B$48*($BK$8*12.73)+'LINEST VARS'!$A$48*($AZ16*12.73)</f>
        <v>369.99999999999983</v>
      </c>
      <c r="BL16" s="46">
        <f>'LINEST VARS'!$U$48+'LINEST VARS'!$T$48*(8)+'LINEST VARS'!$S$48*(8)+'LINEST VARS'!$R$48*($BL$8)+'LINEST VARS'!$Q$48*($AZ16)+'LINEST VARS'!$P$48*(12.73)+'LINEST VARS'!$O$48*(8^2)+'LINEST VARS'!$N$48*(8^2)+'LINEST VARS'!$M$48*($BL$8^2)+'LINEST VARS'!$L$48*($AZ16^2)+'LINEST VARS'!$K$48*(12.73^2)+'LINEST VARS'!$J$48*(8*8)+'LINEST VARS'!$I$48*(8*$BL$8)+'LINEST VARS'!$H$48*(8*$AZ16)+'LINEST VARS'!$G$48*(8*12.73)+'LINEST VARS'!$F$48*(8*$BL$8)+'LINEST VARS'!$E$48*(8*$AZ16)+'LINEST VARS'!$D$48*(8*12.73)+'LINEST VARS'!$C$48*($BL$8*$AZ16)+'LINEST VARS'!$B$48*($BL$8*12.73)+'LINEST VARS'!$A$48*($AZ16*12.73)</f>
        <v>369.99999999999983</v>
      </c>
      <c r="BM16" s="46">
        <f>'LINEST VARS'!$U$48+'LINEST VARS'!$T$48*(8)+'LINEST VARS'!$S$48*(8)+'LINEST VARS'!$R$48*($BM$8)+'LINEST VARS'!$Q$48*($AZ16)+'LINEST VARS'!$P$48*(12.73)+'LINEST VARS'!$O$48*(8^2)+'LINEST VARS'!$N$48*(8^2)+'LINEST VARS'!$M$48*($BM$8^2)+'LINEST VARS'!$L$48*($AZ16^2)+'LINEST VARS'!$K$48*(12.73^2)+'LINEST VARS'!$J$48*(8*8)+'LINEST VARS'!$I$48*(8*$BM$8)+'LINEST VARS'!$H$48*(8*$AZ16)+'LINEST VARS'!$G$48*(8*12.73)+'LINEST VARS'!$F$48*(8*$BM$8)+'LINEST VARS'!$E$48*(8*$AZ16)+'LINEST VARS'!$D$48*(8*12.73)+'LINEST VARS'!$C$48*($BM$8*$AZ16)+'LINEST VARS'!$B$48*($BM$8*12.73)+'LINEST VARS'!$A$48*($AZ16*12.73)</f>
        <v>369.99999999999983</v>
      </c>
      <c r="BN16" s="46">
        <f>'LINEST VARS'!$U$48+'LINEST VARS'!$T$48*(8)+'LINEST VARS'!$S$48*(8)+'LINEST VARS'!$R$48*($BN$8)+'LINEST VARS'!$Q$48*($AZ16)+'LINEST VARS'!$P$48*(12.73)+'LINEST VARS'!$O$48*(8^2)+'LINEST VARS'!$N$48*(8^2)+'LINEST VARS'!$M$48*($BN$8^2)+'LINEST VARS'!$L$48*($AZ16^2)+'LINEST VARS'!$K$48*(12.73^2)+'LINEST VARS'!$J$48*(8*8)+'LINEST VARS'!$I$48*(8*$BN$8)+'LINEST VARS'!$H$48*(8*$AZ16)+'LINEST VARS'!$G$48*(8*12.73)+'LINEST VARS'!$F$48*(8*$BN$8)+'LINEST VARS'!$E$48*(8*$AZ16)+'LINEST VARS'!$D$48*(8*12.73)+'LINEST VARS'!$C$48*($BN$8*$AZ16)+'LINEST VARS'!$B$48*($BN$8*12.73)+'LINEST VARS'!$A$48*($AZ16*12.73)</f>
        <v>369.99999999999989</v>
      </c>
      <c r="BO16" s="46">
        <f>'LINEST VARS'!$U$48+'LINEST VARS'!$T$48*(8)+'LINEST VARS'!$S$48*(8)+'LINEST VARS'!$R$48*($BO$8)+'LINEST VARS'!$Q$48*($AZ16)+'LINEST VARS'!$P$48*(12.73)+'LINEST VARS'!$O$48*(8^2)+'LINEST VARS'!$N$48*(8^2)+'LINEST VARS'!$M$48*($BO$8^2)+'LINEST VARS'!$L$48*($AZ16^2)+'LINEST VARS'!$K$48*(12.73^2)+'LINEST VARS'!$J$48*(8*8)+'LINEST VARS'!$I$48*(8*$BO$8)+'LINEST VARS'!$H$48*(8*$AZ16)+'LINEST VARS'!$G$48*(8*12.73)+'LINEST VARS'!$F$48*(8*$BO$8)+'LINEST VARS'!$E$48*(8*$AZ16)+'LINEST VARS'!$D$48*(8*12.73)+'LINEST VARS'!$C$48*($BO$8*$AZ16)+'LINEST VARS'!$B$48*($BO$8*12.73)+'LINEST VARS'!$A$48*($AZ16*12.73)</f>
        <v>369.99999999999989</v>
      </c>
      <c r="BP16" s="46">
        <f>'LINEST VARS'!$U$48+'LINEST VARS'!$T$48*(8)+'LINEST VARS'!$S$48*(8)+'LINEST VARS'!$R$48*($BP$8)+'LINEST VARS'!$Q$48*($AZ16)+'LINEST VARS'!$P$48*(12.73)+'LINEST VARS'!$O$48*(8^2)+'LINEST VARS'!$N$48*(8^2)+'LINEST VARS'!$M$48*($BP$8^2)+'LINEST VARS'!$L$48*($AZ16^2)+'LINEST VARS'!$K$48*(12.73^2)+'LINEST VARS'!$J$48*(8*8)+'LINEST VARS'!$I$48*(8*$BP$8)+'LINEST VARS'!$H$48*(8*$AZ16)+'LINEST VARS'!$G$48*(8*12.73)+'LINEST VARS'!$F$48*(8*$BP$8)+'LINEST VARS'!$E$48*(8*$AZ16)+'LINEST VARS'!$D$48*(8*12.73)+'LINEST VARS'!$C$48*($BP$8*$AZ16)+'LINEST VARS'!$B$48*($BP$8*12.73)+'LINEST VARS'!$A$48*($AZ16*12.73)</f>
        <v>369.99999999999989</v>
      </c>
      <c r="BQ16" s="46">
        <f>'LINEST VARS'!$U$48+'LINEST VARS'!$T$48*(8)+'LINEST VARS'!$S$48*(8)+'LINEST VARS'!$R$48*($BQ$8)+'LINEST VARS'!$Q$48*($AZ16)+'LINEST VARS'!$P$48*(12.73)+'LINEST VARS'!$O$48*(8^2)+'LINEST VARS'!$N$48*(8^2)+'LINEST VARS'!$M$48*($BQ$8^2)+'LINEST VARS'!$L$48*($AZ16^2)+'LINEST VARS'!$K$48*(12.73^2)+'LINEST VARS'!$J$48*(8*8)+'LINEST VARS'!$I$48*(8*$BQ$8)+'LINEST VARS'!$H$48*(8*$AZ16)+'LINEST VARS'!$G$48*(8*12.73)+'LINEST VARS'!$F$48*(8*$BQ$8)+'LINEST VARS'!$E$48*(8*$AZ16)+'LINEST VARS'!$D$48*(8*12.73)+'LINEST VARS'!$C$48*($BQ$8*$AZ16)+'LINEST VARS'!$B$48*($BQ$8*12.73)+'LINEST VARS'!$A$48*($AZ16*12.73)</f>
        <v>369.99999999999983</v>
      </c>
      <c r="BR16" s="46">
        <f>'LINEST VARS'!$U$48+'LINEST VARS'!$T$48*(8)+'LINEST VARS'!$S$48*(8)+'LINEST VARS'!$R$48*($BR$8)+'LINEST VARS'!$Q$48*($AZ16)+'LINEST VARS'!$P$48*(12.73)+'LINEST VARS'!$O$48*(8^2)+'LINEST VARS'!$N$48*(8^2)+'LINEST VARS'!$M$48*($BR$8^2)+'LINEST VARS'!$L$48*($AZ16^2)+'LINEST VARS'!$K$48*(12.73^2)+'LINEST VARS'!$J$48*(8*8)+'LINEST VARS'!$I$48*(8*$BR$8)+'LINEST VARS'!$H$48*(8*$AZ16)+'LINEST VARS'!$G$48*(8*12.73)+'LINEST VARS'!$F$48*(8*$BR$8)+'LINEST VARS'!$E$48*(8*$AZ16)+'LINEST VARS'!$D$48*(8*12.73)+'LINEST VARS'!$C$48*($BR$8*$AZ16)+'LINEST VARS'!$B$48*($BR$8*12.73)+'LINEST VARS'!$A$48*($AZ16*12.73)</f>
        <v>369.99999999999983</v>
      </c>
      <c r="BS16" s="46">
        <f>'LINEST VARS'!$U$48+'LINEST VARS'!$T$48*(8)+'LINEST VARS'!$S$48*(8)+'LINEST VARS'!$R$48*($BS$8)+'LINEST VARS'!$Q$48*($AZ16)+'LINEST VARS'!$P$48*(12.73)+'LINEST VARS'!$O$48*(8^2)+'LINEST VARS'!$N$48*(8^2)+'LINEST VARS'!$M$48*($BS$8^2)+'LINEST VARS'!$L$48*($AZ16^2)+'LINEST VARS'!$K$48*(12.73^2)+'LINEST VARS'!$J$48*(8*8)+'LINEST VARS'!$I$48*(8*$BS$8)+'LINEST VARS'!$H$48*(8*$AZ16)+'LINEST VARS'!$G$48*(8*12.73)+'LINEST VARS'!$F$48*(8*$BS$8)+'LINEST VARS'!$E$48*(8*$AZ16)+'LINEST VARS'!$D$48*(8*12.73)+'LINEST VARS'!$C$48*($BS$8*$AZ16)+'LINEST VARS'!$B$48*($BS$8*12.73)+'LINEST VARS'!$A$48*($AZ16*12.73)</f>
        <v>369.99999999999983</v>
      </c>
      <c r="BT16" s="46">
        <f>'LINEST VARS'!$U$48+'LINEST VARS'!$T$48*(8)+'LINEST VARS'!$S$48*(8)+'LINEST VARS'!$R$48*($BT$8)+'LINEST VARS'!$Q$48*($AZ16)+'LINEST VARS'!$P$48*(12.73)+'LINEST VARS'!$O$48*(8^2)+'LINEST VARS'!$N$48*(8^2)+'LINEST VARS'!$M$48*($BT$8^2)+'LINEST VARS'!$L$48*($AZ16^2)+'LINEST VARS'!$K$48*(12.73^2)+'LINEST VARS'!$J$48*(8*8)+'LINEST VARS'!$I$48*(8*$BT$8)+'LINEST VARS'!$H$48*(8*$AZ16)+'LINEST VARS'!$G$48*(8*12.73)+'LINEST VARS'!$F$48*(8*$BT$8)+'LINEST VARS'!$E$48*(8*$AZ16)+'LINEST VARS'!$D$48*(8*12.73)+'LINEST VARS'!$C$48*($BT$8*$AZ16)+'LINEST VARS'!$B$48*($BT$8*12.73)+'LINEST VARS'!$A$48*($AZ16*12.73)</f>
        <v>369.99999999999983</v>
      </c>
      <c r="BU16" s="47">
        <f>'LINEST VARS'!$U$48+'LINEST VARS'!$T$48*(8)+'LINEST VARS'!$S$48*(8)+'LINEST VARS'!$R$48*($BU$8)+'LINEST VARS'!$Q$48*($AZ16)+'LINEST VARS'!$P$48*(12.73)+'LINEST VARS'!$O$48*(8^2)+'LINEST VARS'!$N$48*(8^2)+'LINEST VARS'!$M$48*($BU$8^2)+'LINEST VARS'!$L$48*($AZ16^2)+'LINEST VARS'!$K$48*(12.73^2)+'LINEST VARS'!$J$48*(8*8)+'LINEST VARS'!$I$48*(8*$BU$8)+'LINEST VARS'!$H$48*(8*$AZ16)+'LINEST VARS'!$G$48*(8*12.73)+'LINEST VARS'!$F$48*(8*$BU$8)+'LINEST VARS'!$E$48*(8*$AZ16)+'LINEST VARS'!$D$48*(8*12.73)+'LINEST VARS'!$C$48*($BU$8*$AZ16)+'LINEST VARS'!$B$48*($BU$8*12.73)+'LINEST VARS'!$A$48*($AZ16*12.73)</f>
        <v>369.99999999999983</v>
      </c>
      <c r="BX16" s="45">
        <v>0.35</v>
      </c>
      <c r="BY16" s="46">
        <f>'LINEST VARS'!$U$50+'LINEST VARS'!$T$50*(8)+'LINEST VARS'!$S$50*(8)+'LINEST VARS'!$R$50*($BY$8)+'LINEST VARS'!$Q$50*($BX16)+'LINEST VARS'!$P$50*(12.73)+'LINEST VARS'!$O$50*(8^2)+'LINEST VARS'!$N$50*(8^2)+'LINEST VARS'!$M$50*($BY$8^2)+'LINEST VARS'!$L$50*($BX16^2)+'LINEST VARS'!$K$50*(12.73^2)+'LINEST VARS'!$J$50*(8*8)+'LINEST VARS'!$I$50*(8*$BY$8)+'LINEST VARS'!$H$50*(8*$BX16)+'LINEST VARS'!$G$50*(8*12.73)+'LINEST VARS'!$F$50*(8*$BY$8)+'LINEST VARS'!$E$50*(8*$BX16)+'LINEST VARS'!$D$50*(8*12.73)+'LINEST VARS'!$C$50*($BY$8*$BX16)+'LINEST VARS'!$B$50*($BY$8*12.73)+'LINEST VARS'!$A$50*($BX16*12.73)</f>
        <v>331.99999999999989</v>
      </c>
      <c r="BZ16" s="46">
        <f>'LINEST VARS'!$U$50+'LINEST VARS'!$T$50*(8)+'LINEST VARS'!$S$50*(8)+'LINEST VARS'!$R$50*($BZ$8)+'LINEST VARS'!$Q$50*($BX16)+'LINEST VARS'!$P$50*(12.73)+'LINEST VARS'!$O$50*(8^2)+'LINEST VARS'!$N$50*(8^2)+'LINEST VARS'!$M$50*($BZ$8^2)+'LINEST VARS'!$L$50*($BX16^2)+'LINEST VARS'!$K$50*(12.73^2)+'LINEST VARS'!$J$50*(8*8)+'LINEST VARS'!$I$50*(8*$BZ$8)+'LINEST VARS'!$H$50*(8*$BX16)+'LINEST VARS'!$G$50*(8*12.73)+'LINEST VARS'!$F$50*(8*$BZ$8)+'LINEST VARS'!$E$50*(8*$BX16)+'LINEST VARS'!$D$50*(8*12.73)+'LINEST VARS'!$C$50*($BZ$8*$BX16)+'LINEST VARS'!$B$50*($BZ$8*12.73)+'LINEST VARS'!$A$50*($BX16*12.73)</f>
        <v>331.99999999999989</v>
      </c>
      <c r="CA16" s="46">
        <f>'LINEST VARS'!$U$50+'LINEST VARS'!$T$50*(8)+'LINEST VARS'!$S$50*(8)+'LINEST VARS'!$R$50*($CA$8)+'LINEST VARS'!$Q$50*($BX16)+'LINEST VARS'!$P$50*(12.73)+'LINEST VARS'!$O$50*(8^2)+'LINEST VARS'!$N$50*(8^2)+'LINEST VARS'!$M$50*($CA$8^2)+'LINEST VARS'!$L$50*($BX16^2)+'LINEST VARS'!$K$50*(12.73^2)+'LINEST VARS'!$J$50*(8*8)+'LINEST VARS'!$I$50*(8*$CA$8)+'LINEST VARS'!$H$50*(8*$BX16)+'LINEST VARS'!$G$50*(8*12.73)+'LINEST VARS'!$F$50*(8*$CA$8)+'LINEST VARS'!$E$50*(8*$BX16)+'LINEST VARS'!$D$50*(8*12.73)+'LINEST VARS'!$C$50*($CA$8*$BX16)+'LINEST VARS'!$B$50*($CA$8*12.73)+'LINEST VARS'!$A$50*($BX16*12.73)</f>
        <v>331.99999999999989</v>
      </c>
      <c r="CB16" s="46">
        <f>'LINEST VARS'!$U$50+'LINEST VARS'!$T$50*(8)+'LINEST VARS'!$S$50*(8)+'LINEST VARS'!$R$50*($CB$8)+'LINEST VARS'!$Q$50*($BX16)+'LINEST VARS'!$P$50*(12.73)+'LINEST VARS'!$O$50*(8^2)+'LINEST VARS'!$N$50*(8^2)+'LINEST VARS'!$M$50*($CB$8^2)+'LINEST VARS'!$L$50*($BX16^2)+'LINEST VARS'!$K$50*(12.73^2)+'LINEST VARS'!$J$50*(8*8)+'LINEST VARS'!$I$50*(8*$CB$8)+'LINEST VARS'!$H$50*(8*$BX16)+'LINEST VARS'!$G$50*(8*12.73)+'LINEST VARS'!$F$50*(8*$CB$8)+'LINEST VARS'!$E$50*(8*$BX16)+'LINEST VARS'!$D$50*(8*12.73)+'LINEST VARS'!$C$50*($CB$8*$BX16)+'LINEST VARS'!$B$50*($CB$8*12.73)+'LINEST VARS'!$A$50*($BX16*12.73)</f>
        <v>331.99999999999989</v>
      </c>
      <c r="CC16" s="46">
        <f>'LINEST VARS'!$U$50+'LINEST VARS'!$T$50*(8)+'LINEST VARS'!$S$50*(8)+'LINEST VARS'!$R$50*($CC$8)+'LINEST VARS'!$Q$50*($BX16)+'LINEST VARS'!$P$50*(12.73)+'LINEST VARS'!$O$50*(8^2)+'LINEST VARS'!$N$50*(8^2)+'LINEST VARS'!$M$50*($CC$8^2)+'LINEST VARS'!$L$50*($BX16^2)+'LINEST VARS'!$K$50*(12.73^2)+'LINEST VARS'!$J$50*(8*8)+'LINEST VARS'!$I$50*(8*$CC$8)+'LINEST VARS'!$H$50*(8*$BX16)+'LINEST VARS'!$G$50*(8*12.73)+'LINEST VARS'!$F$50*(8*$CC$8)+'LINEST VARS'!$E$50*(8*$BX16)+'LINEST VARS'!$D$50*(8*12.73)+'LINEST VARS'!$C$50*($CC$8*$BX16)+'LINEST VARS'!$B$50*($CC$8*12.73)+'LINEST VARS'!$A$50*($BX16*12.73)</f>
        <v>331.99999999999989</v>
      </c>
      <c r="CD16" s="46">
        <f>'LINEST VARS'!$U$50+'LINEST VARS'!$T$50*(8)+'LINEST VARS'!$S$50*(8)+'LINEST VARS'!$R$50*($CD$8)+'LINEST VARS'!$Q$50*($BX16)+'LINEST VARS'!$P$50*(12.73)+'LINEST VARS'!$O$50*(8^2)+'LINEST VARS'!$N$50*(8^2)+'LINEST VARS'!$M$50*($CD$8^2)+'LINEST VARS'!$L$50*($BX16^2)+'LINEST VARS'!$K$50*(12.73^2)+'LINEST VARS'!$J$50*(8*8)+'LINEST VARS'!$I$50*(8*$CD$8)+'LINEST VARS'!$H$50*(8*$BX16)+'LINEST VARS'!$G$50*(8*12.73)+'LINEST VARS'!$F$50*(8*$CD$8)+'LINEST VARS'!$E$50*(8*$BX16)+'LINEST VARS'!$D$50*(8*12.73)+'LINEST VARS'!$C$50*($CD$8*$BX16)+'LINEST VARS'!$B$50*($CD$8*12.73)+'LINEST VARS'!$A$50*($BX16*12.73)</f>
        <v>331.99999999999989</v>
      </c>
      <c r="CE16" s="46">
        <f>'LINEST VARS'!$U$50+'LINEST VARS'!$T$50*(8)+'LINEST VARS'!$S$50*(8)+'LINEST VARS'!$R$50*($CE$8)+'LINEST VARS'!$Q$50*($BX16)+'LINEST VARS'!$P$50*(12.73)+'LINEST VARS'!$O$50*(8^2)+'LINEST VARS'!$N$50*(8^2)+'LINEST VARS'!$M$50*($CE$8^2)+'LINEST VARS'!$L$50*($BX16^2)+'LINEST VARS'!$K$50*(12.73^2)+'LINEST VARS'!$J$50*(8*8)+'LINEST VARS'!$I$50*(8*$CE$8)+'LINEST VARS'!$H$50*(8*$BX16)+'LINEST VARS'!$G$50*(8*12.73)+'LINEST VARS'!$F$50*(8*$CE$8)+'LINEST VARS'!$E$50*(8*$BX16)+'LINEST VARS'!$D$50*(8*12.73)+'LINEST VARS'!$C$50*($CE$8*$BX16)+'LINEST VARS'!$B$50*($CE$8*12.73)+'LINEST VARS'!$A$50*($BX16*12.73)</f>
        <v>331.99999999999989</v>
      </c>
      <c r="CF16" s="46">
        <f>'LINEST VARS'!$U$50+'LINEST VARS'!$T$50*(8)+'LINEST VARS'!$S$50*(8)+'LINEST VARS'!$R$50*($CF$8)+'LINEST VARS'!$Q$50*($BX16)+'LINEST VARS'!$P$50*(12.73)+'LINEST VARS'!$O$50*(8^2)+'LINEST VARS'!$N$50*(8^2)+'LINEST VARS'!$M$50*($CF$8^2)+'LINEST VARS'!$L$50*($BX16^2)+'LINEST VARS'!$K$50*(12.73^2)+'LINEST VARS'!$J$50*(8*8)+'LINEST VARS'!$I$50*(8*$CF$8)+'LINEST VARS'!$H$50*(8*$BX16)+'LINEST VARS'!$G$50*(8*12.73)+'LINEST VARS'!$F$50*(8*$CF$8)+'LINEST VARS'!$E$50*(8*$BX16)+'LINEST VARS'!$D$50*(8*12.73)+'LINEST VARS'!$C$50*($CF$8*$BX16)+'LINEST VARS'!$B$50*($CF$8*12.73)+'LINEST VARS'!$A$50*($BX16*12.73)</f>
        <v>331.99999999999989</v>
      </c>
      <c r="CG16" s="46">
        <f>'LINEST VARS'!$U$50+'LINEST VARS'!$T$50*(8)+'LINEST VARS'!$S$50*(8)+'LINEST VARS'!$R$50*($CG$8)+'LINEST VARS'!$Q$50*($BX16)+'LINEST VARS'!$P$50*(12.73)+'LINEST VARS'!$O$50*(8^2)+'LINEST VARS'!$N$50*(8^2)+'LINEST VARS'!$M$50*($CG$8^2)+'LINEST VARS'!$L$50*($BX16^2)+'LINEST VARS'!$K$50*(12.73^2)+'LINEST VARS'!$J$50*(8*8)+'LINEST VARS'!$I$50*(8*$CG$8)+'LINEST VARS'!$H$50*(8*$BX16)+'LINEST VARS'!$G$50*(8*12.73)+'LINEST VARS'!$F$50*(8*$CG$8)+'LINEST VARS'!$E$50*(8*$BX16)+'LINEST VARS'!$D$50*(8*12.73)+'LINEST VARS'!$C$50*($CG$8*$BX16)+'LINEST VARS'!$B$50*($CG$8*12.73)+'LINEST VARS'!$A$50*($BX16*12.73)</f>
        <v>331.99999999999989</v>
      </c>
      <c r="CH16" s="46">
        <f>'LINEST VARS'!$U$50+'LINEST VARS'!$T$50*(8)+'LINEST VARS'!$S$50*(8)+'LINEST VARS'!$R$50*($CH$8)+'LINEST VARS'!$Q$50*($BX16)+'LINEST VARS'!$P$50*(12.73)+'LINEST VARS'!$O$50*(8^2)+'LINEST VARS'!$N$50*(8^2)+'LINEST VARS'!$M$50*($CH$8^2)+'LINEST VARS'!$L$50*($BX16^2)+'LINEST VARS'!$K$50*(12.73^2)+'LINEST VARS'!$J$50*(8*8)+'LINEST VARS'!$I$50*(8*$CH$8)+'LINEST VARS'!$H$50*(8*$BX16)+'LINEST VARS'!$G$50*(8*12.73)+'LINEST VARS'!$F$50*(8*$CH$8)+'LINEST VARS'!$E$50*(8*$BX16)+'LINEST VARS'!$D$50*(8*12.73)+'LINEST VARS'!$C$50*($CH$8*$BX16)+'LINEST VARS'!$B$50*($CH$8*12.73)+'LINEST VARS'!$A$50*($BX16*12.73)</f>
        <v>331.99999999999989</v>
      </c>
      <c r="CI16" s="46">
        <f>'LINEST VARS'!$U$50+'LINEST VARS'!$T$50*(8)+'LINEST VARS'!$S$50*(8)+'LINEST VARS'!$R$50*($CI$8)+'LINEST VARS'!$Q$50*($BX16)+'LINEST VARS'!$P$50*(12.73)+'LINEST VARS'!$O$50*(8^2)+'LINEST VARS'!$N$50*(8^2)+'LINEST VARS'!$M$50*($CI$8^2)+'LINEST VARS'!$L$50*($BX16^2)+'LINEST VARS'!$K$50*(12.73^2)+'LINEST VARS'!$J$50*(8*8)+'LINEST VARS'!$I$50*(8*$CI$8)+'LINEST VARS'!$H$50*(8*$BX16)+'LINEST VARS'!$G$50*(8*12.73)+'LINEST VARS'!$F$50*(8*$CI$8)+'LINEST VARS'!$E$50*(8*$BX16)+'LINEST VARS'!$D$50*(8*12.73)+'LINEST VARS'!$C$50*($CI$8*$BX16)+'LINEST VARS'!$B$50*($CI$8*12.73)+'LINEST VARS'!$A$50*($BX16*12.73)</f>
        <v>331.99999999999989</v>
      </c>
      <c r="CJ16" s="46">
        <f>'LINEST VARS'!$U$50+'LINEST VARS'!$T$50*(8)+'LINEST VARS'!$S$50*(8)+'LINEST VARS'!$R$50*($CJ$8)+'LINEST VARS'!$Q$50*($BX16)+'LINEST VARS'!$P$50*(12.73)+'LINEST VARS'!$O$50*(8^2)+'LINEST VARS'!$N$50*(8^2)+'LINEST VARS'!$M$50*($CJ$8^2)+'LINEST VARS'!$L$50*($BX16^2)+'LINEST VARS'!$K$50*(12.73^2)+'LINEST VARS'!$J$50*(8*8)+'LINEST VARS'!$I$50*(8*$CJ$8)+'LINEST VARS'!$H$50*(8*$BX16)+'LINEST VARS'!$G$50*(8*12.73)+'LINEST VARS'!$F$50*(8*$CJ$8)+'LINEST VARS'!$E$50*(8*$BX16)+'LINEST VARS'!$D$50*(8*12.73)+'LINEST VARS'!$C$50*($CJ$8*$BX16)+'LINEST VARS'!$B$50*($CJ$8*12.73)+'LINEST VARS'!$A$50*($BX16*12.73)</f>
        <v>331.99999999999989</v>
      </c>
      <c r="CK16" s="46">
        <f>'LINEST VARS'!$U$50+'LINEST VARS'!$T$50*(8)+'LINEST VARS'!$S$50*(8)+'LINEST VARS'!$R$50*($CK$8)+'LINEST VARS'!$Q$50*($BX16)+'LINEST VARS'!$P$50*(12.73)+'LINEST VARS'!$O$50*(8^2)+'LINEST VARS'!$N$50*(8^2)+'LINEST VARS'!$M$50*($CK$8^2)+'LINEST VARS'!$L$50*($BX16^2)+'LINEST VARS'!$K$50*(12.73^2)+'LINEST VARS'!$J$50*(8*8)+'LINEST VARS'!$I$50*(8*$CK$8)+'LINEST VARS'!$H$50*(8*$BX16)+'LINEST VARS'!$G$50*(8*12.73)+'LINEST VARS'!$F$50*(8*$CK$8)+'LINEST VARS'!$E$50*(8*$BX16)+'LINEST VARS'!$D$50*(8*12.73)+'LINEST VARS'!$C$50*($CK$8*$BX16)+'LINEST VARS'!$B$50*($CK$8*12.73)+'LINEST VARS'!$A$50*($BX16*12.73)</f>
        <v>331.99999999999989</v>
      </c>
      <c r="CL16" s="46">
        <f>'LINEST VARS'!$U$50+'LINEST VARS'!$T$50*(8)+'LINEST VARS'!$S$50*(8)+'LINEST VARS'!$R$50*($CL$8)+'LINEST VARS'!$Q$50*($BX16)+'LINEST VARS'!$P$50*(12.73)+'LINEST VARS'!$O$50*(8^2)+'LINEST VARS'!$N$50*(8^2)+'LINEST VARS'!$M$50*($CL$8^2)+'LINEST VARS'!$L$50*($BX16^2)+'LINEST VARS'!$K$50*(12.73^2)+'LINEST VARS'!$J$50*(8*8)+'LINEST VARS'!$I$50*(8*$CL$8)+'LINEST VARS'!$H$50*(8*$BX16)+'LINEST VARS'!$G$50*(8*12.73)+'LINEST VARS'!$F$50*(8*$CL$8)+'LINEST VARS'!$E$50*(8*$BX16)+'LINEST VARS'!$D$50*(8*12.73)+'LINEST VARS'!$C$50*($CL$8*$BX16)+'LINEST VARS'!$B$50*($CL$8*12.73)+'LINEST VARS'!$A$50*($BX16*12.73)</f>
        <v>331.99999999999989</v>
      </c>
      <c r="CM16" s="46">
        <f>'LINEST VARS'!$U$50+'LINEST VARS'!$T$50*(8)+'LINEST VARS'!$S$50*(8)+'LINEST VARS'!$R$50*($CM$8)+'LINEST VARS'!$Q$50*($BX16)+'LINEST VARS'!$P$50*(12.73)+'LINEST VARS'!$O$50*(8^2)+'LINEST VARS'!$N$50*(8^2)+'LINEST VARS'!$M$50*($CM$8^2)+'LINEST VARS'!$L$50*($BX16^2)+'LINEST VARS'!$K$50*(12.73^2)+'LINEST VARS'!$J$50*(8*8)+'LINEST VARS'!$I$50*(8*$CM$8)+'LINEST VARS'!$H$50*(8*$BX16)+'LINEST VARS'!$G$50*(8*12.73)+'LINEST VARS'!$F$50*(8*$CM$8)+'LINEST VARS'!$E$50*(8*$BX16)+'LINEST VARS'!$D$50*(8*12.73)+'LINEST VARS'!$C$50*($CM$8*$BX16)+'LINEST VARS'!$B$50*($CM$8*12.73)+'LINEST VARS'!$A$50*($BX16*12.73)</f>
        <v>331.99999999999989</v>
      </c>
      <c r="CN16" s="46">
        <f>'LINEST VARS'!$U$50+'LINEST VARS'!$T$50*(8)+'LINEST VARS'!$S$50*(8)+'LINEST VARS'!$R$50*($CN$8)+'LINEST VARS'!$Q$50*($BX16)+'LINEST VARS'!$P$50*(12.73)+'LINEST VARS'!$O$50*(8^2)+'LINEST VARS'!$N$50*(8^2)+'LINEST VARS'!$M$50*($CN$8^2)+'LINEST VARS'!$L$50*($BX16^2)+'LINEST VARS'!$K$50*(12.73^2)+'LINEST VARS'!$J$50*(8*8)+'LINEST VARS'!$I$50*(8*$CN$8)+'LINEST VARS'!$H$50*(8*$BX16)+'LINEST VARS'!$G$50*(8*12.73)+'LINEST VARS'!$F$50*(8*$CN$8)+'LINEST VARS'!$E$50*(8*$BX16)+'LINEST VARS'!$D$50*(8*12.73)+'LINEST VARS'!$C$50*($CN$8*$BX16)+'LINEST VARS'!$B$50*($CN$8*12.73)+'LINEST VARS'!$A$50*($BX16*12.73)</f>
        <v>331.99999999999989</v>
      </c>
      <c r="CO16" s="46">
        <f>'LINEST VARS'!$U$50+'LINEST VARS'!$T$50*(8)+'LINEST VARS'!$S$50*(8)+'LINEST VARS'!$R$50*($CO$8)+'LINEST VARS'!$Q$50*($BX16)+'LINEST VARS'!$P$50*(12.73)+'LINEST VARS'!$O$50*(8^2)+'LINEST VARS'!$N$50*(8^2)+'LINEST VARS'!$M$50*($CO$8^2)+'LINEST VARS'!$L$50*($BX16^2)+'LINEST VARS'!$K$50*(12.73^2)+'LINEST VARS'!$J$50*(8*8)+'LINEST VARS'!$I$50*(8*$CO$8)+'LINEST VARS'!$H$50*(8*$BX16)+'LINEST VARS'!$G$50*(8*12.73)+'LINEST VARS'!$F$50*(8*$CO$8)+'LINEST VARS'!$E$50*(8*$BX16)+'LINEST VARS'!$D$50*(8*12.73)+'LINEST VARS'!$C$50*($CO$8*$BX16)+'LINEST VARS'!$B$50*($CO$8*12.73)+'LINEST VARS'!$A$50*($BX16*12.73)</f>
        <v>331.99999999999989</v>
      </c>
      <c r="CP16" s="46">
        <f>'LINEST VARS'!$U$50+'LINEST VARS'!$T$50*(8)+'LINEST VARS'!$S$50*(8)+'LINEST VARS'!$R$50*($CP$8)+'LINEST VARS'!$Q$50*($BX16)+'LINEST VARS'!$P$50*(12.73)+'LINEST VARS'!$O$50*(8^2)+'LINEST VARS'!$N$50*(8^2)+'LINEST VARS'!$M$50*($CP$8^2)+'LINEST VARS'!$L$50*($BX16^2)+'LINEST VARS'!$K$50*(12.73^2)+'LINEST VARS'!$J$50*(8*8)+'LINEST VARS'!$I$50*(8*$CP$8)+'LINEST VARS'!$H$50*(8*$BX16)+'LINEST VARS'!$G$50*(8*12.73)+'LINEST VARS'!$F$50*(8*$CP$8)+'LINEST VARS'!$E$50*(8*$BX16)+'LINEST VARS'!$D$50*(8*12.73)+'LINEST VARS'!$C$50*($CP$8*$BX16)+'LINEST VARS'!$B$50*($CP$8*12.73)+'LINEST VARS'!$A$50*($BX16*12.73)</f>
        <v>331.99999999999989</v>
      </c>
      <c r="CQ16" s="46">
        <f>'LINEST VARS'!$U$50+'LINEST VARS'!$T$50*(8)+'LINEST VARS'!$S$50*(8)+'LINEST VARS'!$R$50*($CQ$8)+'LINEST VARS'!$Q$50*($BX16)+'LINEST VARS'!$P$50*(12.73)+'LINEST VARS'!$O$50*(8^2)+'LINEST VARS'!$N$50*(8^2)+'LINEST VARS'!$M$50*($CQ$8^2)+'LINEST VARS'!$L$50*($BX16^2)+'LINEST VARS'!$K$50*(12.73^2)+'LINEST VARS'!$J$50*(8*8)+'LINEST VARS'!$I$50*(8*$CQ$8)+'LINEST VARS'!$H$50*(8*$BX16)+'LINEST VARS'!$G$50*(8*12.73)+'LINEST VARS'!$F$50*(8*$CQ$8)+'LINEST VARS'!$E$50*(8*$BX16)+'LINEST VARS'!$D$50*(8*12.73)+'LINEST VARS'!$C$50*($CQ$8*$BX16)+'LINEST VARS'!$B$50*($CQ$8*12.73)+'LINEST VARS'!$A$50*($BX16*12.73)</f>
        <v>331.99999999999989</v>
      </c>
      <c r="CR16" s="46">
        <f>'LINEST VARS'!$U$50+'LINEST VARS'!$T$50*(8)+'LINEST VARS'!$S$50*(8)+'LINEST VARS'!$R$50*($CR$8)+'LINEST VARS'!$Q$50*($BX16)+'LINEST VARS'!$P$50*(12.73)+'LINEST VARS'!$O$50*(8^2)+'LINEST VARS'!$N$50*(8^2)+'LINEST VARS'!$M$50*($CR$8^2)+'LINEST VARS'!$L$50*($BX16^2)+'LINEST VARS'!$K$50*(12.73^2)+'LINEST VARS'!$J$50*(8*8)+'LINEST VARS'!$I$50*(8*$CR$8)+'LINEST VARS'!$H$50*(8*$BX16)+'LINEST VARS'!$G$50*(8*12.73)+'LINEST VARS'!$F$50*(8*$CR$8)+'LINEST VARS'!$E$50*(8*$BX16)+'LINEST VARS'!$D$50*(8*12.73)+'LINEST VARS'!$C$50*($CR$8*$BX16)+'LINEST VARS'!$B$50*($CR$8*12.73)+'LINEST VARS'!$A$50*($BX16*12.73)</f>
        <v>331.99999999999989</v>
      </c>
      <c r="CS16" s="47">
        <f>'LINEST VARS'!$U$50+'LINEST VARS'!$T$50*(8)+'LINEST VARS'!$S$50*(8)+'LINEST VARS'!$R$50*($CS$8)+'LINEST VARS'!$Q$50*($BX16)+'LINEST VARS'!$P$50*(12.73)+'LINEST VARS'!$O$50*(8^2)+'LINEST VARS'!$N$50*(8^2)+'LINEST VARS'!$M$50*($CS$8^2)+'LINEST VARS'!$L$50*($BX16^2)+'LINEST VARS'!$K$50*(12.73^2)+'LINEST VARS'!$J$50*(8*8)+'LINEST VARS'!$I$50*(8*$CS$8)+'LINEST VARS'!$H$50*(8*$BX16)+'LINEST VARS'!$G$50*(8*12.73)+'LINEST VARS'!$F$50*(8*$CS$8)+'LINEST VARS'!$E$50*(8*$BX16)+'LINEST VARS'!$D$50*(8*12.73)+'LINEST VARS'!$C$50*($CS$8*$BX16)+'LINEST VARS'!$B$50*($CS$8*12.73)+'LINEST VARS'!$A$50*($BX16*12.73)</f>
        <v>331.99999999999989</v>
      </c>
      <c r="CX16" s="45">
        <v>9.0965000000000007</v>
      </c>
      <c r="CY16" s="46">
        <f>'LINEST VARS'!$U$48+'LINEST VARS'!$T$48*(8)+'LINEST VARS'!$S$48*(8)+'LINEST VARS'!$R$48*($CY$8)+'LINEST VARS'!$Q$48*(0.5)+'LINEST VARS'!$P$48*($CX16)+'LINEST VARS'!$O$48*(8^2)+'LINEST VARS'!$N$48*(8^2)+'LINEST VARS'!$M$48*($CY$8^2)+'LINEST VARS'!$L$48*(0.5^2)+'LINEST VARS'!$K$48*($CX16^2)+'LINEST VARS'!$J$48*(8*8)+'LINEST VARS'!$I$48*(8*$CY$8)+'LINEST VARS'!$H$48*(8*0.5)+'LINEST VARS'!$G$48*(8*$CX16)+'LINEST VARS'!$F$48*(8*$CY$8)+'LINEST VARS'!$E$48*(8*0.5)+'LINEST VARS'!$D$48*(8*$CX16)+'LINEST VARS'!$C$48*($CY$8*0.5)+'LINEST VARS'!$B$48*($CY$8*$CX16)+'LINEST VARS'!$A$48*(0.5*$CX16)</f>
        <v>369.99999999999989</v>
      </c>
      <c r="CZ16" s="46">
        <f>'LINEST VARS'!$U$48+'LINEST VARS'!$T$48*(8)+'LINEST VARS'!$S$48*(8)+'LINEST VARS'!$R$48*($CZ$8)+'LINEST VARS'!$Q$48*(0.5)+'LINEST VARS'!$P$48*($CX16)+'LINEST VARS'!$O$48*(8^2)+'LINEST VARS'!$N$48*(8^2)+'LINEST VARS'!$M$48*($CZ$8^2)+'LINEST VARS'!$L$48*(0.5^2)+'LINEST VARS'!$K$48*($CX16^2)+'LINEST VARS'!$J$48*(8*8)+'LINEST VARS'!$I$48*(8*$CZ$8)+'LINEST VARS'!$H$48*(8*0.5)+'LINEST VARS'!$G$48*(8*$CX16)+'LINEST VARS'!$F$48*(8*$CZ$8)+'LINEST VARS'!$E$48*(8*0.5)+'LINEST VARS'!$D$48*(8*$CX16)+'LINEST VARS'!$C$48*($CZ$8*0.5)+'LINEST VARS'!$B$48*($CZ$8*$CX16)+'LINEST VARS'!$A$48*(0.5*$CX16)</f>
        <v>369.99999999999989</v>
      </c>
      <c r="DA16" s="46">
        <f>'LINEST VARS'!$U$48+'LINEST VARS'!$T$48*(8)+'LINEST VARS'!$S$48*(8)+'LINEST VARS'!$R$48*($DA$8)+'LINEST VARS'!$Q$48*(0.5)+'LINEST VARS'!$P$48*($CX16)+'LINEST VARS'!$O$48*(8^2)+'LINEST VARS'!$N$48*(8^2)+'LINEST VARS'!$M$48*($DA$8^2)+'LINEST VARS'!$L$48*(0.5^2)+'LINEST VARS'!$K$48*($CX16^2)+'LINEST VARS'!$J$48*(8*8)+'LINEST VARS'!$I$48*(8*$DA$8)+'LINEST VARS'!$H$48*(8*0.5)+'LINEST VARS'!$G$48*(8*$CX16)+'LINEST VARS'!$F$48*(8*$DA$8)+'LINEST VARS'!$E$48*(8*0.5)+'LINEST VARS'!$D$48*(8*$CX16)+'LINEST VARS'!$C$48*($DA$8*0.5)+'LINEST VARS'!$B$48*($DA$8*$CX16)+'LINEST VARS'!$A$48*(0.5*$CX16)</f>
        <v>369.99999999999989</v>
      </c>
      <c r="DB16" s="46">
        <f>'LINEST VARS'!$U$48+'LINEST VARS'!$T$48*(8)+'LINEST VARS'!$S$48*(8)+'LINEST VARS'!$R$48*($DB$8)+'LINEST VARS'!$Q$48*(0.5)+'LINEST VARS'!$P$48*($CX16)+'LINEST VARS'!$O$48*(8^2)+'LINEST VARS'!$N$48*(8^2)+'LINEST VARS'!$M$48*($DB$8^2)+'LINEST VARS'!$L$48*(0.5^2)+'LINEST VARS'!$K$48*($CX16^2)+'LINEST VARS'!$J$48*(8*8)+'LINEST VARS'!$I$48*(8*$DB$8)+'LINEST VARS'!$H$48*(8*0.5)+'LINEST VARS'!$G$48*(8*$CX16)+'LINEST VARS'!$F$48*(8*$DB$8)+'LINEST VARS'!$E$48*(8*0.5)+'LINEST VARS'!$D$48*(8*$CX16)+'LINEST VARS'!$C$48*($DB$8*0.5)+'LINEST VARS'!$B$48*($DB$8*$CX16)+'LINEST VARS'!$A$48*(0.5*$CX16)</f>
        <v>369.99999999999989</v>
      </c>
      <c r="DC16" s="46">
        <f>'LINEST VARS'!$U$48+'LINEST VARS'!$T$48*(8)+'LINEST VARS'!$S$48*(8)+'LINEST VARS'!$R$48*($DC$8)+'LINEST VARS'!$Q$48*(0.5)+'LINEST VARS'!$P$48*($CX16)+'LINEST VARS'!$O$48*(8^2)+'LINEST VARS'!$N$48*(8^2)+'LINEST VARS'!$M$48*($DC$8^2)+'LINEST VARS'!$L$48*(0.5^2)+'LINEST VARS'!$K$48*($CX16^2)+'LINEST VARS'!$J$48*(8*8)+'LINEST VARS'!$I$48*(8*$DC$8)+'LINEST VARS'!$H$48*(8*0.5)+'LINEST VARS'!$G$48*(8*$CX16)+'LINEST VARS'!$F$48*(8*$DC$8)+'LINEST VARS'!$E$48*(8*0.5)+'LINEST VARS'!$D$48*(8*$CX16)+'LINEST VARS'!$C$48*($DC$8*0.5)+'LINEST VARS'!$B$48*($DC$8*$CX16)+'LINEST VARS'!$A$48*(0.5*$CX16)</f>
        <v>369.99999999999989</v>
      </c>
      <c r="DD16" s="46">
        <f>'LINEST VARS'!$U$48+'LINEST VARS'!$T$48*(8)+'LINEST VARS'!$S$48*(8)+'LINEST VARS'!$R$48*($DD$8)+'LINEST VARS'!$Q$48*(0.5)+'LINEST VARS'!$P$48*($CX16)+'LINEST VARS'!$O$48*(8^2)+'LINEST VARS'!$N$48*(8^2)+'LINEST VARS'!$M$48*($DD$8^2)+'LINEST VARS'!$L$48*(0.5^2)+'LINEST VARS'!$K$48*($CX16^2)+'LINEST VARS'!$J$48*(8*8)+'LINEST VARS'!$I$48*(8*$DD$8)+'LINEST VARS'!$H$48*(8*0.5)+'LINEST VARS'!$G$48*(8*$CX16)+'LINEST VARS'!$F$48*(8*$DD$8)+'LINEST VARS'!$E$48*(8*0.5)+'LINEST VARS'!$D$48*(8*$CX16)+'LINEST VARS'!$C$48*($DD$8*0.5)+'LINEST VARS'!$B$48*($DD$8*$CX16)+'LINEST VARS'!$A$48*(0.5*$CX16)</f>
        <v>369.99999999999989</v>
      </c>
      <c r="DE16" s="46">
        <f>'LINEST VARS'!$U$48+'LINEST VARS'!$T$48*(8)+'LINEST VARS'!$S$48*(8)+'LINEST VARS'!$R$48*($DE$8)+'LINEST VARS'!$Q$48*(0.5)+'LINEST VARS'!$P$48*($CX16)+'LINEST VARS'!$O$48*(8^2)+'LINEST VARS'!$N$48*(8^2)+'LINEST VARS'!$M$48*($DE$8^2)+'LINEST VARS'!$L$48*(0.5^2)+'LINEST VARS'!$K$48*($CX16^2)+'LINEST VARS'!$J$48*(8*8)+'LINEST VARS'!$I$48*(8*$DE$8)+'LINEST VARS'!$H$48*(8*0.5)+'LINEST VARS'!$G$48*(8*$CX16)+'LINEST VARS'!$F$48*(8*$DE$8)+'LINEST VARS'!$E$48*(8*0.5)+'LINEST VARS'!$D$48*(8*$CX16)+'LINEST VARS'!$C$48*($DE$8*0.5)+'LINEST VARS'!$B$48*($DE$8*$CX16)+'LINEST VARS'!$A$48*(0.5*$CX16)</f>
        <v>369.99999999999989</v>
      </c>
      <c r="DF16" s="46">
        <f>'LINEST VARS'!$U$48+'LINEST VARS'!$T$48*(8)+'LINEST VARS'!$S$48*(8)+'LINEST VARS'!$R$48*($DF$8)+'LINEST VARS'!$Q$48*(0.5)+'LINEST VARS'!$P$48*($CX16)+'LINEST VARS'!$O$48*(8^2)+'LINEST VARS'!$N$48*(8^2)+'LINEST VARS'!$M$48*($DF$8^2)+'LINEST VARS'!$L$48*(0.5^2)+'LINEST VARS'!$K$48*($CX16^2)+'LINEST VARS'!$J$48*(8*8)+'LINEST VARS'!$I$48*(8*$DF$8)+'LINEST VARS'!$H$48*(8*0.5)+'LINEST VARS'!$G$48*(8*$CX16)+'LINEST VARS'!$F$48*(8*$DF$8)+'LINEST VARS'!$E$48*(8*0.5)+'LINEST VARS'!$D$48*(8*$CX16)+'LINEST VARS'!$C$48*($DF$8*0.5)+'LINEST VARS'!$B$48*($DF$8*$CX16)+'LINEST VARS'!$A$48*(0.5*$CX16)</f>
        <v>369.99999999999989</v>
      </c>
      <c r="DG16" s="46">
        <f>'LINEST VARS'!$U$48+'LINEST VARS'!$T$48*(8)+'LINEST VARS'!$S$48*(8)+'LINEST VARS'!$R$48*($DG$8)+'LINEST VARS'!$Q$48*(0.5)+'LINEST VARS'!$P$48*($CX16)+'LINEST VARS'!$O$48*(8^2)+'LINEST VARS'!$N$48*(8^2)+'LINEST VARS'!$M$48*($DG$8^2)+'LINEST VARS'!$L$48*(0.5^2)+'LINEST VARS'!$K$48*($CX16^2)+'LINEST VARS'!$J$48*(8*8)+'LINEST VARS'!$I$48*(8*$DG$8)+'LINEST VARS'!$H$48*(8*0.5)+'LINEST VARS'!$G$48*(8*$CX16)+'LINEST VARS'!$F$48*(8*$DG$8)+'LINEST VARS'!$E$48*(8*0.5)+'LINEST VARS'!$D$48*(8*$CX16)+'LINEST VARS'!$C$48*($DG$8*0.5)+'LINEST VARS'!$B$48*($DG$8*$CX16)+'LINEST VARS'!$A$48*(0.5*$CX16)</f>
        <v>369.99999999999989</v>
      </c>
      <c r="DH16" s="46">
        <f>'LINEST VARS'!$U$48+'LINEST VARS'!$T$48*(8)+'LINEST VARS'!$S$48*(8)+'LINEST VARS'!$R$48*($DH$8)+'LINEST VARS'!$Q$48*(0.5)+'LINEST VARS'!$P$48*($CX16)+'LINEST VARS'!$O$48*(8^2)+'LINEST VARS'!$N$48*(8^2)+'LINEST VARS'!$M$48*($DH$8^2)+'LINEST VARS'!$L$48*(0.5^2)+'LINEST VARS'!$K$48*($CX16^2)+'LINEST VARS'!$J$48*(8*8)+'LINEST VARS'!$I$48*(8*$DH$8)+'LINEST VARS'!$H$48*(8*0.5)+'LINEST VARS'!$G$48*(8*$CX16)+'LINEST VARS'!$F$48*(8*$DH$8)+'LINEST VARS'!$E$48*(8*0.5)+'LINEST VARS'!$D$48*(8*$CX16)+'LINEST VARS'!$C$48*($DH$8*0.5)+'LINEST VARS'!$B$48*($DH$8*$CX16)+'LINEST VARS'!$A$48*(0.5*$CX16)</f>
        <v>369.99999999999989</v>
      </c>
      <c r="DI16" s="46">
        <f>'LINEST VARS'!$U$48+'LINEST VARS'!$T$48*(8)+'LINEST VARS'!$S$48*(8)+'LINEST VARS'!$R$48*($DI$8)+'LINEST VARS'!$Q$48*(0.5)+'LINEST VARS'!$P$48*($CX16)+'LINEST VARS'!$O$48*(8^2)+'LINEST VARS'!$N$48*(8^2)+'LINEST VARS'!$M$48*($DI$8^2)+'LINEST VARS'!$L$48*(0.5^2)+'LINEST VARS'!$K$48*($CX16^2)+'LINEST VARS'!$J$48*(8*8)+'LINEST VARS'!$I$48*(8*$DI$8)+'LINEST VARS'!$H$48*(8*0.5)+'LINEST VARS'!$G$48*(8*$CX16)+'LINEST VARS'!$F$48*(8*$DI$8)+'LINEST VARS'!$E$48*(8*0.5)+'LINEST VARS'!$D$48*(8*$CX16)+'LINEST VARS'!$C$48*($DI$8*0.5)+'LINEST VARS'!$B$48*($DI$8*$CX16)+'LINEST VARS'!$A$48*(0.5*$CX16)</f>
        <v>369.99999999999989</v>
      </c>
      <c r="DJ16" s="46">
        <f>'LINEST VARS'!$U$48+'LINEST VARS'!$T$48*(8)+'LINEST VARS'!$S$48*(8)+'LINEST VARS'!$R$48*($DJ$8)+'LINEST VARS'!$Q$48*(0.5)+'LINEST VARS'!$P$48*($CX16)+'LINEST VARS'!$O$48*(8^2)+'LINEST VARS'!$N$48*(8^2)+'LINEST VARS'!$M$48*($DJ$8^2)+'LINEST VARS'!$L$48*(0.5^2)+'LINEST VARS'!$K$48*($CX16^2)+'LINEST VARS'!$J$48*(8*8)+'LINEST VARS'!$I$48*(8*$DJ$8)+'LINEST VARS'!$H$48*(8*0.5)+'LINEST VARS'!$G$48*(8*$CX16)+'LINEST VARS'!$F$48*(8*$DJ$8)+'LINEST VARS'!$E$48*(8*0.5)+'LINEST VARS'!$D$48*(8*$CX16)+'LINEST VARS'!$C$48*($DJ$8*0.5)+'LINEST VARS'!$B$48*($DJ$8*$CX16)+'LINEST VARS'!$A$48*(0.5*$CX16)</f>
        <v>369.99999999999989</v>
      </c>
      <c r="DK16" s="46">
        <f>'LINEST VARS'!$U$48+'LINEST VARS'!$T$48*(8)+'LINEST VARS'!$S$48*(8)+'LINEST VARS'!$R$48*($DK$8)+'LINEST VARS'!$Q$48*(0.5)+'LINEST VARS'!$P$48*($CX16)+'LINEST VARS'!$O$48*(8^2)+'LINEST VARS'!$N$48*(8^2)+'LINEST VARS'!$M$48*($DK$8^2)+'LINEST VARS'!$L$48*(0.5^2)+'LINEST VARS'!$K$48*($CX16^2)+'LINEST VARS'!$J$48*(8*8)+'LINEST VARS'!$I$48*(8*$DK$8)+'LINEST VARS'!$H$48*(8*0.5)+'LINEST VARS'!$G$48*(8*$CX16)+'LINEST VARS'!$F$48*(8*$DK$8)+'LINEST VARS'!$E$48*(8*0.5)+'LINEST VARS'!$D$48*(8*$CX16)+'LINEST VARS'!$C$48*($DK$8*0.5)+'LINEST VARS'!$B$48*($DK$8*$CX16)+'LINEST VARS'!$A$48*(0.5*$CX16)</f>
        <v>369.99999999999989</v>
      </c>
      <c r="DL16" s="46">
        <f>'LINEST VARS'!$U$48+'LINEST VARS'!$T$48*(8)+'LINEST VARS'!$S$48*(8)+'LINEST VARS'!$R$48*($DL$8)+'LINEST VARS'!$Q$48*(0.5)+'LINEST VARS'!$P$48*($CX16)+'LINEST VARS'!$O$48*(8^2)+'LINEST VARS'!$N$48*(8^2)+'LINEST VARS'!$M$48*($DL$8^2)+'LINEST VARS'!$L$48*(0.5^2)+'LINEST VARS'!$K$48*($CX16^2)+'LINEST VARS'!$J$48*(8*8)+'LINEST VARS'!$I$48*(8*$DL$8)+'LINEST VARS'!$H$48*(8*0.5)+'LINEST VARS'!$G$48*(8*$CX16)+'LINEST VARS'!$F$48*(8*$DL$8)+'LINEST VARS'!$E$48*(8*0.5)+'LINEST VARS'!$D$48*(8*$CX16)+'LINEST VARS'!$C$48*($DL$8*0.5)+'LINEST VARS'!$B$48*($DL$8*$CX16)+'LINEST VARS'!$A$48*(0.5*$CX16)</f>
        <v>369.99999999999994</v>
      </c>
      <c r="DM16" s="46">
        <f>'LINEST VARS'!$U$48+'LINEST VARS'!$T$48*(8)+'LINEST VARS'!$S$48*(8)+'LINEST VARS'!$R$48*($DM$8)+'LINEST VARS'!$Q$48*(0.5)+'LINEST VARS'!$P$48*($CX16)+'LINEST VARS'!$O$48*(8^2)+'LINEST VARS'!$N$48*(8^2)+'LINEST VARS'!$M$48*($DM$8^2)+'LINEST VARS'!$L$48*(0.5^2)+'LINEST VARS'!$K$48*($CX16^2)+'LINEST VARS'!$J$48*(8*8)+'LINEST VARS'!$I$48*(8*$DM$8)+'LINEST VARS'!$H$48*(8*0.5)+'LINEST VARS'!$G$48*(8*$CX16)+'LINEST VARS'!$F$48*(8*$DM$8)+'LINEST VARS'!$E$48*(8*0.5)+'LINEST VARS'!$D$48*(8*$CX16)+'LINEST VARS'!$C$48*($DM$8*0.5)+'LINEST VARS'!$B$48*($DM$8*$CX16)+'LINEST VARS'!$A$48*(0.5*$CX16)</f>
        <v>369.99999999999994</v>
      </c>
      <c r="DN16" s="46">
        <f>'LINEST VARS'!$U$48+'LINEST VARS'!$T$48*(8)+'LINEST VARS'!$S$48*(8)+'LINEST VARS'!$R$48*($DN$8)+'LINEST VARS'!$Q$48*(0.5)+'LINEST VARS'!$P$48*($CX16)+'LINEST VARS'!$O$48*(8^2)+'LINEST VARS'!$N$48*(8^2)+'LINEST VARS'!$M$48*($DN$8^2)+'LINEST VARS'!$L$48*(0.5^2)+'LINEST VARS'!$K$48*($CX16^2)+'LINEST VARS'!$J$48*(8*8)+'LINEST VARS'!$I$48*(8*$DN$8)+'LINEST VARS'!$H$48*(8*0.5)+'LINEST VARS'!$G$48*(8*$CX16)+'LINEST VARS'!$F$48*(8*$DN$8)+'LINEST VARS'!$E$48*(8*0.5)+'LINEST VARS'!$D$48*(8*$CX16)+'LINEST VARS'!$C$48*($DN$8*0.5)+'LINEST VARS'!$B$48*($DN$8*$CX16)+'LINEST VARS'!$A$48*(0.5*$CX16)</f>
        <v>369.99999999999994</v>
      </c>
      <c r="DO16" s="46">
        <f>'LINEST VARS'!$U$48+'LINEST VARS'!$T$48*(8)+'LINEST VARS'!$S$48*(8)+'LINEST VARS'!$R$48*($DO$8)+'LINEST VARS'!$Q$48*(0.5)+'LINEST VARS'!$P$48*($CX16)+'LINEST VARS'!$O$48*(8^2)+'LINEST VARS'!$N$48*(8^2)+'LINEST VARS'!$M$48*($DO$8^2)+'LINEST VARS'!$L$48*(0.5^2)+'LINEST VARS'!$K$48*($CX16^2)+'LINEST VARS'!$J$48*(8*8)+'LINEST VARS'!$I$48*(8*$DO$8)+'LINEST VARS'!$H$48*(8*0.5)+'LINEST VARS'!$G$48*(8*$CX16)+'LINEST VARS'!$F$48*(8*$DO$8)+'LINEST VARS'!$E$48*(8*0.5)+'LINEST VARS'!$D$48*(8*$CX16)+'LINEST VARS'!$C$48*($DO$8*0.5)+'LINEST VARS'!$B$48*($DO$8*$CX16)+'LINEST VARS'!$A$48*(0.5*$CX16)</f>
        <v>369.99999999999989</v>
      </c>
      <c r="DP16" s="46">
        <f>'LINEST VARS'!$U$48+'LINEST VARS'!$T$48*(8)+'LINEST VARS'!$S$48*(8)+'LINEST VARS'!$R$48*($DP$8)+'LINEST VARS'!$Q$48*(0.5)+'LINEST VARS'!$P$48*($CX16)+'LINEST VARS'!$O$48*(8^2)+'LINEST VARS'!$N$48*(8^2)+'LINEST VARS'!$M$48*($DP$8^2)+'LINEST VARS'!$L$48*(0.5^2)+'LINEST VARS'!$K$48*($CX16^2)+'LINEST VARS'!$J$48*(8*8)+'LINEST VARS'!$I$48*(8*$DP$8)+'LINEST VARS'!$H$48*(8*0.5)+'LINEST VARS'!$G$48*(8*$CX16)+'LINEST VARS'!$F$48*(8*$DP$8)+'LINEST VARS'!$E$48*(8*0.5)+'LINEST VARS'!$D$48*(8*$CX16)+'LINEST VARS'!$C$48*($DP$8*0.5)+'LINEST VARS'!$B$48*($DP$8*$CX16)+'LINEST VARS'!$A$48*(0.5*$CX16)</f>
        <v>369.99999999999989</v>
      </c>
      <c r="DQ16" s="46">
        <f>'LINEST VARS'!$U$48+'LINEST VARS'!$T$48*(8)+'LINEST VARS'!$S$48*(8)+'LINEST VARS'!$R$48*($DQ$8)+'LINEST VARS'!$Q$48*(0.5)+'LINEST VARS'!$P$48*($CX16)+'LINEST VARS'!$O$48*(8^2)+'LINEST VARS'!$N$48*(8^2)+'LINEST VARS'!$M$48*($DQ$8^2)+'LINEST VARS'!$L$48*(0.5^2)+'LINEST VARS'!$K$48*($CX16^2)+'LINEST VARS'!$J$48*(8*8)+'LINEST VARS'!$I$48*(8*$DQ$8)+'LINEST VARS'!$H$48*(8*0.5)+'LINEST VARS'!$G$48*(8*$CX16)+'LINEST VARS'!$F$48*(8*$DQ$8)+'LINEST VARS'!$E$48*(8*0.5)+'LINEST VARS'!$D$48*(8*$CX16)+'LINEST VARS'!$C$48*($DQ$8*0.5)+'LINEST VARS'!$B$48*($DQ$8*$CX16)+'LINEST VARS'!$A$48*(0.5*$CX16)</f>
        <v>369.99999999999989</v>
      </c>
      <c r="DR16" s="46">
        <f>'LINEST VARS'!$U$48+'LINEST VARS'!$T$48*(8)+'LINEST VARS'!$S$48*(8)+'LINEST VARS'!$R$48*($DR$8)+'LINEST VARS'!$Q$48*(0.5)+'LINEST VARS'!$P$48*($CX16)+'LINEST VARS'!$O$48*(8^2)+'LINEST VARS'!$N$48*(8^2)+'LINEST VARS'!$M$48*($DR$8^2)+'LINEST VARS'!$L$48*(0.5^2)+'LINEST VARS'!$K$48*($CX16^2)+'LINEST VARS'!$J$48*(8*8)+'LINEST VARS'!$I$48*(8*$DR$8)+'LINEST VARS'!$H$48*(8*0.5)+'LINEST VARS'!$G$48*(8*$CX16)+'LINEST VARS'!$F$48*(8*$DR$8)+'LINEST VARS'!$E$48*(8*0.5)+'LINEST VARS'!$D$48*(8*$CX16)+'LINEST VARS'!$C$48*($DR$8*0.5)+'LINEST VARS'!$B$48*($DR$8*$CX16)+'LINEST VARS'!$A$48*(0.5*$CX16)</f>
        <v>369.99999999999983</v>
      </c>
      <c r="DS16" s="47">
        <f>'LINEST VARS'!$U$48+'LINEST VARS'!$T$48*(8)+'LINEST VARS'!$S$48*(8)+'LINEST VARS'!$R$48*($DS$8)+'LINEST VARS'!$Q$48*(0.5)+'LINEST VARS'!$P$48*($CX16)+'LINEST VARS'!$O$48*(8^2)+'LINEST VARS'!$N$48*(8^2)+'LINEST VARS'!$M$48*($DS$8^2)+'LINEST VARS'!$L$48*(0.5^2)+'LINEST VARS'!$K$48*($CX16^2)+'LINEST VARS'!$J$48*(8*8)+'LINEST VARS'!$I$48*(8*$DS$8)+'LINEST VARS'!$H$48*(8*0.5)+'LINEST VARS'!$G$48*(8*$CX16)+'LINEST VARS'!$F$48*(8*$DS$8)+'LINEST VARS'!$E$48*(8*0.5)+'LINEST VARS'!$D$48*(8*$CX16)+'LINEST VARS'!$C$48*($DS$8*0.5)+'LINEST VARS'!$B$48*($DS$8*$CX16)+'LINEST VARS'!$A$48*(0.5*$CX16)</f>
        <v>369.99999999999983</v>
      </c>
      <c r="DV16" s="45">
        <v>9.0965000000000007</v>
      </c>
      <c r="DW16" s="46">
        <f>'LINEST VARS'!$U$50+'LINEST VARS'!$T$50*(8)+'LINEST VARS'!$S$50*(8)+'LINEST VARS'!$R$50*($DW$8)+'LINEST VARS'!$Q$50*(0.5)+'LINEST VARS'!$P$50*($DV16)+'LINEST VARS'!$O$50*(8^2)+'LINEST VARS'!$N$50*(8^2)+'LINEST VARS'!$M$50*($DW$8^2)+'LINEST VARS'!$L$50*(0.5^2)+'LINEST VARS'!$K$50*($DV16^2)+'LINEST VARS'!$J$50*(8*8)+'LINEST VARS'!$I$50*(8*$DW$8)+'LINEST VARS'!$H$50*(8*0.5)+'LINEST VARS'!$G$50*(8*$DV16)+'LINEST VARS'!$F$50*(8*$DW$8)+'LINEST VARS'!$E$50*(8*0.5)+'LINEST VARS'!$D$50*(8*$DV16)+'LINEST VARS'!$C$50*($DW$8*0.5)+'LINEST VARS'!$B$50*($DW$8*$DV16)+'LINEST VARS'!$A$50*(0.5*$DV16)</f>
        <v>331.99999999999989</v>
      </c>
      <c r="DX16" s="46">
        <f>'LINEST VARS'!$U$50+'LINEST VARS'!$T$50*(8)+'LINEST VARS'!$S$50*(8)+'LINEST VARS'!$R$50*($DX$8)+'LINEST VARS'!$Q$50*(0.5)+'LINEST VARS'!$P$50*($DV16)+'LINEST VARS'!$O$50*(8^2)+'LINEST VARS'!$N$50*(8^2)+'LINEST VARS'!$M$50*($DX$8^2)+'LINEST VARS'!$L$50*(0.5^2)+'LINEST VARS'!$K$50*($DV16^2)+'LINEST VARS'!$J$50*(8*8)+'LINEST VARS'!$I$50*(8*$DX$8)+'LINEST VARS'!$H$50*(8*0.5)+'LINEST VARS'!$G$50*(8*$DV16)+'LINEST VARS'!$F$50*(8*$DX$8)+'LINEST VARS'!$E$50*(8*0.5)+'LINEST VARS'!$D$50*(8*$DV16)+'LINEST VARS'!$C$50*($DX$8*0.5)+'LINEST VARS'!$B$50*($DX$8*$DV16)+'LINEST VARS'!$A$50*(0.5*$DV16)</f>
        <v>331.99999999999989</v>
      </c>
      <c r="DY16" s="46">
        <f>'LINEST VARS'!$U$50+'LINEST VARS'!$T$50*(8)+'LINEST VARS'!$S$50*(8)+'LINEST VARS'!$R$50*($DY$8)+'LINEST VARS'!$Q$50*(0.5)+'LINEST VARS'!$P$50*($DV16)+'LINEST VARS'!$O$50*(8^2)+'LINEST VARS'!$N$50*(8^2)+'LINEST VARS'!$M$50*($DY$8^2)+'LINEST VARS'!$L$50*(0.5^2)+'LINEST VARS'!$K$50*($DV16^2)+'LINEST VARS'!$J$50*(8*8)+'LINEST VARS'!$I$50*(8*$DY$8)+'LINEST VARS'!$H$50*(8*0.5)+'LINEST VARS'!$G$50*(8*$DV16)+'LINEST VARS'!$F$50*(8*$DY$8)+'LINEST VARS'!$E$50*(8*0.5)+'LINEST VARS'!$D$50*(8*$DV16)+'LINEST VARS'!$C$50*($DY$8*0.5)+'LINEST VARS'!$B$50*($DY$8*$DV16)+'LINEST VARS'!$A$50*(0.5*$DV16)</f>
        <v>331.99999999999989</v>
      </c>
      <c r="DZ16" s="46">
        <f>'LINEST VARS'!$U$50+'LINEST VARS'!$T$50*(8)+'LINEST VARS'!$S$50*(8)+'LINEST VARS'!$R$50*($DZ$8)+'LINEST VARS'!$Q$50*(0.5)+'LINEST VARS'!$P$50*($DV16)+'LINEST VARS'!$O$50*(8^2)+'LINEST VARS'!$N$50*(8^2)+'LINEST VARS'!$M$50*($DZ$8^2)+'LINEST VARS'!$L$50*(0.5^2)+'LINEST VARS'!$K$50*($DV16^2)+'LINEST VARS'!$J$50*(8*8)+'LINEST VARS'!$I$50*(8*$DZ$8)+'LINEST VARS'!$H$50*(8*0.5)+'LINEST VARS'!$G$50*(8*$DV16)+'LINEST VARS'!$F$50*(8*$DZ$8)+'LINEST VARS'!$E$50*(8*0.5)+'LINEST VARS'!$D$50*(8*$DV16)+'LINEST VARS'!$C$50*($DZ$8*0.5)+'LINEST VARS'!$B$50*($DZ$8*$DV16)+'LINEST VARS'!$A$50*(0.5*$DV16)</f>
        <v>331.99999999999989</v>
      </c>
      <c r="EA16" s="46">
        <f>'LINEST VARS'!$U$50+'LINEST VARS'!$T$50*(8)+'LINEST VARS'!$S$50*(8)+'LINEST VARS'!$R$50*($EA$8)+'LINEST VARS'!$Q$50*(0.5)+'LINEST VARS'!$P$50*($DV16)+'LINEST VARS'!$O$50*(8^2)+'LINEST VARS'!$N$50*(8^2)+'LINEST VARS'!$M$50*($EA$8^2)+'LINEST VARS'!$L$50*(0.5^2)+'LINEST VARS'!$K$50*($DV16^2)+'LINEST VARS'!$J$50*(8*8)+'LINEST VARS'!$I$50*(8*$EA$8)+'LINEST VARS'!$H$50*(8*0.5)+'LINEST VARS'!$G$50*(8*$DV16)+'LINEST VARS'!$F$50*(8*$EA$8)+'LINEST VARS'!$E$50*(8*0.5)+'LINEST VARS'!$D$50*(8*$DV16)+'LINEST VARS'!$C$50*($EA$8*0.5)+'LINEST VARS'!$B$50*($EA$8*$DV16)+'LINEST VARS'!$A$50*(0.5*$DV16)</f>
        <v>331.99999999999989</v>
      </c>
      <c r="EB16" s="46">
        <f>'LINEST VARS'!$U$50+'LINEST VARS'!$T$50*(8)+'LINEST VARS'!$S$50*(8)+'LINEST VARS'!$R$50*($EB$8)+'LINEST VARS'!$Q$50*(0.5)+'LINEST VARS'!$P$50*($DV16)+'LINEST VARS'!$O$50*(8^2)+'LINEST VARS'!$N$50*(8^2)+'LINEST VARS'!$M$50*($EB$8^2)+'LINEST VARS'!$L$50*(0.5^2)+'LINEST VARS'!$K$50*($DV16^2)+'LINEST VARS'!$J$50*(8*8)+'LINEST VARS'!$I$50*(8*$EB$8)+'LINEST VARS'!$H$50*(8*0.5)+'LINEST VARS'!$G$50*(8*$DV16)+'LINEST VARS'!$F$50*(8*$EB$8)+'LINEST VARS'!$E$50*(8*0.5)+'LINEST VARS'!$D$50*(8*$DV16)+'LINEST VARS'!$C$50*($EB$8*0.5)+'LINEST VARS'!$B$50*($EB$8*$DV16)+'LINEST VARS'!$A$50*(0.5*$DV16)</f>
        <v>331.99999999999989</v>
      </c>
      <c r="EC16" s="46">
        <f>'LINEST VARS'!$U$50+'LINEST VARS'!$T$50*(8)+'LINEST VARS'!$S$50*(8)+'LINEST VARS'!$R$50*($EC$8)+'LINEST VARS'!$Q$50*(0.5)+'LINEST VARS'!$P$50*($DV16)+'LINEST VARS'!$O$50*(8^2)+'LINEST VARS'!$N$50*(8^2)+'LINEST VARS'!$M$50*($EC$8^2)+'LINEST VARS'!$L$50*(0.5^2)+'LINEST VARS'!$K$50*($DV16^2)+'LINEST VARS'!$J$50*(8*8)+'LINEST VARS'!$I$50*(8*$EC$8)+'LINEST VARS'!$H$50*(8*0.5)+'LINEST VARS'!$G$50*(8*$DV16)+'LINEST VARS'!$F$50*(8*$EC$8)+'LINEST VARS'!$E$50*(8*0.5)+'LINEST VARS'!$D$50*(8*$DV16)+'LINEST VARS'!$C$50*($EC$8*0.5)+'LINEST VARS'!$B$50*($EC$8*$DV16)+'LINEST VARS'!$A$50*(0.5*$DV16)</f>
        <v>331.99999999999989</v>
      </c>
      <c r="ED16" s="46">
        <f>'LINEST VARS'!$U$50+'LINEST VARS'!$T$50*(8)+'LINEST VARS'!$S$50*(8)+'LINEST VARS'!$R$50*($ED$8)+'LINEST VARS'!$Q$50*(0.5)+'LINEST VARS'!$P$50*($DV16)+'LINEST VARS'!$O$50*(8^2)+'LINEST VARS'!$N$50*(8^2)+'LINEST VARS'!$M$50*($ED$8^2)+'LINEST VARS'!$L$50*(0.5^2)+'LINEST VARS'!$K$50*($DV16^2)+'LINEST VARS'!$J$50*(8*8)+'LINEST VARS'!$I$50*(8*$ED$8)+'LINEST VARS'!$H$50*(8*0.5)+'LINEST VARS'!$G$50*(8*$DV16)+'LINEST VARS'!$F$50*(8*$ED$8)+'LINEST VARS'!$E$50*(8*0.5)+'LINEST VARS'!$D$50*(8*$DV16)+'LINEST VARS'!$C$50*($ED$8*0.5)+'LINEST VARS'!$B$50*($ED$8*$DV16)+'LINEST VARS'!$A$50*(0.5*$DV16)</f>
        <v>331.99999999999989</v>
      </c>
      <c r="EE16" s="46">
        <f>'LINEST VARS'!$U$50+'LINEST VARS'!$T$50*(8)+'LINEST VARS'!$S$50*(8)+'LINEST VARS'!$R$50*($EE$8)+'LINEST VARS'!$Q$50*(0.5)+'LINEST VARS'!$P$50*($DV16)+'LINEST VARS'!$O$50*(8^2)+'LINEST VARS'!$N$50*(8^2)+'LINEST VARS'!$M$50*($EE$8^2)+'LINEST VARS'!$L$50*(0.5^2)+'LINEST VARS'!$K$50*($DV16^2)+'LINEST VARS'!$J$50*(8*8)+'LINEST VARS'!$I$50*(8*$EE$8)+'LINEST VARS'!$H$50*(8*0.5)+'LINEST VARS'!$G$50*(8*$DV16)+'LINEST VARS'!$F$50*(8*$EE$8)+'LINEST VARS'!$E$50*(8*0.5)+'LINEST VARS'!$D$50*(8*$DV16)+'LINEST VARS'!$C$50*($EE$8*0.5)+'LINEST VARS'!$B$50*($EE$8*$DV16)+'LINEST VARS'!$A$50*(0.5*$DV16)</f>
        <v>331.99999999999989</v>
      </c>
      <c r="EF16" s="46">
        <f>'LINEST VARS'!$U$50+'LINEST VARS'!$T$50*(8)+'LINEST VARS'!$S$50*(8)+'LINEST VARS'!$R$50*($EF$8)+'LINEST VARS'!$Q$50*(0.5)+'LINEST VARS'!$P$50*($DV16)+'LINEST VARS'!$O$50*(8^2)+'LINEST VARS'!$N$50*(8^2)+'LINEST VARS'!$M$50*($EF$8^2)+'LINEST VARS'!$L$50*(0.5^2)+'LINEST VARS'!$K$50*($DV16^2)+'LINEST VARS'!$J$50*(8*8)+'LINEST VARS'!$I$50*(8*$EF$8)+'LINEST VARS'!$H$50*(8*0.5)+'LINEST VARS'!$G$50*(8*$DV16)+'LINEST VARS'!$F$50*(8*$EF$8)+'LINEST VARS'!$E$50*(8*0.5)+'LINEST VARS'!$D$50*(8*$DV16)+'LINEST VARS'!$C$50*($EF$8*0.5)+'LINEST VARS'!$B$50*($EF$8*$DV16)+'LINEST VARS'!$A$50*(0.5*$DV16)</f>
        <v>331.99999999999989</v>
      </c>
      <c r="EG16" s="46">
        <f>'LINEST VARS'!$U$50+'LINEST VARS'!$T$50*(8)+'LINEST VARS'!$S$50*(8)+'LINEST VARS'!$R$50*($EG$8)+'LINEST VARS'!$Q$50*(0.5)+'LINEST VARS'!$P$50*($DV16)+'LINEST VARS'!$O$50*(8^2)+'LINEST VARS'!$N$50*(8^2)+'LINEST VARS'!$M$50*($EG$8^2)+'LINEST VARS'!$L$50*(0.5^2)+'LINEST VARS'!$K$50*($DV16^2)+'LINEST VARS'!$J$50*(8*8)+'LINEST VARS'!$I$50*(8*$EG$8)+'LINEST VARS'!$H$50*(8*0.5)+'LINEST VARS'!$G$50*(8*$DV16)+'LINEST VARS'!$F$50*(8*$EG$8)+'LINEST VARS'!$E$50*(8*0.5)+'LINEST VARS'!$D$50*(8*$DV16)+'LINEST VARS'!$C$50*($EG$8*0.5)+'LINEST VARS'!$B$50*($EG$8*$DV16)+'LINEST VARS'!$A$50*(0.5*$DV16)</f>
        <v>331.99999999999989</v>
      </c>
      <c r="EH16" s="46">
        <f>'LINEST VARS'!$U$50+'LINEST VARS'!$T$50*(8)+'LINEST VARS'!$S$50*(8)+'LINEST VARS'!$R$50*($EH$8)+'LINEST VARS'!$Q$50*(0.5)+'LINEST VARS'!$P$50*($DV16)+'LINEST VARS'!$O$50*(8^2)+'LINEST VARS'!$N$50*(8^2)+'LINEST VARS'!$M$50*($EH$8^2)+'LINEST VARS'!$L$50*(0.5^2)+'LINEST VARS'!$K$50*($DV16^2)+'LINEST VARS'!$J$50*(8*8)+'LINEST VARS'!$I$50*(8*$EH$8)+'LINEST VARS'!$H$50*(8*0.5)+'LINEST VARS'!$G$50*(8*$DV16)+'LINEST VARS'!$F$50*(8*$EH$8)+'LINEST VARS'!$E$50*(8*0.5)+'LINEST VARS'!$D$50*(8*$DV16)+'LINEST VARS'!$C$50*($EH$8*0.5)+'LINEST VARS'!$B$50*($EH$8*$DV16)+'LINEST VARS'!$A$50*(0.5*$DV16)</f>
        <v>331.99999999999989</v>
      </c>
      <c r="EI16" s="46">
        <f>'LINEST VARS'!$U$50+'LINEST VARS'!$T$50*(8)+'LINEST VARS'!$S$50*(8)+'LINEST VARS'!$R$50*($EI$8)+'LINEST VARS'!$Q$50*(0.5)+'LINEST VARS'!$P$50*($DV16)+'LINEST VARS'!$O$50*(8^2)+'LINEST VARS'!$N$50*(8^2)+'LINEST VARS'!$M$50*($EI$8^2)+'LINEST VARS'!$L$50*(0.5^2)+'LINEST VARS'!$K$50*($DV16^2)+'LINEST VARS'!$J$50*(8*8)+'LINEST VARS'!$I$50*(8*$EI$8)+'LINEST VARS'!$H$50*(8*0.5)+'LINEST VARS'!$G$50*(8*$DV16)+'LINEST VARS'!$F$50*(8*$EI$8)+'LINEST VARS'!$E$50*(8*0.5)+'LINEST VARS'!$D$50*(8*$DV16)+'LINEST VARS'!$C$50*($EI$8*0.5)+'LINEST VARS'!$B$50*($EI$8*$DV16)+'LINEST VARS'!$A$50*(0.5*$DV16)</f>
        <v>331.99999999999989</v>
      </c>
      <c r="EJ16" s="46">
        <f>'LINEST VARS'!$U$50+'LINEST VARS'!$T$50*(8)+'LINEST VARS'!$S$50*(8)+'LINEST VARS'!$R$50*($EJ$8)+'LINEST VARS'!$Q$50*(0.5)+'LINEST VARS'!$P$50*($DV16)+'LINEST VARS'!$O$50*(8^2)+'LINEST VARS'!$N$50*(8^2)+'LINEST VARS'!$M$50*($EJ$8^2)+'LINEST VARS'!$L$50*(0.5^2)+'LINEST VARS'!$K$50*($DV16^2)+'LINEST VARS'!$J$50*(8*8)+'LINEST VARS'!$I$50*(8*$EJ$8)+'LINEST VARS'!$H$50*(8*0.5)+'LINEST VARS'!$G$50*(8*$DV16)+'LINEST VARS'!$F$50*(8*$EJ$8)+'LINEST VARS'!$E$50*(8*0.5)+'LINEST VARS'!$D$50*(8*$DV16)+'LINEST VARS'!$C$50*($EJ$8*0.5)+'LINEST VARS'!$B$50*($EJ$8*$DV16)+'LINEST VARS'!$A$50*(0.5*$DV16)</f>
        <v>331.99999999999989</v>
      </c>
      <c r="EK16" s="46">
        <f>'LINEST VARS'!$U$50+'LINEST VARS'!$T$50*(8)+'LINEST VARS'!$S$50*(8)+'LINEST VARS'!$R$50*($EK$8)+'LINEST VARS'!$Q$50*(0.5)+'LINEST VARS'!$P$50*($DV16)+'LINEST VARS'!$O$50*(8^2)+'LINEST VARS'!$N$50*(8^2)+'LINEST VARS'!$M$50*($EK$8^2)+'LINEST VARS'!$L$50*(0.5^2)+'LINEST VARS'!$K$50*($DV16^2)+'LINEST VARS'!$J$50*(8*8)+'LINEST VARS'!$I$50*(8*$EK$8)+'LINEST VARS'!$H$50*(8*0.5)+'LINEST VARS'!$G$50*(8*$DV16)+'LINEST VARS'!$F$50*(8*$EK$8)+'LINEST VARS'!$E$50*(8*0.5)+'LINEST VARS'!$D$50*(8*$DV16)+'LINEST VARS'!$C$50*($EK$8*0.5)+'LINEST VARS'!$B$50*($EK$8*$DV16)+'LINEST VARS'!$A$50*(0.5*$DV16)</f>
        <v>331.99999999999989</v>
      </c>
      <c r="EL16" s="46">
        <f>'LINEST VARS'!$U$50+'LINEST VARS'!$T$50*(8)+'LINEST VARS'!$S$50*(8)+'LINEST VARS'!$R$50*($EL$8)+'LINEST VARS'!$Q$50*(0.5)+'LINEST VARS'!$P$50*($DV16)+'LINEST VARS'!$O$50*(8^2)+'LINEST VARS'!$N$50*(8^2)+'LINEST VARS'!$M$50*($EL$8^2)+'LINEST VARS'!$L$50*(0.5^2)+'LINEST VARS'!$K$50*($DV16^2)+'LINEST VARS'!$J$50*(8*8)+'LINEST VARS'!$I$50*(8*$EL$8)+'LINEST VARS'!$H$50*(8*0.5)+'LINEST VARS'!$G$50*(8*$DV16)+'LINEST VARS'!$F$50*(8*$EL$8)+'LINEST VARS'!$E$50*(8*0.5)+'LINEST VARS'!$D$50*(8*$DV16)+'LINEST VARS'!$C$50*($EL$8*0.5)+'LINEST VARS'!$B$50*($EL$8*$DV16)+'LINEST VARS'!$A$50*(0.5*$DV16)</f>
        <v>331.99999999999989</v>
      </c>
      <c r="EM16" s="46">
        <f>'LINEST VARS'!$U$50+'LINEST VARS'!$T$50*(8)+'LINEST VARS'!$S$50*(8)+'LINEST VARS'!$R$50*($EM$8)+'LINEST VARS'!$Q$50*(0.5)+'LINEST VARS'!$P$50*($DV16)+'LINEST VARS'!$O$50*(8^2)+'LINEST VARS'!$N$50*(8^2)+'LINEST VARS'!$M$50*($EM$8^2)+'LINEST VARS'!$L$50*(0.5^2)+'LINEST VARS'!$K$50*($DV16^2)+'LINEST VARS'!$J$50*(8*8)+'LINEST VARS'!$I$50*(8*$EM$8)+'LINEST VARS'!$H$50*(8*0.5)+'LINEST VARS'!$G$50*(8*$DV16)+'LINEST VARS'!$F$50*(8*$EM$8)+'LINEST VARS'!$E$50*(8*0.5)+'LINEST VARS'!$D$50*(8*$DV16)+'LINEST VARS'!$C$50*($EM$8*0.5)+'LINEST VARS'!$B$50*($EM$8*$DV16)+'LINEST VARS'!$A$50*(0.5*$DV16)</f>
        <v>331.99999999999989</v>
      </c>
      <c r="EN16" s="46">
        <f>'LINEST VARS'!$U$50+'LINEST VARS'!$T$50*(8)+'LINEST VARS'!$S$50*(8)+'LINEST VARS'!$R$50*($EN$8)+'LINEST VARS'!$Q$50*(0.5)+'LINEST VARS'!$P$50*($DV16)+'LINEST VARS'!$O$50*(8^2)+'LINEST VARS'!$N$50*(8^2)+'LINEST VARS'!$M$50*($EN$8^2)+'LINEST VARS'!$L$50*(0.5^2)+'LINEST VARS'!$K$50*($DV16^2)+'LINEST VARS'!$J$50*(8*8)+'LINEST VARS'!$I$50*(8*$EN$8)+'LINEST VARS'!$H$50*(8*0.5)+'LINEST VARS'!$G$50*(8*$DV16)+'LINEST VARS'!$F$50*(8*$EN$8)+'LINEST VARS'!$E$50*(8*0.5)+'LINEST VARS'!$D$50*(8*$DV16)+'LINEST VARS'!$C$50*($EN$8*0.5)+'LINEST VARS'!$B$50*($EN$8*$DV16)+'LINEST VARS'!$A$50*(0.5*$DV16)</f>
        <v>331.99999999999989</v>
      </c>
      <c r="EO16" s="46">
        <f>'LINEST VARS'!$U$50+'LINEST VARS'!$T$50*(8)+'LINEST VARS'!$S$50*(8)+'LINEST VARS'!$R$50*($EO$8)+'LINEST VARS'!$Q$50*(0.5)+'LINEST VARS'!$P$50*($DV16)+'LINEST VARS'!$O$50*(8^2)+'LINEST VARS'!$N$50*(8^2)+'LINEST VARS'!$M$50*($EO$8^2)+'LINEST VARS'!$L$50*(0.5^2)+'LINEST VARS'!$K$50*($DV16^2)+'LINEST VARS'!$J$50*(8*8)+'LINEST VARS'!$I$50*(8*$EO$8)+'LINEST VARS'!$H$50*(8*0.5)+'LINEST VARS'!$G$50*(8*$DV16)+'LINEST VARS'!$F$50*(8*$EO$8)+'LINEST VARS'!$E$50*(8*0.5)+'LINEST VARS'!$D$50*(8*$DV16)+'LINEST VARS'!$C$50*($EO$8*0.5)+'LINEST VARS'!$B$50*($EO$8*$DV16)+'LINEST VARS'!$A$50*(0.5*$DV16)</f>
        <v>331.99999999999989</v>
      </c>
      <c r="EP16" s="46">
        <f>'LINEST VARS'!$U$50+'LINEST VARS'!$T$50*(8)+'LINEST VARS'!$S$50*(8)+'LINEST VARS'!$R$50*($EP$8)+'LINEST VARS'!$Q$50*(0.5)+'LINEST VARS'!$P$50*($DV16)+'LINEST VARS'!$O$50*(8^2)+'LINEST VARS'!$N$50*(8^2)+'LINEST VARS'!$M$50*($EP$8^2)+'LINEST VARS'!$L$50*(0.5^2)+'LINEST VARS'!$K$50*($DV16^2)+'LINEST VARS'!$J$50*(8*8)+'LINEST VARS'!$I$50*(8*$EP$8)+'LINEST VARS'!$H$50*(8*0.5)+'LINEST VARS'!$G$50*(8*$DV16)+'LINEST VARS'!$F$50*(8*$EP$8)+'LINEST VARS'!$E$50*(8*0.5)+'LINEST VARS'!$D$50*(8*$DV16)+'LINEST VARS'!$C$50*($EP$8*0.5)+'LINEST VARS'!$B$50*($EP$8*$DV16)+'LINEST VARS'!$A$50*(0.5*$DV16)</f>
        <v>331.99999999999989</v>
      </c>
      <c r="EQ16" s="47">
        <f>'LINEST VARS'!$U$50+'LINEST VARS'!$T$50*(8)+'LINEST VARS'!$S$50*(8)+'LINEST VARS'!$R$50*($EQ$8)+'LINEST VARS'!$Q$50*(0.5)+'LINEST VARS'!$P$50*($DV16)+'LINEST VARS'!$O$50*(8^2)+'LINEST VARS'!$N$50*(8^2)+'LINEST VARS'!$M$50*($EQ$8^2)+'LINEST VARS'!$L$50*(0.5^2)+'LINEST VARS'!$K$50*($DV16^2)+'LINEST VARS'!$J$50*(8*8)+'LINEST VARS'!$I$50*(8*$EQ$8)+'LINEST VARS'!$H$50*(8*0.5)+'LINEST VARS'!$G$50*(8*$DV16)+'LINEST VARS'!$F$50*(8*$EQ$8)+'LINEST VARS'!$E$50*(8*0.5)+'LINEST VARS'!$D$50*(8*$DV16)+'LINEST VARS'!$C$50*($EQ$8*0.5)+'LINEST VARS'!$B$50*($EQ$8*$DV16)+'LINEST VARS'!$A$50*(0.5*$DV16)</f>
        <v>331.99999999999989</v>
      </c>
    </row>
    <row r="17" spans="2:147" ht="15" customHeight="1" x14ac:dyDescent="0.25">
      <c r="B17" s="45">
        <v>7.88</v>
      </c>
      <c r="C17" s="46">
        <f>'LINEST VARS'!$U$48+'LINEST VARS'!$T$48*($C$8)+'LINEST VARS'!$S$48*($B17)+'LINEST VARS'!$R$48*(4)+'LINEST VARS'!$Q$48*(0.5)+'LINEST VARS'!$P$48*(12.73)+'LINEST VARS'!$O$48*($C$8^2)+'LINEST VARS'!$N$48*($B17^2)+'LINEST VARS'!$M$48*(4^2)+'LINEST VARS'!$L$48*(0.5^2)+'LINEST VARS'!$K$48*(12.73^2)+'LINEST VARS'!$J$48*($C$8*$B17)+'LINEST VARS'!$I$48*($C$8*4)+'LINEST VARS'!$H$48*($C$8*0.5)+'LINEST VARS'!$G$48*($C$8*12.73)+'LINEST VARS'!$F$48*($B17*4)+'LINEST VARS'!$E$48*($B17*0.5)+'LINEST VARS'!$D$48*($B17*12.73)+'LINEST VARS'!$C$48*(4*0.5)+'LINEST VARS'!$B$48*(4*12.73)+'LINEST VARS'!$A$48*(0.5*12.73)</f>
        <v>322.2399999999999</v>
      </c>
      <c r="D17" s="46">
        <f>'LINEST VARS'!$U$48+'LINEST VARS'!$T$48*($D$8)+'LINEST VARS'!$S$48*($B17)+'LINEST VARS'!$R$48*(4)+'LINEST VARS'!$Q$48*(0.5)+'LINEST VARS'!$P$48*(12.73)+'LINEST VARS'!$O$48*($D$8^2)+'LINEST VARS'!$N$48*($B17^2)+'LINEST VARS'!$M$48*(4^2)+'LINEST VARS'!$L$48*(0.5^2)+'LINEST VARS'!$K$48*(12.73^2)+'LINEST VARS'!$J$48*($D$8*$B17)+'LINEST VARS'!$I$48*($D$8*4)+'LINEST VARS'!$H$48*($D$8*0.5)+'LINEST VARS'!$G$48*($D$8*12.73)+'LINEST VARS'!$F$48*($B17*4)+'LINEST VARS'!$E$48*($B17*0.5)+'LINEST VARS'!$D$48*($B17*12.73)+'LINEST VARS'!$C$48*(4*0.5)+'LINEST VARS'!$B$48*(4*12.73)+'LINEST VARS'!$A$48*(0.5*12.73)</f>
        <v>326.81799999999987</v>
      </c>
      <c r="E17" s="46">
        <f>'LINEST VARS'!$U$48+'LINEST VARS'!$T$48*($E$8)+'LINEST VARS'!$S$48*($B17)+'LINEST VARS'!$R$48*(4)+'LINEST VARS'!$Q$48*(0.5)+'LINEST VARS'!$P$48*(12.73)+'LINEST VARS'!$O$48*($E$8^2)+'LINEST VARS'!$N$48*($B17^2)+'LINEST VARS'!$M$48*(4^2)+'LINEST VARS'!$L$48*(0.5^2)+'LINEST VARS'!$K$48*(12.73^2)+'LINEST VARS'!$J$48*($E$8*$B17)+'LINEST VARS'!$I$48*($E$8*4)+'LINEST VARS'!$H$48*($E$8*0.5)+'LINEST VARS'!$G$48*($E$8*12.73)+'LINEST VARS'!$F$48*($B17*4)+'LINEST VARS'!$E$48*($B17*0.5)+'LINEST VARS'!$D$48*($B17*12.73)+'LINEST VARS'!$C$48*(4*0.5)+'LINEST VARS'!$B$48*(4*12.73)+'LINEST VARS'!$A$48*(0.5*12.73)</f>
        <v>331.43199999999979</v>
      </c>
      <c r="F17" s="46">
        <f>'LINEST VARS'!$U$48+'LINEST VARS'!$T$48*($F$8)+'LINEST VARS'!$S$48*($B17)+'LINEST VARS'!$R$48*(4)+'LINEST VARS'!$Q$48*(0.5)+'LINEST VARS'!$P$48*(12.73)+'LINEST VARS'!$O$48*($F$8^2)+'LINEST VARS'!$N$48*($B17^2)+'LINEST VARS'!$M$48*(4^2)+'LINEST VARS'!$L$48*(0.5^2)+'LINEST VARS'!$K$48*(12.73^2)+'LINEST VARS'!$J$48*($F$8*$B17)+'LINEST VARS'!$I$48*($F$8*4)+'LINEST VARS'!$H$48*($F$8*0.5)+'LINEST VARS'!$G$48*($F$8*12.73)+'LINEST VARS'!$F$48*($B17*4)+'LINEST VARS'!$E$48*($B17*0.5)+'LINEST VARS'!$D$48*($B17*12.73)+'LINEST VARS'!$C$48*(4*0.5)+'LINEST VARS'!$B$48*(4*12.73)+'LINEST VARS'!$A$48*(0.5*12.73)</f>
        <v>336.08199999999988</v>
      </c>
      <c r="G17" s="46">
        <f>'LINEST VARS'!$U$48+'LINEST VARS'!$T$48*($G$8)+'LINEST VARS'!$S$48*($B17)+'LINEST VARS'!$R$48*(4)+'LINEST VARS'!$Q$48*(0.5)+'LINEST VARS'!$P$48*(12.73)+'LINEST VARS'!$O$48*($G$8^2)+'LINEST VARS'!$N$48*($B17^2)+'LINEST VARS'!$M$48*(4^2)+'LINEST VARS'!$L$48*(0.5^2)+'LINEST VARS'!$K$48*(12.73^2)+'LINEST VARS'!$J$48*($G$8*$B17)+'LINEST VARS'!$I$48*($G$8*4)+'LINEST VARS'!$H$48*($G$8*0.5)+'LINEST VARS'!$G$48*($G$8*12.73)+'LINEST VARS'!$F$48*($B17*4)+'LINEST VARS'!$E$48*($B17*0.5)+'LINEST VARS'!$D$48*($B17*12.73)+'LINEST VARS'!$C$48*(4*0.5)+'LINEST VARS'!$B$48*(4*12.73)+'LINEST VARS'!$A$48*(0.5*12.73)</f>
        <v>340.76799999999986</v>
      </c>
      <c r="H17" s="46">
        <f>'LINEST VARS'!$U$48+'LINEST VARS'!$T$48*($H$8)+'LINEST VARS'!$S$48*($B17)+'LINEST VARS'!$R$48*(4)+'LINEST VARS'!$Q$48*(0.5)+'LINEST VARS'!$P$48*(12.73)+'LINEST VARS'!$O$48*($H$8^2)+'LINEST VARS'!$N$48*($B17^2)+'LINEST VARS'!$M$48*(4^2)+'LINEST VARS'!$L$48*(0.5^2)+'LINEST VARS'!$K$48*(12.73^2)+'LINEST VARS'!$J$48*($H$8*$B17)+'LINEST VARS'!$I$48*($H$8*4)+'LINEST VARS'!$H$48*($H$8*0.5)+'LINEST VARS'!$G$48*($H$8*12.73)+'LINEST VARS'!$F$48*($B17*4)+'LINEST VARS'!$E$48*($B17*0.5)+'LINEST VARS'!$D$48*($B17*12.73)+'LINEST VARS'!$C$48*(4*0.5)+'LINEST VARS'!$B$48*(4*12.73)+'LINEST VARS'!$A$48*(0.5*12.73)</f>
        <v>345.4899999999999</v>
      </c>
      <c r="I17" s="46">
        <f>'LINEST VARS'!$U$48+'LINEST VARS'!$T$48*($I$8)+'LINEST VARS'!$S$48*($B17)+'LINEST VARS'!$R$48*(4)+'LINEST VARS'!$Q$48*(0.5)+'LINEST VARS'!$P$48*(12.73)+'LINEST VARS'!$O$48*($I$8^2)+'LINEST VARS'!$N$48*($B17^2)+'LINEST VARS'!$M$48*(4^2)+'LINEST VARS'!$L$48*(0.5^2)+'LINEST VARS'!$K$48*(12.73^2)+'LINEST VARS'!$J$48*($I$8*$B17)+'LINEST VARS'!$I$48*($I$8*4)+'LINEST VARS'!$H$48*($I$8*0.5)+'LINEST VARS'!$G$48*($I$8*12.73)+'LINEST VARS'!$F$48*($B17*4)+'LINEST VARS'!$E$48*($B17*0.5)+'LINEST VARS'!$D$48*($B17*12.73)+'LINEST VARS'!$C$48*(4*0.5)+'LINEST VARS'!$B$48*(4*12.73)+'LINEST VARS'!$A$48*(0.5*12.73)</f>
        <v>350.24799999999988</v>
      </c>
      <c r="J17" s="46">
        <f>'LINEST VARS'!$U$48+'LINEST VARS'!$T$48*($J$8)+'LINEST VARS'!$S$48*($B17)+'LINEST VARS'!$R$48*(4)+'LINEST VARS'!$Q$48*(0.5)+'LINEST VARS'!$P$48*(12.73)+'LINEST VARS'!$O$48*($J$8^2)+'LINEST VARS'!$N$48*($B17^2)+'LINEST VARS'!$M$48*(4^2)+'LINEST VARS'!$L$48*(0.5^2)+'LINEST VARS'!$K$48*(12.73^2)+'LINEST VARS'!$J$48*($J$8*$B17)+'LINEST VARS'!$I$48*($J$8*4)+'LINEST VARS'!$H$48*($J$8*0.5)+'LINEST VARS'!$G$48*($J$8*12.73)+'LINEST VARS'!$F$48*($B17*4)+'LINEST VARS'!$E$48*($B17*0.5)+'LINEST VARS'!$D$48*($B17*12.73)+'LINEST VARS'!$C$48*(4*0.5)+'LINEST VARS'!$B$48*(4*12.73)+'LINEST VARS'!$A$48*(0.5*12.73)</f>
        <v>355.04199999999992</v>
      </c>
      <c r="K17" s="46">
        <f>'LINEST VARS'!$U$48+'LINEST VARS'!$T$48*($K$8)+'LINEST VARS'!$S$48*($B17)+'LINEST VARS'!$R$48*(4)+'LINEST VARS'!$Q$48*(0.5)+'LINEST VARS'!$P$48*(12.73)+'LINEST VARS'!$O$48*($K$8^2)+'LINEST VARS'!$N$48*($B17^2)+'LINEST VARS'!$M$48*(4^2)+'LINEST VARS'!$L$48*(0.5^2)+'LINEST VARS'!$K$48*(12.73^2)+'LINEST VARS'!$J$48*($K$8*$B17)+'LINEST VARS'!$I$48*($K$8*4)+'LINEST VARS'!$H$48*($K$8*0.5)+'LINEST VARS'!$G$48*($K$8*12.73)+'LINEST VARS'!$F$48*($B17*4)+'LINEST VARS'!$E$48*($B17*0.5)+'LINEST VARS'!$D$48*($B17*12.73)+'LINEST VARS'!$C$48*(4*0.5)+'LINEST VARS'!$B$48*(4*12.73)+'LINEST VARS'!$A$48*(0.5*12.73)</f>
        <v>359.8719999999999</v>
      </c>
      <c r="L17" s="46">
        <f>'LINEST VARS'!$U$48+'LINEST VARS'!$T$48*($L$8)+'LINEST VARS'!$S$48*($B17)+'LINEST VARS'!$R$48*(4)+'LINEST VARS'!$Q$48*(0.5)+'LINEST VARS'!$P$48*(12.73)+'LINEST VARS'!$O$48*($L$8^2)+'LINEST VARS'!$N$48*($B17^2)+'LINEST VARS'!$M$48*(4^2)+'LINEST VARS'!$L$48*(0.5^2)+'LINEST VARS'!$K$48*(12.73^2)+'LINEST VARS'!$J$48*($L$8*$B17)+'LINEST VARS'!$I$48*($L$8*4)+'LINEST VARS'!$H$48*($L$8*0.5)+'LINEST VARS'!$G$48*($L$8*12.73)+'LINEST VARS'!$F$48*($B17*4)+'LINEST VARS'!$E$48*($B17*0.5)+'LINEST VARS'!$D$48*($B17*12.73)+'LINEST VARS'!$C$48*(4*0.5)+'LINEST VARS'!$B$48*(4*12.73)+'LINEST VARS'!$A$48*(0.5*12.73)</f>
        <v>364.73799999999989</v>
      </c>
      <c r="M17" s="46">
        <f>'LINEST VARS'!$U$48+'LINEST VARS'!$T$48*($M$8)+'LINEST VARS'!$S$48*($B17)+'LINEST VARS'!$R$48*(4)+'LINEST VARS'!$Q$48*(0.5)+'LINEST VARS'!$P$48*(12.73)+'LINEST VARS'!$O$48*($M$8^2)+'LINEST VARS'!$N$48*($B17^2)+'LINEST VARS'!$M$48*(4^2)+'LINEST VARS'!$L$48*(0.5^2)+'LINEST VARS'!$K$48*(12.73^2)+'LINEST VARS'!$J$48*($M$8*$B17)+'LINEST VARS'!$I$48*($M$8*4)+'LINEST VARS'!$H$48*($M$8*0.5)+'LINEST VARS'!$G$48*($M$8*12.73)+'LINEST VARS'!$F$48*($B17*4)+'LINEST VARS'!$E$48*($B17*0.5)+'LINEST VARS'!$D$48*($B17*12.73)+'LINEST VARS'!$C$48*(4*0.5)+'LINEST VARS'!$B$48*(4*12.73)+'LINEST VARS'!$A$48*(0.5*12.73)</f>
        <v>369.63999999999987</v>
      </c>
      <c r="N17" s="46">
        <f>'LINEST VARS'!$U$48+'LINEST VARS'!$T$48*($N$8)+'LINEST VARS'!$S$48*($B17)+'LINEST VARS'!$R$48*(4)+'LINEST VARS'!$Q$48*(0.5)+'LINEST VARS'!$P$48*(12.73)+'LINEST VARS'!$O$48*($N$8^2)+'LINEST VARS'!$N$48*($B17^2)+'LINEST VARS'!$M$48*(4^2)+'LINEST VARS'!$L$48*(0.5^2)+'LINEST VARS'!$K$48*(12.73^2)+'LINEST VARS'!$J$48*($N$8*$B17)+'LINEST VARS'!$I$48*($N$8*4)+'LINEST VARS'!$H$48*($N$8*0.5)+'LINEST VARS'!$G$48*($N$8*12.73)+'LINEST VARS'!$F$48*($B17*4)+'LINEST VARS'!$E$48*($B17*0.5)+'LINEST VARS'!$D$48*($B17*12.73)+'LINEST VARS'!$C$48*(4*0.5)+'LINEST VARS'!$B$48*(4*12.73)+'LINEST VARS'!$A$48*(0.5*12.73)</f>
        <v>374.57799999999986</v>
      </c>
      <c r="O17" s="46">
        <f>'LINEST VARS'!$U$48+'LINEST VARS'!$T$48*($O$8)+'LINEST VARS'!$S$48*($B17)+'LINEST VARS'!$R$48*(4)+'LINEST VARS'!$Q$48*(0.5)+'LINEST VARS'!$P$48*(12.73)+'LINEST VARS'!$O$48*($O$8^2)+'LINEST VARS'!$N$48*($B17^2)+'LINEST VARS'!$M$48*(4^2)+'LINEST VARS'!$L$48*(0.5^2)+'LINEST VARS'!$K$48*(12.73^2)+'LINEST VARS'!$J$48*($O$8*$B17)+'LINEST VARS'!$I$48*($O$8*4)+'LINEST VARS'!$H$48*($O$8*0.5)+'LINEST VARS'!$G$48*($O$8*12.73)+'LINEST VARS'!$F$48*($B17*4)+'LINEST VARS'!$E$48*($B17*0.5)+'LINEST VARS'!$D$48*($B17*12.73)+'LINEST VARS'!$C$48*(4*0.5)+'LINEST VARS'!$B$48*(4*12.73)+'LINEST VARS'!$A$48*(0.5*12.73)</f>
        <v>379.55199999999974</v>
      </c>
      <c r="P17" s="46">
        <f>'LINEST VARS'!$U$48+'LINEST VARS'!$T$48*($P$8)+'LINEST VARS'!$S$48*($B17)+'LINEST VARS'!$R$48*(4)+'LINEST VARS'!$Q$48*(0.5)+'LINEST VARS'!$P$48*(12.73)+'LINEST VARS'!$O$48*($P$8^2)+'LINEST VARS'!$N$48*($B17^2)+'LINEST VARS'!$M$48*(4^2)+'LINEST VARS'!$L$48*(0.5^2)+'LINEST VARS'!$K$48*(12.73^2)+'LINEST VARS'!$J$48*($P$8*$B17)+'LINEST VARS'!$I$48*($P$8*4)+'LINEST VARS'!$H$48*($P$8*0.5)+'LINEST VARS'!$G$48*($P$8*12.73)+'LINEST VARS'!$F$48*($B17*4)+'LINEST VARS'!$E$48*($B17*0.5)+'LINEST VARS'!$D$48*($B17*12.73)+'LINEST VARS'!$C$48*(4*0.5)+'LINEST VARS'!$B$48*(4*12.73)+'LINEST VARS'!$A$48*(0.5*12.73)</f>
        <v>384.56199999999973</v>
      </c>
      <c r="Q17" s="46">
        <f>'LINEST VARS'!$U$48+'LINEST VARS'!$T$48*($Q$8)+'LINEST VARS'!$S$48*($B17)+'LINEST VARS'!$R$48*(4)+'LINEST VARS'!$Q$48*(0.5)+'LINEST VARS'!$P$48*(12.73)+'LINEST VARS'!$O$48*($Q$8^2)+'LINEST VARS'!$N$48*($B17^2)+'LINEST VARS'!$M$48*(4^2)+'LINEST VARS'!$L$48*(0.5^2)+'LINEST VARS'!$K$48*(12.73^2)+'LINEST VARS'!$J$48*($Q$8*$B17)+'LINEST VARS'!$I$48*($Q$8*4)+'LINEST VARS'!$H$48*($Q$8*0.5)+'LINEST VARS'!$G$48*($Q$8*12.73)+'LINEST VARS'!$F$48*($B17*4)+'LINEST VARS'!$E$48*($B17*0.5)+'LINEST VARS'!$D$48*($B17*12.73)+'LINEST VARS'!$C$48*(4*0.5)+'LINEST VARS'!$B$48*(4*12.73)+'LINEST VARS'!$A$48*(0.5*12.73)</f>
        <v>389.60799999999983</v>
      </c>
      <c r="R17" s="46">
        <f>'LINEST VARS'!$U$48+'LINEST VARS'!$T$48*($R$8)+'LINEST VARS'!$S$48*($B17)+'LINEST VARS'!$R$48*(4)+'LINEST VARS'!$Q$48*(0.5)+'LINEST VARS'!$P$48*(12.73)+'LINEST VARS'!$O$48*($R$8^2)+'LINEST VARS'!$N$48*($B17^2)+'LINEST VARS'!$M$48*(4^2)+'LINEST VARS'!$L$48*(0.5^2)+'LINEST VARS'!$K$48*(12.73^2)+'LINEST VARS'!$J$48*($R$8*$B17)+'LINEST VARS'!$I$48*($R$8*4)+'LINEST VARS'!$H$48*($R$8*0.5)+'LINEST VARS'!$G$48*($R$8*12.73)+'LINEST VARS'!$F$48*($B17*4)+'LINEST VARS'!$E$48*($B17*0.5)+'LINEST VARS'!$D$48*($B17*12.73)+'LINEST VARS'!$C$48*(4*0.5)+'LINEST VARS'!$B$48*(4*12.73)+'LINEST VARS'!$A$48*(0.5*12.73)</f>
        <v>394.68999999999988</v>
      </c>
      <c r="S17" s="46">
        <f>'LINEST VARS'!$U$48+'LINEST VARS'!$T$48*($S$8)+'LINEST VARS'!$S$48*($B17)+'LINEST VARS'!$R$48*(4)+'LINEST VARS'!$Q$48*(0.5)+'LINEST VARS'!$P$48*(12.73)+'LINEST VARS'!$O$48*($S$8^2)+'LINEST VARS'!$N$48*($B17^2)+'LINEST VARS'!$M$48*(4^2)+'LINEST VARS'!$L$48*(0.5^2)+'LINEST VARS'!$K$48*(12.73^2)+'LINEST VARS'!$J$48*($S$8*$B17)+'LINEST VARS'!$I$48*($S$8*4)+'LINEST VARS'!$H$48*($S$8*0.5)+'LINEST VARS'!$G$48*($S$8*12.73)+'LINEST VARS'!$F$48*($B17*4)+'LINEST VARS'!$E$48*($B17*0.5)+'LINEST VARS'!$D$48*($B17*12.73)+'LINEST VARS'!$C$48*(4*0.5)+'LINEST VARS'!$B$48*(4*12.73)+'LINEST VARS'!$A$48*(0.5*12.73)</f>
        <v>399.80799999999977</v>
      </c>
      <c r="T17" s="46">
        <f>'LINEST VARS'!$U$48+'LINEST VARS'!$T$48*($T$8)+'LINEST VARS'!$S$48*($B17)+'LINEST VARS'!$R$48*(4)+'LINEST VARS'!$Q$48*(0.5)+'LINEST VARS'!$P$48*(12.73)+'LINEST VARS'!$O$48*($T$8^2)+'LINEST VARS'!$N$48*($B17^2)+'LINEST VARS'!$M$48*(4^2)+'LINEST VARS'!$L$48*(0.5^2)+'LINEST VARS'!$K$48*(12.73^2)+'LINEST VARS'!$J$48*($T$8*$B17)+'LINEST VARS'!$I$48*($T$8*4)+'LINEST VARS'!$H$48*($T$8*0.5)+'LINEST VARS'!$G$48*($T$8*12.73)+'LINEST VARS'!$F$48*($B17*4)+'LINEST VARS'!$E$48*($B17*0.5)+'LINEST VARS'!$D$48*($B17*12.73)+'LINEST VARS'!$C$48*(4*0.5)+'LINEST VARS'!$B$48*(4*12.73)+'LINEST VARS'!$A$48*(0.5*12.73)</f>
        <v>404.96199999999982</v>
      </c>
      <c r="U17" s="46">
        <f>'LINEST VARS'!$U$48+'LINEST VARS'!$T$48*($U$8)+'LINEST VARS'!$S$48*($B17)+'LINEST VARS'!$R$48*(4)+'LINEST VARS'!$Q$48*(0.5)+'LINEST VARS'!$P$48*(12.73)+'LINEST VARS'!$O$48*($U$8^2)+'LINEST VARS'!$N$48*($B17^2)+'LINEST VARS'!$M$48*(4^2)+'LINEST VARS'!$L$48*(0.5^2)+'LINEST VARS'!$K$48*(12.73^2)+'LINEST VARS'!$J$48*($U$8*$B17)+'LINEST VARS'!$I$48*($U$8*4)+'LINEST VARS'!$H$48*($U$8*0.5)+'LINEST VARS'!$G$48*($U$8*12.73)+'LINEST VARS'!$F$48*($B17*4)+'LINEST VARS'!$E$48*($B17*0.5)+'LINEST VARS'!$D$48*($B17*12.73)+'LINEST VARS'!$C$48*(4*0.5)+'LINEST VARS'!$B$48*(4*12.73)+'LINEST VARS'!$A$48*(0.5*12.73)</f>
        <v>410.15199999999993</v>
      </c>
      <c r="V17" s="46">
        <f>'LINEST VARS'!$U$48+'LINEST VARS'!$T$48*($V$8)+'LINEST VARS'!$S$48*($B17)+'LINEST VARS'!$R$48*(4)+'LINEST VARS'!$Q$48*(0.5)+'LINEST VARS'!$P$48*(12.73)+'LINEST VARS'!$O$48*($V$8^2)+'LINEST VARS'!$N$48*($B17^2)+'LINEST VARS'!$M$48*(4^2)+'LINEST VARS'!$L$48*(0.5^2)+'LINEST VARS'!$K$48*(12.73^2)+'LINEST VARS'!$J$48*($V$8*$B17)+'LINEST VARS'!$I$48*($V$8*4)+'LINEST VARS'!$H$48*($V$8*0.5)+'LINEST VARS'!$G$48*($V$8*12.73)+'LINEST VARS'!$F$48*($B17*4)+'LINEST VARS'!$E$48*($B17*0.5)+'LINEST VARS'!$D$48*($B17*12.73)+'LINEST VARS'!$C$48*(4*0.5)+'LINEST VARS'!$B$48*(4*12.73)+'LINEST VARS'!$A$48*(0.5*12.73)</f>
        <v>415.37799999999982</v>
      </c>
      <c r="W17" s="47">
        <f>'LINEST VARS'!$U$48+'LINEST VARS'!$T$48*($W$8)+'LINEST VARS'!$S$48*($B17)+'LINEST VARS'!$R$48*(4)+'LINEST VARS'!$Q$48*(0.5)+'LINEST VARS'!$P$48*(12.73)+'LINEST VARS'!$O$48*($W$8^2)+'LINEST VARS'!$N$48*($B17^2)+'LINEST VARS'!$M$48*(4^2)+'LINEST VARS'!$L$48*(0.5^2)+'LINEST VARS'!$K$48*(12.73^2)+'LINEST VARS'!$J$48*($W$8*$B17)+'LINEST VARS'!$I$48*($W$8*4)+'LINEST VARS'!$H$48*($W$8*0.5)+'LINEST VARS'!$G$48*($W$8*12.73)+'LINEST VARS'!$F$48*($B17*4)+'LINEST VARS'!$E$48*($B17*0.5)+'LINEST VARS'!$D$48*($B17*12.73)+'LINEST VARS'!$C$48*(4*0.5)+'LINEST VARS'!$B$48*(4*12.73)+'LINEST VARS'!$A$48*(0.5*12.73)</f>
        <v>420.63999999999976</v>
      </c>
      <c r="Z17" s="45">
        <v>7.88</v>
      </c>
      <c r="AA17" s="46">
        <f>'LINEST VARS'!$U$50+'LINEST VARS'!$T$50*($AA$8)+'LINEST VARS'!$S$50*($Z17)+'LINEST VARS'!$R$50*(4)+'LINEST VARS'!$Q$50*(0.5)+'LINEST VARS'!$P$50*(12.73)+'LINEST VARS'!$O$50*($AA$8^2)+'LINEST VARS'!$N$50*($Z17^2)+'LINEST VARS'!$M$50*(4^2)+'LINEST VARS'!$L$50*(0.5^2)+'LINEST VARS'!$K$50*(12.73^2)+'LINEST VARS'!$J$50*($AA$8*$Z17)+'LINEST VARS'!$I$50*($AA$8*4)+'LINEST VARS'!$H$50*($AA$8*0.5)+'LINEST VARS'!$G$50*($AA$8*12.73)+'LINEST VARS'!$F$50*($Z17*4)+'LINEST VARS'!$E$50*($Z17*0.5)+'LINEST VARS'!$D$50*($Z17*12.73)+'LINEST VARS'!$C$50*(4*0.5)+'LINEST VARS'!$B$50*(4*12.73)+'LINEST VARS'!$A$50*(0.5*12.73)</f>
        <v>330.79999999999995</v>
      </c>
      <c r="AB17" s="46">
        <f>'LINEST VARS'!$U$50+'LINEST VARS'!$T$50*($AB$8)+'LINEST VARS'!$S$50*($Z17)+'LINEST VARS'!$R$50*(4)+'LINEST VARS'!$Q$50*(0.5)+'LINEST VARS'!$P$50*(12.73)+'LINEST VARS'!$O$50*($AB$8^2)+'LINEST VARS'!$N$50*($Z17^2)+'LINEST VARS'!$M$50*(4^2)+'LINEST VARS'!$L$50*(0.5^2)+'LINEST VARS'!$K$50*(12.73^2)+'LINEST VARS'!$J$50*($AB$8*$Z17)+'LINEST VARS'!$I$50*($AB$8*4)+'LINEST VARS'!$H$50*($AB$8*0.5)+'LINEST VARS'!$G$50*($AB$8*12.73)+'LINEST VARS'!$F$50*($Z17*4)+'LINEST VARS'!$E$50*($Z17*0.5)+'LINEST VARS'!$D$50*($Z17*12.73)+'LINEST VARS'!$C$50*(4*0.5)+'LINEST VARS'!$B$50*(4*12.73)+'LINEST VARS'!$A$50*(0.5*12.73)</f>
        <v>330.88999999999993</v>
      </c>
      <c r="AC17" s="46">
        <f>'LINEST VARS'!$U$50+'LINEST VARS'!$T$50*($AC$8)+'LINEST VARS'!$S$50*($Z17)+'LINEST VARS'!$R$50*(4)+'LINEST VARS'!$Q$50*(0.5)+'LINEST VARS'!$P$50*(12.73)+'LINEST VARS'!$O$50*($AC$8^2)+'LINEST VARS'!$N$50*($Z17^2)+'LINEST VARS'!$M$50*(4^2)+'LINEST VARS'!$L$50*(0.5^2)+'LINEST VARS'!$K$50*(12.73^2)+'LINEST VARS'!$J$50*($AC$8*$Z17)+'LINEST VARS'!$I$50*($AC$8*4)+'LINEST VARS'!$H$50*($AC$8*0.5)+'LINEST VARS'!$G$50*($AC$8*12.73)+'LINEST VARS'!$F$50*($Z17*4)+'LINEST VARS'!$E$50*($Z17*0.5)+'LINEST VARS'!$D$50*($Z17*12.73)+'LINEST VARS'!$C$50*(4*0.5)+'LINEST VARS'!$B$50*(4*12.73)+'LINEST VARS'!$A$50*(0.5*12.73)</f>
        <v>330.97999999999996</v>
      </c>
      <c r="AD17" s="46">
        <f>'LINEST VARS'!$U$50+'LINEST VARS'!$T$50*($AD$8)+'LINEST VARS'!$S$50*($Z17)+'LINEST VARS'!$R$50*(4)+'LINEST VARS'!$Q$50*(0.5)+'LINEST VARS'!$P$50*(12.73)+'LINEST VARS'!$O$50*($AD$8^2)+'LINEST VARS'!$N$50*($Z17^2)+'LINEST VARS'!$M$50*(4^2)+'LINEST VARS'!$L$50*(0.5^2)+'LINEST VARS'!$K$50*(12.73^2)+'LINEST VARS'!$J$50*($AD$8*$Z17)+'LINEST VARS'!$I$50*($AD$8*4)+'LINEST VARS'!$H$50*($AD$8*0.5)+'LINEST VARS'!$G$50*($AD$8*12.73)+'LINEST VARS'!$F$50*($Z17*4)+'LINEST VARS'!$E$50*($Z17*0.5)+'LINEST VARS'!$D$50*($Z17*12.73)+'LINEST VARS'!$C$50*(4*0.5)+'LINEST VARS'!$B$50*(4*12.73)+'LINEST VARS'!$A$50*(0.5*12.73)</f>
        <v>331.06999999999994</v>
      </c>
      <c r="AE17" s="46">
        <f>'LINEST VARS'!$U$50+'LINEST VARS'!$T$50*($AE$8)+'LINEST VARS'!$S$50*($Z17)+'LINEST VARS'!$R$50*(4)+'LINEST VARS'!$Q$50*(0.5)+'LINEST VARS'!$P$50*(12.73)+'LINEST VARS'!$O$50*($AE$8^2)+'LINEST VARS'!$N$50*($Z17^2)+'LINEST VARS'!$M$50*(4^2)+'LINEST VARS'!$L$50*(0.5^2)+'LINEST VARS'!$K$50*(12.73^2)+'LINEST VARS'!$J$50*($AE$8*$Z17)+'LINEST VARS'!$I$50*($AE$8*4)+'LINEST VARS'!$H$50*($AE$8*0.5)+'LINEST VARS'!$G$50*($AE$8*12.73)+'LINEST VARS'!$F$50*($Z17*4)+'LINEST VARS'!$E$50*($Z17*0.5)+'LINEST VARS'!$D$50*($Z17*12.73)+'LINEST VARS'!$C$50*(4*0.5)+'LINEST VARS'!$B$50*(4*12.73)+'LINEST VARS'!$A$50*(0.5*12.73)</f>
        <v>331.15999999999991</v>
      </c>
      <c r="AF17" s="46">
        <f>'LINEST VARS'!$U$50+'LINEST VARS'!$T$50*($AF$8)+'LINEST VARS'!$S$50*($Z17)+'LINEST VARS'!$R$50*(4)+'LINEST VARS'!$Q$50*(0.5)+'LINEST VARS'!$P$50*(12.73)+'LINEST VARS'!$O$50*($AF$8^2)+'LINEST VARS'!$N$50*($Z17^2)+'LINEST VARS'!$M$50*(4^2)+'LINEST VARS'!$L$50*(0.5^2)+'LINEST VARS'!$K$50*(12.73^2)+'LINEST VARS'!$J$50*($AF$8*$Z17)+'LINEST VARS'!$I$50*($AF$8*4)+'LINEST VARS'!$H$50*($AF$8*0.5)+'LINEST VARS'!$G$50*($AF$8*12.73)+'LINEST VARS'!$F$50*($Z17*4)+'LINEST VARS'!$E$50*($Z17*0.5)+'LINEST VARS'!$D$50*($Z17*12.73)+'LINEST VARS'!$C$50*(4*0.5)+'LINEST VARS'!$B$50*(4*12.73)+'LINEST VARS'!$A$50*(0.5*12.73)</f>
        <v>331.24999999999994</v>
      </c>
      <c r="AG17" s="46">
        <f>'LINEST VARS'!$U$50+'LINEST VARS'!$T$50*($AG$8)+'LINEST VARS'!$S$50*($Z17)+'LINEST VARS'!$R$50*(4)+'LINEST VARS'!$Q$50*(0.5)+'LINEST VARS'!$P$50*(12.73)+'LINEST VARS'!$O$50*($AG$8^2)+'LINEST VARS'!$N$50*($Z17^2)+'LINEST VARS'!$M$50*(4^2)+'LINEST VARS'!$L$50*(0.5^2)+'LINEST VARS'!$K$50*(12.73^2)+'LINEST VARS'!$J$50*($AG$8*$Z17)+'LINEST VARS'!$I$50*($AG$8*4)+'LINEST VARS'!$H$50*($AG$8*0.5)+'LINEST VARS'!$G$50*($AG$8*12.73)+'LINEST VARS'!$F$50*($Z17*4)+'LINEST VARS'!$E$50*($Z17*0.5)+'LINEST VARS'!$D$50*($Z17*12.73)+'LINEST VARS'!$C$50*(4*0.5)+'LINEST VARS'!$B$50*(4*12.73)+'LINEST VARS'!$A$50*(0.5*12.73)</f>
        <v>331.33999999999986</v>
      </c>
      <c r="AH17" s="46">
        <f>'LINEST VARS'!$U$50+'LINEST VARS'!$T$50*($AH$8)+'LINEST VARS'!$S$50*($Z17)+'LINEST VARS'!$R$50*(4)+'LINEST VARS'!$Q$50*(0.5)+'LINEST VARS'!$P$50*(12.73)+'LINEST VARS'!$O$50*($AH$8^2)+'LINEST VARS'!$N$50*($Z17^2)+'LINEST VARS'!$M$50*(4^2)+'LINEST VARS'!$L$50*(0.5^2)+'LINEST VARS'!$K$50*(12.73^2)+'LINEST VARS'!$J$50*($AH$8*$Z17)+'LINEST VARS'!$I$50*($AH$8*4)+'LINEST VARS'!$H$50*($AH$8*0.5)+'LINEST VARS'!$G$50*($AH$8*12.73)+'LINEST VARS'!$F$50*($Z17*4)+'LINEST VARS'!$E$50*($Z17*0.5)+'LINEST VARS'!$D$50*($Z17*12.73)+'LINEST VARS'!$C$50*(4*0.5)+'LINEST VARS'!$B$50*(4*12.73)+'LINEST VARS'!$A$50*(0.5*12.73)</f>
        <v>331.42999999999989</v>
      </c>
      <c r="AI17" s="46">
        <f>'LINEST VARS'!$U$50+'LINEST VARS'!$T$50*($AI$8)+'LINEST VARS'!$S$50*($Z17)+'LINEST VARS'!$R$50*(4)+'LINEST VARS'!$Q$50*(0.5)+'LINEST VARS'!$P$50*(12.73)+'LINEST VARS'!$O$50*($AI$8^2)+'LINEST VARS'!$N$50*($Z17^2)+'LINEST VARS'!$M$50*(4^2)+'LINEST VARS'!$L$50*(0.5^2)+'LINEST VARS'!$K$50*(12.73^2)+'LINEST VARS'!$J$50*($AI$8*$Z17)+'LINEST VARS'!$I$50*($AI$8*4)+'LINEST VARS'!$H$50*($AI$8*0.5)+'LINEST VARS'!$G$50*($AI$8*12.73)+'LINEST VARS'!$F$50*($Z17*4)+'LINEST VARS'!$E$50*($Z17*0.5)+'LINEST VARS'!$D$50*($Z17*12.73)+'LINEST VARS'!$C$50*(4*0.5)+'LINEST VARS'!$B$50*(4*12.73)+'LINEST VARS'!$A$50*(0.5*12.73)</f>
        <v>331.51999999999987</v>
      </c>
      <c r="AJ17" s="46">
        <f>'LINEST VARS'!$U$50+'LINEST VARS'!$T$50*($AJ$8)+'LINEST VARS'!$S$50*($Z17)+'LINEST VARS'!$R$50*(4)+'LINEST VARS'!$Q$50*(0.5)+'LINEST VARS'!$P$50*(12.73)+'LINEST VARS'!$O$50*($AJ$8^2)+'LINEST VARS'!$N$50*($Z17^2)+'LINEST VARS'!$M$50*(4^2)+'LINEST VARS'!$L$50*(0.5^2)+'LINEST VARS'!$K$50*(12.73^2)+'LINEST VARS'!$J$50*($AJ$8*$Z17)+'LINEST VARS'!$I$50*($AJ$8*4)+'LINEST VARS'!$H$50*($AJ$8*0.5)+'LINEST VARS'!$G$50*($AJ$8*12.73)+'LINEST VARS'!$F$50*($Z17*4)+'LINEST VARS'!$E$50*($Z17*0.5)+'LINEST VARS'!$D$50*($Z17*12.73)+'LINEST VARS'!$C$50*(4*0.5)+'LINEST VARS'!$B$50*(4*12.73)+'LINEST VARS'!$A$50*(0.5*12.73)</f>
        <v>331.6099999999999</v>
      </c>
      <c r="AK17" s="46">
        <f>'LINEST VARS'!$U$50+'LINEST VARS'!$T$50*($AK$8)+'LINEST VARS'!$S$50*($Z17)+'LINEST VARS'!$R$50*(4)+'LINEST VARS'!$Q$50*(0.5)+'LINEST VARS'!$P$50*(12.73)+'LINEST VARS'!$O$50*($AK$8^2)+'LINEST VARS'!$N$50*($Z17^2)+'LINEST VARS'!$M$50*(4^2)+'LINEST VARS'!$L$50*(0.5^2)+'LINEST VARS'!$K$50*(12.73^2)+'LINEST VARS'!$J$50*($AK$8*$Z17)+'LINEST VARS'!$I$50*($AK$8*4)+'LINEST VARS'!$H$50*($AK$8*0.5)+'LINEST VARS'!$G$50*($AK$8*12.73)+'LINEST VARS'!$F$50*($Z17*4)+'LINEST VARS'!$E$50*($Z17*0.5)+'LINEST VARS'!$D$50*($Z17*12.73)+'LINEST VARS'!$C$50*(4*0.5)+'LINEST VARS'!$B$50*(4*12.73)+'LINEST VARS'!$A$50*(0.5*12.73)</f>
        <v>331.69999999999987</v>
      </c>
      <c r="AL17" s="46">
        <f>'LINEST VARS'!$U$50+'LINEST VARS'!$T$50*($AL$8)+'LINEST VARS'!$S$50*($Z17)+'LINEST VARS'!$R$50*(4)+'LINEST VARS'!$Q$50*(0.5)+'LINEST VARS'!$P$50*(12.73)+'LINEST VARS'!$O$50*($AL$8^2)+'LINEST VARS'!$N$50*($Z17^2)+'LINEST VARS'!$M$50*(4^2)+'LINEST VARS'!$L$50*(0.5^2)+'LINEST VARS'!$K$50*(12.73^2)+'LINEST VARS'!$J$50*($AL$8*$Z17)+'LINEST VARS'!$I$50*($AL$8*4)+'LINEST VARS'!$H$50*($AL$8*0.5)+'LINEST VARS'!$G$50*($AL$8*12.73)+'LINEST VARS'!$F$50*($Z17*4)+'LINEST VARS'!$E$50*($Z17*0.5)+'LINEST VARS'!$D$50*($Z17*12.73)+'LINEST VARS'!$C$50*(4*0.5)+'LINEST VARS'!$B$50*(4*12.73)+'LINEST VARS'!$A$50*(0.5*12.73)</f>
        <v>331.78999999999985</v>
      </c>
      <c r="AM17" s="46">
        <f>'LINEST VARS'!$U$50+'LINEST VARS'!$T$50*($AM$8)+'LINEST VARS'!$S$50*($Z17)+'LINEST VARS'!$R$50*(4)+'LINEST VARS'!$Q$50*(0.5)+'LINEST VARS'!$P$50*(12.73)+'LINEST VARS'!$O$50*($AM$8^2)+'LINEST VARS'!$N$50*($Z17^2)+'LINEST VARS'!$M$50*(4^2)+'LINEST VARS'!$L$50*(0.5^2)+'LINEST VARS'!$K$50*(12.73^2)+'LINEST VARS'!$J$50*($AM$8*$Z17)+'LINEST VARS'!$I$50*($AM$8*4)+'LINEST VARS'!$H$50*($AM$8*0.5)+'LINEST VARS'!$G$50*($AM$8*12.73)+'LINEST VARS'!$F$50*($Z17*4)+'LINEST VARS'!$E$50*($Z17*0.5)+'LINEST VARS'!$D$50*($Z17*12.73)+'LINEST VARS'!$C$50*(4*0.5)+'LINEST VARS'!$B$50*(4*12.73)+'LINEST VARS'!$A$50*(0.5*12.73)</f>
        <v>331.87999999999988</v>
      </c>
      <c r="AN17" s="46">
        <f>'LINEST VARS'!$U$50+'LINEST VARS'!$T$50*($AN$8)+'LINEST VARS'!$S$50*($Z17)+'LINEST VARS'!$R$50*(4)+'LINEST VARS'!$Q$50*(0.5)+'LINEST VARS'!$P$50*(12.73)+'LINEST VARS'!$O$50*($AN$8^2)+'LINEST VARS'!$N$50*($Z17^2)+'LINEST VARS'!$M$50*(4^2)+'LINEST VARS'!$L$50*(0.5^2)+'LINEST VARS'!$K$50*(12.73^2)+'LINEST VARS'!$J$50*($AN$8*$Z17)+'LINEST VARS'!$I$50*($AN$8*4)+'LINEST VARS'!$H$50*($AN$8*0.5)+'LINEST VARS'!$G$50*($AN$8*12.73)+'LINEST VARS'!$F$50*($Z17*4)+'LINEST VARS'!$E$50*($Z17*0.5)+'LINEST VARS'!$D$50*($Z17*12.73)+'LINEST VARS'!$C$50*(4*0.5)+'LINEST VARS'!$B$50*(4*12.73)+'LINEST VARS'!$A$50*(0.5*12.73)</f>
        <v>331.96999999999986</v>
      </c>
      <c r="AO17" s="46">
        <f>'LINEST VARS'!$U$50+'LINEST VARS'!$T$50*($AO$8)+'LINEST VARS'!$S$50*($Z17)+'LINEST VARS'!$R$50*(4)+'LINEST VARS'!$Q$50*(0.5)+'LINEST VARS'!$P$50*(12.73)+'LINEST VARS'!$O$50*($AO$8^2)+'LINEST VARS'!$N$50*($Z17^2)+'LINEST VARS'!$M$50*(4^2)+'LINEST VARS'!$L$50*(0.5^2)+'LINEST VARS'!$K$50*(12.73^2)+'LINEST VARS'!$J$50*($AO$8*$Z17)+'LINEST VARS'!$I$50*($AO$8*4)+'LINEST VARS'!$H$50*($AO$8*0.5)+'LINEST VARS'!$G$50*($AO$8*12.73)+'LINEST VARS'!$F$50*($Z17*4)+'LINEST VARS'!$E$50*($Z17*0.5)+'LINEST VARS'!$D$50*($Z17*12.73)+'LINEST VARS'!$C$50*(4*0.5)+'LINEST VARS'!$B$50*(4*12.73)+'LINEST VARS'!$A$50*(0.5*12.73)</f>
        <v>332.05999999999989</v>
      </c>
      <c r="AP17" s="46">
        <f>'LINEST VARS'!$U$50+'LINEST VARS'!$T$50*($AP$8)+'LINEST VARS'!$S$50*($Z17)+'LINEST VARS'!$R$50*(4)+'LINEST VARS'!$Q$50*(0.5)+'LINEST VARS'!$P$50*(12.73)+'LINEST VARS'!$O$50*($AP$8^2)+'LINEST VARS'!$N$50*($Z17^2)+'LINEST VARS'!$M$50*(4^2)+'LINEST VARS'!$L$50*(0.5^2)+'LINEST VARS'!$K$50*(12.73^2)+'LINEST VARS'!$J$50*($AP$8*$Z17)+'LINEST VARS'!$I$50*($AP$8*4)+'LINEST VARS'!$H$50*($AP$8*0.5)+'LINEST VARS'!$G$50*($AP$8*12.73)+'LINEST VARS'!$F$50*($Z17*4)+'LINEST VARS'!$E$50*($Z17*0.5)+'LINEST VARS'!$D$50*($Z17*12.73)+'LINEST VARS'!$C$50*(4*0.5)+'LINEST VARS'!$B$50*(4*12.73)+'LINEST VARS'!$A$50*(0.5*12.73)</f>
        <v>332.14999999999986</v>
      </c>
      <c r="AQ17" s="46">
        <f>'LINEST VARS'!$U$50+'LINEST VARS'!$T$50*($AQ$8)+'LINEST VARS'!$S$50*($Z17)+'LINEST VARS'!$R$50*(4)+'LINEST VARS'!$Q$50*(0.5)+'LINEST VARS'!$P$50*(12.73)+'LINEST VARS'!$O$50*($AQ$8^2)+'LINEST VARS'!$N$50*($Z17^2)+'LINEST VARS'!$M$50*(4^2)+'LINEST VARS'!$L$50*(0.5^2)+'LINEST VARS'!$K$50*(12.73^2)+'LINEST VARS'!$J$50*($AQ$8*$Z17)+'LINEST VARS'!$I$50*($AQ$8*4)+'LINEST VARS'!$H$50*($AQ$8*0.5)+'LINEST VARS'!$G$50*($AQ$8*12.73)+'LINEST VARS'!$F$50*($Z17*4)+'LINEST VARS'!$E$50*($Z17*0.5)+'LINEST VARS'!$D$50*($Z17*12.73)+'LINEST VARS'!$C$50*(4*0.5)+'LINEST VARS'!$B$50*(4*12.73)+'LINEST VARS'!$A$50*(0.5*12.73)</f>
        <v>332.2399999999999</v>
      </c>
      <c r="AR17" s="46">
        <f>'LINEST VARS'!$U$50+'LINEST VARS'!$T$50*($AR$8)+'LINEST VARS'!$S$50*($Z17)+'LINEST VARS'!$R$50*(4)+'LINEST VARS'!$Q$50*(0.5)+'LINEST VARS'!$P$50*(12.73)+'LINEST VARS'!$O$50*($AR$8^2)+'LINEST VARS'!$N$50*($Z17^2)+'LINEST VARS'!$M$50*(4^2)+'LINEST VARS'!$L$50*(0.5^2)+'LINEST VARS'!$K$50*(12.73^2)+'LINEST VARS'!$J$50*($AR$8*$Z17)+'LINEST VARS'!$I$50*($AR$8*4)+'LINEST VARS'!$H$50*($AR$8*0.5)+'LINEST VARS'!$G$50*($AR$8*12.73)+'LINEST VARS'!$F$50*($Z17*4)+'LINEST VARS'!$E$50*($Z17*0.5)+'LINEST VARS'!$D$50*($Z17*12.73)+'LINEST VARS'!$C$50*(4*0.5)+'LINEST VARS'!$B$50*(4*12.73)+'LINEST VARS'!$A$50*(0.5*12.73)</f>
        <v>332.32999999999987</v>
      </c>
      <c r="AS17" s="46">
        <f>'LINEST VARS'!$U$50+'LINEST VARS'!$T$50*($AS$8)+'LINEST VARS'!$S$50*($Z17)+'LINEST VARS'!$R$50*(4)+'LINEST VARS'!$Q$50*(0.5)+'LINEST VARS'!$P$50*(12.73)+'LINEST VARS'!$O$50*($AS$8^2)+'LINEST VARS'!$N$50*($Z17^2)+'LINEST VARS'!$M$50*(4^2)+'LINEST VARS'!$L$50*(0.5^2)+'LINEST VARS'!$K$50*(12.73^2)+'LINEST VARS'!$J$50*($AS$8*$Z17)+'LINEST VARS'!$I$50*($AS$8*4)+'LINEST VARS'!$H$50*($AS$8*0.5)+'LINEST VARS'!$G$50*($AS$8*12.73)+'LINEST VARS'!$F$50*($Z17*4)+'LINEST VARS'!$E$50*($Z17*0.5)+'LINEST VARS'!$D$50*($Z17*12.73)+'LINEST VARS'!$C$50*(4*0.5)+'LINEST VARS'!$B$50*(4*12.73)+'LINEST VARS'!$A$50*(0.5*12.73)</f>
        <v>332.41999999999985</v>
      </c>
      <c r="AT17" s="46">
        <f>'LINEST VARS'!$U$50+'LINEST VARS'!$T$50*($AT$8)+'LINEST VARS'!$S$50*($Z17)+'LINEST VARS'!$R$50*(4)+'LINEST VARS'!$Q$50*(0.5)+'LINEST VARS'!$P$50*(12.73)+'LINEST VARS'!$O$50*($AT$8^2)+'LINEST VARS'!$N$50*($Z17^2)+'LINEST VARS'!$M$50*(4^2)+'LINEST VARS'!$L$50*(0.5^2)+'LINEST VARS'!$K$50*(12.73^2)+'LINEST VARS'!$J$50*($AT$8*$Z17)+'LINEST VARS'!$I$50*($AT$8*4)+'LINEST VARS'!$H$50*($AT$8*0.5)+'LINEST VARS'!$G$50*($AT$8*12.73)+'LINEST VARS'!$F$50*($Z17*4)+'LINEST VARS'!$E$50*($Z17*0.5)+'LINEST VARS'!$D$50*($Z17*12.73)+'LINEST VARS'!$C$50*(4*0.5)+'LINEST VARS'!$B$50*(4*12.73)+'LINEST VARS'!$A$50*(0.5*12.73)</f>
        <v>332.50999999999988</v>
      </c>
      <c r="AU17" s="47">
        <f>'LINEST VARS'!$U$50+'LINEST VARS'!$T$50*($AU$8)+'LINEST VARS'!$S$50*($Z17)+'LINEST VARS'!$R$50*(4)+'LINEST VARS'!$Q$50*(0.5)+'LINEST VARS'!$P$50*(12.73)+'LINEST VARS'!$O$50*($AU$8^2)+'LINEST VARS'!$N$50*($Z17^2)+'LINEST VARS'!$M$50*(4^2)+'LINEST VARS'!$L$50*(0.5^2)+'LINEST VARS'!$K$50*(12.73^2)+'LINEST VARS'!$J$50*($AU$8*$Z17)+'LINEST VARS'!$I$50*($AU$8*4)+'LINEST VARS'!$H$50*($AU$8*0.5)+'LINEST VARS'!$G$50*($AU$8*12.73)+'LINEST VARS'!$F$50*($Z17*4)+'LINEST VARS'!$E$50*($Z17*0.5)+'LINEST VARS'!$D$50*($Z17*12.73)+'LINEST VARS'!$C$50*(4*0.5)+'LINEST VARS'!$B$50*(4*12.73)+'LINEST VARS'!$A$50*(0.5*12.73)</f>
        <v>332.59999999999985</v>
      </c>
      <c r="AZ17" s="45">
        <v>0.4</v>
      </c>
      <c r="BA17" s="46">
        <f>'LINEST VARS'!$U$48+'LINEST VARS'!$T$48*(8)+'LINEST VARS'!$S$48*(8)+'LINEST VARS'!$R$48*($BA$8)+'LINEST VARS'!$Q$48*($AZ17)+'LINEST VARS'!$P$48*(12.73)+'LINEST VARS'!$O$48*(8^2)+'LINEST VARS'!$N$48*(8^2)+'LINEST VARS'!$M$48*($BA$8^2)+'LINEST VARS'!$L$48*($AZ17^2)+'LINEST VARS'!$K$48*(12.73^2)+'LINEST VARS'!$J$48*(8*8)+'LINEST VARS'!$I$48*(8*$BA$8)+'LINEST VARS'!$H$48*(8*$AZ17)+'LINEST VARS'!$G$48*(8*12.73)+'LINEST VARS'!$F$48*(8*$BA$8)+'LINEST VARS'!$E$48*(8*$AZ17)+'LINEST VARS'!$D$48*(8*12.73)+'LINEST VARS'!$C$48*($BA$8*$AZ17)+'LINEST VARS'!$B$48*($BA$8*12.73)+'LINEST VARS'!$A$48*($AZ17*12.73)</f>
        <v>369.99999999999983</v>
      </c>
      <c r="BB17" s="46">
        <f>'LINEST VARS'!$U$48+'LINEST VARS'!$T$48*(8)+'LINEST VARS'!$S$48*(8)+'LINEST VARS'!$R$48*($BB$8)+'LINEST VARS'!$Q$48*($AZ17)+'LINEST VARS'!$P$48*(12.73)+'LINEST VARS'!$O$48*(8^2)+'LINEST VARS'!$N$48*(8^2)+'LINEST VARS'!$M$48*($BB$8^2)+'LINEST VARS'!$L$48*($AZ17^2)+'LINEST VARS'!$K$48*(12.73^2)+'LINEST VARS'!$J$48*(8*8)+'LINEST VARS'!$I$48*(8*$BB$8)+'LINEST VARS'!$H$48*(8*$AZ17)+'LINEST VARS'!$G$48*(8*12.73)+'LINEST VARS'!$F$48*(8*$BB$8)+'LINEST VARS'!$E$48*(8*$AZ17)+'LINEST VARS'!$D$48*(8*12.73)+'LINEST VARS'!$C$48*($BB$8*$AZ17)+'LINEST VARS'!$B$48*($BB$8*12.73)+'LINEST VARS'!$A$48*($AZ17*12.73)</f>
        <v>369.99999999999983</v>
      </c>
      <c r="BC17" s="46">
        <f>'LINEST VARS'!$U$48+'LINEST VARS'!$T$48*(8)+'LINEST VARS'!$S$48*(8)+'LINEST VARS'!$R$48*($BC$8)+'LINEST VARS'!$Q$48*($AZ17)+'LINEST VARS'!$P$48*(12.73)+'LINEST VARS'!$O$48*(8^2)+'LINEST VARS'!$N$48*(8^2)+'LINEST VARS'!$M$48*($BC$8^2)+'LINEST VARS'!$L$48*($AZ17^2)+'LINEST VARS'!$K$48*(12.73^2)+'LINEST VARS'!$J$48*(8*8)+'LINEST VARS'!$I$48*(8*$BC$8)+'LINEST VARS'!$H$48*(8*$AZ17)+'LINEST VARS'!$G$48*(8*12.73)+'LINEST VARS'!$F$48*(8*$BC$8)+'LINEST VARS'!$E$48*(8*$AZ17)+'LINEST VARS'!$D$48*(8*12.73)+'LINEST VARS'!$C$48*($BC$8*$AZ17)+'LINEST VARS'!$B$48*($BC$8*12.73)+'LINEST VARS'!$A$48*($AZ17*12.73)</f>
        <v>369.99999999999983</v>
      </c>
      <c r="BD17" s="46">
        <f>'LINEST VARS'!$U$48+'LINEST VARS'!$T$48*(8)+'LINEST VARS'!$S$48*(8)+'LINEST VARS'!$R$48*($BD$8)+'LINEST VARS'!$Q$48*($AZ17)+'LINEST VARS'!$P$48*(12.73)+'LINEST VARS'!$O$48*(8^2)+'LINEST VARS'!$N$48*(8^2)+'LINEST VARS'!$M$48*($BD$8^2)+'LINEST VARS'!$L$48*($AZ17^2)+'LINEST VARS'!$K$48*(12.73^2)+'LINEST VARS'!$J$48*(8*8)+'LINEST VARS'!$I$48*(8*$BD$8)+'LINEST VARS'!$H$48*(8*$AZ17)+'LINEST VARS'!$G$48*(8*12.73)+'LINEST VARS'!$F$48*(8*$BD$8)+'LINEST VARS'!$E$48*(8*$AZ17)+'LINEST VARS'!$D$48*(8*12.73)+'LINEST VARS'!$C$48*($BD$8*$AZ17)+'LINEST VARS'!$B$48*($BD$8*12.73)+'LINEST VARS'!$A$48*($AZ17*12.73)</f>
        <v>369.99999999999983</v>
      </c>
      <c r="BE17" s="46">
        <f>'LINEST VARS'!$U$48+'LINEST VARS'!$T$48*(8)+'LINEST VARS'!$S$48*(8)+'LINEST VARS'!$R$48*($BE$8)+'LINEST VARS'!$Q$48*($AZ17)+'LINEST VARS'!$P$48*(12.73)+'LINEST VARS'!$O$48*(8^2)+'LINEST VARS'!$N$48*(8^2)+'LINEST VARS'!$M$48*($BE$8^2)+'LINEST VARS'!$L$48*($AZ17^2)+'LINEST VARS'!$K$48*(12.73^2)+'LINEST VARS'!$J$48*(8*8)+'LINEST VARS'!$I$48*(8*$BE$8)+'LINEST VARS'!$H$48*(8*$AZ17)+'LINEST VARS'!$G$48*(8*12.73)+'LINEST VARS'!$F$48*(8*$BE$8)+'LINEST VARS'!$E$48*(8*$AZ17)+'LINEST VARS'!$D$48*(8*12.73)+'LINEST VARS'!$C$48*($BE$8*$AZ17)+'LINEST VARS'!$B$48*($BE$8*12.73)+'LINEST VARS'!$A$48*($AZ17*12.73)</f>
        <v>369.99999999999983</v>
      </c>
      <c r="BF17" s="46">
        <f>'LINEST VARS'!$U$48+'LINEST VARS'!$T$48*(8)+'LINEST VARS'!$S$48*(8)+'LINEST VARS'!$R$48*($BF$8)+'LINEST VARS'!$Q$48*($AZ17)+'LINEST VARS'!$P$48*(12.73)+'LINEST VARS'!$O$48*(8^2)+'LINEST VARS'!$N$48*(8^2)+'LINEST VARS'!$M$48*($BF$8^2)+'LINEST VARS'!$L$48*($AZ17^2)+'LINEST VARS'!$K$48*(12.73^2)+'LINEST VARS'!$J$48*(8*8)+'LINEST VARS'!$I$48*(8*$BF$8)+'LINEST VARS'!$H$48*(8*$AZ17)+'LINEST VARS'!$G$48*(8*12.73)+'LINEST VARS'!$F$48*(8*$BF$8)+'LINEST VARS'!$E$48*(8*$AZ17)+'LINEST VARS'!$D$48*(8*12.73)+'LINEST VARS'!$C$48*($BF$8*$AZ17)+'LINEST VARS'!$B$48*($BF$8*12.73)+'LINEST VARS'!$A$48*($AZ17*12.73)</f>
        <v>369.99999999999983</v>
      </c>
      <c r="BG17" s="46">
        <f>'LINEST VARS'!$U$48+'LINEST VARS'!$T$48*(8)+'LINEST VARS'!$S$48*(8)+'LINEST VARS'!$R$48*($BG$8)+'LINEST VARS'!$Q$48*($AZ17)+'LINEST VARS'!$P$48*(12.73)+'LINEST VARS'!$O$48*(8^2)+'LINEST VARS'!$N$48*(8^2)+'LINEST VARS'!$M$48*($BG$8^2)+'LINEST VARS'!$L$48*($AZ17^2)+'LINEST VARS'!$K$48*(12.73^2)+'LINEST VARS'!$J$48*(8*8)+'LINEST VARS'!$I$48*(8*$BG$8)+'LINEST VARS'!$H$48*(8*$AZ17)+'LINEST VARS'!$G$48*(8*12.73)+'LINEST VARS'!$F$48*(8*$BG$8)+'LINEST VARS'!$E$48*(8*$AZ17)+'LINEST VARS'!$D$48*(8*12.73)+'LINEST VARS'!$C$48*($BG$8*$AZ17)+'LINEST VARS'!$B$48*($BG$8*12.73)+'LINEST VARS'!$A$48*($AZ17*12.73)</f>
        <v>369.99999999999983</v>
      </c>
      <c r="BH17" s="46">
        <f>'LINEST VARS'!$U$48+'LINEST VARS'!$T$48*(8)+'LINEST VARS'!$S$48*(8)+'LINEST VARS'!$R$48*($BH$8)+'LINEST VARS'!$Q$48*($AZ17)+'LINEST VARS'!$P$48*(12.73)+'LINEST VARS'!$O$48*(8^2)+'LINEST VARS'!$N$48*(8^2)+'LINEST VARS'!$M$48*($BH$8^2)+'LINEST VARS'!$L$48*($AZ17^2)+'LINEST VARS'!$K$48*(12.73^2)+'LINEST VARS'!$J$48*(8*8)+'LINEST VARS'!$I$48*(8*$BH$8)+'LINEST VARS'!$H$48*(8*$AZ17)+'LINEST VARS'!$G$48*(8*12.73)+'LINEST VARS'!$F$48*(8*$BH$8)+'LINEST VARS'!$E$48*(8*$AZ17)+'LINEST VARS'!$D$48*(8*12.73)+'LINEST VARS'!$C$48*($BH$8*$AZ17)+'LINEST VARS'!$B$48*($BH$8*12.73)+'LINEST VARS'!$A$48*($AZ17*12.73)</f>
        <v>369.99999999999983</v>
      </c>
      <c r="BI17" s="46">
        <f>'LINEST VARS'!$U$48+'LINEST VARS'!$T$48*(8)+'LINEST VARS'!$S$48*(8)+'LINEST VARS'!$R$48*($BI$8)+'LINEST VARS'!$Q$48*($AZ17)+'LINEST VARS'!$P$48*(12.73)+'LINEST VARS'!$O$48*(8^2)+'LINEST VARS'!$N$48*(8^2)+'LINEST VARS'!$M$48*($BI$8^2)+'LINEST VARS'!$L$48*($AZ17^2)+'LINEST VARS'!$K$48*(12.73^2)+'LINEST VARS'!$J$48*(8*8)+'LINEST VARS'!$I$48*(8*$BI$8)+'LINEST VARS'!$H$48*(8*$AZ17)+'LINEST VARS'!$G$48*(8*12.73)+'LINEST VARS'!$F$48*(8*$BI$8)+'LINEST VARS'!$E$48*(8*$AZ17)+'LINEST VARS'!$D$48*(8*12.73)+'LINEST VARS'!$C$48*($BI$8*$AZ17)+'LINEST VARS'!$B$48*($BI$8*12.73)+'LINEST VARS'!$A$48*($AZ17*12.73)</f>
        <v>369.99999999999983</v>
      </c>
      <c r="BJ17" s="46">
        <f>'LINEST VARS'!$U$48+'LINEST VARS'!$T$48*(8)+'LINEST VARS'!$S$48*(8)+'LINEST VARS'!$R$48*($BJ$8)+'LINEST VARS'!$Q$48*($AZ17)+'LINEST VARS'!$P$48*(12.73)+'LINEST VARS'!$O$48*(8^2)+'LINEST VARS'!$N$48*(8^2)+'LINEST VARS'!$M$48*($BJ$8^2)+'LINEST VARS'!$L$48*($AZ17^2)+'LINEST VARS'!$K$48*(12.73^2)+'LINEST VARS'!$J$48*(8*8)+'LINEST VARS'!$I$48*(8*$BJ$8)+'LINEST VARS'!$H$48*(8*$AZ17)+'LINEST VARS'!$G$48*(8*12.73)+'LINEST VARS'!$F$48*(8*$BJ$8)+'LINEST VARS'!$E$48*(8*$AZ17)+'LINEST VARS'!$D$48*(8*12.73)+'LINEST VARS'!$C$48*($BJ$8*$AZ17)+'LINEST VARS'!$B$48*($BJ$8*12.73)+'LINEST VARS'!$A$48*($AZ17*12.73)</f>
        <v>369.99999999999983</v>
      </c>
      <c r="BK17" s="46">
        <f>'LINEST VARS'!$U$48+'LINEST VARS'!$T$48*(8)+'LINEST VARS'!$S$48*(8)+'LINEST VARS'!$R$48*($BK$8)+'LINEST VARS'!$Q$48*($AZ17)+'LINEST VARS'!$P$48*(12.73)+'LINEST VARS'!$O$48*(8^2)+'LINEST VARS'!$N$48*(8^2)+'LINEST VARS'!$M$48*($BK$8^2)+'LINEST VARS'!$L$48*($AZ17^2)+'LINEST VARS'!$K$48*(12.73^2)+'LINEST VARS'!$J$48*(8*8)+'LINEST VARS'!$I$48*(8*$BK$8)+'LINEST VARS'!$H$48*(8*$AZ17)+'LINEST VARS'!$G$48*(8*12.73)+'LINEST VARS'!$F$48*(8*$BK$8)+'LINEST VARS'!$E$48*(8*$AZ17)+'LINEST VARS'!$D$48*(8*12.73)+'LINEST VARS'!$C$48*($BK$8*$AZ17)+'LINEST VARS'!$B$48*($BK$8*12.73)+'LINEST VARS'!$A$48*($AZ17*12.73)</f>
        <v>369.99999999999983</v>
      </c>
      <c r="BL17" s="46">
        <f>'LINEST VARS'!$U$48+'LINEST VARS'!$T$48*(8)+'LINEST VARS'!$S$48*(8)+'LINEST VARS'!$R$48*($BL$8)+'LINEST VARS'!$Q$48*($AZ17)+'LINEST VARS'!$P$48*(12.73)+'LINEST VARS'!$O$48*(8^2)+'LINEST VARS'!$N$48*(8^2)+'LINEST VARS'!$M$48*($BL$8^2)+'LINEST VARS'!$L$48*($AZ17^2)+'LINEST VARS'!$K$48*(12.73^2)+'LINEST VARS'!$J$48*(8*8)+'LINEST VARS'!$I$48*(8*$BL$8)+'LINEST VARS'!$H$48*(8*$AZ17)+'LINEST VARS'!$G$48*(8*12.73)+'LINEST VARS'!$F$48*(8*$BL$8)+'LINEST VARS'!$E$48*(8*$AZ17)+'LINEST VARS'!$D$48*(8*12.73)+'LINEST VARS'!$C$48*($BL$8*$AZ17)+'LINEST VARS'!$B$48*($BL$8*12.73)+'LINEST VARS'!$A$48*($AZ17*12.73)</f>
        <v>369.99999999999983</v>
      </c>
      <c r="BM17" s="46">
        <f>'LINEST VARS'!$U$48+'LINEST VARS'!$T$48*(8)+'LINEST VARS'!$S$48*(8)+'LINEST VARS'!$R$48*($BM$8)+'LINEST VARS'!$Q$48*($AZ17)+'LINEST VARS'!$P$48*(12.73)+'LINEST VARS'!$O$48*(8^2)+'LINEST VARS'!$N$48*(8^2)+'LINEST VARS'!$M$48*($BM$8^2)+'LINEST VARS'!$L$48*($AZ17^2)+'LINEST VARS'!$K$48*(12.73^2)+'LINEST VARS'!$J$48*(8*8)+'LINEST VARS'!$I$48*(8*$BM$8)+'LINEST VARS'!$H$48*(8*$AZ17)+'LINEST VARS'!$G$48*(8*12.73)+'LINEST VARS'!$F$48*(8*$BM$8)+'LINEST VARS'!$E$48*(8*$AZ17)+'LINEST VARS'!$D$48*(8*12.73)+'LINEST VARS'!$C$48*($BM$8*$AZ17)+'LINEST VARS'!$B$48*($BM$8*12.73)+'LINEST VARS'!$A$48*($AZ17*12.73)</f>
        <v>369.99999999999983</v>
      </c>
      <c r="BN17" s="46">
        <f>'LINEST VARS'!$U$48+'LINEST VARS'!$T$48*(8)+'LINEST VARS'!$S$48*(8)+'LINEST VARS'!$R$48*($BN$8)+'LINEST VARS'!$Q$48*($AZ17)+'LINEST VARS'!$P$48*(12.73)+'LINEST VARS'!$O$48*(8^2)+'LINEST VARS'!$N$48*(8^2)+'LINEST VARS'!$M$48*($BN$8^2)+'LINEST VARS'!$L$48*($AZ17^2)+'LINEST VARS'!$K$48*(12.73^2)+'LINEST VARS'!$J$48*(8*8)+'LINEST VARS'!$I$48*(8*$BN$8)+'LINEST VARS'!$H$48*(8*$AZ17)+'LINEST VARS'!$G$48*(8*12.73)+'LINEST VARS'!$F$48*(8*$BN$8)+'LINEST VARS'!$E$48*(8*$AZ17)+'LINEST VARS'!$D$48*(8*12.73)+'LINEST VARS'!$C$48*($BN$8*$AZ17)+'LINEST VARS'!$B$48*($BN$8*12.73)+'LINEST VARS'!$A$48*($AZ17*12.73)</f>
        <v>369.99999999999989</v>
      </c>
      <c r="BO17" s="46">
        <f>'LINEST VARS'!$U$48+'LINEST VARS'!$T$48*(8)+'LINEST VARS'!$S$48*(8)+'LINEST VARS'!$R$48*($BO$8)+'LINEST VARS'!$Q$48*($AZ17)+'LINEST VARS'!$P$48*(12.73)+'LINEST VARS'!$O$48*(8^2)+'LINEST VARS'!$N$48*(8^2)+'LINEST VARS'!$M$48*($BO$8^2)+'LINEST VARS'!$L$48*($AZ17^2)+'LINEST VARS'!$K$48*(12.73^2)+'LINEST VARS'!$J$48*(8*8)+'LINEST VARS'!$I$48*(8*$BO$8)+'LINEST VARS'!$H$48*(8*$AZ17)+'LINEST VARS'!$G$48*(8*12.73)+'LINEST VARS'!$F$48*(8*$BO$8)+'LINEST VARS'!$E$48*(8*$AZ17)+'LINEST VARS'!$D$48*(8*12.73)+'LINEST VARS'!$C$48*($BO$8*$AZ17)+'LINEST VARS'!$B$48*($BO$8*12.73)+'LINEST VARS'!$A$48*($AZ17*12.73)</f>
        <v>369.99999999999989</v>
      </c>
      <c r="BP17" s="46">
        <f>'LINEST VARS'!$U$48+'LINEST VARS'!$T$48*(8)+'LINEST VARS'!$S$48*(8)+'LINEST VARS'!$R$48*($BP$8)+'LINEST VARS'!$Q$48*($AZ17)+'LINEST VARS'!$P$48*(12.73)+'LINEST VARS'!$O$48*(8^2)+'LINEST VARS'!$N$48*(8^2)+'LINEST VARS'!$M$48*($BP$8^2)+'LINEST VARS'!$L$48*($AZ17^2)+'LINEST VARS'!$K$48*(12.73^2)+'LINEST VARS'!$J$48*(8*8)+'LINEST VARS'!$I$48*(8*$BP$8)+'LINEST VARS'!$H$48*(8*$AZ17)+'LINEST VARS'!$G$48*(8*12.73)+'LINEST VARS'!$F$48*(8*$BP$8)+'LINEST VARS'!$E$48*(8*$AZ17)+'LINEST VARS'!$D$48*(8*12.73)+'LINEST VARS'!$C$48*($BP$8*$AZ17)+'LINEST VARS'!$B$48*($BP$8*12.73)+'LINEST VARS'!$A$48*($AZ17*12.73)</f>
        <v>369.99999999999989</v>
      </c>
      <c r="BQ17" s="46">
        <f>'LINEST VARS'!$U$48+'LINEST VARS'!$T$48*(8)+'LINEST VARS'!$S$48*(8)+'LINEST VARS'!$R$48*($BQ$8)+'LINEST VARS'!$Q$48*($AZ17)+'LINEST VARS'!$P$48*(12.73)+'LINEST VARS'!$O$48*(8^2)+'LINEST VARS'!$N$48*(8^2)+'LINEST VARS'!$M$48*($BQ$8^2)+'LINEST VARS'!$L$48*($AZ17^2)+'LINEST VARS'!$K$48*(12.73^2)+'LINEST VARS'!$J$48*(8*8)+'LINEST VARS'!$I$48*(8*$BQ$8)+'LINEST VARS'!$H$48*(8*$AZ17)+'LINEST VARS'!$G$48*(8*12.73)+'LINEST VARS'!$F$48*(8*$BQ$8)+'LINEST VARS'!$E$48*(8*$AZ17)+'LINEST VARS'!$D$48*(8*12.73)+'LINEST VARS'!$C$48*($BQ$8*$AZ17)+'LINEST VARS'!$B$48*($BQ$8*12.73)+'LINEST VARS'!$A$48*($AZ17*12.73)</f>
        <v>369.99999999999983</v>
      </c>
      <c r="BR17" s="46">
        <f>'LINEST VARS'!$U$48+'LINEST VARS'!$T$48*(8)+'LINEST VARS'!$S$48*(8)+'LINEST VARS'!$R$48*($BR$8)+'LINEST VARS'!$Q$48*($AZ17)+'LINEST VARS'!$P$48*(12.73)+'LINEST VARS'!$O$48*(8^2)+'LINEST VARS'!$N$48*(8^2)+'LINEST VARS'!$M$48*($BR$8^2)+'LINEST VARS'!$L$48*($AZ17^2)+'LINEST VARS'!$K$48*(12.73^2)+'LINEST VARS'!$J$48*(8*8)+'LINEST VARS'!$I$48*(8*$BR$8)+'LINEST VARS'!$H$48*(8*$AZ17)+'LINEST VARS'!$G$48*(8*12.73)+'LINEST VARS'!$F$48*(8*$BR$8)+'LINEST VARS'!$E$48*(8*$AZ17)+'LINEST VARS'!$D$48*(8*12.73)+'LINEST VARS'!$C$48*($BR$8*$AZ17)+'LINEST VARS'!$B$48*($BR$8*12.73)+'LINEST VARS'!$A$48*($AZ17*12.73)</f>
        <v>369.99999999999983</v>
      </c>
      <c r="BS17" s="46">
        <f>'LINEST VARS'!$U$48+'LINEST VARS'!$T$48*(8)+'LINEST VARS'!$S$48*(8)+'LINEST VARS'!$R$48*($BS$8)+'LINEST VARS'!$Q$48*($AZ17)+'LINEST VARS'!$P$48*(12.73)+'LINEST VARS'!$O$48*(8^2)+'LINEST VARS'!$N$48*(8^2)+'LINEST VARS'!$M$48*($BS$8^2)+'LINEST VARS'!$L$48*($AZ17^2)+'LINEST VARS'!$K$48*(12.73^2)+'LINEST VARS'!$J$48*(8*8)+'LINEST VARS'!$I$48*(8*$BS$8)+'LINEST VARS'!$H$48*(8*$AZ17)+'LINEST VARS'!$G$48*(8*12.73)+'LINEST VARS'!$F$48*(8*$BS$8)+'LINEST VARS'!$E$48*(8*$AZ17)+'LINEST VARS'!$D$48*(8*12.73)+'LINEST VARS'!$C$48*($BS$8*$AZ17)+'LINEST VARS'!$B$48*($BS$8*12.73)+'LINEST VARS'!$A$48*($AZ17*12.73)</f>
        <v>369.99999999999983</v>
      </c>
      <c r="BT17" s="46">
        <f>'LINEST VARS'!$U$48+'LINEST VARS'!$T$48*(8)+'LINEST VARS'!$S$48*(8)+'LINEST VARS'!$R$48*($BT$8)+'LINEST VARS'!$Q$48*($AZ17)+'LINEST VARS'!$P$48*(12.73)+'LINEST VARS'!$O$48*(8^2)+'LINEST VARS'!$N$48*(8^2)+'LINEST VARS'!$M$48*($BT$8^2)+'LINEST VARS'!$L$48*($AZ17^2)+'LINEST VARS'!$K$48*(12.73^2)+'LINEST VARS'!$J$48*(8*8)+'LINEST VARS'!$I$48*(8*$BT$8)+'LINEST VARS'!$H$48*(8*$AZ17)+'LINEST VARS'!$G$48*(8*12.73)+'LINEST VARS'!$F$48*(8*$BT$8)+'LINEST VARS'!$E$48*(8*$AZ17)+'LINEST VARS'!$D$48*(8*12.73)+'LINEST VARS'!$C$48*($BT$8*$AZ17)+'LINEST VARS'!$B$48*($BT$8*12.73)+'LINEST VARS'!$A$48*($AZ17*12.73)</f>
        <v>369.99999999999983</v>
      </c>
      <c r="BU17" s="47">
        <f>'LINEST VARS'!$U$48+'LINEST VARS'!$T$48*(8)+'LINEST VARS'!$S$48*(8)+'LINEST VARS'!$R$48*($BU$8)+'LINEST VARS'!$Q$48*($AZ17)+'LINEST VARS'!$P$48*(12.73)+'LINEST VARS'!$O$48*(8^2)+'LINEST VARS'!$N$48*(8^2)+'LINEST VARS'!$M$48*($BU$8^2)+'LINEST VARS'!$L$48*($AZ17^2)+'LINEST VARS'!$K$48*(12.73^2)+'LINEST VARS'!$J$48*(8*8)+'LINEST VARS'!$I$48*(8*$BU$8)+'LINEST VARS'!$H$48*(8*$AZ17)+'LINEST VARS'!$G$48*(8*12.73)+'LINEST VARS'!$F$48*(8*$BU$8)+'LINEST VARS'!$E$48*(8*$AZ17)+'LINEST VARS'!$D$48*(8*12.73)+'LINEST VARS'!$C$48*($BU$8*$AZ17)+'LINEST VARS'!$B$48*($BU$8*12.73)+'LINEST VARS'!$A$48*($AZ17*12.73)</f>
        <v>369.99999999999983</v>
      </c>
      <c r="BX17" s="45">
        <v>0.4</v>
      </c>
      <c r="BY17" s="46">
        <f>'LINEST VARS'!$U$50+'LINEST VARS'!$T$50*(8)+'LINEST VARS'!$S$50*(8)+'LINEST VARS'!$R$50*($BY$8)+'LINEST VARS'!$Q$50*($BX17)+'LINEST VARS'!$P$50*(12.73)+'LINEST VARS'!$O$50*(8^2)+'LINEST VARS'!$N$50*(8^2)+'LINEST VARS'!$M$50*($BY$8^2)+'LINEST VARS'!$L$50*($BX17^2)+'LINEST VARS'!$K$50*(12.73^2)+'LINEST VARS'!$J$50*(8*8)+'LINEST VARS'!$I$50*(8*$BY$8)+'LINEST VARS'!$H$50*(8*$BX17)+'LINEST VARS'!$G$50*(8*12.73)+'LINEST VARS'!$F$50*(8*$BY$8)+'LINEST VARS'!$E$50*(8*$BX17)+'LINEST VARS'!$D$50*(8*12.73)+'LINEST VARS'!$C$50*($BY$8*$BX17)+'LINEST VARS'!$B$50*($BY$8*12.73)+'LINEST VARS'!$A$50*($BX17*12.73)</f>
        <v>331.99999999999989</v>
      </c>
      <c r="BZ17" s="46">
        <f>'LINEST VARS'!$U$50+'LINEST VARS'!$T$50*(8)+'LINEST VARS'!$S$50*(8)+'LINEST VARS'!$R$50*($BZ$8)+'LINEST VARS'!$Q$50*($BX17)+'LINEST VARS'!$P$50*(12.73)+'LINEST VARS'!$O$50*(8^2)+'LINEST VARS'!$N$50*(8^2)+'LINEST VARS'!$M$50*($BZ$8^2)+'LINEST VARS'!$L$50*($BX17^2)+'LINEST VARS'!$K$50*(12.73^2)+'LINEST VARS'!$J$50*(8*8)+'LINEST VARS'!$I$50*(8*$BZ$8)+'LINEST VARS'!$H$50*(8*$BX17)+'LINEST VARS'!$G$50*(8*12.73)+'LINEST VARS'!$F$50*(8*$BZ$8)+'LINEST VARS'!$E$50*(8*$BX17)+'LINEST VARS'!$D$50*(8*12.73)+'LINEST VARS'!$C$50*($BZ$8*$BX17)+'LINEST VARS'!$B$50*($BZ$8*12.73)+'LINEST VARS'!$A$50*($BX17*12.73)</f>
        <v>331.99999999999989</v>
      </c>
      <c r="CA17" s="46">
        <f>'LINEST VARS'!$U$50+'LINEST VARS'!$T$50*(8)+'LINEST VARS'!$S$50*(8)+'LINEST VARS'!$R$50*($CA$8)+'LINEST VARS'!$Q$50*($BX17)+'LINEST VARS'!$P$50*(12.73)+'LINEST VARS'!$O$50*(8^2)+'LINEST VARS'!$N$50*(8^2)+'LINEST VARS'!$M$50*($CA$8^2)+'LINEST VARS'!$L$50*($BX17^2)+'LINEST VARS'!$K$50*(12.73^2)+'LINEST VARS'!$J$50*(8*8)+'LINEST VARS'!$I$50*(8*$CA$8)+'LINEST VARS'!$H$50*(8*$BX17)+'LINEST VARS'!$G$50*(8*12.73)+'LINEST VARS'!$F$50*(8*$CA$8)+'LINEST VARS'!$E$50*(8*$BX17)+'LINEST VARS'!$D$50*(8*12.73)+'LINEST VARS'!$C$50*($CA$8*$BX17)+'LINEST VARS'!$B$50*($CA$8*12.73)+'LINEST VARS'!$A$50*($BX17*12.73)</f>
        <v>331.99999999999989</v>
      </c>
      <c r="CB17" s="46">
        <f>'LINEST VARS'!$U$50+'LINEST VARS'!$T$50*(8)+'LINEST VARS'!$S$50*(8)+'LINEST VARS'!$R$50*($CB$8)+'LINEST VARS'!$Q$50*($BX17)+'LINEST VARS'!$P$50*(12.73)+'LINEST VARS'!$O$50*(8^2)+'LINEST VARS'!$N$50*(8^2)+'LINEST VARS'!$M$50*($CB$8^2)+'LINEST VARS'!$L$50*($BX17^2)+'LINEST VARS'!$K$50*(12.73^2)+'LINEST VARS'!$J$50*(8*8)+'LINEST VARS'!$I$50*(8*$CB$8)+'LINEST VARS'!$H$50*(8*$BX17)+'LINEST VARS'!$G$50*(8*12.73)+'LINEST VARS'!$F$50*(8*$CB$8)+'LINEST VARS'!$E$50*(8*$BX17)+'LINEST VARS'!$D$50*(8*12.73)+'LINEST VARS'!$C$50*($CB$8*$BX17)+'LINEST VARS'!$B$50*($CB$8*12.73)+'LINEST VARS'!$A$50*($BX17*12.73)</f>
        <v>331.99999999999989</v>
      </c>
      <c r="CC17" s="46">
        <f>'LINEST VARS'!$U$50+'LINEST VARS'!$T$50*(8)+'LINEST VARS'!$S$50*(8)+'LINEST VARS'!$R$50*($CC$8)+'LINEST VARS'!$Q$50*($BX17)+'LINEST VARS'!$P$50*(12.73)+'LINEST VARS'!$O$50*(8^2)+'LINEST VARS'!$N$50*(8^2)+'LINEST VARS'!$M$50*($CC$8^2)+'LINEST VARS'!$L$50*($BX17^2)+'LINEST VARS'!$K$50*(12.73^2)+'LINEST VARS'!$J$50*(8*8)+'LINEST VARS'!$I$50*(8*$CC$8)+'LINEST VARS'!$H$50*(8*$BX17)+'LINEST VARS'!$G$50*(8*12.73)+'LINEST VARS'!$F$50*(8*$CC$8)+'LINEST VARS'!$E$50*(8*$BX17)+'LINEST VARS'!$D$50*(8*12.73)+'LINEST VARS'!$C$50*($CC$8*$BX17)+'LINEST VARS'!$B$50*($CC$8*12.73)+'LINEST VARS'!$A$50*($BX17*12.73)</f>
        <v>331.99999999999989</v>
      </c>
      <c r="CD17" s="46">
        <f>'LINEST VARS'!$U$50+'LINEST VARS'!$T$50*(8)+'LINEST VARS'!$S$50*(8)+'LINEST VARS'!$R$50*($CD$8)+'LINEST VARS'!$Q$50*($BX17)+'LINEST VARS'!$P$50*(12.73)+'LINEST VARS'!$O$50*(8^2)+'LINEST VARS'!$N$50*(8^2)+'LINEST VARS'!$M$50*($CD$8^2)+'LINEST VARS'!$L$50*($BX17^2)+'LINEST VARS'!$K$50*(12.73^2)+'LINEST VARS'!$J$50*(8*8)+'LINEST VARS'!$I$50*(8*$CD$8)+'LINEST VARS'!$H$50*(8*$BX17)+'LINEST VARS'!$G$50*(8*12.73)+'LINEST VARS'!$F$50*(8*$CD$8)+'LINEST VARS'!$E$50*(8*$BX17)+'LINEST VARS'!$D$50*(8*12.73)+'LINEST VARS'!$C$50*($CD$8*$BX17)+'LINEST VARS'!$B$50*($CD$8*12.73)+'LINEST VARS'!$A$50*($BX17*12.73)</f>
        <v>331.99999999999989</v>
      </c>
      <c r="CE17" s="46">
        <f>'LINEST VARS'!$U$50+'LINEST VARS'!$T$50*(8)+'LINEST VARS'!$S$50*(8)+'LINEST VARS'!$R$50*($CE$8)+'LINEST VARS'!$Q$50*($BX17)+'LINEST VARS'!$P$50*(12.73)+'LINEST VARS'!$O$50*(8^2)+'LINEST VARS'!$N$50*(8^2)+'LINEST VARS'!$M$50*($CE$8^2)+'LINEST VARS'!$L$50*($BX17^2)+'LINEST VARS'!$K$50*(12.73^2)+'LINEST VARS'!$J$50*(8*8)+'LINEST VARS'!$I$50*(8*$CE$8)+'LINEST VARS'!$H$50*(8*$BX17)+'LINEST VARS'!$G$50*(8*12.73)+'LINEST VARS'!$F$50*(8*$CE$8)+'LINEST VARS'!$E$50*(8*$BX17)+'LINEST VARS'!$D$50*(8*12.73)+'LINEST VARS'!$C$50*($CE$8*$BX17)+'LINEST VARS'!$B$50*($CE$8*12.73)+'LINEST VARS'!$A$50*($BX17*12.73)</f>
        <v>331.99999999999989</v>
      </c>
      <c r="CF17" s="46">
        <f>'LINEST VARS'!$U$50+'LINEST VARS'!$T$50*(8)+'LINEST VARS'!$S$50*(8)+'LINEST VARS'!$R$50*($CF$8)+'LINEST VARS'!$Q$50*($BX17)+'LINEST VARS'!$P$50*(12.73)+'LINEST VARS'!$O$50*(8^2)+'LINEST VARS'!$N$50*(8^2)+'LINEST VARS'!$M$50*($CF$8^2)+'LINEST VARS'!$L$50*($BX17^2)+'LINEST VARS'!$K$50*(12.73^2)+'LINEST VARS'!$J$50*(8*8)+'LINEST VARS'!$I$50*(8*$CF$8)+'LINEST VARS'!$H$50*(8*$BX17)+'LINEST VARS'!$G$50*(8*12.73)+'LINEST VARS'!$F$50*(8*$CF$8)+'LINEST VARS'!$E$50*(8*$BX17)+'LINEST VARS'!$D$50*(8*12.73)+'LINEST VARS'!$C$50*($CF$8*$BX17)+'LINEST VARS'!$B$50*($CF$8*12.73)+'LINEST VARS'!$A$50*($BX17*12.73)</f>
        <v>331.99999999999989</v>
      </c>
      <c r="CG17" s="46">
        <f>'LINEST VARS'!$U$50+'LINEST VARS'!$T$50*(8)+'LINEST VARS'!$S$50*(8)+'LINEST VARS'!$R$50*($CG$8)+'LINEST VARS'!$Q$50*($BX17)+'LINEST VARS'!$P$50*(12.73)+'LINEST VARS'!$O$50*(8^2)+'LINEST VARS'!$N$50*(8^2)+'LINEST VARS'!$M$50*($CG$8^2)+'LINEST VARS'!$L$50*($BX17^2)+'LINEST VARS'!$K$50*(12.73^2)+'LINEST VARS'!$J$50*(8*8)+'LINEST VARS'!$I$50*(8*$CG$8)+'LINEST VARS'!$H$50*(8*$BX17)+'LINEST VARS'!$G$50*(8*12.73)+'LINEST VARS'!$F$50*(8*$CG$8)+'LINEST VARS'!$E$50*(8*$BX17)+'LINEST VARS'!$D$50*(8*12.73)+'LINEST VARS'!$C$50*($CG$8*$BX17)+'LINEST VARS'!$B$50*($CG$8*12.73)+'LINEST VARS'!$A$50*($BX17*12.73)</f>
        <v>331.99999999999989</v>
      </c>
      <c r="CH17" s="46">
        <f>'LINEST VARS'!$U$50+'LINEST VARS'!$T$50*(8)+'LINEST VARS'!$S$50*(8)+'LINEST VARS'!$R$50*($CH$8)+'LINEST VARS'!$Q$50*($BX17)+'LINEST VARS'!$P$50*(12.73)+'LINEST VARS'!$O$50*(8^2)+'LINEST VARS'!$N$50*(8^2)+'LINEST VARS'!$M$50*($CH$8^2)+'LINEST VARS'!$L$50*($BX17^2)+'LINEST VARS'!$K$50*(12.73^2)+'LINEST VARS'!$J$50*(8*8)+'LINEST VARS'!$I$50*(8*$CH$8)+'LINEST VARS'!$H$50*(8*$BX17)+'LINEST VARS'!$G$50*(8*12.73)+'LINEST VARS'!$F$50*(8*$CH$8)+'LINEST VARS'!$E$50*(8*$BX17)+'LINEST VARS'!$D$50*(8*12.73)+'LINEST VARS'!$C$50*($CH$8*$BX17)+'LINEST VARS'!$B$50*($CH$8*12.73)+'LINEST VARS'!$A$50*($BX17*12.73)</f>
        <v>331.99999999999989</v>
      </c>
      <c r="CI17" s="46">
        <f>'LINEST VARS'!$U$50+'LINEST VARS'!$T$50*(8)+'LINEST VARS'!$S$50*(8)+'LINEST VARS'!$R$50*($CI$8)+'LINEST VARS'!$Q$50*($BX17)+'LINEST VARS'!$P$50*(12.73)+'LINEST VARS'!$O$50*(8^2)+'LINEST VARS'!$N$50*(8^2)+'LINEST VARS'!$M$50*($CI$8^2)+'LINEST VARS'!$L$50*($BX17^2)+'LINEST VARS'!$K$50*(12.73^2)+'LINEST VARS'!$J$50*(8*8)+'LINEST VARS'!$I$50*(8*$CI$8)+'LINEST VARS'!$H$50*(8*$BX17)+'LINEST VARS'!$G$50*(8*12.73)+'LINEST VARS'!$F$50*(8*$CI$8)+'LINEST VARS'!$E$50*(8*$BX17)+'LINEST VARS'!$D$50*(8*12.73)+'LINEST VARS'!$C$50*($CI$8*$BX17)+'LINEST VARS'!$B$50*($CI$8*12.73)+'LINEST VARS'!$A$50*($BX17*12.73)</f>
        <v>331.99999999999989</v>
      </c>
      <c r="CJ17" s="46">
        <f>'LINEST VARS'!$U$50+'LINEST VARS'!$T$50*(8)+'LINEST VARS'!$S$50*(8)+'LINEST VARS'!$R$50*($CJ$8)+'LINEST VARS'!$Q$50*($BX17)+'LINEST VARS'!$P$50*(12.73)+'LINEST VARS'!$O$50*(8^2)+'LINEST VARS'!$N$50*(8^2)+'LINEST VARS'!$M$50*($CJ$8^2)+'LINEST VARS'!$L$50*($BX17^2)+'LINEST VARS'!$K$50*(12.73^2)+'LINEST VARS'!$J$50*(8*8)+'LINEST VARS'!$I$50*(8*$CJ$8)+'LINEST VARS'!$H$50*(8*$BX17)+'LINEST VARS'!$G$50*(8*12.73)+'LINEST VARS'!$F$50*(8*$CJ$8)+'LINEST VARS'!$E$50*(8*$BX17)+'LINEST VARS'!$D$50*(8*12.73)+'LINEST VARS'!$C$50*($CJ$8*$BX17)+'LINEST VARS'!$B$50*($CJ$8*12.73)+'LINEST VARS'!$A$50*($BX17*12.73)</f>
        <v>331.99999999999989</v>
      </c>
      <c r="CK17" s="46">
        <f>'LINEST VARS'!$U$50+'LINEST VARS'!$T$50*(8)+'LINEST VARS'!$S$50*(8)+'LINEST VARS'!$R$50*($CK$8)+'LINEST VARS'!$Q$50*($BX17)+'LINEST VARS'!$P$50*(12.73)+'LINEST VARS'!$O$50*(8^2)+'LINEST VARS'!$N$50*(8^2)+'LINEST VARS'!$M$50*($CK$8^2)+'LINEST VARS'!$L$50*($BX17^2)+'LINEST VARS'!$K$50*(12.73^2)+'LINEST VARS'!$J$50*(8*8)+'LINEST VARS'!$I$50*(8*$CK$8)+'LINEST VARS'!$H$50*(8*$BX17)+'LINEST VARS'!$G$50*(8*12.73)+'LINEST VARS'!$F$50*(8*$CK$8)+'LINEST VARS'!$E$50*(8*$BX17)+'LINEST VARS'!$D$50*(8*12.73)+'LINEST VARS'!$C$50*($CK$8*$BX17)+'LINEST VARS'!$B$50*($CK$8*12.73)+'LINEST VARS'!$A$50*($BX17*12.73)</f>
        <v>331.99999999999989</v>
      </c>
      <c r="CL17" s="46">
        <f>'LINEST VARS'!$U$50+'LINEST VARS'!$T$50*(8)+'LINEST VARS'!$S$50*(8)+'LINEST VARS'!$R$50*($CL$8)+'LINEST VARS'!$Q$50*($BX17)+'LINEST VARS'!$P$50*(12.73)+'LINEST VARS'!$O$50*(8^2)+'LINEST VARS'!$N$50*(8^2)+'LINEST VARS'!$M$50*($CL$8^2)+'LINEST VARS'!$L$50*($BX17^2)+'LINEST VARS'!$K$50*(12.73^2)+'LINEST VARS'!$J$50*(8*8)+'LINEST VARS'!$I$50*(8*$CL$8)+'LINEST VARS'!$H$50*(8*$BX17)+'LINEST VARS'!$G$50*(8*12.73)+'LINEST VARS'!$F$50*(8*$CL$8)+'LINEST VARS'!$E$50*(8*$BX17)+'LINEST VARS'!$D$50*(8*12.73)+'LINEST VARS'!$C$50*($CL$8*$BX17)+'LINEST VARS'!$B$50*($CL$8*12.73)+'LINEST VARS'!$A$50*($BX17*12.73)</f>
        <v>331.99999999999989</v>
      </c>
      <c r="CM17" s="46">
        <f>'LINEST VARS'!$U$50+'LINEST VARS'!$T$50*(8)+'LINEST VARS'!$S$50*(8)+'LINEST VARS'!$R$50*($CM$8)+'LINEST VARS'!$Q$50*($BX17)+'LINEST VARS'!$P$50*(12.73)+'LINEST VARS'!$O$50*(8^2)+'LINEST VARS'!$N$50*(8^2)+'LINEST VARS'!$M$50*($CM$8^2)+'LINEST VARS'!$L$50*($BX17^2)+'LINEST VARS'!$K$50*(12.73^2)+'LINEST VARS'!$J$50*(8*8)+'LINEST VARS'!$I$50*(8*$CM$8)+'LINEST VARS'!$H$50*(8*$BX17)+'LINEST VARS'!$G$50*(8*12.73)+'LINEST VARS'!$F$50*(8*$CM$8)+'LINEST VARS'!$E$50*(8*$BX17)+'LINEST VARS'!$D$50*(8*12.73)+'LINEST VARS'!$C$50*($CM$8*$BX17)+'LINEST VARS'!$B$50*($CM$8*12.73)+'LINEST VARS'!$A$50*($BX17*12.73)</f>
        <v>331.99999999999989</v>
      </c>
      <c r="CN17" s="46">
        <f>'LINEST VARS'!$U$50+'LINEST VARS'!$T$50*(8)+'LINEST VARS'!$S$50*(8)+'LINEST VARS'!$R$50*($CN$8)+'LINEST VARS'!$Q$50*($BX17)+'LINEST VARS'!$P$50*(12.73)+'LINEST VARS'!$O$50*(8^2)+'LINEST VARS'!$N$50*(8^2)+'LINEST VARS'!$M$50*($CN$8^2)+'LINEST VARS'!$L$50*($BX17^2)+'LINEST VARS'!$K$50*(12.73^2)+'LINEST VARS'!$J$50*(8*8)+'LINEST VARS'!$I$50*(8*$CN$8)+'LINEST VARS'!$H$50*(8*$BX17)+'LINEST VARS'!$G$50*(8*12.73)+'LINEST VARS'!$F$50*(8*$CN$8)+'LINEST VARS'!$E$50*(8*$BX17)+'LINEST VARS'!$D$50*(8*12.73)+'LINEST VARS'!$C$50*($CN$8*$BX17)+'LINEST VARS'!$B$50*($CN$8*12.73)+'LINEST VARS'!$A$50*($BX17*12.73)</f>
        <v>331.99999999999989</v>
      </c>
      <c r="CO17" s="46">
        <f>'LINEST VARS'!$U$50+'LINEST VARS'!$T$50*(8)+'LINEST VARS'!$S$50*(8)+'LINEST VARS'!$R$50*($CO$8)+'LINEST VARS'!$Q$50*($BX17)+'LINEST VARS'!$P$50*(12.73)+'LINEST VARS'!$O$50*(8^2)+'LINEST VARS'!$N$50*(8^2)+'LINEST VARS'!$M$50*($CO$8^2)+'LINEST VARS'!$L$50*($BX17^2)+'LINEST VARS'!$K$50*(12.73^2)+'LINEST VARS'!$J$50*(8*8)+'LINEST VARS'!$I$50*(8*$CO$8)+'LINEST VARS'!$H$50*(8*$BX17)+'LINEST VARS'!$G$50*(8*12.73)+'LINEST VARS'!$F$50*(8*$CO$8)+'LINEST VARS'!$E$50*(8*$BX17)+'LINEST VARS'!$D$50*(8*12.73)+'LINEST VARS'!$C$50*($CO$8*$BX17)+'LINEST VARS'!$B$50*($CO$8*12.73)+'LINEST VARS'!$A$50*($BX17*12.73)</f>
        <v>331.99999999999989</v>
      </c>
      <c r="CP17" s="46">
        <f>'LINEST VARS'!$U$50+'LINEST VARS'!$T$50*(8)+'LINEST VARS'!$S$50*(8)+'LINEST VARS'!$R$50*($CP$8)+'LINEST VARS'!$Q$50*($BX17)+'LINEST VARS'!$P$50*(12.73)+'LINEST VARS'!$O$50*(8^2)+'LINEST VARS'!$N$50*(8^2)+'LINEST VARS'!$M$50*($CP$8^2)+'LINEST VARS'!$L$50*($BX17^2)+'LINEST VARS'!$K$50*(12.73^2)+'LINEST VARS'!$J$50*(8*8)+'LINEST VARS'!$I$50*(8*$CP$8)+'LINEST VARS'!$H$50*(8*$BX17)+'LINEST VARS'!$G$50*(8*12.73)+'LINEST VARS'!$F$50*(8*$CP$8)+'LINEST VARS'!$E$50*(8*$BX17)+'LINEST VARS'!$D$50*(8*12.73)+'LINEST VARS'!$C$50*($CP$8*$BX17)+'LINEST VARS'!$B$50*($CP$8*12.73)+'LINEST VARS'!$A$50*($BX17*12.73)</f>
        <v>331.99999999999989</v>
      </c>
      <c r="CQ17" s="46">
        <f>'LINEST VARS'!$U$50+'LINEST VARS'!$T$50*(8)+'LINEST VARS'!$S$50*(8)+'LINEST VARS'!$R$50*($CQ$8)+'LINEST VARS'!$Q$50*($BX17)+'LINEST VARS'!$P$50*(12.73)+'LINEST VARS'!$O$50*(8^2)+'LINEST VARS'!$N$50*(8^2)+'LINEST VARS'!$M$50*($CQ$8^2)+'LINEST VARS'!$L$50*($BX17^2)+'LINEST VARS'!$K$50*(12.73^2)+'LINEST VARS'!$J$50*(8*8)+'LINEST VARS'!$I$50*(8*$CQ$8)+'LINEST VARS'!$H$50*(8*$BX17)+'LINEST VARS'!$G$50*(8*12.73)+'LINEST VARS'!$F$50*(8*$CQ$8)+'LINEST VARS'!$E$50*(8*$BX17)+'LINEST VARS'!$D$50*(8*12.73)+'LINEST VARS'!$C$50*($CQ$8*$BX17)+'LINEST VARS'!$B$50*($CQ$8*12.73)+'LINEST VARS'!$A$50*($BX17*12.73)</f>
        <v>331.99999999999989</v>
      </c>
      <c r="CR17" s="46">
        <f>'LINEST VARS'!$U$50+'LINEST VARS'!$T$50*(8)+'LINEST VARS'!$S$50*(8)+'LINEST VARS'!$R$50*($CR$8)+'LINEST VARS'!$Q$50*($BX17)+'LINEST VARS'!$P$50*(12.73)+'LINEST VARS'!$O$50*(8^2)+'LINEST VARS'!$N$50*(8^2)+'LINEST VARS'!$M$50*($CR$8^2)+'LINEST VARS'!$L$50*($BX17^2)+'LINEST VARS'!$K$50*(12.73^2)+'LINEST VARS'!$J$50*(8*8)+'LINEST VARS'!$I$50*(8*$CR$8)+'LINEST VARS'!$H$50*(8*$BX17)+'LINEST VARS'!$G$50*(8*12.73)+'LINEST VARS'!$F$50*(8*$CR$8)+'LINEST VARS'!$E$50*(8*$BX17)+'LINEST VARS'!$D$50*(8*12.73)+'LINEST VARS'!$C$50*($CR$8*$BX17)+'LINEST VARS'!$B$50*($CR$8*12.73)+'LINEST VARS'!$A$50*($BX17*12.73)</f>
        <v>331.99999999999989</v>
      </c>
      <c r="CS17" s="47">
        <f>'LINEST VARS'!$U$50+'LINEST VARS'!$T$50*(8)+'LINEST VARS'!$S$50*(8)+'LINEST VARS'!$R$50*($CS$8)+'LINEST VARS'!$Q$50*($BX17)+'LINEST VARS'!$P$50*(12.73)+'LINEST VARS'!$O$50*(8^2)+'LINEST VARS'!$N$50*(8^2)+'LINEST VARS'!$M$50*($CS$8^2)+'LINEST VARS'!$L$50*($BX17^2)+'LINEST VARS'!$K$50*(12.73^2)+'LINEST VARS'!$J$50*(8*8)+'LINEST VARS'!$I$50*(8*$CS$8)+'LINEST VARS'!$H$50*(8*$BX17)+'LINEST VARS'!$G$50*(8*12.73)+'LINEST VARS'!$F$50*(8*$CS$8)+'LINEST VARS'!$E$50*(8*$BX17)+'LINEST VARS'!$D$50*(8*12.73)+'LINEST VARS'!$C$50*($CS$8*$BX17)+'LINEST VARS'!$B$50*($CS$8*12.73)+'LINEST VARS'!$A$50*($BX17*12.73)</f>
        <v>331.99999999999989</v>
      </c>
      <c r="CX17" s="45">
        <v>10.396000000000001</v>
      </c>
      <c r="CY17" s="46">
        <f>'LINEST VARS'!$U$48+'LINEST VARS'!$T$48*(8)+'LINEST VARS'!$S$48*(8)+'LINEST VARS'!$R$48*($CY$8)+'LINEST VARS'!$Q$48*(0.5)+'LINEST VARS'!$P$48*($CX17)+'LINEST VARS'!$O$48*(8^2)+'LINEST VARS'!$N$48*(8^2)+'LINEST VARS'!$M$48*($CY$8^2)+'LINEST VARS'!$L$48*(0.5^2)+'LINEST VARS'!$K$48*($CX17^2)+'LINEST VARS'!$J$48*(8*8)+'LINEST VARS'!$I$48*(8*$CY$8)+'LINEST VARS'!$H$48*(8*0.5)+'LINEST VARS'!$G$48*(8*$CX17)+'LINEST VARS'!$F$48*(8*$CY$8)+'LINEST VARS'!$E$48*(8*0.5)+'LINEST VARS'!$D$48*(8*$CX17)+'LINEST VARS'!$C$48*($CY$8*0.5)+'LINEST VARS'!$B$48*($CY$8*$CX17)+'LINEST VARS'!$A$48*(0.5*$CX17)</f>
        <v>369.99999999999989</v>
      </c>
      <c r="CZ17" s="46">
        <f>'LINEST VARS'!$U$48+'LINEST VARS'!$T$48*(8)+'LINEST VARS'!$S$48*(8)+'LINEST VARS'!$R$48*($CZ$8)+'LINEST VARS'!$Q$48*(0.5)+'LINEST VARS'!$P$48*($CX17)+'LINEST VARS'!$O$48*(8^2)+'LINEST VARS'!$N$48*(8^2)+'LINEST VARS'!$M$48*($CZ$8^2)+'LINEST VARS'!$L$48*(0.5^2)+'LINEST VARS'!$K$48*($CX17^2)+'LINEST VARS'!$J$48*(8*8)+'LINEST VARS'!$I$48*(8*$CZ$8)+'LINEST VARS'!$H$48*(8*0.5)+'LINEST VARS'!$G$48*(8*$CX17)+'LINEST VARS'!$F$48*(8*$CZ$8)+'LINEST VARS'!$E$48*(8*0.5)+'LINEST VARS'!$D$48*(8*$CX17)+'LINEST VARS'!$C$48*($CZ$8*0.5)+'LINEST VARS'!$B$48*($CZ$8*$CX17)+'LINEST VARS'!$A$48*(0.5*$CX17)</f>
        <v>369.99999999999989</v>
      </c>
      <c r="DA17" s="46">
        <f>'LINEST VARS'!$U$48+'LINEST VARS'!$T$48*(8)+'LINEST VARS'!$S$48*(8)+'LINEST VARS'!$R$48*($DA$8)+'LINEST VARS'!$Q$48*(0.5)+'LINEST VARS'!$P$48*($CX17)+'LINEST VARS'!$O$48*(8^2)+'LINEST VARS'!$N$48*(8^2)+'LINEST VARS'!$M$48*($DA$8^2)+'LINEST VARS'!$L$48*(0.5^2)+'LINEST VARS'!$K$48*($CX17^2)+'LINEST VARS'!$J$48*(8*8)+'LINEST VARS'!$I$48*(8*$DA$8)+'LINEST VARS'!$H$48*(8*0.5)+'LINEST VARS'!$G$48*(8*$CX17)+'LINEST VARS'!$F$48*(8*$DA$8)+'LINEST VARS'!$E$48*(8*0.5)+'LINEST VARS'!$D$48*(8*$CX17)+'LINEST VARS'!$C$48*($DA$8*0.5)+'LINEST VARS'!$B$48*($DA$8*$CX17)+'LINEST VARS'!$A$48*(0.5*$CX17)</f>
        <v>369.99999999999989</v>
      </c>
      <c r="DB17" s="46">
        <f>'LINEST VARS'!$U$48+'LINEST VARS'!$T$48*(8)+'LINEST VARS'!$S$48*(8)+'LINEST VARS'!$R$48*($DB$8)+'LINEST VARS'!$Q$48*(0.5)+'LINEST VARS'!$P$48*($CX17)+'LINEST VARS'!$O$48*(8^2)+'LINEST VARS'!$N$48*(8^2)+'LINEST VARS'!$M$48*($DB$8^2)+'LINEST VARS'!$L$48*(0.5^2)+'LINEST VARS'!$K$48*($CX17^2)+'LINEST VARS'!$J$48*(8*8)+'LINEST VARS'!$I$48*(8*$DB$8)+'LINEST VARS'!$H$48*(8*0.5)+'LINEST VARS'!$G$48*(8*$CX17)+'LINEST VARS'!$F$48*(8*$DB$8)+'LINEST VARS'!$E$48*(8*0.5)+'LINEST VARS'!$D$48*(8*$CX17)+'LINEST VARS'!$C$48*($DB$8*0.5)+'LINEST VARS'!$B$48*($DB$8*$CX17)+'LINEST VARS'!$A$48*(0.5*$CX17)</f>
        <v>369.99999999999989</v>
      </c>
      <c r="DC17" s="46">
        <f>'LINEST VARS'!$U$48+'LINEST VARS'!$T$48*(8)+'LINEST VARS'!$S$48*(8)+'LINEST VARS'!$R$48*($DC$8)+'LINEST VARS'!$Q$48*(0.5)+'LINEST VARS'!$P$48*($CX17)+'LINEST VARS'!$O$48*(8^2)+'LINEST VARS'!$N$48*(8^2)+'LINEST VARS'!$M$48*($DC$8^2)+'LINEST VARS'!$L$48*(0.5^2)+'LINEST VARS'!$K$48*($CX17^2)+'LINEST VARS'!$J$48*(8*8)+'LINEST VARS'!$I$48*(8*$DC$8)+'LINEST VARS'!$H$48*(8*0.5)+'LINEST VARS'!$G$48*(8*$CX17)+'LINEST VARS'!$F$48*(8*$DC$8)+'LINEST VARS'!$E$48*(8*0.5)+'LINEST VARS'!$D$48*(8*$CX17)+'LINEST VARS'!$C$48*($DC$8*0.5)+'LINEST VARS'!$B$48*($DC$8*$CX17)+'LINEST VARS'!$A$48*(0.5*$CX17)</f>
        <v>369.99999999999989</v>
      </c>
      <c r="DD17" s="46">
        <f>'LINEST VARS'!$U$48+'LINEST VARS'!$T$48*(8)+'LINEST VARS'!$S$48*(8)+'LINEST VARS'!$R$48*($DD$8)+'LINEST VARS'!$Q$48*(0.5)+'LINEST VARS'!$P$48*($CX17)+'LINEST VARS'!$O$48*(8^2)+'LINEST VARS'!$N$48*(8^2)+'LINEST VARS'!$M$48*($DD$8^2)+'LINEST VARS'!$L$48*(0.5^2)+'LINEST VARS'!$K$48*($CX17^2)+'LINEST VARS'!$J$48*(8*8)+'LINEST VARS'!$I$48*(8*$DD$8)+'LINEST VARS'!$H$48*(8*0.5)+'LINEST VARS'!$G$48*(8*$CX17)+'LINEST VARS'!$F$48*(8*$DD$8)+'LINEST VARS'!$E$48*(8*0.5)+'LINEST VARS'!$D$48*(8*$CX17)+'LINEST VARS'!$C$48*($DD$8*0.5)+'LINEST VARS'!$B$48*($DD$8*$CX17)+'LINEST VARS'!$A$48*(0.5*$CX17)</f>
        <v>369.99999999999989</v>
      </c>
      <c r="DE17" s="46">
        <f>'LINEST VARS'!$U$48+'LINEST VARS'!$T$48*(8)+'LINEST VARS'!$S$48*(8)+'LINEST VARS'!$R$48*($DE$8)+'LINEST VARS'!$Q$48*(0.5)+'LINEST VARS'!$P$48*($CX17)+'LINEST VARS'!$O$48*(8^2)+'LINEST VARS'!$N$48*(8^2)+'LINEST VARS'!$M$48*($DE$8^2)+'LINEST VARS'!$L$48*(0.5^2)+'LINEST VARS'!$K$48*($CX17^2)+'LINEST VARS'!$J$48*(8*8)+'LINEST VARS'!$I$48*(8*$DE$8)+'LINEST VARS'!$H$48*(8*0.5)+'LINEST VARS'!$G$48*(8*$CX17)+'LINEST VARS'!$F$48*(8*$DE$8)+'LINEST VARS'!$E$48*(8*0.5)+'LINEST VARS'!$D$48*(8*$CX17)+'LINEST VARS'!$C$48*($DE$8*0.5)+'LINEST VARS'!$B$48*($DE$8*$CX17)+'LINEST VARS'!$A$48*(0.5*$CX17)</f>
        <v>369.99999999999989</v>
      </c>
      <c r="DF17" s="46">
        <f>'LINEST VARS'!$U$48+'LINEST VARS'!$T$48*(8)+'LINEST VARS'!$S$48*(8)+'LINEST VARS'!$R$48*($DF$8)+'LINEST VARS'!$Q$48*(0.5)+'LINEST VARS'!$P$48*($CX17)+'LINEST VARS'!$O$48*(8^2)+'LINEST VARS'!$N$48*(8^2)+'LINEST VARS'!$M$48*($DF$8^2)+'LINEST VARS'!$L$48*(0.5^2)+'LINEST VARS'!$K$48*($CX17^2)+'LINEST VARS'!$J$48*(8*8)+'LINEST VARS'!$I$48*(8*$DF$8)+'LINEST VARS'!$H$48*(8*0.5)+'LINEST VARS'!$G$48*(8*$CX17)+'LINEST VARS'!$F$48*(8*$DF$8)+'LINEST VARS'!$E$48*(8*0.5)+'LINEST VARS'!$D$48*(8*$CX17)+'LINEST VARS'!$C$48*($DF$8*0.5)+'LINEST VARS'!$B$48*($DF$8*$CX17)+'LINEST VARS'!$A$48*(0.5*$CX17)</f>
        <v>369.99999999999983</v>
      </c>
      <c r="DG17" s="46">
        <f>'LINEST VARS'!$U$48+'LINEST VARS'!$T$48*(8)+'LINEST VARS'!$S$48*(8)+'LINEST VARS'!$R$48*($DG$8)+'LINEST VARS'!$Q$48*(0.5)+'LINEST VARS'!$P$48*($CX17)+'LINEST VARS'!$O$48*(8^2)+'LINEST VARS'!$N$48*(8^2)+'LINEST VARS'!$M$48*($DG$8^2)+'LINEST VARS'!$L$48*(0.5^2)+'LINEST VARS'!$K$48*($CX17^2)+'LINEST VARS'!$J$48*(8*8)+'LINEST VARS'!$I$48*(8*$DG$8)+'LINEST VARS'!$H$48*(8*0.5)+'LINEST VARS'!$G$48*(8*$CX17)+'LINEST VARS'!$F$48*(8*$DG$8)+'LINEST VARS'!$E$48*(8*0.5)+'LINEST VARS'!$D$48*(8*$CX17)+'LINEST VARS'!$C$48*($DG$8*0.5)+'LINEST VARS'!$B$48*($DG$8*$CX17)+'LINEST VARS'!$A$48*(0.5*$CX17)</f>
        <v>369.99999999999983</v>
      </c>
      <c r="DH17" s="46">
        <f>'LINEST VARS'!$U$48+'LINEST VARS'!$T$48*(8)+'LINEST VARS'!$S$48*(8)+'LINEST VARS'!$R$48*($DH$8)+'LINEST VARS'!$Q$48*(0.5)+'LINEST VARS'!$P$48*($CX17)+'LINEST VARS'!$O$48*(8^2)+'LINEST VARS'!$N$48*(8^2)+'LINEST VARS'!$M$48*($DH$8^2)+'LINEST VARS'!$L$48*(0.5^2)+'LINEST VARS'!$K$48*($CX17^2)+'LINEST VARS'!$J$48*(8*8)+'LINEST VARS'!$I$48*(8*$DH$8)+'LINEST VARS'!$H$48*(8*0.5)+'LINEST VARS'!$G$48*(8*$CX17)+'LINEST VARS'!$F$48*(8*$DH$8)+'LINEST VARS'!$E$48*(8*0.5)+'LINEST VARS'!$D$48*(8*$CX17)+'LINEST VARS'!$C$48*($DH$8*0.5)+'LINEST VARS'!$B$48*($DH$8*$CX17)+'LINEST VARS'!$A$48*(0.5*$CX17)</f>
        <v>369.99999999999983</v>
      </c>
      <c r="DI17" s="46">
        <f>'LINEST VARS'!$U$48+'LINEST VARS'!$T$48*(8)+'LINEST VARS'!$S$48*(8)+'LINEST VARS'!$R$48*($DI$8)+'LINEST VARS'!$Q$48*(0.5)+'LINEST VARS'!$P$48*($CX17)+'LINEST VARS'!$O$48*(8^2)+'LINEST VARS'!$N$48*(8^2)+'LINEST VARS'!$M$48*($DI$8^2)+'LINEST VARS'!$L$48*(0.5^2)+'LINEST VARS'!$K$48*($CX17^2)+'LINEST VARS'!$J$48*(8*8)+'LINEST VARS'!$I$48*(8*$DI$8)+'LINEST VARS'!$H$48*(8*0.5)+'LINEST VARS'!$G$48*(8*$CX17)+'LINEST VARS'!$F$48*(8*$DI$8)+'LINEST VARS'!$E$48*(8*0.5)+'LINEST VARS'!$D$48*(8*$CX17)+'LINEST VARS'!$C$48*($DI$8*0.5)+'LINEST VARS'!$B$48*($DI$8*$CX17)+'LINEST VARS'!$A$48*(0.5*$CX17)</f>
        <v>369.99999999999983</v>
      </c>
      <c r="DJ17" s="46">
        <f>'LINEST VARS'!$U$48+'LINEST VARS'!$T$48*(8)+'LINEST VARS'!$S$48*(8)+'LINEST VARS'!$R$48*($DJ$8)+'LINEST VARS'!$Q$48*(0.5)+'LINEST VARS'!$P$48*($CX17)+'LINEST VARS'!$O$48*(8^2)+'LINEST VARS'!$N$48*(8^2)+'LINEST VARS'!$M$48*($DJ$8^2)+'LINEST VARS'!$L$48*(0.5^2)+'LINEST VARS'!$K$48*($CX17^2)+'LINEST VARS'!$J$48*(8*8)+'LINEST VARS'!$I$48*(8*$DJ$8)+'LINEST VARS'!$H$48*(8*0.5)+'LINEST VARS'!$G$48*(8*$CX17)+'LINEST VARS'!$F$48*(8*$DJ$8)+'LINEST VARS'!$E$48*(8*0.5)+'LINEST VARS'!$D$48*(8*$CX17)+'LINEST VARS'!$C$48*($DJ$8*0.5)+'LINEST VARS'!$B$48*($DJ$8*$CX17)+'LINEST VARS'!$A$48*(0.5*$CX17)</f>
        <v>369.99999999999983</v>
      </c>
      <c r="DK17" s="46">
        <f>'LINEST VARS'!$U$48+'LINEST VARS'!$T$48*(8)+'LINEST VARS'!$S$48*(8)+'LINEST VARS'!$R$48*($DK$8)+'LINEST VARS'!$Q$48*(0.5)+'LINEST VARS'!$P$48*($CX17)+'LINEST VARS'!$O$48*(8^2)+'LINEST VARS'!$N$48*(8^2)+'LINEST VARS'!$M$48*($DK$8^2)+'LINEST VARS'!$L$48*(0.5^2)+'LINEST VARS'!$K$48*($CX17^2)+'LINEST VARS'!$J$48*(8*8)+'LINEST VARS'!$I$48*(8*$DK$8)+'LINEST VARS'!$H$48*(8*0.5)+'LINEST VARS'!$G$48*(8*$CX17)+'LINEST VARS'!$F$48*(8*$DK$8)+'LINEST VARS'!$E$48*(8*0.5)+'LINEST VARS'!$D$48*(8*$CX17)+'LINEST VARS'!$C$48*($DK$8*0.5)+'LINEST VARS'!$B$48*($DK$8*$CX17)+'LINEST VARS'!$A$48*(0.5*$CX17)</f>
        <v>369.99999999999983</v>
      </c>
      <c r="DL17" s="46">
        <f>'LINEST VARS'!$U$48+'LINEST VARS'!$T$48*(8)+'LINEST VARS'!$S$48*(8)+'LINEST VARS'!$R$48*($DL$8)+'LINEST VARS'!$Q$48*(0.5)+'LINEST VARS'!$P$48*($CX17)+'LINEST VARS'!$O$48*(8^2)+'LINEST VARS'!$N$48*(8^2)+'LINEST VARS'!$M$48*($DL$8^2)+'LINEST VARS'!$L$48*(0.5^2)+'LINEST VARS'!$K$48*($CX17^2)+'LINEST VARS'!$J$48*(8*8)+'LINEST VARS'!$I$48*(8*$DL$8)+'LINEST VARS'!$H$48*(8*0.5)+'LINEST VARS'!$G$48*(8*$CX17)+'LINEST VARS'!$F$48*(8*$DL$8)+'LINEST VARS'!$E$48*(8*0.5)+'LINEST VARS'!$D$48*(8*$CX17)+'LINEST VARS'!$C$48*($DL$8*0.5)+'LINEST VARS'!$B$48*($DL$8*$CX17)+'LINEST VARS'!$A$48*(0.5*$CX17)</f>
        <v>369.99999999999989</v>
      </c>
      <c r="DM17" s="46">
        <f>'LINEST VARS'!$U$48+'LINEST VARS'!$T$48*(8)+'LINEST VARS'!$S$48*(8)+'LINEST VARS'!$R$48*($DM$8)+'LINEST VARS'!$Q$48*(0.5)+'LINEST VARS'!$P$48*($CX17)+'LINEST VARS'!$O$48*(8^2)+'LINEST VARS'!$N$48*(8^2)+'LINEST VARS'!$M$48*($DM$8^2)+'LINEST VARS'!$L$48*(0.5^2)+'LINEST VARS'!$K$48*($CX17^2)+'LINEST VARS'!$J$48*(8*8)+'LINEST VARS'!$I$48*(8*$DM$8)+'LINEST VARS'!$H$48*(8*0.5)+'LINEST VARS'!$G$48*(8*$CX17)+'LINEST VARS'!$F$48*(8*$DM$8)+'LINEST VARS'!$E$48*(8*0.5)+'LINEST VARS'!$D$48*(8*$CX17)+'LINEST VARS'!$C$48*($DM$8*0.5)+'LINEST VARS'!$B$48*($DM$8*$CX17)+'LINEST VARS'!$A$48*(0.5*$CX17)</f>
        <v>369.99999999999989</v>
      </c>
      <c r="DN17" s="46">
        <f>'LINEST VARS'!$U$48+'LINEST VARS'!$T$48*(8)+'LINEST VARS'!$S$48*(8)+'LINEST VARS'!$R$48*($DN$8)+'LINEST VARS'!$Q$48*(0.5)+'LINEST VARS'!$P$48*($CX17)+'LINEST VARS'!$O$48*(8^2)+'LINEST VARS'!$N$48*(8^2)+'LINEST VARS'!$M$48*($DN$8^2)+'LINEST VARS'!$L$48*(0.5^2)+'LINEST VARS'!$K$48*($CX17^2)+'LINEST VARS'!$J$48*(8*8)+'LINEST VARS'!$I$48*(8*$DN$8)+'LINEST VARS'!$H$48*(8*0.5)+'LINEST VARS'!$G$48*(8*$CX17)+'LINEST VARS'!$F$48*(8*$DN$8)+'LINEST VARS'!$E$48*(8*0.5)+'LINEST VARS'!$D$48*(8*$CX17)+'LINEST VARS'!$C$48*($DN$8*0.5)+'LINEST VARS'!$B$48*($DN$8*$CX17)+'LINEST VARS'!$A$48*(0.5*$CX17)</f>
        <v>369.99999999999989</v>
      </c>
      <c r="DO17" s="46">
        <f>'LINEST VARS'!$U$48+'LINEST VARS'!$T$48*(8)+'LINEST VARS'!$S$48*(8)+'LINEST VARS'!$R$48*($DO$8)+'LINEST VARS'!$Q$48*(0.5)+'LINEST VARS'!$P$48*($CX17)+'LINEST VARS'!$O$48*(8^2)+'LINEST VARS'!$N$48*(8^2)+'LINEST VARS'!$M$48*($DO$8^2)+'LINEST VARS'!$L$48*(0.5^2)+'LINEST VARS'!$K$48*($CX17^2)+'LINEST VARS'!$J$48*(8*8)+'LINEST VARS'!$I$48*(8*$DO$8)+'LINEST VARS'!$H$48*(8*0.5)+'LINEST VARS'!$G$48*(8*$CX17)+'LINEST VARS'!$F$48*(8*$DO$8)+'LINEST VARS'!$E$48*(8*0.5)+'LINEST VARS'!$D$48*(8*$CX17)+'LINEST VARS'!$C$48*($DO$8*0.5)+'LINEST VARS'!$B$48*($DO$8*$CX17)+'LINEST VARS'!$A$48*(0.5*$CX17)</f>
        <v>369.99999999999983</v>
      </c>
      <c r="DP17" s="46">
        <f>'LINEST VARS'!$U$48+'LINEST VARS'!$T$48*(8)+'LINEST VARS'!$S$48*(8)+'LINEST VARS'!$R$48*($DP$8)+'LINEST VARS'!$Q$48*(0.5)+'LINEST VARS'!$P$48*($CX17)+'LINEST VARS'!$O$48*(8^2)+'LINEST VARS'!$N$48*(8^2)+'LINEST VARS'!$M$48*($DP$8^2)+'LINEST VARS'!$L$48*(0.5^2)+'LINEST VARS'!$K$48*($CX17^2)+'LINEST VARS'!$J$48*(8*8)+'LINEST VARS'!$I$48*(8*$DP$8)+'LINEST VARS'!$H$48*(8*0.5)+'LINEST VARS'!$G$48*(8*$CX17)+'LINEST VARS'!$F$48*(8*$DP$8)+'LINEST VARS'!$E$48*(8*0.5)+'LINEST VARS'!$D$48*(8*$CX17)+'LINEST VARS'!$C$48*($DP$8*0.5)+'LINEST VARS'!$B$48*($DP$8*$CX17)+'LINEST VARS'!$A$48*(0.5*$CX17)</f>
        <v>369.99999999999983</v>
      </c>
      <c r="DQ17" s="46">
        <f>'LINEST VARS'!$U$48+'LINEST VARS'!$T$48*(8)+'LINEST VARS'!$S$48*(8)+'LINEST VARS'!$R$48*($DQ$8)+'LINEST VARS'!$Q$48*(0.5)+'LINEST VARS'!$P$48*($CX17)+'LINEST VARS'!$O$48*(8^2)+'LINEST VARS'!$N$48*(8^2)+'LINEST VARS'!$M$48*($DQ$8^2)+'LINEST VARS'!$L$48*(0.5^2)+'LINEST VARS'!$K$48*($CX17^2)+'LINEST VARS'!$J$48*(8*8)+'LINEST VARS'!$I$48*(8*$DQ$8)+'LINEST VARS'!$H$48*(8*0.5)+'LINEST VARS'!$G$48*(8*$CX17)+'LINEST VARS'!$F$48*(8*$DQ$8)+'LINEST VARS'!$E$48*(8*0.5)+'LINEST VARS'!$D$48*(8*$CX17)+'LINEST VARS'!$C$48*($DQ$8*0.5)+'LINEST VARS'!$B$48*($DQ$8*$CX17)+'LINEST VARS'!$A$48*(0.5*$CX17)</f>
        <v>369.99999999999983</v>
      </c>
      <c r="DR17" s="46">
        <f>'LINEST VARS'!$U$48+'LINEST VARS'!$T$48*(8)+'LINEST VARS'!$S$48*(8)+'LINEST VARS'!$R$48*($DR$8)+'LINEST VARS'!$Q$48*(0.5)+'LINEST VARS'!$P$48*($CX17)+'LINEST VARS'!$O$48*(8^2)+'LINEST VARS'!$N$48*(8^2)+'LINEST VARS'!$M$48*($DR$8^2)+'LINEST VARS'!$L$48*(0.5^2)+'LINEST VARS'!$K$48*($CX17^2)+'LINEST VARS'!$J$48*(8*8)+'LINEST VARS'!$I$48*(8*$DR$8)+'LINEST VARS'!$H$48*(8*0.5)+'LINEST VARS'!$G$48*(8*$CX17)+'LINEST VARS'!$F$48*(8*$DR$8)+'LINEST VARS'!$E$48*(8*0.5)+'LINEST VARS'!$D$48*(8*$CX17)+'LINEST VARS'!$C$48*($DR$8*0.5)+'LINEST VARS'!$B$48*($DR$8*$CX17)+'LINEST VARS'!$A$48*(0.5*$CX17)</f>
        <v>369.99999999999983</v>
      </c>
      <c r="DS17" s="47">
        <f>'LINEST VARS'!$U$48+'LINEST VARS'!$T$48*(8)+'LINEST VARS'!$S$48*(8)+'LINEST VARS'!$R$48*($DS$8)+'LINEST VARS'!$Q$48*(0.5)+'LINEST VARS'!$P$48*($CX17)+'LINEST VARS'!$O$48*(8^2)+'LINEST VARS'!$N$48*(8^2)+'LINEST VARS'!$M$48*($DS$8^2)+'LINEST VARS'!$L$48*(0.5^2)+'LINEST VARS'!$K$48*($CX17^2)+'LINEST VARS'!$J$48*(8*8)+'LINEST VARS'!$I$48*(8*$DS$8)+'LINEST VARS'!$H$48*(8*0.5)+'LINEST VARS'!$G$48*(8*$CX17)+'LINEST VARS'!$F$48*(8*$DS$8)+'LINEST VARS'!$E$48*(8*0.5)+'LINEST VARS'!$D$48*(8*$CX17)+'LINEST VARS'!$C$48*($DS$8*0.5)+'LINEST VARS'!$B$48*($DS$8*$CX17)+'LINEST VARS'!$A$48*(0.5*$CX17)</f>
        <v>369.99999999999983</v>
      </c>
      <c r="DV17" s="45">
        <v>10.396000000000001</v>
      </c>
      <c r="DW17" s="46">
        <f>'LINEST VARS'!$U$50+'LINEST VARS'!$T$50*(8)+'LINEST VARS'!$S$50*(8)+'LINEST VARS'!$R$50*($DW$8)+'LINEST VARS'!$Q$50*(0.5)+'LINEST VARS'!$P$50*($DV17)+'LINEST VARS'!$O$50*(8^2)+'LINEST VARS'!$N$50*(8^2)+'LINEST VARS'!$M$50*($DW$8^2)+'LINEST VARS'!$L$50*(0.5^2)+'LINEST VARS'!$K$50*($DV17^2)+'LINEST VARS'!$J$50*(8*8)+'LINEST VARS'!$I$50*(8*$DW$8)+'LINEST VARS'!$H$50*(8*0.5)+'LINEST VARS'!$G$50*(8*$DV17)+'LINEST VARS'!$F$50*(8*$DW$8)+'LINEST VARS'!$E$50*(8*0.5)+'LINEST VARS'!$D$50*(8*$DV17)+'LINEST VARS'!$C$50*($DW$8*0.5)+'LINEST VARS'!$B$50*($DW$8*$DV17)+'LINEST VARS'!$A$50*(0.5*$DV17)</f>
        <v>331.99999999999989</v>
      </c>
      <c r="DX17" s="46">
        <f>'LINEST VARS'!$U$50+'LINEST VARS'!$T$50*(8)+'LINEST VARS'!$S$50*(8)+'LINEST VARS'!$R$50*($DX$8)+'LINEST VARS'!$Q$50*(0.5)+'LINEST VARS'!$P$50*($DV17)+'LINEST VARS'!$O$50*(8^2)+'LINEST VARS'!$N$50*(8^2)+'LINEST VARS'!$M$50*($DX$8^2)+'LINEST VARS'!$L$50*(0.5^2)+'LINEST VARS'!$K$50*($DV17^2)+'LINEST VARS'!$J$50*(8*8)+'LINEST VARS'!$I$50*(8*$DX$8)+'LINEST VARS'!$H$50*(8*0.5)+'LINEST VARS'!$G$50*(8*$DV17)+'LINEST VARS'!$F$50*(8*$DX$8)+'LINEST VARS'!$E$50*(8*0.5)+'LINEST VARS'!$D$50*(8*$DV17)+'LINEST VARS'!$C$50*($DX$8*0.5)+'LINEST VARS'!$B$50*($DX$8*$DV17)+'LINEST VARS'!$A$50*(0.5*$DV17)</f>
        <v>331.99999999999989</v>
      </c>
      <c r="DY17" s="46">
        <f>'LINEST VARS'!$U$50+'LINEST VARS'!$T$50*(8)+'LINEST VARS'!$S$50*(8)+'LINEST VARS'!$R$50*($DY$8)+'LINEST VARS'!$Q$50*(0.5)+'LINEST VARS'!$P$50*($DV17)+'LINEST VARS'!$O$50*(8^2)+'LINEST VARS'!$N$50*(8^2)+'LINEST VARS'!$M$50*($DY$8^2)+'LINEST VARS'!$L$50*(0.5^2)+'LINEST VARS'!$K$50*($DV17^2)+'LINEST VARS'!$J$50*(8*8)+'LINEST VARS'!$I$50*(8*$DY$8)+'LINEST VARS'!$H$50*(8*0.5)+'LINEST VARS'!$G$50*(8*$DV17)+'LINEST VARS'!$F$50*(8*$DY$8)+'LINEST VARS'!$E$50*(8*0.5)+'LINEST VARS'!$D$50*(8*$DV17)+'LINEST VARS'!$C$50*($DY$8*0.5)+'LINEST VARS'!$B$50*($DY$8*$DV17)+'LINEST VARS'!$A$50*(0.5*$DV17)</f>
        <v>331.99999999999989</v>
      </c>
      <c r="DZ17" s="46">
        <f>'LINEST VARS'!$U$50+'LINEST VARS'!$T$50*(8)+'LINEST VARS'!$S$50*(8)+'LINEST VARS'!$R$50*($DZ$8)+'LINEST VARS'!$Q$50*(0.5)+'LINEST VARS'!$P$50*($DV17)+'LINEST VARS'!$O$50*(8^2)+'LINEST VARS'!$N$50*(8^2)+'LINEST VARS'!$M$50*($DZ$8^2)+'LINEST VARS'!$L$50*(0.5^2)+'LINEST VARS'!$K$50*($DV17^2)+'LINEST VARS'!$J$50*(8*8)+'LINEST VARS'!$I$50*(8*$DZ$8)+'LINEST VARS'!$H$50*(8*0.5)+'LINEST VARS'!$G$50*(8*$DV17)+'LINEST VARS'!$F$50*(8*$DZ$8)+'LINEST VARS'!$E$50*(8*0.5)+'LINEST VARS'!$D$50*(8*$DV17)+'LINEST VARS'!$C$50*($DZ$8*0.5)+'LINEST VARS'!$B$50*($DZ$8*$DV17)+'LINEST VARS'!$A$50*(0.5*$DV17)</f>
        <v>331.99999999999989</v>
      </c>
      <c r="EA17" s="46">
        <f>'LINEST VARS'!$U$50+'LINEST VARS'!$T$50*(8)+'LINEST VARS'!$S$50*(8)+'LINEST VARS'!$R$50*($EA$8)+'LINEST VARS'!$Q$50*(0.5)+'LINEST VARS'!$P$50*($DV17)+'LINEST VARS'!$O$50*(8^2)+'LINEST VARS'!$N$50*(8^2)+'LINEST VARS'!$M$50*($EA$8^2)+'LINEST VARS'!$L$50*(0.5^2)+'LINEST VARS'!$K$50*($DV17^2)+'LINEST VARS'!$J$50*(8*8)+'LINEST VARS'!$I$50*(8*$EA$8)+'LINEST VARS'!$H$50*(8*0.5)+'LINEST VARS'!$G$50*(8*$DV17)+'LINEST VARS'!$F$50*(8*$EA$8)+'LINEST VARS'!$E$50*(8*0.5)+'LINEST VARS'!$D$50*(8*$DV17)+'LINEST VARS'!$C$50*($EA$8*0.5)+'LINEST VARS'!$B$50*($EA$8*$DV17)+'LINEST VARS'!$A$50*(0.5*$DV17)</f>
        <v>331.99999999999989</v>
      </c>
      <c r="EB17" s="46">
        <f>'LINEST VARS'!$U$50+'LINEST VARS'!$T$50*(8)+'LINEST VARS'!$S$50*(8)+'LINEST VARS'!$R$50*($EB$8)+'LINEST VARS'!$Q$50*(0.5)+'LINEST VARS'!$P$50*($DV17)+'LINEST VARS'!$O$50*(8^2)+'LINEST VARS'!$N$50*(8^2)+'LINEST VARS'!$M$50*($EB$8^2)+'LINEST VARS'!$L$50*(0.5^2)+'LINEST VARS'!$K$50*($DV17^2)+'LINEST VARS'!$J$50*(8*8)+'LINEST VARS'!$I$50*(8*$EB$8)+'LINEST VARS'!$H$50*(8*0.5)+'LINEST VARS'!$G$50*(8*$DV17)+'LINEST VARS'!$F$50*(8*$EB$8)+'LINEST VARS'!$E$50*(8*0.5)+'LINEST VARS'!$D$50*(8*$DV17)+'LINEST VARS'!$C$50*($EB$8*0.5)+'LINEST VARS'!$B$50*($EB$8*$DV17)+'LINEST VARS'!$A$50*(0.5*$DV17)</f>
        <v>331.99999999999989</v>
      </c>
      <c r="EC17" s="46">
        <f>'LINEST VARS'!$U$50+'LINEST VARS'!$T$50*(8)+'LINEST VARS'!$S$50*(8)+'LINEST VARS'!$R$50*($EC$8)+'LINEST VARS'!$Q$50*(0.5)+'LINEST VARS'!$P$50*($DV17)+'LINEST VARS'!$O$50*(8^2)+'LINEST VARS'!$N$50*(8^2)+'LINEST VARS'!$M$50*($EC$8^2)+'LINEST VARS'!$L$50*(0.5^2)+'LINEST VARS'!$K$50*($DV17^2)+'LINEST VARS'!$J$50*(8*8)+'LINEST VARS'!$I$50*(8*$EC$8)+'LINEST VARS'!$H$50*(8*0.5)+'LINEST VARS'!$G$50*(8*$DV17)+'LINEST VARS'!$F$50*(8*$EC$8)+'LINEST VARS'!$E$50*(8*0.5)+'LINEST VARS'!$D$50*(8*$DV17)+'LINEST VARS'!$C$50*($EC$8*0.5)+'LINEST VARS'!$B$50*($EC$8*$DV17)+'LINEST VARS'!$A$50*(0.5*$DV17)</f>
        <v>331.99999999999989</v>
      </c>
      <c r="ED17" s="46">
        <f>'LINEST VARS'!$U$50+'LINEST VARS'!$T$50*(8)+'LINEST VARS'!$S$50*(8)+'LINEST VARS'!$R$50*($ED$8)+'LINEST VARS'!$Q$50*(0.5)+'LINEST VARS'!$P$50*($DV17)+'LINEST VARS'!$O$50*(8^2)+'LINEST VARS'!$N$50*(8^2)+'LINEST VARS'!$M$50*($ED$8^2)+'LINEST VARS'!$L$50*(0.5^2)+'LINEST VARS'!$K$50*($DV17^2)+'LINEST VARS'!$J$50*(8*8)+'LINEST VARS'!$I$50*(8*$ED$8)+'LINEST VARS'!$H$50*(8*0.5)+'LINEST VARS'!$G$50*(8*$DV17)+'LINEST VARS'!$F$50*(8*$ED$8)+'LINEST VARS'!$E$50*(8*0.5)+'LINEST VARS'!$D$50*(8*$DV17)+'LINEST VARS'!$C$50*($ED$8*0.5)+'LINEST VARS'!$B$50*($ED$8*$DV17)+'LINEST VARS'!$A$50*(0.5*$DV17)</f>
        <v>331.99999999999989</v>
      </c>
      <c r="EE17" s="46">
        <f>'LINEST VARS'!$U$50+'LINEST VARS'!$T$50*(8)+'LINEST VARS'!$S$50*(8)+'LINEST VARS'!$R$50*($EE$8)+'LINEST VARS'!$Q$50*(0.5)+'LINEST VARS'!$P$50*($DV17)+'LINEST VARS'!$O$50*(8^2)+'LINEST VARS'!$N$50*(8^2)+'LINEST VARS'!$M$50*($EE$8^2)+'LINEST VARS'!$L$50*(0.5^2)+'LINEST VARS'!$K$50*($DV17^2)+'LINEST VARS'!$J$50*(8*8)+'LINEST VARS'!$I$50*(8*$EE$8)+'LINEST VARS'!$H$50*(8*0.5)+'LINEST VARS'!$G$50*(8*$DV17)+'LINEST VARS'!$F$50*(8*$EE$8)+'LINEST VARS'!$E$50*(8*0.5)+'LINEST VARS'!$D$50*(8*$DV17)+'LINEST VARS'!$C$50*($EE$8*0.5)+'LINEST VARS'!$B$50*($EE$8*$DV17)+'LINEST VARS'!$A$50*(0.5*$DV17)</f>
        <v>331.99999999999989</v>
      </c>
      <c r="EF17" s="46">
        <f>'LINEST VARS'!$U$50+'LINEST VARS'!$T$50*(8)+'LINEST VARS'!$S$50*(8)+'LINEST VARS'!$R$50*($EF$8)+'LINEST VARS'!$Q$50*(0.5)+'LINEST VARS'!$P$50*($DV17)+'LINEST VARS'!$O$50*(8^2)+'LINEST VARS'!$N$50*(8^2)+'LINEST VARS'!$M$50*($EF$8^2)+'LINEST VARS'!$L$50*(0.5^2)+'LINEST VARS'!$K$50*($DV17^2)+'LINEST VARS'!$J$50*(8*8)+'LINEST VARS'!$I$50*(8*$EF$8)+'LINEST VARS'!$H$50*(8*0.5)+'LINEST VARS'!$G$50*(8*$DV17)+'LINEST VARS'!$F$50*(8*$EF$8)+'LINEST VARS'!$E$50*(8*0.5)+'LINEST VARS'!$D$50*(8*$DV17)+'LINEST VARS'!$C$50*($EF$8*0.5)+'LINEST VARS'!$B$50*($EF$8*$DV17)+'LINEST VARS'!$A$50*(0.5*$DV17)</f>
        <v>331.99999999999989</v>
      </c>
      <c r="EG17" s="46">
        <f>'LINEST VARS'!$U$50+'LINEST VARS'!$T$50*(8)+'LINEST VARS'!$S$50*(8)+'LINEST VARS'!$R$50*($EG$8)+'LINEST VARS'!$Q$50*(0.5)+'LINEST VARS'!$P$50*($DV17)+'LINEST VARS'!$O$50*(8^2)+'LINEST VARS'!$N$50*(8^2)+'LINEST VARS'!$M$50*($EG$8^2)+'LINEST VARS'!$L$50*(0.5^2)+'LINEST VARS'!$K$50*($DV17^2)+'LINEST VARS'!$J$50*(8*8)+'LINEST VARS'!$I$50*(8*$EG$8)+'LINEST VARS'!$H$50*(8*0.5)+'LINEST VARS'!$G$50*(8*$DV17)+'LINEST VARS'!$F$50*(8*$EG$8)+'LINEST VARS'!$E$50*(8*0.5)+'LINEST VARS'!$D$50*(8*$DV17)+'LINEST VARS'!$C$50*($EG$8*0.5)+'LINEST VARS'!$B$50*($EG$8*$DV17)+'LINEST VARS'!$A$50*(0.5*$DV17)</f>
        <v>331.99999999999989</v>
      </c>
      <c r="EH17" s="46">
        <f>'LINEST VARS'!$U$50+'LINEST VARS'!$T$50*(8)+'LINEST VARS'!$S$50*(8)+'LINEST VARS'!$R$50*($EH$8)+'LINEST VARS'!$Q$50*(0.5)+'LINEST VARS'!$P$50*($DV17)+'LINEST VARS'!$O$50*(8^2)+'LINEST VARS'!$N$50*(8^2)+'LINEST VARS'!$M$50*($EH$8^2)+'LINEST VARS'!$L$50*(0.5^2)+'LINEST VARS'!$K$50*($DV17^2)+'LINEST VARS'!$J$50*(8*8)+'LINEST VARS'!$I$50*(8*$EH$8)+'LINEST VARS'!$H$50*(8*0.5)+'LINEST VARS'!$G$50*(8*$DV17)+'LINEST VARS'!$F$50*(8*$EH$8)+'LINEST VARS'!$E$50*(8*0.5)+'LINEST VARS'!$D$50*(8*$DV17)+'LINEST VARS'!$C$50*($EH$8*0.5)+'LINEST VARS'!$B$50*($EH$8*$DV17)+'LINEST VARS'!$A$50*(0.5*$DV17)</f>
        <v>331.99999999999989</v>
      </c>
      <c r="EI17" s="46">
        <f>'LINEST VARS'!$U$50+'LINEST VARS'!$T$50*(8)+'LINEST VARS'!$S$50*(8)+'LINEST VARS'!$R$50*($EI$8)+'LINEST VARS'!$Q$50*(0.5)+'LINEST VARS'!$P$50*($DV17)+'LINEST VARS'!$O$50*(8^2)+'LINEST VARS'!$N$50*(8^2)+'LINEST VARS'!$M$50*($EI$8^2)+'LINEST VARS'!$L$50*(0.5^2)+'LINEST VARS'!$K$50*($DV17^2)+'LINEST VARS'!$J$50*(8*8)+'LINEST VARS'!$I$50*(8*$EI$8)+'LINEST VARS'!$H$50*(8*0.5)+'LINEST VARS'!$G$50*(8*$DV17)+'LINEST VARS'!$F$50*(8*$EI$8)+'LINEST VARS'!$E$50*(8*0.5)+'LINEST VARS'!$D$50*(8*$DV17)+'LINEST VARS'!$C$50*($EI$8*0.5)+'LINEST VARS'!$B$50*($EI$8*$DV17)+'LINEST VARS'!$A$50*(0.5*$DV17)</f>
        <v>331.99999999999989</v>
      </c>
      <c r="EJ17" s="46">
        <f>'LINEST VARS'!$U$50+'LINEST VARS'!$T$50*(8)+'LINEST VARS'!$S$50*(8)+'LINEST VARS'!$R$50*($EJ$8)+'LINEST VARS'!$Q$50*(0.5)+'LINEST VARS'!$P$50*($DV17)+'LINEST VARS'!$O$50*(8^2)+'LINEST VARS'!$N$50*(8^2)+'LINEST VARS'!$M$50*($EJ$8^2)+'LINEST VARS'!$L$50*(0.5^2)+'LINEST VARS'!$K$50*($DV17^2)+'LINEST VARS'!$J$50*(8*8)+'LINEST VARS'!$I$50*(8*$EJ$8)+'LINEST VARS'!$H$50*(8*0.5)+'LINEST VARS'!$G$50*(8*$DV17)+'LINEST VARS'!$F$50*(8*$EJ$8)+'LINEST VARS'!$E$50*(8*0.5)+'LINEST VARS'!$D$50*(8*$DV17)+'LINEST VARS'!$C$50*($EJ$8*0.5)+'LINEST VARS'!$B$50*($EJ$8*$DV17)+'LINEST VARS'!$A$50*(0.5*$DV17)</f>
        <v>331.99999999999989</v>
      </c>
      <c r="EK17" s="46">
        <f>'LINEST VARS'!$U$50+'LINEST VARS'!$T$50*(8)+'LINEST VARS'!$S$50*(8)+'LINEST VARS'!$R$50*($EK$8)+'LINEST VARS'!$Q$50*(0.5)+'LINEST VARS'!$P$50*($DV17)+'LINEST VARS'!$O$50*(8^2)+'LINEST VARS'!$N$50*(8^2)+'LINEST VARS'!$M$50*($EK$8^2)+'LINEST VARS'!$L$50*(0.5^2)+'LINEST VARS'!$K$50*($DV17^2)+'LINEST VARS'!$J$50*(8*8)+'LINEST VARS'!$I$50*(8*$EK$8)+'LINEST VARS'!$H$50*(8*0.5)+'LINEST VARS'!$G$50*(8*$DV17)+'LINEST VARS'!$F$50*(8*$EK$8)+'LINEST VARS'!$E$50*(8*0.5)+'LINEST VARS'!$D$50*(8*$DV17)+'LINEST VARS'!$C$50*($EK$8*0.5)+'LINEST VARS'!$B$50*($EK$8*$DV17)+'LINEST VARS'!$A$50*(0.5*$DV17)</f>
        <v>331.99999999999989</v>
      </c>
      <c r="EL17" s="46">
        <f>'LINEST VARS'!$U$50+'LINEST VARS'!$T$50*(8)+'LINEST VARS'!$S$50*(8)+'LINEST VARS'!$R$50*($EL$8)+'LINEST VARS'!$Q$50*(0.5)+'LINEST VARS'!$P$50*($DV17)+'LINEST VARS'!$O$50*(8^2)+'LINEST VARS'!$N$50*(8^2)+'LINEST VARS'!$M$50*($EL$8^2)+'LINEST VARS'!$L$50*(0.5^2)+'LINEST VARS'!$K$50*($DV17^2)+'LINEST VARS'!$J$50*(8*8)+'LINEST VARS'!$I$50*(8*$EL$8)+'LINEST VARS'!$H$50*(8*0.5)+'LINEST VARS'!$G$50*(8*$DV17)+'LINEST VARS'!$F$50*(8*$EL$8)+'LINEST VARS'!$E$50*(8*0.5)+'LINEST VARS'!$D$50*(8*$DV17)+'LINEST VARS'!$C$50*($EL$8*0.5)+'LINEST VARS'!$B$50*($EL$8*$DV17)+'LINEST VARS'!$A$50*(0.5*$DV17)</f>
        <v>331.99999999999989</v>
      </c>
      <c r="EM17" s="46">
        <f>'LINEST VARS'!$U$50+'LINEST VARS'!$T$50*(8)+'LINEST VARS'!$S$50*(8)+'LINEST VARS'!$R$50*($EM$8)+'LINEST VARS'!$Q$50*(0.5)+'LINEST VARS'!$P$50*($DV17)+'LINEST VARS'!$O$50*(8^2)+'LINEST VARS'!$N$50*(8^2)+'LINEST VARS'!$M$50*($EM$8^2)+'LINEST VARS'!$L$50*(0.5^2)+'LINEST VARS'!$K$50*($DV17^2)+'LINEST VARS'!$J$50*(8*8)+'LINEST VARS'!$I$50*(8*$EM$8)+'LINEST VARS'!$H$50*(8*0.5)+'LINEST VARS'!$G$50*(8*$DV17)+'LINEST VARS'!$F$50*(8*$EM$8)+'LINEST VARS'!$E$50*(8*0.5)+'LINEST VARS'!$D$50*(8*$DV17)+'LINEST VARS'!$C$50*($EM$8*0.5)+'LINEST VARS'!$B$50*($EM$8*$DV17)+'LINEST VARS'!$A$50*(0.5*$DV17)</f>
        <v>331.99999999999989</v>
      </c>
      <c r="EN17" s="46">
        <f>'LINEST VARS'!$U$50+'LINEST VARS'!$T$50*(8)+'LINEST VARS'!$S$50*(8)+'LINEST VARS'!$R$50*($EN$8)+'LINEST VARS'!$Q$50*(0.5)+'LINEST VARS'!$P$50*($DV17)+'LINEST VARS'!$O$50*(8^2)+'LINEST VARS'!$N$50*(8^2)+'LINEST VARS'!$M$50*($EN$8^2)+'LINEST VARS'!$L$50*(0.5^2)+'LINEST VARS'!$K$50*($DV17^2)+'LINEST VARS'!$J$50*(8*8)+'LINEST VARS'!$I$50*(8*$EN$8)+'LINEST VARS'!$H$50*(8*0.5)+'LINEST VARS'!$G$50*(8*$DV17)+'LINEST VARS'!$F$50*(8*$EN$8)+'LINEST VARS'!$E$50*(8*0.5)+'LINEST VARS'!$D$50*(8*$DV17)+'LINEST VARS'!$C$50*($EN$8*0.5)+'LINEST VARS'!$B$50*($EN$8*$DV17)+'LINEST VARS'!$A$50*(0.5*$DV17)</f>
        <v>331.99999999999989</v>
      </c>
      <c r="EO17" s="46">
        <f>'LINEST VARS'!$U$50+'LINEST VARS'!$T$50*(8)+'LINEST VARS'!$S$50*(8)+'LINEST VARS'!$R$50*($EO$8)+'LINEST VARS'!$Q$50*(0.5)+'LINEST VARS'!$P$50*($DV17)+'LINEST VARS'!$O$50*(8^2)+'LINEST VARS'!$N$50*(8^2)+'LINEST VARS'!$M$50*($EO$8^2)+'LINEST VARS'!$L$50*(0.5^2)+'LINEST VARS'!$K$50*($DV17^2)+'LINEST VARS'!$J$50*(8*8)+'LINEST VARS'!$I$50*(8*$EO$8)+'LINEST VARS'!$H$50*(8*0.5)+'LINEST VARS'!$G$50*(8*$DV17)+'LINEST VARS'!$F$50*(8*$EO$8)+'LINEST VARS'!$E$50*(8*0.5)+'LINEST VARS'!$D$50*(8*$DV17)+'LINEST VARS'!$C$50*($EO$8*0.5)+'LINEST VARS'!$B$50*($EO$8*$DV17)+'LINEST VARS'!$A$50*(0.5*$DV17)</f>
        <v>331.99999999999989</v>
      </c>
      <c r="EP17" s="46">
        <f>'LINEST VARS'!$U$50+'LINEST VARS'!$T$50*(8)+'LINEST VARS'!$S$50*(8)+'LINEST VARS'!$R$50*($EP$8)+'LINEST VARS'!$Q$50*(0.5)+'LINEST VARS'!$P$50*($DV17)+'LINEST VARS'!$O$50*(8^2)+'LINEST VARS'!$N$50*(8^2)+'LINEST VARS'!$M$50*($EP$8^2)+'LINEST VARS'!$L$50*(0.5^2)+'LINEST VARS'!$K$50*($DV17^2)+'LINEST VARS'!$J$50*(8*8)+'LINEST VARS'!$I$50*(8*$EP$8)+'LINEST VARS'!$H$50*(8*0.5)+'LINEST VARS'!$G$50*(8*$DV17)+'LINEST VARS'!$F$50*(8*$EP$8)+'LINEST VARS'!$E$50*(8*0.5)+'LINEST VARS'!$D$50*(8*$DV17)+'LINEST VARS'!$C$50*($EP$8*0.5)+'LINEST VARS'!$B$50*($EP$8*$DV17)+'LINEST VARS'!$A$50*(0.5*$DV17)</f>
        <v>331.99999999999989</v>
      </c>
      <c r="EQ17" s="47">
        <f>'LINEST VARS'!$U$50+'LINEST VARS'!$T$50*(8)+'LINEST VARS'!$S$50*(8)+'LINEST VARS'!$R$50*($EQ$8)+'LINEST VARS'!$Q$50*(0.5)+'LINEST VARS'!$P$50*($DV17)+'LINEST VARS'!$O$50*(8^2)+'LINEST VARS'!$N$50*(8^2)+'LINEST VARS'!$M$50*($EQ$8^2)+'LINEST VARS'!$L$50*(0.5^2)+'LINEST VARS'!$K$50*($DV17^2)+'LINEST VARS'!$J$50*(8*8)+'LINEST VARS'!$I$50*(8*$EQ$8)+'LINEST VARS'!$H$50*(8*0.5)+'LINEST VARS'!$G$50*(8*$DV17)+'LINEST VARS'!$F$50*(8*$EQ$8)+'LINEST VARS'!$E$50*(8*0.5)+'LINEST VARS'!$D$50*(8*$DV17)+'LINEST VARS'!$C$50*($EQ$8*0.5)+'LINEST VARS'!$B$50*($EQ$8*$DV17)+'LINEST VARS'!$A$50*(0.5*$DV17)</f>
        <v>331.99999999999989</v>
      </c>
    </row>
    <row r="18" spans="2:147" ht="15" customHeight="1" x14ac:dyDescent="0.25">
      <c r="B18" s="45">
        <v>7.94</v>
      </c>
      <c r="C18" s="46">
        <f>'LINEST VARS'!$U$48+'LINEST VARS'!$T$48*($C$8)+'LINEST VARS'!$S$48*($B18)+'LINEST VARS'!$R$48*(4)+'LINEST VARS'!$Q$48*(0.5)+'LINEST VARS'!$P$48*(12.73)+'LINEST VARS'!$O$48*($C$8^2)+'LINEST VARS'!$N$48*($B18^2)+'LINEST VARS'!$M$48*(4^2)+'LINEST VARS'!$L$48*(0.5^2)+'LINEST VARS'!$K$48*(12.73^2)+'LINEST VARS'!$J$48*($C$8*$B18)+'LINEST VARS'!$I$48*($C$8*4)+'LINEST VARS'!$H$48*($C$8*0.5)+'LINEST VARS'!$G$48*($C$8*12.73)+'LINEST VARS'!$F$48*($B18*4)+'LINEST VARS'!$E$48*($B18*0.5)+'LINEST VARS'!$D$48*($B18*12.73)+'LINEST VARS'!$C$48*(4*0.5)+'LINEST VARS'!$B$48*(4*12.73)+'LINEST VARS'!$A$48*(0.5*12.73)</f>
        <v>322.41999999999985</v>
      </c>
      <c r="D18" s="46">
        <f>'LINEST VARS'!$U$48+'LINEST VARS'!$T$48*($D$8)+'LINEST VARS'!$S$48*($B18)+'LINEST VARS'!$R$48*(4)+'LINEST VARS'!$Q$48*(0.5)+'LINEST VARS'!$P$48*(12.73)+'LINEST VARS'!$O$48*($D$8^2)+'LINEST VARS'!$N$48*($B18^2)+'LINEST VARS'!$M$48*(4^2)+'LINEST VARS'!$L$48*(0.5^2)+'LINEST VARS'!$K$48*(12.73^2)+'LINEST VARS'!$J$48*($D$8*$B18)+'LINEST VARS'!$I$48*($D$8*4)+'LINEST VARS'!$H$48*($D$8*0.5)+'LINEST VARS'!$G$48*($D$8*12.73)+'LINEST VARS'!$F$48*($B18*4)+'LINEST VARS'!$E$48*($B18*0.5)+'LINEST VARS'!$D$48*($B18*12.73)+'LINEST VARS'!$C$48*(4*0.5)+'LINEST VARS'!$B$48*(4*12.73)+'LINEST VARS'!$A$48*(0.5*12.73)</f>
        <v>326.99799999999982</v>
      </c>
      <c r="E18" s="46">
        <f>'LINEST VARS'!$U$48+'LINEST VARS'!$T$48*($E$8)+'LINEST VARS'!$S$48*($B18)+'LINEST VARS'!$R$48*(4)+'LINEST VARS'!$Q$48*(0.5)+'LINEST VARS'!$P$48*(12.73)+'LINEST VARS'!$O$48*($E$8^2)+'LINEST VARS'!$N$48*($B18^2)+'LINEST VARS'!$M$48*(4^2)+'LINEST VARS'!$L$48*(0.5^2)+'LINEST VARS'!$K$48*(12.73^2)+'LINEST VARS'!$J$48*($E$8*$B18)+'LINEST VARS'!$I$48*($E$8*4)+'LINEST VARS'!$H$48*($E$8*0.5)+'LINEST VARS'!$G$48*($E$8*12.73)+'LINEST VARS'!$F$48*($B18*4)+'LINEST VARS'!$E$48*($B18*0.5)+'LINEST VARS'!$D$48*($B18*12.73)+'LINEST VARS'!$C$48*(4*0.5)+'LINEST VARS'!$B$48*(4*12.73)+'LINEST VARS'!$A$48*(0.5*12.73)</f>
        <v>331.61199999999985</v>
      </c>
      <c r="F18" s="46">
        <f>'LINEST VARS'!$U$48+'LINEST VARS'!$T$48*($F$8)+'LINEST VARS'!$S$48*($B18)+'LINEST VARS'!$R$48*(4)+'LINEST VARS'!$Q$48*(0.5)+'LINEST VARS'!$P$48*(12.73)+'LINEST VARS'!$O$48*($F$8^2)+'LINEST VARS'!$N$48*($B18^2)+'LINEST VARS'!$M$48*(4^2)+'LINEST VARS'!$L$48*(0.5^2)+'LINEST VARS'!$K$48*(12.73^2)+'LINEST VARS'!$J$48*($F$8*$B18)+'LINEST VARS'!$I$48*($F$8*4)+'LINEST VARS'!$H$48*($F$8*0.5)+'LINEST VARS'!$G$48*($F$8*12.73)+'LINEST VARS'!$F$48*($B18*4)+'LINEST VARS'!$E$48*($B18*0.5)+'LINEST VARS'!$D$48*($B18*12.73)+'LINEST VARS'!$C$48*(4*0.5)+'LINEST VARS'!$B$48*(4*12.73)+'LINEST VARS'!$A$48*(0.5*12.73)</f>
        <v>336.26199999999989</v>
      </c>
      <c r="G18" s="46">
        <f>'LINEST VARS'!$U$48+'LINEST VARS'!$T$48*($G$8)+'LINEST VARS'!$S$48*($B18)+'LINEST VARS'!$R$48*(4)+'LINEST VARS'!$Q$48*(0.5)+'LINEST VARS'!$P$48*(12.73)+'LINEST VARS'!$O$48*($G$8^2)+'LINEST VARS'!$N$48*($B18^2)+'LINEST VARS'!$M$48*(4^2)+'LINEST VARS'!$L$48*(0.5^2)+'LINEST VARS'!$K$48*(12.73^2)+'LINEST VARS'!$J$48*($G$8*$B18)+'LINEST VARS'!$I$48*($G$8*4)+'LINEST VARS'!$H$48*($G$8*0.5)+'LINEST VARS'!$G$48*($G$8*12.73)+'LINEST VARS'!$F$48*($B18*4)+'LINEST VARS'!$E$48*($B18*0.5)+'LINEST VARS'!$D$48*($B18*12.73)+'LINEST VARS'!$C$48*(4*0.5)+'LINEST VARS'!$B$48*(4*12.73)+'LINEST VARS'!$A$48*(0.5*12.73)</f>
        <v>340.94799999999987</v>
      </c>
      <c r="H18" s="46">
        <f>'LINEST VARS'!$U$48+'LINEST VARS'!$T$48*($H$8)+'LINEST VARS'!$S$48*($B18)+'LINEST VARS'!$R$48*(4)+'LINEST VARS'!$Q$48*(0.5)+'LINEST VARS'!$P$48*(12.73)+'LINEST VARS'!$O$48*($H$8^2)+'LINEST VARS'!$N$48*($B18^2)+'LINEST VARS'!$M$48*(4^2)+'LINEST VARS'!$L$48*(0.5^2)+'LINEST VARS'!$K$48*(12.73^2)+'LINEST VARS'!$J$48*($H$8*$B18)+'LINEST VARS'!$I$48*($H$8*4)+'LINEST VARS'!$H$48*($H$8*0.5)+'LINEST VARS'!$G$48*($H$8*12.73)+'LINEST VARS'!$F$48*($B18*4)+'LINEST VARS'!$E$48*($B18*0.5)+'LINEST VARS'!$D$48*($B18*12.73)+'LINEST VARS'!$C$48*(4*0.5)+'LINEST VARS'!$B$48*(4*12.73)+'LINEST VARS'!$A$48*(0.5*12.73)</f>
        <v>345.66999999999996</v>
      </c>
      <c r="I18" s="46">
        <f>'LINEST VARS'!$U$48+'LINEST VARS'!$T$48*($I$8)+'LINEST VARS'!$S$48*($B18)+'LINEST VARS'!$R$48*(4)+'LINEST VARS'!$Q$48*(0.5)+'LINEST VARS'!$P$48*(12.73)+'LINEST VARS'!$O$48*($I$8^2)+'LINEST VARS'!$N$48*($B18^2)+'LINEST VARS'!$M$48*(4^2)+'LINEST VARS'!$L$48*(0.5^2)+'LINEST VARS'!$K$48*(12.73^2)+'LINEST VARS'!$J$48*($I$8*$B18)+'LINEST VARS'!$I$48*($I$8*4)+'LINEST VARS'!$H$48*($I$8*0.5)+'LINEST VARS'!$G$48*($I$8*12.73)+'LINEST VARS'!$F$48*($B18*4)+'LINEST VARS'!$E$48*($B18*0.5)+'LINEST VARS'!$D$48*($B18*12.73)+'LINEST VARS'!$C$48*(4*0.5)+'LINEST VARS'!$B$48*(4*12.73)+'LINEST VARS'!$A$48*(0.5*12.73)</f>
        <v>350.42799999999988</v>
      </c>
      <c r="J18" s="46">
        <f>'LINEST VARS'!$U$48+'LINEST VARS'!$T$48*($J$8)+'LINEST VARS'!$S$48*($B18)+'LINEST VARS'!$R$48*(4)+'LINEST VARS'!$Q$48*(0.5)+'LINEST VARS'!$P$48*(12.73)+'LINEST VARS'!$O$48*($J$8^2)+'LINEST VARS'!$N$48*($B18^2)+'LINEST VARS'!$M$48*(4^2)+'LINEST VARS'!$L$48*(0.5^2)+'LINEST VARS'!$K$48*(12.73^2)+'LINEST VARS'!$J$48*($J$8*$B18)+'LINEST VARS'!$I$48*($J$8*4)+'LINEST VARS'!$H$48*($J$8*0.5)+'LINEST VARS'!$G$48*($J$8*12.73)+'LINEST VARS'!$F$48*($B18*4)+'LINEST VARS'!$E$48*($B18*0.5)+'LINEST VARS'!$D$48*($B18*12.73)+'LINEST VARS'!$C$48*(4*0.5)+'LINEST VARS'!$B$48*(4*12.73)+'LINEST VARS'!$A$48*(0.5*12.73)</f>
        <v>355.22199999999992</v>
      </c>
      <c r="K18" s="46">
        <f>'LINEST VARS'!$U$48+'LINEST VARS'!$T$48*($K$8)+'LINEST VARS'!$S$48*($B18)+'LINEST VARS'!$R$48*(4)+'LINEST VARS'!$Q$48*(0.5)+'LINEST VARS'!$P$48*(12.73)+'LINEST VARS'!$O$48*($K$8^2)+'LINEST VARS'!$N$48*($B18^2)+'LINEST VARS'!$M$48*(4^2)+'LINEST VARS'!$L$48*(0.5^2)+'LINEST VARS'!$K$48*(12.73^2)+'LINEST VARS'!$J$48*($K$8*$B18)+'LINEST VARS'!$I$48*($K$8*4)+'LINEST VARS'!$H$48*($K$8*0.5)+'LINEST VARS'!$G$48*($K$8*12.73)+'LINEST VARS'!$F$48*($B18*4)+'LINEST VARS'!$E$48*($B18*0.5)+'LINEST VARS'!$D$48*($B18*12.73)+'LINEST VARS'!$C$48*(4*0.5)+'LINEST VARS'!$B$48*(4*12.73)+'LINEST VARS'!$A$48*(0.5*12.73)</f>
        <v>360.05199999999991</v>
      </c>
      <c r="L18" s="46">
        <f>'LINEST VARS'!$U$48+'LINEST VARS'!$T$48*($L$8)+'LINEST VARS'!$S$48*($B18)+'LINEST VARS'!$R$48*(4)+'LINEST VARS'!$Q$48*(0.5)+'LINEST VARS'!$P$48*(12.73)+'LINEST VARS'!$O$48*($L$8^2)+'LINEST VARS'!$N$48*($B18^2)+'LINEST VARS'!$M$48*(4^2)+'LINEST VARS'!$L$48*(0.5^2)+'LINEST VARS'!$K$48*(12.73^2)+'LINEST VARS'!$J$48*($L$8*$B18)+'LINEST VARS'!$I$48*($L$8*4)+'LINEST VARS'!$H$48*($L$8*0.5)+'LINEST VARS'!$G$48*($L$8*12.73)+'LINEST VARS'!$F$48*($B18*4)+'LINEST VARS'!$E$48*($B18*0.5)+'LINEST VARS'!$D$48*($B18*12.73)+'LINEST VARS'!$C$48*(4*0.5)+'LINEST VARS'!$B$48*(4*12.73)+'LINEST VARS'!$A$48*(0.5*12.73)</f>
        <v>364.91799999999995</v>
      </c>
      <c r="M18" s="46">
        <f>'LINEST VARS'!$U$48+'LINEST VARS'!$T$48*($M$8)+'LINEST VARS'!$S$48*($B18)+'LINEST VARS'!$R$48*(4)+'LINEST VARS'!$Q$48*(0.5)+'LINEST VARS'!$P$48*(12.73)+'LINEST VARS'!$O$48*($M$8^2)+'LINEST VARS'!$N$48*($B18^2)+'LINEST VARS'!$M$48*(4^2)+'LINEST VARS'!$L$48*(0.5^2)+'LINEST VARS'!$K$48*(12.73^2)+'LINEST VARS'!$J$48*($M$8*$B18)+'LINEST VARS'!$I$48*($M$8*4)+'LINEST VARS'!$H$48*($M$8*0.5)+'LINEST VARS'!$G$48*($M$8*12.73)+'LINEST VARS'!$F$48*($B18*4)+'LINEST VARS'!$E$48*($B18*0.5)+'LINEST VARS'!$D$48*($B18*12.73)+'LINEST VARS'!$C$48*(4*0.5)+'LINEST VARS'!$B$48*(4*12.73)+'LINEST VARS'!$A$48*(0.5*12.73)</f>
        <v>369.81999999999982</v>
      </c>
      <c r="N18" s="46">
        <f>'LINEST VARS'!$U$48+'LINEST VARS'!$T$48*($N$8)+'LINEST VARS'!$S$48*($B18)+'LINEST VARS'!$R$48*(4)+'LINEST VARS'!$Q$48*(0.5)+'LINEST VARS'!$P$48*(12.73)+'LINEST VARS'!$O$48*($N$8^2)+'LINEST VARS'!$N$48*($B18^2)+'LINEST VARS'!$M$48*(4^2)+'LINEST VARS'!$L$48*(0.5^2)+'LINEST VARS'!$K$48*(12.73^2)+'LINEST VARS'!$J$48*($N$8*$B18)+'LINEST VARS'!$I$48*($N$8*4)+'LINEST VARS'!$H$48*($N$8*0.5)+'LINEST VARS'!$G$48*($N$8*12.73)+'LINEST VARS'!$F$48*($B18*4)+'LINEST VARS'!$E$48*($B18*0.5)+'LINEST VARS'!$D$48*($B18*12.73)+'LINEST VARS'!$C$48*(4*0.5)+'LINEST VARS'!$B$48*(4*12.73)+'LINEST VARS'!$A$48*(0.5*12.73)</f>
        <v>374.75799999999987</v>
      </c>
      <c r="O18" s="46">
        <f>'LINEST VARS'!$U$48+'LINEST VARS'!$T$48*($O$8)+'LINEST VARS'!$S$48*($B18)+'LINEST VARS'!$R$48*(4)+'LINEST VARS'!$Q$48*(0.5)+'LINEST VARS'!$P$48*(12.73)+'LINEST VARS'!$O$48*($O$8^2)+'LINEST VARS'!$N$48*($B18^2)+'LINEST VARS'!$M$48*(4^2)+'LINEST VARS'!$L$48*(0.5^2)+'LINEST VARS'!$K$48*(12.73^2)+'LINEST VARS'!$J$48*($O$8*$B18)+'LINEST VARS'!$I$48*($O$8*4)+'LINEST VARS'!$H$48*($O$8*0.5)+'LINEST VARS'!$G$48*($O$8*12.73)+'LINEST VARS'!$F$48*($B18*4)+'LINEST VARS'!$E$48*($B18*0.5)+'LINEST VARS'!$D$48*($B18*12.73)+'LINEST VARS'!$C$48*(4*0.5)+'LINEST VARS'!$B$48*(4*12.73)+'LINEST VARS'!$A$48*(0.5*12.73)</f>
        <v>379.73199999999974</v>
      </c>
      <c r="P18" s="46">
        <f>'LINEST VARS'!$U$48+'LINEST VARS'!$T$48*($P$8)+'LINEST VARS'!$S$48*($B18)+'LINEST VARS'!$R$48*(4)+'LINEST VARS'!$Q$48*(0.5)+'LINEST VARS'!$P$48*(12.73)+'LINEST VARS'!$O$48*($P$8^2)+'LINEST VARS'!$N$48*($B18^2)+'LINEST VARS'!$M$48*(4^2)+'LINEST VARS'!$L$48*(0.5^2)+'LINEST VARS'!$K$48*(12.73^2)+'LINEST VARS'!$J$48*($P$8*$B18)+'LINEST VARS'!$I$48*($P$8*4)+'LINEST VARS'!$H$48*($P$8*0.5)+'LINEST VARS'!$G$48*($P$8*12.73)+'LINEST VARS'!$F$48*($B18*4)+'LINEST VARS'!$E$48*($B18*0.5)+'LINEST VARS'!$D$48*($B18*12.73)+'LINEST VARS'!$C$48*(4*0.5)+'LINEST VARS'!$B$48*(4*12.73)+'LINEST VARS'!$A$48*(0.5*12.73)</f>
        <v>384.74199999999979</v>
      </c>
      <c r="Q18" s="46">
        <f>'LINEST VARS'!$U$48+'LINEST VARS'!$T$48*($Q$8)+'LINEST VARS'!$S$48*($B18)+'LINEST VARS'!$R$48*(4)+'LINEST VARS'!$Q$48*(0.5)+'LINEST VARS'!$P$48*(12.73)+'LINEST VARS'!$O$48*($Q$8^2)+'LINEST VARS'!$N$48*($B18^2)+'LINEST VARS'!$M$48*(4^2)+'LINEST VARS'!$L$48*(0.5^2)+'LINEST VARS'!$K$48*(12.73^2)+'LINEST VARS'!$J$48*($Q$8*$B18)+'LINEST VARS'!$I$48*($Q$8*4)+'LINEST VARS'!$H$48*($Q$8*0.5)+'LINEST VARS'!$G$48*($Q$8*12.73)+'LINEST VARS'!$F$48*($B18*4)+'LINEST VARS'!$E$48*($B18*0.5)+'LINEST VARS'!$D$48*($B18*12.73)+'LINEST VARS'!$C$48*(4*0.5)+'LINEST VARS'!$B$48*(4*12.73)+'LINEST VARS'!$A$48*(0.5*12.73)</f>
        <v>389.78799999999984</v>
      </c>
      <c r="R18" s="46">
        <f>'LINEST VARS'!$U$48+'LINEST VARS'!$T$48*($R$8)+'LINEST VARS'!$S$48*($B18)+'LINEST VARS'!$R$48*(4)+'LINEST VARS'!$Q$48*(0.5)+'LINEST VARS'!$P$48*(12.73)+'LINEST VARS'!$O$48*($R$8^2)+'LINEST VARS'!$N$48*($B18^2)+'LINEST VARS'!$M$48*(4^2)+'LINEST VARS'!$L$48*(0.5^2)+'LINEST VARS'!$K$48*(12.73^2)+'LINEST VARS'!$J$48*($R$8*$B18)+'LINEST VARS'!$I$48*($R$8*4)+'LINEST VARS'!$H$48*($R$8*0.5)+'LINEST VARS'!$G$48*($R$8*12.73)+'LINEST VARS'!$F$48*($B18*4)+'LINEST VARS'!$E$48*($B18*0.5)+'LINEST VARS'!$D$48*($B18*12.73)+'LINEST VARS'!$C$48*(4*0.5)+'LINEST VARS'!$B$48*(4*12.73)+'LINEST VARS'!$A$48*(0.5*12.73)</f>
        <v>394.86999999999989</v>
      </c>
      <c r="S18" s="46">
        <f>'LINEST VARS'!$U$48+'LINEST VARS'!$T$48*($S$8)+'LINEST VARS'!$S$48*($B18)+'LINEST VARS'!$R$48*(4)+'LINEST VARS'!$Q$48*(0.5)+'LINEST VARS'!$P$48*(12.73)+'LINEST VARS'!$O$48*($S$8^2)+'LINEST VARS'!$N$48*($B18^2)+'LINEST VARS'!$M$48*(4^2)+'LINEST VARS'!$L$48*(0.5^2)+'LINEST VARS'!$K$48*(12.73^2)+'LINEST VARS'!$J$48*($S$8*$B18)+'LINEST VARS'!$I$48*($S$8*4)+'LINEST VARS'!$H$48*($S$8*0.5)+'LINEST VARS'!$G$48*($S$8*12.73)+'LINEST VARS'!$F$48*($B18*4)+'LINEST VARS'!$E$48*($B18*0.5)+'LINEST VARS'!$D$48*($B18*12.73)+'LINEST VARS'!$C$48*(4*0.5)+'LINEST VARS'!$B$48*(4*12.73)+'LINEST VARS'!$A$48*(0.5*12.73)</f>
        <v>399.98799999999977</v>
      </c>
      <c r="T18" s="46">
        <f>'LINEST VARS'!$U$48+'LINEST VARS'!$T$48*($T$8)+'LINEST VARS'!$S$48*($B18)+'LINEST VARS'!$R$48*(4)+'LINEST VARS'!$Q$48*(0.5)+'LINEST VARS'!$P$48*(12.73)+'LINEST VARS'!$O$48*($T$8^2)+'LINEST VARS'!$N$48*($B18^2)+'LINEST VARS'!$M$48*(4^2)+'LINEST VARS'!$L$48*(0.5^2)+'LINEST VARS'!$K$48*(12.73^2)+'LINEST VARS'!$J$48*($T$8*$B18)+'LINEST VARS'!$I$48*($T$8*4)+'LINEST VARS'!$H$48*($T$8*0.5)+'LINEST VARS'!$G$48*($T$8*12.73)+'LINEST VARS'!$F$48*($B18*4)+'LINEST VARS'!$E$48*($B18*0.5)+'LINEST VARS'!$D$48*($B18*12.73)+'LINEST VARS'!$C$48*(4*0.5)+'LINEST VARS'!$B$48*(4*12.73)+'LINEST VARS'!$A$48*(0.5*12.73)</f>
        <v>405.14199999999988</v>
      </c>
      <c r="U18" s="46">
        <f>'LINEST VARS'!$U$48+'LINEST VARS'!$T$48*($U$8)+'LINEST VARS'!$S$48*($B18)+'LINEST VARS'!$R$48*(4)+'LINEST VARS'!$Q$48*(0.5)+'LINEST VARS'!$P$48*(12.73)+'LINEST VARS'!$O$48*($U$8^2)+'LINEST VARS'!$N$48*($B18^2)+'LINEST VARS'!$M$48*(4^2)+'LINEST VARS'!$L$48*(0.5^2)+'LINEST VARS'!$K$48*(12.73^2)+'LINEST VARS'!$J$48*($U$8*$B18)+'LINEST VARS'!$I$48*($U$8*4)+'LINEST VARS'!$H$48*($U$8*0.5)+'LINEST VARS'!$G$48*($U$8*12.73)+'LINEST VARS'!$F$48*($B18*4)+'LINEST VARS'!$E$48*($B18*0.5)+'LINEST VARS'!$D$48*($B18*12.73)+'LINEST VARS'!$C$48*(4*0.5)+'LINEST VARS'!$B$48*(4*12.73)+'LINEST VARS'!$A$48*(0.5*12.73)</f>
        <v>410.33199999999988</v>
      </c>
      <c r="V18" s="46">
        <f>'LINEST VARS'!$U$48+'LINEST VARS'!$T$48*($V$8)+'LINEST VARS'!$S$48*($B18)+'LINEST VARS'!$R$48*(4)+'LINEST VARS'!$Q$48*(0.5)+'LINEST VARS'!$P$48*(12.73)+'LINEST VARS'!$O$48*($V$8^2)+'LINEST VARS'!$N$48*($B18^2)+'LINEST VARS'!$M$48*(4^2)+'LINEST VARS'!$L$48*(0.5^2)+'LINEST VARS'!$K$48*(12.73^2)+'LINEST VARS'!$J$48*($V$8*$B18)+'LINEST VARS'!$I$48*($V$8*4)+'LINEST VARS'!$H$48*($V$8*0.5)+'LINEST VARS'!$G$48*($V$8*12.73)+'LINEST VARS'!$F$48*($B18*4)+'LINEST VARS'!$E$48*($B18*0.5)+'LINEST VARS'!$D$48*($B18*12.73)+'LINEST VARS'!$C$48*(4*0.5)+'LINEST VARS'!$B$48*(4*12.73)+'LINEST VARS'!$A$48*(0.5*12.73)</f>
        <v>415.55799999999977</v>
      </c>
      <c r="W18" s="47">
        <f>'LINEST VARS'!$U$48+'LINEST VARS'!$T$48*($W$8)+'LINEST VARS'!$S$48*($B18)+'LINEST VARS'!$R$48*(4)+'LINEST VARS'!$Q$48*(0.5)+'LINEST VARS'!$P$48*(12.73)+'LINEST VARS'!$O$48*($W$8^2)+'LINEST VARS'!$N$48*($B18^2)+'LINEST VARS'!$M$48*(4^2)+'LINEST VARS'!$L$48*(0.5^2)+'LINEST VARS'!$K$48*(12.73^2)+'LINEST VARS'!$J$48*($W$8*$B18)+'LINEST VARS'!$I$48*($W$8*4)+'LINEST VARS'!$H$48*($W$8*0.5)+'LINEST VARS'!$G$48*($W$8*12.73)+'LINEST VARS'!$F$48*($B18*4)+'LINEST VARS'!$E$48*($B18*0.5)+'LINEST VARS'!$D$48*($B18*12.73)+'LINEST VARS'!$C$48*(4*0.5)+'LINEST VARS'!$B$48*(4*12.73)+'LINEST VARS'!$A$48*(0.5*12.73)</f>
        <v>420.81999999999977</v>
      </c>
      <c r="Z18" s="45">
        <v>7.94</v>
      </c>
      <c r="AA18" s="46">
        <f>'LINEST VARS'!$U$50+'LINEST VARS'!$T$50*($AA$8)+'LINEST VARS'!$S$50*($Z18)+'LINEST VARS'!$R$50*(4)+'LINEST VARS'!$Q$50*(0.5)+'LINEST VARS'!$P$50*(12.73)+'LINEST VARS'!$O$50*($AA$8^2)+'LINEST VARS'!$N$50*($Z18^2)+'LINEST VARS'!$M$50*(4^2)+'LINEST VARS'!$L$50*(0.5^2)+'LINEST VARS'!$K$50*(12.73^2)+'LINEST VARS'!$J$50*($AA$8*$Z18)+'LINEST VARS'!$I$50*($AA$8*4)+'LINEST VARS'!$H$50*($AA$8*0.5)+'LINEST VARS'!$G$50*($AA$8*12.73)+'LINEST VARS'!$F$50*($Z18*4)+'LINEST VARS'!$E$50*($Z18*0.5)+'LINEST VARS'!$D$50*($Z18*12.73)+'LINEST VARS'!$C$50*(4*0.5)+'LINEST VARS'!$B$50*(4*12.73)+'LINEST VARS'!$A$50*(0.5*12.73)</f>
        <v>330.94999999999993</v>
      </c>
      <c r="AB18" s="46">
        <f>'LINEST VARS'!$U$50+'LINEST VARS'!$T$50*($AB$8)+'LINEST VARS'!$S$50*($Z18)+'LINEST VARS'!$R$50*(4)+'LINEST VARS'!$Q$50*(0.5)+'LINEST VARS'!$P$50*(12.73)+'LINEST VARS'!$O$50*($AB$8^2)+'LINEST VARS'!$N$50*($Z18^2)+'LINEST VARS'!$M$50*(4^2)+'LINEST VARS'!$L$50*(0.5^2)+'LINEST VARS'!$K$50*(12.73^2)+'LINEST VARS'!$J$50*($AB$8*$Z18)+'LINEST VARS'!$I$50*($AB$8*4)+'LINEST VARS'!$H$50*($AB$8*0.5)+'LINEST VARS'!$G$50*($AB$8*12.73)+'LINEST VARS'!$F$50*($Z18*4)+'LINEST VARS'!$E$50*($Z18*0.5)+'LINEST VARS'!$D$50*($Z18*12.73)+'LINEST VARS'!$C$50*(4*0.5)+'LINEST VARS'!$B$50*(4*12.73)+'LINEST VARS'!$A$50*(0.5*12.73)</f>
        <v>331.03999999999991</v>
      </c>
      <c r="AC18" s="46">
        <f>'LINEST VARS'!$U$50+'LINEST VARS'!$T$50*($AC$8)+'LINEST VARS'!$S$50*($Z18)+'LINEST VARS'!$R$50*(4)+'LINEST VARS'!$Q$50*(0.5)+'LINEST VARS'!$P$50*(12.73)+'LINEST VARS'!$O$50*($AC$8^2)+'LINEST VARS'!$N$50*($Z18^2)+'LINEST VARS'!$M$50*(4^2)+'LINEST VARS'!$L$50*(0.5^2)+'LINEST VARS'!$K$50*(12.73^2)+'LINEST VARS'!$J$50*($AC$8*$Z18)+'LINEST VARS'!$I$50*($AC$8*4)+'LINEST VARS'!$H$50*($AC$8*0.5)+'LINEST VARS'!$G$50*($AC$8*12.73)+'LINEST VARS'!$F$50*($Z18*4)+'LINEST VARS'!$E$50*($Z18*0.5)+'LINEST VARS'!$D$50*($Z18*12.73)+'LINEST VARS'!$C$50*(4*0.5)+'LINEST VARS'!$B$50*(4*12.73)+'LINEST VARS'!$A$50*(0.5*12.73)</f>
        <v>331.12999999999994</v>
      </c>
      <c r="AD18" s="46">
        <f>'LINEST VARS'!$U$50+'LINEST VARS'!$T$50*($AD$8)+'LINEST VARS'!$S$50*($Z18)+'LINEST VARS'!$R$50*(4)+'LINEST VARS'!$Q$50*(0.5)+'LINEST VARS'!$P$50*(12.73)+'LINEST VARS'!$O$50*($AD$8^2)+'LINEST VARS'!$N$50*($Z18^2)+'LINEST VARS'!$M$50*(4^2)+'LINEST VARS'!$L$50*(0.5^2)+'LINEST VARS'!$K$50*(12.73^2)+'LINEST VARS'!$J$50*($AD$8*$Z18)+'LINEST VARS'!$I$50*($AD$8*4)+'LINEST VARS'!$H$50*($AD$8*0.5)+'LINEST VARS'!$G$50*($AD$8*12.73)+'LINEST VARS'!$F$50*($Z18*4)+'LINEST VARS'!$E$50*($Z18*0.5)+'LINEST VARS'!$D$50*($Z18*12.73)+'LINEST VARS'!$C$50*(4*0.5)+'LINEST VARS'!$B$50*(4*12.73)+'LINEST VARS'!$A$50*(0.5*12.73)</f>
        <v>331.21999999999991</v>
      </c>
      <c r="AE18" s="46">
        <f>'LINEST VARS'!$U$50+'LINEST VARS'!$T$50*($AE$8)+'LINEST VARS'!$S$50*($Z18)+'LINEST VARS'!$R$50*(4)+'LINEST VARS'!$Q$50*(0.5)+'LINEST VARS'!$P$50*(12.73)+'LINEST VARS'!$O$50*($AE$8^2)+'LINEST VARS'!$N$50*($Z18^2)+'LINEST VARS'!$M$50*(4^2)+'LINEST VARS'!$L$50*(0.5^2)+'LINEST VARS'!$K$50*(12.73^2)+'LINEST VARS'!$J$50*($AE$8*$Z18)+'LINEST VARS'!$I$50*($AE$8*4)+'LINEST VARS'!$H$50*($AE$8*0.5)+'LINEST VARS'!$G$50*($AE$8*12.73)+'LINEST VARS'!$F$50*($Z18*4)+'LINEST VARS'!$E$50*($Z18*0.5)+'LINEST VARS'!$D$50*($Z18*12.73)+'LINEST VARS'!$C$50*(4*0.5)+'LINEST VARS'!$B$50*(4*12.73)+'LINEST VARS'!$A$50*(0.5*12.73)</f>
        <v>331.30999999999989</v>
      </c>
      <c r="AF18" s="46">
        <f>'LINEST VARS'!$U$50+'LINEST VARS'!$T$50*($AF$8)+'LINEST VARS'!$S$50*($Z18)+'LINEST VARS'!$R$50*(4)+'LINEST VARS'!$Q$50*(0.5)+'LINEST VARS'!$P$50*(12.73)+'LINEST VARS'!$O$50*($AF$8^2)+'LINEST VARS'!$N$50*($Z18^2)+'LINEST VARS'!$M$50*(4^2)+'LINEST VARS'!$L$50*(0.5^2)+'LINEST VARS'!$K$50*(12.73^2)+'LINEST VARS'!$J$50*($AF$8*$Z18)+'LINEST VARS'!$I$50*($AF$8*4)+'LINEST VARS'!$H$50*($AF$8*0.5)+'LINEST VARS'!$G$50*($AF$8*12.73)+'LINEST VARS'!$F$50*($Z18*4)+'LINEST VARS'!$E$50*($Z18*0.5)+'LINEST VARS'!$D$50*($Z18*12.73)+'LINEST VARS'!$C$50*(4*0.5)+'LINEST VARS'!$B$50*(4*12.73)+'LINEST VARS'!$A$50*(0.5*12.73)</f>
        <v>331.39999999999986</v>
      </c>
      <c r="AG18" s="46">
        <f>'LINEST VARS'!$U$50+'LINEST VARS'!$T$50*($AG$8)+'LINEST VARS'!$S$50*($Z18)+'LINEST VARS'!$R$50*(4)+'LINEST VARS'!$Q$50*(0.5)+'LINEST VARS'!$P$50*(12.73)+'LINEST VARS'!$O$50*($AG$8^2)+'LINEST VARS'!$N$50*($Z18^2)+'LINEST VARS'!$M$50*(4^2)+'LINEST VARS'!$L$50*(0.5^2)+'LINEST VARS'!$K$50*(12.73^2)+'LINEST VARS'!$J$50*($AG$8*$Z18)+'LINEST VARS'!$I$50*($AG$8*4)+'LINEST VARS'!$H$50*($AG$8*0.5)+'LINEST VARS'!$G$50*($AG$8*12.73)+'LINEST VARS'!$F$50*($Z18*4)+'LINEST VARS'!$E$50*($Z18*0.5)+'LINEST VARS'!$D$50*($Z18*12.73)+'LINEST VARS'!$C$50*(4*0.5)+'LINEST VARS'!$B$50*(4*12.73)+'LINEST VARS'!$A$50*(0.5*12.73)</f>
        <v>331.48999999999984</v>
      </c>
      <c r="AH18" s="46">
        <f>'LINEST VARS'!$U$50+'LINEST VARS'!$T$50*($AH$8)+'LINEST VARS'!$S$50*($Z18)+'LINEST VARS'!$R$50*(4)+'LINEST VARS'!$Q$50*(0.5)+'LINEST VARS'!$P$50*(12.73)+'LINEST VARS'!$O$50*($AH$8^2)+'LINEST VARS'!$N$50*($Z18^2)+'LINEST VARS'!$M$50*(4^2)+'LINEST VARS'!$L$50*(0.5^2)+'LINEST VARS'!$K$50*(12.73^2)+'LINEST VARS'!$J$50*($AH$8*$Z18)+'LINEST VARS'!$I$50*($AH$8*4)+'LINEST VARS'!$H$50*($AH$8*0.5)+'LINEST VARS'!$G$50*($AH$8*12.73)+'LINEST VARS'!$F$50*($Z18*4)+'LINEST VARS'!$E$50*($Z18*0.5)+'LINEST VARS'!$D$50*($Z18*12.73)+'LINEST VARS'!$C$50*(4*0.5)+'LINEST VARS'!$B$50*(4*12.73)+'LINEST VARS'!$A$50*(0.5*12.73)</f>
        <v>331.57999999999987</v>
      </c>
      <c r="AI18" s="46">
        <f>'LINEST VARS'!$U$50+'LINEST VARS'!$T$50*($AI$8)+'LINEST VARS'!$S$50*($Z18)+'LINEST VARS'!$R$50*(4)+'LINEST VARS'!$Q$50*(0.5)+'LINEST VARS'!$P$50*(12.73)+'LINEST VARS'!$O$50*($AI$8^2)+'LINEST VARS'!$N$50*($Z18^2)+'LINEST VARS'!$M$50*(4^2)+'LINEST VARS'!$L$50*(0.5^2)+'LINEST VARS'!$K$50*(12.73^2)+'LINEST VARS'!$J$50*($AI$8*$Z18)+'LINEST VARS'!$I$50*($AI$8*4)+'LINEST VARS'!$H$50*($AI$8*0.5)+'LINEST VARS'!$G$50*($AI$8*12.73)+'LINEST VARS'!$F$50*($Z18*4)+'LINEST VARS'!$E$50*($Z18*0.5)+'LINEST VARS'!$D$50*($Z18*12.73)+'LINEST VARS'!$C$50*(4*0.5)+'LINEST VARS'!$B$50*(4*12.73)+'LINEST VARS'!$A$50*(0.5*12.73)</f>
        <v>331.66999999999985</v>
      </c>
      <c r="AJ18" s="46">
        <f>'LINEST VARS'!$U$50+'LINEST VARS'!$T$50*($AJ$8)+'LINEST VARS'!$S$50*($Z18)+'LINEST VARS'!$R$50*(4)+'LINEST VARS'!$Q$50*(0.5)+'LINEST VARS'!$P$50*(12.73)+'LINEST VARS'!$O$50*($AJ$8^2)+'LINEST VARS'!$N$50*($Z18^2)+'LINEST VARS'!$M$50*(4^2)+'LINEST VARS'!$L$50*(0.5^2)+'LINEST VARS'!$K$50*(12.73^2)+'LINEST VARS'!$J$50*($AJ$8*$Z18)+'LINEST VARS'!$I$50*($AJ$8*4)+'LINEST VARS'!$H$50*($AJ$8*0.5)+'LINEST VARS'!$G$50*($AJ$8*12.73)+'LINEST VARS'!$F$50*($Z18*4)+'LINEST VARS'!$E$50*($Z18*0.5)+'LINEST VARS'!$D$50*($Z18*12.73)+'LINEST VARS'!$C$50*(4*0.5)+'LINEST VARS'!$B$50*(4*12.73)+'LINEST VARS'!$A$50*(0.5*12.73)</f>
        <v>331.75999999999988</v>
      </c>
      <c r="AK18" s="46">
        <f>'LINEST VARS'!$U$50+'LINEST VARS'!$T$50*($AK$8)+'LINEST VARS'!$S$50*($Z18)+'LINEST VARS'!$R$50*(4)+'LINEST VARS'!$Q$50*(0.5)+'LINEST VARS'!$P$50*(12.73)+'LINEST VARS'!$O$50*($AK$8^2)+'LINEST VARS'!$N$50*($Z18^2)+'LINEST VARS'!$M$50*(4^2)+'LINEST VARS'!$L$50*(0.5^2)+'LINEST VARS'!$K$50*(12.73^2)+'LINEST VARS'!$J$50*($AK$8*$Z18)+'LINEST VARS'!$I$50*($AK$8*4)+'LINEST VARS'!$H$50*($AK$8*0.5)+'LINEST VARS'!$G$50*($AK$8*12.73)+'LINEST VARS'!$F$50*($Z18*4)+'LINEST VARS'!$E$50*($Z18*0.5)+'LINEST VARS'!$D$50*($Z18*12.73)+'LINEST VARS'!$C$50*(4*0.5)+'LINEST VARS'!$B$50*(4*12.73)+'LINEST VARS'!$A$50*(0.5*12.73)</f>
        <v>331.84999999999985</v>
      </c>
      <c r="AL18" s="46">
        <f>'LINEST VARS'!$U$50+'LINEST VARS'!$T$50*($AL$8)+'LINEST VARS'!$S$50*($Z18)+'LINEST VARS'!$R$50*(4)+'LINEST VARS'!$Q$50*(0.5)+'LINEST VARS'!$P$50*(12.73)+'LINEST VARS'!$O$50*($AL$8^2)+'LINEST VARS'!$N$50*($Z18^2)+'LINEST VARS'!$M$50*(4^2)+'LINEST VARS'!$L$50*(0.5^2)+'LINEST VARS'!$K$50*(12.73^2)+'LINEST VARS'!$J$50*($AL$8*$Z18)+'LINEST VARS'!$I$50*($AL$8*4)+'LINEST VARS'!$H$50*($AL$8*0.5)+'LINEST VARS'!$G$50*($AL$8*12.73)+'LINEST VARS'!$F$50*($Z18*4)+'LINEST VARS'!$E$50*($Z18*0.5)+'LINEST VARS'!$D$50*($Z18*12.73)+'LINEST VARS'!$C$50*(4*0.5)+'LINEST VARS'!$B$50*(4*12.73)+'LINEST VARS'!$A$50*(0.5*12.73)</f>
        <v>331.93999999999983</v>
      </c>
      <c r="AM18" s="46">
        <f>'LINEST VARS'!$U$50+'LINEST VARS'!$T$50*($AM$8)+'LINEST VARS'!$S$50*($Z18)+'LINEST VARS'!$R$50*(4)+'LINEST VARS'!$Q$50*(0.5)+'LINEST VARS'!$P$50*(12.73)+'LINEST VARS'!$O$50*($AM$8^2)+'LINEST VARS'!$N$50*($Z18^2)+'LINEST VARS'!$M$50*(4^2)+'LINEST VARS'!$L$50*(0.5^2)+'LINEST VARS'!$K$50*(12.73^2)+'LINEST VARS'!$J$50*($AM$8*$Z18)+'LINEST VARS'!$I$50*($AM$8*4)+'LINEST VARS'!$H$50*($AM$8*0.5)+'LINEST VARS'!$G$50*($AM$8*12.73)+'LINEST VARS'!$F$50*($Z18*4)+'LINEST VARS'!$E$50*($Z18*0.5)+'LINEST VARS'!$D$50*($Z18*12.73)+'LINEST VARS'!$C$50*(4*0.5)+'LINEST VARS'!$B$50*(4*12.73)+'LINEST VARS'!$A$50*(0.5*12.73)</f>
        <v>332.02999999999986</v>
      </c>
      <c r="AN18" s="46">
        <f>'LINEST VARS'!$U$50+'LINEST VARS'!$T$50*($AN$8)+'LINEST VARS'!$S$50*($Z18)+'LINEST VARS'!$R$50*(4)+'LINEST VARS'!$Q$50*(0.5)+'LINEST VARS'!$P$50*(12.73)+'LINEST VARS'!$O$50*($AN$8^2)+'LINEST VARS'!$N$50*($Z18^2)+'LINEST VARS'!$M$50*(4^2)+'LINEST VARS'!$L$50*(0.5^2)+'LINEST VARS'!$K$50*(12.73^2)+'LINEST VARS'!$J$50*($AN$8*$Z18)+'LINEST VARS'!$I$50*($AN$8*4)+'LINEST VARS'!$H$50*($AN$8*0.5)+'LINEST VARS'!$G$50*($AN$8*12.73)+'LINEST VARS'!$F$50*($Z18*4)+'LINEST VARS'!$E$50*($Z18*0.5)+'LINEST VARS'!$D$50*($Z18*12.73)+'LINEST VARS'!$C$50*(4*0.5)+'LINEST VARS'!$B$50*(4*12.73)+'LINEST VARS'!$A$50*(0.5*12.73)</f>
        <v>332.11999999999983</v>
      </c>
      <c r="AO18" s="46">
        <f>'LINEST VARS'!$U$50+'LINEST VARS'!$T$50*($AO$8)+'LINEST VARS'!$S$50*($Z18)+'LINEST VARS'!$R$50*(4)+'LINEST VARS'!$Q$50*(0.5)+'LINEST VARS'!$P$50*(12.73)+'LINEST VARS'!$O$50*($AO$8^2)+'LINEST VARS'!$N$50*($Z18^2)+'LINEST VARS'!$M$50*(4^2)+'LINEST VARS'!$L$50*(0.5^2)+'LINEST VARS'!$K$50*(12.73^2)+'LINEST VARS'!$J$50*($AO$8*$Z18)+'LINEST VARS'!$I$50*($AO$8*4)+'LINEST VARS'!$H$50*($AO$8*0.5)+'LINEST VARS'!$G$50*($AO$8*12.73)+'LINEST VARS'!$F$50*($Z18*4)+'LINEST VARS'!$E$50*($Z18*0.5)+'LINEST VARS'!$D$50*($Z18*12.73)+'LINEST VARS'!$C$50*(4*0.5)+'LINEST VARS'!$B$50*(4*12.73)+'LINEST VARS'!$A$50*(0.5*12.73)</f>
        <v>332.20999999999987</v>
      </c>
      <c r="AP18" s="46">
        <f>'LINEST VARS'!$U$50+'LINEST VARS'!$T$50*($AP$8)+'LINEST VARS'!$S$50*($Z18)+'LINEST VARS'!$R$50*(4)+'LINEST VARS'!$Q$50*(0.5)+'LINEST VARS'!$P$50*(12.73)+'LINEST VARS'!$O$50*($AP$8^2)+'LINEST VARS'!$N$50*($Z18^2)+'LINEST VARS'!$M$50*(4^2)+'LINEST VARS'!$L$50*(0.5^2)+'LINEST VARS'!$K$50*(12.73^2)+'LINEST VARS'!$J$50*($AP$8*$Z18)+'LINEST VARS'!$I$50*($AP$8*4)+'LINEST VARS'!$H$50*($AP$8*0.5)+'LINEST VARS'!$G$50*($AP$8*12.73)+'LINEST VARS'!$F$50*($Z18*4)+'LINEST VARS'!$E$50*($Z18*0.5)+'LINEST VARS'!$D$50*($Z18*12.73)+'LINEST VARS'!$C$50*(4*0.5)+'LINEST VARS'!$B$50*(4*12.73)+'LINEST VARS'!$A$50*(0.5*12.73)</f>
        <v>332.29999999999984</v>
      </c>
      <c r="AQ18" s="46">
        <f>'LINEST VARS'!$U$50+'LINEST VARS'!$T$50*($AQ$8)+'LINEST VARS'!$S$50*($Z18)+'LINEST VARS'!$R$50*(4)+'LINEST VARS'!$Q$50*(0.5)+'LINEST VARS'!$P$50*(12.73)+'LINEST VARS'!$O$50*($AQ$8^2)+'LINEST VARS'!$N$50*($Z18^2)+'LINEST VARS'!$M$50*(4^2)+'LINEST VARS'!$L$50*(0.5^2)+'LINEST VARS'!$K$50*(12.73^2)+'LINEST VARS'!$J$50*($AQ$8*$Z18)+'LINEST VARS'!$I$50*($AQ$8*4)+'LINEST VARS'!$H$50*($AQ$8*0.5)+'LINEST VARS'!$G$50*($AQ$8*12.73)+'LINEST VARS'!$F$50*($Z18*4)+'LINEST VARS'!$E$50*($Z18*0.5)+'LINEST VARS'!$D$50*($Z18*12.73)+'LINEST VARS'!$C$50*(4*0.5)+'LINEST VARS'!$B$50*(4*12.73)+'LINEST VARS'!$A$50*(0.5*12.73)</f>
        <v>332.38999999999987</v>
      </c>
      <c r="AR18" s="46">
        <f>'LINEST VARS'!$U$50+'LINEST VARS'!$T$50*($AR$8)+'LINEST VARS'!$S$50*($Z18)+'LINEST VARS'!$R$50*(4)+'LINEST VARS'!$Q$50*(0.5)+'LINEST VARS'!$P$50*(12.73)+'LINEST VARS'!$O$50*($AR$8^2)+'LINEST VARS'!$N$50*($Z18^2)+'LINEST VARS'!$M$50*(4^2)+'LINEST VARS'!$L$50*(0.5^2)+'LINEST VARS'!$K$50*(12.73^2)+'LINEST VARS'!$J$50*($AR$8*$Z18)+'LINEST VARS'!$I$50*($AR$8*4)+'LINEST VARS'!$H$50*($AR$8*0.5)+'LINEST VARS'!$G$50*($AR$8*12.73)+'LINEST VARS'!$F$50*($Z18*4)+'LINEST VARS'!$E$50*($Z18*0.5)+'LINEST VARS'!$D$50*($Z18*12.73)+'LINEST VARS'!$C$50*(4*0.5)+'LINEST VARS'!$B$50*(4*12.73)+'LINEST VARS'!$A$50*(0.5*12.73)</f>
        <v>332.47999999999985</v>
      </c>
      <c r="AS18" s="46">
        <f>'LINEST VARS'!$U$50+'LINEST VARS'!$T$50*($AS$8)+'LINEST VARS'!$S$50*($Z18)+'LINEST VARS'!$R$50*(4)+'LINEST VARS'!$Q$50*(0.5)+'LINEST VARS'!$P$50*(12.73)+'LINEST VARS'!$O$50*($AS$8^2)+'LINEST VARS'!$N$50*($Z18^2)+'LINEST VARS'!$M$50*(4^2)+'LINEST VARS'!$L$50*(0.5^2)+'LINEST VARS'!$K$50*(12.73^2)+'LINEST VARS'!$J$50*($AS$8*$Z18)+'LINEST VARS'!$I$50*($AS$8*4)+'LINEST VARS'!$H$50*($AS$8*0.5)+'LINEST VARS'!$G$50*($AS$8*12.73)+'LINEST VARS'!$F$50*($Z18*4)+'LINEST VARS'!$E$50*($Z18*0.5)+'LINEST VARS'!$D$50*($Z18*12.73)+'LINEST VARS'!$C$50*(4*0.5)+'LINEST VARS'!$B$50*(4*12.73)+'LINEST VARS'!$A$50*(0.5*12.73)</f>
        <v>332.56999999999982</v>
      </c>
      <c r="AT18" s="46">
        <f>'LINEST VARS'!$U$50+'LINEST VARS'!$T$50*($AT$8)+'LINEST VARS'!$S$50*($Z18)+'LINEST VARS'!$R$50*(4)+'LINEST VARS'!$Q$50*(0.5)+'LINEST VARS'!$P$50*(12.73)+'LINEST VARS'!$O$50*($AT$8^2)+'LINEST VARS'!$N$50*($Z18^2)+'LINEST VARS'!$M$50*(4^2)+'LINEST VARS'!$L$50*(0.5^2)+'LINEST VARS'!$K$50*(12.73^2)+'LINEST VARS'!$J$50*($AT$8*$Z18)+'LINEST VARS'!$I$50*($AT$8*4)+'LINEST VARS'!$H$50*($AT$8*0.5)+'LINEST VARS'!$G$50*($AT$8*12.73)+'LINEST VARS'!$F$50*($Z18*4)+'LINEST VARS'!$E$50*($Z18*0.5)+'LINEST VARS'!$D$50*($Z18*12.73)+'LINEST VARS'!$C$50*(4*0.5)+'LINEST VARS'!$B$50*(4*12.73)+'LINEST VARS'!$A$50*(0.5*12.73)</f>
        <v>332.65999999999985</v>
      </c>
      <c r="AU18" s="47">
        <f>'LINEST VARS'!$U$50+'LINEST VARS'!$T$50*($AU$8)+'LINEST VARS'!$S$50*($Z18)+'LINEST VARS'!$R$50*(4)+'LINEST VARS'!$Q$50*(0.5)+'LINEST VARS'!$P$50*(12.73)+'LINEST VARS'!$O$50*($AU$8^2)+'LINEST VARS'!$N$50*($Z18^2)+'LINEST VARS'!$M$50*(4^2)+'LINEST VARS'!$L$50*(0.5^2)+'LINEST VARS'!$K$50*(12.73^2)+'LINEST VARS'!$J$50*($AU$8*$Z18)+'LINEST VARS'!$I$50*($AU$8*4)+'LINEST VARS'!$H$50*($AU$8*0.5)+'LINEST VARS'!$G$50*($AU$8*12.73)+'LINEST VARS'!$F$50*($Z18*4)+'LINEST VARS'!$E$50*($Z18*0.5)+'LINEST VARS'!$D$50*($Z18*12.73)+'LINEST VARS'!$C$50*(4*0.5)+'LINEST VARS'!$B$50*(4*12.73)+'LINEST VARS'!$A$50*(0.5*12.73)</f>
        <v>332.74999999999983</v>
      </c>
      <c r="AZ18" s="45">
        <v>0.45</v>
      </c>
      <c r="BA18" s="46">
        <f>'LINEST VARS'!$U$48+'LINEST VARS'!$T$48*(8)+'LINEST VARS'!$S$48*(8)+'LINEST VARS'!$R$48*($BA$8)+'LINEST VARS'!$Q$48*($AZ18)+'LINEST VARS'!$P$48*(12.73)+'LINEST VARS'!$O$48*(8^2)+'LINEST VARS'!$N$48*(8^2)+'LINEST VARS'!$M$48*($BA$8^2)+'LINEST VARS'!$L$48*($AZ18^2)+'LINEST VARS'!$K$48*(12.73^2)+'LINEST VARS'!$J$48*(8*8)+'LINEST VARS'!$I$48*(8*$BA$8)+'LINEST VARS'!$H$48*(8*$AZ18)+'LINEST VARS'!$G$48*(8*12.73)+'LINEST VARS'!$F$48*(8*$BA$8)+'LINEST VARS'!$E$48*(8*$AZ18)+'LINEST VARS'!$D$48*(8*12.73)+'LINEST VARS'!$C$48*($BA$8*$AZ18)+'LINEST VARS'!$B$48*($BA$8*12.73)+'LINEST VARS'!$A$48*($AZ18*12.73)</f>
        <v>369.99999999999983</v>
      </c>
      <c r="BB18" s="46">
        <f>'LINEST VARS'!$U$48+'LINEST VARS'!$T$48*(8)+'LINEST VARS'!$S$48*(8)+'LINEST VARS'!$R$48*($BB$8)+'LINEST VARS'!$Q$48*($AZ18)+'LINEST VARS'!$P$48*(12.73)+'LINEST VARS'!$O$48*(8^2)+'LINEST VARS'!$N$48*(8^2)+'LINEST VARS'!$M$48*($BB$8^2)+'LINEST VARS'!$L$48*($AZ18^2)+'LINEST VARS'!$K$48*(12.73^2)+'LINEST VARS'!$J$48*(8*8)+'LINEST VARS'!$I$48*(8*$BB$8)+'LINEST VARS'!$H$48*(8*$AZ18)+'LINEST VARS'!$G$48*(8*12.73)+'LINEST VARS'!$F$48*(8*$BB$8)+'LINEST VARS'!$E$48*(8*$AZ18)+'LINEST VARS'!$D$48*(8*12.73)+'LINEST VARS'!$C$48*($BB$8*$AZ18)+'LINEST VARS'!$B$48*($BB$8*12.73)+'LINEST VARS'!$A$48*($AZ18*12.73)</f>
        <v>369.99999999999983</v>
      </c>
      <c r="BC18" s="46">
        <f>'LINEST VARS'!$U$48+'LINEST VARS'!$T$48*(8)+'LINEST VARS'!$S$48*(8)+'LINEST VARS'!$R$48*($BC$8)+'LINEST VARS'!$Q$48*($AZ18)+'LINEST VARS'!$P$48*(12.73)+'LINEST VARS'!$O$48*(8^2)+'LINEST VARS'!$N$48*(8^2)+'LINEST VARS'!$M$48*($BC$8^2)+'LINEST VARS'!$L$48*($AZ18^2)+'LINEST VARS'!$K$48*(12.73^2)+'LINEST VARS'!$J$48*(8*8)+'LINEST VARS'!$I$48*(8*$BC$8)+'LINEST VARS'!$H$48*(8*$AZ18)+'LINEST VARS'!$G$48*(8*12.73)+'LINEST VARS'!$F$48*(8*$BC$8)+'LINEST VARS'!$E$48*(8*$AZ18)+'LINEST VARS'!$D$48*(8*12.73)+'LINEST VARS'!$C$48*($BC$8*$AZ18)+'LINEST VARS'!$B$48*($BC$8*12.73)+'LINEST VARS'!$A$48*($AZ18*12.73)</f>
        <v>369.99999999999983</v>
      </c>
      <c r="BD18" s="46">
        <f>'LINEST VARS'!$U$48+'LINEST VARS'!$T$48*(8)+'LINEST VARS'!$S$48*(8)+'LINEST VARS'!$R$48*($BD$8)+'LINEST VARS'!$Q$48*($AZ18)+'LINEST VARS'!$P$48*(12.73)+'LINEST VARS'!$O$48*(8^2)+'LINEST VARS'!$N$48*(8^2)+'LINEST VARS'!$M$48*($BD$8^2)+'LINEST VARS'!$L$48*($AZ18^2)+'LINEST VARS'!$K$48*(12.73^2)+'LINEST VARS'!$J$48*(8*8)+'LINEST VARS'!$I$48*(8*$BD$8)+'LINEST VARS'!$H$48*(8*$AZ18)+'LINEST VARS'!$G$48*(8*12.73)+'LINEST VARS'!$F$48*(8*$BD$8)+'LINEST VARS'!$E$48*(8*$AZ18)+'LINEST VARS'!$D$48*(8*12.73)+'LINEST VARS'!$C$48*($BD$8*$AZ18)+'LINEST VARS'!$B$48*($BD$8*12.73)+'LINEST VARS'!$A$48*($AZ18*12.73)</f>
        <v>369.99999999999983</v>
      </c>
      <c r="BE18" s="46">
        <f>'LINEST VARS'!$U$48+'LINEST VARS'!$T$48*(8)+'LINEST VARS'!$S$48*(8)+'LINEST VARS'!$R$48*($BE$8)+'LINEST VARS'!$Q$48*($AZ18)+'LINEST VARS'!$P$48*(12.73)+'LINEST VARS'!$O$48*(8^2)+'LINEST VARS'!$N$48*(8^2)+'LINEST VARS'!$M$48*($BE$8^2)+'LINEST VARS'!$L$48*($AZ18^2)+'LINEST VARS'!$K$48*(12.73^2)+'LINEST VARS'!$J$48*(8*8)+'LINEST VARS'!$I$48*(8*$BE$8)+'LINEST VARS'!$H$48*(8*$AZ18)+'LINEST VARS'!$G$48*(8*12.73)+'LINEST VARS'!$F$48*(8*$BE$8)+'LINEST VARS'!$E$48*(8*$AZ18)+'LINEST VARS'!$D$48*(8*12.73)+'LINEST VARS'!$C$48*($BE$8*$AZ18)+'LINEST VARS'!$B$48*($BE$8*12.73)+'LINEST VARS'!$A$48*($AZ18*12.73)</f>
        <v>369.99999999999983</v>
      </c>
      <c r="BF18" s="46">
        <f>'LINEST VARS'!$U$48+'LINEST VARS'!$T$48*(8)+'LINEST VARS'!$S$48*(8)+'LINEST VARS'!$R$48*($BF$8)+'LINEST VARS'!$Q$48*($AZ18)+'LINEST VARS'!$P$48*(12.73)+'LINEST VARS'!$O$48*(8^2)+'LINEST VARS'!$N$48*(8^2)+'LINEST VARS'!$M$48*($BF$8^2)+'LINEST VARS'!$L$48*($AZ18^2)+'LINEST VARS'!$K$48*(12.73^2)+'LINEST VARS'!$J$48*(8*8)+'LINEST VARS'!$I$48*(8*$BF$8)+'LINEST VARS'!$H$48*(8*$AZ18)+'LINEST VARS'!$G$48*(8*12.73)+'LINEST VARS'!$F$48*(8*$BF$8)+'LINEST VARS'!$E$48*(8*$AZ18)+'LINEST VARS'!$D$48*(8*12.73)+'LINEST VARS'!$C$48*($BF$8*$AZ18)+'LINEST VARS'!$B$48*($BF$8*12.73)+'LINEST VARS'!$A$48*($AZ18*12.73)</f>
        <v>369.99999999999983</v>
      </c>
      <c r="BG18" s="46">
        <f>'LINEST VARS'!$U$48+'LINEST VARS'!$T$48*(8)+'LINEST VARS'!$S$48*(8)+'LINEST VARS'!$R$48*($BG$8)+'LINEST VARS'!$Q$48*($AZ18)+'LINEST VARS'!$P$48*(12.73)+'LINEST VARS'!$O$48*(8^2)+'LINEST VARS'!$N$48*(8^2)+'LINEST VARS'!$M$48*($BG$8^2)+'LINEST VARS'!$L$48*($AZ18^2)+'LINEST VARS'!$K$48*(12.73^2)+'LINEST VARS'!$J$48*(8*8)+'LINEST VARS'!$I$48*(8*$BG$8)+'LINEST VARS'!$H$48*(8*$AZ18)+'LINEST VARS'!$G$48*(8*12.73)+'LINEST VARS'!$F$48*(8*$BG$8)+'LINEST VARS'!$E$48*(8*$AZ18)+'LINEST VARS'!$D$48*(8*12.73)+'LINEST VARS'!$C$48*($BG$8*$AZ18)+'LINEST VARS'!$B$48*($BG$8*12.73)+'LINEST VARS'!$A$48*($AZ18*12.73)</f>
        <v>369.99999999999983</v>
      </c>
      <c r="BH18" s="46">
        <f>'LINEST VARS'!$U$48+'LINEST VARS'!$T$48*(8)+'LINEST VARS'!$S$48*(8)+'LINEST VARS'!$R$48*($BH$8)+'LINEST VARS'!$Q$48*($AZ18)+'LINEST VARS'!$P$48*(12.73)+'LINEST VARS'!$O$48*(8^2)+'LINEST VARS'!$N$48*(8^2)+'LINEST VARS'!$M$48*($BH$8^2)+'LINEST VARS'!$L$48*($AZ18^2)+'LINEST VARS'!$K$48*(12.73^2)+'LINEST VARS'!$J$48*(8*8)+'LINEST VARS'!$I$48*(8*$BH$8)+'LINEST VARS'!$H$48*(8*$AZ18)+'LINEST VARS'!$G$48*(8*12.73)+'LINEST VARS'!$F$48*(8*$BH$8)+'LINEST VARS'!$E$48*(8*$AZ18)+'LINEST VARS'!$D$48*(8*12.73)+'LINEST VARS'!$C$48*($BH$8*$AZ18)+'LINEST VARS'!$B$48*($BH$8*12.73)+'LINEST VARS'!$A$48*($AZ18*12.73)</f>
        <v>369.99999999999983</v>
      </c>
      <c r="BI18" s="46">
        <f>'LINEST VARS'!$U$48+'LINEST VARS'!$T$48*(8)+'LINEST VARS'!$S$48*(8)+'LINEST VARS'!$R$48*($BI$8)+'LINEST VARS'!$Q$48*($AZ18)+'LINEST VARS'!$P$48*(12.73)+'LINEST VARS'!$O$48*(8^2)+'LINEST VARS'!$N$48*(8^2)+'LINEST VARS'!$M$48*($BI$8^2)+'LINEST VARS'!$L$48*($AZ18^2)+'LINEST VARS'!$K$48*(12.73^2)+'LINEST VARS'!$J$48*(8*8)+'LINEST VARS'!$I$48*(8*$BI$8)+'LINEST VARS'!$H$48*(8*$AZ18)+'LINEST VARS'!$G$48*(8*12.73)+'LINEST VARS'!$F$48*(8*$BI$8)+'LINEST VARS'!$E$48*(8*$AZ18)+'LINEST VARS'!$D$48*(8*12.73)+'LINEST VARS'!$C$48*($BI$8*$AZ18)+'LINEST VARS'!$B$48*($BI$8*12.73)+'LINEST VARS'!$A$48*($AZ18*12.73)</f>
        <v>369.99999999999983</v>
      </c>
      <c r="BJ18" s="46">
        <f>'LINEST VARS'!$U$48+'LINEST VARS'!$T$48*(8)+'LINEST VARS'!$S$48*(8)+'LINEST VARS'!$R$48*($BJ$8)+'LINEST VARS'!$Q$48*($AZ18)+'LINEST VARS'!$P$48*(12.73)+'LINEST VARS'!$O$48*(8^2)+'LINEST VARS'!$N$48*(8^2)+'LINEST VARS'!$M$48*($BJ$8^2)+'LINEST VARS'!$L$48*($AZ18^2)+'LINEST VARS'!$K$48*(12.73^2)+'LINEST VARS'!$J$48*(8*8)+'LINEST VARS'!$I$48*(8*$BJ$8)+'LINEST VARS'!$H$48*(8*$AZ18)+'LINEST VARS'!$G$48*(8*12.73)+'LINEST VARS'!$F$48*(8*$BJ$8)+'LINEST VARS'!$E$48*(8*$AZ18)+'LINEST VARS'!$D$48*(8*12.73)+'LINEST VARS'!$C$48*($BJ$8*$AZ18)+'LINEST VARS'!$B$48*($BJ$8*12.73)+'LINEST VARS'!$A$48*($AZ18*12.73)</f>
        <v>369.99999999999983</v>
      </c>
      <c r="BK18" s="46">
        <f>'LINEST VARS'!$U$48+'LINEST VARS'!$T$48*(8)+'LINEST VARS'!$S$48*(8)+'LINEST VARS'!$R$48*($BK$8)+'LINEST VARS'!$Q$48*($AZ18)+'LINEST VARS'!$P$48*(12.73)+'LINEST VARS'!$O$48*(8^2)+'LINEST VARS'!$N$48*(8^2)+'LINEST VARS'!$M$48*($BK$8^2)+'LINEST VARS'!$L$48*($AZ18^2)+'LINEST VARS'!$K$48*(12.73^2)+'LINEST VARS'!$J$48*(8*8)+'LINEST VARS'!$I$48*(8*$BK$8)+'LINEST VARS'!$H$48*(8*$AZ18)+'LINEST VARS'!$G$48*(8*12.73)+'LINEST VARS'!$F$48*(8*$BK$8)+'LINEST VARS'!$E$48*(8*$AZ18)+'LINEST VARS'!$D$48*(8*12.73)+'LINEST VARS'!$C$48*($BK$8*$AZ18)+'LINEST VARS'!$B$48*($BK$8*12.73)+'LINEST VARS'!$A$48*($AZ18*12.73)</f>
        <v>369.99999999999983</v>
      </c>
      <c r="BL18" s="46">
        <f>'LINEST VARS'!$U$48+'LINEST VARS'!$T$48*(8)+'LINEST VARS'!$S$48*(8)+'LINEST VARS'!$R$48*($BL$8)+'LINEST VARS'!$Q$48*($AZ18)+'LINEST VARS'!$P$48*(12.73)+'LINEST VARS'!$O$48*(8^2)+'LINEST VARS'!$N$48*(8^2)+'LINEST VARS'!$M$48*($BL$8^2)+'LINEST VARS'!$L$48*($AZ18^2)+'LINEST VARS'!$K$48*(12.73^2)+'LINEST VARS'!$J$48*(8*8)+'LINEST VARS'!$I$48*(8*$BL$8)+'LINEST VARS'!$H$48*(8*$AZ18)+'LINEST VARS'!$G$48*(8*12.73)+'LINEST VARS'!$F$48*(8*$BL$8)+'LINEST VARS'!$E$48*(8*$AZ18)+'LINEST VARS'!$D$48*(8*12.73)+'LINEST VARS'!$C$48*($BL$8*$AZ18)+'LINEST VARS'!$B$48*($BL$8*12.73)+'LINEST VARS'!$A$48*($AZ18*12.73)</f>
        <v>369.99999999999983</v>
      </c>
      <c r="BM18" s="46">
        <f>'LINEST VARS'!$U$48+'LINEST VARS'!$T$48*(8)+'LINEST VARS'!$S$48*(8)+'LINEST VARS'!$R$48*($BM$8)+'LINEST VARS'!$Q$48*($AZ18)+'LINEST VARS'!$P$48*(12.73)+'LINEST VARS'!$O$48*(8^2)+'LINEST VARS'!$N$48*(8^2)+'LINEST VARS'!$M$48*($BM$8^2)+'LINEST VARS'!$L$48*($AZ18^2)+'LINEST VARS'!$K$48*(12.73^2)+'LINEST VARS'!$J$48*(8*8)+'LINEST VARS'!$I$48*(8*$BM$8)+'LINEST VARS'!$H$48*(8*$AZ18)+'LINEST VARS'!$G$48*(8*12.73)+'LINEST VARS'!$F$48*(8*$BM$8)+'LINEST VARS'!$E$48*(8*$AZ18)+'LINEST VARS'!$D$48*(8*12.73)+'LINEST VARS'!$C$48*($BM$8*$AZ18)+'LINEST VARS'!$B$48*($BM$8*12.73)+'LINEST VARS'!$A$48*($AZ18*12.73)</f>
        <v>369.99999999999983</v>
      </c>
      <c r="BN18" s="46">
        <f>'LINEST VARS'!$U$48+'LINEST VARS'!$T$48*(8)+'LINEST VARS'!$S$48*(8)+'LINEST VARS'!$R$48*($BN$8)+'LINEST VARS'!$Q$48*($AZ18)+'LINEST VARS'!$P$48*(12.73)+'LINEST VARS'!$O$48*(8^2)+'LINEST VARS'!$N$48*(8^2)+'LINEST VARS'!$M$48*($BN$8^2)+'LINEST VARS'!$L$48*($AZ18^2)+'LINEST VARS'!$K$48*(12.73^2)+'LINEST VARS'!$J$48*(8*8)+'LINEST VARS'!$I$48*(8*$BN$8)+'LINEST VARS'!$H$48*(8*$AZ18)+'LINEST VARS'!$G$48*(8*12.73)+'LINEST VARS'!$F$48*(8*$BN$8)+'LINEST VARS'!$E$48*(8*$AZ18)+'LINEST VARS'!$D$48*(8*12.73)+'LINEST VARS'!$C$48*($BN$8*$AZ18)+'LINEST VARS'!$B$48*($BN$8*12.73)+'LINEST VARS'!$A$48*($AZ18*12.73)</f>
        <v>369.99999999999989</v>
      </c>
      <c r="BO18" s="46">
        <f>'LINEST VARS'!$U$48+'LINEST VARS'!$T$48*(8)+'LINEST VARS'!$S$48*(8)+'LINEST VARS'!$R$48*($BO$8)+'LINEST VARS'!$Q$48*($AZ18)+'LINEST VARS'!$P$48*(12.73)+'LINEST VARS'!$O$48*(8^2)+'LINEST VARS'!$N$48*(8^2)+'LINEST VARS'!$M$48*($BO$8^2)+'LINEST VARS'!$L$48*($AZ18^2)+'LINEST VARS'!$K$48*(12.73^2)+'LINEST VARS'!$J$48*(8*8)+'LINEST VARS'!$I$48*(8*$BO$8)+'LINEST VARS'!$H$48*(8*$AZ18)+'LINEST VARS'!$G$48*(8*12.73)+'LINEST VARS'!$F$48*(8*$BO$8)+'LINEST VARS'!$E$48*(8*$AZ18)+'LINEST VARS'!$D$48*(8*12.73)+'LINEST VARS'!$C$48*($BO$8*$AZ18)+'LINEST VARS'!$B$48*($BO$8*12.73)+'LINEST VARS'!$A$48*($AZ18*12.73)</f>
        <v>369.99999999999989</v>
      </c>
      <c r="BP18" s="46">
        <f>'LINEST VARS'!$U$48+'LINEST VARS'!$T$48*(8)+'LINEST VARS'!$S$48*(8)+'LINEST VARS'!$R$48*($BP$8)+'LINEST VARS'!$Q$48*($AZ18)+'LINEST VARS'!$P$48*(12.73)+'LINEST VARS'!$O$48*(8^2)+'LINEST VARS'!$N$48*(8^2)+'LINEST VARS'!$M$48*($BP$8^2)+'LINEST VARS'!$L$48*($AZ18^2)+'LINEST VARS'!$K$48*(12.73^2)+'LINEST VARS'!$J$48*(8*8)+'LINEST VARS'!$I$48*(8*$BP$8)+'LINEST VARS'!$H$48*(8*$AZ18)+'LINEST VARS'!$G$48*(8*12.73)+'LINEST VARS'!$F$48*(8*$BP$8)+'LINEST VARS'!$E$48*(8*$AZ18)+'LINEST VARS'!$D$48*(8*12.73)+'LINEST VARS'!$C$48*($BP$8*$AZ18)+'LINEST VARS'!$B$48*($BP$8*12.73)+'LINEST VARS'!$A$48*($AZ18*12.73)</f>
        <v>369.99999999999989</v>
      </c>
      <c r="BQ18" s="46">
        <f>'LINEST VARS'!$U$48+'LINEST VARS'!$T$48*(8)+'LINEST VARS'!$S$48*(8)+'LINEST VARS'!$R$48*($BQ$8)+'LINEST VARS'!$Q$48*($AZ18)+'LINEST VARS'!$P$48*(12.73)+'LINEST VARS'!$O$48*(8^2)+'LINEST VARS'!$N$48*(8^2)+'LINEST VARS'!$M$48*($BQ$8^2)+'LINEST VARS'!$L$48*($AZ18^2)+'LINEST VARS'!$K$48*(12.73^2)+'LINEST VARS'!$J$48*(8*8)+'LINEST VARS'!$I$48*(8*$BQ$8)+'LINEST VARS'!$H$48*(8*$AZ18)+'LINEST VARS'!$G$48*(8*12.73)+'LINEST VARS'!$F$48*(8*$BQ$8)+'LINEST VARS'!$E$48*(8*$AZ18)+'LINEST VARS'!$D$48*(8*12.73)+'LINEST VARS'!$C$48*($BQ$8*$AZ18)+'LINEST VARS'!$B$48*($BQ$8*12.73)+'LINEST VARS'!$A$48*($AZ18*12.73)</f>
        <v>369.99999999999983</v>
      </c>
      <c r="BR18" s="46">
        <f>'LINEST VARS'!$U$48+'LINEST VARS'!$T$48*(8)+'LINEST VARS'!$S$48*(8)+'LINEST VARS'!$R$48*($BR$8)+'LINEST VARS'!$Q$48*($AZ18)+'LINEST VARS'!$P$48*(12.73)+'LINEST VARS'!$O$48*(8^2)+'LINEST VARS'!$N$48*(8^2)+'LINEST VARS'!$M$48*($BR$8^2)+'LINEST VARS'!$L$48*($AZ18^2)+'LINEST VARS'!$K$48*(12.73^2)+'LINEST VARS'!$J$48*(8*8)+'LINEST VARS'!$I$48*(8*$BR$8)+'LINEST VARS'!$H$48*(8*$AZ18)+'LINEST VARS'!$G$48*(8*12.73)+'LINEST VARS'!$F$48*(8*$BR$8)+'LINEST VARS'!$E$48*(8*$AZ18)+'LINEST VARS'!$D$48*(8*12.73)+'LINEST VARS'!$C$48*($BR$8*$AZ18)+'LINEST VARS'!$B$48*($BR$8*12.73)+'LINEST VARS'!$A$48*($AZ18*12.73)</f>
        <v>369.99999999999983</v>
      </c>
      <c r="BS18" s="46">
        <f>'LINEST VARS'!$U$48+'LINEST VARS'!$T$48*(8)+'LINEST VARS'!$S$48*(8)+'LINEST VARS'!$R$48*($BS$8)+'LINEST VARS'!$Q$48*($AZ18)+'LINEST VARS'!$P$48*(12.73)+'LINEST VARS'!$O$48*(8^2)+'LINEST VARS'!$N$48*(8^2)+'LINEST VARS'!$M$48*($BS$8^2)+'LINEST VARS'!$L$48*($AZ18^2)+'LINEST VARS'!$K$48*(12.73^2)+'LINEST VARS'!$J$48*(8*8)+'LINEST VARS'!$I$48*(8*$BS$8)+'LINEST VARS'!$H$48*(8*$AZ18)+'LINEST VARS'!$G$48*(8*12.73)+'LINEST VARS'!$F$48*(8*$BS$8)+'LINEST VARS'!$E$48*(8*$AZ18)+'LINEST VARS'!$D$48*(8*12.73)+'LINEST VARS'!$C$48*($BS$8*$AZ18)+'LINEST VARS'!$B$48*($BS$8*12.73)+'LINEST VARS'!$A$48*($AZ18*12.73)</f>
        <v>369.99999999999983</v>
      </c>
      <c r="BT18" s="46">
        <f>'LINEST VARS'!$U$48+'LINEST VARS'!$T$48*(8)+'LINEST VARS'!$S$48*(8)+'LINEST VARS'!$R$48*($BT$8)+'LINEST VARS'!$Q$48*($AZ18)+'LINEST VARS'!$P$48*(12.73)+'LINEST VARS'!$O$48*(8^2)+'LINEST VARS'!$N$48*(8^2)+'LINEST VARS'!$M$48*($BT$8^2)+'LINEST VARS'!$L$48*($AZ18^2)+'LINEST VARS'!$K$48*(12.73^2)+'LINEST VARS'!$J$48*(8*8)+'LINEST VARS'!$I$48*(8*$BT$8)+'LINEST VARS'!$H$48*(8*$AZ18)+'LINEST VARS'!$G$48*(8*12.73)+'LINEST VARS'!$F$48*(8*$BT$8)+'LINEST VARS'!$E$48*(8*$AZ18)+'LINEST VARS'!$D$48*(8*12.73)+'LINEST VARS'!$C$48*($BT$8*$AZ18)+'LINEST VARS'!$B$48*($BT$8*12.73)+'LINEST VARS'!$A$48*($AZ18*12.73)</f>
        <v>369.99999999999983</v>
      </c>
      <c r="BU18" s="47">
        <f>'LINEST VARS'!$U$48+'LINEST VARS'!$T$48*(8)+'LINEST VARS'!$S$48*(8)+'LINEST VARS'!$R$48*($BU$8)+'LINEST VARS'!$Q$48*($AZ18)+'LINEST VARS'!$P$48*(12.73)+'LINEST VARS'!$O$48*(8^2)+'LINEST VARS'!$N$48*(8^2)+'LINEST VARS'!$M$48*($BU$8^2)+'LINEST VARS'!$L$48*($AZ18^2)+'LINEST VARS'!$K$48*(12.73^2)+'LINEST VARS'!$J$48*(8*8)+'LINEST VARS'!$I$48*(8*$BU$8)+'LINEST VARS'!$H$48*(8*$AZ18)+'LINEST VARS'!$G$48*(8*12.73)+'LINEST VARS'!$F$48*(8*$BU$8)+'LINEST VARS'!$E$48*(8*$AZ18)+'LINEST VARS'!$D$48*(8*12.73)+'LINEST VARS'!$C$48*($BU$8*$AZ18)+'LINEST VARS'!$B$48*($BU$8*12.73)+'LINEST VARS'!$A$48*($AZ18*12.73)</f>
        <v>369.99999999999983</v>
      </c>
      <c r="BX18" s="45">
        <v>0.45</v>
      </c>
      <c r="BY18" s="46">
        <f>'LINEST VARS'!$U$50+'LINEST VARS'!$T$50*(8)+'LINEST VARS'!$S$50*(8)+'LINEST VARS'!$R$50*($BY$8)+'LINEST VARS'!$Q$50*($BX18)+'LINEST VARS'!$P$50*(12.73)+'LINEST VARS'!$O$50*(8^2)+'LINEST VARS'!$N$50*(8^2)+'LINEST VARS'!$M$50*($BY$8^2)+'LINEST VARS'!$L$50*($BX18^2)+'LINEST VARS'!$K$50*(12.73^2)+'LINEST VARS'!$J$50*(8*8)+'LINEST VARS'!$I$50*(8*$BY$8)+'LINEST VARS'!$H$50*(8*$BX18)+'LINEST VARS'!$G$50*(8*12.73)+'LINEST VARS'!$F$50*(8*$BY$8)+'LINEST VARS'!$E$50*(8*$BX18)+'LINEST VARS'!$D$50*(8*12.73)+'LINEST VARS'!$C$50*($BY$8*$BX18)+'LINEST VARS'!$B$50*($BY$8*12.73)+'LINEST VARS'!$A$50*($BX18*12.73)</f>
        <v>331.99999999999989</v>
      </c>
      <c r="BZ18" s="46">
        <f>'LINEST VARS'!$U$50+'LINEST VARS'!$T$50*(8)+'LINEST VARS'!$S$50*(8)+'LINEST VARS'!$R$50*($BZ$8)+'LINEST VARS'!$Q$50*($BX18)+'LINEST VARS'!$P$50*(12.73)+'LINEST VARS'!$O$50*(8^2)+'LINEST VARS'!$N$50*(8^2)+'LINEST VARS'!$M$50*($BZ$8^2)+'LINEST VARS'!$L$50*($BX18^2)+'LINEST VARS'!$K$50*(12.73^2)+'LINEST VARS'!$J$50*(8*8)+'LINEST VARS'!$I$50*(8*$BZ$8)+'LINEST VARS'!$H$50*(8*$BX18)+'LINEST VARS'!$G$50*(8*12.73)+'LINEST VARS'!$F$50*(8*$BZ$8)+'LINEST VARS'!$E$50*(8*$BX18)+'LINEST VARS'!$D$50*(8*12.73)+'LINEST VARS'!$C$50*($BZ$8*$BX18)+'LINEST VARS'!$B$50*($BZ$8*12.73)+'LINEST VARS'!$A$50*($BX18*12.73)</f>
        <v>331.99999999999989</v>
      </c>
      <c r="CA18" s="46">
        <f>'LINEST VARS'!$U$50+'LINEST VARS'!$T$50*(8)+'LINEST VARS'!$S$50*(8)+'LINEST VARS'!$R$50*($CA$8)+'LINEST VARS'!$Q$50*($BX18)+'LINEST VARS'!$P$50*(12.73)+'LINEST VARS'!$O$50*(8^2)+'LINEST VARS'!$N$50*(8^2)+'LINEST VARS'!$M$50*($CA$8^2)+'LINEST VARS'!$L$50*($BX18^2)+'LINEST VARS'!$K$50*(12.73^2)+'LINEST VARS'!$J$50*(8*8)+'LINEST VARS'!$I$50*(8*$CA$8)+'LINEST VARS'!$H$50*(8*$BX18)+'LINEST VARS'!$G$50*(8*12.73)+'LINEST VARS'!$F$50*(8*$CA$8)+'LINEST VARS'!$E$50*(8*$BX18)+'LINEST VARS'!$D$50*(8*12.73)+'LINEST VARS'!$C$50*($CA$8*$BX18)+'LINEST VARS'!$B$50*($CA$8*12.73)+'LINEST VARS'!$A$50*($BX18*12.73)</f>
        <v>331.99999999999989</v>
      </c>
      <c r="CB18" s="46">
        <f>'LINEST VARS'!$U$50+'LINEST VARS'!$T$50*(8)+'LINEST VARS'!$S$50*(8)+'LINEST VARS'!$R$50*($CB$8)+'LINEST VARS'!$Q$50*($BX18)+'LINEST VARS'!$P$50*(12.73)+'LINEST VARS'!$O$50*(8^2)+'LINEST VARS'!$N$50*(8^2)+'LINEST VARS'!$M$50*($CB$8^2)+'LINEST VARS'!$L$50*($BX18^2)+'LINEST VARS'!$K$50*(12.73^2)+'LINEST VARS'!$J$50*(8*8)+'LINEST VARS'!$I$50*(8*$CB$8)+'LINEST VARS'!$H$50*(8*$BX18)+'LINEST VARS'!$G$50*(8*12.73)+'LINEST VARS'!$F$50*(8*$CB$8)+'LINEST VARS'!$E$50*(8*$BX18)+'LINEST VARS'!$D$50*(8*12.73)+'LINEST VARS'!$C$50*($CB$8*$BX18)+'LINEST VARS'!$B$50*($CB$8*12.73)+'LINEST VARS'!$A$50*($BX18*12.73)</f>
        <v>331.99999999999989</v>
      </c>
      <c r="CC18" s="46">
        <f>'LINEST VARS'!$U$50+'LINEST VARS'!$T$50*(8)+'LINEST VARS'!$S$50*(8)+'LINEST VARS'!$R$50*($CC$8)+'LINEST VARS'!$Q$50*($BX18)+'LINEST VARS'!$P$50*(12.73)+'LINEST VARS'!$O$50*(8^2)+'LINEST VARS'!$N$50*(8^2)+'LINEST VARS'!$M$50*($CC$8^2)+'LINEST VARS'!$L$50*($BX18^2)+'LINEST VARS'!$K$50*(12.73^2)+'LINEST VARS'!$J$50*(8*8)+'LINEST VARS'!$I$50*(8*$CC$8)+'LINEST VARS'!$H$50*(8*$BX18)+'LINEST VARS'!$G$50*(8*12.73)+'LINEST VARS'!$F$50*(8*$CC$8)+'LINEST VARS'!$E$50*(8*$BX18)+'LINEST VARS'!$D$50*(8*12.73)+'LINEST VARS'!$C$50*($CC$8*$BX18)+'LINEST VARS'!$B$50*($CC$8*12.73)+'LINEST VARS'!$A$50*($BX18*12.73)</f>
        <v>331.99999999999989</v>
      </c>
      <c r="CD18" s="46">
        <f>'LINEST VARS'!$U$50+'LINEST VARS'!$T$50*(8)+'LINEST VARS'!$S$50*(8)+'LINEST VARS'!$R$50*($CD$8)+'LINEST VARS'!$Q$50*($BX18)+'LINEST VARS'!$P$50*(12.73)+'LINEST VARS'!$O$50*(8^2)+'LINEST VARS'!$N$50*(8^2)+'LINEST VARS'!$M$50*($CD$8^2)+'LINEST VARS'!$L$50*($BX18^2)+'LINEST VARS'!$K$50*(12.73^2)+'LINEST VARS'!$J$50*(8*8)+'LINEST VARS'!$I$50*(8*$CD$8)+'LINEST VARS'!$H$50*(8*$BX18)+'LINEST VARS'!$G$50*(8*12.73)+'LINEST VARS'!$F$50*(8*$CD$8)+'LINEST VARS'!$E$50*(8*$BX18)+'LINEST VARS'!$D$50*(8*12.73)+'LINEST VARS'!$C$50*($CD$8*$BX18)+'LINEST VARS'!$B$50*($CD$8*12.73)+'LINEST VARS'!$A$50*($BX18*12.73)</f>
        <v>331.99999999999989</v>
      </c>
      <c r="CE18" s="46">
        <f>'LINEST VARS'!$U$50+'LINEST VARS'!$T$50*(8)+'LINEST VARS'!$S$50*(8)+'LINEST VARS'!$R$50*($CE$8)+'LINEST VARS'!$Q$50*($BX18)+'LINEST VARS'!$P$50*(12.73)+'LINEST VARS'!$O$50*(8^2)+'LINEST VARS'!$N$50*(8^2)+'LINEST VARS'!$M$50*($CE$8^2)+'LINEST VARS'!$L$50*($BX18^2)+'LINEST VARS'!$K$50*(12.73^2)+'LINEST VARS'!$J$50*(8*8)+'LINEST VARS'!$I$50*(8*$CE$8)+'LINEST VARS'!$H$50*(8*$BX18)+'LINEST VARS'!$G$50*(8*12.73)+'LINEST VARS'!$F$50*(8*$CE$8)+'LINEST VARS'!$E$50*(8*$BX18)+'LINEST VARS'!$D$50*(8*12.73)+'LINEST VARS'!$C$50*($CE$8*$BX18)+'LINEST VARS'!$B$50*($CE$8*12.73)+'LINEST VARS'!$A$50*($BX18*12.73)</f>
        <v>331.99999999999989</v>
      </c>
      <c r="CF18" s="46">
        <f>'LINEST VARS'!$U$50+'LINEST VARS'!$T$50*(8)+'LINEST VARS'!$S$50*(8)+'LINEST VARS'!$R$50*($CF$8)+'LINEST VARS'!$Q$50*($BX18)+'LINEST VARS'!$P$50*(12.73)+'LINEST VARS'!$O$50*(8^2)+'LINEST VARS'!$N$50*(8^2)+'LINEST VARS'!$M$50*($CF$8^2)+'LINEST VARS'!$L$50*($BX18^2)+'LINEST VARS'!$K$50*(12.73^2)+'LINEST VARS'!$J$50*(8*8)+'LINEST VARS'!$I$50*(8*$CF$8)+'LINEST VARS'!$H$50*(8*$BX18)+'LINEST VARS'!$G$50*(8*12.73)+'LINEST VARS'!$F$50*(8*$CF$8)+'LINEST VARS'!$E$50*(8*$BX18)+'LINEST VARS'!$D$50*(8*12.73)+'LINEST VARS'!$C$50*($CF$8*$BX18)+'LINEST VARS'!$B$50*($CF$8*12.73)+'LINEST VARS'!$A$50*($BX18*12.73)</f>
        <v>331.99999999999989</v>
      </c>
      <c r="CG18" s="46">
        <f>'LINEST VARS'!$U$50+'LINEST VARS'!$T$50*(8)+'LINEST VARS'!$S$50*(8)+'LINEST VARS'!$R$50*($CG$8)+'LINEST VARS'!$Q$50*($BX18)+'LINEST VARS'!$P$50*(12.73)+'LINEST VARS'!$O$50*(8^2)+'LINEST VARS'!$N$50*(8^2)+'LINEST VARS'!$M$50*($CG$8^2)+'LINEST VARS'!$L$50*($BX18^2)+'LINEST VARS'!$K$50*(12.73^2)+'LINEST VARS'!$J$50*(8*8)+'LINEST VARS'!$I$50*(8*$CG$8)+'LINEST VARS'!$H$50*(8*$BX18)+'LINEST VARS'!$G$50*(8*12.73)+'LINEST VARS'!$F$50*(8*$CG$8)+'LINEST VARS'!$E$50*(8*$BX18)+'LINEST VARS'!$D$50*(8*12.73)+'LINEST VARS'!$C$50*($CG$8*$BX18)+'LINEST VARS'!$B$50*($CG$8*12.73)+'LINEST VARS'!$A$50*($BX18*12.73)</f>
        <v>331.99999999999989</v>
      </c>
      <c r="CH18" s="46">
        <f>'LINEST VARS'!$U$50+'LINEST VARS'!$T$50*(8)+'LINEST VARS'!$S$50*(8)+'LINEST VARS'!$R$50*($CH$8)+'LINEST VARS'!$Q$50*($BX18)+'LINEST VARS'!$P$50*(12.73)+'LINEST VARS'!$O$50*(8^2)+'LINEST VARS'!$N$50*(8^2)+'LINEST VARS'!$M$50*($CH$8^2)+'LINEST VARS'!$L$50*($BX18^2)+'LINEST VARS'!$K$50*(12.73^2)+'LINEST VARS'!$J$50*(8*8)+'LINEST VARS'!$I$50*(8*$CH$8)+'LINEST VARS'!$H$50*(8*$BX18)+'LINEST VARS'!$G$50*(8*12.73)+'LINEST VARS'!$F$50*(8*$CH$8)+'LINEST VARS'!$E$50*(8*$BX18)+'LINEST VARS'!$D$50*(8*12.73)+'LINEST VARS'!$C$50*($CH$8*$BX18)+'LINEST VARS'!$B$50*($CH$8*12.73)+'LINEST VARS'!$A$50*($BX18*12.73)</f>
        <v>331.99999999999989</v>
      </c>
      <c r="CI18" s="46">
        <f>'LINEST VARS'!$U$50+'LINEST VARS'!$T$50*(8)+'LINEST VARS'!$S$50*(8)+'LINEST VARS'!$R$50*($CI$8)+'LINEST VARS'!$Q$50*($BX18)+'LINEST VARS'!$P$50*(12.73)+'LINEST VARS'!$O$50*(8^2)+'LINEST VARS'!$N$50*(8^2)+'LINEST VARS'!$M$50*($CI$8^2)+'LINEST VARS'!$L$50*($BX18^2)+'LINEST VARS'!$K$50*(12.73^2)+'LINEST VARS'!$J$50*(8*8)+'LINEST VARS'!$I$50*(8*$CI$8)+'LINEST VARS'!$H$50*(8*$BX18)+'LINEST VARS'!$G$50*(8*12.73)+'LINEST VARS'!$F$50*(8*$CI$8)+'LINEST VARS'!$E$50*(8*$BX18)+'LINEST VARS'!$D$50*(8*12.73)+'LINEST VARS'!$C$50*($CI$8*$BX18)+'LINEST VARS'!$B$50*($CI$8*12.73)+'LINEST VARS'!$A$50*($BX18*12.73)</f>
        <v>331.99999999999989</v>
      </c>
      <c r="CJ18" s="46">
        <f>'LINEST VARS'!$U$50+'LINEST VARS'!$T$50*(8)+'LINEST VARS'!$S$50*(8)+'LINEST VARS'!$R$50*($CJ$8)+'LINEST VARS'!$Q$50*($BX18)+'LINEST VARS'!$P$50*(12.73)+'LINEST VARS'!$O$50*(8^2)+'LINEST VARS'!$N$50*(8^2)+'LINEST VARS'!$M$50*($CJ$8^2)+'LINEST VARS'!$L$50*($BX18^2)+'LINEST VARS'!$K$50*(12.73^2)+'LINEST VARS'!$J$50*(8*8)+'LINEST VARS'!$I$50*(8*$CJ$8)+'LINEST VARS'!$H$50*(8*$BX18)+'LINEST VARS'!$G$50*(8*12.73)+'LINEST VARS'!$F$50*(8*$CJ$8)+'LINEST VARS'!$E$50*(8*$BX18)+'LINEST VARS'!$D$50*(8*12.73)+'LINEST VARS'!$C$50*($CJ$8*$BX18)+'LINEST VARS'!$B$50*($CJ$8*12.73)+'LINEST VARS'!$A$50*($BX18*12.73)</f>
        <v>331.99999999999989</v>
      </c>
      <c r="CK18" s="46">
        <f>'LINEST VARS'!$U$50+'LINEST VARS'!$T$50*(8)+'LINEST VARS'!$S$50*(8)+'LINEST VARS'!$R$50*($CK$8)+'LINEST VARS'!$Q$50*($BX18)+'LINEST VARS'!$P$50*(12.73)+'LINEST VARS'!$O$50*(8^2)+'LINEST VARS'!$N$50*(8^2)+'LINEST VARS'!$M$50*($CK$8^2)+'LINEST VARS'!$L$50*($BX18^2)+'LINEST VARS'!$K$50*(12.73^2)+'LINEST VARS'!$J$50*(8*8)+'LINEST VARS'!$I$50*(8*$CK$8)+'LINEST VARS'!$H$50*(8*$BX18)+'LINEST VARS'!$G$50*(8*12.73)+'LINEST VARS'!$F$50*(8*$CK$8)+'LINEST VARS'!$E$50*(8*$BX18)+'LINEST VARS'!$D$50*(8*12.73)+'LINEST VARS'!$C$50*($CK$8*$BX18)+'LINEST VARS'!$B$50*($CK$8*12.73)+'LINEST VARS'!$A$50*($BX18*12.73)</f>
        <v>331.99999999999989</v>
      </c>
      <c r="CL18" s="46">
        <f>'LINEST VARS'!$U$50+'LINEST VARS'!$T$50*(8)+'LINEST VARS'!$S$50*(8)+'LINEST VARS'!$R$50*($CL$8)+'LINEST VARS'!$Q$50*($BX18)+'LINEST VARS'!$P$50*(12.73)+'LINEST VARS'!$O$50*(8^2)+'LINEST VARS'!$N$50*(8^2)+'LINEST VARS'!$M$50*($CL$8^2)+'LINEST VARS'!$L$50*($BX18^2)+'LINEST VARS'!$K$50*(12.73^2)+'LINEST VARS'!$J$50*(8*8)+'LINEST VARS'!$I$50*(8*$CL$8)+'LINEST VARS'!$H$50*(8*$BX18)+'LINEST VARS'!$G$50*(8*12.73)+'LINEST VARS'!$F$50*(8*$CL$8)+'LINEST VARS'!$E$50*(8*$BX18)+'LINEST VARS'!$D$50*(8*12.73)+'LINEST VARS'!$C$50*($CL$8*$BX18)+'LINEST VARS'!$B$50*($CL$8*12.73)+'LINEST VARS'!$A$50*($BX18*12.73)</f>
        <v>331.99999999999989</v>
      </c>
      <c r="CM18" s="46">
        <f>'LINEST VARS'!$U$50+'LINEST VARS'!$T$50*(8)+'LINEST VARS'!$S$50*(8)+'LINEST VARS'!$R$50*($CM$8)+'LINEST VARS'!$Q$50*($BX18)+'LINEST VARS'!$P$50*(12.73)+'LINEST VARS'!$O$50*(8^2)+'LINEST VARS'!$N$50*(8^2)+'LINEST VARS'!$M$50*($CM$8^2)+'LINEST VARS'!$L$50*($BX18^2)+'LINEST VARS'!$K$50*(12.73^2)+'LINEST VARS'!$J$50*(8*8)+'LINEST VARS'!$I$50*(8*$CM$8)+'LINEST VARS'!$H$50*(8*$BX18)+'LINEST VARS'!$G$50*(8*12.73)+'LINEST VARS'!$F$50*(8*$CM$8)+'LINEST VARS'!$E$50*(8*$BX18)+'LINEST VARS'!$D$50*(8*12.73)+'LINEST VARS'!$C$50*($CM$8*$BX18)+'LINEST VARS'!$B$50*($CM$8*12.73)+'LINEST VARS'!$A$50*($BX18*12.73)</f>
        <v>331.99999999999989</v>
      </c>
      <c r="CN18" s="46">
        <f>'LINEST VARS'!$U$50+'LINEST VARS'!$T$50*(8)+'LINEST VARS'!$S$50*(8)+'LINEST VARS'!$R$50*($CN$8)+'LINEST VARS'!$Q$50*($BX18)+'LINEST VARS'!$P$50*(12.73)+'LINEST VARS'!$O$50*(8^2)+'LINEST VARS'!$N$50*(8^2)+'LINEST VARS'!$M$50*($CN$8^2)+'LINEST VARS'!$L$50*($BX18^2)+'LINEST VARS'!$K$50*(12.73^2)+'LINEST VARS'!$J$50*(8*8)+'LINEST VARS'!$I$50*(8*$CN$8)+'LINEST VARS'!$H$50*(8*$BX18)+'LINEST VARS'!$G$50*(8*12.73)+'LINEST VARS'!$F$50*(8*$CN$8)+'LINEST VARS'!$E$50*(8*$BX18)+'LINEST VARS'!$D$50*(8*12.73)+'LINEST VARS'!$C$50*($CN$8*$BX18)+'LINEST VARS'!$B$50*($CN$8*12.73)+'LINEST VARS'!$A$50*($BX18*12.73)</f>
        <v>331.99999999999989</v>
      </c>
      <c r="CO18" s="46">
        <f>'LINEST VARS'!$U$50+'LINEST VARS'!$T$50*(8)+'LINEST VARS'!$S$50*(8)+'LINEST VARS'!$R$50*($CO$8)+'LINEST VARS'!$Q$50*($BX18)+'LINEST VARS'!$P$50*(12.73)+'LINEST VARS'!$O$50*(8^2)+'LINEST VARS'!$N$50*(8^2)+'LINEST VARS'!$M$50*($CO$8^2)+'LINEST VARS'!$L$50*($BX18^2)+'LINEST VARS'!$K$50*(12.73^2)+'LINEST VARS'!$J$50*(8*8)+'LINEST VARS'!$I$50*(8*$CO$8)+'LINEST VARS'!$H$50*(8*$BX18)+'LINEST VARS'!$G$50*(8*12.73)+'LINEST VARS'!$F$50*(8*$CO$8)+'LINEST VARS'!$E$50*(8*$BX18)+'LINEST VARS'!$D$50*(8*12.73)+'LINEST VARS'!$C$50*($CO$8*$BX18)+'LINEST VARS'!$B$50*($CO$8*12.73)+'LINEST VARS'!$A$50*($BX18*12.73)</f>
        <v>331.99999999999989</v>
      </c>
      <c r="CP18" s="46">
        <f>'LINEST VARS'!$U$50+'LINEST VARS'!$T$50*(8)+'LINEST VARS'!$S$50*(8)+'LINEST VARS'!$R$50*($CP$8)+'LINEST VARS'!$Q$50*($BX18)+'LINEST VARS'!$P$50*(12.73)+'LINEST VARS'!$O$50*(8^2)+'LINEST VARS'!$N$50*(8^2)+'LINEST VARS'!$M$50*($CP$8^2)+'LINEST VARS'!$L$50*($BX18^2)+'LINEST VARS'!$K$50*(12.73^2)+'LINEST VARS'!$J$50*(8*8)+'LINEST VARS'!$I$50*(8*$CP$8)+'LINEST VARS'!$H$50*(8*$BX18)+'LINEST VARS'!$G$50*(8*12.73)+'LINEST VARS'!$F$50*(8*$CP$8)+'LINEST VARS'!$E$50*(8*$BX18)+'LINEST VARS'!$D$50*(8*12.73)+'LINEST VARS'!$C$50*($CP$8*$BX18)+'LINEST VARS'!$B$50*($CP$8*12.73)+'LINEST VARS'!$A$50*($BX18*12.73)</f>
        <v>331.99999999999989</v>
      </c>
      <c r="CQ18" s="46">
        <f>'LINEST VARS'!$U$50+'LINEST VARS'!$T$50*(8)+'LINEST VARS'!$S$50*(8)+'LINEST VARS'!$R$50*($CQ$8)+'LINEST VARS'!$Q$50*($BX18)+'LINEST VARS'!$P$50*(12.73)+'LINEST VARS'!$O$50*(8^2)+'LINEST VARS'!$N$50*(8^2)+'LINEST VARS'!$M$50*($CQ$8^2)+'LINEST VARS'!$L$50*($BX18^2)+'LINEST VARS'!$K$50*(12.73^2)+'LINEST VARS'!$J$50*(8*8)+'LINEST VARS'!$I$50*(8*$CQ$8)+'LINEST VARS'!$H$50*(8*$BX18)+'LINEST VARS'!$G$50*(8*12.73)+'LINEST VARS'!$F$50*(8*$CQ$8)+'LINEST VARS'!$E$50*(8*$BX18)+'LINEST VARS'!$D$50*(8*12.73)+'LINEST VARS'!$C$50*($CQ$8*$BX18)+'LINEST VARS'!$B$50*($CQ$8*12.73)+'LINEST VARS'!$A$50*($BX18*12.73)</f>
        <v>331.99999999999989</v>
      </c>
      <c r="CR18" s="46">
        <f>'LINEST VARS'!$U$50+'LINEST VARS'!$T$50*(8)+'LINEST VARS'!$S$50*(8)+'LINEST VARS'!$R$50*($CR$8)+'LINEST VARS'!$Q$50*($BX18)+'LINEST VARS'!$P$50*(12.73)+'LINEST VARS'!$O$50*(8^2)+'LINEST VARS'!$N$50*(8^2)+'LINEST VARS'!$M$50*($CR$8^2)+'LINEST VARS'!$L$50*($BX18^2)+'LINEST VARS'!$K$50*(12.73^2)+'LINEST VARS'!$J$50*(8*8)+'LINEST VARS'!$I$50*(8*$CR$8)+'LINEST VARS'!$H$50*(8*$BX18)+'LINEST VARS'!$G$50*(8*12.73)+'LINEST VARS'!$F$50*(8*$CR$8)+'LINEST VARS'!$E$50*(8*$BX18)+'LINEST VARS'!$D$50*(8*12.73)+'LINEST VARS'!$C$50*($CR$8*$BX18)+'LINEST VARS'!$B$50*($CR$8*12.73)+'LINEST VARS'!$A$50*($BX18*12.73)</f>
        <v>331.99999999999989</v>
      </c>
      <c r="CS18" s="47">
        <f>'LINEST VARS'!$U$50+'LINEST VARS'!$T$50*(8)+'LINEST VARS'!$S$50*(8)+'LINEST VARS'!$R$50*($CS$8)+'LINEST VARS'!$Q$50*($BX18)+'LINEST VARS'!$P$50*(12.73)+'LINEST VARS'!$O$50*(8^2)+'LINEST VARS'!$N$50*(8^2)+'LINEST VARS'!$M$50*($CS$8^2)+'LINEST VARS'!$L$50*($BX18^2)+'LINEST VARS'!$K$50*(12.73^2)+'LINEST VARS'!$J$50*(8*8)+'LINEST VARS'!$I$50*(8*$CS$8)+'LINEST VARS'!$H$50*(8*$BX18)+'LINEST VARS'!$G$50*(8*12.73)+'LINEST VARS'!$F$50*(8*$CS$8)+'LINEST VARS'!$E$50*(8*$BX18)+'LINEST VARS'!$D$50*(8*12.73)+'LINEST VARS'!$C$50*($CS$8*$BX18)+'LINEST VARS'!$B$50*($CS$8*12.73)+'LINEST VARS'!$A$50*($BX18*12.73)</f>
        <v>331.99999999999989</v>
      </c>
      <c r="CX18" s="45">
        <v>11.695499999999999</v>
      </c>
      <c r="CY18" s="46">
        <f>'LINEST VARS'!$U$48+'LINEST VARS'!$T$48*(8)+'LINEST VARS'!$S$48*(8)+'LINEST VARS'!$R$48*($CY$8)+'LINEST VARS'!$Q$48*(0.5)+'LINEST VARS'!$P$48*($CX18)+'LINEST VARS'!$O$48*(8^2)+'LINEST VARS'!$N$48*(8^2)+'LINEST VARS'!$M$48*($CY$8^2)+'LINEST VARS'!$L$48*(0.5^2)+'LINEST VARS'!$K$48*($CX18^2)+'LINEST VARS'!$J$48*(8*8)+'LINEST VARS'!$I$48*(8*$CY$8)+'LINEST VARS'!$H$48*(8*0.5)+'LINEST VARS'!$G$48*(8*$CX18)+'LINEST VARS'!$F$48*(8*$CY$8)+'LINEST VARS'!$E$48*(8*0.5)+'LINEST VARS'!$D$48*(8*$CX18)+'LINEST VARS'!$C$48*($CY$8*0.5)+'LINEST VARS'!$B$48*($CY$8*$CX18)+'LINEST VARS'!$A$48*(0.5*$CX18)</f>
        <v>369.99999999999994</v>
      </c>
      <c r="CZ18" s="46">
        <f>'LINEST VARS'!$U$48+'LINEST VARS'!$T$48*(8)+'LINEST VARS'!$S$48*(8)+'LINEST VARS'!$R$48*($CZ$8)+'LINEST VARS'!$Q$48*(0.5)+'LINEST VARS'!$P$48*($CX18)+'LINEST VARS'!$O$48*(8^2)+'LINEST VARS'!$N$48*(8^2)+'LINEST VARS'!$M$48*($CZ$8^2)+'LINEST VARS'!$L$48*(0.5^2)+'LINEST VARS'!$K$48*($CX18^2)+'LINEST VARS'!$J$48*(8*8)+'LINEST VARS'!$I$48*(8*$CZ$8)+'LINEST VARS'!$H$48*(8*0.5)+'LINEST VARS'!$G$48*(8*$CX18)+'LINEST VARS'!$F$48*(8*$CZ$8)+'LINEST VARS'!$E$48*(8*0.5)+'LINEST VARS'!$D$48*(8*$CX18)+'LINEST VARS'!$C$48*($CZ$8*0.5)+'LINEST VARS'!$B$48*($CZ$8*$CX18)+'LINEST VARS'!$A$48*(0.5*$CX18)</f>
        <v>369.99999999999994</v>
      </c>
      <c r="DA18" s="46">
        <f>'LINEST VARS'!$U$48+'LINEST VARS'!$T$48*(8)+'LINEST VARS'!$S$48*(8)+'LINEST VARS'!$R$48*($DA$8)+'LINEST VARS'!$Q$48*(0.5)+'LINEST VARS'!$P$48*($CX18)+'LINEST VARS'!$O$48*(8^2)+'LINEST VARS'!$N$48*(8^2)+'LINEST VARS'!$M$48*($DA$8^2)+'LINEST VARS'!$L$48*(0.5^2)+'LINEST VARS'!$K$48*($CX18^2)+'LINEST VARS'!$J$48*(8*8)+'LINEST VARS'!$I$48*(8*$DA$8)+'LINEST VARS'!$H$48*(8*0.5)+'LINEST VARS'!$G$48*(8*$CX18)+'LINEST VARS'!$F$48*(8*$DA$8)+'LINEST VARS'!$E$48*(8*0.5)+'LINEST VARS'!$D$48*(8*$CX18)+'LINEST VARS'!$C$48*($DA$8*0.5)+'LINEST VARS'!$B$48*($DA$8*$CX18)+'LINEST VARS'!$A$48*(0.5*$CX18)</f>
        <v>369.99999999999994</v>
      </c>
      <c r="DB18" s="46">
        <f>'LINEST VARS'!$U$48+'LINEST VARS'!$T$48*(8)+'LINEST VARS'!$S$48*(8)+'LINEST VARS'!$R$48*($DB$8)+'LINEST VARS'!$Q$48*(0.5)+'LINEST VARS'!$P$48*($CX18)+'LINEST VARS'!$O$48*(8^2)+'LINEST VARS'!$N$48*(8^2)+'LINEST VARS'!$M$48*($DB$8^2)+'LINEST VARS'!$L$48*(0.5^2)+'LINEST VARS'!$K$48*($CX18^2)+'LINEST VARS'!$J$48*(8*8)+'LINEST VARS'!$I$48*(8*$DB$8)+'LINEST VARS'!$H$48*(8*0.5)+'LINEST VARS'!$G$48*(8*$CX18)+'LINEST VARS'!$F$48*(8*$DB$8)+'LINEST VARS'!$E$48*(8*0.5)+'LINEST VARS'!$D$48*(8*$CX18)+'LINEST VARS'!$C$48*($DB$8*0.5)+'LINEST VARS'!$B$48*($DB$8*$CX18)+'LINEST VARS'!$A$48*(0.5*$CX18)</f>
        <v>369.99999999999994</v>
      </c>
      <c r="DC18" s="46">
        <f>'LINEST VARS'!$U$48+'LINEST VARS'!$T$48*(8)+'LINEST VARS'!$S$48*(8)+'LINEST VARS'!$R$48*($DC$8)+'LINEST VARS'!$Q$48*(0.5)+'LINEST VARS'!$P$48*($CX18)+'LINEST VARS'!$O$48*(8^2)+'LINEST VARS'!$N$48*(8^2)+'LINEST VARS'!$M$48*($DC$8^2)+'LINEST VARS'!$L$48*(0.5^2)+'LINEST VARS'!$K$48*($CX18^2)+'LINEST VARS'!$J$48*(8*8)+'LINEST VARS'!$I$48*(8*$DC$8)+'LINEST VARS'!$H$48*(8*0.5)+'LINEST VARS'!$G$48*(8*$CX18)+'LINEST VARS'!$F$48*(8*$DC$8)+'LINEST VARS'!$E$48*(8*0.5)+'LINEST VARS'!$D$48*(8*$CX18)+'LINEST VARS'!$C$48*($DC$8*0.5)+'LINEST VARS'!$B$48*($DC$8*$CX18)+'LINEST VARS'!$A$48*(0.5*$CX18)</f>
        <v>369.99999999999994</v>
      </c>
      <c r="DD18" s="46">
        <f>'LINEST VARS'!$U$48+'LINEST VARS'!$T$48*(8)+'LINEST VARS'!$S$48*(8)+'LINEST VARS'!$R$48*($DD$8)+'LINEST VARS'!$Q$48*(0.5)+'LINEST VARS'!$P$48*($CX18)+'LINEST VARS'!$O$48*(8^2)+'LINEST VARS'!$N$48*(8^2)+'LINEST VARS'!$M$48*($DD$8^2)+'LINEST VARS'!$L$48*(0.5^2)+'LINEST VARS'!$K$48*($CX18^2)+'LINEST VARS'!$J$48*(8*8)+'LINEST VARS'!$I$48*(8*$DD$8)+'LINEST VARS'!$H$48*(8*0.5)+'LINEST VARS'!$G$48*(8*$CX18)+'LINEST VARS'!$F$48*(8*$DD$8)+'LINEST VARS'!$E$48*(8*0.5)+'LINEST VARS'!$D$48*(8*$CX18)+'LINEST VARS'!$C$48*($DD$8*0.5)+'LINEST VARS'!$B$48*($DD$8*$CX18)+'LINEST VARS'!$A$48*(0.5*$CX18)</f>
        <v>369.99999999999994</v>
      </c>
      <c r="DE18" s="46">
        <f>'LINEST VARS'!$U$48+'LINEST VARS'!$T$48*(8)+'LINEST VARS'!$S$48*(8)+'LINEST VARS'!$R$48*($DE$8)+'LINEST VARS'!$Q$48*(0.5)+'LINEST VARS'!$P$48*($CX18)+'LINEST VARS'!$O$48*(8^2)+'LINEST VARS'!$N$48*(8^2)+'LINEST VARS'!$M$48*($DE$8^2)+'LINEST VARS'!$L$48*(0.5^2)+'LINEST VARS'!$K$48*($CX18^2)+'LINEST VARS'!$J$48*(8*8)+'LINEST VARS'!$I$48*(8*$DE$8)+'LINEST VARS'!$H$48*(8*0.5)+'LINEST VARS'!$G$48*(8*$CX18)+'LINEST VARS'!$F$48*(8*$DE$8)+'LINEST VARS'!$E$48*(8*0.5)+'LINEST VARS'!$D$48*(8*$CX18)+'LINEST VARS'!$C$48*($DE$8*0.5)+'LINEST VARS'!$B$48*($DE$8*$CX18)+'LINEST VARS'!$A$48*(0.5*$CX18)</f>
        <v>369.99999999999994</v>
      </c>
      <c r="DF18" s="46">
        <f>'LINEST VARS'!$U$48+'LINEST VARS'!$T$48*(8)+'LINEST VARS'!$S$48*(8)+'LINEST VARS'!$R$48*($DF$8)+'LINEST VARS'!$Q$48*(0.5)+'LINEST VARS'!$P$48*($CX18)+'LINEST VARS'!$O$48*(8^2)+'LINEST VARS'!$N$48*(8^2)+'LINEST VARS'!$M$48*($DF$8^2)+'LINEST VARS'!$L$48*(0.5^2)+'LINEST VARS'!$K$48*($CX18^2)+'LINEST VARS'!$J$48*(8*8)+'LINEST VARS'!$I$48*(8*$DF$8)+'LINEST VARS'!$H$48*(8*0.5)+'LINEST VARS'!$G$48*(8*$CX18)+'LINEST VARS'!$F$48*(8*$DF$8)+'LINEST VARS'!$E$48*(8*0.5)+'LINEST VARS'!$D$48*(8*$CX18)+'LINEST VARS'!$C$48*($DF$8*0.5)+'LINEST VARS'!$B$48*($DF$8*$CX18)+'LINEST VARS'!$A$48*(0.5*$CX18)</f>
        <v>369.99999999999989</v>
      </c>
      <c r="DG18" s="46">
        <f>'LINEST VARS'!$U$48+'LINEST VARS'!$T$48*(8)+'LINEST VARS'!$S$48*(8)+'LINEST VARS'!$R$48*($DG$8)+'LINEST VARS'!$Q$48*(0.5)+'LINEST VARS'!$P$48*($CX18)+'LINEST VARS'!$O$48*(8^2)+'LINEST VARS'!$N$48*(8^2)+'LINEST VARS'!$M$48*($DG$8^2)+'LINEST VARS'!$L$48*(0.5^2)+'LINEST VARS'!$K$48*($CX18^2)+'LINEST VARS'!$J$48*(8*8)+'LINEST VARS'!$I$48*(8*$DG$8)+'LINEST VARS'!$H$48*(8*0.5)+'LINEST VARS'!$G$48*(8*$CX18)+'LINEST VARS'!$F$48*(8*$DG$8)+'LINEST VARS'!$E$48*(8*0.5)+'LINEST VARS'!$D$48*(8*$CX18)+'LINEST VARS'!$C$48*($DG$8*0.5)+'LINEST VARS'!$B$48*($DG$8*$CX18)+'LINEST VARS'!$A$48*(0.5*$CX18)</f>
        <v>369.99999999999989</v>
      </c>
      <c r="DH18" s="46">
        <f>'LINEST VARS'!$U$48+'LINEST VARS'!$T$48*(8)+'LINEST VARS'!$S$48*(8)+'LINEST VARS'!$R$48*($DH$8)+'LINEST VARS'!$Q$48*(0.5)+'LINEST VARS'!$P$48*($CX18)+'LINEST VARS'!$O$48*(8^2)+'LINEST VARS'!$N$48*(8^2)+'LINEST VARS'!$M$48*($DH$8^2)+'LINEST VARS'!$L$48*(0.5^2)+'LINEST VARS'!$K$48*($CX18^2)+'LINEST VARS'!$J$48*(8*8)+'LINEST VARS'!$I$48*(8*$DH$8)+'LINEST VARS'!$H$48*(8*0.5)+'LINEST VARS'!$G$48*(8*$CX18)+'LINEST VARS'!$F$48*(8*$DH$8)+'LINEST VARS'!$E$48*(8*0.5)+'LINEST VARS'!$D$48*(8*$CX18)+'LINEST VARS'!$C$48*($DH$8*0.5)+'LINEST VARS'!$B$48*($DH$8*$CX18)+'LINEST VARS'!$A$48*(0.5*$CX18)</f>
        <v>369.99999999999989</v>
      </c>
      <c r="DI18" s="46">
        <f>'LINEST VARS'!$U$48+'LINEST VARS'!$T$48*(8)+'LINEST VARS'!$S$48*(8)+'LINEST VARS'!$R$48*($DI$8)+'LINEST VARS'!$Q$48*(0.5)+'LINEST VARS'!$P$48*($CX18)+'LINEST VARS'!$O$48*(8^2)+'LINEST VARS'!$N$48*(8^2)+'LINEST VARS'!$M$48*($DI$8^2)+'LINEST VARS'!$L$48*(0.5^2)+'LINEST VARS'!$K$48*($CX18^2)+'LINEST VARS'!$J$48*(8*8)+'LINEST VARS'!$I$48*(8*$DI$8)+'LINEST VARS'!$H$48*(8*0.5)+'LINEST VARS'!$G$48*(8*$CX18)+'LINEST VARS'!$F$48*(8*$DI$8)+'LINEST VARS'!$E$48*(8*0.5)+'LINEST VARS'!$D$48*(8*$CX18)+'LINEST VARS'!$C$48*($DI$8*0.5)+'LINEST VARS'!$B$48*($DI$8*$CX18)+'LINEST VARS'!$A$48*(0.5*$CX18)</f>
        <v>369.99999999999989</v>
      </c>
      <c r="DJ18" s="46">
        <f>'LINEST VARS'!$U$48+'LINEST VARS'!$T$48*(8)+'LINEST VARS'!$S$48*(8)+'LINEST VARS'!$R$48*($DJ$8)+'LINEST VARS'!$Q$48*(0.5)+'LINEST VARS'!$P$48*($CX18)+'LINEST VARS'!$O$48*(8^2)+'LINEST VARS'!$N$48*(8^2)+'LINEST VARS'!$M$48*($DJ$8^2)+'LINEST VARS'!$L$48*(0.5^2)+'LINEST VARS'!$K$48*($CX18^2)+'LINEST VARS'!$J$48*(8*8)+'LINEST VARS'!$I$48*(8*$DJ$8)+'LINEST VARS'!$H$48*(8*0.5)+'LINEST VARS'!$G$48*(8*$CX18)+'LINEST VARS'!$F$48*(8*$DJ$8)+'LINEST VARS'!$E$48*(8*0.5)+'LINEST VARS'!$D$48*(8*$CX18)+'LINEST VARS'!$C$48*($DJ$8*0.5)+'LINEST VARS'!$B$48*($DJ$8*$CX18)+'LINEST VARS'!$A$48*(0.5*$CX18)</f>
        <v>369.99999999999989</v>
      </c>
      <c r="DK18" s="46">
        <f>'LINEST VARS'!$U$48+'LINEST VARS'!$T$48*(8)+'LINEST VARS'!$S$48*(8)+'LINEST VARS'!$R$48*($DK$8)+'LINEST VARS'!$Q$48*(0.5)+'LINEST VARS'!$P$48*($CX18)+'LINEST VARS'!$O$48*(8^2)+'LINEST VARS'!$N$48*(8^2)+'LINEST VARS'!$M$48*($DK$8^2)+'LINEST VARS'!$L$48*(0.5^2)+'LINEST VARS'!$K$48*($CX18^2)+'LINEST VARS'!$J$48*(8*8)+'LINEST VARS'!$I$48*(8*$DK$8)+'LINEST VARS'!$H$48*(8*0.5)+'LINEST VARS'!$G$48*(8*$CX18)+'LINEST VARS'!$F$48*(8*$DK$8)+'LINEST VARS'!$E$48*(8*0.5)+'LINEST VARS'!$D$48*(8*$CX18)+'LINEST VARS'!$C$48*($DK$8*0.5)+'LINEST VARS'!$B$48*($DK$8*$CX18)+'LINEST VARS'!$A$48*(0.5*$CX18)</f>
        <v>369.99999999999989</v>
      </c>
      <c r="DL18" s="46">
        <f>'LINEST VARS'!$U$48+'LINEST VARS'!$T$48*(8)+'LINEST VARS'!$S$48*(8)+'LINEST VARS'!$R$48*($DL$8)+'LINEST VARS'!$Q$48*(0.5)+'LINEST VARS'!$P$48*($CX18)+'LINEST VARS'!$O$48*(8^2)+'LINEST VARS'!$N$48*(8^2)+'LINEST VARS'!$M$48*($DL$8^2)+'LINEST VARS'!$L$48*(0.5^2)+'LINEST VARS'!$K$48*($CX18^2)+'LINEST VARS'!$J$48*(8*8)+'LINEST VARS'!$I$48*(8*$DL$8)+'LINEST VARS'!$H$48*(8*0.5)+'LINEST VARS'!$G$48*(8*$CX18)+'LINEST VARS'!$F$48*(8*$DL$8)+'LINEST VARS'!$E$48*(8*0.5)+'LINEST VARS'!$D$48*(8*$CX18)+'LINEST VARS'!$C$48*($DL$8*0.5)+'LINEST VARS'!$B$48*($DL$8*$CX18)+'LINEST VARS'!$A$48*(0.5*$CX18)</f>
        <v>369.99999999999994</v>
      </c>
      <c r="DM18" s="46">
        <f>'LINEST VARS'!$U$48+'LINEST VARS'!$T$48*(8)+'LINEST VARS'!$S$48*(8)+'LINEST VARS'!$R$48*($DM$8)+'LINEST VARS'!$Q$48*(0.5)+'LINEST VARS'!$P$48*($CX18)+'LINEST VARS'!$O$48*(8^2)+'LINEST VARS'!$N$48*(8^2)+'LINEST VARS'!$M$48*($DM$8^2)+'LINEST VARS'!$L$48*(0.5^2)+'LINEST VARS'!$K$48*($CX18^2)+'LINEST VARS'!$J$48*(8*8)+'LINEST VARS'!$I$48*(8*$DM$8)+'LINEST VARS'!$H$48*(8*0.5)+'LINEST VARS'!$G$48*(8*$CX18)+'LINEST VARS'!$F$48*(8*$DM$8)+'LINEST VARS'!$E$48*(8*0.5)+'LINEST VARS'!$D$48*(8*$CX18)+'LINEST VARS'!$C$48*($DM$8*0.5)+'LINEST VARS'!$B$48*($DM$8*$CX18)+'LINEST VARS'!$A$48*(0.5*$CX18)</f>
        <v>369.99999999999994</v>
      </c>
      <c r="DN18" s="46">
        <f>'LINEST VARS'!$U$48+'LINEST VARS'!$T$48*(8)+'LINEST VARS'!$S$48*(8)+'LINEST VARS'!$R$48*($DN$8)+'LINEST VARS'!$Q$48*(0.5)+'LINEST VARS'!$P$48*($CX18)+'LINEST VARS'!$O$48*(8^2)+'LINEST VARS'!$N$48*(8^2)+'LINEST VARS'!$M$48*($DN$8^2)+'LINEST VARS'!$L$48*(0.5^2)+'LINEST VARS'!$K$48*($CX18^2)+'LINEST VARS'!$J$48*(8*8)+'LINEST VARS'!$I$48*(8*$DN$8)+'LINEST VARS'!$H$48*(8*0.5)+'LINEST VARS'!$G$48*(8*$CX18)+'LINEST VARS'!$F$48*(8*$DN$8)+'LINEST VARS'!$E$48*(8*0.5)+'LINEST VARS'!$D$48*(8*$CX18)+'LINEST VARS'!$C$48*($DN$8*0.5)+'LINEST VARS'!$B$48*($DN$8*$CX18)+'LINEST VARS'!$A$48*(0.5*$CX18)</f>
        <v>369.99999999999994</v>
      </c>
      <c r="DO18" s="46">
        <f>'LINEST VARS'!$U$48+'LINEST VARS'!$T$48*(8)+'LINEST VARS'!$S$48*(8)+'LINEST VARS'!$R$48*($DO$8)+'LINEST VARS'!$Q$48*(0.5)+'LINEST VARS'!$P$48*($CX18)+'LINEST VARS'!$O$48*(8^2)+'LINEST VARS'!$N$48*(8^2)+'LINEST VARS'!$M$48*($DO$8^2)+'LINEST VARS'!$L$48*(0.5^2)+'LINEST VARS'!$K$48*($CX18^2)+'LINEST VARS'!$J$48*(8*8)+'LINEST VARS'!$I$48*(8*$DO$8)+'LINEST VARS'!$H$48*(8*0.5)+'LINEST VARS'!$G$48*(8*$CX18)+'LINEST VARS'!$F$48*(8*$DO$8)+'LINEST VARS'!$E$48*(8*0.5)+'LINEST VARS'!$D$48*(8*$CX18)+'LINEST VARS'!$C$48*($DO$8*0.5)+'LINEST VARS'!$B$48*($DO$8*$CX18)+'LINEST VARS'!$A$48*(0.5*$CX18)</f>
        <v>369.99999999999989</v>
      </c>
      <c r="DP18" s="46">
        <f>'LINEST VARS'!$U$48+'LINEST VARS'!$T$48*(8)+'LINEST VARS'!$S$48*(8)+'LINEST VARS'!$R$48*($DP$8)+'LINEST VARS'!$Q$48*(0.5)+'LINEST VARS'!$P$48*($CX18)+'LINEST VARS'!$O$48*(8^2)+'LINEST VARS'!$N$48*(8^2)+'LINEST VARS'!$M$48*($DP$8^2)+'LINEST VARS'!$L$48*(0.5^2)+'LINEST VARS'!$K$48*($CX18^2)+'LINEST VARS'!$J$48*(8*8)+'LINEST VARS'!$I$48*(8*$DP$8)+'LINEST VARS'!$H$48*(8*0.5)+'LINEST VARS'!$G$48*(8*$CX18)+'LINEST VARS'!$F$48*(8*$DP$8)+'LINEST VARS'!$E$48*(8*0.5)+'LINEST VARS'!$D$48*(8*$CX18)+'LINEST VARS'!$C$48*($DP$8*0.5)+'LINEST VARS'!$B$48*($DP$8*$CX18)+'LINEST VARS'!$A$48*(0.5*$CX18)</f>
        <v>369.99999999999989</v>
      </c>
      <c r="DQ18" s="46">
        <f>'LINEST VARS'!$U$48+'LINEST VARS'!$T$48*(8)+'LINEST VARS'!$S$48*(8)+'LINEST VARS'!$R$48*($DQ$8)+'LINEST VARS'!$Q$48*(0.5)+'LINEST VARS'!$P$48*($CX18)+'LINEST VARS'!$O$48*(8^2)+'LINEST VARS'!$N$48*(8^2)+'LINEST VARS'!$M$48*($DQ$8^2)+'LINEST VARS'!$L$48*(0.5^2)+'LINEST VARS'!$K$48*($CX18^2)+'LINEST VARS'!$J$48*(8*8)+'LINEST VARS'!$I$48*(8*$DQ$8)+'LINEST VARS'!$H$48*(8*0.5)+'LINEST VARS'!$G$48*(8*$CX18)+'LINEST VARS'!$F$48*(8*$DQ$8)+'LINEST VARS'!$E$48*(8*0.5)+'LINEST VARS'!$D$48*(8*$CX18)+'LINEST VARS'!$C$48*($DQ$8*0.5)+'LINEST VARS'!$B$48*($DQ$8*$CX18)+'LINEST VARS'!$A$48*(0.5*$CX18)</f>
        <v>369.99999999999989</v>
      </c>
      <c r="DR18" s="46">
        <f>'LINEST VARS'!$U$48+'LINEST VARS'!$T$48*(8)+'LINEST VARS'!$S$48*(8)+'LINEST VARS'!$R$48*($DR$8)+'LINEST VARS'!$Q$48*(0.5)+'LINEST VARS'!$P$48*($CX18)+'LINEST VARS'!$O$48*(8^2)+'LINEST VARS'!$N$48*(8^2)+'LINEST VARS'!$M$48*($DR$8^2)+'LINEST VARS'!$L$48*(0.5^2)+'LINEST VARS'!$K$48*($CX18^2)+'LINEST VARS'!$J$48*(8*8)+'LINEST VARS'!$I$48*(8*$DR$8)+'LINEST VARS'!$H$48*(8*0.5)+'LINEST VARS'!$G$48*(8*$CX18)+'LINEST VARS'!$F$48*(8*$DR$8)+'LINEST VARS'!$E$48*(8*0.5)+'LINEST VARS'!$D$48*(8*$CX18)+'LINEST VARS'!$C$48*($DR$8*0.5)+'LINEST VARS'!$B$48*($DR$8*$CX18)+'LINEST VARS'!$A$48*(0.5*$CX18)</f>
        <v>369.99999999999989</v>
      </c>
      <c r="DS18" s="47">
        <f>'LINEST VARS'!$U$48+'LINEST VARS'!$T$48*(8)+'LINEST VARS'!$S$48*(8)+'LINEST VARS'!$R$48*($DS$8)+'LINEST VARS'!$Q$48*(0.5)+'LINEST VARS'!$P$48*($CX18)+'LINEST VARS'!$O$48*(8^2)+'LINEST VARS'!$N$48*(8^2)+'LINEST VARS'!$M$48*($DS$8^2)+'LINEST VARS'!$L$48*(0.5^2)+'LINEST VARS'!$K$48*($CX18^2)+'LINEST VARS'!$J$48*(8*8)+'LINEST VARS'!$I$48*(8*$DS$8)+'LINEST VARS'!$H$48*(8*0.5)+'LINEST VARS'!$G$48*(8*$CX18)+'LINEST VARS'!$F$48*(8*$DS$8)+'LINEST VARS'!$E$48*(8*0.5)+'LINEST VARS'!$D$48*(8*$CX18)+'LINEST VARS'!$C$48*($DS$8*0.5)+'LINEST VARS'!$B$48*($DS$8*$CX18)+'LINEST VARS'!$A$48*(0.5*$CX18)</f>
        <v>369.99999999999989</v>
      </c>
      <c r="DV18" s="45">
        <v>11.695499999999999</v>
      </c>
      <c r="DW18" s="46">
        <f>'LINEST VARS'!$U$50+'LINEST VARS'!$T$50*(8)+'LINEST VARS'!$S$50*(8)+'LINEST VARS'!$R$50*($DW$8)+'LINEST VARS'!$Q$50*(0.5)+'LINEST VARS'!$P$50*($DV18)+'LINEST VARS'!$O$50*(8^2)+'LINEST VARS'!$N$50*(8^2)+'LINEST VARS'!$M$50*($DW$8^2)+'LINEST VARS'!$L$50*(0.5^2)+'LINEST VARS'!$K$50*($DV18^2)+'LINEST VARS'!$J$50*(8*8)+'LINEST VARS'!$I$50*(8*$DW$8)+'LINEST VARS'!$H$50*(8*0.5)+'LINEST VARS'!$G$50*(8*$DV18)+'LINEST VARS'!$F$50*(8*$DW$8)+'LINEST VARS'!$E$50*(8*0.5)+'LINEST VARS'!$D$50*(8*$DV18)+'LINEST VARS'!$C$50*($DW$8*0.5)+'LINEST VARS'!$B$50*($DW$8*$DV18)+'LINEST VARS'!$A$50*(0.5*$DV18)</f>
        <v>331.99999999999989</v>
      </c>
      <c r="DX18" s="46">
        <f>'LINEST VARS'!$U$50+'LINEST VARS'!$T$50*(8)+'LINEST VARS'!$S$50*(8)+'LINEST VARS'!$R$50*($DX$8)+'LINEST VARS'!$Q$50*(0.5)+'LINEST VARS'!$P$50*($DV18)+'LINEST VARS'!$O$50*(8^2)+'LINEST VARS'!$N$50*(8^2)+'LINEST VARS'!$M$50*($DX$8^2)+'LINEST VARS'!$L$50*(0.5^2)+'LINEST VARS'!$K$50*($DV18^2)+'LINEST VARS'!$J$50*(8*8)+'LINEST VARS'!$I$50*(8*$DX$8)+'LINEST VARS'!$H$50*(8*0.5)+'LINEST VARS'!$G$50*(8*$DV18)+'LINEST VARS'!$F$50*(8*$DX$8)+'LINEST VARS'!$E$50*(8*0.5)+'LINEST VARS'!$D$50*(8*$DV18)+'LINEST VARS'!$C$50*($DX$8*0.5)+'LINEST VARS'!$B$50*($DX$8*$DV18)+'LINEST VARS'!$A$50*(0.5*$DV18)</f>
        <v>331.99999999999989</v>
      </c>
      <c r="DY18" s="46">
        <f>'LINEST VARS'!$U$50+'LINEST VARS'!$T$50*(8)+'LINEST VARS'!$S$50*(8)+'LINEST VARS'!$R$50*($DY$8)+'LINEST VARS'!$Q$50*(0.5)+'LINEST VARS'!$P$50*($DV18)+'LINEST VARS'!$O$50*(8^2)+'LINEST VARS'!$N$50*(8^2)+'LINEST VARS'!$M$50*($DY$8^2)+'LINEST VARS'!$L$50*(0.5^2)+'LINEST VARS'!$K$50*($DV18^2)+'LINEST VARS'!$J$50*(8*8)+'LINEST VARS'!$I$50*(8*$DY$8)+'LINEST VARS'!$H$50*(8*0.5)+'LINEST VARS'!$G$50*(8*$DV18)+'LINEST VARS'!$F$50*(8*$DY$8)+'LINEST VARS'!$E$50*(8*0.5)+'LINEST VARS'!$D$50*(8*$DV18)+'LINEST VARS'!$C$50*($DY$8*0.5)+'LINEST VARS'!$B$50*($DY$8*$DV18)+'LINEST VARS'!$A$50*(0.5*$DV18)</f>
        <v>331.99999999999989</v>
      </c>
      <c r="DZ18" s="46">
        <f>'LINEST VARS'!$U$50+'LINEST VARS'!$T$50*(8)+'LINEST VARS'!$S$50*(8)+'LINEST VARS'!$R$50*($DZ$8)+'LINEST VARS'!$Q$50*(0.5)+'LINEST VARS'!$P$50*($DV18)+'LINEST VARS'!$O$50*(8^2)+'LINEST VARS'!$N$50*(8^2)+'LINEST VARS'!$M$50*($DZ$8^2)+'LINEST VARS'!$L$50*(0.5^2)+'LINEST VARS'!$K$50*($DV18^2)+'LINEST VARS'!$J$50*(8*8)+'LINEST VARS'!$I$50*(8*$DZ$8)+'LINEST VARS'!$H$50*(8*0.5)+'LINEST VARS'!$G$50*(8*$DV18)+'LINEST VARS'!$F$50*(8*$DZ$8)+'LINEST VARS'!$E$50*(8*0.5)+'LINEST VARS'!$D$50*(8*$DV18)+'LINEST VARS'!$C$50*($DZ$8*0.5)+'LINEST VARS'!$B$50*($DZ$8*$DV18)+'LINEST VARS'!$A$50*(0.5*$DV18)</f>
        <v>331.99999999999989</v>
      </c>
      <c r="EA18" s="46">
        <f>'LINEST VARS'!$U$50+'LINEST VARS'!$T$50*(8)+'LINEST VARS'!$S$50*(8)+'LINEST VARS'!$R$50*($EA$8)+'LINEST VARS'!$Q$50*(0.5)+'LINEST VARS'!$P$50*($DV18)+'LINEST VARS'!$O$50*(8^2)+'LINEST VARS'!$N$50*(8^2)+'LINEST VARS'!$M$50*($EA$8^2)+'LINEST VARS'!$L$50*(0.5^2)+'LINEST VARS'!$K$50*($DV18^2)+'LINEST VARS'!$J$50*(8*8)+'LINEST VARS'!$I$50*(8*$EA$8)+'LINEST VARS'!$H$50*(8*0.5)+'LINEST VARS'!$G$50*(8*$DV18)+'LINEST VARS'!$F$50*(8*$EA$8)+'LINEST VARS'!$E$50*(8*0.5)+'LINEST VARS'!$D$50*(8*$DV18)+'LINEST VARS'!$C$50*($EA$8*0.5)+'LINEST VARS'!$B$50*($EA$8*$DV18)+'LINEST VARS'!$A$50*(0.5*$DV18)</f>
        <v>331.99999999999989</v>
      </c>
      <c r="EB18" s="46">
        <f>'LINEST VARS'!$U$50+'LINEST VARS'!$T$50*(8)+'LINEST VARS'!$S$50*(8)+'LINEST VARS'!$R$50*($EB$8)+'LINEST VARS'!$Q$50*(0.5)+'LINEST VARS'!$P$50*($DV18)+'LINEST VARS'!$O$50*(8^2)+'LINEST VARS'!$N$50*(8^2)+'LINEST VARS'!$M$50*($EB$8^2)+'LINEST VARS'!$L$50*(0.5^2)+'LINEST VARS'!$K$50*($DV18^2)+'LINEST VARS'!$J$50*(8*8)+'LINEST VARS'!$I$50*(8*$EB$8)+'LINEST VARS'!$H$50*(8*0.5)+'LINEST VARS'!$G$50*(8*$DV18)+'LINEST VARS'!$F$50*(8*$EB$8)+'LINEST VARS'!$E$50*(8*0.5)+'LINEST VARS'!$D$50*(8*$DV18)+'LINEST VARS'!$C$50*($EB$8*0.5)+'LINEST VARS'!$B$50*($EB$8*$DV18)+'LINEST VARS'!$A$50*(0.5*$DV18)</f>
        <v>331.99999999999989</v>
      </c>
      <c r="EC18" s="46">
        <f>'LINEST VARS'!$U$50+'LINEST VARS'!$T$50*(8)+'LINEST VARS'!$S$50*(8)+'LINEST VARS'!$R$50*($EC$8)+'LINEST VARS'!$Q$50*(0.5)+'LINEST VARS'!$P$50*($DV18)+'LINEST VARS'!$O$50*(8^2)+'LINEST VARS'!$N$50*(8^2)+'LINEST VARS'!$M$50*($EC$8^2)+'LINEST VARS'!$L$50*(0.5^2)+'LINEST VARS'!$K$50*($DV18^2)+'LINEST VARS'!$J$50*(8*8)+'LINEST VARS'!$I$50*(8*$EC$8)+'LINEST VARS'!$H$50*(8*0.5)+'LINEST VARS'!$G$50*(8*$DV18)+'LINEST VARS'!$F$50*(8*$EC$8)+'LINEST VARS'!$E$50*(8*0.5)+'LINEST VARS'!$D$50*(8*$DV18)+'LINEST VARS'!$C$50*($EC$8*0.5)+'LINEST VARS'!$B$50*($EC$8*$DV18)+'LINEST VARS'!$A$50*(0.5*$DV18)</f>
        <v>331.99999999999989</v>
      </c>
      <c r="ED18" s="46">
        <f>'LINEST VARS'!$U$50+'LINEST VARS'!$T$50*(8)+'LINEST VARS'!$S$50*(8)+'LINEST VARS'!$R$50*($ED$8)+'LINEST VARS'!$Q$50*(0.5)+'LINEST VARS'!$P$50*($DV18)+'LINEST VARS'!$O$50*(8^2)+'LINEST VARS'!$N$50*(8^2)+'LINEST VARS'!$M$50*($ED$8^2)+'LINEST VARS'!$L$50*(0.5^2)+'LINEST VARS'!$K$50*($DV18^2)+'LINEST VARS'!$J$50*(8*8)+'LINEST VARS'!$I$50*(8*$ED$8)+'LINEST VARS'!$H$50*(8*0.5)+'LINEST VARS'!$G$50*(8*$DV18)+'LINEST VARS'!$F$50*(8*$ED$8)+'LINEST VARS'!$E$50*(8*0.5)+'LINEST VARS'!$D$50*(8*$DV18)+'LINEST VARS'!$C$50*($ED$8*0.5)+'LINEST VARS'!$B$50*($ED$8*$DV18)+'LINEST VARS'!$A$50*(0.5*$DV18)</f>
        <v>331.99999999999989</v>
      </c>
      <c r="EE18" s="46">
        <f>'LINEST VARS'!$U$50+'LINEST VARS'!$T$50*(8)+'LINEST VARS'!$S$50*(8)+'LINEST VARS'!$R$50*($EE$8)+'LINEST VARS'!$Q$50*(0.5)+'LINEST VARS'!$P$50*($DV18)+'LINEST VARS'!$O$50*(8^2)+'LINEST VARS'!$N$50*(8^2)+'LINEST VARS'!$M$50*($EE$8^2)+'LINEST VARS'!$L$50*(0.5^2)+'LINEST VARS'!$K$50*($DV18^2)+'LINEST VARS'!$J$50*(8*8)+'LINEST VARS'!$I$50*(8*$EE$8)+'LINEST VARS'!$H$50*(8*0.5)+'LINEST VARS'!$G$50*(8*$DV18)+'LINEST VARS'!$F$50*(8*$EE$8)+'LINEST VARS'!$E$50*(8*0.5)+'LINEST VARS'!$D$50*(8*$DV18)+'LINEST VARS'!$C$50*($EE$8*0.5)+'LINEST VARS'!$B$50*($EE$8*$DV18)+'LINEST VARS'!$A$50*(0.5*$DV18)</f>
        <v>331.99999999999989</v>
      </c>
      <c r="EF18" s="46">
        <f>'LINEST VARS'!$U$50+'LINEST VARS'!$T$50*(8)+'LINEST VARS'!$S$50*(8)+'LINEST VARS'!$R$50*($EF$8)+'LINEST VARS'!$Q$50*(0.5)+'LINEST VARS'!$P$50*($DV18)+'LINEST VARS'!$O$50*(8^2)+'LINEST VARS'!$N$50*(8^2)+'LINEST VARS'!$M$50*($EF$8^2)+'LINEST VARS'!$L$50*(0.5^2)+'LINEST VARS'!$K$50*($DV18^2)+'LINEST VARS'!$J$50*(8*8)+'LINEST VARS'!$I$50*(8*$EF$8)+'LINEST VARS'!$H$50*(8*0.5)+'LINEST VARS'!$G$50*(8*$DV18)+'LINEST VARS'!$F$50*(8*$EF$8)+'LINEST VARS'!$E$50*(8*0.5)+'LINEST VARS'!$D$50*(8*$DV18)+'LINEST VARS'!$C$50*($EF$8*0.5)+'LINEST VARS'!$B$50*($EF$8*$DV18)+'LINEST VARS'!$A$50*(0.5*$DV18)</f>
        <v>331.99999999999989</v>
      </c>
      <c r="EG18" s="46">
        <f>'LINEST VARS'!$U$50+'LINEST VARS'!$T$50*(8)+'LINEST VARS'!$S$50*(8)+'LINEST VARS'!$R$50*($EG$8)+'LINEST VARS'!$Q$50*(0.5)+'LINEST VARS'!$P$50*($DV18)+'LINEST VARS'!$O$50*(8^2)+'LINEST VARS'!$N$50*(8^2)+'LINEST VARS'!$M$50*($EG$8^2)+'LINEST VARS'!$L$50*(0.5^2)+'LINEST VARS'!$K$50*($DV18^2)+'LINEST VARS'!$J$50*(8*8)+'LINEST VARS'!$I$50*(8*$EG$8)+'LINEST VARS'!$H$50*(8*0.5)+'LINEST VARS'!$G$50*(8*$DV18)+'LINEST VARS'!$F$50*(8*$EG$8)+'LINEST VARS'!$E$50*(8*0.5)+'LINEST VARS'!$D$50*(8*$DV18)+'LINEST VARS'!$C$50*($EG$8*0.5)+'LINEST VARS'!$B$50*($EG$8*$DV18)+'LINEST VARS'!$A$50*(0.5*$DV18)</f>
        <v>331.99999999999989</v>
      </c>
      <c r="EH18" s="46">
        <f>'LINEST VARS'!$U$50+'LINEST VARS'!$T$50*(8)+'LINEST VARS'!$S$50*(8)+'LINEST VARS'!$R$50*($EH$8)+'LINEST VARS'!$Q$50*(0.5)+'LINEST VARS'!$P$50*($DV18)+'LINEST VARS'!$O$50*(8^2)+'LINEST VARS'!$N$50*(8^2)+'LINEST VARS'!$M$50*($EH$8^2)+'LINEST VARS'!$L$50*(0.5^2)+'LINEST VARS'!$K$50*($DV18^2)+'LINEST VARS'!$J$50*(8*8)+'LINEST VARS'!$I$50*(8*$EH$8)+'LINEST VARS'!$H$50*(8*0.5)+'LINEST VARS'!$G$50*(8*$DV18)+'LINEST VARS'!$F$50*(8*$EH$8)+'LINEST VARS'!$E$50*(8*0.5)+'LINEST VARS'!$D$50*(8*$DV18)+'LINEST VARS'!$C$50*($EH$8*0.5)+'LINEST VARS'!$B$50*($EH$8*$DV18)+'LINEST VARS'!$A$50*(0.5*$DV18)</f>
        <v>331.99999999999989</v>
      </c>
      <c r="EI18" s="46">
        <f>'LINEST VARS'!$U$50+'LINEST VARS'!$T$50*(8)+'LINEST VARS'!$S$50*(8)+'LINEST VARS'!$R$50*($EI$8)+'LINEST VARS'!$Q$50*(0.5)+'LINEST VARS'!$P$50*($DV18)+'LINEST VARS'!$O$50*(8^2)+'LINEST VARS'!$N$50*(8^2)+'LINEST VARS'!$M$50*($EI$8^2)+'LINEST VARS'!$L$50*(0.5^2)+'LINEST VARS'!$K$50*($DV18^2)+'LINEST VARS'!$J$50*(8*8)+'LINEST VARS'!$I$50*(8*$EI$8)+'LINEST VARS'!$H$50*(8*0.5)+'LINEST VARS'!$G$50*(8*$DV18)+'LINEST VARS'!$F$50*(8*$EI$8)+'LINEST VARS'!$E$50*(8*0.5)+'LINEST VARS'!$D$50*(8*$DV18)+'LINEST VARS'!$C$50*($EI$8*0.5)+'LINEST VARS'!$B$50*($EI$8*$DV18)+'LINEST VARS'!$A$50*(0.5*$DV18)</f>
        <v>331.99999999999989</v>
      </c>
      <c r="EJ18" s="46">
        <f>'LINEST VARS'!$U$50+'LINEST VARS'!$T$50*(8)+'LINEST VARS'!$S$50*(8)+'LINEST VARS'!$R$50*($EJ$8)+'LINEST VARS'!$Q$50*(0.5)+'LINEST VARS'!$P$50*($DV18)+'LINEST VARS'!$O$50*(8^2)+'LINEST VARS'!$N$50*(8^2)+'LINEST VARS'!$M$50*($EJ$8^2)+'LINEST VARS'!$L$50*(0.5^2)+'LINEST VARS'!$K$50*($DV18^2)+'LINEST VARS'!$J$50*(8*8)+'LINEST VARS'!$I$50*(8*$EJ$8)+'LINEST VARS'!$H$50*(8*0.5)+'LINEST VARS'!$G$50*(8*$DV18)+'LINEST VARS'!$F$50*(8*$EJ$8)+'LINEST VARS'!$E$50*(8*0.5)+'LINEST VARS'!$D$50*(8*$DV18)+'LINEST VARS'!$C$50*($EJ$8*0.5)+'LINEST VARS'!$B$50*($EJ$8*$DV18)+'LINEST VARS'!$A$50*(0.5*$DV18)</f>
        <v>331.99999999999989</v>
      </c>
      <c r="EK18" s="46">
        <f>'LINEST VARS'!$U$50+'LINEST VARS'!$T$50*(8)+'LINEST VARS'!$S$50*(8)+'LINEST VARS'!$R$50*($EK$8)+'LINEST VARS'!$Q$50*(0.5)+'LINEST VARS'!$P$50*($DV18)+'LINEST VARS'!$O$50*(8^2)+'LINEST VARS'!$N$50*(8^2)+'LINEST VARS'!$M$50*($EK$8^2)+'LINEST VARS'!$L$50*(0.5^2)+'LINEST VARS'!$K$50*($DV18^2)+'LINEST VARS'!$J$50*(8*8)+'LINEST VARS'!$I$50*(8*$EK$8)+'LINEST VARS'!$H$50*(8*0.5)+'LINEST VARS'!$G$50*(8*$DV18)+'LINEST VARS'!$F$50*(8*$EK$8)+'LINEST VARS'!$E$50*(8*0.5)+'LINEST VARS'!$D$50*(8*$DV18)+'LINEST VARS'!$C$50*($EK$8*0.5)+'LINEST VARS'!$B$50*($EK$8*$DV18)+'LINEST VARS'!$A$50*(0.5*$DV18)</f>
        <v>331.99999999999989</v>
      </c>
      <c r="EL18" s="46">
        <f>'LINEST VARS'!$U$50+'LINEST VARS'!$T$50*(8)+'LINEST VARS'!$S$50*(8)+'LINEST VARS'!$R$50*($EL$8)+'LINEST VARS'!$Q$50*(0.5)+'LINEST VARS'!$P$50*($DV18)+'LINEST VARS'!$O$50*(8^2)+'LINEST VARS'!$N$50*(8^2)+'LINEST VARS'!$M$50*($EL$8^2)+'LINEST VARS'!$L$50*(0.5^2)+'LINEST VARS'!$K$50*($DV18^2)+'LINEST VARS'!$J$50*(8*8)+'LINEST VARS'!$I$50*(8*$EL$8)+'LINEST VARS'!$H$50*(8*0.5)+'LINEST VARS'!$G$50*(8*$DV18)+'LINEST VARS'!$F$50*(8*$EL$8)+'LINEST VARS'!$E$50*(8*0.5)+'LINEST VARS'!$D$50*(8*$DV18)+'LINEST VARS'!$C$50*($EL$8*0.5)+'LINEST VARS'!$B$50*($EL$8*$DV18)+'LINEST VARS'!$A$50*(0.5*$DV18)</f>
        <v>331.99999999999989</v>
      </c>
      <c r="EM18" s="46">
        <f>'LINEST VARS'!$U$50+'LINEST VARS'!$T$50*(8)+'LINEST VARS'!$S$50*(8)+'LINEST VARS'!$R$50*($EM$8)+'LINEST VARS'!$Q$50*(0.5)+'LINEST VARS'!$P$50*($DV18)+'LINEST VARS'!$O$50*(8^2)+'LINEST VARS'!$N$50*(8^2)+'LINEST VARS'!$M$50*($EM$8^2)+'LINEST VARS'!$L$50*(0.5^2)+'LINEST VARS'!$K$50*($DV18^2)+'LINEST VARS'!$J$50*(8*8)+'LINEST VARS'!$I$50*(8*$EM$8)+'LINEST VARS'!$H$50*(8*0.5)+'LINEST VARS'!$G$50*(8*$DV18)+'LINEST VARS'!$F$50*(8*$EM$8)+'LINEST VARS'!$E$50*(8*0.5)+'LINEST VARS'!$D$50*(8*$DV18)+'LINEST VARS'!$C$50*($EM$8*0.5)+'LINEST VARS'!$B$50*($EM$8*$DV18)+'LINEST VARS'!$A$50*(0.5*$DV18)</f>
        <v>331.99999999999989</v>
      </c>
      <c r="EN18" s="46">
        <f>'LINEST VARS'!$U$50+'LINEST VARS'!$T$50*(8)+'LINEST VARS'!$S$50*(8)+'LINEST VARS'!$R$50*($EN$8)+'LINEST VARS'!$Q$50*(0.5)+'LINEST VARS'!$P$50*($DV18)+'LINEST VARS'!$O$50*(8^2)+'LINEST VARS'!$N$50*(8^2)+'LINEST VARS'!$M$50*($EN$8^2)+'LINEST VARS'!$L$50*(0.5^2)+'LINEST VARS'!$K$50*($DV18^2)+'LINEST VARS'!$J$50*(8*8)+'LINEST VARS'!$I$50*(8*$EN$8)+'LINEST VARS'!$H$50*(8*0.5)+'LINEST VARS'!$G$50*(8*$DV18)+'LINEST VARS'!$F$50*(8*$EN$8)+'LINEST VARS'!$E$50*(8*0.5)+'LINEST VARS'!$D$50*(8*$DV18)+'LINEST VARS'!$C$50*($EN$8*0.5)+'LINEST VARS'!$B$50*($EN$8*$DV18)+'LINEST VARS'!$A$50*(0.5*$DV18)</f>
        <v>331.99999999999989</v>
      </c>
      <c r="EO18" s="46">
        <f>'LINEST VARS'!$U$50+'LINEST VARS'!$T$50*(8)+'LINEST VARS'!$S$50*(8)+'LINEST VARS'!$R$50*($EO$8)+'LINEST VARS'!$Q$50*(0.5)+'LINEST VARS'!$P$50*($DV18)+'LINEST VARS'!$O$50*(8^2)+'LINEST VARS'!$N$50*(8^2)+'LINEST VARS'!$M$50*($EO$8^2)+'LINEST VARS'!$L$50*(0.5^2)+'LINEST VARS'!$K$50*($DV18^2)+'LINEST VARS'!$J$50*(8*8)+'LINEST VARS'!$I$50*(8*$EO$8)+'LINEST VARS'!$H$50*(8*0.5)+'LINEST VARS'!$G$50*(8*$DV18)+'LINEST VARS'!$F$50*(8*$EO$8)+'LINEST VARS'!$E$50*(8*0.5)+'LINEST VARS'!$D$50*(8*$DV18)+'LINEST VARS'!$C$50*($EO$8*0.5)+'LINEST VARS'!$B$50*($EO$8*$DV18)+'LINEST VARS'!$A$50*(0.5*$DV18)</f>
        <v>331.99999999999989</v>
      </c>
      <c r="EP18" s="46">
        <f>'LINEST VARS'!$U$50+'LINEST VARS'!$T$50*(8)+'LINEST VARS'!$S$50*(8)+'LINEST VARS'!$R$50*($EP$8)+'LINEST VARS'!$Q$50*(0.5)+'LINEST VARS'!$P$50*($DV18)+'LINEST VARS'!$O$50*(8^2)+'LINEST VARS'!$N$50*(8^2)+'LINEST VARS'!$M$50*($EP$8^2)+'LINEST VARS'!$L$50*(0.5^2)+'LINEST VARS'!$K$50*($DV18^2)+'LINEST VARS'!$J$50*(8*8)+'LINEST VARS'!$I$50*(8*$EP$8)+'LINEST VARS'!$H$50*(8*0.5)+'LINEST VARS'!$G$50*(8*$DV18)+'LINEST VARS'!$F$50*(8*$EP$8)+'LINEST VARS'!$E$50*(8*0.5)+'LINEST VARS'!$D$50*(8*$DV18)+'LINEST VARS'!$C$50*($EP$8*0.5)+'LINEST VARS'!$B$50*($EP$8*$DV18)+'LINEST VARS'!$A$50*(0.5*$DV18)</f>
        <v>331.99999999999989</v>
      </c>
      <c r="EQ18" s="47">
        <f>'LINEST VARS'!$U$50+'LINEST VARS'!$T$50*(8)+'LINEST VARS'!$S$50*(8)+'LINEST VARS'!$R$50*($EQ$8)+'LINEST VARS'!$Q$50*(0.5)+'LINEST VARS'!$P$50*($DV18)+'LINEST VARS'!$O$50*(8^2)+'LINEST VARS'!$N$50*(8^2)+'LINEST VARS'!$M$50*($EQ$8^2)+'LINEST VARS'!$L$50*(0.5^2)+'LINEST VARS'!$K$50*($DV18^2)+'LINEST VARS'!$J$50*(8*8)+'LINEST VARS'!$I$50*(8*$EQ$8)+'LINEST VARS'!$H$50*(8*0.5)+'LINEST VARS'!$G$50*(8*$DV18)+'LINEST VARS'!$F$50*(8*$EQ$8)+'LINEST VARS'!$E$50*(8*0.5)+'LINEST VARS'!$D$50*(8*$DV18)+'LINEST VARS'!$C$50*($EQ$8*0.5)+'LINEST VARS'!$B$50*($EQ$8*$DV18)+'LINEST VARS'!$A$50*(0.5*$DV18)</f>
        <v>331.99999999999989</v>
      </c>
    </row>
    <row r="19" spans="2:147" ht="15" customHeight="1" x14ac:dyDescent="0.25">
      <c r="B19" s="45">
        <v>8</v>
      </c>
      <c r="C19" s="46">
        <f>'LINEST VARS'!$U$48+'LINEST VARS'!$T$48*($C$8)+'LINEST VARS'!$S$48*($B19)+'LINEST VARS'!$R$48*(4)+'LINEST VARS'!$Q$48*(0.5)+'LINEST VARS'!$P$48*(12.73)+'LINEST VARS'!$O$48*($C$8^2)+'LINEST VARS'!$N$48*($B19^2)+'LINEST VARS'!$M$48*(4^2)+'LINEST VARS'!$L$48*(0.5^2)+'LINEST VARS'!$K$48*(12.73^2)+'LINEST VARS'!$J$48*($C$8*$B19)+'LINEST VARS'!$I$48*($C$8*4)+'LINEST VARS'!$H$48*($C$8*0.5)+'LINEST VARS'!$G$48*($C$8*12.73)+'LINEST VARS'!$F$48*($B19*4)+'LINEST VARS'!$E$48*($B19*0.5)+'LINEST VARS'!$D$48*($B19*12.73)+'LINEST VARS'!$C$48*(4*0.5)+'LINEST VARS'!$B$48*(4*12.73)+'LINEST VARS'!$A$48*(0.5*12.73)</f>
        <v>322.59999999999985</v>
      </c>
      <c r="D19" s="46">
        <f>'LINEST VARS'!$U$48+'LINEST VARS'!$T$48*($D$8)+'LINEST VARS'!$S$48*($B19)+'LINEST VARS'!$R$48*(4)+'LINEST VARS'!$Q$48*(0.5)+'LINEST VARS'!$P$48*(12.73)+'LINEST VARS'!$O$48*($D$8^2)+'LINEST VARS'!$N$48*($B19^2)+'LINEST VARS'!$M$48*(4^2)+'LINEST VARS'!$L$48*(0.5^2)+'LINEST VARS'!$K$48*(12.73^2)+'LINEST VARS'!$J$48*($D$8*$B19)+'LINEST VARS'!$I$48*($D$8*4)+'LINEST VARS'!$H$48*($D$8*0.5)+'LINEST VARS'!$G$48*($D$8*12.73)+'LINEST VARS'!$F$48*($B19*4)+'LINEST VARS'!$E$48*($B19*0.5)+'LINEST VARS'!$D$48*($B19*12.73)+'LINEST VARS'!$C$48*(4*0.5)+'LINEST VARS'!$B$48*(4*12.73)+'LINEST VARS'!$A$48*(0.5*12.73)</f>
        <v>327.17799999999988</v>
      </c>
      <c r="E19" s="46">
        <f>'LINEST VARS'!$U$48+'LINEST VARS'!$T$48*($E$8)+'LINEST VARS'!$S$48*($B19)+'LINEST VARS'!$R$48*(4)+'LINEST VARS'!$Q$48*(0.5)+'LINEST VARS'!$P$48*(12.73)+'LINEST VARS'!$O$48*($E$8^2)+'LINEST VARS'!$N$48*($B19^2)+'LINEST VARS'!$M$48*(4^2)+'LINEST VARS'!$L$48*(0.5^2)+'LINEST VARS'!$K$48*(12.73^2)+'LINEST VARS'!$J$48*($E$8*$B19)+'LINEST VARS'!$I$48*($E$8*4)+'LINEST VARS'!$H$48*($E$8*0.5)+'LINEST VARS'!$G$48*($E$8*12.73)+'LINEST VARS'!$F$48*($B19*4)+'LINEST VARS'!$E$48*($B19*0.5)+'LINEST VARS'!$D$48*($B19*12.73)+'LINEST VARS'!$C$48*(4*0.5)+'LINEST VARS'!$B$48*(4*12.73)+'LINEST VARS'!$A$48*(0.5*12.73)</f>
        <v>331.79199999999986</v>
      </c>
      <c r="F19" s="46">
        <f>'LINEST VARS'!$U$48+'LINEST VARS'!$T$48*($F$8)+'LINEST VARS'!$S$48*($B19)+'LINEST VARS'!$R$48*(4)+'LINEST VARS'!$Q$48*(0.5)+'LINEST VARS'!$P$48*(12.73)+'LINEST VARS'!$O$48*($F$8^2)+'LINEST VARS'!$N$48*($B19^2)+'LINEST VARS'!$M$48*(4^2)+'LINEST VARS'!$L$48*(0.5^2)+'LINEST VARS'!$K$48*(12.73^2)+'LINEST VARS'!$J$48*($F$8*$B19)+'LINEST VARS'!$I$48*($F$8*4)+'LINEST VARS'!$H$48*($F$8*0.5)+'LINEST VARS'!$G$48*($F$8*12.73)+'LINEST VARS'!$F$48*($B19*4)+'LINEST VARS'!$E$48*($B19*0.5)+'LINEST VARS'!$D$48*($B19*12.73)+'LINEST VARS'!$C$48*(4*0.5)+'LINEST VARS'!$B$48*(4*12.73)+'LINEST VARS'!$A$48*(0.5*12.73)</f>
        <v>336.44199999999989</v>
      </c>
      <c r="G19" s="46">
        <f>'LINEST VARS'!$U$48+'LINEST VARS'!$T$48*($G$8)+'LINEST VARS'!$S$48*($B19)+'LINEST VARS'!$R$48*(4)+'LINEST VARS'!$Q$48*(0.5)+'LINEST VARS'!$P$48*(12.73)+'LINEST VARS'!$O$48*($G$8^2)+'LINEST VARS'!$N$48*($B19^2)+'LINEST VARS'!$M$48*(4^2)+'LINEST VARS'!$L$48*(0.5^2)+'LINEST VARS'!$K$48*(12.73^2)+'LINEST VARS'!$J$48*($G$8*$B19)+'LINEST VARS'!$I$48*($G$8*4)+'LINEST VARS'!$H$48*($G$8*0.5)+'LINEST VARS'!$G$48*($G$8*12.73)+'LINEST VARS'!$F$48*($B19*4)+'LINEST VARS'!$E$48*($B19*0.5)+'LINEST VARS'!$D$48*($B19*12.73)+'LINEST VARS'!$C$48*(4*0.5)+'LINEST VARS'!$B$48*(4*12.73)+'LINEST VARS'!$A$48*(0.5*12.73)</f>
        <v>341.12799999999987</v>
      </c>
      <c r="H19" s="46">
        <f>'LINEST VARS'!$U$48+'LINEST VARS'!$T$48*($H$8)+'LINEST VARS'!$S$48*($B19)+'LINEST VARS'!$R$48*(4)+'LINEST VARS'!$Q$48*(0.5)+'LINEST VARS'!$P$48*(12.73)+'LINEST VARS'!$O$48*($H$8^2)+'LINEST VARS'!$N$48*($B19^2)+'LINEST VARS'!$M$48*(4^2)+'LINEST VARS'!$L$48*(0.5^2)+'LINEST VARS'!$K$48*(12.73^2)+'LINEST VARS'!$J$48*($H$8*$B19)+'LINEST VARS'!$I$48*($H$8*4)+'LINEST VARS'!$H$48*($H$8*0.5)+'LINEST VARS'!$G$48*($H$8*12.73)+'LINEST VARS'!$F$48*($B19*4)+'LINEST VARS'!$E$48*($B19*0.5)+'LINEST VARS'!$D$48*($B19*12.73)+'LINEST VARS'!$C$48*(4*0.5)+'LINEST VARS'!$B$48*(4*12.73)+'LINEST VARS'!$A$48*(0.5*12.73)</f>
        <v>345.84999999999997</v>
      </c>
      <c r="I19" s="46">
        <f>'LINEST VARS'!$U$48+'LINEST VARS'!$T$48*($I$8)+'LINEST VARS'!$S$48*($B19)+'LINEST VARS'!$R$48*(4)+'LINEST VARS'!$Q$48*(0.5)+'LINEST VARS'!$P$48*(12.73)+'LINEST VARS'!$O$48*($I$8^2)+'LINEST VARS'!$N$48*($B19^2)+'LINEST VARS'!$M$48*(4^2)+'LINEST VARS'!$L$48*(0.5^2)+'LINEST VARS'!$K$48*(12.73^2)+'LINEST VARS'!$J$48*($I$8*$B19)+'LINEST VARS'!$I$48*($I$8*4)+'LINEST VARS'!$H$48*($I$8*0.5)+'LINEST VARS'!$G$48*($I$8*12.73)+'LINEST VARS'!$F$48*($B19*4)+'LINEST VARS'!$E$48*($B19*0.5)+'LINEST VARS'!$D$48*($B19*12.73)+'LINEST VARS'!$C$48*(4*0.5)+'LINEST VARS'!$B$48*(4*12.73)+'LINEST VARS'!$A$48*(0.5*12.73)</f>
        <v>350.60799999999989</v>
      </c>
      <c r="J19" s="46">
        <f>'LINEST VARS'!$U$48+'LINEST VARS'!$T$48*($J$8)+'LINEST VARS'!$S$48*($B19)+'LINEST VARS'!$R$48*(4)+'LINEST VARS'!$Q$48*(0.5)+'LINEST VARS'!$P$48*(12.73)+'LINEST VARS'!$O$48*($J$8^2)+'LINEST VARS'!$N$48*($B19^2)+'LINEST VARS'!$M$48*(4^2)+'LINEST VARS'!$L$48*(0.5^2)+'LINEST VARS'!$K$48*(12.73^2)+'LINEST VARS'!$J$48*($J$8*$B19)+'LINEST VARS'!$I$48*($J$8*4)+'LINEST VARS'!$H$48*($J$8*0.5)+'LINEST VARS'!$G$48*($J$8*12.73)+'LINEST VARS'!$F$48*($B19*4)+'LINEST VARS'!$E$48*($B19*0.5)+'LINEST VARS'!$D$48*($B19*12.73)+'LINEST VARS'!$C$48*(4*0.5)+'LINEST VARS'!$B$48*(4*12.73)+'LINEST VARS'!$A$48*(0.5*12.73)</f>
        <v>355.40199999999993</v>
      </c>
      <c r="K19" s="46">
        <f>'LINEST VARS'!$U$48+'LINEST VARS'!$T$48*($K$8)+'LINEST VARS'!$S$48*($B19)+'LINEST VARS'!$R$48*(4)+'LINEST VARS'!$Q$48*(0.5)+'LINEST VARS'!$P$48*(12.73)+'LINEST VARS'!$O$48*($K$8^2)+'LINEST VARS'!$N$48*($B19^2)+'LINEST VARS'!$M$48*(4^2)+'LINEST VARS'!$L$48*(0.5^2)+'LINEST VARS'!$K$48*(12.73^2)+'LINEST VARS'!$J$48*($K$8*$B19)+'LINEST VARS'!$I$48*($K$8*4)+'LINEST VARS'!$H$48*($K$8*0.5)+'LINEST VARS'!$G$48*($K$8*12.73)+'LINEST VARS'!$F$48*($B19*4)+'LINEST VARS'!$E$48*($B19*0.5)+'LINEST VARS'!$D$48*($B19*12.73)+'LINEST VARS'!$C$48*(4*0.5)+'LINEST VARS'!$B$48*(4*12.73)+'LINEST VARS'!$A$48*(0.5*12.73)</f>
        <v>360.23199999999991</v>
      </c>
      <c r="L19" s="46">
        <f>'LINEST VARS'!$U$48+'LINEST VARS'!$T$48*($L$8)+'LINEST VARS'!$S$48*($B19)+'LINEST VARS'!$R$48*(4)+'LINEST VARS'!$Q$48*(0.5)+'LINEST VARS'!$P$48*(12.73)+'LINEST VARS'!$O$48*($L$8^2)+'LINEST VARS'!$N$48*($B19^2)+'LINEST VARS'!$M$48*(4^2)+'LINEST VARS'!$L$48*(0.5^2)+'LINEST VARS'!$K$48*(12.73^2)+'LINEST VARS'!$J$48*($L$8*$B19)+'LINEST VARS'!$I$48*($L$8*4)+'LINEST VARS'!$H$48*($L$8*0.5)+'LINEST VARS'!$G$48*($L$8*12.73)+'LINEST VARS'!$F$48*($B19*4)+'LINEST VARS'!$E$48*($B19*0.5)+'LINEST VARS'!$D$48*($B19*12.73)+'LINEST VARS'!$C$48*(4*0.5)+'LINEST VARS'!$B$48*(4*12.73)+'LINEST VARS'!$A$48*(0.5*12.73)</f>
        <v>365.0979999999999</v>
      </c>
      <c r="M19" s="46">
        <f>'LINEST VARS'!$U$48+'LINEST VARS'!$T$48*($M$8)+'LINEST VARS'!$S$48*($B19)+'LINEST VARS'!$R$48*(4)+'LINEST VARS'!$Q$48*(0.5)+'LINEST VARS'!$P$48*(12.73)+'LINEST VARS'!$O$48*($M$8^2)+'LINEST VARS'!$N$48*($B19^2)+'LINEST VARS'!$M$48*(4^2)+'LINEST VARS'!$L$48*(0.5^2)+'LINEST VARS'!$K$48*(12.73^2)+'LINEST VARS'!$J$48*($M$8*$B19)+'LINEST VARS'!$I$48*($M$8*4)+'LINEST VARS'!$H$48*($M$8*0.5)+'LINEST VARS'!$G$48*($M$8*12.73)+'LINEST VARS'!$F$48*($B19*4)+'LINEST VARS'!$E$48*($B19*0.5)+'LINEST VARS'!$D$48*($B19*12.73)+'LINEST VARS'!$C$48*(4*0.5)+'LINEST VARS'!$B$48*(4*12.73)+'LINEST VARS'!$A$48*(0.5*12.73)</f>
        <v>369.99999999999983</v>
      </c>
      <c r="N19" s="46">
        <f>'LINEST VARS'!$U$48+'LINEST VARS'!$T$48*($N$8)+'LINEST VARS'!$S$48*($B19)+'LINEST VARS'!$R$48*(4)+'LINEST VARS'!$Q$48*(0.5)+'LINEST VARS'!$P$48*(12.73)+'LINEST VARS'!$O$48*($N$8^2)+'LINEST VARS'!$N$48*($B19^2)+'LINEST VARS'!$M$48*(4^2)+'LINEST VARS'!$L$48*(0.5^2)+'LINEST VARS'!$K$48*(12.73^2)+'LINEST VARS'!$J$48*($N$8*$B19)+'LINEST VARS'!$I$48*($N$8*4)+'LINEST VARS'!$H$48*($N$8*0.5)+'LINEST VARS'!$G$48*($N$8*12.73)+'LINEST VARS'!$F$48*($B19*4)+'LINEST VARS'!$E$48*($B19*0.5)+'LINEST VARS'!$D$48*($B19*12.73)+'LINEST VARS'!$C$48*(4*0.5)+'LINEST VARS'!$B$48*(4*12.73)+'LINEST VARS'!$A$48*(0.5*12.73)</f>
        <v>374.93799999999987</v>
      </c>
      <c r="O19" s="46">
        <f>'LINEST VARS'!$U$48+'LINEST VARS'!$T$48*($O$8)+'LINEST VARS'!$S$48*($B19)+'LINEST VARS'!$R$48*(4)+'LINEST VARS'!$Q$48*(0.5)+'LINEST VARS'!$P$48*(12.73)+'LINEST VARS'!$O$48*($O$8^2)+'LINEST VARS'!$N$48*($B19^2)+'LINEST VARS'!$M$48*(4^2)+'LINEST VARS'!$L$48*(0.5^2)+'LINEST VARS'!$K$48*(12.73^2)+'LINEST VARS'!$J$48*($O$8*$B19)+'LINEST VARS'!$I$48*($O$8*4)+'LINEST VARS'!$H$48*($O$8*0.5)+'LINEST VARS'!$G$48*($O$8*12.73)+'LINEST VARS'!$F$48*($B19*4)+'LINEST VARS'!$E$48*($B19*0.5)+'LINEST VARS'!$D$48*($B19*12.73)+'LINEST VARS'!$C$48*(4*0.5)+'LINEST VARS'!$B$48*(4*12.73)+'LINEST VARS'!$A$48*(0.5*12.73)</f>
        <v>379.91199999999981</v>
      </c>
      <c r="P19" s="46">
        <f>'LINEST VARS'!$U$48+'LINEST VARS'!$T$48*($P$8)+'LINEST VARS'!$S$48*($B19)+'LINEST VARS'!$R$48*(4)+'LINEST VARS'!$Q$48*(0.5)+'LINEST VARS'!$P$48*(12.73)+'LINEST VARS'!$O$48*($P$8^2)+'LINEST VARS'!$N$48*($B19^2)+'LINEST VARS'!$M$48*(4^2)+'LINEST VARS'!$L$48*(0.5^2)+'LINEST VARS'!$K$48*(12.73^2)+'LINEST VARS'!$J$48*($P$8*$B19)+'LINEST VARS'!$I$48*($P$8*4)+'LINEST VARS'!$H$48*($P$8*0.5)+'LINEST VARS'!$G$48*($P$8*12.73)+'LINEST VARS'!$F$48*($B19*4)+'LINEST VARS'!$E$48*($B19*0.5)+'LINEST VARS'!$D$48*($B19*12.73)+'LINEST VARS'!$C$48*(4*0.5)+'LINEST VARS'!$B$48*(4*12.73)+'LINEST VARS'!$A$48*(0.5*12.73)</f>
        <v>384.9219999999998</v>
      </c>
      <c r="Q19" s="46">
        <f>'LINEST VARS'!$U$48+'LINEST VARS'!$T$48*($Q$8)+'LINEST VARS'!$S$48*($B19)+'LINEST VARS'!$R$48*(4)+'LINEST VARS'!$Q$48*(0.5)+'LINEST VARS'!$P$48*(12.73)+'LINEST VARS'!$O$48*($Q$8^2)+'LINEST VARS'!$N$48*($B19^2)+'LINEST VARS'!$M$48*(4^2)+'LINEST VARS'!$L$48*(0.5^2)+'LINEST VARS'!$K$48*(12.73^2)+'LINEST VARS'!$J$48*($Q$8*$B19)+'LINEST VARS'!$I$48*($Q$8*4)+'LINEST VARS'!$H$48*($Q$8*0.5)+'LINEST VARS'!$G$48*($Q$8*12.73)+'LINEST VARS'!$F$48*($B19*4)+'LINEST VARS'!$E$48*($B19*0.5)+'LINEST VARS'!$D$48*($B19*12.73)+'LINEST VARS'!$C$48*(4*0.5)+'LINEST VARS'!$B$48*(4*12.73)+'LINEST VARS'!$A$48*(0.5*12.73)</f>
        <v>389.96799999999985</v>
      </c>
      <c r="R19" s="46">
        <f>'LINEST VARS'!$U$48+'LINEST VARS'!$T$48*($R$8)+'LINEST VARS'!$S$48*($B19)+'LINEST VARS'!$R$48*(4)+'LINEST VARS'!$Q$48*(0.5)+'LINEST VARS'!$P$48*(12.73)+'LINEST VARS'!$O$48*($R$8^2)+'LINEST VARS'!$N$48*($B19^2)+'LINEST VARS'!$M$48*(4^2)+'LINEST VARS'!$L$48*(0.5^2)+'LINEST VARS'!$K$48*(12.73^2)+'LINEST VARS'!$J$48*($R$8*$B19)+'LINEST VARS'!$I$48*($R$8*4)+'LINEST VARS'!$H$48*($R$8*0.5)+'LINEST VARS'!$G$48*($R$8*12.73)+'LINEST VARS'!$F$48*($B19*4)+'LINEST VARS'!$E$48*($B19*0.5)+'LINEST VARS'!$D$48*($B19*12.73)+'LINEST VARS'!$C$48*(4*0.5)+'LINEST VARS'!$B$48*(4*12.73)+'LINEST VARS'!$A$48*(0.5*12.73)</f>
        <v>395.0499999999999</v>
      </c>
      <c r="S19" s="46">
        <f>'LINEST VARS'!$U$48+'LINEST VARS'!$T$48*($S$8)+'LINEST VARS'!$S$48*($B19)+'LINEST VARS'!$R$48*(4)+'LINEST VARS'!$Q$48*(0.5)+'LINEST VARS'!$P$48*(12.73)+'LINEST VARS'!$O$48*($S$8^2)+'LINEST VARS'!$N$48*($B19^2)+'LINEST VARS'!$M$48*(4^2)+'LINEST VARS'!$L$48*(0.5^2)+'LINEST VARS'!$K$48*(12.73^2)+'LINEST VARS'!$J$48*($S$8*$B19)+'LINEST VARS'!$I$48*($S$8*4)+'LINEST VARS'!$H$48*($S$8*0.5)+'LINEST VARS'!$G$48*($S$8*12.73)+'LINEST VARS'!$F$48*($B19*4)+'LINEST VARS'!$E$48*($B19*0.5)+'LINEST VARS'!$D$48*($B19*12.73)+'LINEST VARS'!$C$48*(4*0.5)+'LINEST VARS'!$B$48*(4*12.73)+'LINEST VARS'!$A$48*(0.5*12.73)</f>
        <v>400.16799999999978</v>
      </c>
      <c r="T19" s="46">
        <f>'LINEST VARS'!$U$48+'LINEST VARS'!$T$48*($T$8)+'LINEST VARS'!$S$48*($B19)+'LINEST VARS'!$R$48*(4)+'LINEST VARS'!$Q$48*(0.5)+'LINEST VARS'!$P$48*(12.73)+'LINEST VARS'!$O$48*($T$8^2)+'LINEST VARS'!$N$48*($B19^2)+'LINEST VARS'!$M$48*(4^2)+'LINEST VARS'!$L$48*(0.5^2)+'LINEST VARS'!$K$48*(12.73^2)+'LINEST VARS'!$J$48*($T$8*$B19)+'LINEST VARS'!$I$48*($T$8*4)+'LINEST VARS'!$H$48*($T$8*0.5)+'LINEST VARS'!$G$48*($T$8*12.73)+'LINEST VARS'!$F$48*($B19*4)+'LINEST VARS'!$E$48*($B19*0.5)+'LINEST VARS'!$D$48*($B19*12.73)+'LINEST VARS'!$C$48*(4*0.5)+'LINEST VARS'!$B$48*(4*12.73)+'LINEST VARS'!$A$48*(0.5*12.73)</f>
        <v>405.32199999999989</v>
      </c>
      <c r="U19" s="46">
        <f>'LINEST VARS'!$U$48+'LINEST VARS'!$T$48*($U$8)+'LINEST VARS'!$S$48*($B19)+'LINEST VARS'!$R$48*(4)+'LINEST VARS'!$Q$48*(0.5)+'LINEST VARS'!$P$48*(12.73)+'LINEST VARS'!$O$48*($U$8^2)+'LINEST VARS'!$N$48*($B19^2)+'LINEST VARS'!$M$48*(4^2)+'LINEST VARS'!$L$48*(0.5^2)+'LINEST VARS'!$K$48*(12.73^2)+'LINEST VARS'!$J$48*($U$8*$B19)+'LINEST VARS'!$I$48*($U$8*4)+'LINEST VARS'!$H$48*($U$8*0.5)+'LINEST VARS'!$G$48*($U$8*12.73)+'LINEST VARS'!$F$48*($B19*4)+'LINEST VARS'!$E$48*($B19*0.5)+'LINEST VARS'!$D$48*($B19*12.73)+'LINEST VARS'!$C$48*(4*0.5)+'LINEST VARS'!$B$48*(4*12.73)+'LINEST VARS'!$A$48*(0.5*12.73)</f>
        <v>410.51199999999989</v>
      </c>
      <c r="V19" s="46">
        <f>'LINEST VARS'!$U$48+'LINEST VARS'!$T$48*($V$8)+'LINEST VARS'!$S$48*($B19)+'LINEST VARS'!$R$48*(4)+'LINEST VARS'!$Q$48*(0.5)+'LINEST VARS'!$P$48*(12.73)+'LINEST VARS'!$O$48*($V$8^2)+'LINEST VARS'!$N$48*($B19^2)+'LINEST VARS'!$M$48*(4^2)+'LINEST VARS'!$L$48*(0.5^2)+'LINEST VARS'!$K$48*(12.73^2)+'LINEST VARS'!$J$48*($V$8*$B19)+'LINEST VARS'!$I$48*($V$8*4)+'LINEST VARS'!$H$48*($V$8*0.5)+'LINEST VARS'!$G$48*($V$8*12.73)+'LINEST VARS'!$F$48*($B19*4)+'LINEST VARS'!$E$48*($B19*0.5)+'LINEST VARS'!$D$48*($B19*12.73)+'LINEST VARS'!$C$48*(4*0.5)+'LINEST VARS'!$B$48*(4*12.73)+'LINEST VARS'!$A$48*(0.5*12.73)</f>
        <v>415.73799999999977</v>
      </c>
      <c r="W19" s="47">
        <f>'LINEST VARS'!$U$48+'LINEST VARS'!$T$48*($W$8)+'LINEST VARS'!$S$48*($B19)+'LINEST VARS'!$R$48*(4)+'LINEST VARS'!$Q$48*(0.5)+'LINEST VARS'!$P$48*(12.73)+'LINEST VARS'!$O$48*($W$8^2)+'LINEST VARS'!$N$48*($B19^2)+'LINEST VARS'!$M$48*(4^2)+'LINEST VARS'!$L$48*(0.5^2)+'LINEST VARS'!$K$48*(12.73^2)+'LINEST VARS'!$J$48*($W$8*$B19)+'LINEST VARS'!$I$48*($W$8*4)+'LINEST VARS'!$H$48*($W$8*0.5)+'LINEST VARS'!$G$48*($W$8*12.73)+'LINEST VARS'!$F$48*($B19*4)+'LINEST VARS'!$E$48*($B19*0.5)+'LINEST VARS'!$D$48*($B19*12.73)+'LINEST VARS'!$C$48*(4*0.5)+'LINEST VARS'!$B$48*(4*12.73)+'LINEST VARS'!$A$48*(0.5*12.73)</f>
        <v>420.99999999999983</v>
      </c>
      <c r="Z19" s="45">
        <v>8</v>
      </c>
      <c r="AA19" s="46">
        <f>'LINEST VARS'!$U$50+'LINEST VARS'!$T$50*($AA$8)+'LINEST VARS'!$S$50*($Z19)+'LINEST VARS'!$R$50*(4)+'LINEST VARS'!$Q$50*(0.5)+'LINEST VARS'!$P$50*(12.73)+'LINEST VARS'!$O$50*($AA$8^2)+'LINEST VARS'!$N$50*($Z19^2)+'LINEST VARS'!$M$50*(4^2)+'LINEST VARS'!$L$50*(0.5^2)+'LINEST VARS'!$K$50*(12.73^2)+'LINEST VARS'!$J$50*($AA$8*$Z19)+'LINEST VARS'!$I$50*($AA$8*4)+'LINEST VARS'!$H$50*($AA$8*0.5)+'LINEST VARS'!$G$50*($AA$8*12.73)+'LINEST VARS'!$F$50*($Z19*4)+'LINEST VARS'!$E$50*($Z19*0.5)+'LINEST VARS'!$D$50*($Z19*12.73)+'LINEST VARS'!$C$50*(4*0.5)+'LINEST VARS'!$B$50*(4*12.73)+'LINEST VARS'!$A$50*(0.5*12.73)</f>
        <v>331.09999999999997</v>
      </c>
      <c r="AB19" s="46">
        <f>'LINEST VARS'!$U$50+'LINEST VARS'!$T$50*($AB$8)+'LINEST VARS'!$S$50*($Z19)+'LINEST VARS'!$R$50*(4)+'LINEST VARS'!$Q$50*(0.5)+'LINEST VARS'!$P$50*(12.73)+'LINEST VARS'!$O$50*($AB$8^2)+'LINEST VARS'!$N$50*($Z19^2)+'LINEST VARS'!$M$50*(4^2)+'LINEST VARS'!$L$50*(0.5^2)+'LINEST VARS'!$K$50*(12.73^2)+'LINEST VARS'!$J$50*($AB$8*$Z19)+'LINEST VARS'!$I$50*($AB$8*4)+'LINEST VARS'!$H$50*($AB$8*0.5)+'LINEST VARS'!$G$50*($AB$8*12.73)+'LINEST VARS'!$F$50*($Z19*4)+'LINEST VARS'!$E$50*($Z19*0.5)+'LINEST VARS'!$D$50*($Z19*12.73)+'LINEST VARS'!$C$50*(4*0.5)+'LINEST VARS'!$B$50*(4*12.73)+'LINEST VARS'!$A$50*(0.5*12.73)</f>
        <v>331.18999999999994</v>
      </c>
      <c r="AC19" s="46">
        <f>'LINEST VARS'!$U$50+'LINEST VARS'!$T$50*($AC$8)+'LINEST VARS'!$S$50*($Z19)+'LINEST VARS'!$R$50*(4)+'LINEST VARS'!$Q$50*(0.5)+'LINEST VARS'!$P$50*(12.73)+'LINEST VARS'!$O$50*($AC$8^2)+'LINEST VARS'!$N$50*($Z19^2)+'LINEST VARS'!$M$50*(4^2)+'LINEST VARS'!$L$50*(0.5^2)+'LINEST VARS'!$K$50*(12.73^2)+'LINEST VARS'!$J$50*($AC$8*$Z19)+'LINEST VARS'!$I$50*($AC$8*4)+'LINEST VARS'!$H$50*($AC$8*0.5)+'LINEST VARS'!$G$50*($AC$8*12.73)+'LINEST VARS'!$F$50*($Z19*4)+'LINEST VARS'!$E$50*($Z19*0.5)+'LINEST VARS'!$D$50*($Z19*12.73)+'LINEST VARS'!$C$50*(4*0.5)+'LINEST VARS'!$B$50*(4*12.73)+'LINEST VARS'!$A$50*(0.5*12.73)</f>
        <v>331.28</v>
      </c>
      <c r="AD19" s="46">
        <f>'LINEST VARS'!$U$50+'LINEST VARS'!$T$50*($AD$8)+'LINEST VARS'!$S$50*($Z19)+'LINEST VARS'!$R$50*(4)+'LINEST VARS'!$Q$50*(0.5)+'LINEST VARS'!$P$50*(12.73)+'LINEST VARS'!$O$50*($AD$8^2)+'LINEST VARS'!$N$50*($Z19^2)+'LINEST VARS'!$M$50*(4^2)+'LINEST VARS'!$L$50*(0.5^2)+'LINEST VARS'!$K$50*(12.73^2)+'LINEST VARS'!$J$50*($AD$8*$Z19)+'LINEST VARS'!$I$50*($AD$8*4)+'LINEST VARS'!$H$50*($AD$8*0.5)+'LINEST VARS'!$G$50*($AD$8*12.73)+'LINEST VARS'!$F$50*($Z19*4)+'LINEST VARS'!$E$50*($Z19*0.5)+'LINEST VARS'!$D$50*($Z19*12.73)+'LINEST VARS'!$C$50*(4*0.5)+'LINEST VARS'!$B$50*(4*12.73)+'LINEST VARS'!$A$50*(0.5*12.73)</f>
        <v>331.36999999999995</v>
      </c>
      <c r="AE19" s="46">
        <f>'LINEST VARS'!$U$50+'LINEST VARS'!$T$50*($AE$8)+'LINEST VARS'!$S$50*($Z19)+'LINEST VARS'!$R$50*(4)+'LINEST VARS'!$Q$50*(0.5)+'LINEST VARS'!$P$50*(12.73)+'LINEST VARS'!$O$50*($AE$8^2)+'LINEST VARS'!$N$50*($Z19^2)+'LINEST VARS'!$M$50*(4^2)+'LINEST VARS'!$L$50*(0.5^2)+'LINEST VARS'!$K$50*(12.73^2)+'LINEST VARS'!$J$50*($AE$8*$Z19)+'LINEST VARS'!$I$50*($AE$8*4)+'LINEST VARS'!$H$50*($AE$8*0.5)+'LINEST VARS'!$G$50*($AE$8*12.73)+'LINEST VARS'!$F$50*($Z19*4)+'LINEST VARS'!$E$50*($Z19*0.5)+'LINEST VARS'!$D$50*($Z19*12.73)+'LINEST VARS'!$C$50*(4*0.5)+'LINEST VARS'!$B$50*(4*12.73)+'LINEST VARS'!$A$50*(0.5*12.73)</f>
        <v>331.45999999999987</v>
      </c>
      <c r="AF19" s="46">
        <f>'LINEST VARS'!$U$50+'LINEST VARS'!$T$50*($AF$8)+'LINEST VARS'!$S$50*($Z19)+'LINEST VARS'!$R$50*(4)+'LINEST VARS'!$Q$50*(0.5)+'LINEST VARS'!$P$50*(12.73)+'LINEST VARS'!$O$50*($AF$8^2)+'LINEST VARS'!$N$50*($Z19^2)+'LINEST VARS'!$M$50*(4^2)+'LINEST VARS'!$L$50*(0.5^2)+'LINEST VARS'!$K$50*(12.73^2)+'LINEST VARS'!$J$50*($AF$8*$Z19)+'LINEST VARS'!$I$50*($AF$8*4)+'LINEST VARS'!$H$50*($AF$8*0.5)+'LINEST VARS'!$G$50*($AF$8*12.73)+'LINEST VARS'!$F$50*($Z19*4)+'LINEST VARS'!$E$50*($Z19*0.5)+'LINEST VARS'!$D$50*($Z19*12.73)+'LINEST VARS'!$C$50*(4*0.5)+'LINEST VARS'!$B$50*(4*12.73)+'LINEST VARS'!$A$50*(0.5*12.73)</f>
        <v>331.5499999999999</v>
      </c>
      <c r="AG19" s="46">
        <f>'LINEST VARS'!$U$50+'LINEST VARS'!$T$50*($AG$8)+'LINEST VARS'!$S$50*($Z19)+'LINEST VARS'!$R$50*(4)+'LINEST VARS'!$Q$50*(0.5)+'LINEST VARS'!$P$50*(12.73)+'LINEST VARS'!$O$50*($AG$8^2)+'LINEST VARS'!$N$50*($Z19^2)+'LINEST VARS'!$M$50*(4^2)+'LINEST VARS'!$L$50*(0.5^2)+'LINEST VARS'!$K$50*(12.73^2)+'LINEST VARS'!$J$50*($AG$8*$Z19)+'LINEST VARS'!$I$50*($AG$8*4)+'LINEST VARS'!$H$50*($AG$8*0.5)+'LINEST VARS'!$G$50*($AG$8*12.73)+'LINEST VARS'!$F$50*($Z19*4)+'LINEST VARS'!$E$50*($Z19*0.5)+'LINEST VARS'!$D$50*($Z19*12.73)+'LINEST VARS'!$C$50*(4*0.5)+'LINEST VARS'!$B$50*(4*12.73)+'LINEST VARS'!$A$50*(0.5*12.73)</f>
        <v>331.63999999999987</v>
      </c>
      <c r="AH19" s="46">
        <f>'LINEST VARS'!$U$50+'LINEST VARS'!$T$50*($AH$8)+'LINEST VARS'!$S$50*($Z19)+'LINEST VARS'!$R$50*(4)+'LINEST VARS'!$Q$50*(0.5)+'LINEST VARS'!$P$50*(12.73)+'LINEST VARS'!$O$50*($AH$8^2)+'LINEST VARS'!$N$50*($Z19^2)+'LINEST VARS'!$M$50*(4^2)+'LINEST VARS'!$L$50*(0.5^2)+'LINEST VARS'!$K$50*(12.73^2)+'LINEST VARS'!$J$50*($AH$8*$Z19)+'LINEST VARS'!$I$50*($AH$8*4)+'LINEST VARS'!$H$50*($AH$8*0.5)+'LINEST VARS'!$G$50*($AH$8*12.73)+'LINEST VARS'!$F$50*($Z19*4)+'LINEST VARS'!$E$50*($Z19*0.5)+'LINEST VARS'!$D$50*($Z19*12.73)+'LINEST VARS'!$C$50*(4*0.5)+'LINEST VARS'!$B$50*(4*12.73)+'LINEST VARS'!$A$50*(0.5*12.73)</f>
        <v>331.7299999999999</v>
      </c>
      <c r="AI19" s="46">
        <f>'LINEST VARS'!$U$50+'LINEST VARS'!$T$50*($AI$8)+'LINEST VARS'!$S$50*($Z19)+'LINEST VARS'!$R$50*(4)+'LINEST VARS'!$Q$50*(0.5)+'LINEST VARS'!$P$50*(12.73)+'LINEST VARS'!$O$50*($AI$8^2)+'LINEST VARS'!$N$50*($Z19^2)+'LINEST VARS'!$M$50*(4^2)+'LINEST VARS'!$L$50*(0.5^2)+'LINEST VARS'!$K$50*(12.73^2)+'LINEST VARS'!$J$50*($AI$8*$Z19)+'LINEST VARS'!$I$50*($AI$8*4)+'LINEST VARS'!$H$50*($AI$8*0.5)+'LINEST VARS'!$G$50*($AI$8*12.73)+'LINEST VARS'!$F$50*($Z19*4)+'LINEST VARS'!$E$50*($Z19*0.5)+'LINEST VARS'!$D$50*($Z19*12.73)+'LINEST VARS'!$C$50*(4*0.5)+'LINEST VARS'!$B$50*(4*12.73)+'LINEST VARS'!$A$50*(0.5*12.73)</f>
        <v>331.81999999999988</v>
      </c>
      <c r="AJ19" s="46">
        <f>'LINEST VARS'!$U$50+'LINEST VARS'!$T$50*($AJ$8)+'LINEST VARS'!$S$50*($Z19)+'LINEST VARS'!$R$50*(4)+'LINEST VARS'!$Q$50*(0.5)+'LINEST VARS'!$P$50*(12.73)+'LINEST VARS'!$O$50*($AJ$8^2)+'LINEST VARS'!$N$50*($Z19^2)+'LINEST VARS'!$M$50*(4^2)+'LINEST VARS'!$L$50*(0.5^2)+'LINEST VARS'!$K$50*(12.73^2)+'LINEST VARS'!$J$50*($AJ$8*$Z19)+'LINEST VARS'!$I$50*($AJ$8*4)+'LINEST VARS'!$H$50*($AJ$8*0.5)+'LINEST VARS'!$G$50*($AJ$8*12.73)+'LINEST VARS'!$F$50*($Z19*4)+'LINEST VARS'!$E$50*($Z19*0.5)+'LINEST VARS'!$D$50*($Z19*12.73)+'LINEST VARS'!$C$50*(4*0.5)+'LINEST VARS'!$B$50*(4*12.73)+'LINEST VARS'!$A$50*(0.5*12.73)</f>
        <v>331.90999999999991</v>
      </c>
      <c r="AK19" s="46">
        <f>'LINEST VARS'!$U$50+'LINEST VARS'!$T$50*($AK$8)+'LINEST VARS'!$S$50*($Z19)+'LINEST VARS'!$R$50*(4)+'LINEST VARS'!$Q$50*(0.5)+'LINEST VARS'!$P$50*(12.73)+'LINEST VARS'!$O$50*($AK$8^2)+'LINEST VARS'!$N$50*($Z19^2)+'LINEST VARS'!$M$50*(4^2)+'LINEST VARS'!$L$50*(0.5^2)+'LINEST VARS'!$K$50*(12.73^2)+'LINEST VARS'!$J$50*($AK$8*$Z19)+'LINEST VARS'!$I$50*($AK$8*4)+'LINEST VARS'!$H$50*($AK$8*0.5)+'LINEST VARS'!$G$50*($AK$8*12.73)+'LINEST VARS'!$F$50*($Z19*4)+'LINEST VARS'!$E$50*($Z19*0.5)+'LINEST VARS'!$D$50*($Z19*12.73)+'LINEST VARS'!$C$50*(4*0.5)+'LINEST VARS'!$B$50*(4*12.73)+'LINEST VARS'!$A$50*(0.5*12.73)</f>
        <v>331.99999999999989</v>
      </c>
      <c r="AL19" s="46">
        <f>'LINEST VARS'!$U$50+'LINEST VARS'!$T$50*($AL$8)+'LINEST VARS'!$S$50*($Z19)+'LINEST VARS'!$R$50*(4)+'LINEST VARS'!$Q$50*(0.5)+'LINEST VARS'!$P$50*(12.73)+'LINEST VARS'!$O$50*($AL$8^2)+'LINEST VARS'!$N$50*($Z19^2)+'LINEST VARS'!$M$50*(4^2)+'LINEST VARS'!$L$50*(0.5^2)+'LINEST VARS'!$K$50*(12.73^2)+'LINEST VARS'!$J$50*($AL$8*$Z19)+'LINEST VARS'!$I$50*($AL$8*4)+'LINEST VARS'!$H$50*($AL$8*0.5)+'LINEST VARS'!$G$50*($AL$8*12.73)+'LINEST VARS'!$F$50*($Z19*4)+'LINEST VARS'!$E$50*($Z19*0.5)+'LINEST VARS'!$D$50*($Z19*12.73)+'LINEST VARS'!$C$50*(4*0.5)+'LINEST VARS'!$B$50*(4*12.73)+'LINEST VARS'!$A$50*(0.5*12.73)</f>
        <v>332.08999999999986</v>
      </c>
      <c r="AM19" s="46">
        <f>'LINEST VARS'!$U$50+'LINEST VARS'!$T$50*($AM$8)+'LINEST VARS'!$S$50*($Z19)+'LINEST VARS'!$R$50*(4)+'LINEST VARS'!$Q$50*(0.5)+'LINEST VARS'!$P$50*(12.73)+'LINEST VARS'!$O$50*($AM$8^2)+'LINEST VARS'!$N$50*($Z19^2)+'LINEST VARS'!$M$50*(4^2)+'LINEST VARS'!$L$50*(0.5^2)+'LINEST VARS'!$K$50*(12.73^2)+'LINEST VARS'!$J$50*($AM$8*$Z19)+'LINEST VARS'!$I$50*($AM$8*4)+'LINEST VARS'!$H$50*($AM$8*0.5)+'LINEST VARS'!$G$50*($AM$8*12.73)+'LINEST VARS'!$F$50*($Z19*4)+'LINEST VARS'!$E$50*($Z19*0.5)+'LINEST VARS'!$D$50*($Z19*12.73)+'LINEST VARS'!$C$50*(4*0.5)+'LINEST VARS'!$B$50*(4*12.73)+'LINEST VARS'!$A$50*(0.5*12.73)</f>
        <v>332.17999999999989</v>
      </c>
      <c r="AN19" s="46">
        <f>'LINEST VARS'!$U$50+'LINEST VARS'!$T$50*($AN$8)+'LINEST VARS'!$S$50*($Z19)+'LINEST VARS'!$R$50*(4)+'LINEST VARS'!$Q$50*(0.5)+'LINEST VARS'!$P$50*(12.73)+'LINEST VARS'!$O$50*($AN$8^2)+'LINEST VARS'!$N$50*($Z19^2)+'LINEST VARS'!$M$50*(4^2)+'LINEST VARS'!$L$50*(0.5^2)+'LINEST VARS'!$K$50*(12.73^2)+'LINEST VARS'!$J$50*($AN$8*$Z19)+'LINEST VARS'!$I$50*($AN$8*4)+'LINEST VARS'!$H$50*($AN$8*0.5)+'LINEST VARS'!$G$50*($AN$8*12.73)+'LINEST VARS'!$F$50*($Z19*4)+'LINEST VARS'!$E$50*($Z19*0.5)+'LINEST VARS'!$D$50*($Z19*12.73)+'LINEST VARS'!$C$50*(4*0.5)+'LINEST VARS'!$B$50*(4*12.73)+'LINEST VARS'!$A$50*(0.5*12.73)</f>
        <v>332.26999999999987</v>
      </c>
      <c r="AO19" s="46">
        <f>'LINEST VARS'!$U$50+'LINEST VARS'!$T$50*($AO$8)+'LINEST VARS'!$S$50*($Z19)+'LINEST VARS'!$R$50*(4)+'LINEST VARS'!$Q$50*(0.5)+'LINEST VARS'!$P$50*(12.73)+'LINEST VARS'!$O$50*($AO$8^2)+'LINEST VARS'!$N$50*($Z19^2)+'LINEST VARS'!$M$50*(4^2)+'LINEST VARS'!$L$50*(0.5^2)+'LINEST VARS'!$K$50*(12.73^2)+'LINEST VARS'!$J$50*($AO$8*$Z19)+'LINEST VARS'!$I$50*($AO$8*4)+'LINEST VARS'!$H$50*($AO$8*0.5)+'LINEST VARS'!$G$50*($AO$8*12.73)+'LINEST VARS'!$F$50*($Z19*4)+'LINEST VARS'!$E$50*($Z19*0.5)+'LINEST VARS'!$D$50*($Z19*12.73)+'LINEST VARS'!$C$50*(4*0.5)+'LINEST VARS'!$B$50*(4*12.73)+'LINEST VARS'!$A$50*(0.5*12.73)</f>
        <v>332.3599999999999</v>
      </c>
      <c r="AP19" s="46">
        <f>'LINEST VARS'!$U$50+'LINEST VARS'!$T$50*($AP$8)+'LINEST VARS'!$S$50*($Z19)+'LINEST VARS'!$R$50*(4)+'LINEST VARS'!$Q$50*(0.5)+'LINEST VARS'!$P$50*(12.73)+'LINEST VARS'!$O$50*($AP$8^2)+'LINEST VARS'!$N$50*($Z19^2)+'LINEST VARS'!$M$50*(4^2)+'LINEST VARS'!$L$50*(0.5^2)+'LINEST VARS'!$K$50*(12.73^2)+'LINEST VARS'!$J$50*($AP$8*$Z19)+'LINEST VARS'!$I$50*($AP$8*4)+'LINEST VARS'!$H$50*($AP$8*0.5)+'LINEST VARS'!$G$50*($AP$8*12.73)+'LINEST VARS'!$F$50*($Z19*4)+'LINEST VARS'!$E$50*($Z19*0.5)+'LINEST VARS'!$D$50*($Z19*12.73)+'LINEST VARS'!$C$50*(4*0.5)+'LINEST VARS'!$B$50*(4*12.73)+'LINEST VARS'!$A$50*(0.5*12.73)</f>
        <v>332.44999999999987</v>
      </c>
      <c r="AQ19" s="46">
        <f>'LINEST VARS'!$U$50+'LINEST VARS'!$T$50*($AQ$8)+'LINEST VARS'!$S$50*($Z19)+'LINEST VARS'!$R$50*(4)+'LINEST VARS'!$Q$50*(0.5)+'LINEST VARS'!$P$50*(12.73)+'LINEST VARS'!$O$50*($AQ$8^2)+'LINEST VARS'!$N$50*($Z19^2)+'LINEST VARS'!$M$50*(4^2)+'LINEST VARS'!$L$50*(0.5^2)+'LINEST VARS'!$K$50*(12.73^2)+'LINEST VARS'!$J$50*($AQ$8*$Z19)+'LINEST VARS'!$I$50*($AQ$8*4)+'LINEST VARS'!$H$50*($AQ$8*0.5)+'LINEST VARS'!$G$50*($AQ$8*12.73)+'LINEST VARS'!$F$50*($Z19*4)+'LINEST VARS'!$E$50*($Z19*0.5)+'LINEST VARS'!$D$50*($Z19*12.73)+'LINEST VARS'!$C$50*(4*0.5)+'LINEST VARS'!$B$50*(4*12.73)+'LINEST VARS'!$A$50*(0.5*12.73)</f>
        <v>332.53999999999991</v>
      </c>
      <c r="AR19" s="46">
        <f>'LINEST VARS'!$U$50+'LINEST VARS'!$T$50*($AR$8)+'LINEST VARS'!$S$50*($Z19)+'LINEST VARS'!$R$50*(4)+'LINEST VARS'!$Q$50*(0.5)+'LINEST VARS'!$P$50*(12.73)+'LINEST VARS'!$O$50*($AR$8^2)+'LINEST VARS'!$N$50*($Z19^2)+'LINEST VARS'!$M$50*(4^2)+'LINEST VARS'!$L$50*(0.5^2)+'LINEST VARS'!$K$50*(12.73^2)+'LINEST VARS'!$J$50*($AR$8*$Z19)+'LINEST VARS'!$I$50*($AR$8*4)+'LINEST VARS'!$H$50*($AR$8*0.5)+'LINEST VARS'!$G$50*($AR$8*12.73)+'LINEST VARS'!$F$50*($Z19*4)+'LINEST VARS'!$E$50*($Z19*0.5)+'LINEST VARS'!$D$50*($Z19*12.73)+'LINEST VARS'!$C$50*(4*0.5)+'LINEST VARS'!$B$50*(4*12.73)+'LINEST VARS'!$A$50*(0.5*12.73)</f>
        <v>332.62999999999988</v>
      </c>
      <c r="AS19" s="46">
        <f>'LINEST VARS'!$U$50+'LINEST VARS'!$T$50*($AS$8)+'LINEST VARS'!$S$50*($Z19)+'LINEST VARS'!$R$50*(4)+'LINEST VARS'!$Q$50*(0.5)+'LINEST VARS'!$P$50*(12.73)+'LINEST VARS'!$O$50*($AS$8^2)+'LINEST VARS'!$N$50*($Z19^2)+'LINEST VARS'!$M$50*(4^2)+'LINEST VARS'!$L$50*(0.5^2)+'LINEST VARS'!$K$50*(12.73^2)+'LINEST VARS'!$J$50*($AS$8*$Z19)+'LINEST VARS'!$I$50*($AS$8*4)+'LINEST VARS'!$H$50*($AS$8*0.5)+'LINEST VARS'!$G$50*($AS$8*12.73)+'LINEST VARS'!$F$50*($Z19*4)+'LINEST VARS'!$E$50*($Z19*0.5)+'LINEST VARS'!$D$50*($Z19*12.73)+'LINEST VARS'!$C$50*(4*0.5)+'LINEST VARS'!$B$50*(4*12.73)+'LINEST VARS'!$A$50*(0.5*12.73)</f>
        <v>332.71999999999986</v>
      </c>
      <c r="AT19" s="46">
        <f>'LINEST VARS'!$U$50+'LINEST VARS'!$T$50*($AT$8)+'LINEST VARS'!$S$50*($Z19)+'LINEST VARS'!$R$50*(4)+'LINEST VARS'!$Q$50*(0.5)+'LINEST VARS'!$P$50*(12.73)+'LINEST VARS'!$O$50*($AT$8^2)+'LINEST VARS'!$N$50*($Z19^2)+'LINEST VARS'!$M$50*(4^2)+'LINEST VARS'!$L$50*(0.5^2)+'LINEST VARS'!$K$50*(12.73^2)+'LINEST VARS'!$J$50*($AT$8*$Z19)+'LINEST VARS'!$I$50*($AT$8*4)+'LINEST VARS'!$H$50*($AT$8*0.5)+'LINEST VARS'!$G$50*($AT$8*12.73)+'LINEST VARS'!$F$50*($Z19*4)+'LINEST VARS'!$E$50*($Z19*0.5)+'LINEST VARS'!$D$50*($Z19*12.73)+'LINEST VARS'!$C$50*(4*0.5)+'LINEST VARS'!$B$50*(4*12.73)+'LINEST VARS'!$A$50*(0.5*12.73)</f>
        <v>332.80999999999989</v>
      </c>
      <c r="AU19" s="47">
        <f>'LINEST VARS'!$U$50+'LINEST VARS'!$T$50*($AU$8)+'LINEST VARS'!$S$50*($Z19)+'LINEST VARS'!$R$50*(4)+'LINEST VARS'!$Q$50*(0.5)+'LINEST VARS'!$P$50*(12.73)+'LINEST VARS'!$O$50*($AU$8^2)+'LINEST VARS'!$N$50*($Z19^2)+'LINEST VARS'!$M$50*(4^2)+'LINEST VARS'!$L$50*(0.5^2)+'LINEST VARS'!$K$50*(12.73^2)+'LINEST VARS'!$J$50*($AU$8*$Z19)+'LINEST VARS'!$I$50*($AU$8*4)+'LINEST VARS'!$H$50*($AU$8*0.5)+'LINEST VARS'!$G$50*($AU$8*12.73)+'LINEST VARS'!$F$50*($Z19*4)+'LINEST VARS'!$E$50*($Z19*0.5)+'LINEST VARS'!$D$50*($Z19*12.73)+'LINEST VARS'!$C$50*(4*0.5)+'LINEST VARS'!$B$50*(4*12.73)+'LINEST VARS'!$A$50*(0.5*12.73)</f>
        <v>332.89999999999986</v>
      </c>
      <c r="AZ19" s="45">
        <v>0.5</v>
      </c>
      <c r="BA19" s="46">
        <f>'LINEST VARS'!$U$48+'LINEST VARS'!$T$48*(8)+'LINEST VARS'!$S$48*(8)+'LINEST VARS'!$R$48*($BA$8)+'LINEST VARS'!$Q$48*($AZ19)+'LINEST VARS'!$P$48*(12.73)+'LINEST VARS'!$O$48*(8^2)+'LINEST VARS'!$N$48*(8^2)+'LINEST VARS'!$M$48*($BA$8^2)+'LINEST VARS'!$L$48*($AZ19^2)+'LINEST VARS'!$K$48*(12.73^2)+'LINEST VARS'!$J$48*(8*8)+'LINEST VARS'!$I$48*(8*$BA$8)+'LINEST VARS'!$H$48*(8*$AZ19)+'LINEST VARS'!$G$48*(8*12.73)+'LINEST VARS'!$F$48*(8*$BA$8)+'LINEST VARS'!$E$48*(8*$AZ19)+'LINEST VARS'!$D$48*(8*12.73)+'LINEST VARS'!$C$48*($BA$8*$AZ19)+'LINEST VARS'!$B$48*($BA$8*12.73)+'LINEST VARS'!$A$48*($AZ19*12.73)</f>
        <v>369.99999999999983</v>
      </c>
      <c r="BB19" s="46">
        <f>'LINEST VARS'!$U$48+'LINEST VARS'!$T$48*(8)+'LINEST VARS'!$S$48*(8)+'LINEST VARS'!$R$48*($BB$8)+'LINEST VARS'!$Q$48*($AZ19)+'LINEST VARS'!$P$48*(12.73)+'LINEST VARS'!$O$48*(8^2)+'LINEST VARS'!$N$48*(8^2)+'LINEST VARS'!$M$48*($BB$8^2)+'LINEST VARS'!$L$48*($AZ19^2)+'LINEST VARS'!$K$48*(12.73^2)+'LINEST VARS'!$J$48*(8*8)+'LINEST VARS'!$I$48*(8*$BB$8)+'LINEST VARS'!$H$48*(8*$AZ19)+'LINEST VARS'!$G$48*(8*12.73)+'LINEST VARS'!$F$48*(8*$BB$8)+'LINEST VARS'!$E$48*(8*$AZ19)+'LINEST VARS'!$D$48*(8*12.73)+'LINEST VARS'!$C$48*($BB$8*$AZ19)+'LINEST VARS'!$B$48*($BB$8*12.73)+'LINEST VARS'!$A$48*($AZ19*12.73)</f>
        <v>369.99999999999983</v>
      </c>
      <c r="BC19" s="46">
        <f>'LINEST VARS'!$U$48+'LINEST VARS'!$T$48*(8)+'LINEST VARS'!$S$48*(8)+'LINEST VARS'!$R$48*($BC$8)+'LINEST VARS'!$Q$48*($AZ19)+'LINEST VARS'!$P$48*(12.73)+'LINEST VARS'!$O$48*(8^2)+'LINEST VARS'!$N$48*(8^2)+'LINEST VARS'!$M$48*($BC$8^2)+'LINEST VARS'!$L$48*($AZ19^2)+'LINEST VARS'!$K$48*(12.73^2)+'LINEST VARS'!$J$48*(8*8)+'LINEST VARS'!$I$48*(8*$BC$8)+'LINEST VARS'!$H$48*(8*$AZ19)+'LINEST VARS'!$G$48*(8*12.73)+'LINEST VARS'!$F$48*(8*$BC$8)+'LINEST VARS'!$E$48*(8*$AZ19)+'LINEST VARS'!$D$48*(8*12.73)+'LINEST VARS'!$C$48*($BC$8*$AZ19)+'LINEST VARS'!$B$48*($BC$8*12.73)+'LINEST VARS'!$A$48*($AZ19*12.73)</f>
        <v>369.99999999999983</v>
      </c>
      <c r="BD19" s="46">
        <f>'LINEST VARS'!$U$48+'LINEST VARS'!$T$48*(8)+'LINEST VARS'!$S$48*(8)+'LINEST VARS'!$R$48*($BD$8)+'LINEST VARS'!$Q$48*($AZ19)+'LINEST VARS'!$P$48*(12.73)+'LINEST VARS'!$O$48*(8^2)+'LINEST VARS'!$N$48*(8^2)+'LINEST VARS'!$M$48*($BD$8^2)+'LINEST VARS'!$L$48*($AZ19^2)+'LINEST VARS'!$K$48*(12.73^2)+'LINEST VARS'!$J$48*(8*8)+'LINEST VARS'!$I$48*(8*$BD$8)+'LINEST VARS'!$H$48*(8*$AZ19)+'LINEST VARS'!$G$48*(8*12.73)+'LINEST VARS'!$F$48*(8*$BD$8)+'LINEST VARS'!$E$48*(8*$AZ19)+'LINEST VARS'!$D$48*(8*12.73)+'LINEST VARS'!$C$48*($BD$8*$AZ19)+'LINEST VARS'!$B$48*($BD$8*12.73)+'LINEST VARS'!$A$48*($AZ19*12.73)</f>
        <v>369.99999999999983</v>
      </c>
      <c r="BE19" s="46">
        <f>'LINEST VARS'!$U$48+'LINEST VARS'!$T$48*(8)+'LINEST VARS'!$S$48*(8)+'LINEST VARS'!$R$48*($BE$8)+'LINEST VARS'!$Q$48*($AZ19)+'LINEST VARS'!$P$48*(12.73)+'LINEST VARS'!$O$48*(8^2)+'LINEST VARS'!$N$48*(8^2)+'LINEST VARS'!$M$48*($BE$8^2)+'LINEST VARS'!$L$48*($AZ19^2)+'LINEST VARS'!$K$48*(12.73^2)+'LINEST VARS'!$J$48*(8*8)+'LINEST VARS'!$I$48*(8*$BE$8)+'LINEST VARS'!$H$48*(8*$AZ19)+'LINEST VARS'!$G$48*(8*12.73)+'LINEST VARS'!$F$48*(8*$BE$8)+'LINEST VARS'!$E$48*(8*$AZ19)+'LINEST VARS'!$D$48*(8*12.73)+'LINEST VARS'!$C$48*($BE$8*$AZ19)+'LINEST VARS'!$B$48*($BE$8*12.73)+'LINEST VARS'!$A$48*($AZ19*12.73)</f>
        <v>369.99999999999983</v>
      </c>
      <c r="BF19" s="46">
        <f>'LINEST VARS'!$U$48+'LINEST VARS'!$T$48*(8)+'LINEST VARS'!$S$48*(8)+'LINEST VARS'!$R$48*($BF$8)+'LINEST VARS'!$Q$48*($AZ19)+'LINEST VARS'!$P$48*(12.73)+'LINEST VARS'!$O$48*(8^2)+'LINEST VARS'!$N$48*(8^2)+'LINEST VARS'!$M$48*($BF$8^2)+'LINEST VARS'!$L$48*($AZ19^2)+'LINEST VARS'!$K$48*(12.73^2)+'LINEST VARS'!$J$48*(8*8)+'LINEST VARS'!$I$48*(8*$BF$8)+'LINEST VARS'!$H$48*(8*$AZ19)+'LINEST VARS'!$G$48*(8*12.73)+'LINEST VARS'!$F$48*(8*$BF$8)+'LINEST VARS'!$E$48*(8*$AZ19)+'LINEST VARS'!$D$48*(8*12.73)+'LINEST VARS'!$C$48*($BF$8*$AZ19)+'LINEST VARS'!$B$48*($BF$8*12.73)+'LINEST VARS'!$A$48*($AZ19*12.73)</f>
        <v>369.99999999999983</v>
      </c>
      <c r="BG19" s="46">
        <f>'LINEST VARS'!$U$48+'LINEST VARS'!$T$48*(8)+'LINEST VARS'!$S$48*(8)+'LINEST VARS'!$R$48*($BG$8)+'LINEST VARS'!$Q$48*($AZ19)+'LINEST VARS'!$P$48*(12.73)+'LINEST VARS'!$O$48*(8^2)+'LINEST VARS'!$N$48*(8^2)+'LINEST VARS'!$M$48*($BG$8^2)+'LINEST VARS'!$L$48*($AZ19^2)+'LINEST VARS'!$K$48*(12.73^2)+'LINEST VARS'!$J$48*(8*8)+'LINEST VARS'!$I$48*(8*$BG$8)+'LINEST VARS'!$H$48*(8*$AZ19)+'LINEST VARS'!$G$48*(8*12.73)+'LINEST VARS'!$F$48*(8*$BG$8)+'LINEST VARS'!$E$48*(8*$AZ19)+'LINEST VARS'!$D$48*(8*12.73)+'LINEST VARS'!$C$48*($BG$8*$AZ19)+'LINEST VARS'!$B$48*($BG$8*12.73)+'LINEST VARS'!$A$48*($AZ19*12.73)</f>
        <v>369.99999999999983</v>
      </c>
      <c r="BH19" s="46">
        <f>'LINEST VARS'!$U$48+'LINEST VARS'!$T$48*(8)+'LINEST VARS'!$S$48*(8)+'LINEST VARS'!$R$48*($BH$8)+'LINEST VARS'!$Q$48*($AZ19)+'LINEST VARS'!$P$48*(12.73)+'LINEST VARS'!$O$48*(8^2)+'LINEST VARS'!$N$48*(8^2)+'LINEST VARS'!$M$48*($BH$8^2)+'LINEST VARS'!$L$48*($AZ19^2)+'LINEST VARS'!$K$48*(12.73^2)+'LINEST VARS'!$J$48*(8*8)+'LINEST VARS'!$I$48*(8*$BH$8)+'LINEST VARS'!$H$48*(8*$AZ19)+'LINEST VARS'!$G$48*(8*12.73)+'LINEST VARS'!$F$48*(8*$BH$8)+'LINEST VARS'!$E$48*(8*$AZ19)+'LINEST VARS'!$D$48*(8*12.73)+'LINEST VARS'!$C$48*($BH$8*$AZ19)+'LINEST VARS'!$B$48*($BH$8*12.73)+'LINEST VARS'!$A$48*($AZ19*12.73)</f>
        <v>369.99999999999983</v>
      </c>
      <c r="BI19" s="46">
        <f>'LINEST VARS'!$U$48+'LINEST VARS'!$T$48*(8)+'LINEST VARS'!$S$48*(8)+'LINEST VARS'!$R$48*($BI$8)+'LINEST VARS'!$Q$48*($AZ19)+'LINEST VARS'!$P$48*(12.73)+'LINEST VARS'!$O$48*(8^2)+'LINEST VARS'!$N$48*(8^2)+'LINEST VARS'!$M$48*($BI$8^2)+'LINEST VARS'!$L$48*($AZ19^2)+'LINEST VARS'!$K$48*(12.73^2)+'LINEST VARS'!$J$48*(8*8)+'LINEST VARS'!$I$48*(8*$BI$8)+'LINEST VARS'!$H$48*(8*$AZ19)+'LINEST VARS'!$G$48*(8*12.73)+'LINEST VARS'!$F$48*(8*$BI$8)+'LINEST VARS'!$E$48*(8*$AZ19)+'LINEST VARS'!$D$48*(8*12.73)+'LINEST VARS'!$C$48*($BI$8*$AZ19)+'LINEST VARS'!$B$48*($BI$8*12.73)+'LINEST VARS'!$A$48*($AZ19*12.73)</f>
        <v>369.99999999999983</v>
      </c>
      <c r="BJ19" s="46">
        <f>'LINEST VARS'!$U$48+'LINEST VARS'!$T$48*(8)+'LINEST VARS'!$S$48*(8)+'LINEST VARS'!$R$48*($BJ$8)+'LINEST VARS'!$Q$48*($AZ19)+'LINEST VARS'!$P$48*(12.73)+'LINEST VARS'!$O$48*(8^2)+'LINEST VARS'!$N$48*(8^2)+'LINEST VARS'!$M$48*($BJ$8^2)+'LINEST VARS'!$L$48*($AZ19^2)+'LINEST VARS'!$K$48*(12.73^2)+'LINEST VARS'!$J$48*(8*8)+'LINEST VARS'!$I$48*(8*$BJ$8)+'LINEST VARS'!$H$48*(8*$AZ19)+'LINEST VARS'!$G$48*(8*12.73)+'LINEST VARS'!$F$48*(8*$BJ$8)+'LINEST VARS'!$E$48*(8*$AZ19)+'LINEST VARS'!$D$48*(8*12.73)+'LINEST VARS'!$C$48*($BJ$8*$AZ19)+'LINEST VARS'!$B$48*($BJ$8*12.73)+'LINEST VARS'!$A$48*($AZ19*12.73)</f>
        <v>369.99999999999983</v>
      </c>
      <c r="BK19" s="46">
        <f>'LINEST VARS'!$U$48+'LINEST VARS'!$T$48*(8)+'LINEST VARS'!$S$48*(8)+'LINEST VARS'!$R$48*($BK$8)+'LINEST VARS'!$Q$48*($AZ19)+'LINEST VARS'!$P$48*(12.73)+'LINEST VARS'!$O$48*(8^2)+'LINEST VARS'!$N$48*(8^2)+'LINEST VARS'!$M$48*($BK$8^2)+'LINEST VARS'!$L$48*($AZ19^2)+'LINEST VARS'!$K$48*(12.73^2)+'LINEST VARS'!$J$48*(8*8)+'LINEST VARS'!$I$48*(8*$BK$8)+'LINEST VARS'!$H$48*(8*$AZ19)+'LINEST VARS'!$G$48*(8*12.73)+'LINEST VARS'!$F$48*(8*$BK$8)+'LINEST VARS'!$E$48*(8*$AZ19)+'LINEST VARS'!$D$48*(8*12.73)+'LINEST VARS'!$C$48*($BK$8*$AZ19)+'LINEST VARS'!$B$48*($BK$8*12.73)+'LINEST VARS'!$A$48*($AZ19*12.73)</f>
        <v>369.99999999999983</v>
      </c>
      <c r="BL19" s="46">
        <f>'LINEST VARS'!$U$48+'LINEST VARS'!$T$48*(8)+'LINEST VARS'!$S$48*(8)+'LINEST VARS'!$R$48*($BL$8)+'LINEST VARS'!$Q$48*($AZ19)+'LINEST VARS'!$P$48*(12.73)+'LINEST VARS'!$O$48*(8^2)+'LINEST VARS'!$N$48*(8^2)+'LINEST VARS'!$M$48*($BL$8^2)+'LINEST VARS'!$L$48*($AZ19^2)+'LINEST VARS'!$K$48*(12.73^2)+'LINEST VARS'!$J$48*(8*8)+'LINEST VARS'!$I$48*(8*$BL$8)+'LINEST VARS'!$H$48*(8*$AZ19)+'LINEST VARS'!$G$48*(8*12.73)+'LINEST VARS'!$F$48*(8*$BL$8)+'LINEST VARS'!$E$48*(8*$AZ19)+'LINEST VARS'!$D$48*(8*12.73)+'LINEST VARS'!$C$48*($BL$8*$AZ19)+'LINEST VARS'!$B$48*($BL$8*12.73)+'LINEST VARS'!$A$48*($AZ19*12.73)</f>
        <v>369.99999999999983</v>
      </c>
      <c r="BM19" s="46">
        <f>'LINEST VARS'!$U$48+'LINEST VARS'!$T$48*(8)+'LINEST VARS'!$S$48*(8)+'LINEST VARS'!$R$48*($BM$8)+'LINEST VARS'!$Q$48*($AZ19)+'LINEST VARS'!$P$48*(12.73)+'LINEST VARS'!$O$48*(8^2)+'LINEST VARS'!$N$48*(8^2)+'LINEST VARS'!$M$48*($BM$8^2)+'LINEST VARS'!$L$48*($AZ19^2)+'LINEST VARS'!$K$48*(12.73^2)+'LINEST VARS'!$J$48*(8*8)+'LINEST VARS'!$I$48*(8*$BM$8)+'LINEST VARS'!$H$48*(8*$AZ19)+'LINEST VARS'!$G$48*(8*12.73)+'LINEST VARS'!$F$48*(8*$BM$8)+'LINEST VARS'!$E$48*(8*$AZ19)+'LINEST VARS'!$D$48*(8*12.73)+'LINEST VARS'!$C$48*($BM$8*$AZ19)+'LINEST VARS'!$B$48*($BM$8*12.73)+'LINEST VARS'!$A$48*($AZ19*12.73)</f>
        <v>369.99999999999983</v>
      </c>
      <c r="BN19" s="46">
        <f>'LINEST VARS'!$U$48+'LINEST VARS'!$T$48*(8)+'LINEST VARS'!$S$48*(8)+'LINEST VARS'!$R$48*($BN$8)+'LINEST VARS'!$Q$48*($AZ19)+'LINEST VARS'!$P$48*(12.73)+'LINEST VARS'!$O$48*(8^2)+'LINEST VARS'!$N$48*(8^2)+'LINEST VARS'!$M$48*($BN$8^2)+'LINEST VARS'!$L$48*($AZ19^2)+'LINEST VARS'!$K$48*(12.73^2)+'LINEST VARS'!$J$48*(8*8)+'LINEST VARS'!$I$48*(8*$BN$8)+'LINEST VARS'!$H$48*(8*$AZ19)+'LINEST VARS'!$G$48*(8*12.73)+'LINEST VARS'!$F$48*(8*$BN$8)+'LINEST VARS'!$E$48*(8*$AZ19)+'LINEST VARS'!$D$48*(8*12.73)+'LINEST VARS'!$C$48*($BN$8*$AZ19)+'LINEST VARS'!$B$48*($BN$8*12.73)+'LINEST VARS'!$A$48*($AZ19*12.73)</f>
        <v>369.99999999999989</v>
      </c>
      <c r="BO19" s="46">
        <f>'LINEST VARS'!$U$48+'LINEST VARS'!$T$48*(8)+'LINEST VARS'!$S$48*(8)+'LINEST VARS'!$R$48*($BO$8)+'LINEST VARS'!$Q$48*($AZ19)+'LINEST VARS'!$P$48*(12.73)+'LINEST VARS'!$O$48*(8^2)+'LINEST VARS'!$N$48*(8^2)+'LINEST VARS'!$M$48*($BO$8^2)+'LINEST VARS'!$L$48*($AZ19^2)+'LINEST VARS'!$K$48*(12.73^2)+'LINEST VARS'!$J$48*(8*8)+'LINEST VARS'!$I$48*(8*$BO$8)+'LINEST VARS'!$H$48*(8*$AZ19)+'LINEST VARS'!$G$48*(8*12.73)+'LINEST VARS'!$F$48*(8*$BO$8)+'LINEST VARS'!$E$48*(8*$AZ19)+'LINEST VARS'!$D$48*(8*12.73)+'LINEST VARS'!$C$48*($BO$8*$AZ19)+'LINEST VARS'!$B$48*($BO$8*12.73)+'LINEST VARS'!$A$48*($AZ19*12.73)</f>
        <v>369.99999999999989</v>
      </c>
      <c r="BP19" s="46">
        <f>'LINEST VARS'!$U$48+'LINEST VARS'!$T$48*(8)+'LINEST VARS'!$S$48*(8)+'LINEST VARS'!$R$48*($BP$8)+'LINEST VARS'!$Q$48*($AZ19)+'LINEST VARS'!$P$48*(12.73)+'LINEST VARS'!$O$48*(8^2)+'LINEST VARS'!$N$48*(8^2)+'LINEST VARS'!$M$48*($BP$8^2)+'LINEST VARS'!$L$48*($AZ19^2)+'LINEST VARS'!$K$48*(12.73^2)+'LINEST VARS'!$J$48*(8*8)+'LINEST VARS'!$I$48*(8*$BP$8)+'LINEST VARS'!$H$48*(8*$AZ19)+'LINEST VARS'!$G$48*(8*12.73)+'LINEST VARS'!$F$48*(8*$BP$8)+'LINEST VARS'!$E$48*(8*$AZ19)+'LINEST VARS'!$D$48*(8*12.73)+'LINEST VARS'!$C$48*($BP$8*$AZ19)+'LINEST VARS'!$B$48*($BP$8*12.73)+'LINEST VARS'!$A$48*($AZ19*12.73)</f>
        <v>369.99999999999989</v>
      </c>
      <c r="BQ19" s="46">
        <f>'LINEST VARS'!$U$48+'LINEST VARS'!$T$48*(8)+'LINEST VARS'!$S$48*(8)+'LINEST VARS'!$R$48*($BQ$8)+'LINEST VARS'!$Q$48*($AZ19)+'LINEST VARS'!$P$48*(12.73)+'LINEST VARS'!$O$48*(8^2)+'LINEST VARS'!$N$48*(8^2)+'LINEST VARS'!$M$48*($BQ$8^2)+'LINEST VARS'!$L$48*($AZ19^2)+'LINEST VARS'!$K$48*(12.73^2)+'LINEST VARS'!$J$48*(8*8)+'LINEST VARS'!$I$48*(8*$BQ$8)+'LINEST VARS'!$H$48*(8*$AZ19)+'LINEST VARS'!$G$48*(8*12.73)+'LINEST VARS'!$F$48*(8*$BQ$8)+'LINEST VARS'!$E$48*(8*$AZ19)+'LINEST VARS'!$D$48*(8*12.73)+'LINEST VARS'!$C$48*($BQ$8*$AZ19)+'LINEST VARS'!$B$48*($BQ$8*12.73)+'LINEST VARS'!$A$48*($AZ19*12.73)</f>
        <v>369.99999999999983</v>
      </c>
      <c r="BR19" s="46">
        <f>'LINEST VARS'!$U$48+'LINEST VARS'!$T$48*(8)+'LINEST VARS'!$S$48*(8)+'LINEST VARS'!$R$48*($BR$8)+'LINEST VARS'!$Q$48*($AZ19)+'LINEST VARS'!$P$48*(12.73)+'LINEST VARS'!$O$48*(8^2)+'LINEST VARS'!$N$48*(8^2)+'LINEST VARS'!$M$48*($BR$8^2)+'LINEST VARS'!$L$48*($AZ19^2)+'LINEST VARS'!$K$48*(12.73^2)+'LINEST VARS'!$J$48*(8*8)+'LINEST VARS'!$I$48*(8*$BR$8)+'LINEST VARS'!$H$48*(8*$AZ19)+'LINEST VARS'!$G$48*(8*12.73)+'LINEST VARS'!$F$48*(8*$BR$8)+'LINEST VARS'!$E$48*(8*$AZ19)+'LINEST VARS'!$D$48*(8*12.73)+'LINEST VARS'!$C$48*($BR$8*$AZ19)+'LINEST VARS'!$B$48*($BR$8*12.73)+'LINEST VARS'!$A$48*($AZ19*12.73)</f>
        <v>369.99999999999983</v>
      </c>
      <c r="BS19" s="46">
        <f>'LINEST VARS'!$U$48+'LINEST VARS'!$T$48*(8)+'LINEST VARS'!$S$48*(8)+'LINEST VARS'!$R$48*($BS$8)+'LINEST VARS'!$Q$48*($AZ19)+'LINEST VARS'!$P$48*(12.73)+'LINEST VARS'!$O$48*(8^2)+'LINEST VARS'!$N$48*(8^2)+'LINEST VARS'!$M$48*($BS$8^2)+'LINEST VARS'!$L$48*($AZ19^2)+'LINEST VARS'!$K$48*(12.73^2)+'LINEST VARS'!$J$48*(8*8)+'LINEST VARS'!$I$48*(8*$BS$8)+'LINEST VARS'!$H$48*(8*$AZ19)+'LINEST VARS'!$G$48*(8*12.73)+'LINEST VARS'!$F$48*(8*$BS$8)+'LINEST VARS'!$E$48*(8*$AZ19)+'LINEST VARS'!$D$48*(8*12.73)+'LINEST VARS'!$C$48*($BS$8*$AZ19)+'LINEST VARS'!$B$48*($BS$8*12.73)+'LINEST VARS'!$A$48*($AZ19*12.73)</f>
        <v>369.99999999999983</v>
      </c>
      <c r="BT19" s="46">
        <f>'LINEST VARS'!$U$48+'LINEST VARS'!$T$48*(8)+'LINEST VARS'!$S$48*(8)+'LINEST VARS'!$R$48*($BT$8)+'LINEST VARS'!$Q$48*($AZ19)+'LINEST VARS'!$P$48*(12.73)+'LINEST VARS'!$O$48*(8^2)+'LINEST VARS'!$N$48*(8^2)+'LINEST VARS'!$M$48*($BT$8^2)+'LINEST VARS'!$L$48*($AZ19^2)+'LINEST VARS'!$K$48*(12.73^2)+'LINEST VARS'!$J$48*(8*8)+'LINEST VARS'!$I$48*(8*$BT$8)+'LINEST VARS'!$H$48*(8*$AZ19)+'LINEST VARS'!$G$48*(8*12.73)+'LINEST VARS'!$F$48*(8*$BT$8)+'LINEST VARS'!$E$48*(8*$AZ19)+'LINEST VARS'!$D$48*(8*12.73)+'LINEST VARS'!$C$48*($BT$8*$AZ19)+'LINEST VARS'!$B$48*($BT$8*12.73)+'LINEST VARS'!$A$48*($AZ19*12.73)</f>
        <v>369.99999999999983</v>
      </c>
      <c r="BU19" s="47">
        <f>'LINEST VARS'!$U$48+'LINEST VARS'!$T$48*(8)+'LINEST VARS'!$S$48*(8)+'LINEST VARS'!$R$48*($BU$8)+'LINEST VARS'!$Q$48*($AZ19)+'LINEST VARS'!$P$48*(12.73)+'LINEST VARS'!$O$48*(8^2)+'LINEST VARS'!$N$48*(8^2)+'LINEST VARS'!$M$48*($BU$8^2)+'LINEST VARS'!$L$48*($AZ19^2)+'LINEST VARS'!$K$48*(12.73^2)+'LINEST VARS'!$J$48*(8*8)+'LINEST VARS'!$I$48*(8*$BU$8)+'LINEST VARS'!$H$48*(8*$AZ19)+'LINEST VARS'!$G$48*(8*12.73)+'LINEST VARS'!$F$48*(8*$BU$8)+'LINEST VARS'!$E$48*(8*$AZ19)+'LINEST VARS'!$D$48*(8*12.73)+'LINEST VARS'!$C$48*($BU$8*$AZ19)+'LINEST VARS'!$B$48*($BU$8*12.73)+'LINEST VARS'!$A$48*($AZ19*12.73)</f>
        <v>369.99999999999983</v>
      </c>
      <c r="BX19" s="45">
        <v>0.5</v>
      </c>
      <c r="BY19" s="46">
        <f>'LINEST VARS'!$U$50+'LINEST VARS'!$T$50*(8)+'LINEST VARS'!$S$50*(8)+'LINEST VARS'!$R$50*($BY$8)+'LINEST VARS'!$Q$50*($BX19)+'LINEST VARS'!$P$50*(12.73)+'LINEST VARS'!$O$50*(8^2)+'LINEST VARS'!$N$50*(8^2)+'LINEST VARS'!$M$50*($BY$8^2)+'LINEST VARS'!$L$50*($BX19^2)+'LINEST VARS'!$K$50*(12.73^2)+'LINEST VARS'!$J$50*(8*8)+'LINEST VARS'!$I$50*(8*$BY$8)+'LINEST VARS'!$H$50*(8*$BX19)+'LINEST VARS'!$G$50*(8*12.73)+'LINEST VARS'!$F$50*(8*$BY$8)+'LINEST VARS'!$E$50*(8*$BX19)+'LINEST VARS'!$D$50*(8*12.73)+'LINEST VARS'!$C$50*($BY$8*$BX19)+'LINEST VARS'!$B$50*($BY$8*12.73)+'LINEST VARS'!$A$50*($BX19*12.73)</f>
        <v>331.99999999999989</v>
      </c>
      <c r="BZ19" s="46">
        <f>'LINEST VARS'!$U$50+'LINEST VARS'!$T$50*(8)+'LINEST VARS'!$S$50*(8)+'LINEST VARS'!$R$50*($BZ$8)+'LINEST VARS'!$Q$50*($BX19)+'LINEST VARS'!$P$50*(12.73)+'LINEST VARS'!$O$50*(8^2)+'LINEST VARS'!$N$50*(8^2)+'LINEST VARS'!$M$50*($BZ$8^2)+'LINEST VARS'!$L$50*($BX19^2)+'LINEST VARS'!$K$50*(12.73^2)+'LINEST VARS'!$J$50*(8*8)+'LINEST VARS'!$I$50*(8*$BZ$8)+'LINEST VARS'!$H$50*(8*$BX19)+'LINEST VARS'!$G$50*(8*12.73)+'LINEST VARS'!$F$50*(8*$BZ$8)+'LINEST VARS'!$E$50*(8*$BX19)+'LINEST VARS'!$D$50*(8*12.73)+'LINEST VARS'!$C$50*($BZ$8*$BX19)+'LINEST VARS'!$B$50*($BZ$8*12.73)+'LINEST VARS'!$A$50*($BX19*12.73)</f>
        <v>331.99999999999989</v>
      </c>
      <c r="CA19" s="46">
        <f>'LINEST VARS'!$U$50+'LINEST VARS'!$T$50*(8)+'LINEST VARS'!$S$50*(8)+'LINEST VARS'!$R$50*($CA$8)+'LINEST VARS'!$Q$50*($BX19)+'LINEST VARS'!$P$50*(12.73)+'LINEST VARS'!$O$50*(8^2)+'LINEST VARS'!$N$50*(8^2)+'LINEST VARS'!$M$50*($CA$8^2)+'LINEST VARS'!$L$50*($BX19^2)+'LINEST VARS'!$K$50*(12.73^2)+'LINEST VARS'!$J$50*(8*8)+'LINEST VARS'!$I$50*(8*$CA$8)+'LINEST VARS'!$H$50*(8*$BX19)+'LINEST VARS'!$G$50*(8*12.73)+'LINEST VARS'!$F$50*(8*$CA$8)+'LINEST VARS'!$E$50*(8*$BX19)+'LINEST VARS'!$D$50*(8*12.73)+'LINEST VARS'!$C$50*($CA$8*$BX19)+'LINEST VARS'!$B$50*($CA$8*12.73)+'LINEST VARS'!$A$50*($BX19*12.73)</f>
        <v>331.99999999999989</v>
      </c>
      <c r="CB19" s="46">
        <f>'LINEST VARS'!$U$50+'LINEST VARS'!$T$50*(8)+'LINEST VARS'!$S$50*(8)+'LINEST VARS'!$R$50*($CB$8)+'LINEST VARS'!$Q$50*($BX19)+'LINEST VARS'!$P$50*(12.73)+'LINEST VARS'!$O$50*(8^2)+'LINEST VARS'!$N$50*(8^2)+'LINEST VARS'!$M$50*($CB$8^2)+'LINEST VARS'!$L$50*($BX19^2)+'LINEST VARS'!$K$50*(12.73^2)+'LINEST VARS'!$J$50*(8*8)+'LINEST VARS'!$I$50*(8*$CB$8)+'LINEST VARS'!$H$50*(8*$BX19)+'LINEST VARS'!$G$50*(8*12.73)+'LINEST VARS'!$F$50*(8*$CB$8)+'LINEST VARS'!$E$50*(8*$BX19)+'LINEST VARS'!$D$50*(8*12.73)+'LINEST VARS'!$C$50*($CB$8*$BX19)+'LINEST VARS'!$B$50*($CB$8*12.73)+'LINEST VARS'!$A$50*($BX19*12.73)</f>
        <v>331.99999999999989</v>
      </c>
      <c r="CC19" s="46">
        <f>'LINEST VARS'!$U$50+'LINEST VARS'!$T$50*(8)+'LINEST VARS'!$S$50*(8)+'LINEST VARS'!$R$50*($CC$8)+'LINEST VARS'!$Q$50*($BX19)+'LINEST VARS'!$P$50*(12.73)+'LINEST VARS'!$O$50*(8^2)+'LINEST VARS'!$N$50*(8^2)+'LINEST VARS'!$M$50*($CC$8^2)+'LINEST VARS'!$L$50*($BX19^2)+'LINEST VARS'!$K$50*(12.73^2)+'LINEST VARS'!$J$50*(8*8)+'LINEST VARS'!$I$50*(8*$CC$8)+'LINEST VARS'!$H$50*(8*$BX19)+'LINEST VARS'!$G$50*(8*12.73)+'LINEST VARS'!$F$50*(8*$CC$8)+'LINEST VARS'!$E$50*(8*$BX19)+'LINEST VARS'!$D$50*(8*12.73)+'LINEST VARS'!$C$50*($CC$8*$BX19)+'LINEST VARS'!$B$50*($CC$8*12.73)+'LINEST VARS'!$A$50*($BX19*12.73)</f>
        <v>331.99999999999989</v>
      </c>
      <c r="CD19" s="46">
        <f>'LINEST VARS'!$U$50+'LINEST VARS'!$T$50*(8)+'LINEST VARS'!$S$50*(8)+'LINEST VARS'!$R$50*($CD$8)+'LINEST VARS'!$Q$50*($BX19)+'LINEST VARS'!$P$50*(12.73)+'LINEST VARS'!$O$50*(8^2)+'LINEST VARS'!$N$50*(8^2)+'LINEST VARS'!$M$50*($CD$8^2)+'LINEST VARS'!$L$50*($BX19^2)+'LINEST VARS'!$K$50*(12.73^2)+'LINEST VARS'!$J$50*(8*8)+'LINEST VARS'!$I$50*(8*$CD$8)+'LINEST VARS'!$H$50*(8*$BX19)+'LINEST VARS'!$G$50*(8*12.73)+'LINEST VARS'!$F$50*(8*$CD$8)+'LINEST VARS'!$E$50*(8*$BX19)+'LINEST VARS'!$D$50*(8*12.73)+'LINEST VARS'!$C$50*($CD$8*$BX19)+'LINEST VARS'!$B$50*($CD$8*12.73)+'LINEST VARS'!$A$50*($BX19*12.73)</f>
        <v>331.99999999999989</v>
      </c>
      <c r="CE19" s="46">
        <f>'LINEST VARS'!$U$50+'LINEST VARS'!$T$50*(8)+'LINEST VARS'!$S$50*(8)+'LINEST VARS'!$R$50*($CE$8)+'LINEST VARS'!$Q$50*($BX19)+'LINEST VARS'!$P$50*(12.73)+'LINEST VARS'!$O$50*(8^2)+'LINEST VARS'!$N$50*(8^2)+'LINEST VARS'!$M$50*($CE$8^2)+'LINEST VARS'!$L$50*($BX19^2)+'LINEST VARS'!$K$50*(12.73^2)+'LINEST VARS'!$J$50*(8*8)+'LINEST VARS'!$I$50*(8*$CE$8)+'LINEST VARS'!$H$50*(8*$BX19)+'LINEST VARS'!$G$50*(8*12.73)+'LINEST VARS'!$F$50*(8*$CE$8)+'LINEST VARS'!$E$50*(8*$BX19)+'LINEST VARS'!$D$50*(8*12.73)+'LINEST VARS'!$C$50*($CE$8*$BX19)+'LINEST VARS'!$B$50*($CE$8*12.73)+'LINEST VARS'!$A$50*($BX19*12.73)</f>
        <v>331.99999999999989</v>
      </c>
      <c r="CF19" s="46">
        <f>'LINEST VARS'!$U$50+'LINEST VARS'!$T$50*(8)+'LINEST VARS'!$S$50*(8)+'LINEST VARS'!$R$50*($CF$8)+'LINEST VARS'!$Q$50*($BX19)+'LINEST VARS'!$P$50*(12.73)+'LINEST VARS'!$O$50*(8^2)+'LINEST VARS'!$N$50*(8^2)+'LINEST VARS'!$M$50*($CF$8^2)+'LINEST VARS'!$L$50*($BX19^2)+'LINEST VARS'!$K$50*(12.73^2)+'LINEST VARS'!$J$50*(8*8)+'LINEST VARS'!$I$50*(8*$CF$8)+'LINEST VARS'!$H$50*(8*$BX19)+'LINEST VARS'!$G$50*(8*12.73)+'LINEST VARS'!$F$50*(8*$CF$8)+'LINEST VARS'!$E$50*(8*$BX19)+'LINEST VARS'!$D$50*(8*12.73)+'LINEST VARS'!$C$50*($CF$8*$BX19)+'LINEST VARS'!$B$50*($CF$8*12.73)+'LINEST VARS'!$A$50*($BX19*12.73)</f>
        <v>331.99999999999989</v>
      </c>
      <c r="CG19" s="46">
        <f>'LINEST VARS'!$U$50+'LINEST VARS'!$T$50*(8)+'LINEST VARS'!$S$50*(8)+'LINEST VARS'!$R$50*($CG$8)+'LINEST VARS'!$Q$50*($BX19)+'LINEST VARS'!$P$50*(12.73)+'LINEST VARS'!$O$50*(8^2)+'LINEST VARS'!$N$50*(8^2)+'LINEST VARS'!$M$50*($CG$8^2)+'LINEST VARS'!$L$50*($BX19^2)+'LINEST VARS'!$K$50*(12.73^2)+'LINEST VARS'!$J$50*(8*8)+'LINEST VARS'!$I$50*(8*$CG$8)+'LINEST VARS'!$H$50*(8*$BX19)+'LINEST VARS'!$G$50*(8*12.73)+'LINEST VARS'!$F$50*(8*$CG$8)+'LINEST VARS'!$E$50*(8*$BX19)+'LINEST VARS'!$D$50*(8*12.73)+'LINEST VARS'!$C$50*($CG$8*$BX19)+'LINEST VARS'!$B$50*($CG$8*12.73)+'LINEST VARS'!$A$50*($BX19*12.73)</f>
        <v>331.99999999999989</v>
      </c>
      <c r="CH19" s="46">
        <f>'LINEST VARS'!$U$50+'LINEST VARS'!$T$50*(8)+'LINEST VARS'!$S$50*(8)+'LINEST VARS'!$R$50*($CH$8)+'LINEST VARS'!$Q$50*($BX19)+'LINEST VARS'!$P$50*(12.73)+'LINEST VARS'!$O$50*(8^2)+'LINEST VARS'!$N$50*(8^2)+'LINEST VARS'!$M$50*($CH$8^2)+'LINEST VARS'!$L$50*($BX19^2)+'LINEST VARS'!$K$50*(12.73^2)+'LINEST VARS'!$J$50*(8*8)+'LINEST VARS'!$I$50*(8*$CH$8)+'LINEST VARS'!$H$50*(8*$BX19)+'LINEST VARS'!$G$50*(8*12.73)+'LINEST VARS'!$F$50*(8*$CH$8)+'LINEST VARS'!$E$50*(8*$BX19)+'LINEST VARS'!$D$50*(8*12.73)+'LINEST VARS'!$C$50*($CH$8*$BX19)+'LINEST VARS'!$B$50*($CH$8*12.73)+'LINEST VARS'!$A$50*($BX19*12.73)</f>
        <v>331.99999999999989</v>
      </c>
      <c r="CI19" s="46">
        <f>'LINEST VARS'!$U$50+'LINEST VARS'!$T$50*(8)+'LINEST VARS'!$S$50*(8)+'LINEST VARS'!$R$50*($CI$8)+'LINEST VARS'!$Q$50*($BX19)+'LINEST VARS'!$P$50*(12.73)+'LINEST VARS'!$O$50*(8^2)+'LINEST VARS'!$N$50*(8^2)+'LINEST VARS'!$M$50*($CI$8^2)+'LINEST VARS'!$L$50*($BX19^2)+'LINEST VARS'!$K$50*(12.73^2)+'LINEST VARS'!$J$50*(8*8)+'LINEST VARS'!$I$50*(8*$CI$8)+'LINEST VARS'!$H$50*(8*$BX19)+'LINEST VARS'!$G$50*(8*12.73)+'LINEST VARS'!$F$50*(8*$CI$8)+'LINEST VARS'!$E$50*(8*$BX19)+'LINEST VARS'!$D$50*(8*12.73)+'LINEST VARS'!$C$50*($CI$8*$BX19)+'LINEST VARS'!$B$50*($CI$8*12.73)+'LINEST VARS'!$A$50*($BX19*12.73)</f>
        <v>331.99999999999989</v>
      </c>
      <c r="CJ19" s="46">
        <f>'LINEST VARS'!$U$50+'LINEST VARS'!$T$50*(8)+'LINEST VARS'!$S$50*(8)+'LINEST VARS'!$R$50*($CJ$8)+'LINEST VARS'!$Q$50*($BX19)+'LINEST VARS'!$P$50*(12.73)+'LINEST VARS'!$O$50*(8^2)+'LINEST VARS'!$N$50*(8^2)+'LINEST VARS'!$M$50*($CJ$8^2)+'LINEST VARS'!$L$50*($BX19^2)+'LINEST VARS'!$K$50*(12.73^2)+'LINEST VARS'!$J$50*(8*8)+'LINEST VARS'!$I$50*(8*$CJ$8)+'LINEST VARS'!$H$50*(8*$BX19)+'LINEST VARS'!$G$50*(8*12.73)+'LINEST VARS'!$F$50*(8*$CJ$8)+'LINEST VARS'!$E$50*(8*$BX19)+'LINEST VARS'!$D$50*(8*12.73)+'LINEST VARS'!$C$50*($CJ$8*$BX19)+'LINEST VARS'!$B$50*($CJ$8*12.73)+'LINEST VARS'!$A$50*($BX19*12.73)</f>
        <v>331.99999999999989</v>
      </c>
      <c r="CK19" s="46">
        <f>'LINEST VARS'!$U$50+'LINEST VARS'!$T$50*(8)+'LINEST VARS'!$S$50*(8)+'LINEST VARS'!$R$50*($CK$8)+'LINEST VARS'!$Q$50*($BX19)+'LINEST VARS'!$P$50*(12.73)+'LINEST VARS'!$O$50*(8^2)+'LINEST VARS'!$N$50*(8^2)+'LINEST VARS'!$M$50*($CK$8^2)+'LINEST VARS'!$L$50*($BX19^2)+'LINEST VARS'!$K$50*(12.73^2)+'LINEST VARS'!$J$50*(8*8)+'LINEST VARS'!$I$50*(8*$CK$8)+'LINEST VARS'!$H$50*(8*$BX19)+'LINEST VARS'!$G$50*(8*12.73)+'LINEST VARS'!$F$50*(8*$CK$8)+'LINEST VARS'!$E$50*(8*$BX19)+'LINEST VARS'!$D$50*(8*12.73)+'LINEST VARS'!$C$50*($CK$8*$BX19)+'LINEST VARS'!$B$50*($CK$8*12.73)+'LINEST VARS'!$A$50*($BX19*12.73)</f>
        <v>331.99999999999989</v>
      </c>
      <c r="CL19" s="46">
        <f>'LINEST VARS'!$U$50+'LINEST VARS'!$T$50*(8)+'LINEST VARS'!$S$50*(8)+'LINEST VARS'!$R$50*($CL$8)+'LINEST VARS'!$Q$50*($BX19)+'LINEST VARS'!$P$50*(12.73)+'LINEST VARS'!$O$50*(8^2)+'LINEST VARS'!$N$50*(8^2)+'LINEST VARS'!$M$50*($CL$8^2)+'LINEST VARS'!$L$50*($BX19^2)+'LINEST VARS'!$K$50*(12.73^2)+'LINEST VARS'!$J$50*(8*8)+'LINEST VARS'!$I$50*(8*$CL$8)+'LINEST VARS'!$H$50*(8*$BX19)+'LINEST VARS'!$G$50*(8*12.73)+'LINEST VARS'!$F$50*(8*$CL$8)+'LINEST VARS'!$E$50*(8*$BX19)+'LINEST VARS'!$D$50*(8*12.73)+'LINEST VARS'!$C$50*($CL$8*$BX19)+'LINEST VARS'!$B$50*($CL$8*12.73)+'LINEST VARS'!$A$50*($BX19*12.73)</f>
        <v>331.99999999999989</v>
      </c>
      <c r="CM19" s="46">
        <f>'LINEST VARS'!$U$50+'LINEST VARS'!$T$50*(8)+'LINEST VARS'!$S$50*(8)+'LINEST VARS'!$R$50*($CM$8)+'LINEST VARS'!$Q$50*($BX19)+'LINEST VARS'!$P$50*(12.73)+'LINEST VARS'!$O$50*(8^2)+'LINEST VARS'!$N$50*(8^2)+'LINEST VARS'!$M$50*($CM$8^2)+'LINEST VARS'!$L$50*($BX19^2)+'LINEST VARS'!$K$50*(12.73^2)+'LINEST VARS'!$J$50*(8*8)+'LINEST VARS'!$I$50*(8*$CM$8)+'LINEST VARS'!$H$50*(8*$BX19)+'LINEST VARS'!$G$50*(8*12.73)+'LINEST VARS'!$F$50*(8*$CM$8)+'LINEST VARS'!$E$50*(8*$BX19)+'LINEST VARS'!$D$50*(8*12.73)+'LINEST VARS'!$C$50*($CM$8*$BX19)+'LINEST VARS'!$B$50*($CM$8*12.73)+'LINEST VARS'!$A$50*($BX19*12.73)</f>
        <v>331.99999999999989</v>
      </c>
      <c r="CN19" s="46">
        <f>'LINEST VARS'!$U$50+'LINEST VARS'!$T$50*(8)+'LINEST VARS'!$S$50*(8)+'LINEST VARS'!$R$50*($CN$8)+'LINEST VARS'!$Q$50*($BX19)+'LINEST VARS'!$P$50*(12.73)+'LINEST VARS'!$O$50*(8^2)+'LINEST VARS'!$N$50*(8^2)+'LINEST VARS'!$M$50*($CN$8^2)+'LINEST VARS'!$L$50*($BX19^2)+'LINEST VARS'!$K$50*(12.73^2)+'LINEST VARS'!$J$50*(8*8)+'LINEST VARS'!$I$50*(8*$CN$8)+'LINEST VARS'!$H$50*(8*$BX19)+'LINEST VARS'!$G$50*(8*12.73)+'LINEST VARS'!$F$50*(8*$CN$8)+'LINEST VARS'!$E$50*(8*$BX19)+'LINEST VARS'!$D$50*(8*12.73)+'LINEST VARS'!$C$50*($CN$8*$BX19)+'LINEST VARS'!$B$50*($CN$8*12.73)+'LINEST VARS'!$A$50*($BX19*12.73)</f>
        <v>331.99999999999989</v>
      </c>
      <c r="CO19" s="46">
        <f>'LINEST VARS'!$U$50+'LINEST VARS'!$T$50*(8)+'LINEST VARS'!$S$50*(8)+'LINEST VARS'!$R$50*($CO$8)+'LINEST VARS'!$Q$50*($BX19)+'LINEST VARS'!$P$50*(12.73)+'LINEST VARS'!$O$50*(8^2)+'LINEST VARS'!$N$50*(8^2)+'LINEST VARS'!$M$50*($CO$8^2)+'LINEST VARS'!$L$50*($BX19^2)+'LINEST VARS'!$K$50*(12.73^2)+'LINEST VARS'!$J$50*(8*8)+'LINEST VARS'!$I$50*(8*$CO$8)+'LINEST VARS'!$H$50*(8*$BX19)+'LINEST VARS'!$G$50*(8*12.73)+'LINEST VARS'!$F$50*(8*$CO$8)+'LINEST VARS'!$E$50*(8*$BX19)+'LINEST VARS'!$D$50*(8*12.73)+'LINEST VARS'!$C$50*($CO$8*$BX19)+'LINEST VARS'!$B$50*($CO$8*12.73)+'LINEST VARS'!$A$50*($BX19*12.73)</f>
        <v>331.99999999999989</v>
      </c>
      <c r="CP19" s="46">
        <f>'LINEST VARS'!$U$50+'LINEST VARS'!$T$50*(8)+'LINEST VARS'!$S$50*(8)+'LINEST VARS'!$R$50*($CP$8)+'LINEST VARS'!$Q$50*($BX19)+'LINEST VARS'!$P$50*(12.73)+'LINEST VARS'!$O$50*(8^2)+'LINEST VARS'!$N$50*(8^2)+'LINEST VARS'!$M$50*($CP$8^2)+'LINEST VARS'!$L$50*($BX19^2)+'LINEST VARS'!$K$50*(12.73^2)+'LINEST VARS'!$J$50*(8*8)+'LINEST VARS'!$I$50*(8*$CP$8)+'LINEST VARS'!$H$50*(8*$BX19)+'LINEST VARS'!$G$50*(8*12.73)+'LINEST VARS'!$F$50*(8*$CP$8)+'LINEST VARS'!$E$50*(8*$BX19)+'LINEST VARS'!$D$50*(8*12.73)+'LINEST VARS'!$C$50*($CP$8*$BX19)+'LINEST VARS'!$B$50*($CP$8*12.73)+'LINEST VARS'!$A$50*($BX19*12.73)</f>
        <v>331.99999999999989</v>
      </c>
      <c r="CQ19" s="46">
        <f>'LINEST VARS'!$U$50+'LINEST VARS'!$T$50*(8)+'LINEST VARS'!$S$50*(8)+'LINEST VARS'!$R$50*($CQ$8)+'LINEST VARS'!$Q$50*($BX19)+'LINEST VARS'!$P$50*(12.73)+'LINEST VARS'!$O$50*(8^2)+'LINEST VARS'!$N$50*(8^2)+'LINEST VARS'!$M$50*($CQ$8^2)+'LINEST VARS'!$L$50*($BX19^2)+'LINEST VARS'!$K$50*(12.73^2)+'LINEST VARS'!$J$50*(8*8)+'LINEST VARS'!$I$50*(8*$CQ$8)+'LINEST VARS'!$H$50*(8*$BX19)+'LINEST VARS'!$G$50*(8*12.73)+'LINEST VARS'!$F$50*(8*$CQ$8)+'LINEST VARS'!$E$50*(8*$BX19)+'LINEST VARS'!$D$50*(8*12.73)+'LINEST VARS'!$C$50*($CQ$8*$BX19)+'LINEST VARS'!$B$50*($CQ$8*12.73)+'LINEST VARS'!$A$50*($BX19*12.73)</f>
        <v>331.99999999999989</v>
      </c>
      <c r="CR19" s="46">
        <f>'LINEST VARS'!$U$50+'LINEST VARS'!$T$50*(8)+'LINEST VARS'!$S$50*(8)+'LINEST VARS'!$R$50*($CR$8)+'LINEST VARS'!$Q$50*($BX19)+'LINEST VARS'!$P$50*(12.73)+'LINEST VARS'!$O$50*(8^2)+'LINEST VARS'!$N$50*(8^2)+'LINEST VARS'!$M$50*($CR$8^2)+'LINEST VARS'!$L$50*($BX19^2)+'LINEST VARS'!$K$50*(12.73^2)+'LINEST VARS'!$J$50*(8*8)+'LINEST VARS'!$I$50*(8*$CR$8)+'LINEST VARS'!$H$50*(8*$BX19)+'LINEST VARS'!$G$50*(8*12.73)+'LINEST VARS'!$F$50*(8*$CR$8)+'LINEST VARS'!$E$50*(8*$BX19)+'LINEST VARS'!$D$50*(8*12.73)+'LINEST VARS'!$C$50*($CR$8*$BX19)+'LINEST VARS'!$B$50*($CR$8*12.73)+'LINEST VARS'!$A$50*($BX19*12.73)</f>
        <v>331.99999999999989</v>
      </c>
      <c r="CS19" s="47">
        <f>'LINEST VARS'!$U$50+'LINEST VARS'!$T$50*(8)+'LINEST VARS'!$S$50*(8)+'LINEST VARS'!$R$50*($CS$8)+'LINEST VARS'!$Q$50*($BX19)+'LINEST VARS'!$P$50*(12.73)+'LINEST VARS'!$O$50*(8^2)+'LINEST VARS'!$N$50*(8^2)+'LINEST VARS'!$M$50*($CS$8^2)+'LINEST VARS'!$L$50*($BX19^2)+'LINEST VARS'!$K$50*(12.73^2)+'LINEST VARS'!$J$50*(8*8)+'LINEST VARS'!$I$50*(8*$CS$8)+'LINEST VARS'!$H$50*(8*$BX19)+'LINEST VARS'!$G$50*(8*12.73)+'LINEST VARS'!$F$50*(8*$CS$8)+'LINEST VARS'!$E$50*(8*$BX19)+'LINEST VARS'!$D$50*(8*12.73)+'LINEST VARS'!$C$50*($CS$8*$BX19)+'LINEST VARS'!$B$50*($CS$8*12.73)+'LINEST VARS'!$A$50*($BX19*12.73)</f>
        <v>331.99999999999989</v>
      </c>
      <c r="CX19" s="45">
        <v>12.994999999999999</v>
      </c>
      <c r="CY19" s="46">
        <f>'LINEST VARS'!$U$48+'LINEST VARS'!$T$48*(8)+'LINEST VARS'!$S$48*(8)+'LINEST VARS'!$R$48*($CY$8)+'LINEST VARS'!$Q$48*(0.5)+'LINEST VARS'!$P$48*($CX19)+'LINEST VARS'!$O$48*(8^2)+'LINEST VARS'!$N$48*(8^2)+'LINEST VARS'!$M$48*($CY$8^2)+'LINEST VARS'!$L$48*(0.5^2)+'LINEST VARS'!$K$48*($CX19^2)+'LINEST VARS'!$J$48*(8*8)+'LINEST VARS'!$I$48*(8*$CY$8)+'LINEST VARS'!$H$48*(8*0.5)+'LINEST VARS'!$G$48*(8*$CX19)+'LINEST VARS'!$F$48*(8*$CY$8)+'LINEST VARS'!$E$48*(8*0.5)+'LINEST VARS'!$D$48*(8*$CX19)+'LINEST VARS'!$C$48*($CY$8*0.5)+'LINEST VARS'!$B$48*($CY$8*$CX19)+'LINEST VARS'!$A$48*(0.5*$CX19)</f>
        <v>369.99999999999983</v>
      </c>
      <c r="CZ19" s="46">
        <f>'LINEST VARS'!$U$48+'LINEST VARS'!$T$48*(8)+'LINEST VARS'!$S$48*(8)+'LINEST VARS'!$R$48*($CZ$8)+'LINEST VARS'!$Q$48*(0.5)+'LINEST VARS'!$P$48*($CX19)+'LINEST VARS'!$O$48*(8^2)+'LINEST VARS'!$N$48*(8^2)+'LINEST VARS'!$M$48*($CZ$8^2)+'LINEST VARS'!$L$48*(0.5^2)+'LINEST VARS'!$K$48*($CX19^2)+'LINEST VARS'!$J$48*(8*8)+'LINEST VARS'!$I$48*(8*$CZ$8)+'LINEST VARS'!$H$48*(8*0.5)+'LINEST VARS'!$G$48*(8*$CX19)+'LINEST VARS'!$F$48*(8*$CZ$8)+'LINEST VARS'!$E$48*(8*0.5)+'LINEST VARS'!$D$48*(8*$CX19)+'LINEST VARS'!$C$48*($CZ$8*0.5)+'LINEST VARS'!$B$48*($CZ$8*$CX19)+'LINEST VARS'!$A$48*(0.5*$CX19)</f>
        <v>369.99999999999983</v>
      </c>
      <c r="DA19" s="46">
        <f>'LINEST VARS'!$U$48+'LINEST VARS'!$T$48*(8)+'LINEST VARS'!$S$48*(8)+'LINEST VARS'!$R$48*($DA$8)+'LINEST VARS'!$Q$48*(0.5)+'LINEST VARS'!$P$48*($CX19)+'LINEST VARS'!$O$48*(8^2)+'LINEST VARS'!$N$48*(8^2)+'LINEST VARS'!$M$48*($DA$8^2)+'LINEST VARS'!$L$48*(0.5^2)+'LINEST VARS'!$K$48*($CX19^2)+'LINEST VARS'!$J$48*(8*8)+'LINEST VARS'!$I$48*(8*$DA$8)+'LINEST VARS'!$H$48*(8*0.5)+'LINEST VARS'!$G$48*(8*$CX19)+'LINEST VARS'!$F$48*(8*$DA$8)+'LINEST VARS'!$E$48*(8*0.5)+'LINEST VARS'!$D$48*(8*$CX19)+'LINEST VARS'!$C$48*($DA$8*0.5)+'LINEST VARS'!$B$48*($DA$8*$CX19)+'LINEST VARS'!$A$48*(0.5*$CX19)</f>
        <v>369.99999999999983</v>
      </c>
      <c r="DB19" s="46">
        <f>'LINEST VARS'!$U$48+'LINEST VARS'!$T$48*(8)+'LINEST VARS'!$S$48*(8)+'LINEST VARS'!$R$48*($DB$8)+'LINEST VARS'!$Q$48*(0.5)+'LINEST VARS'!$P$48*($CX19)+'LINEST VARS'!$O$48*(8^2)+'LINEST VARS'!$N$48*(8^2)+'LINEST VARS'!$M$48*($DB$8^2)+'LINEST VARS'!$L$48*(0.5^2)+'LINEST VARS'!$K$48*($CX19^2)+'LINEST VARS'!$J$48*(8*8)+'LINEST VARS'!$I$48*(8*$DB$8)+'LINEST VARS'!$H$48*(8*0.5)+'LINEST VARS'!$G$48*(8*$CX19)+'LINEST VARS'!$F$48*(8*$DB$8)+'LINEST VARS'!$E$48*(8*0.5)+'LINEST VARS'!$D$48*(8*$CX19)+'LINEST VARS'!$C$48*($DB$8*0.5)+'LINEST VARS'!$B$48*($DB$8*$CX19)+'LINEST VARS'!$A$48*(0.5*$CX19)</f>
        <v>369.99999999999983</v>
      </c>
      <c r="DC19" s="46">
        <f>'LINEST VARS'!$U$48+'LINEST VARS'!$T$48*(8)+'LINEST VARS'!$S$48*(8)+'LINEST VARS'!$R$48*($DC$8)+'LINEST VARS'!$Q$48*(0.5)+'LINEST VARS'!$P$48*($CX19)+'LINEST VARS'!$O$48*(8^2)+'LINEST VARS'!$N$48*(8^2)+'LINEST VARS'!$M$48*($DC$8^2)+'LINEST VARS'!$L$48*(0.5^2)+'LINEST VARS'!$K$48*($CX19^2)+'LINEST VARS'!$J$48*(8*8)+'LINEST VARS'!$I$48*(8*$DC$8)+'LINEST VARS'!$H$48*(8*0.5)+'LINEST VARS'!$G$48*(8*$CX19)+'LINEST VARS'!$F$48*(8*$DC$8)+'LINEST VARS'!$E$48*(8*0.5)+'LINEST VARS'!$D$48*(8*$CX19)+'LINEST VARS'!$C$48*($DC$8*0.5)+'LINEST VARS'!$B$48*($DC$8*$CX19)+'LINEST VARS'!$A$48*(0.5*$CX19)</f>
        <v>369.99999999999983</v>
      </c>
      <c r="DD19" s="46">
        <f>'LINEST VARS'!$U$48+'LINEST VARS'!$T$48*(8)+'LINEST VARS'!$S$48*(8)+'LINEST VARS'!$R$48*($DD$8)+'LINEST VARS'!$Q$48*(0.5)+'LINEST VARS'!$P$48*($CX19)+'LINEST VARS'!$O$48*(8^2)+'LINEST VARS'!$N$48*(8^2)+'LINEST VARS'!$M$48*($DD$8^2)+'LINEST VARS'!$L$48*(0.5^2)+'LINEST VARS'!$K$48*($CX19^2)+'LINEST VARS'!$J$48*(8*8)+'LINEST VARS'!$I$48*(8*$DD$8)+'LINEST VARS'!$H$48*(8*0.5)+'LINEST VARS'!$G$48*(8*$CX19)+'LINEST VARS'!$F$48*(8*$DD$8)+'LINEST VARS'!$E$48*(8*0.5)+'LINEST VARS'!$D$48*(8*$CX19)+'LINEST VARS'!$C$48*($DD$8*0.5)+'LINEST VARS'!$B$48*($DD$8*$CX19)+'LINEST VARS'!$A$48*(0.5*$CX19)</f>
        <v>369.99999999999983</v>
      </c>
      <c r="DE19" s="46">
        <f>'LINEST VARS'!$U$48+'LINEST VARS'!$T$48*(8)+'LINEST VARS'!$S$48*(8)+'LINEST VARS'!$R$48*($DE$8)+'LINEST VARS'!$Q$48*(0.5)+'LINEST VARS'!$P$48*($CX19)+'LINEST VARS'!$O$48*(8^2)+'LINEST VARS'!$N$48*(8^2)+'LINEST VARS'!$M$48*($DE$8^2)+'LINEST VARS'!$L$48*(0.5^2)+'LINEST VARS'!$K$48*($CX19^2)+'LINEST VARS'!$J$48*(8*8)+'LINEST VARS'!$I$48*(8*$DE$8)+'LINEST VARS'!$H$48*(8*0.5)+'LINEST VARS'!$G$48*(8*$CX19)+'LINEST VARS'!$F$48*(8*$DE$8)+'LINEST VARS'!$E$48*(8*0.5)+'LINEST VARS'!$D$48*(8*$CX19)+'LINEST VARS'!$C$48*($DE$8*0.5)+'LINEST VARS'!$B$48*($DE$8*$CX19)+'LINEST VARS'!$A$48*(0.5*$CX19)</f>
        <v>369.99999999999983</v>
      </c>
      <c r="DF19" s="46">
        <f>'LINEST VARS'!$U$48+'LINEST VARS'!$T$48*(8)+'LINEST VARS'!$S$48*(8)+'LINEST VARS'!$R$48*($DF$8)+'LINEST VARS'!$Q$48*(0.5)+'LINEST VARS'!$P$48*($CX19)+'LINEST VARS'!$O$48*(8^2)+'LINEST VARS'!$N$48*(8^2)+'LINEST VARS'!$M$48*($DF$8^2)+'LINEST VARS'!$L$48*(0.5^2)+'LINEST VARS'!$K$48*($CX19^2)+'LINEST VARS'!$J$48*(8*8)+'LINEST VARS'!$I$48*(8*$DF$8)+'LINEST VARS'!$H$48*(8*0.5)+'LINEST VARS'!$G$48*(8*$CX19)+'LINEST VARS'!$F$48*(8*$DF$8)+'LINEST VARS'!$E$48*(8*0.5)+'LINEST VARS'!$D$48*(8*$CX19)+'LINEST VARS'!$C$48*($DF$8*0.5)+'LINEST VARS'!$B$48*($DF$8*$CX19)+'LINEST VARS'!$A$48*(0.5*$CX19)</f>
        <v>369.99999999999983</v>
      </c>
      <c r="DG19" s="46">
        <f>'LINEST VARS'!$U$48+'LINEST VARS'!$T$48*(8)+'LINEST VARS'!$S$48*(8)+'LINEST VARS'!$R$48*($DG$8)+'LINEST VARS'!$Q$48*(0.5)+'LINEST VARS'!$P$48*($CX19)+'LINEST VARS'!$O$48*(8^2)+'LINEST VARS'!$N$48*(8^2)+'LINEST VARS'!$M$48*($DG$8^2)+'LINEST VARS'!$L$48*(0.5^2)+'LINEST VARS'!$K$48*($CX19^2)+'LINEST VARS'!$J$48*(8*8)+'LINEST VARS'!$I$48*(8*$DG$8)+'LINEST VARS'!$H$48*(8*0.5)+'LINEST VARS'!$G$48*(8*$CX19)+'LINEST VARS'!$F$48*(8*$DG$8)+'LINEST VARS'!$E$48*(8*0.5)+'LINEST VARS'!$D$48*(8*$CX19)+'LINEST VARS'!$C$48*($DG$8*0.5)+'LINEST VARS'!$B$48*($DG$8*$CX19)+'LINEST VARS'!$A$48*(0.5*$CX19)</f>
        <v>369.99999999999983</v>
      </c>
      <c r="DH19" s="46">
        <f>'LINEST VARS'!$U$48+'LINEST VARS'!$T$48*(8)+'LINEST VARS'!$S$48*(8)+'LINEST VARS'!$R$48*($DH$8)+'LINEST VARS'!$Q$48*(0.5)+'LINEST VARS'!$P$48*($CX19)+'LINEST VARS'!$O$48*(8^2)+'LINEST VARS'!$N$48*(8^2)+'LINEST VARS'!$M$48*($DH$8^2)+'LINEST VARS'!$L$48*(0.5^2)+'LINEST VARS'!$K$48*($CX19^2)+'LINEST VARS'!$J$48*(8*8)+'LINEST VARS'!$I$48*(8*$DH$8)+'LINEST VARS'!$H$48*(8*0.5)+'LINEST VARS'!$G$48*(8*$CX19)+'LINEST VARS'!$F$48*(8*$DH$8)+'LINEST VARS'!$E$48*(8*0.5)+'LINEST VARS'!$D$48*(8*$CX19)+'LINEST VARS'!$C$48*($DH$8*0.5)+'LINEST VARS'!$B$48*($DH$8*$CX19)+'LINEST VARS'!$A$48*(0.5*$CX19)</f>
        <v>369.99999999999983</v>
      </c>
      <c r="DI19" s="46">
        <f>'LINEST VARS'!$U$48+'LINEST VARS'!$T$48*(8)+'LINEST VARS'!$S$48*(8)+'LINEST VARS'!$R$48*($DI$8)+'LINEST VARS'!$Q$48*(0.5)+'LINEST VARS'!$P$48*($CX19)+'LINEST VARS'!$O$48*(8^2)+'LINEST VARS'!$N$48*(8^2)+'LINEST VARS'!$M$48*($DI$8^2)+'LINEST VARS'!$L$48*(0.5^2)+'LINEST VARS'!$K$48*($CX19^2)+'LINEST VARS'!$J$48*(8*8)+'LINEST VARS'!$I$48*(8*$DI$8)+'LINEST VARS'!$H$48*(8*0.5)+'LINEST VARS'!$G$48*(8*$CX19)+'LINEST VARS'!$F$48*(8*$DI$8)+'LINEST VARS'!$E$48*(8*0.5)+'LINEST VARS'!$D$48*(8*$CX19)+'LINEST VARS'!$C$48*($DI$8*0.5)+'LINEST VARS'!$B$48*($DI$8*$CX19)+'LINEST VARS'!$A$48*(0.5*$CX19)</f>
        <v>369.99999999999983</v>
      </c>
      <c r="DJ19" s="46">
        <f>'LINEST VARS'!$U$48+'LINEST VARS'!$T$48*(8)+'LINEST VARS'!$S$48*(8)+'LINEST VARS'!$R$48*($DJ$8)+'LINEST VARS'!$Q$48*(0.5)+'LINEST VARS'!$P$48*($CX19)+'LINEST VARS'!$O$48*(8^2)+'LINEST VARS'!$N$48*(8^2)+'LINEST VARS'!$M$48*($DJ$8^2)+'LINEST VARS'!$L$48*(0.5^2)+'LINEST VARS'!$K$48*($CX19^2)+'LINEST VARS'!$J$48*(8*8)+'LINEST VARS'!$I$48*(8*$DJ$8)+'LINEST VARS'!$H$48*(8*0.5)+'LINEST VARS'!$G$48*(8*$CX19)+'LINEST VARS'!$F$48*(8*$DJ$8)+'LINEST VARS'!$E$48*(8*0.5)+'LINEST VARS'!$D$48*(8*$CX19)+'LINEST VARS'!$C$48*($DJ$8*0.5)+'LINEST VARS'!$B$48*($DJ$8*$CX19)+'LINEST VARS'!$A$48*(0.5*$CX19)</f>
        <v>369.99999999999983</v>
      </c>
      <c r="DK19" s="46">
        <f>'LINEST VARS'!$U$48+'LINEST VARS'!$T$48*(8)+'LINEST VARS'!$S$48*(8)+'LINEST VARS'!$R$48*($DK$8)+'LINEST VARS'!$Q$48*(0.5)+'LINEST VARS'!$P$48*($CX19)+'LINEST VARS'!$O$48*(8^2)+'LINEST VARS'!$N$48*(8^2)+'LINEST VARS'!$M$48*($DK$8^2)+'LINEST VARS'!$L$48*(0.5^2)+'LINEST VARS'!$K$48*($CX19^2)+'LINEST VARS'!$J$48*(8*8)+'LINEST VARS'!$I$48*(8*$DK$8)+'LINEST VARS'!$H$48*(8*0.5)+'LINEST VARS'!$G$48*(8*$CX19)+'LINEST VARS'!$F$48*(8*$DK$8)+'LINEST VARS'!$E$48*(8*0.5)+'LINEST VARS'!$D$48*(8*$CX19)+'LINEST VARS'!$C$48*($DK$8*0.5)+'LINEST VARS'!$B$48*($DK$8*$CX19)+'LINEST VARS'!$A$48*(0.5*$CX19)</f>
        <v>369.99999999999983</v>
      </c>
      <c r="DL19" s="46">
        <f>'LINEST VARS'!$U$48+'LINEST VARS'!$T$48*(8)+'LINEST VARS'!$S$48*(8)+'LINEST VARS'!$R$48*($DL$8)+'LINEST VARS'!$Q$48*(0.5)+'LINEST VARS'!$P$48*($CX19)+'LINEST VARS'!$O$48*(8^2)+'LINEST VARS'!$N$48*(8^2)+'LINEST VARS'!$M$48*($DL$8^2)+'LINEST VARS'!$L$48*(0.5^2)+'LINEST VARS'!$K$48*($CX19^2)+'LINEST VARS'!$J$48*(8*8)+'LINEST VARS'!$I$48*(8*$DL$8)+'LINEST VARS'!$H$48*(8*0.5)+'LINEST VARS'!$G$48*(8*$CX19)+'LINEST VARS'!$F$48*(8*$DL$8)+'LINEST VARS'!$E$48*(8*0.5)+'LINEST VARS'!$D$48*(8*$CX19)+'LINEST VARS'!$C$48*($DL$8*0.5)+'LINEST VARS'!$B$48*($DL$8*$CX19)+'LINEST VARS'!$A$48*(0.5*$CX19)</f>
        <v>369.99999999999989</v>
      </c>
      <c r="DM19" s="46">
        <f>'LINEST VARS'!$U$48+'LINEST VARS'!$T$48*(8)+'LINEST VARS'!$S$48*(8)+'LINEST VARS'!$R$48*($DM$8)+'LINEST VARS'!$Q$48*(0.5)+'LINEST VARS'!$P$48*($CX19)+'LINEST VARS'!$O$48*(8^2)+'LINEST VARS'!$N$48*(8^2)+'LINEST VARS'!$M$48*($DM$8^2)+'LINEST VARS'!$L$48*(0.5^2)+'LINEST VARS'!$K$48*($CX19^2)+'LINEST VARS'!$J$48*(8*8)+'LINEST VARS'!$I$48*(8*$DM$8)+'LINEST VARS'!$H$48*(8*0.5)+'LINEST VARS'!$G$48*(8*$CX19)+'LINEST VARS'!$F$48*(8*$DM$8)+'LINEST VARS'!$E$48*(8*0.5)+'LINEST VARS'!$D$48*(8*$CX19)+'LINEST VARS'!$C$48*($DM$8*0.5)+'LINEST VARS'!$B$48*($DM$8*$CX19)+'LINEST VARS'!$A$48*(0.5*$CX19)</f>
        <v>369.99999999999989</v>
      </c>
      <c r="DN19" s="46">
        <f>'LINEST VARS'!$U$48+'LINEST VARS'!$T$48*(8)+'LINEST VARS'!$S$48*(8)+'LINEST VARS'!$R$48*($DN$8)+'LINEST VARS'!$Q$48*(0.5)+'LINEST VARS'!$P$48*($CX19)+'LINEST VARS'!$O$48*(8^2)+'LINEST VARS'!$N$48*(8^2)+'LINEST VARS'!$M$48*($DN$8^2)+'LINEST VARS'!$L$48*(0.5^2)+'LINEST VARS'!$K$48*($CX19^2)+'LINEST VARS'!$J$48*(8*8)+'LINEST VARS'!$I$48*(8*$DN$8)+'LINEST VARS'!$H$48*(8*0.5)+'LINEST VARS'!$G$48*(8*$CX19)+'LINEST VARS'!$F$48*(8*$DN$8)+'LINEST VARS'!$E$48*(8*0.5)+'LINEST VARS'!$D$48*(8*$CX19)+'LINEST VARS'!$C$48*($DN$8*0.5)+'LINEST VARS'!$B$48*($DN$8*$CX19)+'LINEST VARS'!$A$48*(0.5*$CX19)</f>
        <v>369.99999999999989</v>
      </c>
      <c r="DO19" s="46">
        <f>'LINEST VARS'!$U$48+'LINEST VARS'!$T$48*(8)+'LINEST VARS'!$S$48*(8)+'LINEST VARS'!$R$48*($DO$8)+'LINEST VARS'!$Q$48*(0.5)+'LINEST VARS'!$P$48*($CX19)+'LINEST VARS'!$O$48*(8^2)+'LINEST VARS'!$N$48*(8^2)+'LINEST VARS'!$M$48*($DO$8^2)+'LINEST VARS'!$L$48*(0.5^2)+'LINEST VARS'!$K$48*($CX19^2)+'LINEST VARS'!$J$48*(8*8)+'LINEST VARS'!$I$48*(8*$DO$8)+'LINEST VARS'!$H$48*(8*0.5)+'LINEST VARS'!$G$48*(8*$CX19)+'LINEST VARS'!$F$48*(8*$DO$8)+'LINEST VARS'!$E$48*(8*0.5)+'LINEST VARS'!$D$48*(8*$CX19)+'LINEST VARS'!$C$48*($DO$8*0.5)+'LINEST VARS'!$B$48*($DO$8*$CX19)+'LINEST VARS'!$A$48*(0.5*$CX19)</f>
        <v>369.99999999999983</v>
      </c>
      <c r="DP19" s="46">
        <f>'LINEST VARS'!$U$48+'LINEST VARS'!$T$48*(8)+'LINEST VARS'!$S$48*(8)+'LINEST VARS'!$R$48*($DP$8)+'LINEST VARS'!$Q$48*(0.5)+'LINEST VARS'!$P$48*($CX19)+'LINEST VARS'!$O$48*(8^2)+'LINEST VARS'!$N$48*(8^2)+'LINEST VARS'!$M$48*($DP$8^2)+'LINEST VARS'!$L$48*(0.5^2)+'LINEST VARS'!$K$48*($CX19^2)+'LINEST VARS'!$J$48*(8*8)+'LINEST VARS'!$I$48*(8*$DP$8)+'LINEST VARS'!$H$48*(8*0.5)+'LINEST VARS'!$G$48*(8*$CX19)+'LINEST VARS'!$F$48*(8*$DP$8)+'LINEST VARS'!$E$48*(8*0.5)+'LINEST VARS'!$D$48*(8*$CX19)+'LINEST VARS'!$C$48*($DP$8*0.5)+'LINEST VARS'!$B$48*($DP$8*$CX19)+'LINEST VARS'!$A$48*(0.5*$CX19)</f>
        <v>369.99999999999983</v>
      </c>
      <c r="DQ19" s="46">
        <f>'LINEST VARS'!$U$48+'LINEST VARS'!$T$48*(8)+'LINEST VARS'!$S$48*(8)+'LINEST VARS'!$R$48*($DQ$8)+'LINEST VARS'!$Q$48*(0.5)+'LINEST VARS'!$P$48*($CX19)+'LINEST VARS'!$O$48*(8^2)+'LINEST VARS'!$N$48*(8^2)+'LINEST VARS'!$M$48*($DQ$8^2)+'LINEST VARS'!$L$48*(0.5^2)+'LINEST VARS'!$K$48*($CX19^2)+'LINEST VARS'!$J$48*(8*8)+'LINEST VARS'!$I$48*(8*$DQ$8)+'LINEST VARS'!$H$48*(8*0.5)+'LINEST VARS'!$G$48*(8*$CX19)+'LINEST VARS'!$F$48*(8*$DQ$8)+'LINEST VARS'!$E$48*(8*0.5)+'LINEST VARS'!$D$48*(8*$CX19)+'LINEST VARS'!$C$48*($DQ$8*0.5)+'LINEST VARS'!$B$48*($DQ$8*$CX19)+'LINEST VARS'!$A$48*(0.5*$CX19)</f>
        <v>369.99999999999983</v>
      </c>
      <c r="DR19" s="46">
        <f>'LINEST VARS'!$U$48+'LINEST VARS'!$T$48*(8)+'LINEST VARS'!$S$48*(8)+'LINEST VARS'!$R$48*($DR$8)+'LINEST VARS'!$Q$48*(0.5)+'LINEST VARS'!$P$48*($CX19)+'LINEST VARS'!$O$48*(8^2)+'LINEST VARS'!$N$48*(8^2)+'LINEST VARS'!$M$48*($DR$8^2)+'LINEST VARS'!$L$48*(0.5^2)+'LINEST VARS'!$K$48*($CX19^2)+'LINEST VARS'!$J$48*(8*8)+'LINEST VARS'!$I$48*(8*$DR$8)+'LINEST VARS'!$H$48*(8*0.5)+'LINEST VARS'!$G$48*(8*$CX19)+'LINEST VARS'!$F$48*(8*$DR$8)+'LINEST VARS'!$E$48*(8*0.5)+'LINEST VARS'!$D$48*(8*$CX19)+'LINEST VARS'!$C$48*($DR$8*0.5)+'LINEST VARS'!$B$48*($DR$8*$CX19)+'LINEST VARS'!$A$48*(0.5*$CX19)</f>
        <v>369.99999999999983</v>
      </c>
      <c r="DS19" s="47">
        <f>'LINEST VARS'!$U$48+'LINEST VARS'!$T$48*(8)+'LINEST VARS'!$S$48*(8)+'LINEST VARS'!$R$48*($DS$8)+'LINEST VARS'!$Q$48*(0.5)+'LINEST VARS'!$P$48*($CX19)+'LINEST VARS'!$O$48*(8^2)+'LINEST VARS'!$N$48*(8^2)+'LINEST VARS'!$M$48*($DS$8^2)+'LINEST VARS'!$L$48*(0.5^2)+'LINEST VARS'!$K$48*($CX19^2)+'LINEST VARS'!$J$48*(8*8)+'LINEST VARS'!$I$48*(8*$DS$8)+'LINEST VARS'!$H$48*(8*0.5)+'LINEST VARS'!$G$48*(8*$CX19)+'LINEST VARS'!$F$48*(8*$DS$8)+'LINEST VARS'!$E$48*(8*0.5)+'LINEST VARS'!$D$48*(8*$CX19)+'LINEST VARS'!$C$48*($DS$8*0.5)+'LINEST VARS'!$B$48*($DS$8*$CX19)+'LINEST VARS'!$A$48*(0.5*$CX19)</f>
        <v>369.99999999999983</v>
      </c>
      <c r="DV19" s="45">
        <v>12.994999999999999</v>
      </c>
      <c r="DW19" s="46">
        <f>'LINEST VARS'!$U$50+'LINEST VARS'!$T$50*(8)+'LINEST VARS'!$S$50*(8)+'LINEST VARS'!$R$50*($DW$8)+'LINEST VARS'!$Q$50*(0.5)+'LINEST VARS'!$P$50*($DV19)+'LINEST VARS'!$O$50*(8^2)+'LINEST VARS'!$N$50*(8^2)+'LINEST VARS'!$M$50*($DW$8^2)+'LINEST VARS'!$L$50*(0.5^2)+'LINEST VARS'!$K$50*($DV19^2)+'LINEST VARS'!$J$50*(8*8)+'LINEST VARS'!$I$50*(8*$DW$8)+'LINEST VARS'!$H$50*(8*0.5)+'LINEST VARS'!$G$50*(8*$DV19)+'LINEST VARS'!$F$50*(8*$DW$8)+'LINEST VARS'!$E$50*(8*0.5)+'LINEST VARS'!$D$50*(8*$DV19)+'LINEST VARS'!$C$50*($DW$8*0.5)+'LINEST VARS'!$B$50*($DW$8*$DV19)+'LINEST VARS'!$A$50*(0.5*$DV19)</f>
        <v>331.99999999999989</v>
      </c>
      <c r="DX19" s="46">
        <f>'LINEST VARS'!$U$50+'LINEST VARS'!$T$50*(8)+'LINEST VARS'!$S$50*(8)+'LINEST VARS'!$R$50*($DX$8)+'LINEST VARS'!$Q$50*(0.5)+'LINEST VARS'!$P$50*($DV19)+'LINEST VARS'!$O$50*(8^2)+'LINEST VARS'!$N$50*(8^2)+'LINEST VARS'!$M$50*($DX$8^2)+'LINEST VARS'!$L$50*(0.5^2)+'LINEST VARS'!$K$50*($DV19^2)+'LINEST VARS'!$J$50*(8*8)+'LINEST VARS'!$I$50*(8*$DX$8)+'LINEST VARS'!$H$50*(8*0.5)+'LINEST VARS'!$G$50*(8*$DV19)+'LINEST VARS'!$F$50*(8*$DX$8)+'LINEST VARS'!$E$50*(8*0.5)+'LINEST VARS'!$D$50*(8*$DV19)+'LINEST VARS'!$C$50*($DX$8*0.5)+'LINEST VARS'!$B$50*($DX$8*$DV19)+'LINEST VARS'!$A$50*(0.5*$DV19)</f>
        <v>331.99999999999989</v>
      </c>
      <c r="DY19" s="46">
        <f>'LINEST VARS'!$U$50+'LINEST VARS'!$T$50*(8)+'LINEST VARS'!$S$50*(8)+'LINEST VARS'!$R$50*($DY$8)+'LINEST VARS'!$Q$50*(0.5)+'LINEST VARS'!$P$50*($DV19)+'LINEST VARS'!$O$50*(8^2)+'LINEST VARS'!$N$50*(8^2)+'LINEST VARS'!$M$50*($DY$8^2)+'LINEST VARS'!$L$50*(0.5^2)+'LINEST VARS'!$K$50*($DV19^2)+'LINEST VARS'!$J$50*(8*8)+'LINEST VARS'!$I$50*(8*$DY$8)+'LINEST VARS'!$H$50*(8*0.5)+'LINEST VARS'!$G$50*(8*$DV19)+'LINEST VARS'!$F$50*(8*$DY$8)+'LINEST VARS'!$E$50*(8*0.5)+'LINEST VARS'!$D$50*(8*$DV19)+'LINEST VARS'!$C$50*($DY$8*0.5)+'LINEST VARS'!$B$50*($DY$8*$DV19)+'LINEST VARS'!$A$50*(0.5*$DV19)</f>
        <v>331.99999999999989</v>
      </c>
      <c r="DZ19" s="46">
        <f>'LINEST VARS'!$U$50+'LINEST VARS'!$T$50*(8)+'LINEST VARS'!$S$50*(8)+'LINEST VARS'!$R$50*($DZ$8)+'LINEST VARS'!$Q$50*(0.5)+'LINEST VARS'!$P$50*($DV19)+'LINEST VARS'!$O$50*(8^2)+'LINEST VARS'!$N$50*(8^2)+'LINEST VARS'!$M$50*($DZ$8^2)+'LINEST VARS'!$L$50*(0.5^2)+'LINEST VARS'!$K$50*($DV19^2)+'LINEST VARS'!$J$50*(8*8)+'LINEST VARS'!$I$50*(8*$DZ$8)+'LINEST VARS'!$H$50*(8*0.5)+'LINEST VARS'!$G$50*(8*$DV19)+'LINEST VARS'!$F$50*(8*$DZ$8)+'LINEST VARS'!$E$50*(8*0.5)+'LINEST VARS'!$D$50*(8*$DV19)+'LINEST VARS'!$C$50*($DZ$8*0.5)+'LINEST VARS'!$B$50*($DZ$8*$DV19)+'LINEST VARS'!$A$50*(0.5*$DV19)</f>
        <v>331.99999999999989</v>
      </c>
      <c r="EA19" s="46">
        <f>'LINEST VARS'!$U$50+'LINEST VARS'!$T$50*(8)+'LINEST VARS'!$S$50*(8)+'LINEST VARS'!$R$50*($EA$8)+'LINEST VARS'!$Q$50*(0.5)+'LINEST VARS'!$P$50*($DV19)+'LINEST VARS'!$O$50*(8^2)+'LINEST VARS'!$N$50*(8^2)+'LINEST VARS'!$M$50*($EA$8^2)+'LINEST VARS'!$L$50*(0.5^2)+'LINEST VARS'!$K$50*($DV19^2)+'LINEST VARS'!$J$50*(8*8)+'LINEST VARS'!$I$50*(8*$EA$8)+'LINEST VARS'!$H$50*(8*0.5)+'LINEST VARS'!$G$50*(8*$DV19)+'LINEST VARS'!$F$50*(8*$EA$8)+'LINEST VARS'!$E$50*(8*0.5)+'LINEST VARS'!$D$50*(8*$DV19)+'LINEST VARS'!$C$50*($EA$8*0.5)+'LINEST VARS'!$B$50*($EA$8*$DV19)+'LINEST VARS'!$A$50*(0.5*$DV19)</f>
        <v>331.99999999999989</v>
      </c>
      <c r="EB19" s="46">
        <f>'LINEST VARS'!$U$50+'LINEST VARS'!$T$50*(8)+'LINEST VARS'!$S$50*(8)+'LINEST VARS'!$R$50*($EB$8)+'LINEST VARS'!$Q$50*(0.5)+'LINEST VARS'!$P$50*($DV19)+'LINEST VARS'!$O$50*(8^2)+'LINEST VARS'!$N$50*(8^2)+'LINEST VARS'!$M$50*($EB$8^2)+'LINEST VARS'!$L$50*(0.5^2)+'LINEST VARS'!$K$50*($DV19^2)+'LINEST VARS'!$J$50*(8*8)+'LINEST VARS'!$I$50*(8*$EB$8)+'LINEST VARS'!$H$50*(8*0.5)+'LINEST VARS'!$G$50*(8*$DV19)+'LINEST VARS'!$F$50*(8*$EB$8)+'LINEST VARS'!$E$50*(8*0.5)+'LINEST VARS'!$D$50*(8*$DV19)+'LINEST VARS'!$C$50*($EB$8*0.5)+'LINEST VARS'!$B$50*($EB$8*$DV19)+'LINEST VARS'!$A$50*(0.5*$DV19)</f>
        <v>331.99999999999989</v>
      </c>
      <c r="EC19" s="46">
        <f>'LINEST VARS'!$U$50+'LINEST VARS'!$T$50*(8)+'LINEST VARS'!$S$50*(8)+'LINEST VARS'!$R$50*($EC$8)+'LINEST VARS'!$Q$50*(0.5)+'LINEST VARS'!$P$50*($DV19)+'LINEST VARS'!$O$50*(8^2)+'LINEST VARS'!$N$50*(8^2)+'LINEST VARS'!$M$50*($EC$8^2)+'LINEST VARS'!$L$50*(0.5^2)+'LINEST VARS'!$K$50*($DV19^2)+'LINEST VARS'!$J$50*(8*8)+'LINEST VARS'!$I$50*(8*$EC$8)+'LINEST VARS'!$H$50*(8*0.5)+'LINEST VARS'!$G$50*(8*$DV19)+'LINEST VARS'!$F$50*(8*$EC$8)+'LINEST VARS'!$E$50*(8*0.5)+'LINEST VARS'!$D$50*(8*$DV19)+'LINEST VARS'!$C$50*($EC$8*0.5)+'LINEST VARS'!$B$50*($EC$8*$DV19)+'LINEST VARS'!$A$50*(0.5*$DV19)</f>
        <v>331.99999999999989</v>
      </c>
      <c r="ED19" s="46">
        <f>'LINEST VARS'!$U$50+'LINEST VARS'!$T$50*(8)+'LINEST VARS'!$S$50*(8)+'LINEST VARS'!$R$50*($ED$8)+'LINEST VARS'!$Q$50*(0.5)+'LINEST VARS'!$P$50*($DV19)+'LINEST VARS'!$O$50*(8^2)+'LINEST VARS'!$N$50*(8^2)+'LINEST VARS'!$M$50*($ED$8^2)+'LINEST VARS'!$L$50*(0.5^2)+'LINEST VARS'!$K$50*($DV19^2)+'LINEST VARS'!$J$50*(8*8)+'LINEST VARS'!$I$50*(8*$ED$8)+'LINEST VARS'!$H$50*(8*0.5)+'LINEST VARS'!$G$50*(8*$DV19)+'LINEST VARS'!$F$50*(8*$ED$8)+'LINEST VARS'!$E$50*(8*0.5)+'LINEST VARS'!$D$50*(8*$DV19)+'LINEST VARS'!$C$50*($ED$8*0.5)+'LINEST VARS'!$B$50*($ED$8*$DV19)+'LINEST VARS'!$A$50*(0.5*$DV19)</f>
        <v>331.99999999999989</v>
      </c>
      <c r="EE19" s="46">
        <f>'LINEST VARS'!$U$50+'LINEST VARS'!$T$50*(8)+'LINEST VARS'!$S$50*(8)+'LINEST VARS'!$R$50*($EE$8)+'LINEST VARS'!$Q$50*(0.5)+'LINEST VARS'!$P$50*($DV19)+'LINEST VARS'!$O$50*(8^2)+'LINEST VARS'!$N$50*(8^2)+'LINEST VARS'!$M$50*($EE$8^2)+'LINEST VARS'!$L$50*(0.5^2)+'LINEST VARS'!$K$50*($DV19^2)+'LINEST VARS'!$J$50*(8*8)+'LINEST VARS'!$I$50*(8*$EE$8)+'LINEST VARS'!$H$50*(8*0.5)+'LINEST VARS'!$G$50*(8*$DV19)+'LINEST VARS'!$F$50*(8*$EE$8)+'LINEST VARS'!$E$50*(8*0.5)+'LINEST VARS'!$D$50*(8*$DV19)+'LINEST VARS'!$C$50*($EE$8*0.5)+'LINEST VARS'!$B$50*($EE$8*$DV19)+'LINEST VARS'!$A$50*(0.5*$DV19)</f>
        <v>331.99999999999989</v>
      </c>
      <c r="EF19" s="46">
        <f>'LINEST VARS'!$U$50+'LINEST VARS'!$T$50*(8)+'LINEST VARS'!$S$50*(8)+'LINEST VARS'!$R$50*($EF$8)+'LINEST VARS'!$Q$50*(0.5)+'LINEST VARS'!$P$50*($DV19)+'LINEST VARS'!$O$50*(8^2)+'LINEST VARS'!$N$50*(8^2)+'LINEST VARS'!$M$50*($EF$8^2)+'LINEST VARS'!$L$50*(0.5^2)+'LINEST VARS'!$K$50*($DV19^2)+'LINEST VARS'!$J$50*(8*8)+'LINEST VARS'!$I$50*(8*$EF$8)+'LINEST VARS'!$H$50*(8*0.5)+'LINEST VARS'!$G$50*(8*$DV19)+'LINEST VARS'!$F$50*(8*$EF$8)+'LINEST VARS'!$E$50*(8*0.5)+'LINEST VARS'!$D$50*(8*$DV19)+'LINEST VARS'!$C$50*($EF$8*0.5)+'LINEST VARS'!$B$50*($EF$8*$DV19)+'LINEST VARS'!$A$50*(0.5*$DV19)</f>
        <v>331.99999999999989</v>
      </c>
      <c r="EG19" s="46">
        <f>'LINEST VARS'!$U$50+'LINEST VARS'!$T$50*(8)+'LINEST VARS'!$S$50*(8)+'LINEST VARS'!$R$50*($EG$8)+'LINEST VARS'!$Q$50*(0.5)+'LINEST VARS'!$P$50*($DV19)+'LINEST VARS'!$O$50*(8^2)+'LINEST VARS'!$N$50*(8^2)+'LINEST VARS'!$M$50*($EG$8^2)+'LINEST VARS'!$L$50*(0.5^2)+'LINEST VARS'!$K$50*($DV19^2)+'LINEST VARS'!$J$50*(8*8)+'LINEST VARS'!$I$50*(8*$EG$8)+'LINEST VARS'!$H$50*(8*0.5)+'LINEST VARS'!$G$50*(8*$DV19)+'LINEST VARS'!$F$50*(8*$EG$8)+'LINEST VARS'!$E$50*(8*0.5)+'LINEST VARS'!$D$50*(8*$DV19)+'LINEST VARS'!$C$50*($EG$8*0.5)+'LINEST VARS'!$B$50*($EG$8*$DV19)+'LINEST VARS'!$A$50*(0.5*$DV19)</f>
        <v>331.99999999999989</v>
      </c>
      <c r="EH19" s="46">
        <f>'LINEST VARS'!$U$50+'LINEST VARS'!$T$50*(8)+'LINEST VARS'!$S$50*(8)+'LINEST VARS'!$R$50*($EH$8)+'LINEST VARS'!$Q$50*(0.5)+'LINEST VARS'!$P$50*($DV19)+'LINEST VARS'!$O$50*(8^2)+'LINEST VARS'!$N$50*(8^2)+'LINEST VARS'!$M$50*($EH$8^2)+'LINEST VARS'!$L$50*(0.5^2)+'LINEST VARS'!$K$50*($DV19^2)+'LINEST VARS'!$J$50*(8*8)+'LINEST VARS'!$I$50*(8*$EH$8)+'LINEST VARS'!$H$50*(8*0.5)+'LINEST VARS'!$G$50*(8*$DV19)+'LINEST VARS'!$F$50*(8*$EH$8)+'LINEST VARS'!$E$50*(8*0.5)+'LINEST VARS'!$D$50*(8*$DV19)+'LINEST VARS'!$C$50*($EH$8*0.5)+'LINEST VARS'!$B$50*($EH$8*$DV19)+'LINEST VARS'!$A$50*(0.5*$DV19)</f>
        <v>331.99999999999989</v>
      </c>
      <c r="EI19" s="46">
        <f>'LINEST VARS'!$U$50+'LINEST VARS'!$T$50*(8)+'LINEST VARS'!$S$50*(8)+'LINEST VARS'!$R$50*($EI$8)+'LINEST VARS'!$Q$50*(0.5)+'LINEST VARS'!$P$50*($DV19)+'LINEST VARS'!$O$50*(8^2)+'LINEST VARS'!$N$50*(8^2)+'LINEST VARS'!$M$50*($EI$8^2)+'LINEST VARS'!$L$50*(0.5^2)+'LINEST VARS'!$K$50*($DV19^2)+'LINEST VARS'!$J$50*(8*8)+'LINEST VARS'!$I$50*(8*$EI$8)+'LINEST VARS'!$H$50*(8*0.5)+'LINEST VARS'!$G$50*(8*$DV19)+'LINEST VARS'!$F$50*(8*$EI$8)+'LINEST VARS'!$E$50*(8*0.5)+'LINEST VARS'!$D$50*(8*$DV19)+'LINEST VARS'!$C$50*($EI$8*0.5)+'LINEST VARS'!$B$50*($EI$8*$DV19)+'LINEST VARS'!$A$50*(0.5*$DV19)</f>
        <v>331.99999999999989</v>
      </c>
      <c r="EJ19" s="46">
        <f>'LINEST VARS'!$U$50+'LINEST VARS'!$T$50*(8)+'LINEST VARS'!$S$50*(8)+'LINEST VARS'!$R$50*($EJ$8)+'LINEST VARS'!$Q$50*(0.5)+'LINEST VARS'!$P$50*($DV19)+'LINEST VARS'!$O$50*(8^2)+'LINEST VARS'!$N$50*(8^2)+'LINEST VARS'!$M$50*($EJ$8^2)+'LINEST VARS'!$L$50*(0.5^2)+'LINEST VARS'!$K$50*($DV19^2)+'LINEST VARS'!$J$50*(8*8)+'LINEST VARS'!$I$50*(8*$EJ$8)+'LINEST VARS'!$H$50*(8*0.5)+'LINEST VARS'!$G$50*(8*$DV19)+'LINEST VARS'!$F$50*(8*$EJ$8)+'LINEST VARS'!$E$50*(8*0.5)+'LINEST VARS'!$D$50*(8*$DV19)+'LINEST VARS'!$C$50*($EJ$8*0.5)+'LINEST VARS'!$B$50*($EJ$8*$DV19)+'LINEST VARS'!$A$50*(0.5*$DV19)</f>
        <v>331.99999999999989</v>
      </c>
      <c r="EK19" s="46">
        <f>'LINEST VARS'!$U$50+'LINEST VARS'!$T$50*(8)+'LINEST VARS'!$S$50*(8)+'LINEST VARS'!$R$50*($EK$8)+'LINEST VARS'!$Q$50*(0.5)+'LINEST VARS'!$P$50*($DV19)+'LINEST VARS'!$O$50*(8^2)+'LINEST VARS'!$N$50*(8^2)+'LINEST VARS'!$M$50*($EK$8^2)+'LINEST VARS'!$L$50*(0.5^2)+'LINEST VARS'!$K$50*($DV19^2)+'LINEST VARS'!$J$50*(8*8)+'LINEST VARS'!$I$50*(8*$EK$8)+'LINEST VARS'!$H$50*(8*0.5)+'LINEST VARS'!$G$50*(8*$DV19)+'LINEST VARS'!$F$50*(8*$EK$8)+'LINEST VARS'!$E$50*(8*0.5)+'LINEST VARS'!$D$50*(8*$DV19)+'LINEST VARS'!$C$50*($EK$8*0.5)+'LINEST VARS'!$B$50*($EK$8*$DV19)+'LINEST VARS'!$A$50*(0.5*$DV19)</f>
        <v>331.99999999999989</v>
      </c>
      <c r="EL19" s="46">
        <f>'LINEST VARS'!$U$50+'LINEST VARS'!$T$50*(8)+'LINEST VARS'!$S$50*(8)+'LINEST VARS'!$R$50*($EL$8)+'LINEST VARS'!$Q$50*(0.5)+'LINEST VARS'!$P$50*($DV19)+'LINEST VARS'!$O$50*(8^2)+'LINEST VARS'!$N$50*(8^2)+'LINEST VARS'!$M$50*($EL$8^2)+'LINEST VARS'!$L$50*(0.5^2)+'LINEST VARS'!$K$50*($DV19^2)+'LINEST VARS'!$J$50*(8*8)+'LINEST VARS'!$I$50*(8*$EL$8)+'LINEST VARS'!$H$50*(8*0.5)+'LINEST VARS'!$G$50*(8*$DV19)+'LINEST VARS'!$F$50*(8*$EL$8)+'LINEST VARS'!$E$50*(8*0.5)+'LINEST VARS'!$D$50*(8*$DV19)+'LINEST VARS'!$C$50*($EL$8*0.5)+'LINEST VARS'!$B$50*($EL$8*$DV19)+'LINEST VARS'!$A$50*(0.5*$DV19)</f>
        <v>331.99999999999989</v>
      </c>
      <c r="EM19" s="46">
        <f>'LINEST VARS'!$U$50+'LINEST VARS'!$T$50*(8)+'LINEST VARS'!$S$50*(8)+'LINEST VARS'!$R$50*($EM$8)+'LINEST VARS'!$Q$50*(0.5)+'LINEST VARS'!$P$50*($DV19)+'LINEST VARS'!$O$50*(8^2)+'LINEST VARS'!$N$50*(8^2)+'LINEST VARS'!$M$50*($EM$8^2)+'LINEST VARS'!$L$50*(0.5^2)+'LINEST VARS'!$K$50*($DV19^2)+'LINEST VARS'!$J$50*(8*8)+'LINEST VARS'!$I$50*(8*$EM$8)+'LINEST VARS'!$H$50*(8*0.5)+'LINEST VARS'!$G$50*(8*$DV19)+'LINEST VARS'!$F$50*(8*$EM$8)+'LINEST VARS'!$E$50*(8*0.5)+'LINEST VARS'!$D$50*(8*$DV19)+'LINEST VARS'!$C$50*($EM$8*0.5)+'LINEST VARS'!$B$50*($EM$8*$DV19)+'LINEST VARS'!$A$50*(0.5*$DV19)</f>
        <v>331.99999999999989</v>
      </c>
      <c r="EN19" s="46">
        <f>'LINEST VARS'!$U$50+'LINEST VARS'!$T$50*(8)+'LINEST VARS'!$S$50*(8)+'LINEST VARS'!$R$50*($EN$8)+'LINEST VARS'!$Q$50*(0.5)+'LINEST VARS'!$P$50*($DV19)+'LINEST VARS'!$O$50*(8^2)+'LINEST VARS'!$N$50*(8^2)+'LINEST VARS'!$M$50*($EN$8^2)+'LINEST VARS'!$L$50*(0.5^2)+'LINEST VARS'!$K$50*($DV19^2)+'LINEST VARS'!$J$50*(8*8)+'LINEST VARS'!$I$50*(8*$EN$8)+'LINEST VARS'!$H$50*(8*0.5)+'LINEST VARS'!$G$50*(8*$DV19)+'LINEST VARS'!$F$50*(8*$EN$8)+'LINEST VARS'!$E$50*(8*0.5)+'LINEST VARS'!$D$50*(8*$DV19)+'LINEST VARS'!$C$50*($EN$8*0.5)+'LINEST VARS'!$B$50*($EN$8*$DV19)+'LINEST VARS'!$A$50*(0.5*$DV19)</f>
        <v>331.99999999999989</v>
      </c>
      <c r="EO19" s="46">
        <f>'LINEST VARS'!$U$50+'LINEST VARS'!$T$50*(8)+'LINEST VARS'!$S$50*(8)+'LINEST VARS'!$R$50*($EO$8)+'LINEST VARS'!$Q$50*(0.5)+'LINEST VARS'!$P$50*($DV19)+'LINEST VARS'!$O$50*(8^2)+'LINEST VARS'!$N$50*(8^2)+'LINEST VARS'!$M$50*($EO$8^2)+'LINEST VARS'!$L$50*(0.5^2)+'LINEST VARS'!$K$50*($DV19^2)+'LINEST VARS'!$J$50*(8*8)+'LINEST VARS'!$I$50*(8*$EO$8)+'LINEST VARS'!$H$50*(8*0.5)+'LINEST VARS'!$G$50*(8*$DV19)+'LINEST VARS'!$F$50*(8*$EO$8)+'LINEST VARS'!$E$50*(8*0.5)+'LINEST VARS'!$D$50*(8*$DV19)+'LINEST VARS'!$C$50*($EO$8*0.5)+'LINEST VARS'!$B$50*($EO$8*$DV19)+'LINEST VARS'!$A$50*(0.5*$DV19)</f>
        <v>331.99999999999989</v>
      </c>
      <c r="EP19" s="46">
        <f>'LINEST VARS'!$U$50+'LINEST VARS'!$T$50*(8)+'LINEST VARS'!$S$50*(8)+'LINEST VARS'!$R$50*($EP$8)+'LINEST VARS'!$Q$50*(0.5)+'LINEST VARS'!$P$50*($DV19)+'LINEST VARS'!$O$50*(8^2)+'LINEST VARS'!$N$50*(8^2)+'LINEST VARS'!$M$50*($EP$8^2)+'LINEST VARS'!$L$50*(0.5^2)+'LINEST VARS'!$K$50*($DV19^2)+'LINEST VARS'!$J$50*(8*8)+'LINEST VARS'!$I$50*(8*$EP$8)+'LINEST VARS'!$H$50*(8*0.5)+'LINEST VARS'!$G$50*(8*$DV19)+'LINEST VARS'!$F$50*(8*$EP$8)+'LINEST VARS'!$E$50*(8*0.5)+'LINEST VARS'!$D$50*(8*$DV19)+'LINEST VARS'!$C$50*($EP$8*0.5)+'LINEST VARS'!$B$50*($EP$8*$DV19)+'LINEST VARS'!$A$50*(0.5*$DV19)</f>
        <v>331.99999999999989</v>
      </c>
      <c r="EQ19" s="47">
        <f>'LINEST VARS'!$U$50+'LINEST VARS'!$T$50*(8)+'LINEST VARS'!$S$50*(8)+'LINEST VARS'!$R$50*($EQ$8)+'LINEST VARS'!$Q$50*(0.5)+'LINEST VARS'!$P$50*($DV19)+'LINEST VARS'!$O$50*(8^2)+'LINEST VARS'!$N$50*(8^2)+'LINEST VARS'!$M$50*($EQ$8^2)+'LINEST VARS'!$L$50*(0.5^2)+'LINEST VARS'!$K$50*($DV19^2)+'LINEST VARS'!$J$50*(8*8)+'LINEST VARS'!$I$50*(8*$EQ$8)+'LINEST VARS'!$H$50*(8*0.5)+'LINEST VARS'!$G$50*(8*$DV19)+'LINEST VARS'!$F$50*(8*$EQ$8)+'LINEST VARS'!$E$50*(8*0.5)+'LINEST VARS'!$D$50*(8*$DV19)+'LINEST VARS'!$C$50*($EQ$8*0.5)+'LINEST VARS'!$B$50*($EQ$8*$DV19)+'LINEST VARS'!$A$50*(0.5*$DV19)</f>
        <v>331.99999999999989</v>
      </c>
    </row>
    <row r="20" spans="2:147" ht="15" customHeight="1" x14ac:dyDescent="0.25">
      <c r="B20" s="45">
        <v>8.06</v>
      </c>
      <c r="C20" s="46">
        <f>'LINEST VARS'!$U$48+'LINEST VARS'!$T$48*($C$8)+'LINEST VARS'!$S$48*($B20)+'LINEST VARS'!$R$48*(4)+'LINEST VARS'!$Q$48*(0.5)+'LINEST VARS'!$P$48*(12.73)+'LINEST VARS'!$O$48*($C$8^2)+'LINEST VARS'!$N$48*($B20^2)+'LINEST VARS'!$M$48*(4^2)+'LINEST VARS'!$L$48*(0.5^2)+'LINEST VARS'!$K$48*(12.73^2)+'LINEST VARS'!$J$48*($C$8*$B20)+'LINEST VARS'!$I$48*($C$8*4)+'LINEST VARS'!$H$48*($C$8*0.5)+'LINEST VARS'!$G$48*($C$8*12.73)+'LINEST VARS'!$F$48*($B20*4)+'LINEST VARS'!$E$48*($B20*0.5)+'LINEST VARS'!$D$48*($B20*12.73)+'LINEST VARS'!$C$48*(4*0.5)+'LINEST VARS'!$B$48*(4*12.73)+'LINEST VARS'!$A$48*(0.5*12.73)</f>
        <v>322.77999999999992</v>
      </c>
      <c r="D20" s="46">
        <f>'LINEST VARS'!$U$48+'LINEST VARS'!$T$48*($D$8)+'LINEST VARS'!$S$48*($B20)+'LINEST VARS'!$R$48*(4)+'LINEST VARS'!$Q$48*(0.5)+'LINEST VARS'!$P$48*(12.73)+'LINEST VARS'!$O$48*($D$8^2)+'LINEST VARS'!$N$48*($B20^2)+'LINEST VARS'!$M$48*(4^2)+'LINEST VARS'!$L$48*(0.5^2)+'LINEST VARS'!$K$48*(12.73^2)+'LINEST VARS'!$J$48*($D$8*$B20)+'LINEST VARS'!$I$48*($D$8*4)+'LINEST VARS'!$H$48*($D$8*0.5)+'LINEST VARS'!$G$48*($D$8*12.73)+'LINEST VARS'!$F$48*($B20*4)+'LINEST VARS'!$E$48*($B20*0.5)+'LINEST VARS'!$D$48*($B20*12.73)+'LINEST VARS'!$C$48*(4*0.5)+'LINEST VARS'!$B$48*(4*12.73)+'LINEST VARS'!$A$48*(0.5*12.73)</f>
        <v>327.35799999999989</v>
      </c>
      <c r="E20" s="46">
        <f>'LINEST VARS'!$U$48+'LINEST VARS'!$T$48*($E$8)+'LINEST VARS'!$S$48*($B20)+'LINEST VARS'!$R$48*(4)+'LINEST VARS'!$Q$48*(0.5)+'LINEST VARS'!$P$48*(12.73)+'LINEST VARS'!$O$48*($E$8^2)+'LINEST VARS'!$N$48*($B20^2)+'LINEST VARS'!$M$48*(4^2)+'LINEST VARS'!$L$48*(0.5^2)+'LINEST VARS'!$K$48*(12.73^2)+'LINEST VARS'!$J$48*($E$8*$B20)+'LINEST VARS'!$I$48*($E$8*4)+'LINEST VARS'!$H$48*($E$8*0.5)+'LINEST VARS'!$G$48*($E$8*12.73)+'LINEST VARS'!$F$48*($B20*4)+'LINEST VARS'!$E$48*($B20*0.5)+'LINEST VARS'!$D$48*($B20*12.73)+'LINEST VARS'!$C$48*(4*0.5)+'LINEST VARS'!$B$48*(4*12.73)+'LINEST VARS'!$A$48*(0.5*12.73)</f>
        <v>331.97199999999987</v>
      </c>
      <c r="F20" s="46">
        <f>'LINEST VARS'!$U$48+'LINEST VARS'!$T$48*($F$8)+'LINEST VARS'!$S$48*($B20)+'LINEST VARS'!$R$48*(4)+'LINEST VARS'!$Q$48*(0.5)+'LINEST VARS'!$P$48*(12.73)+'LINEST VARS'!$O$48*($F$8^2)+'LINEST VARS'!$N$48*($B20^2)+'LINEST VARS'!$M$48*(4^2)+'LINEST VARS'!$L$48*(0.5^2)+'LINEST VARS'!$K$48*(12.73^2)+'LINEST VARS'!$J$48*($F$8*$B20)+'LINEST VARS'!$I$48*($F$8*4)+'LINEST VARS'!$H$48*($F$8*0.5)+'LINEST VARS'!$G$48*($F$8*12.73)+'LINEST VARS'!$F$48*($B20*4)+'LINEST VARS'!$E$48*($B20*0.5)+'LINEST VARS'!$D$48*($B20*12.73)+'LINEST VARS'!$C$48*(4*0.5)+'LINEST VARS'!$B$48*(4*12.73)+'LINEST VARS'!$A$48*(0.5*12.73)</f>
        <v>336.6219999999999</v>
      </c>
      <c r="G20" s="46">
        <f>'LINEST VARS'!$U$48+'LINEST VARS'!$T$48*($G$8)+'LINEST VARS'!$S$48*($B20)+'LINEST VARS'!$R$48*(4)+'LINEST VARS'!$Q$48*(0.5)+'LINEST VARS'!$P$48*(12.73)+'LINEST VARS'!$O$48*($G$8^2)+'LINEST VARS'!$N$48*($B20^2)+'LINEST VARS'!$M$48*(4^2)+'LINEST VARS'!$L$48*(0.5^2)+'LINEST VARS'!$K$48*(12.73^2)+'LINEST VARS'!$J$48*($G$8*$B20)+'LINEST VARS'!$I$48*($G$8*4)+'LINEST VARS'!$H$48*($G$8*0.5)+'LINEST VARS'!$G$48*($G$8*12.73)+'LINEST VARS'!$F$48*($B20*4)+'LINEST VARS'!$E$48*($B20*0.5)+'LINEST VARS'!$D$48*($B20*12.73)+'LINEST VARS'!$C$48*(4*0.5)+'LINEST VARS'!$B$48*(4*12.73)+'LINEST VARS'!$A$48*(0.5*12.73)</f>
        <v>341.30799999999994</v>
      </c>
      <c r="H20" s="46">
        <f>'LINEST VARS'!$U$48+'LINEST VARS'!$T$48*($H$8)+'LINEST VARS'!$S$48*($B20)+'LINEST VARS'!$R$48*(4)+'LINEST VARS'!$Q$48*(0.5)+'LINEST VARS'!$P$48*(12.73)+'LINEST VARS'!$O$48*($H$8^2)+'LINEST VARS'!$N$48*($B20^2)+'LINEST VARS'!$M$48*(4^2)+'LINEST VARS'!$L$48*(0.5^2)+'LINEST VARS'!$K$48*(12.73^2)+'LINEST VARS'!$J$48*($H$8*$B20)+'LINEST VARS'!$I$48*($H$8*4)+'LINEST VARS'!$H$48*($H$8*0.5)+'LINEST VARS'!$G$48*($H$8*12.73)+'LINEST VARS'!$F$48*($B20*4)+'LINEST VARS'!$E$48*($B20*0.5)+'LINEST VARS'!$D$48*($B20*12.73)+'LINEST VARS'!$C$48*(4*0.5)+'LINEST VARS'!$B$48*(4*12.73)+'LINEST VARS'!$A$48*(0.5*12.73)</f>
        <v>346.03</v>
      </c>
      <c r="I20" s="46">
        <f>'LINEST VARS'!$U$48+'LINEST VARS'!$T$48*($I$8)+'LINEST VARS'!$S$48*($B20)+'LINEST VARS'!$R$48*(4)+'LINEST VARS'!$Q$48*(0.5)+'LINEST VARS'!$P$48*(12.73)+'LINEST VARS'!$O$48*($I$8^2)+'LINEST VARS'!$N$48*($B20^2)+'LINEST VARS'!$M$48*(4^2)+'LINEST VARS'!$L$48*(0.5^2)+'LINEST VARS'!$K$48*(12.73^2)+'LINEST VARS'!$J$48*($I$8*$B20)+'LINEST VARS'!$I$48*($I$8*4)+'LINEST VARS'!$H$48*($I$8*0.5)+'LINEST VARS'!$G$48*($I$8*12.73)+'LINEST VARS'!$F$48*($B20*4)+'LINEST VARS'!$E$48*($B20*0.5)+'LINEST VARS'!$D$48*($B20*12.73)+'LINEST VARS'!$C$48*(4*0.5)+'LINEST VARS'!$B$48*(4*12.73)+'LINEST VARS'!$A$48*(0.5*12.73)</f>
        <v>350.7879999999999</v>
      </c>
      <c r="J20" s="46">
        <f>'LINEST VARS'!$U$48+'LINEST VARS'!$T$48*($J$8)+'LINEST VARS'!$S$48*($B20)+'LINEST VARS'!$R$48*(4)+'LINEST VARS'!$Q$48*(0.5)+'LINEST VARS'!$P$48*(12.73)+'LINEST VARS'!$O$48*($J$8^2)+'LINEST VARS'!$N$48*($B20^2)+'LINEST VARS'!$M$48*(4^2)+'LINEST VARS'!$L$48*(0.5^2)+'LINEST VARS'!$K$48*(12.73^2)+'LINEST VARS'!$J$48*($J$8*$B20)+'LINEST VARS'!$I$48*($J$8*4)+'LINEST VARS'!$H$48*($J$8*0.5)+'LINEST VARS'!$G$48*($J$8*12.73)+'LINEST VARS'!$F$48*($B20*4)+'LINEST VARS'!$E$48*($B20*0.5)+'LINEST VARS'!$D$48*($B20*12.73)+'LINEST VARS'!$C$48*(4*0.5)+'LINEST VARS'!$B$48*(4*12.73)+'LINEST VARS'!$A$48*(0.5*12.73)</f>
        <v>355.58199999999994</v>
      </c>
      <c r="K20" s="46">
        <f>'LINEST VARS'!$U$48+'LINEST VARS'!$T$48*($K$8)+'LINEST VARS'!$S$48*($B20)+'LINEST VARS'!$R$48*(4)+'LINEST VARS'!$Q$48*(0.5)+'LINEST VARS'!$P$48*(12.73)+'LINEST VARS'!$O$48*($K$8^2)+'LINEST VARS'!$N$48*($B20^2)+'LINEST VARS'!$M$48*(4^2)+'LINEST VARS'!$L$48*(0.5^2)+'LINEST VARS'!$K$48*(12.73^2)+'LINEST VARS'!$J$48*($K$8*$B20)+'LINEST VARS'!$I$48*($K$8*4)+'LINEST VARS'!$H$48*($K$8*0.5)+'LINEST VARS'!$G$48*($K$8*12.73)+'LINEST VARS'!$F$48*($B20*4)+'LINEST VARS'!$E$48*($B20*0.5)+'LINEST VARS'!$D$48*($B20*12.73)+'LINEST VARS'!$C$48*(4*0.5)+'LINEST VARS'!$B$48*(4*12.73)+'LINEST VARS'!$A$48*(0.5*12.73)</f>
        <v>360.41199999999992</v>
      </c>
      <c r="L20" s="46">
        <f>'LINEST VARS'!$U$48+'LINEST VARS'!$T$48*($L$8)+'LINEST VARS'!$S$48*($B20)+'LINEST VARS'!$R$48*(4)+'LINEST VARS'!$Q$48*(0.5)+'LINEST VARS'!$P$48*(12.73)+'LINEST VARS'!$O$48*($L$8^2)+'LINEST VARS'!$N$48*($B20^2)+'LINEST VARS'!$M$48*(4^2)+'LINEST VARS'!$L$48*(0.5^2)+'LINEST VARS'!$K$48*(12.73^2)+'LINEST VARS'!$J$48*($L$8*$B20)+'LINEST VARS'!$I$48*($L$8*4)+'LINEST VARS'!$H$48*($L$8*0.5)+'LINEST VARS'!$G$48*($L$8*12.73)+'LINEST VARS'!$F$48*($B20*4)+'LINEST VARS'!$E$48*($B20*0.5)+'LINEST VARS'!$D$48*($B20*12.73)+'LINEST VARS'!$C$48*(4*0.5)+'LINEST VARS'!$B$48*(4*12.73)+'LINEST VARS'!$A$48*(0.5*12.73)</f>
        <v>365.27799999999991</v>
      </c>
      <c r="M20" s="46">
        <f>'LINEST VARS'!$U$48+'LINEST VARS'!$T$48*($M$8)+'LINEST VARS'!$S$48*($B20)+'LINEST VARS'!$R$48*(4)+'LINEST VARS'!$Q$48*(0.5)+'LINEST VARS'!$P$48*(12.73)+'LINEST VARS'!$O$48*($M$8^2)+'LINEST VARS'!$N$48*($B20^2)+'LINEST VARS'!$M$48*(4^2)+'LINEST VARS'!$L$48*(0.5^2)+'LINEST VARS'!$K$48*(12.73^2)+'LINEST VARS'!$J$48*($M$8*$B20)+'LINEST VARS'!$I$48*($M$8*4)+'LINEST VARS'!$H$48*($M$8*0.5)+'LINEST VARS'!$G$48*($M$8*12.73)+'LINEST VARS'!$F$48*($B20*4)+'LINEST VARS'!$E$48*($B20*0.5)+'LINEST VARS'!$D$48*($B20*12.73)+'LINEST VARS'!$C$48*(4*0.5)+'LINEST VARS'!$B$48*(4*12.73)+'LINEST VARS'!$A$48*(0.5*12.73)</f>
        <v>370.17999999999984</v>
      </c>
      <c r="N20" s="46">
        <f>'LINEST VARS'!$U$48+'LINEST VARS'!$T$48*($N$8)+'LINEST VARS'!$S$48*($B20)+'LINEST VARS'!$R$48*(4)+'LINEST VARS'!$Q$48*(0.5)+'LINEST VARS'!$P$48*(12.73)+'LINEST VARS'!$O$48*($N$8^2)+'LINEST VARS'!$N$48*($B20^2)+'LINEST VARS'!$M$48*(4^2)+'LINEST VARS'!$L$48*(0.5^2)+'LINEST VARS'!$K$48*(12.73^2)+'LINEST VARS'!$J$48*($N$8*$B20)+'LINEST VARS'!$I$48*($N$8*4)+'LINEST VARS'!$H$48*($N$8*0.5)+'LINEST VARS'!$G$48*($N$8*12.73)+'LINEST VARS'!$F$48*($B20*4)+'LINEST VARS'!$E$48*($B20*0.5)+'LINEST VARS'!$D$48*($B20*12.73)+'LINEST VARS'!$C$48*(4*0.5)+'LINEST VARS'!$B$48*(4*12.73)+'LINEST VARS'!$A$48*(0.5*12.73)</f>
        <v>375.11799999999994</v>
      </c>
      <c r="O20" s="46">
        <f>'LINEST VARS'!$U$48+'LINEST VARS'!$T$48*($O$8)+'LINEST VARS'!$S$48*($B20)+'LINEST VARS'!$R$48*(4)+'LINEST VARS'!$Q$48*(0.5)+'LINEST VARS'!$P$48*(12.73)+'LINEST VARS'!$O$48*($O$8^2)+'LINEST VARS'!$N$48*($B20^2)+'LINEST VARS'!$M$48*(4^2)+'LINEST VARS'!$L$48*(0.5^2)+'LINEST VARS'!$K$48*(12.73^2)+'LINEST VARS'!$J$48*($O$8*$B20)+'LINEST VARS'!$I$48*($O$8*4)+'LINEST VARS'!$H$48*($O$8*0.5)+'LINEST VARS'!$G$48*($O$8*12.73)+'LINEST VARS'!$F$48*($B20*4)+'LINEST VARS'!$E$48*($B20*0.5)+'LINEST VARS'!$D$48*($B20*12.73)+'LINEST VARS'!$C$48*(4*0.5)+'LINEST VARS'!$B$48*(4*12.73)+'LINEST VARS'!$A$48*(0.5*12.73)</f>
        <v>380.09199999999981</v>
      </c>
      <c r="P20" s="46">
        <f>'LINEST VARS'!$U$48+'LINEST VARS'!$T$48*($P$8)+'LINEST VARS'!$S$48*($B20)+'LINEST VARS'!$R$48*(4)+'LINEST VARS'!$Q$48*(0.5)+'LINEST VARS'!$P$48*(12.73)+'LINEST VARS'!$O$48*($P$8^2)+'LINEST VARS'!$N$48*($B20^2)+'LINEST VARS'!$M$48*(4^2)+'LINEST VARS'!$L$48*(0.5^2)+'LINEST VARS'!$K$48*(12.73^2)+'LINEST VARS'!$J$48*($P$8*$B20)+'LINEST VARS'!$I$48*($P$8*4)+'LINEST VARS'!$H$48*($P$8*0.5)+'LINEST VARS'!$G$48*($P$8*12.73)+'LINEST VARS'!$F$48*($B20*4)+'LINEST VARS'!$E$48*($B20*0.5)+'LINEST VARS'!$D$48*($B20*12.73)+'LINEST VARS'!$C$48*(4*0.5)+'LINEST VARS'!$B$48*(4*12.73)+'LINEST VARS'!$A$48*(0.5*12.73)</f>
        <v>385.1019999999998</v>
      </c>
      <c r="Q20" s="46">
        <f>'LINEST VARS'!$U$48+'LINEST VARS'!$T$48*($Q$8)+'LINEST VARS'!$S$48*($B20)+'LINEST VARS'!$R$48*(4)+'LINEST VARS'!$Q$48*(0.5)+'LINEST VARS'!$P$48*(12.73)+'LINEST VARS'!$O$48*($Q$8^2)+'LINEST VARS'!$N$48*($B20^2)+'LINEST VARS'!$M$48*(4^2)+'LINEST VARS'!$L$48*(0.5^2)+'LINEST VARS'!$K$48*(12.73^2)+'LINEST VARS'!$J$48*($Q$8*$B20)+'LINEST VARS'!$I$48*($Q$8*4)+'LINEST VARS'!$H$48*($Q$8*0.5)+'LINEST VARS'!$G$48*($Q$8*12.73)+'LINEST VARS'!$F$48*($B20*4)+'LINEST VARS'!$E$48*($B20*0.5)+'LINEST VARS'!$D$48*($B20*12.73)+'LINEST VARS'!$C$48*(4*0.5)+'LINEST VARS'!$B$48*(4*12.73)+'LINEST VARS'!$A$48*(0.5*12.73)</f>
        <v>390.14799999999985</v>
      </c>
      <c r="R20" s="46">
        <f>'LINEST VARS'!$U$48+'LINEST VARS'!$T$48*($R$8)+'LINEST VARS'!$S$48*($B20)+'LINEST VARS'!$R$48*(4)+'LINEST VARS'!$Q$48*(0.5)+'LINEST VARS'!$P$48*(12.73)+'LINEST VARS'!$O$48*($R$8^2)+'LINEST VARS'!$N$48*($B20^2)+'LINEST VARS'!$M$48*(4^2)+'LINEST VARS'!$L$48*(0.5^2)+'LINEST VARS'!$K$48*(12.73^2)+'LINEST VARS'!$J$48*($R$8*$B20)+'LINEST VARS'!$I$48*($R$8*4)+'LINEST VARS'!$H$48*($R$8*0.5)+'LINEST VARS'!$G$48*($R$8*12.73)+'LINEST VARS'!$F$48*($B20*4)+'LINEST VARS'!$E$48*($B20*0.5)+'LINEST VARS'!$D$48*($B20*12.73)+'LINEST VARS'!$C$48*(4*0.5)+'LINEST VARS'!$B$48*(4*12.73)+'LINEST VARS'!$A$48*(0.5*12.73)</f>
        <v>395.2299999999999</v>
      </c>
      <c r="S20" s="46">
        <f>'LINEST VARS'!$U$48+'LINEST VARS'!$T$48*($S$8)+'LINEST VARS'!$S$48*($B20)+'LINEST VARS'!$R$48*(4)+'LINEST VARS'!$Q$48*(0.5)+'LINEST VARS'!$P$48*(12.73)+'LINEST VARS'!$O$48*($S$8^2)+'LINEST VARS'!$N$48*($B20^2)+'LINEST VARS'!$M$48*(4^2)+'LINEST VARS'!$L$48*(0.5^2)+'LINEST VARS'!$K$48*(12.73^2)+'LINEST VARS'!$J$48*($S$8*$B20)+'LINEST VARS'!$I$48*($S$8*4)+'LINEST VARS'!$H$48*($S$8*0.5)+'LINEST VARS'!$G$48*($S$8*12.73)+'LINEST VARS'!$F$48*($B20*4)+'LINEST VARS'!$E$48*($B20*0.5)+'LINEST VARS'!$D$48*($B20*12.73)+'LINEST VARS'!$C$48*(4*0.5)+'LINEST VARS'!$B$48*(4*12.73)+'LINEST VARS'!$A$48*(0.5*12.73)</f>
        <v>400.34799999999979</v>
      </c>
      <c r="T20" s="46">
        <f>'LINEST VARS'!$U$48+'LINEST VARS'!$T$48*($T$8)+'LINEST VARS'!$S$48*($B20)+'LINEST VARS'!$R$48*(4)+'LINEST VARS'!$Q$48*(0.5)+'LINEST VARS'!$P$48*(12.73)+'LINEST VARS'!$O$48*($T$8^2)+'LINEST VARS'!$N$48*($B20^2)+'LINEST VARS'!$M$48*(4^2)+'LINEST VARS'!$L$48*(0.5^2)+'LINEST VARS'!$K$48*(12.73^2)+'LINEST VARS'!$J$48*($T$8*$B20)+'LINEST VARS'!$I$48*($T$8*4)+'LINEST VARS'!$H$48*($T$8*0.5)+'LINEST VARS'!$G$48*($T$8*12.73)+'LINEST VARS'!$F$48*($B20*4)+'LINEST VARS'!$E$48*($B20*0.5)+'LINEST VARS'!$D$48*($B20*12.73)+'LINEST VARS'!$C$48*(4*0.5)+'LINEST VARS'!$B$48*(4*12.73)+'LINEST VARS'!$A$48*(0.5*12.73)</f>
        <v>405.50199999999984</v>
      </c>
      <c r="U20" s="46">
        <f>'LINEST VARS'!$U$48+'LINEST VARS'!$T$48*($U$8)+'LINEST VARS'!$S$48*($B20)+'LINEST VARS'!$R$48*(4)+'LINEST VARS'!$Q$48*(0.5)+'LINEST VARS'!$P$48*(12.73)+'LINEST VARS'!$O$48*($U$8^2)+'LINEST VARS'!$N$48*($B20^2)+'LINEST VARS'!$M$48*(4^2)+'LINEST VARS'!$L$48*(0.5^2)+'LINEST VARS'!$K$48*(12.73^2)+'LINEST VARS'!$J$48*($U$8*$B20)+'LINEST VARS'!$I$48*($U$8*4)+'LINEST VARS'!$H$48*($U$8*0.5)+'LINEST VARS'!$G$48*($U$8*12.73)+'LINEST VARS'!$F$48*($B20*4)+'LINEST VARS'!$E$48*($B20*0.5)+'LINEST VARS'!$D$48*($B20*12.73)+'LINEST VARS'!$C$48*(4*0.5)+'LINEST VARS'!$B$48*(4*12.73)+'LINEST VARS'!$A$48*(0.5*12.73)</f>
        <v>410.69199999999989</v>
      </c>
      <c r="V20" s="46">
        <f>'LINEST VARS'!$U$48+'LINEST VARS'!$T$48*($V$8)+'LINEST VARS'!$S$48*($B20)+'LINEST VARS'!$R$48*(4)+'LINEST VARS'!$Q$48*(0.5)+'LINEST VARS'!$P$48*(12.73)+'LINEST VARS'!$O$48*($V$8^2)+'LINEST VARS'!$N$48*($B20^2)+'LINEST VARS'!$M$48*(4^2)+'LINEST VARS'!$L$48*(0.5^2)+'LINEST VARS'!$K$48*(12.73^2)+'LINEST VARS'!$J$48*($V$8*$B20)+'LINEST VARS'!$I$48*($V$8*4)+'LINEST VARS'!$H$48*($V$8*0.5)+'LINEST VARS'!$G$48*($V$8*12.73)+'LINEST VARS'!$F$48*($B20*4)+'LINEST VARS'!$E$48*($B20*0.5)+'LINEST VARS'!$D$48*($B20*12.73)+'LINEST VARS'!$C$48*(4*0.5)+'LINEST VARS'!$B$48*(4*12.73)+'LINEST VARS'!$A$48*(0.5*12.73)</f>
        <v>415.91799999999984</v>
      </c>
      <c r="W20" s="47">
        <f>'LINEST VARS'!$U$48+'LINEST VARS'!$T$48*($W$8)+'LINEST VARS'!$S$48*($B20)+'LINEST VARS'!$R$48*(4)+'LINEST VARS'!$Q$48*(0.5)+'LINEST VARS'!$P$48*(12.73)+'LINEST VARS'!$O$48*($W$8^2)+'LINEST VARS'!$N$48*($B20^2)+'LINEST VARS'!$M$48*(4^2)+'LINEST VARS'!$L$48*(0.5^2)+'LINEST VARS'!$K$48*(12.73^2)+'LINEST VARS'!$J$48*($W$8*$B20)+'LINEST VARS'!$I$48*($W$8*4)+'LINEST VARS'!$H$48*($W$8*0.5)+'LINEST VARS'!$G$48*($W$8*12.73)+'LINEST VARS'!$F$48*($B20*4)+'LINEST VARS'!$E$48*($B20*0.5)+'LINEST VARS'!$D$48*($B20*12.73)+'LINEST VARS'!$C$48*(4*0.5)+'LINEST VARS'!$B$48*(4*12.73)+'LINEST VARS'!$A$48*(0.5*12.73)</f>
        <v>421.17999999999984</v>
      </c>
      <c r="Z20" s="45">
        <v>8.06</v>
      </c>
      <c r="AA20" s="46">
        <f>'LINEST VARS'!$U$50+'LINEST VARS'!$T$50*($AA$8)+'LINEST VARS'!$S$50*($Z20)+'LINEST VARS'!$R$50*(4)+'LINEST VARS'!$Q$50*(0.5)+'LINEST VARS'!$P$50*(12.73)+'LINEST VARS'!$O$50*($AA$8^2)+'LINEST VARS'!$N$50*($Z20^2)+'LINEST VARS'!$M$50*(4^2)+'LINEST VARS'!$L$50*(0.5^2)+'LINEST VARS'!$K$50*(12.73^2)+'LINEST VARS'!$J$50*($AA$8*$Z20)+'LINEST VARS'!$I$50*($AA$8*4)+'LINEST VARS'!$H$50*($AA$8*0.5)+'LINEST VARS'!$G$50*($AA$8*12.73)+'LINEST VARS'!$F$50*($Z20*4)+'LINEST VARS'!$E$50*($Z20*0.5)+'LINEST VARS'!$D$50*($Z20*12.73)+'LINEST VARS'!$C$50*(4*0.5)+'LINEST VARS'!$B$50*(4*12.73)+'LINEST VARS'!$A$50*(0.5*12.73)</f>
        <v>331.24999999999994</v>
      </c>
      <c r="AB20" s="46">
        <f>'LINEST VARS'!$U$50+'LINEST VARS'!$T$50*($AB$8)+'LINEST VARS'!$S$50*($Z20)+'LINEST VARS'!$R$50*(4)+'LINEST VARS'!$Q$50*(0.5)+'LINEST VARS'!$P$50*(12.73)+'LINEST VARS'!$O$50*($AB$8^2)+'LINEST VARS'!$N$50*($Z20^2)+'LINEST VARS'!$M$50*(4^2)+'LINEST VARS'!$L$50*(0.5^2)+'LINEST VARS'!$K$50*(12.73^2)+'LINEST VARS'!$J$50*($AB$8*$Z20)+'LINEST VARS'!$I$50*($AB$8*4)+'LINEST VARS'!$H$50*($AB$8*0.5)+'LINEST VARS'!$G$50*($AB$8*12.73)+'LINEST VARS'!$F$50*($Z20*4)+'LINEST VARS'!$E$50*($Z20*0.5)+'LINEST VARS'!$D$50*($Z20*12.73)+'LINEST VARS'!$C$50*(4*0.5)+'LINEST VARS'!$B$50*(4*12.73)+'LINEST VARS'!$A$50*(0.5*12.73)</f>
        <v>331.33999999999992</v>
      </c>
      <c r="AC20" s="46">
        <f>'LINEST VARS'!$U$50+'LINEST VARS'!$T$50*($AC$8)+'LINEST VARS'!$S$50*($Z20)+'LINEST VARS'!$R$50*(4)+'LINEST VARS'!$Q$50*(0.5)+'LINEST VARS'!$P$50*(12.73)+'LINEST VARS'!$O$50*($AC$8^2)+'LINEST VARS'!$N$50*($Z20^2)+'LINEST VARS'!$M$50*(4^2)+'LINEST VARS'!$L$50*(0.5^2)+'LINEST VARS'!$K$50*(12.73^2)+'LINEST VARS'!$J$50*($AC$8*$Z20)+'LINEST VARS'!$I$50*($AC$8*4)+'LINEST VARS'!$H$50*($AC$8*0.5)+'LINEST VARS'!$G$50*($AC$8*12.73)+'LINEST VARS'!$F$50*($Z20*4)+'LINEST VARS'!$E$50*($Z20*0.5)+'LINEST VARS'!$D$50*($Z20*12.73)+'LINEST VARS'!$C$50*(4*0.5)+'LINEST VARS'!$B$50*(4*12.73)+'LINEST VARS'!$A$50*(0.5*12.73)</f>
        <v>331.42999999999995</v>
      </c>
      <c r="AD20" s="46">
        <f>'LINEST VARS'!$U$50+'LINEST VARS'!$T$50*($AD$8)+'LINEST VARS'!$S$50*($Z20)+'LINEST VARS'!$R$50*(4)+'LINEST VARS'!$Q$50*(0.5)+'LINEST VARS'!$P$50*(12.73)+'LINEST VARS'!$O$50*($AD$8^2)+'LINEST VARS'!$N$50*($Z20^2)+'LINEST VARS'!$M$50*(4^2)+'LINEST VARS'!$L$50*(0.5^2)+'LINEST VARS'!$K$50*(12.73^2)+'LINEST VARS'!$J$50*($AD$8*$Z20)+'LINEST VARS'!$I$50*($AD$8*4)+'LINEST VARS'!$H$50*($AD$8*0.5)+'LINEST VARS'!$G$50*($AD$8*12.73)+'LINEST VARS'!$F$50*($Z20*4)+'LINEST VARS'!$E$50*($Z20*0.5)+'LINEST VARS'!$D$50*($Z20*12.73)+'LINEST VARS'!$C$50*(4*0.5)+'LINEST VARS'!$B$50*(4*12.73)+'LINEST VARS'!$A$50*(0.5*12.73)</f>
        <v>331.51999999999987</v>
      </c>
      <c r="AE20" s="46">
        <f>'LINEST VARS'!$U$50+'LINEST VARS'!$T$50*($AE$8)+'LINEST VARS'!$S$50*($Z20)+'LINEST VARS'!$R$50*(4)+'LINEST VARS'!$Q$50*(0.5)+'LINEST VARS'!$P$50*(12.73)+'LINEST VARS'!$O$50*($AE$8^2)+'LINEST VARS'!$N$50*($Z20^2)+'LINEST VARS'!$M$50*(4^2)+'LINEST VARS'!$L$50*(0.5^2)+'LINEST VARS'!$K$50*(12.73^2)+'LINEST VARS'!$J$50*($AE$8*$Z20)+'LINEST VARS'!$I$50*($AE$8*4)+'LINEST VARS'!$H$50*($AE$8*0.5)+'LINEST VARS'!$G$50*($AE$8*12.73)+'LINEST VARS'!$F$50*($Z20*4)+'LINEST VARS'!$E$50*($Z20*0.5)+'LINEST VARS'!$D$50*($Z20*12.73)+'LINEST VARS'!$C$50*(4*0.5)+'LINEST VARS'!$B$50*(4*12.73)+'LINEST VARS'!$A$50*(0.5*12.73)</f>
        <v>331.60999999999984</v>
      </c>
      <c r="AF20" s="46">
        <f>'LINEST VARS'!$U$50+'LINEST VARS'!$T$50*($AF$8)+'LINEST VARS'!$S$50*($Z20)+'LINEST VARS'!$R$50*(4)+'LINEST VARS'!$Q$50*(0.5)+'LINEST VARS'!$P$50*(12.73)+'LINEST VARS'!$O$50*($AF$8^2)+'LINEST VARS'!$N$50*($Z20^2)+'LINEST VARS'!$M$50*(4^2)+'LINEST VARS'!$L$50*(0.5^2)+'LINEST VARS'!$K$50*(12.73^2)+'LINEST VARS'!$J$50*($AF$8*$Z20)+'LINEST VARS'!$I$50*($AF$8*4)+'LINEST VARS'!$H$50*($AF$8*0.5)+'LINEST VARS'!$G$50*($AF$8*12.73)+'LINEST VARS'!$F$50*($Z20*4)+'LINEST VARS'!$E$50*($Z20*0.5)+'LINEST VARS'!$D$50*($Z20*12.73)+'LINEST VARS'!$C$50*(4*0.5)+'LINEST VARS'!$B$50*(4*12.73)+'LINEST VARS'!$A$50*(0.5*12.73)</f>
        <v>331.69999999999987</v>
      </c>
      <c r="AG20" s="46">
        <f>'LINEST VARS'!$U$50+'LINEST VARS'!$T$50*($AG$8)+'LINEST VARS'!$S$50*($Z20)+'LINEST VARS'!$R$50*(4)+'LINEST VARS'!$Q$50*(0.5)+'LINEST VARS'!$P$50*(12.73)+'LINEST VARS'!$O$50*($AG$8^2)+'LINEST VARS'!$N$50*($Z20^2)+'LINEST VARS'!$M$50*(4^2)+'LINEST VARS'!$L$50*(0.5^2)+'LINEST VARS'!$K$50*(12.73^2)+'LINEST VARS'!$J$50*($AG$8*$Z20)+'LINEST VARS'!$I$50*($AG$8*4)+'LINEST VARS'!$H$50*($AG$8*0.5)+'LINEST VARS'!$G$50*($AG$8*12.73)+'LINEST VARS'!$F$50*($Z20*4)+'LINEST VARS'!$E$50*($Z20*0.5)+'LINEST VARS'!$D$50*($Z20*12.73)+'LINEST VARS'!$C$50*(4*0.5)+'LINEST VARS'!$B$50*(4*12.73)+'LINEST VARS'!$A$50*(0.5*12.73)</f>
        <v>331.78999999999985</v>
      </c>
      <c r="AH20" s="46">
        <f>'LINEST VARS'!$U$50+'LINEST VARS'!$T$50*($AH$8)+'LINEST VARS'!$S$50*($Z20)+'LINEST VARS'!$R$50*(4)+'LINEST VARS'!$Q$50*(0.5)+'LINEST VARS'!$P$50*(12.73)+'LINEST VARS'!$O$50*($AH$8^2)+'LINEST VARS'!$N$50*($Z20^2)+'LINEST VARS'!$M$50*(4^2)+'LINEST VARS'!$L$50*(0.5^2)+'LINEST VARS'!$K$50*(12.73^2)+'LINEST VARS'!$J$50*($AH$8*$Z20)+'LINEST VARS'!$I$50*($AH$8*4)+'LINEST VARS'!$H$50*($AH$8*0.5)+'LINEST VARS'!$G$50*($AH$8*12.73)+'LINEST VARS'!$F$50*($Z20*4)+'LINEST VARS'!$E$50*($Z20*0.5)+'LINEST VARS'!$D$50*($Z20*12.73)+'LINEST VARS'!$C$50*(4*0.5)+'LINEST VARS'!$B$50*(4*12.73)+'LINEST VARS'!$A$50*(0.5*12.73)</f>
        <v>331.87999999999988</v>
      </c>
      <c r="AI20" s="46">
        <f>'LINEST VARS'!$U$50+'LINEST VARS'!$T$50*($AI$8)+'LINEST VARS'!$S$50*($Z20)+'LINEST VARS'!$R$50*(4)+'LINEST VARS'!$Q$50*(0.5)+'LINEST VARS'!$P$50*(12.73)+'LINEST VARS'!$O$50*($AI$8^2)+'LINEST VARS'!$N$50*($Z20^2)+'LINEST VARS'!$M$50*(4^2)+'LINEST VARS'!$L$50*(0.5^2)+'LINEST VARS'!$K$50*(12.73^2)+'LINEST VARS'!$J$50*($AI$8*$Z20)+'LINEST VARS'!$I$50*($AI$8*4)+'LINEST VARS'!$H$50*($AI$8*0.5)+'LINEST VARS'!$G$50*($AI$8*12.73)+'LINEST VARS'!$F$50*($Z20*4)+'LINEST VARS'!$E$50*($Z20*0.5)+'LINEST VARS'!$D$50*($Z20*12.73)+'LINEST VARS'!$C$50*(4*0.5)+'LINEST VARS'!$B$50*(4*12.73)+'LINEST VARS'!$A$50*(0.5*12.73)</f>
        <v>331.96999999999986</v>
      </c>
      <c r="AJ20" s="46">
        <f>'LINEST VARS'!$U$50+'LINEST VARS'!$T$50*($AJ$8)+'LINEST VARS'!$S$50*($Z20)+'LINEST VARS'!$R$50*(4)+'LINEST VARS'!$Q$50*(0.5)+'LINEST VARS'!$P$50*(12.73)+'LINEST VARS'!$O$50*($AJ$8^2)+'LINEST VARS'!$N$50*($Z20^2)+'LINEST VARS'!$M$50*(4^2)+'LINEST VARS'!$L$50*(0.5^2)+'LINEST VARS'!$K$50*(12.73^2)+'LINEST VARS'!$J$50*($AJ$8*$Z20)+'LINEST VARS'!$I$50*($AJ$8*4)+'LINEST VARS'!$H$50*($AJ$8*0.5)+'LINEST VARS'!$G$50*($AJ$8*12.73)+'LINEST VARS'!$F$50*($Z20*4)+'LINEST VARS'!$E$50*($Z20*0.5)+'LINEST VARS'!$D$50*($Z20*12.73)+'LINEST VARS'!$C$50*(4*0.5)+'LINEST VARS'!$B$50*(4*12.73)+'LINEST VARS'!$A$50*(0.5*12.73)</f>
        <v>332.05999999999989</v>
      </c>
      <c r="AK20" s="46">
        <f>'LINEST VARS'!$U$50+'LINEST VARS'!$T$50*($AK$8)+'LINEST VARS'!$S$50*($Z20)+'LINEST VARS'!$R$50*(4)+'LINEST VARS'!$Q$50*(0.5)+'LINEST VARS'!$P$50*(12.73)+'LINEST VARS'!$O$50*($AK$8^2)+'LINEST VARS'!$N$50*($Z20^2)+'LINEST VARS'!$M$50*(4^2)+'LINEST VARS'!$L$50*(0.5^2)+'LINEST VARS'!$K$50*(12.73^2)+'LINEST VARS'!$J$50*($AK$8*$Z20)+'LINEST VARS'!$I$50*($AK$8*4)+'LINEST VARS'!$H$50*($AK$8*0.5)+'LINEST VARS'!$G$50*($AK$8*12.73)+'LINEST VARS'!$F$50*($Z20*4)+'LINEST VARS'!$E$50*($Z20*0.5)+'LINEST VARS'!$D$50*($Z20*12.73)+'LINEST VARS'!$C$50*(4*0.5)+'LINEST VARS'!$B$50*(4*12.73)+'LINEST VARS'!$A$50*(0.5*12.73)</f>
        <v>332.14999999999986</v>
      </c>
      <c r="AL20" s="46">
        <f>'LINEST VARS'!$U$50+'LINEST VARS'!$T$50*($AL$8)+'LINEST VARS'!$S$50*($Z20)+'LINEST VARS'!$R$50*(4)+'LINEST VARS'!$Q$50*(0.5)+'LINEST VARS'!$P$50*(12.73)+'LINEST VARS'!$O$50*($AL$8^2)+'LINEST VARS'!$N$50*($Z20^2)+'LINEST VARS'!$M$50*(4^2)+'LINEST VARS'!$L$50*(0.5^2)+'LINEST VARS'!$K$50*(12.73^2)+'LINEST VARS'!$J$50*($AL$8*$Z20)+'LINEST VARS'!$I$50*($AL$8*4)+'LINEST VARS'!$H$50*($AL$8*0.5)+'LINEST VARS'!$G$50*($AL$8*12.73)+'LINEST VARS'!$F$50*($Z20*4)+'LINEST VARS'!$E$50*($Z20*0.5)+'LINEST VARS'!$D$50*($Z20*12.73)+'LINEST VARS'!$C$50*(4*0.5)+'LINEST VARS'!$B$50*(4*12.73)+'LINEST VARS'!$A$50*(0.5*12.73)</f>
        <v>332.23999999999984</v>
      </c>
      <c r="AM20" s="46">
        <f>'LINEST VARS'!$U$50+'LINEST VARS'!$T$50*($AM$8)+'LINEST VARS'!$S$50*($Z20)+'LINEST VARS'!$R$50*(4)+'LINEST VARS'!$Q$50*(0.5)+'LINEST VARS'!$P$50*(12.73)+'LINEST VARS'!$O$50*($AM$8^2)+'LINEST VARS'!$N$50*($Z20^2)+'LINEST VARS'!$M$50*(4^2)+'LINEST VARS'!$L$50*(0.5^2)+'LINEST VARS'!$K$50*(12.73^2)+'LINEST VARS'!$J$50*($AM$8*$Z20)+'LINEST VARS'!$I$50*($AM$8*4)+'LINEST VARS'!$H$50*($AM$8*0.5)+'LINEST VARS'!$G$50*($AM$8*12.73)+'LINEST VARS'!$F$50*($Z20*4)+'LINEST VARS'!$E$50*($Z20*0.5)+'LINEST VARS'!$D$50*($Z20*12.73)+'LINEST VARS'!$C$50*(4*0.5)+'LINEST VARS'!$B$50*(4*12.73)+'LINEST VARS'!$A$50*(0.5*12.73)</f>
        <v>332.32999999999987</v>
      </c>
      <c r="AN20" s="46">
        <f>'LINEST VARS'!$U$50+'LINEST VARS'!$T$50*($AN$8)+'LINEST VARS'!$S$50*($Z20)+'LINEST VARS'!$R$50*(4)+'LINEST VARS'!$Q$50*(0.5)+'LINEST VARS'!$P$50*(12.73)+'LINEST VARS'!$O$50*($AN$8^2)+'LINEST VARS'!$N$50*($Z20^2)+'LINEST VARS'!$M$50*(4^2)+'LINEST VARS'!$L$50*(0.5^2)+'LINEST VARS'!$K$50*(12.73^2)+'LINEST VARS'!$J$50*($AN$8*$Z20)+'LINEST VARS'!$I$50*($AN$8*4)+'LINEST VARS'!$H$50*($AN$8*0.5)+'LINEST VARS'!$G$50*($AN$8*12.73)+'LINEST VARS'!$F$50*($Z20*4)+'LINEST VARS'!$E$50*($Z20*0.5)+'LINEST VARS'!$D$50*($Z20*12.73)+'LINEST VARS'!$C$50*(4*0.5)+'LINEST VARS'!$B$50*(4*12.73)+'LINEST VARS'!$A$50*(0.5*12.73)</f>
        <v>332.41999999999985</v>
      </c>
      <c r="AO20" s="46">
        <f>'LINEST VARS'!$U$50+'LINEST VARS'!$T$50*($AO$8)+'LINEST VARS'!$S$50*($Z20)+'LINEST VARS'!$R$50*(4)+'LINEST VARS'!$Q$50*(0.5)+'LINEST VARS'!$P$50*(12.73)+'LINEST VARS'!$O$50*($AO$8^2)+'LINEST VARS'!$N$50*($Z20^2)+'LINEST VARS'!$M$50*(4^2)+'LINEST VARS'!$L$50*(0.5^2)+'LINEST VARS'!$K$50*(12.73^2)+'LINEST VARS'!$J$50*($AO$8*$Z20)+'LINEST VARS'!$I$50*($AO$8*4)+'LINEST VARS'!$H$50*($AO$8*0.5)+'LINEST VARS'!$G$50*($AO$8*12.73)+'LINEST VARS'!$F$50*($Z20*4)+'LINEST VARS'!$E$50*($Z20*0.5)+'LINEST VARS'!$D$50*($Z20*12.73)+'LINEST VARS'!$C$50*(4*0.5)+'LINEST VARS'!$B$50*(4*12.73)+'LINEST VARS'!$A$50*(0.5*12.73)</f>
        <v>332.50999999999988</v>
      </c>
      <c r="AP20" s="46">
        <f>'LINEST VARS'!$U$50+'LINEST VARS'!$T$50*($AP$8)+'LINEST VARS'!$S$50*($Z20)+'LINEST VARS'!$R$50*(4)+'LINEST VARS'!$Q$50*(0.5)+'LINEST VARS'!$P$50*(12.73)+'LINEST VARS'!$O$50*($AP$8^2)+'LINEST VARS'!$N$50*($Z20^2)+'LINEST VARS'!$M$50*(4^2)+'LINEST VARS'!$L$50*(0.5^2)+'LINEST VARS'!$K$50*(12.73^2)+'LINEST VARS'!$J$50*($AP$8*$Z20)+'LINEST VARS'!$I$50*($AP$8*4)+'LINEST VARS'!$H$50*($AP$8*0.5)+'LINEST VARS'!$G$50*($AP$8*12.73)+'LINEST VARS'!$F$50*($Z20*4)+'LINEST VARS'!$E$50*($Z20*0.5)+'LINEST VARS'!$D$50*($Z20*12.73)+'LINEST VARS'!$C$50*(4*0.5)+'LINEST VARS'!$B$50*(4*12.73)+'LINEST VARS'!$A$50*(0.5*12.73)</f>
        <v>332.59999999999985</v>
      </c>
      <c r="AQ20" s="46">
        <f>'LINEST VARS'!$U$50+'LINEST VARS'!$T$50*($AQ$8)+'LINEST VARS'!$S$50*($Z20)+'LINEST VARS'!$R$50*(4)+'LINEST VARS'!$Q$50*(0.5)+'LINEST VARS'!$P$50*(12.73)+'LINEST VARS'!$O$50*($AQ$8^2)+'LINEST VARS'!$N$50*($Z20^2)+'LINEST VARS'!$M$50*(4^2)+'LINEST VARS'!$L$50*(0.5^2)+'LINEST VARS'!$K$50*(12.73^2)+'LINEST VARS'!$J$50*($AQ$8*$Z20)+'LINEST VARS'!$I$50*($AQ$8*4)+'LINEST VARS'!$H$50*($AQ$8*0.5)+'LINEST VARS'!$G$50*($AQ$8*12.73)+'LINEST VARS'!$F$50*($Z20*4)+'LINEST VARS'!$E$50*($Z20*0.5)+'LINEST VARS'!$D$50*($Z20*12.73)+'LINEST VARS'!$C$50*(4*0.5)+'LINEST VARS'!$B$50*(4*12.73)+'LINEST VARS'!$A$50*(0.5*12.73)</f>
        <v>332.68999999999988</v>
      </c>
      <c r="AR20" s="46">
        <f>'LINEST VARS'!$U$50+'LINEST VARS'!$T$50*($AR$8)+'LINEST VARS'!$S$50*($Z20)+'LINEST VARS'!$R$50*(4)+'LINEST VARS'!$Q$50*(0.5)+'LINEST VARS'!$P$50*(12.73)+'LINEST VARS'!$O$50*($AR$8^2)+'LINEST VARS'!$N$50*($Z20^2)+'LINEST VARS'!$M$50*(4^2)+'LINEST VARS'!$L$50*(0.5^2)+'LINEST VARS'!$K$50*(12.73^2)+'LINEST VARS'!$J$50*($AR$8*$Z20)+'LINEST VARS'!$I$50*($AR$8*4)+'LINEST VARS'!$H$50*($AR$8*0.5)+'LINEST VARS'!$G$50*($AR$8*12.73)+'LINEST VARS'!$F$50*($Z20*4)+'LINEST VARS'!$E$50*($Z20*0.5)+'LINEST VARS'!$D$50*($Z20*12.73)+'LINEST VARS'!$C$50*(4*0.5)+'LINEST VARS'!$B$50*(4*12.73)+'LINEST VARS'!$A$50*(0.5*12.73)</f>
        <v>332.77999999999986</v>
      </c>
      <c r="AS20" s="46">
        <f>'LINEST VARS'!$U$50+'LINEST VARS'!$T$50*($AS$8)+'LINEST VARS'!$S$50*($Z20)+'LINEST VARS'!$R$50*(4)+'LINEST VARS'!$Q$50*(0.5)+'LINEST VARS'!$P$50*(12.73)+'LINEST VARS'!$O$50*($AS$8^2)+'LINEST VARS'!$N$50*($Z20^2)+'LINEST VARS'!$M$50*(4^2)+'LINEST VARS'!$L$50*(0.5^2)+'LINEST VARS'!$K$50*(12.73^2)+'LINEST VARS'!$J$50*($AS$8*$Z20)+'LINEST VARS'!$I$50*($AS$8*4)+'LINEST VARS'!$H$50*($AS$8*0.5)+'LINEST VARS'!$G$50*($AS$8*12.73)+'LINEST VARS'!$F$50*($Z20*4)+'LINEST VARS'!$E$50*($Z20*0.5)+'LINEST VARS'!$D$50*($Z20*12.73)+'LINEST VARS'!$C$50*(4*0.5)+'LINEST VARS'!$B$50*(4*12.73)+'LINEST VARS'!$A$50*(0.5*12.73)</f>
        <v>332.86999999999983</v>
      </c>
      <c r="AT20" s="46">
        <f>'LINEST VARS'!$U$50+'LINEST VARS'!$T$50*($AT$8)+'LINEST VARS'!$S$50*($Z20)+'LINEST VARS'!$R$50*(4)+'LINEST VARS'!$Q$50*(0.5)+'LINEST VARS'!$P$50*(12.73)+'LINEST VARS'!$O$50*($AT$8^2)+'LINEST VARS'!$N$50*($Z20^2)+'LINEST VARS'!$M$50*(4^2)+'LINEST VARS'!$L$50*(0.5^2)+'LINEST VARS'!$K$50*(12.73^2)+'LINEST VARS'!$J$50*($AT$8*$Z20)+'LINEST VARS'!$I$50*($AT$8*4)+'LINEST VARS'!$H$50*($AT$8*0.5)+'LINEST VARS'!$G$50*($AT$8*12.73)+'LINEST VARS'!$F$50*($Z20*4)+'LINEST VARS'!$E$50*($Z20*0.5)+'LINEST VARS'!$D$50*($Z20*12.73)+'LINEST VARS'!$C$50*(4*0.5)+'LINEST VARS'!$B$50*(4*12.73)+'LINEST VARS'!$A$50*(0.5*12.73)</f>
        <v>332.95999999999987</v>
      </c>
      <c r="AU20" s="47">
        <f>'LINEST VARS'!$U$50+'LINEST VARS'!$T$50*($AU$8)+'LINEST VARS'!$S$50*($Z20)+'LINEST VARS'!$R$50*(4)+'LINEST VARS'!$Q$50*(0.5)+'LINEST VARS'!$P$50*(12.73)+'LINEST VARS'!$O$50*($AU$8^2)+'LINEST VARS'!$N$50*($Z20^2)+'LINEST VARS'!$M$50*(4^2)+'LINEST VARS'!$L$50*(0.5^2)+'LINEST VARS'!$K$50*(12.73^2)+'LINEST VARS'!$J$50*($AU$8*$Z20)+'LINEST VARS'!$I$50*($AU$8*4)+'LINEST VARS'!$H$50*($AU$8*0.5)+'LINEST VARS'!$G$50*($AU$8*12.73)+'LINEST VARS'!$F$50*($Z20*4)+'LINEST VARS'!$E$50*($Z20*0.5)+'LINEST VARS'!$D$50*($Z20*12.73)+'LINEST VARS'!$C$50*(4*0.5)+'LINEST VARS'!$B$50*(4*12.73)+'LINEST VARS'!$A$50*(0.5*12.73)</f>
        <v>333.04999999999984</v>
      </c>
      <c r="AZ20" s="45">
        <v>0.55000000000000004</v>
      </c>
      <c r="BA20" s="46">
        <f>'LINEST VARS'!$U$48+'LINEST VARS'!$T$48*(8)+'LINEST VARS'!$S$48*(8)+'LINEST VARS'!$R$48*($BA$8)+'LINEST VARS'!$Q$48*($AZ20)+'LINEST VARS'!$P$48*(12.73)+'LINEST VARS'!$O$48*(8^2)+'LINEST VARS'!$N$48*(8^2)+'LINEST VARS'!$M$48*($BA$8^2)+'LINEST VARS'!$L$48*($AZ20^2)+'LINEST VARS'!$K$48*(12.73^2)+'LINEST VARS'!$J$48*(8*8)+'LINEST VARS'!$I$48*(8*$BA$8)+'LINEST VARS'!$H$48*(8*$AZ20)+'LINEST VARS'!$G$48*(8*12.73)+'LINEST VARS'!$F$48*(8*$BA$8)+'LINEST VARS'!$E$48*(8*$AZ20)+'LINEST VARS'!$D$48*(8*12.73)+'LINEST VARS'!$C$48*($BA$8*$AZ20)+'LINEST VARS'!$B$48*($BA$8*12.73)+'LINEST VARS'!$A$48*($AZ20*12.73)</f>
        <v>369.99999999999989</v>
      </c>
      <c r="BB20" s="46">
        <f>'LINEST VARS'!$U$48+'LINEST VARS'!$T$48*(8)+'LINEST VARS'!$S$48*(8)+'LINEST VARS'!$R$48*($BB$8)+'LINEST VARS'!$Q$48*($AZ20)+'LINEST VARS'!$P$48*(12.73)+'LINEST VARS'!$O$48*(8^2)+'LINEST VARS'!$N$48*(8^2)+'LINEST VARS'!$M$48*($BB$8^2)+'LINEST VARS'!$L$48*($AZ20^2)+'LINEST VARS'!$K$48*(12.73^2)+'LINEST VARS'!$J$48*(8*8)+'LINEST VARS'!$I$48*(8*$BB$8)+'LINEST VARS'!$H$48*(8*$AZ20)+'LINEST VARS'!$G$48*(8*12.73)+'LINEST VARS'!$F$48*(8*$BB$8)+'LINEST VARS'!$E$48*(8*$AZ20)+'LINEST VARS'!$D$48*(8*12.73)+'LINEST VARS'!$C$48*($BB$8*$AZ20)+'LINEST VARS'!$B$48*($BB$8*12.73)+'LINEST VARS'!$A$48*($AZ20*12.73)</f>
        <v>369.99999999999989</v>
      </c>
      <c r="BC20" s="46">
        <f>'LINEST VARS'!$U$48+'LINEST VARS'!$T$48*(8)+'LINEST VARS'!$S$48*(8)+'LINEST VARS'!$R$48*($BC$8)+'LINEST VARS'!$Q$48*($AZ20)+'LINEST VARS'!$P$48*(12.73)+'LINEST VARS'!$O$48*(8^2)+'LINEST VARS'!$N$48*(8^2)+'LINEST VARS'!$M$48*($BC$8^2)+'LINEST VARS'!$L$48*($AZ20^2)+'LINEST VARS'!$K$48*(12.73^2)+'LINEST VARS'!$J$48*(8*8)+'LINEST VARS'!$I$48*(8*$BC$8)+'LINEST VARS'!$H$48*(8*$AZ20)+'LINEST VARS'!$G$48*(8*12.73)+'LINEST VARS'!$F$48*(8*$BC$8)+'LINEST VARS'!$E$48*(8*$AZ20)+'LINEST VARS'!$D$48*(8*12.73)+'LINEST VARS'!$C$48*($BC$8*$AZ20)+'LINEST VARS'!$B$48*($BC$8*12.73)+'LINEST VARS'!$A$48*($AZ20*12.73)</f>
        <v>369.99999999999989</v>
      </c>
      <c r="BD20" s="46">
        <f>'LINEST VARS'!$U$48+'LINEST VARS'!$T$48*(8)+'LINEST VARS'!$S$48*(8)+'LINEST VARS'!$R$48*($BD$8)+'LINEST VARS'!$Q$48*($AZ20)+'LINEST VARS'!$P$48*(12.73)+'LINEST VARS'!$O$48*(8^2)+'LINEST VARS'!$N$48*(8^2)+'LINEST VARS'!$M$48*($BD$8^2)+'LINEST VARS'!$L$48*($AZ20^2)+'LINEST VARS'!$K$48*(12.73^2)+'LINEST VARS'!$J$48*(8*8)+'LINEST VARS'!$I$48*(8*$BD$8)+'LINEST VARS'!$H$48*(8*$AZ20)+'LINEST VARS'!$G$48*(8*12.73)+'LINEST VARS'!$F$48*(8*$BD$8)+'LINEST VARS'!$E$48*(8*$AZ20)+'LINEST VARS'!$D$48*(8*12.73)+'LINEST VARS'!$C$48*($BD$8*$AZ20)+'LINEST VARS'!$B$48*($BD$8*12.73)+'LINEST VARS'!$A$48*($AZ20*12.73)</f>
        <v>369.99999999999989</v>
      </c>
      <c r="BE20" s="46">
        <f>'LINEST VARS'!$U$48+'LINEST VARS'!$T$48*(8)+'LINEST VARS'!$S$48*(8)+'LINEST VARS'!$R$48*($BE$8)+'LINEST VARS'!$Q$48*($AZ20)+'LINEST VARS'!$P$48*(12.73)+'LINEST VARS'!$O$48*(8^2)+'LINEST VARS'!$N$48*(8^2)+'LINEST VARS'!$M$48*($BE$8^2)+'LINEST VARS'!$L$48*($AZ20^2)+'LINEST VARS'!$K$48*(12.73^2)+'LINEST VARS'!$J$48*(8*8)+'LINEST VARS'!$I$48*(8*$BE$8)+'LINEST VARS'!$H$48*(8*$AZ20)+'LINEST VARS'!$G$48*(8*12.73)+'LINEST VARS'!$F$48*(8*$BE$8)+'LINEST VARS'!$E$48*(8*$AZ20)+'LINEST VARS'!$D$48*(8*12.73)+'LINEST VARS'!$C$48*($BE$8*$AZ20)+'LINEST VARS'!$B$48*($BE$8*12.73)+'LINEST VARS'!$A$48*($AZ20*12.73)</f>
        <v>369.99999999999989</v>
      </c>
      <c r="BF20" s="46">
        <f>'LINEST VARS'!$U$48+'LINEST VARS'!$T$48*(8)+'LINEST VARS'!$S$48*(8)+'LINEST VARS'!$R$48*($BF$8)+'LINEST VARS'!$Q$48*($AZ20)+'LINEST VARS'!$P$48*(12.73)+'LINEST VARS'!$O$48*(8^2)+'LINEST VARS'!$N$48*(8^2)+'LINEST VARS'!$M$48*($BF$8^2)+'LINEST VARS'!$L$48*($AZ20^2)+'LINEST VARS'!$K$48*(12.73^2)+'LINEST VARS'!$J$48*(8*8)+'LINEST VARS'!$I$48*(8*$BF$8)+'LINEST VARS'!$H$48*(8*$AZ20)+'LINEST VARS'!$G$48*(8*12.73)+'LINEST VARS'!$F$48*(8*$BF$8)+'LINEST VARS'!$E$48*(8*$AZ20)+'LINEST VARS'!$D$48*(8*12.73)+'LINEST VARS'!$C$48*($BF$8*$AZ20)+'LINEST VARS'!$B$48*($BF$8*12.73)+'LINEST VARS'!$A$48*($AZ20*12.73)</f>
        <v>369.99999999999989</v>
      </c>
      <c r="BG20" s="46">
        <f>'LINEST VARS'!$U$48+'LINEST VARS'!$T$48*(8)+'LINEST VARS'!$S$48*(8)+'LINEST VARS'!$R$48*($BG$8)+'LINEST VARS'!$Q$48*($AZ20)+'LINEST VARS'!$P$48*(12.73)+'LINEST VARS'!$O$48*(8^2)+'LINEST VARS'!$N$48*(8^2)+'LINEST VARS'!$M$48*($BG$8^2)+'LINEST VARS'!$L$48*($AZ20^2)+'LINEST VARS'!$K$48*(12.73^2)+'LINEST VARS'!$J$48*(8*8)+'LINEST VARS'!$I$48*(8*$BG$8)+'LINEST VARS'!$H$48*(8*$AZ20)+'LINEST VARS'!$G$48*(8*12.73)+'LINEST VARS'!$F$48*(8*$BG$8)+'LINEST VARS'!$E$48*(8*$AZ20)+'LINEST VARS'!$D$48*(8*12.73)+'LINEST VARS'!$C$48*($BG$8*$AZ20)+'LINEST VARS'!$B$48*($BG$8*12.73)+'LINEST VARS'!$A$48*($AZ20*12.73)</f>
        <v>369.99999999999989</v>
      </c>
      <c r="BH20" s="46">
        <f>'LINEST VARS'!$U$48+'LINEST VARS'!$T$48*(8)+'LINEST VARS'!$S$48*(8)+'LINEST VARS'!$R$48*($BH$8)+'LINEST VARS'!$Q$48*($AZ20)+'LINEST VARS'!$P$48*(12.73)+'LINEST VARS'!$O$48*(8^2)+'LINEST VARS'!$N$48*(8^2)+'LINEST VARS'!$M$48*($BH$8^2)+'LINEST VARS'!$L$48*($AZ20^2)+'LINEST VARS'!$K$48*(12.73^2)+'LINEST VARS'!$J$48*(8*8)+'LINEST VARS'!$I$48*(8*$BH$8)+'LINEST VARS'!$H$48*(8*$AZ20)+'LINEST VARS'!$G$48*(8*12.73)+'LINEST VARS'!$F$48*(8*$BH$8)+'LINEST VARS'!$E$48*(8*$AZ20)+'LINEST VARS'!$D$48*(8*12.73)+'LINEST VARS'!$C$48*($BH$8*$AZ20)+'LINEST VARS'!$B$48*($BH$8*12.73)+'LINEST VARS'!$A$48*($AZ20*12.73)</f>
        <v>369.99999999999983</v>
      </c>
      <c r="BI20" s="46">
        <f>'LINEST VARS'!$U$48+'LINEST VARS'!$T$48*(8)+'LINEST VARS'!$S$48*(8)+'LINEST VARS'!$R$48*($BI$8)+'LINEST VARS'!$Q$48*($AZ20)+'LINEST VARS'!$P$48*(12.73)+'LINEST VARS'!$O$48*(8^2)+'LINEST VARS'!$N$48*(8^2)+'LINEST VARS'!$M$48*($BI$8^2)+'LINEST VARS'!$L$48*($AZ20^2)+'LINEST VARS'!$K$48*(12.73^2)+'LINEST VARS'!$J$48*(8*8)+'LINEST VARS'!$I$48*(8*$BI$8)+'LINEST VARS'!$H$48*(8*$AZ20)+'LINEST VARS'!$G$48*(8*12.73)+'LINEST VARS'!$F$48*(8*$BI$8)+'LINEST VARS'!$E$48*(8*$AZ20)+'LINEST VARS'!$D$48*(8*12.73)+'LINEST VARS'!$C$48*($BI$8*$AZ20)+'LINEST VARS'!$B$48*($BI$8*12.73)+'LINEST VARS'!$A$48*($AZ20*12.73)</f>
        <v>369.99999999999983</v>
      </c>
      <c r="BJ20" s="46">
        <f>'LINEST VARS'!$U$48+'LINEST VARS'!$T$48*(8)+'LINEST VARS'!$S$48*(8)+'LINEST VARS'!$R$48*($BJ$8)+'LINEST VARS'!$Q$48*($AZ20)+'LINEST VARS'!$P$48*(12.73)+'LINEST VARS'!$O$48*(8^2)+'LINEST VARS'!$N$48*(8^2)+'LINEST VARS'!$M$48*($BJ$8^2)+'LINEST VARS'!$L$48*($AZ20^2)+'LINEST VARS'!$K$48*(12.73^2)+'LINEST VARS'!$J$48*(8*8)+'LINEST VARS'!$I$48*(8*$BJ$8)+'LINEST VARS'!$H$48*(8*$AZ20)+'LINEST VARS'!$G$48*(8*12.73)+'LINEST VARS'!$F$48*(8*$BJ$8)+'LINEST VARS'!$E$48*(8*$AZ20)+'LINEST VARS'!$D$48*(8*12.73)+'LINEST VARS'!$C$48*($BJ$8*$AZ20)+'LINEST VARS'!$B$48*($BJ$8*12.73)+'LINEST VARS'!$A$48*($AZ20*12.73)</f>
        <v>369.99999999999983</v>
      </c>
      <c r="BK20" s="46">
        <f>'LINEST VARS'!$U$48+'LINEST VARS'!$T$48*(8)+'LINEST VARS'!$S$48*(8)+'LINEST VARS'!$R$48*($BK$8)+'LINEST VARS'!$Q$48*($AZ20)+'LINEST VARS'!$P$48*(12.73)+'LINEST VARS'!$O$48*(8^2)+'LINEST VARS'!$N$48*(8^2)+'LINEST VARS'!$M$48*($BK$8^2)+'LINEST VARS'!$L$48*($AZ20^2)+'LINEST VARS'!$K$48*(12.73^2)+'LINEST VARS'!$J$48*(8*8)+'LINEST VARS'!$I$48*(8*$BK$8)+'LINEST VARS'!$H$48*(8*$AZ20)+'LINEST VARS'!$G$48*(8*12.73)+'LINEST VARS'!$F$48*(8*$BK$8)+'LINEST VARS'!$E$48*(8*$AZ20)+'LINEST VARS'!$D$48*(8*12.73)+'LINEST VARS'!$C$48*($BK$8*$AZ20)+'LINEST VARS'!$B$48*($BK$8*12.73)+'LINEST VARS'!$A$48*($AZ20*12.73)</f>
        <v>369.99999999999983</v>
      </c>
      <c r="BL20" s="46">
        <f>'LINEST VARS'!$U$48+'LINEST VARS'!$T$48*(8)+'LINEST VARS'!$S$48*(8)+'LINEST VARS'!$R$48*($BL$8)+'LINEST VARS'!$Q$48*($AZ20)+'LINEST VARS'!$P$48*(12.73)+'LINEST VARS'!$O$48*(8^2)+'LINEST VARS'!$N$48*(8^2)+'LINEST VARS'!$M$48*($BL$8^2)+'LINEST VARS'!$L$48*($AZ20^2)+'LINEST VARS'!$K$48*(12.73^2)+'LINEST VARS'!$J$48*(8*8)+'LINEST VARS'!$I$48*(8*$BL$8)+'LINEST VARS'!$H$48*(8*$AZ20)+'LINEST VARS'!$G$48*(8*12.73)+'LINEST VARS'!$F$48*(8*$BL$8)+'LINEST VARS'!$E$48*(8*$AZ20)+'LINEST VARS'!$D$48*(8*12.73)+'LINEST VARS'!$C$48*($BL$8*$AZ20)+'LINEST VARS'!$B$48*($BL$8*12.73)+'LINEST VARS'!$A$48*($AZ20*12.73)</f>
        <v>369.99999999999983</v>
      </c>
      <c r="BM20" s="46">
        <f>'LINEST VARS'!$U$48+'LINEST VARS'!$T$48*(8)+'LINEST VARS'!$S$48*(8)+'LINEST VARS'!$R$48*($BM$8)+'LINEST VARS'!$Q$48*($AZ20)+'LINEST VARS'!$P$48*(12.73)+'LINEST VARS'!$O$48*(8^2)+'LINEST VARS'!$N$48*(8^2)+'LINEST VARS'!$M$48*($BM$8^2)+'LINEST VARS'!$L$48*($AZ20^2)+'LINEST VARS'!$K$48*(12.73^2)+'LINEST VARS'!$J$48*(8*8)+'LINEST VARS'!$I$48*(8*$BM$8)+'LINEST VARS'!$H$48*(8*$AZ20)+'LINEST VARS'!$G$48*(8*12.73)+'LINEST VARS'!$F$48*(8*$BM$8)+'LINEST VARS'!$E$48*(8*$AZ20)+'LINEST VARS'!$D$48*(8*12.73)+'LINEST VARS'!$C$48*($BM$8*$AZ20)+'LINEST VARS'!$B$48*($BM$8*12.73)+'LINEST VARS'!$A$48*($AZ20*12.73)</f>
        <v>369.99999999999983</v>
      </c>
      <c r="BN20" s="46">
        <f>'LINEST VARS'!$U$48+'LINEST VARS'!$T$48*(8)+'LINEST VARS'!$S$48*(8)+'LINEST VARS'!$R$48*($BN$8)+'LINEST VARS'!$Q$48*($AZ20)+'LINEST VARS'!$P$48*(12.73)+'LINEST VARS'!$O$48*(8^2)+'LINEST VARS'!$N$48*(8^2)+'LINEST VARS'!$M$48*($BN$8^2)+'LINEST VARS'!$L$48*($AZ20^2)+'LINEST VARS'!$K$48*(12.73^2)+'LINEST VARS'!$J$48*(8*8)+'LINEST VARS'!$I$48*(8*$BN$8)+'LINEST VARS'!$H$48*(8*$AZ20)+'LINEST VARS'!$G$48*(8*12.73)+'LINEST VARS'!$F$48*(8*$BN$8)+'LINEST VARS'!$E$48*(8*$AZ20)+'LINEST VARS'!$D$48*(8*12.73)+'LINEST VARS'!$C$48*($BN$8*$AZ20)+'LINEST VARS'!$B$48*($BN$8*12.73)+'LINEST VARS'!$A$48*($AZ20*12.73)</f>
        <v>369.99999999999989</v>
      </c>
      <c r="BO20" s="46">
        <f>'LINEST VARS'!$U$48+'LINEST VARS'!$T$48*(8)+'LINEST VARS'!$S$48*(8)+'LINEST VARS'!$R$48*($BO$8)+'LINEST VARS'!$Q$48*($AZ20)+'LINEST VARS'!$P$48*(12.73)+'LINEST VARS'!$O$48*(8^2)+'LINEST VARS'!$N$48*(8^2)+'LINEST VARS'!$M$48*($BO$8^2)+'LINEST VARS'!$L$48*($AZ20^2)+'LINEST VARS'!$K$48*(12.73^2)+'LINEST VARS'!$J$48*(8*8)+'LINEST VARS'!$I$48*(8*$BO$8)+'LINEST VARS'!$H$48*(8*$AZ20)+'LINEST VARS'!$G$48*(8*12.73)+'LINEST VARS'!$F$48*(8*$BO$8)+'LINEST VARS'!$E$48*(8*$AZ20)+'LINEST VARS'!$D$48*(8*12.73)+'LINEST VARS'!$C$48*($BO$8*$AZ20)+'LINEST VARS'!$B$48*($BO$8*12.73)+'LINEST VARS'!$A$48*($AZ20*12.73)</f>
        <v>369.99999999999989</v>
      </c>
      <c r="BP20" s="46">
        <f>'LINEST VARS'!$U$48+'LINEST VARS'!$T$48*(8)+'LINEST VARS'!$S$48*(8)+'LINEST VARS'!$R$48*($BP$8)+'LINEST VARS'!$Q$48*($AZ20)+'LINEST VARS'!$P$48*(12.73)+'LINEST VARS'!$O$48*(8^2)+'LINEST VARS'!$N$48*(8^2)+'LINEST VARS'!$M$48*($BP$8^2)+'LINEST VARS'!$L$48*($AZ20^2)+'LINEST VARS'!$K$48*(12.73^2)+'LINEST VARS'!$J$48*(8*8)+'LINEST VARS'!$I$48*(8*$BP$8)+'LINEST VARS'!$H$48*(8*$AZ20)+'LINEST VARS'!$G$48*(8*12.73)+'LINEST VARS'!$F$48*(8*$BP$8)+'LINEST VARS'!$E$48*(8*$AZ20)+'LINEST VARS'!$D$48*(8*12.73)+'LINEST VARS'!$C$48*($BP$8*$AZ20)+'LINEST VARS'!$B$48*($BP$8*12.73)+'LINEST VARS'!$A$48*($AZ20*12.73)</f>
        <v>369.99999999999989</v>
      </c>
      <c r="BQ20" s="46">
        <f>'LINEST VARS'!$U$48+'LINEST VARS'!$T$48*(8)+'LINEST VARS'!$S$48*(8)+'LINEST VARS'!$R$48*($BQ$8)+'LINEST VARS'!$Q$48*($AZ20)+'LINEST VARS'!$P$48*(12.73)+'LINEST VARS'!$O$48*(8^2)+'LINEST VARS'!$N$48*(8^2)+'LINEST VARS'!$M$48*($BQ$8^2)+'LINEST VARS'!$L$48*($AZ20^2)+'LINEST VARS'!$K$48*(12.73^2)+'LINEST VARS'!$J$48*(8*8)+'LINEST VARS'!$I$48*(8*$BQ$8)+'LINEST VARS'!$H$48*(8*$AZ20)+'LINEST VARS'!$G$48*(8*12.73)+'LINEST VARS'!$F$48*(8*$BQ$8)+'LINEST VARS'!$E$48*(8*$AZ20)+'LINEST VARS'!$D$48*(8*12.73)+'LINEST VARS'!$C$48*($BQ$8*$AZ20)+'LINEST VARS'!$B$48*($BQ$8*12.73)+'LINEST VARS'!$A$48*($AZ20*12.73)</f>
        <v>369.99999999999983</v>
      </c>
      <c r="BR20" s="46">
        <f>'LINEST VARS'!$U$48+'LINEST VARS'!$T$48*(8)+'LINEST VARS'!$S$48*(8)+'LINEST VARS'!$R$48*($BR$8)+'LINEST VARS'!$Q$48*($AZ20)+'LINEST VARS'!$P$48*(12.73)+'LINEST VARS'!$O$48*(8^2)+'LINEST VARS'!$N$48*(8^2)+'LINEST VARS'!$M$48*($BR$8^2)+'LINEST VARS'!$L$48*($AZ20^2)+'LINEST VARS'!$K$48*(12.73^2)+'LINEST VARS'!$J$48*(8*8)+'LINEST VARS'!$I$48*(8*$BR$8)+'LINEST VARS'!$H$48*(8*$AZ20)+'LINEST VARS'!$G$48*(8*12.73)+'LINEST VARS'!$F$48*(8*$BR$8)+'LINEST VARS'!$E$48*(8*$AZ20)+'LINEST VARS'!$D$48*(8*12.73)+'LINEST VARS'!$C$48*($BR$8*$AZ20)+'LINEST VARS'!$B$48*($BR$8*12.73)+'LINEST VARS'!$A$48*($AZ20*12.73)</f>
        <v>369.99999999999983</v>
      </c>
      <c r="BS20" s="46">
        <f>'LINEST VARS'!$U$48+'LINEST VARS'!$T$48*(8)+'LINEST VARS'!$S$48*(8)+'LINEST VARS'!$R$48*($BS$8)+'LINEST VARS'!$Q$48*($AZ20)+'LINEST VARS'!$P$48*(12.73)+'LINEST VARS'!$O$48*(8^2)+'LINEST VARS'!$N$48*(8^2)+'LINEST VARS'!$M$48*($BS$8^2)+'LINEST VARS'!$L$48*($AZ20^2)+'LINEST VARS'!$K$48*(12.73^2)+'LINEST VARS'!$J$48*(8*8)+'LINEST VARS'!$I$48*(8*$BS$8)+'LINEST VARS'!$H$48*(8*$AZ20)+'LINEST VARS'!$G$48*(8*12.73)+'LINEST VARS'!$F$48*(8*$BS$8)+'LINEST VARS'!$E$48*(8*$AZ20)+'LINEST VARS'!$D$48*(8*12.73)+'LINEST VARS'!$C$48*($BS$8*$AZ20)+'LINEST VARS'!$B$48*($BS$8*12.73)+'LINEST VARS'!$A$48*($AZ20*12.73)</f>
        <v>369.99999999999983</v>
      </c>
      <c r="BT20" s="46">
        <f>'LINEST VARS'!$U$48+'LINEST VARS'!$T$48*(8)+'LINEST VARS'!$S$48*(8)+'LINEST VARS'!$R$48*($BT$8)+'LINEST VARS'!$Q$48*($AZ20)+'LINEST VARS'!$P$48*(12.73)+'LINEST VARS'!$O$48*(8^2)+'LINEST VARS'!$N$48*(8^2)+'LINEST VARS'!$M$48*($BT$8^2)+'LINEST VARS'!$L$48*($AZ20^2)+'LINEST VARS'!$K$48*(12.73^2)+'LINEST VARS'!$J$48*(8*8)+'LINEST VARS'!$I$48*(8*$BT$8)+'LINEST VARS'!$H$48*(8*$AZ20)+'LINEST VARS'!$G$48*(8*12.73)+'LINEST VARS'!$F$48*(8*$BT$8)+'LINEST VARS'!$E$48*(8*$AZ20)+'LINEST VARS'!$D$48*(8*12.73)+'LINEST VARS'!$C$48*($BT$8*$AZ20)+'LINEST VARS'!$B$48*($BT$8*12.73)+'LINEST VARS'!$A$48*($AZ20*12.73)</f>
        <v>369.99999999999983</v>
      </c>
      <c r="BU20" s="47">
        <f>'LINEST VARS'!$U$48+'LINEST VARS'!$T$48*(8)+'LINEST VARS'!$S$48*(8)+'LINEST VARS'!$R$48*($BU$8)+'LINEST VARS'!$Q$48*($AZ20)+'LINEST VARS'!$P$48*(12.73)+'LINEST VARS'!$O$48*(8^2)+'LINEST VARS'!$N$48*(8^2)+'LINEST VARS'!$M$48*($BU$8^2)+'LINEST VARS'!$L$48*($AZ20^2)+'LINEST VARS'!$K$48*(12.73^2)+'LINEST VARS'!$J$48*(8*8)+'LINEST VARS'!$I$48*(8*$BU$8)+'LINEST VARS'!$H$48*(8*$AZ20)+'LINEST VARS'!$G$48*(8*12.73)+'LINEST VARS'!$F$48*(8*$BU$8)+'LINEST VARS'!$E$48*(8*$AZ20)+'LINEST VARS'!$D$48*(8*12.73)+'LINEST VARS'!$C$48*($BU$8*$AZ20)+'LINEST VARS'!$B$48*($BU$8*12.73)+'LINEST VARS'!$A$48*($AZ20*12.73)</f>
        <v>369.99999999999983</v>
      </c>
      <c r="BX20" s="45">
        <v>0.55000000000000004</v>
      </c>
      <c r="BY20" s="46">
        <f>'LINEST VARS'!$U$50+'LINEST VARS'!$T$50*(8)+'LINEST VARS'!$S$50*(8)+'LINEST VARS'!$R$50*($BY$8)+'LINEST VARS'!$Q$50*($BX20)+'LINEST VARS'!$P$50*(12.73)+'LINEST VARS'!$O$50*(8^2)+'LINEST VARS'!$N$50*(8^2)+'LINEST VARS'!$M$50*($BY$8^2)+'LINEST VARS'!$L$50*($BX20^2)+'LINEST VARS'!$K$50*(12.73^2)+'LINEST VARS'!$J$50*(8*8)+'LINEST VARS'!$I$50*(8*$BY$8)+'LINEST VARS'!$H$50*(8*$BX20)+'LINEST VARS'!$G$50*(8*12.73)+'LINEST VARS'!$F$50*(8*$BY$8)+'LINEST VARS'!$E$50*(8*$BX20)+'LINEST VARS'!$D$50*(8*12.73)+'LINEST VARS'!$C$50*($BY$8*$BX20)+'LINEST VARS'!$B$50*($BY$8*12.73)+'LINEST VARS'!$A$50*($BX20*12.73)</f>
        <v>331.99999999999989</v>
      </c>
      <c r="BZ20" s="46">
        <f>'LINEST VARS'!$U$50+'LINEST VARS'!$T$50*(8)+'LINEST VARS'!$S$50*(8)+'LINEST VARS'!$R$50*($BZ$8)+'LINEST VARS'!$Q$50*($BX20)+'LINEST VARS'!$P$50*(12.73)+'LINEST VARS'!$O$50*(8^2)+'LINEST VARS'!$N$50*(8^2)+'LINEST VARS'!$M$50*($BZ$8^2)+'LINEST VARS'!$L$50*($BX20^2)+'LINEST VARS'!$K$50*(12.73^2)+'LINEST VARS'!$J$50*(8*8)+'LINEST VARS'!$I$50*(8*$BZ$8)+'LINEST VARS'!$H$50*(8*$BX20)+'LINEST VARS'!$G$50*(8*12.73)+'LINEST VARS'!$F$50*(8*$BZ$8)+'LINEST VARS'!$E$50*(8*$BX20)+'LINEST VARS'!$D$50*(8*12.73)+'LINEST VARS'!$C$50*($BZ$8*$BX20)+'LINEST VARS'!$B$50*($BZ$8*12.73)+'LINEST VARS'!$A$50*($BX20*12.73)</f>
        <v>331.99999999999989</v>
      </c>
      <c r="CA20" s="46">
        <f>'LINEST VARS'!$U$50+'LINEST VARS'!$T$50*(8)+'LINEST VARS'!$S$50*(8)+'LINEST VARS'!$R$50*($CA$8)+'LINEST VARS'!$Q$50*($BX20)+'LINEST VARS'!$P$50*(12.73)+'LINEST VARS'!$O$50*(8^2)+'LINEST VARS'!$N$50*(8^2)+'LINEST VARS'!$M$50*($CA$8^2)+'LINEST VARS'!$L$50*($BX20^2)+'LINEST VARS'!$K$50*(12.73^2)+'LINEST VARS'!$J$50*(8*8)+'LINEST VARS'!$I$50*(8*$CA$8)+'LINEST VARS'!$H$50*(8*$BX20)+'LINEST VARS'!$G$50*(8*12.73)+'LINEST VARS'!$F$50*(8*$CA$8)+'LINEST VARS'!$E$50*(8*$BX20)+'LINEST VARS'!$D$50*(8*12.73)+'LINEST VARS'!$C$50*($CA$8*$BX20)+'LINEST VARS'!$B$50*($CA$8*12.73)+'LINEST VARS'!$A$50*($BX20*12.73)</f>
        <v>331.99999999999989</v>
      </c>
      <c r="CB20" s="46">
        <f>'LINEST VARS'!$U$50+'LINEST VARS'!$T$50*(8)+'LINEST VARS'!$S$50*(8)+'LINEST VARS'!$R$50*($CB$8)+'LINEST VARS'!$Q$50*($BX20)+'LINEST VARS'!$P$50*(12.73)+'LINEST VARS'!$O$50*(8^2)+'LINEST VARS'!$N$50*(8^2)+'LINEST VARS'!$M$50*($CB$8^2)+'LINEST VARS'!$L$50*($BX20^2)+'LINEST VARS'!$K$50*(12.73^2)+'LINEST VARS'!$J$50*(8*8)+'LINEST VARS'!$I$50*(8*$CB$8)+'LINEST VARS'!$H$50*(8*$BX20)+'LINEST VARS'!$G$50*(8*12.73)+'LINEST VARS'!$F$50*(8*$CB$8)+'LINEST VARS'!$E$50*(8*$BX20)+'LINEST VARS'!$D$50*(8*12.73)+'LINEST VARS'!$C$50*($CB$8*$BX20)+'LINEST VARS'!$B$50*($CB$8*12.73)+'LINEST VARS'!$A$50*($BX20*12.73)</f>
        <v>331.99999999999989</v>
      </c>
      <c r="CC20" s="46">
        <f>'LINEST VARS'!$U$50+'LINEST VARS'!$T$50*(8)+'LINEST VARS'!$S$50*(8)+'LINEST VARS'!$R$50*($CC$8)+'LINEST VARS'!$Q$50*($BX20)+'LINEST VARS'!$P$50*(12.73)+'LINEST VARS'!$O$50*(8^2)+'LINEST VARS'!$N$50*(8^2)+'LINEST VARS'!$M$50*($CC$8^2)+'LINEST VARS'!$L$50*($BX20^2)+'LINEST VARS'!$K$50*(12.73^2)+'LINEST VARS'!$J$50*(8*8)+'LINEST VARS'!$I$50*(8*$CC$8)+'LINEST VARS'!$H$50*(8*$BX20)+'LINEST VARS'!$G$50*(8*12.73)+'LINEST VARS'!$F$50*(8*$CC$8)+'LINEST VARS'!$E$50*(8*$BX20)+'LINEST VARS'!$D$50*(8*12.73)+'LINEST VARS'!$C$50*($CC$8*$BX20)+'LINEST VARS'!$B$50*($CC$8*12.73)+'LINEST VARS'!$A$50*($BX20*12.73)</f>
        <v>331.99999999999989</v>
      </c>
      <c r="CD20" s="46">
        <f>'LINEST VARS'!$U$50+'LINEST VARS'!$T$50*(8)+'LINEST VARS'!$S$50*(8)+'LINEST VARS'!$R$50*($CD$8)+'LINEST VARS'!$Q$50*($BX20)+'LINEST VARS'!$P$50*(12.73)+'LINEST VARS'!$O$50*(8^2)+'LINEST VARS'!$N$50*(8^2)+'LINEST VARS'!$M$50*($CD$8^2)+'LINEST VARS'!$L$50*($BX20^2)+'LINEST VARS'!$K$50*(12.73^2)+'LINEST VARS'!$J$50*(8*8)+'LINEST VARS'!$I$50*(8*$CD$8)+'LINEST VARS'!$H$50*(8*$BX20)+'LINEST VARS'!$G$50*(8*12.73)+'LINEST VARS'!$F$50*(8*$CD$8)+'LINEST VARS'!$E$50*(8*$BX20)+'LINEST VARS'!$D$50*(8*12.73)+'LINEST VARS'!$C$50*($CD$8*$BX20)+'LINEST VARS'!$B$50*($CD$8*12.73)+'LINEST VARS'!$A$50*($BX20*12.73)</f>
        <v>331.99999999999989</v>
      </c>
      <c r="CE20" s="46">
        <f>'LINEST VARS'!$U$50+'LINEST VARS'!$T$50*(8)+'LINEST VARS'!$S$50*(8)+'LINEST VARS'!$R$50*($CE$8)+'LINEST VARS'!$Q$50*($BX20)+'LINEST VARS'!$P$50*(12.73)+'LINEST VARS'!$O$50*(8^2)+'LINEST VARS'!$N$50*(8^2)+'LINEST VARS'!$M$50*($CE$8^2)+'LINEST VARS'!$L$50*($BX20^2)+'LINEST VARS'!$K$50*(12.73^2)+'LINEST VARS'!$J$50*(8*8)+'LINEST VARS'!$I$50*(8*$CE$8)+'LINEST VARS'!$H$50*(8*$BX20)+'LINEST VARS'!$G$50*(8*12.73)+'LINEST VARS'!$F$50*(8*$CE$8)+'LINEST VARS'!$E$50*(8*$BX20)+'LINEST VARS'!$D$50*(8*12.73)+'LINEST VARS'!$C$50*($CE$8*$BX20)+'LINEST VARS'!$B$50*($CE$8*12.73)+'LINEST VARS'!$A$50*($BX20*12.73)</f>
        <v>331.99999999999989</v>
      </c>
      <c r="CF20" s="46">
        <f>'LINEST VARS'!$U$50+'LINEST VARS'!$T$50*(8)+'LINEST VARS'!$S$50*(8)+'LINEST VARS'!$R$50*($CF$8)+'LINEST VARS'!$Q$50*($BX20)+'LINEST VARS'!$P$50*(12.73)+'LINEST VARS'!$O$50*(8^2)+'LINEST VARS'!$N$50*(8^2)+'LINEST VARS'!$M$50*($CF$8^2)+'LINEST VARS'!$L$50*($BX20^2)+'LINEST VARS'!$K$50*(12.73^2)+'LINEST VARS'!$J$50*(8*8)+'LINEST VARS'!$I$50*(8*$CF$8)+'LINEST VARS'!$H$50*(8*$BX20)+'LINEST VARS'!$G$50*(8*12.73)+'LINEST VARS'!$F$50*(8*$CF$8)+'LINEST VARS'!$E$50*(8*$BX20)+'LINEST VARS'!$D$50*(8*12.73)+'LINEST VARS'!$C$50*($CF$8*$BX20)+'LINEST VARS'!$B$50*($CF$8*12.73)+'LINEST VARS'!$A$50*($BX20*12.73)</f>
        <v>331.99999999999989</v>
      </c>
      <c r="CG20" s="46">
        <f>'LINEST VARS'!$U$50+'LINEST VARS'!$T$50*(8)+'LINEST VARS'!$S$50*(8)+'LINEST VARS'!$R$50*($CG$8)+'LINEST VARS'!$Q$50*($BX20)+'LINEST VARS'!$P$50*(12.73)+'LINEST VARS'!$O$50*(8^2)+'LINEST VARS'!$N$50*(8^2)+'LINEST VARS'!$M$50*($CG$8^2)+'LINEST VARS'!$L$50*($BX20^2)+'LINEST VARS'!$K$50*(12.73^2)+'LINEST VARS'!$J$50*(8*8)+'LINEST VARS'!$I$50*(8*$CG$8)+'LINEST VARS'!$H$50*(8*$BX20)+'LINEST VARS'!$G$50*(8*12.73)+'LINEST VARS'!$F$50*(8*$CG$8)+'LINEST VARS'!$E$50*(8*$BX20)+'LINEST VARS'!$D$50*(8*12.73)+'LINEST VARS'!$C$50*($CG$8*$BX20)+'LINEST VARS'!$B$50*($CG$8*12.73)+'LINEST VARS'!$A$50*($BX20*12.73)</f>
        <v>331.99999999999989</v>
      </c>
      <c r="CH20" s="46">
        <f>'LINEST VARS'!$U$50+'LINEST VARS'!$T$50*(8)+'LINEST VARS'!$S$50*(8)+'LINEST VARS'!$R$50*($CH$8)+'LINEST VARS'!$Q$50*($BX20)+'LINEST VARS'!$P$50*(12.73)+'LINEST VARS'!$O$50*(8^2)+'LINEST VARS'!$N$50*(8^2)+'LINEST VARS'!$M$50*($CH$8^2)+'LINEST VARS'!$L$50*($BX20^2)+'LINEST VARS'!$K$50*(12.73^2)+'LINEST VARS'!$J$50*(8*8)+'LINEST VARS'!$I$50*(8*$CH$8)+'LINEST VARS'!$H$50*(8*$BX20)+'LINEST VARS'!$G$50*(8*12.73)+'LINEST VARS'!$F$50*(8*$CH$8)+'LINEST VARS'!$E$50*(8*$BX20)+'LINEST VARS'!$D$50*(8*12.73)+'LINEST VARS'!$C$50*($CH$8*$BX20)+'LINEST VARS'!$B$50*($CH$8*12.73)+'LINEST VARS'!$A$50*($BX20*12.73)</f>
        <v>331.99999999999989</v>
      </c>
      <c r="CI20" s="46">
        <f>'LINEST VARS'!$U$50+'LINEST VARS'!$T$50*(8)+'LINEST VARS'!$S$50*(8)+'LINEST VARS'!$R$50*($CI$8)+'LINEST VARS'!$Q$50*($BX20)+'LINEST VARS'!$P$50*(12.73)+'LINEST VARS'!$O$50*(8^2)+'LINEST VARS'!$N$50*(8^2)+'LINEST VARS'!$M$50*($CI$8^2)+'LINEST VARS'!$L$50*($BX20^2)+'LINEST VARS'!$K$50*(12.73^2)+'LINEST VARS'!$J$50*(8*8)+'LINEST VARS'!$I$50*(8*$CI$8)+'LINEST VARS'!$H$50*(8*$BX20)+'LINEST VARS'!$G$50*(8*12.73)+'LINEST VARS'!$F$50*(8*$CI$8)+'LINEST VARS'!$E$50*(8*$BX20)+'LINEST VARS'!$D$50*(8*12.73)+'LINEST VARS'!$C$50*($CI$8*$BX20)+'LINEST VARS'!$B$50*($CI$8*12.73)+'LINEST VARS'!$A$50*($BX20*12.73)</f>
        <v>331.99999999999989</v>
      </c>
      <c r="CJ20" s="46">
        <f>'LINEST VARS'!$U$50+'LINEST VARS'!$T$50*(8)+'LINEST VARS'!$S$50*(8)+'LINEST VARS'!$R$50*($CJ$8)+'LINEST VARS'!$Q$50*($BX20)+'LINEST VARS'!$P$50*(12.73)+'LINEST VARS'!$O$50*(8^2)+'LINEST VARS'!$N$50*(8^2)+'LINEST VARS'!$M$50*($CJ$8^2)+'LINEST VARS'!$L$50*($BX20^2)+'LINEST VARS'!$K$50*(12.73^2)+'LINEST VARS'!$J$50*(8*8)+'LINEST VARS'!$I$50*(8*$CJ$8)+'LINEST VARS'!$H$50*(8*$BX20)+'LINEST VARS'!$G$50*(8*12.73)+'LINEST VARS'!$F$50*(8*$CJ$8)+'LINEST VARS'!$E$50*(8*$BX20)+'LINEST VARS'!$D$50*(8*12.73)+'LINEST VARS'!$C$50*($CJ$8*$BX20)+'LINEST VARS'!$B$50*($CJ$8*12.73)+'LINEST VARS'!$A$50*($BX20*12.73)</f>
        <v>331.99999999999989</v>
      </c>
      <c r="CK20" s="46">
        <f>'LINEST VARS'!$U$50+'LINEST VARS'!$T$50*(8)+'LINEST VARS'!$S$50*(8)+'LINEST VARS'!$R$50*($CK$8)+'LINEST VARS'!$Q$50*($BX20)+'LINEST VARS'!$P$50*(12.73)+'LINEST VARS'!$O$50*(8^2)+'LINEST VARS'!$N$50*(8^2)+'LINEST VARS'!$M$50*($CK$8^2)+'LINEST VARS'!$L$50*($BX20^2)+'LINEST VARS'!$K$50*(12.73^2)+'LINEST VARS'!$J$50*(8*8)+'LINEST VARS'!$I$50*(8*$CK$8)+'LINEST VARS'!$H$50*(8*$BX20)+'LINEST VARS'!$G$50*(8*12.73)+'LINEST VARS'!$F$50*(8*$CK$8)+'LINEST VARS'!$E$50*(8*$BX20)+'LINEST VARS'!$D$50*(8*12.73)+'LINEST VARS'!$C$50*($CK$8*$BX20)+'LINEST VARS'!$B$50*($CK$8*12.73)+'LINEST VARS'!$A$50*($BX20*12.73)</f>
        <v>331.99999999999989</v>
      </c>
      <c r="CL20" s="46">
        <f>'LINEST VARS'!$U$50+'LINEST VARS'!$T$50*(8)+'LINEST VARS'!$S$50*(8)+'LINEST VARS'!$R$50*($CL$8)+'LINEST VARS'!$Q$50*($BX20)+'LINEST VARS'!$P$50*(12.73)+'LINEST VARS'!$O$50*(8^2)+'LINEST VARS'!$N$50*(8^2)+'LINEST VARS'!$M$50*($CL$8^2)+'LINEST VARS'!$L$50*($BX20^2)+'LINEST VARS'!$K$50*(12.73^2)+'LINEST VARS'!$J$50*(8*8)+'LINEST VARS'!$I$50*(8*$CL$8)+'LINEST VARS'!$H$50*(8*$BX20)+'LINEST VARS'!$G$50*(8*12.73)+'LINEST VARS'!$F$50*(8*$CL$8)+'LINEST VARS'!$E$50*(8*$BX20)+'LINEST VARS'!$D$50*(8*12.73)+'LINEST VARS'!$C$50*($CL$8*$BX20)+'LINEST VARS'!$B$50*($CL$8*12.73)+'LINEST VARS'!$A$50*($BX20*12.73)</f>
        <v>331.99999999999989</v>
      </c>
      <c r="CM20" s="46">
        <f>'LINEST VARS'!$U$50+'LINEST VARS'!$T$50*(8)+'LINEST VARS'!$S$50*(8)+'LINEST VARS'!$R$50*($CM$8)+'LINEST VARS'!$Q$50*($BX20)+'LINEST VARS'!$P$50*(12.73)+'LINEST VARS'!$O$50*(8^2)+'LINEST VARS'!$N$50*(8^2)+'LINEST VARS'!$M$50*($CM$8^2)+'LINEST VARS'!$L$50*($BX20^2)+'LINEST VARS'!$K$50*(12.73^2)+'LINEST VARS'!$J$50*(8*8)+'LINEST VARS'!$I$50*(8*$CM$8)+'LINEST VARS'!$H$50*(8*$BX20)+'LINEST VARS'!$G$50*(8*12.73)+'LINEST VARS'!$F$50*(8*$CM$8)+'LINEST VARS'!$E$50*(8*$BX20)+'LINEST VARS'!$D$50*(8*12.73)+'LINEST VARS'!$C$50*($CM$8*$BX20)+'LINEST VARS'!$B$50*($CM$8*12.73)+'LINEST VARS'!$A$50*($BX20*12.73)</f>
        <v>331.99999999999989</v>
      </c>
      <c r="CN20" s="46">
        <f>'LINEST VARS'!$U$50+'LINEST VARS'!$T$50*(8)+'LINEST VARS'!$S$50*(8)+'LINEST VARS'!$R$50*($CN$8)+'LINEST VARS'!$Q$50*($BX20)+'LINEST VARS'!$P$50*(12.73)+'LINEST VARS'!$O$50*(8^2)+'LINEST VARS'!$N$50*(8^2)+'LINEST VARS'!$M$50*($CN$8^2)+'LINEST VARS'!$L$50*($BX20^2)+'LINEST VARS'!$K$50*(12.73^2)+'LINEST VARS'!$J$50*(8*8)+'LINEST VARS'!$I$50*(8*$CN$8)+'LINEST VARS'!$H$50*(8*$BX20)+'LINEST VARS'!$G$50*(8*12.73)+'LINEST VARS'!$F$50*(8*$CN$8)+'LINEST VARS'!$E$50*(8*$BX20)+'LINEST VARS'!$D$50*(8*12.73)+'LINEST VARS'!$C$50*($CN$8*$BX20)+'LINEST VARS'!$B$50*($CN$8*12.73)+'LINEST VARS'!$A$50*($BX20*12.73)</f>
        <v>331.99999999999989</v>
      </c>
      <c r="CO20" s="46">
        <f>'LINEST VARS'!$U$50+'LINEST VARS'!$T$50*(8)+'LINEST VARS'!$S$50*(8)+'LINEST VARS'!$R$50*($CO$8)+'LINEST VARS'!$Q$50*($BX20)+'LINEST VARS'!$P$50*(12.73)+'LINEST VARS'!$O$50*(8^2)+'LINEST VARS'!$N$50*(8^2)+'LINEST VARS'!$M$50*($CO$8^2)+'LINEST VARS'!$L$50*($BX20^2)+'LINEST VARS'!$K$50*(12.73^2)+'LINEST VARS'!$J$50*(8*8)+'LINEST VARS'!$I$50*(8*$CO$8)+'LINEST VARS'!$H$50*(8*$BX20)+'LINEST VARS'!$G$50*(8*12.73)+'LINEST VARS'!$F$50*(8*$CO$8)+'LINEST VARS'!$E$50*(8*$BX20)+'LINEST VARS'!$D$50*(8*12.73)+'LINEST VARS'!$C$50*($CO$8*$BX20)+'LINEST VARS'!$B$50*($CO$8*12.73)+'LINEST VARS'!$A$50*($BX20*12.73)</f>
        <v>331.99999999999989</v>
      </c>
      <c r="CP20" s="46">
        <f>'LINEST VARS'!$U$50+'LINEST VARS'!$T$50*(8)+'LINEST VARS'!$S$50*(8)+'LINEST VARS'!$R$50*($CP$8)+'LINEST VARS'!$Q$50*($BX20)+'LINEST VARS'!$P$50*(12.73)+'LINEST VARS'!$O$50*(8^2)+'LINEST VARS'!$N$50*(8^2)+'LINEST VARS'!$M$50*($CP$8^2)+'LINEST VARS'!$L$50*($BX20^2)+'LINEST VARS'!$K$50*(12.73^2)+'LINEST VARS'!$J$50*(8*8)+'LINEST VARS'!$I$50*(8*$CP$8)+'LINEST VARS'!$H$50*(8*$BX20)+'LINEST VARS'!$G$50*(8*12.73)+'LINEST VARS'!$F$50*(8*$CP$8)+'LINEST VARS'!$E$50*(8*$BX20)+'LINEST VARS'!$D$50*(8*12.73)+'LINEST VARS'!$C$50*($CP$8*$BX20)+'LINEST VARS'!$B$50*($CP$8*12.73)+'LINEST VARS'!$A$50*($BX20*12.73)</f>
        <v>331.99999999999989</v>
      </c>
      <c r="CQ20" s="46">
        <f>'LINEST VARS'!$U$50+'LINEST VARS'!$T$50*(8)+'LINEST VARS'!$S$50*(8)+'LINEST VARS'!$R$50*($CQ$8)+'LINEST VARS'!$Q$50*($BX20)+'LINEST VARS'!$P$50*(12.73)+'LINEST VARS'!$O$50*(8^2)+'LINEST VARS'!$N$50*(8^2)+'LINEST VARS'!$M$50*($CQ$8^2)+'LINEST VARS'!$L$50*($BX20^2)+'LINEST VARS'!$K$50*(12.73^2)+'LINEST VARS'!$J$50*(8*8)+'LINEST VARS'!$I$50*(8*$CQ$8)+'LINEST VARS'!$H$50*(8*$BX20)+'LINEST VARS'!$G$50*(8*12.73)+'LINEST VARS'!$F$50*(8*$CQ$8)+'LINEST VARS'!$E$50*(8*$BX20)+'LINEST VARS'!$D$50*(8*12.73)+'LINEST VARS'!$C$50*($CQ$8*$BX20)+'LINEST VARS'!$B$50*($CQ$8*12.73)+'LINEST VARS'!$A$50*($BX20*12.73)</f>
        <v>331.99999999999989</v>
      </c>
      <c r="CR20" s="46">
        <f>'LINEST VARS'!$U$50+'LINEST VARS'!$T$50*(8)+'LINEST VARS'!$S$50*(8)+'LINEST VARS'!$R$50*($CR$8)+'LINEST VARS'!$Q$50*($BX20)+'LINEST VARS'!$P$50*(12.73)+'LINEST VARS'!$O$50*(8^2)+'LINEST VARS'!$N$50*(8^2)+'LINEST VARS'!$M$50*($CR$8^2)+'LINEST VARS'!$L$50*($BX20^2)+'LINEST VARS'!$K$50*(12.73^2)+'LINEST VARS'!$J$50*(8*8)+'LINEST VARS'!$I$50*(8*$CR$8)+'LINEST VARS'!$H$50*(8*$BX20)+'LINEST VARS'!$G$50*(8*12.73)+'LINEST VARS'!$F$50*(8*$CR$8)+'LINEST VARS'!$E$50*(8*$BX20)+'LINEST VARS'!$D$50*(8*12.73)+'LINEST VARS'!$C$50*($CR$8*$BX20)+'LINEST VARS'!$B$50*($CR$8*12.73)+'LINEST VARS'!$A$50*($BX20*12.73)</f>
        <v>331.99999999999989</v>
      </c>
      <c r="CS20" s="47">
        <f>'LINEST VARS'!$U$50+'LINEST VARS'!$T$50*(8)+'LINEST VARS'!$S$50*(8)+'LINEST VARS'!$R$50*($CS$8)+'LINEST VARS'!$Q$50*($BX20)+'LINEST VARS'!$P$50*(12.73)+'LINEST VARS'!$O$50*(8^2)+'LINEST VARS'!$N$50*(8^2)+'LINEST VARS'!$M$50*($CS$8^2)+'LINEST VARS'!$L$50*($BX20^2)+'LINEST VARS'!$K$50*(12.73^2)+'LINEST VARS'!$J$50*(8*8)+'LINEST VARS'!$I$50*(8*$CS$8)+'LINEST VARS'!$H$50*(8*$BX20)+'LINEST VARS'!$G$50*(8*12.73)+'LINEST VARS'!$F$50*(8*$CS$8)+'LINEST VARS'!$E$50*(8*$BX20)+'LINEST VARS'!$D$50*(8*12.73)+'LINEST VARS'!$C$50*($CS$8*$BX20)+'LINEST VARS'!$B$50*($CS$8*12.73)+'LINEST VARS'!$A$50*($BX20*12.73)</f>
        <v>331.99999999999989</v>
      </c>
      <c r="CX20" s="45">
        <v>14.294499999999999</v>
      </c>
      <c r="CY20" s="46">
        <f>'LINEST VARS'!$U$48+'LINEST VARS'!$T$48*(8)+'LINEST VARS'!$S$48*(8)+'LINEST VARS'!$R$48*($CY$8)+'LINEST VARS'!$Q$48*(0.5)+'LINEST VARS'!$P$48*($CX20)+'LINEST VARS'!$O$48*(8^2)+'LINEST VARS'!$N$48*(8^2)+'LINEST VARS'!$M$48*($CY$8^2)+'LINEST VARS'!$L$48*(0.5^2)+'LINEST VARS'!$K$48*($CX20^2)+'LINEST VARS'!$J$48*(8*8)+'LINEST VARS'!$I$48*(8*$CY$8)+'LINEST VARS'!$H$48*(8*0.5)+'LINEST VARS'!$G$48*(8*$CX20)+'LINEST VARS'!$F$48*(8*$CY$8)+'LINEST VARS'!$E$48*(8*0.5)+'LINEST VARS'!$D$48*(8*$CX20)+'LINEST VARS'!$C$48*($CY$8*0.5)+'LINEST VARS'!$B$48*($CY$8*$CX20)+'LINEST VARS'!$A$48*(0.5*$CX20)</f>
        <v>369.99999999999983</v>
      </c>
      <c r="CZ20" s="46">
        <f>'LINEST VARS'!$U$48+'LINEST VARS'!$T$48*(8)+'LINEST VARS'!$S$48*(8)+'LINEST VARS'!$R$48*($CZ$8)+'LINEST VARS'!$Q$48*(0.5)+'LINEST VARS'!$P$48*($CX20)+'LINEST VARS'!$O$48*(8^2)+'LINEST VARS'!$N$48*(8^2)+'LINEST VARS'!$M$48*($CZ$8^2)+'LINEST VARS'!$L$48*(0.5^2)+'LINEST VARS'!$K$48*($CX20^2)+'LINEST VARS'!$J$48*(8*8)+'LINEST VARS'!$I$48*(8*$CZ$8)+'LINEST VARS'!$H$48*(8*0.5)+'LINEST VARS'!$G$48*(8*$CX20)+'LINEST VARS'!$F$48*(8*$CZ$8)+'LINEST VARS'!$E$48*(8*0.5)+'LINEST VARS'!$D$48*(8*$CX20)+'LINEST VARS'!$C$48*($CZ$8*0.5)+'LINEST VARS'!$B$48*($CZ$8*$CX20)+'LINEST VARS'!$A$48*(0.5*$CX20)</f>
        <v>369.99999999999983</v>
      </c>
      <c r="DA20" s="46">
        <f>'LINEST VARS'!$U$48+'LINEST VARS'!$T$48*(8)+'LINEST VARS'!$S$48*(8)+'LINEST VARS'!$R$48*($DA$8)+'LINEST VARS'!$Q$48*(0.5)+'LINEST VARS'!$P$48*($CX20)+'LINEST VARS'!$O$48*(8^2)+'LINEST VARS'!$N$48*(8^2)+'LINEST VARS'!$M$48*($DA$8^2)+'LINEST VARS'!$L$48*(0.5^2)+'LINEST VARS'!$K$48*($CX20^2)+'LINEST VARS'!$J$48*(8*8)+'LINEST VARS'!$I$48*(8*$DA$8)+'LINEST VARS'!$H$48*(8*0.5)+'LINEST VARS'!$G$48*(8*$CX20)+'LINEST VARS'!$F$48*(8*$DA$8)+'LINEST VARS'!$E$48*(8*0.5)+'LINEST VARS'!$D$48*(8*$CX20)+'LINEST VARS'!$C$48*($DA$8*0.5)+'LINEST VARS'!$B$48*($DA$8*$CX20)+'LINEST VARS'!$A$48*(0.5*$CX20)</f>
        <v>369.99999999999983</v>
      </c>
      <c r="DB20" s="46">
        <f>'LINEST VARS'!$U$48+'LINEST VARS'!$T$48*(8)+'LINEST VARS'!$S$48*(8)+'LINEST VARS'!$R$48*($DB$8)+'LINEST VARS'!$Q$48*(0.5)+'LINEST VARS'!$P$48*($CX20)+'LINEST VARS'!$O$48*(8^2)+'LINEST VARS'!$N$48*(8^2)+'LINEST VARS'!$M$48*($DB$8^2)+'LINEST VARS'!$L$48*(0.5^2)+'LINEST VARS'!$K$48*($CX20^2)+'LINEST VARS'!$J$48*(8*8)+'LINEST VARS'!$I$48*(8*$DB$8)+'LINEST VARS'!$H$48*(8*0.5)+'LINEST VARS'!$G$48*(8*$CX20)+'LINEST VARS'!$F$48*(8*$DB$8)+'LINEST VARS'!$E$48*(8*0.5)+'LINEST VARS'!$D$48*(8*$CX20)+'LINEST VARS'!$C$48*($DB$8*0.5)+'LINEST VARS'!$B$48*($DB$8*$CX20)+'LINEST VARS'!$A$48*(0.5*$CX20)</f>
        <v>369.99999999999983</v>
      </c>
      <c r="DC20" s="46">
        <f>'LINEST VARS'!$U$48+'LINEST VARS'!$T$48*(8)+'LINEST VARS'!$S$48*(8)+'LINEST VARS'!$R$48*($DC$8)+'LINEST VARS'!$Q$48*(0.5)+'LINEST VARS'!$P$48*($CX20)+'LINEST VARS'!$O$48*(8^2)+'LINEST VARS'!$N$48*(8^2)+'LINEST VARS'!$M$48*($DC$8^2)+'LINEST VARS'!$L$48*(0.5^2)+'LINEST VARS'!$K$48*($CX20^2)+'LINEST VARS'!$J$48*(8*8)+'LINEST VARS'!$I$48*(8*$DC$8)+'LINEST VARS'!$H$48*(8*0.5)+'LINEST VARS'!$G$48*(8*$CX20)+'LINEST VARS'!$F$48*(8*$DC$8)+'LINEST VARS'!$E$48*(8*0.5)+'LINEST VARS'!$D$48*(8*$CX20)+'LINEST VARS'!$C$48*($DC$8*0.5)+'LINEST VARS'!$B$48*($DC$8*$CX20)+'LINEST VARS'!$A$48*(0.5*$CX20)</f>
        <v>369.99999999999983</v>
      </c>
      <c r="DD20" s="46">
        <f>'LINEST VARS'!$U$48+'LINEST VARS'!$T$48*(8)+'LINEST VARS'!$S$48*(8)+'LINEST VARS'!$R$48*($DD$8)+'LINEST VARS'!$Q$48*(0.5)+'LINEST VARS'!$P$48*($CX20)+'LINEST VARS'!$O$48*(8^2)+'LINEST VARS'!$N$48*(8^2)+'LINEST VARS'!$M$48*($DD$8^2)+'LINEST VARS'!$L$48*(0.5^2)+'LINEST VARS'!$K$48*($CX20^2)+'LINEST VARS'!$J$48*(8*8)+'LINEST VARS'!$I$48*(8*$DD$8)+'LINEST VARS'!$H$48*(8*0.5)+'LINEST VARS'!$G$48*(8*$CX20)+'LINEST VARS'!$F$48*(8*$DD$8)+'LINEST VARS'!$E$48*(8*0.5)+'LINEST VARS'!$D$48*(8*$CX20)+'LINEST VARS'!$C$48*($DD$8*0.5)+'LINEST VARS'!$B$48*($DD$8*$CX20)+'LINEST VARS'!$A$48*(0.5*$CX20)</f>
        <v>369.99999999999983</v>
      </c>
      <c r="DE20" s="46">
        <f>'LINEST VARS'!$U$48+'LINEST VARS'!$T$48*(8)+'LINEST VARS'!$S$48*(8)+'LINEST VARS'!$R$48*($DE$8)+'LINEST VARS'!$Q$48*(0.5)+'LINEST VARS'!$P$48*($CX20)+'LINEST VARS'!$O$48*(8^2)+'LINEST VARS'!$N$48*(8^2)+'LINEST VARS'!$M$48*($DE$8^2)+'LINEST VARS'!$L$48*(0.5^2)+'LINEST VARS'!$K$48*($CX20^2)+'LINEST VARS'!$J$48*(8*8)+'LINEST VARS'!$I$48*(8*$DE$8)+'LINEST VARS'!$H$48*(8*0.5)+'LINEST VARS'!$G$48*(8*$CX20)+'LINEST VARS'!$F$48*(8*$DE$8)+'LINEST VARS'!$E$48*(8*0.5)+'LINEST VARS'!$D$48*(8*$CX20)+'LINEST VARS'!$C$48*($DE$8*0.5)+'LINEST VARS'!$B$48*($DE$8*$CX20)+'LINEST VARS'!$A$48*(0.5*$CX20)</f>
        <v>369.99999999999983</v>
      </c>
      <c r="DF20" s="46">
        <f>'LINEST VARS'!$U$48+'LINEST VARS'!$T$48*(8)+'LINEST VARS'!$S$48*(8)+'LINEST VARS'!$R$48*($DF$8)+'LINEST VARS'!$Q$48*(0.5)+'LINEST VARS'!$P$48*($CX20)+'LINEST VARS'!$O$48*(8^2)+'LINEST VARS'!$N$48*(8^2)+'LINEST VARS'!$M$48*($DF$8^2)+'LINEST VARS'!$L$48*(0.5^2)+'LINEST VARS'!$K$48*($CX20^2)+'LINEST VARS'!$J$48*(8*8)+'LINEST VARS'!$I$48*(8*$DF$8)+'LINEST VARS'!$H$48*(8*0.5)+'LINEST VARS'!$G$48*(8*$CX20)+'LINEST VARS'!$F$48*(8*$DF$8)+'LINEST VARS'!$E$48*(8*0.5)+'LINEST VARS'!$D$48*(8*$CX20)+'LINEST VARS'!$C$48*($DF$8*0.5)+'LINEST VARS'!$B$48*($DF$8*$CX20)+'LINEST VARS'!$A$48*(0.5*$CX20)</f>
        <v>369.99999999999983</v>
      </c>
      <c r="DG20" s="46">
        <f>'LINEST VARS'!$U$48+'LINEST VARS'!$T$48*(8)+'LINEST VARS'!$S$48*(8)+'LINEST VARS'!$R$48*($DG$8)+'LINEST VARS'!$Q$48*(0.5)+'LINEST VARS'!$P$48*($CX20)+'LINEST VARS'!$O$48*(8^2)+'LINEST VARS'!$N$48*(8^2)+'LINEST VARS'!$M$48*($DG$8^2)+'LINEST VARS'!$L$48*(0.5^2)+'LINEST VARS'!$K$48*($CX20^2)+'LINEST VARS'!$J$48*(8*8)+'LINEST VARS'!$I$48*(8*$DG$8)+'LINEST VARS'!$H$48*(8*0.5)+'LINEST VARS'!$G$48*(8*$CX20)+'LINEST VARS'!$F$48*(8*$DG$8)+'LINEST VARS'!$E$48*(8*0.5)+'LINEST VARS'!$D$48*(8*$CX20)+'LINEST VARS'!$C$48*($DG$8*0.5)+'LINEST VARS'!$B$48*($DG$8*$CX20)+'LINEST VARS'!$A$48*(0.5*$CX20)</f>
        <v>369.99999999999983</v>
      </c>
      <c r="DH20" s="46">
        <f>'LINEST VARS'!$U$48+'LINEST VARS'!$T$48*(8)+'LINEST VARS'!$S$48*(8)+'LINEST VARS'!$R$48*($DH$8)+'LINEST VARS'!$Q$48*(0.5)+'LINEST VARS'!$P$48*($CX20)+'LINEST VARS'!$O$48*(8^2)+'LINEST VARS'!$N$48*(8^2)+'LINEST VARS'!$M$48*($DH$8^2)+'LINEST VARS'!$L$48*(0.5^2)+'LINEST VARS'!$K$48*($CX20^2)+'LINEST VARS'!$J$48*(8*8)+'LINEST VARS'!$I$48*(8*$DH$8)+'LINEST VARS'!$H$48*(8*0.5)+'LINEST VARS'!$G$48*(8*$CX20)+'LINEST VARS'!$F$48*(8*$DH$8)+'LINEST VARS'!$E$48*(8*0.5)+'LINEST VARS'!$D$48*(8*$CX20)+'LINEST VARS'!$C$48*($DH$8*0.5)+'LINEST VARS'!$B$48*($DH$8*$CX20)+'LINEST VARS'!$A$48*(0.5*$CX20)</f>
        <v>369.99999999999983</v>
      </c>
      <c r="DI20" s="46">
        <f>'LINEST VARS'!$U$48+'LINEST VARS'!$T$48*(8)+'LINEST VARS'!$S$48*(8)+'LINEST VARS'!$R$48*($DI$8)+'LINEST VARS'!$Q$48*(0.5)+'LINEST VARS'!$P$48*($CX20)+'LINEST VARS'!$O$48*(8^2)+'LINEST VARS'!$N$48*(8^2)+'LINEST VARS'!$M$48*($DI$8^2)+'LINEST VARS'!$L$48*(0.5^2)+'LINEST VARS'!$K$48*($CX20^2)+'LINEST VARS'!$J$48*(8*8)+'LINEST VARS'!$I$48*(8*$DI$8)+'LINEST VARS'!$H$48*(8*0.5)+'LINEST VARS'!$G$48*(8*$CX20)+'LINEST VARS'!$F$48*(8*$DI$8)+'LINEST VARS'!$E$48*(8*0.5)+'LINEST VARS'!$D$48*(8*$CX20)+'LINEST VARS'!$C$48*($DI$8*0.5)+'LINEST VARS'!$B$48*($DI$8*$CX20)+'LINEST VARS'!$A$48*(0.5*$CX20)</f>
        <v>369.99999999999983</v>
      </c>
      <c r="DJ20" s="46">
        <f>'LINEST VARS'!$U$48+'LINEST VARS'!$T$48*(8)+'LINEST VARS'!$S$48*(8)+'LINEST VARS'!$R$48*($DJ$8)+'LINEST VARS'!$Q$48*(0.5)+'LINEST VARS'!$P$48*($CX20)+'LINEST VARS'!$O$48*(8^2)+'LINEST VARS'!$N$48*(8^2)+'LINEST VARS'!$M$48*($DJ$8^2)+'LINEST VARS'!$L$48*(0.5^2)+'LINEST VARS'!$K$48*($CX20^2)+'LINEST VARS'!$J$48*(8*8)+'LINEST VARS'!$I$48*(8*$DJ$8)+'LINEST VARS'!$H$48*(8*0.5)+'LINEST VARS'!$G$48*(8*$CX20)+'LINEST VARS'!$F$48*(8*$DJ$8)+'LINEST VARS'!$E$48*(8*0.5)+'LINEST VARS'!$D$48*(8*$CX20)+'LINEST VARS'!$C$48*($DJ$8*0.5)+'LINEST VARS'!$B$48*($DJ$8*$CX20)+'LINEST VARS'!$A$48*(0.5*$CX20)</f>
        <v>369.99999999999983</v>
      </c>
      <c r="DK20" s="46">
        <f>'LINEST VARS'!$U$48+'LINEST VARS'!$T$48*(8)+'LINEST VARS'!$S$48*(8)+'LINEST VARS'!$R$48*($DK$8)+'LINEST VARS'!$Q$48*(0.5)+'LINEST VARS'!$P$48*($CX20)+'LINEST VARS'!$O$48*(8^2)+'LINEST VARS'!$N$48*(8^2)+'LINEST VARS'!$M$48*($DK$8^2)+'LINEST VARS'!$L$48*(0.5^2)+'LINEST VARS'!$K$48*($CX20^2)+'LINEST VARS'!$J$48*(8*8)+'LINEST VARS'!$I$48*(8*$DK$8)+'LINEST VARS'!$H$48*(8*0.5)+'LINEST VARS'!$G$48*(8*$CX20)+'LINEST VARS'!$F$48*(8*$DK$8)+'LINEST VARS'!$E$48*(8*0.5)+'LINEST VARS'!$D$48*(8*$CX20)+'LINEST VARS'!$C$48*($DK$8*0.5)+'LINEST VARS'!$B$48*($DK$8*$CX20)+'LINEST VARS'!$A$48*(0.5*$CX20)</f>
        <v>369.99999999999983</v>
      </c>
      <c r="DL20" s="46">
        <f>'LINEST VARS'!$U$48+'LINEST VARS'!$T$48*(8)+'LINEST VARS'!$S$48*(8)+'LINEST VARS'!$R$48*($DL$8)+'LINEST VARS'!$Q$48*(0.5)+'LINEST VARS'!$P$48*($CX20)+'LINEST VARS'!$O$48*(8^2)+'LINEST VARS'!$N$48*(8^2)+'LINEST VARS'!$M$48*($DL$8^2)+'LINEST VARS'!$L$48*(0.5^2)+'LINEST VARS'!$K$48*($CX20^2)+'LINEST VARS'!$J$48*(8*8)+'LINEST VARS'!$I$48*(8*$DL$8)+'LINEST VARS'!$H$48*(8*0.5)+'LINEST VARS'!$G$48*(8*$CX20)+'LINEST VARS'!$F$48*(8*$DL$8)+'LINEST VARS'!$E$48*(8*0.5)+'LINEST VARS'!$D$48*(8*$CX20)+'LINEST VARS'!$C$48*($DL$8*0.5)+'LINEST VARS'!$B$48*($DL$8*$CX20)+'LINEST VARS'!$A$48*(0.5*$CX20)</f>
        <v>369.99999999999989</v>
      </c>
      <c r="DM20" s="46">
        <f>'LINEST VARS'!$U$48+'LINEST VARS'!$T$48*(8)+'LINEST VARS'!$S$48*(8)+'LINEST VARS'!$R$48*($DM$8)+'LINEST VARS'!$Q$48*(0.5)+'LINEST VARS'!$P$48*($CX20)+'LINEST VARS'!$O$48*(8^2)+'LINEST VARS'!$N$48*(8^2)+'LINEST VARS'!$M$48*($DM$8^2)+'LINEST VARS'!$L$48*(0.5^2)+'LINEST VARS'!$K$48*($CX20^2)+'LINEST VARS'!$J$48*(8*8)+'LINEST VARS'!$I$48*(8*$DM$8)+'LINEST VARS'!$H$48*(8*0.5)+'LINEST VARS'!$G$48*(8*$CX20)+'LINEST VARS'!$F$48*(8*$DM$8)+'LINEST VARS'!$E$48*(8*0.5)+'LINEST VARS'!$D$48*(8*$CX20)+'LINEST VARS'!$C$48*($DM$8*0.5)+'LINEST VARS'!$B$48*($DM$8*$CX20)+'LINEST VARS'!$A$48*(0.5*$CX20)</f>
        <v>369.99999999999989</v>
      </c>
      <c r="DN20" s="46">
        <f>'LINEST VARS'!$U$48+'LINEST VARS'!$T$48*(8)+'LINEST VARS'!$S$48*(8)+'LINEST VARS'!$R$48*($DN$8)+'LINEST VARS'!$Q$48*(0.5)+'LINEST VARS'!$P$48*($CX20)+'LINEST VARS'!$O$48*(8^2)+'LINEST VARS'!$N$48*(8^2)+'LINEST VARS'!$M$48*($DN$8^2)+'LINEST VARS'!$L$48*(0.5^2)+'LINEST VARS'!$K$48*($CX20^2)+'LINEST VARS'!$J$48*(8*8)+'LINEST VARS'!$I$48*(8*$DN$8)+'LINEST VARS'!$H$48*(8*0.5)+'LINEST VARS'!$G$48*(8*$CX20)+'LINEST VARS'!$F$48*(8*$DN$8)+'LINEST VARS'!$E$48*(8*0.5)+'LINEST VARS'!$D$48*(8*$CX20)+'LINEST VARS'!$C$48*($DN$8*0.5)+'LINEST VARS'!$B$48*($DN$8*$CX20)+'LINEST VARS'!$A$48*(0.5*$CX20)</f>
        <v>369.99999999999989</v>
      </c>
      <c r="DO20" s="46">
        <f>'LINEST VARS'!$U$48+'LINEST VARS'!$T$48*(8)+'LINEST VARS'!$S$48*(8)+'LINEST VARS'!$R$48*($DO$8)+'LINEST VARS'!$Q$48*(0.5)+'LINEST VARS'!$P$48*($CX20)+'LINEST VARS'!$O$48*(8^2)+'LINEST VARS'!$N$48*(8^2)+'LINEST VARS'!$M$48*($DO$8^2)+'LINEST VARS'!$L$48*(0.5^2)+'LINEST VARS'!$K$48*($CX20^2)+'LINEST VARS'!$J$48*(8*8)+'LINEST VARS'!$I$48*(8*$DO$8)+'LINEST VARS'!$H$48*(8*0.5)+'LINEST VARS'!$G$48*(8*$CX20)+'LINEST VARS'!$F$48*(8*$DO$8)+'LINEST VARS'!$E$48*(8*0.5)+'LINEST VARS'!$D$48*(8*$CX20)+'LINEST VARS'!$C$48*($DO$8*0.5)+'LINEST VARS'!$B$48*($DO$8*$CX20)+'LINEST VARS'!$A$48*(0.5*$CX20)</f>
        <v>369.99999999999983</v>
      </c>
      <c r="DP20" s="46">
        <f>'LINEST VARS'!$U$48+'LINEST VARS'!$T$48*(8)+'LINEST VARS'!$S$48*(8)+'LINEST VARS'!$R$48*($DP$8)+'LINEST VARS'!$Q$48*(0.5)+'LINEST VARS'!$P$48*($CX20)+'LINEST VARS'!$O$48*(8^2)+'LINEST VARS'!$N$48*(8^2)+'LINEST VARS'!$M$48*($DP$8^2)+'LINEST VARS'!$L$48*(0.5^2)+'LINEST VARS'!$K$48*($CX20^2)+'LINEST VARS'!$J$48*(8*8)+'LINEST VARS'!$I$48*(8*$DP$8)+'LINEST VARS'!$H$48*(8*0.5)+'LINEST VARS'!$G$48*(8*$CX20)+'LINEST VARS'!$F$48*(8*$DP$8)+'LINEST VARS'!$E$48*(8*0.5)+'LINEST VARS'!$D$48*(8*$CX20)+'LINEST VARS'!$C$48*($DP$8*0.5)+'LINEST VARS'!$B$48*($DP$8*$CX20)+'LINEST VARS'!$A$48*(0.5*$CX20)</f>
        <v>369.99999999999983</v>
      </c>
      <c r="DQ20" s="46">
        <f>'LINEST VARS'!$U$48+'LINEST VARS'!$T$48*(8)+'LINEST VARS'!$S$48*(8)+'LINEST VARS'!$R$48*($DQ$8)+'LINEST VARS'!$Q$48*(0.5)+'LINEST VARS'!$P$48*($CX20)+'LINEST VARS'!$O$48*(8^2)+'LINEST VARS'!$N$48*(8^2)+'LINEST VARS'!$M$48*($DQ$8^2)+'LINEST VARS'!$L$48*(0.5^2)+'LINEST VARS'!$K$48*($CX20^2)+'LINEST VARS'!$J$48*(8*8)+'LINEST VARS'!$I$48*(8*$DQ$8)+'LINEST VARS'!$H$48*(8*0.5)+'LINEST VARS'!$G$48*(8*$CX20)+'LINEST VARS'!$F$48*(8*$DQ$8)+'LINEST VARS'!$E$48*(8*0.5)+'LINEST VARS'!$D$48*(8*$CX20)+'LINEST VARS'!$C$48*($DQ$8*0.5)+'LINEST VARS'!$B$48*($DQ$8*$CX20)+'LINEST VARS'!$A$48*(0.5*$CX20)</f>
        <v>369.99999999999983</v>
      </c>
      <c r="DR20" s="46">
        <f>'LINEST VARS'!$U$48+'LINEST VARS'!$T$48*(8)+'LINEST VARS'!$S$48*(8)+'LINEST VARS'!$R$48*($DR$8)+'LINEST VARS'!$Q$48*(0.5)+'LINEST VARS'!$P$48*($CX20)+'LINEST VARS'!$O$48*(8^2)+'LINEST VARS'!$N$48*(8^2)+'LINEST VARS'!$M$48*($DR$8^2)+'LINEST VARS'!$L$48*(0.5^2)+'LINEST VARS'!$K$48*($CX20^2)+'LINEST VARS'!$J$48*(8*8)+'LINEST VARS'!$I$48*(8*$DR$8)+'LINEST VARS'!$H$48*(8*0.5)+'LINEST VARS'!$G$48*(8*$CX20)+'LINEST VARS'!$F$48*(8*$DR$8)+'LINEST VARS'!$E$48*(8*0.5)+'LINEST VARS'!$D$48*(8*$CX20)+'LINEST VARS'!$C$48*($DR$8*0.5)+'LINEST VARS'!$B$48*($DR$8*$CX20)+'LINEST VARS'!$A$48*(0.5*$CX20)</f>
        <v>369.99999999999983</v>
      </c>
      <c r="DS20" s="47">
        <f>'LINEST VARS'!$U$48+'LINEST VARS'!$T$48*(8)+'LINEST VARS'!$S$48*(8)+'LINEST VARS'!$R$48*($DS$8)+'LINEST VARS'!$Q$48*(0.5)+'LINEST VARS'!$P$48*($CX20)+'LINEST VARS'!$O$48*(8^2)+'LINEST VARS'!$N$48*(8^2)+'LINEST VARS'!$M$48*($DS$8^2)+'LINEST VARS'!$L$48*(0.5^2)+'LINEST VARS'!$K$48*($CX20^2)+'LINEST VARS'!$J$48*(8*8)+'LINEST VARS'!$I$48*(8*$DS$8)+'LINEST VARS'!$H$48*(8*0.5)+'LINEST VARS'!$G$48*(8*$CX20)+'LINEST VARS'!$F$48*(8*$DS$8)+'LINEST VARS'!$E$48*(8*0.5)+'LINEST VARS'!$D$48*(8*$CX20)+'LINEST VARS'!$C$48*($DS$8*0.5)+'LINEST VARS'!$B$48*($DS$8*$CX20)+'LINEST VARS'!$A$48*(0.5*$CX20)</f>
        <v>369.99999999999983</v>
      </c>
      <c r="DV20" s="45">
        <v>14.294499999999999</v>
      </c>
      <c r="DW20" s="46">
        <f>'LINEST VARS'!$U$50+'LINEST VARS'!$T$50*(8)+'LINEST VARS'!$S$50*(8)+'LINEST VARS'!$R$50*($DW$8)+'LINEST VARS'!$Q$50*(0.5)+'LINEST VARS'!$P$50*($DV20)+'LINEST VARS'!$O$50*(8^2)+'LINEST VARS'!$N$50*(8^2)+'LINEST VARS'!$M$50*($DW$8^2)+'LINEST VARS'!$L$50*(0.5^2)+'LINEST VARS'!$K$50*($DV20^2)+'LINEST VARS'!$J$50*(8*8)+'LINEST VARS'!$I$50*(8*$DW$8)+'LINEST VARS'!$H$50*(8*0.5)+'LINEST VARS'!$G$50*(8*$DV20)+'LINEST VARS'!$F$50*(8*$DW$8)+'LINEST VARS'!$E$50*(8*0.5)+'LINEST VARS'!$D$50*(8*$DV20)+'LINEST VARS'!$C$50*($DW$8*0.5)+'LINEST VARS'!$B$50*($DW$8*$DV20)+'LINEST VARS'!$A$50*(0.5*$DV20)</f>
        <v>331.99999999999989</v>
      </c>
      <c r="DX20" s="46">
        <f>'LINEST VARS'!$U$50+'LINEST VARS'!$T$50*(8)+'LINEST VARS'!$S$50*(8)+'LINEST VARS'!$R$50*($DX$8)+'LINEST VARS'!$Q$50*(0.5)+'LINEST VARS'!$P$50*($DV20)+'LINEST VARS'!$O$50*(8^2)+'LINEST VARS'!$N$50*(8^2)+'LINEST VARS'!$M$50*($DX$8^2)+'LINEST VARS'!$L$50*(0.5^2)+'LINEST VARS'!$K$50*($DV20^2)+'LINEST VARS'!$J$50*(8*8)+'LINEST VARS'!$I$50*(8*$DX$8)+'LINEST VARS'!$H$50*(8*0.5)+'LINEST VARS'!$G$50*(8*$DV20)+'LINEST VARS'!$F$50*(8*$DX$8)+'LINEST VARS'!$E$50*(8*0.5)+'LINEST VARS'!$D$50*(8*$DV20)+'LINEST VARS'!$C$50*($DX$8*0.5)+'LINEST VARS'!$B$50*($DX$8*$DV20)+'LINEST VARS'!$A$50*(0.5*$DV20)</f>
        <v>331.99999999999989</v>
      </c>
      <c r="DY20" s="46">
        <f>'LINEST VARS'!$U$50+'LINEST VARS'!$T$50*(8)+'LINEST VARS'!$S$50*(8)+'LINEST VARS'!$R$50*($DY$8)+'LINEST VARS'!$Q$50*(0.5)+'LINEST VARS'!$P$50*($DV20)+'LINEST VARS'!$O$50*(8^2)+'LINEST VARS'!$N$50*(8^2)+'LINEST VARS'!$M$50*($DY$8^2)+'LINEST VARS'!$L$50*(0.5^2)+'LINEST VARS'!$K$50*($DV20^2)+'LINEST VARS'!$J$50*(8*8)+'LINEST VARS'!$I$50*(8*$DY$8)+'LINEST VARS'!$H$50*(8*0.5)+'LINEST VARS'!$G$50*(8*$DV20)+'LINEST VARS'!$F$50*(8*$DY$8)+'LINEST VARS'!$E$50*(8*0.5)+'LINEST VARS'!$D$50*(8*$DV20)+'LINEST VARS'!$C$50*($DY$8*0.5)+'LINEST VARS'!$B$50*($DY$8*$DV20)+'LINEST VARS'!$A$50*(0.5*$DV20)</f>
        <v>331.99999999999989</v>
      </c>
      <c r="DZ20" s="46">
        <f>'LINEST VARS'!$U$50+'LINEST VARS'!$T$50*(8)+'LINEST VARS'!$S$50*(8)+'LINEST VARS'!$R$50*($DZ$8)+'LINEST VARS'!$Q$50*(0.5)+'LINEST VARS'!$P$50*($DV20)+'LINEST VARS'!$O$50*(8^2)+'LINEST VARS'!$N$50*(8^2)+'LINEST VARS'!$M$50*($DZ$8^2)+'LINEST VARS'!$L$50*(0.5^2)+'LINEST VARS'!$K$50*($DV20^2)+'LINEST VARS'!$J$50*(8*8)+'LINEST VARS'!$I$50*(8*$DZ$8)+'LINEST VARS'!$H$50*(8*0.5)+'LINEST VARS'!$G$50*(8*$DV20)+'LINEST VARS'!$F$50*(8*$DZ$8)+'LINEST VARS'!$E$50*(8*0.5)+'LINEST VARS'!$D$50*(8*$DV20)+'LINEST VARS'!$C$50*($DZ$8*0.5)+'LINEST VARS'!$B$50*($DZ$8*$DV20)+'LINEST VARS'!$A$50*(0.5*$DV20)</f>
        <v>331.99999999999989</v>
      </c>
      <c r="EA20" s="46">
        <f>'LINEST VARS'!$U$50+'LINEST VARS'!$T$50*(8)+'LINEST VARS'!$S$50*(8)+'LINEST VARS'!$R$50*($EA$8)+'LINEST VARS'!$Q$50*(0.5)+'LINEST VARS'!$P$50*($DV20)+'LINEST VARS'!$O$50*(8^2)+'LINEST VARS'!$N$50*(8^2)+'LINEST VARS'!$M$50*($EA$8^2)+'LINEST VARS'!$L$50*(0.5^2)+'LINEST VARS'!$K$50*($DV20^2)+'LINEST VARS'!$J$50*(8*8)+'LINEST VARS'!$I$50*(8*$EA$8)+'LINEST VARS'!$H$50*(8*0.5)+'LINEST VARS'!$G$50*(8*$DV20)+'LINEST VARS'!$F$50*(8*$EA$8)+'LINEST VARS'!$E$50*(8*0.5)+'LINEST VARS'!$D$50*(8*$DV20)+'LINEST VARS'!$C$50*($EA$8*0.5)+'LINEST VARS'!$B$50*($EA$8*$DV20)+'LINEST VARS'!$A$50*(0.5*$DV20)</f>
        <v>331.99999999999989</v>
      </c>
      <c r="EB20" s="46">
        <f>'LINEST VARS'!$U$50+'LINEST VARS'!$T$50*(8)+'LINEST VARS'!$S$50*(8)+'LINEST VARS'!$R$50*($EB$8)+'LINEST VARS'!$Q$50*(0.5)+'LINEST VARS'!$P$50*($DV20)+'LINEST VARS'!$O$50*(8^2)+'LINEST VARS'!$N$50*(8^2)+'LINEST VARS'!$M$50*($EB$8^2)+'LINEST VARS'!$L$50*(0.5^2)+'LINEST VARS'!$K$50*($DV20^2)+'LINEST VARS'!$J$50*(8*8)+'LINEST VARS'!$I$50*(8*$EB$8)+'LINEST VARS'!$H$50*(8*0.5)+'LINEST VARS'!$G$50*(8*$DV20)+'LINEST VARS'!$F$50*(8*$EB$8)+'LINEST VARS'!$E$50*(8*0.5)+'LINEST VARS'!$D$50*(8*$DV20)+'LINEST VARS'!$C$50*($EB$8*0.5)+'LINEST VARS'!$B$50*($EB$8*$DV20)+'LINEST VARS'!$A$50*(0.5*$DV20)</f>
        <v>331.99999999999989</v>
      </c>
      <c r="EC20" s="46">
        <f>'LINEST VARS'!$U$50+'LINEST VARS'!$T$50*(8)+'LINEST VARS'!$S$50*(8)+'LINEST VARS'!$R$50*($EC$8)+'LINEST VARS'!$Q$50*(0.5)+'LINEST VARS'!$P$50*($DV20)+'LINEST VARS'!$O$50*(8^2)+'LINEST VARS'!$N$50*(8^2)+'LINEST VARS'!$M$50*($EC$8^2)+'LINEST VARS'!$L$50*(0.5^2)+'LINEST VARS'!$K$50*($DV20^2)+'LINEST VARS'!$J$50*(8*8)+'LINEST VARS'!$I$50*(8*$EC$8)+'LINEST VARS'!$H$50*(8*0.5)+'LINEST VARS'!$G$50*(8*$DV20)+'LINEST VARS'!$F$50*(8*$EC$8)+'LINEST VARS'!$E$50*(8*0.5)+'LINEST VARS'!$D$50*(8*$DV20)+'LINEST VARS'!$C$50*($EC$8*0.5)+'LINEST VARS'!$B$50*($EC$8*$DV20)+'LINEST VARS'!$A$50*(0.5*$DV20)</f>
        <v>331.99999999999989</v>
      </c>
      <c r="ED20" s="46">
        <f>'LINEST VARS'!$U$50+'LINEST VARS'!$T$50*(8)+'LINEST VARS'!$S$50*(8)+'LINEST VARS'!$R$50*($ED$8)+'LINEST VARS'!$Q$50*(0.5)+'LINEST VARS'!$P$50*($DV20)+'LINEST VARS'!$O$50*(8^2)+'LINEST VARS'!$N$50*(8^2)+'LINEST VARS'!$M$50*($ED$8^2)+'LINEST VARS'!$L$50*(0.5^2)+'LINEST VARS'!$K$50*($DV20^2)+'LINEST VARS'!$J$50*(8*8)+'LINEST VARS'!$I$50*(8*$ED$8)+'LINEST VARS'!$H$50*(8*0.5)+'LINEST VARS'!$G$50*(8*$DV20)+'LINEST VARS'!$F$50*(8*$ED$8)+'LINEST VARS'!$E$50*(8*0.5)+'LINEST VARS'!$D$50*(8*$DV20)+'LINEST VARS'!$C$50*($ED$8*0.5)+'LINEST VARS'!$B$50*($ED$8*$DV20)+'LINEST VARS'!$A$50*(0.5*$DV20)</f>
        <v>331.99999999999989</v>
      </c>
      <c r="EE20" s="46">
        <f>'LINEST VARS'!$U$50+'LINEST VARS'!$T$50*(8)+'LINEST VARS'!$S$50*(8)+'LINEST VARS'!$R$50*($EE$8)+'LINEST VARS'!$Q$50*(0.5)+'LINEST VARS'!$P$50*($DV20)+'LINEST VARS'!$O$50*(8^2)+'LINEST VARS'!$N$50*(8^2)+'LINEST VARS'!$M$50*($EE$8^2)+'LINEST VARS'!$L$50*(0.5^2)+'LINEST VARS'!$K$50*($DV20^2)+'LINEST VARS'!$J$50*(8*8)+'LINEST VARS'!$I$50*(8*$EE$8)+'LINEST VARS'!$H$50*(8*0.5)+'LINEST VARS'!$G$50*(8*$DV20)+'LINEST VARS'!$F$50*(8*$EE$8)+'LINEST VARS'!$E$50*(8*0.5)+'LINEST VARS'!$D$50*(8*$DV20)+'LINEST VARS'!$C$50*($EE$8*0.5)+'LINEST VARS'!$B$50*($EE$8*$DV20)+'LINEST VARS'!$A$50*(0.5*$DV20)</f>
        <v>331.99999999999989</v>
      </c>
      <c r="EF20" s="46">
        <f>'LINEST VARS'!$U$50+'LINEST VARS'!$T$50*(8)+'LINEST VARS'!$S$50*(8)+'LINEST VARS'!$R$50*($EF$8)+'LINEST VARS'!$Q$50*(0.5)+'LINEST VARS'!$P$50*($DV20)+'LINEST VARS'!$O$50*(8^2)+'LINEST VARS'!$N$50*(8^2)+'LINEST VARS'!$M$50*($EF$8^2)+'LINEST VARS'!$L$50*(0.5^2)+'LINEST VARS'!$K$50*($DV20^2)+'LINEST VARS'!$J$50*(8*8)+'LINEST VARS'!$I$50*(8*$EF$8)+'LINEST VARS'!$H$50*(8*0.5)+'LINEST VARS'!$G$50*(8*$DV20)+'LINEST VARS'!$F$50*(8*$EF$8)+'LINEST VARS'!$E$50*(8*0.5)+'LINEST VARS'!$D$50*(8*$DV20)+'LINEST VARS'!$C$50*($EF$8*0.5)+'LINEST VARS'!$B$50*($EF$8*$DV20)+'LINEST VARS'!$A$50*(0.5*$DV20)</f>
        <v>331.99999999999989</v>
      </c>
      <c r="EG20" s="46">
        <f>'LINEST VARS'!$U$50+'LINEST VARS'!$T$50*(8)+'LINEST VARS'!$S$50*(8)+'LINEST VARS'!$R$50*($EG$8)+'LINEST VARS'!$Q$50*(0.5)+'LINEST VARS'!$P$50*($DV20)+'LINEST VARS'!$O$50*(8^2)+'LINEST VARS'!$N$50*(8^2)+'LINEST VARS'!$M$50*($EG$8^2)+'LINEST VARS'!$L$50*(0.5^2)+'LINEST VARS'!$K$50*($DV20^2)+'LINEST VARS'!$J$50*(8*8)+'LINEST VARS'!$I$50*(8*$EG$8)+'LINEST VARS'!$H$50*(8*0.5)+'LINEST VARS'!$G$50*(8*$DV20)+'LINEST VARS'!$F$50*(8*$EG$8)+'LINEST VARS'!$E$50*(8*0.5)+'LINEST VARS'!$D$50*(8*$DV20)+'LINEST VARS'!$C$50*($EG$8*0.5)+'LINEST VARS'!$B$50*($EG$8*$DV20)+'LINEST VARS'!$A$50*(0.5*$DV20)</f>
        <v>331.99999999999989</v>
      </c>
      <c r="EH20" s="46">
        <f>'LINEST VARS'!$U$50+'LINEST VARS'!$T$50*(8)+'LINEST VARS'!$S$50*(8)+'LINEST VARS'!$R$50*($EH$8)+'LINEST VARS'!$Q$50*(0.5)+'LINEST VARS'!$P$50*($DV20)+'LINEST VARS'!$O$50*(8^2)+'LINEST VARS'!$N$50*(8^2)+'LINEST VARS'!$M$50*($EH$8^2)+'LINEST VARS'!$L$50*(0.5^2)+'LINEST VARS'!$K$50*($DV20^2)+'LINEST VARS'!$J$50*(8*8)+'LINEST VARS'!$I$50*(8*$EH$8)+'LINEST VARS'!$H$50*(8*0.5)+'LINEST VARS'!$G$50*(8*$DV20)+'LINEST VARS'!$F$50*(8*$EH$8)+'LINEST VARS'!$E$50*(8*0.5)+'LINEST VARS'!$D$50*(8*$DV20)+'LINEST VARS'!$C$50*($EH$8*0.5)+'LINEST VARS'!$B$50*($EH$8*$DV20)+'LINEST VARS'!$A$50*(0.5*$DV20)</f>
        <v>331.99999999999989</v>
      </c>
      <c r="EI20" s="46">
        <f>'LINEST VARS'!$U$50+'LINEST VARS'!$T$50*(8)+'LINEST VARS'!$S$50*(8)+'LINEST VARS'!$R$50*($EI$8)+'LINEST VARS'!$Q$50*(0.5)+'LINEST VARS'!$P$50*($DV20)+'LINEST VARS'!$O$50*(8^2)+'LINEST VARS'!$N$50*(8^2)+'LINEST VARS'!$M$50*($EI$8^2)+'LINEST VARS'!$L$50*(0.5^2)+'LINEST VARS'!$K$50*($DV20^2)+'LINEST VARS'!$J$50*(8*8)+'LINEST VARS'!$I$50*(8*$EI$8)+'LINEST VARS'!$H$50*(8*0.5)+'LINEST VARS'!$G$50*(8*$DV20)+'LINEST VARS'!$F$50*(8*$EI$8)+'LINEST VARS'!$E$50*(8*0.5)+'LINEST VARS'!$D$50*(8*$DV20)+'LINEST VARS'!$C$50*($EI$8*0.5)+'LINEST VARS'!$B$50*($EI$8*$DV20)+'LINEST VARS'!$A$50*(0.5*$DV20)</f>
        <v>331.99999999999989</v>
      </c>
      <c r="EJ20" s="46">
        <f>'LINEST VARS'!$U$50+'LINEST VARS'!$T$50*(8)+'LINEST VARS'!$S$50*(8)+'LINEST VARS'!$R$50*($EJ$8)+'LINEST VARS'!$Q$50*(0.5)+'LINEST VARS'!$P$50*($DV20)+'LINEST VARS'!$O$50*(8^2)+'LINEST VARS'!$N$50*(8^2)+'LINEST VARS'!$M$50*($EJ$8^2)+'LINEST VARS'!$L$50*(0.5^2)+'LINEST VARS'!$K$50*($DV20^2)+'LINEST VARS'!$J$50*(8*8)+'LINEST VARS'!$I$50*(8*$EJ$8)+'LINEST VARS'!$H$50*(8*0.5)+'LINEST VARS'!$G$50*(8*$DV20)+'LINEST VARS'!$F$50*(8*$EJ$8)+'LINEST VARS'!$E$50*(8*0.5)+'LINEST VARS'!$D$50*(8*$DV20)+'LINEST VARS'!$C$50*($EJ$8*0.5)+'LINEST VARS'!$B$50*($EJ$8*$DV20)+'LINEST VARS'!$A$50*(0.5*$DV20)</f>
        <v>331.99999999999989</v>
      </c>
      <c r="EK20" s="46">
        <f>'LINEST VARS'!$U$50+'LINEST VARS'!$T$50*(8)+'LINEST VARS'!$S$50*(8)+'LINEST VARS'!$R$50*($EK$8)+'LINEST VARS'!$Q$50*(0.5)+'LINEST VARS'!$P$50*($DV20)+'LINEST VARS'!$O$50*(8^2)+'LINEST VARS'!$N$50*(8^2)+'LINEST VARS'!$M$50*($EK$8^2)+'LINEST VARS'!$L$50*(0.5^2)+'LINEST VARS'!$K$50*($DV20^2)+'LINEST VARS'!$J$50*(8*8)+'LINEST VARS'!$I$50*(8*$EK$8)+'LINEST VARS'!$H$50*(8*0.5)+'LINEST VARS'!$G$50*(8*$DV20)+'LINEST VARS'!$F$50*(8*$EK$8)+'LINEST VARS'!$E$50*(8*0.5)+'LINEST VARS'!$D$50*(8*$DV20)+'LINEST VARS'!$C$50*($EK$8*0.5)+'LINEST VARS'!$B$50*($EK$8*$DV20)+'LINEST VARS'!$A$50*(0.5*$DV20)</f>
        <v>331.99999999999989</v>
      </c>
      <c r="EL20" s="46">
        <f>'LINEST VARS'!$U$50+'LINEST VARS'!$T$50*(8)+'LINEST VARS'!$S$50*(8)+'LINEST VARS'!$R$50*($EL$8)+'LINEST VARS'!$Q$50*(0.5)+'LINEST VARS'!$P$50*($DV20)+'LINEST VARS'!$O$50*(8^2)+'LINEST VARS'!$N$50*(8^2)+'LINEST VARS'!$M$50*($EL$8^2)+'LINEST VARS'!$L$50*(0.5^2)+'LINEST VARS'!$K$50*($DV20^2)+'LINEST VARS'!$J$50*(8*8)+'LINEST VARS'!$I$50*(8*$EL$8)+'LINEST VARS'!$H$50*(8*0.5)+'LINEST VARS'!$G$50*(8*$DV20)+'LINEST VARS'!$F$50*(8*$EL$8)+'LINEST VARS'!$E$50*(8*0.5)+'LINEST VARS'!$D$50*(8*$DV20)+'LINEST VARS'!$C$50*($EL$8*0.5)+'LINEST VARS'!$B$50*($EL$8*$DV20)+'LINEST VARS'!$A$50*(0.5*$DV20)</f>
        <v>331.99999999999989</v>
      </c>
      <c r="EM20" s="46">
        <f>'LINEST VARS'!$U$50+'LINEST VARS'!$T$50*(8)+'LINEST VARS'!$S$50*(8)+'LINEST VARS'!$R$50*($EM$8)+'LINEST VARS'!$Q$50*(0.5)+'LINEST VARS'!$P$50*($DV20)+'LINEST VARS'!$O$50*(8^2)+'LINEST VARS'!$N$50*(8^2)+'LINEST VARS'!$M$50*($EM$8^2)+'LINEST VARS'!$L$50*(0.5^2)+'LINEST VARS'!$K$50*($DV20^2)+'LINEST VARS'!$J$50*(8*8)+'LINEST VARS'!$I$50*(8*$EM$8)+'LINEST VARS'!$H$50*(8*0.5)+'LINEST VARS'!$G$50*(8*$DV20)+'LINEST VARS'!$F$50*(8*$EM$8)+'LINEST VARS'!$E$50*(8*0.5)+'LINEST VARS'!$D$50*(8*$DV20)+'LINEST VARS'!$C$50*($EM$8*0.5)+'LINEST VARS'!$B$50*($EM$8*$DV20)+'LINEST VARS'!$A$50*(0.5*$DV20)</f>
        <v>331.99999999999989</v>
      </c>
      <c r="EN20" s="46">
        <f>'LINEST VARS'!$U$50+'LINEST VARS'!$T$50*(8)+'LINEST VARS'!$S$50*(8)+'LINEST VARS'!$R$50*($EN$8)+'LINEST VARS'!$Q$50*(0.5)+'LINEST VARS'!$P$50*($DV20)+'LINEST VARS'!$O$50*(8^2)+'LINEST VARS'!$N$50*(8^2)+'LINEST VARS'!$M$50*($EN$8^2)+'LINEST VARS'!$L$50*(0.5^2)+'LINEST VARS'!$K$50*($DV20^2)+'LINEST VARS'!$J$50*(8*8)+'LINEST VARS'!$I$50*(8*$EN$8)+'LINEST VARS'!$H$50*(8*0.5)+'LINEST VARS'!$G$50*(8*$DV20)+'LINEST VARS'!$F$50*(8*$EN$8)+'LINEST VARS'!$E$50*(8*0.5)+'LINEST VARS'!$D$50*(8*$DV20)+'LINEST VARS'!$C$50*($EN$8*0.5)+'LINEST VARS'!$B$50*($EN$8*$DV20)+'LINEST VARS'!$A$50*(0.5*$DV20)</f>
        <v>331.99999999999989</v>
      </c>
      <c r="EO20" s="46">
        <f>'LINEST VARS'!$U$50+'LINEST VARS'!$T$50*(8)+'LINEST VARS'!$S$50*(8)+'LINEST VARS'!$R$50*($EO$8)+'LINEST VARS'!$Q$50*(0.5)+'LINEST VARS'!$P$50*($DV20)+'LINEST VARS'!$O$50*(8^2)+'LINEST VARS'!$N$50*(8^2)+'LINEST VARS'!$M$50*($EO$8^2)+'LINEST VARS'!$L$50*(0.5^2)+'LINEST VARS'!$K$50*($DV20^2)+'LINEST VARS'!$J$50*(8*8)+'LINEST VARS'!$I$50*(8*$EO$8)+'LINEST VARS'!$H$50*(8*0.5)+'LINEST VARS'!$G$50*(8*$DV20)+'LINEST VARS'!$F$50*(8*$EO$8)+'LINEST VARS'!$E$50*(8*0.5)+'LINEST VARS'!$D$50*(8*$DV20)+'LINEST VARS'!$C$50*($EO$8*0.5)+'LINEST VARS'!$B$50*($EO$8*$DV20)+'LINEST VARS'!$A$50*(0.5*$DV20)</f>
        <v>331.99999999999989</v>
      </c>
      <c r="EP20" s="46">
        <f>'LINEST VARS'!$U$50+'LINEST VARS'!$T$50*(8)+'LINEST VARS'!$S$50*(8)+'LINEST VARS'!$R$50*($EP$8)+'LINEST VARS'!$Q$50*(0.5)+'LINEST VARS'!$P$50*($DV20)+'LINEST VARS'!$O$50*(8^2)+'LINEST VARS'!$N$50*(8^2)+'LINEST VARS'!$M$50*($EP$8^2)+'LINEST VARS'!$L$50*(0.5^2)+'LINEST VARS'!$K$50*($DV20^2)+'LINEST VARS'!$J$50*(8*8)+'LINEST VARS'!$I$50*(8*$EP$8)+'LINEST VARS'!$H$50*(8*0.5)+'LINEST VARS'!$G$50*(8*$DV20)+'LINEST VARS'!$F$50*(8*$EP$8)+'LINEST VARS'!$E$50*(8*0.5)+'LINEST VARS'!$D$50*(8*$DV20)+'LINEST VARS'!$C$50*($EP$8*0.5)+'LINEST VARS'!$B$50*($EP$8*$DV20)+'LINEST VARS'!$A$50*(0.5*$DV20)</f>
        <v>331.99999999999989</v>
      </c>
      <c r="EQ20" s="47">
        <f>'LINEST VARS'!$U$50+'LINEST VARS'!$T$50*(8)+'LINEST VARS'!$S$50*(8)+'LINEST VARS'!$R$50*($EQ$8)+'LINEST VARS'!$Q$50*(0.5)+'LINEST VARS'!$P$50*($DV20)+'LINEST VARS'!$O$50*(8^2)+'LINEST VARS'!$N$50*(8^2)+'LINEST VARS'!$M$50*($EQ$8^2)+'LINEST VARS'!$L$50*(0.5^2)+'LINEST VARS'!$K$50*($DV20^2)+'LINEST VARS'!$J$50*(8*8)+'LINEST VARS'!$I$50*(8*$EQ$8)+'LINEST VARS'!$H$50*(8*0.5)+'LINEST VARS'!$G$50*(8*$DV20)+'LINEST VARS'!$F$50*(8*$EQ$8)+'LINEST VARS'!$E$50*(8*0.5)+'LINEST VARS'!$D$50*(8*$DV20)+'LINEST VARS'!$C$50*($EQ$8*0.5)+'LINEST VARS'!$B$50*($EQ$8*$DV20)+'LINEST VARS'!$A$50*(0.5*$DV20)</f>
        <v>331.99999999999989</v>
      </c>
    </row>
    <row r="21" spans="2:147" ht="15" customHeight="1" x14ac:dyDescent="0.25">
      <c r="B21" s="45">
        <v>8.1199999999999992</v>
      </c>
      <c r="C21" s="46">
        <f>'LINEST VARS'!$U$48+'LINEST VARS'!$T$48*($C$8)+'LINEST VARS'!$S$48*($B21)+'LINEST VARS'!$R$48*(4)+'LINEST VARS'!$Q$48*(0.5)+'LINEST VARS'!$P$48*(12.73)+'LINEST VARS'!$O$48*($C$8^2)+'LINEST VARS'!$N$48*($B21^2)+'LINEST VARS'!$M$48*(4^2)+'LINEST VARS'!$L$48*(0.5^2)+'LINEST VARS'!$K$48*(12.73^2)+'LINEST VARS'!$J$48*($C$8*$B21)+'LINEST VARS'!$I$48*($C$8*4)+'LINEST VARS'!$H$48*($C$8*0.5)+'LINEST VARS'!$G$48*($C$8*12.73)+'LINEST VARS'!$F$48*($B21*4)+'LINEST VARS'!$E$48*($B21*0.5)+'LINEST VARS'!$D$48*($B21*12.73)+'LINEST VARS'!$C$48*(4*0.5)+'LINEST VARS'!$B$48*(4*12.73)+'LINEST VARS'!$A$48*(0.5*12.73)</f>
        <v>322.95999999999987</v>
      </c>
      <c r="D21" s="46">
        <f>'LINEST VARS'!$U$48+'LINEST VARS'!$T$48*($D$8)+'LINEST VARS'!$S$48*($B21)+'LINEST VARS'!$R$48*(4)+'LINEST VARS'!$Q$48*(0.5)+'LINEST VARS'!$P$48*(12.73)+'LINEST VARS'!$O$48*($D$8^2)+'LINEST VARS'!$N$48*($B21^2)+'LINEST VARS'!$M$48*(4^2)+'LINEST VARS'!$L$48*(0.5^2)+'LINEST VARS'!$K$48*(12.73^2)+'LINEST VARS'!$J$48*($D$8*$B21)+'LINEST VARS'!$I$48*($D$8*4)+'LINEST VARS'!$H$48*($D$8*0.5)+'LINEST VARS'!$G$48*($D$8*12.73)+'LINEST VARS'!$F$48*($B21*4)+'LINEST VARS'!$E$48*($B21*0.5)+'LINEST VARS'!$D$48*($B21*12.73)+'LINEST VARS'!$C$48*(4*0.5)+'LINEST VARS'!$B$48*(4*12.73)+'LINEST VARS'!$A$48*(0.5*12.73)</f>
        <v>327.53799999999984</v>
      </c>
      <c r="E21" s="46">
        <f>'LINEST VARS'!$U$48+'LINEST VARS'!$T$48*($E$8)+'LINEST VARS'!$S$48*($B21)+'LINEST VARS'!$R$48*(4)+'LINEST VARS'!$Q$48*(0.5)+'LINEST VARS'!$P$48*(12.73)+'LINEST VARS'!$O$48*($E$8^2)+'LINEST VARS'!$N$48*($B21^2)+'LINEST VARS'!$M$48*(4^2)+'LINEST VARS'!$L$48*(0.5^2)+'LINEST VARS'!$K$48*(12.73^2)+'LINEST VARS'!$J$48*($E$8*$B21)+'LINEST VARS'!$I$48*($E$8*4)+'LINEST VARS'!$H$48*($E$8*0.5)+'LINEST VARS'!$G$48*($E$8*12.73)+'LINEST VARS'!$F$48*($B21*4)+'LINEST VARS'!$E$48*($B21*0.5)+'LINEST VARS'!$D$48*($B21*12.73)+'LINEST VARS'!$C$48*(4*0.5)+'LINEST VARS'!$B$48*(4*12.73)+'LINEST VARS'!$A$48*(0.5*12.73)</f>
        <v>332.15199999999982</v>
      </c>
      <c r="F21" s="46">
        <f>'LINEST VARS'!$U$48+'LINEST VARS'!$T$48*($F$8)+'LINEST VARS'!$S$48*($B21)+'LINEST VARS'!$R$48*(4)+'LINEST VARS'!$Q$48*(0.5)+'LINEST VARS'!$P$48*(12.73)+'LINEST VARS'!$O$48*($F$8^2)+'LINEST VARS'!$N$48*($B21^2)+'LINEST VARS'!$M$48*(4^2)+'LINEST VARS'!$L$48*(0.5^2)+'LINEST VARS'!$K$48*(12.73^2)+'LINEST VARS'!$J$48*($F$8*$B21)+'LINEST VARS'!$I$48*($F$8*4)+'LINEST VARS'!$H$48*($F$8*0.5)+'LINEST VARS'!$G$48*($F$8*12.73)+'LINEST VARS'!$F$48*($B21*4)+'LINEST VARS'!$E$48*($B21*0.5)+'LINEST VARS'!$D$48*($B21*12.73)+'LINEST VARS'!$C$48*(4*0.5)+'LINEST VARS'!$B$48*(4*12.73)+'LINEST VARS'!$A$48*(0.5*12.73)</f>
        <v>336.80199999999991</v>
      </c>
      <c r="G21" s="46">
        <f>'LINEST VARS'!$U$48+'LINEST VARS'!$T$48*($G$8)+'LINEST VARS'!$S$48*($B21)+'LINEST VARS'!$R$48*(4)+'LINEST VARS'!$Q$48*(0.5)+'LINEST VARS'!$P$48*(12.73)+'LINEST VARS'!$O$48*($G$8^2)+'LINEST VARS'!$N$48*($B21^2)+'LINEST VARS'!$M$48*(4^2)+'LINEST VARS'!$L$48*(0.5^2)+'LINEST VARS'!$K$48*(12.73^2)+'LINEST VARS'!$J$48*($G$8*$B21)+'LINEST VARS'!$I$48*($G$8*4)+'LINEST VARS'!$H$48*($G$8*0.5)+'LINEST VARS'!$G$48*($G$8*12.73)+'LINEST VARS'!$F$48*($B21*4)+'LINEST VARS'!$E$48*($B21*0.5)+'LINEST VARS'!$D$48*($B21*12.73)+'LINEST VARS'!$C$48*(4*0.5)+'LINEST VARS'!$B$48*(4*12.73)+'LINEST VARS'!$A$48*(0.5*12.73)</f>
        <v>341.48799999999989</v>
      </c>
      <c r="H21" s="46">
        <f>'LINEST VARS'!$U$48+'LINEST VARS'!$T$48*($H$8)+'LINEST VARS'!$S$48*($B21)+'LINEST VARS'!$R$48*(4)+'LINEST VARS'!$Q$48*(0.5)+'LINEST VARS'!$P$48*(12.73)+'LINEST VARS'!$O$48*($H$8^2)+'LINEST VARS'!$N$48*($B21^2)+'LINEST VARS'!$M$48*(4^2)+'LINEST VARS'!$L$48*(0.5^2)+'LINEST VARS'!$K$48*(12.73^2)+'LINEST VARS'!$J$48*($H$8*$B21)+'LINEST VARS'!$I$48*($H$8*4)+'LINEST VARS'!$H$48*($H$8*0.5)+'LINEST VARS'!$G$48*($H$8*12.73)+'LINEST VARS'!$F$48*($B21*4)+'LINEST VARS'!$E$48*($B21*0.5)+'LINEST VARS'!$D$48*($B21*12.73)+'LINEST VARS'!$C$48*(4*0.5)+'LINEST VARS'!$B$48*(4*12.73)+'LINEST VARS'!$A$48*(0.5*12.73)</f>
        <v>346.20999999999987</v>
      </c>
      <c r="I21" s="46">
        <f>'LINEST VARS'!$U$48+'LINEST VARS'!$T$48*($I$8)+'LINEST VARS'!$S$48*($B21)+'LINEST VARS'!$R$48*(4)+'LINEST VARS'!$Q$48*(0.5)+'LINEST VARS'!$P$48*(12.73)+'LINEST VARS'!$O$48*($I$8^2)+'LINEST VARS'!$N$48*($B21^2)+'LINEST VARS'!$M$48*(4^2)+'LINEST VARS'!$L$48*(0.5^2)+'LINEST VARS'!$K$48*(12.73^2)+'LINEST VARS'!$J$48*($I$8*$B21)+'LINEST VARS'!$I$48*($I$8*4)+'LINEST VARS'!$H$48*($I$8*0.5)+'LINEST VARS'!$G$48*($I$8*12.73)+'LINEST VARS'!$F$48*($B21*4)+'LINEST VARS'!$E$48*($B21*0.5)+'LINEST VARS'!$D$48*($B21*12.73)+'LINEST VARS'!$C$48*(4*0.5)+'LINEST VARS'!$B$48*(4*12.73)+'LINEST VARS'!$A$48*(0.5*12.73)</f>
        <v>350.96799999999985</v>
      </c>
      <c r="J21" s="46">
        <f>'LINEST VARS'!$U$48+'LINEST VARS'!$T$48*($J$8)+'LINEST VARS'!$S$48*($B21)+'LINEST VARS'!$R$48*(4)+'LINEST VARS'!$Q$48*(0.5)+'LINEST VARS'!$P$48*(12.73)+'LINEST VARS'!$O$48*($J$8^2)+'LINEST VARS'!$N$48*($B21^2)+'LINEST VARS'!$M$48*(4^2)+'LINEST VARS'!$L$48*(0.5^2)+'LINEST VARS'!$K$48*(12.73^2)+'LINEST VARS'!$J$48*($J$8*$B21)+'LINEST VARS'!$I$48*($J$8*4)+'LINEST VARS'!$H$48*($J$8*0.5)+'LINEST VARS'!$G$48*($J$8*12.73)+'LINEST VARS'!$F$48*($B21*4)+'LINEST VARS'!$E$48*($B21*0.5)+'LINEST VARS'!$D$48*($B21*12.73)+'LINEST VARS'!$C$48*(4*0.5)+'LINEST VARS'!$B$48*(4*12.73)+'LINEST VARS'!$A$48*(0.5*12.73)</f>
        <v>355.76199999999989</v>
      </c>
      <c r="K21" s="46">
        <f>'LINEST VARS'!$U$48+'LINEST VARS'!$T$48*($K$8)+'LINEST VARS'!$S$48*($B21)+'LINEST VARS'!$R$48*(4)+'LINEST VARS'!$Q$48*(0.5)+'LINEST VARS'!$P$48*(12.73)+'LINEST VARS'!$O$48*($K$8^2)+'LINEST VARS'!$N$48*($B21^2)+'LINEST VARS'!$M$48*(4^2)+'LINEST VARS'!$L$48*(0.5^2)+'LINEST VARS'!$K$48*(12.73^2)+'LINEST VARS'!$J$48*($K$8*$B21)+'LINEST VARS'!$I$48*($K$8*4)+'LINEST VARS'!$H$48*($K$8*0.5)+'LINEST VARS'!$G$48*($K$8*12.73)+'LINEST VARS'!$F$48*($B21*4)+'LINEST VARS'!$E$48*($B21*0.5)+'LINEST VARS'!$D$48*($B21*12.73)+'LINEST VARS'!$C$48*(4*0.5)+'LINEST VARS'!$B$48*(4*12.73)+'LINEST VARS'!$A$48*(0.5*12.73)</f>
        <v>360.59199999999987</v>
      </c>
      <c r="L21" s="46">
        <f>'LINEST VARS'!$U$48+'LINEST VARS'!$T$48*($L$8)+'LINEST VARS'!$S$48*($B21)+'LINEST VARS'!$R$48*(4)+'LINEST VARS'!$Q$48*(0.5)+'LINEST VARS'!$P$48*(12.73)+'LINEST VARS'!$O$48*($L$8^2)+'LINEST VARS'!$N$48*($B21^2)+'LINEST VARS'!$M$48*(4^2)+'LINEST VARS'!$L$48*(0.5^2)+'LINEST VARS'!$K$48*(12.73^2)+'LINEST VARS'!$J$48*($L$8*$B21)+'LINEST VARS'!$I$48*($L$8*4)+'LINEST VARS'!$H$48*($L$8*0.5)+'LINEST VARS'!$G$48*($L$8*12.73)+'LINEST VARS'!$F$48*($B21*4)+'LINEST VARS'!$E$48*($B21*0.5)+'LINEST VARS'!$D$48*($B21*12.73)+'LINEST VARS'!$C$48*(4*0.5)+'LINEST VARS'!$B$48*(4*12.73)+'LINEST VARS'!$A$48*(0.5*12.73)</f>
        <v>365.45799999999986</v>
      </c>
      <c r="M21" s="46">
        <f>'LINEST VARS'!$U$48+'LINEST VARS'!$T$48*($M$8)+'LINEST VARS'!$S$48*($B21)+'LINEST VARS'!$R$48*(4)+'LINEST VARS'!$Q$48*(0.5)+'LINEST VARS'!$P$48*(12.73)+'LINEST VARS'!$O$48*($M$8^2)+'LINEST VARS'!$N$48*($B21^2)+'LINEST VARS'!$M$48*(4^2)+'LINEST VARS'!$L$48*(0.5^2)+'LINEST VARS'!$K$48*(12.73^2)+'LINEST VARS'!$J$48*($M$8*$B21)+'LINEST VARS'!$I$48*($M$8*4)+'LINEST VARS'!$H$48*($M$8*0.5)+'LINEST VARS'!$G$48*($M$8*12.73)+'LINEST VARS'!$F$48*($B21*4)+'LINEST VARS'!$E$48*($B21*0.5)+'LINEST VARS'!$D$48*($B21*12.73)+'LINEST VARS'!$C$48*(4*0.5)+'LINEST VARS'!$B$48*(4*12.73)+'LINEST VARS'!$A$48*(0.5*12.73)</f>
        <v>370.35999999999984</v>
      </c>
      <c r="N21" s="46">
        <f>'LINEST VARS'!$U$48+'LINEST VARS'!$T$48*($N$8)+'LINEST VARS'!$S$48*($B21)+'LINEST VARS'!$R$48*(4)+'LINEST VARS'!$Q$48*(0.5)+'LINEST VARS'!$P$48*(12.73)+'LINEST VARS'!$O$48*($N$8^2)+'LINEST VARS'!$N$48*($B21^2)+'LINEST VARS'!$M$48*(4^2)+'LINEST VARS'!$L$48*(0.5^2)+'LINEST VARS'!$K$48*(12.73^2)+'LINEST VARS'!$J$48*($N$8*$B21)+'LINEST VARS'!$I$48*($N$8*4)+'LINEST VARS'!$H$48*($N$8*0.5)+'LINEST VARS'!$G$48*($N$8*12.73)+'LINEST VARS'!$F$48*($B21*4)+'LINEST VARS'!$E$48*($B21*0.5)+'LINEST VARS'!$D$48*($B21*12.73)+'LINEST VARS'!$C$48*(4*0.5)+'LINEST VARS'!$B$48*(4*12.73)+'LINEST VARS'!$A$48*(0.5*12.73)</f>
        <v>375.29799999999989</v>
      </c>
      <c r="O21" s="46">
        <f>'LINEST VARS'!$U$48+'LINEST VARS'!$T$48*($O$8)+'LINEST VARS'!$S$48*($B21)+'LINEST VARS'!$R$48*(4)+'LINEST VARS'!$Q$48*(0.5)+'LINEST VARS'!$P$48*(12.73)+'LINEST VARS'!$O$48*($O$8^2)+'LINEST VARS'!$N$48*($B21^2)+'LINEST VARS'!$M$48*(4^2)+'LINEST VARS'!$L$48*(0.5^2)+'LINEST VARS'!$K$48*(12.73^2)+'LINEST VARS'!$J$48*($O$8*$B21)+'LINEST VARS'!$I$48*($O$8*4)+'LINEST VARS'!$H$48*($O$8*0.5)+'LINEST VARS'!$G$48*($O$8*12.73)+'LINEST VARS'!$F$48*($B21*4)+'LINEST VARS'!$E$48*($B21*0.5)+'LINEST VARS'!$D$48*($B21*12.73)+'LINEST VARS'!$C$48*(4*0.5)+'LINEST VARS'!$B$48*(4*12.73)+'LINEST VARS'!$A$48*(0.5*12.73)</f>
        <v>380.27199999999976</v>
      </c>
      <c r="P21" s="46">
        <f>'LINEST VARS'!$U$48+'LINEST VARS'!$T$48*($P$8)+'LINEST VARS'!$S$48*($B21)+'LINEST VARS'!$R$48*(4)+'LINEST VARS'!$Q$48*(0.5)+'LINEST VARS'!$P$48*(12.73)+'LINEST VARS'!$O$48*($P$8^2)+'LINEST VARS'!$N$48*($B21^2)+'LINEST VARS'!$M$48*(4^2)+'LINEST VARS'!$L$48*(0.5^2)+'LINEST VARS'!$K$48*(12.73^2)+'LINEST VARS'!$J$48*($P$8*$B21)+'LINEST VARS'!$I$48*($P$8*4)+'LINEST VARS'!$H$48*($P$8*0.5)+'LINEST VARS'!$G$48*($P$8*12.73)+'LINEST VARS'!$F$48*($B21*4)+'LINEST VARS'!$E$48*($B21*0.5)+'LINEST VARS'!$D$48*($B21*12.73)+'LINEST VARS'!$C$48*(4*0.5)+'LINEST VARS'!$B$48*(4*12.73)+'LINEST VARS'!$A$48*(0.5*12.73)</f>
        <v>385.2819999999997</v>
      </c>
      <c r="Q21" s="46">
        <f>'LINEST VARS'!$U$48+'LINEST VARS'!$T$48*($Q$8)+'LINEST VARS'!$S$48*($B21)+'LINEST VARS'!$R$48*(4)+'LINEST VARS'!$Q$48*(0.5)+'LINEST VARS'!$P$48*(12.73)+'LINEST VARS'!$O$48*($Q$8^2)+'LINEST VARS'!$N$48*($B21^2)+'LINEST VARS'!$M$48*(4^2)+'LINEST VARS'!$L$48*(0.5^2)+'LINEST VARS'!$K$48*(12.73^2)+'LINEST VARS'!$J$48*($Q$8*$B21)+'LINEST VARS'!$I$48*($Q$8*4)+'LINEST VARS'!$H$48*($Q$8*0.5)+'LINEST VARS'!$G$48*($Q$8*12.73)+'LINEST VARS'!$F$48*($B21*4)+'LINEST VARS'!$E$48*($B21*0.5)+'LINEST VARS'!$D$48*($B21*12.73)+'LINEST VARS'!$C$48*(4*0.5)+'LINEST VARS'!$B$48*(4*12.73)+'LINEST VARS'!$A$48*(0.5*12.73)</f>
        <v>390.3279999999998</v>
      </c>
      <c r="R21" s="46">
        <f>'LINEST VARS'!$U$48+'LINEST VARS'!$T$48*($R$8)+'LINEST VARS'!$S$48*($B21)+'LINEST VARS'!$R$48*(4)+'LINEST VARS'!$Q$48*(0.5)+'LINEST VARS'!$P$48*(12.73)+'LINEST VARS'!$O$48*($R$8^2)+'LINEST VARS'!$N$48*($B21^2)+'LINEST VARS'!$M$48*(4^2)+'LINEST VARS'!$L$48*(0.5^2)+'LINEST VARS'!$K$48*(12.73^2)+'LINEST VARS'!$J$48*($R$8*$B21)+'LINEST VARS'!$I$48*($R$8*4)+'LINEST VARS'!$H$48*($R$8*0.5)+'LINEST VARS'!$G$48*($R$8*12.73)+'LINEST VARS'!$F$48*($B21*4)+'LINEST VARS'!$E$48*($B21*0.5)+'LINEST VARS'!$D$48*($B21*12.73)+'LINEST VARS'!$C$48*(4*0.5)+'LINEST VARS'!$B$48*(4*12.73)+'LINEST VARS'!$A$48*(0.5*12.73)</f>
        <v>395.40999999999985</v>
      </c>
      <c r="S21" s="46">
        <f>'LINEST VARS'!$U$48+'LINEST VARS'!$T$48*($S$8)+'LINEST VARS'!$S$48*($B21)+'LINEST VARS'!$R$48*(4)+'LINEST VARS'!$Q$48*(0.5)+'LINEST VARS'!$P$48*(12.73)+'LINEST VARS'!$O$48*($S$8^2)+'LINEST VARS'!$N$48*($B21^2)+'LINEST VARS'!$M$48*(4^2)+'LINEST VARS'!$L$48*(0.5^2)+'LINEST VARS'!$K$48*(12.73^2)+'LINEST VARS'!$J$48*($S$8*$B21)+'LINEST VARS'!$I$48*($S$8*4)+'LINEST VARS'!$H$48*($S$8*0.5)+'LINEST VARS'!$G$48*($S$8*12.73)+'LINEST VARS'!$F$48*($B21*4)+'LINEST VARS'!$E$48*($B21*0.5)+'LINEST VARS'!$D$48*($B21*12.73)+'LINEST VARS'!$C$48*(4*0.5)+'LINEST VARS'!$B$48*(4*12.73)+'LINEST VARS'!$A$48*(0.5*12.73)</f>
        <v>400.52799999999974</v>
      </c>
      <c r="T21" s="46">
        <f>'LINEST VARS'!$U$48+'LINEST VARS'!$T$48*($T$8)+'LINEST VARS'!$S$48*($B21)+'LINEST VARS'!$R$48*(4)+'LINEST VARS'!$Q$48*(0.5)+'LINEST VARS'!$P$48*(12.73)+'LINEST VARS'!$O$48*($T$8^2)+'LINEST VARS'!$N$48*($B21^2)+'LINEST VARS'!$M$48*(4^2)+'LINEST VARS'!$L$48*(0.5^2)+'LINEST VARS'!$K$48*(12.73^2)+'LINEST VARS'!$J$48*($T$8*$B21)+'LINEST VARS'!$I$48*($T$8*4)+'LINEST VARS'!$H$48*($T$8*0.5)+'LINEST VARS'!$G$48*($T$8*12.73)+'LINEST VARS'!$F$48*($B21*4)+'LINEST VARS'!$E$48*($B21*0.5)+'LINEST VARS'!$D$48*($B21*12.73)+'LINEST VARS'!$C$48*(4*0.5)+'LINEST VARS'!$B$48*(4*12.73)+'LINEST VARS'!$A$48*(0.5*12.73)</f>
        <v>405.68199999999979</v>
      </c>
      <c r="U21" s="46">
        <f>'LINEST VARS'!$U$48+'LINEST VARS'!$T$48*($U$8)+'LINEST VARS'!$S$48*($B21)+'LINEST VARS'!$R$48*(4)+'LINEST VARS'!$Q$48*(0.5)+'LINEST VARS'!$P$48*(12.73)+'LINEST VARS'!$O$48*($U$8^2)+'LINEST VARS'!$N$48*($B21^2)+'LINEST VARS'!$M$48*(4^2)+'LINEST VARS'!$L$48*(0.5^2)+'LINEST VARS'!$K$48*(12.73^2)+'LINEST VARS'!$J$48*($U$8*$B21)+'LINEST VARS'!$I$48*($U$8*4)+'LINEST VARS'!$H$48*($U$8*0.5)+'LINEST VARS'!$G$48*($U$8*12.73)+'LINEST VARS'!$F$48*($B21*4)+'LINEST VARS'!$E$48*($B21*0.5)+'LINEST VARS'!$D$48*($B21*12.73)+'LINEST VARS'!$C$48*(4*0.5)+'LINEST VARS'!$B$48*(4*12.73)+'LINEST VARS'!$A$48*(0.5*12.73)</f>
        <v>410.8719999999999</v>
      </c>
      <c r="V21" s="46">
        <f>'LINEST VARS'!$U$48+'LINEST VARS'!$T$48*($V$8)+'LINEST VARS'!$S$48*($B21)+'LINEST VARS'!$R$48*(4)+'LINEST VARS'!$Q$48*(0.5)+'LINEST VARS'!$P$48*(12.73)+'LINEST VARS'!$O$48*($V$8^2)+'LINEST VARS'!$N$48*($B21^2)+'LINEST VARS'!$M$48*(4^2)+'LINEST VARS'!$L$48*(0.5^2)+'LINEST VARS'!$K$48*(12.73^2)+'LINEST VARS'!$J$48*($V$8*$B21)+'LINEST VARS'!$I$48*($V$8*4)+'LINEST VARS'!$H$48*($V$8*0.5)+'LINEST VARS'!$G$48*($V$8*12.73)+'LINEST VARS'!$F$48*($B21*4)+'LINEST VARS'!$E$48*($B21*0.5)+'LINEST VARS'!$D$48*($B21*12.73)+'LINEST VARS'!$C$48*(4*0.5)+'LINEST VARS'!$B$48*(4*12.73)+'LINEST VARS'!$A$48*(0.5*12.73)</f>
        <v>416.09799999999979</v>
      </c>
      <c r="W21" s="47">
        <f>'LINEST VARS'!$U$48+'LINEST VARS'!$T$48*($W$8)+'LINEST VARS'!$S$48*($B21)+'LINEST VARS'!$R$48*(4)+'LINEST VARS'!$Q$48*(0.5)+'LINEST VARS'!$P$48*(12.73)+'LINEST VARS'!$O$48*($W$8^2)+'LINEST VARS'!$N$48*($B21^2)+'LINEST VARS'!$M$48*(4^2)+'LINEST VARS'!$L$48*(0.5^2)+'LINEST VARS'!$K$48*(12.73^2)+'LINEST VARS'!$J$48*($W$8*$B21)+'LINEST VARS'!$I$48*($W$8*4)+'LINEST VARS'!$H$48*($W$8*0.5)+'LINEST VARS'!$G$48*($W$8*12.73)+'LINEST VARS'!$F$48*($B21*4)+'LINEST VARS'!$E$48*($B21*0.5)+'LINEST VARS'!$D$48*($B21*12.73)+'LINEST VARS'!$C$48*(4*0.5)+'LINEST VARS'!$B$48*(4*12.73)+'LINEST VARS'!$A$48*(0.5*12.73)</f>
        <v>421.35999999999979</v>
      </c>
      <c r="Z21" s="45">
        <v>8.1199999999999992</v>
      </c>
      <c r="AA21" s="46">
        <f>'LINEST VARS'!$U$50+'LINEST VARS'!$T$50*($AA$8)+'LINEST VARS'!$S$50*($Z21)+'LINEST VARS'!$R$50*(4)+'LINEST VARS'!$Q$50*(0.5)+'LINEST VARS'!$P$50*(12.73)+'LINEST VARS'!$O$50*($AA$8^2)+'LINEST VARS'!$N$50*($Z21^2)+'LINEST VARS'!$M$50*(4^2)+'LINEST VARS'!$L$50*(0.5^2)+'LINEST VARS'!$K$50*(12.73^2)+'LINEST VARS'!$J$50*($AA$8*$Z21)+'LINEST VARS'!$I$50*($AA$8*4)+'LINEST VARS'!$H$50*($AA$8*0.5)+'LINEST VARS'!$G$50*($AA$8*12.73)+'LINEST VARS'!$F$50*($Z21*4)+'LINEST VARS'!$E$50*($Z21*0.5)+'LINEST VARS'!$D$50*($Z21*12.73)+'LINEST VARS'!$C$50*(4*0.5)+'LINEST VARS'!$B$50*(4*12.73)+'LINEST VARS'!$A$50*(0.5*12.73)</f>
        <v>331.39999999999992</v>
      </c>
      <c r="AB21" s="46">
        <f>'LINEST VARS'!$U$50+'LINEST VARS'!$T$50*($AB$8)+'LINEST VARS'!$S$50*($Z21)+'LINEST VARS'!$R$50*(4)+'LINEST VARS'!$Q$50*(0.5)+'LINEST VARS'!$P$50*(12.73)+'LINEST VARS'!$O$50*($AB$8^2)+'LINEST VARS'!$N$50*($Z21^2)+'LINEST VARS'!$M$50*(4^2)+'LINEST VARS'!$L$50*(0.5^2)+'LINEST VARS'!$K$50*(12.73^2)+'LINEST VARS'!$J$50*($AB$8*$Z21)+'LINEST VARS'!$I$50*($AB$8*4)+'LINEST VARS'!$H$50*($AB$8*0.5)+'LINEST VARS'!$G$50*($AB$8*12.73)+'LINEST VARS'!$F$50*($Z21*4)+'LINEST VARS'!$E$50*($Z21*0.5)+'LINEST VARS'!$D$50*($Z21*12.73)+'LINEST VARS'!$C$50*(4*0.5)+'LINEST VARS'!$B$50*(4*12.73)+'LINEST VARS'!$A$50*(0.5*12.73)</f>
        <v>331.4899999999999</v>
      </c>
      <c r="AC21" s="46">
        <f>'LINEST VARS'!$U$50+'LINEST VARS'!$T$50*($AC$8)+'LINEST VARS'!$S$50*($Z21)+'LINEST VARS'!$R$50*(4)+'LINEST VARS'!$Q$50*(0.5)+'LINEST VARS'!$P$50*(12.73)+'LINEST VARS'!$O$50*($AC$8^2)+'LINEST VARS'!$N$50*($Z21^2)+'LINEST VARS'!$M$50*(4^2)+'LINEST VARS'!$L$50*(0.5^2)+'LINEST VARS'!$K$50*(12.73^2)+'LINEST VARS'!$J$50*($AC$8*$Z21)+'LINEST VARS'!$I$50*($AC$8*4)+'LINEST VARS'!$H$50*($AC$8*0.5)+'LINEST VARS'!$G$50*($AC$8*12.73)+'LINEST VARS'!$F$50*($Z21*4)+'LINEST VARS'!$E$50*($Z21*0.5)+'LINEST VARS'!$D$50*($Z21*12.73)+'LINEST VARS'!$C$50*(4*0.5)+'LINEST VARS'!$B$50*(4*12.73)+'LINEST VARS'!$A$50*(0.5*12.73)</f>
        <v>331.57999999999987</v>
      </c>
      <c r="AD21" s="46">
        <f>'LINEST VARS'!$U$50+'LINEST VARS'!$T$50*($AD$8)+'LINEST VARS'!$S$50*($Z21)+'LINEST VARS'!$R$50*(4)+'LINEST VARS'!$Q$50*(0.5)+'LINEST VARS'!$P$50*(12.73)+'LINEST VARS'!$O$50*($AD$8^2)+'LINEST VARS'!$N$50*($Z21^2)+'LINEST VARS'!$M$50*(4^2)+'LINEST VARS'!$L$50*(0.5^2)+'LINEST VARS'!$K$50*(12.73^2)+'LINEST VARS'!$J$50*($AD$8*$Z21)+'LINEST VARS'!$I$50*($AD$8*4)+'LINEST VARS'!$H$50*($AD$8*0.5)+'LINEST VARS'!$G$50*($AD$8*12.73)+'LINEST VARS'!$F$50*($Z21*4)+'LINEST VARS'!$E$50*($Z21*0.5)+'LINEST VARS'!$D$50*($Z21*12.73)+'LINEST VARS'!$C$50*(4*0.5)+'LINEST VARS'!$B$50*(4*12.73)+'LINEST VARS'!$A$50*(0.5*12.73)</f>
        <v>331.66999999999985</v>
      </c>
      <c r="AE21" s="46">
        <f>'LINEST VARS'!$U$50+'LINEST VARS'!$T$50*($AE$8)+'LINEST VARS'!$S$50*($Z21)+'LINEST VARS'!$R$50*(4)+'LINEST VARS'!$Q$50*(0.5)+'LINEST VARS'!$P$50*(12.73)+'LINEST VARS'!$O$50*($AE$8^2)+'LINEST VARS'!$N$50*($Z21^2)+'LINEST VARS'!$M$50*(4^2)+'LINEST VARS'!$L$50*(0.5^2)+'LINEST VARS'!$K$50*(12.73^2)+'LINEST VARS'!$J$50*($AE$8*$Z21)+'LINEST VARS'!$I$50*($AE$8*4)+'LINEST VARS'!$H$50*($AE$8*0.5)+'LINEST VARS'!$G$50*($AE$8*12.73)+'LINEST VARS'!$F$50*($Z21*4)+'LINEST VARS'!$E$50*($Z21*0.5)+'LINEST VARS'!$D$50*($Z21*12.73)+'LINEST VARS'!$C$50*(4*0.5)+'LINEST VARS'!$B$50*(4*12.73)+'LINEST VARS'!$A$50*(0.5*12.73)</f>
        <v>331.75999999999982</v>
      </c>
      <c r="AF21" s="46">
        <f>'LINEST VARS'!$U$50+'LINEST VARS'!$T$50*($AF$8)+'LINEST VARS'!$S$50*($Z21)+'LINEST VARS'!$R$50*(4)+'LINEST VARS'!$Q$50*(0.5)+'LINEST VARS'!$P$50*(12.73)+'LINEST VARS'!$O$50*($AF$8^2)+'LINEST VARS'!$N$50*($Z21^2)+'LINEST VARS'!$M$50*(4^2)+'LINEST VARS'!$L$50*(0.5^2)+'LINEST VARS'!$K$50*(12.73^2)+'LINEST VARS'!$J$50*($AF$8*$Z21)+'LINEST VARS'!$I$50*($AF$8*4)+'LINEST VARS'!$H$50*($AF$8*0.5)+'LINEST VARS'!$G$50*($AF$8*12.73)+'LINEST VARS'!$F$50*($Z21*4)+'LINEST VARS'!$E$50*($Z21*0.5)+'LINEST VARS'!$D$50*($Z21*12.73)+'LINEST VARS'!$C$50*(4*0.5)+'LINEST VARS'!$B$50*(4*12.73)+'LINEST VARS'!$A$50*(0.5*12.73)</f>
        <v>331.84999999999985</v>
      </c>
      <c r="AG21" s="46">
        <f>'LINEST VARS'!$U$50+'LINEST VARS'!$T$50*($AG$8)+'LINEST VARS'!$S$50*($Z21)+'LINEST VARS'!$R$50*(4)+'LINEST VARS'!$Q$50*(0.5)+'LINEST VARS'!$P$50*(12.73)+'LINEST VARS'!$O$50*($AG$8^2)+'LINEST VARS'!$N$50*($Z21^2)+'LINEST VARS'!$M$50*(4^2)+'LINEST VARS'!$L$50*(0.5^2)+'LINEST VARS'!$K$50*(12.73^2)+'LINEST VARS'!$J$50*($AG$8*$Z21)+'LINEST VARS'!$I$50*($AG$8*4)+'LINEST VARS'!$H$50*($AG$8*0.5)+'LINEST VARS'!$G$50*($AG$8*12.73)+'LINEST VARS'!$F$50*($Z21*4)+'LINEST VARS'!$E$50*($Z21*0.5)+'LINEST VARS'!$D$50*($Z21*12.73)+'LINEST VARS'!$C$50*(4*0.5)+'LINEST VARS'!$B$50*(4*12.73)+'LINEST VARS'!$A$50*(0.5*12.73)</f>
        <v>331.93999999999983</v>
      </c>
      <c r="AH21" s="46">
        <f>'LINEST VARS'!$U$50+'LINEST VARS'!$T$50*($AH$8)+'LINEST VARS'!$S$50*($Z21)+'LINEST VARS'!$R$50*(4)+'LINEST VARS'!$Q$50*(0.5)+'LINEST VARS'!$P$50*(12.73)+'LINEST VARS'!$O$50*($AH$8^2)+'LINEST VARS'!$N$50*($Z21^2)+'LINEST VARS'!$M$50*(4^2)+'LINEST VARS'!$L$50*(0.5^2)+'LINEST VARS'!$K$50*(12.73^2)+'LINEST VARS'!$J$50*($AH$8*$Z21)+'LINEST VARS'!$I$50*($AH$8*4)+'LINEST VARS'!$H$50*($AH$8*0.5)+'LINEST VARS'!$G$50*($AH$8*12.73)+'LINEST VARS'!$F$50*($Z21*4)+'LINEST VARS'!$E$50*($Z21*0.5)+'LINEST VARS'!$D$50*($Z21*12.73)+'LINEST VARS'!$C$50*(4*0.5)+'LINEST VARS'!$B$50*(4*12.73)+'LINEST VARS'!$A$50*(0.5*12.73)</f>
        <v>332.02999999999986</v>
      </c>
      <c r="AI21" s="46">
        <f>'LINEST VARS'!$U$50+'LINEST VARS'!$T$50*($AI$8)+'LINEST VARS'!$S$50*($Z21)+'LINEST VARS'!$R$50*(4)+'LINEST VARS'!$Q$50*(0.5)+'LINEST VARS'!$P$50*(12.73)+'LINEST VARS'!$O$50*($AI$8^2)+'LINEST VARS'!$N$50*($Z21^2)+'LINEST VARS'!$M$50*(4^2)+'LINEST VARS'!$L$50*(0.5^2)+'LINEST VARS'!$K$50*(12.73^2)+'LINEST VARS'!$J$50*($AI$8*$Z21)+'LINEST VARS'!$I$50*($AI$8*4)+'LINEST VARS'!$H$50*($AI$8*0.5)+'LINEST VARS'!$G$50*($AI$8*12.73)+'LINEST VARS'!$F$50*($Z21*4)+'LINEST VARS'!$E$50*($Z21*0.5)+'LINEST VARS'!$D$50*($Z21*12.73)+'LINEST VARS'!$C$50*(4*0.5)+'LINEST VARS'!$B$50*(4*12.73)+'LINEST VARS'!$A$50*(0.5*12.73)</f>
        <v>332.11999999999983</v>
      </c>
      <c r="AJ21" s="46">
        <f>'LINEST VARS'!$U$50+'LINEST VARS'!$T$50*($AJ$8)+'LINEST VARS'!$S$50*($Z21)+'LINEST VARS'!$R$50*(4)+'LINEST VARS'!$Q$50*(0.5)+'LINEST VARS'!$P$50*(12.73)+'LINEST VARS'!$O$50*($AJ$8^2)+'LINEST VARS'!$N$50*($Z21^2)+'LINEST VARS'!$M$50*(4^2)+'LINEST VARS'!$L$50*(0.5^2)+'LINEST VARS'!$K$50*(12.73^2)+'LINEST VARS'!$J$50*($AJ$8*$Z21)+'LINEST VARS'!$I$50*($AJ$8*4)+'LINEST VARS'!$H$50*($AJ$8*0.5)+'LINEST VARS'!$G$50*($AJ$8*12.73)+'LINEST VARS'!$F$50*($Z21*4)+'LINEST VARS'!$E$50*($Z21*0.5)+'LINEST VARS'!$D$50*($Z21*12.73)+'LINEST VARS'!$C$50*(4*0.5)+'LINEST VARS'!$B$50*(4*12.73)+'LINEST VARS'!$A$50*(0.5*12.73)</f>
        <v>332.20999999999987</v>
      </c>
      <c r="AK21" s="46">
        <f>'LINEST VARS'!$U$50+'LINEST VARS'!$T$50*($AK$8)+'LINEST VARS'!$S$50*($Z21)+'LINEST VARS'!$R$50*(4)+'LINEST VARS'!$Q$50*(0.5)+'LINEST VARS'!$P$50*(12.73)+'LINEST VARS'!$O$50*($AK$8^2)+'LINEST VARS'!$N$50*($Z21^2)+'LINEST VARS'!$M$50*(4^2)+'LINEST VARS'!$L$50*(0.5^2)+'LINEST VARS'!$K$50*(12.73^2)+'LINEST VARS'!$J$50*($AK$8*$Z21)+'LINEST VARS'!$I$50*($AK$8*4)+'LINEST VARS'!$H$50*($AK$8*0.5)+'LINEST VARS'!$G$50*($AK$8*12.73)+'LINEST VARS'!$F$50*($Z21*4)+'LINEST VARS'!$E$50*($Z21*0.5)+'LINEST VARS'!$D$50*($Z21*12.73)+'LINEST VARS'!$C$50*(4*0.5)+'LINEST VARS'!$B$50*(4*12.73)+'LINEST VARS'!$A$50*(0.5*12.73)</f>
        <v>332.29999999999984</v>
      </c>
      <c r="AL21" s="46">
        <f>'LINEST VARS'!$U$50+'LINEST VARS'!$T$50*($AL$8)+'LINEST VARS'!$S$50*($Z21)+'LINEST VARS'!$R$50*(4)+'LINEST VARS'!$Q$50*(0.5)+'LINEST VARS'!$P$50*(12.73)+'LINEST VARS'!$O$50*($AL$8^2)+'LINEST VARS'!$N$50*($Z21^2)+'LINEST VARS'!$M$50*(4^2)+'LINEST VARS'!$L$50*(0.5^2)+'LINEST VARS'!$K$50*(12.73^2)+'LINEST VARS'!$J$50*($AL$8*$Z21)+'LINEST VARS'!$I$50*($AL$8*4)+'LINEST VARS'!$H$50*($AL$8*0.5)+'LINEST VARS'!$G$50*($AL$8*12.73)+'LINEST VARS'!$F$50*($Z21*4)+'LINEST VARS'!$E$50*($Z21*0.5)+'LINEST VARS'!$D$50*($Z21*12.73)+'LINEST VARS'!$C$50*(4*0.5)+'LINEST VARS'!$B$50*(4*12.73)+'LINEST VARS'!$A$50*(0.5*12.73)</f>
        <v>332.38999999999982</v>
      </c>
      <c r="AM21" s="46">
        <f>'LINEST VARS'!$U$50+'LINEST VARS'!$T$50*($AM$8)+'LINEST VARS'!$S$50*($Z21)+'LINEST VARS'!$R$50*(4)+'LINEST VARS'!$Q$50*(0.5)+'LINEST VARS'!$P$50*(12.73)+'LINEST VARS'!$O$50*($AM$8^2)+'LINEST VARS'!$N$50*($Z21^2)+'LINEST VARS'!$M$50*(4^2)+'LINEST VARS'!$L$50*(0.5^2)+'LINEST VARS'!$K$50*(12.73^2)+'LINEST VARS'!$J$50*($AM$8*$Z21)+'LINEST VARS'!$I$50*($AM$8*4)+'LINEST VARS'!$H$50*($AM$8*0.5)+'LINEST VARS'!$G$50*($AM$8*12.73)+'LINEST VARS'!$F$50*($Z21*4)+'LINEST VARS'!$E$50*($Z21*0.5)+'LINEST VARS'!$D$50*($Z21*12.73)+'LINEST VARS'!$C$50*(4*0.5)+'LINEST VARS'!$B$50*(4*12.73)+'LINEST VARS'!$A$50*(0.5*12.73)</f>
        <v>332.47999999999985</v>
      </c>
      <c r="AN21" s="46">
        <f>'LINEST VARS'!$U$50+'LINEST VARS'!$T$50*($AN$8)+'LINEST VARS'!$S$50*($Z21)+'LINEST VARS'!$R$50*(4)+'LINEST VARS'!$Q$50*(0.5)+'LINEST VARS'!$P$50*(12.73)+'LINEST VARS'!$O$50*($AN$8^2)+'LINEST VARS'!$N$50*($Z21^2)+'LINEST VARS'!$M$50*(4^2)+'LINEST VARS'!$L$50*(0.5^2)+'LINEST VARS'!$K$50*(12.73^2)+'LINEST VARS'!$J$50*($AN$8*$Z21)+'LINEST VARS'!$I$50*($AN$8*4)+'LINEST VARS'!$H$50*($AN$8*0.5)+'LINEST VARS'!$G$50*($AN$8*12.73)+'LINEST VARS'!$F$50*($Z21*4)+'LINEST VARS'!$E$50*($Z21*0.5)+'LINEST VARS'!$D$50*($Z21*12.73)+'LINEST VARS'!$C$50*(4*0.5)+'LINEST VARS'!$B$50*(4*12.73)+'LINEST VARS'!$A$50*(0.5*12.73)</f>
        <v>332.56999999999982</v>
      </c>
      <c r="AO21" s="46">
        <f>'LINEST VARS'!$U$50+'LINEST VARS'!$T$50*($AO$8)+'LINEST VARS'!$S$50*($Z21)+'LINEST VARS'!$R$50*(4)+'LINEST VARS'!$Q$50*(0.5)+'LINEST VARS'!$P$50*(12.73)+'LINEST VARS'!$O$50*($AO$8^2)+'LINEST VARS'!$N$50*($Z21^2)+'LINEST VARS'!$M$50*(4^2)+'LINEST VARS'!$L$50*(0.5^2)+'LINEST VARS'!$K$50*(12.73^2)+'LINEST VARS'!$J$50*($AO$8*$Z21)+'LINEST VARS'!$I$50*($AO$8*4)+'LINEST VARS'!$H$50*($AO$8*0.5)+'LINEST VARS'!$G$50*($AO$8*12.73)+'LINEST VARS'!$F$50*($Z21*4)+'LINEST VARS'!$E$50*($Z21*0.5)+'LINEST VARS'!$D$50*($Z21*12.73)+'LINEST VARS'!$C$50*(4*0.5)+'LINEST VARS'!$B$50*(4*12.73)+'LINEST VARS'!$A$50*(0.5*12.73)</f>
        <v>332.65999999999985</v>
      </c>
      <c r="AP21" s="46">
        <f>'LINEST VARS'!$U$50+'LINEST VARS'!$T$50*($AP$8)+'LINEST VARS'!$S$50*($Z21)+'LINEST VARS'!$R$50*(4)+'LINEST VARS'!$Q$50*(0.5)+'LINEST VARS'!$P$50*(12.73)+'LINEST VARS'!$O$50*($AP$8^2)+'LINEST VARS'!$N$50*($Z21^2)+'LINEST VARS'!$M$50*(4^2)+'LINEST VARS'!$L$50*(0.5^2)+'LINEST VARS'!$K$50*(12.73^2)+'LINEST VARS'!$J$50*($AP$8*$Z21)+'LINEST VARS'!$I$50*($AP$8*4)+'LINEST VARS'!$H$50*($AP$8*0.5)+'LINEST VARS'!$G$50*($AP$8*12.73)+'LINEST VARS'!$F$50*($Z21*4)+'LINEST VARS'!$E$50*($Z21*0.5)+'LINEST VARS'!$D$50*($Z21*12.73)+'LINEST VARS'!$C$50*(4*0.5)+'LINEST VARS'!$B$50*(4*12.73)+'LINEST VARS'!$A$50*(0.5*12.73)</f>
        <v>332.74999999999983</v>
      </c>
      <c r="AQ21" s="46">
        <f>'LINEST VARS'!$U$50+'LINEST VARS'!$T$50*($AQ$8)+'LINEST VARS'!$S$50*($Z21)+'LINEST VARS'!$R$50*(4)+'LINEST VARS'!$Q$50*(0.5)+'LINEST VARS'!$P$50*(12.73)+'LINEST VARS'!$O$50*($AQ$8^2)+'LINEST VARS'!$N$50*($Z21^2)+'LINEST VARS'!$M$50*(4^2)+'LINEST VARS'!$L$50*(0.5^2)+'LINEST VARS'!$K$50*(12.73^2)+'LINEST VARS'!$J$50*($AQ$8*$Z21)+'LINEST VARS'!$I$50*($AQ$8*4)+'LINEST VARS'!$H$50*($AQ$8*0.5)+'LINEST VARS'!$G$50*($AQ$8*12.73)+'LINEST VARS'!$F$50*($Z21*4)+'LINEST VARS'!$E$50*($Z21*0.5)+'LINEST VARS'!$D$50*($Z21*12.73)+'LINEST VARS'!$C$50*(4*0.5)+'LINEST VARS'!$B$50*(4*12.73)+'LINEST VARS'!$A$50*(0.5*12.73)</f>
        <v>332.83999999999986</v>
      </c>
      <c r="AR21" s="46">
        <f>'LINEST VARS'!$U$50+'LINEST VARS'!$T$50*($AR$8)+'LINEST VARS'!$S$50*($Z21)+'LINEST VARS'!$R$50*(4)+'LINEST VARS'!$Q$50*(0.5)+'LINEST VARS'!$P$50*(12.73)+'LINEST VARS'!$O$50*($AR$8^2)+'LINEST VARS'!$N$50*($Z21^2)+'LINEST VARS'!$M$50*(4^2)+'LINEST VARS'!$L$50*(0.5^2)+'LINEST VARS'!$K$50*(12.73^2)+'LINEST VARS'!$J$50*($AR$8*$Z21)+'LINEST VARS'!$I$50*($AR$8*4)+'LINEST VARS'!$H$50*($AR$8*0.5)+'LINEST VARS'!$G$50*($AR$8*12.73)+'LINEST VARS'!$F$50*($Z21*4)+'LINEST VARS'!$E$50*($Z21*0.5)+'LINEST VARS'!$D$50*($Z21*12.73)+'LINEST VARS'!$C$50*(4*0.5)+'LINEST VARS'!$B$50*(4*12.73)+'LINEST VARS'!$A$50*(0.5*12.73)</f>
        <v>332.92999999999984</v>
      </c>
      <c r="AS21" s="46">
        <f>'LINEST VARS'!$U$50+'LINEST VARS'!$T$50*($AS$8)+'LINEST VARS'!$S$50*($Z21)+'LINEST VARS'!$R$50*(4)+'LINEST VARS'!$Q$50*(0.5)+'LINEST VARS'!$P$50*(12.73)+'LINEST VARS'!$O$50*($AS$8^2)+'LINEST VARS'!$N$50*($Z21^2)+'LINEST VARS'!$M$50*(4^2)+'LINEST VARS'!$L$50*(0.5^2)+'LINEST VARS'!$K$50*(12.73^2)+'LINEST VARS'!$J$50*($AS$8*$Z21)+'LINEST VARS'!$I$50*($AS$8*4)+'LINEST VARS'!$H$50*($AS$8*0.5)+'LINEST VARS'!$G$50*($AS$8*12.73)+'LINEST VARS'!$F$50*($Z21*4)+'LINEST VARS'!$E$50*($Z21*0.5)+'LINEST VARS'!$D$50*($Z21*12.73)+'LINEST VARS'!$C$50*(4*0.5)+'LINEST VARS'!$B$50*(4*12.73)+'LINEST VARS'!$A$50*(0.5*12.73)</f>
        <v>333.01999999999981</v>
      </c>
      <c r="AT21" s="46">
        <f>'LINEST VARS'!$U$50+'LINEST VARS'!$T$50*($AT$8)+'LINEST VARS'!$S$50*($Z21)+'LINEST VARS'!$R$50*(4)+'LINEST VARS'!$Q$50*(0.5)+'LINEST VARS'!$P$50*(12.73)+'LINEST VARS'!$O$50*($AT$8^2)+'LINEST VARS'!$N$50*($Z21^2)+'LINEST VARS'!$M$50*(4^2)+'LINEST VARS'!$L$50*(0.5^2)+'LINEST VARS'!$K$50*(12.73^2)+'LINEST VARS'!$J$50*($AT$8*$Z21)+'LINEST VARS'!$I$50*($AT$8*4)+'LINEST VARS'!$H$50*($AT$8*0.5)+'LINEST VARS'!$G$50*($AT$8*12.73)+'LINEST VARS'!$F$50*($Z21*4)+'LINEST VARS'!$E$50*($Z21*0.5)+'LINEST VARS'!$D$50*($Z21*12.73)+'LINEST VARS'!$C$50*(4*0.5)+'LINEST VARS'!$B$50*(4*12.73)+'LINEST VARS'!$A$50*(0.5*12.73)</f>
        <v>333.10999999999984</v>
      </c>
      <c r="AU21" s="47">
        <f>'LINEST VARS'!$U$50+'LINEST VARS'!$T$50*($AU$8)+'LINEST VARS'!$S$50*($Z21)+'LINEST VARS'!$R$50*(4)+'LINEST VARS'!$Q$50*(0.5)+'LINEST VARS'!$P$50*(12.73)+'LINEST VARS'!$O$50*($AU$8^2)+'LINEST VARS'!$N$50*($Z21^2)+'LINEST VARS'!$M$50*(4^2)+'LINEST VARS'!$L$50*(0.5^2)+'LINEST VARS'!$K$50*(12.73^2)+'LINEST VARS'!$J$50*($AU$8*$Z21)+'LINEST VARS'!$I$50*($AU$8*4)+'LINEST VARS'!$H$50*($AU$8*0.5)+'LINEST VARS'!$G$50*($AU$8*12.73)+'LINEST VARS'!$F$50*($Z21*4)+'LINEST VARS'!$E$50*($Z21*0.5)+'LINEST VARS'!$D$50*($Z21*12.73)+'LINEST VARS'!$C$50*(4*0.5)+'LINEST VARS'!$B$50*(4*12.73)+'LINEST VARS'!$A$50*(0.5*12.73)</f>
        <v>333.19999999999982</v>
      </c>
      <c r="AZ21" s="45">
        <v>0.6</v>
      </c>
      <c r="BA21" s="46">
        <f>'LINEST VARS'!$U$48+'LINEST VARS'!$T$48*(8)+'LINEST VARS'!$S$48*(8)+'LINEST VARS'!$R$48*($BA$8)+'LINEST VARS'!$Q$48*($AZ21)+'LINEST VARS'!$P$48*(12.73)+'LINEST VARS'!$O$48*(8^2)+'LINEST VARS'!$N$48*(8^2)+'LINEST VARS'!$M$48*($BA$8^2)+'LINEST VARS'!$L$48*($AZ21^2)+'LINEST VARS'!$K$48*(12.73^2)+'LINEST VARS'!$J$48*(8*8)+'LINEST VARS'!$I$48*(8*$BA$8)+'LINEST VARS'!$H$48*(8*$AZ21)+'LINEST VARS'!$G$48*(8*12.73)+'LINEST VARS'!$F$48*(8*$BA$8)+'LINEST VARS'!$E$48*(8*$AZ21)+'LINEST VARS'!$D$48*(8*12.73)+'LINEST VARS'!$C$48*($BA$8*$AZ21)+'LINEST VARS'!$B$48*($BA$8*12.73)+'LINEST VARS'!$A$48*($AZ21*12.73)</f>
        <v>369.99999999999989</v>
      </c>
      <c r="BB21" s="46">
        <f>'LINEST VARS'!$U$48+'LINEST VARS'!$T$48*(8)+'LINEST VARS'!$S$48*(8)+'LINEST VARS'!$R$48*($BB$8)+'LINEST VARS'!$Q$48*($AZ21)+'LINEST VARS'!$P$48*(12.73)+'LINEST VARS'!$O$48*(8^2)+'LINEST VARS'!$N$48*(8^2)+'LINEST VARS'!$M$48*($BB$8^2)+'LINEST VARS'!$L$48*($AZ21^2)+'LINEST VARS'!$K$48*(12.73^2)+'LINEST VARS'!$J$48*(8*8)+'LINEST VARS'!$I$48*(8*$BB$8)+'LINEST VARS'!$H$48*(8*$AZ21)+'LINEST VARS'!$G$48*(8*12.73)+'LINEST VARS'!$F$48*(8*$BB$8)+'LINEST VARS'!$E$48*(8*$AZ21)+'LINEST VARS'!$D$48*(8*12.73)+'LINEST VARS'!$C$48*($BB$8*$AZ21)+'LINEST VARS'!$B$48*($BB$8*12.73)+'LINEST VARS'!$A$48*($AZ21*12.73)</f>
        <v>369.99999999999989</v>
      </c>
      <c r="BC21" s="46">
        <f>'LINEST VARS'!$U$48+'LINEST VARS'!$T$48*(8)+'LINEST VARS'!$S$48*(8)+'LINEST VARS'!$R$48*($BC$8)+'LINEST VARS'!$Q$48*($AZ21)+'LINEST VARS'!$P$48*(12.73)+'LINEST VARS'!$O$48*(8^2)+'LINEST VARS'!$N$48*(8^2)+'LINEST VARS'!$M$48*($BC$8^2)+'LINEST VARS'!$L$48*($AZ21^2)+'LINEST VARS'!$K$48*(12.73^2)+'LINEST VARS'!$J$48*(8*8)+'LINEST VARS'!$I$48*(8*$BC$8)+'LINEST VARS'!$H$48*(8*$AZ21)+'LINEST VARS'!$G$48*(8*12.73)+'LINEST VARS'!$F$48*(8*$BC$8)+'LINEST VARS'!$E$48*(8*$AZ21)+'LINEST VARS'!$D$48*(8*12.73)+'LINEST VARS'!$C$48*($BC$8*$AZ21)+'LINEST VARS'!$B$48*($BC$8*12.73)+'LINEST VARS'!$A$48*($AZ21*12.73)</f>
        <v>369.99999999999989</v>
      </c>
      <c r="BD21" s="46">
        <f>'LINEST VARS'!$U$48+'LINEST VARS'!$T$48*(8)+'LINEST VARS'!$S$48*(8)+'LINEST VARS'!$R$48*($BD$8)+'LINEST VARS'!$Q$48*($AZ21)+'LINEST VARS'!$P$48*(12.73)+'LINEST VARS'!$O$48*(8^2)+'LINEST VARS'!$N$48*(8^2)+'LINEST VARS'!$M$48*($BD$8^2)+'LINEST VARS'!$L$48*($AZ21^2)+'LINEST VARS'!$K$48*(12.73^2)+'LINEST VARS'!$J$48*(8*8)+'LINEST VARS'!$I$48*(8*$BD$8)+'LINEST VARS'!$H$48*(8*$AZ21)+'LINEST VARS'!$G$48*(8*12.73)+'LINEST VARS'!$F$48*(8*$BD$8)+'LINEST VARS'!$E$48*(8*$AZ21)+'LINEST VARS'!$D$48*(8*12.73)+'LINEST VARS'!$C$48*($BD$8*$AZ21)+'LINEST VARS'!$B$48*($BD$8*12.73)+'LINEST VARS'!$A$48*($AZ21*12.73)</f>
        <v>369.99999999999989</v>
      </c>
      <c r="BE21" s="46">
        <f>'LINEST VARS'!$U$48+'LINEST VARS'!$T$48*(8)+'LINEST VARS'!$S$48*(8)+'LINEST VARS'!$R$48*($BE$8)+'LINEST VARS'!$Q$48*($AZ21)+'LINEST VARS'!$P$48*(12.73)+'LINEST VARS'!$O$48*(8^2)+'LINEST VARS'!$N$48*(8^2)+'LINEST VARS'!$M$48*($BE$8^2)+'LINEST VARS'!$L$48*($AZ21^2)+'LINEST VARS'!$K$48*(12.73^2)+'LINEST VARS'!$J$48*(8*8)+'LINEST VARS'!$I$48*(8*$BE$8)+'LINEST VARS'!$H$48*(8*$AZ21)+'LINEST VARS'!$G$48*(8*12.73)+'LINEST VARS'!$F$48*(8*$BE$8)+'LINEST VARS'!$E$48*(8*$AZ21)+'LINEST VARS'!$D$48*(8*12.73)+'LINEST VARS'!$C$48*($BE$8*$AZ21)+'LINEST VARS'!$B$48*($BE$8*12.73)+'LINEST VARS'!$A$48*($AZ21*12.73)</f>
        <v>369.99999999999989</v>
      </c>
      <c r="BF21" s="46">
        <f>'LINEST VARS'!$U$48+'LINEST VARS'!$T$48*(8)+'LINEST VARS'!$S$48*(8)+'LINEST VARS'!$R$48*($BF$8)+'LINEST VARS'!$Q$48*($AZ21)+'LINEST VARS'!$P$48*(12.73)+'LINEST VARS'!$O$48*(8^2)+'LINEST VARS'!$N$48*(8^2)+'LINEST VARS'!$M$48*($BF$8^2)+'LINEST VARS'!$L$48*($AZ21^2)+'LINEST VARS'!$K$48*(12.73^2)+'LINEST VARS'!$J$48*(8*8)+'LINEST VARS'!$I$48*(8*$BF$8)+'LINEST VARS'!$H$48*(8*$AZ21)+'LINEST VARS'!$G$48*(8*12.73)+'LINEST VARS'!$F$48*(8*$BF$8)+'LINEST VARS'!$E$48*(8*$AZ21)+'LINEST VARS'!$D$48*(8*12.73)+'LINEST VARS'!$C$48*($BF$8*$AZ21)+'LINEST VARS'!$B$48*($BF$8*12.73)+'LINEST VARS'!$A$48*($AZ21*12.73)</f>
        <v>369.99999999999989</v>
      </c>
      <c r="BG21" s="46">
        <f>'LINEST VARS'!$U$48+'LINEST VARS'!$T$48*(8)+'LINEST VARS'!$S$48*(8)+'LINEST VARS'!$R$48*($BG$8)+'LINEST VARS'!$Q$48*($AZ21)+'LINEST VARS'!$P$48*(12.73)+'LINEST VARS'!$O$48*(8^2)+'LINEST VARS'!$N$48*(8^2)+'LINEST VARS'!$M$48*($BG$8^2)+'LINEST VARS'!$L$48*($AZ21^2)+'LINEST VARS'!$K$48*(12.73^2)+'LINEST VARS'!$J$48*(8*8)+'LINEST VARS'!$I$48*(8*$BG$8)+'LINEST VARS'!$H$48*(8*$AZ21)+'LINEST VARS'!$G$48*(8*12.73)+'LINEST VARS'!$F$48*(8*$BG$8)+'LINEST VARS'!$E$48*(8*$AZ21)+'LINEST VARS'!$D$48*(8*12.73)+'LINEST VARS'!$C$48*($BG$8*$AZ21)+'LINEST VARS'!$B$48*($BG$8*12.73)+'LINEST VARS'!$A$48*($AZ21*12.73)</f>
        <v>369.99999999999989</v>
      </c>
      <c r="BH21" s="46">
        <f>'LINEST VARS'!$U$48+'LINEST VARS'!$T$48*(8)+'LINEST VARS'!$S$48*(8)+'LINEST VARS'!$R$48*($BH$8)+'LINEST VARS'!$Q$48*($AZ21)+'LINEST VARS'!$P$48*(12.73)+'LINEST VARS'!$O$48*(8^2)+'LINEST VARS'!$N$48*(8^2)+'LINEST VARS'!$M$48*($BH$8^2)+'LINEST VARS'!$L$48*($AZ21^2)+'LINEST VARS'!$K$48*(12.73^2)+'LINEST VARS'!$J$48*(8*8)+'LINEST VARS'!$I$48*(8*$BH$8)+'LINEST VARS'!$H$48*(8*$AZ21)+'LINEST VARS'!$G$48*(8*12.73)+'LINEST VARS'!$F$48*(8*$BH$8)+'LINEST VARS'!$E$48*(8*$AZ21)+'LINEST VARS'!$D$48*(8*12.73)+'LINEST VARS'!$C$48*($BH$8*$AZ21)+'LINEST VARS'!$B$48*($BH$8*12.73)+'LINEST VARS'!$A$48*($AZ21*12.73)</f>
        <v>369.99999999999983</v>
      </c>
      <c r="BI21" s="46">
        <f>'LINEST VARS'!$U$48+'LINEST VARS'!$T$48*(8)+'LINEST VARS'!$S$48*(8)+'LINEST VARS'!$R$48*($BI$8)+'LINEST VARS'!$Q$48*($AZ21)+'LINEST VARS'!$P$48*(12.73)+'LINEST VARS'!$O$48*(8^2)+'LINEST VARS'!$N$48*(8^2)+'LINEST VARS'!$M$48*($BI$8^2)+'LINEST VARS'!$L$48*($AZ21^2)+'LINEST VARS'!$K$48*(12.73^2)+'LINEST VARS'!$J$48*(8*8)+'LINEST VARS'!$I$48*(8*$BI$8)+'LINEST VARS'!$H$48*(8*$AZ21)+'LINEST VARS'!$G$48*(8*12.73)+'LINEST VARS'!$F$48*(8*$BI$8)+'LINEST VARS'!$E$48*(8*$AZ21)+'LINEST VARS'!$D$48*(8*12.73)+'LINEST VARS'!$C$48*($BI$8*$AZ21)+'LINEST VARS'!$B$48*($BI$8*12.73)+'LINEST VARS'!$A$48*($AZ21*12.73)</f>
        <v>369.99999999999983</v>
      </c>
      <c r="BJ21" s="46">
        <f>'LINEST VARS'!$U$48+'LINEST VARS'!$T$48*(8)+'LINEST VARS'!$S$48*(8)+'LINEST VARS'!$R$48*($BJ$8)+'LINEST VARS'!$Q$48*($AZ21)+'LINEST VARS'!$P$48*(12.73)+'LINEST VARS'!$O$48*(8^2)+'LINEST VARS'!$N$48*(8^2)+'LINEST VARS'!$M$48*($BJ$8^2)+'LINEST VARS'!$L$48*($AZ21^2)+'LINEST VARS'!$K$48*(12.73^2)+'LINEST VARS'!$J$48*(8*8)+'LINEST VARS'!$I$48*(8*$BJ$8)+'LINEST VARS'!$H$48*(8*$AZ21)+'LINEST VARS'!$G$48*(8*12.73)+'LINEST VARS'!$F$48*(8*$BJ$8)+'LINEST VARS'!$E$48*(8*$AZ21)+'LINEST VARS'!$D$48*(8*12.73)+'LINEST VARS'!$C$48*($BJ$8*$AZ21)+'LINEST VARS'!$B$48*($BJ$8*12.73)+'LINEST VARS'!$A$48*($AZ21*12.73)</f>
        <v>369.99999999999983</v>
      </c>
      <c r="BK21" s="46">
        <f>'LINEST VARS'!$U$48+'LINEST VARS'!$T$48*(8)+'LINEST VARS'!$S$48*(8)+'LINEST VARS'!$R$48*($BK$8)+'LINEST VARS'!$Q$48*($AZ21)+'LINEST VARS'!$P$48*(12.73)+'LINEST VARS'!$O$48*(8^2)+'LINEST VARS'!$N$48*(8^2)+'LINEST VARS'!$M$48*($BK$8^2)+'LINEST VARS'!$L$48*($AZ21^2)+'LINEST VARS'!$K$48*(12.73^2)+'LINEST VARS'!$J$48*(8*8)+'LINEST VARS'!$I$48*(8*$BK$8)+'LINEST VARS'!$H$48*(8*$AZ21)+'LINEST VARS'!$G$48*(8*12.73)+'LINEST VARS'!$F$48*(8*$BK$8)+'LINEST VARS'!$E$48*(8*$AZ21)+'LINEST VARS'!$D$48*(8*12.73)+'LINEST VARS'!$C$48*($BK$8*$AZ21)+'LINEST VARS'!$B$48*($BK$8*12.73)+'LINEST VARS'!$A$48*($AZ21*12.73)</f>
        <v>369.99999999999983</v>
      </c>
      <c r="BL21" s="46">
        <f>'LINEST VARS'!$U$48+'LINEST VARS'!$T$48*(8)+'LINEST VARS'!$S$48*(8)+'LINEST VARS'!$R$48*($BL$8)+'LINEST VARS'!$Q$48*($AZ21)+'LINEST VARS'!$P$48*(12.73)+'LINEST VARS'!$O$48*(8^2)+'LINEST VARS'!$N$48*(8^2)+'LINEST VARS'!$M$48*($BL$8^2)+'LINEST VARS'!$L$48*($AZ21^2)+'LINEST VARS'!$K$48*(12.73^2)+'LINEST VARS'!$J$48*(8*8)+'LINEST VARS'!$I$48*(8*$BL$8)+'LINEST VARS'!$H$48*(8*$AZ21)+'LINEST VARS'!$G$48*(8*12.73)+'LINEST VARS'!$F$48*(8*$BL$8)+'LINEST VARS'!$E$48*(8*$AZ21)+'LINEST VARS'!$D$48*(8*12.73)+'LINEST VARS'!$C$48*($BL$8*$AZ21)+'LINEST VARS'!$B$48*($BL$8*12.73)+'LINEST VARS'!$A$48*($AZ21*12.73)</f>
        <v>369.99999999999983</v>
      </c>
      <c r="BM21" s="46">
        <f>'LINEST VARS'!$U$48+'LINEST VARS'!$T$48*(8)+'LINEST VARS'!$S$48*(8)+'LINEST VARS'!$R$48*($BM$8)+'LINEST VARS'!$Q$48*($AZ21)+'LINEST VARS'!$P$48*(12.73)+'LINEST VARS'!$O$48*(8^2)+'LINEST VARS'!$N$48*(8^2)+'LINEST VARS'!$M$48*($BM$8^2)+'LINEST VARS'!$L$48*($AZ21^2)+'LINEST VARS'!$K$48*(12.73^2)+'LINEST VARS'!$J$48*(8*8)+'LINEST VARS'!$I$48*(8*$BM$8)+'LINEST VARS'!$H$48*(8*$AZ21)+'LINEST VARS'!$G$48*(8*12.73)+'LINEST VARS'!$F$48*(8*$BM$8)+'LINEST VARS'!$E$48*(8*$AZ21)+'LINEST VARS'!$D$48*(8*12.73)+'LINEST VARS'!$C$48*($BM$8*$AZ21)+'LINEST VARS'!$B$48*($BM$8*12.73)+'LINEST VARS'!$A$48*($AZ21*12.73)</f>
        <v>369.99999999999983</v>
      </c>
      <c r="BN21" s="46">
        <f>'LINEST VARS'!$U$48+'LINEST VARS'!$T$48*(8)+'LINEST VARS'!$S$48*(8)+'LINEST VARS'!$R$48*($BN$8)+'LINEST VARS'!$Q$48*($AZ21)+'LINEST VARS'!$P$48*(12.73)+'LINEST VARS'!$O$48*(8^2)+'LINEST VARS'!$N$48*(8^2)+'LINEST VARS'!$M$48*($BN$8^2)+'LINEST VARS'!$L$48*($AZ21^2)+'LINEST VARS'!$K$48*(12.73^2)+'LINEST VARS'!$J$48*(8*8)+'LINEST VARS'!$I$48*(8*$BN$8)+'LINEST VARS'!$H$48*(8*$AZ21)+'LINEST VARS'!$G$48*(8*12.73)+'LINEST VARS'!$F$48*(8*$BN$8)+'LINEST VARS'!$E$48*(8*$AZ21)+'LINEST VARS'!$D$48*(8*12.73)+'LINEST VARS'!$C$48*($BN$8*$AZ21)+'LINEST VARS'!$B$48*($BN$8*12.73)+'LINEST VARS'!$A$48*($AZ21*12.73)</f>
        <v>369.99999999999989</v>
      </c>
      <c r="BO21" s="46">
        <f>'LINEST VARS'!$U$48+'LINEST VARS'!$T$48*(8)+'LINEST VARS'!$S$48*(8)+'LINEST VARS'!$R$48*($BO$8)+'LINEST VARS'!$Q$48*($AZ21)+'LINEST VARS'!$P$48*(12.73)+'LINEST VARS'!$O$48*(8^2)+'LINEST VARS'!$N$48*(8^2)+'LINEST VARS'!$M$48*($BO$8^2)+'LINEST VARS'!$L$48*($AZ21^2)+'LINEST VARS'!$K$48*(12.73^2)+'LINEST VARS'!$J$48*(8*8)+'LINEST VARS'!$I$48*(8*$BO$8)+'LINEST VARS'!$H$48*(8*$AZ21)+'LINEST VARS'!$G$48*(8*12.73)+'LINEST VARS'!$F$48*(8*$BO$8)+'LINEST VARS'!$E$48*(8*$AZ21)+'LINEST VARS'!$D$48*(8*12.73)+'LINEST VARS'!$C$48*($BO$8*$AZ21)+'LINEST VARS'!$B$48*($BO$8*12.73)+'LINEST VARS'!$A$48*($AZ21*12.73)</f>
        <v>369.99999999999989</v>
      </c>
      <c r="BP21" s="46">
        <f>'LINEST VARS'!$U$48+'LINEST VARS'!$T$48*(8)+'LINEST VARS'!$S$48*(8)+'LINEST VARS'!$R$48*($BP$8)+'LINEST VARS'!$Q$48*($AZ21)+'LINEST VARS'!$P$48*(12.73)+'LINEST VARS'!$O$48*(8^2)+'LINEST VARS'!$N$48*(8^2)+'LINEST VARS'!$M$48*($BP$8^2)+'LINEST VARS'!$L$48*($AZ21^2)+'LINEST VARS'!$K$48*(12.73^2)+'LINEST VARS'!$J$48*(8*8)+'LINEST VARS'!$I$48*(8*$BP$8)+'LINEST VARS'!$H$48*(8*$AZ21)+'LINEST VARS'!$G$48*(8*12.73)+'LINEST VARS'!$F$48*(8*$BP$8)+'LINEST VARS'!$E$48*(8*$AZ21)+'LINEST VARS'!$D$48*(8*12.73)+'LINEST VARS'!$C$48*($BP$8*$AZ21)+'LINEST VARS'!$B$48*($BP$8*12.73)+'LINEST VARS'!$A$48*($AZ21*12.73)</f>
        <v>369.99999999999989</v>
      </c>
      <c r="BQ21" s="46">
        <f>'LINEST VARS'!$U$48+'LINEST VARS'!$T$48*(8)+'LINEST VARS'!$S$48*(8)+'LINEST VARS'!$R$48*($BQ$8)+'LINEST VARS'!$Q$48*($AZ21)+'LINEST VARS'!$P$48*(12.73)+'LINEST VARS'!$O$48*(8^2)+'LINEST VARS'!$N$48*(8^2)+'LINEST VARS'!$M$48*($BQ$8^2)+'LINEST VARS'!$L$48*($AZ21^2)+'LINEST VARS'!$K$48*(12.73^2)+'LINEST VARS'!$J$48*(8*8)+'LINEST VARS'!$I$48*(8*$BQ$8)+'LINEST VARS'!$H$48*(8*$AZ21)+'LINEST VARS'!$G$48*(8*12.73)+'LINEST VARS'!$F$48*(8*$BQ$8)+'LINEST VARS'!$E$48*(8*$AZ21)+'LINEST VARS'!$D$48*(8*12.73)+'LINEST VARS'!$C$48*($BQ$8*$AZ21)+'LINEST VARS'!$B$48*($BQ$8*12.73)+'LINEST VARS'!$A$48*($AZ21*12.73)</f>
        <v>369.99999999999983</v>
      </c>
      <c r="BR21" s="46">
        <f>'LINEST VARS'!$U$48+'LINEST VARS'!$T$48*(8)+'LINEST VARS'!$S$48*(8)+'LINEST VARS'!$R$48*($BR$8)+'LINEST VARS'!$Q$48*($AZ21)+'LINEST VARS'!$P$48*(12.73)+'LINEST VARS'!$O$48*(8^2)+'LINEST VARS'!$N$48*(8^2)+'LINEST VARS'!$M$48*($BR$8^2)+'LINEST VARS'!$L$48*($AZ21^2)+'LINEST VARS'!$K$48*(12.73^2)+'LINEST VARS'!$J$48*(8*8)+'LINEST VARS'!$I$48*(8*$BR$8)+'LINEST VARS'!$H$48*(8*$AZ21)+'LINEST VARS'!$G$48*(8*12.73)+'LINEST VARS'!$F$48*(8*$BR$8)+'LINEST VARS'!$E$48*(8*$AZ21)+'LINEST VARS'!$D$48*(8*12.73)+'LINEST VARS'!$C$48*($BR$8*$AZ21)+'LINEST VARS'!$B$48*($BR$8*12.73)+'LINEST VARS'!$A$48*($AZ21*12.73)</f>
        <v>369.99999999999983</v>
      </c>
      <c r="BS21" s="46">
        <f>'LINEST VARS'!$U$48+'LINEST VARS'!$T$48*(8)+'LINEST VARS'!$S$48*(8)+'LINEST VARS'!$R$48*($BS$8)+'LINEST VARS'!$Q$48*($AZ21)+'LINEST VARS'!$P$48*(12.73)+'LINEST VARS'!$O$48*(8^2)+'LINEST VARS'!$N$48*(8^2)+'LINEST VARS'!$M$48*($BS$8^2)+'LINEST VARS'!$L$48*($AZ21^2)+'LINEST VARS'!$K$48*(12.73^2)+'LINEST VARS'!$J$48*(8*8)+'LINEST VARS'!$I$48*(8*$BS$8)+'LINEST VARS'!$H$48*(8*$AZ21)+'LINEST VARS'!$G$48*(8*12.73)+'LINEST VARS'!$F$48*(8*$BS$8)+'LINEST VARS'!$E$48*(8*$AZ21)+'LINEST VARS'!$D$48*(8*12.73)+'LINEST VARS'!$C$48*($BS$8*$AZ21)+'LINEST VARS'!$B$48*($BS$8*12.73)+'LINEST VARS'!$A$48*($AZ21*12.73)</f>
        <v>369.99999999999983</v>
      </c>
      <c r="BT21" s="46">
        <f>'LINEST VARS'!$U$48+'LINEST VARS'!$T$48*(8)+'LINEST VARS'!$S$48*(8)+'LINEST VARS'!$R$48*($BT$8)+'LINEST VARS'!$Q$48*($AZ21)+'LINEST VARS'!$P$48*(12.73)+'LINEST VARS'!$O$48*(8^2)+'LINEST VARS'!$N$48*(8^2)+'LINEST VARS'!$M$48*($BT$8^2)+'LINEST VARS'!$L$48*($AZ21^2)+'LINEST VARS'!$K$48*(12.73^2)+'LINEST VARS'!$J$48*(8*8)+'LINEST VARS'!$I$48*(8*$BT$8)+'LINEST VARS'!$H$48*(8*$AZ21)+'LINEST VARS'!$G$48*(8*12.73)+'LINEST VARS'!$F$48*(8*$BT$8)+'LINEST VARS'!$E$48*(8*$AZ21)+'LINEST VARS'!$D$48*(8*12.73)+'LINEST VARS'!$C$48*($BT$8*$AZ21)+'LINEST VARS'!$B$48*($BT$8*12.73)+'LINEST VARS'!$A$48*($AZ21*12.73)</f>
        <v>369.99999999999983</v>
      </c>
      <c r="BU21" s="47">
        <f>'LINEST VARS'!$U$48+'LINEST VARS'!$T$48*(8)+'LINEST VARS'!$S$48*(8)+'LINEST VARS'!$R$48*($BU$8)+'LINEST VARS'!$Q$48*($AZ21)+'LINEST VARS'!$P$48*(12.73)+'LINEST VARS'!$O$48*(8^2)+'LINEST VARS'!$N$48*(8^2)+'LINEST VARS'!$M$48*($BU$8^2)+'LINEST VARS'!$L$48*($AZ21^2)+'LINEST VARS'!$K$48*(12.73^2)+'LINEST VARS'!$J$48*(8*8)+'LINEST VARS'!$I$48*(8*$BU$8)+'LINEST VARS'!$H$48*(8*$AZ21)+'LINEST VARS'!$G$48*(8*12.73)+'LINEST VARS'!$F$48*(8*$BU$8)+'LINEST VARS'!$E$48*(8*$AZ21)+'LINEST VARS'!$D$48*(8*12.73)+'LINEST VARS'!$C$48*($BU$8*$AZ21)+'LINEST VARS'!$B$48*($BU$8*12.73)+'LINEST VARS'!$A$48*($AZ21*12.73)</f>
        <v>369.99999999999983</v>
      </c>
      <c r="BX21" s="45">
        <v>0.6</v>
      </c>
      <c r="BY21" s="46">
        <f>'LINEST VARS'!$U$50+'LINEST VARS'!$T$50*(8)+'LINEST VARS'!$S$50*(8)+'LINEST VARS'!$R$50*($BY$8)+'LINEST VARS'!$Q$50*($BX21)+'LINEST VARS'!$P$50*(12.73)+'LINEST VARS'!$O$50*(8^2)+'LINEST VARS'!$N$50*(8^2)+'LINEST VARS'!$M$50*($BY$8^2)+'LINEST VARS'!$L$50*($BX21^2)+'LINEST VARS'!$K$50*(12.73^2)+'LINEST VARS'!$J$50*(8*8)+'LINEST VARS'!$I$50*(8*$BY$8)+'LINEST VARS'!$H$50*(8*$BX21)+'LINEST VARS'!$G$50*(8*12.73)+'LINEST VARS'!$F$50*(8*$BY$8)+'LINEST VARS'!$E$50*(8*$BX21)+'LINEST VARS'!$D$50*(8*12.73)+'LINEST VARS'!$C$50*($BY$8*$BX21)+'LINEST VARS'!$B$50*($BY$8*12.73)+'LINEST VARS'!$A$50*($BX21*12.73)</f>
        <v>331.99999999999989</v>
      </c>
      <c r="BZ21" s="46">
        <f>'LINEST VARS'!$U$50+'LINEST VARS'!$T$50*(8)+'LINEST VARS'!$S$50*(8)+'LINEST VARS'!$R$50*($BZ$8)+'LINEST VARS'!$Q$50*($BX21)+'LINEST VARS'!$P$50*(12.73)+'LINEST VARS'!$O$50*(8^2)+'LINEST VARS'!$N$50*(8^2)+'LINEST VARS'!$M$50*($BZ$8^2)+'LINEST VARS'!$L$50*($BX21^2)+'LINEST VARS'!$K$50*(12.73^2)+'LINEST VARS'!$J$50*(8*8)+'LINEST VARS'!$I$50*(8*$BZ$8)+'LINEST VARS'!$H$50*(8*$BX21)+'LINEST VARS'!$G$50*(8*12.73)+'LINEST VARS'!$F$50*(8*$BZ$8)+'LINEST VARS'!$E$50*(8*$BX21)+'LINEST VARS'!$D$50*(8*12.73)+'LINEST VARS'!$C$50*($BZ$8*$BX21)+'LINEST VARS'!$B$50*($BZ$8*12.73)+'LINEST VARS'!$A$50*($BX21*12.73)</f>
        <v>331.99999999999989</v>
      </c>
      <c r="CA21" s="46">
        <f>'LINEST VARS'!$U$50+'LINEST VARS'!$T$50*(8)+'LINEST VARS'!$S$50*(8)+'LINEST VARS'!$R$50*($CA$8)+'LINEST VARS'!$Q$50*($BX21)+'LINEST VARS'!$P$50*(12.73)+'LINEST VARS'!$O$50*(8^2)+'LINEST VARS'!$N$50*(8^2)+'LINEST VARS'!$M$50*($CA$8^2)+'LINEST VARS'!$L$50*($BX21^2)+'LINEST VARS'!$K$50*(12.73^2)+'LINEST VARS'!$J$50*(8*8)+'LINEST VARS'!$I$50*(8*$CA$8)+'LINEST VARS'!$H$50*(8*$BX21)+'LINEST VARS'!$G$50*(8*12.73)+'LINEST VARS'!$F$50*(8*$CA$8)+'LINEST VARS'!$E$50*(8*$BX21)+'LINEST VARS'!$D$50*(8*12.73)+'LINEST VARS'!$C$50*($CA$8*$BX21)+'LINEST VARS'!$B$50*($CA$8*12.73)+'LINEST VARS'!$A$50*($BX21*12.73)</f>
        <v>331.99999999999989</v>
      </c>
      <c r="CB21" s="46">
        <f>'LINEST VARS'!$U$50+'LINEST VARS'!$T$50*(8)+'LINEST VARS'!$S$50*(8)+'LINEST VARS'!$R$50*($CB$8)+'LINEST VARS'!$Q$50*($BX21)+'LINEST VARS'!$P$50*(12.73)+'LINEST VARS'!$O$50*(8^2)+'LINEST VARS'!$N$50*(8^2)+'LINEST VARS'!$M$50*($CB$8^2)+'LINEST VARS'!$L$50*($BX21^2)+'LINEST VARS'!$K$50*(12.73^2)+'LINEST VARS'!$J$50*(8*8)+'LINEST VARS'!$I$50*(8*$CB$8)+'LINEST VARS'!$H$50*(8*$BX21)+'LINEST VARS'!$G$50*(8*12.73)+'LINEST VARS'!$F$50*(8*$CB$8)+'LINEST VARS'!$E$50*(8*$BX21)+'LINEST VARS'!$D$50*(8*12.73)+'LINEST VARS'!$C$50*($CB$8*$BX21)+'LINEST VARS'!$B$50*($CB$8*12.73)+'LINEST VARS'!$A$50*($BX21*12.73)</f>
        <v>331.99999999999989</v>
      </c>
      <c r="CC21" s="46">
        <f>'LINEST VARS'!$U$50+'LINEST VARS'!$T$50*(8)+'LINEST VARS'!$S$50*(8)+'LINEST VARS'!$R$50*($CC$8)+'LINEST VARS'!$Q$50*($BX21)+'LINEST VARS'!$P$50*(12.73)+'LINEST VARS'!$O$50*(8^2)+'LINEST VARS'!$N$50*(8^2)+'LINEST VARS'!$M$50*($CC$8^2)+'LINEST VARS'!$L$50*($BX21^2)+'LINEST VARS'!$K$50*(12.73^2)+'LINEST VARS'!$J$50*(8*8)+'LINEST VARS'!$I$50*(8*$CC$8)+'LINEST VARS'!$H$50*(8*$BX21)+'LINEST VARS'!$G$50*(8*12.73)+'LINEST VARS'!$F$50*(8*$CC$8)+'LINEST VARS'!$E$50*(8*$BX21)+'LINEST VARS'!$D$50*(8*12.73)+'LINEST VARS'!$C$50*($CC$8*$BX21)+'LINEST VARS'!$B$50*($CC$8*12.73)+'LINEST VARS'!$A$50*($BX21*12.73)</f>
        <v>331.99999999999989</v>
      </c>
      <c r="CD21" s="46">
        <f>'LINEST VARS'!$U$50+'LINEST VARS'!$T$50*(8)+'LINEST VARS'!$S$50*(8)+'LINEST VARS'!$R$50*($CD$8)+'LINEST VARS'!$Q$50*($BX21)+'LINEST VARS'!$P$50*(12.73)+'LINEST VARS'!$O$50*(8^2)+'LINEST VARS'!$N$50*(8^2)+'LINEST VARS'!$M$50*($CD$8^2)+'LINEST VARS'!$L$50*($BX21^2)+'LINEST VARS'!$K$50*(12.73^2)+'LINEST VARS'!$J$50*(8*8)+'LINEST VARS'!$I$50*(8*$CD$8)+'LINEST VARS'!$H$50*(8*$BX21)+'LINEST VARS'!$G$50*(8*12.73)+'LINEST VARS'!$F$50*(8*$CD$8)+'LINEST VARS'!$E$50*(8*$BX21)+'LINEST VARS'!$D$50*(8*12.73)+'LINEST VARS'!$C$50*($CD$8*$BX21)+'LINEST VARS'!$B$50*($CD$8*12.73)+'LINEST VARS'!$A$50*($BX21*12.73)</f>
        <v>331.99999999999989</v>
      </c>
      <c r="CE21" s="46">
        <f>'LINEST VARS'!$U$50+'LINEST VARS'!$T$50*(8)+'LINEST VARS'!$S$50*(8)+'LINEST VARS'!$R$50*($CE$8)+'LINEST VARS'!$Q$50*($BX21)+'LINEST VARS'!$P$50*(12.73)+'LINEST VARS'!$O$50*(8^2)+'LINEST VARS'!$N$50*(8^2)+'LINEST VARS'!$M$50*($CE$8^2)+'LINEST VARS'!$L$50*($BX21^2)+'LINEST VARS'!$K$50*(12.73^2)+'LINEST VARS'!$J$50*(8*8)+'LINEST VARS'!$I$50*(8*$CE$8)+'LINEST VARS'!$H$50*(8*$BX21)+'LINEST VARS'!$G$50*(8*12.73)+'LINEST VARS'!$F$50*(8*$CE$8)+'LINEST VARS'!$E$50*(8*$BX21)+'LINEST VARS'!$D$50*(8*12.73)+'LINEST VARS'!$C$50*($CE$8*$BX21)+'LINEST VARS'!$B$50*($CE$8*12.73)+'LINEST VARS'!$A$50*($BX21*12.73)</f>
        <v>331.99999999999989</v>
      </c>
      <c r="CF21" s="46">
        <f>'LINEST VARS'!$U$50+'LINEST VARS'!$T$50*(8)+'LINEST VARS'!$S$50*(8)+'LINEST VARS'!$R$50*($CF$8)+'LINEST VARS'!$Q$50*($BX21)+'LINEST VARS'!$P$50*(12.73)+'LINEST VARS'!$O$50*(8^2)+'LINEST VARS'!$N$50*(8^2)+'LINEST VARS'!$M$50*($CF$8^2)+'LINEST VARS'!$L$50*($BX21^2)+'LINEST VARS'!$K$50*(12.73^2)+'LINEST VARS'!$J$50*(8*8)+'LINEST VARS'!$I$50*(8*$CF$8)+'LINEST VARS'!$H$50*(8*$BX21)+'LINEST VARS'!$G$50*(8*12.73)+'LINEST VARS'!$F$50*(8*$CF$8)+'LINEST VARS'!$E$50*(8*$BX21)+'LINEST VARS'!$D$50*(8*12.73)+'LINEST VARS'!$C$50*($CF$8*$BX21)+'LINEST VARS'!$B$50*($CF$8*12.73)+'LINEST VARS'!$A$50*($BX21*12.73)</f>
        <v>331.99999999999989</v>
      </c>
      <c r="CG21" s="46">
        <f>'LINEST VARS'!$U$50+'LINEST VARS'!$T$50*(8)+'LINEST VARS'!$S$50*(8)+'LINEST VARS'!$R$50*($CG$8)+'LINEST VARS'!$Q$50*($BX21)+'LINEST VARS'!$P$50*(12.73)+'LINEST VARS'!$O$50*(8^2)+'LINEST VARS'!$N$50*(8^2)+'LINEST VARS'!$M$50*($CG$8^2)+'LINEST VARS'!$L$50*($BX21^2)+'LINEST VARS'!$K$50*(12.73^2)+'LINEST VARS'!$J$50*(8*8)+'LINEST VARS'!$I$50*(8*$CG$8)+'LINEST VARS'!$H$50*(8*$BX21)+'LINEST VARS'!$G$50*(8*12.73)+'LINEST VARS'!$F$50*(8*$CG$8)+'LINEST VARS'!$E$50*(8*$BX21)+'LINEST VARS'!$D$50*(8*12.73)+'LINEST VARS'!$C$50*($CG$8*$BX21)+'LINEST VARS'!$B$50*($CG$8*12.73)+'LINEST VARS'!$A$50*($BX21*12.73)</f>
        <v>331.99999999999989</v>
      </c>
      <c r="CH21" s="46">
        <f>'LINEST VARS'!$U$50+'LINEST VARS'!$T$50*(8)+'LINEST VARS'!$S$50*(8)+'LINEST VARS'!$R$50*($CH$8)+'LINEST VARS'!$Q$50*($BX21)+'LINEST VARS'!$P$50*(12.73)+'LINEST VARS'!$O$50*(8^2)+'LINEST VARS'!$N$50*(8^2)+'LINEST VARS'!$M$50*($CH$8^2)+'LINEST VARS'!$L$50*($BX21^2)+'LINEST VARS'!$K$50*(12.73^2)+'LINEST VARS'!$J$50*(8*8)+'LINEST VARS'!$I$50*(8*$CH$8)+'LINEST VARS'!$H$50*(8*$BX21)+'LINEST VARS'!$G$50*(8*12.73)+'LINEST VARS'!$F$50*(8*$CH$8)+'LINEST VARS'!$E$50*(8*$BX21)+'LINEST VARS'!$D$50*(8*12.73)+'LINEST VARS'!$C$50*($CH$8*$BX21)+'LINEST VARS'!$B$50*($CH$8*12.73)+'LINEST VARS'!$A$50*($BX21*12.73)</f>
        <v>331.99999999999989</v>
      </c>
      <c r="CI21" s="46">
        <f>'LINEST VARS'!$U$50+'LINEST VARS'!$T$50*(8)+'LINEST VARS'!$S$50*(8)+'LINEST VARS'!$R$50*($CI$8)+'LINEST VARS'!$Q$50*($BX21)+'LINEST VARS'!$P$50*(12.73)+'LINEST VARS'!$O$50*(8^2)+'LINEST VARS'!$N$50*(8^2)+'LINEST VARS'!$M$50*($CI$8^2)+'LINEST VARS'!$L$50*($BX21^2)+'LINEST VARS'!$K$50*(12.73^2)+'LINEST VARS'!$J$50*(8*8)+'LINEST VARS'!$I$50*(8*$CI$8)+'LINEST VARS'!$H$50*(8*$BX21)+'LINEST VARS'!$G$50*(8*12.73)+'LINEST VARS'!$F$50*(8*$CI$8)+'LINEST VARS'!$E$50*(8*$BX21)+'LINEST VARS'!$D$50*(8*12.73)+'LINEST VARS'!$C$50*($CI$8*$BX21)+'LINEST VARS'!$B$50*($CI$8*12.73)+'LINEST VARS'!$A$50*($BX21*12.73)</f>
        <v>331.99999999999989</v>
      </c>
      <c r="CJ21" s="46">
        <f>'LINEST VARS'!$U$50+'LINEST VARS'!$T$50*(8)+'LINEST VARS'!$S$50*(8)+'LINEST VARS'!$R$50*($CJ$8)+'LINEST VARS'!$Q$50*($BX21)+'LINEST VARS'!$P$50*(12.73)+'LINEST VARS'!$O$50*(8^2)+'LINEST VARS'!$N$50*(8^2)+'LINEST VARS'!$M$50*($CJ$8^2)+'LINEST VARS'!$L$50*($BX21^2)+'LINEST VARS'!$K$50*(12.73^2)+'LINEST VARS'!$J$50*(8*8)+'LINEST VARS'!$I$50*(8*$CJ$8)+'LINEST VARS'!$H$50*(8*$BX21)+'LINEST VARS'!$G$50*(8*12.73)+'LINEST VARS'!$F$50*(8*$CJ$8)+'LINEST VARS'!$E$50*(8*$BX21)+'LINEST VARS'!$D$50*(8*12.73)+'LINEST VARS'!$C$50*($CJ$8*$BX21)+'LINEST VARS'!$B$50*($CJ$8*12.73)+'LINEST VARS'!$A$50*($BX21*12.73)</f>
        <v>331.99999999999989</v>
      </c>
      <c r="CK21" s="46">
        <f>'LINEST VARS'!$U$50+'LINEST VARS'!$T$50*(8)+'LINEST VARS'!$S$50*(8)+'LINEST VARS'!$R$50*($CK$8)+'LINEST VARS'!$Q$50*($BX21)+'LINEST VARS'!$P$50*(12.73)+'LINEST VARS'!$O$50*(8^2)+'LINEST VARS'!$N$50*(8^2)+'LINEST VARS'!$M$50*($CK$8^2)+'LINEST VARS'!$L$50*($BX21^2)+'LINEST VARS'!$K$50*(12.73^2)+'LINEST VARS'!$J$50*(8*8)+'LINEST VARS'!$I$50*(8*$CK$8)+'LINEST VARS'!$H$50*(8*$BX21)+'LINEST VARS'!$G$50*(8*12.73)+'LINEST VARS'!$F$50*(8*$CK$8)+'LINEST VARS'!$E$50*(8*$BX21)+'LINEST VARS'!$D$50*(8*12.73)+'LINEST VARS'!$C$50*($CK$8*$BX21)+'LINEST VARS'!$B$50*($CK$8*12.73)+'LINEST VARS'!$A$50*($BX21*12.73)</f>
        <v>331.99999999999989</v>
      </c>
      <c r="CL21" s="46">
        <f>'LINEST VARS'!$U$50+'LINEST VARS'!$T$50*(8)+'LINEST VARS'!$S$50*(8)+'LINEST VARS'!$R$50*($CL$8)+'LINEST VARS'!$Q$50*($BX21)+'LINEST VARS'!$P$50*(12.73)+'LINEST VARS'!$O$50*(8^2)+'LINEST VARS'!$N$50*(8^2)+'LINEST VARS'!$M$50*($CL$8^2)+'LINEST VARS'!$L$50*($BX21^2)+'LINEST VARS'!$K$50*(12.73^2)+'LINEST VARS'!$J$50*(8*8)+'LINEST VARS'!$I$50*(8*$CL$8)+'LINEST VARS'!$H$50*(8*$BX21)+'LINEST VARS'!$G$50*(8*12.73)+'LINEST VARS'!$F$50*(8*$CL$8)+'LINEST VARS'!$E$50*(8*$BX21)+'LINEST VARS'!$D$50*(8*12.73)+'LINEST VARS'!$C$50*($CL$8*$BX21)+'LINEST VARS'!$B$50*($CL$8*12.73)+'LINEST VARS'!$A$50*($BX21*12.73)</f>
        <v>331.99999999999989</v>
      </c>
      <c r="CM21" s="46">
        <f>'LINEST VARS'!$U$50+'LINEST VARS'!$T$50*(8)+'LINEST VARS'!$S$50*(8)+'LINEST VARS'!$R$50*($CM$8)+'LINEST VARS'!$Q$50*($BX21)+'LINEST VARS'!$P$50*(12.73)+'LINEST VARS'!$O$50*(8^2)+'LINEST VARS'!$N$50*(8^2)+'LINEST VARS'!$M$50*($CM$8^2)+'LINEST VARS'!$L$50*($BX21^2)+'LINEST VARS'!$K$50*(12.73^2)+'LINEST VARS'!$J$50*(8*8)+'LINEST VARS'!$I$50*(8*$CM$8)+'LINEST VARS'!$H$50*(8*$BX21)+'LINEST VARS'!$G$50*(8*12.73)+'LINEST VARS'!$F$50*(8*$CM$8)+'LINEST VARS'!$E$50*(8*$BX21)+'LINEST VARS'!$D$50*(8*12.73)+'LINEST VARS'!$C$50*($CM$8*$BX21)+'LINEST VARS'!$B$50*($CM$8*12.73)+'LINEST VARS'!$A$50*($BX21*12.73)</f>
        <v>331.99999999999989</v>
      </c>
      <c r="CN21" s="46">
        <f>'LINEST VARS'!$U$50+'LINEST VARS'!$T$50*(8)+'LINEST VARS'!$S$50*(8)+'LINEST VARS'!$R$50*($CN$8)+'LINEST VARS'!$Q$50*($BX21)+'LINEST VARS'!$P$50*(12.73)+'LINEST VARS'!$O$50*(8^2)+'LINEST VARS'!$N$50*(8^2)+'LINEST VARS'!$M$50*($CN$8^2)+'LINEST VARS'!$L$50*($BX21^2)+'LINEST VARS'!$K$50*(12.73^2)+'LINEST VARS'!$J$50*(8*8)+'LINEST VARS'!$I$50*(8*$CN$8)+'LINEST VARS'!$H$50*(8*$BX21)+'LINEST VARS'!$G$50*(8*12.73)+'LINEST VARS'!$F$50*(8*$CN$8)+'LINEST VARS'!$E$50*(8*$BX21)+'LINEST VARS'!$D$50*(8*12.73)+'LINEST VARS'!$C$50*($CN$8*$BX21)+'LINEST VARS'!$B$50*($CN$8*12.73)+'LINEST VARS'!$A$50*($BX21*12.73)</f>
        <v>331.99999999999989</v>
      </c>
      <c r="CO21" s="46">
        <f>'LINEST VARS'!$U$50+'LINEST VARS'!$T$50*(8)+'LINEST VARS'!$S$50*(8)+'LINEST VARS'!$R$50*($CO$8)+'LINEST VARS'!$Q$50*($BX21)+'LINEST VARS'!$P$50*(12.73)+'LINEST VARS'!$O$50*(8^2)+'LINEST VARS'!$N$50*(8^2)+'LINEST VARS'!$M$50*($CO$8^2)+'LINEST VARS'!$L$50*($BX21^2)+'LINEST VARS'!$K$50*(12.73^2)+'LINEST VARS'!$J$50*(8*8)+'LINEST VARS'!$I$50*(8*$CO$8)+'LINEST VARS'!$H$50*(8*$BX21)+'LINEST VARS'!$G$50*(8*12.73)+'LINEST VARS'!$F$50*(8*$CO$8)+'LINEST VARS'!$E$50*(8*$BX21)+'LINEST VARS'!$D$50*(8*12.73)+'LINEST VARS'!$C$50*($CO$8*$BX21)+'LINEST VARS'!$B$50*($CO$8*12.73)+'LINEST VARS'!$A$50*($BX21*12.73)</f>
        <v>331.99999999999989</v>
      </c>
      <c r="CP21" s="46">
        <f>'LINEST VARS'!$U$50+'LINEST VARS'!$T$50*(8)+'LINEST VARS'!$S$50*(8)+'LINEST VARS'!$R$50*($CP$8)+'LINEST VARS'!$Q$50*($BX21)+'LINEST VARS'!$P$50*(12.73)+'LINEST VARS'!$O$50*(8^2)+'LINEST VARS'!$N$50*(8^2)+'LINEST VARS'!$M$50*($CP$8^2)+'LINEST VARS'!$L$50*($BX21^2)+'LINEST VARS'!$K$50*(12.73^2)+'LINEST VARS'!$J$50*(8*8)+'LINEST VARS'!$I$50*(8*$CP$8)+'LINEST VARS'!$H$50*(8*$BX21)+'LINEST VARS'!$G$50*(8*12.73)+'LINEST VARS'!$F$50*(8*$CP$8)+'LINEST VARS'!$E$50*(8*$BX21)+'LINEST VARS'!$D$50*(8*12.73)+'LINEST VARS'!$C$50*($CP$8*$BX21)+'LINEST VARS'!$B$50*($CP$8*12.73)+'LINEST VARS'!$A$50*($BX21*12.73)</f>
        <v>331.99999999999989</v>
      </c>
      <c r="CQ21" s="46">
        <f>'LINEST VARS'!$U$50+'LINEST VARS'!$T$50*(8)+'LINEST VARS'!$S$50*(8)+'LINEST VARS'!$R$50*($CQ$8)+'LINEST VARS'!$Q$50*($BX21)+'LINEST VARS'!$P$50*(12.73)+'LINEST VARS'!$O$50*(8^2)+'LINEST VARS'!$N$50*(8^2)+'LINEST VARS'!$M$50*($CQ$8^2)+'LINEST VARS'!$L$50*($BX21^2)+'LINEST VARS'!$K$50*(12.73^2)+'LINEST VARS'!$J$50*(8*8)+'LINEST VARS'!$I$50*(8*$CQ$8)+'LINEST VARS'!$H$50*(8*$BX21)+'LINEST VARS'!$G$50*(8*12.73)+'LINEST VARS'!$F$50*(8*$CQ$8)+'LINEST VARS'!$E$50*(8*$BX21)+'LINEST VARS'!$D$50*(8*12.73)+'LINEST VARS'!$C$50*($CQ$8*$BX21)+'LINEST VARS'!$B$50*($CQ$8*12.73)+'LINEST VARS'!$A$50*($BX21*12.73)</f>
        <v>331.99999999999989</v>
      </c>
      <c r="CR21" s="46">
        <f>'LINEST VARS'!$U$50+'LINEST VARS'!$T$50*(8)+'LINEST VARS'!$S$50*(8)+'LINEST VARS'!$R$50*($CR$8)+'LINEST VARS'!$Q$50*($BX21)+'LINEST VARS'!$P$50*(12.73)+'LINEST VARS'!$O$50*(8^2)+'LINEST VARS'!$N$50*(8^2)+'LINEST VARS'!$M$50*($CR$8^2)+'LINEST VARS'!$L$50*($BX21^2)+'LINEST VARS'!$K$50*(12.73^2)+'LINEST VARS'!$J$50*(8*8)+'LINEST VARS'!$I$50*(8*$CR$8)+'LINEST VARS'!$H$50*(8*$BX21)+'LINEST VARS'!$G$50*(8*12.73)+'LINEST VARS'!$F$50*(8*$CR$8)+'LINEST VARS'!$E$50*(8*$BX21)+'LINEST VARS'!$D$50*(8*12.73)+'LINEST VARS'!$C$50*($CR$8*$BX21)+'LINEST VARS'!$B$50*($CR$8*12.73)+'LINEST VARS'!$A$50*($BX21*12.73)</f>
        <v>331.99999999999989</v>
      </c>
      <c r="CS21" s="47">
        <f>'LINEST VARS'!$U$50+'LINEST VARS'!$T$50*(8)+'LINEST VARS'!$S$50*(8)+'LINEST VARS'!$R$50*($CS$8)+'LINEST VARS'!$Q$50*($BX21)+'LINEST VARS'!$P$50*(12.73)+'LINEST VARS'!$O$50*(8^2)+'LINEST VARS'!$N$50*(8^2)+'LINEST VARS'!$M$50*($CS$8^2)+'LINEST VARS'!$L$50*($BX21^2)+'LINEST VARS'!$K$50*(12.73^2)+'LINEST VARS'!$J$50*(8*8)+'LINEST VARS'!$I$50*(8*$CS$8)+'LINEST VARS'!$H$50*(8*$BX21)+'LINEST VARS'!$G$50*(8*12.73)+'LINEST VARS'!$F$50*(8*$CS$8)+'LINEST VARS'!$E$50*(8*$BX21)+'LINEST VARS'!$D$50*(8*12.73)+'LINEST VARS'!$C$50*($CS$8*$BX21)+'LINEST VARS'!$B$50*($CS$8*12.73)+'LINEST VARS'!$A$50*($BX21*12.73)</f>
        <v>331.99999999999989</v>
      </c>
      <c r="CX21" s="45">
        <v>15.593999999999999</v>
      </c>
      <c r="CY21" s="46">
        <f>'LINEST VARS'!$U$48+'LINEST VARS'!$T$48*(8)+'LINEST VARS'!$S$48*(8)+'LINEST VARS'!$R$48*($CY$8)+'LINEST VARS'!$Q$48*(0.5)+'LINEST VARS'!$P$48*($CX21)+'LINEST VARS'!$O$48*(8^2)+'LINEST VARS'!$N$48*(8^2)+'LINEST VARS'!$M$48*($CY$8^2)+'LINEST VARS'!$L$48*(0.5^2)+'LINEST VARS'!$K$48*($CX21^2)+'LINEST VARS'!$J$48*(8*8)+'LINEST VARS'!$I$48*(8*$CY$8)+'LINEST VARS'!$H$48*(8*0.5)+'LINEST VARS'!$G$48*(8*$CX21)+'LINEST VARS'!$F$48*(8*$CY$8)+'LINEST VARS'!$E$48*(8*0.5)+'LINEST VARS'!$D$48*(8*$CX21)+'LINEST VARS'!$C$48*($CY$8*0.5)+'LINEST VARS'!$B$48*($CY$8*$CX21)+'LINEST VARS'!$A$48*(0.5*$CX21)</f>
        <v>369.99999999999983</v>
      </c>
      <c r="CZ21" s="46">
        <f>'LINEST VARS'!$U$48+'LINEST VARS'!$T$48*(8)+'LINEST VARS'!$S$48*(8)+'LINEST VARS'!$R$48*($CZ$8)+'LINEST VARS'!$Q$48*(0.5)+'LINEST VARS'!$P$48*($CX21)+'LINEST VARS'!$O$48*(8^2)+'LINEST VARS'!$N$48*(8^2)+'LINEST VARS'!$M$48*($CZ$8^2)+'LINEST VARS'!$L$48*(0.5^2)+'LINEST VARS'!$K$48*($CX21^2)+'LINEST VARS'!$J$48*(8*8)+'LINEST VARS'!$I$48*(8*$CZ$8)+'LINEST VARS'!$H$48*(8*0.5)+'LINEST VARS'!$G$48*(8*$CX21)+'LINEST VARS'!$F$48*(8*$CZ$8)+'LINEST VARS'!$E$48*(8*0.5)+'LINEST VARS'!$D$48*(8*$CX21)+'LINEST VARS'!$C$48*($CZ$8*0.5)+'LINEST VARS'!$B$48*($CZ$8*$CX21)+'LINEST VARS'!$A$48*(0.5*$CX21)</f>
        <v>369.99999999999983</v>
      </c>
      <c r="DA21" s="46">
        <f>'LINEST VARS'!$U$48+'LINEST VARS'!$T$48*(8)+'LINEST VARS'!$S$48*(8)+'LINEST VARS'!$R$48*($DA$8)+'LINEST VARS'!$Q$48*(0.5)+'LINEST VARS'!$P$48*($CX21)+'LINEST VARS'!$O$48*(8^2)+'LINEST VARS'!$N$48*(8^2)+'LINEST VARS'!$M$48*($DA$8^2)+'LINEST VARS'!$L$48*(0.5^2)+'LINEST VARS'!$K$48*($CX21^2)+'LINEST VARS'!$J$48*(8*8)+'LINEST VARS'!$I$48*(8*$DA$8)+'LINEST VARS'!$H$48*(8*0.5)+'LINEST VARS'!$G$48*(8*$CX21)+'LINEST VARS'!$F$48*(8*$DA$8)+'LINEST VARS'!$E$48*(8*0.5)+'LINEST VARS'!$D$48*(8*$CX21)+'LINEST VARS'!$C$48*($DA$8*0.5)+'LINEST VARS'!$B$48*($DA$8*$CX21)+'LINEST VARS'!$A$48*(0.5*$CX21)</f>
        <v>369.99999999999983</v>
      </c>
      <c r="DB21" s="46">
        <f>'LINEST VARS'!$U$48+'LINEST VARS'!$T$48*(8)+'LINEST VARS'!$S$48*(8)+'LINEST VARS'!$R$48*($DB$8)+'LINEST VARS'!$Q$48*(0.5)+'LINEST VARS'!$P$48*($CX21)+'LINEST VARS'!$O$48*(8^2)+'LINEST VARS'!$N$48*(8^2)+'LINEST VARS'!$M$48*($DB$8^2)+'LINEST VARS'!$L$48*(0.5^2)+'LINEST VARS'!$K$48*($CX21^2)+'LINEST VARS'!$J$48*(8*8)+'LINEST VARS'!$I$48*(8*$DB$8)+'LINEST VARS'!$H$48*(8*0.5)+'LINEST VARS'!$G$48*(8*$CX21)+'LINEST VARS'!$F$48*(8*$DB$8)+'LINEST VARS'!$E$48*(8*0.5)+'LINEST VARS'!$D$48*(8*$CX21)+'LINEST VARS'!$C$48*($DB$8*0.5)+'LINEST VARS'!$B$48*($DB$8*$CX21)+'LINEST VARS'!$A$48*(0.5*$CX21)</f>
        <v>369.99999999999983</v>
      </c>
      <c r="DC21" s="46">
        <f>'LINEST VARS'!$U$48+'LINEST VARS'!$T$48*(8)+'LINEST VARS'!$S$48*(8)+'LINEST VARS'!$R$48*($DC$8)+'LINEST VARS'!$Q$48*(0.5)+'LINEST VARS'!$P$48*($CX21)+'LINEST VARS'!$O$48*(8^2)+'LINEST VARS'!$N$48*(8^2)+'LINEST VARS'!$M$48*($DC$8^2)+'LINEST VARS'!$L$48*(0.5^2)+'LINEST VARS'!$K$48*($CX21^2)+'LINEST VARS'!$J$48*(8*8)+'LINEST VARS'!$I$48*(8*$DC$8)+'LINEST VARS'!$H$48*(8*0.5)+'LINEST VARS'!$G$48*(8*$CX21)+'LINEST VARS'!$F$48*(8*$DC$8)+'LINEST VARS'!$E$48*(8*0.5)+'LINEST VARS'!$D$48*(8*$CX21)+'LINEST VARS'!$C$48*($DC$8*0.5)+'LINEST VARS'!$B$48*($DC$8*$CX21)+'LINEST VARS'!$A$48*(0.5*$CX21)</f>
        <v>369.99999999999983</v>
      </c>
      <c r="DD21" s="46">
        <f>'LINEST VARS'!$U$48+'LINEST VARS'!$T$48*(8)+'LINEST VARS'!$S$48*(8)+'LINEST VARS'!$R$48*($DD$8)+'LINEST VARS'!$Q$48*(0.5)+'LINEST VARS'!$P$48*($CX21)+'LINEST VARS'!$O$48*(8^2)+'LINEST VARS'!$N$48*(8^2)+'LINEST VARS'!$M$48*($DD$8^2)+'LINEST VARS'!$L$48*(0.5^2)+'LINEST VARS'!$K$48*($CX21^2)+'LINEST VARS'!$J$48*(8*8)+'LINEST VARS'!$I$48*(8*$DD$8)+'LINEST VARS'!$H$48*(8*0.5)+'LINEST VARS'!$G$48*(8*$CX21)+'LINEST VARS'!$F$48*(8*$DD$8)+'LINEST VARS'!$E$48*(8*0.5)+'LINEST VARS'!$D$48*(8*$CX21)+'LINEST VARS'!$C$48*($DD$8*0.5)+'LINEST VARS'!$B$48*($DD$8*$CX21)+'LINEST VARS'!$A$48*(0.5*$CX21)</f>
        <v>369.99999999999983</v>
      </c>
      <c r="DE21" s="46">
        <f>'LINEST VARS'!$U$48+'LINEST VARS'!$T$48*(8)+'LINEST VARS'!$S$48*(8)+'LINEST VARS'!$R$48*($DE$8)+'LINEST VARS'!$Q$48*(0.5)+'LINEST VARS'!$P$48*($CX21)+'LINEST VARS'!$O$48*(8^2)+'LINEST VARS'!$N$48*(8^2)+'LINEST VARS'!$M$48*($DE$8^2)+'LINEST VARS'!$L$48*(0.5^2)+'LINEST VARS'!$K$48*($CX21^2)+'LINEST VARS'!$J$48*(8*8)+'LINEST VARS'!$I$48*(8*$DE$8)+'LINEST VARS'!$H$48*(8*0.5)+'LINEST VARS'!$G$48*(8*$CX21)+'LINEST VARS'!$F$48*(8*$DE$8)+'LINEST VARS'!$E$48*(8*0.5)+'LINEST VARS'!$D$48*(8*$CX21)+'LINEST VARS'!$C$48*($DE$8*0.5)+'LINEST VARS'!$B$48*($DE$8*$CX21)+'LINEST VARS'!$A$48*(0.5*$CX21)</f>
        <v>369.99999999999983</v>
      </c>
      <c r="DF21" s="46">
        <f>'LINEST VARS'!$U$48+'LINEST VARS'!$T$48*(8)+'LINEST VARS'!$S$48*(8)+'LINEST VARS'!$R$48*($DF$8)+'LINEST VARS'!$Q$48*(0.5)+'LINEST VARS'!$P$48*($CX21)+'LINEST VARS'!$O$48*(8^2)+'LINEST VARS'!$N$48*(8^2)+'LINEST VARS'!$M$48*($DF$8^2)+'LINEST VARS'!$L$48*(0.5^2)+'LINEST VARS'!$K$48*($CX21^2)+'LINEST VARS'!$J$48*(8*8)+'LINEST VARS'!$I$48*(8*$DF$8)+'LINEST VARS'!$H$48*(8*0.5)+'LINEST VARS'!$G$48*(8*$CX21)+'LINEST VARS'!$F$48*(8*$DF$8)+'LINEST VARS'!$E$48*(8*0.5)+'LINEST VARS'!$D$48*(8*$CX21)+'LINEST VARS'!$C$48*($DF$8*0.5)+'LINEST VARS'!$B$48*($DF$8*$CX21)+'LINEST VARS'!$A$48*(0.5*$CX21)</f>
        <v>369.99999999999983</v>
      </c>
      <c r="DG21" s="46">
        <f>'LINEST VARS'!$U$48+'LINEST VARS'!$T$48*(8)+'LINEST VARS'!$S$48*(8)+'LINEST VARS'!$R$48*($DG$8)+'LINEST VARS'!$Q$48*(0.5)+'LINEST VARS'!$P$48*($CX21)+'LINEST VARS'!$O$48*(8^2)+'LINEST VARS'!$N$48*(8^2)+'LINEST VARS'!$M$48*($DG$8^2)+'LINEST VARS'!$L$48*(0.5^2)+'LINEST VARS'!$K$48*($CX21^2)+'LINEST VARS'!$J$48*(8*8)+'LINEST VARS'!$I$48*(8*$DG$8)+'LINEST VARS'!$H$48*(8*0.5)+'LINEST VARS'!$G$48*(8*$CX21)+'LINEST VARS'!$F$48*(8*$DG$8)+'LINEST VARS'!$E$48*(8*0.5)+'LINEST VARS'!$D$48*(8*$CX21)+'LINEST VARS'!$C$48*($DG$8*0.5)+'LINEST VARS'!$B$48*($DG$8*$CX21)+'LINEST VARS'!$A$48*(0.5*$CX21)</f>
        <v>369.99999999999983</v>
      </c>
      <c r="DH21" s="46">
        <f>'LINEST VARS'!$U$48+'LINEST VARS'!$T$48*(8)+'LINEST VARS'!$S$48*(8)+'LINEST VARS'!$R$48*($DH$8)+'LINEST VARS'!$Q$48*(0.5)+'LINEST VARS'!$P$48*($CX21)+'LINEST VARS'!$O$48*(8^2)+'LINEST VARS'!$N$48*(8^2)+'LINEST VARS'!$M$48*($DH$8^2)+'LINEST VARS'!$L$48*(0.5^2)+'LINEST VARS'!$K$48*($CX21^2)+'LINEST VARS'!$J$48*(8*8)+'LINEST VARS'!$I$48*(8*$DH$8)+'LINEST VARS'!$H$48*(8*0.5)+'LINEST VARS'!$G$48*(8*$CX21)+'LINEST VARS'!$F$48*(8*$DH$8)+'LINEST VARS'!$E$48*(8*0.5)+'LINEST VARS'!$D$48*(8*$CX21)+'LINEST VARS'!$C$48*($DH$8*0.5)+'LINEST VARS'!$B$48*($DH$8*$CX21)+'LINEST VARS'!$A$48*(0.5*$CX21)</f>
        <v>369.99999999999983</v>
      </c>
      <c r="DI21" s="46">
        <f>'LINEST VARS'!$U$48+'LINEST VARS'!$T$48*(8)+'LINEST VARS'!$S$48*(8)+'LINEST VARS'!$R$48*($DI$8)+'LINEST VARS'!$Q$48*(0.5)+'LINEST VARS'!$P$48*($CX21)+'LINEST VARS'!$O$48*(8^2)+'LINEST VARS'!$N$48*(8^2)+'LINEST VARS'!$M$48*($DI$8^2)+'LINEST VARS'!$L$48*(0.5^2)+'LINEST VARS'!$K$48*($CX21^2)+'LINEST VARS'!$J$48*(8*8)+'LINEST VARS'!$I$48*(8*$DI$8)+'LINEST VARS'!$H$48*(8*0.5)+'LINEST VARS'!$G$48*(8*$CX21)+'LINEST VARS'!$F$48*(8*$DI$8)+'LINEST VARS'!$E$48*(8*0.5)+'LINEST VARS'!$D$48*(8*$CX21)+'LINEST VARS'!$C$48*($DI$8*0.5)+'LINEST VARS'!$B$48*($DI$8*$CX21)+'LINEST VARS'!$A$48*(0.5*$CX21)</f>
        <v>369.99999999999983</v>
      </c>
      <c r="DJ21" s="46">
        <f>'LINEST VARS'!$U$48+'LINEST VARS'!$T$48*(8)+'LINEST VARS'!$S$48*(8)+'LINEST VARS'!$R$48*($DJ$8)+'LINEST VARS'!$Q$48*(0.5)+'LINEST VARS'!$P$48*($CX21)+'LINEST VARS'!$O$48*(8^2)+'LINEST VARS'!$N$48*(8^2)+'LINEST VARS'!$M$48*($DJ$8^2)+'LINEST VARS'!$L$48*(0.5^2)+'LINEST VARS'!$K$48*($CX21^2)+'LINEST VARS'!$J$48*(8*8)+'LINEST VARS'!$I$48*(8*$DJ$8)+'LINEST VARS'!$H$48*(8*0.5)+'LINEST VARS'!$G$48*(8*$CX21)+'LINEST VARS'!$F$48*(8*$DJ$8)+'LINEST VARS'!$E$48*(8*0.5)+'LINEST VARS'!$D$48*(8*$CX21)+'LINEST VARS'!$C$48*($DJ$8*0.5)+'LINEST VARS'!$B$48*($DJ$8*$CX21)+'LINEST VARS'!$A$48*(0.5*$CX21)</f>
        <v>369.99999999999983</v>
      </c>
      <c r="DK21" s="46">
        <f>'LINEST VARS'!$U$48+'LINEST VARS'!$T$48*(8)+'LINEST VARS'!$S$48*(8)+'LINEST VARS'!$R$48*($DK$8)+'LINEST VARS'!$Q$48*(0.5)+'LINEST VARS'!$P$48*($CX21)+'LINEST VARS'!$O$48*(8^2)+'LINEST VARS'!$N$48*(8^2)+'LINEST VARS'!$M$48*($DK$8^2)+'LINEST VARS'!$L$48*(0.5^2)+'LINEST VARS'!$K$48*($CX21^2)+'LINEST VARS'!$J$48*(8*8)+'LINEST VARS'!$I$48*(8*$DK$8)+'LINEST VARS'!$H$48*(8*0.5)+'LINEST VARS'!$G$48*(8*$CX21)+'LINEST VARS'!$F$48*(8*$DK$8)+'LINEST VARS'!$E$48*(8*0.5)+'LINEST VARS'!$D$48*(8*$CX21)+'LINEST VARS'!$C$48*($DK$8*0.5)+'LINEST VARS'!$B$48*($DK$8*$CX21)+'LINEST VARS'!$A$48*(0.5*$CX21)</f>
        <v>369.99999999999983</v>
      </c>
      <c r="DL21" s="46">
        <f>'LINEST VARS'!$U$48+'LINEST VARS'!$T$48*(8)+'LINEST VARS'!$S$48*(8)+'LINEST VARS'!$R$48*($DL$8)+'LINEST VARS'!$Q$48*(0.5)+'LINEST VARS'!$P$48*($CX21)+'LINEST VARS'!$O$48*(8^2)+'LINEST VARS'!$N$48*(8^2)+'LINEST VARS'!$M$48*($DL$8^2)+'LINEST VARS'!$L$48*(0.5^2)+'LINEST VARS'!$K$48*($CX21^2)+'LINEST VARS'!$J$48*(8*8)+'LINEST VARS'!$I$48*(8*$DL$8)+'LINEST VARS'!$H$48*(8*0.5)+'LINEST VARS'!$G$48*(8*$CX21)+'LINEST VARS'!$F$48*(8*$DL$8)+'LINEST VARS'!$E$48*(8*0.5)+'LINEST VARS'!$D$48*(8*$CX21)+'LINEST VARS'!$C$48*($DL$8*0.5)+'LINEST VARS'!$B$48*($DL$8*$CX21)+'LINEST VARS'!$A$48*(0.5*$CX21)</f>
        <v>369.99999999999989</v>
      </c>
      <c r="DM21" s="46">
        <f>'LINEST VARS'!$U$48+'LINEST VARS'!$T$48*(8)+'LINEST VARS'!$S$48*(8)+'LINEST VARS'!$R$48*($DM$8)+'LINEST VARS'!$Q$48*(0.5)+'LINEST VARS'!$P$48*($CX21)+'LINEST VARS'!$O$48*(8^2)+'LINEST VARS'!$N$48*(8^2)+'LINEST VARS'!$M$48*($DM$8^2)+'LINEST VARS'!$L$48*(0.5^2)+'LINEST VARS'!$K$48*($CX21^2)+'LINEST VARS'!$J$48*(8*8)+'LINEST VARS'!$I$48*(8*$DM$8)+'LINEST VARS'!$H$48*(8*0.5)+'LINEST VARS'!$G$48*(8*$CX21)+'LINEST VARS'!$F$48*(8*$DM$8)+'LINEST VARS'!$E$48*(8*0.5)+'LINEST VARS'!$D$48*(8*$CX21)+'LINEST VARS'!$C$48*($DM$8*0.5)+'LINEST VARS'!$B$48*($DM$8*$CX21)+'LINEST VARS'!$A$48*(0.5*$CX21)</f>
        <v>369.99999999999989</v>
      </c>
      <c r="DN21" s="46">
        <f>'LINEST VARS'!$U$48+'LINEST VARS'!$T$48*(8)+'LINEST VARS'!$S$48*(8)+'LINEST VARS'!$R$48*($DN$8)+'LINEST VARS'!$Q$48*(0.5)+'LINEST VARS'!$P$48*($CX21)+'LINEST VARS'!$O$48*(8^2)+'LINEST VARS'!$N$48*(8^2)+'LINEST VARS'!$M$48*($DN$8^2)+'LINEST VARS'!$L$48*(0.5^2)+'LINEST VARS'!$K$48*($CX21^2)+'LINEST VARS'!$J$48*(8*8)+'LINEST VARS'!$I$48*(8*$DN$8)+'LINEST VARS'!$H$48*(8*0.5)+'LINEST VARS'!$G$48*(8*$CX21)+'LINEST VARS'!$F$48*(8*$DN$8)+'LINEST VARS'!$E$48*(8*0.5)+'LINEST VARS'!$D$48*(8*$CX21)+'LINEST VARS'!$C$48*($DN$8*0.5)+'LINEST VARS'!$B$48*($DN$8*$CX21)+'LINEST VARS'!$A$48*(0.5*$CX21)</f>
        <v>369.99999999999989</v>
      </c>
      <c r="DO21" s="46">
        <f>'LINEST VARS'!$U$48+'LINEST VARS'!$T$48*(8)+'LINEST VARS'!$S$48*(8)+'LINEST VARS'!$R$48*($DO$8)+'LINEST VARS'!$Q$48*(0.5)+'LINEST VARS'!$P$48*($CX21)+'LINEST VARS'!$O$48*(8^2)+'LINEST VARS'!$N$48*(8^2)+'LINEST VARS'!$M$48*($DO$8^2)+'LINEST VARS'!$L$48*(0.5^2)+'LINEST VARS'!$K$48*($CX21^2)+'LINEST VARS'!$J$48*(8*8)+'LINEST VARS'!$I$48*(8*$DO$8)+'LINEST VARS'!$H$48*(8*0.5)+'LINEST VARS'!$G$48*(8*$CX21)+'LINEST VARS'!$F$48*(8*$DO$8)+'LINEST VARS'!$E$48*(8*0.5)+'LINEST VARS'!$D$48*(8*$CX21)+'LINEST VARS'!$C$48*($DO$8*0.5)+'LINEST VARS'!$B$48*($DO$8*$CX21)+'LINEST VARS'!$A$48*(0.5*$CX21)</f>
        <v>369.99999999999983</v>
      </c>
      <c r="DP21" s="46">
        <f>'LINEST VARS'!$U$48+'LINEST VARS'!$T$48*(8)+'LINEST VARS'!$S$48*(8)+'LINEST VARS'!$R$48*($DP$8)+'LINEST VARS'!$Q$48*(0.5)+'LINEST VARS'!$P$48*($CX21)+'LINEST VARS'!$O$48*(8^2)+'LINEST VARS'!$N$48*(8^2)+'LINEST VARS'!$M$48*($DP$8^2)+'LINEST VARS'!$L$48*(0.5^2)+'LINEST VARS'!$K$48*($CX21^2)+'LINEST VARS'!$J$48*(8*8)+'LINEST VARS'!$I$48*(8*$DP$8)+'LINEST VARS'!$H$48*(8*0.5)+'LINEST VARS'!$G$48*(8*$CX21)+'LINEST VARS'!$F$48*(8*$DP$8)+'LINEST VARS'!$E$48*(8*0.5)+'LINEST VARS'!$D$48*(8*$CX21)+'LINEST VARS'!$C$48*($DP$8*0.5)+'LINEST VARS'!$B$48*($DP$8*$CX21)+'LINEST VARS'!$A$48*(0.5*$CX21)</f>
        <v>369.99999999999983</v>
      </c>
      <c r="DQ21" s="46">
        <f>'LINEST VARS'!$U$48+'LINEST VARS'!$T$48*(8)+'LINEST VARS'!$S$48*(8)+'LINEST VARS'!$R$48*($DQ$8)+'LINEST VARS'!$Q$48*(0.5)+'LINEST VARS'!$P$48*($CX21)+'LINEST VARS'!$O$48*(8^2)+'LINEST VARS'!$N$48*(8^2)+'LINEST VARS'!$M$48*($DQ$8^2)+'LINEST VARS'!$L$48*(0.5^2)+'LINEST VARS'!$K$48*($CX21^2)+'LINEST VARS'!$J$48*(8*8)+'LINEST VARS'!$I$48*(8*$DQ$8)+'LINEST VARS'!$H$48*(8*0.5)+'LINEST VARS'!$G$48*(8*$CX21)+'LINEST VARS'!$F$48*(8*$DQ$8)+'LINEST VARS'!$E$48*(8*0.5)+'LINEST VARS'!$D$48*(8*$CX21)+'LINEST VARS'!$C$48*($DQ$8*0.5)+'LINEST VARS'!$B$48*($DQ$8*$CX21)+'LINEST VARS'!$A$48*(0.5*$CX21)</f>
        <v>369.99999999999983</v>
      </c>
      <c r="DR21" s="46">
        <f>'LINEST VARS'!$U$48+'LINEST VARS'!$T$48*(8)+'LINEST VARS'!$S$48*(8)+'LINEST VARS'!$R$48*($DR$8)+'LINEST VARS'!$Q$48*(0.5)+'LINEST VARS'!$P$48*($CX21)+'LINEST VARS'!$O$48*(8^2)+'LINEST VARS'!$N$48*(8^2)+'LINEST VARS'!$M$48*($DR$8^2)+'LINEST VARS'!$L$48*(0.5^2)+'LINEST VARS'!$K$48*($CX21^2)+'LINEST VARS'!$J$48*(8*8)+'LINEST VARS'!$I$48*(8*$DR$8)+'LINEST VARS'!$H$48*(8*0.5)+'LINEST VARS'!$G$48*(8*$CX21)+'LINEST VARS'!$F$48*(8*$DR$8)+'LINEST VARS'!$E$48*(8*0.5)+'LINEST VARS'!$D$48*(8*$CX21)+'LINEST VARS'!$C$48*($DR$8*0.5)+'LINEST VARS'!$B$48*($DR$8*$CX21)+'LINEST VARS'!$A$48*(0.5*$CX21)</f>
        <v>369.99999999999983</v>
      </c>
      <c r="DS21" s="47">
        <f>'LINEST VARS'!$U$48+'LINEST VARS'!$T$48*(8)+'LINEST VARS'!$S$48*(8)+'LINEST VARS'!$R$48*($DS$8)+'LINEST VARS'!$Q$48*(0.5)+'LINEST VARS'!$P$48*($CX21)+'LINEST VARS'!$O$48*(8^2)+'LINEST VARS'!$N$48*(8^2)+'LINEST VARS'!$M$48*($DS$8^2)+'LINEST VARS'!$L$48*(0.5^2)+'LINEST VARS'!$K$48*($CX21^2)+'LINEST VARS'!$J$48*(8*8)+'LINEST VARS'!$I$48*(8*$DS$8)+'LINEST VARS'!$H$48*(8*0.5)+'LINEST VARS'!$G$48*(8*$CX21)+'LINEST VARS'!$F$48*(8*$DS$8)+'LINEST VARS'!$E$48*(8*0.5)+'LINEST VARS'!$D$48*(8*$CX21)+'LINEST VARS'!$C$48*($DS$8*0.5)+'LINEST VARS'!$B$48*($DS$8*$CX21)+'LINEST VARS'!$A$48*(0.5*$CX21)</f>
        <v>369.99999999999983</v>
      </c>
      <c r="DV21" s="45">
        <v>15.593999999999999</v>
      </c>
      <c r="DW21" s="46">
        <f>'LINEST VARS'!$U$50+'LINEST VARS'!$T$50*(8)+'LINEST VARS'!$S$50*(8)+'LINEST VARS'!$R$50*($DW$8)+'LINEST VARS'!$Q$50*(0.5)+'LINEST VARS'!$P$50*($DV21)+'LINEST VARS'!$O$50*(8^2)+'LINEST VARS'!$N$50*(8^2)+'LINEST VARS'!$M$50*($DW$8^2)+'LINEST VARS'!$L$50*(0.5^2)+'LINEST VARS'!$K$50*($DV21^2)+'LINEST VARS'!$J$50*(8*8)+'LINEST VARS'!$I$50*(8*$DW$8)+'LINEST VARS'!$H$50*(8*0.5)+'LINEST VARS'!$G$50*(8*$DV21)+'LINEST VARS'!$F$50*(8*$DW$8)+'LINEST VARS'!$E$50*(8*0.5)+'LINEST VARS'!$D$50*(8*$DV21)+'LINEST VARS'!$C$50*($DW$8*0.5)+'LINEST VARS'!$B$50*($DW$8*$DV21)+'LINEST VARS'!$A$50*(0.5*$DV21)</f>
        <v>331.99999999999989</v>
      </c>
      <c r="DX21" s="46">
        <f>'LINEST VARS'!$U$50+'LINEST VARS'!$T$50*(8)+'LINEST VARS'!$S$50*(8)+'LINEST VARS'!$R$50*($DX$8)+'LINEST VARS'!$Q$50*(0.5)+'LINEST VARS'!$P$50*($DV21)+'LINEST VARS'!$O$50*(8^2)+'LINEST VARS'!$N$50*(8^2)+'LINEST VARS'!$M$50*($DX$8^2)+'LINEST VARS'!$L$50*(0.5^2)+'LINEST VARS'!$K$50*($DV21^2)+'LINEST VARS'!$J$50*(8*8)+'LINEST VARS'!$I$50*(8*$DX$8)+'LINEST VARS'!$H$50*(8*0.5)+'LINEST VARS'!$G$50*(8*$DV21)+'LINEST VARS'!$F$50*(8*$DX$8)+'LINEST VARS'!$E$50*(8*0.5)+'LINEST VARS'!$D$50*(8*$DV21)+'LINEST VARS'!$C$50*($DX$8*0.5)+'LINEST VARS'!$B$50*($DX$8*$DV21)+'LINEST VARS'!$A$50*(0.5*$DV21)</f>
        <v>331.99999999999989</v>
      </c>
      <c r="DY21" s="46">
        <f>'LINEST VARS'!$U$50+'LINEST VARS'!$T$50*(8)+'LINEST VARS'!$S$50*(8)+'LINEST VARS'!$R$50*($DY$8)+'LINEST VARS'!$Q$50*(0.5)+'LINEST VARS'!$P$50*($DV21)+'LINEST VARS'!$O$50*(8^2)+'LINEST VARS'!$N$50*(8^2)+'LINEST VARS'!$M$50*($DY$8^2)+'LINEST VARS'!$L$50*(0.5^2)+'LINEST VARS'!$K$50*($DV21^2)+'LINEST VARS'!$J$50*(8*8)+'LINEST VARS'!$I$50*(8*$DY$8)+'LINEST VARS'!$H$50*(8*0.5)+'LINEST VARS'!$G$50*(8*$DV21)+'LINEST VARS'!$F$50*(8*$DY$8)+'LINEST VARS'!$E$50*(8*0.5)+'LINEST VARS'!$D$50*(8*$DV21)+'LINEST VARS'!$C$50*($DY$8*0.5)+'LINEST VARS'!$B$50*($DY$8*$DV21)+'LINEST VARS'!$A$50*(0.5*$DV21)</f>
        <v>331.99999999999989</v>
      </c>
      <c r="DZ21" s="46">
        <f>'LINEST VARS'!$U$50+'LINEST VARS'!$T$50*(8)+'LINEST VARS'!$S$50*(8)+'LINEST VARS'!$R$50*($DZ$8)+'LINEST VARS'!$Q$50*(0.5)+'LINEST VARS'!$P$50*($DV21)+'LINEST VARS'!$O$50*(8^2)+'LINEST VARS'!$N$50*(8^2)+'LINEST VARS'!$M$50*($DZ$8^2)+'LINEST VARS'!$L$50*(0.5^2)+'LINEST VARS'!$K$50*($DV21^2)+'LINEST VARS'!$J$50*(8*8)+'LINEST VARS'!$I$50*(8*$DZ$8)+'LINEST VARS'!$H$50*(8*0.5)+'LINEST VARS'!$G$50*(8*$DV21)+'LINEST VARS'!$F$50*(8*$DZ$8)+'LINEST VARS'!$E$50*(8*0.5)+'LINEST VARS'!$D$50*(8*$DV21)+'LINEST VARS'!$C$50*($DZ$8*0.5)+'LINEST VARS'!$B$50*($DZ$8*$DV21)+'LINEST VARS'!$A$50*(0.5*$DV21)</f>
        <v>331.99999999999989</v>
      </c>
      <c r="EA21" s="46">
        <f>'LINEST VARS'!$U$50+'LINEST VARS'!$T$50*(8)+'LINEST VARS'!$S$50*(8)+'LINEST VARS'!$R$50*($EA$8)+'LINEST VARS'!$Q$50*(0.5)+'LINEST VARS'!$P$50*($DV21)+'LINEST VARS'!$O$50*(8^2)+'LINEST VARS'!$N$50*(8^2)+'LINEST VARS'!$M$50*($EA$8^2)+'LINEST VARS'!$L$50*(0.5^2)+'LINEST VARS'!$K$50*($DV21^2)+'LINEST VARS'!$J$50*(8*8)+'LINEST VARS'!$I$50*(8*$EA$8)+'LINEST VARS'!$H$50*(8*0.5)+'LINEST VARS'!$G$50*(8*$DV21)+'LINEST VARS'!$F$50*(8*$EA$8)+'LINEST VARS'!$E$50*(8*0.5)+'LINEST VARS'!$D$50*(8*$DV21)+'LINEST VARS'!$C$50*($EA$8*0.5)+'LINEST VARS'!$B$50*($EA$8*$DV21)+'LINEST VARS'!$A$50*(0.5*$DV21)</f>
        <v>331.99999999999989</v>
      </c>
      <c r="EB21" s="46">
        <f>'LINEST VARS'!$U$50+'LINEST VARS'!$T$50*(8)+'LINEST VARS'!$S$50*(8)+'LINEST VARS'!$R$50*($EB$8)+'LINEST VARS'!$Q$50*(0.5)+'LINEST VARS'!$P$50*($DV21)+'LINEST VARS'!$O$50*(8^2)+'LINEST VARS'!$N$50*(8^2)+'LINEST VARS'!$M$50*($EB$8^2)+'LINEST VARS'!$L$50*(0.5^2)+'LINEST VARS'!$K$50*($DV21^2)+'LINEST VARS'!$J$50*(8*8)+'LINEST VARS'!$I$50*(8*$EB$8)+'LINEST VARS'!$H$50*(8*0.5)+'LINEST VARS'!$G$50*(8*$DV21)+'LINEST VARS'!$F$50*(8*$EB$8)+'LINEST VARS'!$E$50*(8*0.5)+'LINEST VARS'!$D$50*(8*$DV21)+'LINEST VARS'!$C$50*($EB$8*0.5)+'LINEST VARS'!$B$50*($EB$8*$DV21)+'LINEST VARS'!$A$50*(0.5*$DV21)</f>
        <v>331.99999999999989</v>
      </c>
      <c r="EC21" s="46">
        <f>'LINEST VARS'!$U$50+'LINEST VARS'!$T$50*(8)+'LINEST VARS'!$S$50*(8)+'LINEST VARS'!$R$50*($EC$8)+'LINEST VARS'!$Q$50*(0.5)+'LINEST VARS'!$P$50*($DV21)+'LINEST VARS'!$O$50*(8^2)+'LINEST VARS'!$N$50*(8^2)+'LINEST VARS'!$M$50*($EC$8^2)+'LINEST VARS'!$L$50*(0.5^2)+'LINEST VARS'!$K$50*($DV21^2)+'LINEST VARS'!$J$50*(8*8)+'LINEST VARS'!$I$50*(8*$EC$8)+'LINEST VARS'!$H$50*(8*0.5)+'LINEST VARS'!$G$50*(8*$DV21)+'LINEST VARS'!$F$50*(8*$EC$8)+'LINEST VARS'!$E$50*(8*0.5)+'LINEST VARS'!$D$50*(8*$DV21)+'LINEST VARS'!$C$50*($EC$8*0.5)+'LINEST VARS'!$B$50*($EC$8*$DV21)+'LINEST VARS'!$A$50*(0.5*$DV21)</f>
        <v>331.99999999999989</v>
      </c>
      <c r="ED21" s="46">
        <f>'LINEST VARS'!$U$50+'LINEST VARS'!$T$50*(8)+'LINEST VARS'!$S$50*(8)+'LINEST VARS'!$R$50*($ED$8)+'LINEST VARS'!$Q$50*(0.5)+'LINEST VARS'!$P$50*($DV21)+'LINEST VARS'!$O$50*(8^2)+'LINEST VARS'!$N$50*(8^2)+'LINEST VARS'!$M$50*($ED$8^2)+'LINEST VARS'!$L$50*(0.5^2)+'LINEST VARS'!$K$50*($DV21^2)+'LINEST VARS'!$J$50*(8*8)+'LINEST VARS'!$I$50*(8*$ED$8)+'LINEST VARS'!$H$50*(8*0.5)+'LINEST VARS'!$G$50*(8*$DV21)+'LINEST VARS'!$F$50*(8*$ED$8)+'LINEST VARS'!$E$50*(8*0.5)+'LINEST VARS'!$D$50*(8*$DV21)+'LINEST VARS'!$C$50*($ED$8*0.5)+'LINEST VARS'!$B$50*($ED$8*$DV21)+'LINEST VARS'!$A$50*(0.5*$DV21)</f>
        <v>331.99999999999989</v>
      </c>
      <c r="EE21" s="46">
        <f>'LINEST VARS'!$U$50+'LINEST VARS'!$T$50*(8)+'LINEST VARS'!$S$50*(8)+'LINEST VARS'!$R$50*($EE$8)+'LINEST VARS'!$Q$50*(0.5)+'LINEST VARS'!$P$50*($DV21)+'LINEST VARS'!$O$50*(8^2)+'LINEST VARS'!$N$50*(8^2)+'LINEST VARS'!$M$50*($EE$8^2)+'LINEST VARS'!$L$50*(0.5^2)+'LINEST VARS'!$K$50*($DV21^2)+'LINEST VARS'!$J$50*(8*8)+'LINEST VARS'!$I$50*(8*$EE$8)+'LINEST VARS'!$H$50*(8*0.5)+'LINEST VARS'!$G$50*(8*$DV21)+'LINEST VARS'!$F$50*(8*$EE$8)+'LINEST VARS'!$E$50*(8*0.5)+'LINEST VARS'!$D$50*(8*$DV21)+'LINEST VARS'!$C$50*($EE$8*0.5)+'LINEST VARS'!$B$50*($EE$8*$DV21)+'LINEST VARS'!$A$50*(0.5*$DV21)</f>
        <v>331.99999999999989</v>
      </c>
      <c r="EF21" s="46">
        <f>'LINEST VARS'!$U$50+'LINEST VARS'!$T$50*(8)+'LINEST VARS'!$S$50*(8)+'LINEST VARS'!$R$50*($EF$8)+'LINEST VARS'!$Q$50*(0.5)+'LINEST VARS'!$P$50*($DV21)+'LINEST VARS'!$O$50*(8^2)+'LINEST VARS'!$N$50*(8^2)+'LINEST VARS'!$M$50*($EF$8^2)+'LINEST VARS'!$L$50*(0.5^2)+'LINEST VARS'!$K$50*($DV21^2)+'LINEST VARS'!$J$50*(8*8)+'LINEST VARS'!$I$50*(8*$EF$8)+'LINEST VARS'!$H$50*(8*0.5)+'LINEST VARS'!$G$50*(8*$DV21)+'LINEST VARS'!$F$50*(8*$EF$8)+'LINEST VARS'!$E$50*(8*0.5)+'LINEST VARS'!$D$50*(8*$DV21)+'LINEST VARS'!$C$50*($EF$8*0.5)+'LINEST VARS'!$B$50*($EF$8*$DV21)+'LINEST VARS'!$A$50*(0.5*$DV21)</f>
        <v>331.99999999999989</v>
      </c>
      <c r="EG21" s="46">
        <f>'LINEST VARS'!$U$50+'LINEST VARS'!$T$50*(8)+'LINEST VARS'!$S$50*(8)+'LINEST VARS'!$R$50*($EG$8)+'LINEST VARS'!$Q$50*(0.5)+'LINEST VARS'!$P$50*($DV21)+'LINEST VARS'!$O$50*(8^2)+'LINEST VARS'!$N$50*(8^2)+'LINEST VARS'!$M$50*($EG$8^2)+'LINEST VARS'!$L$50*(0.5^2)+'LINEST VARS'!$K$50*($DV21^2)+'LINEST VARS'!$J$50*(8*8)+'LINEST VARS'!$I$50*(8*$EG$8)+'LINEST VARS'!$H$50*(8*0.5)+'LINEST VARS'!$G$50*(8*$DV21)+'LINEST VARS'!$F$50*(8*$EG$8)+'LINEST VARS'!$E$50*(8*0.5)+'LINEST VARS'!$D$50*(8*$DV21)+'LINEST VARS'!$C$50*($EG$8*0.5)+'LINEST VARS'!$B$50*($EG$8*$DV21)+'LINEST VARS'!$A$50*(0.5*$DV21)</f>
        <v>331.99999999999989</v>
      </c>
      <c r="EH21" s="46">
        <f>'LINEST VARS'!$U$50+'LINEST VARS'!$T$50*(8)+'LINEST VARS'!$S$50*(8)+'LINEST VARS'!$R$50*($EH$8)+'LINEST VARS'!$Q$50*(0.5)+'LINEST VARS'!$P$50*($DV21)+'LINEST VARS'!$O$50*(8^2)+'LINEST VARS'!$N$50*(8^2)+'LINEST VARS'!$M$50*($EH$8^2)+'LINEST VARS'!$L$50*(0.5^2)+'LINEST VARS'!$K$50*($DV21^2)+'LINEST VARS'!$J$50*(8*8)+'LINEST VARS'!$I$50*(8*$EH$8)+'LINEST VARS'!$H$50*(8*0.5)+'LINEST VARS'!$G$50*(8*$DV21)+'LINEST VARS'!$F$50*(8*$EH$8)+'LINEST VARS'!$E$50*(8*0.5)+'LINEST VARS'!$D$50*(8*$DV21)+'LINEST VARS'!$C$50*($EH$8*0.5)+'LINEST VARS'!$B$50*($EH$8*$DV21)+'LINEST VARS'!$A$50*(0.5*$DV21)</f>
        <v>331.99999999999989</v>
      </c>
      <c r="EI21" s="46">
        <f>'LINEST VARS'!$U$50+'LINEST VARS'!$T$50*(8)+'LINEST VARS'!$S$50*(8)+'LINEST VARS'!$R$50*($EI$8)+'LINEST VARS'!$Q$50*(0.5)+'LINEST VARS'!$P$50*($DV21)+'LINEST VARS'!$O$50*(8^2)+'LINEST VARS'!$N$50*(8^2)+'LINEST VARS'!$M$50*($EI$8^2)+'LINEST VARS'!$L$50*(0.5^2)+'LINEST VARS'!$K$50*($DV21^2)+'LINEST VARS'!$J$50*(8*8)+'LINEST VARS'!$I$50*(8*$EI$8)+'LINEST VARS'!$H$50*(8*0.5)+'LINEST VARS'!$G$50*(8*$DV21)+'LINEST VARS'!$F$50*(8*$EI$8)+'LINEST VARS'!$E$50*(8*0.5)+'LINEST VARS'!$D$50*(8*$DV21)+'LINEST VARS'!$C$50*($EI$8*0.5)+'LINEST VARS'!$B$50*($EI$8*$DV21)+'LINEST VARS'!$A$50*(0.5*$DV21)</f>
        <v>331.99999999999989</v>
      </c>
      <c r="EJ21" s="46">
        <f>'LINEST VARS'!$U$50+'LINEST VARS'!$T$50*(8)+'LINEST VARS'!$S$50*(8)+'LINEST VARS'!$R$50*($EJ$8)+'LINEST VARS'!$Q$50*(0.5)+'LINEST VARS'!$P$50*($DV21)+'LINEST VARS'!$O$50*(8^2)+'LINEST VARS'!$N$50*(8^2)+'LINEST VARS'!$M$50*($EJ$8^2)+'LINEST VARS'!$L$50*(0.5^2)+'LINEST VARS'!$K$50*($DV21^2)+'LINEST VARS'!$J$50*(8*8)+'LINEST VARS'!$I$50*(8*$EJ$8)+'LINEST VARS'!$H$50*(8*0.5)+'LINEST VARS'!$G$50*(8*$DV21)+'LINEST VARS'!$F$50*(8*$EJ$8)+'LINEST VARS'!$E$50*(8*0.5)+'LINEST VARS'!$D$50*(8*$DV21)+'LINEST VARS'!$C$50*($EJ$8*0.5)+'LINEST VARS'!$B$50*($EJ$8*$DV21)+'LINEST VARS'!$A$50*(0.5*$DV21)</f>
        <v>331.99999999999989</v>
      </c>
      <c r="EK21" s="46">
        <f>'LINEST VARS'!$U$50+'LINEST VARS'!$T$50*(8)+'LINEST VARS'!$S$50*(8)+'LINEST VARS'!$R$50*($EK$8)+'LINEST VARS'!$Q$50*(0.5)+'LINEST VARS'!$P$50*($DV21)+'LINEST VARS'!$O$50*(8^2)+'LINEST VARS'!$N$50*(8^2)+'LINEST VARS'!$M$50*($EK$8^2)+'LINEST VARS'!$L$50*(0.5^2)+'LINEST VARS'!$K$50*($DV21^2)+'LINEST VARS'!$J$50*(8*8)+'LINEST VARS'!$I$50*(8*$EK$8)+'LINEST VARS'!$H$50*(8*0.5)+'LINEST VARS'!$G$50*(8*$DV21)+'LINEST VARS'!$F$50*(8*$EK$8)+'LINEST VARS'!$E$50*(8*0.5)+'LINEST VARS'!$D$50*(8*$DV21)+'LINEST VARS'!$C$50*($EK$8*0.5)+'LINEST VARS'!$B$50*($EK$8*$DV21)+'LINEST VARS'!$A$50*(0.5*$DV21)</f>
        <v>331.99999999999989</v>
      </c>
      <c r="EL21" s="46">
        <f>'LINEST VARS'!$U$50+'LINEST VARS'!$T$50*(8)+'LINEST VARS'!$S$50*(8)+'LINEST VARS'!$R$50*($EL$8)+'LINEST VARS'!$Q$50*(0.5)+'LINEST VARS'!$P$50*($DV21)+'LINEST VARS'!$O$50*(8^2)+'LINEST VARS'!$N$50*(8^2)+'LINEST VARS'!$M$50*($EL$8^2)+'LINEST VARS'!$L$50*(0.5^2)+'LINEST VARS'!$K$50*($DV21^2)+'LINEST VARS'!$J$50*(8*8)+'LINEST VARS'!$I$50*(8*$EL$8)+'LINEST VARS'!$H$50*(8*0.5)+'LINEST VARS'!$G$50*(8*$DV21)+'LINEST VARS'!$F$50*(8*$EL$8)+'LINEST VARS'!$E$50*(8*0.5)+'LINEST VARS'!$D$50*(8*$DV21)+'LINEST VARS'!$C$50*($EL$8*0.5)+'LINEST VARS'!$B$50*($EL$8*$DV21)+'LINEST VARS'!$A$50*(0.5*$DV21)</f>
        <v>331.99999999999989</v>
      </c>
      <c r="EM21" s="46">
        <f>'LINEST VARS'!$U$50+'LINEST VARS'!$T$50*(8)+'LINEST VARS'!$S$50*(8)+'LINEST VARS'!$R$50*($EM$8)+'LINEST VARS'!$Q$50*(0.5)+'LINEST VARS'!$P$50*($DV21)+'LINEST VARS'!$O$50*(8^2)+'LINEST VARS'!$N$50*(8^2)+'LINEST VARS'!$M$50*($EM$8^2)+'LINEST VARS'!$L$50*(0.5^2)+'LINEST VARS'!$K$50*($DV21^2)+'LINEST VARS'!$J$50*(8*8)+'LINEST VARS'!$I$50*(8*$EM$8)+'LINEST VARS'!$H$50*(8*0.5)+'LINEST VARS'!$G$50*(8*$DV21)+'LINEST VARS'!$F$50*(8*$EM$8)+'LINEST VARS'!$E$50*(8*0.5)+'LINEST VARS'!$D$50*(8*$DV21)+'LINEST VARS'!$C$50*($EM$8*0.5)+'LINEST VARS'!$B$50*($EM$8*$DV21)+'LINEST VARS'!$A$50*(0.5*$DV21)</f>
        <v>331.99999999999989</v>
      </c>
      <c r="EN21" s="46">
        <f>'LINEST VARS'!$U$50+'LINEST VARS'!$T$50*(8)+'LINEST VARS'!$S$50*(8)+'LINEST VARS'!$R$50*($EN$8)+'LINEST VARS'!$Q$50*(0.5)+'LINEST VARS'!$P$50*($DV21)+'LINEST VARS'!$O$50*(8^2)+'LINEST VARS'!$N$50*(8^2)+'LINEST VARS'!$M$50*($EN$8^2)+'LINEST VARS'!$L$50*(0.5^2)+'LINEST VARS'!$K$50*($DV21^2)+'LINEST VARS'!$J$50*(8*8)+'LINEST VARS'!$I$50*(8*$EN$8)+'LINEST VARS'!$H$50*(8*0.5)+'LINEST VARS'!$G$50*(8*$DV21)+'LINEST VARS'!$F$50*(8*$EN$8)+'LINEST VARS'!$E$50*(8*0.5)+'LINEST VARS'!$D$50*(8*$DV21)+'LINEST VARS'!$C$50*($EN$8*0.5)+'LINEST VARS'!$B$50*($EN$8*$DV21)+'LINEST VARS'!$A$50*(0.5*$DV21)</f>
        <v>331.99999999999989</v>
      </c>
      <c r="EO21" s="46">
        <f>'LINEST VARS'!$U$50+'LINEST VARS'!$T$50*(8)+'LINEST VARS'!$S$50*(8)+'LINEST VARS'!$R$50*($EO$8)+'LINEST VARS'!$Q$50*(0.5)+'LINEST VARS'!$P$50*($DV21)+'LINEST VARS'!$O$50*(8^2)+'LINEST VARS'!$N$50*(8^2)+'LINEST VARS'!$M$50*($EO$8^2)+'LINEST VARS'!$L$50*(0.5^2)+'LINEST VARS'!$K$50*($DV21^2)+'LINEST VARS'!$J$50*(8*8)+'LINEST VARS'!$I$50*(8*$EO$8)+'LINEST VARS'!$H$50*(8*0.5)+'LINEST VARS'!$G$50*(8*$DV21)+'LINEST VARS'!$F$50*(8*$EO$8)+'LINEST VARS'!$E$50*(8*0.5)+'LINEST VARS'!$D$50*(8*$DV21)+'LINEST VARS'!$C$50*($EO$8*0.5)+'LINEST VARS'!$B$50*($EO$8*$DV21)+'LINEST VARS'!$A$50*(0.5*$DV21)</f>
        <v>331.99999999999989</v>
      </c>
      <c r="EP21" s="46">
        <f>'LINEST VARS'!$U$50+'LINEST VARS'!$T$50*(8)+'LINEST VARS'!$S$50*(8)+'LINEST VARS'!$R$50*($EP$8)+'LINEST VARS'!$Q$50*(0.5)+'LINEST VARS'!$P$50*($DV21)+'LINEST VARS'!$O$50*(8^2)+'LINEST VARS'!$N$50*(8^2)+'LINEST VARS'!$M$50*($EP$8^2)+'LINEST VARS'!$L$50*(0.5^2)+'LINEST VARS'!$K$50*($DV21^2)+'LINEST VARS'!$J$50*(8*8)+'LINEST VARS'!$I$50*(8*$EP$8)+'LINEST VARS'!$H$50*(8*0.5)+'LINEST VARS'!$G$50*(8*$DV21)+'LINEST VARS'!$F$50*(8*$EP$8)+'LINEST VARS'!$E$50*(8*0.5)+'LINEST VARS'!$D$50*(8*$DV21)+'LINEST VARS'!$C$50*($EP$8*0.5)+'LINEST VARS'!$B$50*($EP$8*$DV21)+'LINEST VARS'!$A$50*(0.5*$DV21)</f>
        <v>331.99999999999989</v>
      </c>
      <c r="EQ21" s="47">
        <f>'LINEST VARS'!$U$50+'LINEST VARS'!$T$50*(8)+'LINEST VARS'!$S$50*(8)+'LINEST VARS'!$R$50*($EQ$8)+'LINEST VARS'!$Q$50*(0.5)+'LINEST VARS'!$P$50*($DV21)+'LINEST VARS'!$O$50*(8^2)+'LINEST VARS'!$N$50*(8^2)+'LINEST VARS'!$M$50*($EQ$8^2)+'LINEST VARS'!$L$50*(0.5^2)+'LINEST VARS'!$K$50*($DV21^2)+'LINEST VARS'!$J$50*(8*8)+'LINEST VARS'!$I$50*(8*$EQ$8)+'LINEST VARS'!$H$50*(8*0.5)+'LINEST VARS'!$G$50*(8*$DV21)+'LINEST VARS'!$F$50*(8*$EQ$8)+'LINEST VARS'!$E$50*(8*0.5)+'LINEST VARS'!$D$50*(8*$DV21)+'LINEST VARS'!$C$50*($EQ$8*0.5)+'LINEST VARS'!$B$50*($EQ$8*$DV21)+'LINEST VARS'!$A$50*(0.5*$DV21)</f>
        <v>331.99999999999989</v>
      </c>
    </row>
    <row r="22" spans="2:147" ht="15" customHeight="1" x14ac:dyDescent="0.25">
      <c r="B22" s="45">
        <v>8.18</v>
      </c>
      <c r="C22" s="46">
        <f>'LINEST VARS'!$U$48+'LINEST VARS'!$T$48*($C$8)+'LINEST VARS'!$S$48*($B22)+'LINEST VARS'!$R$48*(4)+'LINEST VARS'!$Q$48*(0.5)+'LINEST VARS'!$P$48*(12.73)+'LINEST VARS'!$O$48*($C$8^2)+'LINEST VARS'!$N$48*($B22^2)+'LINEST VARS'!$M$48*(4^2)+'LINEST VARS'!$L$48*(0.5^2)+'LINEST VARS'!$K$48*(12.73^2)+'LINEST VARS'!$J$48*($C$8*$B22)+'LINEST VARS'!$I$48*($C$8*4)+'LINEST VARS'!$H$48*($C$8*0.5)+'LINEST VARS'!$G$48*($C$8*12.73)+'LINEST VARS'!$F$48*($B22*4)+'LINEST VARS'!$E$48*($B22*0.5)+'LINEST VARS'!$D$48*($B22*12.73)+'LINEST VARS'!$C$48*(4*0.5)+'LINEST VARS'!$B$48*(4*12.73)+'LINEST VARS'!$A$48*(0.5*12.73)</f>
        <v>323.13999999999987</v>
      </c>
      <c r="D22" s="46">
        <f>'LINEST VARS'!$U$48+'LINEST VARS'!$T$48*($D$8)+'LINEST VARS'!$S$48*($B22)+'LINEST VARS'!$R$48*(4)+'LINEST VARS'!$Q$48*(0.5)+'LINEST VARS'!$P$48*(12.73)+'LINEST VARS'!$O$48*($D$8^2)+'LINEST VARS'!$N$48*($B22^2)+'LINEST VARS'!$M$48*(4^2)+'LINEST VARS'!$L$48*(0.5^2)+'LINEST VARS'!$K$48*(12.73^2)+'LINEST VARS'!$J$48*($D$8*$B22)+'LINEST VARS'!$I$48*($D$8*4)+'LINEST VARS'!$H$48*($D$8*0.5)+'LINEST VARS'!$G$48*($D$8*12.73)+'LINEST VARS'!$F$48*($B22*4)+'LINEST VARS'!$E$48*($B22*0.5)+'LINEST VARS'!$D$48*($B22*12.73)+'LINEST VARS'!$C$48*(4*0.5)+'LINEST VARS'!$B$48*(4*12.73)+'LINEST VARS'!$A$48*(0.5*12.73)</f>
        <v>327.71799999999985</v>
      </c>
      <c r="E22" s="46">
        <f>'LINEST VARS'!$U$48+'LINEST VARS'!$T$48*($E$8)+'LINEST VARS'!$S$48*($B22)+'LINEST VARS'!$R$48*(4)+'LINEST VARS'!$Q$48*(0.5)+'LINEST VARS'!$P$48*(12.73)+'LINEST VARS'!$O$48*($E$8^2)+'LINEST VARS'!$N$48*($B22^2)+'LINEST VARS'!$M$48*(4^2)+'LINEST VARS'!$L$48*(0.5^2)+'LINEST VARS'!$K$48*(12.73^2)+'LINEST VARS'!$J$48*($E$8*$B22)+'LINEST VARS'!$I$48*($E$8*4)+'LINEST VARS'!$H$48*($E$8*0.5)+'LINEST VARS'!$G$48*($E$8*12.73)+'LINEST VARS'!$F$48*($B22*4)+'LINEST VARS'!$E$48*($B22*0.5)+'LINEST VARS'!$D$48*($B22*12.73)+'LINEST VARS'!$C$48*(4*0.5)+'LINEST VARS'!$B$48*(4*12.73)+'LINEST VARS'!$A$48*(0.5*12.73)</f>
        <v>332.33199999999988</v>
      </c>
      <c r="F22" s="46">
        <f>'LINEST VARS'!$U$48+'LINEST VARS'!$T$48*($F$8)+'LINEST VARS'!$S$48*($B22)+'LINEST VARS'!$R$48*(4)+'LINEST VARS'!$Q$48*(0.5)+'LINEST VARS'!$P$48*(12.73)+'LINEST VARS'!$O$48*($F$8^2)+'LINEST VARS'!$N$48*($B22^2)+'LINEST VARS'!$M$48*(4^2)+'LINEST VARS'!$L$48*(0.5^2)+'LINEST VARS'!$K$48*(12.73^2)+'LINEST VARS'!$J$48*($F$8*$B22)+'LINEST VARS'!$I$48*($F$8*4)+'LINEST VARS'!$H$48*($F$8*0.5)+'LINEST VARS'!$G$48*($F$8*12.73)+'LINEST VARS'!$F$48*($B22*4)+'LINEST VARS'!$E$48*($B22*0.5)+'LINEST VARS'!$D$48*($B22*12.73)+'LINEST VARS'!$C$48*(4*0.5)+'LINEST VARS'!$B$48*(4*12.73)+'LINEST VARS'!$A$48*(0.5*12.73)</f>
        <v>336.98199999999991</v>
      </c>
      <c r="G22" s="46">
        <f>'LINEST VARS'!$U$48+'LINEST VARS'!$T$48*($G$8)+'LINEST VARS'!$S$48*($B22)+'LINEST VARS'!$R$48*(4)+'LINEST VARS'!$Q$48*(0.5)+'LINEST VARS'!$P$48*(12.73)+'LINEST VARS'!$O$48*($G$8^2)+'LINEST VARS'!$N$48*($B22^2)+'LINEST VARS'!$M$48*(4^2)+'LINEST VARS'!$L$48*(0.5^2)+'LINEST VARS'!$K$48*(12.73^2)+'LINEST VARS'!$J$48*($G$8*$B22)+'LINEST VARS'!$I$48*($G$8*4)+'LINEST VARS'!$H$48*($G$8*0.5)+'LINEST VARS'!$G$48*($G$8*12.73)+'LINEST VARS'!$F$48*($B22*4)+'LINEST VARS'!$E$48*($B22*0.5)+'LINEST VARS'!$D$48*($B22*12.73)+'LINEST VARS'!$C$48*(4*0.5)+'LINEST VARS'!$B$48*(4*12.73)+'LINEST VARS'!$A$48*(0.5*12.73)</f>
        <v>341.66799999999984</v>
      </c>
      <c r="H22" s="46">
        <f>'LINEST VARS'!$U$48+'LINEST VARS'!$T$48*($H$8)+'LINEST VARS'!$S$48*($B22)+'LINEST VARS'!$R$48*(4)+'LINEST VARS'!$Q$48*(0.5)+'LINEST VARS'!$P$48*(12.73)+'LINEST VARS'!$O$48*($H$8^2)+'LINEST VARS'!$N$48*($B22^2)+'LINEST VARS'!$M$48*(4^2)+'LINEST VARS'!$L$48*(0.5^2)+'LINEST VARS'!$K$48*(12.73^2)+'LINEST VARS'!$J$48*($H$8*$B22)+'LINEST VARS'!$I$48*($H$8*4)+'LINEST VARS'!$H$48*($H$8*0.5)+'LINEST VARS'!$G$48*($H$8*12.73)+'LINEST VARS'!$F$48*($B22*4)+'LINEST VARS'!$E$48*($B22*0.5)+'LINEST VARS'!$D$48*($B22*12.73)+'LINEST VARS'!$C$48*(4*0.5)+'LINEST VARS'!$B$48*(4*12.73)+'LINEST VARS'!$A$48*(0.5*12.73)</f>
        <v>346.38999999999993</v>
      </c>
      <c r="I22" s="46">
        <f>'LINEST VARS'!$U$48+'LINEST VARS'!$T$48*($I$8)+'LINEST VARS'!$S$48*($B22)+'LINEST VARS'!$R$48*(4)+'LINEST VARS'!$Q$48*(0.5)+'LINEST VARS'!$P$48*(12.73)+'LINEST VARS'!$O$48*($I$8^2)+'LINEST VARS'!$N$48*($B22^2)+'LINEST VARS'!$M$48*(4^2)+'LINEST VARS'!$L$48*(0.5^2)+'LINEST VARS'!$K$48*(12.73^2)+'LINEST VARS'!$J$48*($I$8*$B22)+'LINEST VARS'!$I$48*($I$8*4)+'LINEST VARS'!$H$48*($I$8*0.5)+'LINEST VARS'!$G$48*($I$8*12.73)+'LINEST VARS'!$F$48*($B22*4)+'LINEST VARS'!$E$48*($B22*0.5)+'LINEST VARS'!$D$48*($B22*12.73)+'LINEST VARS'!$C$48*(4*0.5)+'LINEST VARS'!$B$48*(4*12.73)+'LINEST VARS'!$A$48*(0.5*12.73)</f>
        <v>351.14799999999985</v>
      </c>
      <c r="J22" s="46">
        <f>'LINEST VARS'!$U$48+'LINEST VARS'!$T$48*($J$8)+'LINEST VARS'!$S$48*($B22)+'LINEST VARS'!$R$48*(4)+'LINEST VARS'!$Q$48*(0.5)+'LINEST VARS'!$P$48*(12.73)+'LINEST VARS'!$O$48*($J$8^2)+'LINEST VARS'!$N$48*($B22^2)+'LINEST VARS'!$M$48*(4^2)+'LINEST VARS'!$L$48*(0.5^2)+'LINEST VARS'!$K$48*(12.73^2)+'LINEST VARS'!$J$48*($J$8*$B22)+'LINEST VARS'!$I$48*($J$8*4)+'LINEST VARS'!$H$48*($J$8*0.5)+'LINEST VARS'!$G$48*($J$8*12.73)+'LINEST VARS'!$F$48*($B22*4)+'LINEST VARS'!$E$48*($B22*0.5)+'LINEST VARS'!$D$48*($B22*12.73)+'LINEST VARS'!$C$48*(4*0.5)+'LINEST VARS'!$B$48*(4*12.73)+'LINEST VARS'!$A$48*(0.5*12.73)</f>
        <v>355.94199999999989</v>
      </c>
      <c r="K22" s="46">
        <f>'LINEST VARS'!$U$48+'LINEST VARS'!$T$48*($K$8)+'LINEST VARS'!$S$48*($B22)+'LINEST VARS'!$R$48*(4)+'LINEST VARS'!$Q$48*(0.5)+'LINEST VARS'!$P$48*(12.73)+'LINEST VARS'!$O$48*($K$8^2)+'LINEST VARS'!$N$48*($B22^2)+'LINEST VARS'!$M$48*(4^2)+'LINEST VARS'!$L$48*(0.5^2)+'LINEST VARS'!$K$48*(12.73^2)+'LINEST VARS'!$J$48*($K$8*$B22)+'LINEST VARS'!$I$48*($K$8*4)+'LINEST VARS'!$H$48*($K$8*0.5)+'LINEST VARS'!$G$48*($K$8*12.73)+'LINEST VARS'!$F$48*($B22*4)+'LINEST VARS'!$E$48*($B22*0.5)+'LINEST VARS'!$D$48*($B22*12.73)+'LINEST VARS'!$C$48*(4*0.5)+'LINEST VARS'!$B$48*(4*12.73)+'LINEST VARS'!$A$48*(0.5*12.73)</f>
        <v>360.77199999999988</v>
      </c>
      <c r="L22" s="46">
        <f>'LINEST VARS'!$U$48+'LINEST VARS'!$T$48*($L$8)+'LINEST VARS'!$S$48*($B22)+'LINEST VARS'!$R$48*(4)+'LINEST VARS'!$Q$48*(0.5)+'LINEST VARS'!$P$48*(12.73)+'LINEST VARS'!$O$48*($L$8^2)+'LINEST VARS'!$N$48*($B22^2)+'LINEST VARS'!$M$48*(4^2)+'LINEST VARS'!$L$48*(0.5^2)+'LINEST VARS'!$K$48*(12.73^2)+'LINEST VARS'!$J$48*($L$8*$B22)+'LINEST VARS'!$I$48*($L$8*4)+'LINEST VARS'!$H$48*($L$8*0.5)+'LINEST VARS'!$G$48*($L$8*12.73)+'LINEST VARS'!$F$48*($B22*4)+'LINEST VARS'!$E$48*($B22*0.5)+'LINEST VARS'!$D$48*($B22*12.73)+'LINEST VARS'!$C$48*(4*0.5)+'LINEST VARS'!$B$48*(4*12.73)+'LINEST VARS'!$A$48*(0.5*12.73)</f>
        <v>365.63799999999992</v>
      </c>
      <c r="M22" s="46">
        <f>'LINEST VARS'!$U$48+'LINEST VARS'!$T$48*($M$8)+'LINEST VARS'!$S$48*($B22)+'LINEST VARS'!$R$48*(4)+'LINEST VARS'!$Q$48*(0.5)+'LINEST VARS'!$P$48*(12.73)+'LINEST VARS'!$O$48*($M$8^2)+'LINEST VARS'!$N$48*($B22^2)+'LINEST VARS'!$M$48*(4^2)+'LINEST VARS'!$L$48*(0.5^2)+'LINEST VARS'!$K$48*(12.73^2)+'LINEST VARS'!$J$48*($M$8*$B22)+'LINEST VARS'!$I$48*($M$8*4)+'LINEST VARS'!$H$48*($M$8*0.5)+'LINEST VARS'!$G$48*($M$8*12.73)+'LINEST VARS'!$F$48*($B22*4)+'LINEST VARS'!$E$48*($B22*0.5)+'LINEST VARS'!$D$48*($B22*12.73)+'LINEST VARS'!$C$48*(4*0.5)+'LINEST VARS'!$B$48*(4*12.73)+'LINEST VARS'!$A$48*(0.5*12.73)</f>
        <v>370.53999999999985</v>
      </c>
      <c r="N22" s="46">
        <f>'LINEST VARS'!$U$48+'LINEST VARS'!$T$48*($N$8)+'LINEST VARS'!$S$48*($B22)+'LINEST VARS'!$R$48*(4)+'LINEST VARS'!$Q$48*(0.5)+'LINEST VARS'!$P$48*(12.73)+'LINEST VARS'!$O$48*($N$8^2)+'LINEST VARS'!$N$48*($B22^2)+'LINEST VARS'!$M$48*(4^2)+'LINEST VARS'!$L$48*(0.5^2)+'LINEST VARS'!$K$48*(12.73^2)+'LINEST VARS'!$J$48*($N$8*$B22)+'LINEST VARS'!$I$48*($N$8*4)+'LINEST VARS'!$H$48*($N$8*0.5)+'LINEST VARS'!$G$48*($N$8*12.73)+'LINEST VARS'!$F$48*($B22*4)+'LINEST VARS'!$E$48*($B22*0.5)+'LINEST VARS'!$D$48*($B22*12.73)+'LINEST VARS'!$C$48*(4*0.5)+'LINEST VARS'!$B$48*(4*12.73)+'LINEST VARS'!$A$48*(0.5*12.73)</f>
        <v>375.47799999999989</v>
      </c>
      <c r="O22" s="46">
        <f>'LINEST VARS'!$U$48+'LINEST VARS'!$T$48*($O$8)+'LINEST VARS'!$S$48*($B22)+'LINEST VARS'!$R$48*(4)+'LINEST VARS'!$Q$48*(0.5)+'LINEST VARS'!$P$48*(12.73)+'LINEST VARS'!$O$48*($O$8^2)+'LINEST VARS'!$N$48*($B22^2)+'LINEST VARS'!$M$48*(4^2)+'LINEST VARS'!$L$48*(0.5^2)+'LINEST VARS'!$K$48*(12.73^2)+'LINEST VARS'!$J$48*($O$8*$B22)+'LINEST VARS'!$I$48*($O$8*4)+'LINEST VARS'!$H$48*($O$8*0.5)+'LINEST VARS'!$G$48*($O$8*12.73)+'LINEST VARS'!$F$48*($B22*4)+'LINEST VARS'!$E$48*($B22*0.5)+'LINEST VARS'!$D$48*($B22*12.73)+'LINEST VARS'!$C$48*(4*0.5)+'LINEST VARS'!$B$48*(4*12.73)+'LINEST VARS'!$A$48*(0.5*12.73)</f>
        <v>380.45199999999977</v>
      </c>
      <c r="P22" s="46">
        <f>'LINEST VARS'!$U$48+'LINEST VARS'!$T$48*($P$8)+'LINEST VARS'!$S$48*($B22)+'LINEST VARS'!$R$48*(4)+'LINEST VARS'!$Q$48*(0.5)+'LINEST VARS'!$P$48*(12.73)+'LINEST VARS'!$O$48*($P$8^2)+'LINEST VARS'!$N$48*($B22^2)+'LINEST VARS'!$M$48*(4^2)+'LINEST VARS'!$L$48*(0.5^2)+'LINEST VARS'!$K$48*(12.73^2)+'LINEST VARS'!$J$48*($P$8*$B22)+'LINEST VARS'!$I$48*($P$8*4)+'LINEST VARS'!$H$48*($P$8*0.5)+'LINEST VARS'!$G$48*($P$8*12.73)+'LINEST VARS'!$F$48*($B22*4)+'LINEST VARS'!$E$48*($B22*0.5)+'LINEST VARS'!$D$48*($B22*12.73)+'LINEST VARS'!$C$48*(4*0.5)+'LINEST VARS'!$B$48*(4*12.73)+'LINEST VARS'!$A$48*(0.5*12.73)</f>
        <v>385.46199999999982</v>
      </c>
      <c r="Q22" s="46">
        <f>'LINEST VARS'!$U$48+'LINEST VARS'!$T$48*($Q$8)+'LINEST VARS'!$S$48*($B22)+'LINEST VARS'!$R$48*(4)+'LINEST VARS'!$Q$48*(0.5)+'LINEST VARS'!$P$48*(12.73)+'LINEST VARS'!$O$48*($Q$8^2)+'LINEST VARS'!$N$48*($B22^2)+'LINEST VARS'!$M$48*(4^2)+'LINEST VARS'!$L$48*(0.5^2)+'LINEST VARS'!$K$48*(12.73^2)+'LINEST VARS'!$J$48*($Q$8*$B22)+'LINEST VARS'!$I$48*($Q$8*4)+'LINEST VARS'!$H$48*($Q$8*0.5)+'LINEST VARS'!$G$48*($Q$8*12.73)+'LINEST VARS'!$F$48*($B22*4)+'LINEST VARS'!$E$48*($B22*0.5)+'LINEST VARS'!$D$48*($B22*12.73)+'LINEST VARS'!$C$48*(4*0.5)+'LINEST VARS'!$B$48*(4*12.73)+'LINEST VARS'!$A$48*(0.5*12.73)</f>
        <v>390.50799999999981</v>
      </c>
      <c r="R22" s="46">
        <f>'LINEST VARS'!$U$48+'LINEST VARS'!$T$48*($R$8)+'LINEST VARS'!$S$48*($B22)+'LINEST VARS'!$R$48*(4)+'LINEST VARS'!$Q$48*(0.5)+'LINEST VARS'!$P$48*(12.73)+'LINEST VARS'!$O$48*($R$8^2)+'LINEST VARS'!$N$48*($B22^2)+'LINEST VARS'!$M$48*(4^2)+'LINEST VARS'!$L$48*(0.5^2)+'LINEST VARS'!$K$48*(12.73^2)+'LINEST VARS'!$J$48*($R$8*$B22)+'LINEST VARS'!$I$48*($R$8*4)+'LINEST VARS'!$H$48*($R$8*0.5)+'LINEST VARS'!$G$48*($R$8*12.73)+'LINEST VARS'!$F$48*($B22*4)+'LINEST VARS'!$E$48*($B22*0.5)+'LINEST VARS'!$D$48*($B22*12.73)+'LINEST VARS'!$C$48*(4*0.5)+'LINEST VARS'!$B$48*(4*12.73)+'LINEST VARS'!$A$48*(0.5*12.73)</f>
        <v>395.58999999999986</v>
      </c>
      <c r="S22" s="46">
        <f>'LINEST VARS'!$U$48+'LINEST VARS'!$T$48*($S$8)+'LINEST VARS'!$S$48*($B22)+'LINEST VARS'!$R$48*(4)+'LINEST VARS'!$Q$48*(0.5)+'LINEST VARS'!$P$48*(12.73)+'LINEST VARS'!$O$48*($S$8^2)+'LINEST VARS'!$N$48*($B22^2)+'LINEST VARS'!$M$48*(4^2)+'LINEST VARS'!$L$48*(0.5^2)+'LINEST VARS'!$K$48*(12.73^2)+'LINEST VARS'!$J$48*($S$8*$B22)+'LINEST VARS'!$I$48*($S$8*4)+'LINEST VARS'!$H$48*($S$8*0.5)+'LINEST VARS'!$G$48*($S$8*12.73)+'LINEST VARS'!$F$48*($B22*4)+'LINEST VARS'!$E$48*($B22*0.5)+'LINEST VARS'!$D$48*($B22*12.73)+'LINEST VARS'!$C$48*(4*0.5)+'LINEST VARS'!$B$48*(4*12.73)+'LINEST VARS'!$A$48*(0.5*12.73)</f>
        <v>400.70799999999974</v>
      </c>
      <c r="T22" s="46">
        <f>'LINEST VARS'!$U$48+'LINEST VARS'!$T$48*($T$8)+'LINEST VARS'!$S$48*($B22)+'LINEST VARS'!$R$48*(4)+'LINEST VARS'!$Q$48*(0.5)+'LINEST VARS'!$P$48*(12.73)+'LINEST VARS'!$O$48*($T$8^2)+'LINEST VARS'!$N$48*($B22^2)+'LINEST VARS'!$M$48*(4^2)+'LINEST VARS'!$L$48*(0.5^2)+'LINEST VARS'!$K$48*(12.73^2)+'LINEST VARS'!$J$48*($T$8*$B22)+'LINEST VARS'!$I$48*($T$8*4)+'LINEST VARS'!$H$48*($T$8*0.5)+'LINEST VARS'!$G$48*($T$8*12.73)+'LINEST VARS'!$F$48*($B22*4)+'LINEST VARS'!$E$48*($B22*0.5)+'LINEST VARS'!$D$48*($B22*12.73)+'LINEST VARS'!$C$48*(4*0.5)+'LINEST VARS'!$B$48*(4*12.73)+'LINEST VARS'!$A$48*(0.5*12.73)</f>
        <v>405.86199999999985</v>
      </c>
      <c r="U22" s="46">
        <f>'LINEST VARS'!$U$48+'LINEST VARS'!$T$48*($U$8)+'LINEST VARS'!$S$48*($B22)+'LINEST VARS'!$R$48*(4)+'LINEST VARS'!$Q$48*(0.5)+'LINEST VARS'!$P$48*(12.73)+'LINEST VARS'!$O$48*($U$8^2)+'LINEST VARS'!$N$48*($B22^2)+'LINEST VARS'!$M$48*(4^2)+'LINEST VARS'!$L$48*(0.5^2)+'LINEST VARS'!$K$48*(12.73^2)+'LINEST VARS'!$J$48*($U$8*$B22)+'LINEST VARS'!$I$48*($U$8*4)+'LINEST VARS'!$H$48*($U$8*0.5)+'LINEST VARS'!$G$48*($U$8*12.73)+'LINEST VARS'!$F$48*($B22*4)+'LINEST VARS'!$E$48*($B22*0.5)+'LINEST VARS'!$D$48*($B22*12.73)+'LINEST VARS'!$C$48*(4*0.5)+'LINEST VARS'!$B$48*(4*12.73)+'LINEST VARS'!$A$48*(0.5*12.73)</f>
        <v>411.05199999999991</v>
      </c>
      <c r="V22" s="46">
        <f>'LINEST VARS'!$U$48+'LINEST VARS'!$T$48*($V$8)+'LINEST VARS'!$S$48*($B22)+'LINEST VARS'!$R$48*(4)+'LINEST VARS'!$Q$48*(0.5)+'LINEST VARS'!$P$48*(12.73)+'LINEST VARS'!$O$48*($V$8^2)+'LINEST VARS'!$N$48*($B22^2)+'LINEST VARS'!$M$48*(4^2)+'LINEST VARS'!$L$48*(0.5^2)+'LINEST VARS'!$K$48*(12.73^2)+'LINEST VARS'!$J$48*($V$8*$B22)+'LINEST VARS'!$I$48*($V$8*4)+'LINEST VARS'!$H$48*($V$8*0.5)+'LINEST VARS'!$G$48*($V$8*12.73)+'LINEST VARS'!$F$48*($B22*4)+'LINEST VARS'!$E$48*($B22*0.5)+'LINEST VARS'!$D$48*($B22*12.73)+'LINEST VARS'!$C$48*(4*0.5)+'LINEST VARS'!$B$48*(4*12.73)+'LINEST VARS'!$A$48*(0.5*12.73)</f>
        <v>416.27799999999979</v>
      </c>
      <c r="W22" s="47">
        <f>'LINEST VARS'!$U$48+'LINEST VARS'!$T$48*($W$8)+'LINEST VARS'!$S$48*($B22)+'LINEST VARS'!$R$48*(4)+'LINEST VARS'!$Q$48*(0.5)+'LINEST VARS'!$P$48*(12.73)+'LINEST VARS'!$O$48*($W$8^2)+'LINEST VARS'!$N$48*($B22^2)+'LINEST VARS'!$M$48*(4^2)+'LINEST VARS'!$L$48*(0.5^2)+'LINEST VARS'!$K$48*(12.73^2)+'LINEST VARS'!$J$48*($W$8*$B22)+'LINEST VARS'!$I$48*($W$8*4)+'LINEST VARS'!$H$48*($W$8*0.5)+'LINEST VARS'!$G$48*($W$8*12.73)+'LINEST VARS'!$F$48*($B22*4)+'LINEST VARS'!$E$48*($B22*0.5)+'LINEST VARS'!$D$48*($B22*12.73)+'LINEST VARS'!$C$48*(4*0.5)+'LINEST VARS'!$B$48*(4*12.73)+'LINEST VARS'!$A$48*(0.5*12.73)</f>
        <v>421.53999999999985</v>
      </c>
      <c r="Z22" s="45">
        <v>8.18</v>
      </c>
      <c r="AA22" s="46">
        <f>'LINEST VARS'!$U$50+'LINEST VARS'!$T$50*($AA$8)+'LINEST VARS'!$S$50*($Z22)+'LINEST VARS'!$R$50*(4)+'LINEST VARS'!$Q$50*(0.5)+'LINEST VARS'!$P$50*(12.73)+'LINEST VARS'!$O$50*($AA$8^2)+'LINEST VARS'!$N$50*($Z22^2)+'LINEST VARS'!$M$50*(4^2)+'LINEST VARS'!$L$50*(0.5^2)+'LINEST VARS'!$K$50*(12.73^2)+'LINEST VARS'!$J$50*($AA$8*$Z22)+'LINEST VARS'!$I$50*($AA$8*4)+'LINEST VARS'!$H$50*($AA$8*0.5)+'LINEST VARS'!$G$50*($AA$8*12.73)+'LINEST VARS'!$F$50*($Z22*4)+'LINEST VARS'!$E$50*($Z22*0.5)+'LINEST VARS'!$D$50*($Z22*12.73)+'LINEST VARS'!$C$50*(4*0.5)+'LINEST VARS'!$B$50*(4*12.73)+'LINEST VARS'!$A$50*(0.5*12.73)</f>
        <v>331.54999999999995</v>
      </c>
      <c r="AB22" s="46">
        <f>'LINEST VARS'!$U$50+'LINEST VARS'!$T$50*($AB$8)+'LINEST VARS'!$S$50*($Z22)+'LINEST VARS'!$R$50*(4)+'LINEST VARS'!$Q$50*(0.5)+'LINEST VARS'!$P$50*(12.73)+'LINEST VARS'!$O$50*($AB$8^2)+'LINEST VARS'!$N$50*($Z22^2)+'LINEST VARS'!$M$50*(4^2)+'LINEST VARS'!$L$50*(0.5^2)+'LINEST VARS'!$K$50*(12.73^2)+'LINEST VARS'!$J$50*($AB$8*$Z22)+'LINEST VARS'!$I$50*($AB$8*4)+'LINEST VARS'!$H$50*($AB$8*0.5)+'LINEST VARS'!$G$50*($AB$8*12.73)+'LINEST VARS'!$F$50*($Z22*4)+'LINEST VARS'!$E$50*($Z22*0.5)+'LINEST VARS'!$D$50*($Z22*12.73)+'LINEST VARS'!$C$50*(4*0.5)+'LINEST VARS'!$B$50*(4*12.73)+'LINEST VARS'!$A$50*(0.5*12.73)</f>
        <v>331.63999999999987</v>
      </c>
      <c r="AC22" s="46">
        <f>'LINEST VARS'!$U$50+'LINEST VARS'!$T$50*($AC$8)+'LINEST VARS'!$S$50*($Z22)+'LINEST VARS'!$R$50*(4)+'LINEST VARS'!$Q$50*(0.5)+'LINEST VARS'!$P$50*(12.73)+'LINEST VARS'!$O$50*($AC$8^2)+'LINEST VARS'!$N$50*($Z22^2)+'LINEST VARS'!$M$50*(4^2)+'LINEST VARS'!$L$50*(0.5^2)+'LINEST VARS'!$K$50*(12.73^2)+'LINEST VARS'!$J$50*($AC$8*$Z22)+'LINEST VARS'!$I$50*($AC$8*4)+'LINEST VARS'!$H$50*($AC$8*0.5)+'LINEST VARS'!$G$50*($AC$8*12.73)+'LINEST VARS'!$F$50*($Z22*4)+'LINEST VARS'!$E$50*($Z22*0.5)+'LINEST VARS'!$D$50*($Z22*12.73)+'LINEST VARS'!$C$50*(4*0.5)+'LINEST VARS'!$B$50*(4*12.73)+'LINEST VARS'!$A$50*(0.5*12.73)</f>
        <v>331.7299999999999</v>
      </c>
      <c r="AD22" s="46">
        <f>'LINEST VARS'!$U$50+'LINEST VARS'!$T$50*($AD$8)+'LINEST VARS'!$S$50*($Z22)+'LINEST VARS'!$R$50*(4)+'LINEST VARS'!$Q$50*(0.5)+'LINEST VARS'!$P$50*(12.73)+'LINEST VARS'!$O$50*($AD$8^2)+'LINEST VARS'!$N$50*($Z22^2)+'LINEST VARS'!$M$50*(4^2)+'LINEST VARS'!$L$50*(0.5^2)+'LINEST VARS'!$K$50*(12.73^2)+'LINEST VARS'!$J$50*($AD$8*$Z22)+'LINEST VARS'!$I$50*($AD$8*4)+'LINEST VARS'!$H$50*($AD$8*0.5)+'LINEST VARS'!$G$50*($AD$8*12.73)+'LINEST VARS'!$F$50*($Z22*4)+'LINEST VARS'!$E$50*($Z22*0.5)+'LINEST VARS'!$D$50*($Z22*12.73)+'LINEST VARS'!$C$50*(4*0.5)+'LINEST VARS'!$B$50*(4*12.73)+'LINEST VARS'!$A$50*(0.5*12.73)</f>
        <v>331.81999999999988</v>
      </c>
      <c r="AE22" s="46">
        <f>'LINEST VARS'!$U$50+'LINEST VARS'!$T$50*($AE$8)+'LINEST VARS'!$S$50*($Z22)+'LINEST VARS'!$R$50*(4)+'LINEST VARS'!$Q$50*(0.5)+'LINEST VARS'!$P$50*(12.73)+'LINEST VARS'!$O$50*($AE$8^2)+'LINEST VARS'!$N$50*($Z22^2)+'LINEST VARS'!$M$50*(4^2)+'LINEST VARS'!$L$50*(0.5^2)+'LINEST VARS'!$K$50*(12.73^2)+'LINEST VARS'!$J$50*($AE$8*$Z22)+'LINEST VARS'!$I$50*($AE$8*4)+'LINEST VARS'!$H$50*($AE$8*0.5)+'LINEST VARS'!$G$50*($AE$8*12.73)+'LINEST VARS'!$F$50*($Z22*4)+'LINEST VARS'!$E$50*($Z22*0.5)+'LINEST VARS'!$D$50*($Z22*12.73)+'LINEST VARS'!$C$50*(4*0.5)+'LINEST VARS'!$B$50*(4*12.73)+'LINEST VARS'!$A$50*(0.5*12.73)</f>
        <v>331.90999999999985</v>
      </c>
      <c r="AF22" s="46">
        <f>'LINEST VARS'!$U$50+'LINEST VARS'!$T$50*($AF$8)+'LINEST VARS'!$S$50*($Z22)+'LINEST VARS'!$R$50*(4)+'LINEST VARS'!$Q$50*(0.5)+'LINEST VARS'!$P$50*(12.73)+'LINEST VARS'!$O$50*($AF$8^2)+'LINEST VARS'!$N$50*($Z22^2)+'LINEST VARS'!$M$50*(4^2)+'LINEST VARS'!$L$50*(0.5^2)+'LINEST VARS'!$K$50*(12.73^2)+'LINEST VARS'!$J$50*($AF$8*$Z22)+'LINEST VARS'!$I$50*($AF$8*4)+'LINEST VARS'!$H$50*($AF$8*0.5)+'LINEST VARS'!$G$50*($AF$8*12.73)+'LINEST VARS'!$F$50*($Z22*4)+'LINEST VARS'!$E$50*($Z22*0.5)+'LINEST VARS'!$D$50*($Z22*12.73)+'LINEST VARS'!$C$50*(4*0.5)+'LINEST VARS'!$B$50*(4*12.73)+'LINEST VARS'!$A$50*(0.5*12.73)</f>
        <v>331.99999999999989</v>
      </c>
      <c r="AG22" s="46">
        <f>'LINEST VARS'!$U$50+'LINEST VARS'!$T$50*($AG$8)+'LINEST VARS'!$S$50*($Z22)+'LINEST VARS'!$R$50*(4)+'LINEST VARS'!$Q$50*(0.5)+'LINEST VARS'!$P$50*(12.73)+'LINEST VARS'!$O$50*($AG$8^2)+'LINEST VARS'!$N$50*($Z22^2)+'LINEST VARS'!$M$50*(4^2)+'LINEST VARS'!$L$50*(0.5^2)+'LINEST VARS'!$K$50*(12.73^2)+'LINEST VARS'!$J$50*($AG$8*$Z22)+'LINEST VARS'!$I$50*($AG$8*4)+'LINEST VARS'!$H$50*($AG$8*0.5)+'LINEST VARS'!$G$50*($AG$8*12.73)+'LINEST VARS'!$F$50*($Z22*4)+'LINEST VARS'!$E$50*($Z22*0.5)+'LINEST VARS'!$D$50*($Z22*12.73)+'LINEST VARS'!$C$50*(4*0.5)+'LINEST VARS'!$B$50*(4*12.73)+'LINEST VARS'!$A$50*(0.5*12.73)</f>
        <v>332.08999999999986</v>
      </c>
      <c r="AH22" s="46">
        <f>'LINEST VARS'!$U$50+'LINEST VARS'!$T$50*($AH$8)+'LINEST VARS'!$S$50*($Z22)+'LINEST VARS'!$R$50*(4)+'LINEST VARS'!$Q$50*(0.5)+'LINEST VARS'!$P$50*(12.73)+'LINEST VARS'!$O$50*($AH$8^2)+'LINEST VARS'!$N$50*($Z22^2)+'LINEST VARS'!$M$50*(4^2)+'LINEST VARS'!$L$50*(0.5^2)+'LINEST VARS'!$K$50*(12.73^2)+'LINEST VARS'!$J$50*($AH$8*$Z22)+'LINEST VARS'!$I$50*($AH$8*4)+'LINEST VARS'!$H$50*($AH$8*0.5)+'LINEST VARS'!$G$50*($AH$8*12.73)+'LINEST VARS'!$F$50*($Z22*4)+'LINEST VARS'!$E$50*($Z22*0.5)+'LINEST VARS'!$D$50*($Z22*12.73)+'LINEST VARS'!$C$50*(4*0.5)+'LINEST VARS'!$B$50*(4*12.73)+'LINEST VARS'!$A$50*(0.5*12.73)</f>
        <v>332.17999999999989</v>
      </c>
      <c r="AI22" s="46">
        <f>'LINEST VARS'!$U$50+'LINEST VARS'!$T$50*($AI$8)+'LINEST VARS'!$S$50*($Z22)+'LINEST VARS'!$R$50*(4)+'LINEST VARS'!$Q$50*(0.5)+'LINEST VARS'!$P$50*(12.73)+'LINEST VARS'!$O$50*($AI$8^2)+'LINEST VARS'!$N$50*($Z22^2)+'LINEST VARS'!$M$50*(4^2)+'LINEST VARS'!$L$50*(0.5^2)+'LINEST VARS'!$K$50*(12.73^2)+'LINEST VARS'!$J$50*($AI$8*$Z22)+'LINEST VARS'!$I$50*($AI$8*4)+'LINEST VARS'!$H$50*($AI$8*0.5)+'LINEST VARS'!$G$50*($AI$8*12.73)+'LINEST VARS'!$F$50*($Z22*4)+'LINEST VARS'!$E$50*($Z22*0.5)+'LINEST VARS'!$D$50*($Z22*12.73)+'LINEST VARS'!$C$50*(4*0.5)+'LINEST VARS'!$B$50*(4*12.73)+'LINEST VARS'!$A$50*(0.5*12.73)</f>
        <v>332.26999999999987</v>
      </c>
      <c r="AJ22" s="46">
        <f>'LINEST VARS'!$U$50+'LINEST VARS'!$T$50*($AJ$8)+'LINEST VARS'!$S$50*($Z22)+'LINEST VARS'!$R$50*(4)+'LINEST VARS'!$Q$50*(0.5)+'LINEST VARS'!$P$50*(12.73)+'LINEST VARS'!$O$50*($AJ$8^2)+'LINEST VARS'!$N$50*($Z22^2)+'LINEST VARS'!$M$50*(4^2)+'LINEST VARS'!$L$50*(0.5^2)+'LINEST VARS'!$K$50*(12.73^2)+'LINEST VARS'!$J$50*($AJ$8*$Z22)+'LINEST VARS'!$I$50*($AJ$8*4)+'LINEST VARS'!$H$50*($AJ$8*0.5)+'LINEST VARS'!$G$50*($AJ$8*12.73)+'LINEST VARS'!$F$50*($Z22*4)+'LINEST VARS'!$E$50*($Z22*0.5)+'LINEST VARS'!$D$50*($Z22*12.73)+'LINEST VARS'!$C$50*(4*0.5)+'LINEST VARS'!$B$50*(4*12.73)+'LINEST VARS'!$A$50*(0.5*12.73)</f>
        <v>332.3599999999999</v>
      </c>
      <c r="AK22" s="46">
        <f>'LINEST VARS'!$U$50+'LINEST VARS'!$T$50*($AK$8)+'LINEST VARS'!$S$50*($Z22)+'LINEST VARS'!$R$50*(4)+'LINEST VARS'!$Q$50*(0.5)+'LINEST VARS'!$P$50*(12.73)+'LINEST VARS'!$O$50*($AK$8^2)+'LINEST VARS'!$N$50*($Z22^2)+'LINEST VARS'!$M$50*(4^2)+'LINEST VARS'!$L$50*(0.5^2)+'LINEST VARS'!$K$50*(12.73^2)+'LINEST VARS'!$J$50*($AK$8*$Z22)+'LINEST VARS'!$I$50*($AK$8*4)+'LINEST VARS'!$H$50*($AK$8*0.5)+'LINEST VARS'!$G$50*($AK$8*12.73)+'LINEST VARS'!$F$50*($Z22*4)+'LINEST VARS'!$E$50*($Z22*0.5)+'LINEST VARS'!$D$50*($Z22*12.73)+'LINEST VARS'!$C$50*(4*0.5)+'LINEST VARS'!$B$50*(4*12.73)+'LINEST VARS'!$A$50*(0.5*12.73)</f>
        <v>332.44999999999987</v>
      </c>
      <c r="AL22" s="46">
        <f>'LINEST VARS'!$U$50+'LINEST VARS'!$T$50*($AL$8)+'LINEST VARS'!$S$50*($Z22)+'LINEST VARS'!$R$50*(4)+'LINEST VARS'!$Q$50*(0.5)+'LINEST VARS'!$P$50*(12.73)+'LINEST VARS'!$O$50*($AL$8^2)+'LINEST VARS'!$N$50*($Z22^2)+'LINEST VARS'!$M$50*(4^2)+'LINEST VARS'!$L$50*(0.5^2)+'LINEST VARS'!$K$50*(12.73^2)+'LINEST VARS'!$J$50*($AL$8*$Z22)+'LINEST VARS'!$I$50*($AL$8*4)+'LINEST VARS'!$H$50*($AL$8*0.5)+'LINEST VARS'!$G$50*($AL$8*12.73)+'LINEST VARS'!$F$50*($Z22*4)+'LINEST VARS'!$E$50*($Z22*0.5)+'LINEST VARS'!$D$50*($Z22*12.73)+'LINEST VARS'!$C$50*(4*0.5)+'LINEST VARS'!$B$50*(4*12.73)+'LINEST VARS'!$A$50*(0.5*12.73)</f>
        <v>332.53999999999985</v>
      </c>
      <c r="AM22" s="46">
        <f>'LINEST VARS'!$U$50+'LINEST VARS'!$T$50*($AM$8)+'LINEST VARS'!$S$50*($Z22)+'LINEST VARS'!$R$50*(4)+'LINEST VARS'!$Q$50*(0.5)+'LINEST VARS'!$P$50*(12.73)+'LINEST VARS'!$O$50*($AM$8^2)+'LINEST VARS'!$N$50*($Z22^2)+'LINEST VARS'!$M$50*(4^2)+'LINEST VARS'!$L$50*(0.5^2)+'LINEST VARS'!$K$50*(12.73^2)+'LINEST VARS'!$J$50*($AM$8*$Z22)+'LINEST VARS'!$I$50*($AM$8*4)+'LINEST VARS'!$H$50*($AM$8*0.5)+'LINEST VARS'!$G$50*($AM$8*12.73)+'LINEST VARS'!$F$50*($Z22*4)+'LINEST VARS'!$E$50*($Z22*0.5)+'LINEST VARS'!$D$50*($Z22*12.73)+'LINEST VARS'!$C$50*(4*0.5)+'LINEST VARS'!$B$50*(4*12.73)+'LINEST VARS'!$A$50*(0.5*12.73)</f>
        <v>332.62999999999988</v>
      </c>
      <c r="AN22" s="46">
        <f>'LINEST VARS'!$U$50+'LINEST VARS'!$T$50*($AN$8)+'LINEST VARS'!$S$50*($Z22)+'LINEST VARS'!$R$50*(4)+'LINEST VARS'!$Q$50*(0.5)+'LINEST VARS'!$P$50*(12.73)+'LINEST VARS'!$O$50*($AN$8^2)+'LINEST VARS'!$N$50*($Z22^2)+'LINEST VARS'!$M$50*(4^2)+'LINEST VARS'!$L$50*(0.5^2)+'LINEST VARS'!$K$50*(12.73^2)+'LINEST VARS'!$J$50*($AN$8*$Z22)+'LINEST VARS'!$I$50*($AN$8*4)+'LINEST VARS'!$H$50*($AN$8*0.5)+'LINEST VARS'!$G$50*($AN$8*12.73)+'LINEST VARS'!$F$50*($Z22*4)+'LINEST VARS'!$E$50*($Z22*0.5)+'LINEST VARS'!$D$50*($Z22*12.73)+'LINEST VARS'!$C$50*(4*0.5)+'LINEST VARS'!$B$50*(4*12.73)+'LINEST VARS'!$A$50*(0.5*12.73)</f>
        <v>332.71999999999986</v>
      </c>
      <c r="AO22" s="46">
        <f>'LINEST VARS'!$U$50+'LINEST VARS'!$T$50*($AO$8)+'LINEST VARS'!$S$50*($Z22)+'LINEST VARS'!$R$50*(4)+'LINEST VARS'!$Q$50*(0.5)+'LINEST VARS'!$P$50*(12.73)+'LINEST VARS'!$O$50*($AO$8^2)+'LINEST VARS'!$N$50*($Z22^2)+'LINEST VARS'!$M$50*(4^2)+'LINEST VARS'!$L$50*(0.5^2)+'LINEST VARS'!$K$50*(12.73^2)+'LINEST VARS'!$J$50*($AO$8*$Z22)+'LINEST VARS'!$I$50*($AO$8*4)+'LINEST VARS'!$H$50*($AO$8*0.5)+'LINEST VARS'!$G$50*($AO$8*12.73)+'LINEST VARS'!$F$50*($Z22*4)+'LINEST VARS'!$E$50*($Z22*0.5)+'LINEST VARS'!$D$50*($Z22*12.73)+'LINEST VARS'!$C$50*(4*0.5)+'LINEST VARS'!$B$50*(4*12.73)+'LINEST VARS'!$A$50*(0.5*12.73)</f>
        <v>332.80999999999989</v>
      </c>
      <c r="AP22" s="46">
        <f>'LINEST VARS'!$U$50+'LINEST VARS'!$T$50*($AP$8)+'LINEST VARS'!$S$50*($Z22)+'LINEST VARS'!$R$50*(4)+'LINEST VARS'!$Q$50*(0.5)+'LINEST VARS'!$P$50*(12.73)+'LINEST VARS'!$O$50*($AP$8^2)+'LINEST VARS'!$N$50*($Z22^2)+'LINEST VARS'!$M$50*(4^2)+'LINEST VARS'!$L$50*(0.5^2)+'LINEST VARS'!$K$50*(12.73^2)+'LINEST VARS'!$J$50*($AP$8*$Z22)+'LINEST VARS'!$I$50*($AP$8*4)+'LINEST VARS'!$H$50*($AP$8*0.5)+'LINEST VARS'!$G$50*($AP$8*12.73)+'LINEST VARS'!$F$50*($Z22*4)+'LINEST VARS'!$E$50*($Z22*0.5)+'LINEST VARS'!$D$50*($Z22*12.73)+'LINEST VARS'!$C$50*(4*0.5)+'LINEST VARS'!$B$50*(4*12.73)+'LINEST VARS'!$A$50*(0.5*12.73)</f>
        <v>332.89999999999986</v>
      </c>
      <c r="AQ22" s="46">
        <f>'LINEST VARS'!$U$50+'LINEST VARS'!$T$50*($AQ$8)+'LINEST VARS'!$S$50*($Z22)+'LINEST VARS'!$R$50*(4)+'LINEST VARS'!$Q$50*(0.5)+'LINEST VARS'!$P$50*(12.73)+'LINEST VARS'!$O$50*($AQ$8^2)+'LINEST VARS'!$N$50*($Z22^2)+'LINEST VARS'!$M$50*(4^2)+'LINEST VARS'!$L$50*(0.5^2)+'LINEST VARS'!$K$50*(12.73^2)+'LINEST VARS'!$J$50*($AQ$8*$Z22)+'LINEST VARS'!$I$50*($AQ$8*4)+'LINEST VARS'!$H$50*($AQ$8*0.5)+'LINEST VARS'!$G$50*($AQ$8*12.73)+'LINEST VARS'!$F$50*($Z22*4)+'LINEST VARS'!$E$50*($Z22*0.5)+'LINEST VARS'!$D$50*($Z22*12.73)+'LINEST VARS'!$C$50*(4*0.5)+'LINEST VARS'!$B$50*(4*12.73)+'LINEST VARS'!$A$50*(0.5*12.73)</f>
        <v>332.9899999999999</v>
      </c>
      <c r="AR22" s="46">
        <f>'LINEST VARS'!$U$50+'LINEST VARS'!$T$50*($AR$8)+'LINEST VARS'!$S$50*($Z22)+'LINEST VARS'!$R$50*(4)+'LINEST VARS'!$Q$50*(0.5)+'LINEST VARS'!$P$50*(12.73)+'LINEST VARS'!$O$50*($AR$8^2)+'LINEST VARS'!$N$50*($Z22^2)+'LINEST VARS'!$M$50*(4^2)+'LINEST VARS'!$L$50*(0.5^2)+'LINEST VARS'!$K$50*(12.73^2)+'LINEST VARS'!$J$50*($AR$8*$Z22)+'LINEST VARS'!$I$50*($AR$8*4)+'LINEST VARS'!$H$50*($AR$8*0.5)+'LINEST VARS'!$G$50*($AR$8*12.73)+'LINEST VARS'!$F$50*($Z22*4)+'LINEST VARS'!$E$50*($Z22*0.5)+'LINEST VARS'!$D$50*($Z22*12.73)+'LINEST VARS'!$C$50*(4*0.5)+'LINEST VARS'!$B$50*(4*12.73)+'LINEST VARS'!$A$50*(0.5*12.73)</f>
        <v>333.07999999999987</v>
      </c>
      <c r="AS22" s="46">
        <f>'LINEST VARS'!$U$50+'LINEST VARS'!$T$50*($AS$8)+'LINEST VARS'!$S$50*($Z22)+'LINEST VARS'!$R$50*(4)+'LINEST VARS'!$Q$50*(0.5)+'LINEST VARS'!$P$50*(12.73)+'LINEST VARS'!$O$50*($AS$8^2)+'LINEST VARS'!$N$50*($Z22^2)+'LINEST VARS'!$M$50*(4^2)+'LINEST VARS'!$L$50*(0.5^2)+'LINEST VARS'!$K$50*(12.73^2)+'LINEST VARS'!$J$50*($AS$8*$Z22)+'LINEST VARS'!$I$50*($AS$8*4)+'LINEST VARS'!$H$50*($AS$8*0.5)+'LINEST VARS'!$G$50*($AS$8*12.73)+'LINEST VARS'!$F$50*($Z22*4)+'LINEST VARS'!$E$50*($Z22*0.5)+'LINEST VARS'!$D$50*($Z22*12.73)+'LINEST VARS'!$C$50*(4*0.5)+'LINEST VARS'!$B$50*(4*12.73)+'LINEST VARS'!$A$50*(0.5*12.73)</f>
        <v>333.16999999999985</v>
      </c>
      <c r="AT22" s="46">
        <f>'LINEST VARS'!$U$50+'LINEST VARS'!$T$50*($AT$8)+'LINEST VARS'!$S$50*($Z22)+'LINEST VARS'!$R$50*(4)+'LINEST VARS'!$Q$50*(0.5)+'LINEST VARS'!$P$50*(12.73)+'LINEST VARS'!$O$50*($AT$8^2)+'LINEST VARS'!$N$50*($Z22^2)+'LINEST VARS'!$M$50*(4^2)+'LINEST VARS'!$L$50*(0.5^2)+'LINEST VARS'!$K$50*(12.73^2)+'LINEST VARS'!$J$50*($AT$8*$Z22)+'LINEST VARS'!$I$50*($AT$8*4)+'LINEST VARS'!$H$50*($AT$8*0.5)+'LINEST VARS'!$G$50*($AT$8*12.73)+'LINEST VARS'!$F$50*($Z22*4)+'LINEST VARS'!$E$50*($Z22*0.5)+'LINEST VARS'!$D$50*($Z22*12.73)+'LINEST VARS'!$C$50*(4*0.5)+'LINEST VARS'!$B$50*(4*12.73)+'LINEST VARS'!$A$50*(0.5*12.73)</f>
        <v>333.25999999999988</v>
      </c>
      <c r="AU22" s="47">
        <f>'LINEST VARS'!$U$50+'LINEST VARS'!$T$50*($AU$8)+'LINEST VARS'!$S$50*($Z22)+'LINEST VARS'!$R$50*(4)+'LINEST VARS'!$Q$50*(0.5)+'LINEST VARS'!$P$50*(12.73)+'LINEST VARS'!$O$50*($AU$8^2)+'LINEST VARS'!$N$50*($Z22^2)+'LINEST VARS'!$M$50*(4^2)+'LINEST VARS'!$L$50*(0.5^2)+'LINEST VARS'!$K$50*(12.73^2)+'LINEST VARS'!$J$50*($AU$8*$Z22)+'LINEST VARS'!$I$50*($AU$8*4)+'LINEST VARS'!$H$50*($AU$8*0.5)+'LINEST VARS'!$G$50*($AU$8*12.73)+'LINEST VARS'!$F$50*($Z22*4)+'LINEST VARS'!$E$50*($Z22*0.5)+'LINEST VARS'!$D$50*($Z22*12.73)+'LINEST VARS'!$C$50*(4*0.5)+'LINEST VARS'!$B$50*(4*12.73)+'LINEST VARS'!$A$50*(0.5*12.73)</f>
        <v>333.34999999999985</v>
      </c>
      <c r="AZ22" s="45">
        <v>0.65</v>
      </c>
      <c r="BA22" s="46">
        <f>'LINEST VARS'!$U$48+'LINEST VARS'!$T$48*(8)+'LINEST VARS'!$S$48*(8)+'LINEST VARS'!$R$48*($BA$8)+'LINEST VARS'!$Q$48*($AZ22)+'LINEST VARS'!$P$48*(12.73)+'LINEST VARS'!$O$48*(8^2)+'LINEST VARS'!$N$48*(8^2)+'LINEST VARS'!$M$48*($BA$8^2)+'LINEST VARS'!$L$48*($AZ22^2)+'LINEST VARS'!$K$48*(12.73^2)+'LINEST VARS'!$J$48*(8*8)+'LINEST VARS'!$I$48*(8*$BA$8)+'LINEST VARS'!$H$48*(8*$AZ22)+'LINEST VARS'!$G$48*(8*12.73)+'LINEST VARS'!$F$48*(8*$BA$8)+'LINEST VARS'!$E$48*(8*$AZ22)+'LINEST VARS'!$D$48*(8*12.73)+'LINEST VARS'!$C$48*($BA$8*$AZ22)+'LINEST VARS'!$B$48*($BA$8*12.73)+'LINEST VARS'!$A$48*($AZ22*12.73)</f>
        <v>369.99999999999989</v>
      </c>
      <c r="BB22" s="46">
        <f>'LINEST VARS'!$U$48+'LINEST VARS'!$T$48*(8)+'LINEST VARS'!$S$48*(8)+'LINEST VARS'!$R$48*($BB$8)+'LINEST VARS'!$Q$48*($AZ22)+'LINEST VARS'!$P$48*(12.73)+'LINEST VARS'!$O$48*(8^2)+'LINEST VARS'!$N$48*(8^2)+'LINEST VARS'!$M$48*($BB$8^2)+'LINEST VARS'!$L$48*($AZ22^2)+'LINEST VARS'!$K$48*(12.73^2)+'LINEST VARS'!$J$48*(8*8)+'LINEST VARS'!$I$48*(8*$BB$8)+'LINEST VARS'!$H$48*(8*$AZ22)+'LINEST VARS'!$G$48*(8*12.73)+'LINEST VARS'!$F$48*(8*$BB$8)+'LINEST VARS'!$E$48*(8*$AZ22)+'LINEST VARS'!$D$48*(8*12.73)+'LINEST VARS'!$C$48*($BB$8*$AZ22)+'LINEST VARS'!$B$48*($BB$8*12.73)+'LINEST VARS'!$A$48*($AZ22*12.73)</f>
        <v>369.99999999999989</v>
      </c>
      <c r="BC22" s="46">
        <f>'LINEST VARS'!$U$48+'LINEST VARS'!$T$48*(8)+'LINEST VARS'!$S$48*(8)+'LINEST VARS'!$R$48*($BC$8)+'LINEST VARS'!$Q$48*($AZ22)+'LINEST VARS'!$P$48*(12.73)+'LINEST VARS'!$O$48*(8^2)+'LINEST VARS'!$N$48*(8^2)+'LINEST VARS'!$M$48*($BC$8^2)+'LINEST VARS'!$L$48*($AZ22^2)+'LINEST VARS'!$K$48*(12.73^2)+'LINEST VARS'!$J$48*(8*8)+'LINEST VARS'!$I$48*(8*$BC$8)+'LINEST VARS'!$H$48*(8*$AZ22)+'LINEST VARS'!$G$48*(8*12.73)+'LINEST VARS'!$F$48*(8*$BC$8)+'LINEST VARS'!$E$48*(8*$AZ22)+'LINEST VARS'!$D$48*(8*12.73)+'LINEST VARS'!$C$48*($BC$8*$AZ22)+'LINEST VARS'!$B$48*($BC$8*12.73)+'LINEST VARS'!$A$48*($AZ22*12.73)</f>
        <v>369.99999999999989</v>
      </c>
      <c r="BD22" s="46">
        <f>'LINEST VARS'!$U$48+'LINEST VARS'!$T$48*(8)+'LINEST VARS'!$S$48*(8)+'LINEST VARS'!$R$48*($BD$8)+'LINEST VARS'!$Q$48*($AZ22)+'LINEST VARS'!$P$48*(12.73)+'LINEST VARS'!$O$48*(8^2)+'LINEST VARS'!$N$48*(8^2)+'LINEST VARS'!$M$48*($BD$8^2)+'LINEST VARS'!$L$48*($AZ22^2)+'LINEST VARS'!$K$48*(12.73^2)+'LINEST VARS'!$J$48*(8*8)+'LINEST VARS'!$I$48*(8*$BD$8)+'LINEST VARS'!$H$48*(8*$AZ22)+'LINEST VARS'!$G$48*(8*12.73)+'LINEST VARS'!$F$48*(8*$BD$8)+'LINEST VARS'!$E$48*(8*$AZ22)+'LINEST VARS'!$D$48*(8*12.73)+'LINEST VARS'!$C$48*($BD$8*$AZ22)+'LINEST VARS'!$B$48*($BD$8*12.73)+'LINEST VARS'!$A$48*($AZ22*12.73)</f>
        <v>369.99999999999989</v>
      </c>
      <c r="BE22" s="46">
        <f>'LINEST VARS'!$U$48+'LINEST VARS'!$T$48*(8)+'LINEST VARS'!$S$48*(8)+'LINEST VARS'!$R$48*($BE$8)+'LINEST VARS'!$Q$48*($AZ22)+'LINEST VARS'!$P$48*(12.73)+'LINEST VARS'!$O$48*(8^2)+'LINEST VARS'!$N$48*(8^2)+'LINEST VARS'!$M$48*($BE$8^2)+'LINEST VARS'!$L$48*($AZ22^2)+'LINEST VARS'!$K$48*(12.73^2)+'LINEST VARS'!$J$48*(8*8)+'LINEST VARS'!$I$48*(8*$BE$8)+'LINEST VARS'!$H$48*(8*$AZ22)+'LINEST VARS'!$G$48*(8*12.73)+'LINEST VARS'!$F$48*(8*$BE$8)+'LINEST VARS'!$E$48*(8*$AZ22)+'LINEST VARS'!$D$48*(8*12.73)+'LINEST VARS'!$C$48*($BE$8*$AZ22)+'LINEST VARS'!$B$48*($BE$8*12.73)+'LINEST VARS'!$A$48*($AZ22*12.73)</f>
        <v>369.99999999999989</v>
      </c>
      <c r="BF22" s="46">
        <f>'LINEST VARS'!$U$48+'LINEST VARS'!$T$48*(8)+'LINEST VARS'!$S$48*(8)+'LINEST VARS'!$R$48*($BF$8)+'LINEST VARS'!$Q$48*($AZ22)+'LINEST VARS'!$P$48*(12.73)+'LINEST VARS'!$O$48*(8^2)+'LINEST VARS'!$N$48*(8^2)+'LINEST VARS'!$M$48*($BF$8^2)+'LINEST VARS'!$L$48*($AZ22^2)+'LINEST VARS'!$K$48*(12.73^2)+'LINEST VARS'!$J$48*(8*8)+'LINEST VARS'!$I$48*(8*$BF$8)+'LINEST VARS'!$H$48*(8*$AZ22)+'LINEST VARS'!$G$48*(8*12.73)+'LINEST VARS'!$F$48*(8*$BF$8)+'LINEST VARS'!$E$48*(8*$AZ22)+'LINEST VARS'!$D$48*(8*12.73)+'LINEST VARS'!$C$48*($BF$8*$AZ22)+'LINEST VARS'!$B$48*($BF$8*12.73)+'LINEST VARS'!$A$48*($AZ22*12.73)</f>
        <v>369.99999999999989</v>
      </c>
      <c r="BG22" s="46">
        <f>'LINEST VARS'!$U$48+'LINEST VARS'!$T$48*(8)+'LINEST VARS'!$S$48*(8)+'LINEST VARS'!$R$48*($BG$8)+'LINEST VARS'!$Q$48*($AZ22)+'LINEST VARS'!$P$48*(12.73)+'LINEST VARS'!$O$48*(8^2)+'LINEST VARS'!$N$48*(8^2)+'LINEST VARS'!$M$48*($BG$8^2)+'LINEST VARS'!$L$48*($AZ22^2)+'LINEST VARS'!$K$48*(12.73^2)+'LINEST VARS'!$J$48*(8*8)+'LINEST VARS'!$I$48*(8*$BG$8)+'LINEST VARS'!$H$48*(8*$AZ22)+'LINEST VARS'!$G$48*(8*12.73)+'LINEST VARS'!$F$48*(8*$BG$8)+'LINEST VARS'!$E$48*(8*$AZ22)+'LINEST VARS'!$D$48*(8*12.73)+'LINEST VARS'!$C$48*($BG$8*$AZ22)+'LINEST VARS'!$B$48*($BG$8*12.73)+'LINEST VARS'!$A$48*($AZ22*12.73)</f>
        <v>369.99999999999989</v>
      </c>
      <c r="BH22" s="46">
        <f>'LINEST VARS'!$U$48+'LINEST VARS'!$T$48*(8)+'LINEST VARS'!$S$48*(8)+'LINEST VARS'!$R$48*($BH$8)+'LINEST VARS'!$Q$48*($AZ22)+'LINEST VARS'!$P$48*(12.73)+'LINEST VARS'!$O$48*(8^2)+'LINEST VARS'!$N$48*(8^2)+'LINEST VARS'!$M$48*($BH$8^2)+'LINEST VARS'!$L$48*($AZ22^2)+'LINEST VARS'!$K$48*(12.73^2)+'LINEST VARS'!$J$48*(8*8)+'LINEST VARS'!$I$48*(8*$BH$8)+'LINEST VARS'!$H$48*(8*$AZ22)+'LINEST VARS'!$G$48*(8*12.73)+'LINEST VARS'!$F$48*(8*$BH$8)+'LINEST VARS'!$E$48*(8*$AZ22)+'LINEST VARS'!$D$48*(8*12.73)+'LINEST VARS'!$C$48*($BH$8*$AZ22)+'LINEST VARS'!$B$48*($BH$8*12.73)+'LINEST VARS'!$A$48*($AZ22*12.73)</f>
        <v>369.99999999999989</v>
      </c>
      <c r="BI22" s="46">
        <f>'LINEST VARS'!$U$48+'LINEST VARS'!$T$48*(8)+'LINEST VARS'!$S$48*(8)+'LINEST VARS'!$R$48*($BI$8)+'LINEST VARS'!$Q$48*($AZ22)+'LINEST VARS'!$P$48*(12.73)+'LINEST VARS'!$O$48*(8^2)+'LINEST VARS'!$N$48*(8^2)+'LINEST VARS'!$M$48*($BI$8^2)+'LINEST VARS'!$L$48*($AZ22^2)+'LINEST VARS'!$K$48*(12.73^2)+'LINEST VARS'!$J$48*(8*8)+'LINEST VARS'!$I$48*(8*$BI$8)+'LINEST VARS'!$H$48*(8*$AZ22)+'LINEST VARS'!$G$48*(8*12.73)+'LINEST VARS'!$F$48*(8*$BI$8)+'LINEST VARS'!$E$48*(8*$AZ22)+'LINEST VARS'!$D$48*(8*12.73)+'LINEST VARS'!$C$48*($BI$8*$AZ22)+'LINEST VARS'!$B$48*($BI$8*12.73)+'LINEST VARS'!$A$48*($AZ22*12.73)</f>
        <v>369.99999999999989</v>
      </c>
      <c r="BJ22" s="46">
        <f>'LINEST VARS'!$U$48+'LINEST VARS'!$T$48*(8)+'LINEST VARS'!$S$48*(8)+'LINEST VARS'!$R$48*($BJ$8)+'LINEST VARS'!$Q$48*($AZ22)+'LINEST VARS'!$P$48*(12.73)+'LINEST VARS'!$O$48*(8^2)+'LINEST VARS'!$N$48*(8^2)+'LINEST VARS'!$M$48*($BJ$8^2)+'LINEST VARS'!$L$48*($AZ22^2)+'LINEST VARS'!$K$48*(12.73^2)+'LINEST VARS'!$J$48*(8*8)+'LINEST VARS'!$I$48*(8*$BJ$8)+'LINEST VARS'!$H$48*(8*$AZ22)+'LINEST VARS'!$G$48*(8*12.73)+'LINEST VARS'!$F$48*(8*$BJ$8)+'LINEST VARS'!$E$48*(8*$AZ22)+'LINEST VARS'!$D$48*(8*12.73)+'LINEST VARS'!$C$48*($BJ$8*$AZ22)+'LINEST VARS'!$B$48*($BJ$8*12.73)+'LINEST VARS'!$A$48*($AZ22*12.73)</f>
        <v>369.99999999999989</v>
      </c>
      <c r="BK22" s="46">
        <f>'LINEST VARS'!$U$48+'LINEST VARS'!$T$48*(8)+'LINEST VARS'!$S$48*(8)+'LINEST VARS'!$R$48*($BK$8)+'LINEST VARS'!$Q$48*($AZ22)+'LINEST VARS'!$P$48*(12.73)+'LINEST VARS'!$O$48*(8^2)+'LINEST VARS'!$N$48*(8^2)+'LINEST VARS'!$M$48*($BK$8^2)+'LINEST VARS'!$L$48*($AZ22^2)+'LINEST VARS'!$K$48*(12.73^2)+'LINEST VARS'!$J$48*(8*8)+'LINEST VARS'!$I$48*(8*$BK$8)+'LINEST VARS'!$H$48*(8*$AZ22)+'LINEST VARS'!$G$48*(8*12.73)+'LINEST VARS'!$F$48*(8*$BK$8)+'LINEST VARS'!$E$48*(8*$AZ22)+'LINEST VARS'!$D$48*(8*12.73)+'LINEST VARS'!$C$48*($BK$8*$AZ22)+'LINEST VARS'!$B$48*($BK$8*12.73)+'LINEST VARS'!$A$48*($AZ22*12.73)</f>
        <v>369.99999999999989</v>
      </c>
      <c r="BL22" s="46">
        <f>'LINEST VARS'!$U$48+'LINEST VARS'!$T$48*(8)+'LINEST VARS'!$S$48*(8)+'LINEST VARS'!$R$48*($BL$8)+'LINEST VARS'!$Q$48*($AZ22)+'LINEST VARS'!$P$48*(12.73)+'LINEST VARS'!$O$48*(8^2)+'LINEST VARS'!$N$48*(8^2)+'LINEST VARS'!$M$48*($BL$8^2)+'LINEST VARS'!$L$48*($AZ22^2)+'LINEST VARS'!$K$48*(12.73^2)+'LINEST VARS'!$J$48*(8*8)+'LINEST VARS'!$I$48*(8*$BL$8)+'LINEST VARS'!$H$48*(8*$AZ22)+'LINEST VARS'!$G$48*(8*12.73)+'LINEST VARS'!$F$48*(8*$BL$8)+'LINEST VARS'!$E$48*(8*$AZ22)+'LINEST VARS'!$D$48*(8*12.73)+'LINEST VARS'!$C$48*($BL$8*$AZ22)+'LINEST VARS'!$B$48*($BL$8*12.73)+'LINEST VARS'!$A$48*($AZ22*12.73)</f>
        <v>369.99999999999989</v>
      </c>
      <c r="BM22" s="46">
        <f>'LINEST VARS'!$U$48+'LINEST VARS'!$T$48*(8)+'LINEST VARS'!$S$48*(8)+'LINEST VARS'!$R$48*($BM$8)+'LINEST VARS'!$Q$48*($AZ22)+'LINEST VARS'!$P$48*(12.73)+'LINEST VARS'!$O$48*(8^2)+'LINEST VARS'!$N$48*(8^2)+'LINEST VARS'!$M$48*($BM$8^2)+'LINEST VARS'!$L$48*($AZ22^2)+'LINEST VARS'!$K$48*(12.73^2)+'LINEST VARS'!$J$48*(8*8)+'LINEST VARS'!$I$48*(8*$BM$8)+'LINEST VARS'!$H$48*(8*$AZ22)+'LINEST VARS'!$G$48*(8*12.73)+'LINEST VARS'!$F$48*(8*$BM$8)+'LINEST VARS'!$E$48*(8*$AZ22)+'LINEST VARS'!$D$48*(8*12.73)+'LINEST VARS'!$C$48*($BM$8*$AZ22)+'LINEST VARS'!$B$48*($BM$8*12.73)+'LINEST VARS'!$A$48*($AZ22*12.73)</f>
        <v>369.99999999999989</v>
      </c>
      <c r="BN22" s="46">
        <f>'LINEST VARS'!$U$48+'LINEST VARS'!$T$48*(8)+'LINEST VARS'!$S$48*(8)+'LINEST VARS'!$R$48*($BN$8)+'LINEST VARS'!$Q$48*($AZ22)+'LINEST VARS'!$P$48*(12.73)+'LINEST VARS'!$O$48*(8^2)+'LINEST VARS'!$N$48*(8^2)+'LINEST VARS'!$M$48*($BN$8^2)+'LINEST VARS'!$L$48*($AZ22^2)+'LINEST VARS'!$K$48*(12.73^2)+'LINEST VARS'!$J$48*(8*8)+'LINEST VARS'!$I$48*(8*$BN$8)+'LINEST VARS'!$H$48*(8*$AZ22)+'LINEST VARS'!$G$48*(8*12.73)+'LINEST VARS'!$F$48*(8*$BN$8)+'LINEST VARS'!$E$48*(8*$AZ22)+'LINEST VARS'!$D$48*(8*12.73)+'LINEST VARS'!$C$48*($BN$8*$AZ22)+'LINEST VARS'!$B$48*($BN$8*12.73)+'LINEST VARS'!$A$48*($AZ22*12.73)</f>
        <v>369.99999999999994</v>
      </c>
      <c r="BO22" s="46">
        <f>'LINEST VARS'!$U$48+'LINEST VARS'!$T$48*(8)+'LINEST VARS'!$S$48*(8)+'LINEST VARS'!$R$48*($BO$8)+'LINEST VARS'!$Q$48*($AZ22)+'LINEST VARS'!$P$48*(12.73)+'LINEST VARS'!$O$48*(8^2)+'LINEST VARS'!$N$48*(8^2)+'LINEST VARS'!$M$48*($BO$8^2)+'LINEST VARS'!$L$48*($AZ22^2)+'LINEST VARS'!$K$48*(12.73^2)+'LINEST VARS'!$J$48*(8*8)+'LINEST VARS'!$I$48*(8*$BO$8)+'LINEST VARS'!$H$48*(8*$AZ22)+'LINEST VARS'!$G$48*(8*12.73)+'LINEST VARS'!$F$48*(8*$BO$8)+'LINEST VARS'!$E$48*(8*$AZ22)+'LINEST VARS'!$D$48*(8*12.73)+'LINEST VARS'!$C$48*($BO$8*$AZ22)+'LINEST VARS'!$B$48*($BO$8*12.73)+'LINEST VARS'!$A$48*($AZ22*12.73)</f>
        <v>369.99999999999994</v>
      </c>
      <c r="BP22" s="46">
        <f>'LINEST VARS'!$U$48+'LINEST VARS'!$T$48*(8)+'LINEST VARS'!$S$48*(8)+'LINEST VARS'!$R$48*($BP$8)+'LINEST VARS'!$Q$48*($AZ22)+'LINEST VARS'!$P$48*(12.73)+'LINEST VARS'!$O$48*(8^2)+'LINEST VARS'!$N$48*(8^2)+'LINEST VARS'!$M$48*($BP$8^2)+'LINEST VARS'!$L$48*($AZ22^2)+'LINEST VARS'!$K$48*(12.73^2)+'LINEST VARS'!$J$48*(8*8)+'LINEST VARS'!$I$48*(8*$BP$8)+'LINEST VARS'!$H$48*(8*$AZ22)+'LINEST VARS'!$G$48*(8*12.73)+'LINEST VARS'!$F$48*(8*$BP$8)+'LINEST VARS'!$E$48*(8*$AZ22)+'LINEST VARS'!$D$48*(8*12.73)+'LINEST VARS'!$C$48*($BP$8*$AZ22)+'LINEST VARS'!$B$48*($BP$8*12.73)+'LINEST VARS'!$A$48*($AZ22*12.73)</f>
        <v>369.99999999999994</v>
      </c>
      <c r="BQ22" s="46">
        <f>'LINEST VARS'!$U$48+'LINEST VARS'!$T$48*(8)+'LINEST VARS'!$S$48*(8)+'LINEST VARS'!$R$48*($BQ$8)+'LINEST VARS'!$Q$48*($AZ22)+'LINEST VARS'!$P$48*(12.73)+'LINEST VARS'!$O$48*(8^2)+'LINEST VARS'!$N$48*(8^2)+'LINEST VARS'!$M$48*($BQ$8^2)+'LINEST VARS'!$L$48*($AZ22^2)+'LINEST VARS'!$K$48*(12.73^2)+'LINEST VARS'!$J$48*(8*8)+'LINEST VARS'!$I$48*(8*$BQ$8)+'LINEST VARS'!$H$48*(8*$AZ22)+'LINEST VARS'!$G$48*(8*12.73)+'LINEST VARS'!$F$48*(8*$BQ$8)+'LINEST VARS'!$E$48*(8*$AZ22)+'LINEST VARS'!$D$48*(8*12.73)+'LINEST VARS'!$C$48*($BQ$8*$AZ22)+'LINEST VARS'!$B$48*($BQ$8*12.73)+'LINEST VARS'!$A$48*($AZ22*12.73)</f>
        <v>369.99999999999989</v>
      </c>
      <c r="BR22" s="46">
        <f>'LINEST VARS'!$U$48+'LINEST VARS'!$T$48*(8)+'LINEST VARS'!$S$48*(8)+'LINEST VARS'!$R$48*($BR$8)+'LINEST VARS'!$Q$48*($AZ22)+'LINEST VARS'!$P$48*(12.73)+'LINEST VARS'!$O$48*(8^2)+'LINEST VARS'!$N$48*(8^2)+'LINEST VARS'!$M$48*($BR$8^2)+'LINEST VARS'!$L$48*($AZ22^2)+'LINEST VARS'!$K$48*(12.73^2)+'LINEST VARS'!$J$48*(8*8)+'LINEST VARS'!$I$48*(8*$BR$8)+'LINEST VARS'!$H$48*(8*$AZ22)+'LINEST VARS'!$G$48*(8*12.73)+'LINEST VARS'!$F$48*(8*$BR$8)+'LINEST VARS'!$E$48*(8*$AZ22)+'LINEST VARS'!$D$48*(8*12.73)+'LINEST VARS'!$C$48*($BR$8*$AZ22)+'LINEST VARS'!$B$48*($BR$8*12.73)+'LINEST VARS'!$A$48*($AZ22*12.73)</f>
        <v>369.99999999999989</v>
      </c>
      <c r="BS22" s="46">
        <f>'LINEST VARS'!$U$48+'LINEST VARS'!$T$48*(8)+'LINEST VARS'!$S$48*(8)+'LINEST VARS'!$R$48*($BS$8)+'LINEST VARS'!$Q$48*($AZ22)+'LINEST VARS'!$P$48*(12.73)+'LINEST VARS'!$O$48*(8^2)+'LINEST VARS'!$N$48*(8^2)+'LINEST VARS'!$M$48*($BS$8^2)+'LINEST VARS'!$L$48*($AZ22^2)+'LINEST VARS'!$K$48*(12.73^2)+'LINEST VARS'!$J$48*(8*8)+'LINEST VARS'!$I$48*(8*$BS$8)+'LINEST VARS'!$H$48*(8*$AZ22)+'LINEST VARS'!$G$48*(8*12.73)+'LINEST VARS'!$F$48*(8*$BS$8)+'LINEST VARS'!$E$48*(8*$AZ22)+'LINEST VARS'!$D$48*(8*12.73)+'LINEST VARS'!$C$48*($BS$8*$AZ22)+'LINEST VARS'!$B$48*($BS$8*12.73)+'LINEST VARS'!$A$48*($AZ22*12.73)</f>
        <v>369.99999999999989</v>
      </c>
      <c r="BT22" s="46">
        <f>'LINEST VARS'!$U$48+'LINEST VARS'!$T$48*(8)+'LINEST VARS'!$S$48*(8)+'LINEST VARS'!$R$48*($BT$8)+'LINEST VARS'!$Q$48*($AZ22)+'LINEST VARS'!$P$48*(12.73)+'LINEST VARS'!$O$48*(8^2)+'LINEST VARS'!$N$48*(8^2)+'LINEST VARS'!$M$48*($BT$8^2)+'LINEST VARS'!$L$48*($AZ22^2)+'LINEST VARS'!$K$48*(12.73^2)+'LINEST VARS'!$J$48*(8*8)+'LINEST VARS'!$I$48*(8*$BT$8)+'LINEST VARS'!$H$48*(8*$AZ22)+'LINEST VARS'!$G$48*(8*12.73)+'LINEST VARS'!$F$48*(8*$BT$8)+'LINEST VARS'!$E$48*(8*$AZ22)+'LINEST VARS'!$D$48*(8*12.73)+'LINEST VARS'!$C$48*($BT$8*$AZ22)+'LINEST VARS'!$B$48*($BT$8*12.73)+'LINEST VARS'!$A$48*($AZ22*12.73)</f>
        <v>369.99999999999983</v>
      </c>
      <c r="BU22" s="47">
        <f>'LINEST VARS'!$U$48+'LINEST VARS'!$T$48*(8)+'LINEST VARS'!$S$48*(8)+'LINEST VARS'!$R$48*($BU$8)+'LINEST VARS'!$Q$48*($AZ22)+'LINEST VARS'!$P$48*(12.73)+'LINEST VARS'!$O$48*(8^2)+'LINEST VARS'!$N$48*(8^2)+'LINEST VARS'!$M$48*($BU$8^2)+'LINEST VARS'!$L$48*($AZ22^2)+'LINEST VARS'!$K$48*(12.73^2)+'LINEST VARS'!$J$48*(8*8)+'LINEST VARS'!$I$48*(8*$BU$8)+'LINEST VARS'!$H$48*(8*$AZ22)+'LINEST VARS'!$G$48*(8*12.73)+'LINEST VARS'!$F$48*(8*$BU$8)+'LINEST VARS'!$E$48*(8*$AZ22)+'LINEST VARS'!$D$48*(8*12.73)+'LINEST VARS'!$C$48*($BU$8*$AZ22)+'LINEST VARS'!$B$48*($BU$8*12.73)+'LINEST VARS'!$A$48*($AZ22*12.73)</f>
        <v>369.99999999999983</v>
      </c>
      <c r="BX22" s="45">
        <v>0.65</v>
      </c>
      <c r="BY22" s="46">
        <f>'LINEST VARS'!$U$50+'LINEST VARS'!$T$50*(8)+'LINEST VARS'!$S$50*(8)+'LINEST VARS'!$R$50*($BY$8)+'LINEST VARS'!$Q$50*($BX22)+'LINEST VARS'!$P$50*(12.73)+'LINEST VARS'!$O$50*(8^2)+'LINEST VARS'!$N$50*(8^2)+'LINEST VARS'!$M$50*($BY$8^2)+'LINEST VARS'!$L$50*($BX22^2)+'LINEST VARS'!$K$50*(12.73^2)+'LINEST VARS'!$J$50*(8*8)+'LINEST VARS'!$I$50*(8*$BY$8)+'LINEST VARS'!$H$50*(8*$BX22)+'LINEST VARS'!$G$50*(8*12.73)+'LINEST VARS'!$F$50*(8*$BY$8)+'LINEST VARS'!$E$50*(8*$BX22)+'LINEST VARS'!$D$50*(8*12.73)+'LINEST VARS'!$C$50*($BY$8*$BX22)+'LINEST VARS'!$B$50*($BY$8*12.73)+'LINEST VARS'!$A$50*($BX22*12.73)</f>
        <v>331.99999999999989</v>
      </c>
      <c r="BZ22" s="46">
        <f>'LINEST VARS'!$U$50+'LINEST VARS'!$T$50*(8)+'LINEST VARS'!$S$50*(8)+'LINEST VARS'!$R$50*($BZ$8)+'LINEST VARS'!$Q$50*($BX22)+'LINEST VARS'!$P$50*(12.73)+'LINEST VARS'!$O$50*(8^2)+'LINEST VARS'!$N$50*(8^2)+'LINEST VARS'!$M$50*($BZ$8^2)+'LINEST VARS'!$L$50*($BX22^2)+'LINEST VARS'!$K$50*(12.73^2)+'LINEST VARS'!$J$50*(8*8)+'LINEST VARS'!$I$50*(8*$BZ$8)+'LINEST VARS'!$H$50*(8*$BX22)+'LINEST VARS'!$G$50*(8*12.73)+'LINEST VARS'!$F$50*(8*$BZ$8)+'LINEST VARS'!$E$50*(8*$BX22)+'LINEST VARS'!$D$50*(8*12.73)+'LINEST VARS'!$C$50*($BZ$8*$BX22)+'LINEST VARS'!$B$50*($BZ$8*12.73)+'LINEST VARS'!$A$50*($BX22*12.73)</f>
        <v>331.99999999999989</v>
      </c>
      <c r="CA22" s="46">
        <f>'LINEST VARS'!$U$50+'LINEST VARS'!$T$50*(8)+'LINEST VARS'!$S$50*(8)+'LINEST VARS'!$R$50*($CA$8)+'LINEST VARS'!$Q$50*($BX22)+'LINEST VARS'!$P$50*(12.73)+'LINEST VARS'!$O$50*(8^2)+'LINEST VARS'!$N$50*(8^2)+'LINEST VARS'!$M$50*($CA$8^2)+'LINEST VARS'!$L$50*($BX22^2)+'LINEST VARS'!$K$50*(12.73^2)+'LINEST VARS'!$J$50*(8*8)+'LINEST VARS'!$I$50*(8*$CA$8)+'LINEST VARS'!$H$50*(8*$BX22)+'LINEST VARS'!$G$50*(8*12.73)+'LINEST VARS'!$F$50*(8*$CA$8)+'LINEST VARS'!$E$50*(8*$BX22)+'LINEST VARS'!$D$50*(8*12.73)+'LINEST VARS'!$C$50*($CA$8*$BX22)+'LINEST VARS'!$B$50*($CA$8*12.73)+'LINEST VARS'!$A$50*($BX22*12.73)</f>
        <v>331.99999999999989</v>
      </c>
      <c r="CB22" s="46">
        <f>'LINEST VARS'!$U$50+'LINEST VARS'!$T$50*(8)+'LINEST VARS'!$S$50*(8)+'LINEST VARS'!$R$50*($CB$8)+'LINEST VARS'!$Q$50*($BX22)+'LINEST VARS'!$P$50*(12.73)+'LINEST VARS'!$O$50*(8^2)+'LINEST VARS'!$N$50*(8^2)+'LINEST VARS'!$M$50*($CB$8^2)+'LINEST VARS'!$L$50*($BX22^2)+'LINEST VARS'!$K$50*(12.73^2)+'LINEST VARS'!$J$50*(8*8)+'LINEST VARS'!$I$50*(8*$CB$8)+'LINEST VARS'!$H$50*(8*$BX22)+'LINEST VARS'!$G$50*(8*12.73)+'LINEST VARS'!$F$50*(8*$CB$8)+'LINEST VARS'!$E$50*(8*$BX22)+'LINEST VARS'!$D$50*(8*12.73)+'LINEST VARS'!$C$50*($CB$8*$BX22)+'LINEST VARS'!$B$50*($CB$8*12.73)+'LINEST VARS'!$A$50*($BX22*12.73)</f>
        <v>331.99999999999989</v>
      </c>
      <c r="CC22" s="46">
        <f>'LINEST VARS'!$U$50+'LINEST VARS'!$T$50*(8)+'LINEST VARS'!$S$50*(8)+'LINEST VARS'!$R$50*($CC$8)+'LINEST VARS'!$Q$50*($BX22)+'LINEST VARS'!$P$50*(12.73)+'LINEST VARS'!$O$50*(8^2)+'LINEST VARS'!$N$50*(8^2)+'LINEST VARS'!$M$50*($CC$8^2)+'LINEST VARS'!$L$50*($BX22^2)+'LINEST VARS'!$K$50*(12.73^2)+'LINEST VARS'!$J$50*(8*8)+'LINEST VARS'!$I$50*(8*$CC$8)+'LINEST VARS'!$H$50*(8*$BX22)+'LINEST VARS'!$G$50*(8*12.73)+'LINEST VARS'!$F$50*(8*$CC$8)+'LINEST VARS'!$E$50*(8*$BX22)+'LINEST VARS'!$D$50*(8*12.73)+'LINEST VARS'!$C$50*($CC$8*$BX22)+'LINEST VARS'!$B$50*($CC$8*12.73)+'LINEST VARS'!$A$50*($BX22*12.73)</f>
        <v>331.99999999999989</v>
      </c>
      <c r="CD22" s="46">
        <f>'LINEST VARS'!$U$50+'LINEST VARS'!$T$50*(8)+'LINEST VARS'!$S$50*(8)+'LINEST VARS'!$R$50*($CD$8)+'LINEST VARS'!$Q$50*($BX22)+'LINEST VARS'!$P$50*(12.73)+'LINEST VARS'!$O$50*(8^2)+'LINEST VARS'!$N$50*(8^2)+'LINEST VARS'!$M$50*($CD$8^2)+'LINEST VARS'!$L$50*($BX22^2)+'LINEST VARS'!$K$50*(12.73^2)+'LINEST VARS'!$J$50*(8*8)+'LINEST VARS'!$I$50*(8*$CD$8)+'LINEST VARS'!$H$50*(8*$BX22)+'LINEST VARS'!$G$50*(8*12.73)+'LINEST VARS'!$F$50*(8*$CD$8)+'LINEST VARS'!$E$50*(8*$BX22)+'LINEST VARS'!$D$50*(8*12.73)+'LINEST VARS'!$C$50*($CD$8*$BX22)+'LINEST VARS'!$B$50*($CD$8*12.73)+'LINEST VARS'!$A$50*($BX22*12.73)</f>
        <v>331.99999999999989</v>
      </c>
      <c r="CE22" s="46">
        <f>'LINEST VARS'!$U$50+'LINEST VARS'!$T$50*(8)+'LINEST VARS'!$S$50*(8)+'LINEST VARS'!$R$50*($CE$8)+'LINEST VARS'!$Q$50*($BX22)+'LINEST VARS'!$P$50*(12.73)+'LINEST VARS'!$O$50*(8^2)+'LINEST VARS'!$N$50*(8^2)+'LINEST VARS'!$M$50*($CE$8^2)+'LINEST VARS'!$L$50*($BX22^2)+'LINEST VARS'!$K$50*(12.73^2)+'LINEST VARS'!$J$50*(8*8)+'LINEST VARS'!$I$50*(8*$CE$8)+'LINEST VARS'!$H$50*(8*$BX22)+'LINEST VARS'!$G$50*(8*12.73)+'LINEST VARS'!$F$50*(8*$CE$8)+'LINEST VARS'!$E$50*(8*$BX22)+'LINEST VARS'!$D$50*(8*12.73)+'LINEST VARS'!$C$50*($CE$8*$BX22)+'LINEST VARS'!$B$50*($CE$8*12.73)+'LINEST VARS'!$A$50*($BX22*12.73)</f>
        <v>331.99999999999989</v>
      </c>
      <c r="CF22" s="46">
        <f>'LINEST VARS'!$U$50+'LINEST VARS'!$T$50*(8)+'LINEST VARS'!$S$50*(8)+'LINEST VARS'!$R$50*($CF$8)+'LINEST VARS'!$Q$50*($BX22)+'LINEST VARS'!$P$50*(12.73)+'LINEST VARS'!$O$50*(8^2)+'LINEST VARS'!$N$50*(8^2)+'LINEST VARS'!$M$50*($CF$8^2)+'LINEST VARS'!$L$50*($BX22^2)+'LINEST VARS'!$K$50*(12.73^2)+'LINEST VARS'!$J$50*(8*8)+'LINEST VARS'!$I$50*(8*$CF$8)+'LINEST VARS'!$H$50*(8*$BX22)+'LINEST VARS'!$G$50*(8*12.73)+'LINEST VARS'!$F$50*(8*$CF$8)+'LINEST VARS'!$E$50*(8*$BX22)+'LINEST VARS'!$D$50*(8*12.73)+'LINEST VARS'!$C$50*($CF$8*$BX22)+'LINEST VARS'!$B$50*($CF$8*12.73)+'LINEST VARS'!$A$50*($BX22*12.73)</f>
        <v>331.99999999999989</v>
      </c>
      <c r="CG22" s="46">
        <f>'LINEST VARS'!$U$50+'LINEST VARS'!$T$50*(8)+'LINEST VARS'!$S$50*(8)+'LINEST VARS'!$R$50*($CG$8)+'LINEST VARS'!$Q$50*($BX22)+'LINEST VARS'!$P$50*(12.73)+'LINEST VARS'!$O$50*(8^2)+'LINEST VARS'!$N$50*(8^2)+'LINEST VARS'!$M$50*($CG$8^2)+'LINEST VARS'!$L$50*($BX22^2)+'LINEST VARS'!$K$50*(12.73^2)+'LINEST VARS'!$J$50*(8*8)+'LINEST VARS'!$I$50*(8*$CG$8)+'LINEST VARS'!$H$50*(8*$BX22)+'LINEST VARS'!$G$50*(8*12.73)+'LINEST VARS'!$F$50*(8*$CG$8)+'LINEST VARS'!$E$50*(8*$BX22)+'LINEST VARS'!$D$50*(8*12.73)+'LINEST VARS'!$C$50*($CG$8*$BX22)+'LINEST VARS'!$B$50*($CG$8*12.73)+'LINEST VARS'!$A$50*($BX22*12.73)</f>
        <v>331.99999999999989</v>
      </c>
      <c r="CH22" s="46">
        <f>'LINEST VARS'!$U$50+'LINEST VARS'!$T$50*(8)+'LINEST VARS'!$S$50*(8)+'LINEST VARS'!$R$50*($CH$8)+'LINEST VARS'!$Q$50*($BX22)+'LINEST VARS'!$P$50*(12.73)+'LINEST VARS'!$O$50*(8^2)+'LINEST VARS'!$N$50*(8^2)+'LINEST VARS'!$M$50*($CH$8^2)+'LINEST VARS'!$L$50*($BX22^2)+'LINEST VARS'!$K$50*(12.73^2)+'LINEST VARS'!$J$50*(8*8)+'LINEST VARS'!$I$50*(8*$CH$8)+'LINEST VARS'!$H$50*(8*$BX22)+'LINEST VARS'!$G$50*(8*12.73)+'LINEST VARS'!$F$50*(8*$CH$8)+'LINEST VARS'!$E$50*(8*$BX22)+'LINEST VARS'!$D$50*(8*12.73)+'LINEST VARS'!$C$50*($CH$8*$BX22)+'LINEST VARS'!$B$50*($CH$8*12.73)+'LINEST VARS'!$A$50*($BX22*12.73)</f>
        <v>331.99999999999989</v>
      </c>
      <c r="CI22" s="46">
        <f>'LINEST VARS'!$U$50+'LINEST VARS'!$T$50*(8)+'LINEST VARS'!$S$50*(8)+'LINEST VARS'!$R$50*($CI$8)+'LINEST VARS'!$Q$50*($BX22)+'LINEST VARS'!$P$50*(12.73)+'LINEST VARS'!$O$50*(8^2)+'LINEST VARS'!$N$50*(8^2)+'LINEST VARS'!$M$50*($CI$8^2)+'LINEST VARS'!$L$50*($BX22^2)+'LINEST VARS'!$K$50*(12.73^2)+'LINEST VARS'!$J$50*(8*8)+'LINEST VARS'!$I$50*(8*$CI$8)+'LINEST VARS'!$H$50*(8*$BX22)+'LINEST VARS'!$G$50*(8*12.73)+'LINEST VARS'!$F$50*(8*$CI$8)+'LINEST VARS'!$E$50*(8*$BX22)+'LINEST VARS'!$D$50*(8*12.73)+'LINEST VARS'!$C$50*($CI$8*$BX22)+'LINEST VARS'!$B$50*($CI$8*12.73)+'LINEST VARS'!$A$50*($BX22*12.73)</f>
        <v>331.99999999999989</v>
      </c>
      <c r="CJ22" s="46">
        <f>'LINEST VARS'!$U$50+'LINEST VARS'!$T$50*(8)+'LINEST VARS'!$S$50*(8)+'LINEST VARS'!$R$50*($CJ$8)+'LINEST VARS'!$Q$50*($BX22)+'LINEST VARS'!$P$50*(12.73)+'LINEST VARS'!$O$50*(8^2)+'LINEST VARS'!$N$50*(8^2)+'LINEST VARS'!$M$50*($CJ$8^2)+'LINEST VARS'!$L$50*($BX22^2)+'LINEST VARS'!$K$50*(12.73^2)+'LINEST VARS'!$J$50*(8*8)+'LINEST VARS'!$I$50*(8*$CJ$8)+'LINEST VARS'!$H$50*(8*$BX22)+'LINEST VARS'!$G$50*(8*12.73)+'LINEST VARS'!$F$50*(8*$CJ$8)+'LINEST VARS'!$E$50*(8*$BX22)+'LINEST VARS'!$D$50*(8*12.73)+'LINEST VARS'!$C$50*($CJ$8*$BX22)+'LINEST VARS'!$B$50*($CJ$8*12.73)+'LINEST VARS'!$A$50*($BX22*12.73)</f>
        <v>331.99999999999989</v>
      </c>
      <c r="CK22" s="46">
        <f>'LINEST VARS'!$U$50+'LINEST VARS'!$T$50*(8)+'LINEST VARS'!$S$50*(8)+'LINEST VARS'!$R$50*($CK$8)+'LINEST VARS'!$Q$50*($BX22)+'LINEST VARS'!$P$50*(12.73)+'LINEST VARS'!$O$50*(8^2)+'LINEST VARS'!$N$50*(8^2)+'LINEST VARS'!$M$50*($CK$8^2)+'LINEST VARS'!$L$50*($BX22^2)+'LINEST VARS'!$K$50*(12.73^2)+'LINEST VARS'!$J$50*(8*8)+'LINEST VARS'!$I$50*(8*$CK$8)+'LINEST VARS'!$H$50*(8*$BX22)+'LINEST VARS'!$G$50*(8*12.73)+'LINEST VARS'!$F$50*(8*$CK$8)+'LINEST VARS'!$E$50*(8*$BX22)+'LINEST VARS'!$D$50*(8*12.73)+'LINEST VARS'!$C$50*($CK$8*$BX22)+'LINEST VARS'!$B$50*($CK$8*12.73)+'LINEST VARS'!$A$50*($BX22*12.73)</f>
        <v>331.99999999999989</v>
      </c>
      <c r="CL22" s="46">
        <f>'LINEST VARS'!$U$50+'LINEST VARS'!$T$50*(8)+'LINEST VARS'!$S$50*(8)+'LINEST VARS'!$R$50*($CL$8)+'LINEST VARS'!$Q$50*($BX22)+'LINEST VARS'!$P$50*(12.73)+'LINEST VARS'!$O$50*(8^2)+'LINEST VARS'!$N$50*(8^2)+'LINEST VARS'!$M$50*($CL$8^2)+'LINEST VARS'!$L$50*($BX22^2)+'LINEST VARS'!$K$50*(12.73^2)+'LINEST VARS'!$J$50*(8*8)+'LINEST VARS'!$I$50*(8*$CL$8)+'LINEST VARS'!$H$50*(8*$BX22)+'LINEST VARS'!$G$50*(8*12.73)+'LINEST VARS'!$F$50*(8*$CL$8)+'LINEST VARS'!$E$50*(8*$BX22)+'LINEST VARS'!$D$50*(8*12.73)+'LINEST VARS'!$C$50*($CL$8*$BX22)+'LINEST VARS'!$B$50*($CL$8*12.73)+'LINEST VARS'!$A$50*($BX22*12.73)</f>
        <v>331.99999999999989</v>
      </c>
      <c r="CM22" s="46">
        <f>'LINEST VARS'!$U$50+'LINEST VARS'!$T$50*(8)+'LINEST VARS'!$S$50*(8)+'LINEST VARS'!$R$50*($CM$8)+'LINEST VARS'!$Q$50*($BX22)+'LINEST VARS'!$P$50*(12.73)+'LINEST VARS'!$O$50*(8^2)+'LINEST VARS'!$N$50*(8^2)+'LINEST VARS'!$M$50*($CM$8^2)+'LINEST VARS'!$L$50*($BX22^2)+'LINEST VARS'!$K$50*(12.73^2)+'LINEST VARS'!$J$50*(8*8)+'LINEST VARS'!$I$50*(8*$CM$8)+'LINEST VARS'!$H$50*(8*$BX22)+'LINEST VARS'!$G$50*(8*12.73)+'LINEST VARS'!$F$50*(8*$CM$8)+'LINEST VARS'!$E$50*(8*$BX22)+'LINEST VARS'!$D$50*(8*12.73)+'LINEST VARS'!$C$50*($CM$8*$BX22)+'LINEST VARS'!$B$50*($CM$8*12.73)+'LINEST VARS'!$A$50*($BX22*12.73)</f>
        <v>331.99999999999989</v>
      </c>
      <c r="CN22" s="46">
        <f>'LINEST VARS'!$U$50+'LINEST VARS'!$T$50*(8)+'LINEST VARS'!$S$50*(8)+'LINEST VARS'!$R$50*($CN$8)+'LINEST VARS'!$Q$50*($BX22)+'LINEST VARS'!$P$50*(12.73)+'LINEST VARS'!$O$50*(8^2)+'LINEST VARS'!$N$50*(8^2)+'LINEST VARS'!$M$50*($CN$8^2)+'LINEST VARS'!$L$50*($BX22^2)+'LINEST VARS'!$K$50*(12.73^2)+'LINEST VARS'!$J$50*(8*8)+'LINEST VARS'!$I$50*(8*$CN$8)+'LINEST VARS'!$H$50*(8*$BX22)+'LINEST VARS'!$G$50*(8*12.73)+'LINEST VARS'!$F$50*(8*$CN$8)+'LINEST VARS'!$E$50*(8*$BX22)+'LINEST VARS'!$D$50*(8*12.73)+'LINEST VARS'!$C$50*($CN$8*$BX22)+'LINEST VARS'!$B$50*($CN$8*12.73)+'LINEST VARS'!$A$50*($BX22*12.73)</f>
        <v>331.99999999999989</v>
      </c>
      <c r="CO22" s="46">
        <f>'LINEST VARS'!$U$50+'LINEST VARS'!$T$50*(8)+'LINEST VARS'!$S$50*(8)+'LINEST VARS'!$R$50*($CO$8)+'LINEST VARS'!$Q$50*($BX22)+'LINEST VARS'!$P$50*(12.73)+'LINEST VARS'!$O$50*(8^2)+'LINEST VARS'!$N$50*(8^2)+'LINEST VARS'!$M$50*($CO$8^2)+'LINEST VARS'!$L$50*($BX22^2)+'LINEST VARS'!$K$50*(12.73^2)+'LINEST VARS'!$J$50*(8*8)+'LINEST VARS'!$I$50*(8*$CO$8)+'LINEST VARS'!$H$50*(8*$BX22)+'LINEST VARS'!$G$50*(8*12.73)+'LINEST VARS'!$F$50*(8*$CO$8)+'LINEST VARS'!$E$50*(8*$BX22)+'LINEST VARS'!$D$50*(8*12.73)+'LINEST VARS'!$C$50*($CO$8*$BX22)+'LINEST VARS'!$B$50*($CO$8*12.73)+'LINEST VARS'!$A$50*($BX22*12.73)</f>
        <v>331.99999999999989</v>
      </c>
      <c r="CP22" s="46">
        <f>'LINEST VARS'!$U$50+'LINEST VARS'!$T$50*(8)+'LINEST VARS'!$S$50*(8)+'LINEST VARS'!$R$50*($CP$8)+'LINEST VARS'!$Q$50*($BX22)+'LINEST VARS'!$P$50*(12.73)+'LINEST VARS'!$O$50*(8^2)+'LINEST VARS'!$N$50*(8^2)+'LINEST VARS'!$M$50*($CP$8^2)+'LINEST VARS'!$L$50*($BX22^2)+'LINEST VARS'!$K$50*(12.73^2)+'LINEST VARS'!$J$50*(8*8)+'LINEST VARS'!$I$50*(8*$CP$8)+'LINEST VARS'!$H$50*(8*$BX22)+'LINEST VARS'!$G$50*(8*12.73)+'LINEST VARS'!$F$50*(8*$CP$8)+'LINEST VARS'!$E$50*(8*$BX22)+'LINEST VARS'!$D$50*(8*12.73)+'LINEST VARS'!$C$50*($CP$8*$BX22)+'LINEST VARS'!$B$50*($CP$8*12.73)+'LINEST VARS'!$A$50*($BX22*12.73)</f>
        <v>331.99999999999989</v>
      </c>
      <c r="CQ22" s="46">
        <f>'LINEST VARS'!$U$50+'LINEST VARS'!$T$50*(8)+'LINEST VARS'!$S$50*(8)+'LINEST VARS'!$R$50*($CQ$8)+'LINEST VARS'!$Q$50*($BX22)+'LINEST VARS'!$P$50*(12.73)+'LINEST VARS'!$O$50*(8^2)+'LINEST VARS'!$N$50*(8^2)+'LINEST VARS'!$M$50*($CQ$8^2)+'LINEST VARS'!$L$50*($BX22^2)+'LINEST VARS'!$K$50*(12.73^2)+'LINEST VARS'!$J$50*(8*8)+'LINEST VARS'!$I$50*(8*$CQ$8)+'LINEST VARS'!$H$50*(8*$BX22)+'LINEST VARS'!$G$50*(8*12.73)+'LINEST VARS'!$F$50*(8*$CQ$8)+'LINEST VARS'!$E$50*(8*$BX22)+'LINEST VARS'!$D$50*(8*12.73)+'LINEST VARS'!$C$50*($CQ$8*$BX22)+'LINEST VARS'!$B$50*($CQ$8*12.73)+'LINEST VARS'!$A$50*($BX22*12.73)</f>
        <v>331.99999999999989</v>
      </c>
      <c r="CR22" s="46">
        <f>'LINEST VARS'!$U$50+'LINEST VARS'!$T$50*(8)+'LINEST VARS'!$S$50*(8)+'LINEST VARS'!$R$50*($CR$8)+'LINEST VARS'!$Q$50*($BX22)+'LINEST VARS'!$P$50*(12.73)+'LINEST VARS'!$O$50*(8^2)+'LINEST VARS'!$N$50*(8^2)+'LINEST VARS'!$M$50*($CR$8^2)+'LINEST VARS'!$L$50*($BX22^2)+'LINEST VARS'!$K$50*(12.73^2)+'LINEST VARS'!$J$50*(8*8)+'LINEST VARS'!$I$50*(8*$CR$8)+'LINEST VARS'!$H$50*(8*$BX22)+'LINEST VARS'!$G$50*(8*12.73)+'LINEST VARS'!$F$50*(8*$CR$8)+'LINEST VARS'!$E$50*(8*$BX22)+'LINEST VARS'!$D$50*(8*12.73)+'LINEST VARS'!$C$50*($CR$8*$BX22)+'LINEST VARS'!$B$50*($CR$8*12.73)+'LINEST VARS'!$A$50*($BX22*12.73)</f>
        <v>331.99999999999989</v>
      </c>
      <c r="CS22" s="47">
        <f>'LINEST VARS'!$U$50+'LINEST VARS'!$T$50*(8)+'LINEST VARS'!$S$50*(8)+'LINEST VARS'!$R$50*($CS$8)+'LINEST VARS'!$Q$50*($BX22)+'LINEST VARS'!$P$50*(12.73)+'LINEST VARS'!$O$50*(8^2)+'LINEST VARS'!$N$50*(8^2)+'LINEST VARS'!$M$50*($CS$8^2)+'LINEST VARS'!$L$50*($BX22^2)+'LINEST VARS'!$K$50*(12.73^2)+'LINEST VARS'!$J$50*(8*8)+'LINEST VARS'!$I$50*(8*$CS$8)+'LINEST VARS'!$H$50*(8*$BX22)+'LINEST VARS'!$G$50*(8*12.73)+'LINEST VARS'!$F$50*(8*$CS$8)+'LINEST VARS'!$E$50*(8*$BX22)+'LINEST VARS'!$D$50*(8*12.73)+'LINEST VARS'!$C$50*($CS$8*$BX22)+'LINEST VARS'!$B$50*($CS$8*12.73)+'LINEST VARS'!$A$50*($BX22*12.73)</f>
        <v>331.99999999999989</v>
      </c>
      <c r="CX22" s="45">
        <v>16.8935</v>
      </c>
      <c r="CY22" s="46">
        <f>'LINEST VARS'!$U$48+'LINEST VARS'!$T$48*(8)+'LINEST VARS'!$S$48*(8)+'LINEST VARS'!$R$48*($CY$8)+'LINEST VARS'!$Q$48*(0.5)+'LINEST VARS'!$P$48*($CX22)+'LINEST VARS'!$O$48*(8^2)+'LINEST VARS'!$N$48*(8^2)+'LINEST VARS'!$M$48*($CY$8^2)+'LINEST VARS'!$L$48*(0.5^2)+'LINEST VARS'!$K$48*($CX22^2)+'LINEST VARS'!$J$48*(8*8)+'LINEST VARS'!$I$48*(8*$CY$8)+'LINEST VARS'!$H$48*(8*0.5)+'LINEST VARS'!$G$48*(8*$CX22)+'LINEST VARS'!$F$48*(8*$CY$8)+'LINEST VARS'!$E$48*(8*0.5)+'LINEST VARS'!$D$48*(8*$CX22)+'LINEST VARS'!$C$48*($CY$8*0.5)+'LINEST VARS'!$B$48*($CY$8*$CX22)+'LINEST VARS'!$A$48*(0.5*$CX22)</f>
        <v>369.99999999999977</v>
      </c>
      <c r="CZ22" s="46">
        <f>'LINEST VARS'!$U$48+'LINEST VARS'!$T$48*(8)+'LINEST VARS'!$S$48*(8)+'LINEST VARS'!$R$48*($CZ$8)+'LINEST VARS'!$Q$48*(0.5)+'LINEST VARS'!$P$48*($CX22)+'LINEST VARS'!$O$48*(8^2)+'LINEST VARS'!$N$48*(8^2)+'LINEST VARS'!$M$48*($CZ$8^2)+'LINEST VARS'!$L$48*(0.5^2)+'LINEST VARS'!$K$48*($CX22^2)+'LINEST VARS'!$J$48*(8*8)+'LINEST VARS'!$I$48*(8*$CZ$8)+'LINEST VARS'!$H$48*(8*0.5)+'LINEST VARS'!$G$48*(8*$CX22)+'LINEST VARS'!$F$48*(8*$CZ$8)+'LINEST VARS'!$E$48*(8*0.5)+'LINEST VARS'!$D$48*(8*$CX22)+'LINEST VARS'!$C$48*($CZ$8*0.5)+'LINEST VARS'!$B$48*($CZ$8*$CX22)+'LINEST VARS'!$A$48*(0.5*$CX22)</f>
        <v>369.99999999999977</v>
      </c>
      <c r="DA22" s="46">
        <f>'LINEST VARS'!$U$48+'LINEST VARS'!$T$48*(8)+'LINEST VARS'!$S$48*(8)+'LINEST VARS'!$R$48*($DA$8)+'LINEST VARS'!$Q$48*(0.5)+'LINEST VARS'!$P$48*($CX22)+'LINEST VARS'!$O$48*(8^2)+'LINEST VARS'!$N$48*(8^2)+'LINEST VARS'!$M$48*($DA$8^2)+'LINEST VARS'!$L$48*(0.5^2)+'LINEST VARS'!$K$48*($CX22^2)+'LINEST VARS'!$J$48*(8*8)+'LINEST VARS'!$I$48*(8*$DA$8)+'LINEST VARS'!$H$48*(8*0.5)+'LINEST VARS'!$G$48*(8*$CX22)+'LINEST VARS'!$F$48*(8*$DA$8)+'LINEST VARS'!$E$48*(8*0.5)+'LINEST VARS'!$D$48*(8*$CX22)+'LINEST VARS'!$C$48*($DA$8*0.5)+'LINEST VARS'!$B$48*($DA$8*$CX22)+'LINEST VARS'!$A$48*(0.5*$CX22)</f>
        <v>369.99999999999977</v>
      </c>
      <c r="DB22" s="46">
        <f>'LINEST VARS'!$U$48+'LINEST VARS'!$T$48*(8)+'LINEST VARS'!$S$48*(8)+'LINEST VARS'!$R$48*($DB$8)+'LINEST VARS'!$Q$48*(0.5)+'LINEST VARS'!$P$48*($CX22)+'LINEST VARS'!$O$48*(8^2)+'LINEST VARS'!$N$48*(8^2)+'LINEST VARS'!$M$48*($DB$8^2)+'LINEST VARS'!$L$48*(0.5^2)+'LINEST VARS'!$K$48*($CX22^2)+'LINEST VARS'!$J$48*(8*8)+'LINEST VARS'!$I$48*(8*$DB$8)+'LINEST VARS'!$H$48*(8*0.5)+'LINEST VARS'!$G$48*(8*$CX22)+'LINEST VARS'!$F$48*(8*$DB$8)+'LINEST VARS'!$E$48*(8*0.5)+'LINEST VARS'!$D$48*(8*$CX22)+'LINEST VARS'!$C$48*($DB$8*0.5)+'LINEST VARS'!$B$48*($DB$8*$CX22)+'LINEST VARS'!$A$48*(0.5*$CX22)</f>
        <v>369.99999999999977</v>
      </c>
      <c r="DC22" s="46">
        <f>'LINEST VARS'!$U$48+'LINEST VARS'!$T$48*(8)+'LINEST VARS'!$S$48*(8)+'LINEST VARS'!$R$48*($DC$8)+'LINEST VARS'!$Q$48*(0.5)+'LINEST VARS'!$P$48*($CX22)+'LINEST VARS'!$O$48*(8^2)+'LINEST VARS'!$N$48*(8^2)+'LINEST VARS'!$M$48*($DC$8^2)+'LINEST VARS'!$L$48*(0.5^2)+'LINEST VARS'!$K$48*($CX22^2)+'LINEST VARS'!$J$48*(8*8)+'LINEST VARS'!$I$48*(8*$DC$8)+'LINEST VARS'!$H$48*(8*0.5)+'LINEST VARS'!$G$48*(8*$CX22)+'LINEST VARS'!$F$48*(8*$DC$8)+'LINEST VARS'!$E$48*(8*0.5)+'LINEST VARS'!$D$48*(8*$CX22)+'LINEST VARS'!$C$48*($DC$8*0.5)+'LINEST VARS'!$B$48*($DC$8*$CX22)+'LINEST VARS'!$A$48*(0.5*$CX22)</f>
        <v>369.99999999999977</v>
      </c>
      <c r="DD22" s="46">
        <f>'LINEST VARS'!$U$48+'LINEST VARS'!$T$48*(8)+'LINEST VARS'!$S$48*(8)+'LINEST VARS'!$R$48*($DD$8)+'LINEST VARS'!$Q$48*(0.5)+'LINEST VARS'!$P$48*($CX22)+'LINEST VARS'!$O$48*(8^2)+'LINEST VARS'!$N$48*(8^2)+'LINEST VARS'!$M$48*($DD$8^2)+'LINEST VARS'!$L$48*(0.5^2)+'LINEST VARS'!$K$48*($CX22^2)+'LINEST VARS'!$J$48*(8*8)+'LINEST VARS'!$I$48*(8*$DD$8)+'LINEST VARS'!$H$48*(8*0.5)+'LINEST VARS'!$G$48*(8*$CX22)+'LINEST VARS'!$F$48*(8*$DD$8)+'LINEST VARS'!$E$48*(8*0.5)+'LINEST VARS'!$D$48*(8*$CX22)+'LINEST VARS'!$C$48*($DD$8*0.5)+'LINEST VARS'!$B$48*($DD$8*$CX22)+'LINEST VARS'!$A$48*(0.5*$CX22)</f>
        <v>369.99999999999977</v>
      </c>
      <c r="DE22" s="46">
        <f>'LINEST VARS'!$U$48+'LINEST VARS'!$T$48*(8)+'LINEST VARS'!$S$48*(8)+'LINEST VARS'!$R$48*($DE$8)+'LINEST VARS'!$Q$48*(0.5)+'LINEST VARS'!$P$48*($CX22)+'LINEST VARS'!$O$48*(8^2)+'LINEST VARS'!$N$48*(8^2)+'LINEST VARS'!$M$48*($DE$8^2)+'LINEST VARS'!$L$48*(0.5^2)+'LINEST VARS'!$K$48*($CX22^2)+'LINEST VARS'!$J$48*(8*8)+'LINEST VARS'!$I$48*(8*$DE$8)+'LINEST VARS'!$H$48*(8*0.5)+'LINEST VARS'!$G$48*(8*$CX22)+'LINEST VARS'!$F$48*(8*$DE$8)+'LINEST VARS'!$E$48*(8*0.5)+'LINEST VARS'!$D$48*(8*$CX22)+'LINEST VARS'!$C$48*($DE$8*0.5)+'LINEST VARS'!$B$48*($DE$8*$CX22)+'LINEST VARS'!$A$48*(0.5*$CX22)</f>
        <v>369.99999999999977</v>
      </c>
      <c r="DF22" s="46">
        <f>'LINEST VARS'!$U$48+'LINEST VARS'!$T$48*(8)+'LINEST VARS'!$S$48*(8)+'LINEST VARS'!$R$48*($DF$8)+'LINEST VARS'!$Q$48*(0.5)+'LINEST VARS'!$P$48*($CX22)+'LINEST VARS'!$O$48*(8^2)+'LINEST VARS'!$N$48*(8^2)+'LINEST VARS'!$M$48*($DF$8^2)+'LINEST VARS'!$L$48*(0.5^2)+'LINEST VARS'!$K$48*($CX22^2)+'LINEST VARS'!$J$48*(8*8)+'LINEST VARS'!$I$48*(8*$DF$8)+'LINEST VARS'!$H$48*(8*0.5)+'LINEST VARS'!$G$48*(8*$CX22)+'LINEST VARS'!$F$48*(8*$DF$8)+'LINEST VARS'!$E$48*(8*0.5)+'LINEST VARS'!$D$48*(8*$CX22)+'LINEST VARS'!$C$48*($DF$8*0.5)+'LINEST VARS'!$B$48*($DF$8*$CX22)+'LINEST VARS'!$A$48*(0.5*$CX22)</f>
        <v>369.99999999999977</v>
      </c>
      <c r="DG22" s="46">
        <f>'LINEST VARS'!$U$48+'LINEST VARS'!$T$48*(8)+'LINEST VARS'!$S$48*(8)+'LINEST VARS'!$R$48*($DG$8)+'LINEST VARS'!$Q$48*(0.5)+'LINEST VARS'!$P$48*($CX22)+'LINEST VARS'!$O$48*(8^2)+'LINEST VARS'!$N$48*(8^2)+'LINEST VARS'!$M$48*($DG$8^2)+'LINEST VARS'!$L$48*(0.5^2)+'LINEST VARS'!$K$48*($CX22^2)+'LINEST VARS'!$J$48*(8*8)+'LINEST VARS'!$I$48*(8*$DG$8)+'LINEST VARS'!$H$48*(8*0.5)+'LINEST VARS'!$G$48*(8*$CX22)+'LINEST VARS'!$F$48*(8*$DG$8)+'LINEST VARS'!$E$48*(8*0.5)+'LINEST VARS'!$D$48*(8*$CX22)+'LINEST VARS'!$C$48*($DG$8*0.5)+'LINEST VARS'!$B$48*($DG$8*$CX22)+'LINEST VARS'!$A$48*(0.5*$CX22)</f>
        <v>369.99999999999977</v>
      </c>
      <c r="DH22" s="46">
        <f>'LINEST VARS'!$U$48+'LINEST VARS'!$T$48*(8)+'LINEST VARS'!$S$48*(8)+'LINEST VARS'!$R$48*($DH$8)+'LINEST VARS'!$Q$48*(0.5)+'LINEST VARS'!$P$48*($CX22)+'LINEST VARS'!$O$48*(8^2)+'LINEST VARS'!$N$48*(8^2)+'LINEST VARS'!$M$48*($DH$8^2)+'LINEST VARS'!$L$48*(0.5^2)+'LINEST VARS'!$K$48*($CX22^2)+'LINEST VARS'!$J$48*(8*8)+'LINEST VARS'!$I$48*(8*$DH$8)+'LINEST VARS'!$H$48*(8*0.5)+'LINEST VARS'!$G$48*(8*$CX22)+'LINEST VARS'!$F$48*(8*$DH$8)+'LINEST VARS'!$E$48*(8*0.5)+'LINEST VARS'!$D$48*(8*$CX22)+'LINEST VARS'!$C$48*($DH$8*0.5)+'LINEST VARS'!$B$48*($DH$8*$CX22)+'LINEST VARS'!$A$48*(0.5*$CX22)</f>
        <v>369.99999999999977</v>
      </c>
      <c r="DI22" s="46">
        <f>'LINEST VARS'!$U$48+'LINEST VARS'!$T$48*(8)+'LINEST VARS'!$S$48*(8)+'LINEST VARS'!$R$48*($DI$8)+'LINEST VARS'!$Q$48*(0.5)+'LINEST VARS'!$P$48*($CX22)+'LINEST VARS'!$O$48*(8^2)+'LINEST VARS'!$N$48*(8^2)+'LINEST VARS'!$M$48*($DI$8^2)+'LINEST VARS'!$L$48*(0.5^2)+'LINEST VARS'!$K$48*($CX22^2)+'LINEST VARS'!$J$48*(8*8)+'LINEST VARS'!$I$48*(8*$DI$8)+'LINEST VARS'!$H$48*(8*0.5)+'LINEST VARS'!$G$48*(8*$CX22)+'LINEST VARS'!$F$48*(8*$DI$8)+'LINEST VARS'!$E$48*(8*0.5)+'LINEST VARS'!$D$48*(8*$CX22)+'LINEST VARS'!$C$48*($DI$8*0.5)+'LINEST VARS'!$B$48*($DI$8*$CX22)+'LINEST VARS'!$A$48*(0.5*$CX22)</f>
        <v>369.99999999999977</v>
      </c>
      <c r="DJ22" s="46">
        <f>'LINEST VARS'!$U$48+'LINEST VARS'!$T$48*(8)+'LINEST VARS'!$S$48*(8)+'LINEST VARS'!$R$48*($DJ$8)+'LINEST VARS'!$Q$48*(0.5)+'LINEST VARS'!$P$48*($CX22)+'LINEST VARS'!$O$48*(8^2)+'LINEST VARS'!$N$48*(8^2)+'LINEST VARS'!$M$48*($DJ$8^2)+'LINEST VARS'!$L$48*(0.5^2)+'LINEST VARS'!$K$48*($CX22^2)+'LINEST VARS'!$J$48*(8*8)+'LINEST VARS'!$I$48*(8*$DJ$8)+'LINEST VARS'!$H$48*(8*0.5)+'LINEST VARS'!$G$48*(8*$CX22)+'LINEST VARS'!$F$48*(8*$DJ$8)+'LINEST VARS'!$E$48*(8*0.5)+'LINEST VARS'!$D$48*(8*$CX22)+'LINEST VARS'!$C$48*($DJ$8*0.5)+'LINEST VARS'!$B$48*($DJ$8*$CX22)+'LINEST VARS'!$A$48*(0.5*$CX22)</f>
        <v>369.99999999999977</v>
      </c>
      <c r="DK22" s="46">
        <f>'LINEST VARS'!$U$48+'LINEST VARS'!$T$48*(8)+'LINEST VARS'!$S$48*(8)+'LINEST VARS'!$R$48*($DK$8)+'LINEST VARS'!$Q$48*(0.5)+'LINEST VARS'!$P$48*($CX22)+'LINEST VARS'!$O$48*(8^2)+'LINEST VARS'!$N$48*(8^2)+'LINEST VARS'!$M$48*($DK$8^2)+'LINEST VARS'!$L$48*(0.5^2)+'LINEST VARS'!$K$48*($CX22^2)+'LINEST VARS'!$J$48*(8*8)+'LINEST VARS'!$I$48*(8*$DK$8)+'LINEST VARS'!$H$48*(8*0.5)+'LINEST VARS'!$G$48*(8*$CX22)+'LINEST VARS'!$F$48*(8*$DK$8)+'LINEST VARS'!$E$48*(8*0.5)+'LINEST VARS'!$D$48*(8*$CX22)+'LINEST VARS'!$C$48*($DK$8*0.5)+'LINEST VARS'!$B$48*($DK$8*$CX22)+'LINEST VARS'!$A$48*(0.5*$CX22)</f>
        <v>369.99999999999977</v>
      </c>
      <c r="DL22" s="46">
        <f>'LINEST VARS'!$U$48+'LINEST VARS'!$T$48*(8)+'LINEST VARS'!$S$48*(8)+'LINEST VARS'!$R$48*($DL$8)+'LINEST VARS'!$Q$48*(0.5)+'LINEST VARS'!$P$48*($CX22)+'LINEST VARS'!$O$48*(8^2)+'LINEST VARS'!$N$48*(8^2)+'LINEST VARS'!$M$48*($DL$8^2)+'LINEST VARS'!$L$48*(0.5^2)+'LINEST VARS'!$K$48*($CX22^2)+'LINEST VARS'!$J$48*(8*8)+'LINEST VARS'!$I$48*(8*$DL$8)+'LINEST VARS'!$H$48*(8*0.5)+'LINEST VARS'!$G$48*(8*$CX22)+'LINEST VARS'!$F$48*(8*$DL$8)+'LINEST VARS'!$E$48*(8*0.5)+'LINEST VARS'!$D$48*(8*$CX22)+'LINEST VARS'!$C$48*($DL$8*0.5)+'LINEST VARS'!$B$48*($DL$8*$CX22)+'LINEST VARS'!$A$48*(0.5*$CX22)</f>
        <v>369.99999999999983</v>
      </c>
      <c r="DM22" s="46">
        <f>'LINEST VARS'!$U$48+'LINEST VARS'!$T$48*(8)+'LINEST VARS'!$S$48*(8)+'LINEST VARS'!$R$48*($DM$8)+'LINEST VARS'!$Q$48*(0.5)+'LINEST VARS'!$P$48*($CX22)+'LINEST VARS'!$O$48*(8^2)+'LINEST VARS'!$N$48*(8^2)+'LINEST VARS'!$M$48*($DM$8^2)+'LINEST VARS'!$L$48*(0.5^2)+'LINEST VARS'!$K$48*($CX22^2)+'LINEST VARS'!$J$48*(8*8)+'LINEST VARS'!$I$48*(8*$DM$8)+'LINEST VARS'!$H$48*(8*0.5)+'LINEST VARS'!$G$48*(8*$CX22)+'LINEST VARS'!$F$48*(8*$DM$8)+'LINEST VARS'!$E$48*(8*0.5)+'LINEST VARS'!$D$48*(8*$CX22)+'LINEST VARS'!$C$48*($DM$8*0.5)+'LINEST VARS'!$B$48*($DM$8*$CX22)+'LINEST VARS'!$A$48*(0.5*$CX22)</f>
        <v>369.99999999999983</v>
      </c>
      <c r="DN22" s="46">
        <f>'LINEST VARS'!$U$48+'LINEST VARS'!$T$48*(8)+'LINEST VARS'!$S$48*(8)+'LINEST VARS'!$R$48*($DN$8)+'LINEST VARS'!$Q$48*(0.5)+'LINEST VARS'!$P$48*($CX22)+'LINEST VARS'!$O$48*(8^2)+'LINEST VARS'!$N$48*(8^2)+'LINEST VARS'!$M$48*($DN$8^2)+'LINEST VARS'!$L$48*(0.5^2)+'LINEST VARS'!$K$48*($CX22^2)+'LINEST VARS'!$J$48*(8*8)+'LINEST VARS'!$I$48*(8*$DN$8)+'LINEST VARS'!$H$48*(8*0.5)+'LINEST VARS'!$G$48*(8*$CX22)+'LINEST VARS'!$F$48*(8*$DN$8)+'LINEST VARS'!$E$48*(8*0.5)+'LINEST VARS'!$D$48*(8*$CX22)+'LINEST VARS'!$C$48*($DN$8*0.5)+'LINEST VARS'!$B$48*($DN$8*$CX22)+'LINEST VARS'!$A$48*(0.5*$CX22)</f>
        <v>369.99999999999983</v>
      </c>
      <c r="DO22" s="46">
        <f>'LINEST VARS'!$U$48+'LINEST VARS'!$T$48*(8)+'LINEST VARS'!$S$48*(8)+'LINEST VARS'!$R$48*($DO$8)+'LINEST VARS'!$Q$48*(0.5)+'LINEST VARS'!$P$48*($CX22)+'LINEST VARS'!$O$48*(8^2)+'LINEST VARS'!$N$48*(8^2)+'LINEST VARS'!$M$48*($DO$8^2)+'LINEST VARS'!$L$48*(0.5^2)+'LINEST VARS'!$K$48*($CX22^2)+'LINEST VARS'!$J$48*(8*8)+'LINEST VARS'!$I$48*(8*$DO$8)+'LINEST VARS'!$H$48*(8*0.5)+'LINEST VARS'!$G$48*(8*$CX22)+'LINEST VARS'!$F$48*(8*$DO$8)+'LINEST VARS'!$E$48*(8*0.5)+'LINEST VARS'!$D$48*(8*$CX22)+'LINEST VARS'!$C$48*($DO$8*0.5)+'LINEST VARS'!$B$48*($DO$8*$CX22)+'LINEST VARS'!$A$48*(0.5*$CX22)</f>
        <v>369.99999999999977</v>
      </c>
      <c r="DP22" s="46">
        <f>'LINEST VARS'!$U$48+'LINEST VARS'!$T$48*(8)+'LINEST VARS'!$S$48*(8)+'LINEST VARS'!$R$48*($DP$8)+'LINEST VARS'!$Q$48*(0.5)+'LINEST VARS'!$P$48*($CX22)+'LINEST VARS'!$O$48*(8^2)+'LINEST VARS'!$N$48*(8^2)+'LINEST VARS'!$M$48*($DP$8^2)+'LINEST VARS'!$L$48*(0.5^2)+'LINEST VARS'!$K$48*($CX22^2)+'LINEST VARS'!$J$48*(8*8)+'LINEST VARS'!$I$48*(8*$DP$8)+'LINEST VARS'!$H$48*(8*0.5)+'LINEST VARS'!$G$48*(8*$CX22)+'LINEST VARS'!$F$48*(8*$DP$8)+'LINEST VARS'!$E$48*(8*0.5)+'LINEST VARS'!$D$48*(8*$CX22)+'LINEST VARS'!$C$48*($DP$8*0.5)+'LINEST VARS'!$B$48*($DP$8*$CX22)+'LINEST VARS'!$A$48*(0.5*$CX22)</f>
        <v>369.99999999999977</v>
      </c>
      <c r="DQ22" s="46">
        <f>'LINEST VARS'!$U$48+'LINEST VARS'!$T$48*(8)+'LINEST VARS'!$S$48*(8)+'LINEST VARS'!$R$48*($DQ$8)+'LINEST VARS'!$Q$48*(0.5)+'LINEST VARS'!$P$48*($CX22)+'LINEST VARS'!$O$48*(8^2)+'LINEST VARS'!$N$48*(8^2)+'LINEST VARS'!$M$48*($DQ$8^2)+'LINEST VARS'!$L$48*(0.5^2)+'LINEST VARS'!$K$48*($CX22^2)+'LINEST VARS'!$J$48*(8*8)+'LINEST VARS'!$I$48*(8*$DQ$8)+'LINEST VARS'!$H$48*(8*0.5)+'LINEST VARS'!$G$48*(8*$CX22)+'LINEST VARS'!$F$48*(8*$DQ$8)+'LINEST VARS'!$E$48*(8*0.5)+'LINEST VARS'!$D$48*(8*$CX22)+'LINEST VARS'!$C$48*($DQ$8*0.5)+'LINEST VARS'!$B$48*($DQ$8*$CX22)+'LINEST VARS'!$A$48*(0.5*$CX22)</f>
        <v>369.99999999999977</v>
      </c>
      <c r="DR22" s="46">
        <f>'LINEST VARS'!$U$48+'LINEST VARS'!$T$48*(8)+'LINEST VARS'!$S$48*(8)+'LINEST VARS'!$R$48*($DR$8)+'LINEST VARS'!$Q$48*(0.5)+'LINEST VARS'!$P$48*($CX22)+'LINEST VARS'!$O$48*(8^2)+'LINEST VARS'!$N$48*(8^2)+'LINEST VARS'!$M$48*($DR$8^2)+'LINEST VARS'!$L$48*(0.5^2)+'LINEST VARS'!$K$48*($CX22^2)+'LINEST VARS'!$J$48*(8*8)+'LINEST VARS'!$I$48*(8*$DR$8)+'LINEST VARS'!$H$48*(8*0.5)+'LINEST VARS'!$G$48*(8*$CX22)+'LINEST VARS'!$F$48*(8*$DR$8)+'LINEST VARS'!$E$48*(8*0.5)+'LINEST VARS'!$D$48*(8*$CX22)+'LINEST VARS'!$C$48*($DR$8*0.5)+'LINEST VARS'!$B$48*($DR$8*$CX22)+'LINEST VARS'!$A$48*(0.5*$CX22)</f>
        <v>369.99999999999977</v>
      </c>
      <c r="DS22" s="47">
        <f>'LINEST VARS'!$U$48+'LINEST VARS'!$T$48*(8)+'LINEST VARS'!$S$48*(8)+'LINEST VARS'!$R$48*($DS$8)+'LINEST VARS'!$Q$48*(0.5)+'LINEST VARS'!$P$48*($CX22)+'LINEST VARS'!$O$48*(8^2)+'LINEST VARS'!$N$48*(8^2)+'LINEST VARS'!$M$48*($DS$8^2)+'LINEST VARS'!$L$48*(0.5^2)+'LINEST VARS'!$K$48*($CX22^2)+'LINEST VARS'!$J$48*(8*8)+'LINEST VARS'!$I$48*(8*$DS$8)+'LINEST VARS'!$H$48*(8*0.5)+'LINEST VARS'!$G$48*(8*$CX22)+'LINEST VARS'!$F$48*(8*$DS$8)+'LINEST VARS'!$E$48*(8*0.5)+'LINEST VARS'!$D$48*(8*$CX22)+'LINEST VARS'!$C$48*($DS$8*0.5)+'LINEST VARS'!$B$48*($DS$8*$CX22)+'LINEST VARS'!$A$48*(0.5*$CX22)</f>
        <v>369.99999999999977</v>
      </c>
      <c r="DV22" s="45">
        <v>16.8935</v>
      </c>
      <c r="DW22" s="46">
        <f>'LINEST VARS'!$U$50+'LINEST VARS'!$T$50*(8)+'LINEST VARS'!$S$50*(8)+'LINEST VARS'!$R$50*($DW$8)+'LINEST VARS'!$Q$50*(0.5)+'LINEST VARS'!$P$50*($DV22)+'LINEST VARS'!$O$50*(8^2)+'LINEST VARS'!$N$50*(8^2)+'LINEST VARS'!$M$50*($DW$8^2)+'LINEST VARS'!$L$50*(0.5^2)+'LINEST VARS'!$K$50*($DV22^2)+'LINEST VARS'!$J$50*(8*8)+'LINEST VARS'!$I$50*(8*$DW$8)+'LINEST VARS'!$H$50*(8*0.5)+'LINEST VARS'!$G$50*(8*$DV22)+'LINEST VARS'!$F$50*(8*$DW$8)+'LINEST VARS'!$E$50*(8*0.5)+'LINEST VARS'!$D$50*(8*$DV22)+'LINEST VARS'!$C$50*($DW$8*0.5)+'LINEST VARS'!$B$50*($DW$8*$DV22)+'LINEST VARS'!$A$50*(0.5*$DV22)</f>
        <v>331.99999999999989</v>
      </c>
      <c r="DX22" s="46">
        <f>'LINEST VARS'!$U$50+'LINEST VARS'!$T$50*(8)+'LINEST VARS'!$S$50*(8)+'LINEST VARS'!$R$50*($DX$8)+'LINEST VARS'!$Q$50*(0.5)+'LINEST VARS'!$P$50*($DV22)+'LINEST VARS'!$O$50*(8^2)+'LINEST VARS'!$N$50*(8^2)+'LINEST VARS'!$M$50*($DX$8^2)+'LINEST VARS'!$L$50*(0.5^2)+'LINEST VARS'!$K$50*($DV22^2)+'LINEST VARS'!$J$50*(8*8)+'LINEST VARS'!$I$50*(8*$DX$8)+'LINEST VARS'!$H$50*(8*0.5)+'LINEST VARS'!$G$50*(8*$DV22)+'LINEST VARS'!$F$50*(8*$DX$8)+'LINEST VARS'!$E$50*(8*0.5)+'LINEST VARS'!$D$50*(8*$DV22)+'LINEST VARS'!$C$50*($DX$8*0.5)+'LINEST VARS'!$B$50*($DX$8*$DV22)+'LINEST VARS'!$A$50*(0.5*$DV22)</f>
        <v>331.99999999999989</v>
      </c>
      <c r="DY22" s="46">
        <f>'LINEST VARS'!$U$50+'LINEST VARS'!$T$50*(8)+'LINEST VARS'!$S$50*(8)+'LINEST VARS'!$R$50*($DY$8)+'LINEST VARS'!$Q$50*(0.5)+'LINEST VARS'!$P$50*($DV22)+'LINEST VARS'!$O$50*(8^2)+'LINEST VARS'!$N$50*(8^2)+'LINEST VARS'!$M$50*($DY$8^2)+'LINEST VARS'!$L$50*(0.5^2)+'LINEST VARS'!$K$50*($DV22^2)+'LINEST VARS'!$J$50*(8*8)+'LINEST VARS'!$I$50*(8*$DY$8)+'LINEST VARS'!$H$50*(8*0.5)+'LINEST VARS'!$G$50*(8*$DV22)+'LINEST VARS'!$F$50*(8*$DY$8)+'LINEST VARS'!$E$50*(8*0.5)+'LINEST VARS'!$D$50*(8*$DV22)+'LINEST VARS'!$C$50*($DY$8*0.5)+'LINEST VARS'!$B$50*($DY$8*$DV22)+'LINEST VARS'!$A$50*(0.5*$DV22)</f>
        <v>331.99999999999989</v>
      </c>
      <c r="DZ22" s="46">
        <f>'LINEST VARS'!$U$50+'LINEST VARS'!$T$50*(8)+'LINEST VARS'!$S$50*(8)+'LINEST VARS'!$R$50*($DZ$8)+'LINEST VARS'!$Q$50*(0.5)+'LINEST VARS'!$P$50*($DV22)+'LINEST VARS'!$O$50*(8^2)+'LINEST VARS'!$N$50*(8^2)+'LINEST VARS'!$M$50*($DZ$8^2)+'LINEST VARS'!$L$50*(0.5^2)+'LINEST VARS'!$K$50*($DV22^2)+'LINEST VARS'!$J$50*(8*8)+'LINEST VARS'!$I$50*(8*$DZ$8)+'LINEST VARS'!$H$50*(8*0.5)+'LINEST VARS'!$G$50*(8*$DV22)+'LINEST VARS'!$F$50*(8*$DZ$8)+'LINEST VARS'!$E$50*(8*0.5)+'LINEST VARS'!$D$50*(8*$DV22)+'LINEST VARS'!$C$50*($DZ$8*0.5)+'LINEST VARS'!$B$50*($DZ$8*$DV22)+'LINEST VARS'!$A$50*(0.5*$DV22)</f>
        <v>331.99999999999989</v>
      </c>
      <c r="EA22" s="46">
        <f>'LINEST VARS'!$U$50+'LINEST VARS'!$T$50*(8)+'LINEST VARS'!$S$50*(8)+'LINEST VARS'!$R$50*($EA$8)+'LINEST VARS'!$Q$50*(0.5)+'LINEST VARS'!$P$50*($DV22)+'LINEST VARS'!$O$50*(8^2)+'LINEST VARS'!$N$50*(8^2)+'LINEST VARS'!$M$50*($EA$8^2)+'LINEST VARS'!$L$50*(0.5^2)+'LINEST VARS'!$K$50*($DV22^2)+'LINEST VARS'!$J$50*(8*8)+'LINEST VARS'!$I$50*(8*$EA$8)+'LINEST VARS'!$H$50*(8*0.5)+'LINEST VARS'!$G$50*(8*$DV22)+'LINEST VARS'!$F$50*(8*$EA$8)+'LINEST VARS'!$E$50*(8*0.5)+'LINEST VARS'!$D$50*(8*$DV22)+'LINEST VARS'!$C$50*($EA$8*0.5)+'LINEST VARS'!$B$50*($EA$8*$DV22)+'LINEST VARS'!$A$50*(0.5*$DV22)</f>
        <v>331.99999999999989</v>
      </c>
      <c r="EB22" s="46">
        <f>'LINEST VARS'!$U$50+'LINEST VARS'!$T$50*(8)+'LINEST VARS'!$S$50*(8)+'LINEST VARS'!$R$50*($EB$8)+'LINEST VARS'!$Q$50*(0.5)+'LINEST VARS'!$P$50*($DV22)+'LINEST VARS'!$O$50*(8^2)+'LINEST VARS'!$N$50*(8^2)+'LINEST VARS'!$M$50*($EB$8^2)+'LINEST VARS'!$L$50*(0.5^2)+'LINEST VARS'!$K$50*($DV22^2)+'LINEST VARS'!$J$50*(8*8)+'LINEST VARS'!$I$50*(8*$EB$8)+'LINEST VARS'!$H$50*(8*0.5)+'LINEST VARS'!$G$50*(8*$DV22)+'LINEST VARS'!$F$50*(8*$EB$8)+'LINEST VARS'!$E$50*(8*0.5)+'LINEST VARS'!$D$50*(8*$DV22)+'LINEST VARS'!$C$50*($EB$8*0.5)+'LINEST VARS'!$B$50*($EB$8*$DV22)+'LINEST VARS'!$A$50*(0.5*$DV22)</f>
        <v>331.99999999999989</v>
      </c>
      <c r="EC22" s="46">
        <f>'LINEST VARS'!$U$50+'LINEST VARS'!$T$50*(8)+'LINEST VARS'!$S$50*(8)+'LINEST VARS'!$R$50*($EC$8)+'LINEST VARS'!$Q$50*(0.5)+'LINEST VARS'!$P$50*($DV22)+'LINEST VARS'!$O$50*(8^2)+'LINEST VARS'!$N$50*(8^2)+'LINEST VARS'!$M$50*($EC$8^2)+'LINEST VARS'!$L$50*(0.5^2)+'LINEST VARS'!$K$50*($DV22^2)+'LINEST VARS'!$J$50*(8*8)+'LINEST VARS'!$I$50*(8*$EC$8)+'LINEST VARS'!$H$50*(8*0.5)+'LINEST VARS'!$G$50*(8*$DV22)+'LINEST VARS'!$F$50*(8*$EC$8)+'LINEST VARS'!$E$50*(8*0.5)+'LINEST VARS'!$D$50*(8*$DV22)+'LINEST VARS'!$C$50*($EC$8*0.5)+'LINEST VARS'!$B$50*($EC$8*$DV22)+'LINEST VARS'!$A$50*(0.5*$DV22)</f>
        <v>331.99999999999989</v>
      </c>
      <c r="ED22" s="46">
        <f>'LINEST VARS'!$U$50+'LINEST VARS'!$T$50*(8)+'LINEST VARS'!$S$50*(8)+'LINEST VARS'!$R$50*($ED$8)+'LINEST VARS'!$Q$50*(0.5)+'LINEST VARS'!$P$50*($DV22)+'LINEST VARS'!$O$50*(8^2)+'LINEST VARS'!$N$50*(8^2)+'LINEST VARS'!$M$50*($ED$8^2)+'LINEST VARS'!$L$50*(0.5^2)+'LINEST VARS'!$K$50*($DV22^2)+'LINEST VARS'!$J$50*(8*8)+'LINEST VARS'!$I$50*(8*$ED$8)+'LINEST VARS'!$H$50*(8*0.5)+'LINEST VARS'!$G$50*(8*$DV22)+'LINEST VARS'!$F$50*(8*$ED$8)+'LINEST VARS'!$E$50*(8*0.5)+'LINEST VARS'!$D$50*(8*$DV22)+'LINEST VARS'!$C$50*($ED$8*0.5)+'LINEST VARS'!$B$50*($ED$8*$DV22)+'LINEST VARS'!$A$50*(0.5*$DV22)</f>
        <v>331.99999999999989</v>
      </c>
      <c r="EE22" s="46">
        <f>'LINEST VARS'!$U$50+'LINEST VARS'!$T$50*(8)+'LINEST VARS'!$S$50*(8)+'LINEST VARS'!$R$50*($EE$8)+'LINEST VARS'!$Q$50*(0.5)+'LINEST VARS'!$P$50*($DV22)+'LINEST VARS'!$O$50*(8^2)+'LINEST VARS'!$N$50*(8^2)+'LINEST VARS'!$M$50*($EE$8^2)+'LINEST VARS'!$L$50*(0.5^2)+'LINEST VARS'!$K$50*($DV22^2)+'LINEST VARS'!$J$50*(8*8)+'LINEST VARS'!$I$50*(8*$EE$8)+'LINEST VARS'!$H$50*(8*0.5)+'LINEST VARS'!$G$50*(8*$DV22)+'LINEST VARS'!$F$50*(8*$EE$8)+'LINEST VARS'!$E$50*(8*0.5)+'LINEST VARS'!$D$50*(8*$DV22)+'LINEST VARS'!$C$50*($EE$8*0.5)+'LINEST VARS'!$B$50*($EE$8*$DV22)+'LINEST VARS'!$A$50*(0.5*$DV22)</f>
        <v>331.99999999999989</v>
      </c>
      <c r="EF22" s="46">
        <f>'LINEST VARS'!$U$50+'LINEST VARS'!$T$50*(8)+'LINEST VARS'!$S$50*(8)+'LINEST VARS'!$R$50*($EF$8)+'LINEST VARS'!$Q$50*(0.5)+'LINEST VARS'!$P$50*($DV22)+'LINEST VARS'!$O$50*(8^2)+'LINEST VARS'!$N$50*(8^2)+'LINEST VARS'!$M$50*($EF$8^2)+'LINEST VARS'!$L$50*(0.5^2)+'LINEST VARS'!$K$50*($DV22^2)+'LINEST VARS'!$J$50*(8*8)+'LINEST VARS'!$I$50*(8*$EF$8)+'LINEST VARS'!$H$50*(8*0.5)+'LINEST VARS'!$G$50*(8*$DV22)+'LINEST VARS'!$F$50*(8*$EF$8)+'LINEST VARS'!$E$50*(8*0.5)+'LINEST VARS'!$D$50*(8*$DV22)+'LINEST VARS'!$C$50*($EF$8*0.5)+'LINEST VARS'!$B$50*($EF$8*$DV22)+'LINEST VARS'!$A$50*(0.5*$DV22)</f>
        <v>331.99999999999989</v>
      </c>
      <c r="EG22" s="46">
        <f>'LINEST VARS'!$U$50+'LINEST VARS'!$T$50*(8)+'LINEST VARS'!$S$50*(8)+'LINEST VARS'!$R$50*($EG$8)+'LINEST VARS'!$Q$50*(0.5)+'LINEST VARS'!$P$50*($DV22)+'LINEST VARS'!$O$50*(8^2)+'LINEST VARS'!$N$50*(8^2)+'LINEST VARS'!$M$50*($EG$8^2)+'LINEST VARS'!$L$50*(0.5^2)+'LINEST VARS'!$K$50*($DV22^2)+'LINEST VARS'!$J$50*(8*8)+'LINEST VARS'!$I$50*(8*$EG$8)+'LINEST VARS'!$H$50*(8*0.5)+'LINEST VARS'!$G$50*(8*$DV22)+'LINEST VARS'!$F$50*(8*$EG$8)+'LINEST VARS'!$E$50*(8*0.5)+'LINEST VARS'!$D$50*(8*$DV22)+'LINEST VARS'!$C$50*($EG$8*0.5)+'LINEST VARS'!$B$50*($EG$8*$DV22)+'LINEST VARS'!$A$50*(0.5*$DV22)</f>
        <v>331.99999999999989</v>
      </c>
      <c r="EH22" s="46">
        <f>'LINEST VARS'!$U$50+'LINEST VARS'!$T$50*(8)+'LINEST VARS'!$S$50*(8)+'LINEST VARS'!$R$50*($EH$8)+'LINEST VARS'!$Q$50*(0.5)+'LINEST VARS'!$P$50*($DV22)+'LINEST VARS'!$O$50*(8^2)+'LINEST VARS'!$N$50*(8^2)+'LINEST VARS'!$M$50*($EH$8^2)+'LINEST VARS'!$L$50*(0.5^2)+'LINEST VARS'!$K$50*($DV22^2)+'LINEST VARS'!$J$50*(8*8)+'LINEST VARS'!$I$50*(8*$EH$8)+'LINEST VARS'!$H$50*(8*0.5)+'LINEST VARS'!$G$50*(8*$DV22)+'LINEST VARS'!$F$50*(8*$EH$8)+'LINEST VARS'!$E$50*(8*0.5)+'LINEST VARS'!$D$50*(8*$DV22)+'LINEST VARS'!$C$50*($EH$8*0.5)+'LINEST VARS'!$B$50*($EH$8*$DV22)+'LINEST VARS'!$A$50*(0.5*$DV22)</f>
        <v>331.99999999999989</v>
      </c>
      <c r="EI22" s="46">
        <f>'LINEST VARS'!$U$50+'LINEST VARS'!$T$50*(8)+'LINEST VARS'!$S$50*(8)+'LINEST VARS'!$R$50*($EI$8)+'LINEST VARS'!$Q$50*(0.5)+'LINEST VARS'!$P$50*($DV22)+'LINEST VARS'!$O$50*(8^2)+'LINEST VARS'!$N$50*(8^2)+'LINEST VARS'!$M$50*($EI$8^2)+'LINEST VARS'!$L$50*(0.5^2)+'LINEST VARS'!$K$50*($DV22^2)+'LINEST VARS'!$J$50*(8*8)+'LINEST VARS'!$I$50*(8*$EI$8)+'LINEST VARS'!$H$50*(8*0.5)+'LINEST VARS'!$G$50*(8*$DV22)+'LINEST VARS'!$F$50*(8*$EI$8)+'LINEST VARS'!$E$50*(8*0.5)+'LINEST VARS'!$D$50*(8*$DV22)+'LINEST VARS'!$C$50*($EI$8*0.5)+'LINEST VARS'!$B$50*($EI$8*$DV22)+'LINEST VARS'!$A$50*(0.5*$DV22)</f>
        <v>331.99999999999989</v>
      </c>
      <c r="EJ22" s="46">
        <f>'LINEST VARS'!$U$50+'LINEST VARS'!$T$50*(8)+'LINEST VARS'!$S$50*(8)+'LINEST VARS'!$R$50*($EJ$8)+'LINEST VARS'!$Q$50*(0.5)+'LINEST VARS'!$P$50*($DV22)+'LINEST VARS'!$O$50*(8^2)+'LINEST VARS'!$N$50*(8^2)+'LINEST VARS'!$M$50*($EJ$8^2)+'LINEST VARS'!$L$50*(0.5^2)+'LINEST VARS'!$K$50*($DV22^2)+'LINEST VARS'!$J$50*(8*8)+'LINEST VARS'!$I$50*(8*$EJ$8)+'LINEST VARS'!$H$50*(8*0.5)+'LINEST VARS'!$G$50*(8*$DV22)+'LINEST VARS'!$F$50*(8*$EJ$8)+'LINEST VARS'!$E$50*(8*0.5)+'LINEST VARS'!$D$50*(8*$DV22)+'LINEST VARS'!$C$50*($EJ$8*0.5)+'LINEST VARS'!$B$50*($EJ$8*$DV22)+'LINEST VARS'!$A$50*(0.5*$DV22)</f>
        <v>331.99999999999989</v>
      </c>
      <c r="EK22" s="46">
        <f>'LINEST VARS'!$U$50+'LINEST VARS'!$T$50*(8)+'LINEST VARS'!$S$50*(8)+'LINEST VARS'!$R$50*($EK$8)+'LINEST VARS'!$Q$50*(0.5)+'LINEST VARS'!$P$50*($DV22)+'LINEST VARS'!$O$50*(8^2)+'LINEST VARS'!$N$50*(8^2)+'LINEST VARS'!$M$50*($EK$8^2)+'LINEST VARS'!$L$50*(0.5^2)+'LINEST VARS'!$K$50*($DV22^2)+'LINEST VARS'!$J$50*(8*8)+'LINEST VARS'!$I$50*(8*$EK$8)+'LINEST VARS'!$H$50*(8*0.5)+'LINEST VARS'!$G$50*(8*$DV22)+'LINEST VARS'!$F$50*(8*$EK$8)+'LINEST VARS'!$E$50*(8*0.5)+'LINEST VARS'!$D$50*(8*$DV22)+'LINEST VARS'!$C$50*($EK$8*0.5)+'LINEST VARS'!$B$50*($EK$8*$DV22)+'LINEST VARS'!$A$50*(0.5*$DV22)</f>
        <v>331.99999999999989</v>
      </c>
      <c r="EL22" s="46">
        <f>'LINEST VARS'!$U$50+'LINEST VARS'!$T$50*(8)+'LINEST VARS'!$S$50*(8)+'LINEST VARS'!$R$50*($EL$8)+'LINEST VARS'!$Q$50*(0.5)+'LINEST VARS'!$P$50*($DV22)+'LINEST VARS'!$O$50*(8^2)+'LINEST VARS'!$N$50*(8^2)+'LINEST VARS'!$M$50*($EL$8^2)+'LINEST VARS'!$L$50*(0.5^2)+'LINEST VARS'!$K$50*($DV22^2)+'LINEST VARS'!$J$50*(8*8)+'LINEST VARS'!$I$50*(8*$EL$8)+'LINEST VARS'!$H$50*(8*0.5)+'LINEST VARS'!$G$50*(8*$DV22)+'LINEST VARS'!$F$50*(8*$EL$8)+'LINEST VARS'!$E$50*(8*0.5)+'LINEST VARS'!$D$50*(8*$DV22)+'LINEST VARS'!$C$50*($EL$8*0.5)+'LINEST VARS'!$B$50*($EL$8*$DV22)+'LINEST VARS'!$A$50*(0.5*$DV22)</f>
        <v>331.99999999999989</v>
      </c>
      <c r="EM22" s="46">
        <f>'LINEST VARS'!$U$50+'LINEST VARS'!$T$50*(8)+'LINEST VARS'!$S$50*(8)+'LINEST VARS'!$R$50*($EM$8)+'LINEST VARS'!$Q$50*(0.5)+'LINEST VARS'!$P$50*($DV22)+'LINEST VARS'!$O$50*(8^2)+'LINEST VARS'!$N$50*(8^2)+'LINEST VARS'!$M$50*($EM$8^2)+'LINEST VARS'!$L$50*(0.5^2)+'LINEST VARS'!$K$50*($DV22^2)+'LINEST VARS'!$J$50*(8*8)+'LINEST VARS'!$I$50*(8*$EM$8)+'LINEST VARS'!$H$50*(8*0.5)+'LINEST VARS'!$G$50*(8*$DV22)+'LINEST VARS'!$F$50*(8*$EM$8)+'LINEST VARS'!$E$50*(8*0.5)+'LINEST VARS'!$D$50*(8*$DV22)+'LINEST VARS'!$C$50*($EM$8*0.5)+'LINEST VARS'!$B$50*($EM$8*$DV22)+'LINEST VARS'!$A$50*(0.5*$DV22)</f>
        <v>331.99999999999989</v>
      </c>
      <c r="EN22" s="46">
        <f>'LINEST VARS'!$U$50+'LINEST VARS'!$T$50*(8)+'LINEST VARS'!$S$50*(8)+'LINEST VARS'!$R$50*($EN$8)+'LINEST VARS'!$Q$50*(0.5)+'LINEST VARS'!$P$50*($DV22)+'LINEST VARS'!$O$50*(8^2)+'LINEST VARS'!$N$50*(8^2)+'LINEST VARS'!$M$50*($EN$8^2)+'LINEST VARS'!$L$50*(0.5^2)+'LINEST VARS'!$K$50*($DV22^2)+'LINEST VARS'!$J$50*(8*8)+'LINEST VARS'!$I$50*(8*$EN$8)+'LINEST VARS'!$H$50*(8*0.5)+'LINEST VARS'!$G$50*(8*$DV22)+'LINEST VARS'!$F$50*(8*$EN$8)+'LINEST VARS'!$E$50*(8*0.5)+'LINEST VARS'!$D$50*(8*$DV22)+'LINEST VARS'!$C$50*($EN$8*0.5)+'LINEST VARS'!$B$50*($EN$8*$DV22)+'LINEST VARS'!$A$50*(0.5*$DV22)</f>
        <v>331.99999999999989</v>
      </c>
      <c r="EO22" s="46">
        <f>'LINEST VARS'!$U$50+'LINEST VARS'!$T$50*(8)+'LINEST VARS'!$S$50*(8)+'LINEST VARS'!$R$50*($EO$8)+'LINEST VARS'!$Q$50*(0.5)+'LINEST VARS'!$P$50*($DV22)+'LINEST VARS'!$O$50*(8^2)+'LINEST VARS'!$N$50*(8^2)+'LINEST VARS'!$M$50*($EO$8^2)+'LINEST VARS'!$L$50*(0.5^2)+'LINEST VARS'!$K$50*($DV22^2)+'LINEST VARS'!$J$50*(8*8)+'LINEST VARS'!$I$50*(8*$EO$8)+'LINEST VARS'!$H$50*(8*0.5)+'LINEST VARS'!$G$50*(8*$DV22)+'LINEST VARS'!$F$50*(8*$EO$8)+'LINEST VARS'!$E$50*(8*0.5)+'LINEST VARS'!$D$50*(8*$DV22)+'LINEST VARS'!$C$50*($EO$8*0.5)+'LINEST VARS'!$B$50*($EO$8*$DV22)+'LINEST VARS'!$A$50*(0.5*$DV22)</f>
        <v>331.99999999999989</v>
      </c>
      <c r="EP22" s="46">
        <f>'LINEST VARS'!$U$50+'LINEST VARS'!$T$50*(8)+'LINEST VARS'!$S$50*(8)+'LINEST VARS'!$R$50*($EP$8)+'LINEST VARS'!$Q$50*(0.5)+'LINEST VARS'!$P$50*($DV22)+'LINEST VARS'!$O$50*(8^2)+'LINEST VARS'!$N$50*(8^2)+'LINEST VARS'!$M$50*($EP$8^2)+'LINEST VARS'!$L$50*(0.5^2)+'LINEST VARS'!$K$50*($DV22^2)+'LINEST VARS'!$J$50*(8*8)+'LINEST VARS'!$I$50*(8*$EP$8)+'LINEST VARS'!$H$50*(8*0.5)+'LINEST VARS'!$G$50*(8*$DV22)+'LINEST VARS'!$F$50*(8*$EP$8)+'LINEST VARS'!$E$50*(8*0.5)+'LINEST VARS'!$D$50*(8*$DV22)+'LINEST VARS'!$C$50*($EP$8*0.5)+'LINEST VARS'!$B$50*($EP$8*$DV22)+'LINEST VARS'!$A$50*(0.5*$DV22)</f>
        <v>331.99999999999989</v>
      </c>
      <c r="EQ22" s="47">
        <f>'LINEST VARS'!$U$50+'LINEST VARS'!$T$50*(8)+'LINEST VARS'!$S$50*(8)+'LINEST VARS'!$R$50*($EQ$8)+'LINEST VARS'!$Q$50*(0.5)+'LINEST VARS'!$P$50*($DV22)+'LINEST VARS'!$O$50*(8^2)+'LINEST VARS'!$N$50*(8^2)+'LINEST VARS'!$M$50*($EQ$8^2)+'LINEST VARS'!$L$50*(0.5^2)+'LINEST VARS'!$K$50*($DV22^2)+'LINEST VARS'!$J$50*(8*8)+'LINEST VARS'!$I$50*(8*$EQ$8)+'LINEST VARS'!$H$50*(8*0.5)+'LINEST VARS'!$G$50*(8*$DV22)+'LINEST VARS'!$F$50*(8*$EQ$8)+'LINEST VARS'!$E$50*(8*0.5)+'LINEST VARS'!$D$50*(8*$DV22)+'LINEST VARS'!$C$50*($EQ$8*0.5)+'LINEST VARS'!$B$50*($EQ$8*$DV22)+'LINEST VARS'!$A$50*(0.5*$DV22)</f>
        <v>331.99999999999989</v>
      </c>
    </row>
    <row r="23" spans="2:147" ht="15" customHeight="1" x14ac:dyDescent="0.25">
      <c r="B23" s="45">
        <v>8.24</v>
      </c>
      <c r="C23" s="46">
        <f>'LINEST VARS'!$U$48+'LINEST VARS'!$T$48*($C$8)+'LINEST VARS'!$S$48*($B23)+'LINEST VARS'!$R$48*(4)+'LINEST VARS'!$Q$48*(0.5)+'LINEST VARS'!$P$48*(12.73)+'LINEST VARS'!$O$48*($C$8^2)+'LINEST VARS'!$N$48*($B23^2)+'LINEST VARS'!$M$48*(4^2)+'LINEST VARS'!$L$48*(0.5^2)+'LINEST VARS'!$K$48*(12.73^2)+'LINEST VARS'!$J$48*($C$8*$B23)+'LINEST VARS'!$I$48*($C$8*4)+'LINEST VARS'!$H$48*($C$8*0.5)+'LINEST VARS'!$G$48*($C$8*12.73)+'LINEST VARS'!$F$48*($B23*4)+'LINEST VARS'!$E$48*($B23*0.5)+'LINEST VARS'!$D$48*($B23*12.73)+'LINEST VARS'!$C$48*(4*0.5)+'LINEST VARS'!$B$48*(4*12.73)+'LINEST VARS'!$A$48*(0.5*12.73)</f>
        <v>323.31999999999988</v>
      </c>
      <c r="D23" s="46">
        <f>'LINEST VARS'!$U$48+'LINEST VARS'!$T$48*($D$8)+'LINEST VARS'!$S$48*($B23)+'LINEST VARS'!$R$48*(4)+'LINEST VARS'!$Q$48*(0.5)+'LINEST VARS'!$P$48*(12.73)+'LINEST VARS'!$O$48*($D$8^2)+'LINEST VARS'!$N$48*($B23^2)+'LINEST VARS'!$M$48*(4^2)+'LINEST VARS'!$L$48*(0.5^2)+'LINEST VARS'!$K$48*(12.73^2)+'LINEST VARS'!$J$48*($D$8*$B23)+'LINEST VARS'!$I$48*($D$8*4)+'LINEST VARS'!$H$48*($D$8*0.5)+'LINEST VARS'!$G$48*($D$8*12.73)+'LINEST VARS'!$F$48*($B23*4)+'LINEST VARS'!$E$48*($B23*0.5)+'LINEST VARS'!$D$48*($B23*12.73)+'LINEST VARS'!$C$48*(4*0.5)+'LINEST VARS'!$B$48*(4*12.73)+'LINEST VARS'!$A$48*(0.5*12.73)</f>
        <v>327.89799999999991</v>
      </c>
      <c r="E23" s="46">
        <f>'LINEST VARS'!$U$48+'LINEST VARS'!$T$48*($E$8)+'LINEST VARS'!$S$48*($B23)+'LINEST VARS'!$R$48*(4)+'LINEST VARS'!$Q$48*(0.5)+'LINEST VARS'!$P$48*(12.73)+'LINEST VARS'!$O$48*($E$8^2)+'LINEST VARS'!$N$48*($B23^2)+'LINEST VARS'!$M$48*(4^2)+'LINEST VARS'!$L$48*(0.5^2)+'LINEST VARS'!$K$48*(12.73^2)+'LINEST VARS'!$J$48*($E$8*$B23)+'LINEST VARS'!$I$48*($E$8*4)+'LINEST VARS'!$H$48*($E$8*0.5)+'LINEST VARS'!$G$48*($E$8*12.73)+'LINEST VARS'!$F$48*($B23*4)+'LINEST VARS'!$E$48*($B23*0.5)+'LINEST VARS'!$D$48*($B23*12.73)+'LINEST VARS'!$C$48*(4*0.5)+'LINEST VARS'!$B$48*(4*12.73)+'LINEST VARS'!$A$48*(0.5*12.73)</f>
        <v>332.51199999999989</v>
      </c>
      <c r="F23" s="46">
        <f>'LINEST VARS'!$U$48+'LINEST VARS'!$T$48*($F$8)+'LINEST VARS'!$S$48*($B23)+'LINEST VARS'!$R$48*(4)+'LINEST VARS'!$Q$48*(0.5)+'LINEST VARS'!$P$48*(12.73)+'LINEST VARS'!$O$48*($F$8^2)+'LINEST VARS'!$N$48*($B23^2)+'LINEST VARS'!$M$48*(4^2)+'LINEST VARS'!$L$48*(0.5^2)+'LINEST VARS'!$K$48*(12.73^2)+'LINEST VARS'!$J$48*($F$8*$B23)+'LINEST VARS'!$I$48*($F$8*4)+'LINEST VARS'!$H$48*($F$8*0.5)+'LINEST VARS'!$G$48*($F$8*12.73)+'LINEST VARS'!$F$48*($B23*4)+'LINEST VARS'!$E$48*($B23*0.5)+'LINEST VARS'!$D$48*($B23*12.73)+'LINEST VARS'!$C$48*(4*0.5)+'LINEST VARS'!$B$48*(4*12.73)+'LINEST VARS'!$A$48*(0.5*12.73)</f>
        <v>337.16199999999986</v>
      </c>
      <c r="G23" s="46">
        <f>'LINEST VARS'!$U$48+'LINEST VARS'!$T$48*($G$8)+'LINEST VARS'!$S$48*($B23)+'LINEST VARS'!$R$48*(4)+'LINEST VARS'!$Q$48*(0.5)+'LINEST VARS'!$P$48*(12.73)+'LINEST VARS'!$O$48*($G$8^2)+'LINEST VARS'!$N$48*($B23^2)+'LINEST VARS'!$M$48*(4^2)+'LINEST VARS'!$L$48*(0.5^2)+'LINEST VARS'!$K$48*(12.73^2)+'LINEST VARS'!$J$48*($G$8*$B23)+'LINEST VARS'!$I$48*($G$8*4)+'LINEST VARS'!$H$48*($G$8*0.5)+'LINEST VARS'!$G$48*($G$8*12.73)+'LINEST VARS'!$F$48*($B23*4)+'LINEST VARS'!$E$48*($B23*0.5)+'LINEST VARS'!$D$48*($B23*12.73)+'LINEST VARS'!$C$48*(4*0.5)+'LINEST VARS'!$B$48*(4*12.73)+'LINEST VARS'!$A$48*(0.5*12.73)</f>
        <v>341.84799999999984</v>
      </c>
      <c r="H23" s="46">
        <f>'LINEST VARS'!$U$48+'LINEST VARS'!$T$48*($H$8)+'LINEST VARS'!$S$48*($B23)+'LINEST VARS'!$R$48*(4)+'LINEST VARS'!$Q$48*(0.5)+'LINEST VARS'!$P$48*(12.73)+'LINEST VARS'!$O$48*($H$8^2)+'LINEST VARS'!$N$48*($B23^2)+'LINEST VARS'!$M$48*(4^2)+'LINEST VARS'!$L$48*(0.5^2)+'LINEST VARS'!$K$48*(12.73^2)+'LINEST VARS'!$J$48*($H$8*$B23)+'LINEST VARS'!$I$48*($H$8*4)+'LINEST VARS'!$H$48*($H$8*0.5)+'LINEST VARS'!$G$48*($H$8*12.73)+'LINEST VARS'!$F$48*($B23*4)+'LINEST VARS'!$E$48*($B23*0.5)+'LINEST VARS'!$D$48*($B23*12.73)+'LINEST VARS'!$C$48*(4*0.5)+'LINEST VARS'!$B$48*(4*12.73)+'LINEST VARS'!$A$48*(0.5*12.73)</f>
        <v>346.56999999999994</v>
      </c>
      <c r="I23" s="46">
        <f>'LINEST VARS'!$U$48+'LINEST VARS'!$T$48*($I$8)+'LINEST VARS'!$S$48*($B23)+'LINEST VARS'!$R$48*(4)+'LINEST VARS'!$Q$48*(0.5)+'LINEST VARS'!$P$48*(12.73)+'LINEST VARS'!$O$48*($I$8^2)+'LINEST VARS'!$N$48*($B23^2)+'LINEST VARS'!$M$48*(4^2)+'LINEST VARS'!$L$48*(0.5^2)+'LINEST VARS'!$K$48*(12.73^2)+'LINEST VARS'!$J$48*($I$8*$B23)+'LINEST VARS'!$I$48*($I$8*4)+'LINEST VARS'!$H$48*($I$8*0.5)+'LINEST VARS'!$G$48*($I$8*12.73)+'LINEST VARS'!$F$48*($B23*4)+'LINEST VARS'!$E$48*($B23*0.5)+'LINEST VARS'!$D$48*($B23*12.73)+'LINEST VARS'!$C$48*(4*0.5)+'LINEST VARS'!$B$48*(4*12.73)+'LINEST VARS'!$A$48*(0.5*12.73)</f>
        <v>351.32799999999986</v>
      </c>
      <c r="J23" s="46">
        <f>'LINEST VARS'!$U$48+'LINEST VARS'!$T$48*($J$8)+'LINEST VARS'!$S$48*($B23)+'LINEST VARS'!$R$48*(4)+'LINEST VARS'!$Q$48*(0.5)+'LINEST VARS'!$P$48*(12.73)+'LINEST VARS'!$O$48*($J$8^2)+'LINEST VARS'!$N$48*($B23^2)+'LINEST VARS'!$M$48*(4^2)+'LINEST VARS'!$L$48*(0.5^2)+'LINEST VARS'!$K$48*(12.73^2)+'LINEST VARS'!$J$48*($J$8*$B23)+'LINEST VARS'!$I$48*($J$8*4)+'LINEST VARS'!$H$48*($J$8*0.5)+'LINEST VARS'!$G$48*($J$8*12.73)+'LINEST VARS'!$F$48*($B23*4)+'LINEST VARS'!$E$48*($B23*0.5)+'LINEST VARS'!$D$48*($B23*12.73)+'LINEST VARS'!$C$48*(4*0.5)+'LINEST VARS'!$B$48*(4*12.73)+'LINEST VARS'!$A$48*(0.5*12.73)</f>
        <v>356.1219999999999</v>
      </c>
      <c r="K23" s="46">
        <f>'LINEST VARS'!$U$48+'LINEST VARS'!$T$48*($K$8)+'LINEST VARS'!$S$48*($B23)+'LINEST VARS'!$R$48*(4)+'LINEST VARS'!$Q$48*(0.5)+'LINEST VARS'!$P$48*(12.73)+'LINEST VARS'!$O$48*($K$8^2)+'LINEST VARS'!$N$48*($B23^2)+'LINEST VARS'!$M$48*(4^2)+'LINEST VARS'!$L$48*(0.5^2)+'LINEST VARS'!$K$48*(12.73^2)+'LINEST VARS'!$J$48*($K$8*$B23)+'LINEST VARS'!$I$48*($K$8*4)+'LINEST VARS'!$H$48*($K$8*0.5)+'LINEST VARS'!$G$48*($K$8*12.73)+'LINEST VARS'!$F$48*($B23*4)+'LINEST VARS'!$E$48*($B23*0.5)+'LINEST VARS'!$D$48*($B23*12.73)+'LINEST VARS'!$C$48*(4*0.5)+'LINEST VARS'!$B$48*(4*12.73)+'LINEST VARS'!$A$48*(0.5*12.73)</f>
        <v>360.95199999999994</v>
      </c>
      <c r="L23" s="46">
        <f>'LINEST VARS'!$U$48+'LINEST VARS'!$T$48*($L$8)+'LINEST VARS'!$S$48*($B23)+'LINEST VARS'!$R$48*(4)+'LINEST VARS'!$Q$48*(0.5)+'LINEST VARS'!$P$48*(12.73)+'LINEST VARS'!$O$48*($L$8^2)+'LINEST VARS'!$N$48*($B23^2)+'LINEST VARS'!$M$48*(4^2)+'LINEST VARS'!$L$48*(0.5^2)+'LINEST VARS'!$K$48*(12.73^2)+'LINEST VARS'!$J$48*($L$8*$B23)+'LINEST VARS'!$I$48*($L$8*4)+'LINEST VARS'!$H$48*($L$8*0.5)+'LINEST VARS'!$G$48*($L$8*12.73)+'LINEST VARS'!$F$48*($B23*4)+'LINEST VARS'!$E$48*($B23*0.5)+'LINEST VARS'!$D$48*($B23*12.73)+'LINEST VARS'!$C$48*(4*0.5)+'LINEST VARS'!$B$48*(4*12.73)+'LINEST VARS'!$A$48*(0.5*12.73)</f>
        <v>365.81799999999993</v>
      </c>
      <c r="M23" s="46">
        <f>'LINEST VARS'!$U$48+'LINEST VARS'!$T$48*($M$8)+'LINEST VARS'!$S$48*($B23)+'LINEST VARS'!$R$48*(4)+'LINEST VARS'!$Q$48*(0.5)+'LINEST VARS'!$P$48*(12.73)+'LINEST VARS'!$O$48*($M$8^2)+'LINEST VARS'!$N$48*($B23^2)+'LINEST VARS'!$M$48*(4^2)+'LINEST VARS'!$L$48*(0.5^2)+'LINEST VARS'!$K$48*(12.73^2)+'LINEST VARS'!$J$48*($M$8*$B23)+'LINEST VARS'!$I$48*($M$8*4)+'LINEST VARS'!$H$48*($M$8*0.5)+'LINEST VARS'!$G$48*($M$8*12.73)+'LINEST VARS'!$F$48*($B23*4)+'LINEST VARS'!$E$48*($B23*0.5)+'LINEST VARS'!$D$48*($B23*12.73)+'LINEST VARS'!$C$48*(4*0.5)+'LINEST VARS'!$B$48*(4*12.73)+'LINEST VARS'!$A$48*(0.5*12.73)</f>
        <v>370.71999999999986</v>
      </c>
      <c r="N23" s="46">
        <f>'LINEST VARS'!$U$48+'LINEST VARS'!$T$48*($N$8)+'LINEST VARS'!$S$48*($B23)+'LINEST VARS'!$R$48*(4)+'LINEST VARS'!$Q$48*(0.5)+'LINEST VARS'!$P$48*(12.73)+'LINEST VARS'!$O$48*($N$8^2)+'LINEST VARS'!$N$48*($B23^2)+'LINEST VARS'!$M$48*(4^2)+'LINEST VARS'!$L$48*(0.5^2)+'LINEST VARS'!$K$48*(12.73^2)+'LINEST VARS'!$J$48*($N$8*$B23)+'LINEST VARS'!$I$48*($N$8*4)+'LINEST VARS'!$H$48*($N$8*0.5)+'LINEST VARS'!$G$48*($N$8*12.73)+'LINEST VARS'!$F$48*($B23*4)+'LINEST VARS'!$E$48*($B23*0.5)+'LINEST VARS'!$D$48*($B23*12.73)+'LINEST VARS'!$C$48*(4*0.5)+'LINEST VARS'!$B$48*(4*12.73)+'LINEST VARS'!$A$48*(0.5*12.73)</f>
        <v>375.6579999999999</v>
      </c>
      <c r="O23" s="46">
        <f>'LINEST VARS'!$U$48+'LINEST VARS'!$T$48*($O$8)+'LINEST VARS'!$S$48*($B23)+'LINEST VARS'!$R$48*(4)+'LINEST VARS'!$Q$48*(0.5)+'LINEST VARS'!$P$48*(12.73)+'LINEST VARS'!$O$48*($O$8^2)+'LINEST VARS'!$N$48*($B23^2)+'LINEST VARS'!$M$48*(4^2)+'LINEST VARS'!$L$48*(0.5^2)+'LINEST VARS'!$K$48*(12.73^2)+'LINEST VARS'!$J$48*($O$8*$B23)+'LINEST VARS'!$I$48*($O$8*4)+'LINEST VARS'!$H$48*($O$8*0.5)+'LINEST VARS'!$G$48*($O$8*12.73)+'LINEST VARS'!$F$48*($B23*4)+'LINEST VARS'!$E$48*($B23*0.5)+'LINEST VARS'!$D$48*($B23*12.73)+'LINEST VARS'!$C$48*(4*0.5)+'LINEST VARS'!$B$48*(4*12.73)+'LINEST VARS'!$A$48*(0.5*12.73)</f>
        <v>380.63199999999978</v>
      </c>
      <c r="P23" s="46">
        <f>'LINEST VARS'!$U$48+'LINEST VARS'!$T$48*($P$8)+'LINEST VARS'!$S$48*($B23)+'LINEST VARS'!$R$48*(4)+'LINEST VARS'!$Q$48*(0.5)+'LINEST VARS'!$P$48*(12.73)+'LINEST VARS'!$O$48*($P$8^2)+'LINEST VARS'!$N$48*($B23^2)+'LINEST VARS'!$M$48*(4^2)+'LINEST VARS'!$L$48*(0.5^2)+'LINEST VARS'!$K$48*(12.73^2)+'LINEST VARS'!$J$48*($P$8*$B23)+'LINEST VARS'!$I$48*($P$8*4)+'LINEST VARS'!$H$48*($P$8*0.5)+'LINEST VARS'!$G$48*($P$8*12.73)+'LINEST VARS'!$F$48*($B23*4)+'LINEST VARS'!$E$48*($B23*0.5)+'LINEST VARS'!$D$48*($B23*12.73)+'LINEST VARS'!$C$48*(4*0.5)+'LINEST VARS'!$B$48*(4*12.73)+'LINEST VARS'!$A$48*(0.5*12.73)</f>
        <v>385.64199999999977</v>
      </c>
      <c r="Q23" s="46">
        <f>'LINEST VARS'!$U$48+'LINEST VARS'!$T$48*($Q$8)+'LINEST VARS'!$S$48*($B23)+'LINEST VARS'!$R$48*(4)+'LINEST VARS'!$Q$48*(0.5)+'LINEST VARS'!$P$48*(12.73)+'LINEST VARS'!$O$48*($Q$8^2)+'LINEST VARS'!$N$48*($B23^2)+'LINEST VARS'!$M$48*(4^2)+'LINEST VARS'!$L$48*(0.5^2)+'LINEST VARS'!$K$48*(12.73^2)+'LINEST VARS'!$J$48*($Q$8*$B23)+'LINEST VARS'!$I$48*($Q$8*4)+'LINEST VARS'!$H$48*($Q$8*0.5)+'LINEST VARS'!$G$48*($Q$8*12.73)+'LINEST VARS'!$F$48*($B23*4)+'LINEST VARS'!$E$48*($B23*0.5)+'LINEST VARS'!$D$48*($B23*12.73)+'LINEST VARS'!$C$48*(4*0.5)+'LINEST VARS'!$B$48*(4*12.73)+'LINEST VARS'!$A$48*(0.5*12.73)</f>
        <v>390.68799999999982</v>
      </c>
      <c r="R23" s="46">
        <f>'LINEST VARS'!$U$48+'LINEST VARS'!$T$48*($R$8)+'LINEST VARS'!$S$48*($B23)+'LINEST VARS'!$R$48*(4)+'LINEST VARS'!$Q$48*(0.5)+'LINEST VARS'!$P$48*(12.73)+'LINEST VARS'!$O$48*($R$8^2)+'LINEST VARS'!$N$48*($B23^2)+'LINEST VARS'!$M$48*(4^2)+'LINEST VARS'!$L$48*(0.5^2)+'LINEST VARS'!$K$48*(12.73^2)+'LINEST VARS'!$J$48*($R$8*$B23)+'LINEST VARS'!$I$48*($R$8*4)+'LINEST VARS'!$H$48*($R$8*0.5)+'LINEST VARS'!$G$48*($R$8*12.73)+'LINEST VARS'!$F$48*($B23*4)+'LINEST VARS'!$E$48*($B23*0.5)+'LINEST VARS'!$D$48*($B23*12.73)+'LINEST VARS'!$C$48*(4*0.5)+'LINEST VARS'!$B$48*(4*12.73)+'LINEST VARS'!$A$48*(0.5*12.73)</f>
        <v>395.76999999999987</v>
      </c>
      <c r="S23" s="46">
        <f>'LINEST VARS'!$U$48+'LINEST VARS'!$T$48*($S$8)+'LINEST VARS'!$S$48*($B23)+'LINEST VARS'!$R$48*(4)+'LINEST VARS'!$Q$48*(0.5)+'LINEST VARS'!$P$48*(12.73)+'LINEST VARS'!$O$48*($S$8^2)+'LINEST VARS'!$N$48*($B23^2)+'LINEST VARS'!$M$48*(4^2)+'LINEST VARS'!$L$48*(0.5^2)+'LINEST VARS'!$K$48*(12.73^2)+'LINEST VARS'!$J$48*($S$8*$B23)+'LINEST VARS'!$I$48*($S$8*4)+'LINEST VARS'!$H$48*($S$8*0.5)+'LINEST VARS'!$G$48*($S$8*12.73)+'LINEST VARS'!$F$48*($B23*4)+'LINEST VARS'!$E$48*($B23*0.5)+'LINEST VARS'!$D$48*($B23*12.73)+'LINEST VARS'!$C$48*(4*0.5)+'LINEST VARS'!$B$48*(4*12.73)+'LINEST VARS'!$A$48*(0.5*12.73)</f>
        <v>400.88799999999981</v>
      </c>
      <c r="T23" s="46">
        <f>'LINEST VARS'!$U$48+'LINEST VARS'!$T$48*($T$8)+'LINEST VARS'!$S$48*($B23)+'LINEST VARS'!$R$48*(4)+'LINEST VARS'!$Q$48*(0.5)+'LINEST VARS'!$P$48*(12.73)+'LINEST VARS'!$O$48*($T$8^2)+'LINEST VARS'!$N$48*($B23^2)+'LINEST VARS'!$M$48*(4^2)+'LINEST VARS'!$L$48*(0.5^2)+'LINEST VARS'!$K$48*(12.73^2)+'LINEST VARS'!$J$48*($T$8*$B23)+'LINEST VARS'!$I$48*($T$8*4)+'LINEST VARS'!$H$48*($T$8*0.5)+'LINEST VARS'!$G$48*($T$8*12.73)+'LINEST VARS'!$F$48*($B23*4)+'LINEST VARS'!$E$48*($B23*0.5)+'LINEST VARS'!$D$48*($B23*12.73)+'LINEST VARS'!$C$48*(4*0.5)+'LINEST VARS'!$B$48*(4*12.73)+'LINEST VARS'!$A$48*(0.5*12.73)</f>
        <v>406.04199999999986</v>
      </c>
      <c r="U23" s="46">
        <f>'LINEST VARS'!$U$48+'LINEST VARS'!$T$48*($U$8)+'LINEST VARS'!$S$48*($B23)+'LINEST VARS'!$R$48*(4)+'LINEST VARS'!$Q$48*(0.5)+'LINEST VARS'!$P$48*(12.73)+'LINEST VARS'!$O$48*($U$8^2)+'LINEST VARS'!$N$48*($B23^2)+'LINEST VARS'!$M$48*(4^2)+'LINEST VARS'!$L$48*(0.5^2)+'LINEST VARS'!$K$48*(12.73^2)+'LINEST VARS'!$J$48*($U$8*$B23)+'LINEST VARS'!$I$48*($U$8*4)+'LINEST VARS'!$H$48*($U$8*0.5)+'LINEST VARS'!$G$48*($U$8*12.73)+'LINEST VARS'!$F$48*($B23*4)+'LINEST VARS'!$E$48*($B23*0.5)+'LINEST VARS'!$D$48*($B23*12.73)+'LINEST VARS'!$C$48*(4*0.5)+'LINEST VARS'!$B$48*(4*12.73)+'LINEST VARS'!$A$48*(0.5*12.73)</f>
        <v>411.23199999999991</v>
      </c>
      <c r="V23" s="46">
        <f>'LINEST VARS'!$U$48+'LINEST VARS'!$T$48*($V$8)+'LINEST VARS'!$S$48*($B23)+'LINEST VARS'!$R$48*(4)+'LINEST VARS'!$Q$48*(0.5)+'LINEST VARS'!$P$48*(12.73)+'LINEST VARS'!$O$48*($V$8^2)+'LINEST VARS'!$N$48*($B23^2)+'LINEST VARS'!$M$48*(4^2)+'LINEST VARS'!$L$48*(0.5^2)+'LINEST VARS'!$K$48*(12.73^2)+'LINEST VARS'!$J$48*($V$8*$B23)+'LINEST VARS'!$I$48*($V$8*4)+'LINEST VARS'!$H$48*($V$8*0.5)+'LINEST VARS'!$G$48*($V$8*12.73)+'LINEST VARS'!$F$48*($B23*4)+'LINEST VARS'!$E$48*($B23*0.5)+'LINEST VARS'!$D$48*($B23*12.73)+'LINEST VARS'!$C$48*(4*0.5)+'LINEST VARS'!$B$48*(4*12.73)+'LINEST VARS'!$A$48*(0.5*12.73)</f>
        <v>416.45799999999986</v>
      </c>
      <c r="W23" s="47">
        <f>'LINEST VARS'!$U$48+'LINEST VARS'!$T$48*($W$8)+'LINEST VARS'!$S$48*($B23)+'LINEST VARS'!$R$48*(4)+'LINEST VARS'!$Q$48*(0.5)+'LINEST VARS'!$P$48*(12.73)+'LINEST VARS'!$O$48*($W$8^2)+'LINEST VARS'!$N$48*($B23^2)+'LINEST VARS'!$M$48*(4^2)+'LINEST VARS'!$L$48*(0.5^2)+'LINEST VARS'!$K$48*(12.73^2)+'LINEST VARS'!$J$48*($W$8*$B23)+'LINEST VARS'!$I$48*($W$8*4)+'LINEST VARS'!$H$48*($W$8*0.5)+'LINEST VARS'!$G$48*($W$8*12.73)+'LINEST VARS'!$F$48*($B23*4)+'LINEST VARS'!$E$48*($B23*0.5)+'LINEST VARS'!$D$48*($B23*12.73)+'LINEST VARS'!$C$48*(4*0.5)+'LINEST VARS'!$B$48*(4*12.73)+'LINEST VARS'!$A$48*(0.5*12.73)</f>
        <v>421.71999999999986</v>
      </c>
      <c r="Z23" s="45">
        <v>8.24</v>
      </c>
      <c r="AA23" s="46">
        <f>'LINEST VARS'!$U$50+'LINEST VARS'!$T$50*($AA$8)+'LINEST VARS'!$S$50*($Z23)+'LINEST VARS'!$R$50*(4)+'LINEST VARS'!$Q$50*(0.5)+'LINEST VARS'!$P$50*(12.73)+'LINEST VARS'!$O$50*($AA$8^2)+'LINEST VARS'!$N$50*($Z23^2)+'LINEST VARS'!$M$50*(4^2)+'LINEST VARS'!$L$50*(0.5^2)+'LINEST VARS'!$K$50*(12.73^2)+'LINEST VARS'!$J$50*($AA$8*$Z23)+'LINEST VARS'!$I$50*($AA$8*4)+'LINEST VARS'!$H$50*($AA$8*0.5)+'LINEST VARS'!$G$50*($AA$8*12.73)+'LINEST VARS'!$F$50*($Z23*4)+'LINEST VARS'!$E$50*($Z23*0.5)+'LINEST VARS'!$D$50*($Z23*12.73)+'LINEST VARS'!$C$50*(4*0.5)+'LINEST VARS'!$B$50*(4*12.73)+'LINEST VARS'!$A$50*(0.5*12.73)</f>
        <v>331.69999999999987</v>
      </c>
      <c r="AB23" s="46">
        <f>'LINEST VARS'!$U$50+'LINEST VARS'!$T$50*($AB$8)+'LINEST VARS'!$S$50*($Z23)+'LINEST VARS'!$R$50*(4)+'LINEST VARS'!$Q$50*(0.5)+'LINEST VARS'!$P$50*(12.73)+'LINEST VARS'!$O$50*($AB$8^2)+'LINEST VARS'!$N$50*($Z23^2)+'LINEST VARS'!$M$50*(4^2)+'LINEST VARS'!$L$50*(0.5^2)+'LINEST VARS'!$K$50*(12.73^2)+'LINEST VARS'!$J$50*($AB$8*$Z23)+'LINEST VARS'!$I$50*($AB$8*4)+'LINEST VARS'!$H$50*($AB$8*0.5)+'LINEST VARS'!$G$50*($AB$8*12.73)+'LINEST VARS'!$F$50*($Z23*4)+'LINEST VARS'!$E$50*($Z23*0.5)+'LINEST VARS'!$D$50*($Z23*12.73)+'LINEST VARS'!$C$50*(4*0.5)+'LINEST VARS'!$B$50*(4*12.73)+'LINEST VARS'!$A$50*(0.5*12.73)</f>
        <v>331.78999999999985</v>
      </c>
      <c r="AC23" s="46">
        <f>'LINEST VARS'!$U$50+'LINEST VARS'!$T$50*($AC$8)+'LINEST VARS'!$S$50*($Z23)+'LINEST VARS'!$R$50*(4)+'LINEST VARS'!$Q$50*(0.5)+'LINEST VARS'!$P$50*(12.73)+'LINEST VARS'!$O$50*($AC$8^2)+'LINEST VARS'!$N$50*($Z23^2)+'LINEST VARS'!$M$50*(4^2)+'LINEST VARS'!$L$50*(0.5^2)+'LINEST VARS'!$K$50*(12.73^2)+'LINEST VARS'!$J$50*($AC$8*$Z23)+'LINEST VARS'!$I$50*($AC$8*4)+'LINEST VARS'!$H$50*($AC$8*0.5)+'LINEST VARS'!$G$50*($AC$8*12.73)+'LINEST VARS'!$F$50*($Z23*4)+'LINEST VARS'!$E$50*($Z23*0.5)+'LINEST VARS'!$D$50*($Z23*12.73)+'LINEST VARS'!$C$50*(4*0.5)+'LINEST VARS'!$B$50*(4*12.73)+'LINEST VARS'!$A$50*(0.5*12.73)</f>
        <v>331.87999999999988</v>
      </c>
      <c r="AD23" s="46">
        <f>'LINEST VARS'!$U$50+'LINEST VARS'!$T$50*($AD$8)+'LINEST VARS'!$S$50*($Z23)+'LINEST VARS'!$R$50*(4)+'LINEST VARS'!$Q$50*(0.5)+'LINEST VARS'!$P$50*(12.73)+'LINEST VARS'!$O$50*($AD$8^2)+'LINEST VARS'!$N$50*($Z23^2)+'LINEST VARS'!$M$50*(4^2)+'LINEST VARS'!$L$50*(0.5^2)+'LINEST VARS'!$K$50*(12.73^2)+'LINEST VARS'!$J$50*($AD$8*$Z23)+'LINEST VARS'!$I$50*($AD$8*4)+'LINEST VARS'!$H$50*($AD$8*0.5)+'LINEST VARS'!$G$50*($AD$8*12.73)+'LINEST VARS'!$F$50*($Z23*4)+'LINEST VARS'!$E$50*($Z23*0.5)+'LINEST VARS'!$D$50*($Z23*12.73)+'LINEST VARS'!$C$50*(4*0.5)+'LINEST VARS'!$B$50*(4*12.73)+'LINEST VARS'!$A$50*(0.5*12.73)</f>
        <v>331.96999999999986</v>
      </c>
      <c r="AE23" s="46">
        <f>'LINEST VARS'!$U$50+'LINEST VARS'!$T$50*($AE$8)+'LINEST VARS'!$S$50*($Z23)+'LINEST VARS'!$R$50*(4)+'LINEST VARS'!$Q$50*(0.5)+'LINEST VARS'!$P$50*(12.73)+'LINEST VARS'!$O$50*($AE$8^2)+'LINEST VARS'!$N$50*($Z23^2)+'LINEST VARS'!$M$50*(4^2)+'LINEST VARS'!$L$50*(0.5^2)+'LINEST VARS'!$K$50*(12.73^2)+'LINEST VARS'!$J$50*($AE$8*$Z23)+'LINEST VARS'!$I$50*($AE$8*4)+'LINEST VARS'!$H$50*($AE$8*0.5)+'LINEST VARS'!$G$50*($AE$8*12.73)+'LINEST VARS'!$F$50*($Z23*4)+'LINEST VARS'!$E$50*($Z23*0.5)+'LINEST VARS'!$D$50*($Z23*12.73)+'LINEST VARS'!$C$50*(4*0.5)+'LINEST VARS'!$B$50*(4*12.73)+'LINEST VARS'!$A$50*(0.5*12.73)</f>
        <v>332.05999999999983</v>
      </c>
      <c r="AF23" s="46">
        <f>'LINEST VARS'!$U$50+'LINEST VARS'!$T$50*($AF$8)+'LINEST VARS'!$S$50*($Z23)+'LINEST VARS'!$R$50*(4)+'LINEST VARS'!$Q$50*(0.5)+'LINEST VARS'!$P$50*(12.73)+'LINEST VARS'!$O$50*($AF$8^2)+'LINEST VARS'!$N$50*($Z23^2)+'LINEST VARS'!$M$50*(4^2)+'LINEST VARS'!$L$50*(0.5^2)+'LINEST VARS'!$K$50*(12.73^2)+'LINEST VARS'!$J$50*($AF$8*$Z23)+'LINEST VARS'!$I$50*($AF$8*4)+'LINEST VARS'!$H$50*($AF$8*0.5)+'LINEST VARS'!$G$50*($AF$8*12.73)+'LINEST VARS'!$F$50*($Z23*4)+'LINEST VARS'!$E$50*($Z23*0.5)+'LINEST VARS'!$D$50*($Z23*12.73)+'LINEST VARS'!$C$50*(4*0.5)+'LINEST VARS'!$B$50*(4*12.73)+'LINEST VARS'!$A$50*(0.5*12.73)</f>
        <v>332.14999999999986</v>
      </c>
      <c r="AG23" s="46">
        <f>'LINEST VARS'!$U$50+'LINEST VARS'!$T$50*($AG$8)+'LINEST VARS'!$S$50*($Z23)+'LINEST VARS'!$R$50*(4)+'LINEST VARS'!$Q$50*(0.5)+'LINEST VARS'!$P$50*(12.73)+'LINEST VARS'!$O$50*($AG$8^2)+'LINEST VARS'!$N$50*($Z23^2)+'LINEST VARS'!$M$50*(4^2)+'LINEST VARS'!$L$50*(0.5^2)+'LINEST VARS'!$K$50*(12.73^2)+'LINEST VARS'!$J$50*($AG$8*$Z23)+'LINEST VARS'!$I$50*($AG$8*4)+'LINEST VARS'!$H$50*($AG$8*0.5)+'LINEST VARS'!$G$50*($AG$8*12.73)+'LINEST VARS'!$F$50*($Z23*4)+'LINEST VARS'!$E$50*($Z23*0.5)+'LINEST VARS'!$D$50*($Z23*12.73)+'LINEST VARS'!$C$50*(4*0.5)+'LINEST VARS'!$B$50*(4*12.73)+'LINEST VARS'!$A$50*(0.5*12.73)</f>
        <v>332.23999999999984</v>
      </c>
      <c r="AH23" s="46">
        <f>'LINEST VARS'!$U$50+'LINEST VARS'!$T$50*($AH$8)+'LINEST VARS'!$S$50*($Z23)+'LINEST VARS'!$R$50*(4)+'LINEST VARS'!$Q$50*(0.5)+'LINEST VARS'!$P$50*(12.73)+'LINEST VARS'!$O$50*($AH$8^2)+'LINEST VARS'!$N$50*($Z23^2)+'LINEST VARS'!$M$50*(4^2)+'LINEST VARS'!$L$50*(0.5^2)+'LINEST VARS'!$K$50*(12.73^2)+'LINEST VARS'!$J$50*($AH$8*$Z23)+'LINEST VARS'!$I$50*($AH$8*4)+'LINEST VARS'!$H$50*($AH$8*0.5)+'LINEST VARS'!$G$50*($AH$8*12.73)+'LINEST VARS'!$F$50*($Z23*4)+'LINEST VARS'!$E$50*($Z23*0.5)+'LINEST VARS'!$D$50*($Z23*12.73)+'LINEST VARS'!$C$50*(4*0.5)+'LINEST VARS'!$B$50*(4*12.73)+'LINEST VARS'!$A$50*(0.5*12.73)</f>
        <v>332.32999999999987</v>
      </c>
      <c r="AI23" s="46">
        <f>'LINEST VARS'!$U$50+'LINEST VARS'!$T$50*($AI$8)+'LINEST VARS'!$S$50*($Z23)+'LINEST VARS'!$R$50*(4)+'LINEST VARS'!$Q$50*(0.5)+'LINEST VARS'!$P$50*(12.73)+'LINEST VARS'!$O$50*($AI$8^2)+'LINEST VARS'!$N$50*($Z23^2)+'LINEST VARS'!$M$50*(4^2)+'LINEST VARS'!$L$50*(0.5^2)+'LINEST VARS'!$K$50*(12.73^2)+'LINEST VARS'!$J$50*($AI$8*$Z23)+'LINEST VARS'!$I$50*($AI$8*4)+'LINEST VARS'!$H$50*($AI$8*0.5)+'LINEST VARS'!$G$50*($AI$8*12.73)+'LINEST VARS'!$F$50*($Z23*4)+'LINEST VARS'!$E$50*($Z23*0.5)+'LINEST VARS'!$D$50*($Z23*12.73)+'LINEST VARS'!$C$50*(4*0.5)+'LINEST VARS'!$B$50*(4*12.73)+'LINEST VARS'!$A$50*(0.5*12.73)</f>
        <v>332.41999999999985</v>
      </c>
      <c r="AJ23" s="46">
        <f>'LINEST VARS'!$U$50+'LINEST VARS'!$T$50*($AJ$8)+'LINEST VARS'!$S$50*($Z23)+'LINEST VARS'!$R$50*(4)+'LINEST VARS'!$Q$50*(0.5)+'LINEST VARS'!$P$50*(12.73)+'LINEST VARS'!$O$50*($AJ$8^2)+'LINEST VARS'!$N$50*($Z23^2)+'LINEST VARS'!$M$50*(4^2)+'LINEST VARS'!$L$50*(0.5^2)+'LINEST VARS'!$K$50*(12.73^2)+'LINEST VARS'!$J$50*($AJ$8*$Z23)+'LINEST VARS'!$I$50*($AJ$8*4)+'LINEST VARS'!$H$50*($AJ$8*0.5)+'LINEST VARS'!$G$50*($AJ$8*12.73)+'LINEST VARS'!$F$50*($Z23*4)+'LINEST VARS'!$E$50*($Z23*0.5)+'LINEST VARS'!$D$50*($Z23*12.73)+'LINEST VARS'!$C$50*(4*0.5)+'LINEST VARS'!$B$50*(4*12.73)+'LINEST VARS'!$A$50*(0.5*12.73)</f>
        <v>332.50999999999988</v>
      </c>
      <c r="AK23" s="46">
        <f>'LINEST VARS'!$U$50+'LINEST VARS'!$T$50*($AK$8)+'LINEST VARS'!$S$50*($Z23)+'LINEST VARS'!$R$50*(4)+'LINEST VARS'!$Q$50*(0.5)+'LINEST VARS'!$P$50*(12.73)+'LINEST VARS'!$O$50*($AK$8^2)+'LINEST VARS'!$N$50*($Z23^2)+'LINEST VARS'!$M$50*(4^2)+'LINEST VARS'!$L$50*(0.5^2)+'LINEST VARS'!$K$50*(12.73^2)+'LINEST VARS'!$J$50*($AK$8*$Z23)+'LINEST VARS'!$I$50*($AK$8*4)+'LINEST VARS'!$H$50*($AK$8*0.5)+'LINEST VARS'!$G$50*($AK$8*12.73)+'LINEST VARS'!$F$50*($Z23*4)+'LINEST VARS'!$E$50*($Z23*0.5)+'LINEST VARS'!$D$50*($Z23*12.73)+'LINEST VARS'!$C$50*(4*0.5)+'LINEST VARS'!$B$50*(4*12.73)+'LINEST VARS'!$A$50*(0.5*12.73)</f>
        <v>332.59999999999985</v>
      </c>
      <c r="AL23" s="46">
        <f>'LINEST VARS'!$U$50+'LINEST VARS'!$T$50*($AL$8)+'LINEST VARS'!$S$50*($Z23)+'LINEST VARS'!$R$50*(4)+'LINEST VARS'!$Q$50*(0.5)+'LINEST VARS'!$P$50*(12.73)+'LINEST VARS'!$O$50*($AL$8^2)+'LINEST VARS'!$N$50*($Z23^2)+'LINEST VARS'!$M$50*(4^2)+'LINEST VARS'!$L$50*(0.5^2)+'LINEST VARS'!$K$50*(12.73^2)+'LINEST VARS'!$J$50*($AL$8*$Z23)+'LINEST VARS'!$I$50*($AL$8*4)+'LINEST VARS'!$H$50*($AL$8*0.5)+'LINEST VARS'!$G$50*($AL$8*12.73)+'LINEST VARS'!$F$50*($Z23*4)+'LINEST VARS'!$E$50*($Z23*0.5)+'LINEST VARS'!$D$50*($Z23*12.73)+'LINEST VARS'!$C$50*(4*0.5)+'LINEST VARS'!$B$50*(4*12.73)+'LINEST VARS'!$A$50*(0.5*12.73)</f>
        <v>332.68999999999983</v>
      </c>
      <c r="AM23" s="46">
        <f>'LINEST VARS'!$U$50+'LINEST VARS'!$T$50*($AM$8)+'LINEST VARS'!$S$50*($Z23)+'LINEST VARS'!$R$50*(4)+'LINEST VARS'!$Q$50*(0.5)+'LINEST VARS'!$P$50*(12.73)+'LINEST VARS'!$O$50*($AM$8^2)+'LINEST VARS'!$N$50*($Z23^2)+'LINEST VARS'!$M$50*(4^2)+'LINEST VARS'!$L$50*(0.5^2)+'LINEST VARS'!$K$50*(12.73^2)+'LINEST VARS'!$J$50*($AM$8*$Z23)+'LINEST VARS'!$I$50*($AM$8*4)+'LINEST VARS'!$H$50*($AM$8*0.5)+'LINEST VARS'!$G$50*($AM$8*12.73)+'LINEST VARS'!$F$50*($Z23*4)+'LINEST VARS'!$E$50*($Z23*0.5)+'LINEST VARS'!$D$50*($Z23*12.73)+'LINEST VARS'!$C$50*(4*0.5)+'LINEST VARS'!$B$50*(4*12.73)+'LINEST VARS'!$A$50*(0.5*12.73)</f>
        <v>332.77999999999986</v>
      </c>
      <c r="AN23" s="46">
        <f>'LINEST VARS'!$U$50+'LINEST VARS'!$T$50*($AN$8)+'LINEST VARS'!$S$50*($Z23)+'LINEST VARS'!$R$50*(4)+'LINEST VARS'!$Q$50*(0.5)+'LINEST VARS'!$P$50*(12.73)+'LINEST VARS'!$O$50*($AN$8^2)+'LINEST VARS'!$N$50*($Z23^2)+'LINEST VARS'!$M$50*(4^2)+'LINEST VARS'!$L$50*(0.5^2)+'LINEST VARS'!$K$50*(12.73^2)+'LINEST VARS'!$J$50*($AN$8*$Z23)+'LINEST VARS'!$I$50*($AN$8*4)+'LINEST VARS'!$H$50*($AN$8*0.5)+'LINEST VARS'!$G$50*($AN$8*12.73)+'LINEST VARS'!$F$50*($Z23*4)+'LINEST VARS'!$E$50*($Z23*0.5)+'LINEST VARS'!$D$50*($Z23*12.73)+'LINEST VARS'!$C$50*(4*0.5)+'LINEST VARS'!$B$50*(4*12.73)+'LINEST VARS'!$A$50*(0.5*12.73)</f>
        <v>332.86999999999983</v>
      </c>
      <c r="AO23" s="46">
        <f>'LINEST VARS'!$U$50+'LINEST VARS'!$T$50*($AO$8)+'LINEST VARS'!$S$50*($Z23)+'LINEST VARS'!$R$50*(4)+'LINEST VARS'!$Q$50*(0.5)+'LINEST VARS'!$P$50*(12.73)+'LINEST VARS'!$O$50*($AO$8^2)+'LINEST VARS'!$N$50*($Z23^2)+'LINEST VARS'!$M$50*(4^2)+'LINEST VARS'!$L$50*(0.5^2)+'LINEST VARS'!$K$50*(12.73^2)+'LINEST VARS'!$J$50*($AO$8*$Z23)+'LINEST VARS'!$I$50*($AO$8*4)+'LINEST VARS'!$H$50*($AO$8*0.5)+'LINEST VARS'!$G$50*($AO$8*12.73)+'LINEST VARS'!$F$50*($Z23*4)+'LINEST VARS'!$E$50*($Z23*0.5)+'LINEST VARS'!$D$50*($Z23*12.73)+'LINEST VARS'!$C$50*(4*0.5)+'LINEST VARS'!$B$50*(4*12.73)+'LINEST VARS'!$A$50*(0.5*12.73)</f>
        <v>332.95999999999987</v>
      </c>
      <c r="AP23" s="46">
        <f>'LINEST VARS'!$U$50+'LINEST VARS'!$T$50*($AP$8)+'LINEST VARS'!$S$50*($Z23)+'LINEST VARS'!$R$50*(4)+'LINEST VARS'!$Q$50*(0.5)+'LINEST VARS'!$P$50*(12.73)+'LINEST VARS'!$O$50*($AP$8^2)+'LINEST VARS'!$N$50*($Z23^2)+'LINEST VARS'!$M$50*(4^2)+'LINEST VARS'!$L$50*(0.5^2)+'LINEST VARS'!$K$50*(12.73^2)+'LINEST VARS'!$J$50*($AP$8*$Z23)+'LINEST VARS'!$I$50*($AP$8*4)+'LINEST VARS'!$H$50*($AP$8*0.5)+'LINEST VARS'!$G$50*($AP$8*12.73)+'LINEST VARS'!$F$50*($Z23*4)+'LINEST VARS'!$E$50*($Z23*0.5)+'LINEST VARS'!$D$50*($Z23*12.73)+'LINEST VARS'!$C$50*(4*0.5)+'LINEST VARS'!$B$50*(4*12.73)+'LINEST VARS'!$A$50*(0.5*12.73)</f>
        <v>333.04999999999984</v>
      </c>
      <c r="AQ23" s="46">
        <f>'LINEST VARS'!$U$50+'LINEST VARS'!$T$50*($AQ$8)+'LINEST VARS'!$S$50*($Z23)+'LINEST VARS'!$R$50*(4)+'LINEST VARS'!$Q$50*(0.5)+'LINEST VARS'!$P$50*(12.73)+'LINEST VARS'!$O$50*($AQ$8^2)+'LINEST VARS'!$N$50*($Z23^2)+'LINEST VARS'!$M$50*(4^2)+'LINEST VARS'!$L$50*(0.5^2)+'LINEST VARS'!$K$50*(12.73^2)+'LINEST VARS'!$J$50*($AQ$8*$Z23)+'LINEST VARS'!$I$50*($AQ$8*4)+'LINEST VARS'!$H$50*($AQ$8*0.5)+'LINEST VARS'!$G$50*($AQ$8*12.73)+'LINEST VARS'!$F$50*($Z23*4)+'LINEST VARS'!$E$50*($Z23*0.5)+'LINEST VARS'!$D$50*($Z23*12.73)+'LINEST VARS'!$C$50*(4*0.5)+'LINEST VARS'!$B$50*(4*12.73)+'LINEST VARS'!$A$50*(0.5*12.73)</f>
        <v>333.13999999999987</v>
      </c>
      <c r="AR23" s="46">
        <f>'LINEST VARS'!$U$50+'LINEST VARS'!$T$50*($AR$8)+'LINEST VARS'!$S$50*($Z23)+'LINEST VARS'!$R$50*(4)+'LINEST VARS'!$Q$50*(0.5)+'LINEST VARS'!$P$50*(12.73)+'LINEST VARS'!$O$50*($AR$8^2)+'LINEST VARS'!$N$50*($Z23^2)+'LINEST VARS'!$M$50*(4^2)+'LINEST VARS'!$L$50*(0.5^2)+'LINEST VARS'!$K$50*(12.73^2)+'LINEST VARS'!$J$50*($AR$8*$Z23)+'LINEST VARS'!$I$50*($AR$8*4)+'LINEST VARS'!$H$50*($AR$8*0.5)+'LINEST VARS'!$G$50*($AR$8*12.73)+'LINEST VARS'!$F$50*($Z23*4)+'LINEST VARS'!$E$50*($Z23*0.5)+'LINEST VARS'!$D$50*($Z23*12.73)+'LINEST VARS'!$C$50*(4*0.5)+'LINEST VARS'!$B$50*(4*12.73)+'LINEST VARS'!$A$50*(0.5*12.73)</f>
        <v>333.22999999999985</v>
      </c>
      <c r="AS23" s="46">
        <f>'LINEST VARS'!$U$50+'LINEST VARS'!$T$50*($AS$8)+'LINEST VARS'!$S$50*($Z23)+'LINEST VARS'!$R$50*(4)+'LINEST VARS'!$Q$50*(0.5)+'LINEST VARS'!$P$50*(12.73)+'LINEST VARS'!$O$50*($AS$8^2)+'LINEST VARS'!$N$50*($Z23^2)+'LINEST VARS'!$M$50*(4^2)+'LINEST VARS'!$L$50*(0.5^2)+'LINEST VARS'!$K$50*(12.73^2)+'LINEST VARS'!$J$50*($AS$8*$Z23)+'LINEST VARS'!$I$50*($AS$8*4)+'LINEST VARS'!$H$50*($AS$8*0.5)+'LINEST VARS'!$G$50*($AS$8*12.73)+'LINEST VARS'!$F$50*($Z23*4)+'LINEST VARS'!$E$50*($Z23*0.5)+'LINEST VARS'!$D$50*($Z23*12.73)+'LINEST VARS'!$C$50*(4*0.5)+'LINEST VARS'!$B$50*(4*12.73)+'LINEST VARS'!$A$50*(0.5*12.73)</f>
        <v>333.31999999999982</v>
      </c>
      <c r="AT23" s="46">
        <f>'LINEST VARS'!$U$50+'LINEST VARS'!$T$50*($AT$8)+'LINEST VARS'!$S$50*($Z23)+'LINEST VARS'!$R$50*(4)+'LINEST VARS'!$Q$50*(0.5)+'LINEST VARS'!$P$50*(12.73)+'LINEST VARS'!$O$50*($AT$8^2)+'LINEST VARS'!$N$50*($Z23^2)+'LINEST VARS'!$M$50*(4^2)+'LINEST VARS'!$L$50*(0.5^2)+'LINEST VARS'!$K$50*(12.73^2)+'LINEST VARS'!$J$50*($AT$8*$Z23)+'LINEST VARS'!$I$50*($AT$8*4)+'LINEST VARS'!$H$50*($AT$8*0.5)+'LINEST VARS'!$G$50*($AT$8*12.73)+'LINEST VARS'!$F$50*($Z23*4)+'LINEST VARS'!$E$50*($Z23*0.5)+'LINEST VARS'!$D$50*($Z23*12.73)+'LINEST VARS'!$C$50*(4*0.5)+'LINEST VARS'!$B$50*(4*12.73)+'LINEST VARS'!$A$50*(0.5*12.73)</f>
        <v>333.40999999999985</v>
      </c>
      <c r="AU23" s="47">
        <f>'LINEST VARS'!$U$50+'LINEST VARS'!$T$50*($AU$8)+'LINEST VARS'!$S$50*($Z23)+'LINEST VARS'!$R$50*(4)+'LINEST VARS'!$Q$50*(0.5)+'LINEST VARS'!$P$50*(12.73)+'LINEST VARS'!$O$50*($AU$8^2)+'LINEST VARS'!$N$50*($Z23^2)+'LINEST VARS'!$M$50*(4^2)+'LINEST VARS'!$L$50*(0.5^2)+'LINEST VARS'!$K$50*(12.73^2)+'LINEST VARS'!$J$50*($AU$8*$Z23)+'LINEST VARS'!$I$50*($AU$8*4)+'LINEST VARS'!$H$50*($AU$8*0.5)+'LINEST VARS'!$G$50*($AU$8*12.73)+'LINEST VARS'!$F$50*($Z23*4)+'LINEST VARS'!$E$50*($Z23*0.5)+'LINEST VARS'!$D$50*($Z23*12.73)+'LINEST VARS'!$C$50*(4*0.5)+'LINEST VARS'!$B$50*(4*12.73)+'LINEST VARS'!$A$50*(0.5*12.73)</f>
        <v>333.49999999999983</v>
      </c>
      <c r="AZ23" s="45">
        <v>0.7</v>
      </c>
      <c r="BA23" s="46">
        <f>'LINEST VARS'!$U$48+'LINEST VARS'!$T$48*(8)+'LINEST VARS'!$S$48*(8)+'LINEST VARS'!$R$48*($BA$8)+'LINEST VARS'!$Q$48*($AZ23)+'LINEST VARS'!$P$48*(12.73)+'LINEST VARS'!$O$48*(8^2)+'LINEST VARS'!$N$48*(8^2)+'LINEST VARS'!$M$48*($BA$8^2)+'LINEST VARS'!$L$48*($AZ23^2)+'LINEST VARS'!$K$48*(12.73^2)+'LINEST VARS'!$J$48*(8*8)+'LINEST VARS'!$I$48*(8*$BA$8)+'LINEST VARS'!$H$48*(8*$AZ23)+'LINEST VARS'!$G$48*(8*12.73)+'LINEST VARS'!$F$48*(8*$BA$8)+'LINEST VARS'!$E$48*(8*$AZ23)+'LINEST VARS'!$D$48*(8*12.73)+'LINEST VARS'!$C$48*($BA$8*$AZ23)+'LINEST VARS'!$B$48*($BA$8*12.73)+'LINEST VARS'!$A$48*($AZ23*12.73)</f>
        <v>369.99999999999989</v>
      </c>
      <c r="BB23" s="46">
        <f>'LINEST VARS'!$U$48+'LINEST VARS'!$T$48*(8)+'LINEST VARS'!$S$48*(8)+'LINEST VARS'!$R$48*($BB$8)+'LINEST VARS'!$Q$48*($AZ23)+'LINEST VARS'!$P$48*(12.73)+'LINEST VARS'!$O$48*(8^2)+'LINEST VARS'!$N$48*(8^2)+'LINEST VARS'!$M$48*($BB$8^2)+'LINEST VARS'!$L$48*($AZ23^2)+'LINEST VARS'!$K$48*(12.73^2)+'LINEST VARS'!$J$48*(8*8)+'LINEST VARS'!$I$48*(8*$BB$8)+'LINEST VARS'!$H$48*(8*$AZ23)+'LINEST VARS'!$G$48*(8*12.73)+'LINEST VARS'!$F$48*(8*$BB$8)+'LINEST VARS'!$E$48*(8*$AZ23)+'LINEST VARS'!$D$48*(8*12.73)+'LINEST VARS'!$C$48*($BB$8*$AZ23)+'LINEST VARS'!$B$48*($BB$8*12.73)+'LINEST VARS'!$A$48*($AZ23*12.73)</f>
        <v>369.99999999999989</v>
      </c>
      <c r="BC23" s="46">
        <f>'LINEST VARS'!$U$48+'LINEST VARS'!$T$48*(8)+'LINEST VARS'!$S$48*(8)+'LINEST VARS'!$R$48*($BC$8)+'LINEST VARS'!$Q$48*($AZ23)+'LINEST VARS'!$P$48*(12.73)+'LINEST VARS'!$O$48*(8^2)+'LINEST VARS'!$N$48*(8^2)+'LINEST VARS'!$M$48*($BC$8^2)+'LINEST VARS'!$L$48*($AZ23^2)+'LINEST VARS'!$K$48*(12.73^2)+'LINEST VARS'!$J$48*(8*8)+'LINEST VARS'!$I$48*(8*$BC$8)+'LINEST VARS'!$H$48*(8*$AZ23)+'LINEST VARS'!$G$48*(8*12.73)+'LINEST VARS'!$F$48*(8*$BC$8)+'LINEST VARS'!$E$48*(8*$AZ23)+'LINEST VARS'!$D$48*(8*12.73)+'LINEST VARS'!$C$48*($BC$8*$AZ23)+'LINEST VARS'!$B$48*($BC$8*12.73)+'LINEST VARS'!$A$48*($AZ23*12.73)</f>
        <v>369.99999999999989</v>
      </c>
      <c r="BD23" s="46">
        <f>'LINEST VARS'!$U$48+'LINEST VARS'!$T$48*(8)+'LINEST VARS'!$S$48*(8)+'LINEST VARS'!$R$48*($BD$8)+'LINEST VARS'!$Q$48*($AZ23)+'LINEST VARS'!$P$48*(12.73)+'LINEST VARS'!$O$48*(8^2)+'LINEST VARS'!$N$48*(8^2)+'LINEST VARS'!$M$48*($BD$8^2)+'LINEST VARS'!$L$48*($AZ23^2)+'LINEST VARS'!$K$48*(12.73^2)+'LINEST VARS'!$J$48*(8*8)+'LINEST VARS'!$I$48*(8*$BD$8)+'LINEST VARS'!$H$48*(8*$AZ23)+'LINEST VARS'!$G$48*(8*12.73)+'LINEST VARS'!$F$48*(8*$BD$8)+'LINEST VARS'!$E$48*(8*$AZ23)+'LINEST VARS'!$D$48*(8*12.73)+'LINEST VARS'!$C$48*($BD$8*$AZ23)+'LINEST VARS'!$B$48*($BD$8*12.73)+'LINEST VARS'!$A$48*($AZ23*12.73)</f>
        <v>369.99999999999989</v>
      </c>
      <c r="BE23" s="46">
        <f>'LINEST VARS'!$U$48+'LINEST VARS'!$T$48*(8)+'LINEST VARS'!$S$48*(8)+'LINEST VARS'!$R$48*($BE$8)+'LINEST VARS'!$Q$48*($AZ23)+'LINEST VARS'!$P$48*(12.73)+'LINEST VARS'!$O$48*(8^2)+'LINEST VARS'!$N$48*(8^2)+'LINEST VARS'!$M$48*($BE$8^2)+'LINEST VARS'!$L$48*($AZ23^2)+'LINEST VARS'!$K$48*(12.73^2)+'LINEST VARS'!$J$48*(8*8)+'LINEST VARS'!$I$48*(8*$BE$8)+'LINEST VARS'!$H$48*(8*$AZ23)+'LINEST VARS'!$G$48*(8*12.73)+'LINEST VARS'!$F$48*(8*$BE$8)+'LINEST VARS'!$E$48*(8*$AZ23)+'LINEST VARS'!$D$48*(8*12.73)+'LINEST VARS'!$C$48*($BE$8*$AZ23)+'LINEST VARS'!$B$48*($BE$8*12.73)+'LINEST VARS'!$A$48*($AZ23*12.73)</f>
        <v>369.99999999999989</v>
      </c>
      <c r="BF23" s="46">
        <f>'LINEST VARS'!$U$48+'LINEST VARS'!$T$48*(8)+'LINEST VARS'!$S$48*(8)+'LINEST VARS'!$R$48*($BF$8)+'LINEST VARS'!$Q$48*($AZ23)+'LINEST VARS'!$P$48*(12.73)+'LINEST VARS'!$O$48*(8^2)+'LINEST VARS'!$N$48*(8^2)+'LINEST VARS'!$M$48*($BF$8^2)+'LINEST VARS'!$L$48*($AZ23^2)+'LINEST VARS'!$K$48*(12.73^2)+'LINEST VARS'!$J$48*(8*8)+'LINEST VARS'!$I$48*(8*$BF$8)+'LINEST VARS'!$H$48*(8*$AZ23)+'LINEST VARS'!$G$48*(8*12.73)+'LINEST VARS'!$F$48*(8*$BF$8)+'LINEST VARS'!$E$48*(8*$AZ23)+'LINEST VARS'!$D$48*(8*12.73)+'LINEST VARS'!$C$48*($BF$8*$AZ23)+'LINEST VARS'!$B$48*($BF$8*12.73)+'LINEST VARS'!$A$48*($AZ23*12.73)</f>
        <v>369.99999999999989</v>
      </c>
      <c r="BG23" s="46">
        <f>'LINEST VARS'!$U$48+'LINEST VARS'!$T$48*(8)+'LINEST VARS'!$S$48*(8)+'LINEST VARS'!$R$48*($BG$8)+'LINEST VARS'!$Q$48*($AZ23)+'LINEST VARS'!$P$48*(12.73)+'LINEST VARS'!$O$48*(8^2)+'LINEST VARS'!$N$48*(8^2)+'LINEST VARS'!$M$48*($BG$8^2)+'LINEST VARS'!$L$48*($AZ23^2)+'LINEST VARS'!$K$48*(12.73^2)+'LINEST VARS'!$J$48*(8*8)+'LINEST VARS'!$I$48*(8*$BG$8)+'LINEST VARS'!$H$48*(8*$AZ23)+'LINEST VARS'!$G$48*(8*12.73)+'LINEST VARS'!$F$48*(8*$BG$8)+'LINEST VARS'!$E$48*(8*$AZ23)+'LINEST VARS'!$D$48*(8*12.73)+'LINEST VARS'!$C$48*($BG$8*$AZ23)+'LINEST VARS'!$B$48*($BG$8*12.73)+'LINEST VARS'!$A$48*($AZ23*12.73)</f>
        <v>369.99999999999989</v>
      </c>
      <c r="BH23" s="46">
        <f>'LINEST VARS'!$U$48+'LINEST VARS'!$T$48*(8)+'LINEST VARS'!$S$48*(8)+'LINEST VARS'!$R$48*($BH$8)+'LINEST VARS'!$Q$48*($AZ23)+'LINEST VARS'!$P$48*(12.73)+'LINEST VARS'!$O$48*(8^2)+'LINEST VARS'!$N$48*(8^2)+'LINEST VARS'!$M$48*($BH$8^2)+'LINEST VARS'!$L$48*($AZ23^2)+'LINEST VARS'!$K$48*(12.73^2)+'LINEST VARS'!$J$48*(8*8)+'LINEST VARS'!$I$48*(8*$BH$8)+'LINEST VARS'!$H$48*(8*$AZ23)+'LINEST VARS'!$G$48*(8*12.73)+'LINEST VARS'!$F$48*(8*$BH$8)+'LINEST VARS'!$E$48*(8*$AZ23)+'LINEST VARS'!$D$48*(8*12.73)+'LINEST VARS'!$C$48*($BH$8*$AZ23)+'LINEST VARS'!$B$48*($BH$8*12.73)+'LINEST VARS'!$A$48*($AZ23*12.73)</f>
        <v>369.99999999999989</v>
      </c>
      <c r="BI23" s="46">
        <f>'LINEST VARS'!$U$48+'LINEST VARS'!$T$48*(8)+'LINEST VARS'!$S$48*(8)+'LINEST VARS'!$R$48*($BI$8)+'LINEST VARS'!$Q$48*($AZ23)+'LINEST VARS'!$P$48*(12.73)+'LINEST VARS'!$O$48*(8^2)+'LINEST VARS'!$N$48*(8^2)+'LINEST VARS'!$M$48*($BI$8^2)+'LINEST VARS'!$L$48*($AZ23^2)+'LINEST VARS'!$K$48*(12.73^2)+'LINEST VARS'!$J$48*(8*8)+'LINEST VARS'!$I$48*(8*$BI$8)+'LINEST VARS'!$H$48*(8*$AZ23)+'LINEST VARS'!$G$48*(8*12.73)+'LINEST VARS'!$F$48*(8*$BI$8)+'LINEST VARS'!$E$48*(8*$AZ23)+'LINEST VARS'!$D$48*(8*12.73)+'LINEST VARS'!$C$48*($BI$8*$AZ23)+'LINEST VARS'!$B$48*($BI$8*12.73)+'LINEST VARS'!$A$48*($AZ23*12.73)</f>
        <v>369.99999999999989</v>
      </c>
      <c r="BJ23" s="46">
        <f>'LINEST VARS'!$U$48+'LINEST VARS'!$T$48*(8)+'LINEST VARS'!$S$48*(8)+'LINEST VARS'!$R$48*($BJ$8)+'LINEST VARS'!$Q$48*($AZ23)+'LINEST VARS'!$P$48*(12.73)+'LINEST VARS'!$O$48*(8^2)+'LINEST VARS'!$N$48*(8^2)+'LINEST VARS'!$M$48*($BJ$8^2)+'LINEST VARS'!$L$48*($AZ23^2)+'LINEST VARS'!$K$48*(12.73^2)+'LINEST VARS'!$J$48*(8*8)+'LINEST VARS'!$I$48*(8*$BJ$8)+'LINEST VARS'!$H$48*(8*$AZ23)+'LINEST VARS'!$G$48*(8*12.73)+'LINEST VARS'!$F$48*(8*$BJ$8)+'LINEST VARS'!$E$48*(8*$AZ23)+'LINEST VARS'!$D$48*(8*12.73)+'LINEST VARS'!$C$48*($BJ$8*$AZ23)+'LINEST VARS'!$B$48*($BJ$8*12.73)+'LINEST VARS'!$A$48*($AZ23*12.73)</f>
        <v>369.99999999999989</v>
      </c>
      <c r="BK23" s="46">
        <f>'LINEST VARS'!$U$48+'LINEST VARS'!$T$48*(8)+'LINEST VARS'!$S$48*(8)+'LINEST VARS'!$R$48*($BK$8)+'LINEST VARS'!$Q$48*($AZ23)+'LINEST VARS'!$P$48*(12.73)+'LINEST VARS'!$O$48*(8^2)+'LINEST VARS'!$N$48*(8^2)+'LINEST VARS'!$M$48*($BK$8^2)+'LINEST VARS'!$L$48*($AZ23^2)+'LINEST VARS'!$K$48*(12.73^2)+'LINEST VARS'!$J$48*(8*8)+'LINEST VARS'!$I$48*(8*$BK$8)+'LINEST VARS'!$H$48*(8*$AZ23)+'LINEST VARS'!$G$48*(8*12.73)+'LINEST VARS'!$F$48*(8*$BK$8)+'LINEST VARS'!$E$48*(8*$AZ23)+'LINEST VARS'!$D$48*(8*12.73)+'LINEST VARS'!$C$48*($BK$8*$AZ23)+'LINEST VARS'!$B$48*($BK$8*12.73)+'LINEST VARS'!$A$48*($AZ23*12.73)</f>
        <v>369.99999999999989</v>
      </c>
      <c r="BL23" s="46">
        <f>'LINEST VARS'!$U$48+'LINEST VARS'!$T$48*(8)+'LINEST VARS'!$S$48*(8)+'LINEST VARS'!$R$48*($BL$8)+'LINEST VARS'!$Q$48*($AZ23)+'LINEST VARS'!$P$48*(12.73)+'LINEST VARS'!$O$48*(8^2)+'LINEST VARS'!$N$48*(8^2)+'LINEST VARS'!$M$48*($BL$8^2)+'LINEST VARS'!$L$48*($AZ23^2)+'LINEST VARS'!$K$48*(12.73^2)+'LINEST VARS'!$J$48*(8*8)+'LINEST VARS'!$I$48*(8*$BL$8)+'LINEST VARS'!$H$48*(8*$AZ23)+'LINEST VARS'!$G$48*(8*12.73)+'LINEST VARS'!$F$48*(8*$BL$8)+'LINEST VARS'!$E$48*(8*$AZ23)+'LINEST VARS'!$D$48*(8*12.73)+'LINEST VARS'!$C$48*($BL$8*$AZ23)+'LINEST VARS'!$B$48*($BL$8*12.73)+'LINEST VARS'!$A$48*($AZ23*12.73)</f>
        <v>369.99999999999989</v>
      </c>
      <c r="BM23" s="46">
        <f>'LINEST VARS'!$U$48+'LINEST VARS'!$T$48*(8)+'LINEST VARS'!$S$48*(8)+'LINEST VARS'!$R$48*($BM$8)+'LINEST VARS'!$Q$48*($AZ23)+'LINEST VARS'!$P$48*(12.73)+'LINEST VARS'!$O$48*(8^2)+'LINEST VARS'!$N$48*(8^2)+'LINEST VARS'!$M$48*($BM$8^2)+'LINEST VARS'!$L$48*($AZ23^2)+'LINEST VARS'!$K$48*(12.73^2)+'LINEST VARS'!$J$48*(8*8)+'LINEST VARS'!$I$48*(8*$BM$8)+'LINEST VARS'!$H$48*(8*$AZ23)+'LINEST VARS'!$G$48*(8*12.73)+'LINEST VARS'!$F$48*(8*$BM$8)+'LINEST VARS'!$E$48*(8*$AZ23)+'LINEST VARS'!$D$48*(8*12.73)+'LINEST VARS'!$C$48*($BM$8*$AZ23)+'LINEST VARS'!$B$48*($BM$8*12.73)+'LINEST VARS'!$A$48*($AZ23*12.73)</f>
        <v>369.99999999999989</v>
      </c>
      <c r="BN23" s="46">
        <f>'LINEST VARS'!$U$48+'LINEST VARS'!$T$48*(8)+'LINEST VARS'!$S$48*(8)+'LINEST VARS'!$R$48*($BN$8)+'LINEST VARS'!$Q$48*($AZ23)+'LINEST VARS'!$P$48*(12.73)+'LINEST VARS'!$O$48*(8^2)+'LINEST VARS'!$N$48*(8^2)+'LINEST VARS'!$M$48*($BN$8^2)+'LINEST VARS'!$L$48*($AZ23^2)+'LINEST VARS'!$K$48*(12.73^2)+'LINEST VARS'!$J$48*(8*8)+'LINEST VARS'!$I$48*(8*$BN$8)+'LINEST VARS'!$H$48*(8*$AZ23)+'LINEST VARS'!$G$48*(8*12.73)+'LINEST VARS'!$F$48*(8*$BN$8)+'LINEST VARS'!$E$48*(8*$AZ23)+'LINEST VARS'!$D$48*(8*12.73)+'LINEST VARS'!$C$48*($BN$8*$AZ23)+'LINEST VARS'!$B$48*($BN$8*12.73)+'LINEST VARS'!$A$48*($AZ23*12.73)</f>
        <v>369.99999999999994</v>
      </c>
      <c r="BO23" s="46">
        <f>'LINEST VARS'!$U$48+'LINEST VARS'!$T$48*(8)+'LINEST VARS'!$S$48*(8)+'LINEST VARS'!$R$48*($BO$8)+'LINEST VARS'!$Q$48*($AZ23)+'LINEST VARS'!$P$48*(12.73)+'LINEST VARS'!$O$48*(8^2)+'LINEST VARS'!$N$48*(8^2)+'LINEST VARS'!$M$48*($BO$8^2)+'LINEST VARS'!$L$48*($AZ23^2)+'LINEST VARS'!$K$48*(12.73^2)+'LINEST VARS'!$J$48*(8*8)+'LINEST VARS'!$I$48*(8*$BO$8)+'LINEST VARS'!$H$48*(8*$AZ23)+'LINEST VARS'!$G$48*(8*12.73)+'LINEST VARS'!$F$48*(8*$BO$8)+'LINEST VARS'!$E$48*(8*$AZ23)+'LINEST VARS'!$D$48*(8*12.73)+'LINEST VARS'!$C$48*($BO$8*$AZ23)+'LINEST VARS'!$B$48*($BO$8*12.73)+'LINEST VARS'!$A$48*($AZ23*12.73)</f>
        <v>369.99999999999994</v>
      </c>
      <c r="BP23" s="46">
        <f>'LINEST VARS'!$U$48+'LINEST VARS'!$T$48*(8)+'LINEST VARS'!$S$48*(8)+'LINEST VARS'!$R$48*($BP$8)+'LINEST VARS'!$Q$48*($AZ23)+'LINEST VARS'!$P$48*(12.73)+'LINEST VARS'!$O$48*(8^2)+'LINEST VARS'!$N$48*(8^2)+'LINEST VARS'!$M$48*($BP$8^2)+'LINEST VARS'!$L$48*($AZ23^2)+'LINEST VARS'!$K$48*(12.73^2)+'LINEST VARS'!$J$48*(8*8)+'LINEST VARS'!$I$48*(8*$BP$8)+'LINEST VARS'!$H$48*(8*$AZ23)+'LINEST VARS'!$G$48*(8*12.73)+'LINEST VARS'!$F$48*(8*$BP$8)+'LINEST VARS'!$E$48*(8*$AZ23)+'LINEST VARS'!$D$48*(8*12.73)+'LINEST VARS'!$C$48*($BP$8*$AZ23)+'LINEST VARS'!$B$48*($BP$8*12.73)+'LINEST VARS'!$A$48*($AZ23*12.73)</f>
        <v>369.99999999999994</v>
      </c>
      <c r="BQ23" s="46">
        <f>'LINEST VARS'!$U$48+'LINEST VARS'!$T$48*(8)+'LINEST VARS'!$S$48*(8)+'LINEST VARS'!$R$48*($BQ$8)+'LINEST VARS'!$Q$48*($AZ23)+'LINEST VARS'!$P$48*(12.73)+'LINEST VARS'!$O$48*(8^2)+'LINEST VARS'!$N$48*(8^2)+'LINEST VARS'!$M$48*($BQ$8^2)+'LINEST VARS'!$L$48*($AZ23^2)+'LINEST VARS'!$K$48*(12.73^2)+'LINEST VARS'!$J$48*(8*8)+'LINEST VARS'!$I$48*(8*$BQ$8)+'LINEST VARS'!$H$48*(8*$AZ23)+'LINEST VARS'!$G$48*(8*12.73)+'LINEST VARS'!$F$48*(8*$BQ$8)+'LINEST VARS'!$E$48*(8*$AZ23)+'LINEST VARS'!$D$48*(8*12.73)+'LINEST VARS'!$C$48*($BQ$8*$AZ23)+'LINEST VARS'!$B$48*($BQ$8*12.73)+'LINEST VARS'!$A$48*($AZ23*12.73)</f>
        <v>369.99999999999989</v>
      </c>
      <c r="BR23" s="46">
        <f>'LINEST VARS'!$U$48+'LINEST VARS'!$T$48*(8)+'LINEST VARS'!$S$48*(8)+'LINEST VARS'!$R$48*($BR$8)+'LINEST VARS'!$Q$48*($AZ23)+'LINEST VARS'!$P$48*(12.73)+'LINEST VARS'!$O$48*(8^2)+'LINEST VARS'!$N$48*(8^2)+'LINEST VARS'!$M$48*($BR$8^2)+'LINEST VARS'!$L$48*($AZ23^2)+'LINEST VARS'!$K$48*(12.73^2)+'LINEST VARS'!$J$48*(8*8)+'LINEST VARS'!$I$48*(8*$BR$8)+'LINEST VARS'!$H$48*(8*$AZ23)+'LINEST VARS'!$G$48*(8*12.73)+'LINEST VARS'!$F$48*(8*$BR$8)+'LINEST VARS'!$E$48*(8*$AZ23)+'LINEST VARS'!$D$48*(8*12.73)+'LINEST VARS'!$C$48*($BR$8*$AZ23)+'LINEST VARS'!$B$48*($BR$8*12.73)+'LINEST VARS'!$A$48*($AZ23*12.73)</f>
        <v>369.99999999999989</v>
      </c>
      <c r="BS23" s="46">
        <f>'LINEST VARS'!$U$48+'LINEST VARS'!$T$48*(8)+'LINEST VARS'!$S$48*(8)+'LINEST VARS'!$R$48*($BS$8)+'LINEST VARS'!$Q$48*($AZ23)+'LINEST VARS'!$P$48*(12.73)+'LINEST VARS'!$O$48*(8^2)+'LINEST VARS'!$N$48*(8^2)+'LINEST VARS'!$M$48*($BS$8^2)+'LINEST VARS'!$L$48*($AZ23^2)+'LINEST VARS'!$K$48*(12.73^2)+'LINEST VARS'!$J$48*(8*8)+'LINEST VARS'!$I$48*(8*$BS$8)+'LINEST VARS'!$H$48*(8*$AZ23)+'LINEST VARS'!$G$48*(8*12.73)+'LINEST VARS'!$F$48*(8*$BS$8)+'LINEST VARS'!$E$48*(8*$AZ23)+'LINEST VARS'!$D$48*(8*12.73)+'LINEST VARS'!$C$48*($BS$8*$AZ23)+'LINEST VARS'!$B$48*($BS$8*12.73)+'LINEST VARS'!$A$48*($AZ23*12.73)</f>
        <v>369.99999999999989</v>
      </c>
      <c r="BT23" s="46">
        <f>'LINEST VARS'!$U$48+'LINEST VARS'!$T$48*(8)+'LINEST VARS'!$S$48*(8)+'LINEST VARS'!$R$48*($BT$8)+'LINEST VARS'!$Q$48*($AZ23)+'LINEST VARS'!$P$48*(12.73)+'LINEST VARS'!$O$48*(8^2)+'LINEST VARS'!$N$48*(8^2)+'LINEST VARS'!$M$48*($BT$8^2)+'LINEST VARS'!$L$48*($AZ23^2)+'LINEST VARS'!$K$48*(12.73^2)+'LINEST VARS'!$J$48*(8*8)+'LINEST VARS'!$I$48*(8*$BT$8)+'LINEST VARS'!$H$48*(8*$AZ23)+'LINEST VARS'!$G$48*(8*12.73)+'LINEST VARS'!$F$48*(8*$BT$8)+'LINEST VARS'!$E$48*(8*$AZ23)+'LINEST VARS'!$D$48*(8*12.73)+'LINEST VARS'!$C$48*($BT$8*$AZ23)+'LINEST VARS'!$B$48*($BT$8*12.73)+'LINEST VARS'!$A$48*($AZ23*12.73)</f>
        <v>369.99999999999989</v>
      </c>
      <c r="BU23" s="47">
        <f>'LINEST VARS'!$U$48+'LINEST VARS'!$T$48*(8)+'LINEST VARS'!$S$48*(8)+'LINEST VARS'!$R$48*($BU$8)+'LINEST VARS'!$Q$48*($AZ23)+'LINEST VARS'!$P$48*(12.73)+'LINEST VARS'!$O$48*(8^2)+'LINEST VARS'!$N$48*(8^2)+'LINEST VARS'!$M$48*($BU$8^2)+'LINEST VARS'!$L$48*($AZ23^2)+'LINEST VARS'!$K$48*(12.73^2)+'LINEST VARS'!$J$48*(8*8)+'LINEST VARS'!$I$48*(8*$BU$8)+'LINEST VARS'!$H$48*(8*$AZ23)+'LINEST VARS'!$G$48*(8*12.73)+'LINEST VARS'!$F$48*(8*$BU$8)+'LINEST VARS'!$E$48*(8*$AZ23)+'LINEST VARS'!$D$48*(8*12.73)+'LINEST VARS'!$C$48*($BU$8*$AZ23)+'LINEST VARS'!$B$48*($BU$8*12.73)+'LINEST VARS'!$A$48*($AZ23*12.73)</f>
        <v>369.99999999999989</v>
      </c>
      <c r="BX23" s="45">
        <v>0.7</v>
      </c>
      <c r="BY23" s="46">
        <f>'LINEST VARS'!$U$50+'LINEST VARS'!$T$50*(8)+'LINEST VARS'!$S$50*(8)+'LINEST VARS'!$R$50*($BY$8)+'LINEST VARS'!$Q$50*($BX23)+'LINEST VARS'!$P$50*(12.73)+'LINEST VARS'!$O$50*(8^2)+'LINEST VARS'!$N$50*(8^2)+'LINEST VARS'!$M$50*($BY$8^2)+'LINEST VARS'!$L$50*($BX23^2)+'LINEST VARS'!$K$50*(12.73^2)+'LINEST VARS'!$J$50*(8*8)+'LINEST VARS'!$I$50*(8*$BY$8)+'LINEST VARS'!$H$50*(8*$BX23)+'LINEST VARS'!$G$50*(8*12.73)+'LINEST VARS'!$F$50*(8*$BY$8)+'LINEST VARS'!$E$50*(8*$BX23)+'LINEST VARS'!$D$50*(8*12.73)+'LINEST VARS'!$C$50*($BY$8*$BX23)+'LINEST VARS'!$B$50*($BY$8*12.73)+'LINEST VARS'!$A$50*($BX23*12.73)</f>
        <v>331.99999999999989</v>
      </c>
      <c r="BZ23" s="46">
        <f>'LINEST VARS'!$U$50+'LINEST VARS'!$T$50*(8)+'LINEST VARS'!$S$50*(8)+'LINEST VARS'!$R$50*($BZ$8)+'LINEST VARS'!$Q$50*($BX23)+'LINEST VARS'!$P$50*(12.73)+'LINEST VARS'!$O$50*(8^2)+'LINEST VARS'!$N$50*(8^2)+'LINEST VARS'!$M$50*($BZ$8^2)+'LINEST VARS'!$L$50*($BX23^2)+'LINEST VARS'!$K$50*(12.73^2)+'LINEST VARS'!$J$50*(8*8)+'LINEST VARS'!$I$50*(8*$BZ$8)+'LINEST VARS'!$H$50*(8*$BX23)+'LINEST VARS'!$G$50*(8*12.73)+'LINEST VARS'!$F$50*(8*$BZ$8)+'LINEST VARS'!$E$50*(8*$BX23)+'LINEST VARS'!$D$50*(8*12.73)+'LINEST VARS'!$C$50*($BZ$8*$BX23)+'LINEST VARS'!$B$50*($BZ$8*12.73)+'LINEST VARS'!$A$50*($BX23*12.73)</f>
        <v>331.99999999999989</v>
      </c>
      <c r="CA23" s="46">
        <f>'LINEST VARS'!$U$50+'LINEST VARS'!$T$50*(8)+'LINEST VARS'!$S$50*(8)+'LINEST VARS'!$R$50*($CA$8)+'LINEST VARS'!$Q$50*($BX23)+'LINEST VARS'!$P$50*(12.73)+'LINEST VARS'!$O$50*(8^2)+'LINEST VARS'!$N$50*(8^2)+'LINEST VARS'!$M$50*($CA$8^2)+'LINEST VARS'!$L$50*($BX23^2)+'LINEST VARS'!$K$50*(12.73^2)+'LINEST VARS'!$J$50*(8*8)+'LINEST VARS'!$I$50*(8*$CA$8)+'LINEST VARS'!$H$50*(8*$BX23)+'LINEST VARS'!$G$50*(8*12.73)+'LINEST VARS'!$F$50*(8*$CA$8)+'LINEST VARS'!$E$50*(8*$BX23)+'LINEST VARS'!$D$50*(8*12.73)+'LINEST VARS'!$C$50*($CA$8*$BX23)+'LINEST VARS'!$B$50*($CA$8*12.73)+'LINEST VARS'!$A$50*($BX23*12.73)</f>
        <v>331.99999999999989</v>
      </c>
      <c r="CB23" s="46">
        <f>'LINEST VARS'!$U$50+'LINEST VARS'!$T$50*(8)+'LINEST VARS'!$S$50*(8)+'LINEST VARS'!$R$50*($CB$8)+'LINEST VARS'!$Q$50*($BX23)+'LINEST VARS'!$P$50*(12.73)+'LINEST VARS'!$O$50*(8^2)+'LINEST VARS'!$N$50*(8^2)+'LINEST VARS'!$M$50*($CB$8^2)+'LINEST VARS'!$L$50*($BX23^2)+'LINEST VARS'!$K$50*(12.73^2)+'LINEST VARS'!$J$50*(8*8)+'LINEST VARS'!$I$50*(8*$CB$8)+'LINEST VARS'!$H$50*(8*$BX23)+'LINEST VARS'!$G$50*(8*12.73)+'LINEST VARS'!$F$50*(8*$CB$8)+'LINEST VARS'!$E$50*(8*$BX23)+'LINEST VARS'!$D$50*(8*12.73)+'LINEST VARS'!$C$50*($CB$8*$BX23)+'LINEST VARS'!$B$50*($CB$8*12.73)+'LINEST VARS'!$A$50*($BX23*12.73)</f>
        <v>331.99999999999989</v>
      </c>
      <c r="CC23" s="46">
        <f>'LINEST VARS'!$U$50+'LINEST VARS'!$T$50*(8)+'LINEST VARS'!$S$50*(8)+'LINEST VARS'!$R$50*($CC$8)+'LINEST VARS'!$Q$50*($BX23)+'LINEST VARS'!$P$50*(12.73)+'LINEST VARS'!$O$50*(8^2)+'LINEST VARS'!$N$50*(8^2)+'LINEST VARS'!$M$50*($CC$8^2)+'LINEST VARS'!$L$50*($BX23^2)+'LINEST VARS'!$K$50*(12.73^2)+'LINEST VARS'!$J$50*(8*8)+'LINEST VARS'!$I$50*(8*$CC$8)+'LINEST VARS'!$H$50*(8*$BX23)+'LINEST VARS'!$G$50*(8*12.73)+'LINEST VARS'!$F$50*(8*$CC$8)+'LINEST VARS'!$E$50*(8*$BX23)+'LINEST VARS'!$D$50*(8*12.73)+'LINEST VARS'!$C$50*($CC$8*$BX23)+'LINEST VARS'!$B$50*($CC$8*12.73)+'LINEST VARS'!$A$50*($BX23*12.73)</f>
        <v>331.99999999999989</v>
      </c>
      <c r="CD23" s="46">
        <f>'LINEST VARS'!$U$50+'LINEST VARS'!$T$50*(8)+'LINEST VARS'!$S$50*(8)+'LINEST VARS'!$R$50*($CD$8)+'LINEST VARS'!$Q$50*($BX23)+'LINEST VARS'!$P$50*(12.73)+'LINEST VARS'!$O$50*(8^2)+'LINEST VARS'!$N$50*(8^2)+'LINEST VARS'!$M$50*($CD$8^2)+'LINEST VARS'!$L$50*($BX23^2)+'LINEST VARS'!$K$50*(12.73^2)+'LINEST VARS'!$J$50*(8*8)+'LINEST VARS'!$I$50*(8*$CD$8)+'LINEST VARS'!$H$50*(8*$BX23)+'LINEST VARS'!$G$50*(8*12.73)+'LINEST VARS'!$F$50*(8*$CD$8)+'LINEST VARS'!$E$50*(8*$BX23)+'LINEST VARS'!$D$50*(8*12.73)+'LINEST VARS'!$C$50*($CD$8*$BX23)+'LINEST VARS'!$B$50*($CD$8*12.73)+'LINEST VARS'!$A$50*($BX23*12.73)</f>
        <v>331.99999999999989</v>
      </c>
      <c r="CE23" s="46">
        <f>'LINEST VARS'!$U$50+'LINEST VARS'!$T$50*(8)+'LINEST VARS'!$S$50*(8)+'LINEST VARS'!$R$50*($CE$8)+'LINEST VARS'!$Q$50*($BX23)+'LINEST VARS'!$P$50*(12.73)+'LINEST VARS'!$O$50*(8^2)+'LINEST VARS'!$N$50*(8^2)+'LINEST VARS'!$M$50*($CE$8^2)+'LINEST VARS'!$L$50*($BX23^2)+'LINEST VARS'!$K$50*(12.73^2)+'LINEST VARS'!$J$50*(8*8)+'LINEST VARS'!$I$50*(8*$CE$8)+'LINEST VARS'!$H$50*(8*$BX23)+'LINEST VARS'!$G$50*(8*12.73)+'LINEST VARS'!$F$50*(8*$CE$8)+'LINEST VARS'!$E$50*(8*$BX23)+'LINEST VARS'!$D$50*(8*12.73)+'LINEST VARS'!$C$50*($CE$8*$BX23)+'LINEST VARS'!$B$50*($CE$8*12.73)+'LINEST VARS'!$A$50*($BX23*12.73)</f>
        <v>331.99999999999989</v>
      </c>
      <c r="CF23" s="46">
        <f>'LINEST VARS'!$U$50+'LINEST VARS'!$T$50*(8)+'LINEST VARS'!$S$50*(8)+'LINEST VARS'!$R$50*($CF$8)+'LINEST VARS'!$Q$50*($BX23)+'LINEST VARS'!$P$50*(12.73)+'LINEST VARS'!$O$50*(8^2)+'LINEST VARS'!$N$50*(8^2)+'LINEST VARS'!$M$50*($CF$8^2)+'LINEST VARS'!$L$50*($BX23^2)+'LINEST VARS'!$K$50*(12.73^2)+'LINEST VARS'!$J$50*(8*8)+'LINEST VARS'!$I$50*(8*$CF$8)+'LINEST VARS'!$H$50*(8*$BX23)+'LINEST VARS'!$G$50*(8*12.73)+'LINEST VARS'!$F$50*(8*$CF$8)+'LINEST VARS'!$E$50*(8*$BX23)+'LINEST VARS'!$D$50*(8*12.73)+'LINEST VARS'!$C$50*($CF$8*$BX23)+'LINEST VARS'!$B$50*($CF$8*12.73)+'LINEST VARS'!$A$50*($BX23*12.73)</f>
        <v>331.99999999999989</v>
      </c>
      <c r="CG23" s="46">
        <f>'LINEST VARS'!$U$50+'LINEST VARS'!$T$50*(8)+'LINEST VARS'!$S$50*(8)+'LINEST VARS'!$R$50*($CG$8)+'LINEST VARS'!$Q$50*($BX23)+'LINEST VARS'!$P$50*(12.73)+'LINEST VARS'!$O$50*(8^2)+'LINEST VARS'!$N$50*(8^2)+'LINEST VARS'!$M$50*($CG$8^2)+'LINEST VARS'!$L$50*($BX23^2)+'LINEST VARS'!$K$50*(12.73^2)+'LINEST VARS'!$J$50*(8*8)+'LINEST VARS'!$I$50*(8*$CG$8)+'LINEST VARS'!$H$50*(8*$BX23)+'LINEST VARS'!$G$50*(8*12.73)+'LINEST VARS'!$F$50*(8*$CG$8)+'LINEST VARS'!$E$50*(8*$BX23)+'LINEST VARS'!$D$50*(8*12.73)+'LINEST VARS'!$C$50*($CG$8*$BX23)+'LINEST VARS'!$B$50*($CG$8*12.73)+'LINEST VARS'!$A$50*($BX23*12.73)</f>
        <v>331.99999999999989</v>
      </c>
      <c r="CH23" s="46">
        <f>'LINEST VARS'!$U$50+'LINEST VARS'!$T$50*(8)+'LINEST VARS'!$S$50*(8)+'LINEST VARS'!$R$50*($CH$8)+'LINEST VARS'!$Q$50*($BX23)+'LINEST VARS'!$P$50*(12.73)+'LINEST VARS'!$O$50*(8^2)+'LINEST VARS'!$N$50*(8^2)+'LINEST VARS'!$M$50*($CH$8^2)+'LINEST VARS'!$L$50*($BX23^2)+'LINEST VARS'!$K$50*(12.73^2)+'LINEST VARS'!$J$50*(8*8)+'LINEST VARS'!$I$50*(8*$CH$8)+'LINEST VARS'!$H$50*(8*$BX23)+'LINEST VARS'!$G$50*(8*12.73)+'LINEST VARS'!$F$50*(8*$CH$8)+'LINEST VARS'!$E$50*(8*$BX23)+'LINEST VARS'!$D$50*(8*12.73)+'LINEST VARS'!$C$50*($CH$8*$BX23)+'LINEST VARS'!$B$50*($CH$8*12.73)+'LINEST VARS'!$A$50*($BX23*12.73)</f>
        <v>331.99999999999989</v>
      </c>
      <c r="CI23" s="46">
        <f>'LINEST VARS'!$U$50+'LINEST VARS'!$T$50*(8)+'LINEST VARS'!$S$50*(8)+'LINEST VARS'!$R$50*($CI$8)+'LINEST VARS'!$Q$50*($BX23)+'LINEST VARS'!$P$50*(12.73)+'LINEST VARS'!$O$50*(8^2)+'LINEST VARS'!$N$50*(8^2)+'LINEST VARS'!$M$50*($CI$8^2)+'LINEST VARS'!$L$50*($BX23^2)+'LINEST VARS'!$K$50*(12.73^2)+'LINEST VARS'!$J$50*(8*8)+'LINEST VARS'!$I$50*(8*$CI$8)+'LINEST VARS'!$H$50*(8*$BX23)+'LINEST VARS'!$G$50*(8*12.73)+'LINEST VARS'!$F$50*(8*$CI$8)+'LINEST VARS'!$E$50*(8*$BX23)+'LINEST VARS'!$D$50*(8*12.73)+'LINEST VARS'!$C$50*($CI$8*$BX23)+'LINEST VARS'!$B$50*($CI$8*12.73)+'LINEST VARS'!$A$50*($BX23*12.73)</f>
        <v>331.99999999999989</v>
      </c>
      <c r="CJ23" s="46">
        <f>'LINEST VARS'!$U$50+'LINEST VARS'!$T$50*(8)+'LINEST VARS'!$S$50*(8)+'LINEST VARS'!$R$50*($CJ$8)+'LINEST VARS'!$Q$50*($BX23)+'LINEST VARS'!$P$50*(12.73)+'LINEST VARS'!$O$50*(8^2)+'LINEST VARS'!$N$50*(8^2)+'LINEST VARS'!$M$50*($CJ$8^2)+'LINEST VARS'!$L$50*($BX23^2)+'LINEST VARS'!$K$50*(12.73^2)+'LINEST VARS'!$J$50*(8*8)+'LINEST VARS'!$I$50*(8*$CJ$8)+'LINEST VARS'!$H$50*(8*$BX23)+'LINEST VARS'!$G$50*(8*12.73)+'LINEST VARS'!$F$50*(8*$CJ$8)+'LINEST VARS'!$E$50*(8*$BX23)+'LINEST VARS'!$D$50*(8*12.73)+'LINEST VARS'!$C$50*($CJ$8*$BX23)+'LINEST VARS'!$B$50*($CJ$8*12.73)+'LINEST VARS'!$A$50*($BX23*12.73)</f>
        <v>331.99999999999989</v>
      </c>
      <c r="CK23" s="46">
        <f>'LINEST VARS'!$U$50+'LINEST VARS'!$T$50*(8)+'LINEST VARS'!$S$50*(8)+'LINEST VARS'!$R$50*($CK$8)+'LINEST VARS'!$Q$50*($BX23)+'LINEST VARS'!$P$50*(12.73)+'LINEST VARS'!$O$50*(8^2)+'LINEST VARS'!$N$50*(8^2)+'LINEST VARS'!$M$50*($CK$8^2)+'LINEST VARS'!$L$50*($BX23^2)+'LINEST VARS'!$K$50*(12.73^2)+'LINEST VARS'!$J$50*(8*8)+'LINEST VARS'!$I$50*(8*$CK$8)+'LINEST VARS'!$H$50*(8*$BX23)+'LINEST VARS'!$G$50*(8*12.73)+'LINEST VARS'!$F$50*(8*$CK$8)+'LINEST VARS'!$E$50*(8*$BX23)+'LINEST VARS'!$D$50*(8*12.73)+'LINEST VARS'!$C$50*($CK$8*$BX23)+'LINEST VARS'!$B$50*($CK$8*12.73)+'LINEST VARS'!$A$50*($BX23*12.73)</f>
        <v>331.99999999999989</v>
      </c>
      <c r="CL23" s="46">
        <f>'LINEST VARS'!$U$50+'LINEST VARS'!$T$50*(8)+'LINEST VARS'!$S$50*(8)+'LINEST VARS'!$R$50*($CL$8)+'LINEST VARS'!$Q$50*($BX23)+'LINEST VARS'!$P$50*(12.73)+'LINEST VARS'!$O$50*(8^2)+'LINEST VARS'!$N$50*(8^2)+'LINEST VARS'!$M$50*($CL$8^2)+'LINEST VARS'!$L$50*($BX23^2)+'LINEST VARS'!$K$50*(12.73^2)+'LINEST VARS'!$J$50*(8*8)+'LINEST VARS'!$I$50*(8*$CL$8)+'LINEST VARS'!$H$50*(8*$BX23)+'LINEST VARS'!$G$50*(8*12.73)+'LINEST VARS'!$F$50*(8*$CL$8)+'LINEST VARS'!$E$50*(8*$BX23)+'LINEST VARS'!$D$50*(8*12.73)+'LINEST VARS'!$C$50*($CL$8*$BX23)+'LINEST VARS'!$B$50*($CL$8*12.73)+'LINEST VARS'!$A$50*($BX23*12.73)</f>
        <v>331.99999999999989</v>
      </c>
      <c r="CM23" s="46">
        <f>'LINEST VARS'!$U$50+'LINEST VARS'!$T$50*(8)+'LINEST VARS'!$S$50*(8)+'LINEST VARS'!$R$50*($CM$8)+'LINEST VARS'!$Q$50*($BX23)+'LINEST VARS'!$P$50*(12.73)+'LINEST VARS'!$O$50*(8^2)+'LINEST VARS'!$N$50*(8^2)+'LINEST VARS'!$M$50*($CM$8^2)+'LINEST VARS'!$L$50*($BX23^2)+'LINEST VARS'!$K$50*(12.73^2)+'LINEST VARS'!$J$50*(8*8)+'LINEST VARS'!$I$50*(8*$CM$8)+'LINEST VARS'!$H$50*(8*$BX23)+'LINEST VARS'!$G$50*(8*12.73)+'LINEST VARS'!$F$50*(8*$CM$8)+'LINEST VARS'!$E$50*(8*$BX23)+'LINEST VARS'!$D$50*(8*12.73)+'LINEST VARS'!$C$50*($CM$8*$BX23)+'LINEST VARS'!$B$50*($CM$8*12.73)+'LINEST VARS'!$A$50*($BX23*12.73)</f>
        <v>331.99999999999989</v>
      </c>
      <c r="CN23" s="46">
        <f>'LINEST VARS'!$U$50+'LINEST VARS'!$T$50*(8)+'LINEST VARS'!$S$50*(8)+'LINEST VARS'!$R$50*($CN$8)+'LINEST VARS'!$Q$50*($BX23)+'LINEST VARS'!$P$50*(12.73)+'LINEST VARS'!$O$50*(8^2)+'LINEST VARS'!$N$50*(8^2)+'LINEST VARS'!$M$50*($CN$8^2)+'LINEST VARS'!$L$50*($BX23^2)+'LINEST VARS'!$K$50*(12.73^2)+'LINEST VARS'!$J$50*(8*8)+'LINEST VARS'!$I$50*(8*$CN$8)+'LINEST VARS'!$H$50*(8*$BX23)+'LINEST VARS'!$G$50*(8*12.73)+'LINEST VARS'!$F$50*(8*$CN$8)+'LINEST VARS'!$E$50*(8*$BX23)+'LINEST VARS'!$D$50*(8*12.73)+'LINEST VARS'!$C$50*($CN$8*$BX23)+'LINEST VARS'!$B$50*($CN$8*12.73)+'LINEST VARS'!$A$50*($BX23*12.73)</f>
        <v>331.99999999999989</v>
      </c>
      <c r="CO23" s="46">
        <f>'LINEST VARS'!$U$50+'LINEST VARS'!$T$50*(8)+'LINEST VARS'!$S$50*(8)+'LINEST VARS'!$R$50*($CO$8)+'LINEST VARS'!$Q$50*($BX23)+'LINEST VARS'!$P$50*(12.73)+'LINEST VARS'!$O$50*(8^2)+'LINEST VARS'!$N$50*(8^2)+'LINEST VARS'!$M$50*($CO$8^2)+'LINEST VARS'!$L$50*($BX23^2)+'LINEST VARS'!$K$50*(12.73^2)+'LINEST VARS'!$J$50*(8*8)+'LINEST VARS'!$I$50*(8*$CO$8)+'LINEST VARS'!$H$50*(8*$BX23)+'LINEST VARS'!$G$50*(8*12.73)+'LINEST VARS'!$F$50*(8*$CO$8)+'LINEST VARS'!$E$50*(8*$BX23)+'LINEST VARS'!$D$50*(8*12.73)+'LINEST VARS'!$C$50*($CO$8*$BX23)+'LINEST VARS'!$B$50*($CO$8*12.73)+'LINEST VARS'!$A$50*($BX23*12.73)</f>
        <v>331.99999999999989</v>
      </c>
      <c r="CP23" s="46">
        <f>'LINEST VARS'!$U$50+'LINEST VARS'!$T$50*(8)+'LINEST VARS'!$S$50*(8)+'LINEST VARS'!$R$50*($CP$8)+'LINEST VARS'!$Q$50*($BX23)+'LINEST VARS'!$P$50*(12.73)+'LINEST VARS'!$O$50*(8^2)+'LINEST VARS'!$N$50*(8^2)+'LINEST VARS'!$M$50*($CP$8^2)+'LINEST VARS'!$L$50*($BX23^2)+'LINEST VARS'!$K$50*(12.73^2)+'LINEST VARS'!$J$50*(8*8)+'LINEST VARS'!$I$50*(8*$CP$8)+'LINEST VARS'!$H$50*(8*$BX23)+'LINEST VARS'!$G$50*(8*12.73)+'LINEST VARS'!$F$50*(8*$CP$8)+'LINEST VARS'!$E$50*(8*$BX23)+'LINEST VARS'!$D$50*(8*12.73)+'LINEST VARS'!$C$50*($CP$8*$BX23)+'LINEST VARS'!$B$50*($CP$8*12.73)+'LINEST VARS'!$A$50*($BX23*12.73)</f>
        <v>331.99999999999989</v>
      </c>
      <c r="CQ23" s="46">
        <f>'LINEST VARS'!$U$50+'LINEST VARS'!$T$50*(8)+'LINEST VARS'!$S$50*(8)+'LINEST VARS'!$R$50*($CQ$8)+'LINEST VARS'!$Q$50*($BX23)+'LINEST VARS'!$P$50*(12.73)+'LINEST VARS'!$O$50*(8^2)+'LINEST VARS'!$N$50*(8^2)+'LINEST VARS'!$M$50*($CQ$8^2)+'LINEST VARS'!$L$50*($BX23^2)+'LINEST VARS'!$K$50*(12.73^2)+'LINEST VARS'!$J$50*(8*8)+'LINEST VARS'!$I$50*(8*$CQ$8)+'LINEST VARS'!$H$50*(8*$BX23)+'LINEST VARS'!$G$50*(8*12.73)+'LINEST VARS'!$F$50*(8*$CQ$8)+'LINEST VARS'!$E$50*(8*$BX23)+'LINEST VARS'!$D$50*(8*12.73)+'LINEST VARS'!$C$50*($CQ$8*$BX23)+'LINEST VARS'!$B$50*($CQ$8*12.73)+'LINEST VARS'!$A$50*($BX23*12.73)</f>
        <v>331.99999999999989</v>
      </c>
      <c r="CR23" s="46">
        <f>'LINEST VARS'!$U$50+'LINEST VARS'!$T$50*(8)+'LINEST VARS'!$S$50*(8)+'LINEST VARS'!$R$50*($CR$8)+'LINEST VARS'!$Q$50*($BX23)+'LINEST VARS'!$P$50*(12.73)+'LINEST VARS'!$O$50*(8^2)+'LINEST VARS'!$N$50*(8^2)+'LINEST VARS'!$M$50*($CR$8^2)+'LINEST VARS'!$L$50*($BX23^2)+'LINEST VARS'!$K$50*(12.73^2)+'LINEST VARS'!$J$50*(8*8)+'LINEST VARS'!$I$50*(8*$CR$8)+'LINEST VARS'!$H$50*(8*$BX23)+'LINEST VARS'!$G$50*(8*12.73)+'LINEST VARS'!$F$50*(8*$CR$8)+'LINEST VARS'!$E$50*(8*$BX23)+'LINEST VARS'!$D$50*(8*12.73)+'LINEST VARS'!$C$50*($CR$8*$BX23)+'LINEST VARS'!$B$50*($CR$8*12.73)+'LINEST VARS'!$A$50*($BX23*12.73)</f>
        <v>331.99999999999989</v>
      </c>
      <c r="CS23" s="47">
        <f>'LINEST VARS'!$U$50+'LINEST VARS'!$T$50*(8)+'LINEST VARS'!$S$50*(8)+'LINEST VARS'!$R$50*($CS$8)+'LINEST VARS'!$Q$50*($BX23)+'LINEST VARS'!$P$50*(12.73)+'LINEST VARS'!$O$50*(8^2)+'LINEST VARS'!$N$50*(8^2)+'LINEST VARS'!$M$50*($CS$8^2)+'LINEST VARS'!$L$50*($BX23^2)+'LINEST VARS'!$K$50*(12.73^2)+'LINEST VARS'!$J$50*(8*8)+'LINEST VARS'!$I$50*(8*$CS$8)+'LINEST VARS'!$H$50*(8*$BX23)+'LINEST VARS'!$G$50*(8*12.73)+'LINEST VARS'!$F$50*(8*$CS$8)+'LINEST VARS'!$E$50*(8*$BX23)+'LINEST VARS'!$D$50*(8*12.73)+'LINEST VARS'!$C$50*($CS$8*$BX23)+'LINEST VARS'!$B$50*($CS$8*12.73)+'LINEST VARS'!$A$50*($BX23*12.73)</f>
        <v>331.99999999999989</v>
      </c>
      <c r="CX23" s="45">
        <v>18.193000000000001</v>
      </c>
      <c r="CY23" s="46">
        <f>'LINEST VARS'!$U$48+'LINEST VARS'!$T$48*(8)+'LINEST VARS'!$S$48*(8)+'LINEST VARS'!$R$48*($CY$8)+'LINEST VARS'!$Q$48*(0.5)+'LINEST VARS'!$P$48*($CX23)+'LINEST VARS'!$O$48*(8^2)+'LINEST VARS'!$N$48*(8^2)+'LINEST VARS'!$M$48*($CY$8^2)+'LINEST VARS'!$L$48*(0.5^2)+'LINEST VARS'!$K$48*($CX23^2)+'LINEST VARS'!$J$48*(8*8)+'LINEST VARS'!$I$48*(8*$CY$8)+'LINEST VARS'!$H$48*(8*0.5)+'LINEST VARS'!$G$48*(8*$CX23)+'LINEST VARS'!$F$48*(8*$CY$8)+'LINEST VARS'!$E$48*(8*0.5)+'LINEST VARS'!$D$48*(8*$CX23)+'LINEST VARS'!$C$48*($CY$8*0.5)+'LINEST VARS'!$B$48*($CY$8*$CX23)+'LINEST VARS'!$A$48*(0.5*$CX23)</f>
        <v>369.99999999999983</v>
      </c>
      <c r="CZ23" s="46">
        <f>'LINEST VARS'!$U$48+'LINEST VARS'!$T$48*(8)+'LINEST VARS'!$S$48*(8)+'LINEST VARS'!$R$48*($CZ$8)+'LINEST VARS'!$Q$48*(0.5)+'LINEST VARS'!$P$48*($CX23)+'LINEST VARS'!$O$48*(8^2)+'LINEST VARS'!$N$48*(8^2)+'LINEST VARS'!$M$48*($CZ$8^2)+'LINEST VARS'!$L$48*(0.5^2)+'LINEST VARS'!$K$48*($CX23^2)+'LINEST VARS'!$J$48*(8*8)+'LINEST VARS'!$I$48*(8*$CZ$8)+'LINEST VARS'!$H$48*(8*0.5)+'LINEST VARS'!$G$48*(8*$CX23)+'LINEST VARS'!$F$48*(8*$CZ$8)+'LINEST VARS'!$E$48*(8*0.5)+'LINEST VARS'!$D$48*(8*$CX23)+'LINEST VARS'!$C$48*($CZ$8*0.5)+'LINEST VARS'!$B$48*($CZ$8*$CX23)+'LINEST VARS'!$A$48*(0.5*$CX23)</f>
        <v>369.99999999999983</v>
      </c>
      <c r="DA23" s="46">
        <f>'LINEST VARS'!$U$48+'LINEST VARS'!$T$48*(8)+'LINEST VARS'!$S$48*(8)+'LINEST VARS'!$R$48*($DA$8)+'LINEST VARS'!$Q$48*(0.5)+'LINEST VARS'!$P$48*($CX23)+'LINEST VARS'!$O$48*(8^2)+'LINEST VARS'!$N$48*(8^2)+'LINEST VARS'!$M$48*($DA$8^2)+'LINEST VARS'!$L$48*(0.5^2)+'LINEST VARS'!$K$48*($CX23^2)+'LINEST VARS'!$J$48*(8*8)+'LINEST VARS'!$I$48*(8*$DA$8)+'LINEST VARS'!$H$48*(8*0.5)+'LINEST VARS'!$G$48*(8*$CX23)+'LINEST VARS'!$F$48*(8*$DA$8)+'LINEST VARS'!$E$48*(8*0.5)+'LINEST VARS'!$D$48*(8*$CX23)+'LINEST VARS'!$C$48*($DA$8*0.5)+'LINEST VARS'!$B$48*($DA$8*$CX23)+'LINEST VARS'!$A$48*(0.5*$CX23)</f>
        <v>369.99999999999983</v>
      </c>
      <c r="DB23" s="46">
        <f>'LINEST VARS'!$U$48+'LINEST VARS'!$T$48*(8)+'LINEST VARS'!$S$48*(8)+'LINEST VARS'!$R$48*($DB$8)+'LINEST VARS'!$Q$48*(0.5)+'LINEST VARS'!$P$48*($CX23)+'LINEST VARS'!$O$48*(8^2)+'LINEST VARS'!$N$48*(8^2)+'LINEST VARS'!$M$48*($DB$8^2)+'LINEST VARS'!$L$48*(0.5^2)+'LINEST VARS'!$K$48*($CX23^2)+'LINEST VARS'!$J$48*(8*8)+'LINEST VARS'!$I$48*(8*$DB$8)+'LINEST VARS'!$H$48*(8*0.5)+'LINEST VARS'!$G$48*(8*$CX23)+'LINEST VARS'!$F$48*(8*$DB$8)+'LINEST VARS'!$E$48*(8*0.5)+'LINEST VARS'!$D$48*(8*$CX23)+'LINEST VARS'!$C$48*($DB$8*0.5)+'LINEST VARS'!$B$48*($DB$8*$CX23)+'LINEST VARS'!$A$48*(0.5*$CX23)</f>
        <v>369.99999999999983</v>
      </c>
      <c r="DC23" s="46">
        <f>'LINEST VARS'!$U$48+'LINEST VARS'!$T$48*(8)+'LINEST VARS'!$S$48*(8)+'LINEST VARS'!$R$48*($DC$8)+'LINEST VARS'!$Q$48*(0.5)+'LINEST VARS'!$P$48*($CX23)+'LINEST VARS'!$O$48*(8^2)+'LINEST VARS'!$N$48*(8^2)+'LINEST VARS'!$M$48*($DC$8^2)+'LINEST VARS'!$L$48*(0.5^2)+'LINEST VARS'!$K$48*($CX23^2)+'LINEST VARS'!$J$48*(8*8)+'LINEST VARS'!$I$48*(8*$DC$8)+'LINEST VARS'!$H$48*(8*0.5)+'LINEST VARS'!$G$48*(8*$CX23)+'LINEST VARS'!$F$48*(8*$DC$8)+'LINEST VARS'!$E$48*(8*0.5)+'LINEST VARS'!$D$48*(8*$CX23)+'LINEST VARS'!$C$48*($DC$8*0.5)+'LINEST VARS'!$B$48*($DC$8*$CX23)+'LINEST VARS'!$A$48*(0.5*$CX23)</f>
        <v>369.99999999999983</v>
      </c>
      <c r="DD23" s="46">
        <f>'LINEST VARS'!$U$48+'LINEST VARS'!$T$48*(8)+'LINEST VARS'!$S$48*(8)+'LINEST VARS'!$R$48*($DD$8)+'LINEST VARS'!$Q$48*(0.5)+'LINEST VARS'!$P$48*($CX23)+'LINEST VARS'!$O$48*(8^2)+'LINEST VARS'!$N$48*(8^2)+'LINEST VARS'!$M$48*($DD$8^2)+'LINEST VARS'!$L$48*(0.5^2)+'LINEST VARS'!$K$48*($CX23^2)+'LINEST VARS'!$J$48*(8*8)+'LINEST VARS'!$I$48*(8*$DD$8)+'LINEST VARS'!$H$48*(8*0.5)+'LINEST VARS'!$G$48*(8*$CX23)+'LINEST VARS'!$F$48*(8*$DD$8)+'LINEST VARS'!$E$48*(8*0.5)+'LINEST VARS'!$D$48*(8*$CX23)+'LINEST VARS'!$C$48*($DD$8*0.5)+'LINEST VARS'!$B$48*($DD$8*$CX23)+'LINEST VARS'!$A$48*(0.5*$CX23)</f>
        <v>369.99999999999983</v>
      </c>
      <c r="DE23" s="46">
        <f>'LINEST VARS'!$U$48+'LINEST VARS'!$T$48*(8)+'LINEST VARS'!$S$48*(8)+'LINEST VARS'!$R$48*($DE$8)+'LINEST VARS'!$Q$48*(0.5)+'LINEST VARS'!$P$48*($CX23)+'LINEST VARS'!$O$48*(8^2)+'LINEST VARS'!$N$48*(8^2)+'LINEST VARS'!$M$48*($DE$8^2)+'LINEST VARS'!$L$48*(0.5^2)+'LINEST VARS'!$K$48*($CX23^2)+'LINEST VARS'!$J$48*(8*8)+'LINEST VARS'!$I$48*(8*$DE$8)+'LINEST VARS'!$H$48*(8*0.5)+'LINEST VARS'!$G$48*(8*$CX23)+'LINEST VARS'!$F$48*(8*$DE$8)+'LINEST VARS'!$E$48*(8*0.5)+'LINEST VARS'!$D$48*(8*$CX23)+'LINEST VARS'!$C$48*($DE$8*0.5)+'LINEST VARS'!$B$48*($DE$8*$CX23)+'LINEST VARS'!$A$48*(0.5*$CX23)</f>
        <v>369.99999999999983</v>
      </c>
      <c r="DF23" s="46">
        <f>'LINEST VARS'!$U$48+'LINEST VARS'!$T$48*(8)+'LINEST VARS'!$S$48*(8)+'LINEST VARS'!$R$48*($DF$8)+'LINEST VARS'!$Q$48*(0.5)+'LINEST VARS'!$P$48*($CX23)+'LINEST VARS'!$O$48*(8^2)+'LINEST VARS'!$N$48*(8^2)+'LINEST VARS'!$M$48*($DF$8^2)+'LINEST VARS'!$L$48*(0.5^2)+'LINEST VARS'!$K$48*($CX23^2)+'LINEST VARS'!$J$48*(8*8)+'LINEST VARS'!$I$48*(8*$DF$8)+'LINEST VARS'!$H$48*(8*0.5)+'LINEST VARS'!$G$48*(8*$CX23)+'LINEST VARS'!$F$48*(8*$DF$8)+'LINEST VARS'!$E$48*(8*0.5)+'LINEST VARS'!$D$48*(8*$CX23)+'LINEST VARS'!$C$48*($DF$8*0.5)+'LINEST VARS'!$B$48*($DF$8*$CX23)+'LINEST VARS'!$A$48*(0.5*$CX23)</f>
        <v>369.99999999999983</v>
      </c>
      <c r="DG23" s="46">
        <f>'LINEST VARS'!$U$48+'LINEST VARS'!$T$48*(8)+'LINEST VARS'!$S$48*(8)+'LINEST VARS'!$R$48*($DG$8)+'LINEST VARS'!$Q$48*(0.5)+'LINEST VARS'!$P$48*($CX23)+'LINEST VARS'!$O$48*(8^2)+'LINEST VARS'!$N$48*(8^2)+'LINEST VARS'!$M$48*($DG$8^2)+'LINEST VARS'!$L$48*(0.5^2)+'LINEST VARS'!$K$48*($CX23^2)+'LINEST VARS'!$J$48*(8*8)+'LINEST VARS'!$I$48*(8*$DG$8)+'LINEST VARS'!$H$48*(8*0.5)+'LINEST VARS'!$G$48*(8*$CX23)+'LINEST VARS'!$F$48*(8*$DG$8)+'LINEST VARS'!$E$48*(8*0.5)+'LINEST VARS'!$D$48*(8*$CX23)+'LINEST VARS'!$C$48*($DG$8*0.5)+'LINEST VARS'!$B$48*($DG$8*$CX23)+'LINEST VARS'!$A$48*(0.5*$CX23)</f>
        <v>369.99999999999983</v>
      </c>
      <c r="DH23" s="46">
        <f>'LINEST VARS'!$U$48+'LINEST VARS'!$T$48*(8)+'LINEST VARS'!$S$48*(8)+'LINEST VARS'!$R$48*($DH$8)+'LINEST VARS'!$Q$48*(0.5)+'LINEST VARS'!$P$48*($CX23)+'LINEST VARS'!$O$48*(8^2)+'LINEST VARS'!$N$48*(8^2)+'LINEST VARS'!$M$48*($DH$8^2)+'LINEST VARS'!$L$48*(0.5^2)+'LINEST VARS'!$K$48*($CX23^2)+'LINEST VARS'!$J$48*(8*8)+'LINEST VARS'!$I$48*(8*$DH$8)+'LINEST VARS'!$H$48*(8*0.5)+'LINEST VARS'!$G$48*(8*$CX23)+'LINEST VARS'!$F$48*(8*$DH$8)+'LINEST VARS'!$E$48*(8*0.5)+'LINEST VARS'!$D$48*(8*$CX23)+'LINEST VARS'!$C$48*($DH$8*0.5)+'LINEST VARS'!$B$48*($DH$8*$CX23)+'LINEST VARS'!$A$48*(0.5*$CX23)</f>
        <v>369.99999999999983</v>
      </c>
      <c r="DI23" s="46">
        <f>'LINEST VARS'!$U$48+'LINEST VARS'!$T$48*(8)+'LINEST VARS'!$S$48*(8)+'LINEST VARS'!$R$48*($DI$8)+'LINEST VARS'!$Q$48*(0.5)+'LINEST VARS'!$P$48*($CX23)+'LINEST VARS'!$O$48*(8^2)+'LINEST VARS'!$N$48*(8^2)+'LINEST VARS'!$M$48*($DI$8^2)+'LINEST VARS'!$L$48*(0.5^2)+'LINEST VARS'!$K$48*($CX23^2)+'LINEST VARS'!$J$48*(8*8)+'LINEST VARS'!$I$48*(8*$DI$8)+'LINEST VARS'!$H$48*(8*0.5)+'LINEST VARS'!$G$48*(8*$CX23)+'LINEST VARS'!$F$48*(8*$DI$8)+'LINEST VARS'!$E$48*(8*0.5)+'LINEST VARS'!$D$48*(8*$CX23)+'LINEST VARS'!$C$48*($DI$8*0.5)+'LINEST VARS'!$B$48*($DI$8*$CX23)+'LINEST VARS'!$A$48*(0.5*$CX23)</f>
        <v>369.99999999999983</v>
      </c>
      <c r="DJ23" s="46">
        <f>'LINEST VARS'!$U$48+'LINEST VARS'!$T$48*(8)+'LINEST VARS'!$S$48*(8)+'LINEST VARS'!$R$48*($DJ$8)+'LINEST VARS'!$Q$48*(0.5)+'LINEST VARS'!$P$48*($CX23)+'LINEST VARS'!$O$48*(8^2)+'LINEST VARS'!$N$48*(8^2)+'LINEST VARS'!$M$48*($DJ$8^2)+'LINEST VARS'!$L$48*(0.5^2)+'LINEST VARS'!$K$48*($CX23^2)+'LINEST VARS'!$J$48*(8*8)+'LINEST VARS'!$I$48*(8*$DJ$8)+'LINEST VARS'!$H$48*(8*0.5)+'LINEST VARS'!$G$48*(8*$CX23)+'LINEST VARS'!$F$48*(8*$DJ$8)+'LINEST VARS'!$E$48*(8*0.5)+'LINEST VARS'!$D$48*(8*$CX23)+'LINEST VARS'!$C$48*($DJ$8*0.5)+'LINEST VARS'!$B$48*($DJ$8*$CX23)+'LINEST VARS'!$A$48*(0.5*$CX23)</f>
        <v>369.99999999999983</v>
      </c>
      <c r="DK23" s="46">
        <f>'LINEST VARS'!$U$48+'LINEST VARS'!$T$48*(8)+'LINEST VARS'!$S$48*(8)+'LINEST VARS'!$R$48*($DK$8)+'LINEST VARS'!$Q$48*(0.5)+'LINEST VARS'!$P$48*($CX23)+'LINEST VARS'!$O$48*(8^2)+'LINEST VARS'!$N$48*(8^2)+'LINEST VARS'!$M$48*($DK$8^2)+'LINEST VARS'!$L$48*(0.5^2)+'LINEST VARS'!$K$48*($CX23^2)+'LINEST VARS'!$J$48*(8*8)+'LINEST VARS'!$I$48*(8*$DK$8)+'LINEST VARS'!$H$48*(8*0.5)+'LINEST VARS'!$G$48*(8*$CX23)+'LINEST VARS'!$F$48*(8*$DK$8)+'LINEST VARS'!$E$48*(8*0.5)+'LINEST VARS'!$D$48*(8*$CX23)+'LINEST VARS'!$C$48*($DK$8*0.5)+'LINEST VARS'!$B$48*($DK$8*$CX23)+'LINEST VARS'!$A$48*(0.5*$CX23)</f>
        <v>369.99999999999983</v>
      </c>
      <c r="DL23" s="46">
        <f>'LINEST VARS'!$U$48+'LINEST VARS'!$T$48*(8)+'LINEST VARS'!$S$48*(8)+'LINEST VARS'!$R$48*($DL$8)+'LINEST VARS'!$Q$48*(0.5)+'LINEST VARS'!$P$48*($CX23)+'LINEST VARS'!$O$48*(8^2)+'LINEST VARS'!$N$48*(8^2)+'LINEST VARS'!$M$48*($DL$8^2)+'LINEST VARS'!$L$48*(0.5^2)+'LINEST VARS'!$K$48*($CX23^2)+'LINEST VARS'!$J$48*(8*8)+'LINEST VARS'!$I$48*(8*$DL$8)+'LINEST VARS'!$H$48*(8*0.5)+'LINEST VARS'!$G$48*(8*$CX23)+'LINEST VARS'!$F$48*(8*$DL$8)+'LINEST VARS'!$E$48*(8*0.5)+'LINEST VARS'!$D$48*(8*$CX23)+'LINEST VARS'!$C$48*($DL$8*0.5)+'LINEST VARS'!$B$48*($DL$8*$CX23)+'LINEST VARS'!$A$48*(0.5*$CX23)</f>
        <v>369.99999999999989</v>
      </c>
      <c r="DM23" s="46">
        <f>'LINEST VARS'!$U$48+'LINEST VARS'!$T$48*(8)+'LINEST VARS'!$S$48*(8)+'LINEST VARS'!$R$48*($DM$8)+'LINEST VARS'!$Q$48*(0.5)+'LINEST VARS'!$P$48*($CX23)+'LINEST VARS'!$O$48*(8^2)+'LINEST VARS'!$N$48*(8^2)+'LINEST VARS'!$M$48*($DM$8^2)+'LINEST VARS'!$L$48*(0.5^2)+'LINEST VARS'!$K$48*($CX23^2)+'LINEST VARS'!$J$48*(8*8)+'LINEST VARS'!$I$48*(8*$DM$8)+'LINEST VARS'!$H$48*(8*0.5)+'LINEST VARS'!$G$48*(8*$CX23)+'LINEST VARS'!$F$48*(8*$DM$8)+'LINEST VARS'!$E$48*(8*0.5)+'LINEST VARS'!$D$48*(8*$CX23)+'LINEST VARS'!$C$48*($DM$8*0.5)+'LINEST VARS'!$B$48*($DM$8*$CX23)+'LINEST VARS'!$A$48*(0.5*$CX23)</f>
        <v>369.99999999999989</v>
      </c>
      <c r="DN23" s="46">
        <f>'LINEST VARS'!$U$48+'LINEST VARS'!$T$48*(8)+'LINEST VARS'!$S$48*(8)+'LINEST VARS'!$R$48*($DN$8)+'LINEST VARS'!$Q$48*(0.5)+'LINEST VARS'!$P$48*($CX23)+'LINEST VARS'!$O$48*(8^2)+'LINEST VARS'!$N$48*(8^2)+'LINEST VARS'!$M$48*($DN$8^2)+'LINEST VARS'!$L$48*(0.5^2)+'LINEST VARS'!$K$48*($CX23^2)+'LINEST VARS'!$J$48*(8*8)+'LINEST VARS'!$I$48*(8*$DN$8)+'LINEST VARS'!$H$48*(8*0.5)+'LINEST VARS'!$G$48*(8*$CX23)+'LINEST VARS'!$F$48*(8*$DN$8)+'LINEST VARS'!$E$48*(8*0.5)+'LINEST VARS'!$D$48*(8*$CX23)+'LINEST VARS'!$C$48*($DN$8*0.5)+'LINEST VARS'!$B$48*($DN$8*$CX23)+'LINEST VARS'!$A$48*(0.5*$CX23)</f>
        <v>369.99999999999989</v>
      </c>
      <c r="DO23" s="46">
        <f>'LINEST VARS'!$U$48+'LINEST VARS'!$T$48*(8)+'LINEST VARS'!$S$48*(8)+'LINEST VARS'!$R$48*($DO$8)+'LINEST VARS'!$Q$48*(0.5)+'LINEST VARS'!$P$48*($CX23)+'LINEST VARS'!$O$48*(8^2)+'LINEST VARS'!$N$48*(8^2)+'LINEST VARS'!$M$48*($DO$8^2)+'LINEST VARS'!$L$48*(0.5^2)+'LINEST VARS'!$K$48*($CX23^2)+'LINEST VARS'!$J$48*(8*8)+'LINEST VARS'!$I$48*(8*$DO$8)+'LINEST VARS'!$H$48*(8*0.5)+'LINEST VARS'!$G$48*(8*$CX23)+'LINEST VARS'!$F$48*(8*$DO$8)+'LINEST VARS'!$E$48*(8*0.5)+'LINEST VARS'!$D$48*(8*$CX23)+'LINEST VARS'!$C$48*($DO$8*0.5)+'LINEST VARS'!$B$48*($DO$8*$CX23)+'LINEST VARS'!$A$48*(0.5*$CX23)</f>
        <v>369.99999999999983</v>
      </c>
      <c r="DP23" s="46">
        <f>'LINEST VARS'!$U$48+'LINEST VARS'!$T$48*(8)+'LINEST VARS'!$S$48*(8)+'LINEST VARS'!$R$48*($DP$8)+'LINEST VARS'!$Q$48*(0.5)+'LINEST VARS'!$P$48*($CX23)+'LINEST VARS'!$O$48*(8^2)+'LINEST VARS'!$N$48*(8^2)+'LINEST VARS'!$M$48*($DP$8^2)+'LINEST VARS'!$L$48*(0.5^2)+'LINEST VARS'!$K$48*($CX23^2)+'LINEST VARS'!$J$48*(8*8)+'LINEST VARS'!$I$48*(8*$DP$8)+'LINEST VARS'!$H$48*(8*0.5)+'LINEST VARS'!$G$48*(8*$CX23)+'LINEST VARS'!$F$48*(8*$DP$8)+'LINEST VARS'!$E$48*(8*0.5)+'LINEST VARS'!$D$48*(8*$CX23)+'LINEST VARS'!$C$48*($DP$8*0.5)+'LINEST VARS'!$B$48*($DP$8*$CX23)+'LINEST VARS'!$A$48*(0.5*$CX23)</f>
        <v>369.99999999999983</v>
      </c>
      <c r="DQ23" s="46">
        <f>'LINEST VARS'!$U$48+'LINEST VARS'!$T$48*(8)+'LINEST VARS'!$S$48*(8)+'LINEST VARS'!$R$48*($DQ$8)+'LINEST VARS'!$Q$48*(0.5)+'LINEST VARS'!$P$48*($CX23)+'LINEST VARS'!$O$48*(8^2)+'LINEST VARS'!$N$48*(8^2)+'LINEST VARS'!$M$48*($DQ$8^2)+'LINEST VARS'!$L$48*(0.5^2)+'LINEST VARS'!$K$48*($CX23^2)+'LINEST VARS'!$J$48*(8*8)+'LINEST VARS'!$I$48*(8*$DQ$8)+'LINEST VARS'!$H$48*(8*0.5)+'LINEST VARS'!$G$48*(8*$CX23)+'LINEST VARS'!$F$48*(8*$DQ$8)+'LINEST VARS'!$E$48*(8*0.5)+'LINEST VARS'!$D$48*(8*$CX23)+'LINEST VARS'!$C$48*($DQ$8*0.5)+'LINEST VARS'!$B$48*($DQ$8*$CX23)+'LINEST VARS'!$A$48*(0.5*$CX23)</f>
        <v>369.99999999999983</v>
      </c>
      <c r="DR23" s="46">
        <f>'LINEST VARS'!$U$48+'LINEST VARS'!$T$48*(8)+'LINEST VARS'!$S$48*(8)+'LINEST VARS'!$R$48*($DR$8)+'LINEST VARS'!$Q$48*(0.5)+'LINEST VARS'!$P$48*($CX23)+'LINEST VARS'!$O$48*(8^2)+'LINEST VARS'!$N$48*(8^2)+'LINEST VARS'!$M$48*($DR$8^2)+'LINEST VARS'!$L$48*(0.5^2)+'LINEST VARS'!$K$48*($CX23^2)+'LINEST VARS'!$J$48*(8*8)+'LINEST VARS'!$I$48*(8*$DR$8)+'LINEST VARS'!$H$48*(8*0.5)+'LINEST VARS'!$G$48*(8*$CX23)+'LINEST VARS'!$F$48*(8*$DR$8)+'LINEST VARS'!$E$48*(8*0.5)+'LINEST VARS'!$D$48*(8*$CX23)+'LINEST VARS'!$C$48*($DR$8*0.5)+'LINEST VARS'!$B$48*($DR$8*$CX23)+'LINEST VARS'!$A$48*(0.5*$CX23)</f>
        <v>369.99999999999983</v>
      </c>
      <c r="DS23" s="47">
        <f>'LINEST VARS'!$U$48+'LINEST VARS'!$T$48*(8)+'LINEST VARS'!$S$48*(8)+'LINEST VARS'!$R$48*($DS$8)+'LINEST VARS'!$Q$48*(0.5)+'LINEST VARS'!$P$48*($CX23)+'LINEST VARS'!$O$48*(8^2)+'LINEST VARS'!$N$48*(8^2)+'LINEST VARS'!$M$48*($DS$8^2)+'LINEST VARS'!$L$48*(0.5^2)+'LINEST VARS'!$K$48*($CX23^2)+'LINEST VARS'!$J$48*(8*8)+'LINEST VARS'!$I$48*(8*$DS$8)+'LINEST VARS'!$H$48*(8*0.5)+'LINEST VARS'!$G$48*(8*$CX23)+'LINEST VARS'!$F$48*(8*$DS$8)+'LINEST VARS'!$E$48*(8*0.5)+'LINEST VARS'!$D$48*(8*$CX23)+'LINEST VARS'!$C$48*($DS$8*0.5)+'LINEST VARS'!$B$48*($DS$8*$CX23)+'LINEST VARS'!$A$48*(0.5*$CX23)</f>
        <v>369.99999999999983</v>
      </c>
      <c r="DV23" s="45">
        <v>18.193000000000001</v>
      </c>
      <c r="DW23" s="46">
        <f>'LINEST VARS'!$U$50+'LINEST VARS'!$T$50*(8)+'LINEST VARS'!$S$50*(8)+'LINEST VARS'!$R$50*($DW$8)+'LINEST VARS'!$Q$50*(0.5)+'LINEST VARS'!$P$50*($DV23)+'LINEST VARS'!$O$50*(8^2)+'LINEST VARS'!$N$50*(8^2)+'LINEST VARS'!$M$50*($DW$8^2)+'LINEST VARS'!$L$50*(0.5^2)+'LINEST VARS'!$K$50*($DV23^2)+'LINEST VARS'!$J$50*(8*8)+'LINEST VARS'!$I$50*(8*$DW$8)+'LINEST VARS'!$H$50*(8*0.5)+'LINEST VARS'!$G$50*(8*$DV23)+'LINEST VARS'!$F$50*(8*$DW$8)+'LINEST VARS'!$E$50*(8*0.5)+'LINEST VARS'!$D$50*(8*$DV23)+'LINEST VARS'!$C$50*($DW$8*0.5)+'LINEST VARS'!$B$50*($DW$8*$DV23)+'LINEST VARS'!$A$50*(0.5*$DV23)</f>
        <v>331.99999999999989</v>
      </c>
      <c r="DX23" s="46">
        <f>'LINEST VARS'!$U$50+'LINEST VARS'!$T$50*(8)+'LINEST VARS'!$S$50*(8)+'LINEST VARS'!$R$50*($DX$8)+'LINEST VARS'!$Q$50*(0.5)+'LINEST VARS'!$P$50*($DV23)+'LINEST VARS'!$O$50*(8^2)+'LINEST VARS'!$N$50*(8^2)+'LINEST VARS'!$M$50*($DX$8^2)+'LINEST VARS'!$L$50*(0.5^2)+'LINEST VARS'!$K$50*($DV23^2)+'LINEST VARS'!$J$50*(8*8)+'LINEST VARS'!$I$50*(8*$DX$8)+'LINEST VARS'!$H$50*(8*0.5)+'LINEST VARS'!$G$50*(8*$DV23)+'LINEST VARS'!$F$50*(8*$DX$8)+'LINEST VARS'!$E$50*(8*0.5)+'LINEST VARS'!$D$50*(8*$DV23)+'LINEST VARS'!$C$50*($DX$8*0.5)+'LINEST VARS'!$B$50*($DX$8*$DV23)+'LINEST VARS'!$A$50*(0.5*$DV23)</f>
        <v>331.99999999999989</v>
      </c>
      <c r="DY23" s="46">
        <f>'LINEST VARS'!$U$50+'LINEST VARS'!$T$50*(8)+'LINEST VARS'!$S$50*(8)+'LINEST VARS'!$R$50*($DY$8)+'LINEST VARS'!$Q$50*(0.5)+'LINEST VARS'!$P$50*($DV23)+'LINEST VARS'!$O$50*(8^2)+'LINEST VARS'!$N$50*(8^2)+'LINEST VARS'!$M$50*($DY$8^2)+'LINEST VARS'!$L$50*(0.5^2)+'LINEST VARS'!$K$50*($DV23^2)+'LINEST VARS'!$J$50*(8*8)+'LINEST VARS'!$I$50*(8*$DY$8)+'LINEST VARS'!$H$50*(8*0.5)+'LINEST VARS'!$G$50*(8*$DV23)+'LINEST VARS'!$F$50*(8*$DY$8)+'LINEST VARS'!$E$50*(8*0.5)+'LINEST VARS'!$D$50*(8*$DV23)+'LINEST VARS'!$C$50*($DY$8*0.5)+'LINEST VARS'!$B$50*($DY$8*$DV23)+'LINEST VARS'!$A$50*(0.5*$DV23)</f>
        <v>331.99999999999989</v>
      </c>
      <c r="DZ23" s="46">
        <f>'LINEST VARS'!$U$50+'LINEST VARS'!$T$50*(8)+'LINEST VARS'!$S$50*(8)+'LINEST VARS'!$R$50*($DZ$8)+'LINEST VARS'!$Q$50*(0.5)+'LINEST VARS'!$P$50*($DV23)+'LINEST VARS'!$O$50*(8^2)+'LINEST VARS'!$N$50*(8^2)+'LINEST VARS'!$M$50*($DZ$8^2)+'LINEST VARS'!$L$50*(0.5^2)+'LINEST VARS'!$K$50*($DV23^2)+'LINEST VARS'!$J$50*(8*8)+'LINEST VARS'!$I$50*(8*$DZ$8)+'LINEST VARS'!$H$50*(8*0.5)+'LINEST VARS'!$G$50*(8*$DV23)+'LINEST VARS'!$F$50*(8*$DZ$8)+'LINEST VARS'!$E$50*(8*0.5)+'LINEST VARS'!$D$50*(8*$DV23)+'LINEST VARS'!$C$50*($DZ$8*0.5)+'LINEST VARS'!$B$50*($DZ$8*$DV23)+'LINEST VARS'!$A$50*(0.5*$DV23)</f>
        <v>331.99999999999989</v>
      </c>
      <c r="EA23" s="46">
        <f>'LINEST VARS'!$U$50+'LINEST VARS'!$T$50*(8)+'LINEST VARS'!$S$50*(8)+'LINEST VARS'!$R$50*($EA$8)+'LINEST VARS'!$Q$50*(0.5)+'LINEST VARS'!$P$50*($DV23)+'LINEST VARS'!$O$50*(8^2)+'LINEST VARS'!$N$50*(8^2)+'LINEST VARS'!$M$50*($EA$8^2)+'LINEST VARS'!$L$50*(0.5^2)+'LINEST VARS'!$K$50*($DV23^2)+'LINEST VARS'!$J$50*(8*8)+'LINEST VARS'!$I$50*(8*$EA$8)+'LINEST VARS'!$H$50*(8*0.5)+'LINEST VARS'!$G$50*(8*$DV23)+'LINEST VARS'!$F$50*(8*$EA$8)+'LINEST VARS'!$E$50*(8*0.5)+'LINEST VARS'!$D$50*(8*$DV23)+'LINEST VARS'!$C$50*($EA$8*0.5)+'LINEST VARS'!$B$50*($EA$8*$DV23)+'LINEST VARS'!$A$50*(0.5*$DV23)</f>
        <v>331.99999999999989</v>
      </c>
      <c r="EB23" s="46">
        <f>'LINEST VARS'!$U$50+'LINEST VARS'!$T$50*(8)+'LINEST VARS'!$S$50*(8)+'LINEST VARS'!$R$50*($EB$8)+'LINEST VARS'!$Q$50*(0.5)+'LINEST VARS'!$P$50*($DV23)+'LINEST VARS'!$O$50*(8^2)+'LINEST VARS'!$N$50*(8^2)+'LINEST VARS'!$M$50*($EB$8^2)+'LINEST VARS'!$L$50*(0.5^2)+'LINEST VARS'!$K$50*($DV23^2)+'LINEST VARS'!$J$50*(8*8)+'LINEST VARS'!$I$50*(8*$EB$8)+'LINEST VARS'!$H$50*(8*0.5)+'LINEST VARS'!$G$50*(8*$DV23)+'LINEST VARS'!$F$50*(8*$EB$8)+'LINEST VARS'!$E$50*(8*0.5)+'LINEST VARS'!$D$50*(8*$DV23)+'LINEST VARS'!$C$50*($EB$8*0.5)+'LINEST VARS'!$B$50*($EB$8*$DV23)+'LINEST VARS'!$A$50*(0.5*$DV23)</f>
        <v>331.99999999999989</v>
      </c>
      <c r="EC23" s="46">
        <f>'LINEST VARS'!$U$50+'LINEST VARS'!$T$50*(8)+'LINEST VARS'!$S$50*(8)+'LINEST VARS'!$R$50*($EC$8)+'LINEST VARS'!$Q$50*(0.5)+'LINEST VARS'!$P$50*($DV23)+'LINEST VARS'!$O$50*(8^2)+'LINEST VARS'!$N$50*(8^2)+'LINEST VARS'!$M$50*($EC$8^2)+'LINEST VARS'!$L$50*(0.5^2)+'LINEST VARS'!$K$50*($DV23^2)+'LINEST VARS'!$J$50*(8*8)+'LINEST VARS'!$I$50*(8*$EC$8)+'LINEST VARS'!$H$50*(8*0.5)+'LINEST VARS'!$G$50*(8*$DV23)+'LINEST VARS'!$F$50*(8*$EC$8)+'LINEST VARS'!$E$50*(8*0.5)+'LINEST VARS'!$D$50*(8*$DV23)+'LINEST VARS'!$C$50*($EC$8*0.5)+'LINEST VARS'!$B$50*($EC$8*$DV23)+'LINEST VARS'!$A$50*(0.5*$DV23)</f>
        <v>331.99999999999989</v>
      </c>
      <c r="ED23" s="46">
        <f>'LINEST VARS'!$U$50+'LINEST VARS'!$T$50*(8)+'LINEST VARS'!$S$50*(8)+'LINEST VARS'!$R$50*($ED$8)+'LINEST VARS'!$Q$50*(0.5)+'LINEST VARS'!$P$50*($DV23)+'LINEST VARS'!$O$50*(8^2)+'LINEST VARS'!$N$50*(8^2)+'LINEST VARS'!$M$50*($ED$8^2)+'LINEST VARS'!$L$50*(0.5^2)+'LINEST VARS'!$K$50*($DV23^2)+'LINEST VARS'!$J$50*(8*8)+'LINEST VARS'!$I$50*(8*$ED$8)+'LINEST VARS'!$H$50*(8*0.5)+'LINEST VARS'!$G$50*(8*$DV23)+'LINEST VARS'!$F$50*(8*$ED$8)+'LINEST VARS'!$E$50*(8*0.5)+'LINEST VARS'!$D$50*(8*$DV23)+'LINEST VARS'!$C$50*($ED$8*0.5)+'LINEST VARS'!$B$50*($ED$8*$DV23)+'LINEST VARS'!$A$50*(0.5*$DV23)</f>
        <v>331.99999999999989</v>
      </c>
      <c r="EE23" s="46">
        <f>'LINEST VARS'!$U$50+'LINEST VARS'!$T$50*(8)+'LINEST VARS'!$S$50*(8)+'LINEST VARS'!$R$50*($EE$8)+'LINEST VARS'!$Q$50*(0.5)+'LINEST VARS'!$P$50*($DV23)+'LINEST VARS'!$O$50*(8^2)+'LINEST VARS'!$N$50*(8^2)+'LINEST VARS'!$M$50*($EE$8^2)+'LINEST VARS'!$L$50*(0.5^2)+'LINEST VARS'!$K$50*($DV23^2)+'LINEST VARS'!$J$50*(8*8)+'LINEST VARS'!$I$50*(8*$EE$8)+'LINEST VARS'!$H$50*(8*0.5)+'LINEST VARS'!$G$50*(8*$DV23)+'LINEST VARS'!$F$50*(8*$EE$8)+'LINEST VARS'!$E$50*(8*0.5)+'LINEST VARS'!$D$50*(8*$DV23)+'LINEST VARS'!$C$50*($EE$8*0.5)+'LINEST VARS'!$B$50*($EE$8*$DV23)+'LINEST VARS'!$A$50*(0.5*$DV23)</f>
        <v>331.99999999999989</v>
      </c>
      <c r="EF23" s="46">
        <f>'LINEST VARS'!$U$50+'LINEST VARS'!$T$50*(8)+'LINEST VARS'!$S$50*(8)+'LINEST VARS'!$R$50*($EF$8)+'LINEST VARS'!$Q$50*(0.5)+'LINEST VARS'!$P$50*($DV23)+'LINEST VARS'!$O$50*(8^2)+'LINEST VARS'!$N$50*(8^2)+'LINEST VARS'!$M$50*($EF$8^2)+'LINEST VARS'!$L$50*(0.5^2)+'LINEST VARS'!$K$50*($DV23^2)+'LINEST VARS'!$J$50*(8*8)+'LINEST VARS'!$I$50*(8*$EF$8)+'LINEST VARS'!$H$50*(8*0.5)+'LINEST VARS'!$G$50*(8*$DV23)+'LINEST VARS'!$F$50*(8*$EF$8)+'LINEST VARS'!$E$50*(8*0.5)+'LINEST VARS'!$D$50*(8*$DV23)+'LINEST VARS'!$C$50*($EF$8*0.5)+'LINEST VARS'!$B$50*($EF$8*$DV23)+'LINEST VARS'!$A$50*(0.5*$DV23)</f>
        <v>331.99999999999989</v>
      </c>
      <c r="EG23" s="46">
        <f>'LINEST VARS'!$U$50+'LINEST VARS'!$T$50*(8)+'LINEST VARS'!$S$50*(8)+'LINEST VARS'!$R$50*($EG$8)+'LINEST VARS'!$Q$50*(0.5)+'LINEST VARS'!$P$50*($DV23)+'LINEST VARS'!$O$50*(8^2)+'LINEST VARS'!$N$50*(8^2)+'LINEST VARS'!$M$50*($EG$8^2)+'LINEST VARS'!$L$50*(0.5^2)+'LINEST VARS'!$K$50*($DV23^2)+'LINEST VARS'!$J$50*(8*8)+'LINEST VARS'!$I$50*(8*$EG$8)+'LINEST VARS'!$H$50*(8*0.5)+'LINEST VARS'!$G$50*(8*$DV23)+'LINEST VARS'!$F$50*(8*$EG$8)+'LINEST VARS'!$E$50*(8*0.5)+'LINEST VARS'!$D$50*(8*$DV23)+'LINEST VARS'!$C$50*($EG$8*0.5)+'LINEST VARS'!$B$50*($EG$8*$DV23)+'LINEST VARS'!$A$50*(0.5*$DV23)</f>
        <v>331.99999999999989</v>
      </c>
      <c r="EH23" s="46">
        <f>'LINEST VARS'!$U$50+'LINEST VARS'!$T$50*(8)+'LINEST VARS'!$S$50*(8)+'LINEST VARS'!$R$50*($EH$8)+'LINEST VARS'!$Q$50*(0.5)+'LINEST VARS'!$P$50*($DV23)+'LINEST VARS'!$O$50*(8^2)+'LINEST VARS'!$N$50*(8^2)+'LINEST VARS'!$M$50*($EH$8^2)+'LINEST VARS'!$L$50*(0.5^2)+'LINEST VARS'!$K$50*($DV23^2)+'LINEST VARS'!$J$50*(8*8)+'LINEST VARS'!$I$50*(8*$EH$8)+'LINEST VARS'!$H$50*(8*0.5)+'LINEST VARS'!$G$50*(8*$DV23)+'LINEST VARS'!$F$50*(8*$EH$8)+'LINEST VARS'!$E$50*(8*0.5)+'LINEST VARS'!$D$50*(8*$DV23)+'LINEST VARS'!$C$50*($EH$8*0.5)+'LINEST VARS'!$B$50*($EH$8*$DV23)+'LINEST VARS'!$A$50*(0.5*$DV23)</f>
        <v>331.99999999999989</v>
      </c>
      <c r="EI23" s="46">
        <f>'LINEST VARS'!$U$50+'LINEST VARS'!$T$50*(8)+'LINEST VARS'!$S$50*(8)+'LINEST VARS'!$R$50*($EI$8)+'LINEST VARS'!$Q$50*(0.5)+'LINEST VARS'!$P$50*($DV23)+'LINEST VARS'!$O$50*(8^2)+'LINEST VARS'!$N$50*(8^2)+'LINEST VARS'!$M$50*($EI$8^2)+'LINEST VARS'!$L$50*(0.5^2)+'LINEST VARS'!$K$50*($DV23^2)+'LINEST VARS'!$J$50*(8*8)+'LINEST VARS'!$I$50*(8*$EI$8)+'LINEST VARS'!$H$50*(8*0.5)+'LINEST VARS'!$G$50*(8*$DV23)+'LINEST VARS'!$F$50*(8*$EI$8)+'LINEST VARS'!$E$50*(8*0.5)+'LINEST VARS'!$D$50*(8*$DV23)+'LINEST VARS'!$C$50*($EI$8*0.5)+'LINEST VARS'!$B$50*($EI$8*$DV23)+'LINEST VARS'!$A$50*(0.5*$DV23)</f>
        <v>331.99999999999989</v>
      </c>
      <c r="EJ23" s="46">
        <f>'LINEST VARS'!$U$50+'LINEST VARS'!$T$50*(8)+'LINEST VARS'!$S$50*(8)+'LINEST VARS'!$R$50*($EJ$8)+'LINEST VARS'!$Q$50*(0.5)+'LINEST VARS'!$P$50*($DV23)+'LINEST VARS'!$O$50*(8^2)+'LINEST VARS'!$N$50*(8^2)+'LINEST VARS'!$M$50*($EJ$8^2)+'LINEST VARS'!$L$50*(0.5^2)+'LINEST VARS'!$K$50*($DV23^2)+'LINEST VARS'!$J$50*(8*8)+'LINEST VARS'!$I$50*(8*$EJ$8)+'LINEST VARS'!$H$50*(8*0.5)+'LINEST VARS'!$G$50*(8*$DV23)+'LINEST VARS'!$F$50*(8*$EJ$8)+'LINEST VARS'!$E$50*(8*0.5)+'LINEST VARS'!$D$50*(8*$DV23)+'LINEST VARS'!$C$50*($EJ$8*0.5)+'LINEST VARS'!$B$50*($EJ$8*$DV23)+'LINEST VARS'!$A$50*(0.5*$DV23)</f>
        <v>331.99999999999989</v>
      </c>
      <c r="EK23" s="46">
        <f>'LINEST VARS'!$U$50+'LINEST VARS'!$T$50*(8)+'LINEST VARS'!$S$50*(8)+'LINEST VARS'!$R$50*($EK$8)+'LINEST VARS'!$Q$50*(0.5)+'LINEST VARS'!$P$50*($DV23)+'LINEST VARS'!$O$50*(8^2)+'LINEST VARS'!$N$50*(8^2)+'LINEST VARS'!$M$50*($EK$8^2)+'LINEST VARS'!$L$50*(0.5^2)+'LINEST VARS'!$K$50*($DV23^2)+'LINEST VARS'!$J$50*(8*8)+'LINEST VARS'!$I$50*(8*$EK$8)+'LINEST VARS'!$H$50*(8*0.5)+'LINEST VARS'!$G$50*(8*$DV23)+'LINEST VARS'!$F$50*(8*$EK$8)+'LINEST VARS'!$E$50*(8*0.5)+'LINEST VARS'!$D$50*(8*$DV23)+'LINEST VARS'!$C$50*($EK$8*0.5)+'LINEST VARS'!$B$50*($EK$8*$DV23)+'LINEST VARS'!$A$50*(0.5*$DV23)</f>
        <v>331.99999999999989</v>
      </c>
      <c r="EL23" s="46">
        <f>'LINEST VARS'!$U$50+'LINEST VARS'!$T$50*(8)+'LINEST VARS'!$S$50*(8)+'LINEST VARS'!$R$50*($EL$8)+'LINEST VARS'!$Q$50*(0.5)+'LINEST VARS'!$P$50*($DV23)+'LINEST VARS'!$O$50*(8^2)+'LINEST VARS'!$N$50*(8^2)+'LINEST VARS'!$M$50*($EL$8^2)+'LINEST VARS'!$L$50*(0.5^2)+'LINEST VARS'!$K$50*($DV23^2)+'LINEST VARS'!$J$50*(8*8)+'LINEST VARS'!$I$50*(8*$EL$8)+'LINEST VARS'!$H$50*(8*0.5)+'LINEST VARS'!$G$50*(8*$DV23)+'LINEST VARS'!$F$50*(8*$EL$8)+'LINEST VARS'!$E$50*(8*0.5)+'LINEST VARS'!$D$50*(8*$DV23)+'LINEST VARS'!$C$50*($EL$8*0.5)+'LINEST VARS'!$B$50*($EL$8*$DV23)+'LINEST VARS'!$A$50*(0.5*$DV23)</f>
        <v>331.99999999999989</v>
      </c>
      <c r="EM23" s="46">
        <f>'LINEST VARS'!$U$50+'LINEST VARS'!$T$50*(8)+'LINEST VARS'!$S$50*(8)+'LINEST VARS'!$R$50*($EM$8)+'LINEST VARS'!$Q$50*(0.5)+'LINEST VARS'!$P$50*($DV23)+'LINEST VARS'!$O$50*(8^2)+'LINEST VARS'!$N$50*(8^2)+'LINEST VARS'!$M$50*($EM$8^2)+'LINEST VARS'!$L$50*(0.5^2)+'LINEST VARS'!$K$50*($DV23^2)+'LINEST VARS'!$J$50*(8*8)+'LINEST VARS'!$I$50*(8*$EM$8)+'LINEST VARS'!$H$50*(8*0.5)+'LINEST VARS'!$G$50*(8*$DV23)+'LINEST VARS'!$F$50*(8*$EM$8)+'LINEST VARS'!$E$50*(8*0.5)+'LINEST VARS'!$D$50*(8*$DV23)+'LINEST VARS'!$C$50*($EM$8*0.5)+'LINEST VARS'!$B$50*($EM$8*$DV23)+'LINEST VARS'!$A$50*(0.5*$DV23)</f>
        <v>331.99999999999989</v>
      </c>
      <c r="EN23" s="46">
        <f>'LINEST VARS'!$U$50+'LINEST VARS'!$T$50*(8)+'LINEST VARS'!$S$50*(8)+'LINEST VARS'!$R$50*($EN$8)+'LINEST VARS'!$Q$50*(0.5)+'LINEST VARS'!$P$50*($DV23)+'LINEST VARS'!$O$50*(8^2)+'LINEST VARS'!$N$50*(8^2)+'LINEST VARS'!$M$50*($EN$8^2)+'LINEST VARS'!$L$50*(0.5^2)+'LINEST VARS'!$K$50*($DV23^2)+'LINEST VARS'!$J$50*(8*8)+'LINEST VARS'!$I$50*(8*$EN$8)+'LINEST VARS'!$H$50*(8*0.5)+'LINEST VARS'!$G$50*(8*$DV23)+'LINEST VARS'!$F$50*(8*$EN$8)+'LINEST VARS'!$E$50*(8*0.5)+'LINEST VARS'!$D$50*(8*$DV23)+'LINEST VARS'!$C$50*($EN$8*0.5)+'LINEST VARS'!$B$50*($EN$8*$DV23)+'LINEST VARS'!$A$50*(0.5*$DV23)</f>
        <v>331.99999999999989</v>
      </c>
      <c r="EO23" s="46">
        <f>'LINEST VARS'!$U$50+'LINEST VARS'!$T$50*(8)+'LINEST VARS'!$S$50*(8)+'LINEST VARS'!$R$50*($EO$8)+'LINEST VARS'!$Q$50*(0.5)+'LINEST VARS'!$P$50*($DV23)+'LINEST VARS'!$O$50*(8^2)+'LINEST VARS'!$N$50*(8^2)+'LINEST VARS'!$M$50*($EO$8^2)+'LINEST VARS'!$L$50*(0.5^2)+'LINEST VARS'!$K$50*($DV23^2)+'LINEST VARS'!$J$50*(8*8)+'LINEST VARS'!$I$50*(8*$EO$8)+'LINEST VARS'!$H$50*(8*0.5)+'LINEST VARS'!$G$50*(8*$DV23)+'LINEST VARS'!$F$50*(8*$EO$8)+'LINEST VARS'!$E$50*(8*0.5)+'LINEST VARS'!$D$50*(8*$DV23)+'LINEST VARS'!$C$50*($EO$8*0.5)+'LINEST VARS'!$B$50*($EO$8*$DV23)+'LINEST VARS'!$A$50*(0.5*$DV23)</f>
        <v>331.99999999999989</v>
      </c>
      <c r="EP23" s="46">
        <f>'LINEST VARS'!$U$50+'LINEST VARS'!$T$50*(8)+'LINEST VARS'!$S$50*(8)+'LINEST VARS'!$R$50*($EP$8)+'LINEST VARS'!$Q$50*(0.5)+'LINEST VARS'!$P$50*($DV23)+'LINEST VARS'!$O$50*(8^2)+'LINEST VARS'!$N$50*(8^2)+'LINEST VARS'!$M$50*($EP$8^2)+'LINEST VARS'!$L$50*(0.5^2)+'LINEST VARS'!$K$50*($DV23^2)+'LINEST VARS'!$J$50*(8*8)+'LINEST VARS'!$I$50*(8*$EP$8)+'LINEST VARS'!$H$50*(8*0.5)+'LINEST VARS'!$G$50*(8*$DV23)+'LINEST VARS'!$F$50*(8*$EP$8)+'LINEST VARS'!$E$50*(8*0.5)+'LINEST VARS'!$D$50*(8*$DV23)+'LINEST VARS'!$C$50*($EP$8*0.5)+'LINEST VARS'!$B$50*($EP$8*$DV23)+'LINEST VARS'!$A$50*(0.5*$DV23)</f>
        <v>331.99999999999989</v>
      </c>
      <c r="EQ23" s="47">
        <f>'LINEST VARS'!$U$50+'LINEST VARS'!$T$50*(8)+'LINEST VARS'!$S$50*(8)+'LINEST VARS'!$R$50*($EQ$8)+'LINEST VARS'!$Q$50*(0.5)+'LINEST VARS'!$P$50*($DV23)+'LINEST VARS'!$O$50*(8^2)+'LINEST VARS'!$N$50*(8^2)+'LINEST VARS'!$M$50*($EQ$8^2)+'LINEST VARS'!$L$50*(0.5^2)+'LINEST VARS'!$K$50*($DV23^2)+'LINEST VARS'!$J$50*(8*8)+'LINEST VARS'!$I$50*(8*$EQ$8)+'LINEST VARS'!$H$50*(8*0.5)+'LINEST VARS'!$G$50*(8*$DV23)+'LINEST VARS'!$F$50*(8*$EQ$8)+'LINEST VARS'!$E$50*(8*0.5)+'LINEST VARS'!$D$50*(8*$DV23)+'LINEST VARS'!$C$50*($EQ$8*0.5)+'LINEST VARS'!$B$50*($EQ$8*$DV23)+'LINEST VARS'!$A$50*(0.5*$DV23)</f>
        <v>331.99999999999989</v>
      </c>
    </row>
    <row r="24" spans="2:147" ht="15" customHeight="1" x14ac:dyDescent="0.25">
      <c r="B24" s="45">
        <v>8.3000000000000007</v>
      </c>
      <c r="C24" s="46">
        <f>'LINEST VARS'!$U$48+'LINEST VARS'!$T$48*($C$8)+'LINEST VARS'!$S$48*($B24)+'LINEST VARS'!$R$48*(4)+'LINEST VARS'!$Q$48*(0.5)+'LINEST VARS'!$P$48*(12.73)+'LINEST VARS'!$O$48*($C$8^2)+'LINEST VARS'!$N$48*($B24^2)+'LINEST VARS'!$M$48*(4^2)+'LINEST VARS'!$L$48*(0.5^2)+'LINEST VARS'!$K$48*(12.73^2)+'LINEST VARS'!$J$48*($C$8*$B24)+'LINEST VARS'!$I$48*($C$8*4)+'LINEST VARS'!$H$48*($C$8*0.5)+'LINEST VARS'!$G$48*($C$8*12.73)+'LINEST VARS'!$F$48*($B24*4)+'LINEST VARS'!$E$48*($B24*0.5)+'LINEST VARS'!$D$48*($B24*12.73)+'LINEST VARS'!$C$48*(4*0.5)+'LINEST VARS'!$B$48*(4*12.73)+'LINEST VARS'!$A$48*(0.5*12.73)</f>
        <v>323.49999999999989</v>
      </c>
      <c r="D24" s="46">
        <f>'LINEST VARS'!$U$48+'LINEST VARS'!$T$48*($D$8)+'LINEST VARS'!$S$48*($B24)+'LINEST VARS'!$R$48*(4)+'LINEST VARS'!$Q$48*(0.5)+'LINEST VARS'!$P$48*(12.73)+'LINEST VARS'!$O$48*($D$8^2)+'LINEST VARS'!$N$48*($B24^2)+'LINEST VARS'!$M$48*(4^2)+'LINEST VARS'!$L$48*(0.5^2)+'LINEST VARS'!$K$48*(12.73^2)+'LINEST VARS'!$J$48*($D$8*$B24)+'LINEST VARS'!$I$48*($D$8*4)+'LINEST VARS'!$H$48*($D$8*0.5)+'LINEST VARS'!$G$48*($D$8*12.73)+'LINEST VARS'!$F$48*($B24*4)+'LINEST VARS'!$E$48*($B24*0.5)+'LINEST VARS'!$D$48*($B24*12.73)+'LINEST VARS'!$C$48*(4*0.5)+'LINEST VARS'!$B$48*(4*12.73)+'LINEST VARS'!$A$48*(0.5*12.73)</f>
        <v>328.07799999999986</v>
      </c>
      <c r="E24" s="46">
        <f>'LINEST VARS'!$U$48+'LINEST VARS'!$T$48*($E$8)+'LINEST VARS'!$S$48*($B24)+'LINEST VARS'!$R$48*(4)+'LINEST VARS'!$Q$48*(0.5)+'LINEST VARS'!$P$48*(12.73)+'LINEST VARS'!$O$48*($E$8^2)+'LINEST VARS'!$N$48*($B24^2)+'LINEST VARS'!$M$48*(4^2)+'LINEST VARS'!$L$48*(0.5^2)+'LINEST VARS'!$K$48*(12.73^2)+'LINEST VARS'!$J$48*($E$8*$B24)+'LINEST VARS'!$I$48*($E$8*4)+'LINEST VARS'!$H$48*($E$8*0.5)+'LINEST VARS'!$G$48*($E$8*12.73)+'LINEST VARS'!$F$48*($B24*4)+'LINEST VARS'!$E$48*($B24*0.5)+'LINEST VARS'!$D$48*($B24*12.73)+'LINEST VARS'!$C$48*(4*0.5)+'LINEST VARS'!$B$48*(4*12.73)+'LINEST VARS'!$A$48*(0.5*12.73)</f>
        <v>332.69199999999978</v>
      </c>
      <c r="F24" s="46">
        <f>'LINEST VARS'!$U$48+'LINEST VARS'!$T$48*($F$8)+'LINEST VARS'!$S$48*($B24)+'LINEST VARS'!$R$48*(4)+'LINEST VARS'!$Q$48*(0.5)+'LINEST VARS'!$P$48*(12.73)+'LINEST VARS'!$O$48*($F$8^2)+'LINEST VARS'!$N$48*($B24^2)+'LINEST VARS'!$M$48*(4^2)+'LINEST VARS'!$L$48*(0.5^2)+'LINEST VARS'!$K$48*(12.73^2)+'LINEST VARS'!$J$48*($F$8*$B24)+'LINEST VARS'!$I$48*($F$8*4)+'LINEST VARS'!$H$48*($F$8*0.5)+'LINEST VARS'!$G$48*($F$8*12.73)+'LINEST VARS'!$F$48*($B24*4)+'LINEST VARS'!$E$48*($B24*0.5)+'LINEST VARS'!$D$48*($B24*12.73)+'LINEST VARS'!$C$48*(4*0.5)+'LINEST VARS'!$B$48*(4*12.73)+'LINEST VARS'!$A$48*(0.5*12.73)</f>
        <v>337.34199999999981</v>
      </c>
      <c r="G24" s="46">
        <f>'LINEST VARS'!$U$48+'LINEST VARS'!$T$48*($G$8)+'LINEST VARS'!$S$48*($B24)+'LINEST VARS'!$R$48*(4)+'LINEST VARS'!$Q$48*(0.5)+'LINEST VARS'!$P$48*(12.73)+'LINEST VARS'!$O$48*($G$8^2)+'LINEST VARS'!$N$48*($B24^2)+'LINEST VARS'!$M$48*(4^2)+'LINEST VARS'!$L$48*(0.5^2)+'LINEST VARS'!$K$48*(12.73^2)+'LINEST VARS'!$J$48*($G$8*$B24)+'LINEST VARS'!$I$48*($G$8*4)+'LINEST VARS'!$H$48*($G$8*0.5)+'LINEST VARS'!$G$48*($G$8*12.73)+'LINEST VARS'!$F$48*($B24*4)+'LINEST VARS'!$E$48*($B24*0.5)+'LINEST VARS'!$D$48*($B24*12.73)+'LINEST VARS'!$C$48*(4*0.5)+'LINEST VARS'!$B$48*(4*12.73)+'LINEST VARS'!$A$48*(0.5*12.73)</f>
        <v>342.02799999999985</v>
      </c>
      <c r="H24" s="46">
        <f>'LINEST VARS'!$U$48+'LINEST VARS'!$T$48*($H$8)+'LINEST VARS'!$S$48*($B24)+'LINEST VARS'!$R$48*(4)+'LINEST VARS'!$Q$48*(0.5)+'LINEST VARS'!$P$48*(12.73)+'LINEST VARS'!$O$48*($H$8^2)+'LINEST VARS'!$N$48*($B24^2)+'LINEST VARS'!$M$48*(4^2)+'LINEST VARS'!$L$48*(0.5^2)+'LINEST VARS'!$K$48*(12.73^2)+'LINEST VARS'!$J$48*($H$8*$B24)+'LINEST VARS'!$I$48*($H$8*4)+'LINEST VARS'!$H$48*($H$8*0.5)+'LINEST VARS'!$G$48*($H$8*12.73)+'LINEST VARS'!$F$48*($B24*4)+'LINEST VARS'!$E$48*($B24*0.5)+'LINEST VARS'!$D$48*($B24*12.73)+'LINEST VARS'!$C$48*(4*0.5)+'LINEST VARS'!$B$48*(4*12.73)+'LINEST VARS'!$A$48*(0.5*12.73)</f>
        <v>346.74999999999989</v>
      </c>
      <c r="I24" s="46">
        <f>'LINEST VARS'!$U$48+'LINEST VARS'!$T$48*($I$8)+'LINEST VARS'!$S$48*($B24)+'LINEST VARS'!$R$48*(4)+'LINEST VARS'!$Q$48*(0.5)+'LINEST VARS'!$P$48*(12.73)+'LINEST VARS'!$O$48*($I$8^2)+'LINEST VARS'!$N$48*($B24^2)+'LINEST VARS'!$M$48*(4^2)+'LINEST VARS'!$L$48*(0.5^2)+'LINEST VARS'!$K$48*(12.73^2)+'LINEST VARS'!$J$48*($I$8*$B24)+'LINEST VARS'!$I$48*($I$8*4)+'LINEST VARS'!$H$48*($I$8*0.5)+'LINEST VARS'!$G$48*($I$8*12.73)+'LINEST VARS'!$F$48*($B24*4)+'LINEST VARS'!$E$48*($B24*0.5)+'LINEST VARS'!$D$48*($B24*12.73)+'LINEST VARS'!$C$48*(4*0.5)+'LINEST VARS'!$B$48*(4*12.73)+'LINEST VARS'!$A$48*(0.5*12.73)</f>
        <v>351.50799999999981</v>
      </c>
      <c r="J24" s="46">
        <f>'LINEST VARS'!$U$48+'LINEST VARS'!$T$48*($J$8)+'LINEST VARS'!$S$48*($B24)+'LINEST VARS'!$R$48*(4)+'LINEST VARS'!$Q$48*(0.5)+'LINEST VARS'!$P$48*(12.73)+'LINEST VARS'!$O$48*($J$8^2)+'LINEST VARS'!$N$48*($B24^2)+'LINEST VARS'!$M$48*(4^2)+'LINEST VARS'!$L$48*(0.5^2)+'LINEST VARS'!$K$48*(12.73^2)+'LINEST VARS'!$J$48*($J$8*$B24)+'LINEST VARS'!$I$48*($J$8*4)+'LINEST VARS'!$H$48*($J$8*0.5)+'LINEST VARS'!$G$48*($J$8*12.73)+'LINEST VARS'!$F$48*($B24*4)+'LINEST VARS'!$E$48*($B24*0.5)+'LINEST VARS'!$D$48*($B24*12.73)+'LINEST VARS'!$C$48*(4*0.5)+'LINEST VARS'!$B$48*(4*12.73)+'LINEST VARS'!$A$48*(0.5*12.73)</f>
        <v>356.30199999999991</v>
      </c>
      <c r="K24" s="46">
        <f>'LINEST VARS'!$U$48+'LINEST VARS'!$T$48*($K$8)+'LINEST VARS'!$S$48*($B24)+'LINEST VARS'!$R$48*(4)+'LINEST VARS'!$Q$48*(0.5)+'LINEST VARS'!$P$48*(12.73)+'LINEST VARS'!$O$48*($K$8^2)+'LINEST VARS'!$N$48*($B24^2)+'LINEST VARS'!$M$48*(4^2)+'LINEST VARS'!$L$48*(0.5^2)+'LINEST VARS'!$K$48*(12.73^2)+'LINEST VARS'!$J$48*($K$8*$B24)+'LINEST VARS'!$I$48*($K$8*4)+'LINEST VARS'!$H$48*($K$8*0.5)+'LINEST VARS'!$G$48*($K$8*12.73)+'LINEST VARS'!$F$48*($B24*4)+'LINEST VARS'!$E$48*($B24*0.5)+'LINEST VARS'!$D$48*($B24*12.73)+'LINEST VARS'!$C$48*(4*0.5)+'LINEST VARS'!$B$48*(4*12.73)+'LINEST VARS'!$A$48*(0.5*12.73)</f>
        <v>361.13199999999989</v>
      </c>
      <c r="L24" s="46">
        <f>'LINEST VARS'!$U$48+'LINEST VARS'!$T$48*($L$8)+'LINEST VARS'!$S$48*($B24)+'LINEST VARS'!$R$48*(4)+'LINEST VARS'!$Q$48*(0.5)+'LINEST VARS'!$P$48*(12.73)+'LINEST VARS'!$O$48*($L$8^2)+'LINEST VARS'!$N$48*($B24^2)+'LINEST VARS'!$M$48*(4^2)+'LINEST VARS'!$L$48*(0.5^2)+'LINEST VARS'!$K$48*(12.73^2)+'LINEST VARS'!$J$48*($L$8*$B24)+'LINEST VARS'!$I$48*($L$8*4)+'LINEST VARS'!$H$48*($L$8*0.5)+'LINEST VARS'!$G$48*($L$8*12.73)+'LINEST VARS'!$F$48*($B24*4)+'LINEST VARS'!$E$48*($B24*0.5)+'LINEST VARS'!$D$48*($B24*12.73)+'LINEST VARS'!$C$48*(4*0.5)+'LINEST VARS'!$B$48*(4*12.73)+'LINEST VARS'!$A$48*(0.5*12.73)</f>
        <v>365.99799999999988</v>
      </c>
      <c r="M24" s="46">
        <f>'LINEST VARS'!$U$48+'LINEST VARS'!$T$48*($M$8)+'LINEST VARS'!$S$48*($B24)+'LINEST VARS'!$R$48*(4)+'LINEST VARS'!$Q$48*(0.5)+'LINEST VARS'!$P$48*(12.73)+'LINEST VARS'!$O$48*($M$8^2)+'LINEST VARS'!$N$48*($B24^2)+'LINEST VARS'!$M$48*(4^2)+'LINEST VARS'!$L$48*(0.5^2)+'LINEST VARS'!$K$48*(12.73^2)+'LINEST VARS'!$J$48*($M$8*$B24)+'LINEST VARS'!$I$48*($M$8*4)+'LINEST VARS'!$H$48*($M$8*0.5)+'LINEST VARS'!$G$48*($M$8*12.73)+'LINEST VARS'!$F$48*($B24*4)+'LINEST VARS'!$E$48*($B24*0.5)+'LINEST VARS'!$D$48*($B24*12.73)+'LINEST VARS'!$C$48*(4*0.5)+'LINEST VARS'!$B$48*(4*12.73)+'LINEST VARS'!$A$48*(0.5*12.73)</f>
        <v>370.89999999999981</v>
      </c>
      <c r="N24" s="46">
        <f>'LINEST VARS'!$U$48+'LINEST VARS'!$T$48*($N$8)+'LINEST VARS'!$S$48*($B24)+'LINEST VARS'!$R$48*(4)+'LINEST VARS'!$Q$48*(0.5)+'LINEST VARS'!$P$48*(12.73)+'LINEST VARS'!$O$48*($N$8^2)+'LINEST VARS'!$N$48*($B24^2)+'LINEST VARS'!$M$48*(4^2)+'LINEST VARS'!$L$48*(0.5^2)+'LINEST VARS'!$K$48*(12.73^2)+'LINEST VARS'!$J$48*($N$8*$B24)+'LINEST VARS'!$I$48*($N$8*4)+'LINEST VARS'!$H$48*($N$8*0.5)+'LINEST VARS'!$G$48*($N$8*12.73)+'LINEST VARS'!$F$48*($B24*4)+'LINEST VARS'!$E$48*($B24*0.5)+'LINEST VARS'!$D$48*($B24*12.73)+'LINEST VARS'!$C$48*(4*0.5)+'LINEST VARS'!$B$48*(4*12.73)+'LINEST VARS'!$A$48*(0.5*12.73)</f>
        <v>375.83799999999985</v>
      </c>
      <c r="O24" s="46">
        <f>'LINEST VARS'!$U$48+'LINEST VARS'!$T$48*($O$8)+'LINEST VARS'!$S$48*($B24)+'LINEST VARS'!$R$48*(4)+'LINEST VARS'!$Q$48*(0.5)+'LINEST VARS'!$P$48*(12.73)+'LINEST VARS'!$O$48*($O$8^2)+'LINEST VARS'!$N$48*($B24^2)+'LINEST VARS'!$M$48*(4^2)+'LINEST VARS'!$L$48*(0.5^2)+'LINEST VARS'!$K$48*(12.73^2)+'LINEST VARS'!$J$48*($O$8*$B24)+'LINEST VARS'!$I$48*($O$8*4)+'LINEST VARS'!$H$48*($O$8*0.5)+'LINEST VARS'!$G$48*($O$8*12.73)+'LINEST VARS'!$F$48*($B24*4)+'LINEST VARS'!$E$48*($B24*0.5)+'LINEST VARS'!$D$48*($B24*12.73)+'LINEST VARS'!$C$48*(4*0.5)+'LINEST VARS'!$B$48*(4*12.73)+'LINEST VARS'!$A$48*(0.5*12.73)</f>
        <v>380.81199999999973</v>
      </c>
      <c r="P24" s="46">
        <f>'LINEST VARS'!$U$48+'LINEST VARS'!$T$48*($P$8)+'LINEST VARS'!$S$48*($B24)+'LINEST VARS'!$R$48*(4)+'LINEST VARS'!$Q$48*(0.5)+'LINEST VARS'!$P$48*(12.73)+'LINEST VARS'!$O$48*($P$8^2)+'LINEST VARS'!$N$48*($B24^2)+'LINEST VARS'!$M$48*(4^2)+'LINEST VARS'!$L$48*(0.5^2)+'LINEST VARS'!$K$48*(12.73^2)+'LINEST VARS'!$J$48*($P$8*$B24)+'LINEST VARS'!$I$48*($P$8*4)+'LINEST VARS'!$H$48*($P$8*0.5)+'LINEST VARS'!$G$48*($P$8*12.73)+'LINEST VARS'!$F$48*($B24*4)+'LINEST VARS'!$E$48*($B24*0.5)+'LINEST VARS'!$D$48*($B24*12.73)+'LINEST VARS'!$C$48*(4*0.5)+'LINEST VARS'!$B$48*(4*12.73)+'LINEST VARS'!$A$48*(0.5*12.73)</f>
        <v>385.82199999999972</v>
      </c>
      <c r="Q24" s="46">
        <f>'LINEST VARS'!$U$48+'LINEST VARS'!$T$48*($Q$8)+'LINEST VARS'!$S$48*($B24)+'LINEST VARS'!$R$48*(4)+'LINEST VARS'!$Q$48*(0.5)+'LINEST VARS'!$P$48*(12.73)+'LINEST VARS'!$O$48*($Q$8^2)+'LINEST VARS'!$N$48*($B24^2)+'LINEST VARS'!$M$48*(4^2)+'LINEST VARS'!$L$48*(0.5^2)+'LINEST VARS'!$K$48*(12.73^2)+'LINEST VARS'!$J$48*($Q$8*$B24)+'LINEST VARS'!$I$48*($Q$8*4)+'LINEST VARS'!$H$48*($Q$8*0.5)+'LINEST VARS'!$G$48*($Q$8*12.73)+'LINEST VARS'!$F$48*($B24*4)+'LINEST VARS'!$E$48*($B24*0.5)+'LINEST VARS'!$D$48*($B24*12.73)+'LINEST VARS'!$C$48*(4*0.5)+'LINEST VARS'!$B$48*(4*12.73)+'LINEST VARS'!$A$48*(0.5*12.73)</f>
        <v>390.86799999999977</v>
      </c>
      <c r="R24" s="46">
        <f>'LINEST VARS'!$U$48+'LINEST VARS'!$T$48*($R$8)+'LINEST VARS'!$S$48*($B24)+'LINEST VARS'!$R$48*(4)+'LINEST VARS'!$Q$48*(0.5)+'LINEST VARS'!$P$48*(12.73)+'LINEST VARS'!$O$48*($R$8^2)+'LINEST VARS'!$N$48*($B24^2)+'LINEST VARS'!$M$48*(4^2)+'LINEST VARS'!$L$48*(0.5^2)+'LINEST VARS'!$K$48*(12.73^2)+'LINEST VARS'!$J$48*($R$8*$B24)+'LINEST VARS'!$I$48*($R$8*4)+'LINEST VARS'!$H$48*($R$8*0.5)+'LINEST VARS'!$G$48*($R$8*12.73)+'LINEST VARS'!$F$48*($B24*4)+'LINEST VARS'!$E$48*($B24*0.5)+'LINEST VARS'!$D$48*($B24*12.73)+'LINEST VARS'!$C$48*(4*0.5)+'LINEST VARS'!$B$48*(4*12.73)+'LINEST VARS'!$A$48*(0.5*12.73)</f>
        <v>395.94999999999987</v>
      </c>
      <c r="S24" s="46">
        <f>'LINEST VARS'!$U$48+'LINEST VARS'!$T$48*($S$8)+'LINEST VARS'!$S$48*($B24)+'LINEST VARS'!$R$48*(4)+'LINEST VARS'!$Q$48*(0.5)+'LINEST VARS'!$P$48*(12.73)+'LINEST VARS'!$O$48*($S$8^2)+'LINEST VARS'!$N$48*($B24^2)+'LINEST VARS'!$M$48*(4^2)+'LINEST VARS'!$L$48*(0.5^2)+'LINEST VARS'!$K$48*(12.73^2)+'LINEST VARS'!$J$48*($S$8*$B24)+'LINEST VARS'!$I$48*($S$8*4)+'LINEST VARS'!$H$48*($S$8*0.5)+'LINEST VARS'!$G$48*($S$8*12.73)+'LINEST VARS'!$F$48*($B24*4)+'LINEST VARS'!$E$48*($B24*0.5)+'LINEST VARS'!$D$48*($B24*12.73)+'LINEST VARS'!$C$48*(4*0.5)+'LINEST VARS'!$B$48*(4*12.73)+'LINEST VARS'!$A$48*(0.5*12.73)</f>
        <v>401.06799999999976</v>
      </c>
      <c r="T24" s="46">
        <f>'LINEST VARS'!$U$48+'LINEST VARS'!$T$48*($T$8)+'LINEST VARS'!$S$48*($B24)+'LINEST VARS'!$R$48*(4)+'LINEST VARS'!$Q$48*(0.5)+'LINEST VARS'!$P$48*(12.73)+'LINEST VARS'!$O$48*($T$8^2)+'LINEST VARS'!$N$48*($B24^2)+'LINEST VARS'!$M$48*(4^2)+'LINEST VARS'!$L$48*(0.5^2)+'LINEST VARS'!$K$48*(12.73^2)+'LINEST VARS'!$J$48*($T$8*$B24)+'LINEST VARS'!$I$48*($T$8*4)+'LINEST VARS'!$H$48*($T$8*0.5)+'LINEST VARS'!$G$48*($T$8*12.73)+'LINEST VARS'!$F$48*($B24*4)+'LINEST VARS'!$E$48*($B24*0.5)+'LINEST VARS'!$D$48*($B24*12.73)+'LINEST VARS'!$C$48*(4*0.5)+'LINEST VARS'!$B$48*(4*12.73)+'LINEST VARS'!$A$48*(0.5*12.73)</f>
        <v>406.22199999999981</v>
      </c>
      <c r="U24" s="46">
        <f>'LINEST VARS'!$U$48+'LINEST VARS'!$T$48*($U$8)+'LINEST VARS'!$S$48*($B24)+'LINEST VARS'!$R$48*(4)+'LINEST VARS'!$Q$48*(0.5)+'LINEST VARS'!$P$48*(12.73)+'LINEST VARS'!$O$48*($U$8^2)+'LINEST VARS'!$N$48*($B24^2)+'LINEST VARS'!$M$48*(4^2)+'LINEST VARS'!$L$48*(0.5^2)+'LINEST VARS'!$K$48*(12.73^2)+'LINEST VARS'!$J$48*($U$8*$B24)+'LINEST VARS'!$I$48*($U$8*4)+'LINEST VARS'!$H$48*($U$8*0.5)+'LINEST VARS'!$G$48*($U$8*12.73)+'LINEST VARS'!$F$48*($B24*4)+'LINEST VARS'!$E$48*($B24*0.5)+'LINEST VARS'!$D$48*($B24*12.73)+'LINEST VARS'!$C$48*(4*0.5)+'LINEST VARS'!$B$48*(4*12.73)+'LINEST VARS'!$A$48*(0.5*12.73)</f>
        <v>411.41199999999992</v>
      </c>
      <c r="V24" s="46">
        <f>'LINEST VARS'!$U$48+'LINEST VARS'!$T$48*($V$8)+'LINEST VARS'!$S$48*($B24)+'LINEST VARS'!$R$48*(4)+'LINEST VARS'!$Q$48*(0.5)+'LINEST VARS'!$P$48*(12.73)+'LINEST VARS'!$O$48*($V$8^2)+'LINEST VARS'!$N$48*($B24^2)+'LINEST VARS'!$M$48*(4^2)+'LINEST VARS'!$L$48*(0.5^2)+'LINEST VARS'!$K$48*(12.73^2)+'LINEST VARS'!$J$48*($V$8*$B24)+'LINEST VARS'!$I$48*($V$8*4)+'LINEST VARS'!$H$48*($V$8*0.5)+'LINEST VARS'!$G$48*($V$8*12.73)+'LINEST VARS'!$F$48*($B24*4)+'LINEST VARS'!$E$48*($B24*0.5)+'LINEST VARS'!$D$48*($B24*12.73)+'LINEST VARS'!$C$48*(4*0.5)+'LINEST VARS'!$B$48*(4*12.73)+'LINEST VARS'!$A$48*(0.5*12.73)</f>
        <v>416.63799999999981</v>
      </c>
      <c r="W24" s="47">
        <f>'LINEST VARS'!$U$48+'LINEST VARS'!$T$48*($W$8)+'LINEST VARS'!$S$48*($B24)+'LINEST VARS'!$R$48*(4)+'LINEST VARS'!$Q$48*(0.5)+'LINEST VARS'!$P$48*(12.73)+'LINEST VARS'!$O$48*($W$8^2)+'LINEST VARS'!$N$48*($B24^2)+'LINEST VARS'!$M$48*(4^2)+'LINEST VARS'!$L$48*(0.5^2)+'LINEST VARS'!$K$48*(12.73^2)+'LINEST VARS'!$J$48*($W$8*$B24)+'LINEST VARS'!$I$48*($W$8*4)+'LINEST VARS'!$H$48*($W$8*0.5)+'LINEST VARS'!$G$48*($W$8*12.73)+'LINEST VARS'!$F$48*($B24*4)+'LINEST VARS'!$E$48*($B24*0.5)+'LINEST VARS'!$D$48*($B24*12.73)+'LINEST VARS'!$C$48*(4*0.5)+'LINEST VARS'!$B$48*(4*12.73)+'LINEST VARS'!$A$48*(0.5*12.73)</f>
        <v>421.89999999999975</v>
      </c>
      <c r="Z24" s="45">
        <v>8.3000000000000007</v>
      </c>
      <c r="AA24" s="46">
        <f>'LINEST VARS'!$U$50+'LINEST VARS'!$T$50*($AA$8)+'LINEST VARS'!$S$50*($Z24)+'LINEST VARS'!$R$50*(4)+'LINEST VARS'!$Q$50*(0.5)+'LINEST VARS'!$P$50*(12.73)+'LINEST VARS'!$O$50*($AA$8^2)+'LINEST VARS'!$N$50*($Z24^2)+'LINEST VARS'!$M$50*(4^2)+'LINEST VARS'!$L$50*(0.5^2)+'LINEST VARS'!$K$50*(12.73^2)+'LINEST VARS'!$J$50*($AA$8*$Z24)+'LINEST VARS'!$I$50*($AA$8*4)+'LINEST VARS'!$H$50*($AA$8*0.5)+'LINEST VARS'!$G$50*($AA$8*12.73)+'LINEST VARS'!$F$50*($Z24*4)+'LINEST VARS'!$E$50*($Z24*0.5)+'LINEST VARS'!$D$50*($Z24*12.73)+'LINEST VARS'!$C$50*(4*0.5)+'LINEST VARS'!$B$50*(4*12.73)+'LINEST VARS'!$A$50*(0.5*12.73)</f>
        <v>331.84999999999991</v>
      </c>
      <c r="AB24" s="46">
        <f>'LINEST VARS'!$U$50+'LINEST VARS'!$T$50*($AB$8)+'LINEST VARS'!$S$50*($Z24)+'LINEST VARS'!$R$50*(4)+'LINEST VARS'!$Q$50*(0.5)+'LINEST VARS'!$P$50*(12.73)+'LINEST VARS'!$O$50*($AB$8^2)+'LINEST VARS'!$N$50*($Z24^2)+'LINEST VARS'!$M$50*(4^2)+'LINEST VARS'!$L$50*(0.5^2)+'LINEST VARS'!$K$50*(12.73^2)+'LINEST VARS'!$J$50*($AB$8*$Z24)+'LINEST VARS'!$I$50*($AB$8*4)+'LINEST VARS'!$H$50*($AB$8*0.5)+'LINEST VARS'!$G$50*($AB$8*12.73)+'LINEST VARS'!$F$50*($Z24*4)+'LINEST VARS'!$E$50*($Z24*0.5)+'LINEST VARS'!$D$50*($Z24*12.73)+'LINEST VARS'!$C$50*(4*0.5)+'LINEST VARS'!$B$50*(4*12.73)+'LINEST VARS'!$A$50*(0.5*12.73)</f>
        <v>331.93999999999988</v>
      </c>
      <c r="AC24" s="46">
        <f>'LINEST VARS'!$U$50+'LINEST VARS'!$T$50*($AC$8)+'LINEST VARS'!$S$50*($Z24)+'LINEST VARS'!$R$50*(4)+'LINEST VARS'!$Q$50*(0.5)+'LINEST VARS'!$P$50*(12.73)+'LINEST VARS'!$O$50*($AC$8^2)+'LINEST VARS'!$N$50*($Z24^2)+'LINEST VARS'!$M$50*(4^2)+'LINEST VARS'!$L$50*(0.5^2)+'LINEST VARS'!$K$50*(12.73^2)+'LINEST VARS'!$J$50*($AC$8*$Z24)+'LINEST VARS'!$I$50*($AC$8*4)+'LINEST VARS'!$H$50*($AC$8*0.5)+'LINEST VARS'!$G$50*($AC$8*12.73)+'LINEST VARS'!$F$50*($Z24*4)+'LINEST VARS'!$E$50*($Z24*0.5)+'LINEST VARS'!$D$50*($Z24*12.73)+'LINEST VARS'!$C$50*(4*0.5)+'LINEST VARS'!$B$50*(4*12.73)+'LINEST VARS'!$A$50*(0.5*12.73)</f>
        <v>332.02999999999992</v>
      </c>
      <c r="AD24" s="46">
        <f>'LINEST VARS'!$U$50+'LINEST VARS'!$T$50*($AD$8)+'LINEST VARS'!$S$50*($Z24)+'LINEST VARS'!$R$50*(4)+'LINEST VARS'!$Q$50*(0.5)+'LINEST VARS'!$P$50*(12.73)+'LINEST VARS'!$O$50*($AD$8^2)+'LINEST VARS'!$N$50*($Z24^2)+'LINEST VARS'!$M$50*(4^2)+'LINEST VARS'!$L$50*(0.5^2)+'LINEST VARS'!$K$50*(12.73^2)+'LINEST VARS'!$J$50*($AD$8*$Z24)+'LINEST VARS'!$I$50*($AD$8*4)+'LINEST VARS'!$H$50*($AD$8*0.5)+'LINEST VARS'!$G$50*($AD$8*12.73)+'LINEST VARS'!$F$50*($Z24*4)+'LINEST VARS'!$E$50*($Z24*0.5)+'LINEST VARS'!$D$50*($Z24*12.73)+'LINEST VARS'!$C$50*(4*0.5)+'LINEST VARS'!$B$50*(4*12.73)+'LINEST VARS'!$A$50*(0.5*12.73)</f>
        <v>332.11999999999989</v>
      </c>
      <c r="AE24" s="46">
        <f>'LINEST VARS'!$U$50+'LINEST VARS'!$T$50*($AE$8)+'LINEST VARS'!$S$50*($Z24)+'LINEST VARS'!$R$50*(4)+'LINEST VARS'!$Q$50*(0.5)+'LINEST VARS'!$P$50*(12.73)+'LINEST VARS'!$O$50*($AE$8^2)+'LINEST VARS'!$N$50*($Z24^2)+'LINEST VARS'!$M$50*(4^2)+'LINEST VARS'!$L$50*(0.5^2)+'LINEST VARS'!$K$50*(12.73^2)+'LINEST VARS'!$J$50*($AE$8*$Z24)+'LINEST VARS'!$I$50*($AE$8*4)+'LINEST VARS'!$H$50*($AE$8*0.5)+'LINEST VARS'!$G$50*($AE$8*12.73)+'LINEST VARS'!$F$50*($Z24*4)+'LINEST VARS'!$E$50*($Z24*0.5)+'LINEST VARS'!$D$50*($Z24*12.73)+'LINEST VARS'!$C$50*(4*0.5)+'LINEST VARS'!$B$50*(4*12.73)+'LINEST VARS'!$A$50*(0.5*12.73)</f>
        <v>332.20999999999987</v>
      </c>
      <c r="AF24" s="46">
        <f>'LINEST VARS'!$U$50+'LINEST VARS'!$T$50*($AF$8)+'LINEST VARS'!$S$50*($Z24)+'LINEST VARS'!$R$50*(4)+'LINEST VARS'!$Q$50*(0.5)+'LINEST VARS'!$P$50*(12.73)+'LINEST VARS'!$O$50*($AF$8^2)+'LINEST VARS'!$N$50*($Z24^2)+'LINEST VARS'!$M$50*(4^2)+'LINEST VARS'!$L$50*(0.5^2)+'LINEST VARS'!$K$50*(12.73^2)+'LINEST VARS'!$J$50*($AF$8*$Z24)+'LINEST VARS'!$I$50*($AF$8*4)+'LINEST VARS'!$H$50*($AF$8*0.5)+'LINEST VARS'!$G$50*($AF$8*12.73)+'LINEST VARS'!$F$50*($Z24*4)+'LINEST VARS'!$E$50*($Z24*0.5)+'LINEST VARS'!$D$50*($Z24*12.73)+'LINEST VARS'!$C$50*(4*0.5)+'LINEST VARS'!$B$50*(4*12.73)+'LINEST VARS'!$A$50*(0.5*12.73)</f>
        <v>332.2999999999999</v>
      </c>
      <c r="AG24" s="46">
        <f>'LINEST VARS'!$U$50+'LINEST VARS'!$T$50*($AG$8)+'LINEST VARS'!$S$50*($Z24)+'LINEST VARS'!$R$50*(4)+'LINEST VARS'!$Q$50*(0.5)+'LINEST VARS'!$P$50*(12.73)+'LINEST VARS'!$O$50*($AG$8^2)+'LINEST VARS'!$N$50*($Z24^2)+'LINEST VARS'!$M$50*(4^2)+'LINEST VARS'!$L$50*(0.5^2)+'LINEST VARS'!$K$50*(12.73^2)+'LINEST VARS'!$J$50*($AG$8*$Z24)+'LINEST VARS'!$I$50*($AG$8*4)+'LINEST VARS'!$H$50*($AG$8*0.5)+'LINEST VARS'!$G$50*($AG$8*12.73)+'LINEST VARS'!$F$50*($Z24*4)+'LINEST VARS'!$E$50*($Z24*0.5)+'LINEST VARS'!$D$50*($Z24*12.73)+'LINEST VARS'!$C$50*(4*0.5)+'LINEST VARS'!$B$50*(4*12.73)+'LINEST VARS'!$A$50*(0.5*12.73)</f>
        <v>332.38999999999987</v>
      </c>
      <c r="AH24" s="46">
        <f>'LINEST VARS'!$U$50+'LINEST VARS'!$T$50*($AH$8)+'LINEST VARS'!$S$50*($Z24)+'LINEST VARS'!$R$50*(4)+'LINEST VARS'!$Q$50*(0.5)+'LINEST VARS'!$P$50*(12.73)+'LINEST VARS'!$O$50*($AH$8^2)+'LINEST VARS'!$N$50*($Z24^2)+'LINEST VARS'!$M$50*(4^2)+'LINEST VARS'!$L$50*(0.5^2)+'LINEST VARS'!$K$50*(12.73^2)+'LINEST VARS'!$J$50*($AH$8*$Z24)+'LINEST VARS'!$I$50*($AH$8*4)+'LINEST VARS'!$H$50*($AH$8*0.5)+'LINEST VARS'!$G$50*($AH$8*12.73)+'LINEST VARS'!$F$50*($Z24*4)+'LINEST VARS'!$E$50*($Z24*0.5)+'LINEST VARS'!$D$50*($Z24*12.73)+'LINEST VARS'!$C$50*(4*0.5)+'LINEST VARS'!$B$50*(4*12.73)+'LINEST VARS'!$A$50*(0.5*12.73)</f>
        <v>332.4799999999999</v>
      </c>
      <c r="AI24" s="46">
        <f>'LINEST VARS'!$U$50+'LINEST VARS'!$T$50*($AI$8)+'LINEST VARS'!$S$50*($Z24)+'LINEST VARS'!$R$50*(4)+'LINEST VARS'!$Q$50*(0.5)+'LINEST VARS'!$P$50*(12.73)+'LINEST VARS'!$O$50*($AI$8^2)+'LINEST VARS'!$N$50*($Z24^2)+'LINEST VARS'!$M$50*(4^2)+'LINEST VARS'!$L$50*(0.5^2)+'LINEST VARS'!$K$50*(12.73^2)+'LINEST VARS'!$J$50*($AI$8*$Z24)+'LINEST VARS'!$I$50*($AI$8*4)+'LINEST VARS'!$H$50*($AI$8*0.5)+'LINEST VARS'!$G$50*($AI$8*12.73)+'LINEST VARS'!$F$50*($Z24*4)+'LINEST VARS'!$E$50*($Z24*0.5)+'LINEST VARS'!$D$50*($Z24*12.73)+'LINEST VARS'!$C$50*(4*0.5)+'LINEST VARS'!$B$50*(4*12.73)+'LINEST VARS'!$A$50*(0.5*12.73)</f>
        <v>332.56999999999988</v>
      </c>
      <c r="AJ24" s="46">
        <f>'LINEST VARS'!$U$50+'LINEST VARS'!$T$50*($AJ$8)+'LINEST VARS'!$S$50*($Z24)+'LINEST VARS'!$R$50*(4)+'LINEST VARS'!$Q$50*(0.5)+'LINEST VARS'!$P$50*(12.73)+'LINEST VARS'!$O$50*($AJ$8^2)+'LINEST VARS'!$N$50*($Z24^2)+'LINEST VARS'!$M$50*(4^2)+'LINEST VARS'!$L$50*(0.5^2)+'LINEST VARS'!$K$50*(12.73^2)+'LINEST VARS'!$J$50*($AJ$8*$Z24)+'LINEST VARS'!$I$50*($AJ$8*4)+'LINEST VARS'!$H$50*($AJ$8*0.5)+'LINEST VARS'!$G$50*($AJ$8*12.73)+'LINEST VARS'!$F$50*($Z24*4)+'LINEST VARS'!$E$50*($Z24*0.5)+'LINEST VARS'!$D$50*($Z24*12.73)+'LINEST VARS'!$C$50*(4*0.5)+'LINEST VARS'!$B$50*(4*12.73)+'LINEST VARS'!$A$50*(0.5*12.73)</f>
        <v>332.65999999999991</v>
      </c>
      <c r="AK24" s="46">
        <f>'LINEST VARS'!$U$50+'LINEST VARS'!$T$50*($AK$8)+'LINEST VARS'!$S$50*($Z24)+'LINEST VARS'!$R$50*(4)+'LINEST VARS'!$Q$50*(0.5)+'LINEST VARS'!$P$50*(12.73)+'LINEST VARS'!$O$50*($AK$8^2)+'LINEST VARS'!$N$50*($Z24^2)+'LINEST VARS'!$M$50*(4^2)+'LINEST VARS'!$L$50*(0.5^2)+'LINEST VARS'!$K$50*(12.73^2)+'LINEST VARS'!$J$50*($AK$8*$Z24)+'LINEST VARS'!$I$50*($AK$8*4)+'LINEST VARS'!$H$50*($AK$8*0.5)+'LINEST VARS'!$G$50*($AK$8*12.73)+'LINEST VARS'!$F$50*($Z24*4)+'LINEST VARS'!$E$50*($Z24*0.5)+'LINEST VARS'!$D$50*($Z24*12.73)+'LINEST VARS'!$C$50*(4*0.5)+'LINEST VARS'!$B$50*(4*12.73)+'LINEST VARS'!$A$50*(0.5*12.73)</f>
        <v>332.74999999999989</v>
      </c>
      <c r="AL24" s="46">
        <f>'LINEST VARS'!$U$50+'LINEST VARS'!$T$50*($AL$8)+'LINEST VARS'!$S$50*($Z24)+'LINEST VARS'!$R$50*(4)+'LINEST VARS'!$Q$50*(0.5)+'LINEST VARS'!$P$50*(12.73)+'LINEST VARS'!$O$50*($AL$8^2)+'LINEST VARS'!$N$50*($Z24^2)+'LINEST VARS'!$M$50*(4^2)+'LINEST VARS'!$L$50*(0.5^2)+'LINEST VARS'!$K$50*(12.73^2)+'LINEST VARS'!$J$50*($AL$8*$Z24)+'LINEST VARS'!$I$50*($AL$8*4)+'LINEST VARS'!$H$50*($AL$8*0.5)+'LINEST VARS'!$G$50*($AL$8*12.73)+'LINEST VARS'!$F$50*($Z24*4)+'LINEST VARS'!$E$50*($Z24*0.5)+'LINEST VARS'!$D$50*($Z24*12.73)+'LINEST VARS'!$C$50*(4*0.5)+'LINEST VARS'!$B$50*(4*12.73)+'LINEST VARS'!$A$50*(0.5*12.73)</f>
        <v>332.83999999999986</v>
      </c>
      <c r="AM24" s="46">
        <f>'LINEST VARS'!$U$50+'LINEST VARS'!$T$50*($AM$8)+'LINEST VARS'!$S$50*($Z24)+'LINEST VARS'!$R$50*(4)+'LINEST VARS'!$Q$50*(0.5)+'LINEST VARS'!$P$50*(12.73)+'LINEST VARS'!$O$50*($AM$8^2)+'LINEST VARS'!$N$50*($Z24^2)+'LINEST VARS'!$M$50*(4^2)+'LINEST VARS'!$L$50*(0.5^2)+'LINEST VARS'!$K$50*(12.73^2)+'LINEST VARS'!$J$50*($AM$8*$Z24)+'LINEST VARS'!$I$50*($AM$8*4)+'LINEST VARS'!$H$50*($AM$8*0.5)+'LINEST VARS'!$G$50*($AM$8*12.73)+'LINEST VARS'!$F$50*($Z24*4)+'LINEST VARS'!$E$50*($Z24*0.5)+'LINEST VARS'!$D$50*($Z24*12.73)+'LINEST VARS'!$C$50*(4*0.5)+'LINEST VARS'!$B$50*(4*12.73)+'LINEST VARS'!$A$50*(0.5*12.73)</f>
        <v>332.92999999999989</v>
      </c>
      <c r="AN24" s="46">
        <f>'LINEST VARS'!$U$50+'LINEST VARS'!$T$50*($AN$8)+'LINEST VARS'!$S$50*($Z24)+'LINEST VARS'!$R$50*(4)+'LINEST VARS'!$Q$50*(0.5)+'LINEST VARS'!$P$50*(12.73)+'LINEST VARS'!$O$50*($AN$8^2)+'LINEST VARS'!$N$50*($Z24^2)+'LINEST VARS'!$M$50*(4^2)+'LINEST VARS'!$L$50*(0.5^2)+'LINEST VARS'!$K$50*(12.73^2)+'LINEST VARS'!$J$50*($AN$8*$Z24)+'LINEST VARS'!$I$50*($AN$8*4)+'LINEST VARS'!$H$50*($AN$8*0.5)+'LINEST VARS'!$G$50*($AN$8*12.73)+'LINEST VARS'!$F$50*($Z24*4)+'LINEST VARS'!$E$50*($Z24*0.5)+'LINEST VARS'!$D$50*($Z24*12.73)+'LINEST VARS'!$C$50*(4*0.5)+'LINEST VARS'!$B$50*(4*12.73)+'LINEST VARS'!$A$50*(0.5*12.73)</f>
        <v>333.01999999999987</v>
      </c>
      <c r="AO24" s="46">
        <f>'LINEST VARS'!$U$50+'LINEST VARS'!$T$50*($AO$8)+'LINEST VARS'!$S$50*($Z24)+'LINEST VARS'!$R$50*(4)+'LINEST VARS'!$Q$50*(0.5)+'LINEST VARS'!$P$50*(12.73)+'LINEST VARS'!$O$50*($AO$8^2)+'LINEST VARS'!$N$50*($Z24^2)+'LINEST VARS'!$M$50*(4^2)+'LINEST VARS'!$L$50*(0.5^2)+'LINEST VARS'!$K$50*(12.73^2)+'LINEST VARS'!$J$50*($AO$8*$Z24)+'LINEST VARS'!$I$50*($AO$8*4)+'LINEST VARS'!$H$50*($AO$8*0.5)+'LINEST VARS'!$G$50*($AO$8*12.73)+'LINEST VARS'!$F$50*($Z24*4)+'LINEST VARS'!$E$50*($Z24*0.5)+'LINEST VARS'!$D$50*($Z24*12.73)+'LINEST VARS'!$C$50*(4*0.5)+'LINEST VARS'!$B$50*(4*12.73)+'LINEST VARS'!$A$50*(0.5*12.73)</f>
        <v>333.1099999999999</v>
      </c>
      <c r="AP24" s="46">
        <f>'LINEST VARS'!$U$50+'LINEST VARS'!$T$50*($AP$8)+'LINEST VARS'!$S$50*($Z24)+'LINEST VARS'!$R$50*(4)+'LINEST VARS'!$Q$50*(0.5)+'LINEST VARS'!$P$50*(12.73)+'LINEST VARS'!$O$50*($AP$8^2)+'LINEST VARS'!$N$50*($Z24^2)+'LINEST VARS'!$M$50*(4^2)+'LINEST VARS'!$L$50*(0.5^2)+'LINEST VARS'!$K$50*(12.73^2)+'LINEST VARS'!$J$50*($AP$8*$Z24)+'LINEST VARS'!$I$50*($AP$8*4)+'LINEST VARS'!$H$50*($AP$8*0.5)+'LINEST VARS'!$G$50*($AP$8*12.73)+'LINEST VARS'!$F$50*($Z24*4)+'LINEST VARS'!$E$50*($Z24*0.5)+'LINEST VARS'!$D$50*($Z24*12.73)+'LINEST VARS'!$C$50*(4*0.5)+'LINEST VARS'!$B$50*(4*12.73)+'LINEST VARS'!$A$50*(0.5*12.73)</f>
        <v>333.19999999999987</v>
      </c>
      <c r="AQ24" s="46">
        <f>'LINEST VARS'!$U$50+'LINEST VARS'!$T$50*($AQ$8)+'LINEST VARS'!$S$50*($Z24)+'LINEST VARS'!$R$50*(4)+'LINEST VARS'!$Q$50*(0.5)+'LINEST VARS'!$P$50*(12.73)+'LINEST VARS'!$O$50*($AQ$8^2)+'LINEST VARS'!$N$50*($Z24^2)+'LINEST VARS'!$M$50*(4^2)+'LINEST VARS'!$L$50*(0.5^2)+'LINEST VARS'!$K$50*(12.73^2)+'LINEST VARS'!$J$50*($AQ$8*$Z24)+'LINEST VARS'!$I$50*($AQ$8*4)+'LINEST VARS'!$H$50*($AQ$8*0.5)+'LINEST VARS'!$G$50*($AQ$8*12.73)+'LINEST VARS'!$F$50*($Z24*4)+'LINEST VARS'!$E$50*($Z24*0.5)+'LINEST VARS'!$D$50*($Z24*12.73)+'LINEST VARS'!$C$50*(4*0.5)+'LINEST VARS'!$B$50*(4*12.73)+'LINEST VARS'!$A$50*(0.5*12.73)</f>
        <v>333.28999999999991</v>
      </c>
      <c r="AR24" s="46">
        <f>'LINEST VARS'!$U$50+'LINEST VARS'!$T$50*($AR$8)+'LINEST VARS'!$S$50*($Z24)+'LINEST VARS'!$R$50*(4)+'LINEST VARS'!$Q$50*(0.5)+'LINEST VARS'!$P$50*(12.73)+'LINEST VARS'!$O$50*($AR$8^2)+'LINEST VARS'!$N$50*($Z24^2)+'LINEST VARS'!$M$50*(4^2)+'LINEST VARS'!$L$50*(0.5^2)+'LINEST VARS'!$K$50*(12.73^2)+'LINEST VARS'!$J$50*($AR$8*$Z24)+'LINEST VARS'!$I$50*($AR$8*4)+'LINEST VARS'!$H$50*($AR$8*0.5)+'LINEST VARS'!$G$50*($AR$8*12.73)+'LINEST VARS'!$F$50*($Z24*4)+'LINEST VARS'!$E$50*($Z24*0.5)+'LINEST VARS'!$D$50*($Z24*12.73)+'LINEST VARS'!$C$50*(4*0.5)+'LINEST VARS'!$B$50*(4*12.73)+'LINEST VARS'!$A$50*(0.5*12.73)</f>
        <v>333.37999999999988</v>
      </c>
      <c r="AS24" s="46">
        <f>'LINEST VARS'!$U$50+'LINEST VARS'!$T$50*($AS$8)+'LINEST VARS'!$S$50*($Z24)+'LINEST VARS'!$R$50*(4)+'LINEST VARS'!$Q$50*(0.5)+'LINEST VARS'!$P$50*(12.73)+'LINEST VARS'!$O$50*($AS$8^2)+'LINEST VARS'!$N$50*($Z24^2)+'LINEST VARS'!$M$50*(4^2)+'LINEST VARS'!$L$50*(0.5^2)+'LINEST VARS'!$K$50*(12.73^2)+'LINEST VARS'!$J$50*($AS$8*$Z24)+'LINEST VARS'!$I$50*($AS$8*4)+'LINEST VARS'!$H$50*($AS$8*0.5)+'LINEST VARS'!$G$50*($AS$8*12.73)+'LINEST VARS'!$F$50*($Z24*4)+'LINEST VARS'!$E$50*($Z24*0.5)+'LINEST VARS'!$D$50*($Z24*12.73)+'LINEST VARS'!$C$50*(4*0.5)+'LINEST VARS'!$B$50*(4*12.73)+'LINEST VARS'!$A$50*(0.5*12.73)</f>
        <v>333.46999999999986</v>
      </c>
      <c r="AT24" s="46">
        <f>'LINEST VARS'!$U$50+'LINEST VARS'!$T$50*($AT$8)+'LINEST VARS'!$S$50*($Z24)+'LINEST VARS'!$R$50*(4)+'LINEST VARS'!$Q$50*(0.5)+'LINEST VARS'!$P$50*(12.73)+'LINEST VARS'!$O$50*($AT$8^2)+'LINEST VARS'!$N$50*($Z24^2)+'LINEST VARS'!$M$50*(4^2)+'LINEST VARS'!$L$50*(0.5^2)+'LINEST VARS'!$K$50*(12.73^2)+'LINEST VARS'!$J$50*($AT$8*$Z24)+'LINEST VARS'!$I$50*($AT$8*4)+'LINEST VARS'!$H$50*($AT$8*0.5)+'LINEST VARS'!$G$50*($AT$8*12.73)+'LINEST VARS'!$F$50*($Z24*4)+'LINEST VARS'!$E$50*($Z24*0.5)+'LINEST VARS'!$D$50*($Z24*12.73)+'LINEST VARS'!$C$50*(4*0.5)+'LINEST VARS'!$B$50*(4*12.73)+'LINEST VARS'!$A$50*(0.5*12.73)</f>
        <v>333.55999999999989</v>
      </c>
      <c r="AU24" s="47">
        <f>'LINEST VARS'!$U$50+'LINEST VARS'!$T$50*($AU$8)+'LINEST VARS'!$S$50*($Z24)+'LINEST VARS'!$R$50*(4)+'LINEST VARS'!$Q$50*(0.5)+'LINEST VARS'!$P$50*(12.73)+'LINEST VARS'!$O$50*($AU$8^2)+'LINEST VARS'!$N$50*($Z24^2)+'LINEST VARS'!$M$50*(4^2)+'LINEST VARS'!$L$50*(0.5^2)+'LINEST VARS'!$K$50*(12.73^2)+'LINEST VARS'!$J$50*($AU$8*$Z24)+'LINEST VARS'!$I$50*($AU$8*4)+'LINEST VARS'!$H$50*($AU$8*0.5)+'LINEST VARS'!$G$50*($AU$8*12.73)+'LINEST VARS'!$F$50*($Z24*4)+'LINEST VARS'!$E$50*($Z24*0.5)+'LINEST VARS'!$D$50*($Z24*12.73)+'LINEST VARS'!$C$50*(4*0.5)+'LINEST VARS'!$B$50*(4*12.73)+'LINEST VARS'!$A$50*(0.5*12.73)</f>
        <v>333.64999999999986</v>
      </c>
      <c r="AZ24" s="45">
        <v>0.75</v>
      </c>
      <c r="BA24" s="46">
        <f>'LINEST VARS'!$U$48+'LINEST VARS'!$T$48*(8)+'LINEST VARS'!$S$48*(8)+'LINEST VARS'!$R$48*($BA$8)+'LINEST VARS'!$Q$48*($AZ24)+'LINEST VARS'!$P$48*(12.73)+'LINEST VARS'!$O$48*(8^2)+'LINEST VARS'!$N$48*(8^2)+'LINEST VARS'!$M$48*($BA$8^2)+'LINEST VARS'!$L$48*($AZ24^2)+'LINEST VARS'!$K$48*(12.73^2)+'LINEST VARS'!$J$48*(8*8)+'LINEST VARS'!$I$48*(8*$BA$8)+'LINEST VARS'!$H$48*(8*$AZ24)+'LINEST VARS'!$G$48*(8*12.73)+'LINEST VARS'!$F$48*(8*$BA$8)+'LINEST VARS'!$E$48*(8*$AZ24)+'LINEST VARS'!$D$48*(8*12.73)+'LINEST VARS'!$C$48*($BA$8*$AZ24)+'LINEST VARS'!$B$48*($BA$8*12.73)+'LINEST VARS'!$A$48*($AZ24*12.73)</f>
        <v>369.99999999999989</v>
      </c>
      <c r="BB24" s="46">
        <f>'LINEST VARS'!$U$48+'LINEST VARS'!$T$48*(8)+'LINEST VARS'!$S$48*(8)+'LINEST VARS'!$R$48*($BB$8)+'LINEST VARS'!$Q$48*($AZ24)+'LINEST VARS'!$P$48*(12.73)+'LINEST VARS'!$O$48*(8^2)+'LINEST VARS'!$N$48*(8^2)+'LINEST VARS'!$M$48*($BB$8^2)+'LINEST VARS'!$L$48*($AZ24^2)+'LINEST VARS'!$K$48*(12.73^2)+'LINEST VARS'!$J$48*(8*8)+'LINEST VARS'!$I$48*(8*$BB$8)+'LINEST VARS'!$H$48*(8*$AZ24)+'LINEST VARS'!$G$48*(8*12.73)+'LINEST VARS'!$F$48*(8*$BB$8)+'LINEST VARS'!$E$48*(8*$AZ24)+'LINEST VARS'!$D$48*(8*12.73)+'LINEST VARS'!$C$48*($BB$8*$AZ24)+'LINEST VARS'!$B$48*($BB$8*12.73)+'LINEST VARS'!$A$48*($AZ24*12.73)</f>
        <v>369.99999999999989</v>
      </c>
      <c r="BC24" s="46">
        <f>'LINEST VARS'!$U$48+'LINEST VARS'!$T$48*(8)+'LINEST VARS'!$S$48*(8)+'LINEST VARS'!$R$48*($BC$8)+'LINEST VARS'!$Q$48*($AZ24)+'LINEST VARS'!$P$48*(12.73)+'LINEST VARS'!$O$48*(8^2)+'LINEST VARS'!$N$48*(8^2)+'LINEST VARS'!$M$48*($BC$8^2)+'LINEST VARS'!$L$48*($AZ24^2)+'LINEST VARS'!$K$48*(12.73^2)+'LINEST VARS'!$J$48*(8*8)+'LINEST VARS'!$I$48*(8*$BC$8)+'LINEST VARS'!$H$48*(8*$AZ24)+'LINEST VARS'!$G$48*(8*12.73)+'LINEST VARS'!$F$48*(8*$BC$8)+'LINEST VARS'!$E$48*(8*$AZ24)+'LINEST VARS'!$D$48*(8*12.73)+'LINEST VARS'!$C$48*($BC$8*$AZ24)+'LINEST VARS'!$B$48*($BC$8*12.73)+'LINEST VARS'!$A$48*($AZ24*12.73)</f>
        <v>369.99999999999989</v>
      </c>
      <c r="BD24" s="46">
        <f>'LINEST VARS'!$U$48+'LINEST VARS'!$T$48*(8)+'LINEST VARS'!$S$48*(8)+'LINEST VARS'!$R$48*($BD$8)+'LINEST VARS'!$Q$48*($AZ24)+'LINEST VARS'!$P$48*(12.73)+'LINEST VARS'!$O$48*(8^2)+'LINEST VARS'!$N$48*(8^2)+'LINEST VARS'!$M$48*($BD$8^2)+'LINEST VARS'!$L$48*($AZ24^2)+'LINEST VARS'!$K$48*(12.73^2)+'LINEST VARS'!$J$48*(8*8)+'LINEST VARS'!$I$48*(8*$BD$8)+'LINEST VARS'!$H$48*(8*$AZ24)+'LINEST VARS'!$G$48*(8*12.73)+'LINEST VARS'!$F$48*(8*$BD$8)+'LINEST VARS'!$E$48*(8*$AZ24)+'LINEST VARS'!$D$48*(8*12.73)+'LINEST VARS'!$C$48*($BD$8*$AZ24)+'LINEST VARS'!$B$48*($BD$8*12.73)+'LINEST VARS'!$A$48*($AZ24*12.73)</f>
        <v>369.99999999999989</v>
      </c>
      <c r="BE24" s="46">
        <f>'LINEST VARS'!$U$48+'LINEST VARS'!$T$48*(8)+'LINEST VARS'!$S$48*(8)+'LINEST VARS'!$R$48*($BE$8)+'LINEST VARS'!$Q$48*($AZ24)+'LINEST VARS'!$P$48*(12.73)+'LINEST VARS'!$O$48*(8^2)+'LINEST VARS'!$N$48*(8^2)+'LINEST VARS'!$M$48*($BE$8^2)+'LINEST VARS'!$L$48*($AZ24^2)+'LINEST VARS'!$K$48*(12.73^2)+'LINEST VARS'!$J$48*(8*8)+'LINEST VARS'!$I$48*(8*$BE$8)+'LINEST VARS'!$H$48*(8*$AZ24)+'LINEST VARS'!$G$48*(8*12.73)+'LINEST VARS'!$F$48*(8*$BE$8)+'LINEST VARS'!$E$48*(8*$AZ24)+'LINEST VARS'!$D$48*(8*12.73)+'LINEST VARS'!$C$48*($BE$8*$AZ24)+'LINEST VARS'!$B$48*($BE$8*12.73)+'LINEST VARS'!$A$48*($AZ24*12.73)</f>
        <v>369.99999999999989</v>
      </c>
      <c r="BF24" s="46">
        <f>'LINEST VARS'!$U$48+'LINEST VARS'!$T$48*(8)+'LINEST VARS'!$S$48*(8)+'LINEST VARS'!$R$48*($BF$8)+'LINEST VARS'!$Q$48*($AZ24)+'LINEST VARS'!$P$48*(12.73)+'LINEST VARS'!$O$48*(8^2)+'LINEST VARS'!$N$48*(8^2)+'LINEST VARS'!$M$48*($BF$8^2)+'LINEST VARS'!$L$48*($AZ24^2)+'LINEST VARS'!$K$48*(12.73^2)+'LINEST VARS'!$J$48*(8*8)+'LINEST VARS'!$I$48*(8*$BF$8)+'LINEST VARS'!$H$48*(8*$AZ24)+'LINEST VARS'!$G$48*(8*12.73)+'LINEST VARS'!$F$48*(8*$BF$8)+'LINEST VARS'!$E$48*(8*$AZ24)+'LINEST VARS'!$D$48*(8*12.73)+'LINEST VARS'!$C$48*($BF$8*$AZ24)+'LINEST VARS'!$B$48*($BF$8*12.73)+'LINEST VARS'!$A$48*($AZ24*12.73)</f>
        <v>369.99999999999989</v>
      </c>
      <c r="BG24" s="46">
        <f>'LINEST VARS'!$U$48+'LINEST VARS'!$T$48*(8)+'LINEST VARS'!$S$48*(8)+'LINEST VARS'!$R$48*($BG$8)+'LINEST VARS'!$Q$48*($AZ24)+'LINEST VARS'!$P$48*(12.73)+'LINEST VARS'!$O$48*(8^2)+'LINEST VARS'!$N$48*(8^2)+'LINEST VARS'!$M$48*($BG$8^2)+'LINEST VARS'!$L$48*($AZ24^2)+'LINEST VARS'!$K$48*(12.73^2)+'LINEST VARS'!$J$48*(8*8)+'LINEST VARS'!$I$48*(8*$BG$8)+'LINEST VARS'!$H$48*(8*$AZ24)+'LINEST VARS'!$G$48*(8*12.73)+'LINEST VARS'!$F$48*(8*$BG$8)+'LINEST VARS'!$E$48*(8*$AZ24)+'LINEST VARS'!$D$48*(8*12.73)+'LINEST VARS'!$C$48*($BG$8*$AZ24)+'LINEST VARS'!$B$48*($BG$8*12.73)+'LINEST VARS'!$A$48*($AZ24*12.73)</f>
        <v>369.99999999999989</v>
      </c>
      <c r="BH24" s="46">
        <f>'LINEST VARS'!$U$48+'LINEST VARS'!$T$48*(8)+'LINEST VARS'!$S$48*(8)+'LINEST VARS'!$R$48*($BH$8)+'LINEST VARS'!$Q$48*($AZ24)+'LINEST VARS'!$P$48*(12.73)+'LINEST VARS'!$O$48*(8^2)+'LINEST VARS'!$N$48*(8^2)+'LINEST VARS'!$M$48*($BH$8^2)+'LINEST VARS'!$L$48*($AZ24^2)+'LINEST VARS'!$K$48*(12.73^2)+'LINEST VARS'!$J$48*(8*8)+'LINEST VARS'!$I$48*(8*$BH$8)+'LINEST VARS'!$H$48*(8*$AZ24)+'LINEST VARS'!$G$48*(8*12.73)+'LINEST VARS'!$F$48*(8*$BH$8)+'LINEST VARS'!$E$48*(8*$AZ24)+'LINEST VARS'!$D$48*(8*12.73)+'LINEST VARS'!$C$48*($BH$8*$AZ24)+'LINEST VARS'!$B$48*($BH$8*12.73)+'LINEST VARS'!$A$48*($AZ24*12.73)</f>
        <v>369.99999999999989</v>
      </c>
      <c r="BI24" s="46">
        <f>'LINEST VARS'!$U$48+'LINEST VARS'!$T$48*(8)+'LINEST VARS'!$S$48*(8)+'LINEST VARS'!$R$48*($BI$8)+'LINEST VARS'!$Q$48*($AZ24)+'LINEST VARS'!$P$48*(12.73)+'LINEST VARS'!$O$48*(8^2)+'LINEST VARS'!$N$48*(8^2)+'LINEST VARS'!$M$48*($BI$8^2)+'LINEST VARS'!$L$48*($AZ24^2)+'LINEST VARS'!$K$48*(12.73^2)+'LINEST VARS'!$J$48*(8*8)+'LINEST VARS'!$I$48*(8*$BI$8)+'LINEST VARS'!$H$48*(8*$AZ24)+'LINEST VARS'!$G$48*(8*12.73)+'LINEST VARS'!$F$48*(8*$BI$8)+'LINEST VARS'!$E$48*(8*$AZ24)+'LINEST VARS'!$D$48*(8*12.73)+'LINEST VARS'!$C$48*($BI$8*$AZ24)+'LINEST VARS'!$B$48*($BI$8*12.73)+'LINEST VARS'!$A$48*($AZ24*12.73)</f>
        <v>369.99999999999989</v>
      </c>
      <c r="BJ24" s="46">
        <f>'LINEST VARS'!$U$48+'LINEST VARS'!$T$48*(8)+'LINEST VARS'!$S$48*(8)+'LINEST VARS'!$R$48*($BJ$8)+'LINEST VARS'!$Q$48*($AZ24)+'LINEST VARS'!$P$48*(12.73)+'LINEST VARS'!$O$48*(8^2)+'LINEST VARS'!$N$48*(8^2)+'LINEST VARS'!$M$48*($BJ$8^2)+'LINEST VARS'!$L$48*($AZ24^2)+'LINEST VARS'!$K$48*(12.73^2)+'LINEST VARS'!$J$48*(8*8)+'LINEST VARS'!$I$48*(8*$BJ$8)+'LINEST VARS'!$H$48*(8*$AZ24)+'LINEST VARS'!$G$48*(8*12.73)+'LINEST VARS'!$F$48*(8*$BJ$8)+'LINEST VARS'!$E$48*(8*$AZ24)+'LINEST VARS'!$D$48*(8*12.73)+'LINEST VARS'!$C$48*($BJ$8*$AZ24)+'LINEST VARS'!$B$48*($BJ$8*12.73)+'LINEST VARS'!$A$48*($AZ24*12.73)</f>
        <v>369.99999999999989</v>
      </c>
      <c r="BK24" s="46">
        <f>'LINEST VARS'!$U$48+'LINEST VARS'!$T$48*(8)+'LINEST VARS'!$S$48*(8)+'LINEST VARS'!$R$48*($BK$8)+'LINEST VARS'!$Q$48*($AZ24)+'LINEST VARS'!$P$48*(12.73)+'LINEST VARS'!$O$48*(8^2)+'LINEST VARS'!$N$48*(8^2)+'LINEST VARS'!$M$48*($BK$8^2)+'LINEST VARS'!$L$48*($AZ24^2)+'LINEST VARS'!$K$48*(12.73^2)+'LINEST VARS'!$J$48*(8*8)+'LINEST VARS'!$I$48*(8*$BK$8)+'LINEST VARS'!$H$48*(8*$AZ24)+'LINEST VARS'!$G$48*(8*12.73)+'LINEST VARS'!$F$48*(8*$BK$8)+'LINEST VARS'!$E$48*(8*$AZ24)+'LINEST VARS'!$D$48*(8*12.73)+'LINEST VARS'!$C$48*($BK$8*$AZ24)+'LINEST VARS'!$B$48*($BK$8*12.73)+'LINEST VARS'!$A$48*($AZ24*12.73)</f>
        <v>369.99999999999989</v>
      </c>
      <c r="BL24" s="46">
        <f>'LINEST VARS'!$U$48+'LINEST VARS'!$T$48*(8)+'LINEST VARS'!$S$48*(8)+'LINEST VARS'!$R$48*($BL$8)+'LINEST VARS'!$Q$48*($AZ24)+'LINEST VARS'!$P$48*(12.73)+'LINEST VARS'!$O$48*(8^2)+'LINEST VARS'!$N$48*(8^2)+'LINEST VARS'!$M$48*($BL$8^2)+'LINEST VARS'!$L$48*($AZ24^2)+'LINEST VARS'!$K$48*(12.73^2)+'LINEST VARS'!$J$48*(8*8)+'LINEST VARS'!$I$48*(8*$BL$8)+'LINEST VARS'!$H$48*(8*$AZ24)+'LINEST VARS'!$G$48*(8*12.73)+'LINEST VARS'!$F$48*(8*$BL$8)+'LINEST VARS'!$E$48*(8*$AZ24)+'LINEST VARS'!$D$48*(8*12.73)+'LINEST VARS'!$C$48*($BL$8*$AZ24)+'LINEST VARS'!$B$48*($BL$8*12.73)+'LINEST VARS'!$A$48*($AZ24*12.73)</f>
        <v>369.99999999999989</v>
      </c>
      <c r="BM24" s="46">
        <f>'LINEST VARS'!$U$48+'LINEST VARS'!$T$48*(8)+'LINEST VARS'!$S$48*(8)+'LINEST VARS'!$R$48*($BM$8)+'LINEST VARS'!$Q$48*($AZ24)+'LINEST VARS'!$P$48*(12.73)+'LINEST VARS'!$O$48*(8^2)+'LINEST VARS'!$N$48*(8^2)+'LINEST VARS'!$M$48*($BM$8^2)+'LINEST VARS'!$L$48*($AZ24^2)+'LINEST VARS'!$K$48*(12.73^2)+'LINEST VARS'!$J$48*(8*8)+'LINEST VARS'!$I$48*(8*$BM$8)+'LINEST VARS'!$H$48*(8*$AZ24)+'LINEST VARS'!$G$48*(8*12.73)+'LINEST VARS'!$F$48*(8*$BM$8)+'LINEST VARS'!$E$48*(8*$AZ24)+'LINEST VARS'!$D$48*(8*12.73)+'LINEST VARS'!$C$48*($BM$8*$AZ24)+'LINEST VARS'!$B$48*($BM$8*12.73)+'LINEST VARS'!$A$48*($AZ24*12.73)</f>
        <v>369.99999999999989</v>
      </c>
      <c r="BN24" s="46">
        <f>'LINEST VARS'!$U$48+'LINEST VARS'!$T$48*(8)+'LINEST VARS'!$S$48*(8)+'LINEST VARS'!$R$48*($BN$8)+'LINEST VARS'!$Q$48*($AZ24)+'LINEST VARS'!$P$48*(12.73)+'LINEST VARS'!$O$48*(8^2)+'LINEST VARS'!$N$48*(8^2)+'LINEST VARS'!$M$48*($BN$8^2)+'LINEST VARS'!$L$48*($AZ24^2)+'LINEST VARS'!$K$48*(12.73^2)+'LINEST VARS'!$J$48*(8*8)+'LINEST VARS'!$I$48*(8*$BN$8)+'LINEST VARS'!$H$48*(8*$AZ24)+'LINEST VARS'!$G$48*(8*12.73)+'LINEST VARS'!$F$48*(8*$BN$8)+'LINEST VARS'!$E$48*(8*$AZ24)+'LINEST VARS'!$D$48*(8*12.73)+'LINEST VARS'!$C$48*($BN$8*$AZ24)+'LINEST VARS'!$B$48*($BN$8*12.73)+'LINEST VARS'!$A$48*($AZ24*12.73)</f>
        <v>369.99999999999994</v>
      </c>
      <c r="BO24" s="46">
        <f>'LINEST VARS'!$U$48+'LINEST VARS'!$T$48*(8)+'LINEST VARS'!$S$48*(8)+'LINEST VARS'!$R$48*($BO$8)+'LINEST VARS'!$Q$48*($AZ24)+'LINEST VARS'!$P$48*(12.73)+'LINEST VARS'!$O$48*(8^2)+'LINEST VARS'!$N$48*(8^2)+'LINEST VARS'!$M$48*($BO$8^2)+'LINEST VARS'!$L$48*($AZ24^2)+'LINEST VARS'!$K$48*(12.73^2)+'LINEST VARS'!$J$48*(8*8)+'LINEST VARS'!$I$48*(8*$BO$8)+'LINEST VARS'!$H$48*(8*$AZ24)+'LINEST VARS'!$G$48*(8*12.73)+'LINEST VARS'!$F$48*(8*$BO$8)+'LINEST VARS'!$E$48*(8*$AZ24)+'LINEST VARS'!$D$48*(8*12.73)+'LINEST VARS'!$C$48*($BO$8*$AZ24)+'LINEST VARS'!$B$48*($BO$8*12.73)+'LINEST VARS'!$A$48*($AZ24*12.73)</f>
        <v>369.99999999999994</v>
      </c>
      <c r="BP24" s="46">
        <f>'LINEST VARS'!$U$48+'LINEST VARS'!$T$48*(8)+'LINEST VARS'!$S$48*(8)+'LINEST VARS'!$R$48*($BP$8)+'LINEST VARS'!$Q$48*($AZ24)+'LINEST VARS'!$P$48*(12.73)+'LINEST VARS'!$O$48*(8^2)+'LINEST VARS'!$N$48*(8^2)+'LINEST VARS'!$M$48*($BP$8^2)+'LINEST VARS'!$L$48*($AZ24^2)+'LINEST VARS'!$K$48*(12.73^2)+'LINEST VARS'!$J$48*(8*8)+'LINEST VARS'!$I$48*(8*$BP$8)+'LINEST VARS'!$H$48*(8*$AZ24)+'LINEST VARS'!$G$48*(8*12.73)+'LINEST VARS'!$F$48*(8*$BP$8)+'LINEST VARS'!$E$48*(8*$AZ24)+'LINEST VARS'!$D$48*(8*12.73)+'LINEST VARS'!$C$48*($BP$8*$AZ24)+'LINEST VARS'!$B$48*($BP$8*12.73)+'LINEST VARS'!$A$48*($AZ24*12.73)</f>
        <v>369.99999999999994</v>
      </c>
      <c r="BQ24" s="46">
        <f>'LINEST VARS'!$U$48+'LINEST VARS'!$T$48*(8)+'LINEST VARS'!$S$48*(8)+'LINEST VARS'!$R$48*($BQ$8)+'LINEST VARS'!$Q$48*($AZ24)+'LINEST VARS'!$P$48*(12.73)+'LINEST VARS'!$O$48*(8^2)+'LINEST VARS'!$N$48*(8^2)+'LINEST VARS'!$M$48*($BQ$8^2)+'LINEST VARS'!$L$48*($AZ24^2)+'LINEST VARS'!$K$48*(12.73^2)+'LINEST VARS'!$J$48*(8*8)+'LINEST VARS'!$I$48*(8*$BQ$8)+'LINEST VARS'!$H$48*(8*$AZ24)+'LINEST VARS'!$G$48*(8*12.73)+'LINEST VARS'!$F$48*(8*$BQ$8)+'LINEST VARS'!$E$48*(8*$AZ24)+'LINEST VARS'!$D$48*(8*12.73)+'LINEST VARS'!$C$48*($BQ$8*$AZ24)+'LINEST VARS'!$B$48*($BQ$8*12.73)+'LINEST VARS'!$A$48*($AZ24*12.73)</f>
        <v>369.99999999999989</v>
      </c>
      <c r="BR24" s="46">
        <f>'LINEST VARS'!$U$48+'LINEST VARS'!$T$48*(8)+'LINEST VARS'!$S$48*(8)+'LINEST VARS'!$R$48*($BR$8)+'LINEST VARS'!$Q$48*($AZ24)+'LINEST VARS'!$P$48*(12.73)+'LINEST VARS'!$O$48*(8^2)+'LINEST VARS'!$N$48*(8^2)+'LINEST VARS'!$M$48*($BR$8^2)+'LINEST VARS'!$L$48*($AZ24^2)+'LINEST VARS'!$K$48*(12.73^2)+'LINEST VARS'!$J$48*(8*8)+'LINEST VARS'!$I$48*(8*$BR$8)+'LINEST VARS'!$H$48*(8*$AZ24)+'LINEST VARS'!$G$48*(8*12.73)+'LINEST VARS'!$F$48*(8*$BR$8)+'LINEST VARS'!$E$48*(8*$AZ24)+'LINEST VARS'!$D$48*(8*12.73)+'LINEST VARS'!$C$48*($BR$8*$AZ24)+'LINEST VARS'!$B$48*($BR$8*12.73)+'LINEST VARS'!$A$48*($AZ24*12.73)</f>
        <v>369.99999999999989</v>
      </c>
      <c r="BS24" s="46">
        <f>'LINEST VARS'!$U$48+'LINEST VARS'!$T$48*(8)+'LINEST VARS'!$S$48*(8)+'LINEST VARS'!$R$48*($BS$8)+'LINEST VARS'!$Q$48*($AZ24)+'LINEST VARS'!$P$48*(12.73)+'LINEST VARS'!$O$48*(8^2)+'LINEST VARS'!$N$48*(8^2)+'LINEST VARS'!$M$48*($BS$8^2)+'LINEST VARS'!$L$48*($AZ24^2)+'LINEST VARS'!$K$48*(12.73^2)+'LINEST VARS'!$J$48*(8*8)+'LINEST VARS'!$I$48*(8*$BS$8)+'LINEST VARS'!$H$48*(8*$AZ24)+'LINEST VARS'!$G$48*(8*12.73)+'LINEST VARS'!$F$48*(8*$BS$8)+'LINEST VARS'!$E$48*(8*$AZ24)+'LINEST VARS'!$D$48*(8*12.73)+'LINEST VARS'!$C$48*($BS$8*$AZ24)+'LINEST VARS'!$B$48*($BS$8*12.73)+'LINEST VARS'!$A$48*($AZ24*12.73)</f>
        <v>369.99999999999989</v>
      </c>
      <c r="BT24" s="46">
        <f>'LINEST VARS'!$U$48+'LINEST VARS'!$T$48*(8)+'LINEST VARS'!$S$48*(8)+'LINEST VARS'!$R$48*($BT$8)+'LINEST VARS'!$Q$48*($AZ24)+'LINEST VARS'!$P$48*(12.73)+'LINEST VARS'!$O$48*(8^2)+'LINEST VARS'!$N$48*(8^2)+'LINEST VARS'!$M$48*($BT$8^2)+'LINEST VARS'!$L$48*($AZ24^2)+'LINEST VARS'!$K$48*(12.73^2)+'LINEST VARS'!$J$48*(8*8)+'LINEST VARS'!$I$48*(8*$BT$8)+'LINEST VARS'!$H$48*(8*$AZ24)+'LINEST VARS'!$G$48*(8*12.73)+'LINEST VARS'!$F$48*(8*$BT$8)+'LINEST VARS'!$E$48*(8*$AZ24)+'LINEST VARS'!$D$48*(8*12.73)+'LINEST VARS'!$C$48*($BT$8*$AZ24)+'LINEST VARS'!$B$48*($BT$8*12.73)+'LINEST VARS'!$A$48*($AZ24*12.73)</f>
        <v>369.99999999999989</v>
      </c>
      <c r="BU24" s="47">
        <f>'LINEST VARS'!$U$48+'LINEST VARS'!$T$48*(8)+'LINEST VARS'!$S$48*(8)+'LINEST VARS'!$R$48*($BU$8)+'LINEST VARS'!$Q$48*($AZ24)+'LINEST VARS'!$P$48*(12.73)+'LINEST VARS'!$O$48*(8^2)+'LINEST VARS'!$N$48*(8^2)+'LINEST VARS'!$M$48*($BU$8^2)+'LINEST VARS'!$L$48*($AZ24^2)+'LINEST VARS'!$K$48*(12.73^2)+'LINEST VARS'!$J$48*(8*8)+'LINEST VARS'!$I$48*(8*$BU$8)+'LINEST VARS'!$H$48*(8*$AZ24)+'LINEST VARS'!$G$48*(8*12.73)+'LINEST VARS'!$F$48*(8*$BU$8)+'LINEST VARS'!$E$48*(8*$AZ24)+'LINEST VARS'!$D$48*(8*12.73)+'LINEST VARS'!$C$48*($BU$8*$AZ24)+'LINEST VARS'!$B$48*($BU$8*12.73)+'LINEST VARS'!$A$48*($AZ24*12.73)</f>
        <v>369.99999999999989</v>
      </c>
      <c r="BX24" s="45">
        <v>0.75</v>
      </c>
      <c r="BY24" s="46">
        <f>'LINEST VARS'!$U$50+'LINEST VARS'!$T$50*(8)+'LINEST VARS'!$S$50*(8)+'LINEST VARS'!$R$50*($BY$8)+'LINEST VARS'!$Q$50*($BX24)+'LINEST VARS'!$P$50*(12.73)+'LINEST VARS'!$O$50*(8^2)+'LINEST VARS'!$N$50*(8^2)+'LINEST VARS'!$M$50*($BY$8^2)+'LINEST VARS'!$L$50*($BX24^2)+'LINEST VARS'!$K$50*(12.73^2)+'LINEST VARS'!$J$50*(8*8)+'LINEST VARS'!$I$50*(8*$BY$8)+'LINEST VARS'!$H$50*(8*$BX24)+'LINEST VARS'!$G$50*(8*12.73)+'LINEST VARS'!$F$50*(8*$BY$8)+'LINEST VARS'!$E$50*(8*$BX24)+'LINEST VARS'!$D$50*(8*12.73)+'LINEST VARS'!$C$50*($BY$8*$BX24)+'LINEST VARS'!$B$50*($BY$8*12.73)+'LINEST VARS'!$A$50*($BX24*12.73)</f>
        <v>331.99999999999989</v>
      </c>
      <c r="BZ24" s="46">
        <f>'LINEST VARS'!$U$50+'LINEST VARS'!$T$50*(8)+'LINEST VARS'!$S$50*(8)+'LINEST VARS'!$R$50*($BZ$8)+'LINEST VARS'!$Q$50*($BX24)+'LINEST VARS'!$P$50*(12.73)+'LINEST VARS'!$O$50*(8^2)+'LINEST VARS'!$N$50*(8^2)+'LINEST VARS'!$M$50*($BZ$8^2)+'LINEST VARS'!$L$50*($BX24^2)+'LINEST VARS'!$K$50*(12.73^2)+'LINEST VARS'!$J$50*(8*8)+'LINEST VARS'!$I$50*(8*$BZ$8)+'LINEST VARS'!$H$50*(8*$BX24)+'LINEST VARS'!$G$50*(8*12.73)+'LINEST VARS'!$F$50*(8*$BZ$8)+'LINEST VARS'!$E$50*(8*$BX24)+'LINEST VARS'!$D$50*(8*12.73)+'LINEST VARS'!$C$50*($BZ$8*$BX24)+'LINEST VARS'!$B$50*($BZ$8*12.73)+'LINEST VARS'!$A$50*($BX24*12.73)</f>
        <v>331.99999999999989</v>
      </c>
      <c r="CA24" s="46">
        <f>'LINEST VARS'!$U$50+'LINEST VARS'!$T$50*(8)+'LINEST VARS'!$S$50*(8)+'LINEST VARS'!$R$50*($CA$8)+'LINEST VARS'!$Q$50*($BX24)+'LINEST VARS'!$P$50*(12.73)+'LINEST VARS'!$O$50*(8^2)+'LINEST VARS'!$N$50*(8^2)+'LINEST VARS'!$M$50*($CA$8^2)+'LINEST VARS'!$L$50*($BX24^2)+'LINEST VARS'!$K$50*(12.73^2)+'LINEST VARS'!$J$50*(8*8)+'LINEST VARS'!$I$50*(8*$CA$8)+'LINEST VARS'!$H$50*(8*$BX24)+'LINEST VARS'!$G$50*(8*12.73)+'LINEST VARS'!$F$50*(8*$CA$8)+'LINEST VARS'!$E$50*(8*$BX24)+'LINEST VARS'!$D$50*(8*12.73)+'LINEST VARS'!$C$50*($CA$8*$BX24)+'LINEST VARS'!$B$50*($CA$8*12.73)+'LINEST VARS'!$A$50*($BX24*12.73)</f>
        <v>331.99999999999989</v>
      </c>
      <c r="CB24" s="46">
        <f>'LINEST VARS'!$U$50+'LINEST VARS'!$T$50*(8)+'LINEST VARS'!$S$50*(8)+'LINEST VARS'!$R$50*($CB$8)+'LINEST VARS'!$Q$50*($BX24)+'LINEST VARS'!$P$50*(12.73)+'LINEST VARS'!$O$50*(8^2)+'LINEST VARS'!$N$50*(8^2)+'LINEST VARS'!$M$50*($CB$8^2)+'LINEST VARS'!$L$50*($BX24^2)+'LINEST VARS'!$K$50*(12.73^2)+'LINEST VARS'!$J$50*(8*8)+'LINEST VARS'!$I$50*(8*$CB$8)+'LINEST VARS'!$H$50*(8*$BX24)+'LINEST VARS'!$G$50*(8*12.73)+'LINEST VARS'!$F$50*(8*$CB$8)+'LINEST VARS'!$E$50*(8*$BX24)+'LINEST VARS'!$D$50*(8*12.73)+'LINEST VARS'!$C$50*($CB$8*$BX24)+'LINEST VARS'!$B$50*($CB$8*12.73)+'LINEST VARS'!$A$50*($BX24*12.73)</f>
        <v>331.99999999999989</v>
      </c>
      <c r="CC24" s="46">
        <f>'LINEST VARS'!$U$50+'LINEST VARS'!$T$50*(8)+'LINEST VARS'!$S$50*(8)+'LINEST VARS'!$R$50*($CC$8)+'LINEST VARS'!$Q$50*($BX24)+'LINEST VARS'!$P$50*(12.73)+'LINEST VARS'!$O$50*(8^2)+'LINEST VARS'!$N$50*(8^2)+'LINEST VARS'!$M$50*($CC$8^2)+'LINEST VARS'!$L$50*($BX24^2)+'LINEST VARS'!$K$50*(12.73^2)+'LINEST VARS'!$J$50*(8*8)+'LINEST VARS'!$I$50*(8*$CC$8)+'LINEST VARS'!$H$50*(8*$BX24)+'LINEST VARS'!$G$50*(8*12.73)+'LINEST VARS'!$F$50*(8*$CC$8)+'LINEST VARS'!$E$50*(8*$BX24)+'LINEST VARS'!$D$50*(8*12.73)+'LINEST VARS'!$C$50*($CC$8*$BX24)+'LINEST VARS'!$B$50*($CC$8*12.73)+'LINEST VARS'!$A$50*($BX24*12.73)</f>
        <v>331.99999999999989</v>
      </c>
      <c r="CD24" s="46">
        <f>'LINEST VARS'!$U$50+'LINEST VARS'!$T$50*(8)+'LINEST VARS'!$S$50*(8)+'LINEST VARS'!$R$50*($CD$8)+'LINEST VARS'!$Q$50*($BX24)+'LINEST VARS'!$P$50*(12.73)+'LINEST VARS'!$O$50*(8^2)+'LINEST VARS'!$N$50*(8^2)+'LINEST VARS'!$M$50*($CD$8^2)+'LINEST VARS'!$L$50*($BX24^2)+'LINEST VARS'!$K$50*(12.73^2)+'LINEST VARS'!$J$50*(8*8)+'LINEST VARS'!$I$50*(8*$CD$8)+'LINEST VARS'!$H$50*(8*$BX24)+'LINEST VARS'!$G$50*(8*12.73)+'LINEST VARS'!$F$50*(8*$CD$8)+'LINEST VARS'!$E$50*(8*$BX24)+'LINEST VARS'!$D$50*(8*12.73)+'LINEST VARS'!$C$50*($CD$8*$BX24)+'LINEST VARS'!$B$50*($CD$8*12.73)+'LINEST VARS'!$A$50*($BX24*12.73)</f>
        <v>331.99999999999989</v>
      </c>
      <c r="CE24" s="46">
        <f>'LINEST VARS'!$U$50+'LINEST VARS'!$T$50*(8)+'LINEST VARS'!$S$50*(8)+'LINEST VARS'!$R$50*($CE$8)+'LINEST VARS'!$Q$50*($BX24)+'LINEST VARS'!$P$50*(12.73)+'LINEST VARS'!$O$50*(8^2)+'LINEST VARS'!$N$50*(8^2)+'LINEST VARS'!$M$50*($CE$8^2)+'LINEST VARS'!$L$50*($BX24^2)+'LINEST VARS'!$K$50*(12.73^2)+'LINEST VARS'!$J$50*(8*8)+'LINEST VARS'!$I$50*(8*$CE$8)+'LINEST VARS'!$H$50*(8*$BX24)+'LINEST VARS'!$G$50*(8*12.73)+'LINEST VARS'!$F$50*(8*$CE$8)+'LINEST VARS'!$E$50*(8*$BX24)+'LINEST VARS'!$D$50*(8*12.73)+'LINEST VARS'!$C$50*($CE$8*$BX24)+'LINEST VARS'!$B$50*($CE$8*12.73)+'LINEST VARS'!$A$50*($BX24*12.73)</f>
        <v>331.99999999999989</v>
      </c>
      <c r="CF24" s="46">
        <f>'LINEST VARS'!$U$50+'LINEST VARS'!$T$50*(8)+'LINEST VARS'!$S$50*(8)+'LINEST VARS'!$R$50*($CF$8)+'LINEST VARS'!$Q$50*($BX24)+'LINEST VARS'!$P$50*(12.73)+'LINEST VARS'!$O$50*(8^2)+'LINEST VARS'!$N$50*(8^2)+'LINEST VARS'!$M$50*($CF$8^2)+'LINEST VARS'!$L$50*($BX24^2)+'LINEST VARS'!$K$50*(12.73^2)+'LINEST VARS'!$J$50*(8*8)+'LINEST VARS'!$I$50*(8*$CF$8)+'LINEST VARS'!$H$50*(8*$BX24)+'LINEST VARS'!$G$50*(8*12.73)+'LINEST VARS'!$F$50*(8*$CF$8)+'LINEST VARS'!$E$50*(8*$BX24)+'LINEST VARS'!$D$50*(8*12.73)+'LINEST VARS'!$C$50*($CF$8*$BX24)+'LINEST VARS'!$B$50*($CF$8*12.73)+'LINEST VARS'!$A$50*($BX24*12.73)</f>
        <v>331.99999999999989</v>
      </c>
      <c r="CG24" s="46">
        <f>'LINEST VARS'!$U$50+'LINEST VARS'!$T$50*(8)+'LINEST VARS'!$S$50*(8)+'LINEST VARS'!$R$50*($CG$8)+'LINEST VARS'!$Q$50*($BX24)+'LINEST VARS'!$P$50*(12.73)+'LINEST VARS'!$O$50*(8^2)+'LINEST VARS'!$N$50*(8^2)+'LINEST VARS'!$M$50*($CG$8^2)+'LINEST VARS'!$L$50*($BX24^2)+'LINEST VARS'!$K$50*(12.73^2)+'LINEST VARS'!$J$50*(8*8)+'LINEST VARS'!$I$50*(8*$CG$8)+'LINEST VARS'!$H$50*(8*$BX24)+'LINEST VARS'!$G$50*(8*12.73)+'LINEST VARS'!$F$50*(8*$CG$8)+'LINEST VARS'!$E$50*(8*$BX24)+'LINEST VARS'!$D$50*(8*12.73)+'LINEST VARS'!$C$50*($CG$8*$BX24)+'LINEST VARS'!$B$50*($CG$8*12.73)+'LINEST VARS'!$A$50*($BX24*12.73)</f>
        <v>331.99999999999989</v>
      </c>
      <c r="CH24" s="46">
        <f>'LINEST VARS'!$U$50+'LINEST VARS'!$T$50*(8)+'LINEST VARS'!$S$50*(8)+'LINEST VARS'!$R$50*($CH$8)+'LINEST VARS'!$Q$50*($BX24)+'LINEST VARS'!$P$50*(12.73)+'LINEST VARS'!$O$50*(8^2)+'LINEST VARS'!$N$50*(8^2)+'LINEST VARS'!$M$50*($CH$8^2)+'LINEST VARS'!$L$50*($BX24^2)+'LINEST VARS'!$K$50*(12.73^2)+'LINEST VARS'!$J$50*(8*8)+'LINEST VARS'!$I$50*(8*$CH$8)+'LINEST VARS'!$H$50*(8*$BX24)+'LINEST VARS'!$G$50*(8*12.73)+'LINEST VARS'!$F$50*(8*$CH$8)+'LINEST VARS'!$E$50*(8*$BX24)+'LINEST VARS'!$D$50*(8*12.73)+'LINEST VARS'!$C$50*($CH$8*$BX24)+'LINEST VARS'!$B$50*($CH$8*12.73)+'LINEST VARS'!$A$50*($BX24*12.73)</f>
        <v>331.99999999999989</v>
      </c>
      <c r="CI24" s="46">
        <f>'LINEST VARS'!$U$50+'LINEST VARS'!$T$50*(8)+'LINEST VARS'!$S$50*(8)+'LINEST VARS'!$R$50*($CI$8)+'LINEST VARS'!$Q$50*($BX24)+'LINEST VARS'!$P$50*(12.73)+'LINEST VARS'!$O$50*(8^2)+'LINEST VARS'!$N$50*(8^2)+'LINEST VARS'!$M$50*($CI$8^2)+'LINEST VARS'!$L$50*($BX24^2)+'LINEST VARS'!$K$50*(12.73^2)+'LINEST VARS'!$J$50*(8*8)+'LINEST VARS'!$I$50*(8*$CI$8)+'LINEST VARS'!$H$50*(8*$BX24)+'LINEST VARS'!$G$50*(8*12.73)+'LINEST VARS'!$F$50*(8*$CI$8)+'LINEST VARS'!$E$50*(8*$BX24)+'LINEST VARS'!$D$50*(8*12.73)+'LINEST VARS'!$C$50*($CI$8*$BX24)+'LINEST VARS'!$B$50*($CI$8*12.73)+'LINEST VARS'!$A$50*($BX24*12.73)</f>
        <v>331.99999999999989</v>
      </c>
      <c r="CJ24" s="46">
        <f>'LINEST VARS'!$U$50+'LINEST VARS'!$T$50*(8)+'LINEST VARS'!$S$50*(8)+'LINEST VARS'!$R$50*($CJ$8)+'LINEST VARS'!$Q$50*($BX24)+'LINEST VARS'!$P$50*(12.73)+'LINEST VARS'!$O$50*(8^2)+'LINEST VARS'!$N$50*(8^2)+'LINEST VARS'!$M$50*($CJ$8^2)+'LINEST VARS'!$L$50*($BX24^2)+'LINEST VARS'!$K$50*(12.73^2)+'LINEST VARS'!$J$50*(8*8)+'LINEST VARS'!$I$50*(8*$CJ$8)+'LINEST VARS'!$H$50*(8*$BX24)+'LINEST VARS'!$G$50*(8*12.73)+'LINEST VARS'!$F$50*(8*$CJ$8)+'LINEST VARS'!$E$50*(8*$BX24)+'LINEST VARS'!$D$50*(8*12.73)+'LINEST VARS'!$C$50*($CJ$8*$BX24)+'LINEST VARS'!$B$50*($CJ$8*12.73)+'LINEST VARS'!$A$50*($BX24*12.73)</f>
        <v>331.99999999999989</v>
      </c>
      <c r="CK24" s="46">
        <f>'LINEST VARS'!$U$50+'LINEST VARS'!$T$50*(8)+'LINEST VARS'!$S$50*(8)+'LINEST VARS'!$R$50*($CK$8)+'LINEST VARS'!$Q$50*($BX24)+'LINEST VARS'!$P$50*(12.73)+'LINEST VARS'!$O$50*(8^2)+'LINEST VARS'!$N$50*(8^2)+'LINEST VARS'!$M$50*($CK$8^2)+'LINEST VARS'!$L$50*($BX24^2)+'LINEST VARS'!$K$50*(12.73^2)+'LINEST VARS'!$J$50*(8*8)+'LINEST VARS'!$I$50*(8*$CK$8)+'LINEST VARS'!$H$50*(8*$BX24)+'LINEST VARS'!$G$50*(8*12.73)+'LINEST VARS'!$F$50*(8*$CK$8)+'LINEST VARS'!$E$50*(8*$BX24)+'LINEST VARS'!$D$50*(8*12.73)+'LINEST VARS'!$C$50*($CK$8*$BX24)+'LINEST VARS'!$B$50*($CK$8*12.73)+'LINEST VARS'!$A$50*($BX24*12.73)</f>
        <v>331.99999999999989</v>
      </c>
      <c r="CL24" s="46">
        <f>'LINEST VARS'!$U$50+'LINEST VARS'!$T$50*(8)+'LINEST VARS'!$S$50*(8)+'LINEST VARS'!$R$50*($CL$8)+'LINEST VARS'!$Q$50*($BX24)+'LINEST VARS'!$P$50*(12.73)+'LINEST VARS'!$O$50*(8^2)+'LINEST VARS'!$N$50*(8^2)+'LINEST VARS'!$M$50*($CL$8^2)+'LINEST VARS'!$L$50*($BX24^2)+'LINEST VARS'!$K$50*(12.73^2)+'LINEST VARS'!$J$50*(8*8)+'LINEST VARS'!$I$50*(8*$CL$8)+'LINEST VARS'!$H$50*(8*$BX24)+'LINEST VARS'!$G$50*(8*12.73)+'LINEST VARS'!$F$50*(8*$CL$8)+'LINEST VARS'!$E$50*(8*$BX24)+'LINEST VARS'!$D$50*(8*12.73)+'LINEST VARS'!$C$50*($CL$8*$BX24)+'LINEST VARS'!$B$50*($CL$8*12.73)+'LINEST VARS'!$A$50*($BX24*12.73)</f>
        <v>331.99999999999989</v>
      </c>
      <c r="CM24" s="46">
        <f>'LINEST VARS'!$U$50+'LINEST VARS'!$T$50*(8)+'LINEST VARS'!$S$50*(8)+'LINEST VARS'!$R$50*($CM$8)+'LINEST VARS'!$Q$50*($BX24)+'LINEST VARS'!$P$50*(12.73)+'LINEST VARS'!$O$50*(8^2)+'LINEST VARS'!$N$50*(8^2)+'LINEST VARS'!$M$50*($CM$8^2)+'LINEST VARS'!$L$50*($BX24^2)+'LINEST VARS'!$K$50*(12.73^2)+'LINEST VARS'!$J$50*(8*8)+'LINEST VARS'!$I$50*(8*$CM$8)+'LINEST VARS'!$H$50*(8*$BX24)+'LINEST VARS'!$G$50*(8*12.73)+'LINEST VARS'!$F$50*(8*$CM$8)+'LINEST VARS'!$E$50*(8*$BX24)+'LINEST VARS'!$D$50*(8*12.73)+'LINEST VARS'!$C$50*($CM$8*$BX24)+'LINEST VARS'!$B$50*($CM$8*12.73)+'LINEST VARS'!$A$50*($BX24*12.73)</f>
        <v>331.99999999999989</v>
      </c>
      <c r="CN24" s="46">
        <f>'LINEST VARS'!$U$50+'LINEST VARS'!$T$50*(8)+'LINEST VARS'!$S$50*(8)+'LINEST VARS'!$R$50*($CN$8)+'LINEST VARS'!$Q$50*($BX24)+'LINEST VARS'!$P$50*(12.73)+'LINEST VARS'!$O$50*(8^2)+'LINEST VARS'!$N$50*(8^2)+'LINEST VARS'!$M$50*($CN$8^2)+'LINEST VARS'!$L$50*($BX24^2)+'LINEST VARS'!$K$50*(12.73^2)+'LINEST VARS'!$J$50*(8*8)+'LINEST VARS'!$I$50*(8*$CN$8)+'LINEST VARS'!$H$50*(8*$BX24)+'LINEST VARS'!$G$50*(8*12.73)+'LINEST VARS'!$F$50*(8*$CN$8)+'LINEST VARS'!$E$50*(8*$BX24)+'LINEST VARS'!$D$50*(8*12.73)+'LINEST VARS'!$C$50*($CN$8*$BX24)+'LINEST VARS'!$B$50*($CN$8*12.73)+'LINEST VARS'!$A$50*($BX24*12.73)</f>
        <v>331.99999999999989</v>
      </c>
      <c r="CO24" s="46">
        <f>'LINEST VARS'!$U$50+'LINEST VARS'!$T$50*(8)+'LINEST VARS'!$S$50*(8)+'LINEST VARS'!$R$50*($CO$8)+'LINEST VARS'!$Q$50*($BX24)+'LINEST VARS'!$P$50*(12.73)+'LINEST VARS'!$O$50*(8^2)+'LINEST VARS'!$N$50*(8^2)+'LINEST VARS'!$M$50*($CO$8^2)+'LINEST VARS'!$L$50*($BX24^2)+'LINEST VARS'!$K$50*(12.73^2)+'LINEST VARS'!$J$50*(8*8)+'LINEST VARS'!$I$50*(8*$CO$8)+'LINEST VARS'!$H$50*(8*$BX24)+'LINEST VARS'!$G$50*(8*12.73)+'LINEST VARS'!$F$50*(8*$CO$8)+'LINEST VARS'!$E$50*(8*$BX24)+'LINEST VARS'!$D$50*(8*12.73)+'LINEST VARS'!$C$50*($CO$8*$BX24)+'LINEST VARS'!$B$50*($CO$8*12.73)+'LINEST VARS'!$A$50*($BX24*12.73)</f>
        <v>331.99999999999989</v>
      </c>
      <c r="CP24" s="46">
        <f>'LINEST VARS'!$U$50+'LINEST VARS'!$T$50*(8)+'LINEST VARS'!$S$50*(8)+'LINEST VARS'!$R$50*($CP$8)+'LINEST VARS'!$Q$50*($BX24)+'LINEST VARS'!$P$50*(12.73)+'LINEST VARS'!$O$50*(8^2)+'LINEST VARS'!$N$50*(8^2)+'LINEST VARS'!$M$50*($CP$8^2)+'LINEST VARS'!$L$50*($BX24^2)+'LINEST VARS'!$K$50*(12.73^2)+'LINEST VARS'!$J$50*(8*8)+'LINEST VARS'!$I$50*(8*$CP$8)+'LINEST VARS'!$H$50*(8*$BX24)+'LINEST VARS'!$G$50*(8*12.73)+'LINEST VARS'!$F$50*(8*$CP$8)+'LINEST VARS'!$E$50*(8*$BX24)+'LINEST VARS'!$D$50*(8*12.73)+'LINEST VARS'!$C$50*($CP$8*$BX24)+'LINEST VARS'!$B$50*($CP$8*12.73)+'LINEST VARS'!$A$50*($BX24*12.73)</f>
        <v>331.99999999999989</v>
      </c>
      <c r="CQ24" s="46">
        <f>'LINEST VARS'!$U$50+'LINEST VARS'!$T$50*(8)+'LINEST VARS'!$S$50*(8)+'LINEST VARS'!$R$50*($CQ$8)+'LINEST VARS'!$Q$50*($BX24)+'LINEST VARS'!$P$50*(12.73)+'LINEST VARS'!$O$50*(8^2)+'LINEST VARS'!$N$50*(8^2)+'LINEST VARS'!$M$50*($CQ$8^2)+'LINEST VARS'!$L$50*($BX24^2)+'LINEST VARS'!$K$50*(12.73^2)+'LINEST VARS'!$J$50*(8*8)+'LINEST VARS'!$I$50*(8*$CQ$8)+'LINEST VARS'!$H$50*(8*$BX24)+'LINEST VARS'!$G$50*(8*12.73)+'LINEST VARS'!$F$50*(8*$CQ$8)+'LINEST VARS'!$E$50*(8*$BX24)+'LINEST VARS'!$D$50*(8*12.73)+'LINEST VARS'!$C$50*($CQ$8*$BX24)+'LINEST VARS'!$B$50*($CQ$8*12.73)+'LINEST VARS'!$A$50*($BX24*12.73)</f>
        <v>331.99999999999989</v>
      </c>
      <c r="CR24" s="46">
        <f>'LINEST VARS'!$U$50+'LINEST VARS'!$T$50*(8)+'LINEST VARS'!$S$50*(8)+'LINEST VARS'!$R$50*($CR$8)+'LINEST VARS'!$Q$50*($BX24)+'LINEST VARS'!$P$50*(12.73)+'LINEST VARS'!$O$50*(8^2)+'LINEST VARS'!$N$50*(8^2)+'LINEST VARS'!$M$50*($CR$8^2)+'LINEST VARS'!$L$50*($BX24^2)+'LINEST VARS'!$K$50*(12.73^2)+'LINEST VARS'!$J$50*(8*8)+'LINEST VARS'!$I$50*(8*$CR$8)+'LINEST VARS'!$H$50*(8*$BX24)+'LINEST VARS'!$G$50*(8*12.73)+'LINEST VARS'!$F$50*(8*$CR$8)+'LINEST VARS'!$E$50*(8*$BX24)+'LINEST VARS'!$D$50*(8*12.73)+'LINEST VARS'!$C$50*($CR$8*$BX24)+'LINEST VARS'!$B$50*($CR$8*12.73)+'LINEST VARS'!$A$50*($BX24*12.73)</f>
        <v>331.99999999999989</v>
      </c>
      <c r="CS24" s="47">
        <f>'LINEST VARS'!$U$50+'LINEST VARS'!$T$50*(8)+'LINEST VARS'!$S$50*(8)+'LINEST VARS'!$R$50*($CS$8)+'LINEST VARS'!$Q$50*($BX24)+'LINEST VARS'!$P$50*(12.73)+'LINEST VARS'!$O$50*(8^2)+'LINEST VARS'!$N$50*(8^2)+'LINEST VARS'!$M$50*($CS$8^2)+'LINEST VARS'!$L$50*($BX24^2)+'LINEST VARS'!$K$50*(12.73^2)+'LINEST VARS'!$J$50*(8*8)+'LINEST VARS'!$I$50*(8*$CS$8)+'LINEST VARS'!$H$50*(8*$BX24)+'LINEST VARS'!$G$50*(8*12.73)+'LINEST VARS'!$F$50*(8*$CS$8)+'LINEST VARS'!$E$50*(8*$BX24)+'LINEST VARS'!$D$50*(8*12.73)+'LINEST VARS'!$C$50*($CS$8*$BX24)+'LINEST VARS'!$B$50*($CS$8*12.73)+'LINEST VARS'!$A$50*($BX24*12.73)</f>
        <v>331.99999999999989</v>
      </c>
      <c r="CX24" s="45">
        <v>19.4925</v>
      </c>
      <c r="CY24" s="46">
        <f>'LINEST VARS'!$U$48+'LINEST VARS'!$T$48*(8)+'LINEST VARS'!$S$48*(8)+'LINEST VARS'!$R$48*($CY$8)+'LINEST VARS'!$Q$48*(0.5)+'LINEST VARS'!$P$48*($CX24)+'LINEST VARS'!$O$48*(8^2)+'LINEST VARS'!$N$48*(8^2)+'LINEST VARS'!$M$48*($CY$8^2)+'LINEST VARS'!$L$48*(0.5^2)+'LINEST VARS'!$K$48*($CX24^2)+'LINEST VARS'!$J$48*(8*8)+'LINEST VARS'!$I$48*(8*$CY$8)+'LINEST VARS'!$H$48*(8*0.5)+'LINEST VARS'!$G$48*(8*$CX24)+'LINEST VARS'!$F$48*(8*$CY$8)+'LINEST VARS'!$E$48*(8*0.5)+'LINEST VARS'!$D$48*(8*$CX24)+'LINEST VARS'!$C$48*($CY$8*0.5)+'LINEST VARS'!$B$48*($CY$8*$CX24)+'LINEST VARS'!$A$48*(0.5*$CX24)</f>
        <v>369.99999999999983</v>
      </c>
      <c r="CZ24" s="46">
        <f>'LINEST VARS'!$U$48+'LINEST VARS'!$T$48*(8)+'LINEST VARS'!$S$48*(8)+'LINEST VARS'!$R$48*($CZ$8)+'LINEST VARS'!$Q$48*(0.5)+'LINEST VARS'!$P$48*($CX24)+'LINEST VARS'!$O$48*(8^2)+'LINEST VARS'!$N$48*(8^2)+'LINEST VARS'!$M$48*($CZ$8^2)+'LINEST VARS'!$L$48*(0.5^2)+'LINEST VARS'!$K$48*($CX24^2)+'LINEST VARS'!$J$48*(8*8)+'LINEST VARS'!$I$48*(8*$CZ$8)+'LINEST VARS'!$H$48*(8*0.5)+'LINEST VARS'!$G$48*(8*$CX24)+'LINEST VARS'!$F$48*(8*$CZ$8)+'LINEST VARS'!$E$48*(8*0.5)+'LINEST VARS'!$D$48*(8*$CX24)+'LINEST VARS'!$C$48*($CZ$8*0.5)+'LINEST VARS'!$B$48*($CZ$8*$CX24)+'LINEST VARS'!$A$48*(0.5*$CX24)</f>
        <v>369.99999999999983</v>
      </c>
      <c r="DA24" s="46">
        <f>'LINEST VARS'!$U$48+'LINEST VARS'!$T$48*(8)+'LINEST VARS'!$S$48*(8)+'LINEST VARS'!$R$48*($DA$8)+'LINEST VARS'!$Q$48*(0.5)+'LINEST VARS'!$P$48*($CX24)+'LINEST VARS'!$O$48*(8^2)+'LINEST VARS'!$N$48*(8^2)+'LINEST VARS'!$M$48*($DA$8^2)+'LINEST VARS'!$L$48*(0.5^2)+'LINEST VARS'!$K$48*($CX24^2)+'LINEST VARS'!$J$48*(8*8)+'LINEST VARS'!$I$48*(8*$DA$8)+'LINEST VARS'!$H$48*(8*0.5)+'LINEST VARS'!$G$48*(8*$CX24)+'LINEST VARS'!$F$48*(8*$DA$8)+'LINEST VARS'!$E$48*(8*0.5)+'LINEST VARS'!$D$48*(8*$CX24)+'LINEST VARS'!$C$48*($DA$8*0.5)+'LINEST VARS'!$B$48*($DA$8*$CX24)+'LINEST VARS'!$A$48*(0.5*$CX24)</f>
        <v>369.99999999999983</v>
      </c>
      <c r="DB24" s="46">
        <f>'LINEST VARS'!$U$48+'LINEST VARS'!$T$48*(8)+'LINEST VARS'!$S$48*(8)+'LINEST VARS'!$R$48*($DB$8)+'LINEST VARS'!$Q$48*(0.5)+'LINEST VARS'!$P$48*($CX24)+'LINEST VARS'!$O$48*(8^2)+'LINEST VARS'!$N$48*(8^2)+'LINEST VARS'!$M$48*($DB$8^2)+'LINEST VARS'!$L$48*(0.5^2)+'LINEST VARS'!$K$48*($CX24^2)+'LINEST VARS'!$J$48*(8*8)+'LINEST VARS'!$I$48*(8*$DB$8)+'LINEST VARS'!$H$48*(8*0.5)+'LINEST VARS'!$G$48*(8*$CX24)+'LINEST VARS'!$F$48*(8*$DB$8)+'LINEST VARS'!$E$48*(8*0.5)+'LINEST VARS'!$D$48*(8*$CX24)+'LINEST VARS'!$C$48*($DB$8*0.5)+'LINEST VARS'!$B$48*($DB$8*$CX24)+'LINEST VARS'!$A$48*(0.5*$CX24)</f>
        <v>369.99999999999983</v>
      </c>
      <c r="DC24" s="46">
        <f>'LINEST VARS'!$U$48+'LINEST VARS'!$T$48*(8)+'LINEST VARS'!$S$48*(8)+'LINEST VARS'!$R$48*($DC$8)+'LINEST VARS'!$Q$48*(0.5)+'LINEST VARS'!$P$48*($CX24)+'LINEST VARS'!$O$48*(8^2)+'LINEST VARS'!$N$48*(8^2)+'LINEST VARS'!$M$48*($DC$8^2)+'LINEST VARS'!$L$48*(0.5^2)+'LINEST VARS'!$K$48*($CX24^2)+'LINEST VARS'!$J$48*(8*8)+'LINEST VARS'!$I$48*(8*$DC$8)+'LINEST VARS'!$H$48*(8*0.5)+'LINEST VARS'!$G$48*(8*$CX24)+'LINEST VARS'!$F$48*(8*$DC$8)+'LINEST VARS'!$E$48*(8*0.5)+'LINEST VARS'!$D$48*(8*$CX24)+'LINEST VARS'!$C$48*($DC$8*0.5)+'LINEST VARS'!$B$48*($DC$8*$CX24)+'LINEST VARS'!$A$48*(0.5*$CX24)</f>
        <v>369.99999999999983</v>
      </c>
      <c r="DD24" s="46">
        <f>'LINEST VARS'!$U$48+'LINEST VARS'!$T$48*(8)+'LINEST VARS'!$S$48*(8)+'LINEST VARS'!$R$48*($DD$8)+'LINEST VARS'!$Q$48*(0.5)+'LINEST VARS'!$P$48*($CX24)+'LINEST VARS'!$O$48*(8^2)+'LINEST VARS'!$N$48*(8^2)+'LINEST VARS'!$M$48*($DD$8^2)+'LINEST VARS'!$L$48*(0.5^2)+'LINEST VARS'!$K$48*($CX24^2)+'LINEST VARS'!$J$48*(8*8)+'LINEST VARS'!$I$48*(8*$DD$8)+'LINEST VARS'!$H$48*(8*0.5)+'LINEST VARS'!$G$48*(8*$CX24)+'LINEST VARS'!$F$48*(8*$DD$8)+'LINEST VARS'!$E$48*(8*0.5)+'LINEST VARS'!$D$48*(8*$CX24)+'LINEST VARS'!$C$48*($DD$8*0.5)+'LINEST VARS'!$B$48*($DD$8*$CX24)+'LINEST VARS'!$A$48*(0.5*$CX24)</f>
        <v>369.99999999999983</v>
      </c>
      <c r="DE24" s="46">
        <f>'LINEST VARS'!$U$48+'LINEST VARS'!$T$48*(8)+'LINEST VARS'!$S$48*(8)+'LINEST VARS'!$R$48*($DE$8)+'LINEST VARS'!$Q$48*(0.5)+'LINEST VARS'!$P$48*($CX24)+'LINEST VARS'!$O$48*(8^2)+'LINEST VARS'!$N$48*(8^2)+'LINEST VARS'!$M$48*($DE$8^2)+'LINEST VARS'!$L$48*(0.5^2)+'LINEST VARS'!$K$48*($CX24^2)+'LINEST VARS'!$J$48*(8*8)+'LINEST VARS'!$I$48*(8*$DE$8)+'LINEST VARS'!$H$48*(8*0.5)+'LINEST VARS'!$G$48*(8*$CX24)+'LINEST VARS'!$F$48*(8*$DE$8)+'LINEST VARS'!$E$48*(8*0.5)+'LINEST VARS'!$D$48*(8*$CX24)+'LINEST VARS'!$C$48*($DE$8*0.5)+'LINEST VARS'!$B$48*($DE$8*$CX24)+'LINEST VARS'!$A$48*(0.5*$CX24)</f>
        <v>369.99999999999983</v>
      </c>
      <c r="DF24" s="46">
        <f>'LINEST VARS'!$U$48+'LINEST VARS'!$T$48*(8)+'LINEST VARS'!$S$48*(8)+'LINEST VARS'!$R$48*($DF$8)+'LINEST VARS'!$Q$48*(0.5)+'LINEST VARS'!$P$48*($CX24)+'LINEST VARS'!$O$48*(8^2)+'LINEST VARS'!$N$48*(8^2)+'LINEST VARS'!$M$48*($DF$8^2)+'LINEST VARS'!$L$48*(0.5^2)+'LINEST VARS'!$K$48*($CX24^2)+'LINEST VARS'!$J$48*(8*8)+'LINEST VARS'!$I$48*(8*$DF$8)+'LINEST VARS'!$H$48*(8*0.5)+'LINEST VARS'!$G$48*(8*$CX24)+'LINEST VARS'!$F$48*(8*$DF$8)+'LINEST VARS'!$E$48*(8*0.5)+'LINEST VARS'!$D$48*(8*$CX24)+'LINEST VARS'!$C$48*($DF$8*0.5)+'LINEST VARS'!$B$48*($DF$8*$CX24)+'LINEST VARS'!$A$48*(0.5*$CX24)</f>
        <v>369.99999999999983</v>
      </c>
      <c r="DG24" s="46">
        <f>'LINEST VARS'!$U$48+'LINEST VARS'!$T$48*(8)+'LINEST VARS'!$S$48*(8)+'LINEST VARS'!$R$48*($DG$8)+'LINEST VARS'!$Q$48*(0.5)+'LINEST VARS'!$P$48*($CX24)+'LINEST VARS'!$O$48*(8^2)+'LINEST VARS'!$N$48*(8^2)+'LINEST VARS'!$M$48*($DG$8^2)+'LINEST VARS'!$L$48*(0.5^2)+'LINEST VARS'!$K$48*($CX24^2)+'LINEST VARS'!$J$48*(8*8)+'LINEST VARS'!$I$48*(8*$DG$8)+'LINEST VARS'!$H$48*(8*0.5)+'LINEST VARS'!$G$48*(8*$CX24)+'LINEST VARS'!$F$48*(8*$DG$8)+'LINEST VARS'!$E$48*(8*0.5)+'LINEST VARS'!$D$48*(8*$CX24)+'LINEST VARS'!$C$48*($DG$8*0.5)+'LINEST VARS'!$B$48*($DG$8*$CX24)+'LINEST VARS'!$A$48*(0.5*$CX24)</f>
        <v>369.99999999999983</v>
      </c>
      <c r="DH24" s="46">
        <f>'LINEST VARS'!$U$48+'LINEST VARS'!$T$48*(8)+'LINEST VARS'!$S$48*(8)+'LINEST VARS'!$R$48*($DH$8)+'LINEST VARS'!$Q$48*(0.5)+'LINEST VARS'!$P$48*($CX24)+'LINEST VARS'!$O$48*(8^2)+'LINEST VARS'!$N$48*(8^2)+'LINEST VARS'!$M$48*($DH$8^2)+'LINEST VARS'!$L$48*(0.5^2)+'LINEST VARS'!$K$48*($CX24^2)+'LINEST VARS'!$J$48*(8*8)+'LINEST VARS'!$I$48*(8*$DH$8)+'LINEST VARS'!$H$48*(8*0.5)+'LINEST VARS'!$G$48*(8*$CX24)+'LINEST VARS'!$F$48*(8*$DH$8)+'LINEST VARS'!$E$48*(8*0.5)+'LINEST VARS'!$D$48*(8*$CX24)+'LINEST VARS'!$C$48*($DH$8*0.5)+'LINEST VARS'!$B$48*($DH$8*$CX24)+'LINEST VARS'!$A$48*(0.5*$CX24)</f>
        <v>369.99999999999983</v>
      </c>
      <c r="DI24" s="46">
        <f>'LINEST VARS'!$U$48+'LINEST VARS'!$T$48*(8)+'LINEST VARS'!$S$48*(8)+'LINEST VARS'!$R$48*($DI$8)+'LINEST VARS'!$Q$48*(0.5)+'LINEST VARS'!$P$48*($CX24)+'LINEST VARS'!$O$48*(8^2)+'LINEST VARS'!$N$48*(8^2)+'LINEST VARS'!$M$48*($DI$8^2)+'LINEST VARS'!$L$48*(0.5^2)+'LINEST VARS'!$K$48*($CX24^2)+'LINEST VARS'!$J$48*(8*8)+'LINEST VARS'!$I$48*(8*$DI$8)+'LINEST VARS'!$H$48*(8*0.5)+'LINEST VARS'!$G$48*(8*$CX24)+'LINEST VARS'!$F$48*(8*$DI$8)+'LINEST VARS'!$E$48*(8*0.5)+'LINEST VARS'!$D$48*(8*$CX24)+'LINEST VARS'!$C$48*($DI$8*0.5)+'LINEST VARS'!$B$48*($DI$8*$CX24)+'LINEST VARS'!$A$48*(0.5*$CX24)</f>
        <v>369.99999999999983</v>
      </c>
      <c r="DJ24" s="46">
        <f>'LINEST VARS'!$U$48+'LINEST VARS'!$T$48*(8)+'LINEST VARS'!$S$48*(8)+'LINEST VARS'!$R$48*($DJ$8)+'LINEST VARS'!$Q$48*(0.5)+'LINEST VARS'!$P$48*($CX24)+'LINEST VARS'!$O$48*(8^2)+'LINEST VARS'!$N$48*(8^2)+'LINEST VARS'!$M$48*($DJ$8^2)+'LINEST VARS'!$L$48*(0.5^2)+'LINEST VARS'!$K$48*($CX24^2)+'LINEST VARS'!$J$48*(8*8)+'LINEST VARS'!$I$48*(8*$DJ$8)+'LINEST VARS'!$H$48*(8*0.5)+'LINEST VARS'!$G$48*(8*$CX24)+'LINEST VARS'!$F$48*(8*$DJ$8)+'LINEST VARS'!$E$48*(8*0.5)+'LINEST VARS'!$D$48*(8*$CX24)+'LINEST VARS'!$C$48*($DJ$8*0.5)+'LINEST VARS'!$B$48*($DJ$8*$CX24)+'LINEST VARS'!$A$48*(0.5*$CX24)</f>
        <v>369.99999999999983</v>
      </c>
      <c r="DK24" s="46">
        <f>'LINEST VARS'!$U$48+'LINEST VARS'!$T$48*(8)+'LINEST VARS'!$S$48*(8)+'LINEST VARS'!$R$48*($DK$8)+'LINEST VARS'!$Q$48*(0.5)+'LINEST VARS'!$P$48*($CX24)+'LINEST VARS'!$O$48*(8^2)+'LINEST VARS'!$N$48*(8^2)+'LINEST VARS'!$M$48*($DK$8^2)+'LINEST VARS'!$L$48*(0.5^2)+'LINEST VARS'!$K$48*($CX24^2)+'LINEST VARS'!$J$48*(8*8)+'LINEST VARS'!$I$48*(8*$DK$8)+'LINEST VARS'!$H$48*(8*0.5)+'LINEST VARS'!$G$48*(8*$CX24)+'LINEST VARS'!$F$48*(8*$DK$8)+'LINEST VARS'!$E$48*(8*0.5)+'LINEST VARS'!$D$48*(8*$CX24)+'LINEST VARS'!$C$48*($DK$8*0.5)+'LINEST VARS'!$B$48*($DK$8*$CX24)+'LINEST VARS'!$A$48*(0.5*$CX24)</f>
        <v>369.99999999999983</v>
      </c>
      <c r="DL24" s="46">
        <f>'LINEST VARS'!$U$48+'LINEST VARS'!$T$48*(8)+'LINEST VARS'!$S$48*(8)+'LINEST VARS'!$R$48*($DL$8)+'LINEST VARS'!$Q$48*(0.5)+'LINEST VARS'!$P$48*($CX24)+'LINEST VARS'!$O$48*(8^2)+'LINEST VARS'!$N$48*(8^2)+'LINEST VARS'!$M$48*($DL$8^2)+'LINEST VARS'!$L$48*(0.5^2)+'LINEST VARS'!$K$48*($CX24^2)+'LINEST VARS'!$J$48*(8*8)+'LINEST VARS'!$I$48*(8*$DL$8)+'LINEST VARS'!$H$48*(8*0.5)+'LINEST VARS'!$G$48*(8*$CX24)+'LINEST VARS'!$F$48*(8*$DL$8)+'LINEST VARS'!$E$48*(8*0.5)+'LINEST VARS'!$D$48*(8*$CX24)+'LINEST VARS'!$C$48*($DL$8*0.5)+'LINEST VARS'!$B$48*($DL$8*$CX24)+'LINEST VARS'!$A$48*(0.5*$CX24)</f>
        <v>369.99999999999989</v>
      </c>
      <c r="DM24" s="46">
        <f>'LINEST VARS'!$U$48+'LINEST VARS'!$T$48*(8)+'LINEST VARS'!$S$48*(8)+'LINEST VARS'!$R$48*($DM$8)+'LINEST VARS'!$Q$48*(0.5)+'LINEST VARS'!$P$48*($CX24)+'LINEST VARS'!$O$48*(8^2)+'LINEST VARS'!$N$48*(8^2)+'LINEST VARS'!$M$48*($DM$8^2)+'LINEST VARS'!$L$48*(0.5^2)+'LINEST VARS'!$K$48*($CX24^2)+'LINEST VARS'!$J$48*(8*8)+'LINEST VARS'!$I$48*(8*$DM$8)+'LINEST VARS'!$H$48*(8*0.5)+'LINEST VARS'!$G$48*(8*$CX24)+'LINEST VARS'!$F$48*(8*$DM$8)+'LINEST VARS'!$E$48*(8*0.5)+'LINEST VARS'!$D$48*(8*$CX24)+'LINEST VARS'!$C$48*($DM$8*0.5)+'LINEST VARS'!$B$48*($DM$8*$CX24)+'LINEST VARS'!$A$48*(0.5*$CX24)</f>
        <v>369.99999999999989</v>
      </c>
      <c r="DN24" s="46">
        <f>'LINEST VARS'!$U$48+'LINEST VARS'!$T$48*(8)+'LINEST VARS'!$S$48*(8)+'LINEST VARS'!$R$48*($DN$8)+'LINEST VARS'!$Q$48*(0.5)+'LINEST VARS'!$P$48*($CX24)+'LINEST VARS'!$O$48*(8^2)+'LINEST VARS'!$N$48*(8^2)+'LINEST VARS'!$M$48*($DN$8^2)+'LINEST VARS'!$L$48*(0.5^2)+'LINEST VARS'!$K$48*($CX24^2)+'LINEST VARS'!$J$48*(8*8)+'LINEST VARS'!$I$48*(8*$DN$8)+'LINEST VARS'!$H$48*(8*0.5)+'LINEST VARS'!$G$48*(8*$CX24)+'LINEST VARS'!$F$48*(8*$DN$8)+'LINEST VARS'!$E$48*(8*0.5)+'LINEST VARS'!$D$48*(8*$CX24)+'LINEST VARS'!$C$48*($DN$8*0.5)+'LINEST VARS'!$B$48*($DN$8*$CX24)+'LINEST VARS'!$A$48*(0.5*$CX24)</f>
        <v>369.99999999999989</v>
      </c>
      <c r="DO24" s="46">
        <f>'LINEST VARS'!$U$48+'LINEST VARS'!$T$48*(8)+'LINEST VARS'!$S$48*(8)+'LINEST VARS'!$R$48*($DO$8)+'LINEST VARS'!$Q$48*(0.5)+'LINEST VARS'!$P$48*($CX24)+'LINEST VARS'!$O$48*(8^2)+'LINEST VARS'!$N$48*(8^2)+'LINEST VARS'!$M$48*($DO$8^2)+'LINEST VARS'!$L$48*(0.5^2)+'LINEST VARS'!$K$48*($CX24^2)+'LINEST VARS'!$J$48*(8*8)+'LINEST VARS'!$I$48*(8*$DO$8)+'LINEST VARS'!$H$48*(8*0.5)+'LINEST VARS'!$G$48*(8*$CX24)+'LINEST VARS'!$F$48*(8*$DO$8)+'LINEST VARS'!$E$48*(8*0.5)+'LINEST VARS'!$D$48*(8*$CX24)+'LINEST VARS'!$C$48*($DO$8*0.5)+'LINEST VARS'!$B$48*($DO$8*$CX24)+'LINEST VARS'!$A$48*(0.5*$CX24)</f>
        <v>369.99999999999983</v>
      </c>
      <c r="DP24" s="46">
        <f>'LINEST VARS'!$U$48+'LINEST VARS'!$T$48*(8)+'LINEST VARS'!$S$48*(8)+'LINEST VARS'!$R$48*($DP$8)+'LINEST VARS'!$Q$48*(0.5)+'LINEST VARS'!$P$48*($CX24)+'LINEST VARS'!$O$48*(8^2)+'LINEST VARS'!$N$48*(8^2)+'LINEST VARS'!$M$48*($DP$8^2)+'LINEST VARS'!$L$48*(0.5^2)+'LINEST VARS'!$K$48*($CX24^2)+'LINEST VARS'!$J$48*(8*8)+'LINEST VARS'!$I$48*(8*$DP$8)+'LINEST VARS'!$H$48*(8*0.5)+'LINEST VARS'!$G$48*(8*$CX24)+'LINEST VARS'!$F$48*(8*$DP$8)+'LINEST VARS'!$E$48*(8*0.5)+'LINEST VARS'!$D$48*(8*$CX24)+'LINEST VARS'!$C$48*($DP$8*0.5)+'LINEST VARS'!$B$48*($DP$8*$CX24)+'LINEST VARS'!$A$48*(0.5*$CX24)</f>
        <v>369.99999999999983</v>
      </c>
      <c r="DQ24" s="46">
        <f>'LINEST VARS'!$U$48+'LINEST VARS'!$T$48*(8)+'LINEST VARS'!$S$48*(8)+'LINEST VARS'!$R$48*($DQ$8)+'LINEST VARS'!$Q$48*(0.5)+'LINEST VARS'!$P$48*($CX24)+'LINEST VARS'!$O$48*(8^2)+'LINEST VARS'!$N$48*(8^2)+'LINEST VARS'!$M$48*($DQ$8^2)+'LINEST VARS'!$L$48*(0.5^2)+'LINEST VARS'!$K$48*($CX24^2)+'LINEST VARS'!$J$48*(8*8)+'LINEST VARS'!$I$48*(8*$DQ$8)+'LINEST VARS'!$H$48*(8*0.5)+'LINEST VARS'!$G$48*(8*$CX24)+'LINEST VARS'!$F$48*(8*$DQ$8)+'LINEST VARS'!$E$48*(8*0.5)+'LINEST VARS'!$D$48*(8*$CX24)+'LINEST VARS'!$C$48*($DQ$8*0.5)+'LINEST VARS'!$B$48*($DQ$8*$CX24)+'LINEST VARS'!$A$48*(0.5*$CX24)</f>
        <v>369.99999999999983</v>
      </c>
      <c r="DR24" s="46">
        <f>'LINEST VARS'!$U$48+'LINEST VARS'!$T$48*(8)+'LINEST VARS'!$S$48*(8)+'LINEST VARS'!$R$48*($DR$8)+'LINEST VARS'!$Q$48*(0.5)+'LINEST VARS'!$P$48*($CX24)+'LINEST VARS'!$O$48*(8^2)+'LINEST VARS'!$N$48*(8^2)+'LINEST VARS'!$M$48*($DR$8^2)+'LINEST VARS'!$L$48*(0.5^2)+'LINEST VARS'!$K$48*($CX24^2)+'LINEST VARS'!$J$48*(8*8)+'LINEST VARS'!$I$48*(8*$DR$8)+'LINEST VARS'!$H$48*(8*0.5)+'LINEST VARS'!$G$48*(8*$CX24)+'LINEST VARS'!$F$48*(8*$DR$8)+'LINEST VARS'!$E$48*(8*0.5)+'LINEST VARS'!$D$48*(8*$CX24)+'LINEST VARS'!$C$48*($DR$8*0.5)+'LINEST VARS'!$B$48*($DR$8*$CX24)+'LINEST VARS'!$A$48*(0.5*$CX24)</f>
        <v>369.99999999999983</v>
      </c>
      <c r="DS24" s="47">
        <f>'LINEST VARS'!$U$48+'LINEST VARS'!$T$48*(8)+'LINEST VARS'!$S$48*(8)+'LINEST VARS'!$R$48*($DS$8)+'LINEST VARS'!$Q$48*(0.5)+'LINEST VARS'!$P$48*($CX24)+'LINEST VARS'!$O$48*(8^2)+'LINEST VARS'!$N$48*(8^2)+'LINEST VARS'!$M$48*($DS$8^2)+'LINEST VARS'!$L$48*(0.5^2)+'LINEST VARS'!$K$48*($CX24^2)+'LINEST VARS'!$J$48*(8*8)+'LINEST VARS'!$I$48*(8*$DS$8)+'LINEST VARS'!$H$48*(8*0.5)+'LINEST VARS'!$G$48*(8*$CX24)+'LINEST VARS'!$F$48*(8*$DS$8)+'LINEST VARS'!$E$48*(8*0.5)+'LINEST VARS'!$D$48*(8*$CX24)+'LINEST VARS'!$C$48*($DS$8*0.5)+'LINEST VARS'!$B$48*($DS$8*$CX24)+'LINEST VARS'!$A$48*(0.5*$CX24)</f>
        <v>369.99999999999983</v>
      </c>
      <c r="DV24" s="45">
        <v>19.4925</v>
      </c>
      <c r="DW24" s="46">
        <f>'LINEST VARS'!$U$50+'LINEST VARS'!$T$50*(8)+'LINEST VARS'!$S$50*(8)+'LINEST VARS'!$R$50*($DW$8)+'LINEST VARS'!$Q$50*(0.5)+'LINEST VARS'!$P$50*($DV24)+'LINEST VARS'!$O$50*(8^2)+'LINEST VARS'!$N$50*(8^2)+'LINEST VARS'!$M$50*($DW$8^2)+'LINEST VARS'!$L$50*(0.5^2)+'LINEST VARS'!$K$50*($DV24^2)+'LINEST VARS'!$J$50*(8*8)+'LINEST VARS'!$I$50*(8*$DW$8)+'LINEST VARS'!$H$50*(8*0.5)+'LINEST VARS'!$G$50*(8*$DV24)+'LINEST VARS'!$F$50*(8*$DW$8)+'LINEST VARS'!$E$50*(8*0.5)+'LINEST VARS'!$D$50*(8*$DV24)+'LINEST VARS'!$C$50*($DW$8*0.5)+'LINEST VARS'!$B$50*($DW$8*$DV24)+'LINEST VARS'!$A$50*(0.5*$DV24)</f>
        <v>331.99999999999989</v>
      </c>
      <c r="DX24" s="46">
        <f>'LINEST VARS'!$U$50+'LINEST VARS'!$T$50*(8)+'LINEST VARS'!$S$50*(8)+'LINEST VARS'!$R$50*($DX$8)+'LINEST VARS'!$Q$50*(0.5)+'LINEST VARS'!$P$50*($DV24)+'LINEST VARS'!$O$50*(8^2)+'LINEST VARS'!$N$50*(8^2)+'LINEST VARS'!$M$50*($DX$8^2)+'LINEST VARS'!$L$50*(0.5^2)+'LINEST VARS'!$K$50*($DV24^2)+'LINEST VARS'!$J$50*(8*8)+'LINEST VARS'!$I$50*(8*$DX$8)+'LINEST VARS'!$H$50*(8*0.5)+'LINEST VARS'!$G$50*(8*$DV24)+'LINEST VARS'!$F$50*(8*$DX$8)+'LINEST VARS'!$E$50*(8*0.5)+'LINEST VARS'!$D$50*(8*$DV24)+'LINEST VARS'!$C$50*($DX$8*0.5)+'LINEST VARS'!$B$50*($DX$8*$DV24)+'LINEST VARS'!$A$50*(0.5*$DV24)</f>
        <v>331.99999999999989</v>
      </c>
      <c r="DY24" s="46">
        <f>'LINEST VARS'!$U$50+'LINEST VARS'!$T$50*(8)+'LINEST VARS'!$S$50*(8)+'LINEST VARS'!$R$50*($DY$8)+'LINEST VARS'!$Q$50*(0.5)+'LINEST VARS'!$P$50*($DV24)+'LINEST VARS'!$O$50*(8^2)+'LINEST VARS'!$N$50*(8^2)+'LINEST VARS'!$M$50*($DY$8^2)+'LINEST VARS'!$L$50*(0.5^2)+'LINEST VARS'!$K$50*($DV24^2)+'LINEST VARS'!$J$50*(8*8)+'LINEST VARS'!$I$50*(8*$DY$8)+'LINEST VARS'!$H$50*(8*0.5)+'LINEST VARS'!$G$50*(8*$DV24)+'LINEST VARS'!$F$50*(8*$DY$8)+'LINEST VARS'!$E$50*(8*0.5)+'LINEST VARS'!$D$50*(8*$DV24)+'LINEST VARS'!$C$50*($DY$8*0.5)+'LINEST VARS'!$B$50*($DY$8*$DV24)+'LINEST VARS'!$A$50*(0.5*$DV24)</f>
        <v>331.99999999999989</v>
      </c>
      <c r="DZ24" s="46">
        <f>'LINEST VARS'!$U$50+'LINEST VARS'!$T$50*(8)+'LINEST VARS'!$S$50*(8)+'LINEST VARS'!$R$50*($DZ$8)+'LINEST VARS'!$Q$50*(0.5)+'LINEST VARS'!$P$50*($DV24)+'LINEST VARS'!$O$50*(8^2)+'LINEST VARS'!$N$50*(8^2)+'LINEST VARS'!$M$50*($DZ$8^2)+'LINEST VARS'!$L$50*(0.5^2)+'LINEST VARS'!$K$50*($DV24^2)+'LINEST VARS'!$J$50*(8*8)+'LINEST VARS'!$I$50*(8*$DZ$8)+'LINEST VARS'!$H$50*(8*0.5)+'LINEST VARS'!$G$50*(8*$DV24)+'LINEST VARS'!$F$50*(8*$DZ$8)+'LINEST VARS'!$E$50*(8*0.5)+'LINEST VARS'!$D$50*(8*$DV24)+'LINEST VARS'!$C$50*($DZ$8*0.5)+'LINEST VARS'!$B$50*($DZ$8*$DV24)+'LINEST VARS'!$A$50*(0.5*$DV24)</f>
        <v>331.99999999999989</v>
      </c>
      <c r="EA24" s="46">
        <f>'LINEST VARS'!$U$50+'LINEST VARS'!$T$50*(8)+'LINEST VARS'!$S$50*(8)+'LINEST VARS'!$R$50*($EA$8)+'LINEST VARS'!$Q$50*(0.5)+'LINEST VARS'!$P$50*($DV24)+'LINEST VARS'!$O$50*(8^2)+'LINEST VARS'!$N$50*(8^2)+'LINEST VARS'!$M$50*($EA$8^2)+'LINEST VARS'!$L$50*(0.5^2)+'LINEST VARS'!$K$50*($DV24^2)+'LINEST VARS'!$J$50*(8*8)+'LINEST VARS'!$I$50*(8*$EA$8)+'LINEST VARS'!$H$50*(8*0.5)+'LINEST VARS'!$G$50*(8*$DV24)+'LINEST VARS'!$F$50*(8*$EA$8)+'LINEST VARS'!$E$50*(8*0.5)+'LINEST VARS'!$D$50*(8*$DV24)+'LINEST VARS'!$C$50*($EA$8*0.5)+'LINEST VARS'!$B$50*($EA$8*$DV24)+'LINEST VARS'!$A$50*(0.5*$DV24)</f>
        <v>331.99999999999989</v>
      </c>
      <c r="EB24" s="46">
        <f>'LINEST VARS'!$U$50+'LINEST VARS'!$T$50*(8)+'LINEST VARS'!$S$50*(8)+'LINEST VARS'!$R$50*($EB$8)+'LINEST VARS'!$Q$50*(0.5)+'LINEST VARS'!$P$50*($DV24)+'LINEST VARS'!$O$50*(8^2)+'LINEST VARS'!$N$50*(8^2)+'LINEST VARS'!$M$50*($EB$8^2)+'LINEST VARS'!$L$50*(0.5^2)+'LINEST VARS'!$K$50*($DV24^2)+'LINEST VARS'!$J$50*(8*8)+'LINEST VARS'!$I$50*(8*$EB$8)+'LINEST VARS'!$H$50*(8*0.5)+'LINEST VARS'!$G$50*(8*$DV24)+'LINEST VARS'!$F$50*(8*$EB$8)+'LINEST VARS'!$E$50*(8*0.5)+'LINEST VARS'!$D$50*(8*$DV24)+'LINEST VARS'!$C$50*($EB$8*0.5)+'LINEST VARS'!$B$50*($EB$8*$DV24)+'LINEST VARS'!$A$50*(0.5*$DV24)</f>
        <v>331.99999999999989</v>
      </c>
      <c r="EC24" s="46">
        <f>'LINEST VARS'!$U$50+'LINEST VARS'!$T$50*(8)+'LINEST VARS'!$S$50*(8)+'LINEST VARS'!$R$50*($EC$8)+'LINEST VARS'!$Q$50*(0.5)+'LINEST VARS'!$P$50*($DV24)+'LINEST VARS'!$O$50*(8^2)+'LINEST VARS'!$N$50*(8^2)+'LINEST VARS'!$M$50*($EC$8^2)+'LINEST VARS'!$L$50*(0.5^2)+'LINEST VARS'!$K$50*($DV24^2)+'LINEST VARS'!$J$50*(8*8)+'LINEST VARS'!$I$50*(8*$EC$8)+'LINEST VARS'!$H$50*(8*0.5)+'LINEST VARS'!$G$50*(8*$DV24)+'LINEST VARS'!$F$50*(8*$EC$8)+'LINEST VARS'!$E$50*(8*0.5)+'LINEST VARS'!$D$50*(8*$DV24)+'LINEST VARS'!$C$50*($EC$8*0.5)+'LINEST VARS'!$B$50*($EC$8*$DV24)+'LINEST VARS'!$A$50*(0.5*$DV24)</f>
        <v>331.99999999999989</v>
      </c>
      <c r="ED24" s="46">
        <f>'LINEST VARS'!$U$50+'LINEST VARS'!$T$50*(8)+'LINEST VARS'!$S$50*(8)+'LINEST VARS'!$R$50*($ED$8)+'LINEST VARS'!$Q$50*(0.5)+'LINEST VARS'!$P$50*($DV24)+'LINEST VARS'!$O$50*(8^2)+'LINEST VARS'!$N$50*(8^2)+'LINEST VARS'!$M$50*($ED$8^2)+'LINEST VARS'!$L$50*(0.5^2)+'LINEST VARS'!$K$50*($DV24^2)+'LINEST VARS'!$J$50*(8*8)+'LINEST VARS'!$I$50*(8*$ED$8)+'LINEST VARS'!$H$50*(8*0.5)+'LINEST VARS'!$G$50*(8*$DV24)+'LINEST VARS'!$F$50*(8*$ED$8)+'LINEST VARS'!$E$50*(8*0.5)+'LINEST VARS'!$D$50*(8*$DV24)+'LINEST VARS'!$C$50*($ED$8*0.5)+'LINEST VARS'!$B$50*($ED$8*$DV24)+'LINEST VARS'!$A$50*(0.5*$DV24)</f>
        <v>331.99999999999989</v>
      </c>
      <c r="EE24" s="46">
        <f>'LINEST VARS'!$U$50+'LINEST VARS'!$T$50*(8)+'LINEST VARS'!$S$50*(8)+'LINEST VARS'!$R$50*($EE$8)+'LINEST VARS'!$Q$50*(0.5)+'LINEST VARS'!$P$50*($DV24)+'LINEST VARS'!$O$50*(8^2)+'LINEST VARS'!$N$50*(8^2)+'LINEST VARS'!$M$50*($EE$8^2)+'LINEST VARS'!$L$50*(0.5^2)+'LINEST VARS'!$K$50*($DV24^2)+'LINEST VARS'!$J$50*(8*8)+'LINEST VARS'!$I$50*(8*$EE$8)+'LINEST VARS'!$H$50*(8*0.5)+'LINEST VARS'!$G$50*(8*$DV24)+'LINEST VARS'!$F$50*(8*$EE$8)+'LINEST VARS'!$E$50*(8*0.5)+'LINEST VARS'!$D$50*(8*$DV24)+'LINEST VARS'!$C$50*($EE$8*0.5)+'LINEST VARS'!$B$50*($EE$8*$DV24)+'LINEST VARS'!$A$50*(0.5*$DV24)</f>
        <v>331.99999999999989</v>
      </c>
      <c r="EF24" s="46">
        <f>'LINEST VARS'!$U$50+'LINEST VARS'!$T$50*(8)+'LINEST VARS'!$S$50*(8)+'LINEST VARS'!$R$50*($EF$8)+'LINEST VARS'!$Q$50*(0.5)+'LINEST VARS'!$P$50*($DV24)+'LINEST VARS'!$O$50*(8^2)+'LINEST VARS'!$N$50*(8^2)+'LINEST VARS'!$M$50*($EF$8^2)+'LINEST VARS'!$L$50*(0.5^2)+'LINEST VARS'!$K$50*($DV24^2)+'LINEST VARS'!$J$50*(8*8)+'LINEST VARS'!$I$50*(8*$EF$8)+'LINEST VARS'!$H$50*(8*0.5)+'LINEST VARS'!$G$50*(8*$DV24)+'LINEST VARS'!$F$50*(8*$EF$8)+'LINEST VARS'!$E$50*(8*0.5)+'LINEST VARS'!$D$50*(8*$DV24)+'LINEST VARS'!$C$50*($EF$8*0.5)+'LINEST VARS'!$B$50*($EF$8*$DV24)+'LINEST VARS'!$A$50*(0.5*$DV24)</f>
        <v>331.99999999999989</v>
      </c>
      <c r="EG24" s="46">
        <f>'LINEST VARS'!$U$50+'LINEST VARS'!$T$50*(8)+'LINEST VARS'!$S$50*(8)+'LINEST VARS'!$R$50*($EG$8)+'LINEST VARS'!$Q$50*(0.5)+'LINEST VARS'!$P$50*($DV24)+'LINEST VARS'!$O$50*(8^2)+'LINEST VARS'!$N$50*(8^2)+'LINEST VARS'!$M$50*($EG$8^2)+'LINEST VARS'!$L$50*(0.5^2)+'LINEST VARS'!$K$50*($DV24^2)+'LINEST VARS'!$J$50*(8*8)+'LINEST VARS'!$I$50*(8*$EG$8)+'LINEST VARS'!$H$50*(8*0.5)+'LINEST VARS'!$G$50*(8*$DV24)+'LINEST VARS'!$F$50*(8*$EG$8)+'LINEST VARS'!$E$50*(8*0.5)+'LINEST VARS'!$D$50*(8*$DV24)+'LINEST VARS'!$C$50*($EG$8*0.5)+'LINEST VARS'!$B$50*($EG$8*$DV24)+'LINEST VARS'!$A$50*(0.5*$DV24)</f>
        <v>331.99999999999989</v>
      </c>
      <c r="EH24" s="46">
        <f>'LINEST VARS'!$U$50+'LINEST VARS'!$T$50*(8)+'LINEST VARS'!$S$50*(8)+'LINEST VARS'!$R$50*($EH$8)+'LINEST VARS'!$Q$50*(0.5)+'LINEST VARS'!$P$50*($DV24)+'LINEST VARS'!$O$50*(8^2)+'LINEST VARS'!$N$50*(8^2)+'LINEST VARS'!$M$50*($EH$8^2)+'LINEST VARS'!$L$50*(0.5^2)+'LINEST VARS'!$K$50*($DV24^2)+'LINEST VARS'!$J$50*(8*8)+'LINEST VARS'!$I$50*(8*$EH$8)+'LINEST VARS'!$H$50*(8*0.5)+'LINEST VARS'!$G$50*(8*$DV24)+'LINEST VARS'!$F$50*(8*$EH$8)+'LINEST VARS'!$E$50*(8*0.5)+'LINEST VARS'!$D$50*(8*$DV24)+'LINEST VARS'!$C$50*($EH$8*0.5)+'LINEST VARS'!$B$50*($EH$8*$DV24)+'LINEST VARS'!$A$50*(0.5*$DV24)</f>
        <v>331.99999999999989</v>
      </c>
      <c r="EI24" s="46">
        <f>'LINEST VARS'!$U$50+'LINEST VARS'!$T$50*(8)+'LINEST VARS'!$S$50*(8)+'LINEST VARS'!$R$50*($EI$8)+'LINEST VARS'!$Q$50*(0.5)+'LINEST VARS'!$P$50*($DV24)+'LINEST VARS'!$O$50*(8^2)+'LINEST VARS'!$N$50*(8^2)+'LINEST VARS'!$M$50*($EI$8^2)+'LINEST VARS'!$L$50*(0.5^2)+'LINEST VARS'!$K$50*($DV24^2)+'LINEST VARS'!$J$50*(8*8)+'LINEST VARS'!$I$50*(8*$EI$8)+'LINEST VARS'!$H$50*(8*0.5)+'LINEST VARS'!$G$50*(8*$DV24)+'LINEST VARS'!$F$50*(8*$EI$8)+'LINEST VARS'!$E$50*(8*0.5)+'LINEST VARS'!$D$50*(8*$DV24)+'LINEST VARS'!$C$50*($EI$8*0.5)+'LINEST VARS'!$B$50*($EI$8*$DV24)+'LINEST VARS'!$A$50*(0.5*$DV24)</f>
        <v>331.99999999999989</v>
      </c>
      <c r="EJ24" s="46">
        <f>'LINEST VARS'!$U$50+'LINEST VARS'!$T$50*(8)+'LINEST VARS'!$S$50*(8)+'LINEST VARS'!$R$50*($EJ$8)+'LINEST VARS'!$Q$50*(0.5)+'LINEST VARS'!$P$50*($DV24)+'LINEST VARS'!$O$50*(8^2)+'LINEST VARS'!$N$50*(8^2)+'LINEST VARS'!$M$50*($EJ$8^2)+'LINEST VARS'!$L$50*(0.5^2)+'LINEST VARS'!$K$50*($DV24^2)+'LINEST VARS'!$J$50*(8*8)+'LINEST VARS'!$I$50*(8*$EJ$8)+'LINEST VARS'!$H$50*(8*0.5)+'LINEST VARS'!$G$50*(8*$DV24)+'LINEST VARS'!$F$50*(8*$EJ$8)+'LINEST VARS'!$E$50*(8*0.5)+'LINEST VARS'!$D$50*(8*$DV24)+'LINEST VARS'!$C$50*($EJ$8*0.5)+'LINEST VARS'!$B$50*($EJ$8*$DV24)+'LINEST VARS'!$A$50*(0.5*$DV24)</f>
        <v>331.99999999999989</v>
      </c>
      <c r="EK24" s="46">
        <f>'LINEST VARS'!$U$50+'LINEST VARS'!$T$50*(8)+'LINEST VARS'!$S$50*(8)+'LINEST VARS'!$R$50*($EK$8)+'LINEST VARS'!$Q$50*(0.5)+'LINEST VARS'!$P$50*($DV24)+'LINEST VARS'!$O$50*(8^2)+'LINEST VARS'!$N$50*(8^2)+'LINEST VARS'!$M$50*($EK$8^2)+'LINEST VARS'!$L$50*(0.5^2)+'LINEST VARS'!$K$50*($DV24^2)+'LINEST VARS'!$J$50*(8*8)+'LINEST VARS'!$I$50*(8*$EK$8)+'LINEST VARS'!$H$50*(8*0.5)+'LINEST VARS'!$G$50*(8*$DV24)+'LINEST VARS'!$F$50*(8*$EK$8)+'LINEST VARS'!$E$50*(8*0.5)+'LINEST VARS'!$D$50*(8*$DV24)+'LINEST VARS'!$C$50*($EK$8*0.5)+'LINEST VARS'!$B$50*($EK$8*$DV24)+'LINEST VARS'!$A$50*(0.5*$DV24)</f>
        <v>331.99999999999989</v>
      </c>
      <c r="EL24" s="46">
        <f>'LINEST VARS'!$U$50+'LINEST VARS'!$T$50*(8)+'LINEST VARS'!$S$50*(8)+'LINEST VARS'!$R$50*($EL$8)+'LINEST VARS'!$Q$50*(0.5)+'LINEST VARS'!$P$50*($DV24)+'LINEST VARS'!$O$50*(8^2)+'LINEST VARS'!$N$50*(8^2)+'LINEST VARS'!$M$50*($EL$8^2)+'LINEST VARS'!$L$50*(0.5^2)+'LINEST VARS'!$K$50*($DV24^2)+'LINEST VARS'!$J$50*(8*8)+'LINEST VARS'!$I$50*(8*$EL$8)+'LINEST VARS'!$H$50*(8*0.5)+'LINEST VARS'!$G$50*(8*$DV24)+'LINEST VARS'!$F$50*(8*$EL$8)+'LINEST VARS'!$E$50*(8*0.5)+'LINEST VARS'!$D$50*(8*$DV24)+'LINEST VARS'!$C$50*($EL$8*0.5)+'LINEST VARS'!$B$50*($EL$8*$DV24)+'LINEST VARS'!$A$50*(0.5*$DV24)</f>
        <v>331.99999999999989</v>
      </c>
      <c r="EM24" s="46">
        <f>'LINEST VARS'!$U$50+'LINEST VARS'!$T$50*(8)+'LINEST VARS'!$S$50*(8)+'LINEST VARS'!$R$50*($EM$8)+'LINEST VARS'!$Q$50*(0.5)+'LINEST VARS'!$P$50*($DV24)+'LINEST VARS'!$O$50*(8^2)+'LINEST VARS'!$N$50*(8^2)+'LINEST VARS'!$M$50*($EM$8^2)+'LINEST VARS'!$L$50*(0.5^2)+'LINEST VARS'!$K$50*($DV24^2)+'LINEST VARS'!$J$50*(8*8)+'LINEST VARS'!$I$50*(8*$EM$8)+'LINEST VARS'!$H$50*(8*0.5)+'LINEST VARS'!$G$50*(8*$DV24)+'LINEST VARS'!$F$50*(8*$EM$8)+'LINEST VARS'!$E$50*(8*0.5)+'LINEST VARS'!$D$50*(8*$DV24)+'LINEST VARS'!$C$50*($EM$8*0.5)+'LINEST VARS'!$B$50*($EM$8*$DV24)+'LINEST VARS'!$A$50*(0.5*$DV24)</f>
        <v>331.99999999999989</v>
      </c>
      <c r="EN24" s="46">
        <f>'LINEST VARS'!$U$50+'LINEST VARS'!$T$50*(8)+'LINEST VARS'!$S$50*(8)+'LINEST VARS'!$R$50*($EN$8)+'LINEST VARS'!$Q$50*(0.5)+'LINEST VARS'!$P$50*($DV24)+'LINEST VARS'!$O$50*(8^2)+'LINEST VARS'!$N$50*(8^2)+'LINEST VARS'!$M$50*($EN$8^2)+'LINEST VARS'!$L$50*(0.5^2)+'LINEST VARS'!$K$50*($DV24^2)+'LINEST VARS'!$J$50*(8*8)+'LINEST VARS'!$I$50*(8*$EN$8)+'LINEST VARS'!$H$50*(8*0.5)+'LINEST VARS'!$G$50*(8*$DV24)+'LINEST VARS'!$F$50*(8*$EN$8)+'LINEST VARS'!$E$50*(8*0.5)+'LINEST VARS'!$D$50*(8*$DV24)+'LINEST VARS'!$C$50*($EN$8*0.5)+'LINEST VARS'!$B$50*($EN$8*$DV24)+'LINEST VARS'!$A$50*(0.5*$DV24)</f>
        <v>331.99999999999989</v>
      </c>
      <c r="EO24" s="46">
        <f>'LINEST VARS'!$U$50+'LINEST VARS'!$T$50*(8)+'LINEST VARS'!$S$50*(8)+'LINEST VARS'!$R$50*($EO$8)+'LINEST VARS'!$Q$50*(0.5)+'LINEST VARS'!$P$50*($DV24)+'LINEST VARS'!$O$50*(8^2)+'LINEST VARS'!$N$50*(8^2)+'LINEST VARS'!$M$50*($EO$8^2)+'LINEST VARS'!$L$50*(0.5^2)+'LINEST VARS'!$K$50*($DV24^2)+'LINEST VARS'!$J$50*(8*8)+'LINEST VARS'!$I$50*(8*$EO$8)+'LINEST VARS'!$H$50*(8*0.5)+'LINEST VARS'!$G$50*(8*$DV24)+'LINEST VARS'!$F$50*(8*$EO$8)+'LINEST VARS'!$E$50*(8*0.5)+'LINEST VARS'!$D$50*(8*$DV24)+'LINEST VARS'!$C$50*($EO$8*0.5)+'LINEST VARS'!$B$50*($EO$8*$DV24)+'LINEST VARS'!$A$50*(0.5*$DV24)</f>
        <v>331.99999999999989</v>
      </c>
      <c r="EP24" s="46">
        <f>'LINEST VARS'!$U$50+'LINEST VARS'!$T$50*(8)+'LINEST VARS'!$S$50*(8)+'LINEST VARS'!$R$50*($EP$8)+'LINEST VARS'!$Q$50*(0.5)+'LINEST VARS'!$P$50*($DV24)+'LINEST VARS'!$O$50*(8^2)+'LINEST VARS'!$N$50*(8^2)+'LINEST VARS'!$M$50*($EP$8^2)+'LINEST VARS'!$L$50*(0.5^2)+'LINEST VARS'!$K$50*($DV24^2)+'LINEST VARS'!$J$50*(8*8)+'LINEST VARS'!$I$50*(8*$EP$8)+'LINEST VARS'!$H$50*(8*0.5)+'LINEST VARS'!$G$50*(8*$DV24)+'LINEST VARS'!$F$50*(8*$EP$8)+'LINEST VARS'!$E$50*(8*0.5)+'LINEST VARS'!$D$50*(8*$DV24)+'LINEST VARS'!$C$50*($EP$8*0.5)+'LINEST VARS'!$B$50*($EP$8*$DV24)+'LINEST VARS'!$A$50*(0.5*$DV24)</f>
        <v>331.99999999999989</v>
      </c>
      <c r="EQ24" s="47">
        <f>'LINEST VARS'!$U$50+'LINEST VARS'!$T$50*(8)+'LINEST VARS'!$S$50*(8)+'LINEST VARS'!$R$50*($EQ$8)+'LINEST VARS'!$Q$50*(0.5)+'LINEST VARS'!$P$50*($DV24)+'LINEST VARS'!$O$50*(8^2)+'LINEST VARS'!$N$50*(8^2)+'LINEST VARS'!$M$50*($EQ$8^2)+'LINEST VARS'!$L$50*(0.5^2)+'LINEST VARS'!$K$50*($DV24^2)+'LINEST VARS'!$J$50*(8*8)+'LINEST VARS'!$I$50*(8*$EQ$8)+'LINEST VARS'!$H$50*(8*0.5)+'LINEST VARS'!$G$50*(8*$DV24)+'LINEST VARS'!$F$50*(8*$EQ$8)+'LINEST VARS'!$E$50*(8*0.5)+'LINEST VARS'!$D$50*(8*$DV24)+'LINEST VARS'!$C$50*($EQ$8*0.5)+'LINEST VARS'!$B$50*($EQ$8*$DV24)+'LINEST VARS'!$A$50*(0.5*$DV24)</f>
        <v>331.99999999999989</v>
      </c>
    </row>
    <row r="25" spans="2:147" ht="15" customHeight="1" x14ac:dyDescent="0.25">
      <c r="B25" s="45">
        <v>8.36</v>
      </c>
      <c r="C25" s="46">
        <f>'LINEST VARS'!$U$48+'LINEST VARS'!$T$48*($C$8)+'LINEST VARS'!$S$48*($B25)+'LINEST VARS'!$R$48*(4)+'LINEST VARS'!$Q$48*(0.5)+'LINEST VARS'!$P$48*(12.73)+'LINEST VARS'!$O$48*($C$8^2)+'LINEST VARS'!$N$48*($B25^2)+'LINEST VARS'!$M$48*(4^2)+'LINEST VARS'!$L$48*(0.5^2)+'LINEST VARS'!$K$48*(12.73^2)+'LINEST VARS'!$J$48*($C$8*$B25)+'LINEST VARS'!$I$48*($C$8*4)+'LINEST VARS'!$H$48*($C$8*0.5)+'LINEST VARS'!$G$48*($C$8*12.73)+'LINEST VARS'!$F$48*($B25*4)+'LINEST VARS'!$E$48*($B25*0.5)+'LINEST VARS'!$D$48*($B25*12.73)+'LINEST VARS'!$C$48*(4*0.5)+'LINEST VARS'!$B$48*(4*12.73)+'LINEST VARS'!$A$48*(0.5*12.73)</f>
        <v>323.67999999999984</v>
      </c>
      <c r="D25" s="46">
        <f>'LINEST VARS'!$U$48+'LINEST VARS'!$T$48*($D$8)+'LINEST VARS'!$S$48*($B25)+'LINEST VARS'!$R$48*(4)+'LINEST VARS'!$Q$48*(0.5)+'LINEST VARS'!$P$48*(12.73)+'LINEST VARS'!$O$48*($D$8^2)+'LINEST VARS'!$N$48*($B25^2)+'LINEST VARS'!$M$48*(4^2)+'LINEST VARS'!$L$48*(0.5^2)+'LINEST VARS'!$K$48*(12.73^2)+'LINEST VARS'!$J$48*($D$8*$B25)+'LINEST VARS'!$I$48*($D$8*4)+'LINEST VARS'!$H$48*($D$8*0.5)+'LINEST VARS'!$G$48*($D$8*12.73)+'LINEST VARS'!$F$48*($B25*4)+'LINEST VARS'!$E$48*($B25*0.5)+'LINEST VARS'!$D$48*($B25*12.73)+'LINEST VARS'!$C$48*(4*0.5)+'LINEST VARS'!$B$48*(4*12.73)+'LINEST VARS'!$A$48*(0.5*12.73)</f>
        <v>328.25799999999981</v>
      </c>
      <c r="E25" s="46">
        <f>'LINEST VARS'!$U$48+'LINEST VARS'!$T$48*($E$8)+'LINEST VARS'!$S$48*($B25)+'LINEST VARS'!$R$48*(4)+'LINEST VARS'!$Q$48*(0.5)+'LINEST VARS'!$P$48*(12.73)+'LINEST VARS'!$O$48*($E$8^2)+'LINEST VARS'!$N$48*($B25^2)+'LINEST VARS'!$M$48*(4^2)+'LINEST VARS'!$L$48*(0.5^2)+'LINEST VARS'!$K$48*(12.73^2)+'LINEST VARS'!$J$48*($E$8*$B25)+'LINEST VARS'!$I$48*($E$8*4)+'LINEST VARS'!$H$48*($E$8*0.5)+'LINEST VARS'!$G$48*($E$8*12.73)+'LINEST VARS'!$F$48*($B25*4)+'LINEST VARS'!$E$48*($B25*0.5)+'LINEST VARS'!$D$48*($B25*12.73)+'LINEST VARS'!$C$48*(4*0.5)+'LINEST VARS'!$B$48*(4*12.73)+'LINEST VARS'!$A$48*(0.5*12.73)</f>
        <v>332.87199999999979</v>
      </c>
      <c r="F25" s="46">
        <f>'LINEST VARS'!$U$48+'LINEST VARS'!$T$48*($F$8)+'LINEST VARS'!$S$48*($B25)+'LINEST VARS'!$R$48*(4)+'LINEST VARS'!$Q$48*(0.5)+'LINEST VARS'!$P$48*(12.73)+'LINEST VARS'!$O$48*($F$8^2)+'LINEST VARS'!$N$48*($B25^2)+'LINEST VARS'!$M$48*(4^2)+'LINEST VARS'!$L$48*(0.5^2)+'LINEST VARS'!$K$48*(12.73^2)+'LINEST VARS'!$J$48*($F$8*$B25)+'LINEST VARS'!$I$48*($F$8*4)+'LINEST VARS'!$H$48*($F$8*0.5)+'LINEST VARS'!$G$48*($F$8*12.73)+'LINEST VARS'!$F$48*($B25*4)+'LINEST VARS'!$E$48*($B25*0.5)+'LINEST VARS'!$D$48*($B25*12.73)+'LINEST VARS'!$C$48*(4*0.5)+'LINEST VARS'!$B$48*(4*12.73)+'LINEST VARS'!$A$48*(0.5*12.73)</f>
        <v>337.52199999999988</v>
      </c>
      <c r="G25" s="46">
        <f>'LINEST VARS'!$U$48+'LINEST VARS'!$T$48*($G$8)+'LINEST VARS'!$S$48*($B25)+'LINEST VARS'!$R$48*(4)+'LINEST VARS'!$Q$48*(0.5)+'LINEST VARS'!$P$48*(12.73)+'LINEST VARS'!$O$48*($G$8^2)+'LINEST VARS'!$N$48*($B25^2)+'LINEST VARS'!$M$48*(4^2)+'LINEST VARS'!$L$48*(0.5^2)+'LINEST VARS'!$K$48*(12.73^2)+'LINEST VARS'!$J$48*($G$8*$B25)+'LINEST VARS'!$I$48*($G$8*4)+'LINEST VARS'!$H$48*($G$8*0.5)+'LINEST VARS'!$G$48*($G$8*12.73)+'LINEST VARS'!$F$48*($B25*4)+'LINEST VARS'!$E$48*($B25*0.5)+'LINEST VARS'!$D$48*($B25*12.73)+'LINEST VARS'!$C$48*(4*0.5)+'LINEST VARS'!$B$48*(4*12.73)+'LINEST VARS'!$A$48*(0.5*12.73)</f>
        <v>342.20799999999986</v>
      </c>
      <c r="H25" s="46">
        <f>'LINEST VARS'!$U$48+'LINEST VARS'!$T$48*($H$8)+'LINEST VARS'!$S$48*($B25)+'LINEST VARS'!$R$48*(4)+'LINEST VARS'!$Q$48*(0.5)+'LINEST VARS'!$P$48*(12.73)+'LINEST VARS'!$O$48*($H$8^2)+'LINEST VARS'!$N$48*($B25^2)+'LINEST VARS'!$M$48*(4^2)+'LINEST VARS'!$L$48*(0.5^2)+'LINEST VARS'!$K$48*(12.73^2)+'LINEST VARS'!$J$48*($H$8*$B25)+'LINEST VARS'!$I$48*($H$8*4)+'LINEST VARS'!$H$48*($H$8*0.5)+'LINEST VARS'!$G$48*($H$8*12.73)+'LINEST VARS'!$F$48*($B25*4)+'LINEST VARS'!$E$48*($B25*0.5)+'LINEST VARS'!$D$48*($B25*12.73)+'LINEST VARS'!$C$48*(4*0.5)+'LINEST VARS'!$B$48*(4*12.73)+'LINEST VARS'!$A$48*(0.5*12.73)</f>
        <v>346.92999999999989</v>
      </c>
      <c r="I25" s="46">
        <f>'LINEST VARS'!$U$48+'LINEST VARS'!$T$48*($I$8)+'LINEST VARS'!$S$48*($B25)+'LINEST VARS'!$R$48*(4)+'LINEST VARS'!$Q$48*(0.5)+'LINEST VARS'!$P$48*(12.73)+'LINEST VARS'!$O$48*($I$8^2)+'LINEST VARS'!$N$48*($B25^2)+'LINEST VARS'!$M$48*(4^2)+'LINEST VARS'!$L$48*(0.5^2)+'LINEST VARS'!$K$48*(12.73^2)+'LINEST VARS'!$J$48*($I$8*$B25)+'LINEST VARS'!$I$48*($I$8*4)+'LINEST VARS'!$H$48*($I$8*0.5)+'LINEST VARS'!$G$48*($I$8*12.73)+'LINEST VARS'!$F$48*($B25*4)+'LINEST VARS'!$E$48*($B25*0.5)+'LINEST VARS'!$D$48*($B25*12.73)+'LINEST VARS'!$C$48*(4*0.5)+'LINEST VARS'!$B$48*(4*12.73)+'LINEST VARS'!$A$48*(0.5*12.73)</f>
        <v>351.68799999999987</v>
      </c>
      <c r="J25" s="46">
        <f>'LINEST VARS'!$U$48+'LINEST VARS'!$T$48*($J$8)+'LINEST VARS'!$S$48*($B25)+'LINEST VARS'!$R$48*(4)+'LINEST VARS'!$Q$48*(0.5)+'LINEST VARS'!$P$48*(12.73)+'LINEST VARS'!$O$48*($J$8^2)+'LINEST VARS'!$N$48*($B25^2)+'LINEST VARS'!$M$48*(4^2)+'LINEST VARS'!$L$48*(0.5^2)+'LINEST VARS'!$K$48*(12.73^2)+'LINEST VARS'!$J$48*($J$8*$B25)+'LINEST VARS'!$I$48*($J$8*4)+'LINEST VARS'!$H$48*($J$8*0.5)+'LINEST VARS'!$G$48*($J$8*12.73)+'LINEST VARS'!$F$48*($B25*4)+'LINEST VARS'!$E$48*($B25*0.5)+'LINEST VARS'!$D$48*($B25*12.73)+'LINEST VARS'!$C$48*(4*0.5)+'LINEST VARS'!$B$48*(4*12.73)+'LINEST VARS'!$A$48*(0.5*12.73)</f>
        <v>356.48199999999991</v>
      </c>
      <c r="K25" s="46">
        <f>'LINEST VARS'!$U$48+'LINEST VARS'!$T$48*($K$8)+'LINEST VARS'!$S$48*($B25)+'LINEST VARS'!$R$48*(4)+'LINEST VARS'!$Q$48*(0.5)+'LINEST VARS'!$P$48*(12.73)+'LINEST VARS'!$O$48*($K$8^2)+'LINEST VARS'!$N$48*($B25^2)+'LINEST VARS'!$M$48*(4^2)+'LINEST VARS'!$L$48*(0.5^2)+'LINEST VARS'!$K$48*(12.73^2)+'LINEST VARS'!$J$48*($K$8*$B25)+'LINEST VARS'!$I$48*($K$8*4)+'LINEST VARS'!$H$48*($K$8*0.5)+'LINEST VARS'!$G$48*($K$8*12.73)+'LINEST VARS'!$F$48*($B25*4)+'LINEST VARS'!$E$48*($B25*0.5)+'LINEST VARS'!$D$48*($B25*12.73)+'LINEST VARS'!$C$48*(4*0.5)+'LINEST VARS'!$B$48*(4*12.73)+'LINEST VARS'!$A$48*(0.5*12.73)</f>
        <v>361.3119999999999</v>
      </c>
      <c r="L25" s="46">
        <f>'LINEST VARS'!$U$48+'LINEST VARS'!$T$48*($L$8)+'LINEST VARS'!$S$48*($B25)+'LINEST VARS'!$R$48*(4)+'LINEST VARS'!$Q$48*(0.5)+'LINEST VARS'!$P$48*(12.73)+'LINEST VARS'!$O$48*($L$8^2)+'LINEST VARS'!$N$48*($B25^2)+'LINEST VARS'!$M$48*(4^2)+'LINEST VARS'!$L$48*(0.5^2)+'LINEST VARS'!$K$48*(12.73^2)+'LINEST VARS'!$J$48*($L$8*$B25)+'LINEST VARS'!$I$48*($L$8*4)+'LINEST VARS'!$H$48*($L$8*0.5)+'LINEST VARS'!$G$48*($L$8*12.73)+'LINEST VARS'!$F$48*($B25*4)+'LINEST VARS'!$E$48*($B25*0.5)+'LINEST VARS'!$D$48*($B25*12.73)+'LINEST VARS'!$C$48*(4*0.5)+'LINEST VARS'!$B$48*(4*12.73)+'LINEST VARS'!$A$48*(0.5*12.73)</f>
        <v>366.17799999999988</v>
      </c>
      <c r="M25" s="46">
        <f>'LINEST VARS'!$U$48+'LINEST VARS'!$T$48*($M$8)+'LINEST VARS'!$S$48*($B25)+'LINEST VARS'!$R$48*(4)+'LINEST VARS'!$Q$48*(0.5)+'LINEST VARS'!$P$48*(12.73)+'LINEST VARS'!$O$48*($M$8^2)+'LINEST VARS'!$N$48*($B25^2)+'LINEST VARS'!$M$48*(4^2)+'LINEST VARS'!$L$48*(0.5^2)+'LINEST VARS'!$K$48*(12.73^2)+'LINEST VARS'!$J$48*($M$8*$B25)+'LINEST VARS'!$I$48*($M$8*4)+'LINEST VARS'!$H$48*($M$8*0.5)+'LINEST VARS'!$G$48*($M$8*12.73)+'LINEST VARS'!$F$48*($B25*4)+'LINEST VARS'!$E$48*($B25*0.5)+'LINEST VARS'!$D$48*($B25*12.73)+'LINEST VARS'!$C$48*(4*0.5)+'LINEST VARS'!$B$48*(4*12.73)+'LINEST VARS'!$A$48*(0.5*12.73)</f>
        <v>371.07999999999981</v>
      </c>
      <c r="N25" s="46">
        <f>'LINEST VARS'!$U$48+'LINEST VARS'!$T$48*($N$8)+'LINEST VARS'!$S$48*($B25)+'LINEST VARS'!$R$48*(4)+'LINEST VARS'!$Q$48*(0.5)+'LINEST VARS'!$P$48*(12.73)+'LINEST VARS'!$O$48*($N$8^2)+'LINEST VARS'!$N$48*($B25^2)+'LINEST VARS'!$M$48*(4^2)+'LINEST VARS'!$L$48*(0.5^2)+'LINEST VARS'!$K$48*(12.73^2)+'LINEST VARS'!$J$48*($N$8*$B25)+'LINEST VARS'!$I$48*($N$8*4)+'LINEST VARS'!$H$48*($N$8*0.5)+'LINEST VARS'!$G$48*($N$8*12.73)+'LINEST VARS'!$F$48*($B25*4)+'LINEST VARS'!$E$48*($B25*0.5)+'LINEST VARS'!$D$48*($B25*12.73)+'LINEST VARS'!$C$48*(4*0.5)+'LINEST VARS'!$B$48*(4*12.73)+'LINEST VARS'!$A$48*(0.5*12.73)</f>
        <v>376.01799999999986</v>
      </c>
      <c r="O25" s="46">
        <f>'LINEST VARS'!$U$48+'LINEST VARS'!$T$48*($O$8)+'LINEST VARS'!$S$48*($B25)+'LINEST VARS'!$R$48*(4)+'LINEST VARS'!$Q$48*(0.5)+'LINEST VARS'!$P$48*(12.73)+'LINEST VARS'!$O$48*($O$8^2)+'LINEST VARS'!$N$48*($B25^2)+'LINEST VARS'!$M$48*(4^2)+'LINEST VARS'!$L$48*(0.5^2)+'LINEST VARS'!$K$48*(12.73^2)+'LINEST VARS'!$J$48*($O$8*$B25)+'LINEST VARS'!$I$48*($O$8*4)+'LINEST VARS'!$H$48*($O$8*0.5)+'LINEST VARS'!$G$48*($O$8*12.73)+'LINEST VARS'!$F$48*($B25*4)+'LINEST VARS'!$E$48*($B25*0.5)+'LINEST VARS'!$D$48*($B25*12.73)+'LINEST VARS'!$C$48*(4*0.5)+'LINEST VARS'!$B$48*(4*12.73)+'LINEST VARS'!$A$48*(0.5*12.73)</f>
        <v>380.99199999999973</v>
      </c>
      <c r="P25" s="46">
        <f>'LINEST VARS'!$U$48+'LINEST VARS'!$T$48*($P$8)+'LINEST VARS'!$S$48*($B25)+'LINEST VARS'!$R$48*(4)+'LINEST VARS'!$Q$48*(0.5)+'LINEST VARS'!$P$48*(12.73)+'LINEST VARS'!$O$48*($P$8^2)+'LINEST VARS'!$N$48*($B25^2)+'LINEST VARS'!$M$48*(4^2)+'LINEST VARS'!$L$48*(0.5^2)+'LINEST VARS'!$K$48*(12.73^2)+'LINEST VARS'!$J$48*($P$8*$B25)+'LINEST VARS'!$I$48*($P$8*4)+'LINEST VARS'!$H$48*($P$8*0.5)+'LINEST VARS'!$G$48*($P$8*12.73)+'LINEST VARS'!$F$48*($B25*4)+'LINEST VARS'!$E$48*($B25*0.5)+'LINEST VARS'!$D$48*($B25*12.73)+'LINEST VARS'!$C$48*(4*0.5)+'LINEST VARS'!$B$48*(4*12.73)+'LINEST VARS'!$A$48*(0.5*12.73)</f>
        <v>386.00199999999973</v>
      </c>
      <c r="Q25" s="46">
        <f>'LINEST VARS'!$U$48+'LINEST VARS'!$T$48*($Q$8)+'LINEST VARS'!$S$48*($B25)+'LINEST VARS'!$R$48*(4)+'LINEST VARS'!$Q$48*(0.5)+'LINEST VARS'!$P$48*(12.73)+'LINEST VARS'!$O$48*($Q$8^2)+'LINEST VARS'!$N$48*($B25^2)+'LINEST VARS'!$M$48*(4^2)+'LINEST VARS'!$L$48*(0.5^2)+'LINEST VARS'!$K$48*(12.73^2)+'LINEST VARS'!$J$48*($Q$8*$B25)+'LINEST VARS'!$I$48*($Q$8*4)+'LINEST VARS'!$H$48*($Q$8*0.5)+'LINEST VARS'!$G$48*($Q$8*12.73)+'LINEST VARS'!$F$48*($B25*4)+'LINEST VARS'!$E$48*($B25*0.5)+'LINEST VARS'!$D$48*($B25*12.73)+'LINEST VARS'!$C$48*(4*0.5)+'LINEST VARS'!$B$48*(4*12.73)+'LINEST VARS'!$A$48*(0.5*12.73)</f>
        <v>391.04799999999983</v>
      </c>
      <c r="R25" s="46">
        <f>'LINEST VARS'!$U$48+'LINEST VARS'!$T$48*($R$8)+'LINEST VARS'!$S$48*($B25)+'LINEST VARS'!$R$48*(4)+'LINEST VARS'!$Q$48*(0.5)+'LINEST VARS'!$P$48*(12.73)+'LINEST VARS'!$O$48*($R$8^2)+'LINEST VARS'!$N$48*($B25^2)+'LINEST VARS'!$M$48*(4^2)+'LINEST VARS'!$L$48*(0.5^2)+'LINEST VARS'!$K$48*(12.73^2)+'LINEST VARS'!$J$48*($R$8*$B25)+'LINEST VARS'!$I$48*($R$8*4)+'LINEST VARS'!$H$48*($R$8*0.5)+'LINEST VARS'!$G$48*($R$8*12.73)+'LINEST VARS'!$F$48*($B25*4)+'LINEST VARS'!$E$48*($B25*0.5)+'LINEST VARS'!$D$48*($B25*12.73)+'LINEST VARS'!$C$48*(4*0.5)+'LINEST VARS'!$B$48*(4*12.73)+'LINEST VARS'!$A$48*(0.5*12.73)</f>
        <v>396.12999999999988</v>
      </c>
      <c r="S25" s="46">
        <f>'LINEST VARS'!$U$48+'LINEST VARS'!$T$48*($S$8)+'LINEST VARS'!$S$48*($B25)+'LINEST VARS'!$R$48*(4)+'LINEST VARS'!$Q$48*(0.5)+'LINEST VARS'!$P$48*(12.73)+'LINEST VARS'!$O$48*($S$8^2)+'LINEST VARS'!$N$48*($B25^2)+'LINEST VARS'!$M$48*(4^2)+'LINEST VARS'!$L$48*(0.5^2)+'LINEST VARS'!$K$48*(12.73^2)+'LINEST VARS'!$J$48*($S$8*$B25)+'LINEST VARS'!$I$48*($S$8*4)+'LINEST VARS'!$H$48*($S$8*0.5)+'LINEST VARS'!$G$48*($S$8*12.73)+'LINEST VARS'!$F$48*($B25*4)+'LINEST VARS'!$E$48*($B25*0.5)+'LINEST VARS'!$D$48*($B25*12.73)+'LINEST VARS'!$C$48*(4*0.5)+'LINEST VARS'!$B$48*(4*12.73)+'LINEST VARS'!$A$48*(0.5*12.73)</f>
        <v>401.24799999999976</v>
      </c>
      <c r="T25" s="46">
        <f>'LINEST VARS'!$U$48+'LINEST VARS'!$T$48*($T$8)+'LINEST VARS'!$S$48*($B25)+'LINEST VARS'!$R$48*(4)+'LINEST VARS'!$Q$48*(0.5)+'LINEST VARS'!$P$48*(12.73)+'LINEST VARS'!$O$48*($T$8^2)+'LINEST VARS'!$N$48*($B25^2)+'LINEST VARS'!$M$48*(4^2)+'LINEST VARS'!$L$48*(0.5^2)+'LINEST VARS'!$K$48*(12.73^2)+'LINEST VARS'!$J$48*($T$8*$B25)+'LINEST VARS'!$I$48*($T$8*4)+'LINEST VARS'!$H$48*($T$8*0.5)+'LINEST VARS'!$G$48*($T$8*12.73)+'LINEST VARS'!$F$48*($B25*4)+'LINEST VARS'!$E$48*($B25*0.5)+'LINEST VARS'!$D$48*($B25*12.73)+'LINEST VARS'!$C$48*(4*0.5)+'LINEST VARS'!$B$48*(4*12.73)+'LINEST VARS'!$A$48*(0.5*12.73)</f>
        <v>406.40199999999982</v>
      </c>
      <c r="U25" s="46">
        <f>'LINEST VARS'!$U$48+'LINEST VARS'!$T$48*($U$8)+'LINEST VARS'!$S$48*($B25)+'LINEST VARS'!$R$48*(4)+'LINEST VARS'!$Q$48*(0.5)+'LINEST VARS'!$P$48*(12.73)+'LINEST VARS'!$O$48*($U$8^2)+'LINEST VARS'!$N$48*($B25^2)+'LINEST VARS'!$M$48*(4^2)+'LINEST VARS'!$L$48*(0.5^2)+'LINEST VARS'!$K$48*(12.73^2)+'LINEST VARS'!$J$48*($U$8*$B25)+'LINEST VARS'!$I$48*($U$8*4)+'LINEST VARS'!$H$48*($U$8*0.5)+'LINEST VARS'!$G$48*($U$8*12.73)+'LINEST VARS'!$F$48*($B25*4)+'LINEST VARS'!$E$48*($B25*0.5)+'LINEST VARS'!$D$48*($B25*12.73)+'LINEST VARS'!$C$48*(4*0.5)+'LINEST VARS'!$B$48*(4*12.73)+'LINEST VARS'!$A$48*(0.5*12.73)</f>
        <v>411.59199999999987</v>
      </c>
      <c r="V25" s="46">
        <f>'LINEST VARS'!$U$48+'LINEST VARS'!$T$48*($V$8)+'LINEST VARS'!$S$48*($B25)+'LINEST VARS'!$R$48*(4)+'LINEST VARS'!$Q$48*(0.5)+'LINEST VARS'!$P$48*(12.73)+'LINEST VARS'!$O$48*($V$8^2)+'LINEST VARS'!$N$48*($B25^2)+'LINEST VARS'!$M$48*(4^2)+'LINEST VARS'!$L$48*(0.5^2)+'LINEST VARS'!$K$48*(12.73^2)+'LINEST VARS'!$J$48*($V$8*$B25)+'LINEST VARS'!$I$48*($V$8*4)+'LINEST VARS'!$H$48*($V$8*0.5)+'LINEST VARS'!$G$48*($V$8*12.73)+'LINEST VARS'!$F$48*($B25*4)+'LINEST VARS'!$E$48*($B25*0.5)+'LINEST VARS'!$D$48*($B25*12.73)+'LINEST VARS'!$C$48*(4*0.5)+'LINEST VARS'!$B$48*(4*12.73)+'LINEST VARS'!$A$48*(0.5*12.73)</f>
        <v>416.81799999999976</v>
      </c>
      <c r="W25" s="47">
        <f>'LINEST VARS'!$U$48+'LINEST VARS'!$T$48*($W$8)+'LINEST VARS'!$S$48*($B25)+'LINEST VARS'!$R$48*(4)+'LINEST VARS'!$Q$48*(0.5)+'LINEST VARS'!$P$48*(12.73)+'LINEST VARS'!$O$48*($W$8^2)+'LINEST VARS'!$N$48*($B25^2)+'LINEST VARS'!$M$48*(4^2)+'LINEST VARS'!$L$48*(0.5^2)+'LINEST VARS'!$K$48*(12.73^2)+'LINEST VARS'!$J$48*($W$8*$B25)+'LINEST VARS'!$I$48*($W$8*4)+'LINEST VARS'!$H$48*($W$8*0.5)+'LINEST VARS'!$G$48*($W$8*12.73)+'LINEST VARS'!$F$48*($B25*4)+'LINEST VARS'!$E$48*($B25*0.5)+'LINEST VARS'!$D$48*($B25*12.73)+'LINEST VARS'!$C$48*(4*0.5)+'LINEST VARS'!$B$48*(4*12.73)+'LINEST VARS'!$A$48*(0.5*12.73)</f>
        <v>422.07999999999976</v>
      </c>
      <c r="Z25" s="45">
        <v>8.36</v>
      </c>
      <c r="AA25" s="46">
        <f>'LINEST VARS'!$U$50+'LINEST VARS'!$T$50*($AA$8)+'LINEST VARS'!$S$50*($Z25)+'LINEST VARS'!$R$50*(4)+'LINEST VARS'!$Q$50*(0.5)+'LINEST VARS'!$P$50*(12.73)+'LINEST VARS'!$O$50*($AA$8^2)+'LINEST VARS'!$N$50*($Z25^2)+'LINEST VARS'!$M$50*(4^2)+'LINEST VARS'!$L$50*(0.5^2)+'LINEST VARS'!$K$50*(12.73^2)+'LINEST VARS'!$J$50*($AA$8*$Z25)+'LINEST VARS'!$I$50*($AA$8*4)+'LINEST VARS'!$H$50*($AA$8*0.5)+'LINEST VARS'!$G$50*($AA$8*12.73)+'LINEST VARS'!$F$50*($Z25*4)+'LINEST VARS'!$E$50*($Z25*0.5)+'LINEST VARS'!$D$50*($Z25*12.73)+'LINEST VARS'!$C$50*(4*0.5)+'LINEST VARS'!$B$50*(4*12.73)+'LINEST VARS'!$A$50*(0.5*12.73)</f>
        <v>331.99999999999989</v>
      </c>
      <c r="AB25" s="46">
        <f>'LINEST VARS'!$U$50+'LINEST VARS'!$T$50*($AB$8)+'LINEST VARS'!$S$50*($Z25)+'LINEST VARS'!$R$50*(4)+'LINEST VARS'!$Q$50*(0.5)+'LINEST VARS'!$P$50*(12.73)+'LINEST VARS'!$O$50*($AB$8^2)+'LINEST VARS'!$N$50*($Z25^2)+'LINEST VARS'!$M$50*(4^2)+'LINEST VARS'!$L$50*(0.5^2)+'LINEST VARS'!$K$50*(12.73^2)+'LINEST VARS'!$J$50*($AB$8*$Z25)+'LINEST VARS'!$I$50*($AB$8*4)+'LINEST VARS'!$H$50*($AB$8*0.5)+'LINEST VARS'!$G$50*($AB$8*12.73)+'LINEST VARS'!$F$50*($Z25*4)+'LINEST VARS'!$E$50*($Z25*0.5)+'LINEST VARS'!$D$50*($Z25*12.73)+'LINEST VARS'!$C$50*(4*0.5)+'LINEST VARS'!$B$50*(4*12.73)+'LINEST VARS'!$A$50*(0.5*12.73)</f>
        <v>332.08999999999986</v>
      </c>
      <c r="AC25" s="46">
        <f>'LINEST VARS'!$U$50+'LINEST VARS'!$T$50*($AC$8)+'LINEST VARS'!$S$50*($Z25)+'LINEST VARS'!$R$50*(4)+'LINEST VARS'!$Q$50*(0.5)+'LINEST VARS'!$P$50*(12.73)+'LINEST VARS'!$O$50*($AC$8^2)+'LINEST VARS'!$N$50*($Z25^2)+'LINEST VARS'!$M$50*(4^2)+'LINEST VARS'!$L$50*(0.5^2)+'LINEST VARS'!$K$50*(12.73^2)+'LINEST VARS'!$J$50*($AC$8*$Z25)+'LINEST VARS'!$I$50*($AC$8*4)+'LINEST VARS'!$H$50*($AC$8*0.5)+'LINEST VARS'!$G$50*($AC$8*12.73)+'LINEST VARS'!$F$50*($Z25*4)+'LINEST VARS'!$E$50*($Z25*0.5)+'LINEST VARS'!$D$50*($Z25*12.73)+'LINEST VARS'!$C$50*(4*0.5)+'LINEST VARS'!$B$50*(4*12.73)+'LINEST VARS'!$A$50*(0.5*12.73)</f>
        <v>332.17999999999989</v>
      </c>
      <c r="AD25" s="46">
        <f>'LINEST VARS'!$U$50+'LINEST VARS'!$T$50*($AD$8)+'LINEST VARS'!$S$50*($Z25)+'LINEST VARS'!$R$50*(4)+'LINEST VARS'!$Q$50*(0.5)+'LINEST VARS'!$P$50*(12.73)+'LINEST VARS'!$O$50*($AD$8^2)+'LINEST VARS'!$N$50*($Z25^2)+'LINEST VARS'!$M$50*(4^2)+'LINEST VARS'!$L$50*(0.5^2)+'LINEST VARS'!$K$50*(12.73^2)+'LINEST VARS'!$J$50*($AD$8*$Z25)+'LINEST VARS'!$I$50*($AD$8*4)+'LINEST VARS'!$H$50*($AD$8*0.5)+'LINEST VARS'!$G$50*($AD$8*12.73)+'LINEST VARS'!$F$50*($Z25*4)+'LINEST VARS'!$E$50*($Z25*0.5)+'LINEST VARS'!$D$50*($Z25*12.73)+'LINEST VARS'!$C$50*(4*0.5)+'LINEST VARS'!$B$50*(4*12.73)+'LINEST VARS'!$A$50*(0.5*12.73)</f>
        <v>332.26999999999987</v>
      </c>
      <c r="AE25" s="46">
        <f>'LINEST VARS'!$U$50+'LINEST VARS'!$T$50*($AE$8)+'LINEST VARS'!$S$50*($Z25)+'LINEST VARS'!$R$50*(4)+'LINEST VARS'!$Q$50*(0.5)+'LINEST VARS'!$P$50*(12.73)+'LINEST VARS'!$O$50*($AE$8^2)+'LINEST VARS'!$N$50*($Z25^2)+'LINEST VARS'!$M$50*(4^2)+'LINEST VARS'!$L$50*(0.5^2)+'LINEST VARS'!$K$50*(12.73^2)+'LINEST VARS'!$J$50*($AE$8*$Z25)+'LINEST VARS'!$I$50*($AE$8*4)+'LINEST VARS'!$H$50*($AE$8*0.5)+'LINEST VARS'!$G$50*($AE$8*12.73)+'LINEST VARS'!$F$50*($Z25*4)+'LINEST VARS'!$E$50*($Z25*0.5)+'LINEST VARS'!$D$50*($Z25*12.73)+'LINEST VARS'!$C$50*(4*0.5)+'LINEST VARS'!$B$50*(4*12.73)+'LINEST VARS'!$A$50*(0.5*12.73)</f>
        <v>332.35999999999984</v>
      </c>
      <c r="AF25" s="46">
        <f>'LINEST VARS'!$U$50+'LINEST VARS'!$T$50*($AF$8)+'LINEST VARS'!$S$50*($Z25)+'LINEST VARS'!$R$50*(4)+'LINEST VARS'!$Q$50*(0.5)+'LINEST VARS'!$P$50*(12.73)+'LINEST VARS'!$O$50*($AF$8^2)+'LINEST VARS'!$N$50*($Z25^2)+'LINEST VARS'!$M$50*(4^2)+'LINEST VARS'!$L$50*(0.5^2)+'LINEST VARS'!$K$50*(12.73^2)+'LINEST VARS'!$J$50*($AF$8*$Z25)+'LINEST VARS'!$I$50*($AF$8*4)+'LINEST VARS'!$H$50*($AF$8*0.5)+'LINEST VARS'!$G$50*($AF$8*12.73)+'LINEST VARS'!$F$50*($Z25*4)+'LINEST VARS'!$E$50*($Z25*0.5)+'LINEST VARS'!$D$50*($Z25*12.73)+'LINEST VARS'!$C$50*(4*0.5)+'LINEST VARS'!$B$50*(4*12.73)+'LINEST VARS'!$A$50*(0.5*12.73)</f>
        <v>332.44999999999987</v>
      </c>
      <c r="AG25" s="46">
        <f>'LINEST VARS'!$U$50+'LINEST VARS'!$T$50*($AG$8)+'LINEST VARS'!$S$50*($Z25)+'LINEST VARS'!$R$50*(4)+'LINEST VARS'!$Q$50*(0.5)+'LINEST VARS'!$P$50*(12.73)+'LINEST VARS'!$O$50*($AG$8^2)+'LINEST VARS'!$N$50*($Z25^2)+'LINEST VARS'!$M$50*(4^2)+'LINEST VARS'!$L$50*(0.5^2)+'LINEST VARS'!$K$50*(12.73^2)+'LINEST VARS'!$J$50*($AG$8*$Z25)+'LINEST VARS'!$I$50*($AG$8*4)+'LINEST VARS'!$H$50*($AG$8*0.5)+'LINEST VARS'!$G$50*($AG$8*12.73)+'LINEST VARS'!$F$50*($Z25*4)+'LINEST VARS'!$E$50*($Z25*0.5)+'LINEST VARS'!$D$50*($Z25*12.73)+'LINEST VARS'!$C$50*(4*0.5)+'LINEST VARS'!$B$50*(4*12.73)+'LINEST VARS'!$A$50*(0.5*12.73)</f>
        <v>332.53999999999985</v>
      </c>
      <c r="AH25" s="46">
        <f>'LINEST VARS'!$U$50+'LINEST VARS'!$T$50*($AH$8)+'LINEST VARS'!$S$50*($Z25)+'LINEST VARS'!$R$50*(4)+'LINEST VARS'!$Q$50*(0.5)+'LINEST VARS'!$P$50*(12.73)+'LINEST VARS'!$O$50*($AH$8^2)+'LINEST VARS'!$N$50*($Z25^2)+'LINEST VARS'!$M$50*(4^2)+'LINEST VARS'!$L$50*(0.5^2)+'LINEST VARS'!$K$50*(12.73^2)+'LINEST VARS'!$J$50*($AH$8*$Z25)+'LINEST VARS'!$I$50*($AH$8*4)+'LINEST VARS'!$H$50*($AH$8*0.5)+'LINEST VARS'!$G$50*($AH$8*12.73)+'LINEST VARS'!$F$50*($Z25*4)+'LINEST VARS'!$E$50*($Z25*0.5)+'LINEST VARS'!$D$50*($Z25*12.73)+'LINEST VARS'!$C$50*(4*0.5)+'LINEST VARS'!$B$50*(4*12.73)+'LINEST VARS'!$A$50*(0.5*12.73)</f>
        <v>332.62999999999988</v>
      </c>
      <c r="AI25" s="46">
        <f>'LINEST VARS'!$U$50+'LINEST VARS'!$T$50*($AI$8)+'LINEST VARS'!$S$50*($Z25)+'LINEST VARS'!$R$50*(4)+'LINEST VARS'!$Q$50*(0.5)+'LINEST VARS'!$P$50*(12.73)+'LINEST VARS'!$O$50*($AI$8^2)+'LINEST VARS'!$N$50*($Z25^2)+'LINEST VARS'!$M$50*(4^2)+'LINEST VARS'!$L$50*(0.5^2)+'LINEST VARS'!$K$50*(12.73^2)+'LINEST VARS'!$J$50*($AI$8*$Z25)+'LINEST VARS'!$I$50*($AI$8*4)+'LINEST VARS'!$H$50*($AI$8*0.5)+'LINEST VARS'!$G$50*($AI$8*12.73)+'LINEST VARS'!$F$50*($Z25*4)+'LINEST VARS'!$E$50*($Z25*0.5)+'LINEST VARS'!$D$50*($Z25*12.73)+'LINEST VARS'!$C$50*(4*0.5)+'LINEST VARS'!$B$50*(4*12.73)+'LINEST VARS'!$A$50*(0.5*12.73)</f>
        <v>332.71999999999986</v>
      </c>
      <c r="AJ25" s="46">
        <f>'LINEST VARS'!$U$50+'LINEST VARS'!$T$50*($AJ$8)+'LINEST VARS'!$S$50*($Z25)+'LINEST VARS'!$R$50*(4)+'LINEST VARS'!$Q$50*(0.5)+'LINEST VARS'!$P$50*(12.73)+'LINEST VARS'!$O$50*($AJ$8^2)+'LINEST VARS'!$N$50*($Z25^2)+'LINEST VARS'!$M$50*(4^2)+'LINEST VARS'!$L$50*(0.5^2)+'LINEST VARS'!$K$50*(12.73^2)+'LINEST VARS'!$J$50*($AJ$8*$Z25)+'LINEST VARS'!$I$50*($AJ$8*4)+'LINEST VARS'!$H$50*($AJ$8*0.5)+'LINEST VARS'!$G$50*($AJ$8*12.73)+'LINEST VARS'!$F$50*($Z25*4)+'LINEST VARS'!$E$50*($Z25*0.5)+'LINEST VARS'!$D$50*($Z25*12.73)+'LINEST VARS'!$C$50*(4*0.5)+'LINEST VARS'!$B$50*(4*12.73)+'LINEST VARS'!$A$50*(0.5*12.73)</f>
        <v>332.80999999999989</v>
      </c>
      <c r="AK25" s="46">
        <f>'LINEST VARS'!$U$50+'LINEST VARS'!$T$50*($AK$8)+'LINEST VARS'!$S$50*($Z25)+'LINEST VARS'!$R$50*(4)+'LINEST VARS'!$Q$50*(0.5)+'LINEST VARS'!$P$50*(12.73)+'LINEST VARS'!$O$50*($AK$8^2)+'LINEST VARS'!$N$50*($Z25^2)+'LINEST VARS'!$M$50*(4^2)+'LINEST VARS'!$L$50*(0.5^2)+'LINEST VARS'!$K$50*(12.73^2)+'LINEST VARS'!$J$50*($AK$8*$Z25)+'LINEST VARS'!$I$50*($AK$8*4)+'LINEST VARS'!$H$50*($AK$8*0.5)+'LINEST VARS'!$G$50*($AK$8*12.73)+'LINEST VARS'!$F$50*($Z25*4)+'LINEST VARS'!$E$50*($Z25*0.5)+'LINEST VARS'!$D$50*($Z25*12.73)+'LINEST VARS'!$C$50*(4*0.5)+'LINEST VARS'!$B$50*(4*12.73)+'LINEST VARS'!$A$50*(0.5*12.73)</f>
        <v>332.89999999999986</v>
      </c>
      <c r="AL25" s="46">
        <f>'LINEST VARS'!$U$50+'LINEST VARS'!$T$50*($AL$8)+'LINEST VARS'!$S$50*($Z25)+'LINEST VARS'!$R$50*(4)+'LINEST VARS'!$Q$50*(0.5)+'LINEST VARS'!$P$50*(12.73)+'LINEST VARS'!$O$50*($AL$8^2)+'LINEST VARS'!$N$50*($Z25^2)+'LINEST VARS'!$M$50*(4^2)+'LINEST VARS'!$L$50*(0.5^2)+'LINEST VARS'!$K$50*(12.73^2)+'LINEST VARS'!$J$50*($AL$8*$Z25)+'LINEST VARS'!$I$50*($AL$8*4)+'LINEST VARS'!$H$50*($AL$8*0.5)+'LINEST VARS'!$G$50*($AL$8*12.73)+'LINEST VARS'!$F$50*($Z25*4)+'LINEST VARS'!$E$50*($Z25*0.5)+'LINEST VARS'!$D$50*($Z25*12.73)+'LINEST VARS'!$C$50*(4*0.5)+'LINEST VARS'!$B$50*(4*12.73)+'LINEST VARS'!$A$50*(0.5*12.73)</f>
        <v>332.98999999999984</v>
      </c>
      <c r="AM25" s="46">
        <f>'LINEST VARS'!$U$50+'LINEST VARS'!$T$50*($AM$8)+'LINEST VARS'!$S$50*($Z25)+'LINEST VARS'!$R$50*(4)+'LINEST VARS'!$Q$50*(0.5)+'LINEST VARS'!$P$50*(12.73)+'LINEST VARS'!$O$50*($AM$8^2)+'LINEST VARS'!$N$50*($Z25^2)+'LINEST VARS'!$M$50*(4^2)+'LINEST VARS'!$L$50*(0.5^2)+'LINEST VARS'!$K$50*(12.73^2)+'LINEST VARS'!$J$50*($AM$8*$Z25)+'LINEST VARS'!$I$50*($AM$8*4)+'LINEST VARS'!$H$50*($AM$8*0.5)+'LINEST VARS'!$G$50*($AM$8*12.73)+'LINEST VARS'!$F$50*($Z25*4)+'LINEST VARS'!$E$50*($Z25*0.5)+'LINEST VARS'!$D$50*($Z25*12.73)+'LINEST VARS'!$C$50*(4*0.5)+'LINEST VARS'!$B$50*(4*12.73)+'LINEST VARS'!$A$50*(0.5*12.73)</f>
        <v>333.07999999999987</v>
      </c>
      <c r="AN25" s="46">
        <f>'LINEST VARS'!$U$50+'LINEST VARS'!$T$50*($AN$8)+'LINEST VARS'!$S$50*($Z25)+'LINEST VARS'!$R$50*(4)+'LINEST VARS'!$Q$50*(0.5)+'LINEST VARS'!$P$50*(12.73)+'LINEST VARS'!$O$50*($AN$8^2)+'LINEST VARS'!$N$50*($Z25^2)+'LINEST VARS'!$M$50*(4^2)+'LINEST VARS'!$L$50*(0.5^2)+'LINEST VARS'!$K$50*(12.73^2)+'LINEST VARS'!$J$50*($AN$8*$Z25)+'LINEST VARS'!$I$50*($AN$8*4)+'LINEST VARS'!$H$50*($AN$8*0.5)+'LINEST VARS'!$G$50*($AN$8*12.73)+'LINEST VARS'!$F$50*($Z25*4)+'LINEST VARS'!$E$50*($Z25*0.5)+'LINEST VARS'!$D$50*($Z25*12.73)+'LINEST VARS'!$C$50*(4*0.5)+'LINEST VARS'!$B$50*(4*12.73)+'LINEST VARS'!$A$50*(0.5*12.73)</f>
        <v>333.16999999999985</v>
      </c>
      <c r="AO25" s="46">
        <f>'LINEST VARS'!$U$50+'LINEST VARS'!$T$50*($AO$8)+'LINEST VARS'!$S$50*($Z25)+'LINEST VARS'!$R$50*(4)+'LINEST VARS'!$Q$50*(0.5)+'LINEST VARS'!$P$50*(12.73)+'LINEST VARS'!$O$50*($AO$8^2)+'LINEST VARS'!$N$50*($Z25^2)+'LINEST VARS'!$M$50*(4^2)+'LINEST VARS'!$L$50*(0.5^2)+'LINEST VARS'!$K$50*(12.73^2)+'LINEST VARS'!$J$50*($AO$8*$Z25)+'LINEST VARS'!$I$50*($AO$8*4)+'LINEST VARS'!$H$50*($AO$8*0.5)+'LINEST VARS'!$G$50*($AO$8*12.73)+'LINEST VARS'!$F$50*($Z25*4)+'LINEST VARS'!$E$50*($Z25*0.5)+'LINEST VARS'!$D$50*($Z25*12.73)+'LINEST VARS'!$C$50*(4*0.5)+'LINEST VARS'!$B$50*(4*12.73)+'LINEST VARS'!$A$50*(0.5*12.73)</f>
        <v>333.25999999999988</v>
      </c>
      <c r="AP25" s="46">
        <f>'LINEST VARS'!$U$50+'LINEST VARS'!$T$50*($AP$8)+'LINEST VARS'!$S$50*($Z25)+'LINEST VARS'!$R$50*(4)+'LINEST VARS'!$Q$50*(0.5)+'LINEST VARS'!$P$50*(12.73)+'LINEST VARS'!$O$50*($AP$8^2)+'LINEST VARS'!$N$50*($Z25^2)+'LINEST VARS'!$M$50*(4^2)+'LINEST VARS'!$L$50*(0.5^2)+'LINEST VARS'!$K$50*(12.73^2)+'LINEST VARS'!$J$50*($AP$8*$Z25)+'LINEST VARS'!$I$50*($AP$8*4)+'LINEST VARS'!$H$50*($AP$8*0.5)+'LINEST VARS'!$G$50*($AP$8*12.73)+'LINEST VARS'!$F$50*($Z25*4)+'LINEST VARS'!$E$50*($Z25*0.5)+'LINEST VARS'!$D$50*($Z25*12.73)+'LINEST VARS'!$C$50*(4*0.5)+'LINEST VARS'!$B$50*(4*12.73)+'LINEST VARS'!$A$50*(0.5*12.73)</f>
        <v>333.34999999999985</v>
      </c>
      <c r="AQ25" s="46">
        <f>'LINEST VARS'!$U$50+'LINEST VARS'!$T$50*($AQ$8)+'LINEST VARS'!$S$50*($Z25)+'LINEST VARS'!$R$50*(4)+'LINEST VARS'!$Q$50*(0.5)+'LINEST VARS'!$P$50*(12.73)+'LINEST VARS'!$O$50*($AQ$8^2)+'LINEST VARS'!$N$50*($Z25^2)+'LINEST VARS'!$M$50*(4^2)+'LINEST VARS'!$L$50*(0.5^2)+'LINEST VARS'!$K$50*(12.73^2)+'LINEST VARS'!$J$50*($AQ$8*$Z25)+'LINEST VARS'!$I$50*($AQ$8*4)+'LINEST VARS'!$H$50*($AQ$8*0.5)+'LINEST VARS'!$G$50*($AQ$8*12.73)+'LINEST VARS'!$F$50*($Z25*4)+'LINEST VARS'!$E$50*($Z25*0.5)+'LINEST VARS'!$D$50*($Z25*12.73)+'LINEST VARS'!$C$50*(4*0.5)+'LINEST VARS'!$B$50*(4*12.73)+'LINEST VARS'!$A$50*(0.5*12.73)</f>
        <v>333.43999999999988</v>
      </c>
      <c r="AR25" s="46">
        <f>'LINEST VARS'!$U$50+'LINEST VARS'!$T$50*($AR$8)+'LINEST VARS'!$S$50*($Z25)+'LINEST VARS'!$R$50*(4)+'LINEST VARS'!$Q$50*(0.5)+'LINEST VARS'!$P$50*(12.73)+'LINEST VARS'!$O$50*($AR$8^2)+'LINEST VARS'!$N$50*($Z25^2)+'LINEST VARS'!$M$50*(4^2)+'LINEST VARS'!$L$50*(0.5^2)+'LINEST VARS'!$K$50*(12.73^2)+'LINEST VARS'!$J$50*($AR$8*$Z25)+'LINEST VARS'!$I$50*($AR$8*4)+'LINEST VARS'!$H$50*($AR$8*0.5)+'LINEST VARS'!$G$50*($AR$8*12.73)+'LINEST VARS'!$F$50*($Z25*4)+'LINEST VARS'!$E$50*($Z25*0.5)+'LINEST VARS'!$D$50*($Z25*12.73)+'LINEST VARS'!$C$50*(4*0.5)+'LINEST VARS'!$B$50*(4*12.73)+'LINEST VARS'!$A$50*(0.5*12.73)</f>
        <v>333.52999999999986</v>
      </c>
      <c r="AS25" s="46">
        <f>'LINEST VARS'!$U$50+'LINEST VARS'!$T$50*($AS$8)+'LINEST VARS'!$S$50*($Z25)+'LINEST VARS'!$R$50*(4)+'LINEST VARS'!$Q$50*(0.5)+'LINEST VARS'!$P$50*(12.73)+'LINEST VARS'!$O$50*($AS$8^2)+'LINEST VARS'!$N$50*($Z25^2)+'LINEST VARS'!$M$50*(4^2)+'LINEST VARS'!$L$50*(0.5^2)+'LINEST VARS'!$K$50*(12.73^2)+'LINEST VARS'!$J$50*($AS$8*$Z25)+'LINEST VARS'!$I$50*($AS$8*4)+'LINEST VARS'!$H$50*($AS$8*0.5)+'LINEST VARS'!$G$50*($AS$8*12.73)+'LINEST VARS'!$F$50*($Z25*4)+'LINEST VARS'!$E$50*($Z25*0.5)+'LINEST VARS'!$D$50*($Z25*12.73)+'LINEST VARS'!$C$50*(4*0.5)+'LINEST VARS'!$B$50*(4*12.73)+'LINEST VARS'!$A$50*(0.5*12.73)</f>
        <v>333.61999999999983</v>
      </c>
      <c r="AT25" s="46">
        <f>'LINEST VARS'!$U$50+'LINEST VARS'!$T$50*($AT$8)+'LINEST VARS'!$S$50*($Z25)+'LINEST VARS'!$R$50*(4)+'LINEST VARS'!$Q$50*(0.5)+'LINEST VARS'!$P$50*(12.73)+'LINEST VARS'!$O$50*($AT$8^2)+'LINEST VARS'!$N$50*($Z25^2)+'LINEST VARS'!$M$50*(4^2)+'LINEST VARS'!$L$50*(0.5^2)+'LINEST VARS'!$K$50*(12.73^2)+'LINEST VARS'!$J$50*($AT$8*$Z25)+'LINEST VARS'!$I$50*($AT$8*4)+'LINEST VARS'!$H$50*($AT$8*0.5)+'LINEST VARS'!$G$50*($AT$8*12.73)+'LINEST VARS'!$F$50*($Z25*4)+'LINEST VARS'!$E$50*($Z25*0.5)+'LINEST VARS'!$D$50*($Z25*12.73)+'LINEST VARS'!$C$50*(4*0.5)+'LINEST VARS'!$B$50*(4*12.73)+'LINEST VARS'!$A$50*(0.5*12.73)</f>
        <v>333.70999999999987</v>
      </c>
      <c r="AU25" s="47">
        <f>'LINEST VARS'!$U$50+'LINEST VARS'!$T$50*($AU$8)+'LINEST VARS'!$S$50*($Z25)+'LINEST VARS'!$R$50*(4)+'LINEST VARS'!$Q$50*(0.5)+'LINEST VARS'!$P$50*(12.73)+'LINEST VARS'!$O$50*($AU$8^2)+'LINEST VARS'!$N$50*($Z25^2)+'LINEST VARS'!$M$50*(4^2)+'LINEST VARS'!$L$50*(0.5^2)+'LINEST VARS'!$K$50*(12.73^2)+'LINEST VARS'!$J$50*($AU$8*$Z25)+'LINEST VARS'!$I$50*($AU$8*4)+'LINEST VARS'!$H$50*($AU$8*0.5)+'LINEST VARS'!$G$50*($AU$8*12.73)+'LINEST VARS'!$F$50*($Z25*4)+'LINEST VARS'!$E$50*($Z25*0.5)+'LINEST VARS'!$D$50*($Z25*12.73)+'LINEST VARS'!$C$50*(4*0.5)+'LINEST VARS'!$B$50*(4*12.73)+'LINEST VARS'!$A$50*(0.5*12.73)</f>
        <v>333.79999999999984</v>
      </c>
      <c r="AZ25" s="45">
        <v>0.8</v>
      </c>
      <c r="BA25" s="46">
        <f>'LINEST VARS'!$U$48+'LINEST VARS'!$T$48*(8)+'LINEST VARS'!$S$48*(8)+'LINEST VARS'!$R$48*($BA$8)+'LINEST VARS'!$Q$48*($AZ25)+'LINEST VARS'!$P$48*(12.73)+'LINEST VARS'!$O$48*(8^2)+'LINEST VARS'!$N$48*(8^2)+'LINEST VARS'!$M$48*($BA$8^2)+'LINEST VARS'!$L$48*($AZ25^2)+'LINEST VARS'!$K$48*(12.73^2)+'LINEST VARS'!$J$48*(8*8)+'LINEST VARS'!$I$48*(8*$BA$8)+'LINEST VARS'!$H$48*(8*$AZ25)+'LINEST VARS'!$G$48*(8*12.73)+'LINEST VARS'!$F$48*(8*$BA$8)+'LINEST VARS'!$E$48*(8*$AZ25)+'LINEST VARS'!$D$48*(8*12.73)+'LINEST VARS'!$C$48*($BA$8*$AZ25)+'LINEST VARS'!$B$48*($BA$8*12.73)+'LINEST VARS'!$A$48*($AZ25*12.73)</f>
        <v>369.99999999999989</v>
      </c>
      <c r="BB25" s="46">
        <f>'LINEST VARS'!$U$48+'LINEST VARS'!$T$48*(8)+'LINEST VARS'!$S$48*(8)+'LINEST VARS'!$R$48*($BB$8)+'LINEST VARS'!$Q$48*($AZ25)+'LINEST VARS'!$P$48*(12.73)+'LINEST VARS'!$O$48*(8^2)+'LINEST VARS'!$N$48*(8^2)+'LINEST VARS'!$M$48*($BB$8^2)+'LINEST VARS'!$L$48*($AZ25^2)+'LINEST VARS'!$K$48*(12.73^2)+'LINEST VARS'!$J$48*(8*8)+'LINEST VARS'!$I$48*(8*$BB$8)+'LINEST VARS'!$H$48*(8*$AZ25)+'LINEST VARS'!$G$48*(8*12.73)+'LINEST VARS'!$F$48*(8*$BB$8)+'LINEST VARS'!$E$48*(8*$AZ25)+'LINEST VARS'!$D$48*(8*12.73)+'LINEST VARS'!$C$48*($BB$8*$AZ25)+'LINEST VARS'!$B$48*($BB$8*12.73)+'LINEST VARS'!$A$48*($AZ25*12.73)</f>
        <v>369.99999999999989</v>
      </c>
      <c r="BC25" s="46">
        <f>'LINEST VARS'!$U$48+'LINEST VARS'!$T$48*(8)+'LINEST VARS'!$S$48*(8)+'LINEST VARS'!$R$48*($BC$8)+'LINEST VARS'!$Q$48*($AZ25)+'LINEST VARS'!$P$48*(12.73)+'LINEST VARS'!$O$48*(8^2)+'LINEST VARS'!$N$48*(8^2)+'LINEST VARS'!$M$48*($BC$8^2)+'LINEST VARS'!$L$48*($AZ25^2)+'LINEST VARS'!$K$48*(12.73^2)+'LINEST VARS'!$J$48*(8*8)+'LINEST VARS'!$I$48*(8*$BC$8)+'LINEST VARS'!$H$48*(8*$AZ25)+'LINEST VARS'!$G$48*(8*12.73)+'LINEST VARS'!$F$48*(8*$BC$8)+'LINEST VARS'!$E$48*(8*$AZ25)+'LINEST VARS'!$D$48*(8*12.73)+'LINEST VARS'!$C$48*($BC$8*$AZ25)+'LINEST VARS'!$B$48*($BC$8*12.73)+'LINEST VARS'!$A$48*($AZ25*12.73)</f>
        <v>369.99999999999989</v>
      </c>
      <c r="BD25" s="46">
        <f>'LINEST VARS'!$U$48+'LINEST VARS'!$T$48*(8)+'LINEST VARS'!$S$48*(8)+'LINEST VARS'!$R$48*($BD$8)+'LINEST VARS'!$Q$48*($AZ25)+'LINEST VARS'!$P$48*(12.73)+'LINEST VARS'!$O$48*(8^2)+'LINEST VARS'!$N$48*(8^2)+'LINEST VARS'!$M$48*($BD$8^2)+'LINEST VARS'!$L$48*($AZ25^2)+'LINEST VARS'!$K$48*(12.73^2)+'LINEST VARS'!$J$48*(8*8)+'LINEST VARS'!$I$48*(8*$BD$8)+'LINEST VARS'!$H$48*(8*$AZ25)+'LINEST VARS'!$G$48*(8*12.73)+'LINEST VARS'!$F$48*(8*$BD$8)+'LINEST VARS'!$E$48*(8*$AZ25)+'LINEST VARS'!$D$48*(8*12.73)+'LINEST VARS'!$C$48*($BD$8*$AZ25)+'LINEST VARS'!$B$48*($BD$8*12.73)+'LINEST VARS'!$A$48*($AZ25*12.73)</f>
        <v>369.99999999999989</v>
      </c>
      <c r="BE25" s="46">
        <f>'LINEST VARS'!$U$48+'LINEST VARS'!$T$48*(8)+'LINEST VARS'!$S$48*(8)+'LINEST VARS'!$R$48*($BE$8)+'LINEST VARS'!$Q$48*($AZ25)+'LINEST VARS'!$P$48*(12.73)+'LINEST VARS'!$O$48*(8^2)+'LINEST VARS'!$N$48*(8^2)+'LINEST VARS'!$M$48*($BE$8^2)+'LINEST VARS'!$L$48*($AZ25^2)+'LINEST VARS'!$K$48*(12.73^2)+'LINEST VARS'!$J$48*(8*8)+'LINEST VARS'!$I$48*(8*$BE$8)+'LINEST VARS'!$H$48*(8*$AZ25)+'LINEST VARS'!$G$48*(8*12.73)+'LINEST VARS'!$F$48*(8*$BE$8)+'LINEST VARS'!$E$48*(8*$AZ25)+'LINEST VARS'!$D$48*(8*12.73)+'LINEST VARS'!$C$48*($BE$8*$AZ25)+'LINEST VARS'!$B$48*($BE$8*12.73)+'LINEST VARS'!$A$48*($AZ25*12.73)</f>
        <v>369.99999999999989</v>
      </c>
      <c r="BF25" s="46">
        <f>'LINEST VARS'!$U$48+'LINEST VARS'!$T$48*(8)+'LINEST VARS'!$S$48*(8)+'LINEST VARS'!$R$48*($BF$8)+'LINEST VARS'!$Q$48*($AZ25)+'LINEST VARS'!$P$48*(12.73)+'LINEST VARS'!$O$48*(8^2)+'LINEST VARS'!$N$48*(8^2)+'LINEST VARS'!$M$48*($BF$8^2)+'LINEST VARS'!$L$48*($AZ25^2)+'LINEST VARS'!$K$48*(12.73^2)+'LINEST VARS'!$J$48*(8*8)+'LINEST VARS'!$I$48*(8*$BF$8)+'LINEST VARS'!$H$48*(8*$AZ25)+'LINEST VARS'!$G$48*(8*12.73)+'LINEST VARS'!$F$48*(8*$BF$8)+'LINEST VARS'!$E$48*(8*$AZ25)+'LINEST VARS'!$D$48*(8*12.73)+'LINEST VARS'!$C$48*($BF$8*$AZ25)+'LINEST VARS'!$B$48*($BF$8*12.73)+'LINEST VARS'!$A$48*($AZ25*12.73)</f>
        <v>369.99999999999989</v>
      </c>
      <c r="BG25" s="46">
        <f>'LINEST VARS'!$U$48+'LINEST VARS'!$T$48*(8)+'LINEST VARS'!$S$48*(8)+'LINEST VARS'!$R$48*($BG$8)+'LINEST VARS'!$Q$48*($AZ25)+'LINEST VARS'!$P$48*(12.73)+'LINEST VARS'!$O$48*(8^2)+'LINEST VARS'!$N$48*(8^2)+'LINEST VARS'!$M$48*($BG$8^2)+'LINEST VARS'!$L$48*($AZ25^2)+'LINEST VARS'!$K$48*(12.73^2)+'LINEST VARS'!$J$48*(8*8)+'LINEST VARS'!$I$48*(8*$BG$8)+'LINEST VARS'!$H$48*(8*$AZ25)+'LINEST VARS'!$G$48*(8*12.73)+'LINEST VARS'!$F$48*(8*$BG$8)+'LINEST VARS'!$E$48*(8*$AZ25)+'LINEST VARS'!$D$48*(8*12.73)+'LINEST VARS'!$C$48*($BG$8*$AZ25)+'LINEST VARS'!$B$48*($BG$8*12.73)+'LINEST VARS'!$A$48*($AZ25*12.73)</f>
        <v>369.99999999999989</v>
      </c>
      <c r="BH25" s="46">
        <f>'LINEST VARS'!$U$48+'LINEST VARS'!$T$48*(8)+'LINEST VARS'!$S$48*(8)+'LINEST VARS'!$R$48*($BH$8)+'LINEST VARS'!$Q$48*($AZ25)+'LINEST VARS'!$P$48*(12.73)+'LINEST VARS'!$O$48*(8^2)+'LINEST VARS'!$N$48*(8^2)+'LINEST VARS'!$M$48*($BH$8^2)+'LINEST VARS'!$L$48*($AZ25^2)+'LINEST VARS'!$K$48*(12.73^2)+'LINEST VARS'!$J$48*(8*8)+'LINEST VARS'!$I$48*(8*$BH$8)+'LINEST VARS'!$H$48*(8*$AZ25)+'LINEST VARS'!$G$48*(8*12.73)+'LINEST VARS'!$F$48*(8*$BH$8)+'LINEST VARS'!$E$48*(8*$AZ25)+'LINEST VARS'!$D$48*(8*12.73)+'LINEST VARS'!$C$48*($BH$8*$AZ25)+'LINEST VARS'!$B$48*($BH$8*12.73)+'LINEST VARS'!$A$48*($AZ25*12.73)</f>
        <v>369.99999999999989</v>
      </c>
      <c r="BI25" s="46">
        <f>'LINEST VARS'!$U$48+'LINEST VARS'!$T$48*(8)+'LINEST VARS'!$S$48*(8)+'LINEST VARS'!$R$48*($BI$8)+'LINEST VARS'!$Q$48*($AZ25)+'LINEST VARS'!$P$48*(12.73)+'LINEST VARS'!$O$48*(8^2)+'LINEST VARS'!$N$48*(8^2)+'LINEST VARS'!$M$48*($BI$8^2)+'LINEST VARS'!$L$48*($AZ25^2)+'LINEST VARS'!$K$48*(12.73^2)+'LINEST VARS'!$J$48*(8*8)+'LINEST VARS'!$I$48*(8*$BI$8)+'LINEST VARS'!$H$48*(8*$AZ25)+'LINEST VARS'!$G$48*(8*12.73)+'LINEST VARS'!$F$48*(8*$BI$8)+'LINEST VARS'!$E$48*(8*$AZ25)+'LINEST VARS'!$D$48*(8*12.73)+'LINEST VARS'!$C$48*($BI$8*$AZ25)+'LINEST VARS'!$B$48*($BI$8*12.73)+'LINEST VARS'!$A$48*($AZ25*12.73)</f>
        <v>369.99999999999989</v>
      </c>
      <c r="BJ25" s="46">
        <f>'LINEST VARS'!$U$48+'LINEST VARS'!$T$48*(8)+'LINEST VARS'!$S$48*(8)+'LINEST VARS'!$R$48*($BJ$8)+'LINEST VARS'!$Q$48*($AZ25)+'LINEST VARS'!$P$48*(12.73)+'LINEST VARS'!$O$48*(8^2)+'LINEST VARS'!$N$48*(8^2)+'LINEST VARS'!$M$48*($BJ$8^2)+'LINEST VARS'!$L$48*($AZ25^2)+'LINEST VARS'!$K$48*(12.73^2)+'LINEST VARS'!$J$48*(8*8)+'LINEST VARS'!$I$48*(8*$BJ$8)+'LINEST VARS'!$H$48*(8*$AZ25)+'LINEST VARS'!$G$48*(8*12.73)+'LINEST VARS'!$F$48*(8*$BJ$8)+'LINEST VARS'!$E$48*(8*$AZ25)+'LINEST VARS'!$D$48*(8*12.73)+'LINEST VARS'!$C$48*($BJ$8*$AZ25)+'LINEST VARS'!$B$48*($BJ$8*12.73)+'LINEST VARS'!$A$48*($AZ25*12.73)</f>
        <v>369.99999999999989</v>
      </c>
      <c r="BK25" s="46">
        <f>'LINEST VARS'!$U$48+'LINEST VARS'!$T$48*(8)+'LINEST VARS'!$S$48*(8)+'LINEST VARS'!$R$48*($BK$8)+'LINEST VARS'!$Q$48*($AZ25)+'LINEST VARS'!$P$48*(12.73)+'LINEST VARS'!$O$48*(8^2)+'LINEST VARS'!$N$48*(8^2)+'LINEST VARS'!$M$48*($BK$8^2)+'LINEST VARS'!$L$48*($AZ25^2)+'LINEST VARS'!$K$48*(12.73^2)+'LINEST VARS'!$J$48*(8*8)+'LINEST VARS'!$I$48*(8*$BK$8)+'LINEST VARS'!$H$48*(8*$AZ25)+'LINEST VARS'!$G$48*(8*12.73)+'LINEST VARS'!$F$48*(8*$BK$8)+'LINEST VARS'!$E$48*(8*$AZ25)+'LINEST VARS'!$D$48*(8*12.73)+'LINEST VARS'!$C$48*($BK$8*$AZ25)+'LINEST VARS'!$B$48*($BK$8*12.73)+'LINEST VARS'!$A$48*($AZ25*12.73)</f>
        <v>369.99999999999989</v>
      </c>
      <c r="BL25" s="46">
        <f>'LINEST VARS'!$U$48+'LINEST VARS'!$T$48*(8)+'LINEST VARS'!$S$48*(8)+'LINEST VARS'!$R$48*($BL$8)+'LINEST VARS'!$Q$48*($AZ25)+'LINEST VARS'!$P$48*(12.73)+'LINEST VARS'!$O$48*(8^2)+'LINEST VARS'!$N$48*(8^2)+'LINEST VARS'!$M$48*($BL$8^2)+'LINEST VARS'!$L$48*($AZ25^2)+'LINEST VARS'!$K$48*(12.73^2)+'LINEST VARS'!$J$48*(8*8)+'LINEST VARS'!$I$48*(8*$BL$8)+'LINEST VARS'!$H$48*(8*$AZ25)+'LINEST VARS'!$G$48*(8*12.73)+'LINEST VARS'!$F$48*(8*$BL$8)+'LINEST VARS'!$E$48*(8*$AZ25)+'LINEST VARS'!$D$48*(8*12.73)+'LINEST VARS'!$C$48*($BL$8*$AZ25)+'LINEST VARS'!$B$48*($BL$8*12.73)+'LINEST VARS'!$A$48*($AZ25*12.73)</f>
        <v>369.99999999999989</v>
      </c>
      <c r="BM25" s="46">
        <f>'LINEST VARS'!$U$48+'LINEST VARS'!$T$48*(8)+'LINEST VARS'!$S$48*(8)+'LINEST VARS'!$R$48*($BM$8)+'LINEST VARS'!$Q$48*($AZ25)+'LINEST VARS'!$P$48*(12.73)+'LINEST VARS'!$O$48*(8^2)+'LINEST VARS'!$N$48*(8^2)+'LINEST VARS'!$M$48*($BM$8^2)+'LINEST VARS'!$L$48*($AZ25^2)+'LINEST VARS'!$K$48*(12.73^2)+'LINEST VARS'!$J$48*(8*8)+'LINEST VARS'!$I$48*(8*$BM$8)+'LINEST VARS'!$H$48*(8*$AZ25)+'LINEST VARS'!$G$48*(8*12.73)+'LINEST VARS'!$F$48*(8*$BM$8)+'LINEST VARS'!$E$48*(8*$AZ25)+'LINEST VARS'!$D$48*(8*12.73)+'LINEST VARS'!$C$48*($BM$8*$AZ25)+'LINEST VARS'!$B$48*($BM$8*12.73)+'LINEST VARS'!$A$48*($AZ25*12.73)</f>
        <v>369.99999999999989</v>
      </c>
      <c r="BN25" s="46">
        <f>'LINEST VARS'!$U$48+'LINEST VARS'!$T$48*(8)+'LINEST VARS'!$S$48*(8)+'LINEST VARS'!$R$48*($BN$8)+'LINEST VARS'!$Q$48*($AZ25)+'LINEST VARS'!$P$48*(12.73)+'LINEST VARS'!$O$48*(8^2)+'LINEST VARS'!$N$48*(8^2)+'LINEST VARS'!$M$48*($BN$8^2)+'LINEST VARS'!$L$48*($AZ25^2)+'LINEST VARS'!$K$48*(12.73^2)+'LINEST VARS'!$J$48*(8*8)+'LINEST VARS'!$I$48*(8*$BN$8)+'LINEST VARS'!$H$48*(8*$AZ25)+'LINEST VARS'!$G$48*(8*12.73)+'LINEST VARS'!$F$48*(8*$BN$8)+'LINEST VARS'!$E$48*(8*$AZ25)+'LINEST VARS'!$D$48*(8*12.73)+'LINEST VARS'!$C$48*($BN$8*$AZ25)+'LINEST VARS'!$B$48*($BN$8*12.73)+'LINEST VARS'!$A$48*($AZ25*12.73)</f>
        <v>369.99999999999994</v>
      </c>
      <c r="BO25" s="46">
        <f>'LINEST VARS'!$U$48+'LINEST VARS'!$T$48*(8)+'LINEST VARS'!$S$48*(8)+'LINEST VARS'!$R$48*($BO$8)+'LINEST VARS'!$Q$48*($AZ25)+'LINEST VARS'!$P$48*(12.73)+'LINEST VARS'!$O$48*(8^2)+'LINEST VARS'!$N$48*(8^2)+'LINEST VARS'!$M$48*($BO$8^2)+'LINEST VARS'!$L$48*($AZ25^2)+'LINEST VARS'!$K$48*(12.73^2)+'LINEST VARS'!$J$48*(8*8)+'LINEST VARS'!$I$48*(8*$BO$8)+'LINEST VARS'!$H$48*(8*$AZ25)+'LINEST VARS'!$G$48*(8*12.73)+'LINEST VARS'!$F$48*(8*$BO$8)+'LINEST VARS'!$E$48*(8*$AZ25)+'LINEST VARS'!$D$48*(8*12.73)+'LINEST VARS'!$C$48*($BO$8*$AZ25)+'LINEST VARS'!$B$48*($BO$8*12.73)+'LINEST VARS'!$A$48*($AZ25*12.73)</f>
        <v>369.99999999999994</v>
      </c>
      <c r="BP25" s="46">
        <f>'LINEST VARS'!$U$48+'LINEST VARS'!$T$48*(8)+'LINEST VARS'!$S$48*(8)+'LINEST VARS'!$R$48*($BP$8)+'LINEST VARS'!$Q$48*($AZ25)+'LINEST VARS'!$P$48*(12.73)+'LINEST VARS'!$O$48*(8^2)+'LINEST VARS'!$N$48*(8^2)+'LINEST VARS'!$M$48*($BP$8^2)+'LINEST VARS'!$L$48*($AZ25^2)+'LINEST VARS'!$K$48*(12.73^2)+'LINEST VARS'!$J$48*(8*8)+'LINEST VARS'!$I$48*(8*$BP$8)+'LINEST VARS'!$H$48*(8*$AZ25)+'LINEST VARS'!$G$48*(8*12.73)+'LINEST VARS'!$F$48*(8*$BP$8)+'LINEST VARS'!$E$48*(8*$AZ25)+'LINEST VARS'!$D$48*(8*12.73)+'LINEST VARS'!$C$48*($BP$8*$AZ25)+'LINEST VARS'!$B$48*($BP$8*12.73)+'LINEST VARS'!$A$48*($AZ25*12.73)</f>
        <v>369.99999999999994</v>
      </c>
      <c r="BQ25" s="46">
        <f>'LINEST VARS'!$U$48+'LINEST VARS'!$T$48*(8)+'LINEST VARS'!$S$48*(8)+'LINEST VARS'!$R$48*($BQ$8)+'LINEST VARS'!$Q$48*($AZ25)+'LINEST VARS'!$P$48*(12.73)+'LINEST VARS'!$O$48*(8^2)+'LINEST VARS'!$N$48*(8^2)+'LINEST VARS'!$M$48*($BQ$8^2)+'LINEST VARS'!$L$48*($AZ25^2)+'LINEST VARS'!$K$48*(12.73^2)+'LINEST VARS'!$J$48*(8*8)+'LINEST VARS'!$I$48*(8*$BQ$8)+'LINEST VARS'!$H$48*(8*$AZ25)+'LINEST VARS'!$G$48*(8*12.73)+'LINEST VARS'!$F$48*(8*$BQ$8)+'LINEST VARS'!$E$48*(8*$AZ25)+'LINEST VARS'!$D$48*(8*12.73)+'LINEST VARS'!$C$48*($BQ$8*$AZ25)+'LINEST VARS'!$B$48*($BQ$8*12.73)+'LINEST VARS'!$A$48*($AZ25*12.73)</f>
        <v>369.99999999999989</v>
      </c>
      <c r="BR25" s="46">
        <f>'LINEST VARS'!$U$48+'LINEST VARS'!$T$48*(8)+'LINEST VARS'!$S$48*(8)+'LINEST VARS'!$R$48*($BR$8)+'LINEST VARS'!$Q$48*($AZ25)+'LINEST VARS'!$P$48*(12.73)+'LINEST VARS'!$O$48*(8^2)+'LINEST VARS'!$N$48*(8^2)+'LINEST VARS'!$M$48*($BR$8^2)+'LINEST VARS'!$L$48*($AZ25^2)+'LINEST VARS'!$K$48*(12.73^2)+'LINEST VARS'!$J$48*(8*8)+'LINEST VARS'!$I$48*(8*$BR$8)+'LINEST VARS'!$H$48*(8*$AZ25)+'LINEST VARS'!$G$48*(8*12.73)+'LINEST VARS'!$F$48*(8*$BR$8)+'LINEST VARS'!$E$48*(8*$AZ25)+'LINEST VARS'!$D$48*(8*12.73)+'LINEST VARS'!$C$48*($BR$8*$AZ25)+'LINEST VARS'!$B$48*($BR$8*12.73)+'LINEST VARS'!$A$48*($AZ25*12.73)</f>
        <v>369.99999999999989</v>
      </c>
      <c r="BS25" s="46">
        <f>'LINEST VARS'!$U$48+'LINEST VARS'!$T$48*(8)+'LINEST VARS'!$S$48*(8)+'LINEST VARS'!$R$48*($BS$8)+'LINEST VARS'!$Q$48*($AZ25)+'LINEST VARS'!$P$48*(12.73)+'LINEST VARS'!$O$48*(8^2)+'LINEST VARS'!$N$48*(8^2)+'LINEST VARS'!$M$48*($BS$8^2)+'LINEST VARS'!$L$48*($AZ25^2)+'LINEST VARS'!$K$48*(12.73^2)+'LINEST VARS'!$J$48*(8*8)+'LINEST VARS'!$I$48*(8*$BS$8)+'LINEST VARS'!$H$48*(8*$AZ25)+'LINEST VARS'!$G$48*(8*12.73)+'LINEST VARS'!$F$48*(8*$BS$8)+'LINEST VARS'!$E$48*(8*$AZ25)+'LINEST VARS'!$D$48*(8*12.73)+'LINEST VARS'!$C$48*($BS$8*$AZ25)+'LINEST VARS'!$B$48*($BS$8*12.73)+'LINEST VARS'!$A$48*($AZ25*12.73)</f>
        <v>369.99999999999989</v>
      </c>
      <c r="BT25" s="46">
        <f>'LINEST VARS'!$U$48+'LINEST VARS'!$T$48*(8)+'LINEST VARS'!$S$48*(8)+'LINEST VARS'!$R$48*($BT$8)+'LINEST VARS'!$Q$48*($AZ25)+'LINEST VARS'!$P$48*(12.73)+'LINEST VARS'!$O$48*(8^2)+'LINEST VARS'!$N$48*(8^2)+'LINEST VARS'!$M$48*($BT$8^2)+'LINEST VARS'!$L$48*($AZ25^2)+'LINEST VARS'!$K$48*(12.73^2)+'LINEST VARS'!$J$48*(8*8)+'LINEST VARS'!$I$48*(8*$BT$8)+'LINEST VARS'!$H$48*(8*$AZ25)+'LINEST VARS'!$G$48*(8*12.73)+'LINEST VARS'!$F$48*(8*$BT$8)+'LINEST VARS'!$E$48*(8*$AZ25)+'LINEST VARS'!$D$48*(8*12.73)+'LINEST VARS'!$C$48*($BT$8*$AZ25)+'LINEST VARS'!$B$48*($BT$8*12.73)+'LINEST VARS'!$A$48*($AZ25*12.73)</f>
        <v>369.99999999999989</v>
      </c>
      <c r="BU25" s="47">
        <f>'LINEST VARS'!$U$48+'LINEST VARS'!$T$48*(8)+'LINEST VARS'!$S$48*(8)+'LINEST VARS'!$R$48*($BU$8)+'LINEST VARS'!$Q$48*($AZ25)+'LINEST VARS'!$P$48*(12.73)+'LINEST VARS'!$O$48*(8^2)+'LINEST VARS'!$N$48*(8^2)+'LINEST VARS'!$M$48*($BU$8^2)+'LINEST VARS'!$L$48*($AZ25^2)+'LINEST VARS'!$K$48*(12.73^2)+'LINEST VARS'!$J$48*(8*8)+'LINEST VARS'!$I$48*(8*$BU$8)+'LINEST VARS'!$H$48*(8*$AZ25)+'LINEST VARS'!$G$48*(8*12.73)+'LINEST VARS'!$F$48*(8*$BU$8)+'LINEST VARS'!$E$48*(8*$AZ25)+'LINEST VARS'!$D$48*(8*12.73)+'LINEST VARS'!$C$48*($BU$8*$AZ25)+'LINEST VARS'!$B$48*($BU$8*12.73)+'LINEST VARS'!$A$48*($AZ25*12.73)</f>
        <v>369.99999999999989</v>
      </c>
      <c r="BX25" s="45">
        <v>0.8</v>
      </c>
      <c r="BY25" s="46">
        <f>'LINEST VARS'!$U$50+'LINEST VARS'!$T$50*(8)+'LINEST VARS'!$S$50*(8)+'LINEST VARS'!$R$50*($BY$8)+'LINEST VARS'!$Q$50*($BX25)+'LINEST VARS'!$P$50*(12.73)+'LINEST VARS'!$O$50*(8^2)+'LINEST VARS'!$N$50*(8^2)+'LINEST VARS'!$M$50*($BY$8^2)+'LINEST VARS'!$L$50*($BX25^2)+'LINEST VARS'!$K$50*(12.73^2)+'LINEST VARS'!$J$50*(8*8)+'LINEST VARS'!$I$50*(8*$BY$8)+'LINEST VARS'!$H$50*(8*$BX25)+'LINEST VARS'!$G$50*(8*12.73)+'LINEST VARS'!$F$50*(8*$BY$8)+'LINEST VARS'!$E$50*(8*$BX25)+'LINEST VARS'!$D$50*(8*12.73)+'LINEST VARS'!$C$50*($BY$8*$BX25)+'LINEST VARS'!$B$50*($BY$8*12.73)+'LINEST VARS'!$A$50*($BX25*12.73)</f>
        <v>331.99999999999989</v>
      </c>
      <c r="BZ25" s="46">
        <f>'LINEST VARS'!$U$50+'LINEST VARS'!$T$50*(8)+'LINEST VARS'!$S$50*(8)+'LINEST VARS'!$R$50*($BZ$8)+'LINEST VARS'!$Q$50*($BX25)+'LINEST VARS'!$P$50*(12.73)+'LINEST VARS'!$O$50*(8^2)+'LINEST VARS'!$N$50*(8^2)+'LINEST VARS'!$M$50*($BZ$8^2)+'LINEST VARS'!$L$50*($BX25^2)+'LINEST VARS'!$K$50*(12.73^2)+'LINEST VARS'!$J$50*(8*8)+'LINEST VARS'!$I$50*(8*$BZ$8)+'LINEST VARS'!$H$50*(8*$BX25)+'LINEST VARS'!$G$50*(8*12.73)+'LINEST VARS'!$F$50*(8*$BZ$8)+'LINEST VARS'!$E$50*(8*$BX25)+'LINEST VARS'!$D$50*(8*12.73)+'LINEST VARS'!$C$50*($BZ$8*$BX25)+'LINEST VARS'!$B$50*($BZ$8*12.73)+'LINEST VARS'!$A$50*($BX25*12.73)</f>
        <v>331.99999999999989</v>
      </c>
      <c r="CA25" s="46">
        <f>'LINEST VARS'!$U$50+'LINEST VARS'!$T$50*(8)+'LINEST VARS'!$S$50*(8)+'LINEST VARS'!$R$50*($CA$8)+'LINEST VARS'!$Q$50*($BX25)+'LINEST VARS'!$P$50*(12.73)+'LINEST VARS'!$O$50*(8^2)+'LINEST VARS'!$N$50*(8^2)+'LINEST VARS'!$M$50*($CA$8^2)+'LINEST VARS'!$L$50*($BX25^2)+'LINEST VARS'!$K$50*(12.73^2)+'LINEST VARS'!$J$50*(8*8)+'LINEST VARS'!$I$50*(8*$CA$8)+'LINEST VARS'!$H$50*(8*$BX25)+'LINEST VARS'!$G$50*(8*12.73)+'LINEST VARS'!$F$50*(8*$CA$8)+'LINEST VARS'!$E$50*(8*$BX25)+'LINEST VARS'!$D$50*(8*12.73)+'LINEST VARS'!$C$50*($CA$8*$BX25)+'LINEST VARS'!$B$50*($CA$8*12.73)+'LINEST VARS'!$A$50*($BX25*12.73)</f>
        <v>331.99999999999989</v>
      </c>
      <c r="CB25" s="46">
        <f>'LINEST VARS'!$U$50+'LINEST VARS'!$T$50*(8)+'LINEST VARS'!$S$50*(8)+'LINEST VARS'!$R$50*($CB$8)+'LINEST VARS'!$Q$50*($BX25)+'LINEST VARS'!$P$50*(12.73)+'LINEST VARS'!$O$50*(8^2)+'LINEST VARS'!$N$50*(8^2)+'LINEST VARS'!$M$50*($CB$8^2)+'LINEST VARS'!$L$50*($BX25^2)+'LINEST VARS'!$K$50*(12.73^2)+'LINEST VARS'!$J$50*(8*8)+'LINEST VARS'!$I$50*(8*$CB$8)+'LINEST VARS'!$H$50*(8*$BX25)+'LINEST VARS'!$G$50*(8*12.73)+'LINEST VARS'!$F$50*(8*$CB$8)+'LINEST VARS'!$E$50*(8*$BX25)+'LINEST VARS'!$D$50*(8*12.73)+'LINEST VARS'!$C$50*($CB$8*$BX25)+'LINEST VARS'!$B$50*($CB$8*12.73)+'LINEST VARS'!$A$50*($BX25*12.73)</f>
        <v>331.99999999999989</v>
      </c>
      <c r="CC25" s="46">
        <f>'LINEST VARS'!$U$50+'LINEST VARS'!$T$50*(8)+'LINEST VARS'!$S$50*(8)+'LINEST VARS'!$R$50*($CC$8)+'LINEST VARS'!$Q$50*($BX25)+'LINEST VARS'!$P$50*(12.73)+'LINEST VARS'!$O$50*(8^2)+'LINEST VARS'!$N$50*(8^2)+'LINEST VARS'!$M$50*($CC$8^2)+'LINEST VARS'!$L$50*($BX25^2)+'LINEST VARS'!$K$50*(12.73^2)+'LINEST VARS'!$J$50*(8*8)+'LINEST VARS'!$I$50*(8*$CC$8)+'LINEST VARS'!$H$50*(8*$BX25)+'LINEST VARS'!$G$50*(8*12.73)+'LINEST VARS'!$F$50*(8*$CC$8)+'LINEST VARS'!$E$50*(8*$BX25)+'LINEST VARS'!$D$50*(8*12.73)+'LINEST VARS'!$C$50*($CC$8*$BX25)+'LINEST VARS'!$B$50*($CC$8*12.73)+'LINEST VARS'!$A$50*($BX25*12.73)</f>
        <v>331.99999999999989</v>
      </c>
      <c r="CD25" s="46">
        <f>'LINEST VARS'!$U$50+'LINEST VARS'!$T$50*(8)+'LINEST VARS'!$S$50*(8)+'LINEST VARS'!$R$50*($CD$8)+'LINEST VARS'!$Q$50*($BX25)+'LINEST VARS'!$P$50*(12.73)+'LINEST VARS'!$O$50*(8^2)+'LINEST VARS'!$N$50*(8^2)+'LINEST VARS'!$M$50*($CD$8^2)+'LINEST VARS'!$L$50*($BX25^2)+'LINEST VARS'!$K$50*(12.73^2)+'LINEST VARS'!$J$50*(8*8)+'LINEST VARS'!$I$50*(8*$CD$8)+'LINEST VARS'!$H$50*(8*$BX25)+'LINEST VARS'!$G$50*(8*12.73)+'LINEST VARS'!$F$50*(8*$CD$8)+'LINEST VARS'!$E$50*(8*$BX25)+'LINEST VARS'!$D$50*(8*12.73)+'LINEST VARS'!$C$50*($CD$8*$BX25)+'LINEST VARS'!$B$50*($CD$8*12.73)+'LINEST VARS'!$A$50*($BX25*12.73)</f>
        <v>331.99999999999989</v>
      </c>
      <c r="CE25" s="46">
        <f>'LINEST VARS'!$U$50+'LINEST VARS'!$T$50*(8)+'LINEST VARS'!$S$50*(8)+'LINEST VARS'!$R$50*($CE$8)+'LINEST VARS'!$Q$50*($BX25)+'LINEST VARS'!$P$50*(12.73)+'LINEST VARS'!$O$50*(8^2)+'LINEST VARS'!$N$50*(8^2)+'LINEST VARS'!$M$50*($CE$8^2)+'LINEST VARS'!$L$50*($BX25^2)+'LINEST VARS'!$K$50*(12.73^2)+'LINEST VARS'!$J$50*(8*8)+'LINEST VARS'!$I$50*(8*$CE$8)+'LINEST VARS'!$H$50*(8*$BX25)+'LINEST VARS'!$G$50*(8*12.73)+'LINEST VARS'!$F$50*(8*$CE$8)+'LINEST VARS'!$E$50*(8*$BX25)+'LINEST VARS'!$D$50*(8*12.73)+'LINEST VARS'!$C$50*($CE$8*$BX25)+'LINEST VARS'!$B$50*($CE$8*12.73)+'LINEST VARS'!$A$50*($BX25*12.73)</f>
        <v>331.99999999999989</v>
      </c>
      <c r="CF25" s="46">
        <f>'LINEST VARS'!$U$50+'LINEST VARS'!$T$50*(8)+'LINEST VARS'!$S$50*(8)+'LINEST VARS'!$R$50*($CF$8)+'LINEST VARS'!$Q$50*($BX25)+'LINEST VARS'!$P$50*(12.73)+'LINEST VARS'!$O$50*(8^2)+'LINEST VARS'!$N$50*(8^2)+'LINEST VARS'!$M$50*($CF$8^2)+'LINEST VARS'!$L$50*($BX25^2)+'LINEST VARS'!$K$50*(12.73^2)+'LINEST VARS'!$J$50*(8*8)+'LINEST VARS'!$I$50*(8*$CF$8)+'LINEST VARS'!$H$50*(8*$BX25)+'LINEST VARS'!$G$50*(8*12.73)+'LINEST VARS'!$F$50*(8*$CF$8)+'LINEST VARS'!$E$50*(8*$BX25)+'LINEST VARS'!$D$50*(8*12.73)+'LINEST VARS'!$C$50*($CF$8*$BX25)+'LINEST VARS'!$B$50*($CF$8*12.73)+'LINEST VARS'!$A$50*($BX25*12.73)</f>
        <v>331.99999999999989</v>
      </c>
      <c r="CG25" s="46">
        <f>'LINEST VARS'!$U$50+'LINEST VARS'!$T$50*(8)+'LINEST VARS'!$S$50*(8)+'LINEST VARS'!$R$50*($CG$8)+'LINEST VARS'!$Q$50*($BX25)+'LINEST VARS'!$P$50*(12.73)+'LINEST VARS'!$O$50*(8^2)+'LINEST VARS'!$N$50*(8^2)+'LINEST VARS'!$M$50*($CG$8^2)+'LINEST VARS'!$L$50*($BX25^2)+'LINEST VARS'!$K$50*(12.73^2)+'LINEST VARS'!$J$50*(8*8)+'LINEST VARS'!$I$50*(8*$CG$8)+'LINEST VARS'!$H$50*(8*$BX25)+'LINEST VARS'!$G$50*(8*12.73)+'LINEST VARS'!$F$50*(8*$CG$8)+'LINEST VARS'!$E$50*(8*$BX25)+'LINEST VARS'!$D$50*(8*12.73)+'LINEST VARS'!$C$50*($CG$8*$BX25)+'LINEST VARS'!$B$50*($CG$8*12.73)+'LINEST VARS'!$A$50*($BX25*12.73)</f>
        <v>331.99999999999989</v>
      </c>
      <c r="CH25" s="46">
        <f>'LINEST VARS'!$U$50+'LINEST VARS'!$T$50*(8)+'LINEST VARS'!$S$50*(8)+'LINEST VARS'!$R$50*($CH$8)+'LINEST VARS'!$Q$50*($BX25)+'LINEST VARS'!$P$50*(12.73)+'LINEST VARS'!$O$50*(8^2)+'LINEST VARS'!$N$50*(8^2)+'LINEST VARS'!$M$50*($CH$8^2)+'LINEST VARS'!$L$50*($BX25^2)+'LINEST VARS'!$K$50*(12.73^2)+'LINEST VARS'!$J$50*(8*8)+'LINEST VARS'!$I$50*(8*$CH$8)+'LINEST VARS'!$H$50*(8*$BX25)+'LINEST VARS'!$G$50*(8*12.73)+'LINEST VARS'!$F$50*(8*$CH$8)+'LINEST VARS'!$E$50*(8*$BX25)+'LINEST VARS'!$D$50*(8*12.73)+'LINEST VARS'!$C$50*($CH$8*$BX25)+'LINEST VARS'!$B$50*($CH$8*12.73)+'LINEST VARS'!$A$50*($BX25*12.73)</f>
        <v>331.99999999999989</v>
      </c>
      <c r="CI25" s="46">
        <f>'LINEST VARS'!$U$50+'LINEST VARS'!$T$50*(8)+'LINEST VARS'!$S$50*(8)+'LINEST VARS'!$R$50*($CI$8)+'LINEST VARS'!$Q$50*($BX25)+'LINEST VARS'!$P$50*(12.73)+'LINEST VARS'!$O$50*(8^2)+'LINEST VARS'!$N$50*(8^2)+'LINEST VARS'!$M$50*($CI$8^2)+'LINEST VARS'!$L$50*($BX25^2)+'LINEST VARS'!$K$50*(12.73^2)+'LINEST VARS'!$J$50*(8*8)+'LINEST VARS'!$I$50*(8*$CI$8)+'LINEST VARS'!$H$50*(8*$BX25)+'LINEST VARS'!$G$50*(8*12.73)+'LINEST VARS'!$F$50*(8*$CI$8)+'LINEST VARS'!$E$50*(8*$BX25)+'LINEST VARS'!$D$50*(8*12.73)+'LINEST VARS'!$C$50*($CI$8*$BX25)+'LINEST VARS'!$B$50*($CI$8*12.73)+'LINEST VARS'!$A$50*($BX25*12.73)</f>
        <v>331.99999999999989</v>
      </c>
      <c r="CJ25" s="46">
        <f>'LINEST VARS'!$U$50+'LINEST VARS'!$T$50*(8)+'LINEST VARS'!$S$50*(8)+'LINEST VARS'!$R$50*($CJ$8)+'LINEST VARS'!$Q$50*($BX25)+'LINEST VARS'!$P$50*(12.73)+'LINEST VARS'!$O$50*(8^2)+'LINEST VARS'!$N$50*(8^2)+'LINEST VARS'!$M$50*($CJ$8^2)+'LINEST VARS'!$L$50*($BX25^2)+'LINEST VARS'!$K$50*(12.73^2)+'LINEST VARS'!$J$50*(8*8)+'LINEST VARS'!$I$50*(8*$CJ$8)+'LINEST VARS'!$H$50*(8*$BX25)+'LINEST VARS'!$G$50*(8*12.73)+'LINEST VARS'!$F$50*(8*$CJ$8)+'LINEST VARS'!$E$50*(8*$BX25)+'LINEST VARS'!$D$50*(8*12.73)+'LINEST VARS'!$C$50*($CJ$8*$BX25)+'LINEST VARS'!$B$50*($CJ$8*12.73)+'LINEST VARS'!$A$50*($BX25*12.73)</f>
        <v>331.99999999999989</v>
      </c>
      <c r="CK25" s="46">
        <f>'LINEST VARS'!$U$50+'LINEST VARS'!$T$50*(8)+'LINEST VARS'!$S$50*(8)+'LINEST VARS'!$R$50*($CK$8)+'LINEST VARS'!$Q$50*($BX25)+'LINEST VARS'!$P$50*(12.73)+'LINEST VARS'!$O$50*(8^2)+'LINEST VARS'!$N$50*(8^2)+'LINEST VARS'!$M$50*($CK$8^2)+'LINEST VARS'!$L$50*($BX25^2)+'LINEST VARS'!$K$50*(12.73^2)+'LINEST VARS'!$J$50*(8*8)+'LINEST VARS'!$I$50*(8*$CK$8)+'LINEST VARS'!$H$50*(8*$BX25)+'LINEST VARS'!$G$50*(8*12.73)+'LINEST VARS'!$F$50*(8*$CK$8)+'LINEST VARS'!$E$50*(8*$BX25)+'LINEST VARS'!$D$50*(8*12.73)+'LINEST VARS'!$C$50*($CK$8*$BX25)+'LINEST VARS'!$B$50*($CK$8*12.73)+'LINEST VARS'!$A$50*($BX25*12.73)</f>
        <v>331.99999999999989</v>
      </c>
      <c r="CL25" s="46">
        <f>'LINEST VARS'!$U$50+'LINEST VARS'!$T$50*(8)+'LINEST VARS'!$S$50*(8)+'LINEST VARS'!$R$50*($CL$8)+'LINEST VARS'!$Q$50*($BX25)+'LINEST VARS'!$P$50*(12.73)+'LINEST VARS'!$O$50*(8^2)+'LINEST VARS'!$N$50*(8^2)+'LINEST VARS'!$M$50*($CL$8^2)+'LINEST VARS'!$L$50*($BX25^2)+'LINEST VARS'!$K$50*(12.73^2)+'LINEST VARS'!$J$50*(8*8)+'LINEST VARS'!$I$50*(8*$CL$8)+'LINEST VARS'!$H$50*(8*$BX25)+'LINEST VARS'!$G$50*(8*12.73)+'LINEST VARS'!$F$50*(8*$CL$8)+'LINEST VARS'!$E$50*(8*$BX25)+'LINEST VARS'!$D$50*(8*12.73)+'LINEST VARS'!$C$50*($CL$8*$BX25)+'LINEST VARS'!$B$50*($CL$8*12.73)+'LINEST VARS'!$A$50*($BX25*12.73)</f>
        <v>331.99999999999989</v>
      </c>
      <c r="CM25" s="46">
        <f>'LINEST VARS'!$U$50+'LINEST VARS'!$T$50*(8)+'LINEST VARS'!$S$50*(8)+'LINEST VARS'!$R$50*($CM$8)+'LINEST VARS'!$Q$50*($BX25)+'LINEST VARS'!$P$50*(12.73)+'LINEST VARS'!$O$50*(8^2)+'LINEST VARS'!$N$50*(8^2)+'LINEST VARS'!$M$50*($CM$8^2)+'LINEST VARS'!$L$50*($BX25^2)+'LINEST VARS'!$K$50*(12.73^2)+'LINEST VARS'!$J$50*(8*8)+'LINEST VARS'!$I$50*(8*$CM$8)+'LINEST VARS'!$H$50*(8*$BX25)+'LINEST VARS'!$G$50*(8*12.73)+'LINEST VARS'!$F$50*(8*$CM$8)+'LINEST VARS'!$E$50*(8*$BX25)+'LINEST VARS'!$D$50*(8*12.73)+'LINEST VARS'!$C$50*($CM$8*$BX25)+'LINEST VARS'!$B$50*($CM$8*12.73)+'LINEST VARS'!$A$50*($BX25*12.73)</f>
        <v>331.99999999999989</v>
      </c>
      <c r="CN25" s="46">
        <f>'LINEST VARS'!$U$50+'LINEST VARS'!$T$50*(8)+'LINEST VARS'!$S$50*(8)+'LINEST VARS'!$R$50*($CN$8)+'LINEST VARS'!$Q$50*($BX25)+'LINEST VARS'!$P$50*(12.73)+'LINEST VARS'!$O$50*(8^2)+'LINEST VARS'!$N$50*(8^2)+'LINEST VARS'!$M$50*($CN$8^2)+'LINEST VARS'!$L$50*($BX25^2)+'LINEST VARS'!$K$50*(12.73^2)+'LINEST VARS'!$J$50*(8*8)+'LINEST VARS'!$I$50*(8*$CN$8)+'LINEST VARS'!$H$50*(8*$BX25)+'LINEST VARS'!$G$50*(8*12.73)+'LINEST VARS'!$F$50*(8*$CN$8)+'LINEST VARS'!$E$50*(8*$BX25)+'LINEST VARS'!$D$50*(8*12.73)+'LINEST VARS'!$C$50*($CN$8*$BX25)+'LINEST VARS'!$B$50*($CN$8*12.73)+'LINEST VARS'!$A$50*($BX25*12.73)</f>
        <v>331.99999999999989</v>
      </c>
      <c r="CO25" s="46">
        <f>'LINEST VARS'!$U$50+'LINEST VARS'!$T$50*(8)+'LINEST VARS'!$S$50*(8)+'LINEST VARS'!$R$50*($CO$8)+'LINEST VARS'!$Q$50*($BX25)+'LINEST VARS'!$P$50*(12.73)+'LINEST VARS'!$O$50*(8^2)+'LINEST VARS'!$N$50*(8^2)+'LINEST VARS'!$M$50*($CO$8^2)+'LINEST VARS'!$L$50*($BX25^2)+'LINEST VARS'!$K$50*(12.73^2)+'LINEST VARS'!$J$50*(8*8)+'LINEST VARS'!$I$50*(8*$CO$8)+'LINEST VARS'!$H$50*(8*$BX25)+'LINEST VARS'!$G$50*(8*12.73)+'LINEST VARS'!$F$50*(8*$CO$8)+'LINEST VARS'!$E$50*(8*$BX25)+'LINEST VARS'!$D$50*(8*12.73)+'LINEST VARS'!$C$50*($CO$8*$BX25)+'LINEST VARS'!$B$50*($CO$8*12.73)+'LINEST VARS'!$A$50*($BX25*12.73)</f>
        <v>331.99999999999989</v>
      </c>
      <c r="CP25" s="46">
        <f>'LINEST VARS'!$U$50+'LINEST VARS'!$T$50*(8)+'LINEST VARS'!$S$50*(8)+'LINEST VARS'!$R$50*($CP$8)+'LINEST VARS'!$Q$50*($BX25)+'LINEST VARS'!$P$50*(12.73)+'LINEST VARS'!$O$50*(8^2)+'LINEST VARS'!$N$50*(8^2)+'LINEST VARS'!$M$50*($CP$8^2)+'LINEST VARS'!$L$50*($BX25^2)+'LINEST VARS'!$K$50*(12.73^2)+'LINEST VARS'!$J$50*(8*8)+'LINEST VARS'!$I$50*(8*$CP$8)+'LINEST VARS'!$H$50*(8*$BX25)+'LINEST VARS'!$G$50*(8*12.73)+'LINEST VARS'!$F$50*(8*$CP$8)+'LINEST VARS'!$E$50*(8*$BX25)+'LINEST VARS'!$D$50*(8*12.73)+'LINEST VARS'!$C$50*($CP$8*$BX25)+'LINEST VARS'!$B$50*($CP$8*12.73)+'LINEST VARS'!$A$50*($BX25*12.73)</f>
        <v>331.99999999999989</v>
      </c>
      <c r="CQ25" s="46">
        <f>'LINEST VARS'!$U$50+'LINEST VARS'!$T$50*(8)+'LINEST VARS'!$S$50*(8)+'LINEST VARS'!$R$50*($CQ$8)+'LINEST VARS'!$Q$50*($BX25)+'LINEST VARS'!$P$50*(12.73)+'LINEST VARS'!$O$50*(8^2)+'LINEST VARS'!$N$50*(8^2)+'LINEST VARS'!$M$50*($CQ$8^2)+'LINEST VARS'!$L$50*($BX25^2)+'LINEST VARS'!$K$50*(12.73^2)+'LINEST VARS'!$J$50*(8*8)+'LINEST VARS'!$I$50*(8*$CQ$8)+'LINEST VARS'!$H$50*(8*$BX25)+'LINEST VARS'!$G$50*(8*12.73)+'LINEST VARS'!$F$50*(8*$CQ$8)+'LINEST VARS'!$E$50*(8*$BX25)+'LINEST VARS'!$D$50*(8*12.73)+'LINEST VARS'!$C$50*($CQ$8*$BX25)+'LINEST VARS'!$B$50*($CQ$8*12.73)+'LINEST VARS'!$A$50*($BX25*12.73)</f>
        <v>331.99999999999989</v>
      </c>
      <c r="CR25" s="46">
        <f>'LINEST VARS'!$U$50+'LINEST VARS'!$T$50*(8)+'LINEST VARS'!$S$50*(8)+'LINEST VARS'!$R$50*($CR$8)+'LINEST VARS'!$Q$50*($BX25)+'LINEST VARS'!$P$50*(12.73)+'LINEST VARS'!$O$50*(8^2)+'LINEST VARS'!$N$50*(8^2)+'LINEST VARS'!$M$50*($CR$8^2)+'LINEST VARS'!$L$50*($BX25^2)+'LINEST VARS'!$K$50*(12.73^2)+'LINEST VARS'!$J$50*(8*8)+'LINEST VARS'!$I$50*(8*$CR$8)+'LINEST VARS'!$H$50*(8*$BX25)+'LINEST VARS'!$G$50*(8*12.73)+'LINEST VARS'!$F$50*(8*$CR$8)+'LINEST VARS'!$E$50*(8*$BX25)+'LINEST VARS'!$D$50*(8*12.73)+'LINEST VARS'!$C$50*($CR$8*$BX25)+'LINEST VARS'!$B$50*($CR$8*12.73)+'LINEST VARS'!$A$50*($BX25*12.73)</f>
        <v>331.99999999999989</v>
      </c>
      <c r="CS25" s="47">
        <f>'LINEST VARS'!$U$50+'LINEST VARS'!$T$50*(8)+'LINEST VARS'!$S$50*(8)+'LINEST VARS'!$R$50*($CS$8)+'LINEST VARS'!$Q$50*($BX25)+'LINEST VARS'!$P$50*(12.73)+'LINEST VARS'!$O$50*(8^2)+'LINEST VARS'!$N$50*(8^2)+'LINEST VARS'!$M$50*($CS$8^2)+'LINEST VARS'!$L$50*($BX25^2)+'LINEST VARS'!$K$50*(12.73^2)+'LINEST VARS'!$J$50*(8*8)+'LINEST VARS'!$I$50*(8*$CS$8)+'LINEST VARS'!$H$50*(8*$BX25)+'LINEST VARS'!$G$50*(8*12.73)+'LINEST VARS'!$F$50*(8*$CS$8)+'LINEST VARS'!$E$50*(8*$BX25)+'LINEST VARS'!$D$50*(8*12.73)+'LINEST VARS'!$C$50*($CS$8*$BX25)+'LINEST VARS'!$B$50*($CS$8*12.73)+'LINEST VARS'!$A$50*($BX25*12.73)</f>
        <v>331.99999999999989</v>
      </c>
      <c r="CX25" s="45">
        <v>20.792000000000002</v>
      </c>
      <c r="CY25" s="46">
        <f>'LINEST VARS'!$U$48+'LINEST VARS'!$T$48*(8)+'LINEST VARS'!$S$48*(8)+'LINEST VARS'!$R$48*($CY$8)+'LINEST VARS'!$Q$48*(0.5)+'LINEST VARS'!$P$48*($CX25)+'LINEST VARS'!$O$48*(8^2)+'LINEST VARS'!$N$48*(8^2)+'LINEST VARS'!$M$48*($CY$8^2)+'LINEST VARS'!$L$48*(0.5^2)+'LINEST VARS'!$K$48*($CX25^2)+'LINEST VARS'!$J$48*(8*8)+'LINEST VARS'!$I$48*(8*$CY$8)+'LINEST VARS'!$H$48*(8*0.5)+'LINEST VARS'!$G$48*(8*$CX25)+'LINEST VARS'!$F$48*(8*$CY$8)+'LINEST VARS'!$E$48*(8*0.5)+'LINEST VARS'!$D$48*(8*$CX25)+'LINEST VARS'!$C$48*($CY$8*0.5)+'LINEST VARS'!$B$48*($CY$8*$CX25)+'LINEST VARS'!$A$48*(0.5*$CX25)</f>
        <v>369.99999999999983</v>
      </c>
      <c r="CZ25" s="46">
        <f>'LINEST VARS'!$U$48+'LINEST VARS'!$T$48*(8)+'LINEST VARS'!$S$48*(8)+'LINEST VARS'!$R$48*($CZ$8)+'LINEST VARS'!$Q$48*(0.5)+'LINEST VARS'!$P$48*($CX25)+'LINEST VARS'!$O$48*(8^2)+'LINEST VARS'!$N$48*(8^2)+'LINEST VARS'!$M$48*($CZ$8^2)+'LINEST VARS'!$L$48*(0.5^2)+'LINEST VARS'!$K$48*($CX25^2)+'LINEST VARS'!$J$48*(8*8)+'LINEST VARS'!$I$48*(8*$CZ$8)+'LINEST VARS'!$H$48*(8*0.5)+'LINEST VARS'!$G$48*(8*$CX25)+'LINEST VARS'!$F$48*(8*$CZ$8)+'LINEST VARS'!$E$48*(8*0.5)+'LINEST VARS'!$D$48*(8*$CX25)+'LINEST VARS'!$C$48*($CZ$8*0.5)+'LINEST VARS'!$B$48*($CZ$8*$CX25)+'LINEST VARS'!$A$48*(0.5*$CX25)</f>
        <v>369.99999999999983</v>
      </c>
      <c r="DA25" s="46">
        <f>'LINEST VARS'!$U$48+'LINEST VARS'!$T$48*(8)+'LINEST VARS'!$S$48*(8)+'LINEST VARS'!$R$48*($DA$8)+'LINEST VARS'!$Q$48*(0.5)+'LINEST VARS'!$P$48*($CX25)+'LINEST VARS'!$O$48*(8^2)+'LINEST VARS'!$N$48*(8^2)+'LINEST VARS'!$M$48*($DA$8^2)+'LINEST VARS'!$L$48*(0.5^2)+'LINEST VARS'!$K$48*($CX25^2)+'LINEST VARS'!$J$48*(8*8)+'LINEST VARS'!$I$48*(8*$DA$8)+'LINEST VARS'!$H$48*(8*0.5)+'LINEST VARS'!$G$48*(8*$CX25)+'LINEST VARS'!$F$48*(8*$DA$8)+'LINEST VARS'!$E$48*(8*0.5)+'LINEST VARS'!$D$48*(8*$CX25)+'LINEST VARS'!$C$48*($DA$8*0.5)+'LINEST VARS'!$B$48*($DA$8*$CX25)+'LINEST VARS'!$A$48*(0.5*$CX25)</f>
        <v>369.99999999999983</v>
      </c>
      <c r="DB25" s="46">
        <f>'LINEST VARS'!$U$48+'LINEST VARS'!$T$48*(8)+'LINEST VARS'!$S$48*(8)+'LINEST VARS'!$R$48*($DB$8)+'LINEST VARS'!$Q$48*(0.5)+'LINEST VARS'!$P$48*($CX25)+'LINEST VARS'!$O$48*(8^2)+'LINEST VARS'!$N$48*(8^2)+'LINEST VARS'!$M$48*($DB$8^2)+'LINEST VARS'!$L$48*(0.5^2)+'LINEST VARS'!$K$48*($CX25^2)+'LINEST VARS'!$J$48*(8*8)+'LINEST VARS'!$I$48*(8*$DB$8)+'LINEST VARS'!$H$48*(8*0.5)+'LINEST VARS'!$G$48*(8*$CX25)+'LINEST VARS'!$F$48*(8*$DB$8)+'LINEST VARS'!$E$48*(8*0.5)+'LINEST VARS'!$D$48*(8*$CX25)+'LINEST VARS'!$C$48*($DB$8*0.5)+'LINEST VARS'!$B$48*($DB$8*$CX25)+'LINEST VARS'!$A$48*(0.5*$CX25)</f>
        <v>369.99999999999983</v>
      </c>
      <c r="DC25" s="46">
        <f>'LINEST VARS'!$U$48+'LINEST VARS'!$T$48*(8)+'LINEST VARS'!$S$48*(8)+'LINEST VARS'!$R$48*($DC$8)+'LINEST VARS'!$Q$48*(0.5)+'LINEST VARS'!$P$48*($CX25)+'LINEST VARS'!$O$48*(8^2)+'LINEST VARS'!$N$48*(8^2)+'LINEST VARS'!$M$48*($DC$8^2)+'LINEST VARS'!$L$48*(0.5^2)+'LINEST VARS'!$K$48*($CX25^2)+'LINEST VARS'!$J$48*(8*8)+'LINEST VARS'!$I$48*(8*$DC$8)+'LINEST VARS'!$H$48*(8*0.5)+'LINEST VARS'!$G$48*(8*$CX25)+'LINEST VARS'!$F$48*(8*$DC$8)+'LINEST VARS'!$E$48*(8*0.5)+'LINEST VARS'!$D$48*(8*$CX25)+'LINEST VARS'!$C$48*($DC$8*0.5)+'LINEST VARS'!$B$48*($DC$8*$CX25)+'LINEST VARS'!$A$48*(0.5*$CX25)</f>
        <v>369.99999999999983</v>
      </c>
      <c r="DD25" s="46">
        <f>'LINEST VARS'!$U$48+'LINEST VARS'!$T$48*(8)+'LINEST VARS'!$S$48*(8)+'LINEST VARS'!$R$48*($DD$8)+'LINEST VARS'!$Q$48*(0.5)+'LINEST VARS'!$P$48*($CX25)+'LINEST VARS'!$O$48*(8^2)+'LINEST VARS'!$N$48*(8^2)+'LINEST VARS'!$M$48*($DD$8^2)+'LINEST VARS'!$L$48*(0.5^2)+'LINEST VARS'!$K$48*($CX25^2)+'LINEST VARS'!$J$48*(8*8)+'LINEST VARS'!$I$48*(8*$DD$8)+'LINEST VARS'!$H$48*(8*0.5)+'LINEST VARS'!$G$48*(8*$CX25)+'LINEST VARS'!$F$48*(8*$DD$8)+'LINEST VARS'!$E$48*(8*0.5)+'LINEST VARS'!$D$48*(8*$CX25)+'LINEST VARS'!$C$48*($DD$8*0.5)+'LINEST VARS'!$B$48*($DD$8*$CX25)+'LINEST VARS'!$A$48*(0.5*$CX25)</f>
        <v>369.99999999999983</v>
      </c>
      <c r="DE25" s="46">
        <f>'LINEST VARS'!$U$48+'LINEST VARS'!$T$48*(8)+'LINEST VARS'!$S$48*(8)+'LINEST VARS'!$R$48*($DE$8)+'LINEST VARS'!$Q$48*(0.5)+'LINEST VARS'!$P$48*($CX25)+'LINEST VARS'!$O$48*(8^2)+'LINEST VARS'!$N$48*(8^2)+'LINEST VARS'!$M$48*($DE$8^2)+'LINEST VARS'!$L$48*(0.5^2)+'LINEST VARS'!$K$48*($CX25^2)+'LINEST VARS'!$J$48*(8*8)+'LINEST VARS'!$I$48*(8*$DE$8)+'LINEST VARS'!$H$48*(8*0.5)+'LINEST VARS'!$G$48*(8*$CX25)+'LINEST VARS'!$F$48*(8*$DE$8)+'LINEST VARS'!$E$48*(8*0.5)+'LINEST VARS'!$D$48*(8*$CX25)+'LINEST VARS'!$C$48*($DE$8*0.5)+'LINEST VARS'!$B$48*($DE$8*$CX25)+'LINEST VARS'!$A$48*(0.5*$CX25)</f>
        <v>369.99999999999983</v>
      </c>
      <c r="DF25" s="46">
        <f>'LINEST VARS'!$U$48+'LINEST VARS'!$T$48*(8)+'LINEST VARS'!$S$48*(8)+'LINEST VARS'!$R$48*($DF$8)+'LINEST VARS'!$Q$48*(0.5)+'LINEST VARS'!$P$48*($CX25)+'LINEST VARS'!$O$48*(8^2)+'LINEST VARS'!$N$48*(8^2)+'LINEST VARS'!$M$48*($DF$8^2)+'LINEST VARS'!$L$48*(0.5^2)+'LINEST VARS'!$K$48*($CX25^2)+'LINEST VARS'!$J$48*(8*8)+'LINEST VARS'!$I$48*(8*$DF$8)+'LINEST VARS'!$H$48*(8*0.5)+'LINEST VARS'!$G$48*(8*$CX25)+'LINEST VARS'!$F$48*(8*$DF$8)+'LINEST VARS'!$E$48*(8*0.5)+'LINEST VARS'!$D$48*(8*$CX25)+'LINEST VARS'!$C$48*($DF$8*0.5)+'LINEST VARS'!$B$48*($DF$8*$CX25)+'LINEST VARS'!$A$48*(0.5*$CX25)</f>
        <v>369.99999999999983</v>
      </c>
      <c r="DG25" s="46">
        <f>'LINEST VARS'!$U$48+'LINEST VARS'!$T$48*(8)+'LINEST VARS'!$S$48*(8)+'LINEST VARS'!$R$48*($DG$8)+'LINEST VARS'!$Q$48*(0.5)+'LINEST VARS'!$P$48*($CX25)+'LINEST VARS'!$O$48*(8^2)+'LINEST VARS'!$N$48*(8^2)+'LINEST VARS'!$M$48*($DG$8^2)+'LINEST VARS'!$L$48*(0.5^2)+'LINEST VARS'!$K$48*($CX25^2)+'LINEST VARS'!$J$48*(8*8)+'LINEST VARS'!$I$48*(8*$DG$8)+'LINEST VARS'!$H$48*(8*0.5)+'LINEST VARS'!$G$48*(8*$CX25)+'LINEST VARS'!$F$48*(8*$DG$8)+'LINEST VARS'!$E$48*(8*0.5)+'LINEST VARS'!$D$48*(8*$CX25)+'LINEST VARS'!$C$48*($DG$8*0.5)+'LINEST VARS'!$B$48*($DG$8*$CX25)+'LINEST VARS'!$A$48*(0.5*$CX25)</f>
        <v>369.99999999999983</v>
      </c>
      <c r="DH25" s="46">
        <f>'LINEST VARS'!$U$48+'LINEST VARS'!$T$48*(8)+'LINEST VARS'!$S$48*(8)+'LINEST VARS'!$R$48*($DH$8)+'LINEST VARS'!$Q$48*(0.5)+'LINEST VARS'!$P$48*($CX25)+'LINEST VARS'!$O$48*(8^2)+'LINEST VARS'!$N$48*(8^2)+'LINEST VARS'!$M$48*($DH$8^2)+'LINEST VARS'!$L$48*(0.5^2)+'LINEST VARS'!$K$48*($CX25^2)+'LINEST VARS'!$J$48*(8*8)+'LINEST VARS'!$I$48*(8*$DH$8)+'LINEST VARS'!$H$48*(8*0.5)+'LINEST VARS'!$G$48*(8*$CX25)+'LINEST VARS'!$F$48*(8*$DH$8)+'LINEST VARS'!$E$48*(8*0.5)+'LINEST VARS'!$D$48*(8*$CX25)+'LINEST VARS'!$C$48*($DH$8*0.5)+'LINEST VARS'!$B$48*($DH$8*$CX25)+'LINEST VARS'!$A$48*(0.5*$CX25)</f>
        <v>369.99999999999983</v>
      </c>
      <c r="DI25" s="46">
        <f>'LINEST VARS'!$U$48+'LINEST VARS'!$T$48*(8)+'LINEST VARS'!$S$48*(8)+'LINEST VARS'!$R$48*($DI$8)+'LINEST VARS'!$Q$48*(0.5)+'LINEST VARS'!$P$48*($CX25)+'LINEST VARS'!$O$48*(8^2)+'LINEST VARS'!$N$48*(8^2)+'LINEST VARS'!$M$48*($DI$8^2)+'LINEST VARS'!$L$48*(0.5^2)+'LINEST VARS'!$K$48*($CX25^2)+'LINEST VARS'!$J$48*(8*8)+'LINEST VARS'!$I$48*(8*$DI$8)+'LINEST VARS'!$H$48*(8*0.5)+'LINEST VARS'!$G$48*(8*$CX25)+'LINEST VARS'!$F$48*(8*$DI$8)+'LINEST VARS'!$E$48*(8*0.5)+'LINEST VARS'!$D$48*(8*$CX25)+'LINEST VARS'!$C$48*($DI$8*0.5)+'LINEST VARS'!$B$48*($DI$8*$CX25)+'LINEST VARS'!$A$48*(0.5*$CX25)</f>
        <v>369.99999999999983</v>
      </c>
      <c r="DJ25" s="46">
        <f>'LINEST VARS'!$U$48+'LINEST VARS'!$T$48*(8)+'LINEST VARS'!$S$48*(8)+'LINEST VARS'!$R$48*($DJ$8)+'LINEST VARS'!$Q$48*(0.5)+'LINEST VARS'!$P$48*($CX25)+'LINEST VARS'!$O$48*(8^2)+'LINEST VARS'!$N$48*(8^2)+'LINEST VARS'!$M$48*($DJ$8^2)+'LINEST VARS'!$L$48*(0.5^2)+'LINEST VARS'!$K$48*($CX25^2)+'LINEST VARS'!$J$48*(8*8)+'LINEST VARS'!$I$48*(8*$DJ$8)+'LINEST VARS'!$H$48*(8*0.5)+'LINEST VARS'!$G$48*(8*$CX25)+'LINEST VARS'!$F$48*(8*$DJ$8)+'LINEST VARS'!$E$48*(8*0.5)+'LINEST VARS'!$D$48*(8*$CX25)+'LINEST VARS'!$C$48*($DJ$8*0.5)+'LINEST VARS'!$B$48*($DJ$8*$CX25)+'LINEST VARS'!$A$48*(0.5*$CX25)</f>
        <v>369.99999999999983</v>
      </c>
      <c r="DK25" s="46">
        <f>'LINEST VARS'!$U$48+'LINEST VARS'!$T$48*(8)+'LINEST VARS'!$S$48*(8)+'LINEST VARS'!$R$48*($DK$8)+'LINEST VARS'!$Q$48*(0.5)+'LINEST VARS'!$P$48*($CX25)+'LINEST VARS'!$O$48*(8^2)+'LINEST VARS'!$N$48*(8^2)+'LINEST VARS'!$M$48*($DK$8^2)+'LINEST VARS'!$L$48*(0.5^2)+'LINEST VARS'!$K$48*($CX25^2)+'LINEST VARS'!$J$48*(8*8)+'LINEST VARS'!$I$48*(8*$DK$8)+'LINEST VARS'!$H$48*(8*0.5)+'LINEST VARS'!$G$48*(8*$CX25)+'LINEST VARS'!$F$48*(8*$DK$8)+'LINEST VARS'!$E$48*(8*0.5)+'LINEST VARS'!$D$48*(8*$CX25)+'LINEST VARS'!$C$48*($DK$8*0.5)+'LINEST VARS'!$B$48*($DK$8*$CX25)+'LINEST VARS'!$A$48*(0.5*$CX25)</f>
        <v>369.99999999999983</v>
      </c>
      <c r="DL25" s="46">
        <f>'LINEST VARS'!$U$48+'LINEST VARS'!$T$48*(8)+'LINEST VARS'!$S$48*(8)+'LINEST VARS'!$R$48*($DL$8)+'LINEST VARS'!$Q$48*(0.5)+'LINEST VARS'!$P$48*($CX25)+'LINEST VARS'!$O$48*(8^2)+'LINEST VARS'!$N$48*(8^2)+'LINEST VARS'!$M$48*($DL$8^2)+'LINEST VARS'!$L$48*(0.5^2)+'LINEST VARS'!$K$48*($CX25^2)+'LINEST VARS'!$J$48*(8*8)+'LINEST VARS'!$I$48*(8*$DL$8)+'LINEST VARS'!$H$48*(8*0.5)+'LINEST VARS'!$G$48*(8*$CX25)+'LINEST VARS'!$F$48*(8*$DL$8)+'LINEST VARS'!$E$48*(8*0.5)+'LINEST VARS'!$D$48*(8*$CX25)+'LINEST VARS'!$C$48*($DL$8*0.5)+'LINEST VARS'!$B$48*($DL$8*$CX25)+'LINEST VARS'!$A$48*(0.5*$CX25)</f>
        <v>369.99999999999989</v>
      </c>
      <c r="DM25" s="46">
        <f>'LINEST VARS'!$U$48+'LINEST VARS'!$T$48*(8)+'LINEST VARS'!$S$48*(8)+'LINEST VARS'!$R$48*($DM$8)+'LINEST VARS'!$Q$48*(0.5)+'LINEST VARS'!$P$48*($CX25)+'LINEST VARS'!$O$48*(8^2)+'LINEST VARS'!$N$48*(8^2)+'LINEST VARS'!$M$48*($DM$8^2)+'LINEST VARS'!$L$48*(0.5^2)+'LINEST VARS'!$K$48*($CX25^2)+'LINEST VARS'!$J$48*(8*8)+'LINEST VARS'!$I$48*(8*$DM$8)+'LINEST VARS'!$H$48*(8*0.5)+'LINEST VARS'!$G$48*(8*$CX25)+'LINEST VARS'!$F$48*(8*$DM$8)+'LINEST VARS'!$E$48*(8*0.5)+'LINEST VARS'!$D$48*(8*$CX25)+'LINEST VARS'!$C$48*($DM$8*0.5)+'LINEST VARS'!$B$48*($DM$8*$CX25)+'LINEST VARS'!$A$48*(0.5*$CX25)</f>
        <v>369.99999999999989</v>
      </c>
      <c r="DN25" s="46">
        <f>'LINEST VARS'!$U$48+'LINEST VARS'!$T$48*(8)+'LINEST VARS'!$S$48*(8)+'LINEST VARS'!$R$48*($DN$8)+'LINEST VARS'!$Q$48*(0.5)+'LINEST VARS'!$P$48*($CX25)+'LINEST VARS'!$O$48*(8^2)+'LINEST VARS'!$N$48*(8^2)+'LINEST VARS'!$M$48*($DN$8^2)+'LINEST VARS'!$L$48*(0.5^2)+'LINEST VARS'!$K$48*($CX25^2)+'LINEST VARS'!$J$48*(8*8)+'LINEST VARS'!$I$48*(8*$DN$8)+'LINEST VARS'!$H$48*(8*0.5)+'LINEST VARS'!$G$48*(8*$CX25)+'LINEST VARS'!$F$48*(8*$DN$8)+'LINEST VARS'!$E$48*(8*0.5)+'LINEST VARS'!$D$48*(8*$CX25)+'LINEST VARS'!$C$48*($DN$8*0.5)+'LINEST VARS'!$B$48*($DN$8*$CX25)+'LINEST VARS'!$A$48*(0.5*$CX25)</f>
        <v>369.99999999999989</v>
      </c>
      <c r="DO25" s="46">
        <f>'LINEST VARS'!$U$48+'LINEST VARS'!$T$48*(8)+'LINEST VARS'!$S$48*(8)+'LINEST VARS'!$R$48*($DO$8)+'LINEST VARS'!$Q$48*(0.5)+'LINEST VARS'!$P$48*($CX25)+'LINEST VARS'!$O$48*(8^2)+'LINEST VARS'!$N$48*(8^2)+'LINEST VARS'!$M$48*($DO$8^2)+'LINEST VARS'!$L$48*(0.5^2)+'LINEST VARS'!$K$48*($CX25^2)+'LINEST VARS'!$J$48*(8*8)+'LINEST VARS'!$I$48*(8*$DO$8)+'LINEST VARS'!$H$48*(8*0.5)+'LINEST VARS'!$G$48*(8*$CX25)+'LINEST VARS'!$F$48*(8*$DO$8)+'LINEST VARS'!$E$48*(8*0.5)+'LINEST VARS'!$D$48*(8*$CX25)+'LINEST VARS'!$C$48*($DO$8*0.5)+'LINEST VARS'!$B$48*($DO$8*$CX25)+'LINEST VARS'!$A$48*(0.5*$CX25)</f>
        <v>369.99999999999983</v>
      </c>
      <c r="DP25" s="46">
        <f>'LINEST VARS'!$U$48+'LINEST VARS'!$T$48*(8)+'LINEST VARS'!$S$48*(8)+'LINEST VARS'!$R$48*($DP$8)+'LINEST VARS'!$Q$48*(0.5)+'LINEST VARS'!$P$48*($CX25)+'LINEST VARS'!$O$48*(8^2)+'LINEST VARS'!$N$48*(8^2)+'LINEST VARS'!$M$48*($DP$8^2)+'LINEST VARS'!$L$48*(0.5^2)+'LINEST VARS'!$K$48*($CX25^2)+'LINEST VARS'!$J$48*(8*8)+'LINEST VARS'!$I$48*(8*$DP$8)+'LINEST VARS'!$H$48*(8*0.5)+'LINEST VARS'!$G$48*(8*$CX25)+'LINEST VARS'!$F$48*(8*$DP$8)+'LINEST VARS'!$E$48*(8*0.5)+'LINEST VARS'!$D$48*(8*$CX25)+'LINEST VARS'!$C$48*($DP$8*0.5)+'LINEST VARS'!$B$48*($DP$8*$CX25)+'LINEST VARS'!$A$48*(0.5*$CX25)</f>
        <v>369.99999999999983</v>
      </c>
      <c r="DQ25" s="46">
        <f>'LINEST VARS'!$U$48+'LINEST VARS'!$T$48*(8)+'LINEST VARS'!$S$48*(8)+'LINEST VARS'!$R$48*($DQ$8)+'LINEST VARS'!$Q$48*(0.5)+'LINEST VARS'!$P$48*($CX25)+'LINEST VARS'!$O$48*(8^2)+'LINEST VARS'!$N$48*(8^2)+'LINEST VARS'!$M$48*($DQ$8^2)+'LINEST VARS'!$L$48*(0.5^2)+'LINEST VARS'!$K$48*($CX25^2)+'LINEST VARS'!$J$48*(8*8)+'LINEST VARS'!$I$48*(8*$DQ$8)+'LINEST VARS'!$H$48*(8*0.5)+'LINEST VARS'!$G$48*(8*$CX25)+'LINEST VARS'!$F$48*(8*$DQ$8)+'LINEST VARS'!$E$48*(8*0.5)+'LINEST VARS'!$D$48*(8*$CX25)+'LINEST VARS'!$C$48*($DQ$8*0.5)+'LINEST VARS'!$B$48*($DQ$8*$CX25)+'LINEST VARS'!$A$48*(0.5*$CX25)</f>
        <v>369.99999999999983</v>
      </c>
      <c r="DR25" s="46">
        <f>'LINEST VARS'!$U$48+'LINEST VARS'!$T$48*(8)+'LINEST VARS'!$S$48*(8)+'LINEST VARS'!$R$48*($DR$8)+'LINEST VARS'!$Q$48*(0.5)+'LINEST VARS'!$P$48*($CX25)+'LINEST VARS'!$O$48*(8^2)+'LINEST VARS'!$N$48*(8^2)+'LINEST VARS'!$M$48*($DR$8^2)+'LINEST VARS'!$L$48*(0.5^2)+'LINEST VARS'!$K$48*($CX25^2)+'LINEST VARS'!$J$48*(8*8)+'LINEST VARS'!$I$48*(8*$DR$8)+'LINEST VARS'!$H$48*(8*0.5)+'LINEST VARS'!$G$48*(8*$CX25)+'LINEST VARS'!$F$48*(8*$DR$8)+'LINEST VARS'!$E$48*(8*0.5)+'LINEST VARS'!$D$48*(8*$CX25)+'LINEST VARS'!$C$48*($DR$8*0.5)+'LINEST VARS'!$B$48*($DR$8*$CX25)+'LINEST VARS'!$A$48*(0.5*$CX25)</f>
        <v>369.99999999999977</v>
      </c>
      <c r="DS25" s="47">
        <f>'LINEST VARS'!$U$48+'LINEST VARS'!$T$48*(8)+'LINEST VARS'!$S$48*(8)+'LINEST VARS'!$R$48*($DS$8)+'LINEST VARS'!$Q$48*(0.5)+'LINEST VARS'!$P$48*($CX25)+'LINEST VARS'!$O$48*(8^2)+'LINEST VARS'!$N$48*(8^2)+'LINEST VARS'!$M$48*($DS$8^2)+'LINEST VARS'!$L$48*(0.5^2)+'LINEST VARS'!$K$48*($CX25^2)+'LINEST VARS'!$J$48*(8*8)+'LINEST VARS'!$I$48*(8*$DS$8)+'LINEST VARS'!$H$48*(8*0.5)+'LINEST VARS'!$G$48*(8*$CX25)+'LINEST VARS'!$F$48*(8*$DS$8)+'LINEST VARS'!$E$48*(8*0.5)+'LINEST VARS'!$D$48*(8*$CX25)+'LINEST VARS'!$C$48*($DS$8*0.5)+'LINEST VARS'!$B$48*($DS$8*$CX25)+'LINEST VARS'!$A$48*(0.5*$CX25)</f>
        <v>369.99999999999983</v>
      </c>
      <c r="DV25" s="45">
        <v>20.792000000000002</v>
      </c>
      <c r="DW25" s="46">
        <f>'LINEST VARS'!$U$50+'LINEST VARS'!$T$50*(8)+'LINEST VARS'!$S$50*(8)+'LINEST VARS'!$R$50*($DW$8)+'LINEST VARS'!$Q$50*(0.5)+'LINEST VARS'!$P$50*($DV25)+'LINEST VARS'!$O$50*(8^2)+'LINEST VARS'!$N$50*(8^2)+'LINEST VARS'!$M$50*($DW$8^2)+'LINEST VARS'!$L$50*(0.5^2)+'LINEST VARS'!$K$50*($DV25^2)+'LINEST VARS'!$J$50*(8*8)+'LINEST VARS'!$I$50*(8*$DW$8)+'LINEST VARS'!$H$50*(8*0.5)+'LINEST VARS'!$G$50*(8*$DV25)+'LINEST VARS'!$F$50*(8*$DW$8)+'LINEST VARS'!$E$50*(8*0.5)+'LINEST VARS'!$D$50*(8*$DV25)+'LINEST VARS'!$C$50*($DW$8*0.5)+'LINEST VARS'!$B$50*($DW$8*$DV25)+'LINEST VARS'!$A$50*(0.5*$DV25)</f>
        <v>331.99999999999989</v>
      </c>
      <c r="DX25" s="46">
        <f>'LINEST VARS'!$U$50+'LINEST VARS'!$T$50*(8)+'LINEST VARS'!$S$50*(8)+'LINEST VARS'!$R$50*($DX$8)+'LINEST VARS'!$Q$50*(0.5)+'LINEST VARS'!$P$50*($DV25)+'LINEST VARS'!$O$50*(8^2)+'LINEST VARS'!$N$50*(8^2)+'LINEST VARS'!$M$50*($DX$8^2)+'LINEST VARS'!$L$50*(0.5^2)+'LINEST VARS'!$K$50*($DV25^2)+'LINEST VARS'!$J$50*(8*8)+'LINEST VARS'!$I$50*(8*$DX$8)+'LINEST VARS'!$H$50*(8*0.5)+'LINEST VARS'!$G$50*(8*$DV25)+'LINEST VARS'!$F$50*(8*$DX$8)+'LINEST VARS'!$E$50*(8*0.5)+'LINEST VARS'!$D$50*(8*$DV25)+'LINEST VARS'!$C$50*($DX$8*0.5)+'LINEST VARS'!$B$50*($DX$8*$DV25)+'LINEST VARS'!$A$50*(0.5*$DV25)</f>
        <v>331.99999999999989</v>
      </c>
      <c r="DY25" s="46">
        <f>'LINEST VARS'!$U$50+'LINEST VARS'!$T$50*(8)+'LINEST VARS'!$S$50*(8)+'LINEST VARS'!$R$50*($DY$8)+'LINEST VARS'!$Q$50*(0.5)+'LINEST VARS'!$P$50*($DV25)+'LINEST VARS'!$O$50*(8^2)+'LINEST VARS'!$N$50*(8^2)+'LINEST VARS'!$M$50*($DY$8^2)+'LINEST VARS'!$L$50*(0.5^2)+'LINEST VARS'!$K$50*($DV25^2)+'LINEST VARS'!$J$50*(8*8)+'LINEST VARS'!$I$50*(8*$DY$8)+'LINEST VARS'!$H$50*(8*0.5)+'LINEST VARS'!$G$50*(8*$DV25)+'LINEST VARS'!$F$50*(8*$DY$8)+'LINEST VARS'!$E$50*(8*0.5)+'LINEST VARS'!$D$50*(8*$DV25)+'LINEST VARS'!$C$50*($DY$8*0.5)+'LINEST VARS'!$B$50*($DY$8*$DV25)+'LINEST VARS'!$A$50*(0.5*$DV25)</f>
        <v>331.99999999999989</v>
      </c>
      <c r="DZ25" s="46">
        <f>'LINEST VARS'!$U$50+'LINEST VARS'!$T$50*(8)+'LINEST VARS'!$S$50*(8)+'LINEST VARS'!$R$50*($DZ$8)+'LINEST VARS'!$Q$50*(0.5)+'LINEST VARS'!$P$50*($DV25)+'LINEST VARS'!$O$50*(8^2)+'LINEST VARS'!$N$50*(8^2)+'LINEST VARS'!$M$50*($DZ$8^2)+'LINEST VARS'!$L$50*(0.5^2)+'LINEST VARS'!$K$50*($DV25^2)+'LINEST VARS'!$J$50*(8*8)+'LINEST VARS'!$I$50*(8*$DZ$8)+'LINEST VARS'!$H$50*(8*0.5)+'LINEST VARS'!$G$50*(8*$DV25)+'LINEST VARS'!$F$50*(8*$DZ$8)+'LINEST VARS'!$E$50*(8*0.5)+'LINEST VARS'!$D$50*(8*$DV25)+'LINEST VARS'!$C$50*($DZ$8*0.5)+'LINEST VARS'!$B$50*($DZ$8*$DV25)+'LINEST VARS'!$A$50*(0.5*$DV25)</f>
        <v>331.99999999999989</v>
      </c>
      <c r="EA25" s="46">
        <f>'LINEST VARS'!$U$50+'LINEST VARS'!$T$50*(8)+'LINEST VARS'!$S$50*(8)+'LINEST VARS'!$R$50*($EA$8)+'LINEST VARS'!$Q$50*(0.5)+'LINEST VARS'!$P$50*($DV25)+'LINEST VARS'!$O$50*(8^2)+'LINEST VARS'!$N$50*(8^2)+'LINEST VARS'!$M$50*($EA$8^2)+'LINEST VARS'!$L$50*(0.5^2)+'LINEST VARS'!$K$50*($DV25^2)+'LINEST VARS'!$J$50*(8*8)+'LINEST VARS'!$I$50*(8*$EA$8)+'LINEST VARS'!$H$50*(8*0.5)+'LINEST VARS'!$G$50*(8*$DV25)+'LINEST VARS'!$F$50*(8*$EA$8)+'LINEST VARS'!$E$50*(8*0.5)+'LINEST VARS'!$D$50*(8*$DV25)+'LINEST VARS'!$C$50*($EA$8*0.5)+'LINEST VARS'!$B$50*($EA$8*$DV25)+'LINEST VARS'!$A$50*(0.5*$DV25)</f>
        <v>331.99999999999989</v>
      </c>
      <c r="EB25" s="46">
        <f>'LINEST VARS'!$U$50+'LINEST VARS'!$T$50*(8)+'LINEST VARS'!$S$50*(8)+'LINEST VARS'!$R$50*($EB$8)+'LINEST VARS'!$Q$50*(0.5)+'LINEST VARS'!$P$50*($DV25)+'LINEST VARS'!$O$50*(8^2)+'LINEST VARS'!$N$50*(8^2)+'LINEST VARS'!$M$50*($EB$8^2)+'LINEST VARS'!$L$50*(0.5^2)+'LINEST VARS'!$K$50*($DV25^2)+'LINEST VARS'!$J$50*(8*8)+'LINEST VARS'!$I$50*(8*$EB$8)+'LINEST VARS'!$H$50*(8*0.5)+'LINEST VARS'!$G$50*(8*$DV25)+'LINEST VARS'!$F$50*(8*$EB$8)+'LINEST VARS'!$E$50*(8*0.5)+'LINEST VARS'!$D$50*(8*$DV25)+'LINEST VARS'!$C$50*($EB$8*0.5)+'LINEST VARS'!$B$50*($EB$8*$DV25)+'LINEST VARS'!$A$50*(0.5*$DV25)</f>
        <v>331.99999999999989</v>
      </c>
      <c r="EC25" s="46">
        <f>'LINEST VARS'!$U$50+'LINEST VARS'!$T$50*(8)+'LINEST VARS'!$S$50*(8)+'LINEST VARS'!$R$50*($EC$8)+'LINEST VARS'!$Q$50*(0.5)+'LINEST VARS'!$P$50*($DV25)+'LINEST VARS'!$O$50*(8^2)+'LINEST VARS'!$N$50*(8^2)+'LINEST VARS'!$M$50*($EC$8^2)+'LINEST VARS'!$L$50*(0.5^2)+'LINEST VARS'!$K$50*($DV25^2)+'LINEST VARS'!$J$50*(8*8)+'LINEST VARS'!$I$50*(8*$EC$8)+'LINEST VARS'!$H$50*(8*0.5)+'LINEST VARS'!$G$50*(8*$DV25)+'LINEST VARS'!$F$50*(8*$EC$8)+'LINEST VARS'!$E$50*(8*0.5)+'LINEST VARS'!$D$50*(8*$DV25)+'LINEST VARS'!$C$50*($EC$8*0.5)+'LINEST VARS'!$B$50*($EC$8*$DV25)+'LINEST VARS'!$A$50*(0.5*$DV25)</f>
        <v>331.99999999999989</v>
      </c>
      <c r="ED25" s="46">
        <f>'LINEST VARS'!$U$50+'LINEST VARS'!$T$50*(8)+'LINEST VARS'!$S$50*(8)+'LINEST VARS'!$R$50*($ED$8)+'LINEST VARS'!$Q$50*(0.5)+'LINEST VARS'!$P$50*($DV25)+'LINEST VARS'!$O$50*(8^2)+'LINEST VARS'!$N$50*(8^2)+'LINEST VARS'!$M$50*($ED$8^2)+'LINEST VARS'!$L$50*(0.5^2)+'LINEST VARS'!$K$50*($DV25^2)+'LINEST VARS'!$J$50*(8*8)+'LINEST VARS'!$I$50*(8*$ED$8)+'LINEST VARS'!$H$50*(8*0.5)+'LINEST VARS'!$G$50*(8*$DV25)+'LINEST VARS'!$F$50*(8*$ED$8)+'LINEST VARS'!$E$50*(8*0.5)+'LINEST VARS'!$D$50*(8*$DV25)+'LINEST VARS'!$C$50*($ED$8*0.5)+'LINEST VARS'!$B$50*($ED$8*$DV25)+'LINEST VARS'!$A$50*(0.5*$DV25)</f>
        <v>331.99999999999989</v>
      </c>
      <c r="EE25" s="46">
        <f>'LINEST VARS'!$U$50+'LINEST VARS'!$T$50*(8)+'LINEST VARS'!$S$50*(8)+'LINEST VARS'!$R$50*($EE$8)+'LINEST VARS'!$Q$50*(0.5)+'LINEST VARS'!$P$50*($DV25)+'LINEST VARS'!$O$50*(8^2)+'LINEST VARS'!$N$50*(8^2)+'LINEST VARS'!$M$50*($EE$8^2)+'LINEST VARS'!$L$50*(0.5^2)+'LINEST VARS'!$K$50*($DV25^2)+'LINEST VARS'!$J$50*(8*8)+'LINEST VARS'!$I$50*(8*$EE$8)+'LINEST VARS'!$H$50*(8*0.5)+'LINEST VARS'!$G$50*(8*$DV25)+'LINEST VARS'!$F$50*(8*$EE$8)+'LINEST VARS'!$E$50*(8*0.5)+'LINEST VARS'!$D$50*(8*$DV25)+'LINEST VARS'!$C$50*($EE$8*0.5)+'LINEST VARS'!$B$50*($EE$8*$DV25)+'LINEST VARS'!$A$50*(0.5*$DV25)</f>
        <v>331.99999999999989</v>
      </c>
      <c r="EF25" s="46">
        <f>'LINEST VARS'!$U$50+'LINEST VARS'!$T$50*(8)+'LINEST VARS'!$S$50*(8)+'LINEST VARS'!$R$50*($EF$8)+'LINEST VARS'!$Q$50*(0.5)+'LINEST VARS'!$P$50*($DV25)+'LINEST VARS'!$O$50*(8^2)+'LINEST VARS'!$N$50*(8^2)+'LINEST VARS'!$M$50*($EF$8^2)+'LINEST VARS'!$L$50*(0.5^2)+'LINEST VARS'!$K$50*($DV25^2)+'LINEST VARS'!$J$50*(8*8)+'LINEST VARS'!$I$50*(8*$EF$8)+'LINEST VARS'!$H$50*(8*0.5)+'LINEST VARS'!$G$50*(8*$DV25)+'LINEST VARS'!$F$50*(8*$EF$8)+'LINEST VARS'!$E$50*(8*0.5)+'LINEST VARS'!$D$50*(8*$DV25)+'LINEST VARS'!$C$50*($EF$8*0.5)+'LINEST VARS'!$B$50*($EF$8*$DV25)+'LINEST VARS'!$A$50*(0.5*$DV25)</f>
        <v>331.99999999999989</v>
      </c>
      <c r="EG25" s="46">
        <f>'LINEST VARS'!$U$50+'LINEST VARS'!$T$50*(8)+'LINEST VARS'!$S$50*(8)+'LINEST VARS'!$R$50*($EG$8)+'LINEST VARS'!$Q$50*(0.5)+'LINEST VARS'!$P$50*($DV25)+'LINEST VARS'!$O$50*(8^2)+'LINEST VARS'!$N$50*(8^2)+'LINEST VARS'!$M$50*($EG$8^2)+'LINEST VARS'!$L$50*(0.5^2)+'LINEST VARS'!$K$50*($DV25^2)+'LINEST VARS'!$J$50*(8*8)+'LINEST VARS'!$I$50*(8*$EG$8)+'LINEST VARS'!$H$50*(8*0.5)+'LINEST VARS'!$G$50*(8*$DV25)+'LINEST VARS'!$F$50*(8*$EG$8)+'LINEST VARS'!$E$50*(8*0.5)+'LINEST VARS'!$D$50*(8*$DV25)+'LINEST VARS'!$C$50*($EG$8*0.5)+'LINEST VARS'!$B$50*($EG$8*$DV25)+'LINEST VARS'!$A$50*(0.5*$DV25)</f>
        <v>331.99999999999989</v>
      </c>
      <c r="EH25" s="46">
        <f>'LINEST VARS'!$U$50+'LINEST VARS'!$T$50*(8)+'LINEST VARS'!$S$50*(8)+'LINEST VARS'!$R$50*($EH$8)+'LINEST VARS'!$Q$50*(0.5)+'LINEST VARS'!$P$50*($DV25)+'LINEST VARS'!$O$50*(8^2)+'LINEST VARS'!$N$50*(8^2)+'LINEST VARS'!$M$50*($EH$8^2)+'LINEST VARS'!$L$50*(0.5^2)+'LINEST VARS'!$K$50*($DV25^2)+'LINEST VARS'!$J$50*(8*8)+'LINEST VARS'!$I$50*(8*$EH$8)+'LINEST VARS'!$H$50*(8*0.5)+'LINEST VARS'!$G$50*(8*$DV25)+'LINEST VARS'!$F$50*(8*$EH$8)+'LINEST VARS'!$E$50*(8*0.5)+'LINEST VARS'!$D$50*(8*$DV25)+'LINEST VARS'!$C$50*($EH$8*0.5)+'LINEST VARS'!$B$50*($EH$8*$DV25)+'LINEST VARS'!$A$50*(0.5*$DV25)</f>
        <v>331.99999999999989</v>
      </c>
      <c r="EI25" s="46">
        <f>'LINEST VARS'!$U$50+'LINEST VARS'!$T$50*(8)+'LINEST VARS'!$S$50*(8)+'LINEST VARS'!$R$50*($EI$8)+'LINEST VARS'!$Q$50*(0.5)+'LINEST VARS'!$P$50*($DV25)+'LINEST VARS'!$O$50*(8^2)+'LINEST VARS'!$N$50*(8^2)+'LINEST VARS'!$M$50*($EI$8^2)+'LINEST VARS'!$L$50*(0.5^2)+'LINEST VARS'!$K$50*($DV25^2)+'LINEST VARS'!$J$50*(8*8)+'LINEST VARS'!$I$50*(8*$EI$8)+'LINEST VARS'!$H$50*(8*0.5)+'LINEST VARS'!$G$50*(8*$DV25)+'LINEST VARS'!$F$50*(8*$EI$8)+'LINEST VARS'!$E$50*(8*0.5)+'LINEST VARS'!$D$50*(8*$DV25)+'LINEST VARS'!$C$50*($EI$8*0.5)+'LINEST VARS'!$B$50*($EI$8*$DV25)+'LINEST VARS'!$A$50*(0.5*$DV25)</f>
        <v>331.99999999999989</v>
      </c>
      <c r="EJ25" s="46">
        <f>'LINEST VARS'!$U$50+'LINEST VARS'!$T$50*(8)+'LINEST VARS'!$S$50*(8)+'LINEST VARS'!$R$50*($EJ$8)+'LINEST VARS'!$Q$50*(0.5)+'LINEST VARS'!$P$50*($DV25)+'LINEST VARS'!$O$50*(8^2)+'LINEST VARS'!$N$50*(8^2)+'LINEST VARS'!$M$50*($EJ$8^2)+'LINEST VARS'!$L$50*(0.5^2)+'LINEST VARS'!$K$50*($DV25^2)+'LINEST VARS'!$J$50*(8*8)+'LINEST VARS'!$I$50*(8*$EJ$8)+'LINEST VARS'!$H$50*(8*0.5)+'LINEST VARS'!$G$50*(8*$DV25)+'LINEST VARS'!$F$50*(8*$EJ$8)+'LINEST VARS'!$E$50*(8*0.5)+'LINEST VARS'!$D$50*(8*$DV25)+'LINEST VARS'!$C$50*($EJ$8*0.5)+'LINEST VARS'!$B$50*($EJ$8*$DV25)+'LINEST VARS'!$A$50*(0.5*$DV25)</f>
        <v>331.99999999999989</v>
      </c>
      <c r="EK25" s="46">
        <f>'LINEST VARS'!$U$50+'LINEST VARS'!$T$50*(8)+'LINEST VARS'!$S$50*(8)+'LINEST VARS'!$R$50*($EK$8)+'LINEST VARS'!$Q$50*(0.5)+'LINEST VARS'!$P$50*($DV25)+'LINEST VARS'!$O$50*(8^2)+'LINEST VARS'!$N$50*(8^2)+'LINEST VARS'!$M$50*($EK$8^2)+'LINEST VARS'!$L$50*(0.5^2)+'LINEST VARS'!$K$50*($DV25^2)+'LINEST VARS'!$J$50*(8*8)+'LINEST VARS'!$I$50*(8*$EK$8)+'LINEST VARS'!$H$50*(8*0.5)+'LINEST VARS'!$G$50*(8*$DV25)+'LINEST VARS'!$F$50*(8*$EK$8)+'LINEST VARS'!$E$50*(8*0.5)+'LINEST VARS'!$D$50*(8*$DV25)+'LINEST VARS'!$C$50*($EK$8*0.5)+'LINEST VARS'!$B$50*($EK$8*$DV25)+'LINEST VARS'!$A$50*(0.5*$DV25)</f>
        <v>331.99999999999989</v>
      </c>
      <c r="EL25" s="46">
        <f>'LINEST VARS'!$U$50+'LINEST VARS'!$T$50*(8)+'LINEST VARS'!$S$50*(8)+'LINEST VARS'!$R$50*($EL$8)+'LINEST VARS'!$Q$50*(0.5)+'LINEST VARS'!$P$50*($DV25)+'LINEST VARS'!$O$50*(8^2)+'LINEST VARS'!$N$50*(8^2)+'LINEST VARS'!$M$50*($EL$8^2)+'LINEST VARS'!$L$50*(0.5^2)+'LINEST VARS'!$K$50*($DV25^2)+'LINEST VARS'!$J$50*(8*8)+'LINEST VARS'!$I$50*(8*$EL$8)+'LINEST VARS'!$H$50*(8*0.5)+'LINEST VARS'!$G$50*(8*$DV25)+'LINEST VARS'!$F$50*(8*$EL$8)+'LINEST VARS'!$E$50*(8*0.5)+'LINEST VARS'!$D$50*(8*$DV25)+'LINEST VARS'!$C$50*($EL$8*0.5)+'LINEST VARS'!$B$50*($EL$8*$DV25)+'LINEST VARS'!$A$50*(0.5*$DV25)</f>
        <v>331.99999999999989</v>
      </c>
      <c r="EM25" s="46">
        <f>'LINEST VARS'!$U$50+'LINEST VARS'!$T$50*(8)+'LINEST VARS'!$S$50*(8)+'LINEST VARS'!$R$50*($EM$8)+'LINEST VARS'!$Q$50*(0.5)+'LINEST VARS'!$P$50*($DV25)+'LINEST VARS'!$O$50*(8^2)+'LINEST VARS'!$N$50*(8^2)+'LINEST VARS'!$M$50*($EM$8^2)+'LINEST VARS'!$L$50*(0.5^2)+'LINEST VARS'!$K$50*($DV25^2)+'LINEST VARS'!$J$50*(8*8)+'LINEST VARS'!$I$50*(8*$EM$8)+'LINEST VARS'!$H$50*(8*0.5)+'LINEST VARS'!$G$50*(8*$DV25)+'LINEST VARS'!$F$50*(8*$EM$8)+'LINEST VARS'!$E$50*(8*0.5)+'LINEST VARS'!$D$50*(8*$DV25)+'LINEST VARS'!$C$50*($EM$8*0.5)+'LINEST VARS'!$B$50*($EM$8*$DV25)+'LINEST VARS'!$A$50*(0.5*$DV25)</f>
        <v>331.99999999999989</v>
      </c>
      <c r="EN25" s="46">
        <f>'LINEST VARS'!$U$50+'LINEST VARS'!$T$50*(8)+'LINEST VARS'!$S$50*(8)+'LINEST VARS'!$R$50*($EN$8)+'LINEST VARS'!$Q$50*(0.5)+'LINEST VARS'!$P$50*($DV25)+'LINEST VARS'!$O$50*(8^2)+'LINEST VARS'!$N$50*(8^2)+'LINEST VARS'!$M$50*($EN$8^2)+'LINEST VARS'!$L$50*(0.5^2)+'LINEST VARS'!$K$50*($DV25^2)+'LINEST VARS'!$J$50*(8*8)+'LINEST VARS'!$I$50*(8*$EN$8)+'LINEST VARS'!$H$50*(8*0.5)+'LINEST VARS'!$G$50*(8*$DV25)+'LINEST VARS'!$F$50*(8*$EN$8)+'LINEST VARS'!$E$50*(8*0.5)+'LINEST VARS'!$D$50*(8*$DV25)+'LINEST VARS'!$C$50*($EN$8*0.5)+'LINEST VARS'!$B$50*($EN$8*$DV25)+'LINEST VARS'!$A$50*(0.5*$DV25)</f>
        <v>331.99999999999989</v>
      </c>
      <c r="EO25" s="46">
        <f>'LINEST VARS'!$U$50+'LINEST VARS'!$T$50*(8)+'LINEST VARS'!$S$50*(8)+'LINEST VARS'!$R$50*($EO$8)+'LINEST VARS'!$Q$50*(0.5)+'LINEST VARS'!$P$50*($DV25)+'LINEST VARS'!$O$50*(8^2)+'LINEST VARS'!$N$50*(8^2)+'LINEST VARS'!$M$50*($EO$8^2)+'LINEST VARS'!$L$50*(0.5^2)+'LINEST VARS'!$K$50*($DV25^2)+'LINEST VARS'!$J$50*(8*8)+'LINEST VARS'!$I$50*(8*$EO$8)+'LINEST VARS'!$H$50*(8*0.5)+'LINEST VARS'!$G$50*(8*$DV25)+'LINEST VARS'!$F$50*(8*$EO$8)+'LINEST VARS'!$E$50*(8*0.5)+'LINEST VARS'!$D$50*(8*$DV25)+'LINEST VARS'!$C$50*($EO$8*0.5)+'LINEST VARS'!$B$50*($EO$8*$DV25)+'LINEST VARS'!$A$50*(0.5*$DV25)</f>
        <v>331.99999999999989</v>
      </c>
      <c r="EP25" s="46">
        <f>'LINEST VARS'!$U$50+'LINEST VARS'!$T$50*(8)+'LINEST VARS'!$S$50*(8)+'LINEST VARS'!$R$50*($EP$8)+'LINEST VARS'!$Q$50*(0.5)+'LINEST VARS'!$P$50*($DV25)+'LINEST VARS'!$O$50*(8^2)+'LINEST VARS'!$N$50*(8^2)+'LINEST VARS'!$M$50*($EP$8^2)+'LINEST VARS'!$L$50*(0.5^2)+'LINEST VARS'!$K$50*($DV25^2)+'LINEST VARS'!$J$50*(8*8)+'LINEST VARS'!$I$50*(8*$EP$8)+'LINEST VARS'!$H$50*(8*0.5)+'LINEST VARS'!$G$50*(8*$DV25)+'LINEST VARS'!$F$50*(8*$EP$8)+'LINEST VARS'!$E$50*(8*0.5)+'LINEST VARS'!$D$50*(8*$DV25)+'LINEST VARS'!$C$50*($EP$8*0.5)+'LINEST VARS'!$B$50*($EP$8*$DV25)+'LINEST VARS'!$A$50*(0.5*$DV25)</f>
        <v>331.99999999999989</v>
      </c>
      <c r="EQ25" s="47">
        <f>'LINEST VARS'!$U$50+'LINEST VARS'!$T$50*(8)+'LINEST VARS'!$S$50*(8)+'LINEST VARS'!$R$50*($EQ$8)+'LINEST VARS'!$Q$50*(0.5)+'LINEST VARS'!$P$50*($DV25)+'LINEST VARS'!$O$50*(8^2)+'LINEST VARS'!$N$50*(8^2)+'LINEST VARS'!$M$50*($EQ$8^2)+'LINEST VARS'!$L$50*(0.5^2)+'LINEST VARS'!$K$50*($DV25^2)+'LINEST VARS'!$J$50*(8*8)+'LINEST VARS'!$I$50*(8*$EQ$8)+'LINEST VARS'!$H$50*(8*0.5)+'LINEST VARS'!$G$50*(8*$DV25)+'LINEST VARS'!$F$50*(8*$EQ$8)+'LINEST VARS'!$E$50*(8*0.5)+'LINEST VARS'!$D$50*(8*$DV25)+'LINEST VARS'!$C$50*($EQ$8*0.5)+'LINEST VARS'!$B$50*($EQ$8*$DV25)+'LINEST VARS'!$A$50*(0.5*$DV25)</f>
        <v>331.99999999999989</v>
      </c>
    </row>
    <row r="26" spans="2:147" ht="15" customHeight="1" x14ac:dyDescent="0.25">
      <c r="B26" s="45">
        <v>8.42</v>
      </c>
      <c r="C26" s="46">
        <f>'LINEST VARS'!$U$48+'LINEST VARS'!$T$48*($C$8)+'LINEST VARS'!$S$48*($B26)+'LINEST VARS'!$R$48*(4)+'LINEST VARS'!$Q$48*(0.5)+'LINEST VARS'!$P$48*(12.73)+'LINEST VARS'!$O$48*($C$8^2)+'LINEST VARS'!$N$48*($B26^2)+'LINEST VARS'!$M$48*(4^2)+'LINEST VARS'!$L$48*(0.5^2)+'LINEST VARS'!$K$48*(12.73^2)+'LINEST VARS'!$J$48*($C$8*$B26)+'LINEST VARS'!$I$48*($C$8*4)+'LINEST VARS'!$H$48*($C$8*0.5)+'LINEST VARS'!$G$48*($C$8*12.73)+'LINEST VARS'!$F$48*($B26*4)+'LINEST VARS'!$E$48*($B26*0.5)+'LINEST VARS'!$D$48*($B26*12.73)+'LINEST VARS'!$C$48*(4*0.5)+'LINEST VARS'!$B$48*(4*12.73)+'LINEST VARS'!$A$48*(0.5*12.73)</f>
        <v>323.85999999999984</v>
      </c>
      <c r="D26" s="46">
        <f>'LINEST VARS'!$U$48+'LINEST VARS'!$T$48*($D$8)+'LINEST VARS'!$S$48*($B26)+'LINEST VARS'!$R$48*(4)+'LINEST VARS'!$Q$48*(0.5)+'LINEST VARS'!$P$48*(12.73)+'LINEST VARS'!$O$48*($D$8^2)+'LINEST VARS'!$N$48*($B26^2)+'LINEST VARS'!$M$48*(4^2)+'LINEST VARS'!$L$48*(0.5^2)+'LINEST VARS'!$K$48*(12.73^2)+'LINEST VARS'!$J$48*($D$8*$B26)+'LINEST VARS'!$I$48*($D$8*4)+'LINEST VARS'!$H$48*($D$8*0.5)+'LINEST VARS'!$G$48*($D$8*12.73)+'LINEST VARS'!$F$48*($B26*4)+'LINEST VARS'!$E$48*($B26*0.5)+'LINEST VARS'!$D$48*($B26*12.73)+'LINEST VARS'!$C$48*(4*0.5)+'LINEST VARS'!$B$48*(4*12.73)+'LINEST VARS'!$A$48*(0.5*12.73)</f>
        <v>328.43799999999982</v>
      </c>
      <c r="E26" s="46">
        <f>'LINEST VARS'!$U$48+'LINEST VARS'!$T$48*($E$8)+'LINEST VARS'!$S$48*($B26)+'LINEST VARS'!$R$48*(4)+'LINEST VARS'!$Q$48*(0.5)+'LINEST VARS'!$P$48*(12.73)+'LINEST VARS'!$O$48*($E$8^2)+'LINEST VARS'!$N$48*($B26^2)+'LINEST VARS'!$M$48*(4^2)+'LINEST VARS'!$L$48*(0.5^2)+'LINEST VARS'!$K$48*(12.73^2)+'LINEST VARS'!$J$48*($E$8*$B26)+'LINEST VARS'!$I$48*($E$8*4)+'LINEST VARS'!$H$48*($E$8*0.5)+'LINEST VARS'!$G$48*($E$8*12.73)+'LINEST VARS'!$F$48*($B26*4)+'LINEST VARS'!$E$48*($B26*0.5)+'LINEST VARS'!$D$48*($B26*12.73)+'LINEST VARS'!$C$48*(4*0.5)+'LINEST VARS'!$B$48*(4*12.73)+'LINEST VARS'!$A$48*(0.5*12.73)</f>
        <v>333.05199999999985</v>
      </c>
      <c r="F26" s="46">
        <f>'LINEST VARS'!$U$48+'LINEST VARS'!$T$48*($F$8)+'LINEST VARS'!$S$48*($B26)+'LINEST VARS'!$R$48*(4)+'LINEST VARS'!$Q$48*(0.5)+'LINEST VARS'!$P$48*(12.73)+'LINEST VARS'!$O$48*($F$8^2)+'LINEST VARS'!$N$48*($B26^2)+'LINEST VARS'!$M$48*(4^2)+'LINEST VARS'!$L$48*(0.5^2)+'LINEST VARS'!$K$48*(12.73^2)+'LINEST VARS'!$J$48*($F$8*$B26)+'LINEST VARS'!$I$48*($F$8*4)+'LINEST VARS'!$H$48*($F$8*0.5)+'LINEST VARS'!$G$48*($F$8*12.73)+'LINEST VARS'!$F$48*($B26*4)+'LINEST VARS'!$E$48*($B26*0.5)+'LINEST VARS'!$D$48*($B26*12.73)+'LINEST VARS'!$C$48*(4*0.5)+'LINEST VARS'!$B$48*(4*12.73)+'LINEST VARS'!$A$48*(0.5*12.73)</f>
        <v>337.70199999999988</v>
      </c>
      <c r="G26" s="46">
        <f>'LINEST VARS'!$U$48+'LINEST VARS'!$T$48*($G$8)+'LINEST VARS'!$S$48*($B26)+'LINEST VARS'!$R$48*(4)+'LINEST VARS'!$Q$48*(0.5)+'LINEST VARS'!$P$48*(12.73)+'LINEST VARS'!$O$48*($G$8^2)+'LINEST VARS'!$N$48*($B26^2)+'LINEST VARS'!$M$48*(4^2)+'LINEST VARS'!$L$48*(0.5^2)+'LINEST VARS'!$K$48*(12.73^2)+'LINEST VARS'!$J$48*($G$8*$B26)+'LINEST VARS'!$I$48*($G$8*4)+'LINEST VARS'!$H$48*($G$8*0.5)+'LINEST VARS'!$G$48*($G$8*12.73)+'LINEST VARS'!$F$48*($B26*4)+'LINEST VARS'!$E$48*($B26*0.5)+'LINEST VARS'!$D$48*($B26*12.73)+'LINEST VARS'!$C$48*(4*0.5)+'LINEST VARS'!$B$48*(4*12.73)+'LINEST VARS'!$A$48*(0.5*12.73)</f>
        <v>342.38799999999986</v>
      </c>
      <c r="H26" s="46">
        <f>'LINEST VARS'!$U$48+'LINEST VARS'!$T$48*($H$8)+'LINEST VARS'!$S$48*($B26)+'LINEST VARS'!$R$48*(4)+'LINEST VARS'!$Q$48*(0.5)+'LINEST VARS'!$P$48*(12.73)+'LINEST VARS'!$O$48*($H$8^2)+'LINEST VARS'!$N$48*($B26^2)+'LINEST VARS'!$M$48*(4^2)+'LINEST VARS'!$L$48*(0.5^2)+'LINEST VARS'!$K$48*(12.73^2)+'LINEST VARS'!$J$48*($H$8*$B26)+'LINEST VARS'!$I$48*($H$8*4)+'LINEST VARS'!$H$48*($H$8*0.5)+'LINEST VARS'!$G$48*($H$8*12.73)+'LINEST VARS'!$F$48*($B26*4)+'LINEST VARS'!$E$48*($B26*0.5)+'LINEST VARS'!$D$48*($B26*12.73)+'LINEST VARS'!$C$48*(4*0.5)+'LINEST VARS'!$B$48*(4*12.73)+'LINEST VARS'!$A$48*(0.5*12.73)</f>
        <v>347.10999999999996</v>
      </c>
      <c r="I26" s="46">
        <f>'LINEST VARS'!$U$48+'LINEST VARS'!$T$48*($I$8)+'LINEST VARS'!$S$48*($B26)+'LINEST VARS'!$R$48*(4)+'LINEST VARS'!$Q$48*(0.5)+'LINEST VARS'!$P$48*(12.73)+'LINEST VARS'!$O$48*($I$8^2)+'LINEST VARS'!$N$48*($B26^2)+'LINEST VARS'!$M$48*(4^2)+'LINEST VARS'!$L$48*(0.5^2)+'LINEST VARS'!$K$48*(12.73^2)+'LINEST VARS'!$J$48*($I$8*$B26)+'LINEST VARS'!$I$48*($I$8*4)+'LINEST VARS'!$H$48*($I$8*0.5)+'LINEST VARS'!$G$48*($I$8*12.73)+'LINEST VARS'!$F$48*($B26*4)+'LINEST VARS'!$E$48*($B26*0.5)+'LINEST VARS'!$D$48*($B26*12.73)+'LINEST VARS'!$C$48*(4*0.5)+'LINEST VARS'!$B$48*(4*12.73)+'LINEST VARS'!$A$48*(0.5*12.73)</f>
        <v>351.86799999999988</v>
      </c>
      <c r="J26" s="46">
        <f>'LINEST VARS'!$U$48+'LINEST VARS'!$T$48*($J$8)+'LINEST VARS'!$S$48*($B26)+'LINEST VARS'!$R$48*(4)+'LINEST VARS'!$Q$48*(0.5)+'LINEST VARS'!$P$48*(12.73)+'LINEST VARS'!$O$48*($J$8^2)+'LINEST VARS'!$N$48*($B26^2)+'LINEST VARS'!$M$48*(4^2)+'LINEST VARS'!$L$48*(0.5^2)+'LINEST VARS'!$K$48*(12.73^2)+'LINEST VARS'!$J$48*($J$8*$B26)+'LINEST VARS'!$I$48*($J$8*4)+'LINEST VARS'!$H$48*($J$8*0.5)+'LINEST VARS'!$G$48*($J$8*12.73)+'LINEST VARS'!$F$48*($B26*4)+'LINEST VARS'!$E$48*($B26*0.5)+'LINEST VARS'!$D$48*($B26*12.73)+'LINEST VARS'!$C$48*(4*0.5)+'LINEST VARS'!$B$48*(4*12.73)+'LINEST VARS'!$A$48*(0.5*12.73)</f>
        <v>356.66199999999992</v>
      </c>
      <c r="K26" s="46">
        <f>'LINEST VARS'!$U$48+'LINEST VARS'!$T$48*($K$8)+'LINEST VARS'!$S$48*($B26)+'LINEST VARS'!$R$48*(4)+'LINEST VARS'!$Q$48*(0.5)+'LINEST VARS'!$P$48*(12.73)+'LINEST VARS'!$O$48*($K$8^2)+'LINEST VARS'!$N$48*($B26^2)+'LINEST VARS'!$M$48*(4^2)+'LINEST VARS'!$L$48*(0.5^2)+'LINEST VARS'!$K$48*(12.73^2)+'LINEST VARS'!$J$48*($K$8*$B26)+'LINEST VARS'!$I$48*($K$8*4)+'LINEST VARS'!$H$48*($K$8*0.5)+'LINEST VARS'!$G$48*($K$8*12.73)+'LINEST VARS'!$F$48*($B26*4)+'LINEST VARS'!$E$48*($B26*0.5)+'LINEST VARS'!$D$48*($B26*12.73)+'LINEST VARS'!$C$48*(4*0.5)+'LINEST VARS'!$B$48*(4*12.73)+'LINEST VARS'!$A$48*(0.5*12.73)</f>
        <v>361.49199999999985</v>
      </c>
      <c r="L26" s="46">
        <f>'LINEST VARS'!$U$48+'LINEST VARS'!$T$48*($L$8)+'LINEST VARS'!$S$48*($B26)+'LINEST VARS'!$R$48*(4)+'LINEST VARS'!$Q$48*(0.5)+'LINEST VARS'!$P$48*(12.73)+'LINEST VARS'!$O$48*($L$8^2)+'LINEST VARS'!$N$48*($B26^2)+'LINEST VARS'!$M$48*(4^2)+'LINEST VARS'!$L$48*(0.5^2)+'LINEST VARS'!$K$48*(12.73^2)+'LINEST VARS'!$J$48*($L$8*$B26)+'LINEST VARS'!$I$48*($L$8*4)+'LINEST VARS'!$H$48*($L$8*0.5)+'LINEST VARS'!$G$48*($L$8*12.73)+'LINEST VARS'!$F$48*($B26*4)+'LINEST VARS'!$E$48*($B26*0.5)+'LINEST VARS'!$D$48*($B26*12.73)+'LINEST VARS'!$C$48*(4*0.5)+'LINEST VARS'!$B$48*(4*12.73)+'LINEST VARS'!$A$48*(0.5*12.73)</f>
        <v>366.35799999999989</v>
      </c>
      <c r="M26" s="46">
        <f>'LINEST VARS'!$U$48+'LINEST VARS'!$T$48*($M$8)+'LINEST VARS'!$S$48*($B26)+'LINEST VARS'!$R$48*(4)+'LINEST VARS'!$Q$48*(0.5)+'LINEST VARS'!$P$48*(12.73)+'LINEST VARS'!$O$48*($M$8^2)+'LINEST VARS'!$N$48*($B26^2)+'LINEST VARS'!$M$48*(4^2)+'LINEST VARS'!$L$48*(0.5^2)+'LINEST VARS'!$K$48*(12.73^2)+'LINEST VARS'!$J$48*($M$8*$B26)+'LINEST VARS'!$I$48*($M$8*4)+'LINEST VARS'!$H$48*($M$8*0.5)+'LINEST VARS'!$G$48*($M$8*12.73)+'LINEST VARS'!$F$48*($B26*4)+'LINEST VARS'!$E$48*($B26*0.5)+'LINEST VARS'!$D$48*($B26*12.73)+'LINEST VARS'!$C$48*(4*0.5)+'LINEST VARS'!$B$48*(4*12.73)+'LINEST VARS'!$A$48*(0.5*12.73)</f>
        <v>371.25999999999982</v>
      </c>
      <c r="N26" s="46">
        <f>'LINEST VARS'!$U$48+'LINEST VARS'!$T$48*($N$8)+'LINEST VARS'!$S$48*($B26)+'LINEST VARS'!$R$48*(4)+'LINEST VARS'!$Q$48*(0.5)+'LINEST VARS'!$P$48*(12.73)+'LINEST VARS'!$O$48*($N$8^2)+'LINEST VARS'!$N$48*($B26^2)+'LINEST VARS'!$M$48*(4^2)+'LINEST VARS'!$L$48*(0.5^2)+'LINEST VARS'!$K$48*(12.73^2)+'LINEST VARS'!$J$48*($N$8*$B26)+'LINEST VARS'!$I$48*($N$8*4)+'LINEST VARS'!$H$48*($N$8*0.5)+'LINEST VARS'!$G$48*($N$8*12.73)+'LINEST VARS'!$F$48*($B26*4)+'LINEST VARS'!$E$48*($B26*0.5)+'LINEST VARS'!$D$48*($B26*12.73)+'LINEST VARS'!$C$48*(4*0.5)+'LINEST VARS'!$B$48*(4*12.73)+'LINEST VARS'!$A$48*(0.5*12.73)</f>
        <v>376.19799999999987</v>
      </c>
      <c r="O26" s="46">
        <f>'LINEST VARS'!$U$48+'LINEST VARS'!$T$48*($O$8)+'LINEST VARS'!$S$48*($B26)+'LINEST VARS'!$R$48*(4)+'LINEST VARS'!$Q$48*(0.5)+'LINEST VARS'!$P$48*(12.73)+'LINEST VARS'!$O$48*($O$8^2)+'LINEST VARS'!$N$48*($B26^2)+'LINEST VARS'!$M$48*(4^2)+'LINEST VARS'!$L$48*(0.5^2)+'LINEST VARS'!$K$48*(12.73^2)+'LINEST VARS'!$J$48*($O$8*$B26)+'LINEST VARS'!$I$48*($O$8*4)+'LINEST VARS'!$H$48*($O$8*0.5)+'LINEST VARS'!$G$48*($O$8*12.73)+'LINEST VARS'!$F$48*($B26*4)+'LINEST VARS'!$E$48*($B26*0.5)+'LINEST VARS'!$D$48*($B26*12.73)+'LINEST VARS'!$C$48*(4*0.5)+'LINEST VARS'!$B$48*(4*12.73)+'LINEST VARS'!$A$48*(0.5*12.73)</f>
        <v>381.17199999999974</v>
      </c>
      <c r="P26" s="46">
        <f>'LINEST VARS'!$U$48+'LINEST VARS'!$T$48*($P$8)+'LINEST VARS'!$S$48*($B26)+'LINEST VARS'!$R$48*(4)+'LINEST VARS'!$Q$48*(0.5)+'LINEST VARS'!$P$48*(12.73)+'LINEST VARS'!$O$48*($P$8^2)+'LINEST VARS'!$N$48*($B26^2)+'LINEST VARS'!$M$48*(4^2)+'LINEST VARS'!$L$48*(0.5^2)+'LINEST VARS'!$K$48*(12.73^2)+'LINEST VARS'!$J$48*($P$8*$B26)+'LINEST VARS'!$I$48*($P$8*4)+'LINEST VARS'!$H$48*($P$8*0.5)+'LINEST VARS'!$G$48*($P$8*12.73)+'LINEST VARS'!$F$48*($B26*4)+'LINEST VARS'!$E$48*($B26*0.5)+'LINEST VARS'!$D$48*($B26*12.73)+'LINEST VARS'!$C$48*(4*0.5)+'LINEST VARS'!$B$48*(4*12.73)+'LINEST VARS'!$A$48*(0.5*12.73)</f>
        <v>386.18199999999979</v>
      </c>
      <c r="Q26" s="46">
        <f>'LINEST VARS'!$U$48+'LINEST VARS'!$T$48*($Q$8)+'LINEST VARS'!$S$48*($B26)+'LINEST VARS'!$R$48*(4)+'LINEST VARS'!$Q$48*(0.5)+'LINEST VARS'!$P$48*(12.73)+'LINEST VARS'!$O$48*($Q$8^2)+'LINEST VARS'!$N$48*($B26^2)+'LINEST VARS'!$M$48*(4^2)+'LINEST VARS'!$L$48*(0.5^2)+'LINEST VARS'!$K$48*(12.73^2)+'LINEST VARS'!$J$48*($Q$8*$B26)+'LINEST VARS'!$I$48*($Q$8*4)+'LINEST VARS'!$H$48*($Q$8*0.5)+'LINEST VARS'!$G$48*($Q$8*12.73)+'LINEST VARS'!$F$48*($B26*4)+'LINEST VARS'!$E$48*($B26*0.5)+'LINEST VARS'!$D$48*($B26*12.73)+'LINEST VARS'!$C$48*(4*0.5)+'LINEST VARS'!$B$48*(4*12.73)+'LINEST VARS'!$A$48*(0.5*12.73)</f>
        <v>391.22799999999984</v>
      </c>
      <c r="R26" s="46">
        <f>'LINEST VARS'!$U$48+'LINEST VARS'!$T$48*($R$8)+'LINEST VARS'!$S$48*($B26)+'LINEST VARS'!$R$48*(4)+'LINEST VARS'!$Q$48*(0.5)+'LINEST VARS'!$P$48*(12.73)+'LINEST VARS'!$O$48*($R$8^2)+'LINEST VARS'!$N$48*($B26^2)+'LINEST VARS'!$M$48*(4^2)+'LINEST VARS'!$L$48*(0.5^2)+'LINEST VARS'!$K$48*(12.73^2)+'LINEST VARS'!$J$48*($R$8*$B26)+'LINEST VARS'!$I$48*($R$8*4)+'LINEST VARS'!$H$48*($R$8*0.5)+'LINEST VARS'!$G$48*($R$8*12.73)+'LINEST VARS'!$F$48*($B26*4)+'LINEST VARS'!$E$48*($B26*0.5)+'LINEST VARS'!$D$48*($B26*12.73)+'LINEST VARS'!$C$48*(4*0.5)+'LINEST VARS'!$B$48*(4*12.73)+'LINEST VARS'!$A$48*(0.5*12.73)</f>
        <v>396.30999999999989</v>
      </c>
      <c r="S26" s="46">
        <f>'LINEST VARS'!$U$48+'LINEST VARS'!$T$48*($S$8)+'LINEST VARS'!$S$48*($B26)+'LINEST VARS'!$R$48*(4)+'LINEST VARS'!$Q$48*(0.5)+'LINEST VARS'!$P$48*(12.73)+'LINEST VARS'!$O$48*($S$8^2)+'LINEST VARS'!$N$48*($B26^2)+'LINEST VARS'!$M$48*(4^2)+'LINEST VARS'!$L$48*(0.5^2)+'LINEST VARS'!$K$48*(12.73^2)+'LINEST VARS'!$J$48*($S$8*$B26)+'LINEST VARS'!$I$48*($S$8*4)+'LINEST VARS'!$H$48*($S$8*0.5)+'LINEST VARS'!$G$48*($S$8*12.73)+'LINEST VARS'!$F$48*($B26*4)+'LINEST VARS'!$E$48*($B26*0.5)+'LINEST VARS'!$D$48*($B26*12.73)+'LINEST VARS'!$C$48*(4*0.5)+'LINEST VARS'!$B$48*(4*12.73)+'LINEST VARS'!$A$48*(0.5*12.73)</f>
        <v>401.42799999999977</v>
      </c>
      <c r="T26" s="46">
        <f>'LINEST VARS'!$U$48+'LINEST VARS'!$T$48*($T$8)+'LINEST VARS'!$S$48*($B26)+'LINEST VARS'!$R$48*(4)+'LINEST VARS'!$Q$48*(0.5)+'LINEST VARS'!$P$48*(12.73)+'LINEST VARS'!$O$48*($T$8^2)+'LINEST VARS'!$N$48*($B26^2)+'LINEST VARS'!$M$48*(4^2)+'LINEST VARS'!$L$48*(0.5^2)+'LINEST VARS'!$K$48*(12.73^2)+'LINEST VARS'!$J$48*($T$8*$B26)+'LINEST VARS'!$I$48*($T$8*4)+'LINEST VARS'!$H$48*($T$8*0.5)+'LINEST VARS'!$G$48*($T$8*12.73)+'LINEST VARS'!$F$48*($B26*4)+'LINEST VARS'!$E$48*($B26*0.5)+'LINEST VARS'!$D$48*($B26*12.73)+'LINEST VARS'!$C$48*(4*0.5)+'LINEST VARS'!$B$48*(4*12.73)+'LINEST VARS'!$A$48*(0.5*12.73)</f>
        <v>406.58199999999988</v>
      </c>
      <c r="U26" s="46">
        <f>'LINEST VARS'!$U$48+'LINEST VARS'!$T$48*($U$8)+'LINEST VARS'!$S$48*($B26)+'LINEST VARS'!$R$48*(4)+'LINEST VARS'!$Q$48*(0.5)+'LINEST VARS'!$P$48*(12.73)+'LINEST VARS'!$O$48*($U$8^2)+'LINEST VARS'!$N$48*($B26^2)+'LINEST VARS'!$M$48*(4^2)+'LINEST VARS'!$L$48*(0.5^2)+'LINEST VARS'!$K$48*(12.73^2)+'LINEST VARS'!$J$48*($U$8*$B26)+'LINEST VARS'!$I$48*($U$8*4)+'LINEST VARS'!$H$48*($U$8*0.5)+'LINEST VARS'!$G$48*($U$8*12.73)+'LINEST VARS'!$F$48*($B26*4)+'LINEST VARS'!$E$48*($B26*0.5)+'LINEST VARS'!$D$48*($B26*12.73)+'LINEST VARS'!$C$48*(4*0.5)+'LINEST VARS'!$B$48*(4*12.73)+'LINEST VARS'!$A$48*(0.5*12.73)</f>
        <v>411.77199999999988</v>
      </c>
      <c r="V26" s="46">
        <f>'LINEST VARS'!$U$48+'LINEST VARS'!$T$48*($V$8)+'LINEST VARS'!$S$48*($B26)+'LINEST VARS'!$R$48*(4)+'LINEST VARS'!$Q$48*(0.5)+'LINEST VARS'!$P$48*(12.73)+'LINEST VARS'!$O$48*($V$8^2)+'LINEST VARS'!$N$48*($B26^2)+'LINEST VARS'!$M$48*(4^2)+'LINEST VARS'!$L$48*(0.5^2)+'LINEST VARS'!$K$48*(12.73^2)+'LINEST VARS'!$J$48*($V$8*$B26)+'LINEST VARS'!$I$48*($V$8*4)+'LINEST VARS'!$H$48*($V$8*0.5)+'LINEST VARS'!$G$48*($V$8*12.73)+'LINEST VARS'!$F$48*($B26*4)+'LINEST VARS'!$E$48*($B26*0.5)+'LINEST VARS'!$D$48*($B26*12.73)+'LINEST VARS'!$C$48*(4*0.5)+'LINEST VARS'!$B$48*(4*12.73)+'LINEST VARS'!$A$48*(0.5*12.73)</f>
        <v>416.99799999999976</v>
      </c>
      <c r="W26" s="47">
        <f>'LINEST VARS'!$U$48+'LINEST VARS'!$T$48*($W$8)+'LINEST VARS'!$S$48*($B26)+'LINEST VARS'!$R$48*(4)+'LINEST VARS'!$Q$48*(0.5)+'LINEST VARS'!$P$48*(12.73)+'LINEST VARS'!$O$48*($W$8^2)+'LINEST VARS'!$N$48*($B26^2)+'LINEST VARS'!$M$48*(4^2)+'LINEST VARS'!$L$48*(0.5^2)+'LINEST VARS'!$K$48*(12.73^2)+'LINEST VARS'!$J$48*($W$8*$B26)+'LINEST VARS'!$I$48*($W$8*4)+'LINEST VARS'!$H$48*($W$8*0.5)+'LINEST VARS'!$G$48*($W$8*12.73)+'LINEST VARS'!$F$48*($B26*4)+'LINEST VARS'!$E$48*($B26*0.5)+'LINEST VARS'!$D$48*($B26*12.73)+'LINEST VARS'!$C$48*(4*0.5)+'LINEST VARS'!$B$48*(4*12.73)+'LINEST VARS'!$A$48*(0.5*12.73)</f>
        <v>422.25999999999982</v>
      </c>
      <c r="Z26" s="45">
        <v>8.42</v>
      </c>
      <c r="AA26" s="46">
        <f>'LINEST VARS'!$U$50+'LINEST VARS'!$T$50*($AA$8)+'LINEST VARS'!$S$50*($Z26)+'LINEST VARS'!$R$50*(4)+'LINEST VARS'!$Q$50*(0.5)+'LINEST VARS'!$P$50*(12.73)+'LINEST VARS'!$O$50*($AA$8^2)+'LINEST VARS'!$N$50*($Z26^2)+'LINEST VARS'!$M$50*(4^2)+'LINEST VARS'!$L$50*(0.5^2)+'LINEST VARS'!$K$50*(12.73^2)+'LINEST VARS'!$J$50*($AA$8*$Z26)+'LINEST VARS'!$I$50*($AA$8*4)+'LINEST VARS'!$H$50*($AA$8*0.5)+'LINEST VARS'!$G$50*($AA$8*12.73)+'LINEST VARS'!$F$50*($Z26*4)+'LINEST VARS'!$E$50*($Z26*0.5)+'LINEST VARS'!$D$50*($Z26*12.73)+'LINEST VARS'!$C$50*(4*0.5)+'LINEST VARS'!$B$50*(4*12.73)+'LINEST VARS'!$A$50*(0.5*12.73)</f>
        <v>332.14999999999992</v>
      </c>
      <c r="AB26" s="46">
        <f>'LINEST VARS'!$U$50+'LINEST VARS'!$T$50*($AB$8)+'LINEST VARS'!$S$50*($Z26)+'LINEST VARS'!$R$50*(4)+'LINEST VARS'!$Q$50*(0.5)+'LINEST VARS'!$P$50*(12.73)+'LINEST VARS'!$O$50*($AB$8^2)+'LINEST VARS'!$N$50*($Z26^2)+'LINEST VARS'!$M$50*(4^2)+'LINEST VARS'!$L$50*(0.5^2)+'LINEST VARS'!$K$50*(12.73^2)+'LINEST VARS'!$J$50*($AB$8*$Z26)+'LINEST VARS'!$I$50*($AB$8*4)+'LINEST VARS'!$H$50*($AB$8*0.5)+'LINEST VARS'!$G$50*($AB$8*12.73)+'LINEST VARS'!$F$50*($Z26*4)+'LINEST VARS'!$E$50*($Z26*0.5)+'LINEST VARS'!$D$50*($Z26*12.73)+'LINEST VARS'!$C$50*(4*0.5)+'LINEST VARS'!$B$50*(4*12.73)+'LINEST VARS'!$A$50*(0.5*12.73)</f>
        <v>332.2399999999999</v>
      </c>
      <c r="AC26" s="46">
        <f>'LINEST VARS'!$U$50+'LINEST VARS'!$T$50*($AC$8)+'LINEST VARS'!$S$50*($Z26)+'LINEST VARS'!$R$50*(4)+'LINEST VARS'!$Q$50*(0.5)+'LINEST VARS'!$P$50*(12.73)+'LINEST VARS'!$O$50*($AC$8^2)+'LINEST VARS'!$N$50*($Z26^2)+'LINEST VARS'!$M$50*(4^2)+'LINEST VARS'!$L$50*(0.5^2)+'LINEST VARS'!$K$50*(12.73^2)+'LINEST VARS'!$J$50*($AC$8*$Z26)+'LINEST VARS'!$I$50*($AC$8*4)+'LINEST VARS'!$H$50*($AC$8*0.5)+'LINEST VARS'!$G$50*($AC$8*12.73)+'LINEST VARS'!$F$50*($Z26*4)+'LINEST VARS'!$E$50*($Z26*0.5)+'LINEST VARS'!$D$50*($Z26*12.73)+'LINEST VARS'!$C$50*(4*0.5)+'LINEST VARS'!$B$50*(4*12.73)+'LINEST VARS'!$A$50*(0.5*12.73)</f>
        <v>332.32999999999993</v>
      </c>
      <c r="AD26" s="46">
        <f>'LINEST VARS'!$U$50+'LINEST VARS'!$T$50*($AD$8)+'LINEST VARS'!$S$50*($Z26)+'LINEST VARS'!$R$50*(4)+'LINEST VARS'!$Q$50*(0.5)+'LINEST VARS'!$P$50*(12.73)+'LINEST VARS'!$O$50*($AD$8^2)+'LINEST VARS'!$N$50*($Z26^2)+'LINEST VARS'!$M$50*(4^2)+'LINEST VARS'!$L$50*(0.5^2)+'LINEST VARS'!$K$50*(12.73^2)+'LINEST VARS'!$J$50*($AD$8*$Z26)+'LINEST VARS'!$I$50*($AD$8*4)+'LINEST VARS'!$H$50*($AD$8*0.5)+'LINEST VARS'!$G$50*($AD$8*12.73)+'LINEST VARS'!$F$50*($Z26*4)+'LINEST VARS'!$E$50*($Z26*0.5)+'LINEST VARS'!$D$50*($Z26*12.73)+'LINEST VARS'!$C$50*(4*0.5)+'LINEST VARS'!$B$50*(4*12.73)+'LINEST VARS'!$A$50*(0.5*12.73)</f>
        <v>332.4199999999999</v>
      </c>
      <c r="AE26" s="46">
        <f>'LINEST VARS'!$U$50+'LINEST VARS'!$T$50*($AE$8)+'LINEST VARS'!$S$50*($Z26)+'LINEST VARS'!$R$50*(4)+'LINEST VARS'!$Q$50*(0.5)+'LINEST VARS'!$P$50*(12.73)+'LINEST VARS'!$O$50*($AE$8^2)+'LINEST VARS'!$N$50*($Z26^2)+'LINEST VARS'!$M$50*(4^2)+'LINEST VARS'!$L$50*(0.5^2)+'LINEST VARS'!$K$50*(12.73^2)+'LINEST VARS'!$J$50*($AE$8*$Z26)+'LINEST VARS'!$I$50*($AE$8*4)+'LINEST VARS'!$H$50*($AE$8*0.5)+'LINEST VARS'!$G$50*($AE$8*12.73)+'LINEST VARS'!$F$50*($Z26*4)+'LINEST VARS'!$E$50*($Z26*0.5)+'LINEST VARS'!$D$50*($Z26*12.73)+'LINEST VARS'!$C$50*(4*0.5)+'LINEST VARS'!$B$50*(4*12.73)+'LINEST VARS'!$A$50*(0.5*12.73)</f>
        <v>332.50999999999988</v>
      </c>
      <c r="AF26" s="46">
        <f>'LINEST VARS'!$U$50+'LINEST VARS'!$T$50*($AF$8)+'LINEST VARS'!$S$50*($Z26)+'LINEST VARS'!$R$50*(4)+'LINEST VARS'!$Q$50*(0.5)+'LINEST VARS'!$P$50*(12.73)+'LINEST VARS'!$O$50*($AF$8^2)+'LINEST VARS'!$N$50*($Z26^2)+'LINEST VARS'!$M$50*(4^2)+'LINEST VARS'!$L$50*(0.5^2)+'LINEST VARS'!$K$50*(12.73^2)+'LINEST VARS'!$J$50*($AF$8*$Z26)+'LINEST VARS'!$I$50*($AF$8*4)+'LINEST VARS'!$H$50*($AF$8*0.5)+'LINEST VARS'!$G$50*($AF$8*12.73)+'LINEST VARS'!$F$50*($Z26*4)+'LINEST VARS'!$E$50*($Z26*0.5)+'LINEST VARS'!$D$50*($Z26*12.73)+'LINEST VARS'!$C$50*(4*0.5)+'LINEST VARS'!$B$50*(4*12.73)+'LINEST VARS'!$A$50*(0.5*12.73)</f>
        <v>332.59999999999991</v>
      </c>
      <c r="AG26" s="46">
        <f>'LINEST VARS'!$U$50+'LINEST VARS'!$T$50*($AG$8)+'LINEST VARS'!$S$50*($Z26)+'LINEST VARS'!$R$50*(4)+'LINEST VARS'!$Q$50*(0.5)+'LINEST VARS'!$P$50*(12.73)+'LINEST VARS'!$O$50*($AG$8^2)+'LINEST VARS'!$N$50*($Z26^2)+'LINEST VARS'!$M$50*(4^2)+'LINEST VARS'!$L$50*(0.5^2)+'LINEST VARS'!$K$50*(12.73^2)+'LINEST VARS'!$J$50*($AG$8*$Z26)+'LINEST VARS'!$I$50*($AG$8*4)+'LINEST VARS'!$H$50*($AG$8*0.5)+'LINEST VARS'!$G$50*($AG$8*12.73)+'LINEST VARS'!$F$50*($Z26*4)+'LINEST VARS'!$E$50*($Z26*0.5)+'LINEST VARS'!$D$50*($Z26*12.73)+'LINEST VARS'!$C$50*(4*0.5)+'LINEST VARS'!$B$50*(4*12.73)+'LINEST VARS'!$A$50*(0.5*12.73)</f>
        <v>332.68999999999988</v>
      </c>
      <c r="AH26" s="46">
        <f>'LINEST VARS'!$U$50+'LINEST VARS'!$T$50*($AH$8)+'LINEST VARS'!$S$50*($Z26)+'LINEST VARS'!$R$50*(4)+'LINEST VARS'!$Q$50*(0.5)+'LINEST VARS'!$P$50*(12.73)+'LINEST VARS'!$O$50*($AH$8^2)+'LINEST VARS'!$N$50*($Z26^2)+'LINEST VARS'!$M$50*(4^2)+'LINEST VARS'!$L$50*(0.5^2)+'LINEST VARS'!$K$50*(12.73^2)+'LINEST VARS'!$J$50*($AH$8*$Z26)+'LINEST VARS'!$I$50*($AH$8*4)+'LINEST VARS'!$H$50*($AH$8*0.5)+'LINEST VARS'!$G$50*($AH$8*12.73)+'LINEST VARS'!$F$50*($Z26*4)+'LINEST VARS'!$E$50*($Z26*0.5)+'LINEST VARS'!$D$50*($Z26*12.73)+'LINEST VARS'!$C$50*(4*0.5)+'LINEST VARS'!$B$50*(4*12.73)+'LINEST VARS'!$A$50*(0.5*12.73)</f>
        <v>332.77999999999992</v>
      </c>
      <c r="AI26" s="46">
        <f>'LINEST VARS'!$U$50+'LINEST VARS'!$T$50*($AI$8)+'LINEST VARS'!$S$50*($Z26)+'LINEST VARS'!$R$50*(4)+'LINEST VARS'!$Q$50*(0.5)+'LINEST VARS'!$P$50*(12.73)+'LINEST VARS'!$O$50*($AI$8^2)+'LINEST VARS'!$N$50*($Z26^2)+'LINEST VARS'!$M$50*(4^2)+'LINEST VARS'!$L$50*(0.5^2)+'LINEST VARS'!$K$50*(12.73^2)+'LINEST VARS'!$J$50*($AI$8*$Z26)+'LINEST VARS'!$I$50*($AI$8*4)+'LINEST VARS'!$H$50*($AI$8*0.5)+'LINEST VARS'!$G$50*($AI$8*12.73)+'LINEST VARS'!$F$50*($Z26*4)+'LINEST VARS'!$E$50*($Z26*0.5)+'LINEST VARS'!$D$50*($Z26*12.73)+'LINEST VARS'!$C$50*(4*0.5)+'LINEST VARS'!$B$50*(4*12.73)+'LINEST VARS'!$A$50*(0.5*12.73)</f>
        <v>332.86999999999989</v>
      </c>
      <c r="AJ26" s="46">
        <f>'LINEST VARS'!$U$50+'LINEST VARS'!$T$50*($AJ$8)+'LINEST VARS'!$S$50*($Z26)+'LINEST VARS'!$R$50*(4)+'LINEST VARS'!$Q$50*(0.5)+'LINEST VARS'!$P$50*(12.73)+'LINEST VARS'!$O$50*($AJ$8^2)+'LINEST VARS'!$N$50*($Z26^2)+'LINEST VARS'!$M$50*(4^2)+'LINEST VARS'!$L$50*(0.5^2)+'LINEST VARS'!$K$50*(12.73^2)+'LINEST VARS'!$J$50*($AJ$8*$Z26)+'LINEST VARS'!$I$50*($AJ$8*4)+'LINEST VARS'!$H$50*($AJ$8*0.5)+'LINEST VARS'!$G$50*($AJ$8*12.73)+'LINEST VARS'!$F$50*($Z26*4)+'LINEST VARS'!$E$50*($Z26*0.5)+'LINEST VARS'!$D$50*($Z26*12.73)+'LINEST VARS'!$C$50*(4*0.5)+'LINEST VARS'!$B$50*(4*12.73)+'LINEST VARS'!$A$50*(0.5*12.73)</f>
        <v>332.95999999999992</v>
      </c>
      <c r="AK26" s="46">
        <f>'LINEST VARS'!$U$50+'LINEST VARS'!$T$50*($AK$8)+'LINEST VARS'!$S$50*($Z26)+'LINEST VARS'!$R$50*(4)+'LINEST VARS'!$Q$50*(0.5)+'LINEST VARS'!$P$50*(12.73)+'LINEST VARS'!$O$50*($AK$8^2)+'LINEST VARS'!$N$50*($Z26^2)+'LINEST VARS'!$M$50*(4^2)+'LINEST VARS'!$L$50*(0.5^2)+'LINEST VARS'!$K$50*(12.73^2)+'LINEST VARS'!$J$50*($AK$8*$Z26)+'LINEST VARS'!$I$50*($AK$8*4)+'LINEST VARS'!$H$50*($AK$8*0.5)+'LINEST VARS'!$G$50*($AK$8*12.73)+'LINEST VARS'!$F$50*($Z26*4)+'LINEST VARS'!$E$50*($Z26*0.5)+'LINEST VARS'!$D$50*($Z26*12.73)+'LINEST VARS'!$C$50*(4*0.5)+'LINEST VARS'!$B$50*(4*12.73)+'LINEST VARS'!$A$50*(0.5*12.73)</f>
        <v>333.0499999999999</v>
      </c>
      <c r="AL26" s="46">
        <f>'LINEST VARS'!$U$50+'LINEST VARS'!$T$50*($AL$8)+'LINEST VARS'!$S$50*($Z26)+'LINEST VARS'!$R$50*(4)+'LINEST VARS'!$Q$50*(0.5)+'LINEST VARS'!$P$50*(12.73)+'LINEST VARS'!$O$50*($AL$8^2)+'LINEST VARS'!$N$50*($Z26^2)+'LINEST VARS'!$M$50*(4^2)+'LINEST VARS'!$L$50*(0.5^2)+'LINEST VARS'!$K$50*(12.73^2)+'LINEST VARS'!$J$50*($AL$8*$Z26)+'LINEST VARS'!$I$50*($AL$8*4)+'LINEST VARS'!$H$50*($AL$8*0.5)+'LINEST VARS'!$G$50*($AL$8*12.73)+'LINEST VARS'!$F$50*($Z26*4)+'LINEST VARS'!$E$50*($Z26*0.5)+'LINEST VARS'!$D$50*($Z26*12.73)+'LINEST VARS'!$C$50*(4*0.5)+'LINEST VARS'!$B$50*(4*12.73)+'LINEST VARS'!$A$50*(0.5*12.73)</f>
        <v>333.13999999999987</v>
      </c>
      <c r="AM26" s="46">
        <f>'LINEST VARS'!$U$50+'LINEST VARS'!$T$50*($AM$8)+'LINEST VARS'!$S$50*($Z26)+'LINEST VARS'!$R$50*(4)+'LINEST VARS'!$Q$50*(0.5)+'LINEST VARS'!$P$50*(12.73)+'LINEST VARS'!$O$50*($AM$8^2)+'LINEST VARS'!$N$50*($Z26^2)+'LINEST VARS'!$M$50*(4^2)+'LINEST VARS'!$L$50*(0.5^2)+'LINEST VARS'!$K$50*(12.73^2)+'LINEST VARS'!$J$50*($AM$8*$Z26)+'LINEST VARS'!$I$50*($AM$8*4)+'LINEST VARS'!$H$50*($AM$8*0.5)+'LINEST VARS'!$G$50*($AM$8*12.73)+'LINEST VARS'!$F$50*($Z26*4)+'LINEST VARS'!$E$50*($Z26*0.5)+'LINEST VARS'!$D$50*($Z26*12.73)+'LINEST VARS'!$C$50*(4*0.5)+'LINEST VARS'!$B$50*(4*12.73)+'LINEST VARS'!$A$50*(0.5*12.73)</f>
        <v>333.2299999999999</v>
      </c>
      <c r="AN26" s="46">
        <f>'LINEST VARS'!$U$50+'LINEST VARS'!$T$50*($AN$8)+'LINEST VARS'!$S$50*($Z26)+'LINEST VARS'!$R$50*(4)+'LINEST VARS'!$Q$50*(0.5)+'LINEST VARS'!$P$50*(12.73)+'LINEST VARS'!$O$50*($AN$8^2)+'LINEST VARS'!$N$50*($Z26^2)+'LINEST VARS'!$M$50*(4^2)+'LINEST VARS'!$L$50*(0.5^2)+'LINEST VARS'!$K$50*(12.73^2)+'LINEST VARS'!$J$50*($AN$8*$Z26)+'LINEST VARS'!$I$50*($AN$8*4)+'LINEST VARS'!$H$50*($AN$8*0.5)+'LINEST VARS'!$G$50*($AN$8*12.73)+'LINEST VARS'!$F$50*($Z26*4)+'LINEST VARS'!$E$50*($Z26*0.5)+'LINEST VARS'!$D$50*($Z26*12.73)+'LINEST VARS'!$C$50*(4*0.5)+'LINEST VARS'!$B$50*(4*12.73)+'LINEST VARS'!$A$50*(0.5*12.73)</f>
        <v>333.31999999999988</v>
      </c>
      <c r="AO26" s="46">
        <f>'LINEST VARS'!$U$50+'LINEST VARS'!$T$50*($AO$8)+'LINEST VARS'!$S$50*($Z26)+'LINEST VARS'!$R$50*(4)+'LINEST VARS'!$Q$50*(0.5)+'LINEST VARS'!$P$50*(12.73)+'LINEST VARS'!$O$50*($AO$8^2)+'LINEST VARS'!$N$50*($Z26^2)+'LINEST VARS'!$M$50*(4^2)+'LINEST VARS'!$L$50*(0.5^2)+'LINEST VARS'!$K$50*(12.73^2)+'LINEST VARS'!$J$50*($AO$8*$Z26)+'LINEST VARS'!$I$50*($AO$8*4)+'LINEST VARS'!$H$50*($AO$8*0.5)+'LINEST VARS'!$G$50*($AO$8*12.73)+'LINEST VARS'!$F$50*($Z26*4)+'LINEST VARS'!$E$50*($Z26*0.5)+'LINEST VARS'!$D$50*($Z26*12.73)+'LINEST VARS'!$C$50*(4*0.5)+'LINEST VARS'!$B$50*(4*12.73)+'LINEST VARS'!$A$50*(0.5*12.73)</f>
        <v>333.40999999999991</v>
      </c>
      <c r="AP26" s="46">
        <f>'LINEST VARS'!$U$50+'LINEST VARS'!$T$50*($AP$8)+'LINEST VARS'!$S$50*($Z26)+'LINEST VARS'!$R$50*(4)+'LINEST VARS'!$Q$50*(0.5)+'LINEST VARS'!$P$50*(12.73)+'LINEST VARS'!$O$50*($AP$8^2)+'LINEST VARS'!$N$50*($Z26^2)+'LINEST VARS'!$M$50*(4^2)+'LINEST VARS'!$L$50*(0.5^2)+'LINEST VARS'!$K$50*(12.73^2)+'LINEST VARS'!$J$50*($AP$8*$Z26)+'LINEST VARS'!$I$50*($AP$8*4)+'LINEST VARS'!$H$50*($AP$8*0.5)+'LINEST VARS'!$G$50*($AP$8*12.73)+'LINEST VARS'!$F$50*($Z26*4)+'LINEST VARS'!$E$50*($Z26*0.5)+'LINEST VARS'!$D$50*($Z26*12.73)+'LINEST VARS'!$C$50*(4*0.5)+'LINEST VARS'!$B$50*(4*12.73)+'LINEST VARS'!$A$50*(0.5*12.73)</f>
        <v>333.49999999999989</v>
      </c>
      <c r="AQ26" s="46">
        <f>'LINEST VARS'!$U$50+'LINEST VARS'!$T$50*($AQ$8)+'LINEST VARS'!$S$50*($Z26)+'LINEST VARS'!$R$50*(4)+'LINEST VARS'!$Q$50*(0.5)+'LINEST VARS'!$P$50*(12.73)+'LINEST VARS'!$O$50*($AQ$8^2)+'LINEST VARS'!$N$50*($Z26^2)+'LINEST VARS'!$M$50*(4^2)+'LINEST VARS'!$L$50*(0.5^2)+'LINEST VARS'!$K$50*(12.73^2)+'LINEST VARS'!$J$50*($AQ$8*$Z26)+'LINEST VARS'!$I$50*($AQ$8*4)+'LINEST VARS'!$H$50*($AQ$8*0.5)+'LINEST VARS'!$G$50*($AQ$8*12.73)+'LINEST VARS'!$F$50*($Z26*4)+'LINEST VARS'!$E$50*($Z26*0.5)+'LINEST VARS'!$D$50*($Z26*12.73)+'LINEST VARS'!$C$50*(4*0.5)+'LINEST VARS'!$B$50*(4*12.73)+'LINEST VARS'!$A$50*(0.5*12.73)</f>
        <v>333.58999999999992</v>
      </c>
      <c r="AR26" s="46">
        <f>'LINEST VARS'!$U$50+'LINEST VARS'!$T$50*($AR$8)+'LINEST VARS'!$S$50*($Z26)+'LINEST VARS'!$R$50*(4)+'LINEST VARS'!$Q$50*(0.5)+'LINEST VARS'!$P$50*(12.73)+'LINEST VARS'!$O$50*($AR$8^2)+'LINEST VARS'!$N$50*($Z26^2)+'LINEST VARS'!$M$50*(4^2)+'LINEST VARS'!$L$50*(0.5^2)+'LINEST VARS'!$K$50*(12.73^2)+'LINEST VARS'!$J$50*($AR$8*$Z26)+'LINEST VARS'!$I$50*($AR$8*4)+'LINEST VARS'!$H$50*($AR$8*0.5)+'LINEST VARS'!$G$50*($AR$8*12.73)+'LINEST VARS'!$F$50*($Z26*4)+'LINEST VARS'!$E$50*($Z26*0.5)+'LINEST VARS'!$D$50*($Z26*12.73)+'LINEST VARS'!$C$50*(4*0.5)+'LINEST VARS'!$B$50*(4*12.73)+'LINEST VARS'!$A$50*(0.5*12.73)</f>
        <v>333.67999999999989</v>
      </c>
      <c r="AS26" s="46">
        <f>'LINEST VARS'!$U$50+'LINEST VARS'!$T$50*($AS$8)+'LINEST VARS'!$S$50*($Z26)+'LINEST VARS'!$R$50*(4)+'LINEST VARS'!$Q$50*(0.5)+'LINEST VARS'!$P$50*(12.73)+'LINEST VARS'!$O$50*($AS$8^2)+'LINEST VARS'!$N$50*($Z26^2)+'LINEST VARS'!$M$50*(4^2)+'LINEST VARS'!$L$50*(0.5^2)+'LINEST VARS'!$K$50*(12.73^2)+'LINEST VARS'!$J$50*($AS$8*$Z26)+'LINEST VARS'!$I$50*($AS$8*4)+'LINEST VARS'!$H$50*($AS$8*0.5)+'LINEST VARS'!$G$50*($AS$8*12.73)+'LINEST VARS'!$F$50*($Z26*4)+'LINEST VARS'!$E$50*($Z26*0.5)+'LINEST VARS'!$D$50*($Z26*12.73)+'LINEST VARS'!$C$50*(4*0.5)+'LINEST VARS'!$B$50*(4*12.73)+'LINEST VARS'!$A$50*(0.5*12.73)</f>
        <v>333.76999999999987</v>
      </c>
      <c r="AT26" s="46">
        <f>'LINEST VARS'!$U$50+'LINEST VARS'!$T$50*($AT$8)+'LINEST VARS'!$S$50*($Z26)+'LINEST VARS'!$R$50*(4)+'LINEST VARS'!$Q$50*(0.5)+'LINEST VARS'!$P$50*(12.73)+'LINEST VARS'!$O$50*($AT$8^2)+'LINEST VARS'!$N$50*($Z26^2)+'LINEST VARS'!$M$50*(4^2)+'LINEST VARS'!$L$50*(0.5^2)+'LINEST VARS'!$K$50*(12.73^2)+'LINEST VARS'!$J$50*($AT$8*$Z26)+'LINEST VARS'!$I$50*($AT$8*4)+'LINEST VARS'!$H$50*($AT$8*0.5)+'LINEST VARS'!$G$50*($AT$8*12.73)+'LINEST VARS'!$F$50*($Z26*4)+'LINEST VARS'!$E$50*($Z26*0.5)+'LINEST VARS'!$D$50*($Z26*12.73)+'LINEST VARS'!$C$50*(4*0.5)+'LINEST VARS'!$B$50*(4*12.73)+'LINEST VARS'!$A$50*(0.5*12.73)</f>
        <v>333.8599999999999</v>
      </c>
      <c r="AU26" s="47">
        <f>'LINEST VARS'!$U$50+'LINEST VARS'!$T$50*($AU$8)+'LINEST VARS'!$S$50*($Z26)+'LINEST VARS'!$R$50*(4)+'LINEST VARS'!$Q$50*(0.5)+'LINEST VARS'!$P$50*(12.73)+'LINEST VARS'!$O$50*($AU$8^2)+'LINEST VARS'!$N$50*($Z26^2)+'LINEST VARS'!$M$50*(4^2)+'LINEST VARS'!$L$50*(0.5^2)+'LINEST VARS'!$K$50*(12.73^2)+'LINEST VARS'!$J$50*($AU$8*$Z26)+'LINEST VARS'!$I$50*($AU$8*4)+'LINEST VARS'!$H$50*($AU$8*0.5)+'LINEST VARS'!$G$50*($AU$8*12.73)+'LINEST VARS'!$F$50*($Z26*4)+'LINEST VARS'!$E$50*($Z26*0.5)+'LINEST VARS'!$D$50*($Z26*12.73)+'LINEST VARS'!$C$50*(4*0.5)+'LINEST VARS'!$B$50*(4*12.73)+'LINEST VARS'!$A$50*(0.5*12.73)</f>
        <v>333.94999999999987</v>
      </c>
      <c r="AZ26" s="45">
        <v>0.85</v>
      </c>
      <c r="BA26" s="46">
        <f>'LINEST VARS'!$U$48+'LINEST VARS'!$T$48*(8)+'LINEST VARS'!$S$48*(8)+'LINEST VARS'!$R$48*($BA$8)+'LINEST VARS'!$Q$48*($AZ26)+'LINEST VARS'!$P$48*(12.73)+'LINEST VARS'!$O$48*(8^2)+'LINEST VARS'!$N$48*(8^2)+'LINEST VARS'!$M$48*($BA$8^2)+'LINEST VARS'!$L$48*($AZ26^2)+'LINEST VARS'!$K$48*(12.73^2)+'LINEST VARS'!$J$48*(8*8)+'LINEST VARS'!$I$48*(8*$BA$8)+'LINEST VARS'!$H$48*(8*$AZ26)+'LINEST VARS'!$G$48*(8*12.73)+'LINEST VARS'!$F$48*(8*$BA$8)+'LINEST VARS'!$E$48*(8*$AZ26)+'LINEST VARS'!$D$48*(8*12.73)+'LINEST VARS'!$C$48*($BA$8*$AZ26)+'LINEST VARS'!$B$48*($BA$8*12.73)+'LINEST VARS'!$A$48*($AZ26*12.73)</f>
        <v>369.99999999999983</v>
      </c>
      <c r="BB26" s="46">
        <f>'LINEST VARS'!$U$48+'LINEST VARS'!$T$48*(8)+'LINEST VARS'!$S$48*(8)+'LINEST VARS'!$R$48*($BB$8)+'LINEST VARS'!$Q$48*($AZ26)+'LINEST VARS'!$P$48*(12.73)+'LINEST VARS'!$O$48*(8^2)+'LINEST VARS'!$N$48*(8^2)+'LINEST VARS'!$M$48*($BB$8^2)+'LINEST VARS'!$L$48*($AZ26^2)+'LINEST VARS'!$K$48*(12.73^2)+'LINEST VARS'!$J$48*(8*8)+'LINEST VARS'!$I$48*(8*$BB$8)+'LINEST VARS'!$H$48*(8*$AZ26)+'LINEST VARS'!$G$48*(8*12.73)+'LINEST VARS'!$F$48*(8*$BB$8)+'LINEST VARS'!$E$48*(8*$AZ26)+'LINEST VARS'!$D$48*(8*12.73)+'LINEST VARS'!$C$48*($BB$8*$AZ26)+'LINEST VARS'!$B$48*($BB$8*12.73)+'LINEST VARS'!$A$48*($AZ26*12.73)</f>
        <v>369.99999999999983</v>
      </c>
      <c r="BC26" s="46">
        <f>'LINEST VARS'!$U$48+'LINEST VARS'!$T$48*(8)+'LINEST VARS'!$S$48*(8)+'LINEST VARS'!$R$48*($BC$8)+'LINEST VARS'!$Q$48*($AZ26)+'LINEST VARS'!$P$48*(12.73)+'LINEST VARS'!$O$48*(8^2)+'LINEST VARS'!$N$48*(8^2)+'LINEST VARS'!$M$48*($BC$8^2)+'LINEST VARS'!$L$48*($AZ26^2)+'LINEST VARS'!$K$48*(12.73^2)+'LINEST VARS'!$J$48*(8*8)+'LINEST VARS'!$I$48*(8*$BC$8)+'LINEST VARS'!$H$48*(8*$AZ26)+'LINEST VARS'!$G$48*(8*12.73)+'LINEST VARS'!$F$48*(8*$BC$8)+'LINEST VARS'!$E$48*(8*$AZ26)+'LINEST VARS'!$D$48*(8*12.73)+'LINEST VARS'!$C$48*($BC$8*$AZ26)+'LINEST VARS'!$B$48*($BC$8*12.73)+'LINEST VARS'!$A$48*($AZ26*12.73)</f>
        <v>369.99999999999983</v>
      </c>
      <c r="BD26" s="46">
        <f>'LINEST VARS'!$U$48+'LINEST VARS'!$T$48*(8)+'LINEST VARS'!$S$48*(8)+'LINEST VARS'!$R$48*($BD$8)+'LINEST VARS'!$Q$48*($AZ26)+'LINEST VARS'!$P$48*(12.73)+'LINEST VARS'!$O$48*(8^2)+'LINEST VARS'!$N$48*(8^2)+'LINEST VARS'!$M$48*($BD$8^2)+'LINEST VARS'!$L$48*($AZ26^2)+'LINEST VARS'!$K$48*(12.73^2)+'LINEST VARS'!$J$48*(8*8)+'LINEST VARS'!$I$48*(8*$BD$8)+'LINEST VARS'!$H$48*(8*$AZ26)+'LINEST VARS'!$G$48*(8*12.73)+'LINEST VARS'!$F$48*(8*$BD$8)+'LINEST VARS'!$E$48*(8*$AZ26)+'LINEST VARS'!$D$48*(8*12.73)+'LINEST VARS'!$C$48*($BD$8*$AZ26)+'LINEST VARS'!$B$48*($BD$8*12.73)+'LINEST VARS'!$A$48*($AZ26*12.73)</f>
        <v>369.99999999999983</v>
      </c>
      <c r="BE26" s="46">
        <f>'LINEST VARS'!$U$48+'LINEST VARS'!$T$48*(8)+'LINEST VARS'!$S$48*(8)+'LINEST VARS'!$R$48*($BE$8)+'LINEST VARS'!$Q$48*($AZ26)+'LINEST VARS'!$P$48*(12.73)+'LINEST VARS'!$O$48*(8^2)+'LINEST VARS'!$N$48*(8^2)+'LINEST VARS'!$M$48*($BE$8^2)+'LINEST VARS'!$L$48*($AZ26^2)+'LINEST VARS'!$K$48*(12.73^2)+'LINEST VARS'!$J$48*(8*8)+'LINEST VARS'!$I$48*(8*$BE$8)+'LINEST VARS'!$H$48*(8*$AZ26)+'LINEST VARS'!$G$48*(8*12.73)+'LINEST VARS'!$F$48*(8*$BE$8)+'LINEST VARS'!$E$48*(8*$AZ26)+'LINEST VARS'!$D$48*(8*12.73)+'LINEST VARS'!$C$48*($BE$8*$AZ26)+'LINEST VARS'!$B$48*($BE$8*12.73)+'LINEST VARS'!$A$48*($AZ26*12.73)</f>
        <v>369.99999999999983</v>
      </c>
      <c r="BF26" s="46">
        <f>'LINEST VARS'!$U$48+'LINEST VARS'!$T$48*(8)+'LINEST VARS'!$S$48*(8)+'LINEST VARS'!$R$48*($BF$8)+'LINEST VARS'!$Q$48*($AZ26)+'LINEST VARS'!$P$48*(12.73)+'LINEST VARS'!$O$48*(8^2)+'LINEST VARS'!$N$48*(8^2)+'LINEST VARS'!$M$48*($BF$8^2)+'LINEST VARS'!$L$48*($AZ26^2)+'LINEST VARS'!$K$48*(12.73^2)+'LINEST VARS'!$J$48*(8*8)+'LINEST VARS'!$I$48*(8*$BF$8)+'LINEST VARS'!$H$48*(8*$AZ26)+'LINEST VARS'!$G$48*(8*12.73)+'LINEST VARS'!$F$48*(8*$BF$8)+'LINEST VARS'!$E$48*(8*$AZ26)+'LINEST VARS'!$D$48*(8*12.73)+'LINEST VARS'!$C$48*($BF$8*$AZ26)+'LINEST VARS'!$B$48*($BF$8*12.73)+'LINEST VARS'!$A$48*($AZ26*12.73)</f>
        <v>369.99999999999983</v>
      </c>
      <c r="BG26" s="46">
        <f>'LINEST VARS'!$U$48+'LINEST VARS'!$T$48*(8)+'LINEST VARS'!$S$48*(8)+'LINEST VARS'!$R$48*($BG$8)+'LINEST VARS'!$Q$48*($AZ26)+'LINEST VARS'!$P$48*(12.73)+'LINEST VARS'!$O$48*(8^2)+'LINEST VARS'!$N$48*(8^2)+'LINEST VARS'!$M$48*($BG$8^2)+'LINEST VARS'!$L$48*($AZ26^2)+'LINEST VARS'!$K$48*(12.73^2)+'LINEST VARS'!$J$48*(8*8)+'LINEST VARS'!$I$48*(8*$BG$8)+'LINEST VARS'!$H$48*(8*$AZ26)+'LINEST VARS'!$G$48*(8*12.73)+'LINEST VARS'!$F$48*(8*$BG$8)+'LINEST VARS'!$E$48*(8*$AZ26)+'LINEST VARS'!$D$48*(8*12.73)+'LINEST VARS'!$C$48*($BG$8*$AZ26)+'LINEST VARS'!$B$48*($BG$8*12.73)+'LINEST VARS'!$A$48*($AZ26*12.73)</f>
        <v>369.99999999999983</v>
      </c>
      <c r="BH26" s="46">
        <f>'LINEST VARS'!$U$48+'LINEST VARS'!$T$48*(8)+'LINEST VARS'!$S$48*(8)+'LINEST VARS'!$R$48*($BH$8)+'LINEST VARS'!$Q$48*($AZ26)+'LINEST VARS'!$P$48*(12.73)+'LINEST VARS'!$O$48*(8^2)+'LINEST VARS'!$N$48*(8^2)+'LINEST VARS'!$M$48*($BH$8^2)+'LINEST VARS'!$L$48*($AZ26^2)+'LINEST VARS'!$K$48*(12.73^2)+'LINEST VARS'!$J$48*(8*8)+'LINEST VARS'!$I$48*(8*$BH$8)+'LINEST VARS'!$H$48*(8*$AZ26)+'LINEST VARS'!$G$48*(8*12.73)+'LINEST VARS'!$F$48*(8*$BH$8)+'LINEST VARS'!$E$48*(8*$AZ26)+'LINEST VARS'!$D$48*(8*12.73)+'LINEST VARS'!$C$48*($BH$8*$AZ26)+'LINEST VARS'!$B$48*($BH$8*12.73)+'LINEST VARS'!$A$48*($AZ26*12.73)</f>
        <v>369.99999999999983</v>
      </c>
      <c r="BI26" s="46">
        <f>'LINEST VARS'!$U$48+'LINEST VARS'!$T$48*(8)+'LINEST VARS'!$S$48*(8)+'LINEST VARS'!$R$48*($BI$8)+'LINEST VARS'!$Q$48*($AZ26)+'LINEST VARS'!$P$48*(12.73)+'LINEST VARS'!$O$48*(8^2)+'LINEST VARS'!$N$48*(8^2)+'LINEST VARS'!$M$48*($BI$8^2)+'LINEST VARS'!$L$48*($AZ26^2)+'LINEST VARS'!$K$48*(12.73^2)+'LINEST VARS'!$J$48*(8*8)+'LINEST VARS'!$I$48*(8*$BI$8)+'LINEST VARS'!$H$48*(8*$AZ26)+'LINEST VARS'!$G$48*(8*12.73)+'LINEST VARS'!$F$48*(8*$BI$8)+'LINEST VARS'!$E$48*(8*$AZ26)+'LINEST VARS'!$D$48*(8*12.73)+'LINEST VARS'!$C$48*($BI$8*$AZ26)+'LINEST VARS'!$B$48*($BI$8*12.73)+'LINEST VARS'!$A$48*($AZ26*12.73)</f>
        <v>369.99999999999983</v>
      </c>
      <c r="BJ26" s="46">
        <f>'LINEST VARS'!$U$48+'LINEST VARS'!$T$48*(8)+'LINEST VARS'!$S$48*(8)+'LINEST VARS'!$R$48*($BJ$8)+'LINEST VARS'!$Q$48*($AZ26)+'LINEST VARS'!$P$48*(12.73)+'LINEST VARS'!$O$48*(8^2)+'LINEST VARS'!$N$48*(8^2)+'LINEST VARS'!$M$48*($BJ$8^2)+'LINEST VARS'!$L$48*($AZ26^2)+'LINEST VARS'!$K$48*(12.73^2)+'LINEST VARS'!$J$48*(8*8)+'LINEST VARS'!$I$48*(8*$BJ$8)+'LINEST VARS'!$H$48*(8*$AZ26)+'LINEST VARS'!$G$48*(8*12.73)+'LINEST VARS'!$F$48*(8*$BJ$8)+'LINEST VARS'!$E$48*(8*$AZ26)+'LINEST VARS'!$D$48*(8*12.73)+'LINEST VARS'!$C$48*($BJ$8*$AZ26)+'LINEST VARS'!$B$48*($BJ$8*12.73)+'LINEST VARS'!$A$48*($AZ26*12.73)</f>
        <v>369.99999999999983</v>
      </c>
      <c r="BK26" s="46">
        <f>'LINEST VARS'!$U$48+'LINEST VARS'!$T$48*(8)+'LINEST VARS'!$S$48*(8)+'LINEST VARS'!$R$48*($BK$8)+'LINEST VARS'!$Q$48*($AZ26)+'LINEST VARS'!$P$48*(12.73)+'LINEST VARS'!$O$48*(8^2)+'LINEST VARS'!$N$48*(8^2)+'LINEST VARS'!$M$48*($BK$8^2)+'LINEST VARS'!$L$48*($AZ26^2)+'LINEST VARS'!$K$48*(12.73^2)+'LINEST VARS'!$J$48*(8*8)+'LINEST VARS'!$I$48*(8*$BK$8)+'LINEST VARS'!$H$48*(8*$AZ26)+'LINEST VARS'!$G$48*(8*12.73)+'LINEST VARS'!$F$48*(8*$BK$8)+'LINEST VARS'!$E$48*(8*$AZ26)+'LINEST VARS'!$D$48*(8*12.73)+'LINEST VARS'!$C$48*($BK$8*$AZ26)+'LINEST VARS'!$B$48*($BK$8*12.73)+'LINEST VARS'!$A$48*($AZ26*12.73)</f>
        <v>369.99999999999983</v>
      </c>
      <c r="BL26" s="46">
        <f>'LINEST VARS'!$U$48+'LINEST VARS'!$T$48*(8)+'LINEST VARS'!$S$48*(8)+'LINEST VARS'!$R$48*($BL$8)+'LINEST VARS'!$Q$48*($AZ26)+'LINEST VARS'!$P$48*(12.73)+'LINEST VARS'!$O$48*(8^2)+'LINEST VARS'!$N$48*(8^2)+'LINEST VARS'!$M$48*($BL$8^2)+'LINEST VARS'!$L$48*($AZ26^2)+'LINEST VARS'!$K$48*(12.73^2)+'LINEST VARS'!$J$48*(8*8)+'LINEST VARS'!$I$48*(8*$BL$8)+'LINEST VARS'!$H$48*(8*$AZ26)+'LINEST VARS'!$G$48*(8*12.73)+'LINEST VARS'!$F$48*(8*$BL$8)+'LINEST VARS'!$E$48*(8*$AZ26)+'LINEST VARS'!$D$48*(8*12.73)+'LINEST VARS'!$C$48*($BL$8*$AZ26)+'LINEST VARS'!$B$48*($BL$8*12.73)+'LINEST VARS'!$A$48*($AZ26*12.73)</f>
        <v>369.99999999999983</v>
      </c>
      <c r="BM26" s="46">
        <f>'LINEST VARS'!$U$48+'LINEST VARS'!$T$48*(8)+'LINEST VARS'!$S$48*(8)+'LINEST VARS'!$R$48*($BM$8)+'LINEST VARS'!$Q$48*($AZ26)+'LINEST VARS'!$P$48*(12.73)+'LINEST VARS'!$O$48*(8^2)+'LINEST VARS'!$N$48*(8^2)+'LINEST VARS'!$M$48*($BM$8^2)+'LINEST VARS'!$L$48*($AZ26^2)+'LINEST VARS'!$K$48*(12.73^2)+'LINEST VARS'!$J$48*(8*8)+'LINEST VARS'!$I$48*(8*$BM$8)+'LINEST VARS'!$H$48*(8*$AZ26)+'LINEST VARS'!$G$48*(8*12.73)+'LINEST VARS'!$F$48*(8*$BM$8)+'LINEST VARS'!$E$48*(8*$AZ26)+'LINEST VARS'!$D$48*(8*12.73)+'LINEST VARS'!$C$48*($BM$8*$AZ26)+'LINEST VARS'!$B$48*($BM$8*12.73)+'LINEST VARS'!$A$48*($AZ26*12.73)</f>
        <v>369.99999999999983</v>
      </c>
      <c r="BN26" s="46">
        <f>'LINEST VARS'!$U$48+'LINEST VARS'!$T$48*(8)+'LINEST VARS'!$S$48*(8)+'LINEST VARS'!$R$48*($BN$8)+'LINEST VARS'!$Q$48*($AZ26)+'LINEST VARS'!$P$48*(12.73)+'LINEST VARS'!$O$48*(8^2)+'LINEST VARS'!$N$48*(8^2)+'LINEST VARS'!$M$48*($BN$8^2)+'LINEST VARS'!$L$48*($AZ26^2)+'LINEST VARS'!$K$48*(12.73^2)+'LINEST VARS'!$J$48*(8*8)+'LINEST VARS'!$I$48*(8*$BN$8)+'LINEST VARS'!$H$48*(8*$AZ26)+'LINEST VARS'!$G$48*(8*12.73)+'LINEST VARS'!$F$48*(8*$BN$8)+'LINEST VARS'!$E$48*(8*$AZ26)+'LINEST VARS'!$D$48*(8*12.73)+'LINEST VARS'!$C$48*($BN$8*$AZ26)+'LINEST VARS'!$B$48*($BN$8*12.73)+'LINEST VARS'!$A$48*($AZ26*12.73)</f>
        <v>369.99999999999989</v>
      </c>
      <c r="BO26" s="46">
        <f>'LINEST VARS'!$U$48+'LINEST VARS'!$T$48*(8)+'LINEST VARS'!$S$48*(8)+'LINEST VARS'!$R$48*($BO$8)+'LINEST VARS'!$Q$48*($AZ26)+'LINEST VARS'!$P$48*(12.73)+'LINEST VARS'!$O$48*(8^2)+'LINEST VARS'!$N$48*(8^2)+'LINEST VARS'!$M$48*($BO$8^2)+'LINEST VARS'!$L$48*($AZ26^2)+'LINEST VARS'!$K$48*(12.73^2)+'LINEST VARS'!$J$48*(8*8)+'LINEST VARS'!$I$48*(8*$BO$8)+'LINEST VARS'!$H$48*(8*$AZ26)+'LINEST VARS'!$G$48*(8*12.73)+'LINEST VARS'!$F$48*(8*$BO$8)+'LINEST VARS'!$E$48*(8*$AZ26)+'LINEST VARS'!$D$48*(8*12.73)+'LINEST VARS'!$C$48*($BO$8*$AZ26)+'LINEST VARS'!$B$48*($BO$8*12.73)+'LINEST VARS'!$A$48*($AZ26*12.73)</f>
        <v>369.99999999999989</v>
      </c>
      <c r="BP26" s="46">
        <f>'LINEST VARS'!$U$48+'LINEST VARS'!$T$48*(8)+'LINEST VARS'!$S$48*(8)+'LINEST VARS'!$R$48*($BP$8)+'LINEST VARS'!$Q$48*($AZ26)+'LINEST VARS'!$P$48*(12.73)+'LINEST VARS'!$O$48*(8^2)+'LINEST VARS'!$N$48*(8^2)+'LINEST VARS'!$M$48*($BP$8^2)+'LINEST VARS'!$L$48*($AZ26^2)+'LINEST VARS'!$K$48*(12.73^2)+'LINEST VARS'!$J$48*(8*8)+'LINEST VARS'!$I$48*(8*$BP$8)+'LINEST VARS'!$H$48*(8*$AZ26)+'LINEST VARS'!$G$48*(8*12.73)+'LINEST VARS'!$F$48*(8*$BP$8)+'LINEST VARS'!$E$48*(8*$AZ26)+'LINEST VARS'!$D$48*(8*12.73)+'LINEST VARS'!$C$48*($BP$8*$AZ26)+'LINEST VARS'!$B$48*($BP$8*12.73)+'LINEST VARS'!$A$48*($AZ26*12.73)</f>
        <v>369.99999999999989</v>
      </c>
      <c r="BQ26" s="46">
        <f>'LINEST VARS'!$U$48+'LINEST VARS'!$T$48*(8)+'LINEST VARS'!$S$48*(8)+'LINEST VARS'!$R$48*($BQ$8)+'LINEST VARS'!$Q$48*($AZ26)+'LINEST VARS'!$P$48*(12.73)+'LINEST VARS'!$O$48*(8^2)+'LINEST VARS'!$N$48*(8^2)+'LINEST VARS'!$M$48*($BQ$8^2)+'LINEST VARS'!$L$48*($AZ26^2)+'LINEST VARS'!$K$48*(12.73^2)+'LINEST VARS'!$J$48*(8*8)+'LINEST VARS'!$I$48*(8*$BQ$8)+'LINEST VARS'!$H$48*(8*$AZ26)+'LINEST VARS'!$G$48*(8*12.73)+'LINEST VARS'!$F$48*(8*$BQ$8)+'LINEST VARS'!$E$48*(8*$AZ26)+'LINEST VARS'!$D$48*(8*12.73)+'LINEST VARS'!$C$48*($BQ$8*$AZ26)+'LINEST VARS'!$B$48*($BQ$8*12.73)+'LINEST VARS'!$A$48*($AZ26*12.73)</f>
        <v>369.99999999999983</v>
      </c>
      <c r="BR26" s="46">
        <f>'LINEST VARS'!$U$48+'LINEST VARS'!$T$48*(8)+'LINEST VARS'!$S$48*(8)+'LINEST VARS'!$R$48*($BR$8)+'LINEST VARS'!$Q$48*($AZ26)+'LINEST VARS'!$P$48*(12.73)+'LINEST VARS'!$O$48*(8^2)+'LINEST VARS'!$N$48*(8^2)+'LINEST VARS'!$M$48*($BR$8^2)+'LINEST VARS'!$L$48*($AZ26^2)+'LINEST VARS'!$K$48*(12.73^2)+'LINEST VARS'!$J$48*(8*8)+'LINEST VARS'!$I$48*(8*$BR$8)+'LINEST VARS'!$H$48*(8*$AZ26)+'LINEST VARS'!$G$48*(8*12.73)+'LINEST VARS'!$F$48*(8*$BR$8)+'LINEST VARS'!$E$48*(8*$AZ26)+'LINEST VARS'!$D$48*(8*12.73)+'LINEST VARS'!$C$48*($BR$8*$AZ26)+'LINEST VARS'!$B$48*($BR$8*12.73)+'LINEST VARS'!$A$48*($AZ26*12.73)</f>
        <v>369.99999999999983</v>
      </c>
      <c r="BS26" s="46">
        <f>'LINEST VARS'!$U$48+'LINEST VARS'!$T$48*(8)+'LINEST VARS'!$S$48*(8)+'LINEST VARS'!$R$48*($BS$8)+'LINEST VARS'!$Q$48*($AZ26)+'LINEST VARS'!$P$48*(12.73)+'LINEST VARS'!$O$48*(8^2)+'LINEST VARS'!$N$48*(8^2)+'LINEST VARS'!$M$48*($BS$8^2)+'LINEST VARS'!$L$48*($AZ26^2)+'LINEST VARS'!$K$48*(12.73^2)+'LINEST VARS'!$J$48*(8*8)+'LINEST VARS'!$I$48*(8*$BS$8)+'LINEST VARS'!$H$48*(8*$AZ26)+'LINEST VARS'!$G$48*(8*12.73)+'LINEST VARS'!$F$48*(8*$BS$8)+'LINEST VARS'!$E$48*(8*$AZ26)+'LINEST VARS'!$D$48*(8*12.73)+'LINEST VARS'!$C$48*($BS$8*$AZ26)+'LINEST VARS'!$B$48*($BS$8*12.73)+'LINEST VARS'!$A$48*($AZ26*12.73)</f>
        <v>369.99999999999983</v>
      </c>
      <c r="BT26" s="46">
        <f>'LINEST VARS'!$U$48+'LINEST VARS'!$T$48*(8)+'LINEST VARS'!$S$48*(8)+'LINEST VARS'!$R$48*($BT$8)+'LINEST VARS'!$Q$48*($AZ26)+'LINEST VARS'!$P$48*(12.73)+'LINEST VARS'!$O$48*(8^2)+'LINEST VARS'!$N$48*(8^2)+'LINEST VARS'!$M$48*($BT$8^2)+'LINEST VARS'!$L$48*($AZ26^2)+'LINEST VARS'!$K$48*(12.73^2)+'LINEST VARS'!$J$48*(8*8)+'LINEST VARS'!$I$48*(8*$BT$8)+'LINEST VARS'!$H$48*(8*$AZ26)+'LINEST VARS'!$G$48*(8*12.73)+'LINEST VARS'!$F$48*(8*$BT$8)+'LINEST VARS'!$E$48*(8*$AZ26)+'LINEST VARS'!$D$48*(8*12.73)+'LINEST VARS'!$C$48*($BT$8*$AZ26)+'LINEST VARS'!$B$48*($BT$8*12.73)+'LINEST VARS'!$A$48*($AZ26*12.73)</f>
        <v>369.99999999999983</v>
      </c>
      <c r="BU26" s="47">
        <f>'LINEST VARS'!$U$48+'LINEST VARS'!$T$48*(8)+'LINEST VARS'!$S$48*(8)+'LINEST VARS'!$R$48*($BU$8)+'LINEST VARS'!$Q$48*($AZ26)+'LINEST VARS'!$P$48*(12.73)+'LINEST VARS'!$O$48*(8^2)+'LINEST VARS'!$N$48*(8^2)+'LINEST VARS'!$M$48*($BU$8^2)+'LINEST VARS'!$L$48*($AZ26^2)+'LINEST VARS'!$K$48*(12.73^2)+'LINEST VARS'!$J$48*(8*8)+'LINEST VARS'!$I$48*(8*$BU$8)+'LINEST VARS'!$H$48*(8*$AZ26)+'LINEST VARS'!$G$48*(8*12.73)+'LINEST VARS'!$F$48*(8*$BU$8)+'LINEST VARS'!$E$48*(8*$AZ26)+'LINEST VARS'!$D$48*(8*12.73)+'LINEST VARS'!$C$48*($BU$8*$AZ26)+'LINEST VARS'!$B$48*($BU$8*12.73)+'LINEST VARS'!$A$48*($AZ26*12.73)</f>
        <v>369.99999999999983</v>
      </c>
      <c r="BX26" s="45">
        <v>0.85</v>
      </c>
      <c r="BY26" s="46">
        <f>'LINEST VARS'!$U$50+'LINEST VARS'!$T$50*(8)+'LINEST VARS'!$S$50*(8)+'LINEST VARS'!$R$50*($BY$8)+'LINEST VARS'!$Q$50*($BX26)+'LINEST VARS'!$P$50*(12.73)+'LINEST VARS'!$O$50*(8^2)+'LINEST VARS'!$N$50*(8^2)+'LINEST VARS'!$M$50*($BY$8^2)+'LINEST VARS'!$L$50*($BX26^2)+'LINEST VARS'!$K$50*(12.73^2)+'LINEST VARS'!$J$50*(8*8)+'LINEST VARS'!$I$50*(8*$BY$8)+'LINEST VARS'!$H$50*(8*$BX26)+'LINEST VARS'!$G$50*(8*12.73)+'LINEST VARS'!$F$50*(8*$BY$8)+'LINEST VARS'!$E$50*(8*$BX26)+'LINEST VARS'!$D$50*(8*12.73)+'LINEST VARS'!$C$50*($BY$8*$BX26)+'LINEST VARS'!$B$50*($BY$8*12.73)+'LINEST VARS'!$A$50*($BX26*12.73)</f>
        <v>331.99999999999989</v>
      </c>
      <c r="BZ26" s="46">
        <f>'LINEST VARS'!$U$50+'LINEST VARS'!$T$50*(8)+'LINEST VARS'!$S$50*(8)+'LINEST VARS'!$R$50*($BZ$8)+'LINEST VARS'!$Q$50*($BX26)+'LINEST VARS'!$P$50*(12.73)+'LINEST VARS'!$O$50*(8^2)+'LINEST VARS'!$N$50*(8^2)+'LINEST VARS'!$M$50*($BZ$8^2)+'LINEST VARS'!$L$50*($BX26^2)+'LINEST VARS'!$K$50*(12.73^2)+'LINEST VARS'!$J$50*(8*8)+'LINEST VARS'!$I$50*(8*$BZ$8)+'LINEST VARS'!$H$50*(8*$BX26)+'LINEST VARS'!$G$50*(8*12.73)+'LINEST VARS'!$F$50*(8*$BZ$8)+'LINEST VARS'!$E$50*(8*$BX26)+'LINEST VARS'!$D$50*(8*12.73)+'LINEST VARS'!$C$50*($BZ$8*$BX26)+'LINEST VARS'!$B$50*($BZ$8*12.73)+'LINEST VARS'!$A$50*($BX26*12.73)</f>
        <v>331.99999999999989</v>
      </c>
      <c r="CA26" s="46">
        <f>'LINEST VARS'!$U$50+'LINEST VARS'!$T$50*(8)+'LINEST VARS'!$S$50*(8)+'LINEST VARS'!$R$50*($CA$8)+'LINEST VARS'!$Q$50*($BX26)+'LINEST VARS'!$P$50*(12.73)+'LINEST VARS'!$O$50*(8^2)+'LINEST VARS'!$N$50*(8^2)+'LINEST VARS'!$M$50*($CA$8^2)+'LINEST VARS'!$L$50*($BX26^2)+'LINEST VARS'!$K$50*(12.73^2)+'LINEST VARS'!$J$50*(8*8)+'LINEST VARS'!$I$50*(8*$CA$8)+'LINEST VARS'!$H$50*(8*$BX26)+'LINEST VARS'!$G$50*(8*12.73)+'LINEST VARS'!$F$50*(8*$CA$8)+'LINEST VARS'!$E$50*(8*$BX26)+'LINEST VARS'!$D$50*(8*12.73)+'LINEST VARS'!$C$50*($CA$8*$BX26)+'LINEST VARS'!$B$50*($CA$8*12.73)+'LINEST VARS'!$A$50*($BX26*12.73)</f>
        <v>331.99999999999989</v>
      </c>
      <c r="CB26" s="46">
        <f>'LINEST VARS'!$U$50+'LINEST VARS'!$T$50*(8)+'LINEST VARS'!$S$50*(8)+'LINEST VARS'!$R$50*($CB$8)+'LINEST VARS'!$Q$50*($BX26)+'LINEST VARS'!$P$50*(12.73)+'LINEST VARS'!$O$50*(8^2)+'LINEST VARS'!$N$50*(8^2)+'LINEST VARS'!$M$50*($CB$8^2)+'LINEST VARS'!$L$50*($BX26^2)+'LINEST VARS'!$K$50*(12.73^2)+'LINEST VARS'!$J$50*(8*8)+'LINEST VARS'!$I$50*(8*$CB$8)+'LINEST VARS'!$H$50*(8*$BX26)+'LINEST VARS'!$G$50*(8*12.73)+'LINEST VARS'!$F$50*(8*$CB$8)+'LINEST VARS'!$E$50*(8*$BX26)+'LINEST VARS'!$D$50*(8*12.73)+'LINEST VARS'!$C$50*($CB$8*$BX26)+'LINEST VARS'!$B$50*($CB$8*12.73)+'LINEST VARS'!$A$50*($BX26*12.73)</f>
        <v>331.99999999999989</v>
      </c>
      <c r="CC26" s="46">
        <f>'LINEST VARS'!$U$50+'LINEST VARS'!$T$50*(8)+'LINEST VARS'!$S$50*(8)+'LINEST VARS'!$R$50*($CC$8)+'LINEST VARS'!$Q$50*($BX26)+'LINEST VARS'!$P$50*(12.73)+'LINEST VARS'!$O$50*(8^2)+'LINEST VARS'!$N$50*(8^2)+'LINEST VARS'!$M$50*($CC$8^2)+'LINEST VARS'!$L$50*($BX26^2)+'LINEST VARS'!$K$50*(12.73^2)+'LINEST VARS'!$J$50*(8*8)+'LINEST VARS'!$I$50*(8*$CC$8)+'LINEST VARS'!$H$50*(8*$BX26)+'LINEST VARS'!$G$50*(8*12.73)+'LINEST VARS'!$F$50*(8*$CC$8)+'LINEST VARS'!$E$50*(8*$BX26)+'LINEST VARS'!$D$50*(8*12.73)+'LINEST VARS'!$C$50*($CC$8*$BX26)+'LINEST VARS'!$B$50*($CC$8*12.73)+'LINEST VARS'!$A$50*($BX26*12.73)</f>
        <v>331.99999999999989</v>
      </c>
      <c r="CD26" s="46">
        <f>'LINEST VARS'!$U$50+'LINEST VARS'!$T$50*(8)+'LINEST VARS'!$S$50*(8)+'LINEST VARS'!$R$50*($CD$8)+'LINEST VARS'!$Q$50*($BX26)+'LINEST VARS'!$P$50*(12.73)+'LINEST VARS'!$O$50*(8^2)+'LINEST VARS'!$N$50*(8^2)+'LINEST VARS'!$M$50*($CD$8^2)+'LINEST VARS'!$L$50*($BX26^2)+'LINEST VARS'!$K$50*(12.73^2)+'LINEST VARS'!$J$50*(8*8)+'LINEST VARS'!$I$50*(8*$CD$8)+'LINEST VARS'!$H$50*(8*$BX26)+'LINEST VARS'!$G$50*(8*12.73)+'LINEST VARS'!$F$50*(8*$CD$8)+'LINEST VARS'!$E$50*(8*$BX26)+'LINEST VARS'!$D$50*(8*12.73)+'LINEST VARS'!$C$50*($CD$8*$BX26)+'LINEST VARS'!$B$50*($CD$8*12.73)+'LINEST VARS'!$A$50*($BX26*12.73)</f>
        <v>331.99999999999989</v>
      </c>
      <c r="CE26" s="46">
        <f>'LINEST VARS'!$U$50+'LINEST VARS'!$T$50*(8)+'LINEST VARS'!$S$50*(8)+'LINEST VARS'!$R$50*($CE$8)+'LINEST VARS'!$Q$50*($BX26)+'LINEST VARS'!$P$50*(12.73)+'LINEST VARS'!$O$50*(8^2)+'LINEST VARS'!$N$50*(8^2)+'LINEST VARS'!$M$50*($CE$8^2)+'LINEST VARS'!$L$50*($BX26^2)+'LINEST VARS'!$K$50*(12.73^2)+'LINEST VARS'!$J$50*(8*8)+'LINEST VARS'!$I$50*(8*$CE$8)+'LINEST VARS'!$H$50*(8*$BX26)+'LINEST VARS'!$G$50*(8*12.73)+'LINEST VARS'!$F$50*(8*$CE$8)+'LINEST VARS'!$E$50*(8*$BX26)+'LINEST VARS'!$D$50*(8*12.73)+'LINEST VARS'!$C$50*($CE$8*$BX26)+'LINEST VARS'!$B$50*($CE$8*12.73)+'LINEST VARS'!$A$50*($BX26*12.73)</f>
        <v>331.99999999999989</v>
      </c>
      <c r="CF26" s="46">
        <f>'LINEST VARS'!$U$50+'LINEST VARS'!$T$50*(8)+'LINEST VARS'!$S$50*(8)+'LINEST VARS'!$R$50*($CF$8)+'LINEST VARS'!$Q$50*($BX26)+'LINEST VARS'!$P$50*(12.73)+'LINEST VARS'!$O$50*(8^2)+'LINEST VARS'!$N$50*(8^2)+'LINEST VARS'!$M$50*($CF$8^2)+'LINEST VARS'!$L$50*($BX26^2)+'LINEST VARS'!$K$50*(12.73^2)+'LINEST VARS'!$J$50*(8*8)+'LINEST VARS'!$I$50*(8*$CF$8)+'LINEST VARS'!$H$50*(8*$BX26)+'LINEST VARS'!$G$50*(8*12.73)+'LINEST VARS'!$F$50*(8*$CF$8)+'LINEST VARS'!$E$50*(8*$BX26)+'LINEST VARS'!$D$50*(8*12.73)+'LINEST VARS'!$C$50*($CF$8*$BX26)+'LINEST VARS'!$B$50*($CF$8*12.73)+'LINEST VARS'!$A$50*($BX26*12.73)</f>
        <v>331.99999999999989</v>
      </c>
      <c r="CG26" s="46">
        <f>'LINEST VARS'!$U$50+'LINEST VARS'!$T$50*(8)+'LINEST VARS'!$S$50*(8)+'LINEST VARS'!$R$50*($CG$8)+'LINEST VARS'!$Q$50*($BX26)+'LINEST VARS'!$P$50*(12.73)+'LINEST VARS'!$O$50*(8^2)+'LINEST VARS'!$N$50*(8^2)+'LINEST VARS'!$M$50*($CG$8^2)+'LINEST VARS'!$L$50*($BX26^2)+'LINEST VARS'!$K$50*(12.73^2)+'LINEST VARS'!$J$50*(8*8)+'LINEST VARS'!$I$50*(8*$CG$8)+'LINEST VARS'!$H$50*(8*$BX26)+'LINEST VARS'!$G$50*(8*12.73)+'LINEST VARS'!$F$50*(8*$CG$8)+'LINEST VARS'!$E$50*(8*$BX26)+'LINEST VARS'!$D$50*(8*12.73)+'LINEST VARS'!$C$50*($CG$8*$BX26)+'LINEST VARS'!$B$50*($CG$8*12.73)+'LINEST VARS'!$A$50*($BX26*12.73)</f>
        <v>331.99999999999989</v>
      </c>
      <c r="CH26" s="46">
        <f>'LINEST VARS'!$U$50+'LINEST VARS'!$T$50*(8)+'LINEST VARS'!$S$50*(8)+'LINEST VARS'!$R$50*($CH$8)+'LINEST VARS'!$Q$50*($BX26)+'LINEST VARS'!$P$50*(12.73)+'LINEST VARS'!$O$50*(8^2)+'LINEST VARS'!$N$50*(8^2)+'LINEST VARS'!$M$50*($CH$8^2)+'LINEST VARS'!$L$50*($BX26^2)+'LINEST VARS'!$K$50*(12.73^2)+'LINEST VARS'!$J$50*(8*8)+'LINEST VARS'!$I$50*(8*$CH$8)+'LINEST VARS'!$H$50*(8*$BX26)+'LINEST VARS'!$G$50*(8*12.73)+'LINEST VARS'!$F$50*(8*$CH$8)+'LINEST VARS'!$E$50*(8*$BX26)+'LINEST VARS'!$D$50*(8*12.73)+'LINEST VARS'!$C$50*($CH$8*$BX26)+'LINEST VARS'!$B$50*($CH$8*12.73)+'LINEST VARS'!$A$50*($BX26*12.73)</f>
        <v>331.99999999999989</v>
      </c>
      <c r="CI26" s="46">
        <f>'LINEST VARS'!$U$50+'LINEST VARS'!$T$50*(8)+'LINEST VARS'!$S$50*(8)+'LINEST VARS'!$R$50*($CI$8)+'LINEST VARS'!$Q$50*($BX26)+'LINEST VARS'!$P$50*(12.73)+'LINEST VARS'!$O$50*(8^2)+'LINEST VARS'!$N$50*(8^2)+'LINEST VARS'!$M$50*($CI$8^2)+'LINEST VARS'!$L$50*($BX26^2)+'LINEST VARS'!$K$50*(12.73^2)+'LINEST VARS'!$J$50*(8*8)+'LINEST VARS'!$I$50*(8*$CI$8)+'LINEST VARS'!$H$50*(8*$BX26)+'LINEST VARS'!$G$50*(8*12.73)+'LINEST VARS'!$F$50*(8*$CI$8)+'LINEST VARS'!$E$50*(8*$BX26)+'LINEST VARS'!$D$50*(8*12.73)+'LINEST VARS'!$C$50*($CI$8*$BX26)+'LINEST VARS'!$B$50*($CI$8*12.73)+'LINEST VARS'!$A$50*($BX26*12.73)</f>
        <v>331.99999999999989</v>
      </c>
      <c r="CJ26" s="46">
        <f>'LINEST VARS'!$U$50+'LINEST VARS'!$T$50*(8)+'LINEST VARS'!$S$50*(8)+'LINEST VARS'!$R$50*($CJ$8)+'LINEST VARS'!$Q$50*($BX26)+'LINEST VARS'!$P$50*(12.73)+'LINEST VARS'!$O$50*(8^2)+'LINEST VARS'!$N$50*(8^2)+'LINEST VARS'!$M$50*($CJ$8^2)+'LINEST VARS'!$L$50*($BX26^2)+'LINEST VARS'!$K$50*(12.73^2)+'LINEST VARS'!$J$50*(8*8)+'LINEST VARS'!$I$50*(8*$CJ$8)+'LINEST VARS'!$H$50*(8*$BX26)+'LINEST VARS'!$G$50*(8*12.73)+'LINEST VARS'!$F$50*(8*$CJ$8)+'LINEST VARS'!$E$50*(8*$BX26)+'LINEST VARS'!$D$50*(8*12.73)+'LINEST VARS'!$C$50*($CJ$8*$BX26)+'LINEST VARS'!$B$50*($CJ$8*12.73)+'LINEST VARS'!$A$50*($BX26*12.73)</f>
        <v>331.99999999999989</v>
      </c>
      <c r="CK26" s="46">
        <f>'LINEST VARS'!$U$50+'LINEST VARS'!$T$50*(8)+'LINEST VARS'!$S$50*(8)+'LINEST VARS'!$R$50*($CK$8)+'LINEST VARS'!$Q$50*($BX26)+'LINEST VARS'!$P$50*(12.73)+'LINEST VARS'!$O$50*(8^2)+'LINEST VARS'!$N$50*(8^2)+'LINEST VARS'!$M$50*($CK$8^2)+'LINEST VARS'!$L$50*($BX26^2)+'LINEST VARS'!$K$50*(12.73^2)+'LINEST VARS'!$J$50*(8*8)+'LINEST VARS'!$I$50*(8*$CK$8)+'LINEST VARS'!$H$50*(8*$BX26)+'LINEST VARS'!$G$50*(8*12.73)+'LINEST VARS'!$F$50*(8*$CK$8)+'LINEST VARS'!$E$50*(8*$BX26)+'LINEST VARS'!$D$50*(8*12.73)+'LINEST VARS'!$C$50*($CK$8*$BX26)+'LINEST VARS'!$B$50*($CK$8*12.73)+'LINEST VARS'!$A$50*($BX26*12.73)</f>
        <v>331.99999999999989</v>
      </c>
      <c r="CL26" s="46">
        <f>'LINEST VARS'!$U$50+'LINEST VARS'!$T$50*(8)+'LINEST VARS'!$S$50*(8)+'LINEST VARS'!$R$50*($CL$8)+'LINEST VARS'!$Q$50*($BX26)+'LINEST VARS'!$P$50*(12.73)+'LINEST VARS'!$O$50*(8^2)+'LINEST VARS'!$N$50*(8^2)+'LINEST VARS'!$M$50*($CL$8^2)+'LINEST VARS'!$L$50*($BX26^2)+'LINEST VARS'!$K$50*(12.73^2)+'LINEST VARS'!$J$50*(8*8)+'LINEST VARS'!$I$50*(8*$CL$8)+'LINEST VARS'!$H$50*(8*$BX26)+'LINEST VARS'!$G$50*(8*12.73)+'LINEST VARS'!$F$50*(8*$CL$8)+'LINEST VARS'!$E$50*(8*$BX26)+'LINEST VARS'!$D$50*(8*12.73)+'LINEST VARS'!$C$50*($CL$8*$BX26)+'LINEST VARS'!$B$50*($CL$8*12.73)+'LINEST VARS'!$A$50*($BX26*12.73)</f>
        <v>331.99999999999989</v>
      </c>
      <c r="CM26" s="46">
        <f>'LINEST VARS'!$U$50+'LINEST VARS'!$T$50*(8)+'LINEST VARS'!$S$50*(8)+'LINEST VARS'!$R$50*($CM$8)+'LINEST VARS'!$Q$50*($BX26)+'LINEST VARS'!$P$50*(12.73)+'LINEST VARS'!$O$50*(8^2)+'LINEST VARS'!$N$50*(8^2)+'LINEST VARS'!$M$50*($CM$8^2)+'LINEST VARS'!$L$50*($BX26^2)+'LINEST VARS'!$K$50*(12.73^2)+'LINEST VARS'!$J$50*(8*8)+'LINEST VARS'!$I$50*(8*$CM$8)+'LINEST VARS'!$H$50*(8*$BX26)+'LINEST VARS'!$G$50*(8*12.73)+'LINEST VARS'!$F$50*(8*$CM$8)+'LINEST VARS'!$E$50*(8*$BX26)+'LINEST VARS'!$D$50*(8*12.73)+'LINEST VARS'!$C$50*($CM$8*$BX26)+'LINEST VARS'!$B$50*($CM$8*12.73)+'LINEST VARS'!$A$50*($BX26*12.73)</f>
        <v>331.99999999999989</v>
      </c>
      <c r="CN26" s="46">
        <f>'LINEST VARS'!$U$50+'LINEST VARS'!$T$50*(8)+'LINEST VARS'!$S$50*(8)+'LINEST VARS'!$R$50*($CN$8)+'LINEST VARS'!$Q$50*($BX26)+'LINEST VARS'!$P$50*(12.73)+'LINEST VARS'!$O$50*(8^2)+'LINEST VARS'!$N$50*(8^2)+'LINEST VARS'!$M$50*($CN$8^2)+'LINEST VARS'!$L$50*($BX26^2)+'LINEST VARS'!$K$50*(12.73^2)+'LINEST VARS'!$J$50*(8*8)+'LINEST VARS'!$I$50*(8*$CN$8)+'LINEST VARS'!$H$50*(8*$BX26)+'LINEST VARS'!$G$50*(8*12.73)+'LINEST VARS'!$F$50*(8*$CN$8)+'LINEST VARS'!$E$50*(8*$BX26)+'LINEST VARS'!$D$50*(8*12.73)+'LINEST VARS'!$C$50*($CN$8*$BX26)+'LINEST VARS'!$B$50*($CN$8*12.73)+'LINEST VARS'!$A$50*($BX26*12.73)</f>
        <v>331.99999999999989</v>
      </c>
      <c r="CO26" s="46">
        <f>'LINEST VARS'!$U$50+'LINEST VARS'!$T$50*(8)+'LINEST VARS'!$S$50*(8)+'LINEST VARS'!$R$50*($CO$8)+'LINEST VARS'!$Q$50*($BX26)+'LINEST VARS'!$P$50*(12.73)+'LINEST VARS'!$O$50*(8^2)+'LINEST VARS'!$N$50*(8^2)+'LINEST VARS'!$M$50*($CO$8^2)+'LINEST VARS'!$L$50*($BX26^2)+'LINEST VARS'!$K$50*(12.73^2)+'LINEST VARS'!$J$50*(8*8)+'LINEST VARS'!$I$50*(8*$CO$8)+'LINEST VARS'!$H$50*(8*$BX26)+'LINEST VARS'!$G$50*(8*12.73)+'LINEST VARS'!$F$50*(8*$CO$8)+'LINEST VARS'!$E$50*(8*$BX26)+'LINEST VARS'!$D$50*(8*12.73)+'LINEST VARS'!$C$50*($CO$8*$BX26)+'LINEST VARS'!$B$50*($CO$8*12.73)+'LINEST VARS'!$A$50*($BX26*12.73)</f>
        <v>331.99999999999989</v>
      </c>
      <c r="CP26" s="46">
        <f>'LINEST VARS'!$U$50+'LINEST VARS'!$T$50*(8)+'LINEST VARS'!$S$50*(8)+'LINEST VARS'!$R$50*($CP$8)+'LINEST VARS'!$Q$50*($BX26)+'LINEST VARS'!$P$50*(12.73)+'LINEST VARS'!$O$50*(8^2)+'LINEST VARS'!$N$50*(8^2)+'LINEST VARS'!$M$50*($CP$8^2)+'LINEST VARS'!$L$50*($BX26^2)+'LINEST VARS'!$K$50*(12.73^2)+'LINEST VARS'!$J$50*(8*8)+'LINEST VARS'!$I$50*(8*$CP$8)+'LINEST VARS'!$H$50*(8*$BX26)+'LINEST VARS'!$G$50*(8*12.73)+'LINEST VARS'!$F$50*(8*$CP$8)+'LINEST VARS'!$E$50*(8*$BX26)+'LINEST VARS'!$D$50*(8*12.73)+'LINEST VARS'!$C$50*($CP$8*$BX26)+'LINEST VARS'!$B$50*($CP$8*12.73)+'LINEST VARS'!$A$50*($BX26*12.73)</f>
        <v>331.99999999999989</v>
      </c>
      <c r="CQ26" s="46">
        <f>'LINEST VARS'!$U$50+'LINEST VARS'!$T$50*(8)+'LINEST VARS'!$S$50*(8)+'LINEST VARS'!$R$50*($CQ$8)+'LINEST VARS'!$Q$50*($BX26)+'LINEST VARS'!$P$50*(12.73)+'LINEST VARS'!$O$50*(8^2)+'LINEST VARS'!$N$50*(8^2)+'LINEST VARS'!$M$50*($CQ$8^2)+'LINEST VARS'!$L$50*($BX26^2)+'LINEST VARS'!$K$50*(12.73^2)+'LINEST VARS'!$J$50*(8*8)+'LINEST VARS'!$I$50*(8*$CQ$8)+'LINEST VARS'!$H$50*(8*$BX26)+'LINEST VARS'!$G$50*(8*12.73)+'LINEST VARS'!$F$50*(8*$CQ$8)+'LINEST VARS'!$E$50*(8*$BX26)+'LINEST VARS'!$D$50*(8*12.73)+'LINEST VARS'!$C$50*($CQ$8*$BX26)+'LINEST VARS'!$B$50*($CQ$8*12.73)+'LINEST VARS'!$A$50*($BX26*12.73)</f>
        <v>331.99999999999989</v>
      </c>
      <c r="CR26" s="46">
        <f>'LINEST VARS'!$U$50+'LINEST VARS'!$T$50*(8)+'LINEST VARS'!$S$50*(8)+'LINEST VARS'!$R$50*($CR$8)+'LINEST VARS'!$Q$50*($BX26)+'LINEST VARS'!$P$50*(12.73)+'LINEST VARS'!$O$50*(8^2)+'LINEST VARS'!$N$50*(8^2)+'LINEST VARS'!$M$50*($CR$8^2)+'LINEST VARS'!$L$50*($BX26^2)+'LINEST VARS'!$K$50*(12.73^2)+'LINEST VARS'!$J$50*(8*8)+'LINEST VARS'!$I$50*(8*$CR$8)+'LINEST VARS'!$H$50*(8*$BX26)+'LINEST VARS'!$G$50*(8*12.73)+'LINEST VARS'!$F$50*(8*$CR$8)+'LINEST VARS'!$E$50*(8*$BX26)+'LINEST VARS'!$D$50*(8*12.73)+'LINEST VARS'!$C$50*($CR$8*$BX26)+'LINEST VARS'!$B$50*($CR$8*12.73)+'LINEST VARS'!$A$50*($BX26*12.73)</f>
        <v>331.99999999999989</v>
      </c>
      <c r="CS26" s="47">
        <f>'LINEST VARS'!$U$50+'LINEST VARS'!$T$50*(8)+'LINEST VARS'!$S$50*(8)+'LINEST VARS'!$R$50*($CS$8)+'LINEST VARS'!$Q$50*($BX26)+'LINEST VARS'!$P$50*(12.73)+'LINEST VARS'!$O$50*(8^2)+'LINEST VARS'!$N$50*(8^2)+'LINEST VARS'!$M$50*($CS$8^2)+'LINEST VARS'!$L$50*($BX26^2)+'LINEST VARS'!$K$50*(12.73^2)+'LINEST VARS'!$J$50*(8*8)+'LINEST VARS'!$I$50*(8*$CS$8)+'LINEST VARS'!$H$50*(8*$BX26)+'LINEST VARS'!$G$50*(8*12.73)+'LINEST VARS'!$F$50*(8*$CS$8)+'LINEST VARS'!$E$50*(8*$BX26)+'LINEST VARS'!$D$50*(8*12.73)+'LINEST VARS'!$C$50*($CS$8*$BX26)+'LINEST VARS'!$B$50*($CS$8*12.73)+'LINEST VARS'!$A$50*($BX26*12.73)</f>
        <v>331.99999999999989</v>
      </c>
      <c r="CX26" s="45">
        <v>22.0915</v>
      </c>
      <c r="CY26" s="46">
        <f>'LINEST VARS'!$U$48+'LINEST VARS'!$T$48*(8)+'LINEST VARS'!$S$48*(8)+'LINEST VARS'!$R$48*($CY$8)+'LINEST VARS'!$Q$48*(0.5)+'LINEST VARS'!$P$48*($CX26)+'LINEST VARS'!$O$48*(8^2)+'LINEST VARS'!$N$48*(8^2)+'LINEST VARS'!$M$48*($CY$8^2)+'LINEST VARS'!$L$48*(0.5^2)+'LINEST VARS'!$K$48*($CX26^2)+'LINEST VARS'!$J$48*(8*8)+'LINEST VARS'!$I$48*(8*$CY$8)+'LINEST VARS'!$H$48*(8*0.5)+'LINEST VARS'!$G$48*(8*$CX26)+'LINEST VARS'!$F$48*(8*$CY$8)+'LINEST VARS'!$E$48*(8*0.5)+'LINEST VARS'!$D$48*(8*$CX26)+'LINEST VARS'!$C$48*($CY$8*0.5)+'LINEST VARS'!$B$48*($CY$8*$CX26)+'LINEST VARS'!$A$48*(0.5*$CX26)</f>
        <v>369.99999999999983</v>
      </c>
      <c r="CZ26" s="46">
        <f>'LINEST VARS'!$U$48+'LINEST VARS'!$T$48*(8)+'LINEST VARS'!$S$48*(8)+'LINEST VARS'!$R$48*($CZ$8)+'LINEST VARS'!$Q$48*(0.5)+'LINEST VARS'!$P$48*($CX26)+'LINEST VARS'!$O$48*(8^2)+'LINEST VARS'!$N$48*(8^2)+'LINEST VARS'!$M$48*($CZ$8^2)+'LINEST VARS'!$L$48*(0.5^2)+'LINEST VARS'!$K$48*($CX26^2)+'LINEST VARS'!$J$48*(8*8)+'LINEST VARS'!$I$48*(8*$CZ$8)+'LINEST VARS'!$H$48*(8*0.5)+'LINEST VARS'!$G$48*(8*$CX26)+'LINEST VARS'!$F$48*(8*$CZ$8)+'LINEST VARS'!$E$48*(8*0.5)+'LINEST VARS'!$D$48*(8*$CX26)+'LINEST VARS'!$C$48*($CZ$8*0.5)+'LINEST VARS'!$B$48*($CZ$8*$CX26)+'LINEST VARS'!$A$48*(0.5*$CX26)</f>
        <v>369.99999999999983</v>
      </c>
      <c r="DA26" s="46">
        <f>'LINEST VARS'!$U$48+'LINEST VARS'!$T$48*(8)+'LINEST VARS'!$S$48*(8)+'LINEST VARS'!$R$48*($DA$8)+'LINEST VARS'!$Q$48*(0.5)+'LINEST VARS'!$P$48*($CX26)+'LINEST VARS'!$O$48*(8^2)+'LINEST VARS'!$N$48*(8^2)+'LINEST VARS'!$M$48*($DA$8^2)+'LINEST VARS'!$L$48*(0.5^2)+'LINEST VARS'!$K$48*($CX26^2)+'LINEST VARS'!$J$48*(8*8)+'LINEST VARS'!$I$48*(8*$DA$8)+'LINEST VARS'!$H$48*(8*0.5)+'LINEST VARS'!$G$48*(8*$CX26)+'LINEST VARS'!$F$48*(8*$DA$8)+'LINEST VARS'!$E$48*(8*0.5)+'LINEST VARS'!$D$48*(8*$CX26)+'LINEST VARS'!$C$48*($DA$8*0.5)+'LINEST VARS'!$B$48*($DA$8*$CX26)+'LINEST VARS'!$A$48*(0.5*$CX26)</f>
        <v>369.99999999999983</v>
      </c>
      <c r="DB26" s="46">
        <f>'LINEST VARS'!$U$48+'LINEST VARS'!$T$48*(8)+'LINEST VARS'!$S$48*(8)+'LINEST VARS'!$R$48*($DB$8)+'LINEST VARS'!$Q$48*(0.5)+'LINEST VARS'!$P$48*($CX26)+'LINEST VARS'!$O$48*(8^2)+'LINEST VARS'!$N$48*(8^2)+'LINEST VARS'!$M$48*($DB$8^2)+'LINEST VARS'!$L$48*(0.5^2)+'LINEST VARS'!$K$48*($CX26^2)+'LINEST VARS'!$J$48*(8*8)+'LINEST VARS'!$I$48*(8*$DB$8)+'LINEST VARS'!$H$48*(8*0.5)+'LINEST VARS'!$G$48*(8*$CX26)+'LINEST VARS'!$F$48*(8*$DB$8)+'LINEST VARS'!$E$48*(8*0.5)+'LINEST VARS'!$D$48*(8*$CX26)+'LINEST VARS'!$C$48*($DB$8*0.5)+'LINEST VARS'!$B$48*($DB$8*$CX26)+'LINEST VARS'!$A$48*(0.5*$CX26)</f>
        <v>369.99999999999983</v>
      </c>
      <c r="DC26" s="46">
        <f>'LINEST VARS'!$U$48+'LINEST VARS'!$T$48*(8)+'LINEST VARS'!$S$48*(8)+'LINEST VARS'!$R$48*($DC$8)+'LINEST VARS'!$Q$48*(0.5)+'LINEST VARS'!$P$48*($CX26)+'LINEST VARS'!$O$48*(8^2)+'LINEST VARS'!$N$48*(8^2)+'LINEST VARS'!$M$48*($DC$8^2)+'LINEST VARS'!$L$48*(0.5^2)+'LINEST VARS'!$K$48*($CX26^2)+'LINEST VARS'!$J$48*(8*8)+'LINEST VARS'!$I$48*(8*$DC$8)+'LINEST VARS'!$H$48*(8*0.5)+'LINEST VARS'!$G$48*(8*$CX26)+'LINEST VARS'!$F$48*(8*$DC$8)+'LINEST VARS'!$E$48*(8*0.5)+'LINEST VARS'!$D$48*(8*$CX26)+'LINEST VARS'!$C$48*($DC$8*0.5)+'LINEST VARS'!$B$48*($DC$8*$CX26)+'LINEST VARS'!$A$48*(0.5*$CX26)</f>
        <v>369.99999999999983</v>
      </c>
      <c r="DD26" s="46">
        <f>'LINEST VARS'!$U$48+'LINEST VARS'!$T$48*(8)+'LINEST VARS'!$S$48*(8)+'LINEST VARS'!$R$48*($DD$8)+'LINEST VARS'!$Q$48*(0.5)+'LINEST VARS'!$P$48*($CX26)+'LINEST VARS'!$O$48*(8^2)+'LINEST VARS'!$N$48*(8^2)+'LINEST VARS'!$M$48*($DD$8^2)+'LINEST VARS'!$L$48*(0.5^2)+'LINEST VARS'!$K$48*($CX26^2)+'LINEST VARS'!$J$48*(8*8)+'LINEST VARS'!$I$48*(8*$DD$8)+'LINEST VARS'!$H$48*(8*0.5)+'LINEST VARS'!$G$48*(8*$CX26)+'LINEST VARS'!$F$48*(8*$DD$8)+'LINEST VARS'!$E$48*(8*0.5)+'LINEST VARS'!$D$48*(8*$CX26)+'LINEST VARS'!$C$48*($DD$8*0.5)+'LINEST VARS'!$B$48*($DD$8*$CX26)+'LINEST VARS'!$A$48*(0.5*$CX26)</f>
        <v>369.99999999999983</v>
      </c>
      <c r="DE26" s="46">
        <f>'LINEST VARS'!$U$48+'LINEST VARS'!$T$48*(8)+'LINEST VARS'!$S$48*(8)+'LINEST VARS'!$R$48*($DE$8)+'LINEST VARS'!$Q$48*(0.5)+'LINEST VARS'!$P$48*($CX26)+'LINEST VARS'!$O$48*(8^2)+'LINEST VARS'!$N$48*(8^2)+'LINEST VARS'!$M$48*($DE$8^2)+'LINEST VARS'!$L$48*(0.5^2)+'LINEST VARS'!$K$48*($CX26^2)+'LINEST VARS'!$J$48*(8*8)+'LINEST VARS'!$I$48*(8*$DE$8)+'LINEST VARS'!$H$48*(8*0.5)+'LINEST VARS'!$G$48*(8*$CX26)+'LINEST VARS'!$F$48*(8*$DE$8)+'LINEST VARS'!$E$48*(8*0.5)+'LINEST VARS'!$D$48*(8*$CX26)+'LINEST VARS'!$C$48*($DE$8*0.5)+'LINEST VARS'!$B$48*($DE$8*$CX26)+'LINEST VARS'!$A$48*(0.5*$CX26)</f>
        <v>369.99999999999983</v>
      </c>
      <c r="DF26" s="46">
        <f>'LINEST VARS'!$U$48+'LINEST VARS'!$T$48*(8)+'LINEST VARS'!$S$48*(8)+'LINEST VARS'!$R$48*($DF$8)+'LINEST VARS'!$Q$48*(0.5)+'LINEST VARS'!$P$48*($CX26)+'LINEST VARS'!$O$48*(8^2)+'LINEST VARS'!$N$48*(8^2)+'LINEST VARS'!$M$48*($DF$8^2)+'LINEST VARS'!$L$48*(0.5^2)+'LINEST VARS'!$K$48*($CX26^2)+'LINEST VARS'!$J$48*(8*8)+'LINEST VARS'!$I$48*(8*$DF$8)+'LINEST VARS'!$H$48*(8*0.5)+'LINEST VARS'!$G$48*(8*$CX26)+'LINEST VARS'!$F$48*(8*$DF$8)+'LINEST VARS'!$E$48*(8*0.5)+'LINEST VARS'!$D$48*(8*$CX26)+'LINEST VARS'!$C$48*($DF$8*0.5)+'LINEST VARS'!$B$48*($DF$8*$CX26)+'LINEST VARS'!$A$48*(0.5*$CX26)</f>
        <v>369.99999999999983</v>
      </c>
      <c r="DG26" s="46">
        <f>'LINEST VARS'!$U$48+'LINEST VARS'!$T$48*(8)+'LINEST VARS'!$S$48*(8)+'LINEST VARS'!$R$48*($DG$8)+'LINEST VARS'!$Q$48*(0.5)+'LINEST VARS'!$P$48*($CX26)+'LINEST VARS'!$O$48*(8^2)+'LINEST VARS'!$N$48*(8^2)+'LINEST VARS'!$M$48*($DG$8^2)+'LINEST VARS'!$L$48*(0.5^2)+'LINEST VARS'!$K$48*($CX26^2)+'LINEST VARS'!$J$48*(8*8)+'LINEST VARS'!$I$48*(8*$DG$8)+'LINEST VARS'!$H$48*(8*0.5)+'LINEST VARS'!$G$48*(8*$CX26)+'LINEST VARS'!$F$48*(8*$DG$8)+'LINEST VARS'!$E$48*(8*0.5)+'LINEST VARS'!$D$48*(8*$CX26)+'LINEST VARS'!$C$48*($DG$8*0.5)+'LINEST VARS'!$B$48*($DG$8*$CX26)+'LINEST VARS'!$A$48*(0.5*$CX26)</f>
        <v>369.99999999999983</v>
      </c>
      <c r="DH26" s="46">
        <f>'LINEST VARS'!$U$48+'LINEST VARS'!$T$48*(8)+'LINEST VARS'!$S$48*(8)+'LINEST VARS'!$R$48*($DH$8)+'LINEST VARS'!$Q$48*(0.5)+'LINEST VARS'!$P$48*($CX26)+'LINEST VARS'!$O$48*(8^2)+'LINEST VARS'!$N$48*(8^2)+'LINEST VARS'!$M$48*($DH$8^2)+'LINEST VARS'!$L$48*(0.5^2)+'LINEST VARS'!$K$48*($CX26^2)+'LINEST VARS'!$J$48*(8*8)+'LINEST VARS'!$I$48*(8*$DH$8)+'LINEST VARS'!$H$48*(8*0.5)+'LINEST VARS'!$G$48*(8*$CX26)+'LINEST VARS'!$F$48*(8*$DH$8)+'LINEST VARS'!$E$48*(8*0.5)+'LINEST VARS'!$D$48*(8*$CX26)+'LINEST VARS'!$C$48*($DH$8*0.5)+'LINEST VARS'!$B$48*($DH$8*$CX26)+'LINEST VARS'!$A$48*(0.5*$CX26)</f>
        <v>369.99999999999983</v>
      </c>
      <c r="DI26" s="46">
        <f>'LINEST VARS'!$U$48+'LINEST VARS'!$T$48*(8)+'LINEST VARS'!$S$48*(8)+'LINEST VARS'!$R$48*($DI$8)+'LINEST VARS'!$Q$48*(0.5)+'LINEST VARS'!$P$48*($CX26)+'LINEST VARS'!$O$48*(8^2)+'LINEST VARS'!$N$48*(8^2)+'LINEST VARS'!$M$48*($DI$8^2)+'LINEST VARS'!$L$48*(0.5^2)+'LINEST VARS'!$K$48*($CX26^2)+'LINEST VARS'!$J$48*(8*8)+'LINEST VARS'!$I$48*(8*$DI$8)+'LINEST VARS'!$H$48*(8*0.5)+'LINEST VARS'!$G$48*(8*$CX26)+'LINEST VARS'!$F$48*(8*$DI$8)+'LINEST VARS'!$E$48*(8*0.5)+'LINEST VARS'!$D$48*(8*$CX26)+'LINEST VARS'!$C$48*($DI$8*0.5)+'LINEST VARS'!$B$48*($DI$8*$CX26)+'LINEST VARS'!$A$48*(0.5*$CX26)</f>
        <v>369.99999999999983</v>
      </c>
      <c r="DJ26" s="46">
        <f>'LINEST VARS'!$U$48+'LINEST VARS'!$T$48*(8)+'LINEST VARS'!$S$48*(8)+'LINEST VARS'!$R$48*($DJ$8)+'LINEST VARS'!$Q$48*(0.5)+'LINEST VARS'!$P$48*($CX26)+'LINEST VARS'!$O$48*(8^2)+'LINEST VARS'!$N$48*(8^2)+'LINEST VARS'!$M$48*($DJ$8^2)+'LINEST VARS'!$L$48*(0.5^2)+'LINEST VARS'!$K$48*($CX26^2)+'LINEST VARS'!$J$48*(8*8)+'LINEST VARS'!$I$48*(8*$DJ$8)+'LINEST VARS'!$H$48*(8*0.5)+'LINEST VARS'!$G$48*(8*$CX26)+'LINEST VARS'!$F$48*(8*$DJ$8)+'LINEST VARS'!$E$48*(8*0.5)+'LINEST VARS'!$D$48*(8*$CX26)+'LINEST VARS'!$C$48*($DJ$8*0.5)+'LINEST VARS'!$B$48*($DJ$8*$CX26)+'LINEST VARS'!$A$48*(0.5*$CX26)</f>
        <v>369.99999999999983</v>
      </c>
      <c r="DK26" s="46">
        <f>'LINEST VARS'!$U$48+'LINEST VARS'!$T$48*(8)+'LINEST VARS'!$S$48*(8)+'LINEST VARS'!$R$48*($DK$8)+'LINEST VARS'!$Q$48*(0.5)+'LINEST VARS'!$P$48*($CX26)+'LINEST VARS'!$O$48*(8^2)+'LINEST VARS'!$N$48*(8^2)+'LINEST VARS'!$M$48*($DK$8^2)+'LINEST VARS'!$L$48*(0.5^2)+'LINEST VARS'!$K$48*($CX26^2)+'LINEST VARS'!$J$48*(8*8)+'LINEST VARS'!$I$48*(8*$DK$8)+'LINEST VARS'!$H$48*(8*0.5)+'LINEST VARS'!$G$48*(8*$CX26)+'LINEST VARS'!$F$48*(8*$DK$8)+'LINEST VARS'!$E$48*(8*0.5)+'LINEST VARS'!$D$48*(8*$CX26)+'LINEST VARS'!$C$48*($DK$8*0.5)+'LINEST VARS'!$B$48*($DK$8*$CX26)+'LINEST VARS'!$A$48*(0.5*$CX26)</f>
        <v>369.99999999999983</v>
      </c>
      <c r="DL26" s="46">
        <f>'LINEST VARS'!$U$48+'LINEST VARS'!$T$48*(8)+'LINEST VARS'!$S$48*(8)+'LINEST VARS'!$R$48*($DL$8)+'LINEST VARS'!$Q$48*(0.5)+'LINEST VARS'!$P$48*($CX26)+'LINEST VARS'!$O$48*(8^2)+'LINEST VARS'!$N$48*(8^2)+'LINEST VARS'!$M$48*($DL$8^2)+'LINEST VARS'!$L$48*(0.5^2)+'LINEST VARS'!$K$48*($CX26^2)+'LINEST VARS'!$J$48*(8*8)+'LINEST VARS'!$I$48*(8*$DL$8)+'LINEST VARS'!$H$48*(8*0.5)+'LINEST VARS'!$G$48*(8*$CX26)+'LINEST VARS'!$F$48*(8*$DL$8)+'LINEST VARS'!$E$48*(8*0.5)+'LINEST VARS'!$D$48*(8*$CX26)+'LINEST VARS'!$C$48*($DL$8*0.5)+'LINEST VARS'!$B$48*($DL$8*$CX26)+'LINEST VARS'!$A$48*(0.5*$CX26)</f>
        <v>369.99999999999989</v>
      </c>
      <c r="DM26" s="46">
        <f>'LINEST VARS'!$U$48+'LINEST VARS'!$T$48*(8)+'LINEST VARS'!$S$48*(8)+'LINEST VARS'!$R$48*($DM$8)+'LINEST VARS'!$Q$48*(0.5)+'LINEST VARS'!$P$48*($CX26)+'LINEST VARS'!$O$48*(8^2)+'LINEST VARS'!$N$48*(8^2)+'LINEST VARS'!$M$48*($DM$8^2)+'LINEST VARS'!$L$48*(0.5^2)+'LINEST VARS'!$K$48*($CX26^2)+'LINEST VARS'!$J$48*(8*8)+'LINEST VARS'!$I$48*(8*$DM$8)+'LINEST VARS'!$H$48*(8*0.5)+'LINEST VARS'!$G$48*(8*$CX26)+'LINEST VARS'!$F$48*(8*$DM$8)+'LINEST VARS'!$E$48*(8*0.5)+'LINEST VARS'!$D$48*(8*$CX26)+'LINEST VARS'!$C$48*($DM$8*0.5)+'LINEST VARS'!$B$48*($DM$8*$CX26)+'LINEST VARS'!$A$48*(0.5*$CX26)</f>
        <v>369.99999999999989</v>
      </c>
      <c r="DN26" s="46">
        <f>'LINEST VARS'!$U$48+'LINEST VARS'!$T$48*(8)+'LINEST VARS'!$S$48*(8)+'LINEST VARS'!$R$48*($DN$8)+'LINEST VARS'!$Q$48*(0.5)+'LINEST VARS'!$P$48*($CX26)+'LINEST VARS'!$O$48*(8^2)+'LINEST VARS'!$N$48*(8^2)+'LINEST VARS'!$M$48*($DN$8^2)+'LINEST VARS'!$L$48*(0.5^2)+'LINEST VARS'!$K$48*($CX26^2)+'LINEST VARS'!$J$48*(8*8)+'LINEST VARS'!$I$48*(8*$DN$8)+'LINEST VARS'!$H$48*(8*0.5)+'LINEST VARS'!$G$48*(8*$CX26)+'LINEST VARS'!$F$48*(8*$DN$8)+'LINEST VARS'!$E$48*(8*0.5)+'LINEST VARS'!$D$48*(8*$CX26)+'LINEST VARS'!$C$48*($DN$8*0.5)+'LINEST VARS'!$B$48*($DN$8*$CX26)+'LINEST VARS'!$A$48*(0.5*$CX26)</f>
        <v>369.99999999999989</v>
      </c>
      <c r="DO26" s="46">
        <f>'LINEST VARS'!$U$48+'LINEST VARS'!$T$48*(8)+'LINEST VARS'!$S$48*(8)+'LINEST VARS'!$R$48*($DO$8)+'LINEST VARS'!$Q$48*(0.5)+'LINEST VARS'!$P$48*($CX26)+'LINEST VARS'!$O$48*(8^2)+'LINEST VARS'!$N$48*(8^2)+'LINEST VARS'!$M$48*($DO$8^2)+'LINEST VARS'!$L$48*(0.5^2)+'LINEST VARS'!$K$48*($CX26^2)+'LINEST VARS'!$J$48*(8*8)+'LINEST VARS'!$I$48*(8*$DO$8)+'LINEST VARS'!$H$48*(8*0.5)+'LINEST VARS'!$G$48*(8*$CX26)+'LINEST VARS'!$F$48*(8*$DO$8)+'LINEST VARS'!$E$48*(8*0.5)+'LINEST VARS'!$D$48*(8*$CX26)+'LINEST VARS'!$C$48*($DO$8*0.5)+'LINEST VARS'!$B$48*($DO$8*$CX26)+'LINEST VARS'!$A$48*(0.5*$CX26)</f>
        <v>369.99999999999983</v>
      </c>
      <c r="DP26" s="46">
        <f>'LINEST VARS'!$U$48+'LINEST VARS'!$T$48*(8)+'LINEST VARS'!$S$48*(8)+'LINEST VARS'!$R$48*($DP$8)+'LINEST VARS'!$Q$48*(0.5)+'LINEST VARS'!$P$48*($CX26)+'LINEST VARS'!$O$48*(8^2)+'LINEST VARS'!$N$48*(8^2)+'LINEST VARS'!$M$48*($DP$8^2)+'LINEST VARS'!$L$48*(0.5^2)+'LINEST VARS'!$K$48*($CX26^2)+'LINEST VARS'!$J$48*(8*8)+'LINEST VARS'!$I$48*(8*$DP$8)+'LINEST VARS'!$H$48*(8*0.5)+'LINEST VARS'!$G$48*(8*$CX26)+'LINEST VARS'!$F$48*(8*$DP$8)+'LINEST VARS'!$E$48*(8*0.5)+'LINEST VARS'!$D$48*(8*$CX26)+'LINEST VARS'!$C$48*($DP$8*0.5)+'LINEST VARS'!$B$48*($DP$8*$CX26)+'LINEST VARS'!$A$48*(0.5*$CX26)</f>
        <v>369.99999999999983</v>
      </c>
      <c r="DQ26" s="46">
        <f>'LINEST VARS'!$U$48+'LINEST VARS'!$T$48*(8)+'LINEST VARS'!$S$48*(8)+'LINEST VARS'!$R$48*($DQ$8)+'LINEST VARS'!$Q$48*(0.5)+'LINEST VARS'!$P$48*($CX26)+'LINEST VARS'!$O$48*(8^2)+'LINEST VARS'!$N$48*(8^2)+'LINEST VARS'!$M$48*($DQ$8^2)+'LINEST VARS'!$L$48*(0.5^2)+'LINEST VARS'!$K$48*($CX26^2)+'LINEST VARS'!$J$48*(8*8)+'LINEST VARS'!$I$48*(8*$DQ$8)+'LINEST VARS'!$H$48*(8*0.5)+'LINEST VARS'!$G$48*(8*$CX26)+'LINEST VARS'!$F$48*(8*$DQ$8)+'LINEST VARS'!$E$48*(8*0.5)+'LINEST VARS'!$D$48*(8*$CX26)+'LINEST VARS'!$C$48*($DQ$8*0.5)+'LINEST VARS'!$B$48*($DQ$8*$CX26)+'LINEST VARS'!$A$48*(0.5*$CX26)</f>
        <v>369.99999999999989</v>
      </c>
      <c r="DR26" s="46">
        <f>'LINEST VARS'!$U$48+'LINEST VARS'!$T$48*(8)+'LINEST VARS'!$S$48*(8)+'LINEST VARS'!$R$48*($DR$8)+'LINEST VARS'!$Q$48*(0.5)+'LINEST VARS'!$P$48*($CX26)+'LINEST VARS'!$O$48*(8^2)+'LINEST VARS'!$N$48*(8^2)+'LINEST VARS'!$M$48*($DR$8^2)+'LINEST VARS'!$L$48*(0.5^2)+'LINEST VARS'!$K$48*($CX26^2)+'LINEST VARS'!$J$48*(8*8)+'LINEST VARS'!$I$48*(8*$DR$8)+'LINEST VARS'!$H$48*(8*0.5)+'LINEST VARS'!$G$48*(8*$CX26)+'LINEST VARS'!$F$48*(8*$DR$8)+'LINEST VARS'!$E$48*(8*0.5)+'LINEST VARS'!$D$48*(8*$CX26)+'LINEST VARS'!$C$48*($DR$8*0.5)+'LINEST VARS'!$B$48*($DR$8*$CX26)+'LINEST VARS'!$A$48*(0.5*$CX26)</f>
        <v>369.99999999999983</v>
      </c>
      <c r="DS26" s="47">
        <f>'LINEST VARS'!$U$48+'LINEST VARS'!$T$48*(8)+'LINEST VARS'!$S$48*(8)+'LINEST VARS'!$R$48*($DS$8)+'LINEST VARS'!$Q$48*(0.5)+'LINEST VARS'!$P$48*($CX26)+'LINEST VARS'!$O$48*(8^2)+'LINEST VARS'!$N$48*(8^2)+'LINEST VARS'!$M$48*($DS$8^2)+'LINEST VARS'!$L$48*(0.5^2)+'LINEST VARS'!$K$48*($CX26^2)+'LINEST VARS'!$J$48*(8*8)+'LINEST VARS'!$I$48*(8*$DS$8)+'LINEST VARS'!$H$48*(8*0.5)+'LINEST VARS'!$G$48*(8*$CX26)+'LINEST VARS'!$F$48*(8*$DS$8)+'LINEST VARS'!$E$48*(8*0.5)+'LINEST VARS'!$D$48*(8*$CX26)+'LINEST VARS'!$C$48*($DS$8*0.5)+'LINEST VARS'!$B$48*($DS$8*$CX26)+'LINEST VARS'!$A$48*(0.5*$CX26)</f>
        <v>369.99999999999983</v>
      </c>
      <c r="DV26" s="45">
        <v>22.0915</v>
      </c>
      <c r="DW26" s="46">
        <f>'LINEST VARS'!$U$50+'LINEST VARS'!$T$50*(8)+'LINEST VARS'!$S$50*(8)+'LINEST VARS'!$R$50*($DW$8)+'LINEST VARS'!$Q$50*(0.5)+'LINEST VARS'!$P$50*($DV26)+'LINEST VARS'!$O$50*(8^2)+'LINEST VARS'!$N$50*(8^2)+'LINEST VARS'!$M$50*($DW$8^2)+'LINEST VARS'!$L$50*(0.5^2)+'LINEST VARS'!$K$50*($DV26^2)+'LINEST VARS'!$J$50*(8*8)+'LINEST VARS'!$I$50*(8*$DW$8)+'LINEST VARS'!$H$50*(8*0.5)+'LINEST VARS'!$G$50*(8*$DV26)+'LINEST VARS'!$F$50*(8*$DW$8)+'LINEST VARS'!$E$50*(8*0.5)+'LINEST VARS'!$D$50*(8*$DV26)+'LINEST VARS'!$C$50*($DW$8*0.5)+'LINEST VARS'!$B$50*($DW$8*$DV26)+'LINEST VARS'!$A$50*(0.5*$DV26)</f>
        <v>331.99999999999989</v>
      </c>
      <c r="DX26" s="46">
        <f>'LINEST VARS'!$U$50+'LINEST VARS'!$T$50*(8)+'LINEST VARS'!$S$50*(8)+'LINEST VARS'!$R$50*($DX$8)+'LINEST VARS'!$Q$50*(0.5)+'LINEST VARS'!$P$50*($DV26)+'LINEST VARS'!$O$50*(8^2)+'LINEST VARS'!$N$50*(8^2)+'LINEST VARS'!$M$50*($DX$8^2)+'LINEST VARS'!$L$50*(0.5^2)+'LINEST VARS'!$K$50*($DV26^2)+'LINEST VARS'!$J$50*(8*8)+'LINEST VARS'!$I$50*(8*$DX$8)+'LINEST VARS'!$H$50*(8*0.5)+'LINEST VARS'!$G$50*(8*$DV26)+'LINEST VARS'!$F$50*(8*$DX$8)+'LINEST VARS'!$E$50*(8*0.5)+'LINEST VARS'!$D$50*(8*$DV26)+'LINEST VARS'!$C$50*($DX$8*0.5)+'LINEST VARS'!$B$50*($DX$8*$DV26)+'LINEST VARS'!$A$50*(0.5*$DV26)</f>
        <v>331.99999999999989</v>
      </c>
      <c r="DY26" s="46">
        <f>'LINEST VARS'!$U$50+'LINEST VARS'!$T$50*(8)+'LINEST VARS'!$S$50*(8)+'LINEST VARS'!$R$50*($DY$8)+'LINEST VARS'!$Q$50*(0.5)+'LINEST VARS'!$P$50*($DV26)+'LINEST VARS'!$O$50*(8^2)+'LINEST VARS'!$N$50*(8^2)+'LINEST VARS'!$M$50*($DY$8^2)+'LINEST VARS'!$L$50*(0.5^2)+'LINEST VARS'!$K$50*($DV26^2)+'LINEST VARS'!$J$50*(8*8)+'LINEST VARS'!$I$50*(8*$DY$8)+'LINEST VARS'!$H$50*(8*0.5)+'LINEST VARS'!$G$50*(8*$DV26)+'LINEST VARS'!$F$50*(8*$DY$8)+'LINEST VARS'!$E$50*(8*0.5)+'LINEST VARS'!$D$50*(8*$DV26)+'LINEST VARS'!$C$50*($DY$8*0.5)+'LINEST VARS'!$B$50*($DY$8*$DV26)+'LINEST VARS'!$A$50*(0.5*$DV26)</f>
        <v>331.99999999999989</v>
      </c>
      <c r="DZ26" s="46">
        <f>'LINEST VARS'!$U$50+'LINEST VARS'!$T$50*(8)+'LINEST VARS'!$S$50*(8)+'LINEST VARS'!$R$50*($DZ$8)+'LINEST VARS'!$Q$50*(0.5)+'LINEST VARS'!$P$50*($DV26)+'LINEST VARS'!$O$50*(8^2)+'LINEST VARS'!$N$50*(8^2)+'LINEST VARS'!$M$50*($DZ$8^2)+'LINEST VARS'!$L$50*(0.5^2)+'LINEST VARS'!$K$50*($DV26^2)+'LINEST VARS'!$J$50*(8*8)+'LINEST VARS'!$I$50*(8*$DZ$8)+'LINEST VARS'!$H$50*(8*0.5)+'LINEST VARS'!$G$50*(8*$DV26)+'LINEST VARS'!$F$50*(8*$DZ$8)+'LINEST VARS'!$E$50*(8*0.5)+'LINEST VARS'!$D$50*(8*$DV26)+'LINEST VARS'!$C$50*($DZ$8*0.5)+'LINEST VARS'!$B$50*($DZ$8*$DV26)+'LINEST VARS'!$A$50*(0.5*$DV26)</f>
        <v>331.99999999999989</v>
      </c>
      <c r="EA26" s="46">
        <f>'LINEST VARS'!$U$50+'LINEST VARS'!$T$50*(8)+'LINEST VARS'!$S$50*(8)+'LINEST VARS'!$R$50*($EA$8)+'LINEST VARS'!$Q$50*(0.5)+'LINEST VARS'!$P$50*($DV26)+'LINEST VARS'!$O$50*(8^2)+'LINEST VARS'!$N$50*(8^2)+'LINEST VARS'!$M$50*($EA$8^2)+'LINEST VARS'!$L$50*(0.5^2)+'LINEST VARS'!$K$50*($DV26^2)+'LINEST VARS'!$J$50*(8*8)+'LINEST VARS'!$I$50*(8*$EA$8)+'LINEST VARS'!$H$50*(8*0.5)+'LINEST VARS'!$G$50*(8*$DV26)+'LINEST VARS'!$F$50*(8*$EA$8)+'LINEST VARS'!$E$50*(8*0.5)+'LINEST VARS'!$D$50*(8*$DV26)+'LINEST VARS'!$C$50*($EA$8*0.5)+'LINEST VARS'!$B$50*($EA$8*$DV26)+'LINEST VARS'!$A$50*(0.5*$DV26)</f>
        <v>331.99999999999989</v>
      </c>
      <c r="EB26" s="46">
        <f>'LINEST VARS'!$U$50+'LINEST VARS'!$T$50*(8)+'LINEST VARS'!$S$50*(8)+'LINEST VARS'!$R$50*($EB$8)+'LINEST VARS'!$Q$50*(0.5)+'LINEST VARS'!$P$50*($DV26)+'LINEST VARS'!$O$50*(8^2)+'LINEST VARS'!$N$50*(8^2)+'LINEST VARS'!$M$50*($EB$8^2)+'LINEST VARS'!$L$50*(0.5^2)+'LINEST VARS'!$K$50*($DV26^2)+'LINEST VARS'!$J$50*(8*8)+'LINEST VARS'!$I$50*(8*$EB$8)+'LINEST VARS'!$H$50*(8*0.5)+'LINEST VARS'!$G$50*(8*$DV26)+'LINEST VARS'!$F$50*(8*$EB$8)+'LINEST VARS'!$E$50*(8*0.5)+'LINEST VARS'!$D$50*(8*$DV26)+'LINEST VARS'!$C$50*($EB$8*0.5)+'LINEST VARS'!$B$50*($EB$8*$DV26)+'LINEST VARS'!$A$50*(0.5*$DV26)</f>
        <v>331.99999999999989</v>
      </c>
      <c r="EC26" s="46">
        <f>'LINEST VARS'!$U$50+'LINEST VARS'!$T$50*(8)+'LINEST VARS'!$S$50*(8)+'LINEST VARS'!$R$50*($EC$8)+'LINEST VARS'!$Q$50*(0.5)+'LINEST VARS'!$P$50*($DV26)+'LINEST VARS'!$O$50*(8^2)+'LINEST VARS'!$N$50*(8^2)+'LINEST VARS'!$M$50*($EC$8^2)+'LINEST VARS'!$L$50*(0.5^2)+'LINEST VARS'!$K$50*($DV26^2)+'LINEST VARS'!$J$50*(8*8)+'LINEST VARS'!$I$50*(8*$EC$8)+'LINEST VARS'!$H$50*(8*0.5)+'LINEST VARS'!$G$50*(8*$DV26)+'LINEST VARS'!$F$50*(8*$EC$8)+'LINEST VARS'!$E$50*(8*0.5)+'LINEST VARS'!$D$50*(8*$DV26)+'LINEST VARS'!$C$50*($EC$8*0.5)+'LINEST VARS'!$B$50*($EC$8*$DV26)+'LINEST VARS'!$A$50*(0.5*$DV26)</f>
        <v>331.99999999999989</v>
      </c>
      <c r="ED26" s="46">
        <f>'LINEST VARS'!$U$50+'LINEST VARS'!$T$50*(8)+'LINEST VARS'!$S$50*(8)+'LINEST VARS'!$R$50*($ED$8)+'LINEST VARS'!$Q$50*(0.5)+'LINEST VARS'!$P$50*($DV26)+'LINEST VARS'!$O$50*(8^2)+'LINEST VARS'!$N$50*(8^2)+'LINEST VARS'!$M$50*($ED$8^2)+'LINEST VARS'!$L$50*(0.5^2)+'LINEST VARS'!$K$50*($DV26^2)+'LINEST VARS'!$J$50*(8*8)+'LINEST VARS'!$I$50*(8*$ED$8)+'LINEST VARS'!$H$50*(8*0.5)+'LINEST VARS'!$G$50*(8*$DV26)+'LINEST VARS'!$F$50*(8*$ED$8)+'LINEST VARS'!$E$50*(8*0.5)+'LINEST VARS'!$D$50*(8*$DV26)+'LINEST VARS'!$C$50*($ED$8*0.5)+'LINEST VARS'!$B$50*($ED$8*$DV26)+'LINEST VARS'!$A$50*(0.5*$DV26)</f>
        <v>331.99999999999989</v>
      </c>
      <c r="EE26" s="46">
        <f>'LINEST VARS'!$U$50+'LINEST VARS'!$T$50*(8)+'LINEST VARS'!$S$50*(8)+'LINEST VARS'!$R$50*($EE$8)+'LINEST VARS'!$Q$50*(0.5)+'LINEST VARS'!$P$50*($DV26)+'LINEST VARS'!$O$50*(8^2)+'LINEST VARS'!$N$50*(8^2)+'LINEST VARS'!$M$50*($EE$8^2)+'LINEST VARS'!$L$50*(0.5^2)+'LINEST VARS'!$K$50*($DV26^2)+'LINEST VARS'!$J$50*(8*8)+'LINEST VARS'!$I$50*(8*$EE$8)+'LINEST VARS'!$H$50*(8*0.5)+'LINEST VARS'!$G$50*(8*$DV26)+'LINEST VARS'!$F$50*(8*$EE$8)+'LINEST VARS'!$E$50*(8*0.5)+'LINEST VARS'!$D$50*(8*$DV26)+'LINEST VARS'!$C$50*($EE$8*0.5)+'LINEST VARS'!$B$50*($EE$8*$DV26)+'LINEST VARS'!$A$50*(0.5*$DV26)</f>
        <v>331.99999999999989</v>
      </c>
      <c r="EF26" s="46">
        <f>'LINEST VARS'!$U$50+'LINEST VARS'!$T$50*(8)+'LINEST VARS'!$S$50*(8)+'LINEST VARS'!$R$50*($EF$8)+'LINEST VARS'!$Q$50*(0.5)+'LINEST VARS'!$P$50*($DV26)+'LINEST VARS'!$O$50*(8^2)+'LINEST VARS'!$N$50*(8^2)+'LINEST VARS'!$M$50*($EF$8^2)+'LINEST VARS'!$L$50*(0.5^2)+'LINEST VARS'!$K$50*($DV26^2)+'LINEST VARS'!$J$50*(8*8)+'LINEST VARS'!$I$50*(8*$EF$8)+'LINEST VARS'!$H$50*(8*0.5)+'LINEST VARS'!$G$50*(8*$DV26)+'LINEST VARS'!$F$50*(8*$EF$8)+'LINEST VARS'!$E$50*(8*0.5)+'LINEST VARS'!$D$50*(8*$DV26)+'LINEST VARS'!$C$50*($EF$8*0.5)+'LINEST VARS'!$B$50*($EF$8*$DV26)+'LINEST VARS'!$A$50*(0.5*$DV26)</f>
        <v>331.99999999999989</v>
      </c>
      <c r="EG26" s="46">
        <f>'LINEST VARS'!$U$50+'LINEST VARS'!$T$50*(8)+'LINEST VARS'!$S$50*(8)+'LINEST VARS'!$R$50*($EG$8)+'LINEST VARS'!$Q$50*(0.5)+'LINEST VARS'!$P$50*($DV26)+'LINEST VARS'!$O$50*(8^2)+'LINEST VARS'!$N$50*(8^2)+'LINEST VARS'!$M$50*($EG$8^2)+'LINEST VARS'!$L$50*(0.5^2)+'LINEST VARS'!$K$50*($DV26^2)+'LINEST VARS'!$J$50*(8*8)+'LINEST VARS'!$I$50*(8*$EG$8)+'LINEST VARS'!$H$50*(8*0.5)+'LINEST VARS'!$G$50*(8*$DV26)+'LINEST VARS'!$F$50*(8*$EG$8)+'LINEST VARS'!$E$50*(8*0.5)+'LINEST VARS'!$D$50*(8*$DV26)+'LINEST VARS'!$C$50*($EG$8*0.5)+'LINEST VARS'!$B$50*($EG$8*$DV26)+'LINEST VARS'!$A$50*(0.5*$DV26)</f>
        <v>331.99999999999989</v>
      </c>
      <c r="EH26" s="46">
        <f>'LINEST VARS'!$U$50+'LINEST VARS'!$T$50*(8)+'LINEST VARS'!$S$50*(8)+'LINEST VARS'!$R$50*($EH$8)+'LINEST VARS'!$Q$50*(0.5)+'LINEST VARS'!$P$50*($DV26)+'LINEST VARS'!$O$50*(8^2)+'LINEST VARS'!$N$50*(8^2)+'LINEST VARS'!$M$50*($EH$8^2)+'LINEST VARS'!$L$50*(0.5^2)+'LINEST VARS'!$K$50*($DV26^2)+'LINEST VARS'!$J$50*(8*8)+'LINEST VARS'!$I$50*(8*$EH$8)+'LINEST VARS'!$H$50*(8*0.5)+'LINEST VARS'!$G$50*(8*$DV26)+'LINEST VARS'!$F$50*(8*$EH$8)+'LINEST VARS'!$E$50*(8*0.5)+'LINEST VARS'!$D$50*(8*$DV26)+'LINEST VARS'!$C$50*($EH$8*0.5)+'LINEST VARS'!$B$50*($EH$8*$DV26)+'LINEST VARS'!$A$50*(0.5*$DV26)</f>
        <v>331.99999999999989</v>
      </c>
      <c r="EI26" s="46">
        <f>'LINEST VARS'!$U$50+'LINEST VARS'!$T$50*(8)+'LINEST VARS'!$S$50*(8)+'LINEST VARS'!$R$50*($EI$8)+'LINEST VARS'!$Q$50*(0.5)+'LINEST VARS'!$P$50*($DV26)+'LINEST VARS'!$O$50*(8^2)+'LINEST VARS'!$N$50*(8^2)+'LINEST VARS'!$M$50*($EI$8^2)+'LINEST VARS'!$L$50*(0.5^2)+'LINEST VARS'!$K$50*($DV26^2)+'LINEST VARS'!$J$50*(8*8)+'LINEST VARS'!$I$50*(8*$EI$8)+'LINEST VARS'!$H$50*(8*0.5)+'LINEST VARS'!$G$50*(8*$DV26)+'LINEST VARS'!$F$50*(8*$EI$8)+'LINEST VARS'!$E$50*(8*0.5)+'LINEST VARS'!$D$50*(8*$DV26)+'LINEST VARS'!$C$50*($EI$8*0.5)+'LINEST VARS'!$B$50*($EI$8*$DV26)+'LINEST VARS'!$A$50*(0.5*$DV26)</f>
        <v>331.99999999999989</v>
      </c>
      <c r="EJ26" s="46">
        <f>'LINEST VARS'!$U$50+'LINEST VARS'!$T$50*(8)+'LINEST VARS'!$S$50*(8)+'LINEST VARS'!$R$50*($EJ$8)+'LINEST VARS'!$Q$50*(0.5)+'LINEST VARS'!$P$50*($DV26)+'LINEST VARS'!$O$50*(8^2)+'LINEST VARS'!$N$50*(8^2)+'LINEST VARS'!$M$50*($EJ$8^2)+'LINEST VARS'!$L$50*(0.5^2)+'LINEST VARS'!$K$50*($DV26^2)+'LINEST VARS'!$J$50*(8*8)+'LINEST VARS'!$I$50*(8*$EJ$8)+'LINEST VARS'!$H$50*(8*0.5)+'LINEST VARS'!$G$50*(8*$DV26)+'LINEST VARS'!$F$50*(8*$EJ$8)+'LINEST VARS'!$E$50*(8*0.5)+'LINEST VARS'!$D$50*(8*$DV26)+'LINEST VARS'!$C$50*($EJ$8*0.5)+'LINEST VARS'!$B$50*($EJ$8*$DV26)+'LINEST VARS'!$A$50*(0.5*$DV26)</f>
        <v>331.99999999999989</v>
      </c>
      <c r="EK26" s="46">
        <f>'LINEST VARS'!$U$50+'LINEST VARS'!$T$50*(8)+'LINEST VARS'!$S$50*(8)+'LINEST VARS'!$R$50*($EK$8)+'LINEST VARS'!$Q$50*(0.5)+'LINEST VARS'!$P$50*($DV26)+'LINEST VARS'!$O$50*(8^2)+'LINEST VARS'!$N$50*(8^2)+'LINEST VARS'!$M$50*($EK$8^2)+'LINEST VARS'!$L$50*(0.5^2)+'LINEST VARS'!$K$50*($DV26^2)+'LINEST VARS'!$J$50*(8*8)+'LINEST VARS'!$I$50*(8*$EK$8)+'LINEST VARS'!$H$50*(8*0.5)+'LINEST VARS'!$G$50*(8*$DV26)+'LINEST VARS'!$F$50*(8*$EK$8)+'LINEST VARS'!$E$50*(8*0.5)+'LINEST VARS'!$D$50*(8*$DV26)+'LINEST VARS'!$C$50*($EK$8*0.5)+'LINEST VARS'!$B$50*($EK$8*$DV26)+'LINEST VARS'!$A$50*(0.5*$DV26)</f>
        <v>331.99999999999989</v>
      </c>
      <c r="EL26" s="46">
        <f>'LINEST VARS'!$U$50+'LINEST VARS'!$T$50*(8)+'LINEST VARS'!$S$50*(8)+'LINEST VARS'!$R$50*($EL$8)+'LINEST VARS'!$Q$50*(0.5)+'LINEST VARS'!$P$50*($DV26)+'LINEST VARS'!$O$50*(8^2)+'LINEST VARS'!$N$50*(8^2)+'LINEST VARS'!$M$50*($EL$8^2)+'LINEST VARS'!$L$50*(0.5^2)+'LINEST VARS'!$K$50*($DV26^2)+'LINEST VARS'!$J$50*(8*8)+'LINEST VARS'!$I$50*(8*$EL$8)+'LINEST VARS'!$H$50*(8*0.5)+'LINEST VARS'!$G$50*(8*$DV26)+'LINEST VARS'!$F$50*(8*$EL$8)+'LINEST VARS'!$E$50*(8*0.5)+'LINEST VARS'!$D$50*(8*$DV26)+'LINEST VARS'!$C$50*($EL$8*0.5)+'LINEST VARS'!$B$50*($EL$8*$DV26)+'LINEST VARS'!$A$50*(0.5*$DV26)</f>
        <v>331.99999999999989</v>
      </c>
      <c r="EM26" s="46">
        <f>'LINEST VARS'!$U$50+'LINEST VARS'!$T$50*(8)+'LINEST VARS'!$S$50*(8)+'LINEST VARS'!$R$50*($EM$8)+'LINEST VARS'!$Q$50*(0.5)+'LINEST VARS'!$P$50*($DV26)+'LINEST VARS'!$O$50*(8^2)+'LINEST VARS'!$N$50*(8^2)+'LINEST VARS'!$M$50*($EM$8^2)+'LINEST VARS'!$L$50*(0.5^2)+'LINEST VARS'!$K$50*($DV26^2)+'LINEST VARS'!$J$50*(8*8)+'LINEST VARS'!$I$50*(8*$EM$8)+'LINEST VARS'!$H$50*(8*0.5)+'LINEST VARS'!$G$50*(8*$DV26)+'LINEST VARS'!$F$50*(8*$EM$8)+'LINEST VARS'!$E$50*(8*0.5)+'LINEST VARS'!$D$50*(8*$DV26)+'LINEST VARS'!$C$50*($EM$8*0.5)+'LINEST VARS'!$B$50*($EM$8*$DV26)+'LINEST VARS'!$A$50*(0.5*$DV26)</f>
        <v>331.99999999999989</v>
      </c>
      <c r="EN26" s="46">
        <f>'LINEST VARS'!$U$50+'LINEST VARS'!$T$50*(8)+'LINEST VARS'!$S$50*(8)+'LINEST VARS'!$R$50*($EN$8)+'LINEST VARS'!$Q$50*(0.5)+'LINEST VARS'!$P$50*($DV26)+'LINEST VARS'!$O$50*(8^2)+'LINEST VARS'!$N$50*(8^2)+'LINEST VARS'!$M$50*($EN$8^2)+'LINEST VARS'!$L$50*(0.5^2)+'LINEST VARS'!$K$50*($DV26^2)+'LINEST VARS'!$J$50*(8*8)+'LINEST VARS'!$I$50*(8*$EN$8)+'LINEST VARS'!$H$50*(8*0.5)+'LINEST VARS'!$G$50*(8*$DV26)+'LINEST VARS'!$F$50*(8*$EN$8)+'LINEST VARS'!$E$50*(8*0.5)+'LINEST VARS'!$D$50*(8*$DV26)+'LINEST VARS'!$C$50*($EN$8*0.5)+'LINEST VARS'!$B$50*($EN$8*$DV26)+'LINEST VARS'!$A$50*(0.5*$DV26)</f>
        <v>331.99999999999989</v>
      </c>
      <c r="EO26" s="46">
        <f>'LINEST VARS'!$U$50+'LINEST VARS'!$T$50*(8)+'LINEST VARS'!$S$50*(8)+'LINEST VARS'!$R$50*($EO$8)+'LINEST VARS'!$Q$50*(0.5)+'LINEST VARS'!$P$50*($DV26)+'LINEST VARS'!$O$50*(8^2)+'LINEST VARS'!$N$50*(8^2)+'LINEST VARS'!$M$50*($EO$8^2)+'LINEST VARS'!$L$50*(0.5^2)+'LINEST VARS'!$K$50*($DV26^2)+'LINEST VARS'!$J$50*(8*8)+'LINEST VARS'!$I$50*(8*$EO$8)+'LINEST VARS'!$H$50*(8*0.5)+'LINEST VARS'!$G$50*(8*$DV26)+'LINEST VARS'!$F$50*(8*$EO$8)+'LINEST VARS'!$E$50*(8*0.5)+'LINEST VARS'!$D$50*(8*$DV26)+'LINEST VARS'!$C$50*($EO$8*0.5)+'LINEST VARS'!$B$50*($EO$8*$DV26)+'LINEST VARS'!$A$50*(0.5*$DV26)</f>
        <v>331.99999999999989</v>
      </c>
      <c r="EP26" s="46">
        <f>'LINEST VARS'!$U$50+'LINEST VARS'!$T$50*(8)+'LINEST VARS'!$S$50*(8)+'LINEST VARS'!$R$50*($EP$8)+'LINEST VARS'!$Q$50*(0.5)+'LINEST VARS'!$P$50*($DV26)+'LINEST VARS'!$O$50*(8^2)+'LINEST VARS'!$N$50*(8^2)+'LINEST VARS'!$M$50*($EP$8^2)+'LINEST VARS'!$L$50*(0.5^2)+'LINEST VARS'!$K$50*($DV26^2)+'LINEST VARS'!$J$50*(8*8)+'LINEST VARS'!$I$50*(8*$EP$8)+'LINEST VARS'!$H$50*(8*0.5)+'LINEST VARS'!$G$50*(8*$DV26)+'LINEST VARS'!$F$50*(8*$EP$8)+'LINEST VARS'!$E$50*(8*0.5)+'LINEST VARS'!$D$50*(8*$DV26)+'LINEST VARS'!$C$50*($EP$8*0.5)+'LINEST VARS'!$B$50*($EP$8*$DV26)+'LINEST VARS'!$A$50*(0.5*$DV26)</f>
        <v>331.99999999999989</v>
      </c>
      <c r="EQ26" s="47">
        <f>'LINEST VARS'!$U$50+'LINEST VARS'!$T$50*(8)+'LINEST VARS'!$S$50*(8)+'LINEST VARS'!$R$50*($EQ$8)+'LINEST VARS'!$Q$50*(0.5)+'LINEST VARS'!$P$50*($DV26)+'LINEST VARS'!$O$50*(8^2)+'LINEST VARS'!$N$50*(8^2)+'LINEST VARS'!$M$50*($EQ$8^2)+'LINEST VARS'!$L$50*(0.5^2)+'LINEST VARS'!$K$50*($DV26^2)+'LINEST VARS'!$J$50*(8*8)+'LINEST VARS'!$I$50*(8*$EQ$8)+'LINEST VARS'!$H$50*(8*0.5)+'LINEST VARS'!$G$50*(8*$DV26)+'LINEST VARS'!$F$50*(8*$EQ$8)+'LINEST VARS'!$E$50*(8*0.5)+'LINEST VARS'!$D$50*(8*$DV26)+'LINEST VARS'!$C$50*($EQ$8*0.5)+'LINEST VARS'!$B$50*($EQ$8*$DV26)+'LINEST VARS'!$A$50*(0.5*$DV26)</f>
        <v>331.99999999999989</v>
      </c>
    </row>
    <row r="27" spans="2:147" ht="15" customHeight="1" x14ac:dyDescent="0.25">
      <c r="B27" s="45">
        <v>8.48</v>
      </c>
      <c r="C27" s="46">
        <f>'LINEST VARS'!$U$48+'LINEST VARS'!$T$48*($C$8)+'LINEST VARS'!$S$48*($B27)+'LINEST VARS'!$R$48*(4)+'LINEST VARS'!$Q$48*(0.5)+'LINEST VARS'!$P$48*(12.73)+'LINEST VARS'!$O$48*($C$8^2)+'LINEST VARS'!$N$48*($B27^2)+'LINEST VARS'!$M$48*(4^2)+'LINEST VARS'!$L$48*(0.5^2)+'LINEST VARS'!$K$48*(12.73^2)+'LINEST VARS'!$J$48*($C$8*$B27)+'LINEST VARS'!$I$48*($C$8*4)+'LINEST VARS'!$H$48*($C$8*0.5)+'LINEST VARS'!$G$48*($C$8*12.73)+'LINEST VARS'!$F$48*($B27*4)+'LINEST VARS'!$E$48*($B27*0.5)+'LINEST VARS'!$D$48*($B27*12.73)+'LINEST VARS'!$C$48*(4*0.5)+'LINEST VARS'!$B$48*(4*12.73)+'LINEST VARS'!$A$48*(0.5*12.73)</f>
        <v>324.03999999999985</v>
      </c>
      <c r="D27" s="46">
        <f>'LINEST VARS'!$U$48+'LINEST VARS'!$T$48*($D$8)+'LINEST VARS'!$S$48*($B27)+'LINEST VARS'!$R$48*(4)+'LINEST VARS'!$Q$48*(0.5)+'LINEST VARS'!$P$48*(12.73)+'LINEST VARS'!$O$48*($D$8^2)+'LINEST VARS'!$N$48*($B27^2)+'LINEST VARS'!$M$48*(4^2)+'LINEST VARS'!$L$48*(0.5^2)+'LINEST VARS'!$K$48*(12.73^2)+'LINEST VARS'!$J$48*($D$8*$B27)+'LINEST VARS'!$I$48*($D$8*4)+'LINEST VARS'!$H$48*($D$8*0.5)+'LINEST VARS'!$G$48*($D$8*12.73)+'LINEST VARS'!$F$48*($B27*4)+'LINEST VARS'!$E$48*($B27*0.5)+'LINEST VARS'!$D$48*($B27*12.73)+'LINEST VARS'!$C$48*(4*0.5)+'LINEST VARS'!$B$48*(4*12.73)+'LINEST VARS'!$A$48*(0.5*12.73)</f>
        <v>328.61799999999988</v>
      </c>
      <c r="E27" s="46">
        <f>'LINEST VARS'!$U$48+'LINEST VARS'!$T$48*($E$8)+'LINEST VARS'!$S$48*($B27)+'LINEST VARS'!$R$48*(4)+'LINEST VARS'!$Q$48*(0.5)+'LINEST VARS'!$P$48*(12.73)+'LINEST VARS'!$O$48*($E$8^2)+'LINEST VARS'!$N$48*($B27^2)+'LINEST VARS'!$M$48*(4^2)+'LINEST VARS'!$L$48*(0.5^2)+'LINEST VARS'!$K$48*(12.73^2)+'LINEST VARS'!$J$48*($E$8*$B27)+'LINEST VARS'!$I$48*($E$8*4)+'LINEST VARS'!$H$48*($E$8*0.5)+'LINEST VARS'!$G$48*($E$8*12.73)+'LINEST VARS'!$F$48*($B27*4)+'LINEST VARS'!$E$48*($B27*0.5)+'LINEST VARS'!$D$48*($B27*12.73)+'LINEST VARS'!$C$48*(4*0.5)+'LINEST VARS'!$B$48*(4*12.73)+'LINEST VARS'!$A$48*(0.5*12.73)</f>
        <v>333.23199999999986</v>
      </c>
      <c r="F27" s="46">
        <f>'LINEST VARS'!$U$48+'LINEST VARS'!$T$48*($F$8)+'LINEST VARS'!$S$48*($B27)+'LINEST VARS'!$R$48*(4)+'LINEST VARS'!$Q$48*(0.5)+'LINEST VARS'!$P$48*(12.73)+'LINEST VARS'!$O$48*($F$8^2)+'LINEST VARS'!$N$48*($B27^2)+'LINEST VARS'!$M$48*(4^2)+'LINEST VARS'!$L$48*(0.5^2)+'LINEST VARS'!$K$48*(12.73^2)+'LINEST VARS'!$J$48*($F$8*$B27)+'LINEST VARS'!$I$48*($F$8*4)+'LINEST VARS'!$H$48*($F$8*0.5)+'LINEST VARS'!$G$48*($F$8*12.73)+'LINEST VARS'!$F$48*($B27*4)+'LINEST VARS'!$E$48*($B27*0.5)+'LINEST VARS'!$D$48*($B27*12.73)+'LINEST VARS'!$C$48*(4*0.5)+'LINEST VARS'!$B$48*(4*12.73)+'LINEST VARS'!$A$48*(0.5*12.73)</f>
        <v>337.88199999999989</v>
      </c>
      <c r="G27" s="46">
        <f>'LINEST VARS'!$U$48+'LINEST VARS'!$T$48*($G$8)+'LINEST VARS'!$S$48*($B27)+'LINEST VARS'!$R$48*(4)+'LINEST VARS'!$Q$48*(0.5)+'LINEST VARS'!$P$48*(12.73)+'LINEST VARS'!$O$48*($G$8^2)+'LINEST VARS'!$N$48*($B27^2)+'LINEST VARS'!$M$48*(4^2)+'LINEST VARS'!$L$48*(0.5^2)+'LINEST VARS'!$K$48*(12.73^2)+'LINEST VARS'!$J$48*($G$8*$B27)+'LINEST VARS'!$I$48*($G$8*4)+'LINEST VARS'!$H$48*($G$8*0.5)+'LINEST VARS'!$G$48*($G$8*12.73)+'LINEST VARS'!$F$48*($B27*4)+'LINEST VARS'!$E$48*($B27*0.5)+'LINEST VARS'!$D$48*($B27*12.73)+'LINEST VARS'!$C$48*(4*0.5)+'LINEST VARS'!$B$48*(4*12.73)+'LINEST VARS'!$A$48*(0.5*12.73)</f>
        <v>342.56799999999993</v>
      </c>
      <c r="H27" s="46">
        <f>'LINEST VARS'!$U$48+'LINEST VARS'!$T$48*($H$8)+'LINEST VARS'!$S$48*($B27)+'LINEST VARS'!$R$48*(4)+'LINEST VARS'!$Q$48*(0.5)+'LINEST VARS'!$P$48*(12.73)+'LINEST VARS'!$O$48*($H$8^2)+'LINEST VARS'!$N$48*($B27^2)+'LINEST VARS'!$M$48*(4^2)+'LINEST VARS'!$L$48*(0.5^2)+'LINEST VARS'!$K$48*(12.73^2)+'LINEST VARS'!$J$48*($H$8*$B27)+'LINEST VARS'!$I$48*($H$8*4)+'LINEST VARS'!$H$48*($H$8*0.5)+'LINEST VARS'!$G$48*($H$8*12.73)+'LINEST VARS'!$F$48*($B27*4)+'LINEST VARS'!$E$48*($B27*0.5)+'LINEST VARS'!$D$48*($B27*12.73)+'LINEST VARS'!$C$48*(4*0.5)+'LINEST VARS'!$B$48*(4*12.73)+'LINEST VARS'!$A$48*(0.5*12.73)</f>
        <v>347.28999999999996</v>
      </c>
      <c r="I27" s="46">
        <f>'LINEST VARS'!$U$48+'LINEST VARS'!$T$48*($I$8)+'LINEST VARS'!$S$48*($B27)+'LINEST VARS'!$R$48*(4)+'LINEST VARS'!$Q$48*(0.5)+'LINEST VARS'!$P$48*(12.73)+'LINEST VARS'!$O$48*($I$8^2)+'LINEST VARS'!$N$48*($B27^2)+'LINEST VARS'!$M$48*(4^2)+'LINEST VARS'!$L$48*(0.5^2)+'LINEST VARS'!$K$48*(12.73^2)+'LINEST VARS'!$J$48*($I$8*$B27)+'LINEST VARS'!$I$48*($I$8*4)+'LINEST VARS'!$H$48*($I$8*0.5)+'LINEST VARS'!$G$48*($I$8*12.73)+'LINEST VARS'!$F$48*($B27*4)+'LINEST VARS'!$E$48*($B27*0.5)+'LINEST VARS'!$D$48*($B27*12.73)+'LINEST VARS'!$C$48*(4*0.5)+'LINEST VARS'!$B$48*(4*12.73)+'LINEST VARS'!$A$48*(0.5*12.73)</f>
        <v>352.04799999999989</v>
      </c>
      <c r="J27" s="46">
        <f>'LINEST VARS'!$U$48+'LINEST VARS'!$T$48*($J$8)+'LINEST VARS'!$S$48*($B27)+'LINEST VARS'!$R$48*(4)+'LINEST VARS'!$Q$48*(0.5)+'LINEST VARS'!$P$48*(12.73)+'LINEST VARS'!$O$48*($J$8^2)+'LINEST VARS'!$N$48*($B27^2)+'LINEST VARS'!$M$48*(4^2)+'LINEST VARS'!$L$48*(0.5^2)+'LINEST VARS'!$K$48*(12.73^2)+'LINEST VARS'!$J$48*($J$8*$B27)+'LINEST VARS'!$I$48*($J$8*4)+'LINEST VARS'!$H$48*($J$8*0.5)+'LINEST VARS'!$G$48*($J$8*12.73)+'LINEST VARS'!$F$48*($B27*4)+'LINEST VARS'!$E$48*($B27*0.5)+'LINEST VARS'!$D$48*($B27*12.73)+'LINEST VARS'!$C$48*(4*0.5)+'LINEST VARS'!$B$48*(4*12.73)+'LINEST VARS'!$A$48*(0.5*12.73)</f>
        <v>356.84199999999987</v>
      </c>
      <c r="K27" s="46">
        <f>'LINEST VARS'!$U$48+'LINEST VARS'!$T$48*($K$8)+'LINEST VARS'!$S$48*($B27)+'LINEST VARS'!$R$48*(4)+'LINEST VARS'!$Q$48*(0.5)+'LINEST VARS'!$P$48*(12.73)+'LINEST VARS'!$O$48*($K$8^2)+'LINEST VARS'!$N$48*($B27^2)+'LINEST VARS'!$M$48*(4^2)+'LINEST VARS'!$L$48*(0.5^2)+'LINEST VARS'!$K$48*(12.73^2)+'LINEST VARS'!$J$48*($K$8*$B27)+'LINEST VARS'!$I$48*($K$8*4)+'LINEST VARS'!$H$48*($K$8*0.5)+'LINEST VARS'!$G$48*($K$8*12.73)+'LINEST VARS'!$F$48*($B27*4)+'LINEST VARS'!$E$48*($B27*0.5)+'LINEST VARS'!$D$48*($B27*12.73)+'LINEST VARS'!$C$48*(4*0.5)+'LINEST VARS'!$B$48*(4*12.73)+'LINEST VARS'!$A$48*(0.5*12.73)</f>
        <v>361.67199999999991</v>
      </c>
      <c r="L27" s="46">
        <f>'LINEST VARS'!$U$48+'LINEST VARS'!$T$48*($L$8)+'LINEST VARS'!$S$48*($B27)+'LINEST VARS'!$R$48*(4)+'LINEST VARS'!$Q$48*(0.5)+'LINEST VARS'!$P$48*(12.73)+'LINEST VARS'!$O$48*($L$8^2)+'LINEST VARS'!$N$48*($B27^2)+'LINEST VARS'!$M$48*(4^2)+'LINEST VARS'!$L$48*(0.5^2)+'LINEST VARS'!$K$48*(12.73^2)+'LINEST VARS'!$J$48*($L$8*$B27)+'LINEST VARS'!$I$48*($L$8*4)+'LINEST VARS'!$H$48*($L$8*0.5)+'LINEST VARS'!$G$48*($L$8*12.73)+'LINEST VARS'!$F$48*($B27*4)+'LINEST VARS'!$E$48*($B27*0.5)+'LINEST VARS'!$D$48*($B27*12.73)+'LINEST VARS'!$C$48*(4*0.5)+'LINEST VARS'!$B$48*(4*12.73)+'LINEST VARS'!$A$48*(0.5*12.73)</f>
        <v>366.5379999999999</v>
      </c>
      <c r="M27" s="46">
        <f>'LINEST VARS'!$U$48+'LINEST VARS'!$T$48*($M$8)+'LINEST VARS'!$S$48*($B27)+'LINEST VARS'!$R$48*(4)+'LINEST VARS'!$Q$48*(0.5)+'LINEST VARS'!$P$48*(12.73)+'LINEST VARS'!$O$48*($M$8^2)+'LINEST VARS'!$N$48*($B27^2)+'LINEST VARS'!$M$48*(4^2)+'LINEST VARS'!$L$48*(0.5^2)+'LINEST VARS'!$K$48*(12.73^2)+'LINEST VARS'!$J$48*($M$8*$B27)+'LINEST VARS'!$I$48*($M$8*4)+'LINEST VARS'!$H$48*($M$8*0.5)+'LINEST VARS'!$G$48*($M$8*12.73)+'LINEST VARS'!$F$48*($B27*4)+'LINEST VARS'!$E$48*($B27*0.5)+'LINEST VARS'!$D$48*($B27*12.73)+'LINEST VARS'!$C$48*(4*0.5)+'LINEST VARS'!$B$48*(4*12.73)+'LINEST VARS'!$A$48*(0.5*12.73)</f>
        <v>371.43999999999983</v>
      </c>
      <c r="N27" s="46">
        <f>'LINEST VARS'!$U$48+'LINEST VARS'!$T$48*($N$8)+'LINEST VARS'!$S$48*($B27)+'LINEST VARS'!$R$48*(4)+'LINEST VARS'!$Q$48*(0.5)+'LINEST VARS'!$P$48*(12.73)+'LINEST VARS'!$O$48*($N$8^2)+'LINEST VARS'!$N$48*($B27^2)+'LINEST VARS'!$M$48*(4^2)+'LINEST VARS'!$L$48*(0.5^2)+'LINEST VARS'!$K$48*(12.73^2)+'LINEST VARS'!$J$48*($N$8*$B27)+'LINEST VARS'!$I$48*($N$8*4)+'LINEST VARS'!$H$48*($N$8*0.5)+'LINEST VARS'!$G$48*($N$8*12.73)+'LINEST VARS'!$F$48*($B27*4)+'LINEST VARS'!$E$48*($B27*0.5)+'LINEST VARS'!$D$48*($B27*12.73)+'LINEST VARS'!$C$48*(4*0.5)+'LINEST VARS'!$B$48*(4*12.73)+'LINEST VARS'!$A$48*(0.5*12.73)</f>
        <v>376.37799999999987</v>
      </c>
      <c r="O27" s="46">
        <f>'LINEST VARS'!$U$48+'LINEST VARS'!$T$48*($O$8)+'LINEST VARS'!$S$48*($B27)+'LINEST VARS'!$R$48*(4)+'LINEST VARS'!$Q$48*(0.5)+'LINEST VARS'!$P$48*(12.73)+'LINEST VARS'!$O$48*($O$8^2)+'LINEST VARS'!$N$48*($B27^2)+'LINEST VARS'!$M$48*(4^2)+'LINEST VARS'!$L$48*(0.5^2)+'LINEST VARS'!$K$48*(12.73^2)+'LINEST VARS'!$J$48*($O$8*$B27)+'LINEST VARS'!$I$48*($O$8*4)+'LINEST VARS'!$H$48*($O$8*0.5)+'LINEST VARS'!$G$48*($O$8*12.73)+'LINEST VARS'!$F$48*($B27*4)+'LINEST VARS'!$E$48*($B27*0.5)+'LINEST VARS'!$D$48*($B27*12.73)+'LINEST VARS'!$C$48*(4*0.5)+'LINEST VARS'!$B$48*(4*12.73)+'LINEST VARS'!$A$48*(0.5*12.73)</f>
        <v>381.3519999999998</v>
      </c>
      <c r="P27" s="46">
        <f>'LINEST VARS'!$U$48+'LINEST VARS'!$T$48*($P$8)+'LINEST VARS'!$S$48*($B27)+'LINEST VARS'!$R$48*(4)+'LINEST VARS'!$Q$48*(0.5)+'LINEST VARS'!$P$48*(12.73)+'LINEST VARS'!$O$48*($P$8^2)+'LINEST VARS'!$N$48*($B27^2)+'LINEST VARS'!$M$48*(4^2)+'LINEST VARS'!$L$48*(0.5^2)+'LINEST VARS'!$K$48*(12.73^2)+'LINEST VARS'!$J$48*($P$8*$B27)+'LINEST VARS'!$I$48*($P$8*4)+'LINEST VARS'!$H$48*($P$8*0.5)+'LINEST VARS'!$G$48*($P$8*12.73)+'LINEST VARS'!$F$48*($B27*4)+'LINEST VARS'!$E$48*($B27*0.5)+'LINEST VARS'!$D$48*($B27*12.73)+'LINEST VARS'!$C$48*(4*0.5)+'LINEST VARS'!$B$48*(4*12.73)+'LINEST VARS'!$A$48*(0.5*12.73)</f>
        <v>386.3619999999998</v>
      </c>
      <c r="Q27" s="46">
        <f>'LINEST VARS'!$U$48+'LINEST VARS'!$T$48*($Q$8)+'LINEST VARS'!$S$48*($B27)+'LINEST VARS'!$R$48*(4)+'LINEST VARS'!$Q$48*(0.5)+'LINEST VARS'!$P$48*(12.73)+'LINEST VARS'!$O$48*($Q$8^2)+'LINEST VARS'!$N$48*($B27^2)+'LINEST VARS'!$M$48*(4^2)+'LINEST VARS'!$L$48*(0.5^2)+'LINEST VARS'!$K$48*(12.73^2)+'LINEST VARS'!$J$48*($Q$8*$B27)+'LINEST VARS'!$I$48*($Q$8*4)+'LINEST VARS'!$H$48*($Q$8*0.5)+'LINEST VARS'!$G$48*($Q$8*12.73)+'LINEST VARS'!$F$48*($B27*4)+'LINEST VARS'!$E$48*($B27*0.5)+'LINEST VARS'!$D$48*($B27*12.73)+'LINEST VARS'!$C$48*(4*0.5)+'LINEST VARS'!$B$48*(4*12.73)+'LINEST VARS'!$A$48*(0.5*12.73)</f>
        <v>391.40799999999984</v>
      </c>
      <c r="R27" s="46">
        <f>'LINEST VARS'!$U$48+'LINEST VARS'!$T$48*($R$8)+'LINEST VARS'!$S$48*($B27)+'LINEST VARS'!$R$48*(4)+'LINEST VARS'!$Q$48*(0.5)+'LINEST VARS'!$P$48*(12.73)+'LINEST VARS'!$O$48*($R$8^2)+'LINEST VARS'!$N$48*($B27^2)+'LINEST VARS'!$M$48*(4^2)+'LINEST VARS'!$L$48*(0.5^2)+'LINEST VARS'!$K$48*(12.73^2)+'LINEST VARS'!$J$48*($R$8*$B27)+'LINEST VARS'!$I$48*($R$8*4)+'LINEST VARS'!$H$48*($R$8*0.5)+'LINEST VARS'!$G$48*($R$8*12.73)+'LINEST VARS'!$F$48*($B27*4)+'LINEST VARS'!$E$48*($B27*0.5)+'LINEST VARS'!$D$48*($B27*12.73)+'LINEST VARS'!$C$48*(4*0.5)+'LINEST VARS'!$B$48*(4*12.73)+'LINEST VARS'!$A$48*(0.5*12.73)</f>
        <v>396.4899999999999</v>
      </c>
      <c r="S27" s="46">
        <f>'LINEST VARS'!$U$48+'LINEST VARS'!$T$48*($S$8)+'LINEST VARS'!$S$48*($B27)+'LINEST VARS'!$R$48*(4)+'LINEST VARS'!$Q$48*(0.5)+'LINEST VARS'!$P$48*(12.73)+'LINEST VARS'!$O$48*($S$8^2)+'LINEST VARS'!$N$48*($B27^2)+'LINEST VARS'!$M$48*(4^2)+'LINEST VARS'!$L$48*(0.5^2)+'LINEST VARS'!$K$48*(12.73^2)+'LINEST VARS'!$J$48*($S$8*$B27)+'LINEST VARS'!$I$48*($S$8*4)+'LINEST VARS'!$H$48*($S$8*0.5)+'LINEST VARS'!$G$48*($S$8*12.73)+'LINEST VARS'!$F$48*($B27*4)+'LINEST VARS'!$E$48*($B27*0.5)+'LINEST VARS'!$D$48*($B27*12.73)+'LINEST VARS'!$C$48*(4*0.5)+'LINEST VARS'!$B$48*(4*12.73)+'LINEST VARS'!$A$48*(0.5*12.73)</f>
        <v>401.60799999999978</v>
      </c>
      <c r="T27" s="46">
        <f>'LINEST VARS'!$U$48+'LINEST VARS'!$T$48*($T$8)+'LINEST VARS'!$S$48*($B27)+'LINEST VARS'!$R$48*(4)+'LINEST VARS'!$Q$48*(0.5)+'LINEST VARS'!$P$48*(12.73)+'LINEST VARS'!$O$48*($T$8^2)+'LINEST VARS'!$N$48*($B27^2)+'LINEST VARS'!$M$48*(4^2)+'LINEST VARS'!$L$48*(0.5^2)+'LINEST VARS'!$K$48*(12.73^2)+'LINEST VARS'!$J$48*($T$8*$B27)+'LINEST VARS'!$I$48*($T$8*4)+'LINEST VARS'!$H$48*($T$8*0.5)+'LINEST VARS'!$G$48*($T$8*12.73)+'LINEST VARS'!$F$48*($B27*4)+'LINEST VARS'!$E$48*($B27*0.5)+'LINEST VARS'!$D$48*($B27*12.73)+'LINEST VARS'!$C$48*(4*0.5)+'LINEST VARS'!$B$48*(4*12.73)+'LINEST VARS'!$A$48*(0.5*12.73)</f>
        <v>406.76199999999983</v>
      </c>
      <c r="U27" s="46">
        <f>'LINEST VARS'!$U$48+'LINEST VARS'!$T$48*($U$8)+'LINEST VARS'!$S$48*($B27)+'LINEST VARS'!$R$48*(4)+'LINEST VARS'!$Q$48*(0.5)+'LINEST VARS'!$P$48*(12.73)+'LINEST VARS'!$O$48*($U$8^2)+'LINEST VARS'!$N$48*($B27^2)+'LINEST VARS'!$M$48*(4^2)+'LINEST VARS'!$L$48*(0.5^2)+'LINEST VARS'!$K$48*(12.73^2)+'LINEST VARS'!$J$48*($U$8*$B27)+'LINEST VARS'!$I$48*($U$8*4)+'LINEST VARS'!$H$48*($U$8*0.5)+'LINEST VARS'!$G$48*($U$8*12.73)+'LINEST VARS'!$F$48*($B27*4)+'LINEST VARS'!$E$48*($B27*0.5)+'LINEST VARS'!$D$48*($B27*12.73)+'LINEST VARS'!$C$48*(4*0.5)+'LINEST VARS'!$B$48*(4*12.73)+'LINEST VARS'!$A$48*(0.5*12.73)</f>
        <v>411.95199999999988</v>
      </c>
      <c r="V27" s="46">
        <f>'LINEST VARS'!$U$48+'LINEST VARS'!$T$48*($V$8)+'LINEST VARS'!$S$48*($B27)+'LINEST VARS'!$R$48*(4)+'LINEST VARS'!$Q$48*(0.5)+'LINEST VARS'!$P$48*(12.73)+'LINEST VARS'!$O$48*($V$8^2)+'LINEST VARS'!$N$48*($B27^2)+'LINEST VARS'!$M$48*(4^2)+'LINEST VARS'!$L$48*(0.5^2)+'LINEST VARS'!$K$48*(12.73^2)+'LINEST VARS'!$J$48*($V$8*$B27)+'LINEST VARS'!$I$48*($V$8*4)+'LINEST VARS'!$H$48*($V$8*0.5)+'LINEST VARS'!$G$48*($V$8*12.73)+'LINEST VARS'!$F$48*($B27*4)+'LINEST VARS'!$E$48*($B27*0.5)+'LINEST VARS'!$D$48*($B27*12.73)+'LINEST VARS'!$C$48*(4*0.5)+'LINEST VARS'!$B$48*(4*12.73)+'LINEST VARS'!$A$48*(0.5*12.73)</f>
        <v>417.17799999999983</v>
      </c>
      <c r="W27" s="47">
        <f>'LINEST VARS'!$U$48+'LINEST VARS'!$T$48*($W$8)+'LINEST VARS'!$S$48*($B27)+'LINEST VARS'!$R$48*(4)+'LINEST VARS'!$Q$48*(0.5)+'LINEST VARS'!$P$48*(12.73)+'LINEST VARS'!$O$48*($W$8^2)+'LINEST VARS'!$N$48*($B27^2)+'LINEST VARS'!$M$48*(4^2)+'LINEST VARS'!$L$48*(0.5^2)+'LINEST VARS'!$K$48*(12.73^2)+'LINEST VARS'!$J$48*($W$8*$B27)+'LINEST VARS'!$I$48*($W$8*4)+'LINEST VARS'!$H$48*($W$8*0.5)+'LINEST VARS'!$G$48*($W$8*12.73)+'LINEST VARS'!$F$48*($B27*4)+'LINEST VARS'!$E$48*($B27*0.5)+'LINEST VARS'!$D$48*($B27*12.73)+'LINEST VARS'!$C$48*(4*0.5)+'LINEST VARS'!$B$48*(4*12.73)+'LINEST VARS'!$A$48*(0.5*12.73)</f>
        <v>422.43999999999983</v>
      </c>
      <c r="Z27" s="45">
        <v>8.48</v>
      </c>
      <c r="AA27" s="46">
        <f>'LINEST VARS'!$U$50+'LINEST VARS'!$T$50*($AA$8)+'LINEST VARS'!$S$50*($Z27)+'LINEST VARS'!$R$50*(4)+'LINEST VARS'!$Q$50*(0.5)+'LINEST VARS'!$P$50*(12.73)+'LINEST VARS'!$O$50*($AA$8^2)+'LINEST VARS'!$N$50*($Z27^2)+'LINEST VARS'!$M$50*(4^2)+'LINEST VARS'!$L$50*(0.5^2)+'LINEST VARS'!$K$50*(12.73^2)+'LINEST VARS'!$J$50*($AA$8*$Z27)+'LINEST VARS'!$I$50*($AA$8*4)+'LINEST VARS'!$H$50*($AA$8*0.5)+'LINEST VARS'!$G$50*($AA$8*12.73)+'LINEST VARS'!$F$50*($Z27*4)+'LINEST VARS'!$E$50*($Z27*0.5)+'LINEST VARS'!$D$50*($Z27*12.73)+'LINEST VARS'!$C$50*(4*0.5)+'LINEST VARS'!$B$50*(4*12.73)+'LINEST VARS'!$A$50*(0.5*12.73)</f>
        <v>332.2999999999999</v>
      </c>
      <c r="AB27" s="46">
        <f>'LINEST VARS'!$U$50+'LINEST VARS'!$T$50*($AB$8)+'LINEST VARS'!$S$50*($Z27)+'LINEST VARS'!$R$50*(4)+'LINEST VARS'!$Q$50*(0.5)+'LINEST VARS'!$P$50*(12.73)+'LINEST VARS'!$O$50*($AB$8^2)+'LINEST VARS'!$N$50*($Z27^2)+'LINEST VARS'!$M$50*(4^2)+'LINEST VARS'!$L$50*(0.5^2)+'LINEST VARS'!$K$50*(12.73^2)+'LINEST VARS'!$J$50*($AB$8*$Z27)+'LINEST VARS'!$I$50*($AB$8*4)+'LINEST VARS'!$H$50*($AB$8*0.5)+'LINEST VARS'!$G$50*($AB$8*12.73)+'LINEST VARS'!$F$50*($Z27*4)+'LINEST VARS'!$E$50*($Z27*0.5)+'LINEST VARS'!$D$50*($Z27*12.73)+'LINEST VARS'!$C$50*(4*0.5)+'LINEST VARS'!$B$50*(4*12.73)+'LINEST VARS'!$A$50*(0.5*12.73)</f>
        <v>332.38999999999987</v>
      </c>
      <c r="AC27" s="46">
        <f>'LINEST VARS'!$U$50+'LINEST VARS'!$T$50*($AC$8)+'LINEST VARS'!$S$50*($Z27)+'LINEST VARS'!$R$50*(4)+'LINEST VARS'!$Q$50*(0.5)+'LINEST VARS'!$P$50*(12.73)+'LINEST VARS'!$O$50*($AC$8^2)+'LINEST VARS'!$N$50*($Z27^2)+'LINEST VARS'!$M$50*(4^2)+'LINEST VARS'!$L$50*(0.5^2)+'LINEST VARS'!$K$50*(12.73^2)+'LINEST VARS'!$J$50*($AC$8*$Z27)+'LINEST VARS'!$I$50*($AC$8*4)+'LINEST VARS'!$H$50*($AC$8*0.5)+'LINEST VARS'!$G$50*($AC$8*12.73)+'LINEST VARS'!$F$50*($Z27*4)+'LINEST VARS'!$E$50*($Z27*0.5)+'LINEST VARS'!$D$50*($Z27*12.73)+'LINEST VARS'!$C$50*(4*0.5)+'LINEST VARS'!$B$50*(4*12.73)+'LINEST VARS'!$A$50*(0.5*12.73)</f>
        <v>332.4799999999999</v>
      </c>
      <c r="AD27" s="46">
        <f>'LINEST VARS'!$U$50+'LINEST VARS'!$T$50*($AD$8)+'LINEST VARS'!$S$50*($Z27)+'LINEST VARS'!$R$50*(4)+'LINEST VARS'!$Q$50*(0.5)+'LINEST VARS'!$P$50*(12.73)+'LINEST VARS'!$O$50*($AD$8^2)+'LINEST VARS'!$N$50*($Z27^2)+'LINEST VARS'!$M$50*(4^2)+'LINEST VARS'!$L$50*(0.5^2)+'LINEST VARS'!$K$50*(12.73^2)+'LINEST VARS'!$J$50*($AD$8*$Z27)+'LINEST VARS'!$I$50*($AD$8*4)+'LINEST VARS'!$H$50*($AD$8*0.5)+'LINEST VARS'!$G$50*($AD$8*12.73)+'LINEST VARS'!$F$50*($Z27*4)+'LINEST VARS'!$E$50*($Z27*0.5)+'LINEST VARS'!$D$50*($Z27*12.73)+'LINEST VARS'!$C$50*(4*0.5)+'LINEST VARS'!$B$50*(4*12.73)+'LINEST VARS'!$A$50*(0.5*12.73)</f>
        <v>332.56999999999988</v>
      </c>
      <c r="AE27" s="46">
        <f>'LINEST VARS'!$U$50+'LINEST VARS'!$T$50*($AE$8)+'LINEST VARS'!$S$50*($Z27)+'LINEST VARS'!$R$50*(4)+'LINEST VARS'!$Q$50*(0.5)+'LINEST VARS'!$P$50*(12.73)+'LINEST VARS'!$O$50*($AE$8^2)+'LINEST VARS'!$N$50*($Z27^2)+'LINEST VARS'!$M$50*(4^2)+'LINEST VARS'!$L$50*(0.5^2)+'LINEST VARS'!$K$50*(12.73^2)+'LINEST VARS'!$J$50*($AE$8*$Z27)+'LINEST VARS'!$I$50*($AE$8*4)+'LINEST VARS'!$H$50*($AE$8*0.5)+'LINEST VARS'!$G$50*($AE$8*12.73)+'LINEST VARS'!$F$50*($Z27*4)+'LINEST VARS'!$E$50*($Z27*0.5)+'LINEST VARS'!$D$50*($Z27*12.73)+'LINEST VARS'!$C$50*(4*0.5)+'LINEST VARS'!$B$50*(4*12.73)+'LINEST VARS'!$A$50*(0.5*12.73)</f>
        <v>332.65999999999985</v>
      </c>
      <c r="AF27" s="46">
        <f>'LINEST VARS'!$U$50+'LINEST VARS'!$T$50*($AF$8)+'LINEST VARS'!$S$50*($Z27)+'LINEST VARS'!$R$50*(4)+'LINEST VARS'!$Q$50*(0.5)+'LINEST VARS'!$P$50*(12.73)+'LINEST VARS'!$O$50*($AF$8^2)+'LINEST VARS'!$N$50*($Z27^2)+'LINEST VARS'!$M$50*(4^2)+'LINEST VARS'!$L$50*(0.5^2)+'LINEST VARS'!$K$50*(12.73^2)+'LINEST VARS'!$J$50*($AF$8*$Z27)+'LINEST VARS'!$I$50*($AF$8*4)+'LINEST VARS'!$H$50*($AF$8*0.5)+'LINEST VARS'!$G$50*($AF$8*12.73)+'LINEST VARS'!$F$50*($Z27*4)+'LINEST VARS'!$E$50*($Z27*0.5)+'LINEST VARS'!$D$50*($Z27*12.73)+'LINEST VARS'!$C$50*(4*0.5)+'LINEST VARS'!$B$50*(4*12.73)+'LINEST VARS'!$A$50*(0.5*12.73)</f>
        <v>332.74999999999989</v>
      </c>
      <c r="AG27" s="46">
        <f>'LINEST VARS'!$U$50+'LINEST VARS'!$T$50*($AG$8)+'LINEST VARS'!$S$50*($Z27)+'LINEST VARS'!$R$50*(4)+'LINEST VARS'!$Q$50*(0.5)+'LINEST VARS'!$P$50*(12.73)+'LINEST VARS'!$O$50*($AG$8^2)+'LINEST VARS'!$N$50*($Z27^2)+'LINEST VARS'!$M$50*(4^2)+'LINEST VARS'!$L$50*(0.5^2)+'LINEST VARS'!$K$50*(12.73^2)+'LINEST VARS'!$J$50*($AG$8*$Z27)+'LINEST VARS'!$I$50*($AG$8*4)+'LINEST VARS'!$H$50*($AG$8*0.5)+'LINEST VARS'!$G$50*($AG$8*12.73)+'LINEST VARS'!$F$50*($Z27*4)+'LINEST VARS'!$E$50*($Z27*0.5)+'LINEST VARS'!$D$50*($Z27*12.73)+'LINEST VARS'!$C$50*(4*0.5)+'LINEST VARS'!$B$50*(4*12.73)+'LINEST VARS'!$A$50*(0.5*12.73)</f>
        <v>332.83999999999986</v>
      </c>
      <c r="AH27" s="46">
        <f>'LINEST VARS'!$U$50+'LINEST VARS'!$T$50*($AH$8)+'LINEST VARS'!$S$50*($Z27)+'LINEST VARS'!$R$50*(4)+'LINEST VARS'!$Q$50*(0.5)+'LINEST VARS'!$P$50*(12.73)+'LINEST VARS'!$O$50*($AH$8^2)+'LINEST VARS'!$N$50*($Z27^2)+'LINEST VARS'!$M$50*(4^2)+'LINEST VARS'!$L$50*(0.5^2)+'LINEST VARS'!$K$50*(12.73^2)+'LINEST VARS'!$J$50*($AH$8*$Z27)+'LINEST VARS'!$I$50*($AH$8*4)+'LINEST VARS'!$H$50*($AH$8*0.5)+'LINEST VARS'!$G$50*($AH$8*12.73)+'LINEST VARS'!$F$50*($Z27*4)+'LINEST VARS'!$E$50*($Z27*0.5)+'LINEST VARS'!$D$50*($Z27*12.73)+'LINEST VARS'!$C$50*(4*0.5)+'LINEST VARS'!$B$50*(4*12.73)+'LINEST VARS'!$A$50*(0.5*12.73)</f>
        <v>332.92999999999989</v>
      </c>
      <c r="AI27" s="46">
        <f>'LINEST VARS'!$U$50+'LINEST VARS'!$T$50*($AI$8)+'LINEST VARS'!$S$50*($Z27)+'LINEST VARS'!$R$50*(4)+'LINEST VARS'!$Q$50*(0.5)+'LINEST VARS'!$P$50*(12.73)+'LINEST VARS'!$O$50*($AI$8^2)+'LINEST VARS'!$N$50*($Z27^2)+'LINEST VARS'!$M$50*(4^2)+'LINEST VARS'!$L$50*(0.5^2)+'LINEST VARS'!$K$50*(12.73^2)+'LINEST VARS'!$J$50*($AI$8*$Z27)+'LINEST VARS'!$I$50*($AI$8*4)+'LINEST VARS'!$H$50*($AI$8*0.5)+'LINEST VARS'!$G$50*($AI$8*12.73)+'LINEST VARS'!$F$50*($Z27*4)+'LINEST VARS'!$E$50*($Z27*0.5)+'LINEST VARS'!$D$50*($Z27*12.73)+'LINEST VARS'!$C$50*(4*0.5)+'LINEST VARS'!$B$50*(4*12.73)+'LINEST VARS'!$A$50*(0.5*12.73)</f>
        <v>333.01999999999987</v>
      </c>
      <c r="AJ27" s="46">
        <f>'LINEST VARS'!$U$50+'LINEST VARS'!$T$50*($AJ$8)+'LINEST VARS'!$S$50*($Z27)+'LINEST VARS'!$R$50*(4)+'LINEST VARS'!$Q$50*(0.5)+'LINEST VARS'!$P$50*(12.73)+'LINEST VARS'!$O$50*($AJ$8^2)+'LINEST VARS'!$N$50*($Z27^2)+'LINEST VARS'!$M$50*(4^2)+'LINEST VARS'!$L$50*(0.5^2)+'LINEST VARS'!$K$50*(12.73^2)+'LINEST VARS'!$J$50*($AJ$8*$Z27)+'LINEST VARS'!$I$50*($AJ$8*4)+'LINEST VARS'!$H$50*($AJ$8*0.5)+'LINEST VARS'!$G$50*($AJ$8*12.73)+'LINEST VARS'!$F$50*($Z27*4)+'LINEST VARS'!$E$50*($Z27*0.5)+'LINEST VARS'!$D$50*($Z27*12.73)+'LINEST VARS'!$C$50*(4*0.5)+'LINEST VARS'!$B$50*(4*12.73)+'LINEST VARS'!$A$50*(0.5*12.73)</f>
        <v>333.1099999999999</v>
      </c>
      <c r="AK27" s="46">
        <f>'LINEST VARS'!$U$50+'LINEST VARS'!$T$50*($AK$8)+'LINEST VARS'!$S$50*($Z27)+'LINEST VARS'!$R$50*(4)+'LINEST VARS'!$Q$50*(0.5)+'LINEST VARS'!$P$50*(12.73)+'LINEST VARS'!$O$50*($AK$8^2)+'LINEST VARS'!$N$50*($Z27^2)+'LINEST VARS'!$M$50*(4^2)+'LINEST VARS'!$L$50*(0.5^2)+'LINEST VARS'!$K$50*(12.73^2)+'LINEST VARS'!$J$50*($AK$8*$Z27)+'LINEST VARS'!$I$50*($AK$8*4)+'LINEST VARS'!$H$50*($AK$8*0.5)+'LINEST VARS'!$G$50*($AK$8*12.73)+'LINEST VARS'!$F$50*($Z27*4)+'LINEST VARS'!$E$50*($Z27*0.5)+'LINEST VARS'!$D$50*($Z27*12.73)+'LINEST VARS'!$C$50*(4*0.5)+'LINEST VARS'!$B$50*(4*12.73)+'LINEST VARS'!$A$50*(0.5*12.73)</f>
        <v>333.19999999999987</v>
      </c>
      <c r="AL27" s="46">
        <f>'LINEST VARS'!$U$50+'LINEST VARS'!$T$50*($AL$8)+'LINEST VARS'!$S$50*($Z27)+'LINEST VARS'!$R$50*(4)+'LINEST VARS'!$Q$50*(0.5)+'LINEST VARS'!$P$50*(12.73)+'LINEST VARS'!$O$50*($AL$8^2)+'LINEST VARS'!$N$50*($Z27^2)+'LINEST VARS'!$M$50*(4^2)+'LINEST VARS'!$L$50*(0.5^2)+'LINEST VARS'!$K$50*(12.73^2)+'LINEST VARS'!$J$50*($AL$8*$Z27)+'LINEST VARS'!$I$50*($AL$8*4)+'LINEST VARS'!$H$50*($AL$8*0.5)+'LINEST VARS'!$G$50*($AL$8*12.73)+'LINEST VARS'!$F$50*($Z27*4)+'LINEST VARS'!$E$50*($Z27*0.5)+'LINEST VARS'!$D$50*($Z27*12.73)+'LINEST VARS'!$C$50*(4*0.5)+'LINEST VARS'!$B$50*(4*12.73)+'LINEST VARS'!$A$50*(0.5*12.73)</f>
        <v>333.28999999999985</v>
      </c>
      <c r="AM27" s="46">
        <f>'LINEST VARS'!$U$50+'LINEST VARS'!$T$50*($AM$8)+'LINEST VARS'!$S$50*($Z27)+'LINEST VARS'!$R$50*(4)+'LINEST VARS'!$Q$50*(0.5)+'LINEST VARS'!$P$50*(12.73)+'LINEST VARS'!$O$50*($AM$8^2)+'LINEST VARS'!$N$50*($Z27^2)+'LINEST VARS'!$M$50*(4^2)+'LINEST VARS'!$L$50*(0.5^2)+'LINEST VARS'!$K$50*(12.73^2)+'LINEST VARS'!$J$50*($AM$8*$Z27)+'LINEST VARS'!$I$50*($AM$8*4)+'LINEST VARS'!$H$50*($AM$8*0.5)+'LINEST VARS'!$G$50*($AM$8*12.73)+'LINEST VARS'!$F$50*($Z27*4)+'LINEST VARS'!$E$50*($Z27*0.5)+'LINEST VARS'!$D$50*($Z27*12.73)+'LINEST VARS'!$C$50*(4*0.5)+'LINEST VARS'!$B$50*(4*12.73)+'LINEST VARS'!$A$50*(0.5*12.73)</f>
        <v>333.37999999999988</v>
      </c>
      <c r="AN27" s="46">
        <f>'LINEST VARS'!$U$50+'LINEST VARS'!$T$50*($AN$8)+'LINEST VARS'!$S$50*($Z27)+'LINEST VARS'!$R$50*(4)+'LINEST VARS'!$Q$50*(0.5)+'LINEST VARS'!$P$50*(12.73)+'LINEST VARS'!$O$50*($AN$8^2)+'LINEST VARS'!$N$50*($Z27^2)+'LINEST VARS'!$M$50*(4^2)+'LINEST VARS'!$L$50*(0.5^2)+'LINEST VARS'!$K$50*(12.73^2)+'LINEST VARS'!$J$50*($AN$8*$Z27)+'LINEST VARS'!$I$50*($AN$8*4)+'LINEST VARS'!$H$50*($AN$8*0.5)+'LINEST VARS'!$G$50*($AN$8*12.73)+'LINEST VARS'!$F$50*($Z27*4)+'LINEST VARS'!$E$50*($Z27*0.5)+'LINEST VARS'!$D$50*($Z27*12.73)+'LINEST VARS'!$C$50*(4*0.5)+'LINEST VARS'!$B$50*(4*12.73)+'LINEST VARS'!$A$50*(0.5*12.73)</f>
        <v>333.46999999999986</v>
      </c>
      <c r="AO27" s="46">
        <f>'LINEST VARS'!$U$50+'LINEST VARS'!$T$50*($AO$8)+'LINEST VARS'!$S$50*($Z27)+'LINEST VARS'!$R$50*(4)+'LINEST VARS'!$Q$50*(0.5)+'LINEST VARS'!$P$50*(12.73)+'LINEST VARS'!$O$50*($AO$8^2)+'LINEST VARS'!$N$50*($Z27^2)+'LINEST VARS'!$M$50*(4^2)+'LINEST VARS'!$L$50*(0.5^2)+'LINEST VARS'!$K$50*(12.73^2)+'LINEST VARS'!$J$50*($AO$8*$Z27)+'LINEST VARS'!$I$50*($AO$8*4)+'LINEST VARS'!$H$50*($AO$8*0.5)+'LINEST VARS'!$G$50*($AO$8*12.73)+'LINEST VARS'!$F$50*($Z27*4)+'LINEST VARS'!$E$50*($Z27*0.5)+'LINEST VARS'!$D$50*($Z27*12.73)+'LINEST VARS'!$C$50*(4*0.5)+'LINEST VARS'!$B$50*(4*12.73)+'LINEST VARS'!$A$50*(0.5*12.73)</f>
        <v>333.55999999999989</v>
      </c>
      <c r="AP27" s="46">
        <f>'LINEST VARS'!$U$50+'LINEST VARS'!$T$50*($AP$8)+'LINEST VARS'!$S$50*($Z27)+'LINEST VARS'!$R$50*(4)+'LINEST VARS'!$Q$50*(0.5)+'LINEST VARS'!$P$50*(12.73)+'LINEST VARS'!$O$50*($AP$8^2)+'LINEST VARS'!$N$50*($Z27^2)+'LINEST VARS'!$M$50*(4^2)+'LINEST VARS'!$L$50*(0.5^2)+'LINEST VARS'!$K$50*(12.73^2)+'LINEST VARS'!$J$50*($AP$8*$Z27)+'LINEST VARS'!$I$50*($AP$8*4)+'LINEST VARS'!$H$50*($AP$8*0.5)+'LINEST VARS'!$G$50*($AP$8*12.73)+'LINEST VARS'!$F$50*($Z27*4)+'LINEST VARS'!$E$50*($Z27*0.5)+'LINEST VARS'!$D$50*($Z27*12.73)+'LINEST VARS'!$C$50*(4*0.5)+'LINEST VARS'!$B$50*(4*12.73)+'LINEST VARS'!$A$50*(0.5*12.73)</f>
        <v>333.64999999999986</v>
      </c>
      <c r="AQ27" s="46">
        <f>'LINEST VARS'!$U$50+'LINEST VARS'!$T$50*($AQ$8)+'LINEST VARS'!$S$50*($Z27)+'LINEST VARS'!$R$50*(4)+'LINEST VARS'!$Q$50*(0.5)+'LINEST VARS'!$P$50*(12.73)+'LINEST VARS'!$O$50*($AQ$8^2)+'LINEST VARS'!$N$50*($Z27^2)+'LINEST VARS'!$M$50*(4^2)+'LINEST VARS'!$L$50*(0.5^2)+'LINEST VARS'!$K$50*(12.73^2)+'LINEST VARS'!$J$50*($AQ$8*$Z27)+'LINEST VARS'!$I$50*($AQ$8*4)+'LINEST VARS'!$H$50*($AQ$8*0.5)+'LINEST VARS'!$G$50*($AQ$8*12.73)+'LINEST VARS'!$F$50*($Z27*4)+'LINEST VARS'!$E$50*($Z27*0.5)+'LINEST VARS'!$D$50*($Z27*12.73)+'LINEST VARS'!$C$50*(4*0.5)+'LINEST VARS'!$B$50*(4*12.73)+'LINEST VARS'!$A$50*(0.5*12.73)</f>
        <v>333.7399999999999</v>
      </c>
      <c r="AR27" s="46">
        <f>'LINEST VARS'!$U$50+'LINEST VARS'!$T$50*($AR$8)+'LINEST VARS'!$S$50*($Z27)+'LINEST VARS'!$R$50*(4)+'LINEST VARS'!$Q$50*(0.5)+'LINEST VARS'!$P$50*(12.73)+'LINEST VARS'!$O$50*($AR$8^2)+'LINEST VARS'!$N$50*($Z27^2)+'LINEST VARS'!$M$50*(4^2)+'LINEST VARS'!$L$50*(0.5^2)+'LINEST VARS'!$K$50*(12.73^2)+'LINEST VARS'!$J$50*($AR$8*$Z27)+'LINEST VARS'!$I$50*($AR$8*4)+'LINEST VARS'!$H$50*($AR$8*0.5)+'LINEST VARS'!$G$50*($AR$8*12.73)+'LINEST VARS'!$F$50*($Z27*4)+'LINEST VARS'!$E$50*($Z27*0.5)+'LINEST VARS'!$D$50*($Z27*12.73)+'LINEST VARS'!$C$50*(4*0.5)+'LINEST VARS'!$B$50*(4*12.73)+'LINEST VARS'!$A$50*(0.5*12.73)</f>
        <v>333.82999999999987</v>
      </c>
      <c r="AS27" s="46">
        <f>'LINEST VARS'!$U$50+'LINEST VARS'!$T$50*($AS$8)+'LINEST VARS'!$S$50*($Z27)+'LINEST VARS'!$R$50*(4)+'LINEST VARS'!$Q$50*(0.5)+'LINEST VARS'!$P$50*(12.73)+'LINEST VARS'!$O$50*($AS$8^2)+'LINEST VARS'!$N$50*($Z27^2)+'LINEST VARS'!$M$50*(4^2)+'LINEST VARS'!$L$50*(0.5^2)+'LINEST VARS'!$K$50*(12.73^2)+'LINEST VARS'!$J$50*($AS$8*$Z27)+'LINEST VARS'!$I$50*($AS$8*4)+'LINEST VARS'!$H$50*($AS$8*0.5)+'LINEST VARS'!$G$50*($AS$8*12.73)+'LINEST VARS'!$F$50*($Z27*4)+'LINEST VARS'!$E$50*($Z27*0.5)+'LINEST VARS'!$D$50*($Z27*12.73)+'LINEST VARS'!$C$50*(4*0.5)+'LINEST VARS'!$B$50*(4*12.73)+'LINEST VARS'!$A$50*(0.5*12.73)</f>
        <v>333.91999999999985</v>
      </c>
      <c r="AT27" s="46">
        <f>'LINEST VARS'!$U$50+'LINEST VARS'!$T$50*($AT$8)+'LINEST VARS'!$S$50*($Z27)+'LINEST VARS'!$R$50*(4)+'LINEST VARS'!$Q$50*(0.5)+'LINEST VARS'!$P$50*(12.73)+'LINEST VARS'!$O$50*($AT$8^2)+'LINEST VARS'!$N$50*($Z27^2)+'LINEST VARS'!$M$50*(4^2)+'LINEST VARS'!$L$50*(0.5^2)+'LINEST VARS'!$K$50*(12.73^2)+'LINEST VARS'!$J$50*($AT$8*$Z27)+'LINEST VARS'!$I$50*($AT$8*4)+'LINEST VARS'!$H$50*($AT$8*0.5)+'LINEST VARS'!$G$50*($AT$8*12.73)+'LINEST VARS'!$F$50*($Z27*4)+'LINEST VARS'!$E$50*($Z27*0.5)+'LINEST VARS'!$D$50*($Z27*12.73)+'LINEST VARS'!$C$50*(4*0.5)+'LINEST VARS'!$B$50*(4*12.73)+'LINEST VARS'!$A$50*(0.5*12.73)</f>
        <v>334.00999999999988</v>
      </c>
      <c r="AU27" s="47">
        <f>'LINEST VARS'!$U$50+'LINEST VARS'!$T$50*($AU$8)+'LINEST VARS'!$S$50*($Z27)+'LINEST VARS'!$R$50*(4)+'LINEST VARS'!$Q$50*(0.5)+'LINEST VARS'!$P$50*(12.73)+'LINEST VARS'!$O$50*($AU$8^2)+'LINEST VARS'!$N$50*($Z27^2)+'LINEST VARS'!$M$50*(4^2)+'LINEST VARS'!$L$50*(0.5^2)+'LINEST VARS'!$K$50*(12.73^2)+'LINEST VARS'!$J$50*($AU$8*$Z27)+'LINEST VARS'!$I$50*($AU$8*4)+'LINEST VARS'!$H$50*($AU$8*0.5)+'LINEST VARS'!$G$50*($AU$8*12.73)+'LINEST VARS'!$F$50*($Z27*4)+'LINEST VARS'!$E$50*($Z27*0.5)+'LINEST VARS'!$D$50*($Z27*12.73)+'LINEST VARS'!$C$50*(4*0.5)+'LINEST VARS'!$B$50*(4*12.73)+'LINEST VARS'!$A$50*(0.5*12.73)</f>
        <v>334.09999999999985</v>
      </c>
      <c r="AZ27" s="45">
        <v>0.9</v>
      </c>
      <c r="BA27" s="46">
        <f>'LINEST VARS'!$U$48+'LINEST VARS'!$T$48*(8)+'LINEST VARS'!$S$48*(8)+'LINEST VARS'!$R$48*($BA$8)+'LINEST VARS'!$Q$48*($AZ27)+'LINEST VARS'!$P$48*(12.73)+'LINEST VARS'!$O$48*(8^2)+'LINEST VARS'!$N$48*(8^2)+'LINEST VARS'!$M$48*($BA$8^2)+'LINEST VARS'!$L$48*($AZ27^2)+'LINEST VARS'!$K$48*(12.73^2)+'LINEST VARS'!$J$48*(8*8)+'LINEST VARS'!$I$48*(8*$BA$8)+'LINEST VARS'!$H$48*(8*$AZ27)+'LINEST VARS'!$G$48*(8*12.73)+'LINEST VARS'!$F$48*(8*$BA$8)+'LINEST VARS'!$E$48*(8*$AZ27)+'LINEST VARS'!$D$48*(8*12.73)+'LINEST VARS'!$C$48*($BA$8*$AZ27)+'LINEST VARS'!$B$48*($BA$8*12.73)+'LINEST VARS'!$A$48*($AZ27*12.73)</f>
        <v>369.99999999999983</v>
      </c>
      <c r="BB27" s="46">
        <f>'LINEST VARS'!$U$48+'LINEST VARS'!$T$48*(8)+'LINEST VARS'!$S$48*(8)+'LINEST VARS'!$R$48*($BB$8)+'LINEST VARS'!$Q$48*($AZ27)+'LINEST VARS'!$P$48*(12.73)+'LINEST VARS'!$O$48*(8^2)+'LINEST VARS'!$N$48*(8^2)+'LINEST VARS'!$M$48*($BB$8^2)+'LINEST VARS'!$L$48*($AZ27^2)+'LINEST VARS'!$K$48*(12.73^2)+'LINEST VARS'!$J$48*(8*8)+'LINEST VARS'!$I$48*(8*$BB$8)+'LINEST VARS'!$H$48*(8*$AZ27)+'LINEST VARS'!$G$48*(8*12.73)+'LINEST VARS'!$F$48*(8*$BB$8)+'LINEST VARS'!$E$48*(8*$AZ27)+'LINEST VARS'!$D$48*(8*12.73)+'LINEST VARS'!$C$48*($BB$8*$AZ27)+'LINEST VARS'!$B$48*($BB$8*12.73)+'LINEST VARS'!$A$48*($AZ27*12.73)</f>
        <v>369.99999999999983</v>
      </c>
      <c r="BC27" s="46">
        <f>'LINEST VARS'!$U$48+'LINEST VARS'!$T$48*(8)+'LINEST VARS'!$S$48*(8)+'LINEST VARS'!$R$48*($BC$8)+'LINEST VARS'!$Q$48*($AZ27)+'LINEST VARS'!$P$48*(12.73)+'LINEST VARS'!$O$48*(8^2)+'LINEST VARS'!$N$48*(8^2)+'LINEST VARS'!$M$48*($BC$8^2)+'LINEST VARS'!$L$48*($AZ27^2)+'LINEST VARS'!$K$48*(12.73^2)+'LINEST VARS'!$J$48*(8*8)+'LINEST VARS'!$I$48*(8*$BC$8)+'LINEST VARS'!$H$48*(8*$AZ27)+'LINEST VARS'!$G$48*(8*12.73)+'LINEST VARS'!$F$48*(8*$BC$8)+'LINEST VARS'!$E$48*(8*$AZ27)+'LINEST VARS'!$D$48*(8*12.73)+'LINEST VARS'!$C$48*($BC$8*$AZ27)+'LINEST VARS'!$B$48*($BC$8*12.73)+'LINEST VARS'!$A$48*($AZ27*12.73)</f>
        <v>369.99999999999983</v>
      </c>
      <c r="BD27" s="46">
        <f>'LINEST VARS'!$U$48+'LINEST VARS'!$T$48*(8)+'LINEST VARS'!$S$48*(8)+'LINEST VARS'!$R$48*($BD$8)+'LINEST VARS'!$Q$48*($AZ27)+'LINEST VARS'!$P$48*(12.73)+'LINEST VARS'!$O$48*(8^2)+'LINEST VARS'!$N$48*(8^2)+'LINEST VARS'!$M$48*($BD$8^2)+'LINEST VARS'!$L$48*($AZ27^2)+'LINEST VARS'!$K$48*(12.73^2)+'LINEST VARS'!$J$48*(8*8)+'LINEST VARS'!$I$48*(8*$BD$8)+'LINEST VARS'!$H$48*(8*$AZ27)+'LINEST VARS'!$G$48*(8*12.73)+'LINEST VARS'!$F$48*(8*$BD$8)+'LINEST VARS'!$E$48*(8*$AZ27)+'LINEST VARS'!$D$48*(8*12.73)+'LINEST VARS'!$C$48*($BD$8*$AZ27)+'LINEST VARS'!$B$48*($BD$8*12.73)+'LINEST VARS'!$A$48*($AZ27*12.73)</f>
        <v>369.99999999999983</v>
      </c>
      <c r="BE27" s="46">
        <f>'LINEST VARS'!$U$48+'LINEST VARS'!$T$48*(8)+'LINEST VARS'!$S$48*(8)+'LINEST VARS'!$R$48*($BE$8)+'LINEST VARS'!$Q$48*($AZ27)+'LINEST VARS'!$P$48*(12.73)+'LINEST VARS'!$O$48*(8^2)+'LINEST VARS'!$N$48*(8^2)+'LINEST VARS'!$M$48*($BE$8^2)+'LINEST VARS'!$L$48*($AZ27^2)+'LINEST VARS'!$K$48*(12.73^2)+'LINEST VARS'!$J$48*(8*8)+'LINEST VARS'!$I$48*(8*$BE$8)+'LINEST VARS'!$H$48*(8*$AZ27)+'LINEST VARS'!$G$48*(8*12.73)+'LINEST VARS'!$F$48*(8*$BE$8)+'LINEST VARS'!$E$48*(8*$AZ27)+'LINEST VARS'!$D$48*(8*12.73)+'LINEST VARS'!$C$48*($BE$8*$AZ27)+'LINEST VARS'!$B$48*($BE$8*12.73)+'LINEST VARS'!$A$48*($AZ27*12.73)</f>
        <v>369.99999999999983</v>
      </c>
      <c r="BF27" s="46">
        <f>'LINEST VARS'!$U$48+'LINEST VARS'!$T$48*(8)+'LINEST VARS'!$S$48*(8)+'LINEST VARS'!$R$48*($BF$8)+'LINEST VARS'!$Q$48*($AZ27)+'LINEST VARS'!$P$48*(12.73)+'LINEST VARS'!$O$48*(8^2)+'LINEST VARS'!$N$48*(8^2)+'LINEST VARS'!$M$48*($BF$8^2)+'LINEST VARS'!$L$48*($AZ27^2)+'LINEST VARS'!$K$48*(12.73^2)+'LINEST VARS'!$J$48*(8*8)+'LINEST VARS'!$I$48*(8*$BF$8)+'LINEST VARS'!$H$48*(8*$AZ27)+'LINEST VARS'!$G$48*(8*12.73)+'LINEST VARS'!$F$48*(8*$BF$8)+'LINEST VARS'!$E$48*(8*$AZ27)+'LINEST VARS'!$D$48*(8*12.73)+'LINEST VARS'!$C$48*($BF$8*$AZ27)+'LINEST VARS'!$B$48*($BF$8*12.73)+'LINEST VARS'!$A$48*($AZ27*12.73)</f>
        <v>369.99999999999983</v>
      </c>
      <c r="BG27" s="46">
        <f>'LINEST VARS'!$U$48+'LINEST VARS'!$T$48*(8)+'LINEST VARS'!$S$48*(8)+'LINEST VARS'!$R$48*($BG$8)+'LINEST VARS'!$Q$48*($AZ27)+'LINEST VARS'!$P$48*(12.73)+'LINEST VARS'!$O$48*(8^2)+'LINEST VARS'!$N$48*(8^2)+'LINEST VARS'!$M$48*($BG$8^2)+'LINEST VARS'!$L$48*($AZ27^2)+'LINEST VARS'!$K$48*(12.73^2)+'LINEST VARS'!$J$48*(8*8)+'LINEST VARS'!$I$48*(8*$BG$8)+'LINEST VARS'!$H$48*(8*$AZ27)+'LINEST VARS'!$G$48*(8*12.73)+'LINEST VARS'!$F$48*(8*$BG$8)+'LINEST VARS'!$E$48*(8*$AZ27)+'LINEST VARS'!$D$48*(8*12.73)+'LINEST VARS'!$C$48*($BG$8*$AZ27)+'LINEST VARS'!$B$48*($BG$8*12.73)+'LINEST VARS'!$A$48*($AZ27*12.73)</f>
        <v>369.99999999999983</v>
      </c>
      <c r="BH27" s="46">
        <f>'LINEST VARS'!$U$48+'LINEST VARS'!$T$48*(8)+'LINEST VARS'!$S$48*(8)+'LINEST VARS'!$R$48*($BH$8)+'LINEST VARS'!$Q$48*($AZ27)+'LINEST VARS'!$P$48*(12.73)+'LINEST VARS'!$O$48*(8^2)+'LINEST VARS'!$N$48*(8^2)+'LINEST VARS'!$M$48*($BH$8^2)+'LINEST VARS'!$L$48*($AZ27^2)+'LINEST VARS'!$K$48*(12.73^2)+'LINEST VARS'!$J$48*(8*8)+'LINEST VARS'!$I$48*(8*$BH$8)+'LINEST VARS'!$H$48*(8*$AZ27)+'LINEST VARS'!$G$48*(8*12.73)+'LINEST VARS'!$F$48*(8*$BH$8)+'LINEST VARS'!$E$48*(8*$AZ27)+'LINEST VARS'!$D$48*(8*12.73)+'LINEST VARS'!$C$48*($BH$8*$AZ27)+'LINEST VARS'!$B$48*($BH$8*12.73)+'LINEST VARS'!$A$48*($AZ27*12.73)</f>
        <v>369.99999999999983</v>
      </c>
      <c r="BI27" s="46">
        <f>'LINEST VARS'!$U$48+'LINEST VARS'!$T$48*(8)+'LINEST VARS'!$S$48*(8)+'LINEST VARS'!$R$48*($BI$8)+'LINEST VARS'!$Q$48*($AZ27)+'LINEST VARS'!$P$48*(12.73)+'LINEST VARS'!$O$48*(8^2)+'LINEST VARS'!$N$48*(8^2)+'LINEST VARS'!$M$48*($BI$8^2)+'LINEST VARS'!$L$48*($AZ27^2)+'LINEST VARS'!$K$48*(12.73^2)+'LINEST VARS'!$J$48*(8*8)+'LINEST VARS'!$I$48*(8*$BI$8)+'LINEST VARS'!$H$48*(8*$AZ27)+'LINEST VARS'!$G$48*(8*12.73)+'LINEST VARS'!$F$48*(8*$BI$8)+'LINEST VARS'!$E$48*(8*$AZ27)+'LINEST VARS'!$D$48*(8*12.73)+'LINEST VARS'!$C$48*($BI$8*$AZ27)+'LINEST VARS'!$B$48*($BI$8*12.73)+'LINEST VARS'!$A$48*($AZ27*12.73)</f>
        <v>369.99999999999983</v>
      </c>
      <c r="BJ27" s="46">
        <f>'LINEST VARS'!$U$48+'LINEST VARS'!$T$48*(8)+'LINEST VARS'!$S$48*(8)+'LINEST VARS'!$R$48*($BJ$8)+'LINEST VARS'!$Q$48*($AZ27)+'LINEST VARS'!$P$48*(12.73)+'LINEST VARS'!$O$48*(8^2)+'LINEST VARS'!$N$48*(8^2)+'LINEST VARS'!$M$48*($BJ$8^2)+'LINEST VARS'!$L$48*($AZ27^2)+'LINEST VARS'!$K$48*(12.73^2)+'LINEST VARS'!$J$48*(8*8)+'LINEST VARS'!$I$48*(8*$BJ$8)+'LINEST VARS'!$H$48*(8*$AZ27)+'LINEST VARS'!$G$48*(8*12.73)+'LINEST VARS'!$F$48*(8*$BJ$8)+'LINEST VARS'!$E$48*(8*$AZ27)+'LINEST VARS'!$D$48*(8*12.73)+'LINEST VARS'!$C$48*($BJ$8*$AZ27)+'LINEST VARS'!$B$48*($BJ$8*12.73)+'LINEST VARS'!$A$48*($AZ27*12.73)</f>
        <v>369.99999999999983</v>
      </c>
      <c r="BK27" s="46">
        <f>'LINEST VARS'!$U$48+'LINEST VARS'!$T$48*(8)+'LINEST VARS'!$S$48*(8)+'LINEST VARS'!$R$48*($BK$8)+'LINEST VARS'!$Q$48*($AZ27)+'LINEST VARS'!$P$48*(12.73)+'LINEST VARS'!$O$48*(8^2)+'LINEST VARS'!$N$48*(8^2)+'LINEST VARS'!$M$48*($BK$8^2)+'LINEST VARS'!$L$48*($AZ27^2)+'LINEST VARS'!$K$48*(12.73^2)+'LINEST VARS'!$J$48*(8*8)+'LINEST VARS'!$I$48*(8*$BK$8)+'LINEST VARS'!$H$48*(8*$AZ27)+'LINEST VARS'!$G$48*(8*12.73)+'LINEST VARS'!$F$48*(8*$BK$8)+'LINEST VARS'!$E$48*(8*$AZ27)+'LINEST VARS'!$D$48*(8*12.73)+'LINEST VARS'!$C$48*($BK$8*$AZ27)+'LINEST VARS'!$B$48*($BK$8*12.73)+'LINEST VARS'!$A$48*($AZ27*12.73)</f>
        <v>369.99999999999983</v>
      </c>
      <c r="BL27" s="46">
        <f>'LINEST VARS'!$U$48+'LINEST VARS'!$T$48*(8)+'LINEST VARS'!$S$48*(8)+'LINEST VARS'!$R$48*($BL$8)+'LINEST VARS'!$Q$48*($AZ27)+'LINEST VARS'!$P$48*(12.73)+'LINEST VARS'!$O$48*(8^2)+'LINEST VARS'!$N$48*(8^2)+'LINEST VARS'!$M$48*($BL$8^2)+'LINEST VARS'!$L$48*($AZ27^2)+'LINEST VARS'!$K$48*(12.73^2)+'LINEST VARS'!$J$48*(8*8)+'LINEST VARS'!$I$48*(8*$BL$8)+'LINEST VARS'!$H$48*(8*$AZ27)+'LINEST VARS'!$G$48*(8*12.73)+'LINEST VARS'!$F$48*(8*$BL$8)+'LINEST VARS'!$E$48*(8*$AZ27)+'LINEST VARS'!$D$48*(8*12.73)+'LINEST VARS'!$C$48*($BL$8*$AZ27)+'LINEST VARS'!$B$48*($BL$8*12.73)+'LINEST VARS'!$A$48*($AZ27*12.73)</f>
        <v>369.99999999999983</v>
      </c>
      <c r="BM27" s="46">
        <f>'LINEST VARS'!$U$48+'LINEST VARS'!$T$48*(8)+'LINEST VARS'!$S$48*(8)+'LINEST VARS'!$R$48*($BM$8)+'LINEST VARS'!$Q$48*($AZ27)+'LINEST VARS'!$P$48*(12.73)+'LINEST VARS'!$O$48*(8^2)+'LINEST VARS'!$N$48*(8^2)+'LINEST VARS'!$M$48*($BM$8^2)+'LINEST VARS'!$L$48*($AZ27^2)+'LINEST VARS'!$K$48*(12.73^2)+'LINEST VARS'!$J$48*(8*8)+'LINEST VARS'!$I$48*(8*$BM$8)+'LINEST VARS'!$H$48*(8*$AZ27)+'LINEST VARS'!$G$48*(8*12.73)+'LINEST VARS'!$F$48*(8*$BM$8)+'LINEST VARS'!$E$48*(8*$AZ27)+'LINEST VARS'!$D$48*(8*12.73)+'LINEST VARS'!$C$48*($BM$8*$AZ27)+'LINEST VARS'!$B$48*($BM$8*12.73)+'LINEST VARS'!$A$48*($AZ27*12.73)</f>
        <v>369.99999999999983</v>
      </c>
      <c r="BN27" s="46">
        <f>'LINEST VARS'!$U$48+'LINEST VARS'!$T$48*(8)+'LINEST VARS'!$S$48*(8)+'LINEST VARS'!$R$48*($BN$8)+'LINEST VARS'!$Q$48*($AZ27)+'LINEST VARS'!$P$48*(12.73)+'LINEST VARS'!$O$48*(8^2)+'LINEST VARS'!$N$48*(8^2)+'LINEST VARS'!$M$48*($BN$8^2)+'LINEST VARS'!$L$48*($AZ27^2)+'LINEST VARS'!$K$48*(12.73^2)+'LINEST VARS'!$J$48*(8*8)+'LINEST VARS'!$I$48*(8*$BN$8)+'LINEST VARS'!$H$48*(8*$AZ27)+'LINEST VARS'!$G$48*(8*12.73)+'LINEST VARS'!$F$48*(8*$BN$8)+'LINEST VARS'!$E$48*(8*$AZ27)+'LINEST VARS'!$D$48*(8*12.73)+'LINEST VARS'!$C$48*($BN$8*$AZ27)+'LINEST VARS'!$B$48*($BN$8*12.73)+'LINEST VARS'!$A$48*($AZ27*12.73)</f>
        <v>369.99999999999989</v>
      </c>
      <c r="BO27" s="46">
        <f>'LINEST VARS'!$U$48+'LINEST VARS'!$T$48*(8)+'LINEST VARS'!$S$48*(8)+'LINEST VARS'!$R$48*($BO$8)+'LINEST VARS'!$Q$48*($AZ27)+'LINEST VARS'!$P$48*(12.73)+'LINEST VARS'!$O$48*(8^2)+'LINEST VARS'!$N$48*(8^2)+'LINEST VARS'!$M$48*($BO$8^2)+'LINEST VARS'!$L$48*($AZ27^2)+'LINEST VARS'!$K$48*(12.73^2)+'LINEST VARS'!$J$48*(8*8)+'LINEST VARS'!$I$48*(8*$BO$8)+'LINEST VARS'!$H$48*(8*$AZ27)+'LINEST VARS'!$G$48*(8*12.73)+'LINEST VARS'!$F$48*(8*$BO$8)+'LINEST VARS'!$E$48*(8*$AZ27)+'LINEST VARS'!$D$48*(8*12.73)+'LINEST VARS'!$C$48*($BO$8*$AZ27)+'LINEST VARS'!$B$48*($BO$8*12.73)+'LINEST VARS'!$A$48*($AZ27*12.73)</f>
        <v>369.99999999999989</v>
      </c>
      <c r="BP27" s="46">
        <f>'LINEST VARS'!$U$48+'LINEST VARS'!$T$48*(8)+'LINEST VARS'!$S$48*(8)+'LINEST VARS'!$R$48*($BP$8)+'LINEST VARS'!$Q$48*($AZ27)+'LINEST VARS'!$P$48*(12.73)+'LINEST VARS'!$O$48*(8^2)+'LINEST VARS'!$N$48*(8^2)+'LINEST VARS'!$M$48*($BP$8^2)+'LINEST VARS'!$L$48*($AZ27^2)+'LINEST VARS'!$K$48*(12.73^2)+'LINEST VARS'!$J$48*(8*8)+'LINEST VARS'!$I$48*(8*$BP$8)+'LINEST VARS'!$H$48*(8*$AZ27)+'LINEST VARS'!$G$48*(8*12.73)+'LINEST VARS'!$F$48*(8*$BP$8)+'LINEST VARS'!$E$48*(8*$AZ27)+'LINEST VARS'!$D$48*(8*12.73)+'LINEST VARS'!$C$48*($BP$8*$AZ27)+'LINEST VARS'!$B$48*($BP$8*12.73)+'LINEST VARS'!$A$48*($AZ27*12.73)</f>
        <v>369.99999999999989</v>
      </c>
      <c r="BQ27" s="46">
        <f>'LINEST VARS'!$U$48+'LINEST VARS'!$T$48*(8)+'LINEST VARS'!$S$48*(8)+'LINEST VARS'!$R$48*($BQ$8)+'LINEST VARS'!$Q$48*($AZ27)+'LINEST VARS'!$P$48*(12.73)+'LINEST VARS'!$O$48*(8^2)+'LINEST VARS'!$N$48*(8^2)+'LINEST VARS'!$M$48*($BQ$8^2)+'LINEST VARS'!$L$48*($AZ27^2)+'LINEST VARS'!$K$48*(12.73^2)+'LINEST VARS'!$J$48*(8*8)+'LINEST VARS'!$I$48*(8*$BQ$8)+'LINEST VARS'!$H$48*(8*$AZ27)+'LINEST VARS'!$G$48*(8*12.73)+'LINEST VARS'!$F$48*(8*$BQ$8)+'LINEST VARS'!$E$48*(8*$AZ27)+'LINEST VARS'!$D$48*(8*12.73)+'LINEST VARS'!$C$48*($BQ$8*$AZ27)+'LINEST VARS'!$B$48*($BQ$8*12.73)+'LINEST VARS'!$A$48*($AZ27*12.73)</f>
        <v>369.99999999999983</v>
      </c>
      <c r="BR27" s="46">
        <f>'LINEST VARS'!$U$48+'LINEST VARS'!$T$48*(8)+'LINEST VARS'!$S$48*(8)+'LINEST VARS'!$R$48*($BR$8)+'LINEST VARS'!$Q$48*($AZ27)+'LINEST VARS'!$P$48*(12.73)+'LINEST VARS'!$O$48*(8^2)+'LINEST VARS'!$N$48*(8^2)+'LINEST VARS'!$M$48*($BR$8^2)+'LINEST VARS'!$L$48*($AZ27^2)+'LINEST VARS'!$K$48*(12.73^2)+'LINEST VARS'!$J$48*(8*8)+'LINEST VARS'!$I$48*(8*$BR$8)+'LINEST VARS'!$H$48*(8*$AZ27)+'LINEST VARS'!$G$48*(8*12.73)+'LINEST VARS'!$F$48*(8*$BR$8)+'LINEST VARS'!$E$48*(8*$AZ27)+'LINEST VARS'!$D$48*(8*12.73)+'LINEST VARS'!$C$48*($BR$8*$AZ27)+'LINEST VARS'!$B$48*($BR$8*12.73)+'LINEST VARS'!$A$48*($AZ27*12.73)</f>
        <v>369.99999999999983</v>
      </c>
      <c r="BS27" s="46">
        <f>'LINEST VARS'!$U$48+'LINEST VARS'!$T$48*(8)+'LINEST VARS'!$S$48*(8)+'LINEST VARS'!$R$48*($BS$8)+'LINEST VARS'!$Q$48*($AZ27)+'LINEST VARS'!$P$48*(12.73)+'LINEST VARS'!$O$48*(8^2)+'LINEST VARS'!$N$48*(8^2)+'LINEST VARS'!$M$48*($BS$8^2)+'LINEST VARS'!$L$48*($AZ27^2)+'LINEST VARS'!$K$48*(12.73^2)+'LINEST VARS'!$J$48*(8*8)+'LINEST VARS'!$I$48*(8*$BS$8)+'LINEST VARS'!$H$48*(8*$AZ27)+'LINEST VARS'!$G$48*(8*12.73)+'LINEST VARS'!$F$48*(8*$BS$8)+'LINEST VARS'!$E$48*(8*$AZ27)+'LINEST VARS'!$D$48*(8*12.73)+'LINEST VARS'!$C$48*($BS$8*$AZ27)+'LINEST VARS'!$B$48*($BS$8*12.73)+'LINEST VARS'!$A$48*($AZ27*12.73)</f>
        <v>369.99999999999983</v>
      </c>
      <c r="BT27" s="46">
        <f>'LINEST VARS'!$U$48+'LINEST VARS'!$T$48*(8)+'LINEST VARS'!$S$48*(8)+'LINEST VARS'!$R$48*($BT$8)+'LINEST VARS'!$Q$48*($AZ27)+'LINEST VARS'!$P$48*(12.73)+'LINEST VARS'!$O$48*(8^2)+'LINEST VARS'!$N$48*(8^2)+'LINEST VARS'!$M$48*($BT$8^2)+'LINEST VARS'!$L$48*($AZ27^2)+'LINEST VARS'!$K$48*(12.73^2)+'LINEST VARS'!$J$48*(8*8)+'LINEST VARS'!$I$48*(8*$BT$8)+'LINEST VARS'!$H$48*(8*$AZ27)+'LINEST VARS'!$G$48*(8*12.73)+'LINEST VARS'!$F$48*(8*$BT$8)+'LINEST VARS'!$E$48*(8*$AZ27)+'LINEST VARS'!$D$48*(8*12.73)+'LINEST VARS'!$C$48*($BT$8*$AZ27)+'LINEST VARS'!$B$48*($BT$8*12.73)+'LINEST VARS'!$A$48*($AZ27*12.73)</f>
        <v>369.99999999999983</v>
      </c>
      <c r="BU27" s="47">
        <f>'LINEST VARS'!$U$48+'LINEST VARS'!$T$48*(8)+'LINEST VARS'!$S$48*(8)+'LINEST VARS'!$R$48*($BU$8)+'LINEST VARS'!$Q$48*($AZ27)+'LINEST VARS'!$P$48*(12.73)+'LINEST VARS'!$O$48*(8^2)+'LINEST VARS'!$N$48*(8^2)+'LINEST VARS'!$M$48*($BU$8^2)+'LINEST VARS'!$L$48*($AZ27^2)+'LINEST VARS'!$K$48*(12.73^2)+'LINEST VARS'!$J$48*(8*8)+'LINEST VARS'!$I$48*(8*$BU$8)+'LINEST VARS'!$H$48*(8*$AZ27)+'LINEST VARS'!$G$48*(8*12.73)+'LINEST VARS'!$F$48*(8*$BU$8)+'LINEST VARS'!$E$48*(8*$AZ27)+'LINEST VARS'!$D$48*(8*12.73)+'LINEST VARS'!$C$48*($BU$8*$AZ27)+'LINEST VARS'!$B$48*($BU$8*12.73)+'LINEST VARS'!$A$48*($AZ27*12.73)</f>
        <v>369.99999999999983</v>
      </c>
      <c r="BX27" s="45">
        <v>0.9</v>
      </c>
      <c r="BY27" s="46">
        <f>'LINEST VARS'!$U$50+'LINEST VARS'!$T$50*(8)+'LINEST VARS'!$S$50*(8)+'LINEST VARS'!$R$50*($BY$8)+'LINEST VARS'!$Q$50*($BX27)+'LINEST VARS'!$P$50*(12.73)+'LINEST VARS'!$O$50*(8^2)+'LINEST VARS'!$N$50*(8^2)+'LINEST VARS'!$M$50*($BY$8^2)+'LINEST VARS'!$L$50*($BX27^2)+'LINEST VARS'!$K$50*(12.73^2)+'LINEST VARS'!$J$50*(8*8)+'LINEST VARS'!$I$50*(8*$BY$8)+'LINEST VARS'!$H$50*(8*$BX27)+'LINEST VARS'!$G$50*(8*12.73)+'LINEST VARS'!$F$50*(8*$BY$8)+'LINEST VARS'!$E$50*(8*$BX27)+'LINEST VARS'!$D$50*(8*12.73)+'LINEST VARS'!$C$50*($BY$8*$BX27)+'LINEST VARS'!$B$50*($BY$8*12.73)+'LINEST VARS'!$A$50*($BX27*12.73)</f>
        <v>331.99999999999989</v>
      </c>
      <c r="BZ27" s="46">
        <f>'LINEST VARS'!$U$50+'LINEST VARS'!$T$50*(8)+'LINEST VARS'!$S$50*(8)+'LINEST VARS'!$R$50*($BZ$8)+'LINEST VARS'!$Q$50*($BX27)+'LINEST VARS'!$P$50*(12.73)+'LINEST VARS'!$O$50*(8^2)+'LINEST VARS'!$N$50*(8^2)+'LINEST VARS'!$M$50*($BZ$8^2)+'LINEST VARS'!$L$50*($BX27^2)+'LINEST VARS'!$K$50*(12.73^2)+'LINEST VARS'!$J$50*(8*8)+'LINEST VARS'!$I$50*(8*$BZ$8)+'LINEST VARS'!$H$50*(8*$BX27)+'LINEST VARS'!$G$50*(8*12.73)+'LINEST VARS'!$F$50*(8*$BZ$8)+'LINEST VARS'!$E$50*(8*$BX27)+'LINEST VARS'!$D$50*(8*12.73)+'LINEST VARS'!$C$50*($BZ$8*$BX27)+'LINEST VARS'!$B$50*($BZ$8*12.73)+'LINEST VARS'!$A$50*($BX27*12.73)</f>
        <v>331.99999999999989</v>
      </c>
      <c r="CA27" s="46">
        <f>'LINEST VARS'!$U$50+'LINEST VARS'!$T$50*(8)+'LINEST VARS'!$S$50*(8)+'LINEST VARS'!$R$50*($CA$8)+'LINEST VARS'!$Q$50*($BX27)+'LINEST VARS'!$P$50*(12.73)+'LINEST VARS'!$O$50*(8^2)+'LINEST VARS'!$N$50*(8^2)+'LINEST VARS'!$M$50*($CA$8^2)+'LINEST VARS'!$L$50*($BX27^2)+'LINEST VARS'!$K$50*(12.73^2)+'LINEST VARS'!$J$50*(8*8)+'LINEST VARS'!$I$50*(8*$CA$8)+'LINEST VARS'!$H$50*(8*$BX27)+'LINEST VARS'!$G$50*(8*12.73)+'LINEST VARS'!$F$50*(8*$CA$8)+'LINEST VARS'!$E$50*(8*$BX27)+'LINEST VARS'!$D$50*(8*12.73)+'LINEST VARS'!$C$50*($CA$8*$BX27)+'LINEST VARS'!$B$50*($CA$8*12.73)+'LINEST VARS'!$A$50*($BX27*12.73)</f>
        <v>331.99999999999989</v>
      </c>
      <c r="CB27" s="46">
        <f>'LINEST VARS'!$U$50+'LINEST VARS'!$T$50*(8)+'LINEST VARS'!$S$50*(8)+'LINEST VARS'!$R$50*($CB$8)+'LINEST VARS'!$Q$50*($BX27)+'LINEST VARS'!$P$50*(12.73)+'LINEST VARS'!$O$50*(8^2)+'LINEST VARS'!$N$50*(8^2)+'LINEST VARS'!$M$50*($CB$8^2)+'LINEST VARS'!$L$50*($BX27^2)+'LINEST VARS'!$K$50*(12.73^2)+'LINEST VARS'!$J$50*(8*8)+'LINEST VARS'!$I$50*(8*$CB$8)+'LINEST VARS'!$H$50*(8*$BX27)+'LINEST VARS'!$G$50*(8*12.73)+'LINEST VARS'!$F$50*(8*$CB$8)+'LINEST VARS'!$E$50*(8*$BX27)+'LINEST VARS'!$D$50*(8*12.73)+'LINEST VARS'!$C$50*($CB$8*$BX27)+'LINEST VARS'!$B$50*($CB$8*12.73)+'LINEST VARS'!$A$50*($BX27*12.73)</f>
        <v>331.99999999999989</v>
      </c>
      <c r="CC27" s="46">
        <f>'LINEST VARS'!$U$50+'LINEST VARS'!$T$50*(8)+'LINEST VARS'!$S$50*(8)+'LINEST VARS'!$R$50*($CC$8)+'LINEST VARS'!$Q$50*($BX27)+'LINEST VARS'!$P$50*(12.73)+'LINEST VARS'!$O$50*(8^2)+'LINEST VARS'!$N$50*(8^2)+'LINEST VARS'!$M$50*($CC$8^2)+'LINEST VARS'!$L$50*($BX27^2)+'LINEST VARS'!$K$50*(12.73^2)+'LINEST VARS'!$J$50*(8*8)+'LINEST VARS'!$I$50*(8*$CC$8)+'LINEST VARS'!$H$50*(8*$BX27)+'LINEST VARS'!$G$50*(8*12.73)+'LINEST VARS'!$F$50*(8*$CC$8)+'LINEST VARS'!$E$50*(8*$BX27)+'LINEST VARS'!$D$50*(8*12.73)+'LINEST VARS'!$C$50*($CC$8*$BX27)+'LINEST VARS'!$B$50*($CC$8*12.73)+'LINEST VARS'!$A$50*($BX27*12.73)</f>
        <v>331.99999999999989</v>
      </c>
      <c r="CD27" s="46">
        <f>'LINEST VARS'!$U$50+'LINEST VARS'!$T$50*(8)+'LINEST VARS'!$S$50*(8)+'LINEST VARS'!$R$50*($CD$8)+'LINEST VARS'!$Q$50*($BX27)+'LINEST VARS'!$P$50*(12.73)+'LINEST VARS'!$O$50*(8^2)+'LINEST VARS'!$N$50*(8^2)+'LINEST VARS'!$M$50*($CD$8^2)+'LINEST VARS'!$L$50*($BX27^2)+'LINEST VARS'!$K$50*(12.73^2)+'LINEST VARS'!$J$50*(8*8)+'LINEST VARS'!$I$50*(8*$CD$8)+'LINEST VARS'!$H$50*(8*$BX27)+'LINEST VARS'!$G$50*(8*12.73)+'LINEST VARS'!$F$50*(8*$CD$8)+'LINEST VARS'!$E$50*(8*$BX27)+'LINEST VARS'!$D$50*(8*12.73)+'LINEST VARS'!$C$50*($CD$8*$BX27)+'LINEST VARS'!$B$50*($CD$8*12.73)+'LINEST VARS'!$A$50*($BX27*12.73)</f>
        <v>331.99999999999989</v>
      </c>
      <c r="CE27" s="46">
        <f>'LINEST VARS'!$U$50+'LINEST VARS'!$T$50*(8)+'LINEST VARS'!$S$50*(8)+'LINEST VARS'!$R$50*($CE$8)+'LINEST VARS'!$Q$50*($BX27)+'LINEST VARS'!$P$50*(12.73)+'LINEST VARS'!$O$50*(8^2)+'LINEST VARS'!$N$50*(8^2)+'LINEST VARS'!$M$50*($CE$8^2)+'LINEST VARS'!$L$50*($BX27^2)+'LINEST VARS'!$K$50*(12.73^2)+'LINEST VARS'!$J$50*(8*8)+'LINEST VARS'!$I$50*(8*$CE$8)+'LINEST VARS'!$H$50*(8*$BX27)+'LINEST VARS'!$G$50*(8*12.73)+'LINEST VARS'!$F$50*(8*$CE$8)+'LINEST VARS'!$E$50*(8*$BX27)+'LINEST VARS'!$D$50*(8*12.73)+'LINEST VARS'!$C$50*($CE$8*$BX27)+'LINEST VARS'!$B$50*($CE$8*12.73)+'LINEST VARS'!$A$50*($BX27*12.73)</f>
        <v>331.99999999999989</v>
      </c>
      <c r="CF27" s="46">
        <f>'LINEST VARS'!$U$50+'LINEST VARS'!$T$50*(8)+'LINEST VARS'!$S$50*(8)+'LINEST VARS'!$R$50*($CF$8)+'LINEST VARS'!$Q$50*($BX27)+'LINEST VARS'!$P$50*(12.73)+'LINEST VARS'!$O$50*(8^2)+'LINEST VARS'!$N$50*(8^2)+'LINEST VARS'!$M$50*($CF$8^2)+'LINEST VARS'!$L$50*($BX27^2)+'LINEST VARS'!$K$50*(12.73^2)+'LINEST VARS'!$J$50*(8*8)+'LINEST VARS'!$I$50*(8*$CF$8)+'LINEST VARS'!$H$50*(8*$BX27)+'LINEST VARS'!$G$50*(8*12.73)+'LINEST VARS'!$F$50*(8*$CF$8)+'LINEST VARS'!$E$50*(8*$BX27)+'LINEST VARS'!$D$50*(8*12.73)+'LINEST VARS'!$C$50*($CF$8*$BX27)+'LINEST VARS'!$B$50*($CF$8*12.73)+'LINEST VARS'!$A$50*($BX27*12.73)</f>
        <v>331.99999999999989</v>
      </c>
      <c r="CG27" s="46">
        <f>'LINEST VARS'!$U$50+'LINEST VARS'!$T$50*(8)+'LINEST VARS'!$S$50*(8)+'LINEST VARS'!$R$50*($CG$8)+'LINEST VARS'!$Q$50*($BX27)+'LINEST VARS'!$P$50*(12.73)+'LINEST VARS'!$O$50*(8^2)+'LINEST VARS'!$N$50*(8^2)+'LINEST VARS'!$M$50*($CG$8^2)+'LINEST VARS'!$L$50*($BX27^2)+'LINEST VARS'!$K$50*(12.73^2)+'LINEST VARS'!$J$50*(8*8)+'LINEST VARS'!$I$50*(8*$CG$8)+'LINEST VARS'!$H$50*(8*$BX27)+'LINEST VARS'!$G$50*(8*12.73)+'LINEST VARS'!$F$50*(8*$CG$8)+'LINEST VARS'!$E$50*(8*$BX27)+'LINEST VARS'!$D$50*(8*12.73)+'LINEST VARS'!$C$50*($CG$8*$BX27)+'LINEST VARS'!$B$50*($CG$8*12.73)+'LINEST VARS'!$A$50*($BX27*12.73)</f>
        <v>331.99999999999989</v>
      </c>
      <c r="CH27" s="46">
        <f>'LINEST VARS'!$U$50+'LINEST VARS'!$T$50*(8)+'LINEST VARS'!$S$50*(8)+'LINEST VARS'!$R$50*($CH$8)+'LINEST VARS'!$Q$50*($BX27)+'LINEST VARS'!$P$50*(12.73)+'LINEST VARS'!$O$50*(8^2)+'LINEST VARS'!$N$50*(8^2)+'LINEST VARS'!$M$50*($CH$8^2)+'LINEST VARS'!$L$50*($BX27^2)+'LINEST VARS'!$K$50*(12.73^2)+'LINEST VARS'!$J$50*(8*8)+'LINEST VARS'!$I$50*(8*$CH$8)+'LINEST VARS'!$H$50*(8*$BX27)+'LINEST VARS'!$G$50*(8*12.73)+'LINEST VARS'!$F$50*(8*$CH$8)+'LINEST VARS'!$E$50*(8*$BX27)+'LINEST VARS'!$D$50*(8*12.73)+'LINEST VARS'!$C$50*($CH$8*$BX27)+'LINEST VARS'!$B$50*($CH$8*12.73)+'LINEST VARS'!$A$50*($BX27*12.73)</f>
        <v>331.99999999999989</v>
      </c>
      <c r="CI27" s="46">
        <f>'LINEST VARS'!$U$50+'LINEST VARS'!$T$50*(8)+'LINEST VARS'!$S$50*(8)+'LINEST VARS'!$R$50*($CI$8)+'LINEST VARS'!$Q$50*($BX27)+'LINEST VARS'!$P$50*(12.73)+'LINEST VARS'!$O$50*(8^2)+'LINEST VARS'!$N$50*(8^2)+'LINEST VARS'!$M$50*($CI$8^2)+'LINEST VARS'!$L$50*($BX27^2)+'LINEST VARS'!$K$50*(12.73^2)+'LINEST VARS'!$J$50*(8*8)+'LINEST VARS'!$I$50*(8*$CI$8)+'LINEST VARS'!$H$50*(8*$BX27)+'LINEST VARS'!$G$50*(8*12.73)+'LINEST VARS'!$F$50*(8*$CI$8)+'LINEST VARS'!$E$50*(8*$BX27)+'LINEST VARS'!$D$50*(8*12.73)+'LINEST VARS'!$C$50*($CI$8*$BX27)+'LINEST VARS'!$B$50*($CI$8*12.73)+'LINEST VARS'!$A$50*($BX27*12.73)</f>
        <v>331.99999999999989</v>
      </c>
      <c r="CJ27" s="46">
        <f>'LINEST VARS'!$U$50+'LINEST VARS'!$T$50*(8)+'LINEST VARS'!$S$50*(8)+'LINEST VARS'!$R$50*($CJ$8)+'LINEST VARS'!$Q$50*($BX27)+'LINEST VARS'!$P$50*(12.73)+'LINEST VARS'!$O$50*(8^2)+'LINEST VARS'!$N$50*(8^2)+'LINEST VARS'!$M$50*($CJ$8^2)+'LINEST VARS'!$L$50*($BX27^2)+'LINEST VARS'!$K$50*(12.73^2)+'LINEST VARS'!$J$50*(8*8)+'LINEST VARS'!$I$50*(8*$CJ$8)+'LINEST VARS'!$H$50*(8*$BX27)+'LINEST VARS'!$G$50*(8*12.73)+'LINEST VARS'!$F$50*(8*$CJ$8)+'LINEST VARS'!$E$50*(8*$BX27)+'LINEST VARS'!$D$50*(8*12.73)+'LINEST VARS'!$C$50*($CJ$8*$BX27)+'LINEST VARS'!$B$50*($CJ$8*12.73)+'LINEST VARS'!$A$50*($BX27*12.73)</f>
        <v>331.99999999999989</v>
      </c>
      <c r="CK27" s="46">
        <f>'LINEST VARS'!$U$50+'LINEST VARS'!$T$50*(8)+'LINEST VARS'!$S$50*(8)+'LINEST VARS'!$R$50*($CK$8)+'LINEST VARS'!$Q$50*($BX27)+'LINEST VARS'!$P$50*(12.73)+'LINEST VARS'!$O$50*(8^2)+'LINEST VARS'!$N$50*(8^2)+'LINEST VARS'!$M$50*($CK$8^2)+'LINEST VARS'!$L$50*($BX27^2)+'LINEST VARS'!$K$50*(12.73^2)+'LINEST VARS'!$J$50*(8*8)+'LINEST VARS'!$I$50*(8*$CK$8)+'LINEST VARS'!$H$50*(8*$BX27)+'LINEST VARS'!$G$50*(8*12.73)+'LINEST VARS'!$F$50*(8*$CK$8)+'LINEST VARS'!$E$50*(8*$BX27)+'LINEST VARS'!$D$50*(8*12.73)+'LINEST VARS'!$C$50*($CK$8*$BX27)+'LINEST VARS'!$B$50*($CK$8*12.73)+'LINEST VARS'!$A$50*($BX27*12.73)</f>
        <v>331.99999999999989</v>
      </c>
      <c r="CL27" s="46">
        <f>'LINEST VARS'!$U$50+'LINEST VARS'!$T$50*(8)+'LINEST VARS'!$S$50*(8)+'LINEST VARS'!$R$50*($CL$8)+'LINEST VARS'!$Q$50*($BX27)+'LINEST VARS'!$P$50*(12.73)+'LINEST VARS'!$O$50*(8^2)+'LINEST VARS'!$N$50*(8^2)+'LINEST VARS'!$M$50*($CL$8^2)+'LINEST VARS'!$L$50*($BX27^2)+'LINEST VARS'!$K$50*(12.73^2)+'LINEST VARS'!$J$50*(8*8)+'LINEST VARS'!$I$50*(8*$CL$8)+'LINEST VARS'!$H$50*(8*$BX27)+'LINEST VARS'!$G$50*(8*12.73)+'LINEST VARS'!$F$50*(8*$CL$8)+'LINEST VARS'!$E$50*(8*$BX27)+'LINEST VARS'!$D$50*(8*12.73)+'LINEST VARS'!$C$50*($CL$8*$BX27)+'LINEST VARS'!$B$50*($CL$8*12.73)+'LINEST VARS'!$A$50*($BX27*12.73)</f>
        <v>331.99999999999989</v>
      </c>
      <c r="CM27" s="46">
        <f>'LINEST VARS'!$U$50+'LINEST VARS'!$T$50*(8)+'LINEST VARS'!$S$50*(8)+'LINEST VARS'!$R$50*($CM$8)+'LINEST VARS'!$Q$50*($BX27)+'LINEST VARS'!$P$50*(12.73)+'LINEST VARS'!$O$50*(8^2)+'LINEST VARS'!$N$50*(8^2)+'LINEST VARS'!$M$50*($CM$8^2)+'LINEST VARS'!$L$50*($BX27^2)+'LINEST VARS'!$K$50*(12.73^2)+'LINEST VARS'!$J$50*(8*8)+'LINEST VARS'!$I$50*(8*$CM$8)+'LINEST VARS'!$H$50*(8*$BX27)+'LINEST VARS'!$G$50*(8*12.73)+'LINEST VARS'!$F$50*(8*$CM$8)+'LINEST VARS'!$E$50*(8*$BX27)+'LINEST VARS'!$D$50*(8*12.73)+'LINEST VARS'!$C$50*($CM$8*$BX27)+'LINEST VARS'!$B$50*($CM$8*12.73)+'LINEST VARS'!$A$50*($BX27*12.73)</f>
        <v>331.99999999999989</v>
      </c>
      <c r="CN27" s="46">
        <f>'LINEST VARS'!$U$50+'LINEST VARS'!$T$50*(8)+'LINEST VARS'!$S$50*(8)+'LINEST VARS'!$R$50*($CN$8)+'LINEST VARS'!$Q$50*($BX27)+'LINEST VARS'!$P$50*(12.73)+'LINEST VARS'!$O$50*(8^2)+'LINEST VARS'!$N$50*(8^2)+'LINEST VARS'!$M$50*($CN$8^2)+'LINEST VARS'!$L$50*($BX27^2)+'LINEST VARS'!$K$50*(12.73^2)+'LINEST VARS'!$J$50*(8*8)+'LINEST VARS'!$I$50*(8*$CN$8)+'LINEST VARS'!$H$50*(8*$BX27)+'LINEST VARS'!$G$50*(8*12.73)+'LINEST VARS'!$F$50*(8*$CN$8)+'LINEST VARS'!$E$50*(8*$BX27)+'LINEST VARS'!$D$50*(8*12.73)+'LINEST VARS'!$C$50*($CN$8*$BX27)+'LINEST VARS'!$B$50*($CN$8*12.73)+'LINEST VARS'!$A$50*($BX27*12.73)</f>
        <v>331.99999999999989</v>
      </c>
      <c r="CO27" s="46">
        <f>'LINEST VARS'!$U$50+'LINEST VARS'!$T$50*(8)+'LINEST VARS'!$S$50*(8)+'LINEST VARS'!$R$50*($CO$8)+'LINEST VARS'!$Q$50*($BX27)+'LINEST VARS'!$P$50*(12.73)+'LINEST VARS'!$O$50*(8^2)+'LINEST VARS'!$N$50*(8^2)+'LINEST VARS'!$M$50*($CO$8^2)+'LINEST VARS'!$L$50*($BX27^2)+'LINEST VARS'!$K$50*(12.73^2)+'LINEST VARS'!$J$50*(8*8)+'LINEST VARS'!$I$50*(8*$CO$8)+'LINEST VARS'!$H$50*(8*$BX27)+'LINEST VARS'!$G$50*(8*12.73)+'LINEST VARS'!$F$50*(8*$CO$8)+'LINEST VARS'!$E$50*(8*$BX27)+'LINEST VARS'!$D$50*(8*12.73)+'LINEST VARS'!$C$50*($CO$8*$BX27)+'LINEST VARS'!$B$50*($CO$8*12.73)+'LINEST VARS'!$A$50*($BX27*12.73)</f>
        <v>331.99999999999989</v>
      </c>
      <c r="CP27" s="46">
        <f>'LINEST VARS'!$U$50+'LINEST VARS'!$T$50*(8)+'LINEST VARS'!$S$50*(8)+'LINEST VARS'!$R$50*($CP$8)+'LINEST VARS'!$Q$50*($BX27)+'LINEST VARS'!$P$50*(12.73)+'LINEST VARS'!$O$50*(8^2)+'LINEST VARS'!$N$50*(8^2)+'LINEST VARS'!$M$50*($CP$8^2)+'LINEST VARS'!$L$50*($BX27^2)+'LINEST VARS'!$K$50*(12.73^2)+'LINEST VARS'!$J$50*(8*8)+'LINEST VARS'!$I$50*(8*$CP$8)+'LINEST VARS'!$H$50*(8*$BX27)+'LINEST VARS'!$G$50*(8*12.73)+'LINEST VARS'!$F$50*(8*$CP$8)+'LINEST VARS'!$E$50*(8*$BX27)+'LINEST VARS'!$D$50*(8*12.73)+'LINEST VARS'!$C$50*($CP$8*$BX27)+'LINEST VARS'!$B$50*($CP$8*12.73)+'LINEST VARS'!$A$50*($BX27*12.73)</f>
        <v>331.99999999999989</v>
      </c>
      <c r="CQ27" s="46">
        <f>'LINEST VARS'!$U$50+'LINEST VARS'!$T$50*(8)+'LINEST VARS'!$S$50*(8)+'LINEST VARS'!$R$50*($CQ$8)+'LINEST VARS'!$Q$50*($BX27)+'LINEST VARS'!$P$50*(12.73)+'LINEST VARS'!$O$50*(8^2)+'LINEST VARS'!$N$50*(8^2)+'LINEST VARS'!$M$50*($CQ$8^2)+'LINEST VARS'!$L$50*($BX27^2)+'LINEST VARS'!$K$50*(12.73^2)+'LINEST VARS'!$J$50*(8*8)+'LINEST VARS'!$I$50*(8*$CQ$8)+'LINEST VARS'!$H$50*(8*$BX27)+'LINEST VARS'!$G$50*(8*12.73)+'LINEST VARS'!$F$50*(8*$CQ$8)+'LINEST VARS'!$E$50*(8*$BX27)+'LINEST VARS'!$D$50*(8*12.73)+'LINEST VARS'!$C$50*($CQ$8*$BX27)+'LINEST VARS'!$B$50*($CQ$8*12.73)+'LINEST VARS'!$A$50*($BX27*12.73)</f>
        <v>331.99999999999989</v>
      </c>
      <c r="CR27" s="46">
        <f>'LINEST VARS'!$U$50+'LINEST VARS'!$T$50*(8)+'LINEST VARS'!$S$50*(8)+'LINEST VARS'!$R$50*($CR$8)+'LINEST VARS'!$Q$50*($BX27)+'LINEST VARS'!$P$50*(12.73)+'LINEST VARS'!$O$50*(8^2)+'LINEST VARS'!$N$50*(8^2)+'LINEST VARS'!$M$50*($CR$8^2)+'LINEST VARS'!$L$50*($BX27^2)+'LINEST VARS'!$K$50*(12.73^2)+'LINEST VARS'!$J$50*(8*8)+'LINEST VARS'!$I$50*(8*$CR$8)+'LINEST VARS'!$H$50*(8*$BX27)+'LINEST VARS'!$G$50*(8*12.73)+'LINEST VARS'!$F$50*(8*$CR$8)+'LINEST VARS'!$E$50*(8*$BX27)+'LINEST VARS'!$D$50*(8*12.73)+'LINEST VARS'!$C$50*($CR$8*$BX27)+'LINEST VARS'!$B$50*($CR$8*12.73)+'LINEST VARS'!$A$50*($BX27*12.73)</f>
        <v>331.99999999999989</v>
      </c>
      <c r="CS27" s="47">
        <f>'LINEST VARS'!$U$50+'LINEST VARS'!$T$50*(8)+'LINEST VARS'!$S$50*(8)+'LINEST VARS'!$R$50*($CS$8)+'LINEST VARS'!$Q$50*($BX27)+'LINEST VARS'!$P$50*(12.73)+'LINEST VARS'!$O$50*(8^2)+'LINEST VARS'!$N$50*(8^2)+'LINEST VARS'!$M$50*($CS$8^2)+'LINEST VARS'!$L$50*($BX27^2)+'LINEST VARS'!$K$50*(12.73^2)+'LINEST VARS'!$J$50*(8*8)+'LINEST VARS'!$I$50*(8*$CS$8)+'LINEST VARS'!$H$50*(8*$BX27)+'LINEST VARS'!$G$50*(8*12.73)+'LINEST VARS'!$F$50*(8*$CS$8)+'LINEST VARS'!$E$50*(8*$BX27)+'LINEST VARS'!$D$50*(8*12.73)+'LINEST VARS'!$C$50*($CS$8*$BX27)+'LINEST VARS'!$B$50*($CS$8*12.73)+'LINEST VARS'!$A$50*($BX27*12.73)</f>
        <v>331.99999999999989</v>
      </c>
      <c r="CX27" s="45">
        <v>23.390999999999998</v>
      </c>
      <c r="CY27" s="46">
        <f>'LINEST VARS'!$U$48+'LINEST VARS'!$T$48*(8)+'LINEST VARS'!$S$48*(8)+'LINEST VARS'!$R$48*($CY$8)+'LINEST VARS'!$Q$48*(0.5)+'LINEST VARS'!$P$48*($CX27)+'LINEST VARS'!$O$48*(8^2)+'LINEST VARS'!$N$48*(8^2)+'LINEST VARS'!$M$48*($CY$8^2)+'LINEST VARS'!$L$48*(0.5^2)+'LINEST VARS'!$K$48*($CX27^2)+'LINEST VARS'!$J$48*(8*8)+'LINEST VARS'!$I$48*(8*$CY$8)+'LINEST VARS'!$H$48*(8*0.5)+'LINEST VARS'!$G$48*(8*$CX27)+'LINEST VARS'!$F$48*(8*$CY$8)+'LINEST VARS'!$E$48*(8*0.5)+'LINEST VARS'!$D$48*(8*$CX27)+'LINEST VARS'!$C$48*($CY$8*0.5)+'LINEST VARS'!$B$48*($CY$8*$CX27)+'LINEST VARS'!$A$48*(0.5*$CX27)</f>
        <v>369.99999999999983</v>
      </c>
      <c r="CZ27" s="46">
        <f>'LINEST VARS'!$U$48+'LINEST VARS'!$T$48*(8)+'LINEST VARS'!$S$48*(8)+'LINEST VARS'!$R$48*($CZ$8)+'LINEST VARS'!$Q$48*(0.5)+'LINEST VARS'!$P$48*($CX27)+'LINEST VARS'!$O$48*(8^2)+'LINEST VARS'!$N$48*(8^2)+'LINEST VARS'!$M$48*($CZ$8^2)+'LINEST VARS'!$L$48*(0.5^2)+'LINEST VARS'!$K$48*($CX27^2)+'LINEST VARS'!$J$48*(8*8)+'LINEST VARS'!$I$48*(8*$CZ$8)+'LINEST VARS'!$H$48*(8*0.5)+'LINEST VARS'!$G$48*(8*$CX27)+'LINEST VARS'!$F$48*(8*$CZ$8)+'LINEST VARS'!$E$48*(8*0.5)+'LINEST VARS'!$D$48*(8*$CX27)+'LINEST VARS'!$C$48*($CZ$8*0.5)+'LINEST VARS'!$B$48*($CZ$8*$CX27)+'LINEST VARS'!$A$48*(0.5*$CX27)</f>
        <v>369.99999999999983</v>
      </c>
      <c r="DA27" s="46">
        <f>'LINEST VARS'!$U$48+'LINEST VARS'!$T$48*(8)+'LINEST VARS'!$S$48*(8)+'LINEST VARS'!$R$48*($DA$8)+'LINEST VARS'!$Q$48*(0.5)+'LINEST VARS'!$P$48*($CX27)+'LINEST VARS'!$O$48*(8^2)+'LINEST VARS'!$N$48*(8^2)+'LINEST VARS'!$M$48*($DA$8^2)+'LINEST VARS'!$L$48*(0.5^2)+'LINEST VARS'!$K$48*($CX27^2)+'LINEST VARS'!$J$48*(8*8)+'LINEST VARS'!$I$48*(8*$DA$8)+'LINEST VARS'!$H$48*(8*0.5)+'LINEST VARS'!$G$48*(8*$CX27)+'LINEST VARS'!$F$48*(8*$DA$8)+'LINEST VARS'!$E$48*(8*0.5)+'LINEST VARS'!$D$48*(8*$CX27)+'LINEST VARS'!$C$48*($DA$8*0.5)+'LINEST VARS'!$B$48*($DA$8*$CX27)+'LINEST VARS'!$A$48*(0.5*$CX27)</f>
        <v>369.99999999999983</v>
      </c>
      <c r="DB27" s="46">
        <f>'LINEST VARS'!$U$48+'LINEST VARS'!$T$48*(8)+'LINEST VARS'!$S$48*(8)+'LINEST VARS'!$R$48*($DB$8)+'LINEST VARS'!$Q$48*(0.5)+'LINEST VARS'!$P$48*($CX27)+'LINEST VARS'!$O$48*(8^2)+'LINEST VARS'!$N$48*(8^2)+'LINEST VARS'!$M$48*($DB$8^2)+'LINEST VARS'!$L$48*(0.5^2)+'LINEST VARS'!$K$48*($CX27^2)+'LINEST VARS'!$J$48*(8*8)+'LINEST VARS'!$I$48*(8*$DB$8)+'LINEST VARS'!$H$48*(8*0.5)+'LINEST VARS'!$G$48*(8*$CX27)+'LINEST VARS'!$F$48*(8*$DB$8)+'LINEST VARS'!$E$48*(8*0.5)+'LINEST VARS'!$D$48*(8*$CX27)+'LINEST VARS'!$C$48*($DB$8*0.5)+'LINEST VARS'!$B$48*($DB$8*$CX27)+'LINEST VARS'!$A$48*(0.5*$CX27)</f>
        <v>369.99999999999983</v>
      </c>
      <c r="DC27" s="46">
        <f>'LINEST VARS'!$U$48+'LINEST VARS'!$T$48*(8)+'LINEST VARS'!$S$48*(8)+'LINEST VARS'!$R$48*($DC$8)+'LINEST VARS'!$Q$48*(0.5)+'LINEST VARS'!$P$48*($CX27)+'LINEST VARS'!$O$48*(8^2)+'LINEST VARS'!$N$48*(8^2)+'LINEST VARS'!$M$48*($DC$8^2)+'LINEST VARS'!$L$48*(0.5^2)+'LINEST VARS'!$K$48*($CX27^2)+'LINEST VARS'!$J$48*(8*8)+'LINEST VARS'!$I$48*(8*$DC$8)+'LINEST VARS'!$H$48*(8*0.5)+'LINEST VARS'!$G$48*(8*$CX27)+'LINEST VARS'!$F$48*(8*$DC$8)+'LINEST VARS'!$E$48*(8*0.5)+'LINEST VARS'!$D$48*(8*$CX27)+'LINEST VARS'!$C$48*($DC$8*0.5)+'LINEST VARS'!$B$48*($DC$8*$CX27)+'LINEST VARS'!$A$48*(0.5*$CX27)</f>
        <v>369.99999999999983</v>
      </c>
      <c r="DD27" s="46">
        <f>'LINEST VARS'!$U$48+'LINEST VARS'!$T$48*(8)+'LINEST VARS'!$S$48*(8)+'LINEST VARS'!$R$48*($DD$8)+'LINEST VARS'!$Q$48*(0.5)+'LINEST VARS'!$P$48*($CX27)+'LINEST VARS'!$O$48*(8^2)+'LINEST VARS'!$N$48*(8^2)+'LINEST VARS'!$M$48*($DD$8^2)+'LINEST VARS'!$L$48*(0.5^2)+'LINEST VARS'!$K$48*($CX27^2)+'LINEST VARS'!$J$48*(8*8)+'LINEST VARS'!$I$48*(8*$DD$8)+'LINEST VARS'!$H$48*(8*0.5)+'LINEST VARS'!$G$48*(8*$CX27)+'LINEST VARS'!$F$48*(8*$DD$8)+'LINEST VARS'!$E$48*(8*0.5)+'LINEST VARS'!$D$48*(8*$CX27)+'LINEST VARS'!$C$48*($DD$8*0.5)+'LINEST VARS'!$B$48*($DD$8*$CX27)+'LINEST VARS'!$A$48*(0.5*$CX27)</f>
        <v>369.99999999999983</v>
      </c>
      <c r="DE27" s="46">
        <f>'LINEST VARS'!$U$48+'LINEST VARS'!$T$48*(8)+'LINEST VARS'!$S$48*(8)+'LINEST VARS'!$R$48*($DE$8)+'LINEST VARS'!$Q$48*(0.5)+'LINEST VARS'!$P$48*($CX27)+'LINEST VARS'!$O$48*(8^2)+'LINEST VARS'!$N$48*(8^2)+'LINEST VARS'!$M$48*($DE$8^2)+'LINEST VARS'!$L$48*(0.5^2)+'LINEST VARS'!$K$48*($CX27^2)+'LINEST VARS'!$J$48*(8*8)+'LINEST VARS'!$I$48*(8*$DE$8)+'LINEST VARS'!$H$48*(8*0.5)+'LINEST VARS'!$G$48*(8*$CX27)+'LINEST VARS'!$F$48*(8*$DE$8)+'LINEST VARS'!$E$48*(8*0.5)+'LINEST VARS'!$D$48*(8*$CX27)+'LINEST VARS'!$C$48*($DE$8*0.5)+'LINEST VARS'!$B$48*($DE$8*$CX27)+'LINEST VARS'!$A$48*(0.5*$CX27)</f>
        <v>369.99999999999983</v>
      </c>
      <c r="DF27" s="46">
        <f>'LINEST VARS'!$U$48+'LINEST VARS'!$T$48*(8)+'LINEST VARS'!$S$48*(8)+'LINEST VARS'!$R$48*($DF$8)+'LINEST VARS'!$Q$48*(0.5)+'LINEST VARS'!$P$48*($CX27)+'LINEST VARS'!$O$48*(8^2)+'LINEST VARS'!$N$48*(8^2)+'LINEST VARS'!$M$48*($DF$8^2)+'LINEST VARS'!$L$48*(0.5^2)+'LINEST VARS'!$K$48*($CX27^2)+'LINEST VARS'!$J$48*(8*8)+'LINEST VARS'!$I$48*(8*$DF$8)+'LINEST VARS'!$H$48*(8*0.5)+'LINEST VARS'!$G$48*(8*$CX27)+'LINEST VARS'!$F$48*(8*$DF$8)+'LINEST VARS'!$E$48*(8*0.5)+'LINEST VARS'!$D$48*(8*$CX27)+'LINEST VARS'!$C$48*($DF$8*0.5)+'LINEST VARS'!$B$48*($DF$8*$CX27)+'LINEST VARS'!$A$48*(0.5*$CX27)</f>
        <v>369.99999999999977</v>
      </c>
      <c r="DG27" s="46">
        <f>'LINEST VARS'!$U$48+'LINEST VARS'!$T$48*(8)+'LINEST VARS'!$S$48*(8)+'LINEST VARS'!$R$48*($DG$8)+'LINEST VARS'!$Q$48*(0.5)+'LINEST VARS'!$P$48*($CX27)+'LINEST VARS'!$O$48*(8^2)+'LINEST VARS'!$N$48*(8^2)+'LINEST VARS'!$M$48*($DG$8^2)+'LINEST VARS'!$L$48*(0.5^2)+'LINEST VARS'!$K$48*($CX27^2)+'LINEST VARS'!$J$48*(8*8)+'LINEST VARS'!$I$48*(8*$DG$8)+'LINEST VARS'!$H$48*(8*0.5)+'LINEST VARS'!$G$48*(8*$CX27)+'LINEST VARS'!$F$48*(8*$DG$8)+'LINEST VARS'!$E$48*(8*0.5)+'LINEST VARS'!$D$48*(8*$CX27)+'LINEST VARS'!$C$48*($DG$8*0.5)+'LINEST VARS'!$B$48*($DG$8*$CX27)+'LINEST VARS'!$A$48*(0.5*$CX27)</f>
        <v>369.99999999999977</v>
      </c>
      <c r="DH27" s="46">
        <f>'LINEST VARS'!$U$48+'LINEST VARS'!$T$48*(8)+'LINEST VARS'!$S$48*(8)+'LINEST VARS'!$R$48*($DH$8)+'LINEST VARS'!$Q$48*(0.5)+'LINEST VARS'!$P$48*($CX27)+'LINEST VARS'!$O$48*(8^2)+'LINEST VARS'!$N$48*(8^2)+'LINEST VARS'!$M$48*($DH$8^2)+'LINEST VARS'!$L$48*(0.5^2)+'LINEST VARS'!$K$48*($CX27^2)+'LINEST VARS'!$J$48*(8*8)+'LINEST VARS'!$I$48*(8*$DH$8)+'LINEST VARS'!$H$48*(8*0.5)+'LINEST VARS'!$G$48*(8*$CX27)+'LINEST VARS'!$F$48*(8*$DH$8)+'LINEST VARS'!$E$48*(8*0.5)+'LINEST VARS'!$D$48*(8*$CX27)+'LINEST VARS'!$C$48*($DH$8*0.5)+'LINEST VARS'!$B$48*($DH$8*$CX27)+'LINEST VARS'!$A$48*(0.5*$CX27)</f>
        <v>369.99999999999977</v>
      </c>
      <c r="DI27" s="46">
        <f>'LINEST VARS'!$U$48+'LINEST VARS'!$T$48*(8)+'LINEST VARS'!$S$48*(8)+'LINEST VARS'!$R$48*($DI$8)+'LINEST VARS'!$Q$48*(0.5)+'LINEST VARS'!$P$48*($CX27)+'LINEST VARS'!$O$48*(8^2)+'LINEST VARS'!$N$48*(8^2)+'LINEST VARS'!$M$48*($DI$8^2)+'LINEST VARS'!$L$48*(0.5^2)+'LINEST VARS'!$K$48*($CX27^2)+'LINEST VARS'!$J$48*(8*8)+'LINEST VARS'!$I$48*(8*$DI$8)+'LINEST VARS'!$H$48*(8*0.5)+'LINEST VARS'!$G$48*(8*$CX27)+'LINEST VARS'!$F$48*(8*$DI$8)+'LINEST VARS'!$E$48*(8*0.5)+'LINEST VARS'!$D$48*(8*$CX27)+'LINEST VARS'!$C$48*($DI$8*0.5)+'LINEST VARS'!$B$48*($DI$8*$CX27)+'LINEST VARS'!$A$48*(0.5*$CX27)</f>
        <v>369.99999999999977</v>
      </c>
      <c r="DJ27" s="46">
        <f>'LINEST VARS'!$U$48+'LINEST VARS'!$T$48*(8)+'LINEST VARS'!$S$48*(8)+'LINEST VARS'!$R$48*($DJ$8)+'LINEST VARS'!$Q$48*(0.5)+'LINEST VARS'!$P$48*($CX27)+'LINEST VARS'!$O$48*(8^2)+'LINEST VARS'!$N$48*(8^2)+'LINEST VARS'!$M$48*($DJ$8^2)+'LINEST VARS'!$L$48*(0.5^2)+'LINEST VARS'!$K$48*($CX27^2)+'LINEST VARS'!$J$48*(8*8)+'LINEST VARS'!$I$48*(8*$DJ$8)+'LINEST VARS'!$H$48*(8*0.5)+'LINEST VARS'!$G$48*(8*$CX27)+'LINEST VARS'!$F$48*(8*$DJ$8)+'LINEST VARS'!$E$48*(8*0.5)+'LINEST VARS'!$D$48*(8*$CX27)+'LINEST VARS'!$C$48*($DJ$8*0.5)+'LINEST VARS'!$B$48*($DJ$8*$CX27)+'LINEST VARS'!$A$48*(0.5*$CX27)</f>
        <v>369.99999999999977</v>
      </c>
      <c r="DK27" s="46">
        <f>'LINEST VARS'!$U$48+'LINEST VARS'!$T$48*(8)+'LINEST VARS'!$S$48*(8)+'LINEST VARS'!$R$48*($DK$8)+'LINEST VARS'!$Q$48*(0.5)+'LINEST VARS'!$P$48*($CX27)+'LINEST VARS'!$O$48*(8^2)+'LINEST VARS'!$N$48*(8^2)+'LINEST VARS'!$M$48*($DK$8^2)+'LINEST VARS'!$L$48*(0.5^2)+'LINEST VARS'!$K$48*($CX27^2)+'LINEST VARS'!$J$48*(8*8)+'LINEST VARS'!$I$48*(8*$DK$8)+'LINEST VARS'!$H$48*(8*0.5)+'LINEST VARS'!$G$48*(8*$CX27)+'LINEST VARS'!$F$48*(8*$DK$8)+'LINEST VARS'!$E$48*(8*0.5)+'LINEST VARS'!$D$48*(8*$CX27)+'LINEST VARS'!$C$48*($DK$8*0.5)+'LINEST VARS'!$B$48*($DK$8*$CX27)+'LINEST VARS'!$A$48*(0.5*$CX27)</f>
        <v>369.99999999999977</v>
      </c>
      <c r="DL27" s="46">
        <f>'LINEST VARS'!$U$48+'LINEST VARS'!$T$48*(8)+'LINEST VARS'!$S$48*(8)+'LINEST VARS'!$R$48*($DL$8)+'LINEST VARS'!$Q$48*(0.5)+'LINEST VARS'!$P$48*($CX27)+'LINEST VARS'!$O$48*(8^2)+'LINEST VARS'!$N$48*(8^2)+'LINEST VARS'!$M$48*($DL$8^2)+'LINEST VARS'!$L$48*(0.5^2)+'LINEST VARS'!$K$48*($CX27^2)+'LINEST VARS'!$J$48*(8*8)+'LINEST VARS'!$I$48*(8*$DL$8)+'LINEST VARS'!$H$48*(8*0.5)+'LINEST VARS'!$G$48*(8*$CX27)+'LINEST VARS'!$F$48*(8*$DL$8)+'LINEST VARS'!$E$48*(8*0.5)+'LINEST VARS'!$D$48*(8*$CX27)+'LINEST VARS'!$C$48*($DL$8*0.5)+'LINEST VARS'!$B$48*($DL$8*$CX27)+'LINEST VARS'!$A$48*(0.5*$CX27)</f>
        <v>369.99999999999983</v>
      </c>
      <c r="DM27" s="46">
        <f>'LINEST VARS'!$U$48+'LINEST VARS'!$T$48*(8)+'LINEST VARS'!$S$48*(8)+'LINEST VARS'!$R$48*($DM$8)+'LINEST VARS'!$Q$48*(0.5)+'LINEST VARS'!$P$48*($CX27)+'LINEST VARS'!$O$48*(8^2)+'LINEST VARS'!$N$48*(8^2)+'LINEST VARS'!$M$48*($DM$8^2)+'LINEST VARS'!$L$48*(0.5^2)+'LINEST VARS'!$K$48*($CX27^2)+'LINEST VARS'!$J$48*(8*8)+'LINEST VARS'!$I$48*(8*$DM$8)+'LINEST VARS'!$H$48*(8*0.5)+'LINEST VARS'!$G$48*(8*$CX27)+'LINEST VARS'!$F$48*(8*$DM$8)+'LINEST VARS'!$E$48*(8*0.5)+'LINEST VARS'!$D$48*(8*$CX27)+'LINEST VARS'!$C$48*($DM$8*0.5)+'LINEST VARS'!$B$48*($DM$8*$CX27)+'LINEST VARS'!$A$48*(0.5*$CX27)</f>
        <v>369.99999999999983</v>
      </c>
      <c r="DN27" s="46">
        <f>'LINEST VARS'!$U$48+'LINEST VARS'!$T$48*(8)+'LINEST VARS'!$S$48*(8)+'LINEST VARS'!$R$48*($DN$8)+'LINEST VARS'!$Q$48*(0.5)+'LINEST VARS'!$P$48*($CX27)+'LINEST VARS'!$O$48*(8^2)+'LINEST VARS'!$N$48*(8^2)+'LINEST VARS'!$M$48*($DN$8^2)+'LINEST VARS'!$L$48*(0.5^2)+'LINEST VARS'!$K$48*($CX27^2)+'LINEST VARS'!$J$48*(8*8)+'LINEST VARS'!$I$48*(8*$DN$8)+'LINEST VARS'!$H$48*(8*0.5)+'LINEST VARS'!$G$48*(8*$CX27)+'LINEST VARS'!$F$48*(8*$DN$8)+'LINEST VARS'!$E$48*(8*0.5)+'LINEST VARS'!$D$48*(8*$CX27)+'LINEST VARS'!$C$48*($DN$8*0.5)+'LINEST VARS'!$B$48*($DN$8*$CX27)+'LINEST VARS'!$A$48*(0.5*$CX27)</f>
        <v>369.99999999999983</v>
      </c>
      <c r="DO27" s="46">
        <f>'LINEST VARS'!$U$48+'LINEST VARS'!$T$48*(8)+'LINEST VARS'!$S$48*(8)+'LINEST VARS'!$R$48*($DO$8)+'LINEST VARS'!$Q$48*(0.5)+'LINEST VARS'!$P$48*($CX27)+'LINEST VARS'!$O$48*(8^2)+'LINEST VARS'!$N$48*(8^2)+'LINEST VARS'!$M$48*($DO$8^2)+'LINEST VARS'!$L$48*(0.5^2)+'LINEST VARS'!$K$48*($CX27^2)+'LINEST VARS'!$J$48*(8*8)+'LINEST VARS'!$I$48*(8*$DO$8)+'LINEST VARS'!$H$48*(8*0.5)+'LINEST VARS'!$G$48*(8*$CX27)+'LINEST VARS'!$F$48*(8*$DO$8)+'LINEST VARS'!$E$48*(8*0.5)+'LINEST VARS'!$D$48*(8*$CX27)+'LINEST VARS'!$C$48*($DO$8*0.5)+'LINEST VARS'!$B$48*($DO$8*$CX27)+'LINEST VARS'!$A$48*(0.5*$CX27)</f>
        <v>369.99999999999977</v>
      </c>
      <c r="DP27" s="46">
        <f>'LINEST VARS'!$U$48+'LINEST VARS'!$T$48*(8)+'LINEST VARS'!$S$48*(8)+'LINEST VARS'!$R$48*($DP$8)+'LINEST VARS'!$Q$48*(0.5)+'LINEST VARS'!$P$48*($CX27)+'LINEST VARS'!$O$48*(8^2)+'LINEST VARS'!$N$48*(8^2)+'LINEST VARS'!$M$48*($DP$8^2)+'LINEST VARS'!$L$48*(0.5^2)+'LINEST VARS'!$K$48*($CX27^2)+'LINEST VARS'!$J$48*(8*8)+'LINEST VARS'!$I$48*(8*$DP$8)+'LINEST VARS'!$H$48*(8*0.5)+'LINEST VARS'!$G$48*(8*$CX27)+'LINEST VARS'!$F$48*(8*$DP$8)+'LINEST VARS'!$E$48*(8*0.5)+'LINEST VARS'!$D$48*(8*$CX27)+'LINEST VARS'!$C$48*($DP$8*0.5)+'LINEST VARS'!$B$48*($DP$8*$CX27)+'LINEST VARS'!$A$48*(0.5*$CX27)</f>
        <v>369.99999999999983</v>
      </c>
      <c r="DQ27" s="46">
        <f>'LINEST VARS'!$U$48+'LINEST VARS'!$T$48*(8)+'LINEST VARS'!$S$48*(8)+'LINEST VARS'!$R$48*($DQ$8)+'LINEST VARS'!$Q$48*(0.5)+'LINEST VARS'!$P$48*($CX27)+'LINEST VARS'!$O$48*(8^2)+'LINEST VARS'!$N$48*(8^2)+'LINEST VARS'!$M$48*($DQ$8^2)+'LINEST VARS'!$L$48*(0.5^2)+'LINEST VARS'!$K$48*($CX27^2)+'LINEST VARS'!$J$48*(8*8)+'LINEST VARS'!$I$48*(8*$DQ$8)+'LINEST VARS'!$H$48*(8*0.5)+'LINEST VARS'!$G$48*(8*$CX27)+'LINEST VARS'!$F$48*(8*$DQ$8)+'LINEST VARS'!$E$48*(8*0.5)+'LINEST VARS'!$D$48*(8*$CX27)+'LINEST VARS'!$C$48*($DQ$8*0.5)+'LINEST VARS'!$B$48*($DQ$8*$CX27)+'LINEST VARS'!$A$48*(0.5*$CX27)</f>
        <v>369.99999999999983</v>
      </c>
      <c r="DR27" s="46">
        <f>'LINEST VARS'!$U$48+'LINEST VARS'!$T$48*(8)+'LINEST VARS'!$S$48*(8)+'LINEST VARS'!$R$48*($DR$8)+'LINEST VARS'!$Q$48*(0.5)+'LINEST VARS'!$P$48*($CX27)+'LINEST VARS'!$O$48*(8^2)+'LINEST VARS'!$N$48*(8^2)+'LINEST VARS'!$M$48*($DR$8^2)+'LINEST VARS'!$L$48*(0.5^2)+'LINEST VARS'!$K$48*($CX27^2)+'LINEST VARS'!$J$48*(8*8)+'LINEST VARS'!$I$48*(8*$DR$8)+'LINEST VARS'!$H$48*(8*0.5)+'LINEST VARS'!$G$48*(8*$CX27)+'LINEST VARS'!$F$48*(8*$DR$8)+'LINEST VARS'!$E$48*(8*0.5)+'LINEST VARS'!$D$48*(8*$CX27)+'LINEST VARS'!$C$48*($DR$8*0.5)+'LINEST VARS'!$B$48*($DR$8*$CX27)+'LINEST VARS'!$A$48*(0.5*$CX27)</f>
        <v>369.99999999999983</v>
      </c>
      <c r="DS27" s="47">
        <f>'LINEST VARS'!$U$48+'LINEST VARS'!$T$48*(8)+'LINEST VARS'!$S$48*(8)+'LINEST VARS'!$R$48*($DS$8)+'LINEST VARS'!$Q$48*(0.5)+'LINEST VARS'!$P$48*($CX27)+'LINEST VARS'!$O$48*(8^2)+'LINEST VARS'!$N$48*(8^2)+'LINEST VARS'!$M$48*($DS$8^2)+'LINEST VARS'!$L$48*(0.5^2)+'LINEST VARS'!$K$48*($CX27^2)+'LINEST VARS'!$J$48*(8*8)+'LINEST VARS'!$I$48*(8*$DS$8)+'LINEST VARS'!$H$48*(8*0.5)+'LINEST VARS'!$G$48*(8*$CX27)+'LINEST VARS'!$F$48*(8*$DS$8)+'LINEST VARS'!$E$48*(8*0.5)+'LINEST VARS'!$D$48*(8*$CX27)+'LINEST VARS'!$C$48*($DS$8*0.5)+'LINEST VARS'!$B$48*($DS$8*$CX27)+'LINEST VARS'!$A$48*(0.5*$CX27)</f>
        <v>369.99999999999983</v>
      </c>
      <c r="DV27" s="45">
        <v>23.390999999999998</v>
      </c>
      <c r="DW27" s="46">
        <f>'LINEST VARS'!$U$50+'LINEST VARS'!$T$50*(8)+'LINEST VARS'!$S$50*(8)+'LINEST VARS'!$R$50*($DW$8)+'LINEST VARS'!$Q$50*(0.5)+'LINEST VARS'!$P$50*($DV27)+'LINEST VARS'!$O$50*(8^2)+'LINEST VARS'!$N$50*(8^2)+'LINEST VARS'!$M$50*($DW$8^2)+'LINEST VARS'!$L$50*(0.5^2)+'LINEST VARS'!$K$50*($DV27^2)+'LINEST VARS'!$J$50*(8*8)+'LINEST VARS'!$I$50*(8*$DW$8)+'LINEST VARS'!$H$50*(8*0.5)+'LINEST VARS'!$G$50*(8*$DV27)+'LINEST VARS'!$F$50*(8*$DW$8)+'LINEST VARS'!$E$50*(8*0.5)+'LINEST VARS'!$D$50*(8*$DV27)+'LINEST VARS'!$C$50*($DW$8*0.5)+'LINEST VARS'!$B$50*($DW$8*$DV27)+'LINEST VARS'!$A$50*(0.5*$DV27)</f>
        <v>331.99999999999989</v>
      </c>
      <c r="DX27" s="46">
        <f>'LINEST VARS'!$U$50+'LINEST VARS'!$T$50*(8)+'LINEST VARS'!$S$50*(8)+'LINEST VARS'!$R$50*($DX$8)+'LINEST VARS'!$Q$50*(0.5)+'LINEST VARS'!$P$50*($DV27)+'LINEST VARS'!$O$50*(8^2)+'LINEST VARS'!$N$50*(8^2)+'LINEST VARS'!$M$50*($DX$8^2)+'LINEST VARS'!$L$50*(0.5^2)+'LINEST VARS'!$K$50*($DV27^2)+'LINEST VARS'!$J$50*(8*8)+'LINEST VARS'!$I$50*(8*$DX$8)+'LINEST VARS'!$H$50*(8*0.5)+'LINEST VARS'!$G$50*(8*$DV27)+'LINEST VARS'!$F$50*(8*$DX$8)+'LINEST VARS'!$E$50*(8*0.5)+'LINEST VARS'!$D$50*(8*$DV27)+'LINEST VARS'!$C$50*($DX$8*0.5)+'LINEST VARS'!$B$50*($DX$8*$DV27)+'LINEST VARS'!$A$50*(0.5*$DV27)</f>
        <v>331.99999999999989</v>
      </c>
      <c r="DY27" s="46">
        <f>'LINEST VARS'!$U$50+'LINEST VARS'!$T$50*(8)+'LINEST VARS'!$S$50*(8)+'LINEST VARS'!$R$50*($DY$8)+'LINEST VARS'!$Q$50*(0.5)+'LINEST VARS'!$P$50*($DV27)+'LINEST VARS'!$O$50*(8^2)+'LINEST VARS'!$N$50*(8^2)+'LINEST VARS'!$M$50*($DY$8^2)+'LINEST VARS'!$L$50*(0.5^2)+'LINEST VARS'!$K$50*($DV27^2)+'LINEST VARS'!$J$50*(8*8)+'LINEST VARS'!$I$50*(8*$DY$8)+'LINEST VARS'!$H$50*(8*0.5)+'LINEST VARS'!$G$50*(8*$DV27)+'LINEST VARS'!$F$50*(8*$DY$8)+'LINEST VARS'!$E$50*(8*0.5)+'LINEST VARS'!$D$50*(8*$DV27)+'LINEST VARS'!$C$50*($DY$8*0.5)+'LINEST VARS'!$B$50*($DY$8*$DV27)+'LINEST VARS'!$A$50*(0.5*$DV27)</f>
        <v>331.99999999999989</v>
      </c>
      <c r="DZ27" s="46">
        <f>'LINEST VARS'!$U$50+'LINEST VARS'!$T$50*(8)+'LINEST VARS'!$S$50*(8)+'LINEST VARS'!$R$50*($DZ$8)+'LINEST VARS'!$Q$50*(0.5)+'LINEST VARS'!$P$50*($DV27)+'LINEST VARS'!$O$50*(8^2)+'LINEST VARS'!$N$50*(8^2)+'LINEST VARS'!$M$50*($DZ$8^2)+'LINEST VARS'!$L$50*(0.5^2)+'LINEST VARS'!$K$50*($DV27^2)+'LINEST VARS'!$J$50*(8*8)+'LINEST VARS'!$I$50*(8*$DZ$8)+'LINEST VARS'!$H$50*(8*0.5)+'LINEST VARS'!$G$50*(8*$DV27)+'LINEST VARS'!$F$50*(8*$DZ$8)+'LINEST VARS'!$E$50*(8*0.5)+'LINEST VARS'!$D$50*(8*$DV27)+'LINEST VARS'!$C$50*($DZ$8*0.5)+'LINEST VARS'!$B$50*($DZ$8*$DV27)+'LINEST VARS'!$A$50*(0.5*$DV27)</f>
        <v>331.99999999999989</v>
      </c>
      <c r="EA27" s="46">
        <f>'LINEST VARS'!$U$50+'LINEST VARS'!$T$50*(8)+'LINEST VARS'!$S$50*(8)+'LINEST VARS'!$R$50*($EA$8)+'LINEST VARS'!$Q$50*(0.5)+'LINEST VARS'!$P$50*($DV27)+'LINEST VARS'!$O$50*(8^2)+'LINEST VARS'!$N$50*(8^2)+'LINEST VARS'!$M$50*($EA$8^2)+'LINEST VARS'!$L$50*(0.5^2)+'LINEST VARS'!$K$50*($DV27^2)+'LINEST VARS'!$J$50*(8*8)+'LINEST VARS'!$I$50*(8*$EA$8)+'LINEST VARS'!$H$50*(8*0.5)+'LINEST VARS'!$G$50*(8*$DV27)+'LINEST VARS'!$F$50*(8*$EA$8)+'LINEST VARS'!$E$50*(8*0.5)+'LINEST VARS'!$D$50*(8*$DV27)+'LINEST VARS'!$C$50*($EA$8*0.5)+'LINEST VARS'!$B$50*($EA$8*$DV27)+'LINEST VARS'!$A$50*(0.5*$DV27)</f>
        <v>331.99999999999989</v>
      </c>
      <c r="EB27" s="46">
        <f>'LINEST VARS'!$U$50+'LINEST VARS'!$T$50*(8)+'LINEST VARS'!$S$50*(8)+'LINEST VARS'!$R$50*($EB$8)+'LINEST VARS'!$Q$50*(0.5)+'LINEST VARS'!$P$50*($DV27)+'LINEST VARS'!$O$50*(8^2)+'LINEST VARS'!$N$50*(8^2)+'LINEST VARS'!$M$50*($EB$8^2)+'LINEST VARS'!$L$50*(0.5^2)+'LINEST VARS'!$K$50*($DV27^2)+'LINEST VARS'!$J$50*(8*8)+'LINEST VARS'!$I$50*(8*$EB$8)+'LINEST VARS'!$H$50*(8*0.5)+'LINEST VARS'!$G$50*(8*$DV27)+'LINEST VARS'!$F$50*(8*$EB$8)+'LINEST VARS'!$E$50*(8*0.5)+'LINEST VARS'!$D$50*(8*$DV27)+'LINEST VARS'!$C$50*($EB$8*0.5)+'LINEST VARS'!$B$50*($EB$8*$DV27)+'LINEST VARS'!$A$50*(0.5*$DV27)</f>
        <v>331.99999999999989</v>
      </c>
      <c r="EC27" s="46">
        <f>'LINEST VARS'!$U$50+'LINEST VARS'!$T$50*(8)+'LINEST VARS'!$S$50*(8)+'LINEST VARS'!$R$50*($EC$8)+'LINEST VARS'!$Q$50*(0.5)+'LINEST VARS'!$P$50*($DV27)+'LINEST VARS'!$O$50*(8^2)+'LINEST VARS'!$N$50*(8^2)+'LINEST VARS'!$M$50*($EC$8^2)+'LINEST VARS'!$L$50*(0.5^2)+'LINEST VARS'!$K$50*($DV27^2)+'LINEST VARS'!$J$50*(8*8)+'LINEST VARS'!$I$50*(8*$EC$8)+'LINEST VARS'!$H$50*(8*0.5)+'LINEST VARS'!$G$50*(8*$DV27)+'LINEST VARS'!$F$50*(8*$EC$8)+'LINEST VARS'!$E$50*(8*0.5)+'LINEST VARS'!$D$50*(8*$DV27)+'LINEST VARS'!$C$50*($EC$8*0.5)+'LINEST VARS'!$B$50*($EC$8*$DV27)+'LINEST VARS'!$A$50*(0.5*$DV27)</f>
        <v>331.99999999999989</v>
      </c>
      <c r="ED27" s="46">
        <f>'LINEST VARS'!$U$50+'LINEST VARS'!$T$50*(8)+'LINEST VARS'!$S$50*(8)+'LINEST VARS'!$R$50*($ED$8)+'LINEST VARS'!$Q$50*(0.5)+'LINEST VARS'!$P$50*($DV27)+'LINEST VARS'!$O$50*(8^2)+'LINEST VARS'!$N$50*(8^2)+'LINEST VARS'!$M$50*($ED$8^2)+'LINEST VARS'!$L$50*(0.5^2)+'LINEST VARS'!$K$50*($DV27^2)+'LINEST VARS'!$J$50*(8*8)+'LINEST VARS'!$I$50*(8*$ED$8)+'LINEST VARS'!$H$50*(8*0.5)+'LINEST VARS'!$G$50*(8*$DV27)+'LINEST VARS'!$F$50*(8*$ED$8)+'LINEST VARS'!$E$50*(8*0.5)+'LINEST VARS'!$D$50*(8*$DV27)+'LINEST VARS'!$C$50*($ED$8*0.5)+'LINEST VARS'!$B$50*($ED$8*$DV27)+'LINEST VARS'!$A$50*(0.5*$DV27)</f>
        <v>331.99999999999989</v>
      </c>
      <c r="EE27" s="46">
        <f>'LINEST VARS'!$U$50+'LINEST VARS'!$T$50*(8)+'LINEST VARS'!$S$50*(8)+'LINEST VARS'!$R$50*($EE$8)+'LINEST VARS'!$Q$50*(0.5)+'LINEST VARS'!$P$50*($DV27)+'LINEST VARS'!$O$50*(8^2)+'LINEST VARS'!$N$50*(8^2)+'LINEST VARS'!$M$50*($EE$8^2)+'LINEST VARS'!$L$50*(0.5^2)+'LINEST VARS'!$K$50*($DV27^2)+'LINEST VARS'!$J$50*(8*8)+'LINEST VARS'!$I$50*(8*$EE$8)+'LINEST VARS'!$H$50*(8*0.5)+'LINEST VARS'!$G$50*(8*$DV27)+'LINEST VARS'!$F$50*(8*$EE$8)+'LINEST VARS'!$E$50*(8*0.5)+'LINEST VARS'!$D$50*(8*$DV27)+'LINEST VARS'!$C$50*($EE$8*0.5)+'LINEST VARS'!$B$50*($EE$8*$DV27)+'LINEST VARS'!$A$50*(0.5*$DV27)</f>
        <v>331.99999999999989</v>
      </c>
      <c r="EF27" s="46">
        <f>'LINEST VARS'!$U$50+'LINEST VARS'!$T$50*(8)+'LINEST VARS'!$S$50*(8)+'LINEST VARS'!$R$50*($EF$8)+'LINEST VARS'!$Q$50*(0.5)+'LINEST VARS'!$P$50*($DV27)+'LINEST VARS'!$O$50*(8^2)+'LINEST VARS'!$N$50*(8^2)+'LINEST VARS'!$M$50*($EF$8^2)+'LINEST VARS'!$L$50*(0.5^2)+'LINEST VARS'!$K$50*($DV27^2)+'LINEST VARS'!$J$50*(8*8)+'LINEST VARS'!$I$50*(8*$EF$8)+'LINEST VARS'!$H$50*(8*0.5)+'LINEST VARS'!$G$50*(8*$DV27)+'LINEST VARS'!$F$50*(8*$EF$8)+'LINEST VARS'!$E$50*(8*0.5)+'LINEST VARS'!$D$50*(8*$DV27)+'LINEST VARS'!$C$50*($EF$8*0.5)+'LINEST VARS'!$B$50*($EF$8*$DV27)+'LINEST VARS'!$A$50*(0.5*$DV27)</f>
        <v>331.99999999999989</v>
      </c>
      <c r="EG27" s="46">
        <f>'LINEST VARS'!$U$50+'LINEST VARS'!$T$50*(8)+'LINEST VARS'!$S$50*(8)+'LINEST VARS'!$R$50*($EG$8)+'LINEST VARS'!$Q$50*(0.5)+'LINEST VARS'!$P$50*($DV27)+'LINEST VARS'!$O$50*(8^2)+'LINEST VARS'!$N$50*(8^2)+'LINEST VARS'!$M$50*($EG$8^2)+'LINEST VARS'!$L$50*(0.5^2)+'LINEST VARS'!$K$50*($DV27^2)+'LINEST VARS'!$J$50*(8*8)+'LINEST VARS'!$I$50*(8*$EG$8)+'LINEST VARS'!$H$50*(8*0.5)+'LINEST VARS'!$G$50*(8*$DV27)+'LINEST VARS'!$F$50*(8*$EG$8)+'LINEST VARS'!$E$50*(8*0.5)+'LINEST VARS'!$D$50*(8*$DV27)+'LINEST VARS'!$C$50*($EG$8*0.5)+'LINEST VARS'!$B$50*($EG$8*$DV27)+'LINEST VARS'!$A$50*(0.5*$DV27)</f>
        <v>331.99999999999989</v>
      </c>
      <c r="EH27" s="46">
        <f>'LINEST VARS'!$U$50+'LINEST VARS'!$T$50*(8)+'LINEST VARS'!$S$50*(8)+'LINEST VARS'!$R$50*($EH$8)+'LINEST VARS'!$Q$50*(0.5)+'LINEST VARS'!$P$50*($DV27)+'LINEST VARS'!$O$50*(8^2)+'LINEST VARS'!$N$50*(8^2)+'LINEST VARS'!$M$50*($EH$8^2)+'LINEST VARS'!$L$50*(0.5^2)+'LINEST VARS'!$K$50*($DV27^2)+'LINEST VARS'!$J$50*(8*8)+'LINEST VARS'!$I$50*(8*$EH$8)+'LINEST VARS'!$H$50*(8*0.5)+'LINEST VARS'!$G$50*(8*$DV27)+'LINEST VARS'!$F$50*(8*$EH$8)+'LINEST VARS'!$E$50*(8*0.5)+'LINEST VARS'!$D$50*(8*$DV27)+'LINEST VARS'!$C$50*($EH$8*0.5)+'LINEST VARS'!$B$50*($EH$8*$DV27)+'LINEST VARS'!$A$50*(0.5*$DV27)</f>
        <v>331.99999999999989</v>
      </c>
      <c r="EI27" s="46">
        <f>'LINEST VARS'!$U$50+'LINEST VARS'!$T$50*(8)+'LINEST VARS'!$S$50*(8)+'LINEST VARS'!$R$50*($EI$8)+'LINEST VARS'!$Q$50*(0.5)+'LINEST VARS'!$P$50*($DV27)+'LINEST VARS'!$O$50*(8^2)+'LINEST VARS'!$N$50*(8^2)+'LINEST VARS'!$M$50*($EI$8^2)+'LINEST VARS'!$L$50*(0.5^2)+'LINEST VARS'!$K$50*($DV27^2)+'LINEST VARS'!$J$50*(8*8)+'LINEST VARS'!$I$50*(8*$EI$8)+'LINEST VARS'!$H$50*(8*0.5)+'LINEST VARS'!$G$50*(8*$DV27)+'LINEST VARS'!$F$50*(8*$EI$8)+'LINEST VARS'!$E$50*(8*0.5)+'LINEST VARS'!$D$50*(8*$DV27)+'LINEST VARS'!$C$50*($EI$8*0.5)+'LINEST VARS'!$B$50*($EI$8*$DV27)+'LINEST VARS'!$A$50*(0.5*$DV27)</f>
        <v>331.99999999999989</v>
      </c>
      <c r="EJ27" s="46">
        <f>'LINEST VARS'!$U$50+'LINEST VARS'!$T$50*(8)+'LINEST VARS'!$S$50*(8)+'LINEST VARS'!$R$50*($EJ$8)+'LINEST VARS'!$Q$50*(0.5)+'LINEST VARS'!$P$50*($DV27)+'LINEST VARS'!$O$50*(8^2)+'LINEST VARS'!$N$50*(8^2)+'LINEST VARS'!$M$50*($EJ$8^2)+'LINEST VARS'!$L$50*(0.5^2)+'LINEST VARS'!$K$50*($DV27^2)+'LINEST VARS'!$J$50*(8*8)+'LINEST VARS'!$I$50*(8*$EJ$8)+'LINEST VARS'!$H$50*(8*0.5)+'LINEST VARS'!$G$50*(8*$DV27)+'LINEST VARS'!$F$50*(8*$EJ$8)+'LINEST VARS'!$E$50*(8*0.5)+'LINEST VARS'!$D$50*(8*$DV27)+'LINEST VARS'!$C$50*($EJ$8*0.5)+'LINEST VARS'!$B$50*($EJ$8*$DV27)+'LINEST VARS'!$A$50*(0.5*$DV27)</f>
        <v>331.99999999999989</v>
      </c>
      <c r="EK27" s="46">
        <f>'LINEST VARS'!$U$50+'LINEST VARS'!$T$50*(8)+'LINEST VARS'!$S$50*(8)+'LINEST VARS'!$R$50*($EK$8)+'LINEST VARS'!$Q$50*(0.5)+'LINEST VARS'!$P$50*($DV27)+'LINEST VARS'!$O$50*(8^2)+'LINEST VARS'!$N$50*(8^2)+'LINEST VARS'!$M$50*($EK$8^2)+'LINEST VARS'!$L$50*(0.5^2)+'LINEST VARS'!$K$50*($DV27^2)+'LINEST VARS'!$J$50*(8*8)+'LINEST VARS'!$I$50*(8*$EK$8)+'LINEST VARS'!$H$50*(8*0.5)+'LINEST VARS'!$G$50*(8*$DV27)+'LINEST VARS'!$F$50*(8*$EK$8)+'LINEST VARS'!$E$50*(8*0.5)+'LINEST VARS'!$D$50*(8*$DV27)+'LINEST VARS'!$C$50*($EK$8*0.5)+'LINEST VARS'!$B$50*($EK$8*$DV27)+'LINEST VARS'!$A$50*(0.5*$DV27)</f>
        <v>331.99999999999989</v>
      </c>
      <c r="EL27" s="46">
        <f>'LINEST VARS'!$U$50+'LINEST VARS'!$T$50*(8)+'LINEST VARS'!$S$50*(8)+'LINEST VARS'!$R$50*($EL$8)+'LINEST VARS'!$Q$50*(0.5)+'LINEST VARS'!$P$50*($DV27)+'LINEST VARS'!$O$50*(8^2)+'LINEST VARS'!$N$50*(8^2)+'LINEST VARS'!$M$50*($EL$8^2)+'LINEST VARS'!$L$50*(0.5^2)+'LINEST VARS'!$K$50*($DV27^2)+'LINEST VARS'!$J$50*(8*8)+'LINEST VARS'!$I$50*(8*$EL$8)+'LINEST VARS'!$H$50*(8*0.5)+'LINEST VARS'!$G$50*(8*$DV27)+'LINEST VARS'!$F$50*(8*$EL$8)+'LINEST VARS'!$E$50*(8*0.5)+'LINEST VARS'!$D$50*(8*$DV27)+'LINEST VARS'!$C$50*($EL$8*0.5)+'LINEST VARS'!$B$50*($EL$8*$DV27)+'LINEST VARS'!$A$50*(0.5*$DV27)</f>
        <v>331.99999999999989</v>
      </c>
      <c r="EM27" s="46">
        <f>'LINEST VARS'!$U$50+'LINEST VARS'!$T$50*(8)+'LINEST VARS'!$S$50*(8)+'LINEST VARS'!$R$50*($EM$8)+'LINEST VARS'!$Q$50*(0.5)+'LINEST VARS'!$P$50*($DV27)+'LINEST VARS'!$O$50*(8^2)+'LINEST VARS'!$N$50*(8^2)+'LINEST VARS'!$M$50*($EM$8^2)+'LINEST VARS'!$L$50*(0.5^2)+'LINEST VARS'!$K$50*($DV27^2)+'LINEST VARS'!$J$50*(8*8)+'LINEST VARS'!$I$50*(8*$EM$8)+'LINEST VARS'!$H$50*(8*0.5)+'LINEST VARS'!$G$50*(8*$DV27)+'LINEST VARS'!$F$50*(8*$EM$8)+'LINEST VARS'!$E$50*(8*0.5)+'LINEST VARS'!$D$50*(8*$DV27)+'LINEST VARS'!$C$50*($EM$8*0.5)+'LINEST VARS'!$B$50*($EM$8*$DV27)+'LINEST VARS'!$A$50*(0.5*$DV27)</f>
        <v>331.99999999999989</v>
      </c>
      <c r="EN27" s="46">
        <f>'LINEST VARS'!$U$50+'LINEST VARS'!$T$50*(8)+'LINEST VARS'!$S$50*(8)+'LINEST VARS'!$R$50*($EN$8)+'LINEST VARS'!$Q$50*(0.5)+'LINEST VARS'!$P$50*($DV27)+'LINEST VARS'!$O$50*(8^2)+'LINEST VARS'!$N$50*(8^2)+'LINEST VARS'!$M$50*($EN$8^2)+'LINEST VARS'!$L$50*(0.5^2)+'LINEST VARS'!$K$50*($DV27^2)+'LINEST VARS'!$J$50*(8*8)+'LINEST VARS'!$I$50*(8*$EN$8)+'LINEST VARS'!$H$50*(8*0.5)+'LINEST VARS'!$G$50*(8*$DV27)+'LINEST VARS'!$F$50*(8*$EN$8)+'LINEST VARS'!$E$50*(8*0.5)+'LINEST VARS'!$D$50*(8*$DV27)+'LINEST VARS'!$C$50*($EN$8*0.5)+'LINEST VARS'!$B$50*($EN$8*$DV27)+'LINEST VARS'!$A$50*(0.5*$DV27)</f>
        <v>331.99999999999989</v>
      </c>
      <c r="EO27" s="46">
        <f>'LINEST VARS'!$U$50+'LINEST VARS'!$T$50*(8)+'LINEST VARS'!$S$50*(8)+'LINEST VARS'!$R$50*($EO$8)+'LINEST VARS'!$Q$50*(0.5)+'LINEST VARS'!$P$50*($DV27)+'LINEST VARS'!$O$50*(8^2)+'LINEST VARS'!$N$50*(8^2)+'LINEST VARS'!$M$50*($EO$8^2)+'LINEST VARS'!$L$50*(0.5^2)+'LINEST VARS'!$K$50*($DV27^2)+'LINEST VARS'!$J$50*(8*8)+'LINEST VARS'!$I$50*(8*$EO$8)+'LINEST VARS'!$H$50*(8*0.5)+'LINEST VARS'!$G$50*(8*$DV27)+'LINEST VARS'!$F$50*(8*$EO$8)+'LINEST VARS'!$E$50*(8*0.5)+'LINEST VARS'!$D$50*(8*$DV27)+'LINEST VARS'!$C$50*($EO$8*0.5)+'LINEST VARS'!$B$50*($EO$8*$DV27)+'LINEST VARS'!$A$50*(0.5*$DV27)</f>
        <v>331.99999999999989</v>
      </c>
      <c r="EP27" s="46">
        <f>'LINEST VARS'!$U$50+'LINEST VARS'!$T$50*(8)+'LINEST VARS'!$S$50*(8)+'LINEST VARS'!$R$50*($EP$8)+'LINEST VARS'!$Q$50*(0.5)+'LINEST VARS'!$P$50*($DV27)+'LINEST VARS'!$O$50*(8^2)+'LINEST VARS'!$N$50*(8^2)+'LINEST VARS'!$M$50*($EP$8^2)+'LINEST VARS'!$L$50*(0.5^2)+'LINEST VARS'!$K$50*($DV27^2)+'LINEST VARS'!$J$50*(8*8)+'LINEST VARS'!$I$50*(8*$EP$8)+'LINEST VARS'!$H$50*(8*0.5)+'LINEST VARS'!$G$50*(8*$DV27)+'LINEST VARS'!$F$50*(8*$EP$8)+'LINEST VARS'!$E$50*(8*0.5)+'LINEST VARS'!$D$50*(8*$DV27)+'LINEST VARS'!$C$50*($EP$8*0.5)+'LINEST VARS'!$B$50*($EP$8*$DV27)+'LINEST VARS'!$A$50*(0.5*$DV27)</f>
        <v>331.99999999999989</v>
      </c>
      <c r="EQ27" s="47">
        <f>'LINEST VARS'!$U$50+'LINEST VARS'!$T$50*(8)+'LINEST VARS'!$S$50*(8)+'LINEST VARS'!$R$50*($EQ$8)+'LINEST VARS'!$Q$50*(0.5)+'LINEST VARS'!$P$50*($DV27)+'LINEST VARS'!$O$50*(8^2)+'LINEST VARS'!$N$50*(8^2)+'LINEST VARS'!$M$50*($EQ$8^2)+'LINEST VARS'!$L$50*(0.5^2)+'LINEST VARS'!$K$50*($DV27^2)+'LINEST VARS'!$J$50*(8*8)+'LINEST VARS'!$I$50*(8*$EQ$8)+'LINEST VARS'!$H$50*(8*0.5)+'LINEST VARS'!$G$50*(8*$DV27)+'LINEST VARS'!$F$50*(8*$EQ$8)+'LINEST VARS'!$E$50*(8*0.5)+'LINEST VARS'!$D$50*(8*$DV27)+'LINEST VARS'!$C$50*($EQ$8*0.5)+'LINEST VARS'!$B$50*($EQ$8*$DV27)+'LINEST VARS'!$A$50*(0.5*$DV27)</f>
        <v>331.99999999999989</v>
      </c>
    </row>
    <row r="28" spans="2:147" ht="15" customHeight="1" x14ac:dyDescent="0.25">
      <c r="B28" s="45">
        <v>8.5399999999999991</v>
      </c>
      <c r="C28" s="46">
        <f>'LINEST VARS'!$U$48+'LINEST VARS'!$T$48*($C$8)+'LINEST VARS'!$S$48*($B28)+'LINEST VARS'!$R$48*(4)+'LINEST VARS'!$Q$48*(0.5)+'LINEST VARS'!$P$48*(12.73)+'LINEST VARS'!$O$48*($C$8^2)+'LINEST VARS'!$N$48*($B28^2)+'LINEST VARS'!$M$48*(4^2)+'LINEST VARS'!$L$48*(0.5^2)+'LINEST VARS'!$K$48*(12.73^2)+'LINEST VARS'!$J$48*($C$8*$B28)+'LINEST VARS'!$I$48*($C$8*4)+'LINEST VARS'!$H$48*($C$8*0.5)+'LINEST VARS'!$G$48*($C$8*12.73)+'LINEST VARS'!$F$48*($B28*4)+'LINEST VARS'!$E$48*($B28*0.5)+'LINEST VARS'!$D$48*($B28*12.73)+'LINEST VARS'!$C$48*(4*0.5)+'LINEST VARS'!$B$48*(4*12.73)+'LINEST VARS'!$A$48*(0.5*12.73)</f>
        <v>324.21999999999986</v>
      </c>
      <c r="D28" s="46">
        <f>'LINEST VARS'!$U$48+'LINEST VARS'!$T$48*($D$8)+'LINEST VARS'!$S$48*($B28)+'LINEST VARS'!$R$48*(4)+'LINEST VARS'!$Q$48*(0.5)+'LINEST VARS'!$P$48*(12.73)+'LINEST VARS'!$O$48*($D$8^2)+'LINEST VARS'!$N$48*($B28^2)+'LINEST VARS'!$M$48*(4^2)+'LINEST VARS'!$L$48*(0.5^2)+'LINEST VARS'!$K$48*(12.73^2)+'LINEST VARS'!$J$48*($D$8*$B28)+'LINEST VARS'!$I$48*($D$8*4)+'LINEST VARS'!$H$48*($D$8*0.5)+'LINEST VARS'!$G$48*($D$8*12.73)+'LINEST VARS'!$F$48*($B28*4)+'LINEST VARS'!$E$48*($B28*0.5)+'LINEST VARS'!$D$48*($B28*12.73)+'LINEST VARS'!$C$48*(4*0.5)+'LINEST VARS'!$B$48*(4*12.73)+'LINEST VARS'!$A$48*(0.5*12.73)</f>
        <v>328.79799999999983</v>
      </c>
      <c r="E28" s="46">
        <f>'LINEST VARS'!$U$48+'LINEST VARS'!$T$48*($E$8)+'LINEST VARS'!$S$48*($B28)+'LINEST VARS'!$R$48*(4)+'LINEST VARS'!$Q$48*(0.5)+'LINEST VARS'!$P$48*(12.73)+'LINEST VARS'!$O$48*($E$8^2)+'LINEST VARS'!$N$48*($B28^2)+'LINEST VARS'!$M$48*(4^2)+'LINEST VARS'!$L$48*(0.5^2)+'LINEST VARS'!$K$48*(12.73^2)+'LINEST VARS'!$J$48*($E$8*$B28)+'LINEST VARS'!$I$48*($E$8*4)+'LINEST VARS'!$H$48*($E$8*0.5)+'LINEST VARS'!$G$48*($E$8*12.73)+'LINEST VARS'!$F$48*($B28*4)+'LINEST VARS'!$E$48*($B28*0.5)+'LINEST VARS'!$D$48*($B28*12.73)+'LINEST VARS'!$C$48*(4*0.5)+'LINEST VARS'!$B$48*(4*12.73)+'LINEST VARS'!$A$48*(0.5*12.73)</f>
        <v>333.41199999999981</v>
      </c>
      <c r="F28" s="46">
        <f>'LINEST VARS'!$U$48+'LINEST VARS'!$T$48*($F$8)+'LINEST VARS'!$S$48*($B28)+'LINEST VARS'!$R$48*(4)+'LINEST VARS'!$Q$48*(0.5)+'LINEST VARS'!$P$48*(12.73)+'LINEST VARS'!$O$48*($F$8^2)+'LINEST VARS'!$N$48*($B28^2)+'LINEST VARS'!$M$48*(4^2)+'LINEST VARS'!$L$48*(0.5^2)+'LINEST VARS'!$K$48*(12.73^2)+'LINEST VARS'!$J$48*($F$8*$B28)+'LINEST VARS'!$I$48*($F$8*4)+'LINEST VARS'!$H$48*($F$8*0.5)+'LINEST VARS'!$G$48*($F$8*12.73)+'LINEST VARS'!$F$48*($B28*4)+'LINEST VARS'!$E$48*($B28*0.5)+'LINEST VARS'!$D$48*($B28*12.73)+'LINEST VARS'!$C$48*(4*0.5)+'LINEST VARS'!$B$48*(4*12.73)+'LINEST VARS'!$A$48*(0.5*12.73)</f>
        <v>338.06199999999984</v>
      </c>
      <c r="G28" s="46">
        <f>'LINEST VARS'!$U$48+'LINEST VARS'!$T$48*($G$8)+'LINEST VARS'!$S$48*($B28)+'LINEST VARS'!$R$48*(4)+'LINEST VARS'!$Q$48*(0.5)+'LINEST VARS'!$P$48*(12.73)+'LINEST VARS'!$O$48*($G$8^2)+'LINEST VARS'!$N$48*($B28^2)+'LINEST VARS'!$M$48*(4^2)+'LINEST VARS'!$L$48*(0.5^2)+'LINEST VARS'!$K$48*(12.73^2)+'LINEST VARS'!$J$48*($G$8*$B28)+'LINEST VARS'!$I$48*($G$8*4)+'LINEST VARS'!$H$48*($G$8*0.5)+'LINEST VARS'!$G$48*($G$8*12.73)+'LINEST VARS'!$F$48*($B28*4)+'LINEST VARS'!$E$48*($B28*0.5)+'LINEST VARS'!$D$48*($B28*12.73)+'LINEST VARS'!$C$48*(4*0.5)+'LINEST VARS'!$B$48*(4*12.73)+'LINEST VARS'!$A$48*(0.5*12.73)</f>
        <v>342.74799999999988</v>
      </c>
      <c r="H28" s="46">
        <f>'LINEST VARS'!$U$48+'LINEST VARS'!$T$48*($H$8)+'LINEST VARS'!$S$48*($B28)+'LINEST VARS'!$R$48*(4)+'LINEST VARS'!$Q$48*(0.5)+'LINEST VARS'!$P$48*(12.73)+'LINEST VARS'!$O$48*($H$8^2)+'LINEST VARS'!$N$48*($B28^2)+'LINEST VARS'!$M$48*(4^2)+'LINEST VARS'!$L$48*(0.5^2)+'LINEST VARS'!$K$48*(12.73^2)+'LINEST VARS'!$J$48*($H$8*$B28)+'LINEST VARS'!$I$48*($H$8*4)+'LINEST VARS'!$H$48*($H$8*0.5)+'LINEST VARS'!$G$48*($H$8*12.73)+'LINEST VARS'!$F$48*($B28*4)+'LINEST VARS'!$E$48*($B28*0.5)+'LINEST VARS'!$D$48*($B28*12.73)+'LINEST VARS'!$C$48*(4*0.5)+'LINEST VARS'!$B$48*(4*12.73)+'LINEST VARS'!$A$48*(0.5*12.73)</f>
        <v>347.46999999999986</v>
      </c>
      <c r="I28" s="46">
        <f>'LINEST VARS'!$U$48+'LINEST VARS'!$T$48*($I$8)+'LINEST VARS'!$S$48*($B28)+'LINEST VARS'!$R$48*(4)+'LINEST VARS'!$Q$48*(0.5)+'LINEST VARS'!$P$48*(12.73)+'LINEST VARS'!$O$48*($I$8^2)+'LINEST VARS'!$N$48*($B28^2)+'LINEST VARS'!$M$48*(4^2)+'LINEST VARS'!$L$48*(0.5^2)+'LINEST VARS'!$K$48*(12.73^2)+'LINEST VARS'!$J$48*($I$8*$B28)+'LINEST VARS'!$I$48*($I$8*4)+'LINEST VARS'!$H$48*($I$8*0.5)+'LINEST VARS'!$G$48*($I$8*12.73)+'LINEST VARS'!$F$48*($B28*4)+'LINEST VARS'!$E$48*($B28*0.5)+'LINEST VARS'!$D$48*($B28*12.73)+'LINEST VARS'!$C$48*(4*0.5)+'LINEST VARS'!$B$48*(4*12.73)+'LINEST VARS'!$A$48*(0.5*12.73)</f>
        <v>352.22799999999978</v>
      </c>
      <c r="J28" s="46">
        <f>'LINEST VARS'!$U$48+'LINEST VARS'!$T$48*($J$8)+'LINEST VARS'!$S$48*($B28)+'LINEST VARS'!$R$48*(4)+'LINEST VARS'!$Q$48*(0.5)+'LINEST VARS'!$P$48*(12.73)+'LINEST VARS'!$O$48*($J$8^2)+'LINEST VARS'!$N$48*($B28^2)+'LINEST VARS'!$M$48*(4^2)+'LINEST VARS'!$L$48*(0.5^2)+'LINEST VARS'!$K$48*(12.73^2)+'LINEST VARS'!$J$48*($J$8*$B28)+'LINEST VARS'!$I$48*($J$8*4)+'LINEST VARS'!$H$48*($J$8*0.5)+'LINEST VARS'!$G$48*($J$8*12.73)+'LINEST VARS'!$F$48*($B28*4)+'LINEST VARS'!$E$48*($B28*0.5)+'LINEST VARS'!$D$48*($B28*12.73)+'LINEST VARS'!$C$48*(4*0.5)+'LINEST VARS'!$B$48*(4*12.73)+'LINEST VARS'!$A$48*(0.5*12.73)</f>
        <v>357.02199999999988</v>
      </c>
      <c r="K28" s="46">
        <f>'LINEST VARS'!$U$48+'LINEST VARS'!$T$48*($K$8)+'LINEST VARS'!$S$48*($B28)+'LINEST VARS'!$R$48*(4)+'LINEST VARS'!$Q$48*(0.5)+'LINEST VARS'!$P$48*(12.73)+'LINEST VARS'!$O$48*($K$8^2)+'LINEST VARS'!$N$48*($B28^2)+'LINEST VARS'!$M$48*(4^2)+'LINEST VARS'!$L$48*(0.5^2)+'LINEST VARS'!$K$48*(12.73^2)+'LINEST VARS'!$J$48*($K$8*$B28)+'LINEST VARS'!$I$48*($K$8*4)+'LINEST VARS'!$H$48*($K$8*0.5)+'LINEST VARS'!$G$48*($K$8*12.73)+'LINEST VARS'!$F$48*($B28*4)+'LINEST VARS'!$E$48*($B28*0.5)+'LINEST VARS'!$D$48*($B28*12.73)+'LINEST VARS'!$C$48*(4*0.5)+'LINEST VARS'!$B$48*(4*12.73)+'LINEST VARS'!$A$48*(0.5*12.73)</f>
        <v>361.85199999999986</v>
      </c>
      <c r="L28" s="46">
        <f>'LINEST VARS'!$U$48+'LINEST VARS'!$T$48*($L$8)+'LINEST VARS'!$S$48*($B28)+'LINEST VARS'!$R$48*(4)+'LINEST VARS'!$Q$48*(0.5)+'LINEST VARS'!$P$48*(12.73)+'LINEST VARS'!$O$48*($L$8^2)+'LINEST VARS'!$N$48*($B28^2)+'LINEST VARS'!$M$48*(4^2)+'LINEST VARS'!$L$48*(0.5^2)+'LINEST VARS'!$K$48*(12.73^2)+'LINEST VARS'!$J$48*($L$8*$B28)+'LINEST VARS'!$I$48*($L$8*4)+'LINEST VARS'!$H$48*($L$8*0.5)+'LINEST VARS'!$G$48*($L$8*12.73)+'LINEST VARS'!$F$48*($B28*4)+'LINEST VARS'!$E$48*($B28*0.5)+'LINEST VARS'!$D$48*($B28*12.73)+'LINEST VARS'!$C$48*(4*0.5)+'LINEST VARS'!$B$48*(4*12.73)+'LINEST VARS'!$A$48*(0.5*12.73)</f>
        <v>366.71799999999985</v>
      </c>
      <c r="M28" s="46">
        <f>'LINEST VARS'!$U$48+'LINEST VARS'!$T$48*($M$8)+'LINEST VARS'!$S$48*($B28)+'LINEST VARS'!$R$48*(4)+'LINEST VARS'!$Q$48*(0.5)+'LINEST VARS'!$P$48*(12.73)+'LINEST VARS'!$O$48*($M$8^2)+'LINEST VARS'!$N$48*($B28^2)+'LINEST VARS'!$M$48*(4^2)+'LINEST VARS'!$L$48*(0.5^2)+'LINEST VARS'!$K$48*(12.73^2)+'LINEST VARS'!$J$48*($M$8*$B28)+'LINEST VARS'!$I$48*($M$8*4)+'LINEST VARS'!$H$48*($M$8*0.5)+'LINEST VARS'!$G$48*($M$8*12.73)+'LINEST VARS'!$F$48*($B28*4)+'LINEST VARS'!$E$48*($B28*0.5)+'LINEST VARS'!$D$48*($B28*12.73)+'LINEST VARS'!$C$48*(4*0.5)+'LINEST VARS'!$B$48*(4*12.73)+'LINEST VARS'!$A$48*(0.5*12.73)</f>
        <v>371.61999999999978</v>
      </c>
      <c r="N28" s="46">
        <f>'LINEST VARS'!$U$48+'LINEST VARS'!$T$48*($N$8)+'LINEST VARS'!$S$48*($B28)+'LINEST VARS'!$R$48*(4)+'LINEST VARS'!$Q$48*(0.5)+'LINEST VARS'!$P$48*(12.73)+'LINEST VARS'!$O$48*($N$8^2)+'LINEST VARS'!$N$48*($B28^2)+'LINEST VARS'!$M$48*(4^2)+'LINEST VARS'!$L$48*(0.5^2)+'LINEST VARS'!$K$48*(12.73^2)+'LINEST VARS'!$J$48*($N$8*$B28)+'LINEST VARS'!$I$48*($N$8*4)+'LINEST VARS'!$H$48*($N$8*0.5)+'LINEST VARS'!$G$48*($N$8*12.73)+'LINEST VARS'!$F$48*($B28*4)+'LINEST VARS'!$E$48*($B28*0.5)+'LINEST VARS'!$D$48*($B28*12.73)+'LINEST VARS'!$C$48*(4*0.5)+'LINEST VARS'!$B$48*(4*12.73)+'LINEST VARS'!$A$48*(0.5*12.73)</f>
        <v>376.55799999999988</v>
      </c>
      <c r="O28" s="46">
        <f>'LINEST VARS'!$U$48+'LINEST VARS'!$T$48*($O$8)+'LINEST VARS'!$S$48*($B28)+'LINEST VARS'!$R$48*(4)+'LINEST VARS'!$Q$48*(0.5)+'LINEST VARS'!$P$48*(12.73)+'LINEST VARS'!$O$48*($O$8^2)+'LINEST VARS'!$N$48*($B28^2)+'LINEST VARS'!$M$48*(4^2)+'LINEST VARS'!$L$48*(0.5^2)+'LINEST VARS'!$K$48*(12.73^2)+'LINEST VARS'!$J$48*($O$8*$B28)+'LINEST VARS'!$I$48*($O$8*4)+'LINEST VARS'!$H$48*($O$8*0.5)+'LINEST VARS'!$G$48*($O$8*12.73)+'LINEST VARS'!$F$48*($B28*4)+'LINEST VARS'!$E$48*($B28*0.5)+'LINEST VARS'!$D$48*($B28*12.73)+'LINEST VARS'!$C$48*(4*0.5)+'LINEST VARS'!$B$48*(4*12.73)+'LINEST VARS'!$A$48*(0.5*12.73)</f>
        <v>381.5319999999997</v>
      </c>
      <c r="P28" s="46">
        <f>'LINEST VARS'!$U$48+'LINEST VARS'!$T$48*($P$8)+'LINEST VARS'!$S$48*($B28)+'LINEST VARS'!$R$48*(4)+'LINEST VARS'!$Q$48*(0.5)+'LINEST VARS'!$P$48*(12.73)+'LINEST VARS'!$O$48*($P$8^2)+'LINEST VARS'!$N$48*($B28^2)+'LINEST VARS'!$M$48*(4^2)+'LINEST VARS'!$L$48*(0.5^2)+'LINEST VARS'!$K$48*(12.73^2)+'LINEST VARS'!$J$48*($P$8*$B28)+'LINEST VARS'!$I$48*($P$8*4)+'LINEST VARS'!$H$48*($P$8*0.5)+'LINEST VARS'!$G$48*($P$8*12.73)+'LINEST VARS'!$F$48*($B28*4)+'LINEST VARS'!$E$48*($B28*0.5)+'LINEST VARS'!$D$48*($B28*12.73)+'LINEST VARS'!$C$48*(4*0.5)+'LINEST VARS'!$B$48*(4*12.73)+'LINEST VARS'!$A$48*(0.5*12.73)</f>
        <v>386.54199999999969</v>
      </c>
      <c r="Q28" s="46">
        <f>'LINEST VARS'!$U$48+'LINEST VARS'!$T$48*($Q$8)+'LINEST VARS'!$S$48*($B28)+'LINEST VARS'!$R$48*(4)+'LINEST VARS'!$Q$48*(0.5)+'LINEST VARS'!$P$48*(12.73)+'LINEST VARS'!$O$48*($Q$8^2)+'LINEST VARS'!$N$48*($B28^2)+'LINEST VARS'!$M$48*(4^2)+'LINEST VARS'!$L$48*(0.5^2)+'LINEST VARS'!$K$48*(12.73^2)+'LINEST VARS'!$J$48*($Q$8*$B28)+'LINEST VARS'!$I$48*($Q$8*4)+'LINEST VARS'!$H$48*($Q$8*0.5)+'LINEST VARS'!$G$48*($Q$8*12.73)+'LINEST VARS'!$F$48*($B28*4)+'LINEST VARS'!$E$48*($B28*0.5)+'LINEST VARS'!$D$48*($B28*12.73)+'LINEST VARS'!$C$48*(4*0.5)+'LINEST VARS'!$B$48*(4*12.73)+'LINEST VARS'!$A$48*(0.5*12.73)</f>
        <v>391.58799999999979</v>
      </c>
      <c r="R28" s="46">
        <f>'LINEST VARS'!$U$48+'LINEST VARS'!$T$48*($R$8)+'LINEST VARS'!$S$48*($B28)+'LINEST VARS'!$R$48*(4)+'LINEST VARS'!$Q$48*(0.5)+'LINEST VARS'!$P$48*(12.73)+'LINEST VARS'!$O$48*($R$8^2)+'LINEST VARS'!$N$48*($B28^2)+'LINEST VARS'!$M$48*(4^2)+'LINEST VARS'!$L$48*(0.5^2)+'LINEST VARS'!$K$48*(12.73^2)+'LINEST VARS'!$J$48*($R$8*$B28)+'LINEST VARS'!$I$48*($R$8*4)+'LINEST VARS'!$H$48*($R$8*0.5)+'LINEST VARS'!$G$48*($R$8*12.73)+'LINEST VARS'!$F$48*($B28*4)+'LINEST VARS'!$E$48*($B28*0.5)+'LINEST VARS'!$D$48*($B28*12.73)+'LINEST VARS'!$C$48*(4*0.5)+'LINEST VARS'!$B$48*(4*12.73)+'LINEST VARS'!$A$48*(0.5*12.73)</f>
        <v>396.66999999999985</v>
      </c>
      <c r="S28" s="46">
        <f>'LINEST VARS'!$U$48+'LINEST VARS'!$T$48*($S$8)+'LINEST VARS'!$S$48*($B28)+'LINEST VARS'!$R$48*(4)+'LINEST VARS'!$Q$48*(0.5)+'LINEST VARS'!$P$48*(12.73)+'LINEST VARS'!$O$48*($S$8^2)+'LINEST VARS'!$N$48*($B28^2)+'LINEST VARS'!$M$48*(4^2)+'LINEST VARS'!$L$48*(0.5^2)+'LINEST VARS'!$K$48*(12.73^2)+'LINEST VARS'!$J$48*($S$8*$B28)+'LINEST VARS'!$I$48*($S$8*4)+'LINEST VARS'!$H$48*($S$8*0.5)+'LINEST VARS'!$G$48*($S$8*12.73)+'LINEST VARS'!$F$48*($B28*4)+'LINEST VARS'!$E$48*($B28*0.5)+'LINEST VARS'!$D$48*($B28*12.73)+'LINEST VARS'!$C$48*(4*0.5)+'LINEST VARS'!$B$48*(4*12.73)+'LINEST VARS'!$A$48*(0.5*12.73)</f>
        <v>401.78799999999973</v>
      </c>
      <c r="T28" s="46">
        <f>'LINEST VARS'!$U$48+'LINEST VARS'!$T$48*($T$8)+'LINEST VARS'!$S$48*($B28)+'LINEST VARS'!$R$48*(4)+'LINEST VARS'!$Q$48*(0.5)+'LINEST VARS'!$P$48*(12.73)+'LINEST VARS'!$O$48*($T$8^2)+'LINEST VARS'!$N$48*($B28^2)+'LINEST VARS'!$M$48*(4^2)+'LINEST VARS'!$L$48*(0.5^2)+'LINEST VARS'!$K$48*(12.73^2)+'LINEST VARS'!$J$48*($T$8*$B28)+'LINEST VARS'!$I$48*($T$8*4)+'LINEST VARS'!$H$48*($T$8*0.5)+'LINEST VARS'!$G$48*($T$8*12.73)+'LINEST VARS'!$F$48*($B28*4)+'LINEST VARS'!$E$48*($B28*0.5)+'LINEST VARS'!$D$48*($B28*12.73)+'LINEST VARS'!$C$48*(4*0.5)+'LINEST VARS'!$B$48*(4*12.73)+'LINEST VARS'!$A$48*(0.5*12.73)</f>
        <v>406.94199999999978</v>
      </c>
      <c r="U28" s="46">
        <f>'LINEST VARS'!$U$48+'LINEST VARS'!$T$48*($U$8)+'LINEST VARS'!$S$48*($B28)+'LINEST VARS'!$R$48*(4)+'LINEST VARS'!$Q$48*(0.5)+'LINEST VARS'!$P$48*(12.73)+'LINEST VARS'!$O$48*($U$8^2)+'LINEST VARS'!$N$48*($B28^2)+'LINEST VARS'!$M$48*(4^2)+'LINEST VARS'!$L$48*(0.5^2)+'LINEST VARS'!$K$48*(12.73^2)+'LINEST VARS'!$J$48*($U$8*$B28)+'LINEST VARS'!$I$48*($U$8*4)+'LINEST VARS'!$H$48*($U$8*0.5)+'LINEST VARS'!$G$48*($U$8*12.73)+'LINEST VARS'!$F$48*($B28*4)+'LINEST VARS'!$E$48*($B28*0.5)+'LINEST VARS'!$D$48*($B28*12.73)+'LINEST VARS'!$C$48*(4*0.5)+'LINEST VARS'!$B$48*(4*12.73)+'LINEST VARS'!$A$48*(0.5*12.73)</f>
        <v>412.13199999999989</v>
      </c>
      <c r="V28" s="46">
        <f>'LINEST VARS'!$U$48+'LINEST VARS'!$T$48*($V$8)+'LINEST VARS'!$S$48*($B28)+'LINEST VARS'!$R$48*(4)+'LINEST VARS'!$Q$48*(0.5)+'LINEST VARS'!$P$48*(12.73)+'LINEST VARS'!$O$48*($V$8^2)+'LINEST VARS'!$N$48*($B28^2)+'LINEST VARS'!$M$48*(4^2)+'LINEST VARS'!$L$48*(0.5^2)+'LINEST VARS'!$K$48*(12.73^2)+'LINEST VARS'!$J$48*($V$8*$B28)+'LINEST VARS'!$I$48*($V$8*4)+'LINEST VARS'!$H$48*($V$8*0.5)+'LINEST VARS'!$G$48*($V$8*12.73)+'LINEST VARS'!$F$48*($B28*4)+'LINEST VARS'!$E$48*($B28*0.5)+'LINEST VARS'!$D$48*($B28*12.73)+'LINEST VARS'!$C$48*(4*0.5)+'LINEST VARS'!$B$48*(4*12.73)+'LINEST VARS'!$A$48*(0.5*12.73)</f>
        <v>417.35799999999978</v>
      </c>
      <c r="W28" s="47">
        <f>'LINEST VARS'!$U$48+'LINEST VARS'!$T$48*($W$8)+'LINEST VARS'!$S$48*($B28)+'LINEST VARS'!$R$48*(4)+'LINEST VARS'!$Q$48*(0.5)+'LINEST VARS'!$P$48*(12.73)+'LINEST VARS'!$O$48*($W$8^2)+'LINEST VARS'!$N$48*($B28^2)+'LINEST VARS'!$M$48*(4^2)+'LINEST VARS'!$L$48*(0.5^2)+'LINEST VARS'!$K$48*(12.73^2)+'LINEST VARS'!$J$48*($W$8*$B28)+'LINEST VARS'!$I$48*($W$8*4)+'LINEST VARS'!$H$48*($W$8*0.5)+'LINEST VARS'!$G$48*($W$8*12.73)+'LINEST VARS'!$F$48*($B28*4)+'LINEST VARS'!$E$48*($B28*0.5)+'LINEST VARS'!$D$48*($B28*12.73)+'LINEST VARS'!$C$48*(4*0.5)+'LINEST VARS'!$B$48*(4*12.73)+'LINEST VARS'!$A$48*(0.5*12.73)</f>
        <v>422.61999999999978</v>
      </c>
      <c r="Z28" s="45">
        <v>8.5399999999999991</v>
      </c>
      <c r="AA28" s="46">
        <f>'LINEST VARS'!$U$50+'LINEST VARS'!$T$50*($AA$8)+'LINEST VARS'!$S$50*($Z28)+'LINEST VARS'!$R$50*(4)+'LINEST VARS'!$Q$50*(0.5)+'LINEST VARS'!$P$50*(12.73)+'LINEST VARS'!$O$50*($AA$8^2)+'LINEST VARS'!$N$50*($Z28^2)+'LINEST VARS'!$M$50*(4^2)+'LINEST VARS'!$L$50*(0.5^2)+'LINEST VARS'!$K$50*(12.73^2)+'LINEST VARS'!$J$50*($AA$8*$Z28)+'LINEST VARS'!$I$50*($AA$8*4)+'LINEST VARS'!$H$50*($AA$8*0.5)+'LINEST VARS'!$G$50*($AA$8*12.73)+'LINEST VARS'!$F$50*($Z28*4)+'LINEST VARS'!$E$50*($Z28*0.5)+'LINEST VARS'!$D$50*($Z28*12.73)+'LINEST VARS'!$C$50*(4*0.5)+'LINEST VARS'!$B$50*(4*12.73)+'LINEST VARS'!$A$50*(0.5*12.73)</f>
        <v>332.44999999999987</v>
      </c>
      <c r="AB28" s="46">
        <f>'LINEST VARS'!$U$50+'LINEST VARS'!$T$50*($AB$8)+'LINEST VARS'!$S$50*($Z28)+'LINEST VARS'!$R$50*(4)+'LINEST VARS'!$Q$50*(0.5)+'LINEST VARS'!$P$50*(12.73)+'LINEST VARS'!$O$50*($AB$8^2)+'LINEST VARS'!$N$50*($Z28^2)+'LINEST VARS'!$M$50*(4^2)+'LINEST VARS'!$L$50*(0.5^2)+'LINEST VARS'!$K$50*(12.73^2)+'LINEST VARS'!$J$50*($AB$8*$Z28)+'LINEST VARS'!$I$50*($AB$8*4)+'LINEST VARS'!$H$50*($AB$8*0.5)+'LINEST VARS'!$G$50*($AB$8*12.73)+'LINEST VARS'!$F$50*($Z28*4)+'LINEST VARS'!$E$50*($Z28*0.5)+'LINEST VARS'!$D$50*($Z28*12.73)+'LINEST VARS'!$C$50*(4*0.5)+'LINEST VARS'!$B$50*(4*12.73)+'LINEST VARS'!$A$50*(0.5*12.73)</f>
        <v>332.53999999999985</v>
      </c>
      <c r="AC28" s="46">
        <f>'LINEST VARS'!$U$50+'LINEST VARS'!$T$50*($AC$8)+'LINEST VARS'!$S$50*($Z28)+'LINEST VARS'!$R$50*(4)+'LINEST VARS'!$Q$50*(0.5)+'LINEST VARS'!$P$50*(12.73)+'LINEST VARS'!$O$50*($AC$8^2)+'LINEST VARS'!$N$50*($Z28^2)+'LINEST VARS'!$M$50*(4^2)+'LINEST VARS'!$L$50*(0.5^2)+'LINEST VARS'!$K$50*(12.73^2)+'LINEST VARS'!$J$50*($AC$8*$Z28)+'LINEST VARS'!$I$50*($AC$8*4)+'LINEST VARS'!$H$50*($AC$8*0.5)+'LINEST VARS'!$G$50*($AC$8*12.73)+'LINEST VARS'!$F$50*($Z28*4)+'LINEST VARS'!$E$50*($Z28*0.5)+'LINEST VARS'!$D$50*($Z28*12.73)+'LINEST VARS'!$C$50*(4*0.5)+'LINEST VARS'!$B$50*(4*12.73)+'LINEST VARS'!$A$50*(0.5*12.73)</f>
        <v>332.62999999999988</v>
      </c>
      <c r="AD28" s="46">
        <f>'LINEST VARS'!$U$50+'LINEST VARS'!$T$50*($AD$8)+'LINEST VARS'!$S$50*($Z28)+'LINEST VARS'!$R$50*(4)+'LINEST VARS'!$Q$50*(0.5)+'LINEST VARS'!$P$50*(12.73)+'LINEST VARS'!$O$50*($AD$8^2)+'LINEST VARS'!$N$50*($Z28^2)+'LINEST VARS'!$M$50*(4^2)+'LINEST VARS'!$L$50*(0.5^2)+'LINEST VARS'!$K$50*(12.73^2)+'LINEST VARS'!$J$50*($AD$8*$Z28)+'LINEST VARS'!$I$50*($AD$8*4)+'LINEST VARS'!$H$50*($AD$8*0.5)+'LINEST VARS'!$G$50*($AD$8*12.73)+'LINEST VARS'!$F$50*($Z28*4)+'LINEST VARS'!$E$50*($Z28*0.5)+'LINEST VARS'!$D$50*($Z28*12.73)+'LINEST VARS'!$C$50*(4*0.5)+'LINEST VARS'!$B$50*(4*12.73)+'LINEST VARS'!$A$50*(0.5*12.73)</f>
        <v>332.71999999999986</v>
      </c>
      <c r="AE28" s="46">
        <f>'LINEST VARS'!$U$50+'LINEST VARS'!$T$50*($AE$8)+'LINEST VARS'!$S$50*($Z28)+'LINEST VARS'!$R$50*(4)+'LINEST VARS'!$Q$50*(0.5)+'LINEST VARS'!$P$50*(12.73)+'LINEST VARS'!$O$50*($AE$8^2)+'LINEST VARS'!$N$50*($Z28^2)+'LINEST VARS'!$M$50*(4^2)+'LINEST VARS'!$L$50*(0.5^2)+'LINEST VARS'!$K$50*(12.73^2)+'LINEST VARS'!$J$50*($AE$8*$Z28)+'LINEST VARS'!$I$50*($AE$8*4)+'LINEST VARS'!$H$50*($AE$8*0.5)+'LINEST VARS'!$G$50*($AE$8*12.73)+'LINEST VARS'!$F$50*($Z28*4)+'LINEST VARS'!$E$50*($Z28*0.5)+'LINEST VARS'!$D$50*($Z28*12.73)+'LINEST VARS'!$C$50*(4*0.5)+'LINEST VARS'!$B$50*(4*12.73)+'LINEST VARS'!$A$50*(0.5*12.73)</f>
        <v>332.80999999999983</v>
      </c>
      <c r="AF28" s="46">
        <f>'LINEST VARS'!$U$50+'LINEST VARS'!$T$50*($AF$8)+'LINEST VARS'!$S$50*($Z28)+'LINEST VARS'!$R$50*(4)+'LINEST VARS'!$Q$50*(0.5)+'LINEST VARS'!$P$50*(12.73)+'LINEST VARS'!$O$50*($AF$8^2)+'LINEST VARS'!$N$50*($Z28^2)+'LINEST VARS'!$M$50*(4^2)+'LINEST VARS'!$L$50*(0.5^2)+'LINEST VARS'!$K$50*(12.73^2)+'LINEST VARS'!$J$50*($AF$8*$Z28)+'LINEST VARS'!$I$50*($AF$8*4)+'LINEST VARS'!$H$50*($AF$8*0.5)+'LINEST VARS'!$G$50*($AF$8*12.73)+'LINEST VARS'!$F$50*($Z28*4)+'LINEST VARS'!$E$50*($Z28*0.5)+'LINEST VARS'!$D$50*($Z28*12.73)+'LINEST VARS'!$C$50*(4*0.5)+'LINEST VARS'!$B$50*(4*12.73)+'LINEST VARS'!$A$50*(0.5*12.73)</f>
        <v>332.89999999999986</v>
      </c>
      <c r="AG28" s="46">
        <f>'LINEST VARS'!$U$50+'LINEST VARS'!$T$50*($AG$8)+'LINEST VARS'!$S$50*($Z28)+'LINEST VARS'!$R$50*(4)+'LINEST VARS'!$Q$50*(0.5)+'LINEST VARS'!$P$50*(12.73)+'LINEST VARS'!$O$50*($AG$8^2)+'LINEST VARS'!$N$50*($Z28^2)+'LINEST VARS'!$M$50*(4^2)+'LINEST VARS'!$L$50*(0.5^2)+'LINEST VARS'!$K$50*(12.73^2)+'LINEST VARS'!$J$50*($AG$8*$Z28)+'LINEST VARS'!$I$50*($AG$8*4)+'LINEST VARS'!$H$50*($AG$8*0.5)+'LINEST VARS'!$G$50*($AG$8*12.73)+'LINEST VARS'!$F$50*($Z28*4)+'LINEST VARS'!$E$50*($Z28*0.5)+'LINEST VARS'!$D$50*($Z28*12.73)+'LINEST VARS'!$C$50*(4*0.5)+'LINEST VARS'!$B$50*(4*12.73)+'LINEST VARS'!$A$50*(0.5*12.73)</f>
        <v>332.98999999999984</v>
      </c>
      <c r="AH28" s="46">
        <f>'LINEST VARS'!$U$50+'LINEST VARS'!$T$50*($AH$8)+'LINEST VARS'!$S$50*($Z28)+'LINEST VARS'!$R$50*(4)+'LINEST VARS'!$Q$50*(0.5)+'LINEST VARS'!$P$50*(12.73)+'LINEST VARS'!$O$50*($AH$8^2)+'LINEST VARS'!$N$50*($Z28^2)+'LINEST VARS'!$M$50*(4^2)+'LINEST VARS'!$L$50*(0.5^2)+'LINEST VARS'!$K$50*(12.73^2)+'LINEST VARS'!$J$50*($AH$8*$Z28)+'LINEST VARS'!$I$50*($AH$8*4)+'LINEST VARS'!$H$50*($AH$8*0.5)+'LINEST VARS'!$G$50*($AH$8*12.73)+'LINEST VARS'!$F$50*($Z28*4)+'LINEST VARS'!$E$50*($Z28*0.5)+'LINEST VARS'!$D$50*($Z28*12.73)+'LINEST VARS'!$C$50*(4*0.5)+'LINEST VARS'!$B$50*(4*12.73)+'LINEST VARS'!$A$50*(0.5*12.73)</f>
        <v>333.07999999999987</v>
      </c>
      <c r="AI28" s="46">
        <f>'LINEST VARS'!$U$50+'LINEST VARS'!$T$50*($AI$8)+'LINEST VARS'!$S$50*($Z28)+'LINEST VARS'!$R$50*(4)+'LINEST VARS'!$Q$50*(0.5)+'LINEST VARS'!$P$50*(12.73)+'LINEST VARS'!$O$50*($AI$8^2)+'LINEST VARS'!$N$50*($Z28^2)+'LINEST VARS'!$M$50*(4^2)+'LINEST VARS'!$L$50*(0.5^2)+'LINEST VARS'!$K$50*(12.73^2)+'LINEST VARS'!$J$50*($AI$8*$Z28)+'LINEST VARS'!$I$50*($AI$8*4)+'LINEST VARS'!$H$50*($AI$8*0.5)+'LINEST VARS'!$G$50*($AI$8*12.73)+'LINEST VARS'!$F$50*($Z28*4)+'LINEST VARS'!$E$50*($Z28*0.5)+'LINEST VARS'!$D$50*($Z28*12.73)+'LINEST VARS'!$C$50*(4*0.5)+'LINEST VARS'!$B$50*(4*12.73)+'LINEST VARS'!$A$50*(0.5*12.73)</f>
        <v>333.16999999999985</v>
      </c>
      <c r="AJ28" s="46">
        <f>'LINEST VARS'!$U$50+'LINEST VARS'!$T$50*($AJ$8)+'LINEST VARS'!$S$50*($Z28)+'LINEST VARS'!$R$50*(4)+'LINEST VARS'!$Q$50*(0.5)+'LINEST VARS'!$P$50*(12.73)+'LINEST VARS'!$O$50*($AJ$8^2)+'LINEST VARS'!$N$50*($Z28^2)+'LINEST VARS'!$M$50*(4^2)+'LINEST VARS'!$L$50*(0.5^2)+'LINEST VARS'!$K$50*(12.73^2)+'LINEST VARS'!$J$50*($AJ$8*$Z28)+'LINEST VARS'!$I$50*($AJ$8*4)+'LINEST VARS'!$H$50*($AJ$8*0.5)+'LINEST VARS'!$G$50*($AJ$8*12.73)+'LINEST VARS'!$F$50*($Z28*4)+'LINEST VARS'!$E$50*($Z28*0.5)+'LINEST VARS'!$D$50*($Z28*12.73)+'LINEST VARS'!$C$50*(4*0.5)+'LINEST VARS'!$B$50*(4*12.73)+'LINEST VARS'!$A$50*(0.5*12.73)</f>
        <v>333.25999999999988</v>
      </c>
      <c r="AK28" s="46">
        <f>'LINEST VARS'!$U$50+'LINEST VARS'!$T$50*($AK$8)+'LINEST VARS'!$S$50*($Z28)+'LINEST VARS'!$R$50*(4)+'LINEST VARS'!$Q$50*(0.5)+'LINEST VARS'!$P$50*(12.73)+'LINEST VARS'!$O$50*($AK$8^2)+'LINEST VARS'!$N$50*($Z28^2)+'LINEST VARS'!$M$50*(4^2)+'LINEST VARS'!$L$50*(0.5^2)+'LINEST VARS'!$K$50*(12.73^2)+'LINEST VARS'!$J$50*($AK$8*$Z28)+'LINEST VARS'!$I$50*($AK$8*4)+'LINEST VARS'!$H$50*($AK$8*0.5)+'LINEST VARS'!$G$50*($AK$8*12.73)+'LINEST VARS'!$F$50*($Z28*4)+'LINEST VARS'!$E$50*($Z28*0.5)+'LINEST VARS'!$D$50*($Z28*12.73)+'LINEST VARS'!$C$50*(4*0.5)+'LINEST VARS'!$B$50*(4*12.73)+'LINEST VARS'!$A$50*(0.5*12.73)</f>
        <v>333.34999999999985</v>
      </c>
      <c r="AL28" s="46">
        <f>'LINEST VARS'!$U$50+'LINEST VARS'!$T$50*($AL$8)+'LINEST VARS'!$S$50*($Z28)+'LINEST VARS'!$R$50*(4)+'LINEST VARS'!$Q$50*(0.5)+'LINEST VARS'!$P$50*(12.73)+'LINEST VARS'!$O$50*($AL$8^2)+'LINEST VARS'!$N$50*($Z28^2)+'LINEST VARS'!$M$50*(4^2)+'LINEST VARS'!$L$50*(0.5^2)+'LINEST VARS'!$K$50*(12.73^2)+'LINEST VARS'!$J$50*($AL$8*$Z28)+'LINEST VARS'!$I$50*($AL$8*4)+'LINEST VARS'!$H$50*($AL$8*0.5)+'LINEST VARS'!$G$50*($AL$8*12.73)+'LINEST VARS'!$F$50*($Z28*4)+'LINEST VARS'!$E$50*($Z28*0.5)+'LINEST VARS'!$D$50*($Z28*12.73)+'LINEST VARS'!$C$50*(4*0.5)+'LINEST VARS'!$B$50*(4*12.73)+'LINEST VARS'!$A$50*(0.5*12.73)</f>
        <v>333.43999999999983</v>
      </c>
      <c r="AM28" s="46">
        <f>'LINEST VARS'!$U$50+'LINEST VARS'!$T$50*($AM$8)+'LINEST VARS'!$S$50*($Z28)+'LINEST VARS'!$R$50*(4)+'LINEST VARS'!$Q$50*(0.5)+'LINEST VARS'!$P$50*(12.73)+'LINEST VARS'!$O$50*($AM$8^2)+'LINEST VARS'!$N$50*($Z28^2)+'LINEST VARS'!$M$50*(4^2)+'LINEST VARS'!$L$50*(0.5^2)+'LINEST VARS'!$K$50*(12.73^2)+'LINEST VARS'!$J$50*($AM$8*$Z28)+'LINEST VARS'!$I$50*($AM$8*4)+'LINEST VARS'!$H$50*($AM$8*0.5)+'LINEST VARS'!$G$50*($AM$8*12.73)+'LINEST VARS'!$F$50*($Z28*4)+'LINEST VARS'!$E$50*($Z28*0.5)+'LINEST VARS'!$D$50*($Z28*12.73)+'LINEST VARS'!$C$50*(4*0.5)+'LINEST VARS'!$B$50*(4*12.73)+'LINEST VARS'!$A$50*(0.5*12.73)</f>
        <v>333.52999999999986</v>
      </c>
      <c r="AN28" s="46">
        <f>'LINEST VARS'!$U$50+'LINEST VARS'!$T$50*($AN$8)+'LINEST VARS'!$S$50*($Z28)+'LINEST VARS'!$R$50*(4)+'LINEST VARS'!$Q$50*(0.5)+'LINEST VARS'!$P$50*(12.73)+'LINEST VARS'!$O$50*($AN$8^2)+'LINEST VARS'!$N$50*($Z28^2)+'LINEST VARS'!$M$50*(4^2)+'LINEST VARS'!$L$50*(0.5^2)+'LINEST VARS'!$K$50*(12.73^2)+'LINEST VARS'!$J$50*($AN$8*$Z28)+'LINEST VARS'!$I$50*($AN$8*4)+'LINEST VARS'!$H$50*($AN$8*0.5)+'LINEST VARS'!$G$50*($AN$8*12.73)+'LINEST VARS'!$F$50*($Z28*4)+'LINEST VARS'!$E$50*($Z28*0.5)+'LINEST VARS'!$D$50*($Z28*12.73)+'LINEST VARS'!$C$50*(4*0.5)+'LINEST VARS'!$B$50*(4*12.73)+'LINEST VARS'!$A$50*(0.5*12.73)</f>
        <v>333.61999999999983</v>
      </c>
      <c r="AO28" s="46">
        <f>'LINEST VARS'!$U$50+'LINEST VARS'!$T$50*($AO$8)+'LINEST VARS'!$S$50*($Z28)+'LINEST VARS'!$R$50*(4)+'LINEST VARS'!$Q$50*(0.5)+'LINEST VARS'!$P$50*(12.73)+'LINEST VARS'!$O$50*($AO$8^2)+'LINEST VARS'!$N$50*($Z28^2)+'LINEST VARS'!$M$50*(4^2)+'LINEST VARS'!$L$50*(0.5^2)+'LINEST VARS'!$K$50*(12.73^2)+'LINEST VARS'!$J$50*($AO$8*$Z28)+'LINEST VARS'!$I$50*($AO$8*4)+'LINEST VARS'!$H$50*($AO$8*0.5)+'LINEST VARS'!$G$50*($AO$8*12.73)+'LINEST VARS'!$F$50*($Z28*4)+'LINEST VARS'!$E$50*($Z28*0.5)+'LINEST VARS'!$D$50*($Z28*12.73)+'LINEST VARS'!$C$50*(4*0.5)+'LINEST VARS'!$B$50*(4*12.73)+'LINEST VARS'!$A$50*(0.5*12.73)</f>
        <v>333.70999999999987</v>
      </c>
      <c r="AP28" s="46">
        <f>'LINEST VARS'!$U$50+'LINEST VARS'!$T$50*($AP$8)+'LINEST VARS'!$S$50*($Z28)+'LINEST VARS'!$R$50*(4)+'LINEST VARS'!$Q$50*(0.5)+'LINEST VARS'!$P$50*(12.73)+'LINEST VARS'!$O$50*($AP$8^2)+'LINEST VARS'!$N$50*($Z28^2)+'LINEST VARS'!$M$50*(4^2)+'LINEST VARS'!$L$50*(0.5^2)+'LINEST VARS'!$K$50*(12.73^2)+'LINEST VARS'!$J$50*($AP$8*$Z28)+'LINEST VARS'!$I$50*($AP$8*4)+'LINEST VARS'!$H$50*($AP$8*0.5)+'LINEST VARS'!$G$50*($AP$8*12.73)+'LINEST VARS'!$F$50*($Z28*4)+'LINEST VARS'!$E$50*($Z28*0.5)+'LINEST VARS'!$D$50*($Z28*12.73)+'LINEST VARS'!$C$50*(4*0.5)+'LINEST VARS'!$B$50*(4*12.73)+'LINEST VARS'!$A$50*(0.5*12.73)</f>
        <v>333.79999999999984</v>
      </c>
      <c r="AQ28" s="46">
        <f>'LINEST VARS'!$U$50+'LINEST VARS'!$T$50*($AQ$8)+'LINEST VARS'!$S$50*($Z28)+'LINEST VARS'!$R$50*(4)+'LINEST VARS'!$Q$50*(0.5)+'LINEST VARS'!$P$50*(12.73)+'LINEST VARS'!$O$50*($AQ$8^2)+'LINEST VARS'!$N$50*($Z28^2)+'LINEST VARS'!$M$50*(4^2)+'LINEST VARS'!$L$50*(0.5^2)+'LINEST VARS'!$K$50*(12.73^2)+'LINEST VARS'!$J$50*($AQ$8*$Z28)+'LINEST VARS'!$I$50*($AQ$8*4)+'LINEST VARS'!$H$50*($AQ$8*0.5)+'LINEST VARS'!$G$50*($AQ$8*12.73)+'LINEST VARS'!$F$50*($Z28*4)+'LINEST VARS'!$E$50*($Z28*0.5)+'LINEST VARS'!$D$50*($Z28*12.73)+'LINEST VARS'!$C$50*(4*0.5)+'LINEST VARS'!$B$50*(4*12.73)+'LINEST VARS'!$A$50*(0.5*12.73)</f>
        <v>333.88999999999987</v>
      </c>
      <c r="AR28" s="46">
        <f>'LINEST VARS'!$U$50+'LINEST VARS'!$T$50*($AR$8)+'LINEST VARS'!$S$50*($Z28)+'LINEST VARS'!$R$50*(4)+'LINEST VARS'!$Q$50*(0.5)+'LINEST VARS'!$P$50*(12.73)+'LINEST VARS'!$O$50*($AR$8^2)+'LINEST VARS'!$N$50*($Z28^2)+'LINEST VARS'!$M$50*(4^2)+'LINEST VARS'!$L$50*(0.5^2)+'LINEST VARS'!$K$50*(12.73^2)+'LINEST VARS'!$J$50*($AR$8*$Z28)+'LINEST VARS'!$I$50*($AR$8*4)+'LINEST VARS'!$H$50*($AR$8*0.5)+'LINEST VARS'!$G$50*($AR$8*12.73)+'LINEST VARS'!$F$50*($Z28*4)+'LINEST VARS'!$E$50*($Z28*0.5)+'LINEST VARS'!$D$50*($Z28*12.73)+'LINEST VARS'!$C$50*(4*0.5)+'LINEST VARS'!$B$50*(4*12.73)+'LINEST VARS'!$A$50*(0.5*12.73)</f>
        <v>333.97999999999985</v>
      </c>
      <c r="AS28" s="46">
        <f>'LINEST VARS'!$U$50+'LINEST VARS'!$T$50*($AS$8)+'LINEST VARS'!$S$50*($Z28)+'LINEST VARS'!$R$50*(4)+'LINEST VARS'!$Q$50*(0.5)+'LINEST VARS'!$P$50*(12.73)+'LINEST VARS'!$O$50*($AS$8^2)+'LINEST VARS'!$N$50*($Z28^2)+'LINEST VARS'!$M$50*(4^2)+'LINEST VARS'!$L$50*(0.5^2)+'LINEST VARS'!$K$50*(12.73^2)+'LINEST VARS'!$J$50*($AS$8*$Z28)+'LINEST VARS'!$I$50*($AS$8*4)+'LINEST VARS'!$H$50*($AS$8*0.5)+'LINEST VARS'!$G$50*($AS$8*12.73)+'LINEST VARS'!$F$50*($Z28*4)+'LINEST VARS'!$E$50*($Z28*0.5)+'LINEST VARS'!$D$50*($Z28*12.73)+'LINEST VARS'!$C$50*(4*0.5)+'LINEST VARS'!$B$50*(4*12.73)+'LINEST VARS'!$A$50*(0.5*12.73)</f>
        <v>334.06999999999982</v>
      </c>
      <c r="AT28" s="46">
        <f>'LINEST VARS'!$U$50+'LINEST VARS'!$T$50*($AT$8)+'LINEST VARS'!$S$50*($Z28)+'LINEST VARS'!$R$50*(4)+'LINEST VARS'!$Q$50*(0.5)+'LINEST VARS'!$P$50*(12.73)+'LINEST VARS'!$O$50*($AT$8^2)+'LINEST VARS'!$N$50*($Z28^2)+'LINEST VARS'!$M$50*(4^2)+'LINEST VARS'!$L$50*(0.5^2)+'LINEST VARS'!$K$50*(12.73^2)+'LINEST VARS'!$J$50*($AT$8*$Z28)+'LINEST VARS'!$I$50*($AT$8*4)+'LINEST VARS'!$H$50*($AT$8*0.5)+'LINEST VARS'!$G$50*($AT$8*12.73)+'LINEST VARS'!$F$50*($Z28*4)+'LINEST VARS'!$E$50*($Z28*0.5)+'LINEST VARS'!$D$50*($Z28*12.73)+'LINEST VARS'!$C$50*(4*0.5)+'LINEST VARS'!$B$50*(4*12.73)+'LINEST VARS'!$A$50*(0.5*12.73)</f>
        <v>334.15999999999985</v>
      </c>
      <c r="AU28" s="47">
        <f>'LINEST VARS'!$U$50+'LINEST VARS'!$T$50*($AU$8)+'LINEST VARS'!$S$50*($Z28)+'LINEST VARS'!$R$50*(4)+'LINEST VARS'!$Q$50*(0.5)+'LINEST VARS'!$P$50*(12.73)+'LINEST VARS'!$O$50*($AU$8^2)+'LINEST VARS'!$N$50*($Z28^2)+'LINEST VARS'!$M$50*(4^2)+'LINEST VARS'!$L$50*(0.5^2)+'LINEST VARS'!$K$50*(12.73^2)+'LINEST VARS'!$J$50*($AU$8*$Z28)+'LINEST VARS'!$I$50*($AU$8*4)+'LINEST VARS'!$H$50*($AU$8*0.5)+'LINEST VARS'!$G$50*($AU$8*12.73)+'LINEST VARS'!$F$50*($Z28*4)+'LINEST VARS'!$E$50*($Z28*0.5)+'LINEST VARS'!$D$50*($Z28*12.73)+'LINEST VARS'!$C$50*(4*0.5)+'LINEST VARS'!$B$50*(4*12.73)+'LINEST VARS'!$A$50*(0.5*12.73)</f>
        <v>334.24999999999983</v>
      </c>
      <c r="AZ28" s="45">
        <v>0.95</v>
      </c>
      <c r="BA28" s="46">
        <f>'LINEST VARS'!$U$48+'LINEST VARS'!$T$48*(8)+'LINEST VARS'!$S$48*(8)+'LINEST VARS'!$R$48*($BA$8)+'LINEST VARS'!$Q$48*($AZ28)+'LINEST VARS'!$P$48*(12.73)+'LINEST VARS'!$O$48*(8^2)+'LINEST VARS'!$N$48*(8^2)+'LINEST VARS'!$M$48*($BA$8^2)+'LINEST VARS'!$L$48*($AZ28^2)+'LINEST VARS'!$K$48*(12.73^2)+'LINEST VARS'!$J$48*(8*8)+'LINEST VARS'!$I$48*(8*$BA$8)+'LINEST VARS'!$H$48*(8*$AZ28)+'LINEST VARS'!$G$48*(8*12.73)+'LINEST VARS'!$F$48*(8*$BA$8)+'LINEST VARS'!$E$48*(8*$AZ28)+'LINEST VARS'!$D$48*(8*12.73)+'LINEST VARS'!$C$48*($BA$8*$AZ28)+'LINEST VARS'!$B$48*($BA$8*12.73)+'LINEST VARS'!$A$48*($AZ28*12.73)</f>
        <v>369.99999999999983</v>
      </c>
      <c r="BB28" s="46">
        <f>'LINEST VARS'!$U$48+'LINEST VARS'!$T$48*(8)+'LINEST VARS'!$S$48*(8)+'LINEST VARS'!$R$48*($BB$8)+'LINEST VARS'!$Q$48*($AZ28)+'LINEST VARS'!$P$48*(12.73)+'LINEST VARS'!$O$48*(8^2)+'LINEST VARS'!$N$48*(8^2)+'LINEST VARS'!$M$48*($BB$8^2)+'LINEST VARS'!$L$48*($AZ28^2)+'LINEST VARS'!$K$48*(12.73^2)+'LINEST VARS'!$J$48*(8*8)+'LINEST VARS'!$I$48*(8*$BB$8)+'LINEST VARS'!$H$48*(8*$AZ28)+'LINEST VARS'!$G$48*(8*12.73)+'LINEST VARS'!$F$48*(8*$BB$8)+'LINEST VARS'!$E$48*(8*$AZ28)+'LINEST VARS'!$D$48*(8*12.73)+'LINEST VARS'!$C$48*($BB$8*$AZ28)+'LINEST VARS'!$B$48*($BB$8*12.73)+'LINEST VARS'!$A$48*($AZ28*12.73)</f>
        <v>369.99999999999983</v>
      </c>
      <c r="BC28" s="46">
        <f>'LINEST VARS'!$U$48+'LINEST VARS'!$T$48*(8)+'LINEST VARS'!$S$48*(8)+'LINEST VARS'!$R$48*($BC$8)+'LINEST VARS'!$Q$48*($AZ28)+'LINEST VARS'!$P$48*(12.73)+'LINEST VARS'!$O$48*(8^2)+'LINEST VARS'!$N$48*(8^2)+'LINEST VARS'!$M$48*($BC$8^2)+'LINEST VARS'!$L$48*($AZ28^2)+'LINEST VARS'!$K$48*(12.73^2)+'LINEST VARS'!$J$48*(8*8)+'LINEST VARS'!$I$48*(8*$BC$8)+'LINEST VARS'!$H$48*(8*$AZ28)+'LINEST VARS'!$G$48*(8*12.73)+'LINEST VARS'!$F$48*(8*$BC$8)+'LINEST VARS'!$E$48*(8*$AZ28)+'LINEST VARS'!$D$48*(8*12.73)+'LINEST VARS'!$C$48*($BC$8*$AZ28)+'LINEST VARS'!$B$48*($BC$8*12.73)+'LINEST VARS'!$A$48*($AZ28*12.73)</f>
        <v>369.99999999999983</v>
      </c>
      <c r="BD28" s="46">
        <f>'LINEST VARS'!$U$48+'LINEST VARS'!$T$48*(8)+'LINEST VARS'!$S$48*(8)+'LINEST VARS'!$R$48*($BD$8)+'LINEST VARS'!$Q$48*($AZ28)+'LINEST VARS'!$P$48*(12.73)+'LINEST VARS'!$O$48*(8^2)+'LINEST VARS'!$N$48*(8^2)+'LINEST VARS'!$M$48*($BD$8^2)+'LINEST VARS'!$L$48*($AZ28^2)+'LINEST VARS'!$K$48*(12.73^2)+'LINEST VARS'!$J$48*(8*8)+'LINEST VARS'!$I$48*(8*$BD$8)+'LINEST VARS'!$H$48*(8*$AZ28)+'LINEST VARS'!$G$48*(8*12.73)+'LINEST VARS'!$F$48*(8*$BD$8)+'LINEST VARS'!$E$48*(8*$AZ28)+'LINEST VARS'!$D$48*(8*12.73)+'LINEST VARS'!$C$48*($BD$8*$AZ28)+'LINEST VARS'!$B$48*($BD$8*12.73)+'LINEST VARS'!$A$48*($AZ28*12.73)</f>
        <v>369.99999999999983</v>
      </c>
      <c r="BE28" s="46">
        <f>'LINEST VARS'!$U$48+'LINEST VARS'!$T$48*(8)+'LINEST VARS'!$S$48*(8)+'LINEST VARS'!$R$48*($BE$8)+'LINEST VARS'!$Q$48*($AZ28)+'LINEST VARS'!$P$48*(12.73)+'LINEST VARS'!$O$48*(8^2)+'LINEST VARS'!$N$48*(8^2)+'LINEST VARS'!$M$48*($BE$8^2)+'LINEST VARS'!$L$48*($AZ28^2)+'LINEST VARS'!$K$48*(12.73^2)+'LINEST VARS'!$J$48*(8*8)+'LINEST VARS'!$I$48*(8*$BE$8)+'LINEST VARS'!$H$48*(8*$AZ28)+'LINEST VARS'!$G$48*(8*12.73)+'LINEST VARS'!$F$48*(8*$BE$8)+'LINEST VARS'!$E$48*(8*$AZ28)+'LINEST VARS'!$D$48*(8*12.73)+'LINEST VARS'!$C$48*($BE$8*$AZ28)+'LINEST VARS'!$B$48*($BE$8*12.73)+'LINEST VARS'!$A$48*($AZ28*12.73)</f>
        <v>369.99999999999983</v>
      </c>
      <c r="BF28" s="46">
        <f>'LINEST VARS'!$U$48+'LINEST VARS'!$T$48*(8)+'LINEST VARS'!$S$48*(8)+'LINEST VARS'!$R$48*($BF$8)+'LINEST VARS'!$Q$48*($AZ28)+'LINEST VARS'!$P$48*(12.73)+'LINEST VARS'!$O$48*(8^2)+'LINEST VARS'!$N$48*(8^2)+'LINEST VARS'!$M$48*($BF$8^2)+'LINEST VARS'!$L$48*($AZ28^2)+'LINEST VARS'!$K$48*(12.73^2)+'LINEST VARS'!$J$48*(8*8)+'LINEST VARS'!$I$48*(8*$BF$8)+'LINEST VARS'!$H$48*(8*$AZ28)+'LINEST VARS'!$G$48*(8*12.73)+'LINEST VARS'!$F$48*(8*$BF$8)+'LINEST VARS'!$E$48*(8*$AZ28)+'LINEST VARS'!$D$48*(8*12.73)+'LINEST VARS'!$C$48*($BF$8*$AZ28)+'LINEST VARS'!$B$48*($BF$8*12.73)+'LINEST VARS'!$A$48*($AZ28*12.73)</f>
        <v>369.99999999999983</v>
      </c>
      <c r="BG28" s="46">
        <f>'LINEST VARS'!$U$48+'LINEST VARS'!$T$48*(8)+'LINEST VARS'!$S$48*(8)+'LINEST VARS'!$R$48*($BG$8)+'LINEST VARS'!$Q$48*($AZ28)+'LINEST VARS'!$P$48*(12.73)+'LINEST VARS'!$O$48*(8^2)+'LINEST VARS'!$N$48*(8^2)+'LINEST VARS'!$M$48*($BG$8^2)+'LINEST VARS'!$L$48*($AZ28^2)+'LINEST VARS'!$K$48*(12.73^2)+'LINEST VARS'!$J$48*(8*8)+'LINEST VARS'!$I$48*(8*$BG$8)+'LINEST VARS'!$H$48*(8*$AZ28)+'LINEST VARS'!$G$48*(8*12.73)+'LINEST VARS'!$F$48*(8*$BG$8)+'LINEST VARS'!$E$48*(8*$AZ28)+'LINEST VARS'!$D$48*(8*12.73)+'LINEST VARS'!$C$48*($BG$8*$AZ28)+'LINEST VARS'!$B$48*($BG$8*12.73)+'LINEST VARS'!$A$48*($AZ28*12.73)</f>
        <v>369.99999999999983</v>
      </c>
      <c r="BH28" s="46">
        <f>'LINEST VARS'!$U$48+'LINEST VARS'!$T$48*(8)+'LINEST VARS'!$S$48*(8)+'LINEST VARS'!$R$48*($BH$8)+'LINEST VARS'!$Q$48*($AZ28)+'LINEST VARS'!$P$48*(12.73)+'LINEST VARS'!$O$48*(8^2)+'LINEST VARS'!$N$48*(8^2)+'LINEST VARS'!$M$48*($BH$8^2)+'LINEST VARS'!$L$48*($AZ28^2)+'LINEST VARS'!$K$48*(12.73^2)+'LINEST VARS'!$J$48*(8*8)+'LINEST VARS'!$I$48*(8*$BH$8)+'LINEST VARS'!$H$48*(8*$AZ28)+'LINEST VARS'!$G$48*(8*12.73)+'LINEST VARS'!$F$48*(8*$BH$8)+'LINEST VARS'!$E$48*(8*$AZ28)+'LINEST VARS'!$D$48*(8*12.73)+'LINEST VARS'!$C$48*($BH$8*$AZ28)+'LINEST VARS'!$B$48*($BH$8*12.73)+'LINEST VARS'!$A$48*($AZ28*12.73)</f>
        <v>369.99999999999983</v>
      </c>
      <c r="BI28" s="46">
        <f>'LINEST VARS'!$U$48+'LINEST VARS'!$T$48*(8)+'LINEST VARS'!$S$48*(8)+'LINEST VARS'!$R$48*($BI$8)+'LINEST VARS'!$Q$48*($AZ28)+'LINEST VARS'!$P$48*(12.73)+'LINEST VARS'!$O$48*(8^2)+'LINEST VARS'!$N$48*(8^2)+'LINEST VARS'!$M$48*($BI$8^2)+'LINEST VARS'!$L$48*($AZ28^2)+'LINEST VARS'!$K$48*(12.73^2)+'LINEST VARS'!$J$48*(8*8)+'LINEST VARS'!$I$48*(8*$BI$8)+'LINEST VARS'!$H$48*(8*$AZ28)+'LINEST VARS'!$G$48*(8*12.73)+'LINEST VARS'!$F$48*(8*$BI$8)+'LINEST VARS'!$E$48*(8*$AZ28)+'LINEST VARS'!$D$48*(8*12.73)+'LINEST VARS'!$C$48*($BI$8*$AZ28)+'LINEST VARS'!$B$48*($BI$8*12.73)+'LINEST VARS'!$A$48*($AZ28*12.73)</f>
        <v>369.99999999999983</v>
      </c>
      <c r="BJ28" s="46">
        <f>'LINEST VARS'!$U$48+'LINEST VARS'!$T$48*(8)+'LINEST VARS'!$S$48*(8)+'LINEST VARS'!$R$48*($BJ$8)+'LINEST VARS'!$Q$48*($AZ28)+'LINEST VARS'!$P$48*(12.73)+'LINEST VARS'!$O$48*(8^2)+'LINEST VARS'!$N$48*(8^2)+'LINEST VARS'!$M$48*($BJ$8^2)+'LINEST VARS'!$L$48*($AZ28^2)+'LINEST VARS'!$K$48*(12.73^2)+'LINEST VARS'!$J$48*(8*8)+'LINEST VARS'!$I$48*(8*$BJ$8)+'LINEST VARS'!$H$48*(8*$AZ28)+'LINEST VARS'!$G$48*(8*12.73)+'LINEST VARS'!$F$48*(8*$BJ$8)+'LINEST VARS'!$E$48*(8*$AZ28)+'LINEST VARS'!$D$48*(8*12.73)+'LINEST VARS'!$C$48*($BJ$8*$AZ28)+'LINEST VARS'!$B$48*($BJ$8*12.73)+'LINEST VARS'!$A$48*($AZ28*12.73)</f>
        <v>369.99999999999983</v>
      </c>
      <c r="BK28" s="46">
        <f>'LINEST VARS'!$U$48+'LINEST VARS'!$T$48*(8)+'LINEST VARS'!$S$48*(8)+'LINEST VARS'!$R$48*($BK$8)+'LINEST VARS'!$Q$48*($AZ28)+'LINEST VARS'!$P$48*(12.73)+'LINEST VARS'!$O$48*(8^2)+'LINEST VARS'!$N$48*(8^2)+'LINEST VARS'!$M$48*($BK$8^2)+'LINEST VARS'!$L$48*($AZ28^2)+'LINEST VARS'!$K$48*(12.73^2)+'LINEST VARS'!$J$48*(8*8)+'LINEST VARS'!$I$48*(8*$BK$8)+'LINEST VARS'!$H$48*(8*$AZ28)+'LINEST VARS'!$G$48*(8*12.73)+'LINEST VARS'!$F$48*(8*$BK$8)+'LINEST VARS'!$E$48*(8*$AZ28)+'LINEST VARS'!$D$48*(8*12.73)+'LINEST VARS'!$C$48*($BK$8*$AZ28)+'LINEST VARS'!$B$48*($BK$8*12.73)+'LINEST VARS'!$A$48*($AZ28*12.73)</f>
        <v>369.99999999999983</v>
      </c>
      <c r="BL28" s="46">
        <f>'LINEST VARS'!$U$48+'LINEST VARS'!$T$48*(8)+'LINEST VARS'!$S$48*(8)+'LINEST VARS'!$R$48*($BL$8)+'LINEST VARS'!$Q$48*($AZ28)+'LINEST VARS'!$P$48*(12.73)+'LINEST VARS'!$O$48*(8^2)+'LINEST VARS'!$N$48*(8^2)+'LINEST VARS'!$M$48*($BL$8^2)+'LINEST VARS'!$L$48*($AZ28^2)+'LINEST VARS'!$K$48*(12.73^2)+'LINEST VARS'!$J$48*(8*8)+'LINEST VARS'!$I$48*(8*$BL$8)+'LINEST VARS'!$H$48*(8*$AZ28)+'LINEST VARS'!$G$48*(8*12.73)+'LINEST VARS'!$F$48*(8*$BL$8)+'LINEST VARS'!$E$48*(8*$AZ28)+'LINEST VARS'!$D$48*(8*12.73)+'LINEST VARS'!$C$48*($BL$8*$AZ28)+'LINEST VARS'!$B$48*($BL$8*12.73)+'LINEST VARS'!$A$48*($AZ28*12.73)</f>
        <v>369.99999999999983</v>
      </c>
      <c r="BM28" s="46">
        <f>'LINEST VARS'!$U$48+'LINEST VARS'!$T$48*(8)+'LINEST VARS'!$S$48*(8)+'LINEST VARS'!$R$48*($BM$8)+'LINEST VARS'!$Q$48*($AZ28)+'LINEST VARS'!$P$48*(12.73)+'LINEST VARS'!$O$48*(8^2)+'LINEST VARS'!$N$48*(8^2)+'LINEST VARS'!$M$48*($BM$8^2)+'LINEST VARS'!$L$48*($AZ28^2)+'LINEST VARS'!$K$48*(12.73^2)+'LINEST VARS'!$J$48*(8*8)+'LINEST VARS'!$I$48*(8*$BM$8)+'LINEST VARS'!$H$48*(8*$AZ28)+'LINEST VARS'!$G$48*(8*12.73)+'LINEST VARS'!$F$48*(8*$BM$8)+'LINEST VARS'!$E$48*(8*$AZ28)+'LINEST VARS'!$D$48*(8*12.73)+'LINEST VARS'!$C$48*($BM$8*$AZ28)+'LINEST VARS'!$B$48*($BM$8*12.73)+'LINEST VARS'!$A$48*($AZ28*12.73)</f>
        <v>369.99999999999983</v>
      </c>
      <c r="BN28" s="46">
        <f>'LINEST VARS'!$U$48+'LINEST VARS'!$T$48*(8)+'LINEST VARS'!$S$48*(8)+'LINEST VARS'!$R$48*($BN$8)+'LINEST VARS'!$Q$48*($AZ28)+'LINEST VARS'!$P$48*(12.73)+'LINEST VARS'!$O$48*(8^2)+'LINEST VARS'!$N$48*(8^2)+'LINEST VARS'!$M$48*($BN$8^2)+'LINEST VARS'!$L$48*($AZ28^2)+'LINEST VARS'!$K$48*(12.73^2)+'LINEST VARS'!$J$48*(8*8)+'LINEST VARS'!$I$48*(8*$BN$8)+'LINEST VARS'!$H$48*(8*$AZ28)+'LINEST VARS'!$G$48*(8*12.73)+'LINEST VARS'!$F$48*(8*$BN$8)+'LINEST VARS'!$E$48*(8*$AZ28)+'LINEST VARS'!$D$48*(8*12.73)+'LINEST VARS'!$C$48*($BN$8*$AZ28)+'LINEST VARS'!$B$48*($BN$8*12.73)+'LINEST VARS'!$A$48*($AZ28*12.73)</f>
        <v>369.99999999999989</v>
      </c>
      <c r="BO28" s="46">
        <f>'LINEST VARS'!$U$48+'LINEST VARS'!$T$48*(8)+'LINEST VARS'!$S$48*(8)+'LINEST VARS'!$R$48*($BO$8)+'LINEST VARS'!$Q$48*($AZ28)+'LINEST VARS'!$P$48*(12.73)+'LINEST VARS'!$O$48*(8^2)+'LINEST VARS'!$N$48*(8^2)+'LINEST VARS'!$M$48*($BO$8^2)+'LINEST VARS'!$L$48*($AZ28^2)+'LINEST VARS'!$K$48*(12.73^2)+'LINEST VARS'!$J$48*(8*8)+'LINEST VARS'!$I$48*(8*$BO$8)+'LINEST VARS'!$H$48*(8*$AZ28)+'LINEST VARS'!$G$48*(8*12.73)+'LINEST VARS'!$F$48*(8*$BO$8)+'LINEST VARS'!$E$48*(8*$AZ28)+'LINEST VARS'!$D$48*(8*12.73)+'LINEST VARS'!$C$48*($BO$8*$AZ28)+'LINEST VARS'!$B$48*($BO$8*12.73)+'LINEST VARS'!$A$48*($AZ28*12.73)</f>
        <v>369.99999999999989</v>
      </c>
      <c r="BP28" s="46">
        <f>'LINEST VARS'!$U$48+'LINEST VARS'!$T$48*(8)+'LINEST VARS'!$S$48*(8)+'LINEST VARS'!$R$48*($BP$8)+'LINEST VARS'!$Q$48*($AZ28)+'LINEST VARS'!$P$48*(12.73)+'LINEST VARS'!$O$48*(8^2)+'LINEST VARS'!$N$48*(8^2)+'LINEST VARS'!$M$48*($BP$8^2)+'LINEST VARS'!$L$48*($AZ28^2)+'LINEST VARS'!$K$48*(12.73^2)+'LINEST VARS'!$J$48*(8*8)+'LINEST VARS'!$I$48*(8*$BP$8)+'LINEST VARS'!$H$48*(8*$AZ28)+'LINEST VARS'!$G$48*(8*12.73)+'LINEST VARS'!$F$48*(8*$BP$8)+'LINEST VARS'!$E$48*(8*$AZ28)+'LINEST VARS'!$D$48*(8*12.73)+'LINEST VARS'!$C$48*($BP$8*$AZ28)+'LINEST VARS'!$B$48*($BP$8*12.73)+'LINEST VARS'!$A$48*($AZ28*12.73)</f>
        <v>369.99999999999989</v>
      </c>
      <c r="BQ28" s="46">
        <f>'LINEST VARS'!$U$48+'LINEST VARS'!$T$48*(8)+'LINEST VARS'!$S$48*(8)+'LINEST VARS'!$R$48*($BQ$8)+'LINEST VARS'!$Q$48*($AZ28)+'LINEST VARS'!$P$48*(12.73)+'LINEST VARS'!$O$48*(8^2)+'LINEST VARS'!$N$48*(8^2)+'LINEST VARS'!$M$48*($BQ$8^2)+'LINEST VARS'!$L$48*($AZ28^2)+'LINEST VARS'!$K$48*(12.73^2)+'LINEST VARS'!$J$48*(8*8)+'LINEST VARS'!$I$48*(8*$BQ$8)+'LINEST VARS'!$H$48*(8*$AZ28)+'LINEST VARS'!$G$48*(8*12.73)+'LINEST VARS'!$F$48*(8*$BQ$8)+'LINEST VARS'!$E$48*(8*$AZ28)+'LINEST VARS'!$D$48*(8*12.73)+'LINEST VARS'!$C$48*($BQ$8*$AZ28)+'LINEST VARS'!$B$48*($BQ$8*12.73)+'LINEST VARS'!$A$48*($AZ28*12.73)</f>
        <v>369.99999999999983</v>
      </c>
      <c r="BR28" s="46">
        <f>'LINEST VARS'!$U$48+'LINEST VARS'!$T$48*(8)+'LINEST VARS'!$S$48*(8)+'LINEST VARS'!$R$48*($BR$8)+'LINEST VARS'!$Q$48*($AZ28)+'LINEST VARS'!$P$48*(12.73)+'LINEST VARS'!$O$48*(8^2)+'LINEST VARS'!$N$48*(8^2)+'LINEST VARS'!$M$48*($BR$8^2)+'LINEST VARS'!$L$48*($AZ28^2)+'LINEST VARS'!$K$48*(12.73^2)+'LINEST VARS'!$J$48*(8*8)+'LINEST VARS'!$I$48*(8*$BR$8)+'LINEST VARS'!$H$48*(8*$AZ28)+'LINEST VARS'!$G$48*(8*12.73)+'LINEST VARS'!$F$48*(8*$BR$8)+'LINEST VARS'!$E$48*(8*$AZ28)+'LINEST VARS'!$D$48*(8*12.73)+'LINEST VARS'!$C$48*($BR$8*$AZ28)+'LINEST VARS'!$B$48*($BR$8*12.73)+'LINEST VARS'!$A$48*($AZ28*12.73)</f>
        <v>369.99999999999983</v>
      </c>
      <c r="BS28" s="46">
        <f>'LINEST VARS'!$U$48+'LINEST VARS'!$T$48*(8)+'LINEST VARS'!$S$48*(8)+'LINEST VARS'!$R$48*($BS$8)+'LINEST VARS'!$Q$48*($AZ28)+'LINEST VARS'!$P$48*(12.73)+'LINEST VARS'!$O$48*(8^2)+'LINEST VARS'!$N$48*(8^2)+'LINEST VARS'!$M$48*($BS$8^2)+'LINEST VARS'!$L$48*($AZ28^2)+'LINEST VARS'!$K$48*(12.73^2)+'LINEST VARS'!$J$48*(8*8)+'LINEST VARS'!$I$48*(8*$BS$8)+'LINEST VARS'!$H$48*(8*$AZ28)+'LINEST VARS'!$G$48*(8*12.73)+'LINEST VARS'!$F$48*(8*$BS$8)+'LINEST VARS'!$E$48*(8*$AZ28)+'LINEST VARS'!$D$48*(8*12.73)+'LINEST VARS'!$C$48*($BS$8*$AZ28)+'LINEST VARS'!$B$48*($BS$8*12.73)+'LINEST VARS'!$A$48*($AZ28*12.73)</f>
        <v>369.99999999999983</v>
      </c>
      <c r="BT28" s="46">
        <f>'LINEST VARS'!$U$48+'LINEST VARS'!$T$48*(8)+'LINEST VARS'!$S$48*(8)+'LINEST VARS'!$R$48*($BT$8)+'LINEST VARS'!$Q$48*($AZ28)+'LINEST VARS'!$P$48*(12.73)+'LINEST VARS'!$O$48*(8^2)+'LINEST VARS'!$N$48*(8^2)+'LINEST VARS'!$M$48*($BT$8^2)+'LINEST VARS'!$L$48*($AZ28^2)+'LINEST VARS'!$K$48*(12.73^2)+'LINEST VARS'!$J$48*(8*8)+'LINEST VARS'!$I$48*(8*$BT$8)+'LINEST VARS'!$H$48*(8*$AZ28)+'LINEST VARS'!$G$48*(8*12.73)+'LINEST VARS'!$F$48*(8*$BT$8)+'LINEST VARS'!$E$48*(8*$AZ28)+'LINEST VARS'!$D$48*(8*12.73)+'LINEST VARS'!$C$48*($BT$8*$AZ28)+'LINEST VARS'!$B$48*($BT$8*12.73)+'LINEST VARS'!$A$48*($AZ28*12.73)</f>
        <v>369.99999999999983</v>
      </c>
      <c r="BU28" s="47">
        <f>'LINEST VARS'!$U$48+'LINEST VARS'!$T$48*(8)+'LINEST VARS'!$S$48*(8)+'LINEST VARS'!$R$48*($BU$8)+'LINEST VARS'!$Q$48*($AZ28)+'LINEST VARS'!$P$48*(12.73)+'LINEST VARS'!$O$48*(8^2)+'LINEST VARS'!$N$48*(8^2)+'LINEST VARS'!$M$48*($BU$8^2)+'LINEST VARS'!$L$48*($AZ28^2)+'LINEST VARS'!$K$48*(12.73^2)+'LINEST VARS'!$J$48*(8*8)+'LINEST VARS'!$I$48*(8*$BU$8)+'LINEST VARS'!$H$48*(8*$AZ28)+'LINEST VARS'!$G$48*(8*12.73)+'LINEST VARS'!$F$48*(8*$BU$8)+'LINEST VARS'!$E$48*(8*$AZ28)+'LINEST VARS'!$D$48*(8*12.73)+'LINEST VARS'!$C$48*($BU$8*$AZ28)+'LINEST VARS'!$B$48*($BU$8*12.73)+'LINEST VARS'!$A$48*($AZ28*12.73)</f>
        <v>369.99999999999983</v>
      </c>
      <c r="BX28" s="45">
        <v>0.95</v>
      </c>
      <c r="BY28" s="46">
        <f>'LINEST VARS'!$U$50+'LINEST VARS'!$T$50*(8)+'LINEST VARS'!$S$50*(8)+'LINEST VARS'!$R$50*($BY$8)+'LINEST VARS'!$Q$50*($BX28)+'LINEST VARS'!$P$50*(12.73)+'LINEST VARS'!$O$50*(8^2)+'LINEST VARS'!$N$50*(8^2)+'LINEST VARS'!$M$50*($BY$8^2)+'LINEST VARS'!$L$50*($BX28^2)+'LINEST VARS'!$K$50*(12.73^2)+'LINEST VARS'!$J$50*(8*8)+'LINEST VARS'!$I$50*(8*$BY$8)+'LINEST VARS'!$H$50*(8*$BX28)+'LINEST VARS'!$G$50*(8*12.73)+'LINEST VARS'!$F$50*(8*$BY$8)+'LINEST VARS'!$E$50*(8*$BX28)+'LINEST VARS'!$D$50*(8*12.73)+'LINEST VARS'!$C$50*($BY$8*$BX28)+'LINEST VARS'!$B$50*($BY$8*12.73)+'LINEST VARS'!$A$50*($BX28*12.73)</f>
        <v>331.99999999999989</v>
      </c>
      <c r="BZ28" s="46">
        <f>'LINEST VARS'!$U$50+'LINEST VARS'!$T$50*(8)+'LINEST VARS'!$S$50*(8)+'LINEST VARS'!$R$50*($BZ$8)+'LINEST VARS'!$Q$50*($BX28)+'LINEST VARS'!$P$50*(12.73)+'LINEST VARS'!$O$50*(8^2)+'LINEST VARS'!$N$50*(8^2)+'LINEST VARS'!$M$50*($BZ$8^2)+'LINEST VARS'!$L$50*($BX28^2)+'LINEST VARS'!$K$50*(12.73^2)+'LINEST VARS'!$J$50*(8*8)+'LINEST VARS'!$I$50*(8*$BZ$8)+'LINEST VARS'!$H$50*(8*$BX28)+'LINEST VARS'!$G$50*(8*12.73)+'LINEST VARS'!$F$50*(8*$BZ$8)+'LINEST VARS'!$E$50*(8*$BX28)+'LINEST VARS'!$D$50*(8*12.73)+'LINEST VARS'!$C$50*($BZ$8*$BX28)+'LINEST VARS'!$B$50*($BZ$8*12.73)+'LINEST VARS'!$A$50*($BX28*12.73)</f>
        <v>331.99999999999989</v>
      </c>
      <c r="CA28" s="46">
        <f>'LINEST VARS'!$U$50+'LINEST VARS'!$T$50*(8)+'LINEST VARS'!$S$50*(8)+'LINEST VARS'!$R$50*($CA$8)+'LINEST VARS'!$Q$50*($BX28)+'LINEST VARS'!$P$50*(12.73)+'LINEST VARS'!$O$50*(8^2)+'LINEST VARS'!$N$50*(8^2)+'LINEST VARS'!$M$50*($CA$8^2)+'LINEST VARS'!$L$50*($BX28^2)+'LINEST VARS'!$K$50*(12.73^2)+'LINEST VARS'!$J$50*(8*8)+'LINEST VARS'!$I$50*(8*$CA$8)+'LINEST VARS'!$H$50*(8*$BX28)+'LINEST VARS'!$G$50*(8*12.73)+'LINEST VARS'!$F$50*(8*$CA$8)+'LINEST VARS'!$E$50*(8*$BX28)+'LINEST VARS'!$D$50*(8*12.73)+'LINEST VARS'!$C$50*($CA$8*$BX28)+'LINEST VARS'!$B$50*($CA$8*12.73)+'LINEST VARS'!$A$50*($BX28*12.73)</f>
        <v>331.99999999999989</v>
      </c>
      <c r="CB28" s="46">
        <f>'LINEST VARS'!$U$50+'LINEST VARS'!$T$50*(8)+'LINEST VARS'!$S$50*(8)+'LINEST VARS'!$R$50*($CB$8)+'LINEST VARS'!$Q$50*($BX28)+'LINEST VARS'!$P$50*(12.73)+'LINEST VARS'!$O$50*(8^2)+'LINEST VARS'!$N$50*(8^2)+'LINEST VARS'!$M$50*($CB$8^2)+'LINEST VARS'!$L$50*($BX28^2)+'LINEST VARS'!$K$50*(12.73^2)+'LINEST VARS'!$J$50*(8*8)+'LINEST VARS'!$I$50*(8*$CB$8)+'LINEST VARS'!$H$50*(8*$BX28)+'LINEST VARS'!$G$50*(8*12.73)+'LINEST VARS'!$F$50*(8*$CB$8)+'LINEST VARS'!$E$50*(8*$BX28)+'LINEST VARS'!$D$50*(8*12.73)+'LINEST VARS'!$C$50*($CB$8*$BX28)+'LINEST VARS'!$B$50*($CB$8*12.73)+'LINEST VARS'!$A$50*($BX28*12.73)</f>
        <v>331.99999999999989</v>
      </c>
      <c r="CC28" s="46">
        <f>'LINEST VARS'!$U$50+'LINEST VARS'!$T$50*(8)+'LINEST VARS'!$S$50*(8)+'LINEST VARS'!$R$50*($CC$8)+'LINEST VARS'!$Q$50*($BX28)+'LINEST VARS'!$P$50*(12.73)+'LINEST VARS'!$O$50*(8^2)+'LINEST VARS'!$N$50*(8^2)+'LINEST VARS'!$M$50*($CC$8^2)+'LINEST VARS'!$L$50*($BX28^2)+'LINEST VARS'!$K$50*(12.73^2)+'LINEST VARS'!$J$50*(8*8)+'LINEST VARS'!$I$50*(8*$CC$8)+'LINEST VARS'!$H$50*(8*$BX28)+'LINEST VARS'!$G$50*(8*12.73)+'LINEST VARS'!$F$50*(8*$CC$8)+'LINEST VARS'!$E$50*(8*$BX28)+'LINEST VARS'!$D$50*(8*12.73)+'LINEST VARS'!$C$50*($CC$8*$BX28)+'LINEST VARS'!$B$50*($CC$8*12.73)+'LINEST VARS'!$A$50*($BX28*12.73)</f>
        <v>331.99999999999989</v>
      </c>
      <c r="CD28" s="46">
        <f>'LINEST VARS'!$U$50+'LINEST VARS'!$T$50*(8)+'LINEST VARS'!$S$50*(8)+'LINEST VARS'!$R$50*($CD$8)+'LINEST VARS'!$Q$50*($BX28)+'LINEST VARS'!$P$50*(12.73)+'LINEST VARS'!$O$50*(8^2)+'LINEST VARS'!$N$50*(8^2)+'LINEST VARS'!$M$50*($CD$8^2)+'LINEST VARS'!$L$50*($BX28^2)+'LINEST VARS'!$K$50*(12.73^2)+'LINEST VARS'!$J$50*(8*8)+'LINEST VARS'!$I$50*(8*$CD$8)+'LINEST VARS'!$H$50*(8*$BX28)+'LINEST VARS'!$G$50*(8*12.73)+'LINEST VARS'!$F$50*(8*$CD$8)+'LINEST VARS'!$E$50*(8*$BX28)+'LINEST VARS'!$D$50*(8*12.73)+'LINEST VARS'!$C$50*($CD$8*$BX28)+'LINEST VARS'!$B$50*($CD$8*12.73)+'LINEST VARS'!$A$50*($BX28*12.73)</f>
        <v>331.99999999999989</v>
      </c>
      <c r="CE28" s="46">
        <f>'LINEST VARS'!$U$50+'LINEST VARS'!$T$50*(8)+'LINEST VARS'!$S$50*(8)+'LINEST VARS'!$R$50*($CE$8)+'LINEST VARS'!$Q$50*($BX28)+'LINEST VARS'!$P$50*(12.73)+'LINEST VARS'!$O$50*(8^2)+'LINEST VARS'!$N$50*(8^2)+'LINEST VARS'!$M$50*($CE$8^2)+'LINEST VARS'!$L$50*($BX28^2)+'LINEST VARS'!$K$50*(12.73^2)+'LINEST VARS'!$J$50*(8*8)+'LINEST VARS'!$I$50*(8*$CE$8)+'LINEST VARS'!$H$50*(8*$BX28)+'LINEST VARS'!$G$50*(8*12.73)+'LINEST VARS'!$F$50*(8*$CE$8)+'LINEST VARS'!$E$50*(8*$BX28)+'LINEST VARS'!$D$50*(8*12.73)+'LINEST VARS'!$C$50*($CE$8*$BX28)+'LINEST VARS'!$B$50*($CE$8*12.73)+'LINEST VARS'!$A$50*($BX28*12.73)</f>
        <v>331.99999999999989</v>
      </c>
      <c r="CF28" s="46">
        <f>'LINEST VARS'!$U$50+'LINEST VARS'!$T$50*(8)+'LINEST VARS'!$S$50*(8)+'LINEST VARS'!$R$50*($CF$8)+'LINEST VARS'!$Q$50*($BX28)+'LINEST VARS'!$P$50*(12.73)+'LINEST VARS'!$O$50*(8^2)+'LINEST VARS'!$N$50*(8^2)+'LINEST VARS'!$M$50*($CF$8^2)+'LINEST VARS'!$L$50*($BX28^2)+'LINEST VARS'!$K$50*(12.73^2)+'LINEST VARS'!$J$50*(8*8)+'LINEST VARS'!$I$50*(8*$CF$8)+'LINEST VARS'!$H$50*(8*$BX28)+'LINEST VARS'!$G$50*(8*12.73)+'LINEST VARS'!$F$50*(8*$CF$8)+'LINEST VARS'!$E$50*(8*$BX28)+'LINEST VARS'!$D$50*(8*12.73)+'LINEST VARS'!$C$50*($CF$8*$BX28)+'LINEST VARS'!$B$50*($CF$8*12.73)+'LINEST VARS'!$A$50*($BX28*12.73)</f>
        <v>331.99999999999989</v>
      </c>
      <c r="CG28" s="46">
        <f>'LINEST VARS'!$U$50+'LINEST VARS'!$T$50*(8)+'LINEST VARS'!$S$50*(8)+'LINEST VARS'!$R$50*($CG$8)+'LINEST VARS'!$Q$50*($BX28)+'LINEST VARS'!$P$50*(12.73)+'LINEST VARS'!$O$50*(8^2)+'LINEST VARS'!$N$50*(8^2)+'LINEST VARS'!$M$50*($CG$8^2)+'LINEST VARS'!$L$50*($BX28^2)+'LINEST VARS'!$K$50*(12.73^2)+'LINEST VARS'!$J$50*(8*8)+'LINEST VARS'!$I$50*(8*$CG$8)+'LINEST VARS'!$H$50*(8*$BX28)+'LINEST VARS'!$G$50*(8*12.73)+'LINEST VARS'!$F$50*(8*$CG$8)+'LINEST VARS'!$E$50*(8*$BX28)+'LINEST VARS'!$D$50*(8*12.73)+'LINEST VARS'!$C$50*($CG$8*$BX28)+'LINEST VARS'!$B$50*($CG$8*12.73)+'LINEST VARS'!$A$50*($BX28*12.73)</f>
        <v>331.99999999999989</v>
      </c>
      <c r="CH28" s="46">
        <f>'LINEST VARS'!$U$50+'LINEST VARS'!$T$50*(8)+'LINEST VARS'!$S$50*(8)+'LINEST VARS'!$R$50*($CH$8)+'LINEST VARS'!$Q$50*($BX28)+'LINEST VARS'!$P$50*(12.73)+'LINEST VARS'!$O$50*(8^2)+'LINEST VARS'!$N$50*(8^2)+'LINEST VARS'!$M$50*($CH$8^2)+'LINEST VARS'!$L$50*($BX28^2)+'LINEST VARS'!$K$50*(12.73^2)+'LINEST VARS'!$J$50*(8*8)+'LINEST VARS'!$I$50*(8*$CH$8)+'LINEST VARS'!$H$50*(8*$BX28)+'LINEST VARS'!$G$50*(8*12.73)+'LINEST VARS'!$F$50*(8*$CH$8)+'LINEST VARS'!$E$50*(8*$BX28)+'LINEST VARS'!$D$50*(8*12.73)+'LINEST VARS'!$C$50*($CH$8*$BX28)+'LINEST VARS'!$B$50*($CH$8*12.73)+'LINEST VARS'!$A$50*($BX28*12.73)</f>
        <v>331.99999999999989</v>
      </c>
      <c r="CI28" s="46">
        <f>'LINEST VARS'!$U$50+'LINEST VARS'!$T$50*(8)+'LINEST VARS'!$S$50*(8)+'LINEST VARS'!$R$50*($CI$8)+'LINEST VARS'!$Q$50*($BX28)+'LINEST VARS'!$P$50*(12.73)+'LINEST VARS'!$O$50*(8^2)+'LINEST VARS'!$N$50*(8^2)+'LINEST VARS'!$M$50*($CI$8^2)+'LINEST VARS'!$L$50*($BX28^2)+'LINEST VARS'!$K$50*(12.73^2)+'LINEST VARS'!$J$50*(8*8)+'LINEST VARS'!$I$50*(8*$CI$8)+'LINEST VARS'!$H$50*(8*$BX28)+'LINEST VARS'!$G$50*(8*12.73)+'LINEST VARS'!$F$50*(8*$CI$8)+'LINEST VARS'!$E$50*(8*$BX28)+'LINEST VARS'!$D$50*(8*12.73)+'LINEST VARS'!$C$50*($CI$8*$BX28)+'LINEST VARS'!$B$50*($CI$8*12.73)+'LINEST VARS'!$A$50*($BX28*12.73)</f>
        <v>331.99999999999989</v>
      </c>
      <c r="CJ28" s="46">
        <f>'LINEST VARS'!$U$50+'LINEST VARS'!$T$50*(8)+'LINEST VARS'!$S$50*(8)+'LINEST VARS'!$R$50*($CJ$8)+'LINEST VARS'!$Q$50*($BX28)+'LINEST VARS'!$P$50*(12.73)+'LINEST VARS'!$O$50*(8^2)+'LINEST VARS'!$N$50*(8^2)+'LINEST VARS'!$M$50*($CJ$8^2)+'LINEST VARS'!$L$50*($BX28^2)+'LINEST VARS'!$K$50*(12.73^2)+'LINEST VARS'!$J$50*(8*8)+'LINEST VARS'!$I$50*(8*$CJ$8)+'LINEST VARS'!$H$50*(8*$BX28)+'LINEST VARS'!$G$50*(8*12.73)+'LINEST VARS'!$F$50*(8*$CJ$8)+'LINEST VARS'!$E$50*(8*$BX28)+'LINEST VARS'!$D$50*(8*12.73)+'LINEST VARS'!$C$50*($CJ$8*$BX28)+'LINEST VARS'!$B$50*($CJ$8*12.73)+'LINEST VARS'!$A$50*($BX28*12.73)</f>
        <v>331.99999999999989</v>
      </c>
      <c r="CK28" s="46">
        <f>'LINEST VARS'!$U$50+'LINEST VARS'!$T$50*(8)+'LINEST VARS'!$S$50*(8)+'LINEST VARS'!$R$50*($CK$8)+'LINEST VARS'!$Q$50*($BX28)+'LINEST VARS'!$P$50*(12.73)+'LINEST VARS'!$O$50*(8^2)+'LINEST VARS'!$N$50*(8^2)+'LINEST VARS'!$M$50*($CK$8^2)+'LINEST VARS'!$L$50*($BX28^2)+'LINEST VARS'!$K$50*(12.73^2)+'LINEST VARS'!$J$50*(8*8)+'LINEST VARS'!$I$50*(8*$CK$8)+'LINEST VARS'!$H$50*(8*$BX28)+'LINEST VARS'!$G$50*(8*12.73)+'LINEST VARS'!$F$50*(8*$CK$8)+'LINEST VARS'!$E$50*(8*$BX28)+'LINEST VARS'!$D$50*(8*12.73)+'LINEST VARS'!$C$50*($CK$8*$BX28)+'LINEST VARS'!$B$50*($CK$8*12.73)+'LINEST VARS'!$A$50*($BX28*12.73)</f>
        <v>331.99999999999989</v>
      </c>
      <c r="CL28" s="46">
        <f>'LINEST VARS'!$U$50+'LINEST VARS'!$T$50*(8)+'LINEST VARS'!$S$50*(8)+'LINEST VARS'!$R$50*($CL$8)+'LINEST VARS'!$Q$50*($BX28)+'LINEST VARS'!$P$50*(12.73)+'LINEST VARS'!$O$50*(8^2)+'LINEST VARS'!$N$50*(8^2)+'LINEST VARS'!$M$50*($CL$8^2)+'LINEST VARS'!$L$50*($BX28^2)+'LINEST VARS'!$K$50*(12.73^2)+'LINEST VARS'!$J$50*(8*8)+'LINEST VARS'!$I$50*(8*$CL$8)+'LINEST VARS'!$H$50*(8*$BX28)+'LINEST VARS'!$G$50*(8*12.73)+'LINEST VARS'!$F$50*(8*$CL$8)+'LINEST VARS'!$E$50*(8*$BX28)+'LINEST VARS'!$D$50*(8*12.73)+'LINEST VARS'!$C$50*($CL$8*$BX28)+'LINEST VARS'!$B$50*($CL$8*12.73)+'LINEST VARS'!$A$50*($BX28*12.73)</f>
        <v>331.99999999999989</v>
      </c>
      <c r="CM28" s="46">
        <f>'LINEST VARS'!$U$50+'LINEST VARS'!$T$50*(8)+'LINEST VARS'!$S$50*(8)+'LINEST VARS'!$R$50*($CM$8)+'LINEST VARS'!$Q$50*($BX28)+'LINEST VARS'!$P$50*(12.73)+'LINEST VARS'!$O$50*(8^2)+'LINEST VARS'!$N$50*(8^2)+'LINEST VARS'!$M$50*($CM$8^2)+'LINEST VARS'!$L$50*($BX28^2)+'LINEST VARS'!$K$50*(12.73^2)+'LINEST VARS'!$J$50*(8*8)+'LINEST VARS'!$I$50*(8*$CM$8)+'LINEST VARS'!$H$50*(8*$BX28)+'LINEST VARS'!$G$50*(8*12.73)+'LINEST VARS'!$F$50*(8*$CM$8)+'LINEST VARS'!$E$50*(8*$BX28)+'LINEST VARS'!$D$50*(8*12.73)+'LINEST VARS'!$C$50*($CM$8*$BX28)+'LINEST VARS'!$B$50*($CM$8*12.73)+'LINEST VARS'!$A$50*($BX28*12.73)</f>
        <v>331.99999999999989</v>
      </c>
      <c r="CN28" s="46">
        <f>'LINEST VARS'!$U$50+'LINEST VARS'!$T$50*(8)+'LINEST VARS'!$S$50*(8)+'LINEST VARS'!$R$50*($CN$8)+'LINEST VARS'!$Q$50*($BX28)+'LINEST VARS'!$P$50*(12.73)+'LINEST VARS'!$O$50*(8^2)+'LINEST VARS'!$N$50*(8^2)+'LINEST VARS'!$M$50*($CN$8^2)+'LINEST VARS'!$L$50*($BX28^2)+'LINEST VARS'!$K$50*(12.73^2)+'LINEST VARS'!$J$50*(8*8)+'LINEST VARS'!$I$50*(8*$CN$8)+'LINEST VARS'!$H$50*(8*$BX28)+'LINEST VARS'!$G$50*(8*12.73)+'LINEST VARS'!$F$50*(8*$CN$8)+'LINEST VARS'!$E$50*(8*$BX28)+'LINEST VARS'!$D$50*(8*12.73)+'LINEST VARS'!$C$50*($CN$8*$BX28)+'LINEST VARS'!$B$50*($CN$8*12.73)+'LINEST VARS'!$A$50*($BX28*12.73)</f>
        <v>331.99999999999989</v>
      </c>
      <c r="CO28" s="46">
        <f>'LINEST VARS'!$U$50+'LINEST VARS'!$T$50*(8)+'LINEST VARS'!$S$50*(8)+'LINEST VARS'!$R$50*($CO$8)+'LINEST VARS'!$Q$50*($BX28)+'LINEST VARS'!$P$50*(12.73)+'LINEST VARS'!$O$50*(8^2)+'LINEST VARS'!$N$50*(8^2)+'LINEST VARS'!$M$50*($CO$8^2)+'LINEST VARS'!$L$50*($BX28^2)+'LINEST VARS'!$K$50*(12.73^2)+'LINEST VARS'!$J$50*(8*8)+'LINEST VARS'!$I$50*(8*$CO$8)+'LINEST VARS'!$H$50*(8*$BX28)+'LINEST VARS'!$G$50*(8*12.73)+'LINEST VARS'!$F$50*(8*$CO$8)+'LINEST VARS'!$E$50*(8*$BX28)+'LINEST VARS'!$D$50*(8*12.73)+'LINEST VARS'!$C$50*($CO$8*$BX28)+'LINEST VARS'!$B$50*($CO$8*12.73)+'LINEST VARS'!$A$50*($BX28*12.73)</f>
        <v>331.99999999999989</v>
      </c>
      <c r="CP28" s="46">
        <f>'LINEST VARS'!$U$50+'LINEST VARS'!$T$50*(8)+'LINEST VARS'!$S$50*(8)+'LINEST VARS'!$R$50*($CP$8)+'LINEST VARS'!$Q$50*($BX28)+'LINEST VARS'!$P$50*(12.73)+'LINEST VARS'!$O$50*(8^2)+'LINEST VARS'!$N$50*(8^2)+'LINEST VARS'!$M$50*($CP$8^2)+'LINEST VARS'!$L$50*($BX28^2)+'LINEST VARS'!$K$50*(12.73^2)+'LINEST VARS'!$J$50*(8*8)+'LINEST VARS'!$I$50*(8*$CP$8)+'LINEST VARS'!$H$50*(8*$BX28)+'LINEST VARS'!$G$50*(8*12.73)+'LINEST VARS'!$F$50*(8*$CP$8)+'LINEST VARS'!$E$50*(8*$BX28)+'LINEST VARS'!$D$50*(8*12.73)+'LINEST VARS'!$C$50*($CP$8*$BX28)+'LINEST VARS'!$B$50*($CP$8*12.73)+'LINEST VARS'!$A$50*($BX28*12.73)</f>
        <v>331.99999999999989</v>
      </c>
      <c r="CQ28" s="46">
        <f>'LINEST VARS'!$U$50+'LINEST VARS'!$T$50*(8)+'LINEST VARS'!$S$50*(8)+'LINEST VARS'!$R$50*($CQ$8)+'LINEST VARS'!$Q$50*($BX28)+'LINEST VARS'!$P$50*(12.73)+'LINEST VARS'!$O$50*(8^2)+'LINEST VARS'!$N$50*(8^2)+'LINEST VARS'!$M$50*($CQ$8^2)+'LINEST VARS'!$L$50*($BX28^2)+'LINEST VARS'!$K$50*(12.73^2)+'LINEST VARS'!$J$50*(8*8)+'LINEST VARS'!$I$50*(8*$CQ$8)+'LINEST VARS'!$H$50*(8*$BX28)+'LINEST VARS'!$G$50*(8*12.73)+'LINEST VARS'!$F$50*(8*$CQ$8)+'LINEST VARS'!$E$50*(8*$BX28)+'LINEST VARS'!$D$50*(8*12.73)+'LINEST VARS'!$C$50*($CQ$8*$BX28)+'LINEST VARS'!$B$50*($CQ$8*12.73)+'LINEST VARS'!$A$50*($BX28*12.73)</f>
        <v>331.99999999999989</v>
      </c>
      <c r="CR28" s="46">
        <f>'LINEST VARS'!$U$50+'LINEST VARS'!$T$50*(8)+'LINEST VARS'!$S$50*(8)+'LINEST VARS'!$R$50*($CR$8)+'LINEST VARS'!$Q$50*($BX28)+'LINEST VARS'!$P$50*(12.73)+'LINEST VARS'!$O$50*(8^2)+'LINEST VARS'!$N$50*(8^2)+'LINEST VARS'!$M$50*($CR$8^2)+'LINEST VARS'!$L$50*($BX28^2)+'LINEST VARS'!$K$50*(12.73^2)+'LINEST VARS'!$J$50*(8*8)+'LINEST VARS'!$I$50*(8*$CR$8)+'LINEST VARS'!$H$50*(8*$BX28)+'LINEST VARS'!$G$50*(8*12.73)+'LINEST VARS'!$F$50*(8*$CR$8)+'LINEST VARS'!$E$50*(8*$BX28)+'LINEST VARS'!$D$50*(8*12.73)+'LINEST VARS'!$C$50*($CR$8*$BX28)+'LINEST VARS'!$B$50*($CR$8*12.73)+'LINEST VARS'!$A$50*($BX28*12.73)</f>
        <v>331.99999999999989</v>
      </c>
      <c r="CS28" s="47">
        <f>'LINEST VARS'!$U$50+'LINEST VARS'!$T$50*(8)+'LINEST VARS'!$S$50*(8)+'LINEST VARS'!$R$50*($CS$8)+'LINEST VARS'!$Q$50*($BX28)+'LINEST VARS'!$P$50*(12.73)+'LINEST VARS'!$O$50*(8^2)+'LINEST VARS'!$N$50*(8^2)+'LINEST VARS'!$M$50*($CS$8^2)+'LINEST VARS'!$L$50*($BX28^2)+'LINEST VARS'!$K$50*(12.73^2)+'LINEST VARS'!$J$50*(8*8)+'LINEST VARS'!$I$50*(8*$CS$8)+'LINEST VARS'!$H$50*(8*$BX28)+'LINEST VARS'!$G$50*(8*12.73)+'LINEST VARS'!$F$50*(8*$CS$8)+'LINEST VARS'!$E$50*(8*$BX28)+'LINEST VARS'!$D$50*(8*12.73)+'LINEST VARS'!$C$50*($CS$8*$BX28)+'LINEST VARS'!$B$50*($CS$8*12.73)+'LINEST VARS'!$A$50*($BX28*12.73)</f>
        <v>331.99999999999989</v>
      </c>
      <c r="CX28" s="45">
        <v>24.6905</v>
      </c>
      <c r="CY28" s="46">
        <f>'LINEST VARS'!$U$48+'LINEST VARS'!$T$48*(8)+'LINEST VARS'!$S$48*(8)+'LINEST VARS'!$R$48*($CY$8)+'LINEST VARS'!$Q$48*(0.5)+'LINEST VARS'!$P$48*($CX28)+'LINEST VARS'!$O$48*(8^2)+'LINEST VARS'!$N$48*(8^2)+'LINEST VARS'!$M$48*($CY$8^2)+'LINEST VARS'!$L$48*(0.5^2)+'LINEST VARS'!$K$48*($CX28^2)+'LINEST VARS'!$J$48*(8*8)+'LINEST VARS'!$I$48*(8*$CY$8)+'LINEST VARS'!$H$48*(8*0.5)+'LINEST VARS'!$G$48*(8*$CX28)+'LINEST VARS'!$F$48*(8*$CY$8)+'LINEST VARS'!$E$48*(8*0.5)+'LINEST VARS'!$D$48*(8*$CX28)+'LINEST VARS'!$C$48*($CY$8*0.5)+'LINEST VARS'!$B$48*($CY$8*$CX28)+'LINEST VARS'!$A$48*(0.5*$CX28)</f>
        <v>369.99999999999977</v>
      </c>
      <c r="CZ28" s="46">
        <f>'LINEST VARS'!$U$48+'LINEST VARS'!$T$48*(8)+'LINEST VARS'!$S$48*(8)+'LINEST VARS'!$R$48*($CZ$8)+'LINEST VARS'!$Q$48*(0.5)+'LINEST VARS'!$P$48*($CX28)+'LINEST VARS'!$O$48*(8^2)+'LINEST VARS'!$N$48*(8^2)+'LINEST VARS'!$M$48*($CZ$8^2)+'LINEST VARS'!$L$48*(0.5^2)+'LINEST VARS'!$K$48*($CX28^2)+'LINEST VARS'!$J$48*(8*8)+'LINEST VARS'!$I$48*(8*$CZ$8)+'LINEST VARS'!$H$48*(8*0.5)+'LINEST VARS'!$G$48*(8*$CX28)+'LINEST VARS'!$F$48*(8*$CZ$8)+'LINEST VARS'!$E$48*(8*0.5)+'LINEST VARS'!$D$48*(8*$CX28)+'LINEST VARS'!$C$48*($CZ$8*0.5)+'LINEST VARS'!$B$48*($CZ$8*$CX28)+'LINEST VARS'!$A$48*(0.5*$CX28)</f>
        <v>369.99999999999977</v>
      </c>
      <c r="DA28" s="46">
        <f>'LINEST VARS'!$U$48+'LINEST VARS'!$T$48*(8)+'LINEST VARS'!$S$48*(8)+'LINEST VARS'!$R$48*($DA$8)+'LINEST VARS'!$Q$48*(0.5)+'LINEST VARS'!$P$48*($CX28)+'LINEST VARS'!$O$48*(8^2)+'LINEST VARS'!$N$48*(8^2)+'LINEST VARS'!$M$48*($DA$8^2)+'LINEST VARS'!$L$48*(0.5^2)+'LINEST VARS'!$K$48*($CX28^2)+'LINEST VARS'!$J$48*(8*8)+'LINEST VARS'!$I$48*(8*$DA$8)+'LINEST VARS'!$H$48*(8*0.5)+'LINEST VARS'!$G$48*(8*$CX28)+'LINEST VARS'!$F$48*(8*$DA$8)+'LINEST VARS'!$E$48*(8*0.5)+'LINEST VARS'!$D$48*(8*$CX28)+'LINEST VARS'!$C$48*($DA$8*0.5)+'LINEST VARS'!$B$48*($DA$8*$CX28)+'LINEST VARS'!$A$48*(0.5*$CX28)</f>
        <v>369.99999999999977</v>
      </c>
      <c r="DB28" s="46">
        <f>'LINEST VARS'!$U$48+'LINEST VARS'!$T$48*(8)+'LINEST VARS'!$S$48*(8)+'LINEST VARS'!$R$48*($DB$8)+'LINEST VARS'!$Q$48*(0.5)+'LINEST VARS'!$P$48*($CX28)+'LINEST VARS'!$O$48*(8^2)+'LINEST VARS'!$N$48*(8^2)+'LINEST VARS'!$M$48*($DB$8^2)+'LINEST VARS'!$L$48*(0.5^2)+'LINEST VARS'!$K$48*($CX28^2)+'LINEST VARS'!$J$48*(8*8)+'LINEST VARS'!$I$48*(8*$DB$8)+'LINEST VARS'!$H$48*(8*0.5)+'LINEST VARS'!$G$48*(8*$CX28)+'LINEST VARS'!$F$48*(8*$DB$8)+'LINEST VARS'!$E$48*(8*0.5)+'LINEST VARS'!$D$48*(8*$CX28)+'LINEST VARS'!$C$48*($DB$8*0.5)+'LINEST VARS'!$B$48*($DB$8*$CX28)+'LINEST VARS'!$A$48*(0.5*$CX28)</f>
        <v>369.99999999999977</v>
      </c>
      <c r="DC28" s="46">
        <f>'LINEST VARS'!$U$48+'LINEST VARS'!$T$48*(8)+'LINEST VARS'!$S$48*(8)+'LINEST VARS'!$R$48*($DC$8)+'LINEST VARS'!$Q$48*(0.5)+'LINEST VARS'!$P$48*($CX28)+'LINEST VARS'!$O$48*(8^2)+'LINEST VARS'!$N$48*(8^2)+'LINEST VARS'!$M$48*($DC$8^2)+'LINEST VARS'!$L$48*(0.5^2)+'LINEST VARS'!$K$48*($CX28^2)+'LINEST VARS'!$J$48*(8*8)+'LINEST VARS'!$I$48*(8*$DC$8)+'LINEST VARS'!$H$48*(8*0.5)+'LINEST VARS'!$G$48*(8*$CX28)+'LINEST VARS'!$F$48*(8*$DC$8)+'LINEST VARS'!$E$48*(8*0.5)+'LINEST VARS'!$D$48*(8*$CX28)+'LINEST VARS'!$C$48*($DC$8*0.5)+'LINEST VARS'!$B$48*($DC$8*$CX28)+'LINEST VARS'!$A$48*(0.5*$CX28)</f>
        <v>369.99999999999977</v>
      </c>
      <c r="DD28" s="46">
        <f>'LINEST VARS'!$U$48+'LINEST VARS'!$T$48*(8)+'LINEST VARS'!$S$48*(8)+'LINEST VARS'!$R$48*($DD$8)+'LINEST VARS'!$Q$48*(0.5)+'LINEST VARS'!$P$48*($CX28)+'LINEST VARS'!$O$48*(8^2)+'LINEST VARS'!$N$48*(8^2)+'LINEST VARS'!$M$48*($DD$8^2)+'LINEST VARS'!$L$48*(0.5^2)+'LINEST VARS'!$K$48*($CX28^2)+'LINEST VARS'!$J$48*(8*8)+'LINEST VARS'!$I$48*(8*$DD$8)+'LINEST VARS'!$H$48*(8*0.5)+'LINEST VARS'!$G$48*(8*$CX28)+'LINEST VARS'!$F$48*(8*$DD$8)+'LINEST VARS'!$E$48*(8*0.5)+'LINEST VARS'!$D$48*(8*$CX28)+'LINEST VARS'!$C$48*($DD$8*0.5)+'LINEST VARS'!$B$48*($DD$8*$CX28)+'LINEST VARS'!$A$48*(0.5*$CX28)</f>
        <v>369.99999999999977</v>
      </c>
      <c r="DE28" s="46">
        <f>'LINEST VARS'!$U$48+'LINEST VARS'!$T$48*(8)+'LINEST VARS'!$S$48*(8)+'LINEST VARS'!$R$48*($DE$8)+'LINEST VARS'!$Q$48*(0.5)+'LINEST VARS'!$P$48*($CX28)+'LINEST VARS'!$O$48*(8^2)+'LINEST VARS'!$N$48*(8^2)+'LINEST VARS'!$M$48*($DE$8^2)+'LINEST VARS'!$L$48*(0.5^2)+'LINEST VARS'!$K$48*($CX28^2)+'LINEST VARS'!$J$48*(8*8)+'LINEST VARS'!$I$48*(8*$DE$8)+'LINEST VARS'!$H$48*(8*0.5)+'LINEST VARS'!$G$48*(8*$CX28)+'LINEST VARS'!$F$48*(8*$DE$8)+'LINEST VARS'!$E$48*(8*0.5)+'LINEST VARS'!$D$48*(8*$CX28)+'LINEST VARS'!$C$48*($DE$8*0.5)+'LINEST VARS'!$B$48*($DE$8*$CX28)+'LINEST VARS'!$A$48*(0.5*$CX28)</f>
        <v>369.99999999999977</v>
      </c>
      <c r="DF28" s="46">
        <f>'LINEST VARS'!$U$48+'LINEST VARS'!$T$48*(8)+'LINEST VARS'!$S$48*(8)+'LINEST VARS'!$R$48*($DF$8)+'LINEST VARS'!$Q$48*(0.5)+'LINEST VARS'!$P$48*($CX28)+'LINEST VARS'!$O$48*(8^2)+'LINEST VARS'!$N$48*(8^2)+'LINEST VARS'!$M$48*($DF$8^2)+'LINEST VARS'!$L$48*(0.5^2)+'LINEST VARS'!$K$48*($CX28^2)+'LINEST VARS'!$J$48*(8*8)+'LINEST VARS'!$I$48*(8*$DF$8)+'LINEST VARS'!$H$48*(8*0.5)+'LINEST VARS'!$G$48*(8*$CX28)+'LINEST VARS'!$F$48*(8*$DF$8)+'LINEST VARS'!$E$48*(8*0.5)+'LINEST VARS'!$D$48*(8*$CX28)+'LINEST VARS'!$C$48*($DF$8*0.5)+'LINEST VARS'!$B$48*($DF$8*$CX28)+'LINEST VARS'!$A$48*(0.5*$CX28)</f>
        <v>369.99999999999977</v>
      </c>
      <c r="DG28" s="46">
        <f>'LINEST VARS'!$U$48+'LINEST VARS'!$T$48*(8)+'LINEST VARS'!$S$48*(8)+'LINEST VARS'!$R$48*($DG$8)+'LINEST VARS'!$Q$48*(0.5)+'LINEST VARS'!$P$48*($CX28)+'LINEST VARS'!$O$48*(8^2)+'LINEST VARS'!$N$48*(8^2)+'LINEST VARS'!$M$48*($DG$8^2)+'LINEST VARS'!$L$48*(0.5^2)+'LINEST VARS'!$K$48*($CX28^2)+'LINEST VARS'!$J$48*(8*8)+'LINEST VARS'!$I$48*(8*$DG$8)+'LINEST VARS'!$H$48*(8*0.5)+'LINEST VARS'!$G$48*(8*$CX28)+'LINEST VARS'!$F$48*(8*$DG$8)+'LINEST VARS'!$E$48*(8*0.5)+'LINEST VARS'!$D$48*(8*$CX28)+'LINEST VARS'!$C$48*($DG$8*0.5)+'LINEST VARS'!$B$48*($DG$8*$CX28)+'LINEST VARS'!$A$48*(0.5*$CX28)</f>
        <v>369.99999999999977</v>
      </c>
      <c r="DH28" s="46">
        <f>'LINEST VARS'!$U$48+'LINEST VARS'!$T$48*(8)+'LINEST VARS'!$S$48*(8)+'LINEST VARS'!$R$48*($DH$8)+'LINEST VARS'!$Q$48*(0.5)+'LINEST VARS'!$P$48*($CX28)+'LINEST VARS'!$O$48*(8^2)+'LINEST VARS'!$N$48*(8^2)+'LINEST VARS'!$M$48*($DH$8^2)+'LINEST VARS'!$L$48*(0.5^2)+'LINEST VARS'!$K$48*($CX28^2)+'LINEST VARS'!$J$48*(8*8)+'LINEST VARS'!$I$48*(8*$DH$8)+'LINEST VARS'!$H$48*(8*0.5)+'LINEST VARS'!$G$48*(8*$CX28)+'LINEST VARS'!$F$48*(8*$DH$8)+'LINEST VARS'!$E$48*(8*0.5)+'LINEST VARS'!$D$48*(8*$CX28)+'LINEST VARS'!$C$48*($DH$8*0.5)+'LINEST VARS'!$B$48*($DH$8*$CX28)+'LINEST VARS'!$A$48*(0.5*$CX28)</f>
        <v>369.99999999999977</v>
      </c>
      <c r="DI28" s="46">
        <f>'LINEST VARS'!$U$48+'LINEST VARS'!$T$48*(8)+'LINEST VARS'!$S$48*(8)+'LINEST VARS'!$R$48*($DI$8)+'LINEST VARS'!$Q$48*(0.5)+'LINEST VARS'!$P$48*($CX28)+'LINEST VARS'!$O$48*(8^2)+'LINEST VARS'!$N$48*(8^2)+'LINEST VARS'!$M$48*($DI$8^2)+'LINEST VARS'!$L$48*(0.5^2)+'LINEST VARS'!$K$48*($CX28^2)+'LINEST VARS'!$J$48*(8*8)+'LINEST VARS'!$I$48*(8*$DI$8)+'LINEST VARS'!$H$48*(8*0.5)+'LINEST VARS'!$G$48*(8*$CX28)+'LINEST VARS'!$F$48*(8*$DI$8)+'LINEST VARS'!$E$48*(8*0.5)+'LINEST VARS'!$D$48*(8*$CX28)+'LINEST VARS'!$C$48*($DI$8*0.5)+'LINEST VARS'!$B$48*($DI$8*$CX28)+'LINEST VARS'!$A$48*(0.5*$CX28)</f>
        <v>369.99999999999977</v>
      </c>
      <c r="DJ28" s="46">
        <f>'LINEST VARS'!$U$48+'LINEST VARS'!$T$48*(8)+'LINEST VARS'!$S$48*(8)+'LINEST VARS'!$R$48*($DJ$8)+'LINEST VARS'!$Q$48*(0.5)+'LINEST VARS'!$P$48*($CX28)+'LINEST VARS'!$O$48*(8^2)+'LINEST VARS'!$N$48*(8^2)+'LINEST VARS'!$M$48*($DJ$8^2)+'LINEST VARS'!$L$48*(0.5^2)+'LINEST VARS'!$K$48*($CX28^2)+'LINEST VARS'!$J$48*(8*8)+'LINEST VARS'!$I$48*(8*$DJ$8)+'LINEST VARS'!$H$48*(8*0.5)+'LINEST VARS'!$G$48*(8*$CX28)+'LINEST VARS'!$F$48*(8*$DJ$8)+'LINEST VARS'!$E$48*(8*0.5)+'LINEST VARS'!$D$48*(8*$CX28)+'LINEST VARS'!$C$48*($DJ$8*0.5)+'LINEST VARS'!$B$48*($DJ$8*$CX28)+'LINEST VARS'!$A$48*(0.5*$CX28)</f>
        <v>369.99999999999977</v>
      </c>
      <c r="DK28" s="46">
        <f>'LINEST VARS'!$U$48+'LINEST VARS'!$T$48*(8)+'LINEST VARS'!$S$48*(8)+'LINEST VARS'!$R$48*($DK$8)+'LINEST VARS'!$Q$48*(0.5)+'LINEST VARS'!$P$48*($CX28)+'LINEST VARS'!$O$48*(8^2)+'LINEST VARS'!$N$48*(8^2)+'LINEST VARS'!$M$48*($DK$8^2)+'LINEST VARS'!$L$48*(0.5^2)+'LINEST VARS'!$K$48*($CX28^2)+'LINEST VARS'!$J$48*(8*8)+'LINEST VARS'!$I$48*(8*$DK$8)+'LINEST VARS'!$H$48*(8*0.5)+'LINEST VARS'!$G$48*(8*$CX28)+'LINEST VARS'!$F$48*(8*$DK$8)+'LINEST VARS'!$E$48*(8*0.5)+'LINEST VARS'!$D$48*(8*$CX28)+'LINEST VARS'!$C$48*($DK$8*0.5)+'LINEST VARS'!$B$48*($DK$8*$CX28)+'LINEST VARS'!$A$48*(0.5*$CX28)</f>
        <v>369.99999999999977</v>
      </c>
      <c r="DL28" s="46">
        <f>'LINEST VARS'!$U$48+'LINEST VARS'!$T$48*(8)+'LINEST VARS'!$S$48*(8)+'LINEST VARS'!$R$48*($DL$8)+'LINEST VARS'!$Q$48*(0.5)+'LINEST VARS'!$P$48*($CX28)+'LINEST VARS'!$O$48*(8^2)+'LINEST VARS'!$N$48*(8^2)+'LINEST VARS'!$M$48*($DL$8^2)+'LINEST VARS'!$L$48*(0.5^2)+'LINEST VARS'!$K$48*($CX28^2)+'LINEST VARS'!$J$48*(8*8)+'LINEST VARS'!$I$48*(8*$DL$8)+'LINEST VARS'!$H$48*(8*0.5)+'LINEST VARS'!$G$48*(8*$CX28)+'LINEST VARS'!$F$48*(8*$DL$8)+'LINEST VARS'!$E$48*(8*0.5)+'LINEST VARS'!$D$48*(8*$CX28)+'LINEST VARS'!$C$48*($DL$8*0.5)+'LINEST VARS'!$B$48*($DL$8*$CX28)+'LINEST VARS'!$A$48*(0.5*$CX28)</f>
        <v>369.99999999999983</v>
      </c>
      <c r="DM28" s="46">
        <f>'LINEST VARS'!$U$48+'LINEST VARS'!$T$48*(8)+'LINEST VARS'!$S$48*(8)+'LINEST VARS'!$R$48*($DM$8)+'LINEST VARS'!$Q$48*(0.5)+'LINEST VARS'!$P$48*($CX28)+'LINEST VARS'!$O$48*(8^2)+'LINEST VARS'!$N$48*(8^2)+'LINEST VARS'!$M$48*($DM$8^2)+'LINEST VARS'!$L$48*(0.5^2)+'LINEST VARS'!$K$48*($CX28^2)+'LINEST VARS'!$J$48*(8*8)+'LINEST VARS'!$I$48*(8*$DM$8)+'LINEST VARS'!$H$48*(8*0.5)+'LINEST VARS'!$G$48*(8*$CX28)+'LINEST VARS'!$F$48*(8*$DM$8)+'LINEST VARS'!$E$48*(8*0.5)+'LINEST VARS'!$D$48*(8*$CX28)+'LINEST VARS'!$C$48*($DM$8*0.5)+'LINEST VARS'!$B$48*($DM$8*$CX28)+'LINEST VARS'!$A$48*(0.5*$CX28)</f>
        <v>369.99999999999983</v>
      </c>
      <c r="DN28" s="46">
        <f>'LINEST VARS'!$U$48+'LINEST VARS'!$T$48*(8)+'LINEST VARS'!$S$48*(8)+'LINEST VARS'!$R$48*($DN$8)+'LINEST VARS'!$Q$48*(0.5)+'LINEST VARS'!$P$48*($CX28)+'LINEST VARS'!$O$48*(8^2)+'LINEST VARS'!$N$48*(8^2)+'LINEST VARS'!$M$48*($DN$8^2)+'LINEST VARS'!$L$48*(0.5^2)+'LINEST VARS'!$K$48*($CX28^2)+'LINEST VARS'!$J$48*(8*8)+'LINEST VARS'!$I$48*(8*$DN$8)+'LINEST VARS'!$H$48*(8*0.5)+'LINEST VARS'!$G$48*(8*$CX28)+'LINEST VARS'!$F$48*(8*$DN$8)+'LINEST VARS'!$E$48*(8*0.5)+'LINEST VARS'!$D$48*(8*$CX28)+'LINEST VARS'!$C$48*($DN$8*0.5)+'LINEST VARS'!$B$48*($DN$8*$CX28)+'LINEST VARS'!$A$48*(0.5*$CX28)</f>
        <v>369.99999999999983</v>
      </c>
      <c r="DO28" s="46">
        <f>'LINEST VARS'!$U$48+'LINEST VARS'!$T$48*(8)+'LINEST VARS'!$S$48*(8)+'LINEST VARS'!$R$48*($DO$8)+'LINEST VARS'!$Q$48*(0.5)+'LINEST VARS'!$P$48*($CX28)+'LINEST VARS'!$O$48*(8^2)+'LINEST VARS'!$N$48*(8^2)+'LINEST VARS'!$M$48*($DO$8^2)+'LINEST VARS'!$L$48*(0.5^2)+'LINEST VARS'!$K$48*($CX28^2)+'LINEST VARS'!$J$48*(8*8)+'LINEST VARS'!$I$48*(8*$DO$8)+'LINEST VARS'!$H$48*(8*0.5)+'LINEST VARS'!$G$48*(8*$CX28)+'LINEST VARS'!$F$48*(8*$DO$8)+'LINEST VARS'!$E$48*(8*0.5)+'LINEST VARS'!$D$48*(8*$CX28)+'LINEST VARS'!$C$48*($DO$8*0.5)+'LINEST VARS'!$B$48*($DO$8*$CX28)+'LINEST VARS'!$A$48*(0.5*$CX28)</f>
        <v>369.99999999999977</v>
      </c>
      <c r="DP28" s="46">
        <f>'LINEST VARS'!$U$48+'LINEST VARS'!$T$48*(8)+'LINEST VARS'!$S$48*(8)+'LINEST VARS'!$R$48*($DP$8)+'LINEST VARS'!$Q$48*(0.5)+'LINEST VARS'!$P$48*($CX28)+'LINEST VARS'!$O$48*(8^2)+'LINEST VARS'!$N$48*(8^2)+'LINEST VARS'!$M$48*($DP$8^2)+'LINEST VARS'!$L$48*(0.5^2)+'LINEST VARS'!$K$48*($CX28^2)+'LINEST VARS'!$J$48*(8*8)+'LINEST VARS'!$I$48*(8*$DP$8)+'LINEST VARS'!$H$48*(8*0.5)+'LINEST VARS'!$G$48*(8*$CX28)+'LINEST VARS'!$F$48*(8*$DP$8)+'LINEST VARS'!$E$48*(8*0.5)+'LINEST VARS'!$D$48*(8*$CX28)+'LINEST VARS'!$C$48*($DP$8*0.5)+'LINEST VARS'!$B$48*($DP$8*$CX28)+'LINEST VARS'!$A$48*(0.5*$CX28)</f>
        <v>369.99999999999983</v>
      </c>
      <c r="DQ28" s="46">
        <f>'LINEST VARS'!$U$48+'LINEST VARS'!$T$48*(8)+'LINEST VARS'!$S$48*(8)+'LINEST VARS'!$R$48*($DQ$8)+'LINEST VARS'!$Q$48*(0.5)+'LINEST VARS'!$P$48*($CX28)+'LINEST VARS'!$O$48*(8^2)+'LINEST VARS'!$N$48*(8^2)+'LINEST VARS'!$M$48*($DQ$8^2)+'LINEST VARS'!$L$48*(0.5^2)+'LINEST VARS'!$K$48*($CX28^2)+'LINEST VARS'!$J$48*(8*8)+'LINEST VARS'!$I$48*(8*$DQ$8)+'LINEST VARS'!$H$48*(8*0.5)+'LINEST VARS'!$G$48*(8*$CX28)+'LINEST VARS'!$F$48*(8*$DQ$8)+'LINEST VARS'!$E$48*(8*0.5)+'LINEST VARS'!$D$48*(8*$CX28)+'LINEST VARS'!$C$48*($DQ$8*0.5)+'LINEST VARS'!$B$48*($DQ$8*$CX28)+'LINEST VARS'!$A$48*(0.5*$CX28)</f>
        <v>369.99999999999983</v>
      </c>
      <c r="DR28" s="46">
        <f>'LINEST VARS'!$U$48+'LINEST VARS'!$T$48*(8)+'LINEST VARS'!$S$48*(8)+'LINEST VARS'!$R$48*($DR$8)+'LINEST VARS'!$Q$48*(0.5)+'LINEST VARS'!$P$48*($CX28)+'LINEST VARS'!$O$48*(8^2)+'LINEST VARS'!$N$48*(8^2)+'LINEST VARS'!$M$48*($DR$8^2)+'LINEST VARS'!$L$48*(0.5^2)+'LINEST VARS'!$K$48*($CX28^2)+'LINEST VARS'!$J$48*(8*8)+'LINEST VARS'!$I$48*(8*$DR$8)+'LINEST VARS'!$H$48*(8*0.5)+'LINEST VARS'!$G$48*(8*$CX28)+'LINEST VARS'!$F$48*(8*$DR$8)+'LINEST VARS'!$E$48*(8*0.5)+'LINEST VARS'!$D$48*(8*$CX28)+'LINEST VARS'!$C$48*($DR$8*0.5)+'LINEST VARS'!$B$48*($DR$8*$CX28)+'LINEST VARS'!$A$48*(0.5*$CX28)</f>
        <v>369.99999999999983</v>
      </c>
      <c r="DS28" s="47">
        <f>'LINEST VARS'!$U$48+'LINEST VARS'!$T$48*(8)+'LINEST VARS'!$S$48*(8)+'LINEST VARS'!$R$48*($DS$8)+'LINEST VARS'!$Q$48*(0.5)+'LINEST VARS'!$P$48*($CX28)+'LINEST VARS'!$O$48*(8^2)+'LINEST VARS'!$N$48*(8^2)+'LINEST VARS'!$M$48*($DS$8^2)+'LINEST VARS'!$L$48*(0.5^2)+'LINEST VARS'!$K$48*($CX28^2)+'LINEST VARS'!$J$48*(8*8)+'LINEST VARS'!$I$48*(8*$DS$8)+'LINEST VARS'!$H$48*(8*0.5)+'LINEST VARS'!$G$48*(8*$CX28)+'LINEST VARS'!$F$48*(8*$DS$8)+'LINEST VARS'!$E$48*(8*0.5)+'LINEST VARS'!$D$48*(8*$CX28)+'LINEST VARS'!$C$48*($DS$8*0.5)+'LINEST VARS'!$B$48*($DS$8*$CX28)+'LINEST VARS'!$A$48*(0.5*$CX28)</f>
        <v>369.99999999999983</v>
      </c>
      <c r="DV28" s="45">
        <v>24.6905</v>
      </c>
      <c r="DW28" s="46">
        <f>'LINEST VARS'!$U$50+'LINEST VARS'!$T$50*(8)+'LINEST VARS'!$S$50*(8)+'LINEST VARS'!$R$50*($DW$8)+'LINEST VARS'!$Q$50*(0.5)+'LINEST VARS'!$P$50*($DV28)+'LINEST VARS'!$O$50*(8^2)+'LINEST VARS'!$N$50*(8^2)+'LINEST VARS'!$M$50*($DW$8^2)+'LINEST VARS'!$L$50*(0.5^2)+'LINEST VARS'!$K$50*($DV28^2)+'LINEST VARS'!$J$50*(8*8)+'LINEST VARS'!$I$50*(8*$DW$8)+'LINEST VARS'!$H$50*(8*0.5)+'LINEST VARS'!$G$50*(8*$DV28)+'LINEST VARS'!$F$50*(8*$DW$8)+'LINEST VARS'!$E$50*(8*0.5)+'LINEST VARS'!$D$50*(8*$DV28)+'LINEST VARS'!$C$50*($DW$8*0.5)+'LINEST VARS'!$B$50*($DW$8*$DV28)+'LINEST VARS'!$A$50*(0.5*$DV28)</f>
        <v>331.99999999999989</v>
      </c>
      <c r="DX28" s="46">
        <f>'LINEST VARS'!$U$50+'LINEST VARS'!$T$50*(8)+'LINEST VARS'!$S$50*(8)+'LINEST VARS'!$R$50*($DX$8)+'LINEST VARS'!$Q$50*(0.5)+'LINEST VARS'!$P$50*($DV28)+'LINEST VARS'!$O$50*(8^2)+'LINEST VARS'!$N$50*(8^2)+'LINEST VARS'!$M$50*($DX$8^2)+'LINEST VARS'!$L$50*(0.5^2)+'LINEST VARS'!$K$50*($DV28^2)+'LINEST VARS'!$J$50*(8*8)+'LINEST VARS'!$I$50*(8*$DX$8)+'LINEST VARS'!$H$50*(8*0.5)+'LINEST VARS'!$G$50*(8*$DV28)+'LINEST VARS'!$F$50*(8*$DX$8)+'LINEST VARS'!$E$50*(8*0.5)+'LINEST VARS'!$D$50*(8*$DV28)+'LINEST VARS'!$C$50*($DX$8*0.5)+'LINEST VARS'!$B$50*($DX$8*$DV28)+'LINEST VARS'!$A$50*(0.5*$DV28)</f>
        <v>331.99999999999989</v>
      </c>
      <c r="DY28" s="46">
        <f>'LINEST VARS'!$U$50+'LINEST VARS'!$T$50*(8)+'LINEST VARS'!$S$50*(8)+'LINEST VARS'!$R$50*($DY$8)+'LINEST VARS'!$Q$50*(0.5)+'LINEST VARS'!$P$50*($DV28)+'LINEST VARS'!$O$50*(8^2)+'LINEST VARS'!$N$50*(8^2)+'LINEST VARS'!$M$50*($DY$8^2)+'LINEST VARS'!$L$50*(0.5^2)+'LINEST VARS'!$K$50*($DV28^2)+'LINEST VARS'!$J$50*(8*8)+'LINEST VARS'!$I$50*(8*$DY$8)+'LINEST VARS'!$H$50*(8*0.5)+'LINEST VARS'!$G$50*(8*$DV28)+'LINEST VARS'!$F$50*(8*$DY$8)+'LINEST VARS'!$E$50*(8*0.5)+'LINEST VARS'!$D$50*(8*$DV28)+'LINEST VARS'!$C$50*($DY$8*0.5)+'LINEST VARS'!$B$50*($DY$8*$DV28)+'LINEST VARS'!$A$50*(0.5*$DV28)</f>
        <v>331.99999999999989</v>
      </c>
      <c r="DZ28" s="46">
        <f>'LINEST VARS'!$U$50+'LINEST VARS'!$T$50*(8)+'LINEST VARS'!$S$50*(8)+'LINEST VARS'!$R$50*($DZ$8)+'LINEST VARS'!$Q$50*(0.5)+'LINEST VARS'!$P$50*($DV28)+'LINEST VARS'!$O$50*(8^2)+'LINEST VARS'!$N$50*(8^2)+'LINEST VARS'!$M$50*($DZ$8^2)+'LINEST VARS'!$L$50*(0.5^2)+'LINEST VARS'!$K$50*($DV28^2)+'LINEST VARS'!$J$50*(8*8)+'LINEST VARS'!$I$50*(8*$DZ$8)+'LINEST VARS'!$H$50*(8*0.5)+'LINEST VARS'!$G$50*(8*$DV28)+'LINEST VARS'!$F$50*(8*$DZ$8)+'LINEST VARS'!$E$50*(8*0.5)+'LINEST VARS'!$D$50*(8*$DV28)+'LINEST VARS'!$C$50*($DZ$8*0.5)+'LINEST VARS'!$B$50*($DZ$8*$DV28)+'LINEST VARS'!$A$50*(0.5*$DV28)</f>
        <v>331.99999999999989</v>
      </c>
      <c r="EA28" s="46">
        <f>'LINEST VARS'!$U$50+'LINEST VARS'!$T$50*(8)+'LINEST VARS'!$S$50*(8)+'LINEST VARS'!$R$50*($EA$8)+'LINEST VARS'!$Q$50*(0.5)+'LINEST VARS'!$P$50*($DV28)+'LINEST VARS'!$O$50*(8^2)+'LINEST VARS'!$N$50*(8^2)+'LINEST VARS'!$M$50*($EA$8^2)+'LINEST VARS'!$L$50*(0.5^2)+'LINEST VARS'!$K$50*($DV28^2)+'LINEST VARS'!$J$50*(8*8)+'LINEST VARS'!$I$50*(8*$EA$8)+'LINEST VARS'!$H$50*(8*0.5)+'LINEST VARS'!$G$50*(8*$DV28)+'LINEST VARS'!$F$50*(8*$EA$8)+'LINEST VARS'!$E$50*(8*0.5)+'LINEST VARS'!$D$50*(8*$DV28)+'LINEST VARS'!$C$50*($EA$8*0.5)+'LINEST VARS'!$B$50*($EA$8*$DV28)+'LINEST VARS'!$A$50*(0.5*$DV28)</f>
        <v>331.99999999999989</v>
      </c>
      <c r="EB28" s="46">
        <f>'LINEST VARS'!$U$50+'LINEST VARS'!$T$50*(8)+'LINEST VARS'!$S$50*(8)+'LINEST VARS'!$R$50*($EB$8)+'LINEST VARS'!$Q$50*(0.5)+'LINEST VARS'!$P$50*($DV28)+'LINEST VARS'!$O$50*(8^2)+'LINEST VARS'!$N$50*(8^2)+'LINEST VARS'!$M$50*($EB$8^2)+'LINEST VARS'!$L$50*(0.5^2)+'LINEST VARS'!$K$50*($DV28^2)+'LINEST VARS'!$J$50*(8*8)+'LINEST VARS'!$I$50*(8*$EB$8)+'LINEST VARS'!$H$50*(8*0.5)+'LINEST VARS'!$G$50*(8*$DV28)+'LINEST VARS'!$F$50*(8*$EB$8)+'LINEST VARS'!$E$50*(8*0.5)+'LINEST VARS'!$D$50*(8*$DV28)+'LINEST VARS'!$C$50*($EB$8*0.5)+'LINEST VARS'!$B$50*($EB$8*$DV28)+'LINEST VARS'!$A$50*(0.5*$DV28)</f>
        <v>331.99999999999989</v>
      </c>
      <c r="EC28" s="46">
        <f>'LINEST VARS'!$U$50+'LINEST VARS'!$T$50*(8)+'LINEST VARS'!$S$50*(8)+'LINEST VARS'!$R$50*($EC$8)+'LINEST VARS'!$Q$50*(0.5)+'LINEST VARS'!$P$50*($DV28)+'LINEST VARS'!$O$50*(8^2)+'LINEST VARS'!$N$50*(8^2)+'LINEST VARS'!$M$50*($EC$8^2)+'LINEST VARS'!$L$50*(0.5^2)+'LINEST VARS'!$K$50*($DV28^2)+'LINEST VARS'!$J$50*(8*8)+'LINEST VARS'!$I$50*(8*$EC$8)+'LINEST VARS'!$H$50*(8*0.5)+'LINEST VARS'!$G$50*(8*$DV28)+'LINEST VARS'!$F$50*(8*$EC$8)+'LINEST VARS'!$E$50*(8*0.5)+'LINEST VARS'!$D$50*(8*$DV28)+'LINEST VARS'!$C$50*($EC$8*0.5)+'LINEST VARS'!$B$50*($EC$8*$DV28)+'LINEST VARS'!$A$50*(0.5*$DV28)</f>
        <v>331.99999999999989</v>
      </c>
      <c r="ED28" s="46">
        <f>'LINEST VARS'!$U$50+'LINEST VARS'!$T$50*(8)+'LINEST VARS'!$S$50*(8)+'LINEST VARS'!$R$50*($ED$8)+'LINEST VARS'!$Q$50*(0.5)+'LINEST VARS'!$P$50*($DV28)+'LINEST VARS'!$O$50*(8^2)+'LINEST VARS'!$N$50*(8^2)+'LINEST VARS'!$M$50*($ED$8^2)+'LINEST VARS'!$L$50*(0.5^2)+'LINEST VARS'!$K$50*($DV28^2)+'LINEST VARS'!$J$50*(8*8)+'LINEST VARS'!$I$50*(8*$ED$8)+'LINEST VARS'!$H$50*(8*0.5)+'LINEST VARS'!$G$50*(8*$DV28)+'LINEST VARS'!$F$50*(8*$ED$8)+'LINEST VARS'!$E$50*(8*0.5)+'LINEST VARS'!$D$50*(8*$DV28)+'LINEST VARS'!$C$50*($ED$8*0.5)+'LINEST VARS'!$B$50*($ED$8*$DV28)+'LINEST VARS'!$A$50*(0.5*$DV28)</f>
        <v>331.99999999999989</v>
      </c>
      <c r="EE28" s="46">
        <f>'LINEST VARS'!$U$50+'LINEST VARS'!$T$50*(8)+'LINEST VARS'!$S$50*(8)+'LINEST VARS'!$R$50*($EE$8)+'LINEST VARS'!$Q$50*(0.5)+'LINEST VARS'!$P$50*($DV28)+'LINEST VARS'!$O$50*(8^2)+'LINEST VARS'!$N$50*(8^2)+'LINEST VARS'!$M$50*($EE$8^2)+'LINEST VARS'!$L$50*(0.5^2)+'LINEST VARS'!$K$50*($DV28^2)+'LINEST VARS'!$J$50*(8*8)+'LINEST VARS'!$I$50*(8*$EE$8)+'LINEST VARS'!$H$50*(8*0.5)+'LINEST VARS'!$G$50*(8*$DV28)+'LINEST VARS'!$F$50*(8*$EE$8)+'LINEST VARS'!$E$50*(8*0.5)+'LINEST VARS'!$D$50*(8*$DV28)+'LINEST VARS'!$C$50*($EE$8*0.5)+'LINEST VARS'!$B$50*($EE$8*$DV28)+'LINEST VARS'!$A$50*(0.5*$DV28)</f>
        <v>331.99999999999989</v>
      </c>
      <c r="EF28" s="46">
        <f>'LINEST VARS'!$U$50+'LINEST VARS'!$T$50*(8)+'LINEST VARS'!$S$50*(8)+'LINEST VARS'!$R$50*($EF$8)+'LINEST VARS'!$Q$50*(0.5)+'LINEST VARS'!$P$50*($DV28)+'LINEST VARS'!$O$50*(8^2)+'LINEST VARS'!$N$50*(8^2)+'LINEST VARS'!$M$50*($EF$8^2)+'LINEST VARS'!$L$50*(0.5^2)+'LINEST VARS'!$K$50*($DV28^2)+'LINEST VARS'!$J$50*(8*8)+'LINEST VARS'!$I$50*(8*$EF$8)+'LINEST VARS'!$H$50*(8*0.5)+'LINEST VARS'!$G$50*(8*$DV28)+'LINEST VARS'!$F$50*(8*$EF$8)+'LINEST VARS'!$E$50*(8*0.5)+'LINEST VARS'!$D$50*(8*$DV28)+'LINEST VARS'!$C$50*($EF$8*0.5)+'LINEST VARS'!$B$50*($EF$8*$DV28)+'LINEST VARS'!$A$50*(0.5*$DV28)</f>
        <v>331.99999999999989</v>
      </c>
      <c r="EG28" s="46">
        <f>'LINEST VARS'!$U$50+'LINEST VARS'!$T$50*(8)+'LINEST VARS'!$S$50*(8)+'LINEST VARS'!$R$50*($EG$8)+'LINEST VARS'!$Q$50*(0.5)+'LINEST VARS'!$P$50*($DV28)+'LINEST VARS'!$O$50*(8^2)+'LINEST VARS'!$N$50*(8^2)+'LINEST VARS'!$M$50*($EG$8^2)+'LINEST VARS'!$L$50*(0.5^2)+'LINEST VARS'!$K$50*($DV28^2)+'LINEST VARS'!$J$50*(8*8)+'LINEST VARS'!$I$50*(8*$EG$8)+'LINEST VARS'!$H$50*(8*0.5)+'LINEST VARS'!$G$50*(8*$DV28)+'LINEST VARS'!$F$50*(8*$EG$8)+'LINEST VARS'!$E$50*(8*0.5)+'LINEST VARS'!$D$50*(8*$DV28)+'LINEST VARS'!$C$50*($EG$8*0.5)+'LINEST VARS'!$B$50*($EG$8*$DV28)+'LINEST VARS'!$A$50*(0.5*$DV28)</f>
        <v>331.99999999999989</v>
      </c>
      <c r="EH28" s="46">
        <f>'LINEST VARS'!$U$50+'LINEST VARS'!$T$50*(8)+'LINEST VARS'!$S$50*(8)+'LINEST VARS'!$R$50*($EH$8)+'LINEST VARS'!$Q$50*(0.5)+'LINEST VARS'!$P$50*($DV28)+'LINEST VARS'!$O$50*(8^2)+'LINEST VARS'!$N$50*(8^2)+'LINEST VARS'!$M$50*($EH$8^2)+'LINEST VARS'!$L$50*(0.5^2)+'LINEST VARS'!$K$50*($DV28^2)+'LINEST VARS'!$J$50*(8*8)+'LINEST VARS'!$I$50*(8*$EH$8)+'LINEST VARS'!$H$50*(8*0.5)+'LINEST VARS'!$G$50*(8*$DV28)+'LINEST VARS'!$F$50*(8*$EH$8)+'LINEST VARS'!$E$50*(8*0.5)+'LINEST VARS'!$D$50*(8*$DV28)+'LINEST VARS'!$C$50*($EH$8*0.5)+'LINEST VARS'!$B$50*($EH$8*$DV28)+'LINEST VARS'!$A$50*(0.5*$DV28)</f>
        <v>331.99999999999989</v>
      </c>
      <c r="EI28" s="46">
        <f>'LINEST VARS'!$U$50+'LINEST VARS'!$T$50*(8)+'LINEST VARS'!$S$50*(8)+'LINEST VARS'!$R$50*($EI$8)+'LINEST VARS'!$Q$50*(0.5)+'LINEST VARS'!$P$50*($DV28)+'LINEST VARS'!$O$50*(8^2)+'LINEST VARS'!$N$50*(8^2)+'LINEST VARS'!$M$50*($EI$8^2)+'LINEST VARS'!$L$50*(0.5^2)+'LINEST VARS'!$K$50*($DV28^2)+'LINEST VARS'!$J$50*(8*8)+'LINEST VARS'!$I$50*(8*$EI$8)+'LINEST VARS'!$H$50*(8*0.5)+'LINEST VARS'!$G$50*(8*$DV28)+'LINEST VARS'!$F$50*(8*$EI$8)+'LINEST VARS'!$E$50*(8*0.5)+'LINEST VARS'!$D$50*(8*$DV28)+'LINEST VARS'!$C$50*($EI$8*0.5)+'LINEST VARS'!$B$50*($EI$8*$DV28)+'LINEST VARS'!$A$50*(0.5*$DV28)</f>
        <v>331.99999999999989</v>
      </c>
      <c r="EJ28" s="46">
        <f>'LINEST VARS'!$U$50+'LINEST VARS'!$T$50*(8)+'LINEST VARS'!$S$50*(8)+'LINEST VARS'!$R$50*($EJ$8)+'LINEST VARS'!$Q$50*(0.5)+'LINEST VARS'!$P$50*($DV28)+'LINEST VARS'!$O$50*(8^2)+'LINEST VARS'!$N$50*(8^2)+'LINEST VARS'!$M$50*($EJ$8^2)+'LINEST VARS'!$L$50*(0.5^2)+'LINEST VARS'!$K$50*($DV28^2)+'LINEST VARS'!$J$50*(8*8)+'LINEST VARS'!$I$50*(8*$EJ$8)+'LINEST VARS'!$H$50*(8*0.5)+'LINEST VARS'!$G$50*(8*$DV28)+'LINEST VARS'!$F$50*(8*$EJ$8)+'LINEST VARS'!$E$50*(8*0.5)+'LINEST VARS'!$D$50*(8*$DV28)+'LINEST VARS'!$C$50*($EJ$8*0.5)+'LINEST VARS'!$B$50*($EJ$8*$DV28)+'LINEST VARS'!$A$50*(0.5*$DV28)</f>
        <v>331.99999999999989</v>
      </c>
      <c r="EK28" s="46">
        <f>'LINEST VARS'!$U$50+'LINEST VARS'!$T$50*(8)+'LINEST VARS'!$S$50*(8)+'LINEST VARS'!$R$50*($EK$8)+'LINEST VARS'!$Q$50*(0.5)+'LINEST VARS'!$P$50*($DV28)+'LINEST VARS'!$O$50*(8^2)+'LINEST VARS'!$N$50*(8^2)+'LINEST VARS'!$M$50*($EK$8^2)+'LINEST VARS'!$L$50*(0.5^2)+'LINEST VARS'!$K$50*($DV28^2)+'LINEST VARS'!$J$50*(8*8)+'LINEST VARS'!$I$50*(8*$EK$8)+'LINEST VARS'!$H$50*(8*0.5)+'LINEST VARS'!$G$50*(8*$DV28)+'LINEST VARS'!$F$50*(8*$EK$8)+'LINEST VARS'!$E$50*(8*0.5)+'LINEST VARS'!$D$50*(8*$DV28)+'LINEST VARS'!$C$50*($EK$8*0.5)+'LINEST VARS'!$B$50*($EK$8*$DV28)+'LINEST VARS'!$A$50*(0.5*$DV28)</f>
        <v>331.99999999999989</v>
      </c>
      <c r="EL28" s="46">
        <f>'LINEST VARS'!$U$50+'LINEST VARS'!$T$50*(8)+'LINEST VARS'!$S$50*(8)+'LINEST VARS'!$R$50*($EL$8)+'LINEST VARS'!$Q$50*(0.5)+'LINEST VARS'!$P$50*($DV28)+'LINEST VARS'!$O$50*(8^2)+'LINEST VARS'!$N$50*(8^2)+'LINEST VARS'!$M$50*($EL$8^2)+'LINEST VARS'!$L$50*(0.5^2)+'LINEST VARS'!$K$50*($DV28^2)+'LINEST VARS'!$J$50*(8*8)+'LINEST VARS'!$I$50*(8*$EL$8)+'LINEST VARS'!$H$50*(8*0.5)+'LINEST VARS'!$G$50*(8*$DV28)+'LINEST VARS'!$F$50*(8*$EL$8)+'LINEST VARS'!$E$50*(8*0.5)+'LINEST VARS'!$D$50*(8*$DV28)+'LINEST VARS'!$C$50*($EL$8*0.5)+'LINEST VARS'!$B$50*($EL$8*$DV28)+'LINEST VARS'!$A$50*(0.5*$DV28)</f>
        <v>331.99999999999989</v>
      </c>
      <c r="EM28" s="46">
        <f>'LINEST VARS'!$U$50+'LINEST VARS'!$T$50*(8)+'LINEST VARS'!$S$50*(8)+'LINEST VARS'!$R$50*($EM$8)+'LINEST VARS'!$Q$50*(0.5)+'LINEST VARS'!$P$50*($DV28)+'LINEST VARS'!$O$50*(8^2)+'LINEST VARS'!$N$50*(8^2)+'LINEST VARS'!$M$50*($EM$8^2)+'LINEST VARS'!$L$50*(0.5^2)+'LINEST VARS'!$K$50*($DV28^2)+'LINEST VARS'!$J$50*(8*8)+'LINEST VARS'!$I$50*(8*$EM$8)+'LINEST VARS'!$H$50*(8*0.5)+'LINEST VARS'!$G$50*(8*$DV28)+'LINEST VARS'!$F$50*(8*$EM$8)+'LINEST VARS'!$E$50*(8*0.5)+'LINEST VARS'!$D$50*(8*$DV28)+'LINEST VARS'!$C$50*($EM$8*0.5)+'LINEST VARS'!$B$50*($EM$8*$DV28)+'LINEST VARS'!$A$50*(0.5*$DV28)</f>
        <v>331.99999999999989</v>
      </c>
      <c r="EN28" s="46">
        <f>'LINEST VARS'!$U$50+'LINEST VARS'!$T$50*(8)+'LINEST VARS'!$S$50*(8)+'LINEST VARS'!$R$50*($EN$8)+'LINEST VARS'!$Q$50*(0.5)+'LINEST VARS'!$P$50*($DV28)+'LINEST VARS'!$O$50*(8^2)+'LINEST VARS'!$N$50*(8^2)+'LINEST VARS'!$M$50*($EN$8^2)+'LINEST VARS'!$L$50*(0.5^2)+'LINEST VARS'!$K$50*($DV28^2)+'LINEST VARS'!$J$50*(8*8)+'LINEST VARS'!$I$50*(8*$EN$8)+'LINEST VARS'!$H$50*(8*0.5)+'LINEST VARS'!$G$50*(8*$DV28)+'LINEST VARS'!$F$50*(8*$EN$8)+'LINEST VARS'!$E$50*(8*0.5)+'LINEST VARS'!$D$50*(8*$DV28)+'LINEST VARS'!$C$50*($EN$8*0.5)+'LINEST VARS'!$B$50*($EN$8*$DV28)+'LINEST VARS'!$A$50*(0.5*$DV28)</f>
        <v>331.99999999999989</v>
      </c>
      <c r="EO28" s="46">
        <f>'LINEST VARS'!$U$50+'LINEST VARS'!$T$50*(8)+'LINEST VARS'!$S$50*(8)+'LINEST VARS'!$R$50*($EO$8)+'LINEST VARS'!$Q$50*(0.5)+'LINEST VARS'!$P$50*($DV28)+'LINEST VARS'!$O$50*(8^2)+'LINEST VARS'!$N$50*(8^2)+'LINEST VARS'!$M$50*($EO$8^2)+'LINEST VARS'!$L$50*(0.5^2)+'LINEST VARS'!$K$50*($DV28^2)+'LINEST VARS'!$J$50*(8*8)+'LINEST VARS'!$I$50*(8*$EO$8)+'LINEST VARS'!$H$50*(8*0.5)+'LINEST VARS'!$G$50*(8*$DV28)+'LINEST VARS'!$F$50*(8*$EO$8)+'LINEST VARS'!$E$50*(8*0.5)+'LINEST VARS'!$D$50*(8*$DV28)+'LINEST VARS'!$C$50*($EO$8*0.5)+'LINEST VARS'!$B$50*($EO$8*$DV28)+'LINEST VARS'!$A$50*(0.5*$DV28)</f>
        <v>331.99999999999989</v>
      </c>
      <c r="EP28" s="46">
        <f>'LINEST VARS'!$U$50+'LINEST VARS'!$T$50*(8)+'LINEST VARS'!$S$50*(8)+'LINEST VARS'!$R$50*($EP$8)+'LINEST VARS'!$Q$50*(0.5)+'LINEST VARS'!$P$50*($DV28)+'LINEST VARS'!$O$50*(8^2)+'LINEST VARS'!$N$50*(8^2)+'LINEST VARS'!$M$50*($EP$8^2)+'LINEST VARS'!$L$50*(0.5^2)+'LINEST VARS'!$K$50*($DV28^2)+'LINEST VARS'!$J$50*(8*8)+'LINEST VARS'!$I$50*(8*$EP$8)+'LINEST VARS'!$H$50*(8*0.5)+'LINEST VARS'!$G$50*(8*$DV28)+'LINEST VARS'!$F$50*(8*$EP$8)+'LINEST VARS'!$E$50*(8*0.5)+'LINEST VARS'!$D$50*(8*$DV28)+'LINEST VARS'!$C$50*($EP$8*0.5)+'LINEST VARS'!$B$50*($EP$8*$DV28)+'LINEST VARS'!$A$50*(0.5*$DV28)</f>
        <v>331.99999999999989</v>
      </c>
      <c r="EQ28" s="47">
        <f>'LINEST VARS'!$U$50+'LINEST VARS'!$T$50*(8)+'LINEST VARS'!$S$50*(8)+'LINEST VARS'!$R$50*($EQ$8)+'LINEST VARS'!$Q$50*(0.5)+'LINEST VARS'!$P$50*($DV28)+'LINEST VARS'!$O$50*(8^2)+'LINEST VARS'!$N$50*(8^2)+'LINEST VARS'!$M$50*($EQ$8^2)+'LINEST VARS'!$L$50*(0.5^2)+'LINEST VARS'!$K$50*($DV28^2)+'LINEST VARS'!$J$50*(8*8)+'LINEST VARS'!$I$50*(8*$EQ$8)+'LINEST VARS'!$H$50*(8*0.5)+'LINEST VARS'!$G$50*(8*$DV28)+'LINEST VARS'!$F$50*(8*$EQ$8)+'LINEST VARS'!$E$50*(8*0.5)+'LINEST VARS'!$D$50*(8*$DV28)+'LINEST VARS'!$C$50*($EQ$8*0.5)+'LINEST VARS'!$B$50*($EQ$8*$DV28)+'LINEST VARS'!$A$50*(0.5*$DV28)</f>
        <v>331.99999999999989</v>
      </c>
    </row>
    <row r="29" spans="2:147" ht="15" customHeight="1" thickBot="1" x14ac:dyDescent="0.3">
      <c r="B29" s="48">
        <v>8.6</v>
      </c>
      <c r="C29" s="49">
        <f>'LINEST VARS'!$U$48+'LINEST VARS'!$T$48*($C$8)+'LINEST VARS'!$S$48*($B29)+'LINEST VARS'!$R$48*(4)+'LINEST VARS'!$Q$48*(0.5)+'LINEST VARS'!$P$48*(12.73)+'LINEST VARS'!$O$48*($C$8^2)+'LINEST VARS'!$N$48*($B29^2)+'LINEST VARS'!$M$48*(4^2)+'LINEST VARS'!$L$48*(0.5^2)+'LINEST VARS'!$K$48*(12.73^2)+'LINEST VARS'!$J$48*($C$8*$B29)+'LINEST VARS'!$I$48*($C$8*4)+'LINEST VARS'!$H$48*($C$8*0.5)+'LINEST VARS'!$G$48*($C$8*12.73)+'LINEST VARS'!$F$48*($B29*4)+'LINEST VARS'!$E$48*($B29*0.5)+'LINEST VARS'!$D$48*($B29*12.73)+'LINEST VARS'!$C$48*(4*0.5)+'LINEST VARS'!$B$48*(4*12.73)+'LINEST VARS'!$A$48*(0.5*12.73)</f>
        <v>324.39999999999986</v>
      </c>
      <c r="D29" s="49">
        <f>'LINEST VARS'!$U$48+'LINEST VARS'!$T$48*($D$8)+'LINEST VARS'!$S$48*($B29)+'LINEST VARS'!$R$48*(4)+'LINEST VARS'!$Q$48*(0.5)+'LINEST VARS'!$P$48*(12.73)+'LINEST VARS'!$O$48*($D$8^2)+'LINEST VARS'!$N$48*($B29^2)+'LINEST VARS'!$M$48*(4^2)+'LINEST VARS'!$L$48*(0.5^2)+'LINEST VARS'!$K$48*(12.73^2)+'LINEST VARS'!$J$48*($D$8*$B29)+'LINEST VARS'!$I$48*($D$8*4)+'LINEST VARS'!$H$48*($D$8*0.5)+'LINEST VARS'!$G$48*($D$8*12.73)+'LINEST VARS'!$F$48*($B29*4)+'LINEST VARS'!$E$48*($B29*0.5)+'LINEST VARS'!$D$48*($B29*12.73)+'LINEST VARS'!$C$48*(4*0.5)+'LINEST VARS'!$B$48*(4*12.73)+'LINEST VARS'!$A$48*(0.5*12.73)</f>
        <v>328.97799999999984</v>
      </c>
      <c r="E29" s="49">
        <f>'LINEST VARS'!$U$48+'LINEST VARS'!$T$48*($E$8)+'LINEST VARS'!$S$48*($B29)+'LINEST VARS'!$R$48*(4)+'LINEST VARS'!$Q$48*(0.5)+'LINEST VARS'!$P$48*(12.73)+'LINEST VARS'!$O$48*($E$8^2)+'LINEST VARS'!$N$48*($B29^2)+'LINEST VARS'!$M$48*(4^2)+'LINEST VARS'!$L$48*(0.5^2)+'LINEST VARS'!$K$48*(12.73^2)+'LINEST VARS'!$J$48*($E$8*$B29)+'LINEST VARS'!$I$48*($E$8*4)+'LINEST VARS'!$H$48*($E$8*0.5)+'LINEST VARS'!$G$48*($E$8*12.73)+'LINEST VARS'!$F$48*($B29*4)+'LINEST VARS'!$E$48*($B29*0.5)+'LINEST VARS'!$D$48*($B29*12.73)+'LINEST VARS'!$C$48*(4*0.5)+'LINEST VARS'!$B$48*(4*12.73)+'LINEST VARS'!$A$48*(0.5*12.73)</f>
        <v>333.59199999999981</v>
      </c>
      <c r="F29" s="49">
        <f>'LINEST VARS'!$U$48+'LINEST VARS'!$T$48*($F$8)+'LINEST VARS'!$S$48*($B29)+'LINEST VARS'!$R$48*(4)+'LINEST VARS'!$Q$48*(0.5)+'LINEST VARS'!$P$48*(12.73)+'LINEST VARS'!$O$48*($F$8^2)+'LINEST VARS'!$N$48*($B29^2)+'LINEST VARS'!$M$48*(4^2)+'LINEST VARS'!$L$48*(0.5^2)+'LINEST VARS'!$K$48*(12.73^2)+'LINEST VARS'!$J$48*($F$8*$B29)+'LINEST VARS'!$I$48*($F$8*4)+'LINEST VARS'!$H$48*($F$8*0.5)+'LINEST VARS'!$G$48*($F$8*12.73)+'LINEST VARS'!$F$48*($B29*4)+'LINEST VARS'!$E$48*($B29*0.5)+'LINEST VARS'!$D$48*($B29*12.73)+'LINEST VARS'!$C$48*(4*0.5)+'LINEST VARS'!$B$48*(4*12.73)+'LINEST VARS'!$A$48*(0.5*12.73)</f>
        <v>338.2419999999999</v>
      </c>
      <c r="G29" s="49">
        <f>'LINEST VARS'!$U$48+'LINEST VARS'!$T$48*($G$8)+'LINEST VARS'!$S$48*($B29)+'LINEST VARS'!$R$48*(4)+'LINEST VARS'!$Q$48*(0.5)+'LINEST VARS'!$P$48*(12.73)+'LINEST VARS'!$O$48*($G$8^2)+'LINEST VARS'!$N$48*($B29^2)+'LINEST VARS'!$M$48*(4^2)+'LINEST VARS'!$L$48*(0.5^2)+'LINEST VARS'!$K$48*(12.73^2)+'LINEST VARS'!$J$48*($G$8*$B29)+'LINEST VARS'!$I$48*($G$8*4)+'LINEST VARS'!$H$48*($G$8*0.5)+'LINEST VARS'!$G$48*($G$8*12.73)+'LINEST VARS'!$F$48*($B29*4)+'LINEST VARS'!$E$48*($B29*0.5)+'LINEST VARS'!$D$48*($B29*12.73)+'LINEST VARS'!$C$48*(4*0.5)+'LINEST VARS'!$B$48*(4*12.73)+'LINEST VARS'!$A$48*(0.5*12.73)</f>
        <v>342.92799999999983</v>
      </c>
      <c r="H29" s="49">
        <f>'LINEST VARS'!$U$48+'LINEST VARS'!$T$48*($H$8)+'LINEST VARS'!$S$48*($B29)+'LINEST VARS'!$R$48*(4)+'LINEST VARS'!$Q$48*(0.5)+'LINEST VARS'!$P$48*(12.73)+'LINEST VARS'!$O$48*($H$8^2)+'LINEST VARS'!$N$48*($B29^2)+'LINEST VARS'!$M$48*(4^2)+'LINEST VARS'!$L$48*(0.5^2)+'LINEST VARS'!$K$48*(12.73^2)+'LINEST VARS'!$J$48*($H$8*$B29)+'LINEST VARS'!$I$48*($H$8*4)+'LINEST VARS'!$H$48*($H$8*0.5)+'LINEST VARS'!$G$48*($H$8*12.73)+'LINEST VARS'!$F$48*($B29*4)+'LINEST VARS'!$E$48*($B29*0.5)+'LINEST VARS'!$D$48*($B29*12.73)+'LINEST VARS'!$C$48*(4*0.5)+'LINEST VARS'!$B$48*(4*12.73)+'LINEST VARS'!$A$48*(0.5*12.73)</f>
        <v>347.64999999999986</v>
      </c>
      <c r="I29" s="49">
        <f>'LINEST VARS'!$U$48+'LINEST VARS'!$T$48*($I$8)+'LINEST VARS'!$S$48*($B29)+'LINEST VARS'!$R$48*(4)+'LINEST VARS'!$Q$48*(0.5)+'LINEST VARS'!$P$48*(12.73)+'LINEST VARS'!$O$48*($I$8^2)+'LINEST VARS'!$N$48*($B29^2)+'LINEST VARS'!$M$48*(4^2)+'LINEST VARS'!$L$48*(0.5^2)+'LINEST VARS'!$K$48*(12.73^2)+'LINEST VARS'!$J$48*($I$8*$B29)+'LINEST VARS'!$I$48*($I$8*4)+'LINEST VARS'!$H$48*($I$8*0.5)+'LINEST VARS'!$G$48*($I$8*12.73)+'LINEST VARS'!$F$48*($B29*4)+'LINEST VARS'!$E$48*($B29*0.5)+'LINEST VARS'!$D$48*($B29*12.73)+'LINEST VARS'!$C$48*(4*0.5)+'LINEST VARS'!$B$48*(4*12.73)+'LINEST VARS'!$A$48*(0.5*12.73)</f>
        <v>352.40799999999984</v>
      </c>
      <c r="J29" s="49">
        <f>'LINEST VARS'!$U$48+'LINEST VARS'!$T$48*($J$8)+'LINEST VARS'!$S$48*($B29)+'LINEST VARS'!$R$48*(4)+'LINEST VARS'!$Q$48*(0.5)+'LINEST VARS'!$P$48*(12.73)+'LINEST VARS'!$O$48*($J$8^2)+'LINEST VARS'!$N$48*($B29^2)+'LINEST VARS'!$M$48*(4^2)+'LINEST VARS'!$L$48*(0.5^2)+'LINEST VARS'!$K$48*(12.73^2)+'LINEST VARS'!$J$48*($J$8*$B29)+'LINEST VARS'!$I$48*($J$8*4)+'LINEST VARS'!$H$48*($J$8*0.5)+'LINEST VARS'!$G$48*($J$8*12.73)+'LINEST VARS'!$F$48*($B29*4)+'LINEST VARS'!$E$48*($B29*0.5)+'LINEST VARS'!$D$48*($B29*12.73)+'LINEST VARS'!$C$48*(4*0.5)+'LINEST VARS'!$B$48*(4*12.73)+'LINEST VARS'!$A$48*(0.5*12.73)</f>
        <v>357.20199999999988</v>
      </c>
      <c r="K29" s="49">
        <f>'LINEST VARS'!$U$48+'LINEST VARS'!$T$48*($K$8)+'LINEST VARS'!$S$48*($B29)+'LINEST VARS'!$R$48*(4)+'LINEST VARS'!$Q$48*(0.5)+'LINEST VARS'!$P$48*(12.73)+'LINEST VARS'!$O$48*($K$8^2)+'LINEST VARS'!$N$48*($B29^2)+'LINEST VARS'!$M$48*(4^2)+'LINEST VARS'!$L$48*(0.5^2)+'LINEST VARS'!$K$48*(12.73^2)+'LINEST VARS'!$J$48*($K$8*$B29)+'LINEST VARS'!$I$48*($K$8*4)+'LINEST VARS'!$H$48*($K$8*0.5)+'LINEST VARS'!$G$48*($K$8*12.73)+'LINEST VARS'!$F$48*($B29*4)+'LINEST VARS'!$E$48*($B29*0.5)+'LINEST VARS'!$D$48*($B29*12.73)+'LINEST VARS'!$C$48*(4*0.5)+'LINEST VARS'!$B$48*(4*12.73)+'LINEST VARS'!$A$48*(0.5*12.73)</f>
        <v>362.03199999999987</v>
      </c>
      <c r="L29" s="49">
        <f>'LINEST VARS'!$U$48+'LINEST VARS'!$T$48*($L$8)+'LINEST VARS'!$S$48*($B29)+'LINEST VARS'!$R$48*(4)+'LINEST VARS'!$Q$48*(0.5)+'LINEST VARS'!$P$48*(12.73)+'LINEST VARS'!$O$48*($L$8^2)+'LINEST VARS'!$N$48*($B29^2)+'LINEST VARS'!$M$48*(4^2)+'LINEST VARS'!$L$48*(0.5^2)+'LINEST VARS'!$K$48*(12.73^2)+'LINEST VARS'!$J$48*($L$8*$B29)+'LINEST VARS'!$I$48*($L$8*4)+'LINEST VARS'!$H$48*($L$8*0.5)+'LINEST VARS'!$G$48*($L$8*12.73)+'LINEST VARS'!$F$48*($B29*4)+'LINEST VARS'!$E$48*($B29*0.5)+'LINEST VARS'!$D$48*($B29*12.73)+'LINEST VARS'!$C$48*(4*0.5)+'LINEST VARS'!$B$48*(4*12.73)+'LINEST VARS'!$A$48*(0.5*12.73)</f>
        <v>366.89799999999985</v>
      </c>
      <c r="M29" s="49">
        <f>'LINEST VARS'!$U$48+'LINEST VARS'!$T$48*($M$8)+'LINEST VARS'!$S$48*($B29)+'LINEST VARS'!$R$48*(4)+'LINEST VARS'!$Q$48*(0.5)+'LINEST VARS'!$P$48*(12.73)+'LINEST VARS'!$O$48*($M$8^2)+'LINEST VARS'!$N$48*($B29^2)+'LINEST VARS'!$M$48*(4^2)+'LINEST VARS'!$L$48*(0.5^2)+'LINEST VARS'!$K$48*(12.73^2)+'LINEST VARS'!$J$48*($M$8*$B29)+'LINEST VARS'!$I$48*($M$8*4)+'LINEST VARS'!$H$48*($M$8*0.5)+'LINEST VARS'!$G$48*($M$8*12.73)+'LINEST VARS'!$F$48*($B29*4)+'LINEST VARS'!$E$48*($B29*0.5)+'LINEST VARS'!$D$48*($B29*12.73)+'LINEST VARS'!$C$48*(4*0.5)+'LINEST VARS'!$B$48*(4*12.73)+'LINEST VARS'!$A$48*(0.5*12.73)</f>
        <v>371.79999999999984</v>
      </c>
      <c r="N29" s="49">
        <f>'LINEST VARS'!$U$48+'LINEST VARS'!$T$48*($N$8)+'LINEST VARS'!$S$48*($B29)+'LINEST VARS'!$R$48*(4)+'LINEST VARS'!$Q$48*(0.5)+'LINEST VARS'!$P$48*(12.73)+'LINEST VARS'!$O$48*($N$8^2)+'LINEST VARS'!$N$48*($B29^2)+'LINEST VARS'!$M$48*(4^2)+'LINEST VARS'!$L$48*(0.5^2)+'LINEST VARS'!$K$48*(12.73^2)+'LINEST VARS'!$J$48*($N$8*$B29)+'LINEST VARS'!$I$48*($N$8*4)+'LINEST VARS'!$H$48*($N$8*0.5)+'LINEST VARS'!$G$48*($N$8*12.73)+'LINEST VARS'!$F$48*($B29*4)+'LINEST VARS'!$E$48*($B29*0.5)+'LINEST VARS'!$D$48*($B29*12.73)+'LINEST VARS'!$C$48*(4*0.5)+'LINEST VARS'!$B$48*(4*12.73)+'LINEST VARS'!$A$48*(0.5*12.73)</f>
        <v>376.73799999999989</v>
      </c>
      <c r="O29" s="49">
        <f>'LINEST VARS'!$U$48+'LINEST VARS'!$T$48*($O$8)+'LINEST VARS'!$S$48*($B29)+'LINEST VARS'!$R$48*(4)+'LINEST VARS'!$Q$48*(0.5)+'LINEST VARS'!$P$48*(12.73)+'LINEST VARS'!$O$48*($O$8^2)+'LINEST VARS'!$N$48*($B29^2)+'LINEST VARS'!$M$48*(4^2)+'LINEST VARS'!$L$48*(0.5^2)+'LINEST VARS'!$K$48*(12.73^2)+'LINEST VARS'!$J$48*($O$8*$B29)+'LINEST VARS'!$I$48*($O$8*4)+'LINEST VARS'!$H$48*($O$8*0.5)+'LINEST VARS'!$G$48*($O$8*12.73)+'LINEST VARS'!$F$48*($B29*4)+'LINEST VARS'!$E$48*($B29*0.5)+'LINEST VARS'!$D$48*($B29*12.73)+'LINEST VARS'!$C$48*(4*0.5)+'LINEST VARS'!$B$48*(4*12.73)+'LINEST VARS'!$A$48*(0.5*12.73)</f>
        <v>381.71199999999976</v>
      </c>
      <c r="P29" s="49">
        <f>'LINEST VARS'!$U$48+'LINEST VARS'!$T$48*($P$8)+'LINEST VARS'!$S$48*($B29)+'LINEST VARS'!$R$48*(4)+'LINEST VARS'!$Q$48*(0.5)+'LINEST VARS'!$P$48*(12.73)+'LINEST VARS'!$O$48*($P$8^2)+'LINEST VARS'!$N$48*($B29^2)+'LINEST VARS'!$M$48*(4^2)+'LINEST VARS'!$L$48*(0.5^2)+'LINEST VARS'!$K$48*(12.73^2)+'LINEST VARS'!$J$48*($P$8*$B29)+'LINEST VARS'!$I$48*($P$8*4)+'LINEST VARS'!$H$48*($P$8*0.5)+'LINEST VARS'!$G$48*($P$8*12.73)+'LINEST VARS'!$F$48*($B29*4)+'LINEST VARS'!$E$48*($B29*0.5)+'LINEST VARS'!$D$48*($B29*12.73)+'LINEST VARS'!$C$48*(4*0.5)+'LINEST VARS'!$B$48*(4*12.73)+'LINEST VARS'!$A$48*(0.5*12.73)</f>
        <v>386.72199999999981</v>
      </c>
      <c r="Q29" s="49">
        <f>'LINEST VARS'!$U$48+'LINEST VARS'!$T$48*($Q$8)+'LINEST VARS'!$S$48*($B29)+'LINEST VARS'!$R$48*(4)+'LINEST VARS'!$Q$48*(0.5)+'LINEST VARS'!$P$48*(12.73)+'LINEST VARS'!$O$48*($Q$8^2)+'LINEST VARS'!$N$48*($B29^2)+'LINEST VARS'!$M$48*(4^2)+'LINEST VARS'!$L$48*(0.5^2)+'LINEST VARS'!$K$48*(12.73^2)+'LINEST VARS'!$J$48*($Q$8*$B29)+'LINEST VARS'!$I$48*($Q$8*4)+'LINEST VARS'!$H$48*($Q$8*0.5)+'LINEST VARS'!$G$48*($Q$8*12.73)+'LINEST VARS'!$F$48*($B29*4)+'LINEST VARS'!$E$48*($B29*0.5)+'LINEST VARS'!$D$48*($B29*12.73)+'LINEST VARS'!$C$48*(4*0.5)+'LINEST VARS'!$B$48*(4*12.73)+'LINEST VARS'!$A$48*(0.5*12.73)</f>
        <v>391.7679999999998</v>
      </c>
      <c r="R29" s="49">
        <f>'LINEST VARS'!$U$48+'LINEST VARS'!$T$48*($R$8)+'LINEST VARS'!$S$48*($B29)+'LINEST VARS'!$R$48*(4)+'LINEST VARS'!$Q$48*(0.5)+'LINEST VARS'!$P$48*(12.73)+'LINEST VARS'!$O$48*($R$8^2)+'LINEST VARS'!$N$48*($B29^2)+'LINEST VARS'!$M$48*(4^2)+'LINEST VARS'!$L$48*(0.5^2)+'LINEST VARS'!$K$48*(12.73^2)+'LINEST VARS'!$J$48*($R$8*$B29)+'LINEST VARS'!$I$48*($R$8*4)+'LINEST VARS'!$H$48*($R$8*0.5)+'LINEST VARS'!$G$48*($R$8*12.73)+'LINEST VARS'!$F$48*($B29*4)+'LINEST VARS'!$E$48*($B29*0.5)+'LINEST VARS'!$D$48*($B29*12.73)+'LINEST VARS'!$C$48*(4*0.5)+'LINEST VARS'!$B$48*(4*12.73)+'LINEST VARS'!$A$48*(0.5*12.73)</f>
        <v>396.84999999999985</v>
      </c>
      <c r="S29" s="49">
        <f>'LINEST VARS'!$U$48+'LINEST VARS'!$T$48*($S$8)+'LINEST VARS'!$S$48*($B29)+'LINEST VARS'!$R$48*(4)+'LINEST VARS'!$Q$48*(0.5)+'LINEST VARS'!$P$48*(12.73)+'LINEST VARS'!$O$48*($S$8^2)+'LINEST VARS'!$N$48*($B29^2)+'LINEST VARS'!$M$48*(4^2)+'LINEST VARS'!$L$48*(0.5^2)+'LINEST VARS'!$K$48*(12.73^2)+'LINEST VARS'!$J$48*($S$8*$B29)+'LINEST VARS'!$I$48*($S$8*4)+'LINEST VARS'!$H$48*($S$8*0.5)+'LINEST VARS'!$G$48*($S$8*12.73)+'LINEST VARS'!$F$48*($B29*4)+'LINEST VARS'!$E$48*($B29*0.5)+'LINEST VARS'!$D$48*($B29*12.73)+'LINEST VARS'!$C$48*(4*0.5)+'LINEST VARS'!$B$48*(4*12.73)+'LINEST VARS'!$A$48*(0.5*12.73)</f>
        <v>401.96799999999973</v>
      </c>
      <c r="T29" s="49">
        <f>'LINEST VARS'!$U$48+'LINEST VARS'!$T$48*($T$8)+'LINEST VARS'!$S$48*($B29)+'LINEST VARS'!$R$48*(4)+'LINEST VARS'!$Q$48*(0.5)+'LINEST VARS'!$P$48*(12.73)+'LINEST VARS'!$O$48*($T$8^2)+'LINEST VARS'!$N$48*($B29^2)+'LINEST VARS'!$M$48*(4^2)+'LINEST VARS'!$L$48*(0.5^2)+'LINEST VARS'!$K$48*(12.73^2)+'LINEST VARS'!$J$48*($T$8*$B29)+'LINEST VARS'!$I$48*($T$8*4)+'LINEST VARS'!$H$48*($T$8*0.5)+'LINEST VARS'!$G$48*($T$8*12.73)+'LINEST VARS'!$F$48*($B29*4)+'LINEST VARS'!$E$48*($B29*0.5)+'LINEST VARS'!$D$48*($B29*12.73)+'LINEST VARS'!$C$48*(4*0.5)+'LINEST VARS'!$B$48*(4*12.73)+'LINEST VARS'!$A$48*(0.5*12.73)</f>
        <v>407.12199999999984</v>
      </c>
      <c r="U29" s="49">
        <f>'LINEST VARS'!$U$48+'LINEST VARS'!$T$48*($U$8)+'LINEST VARS'!$S$48*($B29)+'LINEST VARS'!$R$48*(4)+'LINEST VARS'!$Q$48*(0.5)+'LINEST VARS'!$P$48*(12.73)+'LINEST VARS'!$O$48*($U$8^2)+'LINEST VARS'!$N$48*($B29^2)+'LINEST VARS'!$M$48*(4^2)+'LINEST VARS'!$L$48*(0.5^2)+'LINEST VARS'!$K$48*(12.73^2)+'LINEST VARS'!$J$48*($U$8*$B29)+'LINEST VARS'!$I$48*($U$8*4)+'LINEST VARS'!$H$48*($U$8*0.5)+'LINEST VARS'!$G$48*($U$8*12.73)+'LINEST VARS'!$F$48*($B29*4)+'LINEST VARS'!$E$48*($B29*0.5)+'LINEST VARS'!$D$48*($B29*12.73)+'LINEST VARS'!$C$48*(4*0.5)+'LINEST VARS'!$B$48*(4*12.73)+'LINEST VARS'!$A$48*(0.5*12.73)</f>
        <v>412.3119999999999</v>
      </c>
      <c r="V29" s="49">
        <f>'LINEST VARS'!$U$48+'LINEST VARS'!$T$48*($V$8)+'LINEST VARS'!$S$48*($B29)+'LINEST VARS'!$R$48*(4)+'LINEST VARS'!$Q$48*(0.5)+'LINEST VARS'!$P$48*(12.73)+'LINEST VARS'!$O$48*($V$8^2)+'LINEST VARS'!$N$48*($B29^2)+'LINEST VARS'!$M$48*(4^2)+'LINEST VARS'!$L$48*(0.5^2)+'LINEST VARS'!$K$48*(12.73^2)+'LINEST VARS'!$J$48*($V$8*$B29)+'LINEST VARS'!$I$48*($V$8*4)+'LINEST VARS'!$H$48*($V$8*0.5)+'LINEST VARS'!$G$48*($V$8*12.73)+'LINEST VARS'!$F$48*($B29*4)+'LINEST VARS'!$E$48*($B29*0.5)+'LINEST VARS'!$D$48*($B29*12.73)+'LINEST VARS'!$C$48*(4*0.5)+'LINEST VARS'!$B$48*(4*12.73)+'LINEST VARS'!$A$48*(0.5*12.73)</f>
        <v>417.53799999999978</v>
      </c>
      <c r="W29" s="50">
        <f>'LINEST VARS'!$U$48+'LINEST VARS'!$T$48*($W$8)+'LINEST VARS'!$S$48*($B29)+'LINEST VARS'!$R$48*(4)+'LINEST VARS'!$Q$48*(0.5)+'LINEST VARS'!$P$48*(12.73)+'LINEST VARS'!$O$48*($W$8^2)+'LINEST VARS'!$N$48*($B29^2)+'LINEST VARS'!$M$48*(4^2)+'LINEST VARS'!$L$48*(0.5^2)+'LINEST VARS'!$K$48*(12.73^2)+'LINEST VARS'!$J$48*($W$8*$B29)+'LINEST VARS'!$I$48*($W$8*4)+'LINEST VARS'!$H$48*($W$8*0.5)+'LINEST VARS'!$G$48*($W$8*12.73)+'LINEST VARS'!$F$48*($B29*4)+'LINEST VARS'!$E$48*($B29*0.5)+'LINEST VARS'!$D$48*($B29*12.73)+'LINEST VARS'!$C$48*(4*0.5)+'LINEST VARS'!$B$48*(4*12.73)+'LINEST VARS'!$A$48*(0.5*12.73)</f>
        <v>422.79999999999984</v>
      </c>
      <c r="Z29" s="48">
        <v>8.6</v>
      </c>
      <c r="AA29" s="49">
        <f>'LINEST VARS'!$U$50+'LINEST VARS'!$T$50*($AA$8)+'LINEST VARS'!$S$50*($Z29)+'LINEST VARS'!$R$50*(4)+'LINEST VARS'!$Q$50*(0.5)+'LINEST VARS'!$P$50*(12.73)+'LINEST VARS'!$O$50*($AA$8^2)+'LINEST VARS'!$N$50*($Z29^2)+'LINEST VARS'!$M$50*(4^2)+'LINEST VARS'!$L$50*(0.5^2)+'LINEST VARS'!$K$50*(12.73^2)+'LINEST VARS'!$J$50*($AA$8*$Z29)+'LINEST VARS'!$I$50*($AA$8*4)+'LINEST VARS'!$H$50*($AA$8*0.5)+'LINEST VARS'!$G$50*($AA$8*12.73)+'LINEST VARS'!$F$50*($Z29*4)+'LINEST VARS'!$E$50*($Z29*0.5)+'LINEST VARS'!$D$50*($Z29*12.73)+'LINEST VARS'!$C$50*(4*0.5)+'LINEST VARS'!$B$50*(4*12.73)+'LINEST VARS'!$A$50*(0.5*12.73)</f>
        <v>332.59999999999991</v>
      </c>
      <c r="AB29" s="49">
        <f>'LINEST VARS'!$U$50+'LINEST VARS'!$T$50*($AB$8)+'LINEST VARS'!$S$50*($Z29)+'LINEST VARS'!$R$50*(4)+'LINEST VARS'!$Q$50*(0.5)+'LINEST VARS'!$P$50*(12.73)+'LINEST VARS'!$O$50*($AB$8^2)+'LINEST VARS'!$N$50*($Z29^2)+'LINEST VARS'!$M$50*(4^2)+'LINEST VARS'!$L$50*(0.5^2)+'LINEST VARS'!$K$50*(12.73^2)+'LINEST VARS'!$J$50*($AB$8*$Z29)+'LINEST VARS'!$I$50*($AB$8*4)+'LINEST VARS'!$H$50*($AB$8*0.5)+'LINEST VARS'!$G$50*($AB$8*12.73)+'LINEST VARS'!$F$50*($Z29*4)+'LINEST VARS'!$E$50*($Z29*0.5)+'LINEST VARS'!$D$50*($Z29*12.73)+'LINEST VARS'!$C$50*(4*0.5)+'LINEST VARS'!$B$50*(4*12.73)+'LINEST VARS'!$A$50*(0.5*12.73)</f>
        <v>332.68999999999988</v>
      </c>
      <c r="AC29" s="49">
        <f>'LINEST VARS'!$U$50+'LINEST VARS'!$T$50*($AC$8)+'LINEST VARS'!$S$50*($Z29)+'LINEST VARS'!$R$50*(4)+'LINEST VARS'!$Q$50*(0.5)+'LINEST VARS'!$P$50*(12.73)+'LINEST VARS'!$O$50*($AC$8^2)+'LINEST VARS'!$N$50*($Z29^2)+'LINEST VARS'!$M$50*(4^2)+'LINEST VARS'!$L$50*(0.5^2)+'LINEST VARS'!$K$50*(12.73^2)+'LINEST VARS'!$J$50*($AC$8*$Z29)+'LINEST VARS'!$I$50*($AC$8*4)+'LINEST VARS'!$H$50*($AC$8*0.5)+'LINEST VARS'!$G$50*($AC$8*12.73)+'LINEST VARS'!$F$50*($Z29*4)+'LINEST VARS'!$E$50*($Z29*0.5)+'LINEST VARS'!$D$50*($Z29*12.73)+'LINEST VARS'!$C$50*(4*0.5)+'LINEST VARS'!$B$50*(4*12.73)+'LINEST VARS'!$A$50*(0.5*12.73)</f>
        <v>332.77999999999992</v>
      </c>
      <c r="AD29" s="49">
        <f>'LINEST VARS'!$U$50+'LINEST VARS'!$T$50*($AD$8)+'LINEST VARS'!$S$50*($Z29)+'LINEST VARS'!$R$50*(4)+'LINEST VARS'!$Q$50*(0.5)+'LINEST VARS'!$P$50*(12.73)+'LINEST VARS'!$O$50*($AD$8^2)+'LINEST VARS'!$N$50*($Z29^2)+'LINEST VARS'!$M$50*(4^2)+'LINEST VARS'!$L$50*(0.5^2)+'LINEST VARS'!$K$50*(12.73^2)+'LINEST VARS'!$J$50*($AD$8*$Z29)+'LINEST VARS'!$I$50*($AD$8*4)+'LINEST VARS'!$H$50*($AD$8*0.5)+'LINEST VARS'!$G$50*($AD$8*12.73)+'LINEST VARS'!$F$50*($Z29*4)+'LINEST VARS'!$E$50*($Z29*0.5)+'LINEST VARS'!$D$50*($Z29*12.73)+'LINEST VARS'!$C$50*(4*0.5)+'LINEST VARS'!$B$50*(4*12.73)+'LINEST VARS'!$A$50*(0.5*12.73)</f>
        <v>332.86999999999989</v>
      </c>
      <c r="AE29" s="49">
        <f>'LINEST VARS'!$U$50+'LINEST VARS'!$T$50*($AE$8)+'LINEST VARS'!$S$50*($Z29)+'LINEST VARS'!$R$50*(4)+'LINEST VARS'!$Q$50*(0.5)+'LINEST VARS'!$P$50*(12.73)+'LINEST VARS'!$O$50*($AE$8^2)+'LINEST VARS'!$N$50*($Z29^2)+'LINEST VARS'!$M$50*(4^2)+'LINEST VARS'!$L$50*(0.5^2)+'LINEST VARS'!$K$50*(12.73^2)+'LINEST VARS'!$J$50*($AE$8*$Z29)+'LINEST VARS'!$I$50*($AE$8*4)+'LINEST VARS'!$H$50*($AE$8*0.5)+'LINEST VARS'!$G$50*($AE$8*12.73)+'LINEST VARS'!$F$50*($Z29*4)+'LINEST VARS'!$E$50*($Z29*0.5)+'LINEST VARS'!$D$50*($Z29*12.73)+'LINEST VARS'!$C$50*(4*0.5)+'LINEST VARS'!$B$50*(4*12.73)+'LINEST VARS'!$A$50*(0.5*12.73)</f>
        <v>332.95999999999987</v>
      </c>
      <c r="AF29" s="49">
        <f>'LINEST VARS'!$U$50+'LINEST VARS'!$T$50*($AF$8)+'LINEST VARS'!$S$50*($Z29)+'LINEST VARS'!$R$50*(4)+'LINEST VARS'!$Q$50*(0.5)+'LINEST VARS'!$P$50*(12.73)+'LINEST VARS'!$O$50*($AF$8^2)+'LINEST VARS'!$N$50*($Z29^2)+'LINEST VARS'!$M$50*(4^2)+'LINEST VARS'!$L$50*(0.5^2)+'LINEST VARS'!$K$50*(12.73^2)+'LINEST VARS'!$J$50*($AF$8*$Z29)+'LINEST VARS'!$I$50*($AF$8*4)+'LINEST VARS'!$H$50*($AF$8*0.5)+'LINEST VARS'!$G$50*($AF$8*12.73)+'LINEST VARS'!$F$50*($Z29*4)+'LINEST VARS'!$E$50*($Z29*0.5)+'LINEST VARS'!$D$50*($Z29*12.73)+'LINEST VARS'!$C$50*(4*0.5)+'LINEST VARS'!$B$50*(4*12.73)+'LINEST VARS'!$A$50*(0.5*12.73)</f>
        <v>333.0499999999999</v>
      </c>
      <c r="AG29" s="49">
        <f>'LINEST VARS'!$U$50+'LINEST VARS'!$T$50*($AG$8)+'LINEST VARS'!$S$50*($Z29)+'LINEST VARS'!$R$50*(4)+'LINEST VARS'!$Q$50*(0.5)+'LINEST VARS'!$P$50*(12.73)+'LINEST VARS'!$O$50*($AG$8^2)+'LINEST VARS'!$N$50*($Z29^2)+'LINEST VARS'!$M$50*(4^2)+'LINEST VARS'!$L$50*(0.5^2)+'LINEST VARS'!$K$50*(12.73^2)+'LINEST VARS'!$J$50*($AG$8*$Z29)+'LINEST VARS'!$I$50*($AG$8*4)+'LINEST VARS'!$H$50*($AG$8*0.5)+'LINEST VARS'!$G$50*($AG$8*12.73)+'LINEST VARS'!$F$50*($Z29*4)+'LINEST VARS'!$E$50*($Z29*0.5)+'LINEST VARS'!$D$50*($Z29*12.73)+'LINEST VARS'!$C$50*(4*0.5)+'LINEST VARS'!$B$50*(4*12.73)+'LINEST VARS'!$A$50*(0.5*12.73)</f>
        <v>333.13999999999987</v>
      </c>
      <c r="AH29" s="49">
        <f>'LINEST VARS'!$U$50+'LINEST VARS'!$T$50*($AH$8)+'LINEST VARS'!$S$50*($Z29)+'LINEST VARS'!$R$50*(4)+'LINEST VARS'!$Q$50*(0.5)+'LINEST VARS'!$P$50*(12.73)+'LINEST VARS'!$O$50*($AH$8^2)+'LINEST VARS'!$N$50*($Z29^2)+'LINEST VARS'!$M$50*(4^2)+'LINEST VARS'!$L$50*(0.5^2)+'LINEST VARS'!$K$50*(12.73^2)+'LINEST VARS'!$J$50*($AH$8*$Z29)+'LINEST VARS'!$I$50*($AH$8*4)+'LINEST VARS'!$H$50*($AH$8*0.5)+'LINEST VARS'!$G$50*($AH$8*12.73)+'LINEST VARS'!$F$50*($Z29*4)+'LINEST VARS'!$E$50*($Z29*0.5)+'LINEST VARS'!$D$50*($Z29*12.73)+'LINEST VARS'!$C$50*(4*0.5)+'LINEST VARS'!$B$50*(4*12.73)+'LINEST VARS'!$A$50*(0.5*12.73)</f>
        <v>333.2299999999999</v>
      </c>
      <c r="AI29" s="49">
        <f>'LINEST VARS'!$U$50+'LINEST VARS'!$T$50*($AI$8)+'LINEST VARS'!$S$50*($Z29)+'LINEST VARS'!$R$50*(4)+'LINEST VARS'!$Q$50*(0.5)+'LINEST VARS'!$P$50*(12.73)+'LINEST VARS'!$O$50*($AI$8^2)+'LINEST VARS'!$N$50*($Z29^2)+'LINEST VARS'!$M$50*(4^2)+'LINEST VARS'!$L$50*(0.5^2)+'LINEST VARS'!$K$50*(12.73^2)+'LINEST VARS'!$J$50*($AI$8*$Z29)+'LINEST VARS'!$I$50*($AI$8*4)+'LINEST VARS'!$H$50*($AI$8*0.5)+'LINEST VARS'!$G$50*($AI$8*12.73)+'LINEST VARS'!$F$50*($Z29*4)+'LINEST VARS'!$E$50*($Z29*0.5)+'LINEST VARS'!$D$50*($Z29*12.73)+'LINEST VARS'!$C$50*(4*0.5)+'LINEST VARS'!$B$50*(4*12.73)+'LINEST VARS'!$A$50*(0.5*12.73)</f>
        <v>333.31999999999988</v>
      </c>
      <c r="AJ29" s="49">
        <f>'LINEST VARS'!$U$50+'LINEST VARS'!$T$50*($AJ$8)+'LINEST VARS'!$S$50*($Z29)+'LINEST VARS'!$R$50*(4)+'LINEST VARS'!$Q$50*(0.5)+'LINEST VARS'!$P$50*(12.73)+'LINEST VARS'!$O$50*($AJ$8^2)+'LINEST VARS'!$N$50*($Z29^2)+'LINEST VARS'!$M$50*(4^2)+'LINEST VARS'!$L$50*(0.5^2)+'LINEST VARS'!$K$50*(12.73^2)+'LINEST VARS'!$J$50*($AJ$8*$Z29)+'LINEST VARS'!$I$50*($AJ$8*4)+'LINEST VARS'!$H$50*($AJ$8*0.5)+'LINEST VARS'!$G$50*($AJ$8*12.73)+'LINEST VARS'!$F$50*($Z29*4)+'LINEST VARS'!$E$50*($Z29*0.5)+'LINEST VARS'!$D$50*($Z29*12.73)+'LINEST VARS'!$C$50*(4*0.5)+'LINEST VARS'!$B$50*(4*12.73)+'LINEST VARS'!$A$50*(0.5*12.73)</f>
        <v>333.40999999999991</v>
      </c>
      <c r="AK29" s="49">
        <f>'LINEST VARS'!$U$50+'LINEST VARS'!$T$50*($AK$8)+'LINEST VARS'!$S$50*($Z29)+'LINEST VARS'!$R$50*(4)+'LINEST VARS'!$Q$50*(0.5)+'LINEST VARS'!$P$50*(12.73)+'LINEST VARS'!$O$50*($AK$8^2)+'LINEST VARS'!$N$50*($Z29^2)+'LINEST VARS'!$M$50*(4^2)+'LINEST VARS'!$L$50*(0.5^2)+'LINEST VARS'!$K$50*(12.73^2)+'LINEST VARS'!$J$50*($AK$8*$Z29)+'LINEST VARS'!$I$50*($AK$8*4)+'LINEST VARS'!$H$50*($AK$8*0.5)+'LINEST VARS'!$G$50*($AK$8*12.73)+'LINEST VARS'!$F$50*($Z29*4)+'LINEST VARS'!$E$50*($Z29*0.5)+'LINEST VARS'!$D$50*($Z29*12.73)+'LINEST VARS'!$C$50*(4*0.5)+'LINEST VARS'!$B$50*(4*12.73)+'LINEST VARS'!$A$50*(0.5*12.73)</f>
        <v>333.49999999999989</v>
      </c>
      <c r="AL29" s="49">
        <f>'LINEST VARS'!$U$50+'LINEST VARS'!$T$50*($AL$8)+'LINEST VARS'!$S$50*($Z29)+'LINEST VARS'!$R$50*(4)+'LINEST VARS'!$Q$50*(0.5)+'LINEST VARS'!$P$50*(12.73)+'LINEST VARS'!$O$50*($AL$8^2)+'LINEST VARS'!$N$50*($Z29^2)+'LINEST VARS'!$M$50*(4^2)+'LINEST VARS'!$L$50*(0.5^2)+'LINEST VARS'!$K$50*(12.73^2)+'LINEST VARS'!$J$50*($AL$8*$Z29)+'LINEST VARS'!$I$50*($AL$8*4)+'LINEST VARS'!$H$50*($AL$8*0.5)+'LINEST VARS'!$G$50*($AL$8*12.73)+'LINEST VARS'!$F$50*($Z29*4)+'LINEST VARS'!$E$50*($Z29*0.5)+'LINEST VARS'!$D$50*($Z29*12.73)+'LINEST VARS'!$C$50*(4*0.5)+'LINEST VARS'!$B$50*(4*12.73)+'LINEST VARS'!$A$50*(0.5*12.73)</f>
        <v>333.58999999999986</v>
      </c>
      <c r="AM29" s="49">
        <f>'LINEST VARS'!$U$50+'LINEST VARS'!$T$50*($AM$8)+'LINEST VARS'!$S$50*($Z29)+'LINEST VARS'!$R$50*(4)+'LINEST VARS'!$Q$50*(0.5)+'LINEST VARS'!$P$50*(12.73)+'LINEST VARS'!$O$50*($AM$8^2)+'LINEST VARS'!$N$50*($Z29^2)+'LINEST VARS'!$M$50*(4^2)+'LINEST VARS'!$L$50*(0.5^2)+'LINEST VARS'!$K$50*(12.73^2)+'LINEST VARS'!$J$50*($AM$8*$Z29)+'LINEST VARS'!$I$50*($AM$8*4)+'LINEST VARS'!$H$50*($AM$8*0.5)+'LINEST VARS'!$G$50*($AM$8*12.73)+'LINEST VARS'!$F$50*($Z29*4)+'LINEST VARS'!$E$50*($Z29*0.5)+'LINEST VARS'!$D$50*($Z29*12.73)+'LINEST VARS'!$C$50*(4*0.5)+'LINEST VARS'!$B$50*(4*12.73)+'LINEST VARS'!$A$50*(0.5*12.73)</f>
        <v>333.67999999999989</v>
      </c>
      <c r="AN29" s="49">
        <f>'LINEST VARS'!$U$50+'LINEST VARS'!$T$50*($AN$8)+'LINEST VARS'!$S$50*($Z29)+'LINEST VARS'!$R$50*(4)+'LINEST VARS'!$Q$50*(0.5)+'LINEST VARS'!$P$50*(12.73)+'LINEST VARS'!$O$50*($AN$8^2)+'LINEST VARS'!$N$50*($Z29^2)+'LINEST VARS'!$M$50*(4^2)+'LINEST VARS'!$L$50*(0.5^2)+'LINEST VARS'!$K$50*(12.73^2)+'LINEST VARS'!$J$50*($AN$8*$Z29)+'LINEST VARS'!$I$50*($AN$8*4)+'LINEST VARS'!$H$50*($AN$8*0.5)+'LINEST VARS'!$G$50*($AN$8*12.73)+'LINEST VARS'!$F$50*($Z29*4)+'LINEST VARS'!$E$50*($Z29*0.5)+'LINEST VARS'!$D$50*($Z29*12.73)+'LINEST VARS'!$C$50*(4*0.5)+'LINEST VARS'!$B$50*(4*12.73)+'LINEST VARS'!$A$50*(0.5*12.73)</f>
        <v>333.76999999999987</v>
      </c>
      <c r="AO29" s="49">
        <f>'LINEST VARS'!$U$50+'LINEST VARS'!$T$50*($AO$8)+'LINEST VARS'!$S$50*($Z29)+'LINEST VARS'!$R$50*(4)+'LINEST VARS'!$Q$50*(0.5)+'LINEST VARS'!$P$50*(12.73)+'LINEST VARS'!$O$50*($AO$8^2)+'LINEST VARS'!$N$50*($Z29^2)+'LINEST VARS'!$M$50*(4^2)+'LINEST VARS'!$L$50*(0.5^2)+'LINEST VARS'!$K$50*(12.73^2)+'LINEST VARS'!$J$50*($AO$8*$Z29)+'LINEST VARS'!$I$50*($AO$8*4)+'LINEST VARS'!$H$50*($AO$8*0.5)+'LINEST VARS'!$G$50*($AO$8*12.73)+'LINEST VARS'!$F$50*($Z29*4)+'LINEST VARS'!$E$50*($Z29*0.5)+'LINEST VARS'!$D$50*($Z29*12.73)+'LINEST VARS'!$C$50*(4*0.5)+'LINEST VARS'!$B$50*(4*12.73)+'LINEST VARS'!$A$50*(0.5*12.73)</f>
        <v>333.8599999999999</v>
      </c>
      <c r="AP29" s="49">
        <f>'LINEST VARS'!$U$50+'LINEST VARS'!$T$50*($AP$8)+'LINEST VARS'!$S$50*($Z29)+'LINEST VARS'!$R$50*(4)+'LINEST VARS'!$Q$50*(0.5)+'LINEST VARS'!$P$50*(12.73)+'LINEST VARS'!$O$50*($AP$8^2)+'LINEST VARS'!$N$50*($Z29^2)+'LINEST VARS'!$M$50*(4^2)+'LINEST VARS'!$L$50*(0.5^2)+'LINEST VARS'!$K$50*(12.73^2)+'LINEST VARS'!$J$50*($AP$8*$Z29)+'LINEST VARS'!$I$50*($AP$8*4)+'LINEST VARS'!$H$50*($AP$8*0.5)+'LINEST VARS'!$G$50*($AP$8*12.73)+'LINEST VARS'!$F$50*($Z29*4)+'LINEST VARS'!$E$50*($Z29*0.5)+'LINEST VARS'!$D$50*($Z29*12.73)+'LINEST VARS'!$C$50*(4*0.5)+'LINEST VARS'!$B$50*(4*12.73)+'LINEST VARS'!$A$50*(0.5*12.73)</f>
        <v>333.94999999999987</v>
      </c>
      <c r="AQ29" s="49">
        <f>'LINEST VARS'!$U$50+'LINEST VARS'!$T$50*($AQ$8)+'LINEST VARS'!$S$50*($Z29)+'LINEST VARS'!$R$50*(4)+'LINEST VARS'!$Q$50*(0.5)+'LINEST VARS'!$P$50*(12.73)+'LINEST VARS'!$O$50*($AQ$8^2)+'LINEST VARS'!$N$50*($Z29^2)+'LINEST VARS'!$M$50*(4^2)+'LINEST VARS'!$L$50*(0.5^2)+'LINEST VARS'!$K$50*(12.73^2)+'LINEST VARS'!$J$50*($AQ$8*$Z29)+'LINEST VARS'!$I$50*($AQ$8*4)+'LINEST VARS'!$H$50*($AQ$8*0.5)+'LINEST VARS'!$G$50*($AQ$8*12.73)+'LINEST VARS'!$F$50*($Z29*4)+'LINEST VARS'!$E$50*($Z29*0.5)+'LINEST VARS'!$D$50*($Z29*12.73)+'LINEST VARS'!$C$50*(4*0.5)+'LINEST VARS'!$B$50*(4*12.73)+'LINEST VARS'!$A$50*(0.5*12.73)</f>
        <v>334.03999999999991</v>
      </c>
      <c r="AR29" s="49">
        <f>'LINEST VARS'!$U$50+'LINEST VARS'!$T$50*($AR$8)+'LINEST VARS'!$S$50*($Z29)+'LINEST VARS'!$R$50*(4)+'LINEST VARS'!$Q$50*(0.5)+'LINEST VARS'!$P$50*(12.73)+'LINEST VARS'!$O$50*($AR$8^2)+'LINEST VARS'!$N$50*($Z29^2)+'LINEST VARS'!$M$50*(4^2)+'LINEST VARS'!$L$50*(0.5^2)+'LINEST VARS'!$K$50*(12.73^2)+'LINEST VARS'!$J$50*($AR$8*$Z29)+'LINEST VARS'!$I$50*($AR$8*4)+'LINEST VARS'!$H$50*($AR$8*0.5)+'LINEST VARS'!$G$50*($AR$8*12.73)+'LINEST VARS'!$F$50*($Z29*4)+'LINEST VARS'!$E$50*($Z29*0.5)+'LINEST VARS'!$D$50*($Z29*12.73)+'LINEST VARS'!$C$50*(4*0.5)+'LINEST VARS'!$B$50*(4*12.73)+'LINEST VARS'!$A$50*(0.5*12.73)</f>
        <v>334.12999999999988</v>
      </c>
      <c r="AS29" s="49">
        <f>'LINEST VARS'!$U$50+'LINEST VARS'!$T$50*($AS$8)+'LINEST VARS'!$S$50*($Z29)+'LINEST VARS'!$R$50*(4)+'LINEST VARS'!$Q$50*(0.5)+'LINEST VARS'!$P$50*(12.73)+'LINEST VARS'!$O$50*($AS$8^2)+'LINEST VARS'!$N$50*($Z29^2)+'LINEST VARS'!$M$50*(4^2)+'LINEST VARS'!$L$50*(0.5^2)+'LINEST VARS'!$K$50*(12.73^2)+'LINEST VARS'!$J$50*($AS$8*$Z29)+'LINEST VARS'!$I$50*($AS$8*4)+'LINEST VARS'!$H$50*($AS$8*0.5)+'LINEST VARS'!$G$50*($AS$8*12.73)+'LINEST VARS'!$F$50*($Z29*4)+'LINEST VARS'!$E$50*($Z29*0.5)+'LINEST VARS'!$D$50*($Z29*12.73)+'LINEST VARS'!$C$50*(4*0.5)+'LINEST VARS'!$B$50*(4*12.73)+'LINEST VARS'!$A$50*(0.5*12.73)</f>
        <v>334.21999999999986</v>
      </c>
      <c r="AT29" s="49">
        <f>'LINEST VARS'!$U$50+'LINEST VARS'!$T$50*($AT$8)+'LINEST VARS'!$S$50*($Z29)+'LINEST VARS'!$R$50*(4)+'LINEST VARS'!$Q$50*(0.5)+'LINEST VARS'!$P$50*(12.73)+'LINEST VARS'!$O$50*($AT$8^2)+'LINEST VARS'!$N$50*($Z29^2)+'LINEST VARS'!$M$50*(4^2)+'LINEST VARS'!$L$50*(0.5^2)+'LINEST VARS'!$K$50*(12.73^2)+'LINEST VARS'!$J$50*($AT$8*$Z29)+'LINEST VARS'!$I$50*($AT$8*4)+'LINEST VARS'!$H$50*($AT$8*0.5)+'LINEST VARS'!$G$50*($AT$8*12.73)+'LINEST VARS'!$F$50*($Z29*4)+'LINEST VARS'!$E$50*($Z29*0.5)+'LINEST VARS'!$D$50*($Z29*12.73)+'LINEST VARS'!$C$50*(4*0.5)+'LINEST VARS'!$B$50*(4*12.73)+'LINEST VARS'!$A$50*(0.5*12.73)</f>
        <v>334.30999999999989</v>
      </c>
      <c r="AU29" s="50">
        <f>'LINEST VARS'!$U$50+'LINEST VARS'!$T$50*($AU$8)+'LINEST VARS'!$S$50*($Z29)+'LINEST VARS'!$R$50*(4)+'LINEST VARS'!$Q$50*(0.5)+'LINEST VARS'!$P$50*(12.73)+'LINEST VARS'!$O$50*($AU$8^2)+'LINEST VARS'!$N$50*($Z29^2)+'LINEST VARS'!$M$50*(4^2)+'LINEST VARS'!$L$50*(0.5^2)+'LINEST VARS'!$K$50*(12.73^2)+'LINEST VARS'!$J$50*($AU$8*$Z29)+'LINEST VARS'!$I$50*($AU$8*4)+'LINEST VARS'!$H$50*($AU$8*0.5)+'LINEST VARS'!$G$50*($AU$8*12.73)+'LINEST VARS'!$F$50*($Z29*4)+'LINEST VARS'!$E$50*($Z29*0.5)+'LINEST VARS'!$D$50*($Z29*12.73)+'LINEST VARS'!$C$50*(4*0.5)+'LINEST VARS'!$B$50*(4*12.73)+'LINEST VARS'!$A$50*(0.5*12.73)</f>
        <v>334.39999999999986</v>
      </c>
      <c r="AZ29" s="48">
        <v>1</v>
      </c>
      <c r="BA29" s="49">
        <f>'LINEST VARS'!$U$48+'LINEST VARS'!$T$48*(8)+'LINEST VARS'!$S$48*(8)+'LINEST VARS'!$R$48*($BA$8)+'LINEST VARS'!$Q$48*($AZ29)+'LINEST VARS'!$P$48*(12.73)+'LINEST VARS'!$O$48*(8^2)+'LINEST VARS'!$N$48*(8^2)+'LINEST VARS'!$M$48*($BA$8^2)+'LINEST VARS'!$L$48*($AZ29^2)+'LINEST VARS'!$K$48*(12.73^2)+'LINEST VARS'!$J$48*(8*8)+'LINEST VARS'!$I$48*(8*$BA$8)+'LINEST VARS'!$H$48*(8*$AZ29)+'LINEST VARS'!$G$48*(8*12.73)+'LINEST VARS'!$F$48*(8*$BA$8)+'LINEST VARS'!$E$48*(8*$AZ29)+'LINEST VARS'!$D$48*(8*12.73)+'LINEST VARS'!$C$48*($BA$8*$AZ29)+'LINEST VARS'!$B$48*($BA$8*12.73)+'LINEST VARS'!$A$48*($AZ29*12.73)</f>
        <v>369.99999999999989</v>
      </c>
      <c r="BB29" s="49">
        <f>'LINEST VARS'!$U$48+'LINEST VARS'!$T$48*(8)+'LINEST VARS'!$S$48*(8)+'LINEST VARS'!$R$48*($BB$8)+'LINEST VARS'!$Q$48*($AZ29)+'LINEST VARS'!$P$48*(12.73)+'LINEST VARS'!$O$48*(8^2)+'LINEST VARS'!$N$48*(8^2)+'LINEST VARS'!$M$48*($BB$8^2)+'LINEST VARS'!$L$48*($AZ29^2)+'LINEST VARS'!$K$48*(12.73^2)+'LINEST VARS'!$J$48*(8*8)+'LINEST VARS'!$I$48*(8*$BB$8)+'LINEST VARS'!$H$48*(8*$AZ29)+'LINEST VARS'!$G$48*(8*12.73)+'LINEST VARS'!$F$48*(8*$BB$8)+'LINEST VARS'!$E$48*(8*$AZ29)+'LINEST VARS'!$D$48*(8*12.73)+'LINEST VARS'!$C$48*($BB$8*$AZ29)+'LINEST VARS'!$B$48*($BB$8*12.73)+'LINEST VARS'!$A$48*($AZ29*12.73)</f>
        <v>369.99999999999989</v>
      </c>
      <c r="BC29" s="49">
        <f>'LINEST VARS'!$U$48+'LINEST VARS'!$T$48*(8)+'LINEST VARS'!$S$48*(8)+'LINEST VARS'!$R$48*($BC$8)+'LINEST VARS'!$Q$48*($AZ29)+'LINEST VARS'!$P$48*(12.73)+'LINEST VARS'!$O$48*(8^2)+'LINEST VARS'!$N$48*(8^2)+'LINEST VARS'!$M$48*($BC$8^2)+'LINEST VARS'!$L$48*($AZ29^2)+'LINEST VARS'!$K$48*(12.73^2)+'LINEST VARS'!$J$48*(8*8)+'LINEST VARS'!$I$48*(8*$BC$8)+'LINEST VARS'!$H$48*(8*$AZ29)+'LINEST VARS'!$G$48*(8*12.73)+'LINEST VARS'!$F$48*(8*$BC$8)+'LINEST VARS'!$E$48*(8*$AZ29)+'LINEST VARS'!$D$48*(8*12.73)+'LINEST VARS'!$C$48*($BC$8*$AZ29)+'LINEST VARS'!$B$48*($BC$8*12.73)+'LINEST VARS'!$A$48*($AZ29*12.73)</f>
        <v>369.99999999999989</v>
      </c>
      <c r="BD29" s="49">
        <f>'LINEST VARS'!$U$48+'LINEST VARS'!$T$48*(8)+'LINEST VARS'!$S$48*(8)+'LINEST VARS'!$R$48*($BD$8)+'LINEST VARS'!$Q$48*($AZ29)+'LINEST VARS'!$P$48*(12.73)+'LINEST VARS'!$O$48*(8^2)+'LINEST VARS'!$N$48*(8^2)+'LINEST VARS'!$M$48*($BD$8^2)+'LINEST VARS'!$L$48*($AZ29^2)+'LINEST VARS'!$K$48*(12.73^2)+'LINEST VARS'!$J$48*(8*8)+'LINEST VARS'!$I$48*(8*$BD$8)+'LINEST VARS'!$H$48*(8*$AZ29)+'LINEST VARS'!$G$48*(8*12.73)+'LINEST VARS'!$F$48*(8*$BD$8)+'LINEST VARS'!$E$48*(8*$AZ29)+'LINEST VARS'!$D$48*(8*12.73)+'LINEST VARS'!$C$48*($BD$8*$AZ29)+'LINEST VARS'!$B$48*($BD$8*12.73)+'LINEST VARS'!$A$48*($AZ29*12.73)</f>
        <v>369.99999999999989</v>
      </c>
      <c r="BE29" s="49">
        <f>'LINEST VARS'!$U$48+'LINEST VARS'!$T$48*(8)+'LINEST VARS'!$S$48*(8)+'LINEST VARS'!$R$48*($BE$8)+'LINEST VARS'!$Q$48*($AZ29)+'LINEST VARS'!$P$48*(12.73)+'LINEST VARS'!$O$48*(8^2)+'LINEST VARS'!$N$48*(8^2)+'LINEST VARS'!$M$48*($BE$8^2)+'LINEST VARS'!$L$48*($AZ29^2)+'LINEST VARS'!$K$48*(12.73^2)+'LINEST VARS'!$J$48*(8*8)+'LINEST VARS'!$I$48*(8*$BE$8)+'LINEST VARS'!$H$48*(8*$AZ29)+'LINEST VARS'!$G$48*(8*12.73)+'LINEST VARS'!$F$48*(8*$BE$8)+'LINEST VARS'!$E$48*(8*$AZ29)+'LINEST VARS'!$D$48*(8*12.73)+'LINEST VARS'!$C$48*($BE$8*$AZ29)+'LINEST VARS'!$B$48*($BE$8*12.73)+'LINEST VARS'!$A$48*($AZ29*12.73)</f>
        <v>369.99999999999989</v>
      </c>
      <c r="BF29" s="49">
        <f>'LINEST VARS'!$U$48+'LINEST VARS'!$T$48*(8)+'LINEST VARS'!$S$48*(8)+'LINEST VARS'!$R$48*($BF$8)+'LINEST VARS'!$Q$48*($AZ29)+'LINEST VARS'!$P$48*(12.73)+'LINEST VARS'!$O$48*(8^2)+'LINEST VARS'!$N$48*(8^2)+'LINEST VARS'!$M$48*($BF$8^2)+'LINEST VARS'!$L$48*($AZ29^2)+'LINEST VARS'!$K$48*(12.73^2)+'LINEST VARS'!$J$48*(8*8)+'LINEST VARS'!$I$48*(8*$BF$8)+'LINEST VARS'!$H$48*(8*$AZ29)+'LINEST VARS'!$G$48*(8*12.73)+'LINEST VARS'!$F$48*(8*$BF$8)+'LINEST VARS'!$E$48*(8*$AZ29)+'LINEST VARS'!$D$48*(8*12.73)+'LINEST VARS'!$C$48*($BF$8*$AZ29)+'LINEST VARS'!$B$48*($BF$8*12.73)+'LINEST VARS'!$A$48*($AZ29*12.73)</f>
        <v>369.99999999999989</v>
      </c>
      <c r="BG29" s="49">
        <f>'LINEST VARS'!$U$48+'LINEST VARS'!$T$48*(8)+'LINEST VARS'!$S$48*(8)+'LINEST VARS'!$R$48*($BG$8)+'LINEST VARS'!$Q$48*($AZ29)+'LINEST VARS'!$P$48*(12.73)+'LINEST VARS'!$O$48*(8^2)+'LINEST VARS'!$N$48*(8^2)+'LINEST VARS'!$M$48*($BG$8^2)+'LINEST VARS'!$L$48*($AZ29^2)+'LINEST VARS'!$K$48*(12.73^2)+'LINEST VARS'!$J$48*(8*8)+'LINEST VARS'!$I$48*(8*$BG$8)+'LINEST VARS'!$H$48*(8*$AZ29)+'LINEST VARS'!$G$48*(8*12.73)+'LINEST VARS'!$F$48*(8*$BG$8)+'LINEST VARS'!$E$48*(8*$AZ29)+'LINEST VARS'!$D$48*(8*12.73)+'LINEST VARS'!$C$48*($BG$8*$AZ29)+'LINEST VARS'!$B$48*($BG$8*12.73)+'LINEST VARS'!$A$48*($AZ29*12.73)</f>
        <v>369.99999999999989</v>
      </c>
      <c r="BH29" s="49">
        <f>'LINEST VARS'!$U$48+'LINEST VARS'!$T$48*(8)+'LINEST VARS'!$S$48*(8)+'LINEST VARS'!$R$48*($BH$8)+'LINEST VARS'!$Q$48*($AZ29)+'LINEST VARS'!$P$48*(12.73)+'LINEST VARS'!$O$48*(8^2)+'LINEST VARS'!$N$48*(8^2)+'LINEST VARS'!$M$48*($BH$8^2)+'LINEST VARS'!$L$48*($AZ29^2)+'LINEST VARS'!$K$48*(12.73^2)+'LINEST VARS'!$J$48*(8*8)+'LINEST VARS'!$I$48*(8*$BH$8)+'LINEST VARS'!$H$48*(8*$AZ29)+'LINEST VARS'!$G$48*(8*12.73)+'LINEST VARS'!$F$48*(8*$BH$8)+'LINEST VARS'!$E$48*(8*$AZ29)+'LINEST VARS'!$D$48*(8*12.73)+'LINEST VARS'!$C$48*($BH$8*$AZ29)+'LINEST VARS'!$B$48*($BH$8*12.73)+'LINEST VARS'!$A$48*($AZ29*12.73)</f>
        <v>369.99999999999989</v>
      </c>
      <c r="BI29" s="49">
        <f>'LINEST VARS'!$U$48+'LINEST VARS'!$T$48*(8)+'LINEST VARS'!$S$48*(8)+'LINEST VARS'!$R$48*($BI$8)+'LINEST VARS'!$Q$48*($AZ29)+'LINEST VARS'!$P$48*(12.73)+'LINEST VARS'!$O$48*(8^2)+'LINEST VARS'!$N$48*(8^2)+'LINEST VARS'!$M$48*($BI$8^2)+'LINEST VARS'!$L$48*($AZ29^2)+'LINEST VARS'!$K$48*(12.73^2)+'LINEST VARS'!$J$48*(8*8)+'LINEST VARS'!$I$48*(8*$BI$8)+'LINEST VARS'!$H$48*(8*$AZ29)+'LINEST VARS'!$G$48*(8*12.73)+'LINEST VARS'!$F$48*(8*$BI$8)+'LINEST VARS'!$E$48*(8*$AZ29)+'LINEST VARS'!$D$48*(8*12.73)+'LINEST VARS'!$C$48*($BI$8*$AZ29)+'LINEST VARS'!$B$48*($BI$8*12.73)+'LINEST VARS'!$A$48*($AZ29*12.73)</f>
        <v>369.99999999999989</v>
      </c>
      <c r="BJ29" s="49">
        <f>'LINEST VARS'!$U$48+'LINEST VARS'!$T$48*(8)+'LINEST VARS'!$S$48*(8)+'LINEST VARS'!$R$48*($BJ$8)+'LINEST VARS'!$Q$48*($AZ29)+'LINEST VARS'!$P$48*(12.73)+'LINEST VARS'!$O$48*(8^2)+'LINEST VARS'!$N$48*(8^2)+'LINEST VARS'!$M$48*($BJ$8^2)+'LINEST VARS'!$L$48*($AZ29^2)+'LINEST VARS'!$K$48*(12.73^2)+'LINEST VARS'!$J$48*(8*8)+'LINEST VARS'!$I$48*(8*$BJ$8)+'LINEST VARS'!$H$48*(8*$AZ29)+'LINEST VARS'!$G$48*(8*12.73)+'LINEST VARS'!$F$48*(8*$BJ$8)+'LINEST VARS'!$E$48*(8*$AZ29)+'LINEST VARS'!$D$48*(8*12.73)+'LINEST VARS'!$C$48*($BJ$8*$AZ29)+'LINEST VARS'!$B$48*($BJ$8*12.73)+'LINEST VARS'!$A$48*($AZ29*12.73)</f>
        <v>369.99999999999989</v>
      </c>
      <c r="BK29" s="49">
        <f>'LINEST VARS'!$U$48+'LINEST VARS'!$T$48*(8)+'LINEST VARS'!$S$48*(8)+'LINEST VARS'!$R$48*($BK$8)+'LINEST VARS'!$Q$48*($AZ29)+'LINEST VARS'!$P$48*(12.73)+'LINEST VARS'!$O$48*(8^2)+'LINEST VARS'!$N$48*(8^2)+'LINEST VARS'!$M$48*($BK$8^2)+'LINEST VARS'!$L$48*($AZ29^2)+'LINEST VARS'!$K$48*(12.73^2)+'LINEST VARS'!$J$48*(8*8)+'LINEST VARS'!$I$48*(8*$BK$8)+'LINEST VARS'!$H$48*(8*$AZ29)+'LINEST VARS'!$G$48*(8*12.73)+'LINEST VARS'!$F$48*(8*$BK$8)+'LINEST VARS'!$E$48*(8*$AZ29)+'LINEST VARS'!$D$48*(8*12.73)+'LINEST VARS'!$C$48*($BK$8*$AZ29)+'LINEST VARS'!$B$48*($BK$8*12.73)+'LINEST VARS'!$A$48*($AZ29*12.73)</f>
        <v>369.99999999999989</v>
      </c>
      <c r="BL29" s="49">
        <f>'LINEST VARS'!$U$48+'LINEST VARS'!$T$48*(8)+'LINEST VARS'!$S$48*(8)+'LINEST VARS'!$R$48*($BL$8)+'LINEST VARS'!$Q$48*($AZ29)+'LINEST VARS'!$P$48*(12.73)+'LINEST VARS'!$O$48*(8^2)+'LINEST VARS'!$N$48*(8^2)+'LINEST VARS'!$M$48*($BL$8^2)+'LINEST VARS'!$L$48*($AZ29^2)+'LINEST VARS'!$K$48*(12.73^2)+'LINEST VARS'!$J$48*(8*8)+'LINEST VARS'!$I$48*(8*$BL$8)+'LINEST VARS'!$H$48*(8*$AZ29)+'LINEST VARS'!$G$48*(8*12.73)+'LINEST VARS'!$F$48*(8*$BL$8)+'LINEST VARS'!$E$48*(8*$AZ29)+'LINEST VARS'!$D$48*(8*12.73)+'LINEST VARS'!$C$48*($BL$8*$AZ29)+'LINEST VARS'!$B$48*($BL$8*12.73)+'LINEST VARS'!$A$48*($AZ29*12.73)</f>
        <v>369.99999999999989</v>
      </c>
      <c r="BM29" s="49">
        <f>'LINEST VARS'!$U$48+'LINEST VARS'!$T$48*(8)+'LINEST VARS'!$S$48*(8)+'LINEST VARS'!$R$48*($BM$8)+'LINEST VARS'!$Q$48*($AZ29)+'LINEST VARS'!$P$48*(12.73)+'LINEST VARS'!$O$48*(8^2)+'LINEST VARS'!$N$48*(8^2)+'LINEST VARS'!$M$48*($BM$8^2)+'LINEST VARS'!$L$48*($AZ29^2)+'LINEST VARS'!$K$48*(12.73^2)+'LINEST VARS'!$J$48*(8*8)+'LINEST VARS'!$I$48*(8*$BM$8)+'LINEST VARS'!$H$48*(8*$AZ29)+'LINEST VARS'!$G$48*(8*12.73)+'LINEST VARS'!$F$48*(8*$BM$8)+'LINEST VARS'!$E$48*(8*$AZ29)+'LINEST VARS'!$D$48*(8*12.73)+'LINEST VARS'!$C$48*($BM$8*$AZ29)+'LINEST VARS'!$B$48*($BM$8*12.73)+'LINEST VARS'!$A$48*($AZ29*12.73)</f>
        <v>369.99999999999989</v>
      </c>
      <c r="BN29" s="49">
        <f>'LINEST VARS'!$U$48+'LINEST VARS'!$T$48*(8)+'LINEST VARS'!$S$48*(8)+'LINEST VARS'!$R$48*($BN$8)+'LINEST VARS'!$Q$48*($AZ29)+'LINEST VARS'!$P$48*(12.73)+'LINEST VARS'!$O$48*(8^2)+'LINEST VARS'!$N$48*(8^2)+'LINEST VARS'!$M$48*($BN$8^2)+'LINEST VARS'!$L$48*($AZ29^2)+'LINEST VARS'!$K$48*(12.73^2)+'LINEST VARS'!$J$48*(8*8)+'LINEST VARS'!$I$48*(8*$BN$8)+'LINEST VARS'!$H$48*(8*$AZ29)+'LINEST VARS'!$G$48*(8*12.73)+'LINEST VARS'!$F$48*(8*$BN$8)+'LINEST VARS'!$E$48*(8*$AZ29)+'LINEST VARS'!$D$48*(8*12.73)+'LINEST VARS'!$C$48*($BN$8*$AZ29)+'LINEST VARS'!$B$48*($BN$8*12.73)+'LINEST VARS'!$A$48*($AZ29*12.73)</f>
        <v>369.99999999999994</v>
      </c>
      <c r="BO29" s="49">
        <f>'LINEST VARS'!$U$48+'LINEST VARS'!$T$48*(8)+'LINEST VARS'!$S$48*(8)+'LINEST VARS'!$R$48*($BO$8)+'LINEST VARS'!$Q$48*($AZ29)+'LINEST VARS'!$P$48*(12.73)+'LINEST VARS'!$O$48*(8^2)+'LINEST VARS'!$N$48*(8^2)+'LINEST VARS'!$M$48*($BO$8^2)+'LINEST VARS'!$L$48*($AZ29^2)+'LINEST VARS'!$K$48*(12.73^2)+'LINEST VARS'!$J$48*(8*8)+'LINEST VARS'!$I$48*(8*$BO$8)+'LINEST VARS'!$H$48*(8*$AZ29)+'LINEST VARS'!$G$48*(8*12.73)+'LINEST VARS'!$F$48*(8*$BO$8)+'LINEST VARS'!$E$48*(8*$AZ29)+'LINEST VARS'!$D$48*(8*12.73)+'LINEST VARS'!$C$48*($BO$8*$AZ29)+'LINEST VARS'!$B$48*($BO$8*12.73)+'LINEST VARS'!$A$48*($AZ29*12.73)</f>
        <v>369.99999999999994</v>
      </c>
      <c r="BP29" s="49">
        <f>'LINEST VARS'!$U$48+'LINEST VARS'!$T$48*(8)+'LINEST VARS'!$S$48*(8)+'LINEST VARS'!$R$48*($BP$8)+'LINEST VARS'!$Q$48*($AZ29)+'LINEST VARS'!$P$48*(12.73)+'LINEST VARS'!$O$48*(8^2)+'LINEST VARS'!$N$48*(8^2)+'LINEST VARS'!$M$48*($BP$8^2)+'LINEST VARS'!$L$48*($AZ29^2)+'LINEST VARS'!$K$48*(12.73^2)+'LINEST VARS'!$J$48*(8*8)+'LINEST VARS'!$I$48*(8*$BP$8)+'LINEST VARS'!$H$48*(8*$AZ29)+'LINEST VARS'!$G$48*(8*12.73)+'LINEST VARS'!$F$48*(8*$BP$8)+'LINEST VARS'!$E$48*(8*$AZ29)+'LINEST VARS'!$D$48*(8*12.73)+'LINEST VARS'!$C$48*($BP$8*$AZ29)+'LINEST VARS'!$B$48*($BP$8*12.73)+'LINEST VARS'!$A$48*($AZ29*12.73)</f>
        <v>369.99999999999994</v>
      </c>
      <c r="BQ29" s="49">
        <f>'LINEST VARS'!$U$48+'LINEST VARS'!$T$48*(8)+'LINEST VARS'!$S$48*(8)+'LINEST VARS'!$R$48*($BQ$8)+'LINEST VARS'!$Q$48*($AZ29)+'LINEST VARS'!$P$48*(12.73)+'LINEST VARS'!$O$48*(8^2)+'LINEST VARS'!$N$48*(8^2)+'LINEST VARS'!$M$48*($BQ$8^2)+'LINEST VARS'!$L$48*($AZ29^2)+'LINEST VARS'!$K$48*(12.73^2)+'LINEST VARS'!$J$48*(8*8)+'LINEST VARS'!$I$48*(8*$BQ$8)+'LINEST VARS'!$H$48*(8*$AZ29)+'LINEST VARS'!$G$48*(8*12.73)+'LINEST VARS'!$F$48*(8*$BQ$8)+'LINEST VARS'!$E$48*(8*$AZ29)+'LINEST VARS'!$D$48*(8*12.73)+'LINEST VARS'!$C$48*($BQ$8*$AZ29)+'LINEST VARS'!$B$48*($BQ$8*12.73)+'LINEST VARS'!$A$48*($AZ29*12.73)</f>
        <v>369.99999999999989</v>
      </c>
      <c r="BR29" s="49">
        <f>'LINEST VARS'!$U$48+'LINEST VARS'!$T$48*(8)+'LINEST VARS'!$S$48*(8)+'LINEST VARS'!$R$48*($BR$8)+'LINEST VARS'!$Q$48*($AZ29)+'LINEST VARS'!$P$48*(12.73)+'LINEST VARS'!$O$48*(8^2)+'LINEST VARS'!$N$48*(8^2)+'LINEST VARS'!$M$48*($BR$8^2)+'LINEST VARS'!$L$48*($AZ29^2)+'LINEST VARS'!$K$48*(12.73^2)+'LINEST VARS'!$J$48*(8*8)+'LINEST VARS'!$I$48*(8*$BR$8)+'LINEST VARS'!$H$48*(8*$AZ29)+'LINEST VARS'!$G$48*(8*12.73)+'LINEST VARS'!$F$48*(8*$BR$8)+'LINEST VARS'!$E$48*(8*$AZ29)+'LINEST VARS'!$D$48*(8*12.73)+'LINEST VARS'!$C$48*($BR$8*$AZ29)+'LINEST VARS'!$B$48*($BR$8*12.73)+'LINEST VARS'!$A$48*($AZ29*12.73)</f>
        <v>369.99999999999989</v>
      </c>
      <c r="BS29" s="49">
        <f>'LINEST VARS'!$U$48+'LINEST VARS'!$T$48*(8)+'LINEST VARS'!$S$48*(8)+'LINEST VARS'!$R$48*($BS$8)+'LINEST VARS'!$Q$48*($AZ29)+'LINEST VARS'!$P$48*(12.73)+'LINEST VARS'!$O$48*(8^2)+'LINEST VARS'!$N$48*(8^2)+'LINEST VARS'!$M$48*($BS$8^2)+'LINEST VARS'!$L$48*($AZ29^2)+'LINEST VARS'!$K$48*(12.73^2)+'LINEST VARS'!$J$48*(8*8)+'LINEST VARS'!$I$48*(8*$BS$8)+'LINEST VARS'!$H$48*(8*$AZ29)+'LINEST VARS'!$G$48*(8*12.73)+'LINEST VARS'!$F$48*(8*$BS$8)+'LINEST VARS'!$E$48*(8*$AZ29)+'LINEST VARS'!$D$48*(8*12.73)+'LINEST VARS'!$C$48*($BS$8*$AZ29)+'LINEST VARS'!$B$48*($BS$8*12.73)+'LINEST VARS'!$A$48*($AZ29*12.73)</f>
        <v>369.99999999999989</v>
      </c>
      <c r="BT29" s="49">
        <f>'LINEST VARS'!$U$48+'LINEST VARS'!$T$48*(8)+'LINEST VARS'!$S$48*(8)+'LINEST VARS'!$R$48*($BT$8)+'LINEST VARS'!$Q$48*($AZ29)+'LINEST VARS'!$P$48*(12.73)+'LINEST VARS'!$O$48*(8^2)+'LINEST VARS'!$N$48*(8^2)+'LINEST VARS'!$M$48*($BT$8^2)+'LINEST VARS'!$L$48*($AZ29^2)+'LINEST VARS'!$K$48*(12.73^2)+'LINEST VARS'!$J$48*(8*8)+'LINEST VARS'!$I$48*(8*$BT$8)+'LINEST VARS'!$H$48*(8*$AZ29)+'LINEST VARS'!$G$48*(8*12.73)+'LINEST VARS'!$F$48*(8*$BT$8)+'LINEST VARS'!$E$48*(8*$AZ29)+'LINEST VARS'!$D$48*(8*12.73)+'LINEST VARS'!$C$48*($BT$8*$AZ29)+'LINEST VARS'!$B$48*($BT$8*12.73)+'LINEST VARS'!$A$48*($AZ29*12.73)</f>
        <v>369.99999999999989</v>
      </c>
      <c r="BU29" s="50">
        <f>'LINEST VARS'!$U$48+'LINEST VARS'!$T$48*(8)+'LINEST VARS'!$S$48*(8)+'LINEST VARS'!$R$48*($BU$8)+'LINEST VARS'!$Q$48*($AZ29)+'LINEST VARS'!$P$48*(12.73)+'LINEST VARS'!$O$48*(8^2)+'LINEST VARS'!$N$48*(8^2)+'LINEST VARS'!$M$48*($BU$8^2)+'LINEST VARS'!$L$48*($AZ29^2)+'LINEST VARS'!$K$48*(12.73^2)+'LINEST VARS'!$J$48*(8*8)+'LINEST VARS'!$I$48*(8*$BU$8)+'LINEST VARS'!$H$48*(8*$AZ29)+'LINEST VARS'!$G$48*(8*12.73)+'LINEST VARS'!$F$48*(8*$BU$8)+'LINEST VARS'!$E$48*(8*$AZ29)+'LINEST VARS'!$D$48*(8*12.73)+'LINEST VARS'!$C$48*($BU$8*$AZ29)+'LINEST VARS'!$B$48*($BU$8*12.73)+'LINEST VARS'!$A$48*($AZ29*12.73)</f>
        <v>369.99999999999989</v>
      </c>
      <c r="BX29" s="48">
        <v>1</v>
      </c>
      <c r="BY29" s="49">
        <f>'LINEST VARS'!$U$50+'LINEST VARS'!$T$50*(8)+'LINEST VARS'!$S$50*(8)+'LINEST VARS'!$R$50*($BY$8)+'LINEST VARS'!$Q$50*($BX29)+'LINEST VARS'!$P$50*(12.73)+'LINEST VARS'!$O$50*(8^2)+'LINEST VARS'!$N$50*(8^2)+'LINEST VARS'!$M$50*($BY$8^2)+'LINEST VARS'!$L$50*($BX29^2)+'LINEST VARS'!$K$50*(12.73^2)+'LINEST VARS'!$J$50*(8*8)+'LINEST VARS'!$I$50*(8*$BY$8)+'LINEST VARS'!$H$50*(8*$BX29)+'LINEST VARS'!$G$50*(8*12.73)+'LINEST VARS'!$F$50*(8*$BY$8)+'LINEST VARS'!$E$50*(8*$BX29)+'LINEST VARS'!$D$50*(8*12.73)+'LINEST VARS'!$C$50*($BY$8*$BX29)+'LINEST VARS'!$B$50*($BY$8*12.73)+'LINEST VARS'!$A$50*($BX29*12.73)</f>
        <v>331.99999999999989</v>
      </c>
      <c r="BZ29" s="49">
        <f>'LINEST VARS'!$U$50+'LINEST VARS'!$T$50*(8)+'LINEST VARS'!$S$50*(8)+'LINEST VARS'!$R$50*($BZ$8)+'LINEST VARS'!$Q$50*($BX29)+'LINEST VARS'!$P$50*(12.73)+'LINEST VARS'!$O$50*(8^2)+'LINEST VARS'!$N$50*(8^2)+'LINEST VARS'!$M$50*($BZ$8^2)+'LINEST VARS'!$L$50*($BX29^2)+'LINEST VARS'!$K$50*(12.73^2)+'LINEST VARS'!$J$50*(8*8)+'LINEST VARS'!$I$50*(8*$BZ$8)+'LINEST VARS'!$H$50*(8*$BX29)+'LINEST VARS'!$G$50*(8*12.73)+'LINEST VARS'!$F$50*(8*$BZ$8)+'LINEST VARS'!$E$50*(8*$BX29)+'LINEST VARS'!$D$50*(8*12.73)+'LINEST VARS'!$C$50*($BZ$8*$BX29)+'LINEST VARS'!$B$50*($BZ$8*12.73)+'LINEST VARS'!$A$50*($BX29*12.73)</f>
        <v>331.99999999999989</v>
      </c>
      <c r="CA29" s="49">
        <f>'LINEST VARS'!$U$50+'LINEST VARS'!$T$50*(8)+'LINEST VARS'!$S$50*(8)+'LINEST VARS'!$R$50*($CA$8)+'LINEST VARS'!$Q$50*($BX29)+'LINEST VARS'!$P$50*(12.73)+'LINEST VARS'!$O$50*(8^2)+'LINEST VARS'!$N$50*(8^2)+'LINEST VARS'!$M$50*($CA$8^2)+'LINEST VARS'!$L$50*($BX29^2)+'LINEST VARS'!$K$50*(12.73^2)+'LINEST VARS'!$J$50*(8*8)+'LINEST VARS'!$I$50*(8*$CA$8)+'LINEST VARS'!$H$50*(8*$BX29)+'LINEST VARS'!$G$50*(8*12.73)+'LINEST VARS'!$F$50*(8*$CA$8)+'LINEST VARS'!$E$50*(8*$BX29)+'LINEST VARS'!$D$50*(8*12.73)+'LINEST VARS'!$C$50*($CA$8*$BX29)+'LINEST VARS'!$B$50*($CA$8*12.73)+'LINEST VARS'!$A$50*($BX29*12.73)</f>
        <v>331.99999999999989</v>
      </c>
      <c r="CB29" s="49">
        <f>'LINEST VARS'!$U$50+'LINEST VARS'!$T$50*(8)+'LINEST VARS'!$S$50*(8)+'LINEST VARS'!$R$50*($CB$8)+'LINEST VARS'!$Q$50*($BX29)+'LINEST VARS'!$P$50*(12.73)+'LINEST VARS'!$O$50*(8^2)+'LINEST VARS'!$N$50*(8^2)+'LINEST VARS'!$M$50*($CB$8^2)+'LINEST VARS'!$L$50*($BX29^2)+'LINEST VARS'!$K$50*(12.73^2)+'LINEST VARS'!$J$50*(8*8)+'LINEST VARS'!$I$50*(8*$CB$8)+'LINEST VARS'!$H$50*(8*$BX29)+'LINEST VARS'!$G$50*(8*12.73)+'LINEST VARS'!$F$50*(8*$CB$8)+'LINEST VARS'!$E$50*(8*$BX29)+'LINEST VARS'!$D$50*(8*12.73)+'LINEST VARS'!$C$50*($CB$8*$BX29)+'LINEST VARS'!$B$50*($CB$8*12.73)+'LINEST VARS'!$A$50*($BX29*12.73)</f>
        <v>331.99999999999989</v>
      </c>
      <c r="CC29" s="49">
        <f>'LINEST VARS'!$U$50+'LINEST VARS'!$T$50*(8)+'LINEST VARS'!$S$50*(8)+'LINEST VARS'!$R$50*($CC$8)+'LINEST VARS'!$Q$50*($BX29)+'LINEST VARS'!$P$50*(12.73)+'LINEST VARS'!$O$50*(8^2)+'LINEST VARS'!$N$50*(8^2)+'LINEST VARS'!$M$50*($CC$8^2)+'LINEST VARS'!$L$50*($BX29^2)+'LINEST VARS'!$K$50*(12.73^2)+'LINEST VARS'!$J$50*(8*8)+'LINEST VARS'!$I$50*(8*$CC$8)+'LINEST VARS'!$H$50*(8*$BX29)+'LINEST VARS'!$G$50*(8*12.73)+'LINEST VARS'!$F$50*(8*$CC$8)+'LINEST VARS'!$E$50*(8*$BX29)+'LINEST VARS'!$D$50*(8*12.73)+'LINEST VARS'!$C$50*($CC$8*$BX29)+'LINEST VARS'!$B$50*($CC$8*12.73)+'LINEST VARS'!$A$50*($BX29*12.73)</f>
        <v>331.99999999999989</v>
      </c>
      <c r="CD29" s="49">
        <f>'LINEST VARS'!$U$50+'LINEST VARS'!$T$50*(8)+'LINEST VARS'!$S$50*(8)+'LINEST VARS'!$R$50*($CD$8)+'LINEST VARS'!$Q$50*($BX29)+'LINEST VARS'!$P$50*(12.73)+'LINEST VARS'!$O$50*(8^2)+'LINEST VARS'!$N$50*(8^2)+'LINEST VARS'!$M$50*($CD$8^2)+'LINEST VARS'!$L$50*($BX29^2)+'LINEST VARS'!$K$50*(12.73^2)+'LINEST VARS'!$J$50*(8*8)+'LINEST VARS'!$I$50*(8*$CD$8)+'LINEST VARS'!$H$50*(8*$BX29)+'LINEST VARS'!$G$50*(8*12.73)+'LINEST VARS'!$F$50*(8*$CD$8)+'LINEST VARS'!$E$50*(8*$BX29)+'LINEST VARS'!$D$50*(8*12.73)+'LINEST VARS'!$C$50*($CD$8*$BX29)+'LINEST VARS'!$B$50*($CD$8*12.73)+'LINEST VARS'!$A$50*($BX29*12.73)</f>
        <v>331.99999999999989</v>
      </c>
      <c r="CE29" s="49">
        <f>'LINEST VARS'!$U$50+'LINEST VARS'!$T$50*(8)+'LINEST VARS'!$S$50*(8)+'LINEST VARS'!$R$50*($CE$8)+'LINEST VARS'!$Q$50*($BX29)+'LINEST VARS'!$P$50*(12.73)+'LINEST VARS'!$O$50*(8^2)+'LINEST VARS'!$N$50*(8^2)+'LINEST VARS'!$M$50*($CE$8^2)+'LINEST VARS'!$L$50*($BX29^2)+'LINEST VARS'!$K$50*(12.73^2)+'LINEST VARS'!$J$50*(8*8)+'LINEST VARS'!$I$50*(8*$CE$8)+'LINEST VARS'!$H$50*(8*$BX29)+'LINEST VARS'!$G$50*(8*12.73)+'LINEST VARS'!$F$50*(8*$CE$8)+'LINEST VARS'!$E$50*(8*$BX29)+'LINEST VARS'!$D$50*(8*12.73)+'LINEST VARS'!$C$50*($CE$8*$BX29)+'LINEST VARS'!$B$50*($CE$8*12.73)+'LINEST VARS'!$A$50*($BX29*12.73)</f>
        <v>331.99999999999989</v>
      </c>
      <c r="CF29" s="49">
        <f>'LINEST VARS'!$U$50+'LINEST VARS'!$T$50*(8)+'LINEST VARS'!$S$50*(8)+'LINEST VARS'!$R$50*($CF$8)+'LINEST VARS'!$Q$50*($BX29)+'LINEST VARS'!$P$50*(12.73)+'LINEST VARS'!$O$50*(8^2)+'LINEST VARS'!$N$50*(8^2)+'LINEST VARS'!$M$50*($CF$8^2)+'LINEST VARS'!$L$50*($BX29^2)+'LINEST VARS'!$K$50*(12.73^2)+'LINEST VARS'!$J$50*(8*8)+'LINEST VARS'!$I$50*(8*$CF$8)+'LINEST VARS'!$H$50*(8*$BX29)+'LINEST VARS'!$G$50*(8*12.73)+'LINEST VARS'!$F$50*(8*$CF$8)+'LINEST VARS'!$E$50*(8*$BX29)+'LINEST VARS'!$D$50*(8*12.73)+'LINEST VARS'!$C$50*($CF$8*$BX29)+'LINEST VARS'!$B$50*($CF$8*12.73)+'LINEST VARS'!$A$50*($BX29*12.73)</f>
        <v>331.99999999999989</v>
      </c>
      <c r="CG29" s="49">
        <f>'LINEST VARS'!$U$50+'LINEST VARS'!$T$50*(8)+'LINEST VARS'!$S$50*(8)+'LINEST VARS'!$R$50*($CG$8)+'LINEST VARS'!$Q$50*($BX29)+'LINEST VARS'!$P$50*(12.73)+'LINEST VARS'!$O$50*(8^2)+'LINEST VARS'!$N$50*(8^2)+'LINEST VARS'!$M$50*($CG$8^2)+'LINEST VARS'!$L$50*($BX29^2)+'LINEST VARS'!$K$50*(12.73^2)+'LINEST VARS'!$J$50*(8*8)+'LINEST VARS'!$I$50*(8*$CG$8)+'LINEST VARS'!$H$50*(8*$BX29)+'LINEST VARS'!$G$50*(8*12.73)+'LINEST VARS'!$F$50*(8*$CG$8)+'LINEST VARS'!$E$50*(8*$BX29)+'LINEST VARS'!$D$50*(8*12.73)+'LINEST VARS'!$C$50*($CG$8*$BX29)+'LINEST VARS'!$B$50*($CG$8*12.73)+'LINEST VARS'!$A$50*($BX29*12.73)</f>
        <v>331.99999999999989</v>
      </c>
      <c r="CH29" s="49">
        <f>'LINEST VARS'!$U$50+'LINEST VARS'!$T$50*(8)+'LINEST VARS'!$S$50*(8)+'LINEST VARS'!$R$50*($CH$8)+'LINEST VARS'!$Q$50*($BX29)+'LINEST VARS'!$P$50*(12.73)+'LINEST VARS'!$O$50*(8^2)+'LINEST VARS'!$N$50*(8^2)+'LINEST VARS'!$M$50*($CH$8^2)+'LINEST VARS'!$L$50*($BX29^2)+'LINEST VARS'!$K$50*(12.73^2)+'LINEST VARS'!$J$50*(8*8)+'LINEST VARS'!$I$50*(8*$CH$8)+'LINEST VARS'!$H$50*(8*$BX29)+'LINEST VARS'!$G$50*(8*12.73)+'LINEST VARS'!$F$50*(8*$CH$8)+'LINEST VARS'!$E$50*(8*$BX29)+'LINEST VARS'!$D$50*(8*12.73)+'LINEST VARS'!$C$50*($CH$8*$BX29)+'LINEST VARS'!$B$50*($CH$8*12.73)+'LINEST VARS'!$A$50*($BX29*12.73)</f>
        <v>331.99999999999989</v>
      </c>
      <c r="CI29" s="49">
        <f>'LINEST VARS'!$U$50+'LINEST VARS'!$T$50*(8)+'LINEST VARS'!$S$50*(8)+'LINEST VARS'!$R$50*($CI$8)+'LINEST VARS'!$Q$50*($BX29)+'LINEST VARS'!$P$50*(12.73)+'LINEST VARS'!$O$50*(8^2)+'LINEST VARS'!$N$50*(8^2)+'LINEST VARS'!$M$50*($CI$8^2)+'LINEST VARS'!$L$50*($BX29^2)+'LINEST VARS'!$K$50*(12.73^2)+'LINEST VARS'!$J$50*(8*8)+'LINEST VARS'!$I$50*(8*$CI$8)+'LINEST VARS'!$H$50*(8*$BX29)+'LINEST VARS'!$G$50*(8*12.73)+'LINEST VARS'!$F$50*(8*$CI$8)+'LINEST VARS'!$E$50*(8*$BX29)+'LINEST VARS'!$D$50*(8*12.73)+'LINEST VARS'!$C$50*($CI$8*$BX29)+'LINEST VARS'!$B$50*($CI$8*12.73)+'LINEST VARS'!$A$50*($BX29*12.73)</f>
        <v>331.99999999999989</v>
      </c>
      <c r="CJ29" s="49">
        <f>'LINEST VARS'!$U$50+'LINEST VARS'!$T$50*(8)+'LINEST VARS'!$S$50*(8)+'LINEST VARS'!$R$50*($CJ$8)+'LINEST VARS'!$Q$50*($BX29)+'LINEST VARS'!$P$50*(12.73)+'LINEST VARS'!$O$50*(8^2)+'LINEST VARS'!$N$50*(8^2)+'LINEST VARS'!$M$50*($CJ$8^2)+'LINEST VARS'!$L$50*($BX29^2)+'LINEST VARS'!$K$50*(12.73^2)+'LINEST VARS'!$J$50*(8*8)+'LINEST VARS'!$I$50*(8*$CJ$8)+'LINEST VARS'!$H$50*(8*$BX29)+'LINEST VARS'!$G$50*(8*12.73)+'LINEST VARS'!$F$50*(8*$CJ$8)+'LINEST VARS'!$E$50*(8*$BX29)+'LINEST VARS'!$D$50*(8*12.73)+'LINEST VARS'!$C$50*($CJ$8*$BX29)+'LINEST VARS'!$B$50*($CJ$8*12.73)+'LINEST VARS'!$A$50*($BX29*12.73)</f>
        <v>331.99999999999989</v>
      </c>
      <c r="CK29" s="49">
        <f>'LINEST VARS'!$U$50+'LINEST VARS'!$T$50*(8)+'LINEST VARS'!$S$50*(8)+'LINEST VARS'!$R$50*($CK$8)+'LINEST VARS'!$Q$50*($BX29)+'LINEST VARS'!$P$50*(12.73)+'LINEST VARS'!$O$50*(8^2)+'LINEST VARS'!$N$50*(8^2)+'LINEST VARS'!$M$50*($CK$8^2)+'LINEST VARS'!$L$50*($BX29^2)+'LINEST VARS'!$K$50*(12.73^2)+'LINEST VARS'!$J$50*(8*8)+'LINEST VARS'!$I$50*(8*$CK$8)+'LINEST VARS'!$H$50*(8*$BX29)+'LINEST VARS'!$G$50*(8*12.73)+'LINEST VARS'!$F$50*(8*$CK$8)+'LINEST VARS'!$E$50*(8*$BX29)+'LINEST VARS'!$D$50*(8*12.73)+'LINEST VARS'!$C$50*($CK$8*$BX29)+'LINEST VARS'!$B$50*($CK$8*12.73)+'LINEST VARS'!$A$50*($BX29*12.73)</f>
        <v>331.99999999999989</v>
      </c>
      <c r="CL29" s="49">
        <f>'LINEST VARS'!$U$50+'LINEST VARS'!$T$50*(8)+'LINEST VARS'!$S$50*(8)+'LINEST VARS'!$R$50*($CL$8)+'LINEST VARS'!$Q$50*($BX29)+'LINEST VARS'!$P$50*(12.73)+'LINEST VARS'!$O$50*(8^2)+'LINEST VARS'!$N$50*(8^2)+'LINEST VARS'!$M$50*($CL$8^2)+'LINEST VARS'!$L$50*($BX29^2)+'LINEST VARS'!$K$50*(12.73^2)+'LINEST VARS'!$J$50*(8*8)+'LINEST VARS'!$I$50*(8*$CL$8)+'LINEST VARS'!$H$50*(8*$BX29)+'LINEST VARS'!$G$50*(8*12.73)+'LINEST VARS'!$F$50*(8*$CL$8)+'LINEST VARS'!$E$50*(8*$BX29)+'LINEST VARS'!$D$50*(8*12.73)+'LINEST VARS'!$C$50*($CL$8*$BX29)+'LINEST VARS'!$B$50*($CL$8*12.73)+'LINEST VARS'!$A$50*($BX29*12.73)</f>
        <v>331.99999999999989</v>
      </c>
      <c r="CM29" s="49">
        <f>'LINEST VARS'!$U$50+'LINEST VARS'!$T$50*(8)+'LINEST VARS'!$S$50*(8)+'LINEST VARS'!$R$50*($CM$8)+'LINEST VARS'!$Q$50*($BX29)+'LINEST VARS'!$P$50*(12.73)+'LINEST VARS'!$O$50*(8^2)+'LINEST VARS'!$N$50*(8^2)+'LINEST VARS'!$M$50*($CM$8^2)+'LINEST VARS'!$L$50*($BX29^2)+'LINEST VARS'!$K$50*(12.73^2)+'LINEST VARS'!$J$50*(8*8)+'LINEST VARS'!$I$50*(8*$CM$8)+'LINEST VARS'!$H$50*(8*$BX29)+'LINEST VARS'!$G$50*(8*12.73)+'LINEST VARS'!$F$50*(8*$CM$8)+'LINEST VARS'!$E$50*(8*$BX29)+'LINEST VARS'!$D$50*(8*12.73)+'LINEST VARS'!$C$50*($CM$8*$BX29)+'LINEST VARS'!$B$50*($CM$8*12.73)+'LINEST VARS'!$A$50*($BX29*12.73)</f>
        <v>331.99999999999989</v>
      </c>
      <c r="CN29" s="49">
        <f>'LINEST VARS'!$U$50+'LINEST VARS'!$T$50*(8)+'LINEST VARS'!$S$50*(8)+'LINEST VARS'!$R$50*($CN$8)+'LINEST VARS'!$Q$50*($BX29)+'LINEST VARS'!$P$50*(12.73)+'LINEST VARS'!$O$50*(8^2)+'LINEST VARS'!$N$50*(8^2)+'LINEST VARS'!$M$50*($CN$8^2)+'LINEST VARS'!$L$50*($BX29^2)+'LINEST VARS'!$K$50*(12.73^2)+'LINEST VARS'!$J$50*(8*8)+'LINEST VARS'!$I$50*(8*$CN$8)+'LINEST VARS'!$H$50*(8*$BX29)+'LINEST VARS'!$G$50*(8*12.73)+'LINEST VARS'!$F$50*(8*$CN$8)+'LINEST VARS'!$E$50*(8*$BX29)+'LINEST VARS'!$D$50*(8*12.73)+'LINEST VARS'!$C$50*($CN$8*$BX29)+'LINEST VARS'!$B$50*($CN$8*12.73)+'LINEST VARS'!$A$50*($BX29*12.73)</f>
        <v>331.99999999999989</v>
      </c>
      <c r="CO29" s="49">
        <f>'LINEST VARS'!$U$50+'LINEST VARS'!$T$50*(8)+'LINEST VARS'!$S$50*(8)+'LINEST VARS'!$R$50*($CO$8)+'LINEST VARS'!$Q$50*($BX29)+'LINEST VARS'!$P$50*(12.73)+'LINEST VARS'!$O$50*(8^2)+'LINEST VARS'!$N$50*(8^2)+'LINEST VARS'!$M$50*($CO$8^2)+'LINEST VARS'!$L$50*($BX29^2)+'LINEST VARS'!$K$50*(12.73^2)+'LINEST VARS'!$J$50*(8*8)+'LINEST VARS'!$I$50*(8*$CO$8)+'LINEST VARS'!$H$50*(8*$BX29)+'LINEST VARS'!$G$50*(8*12.73)+'LINEST VARS'!$F$50*(8*$CO$8)+'LINEST VARS'!$E$50*(8*$BX29)+'LINEST VARS'!$D$50*(8*12.73)+'LINEST VARS'!$C$50*($CO$8*$BX29)+'LINEST VARS'!$B$50*($CO$8*12.73)+'LINEST VARS'!$A$50*($BX29*12.73)</f>
        <v>331.99999999999989</v>
      </c>
      <c r="CP29" s="49">
        <f>'LINEST VARS'!$U$50+'LINEST VARS'!$T$50*(8)+'LINEST VARS'!$S$50*(8)+'LINEST VARS'!$R$50*($CP$8)+'LINEST VARS'!$Q$50*($BX29)+'LINEST VARS'!$P$50*(12.73)+'LINEST VARS'!$O$50*(8^2)+'LINEST VARS'!$N$50*(8^2)+'LINEST VARS'!$M$50*($CP$8^2)+'LINEST VARS'!$L$50*($BX29^2)+'LINEST VARS'!$K$50*(12.73^2)+'LINEST VARS'!$J$50*(8*8)+'LINEST VARS'!$I$50*(8*$CP$8)+'LINEST VARS'!$H$50*(8*$BX29)+'LINEST VARS'!$G$50*(8*12.73)+'LINEST VARS'!$F$50*(8*$CP$8)+'LINEST VARS'!$E$50*(8*$BX29)+'LINEST VARS'!$D$50*(8*12.73)+'LINEST VARS'!$C$50*($CP$8*$BX29)+'LINEST VARS'!$B$50*($CP$8*12.73)+'LINEST VARS'!$A$50*($BX29*12.73)</f>
        <v>331.99999999999989</v>
      </c>
      <c r="CQ29" s="49">
        <f>'LINEST VARS'!$U$50+'LINEST VARS'!$T$50*(8)+'LINEST VARS'!$S$50*(8)+'LINEST VARS'!$R$50*($CQ$8)+'LINEST VARS'!$Q$50*($BX29)+'LINEST VARS'!$P$50*(12.73)+'LINEST VARS'!$O$50*(8^2)+'LINEST VARS'!$N$50*(8^2)+'LINEST VARS'!$M$50*($CQ$8^2)+'LINEST VARS'!$L$50*($BX29^2)+'LINEST VARS'!$K$50*(12.73^2)+'LINEST VARS'!$J$50*(8*8)+'LINEST VARS'!$I$50*(8*$CQ$8)+'LINEST VARS'!$H$50*(8*$BX29)+'LINEST VARS'!$G$50*(8*12.73)+'LINEST VARS'!$F$50*(8*$CQ$8)+'LINEST VARS'!$E$50*(8*$BX29)+'LINEST VARS'!$D$50*(8*12.73)+'LINEST VARS'!$C$50*($CQ$8*$BX29)+'LINEST VARS'!$B$50*($CQ$8*12.73)+'LINEST VARS'!$A$50*($BX29*12.73)</f>
        <v>331.99999999999989</v>
      </c>
      <c r="CR29" s="49">
        <f>'LINEST VARS'!$U$50+'LINEST VARS'!$T$50*(8)+'LINEST VARS'!$S$50*(8)+'LINEST VARS'!$R$50*($CR$8)+'LINEST VARS'!$Q$50*($BX29)+'LINEST VARS'!$P$50*(12.73)+'LINEST VARS'!$O$50*(8^2)+'LINEST VARS'!$N$50*(8^2)+'LINEST VARS'!$M$50*($CR$8^2)+'LINEST VARS'!$L$50*($BX29^2)+'LINEST VARS'!$K$50*(12.73^2)+'LINEST VARS'!$J$50*(8*8)+'LINEST VARS'!$I$50*(8*$CR$8)+'LINEST VARS'!$H$50*(8*$BX29)+'LINEST VARS'!$G$50*(8*12.73)+'LINEST VARS'!$F$50*(8*$CR$8)+'LINEST VARS'!$E$50*(8*$BX29)+'LINEST VARS'!$D$50*(8*12.73)+'LINEST VARS'!$C$50*($CR$8*$BX29)+'LINEST VARS'!$B$50*($CR$8*12.73)+'LINEST VARS'!$A$50*($BX29*12.73)</f>
        <v>331.99999999999989</v>
      </c>
      <c r="CS29" s="50">
        <f>'LINEST VARS'!$U$50+'LINEST VARS'!$T$50*(8)+'LINEST VARS'!$S$50*(8)+'LINEST VARS'!$R$50*($CS$8)+'LINEST VARS'!$Q$50*($BX29)+'LINEST VARS'!$P$50*(12.73)+'LINEST VARS'!$O$50*(8^2)+'LINEST VARS'!$N$50*(8^2)+'LINEST VARS'!$M$50*($CS$8^2)+'LINEST VARS'!$L$50*($BX29^2)+'LINEST VARS'!$K$50*(12.73^2)+'LINEST VARS'!$J$50*(8*8)+'LINEST VARS'!$I$50*(8*$CS$8)+'LINEST VARS'!$H$50*(8*$BX29)+'LINEST VARS'!$G$50*(8*12.73)+'LINEST VARS'!$F$50*(8*$CS$8)+'LINEST VARS'!$E$50*(8*$BX29)+'LINEST VARS'!$D$50*(8*12.73)+'LINEST VARS'!$C$50*($CS$8*$BX29)+'LINEST VARS'!$B$50*($CS$8*12.73)+'LINEST VARS'!$A$50*($BX29*12.73)</f>
        <v>331.99999999999989</v>
      </c>
      <c r="CX29" s="48">
        <v>25.99</v>
      </c>
      <c r="CY29" s="49">
        <f>'LINEST VARS'!$U$48+'LINEST VARS'!$T$48*(8)+'LINEST VARS'!$S$48*(8)+'LINEST VARS'!$R$48*($CY$8)+'LINEST VARS'!$Q$48*(0.5)+'LINEST VARS'!$P$48*($CX29)+'LINEST VARS'!$O$48*(8^2)+'LINEST VARS'!$N$48*(8^2)+'LINEST VARS'!$M$48*($CY$8^2)+'LINEST VARS'!$L$48*(0.5^2)+'LINEST VARS'!$K$48*($CX29^2)+'LINEST VARS'!$J$48*(8*8)+'LINEST VARS'!$I$48*(8*$CY$8)+'LINEST VARS'!$H$48*(8*0.5)+'LINEST VARS'!$G$48*(8*$CX29)+'LINEST VARS'!$F$48*(8*$CY$8)+'LINEST VARS'!$E$48*(8*0.5)+'LINEST VARS'!$D$48*(8*$CX29)+'LINEST VARS'!$C$48*($CY$8*0.5)+'LINEST VARS'!$B$48*($CY$8*$CX29)+'LINEST VARS'!$A$48*(0.5*$CX29)</f>
        <v>369.99999999999983</v>
      </c>
      <c r="CZ29" s="49">
        <f>'LINEST VARS'!$U$48+'LINEST VARS'!$T$48*(8)+'LINEST VARS'!$S$48*(8)+'LINEST VARS'!$R$48*($CZ$8)+'LINEST VARS'!$Q$48*(0.5)+'LINEST VARS'!$P$48*($CX29)+'LINEST VARS'!$O$48*(8^2)+'LINEST VARS'!$N$48*(8^2)+'LINEST VARS'!$M$48*($CZ$8^2)+'LINEST VARS'!$L$48*(0.5^2)+'LINEST VARS'!$K$48*($CX29^2)+'LINEST VARS'!$J$48*(8*8)+'LINEST VARS'!$I$48*(8*$CZ$8)+'LINEST VARS'!$H$48*(8*0.5)+'LINEST VARS'!$G$48*(8*$CX29)+'LINEST VARS'!$F$48*(8*$CZ$8)+'LINEST VARS'!$E$48*(8*0.5)+'LINEST VARS'!$D$48*(8*$CX29)+'LINEST VARS'!$C$48*($CZ$8*0.5)+'LINEST VARS'!$B$48*($CZ$8*$CX29)+'LINEST VARS'!$A$48*(0.5*$CX29)</f>
        <v>369.99999999999983</v>
      </c>
      <c r="DA29" s="49">
        <f>'LINEST VARS'!$U$48+'LINEST VARS'!$T$48*(8)+'LINEST VARS'!$S$48*(8)+'LINEST VARS'!$R$48*($DA$8)+'LINEST VARS'!$Q$48*(0.5)+'LINEST VARS'!$P$48*($CX29)+'LINEST VARS'!$O$48*(8^2)+'LINEST VARS'!$N$48*(8^2)+'LINEST VARS'!$M$48*($DA$8^2)+'LINEST VARS'!$L$48*(0.5^2)+'LINEST VARS'!$K$48*($CX29^2)+'LINEST VARS'!$J$48*(8*8)+'LINEST VARS'!$I$48*(8*$DA$8)+'LINEST VARS'!$H$48*(8*0.5)+'LINEST VARS'!$G$48*(8*$CX29)+'LINEST VARS'!$F$48*(8*$DA$8)+'LINEST VARS'!$E$48*(8*0.5)+'LINEST VARS'!$D$48*(8*$CX29)+'LINEST VARS'!$C$48*($DA$8*0.5)+'LINEST VARS'!$B$48*($DA$8*$CX29)+'LINEST VARS'!$A$48*(0.5*$CX29)</f>
        <v>369.99999999999983</v>
      </c>
      <c r="DB29" s="49">
        <f>'LINEST VARS'!$U$48+'LINEST VARS'!$T$48*(8)+'LINEST VARS'!$S$48*(8)+'LINEST VARS'!$R$48*($DB$8)+'LINEST VARS'!$Q$48*(0.5)+'LINEST VARS'!$P$48*($CX29)+'LINEST VARS'!$O$48*(8^2)+'LINEST VARS'!$N$48*(8^2)+'LINEST VARS'!$M$48*($DB$8^2)+'LINEST VARS'!$L$48*(0.5^2)+'LINEST VARS'!$K$48*($CX29^2)+'LINEST VARS'!$J$48*(8*8)+'LINEST VARS'!$I$48*(8*$DB$8)+'LINEST VARS'!$H$48*(8*0.5)+'LINEST VARS'!$G$48*(8*$CX29)+'LINEST VARS'!$F$48*(8*$DB$8)+'LINEST VARS'!$E$48*(8*0.5)+'LINEST VARS'!$D$48*(8*$CX29)+'LINEST VARS'!$C$48*($DB$8*0.5)+'LINEST VARS'!$B$48*($DB$8*$CX29)+'LINEST VARS'!$A$48*(0.5*$CX29)</f>
        <v>369.99999999999983</v>
      </c>
      <c r="DC29" s="49">
        <f>'LINEST VARS'!$U$48+'LINEST VARS'!$T$48*(8)+'LINEST VARS'!$S$48*(8)+'LINEST VARS'!$R$48*($DC$8)+'LINEST VARS'!$Q$48*(0.5)+'LINEST VARS'!$P$48*($CX29)+'LINEST VARS'!$O$48*(8^2)+'LINEST VARS'!$N$48*(8^2)+'LINEST VARS'!$M$48*($DC$8^2)+'LINEST VARS'!$L$48*(0.5^2)+'LINEST VARS'!$K$48*($CX29^2)+'LINEST VARS'!$J$48*(8*8)+'LINEST VARS'!$I$48*(8*$DC$8)+'LINEST VARS'!$H$48*(8*0.5)+'LINEST VARS'!$G$48*(8*$CX29)+'LINEST VARS'!$F$48*(8*$DC$8)+'LINEST VARS'!$E$48*(8*0.5)+'LINEST VARS'!$D$48*(8*$CX29)+'LINEST VARS'!$C$48*($DC$8*0.5)+'LINEST VARS'!$B$48*($DC$8*$CX29)+'LINEST VARS'!$A$48*(0.5*$CX29)</f>
        <v>369.99999999999983</v>
      </c>
      <c r="DD29" s="49">
        <f>'LINEST VARS'!$U$48+'LINEST VARS'!$T$48*(8)+'LINEST VARS'!$S$48*(8)+'LINEST VARS'!$R$48*($DD$8)+'LINEST VARS'!$Q$48*(0.5)+'LINEST VARS'!$P$48*($CX29)+'LINEST VARS'!$O$48*(8^2)+'LINEST VARS'!$N$48*(8^2)+'LINEST VARS'!$M$48*($DD$8^2)+'LINEST VARS'!$L$48*(0.5^2)+'LINEST VARS'!$K$48*($CX29^2)+'LINEST VARS'!$J$48*(8*8)+'LINEST VARS'!$I$48*(8*$DD$8)+'LINEST VARS'!$H$48*(8*0.5)+'LINEST VARS'!$G$48*(8*$CX29)+'LINEST VARS'!$F$48*(8*$DD$8)+'LINEST VARS'!$E$48*(8*0.5)+'LINEST VARS'!$D$48*(8*$CX29)+'LINEST VARS'!$C$48*($DD$8*0.5)+'LINEST VARS'!$B$48*($DD$8*$CX29)+'LINEST VARS'!$A$48*(0.5*$CX29)</f>
        <v>369.99999999999983</v>
      </c>
      <c r="DE29" s="49">
        <f>'LINEST VARS'!$U$48+'LINEST VARS'!$T$48*(8)+'LINEST VARS'!$S$48*(8)+'LINEST VARS'!$R$48*($DE$8)+'LINEST VARS'!$Q$48*(0.5)+'LINEST VARS'!$P$48*($CX29)+'LINEST VARS'!$O$48*(8^2)+'LINEST VARS'!$N$48*(8^2)+'LINEST VARS'!$M$48*($DE$8^2)+'LINEST VARS'!$L$48*(0.5^2)+'LINEST VARS'!$K$48*($CX29^2)+'LINEST VARS'!$J$48*(8*8)+'LINEST VARS'!$I$48*(8*$DE$8)+'LINEST VARS'!$H$48*(8*0.5)+'LINEST VARS'!$G$48*(8*$CX29)+'LINEST VARS'!$F$48*(8*$DE$8)+'LINEST VARS'!$E$48*(8*0.5)+'LINEST VARS'!$D$48*(8*$CX29)+'LINEST VARS'!$C$48*($DE$8*0.5)+'LINEST VARS'!$B$48*($DE$8*$CX29)+'LINEST VARS'!$A$48*(0.5*$CX29)</f>
        <v>369.99999999999983</v>
      </c>
      <c r="DF29" s="49">
        <f>'LINEST VARS'!$U$48+'LINEST VARS'!$T$48*(8)+'LINEST VARS'!$S$48*(8)+'LINEST VARS'!$R$48*($DF$8)+'LINEST VARS'!$Q$48*(0.5)+'LINEST VARS'!$P$48*($CX29)+'LINEST VARS'!$O$48*(8^2)+'LINEST VARS'!$N$48*(8^2)+'LINEST VARS'!$M$48*($DF$8^2)+'LINEST VARS'!$L$48*(0.5^2)+'LINEST VARS'!$K$48*($CX29^2)+'LINEST VARS'!$J$48*(8*8)+'LINEST VARS'!$I$48*(8*$DF$8)+'LINEST VARS'!$H$48*(8*0.5)+'LINEST VARS'!$G$48*(8*$CX29)+'LINEST VARS'!$F$48*(8*$DF$8)+'LINEST VARS'!$E$48*(8*0.5)+'LINEST VARS'!$D$48*(8*$CX29)+'LINEST VARS'!$C$48*($DF$8*0.5)+'LINEST VARS'!$B$48*($DF$8*$CX29)+'LINEST VARS'!$A$48*(0.5*$CX29)</f>
        <v>369.99999999999983</v>
      </c>
      <c r="DG29" s="49">
        <f>'LINEST VARS'!$U$48+'LINEST VARS'!$T$48*(8)+'LINEST VARS'!$S$48*(8)+'LINEST VARS'!$R$48*($DG$8)+'LINEST VARS'!$Q$48*(0.5)+'LINEST VARS'!$P$48*($CX29)+'LINEST VARS'!$O$48*(8^2)+'LINEST VARS'!$N$48*(8^2)+'LINEST VARS'!$M$48*($DG$8^2)+'LINEST VARS'!$L$48*(0.5^2)+'LINEST VARS'!$K$48*($CX29^2)+'LINEST VARS'!$J$48*(8*8)+'LINEST VARS'!$I$48*(8*$DG$8)+'LINEST VARS'!$H$48*(8*0.5)+'LINEST VARS'!$G$48*(8*$CX29)+'LINEST VARS'!$F$48*(8*$DG$8)+'LINEST VARS'!$E$48*(8*0.5)+'LINEST VARS'!$D$48*(8*$CX29)+'LINEST VARS'!$C$48*($DG$8*0.5)+'LINEST VARS'!$B$48*($DG$8*$CX29)+'LINEST VARS'!$A$48*(0.5*$CX29)</f>
        <v>369.99999999999983</v>
      </c>
      <c r="DH29" s="49">
        <f>'LINEST VARS'!$U$48+'LINEST VARS'!$T$48*(8)+'LINEST VARS'!$S$48*(8)+'LINEST VARS'!$R$48*($DH$8)+'LINEST VARS'!$Q$48*(0.5)+'LINEST VARS'!$P$48*($CX29)+'LINEST VARS'!$O$48*(8^2)+'LINEST VARS'!$N$48*(8^2)+'LINEST VARS'!$M$48*($DH$8^2)+'LINEST VARS'!$L$48*(0.5^2)+'LINEST VARS'!$K$48*($CX29^2)+'LINEST VARS'!$J$48*(8*8)+'LINEST VARS'!$I$48*(8*$DH$8)+'LINEST VARS'!$H$48*(8*0.5)+'LINEST VARS'!$G$48*(8*$CX29)+'LINEST VARS'!$F$48*(8*$DH$8)+'LINEST VARS'!$E$48*(8*0.5)+'LINEST VARS'!$D$48*(8*$CX29)+'LINEST VARS'!$C$48*($DH$8*0.5)+'LINEST VARS'!$B$48*($DH$8*$CX29)+'LINEST VARS'!$A$48*(0.5*$CX29)</f>
        <v>369.99999999999983</v>
      </c>
      <c r="DI29" s="49">
        <f>'LINEST VARS'!$U$48+'LINEST VARS'!$T$48*(8)+'LINEST VARS'!$S$48*(8)+'LINEST VARS'!$R$48*($DI$8)+'LINEST VARS'!$Q$48*(0.5)+'LINEST VARS'!$P$48*($CX29)+'LINEST VARS'!$O$48*(8^2)+'LINEST VARS'!$N$48*(8^2)+'LINEST VARS'!$M$48*($DI$8^2)+'LINEST VARS'!$L$48*(0.5^2)+'LINEST VARS'!$K$48*($CX29^2)+'LINEST VARS'!$J$48*(8*8)+'LINEST VARS'!$I$48*(8*$DI$8)+'LINEST VARS'!$H$48*(8*0.5)+'LINEST VARS'!$G$48*(8*$CX29)+'LINEST VARS'!$F$48*(8*$DI$8)+'LINEST VARS'!$E$48*(8*0.5)+'LINEST VARS'!$D$48*(8*$CX29)+'LINEST VARS'!$C$48*($DI$8*0.5)+'LINEST VARS'!$B$48*($DI$8*$CX29)+'LINEST VARS'!$A$48*(0.5*$CX29)</f>
        <v>369.99999999999983</v>
      </c>
      <c r="DJ29" s="49">
        <f>'LINEST VARS'!$U$48+'LINEST VARS'!$T$48*(8)+'LINEST VARS'!$S$48*(8)+'LINEST VARS'!$R$48*($DJ$8)+'LINEST VARS'!$Q$48*(0.5)+'LINEST VARS'!$P$48*($CX29)+'LINEST VARS'!$O$48*(8^2)+'LINEST VARS'!$N$48*(8^2)+'LINEST VARS'!$M$48*($DJ$8^2)+'LINEST VARS'!$L$48*(0.5^2)+'LINEST VARS'!$K$48*($CX29^2)+'LINEST VARS'!$J$48*(8*8)+'LINEST VARS'!$I$48*(8*$DJ$8)+'LINEST VARS'!$H$48*(8*0.5)+'LINEST VARS'!$G$48*(8*$CX29)+'LINEST VARS'!$F$48*(8*$DJ$8)+'LINEST VARS'!$E$48*(8*0.5)+'LINEST VARS'!$D$48*(8*$CX29)+'LINEST VARS'!$C$48*($DJ$8*0.5)+'LINEST VARS'!$B$48*($DJ$8*$CX29)+'LINEST VARS'!$A$48*(0.5*$CX29)</f>
        <v>369.99999999999983</v>
      </c>
      <c r="DK29" s="49">
        <f>'LINEST VARS'!$U$48+'LINEST VARS'!$T$48*(8)+'LINEST VARS'!$S$48*(8)+'LINEST VARS'!$R$48*($DK$8)+'LINEST VARS'!$Q$48*(0.5)+'LINEST VARS'!$P$48*($CX29)+'LINEST VARS'!$O$48*(8^2)+'LINEST VARS'!$N$48*(8^2)+'LINEST VARS'!$M$48*($DK$8^2)+'LINEST VARS'!$L$48*(0.5^2)+'LINEST VARS'!$K$48*($CX29^2)+'LINEST VARS'!$J$48*(8*8)+'LINEST VARS'!$I$48*(8*$DK$8)+'LINEST VARS'!$H$48*(8*0.5)+'LINEST VARS'!$G$48*(8*$CX29)+'LINEST VARS'!$F$48*(8*$DK$8)+'LINEST VARS'!$E$48*(8*0.5)+'LINEST VARS'!$D$48*(8*$CX29)+'LINEST VARS'!$C$48*($DK$8*0.5)+'LINEST VARS'!$B$48*($DK$8*$CX29)+'LINEST VARS'!$A$48*(0.5*$CX29)</f>
        <v>369.99999999999983</v>
      </c>
      <c r="DL29" s="49">
        <f>'LINEST VARS'!$U$48+'LINEST VARS'!$T$48*(8)+'LINEST VARS'!$S$48*(8)+'LINEST VARS'!$R$48*($DL$8)+'LINEST VARS'!$Q$48*(0.5)+'LINEST VARS'!$P$48*($CX29)+'LINEST VARS'!$O$48*(8^2)+'LINEST VARS'!$N$48*(8^2)+'LINEST VARS'!$M$48*($DL$8^2)+'LINEST VARS'!$L$48*(0.5^2)+'LINEST VARS'!$K$48*($CX29^2)+'LINEST VARS'!$J$48*(8*8)+'LINEST VARS'!$I$48*(8*$DL$8)+'LINEST VARS'!$H$48*(8*0.5)+'LINEST VARS'!$G$48*(8*$CX29)+'LINEST VARS'!$F$48*(8*$DL$8)+'LINEST VARS'!$E$48*(8*0.5)+'LINEST VARS'!$D$48*(8*$CX29)+'LINEST VARS'!$C$48*($DL$8*0.5)+'LINEST VARS'!$B$48*($DL$8*$CX29)+'LINEST VARS'!$A$48*(0.5*$CX29)</f>
        <v>369.99999999999989</v>
      </c>
      <c r="DM29" s="49">
        <f>'LINEST VARS'!$U$48+'LINEST VARS'!$T$48*(8)+'LINEST VARS'!$S$48*(8)+'LINEST VARS'!$R$48*($DM$8)+'LINEST VARS'!$Q$48*(0.5)+'LINEST VARS'!$P$48*($CX29)+'LINEST VARS'!$O$48*(8^2)+'LINEST VARS'!$N$48*(8^2)+'LINEST VARS'!$M$48*($DM$8^2)+'LINEST VARS'!$L$48*(0.5^2)+'LINEST VARS'!$K$48*($CX29^2)+'LINEST VARS'!$J$48*(8*8)+'LINEST VARS'!$I$48*(8*$DM$8)+'LINEST VARS'!$H$48*(8*0.5)+'LINEST VARS'!$G$48*(8*$CX29)+'LINEST VARS'!$F$48*(8*$DM$8)+'LINEST VARS'!$E$48*(8*0.5)+'LINEST VARS'!$D$48*(8*$CX29)+'LINEST VARS'!$C$48*($DM$8*0.5)+'LINEST VARS'!$B$48*($DM$8*$CX29)+'LINEST VARS'!$A$48*(0.5*$CX29)</f>
        <v>369.99999999999989</v>
      </c>
      <c r="DN29" s="49">
        <f>'LINEST VARS'!$U$48+'LINEST VARS'!$T$48*(8)+'LINEST VARS'!$S$48*(8)+'LINEST VARS'!$R$48*($DN$8)+'LINEST VARS'!$Q$48*(0.5)+'LINEST VARS'!$P$48*($CX29)+'LINEST VARS'!$O$48*(8^2)+'LINEST VARS'!$N$48*(8^2)+'LINEST VARS'!$M$48*($DN$8^2)+'LINEST VARS'!$L$48*(0.5^2)+'LINEST VARS'!$K$48*($CX29^2)+'LINEST VARS'!$J$48*(8*8)+'LINEST VARS'!$I$48*(8*$DN$8)+'LINEST VARS'!$H$48*(8*0.5)+'LINEST VARS'!$G$48*(8*$CX29)+'LINEST VARS'!$F$48*(8*$DN$8)+'LINEST VARS'!$E$48*(8*0.5)+'LINEST VARS'!$D$48*(8*$CX29)+'LINEST VARS'!$C$48*($DN$8*0.5)+'LINEST VARS'!$B$48*($DN$8*$CX29)+'LINEST VARS'!$A$48*(0.5*$CX29)</f>
        <v>369.99999999999989</v>
      </c>
      <c r="DO29" s="49">
        <f>'LINEST VARS'!$U$48+'LINEST VARS'!$T$48*(8)+'LINEST VARS'!$S$48*(8)+'LINEST VARS'!$R$48*($DO$8)+'LINEST VARS'!$Q$48*(0.5)+'LINEST VARS'!$P$48*($CX29)+'LINEST VARS'!$O$48*(8^2)+'LINEST VARS'!$N$48*(8^2)+'LINEST VARS'!$M$48*($DO$8^2)+'LINEST VARS'!$L$48*(0.5^2)+'LINEST VARS'!$K$48*($CX29^2)+'LINEST VARS'!$J$48*(8*8)+'LINEST VARS'!$I$48*(8*$DO$8)+'LINEST VARS'!$H$48*(8*0.5)+'LINEST VARS'!$G$48*(8*$CX29)+'LINEST VARS'!$F$48*(8*$DO$8)+'LINEST VARS'!$E$48*(8*0.5)+'LINEST VARS'!$D$48*(8*$CX29)+'LINEST VARS'!$C$48*($DO$8*0.5)+'LINEST VARS'!$B$48*($DO$8*$CX29)+'LINEST VARS'!$A$48*(0.5*$CX29)</f>
        <v>369.99999999999989</v>
      </c>
      <c r="DP29" s="49">
        <f>'LINEST VARS'!$U$48+'LINEST VARS'!$T$48*(8)+'LINEST VARS'!$S$48*(8)+'LINEST VARS'!$R$48*($DP$8)+'LINEST VARS'!$Q$48*(0.5)+'LINEST VARS'!$P$48*($CX29)+'LINEST VARS'!$O$48*(8^2)+'LINEST VARS'!$N$48*(8^2)+'LINEST VARS'!$M$48*($DP$8^2)+'LINEST VARS'!$L$48*(0.5^2)+'LINEST VARS'!$K$48*($CX29^2)+'LINEST VARS'!$J$48*(8*8)+'LINEST VARS'!$I$48*(8*$DP$8)+'LINEST VARS'!$H$48*(8*0.5)+'LINEST VARS'!$G$48*(8*$CX29)+'LINEST VARS'!$F$48*(8*$DP$8)+'LINEST VARS'!$E$48*(8*0.5)+'LINEST VARS'!$D$48*(8*$CX29)+'LINEST VARS'!$C$48*($DP$8*0.5)+'LINEST VARS'!$B$48*($DP$8*$CX29)+'LINEST VARS'!$A$48*(0.5*$CX29)</f>
        <v>369.99999999999989</v>
      </c>
      <c r="DQ29" s="49">
        <f>'LINEST VARS'!$U$48+'LINEST VARS'!$T$48*(8)+'LINEST VARS'!$S$48*(8)+'LINEST VARS'!$R$48*($DQ$8)+'LINEST VARS'!$Q$48*(0.5)+'LINEST VARS'!$P$48*($CX29)+'LINEST VARS'!$O$48*(8^2)+'LINEST VARS'!$N$48*(8^2)+'LINEST VARS'!$M$48*($DQ$8^2)+'LINEST VARS'!$L$48*(0.5^2)+'LINEST VARS'!$K$48*($CX29^2)+'LINEST VARS'!$J$48*(8*8)+'LINEST VARS'!$I$48*(8*$DQ$8)+'LINEST VARS'!$H$48*(8*0.5)+'LINEST VARS'!$G$48*(8*$CX29)+'LINEST VARS'!$F$48*(8*$DQ$8)+'LINEST VARS'!$E$48*(8*0.5)+'LINEST VARS'!$D$48*(8*$CX29)+'LINEST VARS'!$C$48*($DQ$8*0.5)+'LINEST VARS'!$B$48*($DQ$8*$CX29)+'LINEST VARS'!$A$48*(0.5*$CX29)</f>
        <v>369.99999999999989</v>
      </c>
      <c r="DR29" s="49">
        <f>'LINEST VARS'!$U$48+'LINEST VARS'!$T$48*(8)+'LINEST VARS'!$S$48*(8)+'LINEST VARS'!$R$48*($DR$8)+'LINEST VARS'!$Q$48*(0.5)+'LINEST VARS'!$P$48*($CX29)+'LINEST VARS'!$O$48*(8^2)+'LINEST VARS'!$N$48*(8^2)+'LINEST VARS'!$M$48*($DR$8^2)+'LINEST VARS'!$L$48*(0.5^2)+'LINEST VARS'!$K$48*($CX29^2)+'LINEST VARS'!$J$48*(8*8)+'LINEST VARS'!$I$48*(8*$DR$8)+'LINEST VARS'!$H$48*(8*0.5)+'LINEST VARS'!$G$48*(8*$CX29)+'LINEST VARS'!$F$48*(8*$DR$8)+'LINEST VARS'!$E$48*(8*0.5)+'LINEST VARS'!$D$48*(8*$CX29)+'LINEST VARS'!$C$48*($DR$8*0.5)+'LINEST VARS'!$B$48*($DR$8*$CX29)+'LINEST VARS'!$A$48*(0.5*$CX29)</f>
        <v>369.99999999999989</v>
      </c>
      <c r="DS29" s="50">
        <f>'LINEST VARS'!$U$48+'LINEST VARS'!$T$48*(8)+'LINEST VARS'!$S$48*(8)+'LINEST VARS'!$R$48*($DS$8)+'LINEST VARS'!$Q$48*(0.5)+'LINEST VARS'!$P$48*($CX29)+'LINEST VARS'!$O$48*(8^2)+'LINEST VARS'!$N$48*(8^2)+'LINEST VARS'!$M$48*($DS$8^2)+'LINEST VARS'!$L$48*(0.5^2)+'LINEST VARS'!$K$48*($CX29^2)+'LINEST VARS'!$J$48*(8*8)+'LINEST VARS'!$I$48*(8*$DS$8)+'LINEST VARS'!$H$48*(8*0.5)+'LINEST VARS'!$G$48*(8*$CX29)+'LINEST VARS'!$F$48*(8*$DS$8)+'LINEST VARS'!$E$48*(8*0.5)+'LINEST VARS'!$D$48*(8*$CX29)+'LINEST VARS'!$C$48*($DS$8*0.5)+'LINEST VARS'!$B$48*($DS$8*$CX29)+'LINEST VARS'!$A$48*(0.5*$CX29)</f>
        <v>369.99999999999989</v>
      </c>
      <c r="DV29" s="48">
        <v>25.99</v>
      </c>
      <c r="DW29" s="49">
        <f>'LINEST VARS'!$U$50+'LINEST VARS'!$T$50*(8)+'LINEST VARS'!$S$50*(8)+'LINEST VARS'!$R$50*($DW$8)+'LINEST VARS'!$Q$50*(0.5)+'LINEST VARS'!$P$50*($DV29)+'LINEST VARS'!$O$50*(8^2)+'LINEST VARS'!$N$50*(8^2)+'LINEST VARS'!$M$50*($DW$8^2)+'LINEST VARS'!$L$50*(0.5^2)+'LINEST VARS'!$K$50*($DV29^2)+'LINEST VARS'!$J$50*(8*8)+'LINEST VARS'!$I$50*(8*$DW$8)+'LINEST VARS'!$H$50*(8*0.5)+'LINEST VARS'!$G$50*(8*$DV29)+'LINEST VARS'!$F$50*(8*$DW$8)+'LINEST VARS'!$E$50*(8*0.5)+'LINEST VARS'!$D$50*(8*$DV29)+'LINEST VARS'!$C$50*($DW$8*0.5)+'LINEST VARS'!$B$50*($DW$8*$DV29)+'LINEST VARS'!$A$50*(0.5*$DV29)</f>
        <v>331.99999999999989</v>
      </c>
      <c r="DX29" s="49">
        <f>'LINEST VARS'!$U$50+'LINEST VARS'!$T$50*(8)+'LINEST VARS'!$S$50*(8)+'LINEST VARS'!$R$50*($DX$8)+'LINEST VARS'!$Q$50*(0.5)+'LINEST VARS'!$P$50*($DV29)+'LINEST VARS'!$O$50*(8^2)+'LINEST VARS'!$N$50*(8^2)+'LINEST VARS'!$M$50*($DX$8^2)+'LINEST VARS'!$L$50*(0.5^2)+'LINEST VARS'!$K$50*($DV29^2)+'LINEST VARS'!$J$50*(8*8)+'LINEST VARS'!$I$50*(8*$DX$8)+'LINEST VARS'!$H$50*(8*0.5)+'LINEST VARS'!$G$50*(8*$DV29)+'LINEST VARS'!$F$50*(8*$DX$8)+'LINEST VARS'!$E$50*(8*0.5)+'LINEST VARS'!$D$50*(8*$DV29)+'LINEST VARS'!$C$50*($DX$8*0.5)+'LINEST VARS'!$B$50*($DX$8*$DV29)+'LINEST VARS'!$A$50*(0.5*$DV29)</f>
        <v>331.99999999999989</v>
      </c>
      <c r="DY29" s="49">
        <f>'LINEST VARS'!$U$50+'LINEST VARS'!$T$50*(8)+'LINEST VARS'!$S$50*(8)+'LINEST VARS'!$R$50*($DY$8)+'LINEST VARS'!$Q$50*(0.5)+'LINEST VARS'!$P$50*($DV29)+'LINEST VARS'!$O$50*(8^2)+'LINEST VARS'!$N$50*(8^2)+'LINEST VARS'!$M$50*($DY$8^2)+'LINEST VARS'!$L$50*(0.5^2)+'LINEST VARS'!$K$50*($DV29^2)+'LINEST VARS'!$J$50*(8*8)+'LINEST VARS'!$I$50*(8*$DY$8)+'LINEST VARS'!$H$50*(8*0.5)+'LINEST VARS'!$G$50*(8*$DV29)+'LINEST VARS'!$F$50*(8*$DY$8)+'LINEST VARS'!$E$50*(8*0.5)+'LINEST VARS'!$D$50*(8*$DV29)+'LINEST VARS'!$C$50*($DY$8*0.5)+'LINEST VARS'!$B$50*($DY$8*$DV29)+'LINEST VARS'!$A$50*(0.5*$DV29)</f>
        <v>331.99999999999989</v>
      </c>
      <c r="DZ29" s="49">
        <f>'LINEST VARS'!$U$50+'LINEST VARS'!$T$50*(8)+'LINEST VARS'!$S$50*(8)+'LINEST VARS'!$R$50*($DZ$8)+'LINEST VARS'!$Q$50*(0.5)+'LINEST VARS'!$P$50*($DV29)+'LINEST VARS'!$O$50*(8^2)+'LINEST VARS'!$N$50*(8^2)+'LINEST VARS'!$M$50*($DZ$8^2)+'LINEST VARS'!$L$50*(0.5^2)+'LINEST VARS'!$K$50*($DV29^2)+'LINEST VARS'!$J$50*(8*8)+'LINEST VARS'!$I$50*(8*$DZ$8)+'LINEST VARS'!$H$50*(8*0.5)+'LINEST VARS'!$G$50*(8*$DV29)+'LINEST VARS'!$F$50*(8*$DZ$8)+'LINEST VARS'!$E$50*(8*0.5)+'LINEST VARS'!$D$50*(8*$DV29)+'LINEST VARS'!$C$50*($DZ$8*0.5)+'LINEST VARS'!$B$50*($DZ$8*$DV29)+'LINEST VARS'!$A$50*(0.5*$DV29)</f>
        <v>331.99999999999989</v>
      </c>
      <c r="EA29" s="49">
        <f>'LINEST VARS'!$U$50+'LINEST VARS'!$T$50*(8)+'LINEST VARS'!$S$50*(8)+'LINEST VARS'!$R$50*($EA$8)+'LINEST VARS'!$Q$50*(0.5)+'LINEST VARS'!$P$50*($DV29)+'LINEST VARS'!$O$50*(8^2)+'LINEST VARS'!$N$50*(8^2)+'LINEST VARS'!$M$50*($EA$8^2)+'LINEST VARS'!$L$50*(0.5^2)+'LINEST VARS'!$K$50*($DV29^2)+'LINEST VARS'!$J$50*(8*8)+'LINEST VARS'!$I$50*(8*$EA$8)+'LINEST VARS'!$H$50*(8*0.5)+'LINEST VARS'!$G$50*(8*$DV29)+'LINEST VARS'!$F$50*(8*$EA$8)+'LINEST VARS'!$E$50*(8*0.5)+'LINEST VARS'!$D$50*(8*$DV29)+'LINEST VARS'!$C$50*($EA$8*0.5)+'LINEST VARS'!$B$50*($EA$8*$DV29)+'LINEST VARS'!$A$50*(0.5*$DV29)</f>
        <v>331.99999999999989</v>
      </c>
      <c r="EB29" s="49">
        <f>'LINEST VARS'!$U$50+'LINEST VARS'!$T$50*(8)+'LINEST VARS'!$S$50*(8)+'LINEST VARS'!$R$50*($EB$8)+'LINEST VARS'!$Q$50*(0.5)+'LINEST VARS'!$P$50*($DV29)+'LINEST VARS'!$O$50*(8^2)+'LINEST VARS'!$N$50*(8^2)+'LINEST VARS'!$M$50*($EB$8^2)+'LINEST VARS'!$L$50*(0.5^2)+'LINEST VARS'!$K$50*($DV29^2)+'LINEST VARS'!$J$50*(8*8)+'LINEST VARS'!$I$50*(8*$EB$8)+'LINEST VARS'!$H$50*(8*0.5)+'LINEST VARS'!$G$50*(8*$DV29)+'LINEST VARS'!$F$50*(8*$EB$8)+'LINEST VARS'!$E$50*(8*0.5)+'LINEST VARS'!$D$50*(8*$DV29)+'LINEST VARS'!$C$50*($EB$8*0.5)+'LINEST VARS'!$B$50*($EB$8*$DV29)+'LINEST VARS'!$A$50*(0.5*$DV29)</f>
        <v>331.99999999999989</v>
      </c>
      <c r="EC29" s="49">
        <f>'LINEST VARS'!$U$50+'LINEST VARS'!$T$50*(8)+'LINEST VARS'!$S$50*(8)+'LINEST VARS'!$R$50*($EC$8)+'LINEST VARS'!$Q$50*(0.5)+'LINEST VARS'!$P$50*($DV29)+'LINEST VARS'!$O$50*(8^2)+'LINEST VARS'!$N$50*(8^2)+'LINEST VARS'!$M$50*($EC$8^2)+'LINEST VARS'!$L$50*(0.5^2)+'LINEST VARS'!$K$50*($DV29^2)+'LINEST VARS'!$J$50*(8*8)+'LINEST VARS'!$I$50*(8*$EC$8)+'LINEST VARS'!$H$50*(8*0.5)+'LINEST VARS'!$G$50*(8*$DV29)+'LINEST VARS'!$F$50*(8*$EC$8)+'LINEST VARS'!$E$50*(8*0.5)+'LINEST VARS'!$D$50*(8*$DV29)+'LINEST VARS'!$C$50*($EC$8*0.5)+'LINEST VARS'!$B$50*($EC$8*$DV29)+'LINEST VARS'!$A$50*(0.5*$DV29)</f>
        <v>331.99999999999989</v>
      </c>
      <c r="ED29" s="49">
        <f>'LINEST VARS'!$U$50+'LINEST VARS'!$T$50*(8)+'LINEST VARS'!$S$50*(8)+'LINEST VARS'!$R$50*($ED$8)+'LINEST VARS'!$Q$50*(0.5)+'LINEST VARS'!$P$50*($DV29)+'LINEST VARS'!$O$50*(8^2)+'LINEST VARS'!$N$50*(8^2)+'LINEST VARS'!$M$50*($ED$8^2)+'LINEST VARS'!$L$50*(0.5^2)+'LINEST VARS'!$K$50*($DV29^2)+'LINEST VARS'!$J$50*(8*8)+'LINEST VARS'!$I$50*(8*$ED$8)+'LINEST VARS'!$H$50*(8*0.5)+'LINEST VARS'!$G$50*(8*$DV29)+'LINEST VARS'!$F$50*(8*$ED$8)+'LINEST VARS'!$E$50*(8*0.5)+'LINEST VARS'!$D$50*(8*$DV29)+'LINEST VARS'!$C$50*($ED$8*0.5)+'LINEST VARS'!$B$50*($ED$8*$DV29)+'LINEST VARS'!$A$50*(0.5*$DV29)</f>
        <v>331.99999999999989</v>
      </c>
      <c r="EE29" s="49">
        <f>'LINEST VARS'!$U$50+'LINEST VARS'!$T$50*(8)+'LINEST VARS'!$S$50*(8)+'LINEST VARS'!$R$50*($EE$8)+'LINEST VARS'!$Q$50*(0.5)+'LINEST VARS'!$P$50*($DV29)+'LINEST VARS'!$O$50*(8^2)+'LINEST VARS'!$N$50*(8^2)+'LINEST VARS'!$M$50*($EE$8^2)+'LINEST VARS'!$L$50*(0.5^2)+'LINEST VARS'!$K$50*($DV29^2)+'LINEST VARS'!$J$50*(8*8)+'LINEST VARS'!$I$50*(8*$EE$8)+'LINEST VARS'!$H$50*(8*0.5)+'LINEST VARS'!$G$50*(8*$DV29)+'LINEST VARS'!$F$50*(8*$EE$8)+'LINEST VARS'!$E$50*(8*0.5)+'LINEST VARS'!$D$50*(8*$DV29)+'LINEST VARS'!$C$50*($EE$8*0.5)+'LINEST VARS'!$B$50*($EE$8*$DV29)+'LINEST VARS'!$A$50*(0.5*$DV29)</f>
        <v>331.99999999999989</v>
      </c>
      <c r="EF29" s="49">
        <f>'LINEST VARS'!$U$50+'LINEST VARS'!$T$50*(8)+'LINEST VARS'!$S$50*(8)+'LINEST VARS'!$R$50*($EF$8)+'LINEST VARS'!$Q$50*(0.5)+'LINEST VARS'!$P$50*($DV29)+'LINEST VARS'!$O$50*(8^2)+'LINEST VARS'!$N$50*(8^2)+'LINEST VARS'!$M$50*($EF$8^2)+'LINEST VARS'!$L$50*(0.5^2)+'LINEST VARS'!$K$50*($DV29^2)+'LINEST VARS'!$J$50*(8*8)+'LINEST VARS'!$I$50*(8*$EF$8)+'LINEST VARS'!$H$50*(8*0.5)+'LINEST VARS'!$G$50*(8*$DV29)+'LINEST VARS'!$F$50*(8*$EF$8)+'LINEST VARS'!$E$50*(8*0.5)+'LINEST VARS'!$D$50*(8*$DV29)+'LINEST VARS'!$C$50*($EF$8*0.5)+'LINEST VARS'!$B$50*($EF$8*$DV29)+'LINEST VARS'!$A$50*(0.5*$DV29)</f>
        <v>331.99999999999989</v>
      </c>
      <c r="EG29" s="49">
        <f>'LINEST VARS'!$U$50+'LINEST VARS'!$T$50*(8)+'LINEST VARS'!$S$50*(8)+'LINEST VARS'!$R$50*($EG$8)+'LINEST VARS'!$Q$50*(0.5)+'LINEST VARS'!$P$50*($DV29)+'LINEST VARS'!$O$50*(8^2)+'LINEST VARS'!$N$50*(8^2)+'LINEST VARS'!$M$50*($EG$8^2)+'LINEST VARS'!$L$50*(0.5^2)+'LINEST VARS'!$K$50*($DV29^2)+'LINEST VARS'!$J$50*(8*8)+'LINEST VARS'!$I$50*(8*$EG$8)+'LINEST VARS'!$H$50*(8*0.5)+'LINEST VARS'!$G$50*(8*$DV29)+'LINEST VARS'!$F$50*(8*$EG$8)+'LINEST VARS'!$E$50*(8*0.5)+'LINEST VARS'!$D$50*(8*$DV29)+'LINEST VARS'!$C$50*($EG$8*0.5)+'LINEST VARS'!$B$50*($EG$8*$DV29)+'LINEST VARS'!$A$50*(0.5*$DV29)</f>
        <v>331.99999999999989</v>
      </c>
      <c r="EH29" s="49">
        <f>'LINEST VARS'!$U$50+'LINEST VARS'!$T$50*(8)+'LINEST VARS'!$S$50*(8)+'LINEST VARS'!$R$50*($EH$8)+'LINEST VARS'!$Q$50*(0.5)+'LINEST VARS'!$P$50*($DV29)+'LINEST VARS'!$O$50*(8^2)+'LINEST VARS'!$N$50*(8^2)+'LINEST VARS'!$M$50*($EH$8^2)+'LINEST VARS'!$L$50*(0.5^2)+'LINEST VARS'!$K$50*($DV29^2)+'LINEST VARS'!$J$50*(8*8)+'LINEST VARS'!$I$50*(8*$EH$8)+'LINEST VARS'!$H$50*(8*0.5)+'LINEST VARS'!$G$50*(8*$DV29)+'LINEST VARS'!$F$50*(8*$EH$8)+'LINEST VARS'!$E$50*(8*0.5)+'LINEST VARS'!$D$50*(8*$DV29)+'LINEST VARS'!$C$50*($EH$8*0.5)+'LINEST VARS'!$B$50*($EH$8*$DV29)+'LINEST VARS'!$A$50*(0.5*$DV29)</f>
        <v>331.99999999999989</v>
      </c>
      <c r="EI29" s="49">
        <f>'LINEST VARS'!$U$50+'LINEST VARS'!$T$50*(8)+'LINEST VARS'!$S$50*(8)+'LINEST VARS'!$R$50*($EI$8)+'LINEST VARS'!$Q$50*(0.5)+'LINEST VARS'!$P$50*($DV29)+'LINEST VARS'!$O$50*(8^2)+'LINEST VARS'!$N$50*(8^2)+'LINEST VARS'!$M$50*($EI$8^2)+'LINEST VARS'!$L$50*(0.5^2)+'LINEST VARS'!$K$50*($DV29^2)+'LINEST VARS'!$J$50*(8*8)+'LINEST VARS'!$I$50*(8*$EI$8)+'LINEST VARS'!$H$50*(8*0.5)+'LINEST VARS'!$G$50*(8*$DV29)+'LINEST VARS'!$F$50*(8*$EI$8)+'LINEST VARS'!$E$50*(8*0.5)+'LINEST VARS'!$D$50*(8*$DV29)+'LINEST VARS'!$C$50*($EI$8*0.5)+'LINEST VARS'!$B$50*($EI$8*$DV29)+'LINEST VARS'!$A$50*(0.5*$DV29)</f>
        <v>331.99999999999989</v>
      </c>
      <c r="EJ29" s="49">
        <f>'LINEST VARS'!$U$50+'LINEST VARS'!$T$50*(8)+'LINEST VARS'!$S$50*(8)+'LINEST VARS'!$R$50*($EJ$8)+'LINEST VARS'!$Q$50*(0.5)+'LINEST VARS'!$P$50*($DV29)+'LINEST VARS'!$O$50*(8^2)+'LINEST VARS'!$N$50*(8^2)+'LINEST VARS'!$M$50*($EJ$8^2)+'LINEST VARS'!$L$50*(0.5^2)+'LINEST VARS'!$K$50*($DV29^2)+'LINEST VARS'!$J$50*(8*8)+'LINEST VARS'!$I$50*(8*$EJ$8)+'LINEST VARS'!$H$50*(8*0.5)+'LINEST VARS'!$G$50*(8*$DV29)+'LINEST VARS'!$F$50*(8*$EJ$8)+'LINEST VARS'!$E$50*(8*0.5)+'LINEST VARS'!$D$50*(8*$DV29)+'LINEST VARS'!$C$50*($EJ$8*0.5)+'LINEST VARS'!$B$50*($EJ$8*$DV29)+'LINEST VARS'!$A$50*(0.5*$DV29)</f>
        <v>331.99999999999989</v>
      </c>
      <c r="EK29" s="49">
        <f>'LINEST VARS'!$U$50+'LINEST VARS'!$T$50*(8)+'LINEST VARS'!$S$50*(8)+'LINEST VARS'!$R$50*($EK$8)+'LINEST VARS'!$Q$50*(0.5)+'LINEST VARS'!$P$50*($DV29)+'LINEST VARS'!$O$50*(8^2)+'LINEST VARS'!$N$50*(8^2)+'LINEST VARS'!$M$50*($EK$8^2)+'LINEST VARS'!$L$50*(0.5^2)+'LINEST VARS'!$K$50*($DV29^2)+'LINEST VARS'!$J$50*(8*8)+'LINEST VARS'!$I$50*(8*$EK$8)+'LINEST VARS'!$H$50*(8*0.5)+'LINEST VARS'!$G$50*(8*$DV29)+'LINEST VARS'!$F$50*(8*$EK$8)+'LINEST VARS'!$E$50*(8*0.5)+'LINEST VARS'!$D$50*(8*$DV29)+'LINEST VARS'!$C$50*($EK$8*0.5)+'LINEST VARS'!$B$50*($EK$8*$DV29)+'LINEST VARS'!$A$50*(0.5*$DV29)</f>
        <v>331.99999999999989</v>
      </c>
      <c r="EL29" s="49">
        <f>'LINEST VARS'!$U$50+'LINEST VARS'!$T$50*(8)+'LINEST VARS'!$S$50*(8)+'LINEST VARS'!$R$50*($EL$8)+'LINEST VARS'!$Q$50*(0.5)+'LINEST VARS'!$P$50*($DV29)+'LINEST VARS'!$O$50*(8^2)+'LINEST VARS'!$N$50*(8^2)+'LINEST VARS'!$M$50*($EL$8^2)+'LINEST VARS'!$L$50*(0.5^2)+'LINEST VARS'!$K$50*($DV29^2)+'LINEST VARS'!$J$50*(8*8)+'LINEST VARS'!$I$50*(8*$EL$8)+'LINEST VARS'!$H$50*(8*0.5)+'LINEST VARS'!$G$50*(8*$DV29)+'LINEST VARS'!$F$50*(8*$EL$8)+'LINEST VARS'!$E$50*(8*0.5)+'LINEST VARS'!$D$50*(8*$DV29)+'LINEST VARS'!$C$50*($EL$8*0.5)+'LINEST VARS'!$B$50*($EL$8*$DV29)+'LINEST VARS'!$A$50*(0.5*$DV29)</f>
        <v>331.99999999999989</v>
      </c>
      <c r="EM29" s="49">
        <f>'LINEST VARS'!$U$50+'LINEST VARS'!$T$50*(8)+'LINEST VARS'!$S$50*(8)+'LINEST VARS'!$R$50*($EM$8)+'LINEST VARS'!$Q$50*(0.5)+'LINEST VARS'!$P$50*($DV29)+'LINEST VARS'!$O$50*(8^2)+'LINEST VARS'!$N$50*(8^2)+'LINEST VARS'!$M$50*($EM$8^2)+'LINEST VARS'!$L$50*(0.5^2)+'LINEST VARS'!$K$50*($DV29^2)+'LINEST VARS'!$J$50*(8*8)+'LINEST VARS'!$I$50*(8*$EM$8)+'LINEST VARS'!$H$50*(8*0.5)+'LINEST VARS'!$G$50*(8*$DV29)+'LINEST VARS'!$F$50*(8*$EM$8)+'LINEST VARS'!$E$50*(8*0.5)+'LINEST VARS'!$D$50*(8*$DV29)+'LINEST VARS'!$C$50*($EM$8*0.5)+'LINEST VARS'!$B$50*($EM$8*$DV29)+'LINEST VARS'!$A$50*(0.5*$DV29)</f>
        <v>331.99999999999989</v>
      </c>
      <c r="EN29" s="49">
        <f>'LINEST VARS'!$U$50+'LINEST VARS'!$T$50*(8)+'LINEST VARS'!$S$50*(8)+'LINEST VARS'!$R$50*($EN$8)+'LINEST VARS'!$Q$50*(0.5)+'LINEST VARS'!$P$50*($DV29)+'LINEST VARS'!$O$50*(8^2)+'LINEST VARS'!$N$50*(8^2)+'LINEST VARS'!$M$50*($EN$8^2)+'LINEST VARS'!$L$50*(0.5^2)+'LINEST VARS'!$K$50*($DV29^2)+'LINEST VARS'!$J$50*(8*8)+'LINEST VARS'!$I$50*(8*$EN$8)+'LINEST VARS'!$H$50*(8*0.5)+'LINEST VARS'!$G$50*(8*$DV29)+'LINEST VARS'!$F$50*(8*$EN$8)+'LINEST VARS'!$E$50*(8*0.5)+'LINEST VARS'!$D$50*(8*$DV29)+'LINEST VARS'!$C$50*($EN$8*0.5)+'LINEST VARS'!$B$50*($EN$8*$DV29)+'LINEST VARS'!$A$50*(0.5*$DV29)</f>
        <v>331.99999999999989</v>
      </c>
      <c r="EO29" s="49">
        <f>'LINEST VARS'!$U$50+'LINEST VARS'!$T$50*(8)+'LINEST VARS'!$S$50*(8)+'LINEST VARS'!$R$50*($EO$8)+'LINEST VARS'!$Q$50*(0.5)+'LINEST VARS'!$P$50*($DV29)+'LINEST VARS'!$O$50*(8^2)+'LINEST VARS'!$N$50*(8^2)+'LINEST VARS'!$M$50*($EO$8^2)+'LINEST VARS'!$L$50*(0.5^2)+'LINEST VARS'!$K$50*($DV29^2)+'LINEST VARS'!$J$50*(8*8)+'LINEST VARS'!$I$50*(8*$EO$8)+'LINEST VARS'!$H$50*(8*0.5)+'LINEST VARS'!$G$50*(8*$DV29)+'LINEST VARS'!$F$50*(8*$EO$8)+'LINEST VARS'!$E$50*(8*0.5)+'LINEST VARS'!$D$50*(8*$DV29)+'LINEST VARS'!$C$50*($EO$8*0.5)+'LINEST VARS'!$B$50*($EO$8*$DV29)+'LINEST VARS'!$A$50*(0.5*$DV29)</f>
        <v>331.99999999999989</v>
      </c>
      <c r="EP29" s="49">
        <f>'LINEST VARS'!$U$50+'LINEST VARS'!$T$50*(8)+'LINEST VARS'!$S$50*(8)+'LINEST VARS'!$R$50*($EP$8)+'LINEST VARS'!$Q$50*(0.5)+'LINEST VARS'!$P$50*($DV29)+'LINEST VARS'!$O$50*(8^2)+'LINEST VARS'!$N$50*(8^2)+'LINEST VARS'!$M$50*($EP$8^2)+'LINEST VARS'!$L$50*(0.5^2)+'LINEST VARS'!$K$50*($DV29^2)+'LINEST VARS'!$J$50*(8*8)+'LINEST VARS'!$I$50*(8*$EP$8)+'LINEST VARS'!$H$50*(8*0.5)+'LINEST VARS'!$G$50*(8*$DV29)+'LINEST VARS'!$F$50*(8*$EP$8)+'LINEST VARS'!$E$50*(8*0.5)+'LINEST VARS'!$D$50*(8*$DV29)+'LINEST VARS'!$C$50*($EP$8*0.5)+'LINEST VARS'!$B$50*($EP$8*$DV29)+'LINEST VARS'!$A$50*(0.5*$DV29)</f>
        <v>331.99999999999989</v>
      </c>
      <c r="EQ29" s="50">
        <f>'LINEST VARS'!$U$50+'LINEST VARS'!$T$50*(8)+'LINEST VARS'!$S$50*(8)+'LINEST VARS'!$R$50*($EQ$8)+'LINEST VARS'!$Q$50*(0.5)+'LINEST VARS'!$P$50*($DV29)+'LINEST VARS'!$O$50*(8^2)+'LINEST VARS'!$N$50*(8^2)+'LINEST VARS'!$M$50*($EQ$8^2)+'LINEST VARS'!$L$50*(0.5^2)+'LINEST VARS'!$K$50*($DV29^2)+'LINEST VARS'!$J$50*(8*8)+'LINEST VARS'!$I$50*(8*$EQ$8)+'LINEST VARS'!$H$50*(8*0.5)+'LINEST VARS'!$G$50*(8*$DV29)+'LINEST VARS'!$F$50*(8*$EQ$8)+'LINEST VARS'!$E$50*(8*0.5)+'LINEST VARS'!$D$50*(8*$DV29)+'LINEST VARS'!$C$50*($EQ$8*0.5)+'LINEST VARS'!$B$50*($EQ$8*$DV29)+'LINEST VARS'!$A$50*(0.5*$DV29)</f>
        <v>331.99999999999989</v>
      </c>
    </row>
    <row r="30" spans="2:147" ht="15" customHeight="1" x14ac:dyDescent="0.25"/>
    <row r="31" spans="2:147" ht="15" customHeight="1" thickBot="1" x14ac:dyDescent="0.3">
      <c r="B31" s="59" t="s">
        <v>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Z31" s="59" t="s">
        <v>7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Z31" s="59" t="s">
        <v>20</v>
      </c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X31" s="59" t="s">
        <v>21</v>
      </c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X31" s="59" t="s">
        <v>34</v>
      </c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V31" s="59" t="s">
        <v>35</v>
      </c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</row>
    <row r="32" spans="2:147" ht="15" customHeight="1" x14ac:dyDescent="0.25">
      <c r="B32" s="42" t="s">
        <v>5</v>
      </c>
      <c r="C32" s="43">
        <v>7.4</v>
      </c>
      <c r="D32" s="43">
        <v>7.46</v>
      </c>
      <c r="E32" s="43">
        <v>7.52</v>
      </c>
      <c r="F32" s="43">
        <v>7.58</v>
      </c>
      <c r="G32" s="43">
        <v>7.64</v>
      </c>
      <c r="H32" s="43">
        <v>7.7</v>
      </c>
      <c r="I32" s="43">
        <v>7.76</v>
      </c>
      <c r="J32" s="43">
        <v>7.82</v>
      </c>
      <c r="K32" s="43">
        <v>7.88</v>
      </c>
      <c r="L32" s="43">
        <v>7.94</v>
      </c>
      <c r="M32" s="43">
        <v>8</v>
      </c>
      <c r="N32" s="43">
        <v>8.06</v>
      </c>
      <c r="O32" s="43">
        <v>8.1199999999999992</v>
      </c>
      <c r="P32" s="43">
        <v>8.18</v>
      </c>
      <c r="Q32" s="43">
        <v>8.24</v>
      </c>
      <c r="R32" s="43">
        <v>8.3000000000000007</v>
      </c>
      <c r="S32" s="43">
        <v>8.36</v>
      </c>
      <c r="T32" s="43">
        <v>8.42</v>
      </c>
      <c r="U32" s="43">
        <v>8.48</v>
      </c>
      <c r="V32" s="43">
        <v>8.5399999999999991</v>
      </c>
      <c r="W32" s="44">
        <v>8.6</v>
      </c>
      <c r="Z32" s="42" t="s">
        <v>5</v>
      </c>
      <c r="AA32" s="43">
        <v>7.4</v>
      </c>
      <c r="AB32" s="43">
        <v>7.46</v>
      </c>
      <c r="AC32" s="43">
        <v>7.52</v>
      </c>
      <c r="AD32" s="43">
        <v>7.58</v>
      </c>
      <c r="AE32" s="43">
        <v>7.64</v>
      </c>
      <c r="AF32" s="43">
        <v>7.7</v>
      </c>
      <c r="AG32" s="43">
        <v>7.76</v>
      </c>
      <c r="AH32" s="43">
        <v>7.82</v>
      </c>
      <c r="AI32" s="43">
        <v>7.88</v>
      </c>
      <c r="AJ32" s="43">
        <v>7.94</v>
      </c>
      <c r="AK32" s="43">
        <v>8</v>
      </c>
      <c r="AL32" s="43">
        <v>8.06</v>
      </c>
      <c r="AM32" s="43">
        <v>8.1199999999999992</v>
      </c>
      <c r="AN32" s="43">
        <v>8.18</v>
      </c>
      <c r="AO32" s="43">
        <v>8.24</v>
      </c>
      <c r="AP32" s="43">
        <v>8.3000000000000007</v>
      </c>
      <c r="AQ32" s="43">
        <v>8.36</v>
      </c>
      <c r="AR32" s="43">
        <v>8.42</v>
      </c>
      <c r="AS32" s="43">
        <v>8.48</v>
      </c>
      <c r="AT32" s="43">
        <v>8.5399999999999991</v>
      </c>
      <c r="AU32" s="44">
        <v>8.6</v>
      </c>
      <c r="AZ32" s="42" t="s">
        <v>19</v>
      </c>
      <c r="BA32" s="43">
        <v>0</v>
      </c>
      <c r="BB32" s="43">
        <v>0.4</v>
      </c>
      <c r="BC32" s="43">
        <v>0.8</v>
      </c>
      <c r="BD32" s="43">
        <v>1.2</v>
      </c>
      <c r="BE32" s="43">
        <v>1.6</v>
      </c>
      <c r="BF32" s="43">
        <v>2</v>
      </c>
      <c r="BG32" s="43">
        <v>2.4</v>
      </c>
      <c r="BH32" s="43">
        <v>2.8</v>
      </c>
      <c r="BI32" s="43">
        <v>3.2</v>
      </c>
      <c r="BJ32" s="43">
        <v>3.6</v>
      </c>
      <c r="BK32" s="43">
        <v>4</v>
      </c>
      <c r="BL32" s="43">
        <v>4.4000000000000004</v>
      </c>
      <c r="BM32" s="43">
        <v>4.8</v>
      </c>
      <c r="BN32" s="43">
        <v>5.2</v>
      </c>
      <c r="BO32" s="43">
        <v>5.6</v>
      </c>
      <c r="BP32" s="43">
        <v>6</v>
      </c>
      <c r="BQ32" s="43">
        <v>6.4</v>
      </c>
      <c r="BR32" s="43">
        <v>6.8</v>
      </c>
      <c r="BS32" s="43">
        <v>7.2</v>
      </c>
      <c r="BT32" s="43">
        <v>7.6</v>
      </c>
      <c r="BU32" s="44">
        <v>8</v>
      </c>
      <c r="BX32" s="42" t="s">
        <v>19</v>
      </c>
      <c r="BY32" s="43">
        <v>0</v>
      </c>
      <c r="BZ32" s="43">
        <v>0.4</v>
      </c>
      <c r="CA32" s="43">
        <v>0.8</v>
      </c>
      <c r="CB32" s="43">
        <v>1.2</v>
      </c>
      <c r="CC32" s="43">
        <v>1.6</v>
      </c>
      <c r="CD32" s="43">
        <v>2</v>
      </c>
      <c r="CE32" s="43">
        <v>2.4</v>
      </c>
      <c r="CF32" s="43">
        <v>2.8</v>
      </c>
      <c r="CG32" s="43">
        <v>3.2</v>
      </c>
      <c r="CH32" s="43">
        <v>3.6</v>
      </c>
      <c r="CI32" s="43">
        <v>4</v>
      </c>
      <c r="CJ32" s="43">
        <v>4.4000000000000004</v>
      </c>
      <c r="CK32" s="43">
        <v>4.8</v>
      </c>
      <c r="CL32" s="43">
        <v>5.2</v>
      </c>
      <c r="CM32" s="43">
        <v>5.6</v>
      </c>
      <c r="CN32" s="43">
        <v>6</v>
      </c>
      <c r="CO32" s="43">
        <v>6.4</v>
      </c>
      <c r="CP32" s="43">
        <v>6.8</v>
      </c>
      <c r="CQ32" s="43">
        <v>7.2</v>
      </c>
      <c r="CR32" s="43">
        <v>7.6</v>
      </c>
      <c r="CS32" s="44">
        <v>8</v>
      </c>
      <c r="CX32" s="42" t="s">
        <v>33</v>
      </c>
      <c r="CY32" s="43">
        <v>0</v>
      </c>
      <c r="CZ32" s="43">
        <v>0.4</v>
      </c>
      <c r="DA32" s="43">
        <v>0.8</v>
      </c>
      <c r="DB32" s="43">
        <v>1.2</v>
      </c>
      <c r="DC32" s="43">
        <v>1.6</v>
      </c>
      <c r="DD32" s="43">
        <v>2</v>
      </c>
      <c r="DE32" s="43">
        <v>2.4</v>
      </c>
      <c r="DF32" s="43">
        <v>2.8</v>
      </c>
      <c r="DG32" s="43">
        <v>3.2</v>
      </c>
      <c r="DH32" s="43">
        <v>3.6</v>
      </c>
      <c r="DI32" s="43">
        <v>4</v>
      </c>
      <c r="DJ32" s="43">
        <v>4.4000000000000004</v>
      </c>
      <c r="DK32" s="43">
        <v>4.8</v>
      </c>
      <c r="DL32" s="43">
        <v>5.2</v>
      </c>
      <c r="DM32" s="43">
        <v>5.6</v>
      </c>
      <c r="DN32" s="43">
        <v>6</v>
      </c>
      <c r="DO32" s="43">
        <v>6.4</v>
      </c>
      <c r="DP32" s="43">
        <v>6.8</v>
      </c>
      <c r="DQ32" s="43">
        <v>7.2</v>
      </c>
      <c r="DR32" s="43">
        <v>7.6</v>
      </c>
      <c r="DS32" s="44">
        <v>8</v>
      </c>
      <c r="DV32" s="42" t="s">
        <v>33</v>
      </c>
      <c r="DW32" s="43">
        <v>0</v>
      </c>
      <c r="DX32" s="43">
        <v>0.4</v>
      </c>
      <c r="DY32" s="43">
        <v>0.8</v>
      </c>
      <c r="DZ32" s="43">
        <v>1.2</v>
      </c>
      <c r="EA32" s="43">
        <v>1.6</v>
      </c>
      <c r="EB32" s="43">
        <v>2</v>
      </c>
      <c r="EC32" s="43">
        <v>2.4</v>
      </c>
      <c r="ED32" s="43">
        <v>2.8</v>
      </c>
      <c r="EE32" s="43">
        <v>3.2</v>
      </c>
      <c r="EF32" s="43">
        <v>3.6</v>
      </c>
      <c r="EG32" s="43">
        <v>4</v>
      </c>
      <c r="EH32" s="43">
        <v>4.4000000000000004</v>
      </c>
      <c r="EI32" s="43">
        <v>4.8</v>
      </c>
      <c r="EJ32" s="43">
        <v>5.2</v>
      </c>
      <c r="EK32" s="43">
        <v>5.6</v>
      </c>
      <c r="EL32" s="43">
        <v>6</v>
      </c>
      <c r="EM32" s="43">
        <v>6.4</v>
      </c>
      <c r="EN32" s="43">
        <v>6.8</v>
      </c>
      <c r="EO32" s="43">
        <v>7.2</v>
      </c>
      <c r="EP32" s="43">
        <v>7.6</v>
      </c>
      <c r="EQ32" s="44">
        <v>8</v>
      </c>
    </row>
    <row r="33" spans="2:147" ht="15" customHeight="1" x14ac:dyDescent="0.25">
      <c r="B33" s="45">
        <v>7.4</v>
      </c>
      <c r="C33" s="51">
        <f>'LINEST VARS'!$U$52+'LINEST VARS'!$T$52*($C$32)+'LINEST VARS'!$S$52*($B33)+'LINEST VARS'!$R$52*(4)+'LINEST VARS'!$Q$52*(0.5)+'LINEST VARS'!$P$52*(12.73)+'LINEST VARS'!$O$52*($C$32^2)+'LINEST VARS'!$N$52*($B33^2)+'LINEST VARS'!$M$52*(4^2)+'LINEST VARS'!$L$52*(0.5^2)+'LINEST VARS'!$K$52*(12.73^2)+'LINEST VARS'!$J$52*($C$32*$B33)+'LINEST VARS'!$I$52*($C$32*4)+'LINEST VARS'!$H$52*($C$32*0.5)+'LINEST VARS'!$G$52*($C$32*12.73)+'LINEST VARS'!$F$52*($B33*4)+'LINEST VARS'!$E$52*($B33*0.5)+'LINEST VARS'!$D$52*($B33*12.73)+'LINEST VARS'!$C$52*(4*0.5)+'LINEST VARS'!$B$52*(4*12.73)+'LINEST VARS'!$A$52*(0.5*12.73)</f>
        <v>4.4499999999999993</v>
      </c>
      <c r="D33" s="51">
        <f>'LINEST VARS'!$U$52+'LINEST VARS'!$T$52*($D$32)+'LINEST VARS'!$S$52*($B33)+'LINEST VARS'!$R$52*(4)+'LINEST VARS'!$Q$52*(0.5)+'LINEST VARS'!$P$52*(12.73)+'LINEST VARS'!$O$52*($D$32^2)+'LINEST VARS'!$N$52*($B33^2)+'LINEST VARS'!$M$52*(4^2)+'LINEST VARS'!$L$52*(0.5^2)+'LINEST VARS'!$K$52*(12.73^2)+'LINEST VARS'!$J$52*($D$32*$B33)+'LINEST VARS'!$I$52*($D$32*4)+'LINEST VARS'!$H$52*($D$32*0.5)+'LINEST VARS'!$G$52*($D$32*12.73)+'LINEST VARS'!$F$52*($B33*4)+'LINEST VARS'!$E$52*($B33*0.5)+'LINEST VARS'!$D$52*($B33*12.73)+'LINEST VARS'!$C$52*(4*0.5)+'LINEST VARS'!$B$52*(4*12.73)+'LINEST VARS'!$A$52*(0.5*12.73)</f>
        <v>4.4499999999999993</v>
      </c>
      <c r="E33" s="51">
        <f>'LINEST VARS'!$U$52+'LINEST VARS'!$T$52*($E$32)+'LINEST VARS'!$S$52*($B33)+'LINEST VARS'!$R$52*(4)+'LINEST VARS'!$Q$52*(0.5)+'LINEST VARS'!$P$52*(12.73)+'LINEST VARS'!$O$52*($E$32^2)+'LINEST VARS'!$N$52*($B33^2)+'LINEST VARS'!$M$52*(4^2)+'LINEST VARS'!$L$52*(0.5^2)+'LINEST VARS'!$K$52*(12.73^2)+'LINEST VARS'!$J$52*($E$32*$B33)+'LINEST VARS'!$I$52*($E$32*4)+'LINEST VARS'!$H$52*($E$32*0.5)+'LINEST VARS'!$G$52*($E$32*12.73)+'LINEST VARS'!$F$52*($B33*4)+'LINEST VARS'!$E$52*($B33*0.5)+'LINEST VARS'!$D$52*($B33*12.73)+'LINEST VARS'!$C$52*(4*0.5)+'LINEST VARS'!$B$52*(4*12.73)+'LINEST VARS'!$A$52*(0.5*12.73)</f>
        <v>4.4499999999999993</v>
      </c>
      <c r="F33" s="51">
        <f>'LINEST VARS'!$U$52+'LINEST VARS'!$T$52*($F$32)+'LINEST VARS'!$S$52*($B33)+'LINEST VARS'!$R$52*(4)+'LINEST VARS'!$Q$52*(0.5)+'LINEST VARS'!$P$52*(12.73)+'LINEST VARS'!$O$52*($F$32^2)+'LINEST VARS'!$N$52*($B33^2)+'LINEST VARS'!$M$52*(4^2)+'LINEST VARS'!$L$52*(0.5^2)+'LINEST VARS'!$K$52*(12.73^2)+'LINEST VARS'!$J$52*($F$32*$B33)+'LINEST VARS'!$I$52*($F$32*4)+'LINEST VARS'!$H$52*($F$32*0.5)+'LINEST VARS'!$G$52*($F$32*12.73)+'LINEST VARS'!$F$52*($B33*4)+'LINEST VARS'!$E$52*($B33*0.5)+'LINEST VARS'!$D$52*($B33*12.73)+'LINEST VARS'!$C$52*(4*0.5)+'LINEST VARS'!$B$52*(4*12.73)+'LINEST VARS'!$A$52*(0.5*12.73)</f>
        <v>4.4499999999999993</v>
      </c>
      <c r="G33" s="51">
        <f>'LINEST VARS'!$U$52+'LINEST VARS'!$T$52*($G$32)+'LINEST VARS'!$S$52*($B33)+'LINEST VARS'!$R$52*(4)+'LINEST VARS'!$Q$52*(0.5)+'LINEST VARS'!$P$52*(12.73)+'LINEST VARS'!$O$52*($G$32^2)+'LINEST VARS'!$N$52*($B33^2)+'LINEST VARS'!$M$52*(4^2)+'LINEST VARS'!$L$52*(0.5^2)+'LINEST VARS'!$K$52*(12.73^2)+'LINEST VARS'!$J$52*($G$32*$B33)+'LINEST VARS'!$I$52*($G$32*4)+'LINEST VARS'!$H$52*($G$32*0.5)+'LINEST VARS'!$G$52*($G$32*12.73)+'LINEST VARS'!$F$52*($B33*4)+'LINEST VARS'!$E$52*($B33*0.5)+'LINEST VARS'!$D$52*($B33*12.73)+'LINEST VARS'!$C$52*(4*0.5)+'LINEST VARS'!$B$52*(4*12.73)+'LINEST VARS'!$A$52*(0.5*12.73)</f>
        <v>4.4499999999999993</v>
      </c>
      <c r="H33" s="51">
        <f>'LINEST VARS'!$U$52+'LINEST VARS'!$T$52*($H$32)+'LINEST VARS'!$S$52*($B33)+'LINEST VARS'!$R$52*(4)+'LINEST VARS'!$Q$52*(0.5)+'LINEST VARS'!$P$52*(12.73)+'LINEST VARS'!$O$52*($H$32^2)+'LINEST VARS'!$N$52*($B33^2)+'LINEST VARS'!$M$52*(4^2)+'LINEST VARS'!$L$52*(0.5^2)+'LINEST VARS'!$K$52*(12.73^2)+'LINEST VARS'!$J$52*($H$32*$B33)+'LINEST VARS'!$I$52*($H$32*4)+'LINEST VARS'!$H$52*($H$32*0.5)+'LINEST VARS'!$G$52*($H$32*12.73)+'LINEST VARS'!$F$52*($B33*4)+'LINEST VARS'!$E$52*($B33*0.5)+'LINEST VARS'!$D$52*($B33*12.73)+'LINEST VARS'!$C$52*(4*0.5)+'LINEST VARS'!$B$52*(4*12.73)+'LINEST VARS'!$A$52*(0.5*12.73)</f>
        <v>4.4499999999999993</v>
      </c>
      <c r="I33" s="51">
        <f>'LINEST VARS'!$U$52+'LINEST VARS'!$T$52*($I$32)+'LINEST VARS'!$S$52*($B33)+'LINEST VARS'!$R$52*(4)+'LINEST VARS'!$Q$52*(0.5)+'LINEST VARS'!$P$52*(12.73)+'LINEST VARS'!$O$52*($I$32^2)+'LINEST VARS'!$N$52*($B33^2)+'LINEST VARS'!$M$52*(4^2)+'LINEST VARS'!$L$52*(0.5^2)+'LINEST VARS'!$K$52*(12.73^2)+'LINEST VARS'!$J$52*($I$32*$B33)+'LINEST VARS'!$I$52*($I$32*4)+'LINEST VARS'!$H$52*($I$32*0.5)+'LINEST VARS'!$G$52*($I$32*12.73)+'LINEST VARS'!$F$52*($B33*4)+'LINEST VARS'!$E$52*($B33*0.5)+'LINEST VARS'!$D$52*($B33*12.73)+'LINEST VARS'!$C$52*(4*0.5)+'LINEST VARS'!$B$52*(4*12.73)+'LINEST VARS'!$A$52*(0.5*12.73)</f>
        <v>4.4499999999999993</v>
      </c>
      <c r="J33" s="51">
        <f>'LINEST VARS'!$U$52+'LINEST VARS'!$T$52*($J$32)+'LINEST VARS'!$S$52*($B33)+'LINEST VARS'!$R$52*(4)+'LINEST VARS'!$Q$52*(0.5)+'LINEST VARS'!$P$52*(12.73)+'LINEST VARS'!$O$52*($J$32^2)+'LINEST VARS'!$N$52*($B33^2)+'LINEST VARS'!$M$52*(4^2)+'LINEST VARS'!$L$52*(0.5^2)+'LINEST VARS'!$K$52*(12.73^2)+'LINEST VARS'!$J$52*($J$32*$B33)+'LINEST VARS'!$I$52*($J$32*4)+'LINEST VARS'!$H$52*($J$32*0.5)+'LINEST VARS'!$G$52*($J$32*12.73)+'LINEST VARS'!$F$52*($B33*4)+'LINEST VARS'!$E$52*($B33*0.5)+'LINEST VARS'!$D$52*($B33*12.73)+'LINEST VARS'!$C$52*(4*0.5)+'LINEST VARS'!$B$52*(4*12.73)+'LINEST VARS'!$A$52*(0.5*12.73)</f>
        <v>4.4499999999999993</v>
      </c>
      <c r="K33" s="51">
        <f>'LINEST VARS'!$U$52+'LINEST VARS'!$T$52*($K$32)+'LINEST VARS'!$S$52*($B33)+'LINEST VARS'!$R$52*(4)+'LINEST VARS'!$Q$52*(0.5)+'LINEST VARS'!$P$52*(12.73)+'LINEST VARS'!$O$52*($K$32^2)+'LINEST VARS'!$N$52*($B33^2)+'LINEST VARS'!$M$52*(4^2)+'LINEST VARS'!$L$52*(0.5^2)+'LINEST VARS'!$K$52*(12.73^2)+'LINEST VARS'!$J$52*($K$32*$B33)+'LINEST VARS'!$I$52*($K$32*4)+'LINEST VARS'!$H$52*($K$32*0.5)+'LINEST VARS'!$G$52*($K$32*12.73)+'LINEST VARS'!$F$52*($B33*4)+'LINEST VARS'!$E$52*($B33*0.5)+'LINEST VARS'!$D$52*($B33*12.73)+'LINEST VARS'!$C$52*(4*0.5)+'LINEST VARS'!$B$52*(4*12.73)+'LINEST VARS'!$A$52*(0.5*12.73)</f>
        <v>4.4499999999999993</v>
      </c>
      <c r="L33" s="51">
        <f>'LINEST VARS'!$U$52+'LINEST VARS'!$T$52*($L$32)+'LINEST VARS'!$S$52*($B33)+'LINEST VARS'!$R$52*(4)+'LINEST VARS'!$Q$52*(0.5)+'LINEST VARS'!$P$52*(12.73)+'LINEST VARS'!$O$52*($L$32^2)+'LINEST VARS'!$N$52*($B33^2)+'LINEST VARS'!$M$52*(4^2)+'LINEST VARS'!$L$52*(0.5^2)+'LINEST VARS'!$K$52*(12.73^2)+'LINEST VARS'!$J$52*($L$32*$B33)+'LINEST VARS'!$I$52*($L$32*4)+'LINEST VARS'!$H$52*($L$32*0.5)+'LINEST VARS'!$G$52*($L$32*12.73)+'LINEST VARS'!$F$52*($B33*4)+'LINEST VARS'!$E$52*($B33*0.5)+'LINEST VARS'!$D$52*($B33*12.73)+'LINEST VARS'!$C$52*(4*0.5)+'LINEST VARS'!$B$52*(4*12.73)+'LINEST VARS'!$A$52*(0.5*12.73)</f>
        <v>4.4499999999999993</v>
      </c>
      <c r="M33" s="51">
        <f>'LINEST VARS'!$U$52+'LINEST VARS'!$T$52*($M$32)+'LINEST VARS'!$S$52*($B33)+'LINEST VARS'!$R$52*(4)+'LINEST VARS'!$Q$52*(0.5)+'LINEST VARS'!$P$52*(12.73)+'LINEST VARS'!$O$52*($M$32^2)+'LINEST VARS'!$N$52*($B33^2)+'LINEST VARS'!$M$52*(4^2)+'LINEST VARS'!$L$52*(0.5^2)+'LINEST VARS'!$K$52*(12.73^2)+'LINEST VARS'!$J$52*($M$32*$B33)+'LINEST VARS'!$I$52*($M$32*4)+'LINEST VARS'!$H$52*($M$32*0.5)+'LINEST VARS'!$G$52*($M$32*12.73)+'LINEST VARS'!$F$52*($B33*4)+'LINEST VARS'!$E$52*($B33*0.5)+'LINEST VARS'!$D$52*($B33*12.73)+'LINEST VARS'!$C$52*(4*0.5)+'LINEST VARS'!$B$52*(4*12.73)+'LINEST VARS'!$A$52*(0.5*12.73)</f>
        <v>4.4499999999999993</v>
      </c>
      <c r="N33" s="51">
        <f>'LINEST VARS'!$U$52+'LINEST VARS'!$T$52*($N$32)+'LINEST VARS'!$S$52*($B33)+'LINEST VARS'!$R$52*(4)+'LINEST VARS'!$Q$52*(0.5)+'LINEST VARS'!$P$52*(12.73)+'LINEST VARS'!$O$52*($N$32^2)+'LINEST VARS'!$N$52*($B33^2)+'LINEST VARS'!$M$52*(4^2)+'LINEST VARS'!$L$52*(0.5^2)+'LINEST VARS'!$K$52*(12.73^2)+'LINEST VARS'!$J$52*($N$32*$B33)+'LINEST VARS'!$I$52*($N$32*4)+'LINEST VARS'!$H$52*($N$32*0.5)+'LINEST VARS'!$G$52*($N$32*12.73)+'LINEST VARS'!$F$52*($B33*4)+'LINEST VARS'!$E$52*($B33*0.5)+'LINEST VARS'!$D$52*($B33*12.73)+'LINEST VARS'!$C$52*(4*0.5)+'LINEST VARS'!$B$52*(4*12.73)+'LINEST VARS'!$A$52*(0.5*12.73)</f>
        <v>4.4499999999999993</v>
      </c>
      <c r="O33" s="51">
        <f>'LINEST VARS'!$U$52+'LINEST VARS'!$T$52*($O$32)+'LINEST VARS'!$S$52*($B33)+'LINEST VARS'!$R$52*(4)+'LINEST VARS'!$Q$52*(0.5)+'LINEST VARS'!$P$52*(12.73)+'LINEST VARS'!$O$52*($O$32^2)+'LINEST VARS'!$N$52*($B33^2)+'LINEST VARS'!$M$52*(4^2)+'LINEST VARS'!$L$52*(0.5^2)+'LINEST VARS'!$K$52*(12.73^2)+'LINEST VARS'!$J$52*($O$32*$B33)+'LINEST VARS'!$I$52*($O$32*4)+'LINEST VARS'!$H$52*($O$32*0.5)+'LINEST VARS'!$G$52*($O$32*12.73)+'LINEST VARS'!$F$52*($B33*4)+'LINEST VARS'!$E$52*($B33*0.5)+'LINEST VARS'!$D$52*($B33*12.73)+'LINEST VARS'!$C$52*(4*0.5)+'LINEST VARS'!$B$52*(4*12.73)+'LINEST VARS'!$A$52*(0.5*12.73)</f>
        <v>4.4499999999999993</v>
      </c>
      <c r="P33" s="51">
        <f>'LINEST VARS'!$U$52+'LINEST VARS'!$T$52*($P$32)+'LINEST VARS'!$S$52*($B33)+'LINEST VARS'!$R$52*(4)+'LINEST VARS'!$Q$52*(0.5)+'LINEST VARS'!$P$52*(12.73)+'LINEST VARS'!$O$52*($P$32^2)+'LINEST VARS'!$N$52*($B33^2)+'LINEST VARS'!$M$52*(4^2)+'LINEST VARS'!$L$52*(0.5^2)+'LINEST VARS'!$K$52*(12.73^2)+'LINEST VARS'!$J$52*($P$32*$B33)+'LINEST VARS'!$I$52*($P$32*4)+'LINEST VARS'!$H$52*($P$32*0.5)+'LINEST VARS'!$G$52*($P$32*12.73)+'LINEST VARS'!$F$52*($B33*4)+'LINEST VARS'!$E$52*($B33*0.5)+'LINEST VARS'!$D$52*($B33*12.73)+'LINEST VARS'!$C$52*(4*0.5)+'LINEST VARS'!$B$52*(4*12.73)+'LINEST VARS'!$A$52*(0.5*12.73)</f>
        <v>4.4499999999999993</v>
      </c>
      <c r="Q33" s="51">
        <f>'LINEST VARS'!$U$52+'LINEST VARS'!$T$52*($Q$32)+'LINEST VARS'!$S$52*($B33)+'LINEST VARS'!$R$52*(4)+'LINEST VARS'!$Q$52*(0.5)+'LINEST VARS'!$P$52*(12.73)+'LINEST VARS'!$O$52*($Q$32^2)+'LINEST VARS'!$N$52*($B33^2)+'LINEST VARS'!$M$52*(4^2)+'LINEST VARS'!$L$52*(0.5^2)+'LINEST VARS'!$K$52*(12.73^2)+'LINEST VARS'!$J$52*($Q$32*$B33)+'LINEST VARS'!$I$52*($Q$32*4)+'LINEST VARS'!$H$52*($Q$32*0.5)+'LINEST VARS'!$G$52*($Q$32*12.73)+'LINEST VARS'!$F$52*($B33*4)+'LINEST VARS'!$E$52*($B33*0.5)+'LINEST VARS'!$D$52*($B33*12.73)+'LINEST VARS'!$C$52*(4*0.5)+'LINEST VARS'!$B$52*(4*12.73)+'LINEST VARS'!$A$52*(0.5*12.73)</f>
        <v>4.4499999999999993</v>
      </c>
      <c r="R33" s="51">
        <f>'LINEST VARS'!$U$52+'LINEST VARS'!$T$52*($R$32)+'LINEST VARS'!$S$52*($B33)+'LINEST VARS'!$R$52*(4)+'LINEST VARS'!$Q$52*(0.5)+'LINEST VARS'!$P$52*(12.73)+'LINEST VARS'!$O$52*($R$32^2)+'LINEST VARS'!$N$52*($B33^2)+'LINEST VARS'!$M$52*(4^2)+'LINEST VARS'!$L$52*(0.5^2)+'LINEST VARS'!$K$52*(12.73^2)+'LINEST VARS'!$J$52*($R$32*$B33)+'LINEST VARS'!$I$52*($R$32*4)+'LINEST VARS'!$H$52*($R$32*0.5)+'LINEST VARS'!$G$52*($R$32*12.73)+'LINEST VARS'!$F$52*($B33*4)+'LINEST VARS'!$E$52*($B33*0.5)+'LINEST VARS'!$D$52*($B33*12.73)+'LINEST VARS'!$C$52*(4*0.5)+'LINEST VARS'!$B$52*(4*12.73)+'LINEST VARS'!$A$52*(0.5*12.73)</f>
        <v>4.4499999999999993</v>
      </c>
      <c r="S33" s="51">
        <f>'LINEST VARS'!$U$52+'LINEST VARS'!$T$52*($S$32)+'LINEST VARS'!$S$52*($B33)+'LINEST VARS'!$R$52*(4)+'LINEST VARS'!$Q$52*(0.5)+'LINEST VARS'!$P$52*(12.73)+'LINEST VARS'!$O$52*($S$32^2)+'LINEST VARS'!$N$52*($B33^2)+'LINEST VARS'!$M$52*(4^2)+'LINEST VARS'!$L$52*(0.5^2)+'LINEST VARS'!$K$52*(12.73^2)+'LINEST VARS'!$J$52*($S$32*$B33)+'LINEST VARS'!$I$52*($S$32*4)+'LINEST VARS'!$H$52*($S$32*0.5)+'LINEST VARS'!$G$52*($S$32*12.73)+'LINEST VARS'!$F$52*($B33*4)+'LINEST VARS'!$E$52*($B33*0.5)+'LINEST VARS'!$D$52*($B33*12.73)+'LINEST VARS'!$C$52*(4*0.5)+'LINEST VARS'!$B$52*(4*12.73)+'LINEST VARS'!$A$52*(0.5*12.73)</f>
        <v>4.4499999999999993</v>
      </c>
      <c r="T33" s="51">
        <f>'LINEST VARS'!$U$52+'LINEST VARS'!$T$52*($T$32)+'LINEST VARS'!$S$52*($B33)+'LINEST VARS'!$R$52*(4)+'LINEST VARS'!$Q$52*(0.5)+'LINEST VARS'!$P$52*(12.73)+'LINEST VARS'!$O$52*($T$32^2)+'LINEST VARS'!$N$52*($B33^2)+'LINEST VARS'!$M$52*(4^2)+'LINEST VARS'!$L$52*(0.5^2)+'LINEST VARS'!$K$52*(12.73^2)+'LINEST VARS'!$J$52*($T$32*$B33)+'LINEST VARS'!$I$52*($T$32*4)+'LINEST VARS'!$H$52*($T$32*0.5)+'LINEST VARS'!$G$52*($T$32*12.73)+'LINEST VARS'!$F$52*($B33*4)+'LINEST VARS'!$E$52*($B33*0.5)+'LINEST VARS'!$D$52*($B33*12.73)+'LINEST VARS'!$C$52*(4*0.5)+'LINEST VARS'!$B$52*(4*12.73)+'LINEST VARS'!$A$52*(0.5*12.73)</f>
        <v>4.4499999999999993</v>
      </c>
      <c r="U33" s="51">
        <f>'LINEST VARS'!$U$52+'LINEST VARS'!$T$52*($U$32)+'LINEST VARS'!$S$52*($B33)+'LINEST VARS'!$R$52*(4)+'LINEST VARS'!$Q$52*(0.5)+'LINEST VARS'!$P$52*(12.73)+'LINEST VARS'!$O$52*($U$32^2)+'LINEST VARS'!$N$52*($B33^2)+'LINEST VARS'!$M$52*(4^2)+'LINEST VARS'!$L$52*(0.5^2)+'LINEST VARS'!$K$52*(12.73^2)+'LINEST VARS'!$J$52*($U$32*$B33)+'LINEST VARS'!$I$52*($U$32*4)+'LINEST VARS'!$H$52*($U$32*0.5)+'LINEST VARS'!$G$52*($U$32*12.73)+'LINEST VARS'!$F$52*($B33*4)+'LINEST VARS'!$E$52*($B33*0.5)+'LINEST VARS'!$D$52*($B33*12.73)+'LINEST VARS'!$C$52*(4*0.5)+'LINEST VARS'!$B$52*(4*12.73)+'LINEST VARS'!$A$52*(0.5*12.73)</f>
        <v>4.4499999999999993</v>
      </c>
      <c r="V33" s="51">
        <f>'LINEST VARS'!$U$52+'LINEST VARS'!$T$52*($V$32)+'LINEST VARS'!$S$52*($B33)+'LINEST VARS'!$R$52*(4)+'LINEST VARS'!$Q$52*(0.5)+'LINEST VARS'!$P$52*(12.73)+'LINEST VARS'!$O$52*($V$32^2)+'LINEST VARS'!$N$52*($B33^2)+'LINEST VARS'!$M$52*(4^2)+'LINEST VARS'!$L$52*(0.5^2)+'LINEST VARS'!$K$52*(12.73^2)+'LINEST VARS'!$J$52*($V$32*$B33)+'LINEST VARS'!$I$52*($V$32*4)+'LINEST VARS'!$H$52*($V$32*0.5)+'LINEST VARS'!$G$52*($V$32*12.73)+'LINEST VARS'!$F$52*($B33*4)+'LINEST VARS'!$E$52*($B33*0.5)+'LINEST VARS'!$D$52*($B33*12.73)+'LINEST VARS'!$C$52*(4*0.5)+'LINEST VARS'!$B$52*(4*12.73)+'LINEST VARS'!$A$52*(0.5*12.73)</f>
        <v>4.45</v>
      </c>
      <c r="W33" s="52">
        <f>'LINEST VARS'!$U$52+'LINEST VARS'!$T$52*($W$32)+'LINEST VARS'!$S$52*($B33)+'LINEST VARS'!$R$52*(4)+'LINEST VARS'!$Q$52*(0.5)+'LINEST VARS'!$P$52*(12.73)+'LINEST VARS'!$O$52*($W$32^2)+'LINEST VARS'!$N$52*($B33^2)+'LINEST VARS'!$M$52*(4^2)+'LINEST VARS'!$L$52*(0.5^2)+'LINEST VARS'!$K$52*(12.73^2)+'LINEST VARS'!$J$52*($W$32*$B33)+'LINEST VARS'!$I$52*($W$32*4)+'LINEST VARS'!$H$52*($W$32*0.5)+'LINEST VARS'!$G$52*($W$32*12.73)+'LINEST VARS'!$F$52*($B33*4)+'LINEST VARS'!$E$52*($B33*0.5)+'LINEST VARS'!$D$52*($B33*12.73)+'LINEST VARS'!$C$52*(4*0.5)+'LINEST VARS'!$B$52*(4*12.73)+'LINEST VARS'!$A$52*(0.5*12.73)</f>
        <v>4.45</v>
      </c>
      <c r="Z33" s="45">
        <v>7.4</v>
      </c>
      <c r="AA33" s="51">
        <f>'LINEST VARS'!$U$54+'LINEST VARS'!$T$54*($AA$32)+'LINEST VARS'!$S$54*($Z33)+'LINEST VARS'!$R$54*(4)+'LINEST VARS'!$Q$54*(0.5)+'LINEST VARS'!$P$54*(12.73)+'LINEST VARS'!$O$54*($AA$32^2)+'LINEST VARS'!$N$54*($Z33^2)+'LINEST VARS'!$M$54*(4^2)+'LINEST VARS'!$L$54*(0.5^2)+'LINEST VARS'!$K$54*(12.73^2)+'LINEST VARS'!$J$54*($AA$32*$Z33)+'LINEST VARS'!$I$54*($AA$32*4)+'LINEST VARS'!$H$54*($AA$32*0.5)+'LINEST VARS'!$G$54*($AA$32*12.73)+'LINEST VARS'!$F$54*($Z33*4)+'LINEST VARS'!$E$54*($Z33*0.5)+'LINEST VARS'!$D$54*($Z33*12.73)+'LINEST VARS'!$C$54*(4*0.5)+'LINEST VARS'!$B$54*(4*12.73)+'LINEST VARS'!$A$54*(0.5*12.73)</f>
        <v>3.9750000000000001</v>
      </c>
      <c r="AB33" s="51">
        <f>'LINEST VARS'!$U$54+'LINEST VARS'!$T$54*($AB$32)+'LINEST VARS'!$S$54*($Z33)+'LINEST VARS'!$R$54*(4)+'LINEST VARS'!$Q$54*(0.5)+'LINEST VARS'!$P$54*(12.73)+'LINEST VARS'!$O$54*($AB$32^2)+'LINEST VARS'!$N$54*($Z33^2)+'LINEST VARS'!$M$54*(4^2)+'LINEST VARS'!$L$54*(0.5^2)+'LINEST VARS'!$K$54*(12.73^2)+'LINEST VARS'!$J$54*($AB$32*$Z33)+'LINEST VARS'!$I$54*($AB$32*4)+'LINEST VARS'!$H$54*($AB$32*0.5)+'LINEST VARS'!$G$54*($AB$32*12.73)+'LINEST VARS'!$F$54*($Z33*4)+'LINEST VARS'!$E$54*($Z33*0.5)+'LINEST VARS'!$D$54*($Z33*12.73)+'LINEST VARS'!$C$54*(4*0.5)+'LINEST VARS'!$B$54*(4*12.73)+'LINEST VARS'!$A$54*(0.5*12.73)</f>
        <v>3.9750000000000001</v>
      </c>
      <c r="AC33" s="51">
        <f>'LINEST VARS'!$U$54+'LINEST VARS'!$T$54*($AC$32)+'LINEST VARS'!$S$54*($Z33)+'LINEST VARS'!$R$54*(4)+'LINEST VARS'!$Q$54*(0.5)+'LINEST VARS'!$P$54*(12.73)+'LINEST VARS'!$O$54*($AC$32^2)+'LINEST VARS'!$N$54*($Z33^2)+'LINEST VARS'!$M$54*(4^2)+'LINEST VARS'!$L$54*(0.5^2)+'LINEST VARS'!$K$54*(12.73^2)+'LINEST VARS'!$J$54*($AC$32*$Z33)+'LINEST VARS'!$I$54*($AC$32*4)+'LINEST VARS'!$H$54*($AC$32*0.5)+'LINEST VARS'!$G$54*($AC$32*12.73)+'LINEST VARS'!$F$54*($Z33*4)+'LINEST VARS'!$E$54*($Z33*0.5)+'LINEST VARS'!$D$54*($Z33*12.73)+'LINEST VARS'!$C$54*(4*0.5)+'LINEST VARS'!$B$54*(4*12.73)+'LINEST VARS'!$A$54*(0.5*12.73)</f>
        <v>3.9750000000000001</v>
      </c>
      <c r="AD33" s="51">
        <f>'LINEST VARS'!$U$54+'LINEST VARS'!$T$54*($AD$32)+'LINEST VARS'!$S$54*($Z33)+'LINEST VARS'!$R$54*(4)+'LINEST VARS'!$Q$54*(0.5)+'LINEST VARS'!$P$54*(12.73)+'LINEST VARS'!$O$54*($AD$32^2)+'LINEST VARS'!$N$54*($Z33^2)+'LINEST VARS'!$M$54*(4^2)+'LINEST VARS'!$L$54*(0.5^2)+'LINEST VARS'!$K$54*(12.73^2)+'LINEST VARS'!$J$54*($AD$32*$Z33)+'LINEST VARS'!$I$54*($AD$32*4)+'LINEST VARS'!$H$54*($AD$32*0.5)+'LINEST VARS'!$G$54*($AD$32*12.73)+'LINEST VARS'!$F$54*($Z33*4)+'LINEST VARS'!$E$54*($Z33*0.5)+'LINEST VARS'!$D$54*($Z33*12.73)+'LINEST VARS'!$C$54*(4*0.5)+'LINEST VARS'!$B$54*(4*12.73)+'LINEST VARS'!$A$54*(0.5*12.73)</f>
        <v>3.9750000000000001</v>
      </c>
      <c r="AE33" s="51">
        <f>'LINEST VARS'!$U$54+'LINEST VARS'!$T$54*($AE$32)+'LINEST VARS'!$S$54*($Z33)+'LINEST VARS'!$R$54*(4)+'LINEST VARS'!$Q$54*(0.5)+'LINEST VARS'!$P$54*(12.73)+'LINEST VARS'!$O$54*($AE$32^2)+'LINEST VARS'!$N$54*($Z33^2)+'LINEST VARS'!$M$54*(4^2)+'LINEST VARS'!$L$54*(0.5^2)+'LINEST VARS'!$K$54*(12.73^2)+'LINEST VARS'!$J$54*($AE$32*$Z33)+'LINEST VARS'!$I$54*($AE$32*4)+'LINEST VARS'!$H$54*($AE$32*0.5)+'LINEST VARS'!$G$54*($AE$32*12.73)+'LINEST VARS'!$F$54*($Z33*4)+'LINEST VARS'!$E$54*($Z33*0.5)+'LINEST VARS'!$D$54*($Z33*12.73)+'LINEST VARS'!$C$54*(4*0.5)+'LINEST VARS'!$B$54*(4*12.73)+'LINEST VARS'!$A$54*(0.5*12.73)</f>
        <v>3.9750000000000001</v>
      </c>
      <c r="AF33" s="51">
        <f>'LINEST VARS'!$U$54+'LINEST VARS'!$T$54*($AF$32)+'LINEST VARS'!$S$54*($Z33)+'LINEST VARS'!$R$54*(4)+'LINEST VARS'!$Q$54*(0.5)+'LINEST VARS'!$P$54*(12.73)+'LINEST VARS'!$O$54*($AF$32^2)+'LINEST VARS'!$N$54*($Z33^2)+'LINEST VARS'!$M$54*(4^2)+'LINEST VARS'!$L$54*(0.5^2)+'LINEST VARS'!$K$54*(12.73^2)+'LINEST VARS'!$J$54*($AF$32*$Z33)+'LINEST VARS'!$I$54*($AF$32*4)+'LINEST VARS'!$H$54*($AF$32*0.5)+'LINEST VARS'!$G$54*($AF$32*12.73)+'LINEST VARS'!$F$54*($Z33*4)+'LINEST VARS'!$E$54*($Z33*0.5)+'LINEST VARS'!$D$54*($Z33*12.73)+'LINEST VARS'!$C$54*(4*0.5)+'LINEST VARS'!$B$54*(4*12.73)+'LINEST VARS'!$A$54*(0.5*12.73)</f>
        <v>3.9750000000000001</v>
      </c>
      <c r="AG33" s="51">
        <f>'LINEST VARS'!$U$54+'LINEST VARS'!$T$54*($AG$32)+'LINEST VARS'!$S$54*($Z33)+'LINEST VARS'!$R$54*(4)+'LINEST VARS'!$Q$54*(0.5)+'LINEST VARS'!$P$54*(12.73)+'LINEST VARS'!$O$54*($AG$32^2)+'LINEST VARS'!$N$54*($Z33^2)+'LINEST VARS'!$M$54*(4^2)+'LINEST VARS'!$L$54*(0.5^2)+'LINEST VARS'!$K$54*(12.73^2)+'LINEST VARS'!$J$54*($AG$32*$Z33)+'LINEST VARS'!$I$54*($AG$32*4)+'LINEST VARS'!$H$54*($AG$32*0.5)+'LINEST VARS'!$G$54*($AG$32*12.73)+'LINEST VARS'!$F$54*($Z33*4)+'LINEST VARS'!$E$54*($Z33*0.5)+'LINEST VARS'!$D$54*($Z33*12.73)+'LINEST VARS'!$C$54*(4*0.5)+'LINEST VARS'!$B$54*(4*12.73)+'LINEST VARS'!$A$54*(0.5*12.73)</f>
        <v>3.9750000000000001</v>
      </c>
      <c r="AH33" s="51">
        <f>'LINEST VARS'!$U$54+'LINEST VARS'!$T$54*($AH$32)+'LINEST VARS'!$S$54*($Z33)+'LINEST VARS'!$R$54*(4)+'LINEST VARS'!$Q$54*(0.5)+'LINEST VARS'!$P$54*(12.73)+'LINEST VARS'!$O$54*($AH$32^2)+'LINEST VARS'!$N$54*($Z33^2)+'LINEST VARS'!$M$54*(4^2)+'LINEST VARS'!$L$54*(0.5^2)+'LINEST VARS'!$K$54*(12.73^2)+'LINEST VARS'!$J$54*($AH$32*$Z33)+'LINEST VARS'!$I$54*($AH$32*4)+'LINEST VARS'!$H$54*($AH$32*0.5)+'LINEST VARS'!$G$54*($AH$32*12.73)+'LINEST VARS'!$F$54*($Z33*4)+'LINEST VARS'!$E$54*($Z33*0.5)+'LINEST VARS'!$D$54*($Z33*12.73)+'LINEST VARS'!$C$54*(4*0.5)+'LINEST VARS'!$B$54*(4*12.73)+'LINEST VARS'!$A$54*(0.5*12.73)</f>
        <v>3.9750000000000001</v>
      </c>
      <c r="AI33" s="51">
        <f>'LINEST VARS'!$U$54+'LINEST VARS'!$T$54*($AI$32)+'LINEST VARS'!$S$54*($Z33)+'LINEST VARS'!$R$54*(4)+'LINEST VARS'!$Q$54*(0.5)+'LINEST VARS'!$P$54*(12.73)+'LINEST VARS'!$O$54*($AI$32^2)+'LINEST VARS'!$N$54*($Z33^2)+'LINEST VARS'!$M$54*(4^2)+'LINEST VARS'!$L$54*(0.5^2)+'LINEST VARS'!$K$54*(12.73^2)+'LINEST VARS'!$J$54*($AI$32*$Z33)+'LINEST VARS'!$I$54*($AI$32*4)+'LINEST VARS'!$H$54*($AI$32*0.5)+'LINEST VARS'!$G$54*($AI$32*12.73)+'LINEST VARS'!$F$54*($Z33*4)+'LINEST VARS'!$E$54*($Z33*0.5)+'LINEST VARS'!$D$54*($Z33*12.73)+'LINEST VARS'!$C$54*(4*0.5)+'LINEST VARS'!$B$54*(4*12.73)+'LINEST VARS'!$A$54*(0.5*12.73)</f>
        <v>3.9750000000000001</v>
      </c>
      <c r="AJ33" s="51">
        <f>'LINEST VARS'!$U$54+'LINEST VARS'!$T$54*($AJ$32)+'LINEST VARS'!$S$54*($Z33)+'LINEST VARS'!$R$54*(4)+'LINEST VARS'!$Q$54*(0.5)+'LINEST VARS'!$P$54*(12.73)+'LINEST VARS'!$O$54*($AJ$32^2)+'LINEST VARS'!$N$54*($Z33^2)+'LINEST VARS'!$M$54*(4^2)+'LINEST VARS'!$L$54*(0.5^2)+'LINEST VARS'!$K$54*(12.73^2)+'LINEST VARS'!$J$54*($AJ$32*$Z33)+'LINEST VARS'!$I$54*($AJ$32*4)+'LINEST VARS'!$H$54*($AJ$32*0.5)+'LINEST VARS'!$G$54*($AJ$32*12.73)+'LINEST VARS'!$F$54*($Z33*4)+'LINEST VARS'!$E$54*($Z33*0.5)+'LINEST VARS'!$D$54*($Z33*12.73)+'LINEST VARS'!$C$54*(4*0.5)+'LINEST VARS'!$B$54*(4*12.73)+'LINEST VARS'!$A$54*(0.5*12.73)</f>
        <v>3.9750000000000001</v>
      </c>
      <c r="AK33" s="51">
        <f>'LINEST VARS'!$U$54+'LINEST VARS'!$T$54*($AK$32)+'LINEST VARS'!$S$54*($Z33)+'LINEST VARS'!$R$54*(4)+'LINEST VARS'!$Q$54*(0.5)+'LINEST VARS'!$P$54*(12.73)+'LINEST VARS'!$O$54*($AK$32^2)+'LINEST VARS'!$N$54*($Z33^2)+'LINEST VARS'!$M$54*(4^2)+'LINEST VARS'!$L$54*(0.5^2)+'LINEST VARS'!$K$54*(12.73^2)+'LINEST VARS'!$J$54*($AK$32*$Z33)+'LINEST VARS'!$I$54*($AK$32*4)+'LINEST VARS'!$H$54*($AK$32*0.5)+'LINEST VARS'!$G$54*($AK$32*12.73)+'LINEST VARS'!$F$54*($Z33*4)+'LINEST VARS'!$E$54*($Z33*0.5)+'LINEST VARS'!$D$54*($Z33*12.73)+'LINEST VARS'!$C$54*(4*0.5)+'LINEST VARS'!$B$54*(4*12.73)+'LINEST VARS'!$A$54*(0.5*12.73)</f>
        <v>3.9750000000000001</v>
      </c>
      <c r="AL33" s="51">
        <f>'LINEST VARS'!$U$54+'LINEST VARS'!$T$54*($AL$32)+'LINEST VARS'!$S$54*($Z33)+'LINEST VARS'!$R$54*(4)+'LINEST VARS'!$Q$54*(0.5)+'LINEST VARS'!$P$54*(12.73)+'LINEST VARS'!$O$54*($AL$32^2)+'LINEST VARS'!$N$54*($Z33^2)+'LINEST VARS'!$M$54*(4^2)+'LINEST VARS'!$L$54*(0.5^2)+'LINEST VARS'!$K$54*(12.73^2)+'LINEST VARS'!$J$54*($AL$32*$Z33)+'LINEST VARS'!$I$54*($AL$32*4)+'LINEST VARS'!$H$54*($AL$32*0.5)+'LINEST VARS'!$G$54*($AL$32*12.73)+'LINEST VARS'!$F$54*($Z33*4)+'LINEST VARS'!$E$54*($Z33*0.5)+'LINEST VARS'!$D$54*($Z33*12.73)+'LINEST VARS'!$C$54*(4*0.5)+'LINEST VARS'!$B$54*(4*12.73)+'LINEST VARS'!$A$54*(0.5*12.73)</f>
        <v>3.9750000000000001</v>
      </c>
      <c r="AM33" s="51">
        <f>'LINEST VARS'!$U$54+'LINEST VARS'!$T$54*($AM$32)+'LINEST VARS'!$S$54*($Z33)+'LINEST VARS'!$R$54*(4)+'LINEST VARS'!$Q$54*(0.5)+'LINEST VARS'!$P$54*(12.73)+'LINEST VARS'!$O$54*($AM$32^2)+'LINEST VARS'!$N$54*($Z33^2)+'LINEST VARS'!$M$54*(4^2)+'LINEST VARS'!$L$54*(0.5^2)+'LINEST VARS'!$K$54*(12.73^2)+'LINEST VARS'!$J$54*($AM$32*$Z33)+'LINEST VARS'!$I$54*($AM$32*4)+'LINEST VARS'!$H$54*($AM$32*0.5)+'LINEST VARS'!$G$54*($AM$32*12.73)+'LINEST VARS'!$F$54*($Z33*4)+'LINEST VARS'!$E$54*($Z33*0.5)+'LINEST VARS'!$D$54*($Z33*12.73)+'LINEST VARS'!$C$54*(4*0.5)+'LINEST VARS'!$B$54*(4*12.73)+'LINEST VARS'!$A$54*(0.5*12.73)</f>
        <v>3.9750000000000001</v>
      </c>
      <c r="AN33" s="51">
        <f>'LINEST VARS'!$U$54+'LINEST VARS'!$T$54*($AN$32)+'LINEST VARS'!$S$54*($Z33)+'LINEST VARS'!$R$54*(4)+'LINEST VARS'!$Q$54*(0.5)+'LINEST VARS'!$P$54*(12.73)+'LINEST VARS'!$O$54*($AN$32^2)+'LINEST VARS'!$N$54*($Z33^2)+'LINEST VARS'!$M$54*(4^2)+'LINEST VARS'!$L$54*(0.5^2)+'LINEST VARS'!$K$54*(12.73^2)+'LINEST VARS'!$J$54*($AN$32*$Z33)+'LINEST VARS'!$I$54*($AN$32*4)+'LINEST VARS'!$H$54*($AN$32*0.5)+'LINEST VARS'!$G$54*($AN$32*12.73)+'LINEST VARS'!$F$54*($Z33*4)+'LINEST VARS'!$E$54*($Z33*0.5)+'LINEST VARS'!$D$54*($Z33*12.73)+'LINEST VARS'!$C$54*(4*0.5)+'LINEST VARS'!$B$54*(4*12.73)+'LINEST VARS'!$A$54*(0.5*12.73)</f>
        <v>3.9750000000000001</v>
      </c>
      <c r="AO33" s="51">
        <f>'LINEST VARS'!$U$54+'LINEST VARS'!$T$54*($AO$32)+'LINEST VARS'!$S$54*($Z33)+'LINEST VARS'!$R$54*(4)+'LINEST VARS'!$Q$54*(0.5)+'LINEST VARS'!$P$54*(12.73)+'LINEST VARS'!$O$54*($AO$32^2)+'LINEST VARS'!$N$54*($Z33^2)+'LINEST VARS'!$M$54*(4^2)+'LINEST VARS'!$L$54*(0.5^2)+'LINEST VARS'!$K$54*(12.73^2)+'LINEST VARS'!$J$54*($AO$32*$Z33)+'LINEST VARS'!$I$54*($AO$32*4)+'LINEST VARS'!$H$54*($AO$32*0.5)+'LINEST VARS'!$G$54*($AO$32*12.73)+'LINEST VARS'!$F$54*($Z33*4)+'LINEST VARS'!$E$54*($Z33*0.5)+'LINEST VARS'!$D$54*($Z33*12.73)+'LINEST VARS'!$C$54*(4*0.5)+'LINEST VARS'!$B$54*(4*12.73)+'LINEST VARS'!$A$54*(0.5*12.73)</f>
        <v>3.9750000000000001</v>
      </c>
      <c r="AP33" s="51">
        <f>'LINEST VARS'!$U$54+'LINEST VARS'!$T$54*($AP$32)+'LINEST VARS'!$S$54*($Z33)+'LINEST VARS'!$R$54*(4)+'LINEST VARS'!$Q$54*(0.5)+'LINEST VARS'!$P$54*(12.73)+'LINEST VARS'!$O$54*($AP$32^2)+'LINEST VARS'!$N$54*($Z33^2)+'LINEST VARS'!$M$54*(4^2)+'LINEST VARS'!$L$54*(0.5^2)+'LINEST VARS'!$K$54*(12.73^2)+'LINEST VARS'!$J$54*($AP$32*$Z33)+'LINEST VARS'!$I$54*($AP$32*4)+'LINEST VARS'!$H$54*($AP$32*0.5)+'LINEST VARS'!$G$54*($AP$32*12.73)+'LINEST VARS'!$F$54*($Z33*4)+'LINEST VARS'!$E$54*($Z33*0.5)+'LINEST VARS'!$D$54*($Z33*12.73)+'LINEST VARS'!$C$54*(4*0.5)+'LINEST VARS'!$B$54*(4*12.73)+'LINEST VARS'!$A$54*(0.5*12.73)</f>
        <v>3.9750000000000001</v>
      </c>
      <c r="AQ33" s="51">
        <f>'LINEST VARS'!$U$54+'LINEST VARS'!$T$54*($AQ$32)+'LINEST VARS'!$S$54*($Z33)+'LINEST VARS'!$R$54*(4)+'LINEST VARS'!$Q$54*(0.5)+'LINEST VARS'!$P$54*(12.73)+'LINEST VARS'!$O$54*($AQ$32^2)+'LINEST VARS'!$N$54*($Z33^2)+'LINEST VARS'!$M$54*(4^2)+'LINEST VARS'!$L$54*(0.5^2)+'LINEST VARS'!$K$54*(12.73^2)+'LINEST VARS'!$J$54*($AQ$32*$Z33)+'LINEST VARS'!$I$54*($AQ$32*4)+'LINEST VARS'!$H$54*($AQ$32*0.5)+'LINEST VARS'!$G$54*($AQ$32*12.73)+'LINEST VARS'!$F$54*($Z33*4)+'LINEST VARS'!$E$54*($Z33*0.5)+'LINEST VARS'!$D$54*($Z33*12.73)+'LINEST VARS'!$C$54*(4*0.5)+'LINEST VARS'!$B$54*(4*12.73)+'LINEST VARS'!$A$54*(0.5*12.73)</f>
        <v>3.9750000000000001</v>
      </c>
      <c r="AR33" s="51">
        <f>'LINEST VARS'!$U$54+'LINEST VARS'!$T$54*($AR$32)+'LINEST VARS'!$S$54*($Z33)+'LINEST VARS'!$R$54*(4)+'LINEST VARS'!$Q$54*(0.5)+'LINEST VARS'!$P$54*(12.73)+'LINEST VARS'!$O$54*($AR$32^2)+'LINEST VARS'!$N$54*($Z33^2)+'LINEST VARS'!$M$54*(4^2)+'LINEST VARS'!$L$54*(0.5^2)+'LINEST VARS'!$K$54*(12.73^2)+'LINEST VARS'!$J$54*($AR$32*$Z33)+'LINEST VARS'!$I$54*($AR$32*4)+'LINEST VARS'!$H$54*($AR$32*0.5)+'LINEST VARS'!$G$54*($AR$32*12.73)+'LINEST VARS'!$F$54*($Z33*4)+'LINEST VARS'!$E$54*($Z33*0.5)+'LINEST VARS'!$D$54*($Z33*12.73)+'LINEST VARS'!$C$54*(4*0.5)+'LINEST VARS'!$B$54*(4*12.73)+'LINEST VARS'!$A$54*(0.5*12.73)</f>
        <v>3.9750000000000001</v>
      </c>
      <c r="AS33" s="51">
        <f>'LINEST VARS'!$U$54+'LINEST VARS'!$T$54*($AS$32)+'LINEST VARS'!$S$54*($Z33)+'LINEST VARS'!$R$54*(4)+'LINEST VARS'!$Q$54*(0.5)+'LINEST VARS'!$P$54*(12.73)+'LINEST VARS'!$O$54*($AS$32^2)+'LINEST VARS'!$N$54*($Z33^2)+'LINEST VARS'!$M$54*(4^2)+'LINEST VARS'!$L$54*(0.5^2)+'LINEST VARS'!$K$54*(12.73^2)+'LINEST VARS'!$J$54*($AS$32*$Z33)+'LINEST VARS'!$I$54*($AS$32*4)+'LINEST VARS'!$H$54*($AS$32*0.5)+'LINEST VARS'!$G$54*($AS$32*12.73)+'LINEST VARS'!$F$54*($Z33*4)+'LINEST VARS'!$E$54*($Z33*0.5)+'LINEST VARS'!$D$54*($Z33*12.73)+'LINEST VARS'!$C$54*(4*0.5)+'LINEST VARS'!$B$54*(4*12.73)+'LINEST VARS'!$A$54*(0.5*12.73)</f>
        <v>3.9750000000000001</v>
      </c>
      <c r="AT33" s="51">
        <f>'LINEST VARS'!$U$54+'LINEST VARS'!$T$54*($AT$32)+'LINEST VARS'!$S$54*($Z33)+'LINEST VARS'!$R$54*(4)+'LINEST VARS'!$Q$54*(0.5)+'LINEST VARS'!$P$54*(12.73)+'LINEST VARS'!$O$54*($AT$32^2)+'LINEST VARS'!$N$54*($Z33^2)+'LINEST VARS'!$M$54*(4^2)+'LINEST VARS'!$L$54*(0.5^2)+'LINEST VARS'!$K$54*(12.73^2)+'LINEST VARS'!$J$54*($AT$32*$Z33)+'LINEST VARS'!$I$54*($AT$32*4)+'LINEST VARS'!$H$54*($AT$32*0.5)+'LINEST VARS'!$G$54*($AT$32*12.73)+'LINEST VARS'!$F$54*($Z33*4)+'LINEST VARS'!$E$54*($Z33*0.5)+'LINEST VARS'!$D$54*($Z33*12.73)+'LINEST VARS'!$C$54*(4*0.5)+'LINEST VARS'!$B$54*(4*12.73)+'LINEST VARS'!$A$54*(0.5*12.73)</f>
        <v>3.9750000000000005</v>
      </c>
      <c r="AU33" s="52">
        <f>'LINEST VARS'!$U$54+'LINEST VARS'!$T$54*($AU$32)+'LINEST VARS'!$S$54*($Z33)+'LINEST VARS'!$R$54*(4)+'LINEST VARS'!$Q$54*(0.5)+'LINEST VARS'!$P$54*(12.73)+'LINEST VARS'!$O$54*($AU$32^2)+'LINEST VARS'!$N$54*($Z33^2)+'LINEST VARS'!$M$54*(4^2)+'LINEST VARS'!$L$54*(0.5^2)+'LINEST VARS'!$K$54*(12.73^2)+'LINEST VARS'!$J$54*($AU$32*$Z33)+'LINEST VARS'!$I$54*($AU$32*4)+'LINEST VARS'!$H$54*($AU$32*0.5)+'LINEST VARS'!$G$54*($AU$32*12.73)+'LINEST VARS'!$F$54*($Z33*4)+'LINEST VARS'!$E$54*($Z33*0.5)+'LINEST VARS'!$D$54*($Z33*12.73)+'LINEST VARS'!$C$54*(4*0.5)+'LINEST VARS'!$B$54*(4*12.73)+'LINEST VARS'!$A$54*(0.5*12.73)</f>
        <v>3.9750000000000005</v>
      </c>
      <c r="AZ33" s="45">
        <v>0</v>
      </c>
      <c r="BA33" s="51">
        <f>'LINEST VARS'!$U$52+'LINEST VARS'!$T$52*(8)+'LINEST VARS'!$S$52*(8)+'LINEST VARS'!$R$52*($BA$32)+'LINEST VARS'!$Q$52*($AZ33)+'LINEST VARS'!$P$52*(12.73)+'LINEST VARS'!$O$52*(8^2)+'LINEST VARS'!$N$52*(8^2)+'LINEST VARS'!$M$52*($BA$32^2)+'LINEST VARS'!$L$52*($AZ33^2)+'LINEST VARS'!$K$52*(12.73^2)+'LINEST VARS'!$J$52*(8*8)+'LINEST VARS'!$I$52*(8*$BA$32)+'LINEST VARS'!$H$52*(8*$AZ33)+'LINEST VARS'!$G$52*(8*12.73)+'LINEST VARS'!$F$52*(8*$BA$32)+'LINEST VARS'!$E$52*(8*$AZ33)+'LINEST VARS'!$D$52*(8*12.73)+'LINEST VARS'!$C$52*($BA$32*$AZ33)+'LINEST VARS'!$B$52*($BA$32*12.73)+'LINEST VARS'!$A$52*($AZ33*12.73)</f>
        <v>4.4999999999999982</v>
      </c>
      <c r="BB33" s="51">
        <f>'LINEST VARS'!$U$52+'LINEST VARS'!$T$52*(8)+'LINEST VARS'!$S$52*(8)+'LINEST VARS'!$R$52*($BB$32)+'LINEST VARS'!$Q$52*($AZ33)+'LINEST VARS'!$P$52*(12.73)+'LINEST VARS'!$O$52*(8^2)+'LINEST VARS'!$N$52*(8^2)+'LINEST VARS'!$M$52*($BB$32^2)+'LINEST VARS'!$L$52*($AZ33^2)+'LINEST VARS'!$K$52*(12.73^2)+'LINEST VARS'!$J$52*(8*8)+'LINEST VARS'!$I$52*(8*$BB$32)+'LINEST VARS'!$H$52*(8*$AZ33)+'LINEST VARS'!$G$52*(8*12.73)+'LINEST VARS'!$F$52*(8*$BB$32)+'LINEST VARS'!$E$52*(8*$AZ33)+'LINEST VARS'!$D$52*(8*12.73)+'LINEST VARS'!$C$52*($BB$32*$AZ33)+'LINEST VARS'!$B$52*($BB$32*12.73)+'LINEST VARS'!$A$52*($AZ33*12.73)</f>
        <v>4.4999999999999982</v>
      </c>
      <c r="BC33" s="51">
        <f>'LINEST VARS'!$U$52+'LINEST VARS'!$T$52*(8)+'LINEST VARS'!$S$52*(8)+'LINEST VARS'!$R$52*($BC$32)+'LINEST VARS'!$Q$52*($AZ33)+'LINEST VARS'!$P$52*(12.73)+'LINEST VARS'!$O$52*(8^2)+'LINEST VARS'!$N$52*(8^2)+'LINEST VARS'!$M$52*($BC$32^2)+'LINEST VARS'!$L$52*($AZ33^2)+'LINEST VARS'!$K$52*(12.73^2)+'LINEST VARS'!$J$52*(8*8)+'LINEST VARS'!$I$52*(8*$BC$32)+'LINEST VARS'!$H$52*(8*$AZ33)+'LINEST VARS'!$G$52*(8*12.73)+'LINEST VARS'!$F$52*(8*$BC$32)+'LINEST VARS'!$E$52*(8*$AZ33)+'LINEST VARS'!$D$52*(8*12.73)+'LINEST VARS'!$C$52*($BC$32*$AZ33)+'LINEST VARS'!$B$52*($BC$32*12.73)+'LINEST VARS'!$A$52*($AZ33*12.73)</f>
        <v>4.4999999999999982</v>
      </c>
      <c r="BD33" s="51">
        <f>'LINEST VARS'!$U$52+'LINEST VARS'!$T$52*(8)+'LINEST VARS'!$S$52*(8)+'LINEST VARS'!$R$52*($BD$32)+'LINEST VARS'!$Q$52*($AZ33)+'LINEST VARS'!$P$52*(12.73)+'LINEST VARS'!$O$52*(8^2)+'LINEST VARS'!$N$52*(8^2)+'LINEST VARS'!$M$52*($BD$32^2)+'LINEST VARS'!$L$52*($AZ33^2)+'LINEST VARS'!$K$52*(12.73^2)+'LINEST VARS'!$J$52*(8*8)+'LINEST VARS'!$I$52*(8*$BD$32)+'LINEST VARS'!$H$52*(8*$AZ33)+'LINEST VARS'!$G$52*(8*12.73)+'LINEST VARS'!$F$52*(8*$BD$32)+'LINEST VARS'!$E$52*(8*$AZ33)+'LINEST VARS'!$D$52*(8*12.73)+'LINEST VARS'!$C$52*($BD$32*$AZ33)+'LINEST VARS'!$B$52*($BD$32*12.73)+'LINEST VARS'!$A$52*($AZ33*12.73)</f>
        <v>4.4999999999999982</v>
      </c>
      <c r="BE33" s="51">
        <f>'LINEST VARS'!$U$52+'LINEST VARS'!$T$52*(8)+'LINEST VARS'!$S$52*(8)+'LINEST VARS'!$R$52*($BE$32)+'LINEST VARS'!$Q$52*($AZ33)+'LINEST VARS'!$P$52*(12.73)+'LINEST VARS'!$O$52*(8^2)+'LINEST VARS'!$N$52*(8^2)+'LINEST VARS'!$M$52*($BE$32^2)+'LINEST VARS'!$L$52*($AZ33^2)+'LINEST VARS'!$K$52*(12.73^2)+'LINEST VARS'!$J$52*(8*8)+'LINEST VARS'!$I$52*(8*$BE$32)+'LINEST VARS'!$H$52*(8*$AZ33)+'LINEST VARS'!$G$52*(8*12.73)+'LINEST VARS'!$F$52*(8*$BE$32)+'LINEST VARS'!$E$52*(8*$AZ33)+'LINEST VARS'!$D$52*(8*12.73)+'LINEST VARS'!$C$52*($BE$32*$AZ33)+'LINEST VARS'!$B$52*($BE$32*12.73)+'LINEST VARS'!$A$52*($AZ33*12.73)</f>
        <v>4.4999999999999982</v>
      </c>
      <c r="BF33" s="51">
        <f>'LINEST VARS'!$U$52+'LINEST VARS'!$T$52*(8)+'LINEST VARS'!$S$52*(8)+'LINEST VARS'!$R$52*($BF$32)+'LINEST VARS'!$Q$52*($AZ33)+'LINEST VARS'!$P$52*(12.73)+'LINEST VARS'!$O$52*(8^2)+'LINEST VARS'!$N$52*(8^2)+'LINEST VARS'!$M$52*($BF$32^2)+'LINEST VARS'!$L$52*($AZ33^2)+'LINEST VARS'!$K$52*(12.73^2)+'LINEST VARS'!$J$52*(8*8)+'LINEST VARS'!$I$52*(8*$BF$32)+'LINEST VARS'!$H$52*(8*$AZ33)+'LINEST VARS'!$G$52*(8*12.73)+'LINEST VARS'!$F$52*(8*$BF$32)+'LINEST VARS'!$E$52*(8*$AZ33)+'LINEST VARS'!$D$52*(8*12.73)+'LINEST VARS'!$C$52*($BF$32*$AZ33)+'LINEST VARS'!$B$52*($BF$32*12.73)+'LINEST VARS'!$A$52*($AZ33*12.73)</f>
        <v>4.4999999999999982</v>
      </c>
      <c r="BG33" s="51">
        <f>'LINEST VARS'!$U$52+'LINEST VARS'!$T$52*(8)+'LINEST VARS'!$S$52*(8)+'LINEST VARS'!$R$52*($BG$32)+'LINEST VARS'!$Q$52*($AZ33)+'LINEST VARS'!$P$52*(12.73)+'LINEST VARS'!$O$52*(8^2)+'LINEST VARS'!$N$52*(8^2)+'LINEST VARS'!$M$52*($BG$32^2)+'LINEST VARS'!$L$52*($AZ33^2)+'LINEST VARS'!$K$52*(12.73^2)+'LINEST VARS'!$J$52*(8*8)+'LINEST VARS'!$I$52*(8*$BG$32)+'LINEST VARS'!$H$52*(8*$AZ33)+'LINEST VARS'!$G$52*(8*12.73)+'LINEST VARS'!$F$52*(8*$BG$32)+'LINEST VARS'!$E$52*(8*$AZ33)+'LINEST VARS'!$D$52*(8*12.73)+'LINEST VARS'!$C$52*($BG$32*$AZ33)+'LINEST VARS'!$B$52*($BG$32*12.73)+'LINEST VARS'!$A$52*($AZ33*12.73)</f>
        <v>4.4999999999999982</v>
      </c>
      <c r="BH33" s="51">
        <f>'LINEST VARS'!$U$52+'LINEST VARS'!$T$52*(8)+'LINEST VARS'!$S$52*(8)+'LINEST VARS'!$R$52*($BH$32)+'LINEST VARS'!$Q$52*($AZ33)+'LINEST VARS'!$P$52*(12.73)+'LINEST VARS'!$O$52*(8^2)+'LINEST VARS'!$N$52*(8^2)+'LINEST VARS'!$M$52*($BH$32^2)+'LINEST VARS'!$L$52*($AZ33^2)+'LINEST VARS'!$K$52*(12.73^2)+'LINEST VARS'!$J$52*(8*8)+'LINEST VARS'!$I$52*(8*$BH$32)+'LINEST VARS'!$H$52*(8*$AZ33)+'LINEST VARS'!$G$52*(8*12.73)+'LINEST VARS'!$F$52*(8*$BH$32)+'LINEST VARS'!$E$52*(8*$AZ33)+'LINEST VARS'!$D$52*(8*12.73)+'LINEST VARS'!$C$52*($BH$32*$AZ33)+'LINEST VARS'!$B$52*($BH$32*12.73)+'LINEST VARS'!$A$52*($AZ33*12.73)</f>
        <v>4.4999999999999982</v>
      </c>
      <c r="BI33" s="51">
        <f>'LINEST VARS'!$U$52+'LINEST VARS'!$T$52*(8)+'LINEST VARS'!$S$52*(8)+'LINEST VARS'!$R$52*($BI$32)+'LINEST VARS'!$Q$52*($AZ33)+'LINEST VARS'!$P$52*(12.73)+'LINEST VARS'!$O$52*(8^2)+'LINEST VARS'!$N$52*(8^2)+'LINEST VARS'!$M$52*($BI$32^2)+'LINEST VARS'!$L$52*($AZ33^2)+'LINEST VARS'!$K$52*(12.73^2)+'LINEST VARS'!$J$52*(8*8)+'LINEST VARS'!$I$52*(8*$BI$32)+'LINEST VARS'!$H$52*(8*$AZ33)+'LINEST VARS'!$G$52*(8*12.73)+'LINEST VARS'!$F$52*(8*$BI$32)+'LINEST VARS'!$E$52*(8*$AZ33)+'LINEST VARS'!$D$52*(8*12.73)+'LINEST VARS'!$C$52*($BI$32*$AZ33)+'LINEST VARS'!$B$52*($BI$32*12.73)+'LINEST VARS'!$A$52*($AZ33*12.73)</f>
        <v>4.4999999999999982</v>
      </c>
      <c r="BJ33" s="51">
        <f>'LINEST VARS'!$U$52+'LINEST VARS'!$T$52*(8)+'LINEST VARS'!$S$52*(8)+'LINEST VARS'!$R$52*($BJ$32)+'LINEST VARS'!$Q$52*($AZ33)+'LINEST VARS'!$P$52*(12.73)+'LINEST VARS'!$O$52*(8^2)+'LINEST VARS'!$N$52*(8^2)+'LINEST VARS'!$M$52*($BJ$32^2)+'LINEST VARS'!$L$52*($AZ33^2)+'LINEST VARS'!$K$52*(12.73^2)+'LINEST VARS'!$J$52*(8*8)+'LINEST VARS'!$I$52*(8*$BJ$32)+'LINEST VARS'!$H$52*(8*$AZ33)+'LINEST VARS'!$G$52*(8*12.73)+'LINEST VARS'!$F$52*(8*$BJ$32)+'LINEST VARS'!$E$52*(8*$AZ33)+'LINEST VARS'!$D$52*(8*12.73)+'LINEST VARS'!$C$52*($BJ$32*$AZ33)+'LINEST VARS'!$B$52*($BJ$32*12.73)+'LINEST VARS'!$A$52*($AZ33*12.73)</f>
        <v>4.4999999999999982</v>
      </c>
      <c r="BK33" s="51">
        <f>'LINEST VARS'!$U$52+'LINEST VARS'!$T$52*(8)+'LINEST VARS'!$S$52*(8)+'LINEST VARS'!$R$52*($BK$32)+'LINEST VARS'!$Q$52*($AZ33)+'LINEST VARS'!$P$52*(12.73)+'LINEST VARS'!$O$52*(8^2)+'LINEST VARS'!$N$52*(8^2)+'LINEST VARS'!$M$52*($BK$32^2)+'LINEST VARS'!$L$52*($AZ33^2)+'LINEST VARS'!$K$52*(12.73^2)+'LINEST VARS'!$J$52*(8*8)+'LINEST VARS'!$I$52*(8*$BK$32)+'LINEST VARS'!$H$52*(8*$AZ33)+'LINEST VARS'!$G$52*(8*12.73)+'LINEST VARS'!$F$52*(8*$BK$32)+'LINEST VARS'!$E$52*(8*$AZ33)+'LINEST VARS'!$D$52*(8*12.73)+'LINEST VARS'!$C$52*($BK$32*$AZ33)+'LINEST VARS'!$B$52*($BK$32*12.73)+'LINEST VARS'!$A$52*($AZ33*12.73)</f>
        <v>4.4999999999999982</v>
      </c>
      <c r="BL33" s="51">
        <f>'LINEST VARS'!$U$52+'LINEST VARS'!$T$52*(8)+'LINEST VARS'!$S$52*(8)+'LINEST VARS'!$R$52*($BL$32)+'LINEST VARS'!$Q$52*($AZ33)+'LINEST VARS'!$P$52*(12.73)+'LINEST VARS'!$O$52*(8^2)+'LINEST VARS'!$N$52*(8^2)+'LINEST VARS'!$M$52*($BL$32^2)+'LINEST VARS'!$L$52*($AZ33^2)+'LINEST VARS'!$K$52*(12.73^2)+'LINEST VARS'!$J$52*(8*8)+'LINEST VARS'!$I$52*(8*$BL$32)+'LINEST VARS'!$H$52*(8*$AZ33)+'LINEST VARS'!$G$52*(8*12.73)+'LINEST VARS'!$F$52*(8*$BL$32)+'LINEST VARS'!$E$52*(8*$AZ33)+'LINEST VARS'!$D$52*(8*12.73)+'LINEST VARS'!$C$52*($BL$32*$AZ33)+'LINEST VARS'!$B$52*($BL$32*12.73)+'LINEST VARS'!$A$52*($AZ33*12.73)</f>
        <v>4.4999999999999982</v>
      </c>
      <c r="BM33" s="51">
        <f>'LINEST VARS'!$U$52+'LINEST VARS'!$T$52*(8)+'LINEST VARS'!$S$52*(8)+'LINEST VARS'!$R$52*($BM$32)+'LINEST VARS'!$Q$52*($AZ33)+'LINEST VARS'!$P$52*(12.73)+'LINEST VARS'!$O$52*(8^2)+'LINEST VARS'!$N$52*(8^2)+'LINEST VARS'!$M$52*($BM$32^2)+'LINEST VARS'!$L$52*($AZ33^2)+'LINEST VARS'!$K$52*(12.73^2)+'LINEST VARS'!$J$52*(8*8)+'LINEST VARS'!$I$52*(8*$BM$32)+'LINEST VARS'!$H$52*(8*$AZ33)+'LINEST VARS'!$G$52*(8*12.73)+'LINEST VARS'!$F$52*(8*$BM$32)+'LINEST VARS'!$E$52*(8*$AZ33)+'LINEST VARS'!$D$52*(8*12.73)+'LINEST VARS'!$C$52*($BM$32*$AZ33)+'LINEST VARS'!$B$52*($BM$32*12.73)+'LINEST VARS'!$A$52*($AZ33*12.73)</f>
        <v>4.4999999999999982</v>
      </c>
      <c r="BN33" s="51">
        <f>'LINEST VARS'!$U$52+'LINEST VARS'!$T$52*(8)+'LINEST VARS'!$S$52*(8)+'LINEST VARS'!$R$52*($BN$32)+'LINEST VARS'!$Q$52*($AZ33)+'LINEST VARS'!$P$52*(12.73)+'LINEST VARS'!$O$52*(8^2)+'LINEST VARS'!$N$52*(8^2)+'LINEST VARS'!$M$52*($BN$32^2)+'LINEST VARS'!$L$52*($AZ33^2)+'LINEST VARS'!$K$52*(12.73^2)+'LINEST VARS'!$J$52*(8*8)+'LINEST VARS'!$I$52*(8*$BN$32)+'LINEST VARS'!$H$52*(8*$AZ33)+'LINEST VARS'!$G$52*(8*12.73)+'LINEST VARS'!$F$52*(8*$BN$32)+'LINEST VARS'!$E$52*(8*$AZ33)+'LINEST VARS'!$D$52*(8*12.73)+'LINEST VARS'!$C$52*($BN$32*$AZ33)+'LINEST VARS'!$B$52*($BN$32*12.73)+'LINEST VARS'!$A$52*($AZ33*12.73)</f>
        <v>4.4999999999999982</v>
      </c>
      <c r="BO33" s="51">
        <f>'LINEST VARS'!$U$52+'LINEST VARS'!$T$52*(8)+'LINEST VARS'!$S$52*(8)+'LINEST VARS'!$R$52*($BO$32)+'LINEST VARS'!$Q$52*($AZ33)+'LINEST VARS'!$P$52*(12.73)+'LINEST VARS'!$O$52*(8^2)+'LINEST VARS'!$N$52*(8^2)+'LINEST VARS'!$M$52*($BO$32^2)+'LINEST VARS'!$L$52*($AZ33^2)+'LINEST VARS'!$K$52*(12.73^2)+'LINEST VARS'!$J$52*(8*8)+'LINEST VARS'!$I$52*(8*$BO$32)+'LINEST VARS'!$H$52*(8*$AZ33)+'LINEST VARS'!$G$52*(8*12.73)+'LINEST VARS'!$F$52*(8*$BO$32)+'LINEST VARS'!$E$52*(8*$AZ33)+'LINEST VARS'!$D$52*(8*12.73)+'LINEST VARS'!$C$52*($BO$32*$AZ33)+'LINEST VARS'!$B$52*($BO$32*12.73)+'LINEST VARS'!$A$52*($AZ33*12.73)</f>
        <v>4.4999999999999982</v>
      </c>
      <c r="BP33" s="51">
        <f>'LINEST VARS'!$U$52+'LINEST VARS'!$T$52*(8)+'LINEST VARS'!$S$52*(8)+'LINEST VARS'!$R$52*($BP$32)+'LINEST VARS'!$Q$52*($AZ33)+'LINEST VARS'!$P$52*(12.73)+'LINEST VARS'!$O$52*(8^2)+'LINEST VARS'!$N$52*(8^2)+'LINEST VARS'!$M$52*($BP$32^2)+'LINEST VARS'!$L$52*($AZ33^2)+'LINEST VARS'!$K$52*(12.73^2)+'LINEST VARS'!$J$52*(8*8)+'LINEST VARS'!$I$52*(8*$BP$32)+'LINEST VARS'!$H$52*(8*$AZ33)+'LINEST VARS'!$G$52*(8*12.73)+'LINEST VARS'!$F$52*(8*$BP$32)+'LINEST VARS'!$E$52*(8*$AZ33)+'LINEST VARS'!$D$52*(8*12.73)+'LINEST VARS'!$C$52*($BP$32*$AZ33)+'LINEST VARS'!$B$52*($BP$32*12.73)+'LINEST VARS'!$A$52*($AZ33*12.73)</f>
        <v>4.4999999999999982</v>
      </c>
      <c r="BQ33" s="51">
        <f>'LINEST VARS'!$U$52+'LINEST VARS'!$T$52*(8)+'LINEST VARS'!$S$52*(8)+'LINEST VARS'!$R$52*($BQ$32)+'LINEST VARS'!$Q$52*($AZ33)+'LINEST VARS'!$P$52*(12.73)+'LINEST VARS'!$O$52*(8^2)+'LINEST VARS'!$N$52*(8^2)+'LINEST VARS'!$M$52*($BQ$32^2)+'LINEST VARS'!$L$52*($AZ33^2)+'LINEST VARS'!$K$52*(12.73^2)+'LINEST VARS'!$J$52*(8*8)+'LINEST VARS'!$I$52*(8*$BQ$32)+'LINEST VARS'!$H$52*(8*$AZ33)+'LINEST VARS'!$G$52*(8*12.73)+'LINEST VARS'!$F$52*(8*$BQ$32)+'LINEST VARS'!$E$52*(8*$AZ33)+'LINEST VARS'!$D$52*(8*12.73)+'LINEST VARS'!$C$52*($BQ$32*$AZ33)+'LINEST VARS'!$B$52*($BQ$32*12.73)+'LINEST VARS'!$A$52*($AZ33*12.73)</f>
        <v>4.4999999999999982</v>
      </c>
      <c r="BR33" s="51">
        <f>'LINEST VARS'!$U$52+'LINEST VARS'!$T$52*(8)+'LINEST VARS'!$S$52*(8)+'LINEST VARS'!$R$52*($BR$32)+'LINEST VARS'!$Q$52*($AZ33)+'LINEST VARS'!$P$52*(12.73)+'LINEST VARS'!$O$52*(8^2)+'LINEST VARS'!$N$52*(8^2)+'LINEST VARS'!$M$52*($BR$32^2)+'LINEST VARS'!$L$52*($AZ33^2)+'LINEST VARS'!$K$52*(12.73^2)+'LINEST VARS'!$J$52*(8*8)+'LINEST VARS'!$I$52*(8*$BR$32)+'LINEST VARS'!$H$52*(8*$AZ33)+'LINEST VARS'!$G$52*(8*12.73)+'LINEST VARS'!$F$52*(8*$BR$32)+'LINEST VARS'!$E$52*(8*$AZ33)+'LINEST VARS'!$D$52*(8*12.73)+'LINEST VARS'!$C$52*($BR$32*$AZ33)+'LINEST VARS'!$B$52*($BR$32*12.73)+'LINEST VARS'!$A$52*($AZ33*12.73)</f>
        <v>4.4999999999999982</v>
      </c>
      <c r="BS33" s="51">
        <f>'LINEST VARS'!$U$52+'LINEST VARS'!$T$52*(8)+'LINEST VARS'!$S$52*(8)+'LINEST VARS'!$R$52*($BS$32)+'LINEST VARS'!$Q$52*($AZ33)+'LINEST VARS'!$P$52*(12.73)+'LINEST VARS'!$O$52*(8^2)+'LINEST VARS'!$N$52*(8^2)+'LINEST VARS'!$M$52*($BS$32^2)+'LINEST VARS'!$L$52*($AZ33^2)+'LINEST VARS'!$K$52*(12.73^2)+'LINEST VARS'!$J$52*(8*8)+'LINEST VARS'!$I$52*(8*$BS$32)+'LINEST VARS'!$H$52*(8*$AZ33)+'LINEST VARS'!$G$52*(8*12.73)+'LINEST VARS'!$F$52*(8*$BS$32)+'LINEST VARS'!$E$52*(8*$AZ33)+'LINEST VARS'!$D$52*(8*12.73)+'LINEST VARS'!$C$52*($BS$32*$AZ33)+'LINEST VARS'!$B$52*($BS$32*12.73)+'LINEST VARS'!$A$52*($AZ33*12.73)</f>
        <v>4.4999999999999982</v>
      </c>
      <c r="BT33" s="51">
        <f>'LINEST VARS'!$U$52+'LINEST VARS'!$T$52*(8)+'LINEST VARS'!$S$52*(8)+'LINEST VARS'!$R$52*($BT$32)+'LINEST VARS'!$Q$52*($AZ33)+'LINEST VARS'!$P$52*(12.73)+'LINEST VARS'!$O$52*(8^2)+'LINEST VARS'!$N$52*(8^2)+'LINEST VARS'!$M$52*($BT$32^2)+'LINEST VARS'!$L$52*($AZ33^2)+'LINEST VARS'!$K$52*(12.73^2)+'LINEST VARS'!$J$52*(8*8)+'LINEST VARS'!$I$52*(8*$BT$32)+'LINEST VARS'!$H$52*(8*$AZ33)+'LINEST VARS'!$G$52*(8*12.73)+'LINEST VARS'!$F$52*(8*$BT$32)+'LINEST VARS'!$E$52*(8*$AZ33)+'LINEST VARS'!$D$52*(8*12.73)+'LINEST VARS'!$C$52*($BT$32*$AZ33)+'LINEST VARS'!$B$52*($BT$32*12.73)+'LINEST VARS'!$A$52*($AZ33*12.73)</f>
        <v>4.4999999999999982</v>
      </c>
      <c r="BU33" s="52">
        <f>'LINEST VARS'!$U$52+'LINEST VARS'!$T$52*(8)+'LINEST VARS'!$S$52*(8)+'LINEST VARS'!$R$52*($BU$32)+'LINEST VARS'!$Q$52*($AZ33)+'LINEST VARS'!$P$52*(12.73)+'LINEST VARS'!$O$52*(8^2)+'LINEST VARS'!$N$52*(8^2)+'LINEST VARS'!$M$52*($BU$32^2)+'LINEST VARS'!$L$52*($AZ33^2)+'LINEST VARS'!$K$52*(12.73^2)+'LINEST VARS'!$J$52*(8*8)+'LINEST VARS'!$I$52*(8*$BU$32)+'LINEST VARS'!$H$52*(8*$AZ33)+'LINEST VARS'!$G$52*(8*12.73)+'LINEST VARS'!$F$52*(8*$BU$32)+'LINEST VARS'!$E$52*(8*$AZ33)+'LINEST VARS'!$D$52*(8*12.73)+'LINEST VARS'!$C$52*($BU$32*$AZ33)+'LINEST VARS'!$B$52*($BU$32*12.73)+'LINEST VARS'!$A$52*($AZ33*12.73)</f>
        <v>4.4999999999999982</v>
      </c>
      <c r="BX33" s="45">
        <v>0</v>
      </c>
      <c r="BY33" s="51">
        <f>'LINEST VARS'!$U$54+'LINEST VARS'!$T$54*(8)+'LINEST VARS'!$S$54*(8)+'LINEST VARS'!$R$54*($BY$32)+'LINEST VARS'!$Q$54*($BX33)+'LINEST VARS'!$P$54*(12.73)+'LINEST VARS'!$O$54*(8^2)+'LINEST VARS'!$N$54*(8^2)+'LINEST VARS'!$M$54*($BY$32^2)+'LINEST VARS'!$L$54*($BX33^2)+'LINEST VARS'!$K$54*(12.73^2)+'LINEST VARS'!$J$54*(8*8)+'LINEST VARS'!$I$54*(8*$BY$32)+'LINEST VARS'!$H$54*(8*$BX33)+'LINEST VARS'!$G$54*(8*12.73)+'LINEST VARS'!$F$54*(8*$BY$32)+'LINEST VARS'!$E$54*(8*$BX33)+'LINEST VARS'!$D$54*(8*12.73)+'LINEST VARS'!$C$54*($BY$32*$BX33)+'LINEST VARS'!$B$54*($BY$32*12.73)+'LINEST VARS'!$A$54*($BX33*12.73)</f>
        <v>3.9999999999999996</v>
      </c>
      <c r="BZ33" s="51">
        <f>'LINEST VARS'!$U$54+'LINEST VARS'!$T$54*(8)+'LINEST VARS'!$S$54*(8)+'LINEST VARS'!$R$54*($BZ$32)+'LINEST VARS'!$Q$54*($BX33)+'LINEST VARS'!$P$54*(12.73)+'LINEST VARS'!$O$54*(8^2)+'LINEST VARS'!$N$54*(8^2)+'LINEST VARS'!$M$54*($BZ$32^2)+'LINEST VARS'!$L$54*($BX33^2)+'LINEST VARS'!$K$54*(12.73^2)+'LINEST VARS'!$J$54*(8*8)+'LINEST VARS'!$I$54*(8*$BZ$32)+'LINEST VARS'!$H$54*(8*$BX33)+'LINEST VARS'!$G$54*(8*12.73)+'LINEST VARS'!$F$54*(8*$BZ$32)+'LINEST VARS'!$E$54*(8*$BX33)+'LINEST VARS'!$D$54*(8*12.73)+'LINEST VARS'!$C$54*($BZ$32*$BX33)+'LINEST VARS'!$B$54*($BZ$32*12.73)+'LINEST VARS'!$A$54*($BX33*12.73)</f>
        <v>3.9999999999999996</v>
      </c>
      <c r="CA33" s="51">
        <f>'LINEST VARS'!$U$54+'LINEST VARS'!$T$54*(8)+'LINEST VARS'!$S$54*(8)+'LINEST VARS'!$R$54*($CA$32)+'LINEST VARS'!$Q$54*($BX33)+'LINEST VARS'!$P$54*(12.73)+'LINEST VARS'!$O$54*(8^2)+'LINEST VARS'!$N$54*(8^2)+'LINEST VARS'!$M$54*($CA$32^2)+'LINEST VARS'!$L$54*($BX33^2)+'LINEST VARS'!$K$54*(12.73^2)+'LINEST VARS'!$J$54*(8*8)+'LINEST VARS'!$I$54*(8*$CA$32)+'LINEST VARS'!$H$54*(8*$BX33)+'LINEST VARS'!$G$54*(8*12.73)+'LINEST VARS'!$F$54*(8*$CA$32)+'LINEST VARS'!$E$54*(8*$BX33)+'LINEST VARS'!$D$54*(8*12.73)+'LINEST VARS'!$C$54*($CA$32*$BX33)+'LINEST VARS'!$B$54*($CA$32*12.73)+'LINEST VARS'!$A$54*($BX33*12.73)</f>
        <v>3.9999999999999996</v>
      </c>
      <c r="CB33" s="51">
        <f>'LINEST VARS'!$U$54+'LINEST VARS'!$T$54*(8)+'LINEST VARS'!$S$54*(8)+'LINEST VARS'!$R$54*($CB$32)+'LINEST VARS'!$Q$54*($BX33)+'LINEST VARS'!$P$54*(12.73)+'LINEST VARS'!$O$54*(8^2)+'LINEST VARS'!$N$54*(8^2)+'LINEST VARS'!$M$54*($CB$32^2)+'LINEST VARS'!$L$54*($BX33^2)+'LINEST VARS'!$K$54*(12.73^2)+'LINEST VARS'!$J$54*(8*8)+'LINEST VARS'!$I$54*(8*$CB$32)+'LINEST VARS'!$H$54*(8*$BX33)+'LINEST VARS'!$G$54*(8*12.73)+'LINEST VARS'!$F$54*(8*$CB$32)+'LINEST VARS'!$E$54*(8*$BX33)+'LINEST VARS'!$D$54*(8*12.73)+'LINEST VARS'!$C$54*($CB$32*$BX33)+'LINEST VARS'!$B$54*($CB$32*12.73)+'LINEST VARS'!$A$54*($BX33*12.73)</f>
        <v>3.9999999999999996</v>
      </c>
      <c r="CC33" s="51">
        <f>'LINEST VARS'!$U$54+'LINEST VARS'!$T$54*(8)+'LINEST VARS'!$S$54*(8)+'LINEST VARS'!$R$54*($CC$32)+'LINEST VARS'!$Q$54*($BX33)+'LINEST VARS'!$P$54*(12.73)+'LINEST VARS'!$O$54*(8^2)+'LINEST VARS'!$N$54*(8^2)+'LINEST VARS'!$M$54*($CC$32^2)+'LINEST VARS'!$L$54*($BX33^2)+'LINEST VARS'!$K$54*(12.73^2)+'LINEST VARS'!$J$54*(8*8)+'LINEST VARS'!$I$54*(8*$CC$32)+'LINEST VARS'!$H$54*(8*$BX33)+'LINEST VARS'!$G$54*(8*12.73)+'LINEST VARS'!$F$54*(8*$CC$32)+'LINEST VARS'!$E$54*(8*$BX33)+'LINEST VARS'!$D$54*(8*12.73)+'LINEST VARS'!$C$54*($CC$32*$BX33)+'LINEST VARS'!$B$54*($CC$32*12.73)+'LINEST VARS'!$A$54*($BX33*12.73)</f>
        <v>3.9999999999999996</v>
      </c>
      <c r="CD33" s="51">
        <f>'LINEST VARS'!$U$54+'LINEST VARS'!$T$54*(8)+'LINEST VARS'!$S$54*(8)+'LINEST VARS'!$R$54*($CD$32)+'LINEST VARS'!$Q$54*($BX33)+'LINEST VARS'!$P$54*(12.73)+'LINEST VARS'!$O$54*(8^2)+'LINEST VARS'!$N$54*(8^2)+'LINEST VARS'!$M$54*($CD$32^2)+'LINEST VARS'!$L$54*($BX33^2)+'LINEST VARS'!$K$54*(12.73^2)+'LINEST VARS'!$J$54*(8*8)+'LINEST VARS'!$I$54*(8*$CD$32)+'LINEST VARS'!$H$54*(8*$BX33)+'LINEST VARS'!$G$54*(8*12.73)+'LINEST VARS'!$F$54*(8*$CD$32)+'LINEST VARS'!$E$54*(8*$BX33)+'LINEST VARS'!$D$54*(8*12.73)+'LINEST VARS'!$C$54*($CD$32*$BX33)+'LINEST VARS'!$B$54*($CD$32*12.73)+'LINEST VARS'!$A$54*($BX33*12.73)</f>
        <v>3.9999999999999996</v>
      </c>
      <c r="CE33" s="51">
        <f>'LINEST VARS'!$U$54+'LINEST VARS'!$T$54*(8)+'LINEST VARS'!$S$54*(8)+'LINEST VARS'!$R$54*($CE$32)+'LINEST VARS'!$Q$54*($BX33)+'LINEST VARS'!$P$54*(12.73)+'LINEST VARS'!$O$54*(8^2)+'LINEST VARS'!$N$54*(8^2)+'LINEST VARS'!$M$54*($CE$32^2)+'LINEST VARS'!$L$54*($BX33^2)+'LINEST VARS'!$K$54*(12.73^2)+'LINEST VARS'!$J$54*(8*8)+'LINEST VARS'!$I$54*(8*$CE$32)+'LINEST VARS'!$H$54*(8*$BX33)+'LINEST VARS'!$G$54*(8*12.73)+'LINEST VARS'!$F$54*(8*$CE$32)+'LINEST VARS'!$E$54*(8*$BX33)+'LINEST VARS'!$D$54*(8*12.73)+'LINEST VARS'!$C$54*($CE$32*$BX33)+'LINEST VARS'!$B$54*($CE$32*12.73)+'LINEST VARS'!$A$54*($BX33*12.73)</f>
        <v>3.9999999999999996</v>
      </c>
      <c r="CF33" s="51">
        <f>'LINEST VARS'!$U$54+'LINEST VARS'!$T$54*(8)+'LINEST VARS'!$S$54*(8)+'LINEST VARS'!$R$54*($CF$32)+'LINEST VARS'!$Q$54*($BX33)+'LINEST VARS'!$P$54*(12.73)+'LINEST VARS'!$O$54*(8^2)+'LINEST VARS'!$N$54*(8^2)+'LINEST VARS'!$M$54*($CF$32^2)+'LINEST VARS'!$L$54*($BX33^2)+'LINEST VARS'!$K$54*(12.73^2)+'LINEST VARS'!$J$54*(8*8)+'LINEST VARS'!$I$54*(8*$CF$32)+'LINEST VARS'!$H$54*(8*$BX33)+'LINEST VARS'!$G$54*(8*12.73)+'LINEST VARS'!$F$54*(8*$CF$32)+'LINEST VARS'!$E$54*(8*$BX33)+'LINEST VARS'!$D$54*(8*12.73)+'LINEST VARS'!$C$54*($CF$32*$BX33)+'LINEST VARS'!$B$54*($CF$32*12.73)+'LINEST VARS'!$A$54*($BX33*12.73)</f>
        <v>3.9999999999999996</v>
      </c>
      <c r="CG33" s="51">
        <f>'LINEST VARS'!$U$54+'LINEST VARS'!$T$54*(8)+'LINEST VARS'!$S$54*(8)+'LINEST VARS'!$R$54*($CG$32)+'LINEST VARS'!$Q$54*($BX33)+'LINEST VARS'!$P$54*(12.73)+'LINEST VARS'!$O$54*(8^2)+'LINEST VARS'!$N$54*(8^2)+'LINEST VARS'!$M$54*($CG$32^2)+'LINEST VARS'!$L$54*($BX33^2)+'LINEST VARS'!$K$54*(12.73^2)+'LINEST VARS'!$J$54*(8*8)+'LINEST VARS'!$I$54*(8*$CG$32)+'LINEST VARS'!$H$54*(8*$BX33)+'LINEST VARS'!$G$54*(8*12.73)+'LINEST VARS'!$F$54*(8*$CG$32)+'LINEST VARS'!$E$54*(8*$BX33)+'LINEST VARS'!$D$54*(8*12.73)+'LINEST VARS'!$C$54*($CG$32*$BX33)+'LINEST VARS'!$B$54*($CG$32*12.73)+'LINEST VARS'!$A$54*($BX33*12.73)</f>
        <v>3.9999999999999996</v>
      </c>
      <c r="CH33" s="51">
        <f>'LINEST VARS'!$U$54+'LINEST VARS'!$T$54*(8)+'LINEST VARS'!$S$54*(8)+'LINEST VARS'!$R$54*($CH$32)+'LINEST VARS'!$Q$54*($BX33)+'LINEST VARS'!$P$54*(12.73)+'LINEST VARS'!$O$54*(8^2)+'LINEST VARS'!$N$54*(8^2)+'LINEST VARS'!$M$54*($CH$32^2)+'LINEST VARS'!$L$54*($BX33^2)+'LINEST VARS'!$K$54*(12.73^2)+'LINEST VARS'!$J$54*(8*8)+'LINEST VARS'!$I$54*(8*$CH$32)+'LINEST VARS'!$H$54*(8*$BX33)+'LINEST VARS'!$G$54*(8*12.73)+'LINEST VARS'!$F$54*(8*$CH$32)+'LINEST VARS'!$E$54*(8*$BX33)+'LINEST VARS'!$D$54*(8*12.73)+'LINEST VARS'!$C$54*($CH$32*$BX33)+'LINEST VARS'!$B$54*($CH$32*12.73)+'LINEST VARS'!$A$54*($BX33*12.73)</f>
        <v>3.9999999999999996</v>
      </c>
      <c r="CI33" s="51">
        <f>'LINEST VARS'!$U$54+'LINEST VARS'!$T$54*(8)+'LINEST VARS'!$S$54*(8)+'LINEST VARS'!$R$54*($CI$32)+'LINEST VARS'!$Q$54*($BX33)+'LINEST VARS'!$P$54*(12.73)+'LINEST VARS'!$O$54*(8^2)+'LINEST VARS'!$N$54*(8^2)+'LINEST VARS'!$M$54*($CI$32^2)+'LINEST VARS'!$L$54*($BX33^2)+'LINEST VARS'!$K$54*(12.73^2)+'LINEST VARS'!$J$54*(8*8)+'LINEST VARS'!$I$54*(8*$CI$32)+'LINEST VARS'!$H$54*(8*$BX33)+'LINEST VARS'!$G$54*(8*12.73)+'LINEST VARS'!$F$54*(8*$CI$32)+'LINEST VARS'!$E$54*(8*$BX33)+'LINEST VARS'!$D$54*(8*12.73)+'LINEST VARS'!$C$54*($CI$32*$BX33)+'LINEST VARS'!$B$54*($CI$32*12.73)+'LINEST VARS'!$A$54*($BX33*12.73)</f>
        <v>3.9999999999999996</v>
      </c>
      <c r="CJ33" s="51">
        <f>'LINEST VARS'!$U$54+'LINEST VARS'!$T$54*(8)+'LINEST VARS'!$S$54*(8)+'LINEST VARS'!$R$54*($CJ$32)+'LINEST VARS'!$Q$54*($BX33)+'LINEST VARS'!$P$54*(12.73)+'LINEST VARS'!$O$54*(8^2)+'LINEST VARS'!$N$54*(8^2)+'LINEST VARS'!$M$54*($CJ$32^2)+'LINEST VARS'!$L$54*($BX33^2)+'LINEST VARS'!$K$54*(12.73^2)+'LINEST VARS'!$J$54*(8*8)+'LINEST VARS'!$I$54*(8*$CJ$32)+'LINEST VARS'!$H$54*(8*$BX33)+'LINEST VARS'!$G$54*(8*12.73)+'LINEST VARS'!$F$54*(8*$CJ$32)+'LINEST VARS'!$E$54*(8*$BX33)+'LINEST VARS'!$D$54*(8*12.73)+'LINEST VARS'!$C$54*($CJ$32*$BX33)+'LINEST VARS'!$B$54*($CJ$32*12.73)+'LINEST VARS'!$A$54*($BX33*12.73)</f>
        <v>3.9999999999999996</v>
      </c>
      <c r="CK33" s="51">
        <f>'LINEST VARS'!$U$54+'LINEST VARS'!$T$54*(8)+'LINEST VARS'!$S$54*(8)+'LINEST VARS'!$R$54*($CK$32)+'LINEST VARS'!$Q$54*($BX33)+'LINEST VARS'!$P$54*(12.73)+'LINEST VARS'!$O$54*(8^2)+'LINEST VARS'!$N$54*(8^2)+'LINEST VARS'!$M$54*($CK$32^2)+'LINEST VARS'!$L$54*($BX33^2)+'LINEST VARS'!$K$54*(12.73^2)+'LINEST VARS'!$J$54*(8*8)+'LINEST VARS'!$I$54*(8*$CK$32)+'LINEST VARS'!$H$54*(8*$BX33)+'LINEST VARS'!$G$54*(8*12.73)+'LINEST VARS'!$F$54*(8*$CK$32)+'LINEST VARS'!$E$54*(8*$BX33)+'LINEST VARS'!$D$54*(8*12.73)+'LINEST VARS'!$C$54*($CK$32*$BX33)+'LINEST VARS'!$B$54*($CK$32*12.73)+'LINEST VARS'!$A$54*($BX33*12.73)</f>
        <v>3.9999999999999996</v>
      </c>
      <c r="CL33" s="51">
        <f>'LINEST VARS'!$U$54+'LINEST VARS'!$T$54*(8)+'LINEST VARS'!$S$54*(8)+'LINEST VARS'!$R$54*($CL$32)+'LINEST VARS'!$Q$54*($BX33)+'LINEST VARS'!$P$54*(12.73)+'LINEST VARS'!$O$54*(8^2)+'LINEST VARS'!$N$54*(8^2)+'LINEST VARS'!$M$54*($CL$32^2)+'LINEST VARS'!$L$54*($BX33^2)+'LINEST VARS'!$K$54*(12.73^2)+'LINEST VARS'!$J$54*(8*8)+'LINEST VARS'!$I$54*(8*$CL$32)+'LINEST VARS'!$H$54*(8*$BX33)+'LINEST VARS'!$G$54*(8*12.73)+'LINEST VARS'!$F$54*(8*$CL$32)+'LINEST VARS'!$E$54*(8*$BX33)+'LINEST VARS'!$D$54*(8*12.73)+'LINEST VARS'!$C$54*($CL$32*$BX33)+'LINEST VARS'!$B$54*($CL$32*12.73)+'LINEST VARS'!$A$54*($BX33*12.73)</f>
        <v>3.9999999999999996</v>
      </c>
      <c r="CM33" s="51">
        <f>'LINEST VARS'!$U$54+'LINEST VARS'!$T$54*(8)+'LINEST VARS'!$S$54*(8)+'LINEST VARS'!$R$54*($CM$32)+'LINEST VARS'!$Q$54*($BX33)+'LINEST VARS'!$P$54*(12.73)+'LINEST VARS'!$O$54*(8^2)+'LINEST VARS'!$N$54*(8^2)+'LINEST VARS'!$M$54*($CM$32^2)+'LINEST VARS'!$L$54*($BX33^2)+'LINEST VARS'!$K$54*(12.73^2)+'LINEST VARS'!$J$54*(8*8)+'LINEST VARS'!$I$54*(8*$CM$32)+'LINEST VARS'!$H$54*(8*$BX33)+'LINEST VARS'!$G$54*(8*12.73)+'LINEST VARS'!$F$54*(8*$CM$32)+'LINEST VARS'!$E$54*(8*$BX33)+'LINEST VARS'!$D$54*(8*12.73)+'LINEST VARS'!$C$54*($CM$32*$BX33)+'LINEST VARS'!$B$54*($CM$32*12.73)+'LINEST VARS'!$A$54*($BX33*12.73)</f>
        <v>3.9999999999999996</v>
      </c>
      <c r="CN33" s="51">
        <f>'LINEST VARS'!$U$54+'LINEST VARS'!$T$54*(8)+'LINEST VARS'!$S$54*(8)+'LINEST VARS'!$R$54*($CN$32)+'LINEST VARS'!$Q$54*($BX33)+'LINEST VARS'!$P$54*(12.73)+'LINEST VARS'!$O$54*(8^2)+'LINEST VARS'!$N$54*(8^2)+'LINEST VARS'!$M$54*($CN$32^2)+'LINEST VARS'!$L$54*($BX33^2)+'LINEST VARS'!$K$54*(12.73^2)+'LINEST VARS'!$J$54*(8*8)+'LINEST VARS'!$I$54*(8*$CN$32)+'LINEST VARS'!$H$54*(8*$BX33)+'LINEST VARS'!$G$54*(8*12.73)+'LINEST VARS'!$F$54*(8*$CN$32)+'LINEST VARS'!$E$54*(8*$BX33)+'LINEST VARS'!$D$54*(8*12.73)+'LINEST VARS'!$C$54*($CN$32*$BX33)+'LINEST VARS'!$B$54*($CN$32*12.73)+'LINEST VARS'!$A$54*($BX33*12.73)</f>
        <v>3.9999999999999996</v>
      </c>
      <c r="CO33" s="51">
        <f>'LINEST VARS'!$U$54+'LINEST VARS'!$T$54*(8)+'LINEST VARS'!$S$54*(8)+'LINEST VARS'!$R$54*($CO$32)+'LINEST VARS'!$Q$54*($BX33)+'LINEST VARS'!$P$54*(12.73)+'LINEST VARS'!$O$54*(8^2)+'LINEST VARS'!$N$54*(8^2)+'LINEST VARS'!$M$54*($CO$32^2)+'LINEST VARS'!$L$54*($BX33^2)+'LINEST VARS'!$K$54*(12.73^2)+'LINEST VARS'!$J$54*(8*8)+'LINEST VARS'!$I$54*(8*$CO$32)+'LINEST VARS'!$H$54*(8*$BX33)+'LINEST VARS'!$G$54*(8*12.73)+'LINEST VARS'!$F$54*(8*$CO$32)+'LINEST VARS'!$E$54*(8*$BX33)+'LINEST VARS'!$D$54*(8*12.73)+'LINEST VARS'!$C$54*($CO$32*$BX33)+'LINEST VARS'!$B$54*($CO$32*12.73)+'LINEST VARS'!$A$54*($BX33*12.73)</f>
        <v>3.9999999999999996</v>
      </c>
      <c r="CP33" s="51">
        <f>'LINEST VARS'!$U$54+'LINEST VARS'!$T$54*(8)+'LINEST VARS'!$S$54*(8)+'LINEST VARS'!$R$54*($CP$32)+'LINEST VARS'!$Q$54*($BX33)+'LINEST VARS'!$P$54*(12.73)+'LINEST VARS'!$O$54*(8^2)+'LINEST VARS'!$N$54*(8^2)+'LINEST VARS'!$M$54*($CP$32^2)+'LINEST VARS'!$L$54*($BX33^2)+'LINEST VARS'!$K$54*(12.73^2)+'LINEST VARS'!$J$54*(8*8)+'LINEST VARS'!$I$54*(8*$CP$32)+'LINEST VARS'!$H$54*(8*$BX33)+'LINEST VARS'!$G$54*(8*12.73)+'LINEST VARS'!$F$54*(8*$CP$32)+'LINEST VARS'!$E$54*(8*$BX33)+'LINEST VARS'!$D$54*(8*12.73)+'LINEST VARS'!$C$54*($CP$32*$BX33)+'LINEST VARS'!$B$54*($CP$32*12.73)+'LINEST VARS'!$A$54*($BX33*12.73)</f>
        <v>3.9999999999999996</v>
      </c>
      <c r="CQ33" s="51">
        <f>'LINEST VARS'!$U$54+'LINEST VARS'!$T$54*(8)+'LINEST VARS'!$S$54*(8)+'LINEST VARS'!$R$54*($CQ$32)+'LINEST VARS'!$Q$54*($BX33)+'LINEST VARS'!$P$54*(12.73)+'LINEST VARS'!$O$54*(8^2)+'LINEST VARS'!$N$54*(8^2)+'LINEST VARS'!$M$54*($CQ$32^2)+'LINEST VARS'!$L$54*($BX33^2)+'LINEST VARS'!$K$54*(12.73^2)+'LINEST VARS'!$J$54*(8*8)+'LINEST VARS'!$I$54*(8*$CQ$32)+'LINEST VARS'!$H$54*(8*$BX33)+'LINEST VARS'!$G$54*(8*12.73)+'LINEST VARS'!$F$54*(8*$CQ$32)+'LINEST VARS'!$E$54*(8*$BX33)+'LINEST VARS'!$D$54*(8*12.73)+'LINEST VARS'!$C$54*($CQ$32*$BX33)+'LINEST VARS'!$B$54*($CQ$32*12.73)+'LINEST VARS'!$A$54*($BX33*12.73)</f>
        <v>3.9999999999999996</v>
      </c>
      <c r="CR33" s="51">
        <f>'LINEST VARS'!$U$54+'LINEST VARS'!$T$54*(8)+'LINEST VARS'!$S$54*(8)+'LINEST VARS'!$R$54*($CR$32)+'LINEST VARS'!$Q$54*($BX33)+'LINEST VARS'!$P$54*(12.73)+'LINEST VARS'!$O$54*(8^2)+'LINEST VARS'!$N$54*(8^2)+'LINEST VARS'!$M$54*($CR$32^2)+'LINEST VARS'!$L$54*($BX33^2)+'LINEST VARS'!$K$54*(12.73^2)+'LINEST VARS'!$J$54*(8*8)+'LINEST VARS'!$I$54*(8*$CR$32)+'LINEST VARS'!$H$54*(8*$BX33)+'LINEST VARS'!$G$54*(8*12.73)+'LINEST VARS'!$F$54*(8*$CR$32)+'LINEST VARS'!$E$54*(8*$BX33)+'LINEST VARS'!$D$54*(8*12.73)+'LINEST VARS'!$C$54*($CR$32*$BX33)+'LINEST VARS'!$B$54*($CR$32*12.73)+'LINEST VARS'!$A$54*($BX33*12.73)</f>
        <v>3.9999999999999996</v>
      </c>
      <c r="CS33" s="52">
        <f>'LINEST VARS'!$U$54+'LINEST VARS'!$T$54*(8)+'LINEST VARS'!$S$54*(8)+'LINEST VARS'!$R$54*($CS$32)+'LINEST VARS'!$Q$54*($BX33)+'LINEST VARS'!$P$54*(12.73)+'LINEST VARS'!$O$54*(8^2)+'LINEST VARS'!$N$54*(8^2)+'LINEST VARS'!$M$54*($CS$32^2)+'LINEST VARS'!$L$54*($BX33^2)+'LINEST VARS'!$K$54*(12.73^2)+'LINEST VARS'!$J$54*(8*8)+'LINEST VARS'!$I$54*(8*$CS$32)+'LINEST VARS'!$H$54*(8*$BX33)+'LINEST VARS'!$G$54*(8*12.73)+'LINEST VARS'!$F$54*(8*$CS$32)+'LINEST VARS'!$E$54*(8*$BX33)+'LINEST VARS'!$D$54*(8*12.73)+'LINEST VARS'!$C$54*($CS$32*$BX33)+'LINEST VARS'!$B$54*($CS$32*12.73)+'LINEST VARS'!$A$54*($BX33*12.73)</f>
        <v>3.9999999999999996</v>
      </c>
      <c r="CX33" s="45">
        <v>0</v>
      </c>
      <c r="CY33" s="51">
        <f>'LINEST VARS'!$U$52+'LINEST VARS'!$T$52*(8)+'LINEST VARS'!$S$52*(8)+'LINEST VARS'!$R$52*($CY$32)+'LINEST VARS'!$Q$52*(0.5)+'LINEST VARS'!$P$52*($CX33)+'LINEST VARS'!$O$52*(8^2)+'LINEST VARS'!$N$52*(8^2)+'LINEST VARS'!$M$52*($CY$32^2)+'LINEST VARS'!$L$52*(0.5^2)+'LINEST VARS'!$K$52*($CX33^2)+'LINEST VARS'!$J$52*(8*8)+'LINEST VARS'!$I$52*(8*$CY$32)+'LINEST VARS'!$H$52*(8*0.5)+'LINEST VARS'!$G$52*(8*$CX33)+'LINEST VARS'!$F$52*(8*$CY$32)+'LINEST VARS'!$E$52*(8*0.5)+'LINEST VARS'!$D$52*(8*$CX33)+'LINEST VARS'!$C$52*($CY$32*0.5)+'LINEST VARS'!$B$52*($CY$32*$CX33)+'LINEST VARS'!$A$52*(0.5*$CX33)</f>
        <v>4.4499999999999984</v>
      </c>
      <c r="CZ33" s="51">
        <f>'LINEST VARS'!$U$52+'LINEST VARS'!$T$52*(8)+'LINEST VARS'!$S$52*(8)+'LINEST VARS'!$R$52*($CZ$32)+'LINEST VARS'!$Q$52*(0.5)+'LINEST VARS'!$P$52*($CX33)+'LINEST VARS'!$O$52*(8^2)+'LINEST VARS'!$N$52*(8^2)+'LINEST VARS'!$M$52*($CZ$32^2)+'LINEST VARS'!$L$52*(0.5^2)+'LINEST VARS'!$K$52*($CX33^2)+'LINEST VARS'!$J$52*(8*8)+'LINEST VARS'!$I$52*(8*$CZ$32)+'LINEST VARS'!$H$52*(8*0.5)+'LINEST VARS'!$G$52*(8*$CX33)+'LINEST VARS'!$F$52*(8*$CZ$32)+'LINEST VARS'!$E$52*(8*0.5)+'LINEST VARS'!$D$52*(8*$CX33)+'LINEST VARS'!$C$52*($CZ$32*0.5)+'LINEST VARS'!$B$52*($CZ$32*$CX33)+'LINEST VARS'!$A$52*(0.5*$CX33)</f>
        <v>4.4499999999999984</v>
      </c>
      <c r="DA33" s="51">
        <f>'LINEST VARS'!$U$52+'LINEST VARS'!$T$52*(8)+'LINEST VARS'!$S$52*(8)+'LINEST VARS'!$R$52*($DA$32)+'LINEST VARS'!$Q$52*(0.5)+'LINEST VARS'!$P$52*($CX33)+'LINEST VARS'!$O$52*(8^2)+'LINEST VARS'!$N$52*(8^2)+'LINEST VARS'!$M$52*($DA$32^2)+'LINEST VARS'!$L$52*(0.5^2)+'LINEST VARS'!$K$52*($CX33^2)+'LINEST VARS'!$J$52*(8*8)+'LINEST VARS'!$I$52*(8*$DA$32)+'LINEST VARS'!$H$52*(8*0.5)+'LINEST VARS'!$G$52*(8*$CX33)+'LINEST VARS'!$F$52*(8*$DA$32)+'LINEST VARS'!$E$52*(8*0.5)+'LINEST VARS'!$D$52*(8*$CX33)+'LINEST VARS'!$C$52*($DA$32*0.5)+'LINEST VARS'!$B$52*($DA$32*$CX33)+'LINEST VARS'!$A$52*(0.5*$CX33)</f>
        <v>4.4499999999999984</v>
      </c>
      <c r="DB33" s="51">
        <f>'LINEST VARS'!$U$52+'LINEST VARS'!$T$52*(8)+'LINEST VARS'!$S$52*(8)+'LINEST VARS'!$R$52*($DB$32)+'LINEST VARS'!$Q$52*(0.5)+'LINEST VARS'!$P$52*($CX33)+'LINEST VARS'!$O$52*(8^2)+'LINEST VARS'!$N$52*(8^2)+'LINEST VARS'!$M$52*($DB$32^2)+'LINEST VARS'!$L$52*(0.5^2)+'LINEST VARS'!$K$52*($CX33^2)+'LINEST VARS'!$J$52*(8*8)+'LINEST VARS'!$I$52*(8*$DB$32)+'LINEST VARS'!$H$52*(8*0.5)+'LINEST VARS'!$G$52*(8*$CX33)+'LINEST VARS'!$F$52*(8*$DB$32)+'LINEST VARS'!$E$52*(8*0.5)+'LINEST VARS'!$D$52*(8*$CX33)+'LINEST VARS'!$C$52*($DB$32*0.5)+'LINEST VARS'!$B$52*($DB$32*$CX33)+'LINEST VARS'!$A$52*(0.5*$CX33)</f>
        <v>4.4499999999999984</v>
      </c>
      <c r="DC33" s="51">
        <f>'LINEST VARS'!$U$52+'LINEST VARS'!$T$52*(8)+'LINEST VARS'!$S$52*(8)+'LINEST VARS'!$R$52*($DC$32)+'LINEST VARS'!$Q$52*(0.5)+'LINEST VARS'!$P$52*($CX33)+'LINEST VARS'!$O$52*(8^2)+'LINEST VARS'!$N$52*(8^2)+'LINEST VARS'!$M$52*($DC$32^2)+'LINEST VARS'!$L$52*(0.5^2)+'LINEST VARS'!$K$52*($CX33^2)+'LINEST VARS'!$J$52*(8*8)+'LINEST VARS'!$I$52*(8*$DC$32)+'LINEST VARS'!$H$52*(8*0.5)+'LINEST VARS'!$G$52*(8*$CX33)+'LINEST VARS'!$F$52*(8*$DC$32)+'LINEST VARS'!$E$52*(8*0.5)+'LINEST VARS'!$D$52*(8*$CX33)+'LINEST VARS'!$C$52*($DC$32*0.5)+'LINEST VARS'!$B$52*($DC$32*$CX33)+'LINEST VARS'!$A$52*(0.5*$CX33)</f>
        <v>4.4499999999999984</v>
      </c>
      <c r="DD33" s="51">
        <f>'LINEST VARS'!$U$52+'LINEST VARS'!$T$52*(8)+'LINEST VARS'!$S$52*(8)+'LINEST VARS'!$R$52*($DD$32)+'LINEST VARS'!$Q$52*(0.5)+'LINEST VARS'!$P$52*($CX33)+'LINEST VARS'!$O$52*(8^2)+'LINEST VARS'!$N$52*(8^2)+'LINEST VARS'!$M$52*($DD$32^2)+'LINEST VARS'!$L$52*(0.5^2)+'LINEST VARS'!$K$52*($CX33^2)+'LINEST VARS'!$J$52*(8*8)+'LINEST VARS'!$I$52*(8*$DD$32)+'LINEST VARS'!$H$52*(8*0.5)+'LINEST VARS'!$G$52*(8*$CX33)+'LINEST VARS'!$F$52*(8*$DD$32)+'LINEST VARS'!$E$52*(8*0.5)+'LINEST VARS'!$D$52*(8*$CX33)+'LINEST VARS'!$C$52*($DD$32*0.5)+'LINEST VARS'!$B$52*($DD$32*$CX33)+'LINEST VARS'!$A$52*(0.5*$CX33)</f>
        <v>4.4499999999999984</v>
      </c>
      <c r="DE33" s="51">
        <f>'LINEST VARS'!$U$52+'LINEST VARS'!$T$52*(8)+'LINEST VARS'!$S$52*(8)+'LINEST VARS'!$R$52*($DE$32)+'LINEST VARS'!$Q$52*(0.5)+'LINEST VARS'!$P$52*($CX33)+'LINEST VARS'!$O$52*(8^2)+'LINEST VARS'!$N$52*(8^2)+'LINEST VARS'!$M$52*($DE$32^2)+'LINEST VARS'!$L$52*(0.5^2)+'LINEST VARS'!$K$52*($CX33^2)+'LINEST VARS'!$J$52*(8*8)+'LINEST VARS'!$I$52*(8*$DE$32)+'LINEST VARS'!$H$52*(8*0.5)+'LINEST VARS'!$G$52*(8*$CX33)+'LINEST VARS'!$F$52*(8*$DE$32)+'LINEST VARS'!$E$52*(8*0.5)+'LINEST VARS'!$D$52*(8*$CX33)+'LINEST VARS'!$C$52*($DE$32*0.5)+'LINEST VARS'!$B$52*($DE$32*$CX33)+'LINEST VARS'!$A$52*(0.5*$CX33)</f>
        <v>4.4499999999999984</v>
      </c>
      <c r="DF33" s="51">
        <f>'LINEST VARS'!$U$52+'LINEST VARS'!$T$52*(8)+'LINEST VARS'!$S$52*(8)+'LINEST VARS'!$R$52*($DF$32)+'LINEST VARS'!$Q$52*(0.5)+'LINEST VARS'!$P$52*($CX33)+'LINEST VARS'!$O$52*(8^2)+'LINEST VARS'!$N$52*(8^2)+'LINEST VARS'!$M$52*($DF$32^2)+'LINEST VARS'!$L$52*(0.5^2)+'LINEST VARS'!$K$52*($CX33^2)+'LINEST VARS'!$J$52*(8*8)+'LINEST VARS'!$I$52*(8*$DF$32)+'LINEST VARS'!$H$52*(8*0.5)+'LINEST VARS'!$G$52*(8*$CX33)+'LINEST VARS'!$F$52*(8*$DF$32)+'LINEST VARS'!$E$52*(8*0.5)+'LINEST VARS'!$D$52*(8*$CX33)+'LINEST VARS'!$C$52*($DF$32*0.5)+'LINEST VARS'!$B$52*($DF$32*$CX33)+'LINEST VARS'!$A$52*(0.5*$CX33)</f>
        <v>4.4499999999999984</v>
      </c>
      <c r="DG33" s="51">
        <f>'LINEST VARS'!$U$52+'LINEST VARS'!$T$52*(8)+'LINEST VARS'!$S$52*(8)+'LINEST VARS'!$R$52*($DG$32)+'LINEST VARS'!$Q$52*(0.5)+'LINEST VARS'!$P$52*($CX33)+'LINEST VARS'!$O$52*(8^2)+'LINEST VARS'!$N$52*(8^2)+'LINEST VARS'!$M$52*($DG$32^2)+'LINEST VARS'!$L$52*(0.5^2)+'LINEST VARS'!$K$52*($CX33^2)+'LINEST VARS'!$J$52*(8*8)+'LINEST VARS'!$I$52*(8*$DG$32)+'LINEST VARS'!$H$52*(8*0.5)+'LINEST VARS'!$G$52*(8*$CX33)+'LINEST VARS'!$F$52*(8*$DG$32)+'LINEST VARS'!$E$52*(8*0.5)+'LINEST VARS'!$D$52*(8*$CX33)+'LINEST VARS'!$C$52*($DG$32*0.5)+'LINEST VARS'!$B$52*($DG$32*$CX33)+'LINEST VARS'!$A$52*(0.5*$CX33)</f>
        <v>4.4499999999999984</v>
      </c>
      <c r="DH33" s="51">
        <f>'LINEST VARS'!$U$52+'LINEST VARS'!$T$52*(8)+'LINEST VARS'!$S$52*(8)+'LINEST VARS'!$R$52*($DH$32)+'LINEST VARS'!$Q$52*(0.5)+'LINEST VARS'!$P$52*($CX33)+'LINEST VARS'!$O$52*(8^2)+'LINEST VARS'!$N$52*(8^2)+'LINEST VARS'!$M$52*($DH$32^2)+'LINEST VARS'!$L$52*(0.5^2)+'LINEST VARS'!$K$52*($CX33^2)+'LINEST VARS'!$J$52*(8*8)+'LINEST VARS'!$I$52*(8*$DH$32)+'LINEST VARS'!$H$52*(8*0.5)+'LINEST VARS'!$G$52*(8*$CX33)+'LINEST VARS'!$F$52*(8*$DH$32)+'LINEST VARS'!$E$52*(8*0.5)+'LINEST VARS'!$D$52*(8*$CX33)+'LINEST VARS'!$C$52*($DH$32*0.5)+'LINEST VARS'!$B$52*($DH$32*$CX33)+'LINEST VARS'!$A$52*(0.5*$CX33)</f>
        <v>4.4499999999999984</v>
      </c>
      <c r="DI33" s="51">
        <f>'LINEST VARS'!$U$52+'LINEST VARS'!$T$52*(8)+'LINEST VARS'!$S$52*(8)+'LINEST VARS'!$R$52*($DI$32)+'LINEST VARS'!$Q$52*(0.5)+'LINEST VARS'!$P$52*($CX33)+'LINEST VARS'!$O$52*(8^2)+'LINEST VARS'!$N$52*(8^2)+'LINEST VARS'!$M$52*($DI$32^2)+'LINEST VARS'!$L$52*(0.5^2)+'LINEST VARS'!$K$52*($CX33^2)+'LINEST VARS'!$J$52*(8*8)+'LINEST VARS'!$I$52*(8*$DI$32)+'LINEST VARS'!$H$52*(8*0.5)+'LINEST VARS'!$G$52*(8*$CX33)+'LINEST VARS'!$F$52*(8*$DI$32)+'LINEST VARS'!$E$52*(8*0.5)+'LINEST VARS'!$D$52*(8*$CX33)+'LINEST VARS'!$C$52*($DI$32*0.5)+'LINEST VARS'!$B$52*($DI$32*$CX33)+'LINEST VARS'!$A$52*(0.5*$CX33)</f>
        <v>4.4499999999999984</v>
      </c>
      <c r="DJ33" s="51">
        <f>'LINEST VARS'!$U$52+'LINEST VARS'!$T$52*(8)+'LINEST VARS'!$S$52*(8)+'LINEST VARS'!$R$52*($DJ$32)+'LINEST VARS'!$Q$52*(0.5)+'LINEST VARS'!$P$52*($CX33)+'LINEST VARS'!$O$52*(8^2)+'LINEST VARS'!$N$52*(8^2)+'LINEST VARS'!$M$52*($DJ$32^2)+'LINEST VARS'!$L$52*(0.5^2)+'LINEST VARS'!$K$52*($CX33^2)+'LINEST VARS'!$J$52*(8*8)+'LINEST VARS'!$I$52*(8*$DJ$32)+'LINEST VARS'!$H$52*(8*0.5)+'LINEST VARS'!$G$52*(8*$CX33)+'LINEST VARS'!$F$52*(8*$DJ$32)+'LINEST VARS'!$E$52*(8*0.5)+'LINEST VARS'!$D$52*(8*$CX33)+'LINEST VARS'!$C$52*($DJ$32*0.5)+'LINEST VARS'!$B$52*($DJ$32*$CX33)+'LINEST VARS'!$A$52*(0.5*$CX33)</f>
        <v>4.4499999999999984</v>
      </c>
      <c r="DK33" s="51">
        <f>'LINEST VARS'!$U$52+'LINEST VARS'!$T$52*(8)+'LINEST VARS'!$S$52*(8)+'LINEST VARS'!$R$52*($DK$32)+'LINEST VARS'!$Q$52*(0.5)+'LINEST VARS'!$P$52*($CX33)+'LINEST VARS'!$O$52*(8^2)+'LINEST VARS'!$N$52*(8^2)+'LINEST VARS'!$M$52*($DK$32^2)+'LINEST VARS'!$L$52*(0.5^2)+'LINEST VARS'!$K$52*($CX33^2)+'LINEST VARS'!$J$52*(8*8)+'LINEST VARS'!$I$52*(8*$DK$32)+'LINEST VARS'!$H$52*(8*0.5)+'LINEST VARS'!$G$52*(8*$CX33)+'LINEST VARS'!$F$52*(8*$DK$32)+'LINEST VARS'!$E$52*(8*0.5)+'LINEST VARS'!$D$52*(8*$CX33)+'LINEST VARS'!$C$52*($DK$32*0.5)+'LINEST VARS'!$B$52*($DK$32*$CX33)+'LINEST VARS'!$A$52*(0.5*$CX33)</f>
        <v>4.4499999999999984</v>
      </c>
      <c r="DL33" s="51">
        <f>'LINEST VARS'!$U$52+'LINEST VARS'!$T$52*(8)+'LINEST VARS'!$S$52*(8)+'LINEST VARS'!$R$52*($DL$32)+'LINEST VARS'!$Q$52*(0.5)+'LINEST VARS'!$P$52*($CX33)+'LINEST VARS'!$O$52*(8^2)+'LINEST VARS'!$N$52*(8^2)+'LINEST VARS'!$M$52*($DL$32^2)+'LINEST VARS'!$L$52*(0.5^2)+'LINEST VARS'!$K$52*($CX33^2)+'LINEST VARS'!$J$52*(8*8)+'LINEST VARS'!$I$52*(8*$DL$32)+'LINEST VARS'!$H$52*(8*0.5)+'LINEST VARS'!$G$52*(8*$CX33)+'LINEST VARS'!$F$52*(8*$DL$32)+'LINEST VARS'!$E$52*(8*0.5)+'LINEST VARS'!$D$52*(8*$CX33)+'LINEST VARS'!$C$52*($DL$32*0.5)+'LINEST VARS'!$B$52*($DL$32*$CX33)+'LINEST VARS'!$A$52*(0.5*$CX33)</f>
        <v>4.4499999999999984</v>
      </c>
      <c r="DM33" s="51">
        <f>'LINEST VARS'!$U$52+'LINEST VARS'!$T$52*(8)+'LINEST VARS'!$S$52*(8)+'LINEST VARS'!$R$52*($DM$32)+'LINEST VARS'!$Q$52*(0.5)+'LINEST VARS'!$P$52*($CX33)+'LINEST VARS'!$O$52*(8^2)+'LINEST VARS'!$N$52*(8^2)+'LINEST VARS'!$M$52*($DM$32^2)+'LINEST VARS'!$L$52*(0.5^2)+'LINEST VARS'!$K$52*($CX33^2)+'LINEST VARS'!$J$52*(8*8)+'LINEST VARS'!$I$52*(8*$DM$32)+'LINEST VARS'!$H$52*(8*0.5)+'LINEST VARS'!$G$52*(8*$CX33)+'LINEST VARS'!$F$52*(8*$DM$32)+'LINEST VARS'!$E$52*(8*0.5)+'LINEST VARS'!$D$52*(8*$CX33)+'LINEST VARS'!$C$52*($DM$32*0.5)+'LINEST VARS'!$B$52*($DM$32*$CX33)+'LINEST VARS'!$A$52*(0.5*$CX33)</f>
        <v>4.4499999999999984</v>
      </c>
      <c r="DN33" s="51">
        <f>'LINEST VARS'!$U$52+'LINEST VARS'!$T$52*(8)+'LINEST VARS'!$S$52*(8)+'LINEST VARS'!$R$52*($DN$32)+'LINEST VARS'!$Q$52*(0.5)+'LINEST VARS'!$P$52*($CX33)+'LINEST VARS'!$O$52*(8^2)+'LINEST VARS'!$N$52*(8^2)+'LINEST VARS'!$M$52*($DN$32^2)+'LINEST VARS'!$L$52*(0.5^2)+'LINEST VARS'!$K$52*($CX33^2)+'LINEST VARS'!$J$52*(8*8)+'LINEST VARS'!$I$52*(8*$DN$32)+'LINEST VARS'!$H$52*(8*0.5)+'LINEST VARS'!$G$52*(8*$CX33)+'LINEST VARS'!$F$52*(8*$DN$32)+'LINEST VARS'!$E$52*(8*0.5)+'LINEST VARS'!$D$52*(8*$CX33)+'LINEST VARS'!$C$52*($DN$32*0.5)+'LINEST VARS'!$B$52*($DN$32*$CX33)+'LINEST VARS'!$A$52*(0.5*$CX33)</f>
        <v>4.4499999999999984</v>
      </c>
      <c r="DO33" s="51">
        <f>'LINEST VARS'!$U$52+'LINEST VARS'!$T$52*(8)+'LINEST VARS'!$S$52*(8)+'LINEST VARS'!$R$52*($DO$32)+'LINEST VARS'!$Q$52*(0.5)+'LINEST VARS'!$P$52*($CX33)+'LINEST VARS'!$O$52*(8^2)+'LINEST VARS'!$N$52*(8^2)+'LINEST VARS'!$M$52*($DO$32^2)+'LINEST VARS'!$L$52*(0.5^2)+'LINEST VARS'!$K$52*($CX33^2)+'LINEST VARS'!$J$52*(8*8)+'LINEST VARS'!$I$52*(8*$DO$32)+'LINEST VARS'!$H$52*(8*0.5)+'LINEST VARS'!$G$52*(8*$CX33)+'LINEST VARS'!$F$52*(8*$DO$32)+'LINEST VARS'!$E$52*(8*0.5)+'LINEST VARS'!$D$52*(8*$CX33)+'LINEST VARS'!$C$52*($DO$32*0.5)+'LINEST VARS'!$B$52*($DO$32*$CX33)+'LINEST VARS'!$A$52*(0.5*$CX33)</f>
        <v>4.4499999999999984</v>
      </c>
      <c r="DP33" s="51">
        <f>'LINEST VARS'!$U$52+'LINEST VARS'!$T$52*(8)+'LINEST VARS'!$S$52*(8)+'LINEST VARS'!$R$52*($DP$32)+'LINEST VARS'!$Q$52*(0.5)+'LINEST VARS'!$P$52*($CX33)+'LINEST VARS'!$O$52*(8^2)+'LINEST VARS'!$N$52*(8^2)+'LINEST VARS'!$M$52*($DP$32^2)+'LINEST VARS'!$L$52*(0.5^2)+'LINEST VARS'!$K$52*($CX33^2)+'LINEST VARS'!$J$52*(8*8)+'LINEST VARS'!$I$52*(8*$DP$32)+'LINEST VARS'!$H$52*(8*0.5)+'LINEST VARS'!$G$52*(8*$CX33)+'LINEST VARS'!$F$52*(8*$DP$32)+'LINEST VARS'!$E$52*(8*0.5)+'LINEST VARS'!$D$52*(8*$CX33)+'LINEST VARS'!$C$52*($DP$32*0.5)+'LINEST VARS'!$B$52*($DP$32*$CX33)+'LINEST VARS'!$A$52*(0.5*$CX33)</f>
        <v>4.4499999999999984</v>
      </c>
      <c r="DQ33" s="51">
        <f>'LINEST VARS'!$U$52+'LINEST VARS'!$T$52*(8)+'LINEST VARS'!$S$52*(8)+'LINEST VARS'!$R$52*($DQ$32)+'LINEST VARS'!$Q$52*(0.5)+'LINEST VARS'!$P$52*($CX33)+'LINEST VARS'!$O$52*(8^2)+'LINEST VARS'!$N$52*(8^2)+'LINEST VARS'!$M$52*($DQ$32^2)+'LINEST VARS'!$L$52*(0.5^2)+'LINEST VARS'!$K$52*($CX33^2)+'LINEST VARS'!$J$52*(8*8)+'LINEST VARS'!$I$52*(8*$DQ$32)+'LINEST VARS'!$H$52*(8*0.5)+'LINEST VARS'!$G$52*(8*$CX33)+'LINEST VARS'!$F$52*(8*$DQ$32)+'LINEST VARS'!$E$52*(8*0.5)+'LINEST VARS'!$D$52*(8*$CX33)+'LINEST VARS'!$C$52*($DQ$32*0.5)+'LINEST VARS'!$B$52*($DQ$32*$CX33)+'LINEST VARS'!$A$52*(0.5*$CX33)</f>
        <v>4.4499999999999984</v>
      </c>
      <c r="DR33" s="51">
        <f>'LINEST VARS'!$U$52+'LINEST VARS'!$T$52*(8)+'LINEST VARS'!$S$52*(8)+'LINEST VARS'!$R$52*($DR$32)+'LINEST VARS'!$Q$52*(0.5)+'LINEST VARS'!$P$52*($CX33)+'LINEST VARS'!$O$52*(8^2)+'LINEST VARS'!$N$52*(8^2)+'LINEST VARS'!$M$52*($DR$32^2)+'LINEST VARS'!$L$52*(0.5^2)+'LINEST VARS'!$K$52*($CX33^2)+'LINEST VARS'!$J$52*(8*8)+'LINEST VARS'!$I$52*(8*$DR$32)+'LINEST VARS'!$H$52*(8*0.5)+'LINEST VARS'!$G$52*(8*$CX33)+'LINEST VARS'!$F$52*(8*$DR$32)+'LINEST VARS'!$E$52*(8*0.5)+'LINEST VARS'!$D$52*(8*$CX33)+'LINEST VARS'!$C$52*($DR$32*0.5)+'LINEST VARS'!$B$52*($DR$32*$CX33)+'LINEST VARS'!$A$52*(0.5*$CX33)</f>
        <v>4.4499999999999984</v>
      </c>
      <c r="DS33" s="52">
        <f>'LINEST VARS'!$U$52+'LINEST VARS'!$T$52*(8)+'LINEST VARS'!$S$52*(8)+'LINEST VARS'!$R$52*($DS$32)+'LINEST VARS'!$Q$52*(0.5)+'LINEST VARS'!$P$52*($CX33)+'LINEST VARS'!$O$52*(8^2)+'LINEST VARS'!$N$52*(8^2)+'LINEST VARS'!$M$52*($DS$32^2)+'LINEST VARS'!$L$52*(0.5^2)+'LINEST VARS'!$K$52*($CX33^2)+'LINEST VARS'!$J$52*(8*8)+'LINEST VARS'!$I$52*(8*$DS$32)+'LINEST VARS'!$H$52*(8*0.5)+'LINEST VARS'!$G$52*(8*$CX33)+'LINEST VARS'!$F$52*(8*$DS$32)+'LINEST VARS'!$E$52*(8*0.5)+'LINEST VARS'!$D$52*(8*$CX33)+'LINEST VARS'!$C$52*($DS$32*0.5)+'LINEST VARS'!$B$52*($DS$32*$CX33)+'LINEST VARS'!$A$52*(0.5*$CX33)</f>
        <v>4.4499999999999984</v>
      </c>
      <c r="DV33" s="45">
        <v>0</v>
      </c>
      <c r="DW33" s="51">
        <f>'LINEST VARS'!$U$54+'LINEST VARS'!$T$54*(8)+'LINEST VARS'!$S$54*(8)+'LINEST VARS'!$R$54*($DW$32)+'LINEST VARS'!$Q$54*(0.5)+'LINEST VARS'!$P$54*($DV33)+'LINEST VARS'!$O$54*(8^2)+'LINEST VARS'!$N$54*(8^2)+'LINEST VARS'!$M$54*($DW$32^2)+'LINEST VARS'!$L$54*(0.5^2)+'LINEST VARS'!$K$54*($DV33^2)+'LINEST VARS'!$J$54*(8*8)+'LINEST VARS'!$I$54*(8*$DW$32)+'LINEST VARS'!$H$54*(8*0.5)+'LINEST VARS'!$G$54*(8*$DV33)+'LINEST VARS'!$F$54*(8*$DW$32)+'LINEST VARS'!$E$54*(8*0.5)+'LINEST VARS'!$D$54*(8*$DV33)+'LINEST VARS'!$C$54*($DW$32*0.5)+'LINEST VARS'!$B$54*($DW$32*$DV33)+'LINEST VARS'!$A$54*(0.5*$DV33)</f>
        <v>3.9749999999999996</v>
      </c>
      <c r="DX33" s="51">
        <f>'LINEST VARS'!$U$54+'LINEST VARS'!$T$54*(8)+'LINEST VARS'!$S$54*(8)+'LINEST VARS'!$R$54*($DX$32)+'LINEST VARS'!$Q$54*(0.5)+'LINEST VARS'!$P$54*($DV33)+'LINEST VARS'!$O$54*(8^2)+'LINEST VARS'!$N$54*(8^2)+'LINEST VARS'!$M$54*($DX$32^2)+'LINEST VARS'!$L$54*(0.5^2)+'LINEST VARS'!$K$54*($DV33^2)+'LINEST VARS'!$J$54*(8*8)+'LINEST VARS'!$I$54*(8*$DX$32)+'LINEST VARS'!$H$54*(8*0.5)+'LINEST VARS'!$G$54*(8*$DV33)+'LINEST VARS'!$F$54*(8*$DX$32)+'LINEST VARS'!$E$54*(8*0.5)+'LINEST VARS'!$D$54*(8*$DV33)+'LINEST VARS'!$C$54*($DX$32*0.5)+'LINEST VARS'!$B$54*($DX$32*$DV33)+'LINEST VARS'!$A$54*(0.5*$DV33)</f>
        <v>3.9749999999999996</v>
      </c>
      <c r="DY33" s="51">
        <f>'LINEST VARS'!$U$54+'LINEST VARS'!$T$54*(8)+'LINEST VARS'!$S$54*(8)+'LINEST VARS'!$R$54*($DY$32)+'LINEST VARS'!$Q$54*(0.5)+'LINEST VARS'!$P$54*($DV33)+'LINEST VARS'!$O$54*(8^2)+'LINEST VARS'!$N$54*(8^2)+'LINEST VARS'!$M$54*($DY$32^2)+'LINEST VARS'!$L$54*(0.5^2)+'LINEST VARS'!$K$54*($DV33^2)+'LINEST VARS'!$J$54*(8*8)+'LINEST VARS'!$I$54*(8*$DY$32)+'LINEST VARS'!$H$54*(8*0.5)+'LINEST VARS'!$G$54*(8*$DV33)+'LINEST VARS'!$F$54*(8*$DY$32)+'LINEST VARS'!$E$54*(8*0.5)+'LINEST VARS'!$D$54*(8*$DV33)+'LINEST VARS'!$C$54*($DY$32*0.5)+'LINEST VARS'!$B$54*($DY$32*$DV33)+'LINEST VARS'!$A$54*(0.5*$DV33)</f>
        <v>3.9749999999999996</v>
      </c>
      <c r="DZ33" s="51">
        <f>'LINEST VARS'!$U$54+'LINEST VARS'!$T$54*(8)+'LINEST VARS'!$S$54*(8)+'LINEST VARS'!$R$54*($DZ$32)+'LINEST VARS'!$Q$54*(0.5)+'LINEST VARS'!$P$54*($DV33)+'LINEST VARS'!$O$54*(8^2)+'LINEST VARS'!$N$54*(8^2)+'LINEST VARS'!$M$54*($DZ$32^2)+'LINEST VARS'!$L$54*(0.5^2)+'LINEST VARS'!$K$54*($DV33^2)+'LINEST VARS'!$J$54*(8*8)+'LINEST VARS'!$I$54*(8*$DZ$32)+'LINEST VARS'!$H$54*(8*0.5)+'LINEST VARS'!$G$54*(8*$DV33)+'LINEST VARS'!$F$54*(8*$DZ$32)+'LINEST VARS'!$E$54*(8*0.5)+'LINEST VARS'!$D$54*(8*$DV33)+'LINEST VARS'!$C$54*($DZ$32*0.5)+'LINEST VARS'!$B$54*($DZ$32*$DV33)+'LINEST VARS'!$A$54*(0.5*$DV33)</f>
        <v>3.9749999999999996</v>
      </c>
      <c r="EA33" s="51">
        <f>'LINEST VARS'!$U$54+'LINEST VARS'!$T$54*(8)+'LINEST VARS'!$S$54*(8)+'LINEST VARS'!$R$54*($EA$32)+'LINEST VARS'!$Q$54*(0.5)+'LINEST VARS'!$P$54*($DV33)+'LINEST VARS'!$O$54*(8^2)+'LINEST VARS'!$N$54*(8^2)+'LINEST VARS'!$M$54*($EA$32^2)+'LINEST VARS'!$L$54*(0.5^2)+'LINEST VARS'!$K$54*($DV33^2)+'LINEST VARS'!$J$54*(8*8)+'LINEST VARS'!$I$54*(8*$EA$32)+'LINEST VARS'!$H$54*(8*0.5)+'LINEST VARS'!$G$54*(8*$DV33)+'LINEST VARS'!$F$54*(8*$EA$32)+'LINEST VARS'!$E$54*(8*0.5)+'LINEST VARS'!$D$54*(8*$DV33)+'LINEST VARS'!$C$54*($EA$32*0.5)+'LINEST VARS'!$B$54*($EA$32*$DV33)+'LINEST VARS'!$A$54*(0.5*$DV33)</f>
        <v>3.9749999999999996</v>
      </c>
      <c r="EB33" s="51">
        <f>'LINEST VARS'!$U$54+'LINEST VARS'!$T$54*(8)+'LINEST VARS'!$S$54*(8)+'LINEST VARS'!$R$54*($EB$32)+'LINEST VARS'!$Q$54*(0.5)+'LINEST VARS'!$P$54*($DV33)+'LINEST VARS'!$O$54*(8^2)+'LINEST VARS'!$N$54*(8^2)+'LINEST VARS'!$M$54*($EB$32^2)+'LINEST VARS'!$L$54*(0.5^2)+'LINEST VARS'!$K$54*($DV33^2)+'LINEST VARS'!$J$54*(8*8)+'LINEST VARS'!$I$54*(8*$EB$32)+'LINEST VARS'!$H$54*(8*0.5)+'LINEST VARS'!$G$54*(8*$DV33)+'LINEST VARS'!$F$54*(8*$EB$32)+'LINEST VARS'!$E$54*(8*0.5)+'LINEST VARS'!$D$54*(8*$DV33)+'LINEST VARS'!$C$54*($EB$32*0.5)+'LINEST VARS'!$B$54*($EB$32*$DV33)+'LINEST VARS'!$A$54*(0.5*$DV33)</f>
        <v>3.9749999999999996</v>
      </c>
      <c r="EC33" s="51">
        <f>'LINEST VARS'!$U$54+'LINEST VARS'!$T$54*(8)+'LINEST VARS'!$S$54*(8)+'LINEST VARS'!$R$54*($EC$32)+'LINEST VARS'!$Q$54*(0.5)+'LINEST VARS'!$P$54*($DV33)+'LINEST VARS'!$O$54*(8^2)+'LINEST VARS'!$N$54*(8^2)+'LINEST VARS'!$M$54*($EC$32^2)+'LINEST VARS'!$L$54*(0.5^2)+'LINEST VARS'!$K$54*($DV33^2)+'LINEST VARS'!$J$54*(8*8)+'LINEST VARS'!$I$54*(8*$EC$32)+'LINEST VARS'!$H$54*(8*0.5)+'LINEST VARS'!$G$54*(8*$DV33)+'LINEST VARS'!$F$54*(8*$EC$32)+'LINEST VARS'!$E$54*(8*0.5)+'LINEST VARS'!$D$54*(8*$DV33)+'LINEST VARS'!$C$54*($EC$32*0.5)+'LINEST VARS'!$B$54*($EC$32*$DV33)+'LINEST VARS'!$A$54*(0.5*$DV33)</f>
        <v>3.9749999999999996</v>
      </c>
      <c r="ED33" s="51">
        <f>'LINEST VARS'!$U$54+'LINEST VARS'!$T$54*(8)+'LINEST VARS'!$S$54*(8)+'LINEST VARS'!$R$54*($ED$32)+'LINEST VARS'!$Q$54*(0.5)+'LINEST VARS'!$P$54*($DV33)+'LINEST VARS'!$O$54*(8^2)+'LINEST VARS'!$N$54*(8^2)+'LINEST VARS'!$M$54*($ED$32^2)+'LINEST VARS'!$L$54*(0.5^2)+'LINEST VARS'!$K$54*($DV33^2)+'LINEST VARS'!$J$54*(8*8)+'LINEST VARS'!$I$54*(8*$ED$32)+'LINEST VARS'!$H$54*(8*0.5)+'LINEST VARS'!$G$54*(8*$DV33)+'LINEST VARS'!$F$54*(8*$ED$32)+'LINEST VARS'!$E$54*(8*0.5)+'LINEST VARS'!$D$54*(8*$DV33)+'LINEST VARS'!$C$54*($ED$32*0.5)+'LINEST VARS'!$B$54*($ED$32*$DV33)+'LINEST VARS'!$A$54*(0.5*$DV33)</f>
        <v>3.9749999999999996</v>
      </c>
      <c r="EE33" s="51">
        <f>'LINEST VARS'!$U$54+'LINEST VARS'!$T$54*(8)+'LINEST VARS'!$S$54*(8)+'LINEST VARS'!$R$54*($EE$32)+'LINEST VARS'!$Q$54*(0.5)+'LINEST VARS'!$P$54*($DV33)+'LINEST VARS'!$O$54*(8^2)+'LINEST VARS'!$N$54*(8^2)+'LINEST VARS'!$M$54*($EE$32^2)+'LINEST VARS'!$L$54*(0.5^2)+'LINEST VARS'!$K$54*($DV33^2)+'LINEST VARS'!$J$54*(8*8)+'LINEST VARS'!$I$54*(8*$EE$32)+'LINEST VARS'!$H$54*(8*0.5)+'LINEST VARS'!$G$54*(8*$DV33)+'LINEST VARS'!$F$54*(8*$EE$32)+'LINEST VARS'!$E$54*(8*0.5)+'LINEST VARS'!$D$54*(8*$DV33)+'LINEST VARS'!$C$54*($EE$32*0.5)+'LINEST VARS'!$B$54*($EE$32*$DV33)+'LINEST VARS'!$A$54*(0.5*$DV33)</f>
        <v>3.9749999999999996</v>
      </c>
      <c r="EF33" s="51">
        <f>'LINEST VARS'!$U$54+'LINEST VARS'!$T$54*(8)+'LINEST VARS'!$S$54*(8)+'LINEST VARS'!$R$54*($EF$32)+'LINEST VARS'!$Q$54*(0.5)+'LINEST VARS'!$P$54*($DV33)+'LINEST VARS'!$O$54*(8^2)+'LINEST VARS'!$N$54*(8^2)+'LINEST VARS'!$M$54*($EF$32^2)+'LINEST VARS'!$L$54*(0.5^2)+'LINEST VARS'!$K$54*($DV33^2)+'LINEST VARS'!$J$54*(8*8)+'LINEST VARS'!$I$54*(8*$EF$32)+'LINEST VARS'!$H$54*(8*0.5)+'LINEST VARS'!$G$54*(8*$DV33)+'LINEST VARS'!$F$54*(8*$EF$32)+'LINEST VARS'!$E$54*(8*0.5)+'LINEST VARS'!$D$54*(8*$DV33)+'LINEST VARS'!$C$54*($EF$32*0.5)+'LINEST VARS'!$B$54*($EF$32*$DV33)+'LINEST VARS'!$A$54*(0.5*$DV33)</f>
        <v>3.9749999999999996</v>
      </c>
      <c r="EG33" s="51">
        <f>'LINEST VARS'!$U$54+'LINEST VARS'!$T$54*(8)+'LINEST VARS'!$S$54*(8)+'LINEST VARS'!$R$54*($EG$32)+'LINEST VARS'!$Q$54*(0.5)+'LINEST VARS'!$P$54*($DV33)+'LINEST VARS'!$O$54*(8^2)+'LINEST VARS'!$N$54*(8^2)+'LINEST VARS'!$M$54*($EG$32^2)+'LINEST VARS'!$L$54*(0.5^2)+'LINEST VARS'!$K$54*($DV33^2)+'LINEST VARS'!$J$54*(8*8)+'LINEST VARS'!$I$54*(8*$EG$32)+'LINEST VARS'!$H$54*(8*0.5)+'LINEST VARS'!$G$54*(8*$DV33)+'LINEST VARS'!$F$54*(8*$EG$32)+'LINEST VARS'!$E$54*(8*0.5)+'LINEST VARS'!$D$54*(8*$DV33)+'LINEST VARS'!$C$54*($EG$32*0.5)+'LINEST VARS'!$B$54*($EG$32*$DV33)+'LINEST VARS'!$A$54*(0.5*$DV33)</f>
        <v>3.9749999999999996</v>
      </c>
      <c r="EH33" s="51">
        <f>'LINEST VARS'!$U$54+'LINEST VARS'!$T$54*(8)+'LINEST VARS'!$S$54*(8)+'LINEST VARS'!$R$54*($EH$32)+'LINEST VARS'!$Q$54*(0.5)+'LINEST VARS'!$P$54*($DV33)+'LINEST VARS'!$O$54*(8^2)+'LINEST VARS'!$N$54*(8^2)+'LINEST VARS'!$M$54*($EH$32^2)+'LINEST VARS'!$L$54*(0.5^2)+'LINEST VARS'!$K$54*($DV33^2)+'LINEST VARS'!$J$54*(8*8)+'LINEST VARS'!$I$54*(8*$EH$32)+'LINEST VARS'!$H$54*(8*0.5)+'LINEST VARS'!$G$54*(8*$DV33)+'LINEST VARS'!$F$54*(8*$EH$32)+'LINEST VARS'!$E$54*(8*0.5)+'LINEST VARS'!$D$54*(8*$DV33)+'LINEST VARS'!$C$54*($EH$32*0.5)+'LINEST VARS'!$B$54*($EH$32*$DV33)+'LINEST VARS'!$A$54*(0.5*$DV33)</f>
        <v>3.9749999999999996</v>
      </c>
      <c r="EI33" s="51">
        <f>'LINEST VARS'!$U$54+'LINEST VARS'!$T$54*(8)+'LINEST VARS'!$S$54*(8)+'LINEST VARS'!$R$54*($EI$32)+'LINEST VARS'!$Q$54*(0.5)+'LINEST VARS'!$P$54*($DV33)+'LINEST VARS'!$O$54*(8^2)+'LINEST VARS'!$N$54*(8^2)+'LINEST VARS'!$M$54*($EI$32^2)+'LINEST VARS'!$L$54*(0.5^2)+'LINEST VARS'!$K$54*($DV33^2)+'LINEST VARS'!$J$54*(8*8)+'LINEST VARS'!$I$54*(8*$EI$32)+'LINEST VARS'!$H$54*(8*0.5)+'LINEST VARS'!$G$54*(8*$DV33)+'LINEST VARS'!$F$54*(8*$EI$32)+'LINEST VARS'!$E$54*(8*0.5)+'LINEST VARS'!$D$54*(8*$DV33)+'LINEST VARS'!$C$54*($EI$32*0.5)+'LINEST VARS'!$B$54*($EI$32*$DV33)+'LINEST VARS'!$A$54*(0.5*$DV33)</f>
        <v>3.9749999999999996</v>
      </c>
      <c r="EJ33" s="51">
        <f>'LINEST VARS'!$U$54+'LINEST VARS'!$T$54*(8)+'LINEST VARS'!$S$54*(8)+'LINEST VARS'!$R$54*($EJ$32)+'LINEST VARS'!$Q$54*(0.5)+'LINEST VARS'!$P$54*($DV33)+'LINEST VARS'!$O$54*(8^2)+'LINEST VARS'!$N$54*(8^2)+'LINEST VARS'!$M$54*($EJ$32^2)+'LINEST VARS'!$L$54*(0.5^2)+'LINEST VARS'!$K$54*($DV33^2)+'LINEST VARS'!$J$54*(8*8)+'LINEST VARS'!$I$54*(8*$EJ$32)+'LINEST VARS'!$H$54*(8*0.5)+'LINEST VARS'!$G$54*(8*$DV33)+'LINEST VARS'!$F$54*(8*$EJ$32)+'LINEST VARS'!$E$54*(8*0.5)+'LINEST VARS'!$D$54*(8*$DV33)+'LINEST VARS'!$C$54*($EJ$32*0.5)+'LINEST VARS'!$B$54*($EJ$32*$DV33)+'LINEST VARS'!$A$54*(0.5*$DV33)</f>
        <v>3.9749999999999996</v>
      </c>
      <c r="EK33" s="51">
        <f>'LINEST VARS'!$U$54+'LINEST VARS'!$T$54*(8)+'LINEST VARS'!$S$54*(8)+'LINEST VARS'!$R$54*($EK$32)+'LINEST VARS'!$Q$54*(0.5)+'LINEST VARS'!$P$54*($DV33)+'LINEST VARS'!$O$54*(8^2)+'LINEST VARS'!$N$54*(8^2)+'LINEST VARS'!$M$54*($EK$32^2)+'LINEST VARS'!$L$54*(0.5^2)+'LINEST VARS'!$K$54*($DV33^2)+'LINEST VARS'!$J$54*(8*8)+'LINEST VARS'!$I$54*(8*$EK$32)+'LINEST VARS'!$H$54*(8*0.5)+'LINEST VARS'!$G$54*(8*$DV33)+'LINEST VARS'!$F$54*(8*$EK$32)+'LINEST VARS'!$E$54*(8*0.5)+'LINEST VARS'!$D$54*(8*$DV33)+'LINEST VARS'!$C$54*($EK$32*0.5)+'LINEST VARS'!$B$54*($EK$32*$DV33)+'LINEST VARS'!$A$54*(0.5*$DV33)</f>
        <v>3.9749999999999996</v>
      </c>
      <c r="EL33" s="51">
        <f>'LINEST VARS'!$U$54+'LINEST VARS'!$T$54*(8)+'LINEST VARS'!$S$54*(8)+'LINEST VARS'!$R$54*($EL$32)+'LINEST VARS'!$Q$54*(0.5)+'LINEST VARS'!$P$54*($DV33)+'LINEST VARS'!$O$54*(8^2)+'LINEST VARS'!$N$54*(8^2)+'LINEST VARS'!$M$54*($EL$32^2)+'LINEST VARS'!$L$54*(0.5^2)+'LINEST VARS'!$K$54*($DV33^2)+'LINEST VARS'!$J$54*(8*8)+'LINEST VARS'!$I$54*(8*$EL$32)+'LINEST VARS'!$H$54*(8*0.5)+'LINEST VARS'!$G$54*(8*$DV33)+'LINEST VARS'!$F$54*(8*$EL$32)+'LINEST VARS'!$E$54*(8*0.5)+'LINEST VARS'!$D$54*(8*$DV33)+'LINEST VARS'!$C$54*($EL$32*0.5)+'LINEST VARS'!$B$54*($EL$32*$DV33)+'LINEST VARS'!$A$54*(0.5*$DV33)</f>
        <v>3.9749999999999996</v>
      </c>
      <c r="EM33" s="51">
        <f>'LINEST VARS'!$U$54+'LINEST VARS'!$T$54*(8)+'LINEST VARS'!$S$54*(8)+'LINEST VARS'!$R$54*($EM$32)+'LINEST VARS'!$Q$54*(0.5)+'LINEST VARS'!$P$54*($DV33)+'LINEST VARS'!$O$54*(8^2)+'LINEST VARS'!$N$54*(8^2)+'LINEST VARS'!$M$54*($EM$32^2)+'LINEST VARS'!$L$54*(0.5^2)+'LINEST VARS'!$K$54*($DV33^2)+'LINEST VARS'!$J$54*(8*8)+'LINEST VARS'!$I$54*(8*$EM$32)+'LINEST VARS'!$H$54*(8*0.5)+'LINEST VARS'!$G$54*(8*$DV33)+'LINEST VARS'!$F$54*(8*$EM$32)+'LINEST VARS'!$E$54*(8*0.5)+'LINEST VARS'!$D$54*(8*$DV33)+'LINEST VARS'!$C$54*($EM$32*0.5)+'LINEST VARS'!$B$54*($EM$32*$DV33)+'LINEST VARS'!$A$54*(0.5*$DV33)</f>
        <v>3.9749999999999996</v>
      </c>
      <c r="EN33" s="51">
        <f>'LINEST VARS'!$U$54+'LINEST VARS'!$T$54*(8)+'LINEST VARS'!$S$54*(8)+'LINEST VARS'!$R$54*($EN$32)+'LINEST VARS'!$Q$54*(0.5)+'LINEST VARS'!$P$54*($DV33)+'LINEST VARS'!$O$54*(8^2)+'LINEST VARS'!$N$54*(8^2)+'LINEST VARS'!$M$54*($EN$32^2)+'LINEST VARS'!$L$54*(0.5^2)+'LINEST VARS'!$K$54*($DV33^2)+'LINEST VARS'!$J$54*(8*8)+'LINEST VARS'!$I$54*(8*$EN$32)+'LINEST VARS'!$H$54*(8*0.5)+'LINEST VARS'!$G$54*(8*$DV33)+'LINEST VARS'!$F$54*(8*$EN$32)+'LINEST VARS'!$E$54*(8*0.5)+'LINEST VARS'!$D$54*(8*$DV33)+'LINEST VARS'!$C$54*($EN$32*0.5)+'LINEST VARS'!$B$54*($EN$32*$DV33)+'LINEST VARS'!$A$54*(0.5*$DV33)</f>
        <v>3.9749999999999996</v>
      </c>
      <c r="EO33" s="51">
        <f>'LINEST VARS'!$U$54+'LINEST VARS'!$T$54*(8)+'LINEST VARS'!$S$54*(8)+'LINEST VARS'!$R$54*($EO$32)+'LINEST VARS'!$Q$54*(0.5)+'LINEST VARS'!$P$54*($DV33)+'LINEST VARS'!$O$54*(8^2)+'LINEST VARS'!$N$54*(8^2)+'LINEST VARS'!$M$54*($EO$32^2)+'LINEST VARS'!$L$54*(0.5^2)+'LINEST VARS'!$K$54*($DV33^2)+'LINEST VARS'!$J$54*(8*8)+'LINEST VARS'!$I$54*(8*$EO$32)+'LINEST VARS'!$H$54*(8*0.5)+'LINEST VARS'!$G$54*(8*$DV33)+'LINEST VARS'!$F$54*(8*$EO$32)+'LINEST VARS'!$E$54*(8*0.5)+'LINEST VARS'!$D$54*(8*$DV33)+'LINEST VARS'!$C$54*($EO$32*0.5)+'LINEST VARS'!$B$54*($EO$32*$DV33)+'LINEST VARS'!$A$54*(0.5*$DV33)</f>
        <v>3.9749999999999996</v>
      </c>
      <c r="EP33" s="51">
        <f>'LINEST VARS'!$U$54+'LINEST VARS'!$T$54*(8)+'LINEST VARS'!$S$54*(8)+'LINEST VARS'!$R$54*($EP$32)+'LINEST VARS'!$Q$54*(0.5)+'LINEST VARS'!$P$54*($DV33)+'LINEST VARS'!$O$54*(8^2)+'LINEST VARS'!$N$54*(8^2)+'LINEST VARS'!$M$54*($EP$32^2)+'LINEST VARS'!$L$54*(0.5^2)+'LINEST VARS'!$K$54*($DV33^2)+'LINEST VARS'!$J$54*(8*8)+'LINEST VARS'!$I$54*(8*$EP$32)+'LINEST VARS'!$H$54*(8*0.5)+'LINEST VARS'!$G$54*(8*$DV33)+'LINEST VARS'!$F$54*(8*$EP$32)+'LINEST VARS'!$E$54*(8*0.5)+'LINEST VARS'!$D$54*(8*$DV33)+'LINEST VARS'!$C$54*($EP$32*0.5)+'LINEST VARS'!$B$54*($EP$32*$DV33)+'LINEST VARS'!$A$54*(0.5*$DV33)</f>
        <v>3.9749999999999996</v>
      </c>
      <c r="EQ33" s="52">
        <f>'LINEST VARS'!$U$54+'LINEST VARS'!$T$54*(8)+'LINEST VARS'!$S$54*(8)+'LINEST VARS'!$R$54*($EQ$32)+'LINEST VARS'!$Q$54*(0.5)+'LINEST VARS'!$P$54*($DV33)+'LINEST VARS'!$O$54*(8^2)+'LINEST VARS'!$N$54*(8^2)+'LINEST VARS'!$M$54*($EQ$32^2)+'LINEST VARS'!$L$54*(0.5^2)+'LINEST VARS'!$K$54*($DV33^2)+'LINEST VARS'!$J$54*(8*8)+'LINEST VARS'!$I$54*(8*$EQ$32)+'LINEST VARS'!$H$54*(8*0.5)+'LINEST VARS'!$G$54*(8*$DV33)+'LINEST VARS'!$F$54*(8*$EQ$32)+'LINEST VARS'!$E$54*(8*0.5)+'LINEST VARS'!$D$54*(8*$DV33)+'LINEST VARS'!$C$54*($EQ$32*0.5)+'LINEST VARS'!$B$54*($EQ$32*$DV33)+'LINEST VARS'!$A$54*(0.5*$DV33)</f>
        <v>3.9749999999999996</v>
      </c>
    </row>
    <row r="34" spans="2:147" ht="15" customHeight="1" x14ac:dyDescent="0.25">
      <c r="B34" s="45">
        <v>7.46</v>
      </c>
      <c r="C34" s="51">
        <f>'LINEST VARS'!$U$52+'LINEST VARS'!$T$52*($C$32)+'LINEST VARS'!$S$52*($B34)+'LINEST VARS'!$R$52*(4)+'LINEST VARS'!$Q$52*(0.5)+'LINEST VARS'!$P$52*(12.73)+'LINEST VARS'!$O$52*($C$32^2)+'LINEST VARS'!$N$52*($B34^2)+'LINEST VARS'!$M$52*(4^2)+'LINEST VARS'!$L$52*(0.5^2)+'LINEST VARS'!$K$52*(12.73^2)+'LINEST VARS'!$J$52*($C$32*$B34)+'LINEST VARS'!$I$52*($C$32*4)+'LINEST VARS'!$H$52*($C$32*0.5)+'LINEST VARS'!$G$52*($C$32*12.73)+'LINEST VARS'!$F$52*($B34*4)+'LINEST VARS'!$E$52*($B34*0.5)+'LINEST VARS'!$D$52*($B34*12.73)+'LINEST VARS'!$C$52*(4*0.5)+'LINEST VARS'!$B$52*(4*12.73)+'LINEST VARS'!$A$52*(0.5*12.73)</f>
        <v>4.4499999999999993</v>
      </c>
      <c r="D34" s="51">
        <f>'LINEST VARS'!$U$52+'LINEST VARS'!$T$52*($D$32)+'LINEST VARS'!$S$52*($B34)+'LINEST VARS'!$R$52*(4)+'LINEST VARS'!$Q$52*(0.5)+'LINEST VARS'!$P$52*(12.73)+'LINEST VARS'!$O$52*($D$32^2)+'LINEST VARS'!$N$52*($B34^2)+'LINEST VARS'!$M$52*(4^2)+'LINEST VARS'!$L$52*(0.5^2)+'LINEST VARS'!$K$52*(12.73^2)+'LINEST VARS'!$J$52*($D$32*$B34)+'LINEST VARS'!$I$52*($D$32*4)+'LINEST VARS'!$H$52*($D$32*0.5)+'LINEST VARS'!$G$52*($D$32*12.73)+'LINEST VARS'!$F$52*($B34*4)+'LINEST VARS'!$E$52*($B34*0.5)+'LINEST VARS'!$D$52*($B34*12.73)+'LINEST VARS'!$C$52*(4*0.5)+'LINEST VARS'!$B$52*(4*12.73)+'LINEST VARS'!$A$52*(0.5*12.73)</f>
        <v>4.4499999999999993</v>
      </c>
      <c r="E34" s="51">
        <f>'LINEST VARS'!$U$52+'LINEST VARS'!$T$52*($E$32)+'LINEST VARS'!$S$52*($B34)+'LINEST VARS'!$R$52*(4)+'LINEST VARS'!$Q$52*(0.5)+'LINEST VARS'!$P$52*(12.73)+'LINEST VARS'!$O$52*($E$32^2)+'LINEST VARS'!$N$52*($B34^2)+'LINEST VARS'!$M$52*(4^2)+'LINEST VARS'!$L$52*(0.5^2)+'LINEST VARS'!$K$52*(12.73^2)+'LINEST VARS'!$J$52*($E$32*$B34)+'LINEST VARS'!$I$52*($E$32*4)+'LINEST VARS'!$H$52*($E$32*0.5)+'LINEST VARS'!$G$52*($E$32*12.73)+'LINEST VARS'!$F$52*($B34*4)+'LINEST VARS'!$E$52*($B34*0.5)+'LINEST VARS'!$D$52*($B34*12.73)+'LINEST VARS'!$C$52*(4*0.5)+'LINEST VARS'!$B$52*(4*12.73)+'LINEST VARS'!$A$52*(0.5*12.73)</f>
        <v>4.4499999999999993</v>
      </c>
      <c r="F34" s="51">
        <f>'LINEST VARS'!$U$52+'LINEST VARS'!$T$52*($F$32)+'LINEST VARS'!$S$52*($B34)+'LINEST VARS'!$R$52*(4)+'LINEST VARS'!$Q$52*(0.5)+'LINEST VARS'!$P$52*(12.73)+'LINEST VARS'!$O$52*($F$32^2)+'LINEST VARS'!$N$52*($B34^2)+'LINEST VARS'!$M$52*(4^2)+'LINEST VARS'!$L$52*(0.5^2)+'LINEST VARS'!$K$52*(12.73^2)+'LINEST VARS'!$J$52*($F$32*$B34)+'LINEST VARS'!$I$52*($F$32*4)+'LINEST VARS'!$H$52*($F$32*0.5)+'LINEST VARS'!$G$52*($F$32*12.73)+'LINEST VARS'!$F$52*($B34*4)+'LINEST VARS'!$E$52*($B34*0.5)+'LINEST VARS'!$D$52*($B34*12.73)+'LINEST VARS'!$C$52*(4*0.5)+'LINEST VARS'!$B$52*(4*12.73)+'LINEST VARS'!$A$52*(0.5*12.73)</f>
        <v>4.4499999999999993</v>
      </c>
      <c r="G34" s="51">
        <f>'LINEST VARS'!$U$52+'LINEST VARS'!$T$52*($G$32)+'LINEST VARS'!$S$52*($B34)+'LINEST VARS'!$R$52*(4)+'LINEST VARS'!$Q$52*(0.5)+'LINEST VARS'!$P$52*(12.73)+'LINEST VARS'!$O$52*($G$32^2)+'LINEST VARS'!$N$52*($B34^2)+'LINEST VARS'!$M$52*(4^2)+'LINEST VARS'!$L$52*(0.5^2)+'LINEST VARS'!$K$52*(12.73^2)+'LINEST VARS'!$J$52*($G$32*$B34)+'LINEST VARS'!$I$52*($G$32*4)+'LINEST VARS'!$H$52*($G$32*0.5)+'LINEST VARS'!$G$52*($G$32*12.73)+'LINEST VARS'!$F$52*($B34*4)+'LINEST VARS'!$E$52*($B34*0.5)+'LINEST VARS'!$D$52*($B34*12.73)+'LINEST VARS'!$C$52*(4*0.5)+'LINEST VARS'!$B$52*(4*12.73)+'LINEST VARS'!$A$52*(0.5*12.73)</f>
        <v>4.4499999999999993</v>
      </c>
      <c r="H34" s="51">
        <f>'LINEST VARS'!$U$52+'LINEST VARS'!$T$52*($H$32)+'LINEST VARS'!$S$52*($B34)+'LINEST VARS'!$R$52*(4)+'LINEST VARS'!$Q$52*(0.5)+'LINEST VARS'!$P$52*(12.73)+'LINEST VARS'!$O$52*($H$32^2)+'LINEST VARS'!$N$52*($B34^2)+'LINEST VARS'!$M$52*(4^2)+'LINEST VARS'!$L$52*(0.5^2)+'LINEST VARS'!$K$52*(12.73^2)+'LINEST VARS'!$J$52*($H$32*$B34)+'LINEST VARS'!$I$52*($H$32*4)+'LINEST VARS'!$H$52*($H$32*0.5)+'LINEST VARS'!$G$52*($H$32*12.73)+'LINEST VARS'!$F$52*($B34*4)+'LINEST VARS'!$E$52*($B34*0.5)+'LINEST VARS'!$D$52*($B34*12.73)+'LINEST VARS'!$C$52*(4*0.5)+'LINEST VARS'!$B$52*(4*12.73)+'LINEST VARS'!$A$52*(0.5*12.73)</f>
        <v>4.4499999999999993</v>
      </c>
      <c r="I34" s="51">
        <f>'LINEST VARS'!$U$52+'LINEST VARS'!$T$52*($I$32)+'LINEST VARS'!$S$52*($B34)+'LINEST VARS'!$R$52*(4)+'LINEST VARS'!$Q$52*(0.5)+'LINEST VARS'!$P$52*(12.73)+'LINEST VARS'!$O$52*($I$32^2)+'LINEST VARS'!$N$52*($B34^2)+'LINEST VARS'!$M$52*(4^2)+'LINEST VARS'!$L$52*(0.5^2)+'LINEST VARS'!$K$52*(12.73^2)+'LINEST VARS'!$J$52*($I$32*$B34)+'LINEST VARS'!$I$52*($I$32*4)+'LINEST VARS'!$H$52*($I$32*0.5)+'LINEST VARS'!$G$52*($I$32*12.73)+'LINEST VARS'!$F$52*($B34*4)+'LINEST VARS'!$E$52*($B34*0.5)+'LINEST VARS'!$D$52*($B34*12.73)+'LINEST VARS'!$C$52*(4*0.5)+'LINEST VARS'!$B$52*(4*12.73)+'LINEST VARS'!$A$52*(0.5*12.73)</f>
        <v>4.4499999999999993</v>
      </c>
      <c r="J34" s="51">
        <f>'LINEST VARS'!$U$52+'LINEST VARS'!$T$52*($J$32)+'LINEST VARS'!$S$52*($B34)+'LINEST VARS'!$R$52*(4)+'LINEST VARS'!$Q$52*(0.5)+'LINEST VARS'!$P$52*(12.73)+'LINEST VARS'!$O$52*($J$32^2)+'LINEST VARS'!$N$52*($B34^2)+'LINEST VARS'!$M$52*(4^2)+'LINEST VARS'!$L$52*(0.5^2)+'LINEST VARS'!$K$52*(12.73^2)+'LINEST VARS'!$J$52*($J$32*$B34)+'LINEST VARS'!$I$52*($J$32*4)+'LINEST VARS'!$H$52*($J$32*0.5)+'LINEST VARS'!$G$52*($J$32*12.73)+'LINEST VARS'!$F$52*($B34*4)+'LINEST VARS'!$E$52*($B34*0.5)+'LINEST VARS'!$D$52*($B34*12.73)+'LINEST VARS'!$C$52*(4*0.5)+'LINEST VARS'!$B$52*(4*12.73)+'LINEST VARS'!$A$52*(0.5*12.73)</f>
        <v>4.4499999999999993</v>
      </c>
      <c r="K34" s="51">
        <f>'LINEST VARS'!$U$52+'LINEST VARS'!$T$52*($K$32)+'LINEST VARS'!$S$52*($B34)+'LINEST VARS'!$R$52*(4)+'LINEST VARS'!$Q$52*(0.5)+'LINEST VARS'!$P$52*(12.73)+'LINEST VARS'!$O$52*($K$32^2)+'LINEST VARS'!$N$52*($B34^2)+'LINEST VARS'!$M$52*(4^2)+'LINEST VARS'!$L$52*(0.5^2)+'LINEST VARS'!$K$52*(12.73^2)+'LINEST VARS'!$J$52*($K$32*$B34)+'LINEST VARS'!$I$52*($K$32*4)+'LINEST VARS'!$H$52*($K$32*0.5)+'LINEST VARS'!$G$52*($K$32*12.73)+'LINEST VARS'!$F$52*($B34*4)+'LINEST VARS'!$E$52*($B34*0.5)+'LINEST VARS'!$D$52*($B34*12.73)+'LINEST VARS'!$C$52*(4*0.5)+'LINEST VARS'!$B$52*(4*12.73)+'LINEST VARS'!$A$52*(0.5*12.73)</f>
        <v>4.4499999999999993</v>
      </c>
      <c r="L34" s="51">
        <f>'LINEST VARS'!$U$52+'LINEST VARS'!$T$52*($L$32)+'LINEST VARS'!$S$52*($B34)+'LINEST VARS'!$R$52*(4)+'LINEST VARS'!$Q$52*(0.5)+'LINEST VARS'!$P$52*(12.73)+'LINEST VARS'!$O$52*($L$32^2)+'LINEST VARS'!$N$52*($B34^2)+'LINEST VARS'!$M$52*(4^2)+'LINEST VARS'!$L$52*(0.5^2)+'LINEST VARS'!$K$52*(12.73^2)+'LINEST VARS'!$J$52*($L$32*$B34)+'LINEST VARS'!$I$52*($L$32*4)+'LINEST VARS'!$H$52*($L$32*0.5)+'LINEST VARS'!$G$52*($L$32*12.73)+'LINEST VARS'!$F$52*($B34*4)+'LINEST VARS'!$E$52*($B34*0.5)+'LINEST VARS'!$D$52*($B34*12.73)+'LINEST VARS'!$C$52*(4*0.5)+'LINEST VARS'!$B$52*(4*12.73)+'LINEST VARS'!$A$52*(0.5*12.73)</f>
        <v>4.4499999999999993</v>
      </c>
      <c r="M34" s="51">
        <f>'LINEST VARS'!$U$52+'LINEST VARS'!$T$52*($M$32)+'LINEST VARS'!$S$52*($B34)+'LINEST VARS'!$R$52*(4)+'LINEST VARS'!$Q$52*(0.5)+'LINEST VARS'!$P$52*(12.73)+'LINEST VARS'!$O$52*($M$32^2)+'LINEST VARS'!$N$52*($B34^2)+'LINEST VARS'!$M$52*(4^2)+'LINEST VARS'!$L$52*(0.5^2)+'LINEST VARS'!$K$52*(12.73^2)+'LINEST VARS'!$J$52*($M$32*$B34)+'LINEST VARS'!$I$52*($M$32*4)+'LINEST VARS'!$H$52*($M$32*0.5)+'LINEST VARS'!$G$52*($M$32*12.73)+'LINEST VARS'!$F$52*($B34*4)+'LINEST VARS'!$E$52*($B34*0.5)+'LINEST VARS'!$D$52*($B34*12.73)+'LINEST VARS'!$C$52*(4*0.5)+'LINEST VARS'!$B$52*(4*12.73)+'LINEST VARS'!$A$52*(0.5*12.73)</f>
        <v>4.4499999999999993</v>
      </c>
      <c r="N34" s="51">
        <f>'LINEST VARS'!$U$52+'LINEST VARS'!$T$52*($N$32)+'LINEST VARS'!$S$52*($B34)+'LINEST VARS'!$R$52*(4)+'LINEST VARS'!$Q$52*(0.5)+'LINEST VARS'!$P$52*(12.73)+'LINEST VARS'!$O$52*($N$32^2)+'LINEST VARS'!$N$52*($B34^2)+'LINEST VARS'!$M$52*(4^2)+'LINEST VARS'!$L$52*(0.5^2)+'LINEST VARS'!$K$52*(12.73^2)+'LINEST VARS'!$J$52*($N$32*$B34)+'LINEST VARS'!$I$52*($N$32*4)+'LINEST VARS'!$H$52*($N$32*0.5)+'LINEST VARS'!$G$52*($N$32*12.73)+'LINEST VARS'!$F$52*($B34*4)+'LINEST VARS'!$E$52*($B34*0.5)+'LINEST VARS'!$D$52*($B34*12.73)+'LINEST VARS'!$C$52*(4*0.5)+'LINEST VARS'!$B$52*(4*12.73)+'LINEST VARS'!$A$52*(0.5*12.73)</f>
        <v>4.4499999999999993</v>
      </c>
      <c r="O34" s="51">
        <f>'LINEST VARS'!$U$52+'LINEST VARS'!$T$52*($O$32)+'LINEST VARS'!$S$52*($B34)+'LINEST VARS'!$R$52*(4)+'LINEST VARS'!$Q$52*(0.5)+'LINEST VARS'!$P$52*(12.73)+'LINEST VARS'!$O$52*($O$32^2)+'LINEST VARS'!$N$52*($B34^2)+'LINEST VARS'!$M$52*(4^2)+'LINEST VARS'!$L$52*(0.5^2)+'LINEST VARS'!$K$52*(12.73^2)+'LINEST VARS'!$J$52*($O$32*$B34)+'LINEST VARS'!$I$52*($O$32*4)+'LINEST VARS'!$H$52*($O$32*0.5)+'LINEST VARS'!$G$52*($O$32*12.73)+'LINEST VARS'!$F$52*($B34*4)+'LINEST VARS'!$E$52*($B34*0.5)+'LINEST VARS'!$D$52*($B34*12.73)+'LINEST VARS'!$C$52*(4*0.5)+'LINEST VARS'!$B$52*(4*12.73)+'LINEST VARS'!$A$52*(0.5*12.73)</f>
        <v>4.4499999999999993</v>
      </c>
      <c r="P34" s="51">
        <f>'LINEST VARS'!$U$52+'LINEST VARS'!$T$52*($P$32)+'LINEST VARS'!$S$52*($B34)+'LINEST VARS'!$R$52*(4)+'LINEST VARS'!$Q$52*(0.5)+'LINEST VARS'!$P$52*(12.73)+'LINEST VARS'!$O$52*($P$32^2)+'LINEST VARS'!$N$52*($B34^2)+'LINEST VARS'!$M$52*(4^2)+'LINEST VARS'!$L$52*(0.5^2)+'LINEST VARS'!$K$52*(12.73^2)+'LINEST VARS'!$J$52*($P$32*$B34)+'LINEST VARS'!$I$52*($P$32*4)+'LINEST VARS'!$H$52*($P$32*0.5)+'LINEST VARS'!$G$52*($P$32*12.73)+'LINEST VARS'!$F$52*($B34*4)+'LINEST VARS'!$E$52*($B34*0.5)+'LINEST VARS'!$D$52*($B34*12.73)+'LINEST VARS'!$C$52*(4*0.5)+'LINEST VARS'!$B$52*(4*12.73)+'LINEST VARS'!$A$52*(0.5*12.73)</f>
        <v>4.4499999999999993</v>
      </c>
      <c r="Q34" s="51">
        <f>'LINEST VARS'!$U$52+'LINEST VARS'!$T$52*($Q$32)+'LINEST VARS'!$S$52*($B34)+'LINEST VARS'!$R$52*(4)+'LINEST VARS'!$Q$52*(0.5)+'LINEST VARS'!$P$52*(12.73)+'LINEST VARS'!$O$52*($Q$32^2)+'LINEST VARS'!$N$52*($B34^2)+'LINEST VARS'!$M$52*(4^2)+'LINEST VARS'!$L$52*(0.5^2)+'LINEST VARS'!$K$52*(12.73^2)+'LINEST VARS'!$J$52*($Q$32*$B34)+'LINEST VARS'!$I$52*($Q$32*4)+'LINEST VARS'!$H$52*($Q$32*0.5)+'LINEST VARS'!$G$52*($Q$32*12.73)+'LINEST VARS'!$F$52*($B34*4)+'LINEST VARS'!$E$52*($B34*0.5)+'LINEST VARS'!$D$52*($B34*12.73)+'LINEST VARS'!$C$52*(4*0.5)+'LINEST VARS'!$B$52*(4*12.73)+'LINEST VARS'!$A$52*(0.5*12.73)</f>
        <v>4.4499999999999993</v>
      </c>
      <c r="R34" s="51">
        <f>'LINEST VARS'!$U$52+'LINEST VARS'!$T$52*($R$32)+'LINEST VARS'!$S$52*($B34)+'LINEST VARS'!$R$52*(4)+'LINEST VARS'!$Q$52*(0.5)+'LINEST VARS'!$P$52*(12.73)+'LINEST VARS'!$O$52*($R$32^2)+'LINEST VARS'!$N$52*($B34^2)+'LINEST VARS'!$M$52*(4^2)+'LINEST VARS'!$L$52*(0.5^2)+'LINEST VARS'!$K$52*(12.73^2)+'LINEST VARS'!$J$52*($R$32*$B34)+'LINEST VARS'!$I$52*($R$32*4)+'LINEST VARS'!$H$52*($R$32*0.5)+'LINEST VARS'!$G$52*($R$32*12.73)+'LINEST VARS'!$F$52*($B34*4)+'LINEST VARS'!$E$52*($B34*0.5)+'LINEST VARS'!$D$52*($B34*12.73)+'LINEST VARS'!$C$52*(4*0.5)+'LINEST VARS'!$B$52*(4*12.73)+'LINEST VARS'!$A$52*(0.5*12.73)</f>
        <v>4.4499999999999993</v>
      </c>
      <c r="S34" s="51">
        <f>'LINEST VARS'!$U$52+'LINEST VARS'!$T$52*($S$32)+'LINEST VARS'!$S$52*($B34)+'LINEST VARS'!$R$52*(4)+'LINEST VARS'!$Q$52*(0.5)+'LINEST VARS'!$P$52*(12.73)+'LINEST VARS'!$O$52*($S$32^2)+'LINEST VARS'!$N$52*($B34^2)+'LINEST VARS'!$M$52*(4^2)+'LINEST VARS'!$L$52*(0.5^2)+'LINEST VARS'!$K$52*(12.73^2)+'LINEST VARS'!$J$52*($S$32*$B34)+'LINEST VARS'!$I$52*($S$32*4)+'LINEST VARS'!$H$52*($S$32*0.5)+'LINEST VARS'!$G$52*($S$32*12.73)+'LINEST VARS'!$F$52*($B34*4)+'LINEST VARS'!$E$52*($B34*0.5)+'LINEST VARS'!$D$52*($B34*12.73)+'LINEST VARS'!$C$52*(4*0.5)+'LINEST VARS'!$B$52*(4*12.73)+'LINEST VARS'!$A$52*(0.5*12.73)</f>
        <v>4.4499999999999993</v>
      </c>
      <c r="T34" s="51">
        <f>'LINEST VARS'!$U$52+'LINEST VARS'!$T$52*($T$32)+'LINEST VARS'!$S$52*($B34)+'LINEST VARS'!$R$52*(4)+'LINEST VARS'!$Q$52*(0.5)+'LINEST VARS'!$P$52*(12.73)+'LINEST VARS'!$O$52*($T$32^2)+'LINEST VARS'!$N$52*($B34^2)+'LINEST VARS'!$M$52*(4^2)+'LINEST VARS'!$L$52*(0.5^2)+'LINEST VARS'!$K$52*(12.73^2)+'LINEST VARS'!$J$52*($T$32*$B34)+'LINEST VARS'!$I$52*($T$32*4)+'LINEST VARS'!$H$52*($T$32*0.5)+'LINEST VARS'!$G$52*($T$32*12.73)+'LINEST VARS'!$F$52*($B34*4)+'LINEST VARS'!$E$52*($B34*0.5)+'LINEST VARS'!$D$52*($B34*12.73)+'LINEST VARS'!$C$52*(4*0.5)+'LINEST VARS'!$B$52*(4*12.73)+'LINEST VARS'!$A$52*(0.5*12.73)</f>
        <v>4.4499999999999993</v>
      </c>
      <c r="U34" s="51">
        <f>'LINEST VARS'!$U$52+'LINEST VARS'!$T$52*($U$32)+'LINEST VARS'!$S$52*($B34)+'LINEST VARS'!$R$52*(4)+'LINEST VARS'!$Q$52*(0.5)+'LINEST VARS'!$P$52*(12.73)+'LINEST VARS'!$O$52*($U$32^2)+'LINEST VARS'!$N$52*($B34^2)+'LINEST VARS'!$M$52*(4^2)+'LINEST VARS'!$L$52*(0.5^2)+'LINEST VARS'!$K$52*(12.73^2)+'LINEST VARS'!$J$52*($U$32*$B34)+'LINEST VARS'!$I$52*($U$32*4)+'LINEST VARS'!$H$52*($U$32*0.5)+'LINEST VARS'!$G$52*($U$32*12.73)+'LINEST VARS'!$F$52*($B34*4)+'LINEST VARS'!$E$52*($B34*0.5)+'LINEST VARS'!$D$52*($B34*12.73)+'LINEST VARS'!$C$52*(4*0.5)+'LINEST VARS'!$B$52*(4*12.73)+'LINEST VARS'!$A$52*(0.5*12.73)</f>
        <v>4.4499999999999993</v>
      </c>
      <c r="V34" s="51">
        <f>'LINEST VARS'!$U$52+'LINEST VARS'!$T$52*($V$32)+'LINEST VARS'!$S$52*($B34)+'LINEST VARS'!$R$52*(4)+'LINEST VARS'!$Q$52*(0.5)+'LINEST VARS'!$P$52*(12.73)+'LINEST VARS'!$O$52*($V$32^2)+'LINEST VARS'!$N$52*($B34^2)+'LINEST VARS'!$M$52*(4^2)+'LINEST VARS'!$L$52*(0.5^2)+'LINEST VARS'!$K$52*(12.73^2)+'LINEST VARS'!$J$52*($V$32*$B34)+'LINEST VARS'!$I$52*($V$32*4)+'LINEST VARS'!$H$52*($V$32*0.5)+'LINEST VARS'!$G$52*($V$32*12.73)+'LINEST VARS'!$F$52*($B34*4)+'LINEST VARS'!$E$52*($B34*0.5)+'LINEST VARS'!$D$52*($B34*12.73)+'LINEST VARS'!$C$52*(4*0.5)+'LINEST VARS'!$B$52*(4*12.73)+'LINEST VARS'!$A$52*(0.5*12.73)</f>
        <v>4.45</v>
      </c>
      <c r="W34" s="52">
        <f>'LINEST VARS'!$U$52+'LINEST VARS'!$T$52*($W$32)+'LINEST VARS'!$S$52*($B34)+'LINEST VARS'!$R$52*(4)+'LINEST VARS'!$Q$52*(0.5)+'LINEST VARS'!$P$52*(12.73)+'LINEST VARS'!$O$52*($W$32^2)+'LINEST VARS'!$N$52*($B34^2)+'LINEST VARS'!$M$52*(4^2)+'LINEST VARS'!$L$52*(0.5^2)+'LINEST VARS'!$K$52*(12.73^2)+'LINEST VARS'!$J$52*($W$32*$B34)+'LINEST VARS'!$I$52*($W$32*4)+'LINEST VARS'!$H$52*($W$32*0.5)+'LINEST VARS'!$G$52*($W$32*12.73)+'LINEST VARS'!$F$52*($B34*4)+'LINEST VARS'!$E$52*($B34*0.5)+'LINEST VARS'!$D$52*($B34*12.73)+'LINEST VARS'!$C$52*(4*0.5)+'LINEST VARS'!$B$52*(4*12.73)+'LINEST VARS'!$A$52*(0.5*12.73)</f>
        <v>4.45</v>
      </c>
      <c r="Z34" s="45">
        <v>7.46</v>
      </c>
      <c r="AA34" s="51">
        <f>'LINEST VARS'!$U$54+'LINEST VARS'!$T$54*($AA$32)+'LINEST VARS'!$S$54*($Z34)+'LINEST VARS'!$R$54*(4)+'LINEST VARS'!$Q$54*(0.5)+'LINEST VARS'!$P$54*(12.73)+'LINEST VARS'!$O$54*($AA$32^2)+'LINEST VARS'!$N$54*($Z34^2)+'LINEST VARS'!$M$54*(4^2)+'LINEST VARS'!$L$54*(0.5^2)+'LINEST VARS'!$K$54*(12.73^2)+'LINEST VARS'!$J$54*($AA$32*$Z34)+'LINEST VARS'!$I$54*($AA$32*4)+'LINEST VARS'!$H$54*($AA$32*0.5)+'LINEST VARS'!$G$54*($AA$32*12.73)+'LINEST VARS'!$F$54*($Z34*4)+'LINEST VARS'!$E$54*($Z34*0.5)+'LINEST VARS'!$D$54*($Z34*12.73)+'LINEST VARS'!$C$54*(4*0.5)+'LINEST VARS'!$B$54*(4*12.73)+'LINEST VARS'!$A$54*(0.5*12.73)</f>
        <v>3.9750000000000001</v>
      </c>
      <c r="AB34" s="51">
        <f>'LINEST VARS'!$U$54+'LINEST VARS'!$T$54*($AB$32)+'LINEST VARS'!$S$54*($Z34)+'LINEST VARS'!$R$54*(4)+'LINEST VARS'!$Q$54*(0.5)+'LINEST VARS'!$P$54*(12.73)+'LINEST VARS'!$O$54*($AB$32^2)+'LINEST VARS'!$N$54*($Z34^2)+'LINEST VARS'!$M$54*(4^2)+'LINEST VARS'!$L$54*(0.5^2)+'LINEST VARS'!$K$54*(12.73^2)+'LINEST VARS'!$J$54*($AB$32*$Z34)+'LINEST VARS'!$I$54*($AB$32*4)+'LINEST VARS'!$H$54*($AB$32*0.5)+'LINEST VARS'!$G$54*($AB$32*12.73)+'LINEST VARS'!$F$54*($Z34*4)+'LINEST VARS'!$E$54*($Z34*0.5)+'LINEST VARS'!$D$54*($Z34*12.73)+'LINEST VARS'!$C$54*(4*0.5)+'LINEST VARS'!$B$54*(4*12.73)+'LINEST VARS'!$A$54*(0.5*12.73)</f>
        <v>3.9750000000000001</v>
      </c>
      <c r="AC34" s="51">
        <f>'LINEST VARS'!$U$54+'LINEST VARS'!$T$54*($AC$32)+'LINEST VARS'!$S$54*($Z34)+'LINEST VARS'!$R$54*(4)+'LINEST VARS'!$Q$54*(0.5)+'LINEST VARS'!$P$54*(12.73)+'LINEST VARS'!$O$54*($AC$32^2)+'LINEST VARS'!$N$54*($Z34^2)+'LINEST VARS'!$M$54*(4^2)+'LINEST VARS'!$L$54*(0.5^2)+'LINEST VARS'!$K$54*(12.73^2)+'LINEST VARS'!$J$54*($AC$32*$Z34)+'LINEST VARS'!$I$54*($AC$32*4)+'LINEST VARS'!$H$54*($AC$32*0.5)+'LINEST VARS'!$G$54*($AC$32*12.73)+'LINEST VARS'!$F$54*($Z34*4)+'LINEST VARS'!$E$54*($Z34*0.5)+'LINEST VARS'!$D$54*($Z34*12.73)+'LINEST VARS'!$C$54*(4*0.5)+'LINEST VARS'!$B$54*(4*12.73)+'LINEST VARS'!$A$54*(0.5*12.73)</f>
        <v>3.9750000000000001</v>
      </c>
      <c r="AD34" s="51">
        <f>'LINEST VARS'!$U$54+'LINEST VARS'!$T$54*($AD$32)+'LINEST VARS'!$S$54*($Z34)+'LINEST VARS'!$R$54*(4)+'LINEST VARS'!$Q$54*(0.5)+'LINEST VARS'!$P$54*(12.73)+'LINEST VARS'!$O$54*($AD$32^2)+'LINEST VARS'!$N$54*($Z34^2)+'LINEST VARS'!$M$54*(4^2)+'LINEST VARS'!$L$54*(0.5^2)+'LINEST VARS'!$K$54*(12.73^2)+'LINEST VARS'!$J$54*($AD$32*$Z34)+'LINEST VARS'!$I$54*($AD$32*4)+'LINEST VARS'!$H$54*($AD$32*0.5)+'LINEST VARS'!$G$54*($AD$32*12.73)+'LINEST VARS'!$F$54*($Z34*4)+'LINEST VARS'!$E$54*($Z34*0.5)+'LINEST VARS'!$D$54*($Z34*12.73)+'LINEST VARS'!$C$54*(4*0.5)+'LINEST VARS'!$B$54*(4*12.73)+'LINEST VARS'!$A$54*(0.5*12.73)</f>
        <v>3.9750000000000001</v>
      </c>
      <c r="AE34" s="51">
        <f>'LINEST VARS'!$U$54+'LINEST VARS'!$T$54*($AE$32)+'LINEST VARS'!$S$54*($Z34)+'LINEST VARS'!$R$54*(4)+'LINEST VARS'!$Q$54*(0.5)+'LINEST VARS'!$P$54*(12.73)+'LINEST VARS'!$O$54*($AE$32^2)+'LINEST VARS'!$N$54*($Z34^2)+'LINEST VARS'!$M$54*(4^2)+'LINEST VARS'!$L$54*(0.5^2)+'LINEST VARS'!$K$54*(12.73^2)+'LINEST VARS'!$J$54*($AE$32*$Z34)+'LINEST VARS'!$I$54*($AE$32*4)+'LINEST VARS'!$H$54*($AE$32*0.5)+'LINEST VARS'!$G$54*($AE$32*12.73)+'LINEST VARS'!$F$54*($Z34*4)+'LINEST VARS'!$E$54*($Z34*0.5)+'LINEST VARS'!$D$54*($Z34*12.73)+'LINEST VARS'!$C$54*(4*0.5)+'LINEST VARS'!$B$54*(4*12.73)+'LINEST VARS'!$A$54*(0.5*12.73)</f>
        <v>3.9750000000000001</v>
      </c>
      <c r="AF34" s="51">
        <f>'LINEST VARS'!$U$54+'LINEST VARS'!$T$54*($AF$32)+'LINEST VARS'!$S$54*($Z34)+'LINEST VARS'!$R$54*(4)+'LINEST VARS'!$Q$54*(0.5)+'LINEST VARS'!$P$54*(12.73)+'LINEST VARS'!$O$54*($AF$32^2)+'LINEST VARS'!$N$54*($Z34^2)+'LINEST VARS'!$M$54*(4^2)+'LINEST VARS'!$L$54*(0.5^2)+'LINEST VARS'!$K$54*(12.73^2)+'LINEST VARS'!$J$54*($AF$32*$Z34)+'LINEST VARS'!$I$54*($AF$32*4)+'LINEST VARS'!$H$54*($AF$32*0.5)+'LINEST VARS'!$G$54*($AF$32*12.73)+'LINEST VARS'!$F$54*($Z34*4)+'LINEST VARS'!$E$54*($Z34*0.5)+'LINEST VARS'!$D$54*($Z34*12.73)+'LINEST VARS'!$C$54*(4*0.5)+'LINEST VARS'!$B$54*(4*12.73)+'LINEST VARS'!$A$54*(0.5*12.73)</f>
        <v>3.9750000000000001</v>
      </c>
      <c r="AG34" s="51">
        <f>'LINEST VARS'!$U$54+'LINEST VARS'!$T$54*($AG$32)+'LINEST VARS'!$S$54*($Z34)+'LINEST VARS'!$R$54*(4)+'LINEST VARS'!$Q$54*(0.5)+'LINEST VARS'!$P$54*(12.73)+'LINEST VARS'!$O$54*($AG$32^2)+'LINEST VARS'!$N$54*($Z34^2)+'LINEST VARS'!$M$54*(4^2)+'LINEST VARS'!$L$54*(0.5^2)+'LINEST VARS'!$K$54*(12.73^2)+'LINEST VARS'!$J$54*($AG$32*$Z34)+'LINEST VARS'!$I$54*($AG$32*4)+'LINEST VARS'!$H$54*($AG$32*0.5)+'LINEST VARS'!$G$54*($AG$32*12.73)+'LINEST VARS'!$F$54*($Z34*4)+'LINEST VARS'!$E$54*($Z34*0.5)+'LINEST VARS'!$D$54*($Z34*12.73)+'LINEST VARS'!$C$54*(4*0.5)+'LINEST VARS'!$B$54*(4*12.73)+'LINEST VARS'!$A$54*(0.5*12.73)</f>
        <v>3.9750000000000001</v>
      </c>
      <c r="AH34" s="51">
        <f>'LINEST VARS'!$U$54+'LINEST VARS'!$T$54*($AH$32)+'LINEST VARS'!$S$54*($Z34)+'LINEST VARS'!$R$54*(4)+'LINEST VARS'!$Q$54*(0.5)+'LINEST VARS'!$P$54*(12.73)+'LINEST VARS'!$O$54*($AH$32^2)+'LINEST VARS'!$N$54*($Z34^2)+'LINEST VARS'!$M$54*(4^2)+'LINEST VARS'!$L$54*(0.5^2)+'LINEST VARS'!$K$54*(12.73^2)+'LINEST VARS'!$J$54*($AH$32*$Z34)+'LINEST VARS'!$I$54*($AH$32*4)+'LINEST VARS'!$H$54*($AH$32*0.5)+'LINEST VARS'!$G$54*($AH$32*12.73)+'LINEST VARS'!$F$54*($Z34*4)+'LINEST VARS'!$E$54*($Z34*0.5)+'LINEST VARS'!$D$54*($Z34*12.73)+'LINEST VARS'!$C$54*(4*0.5)+'LINEST VARS'!$B$54*(4*12.73)+'LINEST VARS'!$A$54*(0.5*12.73)</f>
        <v>3.9750000000000001</v>
      </c>
      <c r="AI34" s="51">
        <f>'LINEST VARS'!$U$54+'LINEST VARS'!$T$54*($AI$32)+'LINEST VARS'!$S$54*($Z34)+'LINEST VARS'!$R$54*(4)+'LINEST VARS'!$Q$54*(0.5)+'LINEST VARS'!$P$54*(12.73)+'LINEST VARS'!$O$54*($AI$32^2)+'LINEST VARS'!$N$54*($Z34^2)+'LINEST VARS'!$M$54*(4^2)+'LINEST VARS'!$L$54*(0.5^2)+'LINEST VARS'!$K$54*(12.73^2)+'LINEST VARS'!$J$54*($AI$32*$Z34)+'LINEST VARS'!$I$54*($AI$32*4)+'LINEST VARS'!$H$54*($AI$32*0.5)+'LINEST VARS'!$G$54*($AI$32*12.73)+'LINEST VARS'!$F$54*($Z34*4)+'LINEST VARS'!$E$54*($Z34*0.5)+'LINEST VARS'!$D$54*($Z34*12.73)+'LINEST VARS'!$C$54*(4*0.5)+'LINEST VARS'!$B$54*(4*12.73)+'LINEST VARS'!$A$54*(0.5*12.73)</f>
        <v>3.9750000000000001</v>
      </c>
      <c r="AJ34" s="51">
        <f>'LINEST VARS'!$U$54+'LINEST VARS'!$T$54*($AJ$32)+'LINEST VARS'!$S$54*($Z34)+'LINEST VARS'!$R$54*(4)+'LINEST VARS'!$Q$54*(0.5)+'LINEST VARS'!$P$54*(12.73)+'LINEST VARS'!$O$54*($AJ$32^2)+'LINEST VARS'!$N$54*($Z34^2)+'LINEST VARS'!$M$54*(4^2)+'LINEST VARS'!$L$54*(0.5^2)+'LINEST VARS'!$K$54*(12.73^2)+'LINEST VARS'!$J$54*($AJ$32*$Z34)+'LINEST VARS'!$I$54*($AJ$32*4)+'LINEST VARS'!$H$54*($AJ$32*0.5)+'LINEST VARS'!$G$54*($AJ$32*12.73)+'LINEST VARS'!$F$54*($Z34*4)+'LINEST VARS'!$E$54*($Z34*0.5)+'LINEST VARS'!$D$54*($Z34*12.73)+'LINEST VARS'!$C$54*(4*0.5)+'LINEST VARS'!$B$54*(4*12.73)+'LINEST VARS'!$A$54*(0.5*12.73)</f>
        <v>3.9750000000000001</v>
      </c>
      <c r="AK34" s="51">
        <f>'LINEST VARS'!$U$54+'LINEST VARS'!$T$54*($AK$32)+'LINEST VARS'!$S$54*($Z34)+'LINEST VARS'!$R$54*(4)+'LINEST VARS'!$Q$54*(0.5)+'LINEST VARS'!$P$54*(12.73)+'LINEST VARS'!$O$54*($AK$32^2)+'LINEST VARS'!$N$54*($Z34^2)+'LINEST VARS'!$M$54*(4^2)+'LINEST VARS'!$L$54*(0.5^2)+'LINEST VARS'!$K$54*(12.73^2)+'LINEST VARS'!$J$54*($AK$32*$Z34)+'LINEST VARS'!$I$54*($AK$32*4)+'LINEST VARS'!$H$54*($AK$32*0.5)+'LINEST VARS'!$G$54*($AK$32*12.73)+'LINEST VARS'!$F$54*($Z34*4)+'LINEST VARS'!$E$54*($Z34*0.5)+'LINEST VARS'!$D$54*($Z34*12.73)+'LINEST VARS'!$C$54*(4*0.5)+'LINEST VARS'!$B$54*(4*12.73)+'LINEST VARS'!$A$54*(0.5*12.73)</f>
        <v>3.9750000000000001</v>
      </c>
      <c r="AL34" s="51">
        <f>'LINEST VARS'!$U$54+'LINEST VARS'!$T$54*($AL$32)+'LINEST VARS'!$S$54*($Z34)+'LINEST VARS'!$R$54*(4)+'LINEST VARS'!$Q$54*(0.5)+'LINEST VARS'!$P$54*(12.73)+'LINEST VARS'!$O$54*($AL$32^2)+'LINEST VARS'!$N$54*($Z34^2)+'LINEST VARS'!$M$54*(4^2)+'LINEST VARS'!$L$54*(0.5^2)+'LINEST VARS'!$K$54*(12.73^2)+'LINEST VARS'!$J$54*($AL$32*$Z34)+'LINEST VARS'!$I$54*($AL$32*4)+'LINEST VARS'!$H$54*($AL$32*0.5)+'LINEST VARS'!$G$54*($AL$32*12.73)+'LINEST VARS'!$F$54*($Z34*4)+'LINEST VARS'!$E$54*($Z34*0.5)+'LINEST VARS'!$D$54*($Z34*12.73)+'LINEST VARS'!$C$54*(4*0.5)+'LINEST VARS'!$B$54*(4*12.73)+'LINEST VARS'!$A$54*(0.5*12.73)</f>
        <v>3.9750000000000001</v>
      </c>
      <c r="AM34" s="51">
        <f>'LINEST VARS'!$U$54+'LINEST VARS'!$T$54*($AM$32)+'LINEST VARS'!$S$54*($Z34)+'LINEST VARS'!$R$54*(4)+'LINEST VARS'!$Q$54*(0.5)+'LINEST VARS'!$P$54*(12.73)+'LINEST VARS'!$O$54*($AM$32^2)+'LINEST VARS'!$N$54*($Z34^2)+'LINEST VARS'!$M$54*(4^2)+'LINEST VARS'!$L$54*(0.5^2)+'LINEST VARS'!$K$54*(12.73^2)+'LINEST VARS'!$J$54*($AM$32*$Z34)+'LINEST VARS'!$I$54*($AM$32*4)+'LINEST VARS'!$H$54*($AM$32*0.5)+'LINEST VARS'!$G$54*($AM$32*12.73)+'LINEST VARS'!$F$54*($Z34*4)+'LINEST VARS'!$E$54*($Z34*0.5)+'LINEST VARS'!$D$54*($Z34*12.73)+'LINEST VARS'!$C$54*(4*0.5)+'LINEST VARS'!$B$54*(4*12.73)+'LINEST VARS'!$A$54*(0.5*12.73)</f>
        <v>3.9750000000000001</v>
      </c>
      <c r="AN34" s="51">
        <f>'LINEST VARS'!$U$54+'LINEST VARS'!$T$54*($AN$32)+'LINEST VARS'!$S$54*($Z34)+'LINEST VARS'!$R$54*(4)+'LINEST VARS'!$Q$54*(0.5)+'LINEST VARS'!$P$54*(12.73)+'LINEST VARS'!$O$54*($AN$32^2)+'LINEST VARS'!$N$54*($Z34^2)+'LINEST VARS'!$M$54*(4^2)+'LINEST VARS'!$L$54*(0.5^2)+'LINEST VARS'!$K$54*(12.73^2)+'LINEST VARS'!$J$54*($AN$32*$Z34)+'LINEST VARS'!$I$54*($AN$32*4)+'LINEST VARS'!$H$54*($AN$32*0.5)+'LINEST VARS'!$G$54*($AN$32*12.73)+'LINEST VARS'!$F$54*($Z34*4)+'LINEST VARS'!$E$54*($Z34*0.5)+'LINEST VARS'!$D$54*($Z34*12.73)+'LINEST VARS'!$C$54*(4*0.5)+'LINEST VARS'!$B$54*(4*12.73)+'LINEST VARS'!$A$54*(0.5*12.73)</f>
        <v>3.9750000000000001</v>
      </c>
      <c r="AO34" s="51">
        <f>'LINEST VARS'!$U$54+'LINEST VARS'!$T$54*($AO$32)+'LINEST VARS'!$S$54*($Z34)+'LINEST VARS'!$R$54*(4)+'LINEST VARS'!$Q$54*(0.5)+'LINEST VARS'!$P$54*(12.73)+'LINEST VARS'!$O$54*($AO$32^2)+'LINEST VARS'!$N$54*($Z34^2)+'LINEST VARS'!$M$54*(4^2)+'LINEST VARS'!$L$54*(0.5^2)+'LINEST VARS'!$K$54*(12.73^2)+'LINEST VARS'!$J$54*($AO$32*$Z34)+'LINEST VARS'!$I$54*($AO$32*4)+'LINEST VARS'!$H$54*($AO$32*0.5)+'LINEST VARS'!$G$54*($AO$32*12.73)+'LINEST VARS'!$F$54*($Z34*4)+'LINEST VARS'!$E$54*($Z34*0.5)+'LINEST VARS'!$D$54*($Z34*12.73)+'LINEST VARS'!$C$54*(4*0.5)+'LINEST VARS'!$B$54*(4*12.73)+'LINEST VARS'!$A$54*(0.5*12.73)</f>
        <v>3.9750000000000001</v>
      </c>
      <c r="AP34" s="51">
        <f>'LINEST VARS'!$U$54+'LINEST VARS'!$T$54*($AP$32)+'LINEST VARS'!$S$54*($Z34)+'LINEST VARS'!$R$54*(4)+'LINEST VARS'!$Q$54*(0.5)+'LINEST VARS'!$P$54*(12.73)+'LINEST VARS'!$O$54*($AP$32^2)+'LINEST VARS'!$N$54*($Z34^2)+'LINEST VARS'!$M$54*(4^2)+'LINEST VARS'!$L$54*(0.5^2)+'LINEST VARS'!$K$54*(12.73^2)+'LINEST VARS'!$J$54*($AP$32*$Z34)+'LINEST VARS'!$I$54*($AP$32*4)+'LINEST VARS'!$H$54*($AP$32*0.5)+'LINEST VARS'!$G$54*($AP$32*12.73)+'LINEST VARS'!$F$54*($Z34*4)+'LINEST VARS'!$E$54*($Z34*0.5)+'LINEST VARS'!$D$54*($Z34*12.73)+'LINEST VARS'!$C$54*(4*0.5)+'LINEST VARS'!$B$54*(4*12.73)+'LINEST VARS'!$A$54*(0.5*12.73)</f>
        <v>3.9750000000000001</v>
      </c>
      <c r="AQ34" s="51">
        <f>'LINEST VARS'!$U$54+'LINEST VARS'!$T$54*($AQ$32)+'LINEST VARS'!$S$54*($Z34)+'LINEST VARS'!$R$54*(4)+'LINEST VARS'!$Q$54*(0.5)+'LINEST VARS'!$P$54*(12.73)+'LINEST VARS'!$O$54*($AQ$32^2)+'LINEST VARS'!$N$54*($Z34^2)+'LINEST VARS'!$M$54*(4^2)+'LINEST VARS'!$L$54*(0.5^2)+'LINEST VARS'!$K$54*(12.73^2)+'LINEST VARS'!$J$54*($AQ$32*$Z34)+'LINEST VARS'!$I$54*($AQ$32*4)+'LINEST VARS'!$H$54*($AQ$32*0.5)+'LINEST VARS'!$G$54*($AQ$32*12.73)+'LINEST VARS'!$F$54*($Z34*4)+'LINEST VARS'!$E$54*($Z34*0.5)+'LINEST VARS'!$D$54*($Z34*12.73)+'LINEST VARS'!$C$54*(4*0.5)+'LINEST VARS'!$B$54*(4*12.73)+'LINEST VARS'!$A$54*(0.5*12.73)</f>
        <v>3.9750000000000001</v>
      </c>
      <c r="AR34" s="51">
        <f>'LINEST VARS'!$U$54+'LINEST VARS'!$T$54*($AR$32)+'LINEST VARS'!$S$54*($Z34)+'LINEST VARS'!$R$54*(4)+'LINEST VARS'!$Q$54*(0.5)+'LINEST VARS'!$P$54*(12.73)+'LINEST VARS'!$O$54*($AR$32^2)+'LINEST VARS'!$N$54*($Z34^2)+'LINEST VARS'!$M$54*(4^2)+'LINEST VARS'!$L$54*(0.5^2)+'LINEST VARS'!$K$54*(12.73^2)+'LINEST VARS'!$J$54*($AR$32*$Z34)+'LINEST VARS'!$I$54*($AR$32*4)+'LINEST VARS'!$H$54*($AR$32*0.5)+'LINEST VARS'!$G$54*($AR$32*12.73)+'LINEST VARS'!$F$54*($Z34*4)+'LINEST VARS'!$E$54*($Z34*0.5)+'LINEST VARS'!$D$54*($Z34*12.73)+'LINEST VARS'!$C$54*(4*0.5)+'LINEST VARS'!$B$54*(4*12.73)+'LINEST VARS'!$A$54*(0.5*12.73)</f>
        <v>3.9750000000000001</v>
      </c>
      <c r="AS34" s="51">
        <f>'LINEST VARS'!$U$54+'LINEST VARS'!$T$54*($AS$32)+'LINEST VARS'!$S$54*($Z34)+'LINEST VARS'!$R$54*(4)+'LINEST VARS'!$Q$54*(0.5)+'LINEST VARS'!$P$54*(12.73)+'LINEST VARS'!$O$54*($AS$32^2)+'LINEST VARS'!$N$54*($Z34^2)+'LINEST VARS'!$M$54*(4^2)+'LINEST VARS'!$L$54*(0.5^2)+'LINEST VARS'!$K$54*(12.73^2)+'LINEST VARS'!$J$54*($AS$32*$Z34)+'LINEST VARS'!$I$54*($AS$32*4)+'LINEST VARS'!$H$54*($AS$32*0.5)+'LINEST VARS'!$G$54*($AS$32*12.73)+'LINEST VARS'!$F$54*($Z34*4)+'LINEST VARS'!$E$54*($Z34*0.5)+'LINEST VARS'!$D$54*($Z34*12.73)+'LINEST VARS'!$C$54*(4*0.5)+'LINEST VARS'!$B$54*(4*12.73)+'LINEST VARS'!$A$54*(0.5*12.73)</f>
        <v>3.9750000000000001</v>
      </c>
      <c r="AT34" s="51">
        <f>'LINEST VARS'!$U$54+'LINEST VARS'!$T$54*($AT$32)+'LINEST VARS'!$S$54*($Z34)+'LINEST VARS'!$R$54*(4)+'LINEST VARS'!$Q$54*(0.5)+'LINEST VARS'!$P$54*(12.73)+'LINEST VARS'!$O$54*($AT$32^2)+'LINEST VARS'!$N$54*($Z34^2)+'LINEST VARS'!$M$54*(4^2)+'LINEST VARS'!$L$54*(0.5^2)+'LINEST VARS'!$K$54*(12.73^2)+'LINEST VARS'!$J$54*($AT$32*$Z34)+'LINEST VARS'!$I$54*($AT$32*4)+'LINEST VARS'!$H$54*($AT$32*0.5)+'LINEST VARS'!$G$54*($AT$32*12.73)+'LINEST VARS'!$F$54*($Z34*4)+'LINEST VARS'!$E$54*($Z34*0.5)+'LINEST VARS'!$D$54*($Z34*12.73)+'LINEST VARS'!$C$54*(4*0.5)+'LINEST VARS'!$B$54*(4*12.73)+'LINEST VARS'!$A$54*(0.5*12.73)</f>
        <v>3.9750000000000005</v>
      </c>
      <c r="AU34" s="52">
        <f>'LINEST VARS'!$U$54+'LINEST VARS'!$T$54*($AU$32)+'LINEST VARS'!$S$54*($Z34)+'LINEST VARS'!$R$54*(4)+'LINEST VARS'!$Q$54*(0.5)+'LINEST VARS'!$P$54*(12.73)+'LINEST VARS'!$O$54*($AU$32^2)+'LINEST VARS'!$N$54*($Z34^2)+'LINEST VARS'!$M$54*(4^2)+'LINEST VARS'!$L$54*(0.5^2)+'LINEST VARS'!$K$54*(12.73^2)+'LINEST VARS'!$J$54*($AU$32*$Z34)+'LINEST VARS'!$I$54*($AU$32*4)+'LINEST VARS'!$H$54*($AU$32*0.5)+'LINEST VARS'!$G$54*($AU$32*12.73)+'LINEST VARS'!$F$54*($Z34*4)+'LINEST VARS'!$E$54*($Z34*0.5)+'LINEST VARS'!$D$54*($Z34*12.73)+'LINEST VARS'!$C$54*(4*0.5)+'LINEST VARS'!$B$54*(4*12.73)+'LINEST VARS'!$A$54*(0.5*12.73)</f>
        <v>3.9750000000000005</v>
      </c>
      <c r="AZ34" s="45">
        <v>0.05</v>
      </c>
      <c r="BA34" s="51">
        <f>'LINEST VARS'!$U$52+'LINEST VARS'!$T$52*(8)+'LINEST VARS'!$S$52*(8)+'LINEST VARS'!$R$52*($BA$32)+'LINEST VARS'!$Q$52*($AZ34)+'LINEST VARS'!$P$52*(12.73)+'LINEST VARS'!$O$52*(8^2)+'LINEST VARS'!$N$52*(8^2)+'LINEST VARS'!$M$52*($BA$32^2)+'LINEST VARS'!$L$52*($AZ34^2)+'LINEST VARS'!$K$52*(12.73^2)+'LINEST VARS'!$J$52*(8*8)+'LINEST VARS'!$I$52*(8*$BA$32)+'LINEST VARS'!$H$52*(8*$AZ34)+'LINEST VARS'!$G$52*(8*12.73)+'LINEST VARS'!$F$52*(8*$BA$32)+'LINEST VARS'!$E$52*(8*$AZ34)+'LINEST VARS'!$D$52*(8*12.73)+'LINEST VARS'!$C$52*($BA$32*$AZ34)+'LINEST VARS'!$B$52*($BA$32*12.73)+'LINEST VARS'!$A$52*($AZ34*12.73)</f>
        <v>4.4949999999999983</v>
      </c>
      <c r="BB34" s="51">
        <f>'LINEST VARS'!$U$52+'LINEST VARS'!$T$52*(8)+'LINEST VARS'!$S$52*(8)+'LINEST VARS'!$R$52*($BB$32)+'LINEST VARS'!$Q$52*($AZ34)+'LINEST VARS'!$P$52*(12.73)+'LINEST VARS'!$O$52*(8^2)+'LINEST VARS'!$N$52*(8^2)+'LINEST VARS'!$M$52*($BB$32^2)+'LINEST VARS'!$L$52*($AZ34^2)+'LINEST VARS'!$K$52*(12.73^2)+'LINEST VARS'!$J$52*(8*8)+'LINEST VARS'!$I$52*(8*$BB$32)+'LINEST VARS'!$H$52*(8*$AZ34)+'LINEST VARS'!$G$52*(8*12.73)+'LINEST VARS'!$F$52*(8*$BB$32)+'LINEST VARS'!$E$52*(8*$AZ34)+'LINEST VARS'!$D$52*(8*12.73)+'LINEST VARS'!$C$52*($BB$32*$AZ34)+'LINEST VARS'!$B$52*($BB$32*12.73)+'LINEST VARS'!$A$52*($AZ34*12.73)</f>
        <v>4.4949999999999983</v>
      </c>
      <c r="BC34" s="51">
        <f>'LINEST VARS'!$U$52+'LINEST VARS'!$T$52*(8)+'LINEST VARS'!$S$52*(8)+'LINEST VARS'!$R$52*($BC$32)+'LINEST VARS'!$Q$52*($AZ34)+'LINEST VARS'!$P$52*(12.73)+'LINEST VARS'!$O$52*(8^2)+'LINEST VARS'!$N$52*(8^2)+'LINEST VARS'!$M$52*($BC$32^2)+'LINEST VARS'!$L$52*($AZ34^2)+'LINEST VARS'!$K$52*(12.73^2)+'LINEST VARS'!$J$52*(8*8)+'LINEST VARS'!$I$52*(8*$BC$32)+'LINEST VARS'!$H$52*(8*$AZ34)+'LINEST VARS'!$G$52*(8*12.73)+'LINEST VARS'!$F$52*(8*$BC$32)+'LINEST VARS'!$E$52*(8*$AZ34)+'LINEST VARS'!$D$52*(8*12.73)+'LINEST VARS'!$C$52*($BC$32*$AZ34)+'LINEST VARS'!$B$52*($BC$32*12.73)+'LINEST VARS'!$A$52*($AZ34*12.73)</f>
        <v>4.4949999999999983</v>
      </c>
      <c r="BD34" s="51">
        <f>'LINEST VARS'!$U$52+'LINEST VARS'!$T$52*(8)+'LINEST VARS'!$S$52*(8)+'LINEST VARS'!$R$52*($BD$32)+'LINEST VARS'!$Q$52*($AZ34)+'LINEST VARS'!$P$52*(12.73)+'LINEST VARS'!$O$52*(8^2)+'LINEST VARS'!$N$52*(8^2)+'LINEST VARS'!$M$52*($BD$32^2)+'LINEST VARS'!$L$52*($AZ34^2)+'LINEST VARS'!$K$52*(12.73^2)+'LINEST VARS'!$J$52*(8*8)+'LINEST VARS'!$I$52*(8*$BD$32)+'LINEST VARS'!$H$52*(8*$AZ34)+'LINEST VARS'!$G$52*(8*12.73)+'LINEST VARS'!$F$52*(8*$BD$32)+'LINEST VARS'!$E$52*(8*$AZ34)+'LINEST VARS'!$D$52*(8*12.73)+'LINEST VARS'!$C$52*($BD$32*$AZ34)+'LINEST VARS'!$B$52*($BD$32*12.73)+'LINEST VARS'!$A$52*($AZ34*12.73)</f>
        <v>4.4949999999999983</v>
      </c>
      <c r="BE34" s="51">
        <f>'LINEST VARS'!$U$52+'LINEST VARS'!$T$52*(8)+'LINEST VARS'!$S$52*(8)+'LINEST VARS'!$R$52*($BE$32)+'LINEST VARS'!$Q$52*($AZ34)+'LINEST VARS'!$P$52*(12.73)+'LINEST VARS'!$O$52*(8^2)+'LINEST VARS'!$N$52*(8^2)+'LINEST VARS'!$M$52*($BE$32^2)+'LINEST VARS'!$L$52*($AZ34^2)+'LINEST VARS'!$K$52*(12.73^2)+'LINEST VARS'!$J$52*(8*8)+'LINEST VARS'!$I$52*(8*$BE$32)+'LINEST VARS'!$H$52*(8*$AZ34)+'LINEST VARS'!$G$52*(8*12.73)+'LINEST VARS'!$F$52*(8*$BE$32)+'LINEST VARS'!$E$52*(8*$AZ34)+'LINEST VARS'!$D$52*(8*12.73)+'LINEST VARS'!$C$52*($BE$32*$AZ34)+'LINEST VARS'!$B$52*($BE$32*12.73)+'LINEST VARS'!$A$52*($AZ34*12.73)</f>
        <v>4.4949999999999983</v>
      </c>
      <c r="BF34" s="51">
        <f>'LINEST VARS'!$U$52+'LINEST VARS'!$T$52*(8)+'LINEST VARS'!$S$52*(8)+'LINEST VARS'!$R$52*($BF$32)+'LINEST VARS'!$Q$52*($AZ34)+'LINEST VARS'!$P$52*(12.73)+'LINEST VARS'!$O$52*(8^2)+'LINEST VARS'!$N$52*(8^2)+'LINEST VARS'!$M$52*($BF$32^2)+'LINEST VARS'!$L$52*($AZ34^2)+'LINEST VARS'!$K$52*(12.73^2)+'LINEST VARS'!$J$52*(8*8)+'LINEST VARS'!$I$52*(8*$BF$32)+'LINEST VARS'!$H$52*(8*$AZ34)+'LINEST VARS'!$G$52*(8*12.73)+'LINEST VARS'!$F$52*(8*$BF$32)+'LINEST VARS'!$E$52*(8*$AZ34)+'LINEST VARS'!$D$52*(8*12.73)+'LINEST VARS'!$C$52*($BF$32*$AZ34)+'LINEST VARS'!$B$52*($BF$32*12.73)+'LINEST VARS'!$A$52*($AZ34*12.73)</f>
        <v>4.4949999999999983</v>
      </c>
      <c r="BG34" s="51">
        <f>'LINEST VARS'!$U$52+'LINEST VARS'!$T$52*(8)+'LINEST VARS'!$S$52*(8)+'LINEST VARS'!$R$52*($BG$32)+'LINEST VARS'!$Q$52*($AZ34)+'LINEST VARS'!$P$52*(12.73)+'LINEST VARS'!$O$52*(8^2)+'LINEST VARS'!$N$52*(8^2)+'LINEST VARS'!$M$52*($BG$32^2)+'LINEST VARS'!$L$52*($AZ34^2)+'LINEST VARS'!$K$52*(12.73^2)+'LINEST VARS'!$J$52*(8*8)+'LINEST VARS'!$I$52*(8*$BG$32)+'LINEST VARS'!$H$52*(8*$AZ34)+'LINEST VARS'!$G$52*(8*12.73)+'LINEST VARS'!$F$52*(8*$BG$32)+'LINEST VARS'!$E$52*(8*$AZ34)+'LINEST VARS'!$D$52*(8*12.73)+'LINEST VARS'!$C$52*($BG$32*$AZ34)+'LINEST VARS'!$B$52*($BG$32*12.73)+'LINEST VARS'!$A$52*($AZ34*12.73)</f>
        <v>4.4949999999999983</v>
      </c>
      <c r="BH34" s="51">
        <f>'LINEST VARS'!$U$52+'LINEST VARS'!$T$52*(8)+'LINEST VARS'!$S$52*(8)+'LINEST VARS'!$R$52*($BH$32)+'LINEST VARS'!$Q$52*($AZ34)+'LINEST VARS'!$P$52*(12.73)+'LINEST VARS'!$O$52*(8^2)+'LINEST VARS'!$N$52*(8^2)+'LINEST VARS'!$M$52*($BH$32^2)+'LINEST VARS'!$L$52*($AZ34^2)+'LINEST VARS'!$K$52*(12.73^2)+'LINEST VARS'!$J$52*(8*8)+'LINEST VARS'!$I$52*(8*$BH$32)+'LINEST VARS'!$H$52*(8*$AZ34)+'LINEST VARS'!$G$52*(8*12.73)+'LINEST VARS'!$F$52*(8*$BH$32)+'LINEST VARS'!$E$52*(8*$AZ34)+'LINEST VARS'!$D$52*(8*12.73)+'LINEST VARS'!$C$52*($BH$32*$AZ34)+'LINEST VARS'!$B$52*($BH$32*12.73)+'LINEST VARS'!$A$52*($AZ34*12.73)</f>
        <v>4.4949999999999983</v>
      </c>
      <c r="BI34" s="51">
        <f>'LINEST VARS'!$U$52+'LINEST VARS'!$T$52*(8)+'LINEST VARS'!$S$52*(8)+'LINEST VARS'!$R$52*($BI$32)+'LINEST VARS'!$Q$52*($AZ34)+'LINEST VARS'!$P$52*(12.73)+'LINEST VARS'!$O$52*(8^2)+'LINEST VARS'!$N$52*(8^2)+'LINEST VARS'!$M$52*($BI$32^2)+'LINEST VARS'!$L$52*($AZ34^2)+'LINEST VARS'!$K$52*(12.73^2)+'LINEST VARS'!$J$52*(8*8)+'LINEST VARS'!$I$52*(8*$BI$32)+'LINEST VARS'!$H$52*(8*$AZ34)+'LINEST VARS'!$G$52*(8*12.73)+'LINEST VARS'!$F$52*(8*$BI$32)+'LINEST VARS'!$E$52*(8*$AZ34)+'LINEST VARS'!$D$52*(8*12.73)+'LINEST VARS'!$C$52*($BI$32*$AZ34)+'LINEST VARS'!$B$52*($BI$32*12.73)+'LINEST VARS'!$A$52*($AZ34*12.73)</f>
        <v>4.4949999999999983</v>
      </c>
      <c r="BJ34" s="51">
        <f>'LINEST VARS'!$U$52+'LINEST VARS'!$T$52*(8)+'LINEST VARS'!$S$52*(8)+'LINEST VARS'!$R$52*($BJ$32)+'LINEST VARS'!$Q$52*($AZ34)+'LINEST VARS'!$P$52*(12.73)+'LINEST VARS'!$O$52*(8^2)+'LINEST VARS'!$N$52*(8^2)+'LINEST VARS'!$M$52*($BJ$32^2)+'LINEST VARS'!$L$52*($AZ34^2)+'LINEST VARS'!$K$52*(12.73^2)+'LINEST VARS'!$J$52*(8*8)+'LINEST VARS'!$I$52*(8*$BJ$32)+'LINEST VARS'!$H$52*(8*$AZ34)+'LINEST VARS'!$G$52*(8*12.73)+'LINEST VARS'!$F$52*(8*$BJ$32)+'LINEST VARS'!$E$52*(8*$AZ34)+'LINEST VARS'!$D$52*(8*12.73)+'LINEST VARS'!$C$52*($BJ$32*$AZ34)+'LINEST VARS'!$B$52*($BJ$32*12.73)+'LINEST VARS'!$A$52*($AZ34*12.73)</f>
        <v>4.4949999999999983</v>
      </c>
      <c r="BK34" s="51">
        <f>'LINEST VARS'!$U$52+'LINEST VARS'!$T$52*(8)+'LINEST VARS'!$S$52*(8)+'LINEST VARS'!$R$52*($BK$32)+'LINEST VARS'!$Q$52*($AZ34)+'LINEST VARS'!$P$52*(12.73)+'LINEST VARS'!$O$52*(8^2)+'LINEST VARS'!$N$52*(8^2)+'LINEST VARS'!$M$52*($BK$32^2)+'LINEST VARS'!$L$52*($AZ34^2)+'LINEST VARS'!$K$52*(12.73^2)+'LINEST VARS'!$J$52*(8*8)+'LINEST VARS'!$I$52*(8*$BK$32)+'LINEST VARS'!$H$52*(8*$AZ34)+'LINEST VARS'!$G$52*(8*12.73)+'LINEST VARS'!$F$52*(8*$BK$32)+'LINEST VARS'!$E$52*(8*$AZ34)+'LINEST VARS'!$D$52*(8*12.73)+'LINEST VARS'!$C$52*($BK$32*$AZ34)+'LINEST VARS'!$B$52*($BK$32*12.73)+'LINEST VARS'!$A$52*($AZ34*12.73)</f>
        <v>4.4949999999999983</v>
      </c>
      <c r="BL34" s="51">
        <f>'LINEST VARS'!$U$52+'LINEST VARS'!$T$52*(8)+'LINEST VARS'!$S$52*(8)+'LINEST VARS'!$R$52*($BL$32)+'LINEST VARS'!$Q$52*($AZ34)+'LINEST VARS'!$P$52*(12.73)+'LINEST VARS'!$O$52*(8^2)+'LINEST VARS'!$N$52*(8^2)+'LINEST VARS'!$M$52*($BL$32^2)+'LINEST VARS'!$L$52*($AZ34^2)+'LINEST VARS'!$K$52*(12.73^2)+'LINEST VARS'!$J$52*(8*8)+'LINEST VARS'!$I$52*(8*$BL$32)+'LINEST VARS'!$H$52*(8*$AZ34)+'LINEST VARS'!$G$52*(8*12.73)+'LINEST VARS'!$F$52*(8*$BL$32)+'LINEST VARS'!$E$52*(8*$AZ34)+'LINEST VARS'!$D$52*(8*12.73)+'LINEST VARS'!$C$52*($BL$32*$AZ34)+'LINEST VARS'!$B$52*($BL$32*12.73)+'LINEST VARS'!$A$52*($AZ34*12.73)</f>
        <v>4.4949999999999983</v>
      </c>
      <c r="BM34" s="51">
        <f>'LINEST VARS'!$U$52+'LINEST VARS'!$T$52*(8)+'LINEST VARS'!$S$52*(8)+'LINEST VARS'!$R$52*($BM$32)+'LINEST VARS'!$Q$52*($AZ34)+'LINEST VARS'!$P$52*(12.73)+'LINEST VARS'!$O$52*(8^2)+'LINEST VARS'!$N$52*(8^2)+'LINEST VARS'!$M$52*($BM$32^2)+'LINEST VARS'!$L$52*($AZ34^2)+'LINEST VARS'!$K$52*(12.73^2)+'LINEST VARS'!$J$52*(8*8)+'LINEST VARS'!$I$52*(8*$BM$32)+'LINEST VARS'!$H$52*(8*$AZ34)+'LINEST VARS'!$G$52*(8*12.73)+'LINEST VARS'!$F$52*(8*$BM$32)+'LINEST VARS'!$E$52*(8*$AZ34)+'LINEST VARS'!$D$52*(8*12.73)+'LINEST VARS'!$C$52*($BM$32*$AZ34)+'LINEST VARS'!$B$52*($BM$32*12.73)+'LINEST VARS'!$A$52*($AZ34*12.73)</f>
        <v>4.4949999999999983</v>
      </c>
      <c r="BN34" s="51">
        <f>'LINEST VARS'!$U$52+'LINEST VARS'!$T$52*(8)+'LINEST VARS'!$S$52*(8)+'LINEST VARS'!$R$52*($BN$32)+'LINEST VARS'!$Q$52*($AZ34)+'LINEST VARS'!$P$52*(12.73)+'LINEST VARS'!$O$52*(8^2)+'LINEST VARS'!$N$52*(8^2)+'LINEST VARS'!$M$52*($BN$32^2)+'LINEST VARS'!$L$52*($AZ34^2)+'LINEST VARS'!$K$52*(12.73^2)+'LINEST VARS'!$J$52*(8*8)+'LINEST VARS'!$I$52*(8*$BN$32)+'LINEST VARS'!$H$52*(8*$AZ34)+'LINEST VARS'!$G$52*(8*12.73)+'LINEST VARS'!$F$52*(8*$BN$32)+'LINEST VARS'!$E$52*(8*$AZ34)+'LINEST VARS'!$D$52*(8*12.73)+'LINEST VARS'!$C$52*($BN$32*$AZ34)+'LINEST VARS'!$B$52*($BN$32*12.73)+'LINEST VARS'!$A$52*($AZ34*12.73)</f>
        <v>4.4949999999999983</v>
      </c>
      <c r="BO34" s="51">
        <f>'LINEST VARS'!$U$52+'LINEST VARS'!$T$52*(8)+'LINEST VARS'!$S$52*(8)+'LINEST VARS'!$R$52*($BO$32)+'LINEST VARS'!$Q$52*($AZ34)+'LINEST VARS'!$P$52*(12.73)+'LINEST VARS'!$O$52*(8^2)+'LINEST VARS'!$N$52*(8^2)+'LINEST VARS'!$M$52*($BO$32^2)+'LINEST VARS'!$L$52*($AZ34^2)+'LINEST VARS'!$K$52*(12.73^2)+'LINEST VARS'!$J$52*(8*8)+'LINEST VARS'!$I$52*(8*$BO$32)+'LINEST VARS'!$H$52*(8*$AZ34)+'LINEST VARS'!$G$52*(8*12.73)+'LINEST VARS'!$F$52*(8*$BO$32)+'LINEST VARS'!$E$52*(8*$AZ34)+'LINEST VARS'!$D$52*(8*12.73)+'LINEST VARS'!$C$52*($BO$32*$AZ34)+'LINEST VARS'!$B$52*($BO$32*12.73)+'LINEST VARS'!$A$52*($AZ34*12.73)</f>
        <v>4.4949999999999983</v>
      </c>
      <c r="BP34" s="51">
        <f>'LINEST VARS'!$U$52+'LINEST VARS'!$T$52*(8)+'LINEST VARS'!$S$52*(8)+'LINEST VARS'!$R$52*($BP$32)+'LINEST VARS'!$Q$52*($AZ34)+'LINEST VARS'!$P$52*(12.73)+'LINEST VARS'!$O$52*(8^2)+'LINEST VARS'!$N$52*(8^2)+'LINEST VARS'!$M$52*($BP$32^2)+'LINEST VARS'!$L$52*($AZ34^2)+'LINEST VARS'!$K$52*(12.73^2)+'LINEST VARS'!$J$52*(8*8)+'LINEST VARS'!$I$52*(8*$BP$32)+'LINEST VARS'!$H$52*(8*$AZ34)+'LINEST VARS'!$G$52*(8*12.73)+'LINEST VARS'!$F$52*(8*$BP$32)+'LINEST VARS'!$E$52*(8*$AZ34)+'LINEST VARS'!$D$52*(8*12.73)+'LINEST VARS'!$C$52*($BP$32*$AZ34)+'LINEST VARS'!$B$52*($BP$32*12.73)+'LINEST VARS'!$A$52*($AZ34*12.73)</f>
        <v>4.4949999999999983</v>
      </c>
      <c r="BQ34" s="51">
        <f>'LINEST VARS'!$U$52+'LINEST VARS'!$T$52*(8)+'LINEST VARS'!$S$52*(8)+'LINEST VARS'!$R$52*($BQ$32)+'LINEST VARS'!$Q$52*($AZ34)+'LINEST VARS'!$P$52*(12.73)+'LINEST VARS'!$O$52*(8^2)+'LINEST VARS'!$N$52*(8^2)+'LINEST VARS'!$M$52*($BQ$32^2)+'LINEST VARS'!$L$52*($AZ34^2)+'LINEST VARS'!$K$52*(12.73^2)+'LINEST VARS'!$J$52*(8*8)+'LINEST VARS'!$I$52*(8*$BQ$32)+'LINEST VARS'!$H$52*(8*$AZ34)+'LINEST VARS'!$G$52*(8*12.73)+'LINEST VARS'!$F$52*(8*$BQ$32)+'LINEST VARS'!$E$52*(8*$AZ34)+'LINEST VARS'!$D$52*(8*12.73)+'LINEST VARS'!$C$52*($BQ$32*$AZ34)+'LINEST VARS'!$B$52*($BQ$32*12.73)+'LINEST VARS'!$A$52*($AZ34*12.73)</f>
        <v>4.4949999999999983</v>
      </c>
      <c r="BR34" s="51">
        <f>'LINEST VARS'!$U$52+'LINEST VARS'!$T$52*(8)+'LINEST VARS'!$S$52*(8)+'LINEST VARS'!$R$52*($BR$32)+'LINEST VARS'!$Q$52*($AZ34)+'LINEST VARS'!$P$52*(12.73)+'LINEST VARS'!$O$52*(8^2)+'LINEST VARS'!$N$52*(8^2)+'LINEST VARS'!$M$52*($BR$32^2)+'LINEST VARS'!$L$52*($AZ34^2)+'LINEST VARS'!$K$52*(12.73^2)+'LINEST VARS'!$J$52*(8*8)+'LINEST VARS'!$I$52*(8*$BR$32)+'LINEST VARS'!$H$52*(8*$AZ34)+'LINEST VARS'!$G$52*(8*12.73)+'LINEST VARS'!$F$52*(8*$BR$32)+'LINEST VARS'!$E$52*(8*$AZ34)+'LINEST VARS'!$D$52*(8*12.73)+'LINEST VARS'!$C$52*($BR$32*$AZ34)+'LINEST VARS'!$B$52*($BR$32*12.73)+'LINEST VARS'!$A$52*($AZ34*12.73)</f>
        <v>4.4949999999999983</v>
      </c>
      <c r="BS34" s="51">
        <f>'LINEST VARS'!$U$52+'LINEST VARS'!$T$52*(8)+'LINEST VARS'!$S$52*(8)+'LINEST VARS'!$R$52*($BS$32)+'LINEST VARS'!$Q$52*($AZ34)+'LINEST VARS'!$P$52*(12.73)+'LINEST VARS'!$O$52*(8^2)+'LINEST VARS'!$N$52*(8^2)+'LINEST VARS'!$M$52*($BS$32^2)+'LINEST VARS'!$L$52*($AZ34^2)+'LINEST VARS'!$K$52*(12.73^2)+'LINEST VARS'!$J$52*(8*8)+'LINEST VARS'!$I$52*(8*$BS$32)+'LINEST VARS'!$H$52*(8*$AZ34)+'LINEST VARS'!$G$52*(8*12.73)+'LINEST VARS'!$F$52*(8*$BS$32)+'LINEST VARS'!$E$52*(8*$AZ34)+'LINEST VARS'!$D$52*(8*12.73)+'LINEST VARS'!$C$52*($BS$32*$AZ34)+'LINEST VARS'!$B$52*($BS$32*12.73)+'LINEST VARS'!$A$52*($AZ34*12.73)</f>
        <v>4.4949999999999983</v>
      </c>
      <c r="BT34" s="51">
        <f>'LINEST VARS'!$U$52+'LINEST VARS'!$T$52*(8)+'LINEST VARS'!$S$52*(8)+'LINEST VARS'!$R$52*($BT$32)+'LINEST VARS'!$Q$52*($AZ34)+'LINEST VARS'!$P$52*(12.73)+'LINEST VARS'!$O$52*(8^2)+'LINEST VARS'!$N$52*(8^2)+'LINEST VARS'!$M$52*($BT$32^2)+'LINEST VARS'!$L$52*($AZ34^2)+'LINEST VARS'!$K$52*(12.73^2)+'LINEST VARS'!$J$52*(8*8)+'LINEST VARS'!$I$52*(8*$BT$32)+'LINEST VARS'!$H$52*(8*$AZ34)+'LINEST VARS'!$G$52*(8*12.73)+'LINEST VARS'!$F$52*(8*$BT$32)+'LINEST VARS'!$E$52*(8*$AZ34)+'LINEST VARS'!$D$52*(8*12.73)+'LINEST VARS'!$C$52*($BT$32*$AZ34)+'LINEST VARS'!$B$52*($BT$32*12.73)+'LINEST VARS'!$A$52*($AZ34*12.73)</f>
        <v>4.4949999999999983</v>
      </c>
      <c r="BU34" s="52">
        <f>'LINEST VARS'!$U$52+'LINEST VARS'!$T$52*(8)+'LINEST VARS'!$S$52*(8)+'LINEST VARS'!$R$52*($BU$32)+'LINEST VARS'!$Q$52*($AZ34)+'LINEST VARS'!$P$52*(12.73)+'LINEST VARS'!$O$52*(8^2)+'LINEST VARS'!$N$52*(8^2)+'LINEST VARS'!$M$52*($BU$32^2)+'LINEST VARS'!$L$52*($AZ34^2)+'LINEST VARS'!$K$52*(12.73^2)+'LINEST VARS'!$J$52*(8*8)+'LINEST VARS'!$I$52*(8*$BU$32)+'LINEST VARS'!$H$52*(8*$AZ34)+'LINEST VARS'!$G$52*(8*12.73)+'LINEST VARS'!$F$52*(8*$BU$32)+'LINEST VARS'!$E$52*(8*$AZ34)+'LINEST VARS'!$D$52*(8*12.73)+'LINEST VARS'!$C$52*($BU$32*$AZ34)+'LINEST VARS'!$B$52*($BU$32*12.73)+'LINEST VARS'!$A$52*($AZ34*12.73)</f>
        <v>4.4949999999999983</v>
      </c>
      <c r="BX34" s="45">
        <v>0.05</v>
      </c>
      <c r="BY34" s="51">
        <f>'LINEST VARS'!$U$54+'LINEST VARS'!$T$54*(8)+'LINEST VARS'!$S$54*(8)+'LINEST VARS'!$R$54*($BY$32)+'LINEST VARS'!$Q$54*($BX34)+'LINEST VARS'!$P$54*(12.73)+'LINEST VARS'!$O$54*(8^2)+'LINEST VARS'!$N$54*(8^2)+'LINEST VARS'!$M$54*($BY$32^2)+'LINEST VARS'!$L$54*($BX34^2)+'LINEST VARS'!$K$54*(12.73^2)+'LINEST VARS'!$J$54*(8*8)+'LINEST VARS'!$I$54*(8*$BY$32)+'LINEST VARS'!$H$54*(8*$BX34)+'LINEST VARS'!$G$54*(8*12.73)+'LINEST VARS'!$F$54*(8*$BY$32)+'LINEST VARS'!$E$54*(8*$BX34)+'LINEST VARS'!$D$54*(8*12.73)+'LINEST VARS'!$C$54*($BY$32*$BX34)+'LINEST VARS'!$B$54*($BY$32*12.73)+'LINEST VARS'!$A$54*($BX34*12.73)</f>
        <v>3.9974999999999996</v>
      </c>
      <c r="BZ34" s="51">
        <f>'LINEST VARS'!$U$54+'LINEST VARS'!$T$54*(8)+'LINEST VARS'!$S$54*(8)+'LINEST VARS'!$R$54*($BZ$32)+'LINEST VARS'!$Q$54*($BX34)+'LINEST VARS'!$P$54*(12.73)+'LINEST VARS'!$O$54*(8^2)+'LINEST VARS'!$N$54*(8^2)+'LINEST VARS'!$M$54*($BZ$32^2)+'LINEST VARS'!$L$54*($BX34^2)+'LINEST VARS'!$K$54*(12.73^2)+'LINEST VARS'!$J$54*(8*8)+'LINEST VARS'!$I$54*(8*$BZ$32)+'LINEST VARS'!$H$54*(8*$BX34)+'LINEST VARS'!$G$54*(8*12.73)+'LINEST VARS'!$F$54*(8*$BZ$32)+'LINEST VARS'!$E$54*(8*$BX34)+'LINEST VARS'!$D$54*(8*12.73)+'LINEST VARS'!$C$54*($BZ$32*$BX34)+'LINEST VARS'!$B$54*($BZ$32*12.73)+'LINEST VARS'!$A$54*($BX34*12.73)</f>
        <v>3.9974999999999996</v>
      </c>
      <c r="CA34" s="51">
        <f>'LINEST VARS'!$U$54+'LINEST VARS'!$T$54*(8)+'LINEST VARS'!$S$54*(8)+'LINEST VARS'!$R$54*($CA$32)+'LINEST VARS'!$Q$54*($BX34)+'LINEST VARS'!$P$54*(12.73)+'LINEST VARS'!$O$54*(8^2)+'LINEST VARS'!$N$54*(8^2)+'LINEST VARS'!$M$54*($CA$32^2)+'LINEST VARS'!$L$54*($BX34^2)+'LINEST VARS'!$K$54*(12.73^2)+'LINEST VARS'!$J$54*(8*8)+'LINEST VARS'!$I$54*(8*$CA$32)+'LINEST VARS'!$H$54*(8*$BX34)+'LINEST VARS'!$G$54*(8*12.73)+'LINEST VARS'!$F$54*(8*$CA$32)+'LINEST VARS'!$E$54*(8*$BX34)+'LINEST VARS'!$D$54*(8*12.73)+'LINEST VARS'!$C$54*($CA$32*$BX34)+'LINEST VARS'!$B$54*($CA$32*12.73)+'LINEST VARS'!$A$54*($BX34*12.73)</f>
        <v>3.9974999999999996</v>
      </c>
      <c r="CB34" s="51">
        <f>'LINEST VARS'!$U$54+'LINEST VARS'!$T$54*(8)+'LINEST VARS'!$S$54*(8)+'LINEST VARS'!$R$54*($CB$32)+'LINEST VARS'!$Q$54*($BX34)+'LINEST VARS'!$P$54*(12.73)+'LINEST VARS'!$O$54*(8^2)+'LINEST VARS'!$N$54*(8^2)+'LINEST VARS'!$M$54*($CB$32^2)+'LINEST VARS'!$L$54*($BX34^2)+'LINEST VARS'!$K$54*(12.73^2)+'LINEST VARS'!$J$54*(8*8)+'LINEST VARS'!$I$54*(8*$CB$32)+'LINEST VARS'!$H$54*(8*$BX34)+'LINEST VARS'!$G$54*(8*12.73)+'LINEST VARS'!$F$54*(8*$CB$32)+'LINEST VARS'!$E$54*(8*$BX34)+'LINEST VARS'!$D$54*(8*12.73)+'LINEST VARS'!$C$54*($CB$32*$BX34)+'LINEST VARS'!$B$54*($CB$32*12.73)+'LINEST VARS'!$A$54*($BX34*12.73)</f>
        <v>3.9974999999999996</v>
      </c>
      <c r="CC34" s="51">
        <f>'LINEST VARS'!$U$54+'LINEST VARS'!$T$54*(8)+'LINEST VARS'!$S$54*(8)+'LINEST VARS'!$R$54*($CC$32)+'LINEST VARS'!$Q$54*($BX34)+'LINEST VARS'!$P$54*(12.73)+'LINEST VARS'!$O$54*(8^2)+'LINEST VARS'!$N$54*(8^2)+'LINEST VARS'!$M$54*($CC$32^2)+'LINEST VARS'!$L$54*($BX34^2)+'LINEST VARS'!$K$54*(12.73^2)+'LINEST VARS'!$J$54*(8*8)+'LINEST VARS'!$I$54*(8*$CC$32)+'LINEST VARS'!$H$54*(8*$BX34)+'LINEST VARS'!$G$54*(8*12.73)+'LINEST VARS'!$F$54*(8*$CC$32)+'LINEST VARS'!$E$54*(8*$BX34)+'LINEST VARS'!$D$54*(8*12.73)+'LINEST VARS'!$C$54*($CC$32*$BX34)+'LINEST VARS'!$B$54*($CC$32*12.73)+'LINEST VARS'!$A$54*($BX34*12.73)</f>
        <v>3.9974999999999996</v>
      </c>
      <c r="CD34" s="51">
        <f>'LINEST VARS'!$U$54+'LINEST VARS'!$T$54*(8)+'LINEST VARS'!$S$54*(8)+'LINEST VARS'!$R$54*($CD$32)+'LINEST VARS'!$Q$54*($BX34)+'LINEST VARS'!$P$54*(12.73)+'LINEST VARS'!$O$54*(8^2)+'LINEST VARS'!$N$54*(8^2)+'LINEST VARS'!$M$54*($CD$32^2)+'LINEST VARS'!$L$54*($BX34^2)+'LINEST VARS'!$K$54*(12.73^2)+'LINEST VARS'!$J$54*(8*8)+'LINEST VARS'!$I$54*(8*$CD$32)+'LINEST VARS'!$H$54*(8*$BX34)+'LINEST VARS'!$G$54*(8*12.73)+'LINEST VARS'!$F$54*(8*$CD$32)+'LINEST VARS'!$E$54*(8*$BX34)+'LINEST VARS'!$D$54*(8*12.73)+'LINEST VARS'!$C$54*($CD$32*$BX34)+'LINEST VARS'!$B$54*($CD$32*12.73)+'LINEST VARS'!$A$54*($BX34*12.73)</f>
        <v>3.9974999999999996</v>
      </c>
      <c r="CE34" s="51">
        <f>'LINEST VARS'!$U$54+'LINEST VARS'!$T$54*(8)+'LINEST VARS'!$S$54*(8)+'LINEST VARS'!$R$54*($CE$32)+'LINEST VARS'!$Q$54*($BX34)+'LINEST VARS'!$P$54*(12.73)+'LINEST VARS'!$O$54*(8^2)+'LINEST VARS'!$N$54*(8^2)+'LINEST VARS'!$M$54*($CE$32^2)+'LINEST VARS'!$L$54*($BX34^2)+'LINEST VARS'!$K$54*(12.73^2)+'LINEST VARS'!$J$54*(8*8)+'LINEST VARS'!$I$54*(8*$CE$32)+'LINEST VARS'!$H$54*(8*$BX34)+'LINEST VARS'!$G$54*(8*12.73)+'LINEST VARS'!$F$54*(8*$CE$32)+'LINEST VARS'!$E$54*(8*$BX34)+'LINEST VARS'!$D$54*(8*12.73)+'LINEST VARS'!$C$54*($CE$32*$BX34)+'LINEST VARS'!$B$54*($CE$32*12.73)+'LINEST VARS'!$A$54*($BX34*12.73)</f>
        <v>3.9974999999999996</v>
      </c>
      <c r="CF34" s="51">
        <f>'LINEST VARS'!$U$54+'LINEST VARS'!$T$54*(8)+'LINEST VARS'!$S$54*(8)+'LINEST VARS'!$R$54*($CF$32)+'LINEST VARS'!$Q$54*($BX34)+'LINEST VARS'!$P$54*(12.73)+'LINEST VARS'!$O$54*(8^2)+'LINEST VARS'!$N$54*(8^2)+'LINEST VARS'!$M$54*($CF$32^2)+'LINEST VARS'!$L$54*($BX34^2)+'LINEST VARS'!$K$54*(12.73^2)+'LINEST VARS'!$J$54*(8*8)+'LINEST VARS'!$I$54*(8*$CF$32)+'LINEST VARS'!$H$54*(8*$BX34)+'LINEST VARS'!$G$54*(8*12.73)+'LINEST VARS'!$F$54*(8*$CF$32)+'LINEST VARS'!$E$54*(8*$BX34)+'LINEST VARS'!$D$54*(8*12.73)+'LINEST VARS'!$C$54*($CF$32*$BX34)+'LINEST VARS'!$B$54*($CF$32*12.73)+'LINEST VARS'!$A$54*($BX34*12.73)</f>
        <v>3.9974999999999996</v>
      </c>
      <c r="CG34" s="51">
        <f>'LINEST VARS'!$U$54+'LINEST VARS'!$T$54*(8)+'LINEST VARS'!$S$54*(8)+'LINEST VARS'!$R$54*($CG$32)+'LINEST VARS'!$Q$54*($BX34)+'LINEST VARS'!$P$54*(12.73)+'LINEST VARS'!$O$54*(8^2)+'LINEST VARS'!$N$54*(8^2)+'LINEST VARS'!$M$54*($CG$32^2)+'LINEST VARS'!$L$54*($BX34^2)+'LINEST VARS'!$K$54*(12.73^2)+'LINEST VARS'!$J$54*(8*8)+'LINEST VARS'!$I$54*(8*$CG$32)+'LINEST VARS'!$H$54*(8*$BX34)+'LINEST VARS'!$G$54*(8*12.73)+'LINEST VARS'!$F$54*(8*$CG$32)+'LINEST VARS'!$E$54*(8*$BX34)+'LINEST VARS'!$D$54*(8*12.73)+'LINEST VARS'!$C$54*($CG$32*$BX34)+'LINEST VARS'!$B$54*($CG$32*12.73)+'LINEST VARS'!$A$54*($BX34*12.73)</f>
        <v>3.9974999999999996</v>
      </c>
      <c r="CH34" s="51">
        <f>'LINEST VARS'!$U$54+'LINEST VARS'!$T$54*(8)+'LINEST VARS'!$S$54*(8)+'LINEST VARS'!$R$54*($CH$32)+'LINEST VARS'!$Q$54*($BX34)+'LINEST VARS'!$P$54*(12.73)+'LINEST VARS'!$O$54*(8^2)+'LINEST VARS'!$N$54*(8^2)+'LINEST VARS'!$M$54*($CH$32^2)+'LINEST VARS'!$L$54*($BX34^2)+'LINEST VARS'!$K$54*(12.73^2)+'LINEST VARS'!$J$54*(8*8)+'LINEST VARS'!$I$54*(8*$CH$32)+'LINEST VARS'!$H$54*(8*$BX34)+'LINEST VARS'!$G$54*(8*12.73)+'LINEST VARS'!$F$54*(8*$CH$32)+'LINEST VARS'!$E$54*(8*$BX34)+'LINEST VARS'!$D$54*(8*12.73)+'LINEST VARS'!$C$54*($CH$32*$BX34)+'LINEST VARS'!$B$54*($CH$32*12.73)+'LINEST VARS'!$A$54*($BX34*12.73)</f>
        <v>3.9974999999999996</v>
      </c>
      <c r="CI34" s="51">
        <f>'LINEST VARS'!$U$54+'LINEST VARS'!$T$54*(8)+'LINEST VARS'!$S$54*(8)+'LINEST VARS'!$R$54*($CI$32)+'LINEST VARS'!$Q$54*($BX34)+'LINEST VARS'!$P$54*(12.73)+'LINEST VARS'!$O$54*(8^2)+'LINEST VARS'!$N$54*(8^2)+'LINEST VARS'!$M$54*($CI$32^2)+'LINEST VARS'!$L$54*($BX34^2)+'LINEST VARS'!$K$54*(12.73^2)+'LINEST VARS'!$J$54*(8*8)+'LINEST VARS'!$I$54*(8*$CI$32)+'LINEST VARS'!$H$54*(8*$BX34)+'LINEST VARS'!$G$54*(8*12.73)+'LINEST VARS'!$F$54*(8*$CI$32)+'LINEST VARS'!$E$54*(8*$BX34)+'LINEST VARS'!$D$54*(8*12.73)+'LINEST VARS'!$C$54*($CI$32*$BX34)+'LINEST VARS'!$B$54*($CI$32*12.73)+'LINEST VARS'!$A$54*($BX34*12.73)</f>
        <v>3.9974999999999996</v>
      </c>
      <c r="CJ34" s="51">
        <f>'LINEST VARS'!$U$54+'LINEST VARS'!$T$54*(8)+'LINEST VARS'!$S$54*(8)+'LINEST VARS'!$R$54*($CJ$32)+'LINEST VARS'!$Q$54*($BX34)+'LINEST VARS'!$P$54*(12.73)+'LINEST VARS'!$O$54*(8^2)+'LINEST VARS'!$N$54*(8^2)+'LINEST VARS'!$M$54*($CJ$32^2)+'LINEST VARS'!$L$54*($BX34^2)+'LINEST VARS'!$K$54*(12.73^2)+'LINEST VARS'!$J$54*(8*8)+'LINEST VARS'!$I$54*(8*$CJ$32)+'LINEST VARS'!$H$54*(8*$BX34)+'LINEST VARS'!$G$54*(8*12.73)+'LINEST VARS'!$F$54*(8*$CJ$32)+'LINEST VARS'!$E$54*(8*$BX34)+'LINEST VARS'!$D$54*(8*12.73)+'LINEST VARS'!$C$54*($CJ$32*$BX34)+'LINEST VARS'!$B$54*($CJ$32*12.73)+'LINEST VARS'!$A$54*($BX34*12.73)</f>
        <v>3.9974999999999996</v>
      </c>
      <c r="CK34" s="51">
        <f>'LINEST VARS'!$U$54+'LINEST VARS'!$T$54*(8)+'LINEST VARS'!$S$54*(8)+'LINEST VARS'!$R$54*($CK$32)+'LINEST VARS'!$Q$54*($BX34)+'LINEST VARS'!$P$54*(12.73)+'LINEST VARS'!$O$54*(8^2)+'LINEST VARS'!$N$54*(8^2)+'LINEST VARS'!$M$54*($CK$32^2)+'LINEST VARS'!$L$54*($BX34^2)+'LINEST VARS'!$K$54*(12.73^2)+'LINEST VARS'!$J$54*(8*8)+'LINEST VARS'!$I$54*(8*$CK$32)+'LINEST VARS'!$H$54*(8*$BX34)+'LINEST VARS'!$G$54*(8*12.73)+'LINEST VARS'!$F$54*(8*$CK$32)+'LINEST VARS'!$E$54*(8*$BX34)+'LINEST VARS'!$D$54*(8*12.73)+'LINEST VARS'!$C$54*($CK$32*$BX34)+'LINEST VARS'!$B$54*($CK$32*12.73)+'LINEST VARS'!$A$54*($BX34*12.73)</f>
        <v>3.9974999999999996</v>
      </c>
      <c r="CL34" s="51">
        <f>'LINEST VARS'!$U$54+'LINEST VARS'!$T$54*(8)+'LINEST VARS'!$S$54*(8)+'LINEST VARS'!$R$54*($CL$32)+'LINEST VARS'!$Q$54*($BX34)+'LINEST VARS'!$P$54*(12.73)+'LINEST VARS'!$O$54*(8^2)+'LINEST VARS'!$N$54*(8^2)+'LINEST VARS'!$M$54*($CL$32^2)+'LINEST VARS'!$L$54*($BX34^2)+'LINEST VARS'!$K$54*(12.73^2)+'LINEST VARS'!$J$54*(8*8)+'LINEST VARS'!$I$54*(8*$CL$32)+'LINEST VARS'!$H$54*(8*$BX34)+'LINEST VARS'!$G$54*(8*12.73)+'LINEST VARS'!$F$54*(8*$CL$32)+'LINEST VARS'!$E$54*(8*$BX34)+'LINEST VARS'!$D$54*(8*12.73)+'LINEST VARS'!$C$54*($CL$32*$BX34)+'LINEST VARS'!$B$54*($CL$32*12.73)+'LINEST VARS'!$A$54*($BX34*12.73)</f>
        <v>3.9974999999999996</v>
      </c>
      <c r="CM34" s="51">
        <f>'LINEST VARS'!$U$54+'LINEST VARS'!$T$54*(8)+'LINEST VARS'!$S$54*(8)+'LINEST VARS'!$R$54*($CM$32)+'LINEST VARS'!$Q$54*($BX34)+'LINEST VARS'!$P$54*(12.73)+'LINEST VARS'!$O$54*(8^2)+'LINEST VARS'!$N$54*(8^2)+'LINEST VARS'!$M$54*($CM$32^2)+'LINEST VARS'!$L$54*($BX34^2)+'LINEST VARS'!$K$54*(12.73^2)+'LINEST VARS'!$J$54*(8*8)+'LINEST VARS'!$I$54*(8*$CM$32)+'LINEST VARS'!$H$54*(8*$BX34)+'LINEST VARS'!$G$54*(8*12.73)+'LINEST VARS'!$F$54*(8*$CM$32)+'LINEST VARS'!$E$54*(8*$BX34)+'LINEST VARS'!$D$54*(8*12.73)+'LINEST VARS'!$C$54*($CM$32*$BX34)+'LINEST VARS'!$B$54*($CM$32*12.73)+'LINEST VARS'!$A$54*($BX34*12.73)</f>
        <v>3.9974999999999996</v>
      </c>
      <c r="CN34" s="51">
        <f>'LINEST VARS'!$U$54+'LINEST VARS'!$T$54*(8)+'LINEST VARS'!$S$54*(8)+'LINEST VARS'!$R$54*($CN$32)+'LINEST VARS'!$Q$54*($BX34)+'LINEST VARS'!$P$54*(12.73)+'LINEST VARS'!$O$54*(8^2)+'LINEST VARS'!$N$54*(8^2)+'LINEST VARS'!$M$54*($CN$32^2)+'LINEST VARS'!$L$54*($BX34^2)+'LINEST VARS'!$K$54*(12.73^2)+'LINEST VARS'!$J$54*(8*8)+'LINEST VARS'!$I$54*(8*$CN$32)+'LINEST VARS'!$H$54*(8*$BX34)+'LINEST VARS'!$G$54*(8*12.73)+'LINEST VARS'!$F$54*(8*$CN$32)+'LINEST VARS'!$E$54*(8*$BX34)+'LINEST VARS'!$D$54*(8*12.73)+'LINEST VARS'!$C$54*($CN$32*$BX34)+'LINEST VARS'!$B$54*($CN$32*12.73)+'LINEST VARS'!$A$54*($BX34*12.73)</f>
        <v>3.9974999999999996</v>
      </c>
      <c r="CO34" s="51">
        <f>'LINEST VARS'!$U$54+'LINEST VARS'!$T$54*(8)+'LINEST VARS'!$S$54*(8)+'LINEST VARS'!$R$54*($CO$32)+'LINEST VARS'!$Q$54*($BX34)+'LINEST VARS'!$P$54*(12.73)+'LINEST VARS'!$O$54*(8^2)+'LINEST VARS'!$N$54*(8^2)+'LINEST VARS'!$M$54*($CO$32^2)+'LINEST VARS'!$L$54*($BX34^2)+'LINEST VARS'!$K$54*(12.73^2)+'LINEST VARS'!$J$54*(8*8)+'LINEST VARS'!$I$54*(8*$CO$32)+'LINEST VARS'!$H$54*(8*$BX34)+'LINEST VARS'!$G$54*(8*12.73)+'LINEST VARS'!$F$54*(8*$CO$32)+'LINEST VARS'!$E$54*(8*$BX34)+'LINEST VARS'!$D$54*(8*12.73)+'LINEST VARS'!$C$54*($CO$32*$BX34)+'LINEST VARS'!$B$54*($CO$32*12.73)+'LINEST VARS'!$A$54*($BX34*12.73)</f>
        <v>3.9974999999999996</v>
      </c>
      <c r="CP34" s="51">
        <f>'LINEST VARS'!$U$54+'LINEST VARS'!$T$54*(8)+'LINEST VARS'!$S$54*(8)+'LINEST VARS'!$R$54*($CP$32)+'LINEST VARS'!$Q$54*($BX34)+'LINEST VARS'!$P$54*(12.73)+'LINEST VARS'!$O$54*(8^2)+'LINEST VARS'!$N$54*(8^2)+'LINEST VARS'!$M$54*($CP$32^2)+'LINEST VARS'!$L$54*($BX34^2)+'LINEST VARS'!$K$54*(12.73^2)+'LINEST VARS'!$J$54*(8*8)+'LINEST VARS'!$I$54*(8*$CP$32)+'LINEST VARS'!$H$54*(8*$BX34)+'LINEST VARS'!$G$54*(8*12.73)+'LINEST VARS'!$F$54*(8*$CP$32)+'LINEST VARS'!$E$54*(8*$BX34)+'LINEST VARS'!$D$54*(8*12.73)+'LINEST VARS'!$C$54*($CP$32*$BX34)+'LINEST VARS'!$B$54*($CP$32*12.73)+'LINEST VARS'!$A$54*($BX34*12.73)</f>
        <v>3.9974999999999996</v>
      </c>
      <c r="CQ34" s="51">
        <f>'LINEST VARS'!$U$54+'LINEST VARS'!$T$54*(8)+'LINEST VARS'!$S$54*(8)+'LINEST VARS'!$R$54*($CQ$32)+'LINEST VARS'!$Q$54*($BX34)+'LINEST VARS'!$P$54*(12.73)+'LINEST VARS'!$O$54*(8^2)+'LINEST VARS'!$N$54*(8^2)+'LINEST VARS'!$M$54*($CQ$32^2)+'LINEST VARS'!$L$54*($BX34^2)+'LINEST VARS'!$K$54*(12.73^2)+'LINEST VARS'!$J$54*(8*8)+'LINEST VARS'!$I$54*(8*$CQ$32)+'LINEST VARS'!$H$54*(8*$BX34)+'LINEST VARS'!$G$54*(8*12.73)+'LINEST VARS'!$F$54*(8*$CQ$32)+'LINEST VARS'!$E$54*(8*$BX34)+'LINEST VARS'!$D$54*(8*12.73)+'LINEST VARS'!$C$54*($CQ$32*$BX34)+'LINEST VARS'!$B$54*($CQ$32*12.73)+'LINEST VARS'!$A$54*($BX34*12.73)</f>
        <v>3.9974999999999996</v>
      </c>
      <c r="CR34" s="51">
        <f>'LINEST VARS'!$U$54+'LINEST VARS'!$T$54*(8)+'LINEST VARS'!$S$54*(8)+'LINEST VARS'!$R$54*($CR$32)+'LINEST VARS'!$Q$54*($BX34)+'LINEST VARS'!$P$54*(12.73)+'LINEST VARS'!$O$54*(8^2)+'LINEST VARS'!$N$54*(8^2)+'LINEST VARS'!$M$54*($CR$32^2)+'LINEST VARS'!$L$54*($BX34^2)+'LINEST VARS'!$K$54*(12.73^2)+'LINEST VARS'!$J$54*(8*8)+'LINEST VARS'!$I$54*(8*$CR$32)+'LINEST VARS'!$H$54*(8*$BX34)+'LINEST VARS'!$G$54*(8*12.73)+'LINEST VARS'!$F$54*(8*$CR$32)+'LINEST VARS'!$E$54*(8*$BX34)+'LINEST VARS'!$D$54*(8*12.73)+'LINEST VARS'!$C$54*($CR$32*$BX34)+'LINEST VARS'!$B$54*($CR$32*12.73)+'LINEST VARS'!$A$54*($BX34*12.73)</f>
        <v>3.9974999999999996</v>
      </c>
      <c r="CS34" s="52">
        <f>'LINEST VARS'!$U$54+'LINEST VARS'!$T$54*(8)+'LINEST VARS'!$S$54*(8)+'LINEST VARS'!$R$54*($CS$32)+'LINEST VARS'!$Q$54*($BX34)+'LINEST VARS'!$P$54*(12.73)+'LINEST VARS'!$O$54*(8^2)+'LINEST VARS'!$N$54*(8^2)+'LINEST VARS'!$M$54*($CS$32^2)+'LINEST VARS'!$L$54*($BX34^2)+'LINEST VARS'!$K$54*(12.73^2)+'LINEST VARS'!$J$54*(8*8)+'LINEST VARS'!$I$54*(8*$CS$32)+'LINEST VARS'!$H$54*(8*$BX34)+'LINEST VARS'!$G$54*(8*12.73)+'LINEST VARS'!$F$54*(8*$CS$32)+'LINEST VARS'!$E$54*(8*$BX34)+'LINEST VARS'!$D$54*(8*12.73)+'LINEST VARS'!$C$54*($CS$32*$BX34)+'LINEST VARS'!$B$54*($CS$32*12.73)+'LINEST VARS'!$A$54*($BX34*12.73)</f>
        <v>3.9974999999999996</v>
      </c>
      <c r="CX34" s="45">
        <v>1.2995000000000001</v>
      </c>
      <c r="CY34" s="51">
        <f>'LINEST VARS'!$U$52+'LINEST VARS'!$T$52*(8)+'LINEST VARS'!$S$52*(8)+'LINEST VARS'!$R$52*($CY$32)+'LINEST VARS'!$Q$52*(0.5)+'LINEST VARS'!$P$52*($CX34)+'LINEST VARS'!$O$52*(8^2)+'LINEST VARS'!$N$52*(8^2)+'LINEST VARS'!$M$52*($CY$32^2)+'LINEST VARS'!$L$52*(0.5^2)+'LINEST VARS'!$K$52*($CX34^2)+'LINEST VARS'!$J$52*(8*8)+'LINEST VARS'!$I$52*(8*$CY$32)+'LINEST VARS'!$H$52*(8*0.5)+'LINEST VARS'!$G$52*(8*$CX34)+'LINEST VARS'!$F$52*(8*$CY$32)+'LINEST VARS'!$E$52*(8*0.5)+'LINEST VARS'!$D$52*(8*$CX34)+'LINEST VARS'!$C$52*($CY$32*0.5)+'LINEST VARS'!$B$52*($CY$32*$CX34)+'LINEST VARS'!$A$52*(0.5*$CX34)</f>
        <v>4.4499999999999984</v>
      </c>
      <c r="CZ34" s="51">
        <f>'LINEST VARS'!$U$52+'LINEST VARS'!$T$52*(8)+'LINEST VARS'!$S$52*(8)+'LINEST VARS'!$R$52*($CZ$32)+'LINEST VARS'!$Q$52*(0.5)+'LINEST VARS'!$P$52*($CX34)+'LINEST VARS'!$O$52*(8^2)+'LINEST VARS'!$N$52*(8^2)+'LINEST VARS'!$M$52*($CZ$32^2)+'LINEST VARS'!$L$52*(0.5^2)+'LINEST VARS'!$K$52*($CX34^2)+'LINEST VARS'!$J$52*(8*8)+'LINEST VARS'!$I$52*(8*$CZ$32)+'LINEST VARS'!$H$52*(8*0.5)+'LINEST VARS'!$G$52*(8*$CX34)+'LINEST VARS'!$F$52*(8*$CZ$32)+'LINEST VARS'!$E$52*(8*0.5)+'LINEST VARS'!$D$52*(8*$CX34)+'LINEST VARS'!$C$52*($CZ$32*0.5)+'LINEST VARS'!$B$52*($CZ$32*$CX34)+'LINEST VARS'!$A$52*(0.5*$CX34)</f>
        <v>4.4499999999999984</v>
      </c>
      <c r="DA34" s="51">
        <f>'LINEST VARS'!$U$52+'LINEST VARS'!$T$52*(8)+'LINEST VARS'!$S$52*(8)+'LINEST VARS'!$R$52*($DA$32)+'LINEST VARS'!$Q$52*(0.5)+'LINEST VARS'!$P$52*($CX34)+'LINEST VARS'!$O$52*(8^2)+'LINEST VARS'!$N$52*(8^2)+'LINEST VARS'!$M$52*($DA$32^2)+'LINEST VARS'!$L$52*(0.5^2)+'LINEST VARS'!$K$52*($CX34^2)+'LINEST VARS'!$J$52*(8*8)+'LINEST VARS'!$I$52*(8*$DA$32)+'LINEST VARS'!$H$52*(8*0.5)+'LINEST VARS'!$G$52*(8*$CX34)+'LINEST VARS'!$F$52*(8*$DA$32)+'LINEST VARS'!$E$52*(8*0.5)+'LINEST VARS'!$D$52*(8*$CX34)+'LINEST VARS'!$C$52*($DA$32*0.5)+'LINEST VARS'!$B$52*($DA$32*$CX34)+'LINEST VARS'!$A$52*(0.5*$CX34)</f>
        <v>4.4499999999999984</v>
      </c>
      <c r="DB34" s="51">
        <f>'LINEST VARS'!$U$52+'LINEST VARS'!$T$52*(8)+'LINEST VARS'!$S$52*(8)+'LINEST VARS'!$R$52*($DB$32)+'LINEST VARS'!$Q$52*(0.5)+'LINEST VARS'!$P$52*($CX34)+'LINEST VARS'!$O$52*(8^2)+'LINEST VARS'!$N$52*(8^2)+'LINEST VARS'!$M$52*($DB$32^2)+'LINEST VARS'!$L$52*(0.5^2)+'LINEST VARS'!$K$52*($CX34^2)+'LINEST VARS'!$J$52*(8*8)+'LINEST VARS'!$I$52*(8*$DB$32)+'LINEST VARS'!$H$52*(8*0.5)+'LINEST VARS'!$G$52*(8*$CX34)+'LINEST VARS'!$F$52*(8*$DB$32)+'LINEST VARS'!$E$52*(8*0.5)+'LINEST VARS'!$D$52*(8*$CX34)+'LINEST VARS'!$C$52*($DB$32*0.5)+'LINEST VARS'!$B$52*($DB$32*$CX34)+'LINEST VARS'!$A$52*(0.5*$CX34)</f>
        <v>4.4499999999999984</v>
      </c>
      <c r="DC34" s="51">
        <f>'LINEST VARS'!$U$52+'LINEST VARS'!$T$52*(8)+'LINEST VARS'!$S$52*(8)+'LINEST VARS'!$R$52*($DC$32)+'LINEST VARS'!$Q$52*(0.5)+'LINEST VARS'!$P$52*($CX34)+'LINEST VARS'!$O$52*(8^2)+'LINEST VARS'!$N$52*(8^2)+'LINEST VARS'!$M$52*($DC$32^2)+'LINEST VARS'!$L$52*(0.5^2)+'LINEST VARS'!$K$52*($CX34^2)+'LINEST VARS'!$J$52*(8*8)+'LINEST VARS'!$I$52*(8*$DC$32)+'LINEST VARS'!$H$52*(8*0.5)+'LINEST VARS'!$G$52*(8*$CX34)+'LINEST VARS'!$F$52*(8*$DC$32)+'LINEST VARS'!$E$52*(8*0.5)+'LINEST VARS'!$D$52*(8*$CX34)+'LINEST VARS'!$C$52*($DC$32*0.5)+'LINEST VARS'!$B$52*($DC$32*$CX34)+'LINEST VARS'!$A$52*(0.5*$CX34)</f>
        <v>4.4499999999999984</v>
      </c>
      <c r="DD34" s="51">
        <f>'LINEST VARS'!$U$52+'LINEST VARS'!$T$52*(8)+'LINEST VARS'!$S$52*(8)+'LINEST VARS'!$R$52*($DD$32)+'LINEST VARS'!$Q$52*(0.5)+'LINEST VARS'!$P$52*($CX34)+'LINEST VARS'!$O$52*(8^2)+'LINEST VARS'!$N$52*(8^2)+'LINEST VARS'!$M$52*($DD$32^2)+'LINEST VARS'!$L$52*(0.5^2)+'LINEST VARS'!$K$52*($CX34^2)+'LINEST VARS'!$J$52*(8*8)+'LINEST VARS'!$I$52*(8*$DD$32)+'LINEST VARS'!$H$52*(8*0.5)+'LINEST VARS'!$G$52*(8*$CX34)+'LINEST VARS'!$F$52*(8*$DD$32)+'LINEST VARS'!$E$52*(8*0.5)+'LINEST VARS'!$D$52*(8*$CX34)+'LINEST VARS'!$C$52*($DD$32*0.5)+'LINEST VARS'!$B$52*($DD$32*$CX34)+'LINEST VARS'!$A$52*(0.5*$CX34)</f>
        <v>4.4499999999999984</v>
      </c>
      <c r="DE34" s="51">
        <f>'LINEST VARS'!$U$52+'LINEST VARS'!$T$52*(8)+'LINEST VARS'!$S$52*(8)+'LINEST VARS'!$R$52*($DE$32)+'LINEST VARS'!$Q$52*(0.5)+'LINEST VARS'!$P$52*($CX34)+'LINEST VARS'!$O$52*(8^2)+'LINEST VARS'!$N$52*(8^2)+'LINEST VARS'!$M$52*($DE$32^2)+'LINEST VARS'!$L$52*(0.5^2)+'LINEST VARS'!$K$52*($CX34^2)+'LINEST VARS'!$J$52*(8*8)+'LINEST VARS'!$I$52*(8*$DE$32)+'LINEST VARS'!$H$52*(8*0.5)+'LINEST VARS'!$G$52*(8*$CX34)+'LINEST VARS'!$F$52*(8*$DE$32)+'LINEST VARS'!$E$52*(8*0.5)+'LINEST VARS'!$D$52*(8*$CX34)+'LINEST VARS'!$C$52*($DE$32*0.5)+'LINEST VARS'!$B$52*($DE$32*$CX34)+'LINEST VARS'!$A$52*(0.5*$CX34)</f>
        <v>4.4499999999999984</v>
      </c>
      <c r="DF34" s="51">
        <f>'LINEST VARS'!$U$52+'LINEST VARS'!$T$52*(8)+'LINEST VARS'!$S$52*(8)+'LINEST VARS'!$R$52*($DF$32)+'LINEST VARS'!$Q$52*(0.5)+'LINEST VARS'!$P$52*($CX34)+'LINEST VARS'!$O$52*(8^2)+'LINEST VARS'!$N$52*(8^2)+'LINEST VARS'!$M$52*($DF$32^2)+'LINEST VARS'!$L$52*(0.5^2)+'LINEST VARS'!$K$52*($CX34^2)+'LINEST VARS'!$J$52*(8*8)+'LINEST VARS'!$I$52*(8*$DF$32)+'LINEST VARS'!$H$52*(8*0.5)+'LINEST VARS'!$G$52*(8*$CX34)+'LINEST VARS'!$F$52*(8*$DF$32)+'LINEST VARS'!$E$52*(8*0.5)+'LINEST VARS'!$D$52*(8*$CX34)+'LINEST VARS'!$C$52*($DF$32*0.5)+'LINEST VARS'!$B$52*($DF$32*$CX34)+'LINEST VARS'!$A$52*(0.5*$CX34)</f>
        <v>4.4499999999999984</v>
      </c>
      <c r="DG34" s="51">
        <f>'LINEST VARS'!$U$52+'LINEST VARS'!$T$52*(8)+'LINEST VARS'!$S$52*(8)+'LINEST VARS'!$R$52*($DG$32)+'LINEST VARS'!$Q$52*(0.5)+'LINEST VARS'!$P$52*($CX34)+'LINEST VARS'!$O$52*(8^2)+'LINEST VARS'!$N$52*(8^2)+'LINEST VARS'!$M$52*($DG$32^2)+'LINEST VARS'!$L$52*(0.5^2)+'LINEST VARS'!$K$52*($CX34^2)+'LINEST VARS'!$J$52*(8*8)+'LINEST VARS'!$I$52*(8*$DG$32)+'LINEST VARS'!$H$52*(8*0.5)+'LINEST VARS'!$G$52*(8*$CX34)+'LINEST VARS'!$F$52*(8*$DG$32)+'LINEST VARS'!$E$52*(8*0.5)+'LINEST VARS'!$D$52*(8*$CX34)+'LINEST VARS'!$C$52*($DG$32*0.5)+'LINEST VARS'!$B$52*($DG$32*$CX34)+'LINEST VARS'!$A$52*(0.5*$CX34)</f>
        <v>4.4499999999999984</v>
      </c>
      <c r="DH34" s="51">
        <f>'LINEST VARS'!$U$52+'LINEST VARS'!$T$52*(8)+'LINEST VARS'!$S$52*(8)+'LINEST VARS'!$R$52*($DH$32)+'LINEST VARS'!$Q$52*(0.5)+'LINEST VARS'!$P$52*($CX34)+'LINEST VARS'!$O$52*(8^2)+'LINEST VARS'!$N$52*(8^2)+'LINEST VARS'!$M$52*($DH$32^2)+'LINEST VARS'!$L$52*(0.5^2)+'LINEST VARS'!$K$52*($CX34^2)+'LINEST VARS'!$J$52*(8*8)+'LINEST VARS'!$I$52*(8*$DH$32)+'LINEST VARS'!$H$52*(8*0.5)+'LINEST VARS'!$G$52*(8*$CX34)+'LINEST VARS'!$F$52*(8*$DH$32)+'LINEST VARS'!$E$52*(8*0.5)+'LINEST VARS'!$D$52*(8*$CX34)+'LINEST VARS'!$C$52*($DH$32*0.5)+'LINEST VARS'!$B$52*($DH$32*$CX34)+'LINEST VARS'!$A$52*(0.5*$CX34)</f>
        <v>4.4499999999999984</v>
      </c>
      <c r="DI34" s="51">
        <f>'LINEST VARS'!$U$52+'LINEST VARS'!$T$52*(8)+'LINEST VARS'!$S$52*(8)+'LINEST VARS'!$R$52*($DI$32)+'LINEST VARS'!$Q$52*(0.5)+'LINEST VARS'!$P$52*($CX34)+'LINEST VARS'!$O$52*(8^2)+'LINEST VARS'!$N$52*(8^2)+'LINEST VARS'!$M$52*($DI$32^2)+'LINEST VARS'!$L$52*(0.5^2)+'LINEST VARS'!$K$52*($CX34^2)+'LINEST VARS'!$J$52*(8*8)+'LINEST VARS'!$I$52*(8*$DI$32)+'LINEST VARS'!$H$52*(8*0.5)+'LINEST VARS'!$G$52*(8*$CX34)+'LINEST VARS'!$F$52*(8*$DI$32)+'LINEST VARS'!$E$52*(8*0.5)+'LINEST VARS'!$D$52*(8*$CX34)+'LINEST VARS'!$C$52*($DI$32*0.5)+'LINEST VARS'!$B$52*($DI$32*$CX34)+'LINEST VARS'!$A$52*(0.5*$CX34)</f>
        <v>4.4499999999999984</v>
      </c>
      <c r="DJ34" s="51">
        <f>'LINEST VARS'!$U$52+'LINEST VARS'!$T$52*(8)+'LINEST VARS'!$S$52*(8)+'LINEST VARS'!$R$52*($DJ$32)+'LINEST VARS'!$Q$52*(0.5)+'LINEST VARS'!$P$52*($CX34)+'LINEST VARS'!$O$52*(8^2)+'LINEST VARS'!$N$52*(8^2)+'LINEST VARS'!$M$52*($DJ$32^2)+'LINEST VARS'!$L$52*(0.5^2)+'LINEST VARS'!$K$52*($CX34^2)+'LINEST VARS'!$J$52*(8*8)+'LINEST VARS'!$I$52*(8*$DJ$32)+'LINEST VARS'!$H$52*(8*0.5)+'LINEST VARS'!$G$52*(8*$CX34)+'LINEST VARS'!$F$52*(8*$DJ$32)+'LINEST VARS'!$E$52*(8*0.5)+'LINEST VARS'!$D$52*(8*$CX34)+'LINEST VARS'!$C$52*($DJ$32*0.5)+'LINEST VARS'!$B$52*($DJ$32*$CX34)+'LINEST VARS'!$A$52*(0.5*$CX34)</f>
        <v>4.4499999999999984</v>
      </c>
      <c r="DK34" s="51">
        <f>'LINEST VARS'!$U$52+'LINEST VARS'!$T$52*(8)+'LINEST VARS'!$S$52*(8)+'LINEST VARS'!$R$52*($DK$32)+'LINEST VARS'!$Q$52*(0.5)+'LINEST VARS'!$P$52*($CX34)+'LINEST VARS'!$O$52*(8^2)+'LINEST VARS'!$N$52*(8^2)+'LINEST VARS'!$M$52*($DK$32^2)+'LINEST VARS'!$L$52*(0.5^2)+'LINEST VARS'!$K$52*($CX34^2)+'LINEST VARS'!$J$52*(8*8)+'LINEST VARS'!$I$52*(8*$DK$32)+'LINEST VARS'!$H$52*(8*0.5)+'LINEST VARS'!$G$52*(8*$CX34)+'LINEST VARS'!$F$52*(8*$DK$32)+'LINEST VARS'!$E$52*(8*0.5)+'LINEST VARS'!$D$52*(8*$CX34)+'LINEST VARS'!$C$52*($DK$32*0.5)+'LINEST VARS'!$B$52*($DK$32*$CX34)+'LINEST VARS'!$A$52*(0.5*$CX34)</f>
        <v>4.4499999999999984</v>
      </c>
      <c r="DL34" s="51">
        <f>'LINEST VARS'!$U$52+'LINEST VARS'!$T$52*(8)+'LINEST VARS'!$S$52*(8)+'LINEST VARS'!$R$52*($DL$32)+'LINEST VARS'!$Q$52*(0.5)+'LINEST VARS'!$P$52*($CX34)+'LINEST VARS'!$O$52*(8^2)+'LINEST VARS'!$N$52*(8^2)+'LINEST VARS'!$M$52*($DL$32^2)+'LINEST VARS'!$L$52*(0.5^2)+'LINEST VARS'!$K$52*($CX34^2)+'LINEST VARS'!$J$52*(8*8)+'LINEST VARS'!$I$52*(8*$DL$32)+'LINEST VARS'!$H$52*(8*0.5)+'LINEST VARS'!$G$52*(8*$CX34)+'LINEST VARS'!$F$52*(8*$DL$32)+'LINEST VARS'!$E$52*(8*0.5)+'LINEST VARS'!$D$52*(8*$CX34)+'LINEST VARS'!$C$52*($DL$32*0.5)+'LINEST VARS'!$B$52*($DL$32*$CX34)+'LINEST VARS'!$A$52*(0.5*$CX34)</f>
        <v>4.4499999999999984</v>
      </c>
      <c r="DM34" s="51">
        <f>'LINEST VARS'!$U$52+'LINEST VARS'!$T$52*(8)+'LINEST VARS'!$S$52*(8)+'LINEST VARS'!$R$52*($DM$32)+'LINEST VARS'!$Q$52*(0.5)+'LINEST VARS'!$P$52*($CX34)+'LINEST VARS'!$O$52*(8^2)+'LINEST VARS'!$N$52*(8^2)+'LINEST VARS'!$M$52*($DM$32^2)+'LINEST VARS'!$L$52*(0.5^2)+'LINEST VARS'!$K$52*($CX34^2)+'LINEST VARS'!$J$52*(8*8)+'LINEST VARS'!$I$52*(8*$DM$32)+'LINEST VARS'!$H$52*(8*0.5)+'LINEST VARS'!$G$52*(8*$CX34)+'LINEST VARS'!$F$52*(8*$DM$32)+'LINEST VARS'!$E$52*(8*0.5)+'LINEST VARS'!$D$52*(8*$CX34)+'LINEST VARS'!$C$52*($DM$32*0.5)+'LINEST VARS'!$B$52*($DM$32*$CX34)+'LINEST VARS'!$A$52*(0.5*$CX34)</f>
        <v>4.4499999999999984</v>
      </c>
      <c r="DN34" s="51">
        <f>'LINEST VARS'!$U$52+'LINEST VARS'!$T$52*(8)+'LINEST VARS'!$S$52*(8)+'LINEST VARS'!$R$52*($DN$32)+'LINEST VARS'!$Q$52*(0.5)+'LINEST VARS'!$P$52*($CX34)+'LINEST VARS'!$O$52*(8^2)+'LINEST VARS'!$N$52*(8^2)+'LINEST VARS'!$M$52*($DN$32^2)+'LINEST VARS'!$L$52*(0.5^2)+'LINEST VARS'!$K$52*($CX34^2)+'LINEST VARS'!$J$52*(8*8)+'LINEST VARS'!$I$52*(8*$DN$32)+'LINEST VARS'!$H$52*(8*0.5)+'LINEST VARS'!$G$52*(8*$CX34)+'LINEST VARS'!$F$52*(8*$DN$32)+'LINEST VARS'!$E$52*(8*0.5)+'LINEST VARS'!$D$52*(8*$CX34)+'LINEST VARS'!$C$52*($DN$32*0.5)+'LINEST VARS'!$B$52*($DN$32*$CX34)+'LINEST VARS'!$A$52*(0.5*$CX34)</f>
        <v>4.4499999999999984</v>
      </c>
      <c r="DO34" s="51">
        <f>'LINEST VARS'!$U$52+'LINEST VARS'!$T$52*(8)+'LINEST VARS'!$S$52*(8)+'LINEST VARS'!$R$52*($DO$32)+'LINEST VARS'!$Q$52*(0.5)+'LINEST VARS'!$P$52*($CX34)+'LINEST VARS'!$O$52*(8^2)+'LINEST VARS'!$N$52*(8^2)+'LINEST VARS'!$M$52*($DO$32^2)+'LINEST VARS'!$L$52*(0.5^2)+'LINEST VARS'!$K$52*($CX34^2)+'LINEST VARS'!$J$52*(8*8)+'LINEST VARS'!$I$52*(8*$DO$32)+'LINEST VARS'!$H$52*(8*0.5)+'LINEST VARS'!$G$52*(8*$CX34)+'LINEST VARS'!$F$52*(8*$DO$32)+'LINEST VARS'!$E$52*(8*0.5)+'LINEST VARS'!$D$52*(8*$CX34)+'LINEST VARS'!$C$52*($DO$32*0.5)+'LINEST VARS'!$B$52*($DO$32*$CX34)+'LINEST VARS'!$A$52*(0.5*$CX34)</f>
        <v>4.4499999999999984</v>
      </c>
      <c r="DP34" s="51">
        <f>'LINEST VARS'!$U$52+'LINEST VARS'!$T$52*(8)+'LINEST VARS'!$S$52*(8)+'LINEST VARS'!$R$52*($DP$32)+'LINEST VARS'!$Q$52*(0.5)+'LINEST VARS'!$P$52*($CX34)+'LINEST VARS'!$O$52*(8^2)+'LINEST VARS'!$N$52*(8^2)+'LINEST VARS'!$M$52*($DP$32^2)+'LINEST VARS'!$L$52*(0.5^2)+'LINEST VARS'!$K$52*($CX34^2)+'LINEST VARS'!$J$52*(8*8)+'LINEST VARS'!$I$52*(8*$DP$32)+'LINEST VARS'!$H$52*(8*0.5)+'LINEST VARS'!$G$52*(8*$CX34)+'LINEST VARS'!$F$52*(8*$DP$32)+'LINEST VARS'!$E$52*(8*0.5)+'LINEST VARS'!$D$52*(8*$CX34)+'LINEST VARS'!$C$52*($DP$32*0.5)+'LINEST VARS'!$B$52*($DP$32*$CX34)+'LINEST VARS'!$A$52*(0.5*$CX34)</f>
        <v>4.4499999999999984</v>
      </c>
      <c r="DQ34" s="51">
        <f>'LINEST VARS'!$U$52+'LINEST VARS'!$T$52*(8)+'LINEST VARS'!$S$52*(8)+'LINEST VARS'!$R$52*($DQ$32)+'LINEST VARS'!$Q$52*(0.5)+'LINEST VARS'!$P$52*($CX34)+'LINEST VARS'!$O$52*(8^2)+'LINEST VARS'!$N$52*(8^2)+'LINEST VARS'!$M$52*($DQ$32^2)+'LINEST VARS'!$L$52*(0.5^2)+'LINEST VARS'!$K$52*($CX34^2)+'LINEST VARS'!$J$52*(8*8)+'LINEST VARS'!$I$52*(8*$DQ$32)+'LINEST VARS'!$H$52*(8*0.5)+'LINEST VARS'!$G$52*(8*$CX34)+'LINEST VARS'!$F$52*(8*$DQ$32)+'LINEST VARS'!$E$52*(8*0.5)+'LINEST VARS'!$D$52*(8*$CX34)+'LINEST VARS'!$C$52*($DQ$32*0.5)+'LINEST VARS'!$B$52*($DQ$32*$CX34)+'LINEST VARS'!$A$52*(0.5*$CX34)</f>
        <v>4.4499999999999984</v>
      </c>
      <c r="DR34" s="51">
        <f>'LINEST VARS'!$U$52+'LINEST VARS'!$T$52*(8)+'LINEST VARS'!$S$52*(8)+'LINEST VARS'!$R$52*($DR$32)+'LINEST VARS'!$Q$52*(0.5)+'LINEST VARS'!$P$52*($CX34)+'LINEST VARS'!$O$52*(8^2)+'LINEST VARS'!$N$52*(8^2)+'LINEST VARS'!$M$52*($DR$32^2)+'LINEST VARS'!$L$52*(0.5^2)+'LINEST VARS'!$K$52*($CX34^2)+'LINEST VARS'!$J$52*(8*8)+'LINEST VARS'!$I$52*(8*$DR$32)+'LINEST VARS'!$H$52*(8*0.5)+'LINEST VARS'!$G$52*(8*$CX34)+'LINEST VARS'!$F$52*(8*$DR$32)+'LINEST VARS'!$E$52*(8*0.5)+'LINEST VARS'!$D$52*(8*$CX34)+'LINEST VARS'!$C$52*($DR$32*0.5)+'LINEST VARS'!$B$52*($DR$32*$CX34)+'LINEST VARS'!$A$52*(0.5*$CX34)</f>
        <v>4.4499999999999984</v>
      </c>
      <c r="DS34" s="52">
        <f>'LINEST VARS'!$U$52+'LINEST VARS'!$T$52*(8)+'LINEST VARS'!$S$52*(8)+'LINEST VARS'!$R$52*($DS$32)+'LINEST VARS'!$Q$52*(0.5)+'LINEST VARS'!$P$52*($CX34)+'LINEST VARS'!$O$52*(8^2)+'LINEST VARS'!$N$52*(8^2)+'LINEST VARS'!$M$52*($DS$32^2)+'LINEST VARS'!$L$52*(0.5^2)+'LINEST VARS'!$K$52*($CX34^2)+'LINEST VARS'!$J$52*(8*8)+'LINEST VARS'!$I$52*(8*$DS$32)+'LINEST VARS'!$H$52*(8*0.5)+'LINEST VARS'!$G$52*(8*$CX34)+'LINEST VARS'!$F$52*(8*$DS$32)+'LINEST VARS'!$E$52*(8*0.5)+'LINEST VARS'!$D$52*(8*$CX34)+'LINEST VARS'!$C$52*($DS$32*0.5)+'LINEST VARS'!$B$52*($DS$32*$CX34)+'LINEST VARS'!$A$52*(0.5*$CX34)</f>
        <v>4.4499999999999984</v>
      </c>
      <c r="DV34" s="45">
        <v>1.2995000000000001</v>
      </c>
      <c r="DW34" s="51">
        <f>'LINEST VARS'!$U$54+'LINEST VARS'!$T$54*(8)+'LINEST VARS'!$S$54*(8)+'LINEST VARS'!$R$54*($DW$32)+'LINEST VARS'!$Q$54*(0.5)+'LINEST VARS'!$P$54*($DV34)+'LINEST VARS'!$O$54*(8^2)+'LINEST VARS'!$N$54*(8^2)+'LINEST VARS'!$M$54*($DW$32^2)+'LINEST VARS'!$L$54*(0.5^2)+'LINEST VARS'!$K$54*($DV34^2)+'LINEST VARS'!$J$54*(8*8)+'LINEST VARS'!$I$54*(8*$DW$32)+'LINEST VARS'!$H$54*(8*0.5)+'LINEST VARS'!$G$54*(8*$DV34)+'LINEST VARS'!$F$54*(8*$DW$32)+'LINEST VARS'!$E$54*(8*0.5)+'LINEST VARS'!$D$54*(8*$DV34)+'LINEST VARS'!$C$54*($DW$32*0.5)+'LINEST VARS'!$B$54*($DW$32*$DV34)+'LINEST VARS'!$A$54*(0.5*$DV34)</f>
        <v>3.9749999999999996</v>
      </c>
      <c r="DX34" s="51">
        <f>'LINEST VARS'!$U$54+'LINEST VARS'!$T$54*(8)+'LINEST VARS'!$S$54*(8)+'LINEST VARS'!$R$54*($DX$32)+'LINEST VARS'!$Q$54*(0.5)+'LINEST VARS'!$P$54*($DV34)+'LINEST VARS'!$O$54*(8^2)+'LINEST VARS'!$N$54*(8^2)+'LINEST VARS'!$M$54*($DX$32^2)+'LINEST VARS'!$L$54*(0.5^2)+'LINEST VARS'!$K$54*($DV34^2)+'LINEST VARS'!$J$54*(8*8)+'LINEST VARS'!$I$54*(8*$DX$32)+'LINEST VARS'!$H$54*(8*0.5)+'LINEST VARS'!$G$54*(8*$DV34)+'LINEST VARS'!$F$54*(8*$DX$32)+'LINEST VARS'!$E$54*(8*0.5)+'LINEST VARS'!$D$54*(8*$DV34)+'LINEST VARS'!$C$54*($DX$32*0.5)+'LINEST VARS'!$B$54*($DX$32*$DV34)+'LINEST VARS'!$A$54*(0.5*$DV34)</f>
        <v>3.9749999999999996</v>
      </c>
      <c r="DY34" s="51">
        <f>'LINEST VARS'!$U$54+'LINEST VARS'!$T$54*(8)+'LINEST VARS'!$S$54*(8)+'LINEST VARS'!$R$54*($DY$32)+'LINEST VARS'!$Q$54*(0.5)+'LINEST VARS'!$P$54*($DV34)+'LINEST VARS'!$O$54*(8^2)+'LINEST VARS'!$N$54*(8^2)+'LINEST VARS'!$M$54*($DY$32^2)+'LINEST VARS'!$L$54*(0.5^2)+'LINEST VARS'!$K$54*($DV34^2)+'LINEST VARS'!$J$54*(8*8)+'LINEST VARS'!$I$54*(8*$DY$32)+'LINEST VARS'!$H$54*(8*0.5)+'LINEST VARS'!$G$54*(8*$DV34)+'LINEST VARS'!$F$54*(8*$DY$32)+'LINEST VARS'!$E$54*(8*0.5)+'LINEST VARS'!$D$54*(8*$DV34)+'LINEST VARS'!$C$54*($DY$32*0.5)+'LINEST VARS'!$B$54*($DY$32*$DV34)+'LINEST VARS'!$A$54*(0.5*$DV34)</f>
        <v>3.9749999999999996</v>
      </c>
      <c r="DZ34" s="51">
        <f>'LINEST VARS'!$U$54+'LINEST VARS'!$T$54*(8)+'LINEST VARS'!$S$54*(8)+'LINEST VARS'!$R$54*($DZ$32)+'LINEST VARS'!$Q$54*(0.5)+'LINEST VARS'!$P$54*($DV34)+'LINEST VARS'!$O$54*(8^2)+'LINEST VARS'!$N$54*(8^2)+'LINEST VARS'!$M$54*($DZ$32^2)+'LINEST VARS'!$L$54*(0.5^2)+'LINEST VARS'!$K$54*($DV34^2)+'LINEST VARS'!$J$54*(8*8)+'LINEST VARS'!$I$54*(8*$DZ$32)+'LINEST VARS'!$H$54*(8*0.5)+'LINEST VARS'!$G$54*(8*$DV34)+'LINEST VARS'!$F$54*(8*$DZ$32)+'LINEST VARS'!$E$54*(8*0.5)+'LINEST VARS'!$D$54*(8*$DV34)+'LINEST VARS'!$C$54*($DZ$32*0.5)+'LINEST VARS'!$B$54*($DZ$32*$DV34)+'LINEST VARS'!$A$54*(0.5*$DV34)</f>
        <v>3.9749999999999996</v>
      </c>
      <c r="EA34" s="51">
        <f>'LINEST VARS'!$U$54+'LINEST VARS'!$T$54*(8)+'LINEST VARS'!$S$54*(8)+'LINEST VARS'!$R$54*($EA$32)+'LINEST VARS'!$Q$54*(0.5)+'LINEST VARS'!$P$54*($DV34)+'LINEST VARS'!$O$54*(8^2)+'LINEST VARS'!$N$54*(8^2)+'LINEST VARS'!$M$54*($EA$32^2)+'LINEST VARS'!$L$54*(0.5^2)+'LINEST VARS'!$K$54*($DV34^2)+'LINEST VARS'!$J$54*(8*8)+'LINEST VARS'!$I$54*(8*$EA$32)+'LINEST VARS'!$H$54*(8*0.5)+'LINEST VARS'!$G$54*(8*$DV34)+'LINEST VARS'!$F$54*(8*$EA$32)+'LINEST VARS'!$E$54*(8*0.5)+'LINEST VARS'!$D$54*(8*$DV34)+'LINEST VARS'!$C$54*($EA$32*0.5)+'LINEST VARS'!$B$54*($EA$32*$DV34)+'LINEST VARS'!$A$54*(0.5*$DV34)</f>
        <v>3.9749999999999996</v>
      </c>
      <c r="EB34" s="51">
        <f>'LINEST VARS'!$U$54+'LINEST VARS'!$T$54*(8)+'LINEST VARS'!$S$54*(8)+'LINEST VARS'!$R$54*($EB$32)+'LINEST VARS'!$Q$54*(0.5)+'LINEST VARS'!$P$54*($DV34)+'LINEST VARS'!$O$54*(8^2)+'LINEST VARS'!$N$54*(8^2)+'LINEST VARS'!$M$54*($EB$32^2)+'LINEST VARS'!$L$54*(0.5^2)+'LINEST VARS'!$K$54*($DV34^2)+'LINEST VARS'!$J$54*(8*8)+'LINEST VARS'!$I$54*(8*$EB$32)+'LINEST VARS'!$H$54*(8*0.5)+'LINEST VARS'!$G$54*(8*$DV34)+'LINEST VARS'!$F$54*(8*$EB$32)+'LINEST VARS'!$E$54*(8*0.5)+'LINEST VARS'!$D$54*(8*$DV34)+'LINEST VARS'!$C$54*($EB$32*0.5)+'LINEST VARS'!$B$54*($EB$32*$DV34)+'LINEST VARS'!$A$54*(0.5*$DV34)</f>
        <v>3.9749999999999996</v>
      </c>
      <c r="EC34" s="51">
        <f>'LINEST VARS'!$U$54+'LINEST VARS'!$T$54*(8)+'LINEST VARS'!$S$54*(8)+'LINEST VARS'!$R$54*($EC$32)+'LINEST VARS'!$Q$54*(0.5)+'LINEST VARS'!$P$54*($DV34)+'LINEST VARS'!$O$54*(8^2)+'LINEST VARS'!$N$54*(8^2)+'LINEST VARS'!$M$54*($EC$32^2)+'LINEST VARS'!$L$54*(0.5^2)+'LINEST VARS'!$K$54*($DV34^2)+'LINEST VARS'!$J$54*(8*8)+'LINEST VARS'!$I$54*(8*$EC$32)+'LINEST VARS'!$H$54*(8*0.5)+'LINEST VARS'!$G$54*(8*$DV34)+'LINEST VARS'!$F$54*(8*$EC$32)+'LINEST VARS'!$E$54*(8*0.5)+'LINEST VARS'!$D$54*(8*$DV34)+'LINEST VARS'!$C$54*($EC$32*0.5)+'LINEST VARS'!$B$54*($EC$32*$DV34)+'LINEST VARS'!$A$54*(0.5*$DV34)</f>
        <v>3.9749999999999996</v>
      </c>
      <c r="ED34" s="51">
        <f>'LINEST VARS'!$U$54+'LINEST VARS'!$T$54*(8)+'LINEST VARS'!$S$54*(8)+'LINEST VARS'!$R$54*($ED$32)+'LINEST VARS'!$Q$54*(0.5)+'LINEST VARS'!$P$54*($DV34)+'LINEST VARS'!$O$54*(8^2)+'LINEST VARS'!$N$54*(8^2)+'LINEST VARS'!$M$54*($ED$32^2)+'LINEST VARS'!$L$54*(0.5^2)+'LINEST VARS'!$K$54*($DV34^2)+'LINEST VARS'!$J$54*(8*8)+'LINEST VARS'!$I$54*(8*$ED$32)+'LINEST VARS'!$H$54*(8*0.5)+'LINEST VARS'!$G$54*(8*$DV34)+'LINEST VARS'!$F$54*(8*$ED$32)+'LINEST VARS'!$E$54*(8*0.5)+'LINEST VARS'!$D$54*(8*$DV34)+'LINEST VARS'!$C$54*($ED$32*0.5)+'LINEST VARS'!$B$54*($ED$32*$DV34)+'LINEST VARS'!$A$54*(0.5*$DV34)</f>
        <v>3.9749999999999996</v>
      </c>
      <c r="EE34" s="51">
        <f>'LINEST VARS'!$U$54+'LINEST VARS'!$T$54*(8)+'LINEST VARS'!$S$54*(8)+'LINEST VARS'!$R$54*($EE$32)+'LINEST VARS'!$Q$54*(0.5)+'LINEST VARS'!$P$54*($DV34)+'LINEST VARS'!$O$54*(8^2)+'LINEST VARS'!$N$54*(8^2)+'LINEST VARS'!$M$54*($EE$32^2)+'LINEST VARS'!$L$54*(0.5^2)+'LINEST VARS'!$K$54*($DV34^2)+'LINEST VARS'!$J$54*(8*8)+'LINEST VARS'!$I$54*(8*$EE$32)+'LINEST VARS'!$H$54*(8*0.5)+'LINEST VARS'!$G$54*(8*$DV34)+'LINEST VARS'!$F$54*(8*$EE$32)+'LINEST VARS'!$E$54*(8*0.5)+'LINEST VARS'!$D$54*(8*$DV34)+'LINEST VARS'!$C$54*($EE$32*0.5)+'LINEST VARS'!$B$54*($EE$32*$DV34)+'LINEST VARS'!$A$54*(0.5*$DV34)</f>
        <v>3.9749999999999996</v>
      </c>
      <c r="EF34" s="51">
        <f>'LINEST VARS'!$U$54+'LINEST VARS'!$T$54*(8)+'LINEST VARS'!$S$54*(8)+'LINEST VARS'!$R$54*($EF$32)+'LINEST VARS'!$Q$54*(0.5)+'LINEST VARS'!$P$54*($DV34)+'LINEST VARS'!$O$54*(8^2)+'LINEST VARS'!$N$54*(8^2)+'LINEST VARS'!$M$54*($EF$32^2)+'LINEST VARS'!$L$54*(0.5^2)+'LINEST VARS'!$K$54*($DV34^2)+'LINEST VARS'!$J$54*(8*8)+'LINEST VARS'!$I$54*(8*$EF$32)+'LINEST VARS'!$H$54*(8*0.5)+'LINEST VARS'!$G$54*(8*$DV34)+'LINEST VARS'!$F$54*(8*$EF$32)+'LINEST VARS'!$E$54*(8*0.5)+'LINEST VARS'!$D$54*(8*$DV34)+'LINEST VARS'!$C$54*($EF$32*0.5)+'LINEST VARS'!$B$54*($EF$32*$DV34)+'LINEST VARS'!$A$54*(0.5*$DV34)</f>
        <v>3.9749999999999996</v>
      </c>
      <c r="EG34" s="51">
        <f>'LINEST VARS'!$U$54+'LINEST VARS'!$T$54*(8)+'LINEST VARS'!$S$54*(8)+'LINEST VARS'!$R$54*($EG$32)+'LINEST VARS'!$Q$54*(0.5)+'LINEST VARS'!$P$54*($DV34)+'LINEST VARS'!$O$54*(8^2)+'LINEST VARS'!$N$54*(8^2)+'LINEST VARS'!$M$54*($EG$32^2)+'LINEST VARS'!$L$54*(0.5^2)+'LINEST VARS'!$K$54*($DV34^2)+'LINEST VARS'!$J$54*(8*8)+'LINEST VARS'!$I$54*(8*$EG$32)+'LINEST VARS'!$H$54*(8*0.5)+'LINEST VARS'!$G$54*(8*$DV34)+'LINEST VARS'!$F$54*(8*$EG$32)+'LINEST VARS'!$E$54*(8*0.5)+'LINEST VARS'!$D$54*(8*$DV34)+'LINEST VARS'!$C$54*($EG$32*0.5)+'LINEST VARS'!$B$54*($EG$32*$DV34)+'LINEST VARS'!$A$54*(0.5*$DV34)</f>
        <v>3.9749999999999996</v>
      </c>
      <c r="EH34" s="51">
        <f>'LINEST VARS'!$U$54+'LINEST VARS'!$T$54*(8)+'LINEST VARS'!$S$54*(8)+'LINEST VARS'!$R$54*($EH$32)+'LINEST VARS'!$Q$54*(0.5)+'LINEST VARS'!$P$54*($DV34)+'LINEST VARS'!$O$54*(8^2)+'LINEST VARS'!$N$54*(8^2)+'LINEST VARS'!$M$54*($EH$32^2)+'LINEST VARS'!$L$54*(0.5^2)+'LINEST VARS'!$K$54*($DV34^2)+'LINEST VARS'!$J$54*(8*8)+'LINEST VARS'!$I$54*(8*$EH$32)+'LINEST VARS'!$H$54*(8*0.5)+'LINEST VARS'!$G$54*(8*$DV34)+'LINEST VARS'!$F$54*(8*$EH$32)+'LINEST VARS'!$E$54*(8*0.5)+'LINEST VARS'!$D$54*(8*$DV34)+'LINEST VARS'!$C$54*($EH$32*0.5)+'LINEST VARS'!$B$54*($EH$32*$DV34)+'LINEST VARS'!$A$54*(0.5*$DV34)</f>
        <v>3.9749999999999996</v>
      </c>
      <c r="EI34" s="51">
        <f>'LINEST VARS'!$U$54+'LINEST VARS'!$T$54*(8)+'LINEST VARS'!$S$54*(8)+'LINEST VARS'!$R$54*($EI$32)+'LINEST VARS'!$Q$54*(0.5)+'LINEST VARS'!$P$54*($DV34)+'LINEST VARS'!$O$54*(8^2)+'LINEST VARS'!$N$54*(8^2)+'LINEST VARS'!$M$54*($EI$32^2)+'LINEST VARS'!$L$54*(0.5^2)+'LINEST VARS'!$K$54*($DV34^2)+'LINEST VARS'!$J$54*(8*8)+'LINEST VARS'!$I$54*(8*$EI$32)+'LINEST VARS'!$H$54*(8*0.5)+'LINEST VARS'!$G$54*(8*$DV34)+'LINEST VARS'!$F$54*(8*$EI$32)+'LINEST VARS'!$E$54*(8*0.5)+'LINEST VARS'!$D$54*(8*$DV34)+'LINEST VARS'!$C$54*($EI$32*0.5)+'LINEST VARS'!$B$54*($EI$32*$DV34)+'LINEST VARS'!$A$54*(0.5*$DV34)</f>
        <v>3.9749999999999996</v>
      </c>
      <c r="EJ34" s="51">
        <f>'LINEST VARS'!$U$54+'LINEST VARS'!$T$54*(8)+'LINEST VARS'!$S$54*(8)+'LINEST VARS'!$R$54*($EJ$32)+'LINEST VARS'!$Q$54*(0.5)+'LINEST VARS'!$P$54*($DV34)+'LINEST VARS'!$O$54*(8^2)+'LINEST VARS'!$N$54*(8^2)+'LINEST VARS'!$M$54*($EJ$32^2)+'LINEST VARS'!$L$54*(0.5^2)+'LINEST VARS'!$K$54*($DV34^2)+'LINEST VARS'!$J$54*(8*8)+'LINEST VARS'!$I$54*(8*$EJ$32)+'LINEST VARS'!$H$54*(8*0.5)+'LINEST VARS'!$G$54*(8*$DV34)+'LINEST VARS'!$F$54*(8*$EJ$32)+'LINEST VARS'!$E$54*(8*0.5)+'LINEST VARS'!$D$54*(8*$DV34)+'LINEST VARS'!$C$54*($EJ$32*0.5)+'LINEST VARS'!$B$54*($EJ$32*$DV34)+'LINEST VARS'!$A$54*(0.5*$DV34)</f>
        <v>3.9749999999999996</v>
      </c>
      <c r="EK34" s="51">
        <f>'LINEST VARS'!$U$54+'LINEST VARS'!$T$54*(8)+'LINEST VARS'!$S$54*(8)+'LINEST VARS'!$R$54*($EK$32)+'LINEST VARS'!$Q$54*(0.5)+'LINEST VARS'!$P$54*($DV34)+'LINEST VARS'!$O$54*(8^2)+'LINEST VARS'!$N$54*(8^2)+'LINEST VARS'!$M$54*($EK$32^2)+'LINEST VARS'!$L$54*(0.5^2)+'LINEST VARS'!$K$54*($DV34^2)+'LINEST VARS'!$J$54*(8*8)+'LINEST VARS'!$I$54*(8*$EK$32)+'LINEST VARS'!$H$54*(8*0.5)+'LINEST VARS'!$G$54*(8*$DV34)+'LINEST VARS'!$F$54*(8*$EK$32)+'LINEST VARS'!$E$54*(8*0.5)+'LINEST VARS'!$D$54*(8*$DV34)+'LINEST VARS'!$C$54*($EK$32*0.5)+'LINEST VARS'!$B$54*($EK$32*$DV34)+'LINEST VARS'!$A$54*(0.5*$DV34)</f>
        <v>3.9749999999999996</v>
      </c>
      <c r="EL34" s="51">
        <f>'LINEST VARS'!$U$54+'LINEST VARS'!$T$54*(8)+'LINEST VARS'!$S$54*(8)+'LINEST VARS'!$R$54*($EL$32)+'LINEST VARS'!$Q$54*(0.5)+'LINEST VARS'!$P$54*($DV34)+'LINEST VARS'!$O$54*(8^2)+'LINEST VARS'!$N$54*(8^2)+'LINEST VARS'!$M$54*($EL$32^2)+'LINEST VARS'!$L$54*(0.5^2)+'LINEST VARS'!$K$54*($DV34^2)+'LINEST VARS'!$J$54*(8*8)+'LINEST VARS'!$I$54*(8*$EL$32)+'LINEST VARS'!$H$54*(8*0.5)+'LINEST VARS'!$G$54*(8*$DV34)+'LINEST VARS'!$F$54*(8*$EL$32)+'LINEST VARS'!$E$54*(8*0.5)+'LINEST VARS'!$D$54*(8*$DV34)+'LINEST VARS'!$C$54*($EL$32*0.5)+'LINEST VARS'!$B$54*($EL$32*$DV34)+'LINEST VARS'!$A$54*(0.5*$DV34)</f>
        <v>3.9749999999999996</v>
      </c>
      <c r="EM34" s="51">
        <f>'LINEST VARS'!$U$54+'LINEST VARS'!$T$54*(8)+'LINEST VARS'!$S$54*(8)+'LINEST VARS'!$R$54*($EM$32)+'LINEST VARS'!$Q$54*(0.5)+'LINEST VARS'!$P$54*($DV34)+'LINEST VARS'!$O$54*(8^2)+'LINEST VARS'!$N$54*(8^2)+'LINEST VARS'!$M$54*($EM$32^2)+'LINEST VARS'!$L$54*(0.5^2)+'LINEST VARS'!$K$54*($DV34^2)+'LINEST VARS'!$J$54*(8*8)+'LINEST VARS'!$I$54*(8*$EM$32)+'LINEST VARS'!$H$54*(8*0.5)+'LINEST VARS'!$G$54*(8*$DV34)+'LINEST VARS'!$F$54*(8*$EM$32)+'LINEST VARS'!$E$54*(8*0.5)+'LINEST VARS'!$D$54*(8*$DV34)+'LINEST VARS'!$C$54*($EM$32*0.5)+'LINEST VARS'!$B$54*($EM$32*$DV34)+'LINEST VARS'!$A$54*(0.5*$DV34)</f>
        <v>3.9749999999999996</v>
      </c>
      <c r="EN34" s="51">
        <f>'LINEST VARS'!$U$54+'LINEST VARS'!$T$54*(8)+'LINEST VARS'!$S$54*(8)+'LINEST VARS'!$R$54*($EN$32)+'LINEST VARS'!$Q$54*(0.5)+'LINEST VARS'!$P$54*($DV34)+'LINEST VARS'!$O$54*(8^2)+'LINEST VARS'!$N$54*(8^2)+'LINEST VARS'!$M$54*($EN$32^2)+'LINEST VARS'!$L$54*(0.5^2)+'LINEST VARS'!$K$54*($DV34^2)+'LINEST VARS'!$J$54*(8*8)+'LINEST VARS'!$I$54*(8*$EN$32)+'LINEST VARS'!$H$54*(8*0.5)+'LINEST VARS'!$G$54*(8*$DV34)+'LINEST VARS'!$F$54*(8*$EN$32)+'LINEST VARS'!$E$54*(8*0.5)+'LINEST VARS'!$D$54*(8*$DV34)+'LINEST VARS'!$C$54*($EN$32*0.5)+'LINEST VARS'!$B$54*($EN$32*$DV34)+'LINEST VARS'!$A$54*(0.5*$DV34)</f>
        <v>3.9749999999999996</v>
      </c>
      <c r="EO34" s="51">
        <f>'LINEST VARS'!$U$54+'LINEST VARS'!$T$54*(8)+'LINEST VARS'!$S$54*(8)+'LINEST VARS'!$R$54*($EO$32)+'LINEST VARS'!$Q$54*(0.5)+'LINEST VARS'!$P$54*($DV34)+'LINEST VARS'!$O$54*(8^2)+'LINEST VARS'!$N$54*(8^2)+'LINEST VARS'!$M$54*($EO$32^2)+'LINEST VARS'!$L$54*(0.5^2)+'LINEST VARS'!$K$54*($DV34^2)+'LINEST VARS'!$J$54*(8*8)+'LINEST VARS'!$I$54*(8*$EO$32)+'LINEST VARS'!$H$54*(8*0.5)+'LINEST VARS'!$G$54*(8*$DV34)+'LINEST VARS'!$F$54*(8*$EO$32)+'LINEST VARS'!$E$54*(8*0.5)+'LINEST VARS'!$D$54*(8*$DV34)+'LINEST VARS'!$C$54*($EO$32*0.5)+'LINEST VARS'!$B$54*($EO$32*$DV34)+'LINEST VARS'!$A$54*(0.5*$DV34)</f>
        <v>3.9749999999999996</v>
      </c>
      <c r="EP34" s="51">
        <f>'LINEST VARS'!$U$54+'LINEST VARS'!$T$54*(8)+'LINEST VARS'!$S$54*(8)+'LINEST VARS'!$R$54*($EP$32)+'LINEST VARS'!$Q$54*(0.5)+'LINEST VARS'!$P$54*($DV34)+'LINEST VARS'!$O$54*(8^2)+'LINEST VARS'!$N$54*(8^2)+'LINEST VARS'!$M$54*($EP$32^2)+'LINEST VARS'!$L$54*(0.5^2)+'LINEST VARS'!$K$54*($DV34^2)+'LINEST VARS'!$J$54*(8*8)+'LINEST VARS'!$I$54*(8*$EP$32)+'LINEST VARS'!$H$54*(8*0.5)+'LINEST VARS'!$G$54*(8*$DV34)+'LINEST VARS'!$F$54*(8*$EP$32)+'LINEST VARS'!$E$54*(8*0.5)+'LINEST VARS'!$D$54*(8*$DV34)+'LINEST VARS'!$C$54*($EP$32*0.5)+'LINEST VARS'!$B$54*($EP$32*$DV34)+'LINEST VARS'!$A$54*(0.5*$DV34)</f>
        <v>3.9749999999999996</v>
      </c>
      <c r="EQ34" s="52">
        <f>'LINEST VARS'!$U$54+'LINEST VARS'!$T$54*(8)+'LINEST VARS'!$S$54*(8)+'LINEST VARS'!$R$54*($EQ$32)+'LINEST VARS'!$Q$54*(0.5)+'LINEST VARS'!$P$54*($DV34)+'LINEST VARS'!$O$54*(8^2)+'LINEST VARS'!$N$54*(8^2)+'LINEST VARS'!$M$54*($EQ$32^2)+'LINEST VARS'!$L$54*(0.5^2)+'LINEST VARS'!$K$54*($DV34^2)+'LINEST VARS'!$J$54*(8*8)+'LINEST VARS'!$I$54*(8*$EQ$32)+'LINEST VARS'!$H$54*(8*0.5)+'LINEST VARS'!$G$54*(8*$DV34)+'LINEST VARS'!$F$54*(8*$EQ$32)+'LINEST VARS'!$E$54*(8*0.5)+'LINEST VARS'!$D$54*(8*$DV34)+'LINEST VARS'!$C$54*($EQ$32*0.5)+'LINEST VARS'!$B$54*($EQ$32*$DV34)+'LINEST VARS'!$A$54*(0.5*$DV34)</f>
        <v>3.9749999999999996</v>
      </c>
    </row>
    <row r="35" spans="2:147" ht="15" customHeight="1" x14ac:dyDescent="0.25">
      <c r="B35" s="45">
        <v>7.52</v>
      </c>
      <c r="C35" s="51">
        <f>'LINEST VARS'!$U$52+'LINEST VARS'!$T$52*($C$32)+'LINEST VARS'!$S$52*($B35)+'LINEST VARS'!$R$52*(4)+'LINEST VARS'!$Q$52*(0.5)+'LINEST VARS'!$P$52*(12.73)+'LINEST VARS'!$O$52*($C$32^2)+'LINEST VARS'!$N$52*($B35^2)+'LINEST VARS'!$M$52*(4^2)+'LINEST VARS'!$L$52*(0.5^2)+'LINEST VARS'!$K$52*(12.73^2)+'LINEST VARS'!$J$52*($C$32*$B35)+'LINEST VARS'!$I$52*($C$32*4)+'LINEST VARS'!$H$52*($C$32*0.5)+'LINEST VARS'!$G$52*($C$32*12.73)+'LINEST VARS'!$F$52*($B35*4)+'LINEST VARS'!$E$52*($B35*0.5)+'LINEST VARS'!$D$52*($B35*12.73)+'LINEST VARS'!$C$52*(4*0.5)+'LINEST VARS'!$B$52*(4*12.73)+'LINEST VARS'!$A$52*(0.5*12.73)</f>
        <v>4.4499999999999993</v>
      </c>
      <c r="D35" s="51">
        <f>'LINEST VARS'!$U$52+'LINEST VARS'!$T$52*($D$32)+'LINEST VARS'!$S$52*($B35)+'LINEST VARS'!$R$52*(4)+'LINEST VARS'!$Q$52*(0.5)+'LINEST VARS'!$P$52*(12.73)+'LINEST VARS'!$O$52*($D$32^2)+'LINEST VARS'!$N$52*($B35^2)+'LINEST VARS'!$M$52*(4^2)+'LINEST VARS'!$L$52*(0.5^2)+'LINEST VARS'!$K$52*(12.73^2)+'LINEST VARS'!$J$52*($D$32*$B35)+'LINEST VARS'!$I$52*($D$32*4)+'LINEST VARS'!$H$52*($D$32*0.5)+'LINEST VARS'!$G$52*($D$32*12.73)+'LINEST VARS'!$F$52*($B35*4)+'LINEST VARS'!$E$52*($B35*0.5)+'LINEST VARS'!$D$52*($B35*12.73)+'LINEST VARS'!$C$52*(4*0.5)+'LINEST VARS'!$B$52*(4*12.73)+'LINEST VARS'!$A$52*(0.5*12.73)</f>
        <v>4.4499999999999993</v>
      </c>
      <c r="E35" s="51">
        <f>'LINEST VARS'!$U$52+'LINEST VARS'!$T$52*($E$32)+'LINEST VARS'!$S$52*($B35)+'LINEST VARS'!$R$52*(4)+'LINEST VARS'!$Q$52*(0.5)+'LINEST VARS'!$P$52*(12.73)+'LINEST VARS'!$O$52*($E$32^2)+'LINEST VARS'!$N$52*($B35^2)+'LINEST VARS'!$M$52*(4^2)+'LINEST VARS'!$L$52*(0.5^2)+'LINEST VARS'!$K$52*(12.73^2)+'LINEST VARS'!$J$52*($E$32*$B35)+'LINEST VARS'!$I$52*($E$32*4)+'LINEST VARS'!$H$52*($E$32*0.5)+'LINEST VARS'!$G$52*($E$32*12.73)+'LINEST VARS'!$F$52*($B35*4)+'LINEST VARS'!$E$52*($B35*0.5)+'LINEST VARS'!$D$52*($B35*12.73)+'LINEST VARS'!$C$52*(4*0.5)+'LINEST VARS'!$B$52*(4*12.73)+'LINEST VARS'!$A$52*(0.5*12.73)</f>
        <v>4.4499999999999993</v>
      </c>
      <c r="F35" s="51">
        <f>'LINEST VARS'!$U$52+'LINEST VARS'!$T$52*($F$32)+'LINEST VARS'!$S$52*($B35)+'LINEST VARS'!$R$52*(4)+'LINEST VARS'!$Q$52*(0.5)+'LINEST VARS'!$P$52*(12.73)+'LINEST VARS'!$O$52*($F$32^2)+'LINEST VARS'!$N$52*($B35^2)+'LINEST VARS'!$M$52*(4^2)+'LINEST VARS'!$L$52*(0.5^2)+'LINEST VARS'!$K$52*(12.73^2)+'LINEST VARS'!$J$52*($F$32*$B35)+'LINEST VARS'!$I$52*($F$32*4)+'LINEST VARS'!$H$52*($F$32*0.5)+'LINEST VARS'!$G$52*($F$32*12.73)+'LINEST VARS'!$F$52*($B35*4)+'LINEST VARS'!$E$52*($B35*0.5)+'LINEST VARS'!$D$52*($B35*12.73)+'LINEST VARS'!$C$52*(4*0.5)+'LINEST VARS'!$B$52*(4*12.73)+'LINEST VARS'!$A$52*(0.5*12.73)</f>
        <v>4.4499999999999993</v>
      </c>
      <c r="G35" s="51">
        <f>'LINEST VARS'!$U$52+'LINEST VARS'!$T$52*($G$32)+'LINEST VARS'!$S$52*($B35)+'LINEST VARS'!$R$52*(4)+'LINEST VARS'!$Q$52*(0.5)+'LINEST VARS'!$P$52*(12.73)+'LINEST VARS'!$O$52*($G$32^2)+'LINEST VARS'!$N$52*($B35^2)+'LINEST VARS'!$M$52*(4^2)+'LINEST VARS'!$L$52*(0.5^2)+'LINEST VARS'!$K$52*(12.73^2)+'LINEST VARS'!$J$52*($G$32*$B35)+'LINEST VARS'!$I$52*($G$32*4)+'LINEST VARS'!$H$52*($G$32*0.5)+'LINEST VARS'!$G$52*($G$32*12.73)+'LINEST VARS'!$F$52*($B35*4)+'LINEST VARS'!$E$52*($B35*0.5)+'LINEST VARS'!$D$52*($B35*12.73)+'LINEST VARS'!$C$52*(4*0.5)+'LINEST VARS'!$B$52*(4*12.73)+'LINEST VARS'!$A$52*(0.5*12.73)</f>
        <v>4.4499999999999993</v>
      </c>
      <c r="H35" s="51">
        <f>'LINEST VARS'!$U$52+'LINEST VARS'!$T$52*($H$32)+'LINEST VARS'!$S$52*($B35)+'LINEST VARS'!$R$52*(4)+'LINEST VARS'!$Q$52*(0.5)+'LINEST VARS'!$P$52*(12.73)+'LINEST VARS'!$O$52*($H$32^2)+'LINEST VARS'!$N$52*($B35^2)+'LINEST VARS'!$M$52*(4^2)+'LINEST VARS'!$L$52*(0.5^2)+'LINEST VARS'!$K$52*(12.73^2)+'LINEST VARS'!$J$52*($H$32*$B35)+'LINEST VARS'!$I$52*($H$32*4)+'LINEST VARS'!$H$52*($H$32*0.5)+'LINEST VARS'!$G$52*($H$32*12.73)+'LINEST VARS'!$F$52*($B35*4)+'LINEST VARS'!$E$52*($B35*0.5)+'LINEST VARS'!$D$52*($B35*12.73)+'LINEST VARS'!$C$52*(4*0.5)+'LINEST VARS'!$B$52*(4*12.73)+'LINEST VARS'!$A$52*(0.5*12.73)</f>
        <v>4.4499999999999993</v>
      </c>
      <c r="I35" s="51">
        <f>'LINEST VARS'!$U$52+'LINEST VARS'!$T$52*($I$32)+'LINEST VARS'!$S$52*($B35)+'LINEST VARS'!$R$52*(4)+'LINEST VARS'!$Q$52*(0.5)+'LINEST VARS'!$P$52*(12.73)+'LINEST VARS'!$O$52*($I$32^2)+'LINEST VARS'!$N$52*($B35^2)+'LINEST VARS'!$M$52*(4^2)+'LINEST VARS'!$L$52*(0.5^2)+'LINEST VARS'!$K$52*(12.73^2)+'LINEST VARS'!$J$52*($I$32*$B35)+'LINEST VARS'!$I$52*($I$32*4)+'LINEST VARS'!$H$52*($I$32*0.5)+'LINEST VARS'!$G$52*($I$32*12.73)+'LINEST VARS'!$F$52*($B35*4)+'LINEST VARS'!$E$52*($B35*0.5)+'LINEST VARS'!$D$52*($B35*12.73)+'LINEST VARS'!$C$52*(4*0.5)+'LINEST VARS'!$B$52*(4*12.73)+'LINEST VARS'!$A$52*(0.5*12.73)</f>
        <v>4.4499999999999993</v>
      </c>
      <c r="J35" s="51">
        <f>'LINEST VARS'!$U$52+'LINEST VARS'!$T$52*($J$32)+'LINEST VARS'!$S$52*($B35)+'LINEST VARS'!$R$52*(4)+'LINEST VARS'!$Q$52*(0.5)+'LINEST VARS'!$P$52*(12.73)+'LINEST VARS'!$O$52*($J$32^2)+'LINEST VARS'!$N$52*($B35^2)+'LINEST VARS'!$M$52*(4^2)+'LINEST VARS'!$L$52*(0.5^2)+'LINEST VARS'!$K$52*(12.73^2)+'LINEST VARS'!$J$52*($J$32*$B35)+'LINEST VARS'!$I$52*($J$32*4)+'LINEST VARS'!$H$52*($J$32*0.5)+'LINEST VARS'!$G$52*($J$32*12.73)+'LINEST VARS'!$F$52*($B35*4)+'LINEST VARS'!$E$52*($B35*0.5)+'LINEST VARS'!$D$52*($B35*12.73)+'LINEST VARS'!$C$52*(4*0.5)+'LINEST VARS'!$B$52*(4*12.73)+'LINEST VARS'!$A$52*(0.5*12.73)</f>
        <v>4.4499999999999993</v>
      </c>
      <c r="K35" s="51">
        <f>'LINEST VARS'!$U$52+'LINEST VARS'!$T$52*($K$32)+'LINEST VARS'!$S$52*($B35)+'LINEST VARS'!$R$52*(4)+'LINEST VARS'!$Q$52*(0.5)+'LINEST VARS'!$P$52*(12.73)+'LINEST VARS'!$O$52*($K$32^2)+'LINEST VARS'!$N$52*($B35^2)+'LINEST VARS'!$M$52*(4^2)+'LINEST VARS'!$L$52*(0.5^2)+'LINEST VARS'!$K$52*(12.73^2)+'LINEST VARS'!$J$52*($K$32*$B35)+'LINEST VARS'!$I$52*($K$32*4)+'LINEST VARS'!$H$52*($K$32*0.5)+'LINEST VARS'!$G$52*($K$32*12.73)+'LINEST VARS'!$F$52*($B35*4)+'LINEST VARS'!$E$52*($B35*0.5)+'LINEST VARS'!$D$52*($B35*12.73)+'LINEST VARS'!$C$52*(4*0.5)+'LINEST VARS'!$B$52*(4*12.73)+'LINEST VARS'!$A$52*(0.5*12.73)</f>
        <v>4.4499999999999993</v>
      </c>
      <c r="L35" s="51">
        <f>'LINEST VARS'!$U$52+'LINEST VARS'!$T$52*($L$32)+'LINEST VARS'!$S$52*($B35)+'LINEST VARS'!$R$52*(4)+'LINEST VARS'!$Q$52*(0.5)+'LINEST VARS'!$P$52*(12.73)+'LINEST VARS'!$O$52*($L$32^2)+'LINEST VARS'!$N$52*($B35^2)+'LINEST VARS'!$M$52*(4^2)+'LINEST VARS'!$L$52*(0.5^2)+'LINEST VARS'!$K$52*(12.73^2)+'LINEST VARS'!$J$52*($L$32*$B35)+'LINEST VARS'!$I$52*($L$32*4)+'LINEST VARS'!$H$52*($L$32*0.5)+'LINEST VARS'!$G$52*($L$32*12.73)+'LINEST VARS'!$F$52*($B35*4)+'LINEST VARS'!$E$52*($B35*0.5)+'LINEST VARS'!$D$52*($B35*12.73)+'LINEST VARS'!$C$52*(4*0.5)+'LINEST VARS'!$B$52*(4*12.73)+'LINEST VARS'!$A$52*(0.5*12.73)</f>
        <v>4.4499999999999993</v>
      </c>
      <c r="M35" s="51">
        <f>'LINEST VARS'!$U$52+'LINEST VARS'!$T$52*($M$32)+'LINEST VARS'!$S$52*($B35)+'LINEST VARS'!$R$52*(4)+'LINEST VARS'!$Q$52*(0.5)+'LINEST VARS'!$P$52*(12.73)+'LINEST VARS'!$O$52*($M$32^2)+'LINEST VARS'!$N$52*($B35^2)+'LINEST VARS'!$M$52*(4^2)+'LINEST VARS'!$L$52*(0.5^2)+'LINEST VARS'!$K$52*(12.73^2)+'LINEST VARS'!$J$52*($M$32*$B35)+'LINEST VARS'!$I$52*($M$32*4)+'LINEST VARS'!$H$52*($M$32*0.5)+'LINEST VARS'!$G$52*($M$32*12.73)+'LINEST VARS'!$F$52*($B35*4)+'LINEST VARS'!$E$52*($B35*0.5)+'LINEST VARS'!$D$52*($B35*12.73)+'LINEST VARS'!$C$52*(4*0.5)+'LINEST VARS'!$B$52*(4*12.73)+'LINEST VARS'!$A$52*(0.5*12.73)</f>
        <v>4.4499999999999993</v>
      </c>
      <c r="N35" s="51">
        <f>'LINEST VARS'!$U$52+'LINEST VARS'!$T$52*($N$32)+'LINEST VARS'!$S$52*($B35)+'LINEST VARS'!$R$52*(4)+'LINEST VARS'!$Q$52*(0.5)+'LINEST VARS'!$P$52*(12.73)+'LINEST VARS'!$O$52*($N$32^2)+'LINEST VARS'!$N$52*($B35^2)+'LINEST VARS'!$M$52*(4^2)+'LINEST VARS'!$L$52*(0.5^2)+'LINEST VARS'!$K$52*(12.73^2)+'LINEST VARS'!$J$52*($N$32*$B35)+'LINEST VARS'!$I$52*($N$32*4)+'LINEST VARS'!$H$52*($N$32*0.5)+'LINEST VARS'!$G$52*($N$32*12.73)+'LINEST VARS'!$F$52*($B35*4)+'LINEST VARS'!$E$52*($B35*0.5)+'LINEST VARS'!$D$52*($B35*12.73)+'LINEST VARS'!$C$52*(4*0.5)+'LINEST VARS'!$B$52*(4*12.73)+'LINEST VARS'!$A$52*(0.5*12.73)</f>
        <v>4.4499999999999993</v>
      </c>
      <c r="O35" s="51">
        <f>'LINEST VARS'!$U$52+'LINEST VARS'!$T$52*($O$32)+'LINEST VARS'!$S$52*($B35)+'LINEST VARS'!$R$52*(4)+'LINEST VARS'!$Q$52*(0.5)+'LINEST VARS'!$P$52*(12.73)+'LINEST VARS'!$O$52*($O$32^2)+'LINEST VARS'!$N$52*($B35^2)+'LINEST VARS'!$M$52*(4^2)+'LINEST VARS'!$L$52*(0.5^2)+'LINEST VARS'!$K$52*(12.73^2)+'LINEST VARS'!$J$52*($O$32*$B35)+'LINEST VARS'!$I$52*($O$32*4)+'LINEST VARS'!$H$52*($O$32*0.5)+'LINEST VARS'!$G$52*($O$32*12.73)+'LINEST VARS'!$F$52*($B35*4)+'LINEST VARS'!$E$52*($B35*0.5)+'LINEST VARS'!$D$52*($B35*12.73)+'LINEST VARS'!$C$52*(4*0.5)+'LINEST VARS'!$B$52*(4*12.73)+'LINEST VARS'!$A$52*(0.5*12.73)</f>
        <v>4.4499999999999993</v>
      </c>
      <c r="P35" s="51">
        <f>'LINEST VARS'!$U$52+'LINEST VARS'!$T$52*($P$32)+'LINEST VARS'!$S$52*($B35)+'LINEST VARS'!$R$52*(4)+'LINEST VARS'!$Q$52*(0.5)+'LINEST VARS'!$P$52*(12.73)+'LINEST VARS'!$O$52*($P$32^2)+'LINEST VARS'!$N$52*($B35^2)+'LINEST VARS'!$M$52*(4^2)+'LINEST VARS'!$L$52*(0.5^2)+'LINEST VARS'!$K$52*(12.73^2)+'LINEST VARS'!$J$52*($P$32*$B35)+'LINEST VARS'!$I$52*($P$32*4)+'LINEST VARS'!$H$52*($P$32*0.5)+'LINEST VARS'!$G$52*($P$32*12.73)+'LINEST VARS'!$F$52*($B35*4)+'LINEST VARS'!$E$52*($B35*0.5)+'LINEST VARS'!$D$52*($B35*12.73)+'LINEST VARS'!$C$52*(4*0.5)+'LINEST VARS'!$B$52*(4*12.73)+'LINEST VARS'!$A$52*(0.5*12.73)</f>
        <v>4.4499999999999993</v>
      </c>
      <c r="Q35" s="51">
        <f>'LINEST VARS'!$U$52+'LINEST VARS'!$T$52*($Q$32)+'LINEST VARS'!$S$52*($B35)+'LINEST VARS'!$R$52*(4)+'LINEST VARS'!$Q$52*(0.5)+'LINEST VARS'!$P$52*(12.73)+'LINEST VARS'!$O$52*($Q$32^2)+'LINEST VARS'!$N$52*($B35^2)+'LINEST VARS'!$M$52*(4^2)+'LINEST VARS'!$L$52*(0.5^2)+'LINEST VARS'!$K$52*(12.73^2)+'LINEST VARS'!$J$52*($Q$32*$B35)+'LINEST VARS'!$I$52*($Q$32*4)+'LINEST VARS'!$H$52*($Q$32*0.5)+'LINEST VARS'!$G$52*($Q$32*12.73)+'LINEST VARS'!$F$52*($B35*4)+'LINEST VARS'!$E$52*($B35*0.5)+'LINEST VARS'!$D$52*($B35*12.73)+'LINEST VARS'!$C$52*(4*0.5)+'LINEST VARS'!$B$52*(4*12.73)+'LINEST VARS'!$A$52*(0.5*12.73)</f>
        <v>4.4499999999999993</v>
      </c>
      <c r="R35" s="51">
        <f>'LINEST VARS'!$U$52+'LINEST VARS'!$T$52*($R$32)+'LINEST VARS'!$S$52*($B35)+'LINEST VARS'!$R$52*(4)+'LINEST VARS'!$Q$52*(0.5)+'LINEST VARS'!$P$52*(12.73)+'LINEST VARS'!$O$52*($R$32^2)+'LINEST VARS'!$N$52*($B35^2)+'LINEST VARS'!$M$52*(4^2)+'LINEST VARS'!$L$52*(0.5^2)+'LINEST VARS'!$K$52*(12.73^2)+'LINEST VARS'!$J$52*($R$32*$B35)+'LINEST VARS'!$I$52*($R$32*4)+'LINEST VARS'!$H$52*($R$32*0.5)+'LINEST VARS'!$G$52*($R$32*12.73)+'LINEST VARS'!$F$52*($B35*4)+'LINEST VARS'!$E$52*($B35*0.5)+'LINEST VARS'!$D$52*($B35*12.73)+'LINEST VARS'!$C$52*(4*0.5)+'LINEST VARS'!$B$52*(4*12.73)+'LINEST VARS'!$A$52*(0.5*12.73)</f>
        <v>4.4499999999999993</v>
      </c>
      <c r="S35" s="51">
        <f>'LINEST VARS'!$U$52+'LINEST VARS'!$T$52*($S$32)+'LINEST VARS'!$S$52*($B35)+'LINEST VARS'!$R$52*(4)+'LINEST VARS'!$Q$52*(0.5)+'LINEST VARS'!$P$52*(12.73)+'LINEST VARS'!$O$52*($S$32^2)+'LINEST VARS'!$N$52*($B35^2)+'LINEST VARS'!$M$52*(4^2)+'LINEST VARS'!$L$52*(0.5^2)+'LINEST VARS'!$K$52*(12.73^2)+'LINEST VARS'!$J$52*($S$32*$B35)+'LINEST VARS'!$I$52*($S$32*4)+'LINEST VARS'!$H$52*($S$32*0.5)+'LINEST VARS'!$G$52*($S$32*12.73)+'LINEST VARS'!$F$52*($B35*4)+'LINEST VARS'!$E$52*($B35*0.5)+'LINEST VARS'!$D$52*($B35*12.73)+'LINEST VARS'!$C$52*(4*0.5)+'LINEST VARS'!$B$52*(4*12.73)+'LINEST VARS'!$A$52*(0.5*12.73)</f>
        <v>4.4499999999999993</v>
      </c>
      <c r="T35" s="51">
        <f>'LINEST VARS'!$U$52+'LINEST VARS'!$T$52*($T$32)+'LINEST VARS'!$S$52*($B35)+'LINEST VARS'!$R$52*(4)+'LINEST VARS'!$Q$52*(0.5)+'LINEST VARS'!$P$52*(12.73)+'LINEST VARS'!$O$52*($T$32^2)+'LINEST VARS'!$N$52*($B35^2)+'LINEST VARS'!$M$52*(4^2)+'LINEST VARS'!$L$52*(0.5^2)+'LINEST VARS'!$K$52*(12.73^2)+'LINEST VARS'!$J$52*($T$32*$B35)+'LINEST VARS'!$I$52*($T$32*4)+'LINEST VARS'!$H$52*($T$32*0.5)+'LINEST VARS'!$G$52*($T$32*12.73)+'LINEST VARS'!$F$52*($B35*4)+'LINEST VARS'!$E$52*($B35*0.5)+'LINEST VARS'!$D$52*($B35*12.73)+'LINEST VARS'!$C$52*(4*0.5)+'LINEST VARS'!$B$52*(4*12.73)+'LINEST VARS'!$A$52*(0.5*12.73)</f>
        <v>4.4499999999999993</v>
      </c>
      <c r="U35" s="51">
        <f>'LINEST VARS'!$U$52+'LINEST VARS'!$T$52*($U$32)+'LINEST VARS'!$S$52*($B35)+'LINEST VARS'!$R$52*(4)+'LINEST VARS'!$Q$52*(0.5)+'LINEST VARS'!$P$52*(12.73)+'LINEST VARS'!$O$52*($U$32^2)+'LINEST VARS'!$N$52*($B35^2)+'LINEST VARS'!$M$52*(4^2)+'LINEST VARS'!$L$52*(0.5^2)+'LINEST VARS'!$K$52*(12.73^2)+'LINEST VARS'!$J$52*($U$32*$B35)+'LINEST VARS'!$I$52*($U$32*4)+'LINEST VARS'!$H$52*($U$32*0.5)+'LINEST VARS'!$G$52*($U$32*12.73)+'LINEST VARS'!$F$52*($B35*4)+'LINEST VARS'!$E$52*($B35*0.5)+'LINEST VARS'!$D$52*($B35*12.73)+'LINEST VARS'!$C$52*(4*0.5)+'LINEST VARS'!$B$52*(4*12.73)+'LINEST VARS'!$A$52*(0.5*12.73)</f>
        <v>4.4499999999999993</v>
      </c>
      <c r="V35" s="51">
        <f>'LINEST VARS'!$U$52+'LINEST VARS'!$T$52*($V$32)+'LINEST VARS'!$S$52*($B35)+'LINEST VARS'!$R$52*(4)+'LINEST VARS'!$Q$52*(0.5)+'LINEST VARS'!$P$52*(12.73)+'LINEST VARS'!$O$52*($V$32^2)+'LINEST VARS'!$N$52*($B35^2)+'LINEST VARS'!$M$52*(4^2)+'LINEST VARS'!$L$52*(0.5^2)+'LINEST VARS'!$K$52*(12.73^2)+'LINEST VARS'!$J$52*($V$32*$B35)+'LINEST VARS'!$I$52*($V$32*4)+'LINEST VARS'!$H$52*($V$32*0.5)+'LINEST VARS'!$G$52*($V$32*12.73)+'LINEST VARS'!$F$52*($B35*4)+'LINEST VARS'!$E$52*($B35*0.5)+'LINEST VARS'!$D$52*($B35*12.73)+'LINEST VARS'!$C$52*(4*0.5)+'LINEST VARS'!$B$52*(4*12.73)+'LINEST VARS'!$A$52*(0.5*12.73)</f>
        <v>4.45</v>
      </c>
      <c r="W35" s="52">
        <f>'LINEST VARS'!$U$52+'LINEST VARS'!$T$52*($W$32)+'LINEST VARS'!$S$52*($B35)+'LINEST VARS'!$R$52*(4)+'LINEST VARS'!$Q$52*(0.5)+'LINEST VARS'!$P$52*(12.73)+'LINEST VARS'!$O$52*($W$32^2)+'LINEST VARS'!$N$52*($B35^2)+'LINEST VARS'!$M$52*(4^2)+'LINEST VARS'!$L$52*(0.5^2)+'LINEST VARS'!$K$52*(12.73^2)+'LINEST VARS'!$J$52*($W$32*$B35)+'LINEST VARS'!$I$52*($W$32*4)+'LINEST VARS'!$H$52*($W$32*0.5)+'LINEST VARS'!$G$52*($W$32*12.73)+'LINEST VARS'!$F$52*($B35*4)+'LINEST VARS'!$E$52*($B35*0.5)+'LINEST VARS'!$D$52*($B35*12.73)+'LINEST VARS'!$C$52*(4*0.5)+'LINEST VARS'!$B$52*(4*12.73)+'LINEST VARS'!$A$52*(0.5*12.73)</f>
        <v>4.45</v>
      </c>
      <c r="Z35" s="45">
        <v>7.52</v>
      </c>
      <c r="AA35" s="51">
        <f>'LINEST VARS'!$U$54+'LINEST VARS'!$T$54*($AA$32)+'LINEST VARS'!$S$54*($Z35)+'LINEST VARS'!$R$54*(4)+'LINEST VARS'!$Q$54*(0.5)+'LINEST VARS'!$P$54*(12.73)+'LINEST VARS'!$O$54*($AA$32^2)+'LINEST VARS'!$N$54*($Z35^2)+'LINEST VARS'!$M$54*(4^2)+'LINEST VARS'!$L$54*(0.5^2)+'LINEST VARS'!$K$54*(12.73^2)+'LINEST VARS'!$J$54*($AA$32*$Z35)+'LINEST VARS'!$I$54*($AA$32*4)+'LINEST VARS'!$H$54*($AA$32*0.5)+'LINEST VARS'!$G$54*($AA$32*12.73)+'LINEST VARS'!$F$54*($Z35*4)+'LINEST VARS'!$E$54*($Z35*0.5)+'LINEST VARS'!$D$54*($Z35*12.73)+'LINEST VARS'!$C$54*(4*0.5)+'LINEST VARS'!$B$54*(4*12.73)+'LINEST VARS'!$A$54*(0.5*12.73)</f>
        <v>3.9750000000000001</v>
      </c>
      <c r="AB35" s="51">
        <f>'LINEST VARS'!$U$54+'LINEST VARS'!$T$54*($AB$32)+'LINEST VARS'!$S$54*($Z35)+'LINEST VARS'!$R$54*(4)+'LINEST VARS'!$Q$54*(0.5)+'LINEST VARS'!$P$54*(12.73)+'LINEST VARS'!$O$54*($AB$32^2)+'LINEST VARS'!$N$54*($Z35^2)+'LINEST VARS'!$M$54*(4^2)+'LINEST VARS'!$L$54*(0.5^2)+'LINEST VARS'!$K$54*(12.73^2)+'LINEST VARS'!$J$54*($AB$32*$Z35)+'LINEST VARS'!$I$54*($AB$32*4)+'LINEST VARS'!$H$54*($AB$32*0.5)+'LINEST VARS'!$G$54*($AB$32*12.73)+'LINEST VARS'!$F$54*($Z35*4)+'LINEST VARS'!$E$54*($Z35*0.5)+'LINEST VARS'!$D$54*($Z35*12.73)+'LINEST VARS'!$C$54*(4*0.5)+'LINEST VARS'!$B$54*(4*12.73)+'LINEST VARS'!$A$54*(0.5*12.73)</f>
        <v>3.9750000000000001</v>
      </c>
      <c r="AC35" s="51">
        <f>'LINEST VARS'!$U$54+'LINEST VARS'!$T$54*($AC$32)+'LINEST VARS'!$S$54*($Z35)+'LINEST VARS'!$R$54*(4)+'LINEST VARS'!$Q$54*(0.5)+'LINEST VARS'!$P$54*(12.73)+'LINEST VARS'!$O$54*($AC$32^2)+'LINEST VARS'!$N$54*($Z35^2)+'LINEST VARS'!$M$54*(4^2)+'LINEST VARS'!$L$54*(0.5^2)+'LINEST VARS'!$K$54*(12.73^2)+'LINEST VARS'!$J$54*($AC$32*$Z35)+'LINEST VARS'!$I$54*($AC$32*4)+'LINEST VARS'!$H$54*($AC$32*0.5)+'LINEST VARS'!$G$54*($AC$32*12.73)+'LINEST VARS'!$F$54*($Z35*4)+'LINEST VARS'!$E$54*($Z35*0.5)+'LINEST VARS'!$D$54*($Z35*12.73)+'LINEST VARS'!$C$54*(4*0.5)+'LINEST VARS'!$B$54*(4*12.73)+'LINEST VARS'!$A$54*(0.5*12.73)</f>
        <v>3.9750000000000001</v>
      </c>
      <c r="AD35" s="51">
        <f>'LINEST VARS'!$U$54+'LINEST VARS'!$T$54*($AD$32)+'LINEST VARS'!$S$54*($Z35)+'LINEST VARS'!$R$54*(4)+'LINEST VARS'!$Q$54*(0.5)+'LINEST VARS'!$P$54*(12.73)+'LINEST VARS'!$O$54*($AD$32^2)+'LINEST VARS'!$N$54*($Z35^2)+'LINEST VARS'!$M$54*(4^2)+'LINEST VARS'!$L$54*(0.5^2)+'LINEST VARS'!$K$54*(12.73^2)+'LINEST VARS'!$J$54*($AD$32*$Z35)+'LINEST VARS'!$I$54*($AD$32*4)+'LINEST VARS'!$H$54*($AD$32*0.5)+'LINEST VARS'!$G$54*($AD$32*12.73)+'LINEST VARS'!$F$54*($Z35*4)+'LINEST VARS'!$E$54*($Z35*0.5)+'LINEST VARS'!$D$54*($Z35*12.73)+'LINEST VARS'!$C$54*(4*0.5)+'LINEST VARS'!$B$54*(4*12.73)+'LINEST VARS'!$A$54*(0.5*12.73)</f>
        <v>3.9750000000000001</v>
      </c>
      <c r="AE35" s="51">
        <f>'LINEST VARS'!$U$54+'LINEST VARS'!$T$54*($AE$32)+'LINEST VARS'!$S$54*($Z35)+'LINEST VARS'!$R$54*(4)+'LINEST VARS'!$Q$54*(0.5)+'LINEST VARS'!$P$54*(12.73)+'LINEST VARS'!$O$54*($AE$32^2)+'LINEST VARS'!$N$54*($Z35^2)+'LINEST VARS'!$M$54*(4^2)+'LINEST VARS'!$L$54*(0.5^2)+'LINEST VARS'!$K$54*(12.73^2)+'LINEST VARS'!$J$54*($AE$32*$Z35)+'LINEST VARS'!$I$54*($AE$32*4)+'LINEST VARS'!$H$54*($AE$32*0.5)+'LINEST VARS'!$G$54*($AE$32*12.73)+'LINEST VARS'!$F$54*($Z35*4)+'LINEST VARS'!$E$54*($Z35*0.5)+'LINEST VARS'!$D$54*($Z35*12.73)+'LINEST VARS'!$C$54*(4*0.5)+'LINEST VARS'!$B$54*(4*12.73)+'LINEST VARS'!$A$54*(0.5*12.73)</f>
        <v>3.9750000000000001</v>
      </c>
      <c r="AF35" s="51">
        <f>'LINEST VARS'!$U$54+'LINEST VARS'!$T$54*($AF$32)+'LINEST VARS'!$S$54*($Z35)+'LINEST VARS'!$R$54*(4)+'LINEST VARS'!$Q$54*(0.5)+'LINEST VARS'!$P$54*(12.73)+'LINEST VARS'!$O$54*($AF$32^2)+'LINEST VARS'!$N$54*($Z35^2)+'LINEST VARS'!$M$54*(4^2)+'LINEST VARS'!$L$54*(0.5^2)+'LINEST VARS'!$K$54*(12.73^2)+'LINEST VARS'!$J$54*($AF$32*$Z35)+'LINEST VARS'!$I$54*($AF$32*4)+'LINEST VARS'!$H$54*($AF$32*0.5)+'LINEST VARS'!$G$54*($AF$32*12.73)+'LINEST VARS'!$F$54*($Z35*4)+'LINEST VARS'!$E$54*($Z35*0.5)+'LINEST VARS'!$D$54*($Z35*12.73)+'LINEST VARS'!$C$54*(4*0.5)+'LINEST VARS'!$B$54*(4*12.73)+'LINEST VARS'!$A$54*(0.5*12.73)</f>
        <v>3.9750000000000001</v>
      </c>
      <c r="AG35" s="51">
        <f>'LINEST VARS'!$U$54+'LINEST VARS'!$T$54*($AG$32)+'LINEST VARS'!$S$54*($Z35)+'LINEST VARS'!$R$54*(4)+'LINEST VARS'!$Q$54*(0.5)+'LINEST VARS'!$P$54*(12.73)+'LINEST VARS'!$O$54*($AG$32^2)+'LINEST VARS'!$N$54*($Z35^2)+'LINEST VARS'!$M$54*(4^2)+'LINEST VARS'!$L$54*(0.5^2)+'LINEST VARS'!$K$54*(12.73^2)+'LINEST VARS'!$J$54*($AG$32*$Z35)+'LINEST VARS'!$I$54*($AG$32*4)+'LINEST VARS'!$H$54*($AG$32*0.5)+'LINEST VARS'!$G$54*($AG$32*12.73)+'LINEST VARS'!$F$54*($Z35*4)+'LINEST VARS'!$E$54*($Z35*0.5)+'LINEST VARS'!$D$54*($Z35*12.73)+'LINEST VARS'!$C$54*(4*0.5)+'LINEST VARS'!$B$54*(4*12.73)+'LINEST VARS'!$A$54*(0.5*12.73)</f>
        <v>3.9750000000000001</v>
      </c>
      <c r="AH35" s="51">
        <f>'LINEST VARS'!$U$54+'LINEST VARS'!$T$54*($AH$32)+'LINEST VARS'!$S$54*($Z35)+'LINEST VARS'!$R$54*(4)+'LINEST VARS'!$Q$54*(0.5)+'LINEST VARS'!$P$54*(12.73)+'LINEST VARS'!$O$54*($AH$32^2)+'LINEST VARS'!$N$54*($Z35^2)+'LINEST VARS'!$M$54*(4^2)+'LINEST VARS'!$L$54*(0.5^2)+'LINEST VARS'!$K$54*(12.73^2)+'LINEST VARS'!$J$54*($AH$32*$Z35)+'LINEST VARS'!$I$54*($AH$32*4)+'LINEST VARS'!$H$54*($AH$32*0.5)+'LINEST VARS'!$G$54*($AH$32*12.73)+'LINEST VARS'!$F$54*($Z35*4)+'LINEST VARS'!$E$54*($Z35*0.5)+'LINEST VARS'!$D$54*($Z35*12.73)+'LINEST VARS'!$C$54*(4*0.5)+'LINEST VARS'!$B$54*(4*12.73)+'LINEST VARS'!$A$54*(0.5*12.73)</f>
        <v>3.9750000000000001</v>
      </c>
      <c r="AI35" s="51">
        <f>'LINEST VARS'!$U$54+'LINEST VARS'!$T$54*($AI$32)+'LINEST VARS'!$S$54*($Z35)+'LINEST VARS'!$R$54*(4)+'LINEST VARS'!$Q$54*(0.5)+'LINEST VARS'!$P$54*(12.73)+'LINEST VARS'!$O$54*($AI$32^2)+'LINEST VARS'!$N$54*($Z35^2)+'LINEST VARS'!$M$54*(4^2)+'LINEST VARS'!$L$54*(0.5^2)+'LINEST VARS'!$K$54*(12.73^2)+'LINEST VARS'!$J$54*($AI$32*$Z35)+'LINEST VARS'!$I$54*($AI$32*4)+'LINEST VARS'!$H$54*($AI$32*0.5)+'LINEST VARS'!$G$54*($AI$32*12.73)+'LINEST VARS'!$F$54*($Z35*4)+'LINEST VARS'!$E$54*($Z35*0.5)+'LINEST VARS'!$D$54*($Z35*12.73)+'LINEST VARS'!$C$54*(4*0.5)+'LINEST VARS'!$B$54*(4*12.73)+'LINEST VARS'!$A$54*(0.5*12.73)</f>
        <v>3.9750000000000001</v>
      </c>
      <c r="AJ35" s="51">
        <f>'LINEST VARS'!$U$54+'LINEST VARS'!$T$54*($AJ$32)+'LINEST VARS'!$S$54*($Z35)+'LINEST VARS'!$R$54*(4)+'LINEST VARS'!$Q$54*(0.5)+'LINEST VARS'!$P$54*(12.73)+'LINEST VARS'!$O$54*($AJ$32^2)+'LINEST VARS'!$N$54*($Z35^2)+'LINEST VARS'!$M$54*(4^2)+'LINEST VARS'!$L$54*(0.5^2)+'LINEST VARS'!$K$54*(12.73^2)+'LINEST VARS'!$J$54*($AJ$32*$Z35)+'LINEST VARS'!$I$54*($AJ$32*4)+'LINEST VARS'!$H$54*($AJ$32*0.5)+'LINEST VARS'!$G$54*($AJ$32*12.73)+'LINEST VARS'!$F$54*($Z35*4)+'LINEST VARS'!$E$54*($Z35*0.5)+'LINEST VARS'!$D$54*($Z35*12.73)+'LINEST VARS'!$C$54*(4*0.5)+'LINEST VARS'!$B$54*(4*12.73)+'LINEST VARS'!$A$54*(0.5*12.73)</f>
        <v>3.9750000000000001</v>
      </c>
      <c r="AK35" s="51">
        <f>'LINEST VARS'!$U$54+'LINEST VARS'!$T$54*($AK$32)+'LINEST VARS'!$S$54*($Z35)+'LINEST VARS'!$R$54*(4)+'LINEST VARS'!$Q$54*(0.5)+'LINEST VARS'!$P$54*(12.73)+'LINEST VARS'!$O$54*($AK$32^2)+'LINEST VARS'!$N$54*($Z35^2)+'LINEST VARS'!$M$54*(4^2)+'LINEST VARS'!$L$54*(0.5^2)+'LINEST VARS'!$K$54*(12.73^2)+'LINEST VARS'!$J$54*($AK$32*$Z35)+'LINEST VARS'!$I$54*($AK$32*4)+'LINEST VARS'!$H$54*($AK$32*0.5)+'LINEST VARS'!$G$54*($AK$32*12.73)+'LINEST VARS'!$F$54*($Z35*4)+'LINEST VARS'!$E$54*($Z35*0.5)+'LINEST VARS'!$D$54*($Z35*12.73)+'LINEST VARS'!$C$54*(4*0.5)+'LINEST VARS'!$B$54*(4*12.73)+'LINEST VARS'!$A$54*(0.5*12.73)</f>
        <v>3.9750000000000001</v>
      </c>
      <c r="AL35" s="51">
        <f>'LINEST VARS'!$U$54+'LINEST VARS'!$T$54*($AL$32)+'LINEST VARS'!$S$54*($Z35)+'LINEST VARS'!$R$54*(4)+'LINEST VARS'!$Q$54*(0.5)+'LINEST VARS'!$P$54*(12.73)+'LINEST VARS'!$O$54*($AL$32^2)+'LINEST VARS'!$N$54*($Z35^2)+'LINEST VARS'!$M$54*(4^2)+'LINEST VARS'!$L$54*(0.5^2)+'LINEST VARS'!$K$54*(12.73^2)+'LINEST VARS'!$J$54*($AL$32*$Z35)+'LINEST VARS'!$I$54*($AL$32*4)+'LINEST VARS'!$H$54*($AL$32*0.5)+'LINEST VARS'!$G$54*($AL$32*12.73)+'LINEST VARS'!$F$54*($Z35*4)+'LINEST VARS'!$E$54*($Z35*0.5)+'LINEST VARS'!$D$54*($Z35*12.73)+'LINEST VARS'!$C$54*(4*0.5)+'LINEST VARS'!$B$54*(4*12.73)+'LINEST VARS'!$A$54*(0.5*12.73)</f>
        <v>3.9750000000000001</v>
      </c>
      <c r="AM35" s="51">
        <f>'LINEST VARS'!$U$54+'LINEST VARS'!$T$54*($AM$32)+'LINEST VARS'!$S$54*($Z35)+'LINEST VARS'!$R$54*(4)+'LINEST VARS'!$Q$54*(0.5)+'LINEST VARS'!$P$54*(12.73)+'LINEST VARS'!$O$54*($AM$32^2)+'LINEST VARS'!$N$54*($Z35^2)+'LINEST VARS'!$M$54*(4^2)+'LINEST VARS'!$L$54*(0.5^2)+'LINEST VARS'!$K$54*(12.73^2)+'LINEST VARS'!$J$54*($AM$32*$Z35)+'LINEST VARS'!$I$54*($AM$32*4)+'LINEST VARS'!$H$54*($AM$32*0.5)+'LINEST VARS'!$G$54*($AM$32*12.73)+'LINEST VARS'!$F$54*($Z35*4)+'LINEST VARS'!$E$54*($Z35*0.5)+'LINEST VARS'!$D$54*($Z35*12.73)+'LINEST VARS'!$C$54*(4*0.5)+'LINEST VARS'!$B$54*(4*12.73)+'LINEST VARS'!$A$54*(0.5*12.73)</f>
        <v>3.9750000000000001</v>
      </c>
      <c r="AN35" s="51">
        <f>'LINEST VARS'!$U$54+'LINEST VARS'!$T$54*($AN$32)+'LINEST VARS'!$S$54*($Z35)+'LINEST VARS'!$R$54*(4)+'LINEST VARS'!$Q$54*(0.5)+'LINEST VARS'!$P$54*(12.73)+'LINEST VARS'!$O$54*($AN$32^2)+'LINEST VARS'!$N$54*($Z35^2)+'LINEST VARS'!$M$54*(4^2)+'LINEST VARS'!$L$54*(0.5^2)+'LINEST VARS'!$K$54*(12.73^2)+'LINEST VARS'!$J$54*($AN$32*$Z35)+'LINEST VARS'!$I$54*($AN$32*4)+'LINEST VARS'!$H$54*($AN$32*0.5)+'LINEST VARS'!$G$54*($AN$32*12.73)+'LINEST VARS'!$F$54*($Z35*4)+'LINEST VARS'!$E$54*($Z35*0.5)+'LINEST VARS'!$D$54*($Z35*12.73)+'LINEST VARS'!$C$54*(4*0.5)+'LINEST VARS'!$B$54*(4*12.73)+'LINEST VARS'!$A$54*(0.5*12.73)</f>
        <v>3.9750000000000001</v>
      </c>
      <c r="AO35" s="51">
        <f>'LINEST VARS'!$U$54+'LINEST VARS'!$T$54*($AO$32)+'LINEST VARS'!$S$54*($Z35)+'LINEST VARS'!$R$54*(4)+'LINEST VARS'!$Q$54*(0.5)+'LINEST VARS'!$P$54*(12.73)+'LINEST VARS'!$O$54*($AO$32^2)+'LINEST VARS'!$N$54*($Z35^2)+'LINEST VARS'!$M$54*(4^2)+'LINEST VARS'!$L$54*(0.5^2)+'LINEST VARS'!$K$54*(12.73^2)+'LINEST VARS'!$J$54*($AO$32*$Z35)+'LINEST VARS'!$I$54*($AO$32*4)+'LINEST VARS'!$H$54*($AO$32*0.5)+'LINEST VARS'!$G$54*($AO$32*12.73)+'LINEST VARS'!$F$54*($Z35*4)+'LINEST VARS'!$E$54*($Z35*0.5)+'LINEST VARS'!$D$54*($Z35*12.73)+'LINEST VARS'!$C$54*(4*0.5)+'LINEST VARS'!$B$54*(4*12.73)+'LINEST VARS'!$A$54*(0.5*12.73)</f>
        <v>3.9750000000000001</v>
      </c>
      <c r="AP35" s="51">
        <f>'LINEST VARS'!$U$54+'LINEST VARS'!$T$54*($AP$32)+'LINEST VARS'!$S$54*($Z35)+'LINEST VARS'!$R$54*(4)+'LINEST VARS'!$Q$54*(0.5)+'LINEST VARS'!$P$54*(12.73)+'LINEST VARS'!$O$54*($AP$32^2)+'LINEST VARS'!$N$54*($Z35^2)+'LINEST VARS'!$M$54*(4^2)+'LINEST VARS'!$L$54*(0.5^2)+'LINEST VARS'!$K$54*(12.73^2)+'LINEST VARS'!$J$54*($AP$32*$Z35)+'LINEST VARS'!$I$54*($AP$32*4)+'LINEST VARS'!$H$54*($AP$32*0.5)+'LINEST VARS'!$G$54*($AP$32*12.73)+'LINEST VARS'!$F$54*($Z35*4)+'LINEST VARS'!$E$54*($Z35*0.5)+'LINEST VARS'!$D$54*($Z35*12.73)+'LINEST VARS'!$C$54*(4*0.5)+'LINEST VARS'!$B$54*(4*12.73)+'LINEST VARS'!$A$54*(0.5*12.73)</f>
        <v>3.9750000000000001</v>
      </c>
      <c r="AQ35" s="51">
        <f>'LINEST VARS'!$U$54+'LINEST VARS'!$T$54*($AQ$32)+'LINEST VARS'!$S$54*($Z35)+'LINEST VARS'!$R$54*(4)+'LINEST VARS'!$Q$54*(0.5)+'LINEST VARS'!$P$54*(12.73)+'LINEST VARS'!$O$54*($AQ$32^2)+'LINEST VARS'!$N$54*($Z35^2)+'LINEST VARS'!$M$54*(4^2)+'LINEST VARS'!$L$54*(0.5^2)+'LINEST VARS'!$K$54*(12.73^2)+'LINEST VARS'!$J$54*($AQ$32*$Z35)+'LINEST VARS'!$I$54*($AQ$32*4)+'LINEST VARS'!$H$54*($AQ$32*0.5)+'LINEST VARS'!$G$54*($AQ$32*12.73)+'LINEST VARS'!$F$54*($Z35*4)+'LINEST VARS'!$E$54*($Z35*0.5)+'LINEST VARS'!$D$54*($Z35*12.73)+'LINEST VARS'!$C$54*(4*0.5)+'LINEST VARS'!$B$54*(4*12.73)+'LINEST VARS'!$A$54*(0.5*12.73)</f>
        <v>3.9750000000000001</v>
      </c>
      <c r="AR35" s="51">
        <f>'LINEST VARS'!$U$54+'LINEST VARS'!$T$54*($AR$32)+'LINEST VARS'!$S$54*($Z35)+'LINEST VARS'!$R$54*(4)+'LINEST VARS'!$Q$54*(0.5)+'LINEST VARS'!$P$54*(12.73)+'LINEST VARS'!$O$54*($AR$32^2)+'LINEST VARS'!$N$54*($Z35^2)+'LINEST VARS'!$M$54*(4^2)+'LINEST VARS'!$L$54*(0.5^2)+'LINEST VARS'!$K$54*(12.73^2)+'LINEST VARS'!$J$54*($AR$32*$Z35)+'LINEST VARS'!$I$54*($AR$32*4)+'LINEST VARS'!$H$54*($AR$32*0.5)+'LINEST VARS'!$G$54*($AR$32*12.73)+'LINEST VARS'!$F$54*($Z35*4)+'LINEST VARS'!$E$54*($Z35*0.5)+'LINEST VARS'!$D$54*($Z35*12.73)+'LINEST VARS'!$C$54*(4*0.5)+'LINEST VARS'!$B$54*(4*12.73)+'LINEST VARS'!$A$54*(0.5*12.73)</f>
        <v>3.9750000000000001</v>
      </c>
      <c r="AS35" s="51">
        <f>'LINEST VARS'!$U$54+'LINEST VARS'!$T$54*($AS$32)+'LINEST VARS'!$S$54*($Z35)+'LINEST VARS'!$R$54*(4)+'LINEST VARS'!$Q$54*(0.5)+'LINEST VARS'!$P$54*(12.73)+'LINEST VARS'!$O$54*($AS$32^2)+'LINEST VARS'!$N$54*($Z35^2)+'LINEST VARS'!$M$54*(4^2)+'LINEST VARS'!$L$54*(0.5^2)+'LINEST VARS'!$K$54*(12.73^2)+'LINEST VARS'!$J$54*($AS$32*$Z35)+'LINEST VARS'!$I$54*($AS$32*4)+'LINEST VARS'!$H$54*($AS$32*0.5)+'LINEST VARS'!$G$54*($AS$32*12.73)+'LINEST VARS'!$F$54*($Z35*4)+'LINEST VARS'!$E$54*($Z35*0.5)+'LINEST VARS'!$D$54*($Z35*12.73)+'LINEST VARS'!$C$54*(4*0.5)+'LINEST VARS'!$B$54*(4*12.73)+'LINEST VARS'!$A$54*(0.5*12.73)</f>
        <v>3.9750000000000001</v>
      </c>
      <c r="AT35" s="51">
        <f>'LINEST VARS'!$U$54+'LINEST VARS'!$T$54*($AT$32)+'LINEST VARS'!$S$54*($Z35)+'LINEST VARS'!$R$54*(4)+'LINEST VARS'!$Q$54*(0.5)+'LINEST VARS'!$P$54*(12.73)+'LINEST VARS'!$O$54*($AT$32^2)+'LINEST VARS'!$N$54*($Z35^2)+'LINEST VARS'!$M$54*(4^2)+'LINEST VARS'!$L$54*(0.5^2)+'LINEST VARS'!$K$54*(12.73^2)+'LINEST VARS'!$J$54*($AT$32*$Z35)+'LINEST VARS'!$I$54*($AT$32*4)+'LINEST VARS'!$H$54*($AT$32*0.5)+'LINEST VARS'!$G$54*($AT$32*12.73)+'LINEST VARS'!$F$54*($Z35*4)+'LINEST VARS'!$E$54*($Z35*0.5)+'LINEST VARS'!$D$54*($Z35*12.73)+'LINEST VARS'!$C$54*(4*0.5)+'LINEST VARS'!$B$54*(4*12.73)+'LINEST VARS'!$A$54*(0.5*12.73)</f>
        <v>3.9750000000000005</v>
      </c>
      <c r="AU35" s="52">
        <f>'LINEST VARS'!$U$54+'LINEST VARS'!$T$54*($AU$32)+'LINEST VARS'!$S$54*($Z35)+'LINEST VARS'!$R$54*(4)+'LINEST VARS'!$Q$54*(0.5)+'LINEST VARS'!$P$54*(12.73)+'LINEST VARS'!$O$54*($AU$32^2)+'LINEST VARS'!$N$54*($Z35^2)+'LINEST VARS'!$M$54*(4^2)+'LINEST VARS'!$L$54*(0.5^2)+'LINEST VARS'!$K$54*(12.73^2)+'LINEST VARS'!$J$54*($AU$32*$Z35)+'LINEST VARS'!$I$54*($AU$32*4)+'LINEST VARS'!$H$54*($AU$32*0.5)+'LINEST VARS'!$G$54*($AU$32*12.73)+'LINEST VARS'!$F$54*($Z35*4)+'LINEST VARS'!$E$54*($Z35*0.5)+'LINEST VARS'!$D$54*($Z35*12.73)+'LINEST VARS'!$C$54*(4*0.5)+'LINEST VARS'!$B$54*(4*12.73)+'LINEST VARS'!$A$54*(0.5*12.73)</f>
        <v>3.9750000000000005</v>
      </c>
      <c r="AZ35" s="45">
        <v>0.1</v>
      </c>
      <c r="BA35" s="51">
        <f>'LINEST VARS'!$U$52+'LINEST VARS'!$T$52*(8)+'LINEST VARS'!$S$52*(8)+'LINEST VARS'!$R$52*($BA$32)+'LINEST VARS'!$Q$52*($AZ35)+'LINEST VARS'!$P$52*(12.73)+'LINEST VARS'!$O$52*(8^2)+'LINEST VARS'!$N$52*(8^2)+'LINEST VARS'!$M$52*($BA$32^2)+'LINEST VARS'!$L$52*($AZ35^2)+'LINEST VARS'!$K$52*(12.73^2)+'LINEST VARS'!$J$52*(8*8)+'LINEST VARS'!$I$52*(8*$BA$32)+'LINEST VARS'!$H$52*(8*$AZ35)+'LINEST VARS'!$G$52*(8*12.73)+'LINEST VARS'!$F$52*(8*$BA$32)+'LINEST VARS'!$E$52*(8*$AZ35)+'LINEST VARS'!$D$52*(8*12.73)+'LINEST VARS'!$C$52*($BA$32*$AZ35)+'LINEST VARS'!$B$52*($BA$32*12.73)+'LINEST VARS'!$A$52*($AZ35*12.73)</f>
        <v>4.4899999999999984</v>
      </c>
      <c r="BB35" s="51">
        <f>'LINEST VARS'!$U$52+'LINEST VARS'!$T$52*(8)+'LINEST VARS'!$S$52*(8)+'LINEST VARS'!$R$52*($BB$32)+'LINEST VARS'!$Q$52*($AZ35)+'LINEST VARS'!$P$52*(12.73)+'LINEST VARS'!$O$52*(8^2)+'LINEST VARS'!$N$52*(8^2)+'LINEST VARS'!$M$52*($BB$32^2)+'LINEST VARS'!$L$52*($AZ35^2)+'LINEST VARS'!$K$52*(12.73^2)+'LINEST VARS'!$J$52*(8*8)+'LINEST VARS'!$I$52*(8*$BB$32)+'LINEST VARS'!$H$52*(8*$AZ35)+'LINEST VARS'!$G$52*(8*12.73)+'LINEST VARS'!$F$52*(8*$BB$32)+'LINEST VARS'!$E$52*(8*$AZ35)+'LINEST VARS'!$D$52*(8*12.73)+'LINEST VARS'!$C$52*($BB$32*$AZ35)+'LINEST VARS'!$B$52*($BB$32*12.73)+'LINEST VARS'!$A$52*($AZ35*12.73)</f>
        <v>4.4899999999999984</v>
      </c>
      <c r="BC35" s="51">
        <f>'LINEST VARS'!$U$52+'LINEST VARS'!$T$52*(8)+'LINEST VARS'!$S$52*(8)+'LINEST VARS'!$R$52*($BC$32)+'LINEST VARS'!$Q$52*($AZ35)+'LINEST VARS'!$P$52*(12.73)+'LINEST VARS'!$O$52*(8^2)+'LINEST VARS'!$N$52*(8^2)+'LINEST VARS'!$M$52*($BC$32^2)+'LINEST VARS'!$L$52*($AZ35^2)+'LINEST VARS'!$K$52*(12.73^2)+'LINEST VARS'!$J$52*(8*8)+'LINEST VARS'!$I$52*(8*$BC$32)+'LINEST VARS'!$H$52*(8*$AZ35)+'LINEST VARS'!$G$52*(8*12.73)+'LINEST VARS'!$F$52*(8*$BC$32)+'LINEST VARS'!$E$52*(8*$AZ35)+'LINEST VARS'!$D$52*(8*12.73)+'LINEST VARS'!$C$52*($BC$32*$AZ35)+'LINEST VARS'!$B$52*($BC$32*12.73)+'LINEST VARS'!$A$52*($AZ35*12.73)</f>
        <v>4.4899999999999984</v>
      </c>
      <c r="BD35" s="51">
        <f>'LINEST VARS'!$U$52+'LINEST VARS'!$T$52*(8)+'LINEST VARS'!$S$52*(8)+'LINEST VARS'!$R$52*($BD$32)+'LINEST VARS'!$Q$52*($AZ35)+'LINEST VARS'!$P$52*(12.73)+'LINEST VARS'!$O$52*(8^2)+'LINEST VARS'!$N$52*(8^2)+'LINEST VARS'!$M$52*($BD$32^2)+'LINEST VARS'!$L$52*($AZ35^2)+'LINEST VARS'!$K$52*(12.73^2)+'LINEST VARS'!$J$52*(8*8)+'LINEST VARS'!$I$52*(8*$BD$32)+'LINEST VARS'!$H$52*(8*$AZ35)+'LINEST VARS'!$G$52*(8*12.73)+'LINEST VARS'!$F$52*(8*$BD$32)+'LINEST VARS'!$E$52*(8*$AZ35)+'LINEST VARS'!$D$52*(8*12.73)+'LINEST VARS'!$C$52*($BD$32*$AZ35)+'LINEST VARS'!$B$52*($BD$32*12.73)+'LINEST VARS'!$A$52*($AZ35*12.73)</f>
        <v>4.4899999999999984</v>
      </c>
      <c r="BE35" s="51">
        <f>'LINEST VARS'!$U$52+'LINEST VARS'!$T$52*(8)+'LINEST VARS'!$S$52*(8)+'LINEST VARS'!$R$52*($BE$32)+'LINEST VARS'!$Q$52*($AZ35)+'LINEST VARS'!$P$52*(12.73)+'LINEST VARS'!$O$52*(8^2)+'LINEST VARS'!$N$52*(8^2)+'LINEST VARS'!$M$52*($BE$32^2)+'LINEST VARS'!$L$52*($AZ35^2)+'LINEST VARS'!$K$52*(12.73^2)+'LINEST VARS'!$J$52*(8*8)+'LINEST VARS'!$I$52*(8*$BE$32)+'LINEST VARS'!$H$52*(8*$AZ35)+'LINEST VARS'!$G$52*(8*12.73)+'LINEST VARS'!$F$52*(8*$BE$32)+'LINEST VARS'!$E$52*(8*$AZ35)+'LINEST VARS'!$D$52*(8*12.73)+'LINEST VARS'!$C$52*($BE$32*$AZ35)+'LINEST VARS'!$B$52*($BE$32*12.73)+'LINEST VARS'!$A$52*($AZ35*12.73)</f>
        <v>4.4899999999999984</v>
      </c>
      <c r="BF35" s="51">
        <f>'LINEST VARS'!$U$52+'LINEST VARS'!$T$52*(8)+'LINEST VARS'!$S$52*(8)+'LINEST VARS'!$R$52*($BF$32)+'LINEST VARS'!$Q$52*($AZ35)+'LINEST VARS'!$P$52*(12.73)+'LINEST VARS'!$O$52*(8^2)+'LINEST VARS'!$N$52*(8^2)+'LINEST VARS'!$M$52*($BF$32^2)+'LINEST VARS'!$L$52*($AZ35^2)+'LINEST VARS'!$K$52*(12.73^2)+'LINEST VARS'!$J$52*(8*8)+'LINEST VARS'!$I$52*(8*$BF$32)+'LINEST VARS'!$H$52*(8*$AZ35)+'LINEST VARS'!$G$52*(8*12.73)+'LINEST VARS'!$F$52*(8*$BF$32)+'LINEST VARS'!$E$52*(8*$AZ35)+'LINEST VARS'!$D$52*(8*12.73)+'LINEST VARS'!$C$52*($BF$32*$AZ35)+'LINEST VARS'!$B$52*($BF$32*12.73)+'LINEST VARS'!$A$52*($AZ35*12.73)</f>
        <v>4.4899999999999984</v>
      </c>
      <c r="BG35" s="51">
        <f>'LINEST VARS'!$U$52+'LINEST VARS'!$T$52*(8)+'LINEST VARS'!$S$52*(8)+'LINEST VARS'!$R$52*($BG$32)+'LINEST VARS'!$Q$52*($AZ35)+'LINEST VARS'!$P$52*(12.73)+'LINEST VARS'!$O$52*(8^2)+'LINEST VARS'!$N$52*(8^2)+'LINEST VARS'!$M$52*($BG$32^2)+'LINEST VARS'!$L$52*($AZ35^2)+'LINEST VARS'!$K$52*(12.73^2)+'LINEST VARS'!$J$52*(8*8)+'LINEST VARS'!$I$52*(8*$BG$32)+'LINEST VARS'!$H$52*(8*$AZ35)+'LINEST VARS'!$G$52*(8*12.73)+'LINEST VARS'!$F$52*(8*$BG$32)+'LINEST VARS'!$E$52*(8*$AZ35)+'LINEST VARS'!$D$52*(8*12.73)+'LINEST VARS'!$C$52*($BG$32*$AZ35)+'LINEST VARS'!$B$52*($BG$32*12.73)+'LINEST VARS'!$A$52*($AZ35*12.73)</f>
        <v>4.4899999999999984</v>
      </c>
      <c r="BH35" s="51">
        <f>'LINEST VARS'!$U$52+'LINEST VARS'!$T$52*(8)+'LINEST VARS'!$S$52*(8)+'LINEST VARS'!$R$52*($BH$32)+'LINEST VARS'!$Q$52*($AZ35)+'LINEST VARS'!$P$52*(12.73)+'LINEST VARS'!$O$52*(8^2)+'LINEST VARS'!$N$52*(8^2)+'LINEST VARS'!$M$52*($BH$32^2)+'LINEST VARS'!$L$52*($AZ35^2)+'LINEST VARS'!$K$52*(12.73^2)+'LINEST VARS'!$J$52*(8*8)+'LINEST VARS'!$I$52*(8*$BH$32)+'LINEST VARS'!$H$52*(8*$AZ35)+'LINEST VARS'!$G$52*(8*12.73)+'LINEST VARS'!$F$52*(8*$BH$32)+'LINEST VARS'!$E$52*(8*$AZ35)+'LINEST VARS'!$D$52*(8*12.73)+'LINEST VARS'!$C$52*($BH$32*$AZ35)+'LINEST VARS'!$B$52*($BH$32*12.73)+'LINEST VARS'!$A$52*($AZ35*12.73)</f>
        <v>4.4899999999999984</v>
      </c>
      <c r="BI35" s="51">
        <f>'LINEST VARS'!$U$52+'LINEST VARS'!$T$52*(8)+'LINEST VARS'!$S$52*(8)+'LINEST VARS'!$R$52*($BI$32)+'LINEST VARS'!$Q$52*($AZ35)+'LINEST VARS'!$P$52*(12.73)+'LINEST VARS'!$O$52*(8^2)+'LINEST VARS'!$N$52*(8^2)+'LINEST VARS'!$M$52*($BI$32^2)+'LINEST VARS'!$L$52*($AZ35^2)+'LINEST VARS'!$K$52*(12.73^2)+'LINEST VARS'!$J$52*(8*8)+'LINEST VARS'!$I$52*(8*$BI$32)+'LINEST VARS'!$H$52*(8*$AZ35)+'LINEST VARS'!$G$52*(8*12.73)+'LINEST VARS'!$F$52*(8*$BI$32)+'LINEST VARS'!$E$52*(8*$AZ35)+'LINEST VARS'!$D$52*(8*12.73)+'LINEST VARS'!$C$52*($BI$32*$AZ35)+'LINEST VARS'!$B$52*($BI$32*12.73)+'LINEST VARS'!$A$52*($AZ35*12.73)</f>
        <v>4.4899999999999984</v>
      </c>
      <c r="BJ35" s="51">
        <f>'LINEST VARS'!$U$52+'LINEST VARS'!$T$52*(8)+'LINEST VARS'!$S$52*(8)+'LINEST VARS'!$R$52*($BJ$32)+'LINEST VARS'!$Q$52*($AZ35)+'LINEST VARS'!$P$52*(12.73)+'LINEST VARS'!$O$52*(8^2)+'LINEST VARS'!$N$52*(8^2)+'LINEST VARS'!$M$52*($BJ$32^2)+'LINEST VARS'!$L$52*($AZ35^2)+'LINEST VARS'!$K$52*(12.73^2)+'LINEST VARS'!$J$52*(8*8)+'LINEST VARS'!$I$52*(8*$BJ$32)+'LINEST VARS'!$H$52*(8*$AZ35)+'LINEST VARS'!$G$52*(8*12.73)+'LINEST VARS'!$F$52*(8*$BJ$32)+'LINEST VARS'!$E$52*(8*$AZ35)+'LINEST VARS'!$D$52*(8*12.73)+'LINEST VARS'!$C$52*($BJ$32*$AZ35)+'LINEST VARS'!$B$52*($BJ$32*12.73)+'LINEST VARS'!$A$52*($AZ35*12.73)</f>
        <v>4.4899999999999984</v>
      </c>
      <c r="BK35" s="51">
        <f>'LINEST VARS'!$U$52+'LINEST VARS'!$T$52*(8)+'LINEST VARS'!$S$52*(8)+'LINEST VARS'!$R$52*($BK$32)+'LINEST VARS'!$Q$52*($AZ35)+'LINEST VARS'!$P$52*(12.73)+'LINEST VARS'!$O$52*(8^2)+'LINEST VARS'!$N$52*(8^2)+'LINEST VARS'!$M$52*($BK$32^2)+'LINEST VARS'!$L$52*($AZ35^2)+'LINEST VARS'!$K$52*(12.73^2)+'LINEST VARS'!$J$52*(8*8)+'LINEST VARS'!$I$52*(8*$BK$32)+'LINEST VARS'!$H$52*(8*$AZ35)+'LINEST VARS'!$G$52*(8*12.73)+'LINEST VARS'!$F$52*(8*$BK$32)+'LINEST VARS'!$E$52*(8*$AZ35)+'LINEST VARS'!$D$52*(8*12.73)+'LINEST VARS'!$C$52*($BK$32*$AZ35)+'LINEST VARS'!$B$52*($BK$32*12.73)+'LINEST VARS'!$A$52*($AZ35*12.73)</f>
        <v>4.4899999999999984</v>
      </c>
      <c r="BL35" s="51">
        <f>'LINEST VARS'!$U$52+'LINEST VARS'!$T$52*(8)+'LINEST VARS'!$S$52*(8)+'LINEST VARS'!$R$52*($BL$32)+'LINEST VARS'!$Q$52*($AZ35)+'LINEST VARS'!$P$52*(12.73)+'LINEST VARS'!$O$52*(8^2)+'LINEST VARS'!$N$52*(8^2)+'LINEST VARS'!$M$52*($BL$32^2)+'LINEST VARS'!$L$52*($AZ35^2)+'LINEST VARS'!$K$52*(12.73^2)+'LINEST VARS'!$J$52*(8*8)+'LINEST VARS'!$I$52*(8*$BL$32)+'LINEST VARS'!$H$52*(8*$AZ35)+'LINEST VARS'!$G$52*(8*12.73)+'LINEST VARS'!$F$52*(8*$BL$32)+'LINEST VARS'!$E$52*(8*$AZ35)+'LINEST VARS'!$D$52*(8*12.73)+'LINEST VARS'!$C$52*($BL$32*$AZ35)+'LINEST VARS'!$B$52*($BL$32*12.73)+'LINEST VARS'!$A$52*($AZ35*12.73)</f>
        <v>4.4899999999999984</v>
      </c>
      <c r="BM35" s="51">
        <f>'LINEST VARS'!$U$52+'LINEST VARS'!$T$52*(8)+'LINEST VARS'!$S$52*(8)+'LINEST VARS'!$R$52*($BM$32)+'LINEST VARS'!$Q$52*($AZ35)+'LINEST VARS'!$P$52*(12.73)+'LINEST VARS'!$O$52*(8^2)+'LINEST VARS'!$N$52*(8^2)+'LINEST VARS'!$M$52*($BM$32^2)+'LINEST VARS'!$L$52*($AZ35^2)+'LINEST VARS'!$K$52*(12.73^2)+'LINEST VARS'!$J$52*(8*8)+'LINEST VARS'!$I$52*(8*$BM$32)+'LINEST VARS'!$H$52*(8*$AZ35)+'LINEST VARS'!$G$52*(8*12.73)+'LINEST VARS'!$F$52*(8*$BM$32)+'LINEST VARS'!$E$52*(8*$AZ35)+'LINEST VARS'!$D$52*(8*12.73)+'LINEST VARS'!$C$52*($BM$32*$AZ35)+'LINEST VARS'!$B$52*($BM$32*12.73)+'LINEST VARS'!$A$52*($AZ35*12.73)</f>
        <v>4.4899999999999984</v>
      </c>
      <c r="BN35" s="51">
        <f>'LINEST VARS'!$U$52+'LINEST VARS'!$T$52*(8)+'LINEST VARS'!$S$52*(8)+'LINEST VARS'!$R$52*($BN$32)+'LINEST VARS'!$Q$52*($AZ35)+'LINEST VARS'!$P$52*(12.73)+'LINEST VARS'!$O$52*(8^2)+'LINEST VARS'!$N$52*(8^2)+'LINEST VARS'!$M$52*($BN$32^2)+'LINEST VARS'!$L$52*($AZ35^2)+'LINEST VARS'!$K$52*(12.73^2)+'LINEST VARS'!$J$52*(8*8)+'LINEST VARS'!$I$52*(8*$BN$32)+'LINEST VARS'!$H$52*(8*$AZ35)+'LINEST VARS'!$G$52*(8*12.73)+'LINEST VARS'!$F$52*(8*$BN$32)+'LINEST VARS'!$E$52*(8*$AZ35)+'LINEST VARS'!$D$52*(8*12.73)+'LINEST VARS'!$C$52*($BN$32*$AZ35)+'LINEST VARS'!$B$52*($BN$32*12.73)+'LINEST VARS'!$A$52*($AZ35*12.73)</f>
        <v>4.4899999999999984</v>
      </c>
      <c r="BO35" s="51">
        <f>'LINEST VARS'!$U$52+'LINEST VARS'!$T$52*(8)+'LINEST VARS'!$S$52*(8)+'LINEST VARS'!$R$52*($BO$32)+'LINEST VARS'!$Q$52*($AZ35)+'LINEST VARS'!$P$52*(12.73)+'LINEST VARS'!$O$52*(8^2)+'LINEST VARS'!$N$52*(8^2)+'LINEST VARS'!$M$52*($BO$32^2)+'LINEST VARS'!$L$52*($AZ35^2)+'LINEST VARS'!$K$52*(12.73^2)+'LINEST VARS'!$J$52*(8*8)+'LINEST VARS'!$I$52*(8*$BO$32)+'LINEST VARS'!$H$52*(8*$AZ35)+'LINEST VARS'!$G$52*(8*12.73)+'LINEST VARS'!$F$52*(8*$BO$32)+'LINEST VARS'!$E$52*(8*$AZ35)+'LINEST VARS'!$D$52*(8*12.73)+'LINEST VARS'!$C$52*($BO$32*$AZ35)+'LINEST VARS'!$B$52*($BO$32*12.73)+'LINEST VARS'!$A$52*($AZ35*12.73)</f>
        <v>4.4899999999999984</v>
      </c>
      <c r="BP35" s="51">
        <f>'LINEST VARS'!$U$52+'LINEST VARS'!$T$52*(8)+'LINEST VARS'!$S$52*(8)+'LINEST VARS'!$R$52*($BP$32)+'LINEST VARS'!$Q$52*($AZ35)+'LINEST VARS'!$P$52*(12.73)+'LINEST VARS'!$O$52*(8^2)+'LINEST VARS'!$N$52*(8^2)+'LINEST VARS'!$M$52*($BP$32^2)+'LINEST VARS'!$L$52*($AZ35^2)+'LINEST VARS'!$K$52*(12.73^2)+'LINEST VARS'!$J$52*(8*8)+'LINEST VARS'!$I$52*(8*$BP$32)+'LINEST VARS'!$H$52*(8*$AZ35)+'LINEST VARS'!$G$52*(8*12.73)+'LINEST VARS'!$F$52*(8*$BP$32)+'LINEST VARS'!$E$52*(8*$AZ35)+'LINEST VARS'!$D$52*(8*12.73)+'LINEST VARS'!$C$52*($BP$32*$AZ35)+'LINEST VARS'!$B$52*($BP$32*12.73)+'LINEST VARS'!$A$52*($AZ35*12.73)</f>
        <v>4.4899999999999984</v>
      </c>
      <c r="BQ35" s="51">
        <f>'LINEST VARS'!$U$52+'LINEST VARS'!$T$52*(8)+'LINEST VARS'!$S$52*(8)+'LINEST VARS'!$R$52*($BQ$32)+'LINEST VARS'!$Q$52*($AZ35)+'LINEST VARS'!$P$52*(12.73)+'LINEST VARS'!$O$52*(8^2)+'LINEST VARS'!$N$52*(8^2)+'LINEST VARS'!$M$52*($BQ$32^2)+'LINEST VARS'!$L$52*($AZ35^2)+'LINEST VARS'!$K$52*(12.73^2)+'LINEST VARS'!$J$52*(8*8)+'LINEST VARS'!$I$52*(8*$BQ$32)+'LINEST VARS'!$H$52*(8*$AZ35)+'LINEST VARS'!$G$52*(8*12.73)+'LINEST VARS'!$F$52*(8*$BQ$32)+'LINEST VARS'!$E$52*(8*$AZ35)+'LINEST VARS'!$D$52*(8*12.73)+'LINEST VARS'!$C$52*($BQ$32*$AZ35)+'LINEST VARS'!$B$52*($BQ$32*12.73)+'LINEST VARS'!$A$52*($AZ35*12.73)</f>
        <v>4.4899999999999984</v>
      </c>
      <c r="BR35" s="51">
        <f>'LINEST VARS'!$U$52+'LINEST VARS'!$T$52*(8)+'LINEST VARS'!$S$52*(8)+'LINEST VARS'!$R$52*($BR$32)+'LINEST VARS'!$Q$52*($AZ35)+'LINEST VARS'!$P$52*(12.73)+'LINEST VARS'!$O$52*(8^2)+'LINEST VARS'!$N$52*(8^2)+'LINEST VARS'!$M$52*($BR$32^2)+'LINEST VARS'!$L$52*($AZ35^2)+'LINEST VARS'!$K$52*(12.73^2)+'LINEST VARS'!$J$52*(8*8)+'LINEST VARS'!$I$52*(8*$BR$32)+'LINEST VARS'!$H$52*(8*$AZ35)+'LINEST VARS'!$G$52*(8*12.73)+'LINEST VARS'!$F$52*(8*$BR$32)+'LINEST VARS'!$E$52*(8*$AZ35)+'LINEST VARS'!$D$52*(8*12.73)+'LINEST VARS'!$C$52*($BR$32*$AZ35)+'LINEST VARS'!$B$52*($BR$32*12.73)+'LINEST VARS'!$A$52*($AZ35*12.73)</f>
        <v>4.4899999999999984</v>
      </c>
      <c r="BS35" s="51">
        <f>'LINEST VARS'!$U$52+'LINEST VARS'!$T$52*(8)+'LINEST VARS'!$S$52*(8)+'LINEST VARS'!$R$52*($BS$32)+'LINEST VARS'!$Q$52*($AZ35)+'LINEST VARS'!$P$52*(12.73)+'LINEST VARS'!$O$52*(8^2)+'LINEST VARS'!$N$52*(8^2)+'LINEST VARS'!$M$52*($BS$32^2)+'LINEST VARS'!$L$52*($AZ35^2)+'LINEST VARS'!$K$52*(12.73^2)+'LINEST VARS'!$J$52*(8*8)+'LINEST VARS'!$I$52*(8*$BS$32)+'LINEST VARS'!$H$52*(8*$AZ35)+'LINEST VARS'!$G$52*(8*12.73)+'LINEST VARS'!$F$52*(8*$BS$32)+'LINEST VARS'!$E$52*(8*$AZ35)+'LINEST VARS'!$D$52*(8*12.73)+'LINEST VARS'!$C$52*($BS$32*$AZ35)+'LINEST VARS'!$B$52*($BS$32*12.73)+'LINEST VARS'!$A$52*($AZ35*12.73)</f>
        <v>4.4899999999999984</v>
      </c>
      <c r="BT35" s="51">
        <f>'LINEST VARS'!$U$52+'LINEST VARS'!$T$52*(8)+'LINEST VARS'!$S$52*(8)+'LINEST VARS'!$R$52*($BT$32)+'LINEST VARS'!$Q$52*($AZ35)+'LINEST VARS'!$P$52*(12.73)+'LINEST VARS'!$O$52*(8^2)+'LINEST VARS'!$N$52*(8^2)+'LINEST VARS'!$M$52*($BT$32^2)+'LINEST VARS'!$L$52*($AZ35^2)+'LINEST VARS'!$K$52*(12.73^2)+'LINEST VARS'!$J$52*(8*8)+'LINEST VARS'!$I$52*(8*$BT$32)+'LINEST VARS'!$H$52*(8*$AZ35)+'LINEST VARS'!$G$52*(8*12.73)+'LINEST VARS'!$F$52*(8*$BT$32)+'LINEST VARS'!$E$52*(8*$AZ35)+'LINEST VARS'!$D$52*(8*12.73)+'LINEST VARS'!$C$52*($BT$32*$AZ35)+'LINEST VARS'!$B$52*($BT$32*12.73)+'LINEST VARS'!$A$52*($AZ35*12.73)</f>
        <v>4.4899999999999984</v>
      </c>
      <c r="BU35" s="52">
        <f>'LINEST VARS'!$U$52+'LINEST VARS'!$T$52*(8)+'LINEST VARS'!$S$52*(8)+'LINEST VARS'!$R$52*($BU$32)+'LINEST VARS'!$Q$52*($AZ35)+'LINEST VARS'!$P$52*(12.73)+'LINEST VARS'!$O$52*(8^2)+'LINEST VARS'!$N$52*(8^2)+'LINEST VARS'!$M$52*($BU$32^2)+'LINEST VARS'!$L$52*($AZ35^2)+'LINEST VARS'!$K$52*(12.73^2)+'LINEST VARS'!$J$52*(8*8)+'LINEST VARS'!$I$52*(8*$BU$32)+'LINEST VARS'!$H$52*(8*$AZ35)+'LINEST VARS'!$G$52*(8*12.73)+'LINEST VARS'!$F$52*(8*$BU$32)+'LINEST VARS'!$E$52*(8*$AZ35)+'LINEST VARS'!$D$52*(8*12.73)+'LINEST VARS'!$C$52*($BU$32*$AZ35)+'LINEST VARS'!$B$52*($BU$32*12.73)+'LINEST VARS'!$A$52*($AZ35*12.73)</f>
        <v>4.4899999999999984</v>
      </c>
      <c r="BX35" s="45">
        <v>0.1</v>
      </c>
      <c r="BY35" s="51">
        <f>'LINEST VARS'!$U$54+'LINEST VARS'!$T$54*(8)+'LINEST VARS'!$S$54*(8)+'LINEST VARS'!$R$54*($BY$32)+'LINEST VARS'!$Q$54*($BX35)+'LINEST VARS'!$P$54*(12.73)+'LINEST VARS'!$O$54*(8^2)+'LINEST VARS'!$N$54*(8^2)+'LINEST VARS'!$M$54*($BY$32^2)+'LINEST VARS'!$L$54*($BX35^2)+'LINEST VARS'!$K$54*(12.73^2)+'LINEST VARS'!$J$54*(8*8)+'LINEST VARS'!$I$54*(8*$BY$32)+'LINEST VARS'!$H$54*(8*$BX35)+'LINEST VARS'!$G$54*(8*12.73)+'LINEST VARS'!$F$54*(8*$BY$32)+'LINEST VARS'!$E$54*(8*$BX35)+'LINEST VARS'!$D$54*(8*12.73)+'LINEST VARS'!$C$54*($BY$32*$BX35)+'LINEST VARS'!$B$54*($BY$32*12.73)+'LINEST VARS'!$A$54*($BX35*12.73)</f>
        <v>3.9949999999999997</v>
      </c>
      <c r="BZ35" s="51">
        <f>'LINEST VARS'!$U$54+'LINEST VARS'!$T$54*(8)+'LINEST VARS'!$S$54*(8)+'LINEST VARS'!$R$54*($BZ$32)+'LINEST VARS'!$Q$54*($BX35)+'LINEST VARS'!$P$54*(12.73)+'LINEST VARS'!$O$54*(8^2)+'LINEST VARS'!$N$54*(8^2)+'LINEST VARS'!$M$54*($BZ$32^2)+'LINEST VARS'!$L$54*($BX35^2)+'LINEST VARS'!$K$54*(12.73^2)+'LINEST VARS'!$J$54*(8*8)+'LINEST VARS'!$I$54*(8*$BZ$32)+'LINEST VARS'!$H$54*(8*$BX35)+'LINEST VARS'!$G$54*(8*12.73)+'LINEST VARS'!$F$54*(8*$BZ$32)+'LINEST VARS'!$E$54*(8*$BX35)+'LINEST VARS'!$D$54*(8*12.73)+'LINEST VARS'!$C$54*($BZ$32*$BX35)+'LINEST VARS'!$B$54*($BZ$32*12.73)+'LINEST VARS'!$A$54*($BX35*12.73)</f>
        <v>3.9949999999999997</v>
      </c>
      <c r="CA35" s="51">
        <f>'LINEST VARS'!$U$54+'LINEST VARS'!$T$54*(8)+'LINEST VARS'!$S$54*(8)+'LINEST VARS'!$R$54*($CA$32)+'LINEST VARS'!$Q$54*($BX35)+'LINEST VARS'!$P$54*(12.73)+'LINEST VARS'!$O$54*(8^2)+'LINEST VARS'!$N$54*(8^2)+'LINEST VARS'!$M$54*($CA$32^2)+'LINEST VARS'!$L$54*($BX35^2)+'LINEST VARS'!$K$54*(12.73^2)+'LINEST VARS'!$J$54*(8*8)+'LINEST VARS'!$I$54*(8*$CA$32)+'LINEST VARS'!$H$54*(8*$BX35)+'LINEST VARS'!$G$54*(8*12.73)+'LINEST VARS'!$F$54*(8*$CA$32)+'LINEST VARS'!$E$54*(8*$BX35)+'LINEST VARS'!$D$54*(8*12.73)+'LINEST VARS'!$C$54*($CA$32*$BX35)+'LINEST VARS'!$B$54*($CA$32*12.73)+'LINEST VARS'!$A$54*($BX35*12.73)</f>
        <v>3.9949999999999997</v>
      </c>
      <c r="CB35" s="51">
        <f>'LINEST VARS'!$U$54+'LINEST VARS'!$T$54*(8)+'LINEST VARS'!$S$54*(8)+'LINEST VARS'!$R$54*($CB$32)+'LINEST VARS'!$Q$54*($BX35)+'LINEST VARS'!$P$54*(12.73)+'LINEST VARS'!$O$54*(8^2)+'LINEST VARS'!$N$54*(8^2)+'LINEST VARS'!$M$54*($CB$32^2)+'LINEST VARS'!$L$54*($BX35^2)+'LINEST VARS'!$K$54*(12.73^2)+'LINEST VARS'!$J$54*(8*8)+'LINEST VARS'!$I$54*(8*$CB$32)+'LINEST VARS'!$H$54*(8*$BX35)+'LINEST VARS'!$G$54*(8*12.73)+'LINEST VARS'!$F$54*(8*$CB$32)+'LINEST VARS'!$E$54*(8*$BX35)+'LINEST VARS'!$D$54*(8*12.73)+'LINEST VARS'!$C$54*($CB$32*$BX35)+'LINEST VARS'!$B$54*($CB$32*12.73)+'LINEST VARS'!$A$54*($BX35*12.73)</f>
        <v>3.9949999999999997</v>
      </c>
      <c r="CC35" s="51">
        <f>'LINEST VARS'!$U$54+'LINEST VARS'!$T$54*(8)+'LINEST VARS'!$S$54*(8)+'LINEST VARS'!$R$54*($CC$32)+'LINEST VARS'!$Q$54*($BX35)+'LINEST VARS'!$P$54*(12.73)+'LINEST VARS'!$O$54*(8^2)+'LINEST VARS'!$N$54*(8^2)+'LINEST VARS'!$M$54*($CC$32^2)+'LINEST VARS'!$L$54*($BX35^2)+'LINEST VARS'!$K$54*(12.73^2)+'LINEST VARS'!$J$54*(8*8)+'LINEST VARS'!$I$54*(8*$CC$32)+'LINEST VARS'!$H$54*(8*$BX35)+'LINEST VARS'!$G$54*(8*12.73)+'LINEST VARS'!$F$54*(8*$CC$32)+'LINEST VARS'!$E$54*(8*$BX35)+'LINEST VARS'!$D$54*(8*12.73)+'LINEST VARS'!$C$54*($CC$32*$BX35)+'LINEST VARS'!$B$54*($CC$32*12.73)+'LINEST VARS'!$A$54*($BX35*12.73)</f>
        <v>3.9949999999999997</v>
      </c>
      <c r="CD35" s="51">
        <f>'LINEST VARS'!$U$54+'LINEST VARS'!$T$54*(8)+'LINEST VARS'!$S$54*(8)+'LINEST VARS'!$R$54*($CD$32)+'LINEST VARS'!$Q$54*($BX35)+'LINEST VARS'!$P$54*(12.73)+'LINEST VARS'!$O$54*(8^2)+'LINEST VARS'!$N$54*(8^2)+'LINEST VARS'!$M$54*($CD$32^2)+'LINEST VARS'!$L$54*($BX35^2)+'LINEST VARS'!$K$54*(12.73^2)+'LINEST VARS'!$J$54*(8*8)+'LINEST VARS'!$I$54*(8*$CD$32)+'LINEST VARS'!$H$54*(8*$BX35)+'LINEST VARS'!$G$54*(8*12.73)+'LINEST VARS'!$F$54*(8*$CD$32)+'LINEST VARS'!$E$54*(8*$BX35)+'LINEST VARS'!$D$54*(8*12.73)+'LINEST VARS'!$C$54*($CD$32*$BX35)+'LINEST VARS'!$B$54*($CD$32*12.73)+'LINEST VARS'!$A$54*($BX35*12.73)</f>
        <v>3.9949999999999997</v>
      </c>
      <c r="CE35" s="51">
        <f>'LINEST VARS'!$U$54+'LINEST VARS'!$T$54*(8)+'LINEST VARS'!$S$54*(8)+'LINEST VARS'!$R$54*($CE$32)+'LINEST VARS'!$Q$54*($BX35)+'LINEST VARS'!$P$54*(12.73)+'LINEST VARS'!$O$54*(8^2)+'LINEST VARS'!$N$54*(8^2)+'LINEST VARS'!$M$54*($CE$32^2)+'LINEST VARS'!$L$54*($BX35^2)+'LINEST VARS'!$K$54*(12.73^2)+'LINEST VARS'!$J$54*(8*8)+'LINEST VARS'!$I$54*(8*$CE$32)+'LINEST VARS'!$H$54*(8*$BX35)+'LINEST VARS'!$G$54*(8*12.73)+'LINEST VARS'!$F$54*(8*$CE$32)+'LINEST VARS'!$E$54*(8*$BX35)+'LINEST VARS'!$D$54*(8*12.73)+'LINEST VARS'!$C$54*($CE$32*$BX35)+'LINEST VARS'!$B$54*($CE$32*12.73)+'LINEST VARS'!$A$54*($BX35*12.73)</f>
        <v>3.9949999999999997</v>
      </c>
      <c r="CF35" s="51">
        <f>'LINEST VARS'!$U$54+'LINEST VARS'!$T$54*(8)+'LINEST VARS'!$S$54*(8)+'LINEST VARS'!$R$54*($CF$32)+'LINEST VARS'!$Q$54*($BX35)+'LINEST VARS'!$P$54*(12.73)+'LINEST VARS'!$O$54*(8^2)+'LINEST VARS'!$N$54*(8^2)+'LINEST VARS'!$M$54*($CF$32^2)+'LINEST VARS'!$L$54*($BX35^2)+'LINEST VARS'!$K$54*(12.73^2)+'LINEST VARS'!$J$54*(8*8)+'LINEST VARS'!$I$54*(8*$CF$32)+'LINEST VARS'!$H$54*(8*$BX35)+'LINEST VARS'!$G$54*(8*12.73)+'LINEST VARS'!$F$54*(8*$CF$32)+'LINEST VARS'!$E$54*(8*$BX35)+'LINEST VARS'!$D$54*(8*12.73)+'LINEST VARS'!$C$54*($CF$32*$BX35)+'LINEST VARS'!$B$54*($CF$32*12.73)+'LINEST VARS'!$A$54*($BX35*12.73)</f>
        <v>3.9949999999999997</v>
      </c>
      <c r="CG35" s="51">
        <f>'LINEST VARS'!$U$54+'LINEST VARS'!$T$54*(8)+'LINEST VARS'!$S$54*(8)+'LINEST VARS'!$R$54*($CG$32)+'LINEST VARS'!$Q$54*($BX35)+'LINEST VARS'!$P$54*(12.73)+'LINEST VARS'!$O$54*(8^2)+'LINEST VARS'!$N$54*(8^2)+'LINEST VARS'!$M$54*($CG$32^2)+'LINEST VARS'!$L$54*($BX35^2)+'LINEST VARS'!$K$54*(12.73^2)+'LINEST VARS'!$J$54*(8*8)+'LINEST VARS'!$I$54*(8*$CG$32)+'LINEST VARS'!$H$54*(8*$BX35)+'LINEST VARS'!$G$54*(8*12.73)+'LINEST VARS'!$F$54*(8*$CG$32)+'LINEST VARS'!$E$54*(8*$BX35)+'LINEST VARS'!$D$54*(8*12.73)+'LINEST VARS'!$C$54*($CG$32*$BX35)+'LINEST VARS'!$B$54*($CG$32*12.73)+'LINEST VARS'!$A$54*($BX35*12.73)</f>
        <v>3.9949999999999997</v>
      </c>
      <c r="CH35" s="51">
        <f>'LINEST VARS'!$U$54+'LINEST VARS'!$T$54*(8)+'LINEST VARS'!$S$54*(8)+'LINEST VARS'!$R$54*($CH$32)+'LINEST VARS'!$Q$54*($BX35)+'LINEST VARS'!$P$54*(12.73)+'LINEST VARS'!$O$54*(8^2)+'LINEST VARS'!$N$54*(8^2)+'LINEST VARS'!$M$54*($CH$32^2)+'LINEST VARS'!$L$54*($BX35^2)+'LINEST VARS'!$K$54*(12.73^2)+'LINEST VARS'!$J$54*(8*8)+'LINEST VARS'!$I$54*(8*$CH$32)+'LINEST VARS'!$H$54*(8*$BX35)+'LINEST VARS'!$G$54*(8*12.73)+'LINEST VARS'!$F$54*(8*$CH$32)+'LINEST VARS'!$E$54*(8*$BX35)+'LINEST VARS'!$D$54*(8*12.73)+'LINEST VARS'!$C$54*($CH$32*$BX35)+'LINEST VARS'!$B$54*($CH$32*12.73)+'LINEST VARS'!$A$54*($BX35*12.73)</f>
        <v>3.9949999999999997</v>
      </c>
      <c r="CI35" s="51">
        <f>'LINEST VARS'!$U$54+'LINEST VARS'!$T$54*(8)+'LINEST VARS'!$S$54*(8)+'LINEST VARS'!$R$54*($CI$32)+'LINEST VARS'!$Q$54*($BX35)+'LINEST VARS'!$P$54*(12.73)+'LINEST VARS'!$O$54*(8^2)+'LINEST VARS'!$N$54*(8^2)+'LINEST VARS'!$M$54*($CI$32^2)+'LINEST VARS'!$L$54*($BX35^2)+'LINEST VARS'!$K$54*(12.73^2)+'LINEST VARS'!$J$54*(8*8)+'LINEST VARS'!$I$54*(8*$CI$32)+'LINEST VARS'!$H$54*(8*$BX35)+'LINEST VARS'!$G$54*(8*12.73)+'LINEST VARS'!$F$54*(8*$CI$32)+'LINEST VARS'!$E$54*(8*$BX35)+'LINEST VARS'!$D$54*(8*12.73)+'LINEST VARS'!$C$54*($CI$32*$BX35)+'LINEST VARS'!$B$54*($CI$32*12.73)+'LINEST VARS'!$A$54*($BX35*12.73)</f>
        <v>3.9949999999999997</v>
      </c>
      <c r="CJ35" s="51">
        <f>'LINEST VARS'!$U$54+'LINEST VARS'!$T$54*(8)+'LINEST VARS'!$S$54*(8)+'LINEST VARS'!$R$54*($CJ$32)+'LINEST VARS'!$Q$54*($BX35)+'LINEST VARS'!$P$54*(12.73)+'LINEST VARS'!$O$54*(8^2)+'LINEST VARS'!$N$54*(8^2)+'LINEST VARS'!$M$54*($CJ$32^2)+'LINEST VARS'!$L$54*($BX35^2)+'LINEST VARS'!$K$54*(12.73^2)+'LINEST VARS'!$J$54*(8*8)+'LINEST VARS'!$I$54*(8*$CJ$32)+'LINEST VARS'!$H$54*(8*$BX35)+'LINEST VARS'!$G$54*(8*12.73)+'LINEST VARS'!$F$54*(8*$CJ$32)+'LINEST VARS'!$E$54*(8*$BX35)+'LINEST VARS'!$D$54*(8*12.73)+'LINEST VARS'!$C$54*($CJ$32*$BX35)+'LINEST VARS'!$B$54*($CJ$32*12.73)+'LINEST VARS'!$A$54*($BX35*12.73)</f>
        <v>3.9949999999999997</v>
      </c>
      <c r="CK35" s="51">
        <f>'LINEST VARS'!$U$54+'LINEST VARS'!$T$54*(8)+'LINEST VARS'!$S$54*(8)+'LINEST VARS'!$R$54*($CK$32)+'LINEST VARS'!$Q$54*($BX35)+'LINEST VARS'!$P$54*(12.73)+'LINEST VARS'!$O$54*(8^2)+'LINEST VARS'!$N$54*(8^2)+'LINEST VARS'!$M$54*($CK$32^2)+'LINEST VARS'!$L$54*($BX35^2)+'LINEST VARS'!$K$54*(12.73^2)+'LINEST VARS'!$J$54*(8*8)+'LINEST VARS'!$I$54*(8*$CK$32)+'LINEST VARS'!$H$54*(8*$BX35)+'LINEST VARS'!$G$54*(8*12.73)+'LINEST VARS'!$F$54*(8*$CK$32)+'LINEST VARS'!$E$54*(8*$BX35)+'LINEST VARS'!$D$54*(8*12.73)+'LINEST VARS'!$C$54*($CK$32*$BX35)+'LINEST VARS'!$B$54*($CK$32*12.73)+'LINEST VARS'!$A$54*($BX35*12.73)</f>
        <v>3.9949999999999997</v>
      </c>
      <c r="CL35" s="51">
        <f>'LINEST VARS'!$U$54+'LINEST VARS'!$T$54*(8)+'LINEST VARS'!$S$54*(8)+'LINEST VARS'!$R$54*($CL$32)+'LINEST VARS'!$Q$54*($BX35)+'LINEST VARS'!$P$54*(12.73)+'LINEST VARS'!$O$54*(8^2)+'LINEST VARS'!$N$54*(8^2)+'LINEST VARS'!$M$54*($CL$32^2)+'LINEST VARS'!$L$54*($BX35^2)+'LINEST VARS'!$K$54*(12.73^2)+'LINEST VARS'!$J$54*(8*8)+'LINEST VARS'!$I$54*(8*$CL$32)+'LINEST VARS'!$H$54*(8*$BX35)+'LINEST VARS'!$G$54*(8*12.73)+'LINEST VARS'!$F$54*(8*$CL$32)+'LINEST VARS'!$E$54*(8*$BX35)+'LINEST VARS'!$D$54*(8*12.73)+'LINEST VARS'!$C$54*($CL$32*$BX35)+'LINEST VARS'!$B$54*($CL$32*12.73)+'LINEST VARS'!$A$54*($BX35*12.73)</f>
        <v>3.9949999999999997</v>
      </c>
      <c r="CM35" s="51">
        <f>'LINEST VARS'!$U$54+'LINEST VARS'!$T$54*(8)+'LINEST VARS'!$S$54*(8)+'LINEST VARS'!$R$54*($CM$32)+'LINEST VARS'!$Q$54*($BX35)+'LINEST VARS'!$P$54*(12.73)+'LINEST VARS'!$O$54*(8^2)+'LINEST VARS'!$N$54*(8^2)+'LINEST VARS'!$M$54*($CM$32^2)+'LINEST VARS'!$L$54*($BX35^2)+'LINEST VARS'!$K$54*(12.73^2)+'LINEST VARS'!$J$54*(8*8)+'LINEST VARS'!$I$54*(8*$CM$32)+'LINEST VARS'!$H$54*(8*$BX35)+'LINEST VARS'!$G$54*(8*12.73)+'LINEST VARS'!$F$54*(8*$CM$32)+'LINEST VARS'!$E$54*(8*$BX35)+'LINEST VARS'!$D$54*(8*12.73)+'LINEST VARS'!$C$54*($CM$32*$BX35)+'LINEST VARS'!$B$54*($CM$32*12.73)+'LINEST VARS'!$A$54*($BX35*12.73)</f>
        <v>3.9949999999999997</v>
      </c>
      <c r="CN35" s="51">
        <f>'LINEST VARS'!$U$54+'LINEST VARS'!$T$54*(8)+'LINEST VARS'!$S$54*(8)+'LINEST VARS'!$R$54*($CN$32)+'LINEST VARS'!$Q$54*($BX35)+'LINEST VARS'!$P$54*(12.73)+'LINEST VARS'!$O$54*(8^2)+'LINEST VARS'!$N$54*(8^2)+'LINEST VARS'!$M$54*($CN$32^2)+'LINEST VARS'!$L$54*($BX35^2)+'LINEST VARS'!$K$54*(12.73^2)+'LINEST VARS'!$J$54*(8*8)+'LINEST VARS'!$I$54*(8*$CN$32)+'LINEST VARS'!$H$54*(8*$BX35)+'LINEST VARS'!$G$54*(8*12.73)+'LINEST VARS'!$F$54*(8*$CN$32)+'LINEST VARS'!$E$54*(8*$BX35)+'LINEST VARS'!$D$54*(8*12.73)+'LINEST VARS'!$C$54*($CN$32*$BX35)+'LINEST VARS'!$B$54*($CN$32*12.73)+'LINEST VARS'!$A$54*($BX35*12.73)</f>
        <v>3.9949999999999997</v>
      </c>
      <c r="CO35" s="51">
        <f>'LINEST VARS'!$U$54+'LINEST VARS'!$T$54*(8)+'LINEST VARS'!$S$54*(8)+'LINEST VARS'!$R$54*($CO$32)+'LINEST VARS'!$Q$54*($BX35)+'LINEST VARS'!$P$54*(12.73)+'LINEST VARS'!$O$54*(8^2)+'LINEST VARS'!$N$54*(8^2)+'LINEST VARS'!$M$54*($CO$32^2)+'LINEST VARS'!$L$54*($BX35^2)+'LINEST VARS'!$K$54*(12.73^2)+'LINEST VARS'!$J$54*(8*8)+'LINEST VARS'!$I$54*(8*$CO$32)+'LINEST VARS'!$H$54*(8*$BX35)+'LINEST VARS'!$G$54*(8*12.73)+'LINEST VARS'!$F$54*(8*$CO$32)+'LINEST VARS'!$E$54*(8*$BX35)+'LINEST VARS'!$D$54*(8*12.73)+'LINEST VARS'!$C$54*($CO$32*$BX35)+'LINEST VARS'!$B$54*($CO$32*12.73)+'LINEST VARS'!$A$54*($BX35*12.73)</f>
        <v>3.9949999999999997</v>
      </c>
      <c r="CP35" s="51">
        <f>'LINEST VARS'!$U$54+'LINEST VARS'!$T$54*(8)+'LINEST VARS'!$S$54*(8)+'LINEST VARS'!$R$54*($CP$32)+'LINEST VARS'!$Q$54*($BX35)+'LINEST VARS'!$P$54*(12.73)+'LINEST VARS'!$O$54*(8^2)+'LINEST VARS'!$N$54*(8^2)+'LINEST VARS'!$M$54*($CP$32^2)+'LINEST VARS'!$L$54*($BX35^2)+'LINEST VARS'!$K$54*(12.73^2)+'LINEST VARS'!$J$54*(8*8)+'LINEST VARS'!$I$54*(8*$CP$32)+'LINEST VARS'!$H$54*(8*$BX35)+'LINEST VARS'!$G$54*(8*12.73)+'LINEST VARS'!$F$54*(8*$CP$32)+'LINEST VARS'!$E$54*(8*$BX35)+'LINEST VARS'!$D$54*(8*12.73)+'LINEST VARS'!$C$54*($CP$32*$BX35)+'LINEST VARS'!$B$54*($CP$32*12.73)+'LINEST VARS'!$A$54*($BX35*12.73)</f>
        <v>3.9949999999999997</v>
      </c>
      <c r="CQ35" s="51">
        <f>'LINEST VARS'!$U$54+'LINEST VARS'!$T$54*(8)+'LINEST VARS'!$S$54*(8)+'LINEST VARS'!$R$54*($CQ$32)+'LINEST VARS'!$Q$54*($BX35)+'LINEST VARS'!$P$54*(12.73)+'LINEST VARS'!$O$54*(8^2)+'LINEST VARS'!$N$54*(8^2)+'LINEST VARS'!$M$54*($CQ$32^2)+'LINEST VARS'!$L$54*($BX35^2)+'LINEST VARS'!$K$54*(12.73^2)+'LINEST VARS'!$J$54*(8*8)+'LINEST VARS'!$I$54*(8*$CQ$32)+'LINEST VARS'!$H$54*(8*$BX35)+'LINEST VARS'!$G$54*(8*12.73)+'LINEST VARS'!$F$54*(8*$CQ$32)+'LINEST VARS'!$E$54*(8*$BX35)+'LINEST VARS'!$D$54*(8*12.73)+'LINEST VARS'!$C$54*($CQ$32*$BX35)+'LINEST VARS'!$B$54*($CQ$32*12.73)+'LINEST VARS'!$A$54*($BX35*12.73)</f>
        <v>3.9949999999999997</v>
      </c>
      <c r="CR35" s="51">
        <f>'LINEST VARS'!$U$54+'LINEST VARS'!$T$54*(8)+'LINEST VARS'!$S$54*(8)+'LINEST VARS'!$R$54*($CR$32)+'LINEST VARS'!$Q$54*($BX35)+'LINEST VARS'!$P$54*(12.73)+'LINEST VARS'!$O$54*(8^2)+'LINEST VARS'!$N$54*(8^2)+'LINEST VARS'!$M$54*($CR$32^2)+'LINEST VARS'!$L$54*($BX35^2)+'LINEST VARS'!$K$54*(12.73^2)+'LINEST VARS'!$J$54*(8*8)+'LINEST VARS'!$I$54*(8*$CR$32)+'LINEST VARS'!$H$54*(8*$BX35)+'LINEST VARS'!$G$54*(8*12.73)+'LINEST VARS'!$F$54*(8*$CR$32)+'LINEST VARS'!$E$54*(8*$BX35)+'LINEST VARS'!$D$54*(8*12.73)+'LINEST VARS'!$C$54*($CR$32*$BX35)+'LINEST VARS'!$B$54*($CR$32*12.73)+'LINEST VARS'!$A$54*($BX35*12.73)</f>
        <v>3.9949999999999997</v>
      </c>
      <c r="CS35" s="52">
        <f>'LINEST VARS'!$U$54+'LINEST VARS'!$T$54*(8)+'LINEST VARS'!$S$54*(8)+'LINEST VARS'!$R$54*($CS$32)+'LINEST VARS'!$Q$54*($BX35)+'LINEST VARS'!$P$54*(12.73)+'LINEST VARS'!$O$54*(8^2)+'LINEST VARS'!$N$54*(8^2)+'LINEST VARS'!$M$54*($CS$32^2)+'LINEST VARS'!$L$54*($BX35^2)+'LINEST VARS'!$K$54*(12.73^2)+'LINEST VARS'!$J$54*(8*8)+'LINEST VARS'!$I$54*(8*$CS$32)+'LINEST VARS'!$H$54*(8*$BX35)+'LINEST VARS'!$G$54*(8*12.73)+'LINEST VARS'!$F$54*(8*$CS$32)+'LINEST VARS'!$E$54*(8*$BX35)+'LINEST VARS'!$D$54*(8*12.73)+'LINEST VARS'!$C$54*($CS$32*$BX35)+'LINEST VARS'!$B$54*($CS$32*12.73)+'LINEST VARS'!$A$54*($BX35*12.73)</f>
        <v>3.9949999999999997</v>
      </c>
      <c r="CX35" s="45">
        <v>2.5990000000000002</v>
      </c>
      <c r="CY35" s="51">
        <f>'LINEST VARS'!$U$52+'LINEST VARS'!$T$52*(8)+'LINEST VARS'!$S$52*(8)+'LINEST VARS'!$R$52*($CY$32)+'LINEST VARS'!$Q$52*(0.5)+'LINEST VARS'!$P$52*($CX35)+'LINEST VARS'!$O$52*(8^2)+'LINEST VARS'!$N$52*(8^2)+'LINEST VARS'!$M$52*($CY$32^2)+'LINEST VARS'!$L$52*(0.5^2)+'LINEST VARS'!$K$52*($CX35^2)+'LINEST VARS'!$J$52*(8*8)+'LINEST VARS'!$I$52*(8*$CY$32)+'LINEST VARS'!$H$52*(8*0.5)+'LINEST VARS'!$G$52*(8*$CX35)+'LINEST VARS'!$F$52*(8*$CY$32)+'LINEST VARS'!$E$52*(8*0.5)+'LINEST VARS'!$D$52*(8*$CX35)+'LINEST VARS'!$C$52*($CY$32*0.5)+'LINEST VARS'!$B$52*($CY$32*$CX35)+'LINEST VARS'!$A$52*(0.5*$CX35)</f>
        <v>4.4499999999999984</v>
      </c>
      <c r="CZ35" s="51">
        <f>'LINEST VARS'!$U$52+'LINEST VARS'!$T$52*(8)+'LINEST VARS'!$S$52*(8)+'LINEST VARS'!$R$52*($CZ$32)+'LINEST VARS'!$Q$52*(0.5)+'LINEST VARS'!$P$52*($CX35)+'LINEST VARS'!$O$52*(8^2)+'LINEST VARS'!$N$52*(8^2)+'LINEST VARS'!$M$52*($CZ$32^2)+'LINEST VARS'!$L$52*(0.5^2)+'LINEST VARS'!$K$52*($CX35^2)+'LINEST VARS'!$J$52*(8*8)+'LINEST VARS'!$I$52*(8*$CZ$32)+'LINEST VARS'!$H$52*(8*0.5)+'LINEST VARS'!$G$52*(8*$CX35)+'LINEST VARS'!$F$52*(8*$CZ$32)+'LINEST VARS'!$E$52*(8*0.5)+'LINEST VARS'!$D$52*(8*$CX35)+'LINEST VARS'!$C$52*($CZ$32*0.5)+'LINEST VARS'!$B$52*($CZ$32*$CX35)+'LINEST VARS'!$A$52*(0.5*$CX35)</f>
        <v>4.4499999999999984</v>
      </c>
      <c r="DA35" s="51">
        <f>'LINEST VARS'!$U$52+'LINEST VARS'!$T$52*(8)+'LINEST VARS'!$S$52*(8)+'LINEST VARS'!$R$52*($DA$32)+'LINEST VARS'!$Q$52*(0.5)+'LINEST VARS'!$P$52*($CX35)+'LINEST VARS'!$O$52*(8^2)+'LINEST VARS'!$N$52*(8^2)+'LINEST VARS'!$M$52*($DA$32^2)+'LINEST VARS'!$L$52*(0.5^2)+'LINEST VARS'!$K$52*($CX35^2)+'LINEST VARS'!$J$52*(8*8)+'LINEST VARS'!$I$52*(8*$DA$32)+'LINEST VARS'!$H$52*(8*0.5)+'LINEST VARS'!$G$52*(8*$CX35)+'LINEST VARS'!$F$52*(8*$DA$32)+'LINEST VARS'!$E$52*(8*0.5)+'LINEST VARS'!$D$52*(8*$CX35)+'LINEST VARS'!$C$52*($DA$32*0.5)+'LINEST VARS'!$B$52*($DA$32*$CX35)+'LINEST VARS'!$A$52*(0.5*$CX35)</f>
        <v>4.4499999999999984</v>
      </c>
      <c r="DB35" s="51">
        <f>'LINEST VARS'!$U$52+'LINEST VARS'!$T$52*(8)+'LINEST VARS'!$S$52*(8)+'LINEST VARS'!$R$52*($DB$32)+'LINEST VARS'!$Q$52*(0.5)+'LINEST VARS'!$P$52*($CX35)+'LINEST VARS'!$O$52*(8^2)+'LINEST VARS'!$N$52*(8^2)+'LINEST VARS'!$M$52*($DB$32^2)+'LINEST VARS'!$L$52*(0.5^2)+'LINEST VARS'!$K$52*($CX35^2)+'LINEST VARS'!$J$52*(8*8)+'LINEST VARS'!$I$52*(8*$DB$32)+'LINEST VARS'!$H$52*(8*0.5)+'LINEST VARS'!$G$52*(8*$CX35)+'LINEST VARS'!$F$52*(8*$DB$32)+'LINEST VARS'!$E$52*(8*0.5)+'LINEST VARS'!$D$52*(8*$CX35)+'LINEST VARS'!$C$52*($DB$32*0.5)+'LINEST VARS'!$B$52*($DB$32*$CX35)+'LINEST VARS'!$A$52*(0.5*$CX35)</f>
        <v>4.4499999999999984</v>
      </c>
      <c r="DC35" s="51">
        <f>'LINEST VARS'!$U$52+'LINEST VARS'!$T$52*(8)+'LINEST VARS'!$S$52*(8)+'LINEST VARS'!$R$52*($DC$32)+'LINEST VARS'!$Q$52*(0.5)+'LINEST VARS'!$P$52*($CX35)+'LINEST VARS'!$O$52*(8^2)+'LINEST VARS'!$N$52*(8^2)+'LINEST VARS'!$M$52*($DC$32^2)+'LINEST VARS'!$L$52*(0.5^2)+'LINEST VARS'!$K$52*($CX35^2)+'LINEST VARS'!$J$52*(8*8)+'LINEST VARS'!$I$52*(8*$DC$32)+'LINEST VARS'!$H$52*(8*0.5)+'LINEST VARS'!$G$52*(8*$CX35)+'LINEST VARS'!$F$52*(8*$DC$32)+'LINEST VARS'!$E$52*(8*0.5)+'LINEST VARS'!$D$52*(8*$CX35)+'LINEST VARS'!$C$52*($DC$32*0.5)+'LINEST VARS'!$B$52*($DC$32*$CX35)+'LINEST VARS'!$A$52*(0.5*$CX35)</f>
        <v>4.4499999999999984</v>
      </c>
      <c r="DD35" s="51">
        <f>'LINEST VARS'!$U$52+'LINEST VARS'!$T$52*(8)+'LINEST VARS'!$S$52*(8)+'LINEST VARS'!$R$52*($DD$32)+'LINEST VARS'!$Q$52*(0.5)+'LINEST VARS'!$P$52*($CX35)+'LINEST VARS'!$O$52*(8^2)+'LINEST VARS'!$N$52*(8^2)+'LINEST VARS'!$M$52*($DD$32^2)+'LINEST VARS'!$L$52*(0.5^2)+'LINEST VARS'!$K$52*($CX35^2)+'LINEST VARS'!$J$52*(8*8)+'LINEST VARS'!$I$52*(8*$DD$32)+'LINEST VARS'!$H$52*(8*0.5)+'LINEST VARS'!$G$52*(8*$CX35)+'LINEST VARS'!$F$52*(8*$DD$32)+'LINEST VARS'!$E$52*(8*0.5)+'LINEST VARS'!$D$52*(8*$CX35)+'LINEST VARS'!$C$52*($DD$32*0.5)+'LINEST VARS'!$B$52*($DD$32*$CX35)+'LINEST VARS'!$A$52*(0.5*$CX35)</f>
        <v>4.4499999999999984</v>
      </c>
      <c r="DE35" s="51">
        <f>'LINEST VARS'!$U$52+'LINEST VARS'!$T$52*(8)+'LINEST VARS'!$S$52*(8)+'LINEST VARS'!$R$52*($DE$32)+'LINEST VARS'!$Q$52*(0.5)+'LINEST VARS'!$P$52*($CX35)+'LINEST VARS'!$O$52*(8^2)+'LINEST VARS'!$N$52*(8^2)+'LINEST VARS'!$M$52*($DE$32^2)+'LINEST VARS'!$L$52*(0.5^2)+'LINEST VARS'!$K$52*($CX35^2)+'LINEST VARS'!$J$52*(8*8)+'LINEST VARS'!$I$52*(8*$DE$32)+'LINEST VARS'!$H$52*(8*0.5)+'LINEST VARS'!$G$52*(8*$CX35)+'LINEST VARS'!$F$52*(8*$DE$32)+'LINEST VARS'!$E$52*(8*0.5)+'LINEST VARS'!$D$52*(8*$CX35)+'LINEST VARS'!$C$52*($DE$32*0.5)+'LINEST VARS'!$B$52*($DE$32*$CX35)+'LINEST VARS'!$A$52*(0.5*$CX35)</f>
        <v>4.4499999999999984</v>
      </c>
      <c r="DF35" s="51">
        <f>'LINEST VARS'!$U$52+'LINEST VARS'!$T$52*(8)+'LINEST VARS'!$S$52*(8)+'LINEST VARS'!$R$52*($DF$32)+'LINEST VARS'!$Q$52*(0.5)+'LINEST VARS'!$P$52*($CX35)+'LINEST VARS'!$O$52*(8^2)+'LINEST VARS'!$N$52*(8^2)+'LINEST VARS'!$M$52*($DF$32^2)+'LINEST VARS'!$L$52*(0.5^2)+'LINEST VARS'!$K$52*($CX35^2)+'LINEST VARS'!$J$52*(8*8)+'LINEST VARS'!$I$52*(8*$DF$32)+'LINEST VARS'!$H$52*(8*0.5)+'LINEST VARS'!$G$52*(8*$CX35)+'LINEST VARS'!$F$52*(8*$DF$32)+'LINEST VARS'!$E$52*(8*0.5)+'LINEST VARS'!$D$52*(8*$CX35)+'LINEST VARS'!$C$52*($DF$32*0.5)+'LINEST VARS'!$B$52*($DF$32*$CX35)+'LINEST VARS'!$A$52*(0.5*$CX35)</f>
        <v>4.4499999999999984</v>
      </c>
      <c r="DG35" s="51">
        <f>'LINEST VARS'!$U$52+'LINEST VARS'!$T$52*(8)+'LINEST VARS'!$S$52*(8)+'LINEST VARS'!$R$52*($DG$32)+'LINEST VARS'!$Q$52*(0.5)+'LINEST VARS'!$P$52*($CX35)+'LINEST VARS'!$O$52*(8^2)+'LINEST VARS'!$N$52*(8^2)+'LINEST VARS'!$M$52*($DG$32^2)+'LINEST VARS'!$L$52*(0.5^2)+'LINEST VARS'!$K$52*($CX35^2)+'LINEST VARS'!$J$52*(8*8)+'LINEST VARS'!$I$52*(8*$DG$32)+'LINEST VARS'!$H$52*(8*0.5)+'LINEST VARS'!$G$52*(8*$CX35)+'LINEST VARS'!$F$52*(8*$DG$32)+'LINEST VARS'!$E$52*(8*0.5)+'LINEST VARS'!$D$52*(8*$CX35)+'LINEST VARS'!$C$52*($DG$32*0.5)+'LINEST VARS'!$B$52*($DG$32*$CX35)+'LINEST VARS'!$A$52*(0.5*$CX35)</f>
        <v>4.4499999999999984</v>
      </c>
      <c r="DH35" s="51">
        <f>'LINEST VARS'!$U$52+'LINEST VARS'!$T$52*(8)+'LINEST VARS'!$S$52*(8)+'LINEST VARS'!$R$52*($DH$32)+'LINEST VARS'!$Q$52*(0.5)+'LINEST VARS'!$P$52*($CX35)+'LINEST VARS'!$O$52*(8^2)+'LINEST VARS'!$N$52*(8^2)+'LINEST VARS'!$M$52*($DH$32^2)+'LINEST VARS'!$L$52*(0.5^2)+'LINEST VARS'!$K$52*($CX35^2)+'LINEST VARS'!$J$52*(8*8)+'LINEST VARS'!$I$52*(8*$DH$32)+'LINEST VARS'!$H$52*(8*0.5)+'LINEST VARS'!$G$52*(8*$CX35)+'LINEST VARS'!$F$52*(8*$DH$32)+'LINEST VARS'!$E$52*(8*0.5)+'LINEST VARS'!$D$52*(8*$CX35)+'LINEST VARS'!$C$52*($DH$32*0.5)+'LINEST VARS'!$B$52*($DH$32*$CX35)+'LINEST VARS'!$A$52*(0.5*$CX35)</f>
        <v>4.4499999999999984</v>
      </c>
      <c r="DI35" s="51">
        <f>'LINEST VARS'!$U$52+'LINEST VARS'!$T$52*(8)+'LINEST VARS'!$S$52*(8)+'LINEST VARS'!$R$52*($DI$32)+'LINEST VARS'!$Q$52*(0.5)+'LINEST VARS'!$P$52*($CX35)+'LINEST VARS'!$O$52*(8^2)+'LINEST VARS'!$N$52*(8^2)+'LINEST VARS'!$M$52*($DI$32^2)+'LINEST VARS'!$L$52*(0.5^2)+'LINEST VARS'!$K$52*($CX35^2)+'LINEST VARS'!$J$52*(8*8)+'LINEST VARS'!$I$52*(8*$DI$32)+'LINEST VARS'!$H$52*(8*0.5)+'LINEST VARS'!$G$52*(8*$CX35)+'LINEST VARS'!$F$52*(8*$DI$32)+'LINEST VARS'!$E$52*(8*0.5)+'LINEST VARS'!$D$52*(8*$CX35)+'LINEST VARS'!$C$52*($DI$32*0.5)+'LINEST VARS'!$B$52*($DI$32*$CX35)+'LINEST VARS'!$A$52*(0.5*$CX35)</f>
        <v>4.4499999999999984</v>
      </c>
      <c r="DJ35" s="51">
        <f>'LINEST VARS'!$U$52+'LINEST VARS'!$T$52*(8)+'LINEST VARS'!$S$52*(8)+'LINEST VARS'!$R$52*($DJ$32)+'LINEST VARS'!$Q$52*(0.5)+'LINEST VARS'!$P$52*($CX35)+'LINEST VARS'!$O$52*(8^2)+'LINEST VARS'!$N$52*(8^2)+'LINEST VARS'!$M$52*($DJ$32^2)+'LINEST VARS'!$L$52*(0.5^2)+'LINEST VARS'!$K$52*($CX35^2)+'LINEST VARS'!$J$52*(8*8)+'LINEST VARS'!$I$52*(8*$DJ$32)+'LINEST VARS'!$H$52*(8*0.5)+'LINEST VARS'!$G$52*(8*$CX35)+'LINEST VARS'!$F$52*(8*$DJ$32)+'LINEST VARS'!$E$52*(8*0.5)+'LINEST VARS'!$D$52*(8*$CX35)+'LINEST VARS'!$C$52*($DJ$32*0.5)+'LINEST VARS'!$B$52*($DJ$32*$CX35)+'LINEST VARS'!$A$52*(0.5*$CX35)</f>
        <v>4.4499999999999984</v>
      </c>
      <c r="DK35" s="51">
        <f>'LINEST VARS'!$U$52+'LINEST VARS'!$T$52*(8)+'LINEST VARS'!$S$52*(8)+'LINEST VARS'!$R$52*($DK$32)+'LINEST VARS'!$Q$52*(0.5)+'LINEST VARS'!$P$52*($CX35)+'LINEST VARS'!$O$52*(8^2)+'LINEST VARS'!$N$52*(8^2)+'LINEST VARS'!$M$52*($DK$32^2)+'LINEST VARS'!$L$52*(0.5^2)+'LINEST VARS'!$K$52*($CX35^2)+'LINEST VARS'!$J$52*(8*8)+'LINEST VARS'!$I$52*(8*$DK$32)+'LINEST VARS'!$H$52*(8*0.5)+'LINEST VARS'!$G$52*(8*$CX35)+'LINEST VARS'!$F$52*(8*$DK$32)+'LINEST VARS'!$E$52*(8*0.5)+'LINEST VARS'!$D$52*(8*$CX35)+'LINEST VARS'!$C$52*($DK$32*0.5)+'LINEST VARS'!$B$52*($DK$32*$CX35)+'LINEST VARS'!$A$52*(0.5*$CX35)</f>
        <v>4.4499999999999984</v>
      </c>
      <c r="DL35" s="51">
        <f>'LINEST VARS'!$U$52+'LINEST VARS'!$T$52*(8)+'LINEST VARS'!$S$52*(8)+'LINEST VARS'!$R$52*($DL$32)+'LINEST VARS'!$Q$52*(0.5)+'LINEST VARS'!$P$52*($CX35)+'LINEST VARS'!$O$52*(8^2)+'LINEST VARS'!$N$52*(8^2)+'LINEST VARS'!$M$52*($DL$32^2)+'LINEST VARS'!$L$52*(0.5^2)+'LINEST VARS'!$K$52*($CX35^2)+'LINEST VARS'!$J$52*(8*8)+'LINEST VARS'!$I$52*(8*$DL$32)+'LINEST VARS'!$H$52*(8*0.5)+'LINEST VARS'!$G$52*(8*$CX35)+'LINEST VARS'!$F$52*(8*$DL$32)+'LINEST VARS'!$E$52*(8*0.5)+'LINEST VARS'!$D$52*(8*$CX35)+'LINEST VARS'!$C$52*($DL$32*0.5)+'LINEST VARS'!$B$52*($DL$32*$CX35)+'LINEST VARS'!$A$52*(0.5*$CX35)</f>
        <v>4.4499999999999984</v>
      </c>
      <c r="DM35" s="51">
        <f>'LINEST VARS'!$U$52+'LINEST VARS'!$T$52*(8)+'LINEST VARS'!$S$52*(8)+'LINEST VARS'!$R$52*($DM$32)+'LINEST VARS'!$Q$52*(0.5)+'LINEST VARS'!$P$52*($CX35)+'LINEST VARS'!$O$52*(8^2)+'LINEST VARS'!$N$52*(8^2)+'LINEST VARS'!$M$52*($DM$32^2)+'LINEST VARS'!$L$52*(0.5^2)+'LINEST VARS'!$K$52*($CX35^2)+'LINEST VARS'!$J$52*(8*8)+'LINEST VARS'!$I$52*(8*$DM$32)+'LINEST VARS'!$H$52*(8*0.5)+'LINEST VARS'!$G$52*(8*$CX35)+'LINEST VARS'!$F$52*(8*$DM$32)+'LINEST VARS'!$E$52*(8*0.5)+'LINEST VARS'!$D$52*(8*$CX35)+'LINEST VARS'!$C$52*($DM$32*0.5)+'LINEST VARS'!$B$52*($DM$32*$CX35)+'LINEST VARS'!$A$52*(0.5*$CX35)</f>
        <v>4.4499999999999984</v>
      </c>
      <c r="DN35" s="51">
        <f>'LINEST VARS'!$U$52+'LINEST VARS'!$T$52*(8)+'LINEST VARS'!$S$52*(8)+'LINEST VARS'!$R$52*($DN$32)+'LINEST VARS'!$Q$52*(0.5)+'LINEST VARS'!$P$52*($CX35)+'LINEST VARS'!$O$52*(8^2)+'LINEST VARS'!$N$52*(8^2)+'LINEST VARS'!$M$52*($DN$32^2)+'LINEST VARS'!$L$52*(0.5^2)+'LINEST VARS'!$K$52*($CX35^2)+'LINEST VARS'!$J$52*(8*8)+'LINEST VARS'!$I$52*(8*$DN$32)+'LINEST VARS'!$H$52*(8*0.5)+'LINEST VARS'!$G$52*(8*$CX35)+'LINEST VARS'!$F$52*(8*$DN$32)+'LINEST VARS'!$E$52*(8*0.5)+'LINEST VARS'!$D$52*(8*$CX35)+'LINEST VARS'!$C$52*($DN$32*0.5)+'LINEST VARS'!$B$52*($DN$32*$CX35)+'LINEST VARS'!$A$52*(0.5*$CX35)</f>
        <v>4.4499999999999984</v>
      </c>
      <c r="DO35" s="51">
        <f>'LINEST VARS'!$U$52+'LINEST VARS'!$T$52*(8)+'LINEST VARS'!$S$52*(8)+'LINEST VARS'!$R$52*($DO$32)+'LINEST VARS'!$Q$52*(0.5)+'LINEST VARS'!$P$52*($CX35)+'LINEST VARS'!$O$52*(8^2)+'LINEST VARS'!$N$52*(8^2)+'LINEST VARS'!$M$52*($DO$32^2)+'LINEST VARS'!$L$52*(0.5^2)+'LINEST VARS'!$K$52*($CX35^2)+'LINEST VARS'!$J$52*(8*8)+'LINEST VARS'!$I$52*(8*$DO$32)+'LINEST VARS'!$H$52*(8*0.5)+'LINEST VARS'!$G$52*(8*$CX35)+'LINEST VARS'!$F$52*(8*$DO$32)+'LINEST VARS'!$E$52*(8*0.5)+'LINEST VARS'!$D$52*(8*$CX35)+'LINEST VARS'!$C$52*($DO$32*0.5)+'LINEST VARS'!$B$52*($DO$32*$CX35)+'LINEST VARS'!$A$52*(0.5*$CX35)</f>
        <v>4.4499999999999984</v>
      </c>
      <c r="DP35" s="51">
        <f>'LINEST VARS'!$U$52+'LINEST VARS'!$T$52*(8)+'LINEST VARS'!$S$52*(8)+'LINEST VARS'!$R$52*($DP$32)+'LINEST VARS'!$Q$52*(0.5)+'LINEST VARS'!$P$52*($CX35)+'LINEST VARS'!$O$52*(8^2)+'LINEST VARS'!$N$52*(8^2)+'LINEST VARS'!$M$52*($DP$32^2)+'LINEST VARS'!$L$52*(0.5^2)+'LINEST VARS'!$K$52*($CX35^2)+'LINEST VARS'!$J$52*(8*8)+'LINEST VARS'!$I$52*(8*$DP$32)+'LINEST VARS'!$H$52*(8*0.5)+'LINEST VARS'!$G$52*(8*$CX35)+'LINEST VARS'!$F$52*(8*$DP$32)+'LINEST VARS'!$E$52*(8*0.5)+'LINEST VARS'!$D$52*(8*$CX35)+'LINEST VARS'!$C$52*($DP$32*0.5)+'LINEST VARS'!$B$52*($DP$32*$CX35)+'LINEST VARS'!$A$52*(0.5*$CX35)</f>
        <v>4.4499999999999984</v>
      </c>
      <c r="DQ35" s="51">
        <f>'LINEST VARS'!$U$52+'LINEST VARS'!$T$52*(8)+'LINEST VARS'!$S$52*(8)+'LINEST VARS'!$R$52*($DQ$32)+'LINEST VARS'!$Q$52*(0.5)+'LINEST VARS'!$P$52*($CX35)+'LINEST VARS'!$O$52*(8^2)+'LINEST VARS'!$N$52*(8^2)+'LINEST VARS'!$M$52*($DQ$32^2)+'LINEST VARS'!$L$52*(0.5^2)+'LINEST VARS'!$K$52*($CX35^2)+'LINEST VARS'!$J$52*(8*8)+'LINEST VARS'!$I$52*(8*$DQ$32)+'LINEST VARS'!$H$52*(8*0.5)+'LINEST VARS'!$G$52*(8*$CX35)+'LINEST VARS'!$F$52*(8*$DQ$32)+'LINEST VARS'!$E$52*(8*0.5)+'LINEST VARS'!$D$52*(8*$CX35)+'LINEST VARS'!$C$52*($DQ$32*0.5)+'LINEST VARS'!$B$52*($DQ$32*$CX35)+'LINEST VARS'!$A$52*(0.5*$CX35)</f>
        <v>4.4499999999999984</v>
      </c>
      <c r="DR35" s="51">
        <f>'LINEST VARS'!$U$52+'LINEST VARS'!$T$52*(8)+'LINEST VARS'!$S$52*(8)+'LINEST VARS'!$R$52*($DR$32)+'LINEST VARS'!$Q$52*(0.5)+'LINEST VARS'!$P$52*($CX35)+'LINEST VARS'!$O$52*(8^2)+'LINEST VARS'!$N$52*(8^2)+'LINEST VARS'!$M$52*($DR$32^2)+'LINEST VARS'!$L$52*(0.5^2)+'LINEST VARS'!$K$52*($CX35^2)+'LINEST VARS'!$J$52*(8*8)+'LINEST VARS'!$I$52*(8*$DR$32)+'LINEST VARS'!$H$52*(8*0.5)+'LINEST VARS'!$G$52*(8*$CX35)+'LINEST VARS'!$F$52*(8*$DR$32)+'LINEST VARS'!$E$52*(8*0.5)+'LINEST VARS'!$D$52*(8*$CX35)+'LINEST VARS'!$C$52*($DR$32*0.5)+'LINEST VARS'!$B$52*($DR$32*$CX35)+'LINEST VARS'!$A$52*(0.5*$CX35)</f>
        <v>4.4499999999999984</v>
      </c>
      <c r="DS35" s="52">
        <f>'LINEST VARS'!$U$52+'LINEST VARS'!$T$52*(8)+'LINEST VARS'!$S$52*(8)+'LINEST VARS'!$R$52*($DS$32)+'LINEST VARS'!$Q$52*(0.5)+'LINEST VARS'!$P$52*($CX35)+'LINEST VARS'!$O$52*(8^2)+'LINEST VARS'!$N$52*(8^2)+'LINEST VARS'!$M$52*($DS$32^2)+'LINEST VARS'!$L$52*(0.5^2)+'LINEST VARS'!$K$52*($CX35^2)+'LINEST VARS'!$J$52*(8*8)+'LINEST VARS'!$I$52*(8*$DS$32)+'LINEST VARS'!$H$52*(8*0.5)+'LINEST VARS'!$G$52*(8*$CX35)+'LINEST VARS'!$F$52*(8*$DS$32)+'LINEST VARS'!$E$52*(8*0.5)+'LINEST VARS'!$D$52*(8*$CX35)+'LINEST VARS'!$C$52*($DS$32*0.5)+'LINEST VARS'!$B$52*($DS$32*$CX35)+'LINEST VARS'!$A$52*(0.5*$CX35)</f>
        <v>4.4499999999999984</v>
      </c>
      <c r="DV35" s="45">
        <v>2.5990000000000002</v>
      </c>
      <c r="DW35" s="51">
        <f>'LINEST VARS'!$U$54+'LINEST VARS'!$T$54*(8)+'LINEST VARS'!$S$54*(8)+'LINEST VARS'!$R$54*($DW$32)+'LINEST VARS'!$Q$54*(0.5)+'LINEST VARS'!$P$54*($DV35)+'LINEST VARS'!$O$54*(8^2)+'LINEST VARS'!$N$54*(8^2)+'LINEST VARS'!$M$54*($DW$32^2)+'LINEST VARS'!$L$54*(0.5^2)+'LINEST VARS'!$K$54*($DV35^2)+'LINEST VARS'!$J$54*(8*8)+'LINEST VARS'!$I$54*(8*$DW$32)+'LINEST VARS'!$H$54*(8*0.5)+'LINEST VARS'!$G$54*(8*$DV35)+'LINEST VARS'!$F$54*(8*$DW$32)+'LINEST VARS'!$E$54*(8*0.5)+'LINEST VARS'!$D$54*(8*$DV35)+'LINEST VARS'!$C$54*($DW$32*0.5)+'LINEST VARS'!$B$54*($DW$32*$DV35)+'LINEST VARS'!$A$54*(0.5*$DV35)</f>
        <v>3.9749999999999996</v>
      </c>
      <c r="DX35" s="51">
        <f>'LINEST VARS'!$U$54+'LINEST VARS'!$T$54*(8)+'LINEST VARS'!$S$54*(8)+'LINEST VARS'!$R$54*($DX$32)+'LINEST VARS'!$Q$54*(0.5)+'LINEST VARS'!$P$54*($DV35)+'LINEST VARS'!$O$54*(8^2)+'LINEST VARS'!$N$54*(8^2)+'LINEST VARS'!$M$54*($DX$32^2)+'LINEST VARS'!$L$54*(0.5^2)+'LINEST VARS'!$K$54*($DV35^2)+'LINEST VARS'!$J$54*(8*8)+'LINEST VARS'!$I$54*(8*$DX$32)+'LINEST VARS'!$H$54*(8*0.5)+'LINEST VARS'!$G$54*(8*$DV35)+'LINEST VARS'!$F$54*(8*$DX$32)+'LINEST VARS'!$E$54*(8*0.5)+'LINEST VARS'!$D$54*(8*$DV35)+'LINEST VARS'!$C$54*($DX$32*0.5)+'LINEST VARS'!$B$54*($DX$32*$DV35)+'LINEST VARS'!$A$54*(0.5*$DV35)</f>
        <v>3.9749999999999996</v>
      </c>
      <c r="DY35" s="51">
        <f>'LINEST VARS'!$U$54+'LINEST VARS'!$T$54*(8)+'LINEST VARS'!$S$54*(8)+'LINEST VARS'!$R$54*($DY$32)+'LINEST VARS'!$Q$54*(0.5)+'LINEST VARS'!$P$54*($DV35)+'LINEST VARS'!$O$54*(8^2)+'LINEST VARS'!$N$54*(8^2)+'LINEST VARS'!$M$54*($DY$32^2)+'LINEST VARS'!$L$54*(0.5^2)+'LINEST VARS'!$K$54*($DV35^2)+'LINEST VARS'!$J$54*(8*8)+'LINEST VARS'!$I$54*(8*$DY$32)+'LINEST VARS'!$H$54*(8*0.5)+'LINEST VARS'!$G$54*(8*$DV35)+'LINEST VARS'!$F$54*(8*$DY$32)+'LINEST VARS'!$E$54*(8*0.5)+'LINEST VARS'!$D$54*(8*$DV35)+'LINEST VARS'!$C$54*($DY$32*0.5)+'LINEST VARS'!$B$54*($DY$32*$DV35)+'LINEST VARS'!$A$54*(0.5*$DV35)</f>
        <v>3.9749999999999996</v>
      </c>
      <c r="DZ35" s="51">
        <f>'LINEST VARS'!$U$54+'LINEST VARS'!$T$54*(8)+'LINEST VARS'!$S$54*(8)+'LINEST VARS'!$R$54*($DZ$32)+'LINEST VARS'!$Q$54*(0.5)+'LINEST VARS'!$P$54*($DV35)+'LINEST VARS'!$O$54*(8^2)+'LINEST VARS'!$N$54*(8^2)+'LINEST VARS'!$M$54*($DZ$32^2)+'LINEST VARS'!$L$54*(0.5^2)+'LINEST VARS'!$K$54*($DV35^2)+'LINEST VARS'!$J$54*(8*8)+'LINEST VARS'!$I$54*(8*$DZ$32)+'LINEST VARS'!$H$54*(8*0.5)+'LINEST VARS'!$G$54*(8*$DV35)+'LINEST VARS'!$F$54*(8*$DZ$32)+'LINEST VARS'!$E$54*(8*0.5)+'LINEST VARS'!$D$54*(8*$DV35)+'LINEST VARS'!$C$54*($DZ$32*0.5)+'LINEST VARS'!$B$54*($DZ$32*$DV35)+'LINEST VARS'!$A$54*(0.5*$DV35)</f>
        <v>3.9749999999999996</v>
      </c>
      <c r="EA35" s="51">
        <f>'LINEST VARS'!$U$54+'LINEST VARS'!$T$54*(8)+'LINEST VARS'!$S$54*(8)+'LINEST VARS'!$R$54*($EA$32)+'LINEST VARS'!$Q$54*(0.5)+'LINEST VARS'!$P$54*($DV35)+'LINEST VARS'!$O$54*(8^2)+'LINEST VARS'!$N$54*(8^2)+'LINEST VARS'!$M$54*($EA$32^2)+'LINEST VARS'!$L$54*(0.5^2)+'LINEST VARS'!$K$54*($DV35^2)+'LINEST VARS'!$J$54*(8*8)+'LINEST VARS'!$I$54*(8*$EA$32)+'LINEST VARS'!$H$54*(8*0.5)+'LINEST VARS'!$G$54*(8*$DV35)+'LINEST VARS'!$F$54*(8*$EA$32)+'LINEST VARS'!$E$54*(8*0.5)+'LINEST VARS'!$D$54*(8*$DV35)+'LINEST VARS'!$C$54*($EA$32*0.5)+'LINEST VARS'!$B$54*($EA$32*$DV35)+'LINEST VARS'!$A$54*(0.5*$DV35)</f>
        <v>3.9749999999999996</v>
      </c>
      <c r="EB35" s="51">
        <f>'LINEST VARS'!$U$54+'LINEST VARS'!$T$54*(8)+'LINEST VARS'!$S$54*(8)+'LINEST VARS'!$R$54*($EB$32)+'LINEST VARS'!$Q$54*(0.5)+'LINEST VARS'!$P$54*($DV35)+'LINEST VARS'!$O$54*(8^2)+'LINEST VARS'!$N$54*(8^2)+'LINEST VARS'!$M$54*($EB$32^2)+'LINEST VARS'!$L$54*(0.5^2)+'LINEST VARS'!$K$54*($DV35^2)+'LINEST VARS'!$J$54*(8*8)+'LINEST VARS'!$I$54*(8*$EB$32)+'LINEST VARS'!$H$54*(8*0.5)+'LINEST VARS'!$G$54*(8*$DV35)+'LINEST VARS'!$F$54*(8*$EB$32)+'LINEST VARS'!$E$54*(8*0.5)+'LINEST VARS'!$D$54*(8*$DV35)+'LINEST VARS'!$C$54*($EB$32*0.5)+'LINEST VARS'!$B$54*($EB$32*$DV35)+'LINEST VARS'!$A$54*(0.5*$DV35)</f>
        <v>3.9749999999999996</v>
      </c>
      <c r="EC35" s="51">
        <f>'LINEST VARS'!$U$54+'LINEST VARS'!$T$54*(8)+'LINEST VARS'!$S$54*(8)+'LINEST VARS'!$R$54*($EC$32)+'LINEST VARS'!$Q$54*(0.5)+'LINEST VARS'!$P$54*($DV35)+'LINEST VARS'!$O$54*(8^2)+'LINEST VARS'!$N$54*(8^2)+'LINEST VARS'!$M$54*($EC$32^2)+'LINEST VARS'!$L$54*(0.5^2)+'LINEST VARS'!$K$54*($DV35^2)+'LINEST VARS'!$J$54*(8*8)+'LINEST VARS'!$I$54*(8*$EC$32)+'LINEST VARS'!$H$54*(8*0.5)+'LINEST VARS'!$G$54*(8*$DV35)+'LINEST VARS'!$F$54*(8*$EC$32)+'LINEST VARS'!$E$54*(8*0.5)+'LINEST VARS'!$D$54*(8*$DV35)+'LINEST VARS'!$C$54*($EC$32*0.5)+'LINEST VARS'!$B$54*($EC$32*$DV35)+'LINEST VARS'!$A$54*(0.5*$DV35)</f>
        <v>3.9749999999999996</v>
      </c>
      <c r="ED35" s="51">
        <f>'LINEST VARS'!$U$54+'LINEST VARS'!$T$54*(8)+'LINEST VARS'!$S$54*(8)+'LINEST VARS'!$R$54*($ED$32)+'LINEST VARS'!$Q$54*(0.5)+'LINEST VARS'!$P$54*($DV35)+'LINEST VARS'!$O$54*(8^2)+'LINEST VARS'!$N$54*(8^2)+'LINEST VARS'!$M$54*($ED$32^2)+'LINEST VARS'!$L$54*(0.5^2)+'LINEST VARS'!$K$54*($DV35^2)+'LINEST VARS'!$J$54*(8*8)+'LINEST VARS'!$I$54*(8*$ED$32)+'LINEST VARS'!$H$54*(8*0.5)+'LINEST VARS'!$G$54*(8*$DV35)+'LINEST VARS'!$F$54*(8*$ED$32)+'LINEST VARS'!$E$54*(8*0.5)+'LINEST VARS'!$D$54*(8*$DV35)+'LINEST VARS'!$C$54*($ED$32*0.5)+'LINEST VARS'!$B$54*($ED$32*$DV35)+'LINEST VARS'!$A$54*(0.5*$DV35)</f>
        <v>3.9749999999999996</v>
      </c>
      <c r="EE35" s="51">
        <f>'LINEST VARS'!$U$54+'LINEST VARS'!$T$54*(8)+'LINEST VARS'!$S$54*(8)+'LINEST VARS'!$R$54*($EE$32)+'LINEST VARS'!$Q$54*(0.5)+'LINEST VARS'!$P$54*($DV35)+'LINEST VARS'!$O$54*(8^2)+'LINEST VARS'!$N$54*(8^2)+'LINEST VARS'!$M$54*($EE$32^2)+'LINEST VARS'!$L$54*(0.5^2)+'LINEST VARS'!$K$54*($DV35^2)+'LINEST VARS'!$J$54*(8*8)+'LINEST VARS'!$I$54*(8*$EE$32)+'LINEST VARS'!$H$54*(8*0.5)+'LINEST VARS'!$G$54*(8*$DV35)+'LINEST VARS'!$F$54*(8*$EE$32)+'LINEST VARS'!$E$54*(8*0.5)+'LINEST VARS'!$D$54*(8*$DV35)+'LINEST VARS'!$C$54*($EE$32*0.5)+'LINEST VARS'!$B$54*($EE$32*$DV35)+'LINEST VARS'!$A$54*(0.5*$DV35)</f>
        <v>3.9749999999999996</v>
      </c>
      <c r="EF35" s="51">
        <f>'LINEST VARS'!$U$54+'LINEST VARS'!$T$54*(8)+'LINEST VARS'!$S$54*(8)+'LINEST VARS'!$R$54*($EF$32)+'LINEST VARS'!$Q$54*(0.5)+'LINEST VARS'!$P$54*($DV35)+'LINEST VARS'!$O$54*(8^2)+'LINEST VARS'!$N$54*(8^2)+'LINEST VARS'!$M$54*($EF$32^2)+'LINEST VARS'!$L$54*(0.5^2)+'LINEST VARS'!$K$54*($DV35^2)+'LINEST VARS'!$J$54*(8*8)+'LINEST VARS'!$I$54*(8*$EF$32)+'LINEST VARS'!$H$54*(8*0.5)+'LINEST VARS'!$G$54*(8*$DV35)+'LINEST VARS'!$F$54*(8*$EF$32)+'LINEST VARS'!$E$54*(8*0.5)+'LINEST VARS'!$D$54*(8*$DV35)+'LINEST VARS'!$C$54*($EF$32*0.5)+'LINEST VARS'!$B$54*($EF$32*$DV35)+'LINEST VARS'!$A$54*(0.5*$DV35)</f>
        <v>3.9749999999999996</v>
      </c>
      <c r="EG35" s="51">
        <f>'LINEST VARS'!$U$54+'LINEST VARS'!$T$54*(8)+'LINEST VARS'!$S$54*(8)+'LINEST VARS'!$R$54*($EG$32)+'LINEST VARS'!$Q$54*(0.5)+'LINEST VARS'!$P$54*($DV35)+'LINEST VARS'!$O$54*(8^2)+'LINEST VARS'!$N$54*(8^2)+'LINEST VARS'!$M$54*($EG$32^2)+'LINEST VARS'!$L$54*(0.5^2)+'LINEST VARS'!$K$54*($DV35^2)+'LINEST VARS'!$J$54*(8*8)+'LINEST VARS'!$I$54*(8*$EG$32)+'LINEST VARS'!$H$54*(8*0.5)+'LINEST VARS'!$G$54*(8*$DV35)+'LINEST VARS'!$F$54*(8*$EG$32)+'LINEST VARS'!$E$54*(8*0.5)+'LINEST VARS'!$D$54*(8*$DV35)+'LINEST VARS'!$C$54*($EG$32*0.5)+'LINEST VARS'!$B$54*($EG$32*$DV35)+'LINEST VARS'!$A$54*(0.5*$DV35)</f>
        <v>3.9749999999999996</v>
      </c>
      <c r="EH35" s="51">
        <f>'LINEST VARS'!$U$54+'LINEST VARS'!$T$54*(8)+'LINEST VARS'!$S$54*(8)+'LINEST VARS'!$R$54*($EH$32)+'LINEST VARS'!$Q$54*(0.5)+'LINEST VARS'!$P$54*($DV35)+'LINEST VARS'!$O$54*(8^2)+'LINEST VARS'!$N$54*(8^2)+'LINEST VARS'!$M$54*($EH$32^2)+'LINEST VARS'!$L$54*(0.5^2)+'LINEST VARS'!$K$54*($DV35^2)+'LINEST VARS'!$J$54*(8*8)+'LINEST VARS'!$I$54*(8*$EH$32)+'LINEST VARS'!$H$54*(8*0.5)+'LINEST VARS'!$G$54*(8*$DV35)+'LINEST VARS'!$F$54*(8*$EH$32)+'LINEST VARS'!$E$54*(8*0.5)+'LINEST VARS'!$D$54*(8*$DV35)+'LINEST VARS'!$C$54*($EH$32*0.5)+'LINEST VARS'!$B$54*($EH$32*$DV35)+'LINEST VARS'!$A$54*(0.5*$DV35)</f>
        <v>3.9749999999999996</v>
      </c>
      <c r="EI35" s="51">
        <f>'LINEST VARS'!$U$54+'LINEST VARS'!$T$54*(8)+'LINEST VARS'!$S$54*(8)+'LINEST VARS'!$R$54*($EI$32)+'LINEST VARS'!$Q$54*(0.5)+'LINEST VARS'!$P$54*($DV35)+'LINEST VARS'!$O$54*(8^2)+'LINEST VARS'!$N$54*(8^2)+'LINEST VARS'!$M$54*($EI$32^2)+'LINEST VARS'!$L$54*(0.5^2)+'LINEST VARS'!$K$54*($DV35^2)+'LINEST VARS'!$J$54*(8*8)+'LINEST VARS'!$I$54*(8*$EI$32)+'LINEST VARS'!$H$54*(8*0.5)+'LINEST VARS'!$G$54*(8*$DV35)+'LINEST VARS'!$F$54*(8*$EI$32)+'LINEST VARS'!$E$54*(8*0.5)+'LINEST VARS'!$D$54*(8*$DV35)+'LINEST VARS'!$C$54*($EI$32*0.5)+'LINEST VARS'!$B$54*($EI$32*$DV35)+'LINEST VARS'!$A$54*(0.5*$DV35)</f>
        <v>3.9749999999999996</v>
      </c>
      <c r="EJ35" s="51">
        <f>'LINEST VARS'!$U$54+'LINEST VARS'!$T$54*(8)+'LINEST VARS'!$S$54*(8)+'LINEST VARS'!$R$54*($EJ$32)+'LINEST VARS'!$Q$54*(0.5)+'LINEST VARS'!$P$54*($DV35)+'LINEST VARS'!$O$54*(8^2)+'LINEST VARS'!$N$54*(8^2)+'LINEST VARS'!$M$54*($EJ$32^2)+'LINEST VARS'!$L$54*(0.5^2)+'LINEST VARS'!$K$54*($DV35^2)+'LINEST VARS'!$J$54*(8*8)+'LINEST VARS'!$I$54*(8*$EJ$32)+'LINEST VARS'!$H$54*(8*0.5)+'LINEST VARS'!$G$54*(8*$DV35)+'LINEST VARS'!$F$54*(8*$EJ$32)+'LINEST VARS'!$E$54*(8*0.5)+'LINEST VARS'!$D$54*(8*$DV35)+'LINEST VARS'!$C$54*($EJ$32*0.5)+'LINEST VARS'!$B$54*($EJ$32*$DV35)+'LINEST VARS'!$A$54*(0.5*$DV35)</f>
        <v>3.9749999999999996</v>
      </c>
      <c r="EK35" s="51">
        <f>'LINEST VARS'!$U$54+'LINEST VARS'!$T$54*(8)+'LINEST VARS'!$S$54*(8)+'LINEST VARS'!$R$54*($EK$32)+'LINEST VARS'!$Q$54*(0.5)+'LINEST VARS'!$P$54*($DV35)+'LINEST VARS'!$O$54*(8^2)+'LINEST VARS'!$N$54*(8^2)+'LINEST VARS'!$M$54*($EK$32^2)+'LINEST VARS'!$L$54*(0.5^2)+'LINEST VARS'!$K$54*($DV35^2)+'LINEST VARS'!$J$54*(8*8)+'LINEST VARS'!$I$54*(8*$EK$32)+'LINEST VARS'!$H$54*(8*0.5)+'LINEST VARS'!$G$54*(8*$DV35)+'LINEST VARS'!$F$54*(8*$EK$32)+'LINEST VARS'!$E$54*(8*0.5)+'LINEST VARS'!$D$54*(8*$DV35)+'LINEST VARS'!$C$54*($EK$32*0.5)+'LINEST VARS'!$B$54*($EK$32*$DV35)+'LINEST VARS'!$A$54*(0.5*$DV35)</f>
        <v>3.9749999999999996</v>
      </c>
      <c r="EL35" s="51">
        <f>'LINEST VARS'!$U$54+'LINEST VARS'!$T$54*(8)+'LINEST VARS'!$S$54*(8)+'LINEST VARS'!$R$54*($EL$32)+'LINEST VARS'!$Q$54*(0.5)+'LINEST VARS'!$P$54*($DV35)+'LINEST VARS'!$O$54*(8^2)+'LINEST VARS'!$N$54*(8^2)+'LINEST VARS'!$M$54*($EL$32^2)+'LINEST VARS'!$L$54*(0.5^2)+'LINEST VARS'!$K$54*($DV35^2)+'LINEST VARS'!$J$54*(8*8)+'LINEST VARS'!$I$54*(8*$EL$32)+'LINEST VARS'!$H$54*(8*0.5)+'LINEST VARS'!$G$54*(8*$DV35)+'LINEST VARS'!$F$54*(8*$EL$32)+'LINEST VARS'!$E$54*(8*0.5)+'LINEST VARS'!$D$54*(8*$DV35)+'LINEST VARS'!$C$54*($EL$32*0.5)+'LINEST VARS'!$B$54*($EL$32*$DV35)+'LINEST VARS'!$A$54*(0.5*$DV35)</f>
        <v>3.9749999999999996</v>
      </c>
      <c r="EM35" s="51">
        <f>'LINEST VARS'!$U$54+'LINEST VARS'!$T$54*(8)+'LINEST VARS'!$S$54*(8)+'LINEST VARS'!$R$54*($EM$32)+'LINEST VARS'!$Q$54*(0.5)+'LINEST VARS'!$P$54*($DV35)+'LINEST VARS'!$O$54*(8^2)+'LINEST VARS'!$N$54*(8^2)+'LINEST VARS'!$M$54*($EM$32^2)+'LINEST VARS'!$L$54*(0.5^2)+'LINEST VARS'!$K$54*($DV35^2)+'LINEST VARS'!$J$54*(8*8)+'LINEST VARS'!$I$54*(8*$EM$32)+'LINEST VARS'!$H$54*(8*0.5)+'LINEST VARS'!$G$54*(8*$DV35)+'LINEST VARS'!$F$54*(8*$EM$32)+'LINEST VARS'!$E$54*(8*0.5)+'LINEST VARS'!$D$54*(8*$DV35)+'LINEST VARS'!$C$54*($EM$32*0.5)+'LINEST VARS'!$B$54*($EM$32*$DV35)+'LINEST VARS'!$A$54*(0.5*$DV35)</f>
        <v>3.9749999999999996</v>
      </c>
      <c r="EN35" s="51">
        <f>'LINEST VARS'!$U$54+'LINEST VARS'!$T$54*(8)+'LINEST VARS'!$S$54*(8)+'LINEST VARS'!$R$54*($EN$32)+'LINEST VARS'!$Q$54*(0.5)+'LINEST VARS'!$P$54*($DV35)+'LINEST VARS'!$O$54*(8^2)+'LINEST VARS'!$N$54*(8^2)+'LINEST VARS'!$M$54*($EN$32^2)+'LINEST VARS'!$L$54*(0.5^2)+'LINEST VARS'!$K$54*($DV35^2)+'LINEST VARS'!$J$54*(8*8)+'LINEST VARS'!$I$54*(8*$EN$32)+'LINEST VARS'!$H$54*(8*0.5)+'LINEST VARS'!$G$54*(8*$DV35)+'LINEST VARS'!$F$54*(8*$EN$32)+'LINEST VARS'!$E$54*(8*0.5)+'LINEST VARS'!$D$54*(8*$DV35)+'LINEST VARS'!$C$54*($EN$32*0.5)+'LINEST VARS'!$B$54*($EN$32*$DV35)+'LINEST VARS'!$A$54*(0.5*$DV35)</f>
        <v>3.9749999999999996</v>
      </c>
      <c r="EO35" s="51">
        <f>'LINEST VARS'!$U$54+'LINEST VARS'!$T$54*(8)+'LINEST VARS'!$S$54*(8)+'LINEST VARS'!$R$54*($EO$32)+'LINEST VARS'!$Q$54*(0.5)+'LINEST VARS'!$P$54*($DV35)+'LINEST VARS'!$O$54*(8^2)+'LINEST VARS'!$N$54*(8^2)+'LINEST VARS'!$M$54*($EO$32^2)+'LINEST VARS'!$L$54*(0.5^2)+'LINEST VARS'!$K$54*($DV35^2)+'LINEST VARS'!$J$54*(8*8)+'LINEST VARS'!$I$54*(8*$EO$32)+'LINEST VARS'!$H$54*(8*0.5)+'LINEST VARS'!$G$54*(8*$DV35)+'LINEST VARS'!$F$54*(8*$EO$32)+'LINEST VARS'!$E$54*(8*0.5)+'LINEST VARS'!$D$54*(8*$DV35)+'LINEST VARS'!$C$54*($EO$32*0.5)+'LINEST VARS'!$B$54*($EO$32*$DV35)+'LINEST VARS'!$A$54*(0.5*$DV35)</f>
        <v>3.9749999999999996</v>
      </c>
      <c r="EP35" s="51">
        <f>'LINEST VARS'!$U$54+'LINEST VARS'!$T$54*(8)+'LINEST VARS'!$S$54*(8)+'LINEST VARS'!$R$54*($EP$32)+'LINEST VARS'!$Q$54*(0.5)+'LINEST VARS'!$P$54*($DV35)+'LINEST VARS'!$O$54*(8^2)+'LINEST VARS'!$N$54*(8^2)+'LINEST VARS'!$M$54*($EP$32^2)+'LINEST VARS'!$L$54*(0.5^2)+'LINEST VARS'!$K$54*($DV35^2)+'LINEST VARS'!$J$54*(8*8)+'LINEST VARS'!$I$54*(8*$EP$32)+'LINEST VARS'!$H$54*(8*0.5)+'LINEST VARS'!$G$54*(8*$DV35)+'LINEST VARS'!$F$54*(8*$EP$32)+'LINEST VARS'!$E$54*(8*0.5)+'LINEST VARS'!$D$54*(8*$DV35)+'LINEST VARS'!$C$54*($EP$32*0.5)+'LINEST VARS'!$B$54*($EP$32*$DV35)+'LINEST VARS'!$A$54*(0.5*$DV35)</f>
        <v>3.9749999999999996</v>
      </c>
      <c r="EQ35" s="52">
        <f>'LINEST VARS'!$U$54+'LINEST VARS'!$T$54*(8)+'LINEST VARS'!$S$54*(8)+'LINEST VARS'!$R$54*($EQ$32)+'LINEST VARS'!$Q$54*(0.5)+'LINEST VARS'!$P$54*($DV35)+'LINEST VARS'!$O$54*(8^2)+'LINEST VARS'!$N$54*(8^2)+'LINEST VARS'!$M$54*($EQ$32^2)+'LINEST VARS'!$L$54*(0.5^2)+'LINEST VARS'!$K$54*($DV35^2)+'LINEST VARS'!$J$54*(8*8)+'LINEST VARS'!$I$54*(8*$EQ$32)+'LINEST VARS'!$H$54*(8*0.5)+'LINEST VARS'!$G$54*(8*$DV35)+'LINEST VARS'!$F$54*(8*$EQ$32)+'LINEST VARS'!$E$54*(8*0.5)+'LINEST VARS'!$D$54*(8*$DV35)+'LINEST VARS'!$C$54*($EQ$32*0.5)+'LINEST VARS'!$B$54*($EQ$32*$DV35)+'LINEST VARS'!$A$54*(0.5*$DV35)</f>
        <v>3.9749999999999996</v>
      </c>
    </row>
    <row r="36" spans="2:147" ht="15" customHeight="1" x14ac:dyDescent="0.25">
      <c r="B36" s="45">
        <v>7.58</v>
      </c>
      <c r="C36" s="51">
        <f>'LINEST VARS'!$U$52+'LINEST VARS'!$T$52*($C$32)+'LINEST VARS'!$S$52*($B36)+'LINEST VARS'!$R$52*(4)+'LINEST VARS'!$Q$52*(0.5)+'LINEST VARS'!$P$52*(12.73)+'LINEST VARS'!$O$52*($C$32^2)+'LINEST VARS'!$N$52*($B36^2)+'LINEST VARS'!$M$52*(4^2)+'LINEST VARS'!$L$52*(0.5^2)+'LINEST VARS'!$K$52*(12.73^2)+'LINEST VARS'!$J$52*($C$32*$B36)+'LINEST VARS'!$I$52*($C$32*4)+'LINEST VARS'!$H$52*($C$32*0.5)+'LINEST VARS'!$G$52*($C$32*12.73)+'LINEST VARS'!$F$52*($B36*4)+'LINEST VARS'!$E$52*($B36*0.5)+'LINEST VARS'!$D$52*($B36*12.73)+'LINEST VARS'!$C$52*(4*0.5)+'LINEST VARS'!$B$52*(4*12.73)+'LINEST VARS'!$A$52*(0.5*12.73)</f>
        <v>4.4499999999999993</v>
      </c>
      <c r="D36" s="51">
        <f>'LINEST VARS'!$U$52+'LINEST VARS'!$T$52*($D$32)+'LINEST VARS'!$S$52*($B36)+'LINEST VARS'!$R$52*(4)+'LINEST VARS'!$Q$52*(0.5)+'LINEST VARS'!$P$52*(12.73)+'LINEST VARS'!$O$52*($D$32^2)+'LINEST VARS'!$N$52*($B36^2)+'LINEST VARS'!$M$52*(4^2)+'LINEST VARS'!$L$52*(0.5^2)+'LINEST VARS'!$K$52*(12.73^2)+'LINEST VARS'!$J$52*($D$32*$B36)+'LINEST VARS'!$I$52*($D$32*4)+'LINEST VARS'!$H$52*($D$32*0.5)+'LINEST VARS'!$G$52*($D$32*12.73)+'LINEST VARS'!$F$52*($B36*4)+'LINEST VARS'!$E$52*($B36*0.5)+'LINEST VARS'!$D$52*($B36*12.73)+'LINEST VARS'!$C$52*(4*0.5)+'LINEST VARS'!$B$52*(4*12.73)+'LINEST VARS'!$A$52*(0.5*12.73)</f>
        <v>4.4499999999999993</v>
      </c>
      <c r="E36" s="51">
        <f>'LINEST VARS'!$U$52+'LINEST VARS'!$T$52*($E$32)+'LINEST VARS'!$S$52*($B36)+'LINEST VARS'!$R$52*(4)+'LINEST VARS'!$Q$52*(0.5)+'LINEST VARS'!$P$52*(12.73)+'LINEST VARS'!$O$52*($E$32^2)+'LINEST VARS'!$N$52*($B36^2)+'LINEST VARS'!$M$52*(4^2)+'LINEST VARS'!$L$52*(0.5^2)+'LINEST VARS'!$K$52*(12.73^2)+'LINEST VARS'!$J$52*($E$32*$B36)+'LINEST VARS'!$I$52*($E$32*4)+'LINEST VARS'!$H$52*($E$32*0.5)+'LINEST VARS'!$G$52*($E$32*12.73)+'LINEST VARS'!$F$52*($B36*4)+'LINEST VARS'!$E$52*($B36*0.5)+'LINEST VARS'!$D$52*($B36*12.73)+'LINEST VARS'!$C$52*(4*0.5)+'LINEST VARS'!$B$52*(4*12.73)+'LINEST VARS'!$A$52*(0.5*12.73)</f>
        <v>4.4499999999999993</v>
      </c>
      <c r="F36" s="51">
        <f>'LINEST VARS'!$U$52+'LINEST VARS'!$T$52*($F$32)+'LINEST VARS'!$S$52*($B36)+'LINEST VARS'!$R$52*(4)+'LINEST VARS'!$Q$52*(0.5)+'LINEST VARS'!$P$52*(12.73)+'LINEST VARS'!$O$52*($F$32^2)+'LINEST VARS'!$N$52*($B36^2)+'LINEST VARS'!$M$52*(4^2)+'LINEST VARS'!$L$52*(0.5^2)+'LINEST VARS'!$K$52*(12.73^2)+'LINEST VARS'!$J$52*($F$32*$B36)+'LINEST VARS'!$I$52*($F$32*4)+'LINEST VARS'!$H$52*($F$32*0.5)+'LINEST VARS'!$G$52*($F$32*12.73)+'LINEST VARS'!$F$52*($B36*4)+'LINEST VARS'!$E$52*($B36*0.5)+'LINEST VARS'!$D$52*($B36*12.73)+'LINEST VARS'!$C$52*(4*0.5)+'LINEST VARS'!$B$52*(4*12.73)+'LINEST VARS'!$A$52*(0.5*12.73)</f>
        <v>4.4499999999999993</v>
      </c>
      <c r="G36" s="51">
        <f>'LINEST VARS'!$U$52+'LINEST VARS'!$T$52*($G$32)+'LINEST VARS'!$S$52*($B36)+'LINEST VARS'!$R$52*(4)+'LINEST VARS'!$Q$52*(0.5)+'LINEST VARS'!$P$52*(12.73)+'LINEST VARS'!$O$52*($G$32^2)+'LINEST VARS'!$N$52*($B36^2)+'LINEST VARS'!$M$52*(4^2)+'LINEST VARS'!$L$52*(0.5^2)+'LINEST VARS'!$K$52*(12.73^2)+'LINEST VARS'!$J$52*($G$32*$B36)+'LINEST VARS'!$I$52*($G$32*4)+'LINEST VARS'!$H$52*($G$32*0.5)+'LINEST VARS'!$G$52*($G$32*12.73)+'LINEST VARS'!$F$52*($B36*4)+'LINEST VARS'!$E$52*($B36*0.5)+'LINEST VARS'!$D$52*($B36*12.73)+'LINEST VARS'!$C$52*(4*0.5)+'LINEST VARS'!$B$52*(4*12.73)+'LINEST VARS'!$A$52*(0.5*12.73)</f>
        <v>4.4499999999999993</v>
      </c>
      <c r="H36" s="51">
        <f>'LINEST VARS'!$U$52+'LINEST VARS'!$T$52*($H$32)+'LINEST VARS'!$S$52*($B36)+'LINEST VARS'!$R$52*(4)+'LINEST VARS'!$Q$52*(0.5)+'LINEST VARS'!$P$52*(12.73)+'LINEST VARS'!$O$52*($H$32^2)+'LINEST VARS'!$N$52*($B36^2)+'LINEST VARS'!$M$52*(4^2)+'LINEST VARS'!$L$52*(0.5^2)+'LINEST VARS'!$K$52*(12.73^2)+'LINEST VARS'!$J$52*($H$32*$B36)+'LINEST VARS'!$I$52*($H$32*4)+'LINEST VARS'!$H$52*($H$32*0.5)+'LINEST VARS'!$G$52*($H$32*12.73)+'LINEST VARS'!$F$52*($B36*4)+'LINEST VARS'!$E$52*($B36*0.5)+'LINEST VARS'!$D$52*($B36*12.73)+'LINEST VARS'!$C$52*(4*0.5)+'LINEST VARS'!$B$52*(4*12.73)+'LINEST VARS'!$A$52*(0.5*12.73)</f>
        <v>4.4499999999999993</v>
      </c>
      <c r="I36" s="51">
        <f>'LINEST VARS'!$U$52+'LINEST VARS'!$T$52*($I$32)+'LINEST VARS'!$S$52*($B36)+'LINEST VARS'!$R$52*(4)+'LINEST VARS'!$Q$52*(0.5)+'LINEST VARS'!$P$52*(12.73)+'LINEST VARS'!$O$52*($I$32^2)+'LINEST VARS'!$N$52*($B36^2)+'LINEST VARS'!$M$52*(4^2)+'LINEST VARS'!$L$52*(0.5^2)+'LINEST VARS'!$K$52*(12.73^2)+'LINEST VARS'!$J$52*($I$32*$B36)+'LINEST VARS'!$I$52*($I$32*4)+'LINEST VARS'!$H$52*($I$32*0.5)+'LINEST VARS'!$G$52*($I$32*12.73)+'LINEST VARS'!$F$52*($B36*4)+'LINEST VARS'!$E$52*($B36*0.5)+'LINEST VARS'!$D$52*($B36*12.73)+'LINEST VARS'!$C$52*(4*0.5)+'LINEST VARS'!$B$52*(4*12.73)+'LINEST VARS'!$A$52*(0.5*12.73)</f>
        <v>4.4499999999999993</v>
      </c>
      <c r="J36" s="51">
        <f>'LINEST VARS'!$U$52+'LINEST VARS'!$T$52*($J$32)+'LINEST VARS'!$S$52*($B36)+'LINEST VARS'!$R$52*(4)+'LINEST VARS'!$Q$52*(0.5)+'LINEST VARS'!$P$52*(12.73)+'LINEST VARS'!$O$52*($J$32^2)+'LINEST VARS'!$N$52*($B36^2)+'LINEST VARS'!$M$52*(4^2)+'LINEST VARS'!$L$52*(0.5^2)+'LINEST VARS'!$K$52*(12.73^2)+'LINEST VARS'!$J$52*($J$32*$B36)+'LINEST VARS'!$I$52*($J$32*4)+'LINEST VARS'!$H$52*($J$32*0.5)+'LINEST VARS'!$G$52*($J$32*12.73)+'LINEST VARS'!$F$52*($B36*4)+'LINEST VARS'!$E$52*($B36*0.5)+'LINEST VARS'!$D$52*($B36*12.73)+'LINEST VARS'!$C$52*(4*0.5)+'LINEST VARS'!$B$52*(4*12.73)+'LINEST VARS'!$A$52*(0.5*12.73)</f>
        <v>4.4499999999999993</v>
      </c>
      <c r="K36" s="51">
        <f>'LINEST VARS'!$U$52+'LINEST VARS'!$T$52*($K$32)+'LINEST VARS'!$S$52*($B36)+'LINEST VARS'!$R$52*(4)+'LINEST VARS'!$Q$52*(0.5)+'LINEST VARS'!$P$52*(12.73)+'LINEST VARS'!$O$52*($K$32^2)+'LINEST VARS'!$N$52*($B36^2)+'LINEST VARS'!$M$52*(4^2)+'LINEST VARS'!$L$52*(0.5^2)+'LINEST VARS'!$K$52*(12.73^2)+'LINEST VARS'!$J$52*($K$32*$B36)+'LINEST VARS'!$I$52*($K$32*4)+'LINEST VARS'!$H$52*($K$32*0.5)+'LINEST VARS'!$G$52*($K$32*12.73)+'LINEST VARS'!$F$52*($B36*4)+'LINEST VARS'!$E$52*($B36*0.5)+'LINEST VARS'!$D$52*($B36*12.73)+'LINEST VARS'!$C$52*(4*0.5)+'LINEST VARS'!$B$52*(4*12.73)+'LINEST VARS'!$A$52*(0.5*12.73)</f>
        <v>4.4499999999999993</v>
      </c>
      <c r="L36" s="51">
        <f>'LINEST VARS'!$U$52+'LINEST VARS'!$T$52*($L$32)+'LINEST VARS'!$S$52*($B36)+'LINEST VARS'!$R$52*(4)+'LINEST VARS'!$Q$52*(0.5)+'LINEST VARS'!$P$52*(12.73)+'LINEST VARS'!$O$52*($L$32^2)+'LINEST VARS'!$N$52*($B36^2)+'LINEST VARS'!$M$52*(4^2)+'LINEST VARS'!$L$52*(0.5^2)+'LINEST VARS'!$K$52*(12.73^2)+'LINEST VARS'!$J$52*($L$32*$B36)+'LINEST VARS'!$I$52*($L$32*4)+'LINEST VARS'!$H$52*($L$32*0.5)+'LINEST VARS'!$G$52*($L$32*12.73)+'LINEST VARS'!$F$52*($B36*4)+'LINEST VARS'!$E$52*($B36*0.5)+'LINEST VARS'!$D$52*($B36*12.73)+'LINEST VARS'!$C$52*(4*0.5)+'LINEST VARS'!$B$52*(4*12.73)+'LINEST VARS'!$A$52*(0.5*12.73)</f>
        <v>4.4499999999999993</v>
      </c>
      <c r="M36" s="51">
        <f>'LINEST VARS'!$U$52+'LINEST VARS'!$T$52*($M$32)+'LINEST VARS'!$S$52*($B36)+'LINEST VARS'!$R$52*(4)+'LINEST VARS'!$Q$52*(0.5)+'LINEST VARS'!$P$52*(12.73)+'LINEST VARS'!$O$52*($M$32^2)+'LINEST VARS'!$N$52*($B36^2)+'LINEST VARS'!$M$52*(4^2)+'LINEST VARS'!$L$52*(0.5^2)+'LINEST VARS'!$K$52*(12.73^2)+'LINEST VARS'!$J$52*($M$32*$B36)+'LINEST VARS'!$I$52*($M$32*4)+'LINEST VARS'!$H$52*($M$32*0.5)+'LINEST VARS'!$G$52*($M$32*12.73)+'LINEST VARS'!$F$52*($B36*4)+'LINEST VARS'!$E$52*($B36*0.5)+'LINEST VARS'!$D$52*($B36*12.73)+'LINEST VARS'!$C$52*(4*0.5)+'LINEST VARS'!$B$52*(4*12.73)+'LINEST VARS'!$A$52*(0.5*12.73)</f>
        <v>4.4499999999999993</v>
      </c>
      <c r="N36" s="51">
        <f>'LINEST VARS'!$U$52+'LINEST VARS'!$T$52*($N$32)+'LINEST VARS'!$S$52*($B36)+'LINEST VARS'!$R$52*(4)+'LINEST VARS'!$Q$52*(0.5)+'LINEST VARS'!$P$52*(12.73)+'LINEST VARS'!$O$52*($N$32^2)+'LINEST VARS'!$N$52*($B36^2)+'LINEST VARS'!$M$52*(4^2)+'LINEST VARS'!$L$52*(0.5^2)+'LINEST VARS'!$K$52*(12.73^2)+'LINEST VARS'!$J$52*($N$32*$B36)+'LINEST VARS'!$I$52*($N$32*4)+'LINEST VARS'!$H$52*($N$32*0.5)+'LINEST VARS'!$G$52*($N$32*12.73)+'LINEST VARS'!$F$52*($B36*4)+'LINEST VARS'!$E$52*($B36*0.5)+'LINEST VARS'!$D$52*($B36*12.73)+'LINEST VARS'!$C$52*(4*0.5)+'LINEST VARS'!$B$52*(4*12.73)+'LINEST VARS'!$A$52*(0.5*12.73)</f>
        <v>4.4499999999999993</v>
      </c>
      <c r="O36" s="51">
        <f>'LINEST VARS'!$U$52+'LINEST VARS'!$T$52*($O$32)+'LINEST VARS'!$S$52*($B36)+'LINEST VARS'!$R$52*(4)+'LINEST VARS'!$Q$52*(0.5)+'LINEST VARS'!$P$52*(12.73)+'LINEST VARS'!$O$52*($O$32^2)+'LINEST VARS'!$N$52*($B36^2)+'LINEST VARS'!$M$52*(4^2)+'LINEST VARS'!$L$52*(0.5^2)+'LINEST VARS'!$K$52*(12.73^2)+'LINEST VARS'!$J$52*($O$32*$B36)+'LINEST VARS'!$I$52*($O$32*4)+'LINEST VARS'!$H$52*($O$32*0.5)+'LINEST VARS'!$G$52*($O$32*12.73)+'LINEST VARS'!$F$52*($B36*4)+'LINEST VARS'!$E$52*($B36*0.5)+'LINEST VARS'!$D$52*($B36*12.73)+'LINEST VARS'!$C$52*(4*0.5)+'LINEST VARS'!$B$52*(4*12.73)+'LINEST VARS'!$A$52*(0.5*12.73)</f>
        <v>4.4499999999999993</v>
      </c>
      <c r="P36" s="51">
        <f>'LINEST VARS'!$U$52+'LINEST VARS'!$T$52*($P$32)+'LINEST VARS'!$S$52*($B36)+'LINEST VARS'!$R$52*(4)+'LINEST VARS'!$Q$52*(0.5)+'LINEST VARS'!$P$52*(12.73)+'LINEST VARS'!$O$52*($P$32^2)+'LINEST VARS'!$N$52*($B36^2)+'LINEST VARS'!$M$52*(4^2)+'LINEST VARS'!$L$52*(0.5^2)+'LINEST VARS'!$K$52*(12.73^2)+'LINEST VARS'!$J$52*($P$32*$B36)+'LINEST VARS'!$I$52*($P$32*4)+'LINEST VARS'!$H$52*($P$32*0.5)+'LINEST VARS'!$G$52*($P$32*12.73)+'LINEST VARS'!$F$52*($B36*4)+'LINEST VARS'!$E$52*($B36*0.5)+'LINEST VARS'!$D$52*($B36*12.73)+'LINEST VARS'!$C$52*(4*0.5)+'LINEST VARS'!$B$52*(4*12.73)+'LINEST VARS'!$A$52*(0.5*12.73)</f>
        <v>4.4499999999999993</v>
      </c>
      <c r="Q36" s="51">
        <f>'LINEST VARS'!$U$52+'LINEST VARS'!$T$52*($Q$32)+'LINEST VARS'!$S$52*($B36)+'LINEST VARS'!$R$52*(4)+'LINEST VARS'!$Q$52*(0.5)+'LINEST VARS'!$P$52*(12.73)+'LINEST VARS'!$O$52*($Q$32^2)+'LINEST VARS'!$N$52*($B36^2)+'LINEST VARS'!$M$52*(4^2)+'LINEST VARS'!$L$52*(0.5^2)+'LINEST VARS'!$K$52*(12.73^2)+'LINEST VARS'!$J$52*($Q$32*$B36)+'LINEST VARS'!$I$52*($Q$32*4)+'LINEST VARS'!$H$52*($Q$32*0.5)+'LINEST VARS'!$G$52*($Q$32*12.73)+'LINEST VARS'!$F$52*($B36*4)+'LINEST VARS'!$E$52*($B36*0.5)+'LINEST VARS'!$D$52*($B36*12.73)+'LINEST VARS'!$C$52*(4*0.5)+'LINEST VARS'!$B$52*(4*12.73)+'LINEST VARS'!$A$52*(0.5*12.73)</f>
        <v>4.4499999999999993</v>
      </c>
      <c r="R36" s="51">
        <f>'LINEST VARS'!$U$52+'LINEST VARS'!$T$52*($R$32)+'LINEST VARS'!$S$52*($B36)+'LINEST VARS'!$R$52*(4)+'LINEST VARS'!$Q$52*(0.5)+'LINEST VARS'!$P$52*(12.73)+'LINEST VARS'!$O$52*($R$32^2)+'LINEST VARS'!$N$52*($B36^2)+'LINEST VARS'!$M$52*(4^2)+'LINEST VARS'!$L$52*(0.5^2)+'LINEST VARS'!$K$52*(12.73^2)+'LINEST VARS'!$J$52*($R$32*$B36)+'LINEST VARS'!$I$52*($R$32*4)+'LINEST VARS'!$H$52*($R$32*0.5)+'LINEST VARS'!$G$52*($R$32*12.73)+'LINEST VARS'!$F$52*($B36*4)+'LINEST VARS'!$E$52*($B36*0.5)+'LINEST VARS'!$D$52*($B36*12.73)+'LINEST VARS'!$C$52*(4*0.5)+'LINEST VARS'!$B$52*(4*12.73)+'LINEST VARS'!$A$52*(0.5*12.73)</f>
        <v>4.4499999999999993</v>
      </c>
      <c r="S36" s="51">
        <f>'LINEST VARS'!$U$52+'LINEST VARS'!$T$52*($S$32)+'LINEST VARS'!$S$52*($B36)+'LINEST VARS'!$R$52*(4)+'LINEST VARS'!$Q$52*(0.5)+'LINEST VARS'!$P$52*(12.73)+'LINEST VARS'!$O$52*($S$32^2)+'LINEST VARS'!$N$52*($B36^2)+'LINEST VARS'!$M$52*(4^2)+'LINEST VARS'!$L$52*(0.5^2)+'LINEST VARS'!$K$52*(12.73^2)+'LINEST VARS'!$J$52*($S$32*$B36)+'LINEST VARS'!$I$52*($S$32*4)+'LINEST VARS'!$H$52*($S$32*0.5)+'LINEST VARS'!$G$52*($S$32*12.73)+'LINEST VARS'!$F$52*($B36*4)+'LINEST VARS'!$E$52*($B36*0.5)+'LINEST VARS'!$D$52*($B36*12.73)+'LINEST VARS'!$C$52*(4*0.5)+'LINEST VARS'!$B$52*(4*12.73)+'LINEST VARS'!$A$52*(0.5*12.73)</f>
        <v>4.4499999999999993</v>
      </c>
      <c r="T36" s="51">
        <f>'LINEST VARS'!$U$52+'LINEST VARS'!$T$52*($T$32)+'LINEST VARS'!$S$52*($B36)+'LINEST VARS'!$R$52*(4)+'LINEST VARS'!$Q$52*(0.5)+'LINEST VARS'!$P$52*(12.73)+'LINEST VARS'!$O$52*($T$32^2)+'LINEST VARS'!$N$52*($B36^2)+'LINEST VARS'!$M$52*(4^2)+'LINEST VARS'!$L$52*(0.5^2)+'LINEST VARS'!$K$52*(12.73^2)+'LINEST VARS'!$J$52*($T$32*$B36)+'LINEST VARS'!$I$52*($T$32*4)+'LINEST VARS'!$H$52*($T$32*0.5)+'LINEST VARS'!$G$52*($T$32*12.73)+'LINEST VARS'!$F$52*($B36*4)+'LINEST VARS'!$E$52*($B36*0.5)+'LINEST VARS'!$D$52*($B36*12.73)+'LINEST VARS'!$C$52*(4*0.5)+'LINEST VARS'!$B$52*(4*12.73)+'LINEST VARS'!$A$52*(0.5*12.73)</f>
        <v>4.4499999999999993</v>
      </c>
      <c r="U36" s="51">
        <f>'LINEST VARS'!$U$52+'LINEST VARS'!$T$52*($U$32)+'LINEST VARS'!$S$52*($B36)+'LINEST VARS'!$R$52*(4)+'LINEST VARS'!$Q$52*(0.5)+'LINEST VARS'!$P$52*(12.73)+'LINEST VARS'!$O$52*($U$32^2)+'LINEST VARS'!$N$52*($B36^2)+'LINEST VARS'!$M$52*(4^2)+'LINEST VARS'!$L$52*(0.5^2)+'LINEST VARS'!$K$52*(12.73^2)+'LINEST VARS'!$J$52*($U$32*$B36)+'LINEST VARS'!$I$52*($U$32*4)+'LINEST VARS'!$H$52*($U$32*0.5)+'LINEST VARS'!$G$52*($U$32*12.73)+'LINEST VARS'!$F$52*($B36*4)+'LINEST VARS'!$E$52*($B36*0.5)+'LINEST VARS'!$D$52*($B36*12.73)+'LINEST VARS'!$C$52*(4*0.5)+'LINEST VARS'!$B$52*(4*12.73)+'LINEST VARS'!$A$52*(0.5*12.73)</f>
        <v>4.4499999999999993</v>
      </c>
      <c r="V36" s="51">
        <f>'LINEST VARS'!$U$52+'LINEST VARS'!$T$52*($V$32)+'LINEST VARS'!$S$52*($B36)+'LINEST VARS'!$R$52*(4)+'LINEST VARS'!$Q$52*(0.5)+'LINEST VARS'!$P$52*(12.73)+'LINEST VARS'!$O$52*($V$32^2)+'LINEST VARS'!$N$52*($B36^2)+'LINEST VARS'!$M$52*(4^2)+'LINEST VARS'!$L$52*(0.5^2)+'LINEST VARS'!$K$52*(12.73^2)+'LINEST VARS'!$J$52*($V$32*$B36)+'LINEST VARS'!$I$52*($V$32*4)+'LINEST VARS'!$H$52*($V$32*0.5)+'LINEST VARS'!$G$52*($V$32*12.73)+'LINEST VARS'!$F$52*($B36*4)+'LINEST VARS'!$E$52*($B36*0.5)+'LINEST VARS'!$D$52*($B36*12.73)+'LINEST VARS'!$C$52*(4*0.5)+'LINEST VARS'!$B$52*(4*12.73)+'LINEST VARS'!$A$52*(0.5*12.73)</f>
        <v>4.45</v>
      </c>
      <c r="W36" s="52">
        <f>'LINEST VARS'!$U$52+'LINEST VARS'!$T$52*($W$32)+'LINEST VARS'!$S$52*($B36)+'LINEST VARS'!$R$52*(4)+'LINEST VARS'!$Q$52*(0.5)+'LINEST VARS'!$P$52*(12.73)+'LINEST VARS'!$O$52*($W$32^2)+'LINEST VARS'!$N$52*($B36^2)+'LINEST VARS'!$M$52*(4^2)+'LINEST VARS'!$L$52*(0.5^2)+'LINEST VARS'!$K$52*(12.73^2)+'LINEST VARS'!$J$52*($W$32*$B36)+'LINEST VARS'!$I$52*($W$32*4)+'LINEST VARS'!$H$52*($W$32*0.5)+'LINEST VARS'!$G$52*($W$32*12.73)+'LINEST VARS'!$F$52*($B36*4)+'LINEST VARS'!$E$52*($B36*0.5)+'LINEST VARS'!$D$52*($B36*12.73)+'LINEST VARS'!$C$52*(4*0.5)+'LINEST VARS'!$B$52*(4*12.73)+'LINEST VARS'!$A$52*(0.5*12.73)</f>
        <v>4.45</v>
      </c>
      <c r="Z36" s="45">
        <v>7.58</v>
      </c>
      <c r="AA36" s="51">
        <f>'LINEST VARS'!$U$54+'LINEST VARS'!$T$54*($AA$32)+'LINEST VARS'!$S$54*($Z36)+'LINEST VARS'!$R$54*(4)+'LINEST VARS'!$Q$54*(0.5)+'LINEST VARS'!$P$54*(12.73)+'LINEST VARS'!$O$54*($AA$32^2)+'LINEST VARS'!$N$54*($Z36^2)+'LINEST VARS'!$M$54*(4^2)+'LINEST VARS'!$L$54*(0.5^2)+'LINEST VARS'!$K$54*(12.73^2)+'LINEST VARS'!$J$54*($AA$32*$Z36)+'LINEST VARS'!$I$54*($AA$32*4)+'LINEST VARS'!$H$54*($AA$32*0.5)+'LINEST VARS'!$G$54*($AA$32*12.73)+'LINEST VARS'!$F$54*($Z36*4)+'LINEST VARS'!$E$54*($Z36*0.5)+'LINEST VARS'!$D$54*($Z36*12.73)+'LINEST VARS'!$C$54*(4*0.5)+'LINEST VARS'!$B$54*(4*12.73)+'LINEST VARS'!$A$54*(0.5*12.73)</f>
        <v>3.9750000000000001</v>
      </c>
      <c r="AB36" s="51">
        <f>'LINEST VARS'!$U$54+'LINEST VARS'!$T$54*($AB$32)+'LINEST VARS'!$S$54*($Z36)+'LINEST VARS'!$R$54*(4)+'LINEST VARS'!$Q$54*(0.5)+'LINEST VARS'!$P$54*(12.73)+'LINEST VARS'!$O$54*($AB$32^2)+'LINEST VARS'!$N$54*($Z36^2)+'LINEST VARS'!$M$54*(4^2)+'LINEST VARS'!$L$54*(0.5^2)+'LINEST VARS'!$K$54*(12.73^2)+'LINEST VARS'!$J$54*($AB$32*$Z36)+'LINEST VARS'!$I$54*($AB$32*4)+'LINEST VARS'!$H$54*($AB$32*0.5)+'LINEST VARS'!$G$54*($AB$32*12.73)+'LINEST VARS'!$F$54*($Z36*4)+'LINEST VARS'!$E$54*($Z36*0.5)+'LINEST VARS'!$D$54*($Z36*12.73)+'LINEST VARS'!$C$54*(4*0.5)+'LINEST VARS'!$B$54*(4*12.73)+'LINEST VARS'!$A$54*(0.5*12.73)</f>
        <v>3.9750000000000001</v>
      </c>
      <c r="AC36" s="51">
        <f>'LINEST VARS'!$U$54+'LINEST VARS'!$T$54*($AC$32)+'LINEST VARS'!$S$54*($Z36)+'LINEST VARS'!$R$54*(4)+'LINEST VARS'!$Q$54*(0.5)+'LINEST VARS'!$P$54*(12.73)+'LINEST VARS'!$O$54*($AC$32^2)+'LINEST VARS'!$N$54*($Z36^2)+'LINEST VARS'!$M$54*(4^2)+'LINEST VARS'!$L$54*(0.5^2)+'LINEST VARS'!$K$54*(12.73^2)+'LINEST VARS'!$J$54*($AC$32*$Z36)+'LINEST VARS'!$I$54*($AC$32*4)+'LINEST VARS'!$H$54*($AC$32*0.5)+'LINEST VARS'!$G$54*($AC$32*12.73)+'LINEST VARS'!$F$54*($Z36*4)+'LINEST VARS'!$E$54*($Z36*0.5)+'LINEST VARS'!$D$54*($Z36*12.73)+'LINEST VARS'!$C$54*(4*0.5)+'LINEST VARS'!$B$54*(4*12.73)+'LINEST VARS'!$A$54*(0.5*12.73)</f>
        <v>3.9750000000000001</v>
      </c>
      <c r="AD36" s="51">
        <f>'LINEST VARS'!$U$54+'LINEST VARS'!$T$54*($AD$32)+'LINEST VARS'!$S$54*($Z36)+'LINEST VARS'!$R$54*(4)+'LINEST VARS'!$Q$54*(0.5)+'LINEST VARS'!$P$54*(12.73)+'LINEST VARS'!$O$54*($AD$32^2)+'LINEST VARS'!$N$54*($Z36^2)+'LINEST VARS'!$M$54*(4^2)+'LINEST VARS'!$L$54*(0.5^2)+'LINEST VARS'!$K$54*(12.73^2)+'LINEST VARS'!$J$54*($AD$32*$Z36)+'LINEST VARS'!$I$54*($AD$32*4)+'LINEST VARS'!$H$54*($AD$32*0.5)+'LINEST VARS'!$G$54*($AD$32*12.73)+'LINEST VARS'!$F$54*($Z36*4)+'LINEST VARS'!$E$54*($Z36*0.5)+'LINEST VARS'!$D$54*($Z36*12.73)+'LINEST VARS'!$C$54*(4*0.5)+'LINEST VARS'!$B$54*(4*12.73)+'LINEST VARS'!$A$54*(0.5*12.73)</f>
        <v>3.9750000000000001</v>
      </c>
      <c r="AE36" s="51">
        <f>'LINEST VARS'!$U$54+'LINEST VARS'!$T$54*($AE$32)+'LINEST VARS'!$S$54*($Z36)+'LINEST VARS'!$R$54*(4)+'LINEST VARS'!$Q$54*(0.5)+'LINEST VARS'!$P$54*(12.73)+'LINEST VARS'!$O$54*($AE$32^2)+'LINEST VARS'!$N$54*($Z36^2)+'LINEST VARS'!$M$54*(4^2)+'LINEST VARS'!$L$54*(0.5^2)+'LINEST VARS'!$K$54*(12.73^2)+'LINEST VARS'!$J$54*($AE$32*$Z36)+'LINEST VARS'!$I$54*($AE$32*4)+'LINEST VARS'!$H$54*($AE$32*0.5)+'LINEST VARS'!$G$54*($AE$32*12.73)+'LINEST VARS'!$F$54*($Z36*4)+'LINEST VARS'!$E$54*($Z36*0.5)+'LINEST VARS'!$D$54*($Z36*12.73)+'LINEST VARS'!$C$54*(4*0.5)+'LINEST VARS'!$B$54*(4*12.73)+'LINEST VARS'!$A$54*(0.5*12.73)</f>
        <v>3.9750000000000001</v>
      </c>
      <c r="AF36" s="51">
        <f>'LINEST VARS'!$U$54+'LINEST VARS'!$T$54*($AF$32)+'LINEST VARS'!$S$54*($Z36)+'LINEST VARS'!$R$54*(4)+'LINEST VARS'!$Q$54*(0.5)+'LINEST VARS'!$P$54*(12.73)+'LINEST VARS'!$O$54*($AF$32^2)+'LINEST VARS'!$N$54*($Z36^2)+'LINEST VARS'!$M$54*(4^2)+'LINEST VARS'!$L$54*(0.5^2)+'LINEST VARS'!$K$54*(12.73^2)+'LINEST VARS'!$J$54*($AF$32*$Z36)+'LINEST VARS'!$I$54*($AF$32*4)+'LINEST VARS'!$H$54*($AF$32*0.5)+'LINEST VARS'!$G$54*($AF$32*12.73)+'LINEST VARS'!$F$54*($Z36*4)+'LINEST VARS'!$E$54*($Z36*0.5)+'LINEST VARS'!$D$54*($Z36*12.73)+'LINEST VARS'!$C$54*(4*0.5)+'LINEST VARS'!$B$54*(4*12.73)+'LINEST VARS'!$A$54*(0.5*12.73)</f>
        <v>3.9750000000000001</v>
      </c>
      <c r="AG36" s="51">
        <f>'LINEST VARS'!$U$54+'LINEST VARS'!$T$54*($AG$32)+'LINEST VARS'!$S$54*($Z36)+'LINEST VARS'!$R$54*(4)+'LINEST VARS'!$Q$54*(0.5)+'LINEST VARS'!$P$54*(12.73)+'LINEST VARS'!$O$54*($AG$32^2)+'LINEST VARS'!$N$54*($Z36^2)+'LINEST VARS'!$M$54*(4^2)+'LINEST VARS'!$L$54*(0.5^2)+'LINEST VARS'!$K$54*(12.73^2)+'LINEST VARS'!$J$54*($AG$32*$Z36)+'LINEST VARS'!$I$54*($AG$32*4)+'LINEST VARS'!$H$54*($AG$32*0.5)+'LINEST VARS'!$G$54*($AG$32*12.73)+'LINEST VARS'!$F$54*($Z36*4)+'LINEST VARS'!$E$54*($Z36*0.5)+'LINEST VARS'!$D$54*($Z36*12.73)+'LINEST VARS'!$C$54*(4*0.5)+'LINEST VARS'!$B$54*(4*12.73)+'LINEST VARS'!$A$54*(0.5*12.73)</f>
        <v>3.9750000000000001</v>
      </c>
      <c r="AH36" s="51">
        <f>'LINEST VARS'!$U$54+'LINEST VARS'!$T$54*($AH$32)+'LINEST VARS'!$S$54*($Z36)+'LINEST VARS'!$R$54*(4)+'LINEST VARS'!$Q$54*(0.5)+'LINEST VARS'!$P$54*(12.73)+'LINEST VARS'!$O$54*($AH$32^2)+'LINEST VARS'!$N$54*($Z36^2)+'LINEST VARS'!$M$54*(4^2)+'LINEST VARS'!$L$54*(0.5^2)+'LINEST VARS'!$K$54*(12.73^2)+'LINEST VARS'!$J$54*($AH$32*$Z36)+'LINEST VARS'!$I$54*($AH$32*4)+'LINEST VARS'!$H$54*($AH$32*0.5)+'LINEST VARS'!$G$54*($AH$32*12.73)+'LINEST VARS'!$F$54*($Z36*4)+'LINEST VARS'!$E$54*($Z36*0.5)+'LINEST VARS'!$D$54*($Z36*12.73)+'LINEST VARS'!$C$54*(4*0.5)+'LINEST VARS'!$B$54*(4*12.73)+'LINEST VARS'!$A$54*(0.5*12.73)</f>
        <v>3.9750000000000001</v>
      </c>
      <c r="AI36" s="51">
        <f>'LINEST VARS'!$U$54+'LINEST VARS'!$T$54*($AI$32)+'LINEST VARS'!$S$54*($Z36)+'LINEST VARS'!$R$54*(4)+'LINEST VARS'!$Q$54*(0.5)+'LINEST VARS'!$P$54*(12.73)+'LINEST VARS'!$O$54*($AI$32^2)+'LINEST VARS'!$N$54*($Z36^2)+'LINEST VARS'!$M$54*(4^2)+'LINEST VARS'!$L$54*(0.5^2)+'LINEST VARS'!$K$54*(12.73^2)+'LINEST VARS'!$J$54*($AI$32*$Z36)+'LINEST VARS'!$I$54*($AI$32*4)+'LINEST VARS'!$H$54*($AI$32*0.5)+'LINEST VARS'!$G$54*($AI$32*12.73)+'LINEST VARS'!$F$54*($Z36*4)+'LINEST VARS'!$E$54*($Z36*0.5)+'LINEST VARS'!$D$54*($Z36*12.73)+'LINEST VARS'!$C$54*(4*0.5)+'LINEST VARS'!$B$54*(4*12.73)+'LINEST VARS'!$A$54*(0.5*12.73)</f>
        <v>3.9750000000000001</v>
      </c>
      <c r="AJ36" s="51">
        <f>'LINEST VARS'!$U$54+'LINEST VARS'!$T$54*($AJ$32)+'LINEST VARS'!$S$54*($Z36)+'LINEST VARS'!$R$54*(4)+'LINEST VARS'!$Q$54*(0.5)+'LINEST VARS'!$P$54*(12.73)+'LINEST VARS'!$O$54*($AJ$32^2)+'LINEST VARS'!$N$54*($Z36^2)+'LINEST VARS'!$M$54*(4^2)+'LINEST VARS'!$L$54*(0.5^2)+'LINEST VARS'!$K$54*(12.73^2)+'LINEST VARS'!$J$54*($AJ$32*$Z36)+'LINEST VARS'!$I$54*($AJ$32*4)+'LINEST VARS'!$H$54*($AJ$32*0.5)+'LINEST VARS'!$G$54*($AJ$32*12.73)+'LINEST VARS'!$F$54*($Z36*4)+'LINEST VARS'!$E$54*($Z36*0.5)+'LINEST VARS'!$D$54*($Z36*12.73)+'LINEST VARS'!$C$54*(4*0.5)+'LINEST VARS'!$B$54*(4*12.73)+'LINEST VARS'!$A$54*(0.5*12.73)</f>
        <v>3.9750000000000001</v>
      </c>
      <c r="AK36" s="51">
        <f>'LINEST VARS'!$U$54+'LINEST VARS'!$T$54*($AK$32)+'LINEST VARS'!$S$54*($Z36)+'LINEST VARS'!$R$54*(4)+'LINEST VARS'!$Q$54*(0.5)+'LINEST VARS'!$P$54*(12.73)+'LINEST VARS'!$O$54*($AK$32^2)+'LINEST VARS'!$N$54*($Z36^2)+'LINEST VARS'!$M$54*(4^2)+'LINEST VARS'!$L$54*(0.5^2)+'LINEST VARS'!$K$54*(12.73^2)+'LINEST VARS'!$J$54*($AK$32*$Z36)+'LINEST VARS'!$I$54*($AK$32*4)+'LINEST VARS'!$H$54*($AK$32*0.5)+'LINEST VARS'!$G$54*($AK$32*12.73)+'LINEST VARS'!$F$54*($Z36*4)+'LINEST VARS'!$E$54*($Z36*0.5)+'LINEST VARS'!$D$54*($Z36*12.73)+'LINEST VARS'!$C$54*(4*0.5)+'LINEST VARS'!$B$54*(4*12.73)+'LINEST VARS'!$A$54*(0.5*12.73)</f>
        <v>3.9750000000000001</v>
      </c>
      <c r="AL36" s="51">
        <f>'LINEST VARS'!$U$54+'LINEST VARS'!$T$54*($AL$32)+'LINEST VARS'!$S$54*($Z36)+'LINEST VARS'!$R$54*(4)+'LINEST VARS'!$Q$54*(0.5)+'LINEST VARS'!$P$54*(12.73)+'LINEST VARS'!$O$54*($AL$32^2)+'LINEST VARS'!$N$54*($Z36^2)+'LINEST VARS'!$M$54*(4^2)+'LINEST VARS'!$L$54*(0.5^2)+'LINEST VARS'!$K$54*(12.73^2)+'LINEST VARS'!$J$54*($AL$32*$Z36)+'LINEST VARS'!$I$54*($AL$32*4)+'LINEST VARS'!$H$54*($AL$32*0.5)+'LINEST VARS'!$G$54*($AL$32*12.73)+'LINEST VARS'!$F$54*($Z36*4)+'LINEST VARS'!$E$54*($Z36*0.5)+'LINEST VARS'!$D$54*($Z36*12.73)+'LINEST VARS'!$C$54*(4*0.5)+'LINEST VARS'!$B$54*(4*12.73)+'LINEST VARS'!$A$54*(0.5*12.73)</f>
        <v>3.9750000000000001</v>
      </c>
      <c r="AM36" s="51">
        <f>'LINEST VARS'!$U$54+'LINEST VARS'!$T$54*($AM$32)+'LINEST VARS'!$S$54*($Z36)+'LINEST VARS'!$R$54*(4)+'LINEST VARS'!$Q$54*(0.5)+'LINEST VARS'!$P$54*(12.73)+'LINEST VARS'!$O$54*($AM$32^2)+'LINEST VARS'!$N$54*($Z36^2)+'LINEST VARS'!$M$54*(4^2)+'LINEST VARS'!$L$54*(0.5^2)+'LINEST VARS'!$K$54*(12.73^2)+'LINEST VARS'!$J$54*($AM$32*$Z36)+'LINEST VARS'!$I$54*($AM$32*4)+'LINEST VARS'!$H$54*($AM$32*0.5)+'LINEST VARS'!$G$54*($AM$32*12.73)+'LINEST VARS'!$F$54*($Z36*4)+'LINEST VARS'!$E$54*($Z36*0.5)+'LINEST VARS'!$D$54*($Z36*12.73)+'LINEST VARS'!$C$54*(4*0.5)+'LINEST VARS'!$B$54*(4*12.73)+'LINEST VARS'!$A$54*(0.5*12.73)</f>
        <v>3.9750000000000001</v>
      </c>
      <c r="AN36" s="51">
        <f>'LINEST VARS'!$U$54+'LINEST VARS'!$T$54*($AN$32)+'LINEST VARS'!$S$54*($Z36)+'LINEST VARS'!$R$54*(4)+'LINEST VARS'!$Q$54*(0.5)+'LINEST VARS'!$P$54*(12.73)+'LINEST VARS'!$O$54*($AN$32^2)+'LINEST VARS'!$N$54*($Z36^2)+'LINEST VARS'!$M$54*(4^2)+'LINEST VARS'!$L$54*(0.5^2)+'LINEST VARS'!$K$54*(12.73^2)+'LINEST VARS'!$J$54*($AN$32*$Z36)+'LINEST VARS'!$I$54*($AN$32*4)+'LINEST VARS'!$H$54*($AN$32*0.5)+'LINEST VARS'!$G$54*($AN$32*12.73)+'LINEST VARS'!$F$54*($Z36*4)+'LINEST VARS'!$E$54*($Z36*0.5)+'LINEST VARS'!$D$54*($Z36*12.73)+'LINEST VARS'!$C$54*(4*0.5)+'LINEST VARS'!$B$54*(4*12.73)+'LINEST VARS'!$A$54*(0.5*12.73)</f>
        <v>3.9750000000000001</v>
      </c>
      <c r="AO36" s="51">
        <f>'LINEST VARS'!$U$54+'LINEST VARS'!$T$54*($AO$32)+'LINEST VARS'!$S$54*($Z36)+'LINEST VARS'!$R$54*(4)+'LINEST VARS'!$Q$54*(0.5)+'LINEST VARS'!$P$54*(12.73)+'LINEST VARS'!$O$54*($AO$32^2)+'LINEST VARS'!$N$54*($Z36^2)+'LINEST VARS'!$M$54*(4^2)+'LINEST VARS'!$L$54*(0.5^2)+'LINEST VARS'!$K$54*(12.73^2)+'LINEST VARS'!$J$54*($AO$32*$Z36)+'LINEST VARS'!$I$54*($AO$32*4)+'LINEST VARS'!$H$54*($AO$32*0.5)+'LINEST VARS'!$G$54*($AO$32*12.73)+'LINEST VARS'!$F$54*($Z36*4)+'LINEST VARS'!$E$54*($Z36*0.5)+'LINEST VARS'!$D$54*($Z36*12.73)+'LINEST VARS'!$C$54*(4*0.5)+'LINEST VARS'!$B$54*(4*12.73)+'LINEST VARS'!$A$54*(0.5*12.73)</f>
        <v>3.9750000000000001</v>
      </c>
      <c r="AP36" s="51">
        <f>'LINEST VARS'!$U$54+'LINEST VARS'!$T$54*($AP$32)+'LINEST VARS'!$S$54*($Z36)+'LINEST VARS'!$R$54*(4)+'LINEST VARS'!$Q$54*(0.5)+'LINEST VARS'!$P$54*(12.73)+'LINEST VARS'!$O$54*($AP$32^2)+'LINEST VARS'!$N$54*($Z36^2)+'LINEST VARS'!$M$54*(4^2)+'LINEST VARS'!$L$54*(0.5^2)+'LINEST VARS'!$K$54*(12.73^2)+'LINEST VARS'!$J$54*($AP$32*$Z36)+'LINEST VARS'!$I$54*($AP$32*4)+'LINEST VARS'!$H$54*($AP$32*0.5)+'LINEST VARS'!$G$54*($AP$32*12.73)+'LINEST VARS'!$F$54*($Z36*4)+'LINEST VARS'!$E$54*($Z36*0.5)+'LINEST VARS'!$D$54*($Z36*12.73)+'LINEST VARS'!$C$54*(4*0.5)+'LINEST VARS'!$B$54*(4*12.73)+'LINEST VARS'!$A$54*(0.5*12.73)</f>
        <v>3.9750000000000001</v>
      </c>
      <c r="AQ36" s="51">
        <f>'LINEST VARS'!$U$54+'LINEST VARS'!$T$54*($AQ$32)+'LINEST VARS'!$S$54*($Z36)+'LINEST VARS'!$R$54*(4)+'LINEST VARS'!$Q$54*(0.5)+'LINEST VARS'!$P$54*(12.73)+'LINEST VARS'!$O$54*($AQ$32^2)+'LINEST VARS'!$N$54*($Z36^2)+'LINEST VARS'!$M$54*(4^2)+'LINEST VARS'!$L$54*(0.5^2)+'LINEST VARS'!$K$54*(12.73^2)+'LINEST VARS'!$J$54*($AQ$32*$Z36)+'LINEST VARS'!$I$54*($AQ$32*4)+'LINEST VARS'!$H$54*($AQ$32*0.5)+'LINEST VARS'!$G$54*($AQ$32*12.73)+'LINEST VARS'!$F$54*($Z36*4)+'LINEST VARS'!$E$54*($Z36*0.5)+'LINEST VARS'!$D$54*($Z36*12.73)+'LINEST VARS'!$C$54*(4*0.5)+'LINEST VARS'!$B$54*(4*12.73)+'LINEST VARS'!$A$54*(0.5*12.73)</f>
        <v>3.9750000000000001</v>
      </c>
      <c r="AR36" s="51">
        <f>'LINEST VARS'!$U$54+'LINEST VARS'!$T$54*($AR$32)+'LINEST VARS'!$S$54*($Z36)+'LINEST VARS'!$R$54*(4)+'LINEST VARS'!$Q$54*(0.5)+'LINEST VARS'!$P$54*(12.73)+'LINEST VARS'!$O$54*($AR$32^2)+'LINEST VARS'!$N$54*($Z36^2)+'LINEST VARS'!$M$54*(4^2)+'LINEST VARS'!$L$54*(0.5^2)+'LINEST VARS'!$K$54*(12.73^2)+'LINEST VARS'!$J$54*($AR$32*$Z36)+'LINEST VARS'!$I$54*($AR$32*4)+'LINEST VARS'!$H$54*($AR$32*0.5)+'LINEST VARS'!$G$54*($AR$32*12.73)+'LINEST VARS'!$F$54*($Z36*4)+'LINEST VARS'!$E$54*($Z36*0.5)+'LINEST VARS'!$D$54*($Z36*12.73)+'LINEST VARS'!$C$54*(4*0.5)+'LINEST VARS'!$B$54*(4*12.73)+'LINEST VARS'!$A$54*(0.5*12.73)</f>
        <v>3.9750000000000001</v>
      </c>
      <c r="AS36" s="51">
        <f>'LINEST VARS'!$U$54+'LINEST VARS'!$T$54*($AS$32)+'LINEST VARS'!$S$54*($Z36)+'LINEST VARS'!$R$54*(4)+'LINEST VARS'!$Q$54*(0.5)+'LINEST VARS'!$P$54*(12.73)+'LINEST VARS'!$O$54*($AS$32^2)+'LINEST VARS'!$N$54*($Z36^2)+'LINEST VARS'!$M$54*(4^2)+'LINEST VARS'!$L$54*(0.5^2)+'LINEST VARS'!$K$54*(12.73^2)+'LINEST VARS'!$J$54*($AS$32*$Z36)+'LINEST VARS'!$I$54*($AS$32*4)+'LINEST VARS'!$H$54*($AS$32*0.5)+'LINEST VARS'!$G$54*($AS$32*12.73)+'LINEST VARS'!$F$54*($Z36*4)+'LINEST VARS'!$E$54*($Z36*0.5)+'LINEST VARS'!$D$54*($Z36*12.73)+'LINEST VARS'!$C$54*(4*0.5)+'LINEST VARS'!$B$54*(4*12.73)+'LINEST VARS'!$A$54*(0.5*12.73)</f>
        <v>3.9750000000000001</v>
      </c>
      <c r="AT36" s="51">
        <f>'LINEST VARS'!$U$54+'LINEST VARS'!$T$54*($AT$32)+'LINEST VARS'!$S$54*($Z36)+'LINEST VARS'!$R$54*(4)+'LINEST VARS'!$Q$54*(0.5)+'LINEST VARS'!$P$54*(12.73)+'LINEST VARS'!$O$54*($AT$32^2)+'LINEST VARS'!$N$54*($Z36^2)+'LINEST VARS'!$M$54*(4^2)+'LINEST VARS'!$L$54*(0.5^2)+'LINEST VARS'!$K$54*(12.73^2)+'LINEST VARS'!$J$54*($AT$32*$Z36)+'LINEST VARS'!$I$54*($AT$32*4)+'LINEST VARS'!$H$54*($AT$32*0.5)+'LINEST VARS'!$G$54*($AT$32*12.73)+'LINEST VARS'!$F$54*($Z36*4)+'LINEST VARS'!$E$54*($Z36*0.5)+'LINEST VARS'!$D$54*($Z36*12.73)+'LINEST VARS'!$C$54*(4*0.5)+'LINEST VARS'!$B$54*(4*12.73)+'LINEST VARS'!$A$54*(0.5*12.73)</f>
        <v>3.9750000000000005</v>
      </c>
      <c r="AU36" s="52">
        <f>'LINEST VARS'!$U$54+'LINEST VARS'!$T$54*($AU$32)+'LINEST VARS'!$S$54*($Z36)+'LINEST VARS'!$R$54*(4)+'LINEST VARS'!$Q$54*(0.5)+'LINEST VARS'!$P$54*(12.73)+'LINEST VARS'!$O$54*($AU$32^2)+'LINEST VARS'!$N$54*($Z36^2)+'LINEST VARS'!$M$54*(4^2)+'LINEST VARS'!$L$54*(0.5^2)+'LINEST VARS'!$K$54*(12.73^2)+'LINEST VARS'!$J$54*($AU$32*$Z36)+'LINEST VARS'!$I$54*($AU$32*4)+'LINEST VARS'!$H$54*($AU$32*0.5)+'LINEST VARS'!$G$54*($AU$32*12.73)+'LINEST VARS'!$F$54*($Z36*4)+'LINEST VARS'!$E$54*($Z36*0.5)+'LINEST VARS'!$D$54*($Z36*12.73)+'LINEST VARS'!$C$54*(4*0.5)+'LINEST VARS'!$B$54*(4*12.73)+'LINEST VARS'!$A$54*(0.5*12.73)</f>
        <v>3.9750000000000005</v>
      </c>
      <c r="AZ36" s="45">
        <v>0.15</v>
      </c>
      <c r="BA36" s="51">
        <f>'LINEST VARS'!$U$52+'LINEST VARS'!$T$52*(8)+'LINEST VARS'!$S$52*(8)+'LINEST VARS'!$R$52*($BA$32)+'LINEST VARS'!$Q$52*($AZ36)+'LINEST VARS'!$P$52*(12.73)+'LINEST VARS'!$O$52*(8^2)+'LINEST VARS'!$N$52*(8^2)+'LINEST VARS'!$M$52*($BA$32^2)+'LINEST VARS'!$L$52*($AZ36^2)+'LINEST VARS'!$K$52*(12.73^2)+'LINEST VARS'!$J$52*(8*8)+'LINEST VARS'!$I$52*(8*$BA$32)+'LINEST VARS'!$H$52*(8*$AZ36)+'LINEST VARS'!$G$52*(8*12.73)+'LINEST VARS'!$F$52*(8*$BA$32)+'LINEST VARS'!$E$52*(8*$AZ36)+'LINEST VARS'!$D$52*(8*12.73)+'LINEST VARS'!$C$52*($BA$32*$AZ36)+'LINEST VARS'!$B$52*($BA$32*12.73)+'LINEST VARS'!$A$52*($AZ36*12.73)</f>
        <v>4.4849999999999985</v>
      </c>
      <c r="BB36" s="51">
        <f>'LINEST VARS'!$U$52+'LINEST VARS'!$T$52*(8)+'LINEST VARS'!$S$52*(8)+'LINEST VARS'!$R$52*($BB$32)+'LINEST VARS'!$Q$52*($AZ36)+'LINEST VARS'!$P$52*(12.73)+'LINEST VARS'!$O$52*(8^2)+'LINEST VARS'!$N$52*(8^2)+'LINEST VARS'!$M$52*($BB$32^2)+'LINEST VARS'!$L$52*($AZ36^2)+'LINEST VARS'!$K$52*(12.73^2)+'LINEST VARS'!$J$52*(8*8)+'LINEST VARS'!$I$52*(8*$BB$32)+'LINEST VARS'!$H$52*(8*$AZ36)+'LINEST VARS'!$G$52*(8*12.73)+'LINEST VARS'!$F$52*(8*$BB$32)+'LINEST VARS'!$E$52*(8*$AZ36)+'LINEST VARS'!$D$52*(8*12.73)+'LINEST VARS'!$C$52*($BB$32*$AZ36)+'LINEST VARS'!$B$52*($BB$32*12.73)+'LINEST VARS'!$A$52*($AZ36*12.73)</f>
        <v>4.4849999999999985</v>
      </c>
      <c r="BC36" s="51">
        <f>'LINEST VARS'!$U$52+'LINEST VARS'!$T$52*(8)+'LINEST VARS'!$S$52*(8)+'LINEST VARS'!$R$52*($BC$32)+'LINEST VARS'!$Q$52*($AZ36)+'LINEST VARS'!$P$52*(12.73)+'LINEST VARS'!$O$52*(8^2)+'LINEST VARS'!$N$52*(8^2)+'LINEST VARS'!$M$52*($BC$32^2)+'LINEST VARS'!$L$52*($AZ36^2)+'LINEST VARS'!$K$52*(12.73^2)+'LINEST VARS'!$J$52*(8*8)+'LINEST VARS'!$I$52*(8*$BC$32)+'LINEST VARS'!$H$52*(8*$AZ36)+'LINEST VARS'!$G$52*(8*12.73)+'LINEST VARS'!$F$52*(8*$BC$32)+'LINEST VARS'!$E$52*(8*$AZ36)+'LINEST VARS'!$D$52*(8*12.73)+'LINEST VARS'!$C$52*($BC$32*$AZ36)+'LINEST VARS'!$B$52*($BC$32*12.73)+'LINEST VARS'!$A$52*($AZ36*12.73)</f>
        <v>4.4849999999999985</v>
      </c>
      <c r="BD36" s="51">
        <f>'LINEST VARS'!$U$52+'LINEST VARS'!$T$52*(8)+'LINEST VARS'!$S$52*(8)+'LINEST VARS'!$R$52*($BD$32)+'LINEST VARS'!$Q$52*($AZ36)+'LINEST VARS'!$P$52*(12.73)+'LINEST VARS'!$O$52*(8^2)+'LINEST VARS'!$N$52*(8^2)+'LINEST VARS'!$M$52*($BD$32^2)+'LINEST VARS'!$L$52*($AZ36^2)+'LINEST VARS'!$K$52*(12.73^2)+'LINEST VARS'!$J$52*(8*8)+'LINEST VARS'!$I$52*(8*$BD$32)+'LINEST VARS'!$H$52*(8*$AZ36)+'LINEST VARS'!$G$52*(8*12.73)+'LINEST VARS'!$F$52*(8*$BD$32)+'LINEST VARS'!$E$52*(8*$AZ36)+'LINEST VARS'!$D$52*(8*12.73)+'LINEST VARS'!$C$52*($BD$32*$AZ36)+'LINEST VARS'!$B$52*($BD$32*12.73)+'LINEST VARS'!$A$52*($AZ36*12.73)</f>
        <v>4.4849999999999985</v>
      </c>
      <c r="BE36" s="51">
        <f>'LINEST VARS'!$U$52+'LINEST VARS'!$T$52*(8)+'LINEST VARS'!$S$52*(8)+'LINEST VARS'!$R$52*($BE$32)+'LINEST VARS'!$Q$52*($AZ36)+'LINEST VARS'!$P$52*(12.73)+'LINEST VARS'!$O$52*(8^2)+'LINEST VARS'!$N$52*(8^2)+'LINEST VARS'!$M$52*($BE$32^2)+'LINEST VARS'!$L$52*($AZ36^2)+'LINEST VARS'!$K$52*(12.73^2)+'LINEST VARS'!$J$52*(8*8)+'LINEST VARS'!$I$52*(8*$BE$32)+'LINEST VARS'!$H$52*(8*$AZ36)+'LINEST VARS'!$G$52*(8*12.73)+'LINEST VARS'!$F$52*(8*$BE$32)+'LINEST VARS'!$E$52*(8*$AZ36)+'LINEST VARS'!$D$52*(8*12.73)+'LINEST VARS'!$C$52*($BE$32*$AZ36)+'LINEST VARS'!$B$52*($BE$32*12.73)+'LINEST VARS'!$A$52*($AZ36*12.73)</f>
        <v>4.4849999999999985</v>
      </c>
      <c r="BF36" s="51">
        <f>'LINEST VARS'!$U$52+'LINEST VARS'!$T$52*(8)+'LINEST VARS'!$S$52*(8)+'LINEST VARS'!$R$52*($BF$32)+'LINEST VARS'!$Q$52*($AZ36)+'LINEST VARS'!$P$52*(12.73)+'LINEST VARS'!$O$52*(8^2)+'LINEST VARS'!$N$52*(8^2)+'LINEST VARS'!$M$52*($BF$32^2)+'LINEST VARS'!$L$52*($AZ36^2)+'LINEST VARS'!$K$52*(12.73^2)+'LINEST VARS'!$J$52*(8*8)+'LINEST VARS'!$I$52*(8*$BF$32)+'LINEST VARS'!$H$52*(8*$AZ36)+'LINEST VARS'!$G$52*(8*12.73)+'LINEST VARS'!$F$52*(8*$BF$32)+'LINEST VARS'!$E$52*(8*$AZ36)+'LINEST VARS'!$D$52*(8*12.73)+'LINEST VARS'!$C$52*($BF$32*$AZ36)+'LINEST VARS'!$B$52*($BF$32*12.73)+'LINEST VARS'!$A$52*($AZ36*12.73)</f>
        <v>4.4849999999999985</v>
      </c>
      <c r="BG36" s="51">
        <f>'LINEST VARS'!$U$52+'LINEST VARS'!$T$52*(8)+'LINEST VARS'!$S$52*(8)+'LINEST VARS'!$R$52*($BG$32)+'LINEST VARS'!$Q$52*($AZ36)+'LINEST VARS'!$P$52*(12.73)+'LINEST VARS'!$O$52*(8^2)+'LINEST VARS'!$N$52*(8^2)+'LINEST VARS'!$M$52*($BG$32^2)+'LINEST VARS'!$L$52*($AZ36^2)+'LINEST VARS'!$K$52*(12.73^2)+'LINEST VARS'!$J$52*(8*8)+'LINEST VARS'!$I$52*(8*$BG$32)+'LINEST VARS'!$H$52*(8*$AZ36)+'LINEST VARS'!$G$52*(8*12.73)+'LINEST VARS'!$F$52*(8*$BG$32)+'LINEST VARS'!$E$52*(8*$AZ36)+'LINEST VARS'!$D$52*(8*12.73)+'LINEST VARS'!$C$52*($BG$32*$AZ36)+'LINEST VARS'!$B$52*($BG$32*12.73)+'LINEST VARS'!$A$52*($AZ36*12.73)</f>
        <v>4.4849999999999985</v>
      </c>
      <c r="BH36" s="51">
        <f>'LINEST VARS'!$U$52+'LINEST VARS'!$T$52*(8)+'LINEST VARS'!$S$52*(8)+'LINEST VARS'!$R$52*($BH$32)+'LINEST VARS'!$Q$52*($AZ36)+'LINEST VARS'!$P$52*(12.73)+'LINEST VARS'!$O$52*(8^2)+'LINEST VARS'!$N$52*(8^2)+'LINEST VARS'!$M$52*($BH$32^2)+'LINEST VARS'!$L$52*($AZ36^2)+'LINEST VARS'!$K$52*(12.73^2)+'LINEST VARS'!$J$52*(8*8)+'LINEST VARS'!$I$52*(8*$BH$32)+'LINEST VARS'!$H$52*(8*$AZ36)+'LINEST VARS'!$G$52*(8*12.73)+'LINEST VARS'!$F$52*(8*$BH$32)+'LINEST VARS'!$E$52*(8*$AZ36)+'LINEST VARS'!$D$52*(8*12.73)+'LINEST VARS'!$C$52*($BH$32*$AZ36)+'LINEST VARS'!$B$52*($BH$32*12.73)+'LINEST VARS'!$A$52*($AZ36*12.73)</f>
        <v>4.4849999999999985</v>
      </c>
      <c r="BI36" s="51">
        <f>'LINEST VARS'!$U$52+'LINEST VARS'!$T$52*(8)+'LINEST VARS'!$S$52*(8)+'LINEST VARS'!$R$52*($BI$32)+'LINEST VARS'!$Q$52*($AZ36)+'LINEST VARS'!$P$52*(12.73)+'LINEST VARS'!$O$52*(8^2)+'LINEST VARS'!$N$52*(8^2)+'LINEST VARS'!$M$52*($BI$32^2)+'LINEST VARS'!$L$52*($AZ36^2)+'LINEST VARS'!$K$52*(12.73^2)+'LINEST VARS'!$J$52*(8*8)+'LINEST VARS'!$I$52*(8*$BI$32)+'LINEST VARS'!$H$52*(8*$AZ36)+'LINEST VARS'!$G$52*(8*12.73)+'LINEST VARS'!$F$52*(8*$BI$32)+'LINEST VARS'!$E$52*(8*$AZ36)+'LINEST VARS'!$D$52*(8*12.73)+'LINEST VARS'!$C$52*($BI$32*$AZ36)+'LINEST VARS'!$B$52*($BI$32*12.73)+'LINEST VARS'!$A$52*($AZ36*12.73)</f>
        <v>4.4849999999999985</v>
      </c>
      <c r="BJ36" s="51">
        <f>'LINEST VARS'!$U$52+'LINEST VARS'!$T$52*(8)+'LINEST VARS'!$S$52*(8)+'LINEST VARS'!$R$52*($BJ$32)+'LINEST VARS'!$Q$52*($AZ36)+'LINEST VARS'!$P$52*(12.73)+'LINEST VARS'!$O$52*(8^2)+'LINEST VARS'!$N$52*(8^2)+'LINEST VARS'!$M$52*($BJ$32^2)+'LINEST VARS'!$L$52*($AZ36^2)+'LINEST VARS'!$K$52*(12.73^2)+'LINEST VARS'!$J$52*(8*8)+'LINEST VARS'!$I$52*(8*$BJ$32)+'LINEST VARS'!$H$52*(8*$AZ36)+'LINEST VARS'!$G$52*(8*12.73)+'LINEST VARS'!$F$52*(8*$BJ$32)+'LINEST VARS'!$E$52*(8*$AZ36)+'LINEST VARS'!$D$52*(8*12.73)+'LINEST VARS'!$C$52*($BJ$32*$AZ36)+'LINEST VARS'!$B$52*($BJ$32*12.73)+'LINEST VARS'!$A$52*($AZ36*12.73)</f>
        <v>4.4849999999999985</v>
      </c>
      <c r="BK36" s="51">
        <f>'LINEST VARS'!$U$52+'LINEST VARS'!$T$52*(8)+'LINEST VARS'!$S$52*(8)+'LINEST VARS'!$R$52*($BK$32)+'LINEST VARS'!$Q$52*($AZ36)+'LINEST VARS'!$P$52*(12.73)+'LINEST VARS'!$O$52*(8^2)+'LINEST VARS'!$N$52*(8^2)+'LINEST VARS'!$M$52*($BK$32^2)+'LINEST VARS'!$L$52*($AZ36^2)+'LINEST VARS'!$K$52*(12.73^2)+'LINEST VARS'!$J$52*(8*8)+'LINEST VARS'!$I$52*(8*$BK$32)+'LINEST VARS'!$H$52*(8*$AZ36)+'LINEST VARS'!$G$52*(8*12.73)+'LINEST VARS'!$F$52*(8*$BK$32)+'LINEST VARS'!$E$52*(8*$AZ36)+'LINEST VARS'!$D$52*(8*12.73)+'LINEST VARS'!$C$52*($BK$32*$AZ36)+'LINEST VARS'!$B$52*($BK$32*12.73)+'LINEST VARS'!$A$52*($AZ36*12.73)</f>
        <v>4.4849999999999985</v>
      </c>
      <c r="BL36" s="51">
        <f>'LINEST VARS'!$U$52+'LINEST VARS'!$T$52*(8)+'LINEST VARS'!$S$52*(8)+'LINEST VARS'!$R$52*($BL$32)+'LINEST VARS'!$Q$52*($AZ36)+'LINEST VARS'!$P$52*(12.73)+'LINEST VARS'!$O$52*(8^2)+'LINEST VARS'!$N$52*(8^2)+'LINEST VARS'!$M$52*($BL$32^2)+'LINEST VARS'!$L$52*($AZ36^2)+'LINEST VARS'!$K$52*(12.73^2)+'LINEST VARS'!$J$52*(8*8)+'LINEST VARS'!$I$52*(8*$BL$32)+'LINEST VARS'!$H$52*(8*$AZ36)+'LINEST VARS'!$G$52*(8*12.73)+'LINEST VARS'!$F$52*(8*$BL$32)+'LINEST VARS'!$E$52*(8*$AZ36)+'LINEST VARS'!$D$52*(8*12.73)+'LINEST VARS'!$C$52*($BL$32*$AZ36)+'LINEST VARS'!$B$52*($BL$32*12.73)+'LINEST VARS'!$A$52*($AZ36*12.73)</f>
        <v>4.4849999999999985</v>
      </c>
      <c r="BM36" s="51">
        <f>'LINEST VARS'!$U$52+'LINEST VARS'!$T$52*(8)+'LINEST VARS'!$S$52*(8)+'LINEST VARS'!$R$52*($BM$32)+'LINEST VARS'!$Q$52*($AZ36)+'LINEST VARS'!$P$52*(12.73)+'LINEST VARS'!$O$52*(8^2)+'LINEST VARS'!$N$52*(8^2)+'LINEST VARS'!$M$52*($BM$32^2)+'LINEST VARS'!$L$52*($AZ36^2)+'LINEST VARS'!$K$52*(12.73^2)+'LINEST VARS'!$J$52*(8*8)+'LINEST VARS'!$I$52*(8*$BM$32)+'LINEST VARS'!$H$52*(8*$AZ36)+'LINEST VARS'!$G$52*(8*12.73)+'LINEST VARS'!$F$52*(8*$BM$32)+'LINEST VARS'!$E$52*(8*$AZ36)+'LINEST VARS'!$D$52*(8*12.73)+'LINEST VARS'!$C$52*($BM$32*$AZ36)+'LINEST VARS'!$B$52*($BM$32*12.73)+'LINEST VARS'!$A$52*($AZ36*12.73)</f>
        <v>4.4849999999999985</v>
      </c>
      <c r="BN36" s="51">
        <f>'LINEST VARS'!$U$52+'LINEST VARS'!$T$52*(8)+'LINEST VARS'!$S$52*(8)+'LINEST VARS'!$R$52*($BN$32)+'LINEST VARS'!$Q$52*($AZ36)+'LINEST VARS'!$P$52*(12.73)+'LINEST VARS'!$O$52*(8^2)+'LINEST VARS'!$N$52*(8^2)+'LINEST VARS'!$M$52*($BN$32^2)+'LINEST VARS'!$L$52*($AZ36^2)+'LINEST VARS'!$K$52*(12.73^2)+'LINEST VARS'!$J$52*(8*8)+'LINEST VARS'!$I$52*(8*$BN$32)+'LINEST VARS'!$H$52*(8*$AZ36)+'LINEST VARS'!$G$52*(8*12.73)+'LINEST VARS'!$F$52*(8*$BN$32)+'LINEST VARS'!$E$52*(8*$AZ36)+'LINEST VARS'!$D$52*(8*12.73)+'LINEST VARS'!$C$52*($BN$32*$AZ36)+'LINEST VARS'!$B$52*($BN$32*12.73)+'LINEST VARS'!$A$52*($AZ36*12.73)</f>
        <v>4.4849999999999985</v>
      </c>
      <c r="BO36" s="51">
        <f>'LINEST VARS'!$U$52+'LINEST VARS'!$T$52*(8)+'LINEST VARS'!$S$52*(8)+'LINEST VARS'!$R$52*($BO$32)+'LINEST VARS'!$Q$52*($AZ36)+'LINEST VARS'!$P$52*(12.73)+'LINEST VARS'!$O$52*(8^2)+'LINEST VARS'!$N$52*(8^2)+'LINEST VARS'!$M$52*($BO$32^2)+'LINEST VARS'!$L$52*($AZ36^2)+'LINEST VARS'!$K$52*(12.73^2)+'LINEST VARS'!$J$52*(8*8)+'LINEST VARS'!$I$52*(8*$BO$32)+'LINEST VARS'!$H$52*(8*$AZ36)+'LINEST VARS'!$G$52*(8*12.73)+'LINEST VARS'!$F$52*(8*$BO$32)+'LINEST VARS'!$E$52*(8*$AZ36)+'LINEST VARS'!$D$52*(8*12.73)+'LINEST VARS'!$C$52*($BO$32*$AZ36)+'LINEST VARS'!$B$52*($BO$32*12.73)+'LINEST VARS'!$A$52*($AZ36*12.73)</f>
        <v>4.4849999999999985</v>
      </c>
      <c r="BP36" s="51">
        <f>'LINEST VARS'!$U$52+'LINEST VARS'!$T$52*(8)+'LINEST VARS'!$S$52*(8)+'LINEST VARS'!$R$52*($BP$32)+'LINEST VARS'!$Q$52*($AZ36)+'LINEST VARS'!$P$52*(12.73)+'LINEST VARS'!$O$52*(8^2)+'LINEST VARS'!$N$52*(8^2)+'LINEST VARS'!$M$52*($BP$32^2)+'LINEST VARS'!$L$52*($AZ36^2)+'LINEST VARS'!$K$52*(12.73^2)+'LINEST VARS'!$J$52*(8*8)+'LINEST VARS'!$I$52*(8*$BP$32)+'LINEST VARS'!$H$52*(8*$AZ36)+'LINEST VARS'!$G$52*(8*12.73)+'LINEST VARS'!$F$52*(8*$BP$32)+'LINEST VARS'!$E$52*(8*$AZ36)+'LINEST VARS'!$D$52*(8*12.73)+'LINEST VARS'!$C$52*($BP$32*$AZ36)+'LINEST VARS'!$B$52*($BP$32*12.73)+'LINEST VARS'!$A$52*($AZ36*12.73)</f>
        <v>4.4849999999999985</v>
      </c>
      <c r="BQ36" s="51">
        <f>'LINEST VARS'!$U$52+'LINEST VARS'!$T$52*(8)+'LINEST VARS'!$S$52*(8)+'LINEST VARS'!$R$52*($BQ$32)+'LINEST VARS'!$Q$52*($AZ36)+'LINEST VARS'!$P$52*(12.73)+'LINEST VARS'!$O$52*(8^2)+'LINEST VARS'!$N$52*(8^2)+'LINEST VARS'!$M$52*($BQ$32^2)+'LINEST VARS'!$L$52*($AZ36^2)+'LINEST VARS'!$K$52*(12.73^2)+'LINEST VARS'!$J$52*(8*8)+'LINEST VARS'!$I$52*(8*$BQ$32)+'LINEST VARS'!$H$52*(8*$AZ36)+'LINEST VARS'!$G$52*(8*12.73)+'LINEST VARS'!$F$52*(8*$BQ$32)+'LINEST VARS'!$E$52*(8*$AZ36)+'LINEST VARS'!$D$52*(8*12.73)+'LINEST VARS'!$C$52*($BQ$32*$AZ36)+'LINEST VARS'!$B$52*($BQ$32*12.73)+'LINEST VARS'!$A$52*($AZ36*12.73)</f>
        <v>4.4849999999999985</v>
      </c>
      <c r="BR36" s="51">
        <f>'LINEST VARS'!$U$52+'LINEST VARS'!$T$52*(8)+'LINEST VARS'!$S$52*(8)+'LINEST VARS'!$R$52*($BR$32)+'LINEST VARS'!$Q$52*($AZ36)+'LINEST VARS'!$P$52*(12.73)+'LINEST VARS'!$O$52*(8^2)+'LINEST VARS'!$N$52*(8^2)+'LINEST VARS'!$M$52*($BR$32^2)+'LINEST VARS'!$L$52*($AZ36^2)+'LINEST VARS'!$K$52*(12.73^2)+'LINEST VARS'!$J$52*(8*8)+'LINEST VARS'!$I$52*(8*$BR$32)+'LINEST VARS'!$H$52*(8*$AZ36)+'LINEST VARS'!$G$52*(8*12.73)+'LINEST VARS'!$F$52*(8*$BR$32)+'LINEST VARS'!$E$52*(8*$AZ36)+'LINEST VARS'!$D$52*(8*12.73)+'LINEST VARS'!$C$52*($BR$32*$AZ36)+'LINEST VARS'!$B$52*($BR$32*12.73)+'LINEST VARS'!$A$52*($AZ36*12.73)</f>
        <v>4.4849999999999985</v>
      </c>
      <c r="BS36" s="51">
        <f>'LINEST VARS'!$U$52+'LINEST VARS'!$T$52*(8)+'LINEST VARS'!$S$52*(8)+'LINEST VARS'!$R$52*($BS$32)+'LINEST VARS'!$Q$52*($AZ36)+'LINEST VARS'!$P$52*(12.73)+'LINEST VARS'!$O$52*(8^2)+'LINEST VARS'!$N$52*(8^2)+'LINEST VARS'!$M$52*($BS$32^2)+'LINEST VARS'!$L$52*($AZ36^2)+'LINEST VARS'!$K$52*(12.73^2)+'LINEST VARS'!$J$52*(8*8)+'LINEST VARS'!$I$52*(8*$BS$32)+'LINEST VARS'!$H$52*(8*$AZ36)+'LINEST VARS'!$G$52*(8*12.73)+'LINEST VARS'!$F$52*(8*$BS$32)+'LINEST VARS'!$E$52*(8*$AZ36)+'LINEST VARS'!$D$52*(8*12.73)+'LINEST VARS'!$C$52*($BS$32*$AZ36)+'LINEST VARS'!$B$52*($BS$32*12.73)+'LINEST VARS'!$A$52*($AZ36*12.73)</f>
        <v>4.4849999999999985</v>
      </c>
      <c r="BT36" s="51">
        <f>'LINEST VARS'!$U$52+'LINEST VARS'!$T$52*(8)+'LINEST VARS'!$S$52*(8)+'LINEST VARS'!$R$52*($BT$32)+'LINEST VARS'!$Q$52*($AZ36)+'LINEST VARS'!$P$52*(12.73)+'LINEST VARS'!$O$52*(8^2)+'LINEST VARS'!$N$52*(8^2)+'LINEST VARS'!$M$52*($BT$32^2)+'LINEST VARS'!$L$52*($AZ36^2)+'LINEST VARS'!$K$52*(12.73^2)+'LINEST VARS'!$J$52*(8*8)+'LINEST VARS'!$I$52*(8*$BT$32)+'LINEST VARS'!$H$52*(8*$AZ36)+'LINEST VARS'!$G$52*(8*12.73)+'LINEST VARS'!$F$52*(8*$BT$32)+'LINEST VARS'!$E$52*(8*$AZ36)+'LINEST VARS'!$D$52*(8*12.73)+'LINEST VARS'!$C$52*($BT$32*$AZ36)+'LINEST VARS'!$B$52*($BT$32*12.73)+'LINEST VARS'!$A$52*($AZ36*12.73)</f>
        <v>4.4849999999999985</v>
      </c>
      <c r="BU36" s="52">
        <f>'LINEST VARS'!$U$52+'LINEST VARS'!$T$52*(8)+'LINEST VARS'!$S$52*(8)+'LINEST VARS'!$R$52*($BU$32)+'LINEST VARS'!$Q$52*($AZ36)+'LINEST VARS'!$P$52*(12.73)+'LINEST VARS'!$O$52*(8^2)+'LINEST VARS'!$N$52*(8^2)+'LINEST VARS'!$M$52*($BU$32^2)+'LINEST VARS'!$L$52*($AZ36^2)+'LINEST VARS'!$K$52*(12.73^2)+'LINEST VARS'!$J$52*(8*8)+'LINEST VARS'!$I$52*(8*$BU$32)+'LINEST VARS'!$H$52*(8*$AZ36)+'LINEST VARS'!$G$52*(8*12.73)+'LINEST VARS'!$F$52*(8*$BU$32)+'LINEST VARS'!$E$52*(8*$AZ36)+'LINEST VARS'!$D$52*(8*12.73)+'LINEST VARS'!$C$52*($BU$32*$AZ36)+'LINEST VARS'!$B$52*($BU$32*12.73)+'LINEST VARS'!$A$52*($AZ36*12.73)</f>
        <v>4.4849999999999985</v>
      </c>
      <c r="BX36" s="45">
        <v>0.15</v>
      </c>
      <c r="BY36" s="51">
        <f>'LINEST VARS'!$U$54+'LINEST VARS'!$T$54*(8)+'LINEST VARS'!$S$54*(8)+'LINEST VARS'!$R$54*($BY$32)+'LINEST VARS'!$Q$54*($BX36)+'LINEST VARS'!$P$54*(12.73)+'LINEST VARS'!$O$54*(8^2)+'LINEST VARS'!$N$54*(8^2)+'LINEST VARS'!$M$54*($BY$32^2)+'LINEST VARS'!$L$54*($BX36^2)+'LINEST VARS'!$K$54*(12.73^2)+'LINEST VARS'!$J$54*(8*8)+'LINEST VARS'!$I$54*(8*$BY$32)+'LINEST VARS'!$H$54*(8*$BX36)+'LINEST VARS'!$G$54*(8*12.73)+'LINEST VARS'!$F$54*(8*$BY$32)+'LINEST VARS'!$E$54*(8*$BX36)+'LINEST VARS'!$D$54*(8*12.73)+'LINEST VARS'!$C$54*($BY$32*$BX36)+'LINEST VARS'!$B$54*($BY$32*12.73)+'LINEST VARS'!$A$54*($BX36*12.73)</f>
        <v>3.9924999999999997</v>
      </c>
      <c r="BZ36" s="51">
        <f>'LINEST VARS'!$U$54+'LINEST VARS'!$T$54*(8)+'LINEST VARS'!$S$54*(8)+'LINEST VARS'!$R$54*($BZ$32)+'LINEST VARS'!$Q$54*($BX36)+'LINEST VARS'!$P$54*(12.73)+'LINEST VARS'!$O$54*(8^2)+'LINEST VARS'!$N$54*(8^2)+'LINEST VARS'!$M$54*($BZ$32^2)+'LINEST VARS'!$L$54*($BX36^2)+'LINEST VARS'!$K$54*(12.73^2)+'LINEST VARS'!$J$54*(8*8)+'LINEST VARS'!$I$54*(8*$BZ$32)+'LINEST VARS'!$H$54*(8*$BX36)+'LINEST VARS'!$G$54*(8*12.73)+'LINEST VARS'!$F$54*(8*$BZ$32)+'LINEST VARS'!$E$54*(8*$BX36)+'LINEST VARS'!$D$54*(8*12.73)+'LINEST VARS'!$C$54*($BZ$32*$BX36)+'LINEST VARS'!$B$54*($BZ$32*12.73)+'LINEST VARS'!$A$54*($BX36*12.73)</f>
        <v>3.9924999999999997</v>
      </c>
      <c r="CA36" s="51">
        <f>'LINEST VARS'!$U$54+'LINEST VARS'!$T$54*(8)+'LINEST VARS'!$S$54*(8)+'LINEST VARS'!$R$54*($CA$32)+'LINEST VARS'!$Q$54*($BX36)+'LINEST VARS'!$P$54*(12.73)+'LINEST VARS'!$O$54*(8^2)+'LINEST VARS'!$N$54*(8^2)+'LINEST VARS'!$M$54*($CA$32^2)+'LINEST VARS'!$L$54*($BX36^2)+'LINEST VARS'!$K$54*(12.73^2)+'LINEST VARS'!$J$54*(8*8)+'LINEST VARS'!$I$54*(8*$CA$32)+'LINEST VARS'!$H$54*(8*$BX36)+'LINEST VARS'!$G$54*(8*12.73)+'LINEST VARS'!$F$54*(8*$CA$32)+'LINEST VARS'!$E$54*(8*$BX36)+'LINEST VARS'!$D$54*(8*12.73)+'LINEST VARS'!$C$54*($CA$32*$BX36)+'LINEST VARS'!$B$54*($CA$32*12.73)+'LINEST VARS'!$A$54*($BX36*12.73)</f>
        <v>3.9924999999999997</v>
      </c>
      <c r="CB36" s="51">
        <f>'LINEST VARS'!$U$54+'LINEST VARS'!$T$54*(8)+'LINEST VARS'!$S$54*(8)+'LINEST VARS'!$R$54*($CB$32)+'LINEST VARS'!$Q$54*($BX36)+'LINEST VARS'!$P$54*(12.73)+'LINEST VARS'!$O$54*(8^2)+'LINEST VARS'!$N$54*(8^2)+'LINEST VARS'!$M$54*($CB$32^2)+'LINEST VARS'!$L$54*($BX36^2)+'LINEST VARS'!$K$54*(12.73^2)+'LINEST VARS'!$J$54*(8*8)+'LINEST VARS'!$I$54*(8*$CB$32)+'LINEST VARS'!$H$54*(8*$BX36)+'LINEST VARS'!$G$54*(8*12.73)+'LINEST VARS'!$F$54*(8*$CB$32)+'LINEST VARS'!$E$54*(8*$BX36)+'LINEST VARS'!$D$54*(8*12.73)+'LINEST VARS'!$C$54*($CB$32*$BX36)+'LINEST VARS'!$B$54*($CB$32*12.73)+'LINEST VARS'!$A$54*($BX36*12.73)</f>
        <v>3.9924999999999997</v>
      </c>
      <c r="CC36" s="51">
        <f>'LINEST VARS'!$U$54+'LINEST VARS'!$T$54*(8)+'LINEST VARS'!$S$54*(8)+'LINEST VARS'!$R$54*($CC$32)+'LINEST VARS'!$Q$54*($BX36)+'LINEST VARS'!$P$54*(12.73)+'LINEST VARS'!$O$54*(8^2)+'LINEST VARS'!$N$54*(8^2)+'LINEST VARS'!$M$54*($CC$32^2)+'LINEST VARS'!$L$54*($BX36^2)+'LINEST VARS'!$K$54*(12.73^2)+'LINEST VARS'!$J$54*(8*8)+'LINEST VARS'!$I$54*(8*$CC$32)+'LINEST VARS'!$H$54*(8*$BX36)+'LINEST VARS'!$G$54*(8*12.73)+'LINEST VARS'!$F$54*(8*$CC$32)+'LINEST VARS'!$E$54*(8*$BX36)+'LINEST VARS'!$D$54*(8*12.73)+'LINEST VARS'!$C$54*($CC$32*$BX36)+'LINEST VARS'!$B$54*($CC$32*12.73)+'LINEST VARS'!$A$54*($BX36*12.73)</f>
        <v>3.9924999999999997</v>
      </c>
      <c r="CD36" s="51">
        <f>'LINEST VARS'!$U$54+'LINEST VARS'!$T$54*(8)+'LINEST VARS'!$S$54*(8)+'LINEST VARS'!$R$54*($CD$32)+'LINEST VARS'!$Q$54*($BX36)+'LINEST VARS'!$P$54*(12.73)+'LINEST VARS'!$O$54*(8^2)+'LINEST VARS'!$N$54*(8^2)+'LINEST VARS'!$M$54*($CD$32^2)+'LINEST VARS'!$L$54*($BX36^2)+'LINEST VARS'!$K$54*(12.73^2)+'LINEST VARS'!$J$54*(8*8)+'LINEST VARS'!$I$54*(8*$CD$32)+'LINEST VARS'!$H$54*(8*$BX36)+'LINEST VARS'!$G$54*(8*12.73)+'LINEST VARS'!$F$54*(8*$CD$32)+'LINEST VARS'!$E$54*(8*$BX36)+'LINEST VARS'!$D$54*(8*12.73)+'LINEST VARS'!$C$54*($CD$32*$BX36)+'LINEST VARS'!$B$54*($CD$32*12.73)+'LINEST VARS'!$A$54*($BX36*12.73)</f>
        <v>3.9924999999999997</v>
      </c>
      <c r="CE36" s="51">
        <f>'LINEST VARS'!$U$54+'LINEST VARS'!$T$54*(8)+'LINEST VARS'!$S$54*(8)+'LINEST VARS'!$R$54*($CE$32)+'LINEST VARS'!$Q$54*($BX36)+'LINEST VARS'!$P$54*(12.73)+'LINEST VARS'!$O$54*(8^2)+'LINEST VARS'!$N$54*(8^2)+'LINEST VARS'!$M$54*($CE$32^2)+'LINEST VARS'!$L$54*($BX36^2)+'LINEST VARS'!$K$54*(12.73^2)+'LINEST VARS'!$J$54*(8*8)+'LINEST VARS'!$I$54*(8*$CE$32)+'LINEST VARS'!$H$54*(8*$BX36)+'LINEST VARS'!$G$54*(8*12.73)+'LINEST VARS'!$F$54*(8*$CE$32)+'LINEST VARS'!$E$54*(8*$BX36)+'LINEST VARS'!$D$54*(8*12.73)+'LINEST VARS'!$C$54*($CE$32*$BX36)+'LINEST VARS'!$B$54*($CE$32*12.73)+'LINEST VARS'!$A$54*($BX36*12.73)</f>
        <v>3.9924999999999997</v>
      </c>
      <c r="CF36" s="51">
        <f>'LINEST VARS'!$U$54+'LINEST VARS'!$T$54*(8)+'LINEST VARS'!$S$54*(8)+'LINEST VARS'!$R$54*($CF$32)+'LINEST VARS'!$Q$54*($BX36)+'LINEST VARS'!$P$54*(12.73)+'LINEST VARS'!$O$54*(8^2)+'LINEST VARS'!$N$54*(8^2)+'LINEST VARS'!$M$54*($CF$32^2)+'LINEST VARS'!$L$54*($BX36^2)+'LINEST VARS'!$K$54*(12.73^2)+'LINEST VARS'!$J$54*(8*8)+'LINEST VARS'!$I$54*(8*$CF$32)+'LINEST VARS'!$H$54*(8*$BX36)+'LINEST VARS'!$G$54*(8*12.73)+'LINEST VARS'!$F$54*(8*$CF$32)+'LINEST VARS'!$E$54*(8*$BX36)+'LINEST VARS'!$D$54*(8*12.73)+'LINEST VARS'!$C$54*($CF$32*$BX36)+'LINEST VARS'!$B$54*($CF$32*12.73)+'LINEST VARS'!$A$54*($BX36*12.73)</f>
        <v>3.9924999999999997</v>
      </c>
      <c r="CG36" s="51">
        <f>'LINEST VARS'!$U$54+'LINEST VARS'!$T$54*(8)+'LINEST VARS'!$S$54*(8)+'LINEST VARS'!$R$54*($CG$32)+'LINEST VARS'!$Q$54*($BX36)+'LINEST VARS'!$P$54*(12.73)+'LINEST VARS'!$O$54*(8^2)+'LINEST VARS'!$N$54*(8^2)+'LINEST VARS'!$M$54*($CG$32^2)+'LINEST VARS'!$L$54*($BX36^2)+'LINEST VARS'!$K$54*(12.73^2)+'LINEST VARS'!$J$54*(8*8)+'LINEST VARS'!$I$54*(8*$CG$32)+'LINEST VARS'!$H$54*(8*$BX36)+'LINEST VARS'!$G$54*(8*12.73)+'LINEST VARS'!$F$54*(8*$CG$32)+'LINEST VARS'!$E$54*(8*$BX36)+'LINEST VARS'!$D$54*(8*12.73)+'LINEST VARS'!$C$54*($CG$32*$BX36)+'LINEST VARS'!$B$54*($CG$32*12.73)+'LINEST VARS'!$A$54*($BX36*12.73)</f>
        <v>3.9924999999999997</v>
      </c>
      <c r="CH36" s="51">
        <f>'LINEST VARS'!$U$54+'LINEST VARS'!$T$54*(8)+'LINEST VARS'!$S$54*(8)+'LINEST VARS'!$R$54*($CH$32)+'LINEST VARS'!$Q$54*($BX36)+'LINEST VARS'!$P$54*(12.73)+'LINEST VARS'!$O$54*(8^2)+'LINEST VARS'!$N$54*(8^2)+'LINEST VARS'!$M$54*($CH$32^2)+'LINEST VARS'!$L$54*($BX36^2)+'LINEST VARS'!$K$54*(12.73^2)+'LINEST VARS'!$J$54*(8*8)+'LINEST VARS'!$I$54*(8*$CH$32)+'LINEST VARS'!$H$54*(8*$BX36)+'LINEST VARS'!$G$54*(8*12.73)+'LINEST VARS'!$F$54*(8*$CH$32)+'LINEST VARS'!$E$54*(8*$BX36)+'LINEST VARS'!$D$54*(8*12.73)+'LINEST VARS'!$C$54*($CH$32*$BX36)+'LINEST VARS'!$B$54*($CH$32*12.73)+'LINEST VARS'!$A$54*($BX36*12.73)</f>
        <v>3.9924999999999997</v>
      </c>
      <c r="CI36" s="51">
        <f>'LINEST VARS'!$U$54+'LINEST VARS'!$T$54*(8)+'LINEST VARS'!$S$54*(8)+'LINEST VARS'!$R$54*($CI$32)+'LINEST VARS'!$Q$54*($BX36)+'LINEST VARS'!$P$54*(12.73)+'LINEST VARS'!$O$54*(8^2)+'LINEST VARS'!$N$54*(8^2)+'LINEST VARS'!$M$54*($CI$32^2)+'LINEST VARS'!$L$54*($BX36^2)+'LINEST VARS'!$K$54*(12.73^2)+'LINEST VARS'!$J$54*(8*8)+'LINEST VARS'!$I$54*(8*$CI$32)+'LINEST VARS'!$H$54*(8*$BX36)+'LINEST VARS'!$G$54*(8*12.73)+'LINEST VARS'!$F$54*(8*$CI$32)+'LINEST VARS'!$E$54*(8*$BX36)+'LINEST VARS'!$D$54*(8*12.73)+'LINEST VARS'!$C$54*($CI$32*$BX36)+'LINEST VARS'!$B$54*($CI$32*12.73)+'LINEST VARS'!$A$54*($BX36*12.73)</f>
        <v>3.9924999999999997</v>
      </c>
      <c r="CJ36" s="51">
        <f>'LINEST VARS'!$U$54+'LINEST VARS'!$T$54*(8)+'LINEST VARS'!$S$54*(8)+'LINEST VARS'!$R$54*($CJ$32)+'LINEST VARS'!$Q$54*($BX36)+'LINEST VARS'!$P$54*(12.73)+'LINEST VARS'!$O$54*(8^2)+'LINEST VARS'!$N$54*(8^2)+'LINEST VARS'!$M$54*($CJ$32^2)+'LINEST VARS'!$L$54*($BX36^2)+'LINEST VARS'!$K$54*(12.73^2)+'LINEST VARS'!$J$54*(8*8)+'LINEST VARS'!$I$54*(8*$CJ$32)+'LINEST VARS'!$H$54*(8*$BX36)+'LINEST VARS'!$G$54*(8*12.73)+'LINEST VARS'!$F$54*(8*$CJ$32)+'LINEST VARS'!$E$54*(8*$BX36)+'LINEST VARS'!$D$54*(8*12.73)+'LINEST VARS'!$C$54*($CJ$32*$BX36)+'LINEST VARS'!$B$54*($CJ$32*12.73)+'LINEST VARS'!$A$54*($BX36*12.73)</f>
        <v>3.9924999999999997</v>
      </c>
      <c r="CK36" s="51">
        <f>'LINEST VARS'!$U$54+'LINEST VARS'!$T$54*(8)+'LINEST VARS'!$S$54*(8)+'LINEST VARS'!$R$54*($CK$32)+'LINEST VARS'!$Q$54*($BX36)+'LINEST VARS'!$P$54*(12.73)+'LINEST VARS'!$O$54*(8^2)+'LINEST VARS'!$N$54*(8^2)+'LINEST VARS'!$M$54*($CK$32^2)+'LINEST VARS'!$L$54*($BX36^2)+'LINEST VARS'!$K$54*(12.73^2)+'LINEST VARS'!$J$54*(8*8)+'LINEST VARS'!$I$54*(8*$CK$32)+'LINEST VARS'!$H$54*(8*$BX36)+'LINEST VARS'!$G$54*(8*12.73)+'LINEST VARS'!$F$54*(8*$CK$32)+'LINEST VARS'!$E$54*(8*$BX36)+'LINEST VARS'!$D$54*(8*12.73)+'LINEST VARS'!$C$54*($CK$32*$BX36)+'LINEST VARS'!$B$54*($CK$32*12.73)+'LINEST VARS'!$A$54*($BX36*12.73)</f>
        <v>3.9924999999999997</v>
      </c>
      <c r="CL36" s="51">
        <f>'LINEST VARS'!$U$54+'LINEST VARS'!$T$54*(8)+'LINEST VARS'!$S$54*(8)+'LINEST VARS'!$R$54*($CL$32)+'LINEST VARS'!$Q$54*($BX36)+'LINEST VARS'!$P$54*(12.73)+'LINEST VARS'!$O$54*(8^2)+'LINEST VARS'!$N$54*(8^2)+'LINEST VARS'!$M$54*($CL$32^2)+'LINEST VARS'!$L$54*($BX36^2)+'LINEST VARS'!$K$54*(12.73^2)+'LINEST VARS'!$J$54*(8*8)+'LINEST VARS'!$I$54*(8*$CL$32)+'LINEST VARS'!$H$54*(8*$BX36)+'LINEST VARS'!$G$54*(8*12.73)+'LINEST VARS'!$F$54*(8*$CL$32)+'LINEST VARS'!$E$54*(8*$BX36)+'LINEST VARS'!$D$54*(8*12.73)+'LINEST VARS'!$C$54*($CL$32*$BX36)+'LINEST VARS'!$B$54*($CL$32*12.73)+'LINEST VARS'!$A$54*($BX36*12.73)</f>
        <v>3.9924999999999997</v>
      </c>
      <c r="CM36" s="51">
        <f>'LINEST VARS'!$U$54+'LINEST VARS'!$T$54*(8)+'LINEST VARS'!$S$54*(8)+'LINEST VARS'!$R$54*($CM$32)+'LINEST VARS'!$Q$54*($BX36)+'LINEST VARS'!$P$54*(12.73)+'LINEST VARS'!$O$54*(8^2)+'LINEST VARS'!$N$54*(8^2)+'LINEST VARS'!$M$54*($CM$32^2)+'LINEST VARS'!$L$54*($BX36^2)+'LINEST VARS'!$K$54*(12.73^2)+'LINEST VARS'!$J$54*(8*8)+'LINEST VARS'!$I$54*(8*$CM$32)+'LINEST VARS'!$H$54*(8*$BX36)+'LINEST VARS'!$G$54*(8*12.73)+'LINEST VARS'!$F$54*(8*$CM$32)+'LINEST VARS'!$E$54*(8*$BX36)+'LINEST VARS'!$D$54*(8*12.73)+'LINEST VARS'!$C$54*($CM$32*$BX36)+'LINEST VARS'!$B$54*($CM$32*12.73)+'LINEST VARS'!$A$54*($BX36*12.73)</f>
        <v>3.9924999999999997</v>
      </c>
      <c r="CN36" s="51">
        <f>'LINEST VARS'!$U$54+'LINEST VARS'!$T$54*(8)+'LINEST VARS'!$S$54*(8)+'LINEST VARS'!$R$54*($CN$32)+'LINEST VARS'!$Q$54*($BX36)+'LINEST VARS'!$P$54*(12.73)+'LINEST VARS'!$O$54*(8^2)+'LINEST VARS'!$N$54*(8^2)+'LINEST VARS'!$M$54*($CN$32^2)+'LINEST VARS'!$L$54*($BX36^2)+'LINEST VARS'!$K$54*(12.73^2)+'LINEST VARS'!$J$54*(8*8)+'LINEST VARS'!$I$54*(8*$CN$32)+'LINEST VARS'!$H$54*(8*$BX36)+'LINEST VARS'!$G$54*(8*12.73)+'LINEST VARS'!$F$54*(8*$CN$32)+'LINEST VARS'!$E$54*(8*$BX36)+'LINEST VARS'!$D$54*(8*12.73)+'LINEST VARS'!$C$54*($CN$32*$BX36)+'LINEST VARS'!$B$54*($CN$32*12.73)+'LINEST VARS'!$A$54*($BX36*12.73)</f>
        <v>3.9924999999999997</v>
      </c>
      <c r="CO36" s="51">
        <f>'LINEST VARS'!$U$54+'LINEST VARS'!$T$54*(8)+'LINEST VARS'!$S$54*(8)+'LINEST VARS'!$R$54*($CO$32)+'LINEST VARS'!$Q$54*($BX36)+'LINEST VARS'!$P$54*(12.73)+'LINEST VARS'!$O$54*(8^2)+'LINEST VARS'!$N$54*(8^2)+'LINEST VARS'!$M$54*($CO$32^2)+'LINEST VARS'!$L$54*($BX36^2)+'LINEST VARS'!$K$54*(12.73^2)+'LINEST VARS'!$J$54*(8*8)+'LINEST VARS'!$I$54*(8*$CO$32)+'LINEST VARS'!$H$54*(8*$BX36)+'LINEST VARS'!$G$54*(8*12.73)+'LINEST VARS'!$F$54*(8*$CO$32)+'LINEST VARS'!$E$54*(8*$BX36)+'LINEST VARS'!$D$54*(8*12.73)+'LINEST VARS'!$C$54*($CO$32*$BX36)+'LINEST VARS'!$B$54*($CO$32*12.73)+'LINEST VARS'!$A$54*($BX36*12.73)</f>
        <v>3.9924999999999997</v>
      </c>
      <c r="CP36" s="51">
        <f>'LINEST VARS'!$U$54+'LINEST VARS'!$T$54*(8)+'LINEST VARS'!$S$54*(8)+'LINEST VARS'!$R$54*($CP$32)+'LINEST VARS'!$Q$54*($BX36)+'LINEST VARS'!$P$54*(12.73)+'LINEST VARS'!$O$54*(8^2)+'LINEST VARS'!$N$54*(8^2)+'LINEST VARS'!$M$54*($CP$32^2)+'LINEST VARS'!$L$54*($BX36^2)+'LINEST VARS'!$K$54*(12.73^2)+'LINEST VARS'!$J$54*(8*8)+'LINEST VARS'!$I$54*(8*$CP$32)+'LINEST VARS'!$H$54*(8*$BX36)+'LINEST VARS'!$G$54*(8*12.73)+'LINEST VARS'!$F$54*(8*$CP$32)+'LINEST VARS'!$E$54*(8*$BX36)+'LINEST VARS'!$D$54*(8*12.73)+'LINEST VARS'!$C$54*($CP$32*$BX36)+'LINEST VARS'!$B$54*($CP$32*12.73)+'LINEST VARS'!$A$54*($BX36*12.73)</f>
        <v>3.9924999999999997</v>
      </c>
      <c r="CQ36" s="51">
        <f>'LINEST VARS'!$U$54+'LINEST VARS'!$T$54*(8)+'LINEST VARS'!$S$54*(8)+'LINEST VARS'!$R$54*($CQ$32)+'LINEST VARS'!$Q$54*($BX36)+'LINEST VARS'!$P$54*(12.73)+'LINEST VARS'!$O$54*(8^2)+'LINEST VARS'!$N$54*(8^2)+'LINEST VARS'!$M$54*($CQ$32^2)+'LINEST VARS'!$L$54*($BX36^2)+'LINEST VARS'!$K$54*(12.73^2)+'LINEST VARS'!$J$54*(8*8)+'LINEST VARS'!$I$54*(8*$CQ$32)+'LINEST VARS'!$H$54*(8*$BX36)+'LINEST VARS'!$G$54*(8*12.73)+'LINEST VARS'!$F$54*(8*$CQ$32)+'LINEST VARS'!$E$54*(8*$BX36)+'LINEST VARS'!$D$54*(8*12.73)+'LINEST VARS'!$C$54*($CQ$32*$BX36)+'LINEST VARS'!$B$54*($CQ$32*12.73)+'LINEST VARS'!$A$54*($BX36*12.73)</f>
        <v>3.9924999999999997</v>
      </c>
      <c r="CR36" s="51">
        <f>'LINEST VARS'!$U$54+'LINEST VARS'!$T$54*(8)+'LINEST VARS'!$S$54*(8)+'LINEST VARS'!$R$54*($CR$32)+'LINEST VARS'!$Q$54*($BX36)+'LINEST VARS'!$P$54*(12.73)+'LINEST VARS'!$O$54*(8^2)+'LINEST VARS'!$N$54*(8^2)+'LINEST VARS'!$M$54*($CR$32^2)+'LINEST VARS'!$L$54*($BX36^2)+'LINEST VARS'!$K$54*(12.73^2)+'LINEST VARS'!$J$54*(8*8)+'LINEST VARS'!$I$54*(8*$CR$32)+'LINEST VARS'!$H$54*(8*$BX36)+'LINEST VARS'!$G$54*(8*12.73)+'LINEST VARS'!$F$54*(8*$CR$32)+'LINEST VARS'!$E$54*(8*$BX36)+'LINEST VARS'!$D$54*(8*12.73)+'LINEST VARS'!$C$54*($CR$32*$BX36)+'LINEST VARS'!$B$54*($CR$32*12.73)+'LINEST VARS'!$A$54*($BX36*12.73)</f>
        <v>3.9924999999999997</v>
      </c>
      <c r="CS36" s="52">
        <f>'LINEST VARS'!$U$54+'LINEST VARS'!$T$54*(8)+'LINEST VARS'!$S$54*(8)+'LINEST VARS'!$R$54*($CS$32)+'LINEST VARS'!$Q$54*($BX36)+'LINEST VARS'!$P$54*(12.73)+'LINEST VARS'!$O$54*(8^2)+'LINEST VARS'!$N$54*(8^2)+'LINEST VARS'!$M$54*($CS$32^2)+'LINEST VARS'!$L$54*($BX36^2)+'LINEST VARS'!$K$54*(12.73^2)+'LINEST VARS'!$J$54*(8*8)+'LINEST VARS'!$I$54*(8*$CS$32)+'LINEST VARS'!$H$54*(8*$BX36)+'LINEST VARS'!$G$54*(8*12.73)+'LINEST VARS'!$F$54*(8*$CS$32)+'LINEST VARS'!$E$54*(8*$BX36)+'LINEST VARS'!$D$54*(8*12.73)+'LINEST VARS'!$C$54*($CS$32*$BX36)+'LINEST VARS'!$B$54*($CS$32*12.73)+'LINEST VARS'!$A$54*($BX36*12.73)</f>
        <v>3.9924999999999997</v>
      </c>
      <c r="CX36" s="45">
        <v>3.8984999999999999</v>
      </c>
      <c r="CY36" s="51">
        <f>'LINEST VARS'!$U$52+'LINEST VARS'!$T$52*(8)+'LINEST VARS'!$S$52*(8)+'LINEST VARS'!$R$52*($CY$32)+'LINEST VARS'!$Q$52*(0.5)+'LINEST VARS'!$P$52*($CX36)+'LINEST VARS'!$O$52*(8^2)+'LINEST VARS'!$N$52*(8^2)+'LINEST VARS'!$M$52*($CY$32^2)+'LINEST VARS'!$L$52*(0.5^2)+'LINEST VARS'!$K$52*($CX36^2)+'LINEST VARS'!$J$52*(8*8)+'LINEST VARS'!$I$52*(8*$CY$32)+'LINEST VARS'!$H$52*(8*0.5)+'LINEST VARS'!$G$52*(8*$CX36)+'LINEST VARS'!$F$52*(8*$CY$32)+'LINEST VARS'!$E$52*(8*0.5)+'LINEST VARS'!$D$52*(8*$CX36)+'LINEST VARS'!$C$52*($CY$32*0.5)+'LINEST VARS'!$B$52*($CY$32*$CX36)+'LINEST VARS'!$A$52*(0.5*$CX36)</f>
        <v>4.4499999999999984</v>
      </c>
      <c r="CZ36" s="51">
        <f>'LINEST VARS'!$U$52+'LINEST VARS'!$T$52*(8)+'LINEST VARS'!$S$52*(8)+'LINEST VARS'!$R$52*($CZ$32)+'LINEST VARS'!$Q$52*(0.5)+'LINEST VARS'!$P$52*($CX36)+'LINEST VARS'!$O$52*(8^2)+'LINEST VARS'!$N$52*(8^2)+'LINEST VARS'!$M$52*($CZ$32^2)+'LINEST VARS'!$L$52*(0.5^2)+'LINEST VARS'!$K$52*($CX36^2)+'LINEST VARS'!$J$52*(8*8)+'LINEST VARS'!$I$52*(8*$CZ$32)+'LINEST VARS'!$H$52*(8*0.5)+'LINEST VARS'!$G$52*(8*$CX36)+'LINEST VARS'!$F$52*(8*$CZ$32)+'LINEST VARS'!$E$52*(8*0.5)+'LINEST VARS'!$D$52*(8*$CX36)+'LINEST VARS'!$C$52*($CZ$32*0.5)+'LINEST VARS'!$B$52*($CZ$32*$CX36)+'LINEST VARS'!$A$52*(0.5*$CX36)</f>
        <v>4.4499999999999984</v>
      </c>
      <c r="DA36" s="51">
        <f>'LINEST VARS'!$U$52+'LINEST VARS'!$T$52*(8)+'LINEST VARS'!$S$52*(8)+'LINEST VARS'!$R$52*($DA$32)+'LINEST VARS'!$Q$52*(0.5)+'LINEST VARS'!$P$52*($CX36)+'LINEST VARS'!$O$52*(8^2)+'LINEST VARS'!$N$52*(8^2)+'LINEST VARS'!$M$52*($DA$32^2)+'LINEST VARS'!$L$52*(0.5^2)+'LINEST VARS'!$K$52*($CX36^2)+'LINEST VARS'!$J$52*(8*8)+'LINEST VARS'!$I$52*(8*$DA$32)+'LINEST VARS'!$H$52*(8*0.5)+'LINEST VARS'!$G$52*(8*$CX36)+'LINEST VARS'!$F$52*(8*$DA$32)+'LINEST VARS'!$E$52*(8*0.5)+'LINEST VARS'!$D$52*(8*$CX36)+'LINEST VARS'!$C$52*($DA$32*0.5)+'LINEST VARS'!$B$52*($DA$32*$CX36)+'LINEST VARS'!$A$52*(0.5*$CX36)</f>
        <v>4.4499999999999984</v>
      </c>
      <c r="DB36" s="51">
        <f>'LINEST VARS'!$U$52+'LINEST VARS'!$T$52*(8)+'LINEST VARS'!$S$52*(8)+'LINEST VARS'!$R$52*($DB$32)+'LINEST VARS'!$Q$52*(0.5)+'LINEST VARS'!$P$52*($CX36)+'LINEST VARS'!$O$52*(8^2)+'LINEST VARS'!$N$52*(8^2)+'LINEST VARS'!$M$52*($DB$32^2)+'LINEST VARS'!$L$52*(0.5^2)+'LINEST VARS'!$K$52*($CX36^2)+'LINEST VARS'!$J$52*(8*8)+'LINEST VARS'!$I$52*(8*$DB$32)+'LINEST VARS'!$H$52*(8*0.5)+'LINEST VARS'!$G$52*(8*$CX36)+'LINEST VARS'!$F$52*(8*$DB$32)+'LINEST VARS'!$E$52*(8*0.5)+'LINEST VARS'!$D$52*(8*$CX36)+'LINEST VARS'!$C$52*($DB$32*0.5)+'LINEST VARS'!$B$52*($DB$32*$CX36)+'LINEST VARS'!$A$52*(0.5*$CX36)</f>
        <v>4.4499999999999984</v>
      </c>
      <c r="DC36" s="51">
        <f>'LINEST VARS'!$U$52+'LINEST VARS'!$T$52*(8)+'LINEST VARS'!$S$52*(8)+'LINEST VARS'!$R$52*($DC$32)+'LINEST VARS'!$Q$52*(0.5)+'LINEST VARS'!$P$52*($CX36)+'LINEST VARS'!$O$52*(8^2)+'LINEST VARS'!$N$52*(8^2)+'LINEST VARS'!$M$52*($DC$32^2)+'LINEST VARS'!$L$52*(0.5^2)+'LINEST VARS'!$K$52*($CX36^2)+'LINEST VARS'!$J$52*(8*8)+'LINEST VARS'!$I$52*(8*$DC$32)+'LINEST VARS'!$H$52*(8*0.5)+'LINEST VARS'!$G$52*(8*$CX36)+'LINEST VARS'!$F$52*(8*$DC$32)+'LINEST VARS'!$E$52*(8*0.5)+'LINEST VARS'!$D$52*(8*$CX36)+'LINEST VARS'!$C$52*($DC$32*0.5)+'LINEST VARS'!$B$52*($DC$32*$CX36)+'LINEST VARS'!$A$52*(0.5*$CX36)</f>
        <v>4.4499999999999984</v>
      </c>
      <c r="DD36" s="51">
        <f>'LINEST VARS'!$U$52+'LINEST VARS'!$T$52*(8)+'LINEST VARS'!$S$52*(8)+'LINEST VARS'!$R$52*($DD$32)+'LINEST VARS'!$Q$52*(0.5)+'LINEST VARS'!$P$52*($CX36)+'LINEST VARS'!$O$52*(8^2)+'LINEST VARS'!$N$52*(8^2)+'LINEST VARS'!$M$52*($DD$32^2)+'LINEST VARS'!$L$52*(0.5^2)+'LINEST VARS'!$K$52*($CX36^2)+'LINEST VARS'!$J$52*(8*8)+'LINEST VARS'!$I$52*(8*$DD$32)+'LINEST VARS'!$H$52*(8*0.5)+'LINEST VARS'!$G$52*(8*$CX36)+'LINEST VARS'!$F$52*(8*$DD$32)+'LINEST VARS'!$E$52*(8*0.5)+'LINEST VARS'!$D$52*(8*$CX36)+'LINEST VARS'!$C$52*($DD$32*0.5)+'LINEST VARS'!$B$52*($DD$32*$CX36)+'LINEST VARS'!$A$52*(0.5*$CX36)</f>
        <v>4.4499999999999984</v>
      </c>
      <c r="DE36" s="51">
        <f>'LINEST VARS'!$U$52+'LINEST VARS'!$T$52*(8)+'LINEST VARS'!$S$52*(8)+'LINEST VARS'!$R$52*($DE$32)+'LINEST VARS'!$Q$52*(0.5)+'LINEST VARS'!$P$52*($CX36)+'LINEST VARS'!$O$52*(8^2)+'LINEST VARS'!$N$52*(8^2)+'LINEST VARS'!$M$52*($DE$32^2)+'LINEST VARS'!$L$52*(0.5^2)+'LINEST VARS'!$K$52*($CX36^2)+'LINEST VARS'!$J$52*(8*8)+'LINEST VARS'!$I$52*(8*$DE$32)+'LINEST VARS'!$H$52*(8*0.5)+'LINEST VARS'!$G$52*(8*$CX36)+'LINEST VARS'!$F$52*(8*$DE$32)+'LINEST VARS'!$E$52*(8*0.5)+'LINEST VARS'!$D$52*(8*$CX36)+'LINEST VARS'!$C$52*($DE$32*0.5)+'LINEST VARS'!$B$52*($DE$32*$CX36)+'LINEST VARS'!$A$52*(0.5*$CX36)</f>
        <v>4.4499999999999984</v>
      </c>
      <c r="DF36" s="51">
        <f>'LINEST VARS'!$U$52+'LINEST VARS'!$T$52*(8)+'LINEST VARS'!$S$52*(8)+'LINEST VARS'!$R$52*($DF$32)+'LINEST VARS'!$Q$52*(0.5)+'LINEST VARS'!$P$52*($CX36)+'LINEST VARS'!$O$52*(8^2)+'LINEST VARS'!$N$52*(8^2)+'LINEST VARS'!$M$52*($DF$32^2)+'LINEST VARS'!$L$52*(0.5^2)+'LINEST VARS'!$K$52*($CX36^2)+'LINEST VARS'!$J$52*(8*8)+'LINEST VARS'!$I$52*(8*$DF$32)+'LINEST VARS'!$H$52*(8*0.5)+'LINEST VARS'!$G$52*(8*$CX36)+'LINEST VARS'!$F$52*(8*$DF$32)+'LINEST VARS'!$E$52*(8*0.5)+'LINEST VARS'!$D$52*(8*$CX36)+'LINEST VARS'!$C$52*($DF$32*0.5)+'LINEST VARS'!$B$52*($DF$32*$CX36)+'LINEST VARS'!$A$52*(0.5*$CX36)</f>
        <v>4.4499999999999984</v>
      </c>
      <c r="DG36" s="51">
        <f>'LINEST VARS'!$U$52+'LINEST VARS'!$T$52*(8)+'LINEST VARS'!$S$52*(8)+'LINEST VARS'!$R$52*($DG$32)+'LINEST VARS'!$Q$52*(0.5)+'LINEST VARS'!$P$52*($CX36)+'LINEST VARS'!$O$52*(8^2)+'LINEST VARS'!$N$52*(8^2)+'LINEST VARS'!$M$52*($DG$32^2)+'LINEST VARS'!$L$52*(0.5^2)+'LINEST VARS'!$K$52*($CX36^2)+'LINEST VARS'!$J$52*(8*8)+'LINEST VARS'!$I$52*(8*$DG$32)+'LINEST VARS'!$H$52*(8*0.5)+'LINEST VARS'!$G$52*(8*$CX36)+'LINEST VARS'!$F$52*(8*$DG$32)+'LINEST VARS'!$E$52*(8*0.5)+'LINEST VARS'!$D$52*(8*$CX36)+'LINEST VARS'!$C$52*($DG$32*0.5)+'LINEST VARS'!$B$52*($DG$32*$CX36)+'LINEST VARS'!$A$52*(0.5*$CX36)</f>
        <v>4.4499999999999984</v>
      </c>
      <c r="DH36" s="51">
        <f>'LINEST VARS'!$U$52+'LINEST VARS'!$T$52*(8)+'LINEST VARS'!$S$52*(8)+'LINEST VARS'!$R$52*($DH$32)+'LINEST VARS'!$Q$52*(0.5)+'LINEST VARS'!$P$52*($CX36)+'LINEST VARS'!$O$52*(8^2)+'LINEST VARS'!$N$52*(8^2)+'LINEST VARS'!$M$52*($DH$32^2)+'LINEST VARS'!$L$52*(0.5^2)+'LINEST VARS'!$K$52*($CX36^2)+'LINEST VARS'!$J$52*(8*8)+'LINEST VARS'!$I$52*(8*$DH$32)+'LINEST VARS'!$H$52*(8*0.5)+'LINEST VARS'!$G$52*(8*$CX36)+'LINEST VARS'!$F$52*(8*$DH$32)+'LINEST VARS'!$E$52*(8*0.5)+'LINEST VARS'!$D$52*(8*$CX36)+'LINEST VARS'!$C$52*($DH$32*0.5)+'LINEST VARS'!$B$52*($DH$32*$CX36)+'LINEST VARS'!$A$52*(0.5*$CX36)</f>
        <v>4.4499999999999984</v>
      </c>
      <c r="DI36" s="51">
        <f>'LINEST VARS'!$U$52+'LINEST VARS'!$T$52*(8)+'LINEST VARS'!$S$52*(8)+'LINEST VARS'!$R$52*($DI$32)+'LINEST VARS'!$Q$52*(0.5)+'LINEST VARS'!$P$52*($CX36)+'LINEST VARS'!$O$52*(8^2)+'LINEST VARS'!$N$52*(8^2)+'LINEST VARS'!$M$52*($DI$32^2)+'LINEST VARS'!$L$52*(0.5^2)+'LINEST VARS'!$K$52*($CX36^2)+'LINEST VARS'!$J$52*(8*8)+'LINEST VARS'!$I$52*(8*$DI$32)+'LINEST VARS'!$H$52*(8*0.5)+'LINEST VARS'!$G$52*(8*$CX36)+'LINEST VARS'!$F$52*(8*$DI$32)+'LINEST VARS'!$E$52*(8*0.5)+'LINEST VARS'!$D$52*(8*$CX36)+'LINEST VARS'!$C$52*($DI$32*0.5)+'LINEST VARS'!$B$52*($DI$32*$CX36)+'LINEST VARS'!$A$52*(0.5*$CX36)</f>
        <v>4.4499999999999984</v>
      </c>
      <c r="DJ36" s="51">
        <f>'LINEST VARS'!$U$52+'LINEST VARS'!$T$52*(8)+'LINEST VARS'!$S$52*(8)+'LINEST VARS'!$R$52*($DJ$32)+'LINEST VARS'!$Q$52*(0.5)+'LINEST VARS'!$P$52*($CX36)+'LINEST VARS'!$O$52*(8^2)+'LINEST VARS'!$N$52*(8^2)+'LINEST VARS'!$M$52*($DJ$32^2)+'LINEST VARS'!$L$52*(0.5^2)+'LINEST VARS'!$K$52*($CX36^2)+'LINEST VARS'!$J$52*(8*8)+'LINEST VARS'!$I$52*(8*$DJ$32)+'LINEST VARS'!$H$52*(8*0.5)+'LINEST VARS'!$G$52*(8*$CX36)+'LINEST VARS'!$F$52*(8*$DJ$32)+'LINEST VARS'!$E$52*(8*0.5)+'LINEST VARS'!$D$52*(8*$CX36)+'LINEST VARS'!$C$52*($DJ$32*0.5)+'LINEST VARS'!$B$52*($DJ$32*$CX36)+'LINEST VARS'!$A$52*(0.5*$CX36)</f>
        <v>4.4499999999999984</v>
      </c>
      <c r="DK36" s="51">
        <f>'LINEST VARS'!$U$52+'LINEST VARS'!$T$52*(8)+'LINEST VARS'!$S$52*(8)+'LINEST VARS'!$R$52*($DK$32)+'LINEST VARS'!$Q$52*(0.5)+'LINEST VARS'!$P$52*($CX36)+'LINEST VARS'!$O$52*(8^2)+'LINEST VARS'!$N$52*(8^2)+'LINEST VARS'!$M$52*($DK$32^2)+'LINEST VARS'!$L$52*(0.5^2)+'LINEST VARS'!$K$52*($CX36^2)+'LINEST VARS'!$J$52*(8*8)+'LINEST VARS'!$I$52*(8*$DK$32)+'LINEST VARS'!$H$52*(8*0.5)+'LINEST VARS'!$G$52*(8*$CX36)+'LINEST VARS'!$F$52*(8*$DK$32)+'LINEST VARS'!$E$52*(8*0.5)+'LINEST VARS'!$D$52*(8*$CX36)+'LINEST VARS'!$C$52*($DK$32*0.5)+'LINEST VARS'!$B$52*($DK$32*$CX36)+'LINEST VARS'!$A$52*(0.5*$CX36)</f>
        <v>4.4499999999999984</v>
      </c>
      <c r="DL36" s="51">
        <f>'LINEST VARS'!$U$52+'LINEST VARS'!$T$52*(8)+'LINEST VARS'!$S$52*(8)+'LINEST VARS'!$R$52*($DL$32)+'LINEST VARS'!$Q$52*(0.5)+'LINEST VARS'!$P$52*($CX36)+'LINEST VARS'!$O$52*(8^2)+'LINEST VARS'!$N$52*(8^2)+'LINEST VARS'!$M$52*($DL$32^2)+'LINEST VARS'!$L$52*(0.5^2)+'LINEST VARS'!$K$52*($CX36^2)+'LINEST VARS'!$J$52*(8*8)+'LINEST VARS'!$I$52*(8*$DL$32)+'LINEST VARS'!$H$52*(8*0.5)+'LINEST VARS'!$G$52*(8*$CX36)+'LINEST VARS'!$F$52*(8*$DL$32)+'LINEST VARS'!$E$52*(8*0.5)+'LINEST VARS'!$D$52*(8*$CX36)+'LINEST VARS'!$C$52*($DL$32*0.5)+'LINEST VARS'!$B$52*($DL$32*$CX36)+'LINEST VARS'!$A$52*(0.5*$CX36)</f>
        <v>4.4499999999999984</v>
      </c>
      <c r="DM36" s="51">
        <f>'LINEST VARS'!$U$52+'LINEST VARS'!$T$52*(8)+'LINEST VARS'!$S$52*(8)+'LINEST VARS'!$R$52*($DM$32)+'LINEST VARS'!$Q$52*(0.5)+'LINEST VARS'!$P$52*($CX36)+'LINEST VARS'!$O$52*(8^2)+'LINEST VARS'!$N$52*(8^2)+'LINEST VARS'!$M$52*($DM$32^2)+'LINEST VARS'!$L$52*(0.5^2)+'LINEST VARS'!$K$52*($CX36^2)+'LINEST VARS'!$J$52*(8*8)+'LINEST VARS'!$I$52*(8*$DM$32)+'LINEST VARS'!$H$52*(8*0.5)+'LINEST VARS'!$G$52*(8*$CX36)+'LINEST VARS'!$F$52*(8*$DM$32)+'LINEST VARS'!$E$52*(8*0.5)+'LINEST VARS'!$D$52*(8*$CX36)+'LINEST VARS'!$C$52*($DM$32*0.5)+'LINEST VARS'!$B$52*($DM$32*$CX36)+'LINEST VARS'!$A$52*(0.5*$CX36)</f>
        <v>4.4499999999999984</v>
      </c>
      <c r="DN36" s="51">
        <f>'LINEST VARS'!$U$52+'LINEST VARS'!$T$52*(8)+'LINEST VARS'!$S$52*(8)+'LINEST VARS'!$R$52*($DN$32)+'LINEST VARS'!$Q$52*(0.5)+'LINEST VARS'!$P$52*($CX36)+'LINEST VARS'!$O$52*(8^2)+'LINEST VARS'!$N$52*(8^2)+'LINEST VARS'!$M$52*($DN$32^2)+'LINEST VARS'!$L$52*(0.5^2)+'LINEST VARS'!$K$52*($CX36^2)+'LINEST VARS'!$J$52*(8*8)+'LINEST VARS'!$I$52*(8*$DN$32)+'LINEST VARS'!$H$52*(8*0.5)+'LINEST VARS'!$G$52*(8*$CX36)+'LINEST VARS'!$F$52*(8*$DN$32)+'LINEST VARS'!$E$52*(8*0.5)+'LINEST VARS'!$D$52*(8*$CX36)+'LINEST VARS'!$C$52*($DN$32*0.5)+'LINEST VARS'!$B$52*($DN$32*$CX36)+'LINEST VARS'!$A$52*(0.5*$CX36)</f>
        <v>4.4499999999999984</v>
      </c>
      <c r="DO36" s="51">
        <f>'LINEST VARS'!$U$52+'LINEST VARS'!$T$52*(8)+'LINEST VARS'!$S$52*(8)+'LINEST VARS'!$R$52*($DO$32)+'LINEST VARS'!$Q$52*(0.5)+'LINEST VARS'!$P$52*($CX36)+'LINEST VARS'!$O$52*(8^2)+'LINEST VARS'!$N$52*(8^2)+'LINEST VARS'!$M$52*($DO$32^2)+'LINEST VARS'!$L$52*(0.5^2)+'LINEST VARS'!$K$52*($CX36^2)+'LINEST VARS'!$J$52*(8*8)+'LINEST VARS'!$I$52*(8*$DO$32)+'LINEST VARS'!$H$52*(8*0.5)+'LINEST VARS'!$G$52*(8*$CX36)+'LINEST VARS'!$F$52*(8*$DO$32)+'LINEST VARS'!$E$52*(8*0.5)+'LINEST VARS'!$D$52*(8*$CX36)+'LINEST VARS'!$C$52*($DO$32*0.5)+'LINEST VARS'!$B$52*($DO$32*$CX36)+'LINEST VARS'!$A$52*(0.5*$CX36)</f>
        <v>4.4499999999999984</v>
      </c>
      <c r="DP36" s="51">
        <f>'LINEST VARS'!$U$52+'LINEST VARS'!$T$52*(8)+'LINEST VARS'!$S$52*(8)+'LINEST VARS'!$R$52*($DP$32)+'LINEST VARS'!$Q$52*(0.5)+'LINEST VARS'!$P$52*($CX36)+'LINEST VARS'!$O$52*(8^2)+'LINEST VARS'!$N$52*(8^2)+'LINEST VARS'!$M$52*($DP$32^2)+'LINEST VARS'!$L$52*(0.5^2)+'LINEST VARS'!$K$52*($CX36^2)+'LINEST VARS'!$J$52*(8*8)+'LINEST VARS'!$I$52*(8*$DP$32)+'LINEST VARS'!$H$52*(8*0.5)+'LINEST VARS'!$G$52*(8*$CX36)+'LINEST VARS'!$F$52*(8*$DP$32)+'LINEST VARS'!$E$52*(8*0.5)+'LINEST VARS'!$D$52*(8*$CX36)+'LINEST VARS'!$C$52*($DP$32*0.5)+'LINEST VARS'!$B$52*($DP$32*$CX36)+'LINEST VARS'!$A$52*(0.5*$CX36)</f>
        <v>4.4499999999999984</v>
      </c>
      <c r="DQ36" s="51">
        <f>'LINEST VARS'!$U$52+'LINEST VARS'!$T$52*(8)+'LINEST VARS'!$S$52*(8)+'LINEST VARS'!$R$52*($DQ$32)+'LINEST VARS'!$Q$52*(0.5)+'LINEST VARS'!$P$52*($CX36)+'LINEST VARS'!$O$52*(8^2)+'LINEST VARS'!$N$52*(8^2)+'LINEST VARS'!$M$52*($DQ$32^2)+'LINEST VARS'!$L$52*(0.5^2)+'LINEST VARS'!$K$52*($CX36^2)+'LINEST VARS'!$J$52*(8*8)+'LINEST VARS'!$I$52*(8*$DQ$32)+'LINEST VARS'!$H$52*(8*0.5)+'LINEST VARS'!$G$52*(8*$CX36)+'LINEST VARS'!$F$52*(8*$DQ$32)+'LINEST VARS'!$E$52*(8*0.5)+'LINEST VARS'!$D$52*(8*$CX36)+'LINEST VARS'!$C$52*($DQ$32*0.5)+'LINEST VARS'!$B$52*($DQ$32*$CX36)+'LINEST VARS'!$A$52*(0.5*$CX36)</f>
        <v>4.4499999999999984</v>
      </c>
      <c r="DR36" s="51">
        <f>'LINEST VARS'!$U$52+'LINEST VARS'!$T$52*(8)+'LINEST VARS'!$S$52*(8)+'LINEST VARS'!$R$52*($DR$32)+'LINEST VARS'!$Q$52*(0.5)+'LINEST VARS'!$P$52*($CX36)+'LINEST VARS'!$O$52*(8^2)+'LINEST VARS'!$N$52*(8^2)+'LINEST VARS'!$M$52*($DR$32^2)+'LINEST VARS'!$L$52*(0.5^2)+'LINEST VARS'!$K$52*($CX36^2)+'LINEST VARS'!$J$52*(8*8)+'LINEST VARS'!$I$52*(8*$DR$32)+'LINEST VARS'!$H$52*(8*0.5)+'LINEST VARS'!$G$52*(8*$CX36)+'LINEST VARS'!$F$52*(8*$DR$32)+'LINEST VARS'!$E$52*(8*0.5)+'LINEST VARS'!$D$52*(8*$CX36)+'LINEST VARS'!$C$52*($DR$32*0.5)+'LINEST VARS'!$B$52*($DR$32*$CX36)+'LINEST VARS'!$A$52*(0.5*$CX36)</f>
        <v>4.4499999999999984</v>
      </c>
      <c r="DS36" s="52">
        <f>'LINEST VARS'!$U$52+'LINEST VARS'!$T$52*(8)+'LINEST VARS'!$S$52*(8)+'LINEST VARS'!$R$52*($DS$32)+'LINEST VARS'!$Q$52*(0.5)+'LINEST VARS'!$P$52*($CX36)+'LINEST VARS'!$O$52*(8^2)+'LINEST VARS'!$N$52*(8^2)+'LINEST VARS'!$M$52*($DS$32^2)+'LINEST VARS'!$L$52*(0.5^2)+'LINEST VARS'!$K$52*($CX36^2)+'LINEST VARS'!$J$52*(8*8)+'LINEST VARS'!$I$52*(8*$DS$32)+'LINEST VARS'!$H$52*(8*0.5)+'LINEST VARS'!$G$52*(8*$CX36)+'LINEST VARS'!$F$52*(8*$DS$32)+'LINEST VARS'!$E$52*(8*0.5)+'LINEST VARS'!$D$52*(8*$CX36)+'LINEST VARS'!$C$52*($DS$32*0.5)+'LINEST VARS'!$B$52*($DS$32*$CX36)+'LINEST VARS'!$A$52*(0.5*$CX36)</f>
        <v>4.4499999999999984</v>
      </c>
      <c r="DV36" s="45">
        <v>3.8984999999999999</v>
      </c>
      <c r="DW36" s="51">
        <f>'LINEST VARS'!$U$54+'LINEST VARS'!$T$54*(8)+'LINEST VARS'!$S$54*(8)+'LINEST VARS'!$R$54*($DW$32)+'LINEST VARS'!$Q$54*(0.5)+'LINEST VARS'!$P$54*($DV36)+'LINEST VARS'!$O$54*(8^2)+'LINEST VARS'!$N$54*(8^2)+'LINEST VARS'!$M$54*($DW$32^2)+'LINEST VARS'!$L$54*(0.5^2)+'LINEST VARS'!$K$54*($DV36^2)+'LINEST VARS'!$J$54*(8*8)+'LINEST VARS'!$I$54*(8*$DW$32)+'LINEST VARS'!$H$54*(8*0.5)+'LINEST VARS'!$G$54*(8*$DV36)+'LINEST VARS'!$F$54*(8*$DW$32)+'LINEST VARS'!$E$54*(8*0.5)+'LINEST VARS'!$D$54*(8*$DV36)+'LINEST VARS'!$C$54*($DW$32*0.5)+'LINEST VARS'!$B$54*($DW$32*$DV36)+'LINEST VARS'!$A$54*(0.5*$DV36)</f>
        <v>3.9749999999999996</v>
      </c>
      <c r="DX36" s="51">
        <f>'LINEST VARS'!$U$54+'LINEST VARS'!$T$54*(8)+'LINEST VARS'!$S$54*(8)+'LINEST VARS'!$R$54*($DX$32)+'LINEST VARS'!$Q$54*(0.5)+'LINEST VARS'!$P$54*($DV36)+'LINEST VARS'!$O$54*(8^2)+'LINEST VARS'!$N$54*(8^2)+'LINEST VARS'!$M$54*($DX$32^2)+'LINEST VARS'!$L$54*(0.5^2)+'LINEST VARS'!$K$54*($DV36^2)+'LINEST VARS'!$J$54*(8*8)+'LINEST VARS'!$I$54*(8*$DX$32)+'LINEST VARS'!$H$54*(8*0.5)+'LINEST VARS'!$G$54*(8*$DV36)+'LINEST VARS'!$F$54*(8*$DX$32)+'LINEST VARS'!$E$54*(8*0.5)+'LINEST VARS'!$D$54*(8*$DV36)+'LINEST VARS'!$C$54*($DX$32*0.5)+'LINEST VARS'!$B$54*($DX$32*$DV36)+'LINEST VARS'!$A$54*(0.5*$DV36)</f>
        <v>3.9749999999999996</v>
      </c>
      <c r="DY36" s="51">
        <f>'LINEST VARS'!$U$54+'LINEST VARS'!$T$54*(8)+'LINEST VARS'!$S$54*(8)+'LINEST VARS'!$R$54*($DY$32)+'LINEST VARS'!$Q$54*(0.5)+'LINEST VARS'!$P$54*($DV36)+'LINEST VARS'!$O$54*(8^2)+'LINEST VARS'!$N$54*(8^2)+'LINEST VARS'!$M$54*($DY$32^2)+'LINEST VARS'!$L$54*(0.5^2)+'LINEST VARS'!$K$54*($DV36^2)+'LINEST VARS'!$J$54*(8*8)+'LINEST VARS'!$I$54*(8*$DY$32)+'LINEST VARS'!$H$54*(8*0.5)+'LINEST VARS'!$G$54*(8*$DV36)+'LINEST VARS'!$F$54*(8*$DY$32)+'LINEST VARS'!$E$54*(8*0.5)+'LINEST VARS'!$D$54*(8*$DV36)+'LINEST VARS'!$C$54*($DY$32*0.5)+'LINEST VARS'!$B$54*($DY$32*$DV36)+'LINEST VARS'!$A$54*(0.5*$DV36)</f>
        <v>3.9749999999999996</v>
      </c>
      <c r="DZ36" s="51">
        <f>'LINEST VARS'!$U$54+'LINEST VARS'!$T$54*(8)+'LINEST VARS'!$S$54*(8)+'LINEST VARS'!$R$54*($DZ$32)+'LINEST VARS'!$Q$54*(0.5)+'LINEST VARS'!$P$54*($DV36)+'LINEST VARS'!$O$54*(8^2)+'LINEST VARS'!$N$54*(8^2)+'LINEST VARS'!$M$54*($DZ$32^2)+'LINEST VARS'!$L$54*(0.5^2)+'LINEST VARS'!$K$54*($DV36^2)+'LINEST VARS'!$J$54*(8*8)+'LINEST VARS'!$I$54*(8*$DZ$32)+'LINEST VARS'!$H$54*(8*0.5)+'LINEST VARS'!$G$54*(8*$DV36)+'LINEST VARS'!$F$54*(8*$DZ$32)+'LINEST VARS'!$E$54*(8*0.5)+'LINEST VARS'!$D$54*(8*$DV36)+'LINEST VARS'!$C$54*($DZ$32*0.5)+'LINEST VARS'!$B$54*($DZ$32*$DV36)+'LINEST VARS'!$A$54*(0.5*$DV36)</f>
        <v>3.9749999999999996</v>
      </c>
      <c r="EA36" s="51">
        <f>'LINEST VARS'!$U$54+'LINEST VARS'!$T$54*(8)+'LINEST VARS'!$S$54*(8)+'LINEST VARS'!$R$54*($EA$32)+'LINEST VARS'!$Q$54*(0.5)+'LINEST VARS'!$P$54*($DV36)+'LINEST VARS'!$O$54*(8^2)+'LINEST VARS'!$N$54*(8^2)+'LINEST VARS'!$M$54*($EA$32^2)+'LINEST VARS'!$L$54*(0.5^2)+'LINEST VARS'!$K$54*($DV36^2)+'LINEST VARS'!$J$54*(8*8)+'LINEST VARS'!$I$54*(8*$EA$32)+'LINEST VARS'!$H$54*(8*0.5)+'LINEST VARS'!$G$54*(8*$DV36)+'LINEST VARS'!$F$54*(8*$EA$32)+'LINEST VARS'!$E$54*(8*0.5)+'LINEST VARS'!$D$54*(8*$DV36)+'LINEST VARS'!$C$54*($EA$32*0.5)+'LINEST VARS'!$B$54*($EA$32*$DV36)+'LINEST VARS'!$A$54*(0.5*$DV36)</f>
        <v>3.9749999999999996</v>
      </c>
      <c r="EB36" s="51">
        <f>'LINEST VARS'!$U$54+'LINEST VARS'!$T$54*(8)+'LINEST VARS'!$S$54*(8)+'LINEST VARS'!$R$54*($EB$32)+'LINEST VARS'!$Q$54*(0.5)+'LINEST VARS'!$P$54*($DV36)+'LINEST VARS'!$O$54*(8^2)+'LINEST VARS'!$N$54*(8^2)+'LINEST VARS'!$M$54*($EB$32^2)+'LINEST VARS'!$L$54*(0.5^2)+'LINEST VARS'!$K$54*($DV36^2)+'LINEST VARS'!$J$54*(8*8)+'LINEST VARS'!$I$54*(8*$EB$32)+'LINEST VARS'!$H$54*(8*0.5)+'LINEST VARS'!$G$54*(8*$DV36)+'LINEST VARS'!$F$54*(8*$EB$32)+'LINEST VARS'!$E$54*(8*0.5)+'LINEST VARS'!$D$54*(8*$DV36)+'LINEST VARS'!$C$54*($EB$32*0.5)+'LINEST VARS'!$B$54*($EB$32*$DV36)+'LINEST VARS'!$A$54*(0.5*$DV36)</f>
        <v>3.9749999999999996</v>
      </c>
      <c r="EC36" s="51">
        <f>'LINEST VARS'!$U$54+'LINEST VARS'!$T$54*(8)+'LINEST VARS'!$S$54*(8)+'LINEST VARS'!$R$54*($EC$32)+'LINEST VARS'!$Q$54*(0.5)+'LINEST VARS'!$P$54*($DV36)+'LINEST VARS'!$O$54*(8^2)+'LINEST VARS'!$N$54*(8^2)+'LINEST VARS'!$M$54*($EC$32^2)+'LINEST VARS'!$L$54*(0.5^2)+'LINEST VARS'!$K$54*($DV36^2)+'LINEST VARS'!$J$54*(8*8)+'LINEST VARS'!$I$54*(8*$EC$32)+'LINEST VARS'!$H$54*(8*0.5)+'LINEST VARS'!$G$54*(8*$DV36)+'LINEST VARS'!$F$54*(8*$EC$32)+'LINEST VARS'!$E$54*(8*0.5)+'LINEST VARS'!$D$54*(8*$DV36)+'LINEST VARS'!$C$54*($EC$32*0.5)+'LINEST VARS'!$B$54*($EC$32*$DV36)+'LINEST VARS'!$A$54*(0.5*$DV36)</f>
        <v>3.9749999999999996</v>
      </c>
      <c r="ED36" s="51">
        <f>'LINEST VARS'!$U$54+'LINEST VARS'!$T$54*(8)+'LINEST VARS'!$S$54*(8)+'LINEST VARS'!$R$54*($ED$32)+'LINEST VARS'!$Q$54*(0.5)+'LINEST VARS'!$P$54*($DV36)+'LINEST VARS'!$O$54*(8^2)+'LINEST VARS'!$N$54*(8^2)+'LINEST VARS'!$M$54*($ED$32^2)+'LINEST VARS'!$L$54*(0.5^2)+'LINEST VARS'!$K$54*($DV36^2)+'LINEST VARS'!$J$54*(8*8)+'LINEST VARS'!$I$54*(8*$ED$32)+'LINEST VARS'!$H$54*(8*0.5)+'LINEST VARS'!$G$54*(8*$DV36)+'LINEST VARS'!$F$54*(8*$ED$32)+'LINEST VARS'!$E$54*(8*0.5)+'LINEST VARS'!$D$54*(8*$DV36)+'LINEST VARS'!$C$54*($ED$32*0.5)+'LINEST VARS'!$B$54*($ED$32*$DV36)+'LINEST VARS'!$A$54*(0.5*$DV36)</f>
        <v>3.9749999999999996</v>
      </c>
      <c r="EE36" s="51">
        <f>'LINEST VARS'!$U$54+'LINEST VARS'!$T$54*(8)+'LINEST VARS'!$S$54*(8)+'LINEST VARS'!$R$54*($EE$32)+'LINEST VARS'!$Q$54*(0.5)+'LINEST VARS'!$P$54*($DV36)+'LINEST VARS'!$O$54*(8^2)+'LINEST VARS'!$N$54*(8^2)+'LINEST VARS'!$M$54*($EE$32^2)+'LINEST VARS'!$L$54*(0.5^2)+'LINEST VARS'!$K$54*($DV36^2)+'LINEST VARS'!$J$54*(8*8)+'LINEST VARS'!$I$54*(8*$EE$32)+'LINEST VARS'!$H$54*(8*0.5)+'LINEST VARS'!$G$54*(8*$DV36)+'LINEST VARS'!$F$54*(8*$EE$32)+'LINEST VARS'!$E$54*(8*0.5)+'LINEST VARS'!$D$54*(8*$DV36)+'LINEST VARS'!$C$54*($EE$32*0.5)+'LINEST VARS'!$B$54*($EE$32*$DV36)+'LINEST VARS'!$A$54*(0.5*$DV36)</f>
        <v>3.9749999999999996</v>
      </c>
      <c r="EF36" s="51">
        <f>'LINEST VARS'!$U$54+'LINEST VARS'!$T$54*(8)+'LINEST VARS'!$S$54*(8)+'LINEST VARS'!$R$54*($EF$32)+'LINEST VARS'!$Q$54*(0.5)+'LINEST VARS'!$P$54*($DV36)+'LINEST VARS'!$O$54*(8^2)+'LINEST VARS'!$N$54*(8^2)+'LINEST VARS'!$M$54*($EF$32^2)+'LINEST VARS'!$L$54*(0.5^2)+'LINEST VARS'!$K$54*($DV36^2)+'LINEST VARS'!$J$54*(8*8)+'LINEST VARS'!$I$54*(8*$EF$32)+'LINEST VARS'!$H$54*(8*0.5)+'LINEST VARS'!$G$54*(8*$DV36)+'LINEST VARS'!$F$54*(8*$EF$32)+'LINEST VARS'!$E$54*(8*0.5)+'LINEST VARS'!$D$54*(8*$DV36)+'LINEST VARS'!$C$54*($EF$32*0.5)+'LINEST VARS'!$B$54*($EF$32*$DV36)+'LINEST VARS'!$A$54*(0.5*$DV36)</f>
        <v>3.9749999999999996</v>
      </c>
      <c r="EG36" s="51">
        <f>'LINEST VARS'!$U$54+'LINEST VARS'!$T$54*(8)+'LINEST VARS'!$S$54*(8)+'LINEST VARS'!$R$54*($EG$32)+'LINEST VARS'!$Q$54*(0.5)+'LINEST VARS'!$P$54*($DV36)+'LINEST VARS'!$O$54*(8^2)+'LINEST VARS'!$N$54*(8^2)+'LINEST VARS'!$M$54*($EG$32^2)+'LINEST VARS'!$L$54*(0.5^2)+'LINEST VARS'!$K$54*($DV36^2)+'LINEST VARS'!$J$54*(8*8)+'LINEST VARS'!$I$54*(8*$EG$32)+'LINEST VARS'!$H$54*(8*0.5)+'LINEST VARS'!$G$54*(8*$DV36)+'LINEST VARS'!$F$54*(8*$EG$32)+'LINEST VARS'!$E$54*(8*0.5)+'LINEST VARS'!$D$54*(8*$DV36)+'LINEST VARS'!$C$54*($EG$32*0.5)+'LINEST VARS'!$B$54*($EG$32*$DV36)+'LINEST VARS'!$A$54*(0.5*$DV36)</f>
        <v>3.9749999999999996</v>
      </c>
      <c r="EH36" s="51">
        <f>'LINEST VARS'!$U$54+'LINEST VARS'!$T$54*(8)+'LINEST VARS'!$S$54*(8)+'LINEST VARS'!$R$54*($EH$32)+'LINEST VARS'!$Q$54*(0.5)+'LINEST VARS'!$P$54*($DV36)+'LINEST VARS'!$O$54*(8^2)+'LINEST VARS'!$N$54*(8^2)+'LINEST VARS'!$M$54*($EH$32^2)+'LINEST VARS'!$L$54*(0.5^2)+'LINEST VARS'!$K$54*($DV36^2)+'LINEST VARS'!$J$54*(8*8)+'LINEST VARS'!$I$54*(8*$EH$32)+'LINEST VARS'!$H$54*(8*0.5)+'LINEST VARS'!$G$54*(8*$DV36)+'LINEST VARS'!$F$54*(8*$EH$32)+'LINEST VARS'!$E$54*(8*0.5)+'LINEST VARS'!$D$54*(8*$DV36)+'LINEST VARS'!$C$54*($EH$32*0.5)+'LINEST VARS'!$B$54*($EH$32*$DV36)+'LINEST VARS'!$A$54*(0.5*$DV36)</f>
        <v>3.9749999999999996</v>
      </c>
      <c r="EI36" s="51">
        <f>'LINEST VARS'!$U$54+'LINEST VARS'!$T$54*(8)+'LINEST VARS'!$S$54*(8)+'LINEST VARS'!$R$54*($EI$32)+'LINEST VARS'!$Q$54*(0.5)+'LINEST VARS'!$P$54*($DV36)+'LINEST VARS'!$O$54*(8^2)+'LINEST VARS'!$N$54*(8^2)+'LINEST VARS'!$M$54*($EI$32^2)+'LINEST VARS'!$L$54*(0.5^2)+'LINEST VARS'!$K$54*($DV36^2)+'LINEST VARS'!$J$54*(8*8)+'LINEST VARS'!$I$54*(8*$EI$32)+'LINEST VARS'!$H$54*(8*0.5)+'LINEST VARS'!$G$54*(8*$DV36)+'LINEST VARS'!$F$54*(8*$EI$32)+'LINEST VARS'!$E$54*(8*0.5)+'LINEST VARS'!$D$54*(8*$DV36)+'LINEST VARS'!$C$54*($EI$32*0.5)+'LINEST VARS'!$B$54*($EI$32*$DV36)+'LINEST VARS'!$A$54*(0.5*$DV36)</f>
        <v>3.9749999999999996</v>
      </c>
      <c r="EJ36" s="51">
        <f>'LINEST VARS'!$U$54+'LINEST VARS'!$T$54*(8)+'LINEST VARS'!$S$54*(8)+'LINEST VARS'!$R$54*($EJ$32)+'LINEST VARS'!$Q$54*(0.5)+'LINEST VARS'!$P$54*($DV36)+'LINEST VARS'!$O$54*(8^2)+'LINEST VARS'!$N$54*(8^2)+'LINEST VARS'!$M$54*($EJ$32^2)+'LINEST VARS'!$L$54*(0.5^2)+'LINEST VARS'!$K$54*($DV36^2)+'LINEST VARS'!$J$54*(8*8)+'LINEST VARS'!$I$54*(8*$EJ$32)+'LINEST VARS'!$H$54*(8*0.5)+'LINEST VARS'!$G$54*(8*$DV36)+'LINEST VARS'!$F$54*(8*$EJ$32)+'LINEST VARS'!$E$54*(8*0.5)+'LINEST VARS'!$D$54*(8*$DV36)+'LINEST VARS'!$C$54*($EJ$32*0.5)+'LINEST VARS'!$B$54*($EJ$32*$DV36)+'LINEST VARS'!$A$54*(0.5*$DV36)</f>
        <v>3.9749999999999996</v>
      </c>
      <c r="EK36" s="51">
        <f>'LINEST VARS'!$U$54+'LINEST VARS'!$T$54*(8)+'LINEST VARS'!$S$54*(8)+'LINEST VARS'!$R$54*($EK$32)+'LINEST VARS'!$Q$54*(0.5)+'LINEST VARS'!$P$54*($DV36)+'LINEST VARS'!$O$54*(8^2)+'LINEST VARS'!$N$54*(8^2)+'LINEST VARS'!$M$54*($EK$32^2)+'LINEST VARS'!$L$54*(0.5^2)+'LINEST VARS'!$K$54*($DV36^2)+'LINEST VARS'!$J$54*(8*8)+'LINEST VARS'!$I$54*(8*$EK$32)+'LINEST VARS'!$H$54*(8*0.5)+'LINEST VARS'!$G$54*(8*$DV36)+'LINEST VARS'!$F$54*(8*$EK$32)+'LINEST VARS'!$E$54*(8*0.5)+'LINEST VARS'!$D$54*(8*$DV36)+'LINEST VARS'!$C$54*($EK$32*0.5)+'LINEST VARS'!$B$54*($EK$32*$DV36)+'LINEST VARS'!$A$54*(0.5*$DV36)</f>
        <v>3.9749999999999996</v>
      </c>
      <c r="EL36" s="51">
        <f>'LINEST VARS'!$U$54+'LINEST VARS'!$T$54*(8)+'LINEST VARS'!$S$54*(8)+'LINEST VARS'!$R$54*($EL$32)+'LINEST VARS'!$Q$54*(0.5)+'LINEST VARS'!$P$54*($DV36)+'LINEST VARS'!$O$54*(8^2)+'LINEST VARS'!$N$54*(8^2)+'LINEST VARS'!$M$54*($EL$32^2)+'LINEST VARS'!$L$54*(0.5^2)+'LINEST VARS'!$K$54*($DV36^2)+'LINEST VARS'!$J$54*(8*8)+'LINEST VARS'!$I$54*(8*$EL$32)+'LINEST VARS'!$H$54*(8*0.5)+'LINEST VARS'!$G$54*(8*$DV36)+'LINEST VARS'!$F$54*(8*$EL$32)+'LINEST VARS'!$E$54*(8*0.5)+'LINEST VARS'!$D$54*(8*$DV36)+'LINEST VARS'!$C$54*($EL$32*0.5)+'LINEST VARS'!$B$54*($EL$32*$DV36)+'LINEST VARS'!$A$54*(0.5*$DV36)</f>
        <v>3.9749999999999996</v>
      </c>
      <c r="EM36" s="51">
        <f>'LINEST VARS'!$U$54+'LINEST VARS'!$T$54*(8)+'LINEST VARS'!$S$54*(8)+'LINEST VARS'!$R$54*($EM$32)+'LINEST VARS'!$Q$54*(0.5)+'LINEST VARS'!$P$54*($DV36)+'LINEST VARS'!$O$54*(8^2)+'LINEST VARS'!$N$54*(8^2)+'LINEST VARS'!$M$54*($EM$32^2)+'LINEST VARS'!$L$54*(0.5^2)+'LINEST VARS'!$K$54*($DV36^2)+'LINEST VARS'!$J$54*(8*8)+'LINEST VARS'!$I$54*(8*$EM$32)+'LINEST VARS'!$H$54*(8*0.5)+'LINEST VARS'!$G$54*(8*$DV36)+'LINEST VARS'!$F$54*(8*$EM$32)+'LINEST VARS'!$E$54*(8*0.5)+'LINEST VARS'!$D$54*(8*$DV36)+'LINEST VARS'!$C$54*($EM$32*0.5)+'LINEST VARS'!$B$54*($EM$32*$DV36)+'LINEST VARS'!$A$54*(0.5*$DV36)</f>
        <v>3.9749999999999996</v>
      </c>
      <c r="EN36" s="51">
        <f>'LINEST VARS'!$U$54+'LINEST VARS'!$T$54*(8)+'LINEST VARS'!$S$54*(8)+'LINEST VARS'!$R$54*($EN$32)+'LINEST VARS'!$Q$54*(0.5)+'LINEST VARS'!$P$54*($DV36)+'LINEST VARS'!$O$54*(8^2)+'LINEST VARS'!$N$54*(8^2)+'LINEST VARS'!$M$54*($EN$32^2)+'LINEST VARS'!$L$54*(0.5^2)+'LINEST VARS'!$K$54*($DV36^2)+'LINEST VARS'!$J$54*(8*8)+'LINEST VARS'!$I$54*(8*$EN$32)+'LINEST VARS'!$H$54*(8*0.5)+'LINEST VARS'!$G$54*(8*$DV36)+'LINEST VARS'!$F$54*(8*$EN$32)+'LINEST VARS'!$E$54*(8*0.5)+'LINEST VARS'!$D$54*(8*$DV36)+'LINEST VARS'!$C$54*($EN$32*0.5)+'LINEST VARS'!$B$54*($EN$32*$DV36)+'LINEST VARS'!$A$54*(0.5*$DV36)</f>
        <v>3.9749999999999996</v>
      </c>
      <c r="EO36" s="51">
        <f>'LINEST VARS'!$U$54+'LINEST VARS'!$T$54*(8)+'LINEST VARS'!$S$54*(8)+'LINEST VARS'!$R$54*($EO$32)+'LINEST VARS'!$Q$54*(0.5)+'LINEST VARS'!$P$54*($DV36)+'LINEST VARS'!$O$54*(8^2)+'LINEST VARS'!$N$54*(8^2)+'LINEST VARS'!$M$54*($EO$32^2)+'LINEST VARS'!$L$54*(0.5^2)+'LINEST VARS'!$K$54*($DV36^2)+'LINEST VARS'!$J$54*(8*8)+'LINEST VARS'!$I$54*(8*$EO$32)+'LINEST VARS'!$H$54*(8*0.5)+'LINEST VARS'!$G$54*(8*$DV36)+'LINEST VARS'!$F$54*(8*$EO$32)+'LINEST VARS'!$E$54*(8*0.5)+'LINEST VARS'!$D$54*(8*$DV36)+'LINEST VARS'!$C$54*($EO$32*0.5)+'LINEST VARS'!$B$54*($EO$32*$DV36)+'LINEST VARS'!$A$54*(0.5*$DV36)</f>
        <v>3.9749999999999996</v>
      </c>
      <c r="EP36" s="51">
        <f>'LINEST VARS'!$U$54+'LINEST VARS'!$T$54*(8)+'LINEST VARS'!$S$54*(8)+'LINEST VARS'!$R$54*($EP$32)+'LINEST VARS'!$Q$54*(0.5)+'LINEST VARS'!$P$54*($DV36)+'LINEST VARS'!$O$54*(8^2)+'LINEST VARS'!$N$54*(8^2)+'LINEST VARS'!$M$54*($EP$32^2)+'LINEST VARS'!$L$54*(0.5^2)+'LINEST VARS'!$K$54*($DV36^2)+'LINEST VARS'!$J$54*(8*8)+'LINEST VARS'!$I$54*(8*$EP$32)+'LINEST VARS'!$H$54*(8*0.5)+'LINEST VARS'!$G$54*(8*$DV36)+'LINEST VARS'!$F$54*(8*$EP$32)+'LINEST VARS'!$E$54*(8*0.5)+'LINEST VARS'!$D$54*(8*$DV36)+'LINEST VARS'!$C$54*($EP$32*0.5)+'LINEST VARS'!$B$54*($EP$32*$DV36)+'LINEST VARS'!$A$54*(0.5*$DV36)</f>
        <v>3.9749999999999996</v>
      </c>
      <c r="EQ36" s="52">
        <f>'LINEST VARS'!$U$54+'LINEST VARS'!$T$54*(8)+'LINEST VARS'!$S$54*(8)+'LINEST VARS'!$R$54*($EQ$32)+'LINEST VARS'!$Q$54*(0.5)+'LINEST VARS'!$P$54*($DV36)+'LINEST VARS'!$O$54*(8^2)+'LINEST VARS'!$N$54*(8^2)+'LINEST VARS'!$M$54*($EQ$32^2)+'LINEST VARS'!$L$54*(0.5^2)+'LINEST VARS'!$K$54*($DV36^2)+'LINEST VARS'!$J$54*(8*8)+'LINEST VARS'!$I$54*(8*$EQ$32)+'LINEST VARS'!$H$54*(8*0.5)+'LINEST VARS'!$G$54*(8*$DV36)+'LINEST VARS'!$F$54*(8*$EQ$32)+'LINEST VARS'!$E$54*(8*0.5)+'LINEST VARS'!$D$54*(8*$DV36)+'LINEST VARS'!$C$54*($EQ$32*0.5)+'LINEST VARS'!$B$54*($EQ$32*$DV36)+'LINEST VARS'!$A$54*(0.5*$DV36)</f>
        <v>3.9749999999999996</v>
      </c>
    </row>
    <row r="37" spans="2:147" ht="15" customHeight="1" x14ac:dyDescent="0.25">
      <c r="B37" s="45">
        <v>7.64</v>
      </c>
      <c r="C37" s="51">
        <f>'LINEST VARS'!$U$52+'LINEST VARS'!$T$52*($C$32)+'LINEST VARS'!$S$52*($B37)+'LINEST VARS'!$R$52*(4)+'LINEST VARS'!$Q$52*(0.5)+'LINEST VARS'!$P$52*(12.73)+'LINEST VARS'!$O$52*($C$32^2)+'LINEST VARS'!$N$52*($B37^2)+'LINEST VARS'!$M$52*(4^2)+'LINEST VARS'!$L$52*(0.5^2)+'LINEST VARS'!$K$52*(12.73^2)+'LINEST VARS'!$J$52*($C$32*$B37)+'LINEST VARS'!$I$52*($C$32*4)+'LINEST VARS'!$H$52*($C$32*0.5)+'LINEST VARS'!$G$52*($C$32*12.73)+'LINEST VARS'!$F$52*($B37*4)+'LINEST VARS'!$E$52*($B37*0.5)+'LINEST VARS'!$D$52*($B37*12.73)+'LINEST VARS'!$C$52*(4*0.5)+'LINEST VARS'!$B$52*(4*12.73)+'LINEST VARS'!$A$52*(0.5*12.73)</f>
        <v>4.4499999999999993</v>
      </c>
      <c r="D37" s="51">
        <f>'LINEST VARS'!$U$52+'LINEST VARS'!$T$52*($D$32)+'LINEST VARS'!$S$52*($B37)+'LINEST VARS'!$R$52*(4)+'LINEST VARS'!$Q$52*(0.5)+'LINEST VARS'!$P$52*(12.73)+'LINEST VARS'!$O$52*($D$32^2)+'LINEST VARS'!$N$52*($B37^2)+'LINEST VARS'!$M$52*(4^2)+'LINEST VARS'!$L$52*(0.5^2)+'LINEST VARS'!$K$52*(12.73^2)+'LINEST VARS'!$J$52*($D$32*$B37)+'LINEST VARS'!$I$52*($D$32*4)+'LINEST VARS'!$H$52*($D$32*0.5)+'LINEST VARS'!$G$52*($D$32*12.73)+'LINEST VARS'!$F$52*($B37*4)+'LINEST VARS'!$E$52*($B37*0.5)+'LINEST VARS'!$D$52*($B37*12.73)+'LINEST VARS'!$C$52*(4*0.5)+'LINEST VARS'!$B$52*(4*12.73)+'LINEST VARS'!$A$52*(0.5*12.73)</f>
        <v>4.4499999999999993</v>
      </c>
      <c r="E37" s="51">
        <f>'LINEST VARS'!$U$52+'LINEST VARS'!$T$52*($E$32)+'LINEST VARS'!$S$52*($B37)+'LINEST VARS'!$R$52*(4)+'LINEST VARS'!$Q$52*(0.5)+'LINEST VARS'!$P$52*(12.73)+'LINEST VARS'!$O$52*($E$32^2)+'LINEST VARS'!$N$52*($B37^2)+'LINEST VARS'!$M$52*(4^2)+'LINEST VARS'!$L$52*(0.5^2)+'LINEST VARS'!$K$52*(12.73^2)+'LINEST VARS'!$J$52*($E$32*$B37)+'LINEST VARS'!$I$52*($E$32*4)+'LINEST VARS'!$H$52*($E$32*0.5)+'LINEST VARS'!$G$52*($E$32*12.73)+'LINEST VARS'!$F$52*($B37*4)+'LINEST VARS'!$E$52*($B37*0.5)+'LINEST VARS'!$D$52*($B37*12.73)+'LINEST VARS'!$C$52*(4*0.5)+'LINEST VARS'!$B$52*(4*12.73)+'LINEST VARS'!$A$52*(0.5*12.73)</f>
        <v>4.4499999999999993</v>
      </c>
      <c r="F37" s="51">
        <f>'LINEST VARS'!$U$52+'LINEST VARS'!$T$52*($F$32)+'LINEST VARS'!$S$52*($B37)+'LINEST VARS'!$R$52*(4)+'LINEST VARS'!$Q$52*(0.5)+'LINEST VARS'!$P$52*(12.73)+'LINEST VARS'!$O$52*($F$32^2)+'LINEST VARS'!$N$52*($B37^2)+'LINEST VARS'!$M$52*(4^2)+'LINEST VARS'!$L$52*(0.5^2)+'LINEST VARS'!$K$52*(12.73^2)+'LINEST VARS'!$J$52*($F$32*$B37)+'LINEST VARS'!$I$52*($F$32*4)+'LINEST VARS'!$H$52*($F$32*0.5)+'LINEST VARS'!$G$52*($F$32*12.73)+'LINEST VARS'!$F$52*($B37*4)+'LINEST VARS'!$E$52*($B37*0.5)+'LINEST VARS'!$D$52*($B37*12.73)+'LINEST VARS'!$C$52*(4*0.5)+'LINEST VARS'!$B$52*(4*12.73)+'LINEST VARS'!$A$52*(0.5*12.73)</f>
        <v>4.4499999999999993</v>
      </c>
      <c r="G37" s="51">
        <f>'LINEST VARS'!$U$52+'LINEST VARS'!$T$52*($G$32)+'LINEST VARS'!$S$52*($B37)+'LINEST VARS'!$R$52*(4)+'LINEST VARS'!$Q$52*(0.5)+'LINEST VARS'!$P$52*(12.73)+'LINEST VARS'!$O$52*($G$32^2)+'LINEST VARS'!$N$52*($B37^2)+'LINEST VARS'!$M$52*(4^2)+'LINEST VARS'!$L$52*(0.5^2)+'LINEST VARS'!$K$52*(12.73^2)+'LINEST VARS'!$J$52*($G$32*$B37)+'LINEST VARS'!$I$52*($G$32*4)+'LINEST VARS'!$H$52*($G$32*0.5)+'LINEST VARS'!$G$52*($G$32*12.73)+'LINEST VARS'!$F$52*($B37*4)+'LINEST VARS'!$E$52*($B37*0.5)+'LINEST VARS'!$D$52*($B37*12.73)+'LINEST VARS'!$C$52*(4*0.5)+'LINEST VARS'!$B$52*(4*12.73)+'LINEST VARS'!$A$52*(0.5*12.73)</f>
        <v>4.4499999999999993</v>
      </c>
      <c r="H37" s="51">
        <f>'LINEST VARS'!$U$52+'LINEST VARS'!$T$52*($H$32)+'LINEST VARS'!$S$52*($B37)+'LINEST VARS'!$R$52*(4)+'LINEST VARS'!$Q$52*(0.5)+'LINEST VARS'!$P$52*(12.73)+'LINEST VARS'!$O$52*($H$32^2)+'LINEST VARS'!$N$52*($B37^2)+'LINEST VARS'!$M$52*(4^2)+'LINEST VARS'!$L$52*(0.5^2)+'LINEST VARS'!$K$52*(12.73^2)+'LINEST VARS'!$J$52*($H$32*$B37)+'LINEST VARS'!$I$52*($H$32*4)+'LINEST VARS'!$H$52*($H$32*0.5)+'LINEST VARS'!$G$52*($H$32*12.73)+'LINEST VARS'!$F$52*($B37*4)+'LINEST VARS'!$E$52*($B37*0.5)+'LINEST VARS'!$D$52*($B37*12.73)+'LINEST VARS'!$C$52*(4*0.5)+'LINEST VARS'!$B$52*(4*12.73)+'LINEST VARS'!$A$52*(0.5*12.73)</f>
        <v>4.4499999999999993</v>
      </c>
      <c r="I37" s="51">
        <f>'LINEST VARS'!$U$52+'LINEST VARS'!$T$52*($I$32)+'LINEST VARS'!$S$52*($B37)+'LINEST VARS'!$R$52*(4)+'LINEST VARS'!$Q$52*(0.5)+'LINEST VARS'!$P$52*(12.73)+'LINEST VARS'!$O$52*($I$32^2)+'LINEST VARS'!$N$52*($B37^2)+'LINEST VARS'!$M$52*(4^2)+'LINEST VARS'!$L$52*(0.5^2)+'LINEST VARS'!$K$52*(12.73^2)+'LINEST VARS'!$J$52*($I$32*$B37)+'LINEST VARS'!$I$52*($I$32*4)+'LINEST VARS'!$H$52*($I$32*0.5)+'LINEST VARS'!$G$52*($I$32*12.73)+'LINEST VARS'!$F$52*($B37*4)+'LINEST VARS'!$E$52*($B37*0.5)+'LINEST VARS'!$D$52*($B37*12.73)+'LINEST VARS'!$C$52*(4*0.5)+'LINEST VARS'!$B$52*(4*12.73)+'LINEST VARS'!$A$52*(0.5*12.73)</f>
        <v>4.4499999999999993</v>
      </c>
      <c r="J37" s="51">
        <f>'LINEST VARS'!$U$52+'LINEST VARS'!$T$52*($J$32)+'LINEST VARS'!$S$52*($B37)+'LINEST VARS'!$R$52*(4)+'LINEST VARS'!$Q$52*(0.5)+'LINEST VARS'!$P$52*(12.73)+'LINEST VARS'!$O$52*($J$32^2)+'LINEST VARS'!$N$52*($B37^2)+'LINEST VARS'!$M$52*(4^2)+'LINEST VARS'!$L$52*(0.5^2)+'LINEST VARS'!$K$52*(12.73^2)+'LINEST VARS'!$J$52*($J$32*$B37)+'LINEST VARS'!$I$52*($J$32*4)+'LINEST VARS'!$H$52*($J$32*0.5)+'LINEST VARS'!$G$52*($J$32*12.73)+'LINEST VARS'!$F$52*($B37*4)+'LINEST VARS'!$E$52*($B37*0.5)+'LINEST VARS'!$D$52*($B37*12.73)+'LINEST VARS'!$C$52*(4*0.5)+'LINEST VARS'!$B$52*(4*12.73)+'LINEST VARS'!$A$52*(0.5*12.73)</f>
        <v>4.4499999999999993</v>
      </c>
      <c r="K37" s="51">
        <f>'LINEST VARS'!$U$52+'LINEST VARS'!$T$52*($K$32)+'LINEST VARS'!$S$52*($B37)+'LINEST VARS'!$R$52*(4)+'LINEST VARS'!$Q$52*(0.5)+'LINEST VARS'!$P$52*(12.73)+'LINEST VARS'!$O$52*($K$32^2)+'LINEST VARS'!$N$52*($B37^2)+'LINEST VARS'!$M$52*(4^2)+'LINEST VARS'!$L$52*(0.5^2)+'LINEST VARS'!$K$52*(12.73^2)+'LINEST VARS'!$J$52*($K$32*$B37)+'LINEST VARS'!$I$52*($K$32*4)+'LINEST VARS'!$H$52*($K$32*0.5)+'LINEST VARS'!$G$52*($K$32*12.73)+'LINEST VARS'!$F$52*($B37*4)+'LINEST VARS'!$E$52*($B37*0.5)+'LINEST VARS'!$D$52*($B37*12.73)+'LINEST VARS'!$C$52*(4*0.5)+'LINEST VARS'!$B$52*(4*12.73)+'LINEST VARS'!$A$52*(0.5*12.73)</f>
        <v>4.4499999999999993</v>
      </c>
      <c r="L37" s="51">
        <f>'LINEST VARS'!$U$52+'LINEST VARS'!$T$52*($L$32)+'LINEST VARS'!$S$52*($B37)+'LINEST VARS'!$R$52*(4)+'LINEST VARS'!$Q$52*(0.5)+'LINEST VARS'!$P$52*(12.73)+'LINEST VARS'!$O$52*($L$32^2)+'LINEST VARS'!$N$52*($B37^2)+'LINEST VARS'!$M$52*(4^2)+'LINEST VARS'!$L$52*(0.5^2)+'LINEST VARS'!$K$52*(12.73^2)+'LINEST VARS'!$J$52*($L$32*$B37)+'LINEST VARS'!$I$52*($L$32*4)+'LINEST VARS'!$H$52*($L$32*0.5)+'LINEST VARS'!$G$52*($L$32*12.73)+'LINEST VARS'!$F$52*($B37*4)+'LINEST VARS'!$E$52*($B37*0.5)+'LINEST VARS'!$D$52*($B37*12.73)+'LINEST VARS'!$C$52*(4*0.5)+'LINEST VARS'!$B$52*(4*12.73)+'LINEST VARS'!$A$52*(0.5*12.73)</f>
        <v>4.4499999999999993</v>
      </c>
      <c r="M37" s="51">
        <f>'LINEST VARS'!$U$52+'LINEST VARS'!$T$52*($M$32)+'LINEST VARS'!$S$52*($B37)+'LINEST VARS'!$R$52*(4)+'LINEST VARS'!$Q$52*(0.5)+'LINEST VARS'!$P$52*(12.73)+'LINEST VARS'!$O$52*($M$32^2)+'LINEST VARS'!$N$52*($B37^2)+'LINEST VARS'!$M$52*(4^2)+'LINEST VARS'!$L$52*(0.5^2)+'LINEST VARS'!$K$52*(12.73^2)+'LINEST VARS'!$J$52*($M$32*$B37)+'LINEST VARS'!$I$52*($M$32*4)+'LINEST VARS'!$H$52*($M$32*0.5)+'LINEST VARS'!$G$52*($M$32*12.73)+'LINEST VARS'!$F$52*($B37*4)+'LINEST VARS'!$E$52*($B37*0.5)+'LINEST VARS'!$D$52*($B37*12.73)+'LINEST VARS'!$C$52*(4*0.5)+'LINEST VARS'!$B$52*(4*12.73)+'LINEST VARS'!$A$52*(0.5*12.73)</f>
        <v>4.4499999999999993</v>
      </c>
      <c r="N37" s="51">
        <f>'LINEST VARS'!$U$52+'LINEST VARS'!$T$52*($N$32)+'LINEST VARS'!$S$52*($B37)+'LINEST VARS'!$R$52*(4)+'LINEST VARS'!$Q$52*(0.5)+'LINEST VARS'!$P$52*(12.73)+'LINEST VARS'!$O$52*($N$32^2)+'LINEST VARS'!$N$52*($B37^2)+'LINEST VARS'!$M$52*(4^2)+'LINEST VARS'!$L$52*(0.5^2)+'LINEST VARS'!$K$52*(12.73^2)+'LINEST VARS'!$J$52*($N$32*$B37)+'LINEST VARS'!$I$52*($N$32*4)+'LINEST VARS'!$H$52*($N$32*0.5)+'LINEST VARS'!$G$52*($N$32*12.73)+'LINEST VARS'!$F$52*($B37*4)+'LINEST VARS'!$E$52*($B37*0.5)+'LINEST VARS'!$D$52*($B37*12.73)+'LINEST VARS'!$C$52*(4*0.5)+'LINEST VARS'!$B$52*(4*12.73)+'LINEST VARS'!$A$52*(0.5*12.73)</f>
        <v>4.4499999999999993</v>
      </c>
      <c r="O37" s="51">
        <f>'LINEST VARS'!$U$52+'LINEST VARS'!$T$52*($O$32)+'LINEST VARS'!$S$52*($B37)+'LINEST VARS'!$R$52*(4)+'LINEST VARS'!$Q$52*(0.5)+'LINEST VARS'!$P$52*(12.73)+'LINEST VARS'!$O$52*($O$32^2)+'LINEST VARS'!$N$52*($B37^2)+'LINEST VARS'!$M$52*(4^2)+'LINEST VARS'!$L$52*(0.5^2)+'LINEST VARS'!$K$52*(12.73^2)+'LINEST VARS'!$J$52*($O$32*$B37)+'LINEST VARS'!$I$52*($O$32*4)+'LINEST VARS'!$H$52*($O$32*0.5)+'LINEST VARS'!$G$52*($O$32*12.73)+'LINEST VARS'!$F$52*($B37*4)+'LINEST VARS'!$E$52*($B37*0.5)+'LINEST VARS'!$D$52*($B37*12.73)+'LINEST VARS'!$C$52*(4*0.5)+'LINEST VARS'!$B$52*(4*12.73)+'LINEST VARS'!$A$52*(0.5*12.73)</f>
        <v>4.4499999999999993</v>
      </c>
      <c r="P37" s="51">
        <f>'LINEST VARS'!$U$52+'LINEST VARS'!$T$52*($P$32)+'LINEST VARS'!$S$52*($B37)+'LINEST VARS'!$R$52*(4)+'LINEST VARS'!$Q$52*(0.5)+'LINEST VARS'!$P$52*(12.73)+'LINEST VARS'!$O$52*($P$32^2)+'LINEST VARS'!$N$52*($B37^2)+'LINEST VARS'!$M$52*(4^2)+'LINEST VARS'!$L$52*(0.5^2)+'LINEST VARS'!$K$52*(12.73^2)+'LINEST VARS'!$J$52*($P$32*$B37)+'LINEST VARS'!$I$52*($P$32*4)+'LINEST VARS'!$H$52*($P$32*0.5)+'LINEST VARS'!$G$52*($P$32*12.73)+'LINEST VARS'!$F$52*($B37*4)+'LINEST VARS'!$E$52*($B37*0.5)+'LINEST VARS'!$D$52*($B37*12.73)+'LINEST VARS'!$C$52*(4*0.5)+'LINEST VARS'!$B$52*(4*12.73)+'LINEST VARS'!$A$52*(0.5*12.73)</f>
        <v>4.4499999999999993</v>
      </c>
      <c r="Q37" s="51">
        <f>'LINEST VARS'!$U$52+'LINEST VARS'!$T$52*($Q$32)+'LINEST VARS'!$S$52*($B37)+'LINEST VARS'!$R$52*(4)+'LINEST VARS'!$Q$52*(0.5)+'LINEST VARS'!$P$52*(12.73)+'LINEST VARS'!$O$52*($Q$32^2)+'LINEST VARS'!$N$52*($B37^2)+'LINEST VARS'!$M$52*(4^2)+'LINEST VARS'!$L$52*(0.5^2)+'LINEST VARS'!$K$52*(12.73^2)+'LINEST VARS'!$J$52*($Q$32*$B37)+'LINEST VARS'!$I$52*($Q$32*4)+'LINEST VARS'!$H$52*($Q$32*0.5)+'LINEST VARS'!$G$52*($Q$32*12.73)+'LINEST VARS'!$F$52*($B37*4)+'LINEST VARS'!$E$52*($B37*0.5)+'LINEST VARS'!$D$52*($B37*12.73)+'LINEST VARS'!$C$52*(4*0.5)+'LINEST VARS'!$B$52*(4*12.73)+'LINEST VARS'!$A$52*(0.5*12.73)</f>
        <v>4.4499999999999993</v>
      </c>
      <c r="R37" s="51">
        <f>'LINEST VARS'!$U$52+'LINEST VARS'!$T$52*($R$32)+'LINEST VARS'!$S$52*($B37)+'LINEST VARS'!$R$52*(4)+'LINEST VARS'!$Q$52*(0.5)+'LINEST VARS'!$P$52*(12.73)+'LINEST VARS'!$O$52*($R$32^2)+'LINEST VARS'!$N$52*($B37^2)+'LINEST VARS'!$M$52*(4^2)+'LINEST VARS'!$L$52*(0.5^2)+'LINEST VARS'!$K$52*(12.73^2)+'LINEST VARS'!$J$52*($R$32*$B37)+'LINEST VARS'!$I$52*($R$32*4)+'LINEST VARS'!$H$52*($R$32*0.5)+'LINEST VARS'!$G$52*($R$32*12.73)+'LINEST VARS'!$F$52*($B37*4)+'LINEST VARS'!$E$52*($B37*0.5)+'LINEST VARS'!$D$52*($B37*12.73)+'LINEST VARS'!$C$52*(4*0.5)+'LINEST VARS'!$B$52*(4*12.73)+'LINEST VARS'!$A$52*(0.5*12.73)</f>
        <v>4.4499999999999993</v>
      </c>
      <c r="S37" s="51">
        <f>'LINEST VARS'!$U$52+'LINEST VARS'!$T$52*($S$32)+'LINEST VARS'!$S$52*($B37)+'LINEST VARS'!$R$52*(4)+'LINEST VARS'!$Q$52*(0.5)+'LINEST VARS'!$P$52*(12.73)+'LINEST VARS'!$O$52*($S$32^2)+'LINEST VARS'!$N$52*($B37^2)+'LINEST VARS'!$M$52*(4^2)+'LINEST VARS'!$L$52*(0.5^2)+'LINEST VARS'!$K$52*(12.73^2)+'LINEST VARS'!$J$52*($S$32*$B37)+'LINEST VARS'!$I$52*($S$32*4)+'LINEST VARS'!$H$52*($S$32*0.5)+'LINEST VARS'!$G$52*($S$32*12.73)+'LINEST VARS'!$F$52*($B37*4)+'LINEST VARS'!$E$52*($B37*0.5)+'LINEST VARS'!$D$52*($B37*12.73)+'LINEST VARS'!$C$52*(4*0.5)+'LINEST VARS'!$B$52*(4*12.73)+'LINEST VARS'!$A$52*(0.5*12.73)</f>
        <v>4.4499999999999993</v>
      </c>
      <c r="T37" s="51">
        <f>'LINEST VARS'!$U$52+'LINEST VARS'!$T$52*($T$32)+'LINEST VARS'!$S$52*($B37)+'LINEST VARS'!$R$52*(4)+'LINEST VARS'!$Q$52*(0.5)+'LINEST VARS'!$P$52*(12.73)+'LINEST VARS'!$O$52*($T$32^2)+'LINEST VARS'!$N$52*($B37^2)+'LINEST VARS'!$M$52*(4^2)+'LINEST VARS'!$L$52*(0.5^2)+'LINEST VARS'!$K$52*(12.73^2)+'LINEST VARS'!$J$52*($T$32*$B37)+'LINEST VARS'!$I$52*($T$32*4)+'LINEST VARS'!$H$52*($T$32*0.5)+'LINEST VARS'!$G$52*($T$32*12.73)+'LINEST VARS'!$F$52*($B37*4)+'LINEST VARS'!$E$52*($B37*0.5)+'LINEST VARS'!$D$52*($B37*12.73)+'LINEST VARS'!$C$52*(4*0.5)+'LINEST VARS'!$B$52*(4*12.73)+'LINEST VARS'!$A$52*(0.5*12.73)</f>
        <v>4.4499999999999993</v>
      </c>
      <c r="U37" s="51">
        <f>'LINEST VARS'!$U$52+'LINEST VARS'!$T$52*($U$32)+'LINEST VARS'!$S$52*($B37)+'LINEST VARS'!$R$52*(4)+'LINEST VARS'!$Q$52*(0.5)+'LINEST VARS'!$P$52*(12.73)+'LINEST VARS'!$O$52*($U$32^2)+'LINEST VARS'!$N$52*($B37^2)+'LINEST VARS'!$M$52*(4^2)+'LINEST VARS'!$L$52*(0.5^2)+'LINEST VARS'!$K$52*(12.73^2)+'LINEST VARS'!$J$52*($U$32*$B37)+'LINEST VARS'!$I$52*($U$32*4)+'LINEST VARS'!$H$52*($U$32*0.5)+'LINEST VARS'!$G$52*($U$32*12.73)+'LINEST VARS'!$F$52*($B37*4)+'LINEST VARS'!$E$52*($B37*0.5)+'LINEST VARS'!$D$52*($B37*12.73)+'LINEST VARS'!$C$52*(4*0.5)+'LINEST VARS'!$B$52*(4*12.73)+'LINEST VARS'!$A$52*(0.5*12.73)</f>
        <v>4.4499999999999993</v>
      </c>
      <c r="V37" s="51">
        <f>'LINEST VARS'!$U$52+'LINEST VARS'!$T$52*($V$32)+'LINEST VARS'!$S$52*($B37)+'LINEST VARS'!$R$52*(4)+'LINEST VARS'!$Q$52*(0.5)+'LINEST VARS'!$P$52*(12.73)+'LINEST VARS'!$O$52*($V$32^2)+'LINEST VARS'!$N$52*($B37^2)+'LINEST VARS'!$M$52*(4^2)+'LINEST VARS'!$L$52*(0.5^2)+'LINEST VARS'!$K$52*(12.73^2)+'LINEST VARS'!$J$52*($V$32*$B37)+'LINEST VARS'!$I$52*($V$32*4)+'LINEST VARS'!$H$52*($V$32*0.5)+'LINEST VARS'!$G$52*($V$32*12.73)+'LINEST VARS'!$F$52*($B37*4)+'LINEST VARS'!$E$52*($B37*0.5)+'LINEST VARS'!$D$52*($B37*12.73)+'LINEST VARS'!$C$52*(4*0.5)+'LINEST VARS'!$B$52*(4*12.73)+'LINEST VARS'!$A$52*(0.5*12.73)</f>
        <v>4.45</v>
      </c>
      <c r="W37" s="52">
        <f>'LINEST VARS'!$U$52+'LINEST VARS'!$T$52*($W$32)+'LINEST VARS'!$S$52*($B37)+'LINEST VARS'!$R$52*(4)+'LINEST VARS'!$Q$52*(0.5)+'LINEST VARS'!$P$52*(12.73)+'LINEST VARS'!$O$52*($W$32^2)+'LINEST VARS'!$N$52*($B37^2)+'LINEST VARS'!$M$52*(4^2)+'LINEST VARS'!$L$52*(0.5^2)+'LINEST VARS'!$K$52*(12.73^2)+'LINEST VARS'!$J$52*($W$32*$B37)+'LINEST VARS'!$I$52*($W$32*4)+'LINEST VARS'!$H$52*($W$32*0.5)+'LINEST VARS'!$G$52*($W$32*12.73)+'LINEST VARS'!$F$52*($B37*4)+'LINEST VARS'!$E$52*($B37*0.5)+'LINEST VARS'!$D$52*($B37*12.73)+'LINEST VARS'!$C$52*(4*0.5)+'LINEST VARS'!$B$52*(4*12.73)+'LINEST VARS'!$A$52*(0.5*12.73)</f>
        <v>4.45</v>
      </c>
      <c r="Z37" s="45">
        <v>7.64</v>
      </c>
      <c r="AA37" s="51">
        <f>'LINEST VARS'!$U$54+'LINEST VARS'!$T$54*($AA$32)+'LINEST VARS'!$S$54*($Z37)+'LINEST VARS'!$R$54*(4)+'LINEST VARS'!$Q$54*(0.5)+'LINEST VARS'!$P$54*(12.73)+'LINEST VARS'!$O$54*($AA$32^2)+'LINEST VARS'!$N$54*($Z37^2)+'LINEST VARS'!$M$54*(4^2)+'LINEST VARS'!$L$54*(0.5^2)+'LINEST VARS'!$K$54*(12.73^2)+'LINEST VARS'!$J$54*($AA$32*$Z37)+'LINEST VARS'!$I$54*($AA$32*4)+'LINEST VARS'!$H$54*($AA$32*0.5)+'LINEST VARS'!$G$54*($AA$32*12.73)+'LINEST VARS'!$F$54*($Z37*4)+'LINEST VARS'!$E$54*($Z37*0.5)+'LINEST VARS'!$D$54*($Z37*12.73)+'LINEST VARS'!$C$54*(4*0.5)+'LINEST VARS'!$B$54*(4*12.73)+'LINEST VARS'!$A$54*(0.5*12.73)</f>
        <v>3.9750000000000001</v>
      </c>
      <c r="AB37" s="51">
        <f>'LINEST VARS'!$U$54+'LINEST VARS'!$T$54*($AB$32)+'LINEST VARS'!$S$54*($Z37)+'LINEST VARS'!$R$54*(4)+'LINEST VARS'!$Q$54*(0.5)+'LINEST VARS'!$P$54*(12.73)+'LINEST VARS'!$O$54*($AB$32^2)+'LINEST VARS'!$N$54*($Z37^2)+'LINEST VARS'!$M$54*(4^2)+'LINEST VARS'!$L$54*(0.5^2)+'LINEST VARS'!$K$54*(12.73^2)+'LINEST VARS'!$J$54*($AB$32*$Z37)+'LINEST VARS'!$I$54*($AB$32*4)+'LINEST VARS'!$H$54*($AB$32*0.5)+'LINEST VARS'!$G$54*($AB$32*12.73)+'LINEST VARS'!$F$54*($Z37*4)+'LINEST VARS'!$E$54*($Z37*0.5)+'LINEST VARS'!$D$54*($Z37*12.73)+'LINEST VARS'!$C$54*(4*0.5)+'LINEST VARS'!$B$54*(4*12.73)+'LINEST VARS'!$A$54*(0.5*12.73)</f>
        <v>3.9750000000000001</v>
      </c>
      <c r="AC37" s="51">
        <f>'LINEST VARS'!$U$54+'LINEST VARS'!$T$54*($AC$32)+'LINEST VARS'!$S$54*($Z37)+'LINEST VARS'!$R$54*(4)+'LINEST VARS'!$Q$54*(0.5)+'LINEST VARS'!$P$54*(12.73)+'LINEST VARS'!$O$54*($AC$32^2)+'LINEST VARS'!$N$54*($Z37^2)+'LINEST VARS'!$M$54*(4^2)+'LINEST VARS'!$L$54*(0.5^2)+'LINEST VARS'!$K$54*(12.73^2)+'LINEST VARS'!$J$54*($AC$32*$Z37)+'LINEST VARS'!$I$54*($AC$32*4)+'LINEST VARS'!$H$54*($AC$32*0.5)+'LINEST VARS'!$G$54*($AC$32*12.73)+'LINEST VARS'!$F$54*($Z37*4)+'LINEST VARS'!$E$54*($Z37*0.5)+'LINEST VARS'!$D$54*($Z37*12.73)+'LINEST VARS'!$C$54*(4*0.5)+'LINEST VARS'!$B$54*(4*12.73)+'LINEST VARS'!$A$54*(0.5*12.73)</f>
        <v>3.9750000000000001</v>
      </c>
      <c r="AD37" s="51">
        <f>'LINEST VARS'!$U$54+'LINEST VARS'!$T$54*($AD$32)+'LINEST VARS'!$S$54*($Z37)+'LINEST VARS'!$R$54*(4)+'LINEST VARS'!$Q$54*(0.5)+'LINEST VARS'!$P$54*(12.73)+'LINEST VARS'!$O$54*($AD$32^2)+'LINEST VARS'!$N$54*($Z37^2)+'LINEST VARS'!$M$54*(4^2)+'LINEST VARS'!$L$54*(0.5^2)+'LINEST VARS'!$K$54*(12.73^2)+'LINEST VARS'!$J$54*($AD$32*$Z37)+'LINEST VARS'!$I$54*($AD$32*4)+'LINEST VARS'!$H$54*($AD$32*0.5)+'LINEST VARS'!$G$54*($AD$32*12.73)+'LINEST VARS'!$F$54*($Z37*4)+'LINEST VARS'!$E$54*($Z37*0.5)+'LINEST VARS'!$D$54*($Z37*12.73)+'LINEST VARS'!$C$54*(4*0.5)+'LINEST VARS'!$B$54*(4*12.73)+'LINEST VARS'!$A$54*(0.5*12.73)</f>
        <v>3.9750000000000001</v>
      </c>
      <c r="AE37" s="51">
        <f>'LINEST VARS'!$U$54+'LINEST VARS'!$T$54*($AE$32)+'LINEST VARS'!$S$54*($Z37)+'LINEST VARS'!$R$54*(4)+'LINEST VARS'!$Q$54*(0.5)+'LINEST VARS'!$P$54*(12.73)+'LINEST VARS'!$O$54*($AE$32^2)+'LINEST VARS'!$N$54*($Z37^2)+'LINEST VARS'!$M$54*(4^2)+'LINEST VARS'!$L$54*(0.5^2)+'LINEST VARS'!$K$54*(12.73^2)+'LINEST VARS'!$J$54*($AE$32*$Z37)+'LINEST VARS'!$I$54*($AE$32*4)+'LINEST VARS'!$H$54*($AE$32*0.5)+'LINEST VARS'!$G$54*($AE$32*12.73)+'LINEST VARS'!$F$54*($Z37*4)+'LINEST VARS'!$E$54*($Z37*0.5)+'LINEST VARS'!$D$54*($Z37*12.73)+'LINEST VARS'!$C$54*(4*0.5)+'LINEST VARS'!$B$54*(4*12.73)+'LINEST VARS'!$A$54*(0.5*12.73)</f>
        <v>3.9750000000000001</v>
      </c>
      <c r="AF37" s="51">
        <f>'LINEST VARS'!$U$54+'LINEST VARS'!$T$54*($AF$32)+'LINEST VARS'!$S$54*($Z37)+'LINEST VARS'!$R$54*(4)+'LINEST VARS'!$Q$54*(0.5)+'LINEST VARS'!$P$54*(12.73)+'LINEST VARS'!$O$54*($AF$32^2)+'LINEST VARS'!$N$54*($Z37^2)+'LINEST VARS'!$M$54*(4^2)+'LINEST VARS'!$L$54*(0.5^2)+'LINEST VARS'!$K$54*(12.73^2)+'LINEST VARS'!$J$54*($AF$32*$Z37)+'LINEST VARS'!$I$54*($AF$32*4)+'LINEST VARS'!$H$54*($AF$32*0.5)+'LINEST VARS'!$G$54*($AF$32*12.73)+'LINEST VARS'!$F$54*($Z37*4)+'LINEST VARS'!$E$54*($Z37*0.5)+'LINEST VARS'!$D$54*($Z37*12.73)+'LINEST VARS'!$C$54*(4*0.5)+'LINEST VARS'!$B$54*(4*12.73)+'LINEST VARS'!$A$54*(0.5*12.73)</f>
        <v>3.9750000000000001</v>
      </c>
      <c r="AG37" s="51">
        <f>'LINEST VARS'!$U$54+'LINEST VARS'!$T$54*($AG$32)+'LINEST VARS'!$S$54*($Z37)+'LINEST VARS'!$R$54*(4)+'LINEST VARS'!$Q$54*(0.5)+'LINEST VARS'!$P$54*(12.73)+'LINEST VARS'!$O$54*($AG$32^2)+'LINEST VARS'!$N$54*($Z37^2)+'LINEST VARS'!$M$54*(4^2)+'LINEST VARS'!$L$54*(0.5^2)+'LINEST VARS'!$K$54*(12.73^2)+'LINEST VARS'!$J$54*($AG$32*$Z37)+'LINEST VARS'!$I$54*($AG$32*4)+'LINEST VARS'!$H$54*($AG$32*0.5)+'LINEST VARS'!$G$54*($AG$32*12.73)+'LINEST VARS'!$F$54*($Z37*4)+'LINEST VARS'!$E$54*($Z37*0.5)+'LINEST VARS'!$D$54*($Z37*12.73)+'LINEST VARS'!$C$54*(4*0.5)+'LINEST VARS'!$B$54*(4*12.73)+'LINEST VARS'!$A$54*(0.5*12.73)</f>
        <v>3.9750000000000001</v>
      </c>
      <c r="AH37" s="51">
        <f>'LINEST VARS'!$U$54+'LINEST VARS'!$T$54*($AH$32)+'LINEST VARS'!$S$54*($Z37)+'LINEST VARS'!$R$54*(4)+'LINEST VARS'!$Q$54*(0.5)+'LINEST VARS'!$P$54*(12.73)+'LINEST VARS'!$O$54*($AH$32^2)+'LINEST VARS'!$N$54*($Z37^2)+'LINEST VARS'!$M$54*(4^2)+'LINEST VARS'!$L$54*(0.5^2)+'LINEST VARS'!$K$54*(12.73^2)+'LINEST VARS'!$J$54*($AH$32*$Z37)+'LINEST VARS'!$I$54*($AH$32*4)+'LINEST VARS'!$H$54*($AH$32*0.5)+'LINEST VARS'!$G$54*($AH$32*12.73)+'LINEST VARS'!$F$54*($Z37*4)+'LINEST VARS'!$E$54*($Z37*0.5)+'LINEST VARS'!$D$54*($Z37*12.73)+'LINEST VARS'!$C$54*(4*0.5)+'LINEST VARS'!$B$54*(4*12.73)+'LINEST VARS'!$A$54*(0.5*12.73)</f>
        <v>3.9750000000000001</v>
      </c>
      <c r="AI37" s="51">
        <f>'LINEST VARS'!$U$54+'LINEST VARS'!$T$54*($AI$32)+'LINEST VARS'!$S$54*($Z37)+'LINEST VARS'!$R$54*(4)+'LINEST VARS'!$Q$54*(0.5)+'LINEST VARS'!$P$54*(12.73)+'LINEST VARS'!$O$54*($AI$32^2)+'LINEST VARS'!$N$54*($Z37^2)+'LINEST VARS'!$M$54*(4^2)+'LINEST VARS'!$L$54*(0.5^2)+'LINEST VARS'!$K$54*(12.73^2)+'LINEST VARS'!$J$54*($AI$32*$Z37)+'LINEST VARS'!$I$54*($AI$32*4)+'LINEST VARS'!$H$54*($AI$32*0.5)+'LINEST VARS'!$G$54*($AI$32*12.73)+'LINEST VARS'!$F$54*($Z37*4)+'LINEST VARS'!$E$54*($Z37*0.5)+'LINEST VARS'!$D$54*($Z37*12.73)+'LINEST VARS'!$C$54*(4*0.5)+'LINEST VARS'!$B$54*(4*12.73)+'LINEST VARS'!$A$54*(0.5*12.73)</f>
        <v>3.9750000000000001</v>
      </c>
      <c r="AJ37" s="51">
        <f>'LINEST VARS'!$U$54+'LINEST VARS'!$T$54*($AJ$32)+'LINEST VARS'!$S$54*($Z37)+'LINEST VARS'!$R$54*(4)+'LINEST VARS'!$Q$54*(0.5)+'LINEST VARS'!$P$54*(12.73)+'LINEST VARS'!$O$54*($AJ$32^2)+'LINEST VARS'!$N$54*($Z37^2)+'LINEST VARS'!$M$54*(4^2)+'LINEST VARS'!$L$54*(0.5^2)+'LINEST VARS'!$K$54*(12.73^2)+'LINEST VARS'!$J$54*($AJ$32*$Z37)+'LINEST VARS'!$I$54*($AJ$32*4)+'LINEST VARS'!$H$54*($AJ$32*0.5)+'LINEST VARS'!$G$54*($AJ$32*12.73)+'LINEST VARS'!$F$54*($Z37*4)+'LINEST VARS'!$E$54*($Z37*0.5)+'LINEST VARS'!$D$54*($Z37*12.73)+'LINEST VARS'!$C$54*(4*0.5)+'LINEST VARS'!$B$54*(4*12.73)+'LINEST VARS'!$A$54*(0.5*12.73)</f>
        <v>3.9750000000000001</v>
      </c>
      <c r="AK37" s="51">
        <f>'LINEST VARS'!$U$54+'LINEST VARS'!$T$54*($AK$32)+'LINEST VARS'!$S$54*($Z37)+'LINEST VARS'!$R$54*(4)+'LINEST VARS'!$Q$54*(0.5)+'LINEST VARS'!$P$54*(12.73)+'LINEST VARS'!$O$54*($AK$32^2)+'LINEST VARS'!$N$54*($Z37^2)+'LINEST VARS'!$M$54*(4^2)+'LINEST VARS'!$L$54*(0.5^2)+'LINEST VARS'!$K$54*(12.73^2)+'LINEST VARS'!$J$54*($AK$32*$Z37)+'LINEST VARS'!$I$54*($AK$32*4)+'LINEST VARS'!$H$54*($AK$32*0.5)+'LINEST VARS'!$G$54*($AK$32*12.73)+'LINEST VARS'!$F$54*($Z37*4)+'LINEST VARS'!$E$54*($Z37*0.5)+'LINEST VARS'!$D$54*($Z37*12.73)+'LINEST VARS'!$C$54*(4*0.5)+'LINEST VARS'!$B$54*(4*12.73)+'LINEST VARS'!$A$54*(0.5*12.73)</f>
        <v>3.9750000000000001</v>
      </c>
      <c r="AL37" s="51">
        <f>'LINEST VARS'!$U$54+'LINEST VARS'!$T$54*($AL$32)+'LINEST VARS'!$S$54*($Z37)+'LINEST VARS'!$R$54*(4)+'LINEST VARS'!$Q$54*(0.5)+'LINEST VARS'!$P$54*(12.73)+'LINEST VARS'!$O$54*($AL$32^2)+'LINEST VARS'!$N$54*($Z37^2)+'LINEST VARS'!$M$54*(4^2)+'LINEST VARS'!$L$54*(0.5^2)+'LINEST VARS'!$K$54*(12.73^2)+'LINEST VARS'!$J$54*($AL$32*$Z37)+'LINEST VARS'!$I$54*($AL$32*4)+'LINEST VARS'!$H$54*($AL$32*0.5)+'LINEST VARS'!$G$54*($AL$32*12.73)+'LINEST VARS'!$F$54*($Z37*4)+'LINEST VARS'!$E$54*($Z37*0.5)+'LINEST VARS'!$D$54*($Z37*12.73)+'LINEST VARS'!$C$54*(4*0.5)+'LINEST VARS'!$B$54*(4*12.73)+'LINEST VARS'!$A$54*(0.5*12.73)</f>
        <v>3.9750000000000001</v>
      </c>
      <c r="AM37" s="51">
        <f>'LINEST VARS'!$U$54+'LINEST VARS'!$T$54*($AM$32)+'LINEST VARS'!$S$54*($Z37)+'LINEST VARS'!$R$54*(4)+'LINEST VARS'!$Q$54*(0.5)+'LINEST VARS'!$P$54*(12.73)+'LINEST VARS'!$O$54*($AM$32^2)+'LINEST VARS'!$N$54*($Z37^2)+'LINEST VARS'!$M$54*(4^2)+'LINEST VARS'!$L$54*(0.5^2)+'LINEST VARS'!$K$54*(12.73^2)+'LINEST VARS'!$J$54*($AM$32*$Z37)+'LINEST VARS'!$I$54*($AM$32*4)+'LINEST VARS'!$H$54*($AM$32*0.5)+'LINEST VARS'!$G$54*($AM$32*12.73)+'LINEST VARS'!$F$54*($Z37*4)+'LINEST VARS'!$E$54*($Z37*0.5)+'LINEST VARS'!$D$54*($Z37*12.73)+'LINEST VARS'!$C$54*(4*0.5)+'LINEST VARS'!$B$54*(4*12.73)+'LINEST VARS'!$A$54*(0.5*12.73)</f>
        <v>3.9750000000000001</v>
      </c>
      <c r="AN37" s="51">
        <f>'LINEST VARS'!$U$54+'LINEST VARS'!$T$54*($AN$32)+'LINEST VARS'!$S$54*($Z37)+'LINEST VARS'!$R$54*(4)+'LINEST VARS'!$Q$54*(0.5)+'LINEST VARS'!$P$54*(12.73)+'LINEST VARS'!$O$54*($AN$32^2)+'LINEST VARS'!$N$54*($Z37^2)+'LINEST VARS'!$M$54*(4^2)+'LINEST VARS'!$L$54*(0.5^2)+'LINEST VARS'!$K$54*(12.73^2)+'LINEST VARS'!$J$54*($AN$32*$Z37)+'LINEST VARS'!$I$54*($AN$32*4)+'LINEST VARS'!$H$54*($AN$32*0.5)+'LINEST VARS'!$G$54*($AN$32*12.73)+'LINEST VARS'!$F$54*($Z37*4)+'LINEST VARS'!$E$54*($Z37*0.5)+'LINEST VARS'!$D$54*($Z37*12.73)+'LINEST VARS'!$C$54*(4*0.5)+'LINEST VARS'!$B$54*(4*12.73)+'LINEST VARS'!$A$54*(0.5*12.73)</f>
        <v>3.9750000000000001</v>
      </c>
      <c r="AO37" s="51">
        <f>'LINEST VARS'!$U$54+'LINEST VARS'!$T$54*($AO$32)+'LINEST VARS'!$S$54*($Z37)+'LINEST VARS'!$R$54*(4)+'LINEST VARS'!$Q$54*(0.5)+'LINEST VARS'!$P$54*(12.73)+'LINEST VARS'!$O$54*($AO$32^2)+'LINEST VARS'!$N$54*($Z37^2)+'LINEST VARS'!$M$54*(4^2)+'LINEST VARS'!$L$54*(0.5^2)+'LINEST VARS'!$K$54*(12.73^2)+'LINEST VARS'!$J$54*($AO$32*$Z37)+'LINEST VARS'!$I$54*($AO$32*4)+'LINEST VARS'!$H$54*($AO$32*0.5)+'LINEST VARS'!$G$54*($AO$32*12.73)+'LINEST VARS'!$F$54*($Z37*4)+'LINEST VARS'!$E$54*($Z37*0.5)+'LINEST VARS'!$D$54*($Z37*12.73)+'LINEST VARS'!$C$54*(4*0.5)+'LINEST VARS'!$B$54*(4*12.73)+'LINEST VARS'!$A$54*(0.5*12.73)</f>
        <v>3.9750000000000001</v>
      </c>
      <c r="AP37" s="51">
        <f>'LINEST VARS'!$U$54+'LINEST VARS'!$T$54*($AP$32)+'LINEST VARS'!$S$54*($Z37)+'LINEST VARS'!$R$54*(4)+'LINEST VARS'!$Q$54*(0.5)+'LINEST VARS'!$P$54*(12.73)+'LINEST VARS'!$O$54*($AP$32^2)+'LINEST VARS'!$N$54*($Z37^2)+'LINEST VARS'!$M$54*(4^2)+'LINEST VARS'!$L$54*(0.5^2)+'LINEST VARS'!$K$54*(12.73^2)+'LINEST VARS'!$J$54*($AP$32*$Z37)+'LINEST VARS'!$I$54*($AP$32*4)+'LINEST VARS'!$H$54*($AP$32*0.5)+'LINEST VARS'!$G$54*($AP$32*12.73)+'LINEST VARS'!$F$54*($Z37*4)+'LINEST VARS'!$E$54*($Z37*0.5)+'LINEST VARS'!$D$54*($Z37*12.73)+'LINEST VARS'!$C$54*(4*0.5)+'LINEST VARS'!$B$54*(4*12.73)+'LINEST VARS'!$A$54*(0.5*12.73)</f>
        <v>3.9750000000000001</v>
      </c>
      <c r="AQ37" s="51">
        <f>'LINEST VARS'!$U$54+'LINEST VARS'!$T$54*($AQ$32)+'LINEST VARS'!$S$54*($Z37)+'LINEST VARS'!$R$54*(4)+'LINEST VARS'!$Q$54*(0.5)+'LINEST VARS'!$P$54*(12.73)+'LINEST VARS'!$O$54*($AQ$32^2)+'LINEST VARS'!$N$54*($Z37^2)+'LINEST VARS'!$M$54*(4^2)+'LINEST VARS'!$L$54*(0.5^2)+'LINEST VARS'!$K$54*(12.73^2)+'LINEST VARS'!$J$54*($AQ$32*$Z37)+'LINEST VARS'!$I$54*($AQ$32*4)+'LINEST VARS'!$H$54*($AQ$32*0.5)+'LINEST VARS'!$G$54*($AQ$32*12.73)+'LINEST VARS'!$F$54*($Z37*4)+'LINEST VARS'!$E$54*($Z37*0.5)+'LINEST VARS'!$D$54*($Z37*12.73)+'LINEST VARS'!$C$54*(4*0.5)+'LINEST VARS'!$B$54*(4*12.73)+'LINEST VARS'!$A$54*(0.5*12.73)</f>
        <v>3.9750000000000001</v>
      </c>
      <c r="AR37" s="51">
        <f>'LINEST VARS'!$U$54+'LINEST VARS'!$T$54*($AR$32)+'LINEST VARS'!$S$54*($Z37)+'LINEST VARS'!$R$54*(4)+'LINEST VARS'!$Q$54*(0.5)+'LINEST VARS'!$P$54*(12.73)+'LINEST VARS'!$O$54*($AR$32^2)+'LINEST VARS'!$N$54*($Z37^2)+'LINEST VARS'!$M$54*(4^2)+'LINEST VARS'!$L$54*(0.5^2)+'LINEST VARS'!$K$54*(12.73^2)+'LINEST VARS'!$J$54*($AR$32*$Z37)+'LINEST VARS'!$I$54*($AR$32*4)+'LINEST VARS'!$H$54*($AR$32*0.5)+'LINEST VARS'!$G$54*($AR$32*12.73)+'LINEST VARS'!$F$54*($Z37*4)+'LINEST VARS'!$E$54*($Z37*0.5)+'LINEST VARS'!$D$54*($Z37*12.73)+'LINEST VARS'!$C$54*(4*0.5)+'LINEST VARS'!$B$54*(4*12.73)+'LINEST VARS'!$A$54*(0.5*12.73)</f>
        <v>3.9750000000000001</v>
      </c>
      <c r="AS37" s="51">
        <f>'LINEST VARS'!$U$54+'LINEST VARS'!$T$54*($AS$32)+'LINEST VARS'!$S$54*($Z37)+'LINEST VARS'!$R$54*(4)+'LINEST VARS'!$Q$54*(0.5)+'LINEST VARS'!$P$54*(12.73)+'LINEST VARS'!$O$54*($AS$32^2)+'LINEST VARS'!$N$54*($Z37^2)+'LINEST VARS'!$M$54*(4^2)+'LINEST VARS'!$L$54*(0.5^2)+'LINEST VARS'!$K$54*(12.73^2)+'LINEST VARS'!$J$54*($AS$32*$Z37)+'LINEST VARS'!$I$54*($AS$32*4)+'LINEST VARS'!$H$54*($AS$32*0.5)+'LINEST VARS'!$G$54*($AS$32*12.73)+'LINEST VARS'!$F$54*($Z37*4)+'LINEST VARS'!$E$54*($Z37*0.5)+'LINEST VARS'!$D$54*($Z37*12.73)+'LINEST VARS'!$C$54*(4*0.5)+'LINEST VARS'!$B$54*(4*12.73)+'LINEST VARS'!$A$54*(0.5*12.73)</f>
        <v>3.9750000000000001</v>
      </c>
      <c r="AT37" s="51">
        <f>'LINEST VARS'!$U$54+'LINEST VARS'!$T$54*($AT$32)+'LINEST VARS'!$S$54*($Z37)+'LINEST VARS'!$R$54*(4)+'LINEST VARS'!$Q$54*(0.5)+'LINEST VARS'!$P$54*(12.73)+'LINEST VARS'!$O$54*($AT$32^2)+'LINEST VARS'!$N$54*($Z37^2)+'LINEST VARS'!$M$54*(4^2)+'LINEST VARS'!$L$54*(0.5^2)+'LINEST VARS'!$K$54*(12.73^2)+'LINEST VARS'!$J$54*($AT$32*$Z37)+'LINEST VARS'!$I$54*($AT$32*4)+'LINEST VARS'!$H$54*($AT$32*0.5)+'LINEST VARS'!$G$54*($AT$32*12.73)+'LINEST VARS'!$F$54*($Z37*4)+'LINEST VARS'!$E$54*($Z37*0.5)+'LINEST VARS'!$D$54*($Z37*12.73)+'LINEST VARS'!$C$54*(4*0.5)+'LINEST VARS'!$B$54*(4*12.73)+'LINEST VARS'!$A$54*(0.5*12.73)</f>
        <v>3.9750000000000005</v>
      </c>
      <c r="AU37" s="52">
        <f>'LINEST VARS'!$U$54+'LINEST VARS'!$T$54*($AU$32)+'LINEST VARS'!$S$54*($Z37)+'LINEST VARS'!$R$54*(4)+'LINEST VARS'!$Q$54*(0.5)+'LINEST VARS'!$P$54*(12.73)+'LINEST VARS'!$O$54*($AU$32^2)+'LINEST VARS'!$N$54*($Z37^2)+'LINEST VARS'!$M$54*(4^2)+'LINEST VARS'!$L$54*(0.5^2)+'LINEST VARS'!$K$54*(12.73^2)+'LINEST VARS'!$J$54*($AU$32*$Z37)+'LINEST VARS'!$I$54*($AU$32*4)+'LINEST VARS'!$H$54*($AU$32*0.5)+'LINEST VARS'!$G$54*($AU$32*12.73)+'LINEST VARS'!$F$54*($Z37*4)+'LINEST VARS'!$E$54*($Z37*0.5)+'LINEST VARS'!$D$54*($Z37*12.73)+'LINEST VARS'!$C$54*(4*0.5)+'LINEST VARS'!$B$54*(4*12.73)+'LINEST VARS'!$A$54*(0.5*12.73)</f>
        <v>3.9750000000000005</v>
      </c>
      <c r="AZ37" s="45">
        <v>0.2</v>
      </c>
      <c r="BA37" s="51">
        <f>'LINEST VARS'!$U$52+'LINEST VARS'!$T$52*(8)+'LINEST VARS'!$S$52*(8)+'LINEST VARS'!$R$52*($BA$32)+'LINEST VARS'!$Q$52*($AZ37)+'LINEST VARS'!$P$52*(12.73)+'LINEST VARS'!$O$52*(8^2)+'LINEST VARS'!$N$52*(8^2)+'LINEST VARS'!$M$52*($BA$32^2)+'LINEST VARS'!$L$52*($AZ37^2)+'LINEST VARS'!$K$52*(12.73^2)+'LINEST VARS'!$J$52*(8*8)+'LINEST VARS'!$I$52*(8*$BA$32)+'LINEST VARS'!$H$52*(8*$AZ37)+'LINEST VARS'!$G$52*(8*12.73)+'LINEST VARS'!$F$52*(8*$BA$32)+'LINEST VARS'!$E$52*(8*$AZ37)+'LINEST VARS'!$D$52*(8*12.73)+'LINEST VARS'!$C$52*($BA$32*$AZ37)+'LINEST VARS'!$B$52*($BA$32*12.73)+'LINEST VARS'!$A$52*($AZ37*12.73)</f>
        <v>4.4799999999999986</v>
      </c>
      <c r="BB37" s="51">
        <f>'LINEST VARS'!$U$52+'LINEST VARS'!$T$52*(8)+'LINEST VARS'!$S$52*(8)+'LINEST VARS'!$R$52*($BB$32)+'LINEST VARS'!$Q$52*($AZ37)+'LINEST VARS'!$P$52*(12.73)+'LINEST VARS'!$O$52*(8^2)+'LINEST VARS'!$N$52*(8^2)+'LINEST VARS'!$M$52*($BB$32^2)+'LINEST VARS'!$L$52*($AZ37^2)+'LINEST VARS'!$K$52*(12.73^2)+'LINEST VARS'!$J$52*(8*8)+'LINEST VARS'!$I$52*(8*$BB$32)+'LINEST VARS'!$H$52*(8*$AZ37)+'LINEST VARS'!$G$52*(8*12.73)+'LINEST VARS'!$F$52*(8*$BB$32)+'LINEST VARS'!$E$52*(8*$AZ37)+'LINEST VARS'!$D$52*(8*12.73)+'LINEST VARS'!$C$52*($BB$32*$AZ37)+'LINEST VARS'!$B$52*($BB$32*12.73)+'LINEST VARS'!$A$52*($AZ37*12.73)</f>
        <v>4.4799999999999986</v>
      </c>
      <c r="BC37" s="51">
        <f>'LINEST VARS'!$U$52+'LINEST VARS'!$T$52*(8)+'LINEST VARS'!$S$52*(8)+'LINEST VARS'!$R$52*($BC$32)+'LINEST VARS'!$Q$52*($AZ37)+'LINEST VARS'!$P$52*(12.73)+'LINEST VARS'!$O$52*(8^2)+'LINEST VARS'!$N$52*(8^2)+'LINEST VARS'!$M$52*($BC$32^2)+'LINEST VARS'!$L$52*($AZ37^2)+'LINEST VARS'!$K$52*(12.73^2)+'LINEST VARS'!$J$52*(8*8)+'LINEST VARS'!$I$52*(8*$BC$32)+'LINEST VARS'!$H$52*(8*$AZ37)+'LINEST VARS'!$G$52*(8*12.73)+'LINEST VARS'!$F$52*(8*$BC$32)+'LINEST VARS'!$E$52*(8*$AZ37)+'LINEST VARS'!$D$52*(8*12.73)+'LINEST VARS'!$C$52*($BC$32*$AZ37)+'LINEST VARS'!$B$52*($BC$32*12.73)+'LINEST VARS'!$A$52*($AZ37*12.73)</f>
        <v>4.4799999999999986</v>
      </c>
      <c r="BD37" s="51">
        <f>'LINEST VARS'!$U$52+'LINEST VARS'!$T$52*(8)+'LINEST VARS'!$S$52*(8)+'LINEST VARS'!$R$52*($BD$32)+'LINEST VARS'!$Q$52*($AZ37)+'LINEST VARS'!$P$52*(12.73)+'LINEST VARS'!$O$52*(8^2)+'LINEST VARS'!$N$52*(8^2)+'LINEST VARS'!$M$52*($BD$32^2)+'LINEST VARS'!$L$52*($AZ37^2)+'LINEST VARS'!$K$52*(12.73^2)+'LINEST VARS'!$J$52*(8*8)+'LINEST VARS'!$I$52*(8*$BD$32)+'LINEST VARS'!$H$52*(8*$AZ37)+'LINEST VARS'!$G$52*(8*12.73)+'LINEST VARS'!$F$52*(8*$BD$32)+'LINEST VARS'!$E$52*(8*$AZ37)+'LINEST VARS'!$D$52*(8*12.73)+'LINEST VARS'!$C$52*($BD$32*$AZ37)+'LINEST VARS'!$B$52*($BD$32*12.73)+'LINEST VARS'!$A$52*($AZ37*12.73)</f>
        <v>4.4799999999999986</v>
      </c>
      <c r="BE37" s="51">
        <f>'LINEST VARS'!$U$52+'LINEST VARS'!$T$52*(8)+'LINEST VARS'!$S$52*(8)+'LINEST VARS'!$R$52*($BE$32)+'LINEST VARS'!$Q$52*($AZ37)+'LINEST VARS'!$P$52*(12.73)+'LINEST VARS'!$O$52*(8^2)+'LINEST VARS'!$N$52*(8^2)+'LINEST VARS'!$M$52*($BE$32^2)+'LINEST VARS'!$L$52*($AZ37^2)+'LINEST VARS'!$K$52*(12.73^2)+'LINEST VARS'!$J$52*(8*8)+'LINEST VARS'!$I$52*(8*$BE$32)+'LINEST VARS'!$H$52*(8*$AZ37)+'LINEST VARS'!$G$52*(8*12.73)+'LINEST VARS'!$F$52*(8*$BE$32)+'LINEST VARS'!$E$52*(8*$AZ37)+'LINEST VARS'!$D$52*(8*12.73)+'LINEST VARS'!$C$52*($BE$32*$AZ37)+'LINEST VARS'!$B$52*($BE$32*12.73)+'LINEST VARS'!$A$52*($AZ37*12.73)</f>
        <v>4.4799999999999986</v>
      </c>
      <c r="BF37" s="51">
        <f>'LINEST VARS'!$U$52+'LINEST VARS'!$T$52*(8)+'LINEST VARS'!$S$52*(8)+'LINEST VARS'!$R$52*($BF$32)+'LINEST VARS'!$Q$52*($AZ37)+'LINEST VARS'!$P$52*(12.73)+'LINEST VARS'!$O$52*(8^2)+'LINEST VARS'!$N$52*(8^2)+'LINEST VARS'!$M$52*($BF$32^2)+'LINEST VARS'!$L$52*($AZ37^2)+'LINEST VARS'!$K$52*(12.73^2)+'LINEST VARS'!$J$52*(8*8)+'LINEST VARS'!$I$52*(8*$BF$32)+'LINEST VARS'!$H$52*(8*$AZ37)+'LINEST VARS'!$G$52*(8*12.73)+'LINEST VARS'!$F$52*(8*$BF$32)+'LINEST VARS'!$E$52*(8*$AZ37)+'LINEST VARS'!$D$52*(8*12.73)+'LINEST VARS'!$C$52*($BF$32*$AZ37)+'LINEST VARS'!$B$52*($BF$32*12.73)+'LINEST VARS'!$A$52*($AZ37*12.73)</f>
        <v>4.4799999999999986</v>
      </c>
      <c r="BG37" s="51">
        <f>'LINEST VARS'!$U$52+'LINEST VARS'!$T$52*(8)+'LINEST VARS'!$S$52*(8)+'LINEST VARS'!$R$52*($BG$32)+'LINEST VARS'!$Q$52*($AZ37)+'LINEST VARS'!$P$52*(12.73)+'LINEST VARS'!$O$52*(8^2)+'LINEST VARS'!$N$52*(8^2)+'LINEST VARS'!$M$52*($BG$32^2)+'LINEST VARS'!$L$52*($AZ37^2)+'LINEST VARS'!$K$52*(12.73^2)+'LINEST VARS'!$J$52*(8*8)+'LINEST VARS'!$I$52*(8*$BG$32)+'LINEST VARS'!$H$52*(8*$AZ37)+'LINEST VARS'!$G$52*(8*12.73)+'LINEST VARS'!$F$52*(8*$BG$32)+'LINEST VARS'!$E$52*(8*$AZ37)+'LINEST VARS'!$D$52*(8*12.73)+'LINEST VARS'!$C$52*($BG$32*$AZ37)+'LINEST VARS'!$B$52*($BG$32*12.73)+'LINEST VARS'!$A$52*($AZ37*12.73)</f>
        <v>4.4799999999999986</v>
      </c>
      <c r="BH37" s="51">
        <f>'LINEST VARS'!$U$52+'LINEST VARS'!$T$52*(8)+'LINEST VARS'!$S$52*(8)+'LINEST VARS'!$R$52*($BH$32)+'LINEST VARS'!$Q$52*($AZ37)+'LINEST VARS'!$P$52*(12.73)+'LINEST VARS'!$O$52*(8^2)+'LINEST VARS'!$N$52*(8^2)+'LINEST VARS'!$M$52*($BH$32^2)+'LINEST VARS'!$L$52*($AZ37^2)+'LINEST VARS'!$K$52*(12.73^2)+'LINEST VARS'!$J$52*(8*8)+'LINEST VARS'!$I$52*(8*$BH$32)+'LINEST VARS'!$H$52*(8*$AZ37)+'LINEST VARS'!$G$52*(8*12.73)+'LINEST VARS'!$F$52*(8*$BH$32)+'LINEST VARS'!$E$52*(8*$AZ37)+'LINEST VARS'!$D$52*(8*12.73)+'LINEST VARS'!$C$52*($BH$32*$AZ37)+'LINEST VARS'!$B$52*($BH$32*12.73)+'LINEST VARS'!$A$52*($AZ37*12.73)</f>
        <v>4.4799999999999986</v>
      </c>
      <c r="BI37" s="51">
        <f>'LINEST VARS'!$U$52+'LINEST VARS'!$T$52*(8)+'LINEST VARS'!$S$52*(8)+'LINEST VARS'!$R$52*($BI$32)+'LINEST VARS'!$Q$52*($AZ37)+'LINEST VARS'!$P$52*(12.73)+'LINEST VARS'!$O$52*(8^2)+'LINEST VARS'!$N$52*(8^2)+'LINEST VARS'!$M$52*($BI$32^2)+'LINEST VARS'!$L$52*($AZ37^2)+'LINEST VARS'!$K$52*(12.73^2)+'LINEST VARS'!$J$52*(8*8)+'LINEST VARS'!$I$52*(8*$BI$32)+'LINEST VARS'!$H$52*(8*$AZ37)+'LINEST VARS'!$G$52*(8*12.73)+'LINEST VARS'!$F$52*(8*$BI$32)+'LINEST VARS'!$E$52*(8*$AZ37)+'LINEST VARS'!$D$52*(8*12.73)+'LINEST VARS'!$C$52*($BI$32*$AZ37)+'LINEST VARS'!$B$52*($BI$32*12.73)+'LINEST VARS'!$A$52*($AZ37*12.73)</f>
        <v>4.4799999999999986</v>
      </c>
      <c r="BJ37" s="51">
        <f>'LINEST VARS'!$U$52+'LINEST VARS'!$T$52*(8)+'LINEST VARS'!$S$52*(8)+'LINEST VARS'!$R$52*($BJ$32)+'LINEST VARS'!$Q$52*($AZ37)+'LINEST VARS'!$P$52*(12.73)+'LINEST VARS'!$O$52*(8^2)+'LINEST VARS'!$N$52*(8^2)+'LINEST VARS'!$M$52*($BJ$32^2)+'LINEST VARS'!$L$52*($AZ37^2)+'LINEST VARS'!$K$52*(12.73^2)+'LINEST VARS'!$J$52*(8*8)+'LINEST VARS'!$I$52*(8*$BJ$32)+'LINEST VARS'!$H$52*(8*$AZ37)+'LINEST VARS'!$G$52*(8*12.73)+'LINEST VARS'!$F$52*(8*$BJ$32)+'LINEST VARS'!$E$52*(8*$AZ37)+'LINEST VARS'!$D$52*(8*12.73)+'LINEST VARS'!$C$52*($BJ$32*$AZ37)+'LINEST VARS'!$B$52*($BJ$32*12.73)+'LINEST VARS'!$A$52*($AZ37*12.73)</f>
        <v>4.4799999999999986</v>
      </c>
      <c r="BK37" s="51">
        <f>'LINEST VARS'!$U$52+'LINEST VARS'!$T$52*(8)+'LINEST VARS'!$S$52*(8)+'LINEST VARS'!$R$52*($BK$32)+'LINEST VARS'!$Q$52*($AZ37)+'LINEST VARS'!$P$52*(12.73)+'LINEST VARS'!$O$52*(8^2)+'LINEST VARS'!$N$52*(8^2)+'LINEST VARS'!$M$52*($BK$32^2)+'LINEST VARS'!$L$52*($AZ37^2)+'LINEST VARS'!$K$52*(12.73^2)+'LINEST VARS'!$J$52*(8*8)+'LINEST VARS'!$I$52*(8*$BK$32)+'LINEST VARS'!$H$52*(8*$AZ37)+'LINEST VARS'!$G$52*(8*12.73)+'LINEST VARS'!$F$52*(8*$BK$32)+'LINEST VARS'!$E$52*(8*$AZ37)+'LINEST VARS'!$D$52*(8*12.73)+'LINEST VARS'!$C$52*($BK$32*$AZ37)+'LINEST VARS'!$B$52*($BK$32*12.73)+'LINEST VARS'!$A$52*($AZ37*12.73)</f>
        <v>4.4799999999999986</v>
      </c>
      <c r="BL37" s="51">
        <f>'LINEST VARS'!$U$52+'LINEST VARS'!$T$52*(8)+'LINEST VARS'!$S$52*(8)+'LINEST VARS'!$R$52*($BL$32)+'LINEST VARS'!$Q$52*($AZ37)+'LINEST VARS'!$P$52*(12.73)+'LINEST VARS'!$O$52*(8^2)+'LINEST VARS'!$N$52*(8^2)+'LINEST VARS'!$M$52*($BL$32^2)+'LINEST VARS'!$L$52*($AZ37^2)+'LINEST VARS'!$K$52*(12.73^2)+'LINEST VARS'!$J$52*(8*8)+'LINEST VARS'!$I$52*(8*$BL$32)+'LINEST VARS'!$H$52*(8*$AZ37)+'LINEST VARS'!$G$52*(8*12.73)+'LINEST VARS'!$F$52*(8*$BL$32)+'LINEST VARS'!$E$52*(8*$AZ37)+'LINEST VARS'!$D$52*(8*12.73)+'LINEST VARS'!$C$52*($BL$32*$AZ37)+'LINEST VARS'!$B$52*($BL$32*12.73)+'LINEST VARS'!$A$52*($AZ37*12.73)</f>
        <v>4.4799999999999986</v>
      </c>
      <c r="BM37" s="51">
        <f>'LINEST VARS'!$U$52+'LINEST VARS'!$T$52*(8)+'LINEST VARS'!$S$52*(8)+'LINEST VARS'!$R$52*($BM$32)+'LINEST VARS'!$Q$52*($AZ37)+'LINEST VARS'!$P$52*(12.73)+'LINEST VARS'!$O$52*(8^2)+'LINEST VARS'!$N$52*(8^2)+'LINEST VARS'!$M$52*($BM$32^2)+'LINEST VARS'!$L$52*($AZ37^2)+'LINEST VARS'!$K$52*(12.73^2)+'LINEST VARS'!$J$52*(8*8)+'LINEST VARS'!$I$52*(8*$BM$32)+'LINEST VARS'!$H$52*(8*$AZ37)+'LINEST VARS'!$G$52*(8*12.73)+'LINEST VARS'!$F$52*(8*$BM$32)+'LINEST VARS'!$E$52*(8*$AZ37)+'LINEST VARS'!$D$52*(8*12.73)+'LINEST VARS'!$C$52*($BM$32*$AZ37)+'LINEST VARS'!$B$52*($BM$32*12.73)+'LINEST VARS'!$A$52*($AZ37*12.73)</f>
        <v>4.4799999999999986</v>
      </c>
      <c r="BN37" s="51">
        <f>'LINEST VARS'!$U$52+'LINEST VARS'!$T$52*(8)+'LINEST VARS'!$S$52*(8)+'LINEST VARS'!$R$52*($BN$32)+'LINEST VARS'!$Q$52*($AZ37)+'LINEST VARS'!$P$52*(12.73)+'LINEST VARS'!$O$52*(8^2)+'LINEST VARS'!$N$52*(8^2)+'LINEST VARS'!$M$52*($BN$32^2)+'LINEST VARS'!$L$52*($AZ37^2)+'LINEST VARS'!$K$52*(12.73^2)+'LINEST VARS'!$J$52*(8*8)+'LINEST VARS'!$I$52*(8*$BN$32)+'LINEST VARS'!$H$52*(8*$AZ37)+'LINEST VARS'!$G$52*(8*12.73)+'LINEST VARS'!$F$52*(8*$BN$32)+'LINEST VARS'!$E$52*(8*$AZ37)+'LINEST VARS'!$D$52*(8*12.73)+'LINEST VARS'!$C$52*($BN$32*$AZ37)+'LINEST VARS'!$B$52*($BN$32*12.73)+'LINEST VARS'!$A$52*($AZ37*12.73)</f>
        <v>4.4799999999999986</v>
      </c>
      <c r="BO37" s="51">
        <f>'LINEST VARS'!$U$52+'LINEST VARS'!$T$52*(8)+'LINEST VARS'!$S$52*(8)+'LINEST VARS'!$R$52*($BO$32)+'LINEST VARS'!$Q$52*($AZ37)+'LINEST VARS'!$P$52*(12.73)+'LINEST VARS'!$O$52*(8^2)+'LINEST VARS'!$N$52*(8^2)+'LINEST VARS'!$M$52*($BO$32^2)+'LINEST VARS'!$L$52*($AZ37^2)+'LINEST VARS'!$K$52*(12.73^2)+'LINEST VARS'!$J$52*(8*8)+'LINEST VARS'!$I$52*(8*$BO$32)+'LINEST VARS'!$H$52*(8*$AZ37)+'LINEST VARS'!$G$52*(8*12.73)+'LINEST VARS'!$F$52*(8*$BO$32)+'LINEST VARS'!$E$52*(8*$AZ37)+'LINEST VARS'!$D$52*(8*12.73)+'LINEST VARS'!$C$52*($BO$32*$AZ37)+'LINEST VARS'!$B$52*($BO$32*12.73)+'LINEST VARS'!$A$52*($AZ37*12.73)</f>
        <v>4.4799999999999986</v>
      </c>
      <c r="BP37" s="51">
        <f>'LINEST VARS'!$U$52+'LINEST VARS'!$T$52*(8)+'LINEST VARS'!$S$52*(8)+'LINEST VARS'!$R$52*($BP$32)+'LINEST VARS'!$Q$52*($AZ37)+'LINEST VARS'!$P$52*(12.73)+'LINEST VARS'!$O$52*(8^2)+'LINEST VARS'!$N$52*(8^2)+'LINEST VARS'!$M$52*($BP$32^2)+'LINEST VARS'!$L$52*($AZ37^2)+'LINEST VARS'!$K$52*(12.73^2)+'LINEST VARS'!$J$52*(8*8)+'LINEST VARS'!$I$52*(8*$BP$32)+'LINEST VARS'!$H$52*(8*$AZ37)+'LINEST VARS'!$G$52*(8*12.73)+'LINEST VARS'!$F$52*(8*$BP$32)+'LINEST VARS'!$E$52*(8*$AZ37)+'LINEST VARS'!$D$52*(8*12.73)+'LINEST VARS'!$C$52*($BP$32*$AZ37)+'LINEST VARS'!$B$52*($BP$32*12.73)+'LINEST VARS'!$A$52*($AZ37*12.73)</f>
        <v>4.4799999999999986</v>
      </c>
      <c r="BQ37" s="51">
        <f>'LINEST VARS'!$U$52+'LINEST VARS'!$T$52*(8)+'LINEST VARS'!$S$52*(8)+'LINEST VARS'!$R$52*($BQ$32)+'LINEST VARS'!$Q$52*($AZ37)+'LINEST VARS'!$P$52*(12.73)+'LINEST VARS'!$O$52*(8^2)+'LINEST VARS'!$N$52*(8^2)+'LINEST VARS'!$M$52*($BQ$32^2)+'LINEST VARS'!$L$52*($AZ37^2)+'LINEST VARS'!$K$52*(12.73^2)+'LINEST VARS'!$J$52*(8*8)+'LINEST VARS'!$I$52*(8*$BQ$32)+'LINEST VARS'!$H$52*(8*$AZ37)+'LINEST VARS'!$G$52*(8*12.73)+'LINEST VARS'!$F$52*(8*$BQ$32)+'LINEST VARS'!$E$52*(8*$AZ37)+'LINEST VARS'!$D$52*(8*12.73)+'LINEST VARS'!$C$52*($BQ$32*$AZ37)+'LINEST VARS'!$B$52*($BQ$32*12.73)+'LINEST VARS'!$A$52*($AZ37*12.73)</f>
        <v>4.4799999999999986</v>
      </c>
      <c r="BR37" s="51">
        <f>'LINEST VARS'!$U$52+'LINEST VARS'!$T$52*(8)+'LINEST VARS'!$S$52*(8)+'LINEST VARS'!$R$52*($BR$32)+'LINEST VARS'!$Q$52*($AZ37)+'LINEST VARS'!$P$52*(12.73)+'LINEST VARS'!$O$52*(8^2)+'LINEST VARS'!$N$52*(8^2)+'LINEST VARS'!$M$52*($BR$32^2)+'LINEST VARS'!$L$52*($AZ37^2)+'LINEST VARS'!$K$52*(12.73^2)+'LINEST VARS'!$J$52*(8*8)+'LINEST VARS'!$I$52*(8*$BR$32)+'LINEST VARS'!$H$52*(8*$AZ37)+'LINEST VARS'!$G$52*(8*12.73)+'LINEST VARS'!$F$52*(8*$BR$32)+'LINEST VARS'!$E$52*(8*$AZ37)+'LINEST VARS'!$D$52*(8*12.73)+'LINEST VARS'!$C$52*($BR$32*$AZ37)+'LINEST VARS'!$B$52*($BR$32*12.73)+'LINEST VARS'!$A$52*($AZ37*12.73)</f>
        <v>4.4799999999999986</v>
      </c>
      <c r="BS37" s="51">
        <f>'LINEST VARS'!$U$52+'LINEST VARS'!$T$52*(8)+'LINEST VARS'!$S$52*(8)+'LINEST VARS'!$R$52*($BS$32)+'LINEST VARS'!$Q$52*($AZ37)+'LINEST VARS'!$P$52*(12.73)+'LINEST VARS'!$O$52*(8^2)+'LINEST VARS'!$N$52*(8^2)+'LINEST VARS'!$M$52*($BS$32^2)+'LINEST VARS'!$L$52*($AZ37^2)+'LINEST VARS'!$K$52*(12.73^2)+'LINEST VARS'!$J$52*(8*8)+'LINEST VARS'!$I$52*(8*$BS$32)+'LINEST VARS'!$H$52*(8*$AZ37)+'LINEST VARS'!$G$52*(8*12.73)+'LINEST VARS'!$F$52*(8*$BS$32)+'LINEST VARS'!$E$52*(8*$AZ37)+'LINEST VARS'!$D$52*(8*12.73)+'LINEST VARS'!$C$52*($BS$32*$AZ37)+'LINEST VARS'!$B$52*($BS$32*12.73)+'LINEST VARS'!$A$52*($AZ37*12.73)</f>
        <v>4.4799999999999986</v>
      </c>
      <c r="BT37" s="51">
        <f>'LINEST VARS'!$U$52+'LINEST VARS'!$T$52*(8)+'LINEST VARS'!$S$52*(8)+'LINEST VARS'!$R$52*($BT$32)+'LINEST VARS'!$Q$52*($AZ37)+'LINEST VARS'!$P$52*(12.73)+'LINEST VARS'!$O$52*(8^2)+'LINEST VARS'!$N$52*(8^2)+'LINEST VARS'!$M$52*($BT$32^2)+'LINEST VARS'!$L$52*($AZ37^2)+'LINEST VARS'!$K$52*(12.73^2)+'LINEST VARS'!$J$52*(8*8)+'LINEST VARS'!$I$52*(8*$BT$32)+'LINEST VARS'!$H$52*(8*$AZ37)+'LINEST VARS'!$G$52*(8*12.73)+'LINEST VARS'!$F$52*(8*$BT$32)+'LINEST VARS'!$E$52*(8*$AZ37)+'LINEST VARS'!$D$52*(8*12.73)+'LINEST VARS'!$C$52*($BT$32*$AZ37)+'LINEST VARS'!$B$52*($BT$32*12.73)+'LINEST VARS'!$A$52*($AZ37*12.73)</f>
        <v>4.4799999999999986</v>
      </c>
      <c r="BU37" s="52">
        <f>'LINEST VARS'!$U$52+'LINEST VARS'!$T$52*(8)+'LINEST VARS'!$S$52*(8)+'LINEST VARS'!$R$52*($BU$32)+'LINEST VARS'!$Q$52*($AZ37)+'LINEST VARS'!$P$52*(12.73)+'LINEST VARS'!$O$52*(8^2)+'LINEST VARS'!$N$52*(8^2)+'LINEST VARS'!$M$52*($BU$32^2)+'LINEST VARS'!$L$52*($AZ37^2)+'LINEST VARS'!$K$52*(12.73^2)+'LINEST VARS'!$J$52*(8*8)+'LINEST VARS'!$I$52*(8*$BU$32)+'LINEST VARS'!$H$52*(8*$AZ37)+'LINEST VARS'!$G$52*(8*12.73)+'LINEST VARS'!$F$52*(8*$BU$32)+'LINEST VARS'!$E$52*(8*$AZ37)+'LINEST VARS'!$D$52*(8*12.73)+'LINEST VARS'!$C$52*($BU$32*$AZ37)+'LINEST VARS'!$B$52*($BU$32*12.73)+'LINEST VARS'!$A$52*($AZ37*12.73)</f>
        <v>4.4799999999999986</v>
      </c>
      <c r="BX37" s="45">
        <v>0.2</v>
      </c>
      <c r="BY37" s="51">
        <f>'LINEST VARS'!$U$54+'LINEST VARS'!$T$54*(8)+'LINEST VARS'!$S$54*(8)+'LINEST VARS'!$R$54*($BY$32)+'LINEST VARS'!$Q$54*($BX37)+'LINEST VARS'!$P$54*(12.73)+'LINEST VARS'!$O$54*(8^2)+'LINEST VARS'!$N$54*(8^2)+'LINEST VARS'!$M$54*($BY$32^2)+'LINEST VARS'!$L$54*($BX37^2)+'LINEST VARS'!$K$54*(12.73^2)+'LINEST VARS'!$J$54*(8*8)+'LINEST VARS'!$I$54*(8*$BY$32)+'LINEST VARS'!$H$54*(8*$BX37)+'LINEST VARS'!$G$54*(8*12.73)+'LINEST VARS'!$F$54*(8*$BY$32)+'LINEST VARS'!$E$54*(8*$BX37)+'LINEST VARS'!$D$54*(8*12.73)+'LINEST VARS'!$C$54*($BY$32*$BX37)+'LINEST VARS'!$B$54*($BY$32*12.73)+'LINEST VARS'!$A$54*($BX37*12.73)</f>
        <v>3.9899999999999998</v>
      </c>
      <c r="BZ37" s="51">
        <f>'LINEST VARS'!$U$54+'LINEST VARS'!$T$54*(8)+'LINEST VARS'!$S$54*(8)+'LINEST VARS'!$R$54*($BZ$32)+'LINEST VARS'!$Q$54*($BX37)+'LINEST VARS'!$P$54*(12.73)+'LINEST VARS'!$O$54*(8^2)+'LINEST VARS'!$N$54*(8^2)+'LINEST VARS'!$M$54*($BZ$32^2)+'LINEST VARS'!$L$54*($BX37^2)+'LINEST VARS'!$K$54*(12.73^2)+'LINEST VARS'!$J$54*(8*8)+'LINEST VARS'!$I$54*(8*$BZ$32)+'LINEST VARS'!$H$54*(8*$BX37)+'LINEST VARS'!$G$54*(8*12.73)+'LINEST VARS'!$F$54*(8*$BZ$32)+'LINEST VARS'!$E$54*(8*$BX37)+'LINEST VARS'!$D$54*(8*12.73)+'LINEST VARS'!$C$54*($BZ$32*$BX37)+'LINEST VARS'!$B$54*($BZ$32*12.73)+'LINEST VARS'!$A$54*($BX37*12.73)</f>
        <v>3.9899999999999998</v>
      </c>
      <c r="CA37" s="51">
        <f>'LINEST VARS'!$U$54+'LINEST VARS'!$T$54*(8)+'LINEST VARS'!$S$54*(8)+'LINEST VARS'!$R$54*($CA$32)+'LINEST VARS'!$Q$54*($BX37)+'LINEST VARS'!$P$54*(12.73)+'LINEST VARS'!$O$54*(8^2)+'LINEST VARS'!$N$54*(8^2)+'LINEST VARS'!$M$54*($CA$32^2)+'LINEST VARS'!$L$54*($BX37^2)+'LINEST VARS'!$K$54*(12.73^2)+'LINEST VARS'!$J$54*(8*8)+'LINEST VARS'!$I$54*(8*$CA$32)+'LINEST VARS'!$H$54*(8*$BX37)+'LINEST VARS'!$G$54*(8*12.73)+'LINEST VARS'!$F$54*(8*$CA$32)+'LINEST VARS'!$E$54*(8*$BX37)+'LINEST VARS'!$D$54*(8*12.73)+'LINEST VARS'!$C$54*($CA$32*$BX37)+'LINEST VARS'!$B$54*($CA$32*12.73)+'LINEST VARS'!$A$54*($BX37*12.73)</f>
        <v>3.9899999999999998</v>
      </c>
      <c r="CB37" s="51">
        <f>'LINEST VARS'!$U$54+'LINEST VARS'!$T$54*(8)+'LINEST VARS'!$S$54*(8)+'LINEST VARS'!$R$54*($CB$32)+'LINEST VARS'!$Q$54*($BX37)+'LINEST VARS'!$P$54*(12.73)+'LINEST VARS'!$O$54*(8^2)+'LINEST VARS'!$N$54*(8^2)+'LINEST VARS'!$M$54*($CB$32^2)+'LINEST VARS'!$L$54*($BX37^2)+'LINEST VARS'!$K$54*(12.73^2)+'LINEST VARS'!$J$54*(8*8)+'LINEST VARS'!$I$54*(8*$CB$32)+'LINEST VARS'!$H$54*(8*$BX37)+'LINEST VARS'!$G$54*(8*12.73)+'LINEST VARS'!$F$54*(8*$CB$32)+'LINEST VARS'!$E$54*(8*$BX37)+'LINEST VARS'!$D$54*(8*12.73)+'LINEST VARS'!$C$54*($CB$32*$BX37)+'LINEST VARS'!$B$54*($CB$32*12.73)+'LINEST VARS'!$A$54*($BX37*12.73)</f>
        <v>3.9899999999999998</v>
      </c>
      <c r="CC37" s="51">
        <f>'LINEST VARS'!$U$54+'LINEST VARS'!$T$54*(8)+'LINEST VARS'!$S$54*(8)+'LINEST VARS'!$R$54*($CC$32)+'LINEST VARS'!$Q$54*($BX37)+'LINEST VARS'!$P$54*(12.73)+'LINEST VARS'!$O$54*(8^2)+'LINEST VARS'!$N$54*(8^2)+'LINEST VARS'!$M$54*($CC$32^2)+'LINEST VARS'!$L$54*($BX37^2)+'LINEST VARS'!$K$54*(12.73^2)+'LINEST VARS'!$J$54*(8*8)+'LINEST VARS'!$I$54*(8*$CC$32)+'LINEST VARS'!$H$54*(8*$BX37)+'LINEST VARS'!$G$54*(8*12.73)+'LINEST VARS'!$F$54*(8*$CC$32)+'LINEST VARS'!$E$54*(8*$BX37)+'LINEST VARS'!$D$54*(8*12.73)+'LINEST VARS'!$C$54*($CC$32*$BX37)+'LINEST VARS'!$B$54*($CC$32*12.73)+'LINEST VARS'!$A$54*($BX37*12.73)</f>
        <v>3.9899999999999998</v>
      </c>
      <c r="CD37" s="51">
        <f>'LINEST VARS'!$U$54+'LINEST VARS'!$T$54*(8)+'LINEST VARS'!$S$54*(8)+'LINEST VARS'!$R$54*($CD$32)+'LINEST VARS'!$Q$54*($BX37)+'LINEST VARS'!$P$54*(12.73)+'LINEST VARS'!$O$54*(8^2)+'LINEST VARS'!$N$54*(8^2)+'LINEST VARS'!$M$54*($CD$32^2)+'LINEST VARS'!$L$54*($BX37^2)+'LINEST VARS'!$K$54*(12.73^2)+'LINEST VARS'!$J$54*(8*8)+'LINEST VARS'!$I$54*(8*$CD$32)+'LINEST VARS'!$H$54*(8*$BX37)+'LINEST VARS'!$G$54*(8*12.73)+'LINEST VARS'!$F$54*(8*$CD$32)+'LINEST VARS'!$E$54*(8*$BX37)+'LINEST VARS'!$D$54*(8*12.73)+'LINEST VARS'!$C$54*($CD$32*$BX37)+'LINEST VARS'!$B$54*($CD$32*12.73)+'LINEST VARS'!$A$54*($BX37*12.73)</f>
        <v>3.9899999999999998</v>
      </c>
      <c r="CE37" s="51">
        <f>'LINEST VARS'!$U$54+'LINEST VARS'!$T$54*(8)+'LINEST VARS'!$S$54*(8)+'LINEST VARS'!$R$54*($CE$32)+'LINEST VARS'!$Q$54*($BX37)+'LINEST VARS'!$P$54*(12.73)+'LINEST VARS'!$O$54*(8^2)+'LINEST VARS'!$N$54*(8^2)+'LINEST VARS'!$M$54*($CE$32^2)+'LINEST VARS'!$L$54*($BX37^2)+'LINEST VARS'!$K$54*(12.73^2)+'LINEST VARS'!$J$54*(8*8)+'LINEST VARS'!$I$54*(8*$CE$32)+'LINEST VARS'!$H$54*(8*$BX37)+'LINEST VARS'!$G$54*(8*12.73)+'LINEST VARS'!$F$54*(8*$CE$32)+'LINEST VARS'!$E$54*(8*$BX37)+'LINEST VARS'!$D$54*(8*12.73)+'LINEST VARS'!$C$54*($CE$32*$BX37)+'LINEST VARS'!$B$54*($CE$32*12.73)+'LINEST VARS'!$A$54*($BX37*12.73)</f>
        <v>3.9899999999999998</v>
      </c>
      <c r="CF37" s="51">
        <f>'LINEST VARS'!$U$54+'LINEST VARS'!$T$54*(8)+'LINEST VARS'!$S$54*(8)+'LINEST VARS'!$R$54*($CF$32)+'LINEST VARS'!$Q$54*($BX37)+'LINEST VARS'!$P$54*(12.73)+'LINEST VARS'!$O$54*(8^2)+'LINEST VARS'!$N$54*(8^2)+'LINEST VARS'!$M$54*($CF$32^2)+'LINEST VARS'!$L$54*($BX37^2)+'LINEST VARS'!$K$54*(12.73^2)+'LINEST VARS'!$J$54*(8*8)+'LINEST VARS'!$I$54*(8*$CF$32)+'LINEST VARS'!$H$54*(8*$BX37)+'LINEST VARS'!$G$54*(8*12.73)+'LINEST VARS'!$F$54*(8*$CF$32)+'LINEST VARS'!$E$54*(8*$BX37)+'LINEST VARS'!$D$54*(8*12.73)+'LINEST VARS'!$C$54*($CF$32*$BX37)+'LINEST VARS'!$B$54*($CF$32*12.73)+'LINEST VARS'!$A$54*($BX37*12.73)</f>
        <v>3.9899999999999998</v>
      </c>
      <c r="CG37" s="51">
        <f>'LINEST VARS'!$U$54+'LINEST VARS'!$T$54*(8)+'LINEST VARS'!$S$54*(8)+'LINEST VARS'!$R$54*($CG$32)+'LINEST VARS'!$Q$54*($BX37)+'LINEST VARS'!$P$54*(12.73)+'LINEST VARS'!$O$54*(8^2)+'LINEST VARS'!$N$54*(8^2)+'LINEST VARS'!$M$54*($CG$32^2)+'LINEST VARS'!$L$54*($BX37^2)+'LINEST VARS'!$K$54*(12.73^2)+'LINEST VARS'!$J$54*(8*8)+'LINEST VARS'!$I$54*(8*$CG$32)+'LINEST VARS'!$H$54*(8*$BX37)+'LINEST VARS'!$G$54*(8*12.73)+'LINEST VARS'!$F$54*(8*$CG$32)+'LINEST VARS'!$E$54*(8*$BX37)+'LINEST VARS'!$D$54*(8*12.73)+'LINEST VARS'!$C$54*($CG$32*$BX37)+'LINEST VARS'!$B$54*($CG$32*12.73)+'LINEST VARS'!$A$54*($BX37*12.73)</f>
        <v>3.9899999999999998</v>
      </c>
      <c r="CH37" s="51">
        <f>'LINEST VARS'!$U$54+'LINEST VARS'!$T$54*(8)+'LINEST VARS'!$S$54*(8)+'LINEST VARS'!$R$54*($CH$32)+'LINEST VARS'!$Q$54*($BX37)+'LINEST VARS'!$P$54*(12.73)+'LINEST VARS'!$O$54*(8^2)+'LINEST VARS'!$N$54*(8^2)+'LINEST VARS'!$M$54*($CH$32^2)+'LINEST VARS'!$L$54*($BX37^2)+'LINEST VARS'!$K$54*(12.73^2)+'LINEST VARS'!$J$54*(8*8)+'LINEST VARS'!$I$54*(8*$CH$32)+'LINEST VARS'!$H$54*(8*$BX37)+'LINEST VARS'!$G$54*(8*12.73)+'LINEST VARS'!$F$54*(8*$CH$32)+'LINEST VARS'!$E$54*(8*$BX37)+'LINEST VARS'!$D$54*(8*12.73)+'LINEST VARS'!$C$54*($CH$32*$BX37)+'LINEST VARS'!$B$54*($CH$32*12.73)+'LINEST VARS'!$A$54*($BX37*12.73)</f>
        <v>3.9899999999999998</v>
      </c>
      <c r="CI37" s="51">
        <f>'LINEST VARS'!$U$54+'LINEST VARS'!$T$54*(8)+'LINEST VARS'!$S$54*(8)+'LINEST VARS'!$R$54*($CI$32)+'LINEST VARS'!$Q$54*($BX37)+'LINEST VARS'!$P$54*(12.73)+'LINEST VARS'!$O$54*(8^2)+'LINEST VARS'!$N$54*(8^2)+'LINEST VARS'!$M$54*($CI$32^2)+'LINEST VARS'!$L$54*($BX37^2)+'LINEST VARS'!$K$54*(12.73^2)+'LINEST VARS'!$J$54*(8*8)+'LINEST VARS'!$I$54*(8*$CI$32)+'LINEST VARS'!$H$54*(8*$BX37)+'LINEST VARS'!$G$54*(8*12.73)+'LINEST VARS'!$F$54*(8*$CI$32)+'LINEST VARS'!$E$54*(8*$BX37)+'LINEST VARS'!$D$54*(8*12.73)+'LINEST VARS'!$C$54*($CI$32*$BX37)+'LINEST VARS'!$B$54*($CI$32*12.73)+'LINEST VARS'!$A$54*($BX37*12.73)</f>
        <v>3.9899999999999998</v>
      </c>
      <c r="CJ37" s="51">
        <f>'LINEST VARS'!$U$54+'LINEST VARS'!$T$54*(8)+'LINEST VARS'!$S$54*(8)+'LINEST VARS'!$R$54*($CJ$32)+'LINEST VARS'!$Q$54*($BX37)+'LINEST VARS'!$P$54*(12.73)+'LINEST VARS'!$O$54*(8^2)+'LINEST VARS'!$N$54*(8^2)+'LINEST VARS'!$M$54*($CJ$32^2)+'LINEST VARS'!$L$54*($BX37^2)+'LINEST VARS'!$K$54*(12.73^2)+'LINEST VARS'!$J$54*(8*8)+'LINEST VARS'!$I$54*(8*$CJ$32)+'LINEST VARS'!$H$54*(8*$BX37)+'LINEST VARS'!$G$54*(8*12.73)+'LINEST VARS'!$F$54*(8*$CJ$32)+'LINEST VARS'!$E$54*(8*$BX37)+'LINEST VARS'!$D$54*(8*12.73)+'LINEST VARS'!$C$54*($CJ$32*$BX37)+'LINEST VARS'!$B$54*($CJ$32*12.73)+'LINEST VARS'!$A$54*($BX37*12.73)</f>
        <v>3.9899999999999998</v>
      </c>
      <c r="CK37" s="51">
        <f>'LINEST VARS'!$U$54+'LINEST VARS'!$T$54*(8)+'LINEST VARS'!$S$54*(8)+'LINEST VARS'!$R$54*($CK$32)+'LINEST VARS'!$Q$54*($BX37)+'LINEST VARS'!$P$54*(12.73)+'LINEST VARS'!$O$54*(8^2)+'LINEST VARS'!$N$54*(8^2)+'LINEST VARS'!$M$54*($CK$32^2)+'LINEST VARS'!$L$54*($BX37^2)+'LINEST VARS'!$K$54*(12.73^2)+'LINEST VARS'!$J$54*(8*8)+'LINEST VARS'!$I$54*(8*$CK$32)+'LINEST VARS'!$H$54*(8*$BX37)+'LINEST VARS'!$G$54*(8*12.73)+'LINEST VARS'!$F$54*(8*$CK$32)+'LINEST VARS'!$E$54*(8*$BX37)+'LINEST VARS'!$D$54*(8*12.73)+'LINEST VARS'!$C$54*($CK$32*$BX37)+'LINEST VARS'!$B$54*($CK$32*12.73)+'LINEST VARS'!$A$54*($BX37*12.73)</f>
        <v>3.9899999999999998</v>
      </c>
      <c r="CL37" s="51">
        <f>'LINEST VARS'!$U$54+'LINEST VARS'!$T$54*(8)+'LINEST VARS'!$S$54*(8)+'LINEST VARS'!$R$54*($CL$32)+'LINEST VARS'!$Q$54*($BX37)+'LINEST VARS'!$P$54*(12.73)+'LINEST VARS'!$O$54*(8^2)+'LINEST VARS'!$N$54*(8^2)+'LINEST VARS'!$M$54*($CL$32^2)+'LINEST VARS'!$L$54*($BX37^2)+'LINEST VARS'!$K$54*(12.73^2)+'LINEST VARS'!$J$54*(8*8)+'LINEST VARS'!$I$54*(8*$CL$32)+'LINEST VARS'!$H$54*(8*$BX37)+'LINEST VARS'!$G$54*(8*12.73)+'LINEST VARS'!$F$54*(8*$CL$32)+'LINEST VARS'!$E$54*(8*$BX37)+'LINEST VARS'!$D$54*(8*12.73)+'LINEST VARS'!$C$54*($CL$32*$BX37)+'LINEST VARS'!$B$54*($CL$32*12.73)+'LINEST VARS'!$A$54*($BX37*12.73)</f>
        <v>3.9899999999999998</v>
      </c>
      <c r="CM37" s="51">
        <f>'LINEST VARS'!$U$54+'LINEST VARS'!$T$54*(8)+'LINEST VARS'!$S$54*(8)+'LINEST VARS'!$R$54*($CM$32)+'LINEST VARS'!$Q$54*($BX37)+'LINEST VARS'!$P$54*(12.73)+'LINEST VARS'!$O$54*(8^2)+'LINEST VARS'!$N$54*(8^2)+'LINEST VARS'!$M$54*($CM$32^2)+'LINEST VARS'!$L$54*($BX37^2)+'LINEST VARS'!$K$54*(12.73^2)+'LINEST VARS'!$J$54*(8*8)+'LINEST VARS'!$I$54*(8*$CM$32)+'LINEST VARS'!$H$54*(8*$BX37)+'LINEST VARS'!$G$54*(8*12.73)+'LINEST VARS'!$F$54*(8*$CM$32)+'LINEST VARS'!$E$54*(8*$BX37)+'LINEST VARS'!$D$54*(8*12.73)+'LINEST VARS'!$C$54*($CM$32*$BX37)+'LINEST VARS'!$B$54*($CM$32*12.73)+'LINEST VARS'!$A$54*($BX37*12.73)</f>
        <v>3.9899999999999998</v>
      </c>
      <c r="CN37" s="51">
        <f>'LINEST VARS'!$U$54+'LINEST VARS'!$T$54*(8)+'LINEST VARS'!$S$54*(8)+'LINEST VARS'!$R$54*($CN$32)+'LINEST VARS'!$Q$54*($BX37)+'LINEST VARS'!$P$54*(12.73)+'LINEST VARS'!$O$54*(8^2)+'LINEST VARS'!$N$54*(8^2)+'LINEST VARS'!$M$54*($CN$32^2)+'LINEST VARS'!$L$54*($BX37^2)+'LINEST VARS'!$K$54*(12.73^2)+'LINEST VARS'!$J$54*(8*8)+'LINEST VARS'!$I$54*(8*$CN$32)+'LINEST VARS'!$H$54*(8*$BX37)+'LINEST VARS'!$G$54*(8*12.73)+'LINEST VARS'!$F$54*(8*$CN$32)+'LINEST VARS'!$E$54*(8*$BX37)+'LINEST VARS'!$D$54*(8*12.73)+'LINEST VARS'!$C$54*($CN$32*$BX37)+'LINEST VARS'!$B$54*($CN$32*12.73)+'LINEST VARS'!$A$54*($BX37*12.73)</f>
        <v>3.9899999999999998</v>
      </c>
      <c r="CO37" s="51">
        <f>'LINEST VARS'!$U$54+'LINEST VARS'!$T$54*(8)+'LINEST VARS'!$S$54*(8)+'LINEST VARS'!$R$54*($CO$32)+'LINEST VARS'!$Q$54*($BX37)+'LINEST VARS'!$P$54*(12.73)+'LINEST VARS'!$O$54*(8^2)+'LINEST VARS'!$N$54*(8^2)+'LINEST VARS'!$M$54*($CO$32^2)+'LINEST VARS'!$L$54*($BX37^2)+'LINEST VARS'!$K$54*(12.73^2)+'LINEST VARS'!$J$54*(8*8)+'LINEST VARS'!$I$54*(8*$CO$32)+'LINEST VARS'!$H$54*(8*$BX37)+'LINEST VARS'!$G$54*(8*12.73)+'LINEST VARS'!$F$54*(8*$CO$32)+'LINEST VARS'!$E$54*(8*$BX37)+'LINEST VARS'!$D$54*(8*12.73)+'LINEST VARS'!$C$54*($CO$32*$BX37)+'LINEST VARS'!$B$54*($CO$32*12.73)+'LINEST VARS'!$A$54*($BX37*12.73)</f>
        <v>3.9899999999999998</v>
      </c>
      <c r="CP37" s="51">
        <f>'LINEST VARS'!$U$54+'LINEST VARS'!$T$54*(8)+'LINEST VARS'!$S$54*(8)+'LINEST VARS'!$R$54*($CP$32)+'LINEST VARS'!$Q$54*($BX37)+'LINEST VARS'!$P$54*(12.73)+'LINEST VARS'!$O$54*(8^2)+'LINEST VARS'!$N$54*(8^2)+'LINEST VARS'!$M$54*($CP$32^2)+'LINEST VARS'!$L$54*($BX37^2)+'LINEST VARS'!$K$54*(12.73^2)+'LINEST VARS'!$J$54*(8*8)+'LINEST VARS'!$I$54*(8*$CP$32)+'LINEST VARS'!$H$54*(8*$BX37)+'LINEST VARS'!$G$54*(8*12.73)+'LINEST VARS'!$F$54*(8*$CP$32)+'LINEST VARS'!$E$54*(8*$BX37)+'LINEST VARS'!$D$54*(8*12.73)+'LINEST VARS'!$C$54*($CP$32*$BX37)+'LINEST VARS'!$B$54*($CP$32*12.73)+'LINEST VARS'!$A$54*($BX37*12.73)</f>
        <v>3.9899999999999998</v>
      </c>
      <c r="CQ37" s="51">
        <f>'LINEST VARS'!$U$54+'LINEST VARS'!$T$54*(8)+'LINEST VARS'!$S$54*(8)+'LINEST VARS'!$R$54*($CQ$32)+'LINEST VARS'!$Q$54*($BX37)+'LINEST VARS'!$P$54*(12.73)+'LINEST VARS'!$O$54*(8^2)+'LINEST VARS'!$N$54*(8^2)+'LINEST VARS'!$M$54*($CQ$32^2)+'LINEST VARS'!$L$54*($BX37^2)+'LINEST VARS'!$K$54*(12.73^2)+'LINEST VARS'!$J$54*(8*8)+'LINEST VARS'!$I$54*(8*$CQ$32)+'LINEST VARS'!$H$54*(8*$BX37)+'LINEST VARS'!$G$54*(8*12.73)+'LINEST VARS'!$F$54*(8*$CQ$32)+'LINEST VARS'!$E$54*(8*$BX37)+'LINEST VARS'!$D$54*(8*12.73)+'LINEST VARS'!$C$54*($CQ$32*$BX37)+'LINEST VARS'!$B$54*($CQ$32*12.73)+'LINEST VARS'!$A$54*($BX37*12.73)</f>
        <v>3.9899999999999998</v>
      </c>
      <c r="CR37" s="51">
        <f>'LINEST VARS'!$U$54+'LINEST VARS'!$T$54*(8)+'LINEST VARS'!$S$54*(8)+'LINEST VARS'!$R$54*($CR$32)+'LINEST VARS'!$Q$54*($BX37)+'LINEST VARS'!$P$54*(12.73)+'LINEST VARS'!$O$54*(8^2)+'LINEST VARS'!$N$54*(8^2)+'LINEST VARS'!$M$54*($CR$32^2)+'LINEST VARS'!$L$54*($BX37^2)+'LINEST VARS'!$K$54*(12.73^2)+'LINEST VARS'!$J$54*(8*8)+'LINEST VARS'!$I$54*(8*$CR$32)+'LINEST VARS'!$H$54*(8*$BX37)+'LINEST VARS'!$G$54*(8*12.73)+'LINEST VARS'!$F$54*(8*$CR$32)+'LINEST VARS'!$E$54*(8*$BX37)+'LINEST VARS'!$D$54*(8*12.73)+'LINEST VARS'!$C$54*($CR$32*$BX37)+'LINEST VARS'!$B$54*($CR$32*12.73)+'LINEST VARS'!$A$54*($BX37*12.73)</f>
        <v>3.9899999999999998</v>
      </c>
      <c r="CS37" s="52">
        <f>'LINEST VARS'!$U$54+'LINEST VARS'!$T$54*(8)+'LINEST VARS'!$S$54*(8)+'LINEST VARS'!$R$54*($CS$32)+'LINEST VARS'!$Q$54*($BX37)+'LINEST VARS'!$P$54*(12.73)+'LINEST VARS'!$O$54*(8^2)+'LINEST VARS'!$N$54*(8^2)+'LINEST VARS'!$M$54*($CS$32^2)+'LINEST VARS'!$L$54*($BX37^2)+'LINEST VARS'!$K$54*(12.73^2)+'LINEST VARS'!$J$54*(8*8)+'LINEST VARS'!$I$54*(8*$CS$32)+'LINEST VARS'!$H$54*(8*$BX37)+'LINEST VARS'!$G$54*(8*12.73)+'LINEST VARS'!$F$54*(8*$CS$32)+'LINEST VARS'!$E$54*(8*$BX37)+'LINEST VARS'!$D$54*(8*12.73)+'LINEST VARS'!$C$54*($CS$32*$BX37)+'LINEST VARS'!$B$54*($CS$32*12.73)+'LINEST VARS'!$A$54*($BX37*12.73)</f>
        <v>3.9899999999999998</v>
      </c>
      <c r="CX37" s="45">
        <v>5.1980000000000004</v>
      </c>
      <c r="CY37" s="51">
        <f>'LINEST VARS'!$U$52+'LINEST VARS'!$T$52*(8)+'LINEST VARS'!$S$52*(8)+'LINEST VARS'!$R$52*($CY$32)+'LINEST VARS'!$Q$52*(0.5)+'LINEST VARS'!$P$52*($CX37)+'LINEST VARS'!$O$52*(8^2)+'LINEST VARS'!$N$52*(8^2)+'LINEST VARS'!$M$52*($CY$32^2)+'LINEST VARS'!$L$52*(0.5^2)+'LINEST VARS'!$K$52*($CX37^2)+'LINEST VARS'!$J$52*(8*8)+'LINEST VARS'!$I$52*(8*$CY$32)+'LINEST VARS'!$H$52*(8*0.5)+'LINEST VARS'!$G$52*(8*$CX37)+'LINEST VARS'!$F$52*(8*$CY$32)+'LINEST VARS'!$E$52*(8*0.5)+'LINEST VARS'!$D$52*(8*$CX37)+'LINEST VARS'!$C$52*($CY$32*0.5)+'LINEST VARS'!$B$52*($CY$32*$CX37)+'LINEST VARS'!$A$52*(0.5*$CX37)</f>
        <v>4.4499999999999984</v>
      </c>
      <c r="CZ37" s="51">
        <f>'LINEST VARS'!$U$52+'LINEST VARS'!$T$52*(8)+'LINEST VARS'!$S$52*(8)+'LINEST VARS'!$R$52*($CZ$32)+'LINEST VARS'!$Q$52*(0.5)+'LINEST VARS'!$P$52*($CX37)+'LINEST VARS'!$O$52*(8^2)+'LINEST VARS'!$N$52*(8^2)+'LINEST VARS'!$M$52*($CZ$32^2)+'LINEST VARS'!$L$52*(0.5^2)+'LINEST VARS'!$K$52*($CX37^2)+'LINEST VARS'!$J$52*(8*8)+'LINEST VARS'!$I$52*(8*$CZ$32)+'LINEST VARS'!$H$52*(8*0.5)+'LINEST VARS'!$G$52*(8*$CX37)+'LINEST VARS'!$F$52*(8*$CZ$32)+'LINEST VARS'!$E$52*(8*0.5)+'LINEST VARS'!$D$52*(8*$CX37)+'LINEST VARS'!$C$52*($CZ$32*0.5)+'LINEST VARS'!$B$52*($CZ$32*$CX37)+'LINEST VARS'!$A$52*(0.5*$CX37)</f>
        <v>4.4499999999999984</v>
      </c>
      <c r="DA37" s="51">
        <f>'LINEST VARS'!$U$52+'LINEST VARS'!$T$52*(8)+'LINEST VARS'!$S$52*(8)+'LINEST VARS'!$R$52*($DA$32)+'LINEST VARS'!$Q$52*(0.5)+'LINEST VARS'!$P$52*($CX37)+'LINEST VARS'!$O$52*(8^2)+'LINEST VARS'!$N$52*(8^2)+'LINEST VARS'!$M$52*($DA$32^2)+'LINEST VARS'!$L$52*(0.5^2)+'LINEST VARS'!$K$52*($CX37^2)+'LINEST VARS'!$J$52*(8*8)+'LINEST VARS'!$I$52*(8*$DA$32)+'LINEST VARS'!$H$52*(8*0.5)+'LINEST VARS'!$G$52*(8*$CX37)+'LINEST VARS'!$F$52*(8*$DA$32)+'LINEST VARS'!$E$52*(8*0.5)+'LINEST VARS'!$D$52*(8*$CX37)+'LINEST VARS'!$C$52*($DA$32*0.5)+'LINEST VARS'!$B$52*($DA$32*$CX37)+'LINEST VARS'!$A$52*(0.5*$CX37)</f>
        <v>4.4499999999999984</v>
      </c>
      <c r="DB37" s="51">
        <f>'LINEST VARS'!$U$52+'LINEST VARS'!$T$52*(8)+'LINEST VARS'!$S$52*(8)+'LINEST VARS'!$R$52*($DB$32)+'LINEST VARS'!$Q$52*(0.5)+'LINEST VARS'!$P$52*($CX37)+'LINEST VARS'!$O$52*(8^2)+'LINEST VARS'!$N$52*(8^2)+'LINEST VARS'!$M$52*($DB$32^2)+'LINEST VARS'!$L$52*(0.5^2)+'LINEST VARS'!$K$52*($CX37^2)+'LINEST VARS'!$J$52*(8*8)+'LINEST VARS'!$I$52*(8*$DB$32)+'LINEST VARS'!$H$52*(8*0.5)+'LINEST VARS'!$G$52*(8*$CX37)+'LINEST VARS'!$F$52*(8*$DB$32)+'LINEST VARS'!$E$52*(8*0.5)+'LINEST VARS'!$D$52*(8*$CX37)+'LINEST VARS'!$C$52*($DB$32*0.5)+'LINEST VARS'!$B$52*($DB$32*$CX37)+'LINEST VARS'!$A$52*(0.5*$CX37)</f>
        <v>4.4499999999999984</v>
      </c>
      <c r="DC37" s="51">
        <f>'LINEST VARS'!$U$52+'LINEST VARS'!$T$52*(8)+'LINEST VARS'!$S$52*(8)+'LINEST VARS'!$R$52*($DC$32)+'LINEST VARS'!$Q$52*(0.5)+'LINEST VARS'!$P$52*($CX37)+'LINEST VARS'!$O$52*(8^2)+'LINEST VARS'!$N$52*(8^2)+'LINEST VARS'!$M$52*($DC$32^2)+'LINEST VARS'!$L$52*(0.5^2)+'LINEST VARS'!$K$52*($CX37^2)+'LINEST VARS'!$J$52*(8*8)+'LINEST VARS'!$I$52*(8*$DC$32)+'LINEST VARS'!$H$52*(8*0.5)+'LINEST VARS'!$G$52*(8*$CX37)+'LINEST VARS'!$F$52*(8*$DC$32)+'LINEST VARS'!$E$52*(8*0.5)+'LINEST VARS'!$D$52*(8*$CX37)+'LINEST VARS'!$C$52*($DC$32*0.5)+'LINEST VARS'!$B$52*($DC$32*$CX37)+'LINEST VARS'!$A$52*(0.5*$CX37)</f>
        <v>4.4499999999999984</v>
      </c>
      <c r="DD37" s="51">
        <f>'LINEST VARS'!$U$52+'LINEST VARS'!$T$52*(8)+'LINEST VARS'!$S$52*(8)+'LINEST VARS'!$R$52*($DD$32)+'LINEST VARS'!$Q$52*(0.5)+'LINEST VARS'!$P$52*($CX37)+'LINEST VARS'!$O$52*(8^2)+'LINEST VARS'!$N$52*(8^2)+'LINEST VARS'!$M$52*($DD$32^2)+'LINEST VARS'!$L$52*(0.5^2)+'LINEST VARS'!$K$52*($CX37^2)+'LINEST VARS'!$J$52*(8*8)+'LINEST VARS'!$I$52*(8*$DD$32)+'LINEST VARS'!$H$52*(8*0.5)+'LINEST VARS'!$G$52*(8*$CX37)+'LINEST VARS'!$F$52*(8*$DD$32)+'LINEST VARS'!$E$52*(8*0.5)+'LINEST VARS'!$D$52*(8*$CX37)+'LINEST VARS'!$C$52*($DD$32*0.5)+'LINEST VARS'!$B$52*($DD$32*$CX37)+'LINEST VARS'!$A$52*(0.5*$CX37)</f>
        <v>4.4499999999999984</v>
      </c>
      <c r="DE37" s="51">
        <f>'LINEST VARS'!$U$52+'LINEST VARS'!$T$52*(8)+'LINEST VARS'!$S$52*(8)+'LINEST VARS'!$R$52*($DE$32)+'LINEST VARS'!$Q$52*(0.5)+'LINEST VARS'!$P$52*($CX37)+'LINEST VARS'!$O$52*(8^2)+'LINEST VARS'!$N$52*(8^2)+'LINEST VARS'!$M$52*($DE$32^2)+'LINEST VARS'!$L$52*(0.5^2)+'LINEST VARS'!$K$52*($CX37^2)+'LINEST VARS'!$J$52*(8*8)+'LINEST VARS'!$I$52*(8*$DE$32)+'LINEST VARS'!$H$52*(8*0.5)+'LINEST VARS'!$G$52*(8*$CX37)+'LINEST VARS'!$F$52*(8*$DE$32)+'LINEST VARS'!$E$52*(8*0.5)+'LINEST VARS'!$D$52*(8*$CX37)+'LINEST VARS'!$C$52*($DE$32*0.5)+'LINEST VARS'!$B$52*($DE$32*$CX37)+'LINEST VARS'!$A$52*(0.5*$CX37)</f>
        <v>4.4499999999999984</v>
      </c>
      <c r="DF37" s="51">
        <f>'LINEST VARS'!$U$52+'LINEST VARS'!$T$52*(8)+'LINEST VARS'!$S$52*(8)+'LINEST VARS'!$R$52*($DF$32)+'LINEST VARS'!$Q$52*(0.5)+'LINEST VARS'!$P$52*($CX37)+'LINEST VARS'!$O$52*(8^2)+'LINEST VARS'!$N$52*(8^2)+'LINEST VARS'!$M$52*($DF$32^2)+'LINEST VARS'!$L$52*(0.5^2)+'LINEST VARS'!$K$52*($CX37^2)+'LINEST VARS'!$J$52*(8*8)+'LINEST VARS'!$I$52*(8*$DF$32)+'LINEST VARS'!$H$52*(8*0.5)+'LINEST VARS'!$G$52*(8*$CX37)+'LINEST VARS'!$F$52*(8*$DF$32)+'LINEST VARS'!$E$52*(8*0.5)+'LINEST VARS'!$D$52*(8*$CX37)+'LINEST VARS'!$C$52*($DF$32*0.5)+'LINEST VARS'!$B$52*($DF$32*$CX37)+'LINEST VARS'!$A$52*(0.5*$CX37)</f>
        <v>4.4499999999999984</v>
      </c>
      <c r="DG37" s="51">
        <f>'LINEST VARS'!$U$52+'LINEST VARS'!$T$52*(8)+'LINEST VARS'!$S$52*(8)+'LINEST VARS'!$R$52*($DG$32)+'LINEST VARS'!$Q$52*(0.5)+'LINEST VARS'!$P$52*($CX37)+'LINEST VARS'!$O$52*(8^2)+'LINEST VARS'!$N$52*(8^2)+'LINEST VARS'!$M$52*($DG$32^2)+'LINEST VARS'!$L$52*(0.5^2)+'LINEST VARS'!$K$52*($CX37^2)+'LINEST VARS'!$J$52*(8*8)+'LINEST VARS'!$I$52*(8*$DG$32)+'LINEST VARS'!$H$52*(8*0.5)+'LINEST VARS'!$G$52*(8*$CX37)+'LINEST VARS'!$F$52*(8*$DG$32)+'LINEST VARS'!$E$52*(8*0.5)+'LINEST VARS'!$D$52*(8*$CX37)+'LINEST VARS'!$C$52*($DG$32*0.5)+'LINEST VARS'!$B$52*($DG$32*$CX37)+'LINEST VARS'!$A$52*(0.5*$CX37)</f>
        <v>4.4499999999999984</v>
      </c>
      <c r="DH37" s="51">
        <f>'LINEST VARS'!$U$52+'LINEST VARS'!$T$52*(8)+'LINEST VARS'!$S$52*(8)+'LINEST VARS'!$R$52*($DH$32)+'LINEST VARS'!$Q$52*(0.5)+'LINEST VARS'!$P$52*($CX37)+'LINEST VARS'!$O$52*(8^2)+'LINEST VARS'!$N$52*(8^2)+'LINEST VARS'!$M$52*($DH$32^2)+'LINEST VARS'!$L$52*(0.5^2)+'LINEST VARS'!$K$52*($CX37^2)+'LINEST VARS'!$J$52*(8*8)+'LINEST VARS'!$I$52*(8*$DH$32)+'LINEST VARS'!$H$52*(8*0.5)+'LINEST VARS'!$G$52*(8*$CX37)+'LINEST VARS'!$F$52*(8*$DH$32)+'LINEST VARS'!$E$52*(8*0.5)+'LINEST VARS'!$D$52*(8*$CX37)+'LINEST VARS'!$C$52*($DH$32*0.5)+'LINEST VARS'!$B$52*($DH$32*$CX37)+'LINEST VARS'!$A$52*(0.5*$CX37)</f>
        <v>4.4499999999999984</v>
      </c>
      <c r="DI37" s="51">
        <f>'LINEST VARS'!$U$52+'LINEST VARS'!$T$52*(8)+'LINEST VARS'!$S$52*(8)+'LINEST VARS'!$R$52*($DI$32)+'LINEST VARS'!$Q$52*(0.5)+'LINEST VARS'!$P$52*($CX37)+'LINEST VARS'!$O$52*(8^2)+'LINEST VARS'!$N$52*(8^2)+'LINEST VARS'!$M$52*($DI$32^2)+'LINEST VARS'!$L$52*(0.5^2)+'LINEST VARS'!$K$52*($CX37^2)+'LINEST VARS'!$J$52*(8*8)+'LINEST VARS'!$I$52*(8*$DI$32)+'LINEST VARS'!$H$52*(8*0.5)+'LINEST VARS'!$G$52*(8*$CX37)+'LINEST VARS'!$F$52*(8*$DI$32)+'LINEST VARS'!$E$52*(8*0.5)+'LINEST VARS'!$D$52*(8*$CX37)+'LINEST VARS'!$C$52*($DI$32*0.5)+'LINEST VARS'!$B$52*($DI$32*$CX37)+'LINEST VARS'!$A$52*(0.5*$CX37)</f>
        <v>4.4499999999999984</v>
      </c>
      <c r="DJ37" s="51">
        <f>'LINEST VARS'!$U$52+'LINEST VARS'!$T$52*(8)+'LINEST VARS'!$S$52*(8)+'LINEST VARS'!$R$52*($DJ$32)+'LINEST VARS'!$Q$52*(0.5)+'LINEST VARS'!$P$52*($CX37)+'LINEST VARS'!$O$52*(8^2)+'LINEST VARS'!$N$52*(8^2)+'LINEST VARS'!$M$52*($DJ$32^2)+'LINEST VARS'!$L$52*(0.5^2)+'LINEST VARS'!$K$52*($CX37^2)+'LINEST VARS'!$J$52*(8*8)+'LINEST VARS'!$I$52*(8*$DJ$32)+'LINEST VARS'!$H$52*(8*0.5)+'LINEST VARS'!$G$52*(8*$CX37)+'LINEST VARS'!$F$52*(8*$DJ$32)+'LINEST VARS'!$E$52*(8*0.5)+'LINEST VARS'!$D$52*(8*$CX37)+'LINEST VARS'!$C$52*($DJ$32*0.5)+'LINEST VARS'!$B$52*($DJ$32*$CX37)+'LINEST VARS'!$A$52*(0.5*$CX37)</f>
        <v>4.4499999999999984</v>
      </c>
      <c r="DK37" s="51">
        <f>'LINEST VARS'!$U$52+'LINEST VARS'!$T$52*(8)+'LINEST VARS'!$S$52*(8)+'LINEST VARS'!$R$52*($DK$32)+'LINEST VARS'!$Q$52*(0.5)+'LINEST VARS'!$P$52*($CX37)+'LINEST VARS'!$O$52*(8^2)+'LINEST VARS'!$N$52*(8^2)+'LINEST VARS'!$M$52*($DK$32^2)+'LINEST VARS'!$L$52*(0.5^2)+'LINEST VARS'!$K$52*($CX37^2)+'LINEST VARS'!$J$52*(8*8)+'LINEST VARS'!$I$52*(8*$DK$32)+'LINEST VARS'!$H$52*(8*0.5)+'LINEST VARS'!$G$52*(8*$CX37)+'LINEST VARS'!$F$52*(8*$DK$32)+'LINEST VARS'!$E$52*(8*0.5)+'LINEST VARS'!$D$52*(8*$CX37)+'LINEST VARS'!$C$52*($DK$32*0.5)+'LINEST VARS'!$B$52*($DK$32*$CX37)+'LINEST VARS'!$A$52*(0.5*$CX37)</f>
        <v>4.4499999999999984</v>
      </c>
      <c r="DL37" s="51">
        <f>'LINEST VARS'!$U$52+'LINEST VARS'!$T$52*(8)+'LINEST VARS'!$S$52*(8)+'LINEST VARS'!$R$52*($DL$32)+'LINEST VARS'!$Q$52*(0.5)+'LINEST VARS'!$P$52*($CX37)+'LINEST VARS'!$O$52*(8^2)+'LINEST VARS'!$N$52*(8^2)+'LINEST VARS'!$M$52*($DL$32^2)+'LINEST VARS'!$L$52*(0.5^2)+'LINEST VARS'!$K$52*($CX37^2)+'LINEST VARS'!$J$52*(8*8)+'LINEST VARS'!$I$52*(8*$DL$32)+'LINEST VARS'!$H$52*(8*0.5)+'LINEST VARS'!$G$52*(8*$CX37)+'LINEST VARS'!$F$52*(8*$DL$32)+'LINEST VARS'!$E$52*(8*0.5)+'LINEST VARS'!$D$52*(8*$CX37)+'LINEST VARS'!$C$52*($DL$32*0.5)+'LINEST VARS'!$B$52*($DL$32*$CX37)+'LINEST VARS'!$A$52*(0.5*$CX37)</f>
        <v>4.4499999999999984</v>
      </c>
      <c r="DM37" s="51">
        <f>'LINEST VARS'!$U$52+'LINEST VARS'!$T$52*(8)+'LINEST VARS'!$S$52*(8)+'LINEST VARS'!$R$52*($DM$32)+'LINEST VARS'!$Q$52*(0.5)+'LINEST VARS'!$P$52*($CX37)+'LINEST VARS'!$O$52*(8^2)+'LINEST VARS'!$N$52*(8^2)+'LINEST VARS'!$M$52*($DM$32^2)+'LINEST VARS'!$L$52*(0.5^2)+'LINEST VARS'!$K$52*($CX37^2)+'LINEST VARS'!$J$52*(8*8)+'LINEST VARS'!$I$52*(8*$DM$32)+'LINEST VARS'!$H$52*(8*0.5)+'LINEST VARS'!$G$52*(8*$CX37)+'LINEST VARS'!$F$52*(8*$DM$32)+'LINEST VARS'!$E$52*(8*0.5)+'LINEST VARS'!$D$52*(8*$CX37)+'LINEST VARS'!$C$52*($DM$32*0.5)+'LINEST VARS'!$B$52*($DM$32*$CX37)+'LINEST VARS'!$A$52*(0.5*$CX37)</f>
        <v>4.4499999999999984</v>
      </c>
      <c r="DN37" s="51">
        <f>'LINEST VARS'!$U$52+'LINEST VARS'!$T$52*(8)+'LINEST VARS'!$S$52*(8)+'LINEST VARS'!$R$52*($DN$32)+'LINEST VARS'!$Q$52*(0.5)+'LINEST VARS'!$P$52*($CX37)+'LINEST VARS'!$O$52*(8^2)+'LINEST VARS'!$N$52*(8^2)+'LINEST VARS'!$M$52*($DN$32^2)+'LINEST VARS'!$L$52*(0.5^2)+'LINEST VARS'!$K$52*($CX37^2)+'LINEST VARS'!$J$52*(8*8)+'LINEST VARS'!$I$52*(8*$DN$32)+'LINEST VARS'!$H$52*(8*0.5)+'LINEST VARS'!$G$52*(8*$CX37)+'LINEST VARS'!$F$52*(8*$DN$32)+'LINEST VARS'!$E$52*(8*0.5)+'LINEST VARS'!$D$52*(8*$CX37)+'LINEST VARS'!$C$52*($DN$32*0.5)+'LINEST VARS'!$B$52*($DN$32*$CX37)+'LINEST VARS'!$A$52*(0.5*$CX37)</f>
        <v>4.4499999999999984</v>
      </c>
      <c r="DO37" s="51">
        <f>'LINEST VARS'!$U$52+'LINEST VARS'!$T$52*(8)+'LINEST VARS'!$S$52*(8)+'LINEST VARS'!$R$52*($DO$32)+'LINEST VARS'!$Q$52*(0.5)+'LINEST VARS'!$P$52*($CX37)+'LINEST VARS'!$O$52*(8^2)+'LINEST VARS'!$N$52*(8^2)+'LINEST VARS'!$M$52*($DO$32^2)+'LINEST VARS'!$L$52*(0.5^2)+'LINEST VARS'!$K$52*($CX37^2)+'LINEST VARS'!$J$52*(8*8)+'LINEST VARS'!$I$52*(8*$DO$32)+'LINEST VARS'!$H$52*(8*0.5)+'LINEST VARS'!$G$52*(8*$CX37)+'LINEST VARS'!$F$52*(8*$DO$32)+'LINEST VARS'!$E$52*(8*0.5)+'LINEST VARS'!$D$52*(8*$CX37)+'LINEST VARS'!$C$52*($DO$32*0.5)+'LINEST VARS'!$B$52*($DO$32*$CX37)+'LINEST VARS'!$A$52*(0.5*$CX37)</f>
        <v>4.4499999999999984</v>
      </c>
      <c r="DP37" s="51">
        <f>'LINEST VARS'!$U$52+'LINEST VARS'!$T$52*(8)+'LINEST VARS'!$S$52*(8)+'LINEST VARS'!$R$52*($DP$32)+'LINEST VARS'!$Q$52*(0.5)+'LINEST VARS'!$P$52*($CX37)+'LINEST VARS'!$O$52*(8^2)+'LINEST VARS'!$N$52*(8^2)+'LINEST VARS'!$M$52*($DP$32^2)+'LINEST VARS'!$L$52*(0.5^2)+'LINEST VARS'!$K$52*($CX37^2)+'LINEST VARS'!$J$52*(8*8)+'LINEST VARS'!$I$52*(8*$DP$32)+'LINEST VARS'!$H$52*(8*0.5)+'LINEST VARS'!$G$52*(8*$CX37)+'LINEST VARS'!$F$52*(8*$DP$32)+'LINEST VARS'!$E$52*(8*0.5)+'LINEST VARS'!$D$52*(8*$CX37)+'LINEST VARS'!$C$52*($DP$32*0.5)+'LINEST VARS'!$B$52*($DP$32*$CX37)+'LINEST VARS'!$A$52*(0.5*$CX37)</f>
        <v>4.4499999999999984</v>
      </c>
      <c r="DQ37" s="51">
        <f>'LINEST VARS'!$U$52+'LINEST VARS'!$T$52*(8)+'LINEST VARS'!$S$52*(8)+'LINEST VARS'!$R$52*($DQ$32)+'LINEST VARS'!$Q$52*(0.5)+'LINEST VARS'!$P$52*($CX37)+'LINEST VARS'!$O$52*(8^2)+'LINEST VARS'!$N$52*(8^2)+'LINEST VARS'!$M$52*($DQ$32^2)+'LINEST VARS'!$L$52*(0.5^2)+'LINEST VARS'!$K$52*($CX37^2)+'LINEST VARS'!$J$52*(8*8)+'LINEST VARS'!$I$52*(8*$DQ$32)+'LINEST VARS'!$H$52*(8*0.5)+'LINEST VARS'!$G$52*(8*$CX37)+'LINEST VARS'!$F$52*(8*$DQ$32)+'LINEST VARS'!$E$52*(8*0.5)+'LINEST VARS'!$D$52*(8*$CX37)+'LINEST VARS'!$C$52*($DQ$32*0.5)+'LINEST VARS'!$B$52*($DQ$32*$CX37)+'LINEST VARS'!$A$52*(0.5*$CX37)</f>
        <v>4.4499999999999984</v>
      </c>
      <c r="DR37" s="51">
        <f>'LINEST VARS'!$U$52+'LINEST VARS'!$T$52*(8)+'LINEST VARS'!$S$52*(8)+'LINEST VARS'!$R$52*($DR$32)+'LINEST VARS'!$Q$52*(0.5)+'LINEST VARS'!$P$52*($CX37)+'LINEST VARS'!$O$52*(8^2)+'LINEST VARS'!$N$52*(8^2)+'LINEST VARS'!$M$52*($DR$32^2)+'LINEST VARS'!$L$52*(0.5^2)+'LINEST VARS'!$K$52*($CX37^2)+'LINEST VARS'!$J$52*(8*8)+'LINEST VARS'!$I$52*(8*$DR$32)+'LINEST VARS'!$H$52*(8*0.5)+'LINEST VARS'!$G$52*(8*$CX37)+'LINEST VARS'!$F$52*(8*$DR$32)+'LINEST VARS'!$E$52*(8*0.5)+'LINEST VARS'!$D$52*(8*$CX37)+'LINEST VARS'!$C$52*($DR$32*0.5)+'LINEST VARS'!$B$52*($DR$32*$CX37)+'LINEST VARS'!$A$52*(0.5*$CX37)</f>
        <v>4.4499999999999984</v>
      </c>
      <c r="DS37" s="52">
        <f>'LINEST VARS'!$U$52+'LINEST VARS'!$T$52*(8)+'LINEST VARS'!$S$52*(8)+'LINEST VARS'!$R$52*($DS$32)+'LINEST VARS'!$Q$52*(0.5)+'LINEST VARS'!$P$52*($CX37)+'LINEST VARS'!$O$52*(8^2)+'LINEST VARS'!$N$52*(8^2)+'LINEST VARS'!$M$52*($DS$32^2)+'LINEST VARS'!$L$52*(0.5^2)+'LINEST VARS'!$K$52*($CX37^2)+'LINEST VARS'!$J$52*(8*8)+'LINEST VARS'!$I$52*(8*$DS$32)+'LINEST VARS'!$H$52*(8*0.5)+'LINEST VARS'!$G$52*(8*$CX37)+'LINEST VARS'!$F$52*(8*$DS$32)+'LINEST VARS'!$E$52*(8*0.5)+'LINEST VARS'!$D$52*(8*$CX37)+'LINEST VARS'!$C$52*($DS$32*0.5)+'LINEST VARS'!$B$52*($DS$32*$CX37)+'LINEST VARS'!$A$52*(0.5*$CX37)</f>
        <v>4.4499999999999984</v>
      </c>
      <c r="DV37" s="45">
        <v>5.1980000000000004</v>
      </c>
      <c r="DW37" s="51">
        <f>'LINEST VARS'!$U$54+'LINEST VARS'!$T$54*(8)+'LINEST VARS'!$S$54*(8)+'LINEST VARS'!$R$54*($DW$32)+'LINEST VARS'!$Q$54*(0.5)+'LINEST VARS'!$P$54*($DV37)+'LINEST VARS'!$O$54*(8^2)+'LINEST VARS'!$N$54*(8^2)+'LINEST VARS'!$M$54*($DW$32^2)+'LINEST VARS'!$L$54*(0.5^2)+'LINEST VARS'!$K$54*($DV37^2)+'LINEST VARS'!$J$54*(8*8)+'LINEST VARS'!$I$54*(8*$DW$32)+'LINEST VARS'!$H$54*(8*0.5)+'LINEST VARS'!$G$54*(8*$DV37)+'LINEST VARS'!$F$54*(8*$DW$32)+'LINEST VARS'!$E$54*(8*0.5)+'LINEST VARS'!$D$54*(8*$DV37)+'LINEST VARS'!$C$54*($DW$32*0.5)+'LINEST VARS'!$B$54*($DW$32*$DV37)+'LINEST VARS'!$A$54*(0.5*$DV37)</f>
        <v>3.9749999999999996</v>
      </c>
      <c r="DX37" s="51">
        <f>'LINEST VARS'!$U$54+'LINEST VARS'!$T$54*(8)+'LINEST VARS'!$S$54*(8)+'LINEST VARS'!$R$54*($DX$32)+'LINEST VARS'!$Q$54*(0.5)+'LINEST VARS'!$P$54*($DV37)+'LINEST VARS'!$O$54*(8^2)+'LINEST VARS'!$N$54*(8^2)+'LINEST VARS'!$M$54*($DX$32^2)+'LINEST VARS'!$L$54*(0.5^2)+'LINEST VARS'!$K$54*($DV37^2)+'LINEST VARS'!$J$54*(8*8)+'LINEST VARS'!$I$54*(8*$DX$32)+'LINEST VARS'!$H$54*(8*0.5)+'LINEST VARS'!$G$54*(8*$DV37)+'LINEST VARS'!$F$54*(8*$DX$32)+'LINEST VARS'!$E$54*(8*0.5)+'LINEST VARS'!$D$54*(8*$DV37)+'LINEST VARS'!$C$54*($DX$32*0.5)+'LINEST VARS'!$B$54*($DX$32*$DV37)+'LINEST VARS'!$A$54*(0.5*$DV37)</f>
        <v>3.9749999999999996</v>
      </c>
      <c r="DY37" s="51">
        <f>'LINEST VARS'!$U$54+'LINEST VARS'!$T$54*(8)+'LINEST VARS'!$S$54*(8)+'LINEST VARS'!$R$54*($DY$32)+'LINEST VARS'!$Q$54*(0.5)+'LINEST VARS'!$P$54*($DV37)+'LINEST VARS'!$O$54*(8^2)+'LINEST VARS'!$N$54*(8^2)+'LINEST VARS'!$M$54*($DY$32^2)+'LINEST VARS'!$L$54*(0.5^2)+'LINEST VARS'!$K$54*($DV37^2)+'LINEST VARS'!$J$54*(8*8)+'LINEST VARS'!$I$54*(8*$DY$32)+'LINEST VARS'!$H$54*(8*0.5)+'LINEST VARS'!$G$54*(8*$DV37)+'LINEST VARS'!$F$54*(8*$DY$32)+'LINEST VARS'!$E$54*(8*0.5)+'LINEST VARS'!$D$54*(8*$DV37)+'LINEST VARS'!$C$54*($DY$32*0.5)+'LINEST VARS'!$B$54*($DY$32*$DV37)+'LINEST VARS'!$A$54*(0.5*$DV37)</f>
        <v>3.9749999999999996</v>
      </c>
      <c r="DZ37" s="51">
        <f>'LINEST VARS'!$U$54+'LINEST VARS'!$T$54*(8)+'LINEST VARS'!$S$54*(8)+'LINEST VARS'!$R$54*($DZ$32)+'LINEST VARS'!$Q$54*(0.5)+'LINEST VARS'!$P$54*($DV37)+'LINEST VARS'!$O$54*(8^2)+'LINEST VARS'!$N$54*(8^2)+'LINEST VARS'!$M$54*($DZ$32^2)+'LINEST VARS'!$L$54*(0.5^2)+'LINEST VARS'!$K$54*($DV37^2)+'LINEST VARS'!$J$54*(8*8)+'LINEST VARS'!$I$54*(8*$DZ$32)+'LINEST VARS'!$H$54*(8*0.5)+'LINEST VARS'!$G$54*(8*$DV37)+'LINEST VARS'!$F$54*(8*$DZ$32)+'LINEST VARS'!$E$54*(8*0.5)+'LINEST VARS'!$D$54*(8*$DV37)+'LINEST VARS'!$C$54*($DZ$32*0.5)+'LINEST VARS'!$B$54*($DZ$32*$DV37)+'LINEST VARS'!$A$54*(0.5*$DV37)</f>
        <v>3.9749999999999996</v>
      </c>
      <c r="EA37" s="51">
        <f>'LINEST VARS'!$U$54+'LINEST VARS'!$T$54*(8)+'LINEST VARS'!$S$54*(8)+'LINEST VARS'!$R$54*($EA$32)+'LINEST VARS'!$Q$54*(0.5)+'LINEST VARS'!$P$54*($DV37)+'LINEST VARS'!$O$54*(8^2)+'LINEST VARS'!$N$54*(8^2)+'LINEST VARS'!$M$54*($EA$32^2)+'LINEST VARS'!$L$54*(0.5^2)+'LINEST VARS'!$K$54*($DV37^2)+'LINEST VARS'!$J$54*(8*8)+'LINEST VARS'!$I$54*(8*$EA$32)+'LINEST VARS'!$H$54*(8*0.5)+'LINEST VARS'!$G$54*(8*$DV37)+'LINEST VARS'!$F$54*(8*$EA$32)+'LINEST VARS'!$E$54*(8*0.5)+'LINEST VARS'!$D$54*(8*$DV37)+'LINEST VARS'!$C$54*($EA$32*0.5)+'LINEST VARS'!$B$54*($EA$32*$DV37)+'LINEST VARS'!$A$54*(0.5*$DV37)</f>
        <v>3.9749999999999996</v>
      </c>
      <c r="EB37" s="51">
        <f>'LINEST VARS'!$U$54+'LINEST VARS'!$T$54*(8)+'LINEST VARS'!$S$54*(8)+'LINEST VARS'!$R$54*($EB$32)+'LINEST VARS'!$Q$54*(0.5)+'LINEST VARS'!$P$54*($DV37)+'LINEST VARS'!$O$54*(8^2)+'LINEST VARS'!$N$54*(8^2)+'LINEST VARS'!$M$54*($EB$32^2)+'LINEST VARS'!$L$54*(0.5^2)+'LINEST VARS'!$K$54*($DV37^2)+'LINEST VARS'!$J$54*(8*8)+'LINEST VARS'!$I$54*(8*$EB$32)+'LINEST VARS'!$H$54*(8*0.5)+'LINEST VARS'!$G$54*(8*$DV37)+'LINEST VARS'!$F$54*(8*$EB$32)+'LINEST VARS'!$E$54*(8*0.5)+'LINEST VARS'!$D$54*(8*$DV37)+'LINEST VARS'!$C$54*($EB$32*0.5)+'LINEST VARS'!$B$54*($EB$32*$DV37)+'LINEST VARS'!$A$54*(0.5*$DV37)</f>
        <v>3.9749999999999996</v>
      </c>
      <c r="EC37" s="51">
        <f>'LINEST VARS'!$U$54+'LINEST VARS'!$T$54*(8)+'LINEST VARS'!$S$54*(8)+'LINEST VARS'!$R$54*($EC$32)+'LINEST VARS'!$Q$54*(0.5)+'LINEST VARS'!$P$54*($DV37)+'LINEST VARS'!$O$54*(8^2)+'LINEST VARS'!$N$54*(8^2)+'LINEST VARS'!$M$54*($EC$32^2)+'LINEST VARS'!$L$54*(0.5^2)+'LINEST VARS'!$K$54*($DV37^2)+'LINEST VARS'!$J$54*(8*8)+'LINEST VARS'!$I$54*(8*$EC$32)+'LINEST VARS'!$H$54*(8*0.5)+'LINEST VARS'!$G$54*(8*$DV37)+'LINEST VARS'!$F$54*(8*$EC$32)+'LINEST VARS'!$E$54*(8*0.5)+'LINEST VARS'!$D$54*(8*$DV37)+'LINEST VARS'!$C$54*($EC$32*0.5)+'LINEST VARS'!$B$54*($EC$32*$DV37)+'LINEST VARS'!$A$54*(0.5*$DV37)</f>
        <v>3.9749999999999996</v>
      </c>
      <c r="ED37" s="51">
        <f>'LINEST VARS'!$U$54+'LINEST VARS'!$T$54*(8)+'LINEST VARS'!$S$54*(8)+'LINEST VARS'!$R$54*($ED$32)+'LINEST VARS'!$Q$54*(0.5)+'LINEST VARS'!$P$54*($DV37)+'LINEST VARS'!$O$54*(8^2)+'LINEST VARS'!$N$54*(8^2)+'LINEST VARS'!$M$54*($ED$32^2)+'LINEST VARS'!$L$54*(0.5^2)+'LINEST VARS'!$K$54*($DV37^2)+'LINEST VARS'!$J$54*(8*8)+'LINEST VARS'!$I$54*(8*$ED$32)+'LINEST VARS'!$H$54*(8*0.5)+'LINEST VARS'!$G$54*(8*$DV37)+'LINEST VARS'!$F$54*(8*$ED$32)+'LINEST VARS'!$E$54*(8*0.5)+'LINEST VARS'!$D$54*(8*$DV37)+'LINEST VARS'!$C$54*($ED$32*0.5)+'LINEST VARS'!$B$54*($ED$32*$DV37)+'LINEST VARS'!$A$54*(0.5*$DV37)</f>
        <v>3.9749999999999996</v>
      </c>
      <c r="EE37" s="51">
        <f>'LINEST VARS'!$U$54+'LINEST VARS'!$T$54*(8)+'LINEST VARS'!$S$54*(8)+'LINEST VARS'!$R$54*($EE$32)+'LINEST VARS'!$Q$54*(0.5)+'LINEST VARS'!$P$54*($DV37)+'LINEST VARS'!$O$54*(8^2)+'LINEST VARS'!$N$54*(8^2)+'LINEST VARS'!$M$54*($EE$32^2)+'LINEST VARS'!$L$54*(0.5^2)+'LINEST VARS'!$K$54*($DV37^2)+'LINEST VARS'!$J$54*(8*8)+'LINEST VARS'!$I$54*(8*$EE$32)+'LINEST VARS'!$H$54*(8*0.5)+'LINEST VARS'!$G$54*(8*$DV37)+'LINEST VARS'!$F$54*(8*$EE$32)+'LINEST VARS'!$E$54*(8*0.5)+'LINEST VARS'!$D$54*(8*$DV37)+'LINEST VARS'!$C$54*($EE$32*0.5)+'LINEST VARS'!$B$54*($EE$32*$DV37)+'LINEST VARS'!$A$54*(0.5*$DV37)</f>
        <v>3.9749999999999996</v>
      </c>
      <c r="EF37" s="51">
        <f>'LINEST VARS'!$U$54+'LINEST VARS'!$T$54*(8)+'LINEST VARS'!$S$54*(8)+'LINEST VARS'!$R$54*($EF$32)+'LINEST VARS'!$Q$54*(0.5)+'LINEST VARS'!$P$54*($DV37)+'LINEST VARS'!$O$54*(8^2)+'LINEST VARS'!$N$54*(8^2)+'LINEST VARS'!$M$54*($EF$32^2)+'LINEST VARS'!$L$54*(0.5^2)+'LINEST VARS'!$K$54*($DV37^2)+'LINEST VARS'!$J$54*(8*8)+'LINEST VARS'!$I$54*(8*$EF$32)+'LINEST VARS'!$H$54*(8*0.5)+'LINEST VARS'!$G$54*(8*$DV37)+'LINEST VARS'!$F$54*(8*$EF$32)+'LINEST VARS'!$E$54*(8*0.5)+'LINEST VARS'!$D$54*(8*$DV37)+'LINEST VARS'!$C$54*($EF$32*0.5)+'LINEST VARS'!$B$54*($EF$32*$DV37)+'LINEST VARS'!$A$54*(0.5*$DV37)</f>
        <v>3.9749999999999996</v>
      </c>
      <c r="EG37" s="51">
        <f>'LINEST VARS'!$U$54+'LINEST VARS'!$T$54*(8)+'LINEST VARS'!$S$54*(8)+'LINEST VARS'!$R$54*($EG$32)+'LINEST VARS'!$Q$54*(0.5)+'LINEST VARS'!$P$54*($DV37)+'LINEST VARS'!$O$54*(8^2)+'LINEST VARS'!$N$54*(8^2)+'LINEST VARS'!$M$54*($EG$32^2)+'LINEST VARS'!$L$54*(0.5^2)+'LINEST VARS'!$K$54*($DV37^2)+'LINEST VARS'!$J$54*(8*8)+'LINEST VARS'!$I$54*(8*$EG$32)+'LINEST VARS'!$H$54*(8*0.5)+'LINEST VARS'!$G$54*(8*$DV37)+'LINEST VARS'!$F$54*(8*$EG$32)+'LINEST VARS'!$E$54*(8*0.5)+'LINEST VARS'!$D$54*(8*$DV37)+'LINEST VARS'!$C$54*($EG$32*0.5)+'LINEST VARS'!$B$54*($EG$32*$DV37)+'LINEST VARS'!$A$54*(0.5*$DV37)</f>
        <v>3.9749999999999996</v>
      </c>
      <c r="EH37" s="51">
        <f>'LINEST VARS'!$U$54+'LINEST VARS'!$T$54*(8)+'LINEST VARS'!$S$54*(8)+'LINEST VARS'!$R$54*($EH$32)+'LINEST VARS'!$Q$54*(0.5)+'LINEST VARS'!$P$54*($DV37)+'LINEST VARS'!$O$54*(8^2)+'LINEST VARS'!$N$54*(8^2)+'LINEST VARS'!$M$54*($EH$32^2)+'LINEST VARS'!$L$54*(0.5^2)+'LINEST VARS'!$K$54*($DV37^2)+'LINEST VARS'!$J$54*(8*8)+'LINEST VARS'!$I$54*(8*$EH$32)+'LINEST VARS'!$H$54*(8*0.5)+'LINEST VARS'!$G$54*(8*$DV37)+'LINEST VARS'!$F$54*(8*$EH$32)+'LINEST VARS'!$E$54*(8*0.5)+'LINEST VARS'!$D$54*(8*$DV37)+'LINEST VARS'!$C$54*($EH$32*0.5)+'LINEST VARS'!$B$54*($EH$32*$DV37)+'LINEST VARS'!$A$54*(0.5*$DV37)</f>
        <v>3.9749999999999996</v>
      </c>
      <c r="EI37" s="51">
        <f>'LINEST VARS'!$U$54+'LINEST VARS'!$T$54*(8)+'LINEST VARS'!$S$54*(8)+'LINEST VARS'!$R$54*($EI$32)+'LINEST VARS'!$Q$54*(0.5)+'LINEST VARS'!$P$54*($DV37)+'LINEST VARS'!$O$54*(8^2)+'LINEST VARS'!$N$54*(8^2)+'LINEST VARS'!$M$54*($EI$32^2)+'LINEST VARS'!$L$54*(0.5^2)+'LINEST VARS'!$K$54*($DV37^2)+'LINEST VARS'!$J$54*(8*8)+'LINEST VARS'!$I$54*(8*$EI$32)+'LINEST VARS'!$H$54*(8*0.5)+'LINEST VARS'!$G$54*(8*$DV37)+'LINEST VARS'!$F$54*(8*$EI$32)+'LINEST VARS'!$E$54*(8*0.5)+'LINEST VARS'!$D$54*(8*$DV37)+'LINEST VARS'!$C$54*($EI$32*0.5)+'LINEST VARS'!$B$54*($EI$32*$DV37)+'LINEST VARS'!$A$54*(0.5*$DV37)</f>
        <v>3.9749999999999996</v>
      </c>
      <c r="EJ37" s="51">
        <f>'LINEST VARS'!$U$54+'LINEST VARS'!$T$54*(8)+'LINEST VARS'!$S$54*(8)+'LINEST VARS'!$R$54*($EJ$32)+'LINEST VARS'!$Q$54*(0.5)+'LINEST VARS'!$P$54*($DV37)+'LINEST VARS'!$O$54*(8^2)+'LINEST VARS'!$N$54*(8^2)+'LINEST VARS'!$M$54*($EJ$32^2)+'LINEST VARS'!$L$54*(0.5^2)+'LINEST VARS'!$K$54*($DV37^2)+'LINEST VARS'!$J$54*(8*8)+'LINEST VARS'!$I$54*(8*$EJ$32)+'LINEST VARS'!$H$54*(8*0.5)+'LINEST VARS'!$G$54*(8*$DV37)+'LINEST VARS'!$F$54*(8*$EJ$32)+'LINEST VARS'!$E$54*(8*0.5)+'LINEST VARS'!$D$54*(8*$DV37)+'LINEST VARS'!$C$54*($EJ$32*0.5)+'LINEST VARS'!$B$54*($EJ$32*$DV37)+'LINEST VARS'!$A$54*(0.5*$DV37)</f>
        <v>3.9749999999999996</v>
      </c>
      <c r="EK37" s="51">
        <f>'LINEST VARS'!$U$54+'LINEST VARS'!$T$54*(8)+'LINEST VARS'!$S$54*(8)+'LINEST VARS'!$R$54*($EK$32)+'LINEST VARS'!$Q$54*(0.5)+'LINEST VARS'!$P$54*($DV37)+'LINEST VARS'!$O$54*(8^2)+'LINEST VARS'!$N$54*(8^2)+'LINEST VARS'!$M$54*($EK$32^2)+'LINEST VARS'!$L$54*(0.5^2)+'LINEST VARS'!$K$54*($DV37^2)+'LINEST VARS'!$J$54*(8*8)+'LINEST VARS'!$I$54*(8*$EK$32)+'LINEST VARS'!$H$54*(8*0.5)+'LINEST VARS'!$G$54*(8*$DV37)+'LINEST VARS'!$F$54*(8*$EK$32)+'LINEST VARS'!$E$54*(8*0.5)+'LINEST VARS'!$D$54*(8*$DV37)+'LINEST VARS'!$C$54*($EK$32*0.5)+'LINEST VARS'!$B$54*($EK$32*$DV37)+'LINEST VARS'!$A$54*(0.5*$DV37)</f>
        <v>3.9749999999999996</v>
      </c>
      <c r="EL37" s="51">
        <f>'LINEST VARS'!$U$54+'LINEST VARS'!$T$54*(8)+'LINEST VARS'!$S$54*(8)+'LINEST VARS'!$R$54*($EL$32)+'LINEST VARS'!$Q$54*(0.5)+'LINEST VARS'!$P$54*($DV37)+'LINEST VARS'!$O$54*(8^2)+'LINEST VARS'!$N$54*(8^2)+'LINEST VARS'!$M$54*($EL$32^2)+'LINEST VARS'!$L$54*(0.5^2)+'LINEST VARS'!$K$54*($DV37^2)+'LINEST VARS'!$J$54*(8*8)+'LINEST VARS'!$I$54*(8*$EL$32)+'LINEST VARS'!$H$54*(8*0.5)+'LINEST VARS'!$G$54*(8*$DV37)+'LINEST VARS'!$F$54*(8*$EL$32)+'LINEST VARS'!$E$54*(8*0.5)+'LINEST VARS'!$D$54*(8*$DV37)+'LINEST VARS'!$C$54*($EL$32*0.5)+'LINEST VARS'!$B$54*($EL$32*$DV37)+'LINEST VARS'!$A$54*(0.5*$DV37)</f>
        <v>3.9749999999999996</v>
      </c>
      <c r="EM37" s="51">
        <f>'LINEST VARS'!$U$54+'LINEST VARS'!$T$54*(8)+'LINEST VARS'!$S$54*(8)+'LINEST VARS'!$R$54*($EM$32)+'LINEST VARS'!$Q$54*(0.5)+'LINEST VARS'!$P$54*($DV37)+'LINEST VARS'!$O$54*(8^2)+'LINEST VARS'!$N$54*(8^2)+'LINEST VARS'!$M$54*($EM$32^2)+'LINEST VARS'!$L$54*(0.5^2)+'LINEST VARS'!$K$54*($DV37^2)+'LINEST VARS'!$J$54*(8*8)+'LINEST VARS'!$I$54*(8*$EM$32)+'LINEST VARS'!$H$54*(8*0.5)+'LINEST VARS'!$G$54*(8*$DV37)+'LINEST VARS'!$F$54*(8*$EM$32)+'LINEST VARS'!$E$54*(8*0.5)+'LINEST VARS'!$D$54*(8*$DV37)+'LINEST VARS'!$C$54*($EM$32*0.5)+'LINEST VARS'!$B$54*($EM$32*$DV37)+'LINEST VARS'!$A$54*(0.5*$DV37)</f>
        <v>3.9749999999999996</v>
      </c>
      <c r="EN37" s="51">
        <f>'LINEST VARS'!$U$54+'LINEST VARS'!$T$54*(8)+'LINEST VARS'!$S$54*(8)+'LINEST VARS'!$R$54*($EN$32)+'LINEST VARS'!$Q$54*(0.5)+'LINEST VARS'!$P$54*($DV37)+'LINEST VARS'!$O$54*(8^2)+'LINEST VARS'!$N$54*(8^2)+'LINEST VARS'!$M$54*($EN$32^2)+'LINEST VARS'!$L$54*(0.5^2)+'LINEST VARS'!$K$54*($DV37^2)+'LINEST VARS'!$J$54*(8*8)+'LINEST VARS'!$I$54*(8*$EN$32)+'LINEST VARS'!$H$54*(8*0.5)+'LINEST VARS'!$G$54*(8*$DV37)+'LINEST VARS'!$F$54*(8*$EN$32)+'LINEST VARS'!$E$54*(8*0.5)+'LINEST VARS'!$D$54*(8*$DV37)+'LINEST VARS'!$C$54*($EN$32*0.5)+'LINEST VARS'!$B$54*($EN$32*$DV37)+'LINEST VARS'!$A$54*(0.5*$DV37)</f>
        <v>3.9749999999999996</v>
      </c>
      <c r="EO37" s="51">
        <f>'LINEST VARS'!$U$54+'LINEST VARS'!$T$54*(8)+'LINEST VARS'!$S$54*(8)+'LINEST VARS'!$R$54*($EO$32)+'LINEST VARS'!$Q$54*(0.5)+'LINEST VARS'!$P$54*($DV37)+'LINEST VARS'!$O$54*(8^2)+'LINEST VARS'!$N$54*(8^2)+'LINEST VARS'!$M$54*($EO$32^2)+'LINEST VARS'!$L$54*(0.5^2)+'LINEST VARS'!$K$54*($DV37^2)+'LINEST VARS'!$J$54*(8*8)+'LINEST VARS'!$I$54*(8*$EO$32)+'LINEST VARS'!$H$54*(8*0.5)+'LINEST VARS'!$G$54*(8*$DV37)+'LINEST VARS'!$F$54*(8*$EO$32)+'LINEST VARS'!$E$54*(8*0.5)+'LINEST VARS'!$D$54*(8*$DV37)+'LINEST VARS'!$C$54*($EO$32*0.5)+'LINEST VARS'!$B$54*($EO$32*$DV37)+'LINEST VARS'!$A$54*(0.5*$DV37)</f>
        <v>3.9749999999999996</v>
      </c>
      <c r="EP37" s="51">
        <f>'LINEST VARS'!$U$54+'LINEST VARS'!$T$54*(8)+'LINEST VARS'!$S$54*(8)+'LINEST VARS'!$R$54*($EP$32)+'LINEST VARS'!$Q$54*(0.5)+'LINEST VARS'!$P$54*($DV37)+'LINEST VARS'!$O$54*(8^2)+'LINEST VARS'!$N$54*(8^2)+'LINEST VARS'!$M$54*($EP$32^2)+'LINEST VARS'!$L$54*(0.5^2)+'LINEST VARS'!$K$54*($DV37^2)+'LINEST VARS'!$J$54*(8*8)+'LINEST VARS'!$I$54*(8*$EP$32)+'LINEST VARS'!$H$54*(8*0.5)+'LINEST VARS'!$G$54*(8*$DV37)+'LINEST VARS'!$F$54*(8*$EP$32)+'LINEST VARS'!$E$54*(8*0.5)+'LINEST VARS'!$D$54*(8*$DV37)+'LINEST VARS'!$C$54*($EP$32*0.5)+'LINEST VARS'!$B$54*($EP$32*$DV37)+'LINEST VARS'!$A$54*(0.5*$DV37)</f>
        <v>3.9749999999999996</v>
      </c>
      <c r="EQ37" s="52">
        <f>'LINEST VARS'!$U$54+'LINEST VARS'!$T$54*(8)+'LINEST VARS'!$S$54*(8)+'LINEST VARS'!$R$54*($EQ$32)+'LINEST VARS'!$Q$54*(0.5)+'LINEST VARS'!$P$54*($DV37)+'LINEST VARS'!$O$54*(8^2)+'LINEST VARS'!$N$54*(8^2)+'LINEST VARS'!$M$54*($EQ$32^2)+'LINEST VARS'!$L$54*(0.5^2)+'LINEST VARS'!$K$54*($DV37^2)+'LINEST VARS'!$J$54*(8*8)+'LINEST VARS'!$I$54*(8*$EQ$32)+'LINEST VARS'!$H$54*(8*0.5)+'LINEST VARS'!$G$54*(8*$DV37)+'LINEST VARS'!$F$54*(8*$EQ$32)+'LINEST VARS'!$E$54*(8*0.5)+'LINEST VARS'!$D$54*(8*$DV37)+'LINEST VARS'!$C$54*($EQ$32*0.5)+'LINEST VARS'!$B$54*($EQ$32*$DV37)+'LINEST VARS'!$A$54*(0.5*$DV37)</f>
        <v>3.9749999999999996</v>
      </c>
    </row>
    <row r="38" spans="2:147" ht="15" customHeight="1" x14ac:dyDescent="0.25">
      <c r="B38" s="45">
        <v>7.7</v>
      </c>
      <c r="C38" s="51">
        <f>'LINEST VARS'!$U$52+'LINEST VARS'!$T$52*($C$32)+'LINEST VARS'!$S$52*($B38)+'LINEST VARS'!$R$52*(4)+'LINEST VARS'!$Q$52*(0.5)+'LINEST VARS'!$P$52*(12.73)+'LINEST VARS'!$O$52*($C$32^2)+'LINEST VARS'!$N$52*($B38^2)+'LINEST VARS'!$M$52*(4^2)+'LINEST VARS'!$L$52*(0.5^2)+'LINEST VARS'!$K$52*(12.73^2)+'LINEST VARS'!$J$52*($C$32*$B38)+'LINEST VARS'!$I$52*($C$32*4)+'LINEST VARS'!$H$52*($C$32*0.5)+'LINEST VARS'!$G$52*($C$32*12.73)+'LINEST VARS'!$F$52*($B38*4)+'LINEST VARS'!$E$52*($B38*0.5)+'LINEST VARS'!$D$52*($B38*12.73)+'LINEST VARS'!$C$52*(4*0.5)+'LINEST VARS'!$B$52*(4*12.73)+'LINEST VARS'!$A$52*(0.5*12.73)</f>
        <v>4.4499999999999984</v>
      </c>
      <c r="D38" s="51">
        <f>'LINEST VARS'!$U$52+'LINEST VARS'!$T$52*($D$32)+'LINEST VARS'!$S$52*($B38)+'LINEST VARS'!$R$52*(4)+'LINEST VARS'!$Q$52*(0.5)+'LINEST VARS'!$P$52*(12.73)+'LINEST VARS'!$O$52*($D$32^2)+'LINEST VARS'!$N$52*($B38^2)+'LINEST VARS'!$M$52*(4^2)+'LINEST VARS'!$L$52*(0.5^2)+'LINEST VARS'!$K$52*(12.73^2)+'LINEST VARS'!$J$52*($D$32*$B38)+'LINEST VARS'!$I$52*($D$32*4)+'LINEST VARS'!$H$52*($D$32*0.5)+'LINEST VARS'!$G$52*($D$32*12.73)+'LINEST VARS'!$F$52*($B38*4)+'LINEST VARS'!$E$52*($B38*0.5)+'LINEST VARS'!$D$52*($B38*12.73)+'LINEST VARS'!$C$52*(4*0.5)+'LINEST VARS'!$B$52*(4*12.73)+'LINEST VARS'!$A$52*(0.5*12.73)</f>
        <v>4.4499999999999984</v>
      </c>
      <c r="E38" s="51">
        <f>'LINEST VARS'!$U$52+'LINEST VARS'!$T$52*($E$32)+'LINEST VARS'!$S$52*($B38)+'LINEST VARS'!$R$52*(4)+'LINEST VARS'!$Q$52*(0.5)+'LINEST VARS'!$P$52*(12.73)+'LINEST VARS'!$O$52*($E$32^2)+'LINEST VARS'!$N$52*($B38^2)+'LINEST VARS'!$M$52*(4^2)+'LINEST VARS'!$L$52*(0.5^2)+'LINEST VARS'!$K$52*(12.73^2)+'LINEST VARS'!$J$52*($E$32*$B38)+'LINEST VARS'!$I$52*($E$32*4)+'LINEST VARS'!$H$52*($E$32*0.5)+'LINEST VARS'!$G$52*($E$32*12.73)+'LINEST VARS'!$F$52*($B38*4)+'LINEST VARS'!$E$52*($B38*0.5)+'LINEST VARS'!$D$52*($B38*12.73)+'LINEST VARS'!$C$52*(4*0.5)+'LINEST VARS'!$B$52*(4*12.73)+'LINEST VARS'!$A$52*(0.5*12.73)</f>
        <v>4.4499999999999984</v>
      </c>
      <c r="F38" s="51">
        <f>'LINEST VARS'!$U$52+'LINEST VARS'!$T$52*($F$32)+'LINEST VARS'!$S$52*($B38)+'LINEST VARS'!$R$52*(4)+'LINEST VARS'!$Q$52*(0.5)+'LINEST VARS'!$P$52*(12.73)+'LINEST VARS'!$O$52*($F$32^2)+'LINEST VARS'!$N$52*($B38^2)+'LINEST VARS'!$M$52*(4^2)+'LINEST VARS'!$L$52*(0.5^2)+'LINEST VARS'!$K$52*(12.73^2)+'LINEST VARS'!$J$52*($F$32*$B38)+'LINEST VARS'!$I$52*($F$32*4)+'LINEST VARS'!$H$52*($F$32*0.5)+'LINEST VARS'!$G$52*($F$32*12.73)+'LINEST VARS'!$F$52*($B38*4)+'LINEST VARS'!$E$52*($B38*0.5)+'LINEST VARS'!$D$52*($B38*12.73)+'LINEST VARS'!$C$52*(4*0.5)+'LINEST VARS'!$B$52*(4*12.73)+'LINEST VARS'!$A$52*(0.5*12.73)</f>
        <v>4.4499999999999984</v>
      </c>
      <c r="G38" s="51">
        <f>'LINEST VARS'!$U$52+'LINEST VARS'!$T$52*($G$32)+'LINEST VARS'!$S$52*($B38)+'LINEST VARS'!$R$52*(4)+'LINEST VARS'!$Q$52*(0.5)+'LINEST VARS'!$P$52*(12.73)+'LINEST VARS'!$O$52*($G$32^2)+'LINEST VARS'!$N$52*($B38^2)+'LINEST VARS'!$M$52*(4^2)+'LINEST VARS'!$L$52*(0.5^2)+'LINEST VARS'!$K$52*(12.73^2)+'LINEST VARS'!$J$52*($G$32*$B38)+'LINEST VARS'!$I$52*($G$32*4)+'LINEST VARS'!$H$52*($G$32*0.5)+'LINEST VARS'!$G$52*($G$32*12.73)+'LINEST VARS'!$F$52*($B38*4)+'LINEST VARS'!$E$52*($B38*0.5)+'LINEST VARS'!$D$52*($B38*12.73)+'LINEST VARS'!$C$52*(4*0.5)+'LINEST VARS'!$B$52*(4*12.73)+'LINEST VARS'!$A$52*(0.5*12.73)</f>
        <v>4.4499999999999984</v>
      </c>
      <c r="H38" s="51">
        <f>'LINEST VARS'!$U$52+'LINEST VARS'!$T$52*($H$32)+'LINEST VARS'!$S$52*($B38)+'LINEST VARS'!$R$52*(4)+'LINEST VARS'!$Q$52*(0.5)+'LINEST VARS'!$P$52*(12.73)+'LINEST VARS'!$O$52*($H$32^2)+'LINEST VARS'!$N$52*($B38^2)+'LINEST VARS'!$M$52*(4^2)+'LINEST VARS'!$L$52*(0.5^2)+'LINEST VARS'!$K$52*(12.73^2)+'LINEST VARS'!$J$52*($H$32*$B38)+'LINEST VARS'!$I$52*($H$32*4)+'LINEST VARS'!$H$52*($H$32*0.5)+'LINEST VARS'!$G$52*($H$32*12.73)+'LINEST VARS'!$F$52*($B38*4)+'LINEST VARS'!$E$52*($B38*0.5)+'LINEST VARS'!$D$52*($B38*12.73)+'LINEST VARS'!$C$52*(4*0.5)+'LINEST VARS'!$B$52*(4*12.73)+'LINEST VARS'!$A$52*(0.5*12.73)</f>
        <v>4.4499999999999984</v>
      </c>
      <c r="I38" s="51">
        <f>'LINEST VARS'!$U$52+'LINEST VARS'!$T$52*($I$32)+'LINEST VARS'!$S$52*($B38)+'LINEST VARS'!$R$52*(4)+'LINEST VARS'!$Q$52*(0.5)+'LINEST VARS'!$P$52*(12.73)+'LINEST VARS'!$O$52*($I$32^2)+'LINEST VARS'!$N$52*($B38^2)+'LINEST VARS'!$M$52*(4^2)+'LINEST VARS'!$L$52*(0.5^2)+'LINEST VARS'!$K$52*(12.73^2)+'LINEST VARS'!$J$52*($I$32*$B38)+'LINEST VARS'!$I$52*($I$32*4)+'LINEST VARS'!$H$52*($I$32*0.5)+'LINEST VARS'!$G$52*($I$32*12.73)+'LINEST VARS'!$F$52*($B38*4)+'LINEST VARS'!$E$52*($B38*0.5)+'LINEST VARS'!$D$52*($B38*12.73)+'LINEST VARS'!$C$52*(4*0.5)+'LINEST VARS'!$B$52*(4*12.73)+'LINEST VARS'!$A$52*(0.5*12.73)</f>
        <v>4.4499999999999984</v>
      </c>
      <c r="J38" s="51">
        <f>'LINEST VARS'!$U$52+'LINEST VARS'!$T$52*($J$32)+'LINEST VARS'!$S$52*($B38)+'LINEST VARS'!$R$52*(4)+'LINEST VARS'!$Q$52*(0.5)+'LINEST VARS'!$P$52*(12.73)+'LINEST VARS'!$O$52*($J$32^2)+'LINEST VARS'!$N$52*($B38^2)+'LINEST VARS'!$M$52*(4^2)+'LINEST VARS'!$L$52*(0.5^2)+'LINEST VARS'!$K$52*(12.73^2)+'LINEST VARS'!$J$52*($J$32*$B38)+'LINEST VARS'!$I$52*($J$32*4)+'LINEST VARS'!$H$52*($J$32*0.5)+'LINEST VARS'!$G$52*($J$32*12.73)+'LINEST VARS'!$F$52*($B38*4)+'LINEST VARS'!$E$52*($B38*0.5)+'LINEST VARS'!$D$52*($B38*12.73)+'LINEST VARS'!$C$52*(4*0.5)+'LINEST VARS'!$B$52*(4*12.73)+'LINEST VARS'!$A$52*(0.5*12.73)</f>
        <v>4.4499999999999984</v>
      </c>
      <c r="K38" s="51">
        <f>'LINEST VARS'!$U$52+'LINEST VARS'!$T$52*($K$32)+'LINEST VARS'!$S$52*($B38)+'LINEST VARS'!$R$52*(4)+'LINEST VARS'!$Q$52*(0.5)+'LINEST VARS'!$P$52*(12.73)+'LINEST VARS'!$O$52*($K$32^2)+'LINEST VARS'!$N$52*($B38^2)+'LINEST VARS'!$M$52*(4^2)+'LINEST VARS'!$L$52*(0.5^2)+'LINEST VARS'!$K$52*(12.73^2)+'LINEST VARS'!$J$52*($K$32*$B38)+'LINEST VARS'!$I$52*($K$32*4)+'LINEST VARS'!$H$52*($K$32*0.5)+'LINEST VARS'!$G$52*($K$32*12.73)+'LINEST VARS'!$F$52*($B38*4)+'LINEST VARS'!$E$52*($B38*0.5)+'LINEST VARS'!$D$52*($B38*12.73)+'LINEST VARS'!$C$52*(4*0.5)+'LINEST VARS'!$B$52*(4*12.73)+'LINEST VARS'!$A$52*(0.5*12.73)</f>
        <v>4.4499999999999984</v>
      </c>
      <c r="L38" s="51">
        <f>'LINEST VARS'!$U$52+'LINEST VARS'!$T$52*($L$32)+'LINEST VARS'!$S$52*($B38)+'LINEST VARS'!$R$52*(4)+'LINEST VARS'!$Q$52*(0.5)+'LINEST VARS'!$P$52*(12.73)+'LINEST VARS'!$O$52*($L$32^2)+'LINEST VARS'!$N$52*($B38^2)+'LINEST VARS'!$M$52*(4^2)+'LINEST VARS'!$L$52*(0.5^2)+'LINEST VARS'!$K$52*(12.73^2)+'LINEST VARS'!$J$52*($L$32*$B38)+'LINEST VARS'!$I$52*($L$32*4)+'LINEST VARS'!$H$52*($L$32*0.5)+'LINEST VARS'!$G$52*($L$32*12.73)+'LINEST VARS'!$F$52*($B38*4)+'LINEST VARS'!$E$52*($B38*0.5)+'LINEST VARS'!$D$52*($B38*12.73)+'LINEST VARS'!$C$52*(4*0.5)+'LINEST VARS'!$B$52*(4*12.73)+'LINEST VARS'!$A$52*(0.5*12.73)</f>
        <v>4.4499999999999984</v>
      </c>
      <c r="M38" s="51">
        <f>'LINEST VARS'!$U$52+'LINEST VARS'!$T$52*($M$32)+'LINEST VARS'!$S$52*($B38)+'LINEST VARS'!$R$52*(4)+'LINEST VARS'!$Q$52*(0.5)+'LINEST VARS'!$P$52*(12.73)+'LINEST VARS'!$O$52*($M$32^2)+'LINEST VARS'!$N$52*($B38^2)+'LINEST VARS'!$M$52*(4^2)+'LINEST VARS'!$L$52*(0.5^2)+'LINEST VARS'!$K$52*(12.73^2)+'LINEST VARS'!$J$52*($M$32*$B38)+'LINEST VARS'!$I$52*($M$32*4)+'LINEST VARS'!$H$52*($M$32*0.5)+'LINEST VARS'!$G$52*($M$32*12.73)+'LINEST VARS'!$F$52*($B38*4)+'LINEST VARS'!$E$52*($B38*0.5)+'LINEST VARS'!$D$52*($B38*12.73)+'LINEST VARS'!$C$52*(4*0.5)+'LINEST VARS'!$B$52*(4*12.73)+'LINEST VARS'!$A$52*(0.5*12.73)</f>
        <v>4.4499999999999984</v>
      </c>
      <c r="N38" s="51">
        <f>'LINEST VARS'!$U$52+'LINEST VARS'!$T$52*($N$32)+'LINEST VARS'!$S$52*($B38)+'LINEST VARS'!$R$52*(4)+'LINEST VARS'!$Q$52*(0.5)+'LINEST VARS'!$P$52*(12.73)+'LINEST VARS'!$O$52*($N$32^2)+'LINEST VARS'!$N$52*($B38^2)+'LINEST VARS'!$M$52*(4^2)+'LINEST VARS'!$L$52*(0.5^2)+'LINEST VARS'!$K$52*(12.73^2)+'LINEST VARS'!$J$52*($N$32*$B38)+'LINEST VARS'!$I$52*($N$32*4)+'LINEST VARS'!$H$52*($N$32*0.5)+'LINEST VARS'!$G$52*($N$32*12.73)+'LINEST VARS'!$F$52*($B38*4)+'LINEST VARS'!$E$52*($B38*0.5)+'LINEST VARS'!$D$52*($B38*12.73)+'LINEST VARS'!$C$52*(4*0.5)+'LINEST VARS'!$B$52*(4*12.73)+'LINEST VARS'!$A$52*(0.5*12.73)</f>
        <v>4.4499999999999984</v>
      </c>
      <c r="O38" s="51">
        <f>'LINEST VARS'!$U$52+'LINEST VARS'!$T$52*($O$32)+'LINEST VARS'!$S$52*($B38)+'LINEST VARS'!$R$52*(4)+'LINEST VARS'!$Q$52*(0.5)+'LINEST VARS'!$P$52*(12.73)+'LINEST VARS'!$O$52*($O$32^2)+'LINEST VARS'!$N$52*($B38^2)+'LINEST VARS'!$M$52*(4^2)+'LINEST VARS'!$L$52*(0.5^2)+'LINEST VARS'!$K$52*(12.73^2)+'LINEST VARS'!$J$52*($O$32*$B38)+'LINEST VARS'!$I$52*($O$32*4)+'LINEST VARS'!$H$52*($O$32*0.5)+'LINEST VARS'!$G$52*($O$32*12.73)+'LINEST VARS'!$F$52*($B38*4)+'LINEST VARS'!$E$52*($B38*0.5)+'LINEST VARS'!$D$52*($B38*12.73)+'LINEST VARS'!$C$52*(4*0.5)+'LINEST VARS'!$B$52*(4*12.73)+'LINEST VARS'!$A$52*(0.5*12.73)</f>
        <v>4.4499999999999984</v>
      </c>
      <c r="P38" s="51">
        <f>'LINEST VARS'!$U$52+'LINEST VARS'!$T$52*($P$32)+'LINEST VARS'!$S$52*($B38)+'LINEST VARS'!$R$52*(4)+'LINEST VARS'!$Q$52*(0.5)+'LINEST VARS'!$P$52*(12.73)+'LINEST VARS'!$O$52*($P$32^2)+'LINEST VARS'!$N$52*($B38^2)+'LINEST VARS'!$M$52*(4^2)+'LINEST VARS'!$L$52*(0.5^2)+'LINEST VARS'!$K$52*(12.73^2)+'LINEST VARS'!$J$52*($P$32*$B38)+'LINEST VARS'!$I$52*($P$32*4)+'LINEST VARS'!$H$52*($P$32*0.5)+'LINEST VARS'!$G$52*($P$32*12.73)+'LINEST VARS'!$F$52*($B38*4)+'LINEST VARS'!$E$52*($B38*0.5)+'LINEST VARS'!$D$52*($B38*12.73)+'LINEST VARS'!$C$52*(4*0.5)+'LINEST VARS'!$B$52*(4*12.73)+'LINEST VARS'!$A$52*(0.5*12.73)</f>
        <v>4.4499999999999984</v>
      </c>
      <c r="Q38" s="51">
        <f>'LINEST VARS'!$U$52+'LINEST VARS'!$T$52*($Q$32)+'LINEST VARS'!$S$52*($B38)+'LINEST VARS'!$R$52*(4)+'LINEST VARS'!$Q$52*(0.5)+'LINEST VARS'!$P$52*(12.73)+'LINEST VARS'!$O$52*($Q$32^2)+'LINEST VARS'!$N$52*($B38^2)+'LINEST VARS'!$M$52*(4^2)+'LINEST VARS'!$L$52*(0.5^2)+'LINEST VARS'!$K$52*(12.73^2)+'LINEST VARS'!$J$52*($Q$32*$B38)+'LINEST VARS'!$I$52*($Q$32*4)+'LINEST VARS'!$H$52*($Q$32*0.5)+'LINEST VARS'!$G$52*($Q$32*12.73)+'LINEST VARS'!$F$52*($B38*4)+'LINEST VARS'!$E$52*($B38*0.5)+'LINEST VARS'!$D$52*($B38*12.73)+'LINEST VARS'!$C$52*(4*0.5)+'LINEST VARS'!$B$52*(4*12.73)+'LINEST VARS'!$A$52*(0.5*12.73)</f>
        <v>4.4499999999999984</v>
      </c>
      <c r="R38" s="51">
        <f>'LINEST VARS'!$U$52+'LINEST VARS'!$T$52*($R$32)+'LINEST VARS'!$S$52*($B38)+'LINEST VARS'!$R$52*(4)+'LINEST VARS'!$Q$52*(0.5)+'LINEST VARS'!$P$52*(12.73)+'LINEST VARS'!$O$52*($R$32^2)+'LINEST VARS'!$N$52*($B38^2)+'LINEST VARS'!$M$52*(4^2)+'LINEST VARS'!$L$52*(0.5^2)+'LINEST VARS'!$K$52*(12.73^2)+'LINEST VARS'!$J$52*($R$32*$B38)+'LINEST VARS'!$I$52*($R$32*4)+'LINEST VARS'!$H$52*($R$32*0.5)+'LINEST VARS'!$G$52*($R$32*12.73)+'LINEST VARS'!$F$52*($B38*4)+'LINEST VARS'!$E$52*($B38*0.5)+'LINEST VARS'!$D$52*($B38*12.73)+'LINEST VARS'!$C$52*(4*0.5)+'LINEST VARS'!$B$52*(4*12.73)+'LINEST VARS'!$A$52*(0.5*12.73)</f>
        <v>4.4499999999999984</v>
      </c>
      <c r="S38" s="51">
        <f>'LINEST VARS'!$U$52+'LINEST VARS'!$T$52*($S$32)+'LINEST VARS'!$S$52*($B38)+'LINEST VARS'!$R$52*(4)+'LINEST VARS'!$Q$52*(0.5)+'LINEST VARS'!$P$52*(12.73)+'LINEST VARS'!$O$52*($S$32^2)+'LINEST VARS'!$N$52*($B38^2)+'LINEST VARS'!$M$52*(4^2)+'LINEST VARS'!$L$52*(0.5^2)+'LINEST VARS'!$K$52*(12.73^2)+'LINEST VARS'!$J$52*($S$32*$B38)+'LINEST VARS'!$I$52*($S$32*4)+'LINEST VARS'!$H$52*($S$32*0.5)+'LINEST VARS'!$G$52*($S$32*12.73)+'LINEST VARS'!$F$52*($B38*4)+'LINEST VARS'!$E$52*($B38*0.5)+'LINEST VARS'!$D$52*($B38*12.73)+'LINEST VARS'!$C$52*(4*0.5)+'LINEST VARS'!$B$52*(4*12.73)+'LINEST VARS'!$A$52*(0.5*12.73)</f>
        <v>4.4499999999999984</v>
      </c>
      <c r="T38" s="51">
        <f>'LINEST VARS'!$U$52+'LINEST VARS'!$T$52*($T$32)+'LINEST VARS'!$S$52*($B38)+'LINEST VARS'!$R$52*(4)+'LINEST VARS'!$Q$52*(0.5)+'LINEST VARS'!$P$52*(12.73)+'LINEST VARS'!$O$52*($T$32^2)+'LINEST VARS'!$N$52*($B38^2)+'LINEST VARS'!$M$52*(4^2)+'LINEST VARS'!$L$52*(0.5^2)+'LINEST VARS'!$K$52*(12.73^2)+'LINEST VARS'!$J$52*($T$32*$B38)+'LINEST VARS'!$I$52*($T$32*4)+'LINEST VARS'!$H$52*($T$32*0.5)+'LINEST VARS'!$G$52*($T$32*12.73)+'LINEST VARS'!$F$52*($B38*4)+'LINEST VARS'!$E$52*($B38*0.5)+'LINEST VARS'!$D$52*($B38*12.73)+'LINEST VARS'!$C$52*(4*0.5)+'LINEST VARS'!$B$52*(4*12.73)+'LINEST VARS'!$A$52*(0.5*12.73)</f>
        <v>4.4499999999999984</v>
      </c>
      <c r="U38" s="51">
        <f>'LINEST VARS'!$U$52+'LINEST VARS'!$T$52*($U$32)+'LINEST VARS'!$S$52*($B38)+'LINEST VARS'!$R$52*(4)+'LINEST VARS'!$Q$52*(0.5)+'LINEST VARS'!$P$52*(12.73)+'LINEST VARS'!$O$52*($U$32^2)+'LINEST VARS'!$N$52*($B38^2)+'LINEST VARS'!$M$52*(4^2)+'LINEST VARS'!$L$52*(0.5^2)+'LINEST VARS'!$K$52*(12.73^2)+'LINEST VARS'!$J$52*($U$32*$B38)+'LINEST VARS'!$I$52*($U$32*4)+'LINEST VARS'!$H$52*($U$32*0.5)+'LINEST VARS'!$G$52*($U$32*12.73)+'LINEST VARS'!$F$52*($B38*4)+'LINEST VARS'!$E$52*($B38*0.5)+'LINEST VARS'!$D$52*($B38*12.73)+'LINEST VARS'!$C$52*(4*0.5)+'LINEST VARS'!$B$52*(4*12.73)+'LINEST VARS'!$A$52*(0.5*12.73)</f>
        <v>4.4499999999999984</v>
      </c>
      <c r="V38" s="51">
        <f>'LINEST VARS'!$U$52+'LINEST VARS'!$T$52*($V$32)+'LINEST VARS'!$S$52*($B38)+'LINEST VARS'!$R$52*(4)+'LINEST VARS'!$Q$52*(0.5)+'LINEST VARS'!$P$52*(12.73)+'LINEST VARS'!$O$52*($V$32^2)+'LINEST VARS'!$N$52*($B38^2)+'LINEST VARS'!$M$52*(4^2)+'LINEST VARS'!$L$52*(0.5^2)+'LINEST VARS'!$K$52*(12.73^2)+'LINEST VARS'!$J$52*($V$32*$B38)+'LINEST VARS'!$I$52*($V$32*4)+'LINEST VARS'!$H$52*($V$32*0.5)+'LINEST VARS'!$G$52*($V$32*12.73)+'LINEST VARS'!$F$52*($B38*4)+'LINEST VARS'!$E$52*($B38*0.5)+'LINEST VARS'!$D$52*($B38*12.73)+'LINEST VARS'!$C$52*(4*0.5)+'LINEST VARS'!$B$52*(4*12.73)+'LINEST VARS'!$A$52*(0.5*12.73)</f>
        <v>4.4499999999999993</v>
      </c>
      <c r="W38" s="52">
        <f>'LINEST VARS'!$U$52+'LINEST VARS'!$T$52*($W$32)+'LINEST VARS'!$S$52*($B38)+'LINEST VARS'!$R$52*(4)+'LINEST VARS'!$Q$52*(0.5)+'LINEST VARS'!$P$52*(12.73)+'LINEST VARS'!$O$52*($W$32^2)+'LINEST VARS'!$N$52*($B38^2)+'LINEST VARS'!$M$52*(4^2)+'LINEST VARS'!$L$52*(0.5^2)+'LINEST VARS'!$K$52*(12.73^2)+'LINEST VARS'!$J$52*($W$32*$B38)+'LINEST VARS'!$I$52*($W$32*4)+'LINEST VARS'!$H$52*($W$32*0.5)+'LINEST VARS'!$G$52*($W$32*12.73)+'LINEST VARS'!$F$52*($B38*4)+'LINEST VARS'!$E$52*($B38*0.5)+'LINEST VARS'!$D$52*($B38*12.73)+'LINEST VARS'!$C$52*(4*0.5)+'LINEST VARS'!$B$52*(4*12.73)+'LINEST VARS'!$A$52*(0.5*12.73)</f>
        <v>4.4499999999999993</v>
      </c>
      <c r="Z38" s="45">
        <v>7.7</v>
      </c>
      <c r="AA38" s="51">
        <f>'LINEST VARS'!$U$54+'LINEST VARS'!$T$54*($AA$32)+'LINEST VARS'!$S$54*($Z38)+'LINEST VARS'!$R$54*(4)+'LINEST VARS'!$Q$54*(0.5)+'LINEST VARS'!$P$54*(12.73)+'LINEST VARS'!$O$54*($AA$32^2)+'LINEST VARS'!$N$54*($Z38^2)+'LINEST VARS'!$M$54*(4^2)+'LINEST VARS'!$L$54*(0.5^2)+'LINEST VARS'!$K$54*(12.73^2)+'LINEST VARS'!$J$54*($AA$32*$Z38)+'LINEST VARS'!$I$54*($AA$32*4)+'LINEST VARS'!$H$54*($AA$32*0.5)+'LINEST VARS'!$G$54*($AA$32*12.73)+'LINEST VARS'!$F$54*($Z38*4)+'LINEST VARS'!$E$54*($Z38*0.5)+'LINEST VARS'!$D$54*($Z38*12.73)+'LINEST VARS'!$C$54*(4*0.5)+'LINEST VARS'!$B$54*(4*12.73)+'LINEST VARS'!$A$54*(0.5*12.73)</f>
        <v>3.9749999999999996</v>
      </c>
      <c r="AB38" s="51">
        <f>'LINEST VARS'!$U$54+'LINEST VARS'!$T$54*($AB$32)+'LINEST VARS'!$S$54*($Z38)+'LINEST VARS'!$R$54*(4)+'LINEST VARS'!$Q$54*(0.5)+'LINEST VARS'!$P$54*(12.73)+'LINEST VARS'!$O$54*($AB$32^2)+'LINEST VARS'!$N$54*($Z38^2)+'LINEST VARS'!$M$54*(4^2)+'LINEST VARS'!$L$54*(0.5^2)+'LINEST VARS'!$K$54*(12.73^2)+'LINEST VARS'!$J$54*($AB$32*$Z38)+'LINEST VARS'!$I$54*($AB$32*4)+'LINEST VARS'!$H$54*($AB$32*0.5)+'LINEST VARS'!$G$54*($AB$32*12.73)+'LINEST VARS'!$F$54*($Z38*4)+'LINEST VARS'!$E$54*($Z38*0.5)+'LINEST VARS'!$D$54*($Z38*12.73)+'LINEST VARS'!$C$54*(4*0.5)+'LINEST VARS'!$B$54*(4*12.73)+'LINEST VARS'!$A$54*(0.5*12.73)</f>
        <v>3.9749999999999996</v>
      </c>
      <c r="AC38" s="51">
        <f>'LINEST VARS'!$U$54+'LINEST VARS'!$T$54*($AC$32)+'LINEST VARS'!$S$54*($Z38)+'LINEST VARS'!$R$54*(4)+'LINEST VARS'!$Q$54*(0.5)+'LINEST VARS'!$P$54*(12.73)+'LINEST VARS'!$O$54*($AC$32^2)+'LINEST VARS'!$N$54*($Z38^2)+'LINEST VARS'!$M$54*(4^2)+'LINEST VARS'!$L$54*(0.5^2)+'LINEST VARS'!$K$54*(12.73^2)+'LINEST VARS'!$J$54*($AC$32*$Z38)+'LINEST VARS'!$I$54*($AC$32*4)+'LINEST VARS'!$H$54*($AC$32*0.5)+'LINEST VARS'!$G$54*($AC$32*12.73)+'LINEST VARS'!$F$54*($Z38*4)+'LINEST VARS'!$E$54*($Z38*0.5)+'LINEST VARS'!$D$54*($Z38*12.73)+'LINEST VARS'!$C$54*(4*0.5)+'LINEST VARS'!$B$54*(4*12.73)+'LINEST VARS'!$A$54*(0.5*12.73)</f>
        <v>3.9749999999999996</v>
      </c>
      <c r="AD38" s="51">
        <f>'LINEST VARS'!$U$54+'LINEST VARS'!$T$54*($AD$32)+'LINEST VARS'!$S$54*($Z38)+'LINEST VARS'!$R$54*(4)+'LINEST VARS'!$Q$54*(0.5)+'LINEST VARS'!$P$54*(12.73)+'LINEST VARS'!$O$54*($AD$32^2)+'LINEST VARS'!$N$54*($Z38^2)+'LINEST VARS'!$M$54*(4^2)+'LINEST VARS'!$L$54*(0.5^2)+'LINEST VARS'!$K$54*(12.73^2)+'LINEST VARS'!$J$54*($AD$32*$Z38)+'LINEST VARS'!$I$54*($AD$32*4)+'LINEST VARS'!$H$54*($AD$32*0.5)+'LINEST VARS'!$G$54*($AD$32*12.73)+'LINEST VARS'!$F$54*($Z38*4)+'LINEST VARS'!$E$54*($Z38*0.5)+'LINEST VARS'!$D$54*($Z38*12.73)+'LINEST VARS'!$C$54*(4*0.5)+'LINEST VARS'!$B$54*(4*12.73)+'LINEST VARS'!$A$54*(0.5*12.73)</f>
        <v>3.9749999999999996</v>
      </c>
      <c r="AE38" s="51">
        <f>'LINEST VARS'!$U$54+'LINEST VARS'!$T$54*($AE$32)+'LINEST VARS'!$S$54*($Z38)+'LINEST VARS'!$R$54*(4)+'LINEST VARS'!$Q$54*(0.5)+'LINEST VARS'!$P$54*(12.73)+'LINEST VARS'!$O$54*($AE$32^2)+'LINEST VARS'!$N$54*($Z38^2)+'LINEST VARS'!$M$54*(4^2)+'LINEST VARS'!$L$54*(0.5^2)+'LINEST VARS'!$K$54*(12.73^2)+'LINEST VARS'!$J$54*($AE$32*$Z38)+'LINEST VARS'!$I$54*($AE$32*4)+'LINEST VARS'!$H$54*($AE$32*0.5)+'LINEST VARS'!$G$54*($AE$32*12.73)+'LINEST VARS'!$F$54*($Z38*4)+'LINEST VARS'!$E$54*($Z38*0.5)+'LINEST VARS'!$D$54*($Z38*12.73)+'LINEST VARS'!$C$54*(4*0.5)+'LINEST VARS'!$B$54*(4*12.73)+'LINEST VARS'!$A$54*(0.5*12.73)</f>
        <v>3.9749999999999996</v>
      </c>
      <c r="AF38" s="51">
        <f>'LINEST VARS'!$U$54+'LINEST VARS'!$T$54*($AF$32)+'LINEST VARS'!$S$54*($Z38)+'LINEST VARS'!$R$54*(4)+'LINEST VARS'!$Q$54*(0.5)+'LINEST VARS'!$P$54*(12.73)+'LINEST VARS'!$O$54*($AF$32^2)+'LINEST VARS'!$N$54*($Z38^2)+'LINEST VARS'!$M$54*(4^2)+'LINEST VARS'!$L$54*(0.5^2)+'LINEST VARS'!$K$54*(12.73^2)+'LINEST VARS'!$J$54*($AF$32*$Z38)+'LINEST VARS'!$I$54*($AF$32*4)+'LINEST VARS'!$H$54*($AF$32*0.5)+'LINEST VARS'!$G$54*($AF$32*12.73)+'LINEST VARS'!$F$54*($Z38*4)+'LINEST VARS'!$E$54*($Z38*0.5)+'LINEST VARS'!$D$54*($Z38*12.73)+'LINEST VARS'!$C$54*(4*0.5)+'LINEST VARS'!$B$54*(4*12.73)+'LINEST VARS'!$A$54*(0.5*12.73)</f>
        <v>3.9749999999999996</v>
      </c>
      <c r="AG38" s="51">
        <f>'LINEST VARS'!$U$54+'LINEST VARS'!$T$54*($AG$32)+'LINEST VARS'!$S$54*($Z38)+'LINEST VARS'!$R$54*(4)+'LINEST VARS'!$Q$54*(0.5)+'LINEST VARS'!$P$54*(12.73)+'LINEST VARS'!$O$54*($AG$32^2)+'LINEST VARS'!$N$54*($Z38^2)+'LINEST VARS'!$M$54*(4^2)+'LINEST VARS'!$L$54*(0.5^2)+'LINEST VARS'!$K$54*(12.73^2)+'LINEST VARS'!$J$54*($AG$32*$Z38)+'LINEST VARS'!$I$54*($AG$32*4)+'LINEST VARS'!$H$54*($AG$32*0.5)+'LINEST VARS'!$G$54*($AG$32*12.73)+'LINEST VARS'!$F$54*($Z38*4)+'LINEST VARS'!$E$54*($Z38*0.5)+'LINEST VARS'!$D$54*($Z38*12.73)+'LINEST VARS'!$C$54*(4*0.5)+'LINEST VARS'!$B$54*(4*12.73)+'LINEST VARS'!$A$54*(0.5*12.73)</f>
        <v>3.9749999999999996</v>
      </c>
      <c r="AH38" s="51">
        <f>'LINEST VARS'!$U$54+'LINEST VARS'!$T$54*($AH$32)+'LINEST VARS'!$S$54*($Z38)+'LINEST VARS'!$R$54*(4)+'LINEST VARS'!$Q$54*(0.5)+'LINEST VARS'!$P$54*(12.73)+'LINEST VARS'!$O$54*($AH$32^2)+'LINEST VARS'!$N$54*($Z38^2)+'LINEST VARS'!$M$54*(4^2)+'LINEST VARS'!$L$54*(0.5^2)+'LINEST VARS'!$K$54*(12.73^2)+'LINEST VARS'!$J$54*($AH$32*$Z38)+'LINEST VARS'!$I$54*($AH$32*4)+'LINEST VARS'!$H$54*($AH$32*0.5)+'LINEST VARS'!$G$54*($AH$32*12.73)+'LINEST VARS'!$F$54*($Z38*4)+'LINEST VARS'!$E$54*($Z38*0.5)+'LINEST VARS'!$D$54*($Z38*12.73)+'LINEST VARS'!$C$54*(4*0.5)+'LINEST VARS'!$B$54*(4*12.73)+'LINEST VARS'!$A$54*(0.5*12.73)</f>
        <v>3.9749999999999996</v>
      </c>
      <c r="AI38" s="51">
        <f>'LINEST VARS'!$U$54+'LINEST VARS'!$T$54*($AI$32)+'LINEST VARS'!$S$54*($Z38)+'LINEST VARS'!$R$54*(4)+'LINEST VARS'!$Q$54*(0.5)+'LINEST VARS'!$P$54*(12.73)+'LINEST VARS'!$O$54*($AI$32^2)+'LINEST VARS'!$N$54*($Z38^2)+'LINEST VARS'!$M$54*(4^2)+'LINEST VARS'!$L$54*(0.5^2)+'LINEST VARS'!$K$54*(12.73^2)+'LINEST VARS'!$J$54*($AI$32*$Z38)+'LINEST VARS'!$I$54*($AI$32*4)+'LINEST VARS'!$H$54*($AI$32*0.5)+'LINEST VARS'!$G$54*($AI$32*12.73)+'LINEST VARS'!$F$54*($Z38*4)+'LINEST VARS'!$E$54*($Z38*0.5)+'LINEST VARS'!$D$54*($Z38*12.73)+'LINEST VARS'!$C$54*(4*0.5)+'LINEST VARS'!$B$54*(4*12.73)+'LINEST VARS'!$A$54*(0.5*12.73)</f>
        <v>3.9749999999999996</v>
      </c>
      <c r="AJ38" s="51">
        <f>'LINEST VARS'!$U$54+'LINEST VARS'!$T$54*($AJ$32)+'LINEST VARS'!$S$54*($Z38)+'LINEST VARS'!$R$54*(4)+'LINEST VARS'!$Q$54*(0.5)+'LINEST VARS'!$P$54*(12.73)+'LINEST VARS'!$O$54*($AJ$32^2)+'LINEST VARS'!$N$54*($Z38^2)+'LINEST VARS'!$M$54*(4^2)+'LINEST VARS'!$L$54*(0.5^2)+'LINEST VARS'!$K$54*(12.73^2)+'LINEST VARS'!$J$54*($AJ$32*$Z38)+'LINEST VARS'!$I$54*($AJ$32*4)+'LINEST VARS'!$H$54*($AJ$32*0.5)+'LINEST VARS'!$G$54*($AJ$32*12.73)+'LINEST VARS'!$F$54*($Z38*4)+'LINEST VARS'!$E$54*($Z38*0.5)+'LINEST VARS'!$D$54*($Z38*12.73)+'LINEST VARS'!$C$54*(4*0.5)+'LINEST VARS'!$B$54*(4*12.73)+'LINEST VARS'!$A$54*(0.5*12.73)</f>
        <v>3.9749999999999996</v>
      </c>
      <c r="AK38" s="51">
        <f>'LINEST VARS'!$U$54+'LINEST VARS'!$T$54*($AK$32)+'LINEST VARS'!$S$54*($Z38)+'LINEST VARS'!$R$54*(4)+'LINEST VARS'!$Q$54*(0.5)+'LINEST VARS'!$P$54*(12.73)+'LINEST VARS'!$O$54*($AK$32^2)+'LINEST VARS'!$N$54*($Z38^2)+'LINEST VARS'!$M$54*(4^2)+'LINEST VARS'!$L$54*(0.5^2)+'LINEST VARS'!$K$54*(12.73^2)+'LINEST VARS'!$J$54*($AK$32*$Z38)+'LINEST VARS'!$I$54*($AK$32*4)+'LINEST VARS'!$H$54*($AK$32*0.5)+'LINEST VARS'!$G$54*($AK$32*12.73)+'LINEST VARS'!$F$54*($Z38*4)+'LINEST VARS'!$E$54*($Z38*0.5)+'LINEST VARS'!$D$54*($Z38*12.73)+'LINEST VARS'!$C$54*(4*0.5)+'LINEST VARS'!$B$54*(4*12.73)+'LINEST VARS'!$A$54*(0.5*12.73)</f>
        <v>3.9749999999999996</v>
      </c>
      <c r="AL38" s="51">
        <f>'LINEST VARS'!$U$54+'LINEST VARS'!$T$54*($AL$32)+'LINEST VARS'!$S$54*($Z38)+'LINEST VARS'!$R$54*(4)+'LINEST VARS'!$Q$54*(0.5)+'LINEST VARS'!$P$54*(12.73)+'LINEST VARS'!$O$54*($AL$32^2)+'LINEST VARS'!$N$54*($Z38^2)+'LINEST VARS'!$M$54*(4^2)+'LINEST VARS'!$L$54*(0.5^2)+'LINEST VARS'!$K$54*(12.73^2)+'LINEST VARS'!$J$54*($AL$32*$Z38)+'LINEST VARS'!$I$54*($AL$32*4)+'LINEST VARS'!$H$54*($AL$32*0.5)+'LINEST VARS'!$G$54*($AL$32*12.73)+'LINEST VARS'!$F$54*($Z38*4)+'LINEST VARS'!$E$54*($Z38*0.5)+'LINEST VARS'!$D$54*($Z38*12.73)+'LINEST VARS'!$C$54*(4*0.5)+'LINEST VARS'!$B$54*(4*12.73)+'LINEST VARS'!$A$54*(0.5*12.73)</f>
        <v>3.9749999999999996</v>
      </c>
      <c r="AM38" s="51">
        <f>'LINEST VARS'!$U$54+'LINEST VARS'!$T$54*($AM$32)+'LINEST VARS'!$S$54*($Z38)+'LINEST VARS'!$R$54*(4)+'LINEST VARS'!$Q$54*(0.5)+'LINEST VARS'!$P$54*(12.73)+'LINEST VARS'!$O$54*($AM$32^2)+'LINEST VARS'!$N$54*($Z38^2)+'LINEST VARS'!$M$54*(4^2)+'LINEST VARS'!$L$54*(0.5^2)+'LINEST VARS'!$K$54*(12.73^2)+'LINEST VARS'!$J$54*($AM$32*$Z38)+'LINEST VARS'!$I$54*($AM$32*4)+'LINEST VARS'!$H$54*($AM$32*0.5)+'LINEST VARS'!$G$54*($AM$32*12.73)+'LINEST VARS'!$F$54*($Z38*4)+'LINEST VARS'!$E$54*($Z38*0.5)+'LINEST VARS'!$D$54*($Z38*12.73)+'LINEST VARS'!$C$54*(4*0.5)+'LINEST VARS'!$B$54*(4*12.73)+'LINEST VARS'!$A$54*(0.5*12.73)</f>
        <v>3.9749999999999996</v>
      </c>
      <c r="AN38" s="51">
        <f>'LINEST VARS'!$U$54+'LINEST VARS'!$T$54*($AN$32)+'LINEST VARS'!$S$54*($Z38)+'LINEST VARS'!$R$54*(4)+'LINEST VARS'!$Q$54*(0.5)+'LINEST VARS'!$P$54*(12.73)+'LINEST VARS'!$O$54*($AN$32^2)+'LINEST VARS'!$N$54*($Z38^2)+'LINEST VARS'!$M$54*(4^2)+'LINEST VARS'!$L$54*(0.5^2)+'LINEST VARS'!$K$54*(12.73^2)+'LINEST VARS'!$J$54*($AN$32*$Z38)+'LINEST VARS'!$I$54*($AN$32*4)+'LINEST VARS'!$H$54*($AN$32*0.5)+'LINEST VARS'!$G$54*($AN$32*12.73)+'LINEST VARS'!$F$54*($Z38*4)+'LINEST VARS'!$E$54*($Z38*0.5)+'LINEST VARS'!$D$54*($Z38*12.73)+'LINEST VARS'!$C$54*(4*0.5)+'LINEST VARS'!$B$54*(4*12.73)+'LINEST VARS'!$A$54*(0.5*12.73)</f>
        <v>3.9749999999999996</v>
      </c>
      <c r="AO38" s="51">
        <f>'LINEST VARS'!$U$54+'LINEST VARS'!$T$54*($AO$32)+'LINEST VARS'!$S$54*($Z38)+'LINEST VARS'!$R$54*(4)+'LINEST VARS'!$Q$54*(0.5)+'LINEST VARS'!$P$54*(12.73)+'LINEST VARS'!$O$54*($AO$32^2)+'LINEST VARS'!$N$54*($Z38^2)+'LINEST VARS'!$M$54*(4^2)+'LINEST VARS'!$L$54*(0.5^2)+'LINEST VARS'!$K$54*(12.73^2)+'LINEST VARS'!$J$54*($AO$32*$Z38)+'LINEST VARS'!$I$54*($AO$32*4)+'LINEST VARS'!$H$54*($AO$32*0.5)+'LINEST VARS'!$G$54*($AO$32*12.73)+'LINEST VARS'!$F$54*($Z38*4)+'LINEST VARS'!$E$54*($Z38*0.5)+'LINEST VARS'!$D$54*($Z38*12.73)+'LINEST VARS'!$C$54*(4*0.5)+'LINEST VARS'!$B$54*(4*12.73)+'LINEST VARS'!$A$54*(0.5*12.73)</f>
        <v>3.9749999999999996</v>
      </c>
      <c r="AP38" s="51">
        <f>'LINEST VARS'!$U$54+'LINEST VARS'!$T$54*($AP$32)+'LINEST VARS'!$S$54*($Z38)+'LINEST VARS'!$R$54*(4)+'LINEST VARS'!$Q$54*(0.5)+'LINEST VARS'!$P$54*(12.73)+'LINEST VARS'!$O$54*($AP$32^2)+'LINEST VARS'!$N$54*($Z38^2)+'LINEST VARS'!$M$54*(4^2)+'LINEST VARS'!$L$54*(0.5^2)+'LINEST VARS'!$K$54*(12.73^2)+'LINEST VARS'!$J$54*($AP$32*$Z38)+'LINEST VARS'!$I$54*($AP$32*4)+'LINEST VARS'!$H$54*($AP$32*0.5)+'LINEST VARS'!$G$54*($AP$32*12.73)+'LINEST VARS'!$F$54*($Z38*4)+'LINEST VARS'!$E$54*($Z38*0.5)+'LINEST VARS'!$D$54*($Z38*12.73)+'LINEST VARS'!$C$54*(4*0.5)+'LINEST VARS'!$B$54*(4*12.73)+'LINEST VARS'!$A$54*(0.5*12.73)</f>
        <v>3.9749999999999996</v>
      </c>
      <c r="AQ38" s="51">
        <f>'LINEST VARS'!$U$54+'LINEST VARS'!$T$54*($AQ$32)+'LINEST VARS'!$S$54*($Z38)+'LINEST VARS'!$R$54*(4)+'LINEST VARS'!$Q$54*(0.5)+'LINEST VARS'!$P$54*(12.73)+'LINEST VARS'!$O$54*($AQ$32^2)+'LINEST VARS'!$N$54*($Z38^2)+'LINEST VARS'!$M$54*(4^2)+'LINEST VARS'!$L$54*(0.5^2)+'LINEST VARS'!$K$54*(12.73^2)+'LINEST VARS'!$J$54*($AQ$32*$Z38)+'LINEST VARS'!$I$54*($AQ$32*4)+'LINEST VARS'!$H$54*($AQ$32*0.5)+'LINEST VARS'!$G$54*($AQ$32*12.73)+'LINEST VARS'!$F$54*($Z38*4)+'LINEST VARS'!$E$54*($Z38*0.5)+'LINEST VARS'!$D$54*($Z38*12.73)+'LINEST VARS'!$C$54*(4*0.5)+'LINEST VARS'!$B$54*(4*12.73)+'LINEST VARS'!$A$54*(0.5*12.73)</f>
        <v>3.9749999999999996</v>
      </c>
      <c r="AR38" s="51">
        <f>'LINEST VARS'!$U$54+'LINEST VARS'!$T$54*($AR$32)+'LINEST VARS'!$S$54*($Z38)+'LINEST VARS'!$R$54*(4)+'LINEST VARS'!$Q$54*(0.5)+'LINEST VARS'!$P$54*(12.73)+'LINEST VARS'!$O$54*($AR$32^2)+'LINEST VARS'!$N$54*($Z38^2)+'LINEST VARS'!$M$54*(4^2)+'LINEST VARS'!$L$54*(0.5^2)+'LINEST VARS'!$K$54*(12.73^2)+'LINEST VARS'!$J$54*($AR$32*$Z38)+'LINEST VARS'!$I$54*($AR$32*4)+'LINEST VARS'!$H$54*($AR$32*0.5)+'LINEST VARS'!$G$54*($AR$32*12.73)+'LINEST VARS'!$F$54*($Z38*4)+'LINEST VARS'!$E$54*($Z38*0.5)+'LINEST VARS'!$D$54*($Z38*12.73)+'LINEST VARS'!$C$54*(4*0.5)+'LINEST VARS'!$B$54*(4*12.73)+'LINEST VARS'!$A$54*(0.5*12.73)</f>
        <v>3.9749999999999996</v>
      </c>
      <c r="AS38" s="51">
        <f>'LINEST VARS'!$U$54+'LINEST VARS'!$T$54*($AS$32)+'LINEST VARS'!$S$54*($Z38)+'LINEST VARS'!$R$54*(4)+'LINEST VARS'!$Q$54*(0.5)+'LINEST VARS'!$P$54*(12.73)+'LINEST VARS'!$O$54*($AS$32^2)+'LINEST VARS'!$N$54*($Z38^2)+'LINEST VARS'!$M$54*(4^2)+'LINEST VARS'!$L$54*(0.5^2)+'LINEST VARS'!$K$54*(12.73^2)+'LINEST VARS'!$J$54*($AS$32*$Z38)+'LINEST VARS'!$I$54*($AS$32*4)+'LINEST VARS'!$H$54*($AS$32*0.5)+'LINEST VARS'!$G$54*($AS$32*12.73)+'LINEST VARS'!$F$54*($Z38*4)+'LINEST VARS'!$E$54*($Z38*0.5)+'LINEST VARS'!$D$54*($Z38*12.73)+'LINEST VARS'!$C$54*(4*0.5)+'LINEST VARS'!$B$54*(4*12.73)+'LINEST VARS'!$A$54*(0.5*12.73)</f>
        <v>3.9749999999999996</v>
      </c>
      <c r="AT38" s="51">
        <f>'LINEST VARS'!$U$54+'LINEST VARS'!$T$54*($AT$32)+'LINEST VARS'!$S$54*($Z38)+'LINEST VARS'!$R$54*(4)+'LINEST VARS'!$Q$54*(0.5)+'LINEST VARS'!$P$54*(12.73)+'LINEST VARS'!$O$54*($AT$32^2)+'LINEST VARS'!$N$54*($Z38^2)+'LINEST VARS'!$M$54*(4^2)+'LINEST VARS'!$L$54*(0.5^2)+'LINEST VARS'!$K$54*(12.73^2)+'LINEST VARS'!$J$54*($AT$32*$Z38)+'LINEST VARS'!$I$54*($AT$32*4)+'LINEST VARS'!$H$54*($AT$32*0.5)+'LINEST VARS'!$G$54*($AT$32*12.73)+'LINEST VARS'!$F$54*($Z38*4)+'LINEST VARS'!$E$54*($Z38*0.5)+'LINEST VARS'!$D$54*($Z38*12.73)+'LINEST VARS'!$C$54*(4*0.5)+'LINEST VARS'!$B$54*(4*12.73)+'LINEST VARS'!$A$54*(0.5*12.73)</f>
        <v>3.9750000000000001</v>
      </c>
      <c r="AU38" s="52">
        <f>'LINEST VARS'!$U$54+'LINEST VARS'!$T$54*($AU$32)+'LINEST VARS'!$S$54*($Z38)+'LINEST VARS'!$R$54*(4)+'LINEST VARS'!$Q$54*(0.5)+'LINEST VARS'!$P$54*(12.73)+'LINEST VARS'!$O$54*($AU$32^2)+'LINEST VARS'!$N$54*($Z38^2)+'LINEST VARS'!$M$54*(4^2)+'LINEST VARS'!$L$54*(0.5^2)+'LINEST VARS'!$K$54*(12.73^2)+'LINEST VARS'!$J$54*($AU$32*$Z38)+'LINEST VARS'!$I$54*($AU$32*4)+'LINEST VARS'!$H$54*($AU$32*0.5)+'LINEST VARS'!$G$54*($AU$32*12.73)+'LINEST VARS'!$F$54*($Z38*4)+'LINEST VARS'!$E$54*($Z38*0.5)+'LINEST VARS'!$D$54*($Z38*12.73)+'LINEST VARS'!$C$54*(4*0.5)+'LINEST VARS'!$B$54*(4*12.73)+'LINEST VARS'!$A$54*(0.5*12.73)</f>
        <v>3.9750000000000001</v>
      </c>
      <c r="AZ38" s="45">
        <v>0.25</v>
      </c>
      <c r="BA38" s="51">
        <f>'LINEST VARS'!$U$52+'LINEST VARS'!$T$52*(8)+'LINEST VARS'!$S$52*(8)+'LINEST VARS'!$R$52*($BA$32)+'LINEST VARS'!$Q$52*($AZ38)+'LINEST VARS'!$P$52*(12.73)+'LINEST VARS'!$O$52*(8^2)+'LINEST VARS'!$N$52*(8^2)+'LINEST VARS'!$M$52*($BA$32^2)+'LINEST VARS'!$L$52*($AZ38^2)+'LINEST VARS'!$K$52*(12.73^2)+'LINEST VARS'!$J$52*(8*8)+'LINEST VARS'!$I$52*(8*$BA$32)+'LINEST VARS'!$H$52*(8*$AZ38)+'LINEST VARS'!$G$52*(8*12.73)+'LINEST VARS'!$F$52*(8*$BA$32)+'LINEST VARS'!$E$52*(8*$AZ38)+'LINEST VARS'!$D$52*(8*12.73)+'LINEST VARS'!$C$52*($BA$32*$AZ38)+'LINEST VARS'!$B$52*($BA$32*12.73)+'LINEST VARS'!$A$52*($AZ38*12.73)</f>
        <v>4.4749999999999988</v>
      </c>
      <c r="BB38" s="51">
        <f>'LINEST VARS'!$U$52+'LINEST VARS'!$T$52*(8)+'LINEST VARS'!$S$52*(8)+'LINEST VARS'!$R$52*($BB$32)+'LINEST VARS'!$Q$52*($AZ38)+'LINEST VARS'!$P$52*(12.73)+'LINEST VARS'!$O$52*(8^2)+'LINEST VARS'!$N$52*(8^2)+'LINEST VARS'!$M$52*($BB$32^2)+'LINEST VARS'!$L$52*($AZ38^2)+'LINEST VARS'!$K$52*(12.73^2)+'LINEST VARS'!$J$52*(8*8)+'LINEST VARS'!$I$52*(8*$BB$32)+'LINEST VARS'!$H$52*(8*$AZ38)+'LINEST VARS'!$G$52*(8*12.73)+'LINEST VARS'!$F$52*(8*$BB$32)+'LINEST VARS'!$E$52*(8*$AZ38)+'LINEST VARS'!$D$52*(8*12.73)+'LINEST VARS'!$C$52*($BB$32*$AZ38)+'LINEST VARS'!$B$52*($BB$32*12.73)+'LINEST VARS'!$A$52*($AZ38*12.73)</f>
        <v>4.4749999999999988</v>
      </c>
      <c r="BC38" s="51">
        <f>'LINEST VARS'!$U$52+'LINEST VARS'!$T$52*(8)+'LINEST VARS'!$S$52*(8)+'LINEST VARS'!$R$52*($BC$32)+'LINEST VARS'!$Q$52*($AZ38)+'LINEST VARS'!$P$52*(12.73)+'LINEST VARS'!$O$52*(8^2)+'LINEST VARS'!$N$52*(8^2)+'LINEST VARS'!$M$52*($BC$32^2)+'LINEST VARS'!$L$52*($AZ38^2)+'LINEST VARS'!$K$52*(12.73^2)+'LINEST VARS'!$J$52*(8*8)+'LINEST VARS'!$I$52*(8*$BC$32)+'LINEST VARS'!$H$52*(8*$AZ38)+'LINEST VARS'!$G$52*(8*12.73)+'LINEST VARS'!$F$52*(8*$BC$32)+'LINEST VARS'!$E$52*(8*$AZ38)+'LINEST VARS'!$D$52*(8*12.73)+'LINEST VARS'!$C$52*($BC$32*$AZ38)+'LINEST VARS'!$B$52*($BC$32*12.73)+'LINEST VARS'!$A$52*($AZ38*12.73)</f>
        <v>4.4749999999999988</v>
      </c>
      <c r="BD38" s="51">
        <f>'LINEST VARS'!$U$52+'LINEST VARS'!$T$52*(8)+'LINEST VARS'!$S$52*(8)+'LINEST VARS'!$R$52*($BD$32)+'LINEST VARS'!$Q$52*($AZ38)+'LINEST VARS'!$P$52*(12.73)+'LINEST VARS'!$O$52*(8^2)+'LINEST VARS'!$N$52*(8^2)+'LINEST VARS'!$M$52*($BD$32^2)+'LINEST VARS'!$L$52*($AZ38^2)+'LINEST VARS'!$K$52*(12.73^2)+'LINEST VARS'!$J$52*(8*8)+'LINEST VARS'!$I$52*(8*$BD$32)+'LINEST VARS'!$H$52*(8*$AZ38)+'LINEST VARS'!$G$52*(8*12.73)+'LINEST VARS'!$F$52*(8*$BD$32)+'LINEST VARS'!$E$52*(8*$AZ38)+'LINEST VARS'!$D$52*(8*12.73)+'LINEST VARS'!$C$52*($BD$32*$AZ38)+'LINEST VARS'!$B$52*($BD$32*12.73)+'LINEST VARS'!$A$52*($AZ38*12.73)</f>
        <v>4.4749999999999988</v>
      </c>
      <c r="BE38" s="51">
        <f>'LINEST VARS'!$U$52+'LINEST VARS'!$T$52*(8)+'LINEST VARS'!$S$52*(8)+'LINEST VARS'!$R$52*($BE$32)+'LINEST VARS'!$Q$52*($AZ38)+'LINEST VARS'!$P$52*(12.73)+'LINEST VARS'!$O$52*(8^2)+'LINEST VARS'!$N$52*(8^2)+'LINEST VARS'!$M$52*($BE$32^2)+'LINEST VARS'!$L$52*($AZ38^2)+'LINEST VARS'!$K$52*(12.73^2)+'LINEST VARS'!$J$52*(8*8)+'LINEST VARS'!$I$52*(8*$BE$32)+'LINEST VARS'!$H$52*(8*$AZ38)+'LINEST VARS'!$G$52*(8*12.73)+'LINEST VARS'!$F$52*(8*$BE$32)+'LINEST VARS'!$E$52*(8*$AZ38)+'LINEST VARS'!$D$52*(8*12.73)+'LINEST VARS'!$C$52*($BE$32*$AZ38)+'LINEST VARS'!$B$52*($BE$32*12.73)+'LINEST VARS'!$A$52*($AZ38*12.73)</f>
        <v>4.4749999999999988</v>
      </c>
      <c r="BF38" s="51">
        <f>'LINEST VARS'!$U$52+'LINEST VARS'!$T$52*(8)+'LINEST VARS'!$S$52*(8)+'LINEST VARS'!$R$52*($BF$32)+'LINEST VARS'!$Q$52*($AZ38)+'LINEST VARS'!$P$52*(12.73)+'LINEST VARS'!$O$52*(8^2)+'LINEST VARS'!$N$52*(8^2)+'LINEST VARS'!$M$52*($BF$32^2)+'LINEST VARS'!$L$52*($AZ38^2)+'LINEST VARS'!$K$52*(12.73^2)+'LINEST VARS'!$J$52*(8*8)+'LINEST VARS'!$I$52*(8*$BF$32)+'LINEST VARS'!$H$52*(8*$AZ38)+'LINEST VARS'!$G$52*(8*12.73)+'LINEST VARS'!$F$52*(8*$BF$32)+'LINEST VARS'!$E$52*(8*$AZ38)+'LINEST VARS'!$D$52*(8*12.73)+'LINEST VARS'!$C$52*($BF$32*$AZ38)+'LINEST VARS'!$B$52*($BF$32*12.73)+'LINEST VARS'!$A$52*($AZ38*12.73)</f>
        <v>4.4749999999999988</v>
      </c>
      <c r="BG38" s="51">
        <f>'LINEST VARS'!$U$52+'LINEST VARS'!$T$52*(8)+'LINEST VARS'!$S$52*(8)+'LINEST VARS'!$R$52*($BG$32)+'LINEST VARS'!$Q$52*($AZ38)+'LINEST VARS'!$P$52*(12.73)+'LINEST VARS'!$O$52*(8^2)+'LINEST VARS'!$N$52*(8^2)+'LINEST VARS'!$M$52*($BG$32^2)+'LINEST VARS'!$L$52*($AZ38^2)+'LINEST VARS'!$K$52*(12.73^2)+'LINEST VARS'!$J$52*(8*8)+'LINEST VARS'!$I$52*(8*$BG$32)+'LINEST VARS'!$H$52*(8*$AZ38)+'LINEST VARS'!$G$52*(8*12.73)+'LINEST VARS'!$F$52*(8*$BG$32)+'LINEST VARS'!$E$52*(8*$AZ38)+'LINEST VARS'!$D$52*(8*12.73)+'LINEST VARS'!$C$52*($BG$32*$AZ38)+'LINEST VARS'!$B$52*($BG$32*12.73)+'LINEST VARS'!$A$52*($AZ38*12.73)</f>
        <v>4.4749999999999988</v>
      </c>
      <c r="BH38" s="51">
        <f>'LINEST VARS'!$U$52+'LINEST VARS'!$T$52*(8)+'LINEST VARS'!$S$52*(8)+'LINEST VARS'!$R$52*($BH$32)+'LINEST VARS'!$Q$52*($AZ38)+'LINEST VARS'!$P$52*(12.73)+'LINEST VARS'!$O$52*(8^2)+'LINEST VARS'!$N$52*(8^2)+'LINEST VARS'!$M$52*($BH$32^2)+'LINEST VARS'!$L$52*($AZ38^2)+'LINEST VARS'!$K$52*(12.73^2)+'LINEST VARS'!$J$52*(8*8)+'LINEST VARS'!$I$52*(8*$BH$32)+'LINEST VARS'!$H$52*(8*$AZ38)+'LINEST VARS'!$G$52*(8*12.73)+'LINEST VARS'!$F$52*(8*$BH$32)+'LINEST VARS'!$E$52*(8*$AZ38)+'LINEST VARS'!$D$52*(8*12.73)+'LINEST VARS'!$C$52*($BH$32*$AZ38)+'LINEST VARS'!$B$52*($BH$32*12.73)+'LINEST VARS'!$A$52*($AZ38*12.73)</f>
        <v>4.4749999999999988</v>
      </c>
      <c r="BI38" s="51">
        <f>'LINEST VARS'!$U$52+'LINEST VARS'!$T$52*(8)+'LINEST VARS'!$S$52*(8)+'LINEST VARS'!$R$52*($BI$32)+'LINEST VARS'!$Q$52*($AZ38)+'LINEST VARS'!$P$52*(12.73)+'LINEST VARS'!$O$52*(8^2)+'LINEST VARS'!$N$52*(8^2)+'LINEST VARS'!$M$52*($BI$32^2)+'LINEST VARS'!$L$52*($AZ38^2)+'LINEST VARS'!$K$52*(12.73^2)+'LINEST VARS'!$J$52*(8*8)+'LINEST VARS'!$I$52*(8*$BI$32)+'LINEST VARS'!$H$52*(8*$AZ38)+'LINEST VARS'!$G$52*(8*12.73)+'LINEST VARS'!$F$52*(8*$BI$32)+'LINEST VARS'!$E$52*(8*$AZ38)+'LINEST VARS'!$D$52*(8*12.73)+'LINEST VARS'!$C$52*($BI$32*$AZ38)+'LINEST VARS'!$B$52*($BI$32*12.73)+'LINEST VARS'!$A$52*($AZ38*12.73)</f>
        <v>4.4749999999999988</v>
      </c>
      <c r="BJ38" s="51">
        <f>'LINEST VARS'!$U$52+'LINEST VARS'!$T$52*(8)+'LINEST VARS'!$S$52*(8)+'LINEST VARS'!$R$52*($BJ$32)+'LINEST VARS'!$Q$52*($AZ38)+'LINEST VARS'!$P$52*(12.73)+'LINEST VARS'!$O$52*(8^2)+'LINEST VARS'!$N$52*(8^2)+'LINEST VARS'!$M$52*($BJ$32^2)+'LINEST VARS'!$L$52*($AZ38^2)+'LINEST VARS'!$K$52*(12.73^2)+'LINEST VARS'!$J$52*(8*8)+'LINEST VARS'!$I$52*(8*$BJ$32)+'LINEST VARS'!$H$52*(8*$AZ38)+'LINEST VARS'!$G$52*(8*12.73)+'LINEST VARS'!$F$52*(8*$BJ$32)+'LINEST VARS'!$E$52*(8*$AZ38)+'LINEST VARS'!$D$52*(8*12.73)+'LINEST VARS'!$C$52*($BJ$32*$AZ38)+'LINEST VARS'!$B$52*($BJ$32*12.73)+'LINEST VARS'!$A$52*($AZ38*12.73)</f>
        <v>4.4749999999999988</v>
      </c>
      <c r="BK38" s="51">
        <f>'LINEST VARS'!$U$52+'LINEST VARS'!$T$52*(8)+'LINEST VARS'!$S$52*(8)+'LINEST VARS'!$R$52*($BK$32)+'LINEST VARS'!$Q$52*($AZ38)+'LINEST VARS'!$P$52*(12.73)+'LINEST VARS'!$O$52*(8^2)+'LINEST VARS'!$N$52*(8^2)+'LINEST VARS'!$M$52*($BK$32^2)+'LINEST VARS'!$L$52*($AZ38^2)+'LINEST VARS'!$K$52*(12.73^2)+'LINEST VARS'!$J$52*(8*8)+'LINEST VARS'!$I$52*(8*$BK$32)+'LINEST VARS'!$H$52*(8*$AZ38)+'LINEST VARS'!$G$52*(8*12.73)+'LINEST VARS'!$F$52*(8*$BK$32)+'LINEST VARS'!$E$52*(8*$AZ38)+'LINEST VARS'!$D$52*(8*12.73)+'LINEST VARS'!$C$52*($BK$32*$AZ38)+'LINEST VARS'!$B$52*($BK$32*12.73)+'LINEST VARS'!$A$52*($AZ38*12.73)</f>
        <v>4.4749999999999988</v>
      </c>
      <c r="BL38" s="51">
        <f>'LINEST VARS'!$U$52+'LINEST VARS'!$T$52*(8)+'LINEST VARS'!$S$52*(8)+'LINEST VARS'!$R$52*($BL$32)+'LINEST VARS'!$Q$52*($AZ38)+'LINEST VARS'!$P$52*(12.73)+'LINEST VARS'!$O$52*(8^2)+'LINEST VARS'!$N$52*(8^2)+'LINEST VARS'!$M$52*($BL$32^2)+'LINEST VARS'!$L$52*($AZ38^2)+'LINEST VARS'!$K$52*(12.73^2)+'LINEST VARS'!$J$52*(8*8)+'LINEST VARS'!$I$52*(8*$BL$32)+'LINEST VARS'!$H$52*(8*$AZ38)+'LINEST VARS'!$G$52*(8*12.73)+'LINEST VARS'!$F$52*(8*$BL$32)+'LINEST VARS'!$E$52*(8*$AZ38)+'LINEST VARS'!$D$52*(8*12.73)+'LINEST VARS'!$C$52*($BL$32*$AZ38)+'LINEST VARS'!$B$52*($BL$32*12.73)+'LINEST VARS'!$A$52*($AZ38*12.73)</f>
        <v>4.4749999999999988</v>
      </c>
      <c r="BM38" s="51">
        <f>'LINEST VARS'!$U$52+'LINEST VARS'!$T$52*(8)+'LINEST VARS'!$S$52*(8)+'LINEST VARS'!$R$52*($BM$32)+'LINEST VARS'!$Q$52*($AZ38)+'LINEST VARS'!$P$52*(12.73)+'LINEST VARS'!$O$52*(8^2)+'LINEST VARS'!$N$52*(8^2)+'LINEST VARS'!$M$52*($BM$32^2)+'LINEST VARS'!$L$52*($AZ38^2)+'LINEST VARS'!$K$52*(12.73^2)+'LINEST VARS'!$J$52*(8*8)+'LINEST VARS'!$I$52*(8*$BM$32)+'LINEST VARS'!$H$52*(8*$AZ38)+'LINEST VARS'!$G$52*(8*12.73)+'LINEST VARS'!$F$52*(8*$BM$32)+'LINEST VARS'!$E$52*(8*$AZ38)+'LINEST VARS'!$D$52*(8*12.73)+'LINEST VARS'!$C$52*($BM$32*$AZ38)+'LINEST VARS'!$B$52*($BM$32*12.73)+'LINEST VARS'!$A$52*($AZ38*12.73)</f>
        <v>4.4749999999999988</v>
      </c>
      <c r="BN38" s="51">
        <f>'LINEST VARS'!$U$52+'LINEST VARS'!$T$52*(8)+'LINEST VARS'!$S$52*(8)+'LINEST VARS'!$R$52*($BN$32)+'LINEST VARS'!$Q$52*($AZ38)+'LINEST VARS'!$P$52*(12.73)+'LINEST VARS'!$O$52*(8^2)+'LINEST VARS'!$N$52*(8^2)+'LINEST VARS'!$M$52*($BN$32^2)+'LINEST VARS'!$L$52*($AZ38^2)+'LINEST VARS'!$K$52*(12.73^2)+'LINEST VARS'!$J$52*(8*8)+'LINEST VARS'!$I$52*(8*$BN$32)+'LINEST VARS'!$H$52*(8*$AZ38)+'LINEST VARS'!$G$52*(8*12.73)+'LINEST VARS'!$F$52*(8*$BN$32)+'LINEST VARS'!$E$52*(8*$AZ38)+'LINEST VARS'!$D$52*(8*12.73)+'LINEST VARS'!$C$52*($BN$32*$AZ38)+'LINEST VARS'!$B$52*($BN$32*12.73)+'LINEST VARS'!$A$52*($AZ38*12.73)</f>
        <v>4.4749999999999988</v>
      </c>
      <c r="BO38" s="51">
        <f>'LINEST VARS'!$U$52+'LINEST VARS'!$T$52*(8)+'LINEST VARS'!$S$52*(8)+'LINEST VARS'!$R$52*($BO$32)+'LINEST VARS'!$Q$52*($AZ38)+'LINEST VARS'!$P$52*(12.73)+'LINEST VARS'!$O$52*(8^2)+'LINEST VARS'!$N$52*(8^2)+'LINEST VARS'!$M$52*($BO$32^2)+'LINEST VARS'!$L$52*($AZ38^2)+'LINEST VARS'!$K$52*(12.73^2)+'LINEST VARS'!$J$52*(8*8)+'LINEST VARS'!$I$52*(8*$BO$32)+'LINEST VARS'!$H$52*(8*$AZ38)+'LINEST VARS'!$G$52*(8*12.73)+'LINEST VARS'!$F$52*(8*$BO$32)+'LINEST VARS'!$E$52*(8*$AZ38)+'LINEST VARS'!$D$52*(8*12.73)+'LINEST VARS'!$C$52*($BO$32*$AZ38)+'LINEST VARS'!$B$52*($BO$32*12.73)+'LINEST VARS'!$A$52*($AZ38*12.73)</f>
        <v>4.4749999999999988</v>
      </c>
      <c r="BP38" s="51">
        <f>'LINEST VARS'!$U$52+'LINEST VARS'!$T$52*(8)+'LINEST VARS'!$S$52*(8)+'LINEST VARS'!$R$52*($BP$32)+'LINEST VARS'!$Q$52*($AZ38)+'LINEST VARS'!$P$52*(12.73)+'LINEST VARS'!$O$52*(8^2)+'LINEST VARS'!$N$52*(8^2)+'LINEST VARS'!$M$52*($BP$32^2)+'LINEST VARS'!$L$52*($AZ38^2)+'LINEST VARS'!$K$52*(12.73^2)+'LINEST VARS'!$J$52*(8*8)+'LINEST VARS'!$I$52*(8*$BP$32)+'LINEST VARS'!$H$52*(8*$AZ38)+'LINEST VARS'!$G$52*(8*12.73)+'LINEST VARS'!$F$52*(8*$BP$32)+'LINEST VARS'!$E$52*(8*$AZ38)+'LINEST VARS'!$D$52*(8*12.73)+'LINEST VARS'!$C$52*($BP$32*$AZ38)+'LINEST VARS'!$B$52*($BP$32*12.73)+'LINEST VARS'!$A$52*($AZ38*12.73)</f>
        <v>4.4749999999999988</v>
      </c>
      <c r="BQ38" s="51">
        <f>'LINEST VARS'!$U$52+'LINEST VARS'!$T$52*(8)+'LINEST VARS'!$S$52*(8)+'LINEST VARS'!$R$52*($BQ$32)+'LINEST VARS'!$Q$52*($AZ38)+'LINEST VARS'!$P$52*(12.73)+'LINEST VARS'!$O$52*(8^2)+'LINEST VARS'!$N$52*(8^2)+'LINEST VARS'!$M$52*($BQ$32^2)+'LINEST VARS'!$L$52*($AZ38^2)+'LINEST VARS'!$K$52*(12.73^2)+'LINEST VARS'!$J$52*(8*8)+'LINEST VARS'!$I$52*(8*$BQ$32)+'LINEST VARS'!$H$52*(8*$AZ38)+'LINEST VARS'!$G$52*(8*12.73)+'LINEST VARS'!$F$52*(8*$BQ$32)+'LINEST VARS'!$E$52*(8*$AZ38)+'LINEST VARS'!$D$52*(8*12.73)+'LINEST VARS'!$C$52*($BQ$32*$AZ38)+'LINEST VARS'!$B$52*($BQ$32*12.73)+'LINEST VARS'!$A$52*($AZ38*12.73)</f>
        <v>4.4749999999999988</v>
      </c>
      <c r="BR38" s="51">
        <f>'LINEST VARS'!$U$52+'LINEST VARS'!$T$52*(8)+'LINEST VARS'!$S$52*(8)+'LINEST VARS'!$R$52*($BR$32)+'LINEST VARS'!$Q$52*($AZ38)+'LINEST VARS'!$P$52*(12.73)+'LINEST VARS'!$O$52*(8^2)+'LINEST VARS'!$N$52*(8^2)+'LINEST VARS'!$M$52*($BR$32^2)+'LINEST VARS'!$L$52*($AZ38^2)+'LINEST VARS'!$K$52*(12.73^2)+'LINEST VARS'!$J$52*(8*8)+'LINEST VARS'!$I$52*(8*$BR$32)+'LINEST VARS'!$H$52*(8*$AZ38)+'LINEST VARS'!$G$52*(8*12.73)+'LINEST VARS'!$F$52*(8*$BR$32)+'LINEST VARS'!$E$52*(8*$AZ38)+'LINEST VARS'!$D$52*(8*12.73)+'LINEST VARS'!$C$52*($BR$32*$AZ38)+'LINEST VARS'!$B$52*($BR$32*12.73)+'LINEST VARS'!$A$52*($AZ38*12.73)</f>
        <v>4.4749999999999988</v>
      </c>
      <c r="BS38" s="51">
        <f>'LINEST VARS'!$U$52+'LINEST VARS'!$T$52*(8)+'LINEST VARS'!$S$52*(8)+'LINEST VARS'!$R$52*($BS$32)+'LINEST VARS'!$Q$52*($AZ38)+'LINEST VARS'!$P$52*(12.73)+'LINEST VARS'!$O$52*(8^2)+'LINEST VARS'!$N$52*(8^2)+'LINEST VARS'!$M$52*($BS$32^2)+'LINEST VARS'!$L$52*($AZ38^2)+'LINEST VARS'!$K$52*(12.73^2)+'LINEST VARS'!$J$52*(8*8)+'LINEST VARS'!$I$52*(8*$BS$32)+'LINEST VARS'!$H$52*(8*$AZ38)+'LINEST VARS'!$G$52*(8*12.73)+'LINEST VARS'!$F$52*(8*$BS$32)+'LINEST VARS'!$E$52*(8*$AZ38)+'LINEST VARS'!$D$52*(8*12.73)+'LINEST VARS'!$C$52*($BS$32*$AZ38)+'LINEST VARS'!$B$52*($BS$32*12.73)+'LINEST VARS'!$A$52*($AZ38*12.73)</f>
        <v>4.4749999999999988</v>
      </c>
      <c r="BT38" s="51">
        <f>'LINEST VARS'!$U$52+'LINEST VARS'!$T$52*(8)+'LINEST VARS'!$S$52*(8)+'LINEST VARS'!$R$52*($BT$32)+'LINEST VARS'!$Q$52*($AZ38)+'LINEST VARS'!$P$52*(12.73)+'LINEST VARS'!$O$52*(8^2)+'LINEST VARS'!$N$52*(8^2)+'LINEST VARS'!$M$52*($BT$32^2)+'LINEST VARS'!$L$52*($AZ38^2)+'LINEST VARS'!$K$52*(12.73^2)+'LINEST VARS'!$J$52*(8*8)+'LINEST VARS'!$I$52*(8*$BT$32)+'LINEST VARS'!$H$52*(8*$AZ38)+'LINEST VARS'!$G$52*(8*12.73)+'LINEST VARS'!$F$52*(8*$BT$32)+'LINEST VARS'!$E$52*(8*$AZ38)+'LINEST VARS'!$D$52*(8*12.73)+'LINEST VARS'!$C$52*($BT$32*$AZ38)+'LINEST VARS'!$B$52*($BT$32*12.73)+'LINEST VARS'!$A$52*($AZ38*12.73)</f>
        <v>4.4749999999999988</v>
      </c>
      <c r="BU38" s="52">
        <f>'LINEST VARS'!$U$52+'LINEST VARS'!$T$52*(8)+'LINEST VARS'!$S$52*(8)+'LINEST VARS'!$R$52*($BU$32)+'LINEST VARS'!$Q$52*($AZ38)+'LINEST VARS'!$P$52*(12.73)+'LINEST VARS'!$O$52*(8^2)+'LINEST VARS'!$N$52*(8^2)+'LINEST VARS'!$M$52*($BU$32^2)+'LINEST VARS'!$L$52*($AZ38^2)+'LINEST VARS'!$K$52*(12.73^2)+'LINEST VARS'!$J$52*(8*8)+'LINEST VARS'!$I$52*(8*$BU$32)+'LINEST VARS'!$H$52*(8*$AZ38)+'LINEST VARS'!$G$52*(8*12.73)+'LINEST VARS'!$F$52*(8*$BU$32)+'LINEST VARS'!$E$52*(8*$AZ38)+'LINEST VARS'!$D$52*(8*12.73)+'LINEST VARS'!$C$52*($BU$32*$AZ38)+'LINEST VARS'!$B$52*($BU$32*12.73)+'LINEST VARS'!$A$52*($AZ38*12.73)</f>
        <v>4.4749999999999988</v>
      </c>
      <c r="BX38" s="45">
        <v>0.25</v>
      </c>
      <c r="BY38" s="51">
        <f>'LINEST VARS'!$U$54+'LINEST VARS'!$T$54*(8)+'LINEST VARS'!$S$54*(8)+'LINEST VARS'!$R$54*($BY$32)+'LINEST VARS'!$Q$54*($BX38)+'LINEST VARS'!$P$54*(12.73)+'LINEST VARS'!$O$54*(8^2)+'LINEST VARS'!$N$54*(8^2)+'LINEST VARS'!$M$54*($BY$32^2)+'LINEST VARS'!$L$54*($BX38^2)+'LINEST VARS'!$K$54*(12.73^2)+'LINEST VARS'!$J$54*(8*8)+'LINEST VARS'!$I$54*(8*$BY$32)+'LINEST VARS'!$H$54*(8*$BX38)+'LINEST VARS'!$G$54*(8*12.73)+'LINEST VARS'!$F$54*(8*$BY$32)+'LINEST VARS'!$E$54*(8*$BX38)+'LINEST VARS'!$D$54*(8*12.73)+'LINEST VARS'!$C$54*($BY$32*$BX38)+'LINEST VARS'!$B$54*($BY$32*12.73)+'LINEST VARS'!$A$54*($BX38*12.73)</f>
        <v>3.9874999999999998</v>
      </c>
      <c r="BZ38" s="51">
        <f>'LINEST VARS'!$U$54+'LINEST VARS'!$T$54*(8)+'LINEST VARS'!$S$54*(8)+'LINEST VARS'!$R$54*($BZ$32)+'LINEST VARS'!$Q$54*($BX38)+'LINEST VARS'!$P$54*(12.73)+'LINEST VARS'!$O$54*(8^2)+'LINEST VARS'!$N$54*(8^2)+'LINEST VARS'!$M$54*($BZ$32^2)+'LINEST VARS'!$L$54*($BX38^2)+'LINEST VARS'!$K$54*(12.73^2)+'LINEST VARS'!$J$54*(8*8)+'LINEST VARS'!$I$54*(8*$BZ$32)+'LINEST VARS'!$H$54*(8*$BX38)+'LINEST VARS'!$G$54*(8*12.73)+'LINEST VARS'!$F$54*(8*$BZ$32)+'LINEST VARS'!$E$54*(8*$BX38)+'LINEST VARS'!$D$54*(8*12.73)+'LINEST VARS'!$C$54*($BZ$32*$BX38)+'LINEST VARS'!$B$54*($BZ$32*12.73)+'LINEST VARS'!$A$54*($BX38*12.73)</f>
        <v>3.9874999999999998</v>
      </c>
      <c r="CA38" s="51">
        <f>'LINEST VARS'!$U$54+'LINEST VARS'!$T$54*(8)+'LINEST VARS'!$S$54*(8)+'LINEST VARS'!$R$54*($CA$32)+'LINEST VARS'!$Q$54*($BX38)+'LINEST VARS'!$P$54*(12.73)+'LINEST VARS'!$O$54*(8^2)+'LINEST VARS'!$N$54*(8^2)+'LINEST VARS'!$M$54*($CA$32^2)+'LINEST VARS'!$L$54*($BX38^2)+'LINEST VARS'!$K$54*(12.73^2)+'LINEST VARS'!$J$54*(8*8)+'LINEST VARS'!$I$54*(8*$CA$32)+'LINEST VARS'!$H$54*(8*$BX38)+'LINEST VARS'!$G$54*(8*12.73)+'LINEST VARS'!$F$54*(8*$CA$32)+'LINEST VARS'!$E$54*(8*$BX38)+'LINEST VARS'!$D$54*(8*12.73)+'LINEST VARS'!$C$54*($CA$32*$BX38)+'LINEST VARS'!$B$54*($CA$32*12.73)+'LINEST VARS'!$A$54*($BX38*12.73)</f>
        <v>3.9874999999999998</v>
      </c>
      <c r="CB38" s="51">
        <f>'LINEST VARS'!$U$54+'LINEST VARS'!$T$54*(8)+'LINEST VARS'!$S$54*(8)+'LINEST VARS'!$R$54*($CB$32)+'LINEST VARS'!$Q$54*($BX38)+'LINEST VARS'!$P$54*(12.73)+'LINEST VARS'!$O$54*(8^2)+'LINEST VARS'!$N$54*(8^2)+'LINEST VARS'!$M$54*($CB$32^2)+'LINEST VARS'!$L$54*($BX38^2)+'LINEST VARS'!$K$54*(12.73^2)+'LINEST VARS'!$J$54*(8*8)+'LINEST VARS'!$I$54*(8*$CB$32)+'LINEST VARS'!$H$54*(8*$BX38)+'LINEST VARS'!$G$54*(8*12.73)+'LINEST VARS'!$F$54*(8*$CB$32)+'LINEST VARS'!$E$54*(8*$BX38)+'LINEST VARS'!$D$54*(8*12.73)+'LINEST VARS'!$C$54*($CB$32*$BX38)+'LINEST VARS'!$B$54*($CB$32*12.73)+'LINEST VARS'!$A$54*($BX38*12.73)</f>
        <v>3.9874999999999998</v>
      </c>
      <c r="CC38" s="51">
        <f>'LINEST VARS'!$U$54+'LINEST VARS'!$T$54*(8)+'LINEST VARS'!$S$54*(8)+'LINEST VARS'!$R$54*($CC$32)+'LINEST VARS'!$Q$54*($BX38)+'LINEST VARS'!$P$54*(12.73)+'LINEST VARS'!$O$54*(8^2)+'LINEST VARS'!$N$54*(8^2)+'LINEST VARS'!$M$54*($CC$32^2)+'LINEST VARS'!$L$54*($BX38^2)+'LINEST VARS'!$K$54*(12.73^2)+'LINEST VARS'!$J$54*(8*8)+'LINEST VARS'!$I$54*(8*$CC$32)+'LINEST VARS'!$H$54*(8*$BX38)+'LINEST VARS'!$G$54*(8*12.73)+'LINEST VARS'!$F$54*(8*$CC$32)+'LINEST VARS'!$E$54*(8*$BX38)+'LINEST VARS'!$D$54*(8*12.73)+'LINEST VARS'!$C$54*($CC$32*$BX38)+'LINEST VARS'!$B$54*($CC$32*12.73)+'LINEST VARS'!$A$54*($BX38*12.73)</f>
        <v>3.9874999999999998</v>
      </c>
      <c r="CD38" s="51">
        <f>'LINEST VARS'!$U$54+'LINEST VARS'!$T$54*(8)+'LINEST VARS'!$S$54*(8)+'LINEST VARS'!$R$54*($CD$32)+'LINEST VARS'!$Q$54*($BX38)+'LINEST VARS'!$P$54*(12.73)+'LINEST VARS'!$O$54*(8^2)+'LINEST VARS'!$N$54*(8^2)+'LINEST VARS'!$M$54*($CD$32^2)+'LINEST VARS'!$L$54*($BX38^2)+'LINEST VARS'!$K$54*(12.73^2)+'LINEST VARS'!$J$54*(8*8)+'LINEST VARS'!$I$54*(8*$CD$32)+'LINEST VARS'!$H$54*(8*$BX38)+'LINEST VARS'!$G$54*(8*12.73)+'LINEST VARS'!$F$54*(8*$CD$32)+'LINEST VARS'!$E$54*(8*$BX38)+'LINEST VARS'!$D$54*(8*12.73)+'LINEST VARS'!$C$54*($CD$32*$BX38)+'LINEST VARS'!$B$54*($CD$32*12.73)+'LINEST VARS'!$A$54*($BX38*12.73)</f>
        <v>3.9874999999999998</v>
      </c>
      <c r="CE38" s="51">
        <f>'LINEST VARS'!$U$54+'LINEST VARS'!$T$54*(8)+'LINEST VARS'!$S$54*(8)+'LINEST VARS'!$R$54*($CE$32)+'LINEST VARS'!$Q$54*($BX38)+'LINEST VARS'!$P$54*(12.73)+'LINEST VARS'!$O$54*(8^2)+'LINEST VARS'!$N$54*(8^2)+'LINEST VARS'!$M$54*($CE$32^2)+'LINEST VARS'!$L$54*($BX38^2)+'LINEST VARS'!$K$54*(12.73^2)+'LINEST VARS'!$J$54*(8*8)+'LINEST VARS'!$I$54*(8*$CE$32)+'LINEST VARS'!$H$54*(8*$BX38)+'LINEST VARS'!$G$54*(8*12.73)+'LINEST VARS'!$F$54*(8*$CE$32)+'LINEST VARS'!$E$54*(8*$BX38)+'LINEST VARS'!$D$54*(8*12.73)+'LINEST VARS'!$C$54*($CE$32*$BX38)+'LINEST VARS'!$B$54*($CE$32*12.73)+'LINEST VARS'!$A$54*($BX38*12.73)</f>
        <v>3.9874999999999998</v>
      </c>
      <c r="CF38" s="51">
        <f>'LINEST VARS'!$U$54+'LINEST VARS'!$T$54*(8)+'LINEST VARS'!$S$54*(8)+'LINEST VARS'!$R$54*($CF$32)+'LINEST VARS'!$Q$54*($BX38)+'LINEST VARS'!$P$54*(12.73)+'LINEST VARS'!$O$54*(8^2)+'LINEST VARS'!$N$54*(8^2)+'LINEST VARS'!$M$54*($CF$32^2)+'LINEST VARS'!$L$54*($BX38^2)+'LINEST VARS'!$K$54*(12.73^2)+'LINEST VARS'!$J$54*(8*8)+'LINEST VARS'!$I$54*(8*$CF$32)+'LINEST VARS'!$H$54*(8*$BX38)+'LINEST VARS'!$G$54*(8*12.73)+'LINEST VARS'!$F$54*(8*$CF$32)+'LINEST VARS'!$E$54*(8*$BX38)+'LINEST VARS'!$D$54*(8*12.73)+'LINEST VARS'!$C$54*($CF$32*$BX38)+'LINEST VARS'!$B$54*($CF$32*12.73)+'LINEST VARS'!$A$54*($BX38*12.73)</f>
        <v>3.9874999999999998</v>
      </c>
      <c r="CG38" s="51">
        <f>'LINEST VARS'!$U$54+'LINEST VARS'!$T$54*(8)+'LINEST VARS'!$S$54*(8)+'LINEST VARS'!$R$54*($CG$32)+'LINEST VARS'!$Q$54*($BX38)+'LINEST VARS'!$P$54*(12.73)+'LINEST VARS'!$O$54*(8^2)+'LINEST VARS'!$N$54*(8^2)+'LINEST VARS'!$M$54*($CG$32^2)+'LINEST VARS'!$L$54*($BX38^2)+'LINEST VARS'!$K$54*(12.73^2)+'LINEST VARS'!$J$54*(8*8)+'LINEST VARS'!$I$54*(8*$CG$32)+'LINEST VARS'!$H$54*(8*$BX38)+'LINEST VARS'!$G$54*(8*12.73)+'LINEST VARS'!$F$54*(8*$CG$32)+'LINEST VARS'!$E$54*(8*$BX38)+'LINEST VARS'!$D$54*(8*12.73)+'LINEST VARS'!$C$54*($CG$32*$BX38)+'LINEST VARS'!$B$54*($CG$32*12.73)+'LINEST VARS'!$A$54*($BX38*12.73)</f>
        <v>3.9874999999999998</v>
      </c>
      <c r="CH38" s="51">
        <f>'LINEST VARS'!$U$54+'LINEST VARS'!$T$54*(8)+'LINEST VARS'!$S$54*(8)+'LINEST VARS'!$R$54*($CH$32)+'LINEST VARS'!$Q$54*($BX38)+'LINEST VARS'!$P$54*(12.73)+'LINEST VARS'!$O$54*(8^2)+'LINEST VARS'!$N$54*(8^2)+'LINEST VARS'!$M$54*($CH$32^2)+'LINEST VARS'!$L$54*($BX38^2)+'LINEST VARS'!$K$54*(12.73^2)+'LINEST VARS'!$J$54*(8*8)+'LINEST VARS'!$I$54*(8*$CH$32)+'LINEST VARS'!$H$54*(8*$BX38)+'LINEST VARS'!$G$54*(8*12.73)+'LINEST VARS'!$F$54*(8*$CH$32)+'LINEST VARS'!$E$54*(8*$BX38)+'LINEST VARS'!$D$54*(8*12.73)+'LINEST VARS'!$C$54*($CH$32*$BX38)+'LINEST VARS'!$B$54*($CH$32*12.73)+'LINEST VARS'!$A$54*($BX38*12.73)</f>
        <v>3.9874999999999998</v>
      </c>
      <c r="CI38" s="51">
        <f>'LINEST VARS'!$U$54+'LINEST VARS'!$T$54*(8)+'LINEST VARS'!$S$54*(8)+'LINEST VARS'!$R$54*($CI$32)+'LINEST VARS'!$Q$54*($BX38)+'LINEST VARS'!$P$54*(12.73)+'LINEST VARS'!$O$54*(8^2)+'LINEST VARS'!$N$54*(8^2)+'LINEST VARS'!$M$54*($CI$32^2)+'LINEST VARS'!$L$54*($BX38^2)+'LINEST VARS'!$K$54*(12.73^2)+'LINEST VARS'!$J$54*(8*8)+'LINEST VARS'!$I$54*(8*$CI$32)+'LINEST VARS'!$H$54*(8*$BX38)+'LINEST VARS'!$G$54*(8*12.73)+'LINEST VARS'!$F$54*(8*$CI$32)+'LINEST VARS'!$E$54*(8*$BX38)+'LINEST VARS'!$D$54*(8*12.73)+'LINEST VARS'!$C$54*($CI$32*$BX38)+'LINEST VARS'!$B$54*($CI$32*12.73)+'LINEST VARS'!$A$54*($BX38*12.73)</f>
        <v>3.9874999999999998</v>
      </c>
      <c r="CJ38" s="51">
        <f>'LINEST VARS'!$U$54+'LINEST VARS'!$T$54*(8)+'LINEST VARS'!$S$54*(8)+'LINEST VARS'!$R$54*($CJ$32)+'LINEST VARS'!$Q$54*($BX38)+'LINEST VARS'!$P$54*(12.73)+'LINEST VARS'!$O$54*(8^2)+'LINEST VARS'!$N$54*(8^2)+'LINEST VARS'!$M$54*($CJ$32^2)+'LINEST VARS'!$L$54*($BX38^2)+'LINEST VARS'!$K$54*(12.73^2)+'LINEST VARS'!$J$54*(8*8)+'LINEST VARS'!$I$54*(8*$CJ$32)+'LINEST VARS'!$H$54*(8*$BX38)+'LINEST VARS'!$G$54*(8*12.73)+'LINEST VARS'!$F$54*(8*$CJ$32)+'LINEST VARS'!$E$54*(8*$BX38)+'LINEST VARS'!$D$54*(8*12.73)+'LINEST VARS'!$C$54*($CJ$32*$BX38)+'LINEST VARS'!$B$54*($CJ$32*12.73)+'LINEST VARS'!$A$54*($BX38*12.73)</f>
        <v>3.9874999999999998</v>
      </c>
      <c r="CK38" s="51">
        <f>'LINEST VARS'!$U$54+'LINEST VARS'!$T$54*(8)+'LINEST VARS'!$S$54*(8)+'LINEST VARS'!$R$54*($CK$32)+'LINEST VARS'!$Q$54*($BX38)+'LINEST VARS'!$P$54*(12.73)+'LINEST VARS'!$O$54*(8^2)+'LINEST VARS'!$N$54*(8^2)+'LINEST VARS'!$M$54*($CK$32^2)+'LINEST VARS'!$L$54*($BX38^2)+'LINEST VARS'!$K$54*(12.73^2)+'LINEST VARS'!$J$54*(8*8)+'LINEST VARS'!$I$54*(8*$CK$32)+'LINEST VARS'!$H$54*(8*$BX38)+'LINEST VARS'!$G$54*(8*12.73)+'LINEST VARS'!$F$54*(8*$CK$32)+'LINEST VARS'!$E$54*(8*$BX38)+'LINEST VARS'!$D$54*(8*12.73)+'LINEST VARS'!$C$54*($CK$32*$BX38)+'LINEST VARS'!$B$54*($CK$32*12.73)+'LINEST VARS'!$A$54*($BX38*12.73)</f>
        <v>3.9874999999999998</v>
      </c>
      <c r="CL38" s="51">
        <f>'LINEST VARS'!$U$54+'LINEST VARS'!$T$54*(8)+'LINEST VARS'!$S$54*(8)+'LINEST VARS'!$R$54*($CL$32)+'LINEST VARS'!$Q$54*($BX38)+'LINEST VARS'!$P$54*(12.73)+'LINEST VARS'!$O$54*(8^2)+'LINEST VARS'!$N$54*(8^2)+'LINEST VARS'!$M$54*($CL$32^2)+'LINEST VARS'!$L$54*($BX38^2)+'LINEST VARS'!$K$54*(12.73^2)+'LINEST VARS'!$J$54*(8*8)+'LINEST VARS'!$I$54*(8*$CL$32)+'LINEST VARS'!$H$54*(8*$BX38)+'LINEST VARS'!$G$54*(8*12.73)+'LINEST VARS'!$F$54*(8*$CL$32)+'LINEST VARS'!$E$54*(8*$BX38)+'LINEST VARS'!$D$54*(8*12.73)+'LINEST VARS'!$C$54*($CL$32*$BX38)+'LINEST VARS'!$B$54*($CL$32*12.73)+'LINEST VARS'!$A$54*($BX38*12.73)</f>
        <v>3.9874999999999998</v>
      </c>
      <c r="CM38" s="51">
        <f>'LINEST VARS'!$U$54+'LINEST VARS'!$T$54*(8)+'LINEST VARS'!$S$54*(8)+'LINEST VARS'!$R$54*($CM$32)+'LINEST VARS'!$Q$54*($BX38)+'LINEST VARS'!$P$54*(12.73)+'LINEST VARS'!$O$54*(8^2)+'LINEST VARS'!$N$54*(8^2)+'LINEST VARS'!$M$54*($CM$32^2)+'LINEST VARS'!$L$54*($BX38^2)+'LINEST VARS'!$K$54*(12.73^2)+'LINEST VARS'!$J$54*(8*8)+'LINEST VARS'!$I$54*(8*$CM$32)+'LINEST VARS'!$H$54*(8*$BX38)+'LINEST VARS'!$G$54*(8*12.73)+'LINEST VARS'!$F$54*(8*$CM$32)+'LINEST VARS'!$E$54*(8*$BX38)+'LINEST VARS'!$D$54*(8*12.73)+'LINEST VARS'!$C$54*($CM$32*$BX38)+'LINEST VARS'!$B$54*($CM$32*12.73)+'LINEST VARS'!$A$54*($BX38*12.73)</f>
        <v>3.9874999999999998</v>
      </c>
      <c r="CN38" s="51">
        <f>'LINEST VARS'!$U$54+'LINEST VARS'!$T$54*(8)+'LINEST VARS'!$S$54*(8)+'LINEST VARS'!$R$54*($CN$32)+'LINEST VARS'!$Q$54*($BX38)+'LINEST VARS'!$P$54*(12.73)+'LINEST VARS'!$O$54*(8^2)+'LINEST VARS'!$N$54*(8^2)+'LINEST VARS'!$M$54*($CN$32^2)+'LINEST VARS'!$L$54*($BX38^2)+'LINEST VARS'!$K$54*(12.73^2)+'LINEST VARS'!$J$54*(8*8)+'LINEST VARS'!$I$54*(8*$CN$32)+'LINEST VARS'!$H$54*(8*$BX38)+'LINEST VARS'!$G$54*(8*12.73)+'LINEST VARS'!$F$54*(8*$CN$32)+'LINEST VARS'!$E$54*(8*$BX38)+'LINEST VARS'!$D$54*(8*12.73)+'LINEST VARS'!$C$54*($CN$32*$BX38)+'LINEST VARS'!$B$54*($CN$32*12.73)+'LINEST VARS'!$A$54*($BX38*12.73)</f>
        <v>3.9874999999999998</v>
      </c>
      <c r="CO38" s="51">
        <f>'LINEST VARS'!$U$54+'LINEST VARS'!$T$54*(8)+'LINEST VARS'!$S$54*(8)+'LINEST VARS'!$R$54*($CO$32)+'LINEST VARS'!$Q$54*($BX38)+'LINEST VARS'!$P$54*(12.73)+'LINEST VARS'!$O$54*(8^2)+'LINEST VARS'!$N$54*(8^2)+'LINEST VARS'!$M$54*($CO$32^2)+'LINEST VARS'!$L$54*($BX38^2)+'LINEST VARS'!$K$54*(12.73^2)+'LINEST VARS'!$J$54*(8*8)+'LINEST VARS'!$I$54*(8*$CO$32)+'LINEST VARS'!$H$54*(8*$BX38)+'LINEST VARS'!$G$54*(8*12.73)+'LINEST VARS'!$F$54*(8*$CO$32)+'LINEST VARS'!$E$54*(8*$BX38)+'LINEST VARS'!$D$54*(8*12.73)+'LINEST VARS'!$C$54*($CO$32*$BX38)+'LINEST VARS'!$B$54*($CO$32*12.73)+'LINEST VARS'!$A$54*($BX38*12.73)</f>
        <v>3.9874999999999998</v>
      </c>
      <c r="CP38" s="51">
        <f>'LINEST VARS'!$U$54+'LINEST VARS'!$T$54*(8)+'LINEST VARS'!$S$54*(8)+'LINEST VARS'!$R$54*($CP$32)+'LINEST VARS'!$Q$54*($BX38)+'LINEST VARS'!$P$54*(12.73)+'LINEST VARS'!$O$54*(8^2)+'LINEST VARS'!$N$54*(8^2)+'LINEST VARS'!$M$54*($CP$32^2)+'LINEST VARS'!$L$54*($BX38^2)+'LINEST VARS'!$K$54*(12.73^2)+'LINEST VARS'!$J$54*(8*8)+'LINEST VARS'!$I$54*(8*$CP$32)+'LINEST VARS'!$H$54*(8*$BX38)+'LINEST VARS'!$G$54*(8*12.73)+'LINEST VARS'!$F$54*(8*$CP$32)+'LINEST VARS'!$E$54*(8*$BX38)+'LINEST VARS'!$D$54*(8*12.73)+'LINEST VARS'!$C$54*($CP$32*$BX38)+'LINEST VARS'!$B$54*($CP$32*12.73)+'LINEST VARS'!$A$54*($BX38*12.73)</f>
        <v>3.9874999999999998</v>
      </c>
      <c r="CQ38" s="51">
        <f>'LINEST VARS'!$U$54+'LINEST VARS'!$T$54*(8)+'LINEST VARS'!$S$54*(8)+'LINEST VARS'!$R$54*($CQ$32)+'LINEST VARS'!$Q$54*($BX38)+'LINEST VARS'!$P$54*(12.73)+'LINEST VARS'!$O$54*(8^2)+'LINEST VARS'!$N$54*(8^2)+'LINEST VARS'!$M$54*($CQ$32^2)+'LINEST VARS'!$L$54*($BX38^2)+'LINEST VARS'!$K$54*(12.73^2)+'LINEST VARS'!$J$54*(8*8)+'LINEST VARS'!$I$54*(8*$CQ$32)+'LINEST VARS'!$H$54*(8*$BX38)+'LINEST VARS'!$G$54*(8*12.73)+'LINEST VARS'!$F$54*(8*$CQ$32)+'LINEST VARS'!$E$54*(8*$BX38)+'LINEST VARS'!$D$54*(8*12.73)+'LINEST VARS'!$C$54*($CQ$32*$BX38)+'LINEST VARS'!$B$54*($CQ$32*12.73)+'LINEST VARS'!$A$54*($BX38*12.73)</f>
        <v>3.9874999999999998</v>
      </c>
      <c r="CR38" s="51">
        <f>'LINEST VARS'!$U$54+'LINEST VARS'!$T$54*(8)+'LINEST VARS'!$S$54*(8)+'LINEST VARS'!$R$54*($CR$32)+'LINEST VARS'!$Q$54*($BX38)+'LINEST VARS'!$P$54*(12.73)+'LINEST VARS'!$O$54*(8^2)+'LINEST VARS'!$N$54*(8^2)+'LINEST VARS'!$M$54*($CR$32^2)+'LINEST VARS'!$L$54*($BX38^2)+'LINEST VARS'!$K$54*(12.73^2)+'LINEST VARS'!$J$54*(8*8)+'LINEST VARS'!$I$54*(8*$CR$32)+'LINEST VARS'!$H$54*(8*$BX38)+'LINEST VARS'!$G$54*(8*12.73)+'LINEST VARS'!$F$54*(8*$CR$32)+'LINEST VARS'!$E$54*(8*$BX38)+'LINEST VARS'!$D$54*(8*12.73)+'LINEST VARS'!$C$54*($CR$32*$BX38)+'LINEST VARS'!$B$54*($CR$32*12.73)+'LINEST VARS'!$A$54*($BX38*12.73)</f>
        <v>3.9874999999999998</v>
      </c>
      <c r="CS38" s="52">
        <f>'LINEST VARS'!$U$54+'LINEST VARS'!$T$54*(8)+'LINEST VARS'!$S$54*(8)+'LINEST VARS'!$R$54*($CS$32)+'LINEST VARS'!$Q$54*($BX38)+'LINEST VARS'!$P$54*(12.73)+'LINEST VARS'!$O$54*(8^2)+'LINEST VARS'!$N$54*(8^2)+'LINEST VARS'!$M$54*($CS$32^2)+'LINEST VARS'!$L$54*($BX38^2)+'LINEST VARS'!$K$54*(12.73^2)+'LINEST VARS'!$J$54*(8*8)+'LINEST VARS'!$I$54*(8*$CS$32)+'LINEST VARS'!$H$54*(8*$BX38)+'LINEST VARS'!$G$54*(8*12.73)+'LINEST VARS'!$F$54*(8*$CS$32)+'LINEST VARS'!$E$54*(8*$BX38)+'LINEST VARS'!$D$54*(8*12.73)+'LINEST VARS'!$C$54*($CS$32*$BX38)+'LINEST VARS'!$B$54*($CS$32*12.73)+'LINEST VARS'!$A$54*($BX38*12.73)</f>
        <v>3.9874999999999998</v>
      </c>
      <c r="CX38" s="45">
        <v>6.4974999999999996</v>
      </c>
      <c r="CY38" s="51">
        <f>'LINEST VARS'!$U$52+'LINEST VARS'!$T$52*(8)+'LINEST VARS'!$S$52*(8)+'LINEST VARS'!$R$52*($CY$32)+'LINEST VARS'!$Q$52*(0.5)+'LINEST VARS'!$P$52*($CX38)+'LINEST VARS'!$O$52*(8^2)+'LINEST VARS'!$N$52*(8^2)+'LINEST VARS'!$M$52*($CY$32^2)+'LINEST VARS'!$L$52*(0.5^2)+'LINEST VARS'!$K$52*($CX38^2)+'LINEST VARS'!$J$52*(8*8)+'LINEST VARS'!$I$52*(8*$CY$32)+'LINEST VARS'!$H$52*(8*0.5)+'LINEST VARS'!$G$52*(8*$CX38)+'LINEST VARS'!$F$52*(8*$CY$32)+'LINEST VARS'!$E$52*(8*0.5)+'LINEST VARS'!$D$52*(8*$CX38)+'LINEST VARS'!$C$52*($CY$32*0.5)+'LINEST VARS'!$B$52*($CY$32*$CX38)+'LINEST VARS'!$A$52*(0.5*$CX38)</f>
        <v>4.4499999999999984</v>
      </c>
      <c r="CZ38" s="51">
        <f>'LINEST VARS'!$U$52+'LINEST VARS'!$T$52*(8)+'LINEST VARS'!$S$52*(8)+'LINEST VARS'!$R$52*($CZ$32)+'LINEST VARS'!$Q$52*(0.5)+'LINEST VARS'!$P$52*($CX38)+'LINEST VARS'!$O$52*(8^2)+'LINEST VARS'!$N$52*(8^2)+'LINEST VARS'!$M$52*($CZ$32^2)+'LINEST VARS'!$L$52*(0.5^2)+'LINEST VARS'!$K$52*($CX38^2)+'LINEST VARS'!$J$52*(8*8)+'LINEST VARS'!$I$52*(8*$CZ$32)+'LINEST VARS'!$H$52*(8*0.5)+'LINEST VARS'!$G$52*(8*$CX38)+'LINEST VARS'!$F$52*(8*$CZ$32)+'LINEST VARS'!$E$52*(8*0.5)+'LINEST VARS'!$D$52*(8*$CX38)+'LINEST VARS'!$C$52*($CZ$32*0.5)+'LINEST VARS'!$B$52*($CZ$32*$CX38)+'LINEST VARS'!$A$52*(0.5*$CX38)</f>
        <v>4.4499999999999984</v>
      </c>
      <c r="DA38" s="51">
        <f>'LINEST VARS'!$U$52+'LINEST VARS'!$T$52*(8)+'LINEST VARS'!$S$52*(8)+'LINEST VARS'!$R$52*($DA$32)+'LINEST VARS'!$Q$52*(0.5)+'LINEST VARS'!$P$52*($CX38)+'LINEST VARS'!$O$52*(8^2)+'LINEST VARS'!$N$52*(8^2)+'LINEST VARS'!$M$52*($DA$32^2)+'LINEST VARS'!$L$52*(0.5^2)+'LINEST VARS'!$K$52*($CX38^2)+'LINEST VARS'!$J$52*(8*8)+'LINEST VARS'!$I$52*(8*$DA$32)+'LINEST VARS'!$H$52*(8*0.5)+'LINEST VARS'!$G$52*(8*$CX38)+'LINEST VARS'!$F$52*(8*$DA$32)+'LINEST VARS'!$E$52*(8*0.5)+'LINEST VARS'!$D$52*(8*$CX38)+'LINEST VARS'!$C$52*($DA$32*0.5)+'LINEST VARS'!$B$52*($DA$32*$CX38)+'LINEST VARS'!$A$52*(0.5*$CX38)</f>
        <v>4.4499999999999984</v>
      </c>
      <c r="DB38" s="51">
        <f>'LINEST VARS'!$U$52+'LINEST VARS'!$T$52*(8)+'LINEST VARS'!$S$52*(8)+'LINEST VARS'!$R$52*($DB$32)+'LINEST VARS'!$Q$52*(0.5)+'LINEST VARS'!$P$52*($CX38)+'LINEST VARS'!$O$52*(8^2)+'LINEST VARS'!$N$52*(8^2)+'LINEST VARS'!$M$52*($DB$32^2)+'LINEST VARS'!$L$52*(0.5^2)+'LINEST VARS'!$K$52*($CX38^2)+'LINEST VARS'!$J$52*(8*8)+'LINEST VARS'!$I$52*(8*$DB$32)+'LINEST VARS'!$H$52*(8*0.5)+'LINEST VARS'!$G$52*(8*$CX38)+'LINEST VARS'!$F$52*(8*$DB$32)+'LINEST VARS'!$E$52*(8*0.5)+'LINEST VARS'!$D$52*(8*$CX38)+'LINEST VARS'!$C$52*($DB$32*0.5)+'LINEST VARS'!$B$52*($DB$32*$CX38)+'LINEST VARS'!$A$52*(0.5*$CX38)</f>
        <v>4.4499999999999984</v>
      </c>
      <c r="DC38" s="51">
        <f>'LINEST VARS'!$U$52+'LINEST VARS'!$T$52*(8)+'LINEST VARS'!$S$52*(8)+'LINEST VARS'!$R$52*($DC$32)+'LINEST VARS'!$Q$52*(0.5)+'LINEST VARS'!$P$52*($CX38)+'LINEST VARS'!$O$52*(8^2)+'LINEST VARS'!$N$52*(8^2)+'LINEST VARS'!$M$52*($DC$32^2)+'LINEST VARS'!$L$52*(0.5^2)+'LINEST VARS'!$K$52*($CX38^2)+'LINEST VARS'!$J$52*(8*8)+'LINEST VARS'!$I$52*(8*$DC$32)+'LINEST VARS'!$H$52*(8*0.5)+'LINEST VARS'!$G$52*(8*$CX38)+'LINEST VARS'!$F$52*(8*$DC$32)+'LINEST VARS'!$E$52*(8*0.5)+'LINEST VARS'!$D$52*(8*$CX38)+'LINEST VARS'!$C$52*($DC$32*0.5)+'LINEST VARS'!$B$52*($DC$32*$CX38)+'LINEST VARS'!$A$52*(0.5*$CX38)</f>
        <v>4.4499999999999984</v>
      </c>
      <c r="DD38" s="51">
        <f>'LINEST VARS'!$U$52+'LINEST VARS'!$T$52*(8)+'LINEST VARS'!$S$52*(8)+'LINEST VARS'!$R$52*($DD$32)+'LINEST VARS'!$Q$52*(0.5)+'LINEST VARS'!$P$52*($CX38)+'LINEST VARS'!$O$52*(8^2)+'LINEST VARS'!$N$52*(8^2)+'LINEST VARS'!$M$52*($DD$32^2)+'LINEST VARS'!$L$52*(0.5^2)+'LINEST VARS'!$K$52*($CX38^2)+'LINEST VARS'!$J$52*(8*8)+'LINEST VARS'!$I$52*(8*$DD$32)+'LINEST VARS'!$H$52*(8*0.5)+'LINEST VARS'!$G$52*(8*$CX38)+'LINEST VARS'!$F$52*(8*$DD$32)+'LINEST VARS'!$E$52*(8*0.5)+'LINEST VARS'!$D$52*(8*$CX38)+'LINEST VARS'!$C$52*($DD$32*0.5)+'LINEST VARS'!$B$52*($DD$32*$CX38)+'LINEST VARS'!$A$52*(0.5*$CX38)</f>
        <v>4.4499999999999984</v>
      </c>
      <c r="DE38" s="51">
        <f>'LINEST VARS'!$U$52+'LINEST VARS'!$T$52*(8)+'LINEST VARS'!$S$52*(8)+'LINEST VARS'!$R$52*($DE$32)+'LINEST VARS'!$Q$52*(0.5)+'LINEST VARS'!$P$52*($CX38)+'LINEST VARS'!$O$52*(8^2)+'LINEST VARS'!$N$52*(8^2)+'LINEST VARS'!$M$52*($DE$32^2)+'LINEST VARS'!$L$52*(0.5^2)+'LINEST VARS'!$K$52*($CX38^2)+'LINEST VARS'!$J$52*(8*8)+'LINEST VARS'!$I$52*(8*$DE$32)+'LINEST VARS'!$H$52*(8*0.5)+'LINEST VARS'!$G$52*(8*$CX38)+'LINEST VARS'!$F$52*(8*$DE$32)+'LINEST VARS'!$E$52*(8*0.5)+'LINEST VARS'!$D$52*(8*$CX38)+'LINEST VARS'!$C$52*($DE$32*0.5)+'LINEST VARS'!$B$52*($DE$32*$CX38)+'LINEST VARS'!$A$52*(0.5*$CX38)</f>
        <v>4.4499999999999984</v>
      </c>
      <c r="DF38" s="51">
        <f>'LINEST VARS'!$U$52+'LINEST VARS'!$T$52*(8)+'LINEST VARS'!$S$52*(8)+'LINEST VARS'!$R$52*($DF$32)+'LINEST VARS'!$Q$52*(0.5)+'LINEST VARS'!$P$52*($CX38)+'LINEST VARS'!$O$52*(8^2)+'LINEST VARS'!$N$52*(8^2)+'LINEST VARS'!$M$52*($DF$32^2)+'LINEST VARS'!$L$52*(0.5^2)+'LINEST VARS'!$K$52*($CX38^2)+'LINEST VARS'!$J$52*(8*8)+'LINEST VARS'!$I$52*(8*$DF$32)+'LINEST VARS'!$H$52*(8*0.5)+'LINEST VARS'!$G$52*(8*$CX38)+'LINEST VARS'!$F$52*(8*$DF$32)+'LINEST VARS'!$E$52*(8*0.5)+'LINEST VARS'!$D$52*(8*$CX38)+'LINEST VARS'!$C$52*($DF$32*0.5)+'LINEST VARS'!$B$52*($DF$32*$CX38)+'LINEST VARS'!$A$52*(0.5*$CX38)</f>
        <v>4.4499999999999984</v>
      </c>
      <c r="DG38" s="51">
        <f>'LINEST VARS'!$U$52+'LINEST VARS'!$T$52*(8)+'LINEST VARS'!$S$52*(8)+'LINEST VARS'!$R$52*($DG$32)+'LINEST VARS'!$Q$52*(0.5)+'LINEST VARS'!$P$52*($CX38)+'LINEST VARS'!$O$52*(8^2)+'LINEST VARS'!$N$52*(8^2)+'LINEST VARS'!$M$52*($DG$32^2)+'LINEST VARS'!$L$52*(0.5^2)+'LINEST VARS'!$K$52*($CX38^2)+'LINEST VARS'!$J$52*(8*8)+'LINEST VARS'!$I$52*(8*$DG$32)+'LINEST VARS'!$H$52*(8*0.5)+'LINEST VARS'!$G$52*(8*$CX38)+'LINEST VARS'!$F$52*(8*$DG$32)+'LINEST VARS'!$E$52*(8*0.5)+'LINEST VARS'!$D$52*(8*$CX38)+'LINEST VARS'!$C$52*($DG$32*0.5)+'LINEST VARS'!$B$52*($DG$32*$CX38)+'LINEST VARS'!$A$52*(0.5*$CX38)</f>
        <v>4.4499999999999984</v>
      </c>
      <c r="DH38" s="51">
        <f>'LINEST VARS'!$U$52+'LINEST VARS'!$T$52*(8)+'LINEST VARS'!$S$52*(8)+'LINEST VARS'!$R$52*($DH$32)+'LINEST VARS'!$Q$52*(0.5)+'LINEST VARS'!$P$52*($CX38)+'LINEST VARS'!$O$52*(8^2)+'LINEST VARS'!$N$52*(8^2)+'LINEST VARS'!$M$52*($DH$32^2)+'LINEST VARS'!$L$52*(0.5^2)+'LINEST VARS'!$K$52*($CX38^2)+'LINEST VARS'!$J$52*(8*8)+'LINEST VARS'!$I$52*(8*$DH$32)+'LINEST VARS'!$H$52*(8*0.5)+'LINEST VARS'!$G$52*(8*$CX38)+'LINEST VARS'!$F$52*(8*$DH$32)+'LINEST VARS'!$E$52*(8*0.5)+'LINEST VARS'!$D$52*(8*$CX38)+'LINEST VARS'!$C$52*($DH$32*0.5)+'LINEST VARS'!$B$52*($DH$32*$CX38)+'LINEST VARS'!$A$52*(0.5*$CX38)</f>
        <v>4.4499999999999984</v>
      </c>
      <c r="DI38" s="51">
        <f>'LINEST VARS'!$U$52+'LINEST VARS'!$T$52*(8)+'LINEST VARS'!$S$52*(8)+'LINEST VARS'!$R$52*($DI$32)+'LINEST VARS'!$Q$52*(0.5)+'LINEST VARS'!$P$52*($CX38)+'LINEST VARS'!$O$52*(8^2)+'LINEST VARS'!$N$52*(8^2)+'LINEST VARS'!$M$52*($DI$32^2)+'LINEST VARS'!$L$52*(0.5^2)+'LINEST VARS'!$K$52*($CX38^2)+'LINEST VARS'!$J$52*(8*8)+'LINEST VARS'!$I$52*(8*$DI$32)+'LINEST VARS'!$H$52*(8*0.5)+'LINEST VARS'!$G$52*(8*$CX38)+'LINEST VARS'!$F$52*(8*$DI$32)+'LINEST VARS'!$E$52*(8*0.5)+'LINEST VARS'!$D$52*(8*$CX38)+'LINEST VARS'!$C$52*($DI$32*0.5)+'LINEST VARS'!$B$52*($DI$32*$CX38)+'LINEST VARS'!$A$52*(0.5*$CX38)</f>
        <v>4.4499999999999984</v>
      </c>
      <c r="DJ38" s="51">
        <f>'LINEST VARS'!$U$52+'LINEST VARS'!$T$52*(8)+'LINEST VARS'!$S$52*(8)+'LINEST VARS'!$R$52*($DJ$32)+'LINEST VARS'!$Q$52*(0.5)+'LINEST VARS'!$P$52*($CX38)+'LINEST VARS'!$O$52*(8^2)+'LINEST VARS'!$N$52*(8^2)+'LINEST VARS'!$M$52*($DJ$32^2)+'LINEST VARS'!$L$52*(0.5^2)+'LINEST VARS'!$K$52*($CX38^2)+'LINEST VARS'!$J$52*(8*8)+'LINEST VARS'!$I$52*(8*$DJ$32)+'LINEST VARS'!$H$52*(8*0.5)+'LINEST VARS'!$G$52*(8*$CX38)+'LINEST VARS'!$F$52*(8*$DJ$32)+'LINEST VARS'!$E$52*(8*0.5)+'LINEST VARS'!$D$52*(8*$CX38)+'LINEST VARS'!$C$52*($DJ$32*0.5)+'LINEST VARS'!$B$52*($DJ$32*$CX38)+'LINEST VARS'!$A$52*(0.5*$CX38)</f>
        <v>4.4499999999999984</v>
      </c>
      <c r="DK38" s="51">
        <f>'LINEST VARS'!$U$52+'LINEST VARS'!$T$52*(8)+'LINEST VARS'!$S$52*(8)+'LINEST VARS'!$R$52*($DK$32)+'LINEST VARS'!$Q$52*(0.5)+'LINEST VARS'!$P$52*($CX38)+'LINEST VARS'!$O$52*(8^2)+'LINEST VARS'!$N$52*(8^2)+'LINEST VARS'!$M$52*($DK$32^2)+'LINEST VARS'!$L$52*(0.5^2)+'LINEST VARS'!$K$52*($CX38^2)+'LINEST VARS'!$J$52*(8*8)+'LINEST VARS'!$I$52*(8*$DK$32)+'LINEST VARS'!$H$52*(8*0.5)+'LINEST VARS'!$G$52*(8*$CX38)+'LINEST VARS'!$F$52*(8*$DK$32)+'LINEST VARS'!$E$52*(8*0.5)+'LINEST VARS'!$D$52*(8*$CX38)+'LINEST VARS'!$C$52*($DK$32*0.5)+'LINEST VARS'!$B$52*($DK$32*$CX38)+'LINEST VARS'!$A$52*(0.5*$CX38)</f>
        <v>4.4499999999999984</v>
      </c>
      <c r="DL38" s="51">
        <f>'LINEST VARS'!$U$52+'LINEST VARS'!$T$52*(8)+'LINEST VARS'!$S$52*(8)+'LINEST VARS'!$R$52*($DL$32)+'LINEST VARS'!$Q$52*(0.5)+'LINEST VARS'!$P$52*($CX38)+'LINEST VARS'!$O$52*(8^2)+'LINEST VARS'!$N$52*(8^2)+'LINEST VARS'!$M$52*($DL$32^2)+'LINEST VARS'!$L$52*(0.5^2)+'LINEST VARS'!$K$52*($CX38^2)+'LINEST VARS'!$J$52*(8*8)+'LINEST VARS'!$I$52*(8*$DL$32)+'LINEST VARS'!$H$52*(8*0.5)+'LINEST VARS'!$G$52*(8*$CX38)+'LINEST VARS'!$F$52*(8*$DL$32)+'LINEST VARS'!$E$52*(8*0.5)+'LINEST VARS'!$D$52*(8*$CX38)+'LINEST VARS'!$C$52*($DL$32*0.5)+'LINEST VARS'!$B$52*($DL$32*$CX38)+'LINEST VARS'!$A$52*(0.5*$CX38)</f>
        <v>4.4499999999999984</v>
      </c>
      <c r="DM38" s="51">
        <f>'LINEST VARS'!$U$52+'LINEST VARS'!$T$52*(8)+'LINEST VARS'!$S$52*(8)+'LINEST VARS'!$R$52*($DM$32)+'LINEST VARS'!$Q$52*(0.5)+'LINEST VARS'!$P$52*($CX38)+'LINEST VARS'!$O$52*(8^2)+'LINEST VARS'!$N$52*(8^2)+'LINEST VARS'!$M$52*($DM$32^2)+'LINEST VARS'!$L$52*(0.5^2)+'LINEST VARS'!$K$52*($CX38^2)+'LINEST VARS'!$J$52*(8*8)+'LINEST VARS'!$I$52*(8*$DM$32)+'LINEST VARS'!$H$52*(8*0.5)+'LINEST VARS'!$G$52*(8*$CX38)+'LINEST VARS'!$F$52*(8*$DM$32)+'LINEST VARS'!$E$52*(8*0.5)+'LINEST VARS'!$D$52*(8*$CX38)+'LINEST VARS'!$C$52*($DM$32*0.5)+'LINEST VARS'!$B$52*($DM$32*$CX38)+'LINEST VARS'!$A$52*(0.5*$CX38)</f>
        <v>4.4499999999999984</v>
      </c>
      <c r="DN38" s="51">
        <f>'LINEST VARS'!$U$52+'LINEST VARS'!$T$52*(8)+'LINEST VARS'!$S$52*(8)+'LINEST VARS'!$R$52*($DN$32)+'LINEST VARS'!$Q$52*(0.5)+'LINEST VARS'!$P$52*($CX38)+'LINEST VARS'!$O$52*(8^2)+'LINEST VARS'!$N$52*(8^2)+'LINEST VARS'!$M$52*($DN$32^2)+'LINEST VARS'!$L$52*(0.5^2)+'LINEST VARS'!$K$52*($CX38^2)+'LINEST VARS'!$J$52*(8*8)+'LINEST VARS'!$I$52*(8*$DN$32)+'LINEST VARS'!$H$52*(8*0.5)+'LINEST VARS'!$G$52*(8*$CX38)+'LINEST VARS'!$F$52*(8*$DN$32)+'LINEST VARS'!$E$52*(8*0.5)+'LINEST VARS'!$D$52*(8*$CX38)+'LINEST VARS'!$C$52*($DN$32*0.5)+'LINEST VARS'!$B$52*($DN$32*$CX38)+'LINEST VARS'!$A$52*(0.5*$CX38)</f>
        <v>4.4499999999999984</v>
      </c>
      <c r="DO38" s="51">
        <f>'LINEST VARS'!$U$52+'LINEST VARS'!$T$52*(8)+'LINEST VARS'!$S$52*(8)+'LINEST VARS'!$R$52*($DO$32)+'LINEST VARS'!$Q$52*(0.5)+'LINEST VARS'!$P$52*($CX38)+'LINEST VARS'!$O$52*(8^2)+'LINEST VARS'!$N$52*(8^2)+'LINEST VARS'!$M$52*($DO$32^2)+'LINEST VARS'!$L$52*(0.5^2)+'LINEST VARS'!$K$52*($CX38^2)+'LINEST VARS'!$J$52*(8*8)+'LINEST VARS'!$I$52*(8*$DO$32)+'LINEST VARS'!$H$52*(8*0.5)+'LINEST VARS'!$G$52*(8*$CX38)+'LINEST VARS'!$F$52*(8*$DO$32)+'LINEST VARS'!$E$52*(8*0.5)+'LINEST VARS'!$D$52*(8*$CX38)+'LINEST VARS'!$C$52*($DO$32*0.5)+'LINEST VARS'!$B$52*($DO$32*$CX38)+'LINEST VARS'!$A$52*(0.5*$CX38)</f>
        <v>4.4499999999999984</v>
      </c>
      <c r="DP38" s="51">
        <f>'LINEST VARS'!$U$52+'LINEST VARS'!$T$52*(8)+'LINEST VARS'!$S$52*(8)+'LINEST VARS'!$R$52*($DP$32)+'LINEST VARS'!$Q$52*(0.5)+'LINEST VARS'!$P$52*($CX38)+'LINEST VARS'!$O$52*(8^2)+'LINEST VARS'!$N$52*(8^2)+'LINEST VARS'!$M$52*($DP$32^2)+'LINEST VARS'!$L$52*(0.5^2)+'LINEST VARS'!$K$52*($CX38^2)+'LINEST VARS'!$J$52*(8*8)+'LINEST VARS'!$I$52*(8*$DP$32)+'LINEST VARS'!$H$52*(8*0.5)+'LINEST VARS'!$G$52*(8*$CX38)+'LINEST VARS'!$F$52*(8*$DP$32)+'LINEST VARS'!$E$52*(8*0.5)+'LINEST VARS'!$D$52*(8*$CX38)+'LINEST VARS'!$C$52*($DP$32*0.5)+'LINEST VARS'!$B$52*($DP$32*$CX38)+'LINEST VARS'!$A$52*(0.5*$CX38)</f>
        <v>4.4499999999999984</v>
      </c>
      <c r="DQ38" s="51">
        <f>'LINEST VARS'!$U$52+'LINEST VARS'!$T$52*(8)+'LINEST VARS'!$S$52*(8)+'LINEST VARS'!$R$52*($DQ$32)+'LINEST VARS'!$Q$52*(0.5)+'LINEST VARS'!$P$52*($CX38)+'LINEST VARS'!$O$52*(8^2)+'LINEST VARS'!$N$52*(8^2)+'LINEST VARS'!$M$52*($DQ$32^2)+'LINEST VARS'!$L$52*(0.5^2)+'LINEST VARS'!$K$52*($CX38^2)+'LINEST VARS'!$J$52*(8*8)+'LINEST VARS'!$I$52*(8*$DQ$32)+'LINEST VARS'!$H$52*(8*0.5)+'LINEST VARS'!$G$52*(8*$CX38)+'LINEST VARS'!$F$52*(8*$DQ$32)+'LINEST VARS'!$E$52*(8*0.5)+'LINEST VARS'!$D$52*(8*$CX38)+'LINEST VARS'!$C$52*($DQ$32*0.5)+'LINEST VARS'!$B$52*($DQ$32*$CX38)+'LINEST VARS'!$A$52*(0.5*$CX38)</f>
        <v>4.4499999999999984</v>
      </c>
      <c r="DR38" s="51">
        <f>'LINEST VARS'!$U$52+'LINEST VARS'!$T$52*(8)+'LINEST VARS'!$S$52*(8)+'LINEST VARS'!$R$52*($DR$32)+'LINEST VARS'!$Q$52*(0.5)+'LINEST VARS'!$P$52*($CX38)+'LINEST VARS'!$O$52*(8^2)+'LINEST VARS'!$N$52*(8^2)+'LINEST VARS'!$M$52*($DR$32^2)+'LINEST VARS'!$L$52*(0.5^2)+'LINEST VARS'!$K$52*($CX38^2)+'LINEST VARS'!$J$52*(8*8)+'LINEST VARS'!$I$52*(8*$DR$32)+'LINEST VARS'!$H$52*(8*0.5)+'LINEST VARS'!$G$52*(8*$CX38)+'LINEST VARS'!$F$52*(8*$DR$32)+'LINEST VARS'!$E$52*(8*0.5)+'LINEST VARS'!$D$52*(8*$CX38)+'LINEST VARS'!$C$52*($DR$32*0.5)+'LINEST VARS'!$B$52*($DR$32*$CX38)+'LINEST VARS'!$A$52*(0.5*$CX38)</f>
        <v>4.4499999999999984</v>
      </c>
      <c r="DS38" s="52">
        <f>'LINEST VARS'!$U$52+'LINEST VARS'!$T$52*(8)+'LINEST VARS'!$S$52*(8)+'LINEST VARS'!$R$52*($DS$32)+'LINEST VARS'!$Q$52*(0.5)+'LINEST VARS'!$P$52*($CX38)+'LINEST VARS'!$O$52*(8^2)+'LINEST VARS'!$N$52*(8^2)+'LINEST VARS'!$M$52*($DS$32^2)+'LINEST VARS'!$L$52*(0.5^2)+'LINEST VARS'!$K$52*($CX38^2)+'LINEST VARS'!$J$52*(8*8)+'LINEST VARS'!$I$52*(8*$DS$32)+'LINEST VARS'!$H$52*(8*0.5)+'LINEST VARS'!$G$52*(8*$CX38)+'LINEST VARS'!$F$52*(8*$DS$32)+'LINEST VARS'!$E$52*(8*0.5)+'LINEST VARS'!$D$52*(8*$CX38)+'LINEST VARS'!$C$52*($DS$32*0.5)+'LINEST VARS'!$B$52*($DS$32*$CX38)+'LINEST VARS'!$A$52*(0.5*$CX38)</f>
        <v>4.4499999999999984</v>
      </c>
      <c r="DV38" s="45">
        <v>6.4974999999999996</v>
      </c>
      <c r="DW38" s="51">
        <f>'LINEST VARS'!$U$54+'LINEST VARS'!$T$54*(8)+'LINEST VARS'!$S$54*(8)+'LINEST VARS'!$R$54*($DW$32)+'LINEST VARS'!$Q$54*(0.5)+'LINEST VARS'!$P$54*($DV38)+'LINEST VARS'!$O$54*(8^2)+'LINEST VARS'!$N$54*(8^2)+'LINEST VARS'!$M$54*($DW$32^2)+'LINEST VARS'!$L$54*(0.5^2)+'LINEST VARS'!$K$54*($DV38^2)+'LINEST VARS'!$J$54*(8*8)+'LINEST VARS'!$I$54*(8*$DW$32)+'LINEST VARS'!$H$54*(8*0.5)+'LINEST VARS'!$G$54*(8*$DV38)+'LINEST VARS'!$F$54*(8*$DW$32)+'LINEST VARS'!$E$54*(8*0.5)+'LINEST VARS'!$D$54*(8*$DV38)+'LINEST VARS'!$C$54*($DW$32*0.5)+'LINEST VARS'!$B$54*($DW$32*$DV38)+'LINEST VARS'!$A$54*(0.5*$DV38)</f>
        <v>3.9749999999999996</v>
      </c>
      <c r="DX38" s="51">
        <f>'LINEST VARS'!$U$54+'LINEST VARS'!$T$54*(8)+'LINEST VARS'!$S$54*(8)+'LINEST VARS'!$R$54*($DX$32)+'LINEST VARS'!$Q$54*(0.5)+'LINEST VARS'!$P$54*($DV38)+'LINEST VARS'!$O$54*(8^2)+'LINEST VARS'!$N$54*(8^2)+'LINEST VARS'!$M$54*($DX$32^2)+'LINEST VARS'!$L$54*(0.5^2)+'LINEST VARS'!$K$54*($DV38^2)+'LINEST VARS'!$J$54*(8*8)+'LINEST VARS'!$I$54*(8*$DX$32)+'LINEST VARS'!$H$54*(8*0.5)+'LINEST VARS'!$G$54*(8*$DV38)+'LINEST VARS'!$F$54*(8*$DX$32)+'LINEST VARS'!$E$54*(8*0.5)+'LINEST VARS'!$D$54*(8*$DV38)+'LINEST VARS'!$C$54*($DX$32*0.5)+'LINEST VARS'!$B$54*($DX$32*$DV38)+'LINEST VARS'!$A$54*(0.5*$DV38)</f>
        <v>3.9749999999999996</v>
      </c>
      <c r="DY38" s="51">
        <f>'LINEST VARS'!$U$54+'LINEST VARS'!$T$54*(8)+'LINEST VARS'!$S$54*(8)+'LINEST VARS'!$R$54*($DY$32)+'LINEST VARS'!$Q$54*(0.5)+'LINEST VARS'!$P$54*($DV38)+'LINEST VARS'!$O$54*(8^2)+'LINEST VARS'!$N$54*(8^2)+'LINEST VARS'!$M$54*($DY$32^2)+'LINEST VARS'!$L$54*(0.5^2)+'LINEST VARS'!$K$54*($DV38^2)+'LINEST VARS'!$J$54*(8*8)+'LINEST VARS'!$I$54*(8*$DY$32)+'LINEST VARS'!$H$54*(8*0.5)+'LINEST VARS'!$G$54*(8*$DV38)+'LINEST VARS'!$F$54*(8*$DY$32)+'LINEST VARS'!$E$54*(8*0.5)+'LINEST VARS'!$D$54*(8*$DV38)+'LINEST VARS'!$C$54*($DY$32*0.5)+'LINEST VARS'!$B$54*($DY$32*$DV38)+'LINEST VARS'!$A$54*(0.5*$DV38)</f>
        <v>3.9749999999999996</v>
      </c>
      <c r="DZ38" s="51">
        <f>'LINEST VARS'!$U$54+'LINEST VARS'!$T$54*(8)+'LINEST VARS'!$S$54*(8)+'LINEST VARS'!$R$54*($DZ$32)+'LINEST VARS'!$Q$54*(0.5)+'LINEST VARS'!$P$54*($DV38)+'LINEST VARS'!$O$54*(8^2)+'LINEST VARS'!$N$54*(8^2)+'LINEST VARS'!$M$54*($DZ$32^2)+'LINEST VARS'!$L$54*(0.5^2)+'LINEST VARS'!$K$54*($DV38^2)+'LINEST VARS'!$J$54*(8*8)+'LINEST VARS'!$I$54*(8*$DZ$32)+'LINEST VARS'!$H$54*(8*0.5)+'LINEST VARS'!$G$54*(8*$DV38)+'LINEST VARS'!$F$54*(8*$DZ$32)+'LINEST VARS'!$E$54*(8*0.5)+'LINEST VARS'!$D$54*(8*$DV38)+'LINEST VARS'!$C$54*($DZ$32*0.5)+'LINEST VARS'!$B$54*($DZ$32*$DV38)+'LINEST VARS'!$A$54*(0.5*$DV38)</f>
        <v>3.9749999999999996</v>
      </c>
      <c r="EA38" s="51">
        <f>'LINEST VARS'!$U$54+'LINEST VARS'!$T$54*(8)+'LINEST VARS'!$S$54*(8)+'LINEST VARS'!$R$54*($EA$32)+'LINEST VARS'!$Q$54*(0.5)+'LINEST VARS'!$P$54*($DV38)+'LINEST VARS'!$O$54*(8^2)+'LINEST VARS'!$N$54*(8^2)+'LINEST VARS'!$M$54*($EA$32^2)+'LINEST VARS'!$L$54*(0.5^2)+'LINEST VARS'!$K$54*($DV38^2)+'LINEST VARS'!$J$54*(8*8)+'LINEST VARS'!$I$54*(8*$EA$32)+'LINEST VARS'!$H$54*(8*0.5)+'LINEST VARS'!$G$54*(8*$DV38)+'LINEST VARS'!$F$54*(8*$EA$32)+'LINEST VARS'!$E$54*(8*0.5)+'LINEST VARS'!$D$54*(8*$DV38)+'LINEST VARS'!$C$54*($EA$32*0.5)+'LINEST VARS'!$B$54*($EA$32*$DV38)+'LINEST VARS'!$A$54*(0.5*$DV38)</f>
        <v>3.9749999999999996</v>
      </c>
      <c r="EB38" s="51">
        <f>'LINEST VARS'!$U$54+'LINEST VARS'!$T$54*(8)+'LINEST VARS'!$S$54*(8)+'LINEST VARS'!$R$54*($EB$32)+'LINEST VARS'!$Q$54*(0.5)+'LINEST VARS'!$P$54*($DV38)+'LINEST VARS'!$O$54*(8^2)+'LINEST VARS'!$N$54*(8^2)+'LINEST VARS'!$M$54*($EB$32^2)+'LINEST VARS'!$L$54*(0.5^2)+'LINEST VARS'!$K$54*($DV38^2)+'LINEST VARS'!$J$54*(8*8)+'LINEST VARS'!$I$54*(8*$EB$32)+'LINEST VARS'!$H$54*(8*0.5)+'LINEST VARS'!$G$54*(8*$DV38)+'LINEST VARS'!$F$54*(8*$EB$32)+'LINEST VARS'!$E$54*(8*0.5)+'LINEST VARS'!$D$54*(8*$DV38)+'LINEST VARS'!$C$54*($EB$32*0.5)+'LINEST VARS'!$B$54*($EB$32*$DV38)+'LINEST VARS'!$A$54*(0.5*$DV38)</f>
        <v>3.9749999999999996</v>
      </c>
      <c r="EC38" s="51">
        <f>'LINEST VARS'!$U$54+'LINEST VARS'!$T$54*(8)+'LINEST VARS'!$S$54*(8)+'LINEST VARS'!$R$54*($EC$32)+'LINEST VARS'!$Q$54*(0.5)+'LINEST VARS'!$P$54*($DV38)+'LINEST VARS'!$O$54*(8^2)+'LINEST VARS'!$N$54*(8^2)+'LINEST VARS'!$M$54*($EC$32^2)+'LINEST VARS'!$L$54*(0.5^2)+'LINEST VARS'!$K$54*($DV38^2)+'LINEST VARS'!$J$54*(8*8)+'LINEST VARS'!$I$54*(8*$EC$32)+'LINEST VARS'!$H$54*(8*0.5)+'LINEST VARS'!$G$54*(8*$DV38)+'LINEST VARS'!$F$54*(8*$EC$32)+'LINEST VARS'!$E$54*(8*0.5)+'LINEST VARS'!$D$54*(8*$DV38)+'LINEST VARS'!$C$54*($EC$32*0.5)+'LINEST VARS'!$B$54*($EC$32*$DV38)+'LINEST VARS'!$A$54*(0.5*$DV38)</f>
        <v>3.9749999999999996</v>
      </c>
      <c r="ED38" s="51">
        <f>'LINEST VARS'!$U$54+'LINEST VARS'!$T$54*(8)+'LINEST VARS'!$S$54*(8)+'LINEST VARS'!$R$54*($ED$32)+'LINEST VARS'!$Q$54*(0.5)+'LINEST VARS'!$P$54*($DV38)+'LINEST VARS'!$O$54*(8^2)+'LINEST VARS'!$N$54*(8^2)+'LINEST VARS'!$M$54*($ED$32^2)+'LINEST VARS'!$L$54*(0.5^2)+'LINEST VARS'!$K$54*($DV38^2)+'LINEST VARS'!$J$54*(8*8)+'LINEST VARS'!$I$54*(8*$ED$32)+'LINEST VARS'!$H$54*(8*0.5)+'LINEST VARS'!$G$54*(8*$DV38)+'LINEST VARS'!$F$54*(8*$ED$32)+'LINEST VARS'!$E$54*(8*0.5)+'LINEST VARS'!$D$54*(8*$DV38)+'LINEST VARS'!$C$54*($ED$32*0.5)+'LINEST VARS'!$B$54*($ED$32*$DV38)+'LINEST VARS'!$A$54*(0.5*$DV38)</f>
        <v>3.9749999999999996</v>
      </c>
      <c r="EE38" s="51">
        <f>'LINEST VARS'!$U$54+'LINEST VARS'!$T$54*(8)+'LINEST VARS'!$S$54*(8)+'LINEST VARS'!$R$54*($EE$32)+'LINEST VARS'!$Q$54*(0.5)+'LINEST VARS'!$P$54*($DV38)+'LINEST VARS'!$O$54*(8^2)+'LINEST VARS'!$N$54*(8^2)+'LINEST VARS'!$M$54*($EE$32^2)+'LINEST VARS'!$L$54*(0.5^2)+'LINEST VARS'!$K$54*($DV38^2)+'LINEST VARS'!$J$54*(8*8)+'LINEST VARS'!$I$54*(8*$EE$32)+'LINEST VARS'!$H$54*(8*0.5)+'LINEST VARS'!$G$54*(8*$DV38)+'LINEST VARS'!$F$54*(8*$EE$32)+'LINEST VARS'!$E$54*(8*0.5)+'LINEST VARS'!$D$54*(8*$DV38)+'LINEST VARS'!$C$54*($EE$32*0.5)+'LINEST VARS'!$B$54*($EE$32*$DV38)+'LINEST VARS'!$A$54*(0.5*$DV38)</f>
        <v>3.9749999999999996</v>
      </c>
      <c r="EF38" s="51">
        <f>'LINEST VARS'!$U$54+'LINEST VARS'!$T$54*(8)+'LINEST VARS'!$S$54*(8)+'LINEST VARS'!$R$54*($EF$32)+'LINEST VARS'!$Q$54*(0.5)+'LINEST VARS'!$P$54*($DV38)+'LINEST VARS'!$O$54*(8^2)+'LINEST VARS'!$N$54*(8^2)+'LINEST VARS'!$M$54*($EF$32^2)+'LINEST VARS'!$L$54*(0.5^2)+'LINEST VARS'!$K$54*($DV38^2)+'LINEST VARS'!$J$54*(8*8)+'LINEST VARS'!$I$54*(8*$EF$32)+'LINEST VARS'!$H$54*(8*0.5)+'LINEST VARS'!$G$54*(8*$DV38)+'LINEST VARS'!$F$54*(8*$EF$32)+'LINEST VARS'!$E$54*(8*0.5)+'LINEST VARS'!$D$54*(8*$DV38)+'LINEST VARS'!$C$54*($EF$32*0.5)+'LINEST VARS'!$B$54*($EF$32*$DV38)+'LINEST VARS'!$A$54*(0.5*$DV38)</f>
        <v>3.9749999999999996</v>
      </c>
      <c r="EG38" s="51">
        <f>'LINEST VARS'!$U$54+'LINEST VARS'!$T$54*(8)+'LINEST VARS'!$S$54*(8)+'LINEST VARS'!$R$54*($EG$32)+'LINEST VARS'!$Q$54*(0.5)+'LINEST VARS'!$P$54*($DV38)+'LINEST VARS'!$O$54*(8^2)+'LINEST VARS'!$N$54*(8^2)+'LINEST VARS'!$M$54*($EG$32^2)+'LINEST VARS'!$L$54*(0.5^2)+'LINEST VARS'!$K$54*($DV38^2)+'LINEST VARS'!$J$54*(8*8)+'LINEST VARS'!$I$54*(8*$EG$32)+'LINEST VARS'!$H$54*(8*0.5)+'LINEST VARS'!$G$54*(8*$DV38)+'LINEST VARS'!$F$54*(8*$EG$32)+'LINEST VARS'!$E$54*(8*0.5)+'LINEST VARS'!$D$54*(8*$DV38)+'LINEST VARS'!$C$54*($EG$32*0.5)+'LINEST VARS'!$B$54*($EG$32*$DV38)+'LINEST VARS'!$A$54*(0.5*$DV38)</f>
        <v>3.9749999999999996</v>
      </c>
      <c r="EH38" s="51">
        <f>'LINEST VARS'!$U$54+'LINEST VARS'!$T$54*(8)+'LINEST VARS'!$S$54*(8)+'LINEST VARS'!$R$54*($EH$32)+'LINEST VARS'!$Q$54*(0.5)+'LINEST VARS'!$P$54*($DV38)+'LINEST VARS'!$O$54*(8^2)+'LINEST VARS'!$N$54*(8^2)+'LINEST VARS'!$M$54*($EH$32^2)+'LINEST VARS'!$L$54*(0.5^2)+'LINEST VARS'!$K$54*($DV38^2)+'LINEST VARS'!$J$54*(8*8)+'LINEST VARS'!$I$54*(8*$EH$32)+'LINEST VARS'!$H$54*(8*0.5)+'LINEST VARS'!$G$54*(8*$DV38)+'LINEST VARS'!$F$54*(8*$EH$32)+'LINEST VARS'!$E$54*(8*0.5)+'LINEST VARS'!$D$54*(8*$DV38)+'LINEST VARS'!$C$54*($EH$32*0.5)+'LINEST VARS'!$B$54*($EH$32*$DV38)+'LINEST VARS'!$A$54*(0.5*$DV38)</f>
        <v>3.9749999999999996</v>
      </c>
      <c r="EI38" s="51">
        <f>'LINEST VARS'!$U$54+'LINEST VARS'!$T$54*(8)+'LINEST VARS'!$S$54*(8)+'LINEST VARS'!$R$54*($EI$32)+'LINEST VARS'!$Q$54*(0.5)+'LINEST VARS'!$P$54*($DV38)+'LINEST VARS'!$O$54*(8^2)+'LINEST VARS'!$N$54*(8^2)+'LINEST VARS'!$M$54*($EI$32^2)+'LINEST VARS'!$L$54*(0.5^2)+'LINEST VARS'!$K$54*($DV38^2)+'LINEST VARS'!$J$54*(8*8)+'LINEST VARS'!$I$54*(8*$EI$32)+'LINEST VARS'!$H$54*(8*0.5)+'LINEST VARS'!$G$54*(8*$DV38)+'LINEST VARS'!$F$54*(8*$EI$32)+'LINEST VARS'!$E$54*(8*0.5)+'LINEST VARS'!$D$54*(8*$DV38)+'LINEST VARS'!$C$54*($EI$32*0.5)+'LINEST VARS'!$B$54*($EI$32*$DV38)+'LINEST VARS'!$A$54*(0.5*$DV38)</f>
        <v>3.9749999999999996</v>
      </c>
      <c r="EJ38" s="51">
        <f>'LINEST VARS'!$U$54+'LINEST VARS'!$T$54*(8)+'LINEST VARS'!$S$54*(8)+'LINEST VARS'!$R$54*($EJ$32)+'LINEST VARS'!$Q$54*(0.5)+'LINEST VARS'!$P$54*($DV38)+'LINEST VARS'!$O$54*(8^2)+'LINEST VARS'!$N$54*(8^2)+'LINEST VARS'!$M$54*($EJ$32^2)+'LINEST VARS'!$L$54*(0.5^2)+'LINEST VARS'!$K$54*($DV38^2)+'LINEST VARS'!$J$54*(8*8)+'LINEST VARS'!$I$54*(8*$EJ$32)+'LINEST VARS'!$H$54*(8*0.5)+'LINEST VARS'!$G$54*(8*$DV38)+'LINEST VARS'!$F$54*(8*$EJ$32)+'LINEST VARS'!$E$54*(8*0.5)+'LINEST VARS'!$D$54*(8*$DV38)+'LINEST VARS'!$C$54*($EJ$32*0.5)+'LINEST VARS'!$B$54*($EJ$32*$DV38)+'LINEST VARS'!$A$54*(0.5*$DV38)</f>
        <v>3.9749999999999996</v>
      </c>
      <c r="EK38" s="51">
        <f>'LINEST VARS'!$U$54+'LINEST VARS'!$T$54*(8)+'LINEST VARS'!$S$54*(8)+'LINEST VARS'!$R$54*($EK$32)+'LINEST VARS'!$Q$54*(0.5)+'LINEST VARS'!$P$54*($DV38)+'LINEST VARS'!$O$54*(8^2)+'LINEST VARS'!$N$54*(8^2)+'LINEST VARS'!$M$54*($EK$32^2)+'LINEST VARS'!$L$54*(0.5^2)+'LINEST VARS'!$K$54*($DV38^2)+'LINEST VARS'!$J$54*(8*8)+'LINEST VARS'!$I$54*(8*$EK$32)+'LINEST VARS'!$H$54*(8*0.5)+'LINEST VARS'!$G$54*(8*$DV38)+'LINEST VARS'!$F$54*(8*$EK$32)+'LINEST VARS'!$E$54*(8*0.5)+'LINEST VARS'!$D$54*(8*$DV38)+'LINEST VARS'!$C$54*($EK$32*0.5)+'LINEST VARS'!$B$54*($EK$32*$DV38)+'LINEST VARS'!$A$54*(0.5*$DV38)</f>
        <v>3.9749999999999996</v>
      </c>
      <c r="EL38" s="51">
        <f>'LINEST VARS'!$U$54+'LINEST VARS'!$T$54*(8)+'LINEST VARS'!$S$54*(8)+'LINEST VARS'!$R$54*($EL$32)+'LINEST VARS'!$Q$54*(0.5)+'LINEST VARS'!$P$54*($DV38)+'LINEST VARS'!$O$54*(8^2)+'LINEST VARS'!$N$54*(8^2)+'LINEST VARS'!$M$54*($EL$32^2)+'LINEST VARS'!$L$54*(0.5^2)+'LINEST VARS'!$K$54*($DV38^2)+'LINEST VARS'!$J$54*(8*8)+'LINEST VARS'!$I$54*(8*$EL$32)+'LINEST VARS'!$H$54*(8*0.5)+'LINEST VARS'!$G$54*(8*$DV38)+'LINEST VARS'!$F$54*(8*$EL$32)+'LINEST VARS'!$E$54*(8*0.5)+'LINEST VARS'!$D$54*(8*$DV38)+'LINEST VARS'!$C$54*($EL$32*0.5)+'LINEST VARS'!$B$54*($EL$32*$DV38)+'LINEST VARS'!$A$54*(0.5*$DV38)</f>
        <v>3.9749999999999996</v>
      </c>
      <c r="EM38" s="51">
        <f>'LINEST VARS'!$U$54+'LINEST VARS'!$T$54*(8)+'LINEST VARS'!$S$54*(8)+'LINEST VARS'!$R$54*($EM$32)+'LINEST VARS'!$Q$54*(0.5)+'LINEST VARS'!$P$54*($DV38)+'LINEST VARS'!$O$54*(8^2)+'LINEST VARS'!$N$54*(8^2)+'LINEST VARS'!$M$54*($EM$32^2)+'LINEST VARS'!$L$54*(0.5^2)+'LINEST VARS'!$K$54*($DV38^2)+'LINEST VARS'!$J$54*(8*8)+'LINEST VARS'!$I$54*(8*$EM$32)+'LINEST VARS'!$H$54*(8*0.5)+'LINEST VARS'!$G$54*(8*$DV38)+'LINEST VARS'!$F$54*(8*$EM$32)+'LINEST VARS'!$E$54*(8*0.5)+'LINEST VARS'!$D$54*(8*$DV38)+'LINEST VARS'!$C$54*($EM$32*0.5)+'LINEST VARS'!$B$54*($EM$32*$DV38)+'LINEST VARS'!$A$54*(0.5*$DV38)</f>
        <v>3.9749999999999996</v>
      </c>
      <c r="EN38" s="51">
        <f>'LINEST VARS'!$U$54+'LINEST VARS'!$T$54*(8)+'LINEST VARS'!$S$54*(8)+'LINEST VARS'!$R$54*($EN$32)+'LINEST VARS'!$Q$54*(0.5)+'LINEST VARS'!$P$54*($DV38)+'LINEST VARS'!$O$54*(8^2)+'LINEST VARS'!$N$54*(8^2)+'LINEST VARS'!$M$54*($EN$32^2)+'LINEST VARS'!$L$54*(0.5^2)+'LINEST VARS'!$K$54*($DV38^2)+'LINEST VARS'!$J$54*(8*8)+'LINEST VARS'!$I$54*(8*$EN$32)+'LINEST VARS'!$H$54*(8*0.5)+'LINEST VARS'!$G$54*(8*$DV38)+'LINEST VARS'!$F$54*(8*$EN$32)+'LINEST VARS'!$E$54*(8*0.5)+'LINEST VARS'!$D$54*(8*$DV38)+'LINEST VARS'!$C$54*($EN$32*0.5)+'LINEST VARS'!$B$54*($EN$32*$DV38)+'LINEST VARS'!$A$54*(0.5*$DV38)</f>
        <v>3.9749999999999996</v>
      </c>
      <c r="EO38" s="51">
        <f>'LINEST VARS'!$U$54+'LINEST VARS'!$T$54*(8)+'LINEST VARS'!$S$54*(8)+'LINEST VARS'!$R$54*($EO$32)+'LINEST VARS'!$Q$54*(0.5)+'LINEST VARS'!$P$54*($DV38)+'LINEST VARS'!$O$54*(8^2)+'LINEST VARS'!$N$54*(8^2)+'LINEST VARS'!$M$54*($EO$32^2)+'LINEST VARS'!$L$54*(0.5^2)+'LINEST VARS'!$K$54*($DV38^2)+'LINEST VARS'!$J$54*(8*8)+'LINEST VARS'!$I$54*(8*$EO$32)+'LINEST VARS'!$H$54*(8*0.5)+'LINEST VARS'!$G$54*(8*$DV38)+'LINEST VARS'!$F$54*(8*$EO$32)+'LINEST VARS'!$E$54*(8*0.5)+'LINEST VARS'!$D$54*(8*$DV38)+'LINEST VARS'!$C$54*($EO$32*0.5)+'LINEST VARS'!$B$54*($EO$32*$DV38)+'LINEST VARS'!$A$54*(0.5*$DV38)</f>
        <v>3.9749999999999996</v>
      </c>
      <c r="EP38" s="51">
        <f>'LINEST VARS'!$U$54+'LINEST VARS'!$T$54*(8)+'LINEST VARS'!$S$54*(8)+'LINEST VARS'!$R$54*($EP$32)+'LINEST VARS'!$Q$54*(0.5)+'LINEST VARS'!$P$54*($DV38)+'LINEST VARS'!$O$54*(8^2)+'LINEST VARS'!$N$54*(8^2)+'LINEST VARS'!$M$54*($EP$32^2)+'LINEST VARS'!$L$54*(0.5^2)+'LINEST VARS'!$K$54*($DV38^2)+'LINEST VARS'!$J$54*(8*8)+'LINEST VARS'!$I$54*(8*$EP$32)+'LINEST VARS'!$H$54*(8*0.5)+'LINEST VARS'!$G$54*(8*$DV38)+'LINEST VARS'!$F$54*(8*$EP$32)+'LINEST VARS'!$E$54*(8*0.5)+'LINEST VARS'!$D$54*(8*$DV38)+'LINEST VARS'!$C$54*($EP$32*0.5)+'LINEST VARS'!$B$54*($EP$32*$DV38)+'LINEST VARS'!$A$54*(0.5*$DV38)</f>
        <v>3.9749999999999996</v>
      </c>
      <c r="EQ38" s="52">
        <f>'LINEST VARS'!$U$54+'LINEST VARS'!$T$54*(8)+'LINEST VARS'!$S$54*(8)+'LINEST VARS'!$R$54*($EQ$32)+'LINEST VARS'!$Q$54*(0.5)+'LINEST VARS'!$P$54*($DV38)+'LINEST VARS'!$O$54*(8^2)+'LINEST VARS'!$N$54*(8^2)+'LINEST VARS'!$M$54*($EQ$32^2)+'LINEST VARS'!$L$54*(0.5^2)+'LINEST VARS'!$K$54*($DV38^2)+'LINEST VARS'!$J$54*(8*8)+'LINEST VARS'!$I$54*(8*$EQ$32)+'LINEST VARS'!$H$54*(8*0.5)+'LINEST VARS'!$G$54*(8*$DV38)+'LINEST VARS'!$F$54*(8*$EQ$32)+'LINEST VARS'!$E$54*(8*0.5)+'LINEST VARS'!$D$54*(8*$DV38)+'LINEST VARS'!$C$54*($EQ$32*0.5)+'LINEST VARS'!$B$54*($EQ$32*$DV38)+'LINEST VARS'!$A$54*(0.5*$DV38)</f>
        <v>3.9749999999999996</v>
      </c>
    </row>
    <row r="39" spans="2:147" ht="15" customHeight="1" x14ac:dyDescent="0.25">
      <c r="B39" s="45">
        <v>7.76</v>
      </c>
      <c r="C39" s="51">
        <f>'LINEST VARS'!$U$52+'LINEST VARS'!$T$52*($C$32)+'LINEST VARS'!$S$52*($B39)+'LINEST VARS'!$R$52*(4)+'LINEST VARS'!$Q$52*(0.5)+'LINEST VARS'!$P$52*(12.73)+'LINEST VARS'!$O$52*($C$32^2)+'LINEST VARS'!$N$52*($B39^2)+'LINEST VARS'!$M$52*(4^2)+'LINEST VARS'!$L$52*(0.5^2)+'LINEST VARS'!$K$52*(12.73^2)+'LINEST VARS'!$J$52*($C$32*$B39)+'LINEST VARS'!$I$52*($C$32*4)+'LINEST VARS'!$H$52*($C$32*0.5)+'LINEST VARS'!$G$52*($C$32*12.73)+'LINEST VARS'!$F$52*($B39*4)+'LINEST VARS'!$E$52*($B39*0.5)+'LINEST VARS'!$D$52*($B39*12.73)+'LINEST VARS'!$C$52*(4*0.5)+'LINEST VARS'!$B$52*(4*12.73)+'LINEST VARS'!$A$52*(0.5*12.73)</f>
        <v>4.4499999999999984</v>
      </c>
      <c r="D39" s="51">
        <f>'LINEST VARS'!$U$52+'LINEST VARS'!$T$52*($D$32)+'LINEST VARS'!$S$52*($B39)+'LINEST VARS'!$R$52*(4)+'LINEST VARS'!$Q$52*(0.5)+'LINEST VARS'!$P$52*(12.73)+'LINEST VARS'!$O$52*($D$32^2)+'LINEST VARS'!$N$52*($B39^2)+'LINEST VARS'!$M$52*(4^2)+'LINEST VARS'!$L$52*(0.5^2)+'LINEST VARS'!$K$52*(12.73^2)+'LINEST VARS'!$J$52*($D$32*$B39)+'LINEST VARS'!$I$52*($D$32*4)+'LINEST VARS'!$H$52*($D$32*0.5)+'LINEST VARS'!$G$52*($D$32*12.73)+'LINEST VARS'!$F$52*($B39*4)+'LINEST VARS'!$E$52*($B39*0.5)+'LINEST VARS'!$D$52*($B39*12.73)+'LINEST VARS'!$C$52*(4*0.5)+'LINEST VARS'!$B$52*(4*12.73)+'LINEST VARS'!$A$52*(0.5*12.73)</f>
        <v>4.4499999999999984</v>
      </c>
      <c r="E39" s="51">
        <f>'LINEST VARS'!$U$52+'LINEST VARS'!$T$52*($E$32)+'LINEST VARS'!$S$52*($B39)+'LINEST VARS'!$R$52*(4)+'LINEST VARS'!$Q$52*(0.5)+'LINEST VARS'!$P$52*(12.73)+'LINEST VARS'!$O$52*($E$32^2)+'LINEST VARS'!$N$52*($B39^2)+'LINEST VARS'!$M$52*(4^2)+'LINEST VARS'!$L$52*(0.5^2)+'LINEST VARS'!$K$52*(12.73^2)+'LINEST VARS'!$J$52*($E$32*$B39)+'LINEST VARS'!$I$52*($E$32*4)+'LINEST VARS'!$H$52*($E$32*0.5)+'LINEST VARS'!$G$52*($E$32*12.73)+'LINEST VARS'!$F$52*($B39*4)+'LINEST VARS'!$E$52*($B39*0.5)+'LINEST VARS'!$D$52*($B39*12.73)+'LINEST VARS'!$C$52*(4*0.5)+'LINEST VARS'!$B$52*(4*12.73)+'LINEST VARS'!$A$52*(0.5*12.73)</f>
        <v>4.4499999999999984</v>
      </c>
      <c r="F39" s="51">
        <f>'LINEST VARS'!$U$52+'LINEST VARS'!$T$52*($F$32)+'LINEST VARS'!$S$52*($B39)+'LINEST VARS'!$R$52*(4)+'LINEST VARS'!$Q$52*(0.5)+'LINEST VARS'!$P$52*(12.73)+'LINEST VARS'!$O$52*($F$32^2)+'LINEST VARS'!$N$52*($B39^2)+'LINEST VARS'!$M$52*(4^2)+'LINEST VARS'!$L$52*(0.5^2)+'LINEST VARS'!$K$52*(12.73^2)+'LINEST VARS'!$J$52*($F$32*$B39)+'LINEST VARS'!$I$52*($F$32*4)+'LINEST VARS'!$H$52*($F$32*0.5)+'LINEST VARS'!$G$52*($F$32*12.73)+'LINEST VARS'!$F$52*($B39*4)+'LINEST VARS'!$E$52*($B39*0.5)+'LINEST VARS'!$D$52*($B39*12.73)+'LINEST VARS'!$C$52*(4*0.5)+'LINEST VARS'!$B$52*(4*12.73)+'LINEST VARS'!$A$52*(0.5*12.73)</f>
        <v>4.4499999999999984</v>
      </c>
      <c r="G39" s="51">
        <f>'LINEST VARS'!$U$52+'LINEST VARS'!$T$52*($G$32)+'LINEST VARS'!$S$52*($B39)+'LINEST VARS'!$R$52*(4)+'LINEST VARS'!$Q$52*(0.5)+'LINEST VARS'!$P$52*(12.73)+'LINEST VARS'!$O$52*($G$32^2)+'LINEST VARS'!$N$52*($B39^2)+'LINEST VARS'!$M$52*(4^2)+'LINEST VARS'!$L$52*(0.5^2)+'LINEST VARS'!$K$52*(12.73^2)+'LINEST VARS'!$J$52*($G$32*$B39)+'LINEST VARS'!$I$52*($G$32*4)+'LINEST VARS'!$H$52*($G$32*0.5)+'LINEST VARS'!$G$52*($G$32*12.73)+'LINEST VARS'!$F$52*($B39*4)+'LINEST VARS'!$E$52*($B39*0.5)+'LINEST VARS'!$D$52*($B39*12.73)+'LINEST VARS'!$C$52*(4*0.5)+'LINEST VARS'!$B$52*(4*12.73)+'LINEST VARS'!$A$52*(0.5*12.73)</f>
        <v>4.4499999999999984</v>
      </c>
      <c r="H39" s="51">
        <f>'LINEST VARS'!$U$52+'LINEST VARS'!$T$52*($H$32)+'LINEST VARS'!$S$52*($B39)+'LINEST VARS'!$R$52*(4)+'LINEST VARS'!$Q$52*(0.5)+'LINEST VARS'!$P$52*(12.73)+'LINEST VARS'!$O$52*($H$32^2)+'LINEST VARS'!$N$52*($B39^2)+'LINEST VARS'!$M$52*(4^2)+'LINEST VARS'!$L$52*(0.5^2)+'LINEST VARS'!$K$52*(12.73^2)+'LINEST VARS'!$J$52*($H$32*$B39)+'LINEST VARS'!$I$52*($H$32*4)+'LINEST VARS'!$H$52*($H$32*0.5)+'LINEST VARS'!$G$52*($H$32*12.73)+'LINEST VARS'!$F$52*($B39*4)+'LINEST VARS'!$E$52*($B39*0.5)+'LINEST VARS'!$D$52*($B39*12.73)+'LINEST VARS'!$C$52*(4*0.5)+'LINEST VARS'!$B$52*(4*12.73)+'LINEST VARS'!$A$52*(0.5*12.73)</f>
        <v>4.4499999999999984</v>
      </c>
      <c r="I39" s="51">
        <f>'LINEST VARS'!$U$52+'LINEST VARS'!$T$52*($I$32)+'LINEST VARS'!$S$52*($B39)+'LINEST VARS'!$R$52*(4)+'LINEST VARS'!$Q$52*(0.5)+'LINEST VARS'!$P$52*(12.73)+'LINEST VARS'!$O$52*($I$32^2)+'LINEST VARS'!$N$52*($B39^2)+'LINEST VARS'!$M$52*(4^2)+'LINEST VARS'!$L$52*(0.5^2)+'LINEST VARS'!$K$52*(12.73^2)+'LINEST VARS'!$J$52*($I$32*$B39)+'LINEST VARS'!$I$52*($I$32*4)+'LINEST VARS'!$H$52*($I$32*0.5)+'LINEST VARS'!$G$52*($I$32*12.73)+'LINEST VARS'!$F$52*($B39*4)+'LINEST VARS'!$E$52*($B39*0.5)+'LINEST VARS'!$D$52*($B39*12.73)+'LINEST VARS'!$C$52*(4*0.5)+'LINEST VARS'!$B$52*(4*12.73)+'LINEST VARS'!$A$52*(0.5*12.73)</f>
        <v>4.4499999999999984</v>
      </c>
      <c r="J39" s="51">
        <f>'LINEST VARS'!$U$52+'LINEST VARS'!$T$52*($J$32)+'LINEST VARS'!$S$52*($B39)+'LINEST VARS'!$R$52*(4)+'LINEST VARS'!$Q$52*(0.5)+'LINEST VARS'!$P$52*(12.73)+'LINEST VARS'!$O$52*($J$32^2)+'LINEST VARS'!$N$52*($B39^2)+'LINEST VARS'!$M$52*(4^2)+'LINEST VARS'!$L$52*(0.5^2)+'LINEST VARS'!$K$52*(12.73^2)+'LINEST VARS'!$J$52*($J$32*$B39)+'LINEST VARS'!$I$52*($J$32*4)+'LINEST VARS'!$H$52*($J$32*0.5)+'LINEST VARS'!$G$52*($J$32*12.73)+'LINEST VARS'!$F$52*($B39*4)+'LINEST VARS'!$E$52*($B39*0.5)+'LINEST VARS'!$D$52*($B39*12.73)+'LINEST VARS'!$C$52*(4*0.5)+'LINEST VARS'!$B$52*(4*12.73)+'LINEST VARS'!$A$52*(0.5*12.73)</f>
        <v>4.4499999999999984</v>
      </c>
      <c r="K39" s="51">
        <f>'LINEST VARS'!$U$52+'LINEST VARS'!$T$52*($K$32)+'LINEST VARS'!$S$52*($B39)+'LINEST VARS'!$R$52*(4)+'LINEST VARS'!$Q$52*(0.5)+'LINEST VARS'!$P$52*(12.73)+'LINEST VARS'!$O$52*($K$32^2)+'LINEST VARS'!$N$52*($B39^2)+'LINEST VARS'!$M$52*(4^2)+'LINEST VARS'!$L$52*(0.5^2)+'LINEST VARS'!$K$52*(12.73^2)+'LINEST VARS'!$J$52*($K$32*$B39)+'LINEST VARS'!$I$52*($K$32*4)+'LINEST VARS'!$H$52*($K$32*0.5)+'LINEST VARS'!$G$52*($K$32*12.73)+'LINEST VARS'!$F$52*($B39*4)+'LINEST VARS'!$E$52*($B39*0.5)+'LINEST VARS'!$D$52*($B39*12.73)+'LINEST VARS'!$C$52*(4*0.5)+'LINEST VARS'!$B$52*(4*12.73)+'LINEST VARS'!$A$52*(0.5*12.73)</f>
        <v>4.4499999999999984</v>
      </c>
      <c r="L39" s="51">
        <f>'LINEST VARS'!$U$52+'LINEST VARS'!$T$52*($L$32)+'LINEST VARS'!$S$52*($B39)+'LINEST VARS'!$R$52*(4)+'LINEST VARS'!$Q$52*(0.5)+'LINEST VARS'!$P$52*(12.73)+'LINEST VARS'!$O$52*($L$32^2)+'LINEST VARS'!$N$52*($B39^2)+'LINEST VARS'!$M$52*(4^2)+'LINEST VARS'!$L$52*(0.5^2)+'LINEST VARS'!$K$52*(12.73^2)+'LINEST VARS'!$J$52*($L$32*$B39)+'LINEST VARS'!$I$52*($L$32*4)+'LINEST VARS'!$H$52*($L$32*0.5)+'LINEST VARS'!$G$52*($L$32*12.73)+'LINEST VARS'!$F$52*($B39*4)+'LINEST VARS'!$E$52*($B39*0.5)+'LINEST VARS'!$D$52*($B39*12.73)+'LINEST VARS'!$C$52*(4*0.5)+'LINEST VARS'!$B$52*(4*12.73)+'LINEST VARS'!$A$52*(0.5*12.73)</f>
        <v>4.4499999999999984</v>
      </c>
      <c r="M39" s="51">
        <f>'LINEST VARS'!$U$52+'LINEST VARS'!$T$52*($M$32)+'LINEST VARS'!$S$52*($B39)+'LINEST VARS'!$R$52*(4)+'LINEST VARS'!$Q$52*(0.5)+'LINEST VARS'!$P$52*(12.73)+'LINEST VARS'!$O$52*($M$32^2)+'LINEST VARS'!$N$52*($B39^2)+'LINEST VARS'!$M$52*(4^2)+'LINEST VARS'!$L$52*(0.5^2)+'LINEST VARS'!$K$52*(12.73^2)+'LINEST VARS'!$J$52*($M$32*$B39)+'LINEST VARS'!$I$52*($M$32*4)+'LINEST VARS'!$H$52*($M$32*0.5)+'LINEST VARS'!$G$52*($M$32*12.73)+'LINEST VARS'!$F$52*($B39*4)+'LINEST VARS'!$E$52*($B39*0.5)+'LINEST VARS'!$D$52*($B39*12.73)+'LINEST VARS'!$C$52*(4*0.5)+'LINEST VARS'!$B$52*(4*12.73)+'LINEST VARS'!$A$52*(0.5*12.73)</f>
        <v>4.4499999999999984</v>
      </c>
      <c r="N39" s="51">
        <f>'LINEST VARS'!$U$52+'LINEST VARS'!$T$52*($N$32)+'LINEST VARS'!$S$52*($B39)+'LINEST VARS'!$R$52*(4)+'LINEST VARS'!$Q$52*(0.5)+'LINEST VARS'!$P$52*(12.73)+'LINEST VARS'!$O$52*($N$32^2)+'LINEST VARS'!$N$52*($B39^2)+'LINEST VARS'!$M$52*(4^2)+'LINEST VARS'!$L$52*(0.5^2)+'LINEST VARS'!$K$52*(12.73^2)+'LINEST VARS'!$J$52*($N$32*$B39)+'LINEST VARS'!$I$52*($N$32*4)+'LINEST VARS'!$H$52*($N$32*0.5)+'LINEST VARS'!$G$52*($N$32*12.73)+'LINEST VARS'!$F$52*($B39*4)+'LINEST VARS'!$E$52*($B39*0.5)+'LINEST VARS'!$D$52*($B39*12.73)+'LINEST VARS'!$C$52*(4*0.5)+'LINEST VARS'!$B$52*(4*12.73)+'LINEST VARS'!$A$52*(0.5*12.73)</f>
        <v>4.4499999999999984</v>
      </c>
      <c r="O39" s="51">
        <f>'LINEST VARS'!$U$52+'LINEST VARS'!$T$52*($O$32)+'LINEST VARS'!$S$52*($B39)+'LINEST VARS'!$R$52*(4)+'LINEST VARS'!$Q$52*(0.5)+'LINEST VARS'!$P$52*(12.73)+'LINEST VARS'!$O$52*($O$32^2)+'LINEST VARS'!$N$52*($B39^2)+'LINEST VARS'!$M$52*(4^2)+'LINEST VARS'!$L$52*(0.5^2)+'LINEST VARS'!$K$52*(12.73^2)+'LINEST VARS'!$J$52*($O$32*$B39)+'LINEST VARS'!$I$52*($O$32*4)+'LINEST VARS'!$H$52*($O$32*0.5)+'LINEST VARS'!$G$52*($O$32*12.73)+'LINEST VARS'!$F$52*($B39*4)+'LINEST VARS'!$E$52*($B39*0.5)+'LINEST VARS'!$D$52*($B39*12.73)+'LINEST VARS'!$C$52*(4*0.5)+'LINEST VARS'!$B$52*(4*12.73)+'LINEST VARS'!$A$52*(0.5*12.73)</f>
        <v>4.4499999999999984</v>
      </c>
      <c r="P39" s="51">
        <f>'LINEST VARS'!$U$52+'LINEST VARS'!$T$52*($P$32)+'LINEST VARS'!$S$52*($B39)+'LINEST VARS'!$R$52*(4)+'LINEST VARS'!$Q$52*(0.5)+'LINEST VARS'!$P$52*(12.73)+'LINEST VARS'!$O$52*($P$32^2)+'LINEST VARS'!$N$52*($B39^2)+'LINEST VARS'!$M$52*(4^2)+'LINEST VARS'!$L$52*(0.5^2)+'LINEST VARS'!$K$52*(12.73^2)+'LINEST VARS'!$J$52*($P$32*$B39)+'LINEST VARS'!$I$52*($P$32*4)+'LINEST VARS'!$H$52*($P$32*0.5)+'LINEST VARS'!$G$52*($P$32*12.73)+'LINEST VARS'!$F$52*($B39*4)+'LINEST VARS'!$E$52*($B39*0.5)+'LINEST VARS'!$D$52*($B39*12.73)+'LINEST VARS'!$C$52*(4*0.5)+'LINEST VARS'!$B$52*(4*12.73)+'LINEST VARS'!$A$52*(0.5*12.73)</f>
        <v>4.4499999999999984</v>
      </c>
      <c r="Q39" s="51">
        <f>'LINEST VARS'!$U$52+'LINEST VARS'!$T$52*($Q$32)+'LINEST VARS'!$S$52*($B39)+'LINEST VARS'!$R$52*(4)+'LINEST VARS'!$Q$52*(0.5)+'LINEST VARS'!$P$52*(12.73)+'LINEST VARS'!$O$52*($Q$32^2)+'LINEST VARS'!$N$52*($B39^2)+'LINEST VARS'!$M$52*(4^2)+'LINEST VARS'!$L$52*(0.5^2)+'LINEST VARS'!$K$52*(12.73^2)+'LINEST VARS'!$J$52*($Q$32*$B39)+'LINEST VARS'!$I$52*($Q$32*4)+'LINEST VARS'!$H$52*($Q$32*0.5)+'LINEST VARS'!$G$52*($Q$32*12.73)+'LINEST VARS'!$F$52*($B39*4)+'LINEST VARS'!$E$52*($B39*0.5)+'LINEST VARS'!$D$52*($B39*12.73)+'LINEST VARS'!$C$52*(4*0.5)+'LINEST VARS'!$B$52*(4*12.73)+'LINEST VARS'!$A$52*(0.5*12.73)</f>
        <v>4.4499999999999984</v>
      </c>
      <c r="R39" s="51">
        <f>'LINEST VARS'!$U$52+'LINEST VARS'!$T$52*($R$32)+'LINEST VARS'!$S$52*($B39)+'LINEST VARS'!$R$52*(4)+'LINEST VARS'!$Q$52*(0.5)+'LINEST VARS'!$P$52*(12.73)+'LINEST VARS'!$O$52*($R$32^2)+'LINEST VARS'!$N$52*($B39^2)+'LINEST VARS'!$M$52*(4^2)+'LINEST VARS'!$L$52*(0.5^2)+'LINEST VARS'!$K$52*(12.73^2)+'LINEST VARS'!$J$52*($R$32*$B39)+'LINEST VARS'!$I$52*($R$32*4)+'LINEST VARS'!$H$52*($R$32*0.5)+'LINEST VARS'!$G$52*($R$32*12.73)+'LINEST VARS'!$F$52*($B39*4)+'LINEST VARS'!$E$52*($B39*0.5)+'LINEST VARS'!$D$52*($B39*12.73)+'LINEST VARS'!$C$52*(4*0.5)+'LINEST VARS'!$B$52*(4*12.73)+'LINEST VARS'!$A$52*(0.5*12.73)</f>
        <v>4.4499999999999984</v>
      </c>
      <c r="S39" s="51">
        <f>'LINEST VARS'!$U$52+'LINEST VARS'!$T$52*($S$32)+'LINEST VARS'!$S$52*($B39)+'LINEST VARS'!$R$52*(4)+'LINEST VARS'!$Q$52*(0.5)+'LINEST VARS'!$P$52*(12.73)+'LINEST VARS'!$O$52*($S$32^2)+'LINEST VARS'!$N$52*($B39^2)+'LINEST VARS'!$M$52*(4^2)+'LINEST VARS'!$L$52*(0.5^2)+'LINEST VARS'!$K$52*(12.73^2)+'LINEST VARS'!$J$52*($S$32*$B39)+'LINEST VARS'!$I$52*($S$32*4)+'LINEST VARS'!$H$52*($S$32*0.5)+'LINEST VARS'!$G$52*($S$32*12.73)+'LINEST VARS'!$F$52*($B39*4)+'LINEST VARS'!$E$52*($B39*0.5)+'LINEST VARS'!$D$52*($B39*12.73)+'LINEST VARS'!$C$52*(4*0.5)+'LINEST VARS'!$B$52*(4*12.73)+'LINEST VARS'!$A$52*(0.5*12.73)</f>
        <v>4.4499999999999984</v>
      </c>
      <c r="T39" s="51">
        <f>'LINEST VARS'!$U$52+'LINEST VARS'!$T$52*($T$32)+'LINEST VARS'!$S$52*($B39)+'LINEST VARS'!$R$52*(4)+'LINEST VARS'!$Q$52*(0.5)+'LINEST VARS'!$P$52*(12.73)+'LINEST VARS'!$O$52*($T$32^2)+'LINEST VARS'!$N$52*($B39^2)+'LINEST VARS'!$M$52*(4^2)+'LINEST VARS'!$L$52*(0.5^2)+'LINEST VARS'!$K$52*(12.73^2)+'LINEST VARS'!$J$52*($T$32*$B39)+'LINEST VARS'!$I$52*($T$32*4)+'LINEST VARS'!$H$52*($T$32*0.5)+'LINEST VARS'!$G$52*($T$32*12.73)+'LINEST VARS'!$F$52*($B39*4)+'LINEST VARS'!$E$52*($B39*0.5)+'LINEST VARS'!$D$52*($B39*12.73)+'LINEST VARS'!$C$52*(4*0.5)+'LINEST VARS'!$B$52*(4*12.73)+'LINEST VARS'!$A$52*(0.5*12.73)</f>
        <v>4.4499999999999984</v>
      </c>
      <c r="U39" s="51">
        <f>'LINEST VARS'!$U$52+'LINEST VARS'!$T$52*($U$32)+'LINEST VARS'!$S$52*($B39)+'LINEST VARS'!$R$52*(4)+'LINEST VARS'!$Q$52*(0.5)+'LINEST VARS'!$P$52*(12.73)+'LINEST VARS'!$O$52*($U$32^2)+'LINEST VARS'!$N$52*($B39^2)+'LINEST VARS'!$M$52*(4^2)+'LINEST VARS'!$L$52*(0.5^2)+'LINEST VARS'!$K$52*(12.73^2)+'LINEST VARS'!$J$52*($U$32*$B39)+'LINEST VARS'!$I$52*($U$32*4)+'LINEST VARS'!$H$52*($U$32*0.5)+'LINEST VARS'!$G$52*($U$32*12.73)+'LINEST VARS'!$F$52*($B39*4)+'LINEST VARS'!$E$52*($B39*0.5)+'LINEST VARS'!$D$52*($B39*12.73)+'LINEST VARS'!$C$52*(4*0.5)+'LINEST VARS'!$B$52*(4*12.73)+'LINEST VARS'!$A$52*(0.5*12.73)</f>
        <v>4.4499999999999984</v>
      </c>
      <c r="V39" s="51">
        <f>'LINEST VARS'!$U$52+'LINEST VARS'!$T$52*($V$32)+'LINEST VARS'!$S$52*($B39)+'LINEST VARS'!$R$52*(4)+'LINEST VARS'!$Q$52*(0.5)+'LINEST VARS'!$P$52*(12.73)+'LINEST VARS'!$O$52*($V$32^2)+'LINEST VARS'!$N$52*($B39^2)+'LINEST VARS'!$M$52*(4^2)+'LINEST VARS'!$L$52*(0.5^2)+'LINEST VARS'!$K$52*(12.73^2)+'LINEST VARS'!$J$52*($V$32*$B39)+'LINEST VARS'!$I$52*($V$32*4)+'LINEST VARS'!$H$52*($V$32*0.5)+'LINEST VARS'!$G$52*($V$32*12.73)+'LINEST VARS'!$F$52*($B39*4)+'LINEST VARS'!$E$52*($B39*0.5)+'LINEST VARS'!$D$52*($B39*12.73)+'LINEST VARS'!$C$52*(4*0.5)+'LINEST VARS'!$B$52*(4*12.73)+'LINEST VARS'!$A$52*(0.5*12.73)</f>
        <v>4.4499999999999993</v>
      </c>
      <c r="W39" s="52">
        <f>'LINEST VARS'!$U$52+'LINEST VARS'!$T$52*($W$32)+'LINEST VARS'!$S$52*($B39)+'LINEST VARS'!$R$52*(4)+'LINEST VARS'!$Q$52*(0.5)+'LINEST VARS'!$P$52*(12.73)+'LINEST VARS'!$O$52*($W$32^2)+'LINEST VARS'!$N$52*($B39^2)+'LINEST VARS'!$M$52*(4^2)+'LINEST VARS'!$L$52*(0.5^2)+'LINEST VARS'!$K$52*(12.73^2)+'LINEST VARS'!$J$52*($W$32*$B39)+'LINEST VARS'!$I$52*($W$32*4)+'LINEST VARS'!$H$52*($W$32*0.5)+'LINEST VARS'!$G$52*($W$32*12.73)+'LINEST VARS'!$F$52*($B39*4)+'LINEST VARS'!$E$52*($B39*0.5)+'LINEST VARS'!$D$52*($B39*12.73)+'LINEST VARS'!$C$52*(4*0.5)+'LINEST VARS'!$B$52*(4*12.73)+'LINEST VARS'!$A$52*(0.5*12.73)</f>
        <v>4.4499999999999993</v>
      </c>
      <c r="Z39" s="45">
        <v>7.76</v>
      </c>
      <c r="AA39" s="51">
        <f>'LINEST VARS'!$U$54+'LINEST VARS'!$T$54*($AA$32)+'LINEST VARS'!$S$54*($Z39)+'LINEST VARS'!$R$54*(4)+'LINEST VARS'!$Q$54*(0.5)+'LINEST VARS'!$P$54*(12.73)+'LINEST VARS'!$O$54*($AA$32^2)+'LINEST VARS'!$N$54*($Z39^2)+'LINEST VARS'!$M$54*(4^2)+'LINEST VARS'!$L$54*(0.5^2)+'LINEST VARS'!$K$54*(12.73^2)+'LINEST VARS'!$J$54*($AA$32*$Z39)+'LINEST VARS'!$I$54*($AA$32*4)+'LINEST VARS'!$H$54*($AA$32*0.5)+'LINEST VARS'!$G$54*($AA$32*12.73)+'LINEST VARS'!$F$54*($Z39*4)+'LINEST VARS'!$E$54*($Z39*0.5)+'LINEST VARS'!$D$54*($Z39*12.73)+'LINEST VARS'!$C$54*(4*0.5)+'LINEST VARS'!$B$54*(4*12.73)+'LINEST VARS'!$A$54*(0.5*12.73)</f>
        <v>3.9749999999999996</v>
      </c>
      <c r="AB39" s="51">
        <f>'LINEST VARS'!$U$54+'LINEST VARS'!$T$54*($AB$32)+'LINEST VARS'!$S$54*($Z39)+'LINEST VARS'!$R$54*(4)+'LINEST VARS'!$Q$54*(0.5)+'LINEST VARS'!$P$54*(12.73)+'LINEST VARS'!$O$54*($AB$32^2)+'LINEST VARS'!$N$54*($Z39^2)+'LINEST VARS'!$M$54*(4^2)+'LINEST VARS'!$L$54*(0.5^2)+'LINEST VARS'!$K$54*(12.73^2)+'LINEST VARS'!$J$54*($AB$32*$Z39)+'LINEST VARS'!$I$54*($AB$32*4)+'LINEST VARS'!$H$54*($AB$32*0.5)+'LINEST VARS'!$G$54*($AB$32*12.73)+'LINEST VARS'!$F$54*($Z39*4)+'LINEST VARS'!$E$54*($Z39*0.5)+'LINEST VARS'!$D$54*($Z39*12.73)+'LINEST VARS'!$C$54*(4*0.5)+'LINEST VARS'!$B$54*(4*12.73)+'LINEST VARS'!$A$54*(0.5*12.73)</f>
        <v>3.9749999999999996</v>
      </c>
      <c r="AC39" s="51">
        <f>'LINEST VARS'!$U$54+'LINEST VARS'!$T$54*($AC$32)+'LINEST VARS'!$S$54*($Z39)+'LINEST VARS'!$R$54*(4)+'LINEST VARS'!$Q$54*(0.5)+'LINEST VARS'!$P$54*(12.73)+'LINEST VARS'!$O$54*($AC$32^2)+'LINEST VARS'!$N$54*($Z39^2)+'LINEST VARS'!$M$54*(4^2)+'LINEST VARS'!$L$54*(0.5^2)+'LINEST VARS'!$K$54*(12.73^2)+'LINEST VARS'!$J$54*($AC$32*$Z39)+'LINEST VARS'!$I$54*($AC$32*4)+'LINEST VARS'!$H$54*($AC$32*0.5)+'LINEST VARS'!$G$54*($AC$32*12.73)+'LINEST VARS'!$F$54*($Z39*4)+'LINEST VARS'!$E$54*($Z39*0.5)+'LINEST VARS'!$D$54*($Z39*12.73)+'LINEST VARS'!$C$54*(4*0.5)+'LINEST VARS'!$B$54*(4*12.73)+'LINEST VARS'!$A$54*(0.5*12.73)</f>
        <v>3.9749999999999996</v>
      </c>
      <c r="AD39" s="51">
        <f>'LINEST VARS'!$U$54+'LINEST VARS'!$T$54*($AD$32)+'LINEST VARS'!$S$54*($Z39)+'LINEST VARS'!$R$54*(4)+'LINEST VARS'!$Q$54*(0.5)+'LINEST VARS'!$P$54*(12.73)+'LINEST VARS'!$O$54*($AD$32^2)+'LINEST VARS'!$N$54*($Z39^2)+'LINEST VARS'!$M$54*(4^2)+'LINEST VARS'!$L$54*(0.5^2)+'LINEST VARS'!$K$54*(12.73^2)+'LINEST VARS'!$J$54*($AD$32*$Z39)+'LINEST VARS'!$I$54*($AD$32*4)+'LINEST VARS'!$H$54*($AD$32*0.5)+'LINEST VARS'!$G$54*($AD$32*12.73)+'LINEST VARS'!$F$54*($Z39*4)+'LINEST VARS'!$E$54*($Z39*0.5)+'LINEST VARS'!$D$54*($Z39*12.73)+'LINEST VARS'!$C$54*(4*0.5)+'LINEST VARS'!$B$54*(4*12.73)+'LINEST VARS'!$A$54*(0.5*12.73)</f>
        <v>3.9749999999999996</v>
      </c>
      <c r="AE39" s="51">
        <f>'LINEST VARS'!$U$54+'LINEST VARS'!$T$54*($AE$32)+'LINEST VARS'!$S$54*($Z39)+'LINEST VARS'!$R$54*(4)+'LINEST VARS'!$Q$54*(0.5)+'LINEST VARS'!$P$54*(12.73)+'LINEST VARS'!$O$54*($AE$32^2)+'LINEST VARS'!$N$54*($Z39^2)+'LINEST VARS'!$M$54*(4^2)+'LINEST VARS'!$L$54*(0.5^2)+'LINEST VARS'!$K$54*(12.73^2)+'LINEST VARS'!$J$54*($AE$32*$Z39)+'LINEST VARS'!$I$54*($AE$32*4)+'LINEST VARS'!$H$54*($AE$32*0.5)+'LINEST VARS'!$G$54*($AE$32*12.73)+'LINEST VARS'!$F$54*($Z39*4)+'LINEST VARS'!$E$54*($Z39*0.5)+'LINEST VARS'!$D$54*($Z39*12.73)+'LINEST VARS'!$C$54*(4*0.5)+'LINEST VARS'!$B$54*(4*12.73)+'LINEST VARS'!$A$54*(0.5*12.73)</f>
        <v>3.9749999999999996</v>
      </c>
      <c r="AF39" s="51">
        <f>'LINEST VARS'!$U$54+'LINEST VARS'!$T$54*($AF$32)+'LINEST VARS'!$S$54*($Z39)+'LINEST VARS'!$R$54*(4)+'LINEST VARS'!$Q$54*(0.5)+'LINEST VARS'!$P$54*(12.73)+'LINEST VARS'!$O$54*($AF$32^2)+'LINEST VARS'!$N$54*($Z39^2)+'LINEST VARS'!$M$54*(4^2)+'LINEST VARS'!$L$54*(0.5^2)+'LINEST VARS'!$K$54*(12.73^2)+'LINEST VARS'!$J$54*($AF$32*$Z39)+'LINEST VARS'!$I$54*($AF$32*4)+'LINEST VARS'!$H$54*($AF$32*0.5)+'LINEST VARS'!$G$54*($AF$32*12.73)+'LINEST VARS'!$F$54*($Z39*4)+'LINEST VARS'!$E$54*($Z39*0.5)+'LINEST VARS'!$D$54*($Z39*12.73)+'LINEST VARS'!$C$54*(4*0.5)+'LINEST VARS'!$B$54*(4*12.73)+'LINEST VARS'!$A$54*(0.5*12.73)</f>
        <v>3.9749999999999996</v>
      </c>
      <c r="AG39" s="51">
        <f>'LINEST VARS'!$U$54+'LINEST VARS'!$T$54*($AG$32)+'LINEST VARS'!$S$54*($Z39)+'LINEST VARS'!$R$54*(4)+'LINEST VARS'!$Q$54*(0.5)+'LINEST VARS'!$P$54*(12.73)+'LINEST VARS'!$O$54*($AG$32^2)+'LINEST VARS'!$N$54*($Z39^2)+'LINEST VARS'!$M$54*(4^2)+'LINEST VARS'!$L$54*(0.5^2)+'LINEST VARS'!$K$54*(12.73^2)+'LINEST VARS'!$J$54*($AG$32*$Z39)+'LINEST VARS'!$I$54*($AG$32*4)+'LINEST VARS'!$H$54*($AG$32*0.5)+'LINEST VARS'!$G$54*($AG$32*12.73)+'LINEST VARS'!$F$54*($Z39*4)+'LINEST VARS'!$E$54*($Z39*0.5)+'LINEST VARS'!$D$54*($Z39*12.73)+'LINEST VARS'!$C$54*(4*0.5)+'LINEST VARS'!$B$54*(4*12.73)+'LINEST VARS'!$A$54*(0.5*12.73)</f>
        <v>3.9749999999999996</v>
      </c>
      <c r="AH39" s="51">
        <f>'LINEST VARS'!$U$54+'LINEST VARS'!$T$54*($AH$32)+'LINEST VARS'!$S$54*($Z39)+'LINEST VARS'!$R$54*(4)+'LINEST VARS'!$Q$54*(0.5)+'LINEST VARS'!$P$54*(12.73)+'LINEST VARS'!$O$54*($AH$32^2)+'LINEST VARS'!$N$54*($Z39^2)+'LINEST VARS'!$M$54*(4^2)+'LINEST VARS'!$L$54*(0.5^2)+'LINEST VARS'!$K$54*(12.73^2)+'LINEST VARS'!$J$54*($AH$32*$Z39)+'LINEST VARS'!$I$54*($AH$32*4)+'LINEST VARS'!$H$54*($AH$32*0.5)+'LINEST VARS'!$G$54*($AH$32*12.73)+'LINEST VARS'!$F$54*($Z39*4)+'LINEST VARS'!$E$54*($Z39*0.5)+'LINEST VARS'!$D$54*($Z39*12.73)+'LINEST VARS'!$C$54*(4*0.5)+'LINEST VARS'!$B$54*(4*12.73)+'LINEST VARS'!$A$54*(0.5*12.73)</f>
        <v>3.9749999999999996</v>
      </c>
      <c r="AI39" s="51">
        <f>'LINEST VARS'!$U$54+'LINEST VARS'!$T$54*($AI$32)+'LINEST VARS'!$S$54*($Z39)+'LINEST VARS'!$R$54*(4)+'LINEST VARS'!$Q$54*(0.5)+'LINEST VARS'!$P$54*(12.73)+'LINEST VARS'!$O$54*($AI$32^2)+'LINEST VARS'!$N$54*($Z39^2)+'LINEST VARS'!$M$54*(4^2)+'LINEST VARS'!$L$54*(0.5^2)+'LINEST VARS'!$K$54*(12.73^2)+'LINEST VARS'!$J$54*($AI$32*$Z39)+'LINEST VARS'!$I$54*($AI$32*4)+'LINEST VARS'!$H$54*($AI$32*0.5)+'LINEST VARS'!$G$54*($AI$32*12.73)+'LINEST VARS'!$F$54*($Z39*4)+'LINEST VARS'!$E$54*($Z39*0.5)+'LINEST VARS'!$D$54*($Z39*12.73)+'LINEST VARS'!$C$54*(4*0.5)+'LINEST VARS'!$B$54*(4*12.73)+'LINEST VARS'!$A$54*(0.5*12.73)</f>
        <v>3.9749999999999996</v>
      </c>
      <c r="AJ39" s="51">
        <f>'LINEST VARS'!$U$54+'LINEST VARS'!$T$54*($AJ$32)+'LINEST VARS'!$S$54*($Z39)+'LINEST VARS'!$R$54*(4)+'LINEST VARS'!$Q$54*(0.5)+'LINEST VARS'!$P$54*(12.73)+'LINEST VARS'!$O$54*($AJ$32^2)+'LINEST VARS'!$N$54*($Z39^2)+'LINEST VARS'!$M$54*(4^2)+'LINEST VARS'!$L$54*(0.5^2)+'LINEST VARS'!$K$54*(12.73^2)+'LINEST VARS'!$J$54*($AJ$32*$Z39)+'LINEST VARS'!$I$54*($AJ$32*4)+'LINEST VARS'!$H$54*($AJ$32*0.5)+'LINEST VARS'!$G$54*($AJ$32*12.73)+'LINEST VARS'!$F$54*($Z39*4)+'LINEST VARS'!$E$54*($Z39*0.5)+'LINEST VARS'!$D$54*($Z39*12.73)+'LINEST VARS'!$C$54*(4*0.5)+'LINEST VARS'!$B$54*(4*12.73)+'LINEST VARS'!$A$54*(0.5*12.73)</f>
        <v>3.9749999999999996</v>
      </c>
      <c r="AK39" s="51">
        <f>'LINEST VARS'!$U$54+'LINEST VARS'!$T$54*($AK$32)+'LINEST VARS'!$S$54*($Z39)+'LINEST VARS'!$R$54*(4)+'LINEST VARS'!$Q$54*(0.5)+'LINEST VARS'!$P$54*(12.73)+'LINEST VARS'!$O$54*($AK$32^2)+'LINEST VARS'!$N$54*($Z39^2)+'LINEST VARS'!$M$54*(4^2)+'LINEST VARS'!$L$54*(0.5^2)+'LINEST VARS'!$K$54*(12.73^2)+'LINEST VARS'!$J$54*($AK$32*$Z39)+'LINEST VARS'!$I$54*($AK$32*4)+'LINEST VARS'!$H$54*($AK$32*0.5)+'LINEST VARS'!$G$54*($AK$32*12.73)+'LINEST VARS'!$F$54*($Z39*4)+'LINEST VARS'!$E$54*($Z39*0.5)+'LINEST VARS'!$D$54*($Z39*12.73)+'LINEST VARS'!$C$54*(4*0.5)+'LINEST VARS'!$B$54*(4*12.73)+'LINEST VARS'!$A$54*(0.5*12.73)</f>
        <v>3.9749999999999996</v>
      </c>
      <c r="AL39" s="51">
        <f>'LINEST VARS'!$U$54+'LINEST VARS'!$T$54*($AL$32)+'LINEST VARS'!$S$54*($Z39)+'LINEST VARS'!$R$54*(4)+'LINEST VARS'!$Q$54*(0.5)+'LINEST VARS'!$P$54*(12.73)+'LINEST VARS'!$O$54*($AL$32^2)+'LINEST VARS'!$N$54*($Z39^2)+'LINEST VARS'!$M$54*(4^2)+'LINEST VARS'!$L$54*(0.5^2)+'LINEST VARS'!$K$54*(12.73^2)+'LINEST VARS'!$J$54*($AL$32*$Z39)+'LINEST VARS'!$I$54*($AL$32*4)+'LINEST VARS'!$H$54*($AL$32*0.5)+'LINEST VARS'!$G$54*($AL$32*12.73)+'LINEST VARS'!$F$54*($Z39*4)+'LINEST VARS'!$E$54*($Z39*0.5)+'LINEST VARS'!$D$54*($Z39*12.73)+'LINEST VARS'!$C$54*(4*0.5)+'LINEST VARS'!$B$54*(4*12.73)+'LINEST VARS'!$A$54*(0.5*12.73)</f>
        <v>3.9749999999999996</v>
      </c>
      <c r="AM39" s="51">
        <f>'LINEST VARS'!$U$54+'LINEST VARS'!$T$54*($AM$32)+'LINEST VARS'!$S$54*($Z39)+'LINEST VARS'!$R$54*(4)+'LINEST VARS'!$Q$54*(0.5)+'LINEST VARS'!$P$54*(12.73)+'LINEST VARS'!$O$54*($AM$32^2)+'LINEST VARS'!$N$54*($Z39^2)+'LINEST VARS'!$M$54*(4^2)+'LINEST VARS'!$L$54*(0.5^2)+'LINEST VARS'!$K$54*(12.73^2)+'LINEST VARS'!$J$54*($AM$32*$Z39)+'LINEST VARS'!$I$54*($AM$32*4)+'LINEST VARS'!$H$54*($AM$32*0.5)+'LINEST VARS'!$G$54*($AM$32*12.73)+'LINEST VARS'!$F$54*($Z39*4)+'LINEST VARS'!$E$54*($Z39*0.5)+'LINEST VARS'!$D$54*($Z39*12.73)+'LINEST VARS'!$C$54*(4*0.5)+'LINEST VARS'!$B$54*(4*12.73)+'LINEST VARS'!$A$54*(0.5*12.73)</f>
        <v>3.9749999999999996</v>
      </c>
      <c r="AN39" s="51">
        <f>'LINEST VARS'!$U$54+'LINEST VARS'!$T$54*($AN$32)+'LINEST VARS'!$S$54*($Z39)+'LINEST VARS'!$R$54*(4)+'LINEST VARS'!$Q$54*(0.5)+'LINEST VARS'!$P$54*(12.73)+'LINEST VARS'!$O$54*($AN$32^2)+'LINEST VARS'!$N$54*($Z39^2)+'LINEST VARS'!$M$54*(4^2)+'LINEST VARS'!$L$54*(0.5^2)+'LINEST VARS'!$K$54*(12.73^2)+'LINEST VARS'!$J$54*($AN$32*$Z39)+'LINEST VARS'!$I$54*($AN$32*4)+'LINEST VARS'!$H$54*($AN$32*0.5)+'LINEST VARS'!$G$54*($AN$32*12.73)+'LINEST VARS'!$F$54*($Z39*4)+'LINEST VARS'!$E$54*($Z39*0.5)+'LINEST VARS'!$D$54*($Z39*12.73)+'LINEST VARS'!$C$54*(4*0.5)+'LINEST VARS'!$B$54*(4*12.73)+'LINEST VARS'!$A$54*(0.5*12.73)</f>
        <v>3.9749999999999996</v>
      </c>
      <c r="AO39" s="51">
        <f>'LINEST VARS'!$U$54+'LINEST VARS'!$T$54*($AO$32)+'LINEST VARS'!$S$54*($Z39)+'LINEST VARS'!$R$54*(4)+'LINEST VARS'!$Q$54*(0.5)+'LINEST VARS'!$P$54*(12.73)+'LINEST VARS'!$O$54*($AO$32^2)+'LINEST VARS'!$N$54*($Z39^2)+'LINEST VARS'!$M$54*(4^2)+'LINEST VARS'!$L$54*(0.5^2)+'LINEST VARS'!$K$54*(12.73^2)+'LINEST VARS'!$J$54*($AO$32*$Z39)+'LINEST VARS'!$I$54*($AO$32*4)+'LINEST VARS'!$H$54*($AO$32*0.5)+'LINEST VARS'!$G$54*($AO$32*12.73)+'LINEST VARS'!$F$54*($Z39*4)+'LINEST VARS'!$E$54*($Z39*0.5)+'LINEST VARS'!$D$54*($Z39*12.73)+'LINEST VARS'!$C$54*(4*0.5)+'LINEST VARS'!$B$54*(4*12.73)+'LINEST VARS'!$A$54*(0.5*12.73)</f>
        <v>3.9749999999999996</v>
      </c>
      <c r="AP39" s="51">
        <f>'LINEST VARS'!$U$54+'LINEST VARS'!$T$54*($AP$32)+'LINEST VARS'!$S$54*($Z39)+'LINEST VARS'!$R$54*(4)+'LINEST VARS'!$Q$54*(0.5)+'LINEST VARS'!$P$54*(12.73)+'LINEST VARS'!$O$54*($AP$32^2)+'LINEST VARS'!$N$54*($Z39^2)+'LINEST VARS'!$M$54*(4^2)+'LINEST VARS'!$L$54*(0.5^2)+'LINEST VARS'!$K$54*(12.73^2)+'LINEST VARS'!$J$54*($AP$32*$Z39)+'LINEST VARS'!$I$54*($AP$32*4)+'LINEST VARS'!$H$54*($AP$32*0.5)+'LINEST VARS'!$G$54*($AP$32*12.73)+'LINEST VARS'!$F$54*($Z39*4)+'LINEST VARS'!$E$54*($Z39*0.5)+'LINEST VARS'!$D$54*($Z39*12.73)+'LINEST VARS'!$C$54*(4*0.5)+'LINEST VARS'!$B$54*(4*12.73)+'LINEST VARS'!$A$54*(0.5*12.73)</f>
        <v>3.9749999999999996</v>
      </c>
      <c r="AQ39" s="51">
        <f>'LINEST VARS'!$U$54+'LINEST VARS'!$T$54*($AQ$32)+'LINEST VARS'!$S$54*($Z39)+'LINEST VARS'!$R$54*(4)+'LINEST VARS'!$Q$54*(0.5)+'LINEST VARS'!$P$54*(12.73)+'LINEST VARS'!$O$54*($AQ$32^2)+'LINEST VARS'!$N$54*($Z39^2)+'LINEST VARS'!$M$54*(4^2)+'LINEST VARS'!$L$54*(0.5^2)+'LINEST VARS'!$K$54*(12.73^2)+'LINEST VARS'!$J$54*($AQ$32*$Z39)+'LINEST VARS'!$I$54*($AQ$32*4)+'LINEST VARS'!$H$54*($AQ$32*0.5)+'LINEST VARS'!$G$54*($AQ$32*12.73)+'LINEST VARS'!$F$54*($Z39*4)+'LINEST VARS'!$E$54*($Z39*0.5)+'LINEST VARS'!$D$54*($Z39*12.73)+'LINEST VARS'!$C$54*(4*0.5)+'LINEST VARS'!$B$54*(4*12.73)+'LINEST VARS'!$A$54*(0.5*12.73)</f>
        <v>3.9749999999999996</v>
      </c>
      <c r="AR39" s="51">
        <f>'LINEST VARS'!$U$54+'LINEST VARS'!$T$54*($AR$32)+'LINEST VARS'!$S$54*($Z39)+'LINEST VARS'!$R$54*(4)+'LINEST VARS'!$Q$54*(0.5)+'LINEST VARS'!$P$54*(12.73)+'LINEST VARS'!$O$54*($AR$32^2)+'LINEST VARS'!$N$54*($Z39^2)+'LINEST VARS'!$M$54*(4^2)+'LINEST VARS'!$L$54*(0.5^2)+'LINEST VARS'!$K$54*(12.73^2)+'LINEST VARS'!$J$54*($AR$32*$Z39)+'LINEST VARS'!$I$54*($AR$32*4)+'LINEST VARS'!$H$54*($AR$32*0.5)+'LINEST VARS'!$G$54*($AR$32*12.73)+'LINEST VARS'!$F$54*($Z39*4)+'LINEST VARS'!$E$54*($Z39*0.5)+'LINEST VARS'!$D$54*($Z39*12.73)+'LINEST VARS'!$C$54*(4*0.5)+'LINEST VARS'!$B$54*(4*12.73)+'LINEST VARS'!$A$54*(0.5*12.73)</f>
        <v>3.9749999999999996</v>
      </c>
      <c r="AS39" s="51">
        <f>'LINEST VARS'!$U$54+'LINEST VARS'!$T$54*($AS$32)+'LINEST VARS'!$S$54*($Z39)+'LINEST VARS'!$R$54*(4)+'LINEST VARS'!$Q$54*(0.5)+'LINEST VARS'!$P$54*(12.73)+'LINEST VARS'!$O$54*($AS$32^2)+'LINEST VARS'!$N$54*($Z39^2)+'LINEST VARS'!$M$54*(4^2)+'LINEST VARS'!$L$54*(0.5^2)+'LINEST VARS'!$K$54*(12.73^2)+'LINEST VARS'!$J$54*($AS$32*$Z39)+'LINEST VARS'!$I$54*($AS$32*4)+'LINEST VARS'!$H$54*($AS$32*0.5)+'LINEST VARS'!$G$54*($AS$32*12.73)+'LINEST VARS'!$F$54*($Z39*4)+'LINEST VARS'!$E$54*($Z39*0.5)+'LINEST VARS'!$D$54*($Z39*12.73)+'LINEST VARS'!$C$54*(4*0.5)+'LINEST VARS'!$B$54*(4*12.73)+'LINEST VARS'!$A$54*(0.5*12.73)</f>
        <v>3.9749999999999996</v>
      </c>
      <c r="AT39" s="51">
        <f>'LINEST VARS'!$U$54+'LINEST VARS'!$T$54*($AT$32)+'LINEST VARS'!$S$54*($Z39)+'LINEST VARS'!$R$54*(4)+'LINEST VARS'!$Q$54*(0.5)+'LINEST VARS'!$P$54*(12.73)+'LINEST VARS'!$O$54*($AT$32^2)+'LINEST VARS'!$N$54*($Z39^2)+'LINEST VARS'!$M$54*(4^2)+'LINEST VARS'!$L$54*(0.5^2)+'LINEST VARS'!$K$54*(12.73^2)+'LINEST VARS'!$J$54*($AT$32*$Z39)+'LINEST VARS'!$I$54*($AT$32*4)+'LINEST VARS'!$H$54*($AT$32*0.5)+'LINEST VARS'!$G$54*($AT$32*12.73)+'LINEST VARS'!$F$54*($Z39*4)+'LINEST VARS'!$E$54*($Z39*0.5)+'LINEST VARS'!$D$54*($Z39*12.73)+'LINEST VARS'!$C$54*(4*0.5)+'LINEST VARS'!$B$54*(4*12.73)+'LINEST VARS'!$A$54*(0.5*12.73)</f>
        <v>3.9750000000000001</v>
      </c>
      <c r="AU39" s="52">
        <f>'LINEST VARS'!$U$54+'LINEST VARS'!$T$54*($AU$32)+'LINEST VARS'!$S$54*($Z39)+'LINEST VARS'!$R$54*(4)+'LINEST VARS'!$Q$54*(0.5)+'LINEST VARS'!$P$54*(12.73)+'LINEST VARS'!$O$54*($AU$32^2)+'LINEST VARS'!$N$54*($Z39^2)+'LINEST VARS'!$M$54*(4^2)+'LINEST VARS'!$L$54*(0.5^2)+'LINEST VARS'!$K$54*(12.73^2)+'LINEST VARS'!$J$54*($AU$32*$Z39)+'LINEST VARS'!$I$54*($AU$32*4)+'LINEST VARS'!$H$54*($AU$32*0.5)+'LINEST VARS'!$G$54*($AU$32*12.73)+'LINEST VARS'!$F$54*($Z39*4)+'LINEST VARS'!$E$54*($Z39*0.5)+'LINEST VARS'!$D$54*($Z39*12.73)+'LINEST VARS'!$C$54*(4*0.5)+'LINEST VARS'!$B$54*(4*12.73)+'LINEST VARS'!$A$54*(0.5*12.73)</f>
        <v>3.9750000000000001</v>
      </c>
      <c r="AZ39" s="45">
        <v>0.3</v>
      </c>
      <c r="BA39" s="51">
        <f>'LINEST VARS'!$U$52+'LINEST VARS'!$T$52*(8)+'LINEST VARS'!$S$52*(8)+'LINEST VARS'!$R$52*($BA$32)+'LINEST VARS'!$Q$52*($AZ39)+'LINEST VARS'!$P$52*(12.73)+'LINEST VARS'!$O$52*(8^2)+'LINEST VARS'!$N$52*(8^2)+'LINEST VARS'!$M$52*($BA$32^2)+'LINEST VARS'!$L$52*($AZ39^2)+'LINEST VARS'!$K$52*(12.73^2)+'LINEST VARS'!$J$52*(8*8)+'LINEST VARS'!$I$52*(8*$BA$32)+'LINEST VARS'!$H$52*(8*$AZ39)+'LINEST VARS'!$G$52*(8*12.73)+'LINEST VARS'!$F$52*(8*$BA$32)+'LINEST VARS'!$E$52*(8*$AZ39)+'LINEST VARS'!$D$52*(8*12.73)+'LINEST VARS'!$C$52*($BA$32*$AZ39)+'LINEST VARS'!$B$52*($BA$32*12.73)+'LINEST VARS'!$A$52*($AZ39*12.73)</f>
        <v>4.469999999999998</v>
      </c>
      <c r="BB39" s="51">
        <f>'LINEST VARS'!$U$52+'LINEST VARS'!$T$52*(8)+'LINEST VARS'!$S$52*(8)+'LINEST VARS'!$R$52*($BB$32)+'LINEST VARS'!$Q$52*($AZ39)+'LINEST VARS'!$P$52*(12.73)+'LINEST VARS'!$O$52*(8^2)+'LINEST VARS'!$N$52*(8^2)+'LINEST VARS'!$M$52*($BB$32^2)+'LINEST VARS'!$L$52*($AZ39^2)+'LINEST VARS'!$K$52*(12.73^2)+'LINEST VARS'!$J$52*(8*8)+'LINEST VARS'!$I$52*(8*$BB$32)+'LINEST VARS'!$H$52*(8*$AZ39)+'LINEST VARS'!$G$52*(8*12.73)+'LINEST VARS'!$F$52*(8*$BB$32)+'LINEST VARS'!$E$52*(8*$AZ39)+'LINEST VARS'!$D$52*(8*12.73)+'LINEST VARS'!$C$52*($BB$32*$AZ39)+'LINEST VARS'!$B$52*($BB$32*12.73)+'LINEST VARS'!$A$52*($AZ39*12.73)</f>
        <v>4.469999999999998</v>
      </c>
      <c r="BC39" s="51">
        <f>'LINEST VARS'!$U$52+'LINEST VARS'!$T$52*(8)+'LINEST VARS'!$S$52*(8)+'LINEST VARS'!$R$52*($BC$32)+'LINEST VARS'!$Q$52*($AZ39)+'LINEST VARS'!$P$52*(12.73)+'LINEST VARS'!$O$52*(8^2)+'LINEST VARS'!$N$52*(8^2)+'LINEST VARS'!$M$52*($BC$32^2)+'LINEST VARS'!$L$52*($AZ39^2)+'LINEST VARS'!$K$52*(12.73^2)+'LINEST VARS'!$J$52*(8*8)+'LINEST VARS'!$I$52*(8*$BC$32)+'LINEST VARS'!$H$52*(8*$AZ39)+'LINEST VARS'!$G$52*(8*12.73)+'LINEST VARS'!$F$52*(8*$BC$32)+'LINEST VARS'!$E$52*(8*$AZ39)+'LINEST VARS'!$D$52*(8*12.73)+'LINEST VARS'!$C$52*($BC$32*$AZ39)+'LINEST VARS'!$B$52*($BC$32*12.73)+'LINEST VARS'!$A$52*($AZ39*12.73)</f>
        <v>4.469999999999998</v>
      </c>
      <c r="BD39" s="51">
        <f>'LINEST VARS'!$U$52+'LINEST VARS'!$T$52*(8)+'LINEST VARS'!$S$52*(8)+'LINEST VARS'!$R$52*($BD$32)+'LINEST VARS'!$Q$52*($AZ39)+'LINEST VARS'!$P$52*(12.73)+'LINEST VARS'!$O$52*(8^2)+'LINEST VARS'!$N$52*(8^2)+'LINEST VARS'!$M$52*($BD$32^2)+'LINEST VARS'!$L$52*($AZ39^2)+'LINEST VARS'!$K$52*(12.73^2)+'LINEST VARS'!$J$52*(8*8)+'LINEST VARS'!$I$52*(8*$BD$32)+'LINEST VARS'!$H$52*(8*$AZ39)+'LINEST VARS'!$G$52*(8*12.73)+'LINEST VARS'!$F$52*(8*$BD$32)+'LINEST VARS'!$E$52*(8*$AZ39)+'LINEST VARS'!$D$52*(8*12.73)+'LINEST VARS'!$C$52*($BD$32*$AZ39)+'LINEST VARS'!$B$52*($BD$32*12.73)+'LINEST VARS'!$A$52*($AZ39*12.73)</f>
        <v>4.469999999999998</v>
      </c>
      <c r="BE39" s="51">
        <f>'LINEST VARS'!$U$52+'LINEST VARS'!$T$52*(8)+'LINEST VARS'!$S$52*(8)+'LINEST VARS'!$R$52*($BE$32)+'LINEST VARS'!$Q$52*($AZ39)+'LINEST VARS'!$P$52*(12.73)+'LINEST VARS'!$O$52*(8^2)+'LINEST VARS'!$N$52*(8^2)+'LINEST VARS'!$M$52*($BE$32^2)+'LINEST VARS'!$L$52*($AZ39^2)+'LINEST VARS'!$K$52*(12.73^2)+'LINEST VARS'!$J$52*(8*8)+'LINEST VARS'!$I$52*(8*$BE$32)+'LINEST VARS'!$H$52*(8*$AZ39)+'LINEST VARS'!$G$52*(8*12.73)+'LINEST VARS'!$F$52*(8*$BE$32)+'LINEST VARS'!$E$52*(8*$AZ39)+'LINEST VARS'!$D$52*(8*12.73)+'LINEST VARS'!$C$52*($BE$32*$AZ39)+'LINEST VARS'!$B$52*($BE$32*12.73)+'LINEST VARS'!$A$52*($AZ39*12.73)</f>
        <v>4.469999999999998</v>
      </c>
      <c r="BF39" s="51">
        <f>'LINEST VARS'!$U$52+'LINEST VARS'!$T$52*(8)+'LINEST VARS'!$S$52*(8)+'LINEST VARS'!$R$52*($BF$32)+'LINEST VARS'!$Q$52*($AZ39)+'LINEST VARS'!$P$52*(12.73)+'LINEST VARS'!$O$52*(8^2)+'LINEST VARS'!$N$52*(8^2)+'LINEST VARS'!$M$52*($BF$32^2)+'LINEST VARS'!$L$52*($AZ39^2)+'LINEST VARS'!$K$52*(12.73^2)+'LINEST VARS'!$J$52*(8*8)+'LINEST VARS'!$I$52*(8*$BF$32)+'LINEST VARS'!$H$52*(8*$AZ39)+'LINEST VARS'!$G$52*(8*12.73)+'LINEST VARS'!$F$52*(8*$BF$32)+'LINEST VARS'!$E$52*(8*$AZ39)+'LINEST VARS'!$D$52*(8*12.73)+'LINEST VARS'!$C$52*($BF$32*$AZ39)+'LINEST VARS'!$B$52*($BF$32*12.73)+'LINEST VARS'!$A$52*($AZ39*12.73)</f>
        <v>4.469999999999998</v>
      </c>
      <c r="BG39" s="51">
        <f>'LINEST VARS'!$U$52+'LINEST VARS'!$T$52*(8)+'LINEST VARS'!$S$52*(8)+'LINEST VARS'!$R$52*($BG$32)+'LINEST VARS'!$Q$52*($AZ39)+'LINEST VARS'!$P$52*(12.73)+'LINEST VARS'!$O$52*(8^2)+'LINEST VARS'!$N$52*(8^2)+'LINEST VARS'!$M$52*($BG$32^2)+'LINEST VARS'!$L$52*($AZ39^2)+'LINEST VARS'!$K$52*(12.73^2)+'LINEST VARS'!$J$52*(8*8)+'LINEST VARS'!$I$52*(8*$BG$32)+'LINEST VARS'!$H$52*(8*$AZ39)+'LINEST VARS'!$G$52*(8*12.73)+'LINEST VARS'!$F$52*(8*$BG$32)+'LINEST VARS'!$E$52*(8*$AZ39)+'LINEST VARS'!$D$52*(8*12.73)+'LINEST VARS'!$C$52*($BG$32*$AZ39)+'LINEST VARS'!$B$52*($BG$32*12.73)+'LINEST VARS'!$A$52*($AZ39*12.73)</f>
        <v>4.469999999999998</v>
      </c>
      <c r="BH39" s="51">
        <f>'LINEST VARS'!$U$52+'LINEST VARS'!$T$52*(8)+'LINEST VARS'!$S$52*(8)+'LINEST VARS'!$R$52*($BH$32)+'LINEST VARS'!$Q$52*($AZ39)+'LINEST VARS'!$P$52*(12.73)+'LINEST VARS'!$O$52*(8^2)+'LINEST VARS'!$N$52*(8^2)+'LINEST VARS'!$M$52*($BH$32^2)+'LINEST VARS'!$L$52*($AZ39^2)+'LINEST VARS'!$K$52*(12.73^2)+'LINEST VARS'!$J$52*(8*8)+'LINEST VARS'!$I$52*(8*$BH$32)+'LINEST VARS'!$H$52*(8*$AZ39)+'LINEST VARS'!$G$52*(8*12.73)+'LINEST VARS'!$F$52*(8*$BH$32)+'LINEST VARS'!$E$52*(8*$AZ39)+'LINEST VARS'!$D$52*(8*12.73)+'LINEST VARS'!$C$52*($BH$32*$AZ39)+'LINEST VARS'!$B$52*($BH$32*12.73)+'LINEST VARS'!$A$52*($AZ39*12.73)</f>
        <v>4.469999999999998</v>
      </c>
      <c r="BI39" s="51">
        <f>'LINEST VARS'!$U$52+'LINEST VARS'!$T$52*(8)+'LINEST VARS'!$S$52*(8)+'LINEST VARS'!$R$52*($BI$32)+'LINEST VARS'!$Q$52*($AZ39)+'LINEST VARS'!$P$52*(12.73)+'LINEST VARS'!$O$52*(8^2)+'LINEST VARS'!$N$52*(8^2)+'LINEST VARS'!$M$52*($BI$32^2)+'LINEST VARS'!$L$52*($AZ39^2)+'LINEST VARS'!$K$52*(12.73^2)+'LINEST VARS'!$J$52*(8*8)+'LINEST VARS'!$I$52*(8*$BI$32)+'LINEST VARS'!$H$52*(8*$AZ39)+'LINEST VARS'!$G$52*(8*12.73)+'LINEST VARS'!$F$52*(8*$BI$32)+'LINEST VARS'!$E$52*(8*$AZ39)+'LINEST VARS'!$D$52*(8*12.73)+'LINEST VARS'!$C$52*($BI$32*$AZ39)+'LINEST VARS'!$B$52*($BI$32*12.73)+'LINEST VARS'!$A$52*($AZ39*12.73)</f>
        <v>4.469999999999998</v>
      </c>
      <c r="BJ39" s="51">
        <f>'LINEST VARS'!$U$52+'LINEST VARS'!$T$52*(8)+'LINEST VARS'!$S$52*(8)+'LINEST VARS'!$R$52*($BJ$32)+'LINEST VARS'!$Q$52*($AZ39)+'LINEST VARS'!$P$52*(12.73)+'LINEST VARS'!$O$52*(8^2)+'LINEST VARS'!$N$52*(8^2)+'LINEST VARS'!$M$52*($BJ$32^2)+'LINEST VARS'!$L$52*($AZ39^2)+'LINEST VARS'!$K$52*(12.73^2)+'LINEST VARS'!$J$52*(8*8)+'LINEST VARS'!$I$52*(8*$BJ$32)+'LINEST VARS'!$H$52*(8*$AZ39)+'LINEST VARS'!$G$52*(8*12.73)+'LINEST VARS'!$F$52*(8*$BJ$32)+'LINEST VARS'!$E$52*(8*$AZ39)+'LINEST VARS'!$D$52*(8*12.73)+'LINEST VARS'!$C$52*($BJ$32*$AZ39)+'LINEST VARS'!$B$52*($BJ$32*12.73)+'LINEST VARS'!$A$52*($AZ39*12.73)</f>
        <v>4.469999999999998</v>
      </c>
      <c r="BK39" s="51">
        <f>'LINEST VARS'!$U$52+'LINEST VARS'!$T$52*(8)+'LINEST VARS'!$S$52*(8)+'LINEST VARS'!$R$52*($BK$32)+'LINEST VARS'!$Q$52*($AZ39)+'LINEST VARS'!$P$52*(12.73)+'LINEST VARS'!$O$52*(8^2)+'LINEST VARS'!$N$52*(8^2)+'LINEST VARS'!$M$52*($BK$32^2)+'LINEST VARS'!$L$52*($AZ39^2)+'LINEST VARS'!$K$52*(12.73^2)+'LINEST VARS'!$J$52*(8*8)+'LINEST VARS'!$I$52*(8*$BK$32)+'LINEST VARS'!$H$52*(8*$AZ39)+'LINEST VARS'!$G$52*(8*12.73)+'LINEST VARS'!$F$52*(8*$BK$32)+'LINEST VARS'!$E$52*(8*$AZ39)+'LINEST VARS'!$D$52*(8*12.73)+'LINEST VARS'!$C$52*($BK$32*$AZ39)+'LINEST VARS'!$B$52*($BK$32*12.73)+'LINEST VARS'!$A$52*($AZ39*12.73)</f>
        <v>4.469999999999998</v>
      </c>
      <c r="BL39" s="51">
        <f>'LINEST VARS'!$U$52+'LINEST VARS'!$T$52*(8)+'LINEST VARS'!$S$52*(8)+'LINEST VARS'!$R$52*($BL$32)+'LINEST VARS'!$Q$52*($AZ39)+'LINEST VARS'!$P$52*(12.73)+'LINEST VARS'!$O$52*(8^2)+'LINEST VARS'!$N$52*(8^2)+'LINEST VARS'!$M$52*($BL$32^2)+'LINEST VARS'!$L$52*($AZ39^2)+'LINEST VARS'!$K$52*(12.73^2)+'LINEST VARS'!$J$52*(8*8)+'LINEST VARS'!$I$52*(8*$BL$32)+'LINEST VARS'!$H$52*(8*$AZ39)+'LINEST VARS'!$G$52*(8*12.73)+'LINEST VARS'!$F$52*(8*$BL$32)+'LINEST VARS'!$E$52*(8*$AZ39)+'LINEST VARS'!$D$52*(8*12.73)+'LINEST VARS'!$C$52*($BL$32*$AZ39)+'LINEST VARS'!$B$52*($BL$32*12.73)+'LINEST VARS'!$A$52*($AZ39*12.73)</f>
        <v>4.469999999999998</v>
      </c>
      <c r="BM39" s="51">
        <f>'LINEST VARS'!$U$52+'LINEST VARS'!$T$52*(8)+'LINEST VARS'!$S$52*(8)+'LINEST VARS'!$R$52*($BM$32)+'LINEST VARS'!$Q$52*($AZ39)+'LINEST VARS'!$P$52*(12.73)+'LINEST VARS'!$O$52*(8^2)+'LINEST VARS'!$N$52*(8^2)+'LINEST VARS'!$M$52*($BM$32^2)+'LINEST VARS'!$L$52*($AZ39^2)+'LINEST VARS'!$K$52*(12.73^2)+'LINEST VARS'!$J$52*(8*8)+'LINEST VARS'!$I$52*(8*$BM$32)+'LINEST VARS'!$H$52*(8*$AZ39)+'LINEST VARS'!$G$52*(8*12.73)+'LINEST VARS'!$F$52*(8*$BM$32)+'LINEST VARS'!$E$52*(8*$AZ39)+'LINEST VARS'!$D$52*(8*12.73)+'LINEST VARS'!$C$52*($BM$32*$AZ39)+'LINEST VARS'!$B$52*($BM$32*12.73)+'LINEST VARS'!$A$52*($AZ39*12.73)</f>
        <v>4.469999999999998</v>
      </c>
      <c r="BN39" s="51">
        <f>'LINEST VARS'!$U$52+'LINEST VARS'!$T$52*(8)+'LINEST VARS'!$S$52*(8)+'LINEST VARS'!$R$52*($BN$32)+'LINEST VARS'!$Q$52*($AZ39)+'LINEST VARS'!$P$52*(12.73)+'LINEST VARS'!$O$52*(8^2)+'LINEST VARS'!$N$52*(8^2)+'LINEST VARS'!$M$52*($BN$32^2)+'LINEST VARS'!$L$52*($AZ39^2)+'LINEST VARS'!$K$52*(12.73^2)+'LINEST VARS'!$J$52*(8*8)+'LINEST VARS'!$I$52*(8*$BN$32)+'LINEST VARS'!$H$52*(8*$AZ39)+'LINEST VARS'!$G$52*(8*12.73)+'LINEST VARS'!$F$52*(8*$BN$32)+'LINEST VARS'!$E$52*(8*$AZ39)+'LINEST VARS'!$D$52*(8*12.73)+'LINEST VARS'!$C$52*($BN$32*$AZ39)+'LINEST VARS'!$B$52*($BN$32*12.73)+'LINEST VARS'!$A$52*($AZ39*12.73)</f>
        <v>4.469999999999998</v>
      </c>
      <c r="BO39" s="51">
        <f>'LINEST VARS'!$U$52+'LINEST VARS'!$T$52*(8)+'LINEST VARS'!$S$52*(8)+'LINEST VARS'!$R$52*($BO$32)+'LINEST VARS'!$Q$52*($AZ39)+'LINEST VARS'!$P$52*(12.73)+'LINEST VARS'!$O$52*(8^2)+'LINEST VARS'!$N$52*(8^2)+'LINEST VARS'!$M$52*($BO$32^2)+'LINEST VARS'!$L$52*($AZ39^2)+'LINEST VARS'!$K$52*(12.73^2)+'LINEST VARS'!$J$52*(8*8)+'LINEST VARS'!$I$52*(8*$BO$32)+'LINEST VARS'!$H$52*(8*$AZ39)+'LINEST VARS'!$G$52*(8*12.73)+'LINEST VARS'!$F$52*(8*$BO$32)+'LINEST VARS'!$E$52*(8*$AZ39)+'LINEST VARS'!$D$52*(8*12.73)+'LINEST VARS'!$C$52*($BO$32*$AZ39)+'LINEST VARS'!$B$52*($BO$32*12.73)+'LINEST VARS'!$A$52*($AZ39*12.73)</f>
        <v>4.469999999999998</v>
      </c>
      <c r="BP39" s="51">
        <f>'LINEST VARS'!$U$52+'LINEST VARS'!$T$52*(8)+'LINEST VARS'!$S$52*(8)+'LINEST VARS'!$R$52*($BP$32)+'LINEST VARS'!$Q$52*($AZ39)+'LINEST VARS'!$P$52*(12.73)+'LINEST VARS'!$O$52*(8^2)+'LINEST VARS'!$N$52*(8^2)+'LINEST VARS'!$M$52*($BP$32^2)+'LINEST VARS'!$L$52*($AZ39^2)+'LINEST VARS'!$K$52*(12.73^2)+'LINEST VARS'!$J$52*(8*8)+'LINEST VARS'!$I$52*(8*$BP$32)+'LINEST VARS'!$H$52*(8*$AZ39)+'LINEST VARS'!$G$52*(8*12.73)+'LINEST VARS'!$F$52*(8*$BP$32)+'LINEST VARS'!$E$52*(8*$AZ39)+'LINEST VARS'!$D$52*(8*12.73)+'LINEST VARS'!$C$52*($BP$32*$AZ39)+'LINEST VARS'!$B$52*($BP$32*12.73)+'LINEST VARS'!$A$52*($AZ39*12.73)</f>
        <v>4.469999999999998</v>
      </c>
      <c r="BQ39" s="51">
        <f>'LINEST VARS'!$U$52+'LINEST VARS'!$T$52*(8)+'LINEST VARS'!$S$52*(8)+'LINEST VARS'!$R$52*($BQ$32)+'LINEST VARS'!$Q$52*($AZ39)+'LINEST VARS'!$P$52*(12.73)+'LINEST VARS'!$O$52*(8^2)+'LINEST VARS'!$N$52*(8^2)+'LINEST VARS'!$M$52*($BQ$32^2)+'LINEST VARS'!$L$52*($AZ39^2)+'LINEST VARS'!$K$52*(12.73^2)+'LINEST VARS'!$J$52*(8*8)+'LINEST VARS'!$I$52*(8*$BQ$32)+'LINEST VARS'!$H$52*(8*$AZ39)+'LINEST VARS'!$G$52*(8*12.73)+'LINEST VARS'!$F$52*(8*$BQ$32)+'LINEST VARS'!$E$52*(8*$AZ39)+'LINEST VARS'!$D$52*(8*12.73)+'LINEST VARS'!$C$52*($BQ$32*$AZ39)+'LINEST VARS'!$B$52*($BQ$32*12.73)+'LINEST VARS'!$A$52*($AZ39*12.73)</f>
        <v>4.469999999999998</v>
      </c>
      <c r="BR39" s="51">
        <f>'LINEST VARS'!$U$52+'LINEST VARS'!$T$52*(8)+'LINEST VARS'!$S$52*(8)+'LINEST VARS'!$R$52*($BR$32)+'LINEST VARS'!$Q$52*($AZ39)+'LINEST VARS'!$P$52*(12.73)+'LINEST VARS'!$O$52*(8^2)+'LINEST VARS'!$N$52*(8^2)+'LINEST VARS'!$M$52*($BR$32^2)+'LINEST VARS'!$L$52*($AZ39^2)+'LINEST VARS'!$K$52*(12.73^2)+'LINEST VARS'!$J$52*(8*8)+'LINEST VARS'!$I$52*(8*$BR$32)+'LINEST VARS'!$H$52*(8*$AZ39)+'LINEST VARS'!$G$52*(8*12.73)+'LINEST VARS'!$F$52*(8*$BR$32)+'LINEST VARS'!$E$52*(8*$AZ39)+'LINEST VARS'!$D$52*(8*12.73)+'LINEST VARS'!$C$52*($BR$32*$AZ39)+'LINEST VARS'!$B$52*($BR$32*12.73)+'LINEST VARS'!$A$52*($AZ39*12.73)</f>
        <v>4.469999999999998</v>
      </c>
      <c r="BS39" s="51">
        <f>'LINEST VARS'!$U$52+'LINEST VARS'!$T$52*(8)+'LINEST VARS'!$S$52*(8)+'LINEST VARS'!$R$52*($BS$32)+'LINEST VARS'!$Q$52*($AZ39)+'LINEST VARS'!$P$52*(12.73)+'LINEST VARS'!$O$52*(8^2)+'LINEST VARS'!$N$52*(8^2)+'LINEST VARS'!$M$52*($BS$32^2)+'LINEST VARS'!$L$52*($AZ39^2)+'LINEST VARS'!$K$52*(12.73^2)+'LINEST VARS'!$J$52*(8*8)+'LINEST VARS'!$I$52*(8*$BS$32)+'LINEST VARS'!$H$52*(8*$AZ39)+'LINEST VARS'!$G$52*(8*12.73)+'LINEST VARS'!$F$52*(8*$BS$32)+'LINEST VARS'!$E$52*(8*$AZ39)+'LINEST VARS'!$D$52*(8*12.73)+'LINEST VARS'!$C$52*($BS$32*$AZ39)+'LINEST VARS'!$B$52*($BS$32*12.73)+'LINEST VARS'!$A$52*($AZ39*12.73)</f>
        <v>4.469999999999998</v>
      </c>
      <c r="BT39" s="51">
        <f>'LINEST VARS'!$U$52+'LINEST VARS'!$T$52*(8)+'LINEST VARS'!$S$52*(8)+'LINEST VARS'!$R$52*($BT$32)+'LINEST VARS'!$Q$52*($AZ39)+'LINEST VARS'!$P$52*(12.73)+'LINEST VARS'!$O$52*(8^2)+'LINEST VARS'!$N$52*(8^2)+'LINEST VARS'!$M$52*($BT$32^2)+'LINEST VARS'!$L$52*($AZ39^2)+'LINEST VARS'!$K$52*(12.73^2)+'LINEST VARS'!$J$52*(8*8)+'LINEST VARS'!$I$52*(8*$BT$32)+'LINEST VARS'!$H$52*(8*$AZ39)+'LINEST VARS'!$G$52*(8*12.73)+'LINEST VARS'!$F$52*(8*$BT$32)+'LINEST VARS'!$E$52*(8*$AZ39)+'LINEST VARS'!$D$52*(8*12.73)+'LINEST VARS'!$C$52*($BT$32*$AZ39)+'LINEST VARS'!$B$52*($BT$32*12.73)+'LINEST VARS'!$A$52*($AZ39*12.73)</f>
        <v>4.469999999999998</v>
      </c>
      <c r="BU39" s="52">
        <f>'LINEST VARS'!$U$52+'LINEST VARS'!$T$52*(8)+'LINEST VARS'!$S$52*(8)+'LINEST VARS'!$R$52*($BU$32)+'LINEST VARS'!$Q$52*($AZ39)+'LINEST VARS'!$P$52*(12.73)+'LINEST VARS'!$O$52*(8^2)+'LINEST VARS'!$N$52*(8^2)+'LINEST VARS'!$M$52*($BU$32^2)+'LINEST VARS'!$L$52*($AZ39^2)+'LINEST VARS'!$K$52*(12.73^2)+'LINEST VARS'!$J$52*(8*8)+'LINEST VARS'!$I$52*(8*$BU$32)+'LINEST VARS'!$H$52*(8*$AZ39)+'LINEST VARS'!$G$52*(8*12.73)+'LINEST VARS'!$F$52*(8*$BU$32)+'LINEST VARS'!$E$52*(8*$AZ39)+'LINEST VARS'!$D$52*(8*12.73)+'LINEST VARS'!$C$52*($BU$32*$AZ39)+'LINEST VARS'!$B$52*($BU$32*12.73)+'LINEST VARS'!$A$52*($AZ39*12.73)</f>
        <v>4.469999999999998</v>
      </c>
      <c r="BX39" s="45">
        <v>0.3</v>
      </c>
      <c r="BY39" s="51">
        <f>'LINEST VARS'!$U$54+'LINEST VARS'!$T$54*(8)+'LINEST VARS'!$S$54*(8)+'LINEST VARS'!$R$54*($BY$32)+'LINEST VARS'!$Q$54*($BX39)+'LINEST VARS'!$P$54*(12.73)+'LINEST VARS'!$O$54*(8^2)+'LINEST VARS'!$N$54*(8^2)+'LINEST VARS'!$M$54*($BY$32^2)+'LINEST VARS'!$L$54*($BX39^2)+'LINEST VARS'!$K$54*(12.73^2)+'LINEST VARS'!$J$54*(8*8)+'LINEST VARS'!$I$54*(8*$BY$32)+'LINEST VARS'!$H$54*(8*$BX39)+'LINEST VARS'!$G$54*(8*12.73)+'LINEST VARS'!$F$54*(8*$BY$32)+'LINEST VARS'!$E$54*(8*$BX39)+'LINEST VARS'!$D$54*(8*12.73)+'LINEST VARS'!$C$54*($BY$32*$BX39)+'LINEST VARS'!$B$54*($BY$32*12.73)+'LINEST VARS'!$A$54*($BX39*12.73)</f>
        <v>3.9849999999999994</v>
      </c>
      <c r="BZ39" s="51">
        <f>'LINEST VARS'!$U$54+'LINEST VARS'!$T$54*(8)+'LINEST VARS'!$S$54*(8)+'LINEST VARS'!$R$54*($BZ$32)+'LINEST VARS'!$Q$54*($BX39)+'LINEST VARS'!$P$54*(12.73)+'LINEST VARS'!$O$54*(8^2)+'LINEST VARS'!$N$54*(8^2)+'LINEST VARS'!$M$54*($BZ$32^2)+'LINEST VARS'!$L$54*($BX39^2)+'LINEST VARS'!$K$54*(12.73^2)+'LINEST VARS'!$J$54*(8*8)+'LINEST VARS'!$I$54*(8*$BZ$32)+'LINEST VARS'!$H$54*(8*$BX39)+'LINEST VARS'!$G$54*(8*12.73)+'LINEST VARS'!$F$54*(8*$BZ$32)+'LINEST VARS'!$E$54*(8*$BX39)+'LINEST VARS'!$D$54*(8*12.73)+'LINEST VARS'!$C$54*($BZ$32*$BX39)+'LINEST VARS'!$B$54*($BZ$32*12.73)+'LINEST VARS'!$A$54*($BX39*12.73)</f>
        <v>3.9849999999999994</v>
      </c>
      <c r="CA39" s="51">
        <f>'LINEST VARS'!$U$54+'LINEST VARS'!$T$54*(8)+'LINEST VARS'!$S$54*(8)+'LINEST VARS'!$R$54*($CA$32)+'LINEST VARS'!$Q$54*($BX39)+'LINEST VARS'!$P$54*(12.73)+'LINEST VARS'!$O$54*(8^2)+'LINEST VARS'!$N$54*(8^2)+'LINEST VARS'!$M$54*($CA$32^2)+'LINEST VARS'!$L$54*($BX39^2)+'LINEST VARS'!$K$54*(12.73^2)+'LINEST VARS'!$J$54*(8*8)+'LINEST VARS'!$I$54*(8*$CA$32)+'LINEST VARS'!$H$54*(8*$BX39)+'LINEST VARS'!$G$54*(8*12.73)+'LINEST VARS'!$F$54*(8*$CA$32)+'LINEST VARS'!$E$54*(8*$BX39)+'LINEST VARS'!$D$54*(8*12.73)+'LINEST VARS'!$C$54*($CA$32*$BX39)+'LINEST VARS'!$B$54*($CA$32*12.73)+'LINEST VARS'!$A$54*($BX39*12.73)</f>
        <v>3.9849999999999994</v>
      </c>
      <c r="CB39" s="51">
        <f>'LINEST VARS'!$U$54+'LINEST VARS'!$T$54*(8)+'LINEST VARS'!$S$54*(8)+'LINEST VARS'!$R$54*($CB$32)+'LINEST VARS'!$Q$54*($BX39)+'LINEST VARS'!$P$54*(12.73)+'LINEST VARS'!$O$54*(8^2)+'LINEST VARS'!$N$54*(8^2)+'LINEST VARS'!$M$54*($CB$32^2)+'LINEST VARS'!$L$54*($BX39^2)+'LINEST VARS'!$K$54*(12.73^2)+'LINEST VARS'!$J$54*(8*8)+'LINEST VARS'!$I$54*(8*$CB$32)+'LINEST VARS'!$H$54*(8*$BX39)+'LINEST VARS'!$G$54*(8*12.73)+'LINEST VARS'!$F$54*(8*$CB$32)+'LINEST VARS'!$E$54*(8*$BX39)+'LINEST VARS'!$D$54*(8*12.73)+'LINEST VARS'!$C$54*($CB$32*$BX39)+'LINEST VARS'!$B$54*($CB$32*12.73)+'LINEST VARS'!$A$54*($BX39*12.73)</f>
        <v>3.9849999999999994</v>
      </c>
      <c r="CC39" s="51">
        <f>'LINEST VARS'!$U$54+'LINEST VARS'!$T$54*(8)+'LINEST VARS'!$S$54*(8)+'LINEST VARS'!$R$54*($CC$32)+'LINEST VARS'!$Q$54*($BX39)+'LINEST VARS'!$P$54*(12.73)+'LINEST VARS'!$O$54*(8^2)+'LINEST VARS'!$N$54*(8^2)+'LINEST VARS'!$M$54*($CC$32^2)+'LINEST VARS'!$L$54*($BX39^2)+'LINEST VARS'!$K$54*(12.73^2)+'LINEST VARS'!$J$54*(8*8)+'LINEST VARS'!$I$54*(8*$CC$32)+'LINEST VARS'!$H$54*(8*$BX39)+'LINEST VARS'!$G$54*(8*12.73)+'LINEST VARS'!$F$54*(8*$CC$32)+'LINEST VARS'!$E$54*(8*$BX39)+'LINEST VARS'!$D$54*(8*12.73)+'LINEST VARS'!$C$54*($CC$32*$BX39)+'LINEST VARS'!$B$54*($CC$32*12.73)+'LINEST VARS'!$A$54*($BX39*12.73)</f>
        <v>3.9849999999999994</v>
      </c>
      <c r="CD39" s="51">
        <f>'LINEST VARS'!$U$54+'LINEST VARS'!$T$54*(8)+'LINEST VARS'!$S$54*(8)+'LINEST VARS'!$R$54*($CD$32)+'LINEST VARS'!$Q$54*($BX39)+'LINEST VARS'!$P$54*(12.73)+'LINEST VARS'!$O$54*(8^2)+'LINEST VARS'!$N$54*(8^2)+'LINEST VARS'!$M$54*($CD$32^2)+'LINEST VARS'!$L$54*($BX39^2)+'LINEST VARS'!$K$54*(12.73^2)+'LINEST VARS'!$J$54*(8*8)+'LINEST VARS'!$I$54*(8*$CD$32)+'LINEST VARS'!$H$54*(8*$BX39)+'LINEST VARS'!$G$54*(8*12.73)+'LINEST VARS'!$F$54*(8*$CD$32)+'LINEST VARS'!$E$54*(8*$BX39)+'LINEST VARS'!$D$54*(8*12.73)+'LINEST VARS'!$C$54*($CD$32*$BX39)+'LINEST VARS'!$B$54*($CD$32*12.73)+'LINEST VARS'!$A$54*($BX39*12.73)</f>
        <v>3.9849999999999994</v>
      </c>
      <c r="CE39" s="51">
        <f>'LINEST VARS'!$U$54+'LINEST VARS'!$T$54*(8)+'LINEST VARS'!$S$54*(8)+'LINEST VARS'!$R$54*($CE$32)+'LINEST VARS'!$Q$54*($BX39)+'LINEST VARS'!$P$54*(12.73)+'LINEST VARS'!$O$54*(8^2)+'LINEST VARS'!$N$54*(8^2)+'LINEST VARS'!$M$54*($CE$32^2)+'LINEST VARS'!$L$54*($BX39^2)+'LINEST VARS'!$K$54*(12.73^2)+'LINEST VARS'!$J$54*(8*8)+'LINEST VARS'!$I$54*(8*$CE$32)+'LINEST VARS'!$H$54*(8*$BX39)+'LINEST VARS'!$G$54*(8*12.73)+'LINEST VARS'!$F$54*(8*$CE$32)+'LINEST VARS'!$E$54*(8*$BX39)+'LINEST VARS'!$D$54*(8*12.73)+'LINEST VARS'!$C$54*($CE$32*$BX39)+'LINEST VARS'!$B$54*($CE$32*12.73)+'LINEST VARS'!$A$54*($BX39*12.73)</f>
        <v>3.9849999999999994</v>
      </c>
      <c r="CF39" s="51">
        <f>'LINEST VARS'!$U$54+'LINEST VARS'!$T$54*(8)+'LINEST VARS'!$S$54*(8)+'LINEST VARS'!$R$54*($CF$32)+'LINEST VARS'!$Q$54*($BX39)+'LINEST VARS'!$P$54*(12.73)+'LINEST VARS'!$O$54*(8^2)+'LINEST VARS'!$N$54*(8^2)+'LINEST VARS'!$M$54*($CF$32^2)+'LINEST VARS'!$L$54*($BX39^2)+'LINEST VARS'!$K$54*(12.73^2)+'LINEST VARS'!$J$54*(8*8)+'LINEST VARS'!$I$54*(8*$CF$32)+'LINEST VARS'!$H$54*(8*$BX39)+'LINEST VARS'!$G$54*(8*12.73)+'LINEST VARS'!$F$54*(8*$CF$32)+'LINEST VARS'!$E$54*(8*$BX39)+'LINEST VARS'!$D$54*(8*12.73)+'LINEST VARS'!$C$54*($CF$32*$BX39)+'LINEST VARS'!$B$54*($CF$32*12.73)+'LINEST VARS'!$A$54*($BX39*12.73)</f>
        <v>3.9849999999999994</v>
      </c>
      <c r="CG39" s="51">
        <f>'LINEST VARS'!$U$54+'LINEST VARS'!$T$54*(8)+'LINEST VARS'!$S$54*(8)+'LINEST VARS'!$R$54*($CG$32)+'LINEST VARS'!$Q$54*($BX39)+'LINEST VARS'!$P$54*(12.73)+'LINEST VARS'!$O$54*(8^2)+'LINEST VARS'!$N$54*(8^2)+'LINEST VARS'!$M$54*($CG$32^2)+'LINEST VARS'!$L$54*($BX39^2)+'LINEST VARS'!$K$54*(12.73^2)+'LINEST VARS'!$J$54*(8*8)+'LINEST VARS'!$I$54*(8*$CG$32)+'LINEST VARS'!$H$54*(8*$BX39)+'LINEST VARS'!$G$54*(8*12.73)+'LINEST VARS'!$F$54*(8*$CG$32)+'LINEST VARS'!$E$54*(8*$BX39)+'LINEST VARS'!$D$54*(8*12.73)+'LINEST VARS'!$C$54*($CG$32*$BX39)+'LINEST VARS'!$B$54*($CG$32*12.73)+'LINEST VARS'!$A$54*($BX39*12.73)</f>
        <v>3.9849999999999994</v>
      </c>
      <c r="CH39" s="51">
        <f>'LINEST VARS'!$U$54+'LINEST VARS'!$T$54*(8)+'LINEST VARS'!$S$54*(8)+'LINEST VARS'!$R$54*($CH$32)+'LINEST VARS'!$Q$54*($BX39)+'LINEST VARS'!$P$54*(12.73)+'LINEST VARS'!$O$54*(8^2)+'LINEST VARS'!$N$54*(8^2)+'LINEST VARS'!$M$54*($CH$32^2)+'LINEST VARS'!$L$54*($BX39^2)+'LINEST VARS'!$K$54*(12.73^2)+'LINEST VARS'!$J$54*(8*8)+'LINEST VARS'!$I$54*(8*$CH$32)+'LINEST VARS'!$H$54*(8*$BX39)+'LINEST VARS'!$G$54*(8*12.73)+'LINEST VARS'!$F$54*(8*$CH$32)+'LINEST VARS'!$E$54*(8*$BX39)+'LINEST VARS'!$D$54*(8*12.73)+'LINEST VARS'!$C$54*($CH$32*$BX39)+'LINEST VARS'!$B$54*($CH$32*12.73)+'LINEST VARS'!$A$54*($BX39*12.73)</f>
        <v>3.9849999999999994</v>
      </c>
      <c r="CI39" s="51">
        <f>'LINEST VARS'!$U$54+'LINEST VARS'!$T$54*(8)+'LINEST VARS'!$S$54*(8)+'LINEST VARS'!$R$54*($CI$32)+'LINEST VARS'!$Q$54*($BX39)+'LINEST VARS'!$P$54*(12.73)+'LINEST VARS'!$O$54*(8^2)+'LINEST VARS'!$N$54*(8^2)+'LINEST VARS'!$M$54*($CI$32^2)+'LINEST VARS'!$L$54*($BX39^2)+'LINEST VARS'!$K$54*(12.73^2)+'LINEST VARS'!$J$54*(8*8)+'LINEST VARS'!$I$54*(8*$CI$32)+'LINEST VARS'!$H$54*(8*$BX39)+'LINEST VARS'!$G$54*(8*12.73)+'LINEST VARS'!$F$54*(8*$CI$32)+'LINEST VARS'!$E$54*(8*$BX39)+'LINEST VARS'!$D$54*(8*12.73)+'LINEST VARS'!$C$54*($CI$32*$BX39)+'LINEST VARS'!$B$54*($CI$32*12.73)+'LINEST VARS'!$A$54*($BX39*12.73)</f>
        <v>3.9849999999999994</v>
      </c>
      <c r="CJ39" s="51">
        <f>'LINEST VARS'!$U$54+'LINEST VARS'!$T$54*(8)+'LINEST VARS'!$S$54*(8)+'LINEST VARS'!$R$54*($CJ$32)+'LINEST VARS'!$Q$54*($BX39)+'LINEST VARS'!$P$54*(12.73)+'LINEST VARS'!$O$54*(8^2)+'LINEST VARS'!$N$54*(8^2)+'LINEST VARS'!$M$54*($CJ$32^2)+'LINEST VARS'!$L$54*($BX39^2)+'LINEST VARS'!$K$54*(12.73^2)+'LINEST VARS'!$J$54*(8*8)+'LINEST VARS'!$I$54*(8*$CJ$32)+'LINEST VARS'!$H$54*(8*$BX39)+'LINEST VARS'!$G$54*(8*12.73)+'LINEST VARS'!$F$54*(8*$CJ$32)+'LINEST VARS'!$E$54*(8*$BX39)+'LINEST VARS'!$D$54*(8*12.73)+'LINEST VARS'!$C$54*($CJ$32*$BX39)+'LINEST VARS'!$B$54*($CJ$32*12.73)+'LINEST VARS'!$A$54*($BX39*12.73)</f>
        <v>3.9849999999999994</v>
      </c>
      <c r="CK39" s="51">
        <f>'LINEST VARS'!$U$54+'LINEST VARS'!$T$54*(8)+'LINEST VARS'!$S$54*(8)+'LINEST VARS'!$R$54*($CK$32)+'LINEST VARS'!$Q$54*($BX39)+'LINEST VARS'!$P$54*(12.73)+'LINEST VARS'!$O$54*(8^2)+'LINEST VARS'!$N$54*(8^2)+'LINEST VARS'!$M$54*($CK$32^2)+'LINEST VARS'!$L$54*($BX39^2)+'LINEST VARS'!$K$54*(12.73^2)+'LINEST VARS'!$J$54*(8*8)+'LINEST VARS'!$I$54*(8*$CK$32)+'LINEST VARS'!$H$54*(8*$BX39)+'LINEST VARS'!$G$54*(8*12.73)+'LINEST VARS'!$F$54*(8*$CK$32)+'LINEST VARS'!$E$54*(8*$BX39)+'LINEST VARS'!$D$54*(8*12.73)+'LINEST VARS'!$C$54*($CK$32*$BX39)+'LINEST VARS'!$B$54*($CK$32*12.73)+'LINEST VARS'!$A$54*($BX39*12.73)</f>
        <v>3.9849999999999994</v>
      </c>
      <c r="CL39" s="51">
        <f>'LINEST VARS'!$U$54+'LINEST VARS'!$T$54*(8)+'LINEST VARS'!$S$54*(8)+'LINEST VARS'!$R$54*($CL$32)+'LINEST VARS'!$Q$54*($BX39)+'LINEST VARS'!$P$54*(12.73)+'LINEST VARS'!$O$54*(8^2)+'LINEST VARS'!$N$54*(8^2)+'LINEST VARS'!$M$54*($CL$32^2)+'LINEST VARS'!$L$54*($BX39^2)+'LINEST VARS'!$K$54*(12.73^2)+'LINEST VARS'!$J$54*(8*8)+'LINEST VARS'!$I$54*(8*$CL$32)+'LINEST VARS'!$H$54*(8*$BX39)+'LINEST VARS'!$G$54*(8*12.73)+'LINEST VARS'!$F$54*(8*$CL$32)+'LINEST VARS'!$E$54*(8*$BX39)+'LINEST VARS'!$D$54*(8*12.73)+'LINEST VARS'!$C$54*($CL$32*$BX39)+'LINEST VARS'!$B$54*($CL$32*12.73)+'LINEST VARS'!$A$54*($BX39*12.73)</f>
        <v>3.9849999999999994</v>
      </c>
      <c r="CM39" s="51">
        <f>'LINEST VARS'!$U$54+'LINEST VARS'!$T$54*(8)+'LINEST VARS'!$S$54*(8)+'LINEST VARS'!$R$54*($CM$32)+'LINEST VARS'!$Q$54*($BX39)+'LINEST VARS'!$P$54*(12.73)+'LINEST VARS'!$O$54*(8^2)+'LINEST VARS'!$N$54*(8^2)+'LINEST VARS'!$M$54*($CM$32^2)+'LINEST VARS'!$L$54*($BX39^2)+'LINEST VARS'!$K$54*(12.73^2)+'LINEST VARS'!$J$54*(8*8)+'LINEST VARS'!$I$54*(8*$CM$32)+'LINEST VARS'!$H$54*(8*$BX39)+'LINEST VARS'!$G$54*(8*12.73)+'LINEST VARS'!$F$54*(8*$CM$32)+'LINEST VARS'!$E$54*(8*$BX39)+'LINEST VARS'!$D$54*(8*12.73)+'LINEST VARS'!$C$54*($CM$32*$BX39)+'LINEST VARS'!$B$54*($CM$32*12.73)+'LINEST VARS'!$A$54*($BX39*12.73)</f>
        <v>3.9849999999999994</v>
      </c>
      <c r="CN39" s="51">
        <f>'LINEST VARS'!$U$54+'LINEST VARS'!$T$54*(8)+'LINEST VARS'!$S$54*(8)+'LINEST VARS'!$R$54*($CN$32)+'LINEST VARS'!$Q$54*($BX39)+'LINEST VARS'!$P$54*(12.73)+'LINEST VARS'!$O$54*(8^2)+'LINEST VARS'!$N$54*(8^2)+'LINEST VARS'!$M$54*($CN$32^2)+'LINEST VARS'!$L$54*($BX39^2)+'LINEST VARS'!$K$54*(12.73^2)+'LINEST VARS'!$J$54*(8*8)+'LINEST VARS'!$I$54*(8*$CN$32)+'LINEST VARS'!$H$54*(8*$BX39)+'LINEST VARS'!$G$54*(8*12.73)+'LINEST VARS'!$F$54*(8*$CN$32)+'LINEST VARS'!$E$54*(8*$BX39)+'LINEST VARS'!$D$54*(8*12.73)+'LINEST VARS'!$C$54*($CN$32*$BX39)+'LINEST VARS'!$B$54*($CN$32*12.73)+'LINEST VARS'!$A$54*($BX39*12.73)</f>
        <v>3.9849999999999994</v>
      </c>
      <c r="CO39" s="51">
        <f>'LINEST VARS'!$U$54+'LINEST VARS'!$T$54*(8)+'LINEST VARS'!$S$54*(8)+'LINEST VARS'!$R$54*($CO$32)+'LINEST VARS'!$Q$54*($BX39)+'LINEST VARS'!$P$54*(12.73)+'LINEST VARS'!$O$54*(8^2)+'LINEST VARS'!$N$54*(8^2)+'LINEST VARS'!$M$54*($CO$32^2)+'LINEST VARS'!$L$54*($BX39^2)+'LINEST VARS'!$K$54*(12.73^2)+'LINEST VARS'!$J$54*(8*8)+'LINEST VARS'!$I$54*(8*$CO$32)+'LINEST VARS'!$H$54*(8*$BX39)+'LINEST VARS'!$G$54*(8*12.73)+'LINEST VARS'!$F$54*(8*$CO$32)+'LINEST VARS'!$E$54*(8*$BX39)+'LINEST VARS'!$D$54*(8*12.73)+'LINEST VARS'!$C$54*($CO$32*$BX39)+'LINEST VARS'!$B$54*($CO$32*12.73)+'LINEST VARS'!$A$54*($BX39*12.73)</f>
        <v>3.9849999999999994</v>
      </c>
      <c r="CP39" s="51">
        <f>'LINEST VARS'!$U$54+'LINEST VARS'!$T$54*(8)+'LINEST VARS'!$S$54*(8)+'LINEST VARS'!$R$54*($CP$32)+'LINEST VARS'!$Q$54*($BX39)+'LINEST VARS'!$P$54*(12.73)+'LINEST VARS'!$O$54*(8^2)+'LINEST VARS'!$N$54*(8^2)+'LINEST VARS'!$M$54*($CP$32^2)+'LINEST VARS'!$L$54*($BX39^2)+'LINEST VARS'!$K$54*(12.73^2)+'LINEST VARS'!$J$54*(8*8)+'LINEST VARS'!$I$54*(8*$CP$32)+'LINEST VARS'!$H$54*(8*$BX39)+'LINEST VARS'!$G$54*(8*12.73)+'LINEST VARS'!$F$54*(8*$CP$32)+'LINEST VARS'!$E$54*(8*$BX39)+'LINEST VARS'!$D$54*(8*12.73)+'LINEST VARS'!$C$54*($CP$32*$BX39)+'LINEST VARS'!$B$54*($CP$32*12.73)+'LINEST VARS'!$A$54*($BX39*12.73)</f>
        <v>3.9849999999999994</v>
      </c>
      <c r="CQ39" s="51">
        <f>'LINEST VARS'!$U$54+'LINEST VARS'!$T$54*(8)+'LINEST VARS'!$S$54*(8)+'LINEST VARS'!$R$54*($CQ$32)+'LINEST VARS'!$Q$54*($BX39)+'LINEST VARS'!$P$54*(12.73)+'LINEST VARS'!$O$54*(8^2)+'LINEST VARS'!$N$54*(8^2)+'LINEST VARS'!$M$54*($CQ$32^2)+'LINEST VARS'!$L$54*($BX39^2)+'LINEST VARS'!$K$54*(12.73^2)+'LINEST VARS'!$J$54*(8*8)+'LINEST VARS'!$I$54*(8*$CQ$32)+'LINEST VARS'!$H$54*(8*$BX39)+'LINEST VARS'!$G$54*(8*12.73)+'LINEST VARS'!$F$54*(8*$CQ$32)+'LINEST VARS'!$E$54*(8*$BX39)+'LINEST VARS'!$D$54*(8*12.73)+'LINEST VARS'!$C$54*($CQ$32*$BX39)+'LINEST VARS'!$B$54*($CQ$32*12.73)+'LINEST VARS'!$A$54*($BX39*12.73)</f>
        <v>3.9849999999999994</v>
      </c>
      <c r="CR39" s="51">
        <f>'LINEST VARS'!$U$54+'LINEST VARS'!$T$54*(8)+'LINEST VARS'!$S$54*(8)+'LINEST VARS'!$R$54*($CR$32)+'LINEST VARS'!$Q$54*($BX39)+'LINEST VARS'!$P$54*(12.73)+'LINEST VARS'!$O$54*(8^2)+'LINEST VARS'!$N$54*(8^2)+'LINEST VARS'!$M$54*($CR$32^2)+'LINEST VARS'!$L$54*($BX39^2)+'LINEST VARS'!$K$54*(12.73^2)+'LINEST VARS'!$J$54*(8*8)+'LINEST VARS'!$I$54*(8*$CR$32)+'LINEST VARS'!$H$54*(8*$BX39)+'LINEST VARS'!$G$54*(8*12.73)+'LINEST VARS'!$F$54*(8*$CR$32)+'LINEST VARS'!$E$54*(8*$BX39)+'LINEST VARS'!$D$54*(8*12.73)+'LINEST VARS'!$C$54*($CR$32*$BX39)+'LINEST VARS'!$B$54*($CR$32*12.73)+'LINEST VARS'!$A$54*($BX39*12.73)</f>
        <v>3.9849999999999994</v>
      </c>
      <c r="CS39" s="52">
        <f>'LINEST VARS'!$U$54+'LINEST VARS'!$T$54*(8)+'LINEST VARS'!$S$54*(8)+'LINEST VARS'!$R$54*($CS$32)+'LINEST VARS'!$Q$54*($BX39)+'LINEST VARS'!$P$54*(12.73)+'LINEST VARS'!$O$54*(8^2)+'LINEST VARS'!$N$54*(8^2)+'LINEST VARS'!$M$54*($CS$32^2)+'LINEST VARS'!$L$54*($BX39^2)+'LINEST VARS'!$K$54*(12.73^2)+'LINEST VARS'!$J$54*(8*8)+'LINEST VARS'!$I$54*(8*$CS$32)+'LINEST VARS'!$H$54*(8*$BX39)+'LINEST VARS'!$G$54*(8*12.73)+'LINEST VARS'!$F$54*(8*$CS$32)+'LINEST VARS'!$E$54*(8*$BX39)+'LINEST VARS'!$D$54*(8*12.73)+'LINEST VARS'!$C$54*($CS$32*$BX39)+'LINEST VARS'!$B$54*($CS$32*12.73)+'LINEST VARS'!$A$54*($BX39*12.73)</f>
        <v>3.9849999999999994</v>
      </c>
      <c r="CX39" s="45">
        <v>7.7969999999999997</v>
      </c>
      <c r="CY39" s="51">
        <f>'LINEST VARS'!$U$52+'LINEST VARS'!$T$52*(8)+'LINEST VARS'!$S$52*(8)+'LINEST VARS'!$R$52*($CY$32)+'LINEST VARS'!$Q$52*(0.5)+'LINEST VARS'!$P$52*($CX39)+'LINEST VARS'!$O$52*(8^2)+'LINEST VARS'!$N$52*(8^2)+'LINEST VARS'!$M$52*($CY$32^2)+'LINEST VARS'!$L$52*(0.5^2)+'LINEST VARS'!$K$52*($CX39^2)+'LINEST VARS'!$J$52*(8*8)+'LINEST VARS'!$I$52*(8*$CY$32)+'LINEST VARS'!$H$52*(8*0.5)+'LINEST VARS'!$G$52*(8*$CX39)+'LINEST VARS'!$F$52*(8*$CY$32)+'LINEST VARS'!$E$52*(8*0.5)+'LINEST VARS'!$D$52*(8*$CX39)+'LINEST VARS'!$C$52*($CY$32*0.5)+'LINEST VARS'!$B$52*($CY$32*$CX39)+'LINEST VARS'!$A$52*(0.5*$CX39)</f>
        <v>4.4499999999999984</v>
      </c>
      <c r="CZ39" s="51">
        <f>'LINEST VARS'!$U$52+'LINEST VARS'!$T$52*(8)+'LINEST VARS'!$S$52*(8)+'LINEST VARS'!$R$52*($CZ$32)+'LINEST VARS'!$Q$52*(0.5)+'LINEST VARS'!$P$52*($CX39)+'LINEST VARS'!$O$52*(8^2)+'LINEST VARS'!$N$52*(8^2)+'LINEST VARS'!$M$52*($CZ$32^2)+'LINEST VARS'!$L$52*(0.5^2)+'LINEST VARS'!$K$52*($CX39^2)+'LINEST VARS'!$J$52*(8*8)+'LINEST VARS'!$I$52*(8*$CZ$32)+'LINEST VARS'!$H$52*(8*0.5)+'LINEST VARS'!$G$52*(8*$CX39)+'LINEST VARS'!$F$52*(8*$CZ$32)+'LINEST VARS'!$E$52*(8*0.5)+'LINEST VARS'!$D$52*(8*$CX39)+'LINEST VARS'!$C$52*($CZ$32*0.5)+'LINEST VARS'!$B$52*($CZ$32*$CX39)+'LINEST VARS'!$A$52*(0.5*$CX39)</f>
        <v>4.4499999999999984</v>
      </c>
      <c r="DA39" s="51">
        <f>'LINEST VARS'!$U$52+'LINEST VARS'!$T$52*(8)+'LINEST VARS'!$S$52*(8)+'LINEST VARS'!$R$52*($DA$32)+'LINEST VARS'!$Q$52*(0.5)+'LINEST VARS'!$P$52*($CX39)+'LINEST VARS'!$O$52*(8^2)+'LINEST VARS'!$N$52*(8^2)+'LINEST VARS'!$M$52*($DA$32^2)+'LINEST VARS'!$L$52*(0.5^2)+'LINEST VARS'!$K$52*($CX39^2)+'LINEST VARS'!$J$52*(8*8)+'LINEST VARS'!$I$52*(8*$DA$32)+'LINEST VARS'!$H$52*(8*0.5)+'LINEST VARS'!$G$52*(8*$CX39)+'LINEST VARS'!$F$52*(8*$DA$32)+'LINEST VARS'!$E$52*(8*0.5)+'LINEST VARS'!$D$52*(8*$CX39)+'LINEST VARS'!$C$52*($DA$32*0.5)+'LINEST VARS'!$B$52*($DA$32*$CX39)+'LINEST VARS'!$A$52*(0.5*$CX39)</f>
        <v>4.4499999999999984</v>
      </c>
      <c r="DB39" s="51">
        <f>'LINEST VARS'!$U$52+'LINEST VARS'!$T$52*(8)+'LINEST VARS'!$S$52*(8)+'LINEST VARS'!$R$52*($DB$32)+'LINEST VARS'!$Q$52*(0.5)+'LINEST VARS'!$P$52*($CX39)+'LINEST VARS'!$O$52*(8^2)+'LINEST VARS'!$N$52*(8^2)+'LINEST VARS'!$M$52*($DB$32^2)+'LINEST VARS'!$L$52*(0.5^2)+'LINEST VARS'!$K$52*($CX39^2)+'LINEST VARS'!$J$52*(8*8)+'LINEST VARS'!$I$52*(8*$DB$32)+'LINEST VARS'!$H$52*(8*0.5)+'LINEST VARS'!$G$52*(8*$CX39)+'LINEST VARS'!$F$52*(8*$DB$32)+'LINEST VARS'!$E$52*(8*0.5)+'LINEST VARS'!$D$52*(8*$CX39)+'LINEST VARS'!$C$52*($DB$32*0.5)+'LINEST VARS'!$B$52*($DB$32*$CX39)+'LINEST VARS'!$A$52*(0.5*$CX39)</f>
        <v>4.4499999999999984</v>
      </c>
      <c r="DC39" s="51">
        <f>'LINEST VARS'!$U$52+'LINEST VARS'!$T$52*(8)+'LINEST VARS'!$S$52*(8)+'LINEST VARS'!$R$52*($DC$32)+'LINEST VARS'!$Q$52*(0.5)+'LINEST VARS'!$P$52*($CX39)+'LINEST VARS'!$O$52*(8^2)+'LINEST VARS'!$N$52*(8^2)+'LINEST VARS'!$M$52*($DC$32^2)+'LINEST VARS'!$L$52*(0.5^2)+'LINEST VARS'!$K$52*($CX39^2)+'LINEST VARS'!$J$52*(8*8)+'LINEST VARS'!$I$52*(8*$DC$32)+'LINEST VARS'!$H$52*(8*0.5)+'LINEST VARS'!$G$52*(8*$CX39)+'LINEST VARS'!$F$52*(8*$DC$32)+'LINEST VARS'!$E$52*(8*0.5)+'LINEST VARS'!$D$52*(8*$CX39)+'LINEST VARS'!$C$52*($DC$32*0.5)+'LINEST VARS'!$B$52*($DC$32*$CX39)+'LINEST VARS'!$A$52*(0.5*$CX39)</f>
        <v>4.4499999999999984</v>
      </c>
      <c r="DD39" s="51">
        <f>'LINEST VARS'!$U$52+'LINEST VARS'!$T$52*(8)+'LINEST VARS'!$S$52*(8)+'LINEST VARS'!$R$52*($DD$32)+'LINEST VARS'!$Q$52*(0.5)+'LINEST VARS'!$P$52*($CX39)+'LINEST VARS'!$O$52*(8^2)+'LINEST VARS'!$N$52*(8^2)+'LINEST VARS'!$M$52*($DD$32^2)+'LINEST VARS'!$L$52*(0.5^2)+'LINEST VARS'!$K$52*($CX39^2)+'LINEST VARS'!$J$52*(8*8)+'LINEST VARS'!$I$52*(8*$DD$32)+'LINEST VARS'!$H$52*(8*0.5)+'LINEST VARS'!$G$52*(8*$CX39)+'LINEST VARS'!$F$52*(8*$DD$32)+'LINEST VARS'!$E$52*(8*0.5)+'LINEST VARS'!$D$52*(8*$CX39)+'LINEST VARS'!$C$52*($DD$32*0.5)+'LINEST VARS'!$B$52*($DD$32*$CX39)+'LINEST VARS'!$A$52*(0.5*$CX39)</f>
        <v>4.4499999999999984</v>
      </c>
      <c r="DE39" s="51">
        <f>'LINEST VARS'!$U$52+'LINEST VARS'!$T$52*(8)+'LINEST VARS'!$S$52*(8)+'LINEST VARS'!$R$52*($DE$32)+'LINEST VARS'!$Q$52*(0.5)+'LINEST VARS'!$P$52*($CX39)+'LINEST VARS'!$O$52*(8^2)+'LINEST VARS'!$N$52*(8^2)+'LINEST VARS'!$M$52*($DE$32^2)+'LINEST VARS'!$L$52*(0.5^2)+'LINEST VARS'!$K$52*($CX39^2)+'LINEST VARS'!$J$52*(8*8)+'LINEST VARS'!$I$52*(8*$DE$32)+'LINEST VARS'!$H$52*(8*0.5)+'LINEST VARS'!$G$52*(8*$CX39)+'LINEST VARS'!$F$52*(8*$DE$32)+'LINEST VARS'!$E$52*(8*0.5)+'LINEST VARS'!$D$52*(8*$CX39)+'LINEST VARS'!$C$52*($DE$32*0.5)+'LINEST VARS'!$B$52*($DE$32*$CX39)+'LINEST VARS'!$A$52*(0.5*$CX39)</f>
        <v>4.4499999999999984</v>
      </c>
      <c r="DF39" s="51">
        <f>'LINEST VARS'!$U$52+'LINEST VARS'!$T$52*(8)+'LINEST VARS'!$S$52*(8)+'LINEST VARS'!$R$52*($DF$32)+'LINEST VARS'!$Q$52*(0.5)+'LINEST VARS'!$P$52*($CX39)+'LINEST VARS'!$O$52*(8^2)+'LINEST VARS'!$N$52*(8^2)+'LINEST VARS'!$M$52*($DF$32^2)+'LINEST VARS'!$L$52*(0.5^2)+'LINEST VARS'!$K$52*($CX39^2)+'LINEST VARS'!$J$52*(8*8)+'LINEST VARS'!$I$52*(8*$DF$32)+'LINEST VARS'!$H$52*(8*0.5)+'LINEST VARS'!$G$52*(8*$CX39)+'LINEST VARS'!$F$52*(8*$DF$32)+'LINEST VARS'!$E$52*(8*0.5)+'LINEST VARS'!$D$52*(8*$CX39)+'LINEST VARS'!$C$52*($DF$32*0.5)+'LINEST VARS'!$B$52*($DF$32*$CX39)+'LINEST VARS'!$A$52*(0.5*$CX39)</f>
        <v>4.4499999999999984</v>
      </c>
      <c r="DG39" s="51">
        <f>'LINEST VARS'!$U$52+'LINEST VARS'!$T$52*(8)+'LINEST VARS'!$S$52*(8)+'LINEST VARS'!$R$52*($DG$32)+'LINEST VARS'!$Q$52*(0.5)+'LINEST VARS'!$P$52*($CX39)+'LINEST VARS'!$O$52*(8^2)+'LINEST VARS'!$N$52*(8^2)+'LINEST VARS'!$M$52*($DG$32^2)+'LINEST VARS'!$L$52*(0.5^2)+'LINEST VARS'!$K$52*($CX39^2)+'LINEST VARS'!$J$52*(8*8)+'LINEST VARS'!$I$52*(8*$DG$32)+'LINEST VARS'!$H$52*(8*0.5)+'LINEST VARS'!$G$52*(8*$CX39)+'LINEST VARS'!$F$52*(8*$DG$32)+'LINEST VARS'!$E$52*(8*0.5)+'LINEST VARS'!$D$52*(8*$CX39)+'LINEST VARS'!$C$52*($DG$32*0.5)+'LINEST VARS'!$B$52*($DG$32*$CX39)+'LINEST VARS'!$A$52*(0.5*$CX39)</f>
        <v>4.4499999999999984</v>
      </c>
      <c r="DH39" s="51">
        <f>'LINEST VARS'!$U$52+'LINEST VARS'!$T$52*(8)+'LINEST VARS'!$S$52*(8)+'LINEST VARS'!$R$52*($DH$32)+'LINEST VARS'!$Q$52*(0.5)+'LINEST VARS'!$P$52*($CX39)+'LINEST VARS'!$O$52*(8^2)+'LINEST VARS'!$N$52*(8^2)+'LINEST VARS'!$M$52*($DH$32^2)+'LINEST VARS'!$L$52*(0.5^2)+'LINEST VARS'!$K$52*($CX39^2)+'LINEST VARS'!$J$52*(8*8)+'LINEST VARS'!$I$52*(8*$DH$32)+'LINEST VARS'!$H$52*(8*0.5)+'LINEST VARS'!$G$52*(8*$CX39)+'LINEST VARS'!$F$52*(8*$DH$32)+'LINEST VARS'!$E$52*(8*0.5)+'LINEST VARS'!$D$52*(8*$CX39)+'LINEST VARS'!$C$52*($DH$32*0.5)+'LINEST VARS'!$B$52*($DH$32*$CX39)+'LINEST VARS'!$A$52*(0.5*$CX39)</f>
        <v>4.4499999999999984</v>
      </c>
      <c r="DI39" s="51">
        <f>'LINEST VARS'!$U$52+'LINEST VARS'!$T$52*(8)+'LINEST VARS'!$S$52*(8)+'LINEST VARS'!$R$52*($DI$32)+'LINEST VARS'!$Q$52*(0.5)+'LINEST VARS'!$P$52*($CX39)+'LINEST VARS'!$O$52*(8^2)+'LINEST VARS'!$N$52*(8^2)+'LINEST VARS'!$M$52*($DI$32^2)+'LINEST VARS'!$L$52*(0.5^2)+'LINEST VARS'!$K$52*($CX39^2)+'LINEST VARS'!$J$52*(8*8)+'LINEST VARS'!$I$52*(8*$DI$32)+'LINEST VARS'!$H$52*(8*0.5)+'LINEST VARS'!$G$52*(8*$CX39)+'LINEST VARS'!$F$52*(8*$DI$32)+'LINEST VARS'!$E$52*(8*0.5)+'LINEST VARS'!$D$52*(8*$CX39)+'LINEST VARS'!$C$52*($DI$32*0.5)+'LINEST VARS'!$B$52*($DI$32*$CX39)+'LINEST VARS'!$A$52*(0.5*$CX39)</f>
        <v>4.4499999999999984</v>
      </c>
      <c r="DJ39" s="51">
        <f>'LINEST VARS'!$U$52+'LINEST VARS'!$T$52*(8)+'LINEST VARS'!$S$52*(8)+'LINEST VARS'!$R$52*($DJ$32)+'LINEST VARS'!$Q$52*(0.5)+'LINEST VARS'!$P$52*($CX39)+'LINEST VARS'!$O$52*(8^2)+'LINEST VARS'!$N$52*(8^2)+'LINEST VARS'!$M$52*($DJ$32^2)+'LINEST VARS'!$L$52*(0.5^2)+'LINEST VARS'!$K$52*($CX39^2)+'LINEST VARS'!$J$52*(8*8)+'LINEST VARS'!$I$52*(8*$DJ$32)+'LINEST VARS'!$H$52*(8*0.5)+'LINEST VARS'!$G$52*(8*$CX39)+'LINEST VARS'!$F$52*(8*$DJ$32)+'LINEST VARS'!$E$52*(8*0.5)+'LINEST VARS'!$D$52*(8*$CX39)+'LINEST VARS'!$C$52*($DJ$32*0.5)+'LINEST VARS'!$B$52*($DJ$32*$CX39)+'LINEST VARS'!$A$52*(0.5*$CX39)</f>
        <v>4.4499999999999984</v>
      </c>
      <c r="DK39" s="51">
        <f>'LINEST VARS'!$U$52+'LINEST VARS'!$T$52*(8)+'LINEST VARS'!$S$52*(8)+'LINEST VARS'!$R$52*($DK$32)+'LINEST VARS'!$Q$52*(0.5)+'LINEST VARS'!$P$52*($CX39)+'LINEST VARS'!$O$52*(8^2)+'LINEST VARS'!$N$52*(8^2)+'LINEST VARS'!$M$52*($DK$32^2)+'LINEST VARS'!$L$52*(0.5^2)+'LINEST VARS'!$K$52*($CX39^2)+'LINEST VARS'!$J$52*(8*8)+'LINEST VARS'!$I$52*(8*$DK$32)+'LINEST VARS'!$H$52*(8*0.5)+'LINEST VARS'!$G$52*(8*$CX39)+'LINEST VARS'!$F$52*(8*$DK$32)+'LINEST VARS'!$E$52*(8*0.5)+'LINEST VARS'!$D$52*(8*$CX39)+'LINEST VARS'!$C$52*($DK$32*0.5)+'LINEST VARS'!$B$52*($DK$32*$CX39)+'LINEST VARS'!$A$52*(0.5*$CX39)</f>
        <v>4.4499999999999984</v>
      </c>
      <c r="DL39" s="51">
        <f>'LINEST VARS'!$U$52+'LINEST VARS'!$T$52*(8)+'LINEST VARS'!$S$52*(8)+'LINEST VARS'!$R$52*($DL$32)+'LINEST VARS'!$Q$52*(0.5)+'LINEST VARS'!$P$52*($CX39)+'LINEST VARS'!$O$52*(8^2)+'LINEST VARS'!$N$52*(8^2)+'LINEST VARS'!$M$52*($DL$32^2)+'LINEST VARS'!$L$52*(0.5^2)+'LINEST VARS'!$K$52*($CX39^2)+'LINEST VARS'!$J$52*(8*8)+'LINEST VARS'!$I$52*(8*$DL$32)+'LINEST VARS'!$H$52*(8*0.5)+'LINEST VARS'!$G$52*(8*$CX39)+'LINEST VARS'!$F$52*(8*$DL$32)+'LINEST VARS'!$E$52*(8*0.5)+'LINEST VARS'!$D$52*(8*$CX39)+'LINEST VARS'!$C$52*($DL$32*0.5)+'LINEST VARS'!$B$52*($DL$32*$CX39)+'LINEST VARS'!$A$52*(0.5*$CX39)</f>
        <v>4.4499999999999984</v>
      </c>
      <c r="DM39" s="51">
        <f>'LINEST VARS'!$U$52+'LINEST VARS'!$T$52*(8)+'LINEST VARS'!$S$52*(8)+'LINEST VARS'!$R$52*($DM$32)+'LINEST VARS'!$Q$52*(0.5)+'LINEST VARS'!$P$52*($CX39)+'LINEST VARS'!$O$52*(8^2)+'LINEST VARS'!$N$52*(8^2)+'LINEST VARS'!$M$52*($DM$32^2)+'LINEST VARS'!$L$52*(0.5^2)+'LINEST VARS'!$K$52*($CX39^2)+'LINEST VARS'!$J$52*(8*8)+'LINEST VARS'!$I$52*(8*$DM$32)+'LINEST VARS'!$H$52*(8*0.5)+'LINEST VARS'!$G$52*(8*$CX39)+'LINEST VARS'!$F$52*(8*$DM$32)+'LINEST VARS'!$E$52*(8*0.5)+'LINEST VARS'!$D$52*(8*$CX39)+'LINEST VARS'!$C$52*($DM$32*0.5)+'LINEST VARS'!$B$52*($DM$32*$CX39)+'LINEST VARS'!$A$52*(0.5*$CX39)</f>
        <v>4.4499999999999984</v>
      </c>
      <c r="DN39" s="51">
        <f>'LINEST VARS'!$U$52+'LINEST VARS'!$T$52*(8)+'LINEST VARS'!$S$52*(8)+'LINEST VARS'!$R$52*($DN$32)+'LINEST VARS'!$Q$52*(0.5)+'LINEST VARS'!$P$52*($CX39)+'LINEST VARS'!$O$52*(8^2)+'LINEST VARS'!$N$52*(8^2)+'LINEST VARS'!$M$52*($DN$32^2)+'LINEST VARS'!$L$52*(0.5^2)+'LINEST VARS'!$K$52*($CX39^2)+'LINEST VARS'!$J$52*(8*8)+'LINEST VARS'!$I$52*(8*$DN$32)+'LINEST VARS'!$H$52*(8*0.5)+'LINEST VARS'!$G$52*(8*$CX39)+'LINEST VARS'!$F$52*(8*$DN$32)+'LINEST VARS'!$E$52*(8*0.5)+'LINEST VARS'!$D$52*(8*$CX39)+'LINEST VARS'!$C$52*($DN$32*0.5)+'LINEST VARS'!$B$52*($DN$32*$CX39)+'LINEST VARS'!$A$52*(0.5*$CX39)</f>
        <v>4.4499999999999984</v>
      </c>
      <c r="DO39" s="51">
        <f>'LINEST VARS'!$U$52+'LINEST VARS'!$T$52*(8)+'LINEST VARS'!$S$52*(8)+'LINEST VARS'!$R$52*($DO$32)+'LINEST VARS'!$Q$52*(0.5)+'LINEST VARS'!$P$52*($CX39)+'LINEST VARS'!$O$52*(8^2)+'LINEST VARS'!$N$52*(8^2)+'LINEST VARS'!$M$52*($DO$32^2)+'LINEST VARS'!$L$52*(0.5^2)+'LINEST VARS'!$K$52*($CX39^2)+'LINEST VARS'!$J$52*(8*8)+'LINEST VARS'!$I$52*(8*$DO$32)+'LINEST VARS'!$H$52*(8*0.5)+'LINEST VARS'!$G$52*(8*$CX39)+'LINEST VARS'!$F$52*(8*$DO$32)+'LINEST VARS'!$E$52*(8*0.5)+'LINEST VARS'!$D$52*(8*$CX39)+'LINEST VARS'!$C$52*($DO$32*0.5)+'LINEST VARS'!$B$52*($DO$32*$CX39)+'LINEST VARS'!$A$52*(0.5*$CX39)</f>
        <v>4.4499999999999984</v>
      </c>
      <c r="DP39" s="51">
        <f>'LINEST VARS'!$U$52+'LINEST VARS'!$T$52*(8)+'LINEST VARS'!$S$52*(8)+'LINEST VARS'!$R$52*($DP$32)+'LINEST VARS'!$Q$52*(0.5)+'LINEST VARS'!$P$52*($CX39)+'LINEST VARS'!$O$52*(8^2)+'LINEST VARS'!$N$52*(8^2)+'LINEST VARS'!$M$52*($DP$32^2)+'LINEST VARS'!$L$52*(0.5^2)+'LINEST VARS'!$K$52*($CX39^2)+'LINEST VARS'!$J$52*(8*8)+'LINEST VARS'!$I$52*(8*$DP$32)+'LINEST VARS'!$H$52*(8*0.5)+'LINEST VARS'!$G$52*(8*$CX39)+'LINEST VARS'!$F$52*(8*$DP$32)+'LINEST VARS'!$E$52*(8*0.5)+'LINEST VARS'!$D$52*(8*$CX39)+'LINEST VARS'!$C$52*($DP$32*0.5)+'LINEST VARS'!$B$52*($DP$32*$CX39)+'LINEST VARS'!$A$52*(0.5*$CX39)</f>
        <v>4.4499999999999984</v>
      </c>
      <c r="DQ39" s="51">
        <f>'LINEST VARS'!$U$52+'LINEST VARS'!$T$52*(8)+'LINEST VARS'!$S$52*(8)+'LINEST VARS'!$R$52*($DQ$32)+'LINEST VARS'!$Q$52*(0.5)+'LINEST VARS'!$P$52*($CX39)+'LINEST VARS'!$O$52*(8^2)+'LINEST VARS'!$N$52*(8^2)+'LINEST VARS'!$M$52*($DQ$32^2)+'LINEST VARS'!$L$52*(0.5^2)+'LINEST VARS'!$K$52*($CX39^2)+'LINEST VARS'!$J$52*(8*8)+'LINEST VARS'!$I$52*(8*$DQ$32)+'LINEST VARS'!$H$52*(8*0.5)+'LINEST VARS'!$G$52*(8*$CX39)+'LINEST VARS'!$F$52*(8*$DQ$32)+'LINEST VARS'!$E$52*(8*0.5)+'LINEST VARS'!$D$52*(8*$CX39)+'LINEST VARS'!$C$52*($DQ$32*0.5)+'LINEST VARS'!$B$52*($DQ$32*$CX39)+'LINEST VARS'!$A$52*(0.5*$CX39)</f>
        <v>4.4499999999999984</v>
      </c>
      <c r="DR39" s="51">
        <f>'LINEST VARS'!$U$52+'LINEST VARS'!$T$52*(8)+'LINEST VARS'!$S$52*(8)+'LINEST VARS'!$R$52*($DR$32)+'LINEST VARS'!$Q$52*(0.5)+'LINEST VARS'!$P$52*($CX39)+'LINEST VARS'!$O$52*(8^2)+'LINEST VARS'!$N$52*(8^2)+'LINEST VARS'!$M$52*($DR$32^2)+'LINEST VARS'!$L$52*(0.5^2)+'LINEST VARS'!$K$52*($CX39^2)+'LINEST VARS'!$J$52*(8*8)+'LINEST VARS'!$I$52*(8*$DR$32)+'LINEST VARS'!$H$52*(8*0.5)+'LINEST VARS'!$G$52*(8*$CX39)+'LINEST VARS'!$F$52*(8*$DR$32)+'LINEST VARS'!$E$52*(8*0.5)+'LINEST VARS'!$D$52*(8*$CX39)+'LINEST VARS'!$C$52*($DR$32*0.5)+'LINEST VARS'!$B$52*($DR$32*$CX39)+'LINEST VARS'!$A$52*(0.5*$CX39)</f>
        <v>4.4499999999999984</v>
      </c>
      <c r="DS39" s="52">
        <f>'LINEST VARS'!$U$52+'LINEST VARS'!$T$52*(8)+'LINEST VARS'!$S$52*(8)+'LINEST VARS'!$R$52*($DS$32)+'LINEST VARS'!$Q$52*(0.5)+'LINEST VARS'!$P$52*($CX39)+'LINEST VARS'!$O$52*(8^2)+'LINEST VARS'!$N$52*(8^2)+'LINEST VARS'!$M$52*($DS$32^2)+'LINEST VARS'!$L$52*(0.5^2)+'LINEST VARS'!$K$52*($CX39^2)+'LINEST VARS'!$J$52*(8*8)+'LINEST VARS'!$I$52*(8*$DS$32)+'LINEST VARS'!$H$52*(8*0.5)+'LINEST VARS'!$G$52*(8*$CX39)+'LINEST VARS'!$F$52*(8*$DS$32)+'LINEST VARS'!$E$52*(8*0.5)+'LINEST VARS'!$D$52*(8*$CX39)+'LINEST VARS'!$C$52*($DS$32*0.5)+'LINEST VARS'!$B$52*($DS$32*$CX39)+'LINEST VARS'!$A$52*(0.5*$CX39)</f>
        <v>4.4499999999999984</v>
      </c>
      <c r="DV39" s="45">
        <v>7.7969999999999997</v>
      </c>
      <c r="DW39" s="51">
        <f>'LINEST VARS'!$U$54+'LINEST VARS'!$T$54*(8)+'LINEST VARS'!$S$54*(8)+'LINEST VARS'!$R$54*($DW$32)+'LINEST VARS'!$Q$54*(0.5)+'LINEST VARS'!$P$54*($DV39)+'LINEST VARS'!$O$54*(8^2)+'LINEST VARS'!$N$54*(8^2)+'LINEST VARS'!$M$54*($DW$32^2)+'LINEST VARS'!$L$54*(0.5^2)+'LINEST VARS'!$K$54*($DV39^2)+'LINEST VARS'!$J$54*(8*8)+'LINEST VARS'!$I$54*(8*$DW$32)+'LINEST VARS'!$H$54*(8*0.5)+'LINEST VARS'!$G$54*(8*$DV39)+'LINEST VARS'!$F$54*(8*$DW$32)+'LINEST VARS'!$E$54*(8*0.5)+'LINEST VARS'!$D$54*(8*$DV39)+'LINEST VARS'!$C$54*($DW$32*0.5)+'LINEST VARS'!$B$54*($DW$32*$DV39)+'LINEST VARS'!$A$54*(0.5*$DV39)</f>
        <v>3.9749999999999996</v>
      </c>
      <c r="DX39" s="51">
        <f>'LINEST VARS'!$U$54+'LINEST VARS'!$T$54*(8)+'LINEST VARS'!$S$54*(8)+'LINEST VARS'!$R$54*($DX$32)+'LINEST VARS'!$Q$54*(0.5)+'LINEST VARS'!$P$54*($DV39)+'LINEST VARS'!$O$54*(8^2)+'LINEST VARS'!$N$54*(8^2)+'LINEST VARS'!$M$54*($DX$32^2)+'LINEST VARS'!$L$54*(0.5^2)+'LINEST VARS'!$K$54*($DV39^2)+'LINEST VARS'!$J$54*(8*8)+'LINEST VARS'!$I$54*(8*$DX$32)+'LINEST VARS'!$H$54*(8*0.5)+'LINEST VARS'!$G$54*(8*$DV39)+'LINEST VARS'!$F$54*(8*$DX$32)+'LINEST VARS'!$E$54*(8*0.5)+'LINEST VARS'!$D$54*(8*$DV39)+'LINEST VARS'!$C$54*($DX$32*0.5)+'LINEST VARS'!$B$54*($DX$32*$DV39)+'LINEST VARS'!$A$54*(0.5*$DV39)</f>
        <v>3.9749999999999996</v>
      </c>
      <c r="DY39" s="51">
        <f>'LINEST VARS'!$U$54+'LINEST VARS'!$T$54*(8)+'LINEST VARS'!$S$54*(8)+'LINEST VARS'!$R$54*($DY$32)+'LINEST VARS'!$Q$54*(0.5)+'LINEST VARS'!$P$54*($DV39)+'LINEST VARS'!$O$54*(8^2)+'LINEST VARS'!$N$54*(8^2)+'LINEST VARS'!$M$54*($DY$32^2)+'LINEST VARS'!$L$54*(0.5^2)+'LINEST VARS'!$K$54*($DV39^2)+'LINEST VARS'!$J$54*(8*8)+'LINEST VARS'!$I$54*(8*$DY$32)+'LINEST VARS'!$H$54*(8*0.5)+'LINEST VARS'!$G$54*(8*$DV39)+'LINEST VARS'!$F$54*(8*$DY$32)+'LINEST VARS'!$E$54*(8*0.5)+'LINEST VARS'!$D$54*(8*$DV39)+'LINEST VARS'!$C$54*($DY$32*0.5)+'LINEST VARS'!$B$54*($DY$32*$DV39)+'LINEST VARS'!$A$54*(0.5*$DV39)</f>
        <v>3.9749999999999996</v>
      </c>
      <c r="DZ39" s="51">
        <f>'LINEST VARS'!$U$54+'LINEST VARS'!$T$54*(8)+'LINEST VARS'!$S$54*(8)+'LINEST VARS'!$R$54*($DZ$32)+'LINEST VARS'!$Q$54*(0.5)+'LINEST VARS'!$P$54*($DV39)+'LINEST VARS'!$O$54*(8^2)+'LINEST VARS'!$N$54*(8^2)+'LINEST VARS'!$M$54*($DZ$32^2)+'LINEST VARS'!$L$54*(0.5^2)+'LINEST VARS'!$K$54*($DV39^2)+'LINEST VARS'!$J$54*(8*8)+'LINEST VARS'!$I$54*(8*$DZ$32)+'LINEST VARS'!$H$54*(8*0.5)+'LINEST VARS'!$G$54*(8*$DV39)+'LINEST VARS'!$F$54*(8*$DZ$32)+'LINEST VARS'!$E$54*(8*0.5)+'LINEST VARS'!$D$54*(8*$DV39)+'LINEST VARS'!$C$54*($DZ$32*0.5)+'LINEST VARS'!$B$54*($DZ$32*$DV39)+'LINEST VARS'!$A$54*(0.5*$DV39)</f>
        <v>3.9749999999999996</v>
      </c>
      <c r="EA39" s="51">
        <f>'LINEST VARS'!$U$54+'LINEST VARS'!$T$54*(8)+'LINEST VARS'!$S$54*(8)+'LINEST VARS'!$R$54*($EA$32)+'LINEST VARS'!$Q$54*(0.5)+'LINEST VARS'!$P$54*($DV39)+'LINEST VARS'!$O$54*(8^2)+'LINEST VARS'!$N$54*(8^2)+'LINEST VARS'!$M$54*($EA$32^2)+'LINEST VARS'!$L$54*(0.5^2)+'LINEST VARS'!$K$54*($DV39^2)+'LINEST VARS'!$J$54*(8*8)+'LINEST VARS'!$I$54*(8*$EA$32)+'LINEST VARS'!$H$54*(8*0.5)+'LINEST VARS'!$G$54*(8*$DV39)+'LINEST VARS'!$F$54*(8*$EA$32)+'LINEST VARS'!$E$54*(8*0.5)+'LINEST VARS'!$D$54*(8*$DV39)+'LINEST VARS'!$C$54*($EA$32*0.5)+'LINEST VARS'!$B$54*($EA$32*$DV39)+'LINEST VARS'!$A$54*(0.5*$DV39)</f>
        <v>3.9749999999999996</v>
      </c>
      <c r="EB39" s="51">
        <f>'LINEST VARS'!$U$54+'LINEST VARS'!$T$54*(8)+'LINEST VARS'!$S$54*(8)+'LINEST VARS'!$R$54*($EB$32)+'LINEST VARS'!$Q$54*(0.5)+'LINEST VARS'!$P$54*($DV39)+'LINEST VARS'!$O$54*(8^2)+'LINEST VARS'!$N$54*(8^2)+'LINEST VARS'!$M$54*($EB$32^2)+'LINEST VARS'!$L$54*(0.5^2)+'LINEST VARS'!$K$54*($DV39^2)+'LINEST VARS'!$J$54*(8*8)+'LINEST VARS'!$I$54*(8*$EB$32)+'LINEST VARS'!$H$54*(8*0.5)+'LINEST VARS'!$G$54*(8*$DV39)+'LINEST VARS'!$F$54*(8*$EB$32)+'LINEST VARS'!$E$54*(8*0.5)+'LINEST VARS'!$D$54*(8*$DV39)+'LINEST VARS'!$C$54*($EB$32*0.5)+'LINEST VARS'!$B$54*($EB$32*$DV39)+'LINEST VARS'!$A$54*(0.5*$DV39)</f>
        <v>3.9749999999999996</v>
      </c>
      <c r="EC39" s="51">
        <f>'LINEST VARS'!$U$54+'LINEST VARS'!$T$54*(8)+'LINEST VARS'!$S$54*(8)+'LINEST VARS'!$R$54*($EC$32)+'LINEST VARS'!$Q$54*(0.5)+'LINEST VARS'!$P$54*($DV39)+'LINEST VARS'!$O$54*(8^2)+'LINEST VARS'!$N$54*(8^2)+'LINEST VARS'!$M$54*($EC$32^2)+'LINEST VARS'!$L$54*(0.5^2)+'LINEST VARS'!$K$54*($DV39^2)+'LINEST VARS'!$J$54*(8*8)+'LINEST VARS'!$I$54*(8*$EC$32)+'LINEST VARS'!$H$54*(8*0.5)+'LINEST VARS'!$G$54*(8*$DV39)+'LINEST VARS'!$F$54*(8*$EC$32)+'LINEST VARS'!$E$54*(8*0.5)+'LINEST VARS'!$D$54*(8*$DV39)+'LINEST VARS'!$C$54*($EC$32*0.5)+'LINEST VARS'!$B$54*($EC$32*$DV39)+'LINEST VARS'!$A$54*(0.5*$DV39)</f>
        <v>3.9749999999999996</v>
      </c>
      <c r="ED39" s="51">
        <f>'LINEST VARS'!$U$54+'LINEST VARS'!$T$54*(8)+'LINEST VARS'!$S$54*(8)+'LINEST VARS'!$R$54*($ED$32)+'LINEST VARS'!$Q$54*(0.5)+'LINEST VARS'!$P$54*($DV39)+'LINEST VARS'!$O$54*(8^2)+'LINEST VARS'!$N$54*(8^2)+'LINEST VARS'!$M$54*($ED$32^2)+'LINEST VARS'!$L$54*(0.5^2)+'LINEST VARS'!$K$54*($DV39^2)+'LINEST VARS'!$J$54*(8*8)+'LINEST VARS'!$I$54*(8*$ED$32)+'LINEST VARS'!$H$54*(8*0.5)+'LINEST VARS'!$G$54*(8*$DV39)+'LINEST VARS'!$F$54*(8*$ED$32)+'LINEST VARS'!$E$54*(8*0.5)+'LINEST VARS'!$D$54*(8*$DV39)+'LINEST VARS'!$C$54*($ED$32*0.5)+'LINEST VARS'!$B$54*($ED$32*$DV39)+'LINEST VARS'!$A$54*(0.5*$DV39)</f>
        <v>3.9749999999999996</v>
      </c>
      <c r="EE39" s="51">
        <f>'LINEST VARS'!$U$54+'LINEST VARS'!$T$54*(8)+'LINEST VARS'!$S$54*(8)+'LINEST VARS'!$R$54*($EE$32)+'LINEST VARS'!$Q$54*(0.5)+'LINEST VARS'!$P$54*($DV39)+'LINEST VARS'!$O$54*(8^2)+'LINEST VARS'!$N$54*(8^2)+'LINEST VARS'!$M$54*($EE$32^2)+'LINEST VARS'!$L$54*(0.5^2)+'LINEST VARS'!$K$54*($DV39^2)+'LINEST VARS'!$J$54*(8*8)+'LINEST VARS'!$I$54*(8*$EE$32)+'LINEST VARS'!$H$54*(8*0.5)+'LINEST VARS'!$G$54*(8*$DV39)+'LINEST VARS'!$F$54*(8*$EE$32)+'LINEST VARS'!$E$54*(8*0.5)+'LINEST VARS'!$D$54*(8*$DV39)+'LINEST VARS'!$C$54*($EE$32*0.5)+'LINEST VARS'!$B$54*($EE$32*$DV39)+'LINEST VARS'!$A$54*(0.5*$DV39)</f>
        <v>3.9749999999999996</v>
      </c>
      <c r="EF39" s="51">
        <f>'LINEST VARS'!$U$54+'LINEST VARS'!$T$54*(8)+'LINEST VARS'!$S$54*(8)+'LINEST VARS'!$R$54*($EF$32)+'LINEST VARS'!$Q$54*(0.5)+'LINEST VARS'!$P$54*($DV39)+'LINEST VARS'!$O$54*(8^2)+'LINEST VARS'!$N$54*(8^2)+'LINEST VARS'!$M$54*($EF$32^2)+'LINEST VARS'!$L$54*(0.5^2)+'LINEST VARS'!$K$54*($DV39^2)+'LINEST VARS'!$J$54*(8*8)+'LINEST VARS'!$I$54*(8*$EF$32)+'LINEST VARS'!$H$54*(8*0.5)+'LINEST VARS'!$G$54*(8*$DV39)+'LINEST VARS'!$F$54*(8*$EF$32)+'LINEST VARS'!$E$54*(8*0.5)+'LINEST VARS'!$D$54*(8*$DV39)+'LINEST VARS'!$C$54*($EF$32*0.5)+'LINEST VARS'!$B$54*($EF$32*$DV39)+'LINEST VARS'!$A$54*(0.5*$DV39)</f>
        <v>3.9749999999999996</v>
      </c>
      <c r="EG39" s="51">
        <f>'LINEST VARS'!$U$54+'LINEST VARS'!$T$54*(8)+'LINEST VARS'!$S$54*(8)+'LINEST VARS'!$R$54*($EG$32)+'LINEST VARS'!$Q$54*(0.5)+'LINEST VARS'!$P$54*($DV39)+'LINEST VARS'!$O$54*(8^2)+'LINEST VARS'!$N$54*(8^2)+'LINEST VARS'!$M$54*($EG$32^2)+'LINEST VARS'!$L$54*(0.5^2)+'LINEST VARS'!$K$54*($DV39^2)+'LINEST VARS'!$J$54*(8*8)+'LINEST VARS'!$I$54*(8*$EG$32)+'LINEST VARS'!$H$54*(8*0.5)+'LINEST VARS'!$G$54*(8*$DV39)+'LINEST VARS'!$F$54*(8*$EG$32)+'LINEST VARS'!$E$54*(8*0.5)+'LINEST VARS'!$D$54*(8*$DV39)+'LINEST VARS'!$C$54*($EG$32*0.5)+'LINEST VARS'!$B$54*($EG$32*$DV39)+'LINEST VARS'!$A$54*(0.5*$DV39)</f>
        <v>3.9749999999999996</v>
      </c>
      <c r="EH39" s="51">
        <f>'LINEST VARS'!$U$54+'LINEST VARS'!$T$54*(8)+'LINEST VARS'!$S$54*(8)+'LINEST VARS'!$R$54*($EH$32)+'LINEST VARS'!$Q$54*(0.5)+'LINEST VARS'!$P$54*($DV39)+'LINEST VARS'!$O$54*(8^2)+'LINEST VARS'!$N$54*(8^2)+'LINEST VARS'!$M$54*($EH$32^2)+'LINEST VARS'!$L$54*(0.5^2)+'LINEST VARS'!$K$54*($DV39^2)+'LINEST VARS'!$J$54*(8*8)+'LINEST VARS'!$I$54*(8*$EH$32)+'LINEST VARS'!$H$54*(8*0.5)+'LINEST VARS'!$G$54*(8*$DV39)+'LINEST VARS'!$F$54*(8*$EH$32)+'LINEST VARS'!$E$54*(8*0.5)+'LINEST VARS'!$D$54*(8*$DV39)+'LINEST VARS'!$C$54*($EH$32*0.5)+'LINEST VARS'!$B$54*($EH$32*$DV39)+'LINEST VARS'!$A$54*(0.5*$DV39)</f>
        <v>3.9749999999999996</v>
      </c>
      <c r="EI39" s="51">
        <f>'LINEST VARS'!$U$54+'LINEST VARS'!$T$54*(8)+'LINEST VARS'!$S$54*(8)+'LINEST VARS'!$R$54*($EI$32)+'LINEST VARS'!$Q$54*(0.5)+'LINEST VARS'!$P$54*($DV39)+'LINEST VARS'!$O$54*(8^2)+'LINEST VARS'!$N$54*(8^2)+'LINEST VARS'!$M$54*($EI$32^2)+'LINEST VARS'!$L$54*(0.5^2)+'LINEST VARS'!$K$54*($DV39^2)+'LINEST VARS'!$J$54*(8*8)+'LINEST VARS'!$I$54*(8*$EI$32)+'LINEST VARS'!$H$54*(8*0.5)+'LINEST VARS'!$G$54*(8*$DV39)+'LINEST VARS'!$F$54*(8*$EI$32)+'LINEST VARS'!$E$54*(8*0.5)+'LINEST VARS'!$D$54*(8*$DV39)+'LINEST VARS'!$C$54*($EI$32*0.5)+'LINEST VARS'!$B$54*($EI$32*$DV39)+'LINEST VARS'!$A$54*(0.5*$DV39)</f>
        <v>3.9749999999999996</v>
      </c>
      <c r="EJ39" s="51">
        <f>'LINEST VARS'!$U$54+'LINEST VARS'!$T$54*(8)+'LINEST VARS'!$S$54*(8)+'LINEST VARS'!$R$54*($EJ$32)+'LINEST VARS'!$Q$54*(0.5)+'LINEST VARS'!$P$54*($DV39)+'LINEST VARS'!$O$54*(8^2)+'LINEST VARS'!$N$54*(8^2)+'LINEST VARS'!$M$54*($EJ$32^2)+'LINEST VARS'!$L$54*(0.5^2)+'LINEST VARS'!$K$54*($DV39^2)+'LINEST VARS'!$J$54*(8*8)+'LINEST VARS'!$I$54*(8*$EJ$32)+'LINEST VARS'!$H$54*(8*0.5)+'LINEST VARS'!$G$54*(8*$DV39)+'LINEST VARS'!$F$54*(8*$EJ$32)+'LINEST VARS'!$E$54*(8*0.5)+'LINEST VARS'!$D$54*(8*$DV39)+'LINEST VARS'!$C$54*($EJ$32*0.5)+'LINEST VARS'!$B$54*($EJ$32*$DV39)+'LINEST VARS'!$A$54*(0.5*$DV39)</f>
        <v>3.9749999999999996</v>
      </c>
      <c r="EK39" s="51">
        <f>'LINEST VARS'!$U$54+'LINEST VARS'!$T$54*(8)+'LINEST VARS'!$S$54*(8)+'LINEST VARS'!$R$54*($EK$32)+'LINEST VARS'!$Q$54*(0.5)+'LINEST VARS'!$P$54*($DV39)+'LINEST VARS'!$O$54*(8^2)+'LINEST VARS'!$N$54*(8^2)+'LINEST VARS'!$M$54*($EK$32^2)+'LINEST VARS'!$L$54*(0.5^2)+'LINEST VARS'!$K$54*($DV39^2)+'LINEST VARS'!$J$54*(8*8)+'LINEST VARS'!$I$54*(8*$EK$32)+'LINEST VARS'!$H$54*(8*0.5)+'LINEST VARS'!$G$54*(8*$DV39)+'LINEST VARS'!$F$54*(8*$EK$32)+'LINEST VARS'!$E$54*(8*0.5)+'LINEST VARS'!$D$54*(8*$DV39)+'LINEST VARS'!$C$54*($EK$32*0.5)+'LINEST VARS'!$B$54*($EK$32*$DV39)+'LINEST VARS'!$A$54*(0.5*$DV39)</f>
        <v>3.9749999999999996</v>
      </c>
      <c r="EL39" s="51">
        <f>'LINEST VARS'!$U$54+'LINEST VARS'!$T$54*(8)+'LINEST VARS'!$S$54*(8)+'LINEST VARS'!$R$54*($EL$32)+'LINEST VARS'!$Q$54*(0.5)+'LINEST VARS'!$P$54*($DV39)+'LINEST VARS'!$O$54*(8^2)+'LINEST VARS'!$N$54*(8^2)+'LINEST VARS'!$M$54*($EL$32^2)+'LINEST VARS'!$L$54*(0.5^2)+'LINEST VARS'!$K$54*($DV39^2)+'LINEST VARS'!$J$54*(8*8)+'LINEST VARS'!$I$54*(8*$EL$32)+'LINEST VARS'!$H$54*(8*0.5)+'LINEST VARS'!$G$54*(8*$DV39)+'LINEST VARS'!$F$54*(8*$EL$32)+'LINEST VARS'!$E$54*(8*0.5)+'LINEST VARS'!$D$54*(8*$DV39)+'LINEST VARS'!$C$54*($EL$32*0.5)+'LINEST VARS'!$B$54*($EL$32*$DV39)+'LINEST VARS'!$A$54*(0.5*$DV39)</f>
        <v>3.9749999999999996</v>
      </c>
      <c r="EM39" s="51">
        <f>'LINEST VARS'!$U$54+'LINEST VARS'!$T$54*(8)+'LINEST VARS'!$S$54*(8)+'LINEST VARS'!$R$54*($EM$32)+'LINEST VARS'!$Q$54*(0.5)+'LINEST VARS'!$P$54*($DV39)+'LINEST VARS'!$O$54*(8^2)+'LINEST VARS'!$N$54*(8^2)+'LINEST VARS'!$M$54*($EM$32^2)+'LINEST VARS'!$L$54*(0.5^2)+'LINEST VARS'!$K$54*($DV39^2)+'LINEST VARS'!$J$54*(8*8)+'LINEST VARS'!$I$54*(8*$EM$32)+'LINEST VARS'!$H$54*(8*0.5)+'LINEST VARS'!$G$54*(8*$DV39)+'LINEST VARS'!$F$54*(8*$EM$32)+'LINEST VARS'!$E$54*(8*0.5)+'LINEST VARS'!$D$54*(8*$DV39)+'LINEST VARS'!$C$54*($EM$32*0.5)+'LINEST VARS'!$B$54*($EM$32*$DV39)+'LINEST VARS'!$A$54*(0.5*$DV39)</f>
        <v>3.9749999999999996</v>
      </c>
      <c r="EN39" s="51">
        <f>'LINEST VARS'!$U$54+'LINEST VARS'!$T$54*(8)+'LINEST VARS'!$S$54*(8)+'LINEST VARS'!$R$54*($EN$32)+'LINEST VARS'!$Q$54*(0.5)+'LINEST VARS'!$P$54*($DV39)+'LINEST VARS'!$O$54*(8^2)+'LINEST VARS'!$N$54*(8^2)+'LINEST VARS'!$M$54*($EN$32^2)+'LINEST VARS'!$L$54*(0.5^2)+'LINEST VARS'!$K$54*($DV39^2)+'LINEST VARS'!$J$54*(8*8)+'LINEST VARS'!$I$54*(8*$EN$32)+'LINEST VARS'!$H$54*(8*0.5)+'LINEST VARS'!$G$54*(8*$DV39)+'LINEST VARS'!$F$54*(8*$EN$32)+'LINEST VARS'!$E$54*(8*0.5)+'LINEST VARS'!$D$54*(8*$DV39)+'LINEST VARS'!$C$54*($EN$32*0.5)+'LINEST VARS'!$B$54*($EN$32*$DV39)+'LINEST VARS'!$A$54*(0.5*$DV39)</f>
        <v>3.9749999999999996</v>
      </c>
      <c r="EO39" s="51">
        <f>'LINEST VARS'!$U$54+'LINEST VARS'!$T$54*(8)+'LINEST VARS'!$S$54*(8)+'LINEST VARS'!$R$54*($EO$32)+'LINEST VARS'!$Q$54*(0.5)+'LINEST VARS'!$P$54*($DV39)+'LINEST VARS'!$O$54*(8^2)+'LINEST VARS'!$N$54*(8^2)+'LINEST VARS'!$M$54*($EO$32^2)+'LINEST VARS'!$L$54*(0.5^2)+'LINEST VARS'!$K$54*($DV39^2)+'LINEST VARS'!$J$54*(8*8)+'LINEST VARS'!$I$54*(8*$EO$32)+'LINEST VARS'!$H$54*(8*0.5)+'LINEST VARS'!$G$54*(8*$DV39)+'LINEST VARS'!$F$54*(8*$EO$32)+'LINEST VARS'!$E$54*(8*0.5)+'LINEST VARS'!$D$54*(8*$DV39)+'LINEST VARS'!$C$54*($EO$32*0.5)+'LINEST VARS'!$B$54*($EO$32*$DV39)+'LINEST VARS'!$A$54*(0.5*$DV39)</f>
        <v>3.9749999999999996</v>
      </c>
      <c r="EP39" s="51">
        <f>'LINEST VARS'!$U$54+'LINEST VARS'!$T$54*(8)+'LINEST VARS'!$S$54*(8)+'LINEST VARS'!$R$54*($EP$32)+'LINEST VARS'!$Q$54*(0.5)+'LINEST VARS'!$P$54*($DV39)+'LINEST VARS'!$O$54*(8^2)+'LINEST VARS'!$N$54*(8^2)+'LINEST VARS'!$M$54*($EP$32^2)+'LINEST VARS'!$L$54*(0.5^2)+'LINEST VARS'!$K$54*($DV39^2)+'LINEST VARS'!$J$54*(8*8)+'LINEST VARS'!$I$54*(8*$EP$32)+'LINEST VARS'!$H$54*(8*0.5)+'LINEST VARS'!$G$54*(8*$DV39)+'LINEST VARS'!$F$54*(8*$EP$32)+'LINEST VARS'!$E$54*(8*0.5)+'LINEST VARS'!$D$54*(8*$DV39)+'LINEST VARS'!$C$54*($EP$32*0.5)+'LINEST VARS'!$B$54*($EP$32*$DV39)+'LINEST VARS'!$A$54*(0.5*$DV39)</f>
        <v>3.9749999999999996</v>
      </c>
      <c r="EQ39" s="52">
        <f>'LINEST VARS'!$U$54+'LINEST VARS'!$T$54*(8)+'LINEST VARS'!$S$54*(8)+'LINEST VARS'!$R$54*($EQ$32)+'LINEST VARS'!$Q$54*(0.5)+'LINEST VARS'!$P$54*($DV39)+'LINEST VARS'!$O$54*(8^2)+'LINEST VARS'!$N$54*(8^2)+'LINEST VARS'!$M$54*($EQ$32^2)+'LINEST VARS'!$L$54*(0.5^2)+'LINEST VARS'!$K$54*($DV39^2)+'LINEST VARS'!$J$54*(8*8)+'LINEST VARS'!$I$54*(8*$EQ$32)+'LINEST VARS'!$H$54*(8*0.5)+'LINEST VARS'!$G$54*(8*$DV39)+'LINEST VARS'!$F$54*(8*$EQ$32)+'LINEST VARS'!$E$54*(8*0.5)+'LINEST VARS'!$D$54*(8*$DV39)+'LINEST VARS'!$C$54*($EQ$32*0.5)+'LINEST VARS'!$B$54*($EQ$32*$DV39)+'LINEST VARS'!$A$54*(0.5*$DV39)</f>
        <v>3.9749999999999996</v>
      </c>
    </row>
    <row r="40" spans="2:147" ht="15" customHeight="1" x14ac:dyDescent="0.25">
      <c r="B40" s="45">
        <v>7.82</v>
      </c>
      <c r="C40" s="51">
        <f>'LINEST VARS'!$U$52+'LINEST VARS'!$T$52*($C$32)+'LINEST VARS'!$S$52*($B40)+'LINEST VARS'!$R$52*(4)+'LINEST VARS'!$Q$52*(0.5)+'LINEST VARS'!$P$52*(12.73)+'LINEST VARS'!$O$52*($C$32^2)+'LINEST VARS'!$N$52*($B40^2)+'LINEST VARS'!$M$52*(4^2)+'LINEST VARS'!$L$52*(0.5^2)+'LINEST VARS'!$K$52*(12.73^2)+'LINEST VARS'!$J$52*($C$32*$B40)+'LINEST VARS'!$I$52*($C$32*4)+'LINEST VARS'!$H$52*($C$32*0.5)+'LINEST VARS'!$G$52*($C$32*12.73)+'LINEST VARS'!$F$52*($B40*4)+'LINEST VARS'!$E$52*($B40*0.5)+'LINEST VARS'!$D$52*($B40*12.73)+'LINEST VARS'!$C$52*(4*0.5)+'LINEST VARS'!$B$52*(4*12.73)+'LINEST VARS'!$A$52*(0.5*12.73)</f>
        <v>4.4499999999999984</v>
      </c>
      <c r="D40" s="51">
        <f>'LINEST VARS'!$U$52+'LINEST VARS'!$T$52*($D$32)+'LINEST VARS'!$S$52*($B40)+'LINEST VARS'!$R$52*(4)+'LINEST VARS'!$Q$52*(0.5)+'LINEST VARS'!$P$52*(12.73)+'LINEST VARS'!$O$52*($D$32^2)+'LINEST VARS'!$N$52*($B40^2)+'LINEST VARS'!$M$52*(4^2)+'LINEST VARS'!$L$52*(0.5^2)+'LINEST VARS'!$K$52*(12.73^2)+'LINEST VARS'!$J$52*($D$32*$B40)+'LINEST VARS'!$I$52*($D$32*4)+'LINEST VARS'!$H$52*($D$32*0.5)+'LINEST VARS'!$G$52*($D$32*12.73)+'LINEST VARS'!$F$52*($B40*4)+'LINEST VARS'!$E$52*($B40*0.5)+'LINEST VARS'!$D$52*($B40*12.73)+'LINEST VARS'!$C$52*(4*0.5)+'LINEST VARS'!$B$52*(4*12.73)+'LINEST VARS'!$A$52*(0.5*12.73)</f>
        <v>4.4499999999999984</v>
      </c>
      <c r="E40" s="51">
        <f>'LINEST VARS'!$U$52+'LINEST VARS'!$T$52*($E$32)+'LINEST VARS'!$S$52*($B40)+'LINEST VARS'!$R$52*(4)+'LINEST VARS'!$Q$52*(0.5)+'LINEST VARS'!$P$52*(12.73)+'LINEST VARS'!$O$52*($E$32^2)+'LINEST VARS'!$N$52*($B40^2)+'LINEST VARS'!$M$52*(4^2)+'LINEST VARS'!$L$52*(0.5^2)+'LINEST VARS'!$K$52*(12.73^2)+'LINEST VARS'!$J$52*($E$32*$B40)+'LINEST VARS'!$I$52*($E$32*4)+'LINEST VARS'!$H$52*($E$32*0.5)+'LINEST VARS'!$G$52*($E$32*12.73)+'LINEST VARS'!$F$52*($B40*4)+'LINEST VARS'!$E$52*($B40*0.5)+'LINEST VARS'!$D$52*($B40*12.73)+'LINEST VARS'!$C$52*(4*0.5)+'LINEST VARS'!$B$52*(4*12.73)+'LINEST VARS'!$A$52*(0.5*12.73)</f>
        <v>4.4499999999999984</v>
      </c>
      <c r="F40" s="51">
        <f>'LINEST VARS'!$U$52+'LINEST VARS'!$T$52*($F$32)+'LINEST VARS'!$S$52*($B40)+'LINEST VARS'!$R$52*(4)+'LINEST VARS'!$Q$52*(0.5)+'LINEST VARS'!$P$52*(12.73)+'LINEST VARS'!$O$52*($F$32^2)+'LINEST VARS'!$N$52*($B40^2)+'LINEST VARS'!$M$52*(4^2)+'LINEST VARS'!$L$52*(0.5^2)+'LINEST VARS'!$K$52*(12.73^2)+'LINEST VARS'!$J$52*($F$32*$B40)+'LINEST VARS'!$I$52*($F$32*4)+'LINEST VARS'!$H$52*($F$32*0.5)+'LINEST VARS'!$G$52*($F$32*12.73)+'LINEST VARS'!$F$52*($B40*4)+'LINEST VARS'!$E$52*($B40*0.5)+'LINEST VARS'!$D$52*($B40*12.73)+'LINEST VARS'!$C$52*(4*0.5)+'LINEST VARS'!$B$52*(4*12.73)+'LINEST VARS'!$A$52*(0.5*12.73)</f>
        <v>4.4499999999999984</v>
      </c>
      <c r="G40" s="51">
        <f>'LINEST VARS'!$U$52+'LINEST VARS'!$T$52*($G$32)+'LINEST VARS'!$S$52*($B40)+'LINEST VARS'!$R$52*(4)+'LINEST VARS'!$Q$52*(0.5)+'LINEST VARS'!$P$52*(12.73)+'LINEST VARS'!$O$52*($G$32^2)+'LINEST VARS'!$N$52*($B40^2)+'LINEST VARS'!$M$52*(4^2)+'LINEST VARS'!$L$52*(0.5^2)+'LINEST VARS'!$K$52*(12.73^2)+'LINEST VARS'!$J$52*($G$32*$B40)+'LINEST VARS'!$I$52*($G$32*4)+'LINEST VARS'!$H$52*($G$32*0.5)+'LINEST VARS'!$G$52*($G$32*12.73)+'LINEST VARS'!$F$52*($B40*4)+'LINEST VARS'!$E$52*($B40*0.5)+'LINEST VARS'!$D$52*($B40*12.73)+'LINEST VARS'!$C$52*(4*0.5)+'LINEST VARS'!$B$52*(4*12.73)+'LINEST VARS'!$A$52*(0.5*12.73)</f>
        <v>4.4499999999999984</v>
      </c>
      <c r="H40" s="51">
        <f>'LINEST VARS'!$U$52+'LINEST VARS'!$T$52*($H$32)+'LINEST VARS'!$S$52*($B40)+'LINEST VARS'!$R$52*(4)+'LINEST VARS'!$Q$52*(0.5)+'LINEST VARS'!$P$52*(12.73)+'LINEST VARS'!$O$52*($H$32^2)+'LINEST VARS'!$N$52*($B40^2)+'LINEST VARS'!$M$52*(4^2)+'LINEST VARS'!$L$52*(0.5^2)+'LINEST VARS'!$K$52*(12.73^2)+'LINEST VARS'!$J$52*($H$32*$B40)+'LINEST VARS'!$I$52*($H$32*4)+'LINEST VARS'!$H$52*($H$32*0.5)+'LINEST VARS'!$G$52*($H$32*12.73)+'LINEST VARS'!$F$52*($B40*4)+'LINEST VARS'!$E$52*($B40*0.5)+'LINEST VARS'!$D$52*($B40*12.73)+'LINEST VARS'!$C$52*(4*0.5)+'LINEST VARS'!$B$52*(4*12.73)+'LINEST VARS'!$A$52*(0.5*12.73)</f>
        <v>4.4499999999999984</v>
      </c>
      <c r="I40" s="51">
        <f>'LINEST VARS'!$U$52+'LINEST VARS'!$T$52*($I$32)+'LINEST VARS'!$S$52*($B40)+'LINEST VARS'!$R$52*(4)+'LINEST VARS'!$Q$52*(0.5)+'LINEST VARS'!$P$52*(12.73)+'LINEST VARS'!$O$52*($I$32^2)+'LINEST VARS'!$N$52*($B40^2)+'LINEST VARS'!$M$52*(4^2)+'LINEST VARS'!$L$52*(0.5^2)+'LINEST VARS'!$K$52*(12.73^2)+'LINEST VARS'!$J$52*($I$32*$B40)+'LINEST VARS'!$I$52*($I$32*4)+'LINEST VARS'!$H$52*($I$32*0.5)+'LINEST VARS'!$G$52*($I$32*12.73)+'LINEST VARS'!$F$52*($B40*4)+'LINEST VARS'!$E$52*($B40*0.5)+'LINEST VARS'!$D$52*($B40*12.73)+'LINEST VARS'!$C$52*(4*0.5)+'LINEST VARS'!$B$52*(4*12.73)+'LINEST VARS'!$A$52*(0.5*12.73)</f>
        <v>4.4499999999999984</v>
      </c>
      <c r="J40" s="51">
        <f>'LINEST VARS'!$U$52+'LINEST VARS'!$T$52*($J$32)+'LINEST VARS'!$S$52*($B40)+'LINEST VARS'!$R$52*(4)+'LINEST VARS'!$Q$52*(0.5)+'LINEST VARS'!$P$52*(12.73)+'LINEST VARS'!$O$52*($J$32^2)+'LINEST VARS'!$N$52*($B40^2)+'LINEST VARS'!$M$52*(4^2)+'LINEST VARS'!$L$52*(0.5^2)+'LINEST VARS'!$K$52*(12.73^2)+'LINEST VARS'!$J$52*($J$32*$B40)+'LINEST VARS'!$I$52*($J$32*4)+'LINEST VARS'!$H$52*($J$32*0.5)+'LINEST VARS'!$G$52*($J$32*12.73)+'LINEST VARS'!$F$52*($B40*4)+'LINEST VARS'!$E$52*($B40*0.5)+'LINEST VARS'!$D$52*($B40*12.73)+'LINEST VARS'!$C$52*(4*0.5)+'LINEST VARS'!$B$52*(4*12.73)+'LINEST VARS'!$A$52*(0.5*12.73)</f>
        <v>4.4499999999999984</v>
      </c>
      <c r="K40" s="51">
        <f>'LINEST VARS'!$U$52+'LINEST VARS'!$T$52*($K$32)+'LINEST VARS'!$S$52*($B40)+'LINEST VARS'!$R$52*(4)+'LINEST VARS'!$Q$52*(0.5)+'LINEST VARS'!$P$52*(12.73)+'LINEST VARS'!$O$52*($K$32^2)+'LINEST VARS'!$N$52*($B40^2)+'LINEST VARS'!$M$52*(4^2)+'LINEST VARS'!$L$52*(0.5^2)+'LINEST VARS'!$K$52*(12.73^2)+'LINEST VARS'!$J$52*($K$32*$B40)+'LINEST VARS'!$I$52*($K$32*4)+'LINEST VARS'!$H$52*($K$32*0.5)+'LINEST VARS'!$G$52*($K$32*12.73)+'LINEST VARS'!$F$52*($B40*4)+'LINEST VARS'!$E$52*($B40*0.5)+'LINEST VARS'!$D$52*($B40*12.73)+'LINEST VARS'!$C$52*(4*0.5)+'LINEST VARS'!$B$52*(4*12.73)+'LINEST VARS'!$A$52*(0.5*12.73)</f>
        <v>4.4499999999999984</v>
      </c>
      <c r="L40" s="51">
        <f>'LINEST VARS'!$U$52+'LINEST VARS'!$T$52*($L$32)+'LINEST VARS'!$S$52*($B40)+'LINEST VARS'!$R$52*(4)+'LINEST VARS'!$Q$52*(0.5)+'LINEST VARS'!$P$52*(12.73)+'LINEST VARS'!$O$52*($L$32^2)+'LINEST VARS'!$N$52*($B40^2)+'LINEST VARS'!$M$52*(4^2)+'LINEST VARS'!$L$52*(0.5^2)+'LINEST VARS'!$K$52*(12.73^2)+'LINEST VARS'!$J$52*($L$32*$B40)+'LINEST VARS'!$I$52*($L$32*4)+'LINEST VARS'!$H$52*($L$32*0.5)+'LINEST VARS'!$G$52*($L$32*12.73)+'LINEST VARS'!$F$52*($B40*4)+'LINEST VARS'!$E$52*($B40*0.5)+'LINEST VARS'!$D$52*($B40*12.73)+'LINEST VARS'!$C$52*(4*0.5)+'LINEST VARS'!$B$52*(4*12.73)+'LINEST VARS'!$A$52*(0.5*12.73)</f>
        <v>4.4499999999999984</v>
      </c>
      <c r="M40" s="51">
        <f>'LINEST VARS'!$U$52+'LINEST VARS'!$T$52*($M$32)+'LINEST VARS'!$S$52*($B40)+'LINEST VARS'!$R$52*(4)+'LINEST VARS'!$Q$52*(0.5)+'LINEST VARS'!$P$52*(12.73)+'LINEST VARS'!$O$52*($M$32^2)+'LINEST VARS'!$N$52*($B40^2)+'LINEST VARS'!$M$52*(4^2)+'LINEST VARS'!$L$52*(0.5^2)+'LINEST VARS'!$K$52*(12.73^2)+'LINEST VARS'!$J$52*($M$32*$B40)+'LINEST VARS'!$I$52*($M$32*4)+'LINEST VARS'!$H$52*($M$32*0.5)+'LINEST VARS'!$G$52*($M$32*12.73)+'LINEST VARS'!$F$52*($B40*4)+'LINEST VARS'!$E$52*($B40*0.5)+'LINEST VARS'!$D$52*($B40*12.73)+'LINEST VARS'!$C$52*(4*0.5)+'LINEST VARS'!$B$52*(4*12.73)+'LINEST VARS'!$A$52*(0.5*12.73)</f>
        <v>4.4499999999999984</v>
      </c>
      <c r="N40" s="51">
        <f>'LINEST VARS'!$U$52+'LINEST VARS'!$T$52*($N$32)+'LINEST VARS'!$S$52*($B40)+'LINEST VARS'!$R$52*(4)+'LINEST VARS'!$Q$52*(0.5)+'LINEST VARS'!$P$52*(12.73)+'LINEST VARS'!$O$52*($N$32^2)+'LINEST VARS'!$N$52*($B40^2)+'LINEST VARS'!$M$52*(4^2)+'LINEST VARS'!$L$52*(0.5^2)+'LINEST VARS'!$K$52*(12.73^2)+'LINEST VARS'!$J$52*($N$32*$B40)+'LINEST VARS'!$I$52*($N$32*4)+'LINEST VARS'!$H$52*($N$32*0.5)+'LINEST VARS'!$G$52*($N$32*12.73)+'LINEST VARS'!$F$52*($B40*4)+'LINEST VARS'!$E$52*($B40*0.5)+'LINEST VARS'!$D$52*($B40*12.73)+'LINEST VARS'!$C$52*(4*0.5)+'LINEST VARS'!$B$52*(4*12.73)+'LINEST VARS'!$A$52*(0.5*12.73)</f>
        <v>4.4499999999999984</v>
      </c>
      <c r="O40" s="51">
        <f>'LINEST VARS'!$U$52+'LINEST VARS'!$T$52*($O$32)+'LINEST VARS'!$S$52*($B40)+'LINEST VARS'!$R$52*(4)+'LINEST VARS'!$Q$52*(0.5)+'LINEST VARS'!$P$52*(12.73)+'LINEST VARS'!$O$52*($O$32^2)+'LINEST VARS'!$N$52*($B40^2)+'LINEST VARS'!$M$52*(4^2)+'LINEST VARS'!$L$52*(0.5^2)+'LINEST VARS'!$K$52*(12.73^2)+'LINEST VARS'!$J$52*($O$32*$B40)+'LINEST VARS'!$I$52*($O$32*4)+'LINEST VARS'!$H$52*($O$32*0.5)+'LINEST VARS'!$G$52*($O$32*12.73)+'LINEST VARS'!$F$52*($B40*4)+'LINEST VARS'!$E$52*($B40*0.5)+'LINEST VARS'!$D$52*($B40*12.73)+'LINEST VARS'!$C$52*(4*0.5)+'LINEST VARS'!$B$52*(4*12.73)+'LINEST VARS'!$A$52*(0.5*12.73)</f>
        <v>4.4499999999999984</v>
      </c>
      <c r="P40" s="51">
        <f>'LINEST VARS'!$U$52+'LINEST VARS'!$T$52*($P$32)+'LINEST VARS'!$S$52*($B40)+'LINEST VARS'!$R$52*(4)+'LINEST VARS'!$Q$52*(0.5)+'LINEST VARS'!$P$52*(12.73)+'LINEST VARS'!$O$52*($P$32^2)+'LINEST VARS'!$N$52*($B40^2)+'LINEST VARS'!$M$52*(4^2)+'LINEST VARS'!$L$52*(0.5^2)+'LINEST VARS'!$K$52*(12.73^2)+'LINEST VARS'!$J$52*($P$32*$B40)+'LINEST VARS'!$I$52*($P$32*4)+'LINEST VARS'!$H$52*($P$32*0.5)+'LINEST VARS'!$G$52*($P$32*12.73)+'LINEST VARS'!$F$52*($B40*4)+'LINEST VARS'!$E$52*($B40*0.5)+'LINEST VARS'!$D$52*($B40*12.73)+'LINEST VARS'!$C$52*(4*0.5)+'LINEST VARS'!$B$52*(4*12.73)+'LINEST VARS'!$A$52*(0.5*12.73)</f>
        <v>4.4499999999999984</v>
      </c>
      <c r="Q40" s="51">
        <f>'LINEST VARS'!$U$52+'LINEST VARS'!$T$52*($Q$32)+'LINEST VARS'!$S$52*($B40)+'LINEST VARS'!$R$52*(4)+'LINEST VARS'!$Q$52*(0.5)+'LINEST VARS'!$P$52*(12.73)+'LINEST VARS'!$O$52*($Q$32^2)+'LINEST VARS'!$N$52*($B40^2)+'LINEST VARS'!$M$52*(4^2)+'LINEST VARS'!$L$52*(0.5^2)+'LINEST VARS'!$K$52*(12.73^2)+'LINEST VARS'!$J$52*($Q$32*$B40)+'LINEST VARS'!$I$52*($Q$32*4)+'LINEST VARS'!$H$52*($Q$32*0.5)+'LINEST VARS'!$G$52*($Q$32*12.73)+'LINEST VARS'!$F$52*($B40*4)+'LINEST VARS'!$E$52*($B40*0.5)+'LINEST VARS'!$D$52*($B40*12.73)+'LINEST VARS'!$C$52*(4*0.5)+'LINEST VARS'!$B$52*(4*12.73)+'LINEST VARS'!$A$52*(0.5*12.73)</f>
        <v>4.4499999999999984</v>
      </c>
      <c r="R40" s="51">
        <f>'LINEST VARS'!$U$52+'LINEST VARS'!$T$52*($R$32)+'LINEST VARS'!$S$52*($B40)+'LINEST VARS'!$R$52*(4)+'LINEST VARS'!$Q$52*(0.5)+'LINEST VARS'!$P$52*(12.73)+'LINEST VARS'!$O$52*($R$32^2)+'LINEST VARS'!$N$52*($B40^2)+'LINEST VARS'!$M$52*(4^2)+'LINEST VARS'!$L$52*(0.5^2)+'LINEST VARS'!$K$52*(12.73^2)+'LINEST VARS'!$J$52*($R$32*$B40)+'LINEST VARS'!$I$52*($R$32*4)+'LINEST VARS'!$H$52*($R$32*0.5)+'LINEST VARS'!$G$52*($R$32*12.73)+'LINEST VARS'!$F$52*($B40*4)+'LINEST VARS'!$E$52*($B40*0.5)+'LINEST VARS'!$D$52*($B40*12.73)+'LINEST VARS'!$C$52*(4*0.5)+'LINEST VARS'!$B$52*(4*12.73)+'LINEST VARS'!$A$52*(0.5*12.73)</f>
        <v>4.4499999999999984</v>
      </c>
      <c r="S40" s="51">
        <f>'LINEST VARS'!$U$52+'LINEST VARS'!$T$52*($S$32)+'LINEST VARS'!$S$52*($B40)+'LINEST VARS'!$R$52*(4)+'LINEST VARS'!$Q$52*(0.5)+'LINEST VARS'!$P$52*(12.73)+'LINEST VARS'!$O$52*($S$32^2)+'LINEST VARS'!$N$52*($B40^2)+'LINEST VARS'!$M$52*(4^2)+'LINEST VARS'!$L$52*(0.5^2)+'LINEST VARS'!$K$52*(12.73^2)+'LINEST VARS'!$J$52*($S$32*$B40)+'LINEST VARS'!$I$52*($S$32*4)+'LINEST VARS'!$H$52*($S$32*0.5)+'LINEST VARS'!$G$52*($S$32*12.73)+'LINEST VARS'!$F$52*($B40*4)+'LINEST VARS'!$E$52*($B40*0.5)+'LINEST VARS'!$D$52*($B40*12.73)+'LINEST VARS'!$C$52*(4*0.5)+'LINEST VARS'!$B$52*(4*12.73)+'LINEST VARS'!$A$52*(0.5*12.73)</f>
        <v>4.4499999999999984</v>
      </c>
      <c r="T40" s="51">
        <f>'LINEST VARS'!$U$52+'LINEST VARS'!$T$52*($T$32)+'LINEST VARS'!$S$52*($B40)+'LINEST VARS'!$R$52*(4)+'LINEST VARS'!$Q$52*(0.5)+'LINEST VARS'!$P$52*(12.73)+'LINEST VARS'!$O$52*($T$32^2)+'LINEST VARS'!$N$52*($B40^2)+'LINEST VARS'!$M$52*(4^2)+'LINEST VARS'!$L$52*(0.5^2)+'LINEST VARS'!$K$52*(12.73^2)+'LINEST VARS'!$J$52*($T$32*$B40)+'LINEST VARS'!$I$52*($T$32*4)+'LINEST VARS'!$H$52*($T$32*0.5)+'LINEST VARS'!$G$52*($T$32*12.73)+'LINEST VARS'!$F$52*($B40*4)+'LINEST VARS'!$E$52*($B40*0.5)+'LINEST VARS'!$D$52*($B40*12.73)+'LINEST VARS'!$C$52*(4*0.5)+'LINEST VARS'!$B$52*(4*12.73)+'LINEST VARS'!$A$52*(0.5*12.73)</f>
        <v>4.4499999999999984</v>
      </c>
      <c r="U40" s="51">
        <f>'LINEST VARS'!$U$52+'LINEST VARS'!$T$52*($U$32)+'LINEST VARS'!$S$52*($B40)+'LINEST VARS'!$R$52*(4)+'LINEST VARS'!$Q$52*(0.5)+'LINEST VARS'!$P$52*(12.73)+'LINEST VARS'!$O$52*($U$32^2)+'LINEST VARS'!$N$52*($B40^2)+'LINEST VARS'!$M$52*(4^2)+'LINEST VARS'!$L$52*(0.5^2)+'LINEST VARS'!$K$52*(12.73^2)+'LINEST VARS'!$J$52*($U$32*$B40)+'LINEST VARS'!$I$52*($U$32*4)+'LINEST VARS'!$H$52*($U$32*0.5)+'LINEST VARS'!$G$52*($U$32*12.73)+'LINEST VARS'!$F$52*($B40*4)+'LINEST VARS'!$E$52*($B40*0.5)+'LINEST VARS'!$D$52*($B40*12.73)+'LINEST VARS'!$C$52*(4*0.5)+'LINEST VARS'!$B$52*(4*12.73)+'LINEST VARS'!$A$52*(0.5*12.73)</f>
        <v>4.4499999999999984</v>
      </c>
      <c r="V40" s="51">
        <f>'LINEST VARS'!$U$52+'LINEST VARS'!$T$52*($V$32)+'LINEST VARS'!$S$52*($B40)+'LINEST VARS'!$R$52*(4)+'LINEST VARS'!$Q$52*(0.5)+'LINEST VARS'!$P$52*(12.73)+'LINEST VARS'!$O$52*($V$32^2)+'LINEST VARS'!$N$52*($B40^2)+'LINEST VARS'!$M$52*(4^2)+'LINEST VARS'!$L$52*(0.5^2)+'LINEST VARS'!$K$52*(12.73^2)+'LINEST VARS'!$J$52*($V$32*$B40)+'LINEST VARS'!$I$52*($V$32*4)+'LINEST VARS'!$H$52*($V$32*0.5)+'LINEST VARS'!$G$52*($V$32*12.73)+'LINEST VARS'!$F$52*($B40*4)+'LINEST VARS'!$E$52*($B40*0.5)+'LINEST VARS'!$D$52*($B40*12.73)+'LINEST VARS'!$C$52*(4*0.5)+'LINEST VARS'!$B$52*(4*12.73)+'LINEST VARS'!$A$52*(0.5*12.73)</f>
        <v>4.4499999999999993</v>
      </c>
      <c r="W40" s="52">
        <f>'LINEST VARS'!$U$52+'LINEST VARS'!$T$52*($W$32)+'LINEST VARS'!$S$52*($B40)+'LINEST VARS'!$R$52*(4)+'LINEST VARS'!$Q$52*(0.5)+'LINEST VARS'!$P$52*(12.73)+'LINEST VARS'!$O$52*($W$32^2)+'LINEST VARS'!$N$52*($B40^2)+'LINEST VARS'!$M$52*(4^2)+'LINEST VARS'!$L$52*(0.5^2)+'LINEST VARS'!$K$52*(12.73^2)+'LINEST VARS'!$J$52*($W$32*$B40)+'LINEST VARS'!$I$52*($W$32*4)+'LINEST VARS'!$H$52*($W$32*0.5)+'LINEST VARS'!$G$52*($W$32*12.73)+'LINEST VARS'!$F$52*($B40*4)+'LINEST VARS'!$E$52*($B40*0.5)+'LINEST VARS'!$D$52*($B40*12.73)+'LINEST VARS'!$C$52*(4*0.5)+'LINEST VARS'!$B$52*(4*12.73)+'LINEST VARS'!$A$52*(0.5*12.73)</f>
        <v>4.4499999999999993</v>
      </c>
      <c r="Z40" s="45">
        <v>7.82</v>
      </c>
      <c r="AA40" s="51">
        <f>'LINEST VARS'!$U$54+'LINEST VARS'!$T$54*($AA$32)+'LINEST VARS'!$S$54*($Z40)+'LINEST VARS'!$R$54*(4)+'LINEST VARS'!$Q$54*(0.5)+'LINEST VARS'!$P$54*(12.73)+'LINEST VARS'!$O$54*($AA$32^2)+'LINEST VARS'!$N$54*($Z40^2)+'LINEST VARS'!$M$54*(4^2)+'LINEST VARS'!$L$54*(0.5^2)+'LINEST VARS'!$K$54*(12.73^2)+'LINEST VARS'!$J$54*($AA$32*$Z40)+'LINEST VARS'!$I$54*($AA$32*4)+'LINEST VARS'!$H$54*($AA$32*0.5)+'LINEST VARS'!$G$54*($AA$32*12.73)+'LINEST VARS'!$F$54*($Z40*4)+'LINEST VARS'!$E$54*($Z40*0.5)+'LINEST VARS'!$D$54*($Z40*12.73)+'LINEST VARS'!$C$54*(4*0.5)+'LINEST VARS'!$B$54*(4*12.73)+'LINEST VARS'!$A$54*(0.5*12.73)</f>
        <v>3.9749999999999996</v>
      </c>
      <c r="AB40" s="51">
        <f>'LINEST VARS'!$U$54+'LINEST VARS'!$T$54*($AB$32)+'LINEST VARS'!$S$54*($Z40)+'LINEST VARS'!$R$54*(4)+'LINEST VARS'!$Q$54*(0.5)+'LINEST VARS'!$P$54*(12.73)+'LINEST VARS'!$O$54*($AB$32^2)+'LINEST VARS'!$N$54*($Z40^2)+'LINEST VARS'!$M$54*(4^2)+'LINEST VARS'!$L$54*(0.5^2)+'LINEST VARS'!$K$54*(12.73^2)+'LINEST VARS'!$J$54*($AB$32*$Z40)+'LINEST VARS'!$I$54*($AB$32*4)+'LINEST VARS'!$H$54*($AB$32*0.5)+'LINEST VARS'!$G$54*($AB$32*12.73)+'LINEST VARS'!$F$54*($Z40*4)+'LINEST VARS'!$E$54*($Z40*0.5)+'LINEST VARS'!$D$54*($Z40*12.73)+'LINEST VARS'!$C$54*(4*0.5)+'LINEST VARS'!$B$54*(4*12.73)+'LINEST VARS'!$A$54*(0.5*12.73)</f>
        <v>3.9749999999999996</v>
      </c>
      <c r="AC40" s="51">
        <f>'LINEST VARS'!$U$54+'LINEST VARS'!$T$54*($AC$32)+'LINEST VARS'!$S$54*($Z40)+'LINEST VARS'!$R$54*(4)+'LINEST VARS'!$Q$54*(0.5)+'LINEST VARS'!$P$54*(12.73)+'LINEST VARS'!$O$54*($AC$32^2)+'LINEST VARS'!$N$54*($Z40^2)+'LINEST VARS'!$M$54*(4^2)+'LINEST VARS'!$L$54*(0.5^2)+'LINEST VARS'!$K$54*(12.73^2)+'LINEST VARS'!$J$54*($AC$32*$Z40)+'LINEST VARS'!$I$54*($AC$32*4)+'LINEST VARS'!$H$54*($AC$32*0.5)+'LINEST VARS'!$G$54*($AC$32*12.73)+'LINEST VARS'!$F$54*($Z40*4)+'LINEST VARS'!$E$54*($Z40*0.5)+'LINEST VARS'!$D$54*($Z40*12.73)+'LINEST VARS'!$C$54*(4*0.5)+'LINEST VARS'!$B$54*(4*12.73)+'LINEST VARS'!$A$54*(0.5*12.73)</f>
        <v>3.9749999999999996</v>
      </c>
      <c r="AD40" s="51">
        <f>'LINEST VARS'!$U$54+'LINEST VARS'!$T$54*($AD$32)+'LINEST VARS'!$S$54*($Z40)+'LINEST VARS'!$R$54*(4)+'LINEST VARS'!$Q$54*(0.5)+'LINEST VARS'!$P$54*(12.73)+'LINEST VARS'!$O$54*($AD$32^2)+'LINEST VARS'!$N$54*($Z40^2)+'LINEST VARS'!$M$54*(4^2)+'LINEST VARS'!$L$54*(0.5^2)+'LINEST VARS'!$K$54*(12.73^2)+'LINEST VARS'!$J$54*($AD$32*$Z40)+'LINEST VARS'!$I$54*($AD$32*4)+'LINEST VARS'!$H$54*($AD$32*0.5)+'LINEST VARS'!$G$54*($AD$32*12.73)+'LINEST VARS'!$F$54*($Z40*4)+'LINEST VARS'!$E$54*($Z40*0.5)+'LINEST VARS'!$D$54*($Z40*12.73)+'LINEST VARS'!$C$54*(4*0.5)+'LINEST VARS'!$B$54*(4*12.73)+'LINEST VARS'!$A$54*(0.5*12.73)</f>
        <v>3.9749999999999996</v>
      </c>
      <c r="AE40" s="51">
        <f>'LINEST VARS'!$U$54+'LINEST VARS'!$T$54*($AE$32)+'LINEST VARS'!$S$54*($Z40)+'LINEST VARS'!$R$54*(4)+'LINEST VARS'!$Q$54*(0.5)+'LINEST VARS'!$P$54*(12.73)+'LINEST VARS'!$O$54*($AE$32^2)+'LINEST VARS'!$N$54*($Z40^2)+'LINEST VARS'!$M$54*(4^2)+'LINEST VARS'!$L$54*(0.5^2)+'LINEST VARS'!$K$54*(12.73^2)+'LINEST VARS'!$J$54*($AE$32*$Z40)+'LINEST VARS'!$I$54*($AE$32*4)+'LINEST VARS'!$H$54*($AE$32*0.5)+'LINEST VARS'!$G$54*($AE$32*12.73)+'LINEST VARS'!$F$54*($Z40*4)+'LINEST VARS'!$E$54*($Z40*0.5)+'LINEST VARS'!$D$54*($Z40*12.73)+'LINEST VARS'!$C$54*(4*0.5)+'LINEST VARS'!$B$54*(4*12.73)+'LINEST VARS'!$A$54*(0.5*12.73)</f>
        <v>3.9749999999999996</v>
      </c>
      <c r="AF40" s="51">
        <f>'LINEST VARS'!$U$54+'LINEST VARS'!$T$54*($AF$32)+'LINEST VARS'!$S$54*($Z40)+'LINEST VARS'!$R$54*(4)+'LINEST VARS'!$Q$54*(0.5)+'LINEST VARS'!$P$54*(12.73)+'LINEST VARS'!$O$54*($AF$32^2)+'LINEST VARS'!$N$54*($Z40^2)+'LINEST VARS'!$M$54*(4^2)+'LINEST VARS'!$L$54*(0.5^2)+'LINEST VARS'!$K$54*(12.73^2)+'LINEST VARS'!$J$54*($AF$32*$Z40)+'LINEST VARS'!$I$54*($AF$32*4)+'LINEST VARS'!$H$54*($AF$32*0.5)+'LINEST VARS'!$G$54*($AF$32*12.73)+'LINEST VARS'!$F$54*($Z40*4)+'LINEST VARS'!$E$54*($Z40*0.5)+'LINEST VARS'!$D$54*($Z40*12.73)+'LINEST VARS'!$C$54*(4*0.5)+'LINEST VARS'!$B$54*(4*12.73)+'LINEST VARS'!$A$54*(0.5*12.73)</f>
        <v>3.9749999999999996</v>
      </c>
      <c r="AG40" s="51">
        <f>'LINEST VARS'!$U$54+'LINEST VARS'!$T$54*($AG$32)+'LINEST VARS'!$S$54*($Z40)+'LINEST VARS'!$R$54*(4)+'LINEST VARS'!$Q$54*(0.5)+'LINEST VARS'!$P$54*(12.73)+'LINEST VARS'!$O$54*($AG$32^2)+'LINEST VARS'!$N$54*($Z40^2)+'LINEST VARS'!$M$54*(4^2)+'LINEST VARS'!$L$54*(0.5^2)+'LINEST VARS'!$K$54*(12.73^2)+'LINEST VARS'!$J$54*($AG$32*$Z40)+'LINEST VARS'!$I$54*($AG$32*4)+'LINEST VARS'!$H$54*($AG$32*0.5)+'LINEST VARS'!$G$54*($AG$32*12.73)+'LINEST VARS'!$F$54*($Z40*4)+'LINEST VARS'!$E$54*($Z40*0.5)+'LINEST VARS'!$D$54*($Z40*12.73)+'LINEST VARS'!$C$54*(4*0.5)+'LINEST VARS'!$B$54*(4*12.73)+'LINEST VARS'!$A$54*(0.5*12.73)</f>
        <v>3.9749999999999996</v>
      </c>
      <c r="AH40" s="51">
        <f>'LINEST VARS'!$U$54+'LINEST VARS'!$T$54*($AH$32)+'LINEST VARS'!$S$54*($Z40)+'LINEST VARS'!$R$54*(4)+'LINEST VARS'!$Q$54*(0.5)+'LINEST VARS'!$P$54*(12.73)+'LINEST VARS'!$O$54*($AH$32^2)+'LINEST VARS'!$N$54*($Z40^2)+'LINEST VARS'!$M$54*(4^2)+'LINEST VARS'!$L$54*(0.5^2)+'LINEST VARS'!$K$54*(12.73^2)+'LINEST VARS'!$J$54*($AH$32*$Z40)+'LINEST VARS'!$I$54*($AH$32*4)+'LINEST VARS'!$H$54*($AH$32*0.5)+'LINEST VARS'!$G$54*($AH$32*12.73)+'LINEST VARS'!$F$54*($Z40*4)+'LINEST VARS'!$E$54*($Z40*0.5)+'LINEST VARS'!$D$54*($Z40*12.73)+'LINEST VARS'!$C$54*(4*0.5)+'LINEST VARS'!$B$54*(4*12.73)+'LINEST VARS'!$A$54*(0.5*12.73)</f>
        <v>3.9749999999999996</v>
      </c>
      <c r="AI40" s="51">
        <f>'LINEST VARS'!$U$54+'LINEST VARS'!$T$54*($AI$32)+'LINEST VARS'!$S$54*($Z40)+'LINEST VARS'!$R$54*(4)+'LINEST VARS'!$Q$54*(0.5)+'LINEST VARS'!$P$54*(12.73)+'LINEST VARS'!$O$54*($AI$32^2)+'LINEST VARS'!$N$54*($Z40^2)+'LINEST VARS'!$M$54*(4^2)+'LINEST VARS'!$L$54*(0.5^2)+'LINEST VARS'!$K$54*(12.73^2)+'LINEST VARS'!$J$54*($AI$32*$Z40)+'LINEST VARS'!$I$54*($AI$32*4)+'LINEST VARS'!$H$54*($AI$32*0.5)+'LINEST VARS'!$G$54*($AI$32*12.73)+'LINEST VARS'!$F$54*($Z40*4)+'LINEST VARS'!$E$54*($Z40*0.5)+'LINEST VARS'!$D$54*($Z40*12.73)+'LINEST VARS'!$C$54*(4*0.5)+'LINEST VARS'!$B$54*(4*12.73)+'LINEST VARS'!$A$54*(0.5*12.73)</f>
        <v>3.9749999999999996</v>
      </c>
      <c r="AJ40" s="51">
        <f>'LINEST VARS'!$U$54+'LINEST VARS'!$T$54*($AJ$32)+'LINEST VARS'!$S$54*($Z40)+'LINEST VARS'!$R$54*(4)+'LINEST VARS'!$Q$54*(0.5)+'LINEST VARS'!$P$54*(12.73)+'LINEST VARS'!$O$54*($AJ$32^2)+'LINEST VARS'!$N$54*($Z40^2)+'LINEST VARS'!$M$54*(4^2)+'LINEST VARS'!$L$54*(0.5^2)+'LINEST VARS'!$K$54*(12.73^2)+'LINEST VARS'!$J$54*($AJ$32*$Z40)+'LINEST VARS'!$I$54*($AJ$32*4)+'LINEST VARS'!$H$54*($AJ$32*0.5)+'LINEST VARS'!$G$54*($AJ$32*12.73)+'LINEST VARS'!$F$54*($Z40*4)+'LINEST VARS'!$E$54*($Z40*0.5)+'LINEST VARS'!$D$54*($Z40*12.73)+'LINEST VARS'!$C$54*(4*0.5)+'LINEST VARS'!$B$54*(4*12.73)+'LINEST VARS'!$A$54*(0.5*12.73)</f>
        <v>3.9749999999999996</v>
      </c>
      <c r="AK40" s="51">
        <f>'LINEST VARS'!$U$54+'LINEST VARS'!$T$54*($AK$32)+'LINEST VARS'!$S$54*($Z40)+'LINEST VARS'!$R$54*(4)+'LINEST VARS'!$Q$54*(0.5)+'LINEST VARS'!$P$54*(12.73)+'LINEST VARS'!$O$54*($AK$32^2)+'LINEST VARS'!$N$54*($Z40^2)+'LINEST VARS'!$M$54*(4^2)+'LINEST VARS'!$L$54*(0.5^2)+'LINEST VARS'!$K$54*(12.73^2)+'LINEST VARS'!$J$54*($AK$32*$Z40)+'LINEST VARS'!$I$54*($AK$32*4)+'LINEST VARS'!$H$54*($AK$32*0.5)+'LINEST VARS'!$G$54*($AK$32*12.73)+'LINEST VARS'!$F$54*($Z40*4)+'LINEST VARS'!$E$54*($Z40*0.5)+'LINEST VARS'!$D$54*($Z40*12.73)+'LINEST VARS'!$C$54*(4*0.5)+'LINEST VARS'!$B$54*(4*12.73)+'LINEST VARS'!$A$54*(0.5*12.73)</f>
        <v>3.9749999999999996</v>
      </c>
      <c r="AL40" s="51">
        <f>'LINEST VARS'!$U$54+'LINEST VARS'!$T$54*($AL$32)+'LINEST VARS'!$S$54*($Z40)+'LINEST VARS'!$R$54*(4)+'LINEST VARS'!$Q$54*(0.5)+'LINEST VARS'!$P$54*(12.73)+'LINEST VARS'!$O$54*($AL$32^2)+'LINEST VARS'!$N$54*($Z40^2)+'LINEST VARS'!$M$54*(4^2)+'LINEST VARS'!$L$54*(0.5^2)+'LINEST VARS'!$K$54*(12.73^2)+'LINEST VARS'!$J$54*($AL$32*$Z40)+'LINEST VARS'!$I$54*($AL$32*4)+'LINEST VARS'!$H$54*($AL$32*0.5)+'LINEST VARS'!$G$54*($AL$32*12.73)+'LINEST VARS'!$F$54*($Z40*4)+'LINEST VARS'!$E$54*($Z40*0.5)+'LINEST VARS'!$D$54*($Z40*12.73)+'LINEST VARS'!$C$54*(4*0.5)+'LINEST VARS'!$B$54*(4*12.73)+'LINEST VARS'!$A$54*(0.5*12.73)</f>
        <v>3.9749999999999996</v>
      </c>
      <c r="AM40" s="51">
        <f>'LINEST VARS'!$U$54+'LINEST VARS'!$T$54*($AM$32)+'LINEST VARS'!$S$54*($Z40)+'LINEST VARS'!$R$54*(4)+'LINEST VARS'!$Q$54*(0.5)+'LINEST VARS'!$P$54*(12.73)+'LINEST VARS'!$O$54*($AM$32^2)+'LINEST VARS'!$N$54*($Z40^2)+'LINEST VARS'!$M$54*(4^2)+'LINEST VARS'!$L$54*(0.5^2)+'LINEST VARS'!$K$54*(12.73^2)+'LINEST VARS'!$J$54*($AM$32*$Z40)+'LINEST VARS'!$I$54*($AM$32*4)+'LINEST VARS'!$H$54*($AM$32*0.5)+'LINEST VARS'!$G$54*($AM$32*12.73)+'LINEST VARS'!$F$54*($Z40*4)+'LINEST VARS'!$E$54*($Z40*0.5)+'LINEST VARS'!$D$54*($Z40*12.73)+'LINEST VARS'!$C$54*(4*0.5)+'LINEST VARS'!$B$54*(4*12.73)+'LINEST VARS'!$A$54*(0.5*12.73)</f>
        <v>3.9749999999999996</v>
      </c>
      <c r="AN40" s="51">
        <f>'LINEST VARS'!$U$54+'LINEST VARS'!$T$54*($AN$32)+'LINEST VARS'!$S$54*($Z40)+'LINEST VARS'!$R$54*(4)+'LINEST VARS'!$Q$54*(0.5)+'LINEST VARS'!$P$54*(12.73)+'LINEST VARS'!$O$54*($AN$32^2)+'LINEST VARS'!$N$54*($Z40^2)+'LINEST VARS'!$M$54*(4^2)+'LINEST VARS'!$L$54*(0.5^2)+'LINEST VARS'!$K$54*(12.73^2)+'LINEST VARS'!$J$54*($AN$32*$Z40)+'LINEST VARS'!$I$54*($AN$32*4)+'LINEST VARS'!$H$54*($AN$32*0.5)+'LINEST VARS'!$G$54*($AN$32*12.73)+'LINEST VARS'!$F$54*($Z40*4)+'LINEST VARS'!$E$54*($Z40*0.5)+'LINEST VARS'!$D$54*($Z40*12.73)+'LINEST VARS'!$C$54*(4*0.5)+'LINEST VARS'!$B$54*(4*12.73)+'LINEST VARS'!$A$54*(0.5*12.73)</f>
        <v>3.9749999999999996</v>
      </c>
      <c r="AO40" s="51">
        <f>'LINEST VARS'!$U$54+'LINEST VARS'!$T$54*($AO$32)+'LINEST VARS'!$S$54*($Z40)+'LINEST VARS'!$R$54*(4)+'LINEST VARS'!$Q$54*(0.5)+'LINEST VARS'!$P$54*(12.73)+'LINEST VARS'!$O$54*($AO$32^2)+'LINEST VARS'!$N$54*($Z40^2)+'LINEST VARS'!$M$54*(4^2)+'LINEST VARS'!$L$54*(0.5^2)+'LINEST VARS'!$K$54*(12.73^2)+'LINEST VARS'!$J$54*($AO$32*$Z40)+'LINEST VARS'!$I$54*($AO$32*4)+'LINEST VARS'!$H$54*($AO$32*0.5)+'LINEST VARS'!$G$54*($AO$32*12.73)+'LINEST VARS'!$F$54*($Z40*4)+'LINEST VARS'!$E$54*($Z40*0.5)+'LINEST VARS'!$D$54*($Z40*12.73)+'LINEST VARS'!$C$54*(4*0.5)+'LINEST VARS'!$B$54*(4*12.73)+'LINEST VARS'!$A$54*(0.5*12.73)</f>
        <v>3.9749999999999996</v>
      </c>
      <c r="AP40" s="51">
        <f>'LINEST VARS'!$U$54+'LINEST VARS'!$T$54*($AP$32)+'LINEST VARS'!$S$54*($Z40)+'LINEST VARS'!$R$54*(4)+'LINEST VARS'!$Q$54*(0.5)+'LINEST VARS'!$P$54*(12.73)+'LINEST VARS'!$O$54*($AP$32^2)+'LINEST VARS'!$N$54*($Z40^2)+'LINEST VARS'!$M$54*(4^2)+'LINEST VARS'!$L$54*(0.5^2)+'LINEST VARS'!$K$54*(12.73^2)+'LINEST VARS'!$J$54*($AP$32*$Z40)+'LINEST VARS'!$I$54*($AP$32*4)+'LINEST VARS'!$H$54*($AP$32*0.5)+'LINEST VARS'!$G$54*($AP$32*12.73)+'LINEST VARS'!$F$54*($Z40*4)+'LINEST VARS'!$E$54*($Z40*0.5)+'LINEST VARS'!$D$54*($Z40*12.73)+'LINEST VARS'!$C$54*(4*0.5)+'LINEST VARS'!$B$54*(4*12.73)+'LINEST VARS'!$A$54*(0.5*12.73)</f>
        <v>3.9749999999999996</v>
      </c>
      <c r="AQ40" s="51">
        <f>'LINEST VARS'!$U$54+'LINEST VARS'!$T$54*($AQ$32)+'LINEST VARS'!$S$54*($Z40)+'LINEST VARS'!$R$54*(4)+'LINEST VARS'!$Q$54*(0.5)+'LINEST VARS'!$P$54*(12.73)+'LINEST VARS'!$O$54*($AQ$32^2)+'LINEST VARS'!$N$54*($Z40^2)+'LINEST VARS'!$M$54*(4^2)+'LINEST VARS'!$L$54*(0.5^2)+'LINEST VARS'!$K$54*(12.73^2)+'LINEST VARS'!$J$54*($AQ$32*$Z40)+'LINEST VARS'!$I$54*($AQ$32*4)+'LINEST VARS'!$H$54*($AQ$32*0.5)+'LINEST VARS'!$G$54*($AQ$32*12.73)+'LINEST VARS'!$F$54*($Z40*4)+'LINEST VARS'!$E$54*($Z40*0.5)+'LINEST VARS'!$D$54*($Z40*12.73)+'LINEST VARS'!$C$54*(4*0.5)+'LINEST VARS'!$B$54*(4*12.73)+'LINEST VARS'!$A$54*(0.5*12.73)</f>
        <v>3.9749999999999996</v>
      </c>
      <c r="AR40" s="51">
        <f>'LINEST VARS'!$U$54+'LINEST VARS'!$T$54*($AR$32)+'LINEST VARS'!$S$54*($Z40)+'LINEST VARS'!$R$54*(4)+'LINEST VARS'!$Q$54*(0.5)+'LINEST VARS'!$P$54*(12.73)+'LINEST VARS'!$O$54*($AR$32^2)+'LINEST VARS'!$N$54*($Z40^2)+'LINEST VARS'!$M$54*(4^2)+'LINEST VARS'!$L$54*(0.5^2)+'LINEST VARS'!$K$54*(12.73^2)+'LINEST VARS'!$J$54*($AR$32*$Z40)+'LINEST VARS'!$I$54*($AR$32*4)+'LINEST VARS'!$H$54*($AR$32*0.5)+'LINEST VARS'!$G$54*($AR$32*12.73)+'LINEST VARS'!$F$54*($Z40*4)+'LINEST VARS'!$E$54*($Z40*0.5)+'LINEST VARS'!$D$54*($Z40*12.73)+'LINEST VARS'!$C$54*(4*0.5)+'LINEST VARS'!$B$54*(4*12.73)+'LINEST VARS'!$A$54*(0.5*12.73)</f>
        <v>3.9749999999999996</v>
      </c>
      <c r="AS40" s="51">
        <f>'LINEST VARS'!$U$54+'LINEST VARS'!$T$54*($AS$32)+'LINEST VARS'!$S$54*($Z40)+'LINEST VARS'!$R$54*(4)+'LINEST VARS'!$Q$54*(0.5)+'LINEST VARS'!$P$54*(12.73)+'LINEST VARS'!$O$54*($AS$32^2)+'LINEST VARS'!$N$54*($Z40^2)+'LINEST VARS'!$M$54*(4^2)+'LINEST VARS'!$L$54*(0.5^2)+'LINEST VARS'!$K$54*(12.73^2)+'LINEST VARS'!$J$54*($AS$32*$Z40)+'LINEST VARS'!$I$54*($AS$32*4)+'LINEST VARS'!$H$54*($AS$32*0.5)+'LINEST VARS'!$G$54*($AS$32*12.73)+'LINEST VARS'!$F$54*($Z40*4)+'LINEST VARS'!$E$54*($Z40*0.5)+'LINEST VARS'!$D$54*($Z40*12.73)+'LINEST VARS'!$C$54*(4*0.5)+'LINEST VARS'!$B$54*(4*12.73)+'LINEST VARS'!$A$54*(0.5*12.73)</f>
        <v>3.9749999999999996</v>
      </c>
      <c r="AT40" s="51">
        <f>'LINEST VARS'!$U$54+'LINEST VARS'!$T$54*($AT$32)+'LINEST VARS'!$S$54*($Z40)+'LINEST VARS'!$R$54*(4)+'LINEST VARS'!$Q$54*(0.5)+'LINEST VARS'!$P$54*(12.73)+'LINEST VARS'!$O$54*($AT$32^2)+'LINEST VARS'!$N$54*($Z40^2)+'LINEST VARS'!$M$54*(4^2)+'LINEST VARS'!$L$54*(0.5^2)+'LINEST VARS'!$K$54*(12.73^2)+'LINEST VARS'!$J$54*($AT$32*$Z40)+'LINEST VARS'!$I$54*($AT$32*4)+'LINEST VARS'!$H$54*($AT$32*0.5)+'LINEST VARS'!$G$54*($AT$32*12.73)+'LINEST VARS'!$F$54*($Z40*4)+'LINEST VARS'!$E$54*($Z40*0.5)+'LINEST VARS'!$D$54*($Z40*12.73)+'LINEST VARS'!$C$54*(4*0.5)+'LINEST VARS'!$B$54*(4*12.73)+'LINEST VARS'!$A$54*(0.5*12.73)</f>
        <v>3.9750000000000001</v>
      </c>
      <c r="AU40" s="52">
        <f>'LINEST VARS'!$U$54+'LINEST VARS'!$T$54*($AU$32)+'LINEST VARS'!$S$54*($Z40)+'LINEST VARS'!$R$54*(4)+'LINEST VARS'!$Q$54*(0.5)+'LINEST VARS'!$P$54*(12.73)+'LINEST VARS'!$O$54*($AU$32^2)+'LINEST VARS'!$N$54*($Z40^2)+'LINEST VARS'!$M$54*(4^2)+'LINEST VARS'!$L$54*(0.5^2)+'LINEST VARS'!$K$54*(12.73^2)+'LINEST VARS'!$J$54*($AU$32*$Z40)+'LINEST VARS'!$I$54*($AU$32*4)+'LINEST VARS'!$H$54*($AU$32*0.5)+'LINEST VARS'!$G$54*($AU$32*12.73)+'LINEST VARS'!$F$54*($Z40*4)+'LINEST VARS'!$E$54*($Z40*0.5)+'LINEST VARS'!$D$54*($Z40*12.73)+'LINEST VARS'!$C$54*(4*0.5)+'LINEST VARS'!$B$54*(4*12.73)+'LINEST VARS'!$A$54*(0.5*12.73)</f>
        <v>3.9750000000000001</v>
      </c>
      <c r="AZ40" s="45">
        <v>0.35</v>
      </c>
      <c r="BA40" s="51">
        <f>'LINEST VARS'!$U$52+'LINEST VARS'!$T$52*(8)+'LINEST VARS'!$S$52*(8)+'LINEST VARS'!$R$52*($BA$32)+'LINEST VARS'!$Q$52*($AZ40)+'LINEST VARS'!$P$52*(12.73)+'LINEST VARS'!$O$52*(8^2)+'LINEST VARS'!$N$52*(8^2)+'LINEST VARS'!$M$52*($BA$32^2)+'LINEST VARS'!$L$52*($AZ40^2)+'LINEST VARS'!$K$52*(12.73^2)+'LINEST VARS'!$J$52*(8*8)+'LINEST VARS'!$I$52*(8*$BA$32)+'LINEST VARS'!$H$52*(8*$AZ40)+'LINEST VARS'!$G$52*(8*12.73)+'LINEST VARS'!$F$52*(8*$BA$32)+'LINEST VARS'!$E$52*(8*$AZ40)+'LINEST VARS'!$D$52*(8*12.73)+'LINEST VARS'!$C$52*($BA$32*$AZ40)+'LINEST VARS'!$B$52*($BA$32*12.73)+'LINEST VARS'!$A$52*($AZ40*12.73)</f>
        <v>4.4649999999999981</v>
      </c>
      <c r="BB40" s="51">
        <f>'LINEST VARS'!$U$52+'LINEST VARS'!$T$52*(8)+'LINEST VARS'!$S$52*(8)+'LINEST VARS'!$R$52*($BB$32)+'LINEST VARS'!$Q$52*($AZ40)+'LINEST VARS'!$P$52*(12.73)+'LINEST VARS'!$O$52*(8^2)+'LINEST VARS'!$N$52*(8^2)+'LINEST VARS'!$M$52*($BB$32^2)+'LINEST VARS'!$L$52*($AZ40^2)+'LINEST VARS'!$K$52*(12.73^2)+'LINEST VARS'!$J$52*(8*8)+'LINEST VARS'!$I$52*(8*$BB$32)+'LINEST VARS'!$H$52*(8*$AZ40)+'LINEST VARS'!$G$52*(8*12.73)+'LINEST VARS'!$F$52*(8*$BB$32)+'LINEST VARS'!$E$52*(8*$AZ40)+'LINEST VARS'!$D$52*(8*12.73)+'LINEST VARS'!$C$52*($BB$32*$AZ40)+'LINEST VARS'!$B$52*($BB$32*12.73)+'LINEST VARS'!$A$52*($AZ40*12.73)</f>
        <v>4.4649999999999981</v>
      </c>
      <c r="BC40" s="51">
        <f>'LINEST VARS'!$U$52+'LINEST VARS'!$T$52*(8)+'LINEST VARS'!$S$52*(8)+'LINEST VARS'!$R$52*($BC$32)+'LINEST VARS'!$Q$52*($AZ40)+'LINEST VARS'!$P$52*(12.73)+'LINEST VARS'!$O$52*(8^2)+'LINEST VARS'!$N$52*(8^2)+'LINEST VARS'!$M$52*($BC$32^2)+'LINEST VARS'!$L$52*($AZ40^2)+'LINEST VARS'!$K$52*(12.73^2)+'LINEST VARS'!$J$52*(8*8)+'LINEST VARS'!$I$52*(8*$BC$32)+'LINEST VARS'!$H$52*(8*$AZ40)+'LINEST VARS'!$G$52*(8*12.73)+'LINEST VARS'!$F$52*(8*$BC$32)+'LINEST VARS'!$E$52*(8*$AZ40)+'LINEST VARS'!$D$52*(8*12.73)+'LINEST VARS'!$C$52*($BC$32*$AZ40)+'LINEST VARS'!$B$52*($BC$32*12.73)+'LINEST VARS'!$A$52*($AZ40*12.73)</f>
        <v>4.4649999999999981</v>
      </c>
      <c r="BD40" s="51">
        <f>'LINEST VARS'!$U$52+'LINEST VARS'!$T$52*(8)+'LINEST VARS'!$S$52*(8)+'LINEST VARS'!$R$52*($BD$32)+'LINEST VARS'!$Q$52*($AZ40)+'LINEST VARS'!$P$52*(12.73)+'LINEST VARS'!$O$52*(8^2)+'LINEST VARS'!$N$52*(8^2)+'LINEST VARS'!$M$52*($BD$32^2)+'LINEST VARS'!$L$52*($AZ40^2)+'LINEST VARS'!$K$52*(12.73^2)+'LINEST VARS'!$J$52*(8*8)+'LINEST VARS'!$I$52*(8*$BD$32)+'LINEST VARS'!$H$52*(8*$AZ40)+'LINEST VARS'!$G$52*(8*12.73)+'LINEST VARS'!$F$52*(8*$BD$32)+'LINEST VARS'!$E$52*(8*$AZ40)+'LINEST VARS'!$D$52*(8*12.73)+'LINEST VARS'!$C$52*($BD$32*$AZ40)+'LINEST VARS'!$B$52*($BD$32*12.73)+'LINEST VARS'!$A$52*($AZ40*12.73)</f>
        <v>4.4649999999999981</v>
      </c>
      <c r="BE40" s="51">
        <f>'LINEST VARS'!$U$52+'LINEST VARS'!$T$52*(8)+'LINEST VARS'!$S$52*(8)+'LINEST VARS'!$R$52*($BE$32)+'LINEST VARS'!$Q$52*($AZ40)+'LINEST VARS'!$P$52*(12.73)+'LINEST VARS'!$O$52*(8^2)+'LINEST VARS'!$N$52*(8^2)+'LINEST VARS'!$M$52*($BE$32^2)+'LINEST VARS'!$L$52*($AZ40^2)+'LINEST VARS'!$K$52*(12.73^2)+'LINEST VARS'!$J$52*(8*8)+'LINEST VARS'!$I$52*(8*$BE$32)+'LINEST VARS'!$H$52*(8*$AZ40)+'LINEST VARS'!$G$52*(8*12.73)+'LINEST VARS'!$F$52*(8*$BE$32)+'LINEST VARS'!$E$52*(8*$AZ40)+'LINEST VARS'!$D$52*(8*12.73)+'LINEST VARS'!$C$52*($BE$32*$AZ40)+'LINEST VARS'!$B$52*($BE$32*12.73)+'LINEST VARS'!$A$52*($AZ40*12.73)</f>
        <v>4.4649999999999981</v>
      </c>
      <c r="BF40" s="51">
        <f>'LINEST VARS'!$U$52+'LINEST VARS'!$T$52*(8)+'LINEST VARS'!$S$52*(8)+'LINEST VARS'!$R$52*($BF$32)+'LINEST VARS'!$Q$52*($AZ40)+'LINEST VARS'!$P$52*(12.73)+'LINEST VARS'!$O$52*(8^2)+'LINEST VARS'!$N$52*(8^2)+'LINEST VARS'!$M$52*($BF$32^2)+'LINEST VARS'!$L$52*($AZ40^2)+'LINEST VARS'!$K$52*(12.73^2)+'LINEST VARS'!$J$52*(8*8)+'LINEST VARS'!$I$52*(8*$BF$32)+'LINEST VARS'!$H$52*(8*$AZ40)+'LINEST VARS'!$G$52*(8*12.73)+'LINEST VARS'!$F$52*(8*$BF$32)+'LINEST VARS'!$E$52*(8*$AZ40)+'LINEST VARS'!$D$52*(8*12.73)+'LINEST VARS'!$C$52*($BF$32*$AZ40)+'LINEST VARS'!$B$52*($BF$32*12.73)+'LINEST VARS'!$A$52*($AZ40*12.73)</f>
        <v>4.4649999999999981</v>
      </c>
      <c r="BG40" s="51">
        <f>'LINEST VARS'!$U$52+'LINEST VARS'!$T$52*(8)+'LINEST VARS'!$S$52*(8)+'LINEST VARS'!$R$52*($BG$32)+'LINEST VARS'!$Q$52*($AZ40)+'LINEST VARS'!$P$52*(12.73)+'LINEST VARS'!$O$52*(8^2)+'LINEST VARS'!$N$52*(8^2)+'LINEST VARS'!$M$52*($BG$32^2)+'LINEST VARS'!$L$52*($AZ40^2)+'LINEST VARS'!$K$52*(12.73^2)+'LINEST VARS'!$J$52*(8*8)+'LINEST VARS'!$I$52*(8*$BG$32)+'LINEST VARS'!$H$52*(8*$AZ40)+'LINEST VARS'!$G$52*(8*12.73)+'LINEST VARS'!$F$52*(8*$BG$32)+'LINEST VARS'!$E$52*(8*$AZ40)+'LINEST VARS'!$D$52*(8*12.73)+'LINEST VARS'!$C$52*($BG$32*$AZ40)+'LINEST VARS'!$B$52*($BG$32*12.73)+'LINEST VARS'!$A$52*($AZ40*12.73)</f>
        <v>4.4649999999999981</v>
      </c>
      <c r="BH40" s="51">
        <f>'LINEST VARS'!$U$52+'LINEST VARS'!$T$52*(8)+'LINEST VARS'!$S$52*(8)+'LINEST VARS'!$R$52*($BH$32)+'LINEST VARS'!$Q$52*($AZ40)+'LINEST VARS'!$P$52*(12.73)+'LINEST VARS'!$O$52*(8^2)+'LINEST VARS'!$N$52*(8^2)+'LINEST VARS'!$M$52*($BH$32^2)+'LINEST VARS'!$L$52*($AZ40^2)+'LINEST VARS'!$K$52*(12.73^2)+'LINEST VARS'!$J$52*(8*8)+'LINEST VARS'!$I$52*(8*$BH$32)+'LINEST VARS'!$H$52*(8*$AZ40)+'LINEST VARS'!$G$52*(8*12.73)+'LINEST VARS'!$F$52*(8*$BH$32)+'LINEST VARS'!$E$52*(8*$AZ40)+'LINEST VARS'!$D$52*(8*12.73)+'LINEST VARS'!$C$52*($BH$32*$AZ40)+'LINEST VARS'!$B$52*($BH$32*12.73)+'LINEST VARS'!$A$52*($AZ40*12.73)</f>
        <v>4.4649999999999981</v>
      </c>
      <c r="BI40" s="51">
        <f>'LINEST VARS'!$U$52+'LINEST VARS'!$T$52*(8)+'LINEST VARS'!$S$52*(8)+'LINEST VARS'!$R$52*($BI$32)+'LINEST VARS'!$Q$52*($AZ40)+'LINEST VARS'!$P$52*(12.73)+'LINEST VARS'!$O$52*(8^2)+'LINEST VARS'!$N$52*(8^2)+'LINEST VARS'!$M$52*($BI$32^2)+'LINEST VARS'!$L$52*($AZ40^2)+'LINEST VARS'!$K$52*(12.73^2)+'LINEST VARS'!$J$52*(8*8)+'LINEST VARS'!$I$52*(8*$BI$32)+'LINEST VARS'!$H$52*(8*$AZ40)+'LINEST VARS'!$G$52*(8*12.73)+'LINEST VARS'!$F$52*(8*$BI$32)+'LINEST VARS'!$E$52*(8*$AZ40)+'LINEST VARS'!$D$52*(8*12.73)+'LINEST VARS'!$C$52*($BI$32*$AZ40)+'LINEST VARS'!$B$52*($BI$32*12.73)+'LINEST VARS'!$A$52*($AZ40*12.73)</f>
        <v>4.4649999999999981</v>
      </c>
      <c r="BJ40" s="51">
        <f>'LINEST VARS'!$U$52+'LINEST VARS'!$T$52*(8)+'LINEST VARS'!$S$52*(8)+'LINEST VARS'!$R$52*($BJ$32)+'LINEST VARS'!$Q$52*($AZ40)+'LINEST VARS'!$P$52*(12.73)+'LINEST VARS'!$O$52*(8^2)+'LINEST VARS'!$N$52*(8^2)+'LINEST VARS'!$M$52*($BJ$32^2)+'LINEST VARS'!$L$52*($AZ40^2)+'LINEST VARS'!$K$52*(12.73^2)+'LINEST VARS'!$J$52*(8*8)+'LINEST VARS'!$I$52*(8*$BJ$32)+'LINEST VARS'!$H$52*(8*$AZ40)+'LINEST VARS'!$G$52*(8*12.73)+'LINEST VARS'!$F$52*(8*$BJ$32)+'LINEST VARS'!$E$52*(8*$AZ40)+'LINEST VARS'!$D$52*(8*12.73)+'LINEST VARS'!$C$52*($BJ$32*$AZ40)+'LINEST VARS'!$B$52*($BJ$32*12.73)+'LINEST VARS'!$A$52*($AZ40*12.73)</f>
        <v>4.4649999999999981</v>
      </c>
      <c r="BK40" s="51">
        <f>'LINEST VARS'!$U$52+'LINEST VARS'!$T$52*(8)+'LINEST VARS'!$S$52*(8)+'LINEST VARS'!$R$52*($BK$32)+'LINEST VARS'!$Q$52*($AZ40)+'LINEST VARS'!$P$52*(12.73)+'LINEST VARS'!$O$52*(8^2)+'LINEST VARS'!$N$52*(8^2)+'LINEST VARS'!$M$52*($BK$32^2)+'LINEST VARS'!$L$52*($AZ40^2)+'LINEST VARS'!$K$52*(12.73^2)+'LINEST VARS'!$J$52*(8*8)+'LINEST VARS'!$I$52*(8*$BK$32)+'LINEST VARS'!$H$52*(8*$AZ40)+'LINEST VARS'!$G$52*(8*12.73)+'LINEST VARS'!$F$52*(8*$BK$32)+'LINEST VARS'!$E$52*(8*$AZ40)+'LINEST VARS'!$D$52*(8*12.73)+'LINEST VARS'!$C$52*($BK$32*$AZ40)+'LINEST VARS'!$B$52*($BK$32*12.73)+'LINEST VARS'!$A$52*($AZ40*12.73)</f>
        <v>4.4649999999999981</v>
      </c>
      <c r="BL40" s="51">
        <f>'LINEST VARS'!$U$52+'LINEST VARS'!$T$52*(8)+'LINEST VARS'!$S$52*(8)+'LINEST VARS'!$R$52*($BL$32)+'LINEST VARS'!$Q$52*($AZ40)+'LINEST VARS'!$P$52*(12.73)+'LINEST VARS'!$O$52*(8^2)+'LINEST VARS'!$N$52*(8^2)+'LINEST VARS'!$M$52*($BL$32^2)+'LINEST VARS'!$L$52*($AZ40^2)+'LINEST VARS'!$K$52*(12.73^2)+'LINEST VARS'!$J$52*(8*8)+'LINEST VARS'!$I$52*(8*$BL$32)+'LINEST VARS'!$H$52*(8*$AZ40)+'LINEST VARS'!$G$52*(8*12.73)+'LINEST VARS'!$F$52*(8*$BL$32)+'LINEST VARS'!$E$52*(8*$AZ40)+'LINEST VARS'!$D$52*(8*12.73)+'LINEST VARS'!$C$52*($BL$32*$AZ40)+'LINEST VARS'!$B$52*($BL$32*12.73)+'LINEST VARS'!$A$52*($AZ40*12.73)</f>
        <v>4.4649999999999981</v>
      </c>
      <c r="BM40" s="51">
        <f>'LINEST VARS'!$U$52+'LINEST VARS'!$T$52*(8)+'LINEST VARS'!$S$52*(8)+'LINEST VARS'!$R$52*($BM$32)+'LINEST VARS'!$Q$52*($AZ40)+'LINEST VARS'!$P$52*(12.73)+'LINEST VARS'!$O$52*(8^2)+'LINEST VARS'!$N$52*(8^2)+'LINEST VARS'!$M$52*($BM$32^2)+'LINEST VARS'!$L$52*($AZ40^2)+'LINEST VARS'!$K$52*(12.73^2)+'LINEST VARS'!$J$52*(8*8)+'LINEST VARS'!$I$52*(8*$BM$32)+'LINEST VARS'!$H$52*(8*$AZ40)+'LINEST VARS'!$G$52*(8*12.73)+'LINEST VARS'!$F$52*(8*$BM$32)+'LINEST VARS'!$E$52*(8*$AZ40)+'LINEST VARS'!$D$52*(8*12.73)+'LINEST VARS'!$C$52*($BM$32*$AZ40)+'LINEST VARS'!$B$52*($BM$32*12.73)+'LINEST VARS'!$A$52*($AZ40*12.73)</f>
        <v>4.4649999999999981</v>
      </c>
      <c r="BN40" s="51">
        <f>'LINEST VARS'!$U$52+'LINEST VARS'!$T$52*(8)+'LINEST VARS'!$S$52*(8)+'LINEST VARS'!$R$52*($BN$32)+'LINEST VARS'!$Q$52*($AZ40)+'LINEST VARS'!$P$52*(12.73)+'LINEST VARS'!$O$52*(8^2)+'LINEST VARS'!$N$52*(8^2)+'LINEST VARS'!$M$52*($BN$32^2)+'LINEST VARS'!$L$52*($AZ40^2)+'LINEST VARS'!$K$52*(12.73^2)+'LINEST VARS'!$J$52*(8*8)+'LINEST VARS'!$I$52*(8*$BN$32)+'LINEST VARS'!$H$52*(8*$AZ40)+'LINEST VARS'!$G$52*(8*12.73)+'LINEST VARS'!$F$52*(8*$BN$32)+'LINEST VARS'!$E$52*(8*$AZ40)+'LINEST VARS'!$D$52*(8*12.73)+'LINEST VARS'!$C$52*($BN$32*$AZ40)+'LINEST VARS'!$B$52*($BN$32*12.73)+'LINEST VARS'!$A$52*($AZ40*12.73)</f>
        <v>4.4649999999999981</v>
      </c>
      <c r="BO40" s="51">
        <f>'LINEST VARS'!$U$52+'LINEST VARS'!$T$52*(8)+'LINEST VARS'!$S$52*(8)+'LINEST VARS'!$R$52*($BO$32)+'LINEST VARS'!$Q$52*($AZ40)+'LINEST VARS'!$P$52*(12.73)+'LINEST VARS'!$O$52*(8^2)+'LINEST VARS'!$N$52*(8^2)+'LINEST VARS'!$M$52*($BO$32^2)+'LINEST VARS'!$L$52*($AZ40^2)+'LINEST VARS'!$K$52*(12.73^2)+'LINEST VARS'!$J$52*(8*8)+'LINEST VARS'!$I$52*(8*$BO$32)+'LINEST VARS'!$H$52*(8*$AZ40)+'LINEST VARS'!$G$52*(8*12.73)+'LINEST VARS'!$F$52*(8*$BO$32)+'LINEST VARS'!$E$52*(8*$AZ40)+'LINEST VARS'!$D$52*(8*12.73)+'LINEST VARS'!$C$52*($BO$32*$AZ40)+'LINEST VARS'!$B$52*($BO$32*12.73)+'LINEST VARS'!$A$52*($AZ40*12.73)</f>
        <v>4.4649999999999981</v>
      </c>
      <c r="BP40" s="51">
        <f>'LINEST VARS'!$U$52+'LINEST VARS'!$T$52*(8)+'LINEST VARS'!$S$52*(8)+'LINEST VARS'!$R$52*($BP$32)+'LINEST VARS'!$Q$52*($AZ40)+'LINEST VARS'!$P$52*(12.73)+'LINEST VARS'!$O$52*(8^2)+'LINEST VARS'!$N$52*(8^2)+'LINEST VARS'!$M$52*($BP$32^2)+'LINEST VARS'!$L$52*($AZ40^2)+'LINEST VARS'!$K$52*(12.73^2)+'LINEST VARS'!$J$52*(8*8)+'LINEST VARS'!$I$52*(8*$BP$32)+'LINEST VARS'!$H$52*(8*$AZ40)+'LINEST VARS'!$G$52*(8*12.73)+'LINEST VARS'!$F$52*(8*$BP$32)+'LINEST VARS'!$E$52*(8*$AZ40)+'LINEST VARS'!$D$52*(8*12.73)+'LINEST VARS'!$C$52*($BP$32*$AZ40)+'LINEST VARS'!$B$52*($BP$32*12.73)+'LINEST VARS'!$A$52*($AZ40*12.73)</f>
        <v>4.4649999999999981</v>
      </c>
      <c r="BQ40" s="51">
        <f>'LINEST VARS'!$U$52+'LINEST VARS'!$T$52*(8)+'LINEST VARS'!$S$52*(8)+'LINEST VARS'!$R$52*($BQ$32)+'LINEST VARS'!$Q$52*($AZ40)+'LINEST VARS'!$P$52*(12.73)+'LINEST VARS'!$O$52*(8^2)+'LINEST VARS'!$N$52*(8^2)+'LINEST VARS'!$M$52*($BQ$32^2)+'LINEST VARS'!$L$52*($AZ40^2)+'LINEST VARS'!$K$52*(12.73^2)+'LINEST VARS'!$J$52*(8*8)+'LINEST VARS'!$I$52*(8*$BQ$32)+'LINEST VARS'!$H$52*(8*$AZ40)+'LINEST VARS'!$G$52*(8*12.73)+'LINEST VARS'!$F$52*(8*$BQ$32)+'LINEST VARS'!$E$52*(8*$AZ40)+'LINEST VARS'!$D$52*(8*12.73)+'LINEST VARS'!$C$52*($BQ$32*$AZ40)+'LINEST VARS'!$B$52*($BQ$32*12.73)+'LINEST VARS'!$A$52*($AZ40*12.73)</f>
        <v>4.4649999999999981</v>
      </c>
      <c r="BR40" s="51">
        <f>'LINEST VARS'!$U$52+'LINEST VARS'!$T$52*(8)+'LINEST VARS'!$S$52*(8)+'LINEST VARS'!$R$52*($BR$32)+'LINEST VARS'!$Q$52*($AZ40)+'LINEST VARS'!$P$52*(12.73)+'LINEST VARS'!$O$52*(8^2)+'LINEST VARS'!$N$52*(8^2)+'LINEST VARS'!$M$52*($BR$32^2)+'LINEST VARS'!$L$52*($AZ40^2)+'LINEST VARS'!$K$52*(12.73^2)+'LINEST VARS'!$J$52*(8*8)+'LINEST VARS'!$I$52*(8*$BR$32)+'LINEST VARS'!$H$52*(8*$AZ40)+'LINEST VARS'!$G$52*(8*12.73)+'LINEST VARS'!$F$52*(8*$BR$32)+'LINEST VARS'!$E$52*(8*$AZ40)+'LINEST VARS'!$D$52*(8*12.73)+'LINEST VARS'!$C$52*($BR$32*$AZ40)+'LINEST VARS'!$B$52*($BR$32*12.73)+'LINEST VARS'!$A$52*($AZ40*12.73)</f>
        <v>4.4649999999999981</v>
      </c>
      <c r="BS40" s="51">
        <f>'LINEST VARS'!$U$52+'LINEST VARS'!$T$52*(8)+'LINEST VARS'!$S$52*(8)+'LINEST VARS'!$R$52*($BS$32)+'LINEST VARS'!$Q$52*($AZ40)+'LINEST VARS'!$P$52*(12.73)+'LINEST VARS'!$O$52*(8^2)+'LINEST VARS'!$N$52*(8^2)+'LINEST VARS'!$M$52*($BS$32^2)+'LINEST VARS'!$L$52*($AZ40^2)+'LINEST VARS'!$K$52*(12.73^2)+'LINEST VARS'!$J$52*(8*8)+'LINEST VARS'!$I$52*(8*$BS$32)+'LINEST VARS'!$H$52*(8*$AZ40)+'LINEST VARS'!$G$52*(8*12.73)+'LINEST VARS'!$F$52*(8*$BS$32)+'LINEST VARS'!$E$52*(8*$AZ40)+'LINEST VARS'!$D$52*(8*12.73)+'LINEST VARS'!$C$52*($BS$32*$AZ40)+'LINEST VARS'!$B$52*($BS$32*12.73)+'LINEST VARS'!$A$52*($AZ40*12.73)</f>
        <v>4.4649999999999981</v>
      </c>
      <c r="BT40" s="51">
        <f>'LINEST VARS'!$U$52+'LINEST VARS'!$T$52*(8)+'LINEST VARS'!$S$52*(8)+'LINEST VARS'!$R$52*($BT$32)+'LINEST VARS'!$Q$52*($AZ40)+'LINEST VARS'!$P$52*(12.73)+'LINEST VARS'!$O$52*(8^2)+'LINEST VARS'!$N$52*(8^2)+'LINEST VARS'!$M$52*($BT$32^2)+'LINEST VARS'!$L$52*($AZ40^2)+'LINEST VARS'!$K$52*(12.73^2)+'LINEST VARS'!$J$52*(8*8)+'LINEST VARS'!$I$52*(8*$BT$32)+'LINEST VARS'!$H$52*(8*$AZ40)+'LINEST VARS'!$G$52*(8*12.73)+'LINEST VARS'!$F$52*(8*$BT$32)+'LINEST VARS'!$E$52*(8*$AZ40)+'LINEST VARS'!$D$52*(8*12.73)+'LINEST VARS'!$C$52*($BT$32*$AZ40)+'LINEST VARS'!$B$52*($BT$32*12.73)+'LINEST VARS'!$A$52*($AZ40*12.73)</f>
        <v>4.4649999999999981</v>
      </c>
      <c r="BU40" s="52">
        <f>'LINEST VARS'!$U$52+'LINEST VARS'!$T$52*(8)+'LINEST VARS'!$S$52*(8)+'LINEST VARS'!$R$52*($BU$32)+'LINEST VARS'!$Q$52*($AZ40)+'LINEST VARS'!$P$52*(12.73)+'LINEST VARS'!$O$52*(8^2)+'LINEST VARS'!$N$52*(8^2)+'LINEST VARS'!$M$52*($BU$32^2)+'LINEST VARS'!$L$52*($AZ40^2)+'LINEST VARS'!$K$52*(12.73^2)+'LINEST VARS'!$J$52*(8*8)+'LINEST VARS'!$I$52*(8*$BU$32)+'LINEST VARS'!$H$52*(8*$AZ40)+'LINEST VARS'!$G$52*(8*12.73)+'LINEST VARS'!$F$52*(8*$BU$32)+'LINEST VARS'!$E$52*(8*$AZ40)+'LINEST VARS'!$D$52*(8*12.73)+'LINEST VARS'!$C$52*($BU$32*$AZ40)+'LINEST VARS'!$B$52*($BU$32*12.73)+'LINEST VARS'!$A$52*($AZ40*12.73)</f>
        <v>4.4649999999999981</v>
      </c>
      <c r="BX40" s="45">
        <v>0.35</v>
      </c>
      <c r="BY40" s="51">
        <f>'LINEST VARS'!$U$54+'LINEST VARS'!$T$54*(8)+'LINEST VARS'!$S$54*(8)+'LINEST VARS'!$R$54*($BY$32)+'LINEST VARS'!$Q$54*($BX40)+'LINEST VARS'!$P$54*(12.73)+'LINEST VARS'!$O$54*(8^2)+'LINEST VARS'!$N$54*(8^2)+'LINEST VARS'!$M$54*($BY$32^2)+'LINEST VARS'!$L$54*($BX40^2)+'LINEST VARS'!$K$54*(12.73^2)+'LINEST VARS'!$J$54*(8*8)+'LINEST VARS'!$I$54*(8*$BY$32)+'LINEST VARS'!$H$54*(8*$BX40)+'LINEST VARS'!$G$54*(8*12.73)+'LINEST VARS'!$F$54*(8*$BY$32)+'LINEST VARS'!$E$54*(8*$BX40)+'LINEST VARS'!$D$54*(8*12.73)+'LINEST VARS'!$C$54*($BY$32*$BX40)+'LINEST VARS'!$B$54*($BY$32*12.73)+'LINEST VARS'!$A$54*($BX40*12.73)</f>
        <v>3.9824999999999995</v>
      </c>
      <c r="BZ40" s="51">
        <f>'LINEST VARS'!$U$54+'LINEST VARS'!$T$54*(8)+'LINEST VARS'!$S$54*(8)+'LINEST VARS'!$R$54*($BZ$32)+'LINEST VARS'!$Q$54*($BX40)+'LINEST VARS'!$P$54*(12.73)+'LINEST VARS'!$O$54*(8^2)+'LINEST VARS'!$N$54*(8^2)+'LINEST VARS'!$M$54*($BZ$32^2)+'LINEST VARS'!$L$54*($BX40^2)+'LINEST VARS'!$K$54*(12.73^2)+'LINEST VARS'!$J$54*(8*8)+'LINEST VARS'!$I$54*(8*$BZ$32)+'LINEST VARS'!$H$54*(8*$BX40)+'LINEST VARS'!$G$54*(8*12.73)+'LINEST VARS'!$F$54*(8*$BZ$32)+'LINEST VARS'!$E$54*(8*$BX40)+'LINEST VARS'!$D$54*(8*12.73)+'LINEST VARS'!$C$54*($BZ$32*$BX40)+'LINEST VARS'!$B$54*($BZ$32*12.73)+'LINEST VARS'!$A$54*($BX40*12.73)</f>
        <v>3.9824999999999995</v>
      </c>
      <c r="CA40" s="51">
        <f>'LINEST VARS'!$U$54+'LINEST VARS'!$T$54*(8)+'LINEST VARS'!$S$54*(8)+'LINEST VARS'!$R$54*($CA$32)+'LINEST VARS'!$Q$54*($BX40)+'LINEST VARS'!$P$54*(12.73)+'LINEST VARS'!$O$54*(8^2)+'LINEST VARS'!$N$54*(8^2)+'LINEST VARS'!$M$54*($CA$32^2)+'LINEST VARS'!$L$54*($BX40^2)+'LINEST VARS'!$K$54*(12.73^2)+'LINEST VARS'!$J$54*(8*8)+'LINEST VARS'!$I$54*(8*$CA$32)+'LINEST VARS'!$H$54*(8*$BX40)+'LINEST VARS'!$G$54*(8*12.73)+'LINEST VARS'!$F$54*(8*$CA$32)+'LINEST VARS'!$E$54*(8*$BX40)+'LINEST VARS'!$D$54*(8*12.73)+'LINEST VARS'!$C$54*($CA$32*$BX40)+'LINEST VARS'!$B$54*($CA$32*12.73)+'LINEST VARS'!$A$54*($BX40*12.73)</f>
        <v>3.9824999999999995</v>
      </c>
      <c r="CB40" s="51">
        <f>'LINEST VARS'!$U$54+'LINEST VARS'!$T$54*(8)+'LINEST VARS'!$S$54*(8)+'LINEST VARS'!$R$54*($CB$32)+'LINEST VARS'!$Q$54*($BX40)+'LINEST VARS'!$P$54*(12.73)+'LINEST VARS'!$O$54*(8^2)+'LINEST VARS'!$N$54*(8^2)+'LINEST VARS'!$M$54*($CB$32^2)+'LINEST VARS'!$L$54*($BX40^2)+'LINEST VARS'!$K$54*(12.73^2)+'LINEST VARS'!$J$54*(8*8)+'LINEST VARS'!$I$54*(8*$CB$32)+'LINEST VARS'!$H$54*(8*$BX40)+'LINEST VARS'!$G$54*(8*12.73)+'LINEST VARS'!$F$54*(8*$CB$32)+'LINEST VARS'!$E$54*(8*$BX40)+'LINEST VARS'!$D$54*(8*12.73)+'LINEST VARS'!$C$54*($CB$32*$BX40)+'LINEST VARS'!$B$54*($CB$32*12.73)+'LINEST VARS'!$A$54*($BX40*12.73)</f>
        <v>3.9824999999999995</v>
      </c>
      <c r="CC40" s="51">
        <f>'LINEST VARS'!$U$54+'LINEST VARS'!$T$54*(8)+'LINEST VARS'!$S$54*(8)+'LINEST VARS'!$R$54*($CC$32)+'LINEST VARS'!$Q$54*($BX40)+'LINEST VARS'!$P$54*(12.73)+'LINEST VARS'!$O$54*(8^2)+'LINEST VARS'!$N$54*(8^2)+'LINEST VARS'!$M$54*($CC$32^2)+'LINEST VARS'!$L$54*($BX40^2)+'LINEST VARS'!$K$54*(12.73^2)+'LINEST VARS'!$J$54*(8*8)+'LINEST VARS'!$I$54*(8*$CC$32)+'LINEST VARS'!$H$54*(8*$BX40)+'LINEST VARS'!$G$54*(8*12.73)+'LINEST VARS'!$F$54*(8*$CC$32)+'LINEST VARS'!$E$54*(8*$BX40)+'LINEST VARS'!$D$54*(8*12.73)+'LINEST VARS'!$C$54*($CC$32*$BX40)+'LINEST VARS'!$B$54*($CC$32*12.73)+'LINEST VARS'!$A$54*($BX40*12.73)</f>
        <v>3.9824999999999995</v>
      </c>
      <c r="CD40" s="51">
        <f>'LINEST VARS'!$U$54+'LINEST VARS'!$T$54*(8)+'LINEST VARS'!$S$54*(8)+'LINEST VARS'!$R$54*($CD$32)+'LINEST VARS'!$Q$54*($BX40)+'LINEST VARS'!$P$54*(12.73)+'LINEST VARS'!$O$54*(8^2)+'LINEST VARS'!$N$54*(8^2)+'LINEST VARS'!$M$54*($CD$32^2)+'LINEST VARS'!$L$54*($BX40^2)+'LINEST VARS'!$K$54*(12.73^2)+'LINEST VARS'!$J$54*(8*8)+'LINEST VARS'!$I$54*(8*$CD$32)+'LINEST VARS'!$H$54*(8*$BX40)+'LINEST VARS'!$G$54*(8*12.73)+'LINEST VARS'!$F$54*(8*$CD$32)+'LINEST VARS'!$E$54*(8*$BX40)+'LINEST VARS'!$D$54*(8*12.73)+'LINEST VARS'!$C$54*($CD$32*$BX40)+'LINEST VARS'!$B$54*($CD$32*12.73)+'LINEST VARS'!$A$54*($BX40*12.73)</f>
        <v>3.9824999999999995</v>
      </c>
      <c r="CE40" s="51">
        <f>'LINEST VARS'!$U$54+'LINEST VARS'!$T$54*(8)+'LINEST VARS'!$S$54*(8)+'LINEST VARS'!$R$54*($CE$32)+'LINEST VARS'!$Q$54*($BX40)+'LINEST VARS'!$P$54*(12.73)+'LINEST VARS'!$O$54*(8^2)+'LINEST VARS'!$N$54*(8^2)+'LINEST VARS'!$M$54*($CE$32^2)+'LINEST VARS'!$L$54*($BX40^2)+'LINEST VARS'!$K$54*(12.73^2)+'LINEST VARS'!$J$54*(8*8)+'LINEST VARS'!$I$54*(8*$CE$32)+'LINEST VARS'!$H$54*(8*$BX40)+'LINEST VARS'!$G$54*(8*12.73)+'LINEST VARS'!$F$54*(8*$CE$32)+'LINEST VARS'!$E$54*(8*$BX40)+'LINEST VARS'!$D$54*(8*12.73)+'LINEST VARS'!$C$54*($CE$32*$BX40)+'LINEST VARS'!$B$54*($CE$32*12.73)+'LINEST VARS'!$A$54*($BX40*12.73)</f>
        <v>3.9824999999999995</v>
      </c>
      <c r="CF40" s="51">
        <f>'LINEST VARS'!$U$54+'LINEST VARS'!$T$54*(8)+'LINEST VARS'!$S$54*(8)+'LINEST VARS'!$R$54*($CF$32)+'LINEST VARS'!$Q$54*($BX40)+'LINEST VARS'!$P$54*(12.73)+'LINEST VARS'!$O$54*(8^2)+'LINEST VARS'!$N$54*(8^2)+'LINEST VARS'!$M$54*($CF$32^2)+'LINEST VARS'!$L$54*($BX40^2)+'LINEST VARS'!$K$54*(12.73^2)+'LINEST VARS'!$J$54*(8*8)+'LINEST VARS'!$I$54*(8*$CF$32)+'LINEST VARS'!$H$54*(8*$BX40)+'LINEST VARS'!$G$54*(8*12.73)+'LINEST VARS'!$F$54*(8*$CF$32)+'LINEST VARS'!$E$54*(8*$BX40)+'LINEST VARS'!$D$54*(8*12.73)+'LINEST VARS'!$C$54*($CF$32*$BX40)+'LINEST VARS'!$B$54*($CF$32*12.73)+'LINEST VARS'!$A$54*($BX40*12.73)</f>
        <v>3.9824999999999995</v>
      </c>
      <c r="CG40" s="51">
        <f>'LINEST VARS'!$U$54+'LINEST VARS'!$T$54*(8)+'LINEST VARS'!$S$54*(8)+'LINEST VARS'!$R$54*($CG$32)+'LINEST VARS'!$Q$54*($BX40)+'LINEST VARS'!$P$54*(12.73)+'LINEST VARS'!$O$54*(8^2)+'LINEST VARS'!$N$54*(8^2)+'LINEST VARS'!$M$54*($CG$32^2)+'LINEST VARS'!$L$54*($BX40^2)+'LINEST VARS'!$K$54*(12.73^2)+'LINEST VARS'!$J$54*(8*8)+'LINEST VARS'!$I$54*(8*$CG$32)+'LINEST VARS'!$H$54*(8*$BX40)+'LINEST VARS'!$G$54*(8*12.73)+'LINEST VARS'!$F$54*(8*$CG$32)+'LINEST VARS'!$E$54*(8*$BX40)+'LINEST VARS'!$D$54*(8*12.73)+'LINEST VARS'!$C$54*($CG$32*$BX40)+'LINEST VARS'!$B$54*($CG$32*12.73)+'LINEST VARS'!$A$54*($BX40*12.73)</f>
        <v>3.9824999999999995</v>
      </c>
      <c r="CH40" s="51">
        <f>'LINEST VARS'!$U$54+'LINEST VARS'!$T$54*(8)+'LINEST VARS'!$S$54*(8)+'LINEST VARS'!$R$54*($CH$32)+'LINEST VARS'!$Q$54*($BX40)+'LINEST VARS'!$P$54*(12.73)+'LINEST VARS'!$O$54*(8^2)+'LINEST VARS'!$N$54*(8^2)+'LINEST VARS'!$M$54*($CH$32^2)+'LINEST VARS'!$L$54*($BX40^2)+'LINEST VARS'!$K$54*(12.73^2)+'LINEST VARS'!$J$54*(8*8)+'LINEST VARS'!$I$54*(8*$CH$32)+'LINEST VARS'!$H$54*(8*$BX40)+'LINEST VARS'!$G$54*(8*12.73)+'LINEST VARS'!$F$54*(8*$CH$32)+'LINEST VARS'!$E$54*(8*$BX40)+'LINEST VARS'!$D$54*(8*12.73)+'LINEST VARS'!$C$54*($CH$32*$BX40)+'LINEST VARS'!$B$54*($CH$32*12.73)+'LINEST VARS'!$A$54*($BX40*12.73)</f>
        <v>3.9824999999999995</v>
      </c>
      <c r="CI40" s="51">
        <f>'LINEST VARS'!$U$54+'LINEST VARS'!$T$54*(8)+'LINEST VARS'!$S$54*(8)+'LINEST VARS'!$R$54*($CI$32)+'LINEST VARS'!$Q$54*($BX40)+'LINEST VARS'!$P$54*(12.73)+'LINEST VARS'!$O$54*(8^2)+'LINEST VARS'!$N$54*(8^2)+'LINEST VARS'!$M$54*($CI$32^2)+'LINEST VARS'!$L$54*($BX40^2)+'LINEST VARS'!$K$54*(12.73^2)+'LINEST VARS'!$J$54*(8*8)+'LINEST VARS'!$I$54*(8*$CI$32)+'LINEST VARS'!$H$54*(8*$BX40)+'LINEST VARS'!$G$54*(8*12.73)+'LINEST VARS'!$F$54*(8*$CI$32)+'LINEST VARS'!$E$54*(8*$BX40)+'LINEST VARS'!$D$54*(8*12.73)+'LINEST VARS'!$C$54*($CI$32*$BX40)+'LINEST VARS'!$B$54*($CI$32*12.73)+'LINEST VARS'!$A$54*($BX40*12.73)</f>
        <v>3.9824999999999995</v>
      </c>
      <c r="CJ40" s="51">
        <f>'LINEST VARS'!$U$54+'LINEST VARS'!$T$54*(8)+'LINEST VARS'!$S$54*(8)+'LINEST VARS'!$R$54*($CJ$32)+'LINEST VARS'!$Q$54*($BX40)+'LINEST VARS'!$P$54*(12.73)+'LINEST VARS'!$O$54*(8^2)+'LINEST VARS'!$N$54*(8^2)+'LINEST VARS'!$M$54*($CJ$32^2)+'LINEST VARS'!$L$54*($BX40^2)+'LINEST VARS'!$K$54*(12.73^2)+'LINEST VARS'!$J$54*(8*8)+'LINEST VARS'!$I$54*(8*$CJ$32)+'LINEST VARS'!$H$54*(8*$BX40)+'LINEST VARS'!$G$54*(8*12.73)+'LINEST VARS'!$F$54*(8*$CJ$32)+'LINEST VARS'!$E$54*(8*$BX40)+'LINEST VARS'!$D$54*(8*12.73)+'LINEST VARS'!$C$54*($CJ$32*$BX40)+'LINEST VARS'!$B$54*($CJ$32*12.73)+'LINEST VARS'!$A$54*($BX40*12.73)</f>
        <v>3.9824999999999995</v>
      </c>
      <c r="CK40" s="51">
        <f>'LINEST VARS'!$U$54+'LINEST VARS'!$T$54*(8)+'LINEST VARS'!$S$54*(8)+'LINEST VARS'!$R$54*($CK$32)+'LINEST VARS'!$Q$54*($BX40)+'LINEST VARS'!$P$54*(12.73)+'LINEST VARS'!$O$54*(8^2)+'LINEST VARS'!$N$54*(8^2)+'LINEST VARS'!$M$54*($CK$32^2)+'LINEST VARS'!$L$54*($BX40^2)+'LINEST VARS'!$K$54*(12.73^2)+'LINEST VARS'!$J$54*(8*8)+'LINEST VARS'!$I$54*(8*$CK$32)+'LINEST VARS'!$H$54*(8*$BX40)+'LINEST VARS'!$G$54*(8*12.73)+'LINEST VARS'!$F$54*(8*$CK$32)+'LINEST VARS'!$E$54*(8*$BX40)+'LINEST VARS'!$D$54*(8*12.73)+'LINEST VARS'!$C$54*($CK$32*$BX40)+'LINEST VARS'!$B$54*($CK$32*12.73)+'LINEST VARS'!$A$54*($BX40*12.73)</f>
        <v>3.9824999999999995</v>
      </c>
      <c r="CL40" s="51">
        <f>'LINEST VARS'!$U$54+'LINEST VARS'!$T$54*(8)+'LINEST VARS'!$S$54*(8)+'LINEST VARS'!$R$54*($CL$32)+'LINEST VARS'!$Q$54*($BX40)+'LINEST VARS'!$P$54*(12.73)+'LINEST VARS'!$O$54*(8^2)+'LINEST VARS'!$N$54*(8^2)+'LINEST VARS'!$M$54*($CL$32^2)+'LINEST VARS'!$L$54*($BX40^2)+'LINEST VARS'!$K$54*(12.73^2)+'LINEST VARS'!$J$54*(8*8)+'LINEST VARS'!$I$54*(8*$CL$32)+'LINEST VARS'!$H$54*(8*$BX40)+'LINEST VARS'!$G$54*(8*12.73)+'LINEST VARS'!$F$54*(8*$CL$32)+'LINEST VARS'!$E$54*(8*$BX40)+'LINEST VARS'!$D$54*(8*12.73)+'LINEST VARS'!$C$54*($CL$32*$BX40)+'LINEST VARS'!$B$54*($CL$32*12.73)+'LINEST VARS'!$A$54*($BX40*12.73)</f>
        <v>3.9824999999999995</v>
      </c>
      <c r="CM40" s="51">
        <f>'LINEST VARS'!$U$54+'LINEST VARS'!$T$54*(8)+'LINEST VARS'!$S$54*(8)+'LINEST VARS'!$R$54*($CM$32)+'LINEST VARS'!$Q$54*($BX40)+'LINEST VARS'!$P$54*(12.73)+'LINEST VARS'!$O$54*(8^2)+'LINEST VARS'!$N$54*(8^2)+'LINEST VARS'!$M$54*($CM$32^2)+'LINEST VARS'!$L$54*($BX40^2)+'LINEST VARS'!$K$54*(12.73^2)+'LINEST VARS'!$J$54*(8*8)+'LINEST VARS'!$I$54*(8*$CM$32)+'LINEST VARS'!$H$54*(8*$BX40)+'LINEST VARS'!$G$54*(8*12.73)+'LINEST VARS'!$F$54*(8*$CM$32)+'LINEST VARS'!$E$54*(8*$BX40)+'LINEST VARS'!$D$54*(8*12.73)+'LINEST VARS'!$C$54*($CM$32*$BX40)+'LINEST VARS'!$B$54*($CM$32*12.73)+'LINEST VARS'!$A$54*($BX40*12.73)</f>
        <v>3.9824999999999995</v>
      </c>
      <c r="CN40" s="51">
        <f>'LINEST VARS'!$U$54+'LINEST VARS'!$T$54*(8)+'LINEST VARS'!$S$54*(8)+'LINEST VARS'!$R$54*($CN$32)+'LINEST VARS'!$Q$54*($BX40)+'LINEST VARS'!$P$54*(12.73)+'LINEST VARS'!$O$54*(8^2)+'LINEST VARS'!$N$54*(8^2)+'LINEST VARS'!$M$54*($CN$32^2)+'LINEST VARS'!$L$54*($BX40^2)+'LINEST VARS'!$K$54*(12.73^2)+'LINEST VARS'!$J$54*(8*8)+'LINEST VARS'!$I$54*(8*$CN$32)+'LINEST VARS'!$H$54*(8*$BX40)+'LINEST VARS'!$G$54*(8*12.73)+'LINEST VARS'!$F$54*(8*$CN$32)+'LINEST VARS'!$E$54*(8*$BX40)+'LINEST VARS'!$D$54*(8*12.73)+'LINEST VARS'!$C$54*($CN$32*$BX40)+'LINEST VARS'!$B$54*($CN$32*12.73)+'LINEST VARS'!$A$54*($BX40*12.73)</f>
        <v>3.9824999999999995</v>
      </c>
      <c r="CO40" s="51">
        <f>'LINEST VARS'!$U$54+'LINEST VARS'!$T$54*(8)+'LINEST VARS'!$S$54*(8)+'LINEST VARS'!$R$54*($CO$32)+'LINEST VARS'!$Q$54*($BX40)+'LINEST VARS'!$P$54*(12.73)+'LINEST VARS'!$O$54*(8^2)+'LINEST VARS'!$N$54*(8^2)+'LINEST VARS'!$M$54*($CO$32^2)+'LINEST VARS'!$L$54*($BX40^2)+'LINEST VARS'!$K$54*(12.73^2)+'LINEST VARS'!$J$54*(8*8)+'LINEST VARS'!$I$54*(8*$CO$32)+'LINEST VARS'!$H$54*(8*$BX40)+'LINEST VARS'!$G$54*(8*12.73)+'LINEST VARS'!$F$54*(8*$CO$32)+'LINEST VARS'!$E$54*(8*$BX40)+'LINEST VARS'!$D$54*(8*12.73)+'LINEST VARS'!$C$54*($CO$32*$BX40)+'LINEST VARS'!$B$54*($CO$32*12.73)+'LINEST VARS'!$A$54*($BX40*12.73)</f>
        <v>3.9824999999999995</v>
      </c>
      <c r="CP40" s="51">
        <f>'LINEST VARS'!$U$54+'LINEST VARS'!$T$54*(8)+'LINEST VARS'!$S$54*(8)+'LINEST VARS'!$R$54*($CP$32)+'LINEST VARS'!$Q$54*($BX40)+'LINEST VARS'!$P$54*(12.73)+'LINEST VARS'!$O$54*(8^2)+'LINEST VARS'!$N$54*(8^2)+'LINEST VARS'!$M$54*($CP$32^2)+'LINEST VARS'!$L$54*($BX40^2)+'LINEST VARS'!$K$54*(12.73^2)+'LINEST VARS'!$J$54*(8*8)+'LINEST VARS'!$I$54*(8*$CP$32)+'LINEST VARS'!$H$54*(8*$BX40)+'LINEST VARS'!$G$54*(8*12.73)+'LINEST VARS'!$F$54*(8*$CP$32)+'LINEST VARS'!$E$54*(8*$BX40)+'LINEST VARS'!$D$54*(8*12.73)+'LINEST VARS'!$C$54*($CP$32*$BX40)+'LINEST VARS'!$B$54*($CP$32*12.73)+'LINEST VARS'!$A$54*($BX40*12.73)</f>
        <v>3.9824999999999995</v>
      </c>
      <c r="CQ40" s="51">
        <f>'LINEST VARS'!$U$54+'LINEST VARS'!$T$54*(8)+'LINEST VARS'!$S$54*(8)+'LINEST VARS'!$R$54*($CQ$32)+'LINEST VARS'!$Q$54*($BX40)+'LINEST VARS'!$P$54*(12.73)+'LINEST VARS'!$O$54*(8^2)+'LINEST VARS'!$N$54*(8^2)+'LINEST VARS'!$M$54*($CQ$32^2)+'LINEST VARS'!$L$54*($BX40^2)+'LINEST VARS'!$K$54*(12.73^2)+'LINEST VARS'!$J$54*(8*8)+'LINEST VARS'!$I$54*(8*$CQ$32)+'LINEST VARS'!$H$54*(8*$BX40)+'LINEST VARS'!$G$54*(8*12.73)+'LINEST VARS'!$F$54*(8*$CQ$32)+'LINEST VARS'!$E$54*(8*$BX40)+'LINEST VARS'!$D$54*(8*12.73)+'LINEST VARS'!$C$54*($CQ$32*$BX40)+'LINEST VARS'!$B$54*($CQ$32*12.73)+'LINEST VARS'!$A$54*($BX40*12.73)</f>
        <v>3.9824999999999995</v>
      </c>
      <c r="CR40" s="51">
        <f>'LINEST VARS'!$U$54+'LINEST VARS'!$T$54*(8)+'LINEST VARS'!$S$54*(8)+'LINEST VARS'!$R$54*($CR$32)+'LINEST VARS'!$Q$54*($BX40)+'LINEST VARS'!$P$54*(12.73)+'LINEST VARS'!$O$54*(8^2)+'LINEST VARS'!$N$54*(8^2)+'LINEST VARS'!$M$54*($CR$32^2)+'LINEST VARS'!$L$54*($BX40^2)+'LINEST VARS'!$K$54*(12.73^2)+'LINEST VARS'!$J$54*(8*8)+'LINEST VARS'!$I$54*(8*$CR$32)+'LINEST VARS'!$H$54*(8*$BX40)+'LINEST VARS'!$G$54*(8*12.73)+'LINEST VARS'!$F$54*(8*$CR$32)+'LINEST VARS'!$E$54*(8*$BX40)+'LINEST VARS'!$D$54*(8*12.73)+'LINEST VARS'!$C$54*($CR$32*$BX40)+'LINEST VARS'!$B$54*($CR$32*12.73)+'LINEST VARS'!$A$54*($BX40*12.73)</f>
        <v>3.9824999999999995</v>
      </c>
      <c r="CS40" s="52">
        <f>'LINEST VARS'!$U$54+'LINEST VARS'!$T$54*(8)+'LINEST VARS'!$S$54*(8)+'LINEST VARS'!$R$54*($CS$32)+'LINEST VARS'!$Q$54*($BX40)+'LINEST VARS'!$P$54*(12.73)+'LINEST VARS'!$O$54*(8^2)+'LINEST VARS'!$N$54*(8^2)+'LINEST VARS'!$M$54*($CS$32^2)+'LINEST VARS'!$L$54*($BX40^2)+'LINEST VARS'!$K$54*(12.73^2)+'LINEST VARS'!$J$54*(8*8)+'LINEST VARS'!$I$54*(8*$CS$32)+'LINEST VARS'!$H$54*(8*$BX40)+'LINEST VARS'!$G$54*(8*12.73)+'LINEST VARS'!$F$54*(8*$CS$32)+'LINEST VARS'!$E$54*(8*$BX40)+'LINEST VARS'!$D$54*(8*12.73)+'LINEST VARS'!$C$54*($CS$32*$BX40)+'LINEST VARS'!$B$54*($CS$32*12.73)+'LINEST VARS'!$A$54*($BX40*12.73)</f>
        <v>3.9824999999999995</v>
      </c>
      <c r="CX40" s="45">
        <v>9.0965000000000007</v>
      </c>
      <c r="CY40" s="51">
        <f>'LINEST VARS'!$U$52+'LINEST VARS'!$T$52*(8)+'LINEST VARS'!$S$52*(8)+'LINEST VARS'!$R$52*($CY$32)+'LINEST VARS'!$Q$52*(0.5)+'LINEST VARS'!$P$52*($CX40)+'LINEST VARS'!$O$52*(8^2)+'LINEST VARS'!$N$52*(8^2)+'LINEST VARS'!$M$52*($CY$32^2)+'LINEST VARS'!$L$52*(0.5^2)+'LINEST VARS'!$K$52*($CX40^2)+'LINEST VARS'!$J$52*(8*8)+'LINEST VARS'!$I$52*(8*$CY$32)+'LINEST VARS'!$H$52*(8*0.5)+'LINEST VARS'!$G$52*(8*$CX40)+'LINEST VARS'!$F$52*(8*$CY$32)+'LINEST VARS'!$E$52*(8*0.5)+'LINEST VARS'!$D$52*(8*$CX40)+'LINEST VARS'!$C$52*($CY$32*0.5)+'LINEST VARS'!$B$52*($CY$32*$CX40)+'LINEST VARS'!$A$52*(0.5*$CX40)</f>
        <v>4.4499999999999984</v>
      </c>
      <c r="CZ40" s="51">
        <f>'LINEST VARS'!$U$52+'LINEST VARS'!$T$52*(8)+'LINEST VARS'!$S$52*(8)+'LINEST VARS'!$R$52*($CZ$32)+'LINEST VARS'!$Q$52*(0.5)+'LINEST VARS'!$P$52*($CX40)+'LINEST VARS'!$O$52*(8^2)+'LINEST VARS'!$N$52*(8^2)+'LINEST VARS'!$M$52*($CZ$32^2)+'LINEST VARS'!$L$52*(0.5^2)+'LINEST VARS'!$K$52*($CX40^2)+'LINEST VARS'!$J$52*(8*8)+'LINEST VARS'!$I$52*(8*$CZ$32)+'LINEST VARS'!$H$52*(8*0.5)+'LINEST VARS'!$G$52*(8*$CX40)+'LINEST VARS'!$F$52*(8*$CZ$32)+'LINEST VARS'!$E$52*(8*0.5)+'LINEST VARS'!$D$52*(8*$CX40)+'LINEST VARS'!$C$52*($CZ$32*0.5)+'LINEST VARS'!$B$52*($CZ$32*$CX40)+'LINEST VARS'!$A$52*(0.5*$CX40)</f>
        <v>4.4499999999999984</v>
      </c>
      <c r="DA40" s="51">
        <f>'LINEST VARS'!$U$52+'LINEST VARS'!$T$52*(8)+'LINEST VARS'!$S$52*(8)+'LINEST VARS'!$R$52*($DA$32)+'LINEST VARS'!$Q$52*(0.5)+'LINEST VARS'!$P$52*($CX40)+'LINEST VARS'!$O$52*(8^2)+'LINEST VARS'!$N$52*(8^2)+'LINEST VARS'!$M$52*($DA$32^2)+'LINEST VARS'!$L$52*(0.5^2)+'LINEST VARS'!$K$52*($CX40^2)+'LINEST VARS'!$J$52*(8*8)+'LINEST VARS'!$I$52*(8*$DA$32)+'LINEST VARS'!$H$52*(8*0.5)+'LINEST VARS'!$G$52*(8*$CX40)+'LINEST VARS'!$F$52*(8*$DA$32)+'LINEST VARS'!$E$52*(8*0.5)+'LINEST VARS'!$D$52*(8*$CX40)+'LINEST VARS'!$C$52*($DA$32*0.5)+'LINEST VARS'!$B$52*($DA$32*$CX40)+'LINEST VARS'!$A$52*(0.5*$CX40)</f>
        <v>4.4499999999999984</v>
      </c>
      <c r="DB40" s="51">
        <f>'LINEST VARS'!$U$52+'LINEST VARS'!$T$52*(8)+'LINEST VARS'!$S$52*(8)+'LINEST VARS'!$R$52*($DB$32)+'LINEST VARS'!$Q$52*(0.5)+'LINEST VARS'!$P$52*($CX40)+'LINEST VARS'!$O$52*(8^2)+'LINEST VARS'!$N$52*(8^2)+'LINEST VARS'!$M$52*($DB$32^2)+'LINEST VARS'!$L$52*(0.5^2)+'LINEST VARS'!$K$52*($CX40^2)+'LINEST VARS'!$J$52*(8*8)+'LINEST VARS'!$I$52*(8*$DB$32)+'LINEST VARS'!$H$52*(8*0.5)+'LINEST VARS'!$G$52*(8*$CX40)+'LINEST VARS'!$F$52*(8*$DB$32)+'LINEST VARS'!$E$52*(8*0.5)+'LINEST VARS'!$D$52*(8*$CX40)+'LINEST VARS'!$C$52*($DB$32*0.5)+'LINEST VARS'!$B$52*($DB$32*$CX40)+'LINEST VARS'!$A$52*(0.5*$CX40)</f>
        <v>4.4499999999999984</v>
      </c>
      <c r="DC40" s="51">
        <f>'LINEST VARS'!$U$52+'LINEST VARS'!$T$52*(8)+'LINEST VARS'!$S$52*(8)+'LINEST VARS'!$R$52*($DC$32)+'LINEST VARS'!$Q$52*(0.5)+'LINEST VARS'!$P$52*($CX40)+'LINEST VARS'!$O$52*(8^2)+'LINEST VARS'!$N$52*(8^2)+'LINEST VARS'!$M$52*($DC$32^2)+'LINEST VARS'!$L$52*(0.5^2)+'LINEST VARS'!$K$52*($CX40^2)+'LINEST VARS'!$J$52*(8*8)+'LINEST VARS'!$I$52*(8*$DC$32)+'LINEST VARS'!$H$52*(8*0.5)+'LINEST VARS'!$G$52*(8*$CX40)+'LINEST VARS'!$F$52*(8*$DC$32)+'LINEST VARS'!$E$52*(8*0.5)+'LINEST VARS'!$D$52*(8*$CX40)+'LINEST VARS'!$C$52*($DC$32*0.5)+'LINEST VARS'!$B$52*($DC$32*$CX40)+'LINEST VARS'!$A$52*(0.5*$CX40)</f>
        <v>4.4499999999999984</v>
      </c>
      <c r="DD40" s="51">
        <f>'LINEST VARS'!$U$52+'LINEST VARS'!$T$52*(8)+'LINEST VARS'!$S$52*(8)+'LINEST VARS'!$R$52*($DD$32)+'LINEST VARS'!$Q$52*(0.5)+'LINEST VARS'!$P$52*($CX40)+'LINEST VARS'!$O$52*(8^2)+'LINEST VARS'!$N$52*(8^2)+'LINEST VARS'!$M$52*($DD$32^2)+'LINEST VARS'!$L$52*(0.5^2)+'LINEST VARS'!$K$52*($CX40^2)+'LINEST VARS'!$J$52*(8*8)+'LINEST VARS'!$I$52*(8*$DD$32)+'LINEST VARS'!$H$52*(8*0.5)+'LINEST VARS'!$G$52*(8*$CX40)+'LINEST VARS'!$F$52*(8*$DD$32)+'LINEST VARS'!$E$52*(8*0.5)+'LINEST VARS'!$D$52*(8*$CX40)+'LINEST VARS'!$C$52*($DD$32*0.5)+'LINEST VARS'!$B$52*($DD$32*$CX40)+'LINEST VARS'!$A$52*(0.5*$CX40)</f>
        <v>4.4499999999999984</v>
      </c>
      <c r="DE40" s="51">
        <f>'LINEST VARS'!$U$52+'LINEST VARS'!$T$52*(8)+'LINEST VARS'!$S$52*(8)+'LINEST VARS'!$R$52*($DE$32)+'LINEST VARS'!$Q$52*(0.5)+'LINEST VARS'!$P$52*($CX40)+'LINEST VARS'!$O$52*(8^2)+'LINEST VARS'!$N$52*(8^2)+'LINEST VARS'!$M$52*($DE$32^2)+'LINEST VARS'!$L$52*(0.5^2)+'LINEST VARS'!$K$52*($CX40^2)+'LINEST VARS'!$J$52*(8*8)+'LINEST VARS'!$I$52*(8*$DE$32)+'LINEST VARS'!$H$52*(8*0.5)+'LINEST VARS'!$G$52*(8*$CX40)+'LINEST VARS'!$F$52*(8*$DE$32)+'LINEST VARS'!$E$52*(8*0.5)+'LINEST VARS'!$D$52*(8*$CX40)+'LINEST VARS'!$C$52*($DE$32*0.5)+'LINEST VARS'!$B$52*($DE$32*$CX40)+'LINEST VARS'!$A$52*(0.5*$CX40)</f>
        <v>4.4499999999999984</v>
      </c>
      <c r="DF40" s="51">
        <f>'LINEST VARS'!$U$52+'LINEST VARS'!$T$52*(8)+'LINEST VARS'!$S$52*(8)+'LINEST VARS'!$R$52*($DF$32)+'LINEST VARS'!$Q$52*(0.5)+'LINEST VARS'!$P$52*($CX40)+'LINEST VARS'!$O$52*(8^2)+'LINEST VARS'!$N$52*(8^2)+'LINEST VARS'!$M$52*($DF$32^2)+'LINEST VARS'!$L$52*(0.5^2)+'LINEST VARS'!$K$52*($CX40^2)+'LINEST VARS'!$J$52*(8*8)+'LINEST VARS'!$I$52*(8*$DF$32)+'LINEST VARS'!$H$52*(8*0.5)+'LINEST VARS'!$G$52*(8*$CX40)+'LINEST VARS'!$F$52*(8*$DF$32)+'LINEST VARS'!$E$52*(8*0.5)+'LINEST VARS'!$D$52*(8*$CX40)+'LINEST VARS'!$C$52*($DF$32*0.5)+'LINEST VARS'!$B$52*($DF$32*$CX40)+'LINEST VARS'!$A$52*(0.5*$CX40)</f>
        <v>4.4499999999999984</v>
      </c>
      <c r="DG40" s="51">
        <f>'LINEST VARS'!$U$52+'LINEST VARS'!$T$52*(8)+'LINEST VARS'!$S$52*(8)+'LINEST VARS'!$R$52*($DG$32)+'LINEST VARS'!$Q$52*(0.5)+'LINEST VARS'!$P$52*($CX40)+'LINEST VARS'!$O$52*(8^2)+'LINEST VARS'!$N$52*(8^2)+'LINEST VARS'!$M$52*($DG$32^2)+'LINEST VARS'!$L$52*(0.5^2)+'LINEST VARS'!$K$52*($CX40^2)+'LINEST VARS'!$J$52*(8*8)+'LINEST VARS'!$I$52*(8*$DG$32)+'LINEST VARS'!$H$52*(8*0.5)+'LINEST VARS'!$G$52*(8*$CX40)+'LINEST VARS'!$F$52*(8*$DG$32)+'LINEST VARS'!$E$52*(8*0.5)+'LINEST VARS'!$D$52*(8*$CX40)+'LINEST VARS'!$C$52*($DG$32*0.5)+'LINEST VARS'!$B$52*($DG$32*$CX40)+'LINEST VARS'!$A$52*(0.5*$CX40)</f>
        <v>4.4499999999999984</v>
      </c>
      <c r="DH40" s="51">
        <f>'LINEST VARS'!$U$52+'LINEST VARS'!$T$52*(8)+'LINEST VARS'!$S$52*(8)+'LINEST VARS'!$R$52*($DH$32)+'LINEST VARS'!$Q$52*(0.5)+'LINEST VARS'!$P$52*($CX40)+'LINEST VARS'!$O$52*(8^2)+'LINEST VARS'!$N$52*(8^2)+'LINEST VARS'!$M$52*($DH$32^2)+'LINEST VARS'!$L$52*(0.5^2)+'LINEST VARS'!$K$52*($CX40^2)+'LINEST VARS'!$J$52*(8*8)+'LINEST VARS'!$I$52*(8*$DH$32)+'LINEST VARS'!$H$52*(8*0.5)+'LINEST VARS'!$G$52*(8*$CX40)+'LINEST VARS'!$F$52*(8*$DH$32)+'LINEST VARS'!$E$52*(8*0.5)+'LINEST VARS'!$D$52*(8*$CX40)+'LINEST VARS'!$C$52*($DH$32*0.5)+'LINEST VARS'!$B$52*($DH$32*$CX40)+'LINEST VARS'!$A$52*(0.5*$CX40)</f>
        <v>4.4499999999999984</v>
      </c>
      <c r="DI40" s="51">
        <f>'LINEST VARS'!$U$52+'LINEST VARS'!$T$52*(8)+'LINEST VARS'!$S$52*(8)+'LINEST VARS'!$R$52*($DI$32)+'LINEST VARS'!$Q$52*(0.5)+'LINEST VARS'!$P$52*($CX40)+'LINEST VARS'!$O$52*(8^2)+'LINEST VARS'!$N$52*(8^2)+'LINEST VARS'!$M$52*($DI$32^2)+'LINEST VARS'!$L$52*(0.5^2)+'LINEST VARS'!$K$52*($CX40^2)+'LINEST VARS'!$J$52*(8*8)+'LINEST VARS'!$I$52*(8*$DI$32)+'LINEST VARS'!$H$52*(8*0.5)+'LINEST VARS'!$G$52*(8*$CX40)+'LINEST VARS'!$F$52*(8*$DI$32)+'LINEST VARS'!$E$52*(8*0.5)+'LINEST VARS'!$D$52*(8*$CX40)+'LINEST VARS'!$C$52*($DI$32*0.5)+'LINEST VARS'!$B$52*($DI$32*$CX40)+'LINEST VARS'!$A$52*(0.5*$CX40)</f>
        <v>4.4499999999999984</v>
      </c>
      <c r="DJ40" s="51">
        <f>'LINEST VARS'!$U$52+'LINEST VARS'!$T$52*(8)+'LINEST VARS'!$S$52*(8)+'LINEST VARS'!$R$52*($DJ$32)+'LINEST VARS'!$Q$52*(0.5)+'LINEST VARS'!$P$52*($CX40)+'LINEST VARS'!$O$52*(8^2)+'LINEST VARS'!$N$52*(8^2)+'LINEST VARS'!$M$52*($DJ$32^2)+'LINEST VARS'!$L$52*(0.5^2)+'LINEST VARS'!$K$52*($CX40^2)+'LINEST VARS'!$J$52*(8*8)+'LINEST VARS'!$I$52*(8*$DJ$32)+'LINEST VARS'!$H$52*(8*0.5)+'LINEST VARS'!$G$52*(8*$CX40)+'LINEST VARS'!$F$52*(8*$DJ$32)+'LINEST VARS'!$E$52*(8*0.5)+'LINEST VARS'!$D$52*(8*$CX40)+'LINEST VARS'!$C$52*($DJ$32*0.5)+'LINEST VARS'!$B$52*($DJ$32*$CX40)+'LINEST VARS'!$A$52*(0.5*$CX40)</f>
        <v>4.4499999999999984</v>
      </c>
      <c r="DK40" s="51">
        <f>'LINEST VARS'!$U$52+'LINEST VARS'!$T$52*(8)+'LINEST VARS'!$S$52*(8)+'LINEST VARS'!$R$52*($DK$32)+'LINEST VARS'!$Q$52*(0.5)+'LINEST VARS'!$P$52*($CX40)+'LINEST VARS'!$O$52*(8^2)+'LINEST VARS'!$N$52*(8^2)+'LINEST VARS'!$M$52*($DK$32^2)+'LINEST VARS'!$L$52*(0.5^2)+'LINEST VARS'!$K$52*($CX40^2)+'LINEST VARS'!$J$52*(8*8)+'LINEST VARS'!$I$52*(8*$DK$32)+'LINEST VARS'!$H$52*(8*0.5)+'LINEST VARS'!$G$52*(8*$CX40)+'LINEST VARS'!$F$52*(8*$DK$32)+'LINEST VARS'!$E$52*(8*0.5)+'LINEST VARS'!$D$52*(8*$CX40)+'LINEST VARS'!$C$52*($DK$32*0.5)+'LINEST VARS'!$B$52*($DK$32*$CX40)+'LINEST VARS'!$A$52*(0.5*$CX40)</f>
        <v>4.4499999999999984</v>
      </c>
      <c r="DL40" s="51">
        <f>'LINEST VARS'!$U$52+'LINEST VARS'!$T$52*(8)+'LINEST VARS'!$S$52*(8)+'LINEST VARS'!$R$52*($DL$32)+'LINEST VARS'!$Q$52*(0.5)+'LINEST VARS'!$P$52*($CX40)+'LINEST VARS'!$O$52*(8^2)+'LINEST VARS'!$N$52*(8^2)+'LINEST VARS'!$M$52*($DL$32^2)+'LINEST VARS'!$L$52*(0.5^2)+'LINEST VARS'!$K$52*($CX40^2)+'LINEST VARS'!$J$52*(8*8)+'LINEST VARS'!$I$52*(8*$DL$32)+'LINEST VARS'!$H$52*(8*0.5)+'LINEST VARS'!$G$52*(8*$CX40)+'LINEST VARS'!$F$52*(8*$DL$32)+'LINEST VARS'!$E$52*(8*0.5)+'LINEST VARS'!$D$52*(8*$CX40)+'LINEST VARS'!$C$52*($DL$32*0.5)+'LINEST VARS'!$B$52*($DL$32*$CX40)+'LINEST VARS'!$A$52*(0.5*$CX40)</f>
        <v>4.4499999999999984</v>
      </c>
      <c r="DM40" s="51">
        <f>'LINEST VARS'!$U$52+'LINEST VARS'!$T$52*(8)+'LINEST VARS'!$S$52*(8)+'LINEST VARS'!$R$52*($DM$32)+'LINEST VARS'!$Q$52*(0.5)+'LINEST VARS'!$P$52*($CX40)+'LINEST VARS'!$O$52*(8^2)+'LINEST VARS'!$N$52*(8^2)+'LINEST VARS'!$M$52*($DM$32^2)+'LINEST VARS'!$L$52*(0.5^2)+'LINEST VARS'!$K$52*($CX40^2)+'LINEST VARS'!$J$52*(8*8)+'LINEST VARS'!$I$52*(8*$DM$32)+'LINEST VARS'!$H$52*(8*0.5)+'LINEST VARS'!$G$52*(8*$CX40)+'LINEST VARS'!$F$52*(8*$DM$32)+'LINEST VARS'!$E$52*(8*0.5)+'LINEST VARS'!$D$52*(8*$CX40)+'LINEST VARS'!$C$52*($DM$32*0.5)+'LINEST VARS'!$B$52*($DM$32*$CX40)+'LINEST VARS'!$A$52*(0.5*$CX40)</f>
        <v>4.4499999999999984</v>
      </c>
      <c r="DN40" s="51">
        <f>'LINEST VARS'!$U$52+'LINEST VARS'!$T$52*(8)+'LINEST VARS'!$S$52*(8)+'LINEST VARS'!$R$52*($DN$32)+'LINEST VARS'!$Q$52*(0.5)+'LINEST VARS'!$P$52*($CX40)+'LINEST VARS'!$O$52*(8^2)+'LINEST VARS'!$N$52*(8^2)+'LINEST VARS'!$M$52*($DN$32^2)+'LINEST VARS'!$L$52*(0.5^2)+'LINEST VARS'!$K$52*($CX40^2)+'LINEST VARS'!$J$52*(8*8)+'LINEST VARS'!$I$52*(8*$DN$32)+'LINEST VARS'!$H$52*(8*0.5)+'LINEST VARS'!$G$52*(8*$CX40)+'LINEST VARS'!$F$52*(8*$DN$32)+'LINEST VARS'!$E$52*(8*0.5)+'LINEST VARS'!$D$52*(8*$CX40)+'LINEST VARS'!$C$52*($DN$32*0.5)+'LINEST VARS'!$B$52*($DN$32*$CX40)+'LINEST VARS'!$A$52*(0.5*$CX40)</f>
        <v>4.4499999999999984</v>
      </c>
      <c r="DO40" s="51">
        <f>'LINEST VARS'!$U$52+'LINEST VARS'!$T$52*(8)+'LINEST VARS'!$S$52*(8)+'LINEST VARS'!$R$52*($DO$32)+'LINEST VARS'!$Q$52*(0.5)+'LINEST VARS'!$P$52*($CX40)+'LINEST VARS'!$O$52*(8^2)+'LINEST VARS'!$N$52*(8^2)+'LINEST VARS'!$M$52*($DO$32^2)+'LINEST VARS'!$L$52*(0.5^2)+'LINEST VARS'!$K$52*($CX40^2)+'LINEST VARS'!$J$52*(8*8)+'LINEST VARS'!$I$52*(8*$DO$32)+'LINEST VARS'!$H$52*(8*0.5)+'LINEST VARS'!$G$52*(8*$CX40)+'LINEST VARS'!$F$52*(8*$DO$32)+'LINEST VARS'!$E$52*(8*0.5)+'LINEST VARS'!$D$52*(8*$CX40)+'LINEST VARS'!$C$52*($DO$32*0.5)+'LINEST VARS'!$B$52*($DO$32*$CX40)+'LINEST VARS'!$A$52*(0.5*$CX40)</f>
        <v>4.4499999999999984</v>
      </c>
      <c r="DP40" s="51">
        <f>'LINEST VARS'!$U$52+'LINEST VARS'!$T$52*(8)+'LINEST VARS'!$S$52*(8)+'LINEST VARS'!$R$52*($DP$32)+'LINEST VARS'!$Q$52*(0.5)+'LINEST VARS'!$P$52*($CX40)+'LINEST VARS'!$O$52*(8^2)+'LINEST VARS'!$N$52*(8^2)+'LINEST VARS'!$M$52*($DP$32^2)+'LINEST VARS'!$L$52*(0.5^2)+'LINEST VARS'!$K$52*($CX40^2)+'LINEST VARS'!$J$52*(8*8)+'LINEST VARS'!$I$52*(8*$DP$32)+'LINEST VARS'!$H$52*(8*0.5)+'LINEST VARS'!$G$52*(8*$CX40)+'LINEST VARS'!$F$52*(8*$DP$32)+'LINEST VARS'!$E$52*(8*0.5)+'LINEST VARS'!$D$52*(8*$CX40)+'LINEST VARS'!$C$52*($DP$32*0.5)+'LINEST VARS'!$B$52*($DP$32*$CX40)+'LINEST VARS'!$A$52*(0.5*$CX40)</f>
        <v>4.4499999999999984</v>
      </c>
      <c r="DQ40" s="51">
        <f>'LINEST VARS'!$U$52+'LINEST VARS'!$T$52*(8)+'LINEST VARS'!$S$52*(8)+'LINEST VARS'!$R$52*($DQ$32)+'LINEST VARS'!$Q$52*(0.5)+'LINEST VARS'!$P$52*($CX40)+'LINEST VARS'!$O$52*(8^2)+'LINEST VARS'!$N$52*(8^2)+'LINEST VARS'!$M$52*($DQ$32^2)+'LINEST VARS'!$L$52*(0.5^2)+'LINEST VARS'!$K$52*($CX40^2)+'LINEST VARS'!$J$52*(8*8)+'LINEST VARS'!$I$52*(8*$DQ$32)+'LINEST VARS'!$H$52*(8*0.5)+'LINEST VARS'!$G$52*(8*$CX40)+'LINEST VARS'!$F$52*(8*$DQ$32)+'LINEST VARS'!$E$52*(8*0.5)+'LINEST VARS'!$D$52*(8*$CX40)+'LINEST VARS'!$C$52*($DQ$32*0.5)+'LINEST VARS'!$B$52*($DQ$32*$CX40)+'LINEST VARS'!$A$52*(0.5*$CX40)</f>
        <v>4.4499999999999984</v>
      </c>
      <c r="DR40" s="51">
        <f>'LINEST VARS'!$U$52+'LINEST VARS'!$T$52*(8)+'LINEST VARS'!$S$52*(8)+'LINEST VARS'!$R$52*($DR$32)+'LINEST VARS'!$Q$52*(0.5)+'LINEST VARS'!$P$52*($CX40)+'LINEST VARS'!$O$52*(8^2)+'LINEST VARS'!$N$52*(8^2)+'LINEST VARS'!$M$52*($DR$32^2)+'LINEST VARS'!$L$52*(0.5^2)+'LINEST VARS'!$K$52*($CX40^2)+'LINEST VARS'!$J$52*(8*8)+'LINEST VARS'!$I$52*(8*$DR$32)+'LINEST VARS'!$H$52*(8*0.5)+'LINEST VARS'!$G$52*(8*$CX40)+'LINEST VARS'!$F$52*(8*$DR$32)+'LINEST VARS'!$E$52*(8*0.5)+'LINEST VARS'!$D$52*(8*$CX40)+'LINEST VARS'!$C$52*($DR$32*0.5)+'LINEST VARS'!$B$52*($DR$32*$CX40)+'LINEST VARS'!$A$52*(0.5*$CX40)</f>
        <v>4.4499999999999984</v>
      </c>
      <c r="DS40" s="52">
        <f>'LINEST VARS'!$U$52+'LINEST VARS'!$T$52*(8)+'LINEST VARS'!$S$52*(8)+'LINEST VARS'!$R$52*($DS$32)+'LINEST VARS'!$Q$52*(0.5)+'LINEST VARS'!$P$52*($CX40)+'LINEST VARS'!$O$52*(8^2)+'LINEST VARS'!$N$52*(8^2)+'LINEST VARS'!$M$52*($DS$32^2)+'LINEST VARS'!$L$52*(0.5^2)+'LINEST VARS'!$K$52*($CX40^2)+'LINEST VARS'!$J$52*(8*8)+'LINEST VARS'!$I$52*(8*$DS$32)+'LINEST VARS'!$H$52*(8*0.5)+'LINEST VARS'!$G$52*(8*$CX40)+'LINEST VARS'!$F$52*(8*$DS$32)+'LINEST VARS'!$E$52*(8*0.5)+'LINEST VARS'!$D$52*(8*$CX40)+'LINEST VARS'!$C$52*($DS$32*0.5)+'LINEST VARS'!$B$52*($DS$32*$CX40)+'LINEST VARS'!$A$52*(0.5*$CX40)</f>
        <v>4.4499999999999984</v>
      </c>
      <c r="DV40" s="45">
        <v>9.0965000000000007</v>
      </c>
      <c r="DW40" s="51">
        <f>'LINEST VARS'!$U$54+'LINEST VARS'!$T$54*(8)+'LINEST VARS'!$S$54*(8)+'LINEST VARS'!$R$54*($DW$32)+'LINEST VARS'!$Q$54*(0.5)+'LINEST VARS'!$P$54*($DV40)+'LINEST VARS'!$O$54*(8^2)+'LINEST VARS'!$N$54*(8^2)+'LINEST VARS'!$M$54*($DW$32^2)+'LINEST VARS'!$L$54*(0.5^2)+'LINEST VARS'!$K$54*($DV40^2)+'LINEST VARS'!$J$54*(8*8)+'LINEST VARS'!$I$54*(8*$DW$32)+'LINEST VARS'!$H$54*(8*0.5)+'LINEST VARS'!$G$54*(8*$DV40)+'LINEST VARS'!$F$54*(8*$DW$32)+'LINEST VARS'!$E$54*(8*0.5)+'LINEST VARS'!$D$54*(8*$DV40)+'LINEST VARS'!$C$54*($DW$32*0.5)+'LINEST VARS'!$B$54*($DW$32*$DV40)+'LINEST VARS'!$A$54*(0.5*$DV40)</f>
        <v>3.9749999999999996</v>
      </c>
      <c r="DX40" s="51">
        <f>'LINEST VARS'!$U$54+'LINEST VARS'!$T$54*(8)+'LINEST VARS'!$S$54*(8)+'LINEST VARS'!$R$54*($DX$32)+'LINEST VARS'!$Q$54*(0.5)+'LINEST VARS'!$P$54*($DV40)+'LINEST VARS'!$O$54*(8^2)+'LINEST VARS'!$N$54*(8^2)+'LINEST VARS'!$M$54*($DX$32^2)+'LINEST VARS'!$L$54*(0.5^2)+'LINEST VARS'!$K$54*($DV40^2)+'LINEST VARS'!$J$54*(8*8)+'LINEST VARS'!$I$54*(8*$DX$32)+'LINEST VARS'!$H$54*(8*0.5)+'LINEST VARS'!$G$54*(8*$DV40)+'LINEST VARS'!$F$54*(8*$DX$32)+'LINEST VARS'!$E$54*(8*0.5)+'LINEST VARS'!$D$54*(8*$DV40)+'LINEST VARS'!$C$54*($DX$32*0.5)+'LINEST VARS'!$B$54*($DX$32*$DV40)+'LINEST VARS'!$A$54*(0.5*$DV40)</f>
        <v>3.9749999999999996</v>
      </c>
      <c r="DY40" s="51">
        <f>'LINEST VARS'!$U$54+'LINEST VARS'!$T$54*(8)+'LINEST VARS'!$S$54*(8)+'LINEST VARS'!$R$54*($DY$32)+'LINEST VARS'!$Q$54*(0.5)+'LINEST VARS'!$P$54*($DV40)+'LINEST VARS'!$O$54*(8^2)+'LINEST VARS'!$N$54*(8^2)+'LINEST VARS'!$M$54*($DY$32^2)+'LINEST VARS'!$L$54*(0.5^2)+'LINEST VARS'!$K$54*($DV40^2)+'LINEST VARS'!$J$54*(8*8)+'LINEST VARS'!$I$54*(8*$DY$32)+'LINEST VARS'!$H$54*(8*0.5)+'LINEST VARS'!$G$54*(8*$DV40)+'LINEST VARS'!$F$54*(8*$DY$32)+'LINEST VARS'!$E$54*(8*0.5)+'LINEST VARS'!$D$54*(8*$DV40)+'LINEST VARS'!$C$54*($DY$32*0.5)+'LINEST VARS'!$B$54*($DY$32*$DV40)+'LINEST VARS'!$A$54*(0.5*$DV40)</f>
        <v>3.9749999999999996</v>
      </c>
      <c r="DZ40" s="51">
        <f>'LINEST VARS'!$U$54+'LINEST VARS'!$T$54*(8)+'LINEST VARS'!$S$54*(8)+'LINEST VARS'!$R$54*($DZ$32)+'LINEST VARS'!$Q$54*(0.5)+'LINEST VARS'!$P$54*($DV40)+'LINEST VARS'!$O$54*(8^2)+'LINEST VARS'!$N$54*(8^2)+'LINEST VARS'!$M$54*($DZ$32^2)+'LINEST VARS'!$L$54*(0.5^2)+'LINEST VARS'!$K$54*($DV40^2)+'LINEST VARS'!$J$54*(8*8)+'LINEST VARS'!$I$54*(8*$DZ$32)+'LINEST VARS'!$H$54*(8*0.5)+'LINEST VARS'!$G$54*(8*$DV40)+'LINEST VARS'!$F$54*(8*$DZ$32)+'LINEST VARS'!$E$54*(8*0.5)+'LINEST VARS'!$D$54*(8*$DV40)+'LINEST VARS'!$C$54*($DZ$32*0.5)+'LINEST VARS'!$B$54*($DZ$32*$DV40)+'LINEST VARS'!$A$54*(0.5*$DV40)</f>
        <v>3.9749999999999996</v>
      </c>
      <c r="EA40" s="51">
        <f>'LINEST VARS'!$U$54+'LINEST VARS'!$T$54*(8)+'LINEST VARS'!$S$54*(8)+'LINEST VARS'!$R$54*($EA$32)+'LINEST VARS'!$Q$54*(0.5)+'LINEST VARS'!$P$54*($DV40)+'LINEST VARS'!$O$54*(8^2)+'LINEST VARS'!$N$54*(8^2)+'LINEST VARS'!$M$54*($EA$32^2)+'LINEST VARS'!$L$54*(0.5^2)+'LINEST VARS'!$K$54*($DV40^2)+'LINEST VARS'!$J$54*(8*8)+'LINEST VARS'!$I$54*(8*$EA$32)+'LINEST VARS'!$H$54*(8*0.5)+'LINEST VARS'!$G$54*(8*$DV40)+'LINEST VARS'!$F$54*(8*$EA$32)+'LINEST VARS'!$E$54*(8*0.5)+'LINEST VARS'!$D$54*(8*$DV40)+'LINEST VARS'!$C$54*($EA$32*0.5)+'LINEST VARS'!$B$54*($EA$32*$DV40)+'LINEST VARS'!$A$54*(0.5*$DV40)</f>
        <v>3.9749999999999996</v>
      </c>
      <c r="EB40" s="51">
        <f>'LINEST VARS'!$U$54+'LINEST VARS'!$T$54*(8)+'LINEST VARS'!$S$54*(8)+'LINEST VARS'!$R$54*($EB$32)+'LINEST VARS'!$Q$54*(0.5)+'LINEST VARS'!$P$54*($DV40)+'LINEST VARS'!$O$54*(8^2)+'LINEST VARS'!$N$54*(8^2)+'LINEST VARS'!$M$54*($EB$32^2)+'LINEST VARS'!$L$54*(0.5^2)+'LINEST VARS'!$K$54*($DV40^2)+'LINEST VARS'!$J$54*(8*8)+'LINEST VARS'!$I$54*(8*$EB$32)+'LINEST VARS'!$H$54*(8*0.5)+'LINEST VARS'!$G$54*(8*$DV40)+'LINEST VARS'!$F$54*(8*$EB$32)+'LINEST VARS'!$E$54*(8*0.5)+'LINEST VARS'!$D$54*(8*$DV40)+'LINEST VARS'!$C$54*($EB$32*0.5)+'LINEST VARS'!$B$54*($EB$32*$DV40)+'LINEST VARS'!$A$54*(0.5*$DV40)</f>
        <v>3.9749999999999996</v>
      </c>
      <c r="EC40" s="51">
        <f>'LINEST VARS'!$U$54+'LINEST VARS'!$T$54*(8)+'LINEST VARS'!$S$54*(8)+'LINEST VARS'!$R$54*($EC$32)+'LINEST VARS'!$Q$54*(0.5)+'LINEST VARS'!$P$54*($DV40)+'LINEST VARS'!$O$54*(8^2)+'LINEST VARS'!$N$54*(8^2)+'LINEST VARS'!$M$54*($EC$32^2)+'LINEST VARS'!$L$54*(0.5^2)+'LINEST VARS'!$K$54*($DV40^2)+'LINEST VARS'!$J$54*(8*8)+'LINEST VARS'!$I$54*(8*$EC$32)+'LINEST VARS'!$H$54*(8*0.5)+'LINEST VARS'!$G$54*(8*$DV40)+'LINEST VARS'!$F$54*(8*$EC$32)+'LINEST VARS'!$E$54*(8*0.5)+'LINEST VARS'!$D$54*(8*$DV40)+'LINEST VARS'!$C$54*($EC$32*0.5)+'LINEST VARS'!$B$54*($EC$32*$DV40)+'LINEST VARS'!$A$54*(0.5*$DV40)</f>
        <v>3.9749999999999996</v>
      </c>
      <c r="ED40" s="51">
        <f>'LINEST VARS'!$U$54+'LINEST VARS'!$T$54*(8)+'LINEST VARS'!$S$54*(8)+'LINEST VARS'!$R$54*($ED$32)+'LINEST VARS'!$Q$54*(0.5)+'LINEST VARS'!$P$54*($DV40)+'LINEST VARS'!$O$54*(8^2)+'LINEST VARS'!$N$54*(8^2)+'LINEST VARS'!$M$54*($ED$32^2)+'LINEST VARS'!$L$54*(0.5^2)+'LINEST VARS'!$K$54*($DV40^2)+'LINEST VARS'!$J$54*(8*8)+'LINEST VARS'!$I$54*(8*$ED$32)+'LINEST VARS'!$H$54*(8*0.5)+'LINEST VARS'!$G$54*(8*$DV40)+'LINEST VARS'!$F$54*(8*$ED$32)+'LINEST VARS'!$E$54*(8*0.5)+'LINEST VARS'!$D$54*(8*$DV40)+'LINEST VARS'!$C$54*($ED$32*0.5)+'LINEST VARS'!$B$54*($ED$32*$DV40)+'LINEST VARS'!$A$54*(0.5*$DV40)</f>
        <v>3.9749999999999996</v>
      </c>
      <c r="EE40" s="51">
        <f>'LINEST VARS'!$U$54+'LINEST VARS'!$T$54*(8)+'LINEST VARS'!$S$54*(8)+'LINEST VARS'!$R$54*($EE$32)+'LINEST VARS'!$Q$54*(0.5)+'LINEST VARS'!$P$54*($DV40)+'LINEST VARS'!$O$54*(8^2)+'LINEST VARS'!$N$54*(8^2)+'LINEST VARS'!$M$54*($EE$32^2)+'LINEST VARS'!$L$54*(0.5^2)+'LINEST VARS'!$K$54*($DV40^2)+'LINEST VARS'!$J$54*(8*8)+'LINEST VARS'!$I$54*(8*$EE$32)+'LINEST VARS'!$H$54*(8*0.5)+'LINEST VARS'!$G$54*(8*$DV40)+'LINEST VARS'!$F$54*(8*$EE$32)+'LINEST VARS'!$E$54*(8*0.5)+'LINEST VARS'!$D$54*(8*$DV40)+'LINEST VARS'!$C$54*($EE$32*0.5)+'LINEST VARS'!$B$54*($EE$32*$DV40)+'LINEST VARS'!$A$54*(0.5*$DV40)</f>
        <v>3.9749999999999996</v>
      </c>
      <c r="EF40" s="51">
        <f>'LINEST VARS'!$U$54+'LINEST VARS'!$T$54*(8)+'LINEST VARS'!$S$54*(8)+'LINEST VARS'!$R$54*($EF$32)+'LINEST VARS'!$Q$54*(0.5)+'LINEST VARS'!$P$54*($DV40)+'LINEST VARS'!$O$54*(8^2)+'LINEST VARS'!$N$54*(8^2)+'LINEST VARS'!$M$54*($EF$32^2)+'LINEST VARS'!$L$54*(0.5^2)+'LINEST VARS'!$K$54*($DV40^2)+'LINEST VARS'!$J$54*(8*8)+'LINEST VARS'!$I$54*(8*$EF$32)+'LINEST VARS'!$H$54*(8*0.5)+'LINEST VARS'!$G$54*(8*$DV40)+'LINEST VARS'!$F$54*(8*$EF$32)+'LINEST VARS'!$E$54*(8*0.5)+'LINEST VARS'!$D$54*(8*$DV40)+'LINEST VARS'!$C$54*($EF$32*0.5)+'LINEST VARS'!$B$54*($EF$32*$DV40)+'LINEST VARS'!$A$54*(0.5*$DV40)</f>
        <v>3.9749999999999996</v>
      </c>
      <c r="EG40" s="51">
        <f>'LINEST VARS'!$U$54+'LINEST VARS'!$T$54*(8)+'LINEST VARS'!$S$54*(8)+'LINEST VARS'!$R$54*($EG$32)+'LINEST VARS'!$Q$54*(0.5)+'LINEST VARS'!$P$54*($DV40)+'LINEST VARS'!$O$54*(8^2)+'LINEST VARS'!$N$54*(8^2)+'LINEST VARS'!$M$54*($EG$32^2)+'LINEST VARS'!$L$54*(0.5^2)+'LINEST VARS'!$K$54*($DV40^2)+'LINEST VARS'!$J$54*(8*8)+'LINEST VARS'!$I$54*(8*$EG$32)+'LINEST VARS'!$H$54*(8*0.5)+'LINEST VARS'!$G$54*(8*$DV40)+'LINEST VARS'!$F$54*(8*$EG$32)+'LINEST VARS'!$E$54*(8*0.5)+'LINEST VARS'!$D$54*(8*$DV40)+'LINEST VARS'!$C$54*($EG$32*0.5)+'LINEST VARS'!$B$54*($EG$32*$DV40)+'LINEST VARS'!$A$54*(0.5*$DV40)</f>
        <v>3.9749999999999996</v>
      </c>
      <c r="EH40" s="51">
        <f>'LINEST VARS'!$U$54+'LINEST VARS'!$T$54*(8)+'LINEST VARS'!$S$54*(8)+'LINEST VARS'!$R$54*($EH$32)+'LINEST VARS'!$Q$54*(0.5)+'LINEST VARS'!$P$54*($DV40)+'LINEST VARS'!$O$54*(8^2)+'LINEST VARS'!$N$54*(8^2)+'LINEST VARS'!$M$54*($EH$32^2)+'LINEST VARS'!$L$54*(0.5^2)+'LINEST VARS'!$K$54*($DV40^2)+'LINEST VARS'!$J$54*(8*8)+'LINEST VARS'!$I$54*(8*$EH$32)+'LINEST VARS'!$H$54*(8*0.5)+'LINEST VARS'!$G$54*(8*$DV40)+'LINEST VARS'!$F$54*(8*$EH$32)+'LINEST VARS'!$E$54*(8*0.5)+'LINEST VARS'!$D$54*(8*$DV40)+'LINEST VARS'!$C$54*($EH$32*0.5)+'LINEST VARS'!$B$54*($EH$32*$DV40)+'LINEST VARS'!$A$54*(0.5*$DV40)</f>
        <v>3.9749999999999996</v>
      </c>
      <c r="EI40" s="51">
        <f>'LINEST VARS'!$U$54+'LINEST VARS'!$T$54*(8)+'LINEST VARS'!$S$54*(8)+'LINEST VARS'!$R$54*($EI$32)+'LINEST VARS'!$Q$54*(0.5)+'LINEST VARS'!$P$54*($DV40)+'LINEST VARS'!$O$54*(8^2)+'LINEST VARS'!$N$54*(8^2)+'LINEST VARS'!$M$54*($EI$32^2)+'LINEST VARS'!$L$54*(0.5^2)+'LINEST VARS'!$K$54*($DV40^2)+'LINEST VARS'!$J$54*(8*8)+'LINEST VARS'!$I$54*(8*$EI$32)+'LINEST VARS'!$H$54*(8*0.5)+'LINEST VARS'!$G$54*(8*$DV40)+'LINEST VARS'!$F$54*(8*$EI$32)+'LINEST VARS'!$E$54*(8*0.5)+'LINEST VARS'!$D$54*(8*$DV40)+'LINEST VARS'!$C$54*($EI$32*0.5)+'LINEST VARS'!$B$54*($EI$32*$DV40)+'LINEST VARS'!$A$54*(0.5*$DV40)</f>
        <v>3.9749999999999996</v>
      </c>
      <c r="EJ40" s="51">
        <f>'LINEST VARS'!$U$54+'LINEST VARS'!$T$54*(8)+'LINEST VARS'!$S$54*(8)+'LINEST VARS'!$R$54*($EJ$32)+'LINEST VARS'!$Q$54*(0.5)+'LINEST VARS'!$P$54*($DV40)+'LINEST VARS'!$O$54*(8^2)+'LINEST VARS'!$N$54*(8^2)+'LINEST VARS'!$M$54*($EJ$32^2)+'LINEST VARS'!$L$54*(0.5^2)+'LINEST VARS'!$K$54*($DV40^2)+'LINEST VARS'!$J$54*(8*8)+'LINEST VARS'!$I$54*(8*$EJ$32)+'LINEST VARS'!$H$54*(8*0.5)+'LINEST VARS'!$G$54*(8*$DV40)+'LINEST VARS'!$F$54*(8*$EJ$32)+'LINEST VARS'!$E$54*(8*0.5)+'LINEST VARS'!$D$54*(8*$DV40)+'LINEST VARS'!$C$54*($EJ$32*0.5)+'LINEST VARS'!$B$54*($EJ$32*$DV40)+'LINEST VARS'!$A$54*(0.5*$DV40)</f>
        <v>3.9749999999999996</v>
      </c>
      <c r="EK40" s="51">
        <f>'LINEST VARS'!$U$54+'LINEST VARS'!$T$54*(8)+'LINEST VARS'!$S$54*(8)+'LINEST VARS'!$R$54*($EK$32)+'LINEST VARS'!$Q$54*(0.5)+'LINEST VARS'!$P$54*($DV40)+'LINEST VARS'!$O$54*(8^2)+'LINEST VARS'!$N$54*(8^2)+'LINEST VARS'!$M$54*($EK$32^2)+'LINEST VARS'!$L$54*(0.5^2)+'LINEST VARS'!$K$54*($DV40^2)+'LINEST VARS'!$J$54*(8*8)+'LINEST VARS'!$I$54*(8*$EK$32)+'LINEST VARS'!$H$54*(8*0.5)+'LINEST VARS'!$G$54*(8*$DV40)+'LINEST VARS'!$F$54*(8*$EK$32)+'LINEST VARS'!$E$54*(8*0.5)+'LINEST VARS'!$D$54*(8*$DV40)+'LINEST VARS'!$C$54*($EK$32*0.5)+'LINEST VARS'!$B$54*($EK$32*$DV40)+'LINEST VARS'!$A$54*(0.5*$DV40)</f>
        <v>3.9749999999999996</v>
      </c>
      <c r="EL40" s="51">
        <f>'LINEST VARS'!$U$54+'LINEST VARS'!$T$54*(8)+'LINEST VARS'!$S$54*(8)+'LINEST VARS'!$R$54*($EL$32)+'LINEST VARS'!$Q$54*(0.5)+'LINEST VARS'!$P$54*($DV40)+'LINEST VARS'!$O$54*(8^2)+'LINEST VARS'!$N$54*(8^2)+'LINEST VARS'!$M$54*($EL$32^2)+'LINEST VARS'!$L$54*(0.5^2)+'LINEST VARS'!$K$54*($DV40^2)+'LINEST VARS'!$J$54*(8*8)+'LINEST VARS'!$I$54*(8*$EL$32)+'LINEST VARS'!$H$54*(8*0.5)+'LINEST VARS'!$G$54*(8*$DV40)+'LINEST VARS'!$F$54*(8*$EL$32)+'LINEST VARS'!$E$54*(8*0.5)+'LINEST VARS'!$D$54*(8*$DV40)+'LINEST VARS'!$C$54*($EL$32*0.5)+'LINEST VARS'!$B$54*($EL$32*$DV40)+'LINEST VARS'!$A$54*(0.5*$DV40)</f>
        <v>3.9749999999999996</v>
      </c>
      <c r="EM40" s="51">
        <f>'LINEST VARS'!$U$54+'LINEST VARS'!$T$54*(8)+'LINEST VARS'!$S$54*(8)+'LINEST VARS'!$R$54*($EM$32)+'LINEST VARS'!$Q$54*(0.5)+'LINEST VARS'!$P$54*($DV40)+'LINEST VARS'!$O$54*(8^2)+'LINEST VARS'!$N$54*(8^2)+'LINEST VARS'!$M$54*($EM$32^2)+'LINEST VARS'!$L$54*(0.5^2)+'LINEST VARS'!$K$54*($DV40^2)+'LINEST VARS'!$J$54*(8*8)+'LINEST VARS'!$I$54*(8*$EM$32)+'LINEST VARS'!$H$54*(8*0.5)+'LINEST VARS'!$G$54*(8*$DV40)+'LINEST VARS'!$F$54*(8*$EM$32)+'LINEST VARS'!$E$54*(8*0.5)+'LINEST VARS'!$D$54*(8*$DV40)+'LINEST VARS'!$C$54*($EM$32*0.5)+'LINEST VARS'!$B$54*($EM$32*$DV40)+'LINEST VARS'!$A$54*(0.5*$DV40)</f>
        <v>3.9749999999999996</v>
      </c>
      <c r="EN40" s="51">
        <f>'LINEST VARS'!$U$54+'LINEST VARS'!$T$54*(8)+'LINEST VARS'!$S$54*(8)+'LINEST VARS'!$R$54*($EN$32)+'LINEST VARS'!$Q$54*(0.5)+'LINEST VARS'!$P$54*($DV40)+'LINEST VARS'!$O$54*(8^2)+'LINEST VARS'!$N$54*(8^2)+'LINEST VARS'!$M$54*($EN$32^2)+'LINEST VARS'!$L$54*(0.5^2)+'LINEST VARS'!$K$54*($DV40^2)+'LINEST VARS'!$J$54*(8*8)+'LINEST VARS'!$I$54*(8*$EN$32)+'LINEST VARS'!$H$54*(8*0.5)+'LINEST VARS'!$G$54*(8*$DV40)+'LINEST VARS'!$F$54*(8*$EN$32)+'LINEST VARS'!$E$54*(8*0.5)+'LINEST VARS'!$D$54*(8*$DV40)+'LINEST VARS'!$C$54*($EN$32*0.5)+'LINEST VARS'!$B$54*($EN$32*$DV40)+'LINEST VARS'!$A$54*(0.5*$DV40)</f>
        <v>3.9749999999999996</v>
      </c>
      <c r="EO40" s="51">
        <f>'LINEST VARS'!$U$54+'LINEST VARS'!$T$54*(8)+'LINEST VARS'!$S$54*(8)+'LINEST VARS'!$R$54*($EO$32)+'LINEST VARS'!$Q$54*(0.5)+'LINEST VARS'!$P$54*($DV40)+'LINEST VARS'!$O$54*(8^2)+'LINEST VARS'!$N$54*(8^2)+'LINEST VARS'!$M$54*($EO$32^2)+'LINEST VARS'!$L$54*(0.5^2)+'LINEST VARS'!$K$54*($DV40^2)+'LINEST VARS'!$J$54*(8*8)+'LINEST VARS'!$I$54*(8*$EO$32)+'LINEST VARS'!$H$54*(8*0.5)+'LINEST VARS'!$G$54*(8*$DV40)+'LINEST VARS'!$F$54*(8*$EO$32)+'LINEST VARS'!$E$54*(8*0.5)+'LINEST VARS'!$D$54*(8*$DV40)+'LINEST VARS'!$C$54*($EO$32*0.5)+'LINEST VARS'!$B$54*($EO$32*$DV40)+'LINEST VARS'!$A$54*(0.5*$DV40)</f>
        <v>3.9749999999999996</v>
      </c>
      <c r="EP40" s="51">
        <f>'LINEST VARS'!$U$54+'LINEST VARS'!$T$54*(8)+'LINEST VARS'!$S$54*(8)+'LINEST VARS'!$R$54*($EP$32)+'LINEST VARS'!$Q$54*(0.5)+'LINEST VARS'!$P$54*($DV40)+'LINEST VARS'!$O$54*(8^2)+'LINEST VARS'!$N$54*(8^2)+'LINEST VARS'!$M$54*($EP$32^2)+'LINEST VARS'!$L$54*(0.5^2)+'LINEST VARS'!$K$54*($DV40^2)+'LINEST VARS'!$J$54*(8*8)+'LINEST VARS'!$I$54*(8*$EP$32)+'LINEST VARS'!$H$54*(8*0.5)+'LINEST VARS'!$G$54*(8*$DV40)+'LINEST VARS'!$F$54*(8*$EP$32)+'LINEST VARS'!$E$54*(8*0.5)+'LINEST VARS'!$D$54*(8*$DV40)+'LINEST VARS'!$C$54*($EP$32*0.5)+'LINEST VARS'!$B$54*($EP$32*$DV40)+'LINEST VARS'!$A$54*(0.5*$DV40)</f>
        <v>3.9749999999999996</v>
      </c>
      <c r="EQ40" s="52">
        <f>'LINEST VARS'!$U$54+'LINEST VARS'!$T$54*(8)+'LINEST VARS'!$S$54*(8)+'LINEST VARS'!$R$54*($EQ$32)+'LINEST VARS'!$Q$54*(0.5)+'LINEST VARS'!$P$54*($DV40)+'LINEST VARS'!$O$54*(8^2)+'LINEST VARS'!$N$54*(8^2)+'LINEST VARS'!$M$54*($EQ$32^2)+'LINEST VARS'!$L$54*(0.5^2)+'LINEST VARS'!$K$54*($DV40^2)+'LINEST VARS'!$J$54*(8*8)+'LINEST VARS'!$I$54*(8*$EQ$32)+'LINEST VARS'!$H$54*(8*0.5)+'LINEST VARS'!$G$54*(8*$DV40)+'LINEST VARS'!$F$54*(8*$EQ$32)+'LINEST VARS'!$E$54*(8*0.5)+'LINEST VARS'!$D$54*(8*$DV40)+'LINEST VARS'!$C$54*($EQ$32*0.5)+'LINEST VARS'!$B$54*($EQ$32*$DV40)+'LINEST VARS'!$A$54*(0.5*$DV40)</f>
        <v>3.9749999999999996</v>
      </c>
    </row>
    <row r="41" spans="2:147" ht="15" customHeight="1" x14ac:dyDescent="0.25">
      <c r="B41" s="45">
        <v>7.88</v>
      </c>
      <c r="C41" s="51">
        <f>'LINEST VARS'!$U$52+'LINEST VARS'!$T$52*($C$32)+'LINEST VARS'!$S$52*($B41)+'LINEST VARS'!$R$52*(4)+'LINEST VARS'!$Q$52*(0.5)+'LINEST VARS'!$P$52*(12.73)+'LINEST VARS'!$O$52*($C$32^2)+'LINEST VARS'!$N$52*($B41^2)+'LINEST VARS'!$M$52*(4^2)+'LINEST VARS'!$L$52*(0.5^2)+'LINEST VARS'!$K$52*(12.73^2)+'LINEST VARS'!$J$52*($C$32*$B41)+'LINEST VARS'!$I$52*($C$32*4)+'LINEST VARS'!$H$52*($C$32*0.5)+'LINEST VARS'!$G$52*($C$32*12.73)+'LINEST VARS'!$F$52*($B41*4)+'LINEST VARS'!$E$52*($B41*0.5)+'LINEST VARS'!$D$52*($B41*12.73)+'LINEST VARS'!$C$52*(4*0.5)+'LINEST VARS'!$B$52*(4*12.73)+'LINEST VARS'!$A$52*(0.5*12.73)</f>
        <v>4.4499999999999984</v>
      </c>
      <c r="D41" s="51">
        <f>'LINEST VARS'!$U$52+'LINEST VARS'!$T$52*($D$32)+'LINEST VARS'!$S$52*($B41)+'LINEST VARS'!$R$52*(4)+'LINEST VARS'!$Q$52*(0.5)+'LINEST VARS'!$P$52*(12.73)+'LINEST VARS'!$O$52*($D$32^2)+'LINEST VARS'!$N$52*($B41^2)+'LINEST VARS'!$M$52*(4^2)+'LINEST VARS'!$L$52*(0.5^2)+'LINEST VARS'!$K$52*(12.73^2)+'LINEST VARS'!$J$52*($D$32*$B41)+'LINEST VARS'!$I$52*($D$32*4)+'LINEST VARS'!$H$52*($D$32*0.5)+'LINEST VARS'!$G$52*($D$32*12.73)+'LINEST VARS'!$F$52*($B41*4)+'LINEST VARS'!$E$52*($B41*0.5)+'LINEST VARS'!$D$52*($B41*12.73)+'LINEST VARS'!$C$52*(4*0.5)+'LINEST VARS'!$B$52*(4*12.73)+'LINEST VARS'!$A$52*(0.5*12.73)</f>
        <v>4.4499999999999984</v>
      </c>
      <c r="E41" s="51">
        <f>'LINEST VARS'!$U$52+'LINEST VARS'!$T$52*($E$32)+'LINEST VARS'!$S$52*($B41)+'LINEST VARS'!$R$52*(4)+'LINEST VARS'!$Q$52*(0.5)+'LINEST VARS'!$P$52*(12.73)+'LINEST VARS'!$O$52*($E$32^2)+'LINEST VARS'!$N$52*($B41^2)+'LINEST VARS'!$M$52*(4^2)+'LINEST VARS'!$L$52*(0.5^2)+'LINEST VARS'!$K$52*(12.73^2)+'LINEST VARS'!$J$52*($E$32*$B41)+'LINEST VARS'!$I$52*($E$32*4)+'LINEST VARS'!$H$52*($E$32*0.5)+'LINEST VARS'!$G$52*($E$32*12.73)+'LINEST VARS'!$F$52*($B41*4)+'LINEST VARS'!$E$52*($B41*0.5)+'LINEST VARS'!$D$52*($B41*12.73)+'LINEST VARS'!$C$52*(4*0.5)+'LINEST VARS'!$B$52*(4*12.73)+'LINEST VARS'!$A$52*(0.5*12.73)</f>
        <v>4.4499999999999984</v>
      </c>
      <c r="F41" s="51">
        <f>'LINEST VARS'!$U$52+'LINEST VARS'!$T$52*($F$32)+'LINEST VARS'!$S$52*($B41)+'LINEST VARS'!$R$52*(4)+'LINEST VARS'!$Q$52*(0.5)+'LINEST VARS'!$P$52*(12.73)+'LINEST VARS'!$O$52*($F$32^2)+'LINEST VARS'!$N$52*($B41^2)+'LINEST VARS'!$M$52*(4^2)+'LINEST VARS'!$L$52*(0.5^2)+'LINEST VARS'!$K$52*(12.73^2)+'LINEST VARS'!$J$52*($F$32*$B41)+'LINEST VARS'!$I$52*($F$32*4)+'LINEST VARS'!$H$52*($F$32*0.5)+'LINEST VARS'!$G$52*($F$32*12.73)+'LINEST VARS'!$F$52*($B41*4)+'LINEST VARS'!$E$52*($B41*0.5)+'LINEST VARS'!$D$52*($B41*12.73)+'LINEST VARS'!$C$52*(4*0.5)+'LINEST VARS'!$B$52*(4*12.73)+'LINEST VARS'!$A$52*(0.5*12.73)</f>
        <v>4.4499999999999984</v>
      </c>
      <c r="G41" s="51">
        <f>'LINEST VARS'!$U$52+'LINEST VARS'!$T$52*($G$32)+'LINEST VARS'!$S$52*($B41)+'LINEST VARS'!$R$52*(4)+'LINEST VARS'!$Q$52*(0.5)+'LINEST VARS'!$P$52*(12.73)+'LINEST VARS'!$O$52*($G$32^2)+'LINEST VARS'!$N$52*($B41^2)+'LINEST VARS'!$M$52*(4^2)+'LINEST VARS'!$L$52*(0.5^2)+'LINEST VARS'!$K$52*(12.73^2)+'LINEST VARS'!$J$52*($G$32*$B41)+'LINEST VARS'!$I$52*($G$32*4)+'LINEST VARS'!$H$52*($G$32*0.5)+'LINEST VARS'!$G$52*($G$32*12.73)+'LINEST VARS'!$F$52*($B41*4)+'LINEST VARS'!$E$52*($B41*0.5)+'LINEST VARS'!$D$52*($B41*12.73)+'LINEST VARS'!$C$52*(4*0.5)+'LINEST VARS'!$B$52*(4*12.73)+'LINEST VARS'!$A$52*(0.5*12.73)</f>
        <v>4.4499999999999984</v>
      </c>
      <c r="H41" s="51">
        <f>'LINEST VARS'!$U$52+'LINEST VARS'!$T$52*($H$32)+'LINEST VARS'!$S$52*($B41)+'LINEST VARS'!$R$52*(4)+'LINEST VARS'!$Q$52*(0.5)+'LINEST VARS'!$P$52*(12.73)+'LINEST VARS'!$O$52*($H$32^2)+'LINEST VARS'!$N$52*($B41^2)+'LINEST VARS'!$M$52*(4^2)+'LINEST VARS'!$L$52*(0.5^2)+'LINEST VARS'!$K$52*(12.73^2)+'LINEST VARS'!$J$52*($H$32*$B41)+'LINEST VARS'!$I$52*($H$32*4)+'LINEST VARS'!$H$52*($H$32*0.5)+'LINEST VARS'!$G$52*($H$32*12.73)+'LINEST VARS'!$F$52*($B41*4)+'LINEST VARS'!$E$52*($B41*0.5)+'LINEST VARS'!$D$52*($B41*12.73)+'LINEST VARS'!$C$52*(4*0.5)+'LINEST VARS'!$B$52*(4*12.73)+'LINEST VARS'!$A$52*(0.5*12.73)</f>
        <v>4.4499999999999984</v>
      </c>
      <c r="I41" s="51">
        <f>'LINEST VARS'!$U$52+'LINEST VARS'!$T$52*($I$32)+'LINEST VARS'!$S$52*($B41)+'LINEST VARS'!$R$52*(4)+'LINEST VARS'!$Q$52*(0.5)+'LINEST VARS'!$P$52*(12.73)+'LINEST VARS'!$O$52*($I$32^2)+'LINEST VARS'!$N$52*($B41^2)+'LINEST VARS'!$M$52*(4^2)+'LINEST VARS'!$L$52*(0.5^2)+'LINEST VARS'!$K$52*(12.73^2)+'LINEST VARS'!$J$52*($I$32*$B41)+'LINEST VARS'!$I$52*($I$32*4)+'LINEST VARS'!$H$52*($I$32*0.5)+'LINEST VARS'!$G$52*($I$32*12.73)+'LINEST VARS'!$F$52*($B41*4)+'LINEST VARS'!$E$52*($B41*0.5)+'LINEST VARS'!$D$52*($B41*12.73)+'LINEST VARS'!$C$52*(4*0.5)+'LINEST VARS'!$B$52*(4*12.73)+'LINEST VARS'!$A$52*(0.5*12.73)</f>
        <v>4.4499999999999984</v>
      </c>
      <c r="J41" s="51">
        <f>'LINEST VARS'!$U$52+'LINEST VARS'!$T$52*($J$32)+'LINEST VARS'!$S$52*($B41)+'LINEST VARS'!$R$52*(4)+'LINEST VARS'!$Q$52*(0.5)+'LINEST VARS'!$P$52*(12.73)+'LINEST VARS'!$O$52*($J$32^2)+'LINEST VARS'!$N$52*($B41^2)+'LINEST VARS'!$M$52*(4^2)+'LINEST VARS'!$L$52*(0.5^2)+'LINEST VARS'!$K$52*(12.73^2)+'LINEST VARS'!$J$52*($J$32*$B41)+'LINEST VARS'!$I$52*($J$32*4)+'LINEST VARS'!$H$52*($J$32*0.5)+'LINEST VARS'!$G$52*($J$32*12.73)+'LINEST VARS'!$F$52*($B41*4)+'LINEST VARS'!$E$52*($B41*0.5)+'LINEST VARS'!$D$52*($B41*12.73)+'LINEST VARS'!$C$52*(4*0.5)+'LINEST VARS'!$B$52*(4*12.73)+'LINEST VARS'!$A$52*(0.5*12.73)</f>
        <v>4.4499999999999984</v>
      </c>
      <c r="K41" s="51">
        <f>'LINEST VARS'!$U$52+'LINEST VARS'!$T$52*($K$32)+'LINEST VARS'!$S$52*($B41)+'LINEST VARS'!$R$52*(4)+'LINEST VARS'!$Q$52*(0.5)+'LINEST VARS'!$P$52*(12.73)+'LINEST VARS'!$O$52*($K$32^2)+'LINEST VARS'!$N$52*($B41^2)+'LINEST VARS'!$M$52*(4^2)+'LINEST VARS'!$L$52*(0.5^2)+'LINEST VARS'!$K$52*(12.73^2)+'LINEST VARS'!$J$52*($K$32*$B41)+'LINEST VARS'!$I$52*($K$32*4)+'LINEST VARS'!$H$52*($K$32*0.5)+'LINEST VARS'!$G$52*($K$32*12.73)+'LINEST VARS'!$F$52*($B41*4)+'LINEST VARS'!$E$52*($B41*0.5)+'LINEST VARS'!$D$52*($B41*12.73)+'LINEST VARS'!$C$52*(4*0.5)+'LINEST VARS'!$B$52*(4*12.73)+'LINEST VARS'!$A$52*(0.5*12.73)</f>
        <v>4.4499999999999984</v>
      </c>
      <c r="L41" s="51">
        <f>'LINEST VARS'!$U$52+'LINEST VARS'!$T$52*($L$32)+'LINEST VARS'!$S$52*($B41)+'LINEST VARS'!$R$52*(4)+'LINEST VARS'!$Q$52*(0.5)+'LINEST VARS'!$P$52*(12.73)+'LINEST VARS'!$O$52*($L$32^2)+'LINEST VARS'!$N$52*($B41^2)+'LINEST VARS'!$M$52*(4^2)+'LINEST VARS'!$L$52*(0.5^2)+'LINEST VARS'!$K$52*(12.73^2)+'LINEST VARS'!$J$52*($L$32*$B41)+'LINEST VARS'!$I$52*($L$32*4)+'LINEST VARS'!$H$52*($L$32*0.5)+'LINEST VARS'!$G$52*($L$32*12.73)+'LINEST VARS'!$F$52*($B41*4)+'LINEST VARS'!$E$52*($B41*0.5)+'LINEST VARS'!$D$52*($B41*12.73)+'LINEST VARS'!$C$52*(4*0.5)+'LINEST VARS'!$B$52*(4*12.73)+'LINEST VARS'!$A$52*(0.5*12.73)</f>
        <v>4.4499999999999984</v>
      </c>
      <c r="M41" s="51">
        <f>'LINEST VARS'!$U$52+'LINEST VARS'!$T$52*($M$32)+'LINEST VARS'!$S$52*($B41)+'LINEST VARS'!$R$52*(4)+'LINEST VARS'!$Q$52*(0.5)+'LINEST VARS'!$P$52*(12.73)+'LINEST VARS'!$O$52*($M$32^2)+'LINEST VARS'!$N$52*($B41^2)+'LINEST VARS'!$M$52*(4^2)+'LINEST VARS'!$L$52*(0.5^2)+'LINEST VARS'!$K$52*(12.73^2)+'LINEST VARS'!$J$52*($M$32*$B41)+'LINEST VARS'!$I$52*($M$32*4)+'LINEST VARS'!$H$52*($M$32*0.5)+'LINEST VARS'!$G$52*($M$32*12.73)+'LINEST VARS'!$F$52*($B41*4)+'LINEST VARS'!$E$52*($B41*0.5)+'LINEST VARS'!$D$52*($B41*12.73)+'LINEST VARS'!$C$52*(4*0.5)+'LINEST VARS'!$B$52*(4*12.73)+'LINEST VARS'!$A$52*(0.5*12.73)</f>
        <v>4.4499999999999984</v>
      </c>
      <c r="N41" s="51">
        <f>'LINEST VARS'!$U$52+'LINEST VARS'!$T$52*($N$32)+'LINEST VARS'!$S$52*($B41)+'LINEST VARS'!$R$52*(4)+'LINEST VARS'!$Q$52*(0.5)+'LINEST VARS'!$P$52*(12.73)+'LINEST VARS'!$O$52*($N$32^2)+'LINEST VARS'!$N$52*($B41^2)+'LINEST VARS'!$M$52*(4^2)+'LINEST VARS'!$L$52*(0.5^2)+'LINEST VARS'!$K$52*(12.73^2)+'LINEST VARS'!$J$52*($N$32*$B41)+'LINEST VARS'!$I$52*($N$32*4)+'LINEST VARS'!$H$52*($N$32*0.5)+'LINEST VARS'!$G$52*($N$32*12.73)+'LINEST VARS'!$F$52*($B41*4)+'LINEST VARS'!$E$52*($B41*0.5)+'LINEST VARS'!$D$52*($B41*12.73)+'LINEST VARS'!$C$52*(4*0.5)+'LINEST VARS'!$B$52*(4*12.73)+'LINEST VARS'!$A$52*(0.5*12.73)</f>
        <v>4.4499999999999984</v>
      </c>
      <c r="O41" s="51">
        <f>'LINEST VARS'!$U$52+'LINEST VARS'!$T$52*($O$32)+'LINEST VARS'!$S$52*($B41)+'LINEST VARS'!$R$52*(4)+'LINEST VARS'!$Q$52*(0.5)+'LINEST VARS'!$P$52*(12.73)+'LINEST VARS'!$O$52*($O$32^2)+'LINEST VARS'!$N$52*($B41^2)+'LINEST VARS'!$M$52*(4^2)+'LINEST VARS'!$L$52*(0.5^2)+'LINEST VARS'!$K$52*(12.73^2)+'LINEST VARS'!$J$52*($O$32*$B41)+'LINEST VARS'!$I$52*($O$32*4)+'LINEST VARS'!$H$52*($O$32*0.5)+'LINEST VARS'!$G$52*($O$32*12.73)+'LINEST VARS'!$F$52*($B41*4)+'LINEST VARS'!$E$52*($B41*0.5)+'LINEST VARS'!$D$52*($B41*12.73)+'LINEST VARS'!$C$52*(4*0.5)+'LINEST VARS'!$B$52*(4*12.73)+'LINEST VARS'!$A$52*(0.5*12.73)</f>
        <v>4.4499999999999984</v>
      </c>
      <c r="P41" s="51">
        <f>'LINEST VARS'!$U$52+'LINEST VARS'!$T$52*($P$32)+'LINEST VARS'!$S$52*($B41)+'LINEST VARS'!$R$52*(4)+'LINEST VARS'!$Q$52*(0.5)+'LINEST VARS'!$P$52*(12.73)+'LINEST VARS'!$O$52*($P$32^2)+'LINEST VARS'!$N$52*($B41^2)+'LINEST VARS'!$M$52*(4^2)+'LINEST VARS'!$L$52*(0.5^2)+'LINEST VARS'!$K$52*(12.73^2)+'LINEST VARS'!$J$52*($P$32*$B41)+'LINEST VARS'!$I$52*($P$32*4)+'LINEST VARS'!$H$52*($P$32*0.5)+'LINEST VARS'!$G$52*($P$32*12.73)+'LINEST VARS'!$F$52*($B41*4)+'LINEST VARS'!$E$52*($B41*0.5)+'LINEST VARS'!$D$52*($B41*12.73)+'LINEST VARS'!$C$52*(4*0.5)+'LINEST VARS'!$B$52*(4*12.73)+'LINEST VARS'!$A$52*(0.5*12.73)</f>
        <v>4.4499999999999984</v>
      </c>
      <c r="Q41" s="51">
        <f>'LINEST VARS'!$U$52+'LINEST VARS'!$T$52*($Q$32)+'LINEST VARS'!$S$52*($B41)+'LINEST VARS'!$R$52*(4)+'LINEST VARS'!$Q$52*(0.5)+'LINEST VARS'!$P$52*(12.73)+'LINEST VARS'!$O$52*($Q$32^2)+'LINEST VARS'!$N$52*($B41^2)+'LINEST VARS'!$M$52*(4^2)+'LINEST VARS'!$L$52*(0.5^2)+'LINEST VARS'!$K$52*(12.73^2)+'LINEST VARS'!$J$52*($Q$32*$B41)+'LINEST VARS'!$I$52*($Q$32*4)+'LINEST VARS'!$H$52*($Q$32*0.5)+'LINEST VARS'!$G$52*($Q$32*12.73)+'LINEST VARS'!$F$52*($B41*4)+'LINEST VARS'!$E$52*($B41*0.5)+'LINEST VARS'!$D$52*($B41*12.73)+'LINEST VARS'!$C$52*(4*0.5)+'LINEST VARS'!$B$52*(4*12.73)+'LINEST VARS'!$A$52*(0.5*12.73)</f>
        <v>4.4499999999999984</v>
      </c>
      <c r="R41" s="51">
        <f>'LINEST VARS'!$U$52+'LINEST VARS'!$T$52*($R$32)+'LINEST VARS'!$S$52*($B41)+'LINEST VARS'!$R$52*(4)+'LINEST VARS'!$Q$52*(0.5)+'LINEST VARS'!$P$52*(12.73)+'LINEST VARS'!$O$52*($R$32^2)+'LINEST VARS'!$N$52*($B41^2)+'LINEST VARS'!$M$52*(4^2)+'LINEST VARS'!$L$52*(0.5^2)+'LINEST VARS'!$K$52*(12.73^2)+'LINEST VARS'!$J$52*($R$32*$B41)+'LINEST VARS'!$I$52*($R$32*4)+'LINEST VARS'!$H$52*($R$32*0.5)+'LINEST VARS'!$G$52*($R$32*12.73)+'LINEST VARS'!$F$52*($B41*4)+'LINEST VARS'!$E$52*($B41*0.5)+'LINEST VARS'!$D$52*($B41*12.73)+'LINEST VARS'!$C$52*(4*0.5)+'LINEST VARS'!$B$52*(4*12.73)+'LINEST VARS'!$A$52*(0.5*12.73)</f>
        <v>4.4499999999999984</v>
      </c>
      <c r="S41" s="51">
        <f>'LINEST VARS'!$U$52+'LINEST VARS'!$T$52*($S$32)+'LINEST VARS'!$S$52*($B41)+'LINEST VARS'!$R$52*(4)+'LINEST VARS'!$Q$52*(0.5)+'LINEST VARS'!$P$52*(12.73)+'LINEST VARS'!$O$52*($S$32^2)+'LINEST VARS'!$N$52*($B41^2)+'LINEST VARS'!$M$52*(4^2)+'LINEST VARS'!$L$52*(0.5^2)+'LINEST VARS'!$K$52*(12.73^2)+'LINEST VARS'!$J$52*($S$32*$B41)+'LINEST VARS'!$I$52*($S$32*4)+'LINEST VARS'!$H$52*($S$32*0.5)+'LINEST VARS'!$G$52*($S$32*12.73)+'LINEST VARS'!$F$52*($B41*4)+'LINEST VARS'!$E$52*($B41*0.5)+'LINEST VARS'!$D$52*($B41*12.73)+'LINEST VARS'!$C$52*(4*0.5)+'LINEST VARS'!$B$52*(4*12.73)+'LINEST VARS'!$A$52*(0.5*12.73)</f>
        <v>4.4499999999999984</v>
      </c>
      <c r="T41" s="51">
        <f>'LINEST VARS'!$U$52+'LINEST VARS'!$T$52*($T$32)+'LINEST VARS'!$S$52*($B41)+'LINEST VARS'!$R$52*(4)+'LINEST VARS'!$Q$52*(0.5)+'LINEST VARS'!$P$52*(12.73)+'LINEST VARS'!$O$52*($T$32^2)+'LINEST VARS'!$N$52*($B41^2)+'LINEST VARS'!$M$52*(4^2)+'LINEST VARS'!$L$52*(0.5^2)+'LINEST VARS'!$K$52*(12.73^2)+'LINEST VARS'!$J$52*($T$32*$B41)+'LINEST VARS'!$I$52*($T$32*4)+'LINEST VARS'!$H$52*($T$32*0.5)+'LINEST VARS'!$G$52*($T$32*12.73)+'LINEST VARS'!$F$52*($B41*4)+'LINEST VARS'!$E$52*($B41*0.5)+'LINEST VARS'!$D$52*($B41*12.73)+'LINEST VARS'!$C$52*(4*0.5)+'LINEST VARS'!$B$52*(4*12.73)+'LINEST VARS'!$A$52*(0.5*12.73)</f>
        <v>4.4499999999999984</v>
      </c>
      <c r="U41" s="51">
        <f>'LINEST VARS'!$U$52+'LINEST VARS'!$T$52*($U$32)+'LINEST VARS'!$S$52*($B41)+'LINEST VARS'!$R$52*(4)+'LINEST VARS'!$Q$52*(0.5)+'LINEST VARS'!$P$52*(12.73)+'LINEST VARS'!$O$52*($U$32^2)+'LINEST VARS'!$N$52*($B41^2)+'LINEST VARS'!$M$52*(4^2)+'LINEST VARS'!$L$52*(0.5^2)+'LINEST VARS'!$K$52*(12.73^2)+'LINEST VARS'!$J$52*($U$32*$B41)+'LINEST VARS'!$I$52*($U$32*4)+'LINEST VARS'!$H$52*($U$32*0.5)+'LINEST VARS'!$G$52*($U$32*12.73)+'LINEST VARS'!$F$52*($B41*4)+'LINEST VARS'!$E$52*($B41*0.5)+'LINEST VARS'!$D$52*($B41*12.73)+'LINEST VARS'!$C$52*(4*0.5)+'LINEST VARS'!$B$52*(4*12.73)+'LINEST VARS'!$A$52*(0.5*12.73)</f>
        <v>4.4499999999999984</v>
      </c>
      <c r="V41" s="51">
        <f>'LINEST VARS'!$U$52+'LINEST VARS'!$T$52*($V$32)+'LINEST VARS'!$S$52*($B41)+'LINEST VARS'!$R$52*(4)+'LINEST VARS'!$Q$52*(0.5)+'LINEST VARS'!$P$52*(12.73)+'LINEST VARS'!$O$52*($V$32^2)+'LINEST VARS'!$N$52*($B41^2)+'LINEST VARS'!$M$52*(4^2)+'LINEST VARS'!$L$52*(0.5^2)+'LINEST VARS'!$K$52*(12.73^2)+'LINEST VARS'!$J$52*($V$32*$B41)+'LINEST VARS'!$I$52*($V$32*4)+'LINEST VARS'!$H$52*($V$32*0.5)+'LINEST VARS'!$G$52*($V$32*12.73)+'LINEST VARS'!$F$52*($B41*4)+'LINEST VARS'!$E$52*($B41*0.5)+'LINEST VARS'!$D$52*($B41*12.73)+'LINEST VARS'!$C$52*(4*0.5)+'LINEST VARS'!$B$52*(4*12.73)+'LINEST VARS'!$A$52*(0.5*12.73)</f>
        <v>4.4499999999999993</v>
      </c>
      <c r="W41" s="52">
        <f>'LINEST VARS'!$U$52+'LINEST VARS'!$T$52*($W$32)+'LINEST VARS'!$S$52*($B41)+'LINEST VARS'!$R$52*(4)+'LINEST VARS'!$Q$52*(0.5)+'LINEST VARS'!$P$52*(12.73)+'LINEST VARS'!$O$52*($W$32^2)+'LINEST VARS'!$N$52*($B41^2)+'LINEST VARS'!$M$52*(4^2)+'LINEST VARS'!$L$52*(0.5^2)+'LINEST VARS'!$K$52*(12.73^2)+'LINEST VARS'!$J$52*($W$32*$B41)+'LINEST VARS'!$I$52*($W$32*4)+'LINEST VARS'!$H$52*($W$32*0.5)+'LINEST VARS'!$G$52*($W$32*12.73)+'LINEST VARS'!$F$52*($B41*4)+'LINEST VARS'!$E$52*($B41*0.5)+'LINEST VARS'!$D$52*($B41*12.73)+'LINEST VARS'!$C$52*(4*0.5)+'LINEST VARS'!$B$52*(4*12.73)+'LINEST VARS'!$A$52*(0.5*12.73)</f>
        <v>4.4499999999999993</v>
      </c>
      <c r="Z41" s="45">
        <v>7.88</v>
      </c>
      <c r="AA41" s="51">
        <f>'LINEST VARS'!$U$54+'LINEST VARS'!$T$54*($AA$32)+'LINEST VARS'!$S$54*($Z41)+'LINEST VARS'!$R$54*(4)+'LINEST VARS'!$Q$54*(0.5)+'LINEST VARS'!$P$54*(12.73)+'LINEST VARS'!$O$54*($AA$32^2)+'LINEST VARS'!$N$54*($Z41^2)+'LINEST VARS'!$M$54*(4^2)+'LINEST VARS'!$L$54*(0.5^2)+'LINEST VARS'!$K$54*(12.73^2)+'LINEST VARS'!$J$54*($AA$32*$Z41)+'LINEST VARS'!$I$54*($AA$32*4)+'LINEST VARS'!$H$54*($AA$32*0.5)+'LINEST VARS'!$G$54*($AA$32*12.73)+'LINEST VARS'!$F$54*($Z41*4)+'LINEST VARS'!$E$54*($Z41*0.5)+'LINEST VARS'!$D$54*($Z41*12.73)+'LINEST VARS'!$C$54*(4*0.5)+'LINEST VARS'!$B$54*(4*12.73)+'LINEST VARS'!$A$54*(0.5*12.73)</f>
        <v>3.9749999999999996</v>
      </c>
      <c r="AB41" s="51">
        <f>'LINEST VARS'!$U$54+'LINEST VARS'!$T$54*($AB$32)+'LINEST VARS'!$S$54*($Z41)+'LINEST VARS'!$R$54*(4)+'LINEST VARS'!$Q$54*(0.5)+'LINEST VARS'!$P$54*(12.73)+'LINEST VARS'!$O$54*($AB$32^2)+'LINEST VARS'!$N$54*($Z41^2)+'LINEST VARS'!$M$54*(4^2)+'LINEST VARS'!$L$54*(0.5^2)+'LINEST VARS'!$K$54*(12.73^2)+'LINEST VARS'!$J$54*($AB$32*$Z41)+'LINEST VARS'!$I$54*($AB$32*4)+'LINEST VARS'!$H$54*($AB$32*0.5)+'LINEST VARS'!$G$54*($AB$32*12.73)+'LINEST VARS'!$F$54*($Z41*4)+'LINEST VARS'!$E$54*($Z41*0.5)+'LINEST VARS'!$D$54*($Z41*12.73)+'LINEST VARS'!$C$54*(4*0.5)+'LINEST VARS'!$B$54*(4*12.73)+'LINEST VARS'!$A$54*(0.5*12.73)</f>
        <v>3.9749999999999996</v>
      </c>
      <c r="AC41" s="51">
        <f>'LINEST VARS'!$U$54+'LINEST VARS'!$T$54*($AC$32)+'LINEST VARS'!$S$54*($Z41)+'LINEST VARS'!$R$54*(4)+'LINEST VARS'!$Q$54*(0.5)+'LINEST VARS'!$P$54*(12.73)+'LINEST VARS'!$O$54*($AC$32^2)+'LINEST VARS'!$N$54*($Z41^2)+'LINEST VARS'!$M$54*(4^2)+'LINEST VARS'!$L$54*(0.5^2)+'LINEST VARS'!$K$54*(12.73^2)+'LINEST VARS'!$J$54*($AC$32*$Z41)+'LINEST VARS'!$I$54*($AC$32*4)+'LINEST VARS'!$H$54*($AC$32*0.5)+'LINEST VARS'!$G$54*($AC$32*12.73)+'LINEST VARS'!$F$54*($Z41*4)+'LINEST VARS'!$E$54*($Z41*0.5)+'LINEST VARS'!$D$54*($Z41*12.73)+'LINEST VARS'!$C$54*(4*0.5)+'LINEST VARS'!$B$54*(4*12.73)+'LINEST VARS'!$A$54*(0.5*12.73)</f>
        <v>3.9749999999999996</v>
      </c>
      <c r="AD41" s="51">
        <f>'LINEST VARS'!$U$54+'LINEST VARS'!$T$54*($AD$32)+'LINEST VARS'!$S$54*($Z41)+'LINEST VARS'!$R$54*(4)+'LINEST VARS'!$Q$54*(0.5)+'LINEST VARS'!$P$54*(12.73)+'LINEST VARS'!$O$54*($AD$32^2)+'LINEST VARS'!$N$54*($Z41^2)+'LINEST VARS'!$M$54*(4^2)+'LINEST VARS'!$L$54*(0.5^2)+'LINEST VARS'!$K$54*(12.73^2)+'LINEST VARS'!$J$54*($AD$32*$Z41)+'LINEST VARS'!$I$54*($AD$32*4)+'LINEST VARS'!$H$54*($AD$32*0.5)+'LINEST VARS'!$G$54*($AD$32*12.73)+'LINEST VARS'!$F$54*($Z41*4)+'LINEST VARS'!$E$54*($Z41*0.5)+'LINEST VARS'!$D$54*($Z41*12.73)+'LINEST VARS'!$C$54*(4*0.5)+'LINEST VARS'!$B$54*(4*12.73)+'LINEST VARS'!$A$54*(0.5*12.73)</f>
        <v>3.9749999999999996</v>
      </c>
      <c r="AE41" s="51">
        <f>'LINEST VARS'!$U$54+'LINEST VARS'!$T$54*($AE$32)+'LINEST VARS'!$S$54*($Z41)+'LINEST VARS'!$R$54*(4)+'LINEST VARS'!$Q$54*(0.5)+'LINEST VARS'!$P$54*(12.73)+'LINEST VARS'!$O$54*($AE$32^2)+'LINEST VARS'!$N$54*($Z41^2)+'LINEST VARS'!$M$54*(4^2)+'LINEST VARS'!$L$54*(0.5^2)+'LINEST VARS'!$K$54*(12.73^2)+'LINEST VARS'!$J$54*($AE$32*$Z41)+'LINEST VARS'!$I$54*($AE$32*4)+'LINEST VARS'!$H$54*($AE$32*0.5)+'LINEST VARS'!$G$54*($AE$32*12.73)+'LINEST VARS'!$F$54*($Z41*4)+'LINEST VARS'!$E$54*($Z41*0.5)+'LINEST VARS'!$D$54*($Z41*12.73)+'LINEST VARS'!$C$54*(4*0.5)+'LINEST VARS'!$B$54*(4*12.73)+'LINEST VARS'!$A$54*(0.5*12.73)</f>
        <v>3.9749999999999996</v>
      </c>
      <c r="AF41" s="51">
        <f>'LINEST VARS'!$U$54+'LINEST VARS'!$T$54*($AF$32)+'LINEST VARS'!$S$54*($Z41)+'LINEST VARS'!$R$54*(4)+'LINEST VARS'!$Q$54*(0.5)+'LINEST VARS'!$P$54*(12.73)+'LINEST VARS'!$O$54*($AF$32^2)+'LINEST VARS'!$N$54*($Z41^2)+'LINEST VARS'!$M$54*(4^2)+'LINEST VARS'!$L$54*(0.5^2)+'LINEST VARS'!$K$54*(12.73^2)+'LINEST VARS'!$J$54*($AF$32*$Z41)+'LINEST VARS'!$I$54*($AF$32*4)+'LINEST VARS'!$H$54*($AF$32*0.5)+'LINEST VARS'!$G$54*($AF$32*12.73)+'LINEST VARS'!$F$54*($Z41*4)+'LINEST VARS'!$E$54*($Z41*0.5)+'LINEST VARS'!$D$54*($Z41*12.73)+'LINEST VARS'!$C$54*(4*0.5)+'LINEST VARS'!$B$54*(4*12.73)+'LINEST VARS'!$A$54*(0.5*12.73)</f>
        <v>3.9749999999999996</v>
      </c>
      <c r="AG41" s="51">
        <f>'LINEST VARS'!$U$54+'LINEST VARS'!$T$54*($AG$32)+'LINEST VARS'!$S$54*($Z41)+'LINEST VARS'!$R$54*(4)+'LINEST VARS'!$Q$54*(0.5)+'LINEST VARS'!$P$54*(12.73)+'LINEST VARS'!$O$54*($AG$32^2)+'LINEST VARS'!$N$54*($Z41^2)+'LINEST VARS'!$M$54*(4^2)+'LINEST VARS'!$L$54*(0.5^2)+'LINEST VARS'!$K$54*(12.73^2)+'LINEST VARS'!$J$54*($AG$32*$Z41)+'LINEST VARS'!$I$54*($AG$32*4)+'LINEST VARS'!$H$54*($AG$32*0.5)+'LINEST VARS'!$G$54*($AG$32*12.73)+'LINEST VARS'!$F$54*($Z41*4)+'LINEST VARS'!$E$54*($Z41*0.5)+'LINEST VARS'!$D$54*($Z41*12.73)+'LINEST VARS'!$C$54*(4*0.5)+'LINEST VARS'!$B$54*(4*12.73)+'LINEST VARS'!$A$54*(0.5*12.73)</f>
        <v>3.9749999999999996</v>
      </c>
      <c r="AH41" s="51">
        <f>'LINEST VARS'!$U$54+'LINEST VARS'!$T$54*($AH$32)+'LINEST VARS'!$S$54*($Z41)+'LINEST VARS'!$R$54*(4)+'LINEST VARS'!$Q$54*(0.5)+'LINEST VARS'!$P$54*(12.73)+'LINEST VARS'!$O$54*($AH$32^2)+'LINEST VARS'!$N$54*($Z41^2)+'LINEST VARS'!$M$54*(4^2)+'LINEST VARS'!$L$54*(0.5^2)+'LINEST VARS'!$K$54*(12.73^2)+'LINEST VARS'!$J$54*($AH$32*$Z41)+'LINEST VARS'!$I$54*($AH$32*4)+'LINEST VARS'!$H$54*($AH$32*0.5)+'LINEST VARS'!$G$54*($AH$32*12.73)+'LINEST VARS'!$F$54*($Z41*4)+'LINEST VARS'!$E$54*($Z41*0.5)+'LINEST VARS'!$D$54*($Z41*12.73)+'LINEST VARS'!$C$54*(4*0.5)+'LINEST VARS'!$B$54*(4*12.73)+'LINEST VARS'!$A$54*(0.5*12.73)</f>
        <v>3.9749999999999996</v>
      </c>
      <c r="AI41" s="51">
        <f>'LINEST VARS'!$U$54+'LINEST VARS'!$T$54*($AI$32)+'LINEST VARS'!$S$54*($Z41)+'LINEST VARS'!$R$54*(4)+'LINEST VARS'!$Q$54*(0.5)+'LINEST VARS'!$P$54*(12.73)+'LINEST VARS'!$O$54*($AI$32^2)+'LINEST VARS'!$N$54*($Z41^2)+'LINEST VARS'!$M$54*(4^2)+'LINEST VARS'!$L$54*(0.5^2)+'LINEST VARS'!$K$54*(12.73^2)+'LINEST VARS'!$J$54*($AI$32*$Z41)+'LINEST VARS'!$I$54*($AI$32*4)+'LINEST VARS'!$H$54*($AI$32*0.5)+'LINEST VARS'!$G$54*($AI$32*12.73)+'LINEST VARS'!$F$54*($Z41*4)+'LINEST VARS'!$E$54*($Z41*0.5)+'LINEST VARS'!$D$54*($Z41*12.73)+'LINEST VARS'!$C$54*(4*0.5)+'LINEST VARS'!$B$54*(4*12.73)+'LINEST VARS'!$A$54*(0.5*12.73)</f>
        <v>3.9749999999999996</v>
      </c>
      <c r="AJ41" s="51">
        <f>'LINEST VARS'!$U$54+'LINEST VARS'!$T$54*($AJ$32)+'LINEST VARS'!$S$54*($Z41)+'LINEST VARS'!$R$54*(4)+'LINEST VARS'!$Q$54*(0.5)+'LINEST VARS'!$P$54*(12.73)+'LINEST VARS'!$O$54*($AJ$32^2)+'LINEST VARS'!$N$54*($Z41^2)+'LINEST VARS'!$M$54*(4^2)+'LINEST VARS'!$L$54*(0.5^2)+'LINEST VARS'!$K$54*(12.73^2)+'LINEST VARS'!$J$54*($AJ$32*$Z41)+'LINEST VARS'!$I$54*($AJ$32*4)+'LINEST VARS'!$H$54*($AJ$32*0.5)+'LINEST VARS'!$G$54*($AJ$32*12.73)+'LINEST VARS'!$F$54*($Z41*4)+'LINEST VARS'!$E$54*($Z41*0.5)+'LINEST VARS'!$D$54*($Z41*12.73)+'LINEST VARS'!$C$54*(4*0.5)+'LINEST VARS'!$B$54*(4*12.73)+'LINEST VARS'!$A$54*(0.5*12.73)</f>
        <v>3.9749999999999996</v>
      </c>
      <c r="AK41" s="51">
        <f>'LINEST VARS'!$U$54+'LINEST VARS'!$T$54*($AK$32)+'LINEST VARS'!$S$54*($Z41)+'LINEST VARS'!$R$54*(4)+'LINEST VARS'!$Q$54*(0.5)+'LINEST VARS'!$P$54*(12.73)+'LINEST VARS'!$O$54*($AK$32^2)+'LINEST VARS'!$N$54*($Z41^2)+'LINEST VARS'!$M$54*(4^2)+'LINEST VARS'!$L$54*(0.5^2)+'LINEST VARS'!$K$54*(12.73^2)+'LINEST VARS'!$J$54*($AK$32*$Z41)+'LINEST VARS'!$I$54*($AK$32*4)+'LINEST VARS'!$H$54*($AK$32*0.5)+'LINEST VARS'!$G$54*($AK$32*12.73)+'LINEST VARS'!$F$54*($Z41*4)+'LINEST VARS'!$E$54*($Z41*0.5)+'LINEST VARS'!$D$54*($Z41*12.73)+'LINEST VARS'!$C$54*(4*0.5)+'LINEST VARS'!$B$54*(4*12.73)+'LINEST VARS'!$A$54*(0.5*12.73)</f>
        <v>3.9749999999999996</v>
      </c>
      <c r="AL41" s="51">
        <f>'LINEST VARS'!$U$54+'LINEST VARS'!$T$54*($AL$32)+'LINEST VARS'!$S$54*($Z41)+'LINEST VARS'!$R$54*(4)+'LINEST VARS'!$Q$54*(0.5)+'LINEST VARS'!$P$54*(12.73)+'LINEST VARS'!$O$54*($AL$32^2)+'LINEST VARS'!$N$54*($Z41^2)+'LINEST VARS'!$M$54*(4^2)+'LINEST VARS'!$L$54*(0.5^2)+'LINEST VARS'!$K$54*(12.73^2)+'LINEST VARS'!$J$54*($AL$32*$Z41)+'LINEST VARS'!$I$54*($AL$32*4)+'LINEST VARS'!$H$54*($AL$32*0.5)+'LINEST VARS'!$G$54*($AL$32*12.73)+'LINEST VARS'!$F$54*($Z41*4)+'LINEST VARS'!$E$54*($Z41*0.5)+'LINEST VARS'!$D$54*($Z41*12.73)+'LINEST VARS'!$C$54*(4*0.5)+'LINEST VARS'!$B$54*(4*12.73)+'LINEST VARS'!$A$54*(0.5*12.73)</f>
        <v>3.9749999999999996</v>
      </c>
      <c r="AM41" s="51">
        <f>'LINEST VARS'!$U$54+'LINEST VARS'!$T$54*($AM$32)+'LINEST VARS'!$S$54*($Z41)+'LINEST VARS'!$R$54*(4)+'LINEST VARS'!$Q$54*(0.5)+'LINEST VARS'!$P$54*(12.73)+'LINEST VARS'!$O$54*($AM$32^2)+'LINEST VARS'!$N$54*($Z41^2)+'LINEST VARS'!$M$54*(4^2)+'LINEST VARS'!$L$54*(0.5^2)+'LINEST VARS'!$K$54*(12.73^2)+'LINEST VARS'!$J$54*($AM$32*$Z41)+'LINEST VARS'!$I$54*($AM$32*4)+'LINEST VARS'!$H$54*($AM$32*0.5)+'LINEST VARS'!$G$54*($AM$32*12.73)+'LINEST VARS'!$F$54*($Z41*4)+'LINEST VARS'!$E$54*($Z41*0.5)+'LINEST VARS'!$D$54*($Z41*12.73)+'LINEST VARS'!$C$54*(4*0.5)+'LINEST VARS'!$B$54*(4*12.73)+'LINEST VARS'!$A$54*(0.5*12.73)</f>
        <v>3.9749999999999996</v>
      </c>
      <c r="AN41" s="51">
        <f>'LINEST VARS'!$U$54+'LINEST VARS'!$T$54*($AN$32)+'LINEST VARS'!$S$54*($Z41)+'LINEST VARS'!$R$54*(4)+'LINEST VARS'!$Q$54*(0.5)+'LINEST VARS'!$P$54*(12.73)+'LINEST VARS'!$O$54*($AN$32^2)+'LINEST VARS'!$N$54*($Z41^2)+'LINEST VARS'!$M$54*(4^2)+'LINEST VARS'!$L$54*(0.5^2)+'LINEST VARS'!$K$54*(12.73^2)+'LINEST VARS'!$J$54*($AN$32*$Z41)+'LINEST VARS'!$I$54*($AN$32*4)+'LINEST VARS'!$H$54*($AN$32*0.5)+'LINEST VARS'!$G$54*($AN$32*12.73)+'LINEST VARS'!$F$54*($Z41*4)+'LINEST VARS'!$E$54*($Z41*0.5)+'LINEST VARS'!$D$54*($Z41*12.73)+'LINEST VARS'!$C$54*(4*0.5)+'LINEST VARS'!$B$54*(4*12.73)+'LINEST VARS'!$A$54*(0.5*12.73)</f>
        <v>3.9749999999999996</v>
      </c>
      <c r="AO41" s="51">
        <f>'LINEST VARS'!$U$54+'LINEST VARS'!$T$54*($AO$32)+'LINEST VARS'!$S$54*($Z41)+'LINEST VARS'!$R$54*(4)+'LINEST VARS'!$Q$54*(0.5)+'LINEST VARS'!$P$54*(12.73)+'LINEST VARS'!$O$54*($AO$32^2)+'LINEST VARS'!$N$54*($Z41^2)+'LINEST VARS'!$M$54*(4^2)+'LINEST VARS'!$L$54*(0.5^2)+'LINEST VARS'!$K$54*(12.73^2)+'LINEST VARS'!$J$54*($AO$32*$Z41)+'LINEST VARS'!$I$54*($AO$32*4)+'LINEST VARS'!$H$54*($AO$32*0.5)+'LINEST VARS'!$G$54*($AO$32*12.73)+'LINEST VARS'!$F$54*($Z41*4)+'LINEST VARS'!$E$54*($Z41*0.5)+'LINEST VARS'!$D$54*($Z41*12.73)+'LINEST VARS'!$C$54*(4*0.5)+'LINEST VARS'!$B$54*(4*12.73)+'LINEST VARS'!$A$54*(0.5*12.73)</f>
        <v>3.9749999999999996</v>
      </c>
      <c r="AP41" s="51">
        <f>'LINEST VARS'!$U$54+'LINEST VARS'!$T$54*($AP$32)+'LINEST VARS'!$S$54*($Z41)+'LINEST VARS'!$R$54*(4)+'LINEST VARS'!$Q$54*(0.5)+'LINEST VARS'!$P$54*(12.73)+'LINEST VARS'!$O$54*($AP$32^2)+'LINEST VARS'!$N$54*($Z41^2)+'LINEST VARS'!$M$54*(4^2)+'LINEST VARS'!$L$54*(0.5^2)+'LINEST VARS'!$K$54*(12.73^2)+'LINEST VARS'!$J$54*($AP$32*$Z41)+'LINEST VARS'!$I$54*($AP$32*4)+'LINEST VARS'!$H$54*($AP$32*0.5)+'LINEST VARS'!$G$54*($AP$32*12.73)+'LINEST VARS'!$F$54*($Z41*4)+'LINEST VARS'!$E$54*($Z41*0.5)+'LINEST VARS'!$D$54*($Z41*12.73)+'LINEST VARS'!$C$54*(4*0.5)+'LINEST VARS'!$B$54*(4*12.73)+'LINEST VARS'!$A$54*(0.5*12.73)</f>
        <v>3.9749999999999996</v>
      </c>
      <c r="AQ41" s="51">
        <f>'LINEST VARS'!$U$54+'LINEST VARS'!$T$54*($AQ$32)+'LINEST VARS'!$S$54*($Z41)+'LINEST VARS'!$R$54*(4)+'LINEST VARS'!$Q$54*(0.5)+'LINEST VARS'!$P$54*(12.73)+'LINEST VARS'!$O$54*($AQ$32^2)+'LINEST VARS'!$N$54*($Z41^2)+'LINEST VARS'!$M$54*(4^2)+'LINEST VARS'!$L$54*(0.5^2)+'LINEST VARS'!$K$54*(12.73^2)+'LINEST VARS'!$J$54*($AQ$32*$Z41)+'LINEST VARS'!$I$54*($AQ$32*4)+'LINEST VARS'!$H$54*($AQ$32*0.5)+'LINEST VARS'!$G$54*($AQ$32*12.73)+'LINEST VARS'!$F$54*($Z41*4)+'LINEST VARS'!$E$54*($Z41*0.5)+'LINEST VARS'!$D$54*($Z41*12.73)+'LINEST VARS'!$C$54*(4*0.5)+'LINEST VARS'!$B$54*(4*12.73)+'LINEST VARS'!$A$54*(0.5*12.73)</f>
        <v>3.9749999999999996</v>
      </c>
      <c r="AR41" s="51">
        <f>'LINEST VARS'!$U$54+'LINEST VARS'!$T$54*($AR$32)+'LINEST VARS'!$S$54*($Z41)+'LINEST VARS'!$R$54*(4)+'LINEST VARS'!$Q$54*(0.5)+'LINEST VARS'!$P$54*(12.73)+'LINEST VARS'!$O$54*($AR$32^2)+'LINEST VARS'!$N$54*($Z41^2)+'LINEST VARS'!$M$54*(4^2)+'LINEST VARS'!$L$54*(0.5^2)+'LINEST VARS'!$K$54*(12.73^2)+'LINEST VARS'!$J$54*($AR$32*$Z41)+'LINEST VARS'!$I$54*($AR$32*4)+'LINEST VARS'!$H$54*($AR$32*0.5)+'LINEST VARS'!$G$54*($AR$32*12.73)+'LINEST VARS'!$F$54*($Z41*4)+'LINEST VARS'!$E$54*($Z41*0.5)+'LINEST VARS'!$D$54*($Z41*12.73)+'LINEST VARS'!$C$54*(4*0.5)+'LINEST VARS'!$B$54*(4*12.73)+'LINEST VARS'!$A$54*(0.5*12.73)</f>
        <v>3.9749999999999996</v>
      </c>
      <c r="AS41" s="51">
        <f>'LINEST VARS'!$U$54+'LINEST VARS'!$T$54*($AS$32)+'LINEST VARS'!$S$54*($Z41)+'LINEST VARS'!$R$54*(4)+'LINEST VARS'!$Q$54*(0.5)+'LINEST VARS'!$P$54*(12.73)+'LINEST VARS'!$O$54*($AS$32^2)+'LINEST VARS'!$N$54*($Z41^2)+'LINEST VARS'!$M$54*(4^2)+'LINEST VARS'!$L$54*(0.5^2)+'LINEST VARS'!$K$54*(12.73^2)+'LINEST VARS'!$J$54*($AS$32*$Z41)+'LINEST VARS'!$I$54*($AS$32*4)+'LINEST VARS'!$H$54*($AS$32*0.5)+'LINEST VARS'!$G$54*($AS$32*12.73)+'LINEST VARS'!$F$54*($Z41*4)+'LINEST VARS'!$E$54*($Z41*0.5)+'LINEST VARS'!$D$54*($Z41*12.73)+'LINEST VARS'!$C$54*(4*0.5)+'LINEST VARS'!$B$54*(4*12.73)+'LINEST VARS'!$A$54*(0.5*12.73)</f>
        <v>3.9749999999999996</v>
      </c>
      <c r="AT41" s="51">
        <f>'LINEST VARS'!$U$54+'LINEST VARS'!$T$54*($AT$32)+'LINEST VARS'!$S$54*($Z41)+'LINEST VARS'!$R$54*(4)+'LINEST VARS'!$Q$54*(0.5)+'LINEST VARS'!$P$54*(12.73)+'LINEST VARS'!$O$54*($AT$32^2)+'LINEST VARS'!$N$54*($Z41^2)+'LINEST VARS'!$M$54*(4^2)+'LINEST VARS'!$L$54*(0.5^2)+'LINEST VARS'!$K$54*(12.73^2)+'LINEST VARS'!$J$54*($AT$32*$Z41)+'LINEST VARS'!$I$54*($AT$32*4)+'LINEST VARS'!$H$54*($AT$32*0.5)+'LINEST VARS'!$G$54*($AT$32*12.73)+'LINEST VARS'!$F$54*($Z41*4)+'LINEST VARS'!$E$54*($Z41*0.5)+'LINEST VARS'!$D$54*($Z41*12.73)+'LINEST VARS'!$C$54*(4*0.5)+'LINEST VARS'!$B$54*(4*12.73)+'LINEST VARS'!$A$54*(0.5*12.73)</f>
        <v>3.9750000000000001</v>
      </c>
      <c r="AU41" s="52">
        <f>'LINEST VARS'!$U$54+'LINEST VARS'!$T$54*($AU$32)+'LINEST VARS'!$S$54*($Z41)+'LINEST VARS'!$R$54*(4)+'LINEST VARS'!$Q$54*(0.5)+'LINEST VARS'!$P$54*(12.73)+'LINEST VARS'!$O$54*($AU$32^2)+'LINEST VARS'!$N$54*($Z41^2)+'LINEST VARS'!$M$54*(4^2)+'LINEST VARS'!$L$54*(0.5^2)+'LINEST VARS'!$K$54*(12.73^2)+'LINEST VARS'!$J$54*($AU$32*$Z41)+'LINEST VARS'!$I$54*($AU$32*4)+'LINEST VARS'!$H$54*($AU$32*0.5)+'LINEST VARS'!$G$54*($AU$32*12.73)+'LINEST VARS'!$F$54*($Z41*4)+'LINEST VARS'!$E$54*($Z41*0.5)+'LINEST VARS'!$D$54*($Z41*12.73)+'LINEST VARS'!$C$54*(4*0.5)+'LINEST VARS'!$B$54*(4*12.73)+'LINEST VARS'!$A$54*(0.5*12.73)</f>
        <v>3.9750000000000001</v>
      </c>
      <c r="AZ41" s="45">
        <v>0.4</v>
      </c>
      <c r="BA41" s="51">
        <f>'LINEST VARS'!$U$52+'LINEST VARS'!$T$52*(8)+'LINEST VARS'!$S$52*(8)+'LINEST VARS'!$R$52*($BA$32)+'LINEST VARS'!$Q$52*($AZ41)+'LINEST VARS'!$P$52*(12.73)+'LINEST VARS'!$O$52*(8^2)+'LINEST VARS'!$N$52*(8^2)+'LINEST VARS'!$M$52*($BA$32^2)+'LINEST VARS'!$L$52*($AZ41^2)+'LINEST VARS'!$K$52*(12.73^2)+'LINEST VARS'!$J$52*(8*8)+'LINEST VARS'!$I$52*(8*$BA$32)+'LINEST VARS'!$H$52*(8*$AZ41)+'LINEST VARS'!$G$52*(8*12.73)+'LINEST VARS'!$F$52*(8*$BA$32)+'LINEST VARS'!$E$52*(8*$AZ41)+'LINEST VARS'!$D$52*(8*12.73)+'LINEST VARS'!$C$52*($BA$32*$AZ41)+'LINEST VARS'!$B$52*($BA$32*12.73)+'LINEST VARS'!$A$52*($AZ41*12.73)</f>
        <v>4.4599999999999982</v>
      </c>
      <c r="BB41" s="51">
        <f>'LINEST VARS'!$U$52+'LINEST VARS'!$T$52*(8)+'LINEST VARS'!$S$52*(8)+'LINEST VARS'!$R$52*($BB$32)+'LINEST VARS'!$Q$52*($AZ41)+'LINEST VARS'!$P$52*(12.73)+'LINEST VARS'!$O$52*(8^2)+'LINEST VARS'!$N$52*(8^2)+'LINEST VARS'!$M$52*($BB$32^2)+'LINEST VARS'!$L$52*($AZ41^2)+'LINEST VARS'!$K$52*(12.73^2)+'LINEST VARS'!$J$52*(8*8)+'LINEST VARS'!$I$52*(8*$BB$32)+'LINEST VARS'!$H$52*(8*$AZ41)+'LINEST VARS'!$G$52*(8*12.73)+'LINEST VARS'!$F$52*(8*$BB$32)+'LINEST VARS'!$E$52*(8*$AZ41)+'LINEST VARS'!$D$52*(8*12.73)+'LINEST VARS'!$C$52*($BB$32*$AZ41)+'LINEST VARS'!$B$52*($BB$32*12.73)+'LINEST VARS'!$A$52*($AZ41*12.73)</f>
        <v>4.4599999999999982</v>
      </c>
      <c r="BC41" s="51">
        <f>'LINEST VARS'!$U$52+'LINEST VARS'!$T$52*(8)+'LINEST VARS'!$S$52*(8)+'LINEST VARS'!$R$52*($BC$32)+'LINEST VARS'!$Q$52*($AZ41)+'LINEST VARS'!$P$52*(12.73)+'LINEST VARS'!$O$52*(8^2)+'LINEST VARS'!$N$52*(8^2)+'LINEST VARS'!$M$52*($BC$32^2)+'LINEST VARS'!$L$52*($AZ41^2)+'LINEST VARS'!$K$52*(12.73^2)+'LINEST VARS'!$J$52*(8*8)+'LINEST VARS'!$I$52*(8*$BC$32)+'LINEST VARS'!$H$52*(8*$AZ41)+'LINEST VARS'!$G$52*(8*12.73)+'LINEST VARS'!$F$52*(8*$BC$32)+'LINEST VARS'!$E$52*(8*$AZ41)+'LINEST VARS'!$D$52*(8*12.73)+'LINEST VARS'!$C$52*($BC$32*$AZ41)+'LINEST VARS'!$B$52*($BC$32*12.73)+'LINEST VARS'!$A$52*($AZ41*12.73)</f>
        <v>4.4599999999999982</v>
      </c>
      <c r="BD41" s="51">
        <f>'LINEST VARS'!$U$52+'LINEST VARS'!$T$52*(8)+'LINEST VARS'!$S$52*(8)+'LINEST VARS'!$R$52*($BD$32)+'LINEST VARS'!$Q$52*($AZ41)+'LINEST VARS'!$P$52*(12.73)+'LINEST VARS'!$O$52*(8^2)+'LINEST VARS'!$N$52*(8^2)+'LINEST VARS'!$M$52*($BD$32^2)+'LINEST VARS'!$L$52*($AZ41^2)+'LINEST VARS'!$K$52*(12.73^2)+'LINEST VARS'!$J$52*(8*8)+'LINEST VARS'!$I$52*(8*$BD$32)+'LINEST VARS'!$H$52*(8*$AZ41)+'LINEST VARS'!$G$52*(8*12.73)+'LINEST VARS'!$F$52*(8*$BD$32)+'LINEST VARS'!$E$52*(8*$AZ41)+'LINEST VARS'!$D$52*(8*12.73)+'LINEST VARS'!$C$52*($BD$32*$AZ41)+'LINEST VARS'!$B$52*($BD$32*12.73)+'LINEST VARS'!$A$52*($AZ41*12.73)</f>
        <v>4.4599999999999982</v>
      </c>
      <c r="BE41" s="51">
        <f>'LINEST VARS'!$U$52+'LINEST VARS'!$T$52*(8)+'LINEST VARS'!$S$52*(8)+'LINEST VARS'!$R$52*($BE$32)+'LINEST VARS'!$Q$52*($AZ41)+'LINEST VARS'!$P$52*(12.73)+'LINEST VARS'!$O$52*(8^2)+'LINEST VARS'!$N$52*(8^2)+'LINEST VARS'!$M$52*($BE$32^2)+'LINEST VARS'!$L$52*($AZ41^2)+'LINEST VARS'!$K$52*(12.73^2)+'LINEST VARS'!$J$52*(8*8)+'LINEST VARS'!$I$52*(8*$BE$32)+'LINEST VARS'!$H$52*(8*$AZ41)+'LINEST VARS'!$G$52*(8*12.73)+'LINEST VARS'!$F$52*(8*$BE$32)+'LINEST VARS'!$E$52*(8*$AZ41)+'LINEST VARS'!$D$52*(8*12.73)+'LINEST VARS'!$C$52*($BE$32*$AZ41)+'LINEST VARS'!$B$52*($BE$32*12.73)+'LINEST VARS'!$A$52*($AZ41*12.73)</f>
        <v>4.4599999999999982</v>
      </c>
      <c r="BF41" s="51">
        <f>'LINEST VARS'!$U$52+'LINEST VARS'!$T$52*(8)+'LINEST VARS'!$S$52*(8)+'LINEST VARS'!$R$52*($BF$32)+'LINEST VARS'!$Q$52*($AZ41)+'LINEST VARS'!$P$52*(12.73)+'LINEST VARS'!$O$52*(8^2)+'LINEST VARS'!$N$52*(8^2)+'LINEST VARS'!$M$52*($BF$32^2)+'LINEST VARS'!$L$52*($AZ41^2)+'LINEST VARS'!$K$52*(12.73^2)+'LINEST VARS'!$J$52*(8*8)+'LINEST VARS'!$I$52*(8*$BF$32)+'LINEST VARS'!$H$52*(8*$AZ41)+'LINEST VARS'!$G$52*(8*12.73)+'LINEST VARS'!$F$52*(8*$BF$32)+'LINEST VARS'!$E$52*(8*$AZ41)+'LINEST VARS'!$D$52*(8*12.73)+'LINEST VARS'!$C$52*($BF$32*$AZ41)+'LINEST VARS'!$B$52*($BF$32*12.73)+'LINEST VARS'!$A$52*($AZ41*12.73)</f>
        <v>4.4599999999999982</v>
      </c>
      <c r="BG41" s="51">
        <f>'LINEST VARS'!$U$52+'LINEST VARS'!$T$52*(8)+'LINEST VARS'!$S$52*(8)+'LINEST VARS'!$R$52*($BG$32)+'LINEST VARS'!$Q$52*($AZ41)+'LINEST VARS'!$P$52*(12.73)+'LINEST VARS'!$O$52*(8^2)+'LINEST VARS'!$N$52*(8^2)+'LINEST VARS'!$M$52*($BG$32^2)+'LINEST VARS'!$L$52*($AZ41^2)+'LINEST VARS'!$K$52*(12.73^2)+'LINEST VARS'!$J$52*(8*8)+'LINEST VARS'!$I$52*(8*$BG$32)+'LINEST VARS'!$H$52*(8*$AZ41)+'LINEST VARS'!$G$52*(8*12.73)+'LINEST VARS'!$F$52*(8*$BG$32)+'LINEST VARS'!$E$52*(8*$AZ41)+'LINEST VARS'!$D$52*(8*12.73)+'LINEST VARS'!$C$52*($BG$32*$AZ41)+'LINEST VARS'!$B$52*($BG$32*12.73)+'LINEST VARS'!$A$52*($AZ41*12.73)</f>
        <v>4.4599999999999982</v>
      </c>
      <c r="BH41" s="51">
        <f>'LINEST VARS'!$U$52+'LINEST VARS'!$T$52*(8)+'LINEST VARS'!$S$52*(8)+'LINEST VARS'!$R$52*($BH$32)+'LINEST VARS'!$Q$52*($AZ41)+'LINEST VARS'!$P$52*(12.73)+'LINEST VARS'!$O$52*(8^2)+'LINEST VARS'!$N$52*(8^2)+'LINEST VARS'!$M$52*($BH$32^2)+'LINEST VARS'!$L$52*($AZ41^2)+'LINEST VARS'!$K$52*(12.73^2)+'LINEST VARS'!$J$52*(8*8)+'LINEST VARS'!$I$52*(8*$BH$32)+'LINEST VARS'!$H$52*(8*$AZ41)+'LINEST VARS'!$G$52*(8*12.73)+'LINEST VARS'!$F$52*(8*$BH$32)+'LINEST VARS'!$E$52*(8*$AZ41)+'LINEST VARS'!$D$52*(8*12.73)+'LINEST VARS'!$C$52*($BH$32*$AZ41)+'LINEST VARS'!$B$52*($BH$32*12.73)+'LINEST VARS'!$A$52*($AZ41*12.73)</f>
        <v>4.4599999999999982</v>
      </c>
      <c r="BI41" s="51">
        <f>'LINEST VARS'!$U$52+'LINEST VARS'!$T$52*(8)+'LINEST VARS'!$S$52*(8)+'LINEST VARS'!$R$52*($BI$32)+'LINEST VARS'!$Q$52*($AZ41)+'LINEST VARS'!$P$52*(12.73)+'LINEST VARS'!$O$52*(8^2)+'LINEST VARS'!$N$52*(8^2)+'LINEST VARS'!$M$52*($BI$32^2)+'LINEST VARS'!$L$52*($AZ41^2)+'LINEST VARS'!$K$52*(12.73^2)+'LINEST VARS'!$J$52*(8*8)+'LINEST VARS'!$I$52*(8*$BI$32)+'LINEST VARS'!$H$52*(8*$AZ41)+'LINEST VARS'!$G$52*(8*12.73)+'LINEST VARS'!$F$52*(8*$BI$32)+'LINEST VARS'!$E$52*(8*$AZ41)+'LINEST VARS'!$D$52*(8*12.73)+'LINEST VARS'!$C$52*($BI$32*$AZ41)+'LINEST VARS'!$B$52*($BI$32*12.73)+'LINEST VARS'!$A$52*($AZ41*12.73)</f>
        <v>4.4599999999999982</v>
      </c>
      <c r="BJ41" s="51">
        <f>'LINEST VARS'!$U$52+'LINEST VARS'!$T$52*(8)+'LINEST VARS'!$S$52*(8)+'LINEST VARS'!$R$52*($BJ$32)+'LINEST VARS'!$Q$52*($AZ41)+'LINEST VARS'!$P$52*(12.73)+'LINEST VARS'!$O$52*(8^2)+'LINEST VARS'!$N$52*(8^2)+'LINEST VARS'!$M$52*($BJ$32^2)+'LINEST VARS'!$L$52*($AZ41^2)+'LINEST VARS'!$K$52*(12.73^2)+'LINEST VARS'!$J$52*(8*8)+'LINEST VARS'!$I$52*(8*$BJ$32)+'LINEST VARS'!$H$52*(8*$AZ41)+'LINEST VARS'!$G$52*(8*12.73)+'LINEST VARS'!$F$52*(8*$BJ$32)+'LINEST VARS'!$E$52*(8*$AZ41)+'LINEST VARS'!$D$52*(8*12.73)+'LINEST VARS'!$C$52*($BJ$32*$AZ41)+'LINEST VARS'!$B$52*($BJ$32*12.73)+'LINEST VARS'!$A$52*($AZ41*12.73)</f>
        <v>4.4599999999999982</v>
      </c>
      <c r="BK41" s="51">
        <f>'LINEST VARS'!$U$52+'LINEST VARS'!$T$52*(8)+'LINEST VARS'!$S$52*(8)+'LINEST VARS'!$R$52*($BK$32)+'LINEST VARS'!$Q$52*($AZ41)+'LINEST VARS'!$P$52*(12.73)+'LINEST VARS'!$O$52*(8^2)+'LINEST VARS'!$N$52*(8^2)+'LINEST VARS'!$M$52*($BK$32^2)+'LINEST VARS'!$L$52*($AZ41^2)+'LINEST VARS'!$K$52*(12.73^2)+'LINEST VARS'!$J$52*(8*8)+'LINEST VARS'!$I$52*(8*$BK$32)+'LINEST VARS'!$H$52*(8*$AZ41)+'LINEST VARS'!$G$52*(8*12.73)+'LINEST VARS'!$F$52*(8*$BK$32)+'LINEST VARS'!$E$52*(8*$AZ41)+'LINEST VARS'!$D$52*(8*12.73)+'LINEST VARS'!$C$52*($BK$32*$AZ41)+'LINEST VARS'!$B$52*($BK$32*12.73)+'LINEST VARS'!$A$52*($AZ41*12.73)</f>
        <v>4.4599999999999982</v>
      </c>
      <c r="BL41" s="51">
        <f>'LINEST VARS'!$U$52+'LINEST VARS'!$T$52*(8)+'LINEST VARS'!$S$52*(8)+'LINEST VARS'!$R$52*($BL$32)+'LINEST VARS'!$Q$52*($AZ41)+'LINEST VARS'!$P$52*(12.73)+'LINEST VARS'!$O$52*(8^2)+'LINEST VARS'!$N$52*(8^2)+'LINEST VARS'!$M$52*($BL$32^2)+'LINEST VARS'!$L$52*($AZ41^2)+'LINEST VARS'!$K$52*(12.73^2)+'LINEST VARS'!$J$52*(8*8)+'LINEST VARS'!$I$52*(8*$BL$32)+'LINEST VARS'!$H$52*(8*$AZ41)+'LINEST VARS'!$G$52*(8*12.73)+'LINEST VARS'!$F$52*(8*$BL$32)+'LINEST VARS'!$E$52*(8*$AZ41)+'LINEST VARS'!$D$52*(8*12.73)+'LINEST VARS'!$C$52*($BL$32*$AZ41)+'LINEST VARS'!$B$52*($BL$32*12.73)+'LINEST VARS'!$A$52*($AZ41*12.73)</f>
        <v>4.4599999999999982</v>
      </c>
      <c r="BM41" s="51">
        <f>'LINEST VARS'!$U$52+'LINEST VARS'!$T$52*(8)+'LINEST VARS'!$S$52*(8)+'LINEST VARS'!$R$52*($BM$32)+'LINEST VARS'!$Q$52*($AZ41)+'LINEST VARS'!$P$52*(12.73)+'LINEST VARS'!$O$52*(8^2)+'LINEST VARS'!$N$52*(8^2)+'LINEST VARS'!$M$52*($BM$32^2)+'LINEST VARS'!$L$52*($AZ41^2)+'LINEST VARS'!$K$52*(12.73^2)+'LINEST VARS'!$J$52*(8*8)+'LINEST VARS'!$I$52*(8*$BM$32)+'LINEST VARS'!$H$52*(8*$AZ41)+'LINEST VARS'!$G$52*(8*12.73)+'LINEST VARS'!$F$52*(8*$BM$32)+'LINEST VARS'!$E$52*(8*$AZ41)+'LINEST VARS'!$D$52*(8*12.73)+'LINEST VARS'!$C$52*($BM$32*$AZ41)+'LINEST VARS'!$B$52*($BM$32*12.73)+'LINEST VARS'!$A$52*($AZ41*12.73)</f>
        <v>4.4599999999999982</v>
      </c>
      <c r="BN41" s="51">
        <f>'LINEST VARS'!$U$52+'LINEST VARS'!$T$52*(8)+'LINEST VARS'!$S$52*(8)+'LINEST VARS'!$R$52*($BN$32)+'LINEST VARS'!$Q$52*($AZ41)+'LINEST VARS'!$P$52*(12.73)+'LINEST VARS'!$O$52*(8^2)+'LINEST VARS'!$N$52*(8^2)+'LINEST VARS'!$M$52*($BN$32^2)+'LINEST VARS'!$L$52*($AZ41^2)+'LINEST VARS'!$K$52*(12.73^2)+'LINEST VARS'!$J$52*(8*8)+'LINEST VARS'!$I$52*(8*$BN$32)+'LINEST VARS'!$H$52*(8*$AZ41)+'LINEST VARS'!$G$52*(8*12.73)+'LINEST VARS'!$F$52*(8*$BN$32)+'LINEST VARS'!$E$52*(8*$AZ41)+'LINEST VARS'!$D$52*(8*12.73)+'LINEST VARS'!$C$52*($BN$32*$AZ41)+'LINEST VARS'!$B$52*($BN$32*12.73)+'LINEST VARS'!$A$52*($AZ41*12.73)</f>
        <v>4.4599999999999982</v>
      </c>
      <c r="BO41" s="51">
        <f>'LINEST VARS'!$U$52+'LINEST VARS'!$T$52*(8)+'LINEST VARS'!$S$52*(8)+'LINEST VARS'!$R$52*($BO$32)+'LINEST VARS'!$Q$52*($AZ41)+'LINEST VARS'!$P$52*(12.73)+'LINEST VARS'!$O$52*(8^2)+'LINEST VARS'!$N$52*(8^2)+'LINEST VARS'!$M$52*($BO$32^2)+'LINEST VARS'!$L$52*($AZ41^2)+'LINEST VARS'!$K$52*(12.73^2)+'LINEST VARS'!$J$52*(8*8)+'LINEST VARS'!$I$52*(8*$BO$32)+'LINEST VARS'!$H$52*(8*$AZ41)+'LINEST VARS'!$G$52*(8*12.73)+'LINEST VARS'!$F$52*(8*$BO$32)+'LINEST VARS'!$E$52*(8*$AZ41)+'LINEST VARS'!$D$52*(8*12.73)+'LINEST VARS'!$C$52*($BO$32*$AZ41)+'LINEST VARS'!$B$52*($BO$32*12.73)+'LINEST VARS'!$A$52*($AZ41*12.73)</f>
        <v>4.4599999999999982</v>
      </c>
      <c r="BP41" s="51">
        <f>'LINEST VARS'!$U$52+'LINEST VARS'!$T$52*(8)+'LINEST VARS'!$S$52*(8)+'LINEST VARS'!$R$52*($BP$32)+'LINEST VARS'!$Q$52*($AZ41)+'LINEST VARS'!$P$52*(12.73)+'LINEST VARS'!$O$52*(8^2)+'LINEST VARS'!$N$52*(8^2)+'LINEST VARS'!$M$52*($BP$32^2)+'LINEST VARS'!$L$52*($AZ41^2)+'LINEST VARS'!$K$52*(12.73^2)+'LINEST VARS'!$J$52*(8*8)+'LINEST VARS'!$I$52*(8*$BP$32)+'LINEST VARS'!$H$52*(8*$AZ41)+'LINEST VARS'!$G$52*(8*12.73)+'LINEST VARS'!$F$52*(8*$BP$32)+'LINEST VARS'!$E$52*(8*$AZ41)+'LINEST VARS'!$D$52*(8*12.73)+'LINEST VARS'!$C$52*($BP$32*$AZ41)+'LINEST VARS'!$B$52*($BP$32*12.73)+'LINEST VARS'!$A$52*($AZ41*12.73)</f>
        <v>4.4599999999999982</v>
      </c>
      <c r="BQ41" s="51">
        <f>'LINEST VARS'!$U$52+'LINEST VARS'!$T$52*(8)+'LINEST VARS'!$S$52*(8)+'LINEST VARS'!$R$52*($BQ$32)+'LINEST VARS'!$Q$52*($AZ41)+'LINEST VARS'!$P$52*(12.73)+'LINEST VARS'!$O$52*(8^2)+'LINEST VARS'!$N$52*(8^2)+'LINEST VARS'!$M$52*($BQ$32^2)+'LINEST VARS'!$L$52*($AZ41^2)+'LINEST VARS'!$K$52*(12.73^2)+'LINEST VARS'!$J$52*(8*8)+'LINEST VARS'!$I$52*(8*$BQ$32)+'LINEST VARS'!$H$52*(8*$AZ41)+'LINEST VARS'!$G$52*(8*12.73)+'LINEST VARS'!$F$52*(8*$BQ$32)+'LINEST VARS'!$E$52*(8*$AZ41)+'LINEST VARS'!$D$52*(8*12.73)+'LINEST VARS'!$C$52*($BQ$32*$AZ41)+'LINEST VARS'!$B$52*($BQ$32*12.73)+'LINEST VARS'!$A$52*($AZ41*12.73)</f>
        <v>4.4599999999999982</v>
      </c>
      <c r="BR41" s="51">
        <f>'LINEST VARS'!$U$52+'LINEST VARS'!$T$52*(8)+'LINEST VARS'!$S$52*(8)+'LINEST VARS'!$R$52*($BR$32)+'LINEST VARS'!$Q$52*($AZ41)+'LINEST VARS'!$P$52*(12.73)+'LINEST VARS'!$O$52*(8^2)+'LINEST VARS'!$N$52*(8^2)+'LINEST VARS'!$M$52*($BR$32^2)+'LINEST VARS'!$L$52*($AZ41^2)+'LINEST VARS'!$K$52*(12.73^2)+'LINEST VARS'!$J$52*(8*8)+'LINEST VARS'!$I$52*(8*$BR$32)+'LINEST VARS'!$H$52*(8*$AZ41)+'LINEST VARS'!$G$52*(8*12.73)+'LINEST VARS'!$F$52*(8*$BR$32)+'LINEST VARS'!$E$52*(8*$AZ41)+'LINEST VARS'!$D$52*(8*12.73)+'LINEST VARS'!$C$52*($BR$32*$AZ41)+'LINEST VARS'!$B$52*($BR$32*12.73)+'LINEST VARS'!$A$52*($AZ41*12.73)</f>
        <v>4.4599999999999982</v>
      </c>
      <c r="BS41" s="51">
        <f>'LINEST VARS'!$U$52+'LINEST VARS'!$T$52*(8)+'LINEST VARS'!$S$52*(8)+'LINEST VARS'!$R$52*($BS$32)+'LINEST VARS'!$Q$52*($AZ41)+'LINEST VARS'!$P$52*(12.73)+'LINEST VARS'!$O$52*(8^2)+'LINEST VARS'!$N$52*(8^2)+'LINEST VARS'!$M$52*($BS$32^2)+'LINEST VARS'!$L$52*($AZ41^2)+'LINEST VARS'!$K$52*(12.73^2)+'LINEST VARS'!$J$52*(8*8)+'LINEST VARS'!$I$52*(8*$BS$32)+'LINEST VARS'!$H$52*(8*$AZ41)+'LINEST VARS'!$G$52*(8*12.73)+'LINEST VARS'!$F$52*(8*$BS$32)+'LINEST VARS'!$E$52*(8*$AZ41)+'LINEST VARS'!$D$52*(8*12.73)+'LINEST VARS'!$C$52*($BS$32*$AZ41)+'LINEST VARS'!$B$52*($BS$32*12.73)+'LINEST VARS'!$A$52*($AZ41*12.73)</f>
        <v>4.4599999999999982</v>
      </c>
      <c r="BT41" s="51">
        <f>'LINEST VARS'!$U$52+'LINEST VARS'!$T$52*(8)+'LINEST VARS'!$S$52*(8)+'LINEST VARS'!$R$52*($BT$32)+'LINEST VARS'!$Q$52*($AZ41)+'LINEST VARS'!$P$52*(12.73)+'LINEST VARS'!$O$52*(8^2)+'LINEST VARS'!$N$52*(8^2)+'LINEST VARS'!$M$52*($BT$32^2)+'LINEST VARS'!$L$52*($AZ41^2)+'LINEST VARS'!$K$52*(12.73^2)+'LINEST VARS'!$J$52*(8*8)+'LINEST VARS'!$I$52*(8*$BT$32)+'LINEST VARS'!$H$52*(8*$AZ41)+'LINEST VARS'!$G$52*(8*12.73)+'LINEST VARS'!$F$52*(8*$BT$32)+'LINEST VARS'!$E$52*(8*$AZ41)+'LINEST VARS'!$D$52*(8*12.73)+'LINEST VARS'!$C$52*($BT$32*$AZ41)+'LINEST VARS'!$B$52*($BT$32*12.73)+'LINEST VARS'!$A$52*($AZ41*12.73)</f>
        <v>4.4599999999999982</v>
      </c>
      <c r="BU41" s="52">
        <f>'LINEST VARS'!$U$52+'LINEST VARS'!$T$52*(8)+'LINEST VARS'!$S$52*(8)+'LINEST VARS'!$R$52*($BU$32)+'LINEST VARS'!$Q$52*($AZ41)+'LINEST VARS'!$P$52*(12.73)+'LINEST VARS'!$O$52*(8^2)+'LINEST VARS'!$N$52*(8^2)+'LINEST VARS'!$M$52*($BU$32^2)+'LINEST VARS'!$L$52*($AZ41^2)+'LINEST VARS'!$K$52*(12.73^2)+'LINEST VARS'!$J$52*(8*8)+'LINEST VARS'!$I$52*(8*$BU$32)+'LINEST VARS'!$H$52*(8*$AZ41)+'LINEST VARS'!$G$52*(8*12.73)+'LINEST VARS'!$F$52*(8*$BU$32)+'LINEST VARS'!$E$52*(8*$AZ41)+'LINEST VARS'!$D$52*(8*12.73)+'LINEST VARS'!$C$52*($BU$32*$AZ41)+'LINEST VARS'!$B$52*($BU$32*12.73)+'LINEST VARS'!$A$52*($AZ41*12.73)</f>
        <v>4.4599999999999982</v>
      </c>
      <c r="BX41" s="45">
        <v>0.4</v>
      </c>
      <c r="BY41" s="51">
        <f>'LINEST VARS'!$U$54+'LINEST VARS'!$T$54*(8)+'LINEST VARS'!$S$54*(8)+'LINEST VARS'!$R$54*($BY$32)+'LINEST VARS'!$Q$54*($BX41)+'LINEST VARS'!$P$54*(12.73)+'LINEST VARS'!$O$54*(8^2)+'LINEST VARS'!$N$54*(8^2)+'LINEST VARS'!$M$54*($BY$32^2)+'LINEST VARS'!$L$54*($BX41^2)+'LINEST VARS'!$K$54*(12.73^2)+'LINEST VARS'!$J$54*(8*8)+'LINEST VARS'!$I$54*(8*$BY$32)+'LINEST VARS'!$H$54*(8*$BX41)+'LINEST VARS'!$G$54*(8*12.73)+'LINEST VARS'!$F$54*(8*$BY$32)+'LINEST VARS'!$E$54*(8*$BX41)+'LINEST VARS'!$D$54*(8*12.73)+'LINEST VARS'!$C$54*($BY$32*$BX41)+'LINEST VARS'!$B$54*($BY$32*12.73)+'LINEST VARS'!$A$54*($BX41*12.73)</f>
        <v>3.9799999999999995</v>
      </c>
      <c r="BZ41" s="51">
        <f>'LINEST VARS'!$U$54+'LINEST VARS'!$T$54*(8)+'LINEST VARS'!$S$54*(8)+'LINEST VARS'!$R$54*($BZ$32)+'LINEST VARS'!$Q$54*($BX41)+'LINEST VARS'!$P$54*(12.73)+'LINEST VARS'!$O$54*(8^2)+'LINEST VARS'!$N$54*(8^2)+'LINEST VARS'!$M$54*($BZ$32^2)+'LINEST VARS'!$L$54*($BX41^2)+'LINEST VARS'!$K$54*(12.73^2)+'LINEST VARS'!$J$54*(8*8)+'LINEST VARS'!$I$54*(8*$BZ$32)+'LINEST VARS'!$H$54*(8*$BX41)+'LINEST VARS'!$G$54*(8*12.73)+'LINEST VARS'!$F$54*(8*$BZ$32)+'LINEST VARS'!$E$54*(8*$BX41)+'LINEST VARS'!$D$54*(8*12.73)+'LINEST VARS'!$C$54*($BZ$32*$BX41)+'LINEST VARS'!$B$54*($BZ$32*12.73)+'LINEST VARS'!$A$54*($BX41*12.73)</f>
        <v>3.9799999999999995</v>
      </c>
      <c r="CA41" s="51">
        <f>'LINEST VARS'!$U$54+'LINEST VARS'!$T$54*(8)+'LINEST VARS'!$S$54*(8)+'LINEST VARS'!$R$54*($CA$32)+'LINEST VARS'!$Q$54*($BX41)+'LINEST VARS'!$P$54*(12.73)+'LINEST VARS'!$O$54*(8^2)+'LINEST VARS'!$N$54*(8^2)+'LINEST VARS'!$M$54*($CA$32^2)+'LINEST VARS'!$L$54*($BX41^2)+'LINEST VARS'!$K$54*(12.73^2)+'LINEST VARS'!$J$54*(8*8)+'LINEST VARS'!$I$54*(8*$CA$32)+'LINEST VARS'!$H$54*(8*$BX41)+'LINEST VARS'!$G$54*(8*12.73)+'LINEST VARS'!$F$54*(8*$CA$32)+'LINEST VARS'!$E$54*(8*$BX41)+'LINEST VARS'!$D$54*(8*12.73)+'LINEST VARS'!$C$54*($CA$32*$BX41)+'LINEST VARS'!$B$54*($CA$32*12.73)+'LINEST VARS'!$A$54*($BX41*12.73)</f>
        <v>3.9799999999999995</v>
      </c>
      <c r="CB41" s="51">
        <f>'LINEST VARS'!$U$54+'LINEST VARS'!$T$54*(8)+'LINEST VARS'!$S$54*(8)+'LINEST VARS'!$R$54*($CB$32)+'LINEST VARS'!$Q$54*($BX41)+'LINEST VARS'!$P$54*(12.73)+'LINEST VARS'!$O$54*(8^2)+'LINEST VARS'!$N$54*(8^2)+'LINEST VARS'!$M$54*($CB$32^2)+'LINEST VARS'!$L$54*($BX41^2)+'LINEST VARS'!$K$54*(12.73^2)+'LINEST VARS'!$J$54*(8*8)+'LINEST VARS'!$I$54*(8*$CB$32)+'LINEST VARS'!$H$54*(8*$BX41)+'LINEST VARS'!$G$54*(8*12.73)+'LINEST VARS'!$F$54*(8*$CB$32)+'LINEST VARS'!$E$54*(8*$BX41)+'LINEST VARS'!$D$54*(8*12.73)+'LINEST VARS'!$C$54*($CB$32*$BX41)+'LINEST VARS'!$B$54*($CB$32*12.73)+'LINEST VARS'!$A$54*($BX41*12.73)</f>
        <v>3.9799999999999995</v>
      </c>
      <c r="CC41" s="51">
        <f>'LINEST VARS'!$U$54+'LINEST VARS'!$T$54*(8)+'LINEST VARS'!$S$54*(8)+'LINEST VARS'!$R$54*($CC$32)+'LINEST VARS'!$Q$54*($BX41)+'LINEST VARS'!$P$54*(12.73)+'LINEST VARS'!$O$54*(8^2)+'LINEST VARS'!$N$54*(8^2)+'LINEST VARS'!$M$54*($CC$32^2)+'LINEST VARS'!$L$54*($BX41^2)+'LINEST VARS'!$K$54*(12.73^2)+'LINEST VARS'!$J$54*(8*8)+'LINEST VARS'!$I$54*(8*$CC$32)+'LINEST VARS'!$H$54*(8*$BX41)+'LINEST VARS'!$G$54*(8*12.73)+'LINEST VARS'!$F$54*(8*$CC$32)+'LINEST VARS'!$E$54*(8*$BX41)+'LINEST VARS'!$D$54*(8*12.73)+'LINEST VARS'!$C$54*($CC$32*$BX41)+'LINEST VARS'!$B$54*($CC$32*12.73)+'LINEST VARS'!$A$54*($BX41*12.73)</f>
        <v>3.9799999999999995</v>
      </c>
      <c r="CD41" s="51">
        <f>'LINEST VARS'!$U$54+'LINEST VARS'!$T$54*(8)+'LINEST VARS'!$S$54*(8)+'LINEST VARS'!$R$54*($CD$32)+'LINEST VARS'!$Q$54*($BX41)+'LINEST VARS'!$P$54*(12.73)+'LINEST VARS'!$O$54*(8^2)+'LINEST VARS'!$N$54*(8^2)+'LINEST VARS'!$M$54*($CD$32^2)+'LINEST VARS'!$L$54*($BX41^2)+'LINEST VARS'!$K$54*(12.73^2)+'LINEST VARS'!$J$54*(8*8)+'LINEST VARS'!$I$54*(8*$CD$32)+'LINEST VARS'!$H$54*(8*$BX41)+'LINEST VARS'!$G$54*(8*12.73)+'LINEST VARS'!$F$54*(8*$CD$32)+'LINEST VARS'!$E$54*(8*$BX41)+'LINEST VARS'!$D$54*(8*12.73)+'LINEST VARS'!$C$54*($CD$32*$BX41)+'LINEST VARS'!$B$54*($CD$32*12.73)+'LINEST VARS'!$A$54*($BX41*12.73)</f>
        <v>3.9799999999999995</v>
      </c>
      <c r="CE41" s="51">
        <f>'LINEST VARS'!$U$54+'LINEST VARS'!$T$54*(8)+'LINEST VARS'!$S$54*(8)+'LINEST VARS'!$R$54*($CE$32)+'LINEST VARS'!$Q$54*($BX41)+'LINEST VARS'!$P$54*(12.73)+'LINEST VARS'!$O$54*(8^2)+'LINEST VARS'!$N$54*(8^2)+'LINEST VARS'!$M$54*($CE$32^2)+'LINEST VARS'!$L$54*($BX41^2)+'LINEST VARS'!$K$54*(12.73^2)+'LINEST VARS'!$J$54*(8*8)+'LINEST VARS'!$I$54*(8*$CE$32)+'LINEST VARS'!$H$54*(8*$BX41)+'LINEST VARS'!$G$54*(8*12.73)+'LINEST VARS'!$F$54*(8*$CE$32)+'LINEST VARS'!$E$54*(8*$BX41)+'LINEST VARS'!$D$54*(8*12.73)+'LINEST VARS'!$C$54*($CE$32*$BX41)+'LINEST VARS'!$B$54*($CE$32*12.73)+'LINEST VARS'!$A$54*($BX41*12.73)</f>
        <v>3.9799999999999995</v>
      </c>
      <c r="CF41" s="51">
        <f>'LINEST VARS'!$U$54+'LINEST VARS'!$T$54*(8)+'LINEST VARS'!$S$54*(8)+'LINEST VARS'!$R$54*($CF$32)+'LINEST VARS'!$Q$54*($BX41)+'LINEST VARS'!$P$54*(12.73)+'LINEST VARS'!$O$54*(8^2)+'LINEST VARS'!$N$54*(8^2)+'LINEST VARS'!$M$54*($CF$32^2)+'LINEST VARS'!$L$54*($BX41^2)+'LINEST VARS'!$K$54*(12.73^2)+'LINEST VARS'!$J$54*(8*8)+'LINEST VARS'!$I$54*(8*$CF$32)+'LINEST VARS'!$H$54*(8*$BX41)+'LINEST VARS'!$G$54*(8*12.73)+'LINEST VARS'!$F$54*(8*$CF$32)+'LINEST VARS'!$E$54*(8*$BX41)+'LINEST VARS'!$D$54*(8*12.73)+'LINEST VARS'!$C$54*($CF$32*$BX41)+'LINEST VARS'!$B$54*($CF$32*12.73)+'LINEST VARS'!$A$54*($BX41*12.73)</f>
        <v>3.9799999999999995</v>
      </c>
      <c r="CG41" s="51">
        <f>'LINEST VARS'!$U$54+'LINEST VARS'!$T$54*(8)+'LINEST VARS'!$S$54*(8)+'LINEST VARS'!$R$54*($CG$32)+'LINEST VARS'!$Q$54*($BX41)+'LINEST VARS'!$P$54*(12.73)+'LINEST VARS'!$O$54*(8^2)+'LINEST VARS'!$N$54*(8^2)+'LINEST VARS'!$M$54*($CG$32^2)+'LINEST VARS'!$L$54*($BX41^2)+'LINEST VARS'!$K$54*(12.73^2)+'LINEST VARS'!$J$54*(8*8)+'LINEST VARS'!$I$54*(8*$CG$32)+'LINEST VARS'!$H$54*(8*$BX41)+'LINEST VARS'!$G$54*(8*12.73)+'LINEST VARS'!$F$54*(8*$CG$32)+'LINEST VARS'!$E$54*(8*$BX41)+'LINEST VARS'!$D$54*(8*12.73)+'LINEST VARS'!$C$54*($CG$32*$BX41)+'LINEST VARS'!$B$54*($CG$32*12.73)+'LINEST VARS'!$A$54*($BX41*12.73)</f>
        <v>3.9799999999999995</v>
      </c>
      <c r="CH41" s="51">
        <f>'LINEST VARS'!$U$54+'LINEST VARS'!$T$54*(8)+'LINEST VARS'!$S$54*(8)+'LINEST VARS'!$R$54*($CH$32)+'LINEST VARS'!$Q$54*($BX41)+'LINEST VARS'!$P$54*(12.73)+'LINEST VARS'!$O$54*(8^2)+'LINEST VARS'!$N$54*(8^2)+'LINEST VARS'!$M$54*($CH$32^2)+'LINEST VARS'!$L$54*($BX41^2)+'LINEST VARS'!$K$54*(12.73^2)+'LINEST VARS'!$J$54*(8*8)+'LINEST VARS'!$I$54*(8*$CH$32)+'LINEST VARS'!$H$54*(8*$BX41)+'LINEST VARS'!$G$54*(8*12.73)+'LINEST VARS'!$F$54*(8*$CH$32)+'LINEST VARS'!$E$54*(8*$BX41)+'LINEST VARS'!$D$54*(8*12.73)+'LINEST VARS'!$C$54*($CH$32*$BX41)+'LINEST VARS'!$B$54*($CH$32*12.73)+'LINEST VARS'!$A$54*($BX41*12.73)</f>
        <v>3.9799999999999995</v>
      </c>
      <c r="CI41" s="51">
        <f>'LINEST VARS'!$U$54+'LINEST VARS'!$T$54*(8)+'LINEST VARS'!$S$54*(8)+'LINEST VARS'!$R$54*($CI$32)+'LINEST VARS'!$Q$54*($BX41)+'LINEST VARS'!$P$54*(12.73)+'LINEST VARS'!$O$54*(8^2)+'LINEST VARS'!$N$54*(8^2)+'LINEST VARS'!$M$54*($CI$32^2)+'LINEST VARS'!$L$54*($BX41^2)+'LINEST VARS'!$K$54*(12.73^2)+'LINEST VARS'!$J$54*(8*8)+'LINEST VARS'!$I$54*(8*$CI$32)+'LINEST VARS'!$H$54*(8*$BX41)+'LINEST VARS'!$G$54*(8*12.73)+'LINEST VARS'!$F$54*(8*$CI$32)+'LINEST VARS'!$E$54*(8*$BX41)+'LINEST VARS'!$D$54*(8*12.73)+'LINEST VARS'!$C$54*($CI$32*$BX41)+'LINEST VARS'!$B$54*($CI$32*12.73)+'LINEST VARS'!$A$54*($BX41*12.73)</f>
        <v>3.9799999999999995</v>
      </c>
      <c r="CJ41" s="51">
        <f>'LINEST VARS'!$U$54+'LINEST VARS'!$T$54*(8)+'LINEST VARS'!$S$54*(8)+'LINEST VARS'!$R$54*($CJ$32)+'LINEST VARS'!$Q$54*($BX41)+'LINEST VARS'!$P$54*(12.73)+'LINEST VARS'!$O$54*(8^2)+'LINEST VARS'!$N$54*(8^2)+'LINEST VARS'!$M$54*($CJ$32^2)+'LINEST VARS'!$L$54*($BX41^2)+'LINEST VARS'!$K$54*(12.73^2)+'LINEST VARS'!$J$54*(8*8)+'LINEST VARS'!$I$54*(8*$CJ$32)+'LINEST VARS'!$H$54*(8*$BX41)+'LINEST VARS'!$G$54*(8*12.73)+'LINEST VARS'!$F$54*(8*$CJ$32)+'LINEST VARS'!$E$54*(8*$BX41)+'LINEST VARS'!$D$54*(8*12.73)+'LINEST VARS'!$C$54*($CJ$32*$BX41)+'LINEST VARS'!$B$54*($CJ$32*12.73)+'LINEST VARS'!$A$54*($BX41*12.73)</f>
        <v>3.9799999999999995</v>
      </c>
      <c r="CK41" s="51">
        <f>'LINEST VARS'!$U$54+'LINEST VARS'!$T$54*(8)+'LINEST VARS'!$S$54*(8)+'LINEST VARS'!$R$54*($CK$32)+'LINEST VARS'!$Q$54*($BX41)+'LINEST VARS'!$P$54*(12.73)+'LINEST VARS'!$O$54*(8^2)+'LINEST VARS'!$N$54*(8^2)+'LINEST VARS'!$M$54*($CK$32^2)+'LINEST VARS'!$L$54*($BX41^2)+'LINEST VARS'!$K$54*(12.73^2)+'LINEST VARS'!$J$54*(8*8)+'LINEST VARS'!$I$54*(8*$CK$32)+'LINEST VARS'!$H$54*(8*$BX41)+'LINEST VARS'!$G$54*(8*12.73)+'LINEST VARS'!$F$54*(8*$CK$32)+'LINEST VARS'!$E$54*(8*$BX41)+'LINEST VARS'!$D$54*(8*12.73)+'LINEST VARS'!$C$54*($CK$32*$BX41)+'LINEST VARS'!$B$54*($CK$32*12.73)+'LINEST VARS'!$A$54*($BX41*12.73)</f>
        <v>3.9799999999999995</v>
      </c>
      <c r="CL41" s="51">
        <f>'LINEST VARS'!$U$54+'LINEST VARS'!$T$54*(8)+'LINEST VARS'!$S$54*(8)+'LINEST VARS'!$R$54*($CL$32)+'LINEST VARS'!$Q$54*($BX41)+'LINEST VARS'!$P$54*(12.73)+'LINEST VARS'!$O$54*(8^2)+'LINEST VARS'!$N$54*(8^2)+'LINEST VARS'!$M$54*($CL$32^2)+'LINEST VARS'!$L$54*($BX41^2)+'LINEST VARS'!$K$54*(12.73^2)+'LINEST VARS'!$J$54*(8*8)+'LINEST VARS'!$I$54*(8*$CL$32)+'LINEST VARS'!$H$54*(8*$BX41)+'LINEST VARS'!$G$54*(8*12.73)+'LINEST VARS'!$F$54*(8*$CL$32)+'LINEST VARS'!$E$54*(8*$BX41)+'LINEST VARS'!$D$54*(8*12.73)+'LINEST VARS'!$C$54*($CL$32*$BX41)+'LINEST VARS'!$B$54*($CL$32*12.73)+'LINEST VARS'!$A$54*($BX41*12.73)</f>
        <v>3.9799999999999995</v>
      </c>
      <c r="CM41" s="51">
        <f>'LINEST VARS'!$U$54+'LINEST VARS'!$T$54*(8)+'LINEST VARS'!$S$54*(8)+'LINEST VARS'!$R$54*($CM$32)+'LINEST VARS'!$Q$54*($BX41)+'LINEST VARS'!$P$54*(12.73)+'LINEST VARS'!$O$54*(8^2)+'LINEST VARS'!$N$54*(8^2)+'LINEST VARS'!$M$54*($CM$32^2)+'LINEST VARS'!$L$54*($BX41^2)+'LINEST VARS'!$K$54*(12.73^2)+'LINEST VARS'!$J$54*(8*8)+'LINEST VARS'!$I$54*(8*$CM$32)+'LINEST VARS'!$H$54*(8*$BX41)+'LINEST VARS'!$G$54*(8*12.73)+'LINEST VARS'!$F$54*(8*$CM$32)+'LINEST VARS'!$E$54*(8*$BX41)+'LINEST VARS'!$D$54*(8*12.73)+'LINEST VARS'!$C$54*($CM$32*$BX41)+'LINEST VARS'!$B$54*($CM$32*12.73)+'LINEST VARS'!$A$54*($BX41*12.73)</f>
        <v>3.9799999999999995</v>
      </c>
      <c r="CN41" s="51">
        <f>'LINEST VARS'!$U$54+'LINEST VARS'!$T$54*(8)+'LINEST VARS'!$S$54*(8)+'LINEST VARS'!$R$54*($CN$32)+'LINEST VARS'!$Q$54*($BX41)+'LINEST VARS'!$P$54*(12.73)+'LINEST VARS'!$O$54*(8^2)+'LINEST VARS'!$N$54*(8^2)+'LINEST VARS'!$M$54*($CN$32^2)+'LINEST VARS'!$L$54*($BX41^2)+'LINEST VARS'!$K$54*(12.73^2)+'LINEST VARS'!$J$54*(8*8)+'LINEST VARS'!$I$54*(8*$CN$32)+'LINEST VARS'!$H$54*(8*$BX41)+'LINEST VARS'!$G$54*(8*12.73)+'LINEST VARS'!$F$54*(8*$CN$32)+'LINEST VARS'!$E$54*(8*$BX41)+'LINEST VARS'!$D$54*(8*12.73)+'LINEST VARS'!$C$54*($CN$32*$BX41)+'LINEST VARS'!$B$54*($CN$32*12.73)+'LINEST VARS'!$A$54*($BX41*12.73)</f>
        <v>3.9799999999999995</v>
      </c>
      <c r="CO41" s="51">
        <f>'LINEST VARS'!$U$54+'LINEST VARS'!$T$54*(8)+'LINEST VARS'!$S$54*(8)+'LINEST VARS'!$R$54*($CO$32)+'LINEST VARS'!$Q$54*($BX41)+'LINEST VARS'!$P$54*(12.73)+'LINEST VARS'!$O$54*(8^2)+'LINEST VARS'!$N$54*(8^2)+'LINEST VARS'!$M$54*($CO$32^2)+'LINEST VARS'!$L$54*($BX41^2)+'LINEST VARS'!$K$54*(12.73^2)+'LINEST VARS'!$J$54*(8*8)+'LINEST VARS'!$I$54*(8*$CO$32)+'LINEST VARS'!$H$54*(8*$BX41)+'LINEST VARS'!$G$54*(8*12.73)+'LINEST VARS'!$F$54*(8*$CO$32)+'LINEST VARS'!$E$54*(8*$BX41)+'LINEST VARS'!$D$54*(8*12.73)+'LINEST VARS'!$C$54*($CO$32*$BX41)+'LINEST VARS'!$B$54*($CO$32*12.73)+'LINEST VARS'!$A$54*($BX41*12.73)</f>
        <v>3.9799999999999995</v>
      </c>
      <c r="CP41" s="51">
        <f>'LINEST VARS'!$U$54+'LINEST VARS'!$T$54*(8)+'LINEST VARS'!$S$54*(8)+'LINEST VARS'!$R$54*($CP$32)+'LINEST VARS'!$Q$54*($BX41)+'LINEST VARS'!$P$54*(12.73)+'LINEST VARS'!$O$54*(8^2)+'LINEST VARS'!$N$54*(8^2)+'LINEST VARS'!$M$54*($CP$32^2)+'LINEST VARS'!$L$54*($BX41^2)+'LINEST VARS'!$K$54*(12.73^2)+'LINEST VARS'!$J$54*(8*8)+'LINEST VARS'!$I$54*(8*$CP$32)+'LINEST VARS'!$H$54*(8*$BX41)+'LINEST VARS'!$G$54*(8*12.73)+'LINEST VARS'!$F$54*(8*$CP$32)+'LINEST VARS'!$E$54*(8*$BX41)+'LINEST VARS'!$D$54*(8*12.73)+'LINEST VARS'!$C$54*($CP$32*$BX41)+'LINEST VARS'!$B$54*($CP$32*12.73)+'LINEST VARS'!$A$54*($BX41*12.73)</f>
        <v>3.9799999999999995</v>
      </c>
      <c r="CQ41" s="51">
        <f>'LINEST VARS'!$U$54+'LINEST VARS'!$T$54*(8)+'LINEST VARS'!$S$54*(8)+'LINEST VARS'!$R$54*($CQ$32)+'LINEST VARS'!$Q$54*($BX41)+'LINEST VARS'!$P$54*(12.73)+'LINEST VARS'!$O$54*(8^2)+'LINEST VARS'!$N$54*(8^2)+'LINEST VARS'!$M$54*($CQ$32^2)+'LINEST VARS'!$L$54*($BX41^2)+'LINEST VARS'!$K$54*(12.73^2)+'LINEST VARS'!$J$54*(8*8)+'LINEST VARS'!$I$54*(8*$CQ$32)+'LINEST VARS'!$H$54*(8*$BX41)+'LINEST VARS'!$G$54*(8*12.73)+'LINEST VARS'!$F$54*(8*$CQ$32)+'LINEST VARS'!$E$54*(8*$BX41)+'LINEST VARS'!$D$54*(8*12.73)+'LINEST VARS'!$C$54*($CQ$32*$BX41)+'LINEST VARS'!$B$54*($CQ$32*12.73)+'LINEST VARS'!$A$54*($BX41*12.73)</f>
        <v>3.9799999999999995</v>
      </c>
      <c r="CR41" s="51">
        <f>'LINEST VARS'!$U$54+'LINEST VARS'!$T$54*(8)+'LINEST VARS'!$S$54*(8)+'LINEST VARS'!$R$54*($CR$32)+'LINEST VARS'!$Q$54*($BX41)+'LINEST VARS'!$P$54*(12.73)+'LINEST VARS'!$O$54*(8^2)+'LINEST VARS'!$N$54*(8^2)+'LINEST VARS'!$M$54*($CR$32^2)+'LINEST VARS'!$L$54*($BX41^2)+'LINEST VARS'!$K$54*(12.73^2)+'LINEST VARS'!$J$54*(8*8)+'LINEST VARS'!$I$54*(8*$CR$32)+'LINEST VARS'!$H$54*(8*$BX41)+'LINEST VARS'!$G$54*(8*12.73)+'LINEST VARS'!$F$54*(8*$CR$32)+'LINEST VARS'!$E$54*(8*$BX41)+'LINEST VARS'!$D$54*(8*12.73)+'LINEST VARS'!$C$54*($CR$32*$BX41)+'LINEST VARS'!$B$54*($CR$32*12.73)+'LINEST VARS'!$A$54*($BX41*12.73)</f>
        <v>3.9799999999999995</v>
      </c>
      <c r="CS41" s="52">
        <f>'LINEST VARS'!$U$54+'LINEST VARS'!$T$54*(8)+'LINEST VARS'!$S$54*(8)+'LINEST VARS'!$R$54*($CS$32)+'LINEST VARS'!$Q$54*($BX41)+'LINEST VARS'!$P$54*(12.73)+'LINEST VARS'!$O$54*(8^2)+'LINEST VARS'!$N$54*(8^2)+'LINEST VARS'!$M$54*($CS$32^2)+'LINEST VARS'!$L$54*($BX41^2)+'LINEST VARS'!$K$54*(12.73^2)+'LINEST VARS'!$J$54*(8*8)+'LINEST VARS'!$I$54*(8*$CS$32)+'LINEST VARS'!$H$54*(8*$BX41)+'LINEST VARS'!$G$54*(8*12.73)+'LINEST VARS'!$F$54*(8*$CS$32)+'LINEST VARS'!$E$54*(8*$BX41)+'LINEST VARS'!$D$54*(8*12.73)+'LINEST VARS'!$C$54*($CS$32*$BX41)+'LINEST VARS'!$B$54*($CS$32*12.73)+'LINEST VARS'!$A$54*($BX41*12.73)</f>
        <v>3.9799999999999995</v>
      </c>
      <c r="CX41" s="45">
        <v>10.396000000000001</v>
      </c>
      <c r="CY41" s="51">
        <f>'LINEST VARS'!$U$52+'LINEST VARS'!$T$52*(8)+'LINEST VARS'!$S$52*(8)+'LINEST VARS'!$R$52*($CY$32)+'LINEST VARS'!$Q$52*(0.5)+'LINEST VARS'!$P$52*($CX41)+'LINEST VARS'!$O$52*(8^2)+'LINEST VARS'!$N$52*(8^2)+'LINEST VARS'!$M$52*($CY$32^2)+'LINEST VARS'!$L$52*(0.5^2)+'LINEST VARS'!$K$52*($CX41^2)+'LINEST VARS'!$J$52*(8*8)+'LINEST VARS'!$I$52*(8*$CY$32)+'LINEST VARS'!$H$52*(8*0.5)+'LINEST VARS'!$G$52*(8*$CX41)+'LINEST VARS'!$F$52*(8*$CY$32)+'LINEST VARS'!$E$52*(8*0.5)+'LINEST VARS'!$D$52*(8*$CX41)+'LINEST VARS'!$C$52*($CY$32*0.5)+'LINEST VARS'!$B$52*($CY$32*$CX41)+'LINEST VARS'!$A$52*(0.5*$CX41)</f>
        <v>4.4499999999999984</v>
      </c>
      <c r="CZ41" s="51">
        <f>'LINEST VARS'!$U$52+'LINEST VARS'!$T$52*(8)+'LINEST VARS'!$S$52*(8)+'LINEST VARS'!$R$52*($CZ$32)+'LINEST VARS'!$Q$52*(0.5)+'LINEST VARS'!$P$52*($CX41)+'LINEST VARS'!$O$52*(8^2)+'LINEST VARS'!$N$52*(8^2)+'LINEST VARS'!$M$52*($CZ$32^2)+'LINEST VARS'!$L$52*(0.5^2)+'LINEST VARS'!$K$52*($CX41^2)+'LINEST VARS'!$J$52*(8*8)+'LINEST VARS'!$I$52*(8*$CZ$32)+'LINEST VARS'!$H$52*(8*0.5)+'LINEST VARS'!$G$52*(8*$CX41)+'LINEST VARS'!$F$52*(8*$CZ$32)+'LINEST VARS'!$E$52*(8*0.5)+'LINEST VARS'!$D$52*(8*$CX41)+'LINEST VARS'!$C$52*($CZ$32*0.5)+'LINEST VARS'!$B$52*($CZ$32*$CX41)+'LINEST VARS'!$A$52*(0.5*$CX41)</f>
        <v>4.4499999999999984</v>
      </c>
      <c r="DA41" s="51">
        <f>'LINEST VARS'!$U$52+'LINEST VARS'!$T$52*(8)+'LINEST VARS'!$S$52*(8)+'LINEST VARS'!$R$52*($DA$32)+'LINEST VARS'!$Q$52*(0.5)+'LINEST VARS'!$P$52*($CX41)+'LINEST VARS'!$O$52*(8^2)+'LINEST VARS'!$N$52*(8^2)+'LINEST VARS'!$M$52*($DA$32^2)+'LINEST VARS'!$L$52*(0.5^2)+'LINEST VARS'!$K$52*($CX41^2)+'LINEST VARS'!$J$52*(8*8)+'LINEST VARS'!$I$52*(8*$DA$32)+'LINEST VARS'!$H$52*(8*0.5)+'LINEST VARS'!$G$52*(8*$CX41)+'LINEST VARS'!$F$52*(8*$DA$32)+'LINEST VARS'!$E$52*(8*0.5)+'LINEST VARS'!$D$52*(8*$CX41)+'LINEST VARS'!$C$52*($DA$32*0.5)+'LINEST VARS'!$B$52*($DA$32*$CX41)+'LINEST VARS'!$A$52*(0.5*$CX41)</f>
        <v>4.4499999999999984</v>
      </c>
      <c r="DB41" s="51">
        <f>'LINEST VARS'!$U$52+'LINEST VARS'!$T$52*(8)+'LINEST VARS'!$S$52*(8)+'LINEST VARS'!$R$52*($DB$32)+'LINEST VARS'!$Q$52*(0.5)+'LINEST VARS'!$P$52*($CX41)+'LINEST VARS'!$O$52*(8^2)+'LINEST VARS'!$N$52*(8^2)+'LINEST VARS'!$M$52*($DB$32^2)+'LINEST VARS'!$L$52*(0.5^2)+'LINEST VARS'!$K$52*($CX41^2)+'LINEST VARS'!$J$52*(8*8)+'LINEST VARS'!$I$52*(8*$DB$32)+'LINEST VARS'!$H$52*(8*0.5)+'LINEST VARS'!$G$52*(8*$CX41)+'LINEST VARS'!$F$52*(8*$DB$32)+'LINEST VARS'!$E$52*(8*0.5)+'LINEST VARS'!$D$52*(8*$CX41)+'LINEST VARS'!$C$52*($DB$32*0.5)+'LINEST VARS'!$B$52*($DB$32*$CX41)+'LINEST VARS'!$A$52*(0.5*$CX41)</f>
        <v>4.4499999999999984</v>
      </c>
      <c r="DC41" s="51">
        <f>'LINEST VARS'!$U$52+'LINEST VARS'!$T$52*(8)+'LINEST VARS'!$S$52*(8)+'LINEST VARS'!$R$52*($DC$32)+'LINEST VARS'!$Q$52*(0.5)+'LINEST VARS'!$P$52*($CX41)+'LINEST VARS'!$O$52*(8^2)+'LINEST VARS'!$N$52*(8^2)+'LINEST VARS'!$M$52*($DC$32^2)+'LINEST VARS'!$L$52*(0.5^2)+'LINEST VARS'!$K$52*($CX41^2)+'LINEST VARS'!$J$52*(8*8)+'LINEST VARS'!$I$52*(8*$DC$32)+'LINEST VARS'!$H$52*(8*0.5)+'LINEST VARS'!$G$52*(8*$CX41)+'LINEST VARS'!$F$52*(8*$DC$32)+'LINEST VARS'!$E$52*(8*0.5)+'LINEST VARS'!$D$52*(8*$CX41)+'LINEST VARS'!$C$52*($DC$32*0.5)+'LINEST VARS'!$B$52*($DC$32*$CX41)+'LINEST VARS'!$A$52*(0.5*$CX41)</f>
        <v>4.4499999999999984</v>
      </c>
      <c r="DD41" s="51">
        <f>'LINEST VARS'!$U$52+'LINEST VARS'!$T$52*(8)+'LINEST VARS'!$S$52*(8)+'LINEST VARS'!$R$52*($DD$32)+'LINEST VARS'!$Q$52*(0.5)+'LINEST VARS'!$P$52*($CX41)+'LINEST VARS'!$O$52*(8^2)+'LINEST VARS'!$N$52*(8^2)+'LINEST VARS'!$M$52*($DD$32^2)+'LINEST VARS'!$L$52*(0.5^2)+'LINEST VARS'!$K$52*($CX41^2)+'LINEST VARS'!$J$52*(8*8)+'LINEST VARS'!$I$52*(8*$DD$32)+'LINEST VARS'!$H$52*(8*0.5)+'LINEST VARS'!$G$52*(8*$CX41)+'LINEST VARS'!$F$52*(8*$DD$32)+'LINEST VARS'!$E$52*(8*0.5)+'LINEST VARS'!$D$52*(8*$CX41)+'LINEST VARS'!$C$52*($DD$32*0.5)+'LINEST VARS'!$B$52*($DD$32*$CX41)+'LINEST VARS'!$A$52*(0.5*$CX41)</f>
        <v>4.4499999999999984</v>
      </c>
      <c r="DE41" s="51">
        <f>'LINEST VARS'!$U$52+'LINEST VARS'!$T$52*(8)+'LINEST VARS'!$S$52*(8)+'LINEST VARS'!$R$52*($DE$32)+'LINEST VARS'!$Q$52*(0.5)+'LINEST VARS'!$P$52*($CX41)+'LINEST VARS'!$O$52*(8^2)+'LINEST VARS'!$N$52*(8^2)+'LINEST VARS'!$M$52*($DE$32^2)+'LINEST VARS'!$L$52*(0.5^2)+'LINEST VARS'!$K$52*($CX41^2)+'LINEST VARS'!$J$52*(8*8)+'LINEST VARS'!$I$52*(8*$DE$32)+'LINEST VARS'!$H$52*(8*0.5)+'LINEST VARS'!$G$52*(8*$CX41)+'LINEST VARS'!$F$52*(8*$DE$32)+'LINEST VARS'!$E$52*(8*0.5)+'LINEST VARS'!$D$52*(8*$CX41)+'LINEST VARS'!$C$52*($DE$32*0.5)+'LINEST VARS'!$B$52*($DE$32*$CX41)+'LINEST VARS'!$A$52*(0.5*$CX41)</f>
        <v>4.4499999999999984</v>
      </c>
      <c r="DF41" s="51">
        <f>'LINEST VARS'!$U$52+'LINEST VARS'!$T$52*(8)+'LINEST VARS'!$S$52*(8)+'LINEST VARS'!$R$52*($DF$32)+'LINEST VARS'!$Q$52*(0.5)+'LINEST VARS'!$P$52*($CX41)+'LINEST VARS'!$O$52*(8^2)+'LINEST VARS'!$N$52*(8^2)+'LINEST VARS'!$M$52*($DF$32^2)+'LINEST VARS'!$L$52*(0.5^2)+'LINEST VARS'!$K$52*($CX41^2)+'LINEST VARS'!$J$52*(8*8)+'LINEST VARS'!$I$52*(8*$DF$32)+'LINEST VARS'!$H$52*(8*0.5)+'LINEST VARS'!$G$52*(8*$CX41)+'LINEST VARS'!$F$52*(8*$DF$32)+'LINEST VARS'!$E$52*(8*0.5)+'LINEST VARS'!$D$52*(8*$CX41)+'LINEST VARS'!$C$52*($DF$32*0.5)+'LINEST VARS'!$B$52*($DF$32*$CX41)+'LINEST VARS'!$A$52*(0.5*$CX41)</f>
        <v>4.4499999999999984</v>
      </c>
      <c r="DG41" s="51">
        <f>'LINEST VARS'!$U$52+'LINEST VARS'!$T$52*(8)+'LINEST VARS'!$S$52*(8)+'LINEST VARS'!$R$52*($DG$32)+'LINEST VARS'!$Q$52*(0.5)+'LINEST VARS'!$P$52*($CX41)+'LINEST VARS'!$O$52*(8^2)+'LINEST VARS'!$N$52*(8^2)+'LINEST VARS'!$M$52*($DG$32^2)+'LINEST VARS'!$L$52*(0.5^2)+'LINEST VARS'!$K$52*($CX41^2)+'LINEST VARS'!$J$52*(8*8)+'LINEST VARS'!$I$52*(8*$DG$32)+'LINEST VARS'!$H$52*(8*0.5)+'LINEST VARS'!$G$52*(8*$CX41)+'LINEST VARS'!$F$52*(8*$DG$32)+'LINEST VARS'!$E$52*(8*0.5)+'LINEST VARS'!$D$52*(8*$CX41)+'LINEST VARS'!$C$52*($DG$32*0.5)+'LINEST VARS'!$B$52*($DG$32*$CX41)+'LINEST VARS'!$A$52*(0.5*$CX41)</f>
        <v>4.4499999999999984</v>
      </c>
      <c r="DH41" s="51">
        <f>'LINEST VARS'!$U$52+'LINEST VARS'!$T$52*(8)+'LINEST VARS'!$S$52*(8)+'LINEST VARS'!$R$52*($DH$32)+'LINEST VARS'!$Q$52*(0.5)+'LINEST VARS'!$P$52*($CX41)+'LINEST VARS'!$O$52*(8^2)+'LINEST VARS'!$N$52*(8^2)+'LINEST VARS'!$M$52*($DH$32^2)+'LINEST VARS'!$L$52*(0.5^2)+'LINEST VARS'!$K$52*($CX41^2)+'LINEST VARS'!$J$52*(8*8)+'LINEST VARS'!$I$52*(8*$DH$32)+'LINEST VARS'!$H$52*(8*0.5)+'LINEST VARS'!$G$52*(8*$CX41)+'LINEST VARS'!$F$52*(8*$DH$32)+'LINEST VARS'!$E$52*(8*0.5)+'LINEST VARS'!$D$52*(8*$CX41)+'LINEST VARS'!$C$52*($DH$32*0.5)+'LINEST VARS'!$B$52*($DH$32*$CX41)+'LINEST VARS'!$A$52*(0.5*$CX41)</f>
        <v>4.4499999999999984</v>
      </c>
      <c r="DI41" s="51">
        <f>'LINEST VARS'!$U$52+'LINEST VARS'!$T$52*(8)+'LINEST VARS'!$S$52*(8)+'LINEST VARS'!$R$52*($DI$32)+'LINEST VARS'!$Q$52*(0.5)+'LINEST VARS'!$P$52*($CX41)+'LINEST VARS'!$O$52*(8^2)+'LINEST VARS'!$N$52*(8^2)+'LINEST VARS'!$M$52*($DI$32^2)+'LINEST VARS'!$L$52*(0.5^2)+'LINEST VARS'!$K$52*($CX41^2)+'LINEST VARS'!$J$52*(8*8)+'LINEST VARS'!$I$52*(8*$DI$32)+'LINEST VARS'!$H$52*(8*0.5)+'LINEST VARS'!$G$52*(8*$CX41)+'LINEST VARS'!$F$52*(8*$DI$32)+'LINEST VARS'!$E$52*(8*0.5)+'LINEST VARS'!$D$52*(8*$CX41)+'LINEST VARS'!$C$52*($DI$32*0.5)+'LINEST VARS'!$B$52*($DI$32*$CX41)+'LINEST VARS'!$A$52*(0.5*$CX41)</f>
        <v>4.4499999999999984</v>
      </c>
      <c r="DJ41" s="51">
        <f>'LINEST VARS'!$U$52+'LINEST VARS'!$T$52*(8)+'LINEST VARS'!$S$52*(8)+'LINEST VARS'!$R$52*($DJ$32)+'LINEST VARS'!$Q$52*(0.5)+'LINEST VARS'!$P$52*($CX41)+'LINEST VARS'!$O$52*(8^2)+'LINEST VARS'!$N$52*(8^2)+'LINEST VARS'!$M$52*($DJ$32^2)+'LINEST VARS'!$L$52*(0.5^2)+'LINEST VARS'!$K$52*($CX41^2)+'LINEST VARS'!$J$52*(8*8)+'LINEST VARS'!$I$52*(8*$DJ$32)+'LINEST VARS'!$H$52*(8*0.5)+'LINEST VARS'!$G$52*(8*$CX41)+'LINEST VARS'!$F$52*(8*$DJ$32)+'LINEST VARS'!$E$52*(8*0.5)+'LINEST VARS'!$D$52*(8*$CX41)+'LINEST VARS'!$C$52*($DJ$32*0.5)+'LINEST VARS'!$B$52*($DJ$32*$CX41)+'LINEST VARS'!$A$52*(0.5*$CX41)</f>
        <v>4.4499999999999984</v>
      </c>
      <c r="DK41" s="51">
        <f>'LINEST VARS'!$U$52+'LINEST VARS'!$T$52*(8)+'LINEST VARS'!$S$52*(8)+'LINEST VARS'!$R$52*($DK$32)+'LINEST VARS'!$Q$52*(0.5)+'LINEST VARS'!$P$52*($CX41)+'LINEST VARS'!$O$52*(8^2)+'LINEST VARS'!$N$52*(8^2)+'LINEST VARS'!$M$52*($DK$32^2)+'LINEST VARS'!$L$52*(0.5^2)+'LINEST VARS'!$K$52*($CX41^2)+'LINEST VARS'!$J$52*(8*8)+'LINEST VARS'!$I$52*(8*$DK$32)+'LINEST VARS'!$H$52*(8*0.5)+'LINEST VARS'!$G$52*(8*$CX41)+'LINEST VARS'!$F$52*(8*$DK$32)+'LINEST VARS'!$E$52*(8*0.5)+'LINEST VARS'!$D$52*(8*$CX41)+'LINEST VARS'!$C$52*($DK$32*0.5)+'LINEST VARS'!$B$52*($DK$32*$CX41)+'LINEST VARS'!$A$52*(0.5*$CX41)</f>
        <v>4.4499999999999984</v>
      </c>
      <c r="DL41" s="51">
        <f>'LINEST VARS'!$U$52+'LINEST VARS'!$T$52*(8)+'LINEST VARS'!$S$52*(8)+'LINEST VARS'!$R$52*($DL$32)+'LINEST VARS'!$Q$52*(0.5)+'LINEST VARS'!$P$52*($CX41)+'LINEST VARS'!$O$52*(8^2)+'LINEST VARS'!$N$52*(8^2)+'LINEST VARS'!$M$52*($DL$32^2)+'LINEST VARS'!$L$52*(0.5^2)+'LINEST VARS'!$K$52*($CX41^2)+'LINEST VARS'!$J$52*(8*8)+'LINEST VARS'!$I$52*(8*$DL$32)+'LINEST VARS'!$H$52*(8*0.5)+'LINEST VARS'!$G$52*(8*$CX41)+'LINEST VARS'!$F$52*(8*$DL$32)+'LINEST VARS'!$E$52*(8*0.5)+'LINEST VARS'!$D$52*(8*$CX41)+'LINEST VARS'!$C$52*($DL$32*0.5)+'LINEST VARS'!$B$52*($DL$32*$CX41)+'LINEST VARS'!$A$52*(0.5*$CX41)</f>
        <v>4.4499999999999984</v>
      </c>
      <c r="DM41" s="51">
        <f>'LINEST VARS'!$U$52+'LINEST VARS'!$T$52*(8)+'LINEST VARS'!$S$52*(8)+'LINEST VARS'!$R$52*($DM$32)+'LINEST VARS'!$Q$52*(0.5)+'LINEST VARS'!$P$52*($CX41)+'LINEST VARS'!$O$52*(8^2)+'LINEST VARS'!$N$52*(8^2)+'LINEST VARS'!$M$52*($DM$32^2)+'LINEST VARS'!$L$52*(0.5^2)+'LINEST VARS'!$K$52*($CX41^2)+'LINEST VARS'!$J$52*(8*8)+'LINEST VARS'!$I$52*(8*$DM$32)+'LINEST VARS'!$H$52*(8*0.5)+'LINEST VARS'!$G$52*(8*$CX41)+'LINEST VARS'!$F$52*(8*$DM$32)+'LINEST VARS'!$E$52*(8*0.5)+'LINEST VARS'!$D$52*(8*$CX41)+'LINEST VARS'!$C$52*($DM$32*0.5)+'LINEST VARS'!$B$52*($DM$32*$CX41)+'LINEST VARS'!$A$52*(0.5*$CX41)</f>
        <v>4.4499999999999984</v>
      </c>
      <c r="DN41" s="51">
        <f>'LINEST VARS'!$U$52+'LINEST VARS'!$T$52*(8)+'LINEST VARS'!$S$52*(8)+'LINEST VARS'!$R$52*($DN$32)+'LINEST VARS'!$Q$52*(0.5)+'LINEST VARS'!$P$52*($CX41)+'LINEST VARS'!$O$52*(8^2)+'LINEST VARS'!$N$52*(8^2)+'LINEST VARS'!$M$52*($DN$32^2)+'LINEST VARS'!$L$52*(0.5^2)+'LINEST VARS'!$K$52*($CX41^2)+'LINEST VARS'!$J$52*(8*8)+'LINEST VARS'!$I$52*(8*$DN$32)+'LINEST VARS'!$H$52*(8*0.5)+'LINEST VARS'!$G$52*(8*$CX41)+'LINEST VARS'!$F$52*(8*$DN$32)+'LINEST VARS'!$E$52*(8*0.5)+'LINEST VARS'!$D$52*(8*$CX41)+'LINEST VARS'!$C$52*($DN$32*0.5)+'LINEST VARS'!$B$52*($DN$32*$CX41)+'LINEST VARS'!$A$52*(0.5*$CX41)</f>
        <v>4.4499999999999984</v>
      </c>
      <c r="DO41" s="51">
        <f>'LINEST VARS'!$U$52+'LINEST VARS'!$T$52*(8)+'LINEST VARS'!$S$52*(8)+'LINEST VARS'!$R$52*($DO$32)+'LINEST VARS'!$Q$52*(0.5)+'LINEST VARS'!$P$52*($CX41)+'LINEST VARS'!$O$52*(8^2)+'LINEST VARS'!$N$52*(8^2)+'LINEST VARS'!$M$52*($DO$32^2)+'LINEST VARS'!$L$52*(0.5^2)+'LINEST VARS'!$K$52*($CX41^2)+'LINEST VARS'!$J$52*(8*8)+'LINEST VARS'!$I$52*(8*$DO$32)+'LINEST VARS'!$H$52*(8*0.5)+'LINEST VARS'!$G$52*(8*$CX41)+'LINEST VARS'!$F$52*(8*$DO$32)+'LINEST VARS'!$E$52*(8*0.5)+'LINEST VARS'!$D$52*(8*$CX41)+'LINEST VARS'!$C$52*($DO$32*0.5)+'LINEST VARS'!$B$52*($DO$32*$CX41)+'LINEST VARS'!$A$52*(0.5*$CX41)</f>
        <v>4.4499999999999984</v>
      </c>
      <c r="DP41" s="51">
        <f>'LINEST VARS'!$U$52+'LINEST VARS'!$T$52*(8)+'LINEST VARS'!$S$52*(8)+'LINEST VARS'!$R$52*($DP$32)+'LINEST VARS'!$Q$52*(0.5)+'LINEST VARS'!$P$52*($CX41)+'LINEST VARS'!$O$52*(8^2)+'LINEST VARS'!$N$52*(8^2)+'LINEST VARS'!$M$52*($DP$32^2)+'LINEST VARS'!$L$52*(0.5^2)+'LINEST VARS'!$K$52*($CX41^2)+'LINEST VARS'!$J$52*(8*8)+'LINEST VARS'!$I$52*(8*$DP$32)+'LINEST VARS'!$H$52*(8*0.5)+'LINEST VARS'!$G$52*(8*$CX41)+'LINEST VARS'!$F$52*(8*$DP$32)+'LINEST VARS'!$E$52*(8*0.5)+'LINEST VARS'!$D$52*(8*$CX41)+'LINEST VARS'!$C$52*($DP$32*0.5)+'LINEST VARS'!$B$52*($DP$32*$CX41)+'LINEST VARS'!$A$52*(0.5*$CX41)</f>
        <v>4.4499999999999984</v>
      </c>
      <c r="DQ41" s="51">
        <f>'LINEST VARS'!$U$52+'LINEST VARS'!$T$52*(8)+'LINEST VARS'!$S$52*(8)+'LINEST VARS'!$R$52*($DQ$32)+'LINEST VARS'!$Q$52*(0.5)+'LINEST VARS'!$P$52*($CX41)+'LINEST VARS'!$O$52*(8^2)+'LINEST VARS'!$N$52*(8^2)+'LINEST VARS'!$M$52*($DQ$32^2)+'LINEST VARS'!$L$52*(0.5^2)+'LINEST VARS'!$K$52*($CX41^2)+'LINEST VARS'!$J$52*(8*8)+'LINEST VARS'!$I$52*(8*$DQ$32)+'LINEST VARS'!$H$52*(8*0.5)+'LINEST VARS'!$G$52*(8*$CX41)+'LINEST VARS'!$F$52*(8*$DQ$32)+'LINEST VARS'!$E$52*(8*0.5)+'LINEST VARS'!$D$52*(8*$CX41)+'LINEST VARS'!$C$52*($DQ$32*0.5)+'LINEST VARS'!$B$52*($DQ$32*$CX41)+'LINEST VARS'!$A$52*(0.5*$CX41)</f>
        <v>4.4499999999999984</v>
      </c>
      <c r="DR41" s="51">
        <f>'LINEST VARS'!$U$52+'LINEST VARS'!$T$52*(8)+'LINEST VARS'!$S$52*(8)+'LINEST VARS'!$R$52*($DR$32)+'LINEST VARS'!$Q$52*(0.5)+'LINEST VARS'!$P$52*($CX41)+'LINEST VARS'!$O$52*(8^2)+'LINEST VARS'!$N$52*(8^2)+'LINEST VARS'!$M$52*($DR$32^2)+'LINEST VARS'!$L$52*(0.5^2)+'LINEST VARS'!$K$52*($CX41^2)+'LINEST VARS'!$J$52*(8*8)+'LINEST VARS'!$I$52*(8*$DR$32)+'LINEST VARS'!$H$52*(8*0.5)+'LINEST VARS'!$G$52*(8*$CX41)+'LINEST VARS'!$F$52*(8*$DR$32)+'LINEST VARS'!$E$52*(8*0.5)+'LINEST VARS'!$D$52*(8*$CX41)+'LINEST VARS'!$C$52*($DR$32*0.5)+'LINEST VARS'!$B$52*($DR$32*$CX41)+'LINEST VARS'!$A$52*(0.5*$CX41)</f>
        <v>4.4499999999999984</v>
      </c>
      <c r="DS41" s="52">
        <f>'LINEST VARS'!$U$52+'LINEST VARS'!$T$52*(8)+'LINEST VARS'!$S$52*(8)+'LINEST VARS'!$R$52*($DS$32)+'LINEST VARS'!$Q$52*(0.5)+'LINEST VARS'!$P$52*($CX41)+'LINEST VARS'!$O$52*(8^2)+'LINEST VARS'!$N$52*(8^2)+'LINEST VARS'!$M$52*($DS$32^2)+'LINEST VARS'!$L$52*(0.5^2)+'LINEST VARS'!$K$52*($CX41^2)+'LINEST VARS'!$J$52*(8*8)+'LINEST VARS'!$I$52*(8*$DS$32)+'LINEST VARS'!$H$52*(8*0.5)+'LINEST VARS'!$G$52*(8*$CX41)+'LINEST VARS'!$F$52*(8*$DS$32)+'LINEST VARS'!$E$52*(8*0.5)+'LINEST VARS'!$D$52*(8*$CX41)+'LINEST VARS'!$C$52*($DS$32*0.5)+'LINEST VARS'!$B$52*($DS$32*$CX41)+'LINEST VARS'!$A$52*(0.5*$CX41)</f>
        <v>4.4499999999999984</v>
      </c>
      <c r="DV41" s="45">
        <v>10.396000000000001</v>
      </c>
      <c r="DW41" s="51">
        <f>'LINEST VARS'!$U$54+'LINEST VARS'!$T$54*(8)+'LINEST VARS'!$S$54*(8)+'LINEST VARS'!$R$54*($DW$32)+'LINEST VARS'!$Q$54*(0.5)+'LINEST VARS'!$P$54*($DV41)+'LINEST VARS'!$O$54*(8^2)+'LINEST VARS'!$N$54*(8^2)+'LINEST VARS'!$M$54*($DW$32^2)+'LINEST VARS'!$L$54*(0.5^2)+'LINEST VARS'!$K$54*($DV41^2)+'LINEST VARS'!$J$54*(8*8)+'LINEST VARS'!$I$54*(8*$DW$32)+'LINEST VARS'!$H$54*(8*0.5)+'LINEST VARS'!$G$54*(8*$DV41)+'LINEST VARS'!$F$54*(8*$DW$32)+'LINEST VARS'!$E$54*(8*0.5)+'LINEST VARS'!$D$54*(8*$DV41)+'LINEST VARS'!$C$54*($DW$32*0.5)+'LINEST VARS'!$B$54*($DW$32*$DV41)+'LINEST VARS'!$A$54*(0.5*$DV41)</f>
        <v>3.9749999999999996</v>
      </c>
      <c r="DX41" s="51">
        <f>'LINEST VARS'!$U$54+'LINEST VARS'!$T$54*(8)+'LINEST VARS'!$S$54*(8)+'LINEST VARS'!$R$54*($DX$32)+'LINEST VARS'!$Q$54*(0.5)+'LINEST VARS'!$P$54*($DV41)+'LINEST VARS'!$O$54*(8^2)+'LINEST VARS'!$N$54*(8^2)+'LINEST VARS'!$M$54*($DX$32^2)+'LINEST VARS'!$L$54*(0.5^2)+'LINEST VARS'!$K$54*($DV41^2)+'LINEST VARS'!$J$54*(8*8)+'LINEST VARS'!$I$54*(8*$DX$32)+'LINEST VARS'!$H$54*(8*0.5)+'LINEST VARS'!$G$54*(8*$DV41)+'LINEST VARS'!$F$54*(8*$DX$32)+'LINEST VARS'!$E$54*(8*0.5)+'LINEST VARS'!$D$54*(8*$DV41)+'LINEST VARS'!$C$54*($DX$32*0.5)+'LINEST VARS'!$B$54*($DX$32*$DV41)+'LINEST VARS'!$A$54*(0.5*$DV41)</f>
        <v>3.9749999999999996</v>
      </c>
      <c r="DY41" s="51">
        <f>'LINEST VARS'!$U$54+'LINEST VARS'!$T$54*(8)+'LINEST VARS'!$S$54*(8)+'LINEST VARS'!$R$54*($DY$32)+'LINEST VARS'!$Q$54*(0.5)+'LINEST VARS'!$P$54*($DV41)+'LINEST VARS'!$O$54*(8^2)+'LINEST VARS'!$N$54*(8^2)+'LINEST VARS'!$M$54*($DY$32^2)+'LINEST VARS'!$L$54*(0.5^2)+'LINEST VARS'!$K$54*($DV41^2)+'LINEST VARS'!$J$54*(8*8)+'LINEST VARS'!$I$54*(8*$DY$32)+'LINEST VARS'!$H$54*(8*0.5)+'LINEST VARS'!$G$54*(8*$DV41)+'LINEST VARS'!$F$54*(8*$DY$32)+'LINEST VARS'!$E$54*(8*0.5)+'LINEST VARS'!$D$54*(8*$DV41)+'LINEST VARS'!$C$54*($DY$32*0.5)+'LINEST VARS'!$B$54*($DY$32*$DV41)+'LINEST VARS'!$A$54*(0.5*$DV41)</f>
        <v>3.9749999999999996</v>
      </c>
      <c r="DZ41" s="51">
        <f>'LINEST VARS'!$U$54+'LINEST VARS'!$T$54*(8)+'LINEST VARS'!$S$54*(8)+'LINEST VARS'!$R$54*($DZ$32)+'LINEST VARS'!$Q$54*(0.5)+'LINEST VARS'!$P$54*($DV41)+'LINEST VARS'!$O$54*(8^2)+'LINEST VARS'!$N$54*(8^2)+'LINEST VARS'!$M$54*($DZ$32^2)+'LINEST VARS'!$L$54*(0.5^2)+'LINEST VARS'!$K$54*($DV41^2)+'LINEST VARS'!$J$54*(8*8)+'LINEST VARS'!$I$54*(8*$DZ$32)+'LINEST VARS'!$H$54*(8*0.5)+'LINEST VARS'!$G$54*(8*$DV41)+'LINEST VARS'!$F$54*(8*$DZ$32)+'LINEST VARS'!$E$54*(8*0.5)+'LINEST VARS'!$D$54*(8*$DV41)+'LINEST VARS'!$C$54*($DZ$32*0.5)+'LINEST VARS'!$B$54*($DZ$32*$DV41)+'LINEST VARS'!$A$54*(0.5*$DV41)</f>
        <v>3.9749999999999996</v>
      </c>
      <c r="EA41" s="51">
        <f>'LINEST VARS'!$U$54+'LINEST VARS'!$T$54*(8)+'LINEST VARS'!$S$54*(8)+'LINEST VARS'!$R$54*($EA$32)+'LINEST VARS'!$Q$54*(0.5)+'LINEST VARS'!$P$54*($DV41)+'LINEST VARS'!$O$54*(8^2)+'LINEST VARS'!$N$54*(8^2)+'LINEST VARS'!$M$54*($EA$32^2)+'LINEST VARS'!$L$54*(0.5^2)+'LINEST VARS'!$K$54*($DV41^2)+'LINEST VARS'!$J$54*(8*8)+'LINEST VARS'!$I$54*(8*$EA$32)+'LINEST VARS'!$H$54*(8*0.5)+'LINEST VARS'!$G$54*(8*$DV41)+'LINEST VARS'!$F$54*(8*$EA$32)+'LINEST VARS'!$E$54*(8*0.5)+'LINEST VARS'!$D$54*(8*$DV41)+'LINEST VARS'!$C$54*($EA$32*0.5)+'LINEST VARS'!$B$54*($EA$32*$DV41)+'LINEST VARS'!$A$54*(0.5*$DV41)</f>
        <v>3.9749999999999996</v>
      </c>
      <c r="EB41" s="51">
        <f>'LINEST VARS'!$U$54+'LINEST VARS'!$T$54*(8)+'LINEST VARS'!$S$54*(8)+'LINEST VARS'!$R$54*($EB$32)+'LINEST VARS'!$Q$54*(0.5)+'LINEST VARS'!$P$54*($DV41)+'LINEST VARS'!$O$54*(8^2)+'LINEST VARS'!$N$54*(8^2)+'LINEST VARS'!$M$54*($EB$32^2)+'LINEST VARS'!$L$54*(0.5^2)+'LINEST VARS'!$K$54*($DV41^2)+'LINEST VARS'!$J$54*(8*8)+'LINEST VARS'!$I$54*(8*$EB$32)+'LINEST VARS'!$H$54*(8*0.5)+'LINEST VARS'!$G$54*(8*$DV41)+'LINEST VARS'!$F$54*(8*$EB$32)+'LINEST VARS'!$E$54*(8*0.5)+'LINEST VARS'!$D$54*(8*$DV41)+'LINEST VARS'!$C$54*($EB$32*0.5)+'LINEST VARS'!$B$54*($EB$32*$DV41)+'LINEST VARS'!$A$54*(0.5*$DV41)</f>
        <v>3.9749999999999996</v>
      </c>
      <c r="EC41" s="51">
        <f>'LINEST VARS'!$U$54+'LINEST VARS'!$T$54*(8)+'LINEST VARS'!$S$54*(8)+'LINEST VARS'!$R$54*($EC$32)+'LINEST VARS'!$Q$54*(0.5)+'LINEST VARS'!$P$54*($DV41)+'LINEST VARS'!$O$54*(8^2)+'LINEST VARS'!$N$54*(8^2)+'LINEST VARS'!$M$54*($EC$32^2)+'LINEST VARS'!$L$54*(0.5^2)+'LINEST VARS'!$K$54*($DV41^2)+'LINEST VARS'!$J$54*(8*8)+'LINEST VARS'!$I$54*(8*$EC$32)+'LINEST VARS'!$H$54*(8*0.5)+'LINEST VARS'!$G$54*(8*$DV41)+'LINEST VARS'!$F$54*(8*$EC$32)+'LINEST VARS'!$E$54*(8*0.5)+'LINEST VARS'!$D$54*(8*$DV41)+'LINEST VARS'!$C$54*($EC$32*0.5)+'LINEST VARS'!$B$54*($EC$32*$DV41)+'LINEST VARS'!$A$54*(0.5*$DV41)</f>
        <v>3.9749999999999996</v>
      </c>
      <c r="ED41" s="51">
        <f>'LINEST VARS'!$U$54+'LINEST VARS'!$T$54*(8)+'LINEST VARS'!$S$54*(8)+'LINEST VARS'!$R$54*($ED$32)+'LINEST VARS'!$Q$54*(0.5)+'LINEST VARS'!$P$54*($DV41)+'LINEST VARS'!$O$54*(8^2)+'LINEST VARS'!$N$54*(8^2)+'LINEST VARS'!$M$54*($ED$32^2)+'LINEST VARS'!$L$54*(0.5^2)+'LINEST VARS'!$K$54*($DV41^2)+'LINEST VARS'!$J$54*(8*8)+'LINEST VARS'!$I$54*(8*$ED$32)+'LINEST VARS'!$H$54*(8*0.5)+'LINEST VARS'!$G$54*(8*$DV41)+'LINEST VARS'!$F$54*(8*$ED$32)+'LINEST VARS'!$E$54*(8*0.5)+'LINEST VARS'!$D$54*(8*$DV41)+'LINEST VARS'!$C$54*($ED$32*0.5)+'LINEST VARS'!$B$54*($ED$32*$DV41)+'LINEST VARS'!$A$54*(0.5*$DV41)</f>
        <v>3.9749999999999996</v>
      </c>
      <c r="EE41" s="51">
        <f>'LINEST VARS'!$U$54+'LINEST VARS'!$T$54*(8)+'LINEST VARS'!$S$54*(8)+'LINEST VARS'!$R$54*($EE$32)+'LINEST VARS'!$Q$54*(0.5)+'LINEST VARS'!$P$54*($DV41)+'LINEST VARS'!$O$54*(8^2)+'LINEST VARS'!$N$54*(8^2)+'LINEST VARS'!$M$54*($EE$32^2)+'LINEST VARS'!$L$54*(0.5^2)+'LINEST VARS'!$K$54*($DV41^2)+'LINEST VARS'!$J$54*(8*8)+'LINEST VARS'!$I$54*(8*$EE$32)+'LINEST VARS'!$H$54*(8*0.5)+'LINEST VARS'!$G$54*(8*$DV41)+'LINEST VARS'!$F$54*(8*$EE$32)+'LINEST VARS'!$E$54*(8*0.5)+'LINEST VARS'!$D$54*(8*$DV41)+'LINEST VARS'!$C$54*($EE$32*0.5)+'LINEST VARS'!$B$54*($EE$32*$DV41)+'LINEST VARS'!$A$54*(0.5*$DV41)</f>
        <v>3.9749999999999996</v>
      </c>
      <c r="EF41" s="51">
        <f>'LINEST VARS'!$U$54+'LINEST VARS'!$T$54*(8)+'LINEST VARS'!$S$54*(8)+'LINEST VARS'!$R$54*($EF$32)+'LINEST VARS'!$Q$54*(0.5)+'LINEST VARS'!$P$54*($DV41)+'LINEST VARS'!$O$54*(8^2)+'LINEST VARS'!$N$54*(8^2)+'LINEST VARS'!$M$54*($EF$32^2)+'LINEST VARS'!$L$54*(0.5^2)+'LINEST VARS'!$K$54*($DV41^2)+'LINEST VARS'!$J$54*(8*8)+'LINEST VARS'!$I$54*(8*$EF$32)+'LINEST VARS'!$H$54*(8*0.5)+'LINEST VARS'!$G$54*(8*$DV41)+'LINEST VARS'!$F$54*(8*$EF$32)+'LINEST VARS'!$E$54*(8*0.5)+'LINEST VARS'!$D$54*(8*$DV41)+'LINEST VARS'!$C$54*($EF$32*0.5)+'LINEST VARS'!$B$54*($EF$32*$DV41)+'LINEST VARS'!$A$54*(0.5*$DV41)</f>
        <v>3.9749999999999996</v>
      </c>
      <c r="EG41" s="51">
        <f>'LINEST VARS'!$U$54+'LINEST VARS'!$T$54*(8)+'LINEST VARS'!$S$54*(8)+'LINEST VARS'!$R$54*($EG$32)+'LINEST VARS'!$Q$54*(0.5)+'LINEST VARS'!$P$54*($DV41)+'LINEST VARS'!$O$54*(8^2)+'LINEST VARS'!$N$54*(8^2)+'LINEST VARS'!$M$54*($EG$32^2)+'LINEST VARS'!$L$54*(0.5^2)+'LINEST VARS'!$K$54*($DV41^2)+'LINEST VARS'!$J$54*(8*8)+'LINEST VARS'!$I$54*(8*$EG$32)+'LINEST VARS'!$H$54*(8*0.5)+'LINEST VARS'!$G$54*(8*$DV41)+'LINEST VARS'!$F$54*(8*$EG$32)+'LINEST VARS'!$E$54*(8*0.5)+'LINEST VARS'!$D$54*(8*$DV41)+'LINEST VARS'!$C$54*($EG$32*0.5)+'LINEST VARS'!$B$54*($EG$32*$DV41)+'LINEST VARS'!$A$54*(0.5*$DV41)</f>
        <v>3.9749999999999996</v>
      </c>
      <c r="EH41" s="51">
        <f>'LINEST VARS'!$U$54+'LINEST VARS'!$T$54*(8)+'LINEST VARS'!$S$54*(8)+'LINEST VARS'!$R$54*($EH$32)+'LINEST VARS'!$Q$54*(0.5)+'LINEST VARS'!$P$54*($DV41)+'LINEST VARS'!$O$54*(8^2)+'LINEST VARS'!$N$54*(8^2)+'LINEST VARS'!$M$54*($EH$32^2)+'LINEST VARS'!$L$54*(0.5^2)+'LINEST VARS'!$K$54*($DV41^2)+'LINEST VARS'!$J$54*(8*8)+'LINEST VARS'!$I$54*(8*$EH$32)+'LINEST VARS'!$H$54*(8*0.5)+'LINEST VARS'!$G$54*(8*$DV41)+'LINEST VARS'!$F$54*(8*$EH$32)+'LINEST VARS'!$E$54*(8*0.5)+'LINEST VARS'!$D$54*(8*$DV41)+'LINEST VARS'!$C$54*($EH$32*0.5)+'LINEST VARS'!$B$54*($EH$32*$DV41)+'LINEST VARS'!$A$54*(0.5*$DV41)</f>
        <v>3.9749999999999996</v>
      </c>
      <c r="EI41" s="51">
        <f>'LINEST VARS'!$U$54+'LINEST VARS'!$T$54*(8)+'LINEST VARS'!$S$54*(8)+'LINEST VARS'!$R$54*($EI$32)+'LINEST VARS'!$Q$54*(0.5)+'LINEST VARS'!$P$54*($DV41)+'LINEST VARS'!$O$54*(8^2)+'LINEST VARS'!$N$54*(8^2)+'LINEST VARS'!$M$54*($EI$32^2)+'LINEST VARS'!$L$54*(0.5^2)+'LINEST VARS'!$K$54*($DV41^2)+'LINEST VARS'!$J$54*(8*8)+'LINEST VARS'!$I$54*(8*$EI$32)+'LINEST VARS'!$H$54*(8*0.5)+'LINEST VARS'!$G$54*(8*$DV41)+'LINEST VARS'!$F$54*(8*$EI$32)+'LINEST VARS'!$E$54*(8*0.5)+'LINEST VARS'!$D$54*(8*$DV41)+'LINEST VARS'!$C$54*($EI$32*0.5)+'LINEST VARS'!$B$54*($EI$32*$DV41)+'LINEST VARS'!$A$54*(0.5*$DV41)</f>
        <v>3.9749999999999996</v>
      </c>
      <c r="EJ41" s="51">
        <f>'LINEST VARS'!$U$54+'LINEST VARS'!$T$54*(8)+'LINEST VARS'!$S$54*(8)+'LINEST VARS'!$R$54*($EJ$32)+'LINEST VARS'!$Q$54*(0.5)+'LINEST VARS'!$P$54*($DV41)+'LINEST VARS'!$O$54*(8^2)+'LINEST VARS'!$N$54*(8^2)+'LINEST VARS'!$M$54*($EJ$32^2)+'LINEST VARS'!$L$54*(0.5^2)+'LINEST VARS'!$K$54*($DV41^2)+'LINEST VARS'!$J$54*(8*8)+'LINEST VARS'!$I$54*(8*$EJ$32)+'LINEST VARS'!$H$54*(8*0.5)+'LINEST VARS'!$G$54*(8*$DV41)+'LINEST VARS'!$F$54*(8*$EJ$32)+'LINEST VARS'!$E$54*(8*0.5)+'LINEST VARS'!$D$54*(8*$DV41)+'LINEST VARS'!$C$54*($EJ$32*0.5)+'LINEST VARS'!$B$54*($EJ$32*$DV41)+'LINEST VARS'!$A$54*(0.5*$DV41)</f>
        <v>3.9749999999999996</v>
      </c>
      <c r="EK41" s="51">
        <f>'LINEST VARS'!$U$54+'LINEST VARS'!$T$54*(8)+'LINEST VARS'!$S$54*(8)+'LINEST VARS'!$R$54*($EK$32)+'LINEST VARS'!$Q$54*(0.5)+'LINEST VARS'!$P$54*($DV41)+'LINEST VARS'!$O$54*(8^2)+'LINEST VARS'!$N$54*(8^2)+'LINEST VARS'!$M$54*($EK$32^2)+'LINEST VARS'!$L$54*(0.5^2)+'LINEST VARS'!$K$54*($DV41^2)+'LINEST VARS'!$J$54*(8*8)+'LINEST VARS'!$I$54*(8*$EK$32)+'LINEST VARS'!$H$54*(8*0.5)+'LINEST VARS'!$G$54*(8*$DV41)+'LINEST VARS'!$F$54*(8*$EK$32)+'LINEST VARS'!$E$54*(8*0.5)+'LINEST VARS'!$D$54*(8*$DV41)+'LINEST VARS'!$C$54*($EK$32*0.5)+'LINEST VARS'!$B$54*($EK$32*$DV41)+'LINEST VARS'!$A$54*(0.5*$DV41)</f>
        <v>3.9749999999999996</v>
      </c>
      <c r="EL41" s="51">
        <f>'LINEST VARS'!$U$54+'LINEST VARS'!$T$54*(8)+'LINEST VARS'!$S$54*(8)+'LINEST VARS'!$R$54*($EL$32)+'LINEST VARS'!$Q$54*(0.5)+'LINEST VARS'!$P$54*($DV41)+'LINEST VARS'!$O$54*(8^2)+'LINEST VARS'!$N$54*(8^2)+'LINEST VARS'!$M$54*($EL$32^2)+'LINEST VARS'!$L$54*(0.5^2)+'LINEST VARS'!$K$54*($DV41^2)+'LINEST VARS'!$J$54*(8*8)+'LINEST VARS'!$I$54*(8*$EL$32)+'LINEST VARS'!$H$54*(8*0.5)+'LINEST VARS'!$G$54*(8*$DV41)+'LINEST VARS'!$F$54*(8*$EL$32)+'LINEST VARS'!$E$54*(8*0.5)+'LINEST VARS'!$D$54*(8*$DV41)+'LINEST VARS'!$C$54*($EL$32*0.5)+'LINEST VARS'!$B$54*($EL$32*$DV41)+'LINEST VARS'!$A$54*(0.5*$DV41)</f>
        <v>3.9749999999999996</v>
      </c>
      <c r="EM41" s="51">
        <f>'LINEST VARS'!$U$54+'LINEST VARS'!$T$54*(8)+'LINEST VARS'!$S$54*(8)+'LINEST VARS'!$R$54*($EM$32)+'LINEST VARS'!$Q$54*(0.5)+'LINEST VARS'!$P$54*($DV41)+'LINEST VARS'!$O$54*(8^2)+'LINEST VARS'!$N$54*(8^2)+'LINEST VARS'!$M$54*($EM$32^2)+'LINEST VARS'!$L$54*(0.5^2)+'LINEST VARS'!$K$54*($DV41^2)+'LINEST VARS'!$J$54*(8*8)+'LINEST VARS'!$I$54*(8*$EM$32)+'LINEST VARS'!$H$54*(8*0.5)+'LINEST VARS'!$G$54*(8*$DV41)+'LINEST VARS'!$F$54*(8*$EM$32)+'LINEST VARS'!$E$54*(8*0.5)+'LINEST VARS'!$D$54*(8*$DV41)+'LINEST VARS'!$C$54*($EM$32*0.5)+'LINEST VARS'!$B$54*($EM$32*$DV41)+'LINEST VARS'!$A$54*(0.5*$DV41)</f>
        <v>3.9749999999999996</v>
      </c>
      <c r="EN41" s="51">
        <f>'LINEST VARS'!$U$54+'LINEST VARS'!$T$54*(8)+'LINEST VARS'!$S$54*(8)+'LINEST VARS'!$R$54*($EN$32)+'LINEST VARS'!$Q$54*(0.5)+'LINEST VARS'!$P$54*($DV41)+'LINEST VARS'!$O$54*(8^2)+'LINEST VARS'!$N$54*(8^2)+'LINEST VARS'!$M$54*($EN$32^2)+'LINEST VARS'!$L$54*(0.5^2)+'LINEST VARS'!$K$54*($DV41^2)+'LINEST VARS'!$J$54*(8*8)+'LINEST VARS'!$I$54*(8*$EN$32)+'LINEST VARS'!$H$54*(8*0.5)+'LINEST VARS'!$G$54*(8*$DV41)+'LINEST VARS'!$F$54*(8*$EN$32)+'LINEST VARS'!$E$54*(8*0.5)+'LINEST VARS'!$D$54*(8*$DV41)+'LINEST VARS'!$C$54*($EN$32*0.5)+'LINEST VARS'!$B$54*($EN$32*$DV41)+'LINEST VARS'!$A$54*(0.5*$DV41)</f>
        <v>3.9749999999999996</v>
      </c>
      <c r="EO41" s="51">
        <f>'LINEST VARS'!$U$54+'LINEST VARS'!$T$54*(8)+'LINEST VARS'!$S$54*(8)+'LINEST VARS'!$R$54*($EO$32)+'LINEST VARS'!$Q$54*(0.5)+'LINEST VARS'!$P$54*($DV41)+'LINEST VARS'!$O$54*(8^2)+'LINEST VARS'!$N$54*(8^2)+'LINEST VARS'!$M$54*($EO$32^2)+'LINEST VARS'!$L$54*(0.5^2)+'LINEST VARS'!$K$54*($DV41^2)+'LINEST VARS'!$J$54*(8*8)+'LINEST VARS'!$I$54*(8*$EO$32)+'LINEST VARS'!$H$54*(8*0.5)+'LINEST VARS'!$G$54*(8*$DV41)+'LINEST VARS'!$F$54*(8*$EO$32)+'LINEST VARS'!$E$54*(8*0.5)+'LINEST VARS'!$D$54*(8*$DV41)+'LINEST VARS'!$C$54*($EO$32*0.5)+'LINEST VARS'!$B$54*($EO$32*$DV41)+'LINEST VARS'!$A$54*(0.5*$DV41)</f>
        <v>3.9749999999999996</v>
      </c>
      <c r="EP41" s="51">
        <f>'LINEST VARS'!$U$54+'LINEST VARS'!$T$54*(8)+'LINEST VARS'!$S$54*(8)+'LINEST VARS'!$R$54*($EP$32)+'LINEST VARS'!$Q$54*(0.5)+'LINEST VARS'!$P$54*($DV41)+'LINEST VARS'!$O$54*(8^2)+'LINEST VARS'!$N$54*(8^2)+'LINEST VARS'!$M$54*($EP$32^2)+'LINEST VARS'!$L$54*(0.5^2)+'LINEST VARS'!$K$54*($DV41^2)+'LINEST VARS'!$J$54*(8*8)+'LINEST VARS'!$I$54*(8*$EP$32)+'LINEST VARS'!$H$54*(8*0.5)+'LINEST VARS'!$G$54*(8*$DV41)+'LINEST VARS'!$F$54*(8*$EP$32)+'LINEST VARS'!$E$54*(8*0.5)+'LINEST VARS'!$D$54*(8*$DV41)+'LINEST VARS'!$C$54*($EP$32*0.5)+'LINEST VARS'!$B$54*($EP$32*$DV41)+'LINEST VARS'!$A$54*(0.5*$DV41)</f>
        <v>3.9749999999999996</v>
      </c>
      <c r="EQ41" s="52">
        <f>'LINEST VARS'!$U$54+'LINEST VARS'!$T$54*(8)+'LINEST VARS'!$S$54*(8)+'LINEST VARS'!$R$54*($EQ$32)+'LINEST VARS'!$Q$54*(0.5)+'LINEST VARS'!$P$54*($DV41)+'LINEST VARS'!$O$54*(8^2)+'LINEST VARS'!$N$54*(8^2)+'LINEST VARS'!$M$54*($EQ$32^2)+'LINEST VARS'!$L$54*(0.5^2)+'LINEST VARS'!$K$54*($DV41^2)+'LINEST VARS'!$J$54*(8*8)+'LINEST VARS'!$I$54*(8*$EQ$32)+'LINEST VARS'!$H$54*(8*0.5)+'LINEST VARS'!$G$54*(8*$DV41)+'LINEST VARS'!$F$54*(8*$EQ$32)+'LINEST VARS'!$E$54*(8*0.5)+'LINEST VARS'!$D$54*(8*$DV41)+'LINEST VARS'!$C$54*($EQ$32*0.5)+'LINEST VARS'!$B$54*($EQ$32*$DV41)+'LINEST VARS'!$A$54*(0.5*$DV41)</f>
        <v>3.9749999999999996</v>
      </c>
    </row>
    <row r="42" spans="2:147" ht="15" customHeight="1" x14ac:dyDescent="0.25">
      <c r="B42" s="45">
        <v>7.94</v>
      </c>
      <c r="C42" s="51">
        <f>'LINEST VARS'!$U$52+'LINEST VARS'!$T$52*($C$32)+'LINEST VARS'!$S$52*($B42)+'LINEST VARS'!$R$52*(4)+'LINEST VARS'!$Q$52*(0.5)+'LINEST VARS'!$P$52*(12.73)+'LINEST VARS'!$O$52*($C$32^2)+'LINEST VARS'!$N$52*($B42^2)+'LINEST VARS'!$M$52*(4^2)+'LINEST VARS'!$L$52*(0.5^2)+'LINEST VARS'!$K$52*(12.73^2)+'LINEST VARS'!$J$52*($C$32*$B42)+'LINEST VARS'!$I$52*($C$32*4)+'LINEST VARS'!$H$52*($C$32*0.5)+'LINEST VARS'!$G$52*($C$32*12.73)+'LINEST VARS'!$F$52*($B42*4)+'LINEST VARS'!$E$52*($B42*0.5)+'LINEST VARS'!$D$52*($B42*12.73)+'LINEST VARS'!$C$52*(4*0.5)+'LINEST VARS'!$B$52*(4*12.73)+'LINEST VARS'!$A$52*(0.5*12.73)</f>
        <v>4.4499999999999984</v>
      </c>
      <c r="D42" s="51">
        <f>'LINEST VARS'!$U$52+'LINEST VARS'!$T$52*($D$32)+'LINEST VARS'!$S$52*($B42)+'LINEST VARS'!$R$52*(4)+'LINEST VARS'!$Q$52*(0.5)+'LINEST VARS'!$P$52*(12.73)+'LINEST VARS'!$O$52*($D$32^2)+'LINEST VARS'!$N$52*($B42^2)+'LINEST VARS'!$M$52*(4^2)+'LINEST VARS'!$L$52*(0.5^2)+'LINEST VARS'!$K$52*(12.73^2)+'LINEST VARS'!$J$52*($D$32*$B42)+'LINEST VARS'!$I$52*($D$32*4)+'LINEST VARS'!$H$52*($D$32*0.5)+'LINEST VARS'!$G$52*($D$32*12.73)+'LINEST VARS'!$F$52*($B42*4)+'LINEST VARS'!$E$52*($B42*0.5)+'LINEST VARS'!$D$52*($B42*12.73)+'LINEST VARS'!$C$52*(4*0.5)+'LINEST VARS'!$B$52*(4*12.73)+'LINEST VARS'!$A$52*(0.5*12.73)</f>
        <v>4.4499999999999984</v>
      </c>
      <c r="E42" s="51">
        <f>'LINEST VARS'!$U$52+'LINEST VARS'!$T$52*($E$32)+'LINEST VARS'!$S$52*($B42)+'LINEST VARS'!$R$52*(4)+'LINEST VARS'!$Q$52*(0.5)+'LINEST VARS'!$P$52*(12.73)+'LINEST VARS'!$O$52*($E$32^2)+'LINEST VARS'!$N$52*($B42^2)+'LINEST VARS'!$M$52*(4^2)+'LINEST VARS'!$L$52*(0.5^2)+'LINEST VARS'!$K$52*(12.73^2)+'LINEST VARS'!$J$52*($E$32*$B42)+'LINEST VARS'!$I$52*($E$32*4)+'LINEST VARS'!$H$52*($E$32*0.5)+'LINEST VARS'!$G$52*($E$32*12.73)+'LINEST VARS'!$F$52*($B42*4)+'LINEST VARS'!$E$52*($B42*0.5)+'LINEST VARS'!$D$52*($B42*12.73)+'LINEST VARS'!$C$52*(4*0.5)+'LINEST VARS'!$B$52*(4*12.73)+'LINEST VARS'!$A$52*(0.5*12.73)</f>
        <v>4.4499999999999984</v>
      </c>
      <c r="F42" s="51">
        <f>'LINEST VARS'!$U$52+'LINEST VARS'!$T$52*($F$32)+'LINEST VARS'!$S$52*($B42)+'LINEST VARS'!$R$52*(4)+'LINEST VARS'!$Q$52*(0.5)+'LINEST VARS'!$P$52*(12.73)+'LINEST VARS'!$O$52*($F$32^2)+'LINEST VARS'!$N$52*($B42^2)+'LINEST VARS'!$M$52*(4^2)+'LINEST VARS'!$L$52*(0.5^2)+'LINEST VARS'!$K$52*(12.73^2)+'LINEST VARS'!$J$52*($F$32*$B42)+'LINEST VARS'!$I$52*($F$32*4)+'LINEST VARS'!$H$52*($F$32*0.5)+'LINEST VARS'!$G$52*($F$32*12.73)+'LINEST VARS'!$F$52*($B42*4)+'LINEST VARS'!$E$52*($B42*0.5)+'LINEST VARS'!$D$52*($B42*12.73)+'LINEST VARS'!$C$52*(4*0.5)+'LINEST VARS'!$B$52*(4*12.73)+'LINEST VARS'!$A$52*(0.5*12.73)</f>
        <v>4.4499999999999984</v>
      </c>
      <c r="G42" s="51">
        <f>'LINEST VARS'!$U$52+'LINEST VARS'!$T$52*($G$32)+'LINEST VARS'!$S$52*($B42)+'LINEST VARS'!$R$52*(4)+'LINEST VARS'!$Q$52*(0.5)+'LINEST VARS'!$P$52*(12.73)+'LINEST VARS'!$O$52*($G$32^2)+'LINEST VARS'!$N$52*($B42^2)+'LINEST VARS'!$M$52*(4^2)+'LINEST VARS'!$L$52*(0.5^2)+'LINEST VARS'!$K$52*(12.73^2)+'LINEST VARS'!$J$52*($G$32*$B42)+'LINEST VARS'!$I$52*($G$32*4)+'LINEST VARS'!$H$52*($G$32*0.5)+'LINEST VARS'!$G$52*($G$32*12.73)+'LINEST VARS'!$F$52*($B42*4)+'LINEST VARS'!$E$52*($B42*0.5)+'LINEST VARS'!$D$52*($B42*12.73)+'LINEST VARS'!$C$52*(4*0.5)+'LINEST VARS'!$B$52*(4*12.73)+'LINEST VARS'!$A$52*(0.5*12.73)</f>
        <v>4.4499999999999984</v>
      </c>
      <c r="H42" s="51">
        <f>'LINEST VARS'!$U$52+'LINEST VARS'!$T$52*($H$32)+'LINEST VARS'!$S$52*($B42)+'LINEST VARS'!$R$52*(4)+'LINEST VARS'!$Q$52*(0.5)+'LINEST VARS'!$P$52*(12.73)+'LINEST VARS'!$O$52*($H$32^2)+'LINEST VARS'!$N$52*($B42^2)+'LINEST VARS'!$M$52*(4^2)+'LINEST VARS'!$L$52*(0.5^2)+'LINEST VARS'!$K$52*(12.73^2)+'LINEST VARS'!$J$52*($H$32*$B42)+'LINEST VARS'!$I$52*($H$32*4)+'LINEST VARS'!$H$52*($H$32*0.5)+'LINEST VARS'!$G$52*($H$32*12.73)+'LINEST VARS'!$F$52*($B42*4)+'LINEST VARS'!$E$52*($B42*0.5)+'LINEST VARS'!$D$52*($B42*12.73)+'LINEST VARS'!$C$52*(4*0.5)+'LINEST VARS'!$B$52*(4*12.73)+'LINEST VARS'!$A$52*(0.5*12.73)</f>
        <v>4.4499999999999984</v>
      </c>
      <c r="I42" s="51">
        <f>'LINEST VARS'!$U$52+'LINEST VARS'!$T$52*($I$32)+'LINEST VARS'!$S$52*($B42)+'LINEST VARS'!$R$52*(4)+'LINEST VARS'!$Q$52*(0.5)+'LINEST VARS'!$P$52*(12.73)+'LINEST VARS'!$O$52*($I$32^2)+'LINEST VARS'!$N$52*($B42^2)+'LINEST VARS'!$M$52*(4^2)+'LINEST VARS'!$L$52*(0.5^2)+'LINEST VARS'!$K$52*(12.73^2)+'LINEST VARS'!$J$52*($I$32*$B42)+'LINEST VARS'!$I$52*($I$32*4)+'LINEST VARS'!$H$52*($I$32*0.5)+'LINEST VARS'!$G$52*($I$32*12.73)+'LINEST VARS'!$F$52*($B42*4)+'LINEST VARS'!$E$52*($B42*0.5)+'LINEST VARS'!$D$52*($B42*12.73)+'LINEST VARS'!$C$52*(4*0.5)+'LINEST VARS'!$B$52*(4*12.73)+'LINEST VARS'!$A$52*(0.5*12.73)</f>
        <v>4.4499999999999984</v>
      </c>
      <c r="J42" s="51">
        <f>'LINEST VARS'!$U$52+'LINEST VARS'!$T$52*($J$32)+'LINEST VARS'!$S$52*($B42)+'LINEST VARS'!$R$52*(4)+'LINEST VARS'!$Q$52*(0.5)+'LINEST VARS'!$P$52*(12.73)+'LINEST VARS'!$O$52*($J$32^2)+'LINEST VARS'!$N$52*($B42^2)+'LINEST VARS'!$M$52*(4^2)+'LINEST VARS'!$L$52*(0.5^2)+'LINEST VARS'!$K$52*(12.73^2)+'LINEST VARS'!$J$52*($J$32*$B42)+'LINEST VARS'!$I$52*($J$32*4)+'LINEST VARS'!$H$52*($J$32*0.5)+'LINEST VARS'!$G$52*($J$32*12.73)+'LINEST VARS'!$F$52*($B42*4)+'LINEST VARS'!$E$52*($B42*0.5)+'LINEST VARS'!$D$52*($B42*12.73)+'LINEST VARS'!$C$52*(4*0.5)+'LINEST VARS'!$B$52*(4*12.73)+'LINEST VARS'!$A$52*(0.5*12.73)</f>
        <v>4.4499999999999984</v>
      </c>
      <c r="K42" s="51">
        <f>'LINEST VARS'!$U$52+'LINEST VARS'!$T$52*($K$32)+'LINEST VARS'!$S$52*($B42)+'LINEST VARS'!$R$52*(4)+'LINEST VARS'!$Q$52*(0.5)+'LINEST VARS'!$P$52*(12.73)+'LINEST VARS'!$O$52*($K$32^2)+'LINEST VARS'!$N$52*($B42^2)+'LINEST VARS'!$M$52*(4^2)+'LINEST VARS'!$L$52*(0.5^2)+'LINEST VARS'!$K$52*(12.73^2)+'LINEST VARS'!$J$52*($K$32*$B42)+'LINEST VARS'!$I$52*($K$32*4)+'LINEST VARS'!$H$52*($K$32*0.5)+'LINEST VARS'!$G$52*($K$32*12.73)+'LINEST VARS'!$F$52*($B42*4)+'LINEST VARS'!$E$52*($B42*0.5)+'LINEST VARS'!$D$52*($B42*12.73)+'LINEST VARS'!$C$52*(4*0.5)+'LINEST VARS'!$B$52*(4*12.73)+'LINEST VARS'!$A$52*(0.5*12.73)</f>
        <v>4.4499999999999984</v>
      </c>
      <c r="L42" s="51">
        <f>'LINEST VARS'!$U$52+'LINEST VARS'!$T$52*($L$32)+'LINEST VARS'!$S$52*($B42)+'LINEST VARS'!$R$52*(4)+'LINEST VARS'!$Q$52*(0.5)+'LINEST VARS'!$P$52*(12.73)+'LINEST VARS'!$O$52*($L$32^2)+'LINEST VARS'!$N$52*($B42^2)+'LINEST VARS'!$M$52*(4^2)+'LINEST VARS'!$L$52*(0.5^2)+'LINEST VARS'!$K$52*(12.73^2)+'LINEST VARS'!$J$52*($L$32*$B42)+'LINEST VARS'!$I$52*($L$32*4)+'LINEST VARS'!$H$52*($L$32*0.5)+'LINEST VARS'!$G$52*($L$32*12.73)+'LINEST VARS'!$F$52*($B42*4)+'LINEST VARS'!$E$52*($B42*0.5)+'LINEST VARS'!$D$52*($B42*12.73)+'LINEST VARS'!$C$52*(4*0.5)+'LINEST VARS'!$B$52*(4*12.73)+'LINEST VARS'!$A$52*(0.5*12.73)</f>
        <v>4.4499999999999984</v>
      </c>
      <c r="M42" s="51">
        <f>'LINEST VARS'!$U$52+'LINEST VARS'!$T$52*($M$32)+'LINEST VARS'!$S$52*($B42)+'LINEST VARS'!$R$52*(4)+'LINEST VARS'!$Q$52*(0.5)+'LINEST VARS'!$P$52*(12.73)+'LINEST VARS'!$O$52*($M$32^2)+'LINEST VARS'!$N$52*($B42^2)+'LINEST VARS'!$M$52*(4^2)+'LINEST VARS'!$L$52*(0.5^2)+'LINEST VARS'!$K$52*(12.73^2)+'LINEST VARS'!$J$52*($M$32*$B42)+'LINEST VARS'!$I$52*($M$32*4)+'LINEST VARS'!$H$52*($M$32*0.5)+'LINEST VARS'!$G$52*($M$32*12.73)+'LINEST VARS'!$F$52*($B42*4)+'LINEST VARS'!$E$52*($B42*0.5)+'LINEST VARS'!$D$52*($B42*12.73)+'LINEST VARS'!$C$52*(4*0.5)+'LINEST VARS'!$B$52*(4*12.73)+'LINEST VARS'!$A$52*(0.5*12.73)</f>
        <v>4.4499999999999984</v>
      </c>
      <c r="N42" s="51">
        <f>'LINEST VARS'!$U$52+'LINEST VARS'!$T$52*($N$32)+'LINEST VARS'!$S$52*($B42)+'LINEST VARS'!$R$52*(4)+'LINEST VARS'!$Q$52*(0.5)+'LINEST VARS'!$P$52*(12.73)+'LINEST VARS'!$O$52*($N$32^2)+'LINEST VARS'!$N$52*($B42^2)+'LINEST VARS'!$M$52*(4^2)+'LINEST VARS'!$L$52*(0.5^2)+'LINEST VARS'!$K$52*(12.73^2)+'LINEST VARS'!$J$52*($N$32*$B42)+'LINEST VARS'!$I$52*($N$32*4)+'LINEST VARS'!$H$52*($N$32*0.5)+'LINEST VARS'!$G$52*($N$32*12.73)+'LINEST VARS'!$F$52*($B42*4)+'LINEST VARS'!$E$52*($B42*0.5)+'LINEST VARS'!$D$52*($B42*12.73)+'LINEST VARS'!$C$52*(4*0.5)+'LINEST VARS'!$B$52*(4*12.73)+'LINEST VARS'!$A$52*(0.5*12.73)</f>
        <v>4.4499999999999984</v>
      </c>
      <c r="O42" s="51">
        <f>'LINEST VARS'!$U$52+'LINEST VARS'!$T$52*($O$32)+'LINEST VARS'!$S$52*($B42)+'LINEST VARS'!$R$52*(4)+'LINEST VARS'!$Q$52*(0.5)+'LINEST VARS'!$P$52*(12.73)+'LINEST VARS'!$O$52*($O$32^2)+'LINEST VARS'!$N$52*($B42^2)+'LINEST VARS'!$M$52*(4^2)+'LINEST VARS'!$L$52*(0.5^2)+'LINEST VARS'!$K$52*(12.73^2)+'LINEST VARS'!$J$52*($O$32*$B42)+'LINEST VARS'!$I$52*($O$32*4)+'LINEST VARS'!$H$52*($O$32*0.5)+'LINEST VARS'!$G$52*($O$32*12.73)+'LINEST VARS'!$F$52*($B42*4)+'LINEST VARS'!$E$52*($B42*0.5)+'LINEST VARS'!$D$52*($B42*12.73)+'LINEST VARS'!$C$52*(4*0.5)+'LINEST VARS'!$B$52*(4*12.73)+'LINEST VARS'!$A$52*(0.5*12.73)</f>
        <v>4.4499999999999984</v>
      </c>
      <c r="P42" s="51">
        <f>'LINEST VARS'!$U$52+'LINEST VARS'!$T$52*($P$32)+'LINEST VARS'!$S$52*($B42)+'LINEST VARS'!$R$52*(4)+'LINEST VARS'!$Q$52*(0.5)+'LINEST VARS'!$P$52*(12.73)+'LINEST VARS'!$O$52*($P$32^2)+'LINEST VARS'!$N$52*($B42^2)+'LINEST VARS'!$M$52*(4^2)+'LINEST VARS'!$L$52*(0.5^2)+'LINEST VARS'!$K$52*(12.73^2)+'LINEST VARS'!$J$52*($P$32*$B42)+'LINEST VARS'!$I$52*($P$32*4)+'LINEST VARS'!$H$52*($P$32*0.5)+'LINEST VARS'!$G$52*($P$32*12.73)+'LINEST VARS'!$F$52*($B42*4)+'LINEST VARS'!$E$52*($B42*0.5)+'LINEST VARS'!$D$52*($B42*12.73)+'LINEST VARS'!$C$52*(4*0.5)+'LINEST VARS'!$B$52*(4*12.73)+'LINEST VARS'!$A$52*(0.5*12.73)</f>
        <v>4.4499999999999984</v>
      </c>
      <c r="Q42" s="51">
        <f>'LINEST VARS'!$U$52+'LINEST VARS'!$T$52*($Q$32)+'LINEST VARS'!$S$52*($B42)+'LINEST VARS'!$R$52*(4)+'LINEST VARS'!$Q$52*(0.5)+'LINEST VARS'!$P$52*(12.73)+'LINEST VARS'!$O$52*($Q$32^2)+'LINEST VARS'!$N$52*($B42^2)+'LINEST VARS'!$M$52*(4^2)+'LINEST VARS'!$L$52*(0.5^2)+'LINEST VARS'!$K$52*(12.73^2)+'LINEST VARS'!$J$52*($Q$32*$B42)+'LINEST VARS'!$I$52*($Q$32*4)+'LINEST VARS'!$H$52*($Q$32*0.5)+'LINEST VARS'!$G$52*($Q$32*12.73)+'LINEST VARS'!$F$52*($B42*4)+'LINEST VARS'!$E$52*($B42*0.5)+'LINEST VARS'!$D$52*($B42*12.73)+'LINEST VARS'!$C$52*(4*0.5)+'LINEST VARS'!$B$52*(4*12.73)+'LINEST VARS'!$A$52*(0.5*12.73)</f>
        <v>4.4499999999999984</v>
      </c>
      <c r="R42" s="51">
        <f>'LINEST VARS'!$U$52+'LINEST VARS'!$T$52*($R$32)+'LINEST VARS'!$S$52*($B42)+'LINEST VARS'!$R$52*(4)+'LINEST VARS'!$Q$52*(0.5)+'LINEST VARS'!$P$52*(12.73)+'LINEST VARS'!$O$52*($R$32^2)+'LINEST VARS'!$N$52*($B42^2)+'LINEST VARS'!$M$52*(4^2)+'LINEST VARS'!$L$52*(0.5^2)+'LINEST VARS'!$K$52*(12.73^2)+'LINEST VARS'!$J$52*($R$32*$B42)+'LINEST VARS'!$I$52*($R$32*4)+'LINEST VARS'!$H$52*($R$32*0.5)+'LINEST VARS'!$G$52*($R$32*12.73)+'LINEST VARS'!$F$52*($B42*4)+'LINEST VARS'!$E$52*($B42*0.5)+'LINEST VARS'!$D$52*($B42*12.73)+'LINEST VARS'!$C$52*(4*0.5)+'LINEST VARS'!$B$52*(4*12.73)+'LINEST VARS'!$A$52*(0.5*12.73)</f>
        <v>4.4499999999999984</v>
      </c>
      <c r="S42" s="51">
        <f>'LINEST VARS'!$U$52+'LINEST VARS'!$T$52*($S$32)+'LINEST VARS'!$S$52*($B42)+'LINEST VARS'!$R$52*(4)+'LINEST VARS'!$Q$52*(0.5)+'LINEST VARS'!$P$52*(12.73)+'LINEST VARS'!$O$52*($S$32^2)+'LINEST VARS'!$N$52*($B42^2)+'LINEST VARS'!$M$52*(4^2)+'LINEST VARS'!$L$52*(0.5^2)+'LINEST VARS'!$K$52*(12.73^2)+'LINEST VARS'!$J$52*($S$32*$B42)+'LINEST VARS'!$I$52*($S$32*4)+'LINEST VARS'!$H$52*($S$32*0.5)+'LINEST VARS'!$G$52*($S$32*12.73)+'LINEST VARS'!$F$52*($B42*4)+'LINEST VARS'!$E$52*($B42*0.5)+'LINEST VARS'!$D$52*($B42*12.73)+'LINEST VARS'!$C$52*(4*0.5)+'LINEST VARS'!$B$52*(4*12.73)+'LINEST VARS'!$A$52*(0.5*12.73)</f>
        <v>4.4499999999999984</v>
      </c>
      <c r="T42" s="51">
        <f>'LINEST VARS'!$U$52+'LINEST VARS'!$T$52*($T$32)+'LINEST VARS'!$S$52*($B42)+'LINEST VARS'!$R$52*(4)+'LINEST VARS'!$Q$52*(0.5)+'LINEST VARS'!$P$52*(12.73)+'LINEST VARS'!$O$52*($T$32^2)+'LINEST VARS'!$N$52*($B42^2)+'LINEST VARS'!$M$52*(4^2)+'LINEST VARS'!$L$52*(0.5^2)+'LINEST VARS'!$K$52*(12.73^2)+'LINEST VARS'!$J$52*($T$32*$B42)+'LINEST VARS'!$I$52*($T$32*4)+'LINEST VARS'!$H$52*($T$32*0.5)+'LINEST VARS'!$G$52*($T$32*12.73)+'LINEST VARS'!$F$52*($B42*4)+'LINEST VARS'!$E$52*($B42*0.5)+'LINEST VARS'!$D$52*($B42*12.73)+'LINEST VARS'!$C$52*(4*0.5)+'LINEST VARS'!$B$52*(4*12.73)+'LINEST VARS'!$A$52*(0.5*12.73)</f>
        <v>4.4499999999999984</v>
      </c>
      <c r="U42" s="51">
        <f>'LINEST VARS'!$U$52+'LINEST VARS'!$T$52*($U$32)+'LINEST VARS'!$S$52*($B42)+'LINEST VARS'!$R$52*(4)+'LINEST VARS'!$Q$52*(0.5)+'LINEST VARS'!$P$52*(12.73)+'LINEST VARS'!$O$52*($U$32^2)+'LINEST VARS'!$N$52*($B42^2)+'LINEST VARS'!$M$52*(4^2)+'LINEST VARS'!$L$52*(0.5^2)+'LINEST VARS'!$K$52*(12.73^2)+'LINEST VARS'!$J$52*($U$32*$B42)+'LINEST VARS'!$I$52*($U$32*4)+'LINEST VARS'!$H$52*($U$32*0.5)+'LINEST VARS'!$G$52*($U$32*12.73)+'LINEST VARS'!$F$52*($B42*4)+'LINEST VARS'!$E$52*($B42*0.5)+'LINEST VARS'!$D$52*($B42*12.73)+'LINEST VARS'!$C$52*(4*0.5)+'LINEST VARS'!$B$52*(4*12.73)+'LINEST VARS'!$A$52*(0.5*12.73)</f>
        <v>4.4499999999999984</v>
      </c>
      <c r="V42" s="51">
        <f>'LINEST VARS'!$U$52+'LINEST VARS'!$T$52*($V$32)+'LINEST VARS'!$S$52*($B42)+'LINEST VARS'!$R$52*(4)+'LINEST VARS'!$Q$52*(0.5)+'LINEST VARS'!$P$52*(12.73)+'LINEST VARS'!$O$52*($V$32^2)+'LINEST VARS'!$N$52*($B42^2)+'LINEST VARS'!$M$52*(4^2)+'LINEST VARS'!$L$52*(0.5^2)+'LINEST VARS'!$K$52*(12.73^2)+'LINEST VARS'!$J$52*($V$32*$B42)+'LINEST VARS'!$I$52*($V$32*4)+'LINEST VARS'!$H$52*($V$32*0.5)+'LINEST VARS'!$G$52*($V$32*12.73)+'LINEST VARS'!$F$52*($B42*4)+'LINEST VARS'!$E$52*($B42*0.5)+'LINEST VARS'!$D$52*($B42*12.73)+'LINEST VARS'!$C$52*(4*0.5)+'LINEST VARS'!$B$52*(4*12.73)+'LINEST VARS'!$A$52*(0.5*12.73)</f>
        <v>4.4499999999999993</v>
      </c>
      <c r="W42" s="52">
        <f>'LINEST VARS'!$U$52+'LINEST VARS'!$T$52*($W$32)+'LINEST VARS'!$S$52*($B42)+'LINEST VARS'!$R$52*(4)+'LINEST VARS'!$Q$52*(0.5)+'LINEST VARS'!$P$52*(12.73)+'LINEST VARS'!$O$52*($W$32^2)+'LINEST VARS'!$N$52*($B42^2)+'LINEST VARS'!$M$52*(4^2)+'LINEST VARS'!$L$52*(0.5^2)+'LINEST VARS'!$K$52*(12.73^2)+'LINEST VARS'!$J$52*($W$32*$B42)+'LINEST VARS'!$I$52*($W$32*4)+'LINEST VARS'!$H$52*($W$32*0.5)+'LINEST VARS'!$G$52*($W$32*12.73)+'LINEST VARS'!$F$52*($B42*4)+'LINEST VARS'!$E$52*($B42*0.5)+'LINEST VARS'!$D$52*($B42*12.73)+'LINEST VARS'!$C$52*(4*0.5)+'LINEST VARS'!$B$52*(4*12.73)+'LINEST VARS'!$A$52*(0.5*12.73)</f>
        <v>4.4499999999999993</v>
      </c>
      <c r="Z42" s="45">
        <v>7.94</v>
      </c>
      <c r="AA42" s="51">
        <f>'LINEST VARS'!$U$54+'LINEST VARS'!$T$54*($AA$32)+'LINEST VARS'!$S$54*($Z42)+'LINEST VARS'!$R$54*(4)+'LINEST VARS'!$Q$54*(0.5)+'LINEST VARS'!$P$54*(12.73)+'LINEST VARS'!$O$54*($AA$32^2)+'LINEST VARS'!$N$54*($Z42^2)+'LINEST VARS'!$M$54*(4^2)+'LINEST VARS'!$L$54*(0.5^2)+'LINEST VARS'!$K$54*(12.73^2)+'LINEST VARS'!$J$54*($AA$32*$Z42)+'LINEST VARS'!$I$54*($AA$32*4)+'LINEST VARS'!$H$54*($AA$32*0.5)+'LINEST VARS'!$G$54*($AA$32*12.73)+'LINEST VARS'!$F$54*($Z42*4)+'LINEST VARS'!$E$54*($Z42*0.5)+'LINEST VARS'!$D$54*($Z42*12.73)+'LINEST VARS'!$C$54*(4*0.5)+'LINEST VARS'!$B$54*(4*12.73)+'LINEST VARS'!$A$54*(0.5*12.73)</f>
        <v>3.9749999999999996</v>
      </c>
      <c r="AB42" s="51">
        <f>'LINEST VARS'!$U$54+'LINEST VARS'!$T$54*($AB$32)+'LINEST VARS'!$S$54*($Z42)+'LINEST VARS'!$R$54*(4)+'LINEST VARS'!$Q$54*(0.5)+'LINEST VARS'!$P$54*(12.73)+'LINEST VARS'!$O$54*($AB$32^2)+'LINEST VARS'!$N$54*($Z42^2)+'LINEST VARS'!$M$54*(4^2)+'LINEST VARS'!$L$54*(0.5^2)+'LINEST VARS'!$K$54*(12.73^2)+'LINEST VARS'!$J$54*($AB$32*$Z42)+'LINEST VARS'!$I$54*($AB$32*4)+'LINEST VARS'!$H$54*($AB$32*0.5)+'LINEST VARS'!$G$54*($AB$32*12.73)+'LINEST VARS'!$F$54*($Z42*4)+'LINEST VARS'!$E$54*($Z42*0.5)+'LINEST VARS'!$D$54*($Z42*12.73)+'LINEST VARS'!$C$54*(4*0.5)+'LINEST VARS'!$B$54*(4*12.73)+'LINEST VARS'!$A$54*(0.5*12.73)</f>
        <v>3.9749999999999996</v>
      </c>
      <c r="AC42" s="51">
        <f>'LINEST VARS'!$U$54+'LINEST VARS'!$T$54*($AC$32)+'LINEST VARS'!$S$54*($Z42)+'LINEST VARS'!$R$54*(4)+'LINEST VARS'!$Q$54*(0.5)+'LINEST VARS'!$P$54*(12.73)+'LINEST VARS'!$O$54*($AC$32^2)+'LINEST VARS'!$N$54*($Z42^2)+'LINEST VARS'!$M$54*(4^2)+'LINEST VARS'!$L$54*(0.5^2)+'LINEST VARS'!$K$54*(12.73^2)+'LINEST VARS'!$J$54*($AC$32*$Z42)+'LINEST VARS'!$I$54*($AC$32*4)+'LINEST VARS'!$H$54*($AC$32*0.5)+'LINEST VARS'!$G$54*($AC$32*12.73)+'LINEST VARS'!$F$54*($Z42*4)+'LINEST VARS'!$E$54*($Z42*0.5)+'LINEST VARS'!$D$54*($Z42*12.73)+'LINEST VARS'!$C$54*(4*0.5)+'LINEST VARS'!$B$54*(4*12.73)+'LINEST VARS'!$A$54*(0.5*12.73)</f>
        <v>3.9749999999999996</v>
      </c>
      <c r="AD42" s="51">
        <f>'LINEST VARS'!$U$54+'LINEST VARS'!$T$54*($AD$32)+'LINEST VARS'!$S$54*($Z42)+'LINEST VARS'!$R$54*(4)+'LINEST VARS'!$Q$54*(0.5)+'LINEST VARS'!$P$54*(12.73)+'LINEST VARS'!$O$54*($AD$32^2)+'LINEST VARS'!$N$54*($Z42^2)+'LINEST VARS'!$M$54*(4^2)+'LINEST VARS'!$L$54*(0.5^2)+'LINEST VARS'!$K$54*(12.73^2)+'LINEST VARS'!$J$54*($AD$32*$Z42)+'LINEST VARS'!$I$54*($AD$32*4)+'LINEST VARS'!$H$54*($AD$32*0.5)+'LINEST VARS'!$G$54*($AD$32*12.73)+'LINEST VARS'!$F$54*($Z42*4)+'LINEST VARS'!$E$54*($Z42*0.5)+'LINEST VARS'!$D$54*($Z42*12.73)+'LINEST VARS'!$C$54*(4*0.5)+'LINEST VARS'!$B$54*(4*12.73)+'LINEST VARS'!$A$54*(0.5*12.73)</f>
        <v>3.9749999999999996</v>
      </c>
      <c r="AE42" s="51">
        <f>'LINEST VARS'!$U$54+'LINEST VARS'!$T$54*($AE$32)+'LINEST VARS'!$S$54*($Z42)+'LINEST VARS'!$R$54*(4)+'LINEST VARS'!$Q$54*(0.5)+'LINEST VARS'!$P$54*(12.73)+'LINEST VARS'!$O$54*($AE$32^2)+'LINEST VARS'!$N$54*($Z42^2)+'LINEST VARS'!$M$54*(4^2)+'LINEST VARS'!$L$54*(0.5^2)+'LINEST VARS'!$K$54*(12.73^2)+'LINEST VARS'!$J$54*($AE$32*$Z42)+'LINEST VARS'!$I$54*($AE$32*4)+'LINEST VARS'!$H$54*($AE$32*0.5)+'LINEST VARS'!$G$54*($AE$32*12.73)+'LINEST VARS'!$F$54*($Z42*4)+'LINEST VARS'!$E$54*($Z42*0.5)+'LINEST VARS'!$D$54*($Z42*12.73)+'LINEST VARS'!$C$54*(4*0.5)+'LINEST VARS'!$B$54*(4*12.73)+'LINEST VARS'!$A$54*(0.5*12.73)</f>
        <v>3.9749999999999996</v>
      </c>
      <c r="AF42" s="51">
        <f>'LINEST VARS'!$U$54+'LINEST VARS'!$T$54*($AF$32)+'LINEST VARS'!$S$54*($Z42)+'LINEST VARS'!$R$54*(4)+'LINEST VARS'!$Q$54*(0.5)+'LINEST VARS'!$P$54*(12.73)+'LINEST VARS'!$O$54*($AF$32^2)+'LINEST VARS'!$N$54*($Z42^2)+'LINEST VARS'!$M$54*(4^2)+'LINEST VARS'!$L$54*(0.5^2)+'LINEST VARS'!$K$54*(12.73^2)+'LINEST VARS'!$J$54*($AF$32*$Z42)+'LINEST VARS'!$I$54*($AF$32*4)+'LINEST VARS'!$H$54*($AF$32*0.5)+'LINEST VARS'!$G$54*($AF$32*12.73)+'LINEST VARS'!$F$54*($Z42*4)+'LINEST VARS'!$E$54*($Z42*0.5)+'LINEST VARS'!$D$54*($Z42*12.73)+'LINEST VARS'!$C$54*(4*0.5)+'LINEST VARS'!$B$54*(4*12.73)+'LINEST VARS'!$A$54*(0.5*12.73)</f>
        <v>3.9749999999999996</v>
      </c>
      <c r="AG42" s="51">
        <f>'LINEST VARS'!$U$54+'LINEST VARS'!$T$54*($AG$32)+'LINEST VARS'!$S$54*($Z42)+'LINEST VARS'!$R$54*(4)+'LINEST VARS'!$Q$54*(0.5)+'LINEST VARS'!$P$54*(12.73)+'LINEST VARS'!$O$54*($AG$32^2)+'LINEST VARS'!$N$54*($Z42^2)+'LINEST VARS'!$M$54*(4^2)+'LINEST VARS'!$L$54*(0.5^2)+'LINEST VARS'!$K$54*(12.73^2)+'LINEST VARS'!$J$54*($AG$32*$Z42)+'LINEST VARS'!$I$54*($AG$32*4)+'LINEST VARS'!$H$54*($AG$32*0.5)+'LINEST VARS'!$G$54*($AG$32*12.73)+'LINEST VARS'!$F$54*($Z42*4)+'LINEST VARS'!$E$54*($Z42*0.5)+'LINEST VARS'!$D$54*($Z42*12.73)+'LINEST VARS'!$C$54*(4*0.5)+'LINEST VARS'!$B$54*(4*12.73)+'LINEST VARS'!$A$54*(0.5*12.73)</f>
        <v>3.9749999999999996</v>
      </c>
      <c r="AH42" s="51">
        <f>'LINEST VARS'!$U$54+'LINEST VARS'!$T$54*($AH$32)+'LINEST VARS'!$S$54*($Z42)+'LINEST VARS'!$R$54*(4)+'LINEST VARS'!$Q$54*(0.5)+'LINEST VARS'!$P$54*(12.73)+'LINEST VARS'!$O$54*($AH$32^2)+'LINEST VARS'!$N$54*($Z42^2)+'LINEST VARS'!$M$54*(4^2)+'LINEST VARS'!$L$54*(0.5^2)+'LINEST VARS'!$K$54*(12.73^2)+'LINEST VARS'!$J$54*($AH$32*$Z42)+'LINEST VARS'!$I$54*($AH$32*4)+'LINEST VARS'!$H$54*($AH$32*0.5)+'LINEST VARS'!$G$54*($AH$32*12.73)+'LINEST VARS'!$F$54*($Z42*4)+'LINEST VARS'!$E$54*($Z42*0.5)+'LINEST VARS'!$D$54*($Z42*12.73)+'LINEST VARS'!$C$54*(4*0.5)+'LINEST VARS'!$B$54*(4*12.73)+'LINEST VARS'!$A$54*(0.5*12.73)</f>
        <v>3.9749999999999996</v>
      </c>
      <c r="AI42" s="51">
        <f>'LINEST VARS'!$U$54+'LINEST VARS'!$T$54*($AI$32)+'LINEST VARS'!$S$54*($Z42)+'LINEST VARS'!$R$54*(4)+'LINEST VARS'!$Q$54*(0.5)+'LINEST VARS'!$P$54*(12.73)+'LINEST VARS'!$O$54*($AI$32^2)+'LINEST VARS'!$N$54*($Z42^2)+'LINEST VARS'!$M$54*(4^2)+'LINEST VARS'!$L$54*(0.5^2)+'LINEST VARS'!$K$54*(12.73^2)+'LINEST VARS'!$J$54*($AI$32*$Z42)+'LINEST VARS'!$I$54*($AI$32*4)+'LINEST VARS'!$H$54*($AI$32*0.5)+'LINEST VARS'!$G$54*($AI$32*12.73)+'LINEST VARS'!$F$54*($Z42*4)+'LINEST VARS'!$E$54*($Z42*0.5)+'LINEST VARS'!$D$54*($Z42*12.73)+'LINEST VARS'!$C$54*(4*0.5)+'LINEST VARS'!$B$54*(4*12.73)+'LINEST VARS'!$A$54*(0.5*12.73)</f>
        <v>3.9749999999999996</v>
      </c>
      <c r="AJ42" s="51">
        <f>'LINEST VARS'!$U$54+'LINEST VARS'!$T$54*($AJ$32)+'LINEST VARS'!$S$54*($Z42)+'LINEST VARS'!$R$54*(4)+'LINEST VARS'!$Q$54*(0.5)+'LINEST VARS'!$P$54*(12.73)+'LINEST VARS'!$O$54*($AJ$32^2)+'LINEST VARS'!$N$54*($Z42^2)+'LINEST VARS'!$M$54*(4^2)+'LINEST VARS'!$L$54*(0.5^2)+'LINEST VARS'!$K$54*(12.73^2)+'LINEST VARS'!$J$54*($AJ$32*$Z42)+'LINEST VARS'!$I$54*($AJ$32*4)+'LINEST VARS'!$H$54*($AJ$32*0.5)+'LINEST VARS'!$G$54*($AJ$32*12.73)+'LINEST VARS'!$F$54*($Z42*4)+'LINEST VARS'!$E$54*($Z42*0.5)+'LINEST VARS'!$D$54*($Z42*12.73)+'LINEST VARS'!$C$54*(4*0.5)+'LINEST VARS'!$B$54*(4*12.73)+'LINEST VARS'!$A$54*(0.5*12.73)</f>
        <v>3.9749999999999996</v>
      </c>
      <c r="AK42" s="51">
        <f>'LINEST VARS'!$U$54+'LINEST VARS'!$T$54*($AK$32)+'LINEST VARS'!$S$54*($Z42)+'LINEST VARS'!$R$54*(4)+'LINEST VARS'!$Q$54*(0.5)+'LINEST VARS'!$P$54*(12.73)+'LINEST VARS'!$O$54*($AK$32^2)+'LINEST VARS'!$N$54*($Z42^2)+'LINEST VARS'!$M$54*(4^2)+'LINEST VARS'!$L$54*(0.5^2)+'LINEST VARS'!$K$54*(12.73^2)+'LINEST VARS'!$J$54*($AK$32*$Z42)+'LINEST VARS'!$I$54*($AK$32*4)+'LINEST VARS'!$H$54*($AK$32*0.5)+'LINEST VARS'!$G$54*($AK$32*12.73)+'LINEST VARS'!$F$54*($Z42*4)+'LINEST VARS'!$E$54*($Z42*0.5)+'LINEST VARS'!$D$54*($Z42*12.73)+'LINEST VARS'!$C$54*(4*0.5)+'LINEST VARS'!$B$54*(4*12.73)+'LINEST VARS'!$A$54*(0.5*12.73)</f>
        <v>3.9749999999999996</v>
      </c>
      <c r="AL42" s="51">
        <f>'LINEST VARS'!$U$54+'LINEST VARS'!$T$54*($AL$32)+'LINEST VARS'!$S$54*($Z42)+'LINEST VARS'!$R$54*(4)+'LINEST VARS'!$Q$54*(0.5)+'LINEST VARS'!$P$54*(12.73)+'LINEST VARS'!$O$54*($AL$32^2)+'LINEST VARS'!$N$54*($Z42^2)+'LINEST VARS'!$M$54*(4^2)+'LINEST VARS'!$L$54*(0.5^2)+'LINEST VARS'!$K$54*(12.73^2)+'LINEST VARS'!$J$54*($AL$32*$Z42)+'LINEST VARS'!$I$54*($AL$32*4)+'LINEST VARS'!$H$54*($AL$32*0.5)+'LINEST VARS'!$G$54*($AL$32*12.73)+'LINEST VARS'!$F$54*($Z42*4)+'LINEST VARS'!$E$54*($Z42*0.5)+'LINEST VARS'!$D$54*($Z42*12.73)+'LINEST VARS'!$C$54*(4*0.5)+'LINEST VARS'!$B$54*(4*12.73)+'LINEST VARS'!$A$54*(0.5*12.73)</f>
        <v>3.9749999999999996</v>
      </c>
      <c r="AM42" s="51">
        <f>'LINEST VARS'!$U$54+'LINEST VARS'!$T$54*($AM$32)+'LINEST VARS'!$S$54*($Z42)+'LINEST VARS'!$R$54*(4)+'LINEST VARS'!$Q$54*(0.5)+'LINEST VARS'!$P$54*(12.73)+'LINEST VARS'!$O$54*($AM$32^2)+'LINEST VARS'!$N$54*($Z42^2)+'LINEST VARS'!$M$54*(4^2)+'LINEST VARS'!$L$54*(0.5^2)+'LINEST VARS'!$K$54*(12.73^2)+'LINEST VARS'!$J$54*($AM$32*$Z42)+'LINEST VARS'!$I$54*($AM$32*4)+'LINEST VARS'!$H$54*($AM$32*0.5)+'LINEST VARS'!$G$54*($AM$32*12.73)+'LINEST VARS'!$F$54*($Z42*4)+'LINEST VARS'!$E$54*($Z42*0.5)+'LINEST VARS'!$D$54*($Z42*12.73)+'LINEST VARS'!$C$54*(4*0.5)+'LINEST VARS'!$B$54*(4*12.73)+'LINEST VARS'!$A$54*(0.5*12.73)</f>
        <v>3.9749999999999996</v>
      </c>
      <c r="AN42" s="51">
        <f>'LINEST VARS'!$U$54+'LINEST VARS'!$T$54*($AN$32)+'LINEST VARS'!$S$54*($Z42)+'LINEST VARS'!$R$54*(4)+'LINEST VARS'!$Q$54*(0.5)+'LINEST VARS'!$P$54*(12.73)+'LINEST VARS'!$O$54*($AN$32^2)+'LINEST VARS'!$N$54*($Z42^2)+'LINEST VARS'!$M$54*(4^2)+'LINEST VARS'!$L$54*(0.5^2)+'LINEST VARS'!$K$54*(12.73^2)+'LINEST VARS'!$J$54*($AN$32*$Z42)+'LINEST VARS'!$I$54*($AN$32*4)+'LINEST VARS'!$H$54*($AN$32*0.5)+'LINEST VARS'!$G$54*($AN$32*12.73)+'LINEST VARS'!$F$54*($Z42*4)+'LINEST VARS'!$E$54*($Z42*0.5)+'LINEST VARS'!$D$54*($Z42*12.73)+'LINEST VARS'!$C$54*(4*0.5)+'LINEST VARS'!$B$54*(4*12.73)+'LINEST VARS'!$A$54*(0.5*12.73)</f>
        <v>3.9749999999999996</v>
      </c>
      <c r="AO42" s="51">
        <f>'LINEST VARS'!$U$54+'LINEST VARS'!$T$54*($AO$32)+'LINEST VARS'!$S$54*($Z42)+'LINEST VARS'!$R$54*(4)+'LINEST VARS'!$Q$54*(0.5)+'LINEST VARS'!$P$54*(12.73)+'LINEST VARS'!$O$54*($AO$32^2)+'LINEST VARS'!$N$54*($Z42^2)+'LINEST VARS'!$M$54*(4^2)+'LINEST VARS'!$L$54*(0.5^2)+'LINEST VARS'!$K$54*(12.73^2)+'LINEST VARS'!$J$54*($AO$32*$Z42)+'LINEST VARS'!$I$54*($AO$32*4)+'LINEST VARS'!$H$54*($AO$32*0.5)+'LINEST VARS'!$G$54*($AO$32*12.73)+'LINEST VARS'!$F$54*($Z42*4)+'LINEST VARS'!$E$54*($Z42*0.5)+'LINEST VARS'!$D$54*($Z42*12.73)+'LINEST VARS'!$C$54*(4*0.5)+'LINEST VARS'!$B$54*(4*12.73)+'LINEST VARS'!$A$54*(0.5*12.73)</f>
        <v>3.9749999999999996</v>
      </c>
      <c r="AP42" s="51">
        <f>'LINEST VARS'!$U$54+'LINEST VARS'!$T$54*($AP$32)+'LINEST VARS'!$S$54*($Z42)+'LINEST VARS'!$R$54*(4)+'LINEST VARS'!$Q$54*(0.5)+'LINEST VARS'!$P$54*(12.73)+'LINEST VARS'!$O$54*($AP$32^2)+'LINEST VARS'!$N$54*($Z42^2)+'LINEST VARS'!$M$54*(4^2)+'LINEST VARS'!$L$54*(0.5^2)+'LINEST VARS'!$K$54*(12.73^2)+'LINEST VARS'!$J$54*($AP$32*$Z42)+'LINEST VARS'!$I$54*($AP$32*4)+'LINEST VARS'!$H$54*($AP$32*0.5)+'LINEST VARS'!$G$54*($AP$32*12.73)+'LINEST VARS'!$F$54*($Z42*4)+'LINEST VARS'!$E$54*($Z42*0.5)+'LINEST VARS'!$D$54*($Z42*12.73)+'LINEST VARS'!$C$54*(4*0.5)+'LINEST VARS'!$B$54*(4*12.73)+'LINEST VARS'!$A$54*(0.5*12.73)</f>
        <v>3.9749999999999996</v>
      </c>
      <c r="AQ42" s="51">
        <f>'LINEST VARS'!$U$54+'LINEST VARS'!$T$54*($AQ$32)+'LINEST VARS'!$S$54*($Z42)+'LINEST VARS'!$R$54*(4)+'LINEST VARS'!$Q$54*(0.5)+'LINEST VARS'!$P$54*(12.73)+'LINEST VARS'!$O$54*($AQ$32^2)+'LINEST VARS'!$N$54*($Z42^2)+'LINEST VARS'!$M$54*(4^2)+'LINEST VARS'!$L$54*(0.5^2)+'LINEST VARS'!$K$54*(12.73^2)+'LINEST VARS'!$J$54*($AQ$32*$Z42)+'LINEST VARS'!$I$54*($AQ$32*4)+'LINEST VARS'!$H$54*($AQ$32*0.5)+'LINEST VARS'!$G$54*($AQ$32*12.73)+'LINEST VARS'!$F$54*($Z42*4)+'LINEST VARS'!$E$54*($Z42*0.5)+'LINEST VARS'!$D$54*($Z42*12.73)+'LINEST VARS'!$C$54*(4*0.5)+'LINEST VARS'!$B$54*(4*12.73)+'LINEST VARS'!$A$54*(0.5*12.73)</f>
        <v>3.9749999999999996</v>
      </c>
      <c r="AR42" s="51">
        <f>'LINEST VARS'!$U$54+'LINEST VARS'!$T$54*($AR$32)+'LINEST VARS'!$S$54*($Z42)+'LINEST VARS'!$R$54*(4)+'LINEST VARS'!$Q$54*(0.5)+'LINEST VARS'!$P$54*(12.73)+'LINEST VARS'!$O$54*($AR$32^2)+'LINEST VARS'!$N$54*($Z42^2)+'LINEST VARS'!$M$54*(4^2)+'LINEST VARS'!$L$54*(0.5^2)+'LINEST VARS'!$K$54*(12.73^2)+'LINEST VARS'!$J$54*($AR$32*$Z42)+'LINEST VARS'!$I$54*($AR$32*4)+'LINEST VARS'!$H$54*($AR$32*0.5)+'LINEST VARS'!$G$54*($AR$32*12.73)+'LINEST VARS'!$F$54*($Z42*4)+'LINEST VARS'!$E$54*($Z42*0.5)+'LINEST VARS'!$D$54*($Z42*12.73)+'LINEST VARS'!$C$54*(4*0.5)+'LINEST VARS'!$B$54*(4*12.73)+'LINEST VARS'!$A$54*(0.5*12.73)</f>
        <v>3.9749999999999996</v>
      </c>
      <c r="AS42" s="51">
        <f>'LINEST VARS'!$U$54+'LINEST VARS'!$T$54*($AS$32)+'LINEST VARS'!$S$54*($Z42)+'LINEST VARS'!$R$54*(4)+'LINEST VARS'!$Q$54*(0.5)+'LINEST VARS'!$P$54*(12.73)+'LINEST VARS'!$O$54*($AS$32^2)+'LINEST VARS'!$N$54*($Z42^2)+'LINEST VARS'!$M$54*(4^2)+'LINEST VARS'!$L$54*(0.5^2)+'LINEST VARS'!$K$54*(12.73^2)+'LINEST VARS'!$J$54*($AS$32*$Z42)+'LINEST VARS'!$I$54*($AS$32*4)+'LINEST VARS'!$H$54*($AS$32*0.5)+'LINEST VARS'!$G$54*($AS$32*12.73)+'LINEST VARS'!$F$54*($Z42*4)+'LINEST VARS'!$E$54*($Z42*0.5)+'LINEST VARS'!$D$54*($Z42*12.73)+'LINEST VARS'!$C$54*(4*0.5)+'LINEST VARS'!$B$54*(4*12.73)+'LINEST VARS'!$A$54*(0.5*12.73)</f>
        <v>3.9749999999999996</v>
      </c>
      <c r="AT42" s="51">
        <f>'LINEST VARS'!$U$54+'LINEST VARS'!$T$54*($AT$32)+'LINEST VARS'!$S$54*($Z42)+'LINEST VARS'!$R$54*(4)+'LINEST VARS'!$Q$54*(0.5)+'LINEST VARS'!$P$54*(12.73)+'LINEST VARS'!$O$54*($AT$32^2)+'LINEST VARS'!$N$54*($Z42^2)+'LINEST VARS'!$M$54*(4^2)+'LINEST VARS'!$L$54*(0.5^2)+'LINEST VARS'!$K$54*(12.73^2)+'LINEST VARS'!$J$54*($AT$32*$Z42)+'LINEST VARS'!$I$54*($AT$32*4)+'LINEST VARS'!$H$54*($AT$32*0.5)+'LINEST VARS'!$G$54*($AT$32*12.73)+'LINEST VARS'!$F$54*($Z42*4)+'LINEST VARS'!$E$54*($Z42*0.5)+'LINEST VARS'!$D$54*($Z42*12.73)+'LINEST VARS'!$C$54*(4*0.5)+'LINEST VARS'!$B$54*(4*12.73)+'LINEST VARS'!$A$54*(0.5*12.73)</f>
        <v>3.9750000000000001</v>
      </c>
      <c r="AU42" s="52">
        <f>'LINEST VARS'!$U$54+'LINEST VARS'!$T$54*($AU$32)+'LINEST VARS'!$S$54*($Z42)+'LINEST VARS'!$R$54*(4)+'LINEST VARS'!$Q$54*(0.5)+'LINEST VARS'!$P$54*(12.73)+'LINEST VARS'!$O$54*($AU$32^2)+'LINEST VARS'!$N$54*($Z42^2)+'LINEST VARS'!$M$54*(4^2)+'LINEST VARS'!$L$54*(0.5^2)+'LINEST VARS'!$K$54*(12.73^2)+'LINEST VARS'!$J$54*($AU$32*$Z42)+'LINEST VARS'!$I$54*($AU$32*4)+'LINEST VARS'!$H$54*($AU$32*0.5)+'LINEST VARS'!$G$54*($AU$32*12.73)+'LINEST VARS'!$F$54*($Z42*4)+'LINEST VARS'!$E$54*($Z42*0.5)+'LINEST VARS'!$D$54*($Z42*12.73)+'LINEST VARS'!$C$54*(4*0.5)+'LINEST VARS'!$B$54*(4*12.73)+'LINEST VARS'!$A$54*(0.5*12.73)</f>
        <v>3.9750000000000001</v>
      </c>
      <c r="AZ42" s="45">
        <v>0.45</v>
      </c>
      <c r="BA42" s="51">
        <f>'LINEST VARS'!$U$52+'LINEST VARS'!$T$52*(8)+'LINEST VARS'!$S$52*(8)+'LINEST VARS'!$R$52*($BA$32)+'LINEST VARS'!$Q$52*($AZ42)+'LINEST VARS'!$P$52*(12.73)+'LINEST VARS'!$O$52*(8^2)+'LINEST VARS'!$N$52*(8^2)+'LINEST VARS'!$M$52*($BA$32^2)+'LINEST VARS'!$L$52*($AZ42^2)+'LINEST VARS'!$K$52*(12.73^2)+'LINEST VARS'!$J$52*(8*8)+'LINEST VARS'!$I$52*(8*$BA$32)+'LINEST VARS'!$H$52*(8*$AZ42)+'LINEST VARS'!$G$52*(8*12.73)+'LINEST VARS'!$F$52*(8*$BA$32)+'LINEST VARS'!$E$52*(8*$AZ42)+'LINEST VARS'!$D$52*(8*12.73)+'LINEST VARS'!$C$52*($BA$32*$AZ42)+'LINEST VARS'!$B$52*($BA$32*12.73)+'LINEST VARS'!$A$52*($AZ42*12.73)</f>
        <v>4.4549999999999983</v>
      </c>
      <c r="BB42" s="51">
        <f>'LINEST VARS'!$U$52+'LINEST VARS'!$T$52*(8)+'LINEST VARS'!$S$52*(8)+'LINEST VARS'!$R$52*($BB$32)+'LINEST VARS'!$Q$52*($AZ42)+'LINEST VARS'!$P$52*(12.73)+'LINEST VARS'!$O$52*(8^2)+'LINEST VARS'!$N$52*(8^2)+'LINEST VARS'!$M$52*($BB$32^2)+'LINEST VARS'!$L$52*($AZ42^2)+'LINEST VARS'!$K$52*(12.73^2)+'LINEST VARS'!$J$52*(8*8)+'LINEST VARS'!$I$52*(8*$BB$32)+'LINEST VARS'!$H$52*(8*$AZ42)+'LINEST VARS'!$G$52*(8*12.73)+'LINEST VARS'!$F$52*(8*$BB$32)+'LINEST VARS'!$E$52*(8*$AZ42)+'LINEST VARS'!$D$52*(8*12.73)+'LINEST VARS'!$C$52*($BB$32*$AZ42)+'LINEST VARS'!$B$52*($BB$32*12.73)+'LINEST VARS'!$A$52*($AZ42*12.73)</f>
        <v>4.4549999999999983</v>
      </c>
      <c r="BC42" s="51">
        <f>'LINEST VARS'!$U$52+'LINEST VARS'!$T$52*(8)+'LINEST VARS'!$S$52*(8)+'LINEST VARS'!$R$52*($BC$32)+'LINEST VARS'!$Q$52*($AZ42)+'LINEST VARS'!$P$52*(12.73)+'LINEST VARS'!$O$52*(8^2)+'LINEST VARS'!$N$52*(8^2)+'LINEST VARS'!$M$52*($BC$32^2)+'LINEST VARS'!$L$52*($AZ42^2)+'LINEST VARS'!$K$52*(12.73^2)+'LINEST VARS'!$J$52*(8*8)+'LINEST VARS'!$I$52*(8*$BC$32)+'LINEST VARS'!$H$52*(8*$AZ42)+'LINEST VARS'!$G$52*(8*12.73)+'LINEST VARS'!$F$52*(8*$BC$32)+'LINEST VARS'!$E$52*(8*$AZ42)+'LINEST VARS'!$D$52*(8*12.73)+'LINEST VARS'!$C$52*($BC$32*$AZ42)+'LINEST VARS'!$B$52*($BC$32*12.73)+'LINEST VARS'!$A$52*($AZ42*12.73)</f>
        <v>4.4549999999999983</v>
      </c>
      <c r="BD42" s="51">
        <f>'LINEST VARS'!$U$52+'LINEST VARS'!$T$52*(8)+'LINEST VARS'!$S$52*(8)+'LINEST VARS'!$R$52*($BD$32)+'LINEST VARS'!$Q$52*($AZ42)+'LINEST VARS'!$P$52*(12.73)+'LINEST VARS'!$O$52*(8^2)+'LINEST VARS'!$N$52*(8^2)+'LINEST VARS'!$M$52*($BD$32^2)+'LINEST VARS'!$L$52*($AZ42^2)+'LINEST VARS'!$K$52*(12.73^2)+'LINEST VARS'!$J$52*(8*8)+'LINEST VARS'!$I$52*(8*$BD$32)+'LINEST VARS'!$H$52*(8*$AZ42)+'LINEST VARS'!$G$52*(8*12.73)+'LINEST VARS'!$F$52*(8*$BD$32)+'LINEST VARS'!$E$52*(8*$AZ42)+'LINEST VARS'!$D$52*(8*12.73)+'LINEST VARS'!$C$52*($BD$32*$AZ42)+'LINEST VARS'!$B$52*($BD$32*12.73)+'LINEST VARS'!$A$52*($AZ42*12.73)</f>
        <v>4.4549999999999983</v>
      </c>
      <c r="BE42" s="51">
        <f>'LINEST VARS'!$U$52+'LINEST VARS'!$T$52*(8)+'LINEST VARS'!$S$52*(8)+'LINEST VARS'!$R$52*($BE$32)+'LINEST VARS'!$Q$52*($AZ42)+'LINEST VARS'!$P$52*(12.73)+'LINEST VARS'!$O$52*(8^2)+'LINEST VARS'!$N$52*(8^2)+'LINEST VARS'!$M$52*($BE$32^2)+'LINEST VARS'!$L$52*($AZ42^2)+'LINEST VARS'!$K$52*(12.73^2)+'LINEST VARS'!$J$52*(8*8)+'LINEST VARS'!$I$52*(8*$BE$32)+'LINEST VARS'!$H$52*(8*$AZ42)+'LINEST VARS'!$G$52*(8*12.73)+'LINEST VARS'!$F$52*(8*$BE$32)+'LINEST VARS'!$E$52*(8*$AZ42)+'LINEST VARS'!$D$52*(8*12.73)+'LINEST VARS'!$C$52*($BE$32*$AZ42)+'LINEST VARS'!$B$52*($BE$32*12.73)+'LINEST VARS'!$A$52*($AZ42*12.73)</f>
        <v>4.4549999999999983</v>
      </c>
      <c r="BF42" s="51">
        <f>'LINEST VARS'!$U$52+'LINEST VARS'!$T$52*(8)+'LINEST VARS'!$S$52*(8)+'LINEST VARS'!$R$52*($BF$32)+'LINEST VARS'!$Q$52*($AZ42)+'LINEST VARS'!$P$52*(12.73)+'LINEST VARS'!$O$52*(8^2)+'LINEST VARS'!$N$52*(8^2)+'LINEST VARS'!$M$52*($BF$32^2)+'LINEST VARS'!$L$52*($AZ42^2)+'LINEST VARS'!$K$52*(12.73^2)+'LINEST VARS'!$J$52*(8*8)+'LINEST VARS'!$I$52*(8*$BF$32)+'LINEST VARS'!$H$52*(8*$AZ42)+'LINEST VARS'!$G$52*(8*12.73)+'LINEST VARS'!$F$52*(8*$BF$32)+'LINEST VARS'!$E$52*(8*$AZ42)+'LINEST VARS'!$D$52*(8*12.73)+'LINEST VARS'!$C$52*($BF$32*$AZ42)+'LINEST VARS'!$B$52*($BF$32*12.73)+'LINEST VARS'!$A$52*($AZ42*12.73)</f>
        <v>4.4549999999999983</v>
      </c>
      <c r="BG42" s="51">
        <f>'LINEST VARS'!$U$52+'LINEST VARS'!$T$52*(8)+'LINEST VARS'!$S$52*(8)+'LINEST VARS'!$R$52*($BG$32)+'LINEST VARS'!$Q$52*($AZ42)+'LINEST VARS'!$P$52*(12.73)+'LINEST VARS'!$O$52*(8^2)+'LINEST VARS'!$N$52*(8^2)+'LINEST VARS'!$M$52*($BG$32^2)+'LINEST VARS'!$L$52*($AZ42^2)+'LINEST VARS'!$K$52*(12.73^2)+'LINEST VARS'!$J$52*(8*8)+'LINEST VARS'!$I$52*(8*$BG$32)+'LINEST VARS'!$H$52*(8*$AZ42)+'LINEST VARS'!$G$52*(8*12.73)+'LINEST VARS'!$F$52*(8*$BG$32)+'LINEST VARS'!$E$52*(8*$AZ42)+'LINEST VARS'!$D$52*(8*12.73)+'LINEST VARS'!$C$52*($BG$32*$AZ42)+'LINEST VARS'!$B$52*($BG$32*12.73)+'LINEST VARS'!$A$52*($AZ42*12.73)</f>
        <v>4.4549999999999983</v>
      </c>
      <c r="BH42" s="51">
        <f>'LINEST VARS'!$U$52+'LINEST VARS'!$T$52*(8)+'LINEST VARS'!$S$52*(8)+'LINEST VARS'!$R$52*($BH$32)+'LINEST VARS'!$Q$52*($AZ42)+'LINEST VARS'!$P$52*(12.73)+'LINEST VARS'!$O$52*(8^2)+'LINEST VARS'!$N$52*(8^2)+'LINEST VARS'!$M$52*($BH$32^2)+'LINEST VARS'!$L$52*($AZ42^2)+'LINEST VARS'!$K$52*(12.73^2)+'LINEST VARS'!$J$52*(8*8)+'LINEST VARS'!$I$52*(8*$BH$32)+'LINEST VARS'!$H$52*(8*$AZ42)+'LINEST VARS'!$G$52*(8*12.73)+'LINEST VARS'!$F$52*(8*$BH$32)+'LINEST VARS'!$E$52*(8*$AZ42)+'LINEST VARS'!$D$52*(8*12.73)+'LINEST VARS'!$C$52*($BH$32*$AZ42)+'LINEST VARS'!$B$52*($BH$32*12.73)+'LINEST VARS'!$A$52*($AZ42*12.73)</f>
        <v>4.4549999999999983</v>
      </c>
      <c r="BI42" s="51">
        <f>'LINEST VARS'!$U$52+'LINEST VARS'!$T$52*(8)+'LINEST VARS'!$S$52*(8)+'LINEST VARS'!$R$52*($BI$32)+'LINEST VARS'!$Q$52*($AZ42)+'LINEST VARS'!$P$52*(12.73)+'LINEST VARS'!$O$52*(8^2)+'LINEST VARS'!$N$52*(8^2)+'LINEST VARS'!$M$52*($BI$32^2)+'LINEST VARS'!$L$52*($AZ42^2)+'LINEST VARS'!$K$52*(12.73^2)+'LINEST VARS'!$J$52*(8*8)+'LINEST VARS'!$I$52*(8*$BI$32)+'LINEST VARS'!$H$52*(8*$AZ42)+'LINEST VARS'!$G$52*(8*12.73)+'LINEST VARS'!$F$52*(8*$BI$32)+'LINEST VARS'!$E$52*(8*$AZ42)+'LINEST VARS'!$D$52*(8*12.73)+'LINEST VARS'!$C$52*($BI$32*$AZ42)+'LINEST VARS'!$B$52*($BI$32*12.73)+'LINEST VARS'!$A$52*($AZ42*12.73)</f>
        <v>4.4549999999999983</v>
      </c>
      <c r="BJ42" s="51">
        <f>'LINEST VARS'!$U$52+'LINEST VARS'!$T$52*(8)+'LINEST VARS'!$S$52*(8)+'LINEST VARS'!$R$52*($BJ$32)+'LINEST VARS'!$Q$52*($AZ42)+'LINEST VARS'!$P$52*(12.73)+'LINEST VARS'!$O$52*(8^2)+'LINEST VARS'!$N$52*(8^2)+'LINEST VARS'!$M$52*($BJ$32^2)+'LINEST VARS'!$L$52*($AZ42^2)+'LINEST VARS'!$K$52*(12.73^2)+'LINEST VARS'!$J$52*(8*8)+'LINEST VARS'!$I$52*(8*$BJ$32)+'LINEST VARS'!$H$52*(8*$AZ42)+'LINEST VARS'!$G$52*(8*12.73)+'LINEST VARS'!$F$52*(8*$BJ$32)+'LINEST VARS'!$E$52*(8*$AZ42)+'LINEST VARS'!$D$52*(8*12.73)+'LINEST VARS'!$C$52*($BJ$32*$AZ42)+'LINEST VARS'!$B$52*($BJ$32*12.73)+'LINEST VARS'!$A$52*($AZ42*12.73)</f>
        <v>4.4549999999999983</v>
      </c>
      <c r="BK42" s="51">
        <f>'LINEST VARS'!$U$52+'LINEST VARS'!$T$52*(8)+'LINEST VARS'!$S$52*(8)+'LINEST VARS'!$R$52*($BK$32)+'LINEST VARS'!$Q$52*($AZ42)+'LINEST VARS'!$P$52*(12.73)+'LINEST VARS'!$O$52*(8^2)+'LINEST VARS'!$N$52*(8^2)+'LINEST VARS'!$M$52*($BK$32^2)+'LINEST VARS'!$L$52*($AZ42^2)+'LINEST VARS'!$K$52*(12.73^2)+'LINEST VARS'!$J$52*(8*8)+'LINEST VARS'!$I$52*(8*$BK$32)+'LINEST VARS'!$H$52*(8*$AZ42)+'LINEST VARS'!$G$52*(8*12.73)+'LINEST VARS'!$F$52*(8*$BK$32)+'LINEST VARS'!$E$52*(8*$AZ42)+'LINEST VARS'!$D$52*(8*12.73)+'LINEST VARS'!$C$52*($BK$32*$AZ42)+'LINEST VARS'!$B$52*($BK$32*12.73)+'LINEST VARS'!$A$52*($AZ42*12.73)</f>
        <v>4.4549999999999983</v>
      </c>
      <c r="BL42" s="51">
        <f>'LINEST VARS'!$U$52+'LINEST VARS'!$T$52*(8)+'LINEST VARS'!$S$52*(8)+'LINEST VARS'!$R$52*($BL$32)+'LINEST VARS'!$Q$52*($AZ42)+'LINEST VARS'!$P$52*(12.73)+'LINEST VARS'!$O$52*(8^2)+'LINEST VARS'!$N$52*(8^2)+'LINEST VARS'!$M$52*($BL$32^2)+'LINEST VARS'!$L$52*($AZ42^2)+'LINEST VARS'!$K$52*(12.73^2)+'LINEST VARS'!$J$52*(8*8)+'LINEST VARS'!$I$52*(8*$BL$32)+'LINEST VARS'!$H$52*(8*$AZ42)+'LINEST VARS'!$G$52*(8*12.73)+'LINEST VARS'!$F$52*(8*$BL$32)+'LINEST VARS'!$E$52*(8*$AZ42)+'LINEST VARS'!$D$52*(8*12.73)+'LINEST VARS'!$C$52*($BL$32*$AZ42)+'LINEST VARS'!$B$52*($BL$32*12.73)+'LINEST VARS'!$A$52*($AZ42*12.73)</f>
        <v>4.4549999999999983</v>
      </c>
      <c r="BM42" s="51">
        <f>'LINEST VARS'!$U$52+'LINEST VARS'!$T$52*(8)+'LINEST VARS'!$S$52*(8)+'LINEST VARS'!$R$52*($BM$32)+'LINEST VARS'!$Q$52*($AZ42)+'LINEST VARS'!$P$52*(12.73)+'LINEST VARS'!$O$52*(8^2)+'LINEST VARS'!$N$52*(8^2)+'LINEST VARS'!$M$52*($BM$32^2)+'LINEST VARS'!$L$52*($AZ42^2)+'LINEST VARS'!$K$52*(12.73^2)+'LINEST VARS'!$J$52*(8*8)+'LINEST VARS'!$I$52*(8*$BM$32)+'LINEST VARS'!$H$52*(8*$AZ42)+'LINEST VARS'!$G$52*(8*12.73)+'LINEST VARS'!$F$52*(8*$BM$32)+'LINEST VARS'!$E$52*(8*$AZ42)+'LINEST VARS'!$D$52*(8*12.73)+'LINEST VARS'!$C$52*($BM$32*$AZ42)+'LINEST VARS'!$B$52*($BM$32*12.73)+'LINEST VARS'!$A$52*($AZ42*12.73)</f>
        <v>4.4549999999999983</v>
      </c>
      <c r="BN42" s="51">
        <f>'LINEST VARS'!$U$52+'LINEST VARS'!$T$52*(8)+'LINEST VARS'!$S$52*(8)+'LINEST VARS'!$R$52*($BN$32)+'LINEST VARS'!$Q$52*($AZ42)+'LINEST VARS'!$P$52*(12.73)+'LINEST VARS'!$O$52*(8^2)+'LINEST VARS'!$N$52*(8^2)+'LINEST VARS'!$M$52*($BN$32^2)+'LINEST VARS'!$L$52*($AZ42^2)+'LINEST VARS'!$K$52*(12.73^2)+'LINEST VARS'!$J$52*(8*8)+'LINEST VARS'!$I$52*(8*$BN$32)+'LINEST VARS'!$H$52*(8*$AZ42)+'LINEST VARS'!$G$52*(8*12.73)+'LINEST VARS'!$F$52*(8*$BN$32)+'LINEST VARS'!$E$52*(8*$AZ42)+'LINEST VARS'!$D$52*(8*12.73)+'LINEST VARS'!$C$52*($BN$32*$AZ42)+'LINEST VARS'!$B$52*($BN$32*12.73)+'LINEST VARS'!$A$52*($AZ42*12.73)</f>
        <v>4.4549999999999983</v>
      </c>
      <c r="BO42" s="51">
        <f>'LINEST VARS'!$U$52+'LINEST VARS'!$T$52*(8)+'LINEST VARS'!$S$52*(8)+'LINEST VARS'!$R$52*($BO$32)+'LINEST VARS'!$Q$52*($AZ42)+'LINEST VARS'!$P$52*(12.73)+'LINEST VARS'!$O$52*(8^2)+'LINEST VARS'!$N$52*(8^2)+'LINEST VARS'!$M$52*($BO$32^2)+'LINEST VARS'!$L$52*($AZ42^2)+'LINEST VARS'!$K$52*(12.73^2)+'LINEST VARS'!$J$52*(8*8)+'LINEST VARS'!$I$52*(8*$BO$32)+'LINEST VARS'!$H$52*(8*$AZ42)+'LINEST VARS'!$G$52*(8*12.73)+'LINEST VARS'!$F$52*(8*$BO$32)+'LINEST VARS'!$E$52*(8*$AZ42)+'LINEST VARS'!$D$52*(8*12.73)+'LINEST VARS'!$C$52*($BO$32*$AZ42)+'LINEST VARS'!$B$52*($BO$32*12.73)+'LINEST VARS'!$A$52*($AZ42*12.73)</f>
        <v>4.4549999999999983</v>
      </c>
      <c r="BP42" s="51">
        <f>'LINEST VARS'!$U$52+'LINEST VARS'!$T$52*(8)+'LINEST VARS'!$S$52*(8)+'LINEST VARS'!$R$52*($BP$32)+'LINEST VARS'!$Q$52*($AZ42)+'LINEST VARS'!$P$52*(12.73)+'LINEST VARS'!$O$52*(8^2)+'LINEST VARS'!$N$52*(8^2)+'LINEST VARS'!$M$52*($BP$32^2)+'LINEST VARS'!$L$52*($AZ42^2)+'LINEST VARS'!$K$52*(12.73^2)+'LINEST VARS'!$J$52*(8*8)+'LINEST VARS'!$I$52*(8*$BP$32)+'LINEST VARS'!$H$52*(8*$AZ42)+'LINEST VARS'!$G$52*(8*12.73)+'LINEST VARS'!$F$52*(8*$BP$32)+'LINEST VARS'!$E$52*(8*$AZ42)+'LINEST VARS'!$D$52*(8*12.73)+'LINEST VARS'!$C$52*($BP$32*$AZ42)+'LINEST VARS'!$B$52*($BP$32*12.73)+'LINEST VARS'!$A$52*($AZ42*12.73)</f>
        <v>4.4549999999999983</v>
      </c>
      <c r="BQ42" s="51">
        <f>'LINEST VARS'!$U$52+'LINEST VARS'!$T$52*(8)+'LINEST VARS'!$S$52*(8)+'LINEST VARS'!$R$52*($BQ$32)+'LINEST VARS'!$Q$52*($AZ42)+'LINEST VARS'!$P$52*(12.73)+'LINEST VARS'!$O$52*(8^2)+'LINEST VARS'!$N$52*(8^2)+'LINEST VARS'!$M$52*($BQ$32^2)+'LINEST VARS'!$L$52*($AZ42^2)+'LINEST VARS'!$K$52*(12.73^2)+'LINEST VARS'!$J$52*(8*8)+'LINEST VARS'!$I$52*(8*$BQ$32)+'LINEST VARS'!$H$52*(8*$AZ42)+'LINEST VARS'!$G$52*(8*12.73)+'LINEST VARS'!$F$52*(8*$BQ$32)+'LINEST VARS'!$E$52*(8*$AZ42)+'LINEST VARS'!$D$52*(8*12.73)+'LINEST VARS'!$C$52*($BQ$32*$AZ42)+'LINEST VARS'!$B$52*($BQ$32*12.73)+'LINEST VARS'!$A$52*($AZ42*12.73)</f>
        <v>4.4549999999999983</v>
      </c>
      <c r="BR42" s="51">
        <f>'LINEST VARS'!$U$52+'LINEST VARS'!$T$52*(8)+'LINEST VARS'!$S$52*(8)+'LINEST VARS'!$R$52*($BR$32)+'LINEST VARS'!$Q$52*($AZ42)+'LINEST VARS'!$P$52*(12.73)+'LINEST VARS'!$O$52*(8^2)+'LINEST VARS'!$N$52*(8^2)+'LINEST VARS'!$M$52*($BR$32^2)+'LINEST VARS'!$L$52*($AZ42^2)+'LINEST VARS'!$K$52*(12.73^2)+'LINEST VARS'!$J$52*(8*8)+'LINEST VARS'!$I$52*(8*$BR$32)+'LINEST VARS'!$H$52*(8*$AZ42)+'LINEST VARS'!$G$52*(8*12.73)+'LINEST VARS'!$F$52*(8*$BR$32)+'LINEST VARS'!$E$52*(8*$AZ42)+'LINEST VARS'!$D$52*(8*12.73)+'LINEST VARS'!$C$52*($BR$32*$AZ42)+'LINEST VARS'!$B$52*($BR$32*12.73)+'LINEST VARS'!$A$52*($AZ42*12.73)</f>
        <v>4.4549999999999983</v>
      </c>
      <c r="BS42" s="51">
        <f>'LINEST VARS'!$U$52+'LINEST VARS'!$T$52*(8)+'LINEST VARS'!$S$52*(8)+'LINEST VARS'!$R$52*($BS$32)+'LINEST VARS'!$Q$52*($AZ42)+'LINEST VARS'!$P$52*(12.73)+'LINEST VARS'!$O$52*(8^2)+'LINEST VARS'!$N$52*(8^2)+'LINEST VARS'!$M$52*($BS$32^2)+'LINEST VARS'!$L$52*($AZ42^2)+'LINEST VARS'!$K$52*(12.73^2)+'LINEST VARS'!$J$52*(8*8)+'LINEST VARS'!$I$52*(8*$BS$32)+'LINEST VARS'!$H$52*(8*$AZ42)+'LINEST VARS'!$G$52*(8*12.73)+'LINEST VARS'!$F$52*(8*$BS$32)+'LINEST VARS'!$E$52*(8*$AZ42)+'LINEST VARS'!$D$52*(8*12.73)+'LINEST VARS'!$C$52*($BS$32*$AZ42)+'LINEST VARS'!$B$52*($BS$32*12.73)+'LINEST VARS'!$A$52*($AZ42*12.73)</f>
        <v>4.4549999999999983</v>
      </c>
      <c r="BT42" s="51">
        <f>'LINEST VARS'!$U$52+'LINEST VARS'!$T$52*(8)+'LINEST VARS'!$S$52*(8)+'LINEST VARS'!$R$52*($BT$32)+'LINEST VARS'!$Q$52*($AZ42)+'LINEST VARS'!$P$52*(12.73)+'LINEST VARS'!$O$52*(8^2)+'LINEST VARS'!$N$52*(8^2)+'LINEST VARS'!$M$52*($BT$32^2)+'LINEST VARS'!$L$52*($AZ42^2)+'LINEST VARS'!$K$52*(12.73^2)+'LINEST VARS'!$J$52*(8*8)+'LINEST VARS'!$I$52*(8*$BT$32)+'LINEST VARS'!$H$52*(8*$AZ42)+'LINEST VARS'!$G$52*(8*12.73)+'LINEST VARS'!$F$52*(8*$BT$32)+'LINEST VARS'!$E$52*(8*$AZ42)+'LINEST VARS'!$D$52*(8*12.73)+'LINEST VARS'!$C$52*($BT$32*$AZ42)+'LINEST VARS'!$B$52*($BT$32*12.73)+'LINEST VARS'!$A$52*($AZ42*12.73)</f>
        <v>4.4549999999999983</v>
      </c>
      <c r="BU42" s="52">
        <f>'LINEST VARS'!$U$52+'LINEST VARS'!$T$52*(8)+'LINEST VARS'!$S$52*(8)+'LINEST VARS'!$R$52*($BU$32)+'LINEST VARS'!$Q$52*($AZ42)+'LINEST VARS'!$P$52*(12.73)+'LINEST VARS'!$O$52*(8^2)+'LINEST VARS'!$N$52*(8^2)+'LINEST VARS'!$M$52*($BU$32^2)+'LINEST VARS'!$L$52*($AZ42^2)+'LINEST VARS'!$K$52*(12.73^2)+'LINEST VARS'!$J$52*(8*8)+'LINEST VARS'!$I$52*(8*$BU$32)+'LINEST VARS'!$H$52*(8*$AZ42)+'LINEST VARS'!$G$52*(8*12.73)+'LINEST VARS'!$F$52*(8*$BU$32)+'LINEST VARS'!$E$52*(8*$AZ42)+'LINEST VARS'!$D$52*(8*12.73)+'LINEST VARS'!$C$52*($BU$32*$AZ42)+'LINEST VARS'!$B$52*($BU$32*12.73)+'LINEST VARS'!$A$52*($AZ42*12.73)</f>
        <v>4.4549999999999983</v>
      </c>
      <c r="BX42" s="45">
        <v>0.45</v>
      </c>
      <c r="BY42" s="51">
        <f>'LINEST VARS'!$U$54+'LINEST VARS'!$T$54*(8)+'LINEST VARS'!$S$54*(8)+'LINEST VARS'!$R$54*($BY$32)+'LINEST VARS'!$Q$54*($BX42)+'LINEST VARS'!$P$54*(12.73)+'LINEST VARS'!$O$54*(8^2)+'LINEST VARS'!$N$54*(8^2)+'LINEST VARS'!$M$54*($BY$32^2)+'LINEST VARS'!$L$54*($BX42^2)+'LINEST VARS'!$K$54*(12.73^2)+'LINEST VARS'!$J$54*(8*8)+'LINEST VARS'!$I$54*(8*$BY$32)+'LINEST VARS'!$H$54*(8*$BX42)+'LINEST VARS'!$G$54*(8*12.73)+'LINEST VARS'!$F$54*(8*$BY$32)+'LINEST VARS'!$E$54*(8*$BX42)+'LINEST VARS'!$D$54*(8*12.73)+'LINEST VARS'!$C$54*($BY$32*$BX42)+'LINEST VARS'!$B$54*($BY$32*12.73)+'LINEST VARS'!$A$54*($BX42*12.73)</f>
        <v>3.9774999999999996</v>
      </c>
      <c r="BZ42" s="51">
        <f>'LINEST VARS'!$U$54+'LINEST VARS'!$T$54*(8)+'LINEST VARS'!$S$54*(8)+'LINEST VARS'!$R$54*($BZ$32)+'LINEST VARS'!$Q$54*($BX42)+'LINEST VARS'!$P$54*(12.73)+'LINEST VARS'!$O$54*(8^2)+'LINEST VARS'!$N$54*(8^2)+'LINEST VARS'!$M$54*($BZ$32^2)+'LINEST VARS'!$L$54*($BX42^2)+'LINEST VARS'!$K$54*(12.73^2)+'LINEST VARS'!$J$54*(8*8)+'LINEST VARS'!$I$54*(8*$BZ$32)+'LINEST VARS'!$H$54*(8*$BX42)+'LINEST VARS'!$G$54*(8*12.73)+'LINEST VARS'!$F$54*(8*$BZ$32)+'LINEST VARS'!$E$54*(8*$BX42)+'LINEST VARS'!$D$54*(8*12.73)+'LINEST VARS'!$C$54*($BZ$32*$BX42)+'LINEST VARS'!$B$54*($BZ$32*12.73)+'LINEST VARS'!$A$54*($BX42*12.73)</f>
        <v>3.9774999999999996</v>
      </c>
      <c r="CA42" s="51">
        <f>'LINEST VARS'!$U$54+'LINEST VARS'!$T$54*(8)+'LINEST VARS'!$S$54*(8)+'LINEST VARS'!$R$54*($CA$32)+'LINEST VARS'!$Q$54*($BX42)+'LINEST VARS'!$P$54*(12.73)+'LINEST VARS'!$O$54*(8^2)+'LINEST VARS'!$N$54*(8^2)+'LINEST VARS'!$M$54*($CA$32^2)+'LINEST VARS'!$L$54*($BX42^2)+'LINEST VARS'!$K$54*(12.73^2)+'LINEST VARS'!$J$54*(8*8)+'LINEST VARS'!$I$54*(8*$CA$32)+'LINEST VARS'!$H$54*(8*$BX42)+'LINEST VARS'!$G$54*(8*12.73)+'LINEST VARS'!$F$54*(8*$CA$32)+'LINEST VARS'!$E$54*(8*$BX42)+'LINEST VARS'!$D$54*(8*12.73)+'LINEST VARS'!$C$54*($CA$32*$BX42)+'LINEST VARS'!$B$54*($CA$32*12.73)+'LINEST VARS'!$A$54*($BX42*12.73)</f>
        <v>3.9774999999999996</v>
      </c>
      <c r="CB42" s="51">
        <f>'LINEST VARS'!$U$54+'LINEST VARS'!$T$54*(8)+'LINEST VARS'!$S$54*(8)+'LINEST VARS'!$R$54*($CB$32)+'LINEST VARS'!$Q$54*($BX42)+'LINEST VARS'!$P$54*(12.73)+'LINEST VARS'!$O$54*(8^2)+'LINEST VARS'!$N$54*(8^2)+'LINEST VARS'!$M$54*($CB$32^2)+'LINEST VARS'!$L$54*($BX42^2)+'LINEST VARS'!$K$54*(12.73^2)+'LINEST VARS'!$J$54*(8*8)+'LINEST VARS'!$I$54*(8*$CB$32)+'LINEST VARS'!$H$54*(8*$BX42)+'LINEST VARS'!$G$54*(8*12.73)+'LINEST VARS'!$F$54*(8*$CB$32)+'LINEST VARS'!$E$54*(8*$BX42)+'LINEST VARS'!$D$54*(8*12.73)+'LINEST VARS'!$C$54*($CB$32*$BX42)+'LINEST VARS'!$B$54*($CB$32*12.73)+'LINEST VARS'!$A$54*($BX42*12.73)</f>
        <v>3.9774999999999996</v>
      </c>
      <c r="CC42" s="51">
        <f>'LINEST VARS'!$U$54+'LINEST VARS'!$T$54*(8)+'LINEST VARS'!$S$54*(8)+'LINEST VARS'!$R$54*($CC$32)+'LINEST VARS'!$Q$54*($BX42)+'LINEST VARS'!$P$54*(12.73)+'LINEST VARS'!$O$54*(8^2)+'LINEST VARS'!$N$54*(8^2)+'LINEST VARS'!$M$54*($CC$32^2)+'LINEST VARS'!$L$54*($BX42^2)+'LINEST VARS'!$K$54*(12.73^2)+'LINEST VARS'!$J$54*(8*8)+'LINEST VARS'!$I$54*(8*$CC$32)+'LINEST VARS'!$H$54*(8*$BX42)+'LINEST VARS'!$G$54*(8*12.73)+'LINEST VARS'!$F$54*(8*$CC$32)+'LINEST VARS'!$E$54*(8*$BX42)+'LINEST VARS'!$D$54*(8*12.73)+'LINEST VARS'!$C$54*($CC$32*$BX42)+'LINEST VARS'!$B$54*($CC$32*12.73)+'LINEST VARS'!$A$54*($BX42*12.73)</f>
        <v>3.9774999999999996</v>
      </c>
      <c r="CD42" s="51">
        <f>'LINEST VARS'!$U$54+'LINEST VARS'!$T$54*(8)+'LINEST VARS'!$S$54*(8)+'LINEST VARS'!$R$54*($CD$32)+'LINEST VARS'!$Q$54*($BX42)+'LINEST VARS'!$P$54*(12.73)+'LINEST VARS'!$O$54*(8^2)+'LINEST VARS'!$N$54*(8^2)+'LINEST VARS'!$M$54*($CD$32^2)+'LINEST VARS'!$L$54*($BX42^2)+'LINEST VARS'!$K$54*(12.73^2)+'LINEST VARS'!$J$54*(8*8)+'LINEST VARS'!$I$54*(8*$CD$32)+'LINEST VARS'!$H$54*(8*$BX42)+'LINEST VARS'!$G$54*(8*12.73)+'LINEST VARS'!$F$54*(8*$CD$32)+'LINEST VARS'!$E$54*(8*$BX42)+'LINEST VARS'!$D$54*(8*12.73)+'LINEST VARS'!$C$54*($CD$32*$BX42)+'LINEST VARS'!$B$54*($CD$32*12.73)+'LINEST VARS'!$A$54*($BX42*12.73)</f>
        <v>3.9774999999999996</v>
      </c>
      <c r="CE42" s="51">
        <f>'LINEST VARS'!$U$54+'LINEST VARS'!$T$54*(8)+'LINEST VARS'!$S$54*(8)+'LINEST VARS'!$R$54*($CE$32)+'LINEST VARS'!$Q$54*($BX42)+'LINEST VARS'!$P$54*(12.73)+'LINEST VARS'!$O$54*(8^2)+'LINEST VARS'!$N$54*(8^2)+'LINEST VARS'!$M$54*($CE$32^2)+'LINEST VARS'!$L$54*($BX42^2)+'LINEST VARS'!$K$54*(12.73^2)+'LINEST VARS'!$J$54*(8*8)+'LINEST VARS'!$I$54*(8*$CE$32)+'LINEST VARS'!$H$54*(8*$BX42)+'LINEST VARS'!$G$54*(8*12.73)+'LINEST VARS'!$F$54*(8*$CE$32)+'LINEST VARS'!$E$54*(8*$BX42)+'LINEST VARS'!$D$54*(8*12.73)+'LINEST VARS'!$C$54*($CE$32*$BX42)+'LINEST VARS'!$B$54*($CE$32*12.73)+'LINEST VARS'!$A$54*($BX42*12.73)</f>
        <v>3.9774999999999996</v>
      </c>
      <c r="CF42" s="51">
        <f>'LINEST VARS'!$U$54+'LINEST VARS'!$T$54*(8)+'LINEST VARS'!$S$54*(8)+'LINEST VARS'!$R$54*($CF$32)+'LINEST VARS'!$Q$54*($BX42)+'LINEST VARS'!$P$54*(12.73)+'LINEST VARS'!$O$54*(8^2)+'LINEST VARS'!$N$54*(8^2)+'LINEST VARS'!$M$54*($CF$32^2)+'LINEST VARS'!$L$54*($BX42^2)+'LINEST VARS'!$K$54*(12.73^2)+'LINEST VARS'!$J$54*(8*8)+'LINEST VARS'!$I$54*(8*$CF$32)+'LINEST VARS'!$H$54*(8*$BX42)+'LINEST VARS'!$G$54*(8*12.73)+'LINEST VARS'!$F$54*(8*$CF$32)+'LINEST VARS'!$E$54*(8*$BX42)+'LINEST VARS'!$D$54*(8*12.73)+'LINEST VARS'!$C$54*($CF$32*$BX42)+'LINEST VARS'!$B$54*($CF$32*12.73)+'LINEST VARS'!$A$54*($BX42*12.73)</f>
        <v>3.9774999999999996</v>
      </c>
      <c r="CG42" s="51">
        <f>'LINEST VARS'!$U$54+'LINEST VARS'!$T$54*(8)+'LINEST VARS'!$S$54*(8)+'LINEST VARS'!$R$54*($CG$32)+'LINEST VARS'!$Q$54*($BX42)+'LINEST VARS'!$P$54*(12.73)+'LINEST VARS'!$O$54*(8^2)+'LINEST VARS'!$N$54*(8^2)+'LINEST VARS'!$M$54*($CG$32^2)+'LINEST VARS'!$L$54*($BX42^2)+'LINEST VARS'!$K$54*(12.73^2)+'LINEST VARS'!$J$54*(8*8)+'LINEST VARS'!$I$54*(8*$CG$32)+'LINEST VARS'!$H$54*(8*$BX42)+'LINEST VARS'!$G$54*(8*12.73)+'LINEST VARS'!$F$54*(8*$CG$32)+'LINEST VARS'!$E$54*(8*$BX42)+'LINEST VARS'!$D$54*(8*12.73)+'LINEST VARS'!$C$54*($CG$32*$BX42)+'LINEST VARS'!$B$54*($CG$32*12.73)+'LINEST VARS'!$A$54*($BX42*12.73)</f>
        <v>3.9774999999999996</v>
      </c>
      <c r="CH42" s="51">
        <f>'LINEST VARS'!$U$54+'LINEST VARS'!$T$54*(8)+'LINEST VARS'!$S$54*(8)+'LINEST VARS'!$R$54*($CH$32)+'LINEST VARS'!$Q$54*($BX42)+'LINEST VARS'!$P$54*(12.73)+'LINEST VARS'!$O$54*(8^2)+'LINEST VARS'!$N$54*(8^2)+'LINEST VARS'!$M$54*($CH$32^2)+'LINEST VARS'!$L$54*($BX42^2)+'LINEST VARS'!$K$54*(12.73^2)+'LINEST VARS'!$J$54*(8*8)+'LINEST VARS'!$I$54*(8*$CH$32)+'LINEST VARS'!$H$54*(8*$BX42)+'LINEST VARS'!$G$54*(8*12.73)+'LINEST VARS'!$F$54*(8*$CH$32)+'LINEST VARS'!$E$54*(8*$BX42)+'LINEST VARS'!$D$54*(8*12.73)+'LINEST VARS'!$C$54*($CH$32*$BX42)+'LINEST VARS'!$B$54*($CH$32*12.73)+'LINEST VARS'!$A$54*($BX42*12.73)</f>
        <v>3.9774999999999996</v>
      </c>
      <c r="CI42" s="51">
        <f>'LINEST VARS'!$U$54+'LINEST VARS'!$T$54*(8)+'LINEST VARS'!$S$54*(8)+'LINEST VARS'!$R$54*($CI$32)+'LINEST VARS'!$Q$54*($BX42)+'LINEST VARS'!$P$54*(12.73)+'LINEST VARS'!$O$54*(8^2)+'LINEST VARS'!$N$54*(8^2)+'LINEST VARS'!$M$54*($CI$32^2)+'LINEST VARS'!$L$54*($BX42^2)+'LINEST VARS'!$K$54*(12.73^2)+'LINEST VARS'!$J$54*(8*8)+'LINEST VARS'!$I$54*(8*$CI$32)+'LINEST VARS'!$H$54*(8*$BX42)+'LINEST VARS'!$G$54*(8*12.73)+'LINEST VARS'!$F$54*(8*$CI$32)+'LINEST VARS'!$E$54*(8*$BX42)+'LINEST VARS'!$D$54*(8*12.73)+'LINEST VARS'!$C$54*($CI$32*$BX42)+'LINEST VARS'!$B$54*($CI$32*12.73)+'LINEST VARS'!$A$54*($BX42*12.73)</f>
        <v>3.9774999999999996</v>
      </c>
      <c r="CJ42" s="51">
        <f>'LINEST VARS'!$U$54+'LINEST VARS'!$T$54*(8)+'LINEST VARS'!$S$54*(8)+'LINEST VARS'!$R$54*($CJ$32)+'LINEST VARS'!$Q$54*($BX42)+'LINEST VARS'!$P$54*(12.73)+'LINEST VARS'!$O$54*(8^2)+'LINEST VARS'!$N$54*(8^2)+'LINEST VARS'!$M$54*($CJ$32^2)+'LINEST VARS'!$L$54*($BX42^2)+'LINEST VARS'!$K$54*(12.73^2)+'LINEST VARS'!$J$54*(8*8)+'LINEST VARS'!$I$54*(8*$CJ$32)+'LINEST VARS'!$H$54*(8*$BX42)+'LINEST VARS'!$G$54*(8*12.73)+'LINEST VARS'!$F$54*(8*$CJ$32)+'LINEST VARS'!$E$54*(8*$BX42)+'LINEST VARS'!$D$54*(8*12.73)+'LINEST VARS'!$C$54*($CJ$32*$BX42)+'LINEST VARS'!$B$54*($CJ$32*12.73)+'LINEST VARS'!$A$54*($BX42*12.73)</f>
        <v>3.9774999999999996</v>
      </c>
      <c r="CK42" s="51">
        <f>'LINEST VARS'!$U$54+'LINEST VARS'!$T$54*(8)+'LINEST VARS'!$S$54*(8)+'LINEST VARS'!$R$54*($CK$32)+'LINEST VARS'!$Q$54*($BX42)+'LINEST VARS'!$P$54*(12.73)+'LINEST VARS'!$O$54*(8^2)+'LINEST VARS'!$N$54*(8^2)+'LINEST VARS'!$M$54*($CK$32^2)+'LINEST VARS'!$L$54*($BX42^2)+'LINEST VARS'!$K$54*(12.73^2)+'LINEST VARS'!$J$54*(8*8)+'LINEST VARS'!$I$54*(8*$CK$32)+'LINEST VARS'!$H$54*(8*$BX42)+'LINEST VARS'!$G$54*(8*12.73)+'LINEST VARS'!$F$54*(8*$CK$32)+'LINEST VARS'!$E$54*(8*$BX42)+'LINEST VARS'!$D$54*(8*12.73)+'LINEST VARS'!$C$54*($CK$32*$BX42)+'LINEST VARS'!$B$54*($CK$32*12.73)+'LINEST VARS'!$A$54*($BX42*12.73)</f>
        <v>3.9774999999999996</v>
      </c>
      <c r="CL42" s="51">
        <f>'LINEST VARS'!$U$54+'LINEST VARS'!$T$54*(8)+'LINEST VARS'!$S$54*(8)+'LINEST VARS'!$R$54*($CL$32)+'LINEST VARS'!$Q$54*($BX42)+'LINEST VARS'!$P$54*(12.73)+'LINEST VARS'!$O$54*(8^2)+'LINEST VARS'!$N$54*(8^2)+'LINEST VARS'!$M$54*($CL$32^2)+'LINEST VARS'!$L$54*($BX42^2)+'LINEST VARS'!$K$54*(12.73^2)+'LINEST VARS'!$J$54*(8*8)+'LINEST VARS'!$I$54*(8*$CL$32)+'LINEST VARS'!$H$54*(8*$BX42)+'LINEST VARS'!$G$54*(8*12.73)+'LINEST VARS'!$F$54*(8*$CL$32)+'LINEST VARS'!$E$54*(8*$BX42)+'LINEST VARS'!$D$54*(8*12.73)+'LINEST VARS'!$C$54*($CL$32*$BX42)+'LINEST VARS'!$B$54*($CL$32*12.73)+'LINEST VARS'!$A$54*($BX42*12.73)</f>
        <v>3.9774999999999996</v>
      </c>
      <c r="CM42" s="51">
        <f>'LINEST VARS'!$U$54+'LINEST VARS'!$T$54*(8)+'LINEST VARS'!$S$54*(8)+'LINEST VARS'!$R$54*($CM$32)+'LINEST VARS'!$Q$54*($BX42)+'LINEST VARS'!$P$54*(12.73)+'LINEST VARS'!$O$54*(8^2)+'LINEST VARS'!$N$54*(8^2)+'LINEST VARS'!$M$54*($CM$32^2)+'LINEST VARS'!$L$54*($BX42^2)+'LINEST VARS'!$K$54*(12.73^2)+'LINEST VARS'!$J$54*(8*8)+'LINEST VARS'!$I$54*(8*$CM$32)+'LINEST VARS'!$H$54*(8*$BX42)+'LINEST VARS'!$G$54*(8*12.73)+'LINEST VARS'!$F$54*(8*$CM$32)+'LINEST VARS'!$E$54*(8*$BX42)+'LINEST VARS'!$D$54*(8*12.73)+'LINEST VARS'!$C$54*($CM$32*$BX42)+'LINEST VARS'!$B$54*($CM$32*12.73)+'LINEST VARS'!$A$54*($BX42*12.73)</f>
        <v>3.9774999999999996</v>
      </c>
      <c r="CN42" s="51">
        <f>'LINEST VARS'!$U$54+'LINEST VARS'!$T$54*(8)+'LINEST VARS'!$S$54*(8)+'LINEST VARS'!$R$54*($CN$32)+'LINEST VARS'!$Q$54*($BX42)+'LINEST VARS'!$P$54*(12.73)+'LINEST VARS'!$O$54*(8^2)+'LINEST VARS'!$N$54*(8^2)+'LINEST VARS'!$M$54*($CN$32^2)+'LINEST VARS'!$L$54*($BX42^2)+'LINEST VARS'!$K$54*(12.73^2)+'LINEST VARS'!$J$54*(8*8)+'LINEST VARS'!$I$54*(8*$CN$32)+'LINEST VARS'!$H$54*(8*$BX42)+'LINEST VARS'!$G$54*(8*12.73)+'LINEST VARS'!$F$54*(8*$CN$32)+'LINEST VARS'!$E$54*(8*$BX42)+'LINEST VARS'!$D$54*(8*12.73)+'LINEST VARS'!$C$54*($CN$32*$BX42)+'LINEST VARS'!$B$54*($CN$32*12.73)+'LINEST VARS'!$A$54*($BX42*12.73)</f>
        <v>3.9774999999999996</v>
      </c>
      <c r="CO42" s="51">
        <f>'LINEST VARS'!$U$54+'LINEST VARS'!$T$54*(8)+'LINEST VARS'!$S$54*(8)+'LINEST VARS'!$R$54*($CO$32)+'LINEST VARS'!$Q$54*($BX42)+'LINEST VARS'!$P$54*(12.73)+'LINEST VARS'!$O$54*(8^2)+'LINEST VARS'!$N$54*(8^2)+'LINEST VARS'!$M$54*($CO$32^2)+'LINEST VARS'!$L$54*($BX42^2)+'LINEST VARS'!$K$54*(12.73^2)+'LINEST VARS'!$J$54*(8*8)+'LINEST VARS'!$I$54*(8*$CO$32)+'LINEST VARS'!$H$54*(8*$BX42)+'LINEST VARS'!$G$54*(8*12.73)+'LINEST VARS'!$F$54*(8*$CO$32)+'LINEST VARS'!$E$54*(8*$BX42)+'LINEST VARS'!$D$54*(8*12.73)+'LINEST VARS'!$C$54*($CO$32*$BX42)+'LINEST VARS'!$B$54*($CO$32*12.73)+'LINEST VARS'!$A$54*($BX42*12.73)</f>
        <v>3.9774999999999996</v>
      </c>
      <c r="CP42" s="51">
        <f>'LINEST VARS'!$U$54+'LINEST VARS'!$T$54*(8)+'LINEST VARS'!$S$54*(8)+'LINEST VARS'!$R$54*($CP$32)+'LINEST VARS'!$Q$54*($BX42)+'LINEST VARS'!$P$54*(12.73)+'LINEST VARS'!$O$54*(8^2)+'LINEST VARS'!$N$54*(8^2)+'LINEST VARS'!$M$54*($CP$32^2)+'LINEST VARS'!$L$54*($BX42^2)+'LINEST VARS'!$K$54*(12.73^2)+'LINEST VARS'!$J$54*(8*8)+'LINEST VARS'!$I$54*(8*$CP$32)+'LINEST VARS'!$H$54*(8*$BX42)+'LINEST VARS'!$G$54*(8*12.73)+'LINEST VARS'!$F$54*(8*$CP$32)+'LINEST VARS'!$E$54*(8*$BX42)+'LINEST VARS'!$D$54*(8*12.73)+'LINEST VARS'!$C$54*($CP$32*$BX42)+'LINEST VARS'!$B$54*($CP$32*12.73)+'LINEST VARS'!$A$54*($BX42*12.73)</f>
        <v>3.9774999999999996</v>
      </c>
      <c r="CQ42" s="51">
        <f>'LINEST VARS'!$U$54+'LINEST VARS'!$T$54*(8)+'LINEST VARS'!$S$54*(8)+'LINEST VARS'!$R$54*($CQ$32)+'LINEST VARS'!$Q$54*($BX42)+'LINEST VARS'!$P$54*(12.73)+'LINEST VARS'!$O$54*(8^2)+'LINEST VARS'!$N$54*(8^2)+'LINEST VARS'!$M$54*($CQ$32^2)+'LINEST VARS'!$L$54*($BX42^2)+'LINEST VARS'!$K$54*(12.73^2)+'LINEST VARS'!$J$54*(8*8)+'LINEST VARS'!$I$54*(8*$CQ$32)+'LINEST VARS'!$H$54*(8*$BX42)+'LINEST VARS'!$G$54*(8*12.73)+'LINEST VARS'!$F$54*(8*$CQ$32)+'LINEST VARS'!$E$54*(8*$BX42)+'LINEST VARS'!$D$54*(8*12.73)+'LINEST VARS'!$C$54*($CQ$32*$BX42)+'LINEST VARS'!$B$54*($CQ$32*12.73)+'LINEST VARS'!$A$54*($BX42*12.73)</f>
        <v>3.9774999999999996</v>
      </c>
      <c r="CR42" s="51">
        <f>'LINEST VARS'!$U$54+'LINEST VARS'!$T$54*(8)+'LINEST VARS'!$S$54*(8)+'LINEST VARS'!$R$54*($CR$32)+'LINEST VARS'!$Q$54*($BX42)+'LINEST VARS'!$P$54*(12.73)+'LINEST VARS'!$O$54*(8^2)+'LINEST VARS'!$N$54*(8^2)+'LINEST VARS'!$M$54*($CR$32^2)+'LINEST VARS'!$L$54*($BX42^2)+'LINEST VARS'!$K$54*(12.73^2)+'LINEST VARS'!$J$54*(8*8)+'LINEST VARS'!$I$54*(8*$CR$32)+'LINEST VARS'!$H$54*(8*$BX42)+'LINEST VARS'!$G$54*(8*12.73)+'LINEST VARS'!$F$54*(8*$CR$32)+'LINEST VARS'!$E$54*(8*$BX42)+'LINEST VARS'!$D$54*(8*12.73)+'LINEST VARS'!$C$54*($CR$32*$BX42)+'LINEST VARS'!$B$54*($CR$32*12.73)+'LINEST VARS'!$A$54*($BX42*12.73)</f>
        <v>3.9774999999999996</v>
      </c>
      <c r="CS42" s="52">
        <f>'LINEST VARS'!$U$54+'LINEST VARS'!$T$54*(8)+'LINEST VARS'!$S$54*(8)+'LINEST VARS'!$R$54*($CS$32)+'LINEST VARS'!$Q$54*($BX42)+'LINEST VARS'!$P$54*(12.73)+'LINEST VARS'!$O$54*(8^2)+'LINEST VARS'!$N$54*(8^2)+'LINEST VARS'!$M$54*($CS$32^2)+'LINEST VARS'!$L$54*($BX42^2)+'LINEST VARS'!$K$54*(12.73^2)+'LINEST VARS'!$J$54*(8*8)+'LINEST VARS'!$I$54*(8*$CS$32)+'LINEST VARS'!$H$54*(8*$BX42)+'LINEST VARS'!$G$54*(8*12.73)+'LINEST VARS'!$F$54*(8*$CS$32)+'LINEST VARS'!$E$54*(8*$BX42)+'LINEST VARS'!$D$54*(8*12.73)+'LINEST VARS'!$C$54*($CS$32*$BX42)+'LINEST VARS'!$B$54*($CS$32*12.73)+'LINEST VARS'!$A$54*($BX42*12.73)</f>
        <v>3.9774999999999996</v>
      </c>
      <c r="CX42" s="45">
        <v>11.695499999999999</v>
      </c>
      <c r="CY42" s="51">
        <f>'LINEST VARS'!$U$52+'LINEST VARS'!$T$52*(8)+'LINEST VARS'!$S$52*(8)+'LINEST VARS'!$R$52*($CY$32)+'LINEST VARS'!$Q$52*(0.5)+'LINEST VARS'!$P$52*($CX42)+'LINEST VARS'!$O$52*(8^2)+'LINEST VARS'!$N$52*(8^2)+'LINEST VARS'!$M$52*($CY$32^2)+'LINEST VARS'!$L$52*(0.5^2)+'LINEST VARS'!$K$52*($CX42^2)+'LINEST VARS'!$J$52*(8*8)+'LINEST VARS'!$I$52*(8*$CY$32)+'LINEST VARS'!$H$52*(8*0.5)+'LINEST VARS'!$G$52*(8*$CX42)+'LINEST VARS'!$F$52*(8*$CY$32)+'LINEST VARS'!$E$52*(8*0.5)+'LINEST VARS'!$D$52*(8*$CX42)+'LINEST VARS'!$C$52*($CY$32*0.5)+'LINEST VARS'!$B$52*($CY$32*$CX42)+'LINEST VARS'!$A$52*(0.5*$CX42)</f>
        <v>4.4499999999999984</v>
      </c>
      <c r="CZ42" s="51">
        <f>'LINEST VARS'!$U$52+'LINEST VARS'!$T$52*(8)+'LINEST VARS'!$S$52*(8)+'LINEST VARS'!$R$52*($CZ$32)+'LINEST VARS'!$Q$52*(0.5)+'LINEST VARS'!$P$52*($CX42)+'LINEST VARS'!$O$52*(8^2)+'LINEST VARS'!$N$52*(8^2)+'LINEST VARS'!$M$52*($CZ$32^2)+'LINEST VARS'!$L$52*(0.5^2)+'LINEST VARS'!$K$52*($CX42^2)+'LINEST VARS'!$J$52*(8*8)+'LINEST VARS'!$I$52*(8*$CZ$32)+'LINEST VARS'!$H$52*(8*0.5)+'LINEST VARS'!$G$52*(8*$CX42)+'LINEST VARS'!$F$52*(8*$CZ$32)+'LINEST VARS'!$E$52*(8*0.5)+'LINEST VARS'!$D$52*(8*$CX42)+'LINEST VARS'!$C$52*($CZ$32*0.5)+'LINEST VARS'!$B$52*($CZ$32*$CX42)+'LINEST VARS'!$A$52*(0.5*$CX42)</f>
        <v>4.4499999999999984</v>
      </c>
      <c r="DA42" s="51">
        <f>'LINEST VARS'!$U$52+'LINEST VARS'!$T$52*(8)+'LINEST VARS'!$S$52*(8)+'LINEST VARS'!$R$52*($DA$32)+'LINEST VARS'!$Q$52*(0.5)+'LINEST VARS'!$P$52*($CX42)+'LINEST VARS'!$O$52*(8^2)+'LINEST VARS'!$N$52*(8^2)+'LINEST VARS'!$M$52*($DA$32^2)+'LINEST VARS'!$L$52*(0.5^2)+'LINEST VARS'!$K$52*($CX42^2)+'LINEST VARS'!$J$52*(8*8)+'LINEST VARS'!$I$52*(8*$DA$32)+'LINEST VARS'!$H$52*(8*0.5)+'LINEST VARS'!$G$52*(8*$CX42)+'LINEST VARS'!$F$52*(8*$DA$32)+'LINEST VARS'!$E$52*(8*0.5)+'LINEST VARS'!$D$52*(8*$CX42)+'LINEST VARS'!$C$52*($DA$32*0.5)+'LINEST VARS'!$B$52*($DA$32*$CX42)+'LINEST VARS'!$A$52*(0.5*$CX42)</f>
        <v>4.4499999999999984</v>
      </c>
      <c r="DB42" s="51">
        <f>'LINEST VARS'!$U$52+'LINEST VARS'!$T$52*(8)+'LINEST VARS'!$S$52*(8)+'LINEST VARS'!$R$52*($DB$32)+'LINEST VARS'!$Q$52*(0.5)+'LINEST VARS'!$P$52*($CX42)+'LINEST VARS'!$O$52*(8^2)+'LINEST VARS'!$N$52*(8^2)+'LINEST VARS'!$M$52*($DB$32^2)+'LINEST VARS'!$L$52*(0.5^2)+'LINEST VARS'!$K$52*($CX42^2)+'LINEST VARS'!$J$52*(8*8)+'LINEST VARS'!$I$52*(8*$DB$32)+'LINEST VARS'!$H$52*(8*0.5)+'LINEST VARS'!$G$52*(8*$CX42)+'LINEST VARS'!$F$52*(8*$DB$32)+'LINEST VARS'!$E$52*(8*0.5)+'LINEST VARS'!$D$52*(8*$CX42)+'LINEST VARS'!$C$52*($DB$32*0.5)+'LINEST VARS'!$B$52*($DB$32*$CX42)+'LINEST VARS'!$A$52*(0.5*$CX42)</f>
        <v>4.4499999999999984</v>
      </c>
      <c r="DC42" s="51">
        <f>'LINEST VARS'!$U$52+'LINEST VARS'!$T$52*(8)+'LINEST VARS'!$S$52*(8)+'LINEST VARS'!$R$52*($DC$32)+'LINEST VARS'!$Q$52*(0.5)+'LINEST VARS'!$P$52*($CX42)+'LINEST VARS'!$O$52*(8^2)+'LINEST VARS'!$N$52*(8^2)+'LINEST VARS'!$M$52*($DC$32^2)+'LINEST VARS'!$L$52*(0.5^2)+'LINEST VARS'!$K$52*($CX42^2)+'LINEST VARS'!$J$52*(8*8)+'LINEST VARS'!$I$52*(8*$DC$32)+'LINEST VARS'!$H$52*(8*0.5)+'LINEST VARS'!$G$52*(8*$CX42)+'LINEST VARS'!$F$52*(8*$DC$32)+'LINEST VARS'!$E$52*(8*0.5)+'LINEST VARS'!$D$52*(8*$CX42)+'LINEST VARS'!$C$52*($DC$32*0.5)+'LINEST VARS'!$B$52*($DC$32*$CX42)+'LINEST VARS'!$A$52*(0.5*$CX42)</f>
        <v>4.4499999999999984</v>
      </c>
      <c r="DD42" s="51">
        <f>'LINEST VARS'!$U$52+'LINEST VARS'!$T$52*(8)+'LINEST VARS'!$S$52*(8)+'LINEST VARS'!$R$52*($DD$32)+'LINEST VARS'!$Q$52*(0.5)+'LINEST VARS'!$P$52*($CX42)+'LINEST VARS'!$O$52*(8^2)+'LINEST VARS'!$N$52*(8^2)+'LINEST VARS'!$M$52*($DD$32^2)+'LINEST VARS'!$L$52*(0.5^2)+'LINEST VARS'!$K$52*($CX42^2)+'LINEST VARS'!$J$52*(8*8)+'LINEST VARS'!$I$52*(8*$DD$32)+'LINEST VARS'!$H$52*(8*0.5)+'LINEST VARS'!$G$52*(8*$CX42)+'LINEST VARS'!$F$52*(8*$DD$32)+'LINEST VARS'!$E$52*(8*0.5)+'LINEST VARS'!$D$52*(8*$CX42)+'LINEST VARS'!$C$52*($DD$32*0.5)+'LINEST VARS'!$B$52*($DD$32*$CX42)+'LINEST VARS'!$A$52*(0.5*$CX42)</f>
        <v>4.4499999999999984</v>
      </c>
      <c r="DE42" s="51">
        <f>'LINEST VARS'!$U$52+'LINEST VARS'!$T$52*(8)+'LINEST VARS'!$S$52*(8)+'LINEST VARS'!$R$52*($DE$32)+'LINEST VARS'!$Q$52*(0.5)+'LINEST VARS'!$P$52*($CX42)+'LINEST VARS'!$O$52*(8^2)+'LINEST VARS'!$N$52*(8^2)+'LINEST VARS'!$M$52*($DE$32^2)+'LINEST VARS'!$L$52*(0.5^2)+'LINEST VARS'!$K$52*($CX42^2)+'LINEST VARS'!$J$52*(8*8)+'LINEST VARS'!$I$52*(8*$DE$32)+'LINEST VARS'!$H$52*(8*0.5)+'LINEST VARS'!$G$52*(8*$CX42)+'LINEST VARS'!$F$52*(8*$DE$32)+'LINEST VARS'!$E$52*(8*0.5)+'LINEST VARS'!$D$52*(8*$CX42)+'LINEST VARS'!$C$52*($DE$32*0.5)+'LINEST VARS'!$B$52*($DE$32*$CX42)+'LINEST VARS'!$A$52*(0.5*$CX42)</f>
        <v>4.4499999999999984</v>
      </c>
      <c r="DF42" s="51">
        <f>'LINEST VARS'!$U$52+'LINEST VARS'!$T$52*(8)+'LINEST VARS'!$S$52*(8)+'LINEST VARS'!$R$52*($DF$32)+'LINEST VARS'!$Q$52*(0.5)+'LINEST VARS'!$P$52*($CX42)+'LINEST VARS'!$O$52*(8^2)+'LINEST VARS'!$N$52*(8^2)+'LINEST VARS'!$M$52*($DF$32^2)+'LINEST VARS'!$L$52*(0.5^2)+'LINEST VARS'!$K$52*($CX42^2)+'LINEST VARS'!$J$52*(8*8)+'LINEST VARS'!$I$52*(8*$DF$32)+'LINEST VARS'!$H$52*(8*0.5)+'LINEST VARS'!$G$52*(8*$CX42)+'LINEST VARS'!$F$52*(8*$DF$32)+'LINEST VARS'!$E$52*(8*0.5)+'LINEST VARS'!$D$52*(8*$CX42)+'LINEST VARS'!$C$52*($DF$32*0.5)+'LINEST VARS'!$B$52*($DF$32*$CX42)+'LINEST VARS'!$A$52*(0.5*$CX42)</f>
        <v>4.4499999999999984</v>
      </c>
      <c r="DG42" s="51">
        <f>'LINEST VARS'!$U$52+'LINEST VARS'!$T$52*(8)+'LINEST VARS'!$S$52*(8)+'LINEST VARS'!$R$52*($DG$32)+'LINEST VARS'!$Q$52*(0.5)+'LINEST VARS'!$P$52*($CX42)+'LINEST VARS'!$O$52*(8^2)+'LINEST VARS'!$N$52*(8^2)+'LINEST VARS'!$M$52*($DG$32^2)+'LINEST VARS'!$L$52*(0.5^2)+'LINEST VARS'!$K$52*($CX42^2)+'LINEST VARS'!$J$52*(8*8)+'LINEST VARS'!$I$52*(8*$DG$32)+'LINEST VARS'!$H$52*(8*0.5)+'LINEST VARS'!$G$52*(8*$CX42)+'LINEST VARS'!$F$52*(8*$DG$32)+'LINEST VARS'!$E$52*(8*0.5)+'LINEST VARS'!$D$52*(8*$CX42)+'LINEST VARS'!$C$52*($DG$32*0.5)+'LINEST VARS'!$B$52*($DG$32*$CX42)+'LINEST VARS'!$A$52*(0.5*$CX42)</f>
        <v>4.4499999999999984</v>
      </c>
      <c r="DH42" s="51">
        <f>'LINEST VARS'!$U$52+'LINEST VARS'!$T$52*(8)+'LINEST VARS'!$S$52*(8)+'LINEST VARS'!$R$52*($DH$32)+'LINEST VARS'!$Q$52*(0.5)+'LINEST VARS'!$P$52*($CX42)+'LINEST VARS'!$O$52*(8^2)+'LINEST VARS'!$N$52*(8^2)+'LINEST VARS'!$M$52*($DH$32^2)+'LINEST VARS'!$L$52*(0.5^2)+'LINEST VARS'!$K$52*($CX42^2)+'LINEST VARS'!$J$52*(8*8)+'LINEST VARS'!$I$52*(8*$DH$32)+'LINEST VARS'!$H$52*(8*0.5)+'LINEST VARS'!$G$52*(8*$CX42)+'LINEST VARS'!$F$52*(8*$DH$32)+'LINEST VARS'!$E$52*(8*0.5)+'LINEST VARS'!$D$52*(8*$CX42)+'LINEST VARS'!$C$52*($DH$32*0.5)+'LINEST VARS'!$B$52*($DH$32*$CX42)+'LINEST VARS'!$A$52*(0.5*$CX42)</f>
        <v>4.4499999999999984</v>
      </c>
      <c r="DI42" s="51">
        <f>'LINEST VARS'!$U$52+'LINEST VARS'!$T$52*(8)+'LINEST VARS'!$S$52*(8)+'LINEST VARS'!$R$52*($DI$32)+'LINEST VARS'!$Q$52*(0.5)+'LINEST VARS'!$P$52*($CX42)+'LINEST VARS'!$O$52*(8^2)+'LINEST VARS'!$N$52*(8^2)+'LINEST VARS'!$M$52*($DI$32^2)+'LINEST VARS'!$L$52*(0.5^2)+'LINEST VARS'!$K$52*($CX42^2)+'LINEST VARS'!$J$52*(8*8)+'LINEST VARS'!$I$52*(8*$DI$32)+'LINEST VARS'!$H$52*(8*0.5)+'LINEST VARS'!$G$52*(8*$CX42)+'LINEST VARS'!$F$52*(8*$DI$32)+'LINEST VARS'!$E$52*(8*0.5)+'LINEST VARS'!$D$52*(8*$CX42)+'LINEST VARS'!$C$52*($DI$32*0.5)+'LINEST VARS'!$B$52*($DI$32*$CX42)+'LINEST VARS'!$A$52*(0.5*$CX42)</f>
        <v>4.4499999999999984</v>
      </c>
      <c r="DJ42" s="51">
        <f>'LINEST VARS'!$U$52+'LINEST VARS'!$T$52*(8)+'LINEST VARS'!$S$52*(8)+'LINEST VARS'!$R$52*($DJ$32)+'LINEST VARS'!$Q$52*(0.5)+'LINEST VARS'!$P$52*($CX42)+'LINEST VARS'!$O$52*(8^2)+'LINEST VARS'!$N$52*(8^2)+'LINEST VARS'!$M$52*($DJ$32^2)+'LINEST VARS'!$L$52*(0.5^2)+'LINEST VARS'!$K$52*($CX42^2)+'LINEST VARS'!$J$52*(8*8)+'LINEST VARS'!$I$52*(8*$DJ$32)+'LINEST VARS'!$H$52*(8*0.5)+'LINEST VARS'!$G$52*(8*$CX42)+'LINEST VARS'!$F$52*(8*$DJ$32)+'LINEST VARS'!$E$52*(8*0.5)+'LINEST VARS'!$D$52*(8*$CX42)+'LINEST VARS'!$C$52*($DJ$32*0.5)+'LINEST VARS'!$B$52*($DJ$32*$CX42)+'LINEST VARS'!$A$52*(0.5*$CX42)</f>
        <v>4.4499999999999984</v>
      </c>
      <c r="DK42" s="51">
        <f>'LINEST VARS'!$U$52+'LINEST VARS'!$T$52*(8)+'LINEST VARS'!$S$52*(8)+'LINEST VARS'!$R$52*($DK$32)+'LINEST VARS'!$Q$52*(0.5)+'LINEST VARS'!$P$52*($CX42)+'LINEST VARS'!$O$52*(8^2)+'LINEST VARS'!$N$52*(8^2)+'LINEST VARS'!$M$52*($DK$32^2)+'LINEST VARS'!$L$52*(0.5^2)+'LINEST VARS'!$K$52*($CX42^2)+'LINEST VARS'!$J$52*(8*8)+'LINEST VARS'!$I$52*(8*$DK$32)+'LINEST VARS'!$H$52*(8*0.5)+'LINEST VARS'!$G$52*(8*$CX42)+'LINEST VARS'!$F$52*(8*$DK$32)+'LINEST VARS'!$E$52*(8*0.5)+'LINEST VARS'!$D$52*(8*$CX42)+'LINEST VARS'!$C$52*($DK$32*0.5)+'LINEST VARS'!$B$52*($DK$32*$CX42)+'LINEST VARS'!$A$52*(0.5*$CX42)</f>
        <v>4.4499999999999984</v>
      </c>
      <c r="DL42" s="51">
        <f>'LINEST VARS'!$U$52+'LINEST VARS'!$T$52*(8)+'LINEST VARS'!$S$52*(8)+'LINEST VARS'!$R$52*($DL$32)+'LINEST VARS'!$Q$52*(0.5)+'LINEST VARS'!$P$52*($CX42)+'LINEST VARS'!$O$52*(8^2)+'LINEST VARS'!$N$52*(8^2)+'LINEST VARS'!$M$52*($DL$32^2)+'LINEST VARS'!$L$52*(0.5^2)+'LINEST VARS'!$K$52*($CX42^2)+'LINEST VARS'!$J$52*(8*8)+'LINEST VARS'!$I$52*(8*$DL$32)+'LINEST VARS'!$H$52*(8*0.5)+'LINEST VARS'!$G$52*(8*$CX42)+'LINEST VARS'!$F$52*(8*$DL$32)+'LINEST VARS'!$E$52*(8*0.5)+'LINEST VARS'!$D$52*(8*$CX42)+'LINEST VARS'!$C$52*($DL$32*0.5)+'LINEST VARS'!$B$52*($DL$32*$CX42)+'LINEST VARS'!$A$52*(0.5*$CX42)</f>
        <v>4.4499999999999984</v>
      </c>
      <c r="DM42" s="51">
        <f>'LINEST VARS'!$U$52+'LINEST VARS'!$T$52*(8)+'LINEST VARS'!$S$52*(8)+'LINEST VARS'!$R$52*($DM$32)+'LINEST VARS'!$Q$52*(0.5)+'LINEST VARS'!$P$52*($CX42)+'LINEST VARS'!$O$52*(8^2)+'LINEST VARS'!$N$52*(8^2)+'LINEST VARS'!$M$52*($DM$32^2)+'LINEST VARS'!$L$52*(0.5^2)+'LINEST VARS'!$K$52*($CX42^2)+'LINEST VARS'!$J$52*(8*8)+'LINEST VARS'!$I$52*(8*$DM$32)+'LINEST VARS'!$H$52*(8*0.5)+'LINEST VARS'!$G$52*(8*$CX42)+'LINEST VARS'!$F$52*(8*$DM$32)+'LINEST VARS'!$E$52*(8*0.5)+'LINEST VARS'!$D$52*(8*$CX42)+'LINEST VARS'!$C$52*($DM$32*0.5)+'LINEST VARS'!$B$52*($DM$32*$CX42)+'LINEST VARS'!$A$52*(0.5*$CX42)</f>
        <v>4.4499999999999984</v>
      </c>
      <c r="DN42" s="51">
        <f>'LINEST VARS'!$U$52+'LINEST VARS'!$T$52*(8)+'LINEST VARS'!$S$52*(8)+'LINEST VARS'!$R$52*($DN$32)+'LINEST VARS'!$Q$52*(0.5)+'LINEST VARS'!$P$52*($CX42)+'LINEST VARS'!$O$52*(8^2)+'LINEST VARS'!$N$52*(8^2)+'LINEST VARS'!$M$52*($DN$32^2)+'LINEST VARS'!$L$52*(0.5^2)+'LINEST VARS'!$K$52*($CX42^2)+'LINEST VARS'!$J$52*(8*8)+'LINEST VARS'!$I$52*(8*$DN$32)+'LINEST VARS'!$H$52*(8*0.5)+'LINEST VARS'!$G$52*(8*$CX42)+'LINEST VARS'!$F$52*(8*$DN$32)+'LINEST VARS'!$E$52*(8*0.5)+'LINEST VARS'!$D$52*(8*$CX42)+'LINEST VARS'!$C$52*($DN$32*0.5)+'LINEST VARS'!$B$52*($DN$32*$CX42)+'LINEST VARS'!$A$52*(0.5*$CX42)</f>
        <v>4.4499999999999984</v>
      </c>
      <c r="DO42" s="51">
        <f>'LINEST VARS'!$U$52+'LINEST VARS'!$T$52*(8)+'LINEST VARS'!$S$52*(8)+'LINEST VARS'!$R$52*($DO$32)+'LINEST VARS'!$Q$52*(0.5)+'LINEST VARS'!$P$52*($CX42)+'LINEST VARS'!$O$52*(8^2)+'LINEST VARS'!$N$52*(8^2)+'LINEST VARS'!$M$52*($DO$32^2)+'LINEST VARS'!$L$52*(0.5^2)+'LINEST VARS'!$K$52*($CX42^2)+'LINEST VARS'!$J$52*(8*8)+'LINEST VARS'!$I$52*(8*$DO$32)+'LINEST VARS'!$H$52*(8*0.5)+'LINEST VARS'!$G$52*(8*$CX42)+'LINEST VARS'!$F$52*(8*$DO$32)+'LINEST VARS'!$E$52*(8*0.5)+'LINEST VARS'!$D$52*(8*$CX42)+'LINEST VARS'!$C$52*($DO$32*0.5)+'LINEST VARS'!$B$52*($DO$32*$CX42)+'LINEST VARS'!$A$52*(0.5*$CX42)</f>
        <v>4.4499999999999984</v>
      </c>
      <c r="DP42" s="51">
        <f>'LINEST VARS'!$U$52+'LINEST VARS'!$T$52*(8)+'LINEST VARS'!$S$52*(8)+'LINEST VARS'!$R$52*($DP$32)+'LINEST VARS'!$Q$52*(0.5)+'LINEST VARS'!$P$52*($CX42)+'LINEST VARS'!$O$52*(8^2)+'LINEST VARS'!$N$52*(8^2)+'LINEST VARS'!$M$52*($DP$32^2)+'LINEST VARS'!$L$52*(0.5^2)+'LINEST VARS'!$K$52*($CX42^2)+'LINEST VARS'!$J$52*(8*8)+'LINEST VARS'!$I$52*(8*$DP$32)+'LINEST VARS'!$H$52*(8*0.5)+'LINEST VARS'!$G$52*(8*$CX42)+'LINEST VARS'!$F$52*(8*$DP$32)+'LINEST VARS'!$E$52*(8*0.5)+'LINEST VARS'!$D$52*(8*$CX42)+'LINEST VARS'!$C$52*($DP$32*0.5)+'LINEST VARS'!$B$52*($DP$32*$CX42)+'LINEST VARS'!$A$52*(0.5*$CX42)</f>
        <v>4.4499999999999984</v>
      </c>
      <c r="DQ42" s="51">
        <f>'LINEST VARS'!$U$52+'LINEST VARS'!$T$52*(8)+'LINEST VARS'!$S$52*(8)+'LINEST VARS'!$R$52*($DQ$32)+'LINEST VARS'!$Q$52*(0.5)+'LINEST VARS'!$P$52*($CX42)+'LINEST VARS'!$O$52*(8^2)+'LINEST VARS'!$N$52*(8^2)+'LINEST VARS'!$M$52*($DQ$32^2)+'LINEST VARS'!$L$52*(0.5^2)+'LINEST VARS'!$K$52*($CX42^2)+'LINEST VARS'!$J$52*(8*8)+'LINEST VARS'!$I$52*(8*$DQ$32)+'LINEST VARS'!$H$52*(8*0.5)+'LINEST VARS'!$G$52*(8*$CX42)+'LINEST VARS'!$F$52*(8*$DQ$32)+'LINEST VARS'!$E$52*(8*0.5)+'LINEST VARS'!$D$52*(8*$CX42)+'LINEST VARS'!$C$52*($DQ$32*0.5)+'LINEST VARS'!$B$52*($DQ$32*$CX42)+'LINEST VARS'!$A$52*(0.5*$CX42)</f>
        <v>4.4499999999999984</v>
      </c>
      <c r="DR42" s="51">
        <f>'LINEST VARS'!$U$52+'LINEST VARS'!$T$52*(8)+'LINEST VARS'!$S$52*(8)+'LINEST VARS'!$R$52*($DR$32)+'LINEST VARS'!$Q$52*(0.5)+'LINEST VARS'!$P$52*($CX42)+'LINEST VARS'!$O$52*(8^2)+'LINEST VARS'!$N$52*(8^2)+'LINEST VARS'!$M$52*($DR$32^2)+'LINEST VARS'!$L$52*(0.5^2)+'LINEST VARS'!$K$52*($CX42^2)+'LINEST VARS'!$J$52*(8*8)+'LINEST VARS'!$I$52*(8*$DR$32)+'LINEST VARS'!$H$52*(8*0.5)+'LINEST VARS'!$G$52*(8*$CX42)+'LINEST VARS'!$F$52*(8*$DR$32)+'LINEST VARS'!$E$52*(8*0.5)+'LINEST VARS'!$D$52*(8*$CX42)+'LINEST VARS'!$C$52*($DR$32*0.5)+'LINEST VARS'!$B$52*($DR$32*$CX42)+'LINEST VARS'!$A$52*(0.5*$CX42)</f>
        <v>4.4499999999999984</v>
      </c>
      <c r="DS42" s="52">
        <f>'LINEST VARS'!$U$52+'LINEST VARS'!$T$52*(8)+'LINEST VARS'!$S$52*(8)+'LINEST VARS'!$R$52*($DS$32)+'LINEST VARS'!$Q$52*(0.5)+'LINEST VARS'!$P$52*($CX42)+'LINEST VARS'!$O$52*(8^2)+'LINEST VARS'!$N$52*(8^2)+'LINEST VARS'!$M$52*($DS$32^2)+'LINEST VARS'!$L$52*(0.5^2)+'LINEST VARS'!$K$52*($CX42^2)+'LINEST VARS'!$J$52*(8*8)+'LINEST VARS'!$I$52*(8*$DS$32)+'LINEST VARS'!$H$52*(8*0.5)+'LINEST VARS'!$G$52*(8*$CX42)+'LINEST VARS'!$F$52*(8*$DS$32)+'LINEST VARS'!$E$52*(8*0.5)+'LINEST VARS'!$D$52*(8*$CX42)+'LINEST VARS'!$C$52*($DS$32*0.5)+'LINEST VARS'!$B$52*($DS$32*$CX42)+'LINEST VARS'!$A$52*(0.5*$CX42)</f>
        <v>4.4499999999999984</v>
      </c>
      <c r="DV42" s="45">
        <v>11.695499999999999</v>
      </c>
      <c r="DW42" s="51">
        <f>'LINEST VARS'!$U$54+'LINEST VARS'!$T$54*(8)+'LINEST VARS'!$S$54*(8)+'LINEST VARS'!$R$54*($DW$32)+'LINEST VARS'!$Q$54*(0.5)+'LINEST VARS'!$P$54*($DV42)+'LINEST VARS'!$O$54*(8^2)+'LINEST VARS'!$N$54*(8^2)+'LINEST VARS'!$M$54*($DW$32^2)+'LINEST VARS'!$L$54*(0.5^2)+'LINEST VARS'!$K$54*($DV42^2)+'LINEST VARS'!$J$54*(8*8)+'LINEST VARS'!$I$54*(8*$DW$32)+'LINEST VARS'!$H$54*(8*0.5)+'LINEST VARS'!$G$54*(8*$DV42)+'LINEST VARS'!$F$54*(8*$DW$32)+'LINEST VARS'!$E$54*(8*0.5)+'LINEST VARS'!$D$54*(8*$DV42)+'LINEST VARS'!$C$54*($DW$32*0.5)+'LINEST VARS'!$B$54*($DW$32*$DV42)+'LINEST VARS'!$A$54*(0.5*$DV42)</f>
        <v>3.9749999999999996</v>
      </c>
      <c r="DX42" s="51">
        <f>'LINEST VARS'!$U$54+'LINEST VARS'!$T$54*(8)+'LINEST VARS'!$S$54*(8)+'LINEST VARS'!$R$54*($DX$32)+'LINEST VARS'!$Q$54*(0.5)+'LINEST VARS'!$P$54*($DV42)+'LINEST VARS'!$O$54*(8^2)+'LINEST VARS'!$N$54*(8^2)+'LINEST VARS'!$M$54*($DX$32^2)+'LINEST VARS'!$L$54*(0.5^2)+'LINEST VARS'!$K$54*($DV42^2)+'LINEST VARS'!$J$54*(8*8)+'LINEST VARS'!$I$54*(8*$DX$32)+'LINEST VARS'!$H$54*(8*0.5)+'LINEST VARS'!$G$54*(8*$DV42)+'LINEST VARS'!$F$54*(8*$DX$32)+'LINEST VARS'!$E$54*(8*0.5)+'LINEST VARS'!$D$54*(8*$DV42)+'LINEST VARS'!$C$54*($DX$32*0.5)+'LINEST VARS'!$B$54*($DX$32*$DV42)+'LINEST VARS'!$A$54*(0.5*$DV42)</f>
        <v>3.9749999999999996</v>
      </c>
      <c r="DY42" s="51">
        <f>'LINEST VARS'!$U$54+'LINEST VARS'!$T$54*(8)+'LINEST VARS'!$S$54*(8)+'LINEST VARS'!$R$54*($DY$32)+'LINEST VARS'!$Q$54*(0.5)+'LINEST VARS'!$P$54*($DV42)+'LINEST VARS'!$O$54*(8^2)+'LINEST VARS'!$N$54*(8^2)+'LINEST VARS'!$M$54*($DY$32^2)+'LINEST VARS'!$L$54*(0.5^2)+'LINEST VARS'!$K$54*($DV42^2)+'LINEST VARS'!$J$54*(8*8)+'LINEST VARS'!$I$54*(8*$DY$32)+'LINEST VARS'!$H$54*(8*0.5)+'LINEST VARS'!$G$54*(8*$DV42)+'LINEST VARS'!$F$54*(8*$DY$32)+'LINEST VARS'!$E$54*(8*0.5)+'LINEST VARS'!$D$54*(8*$DV42)+'LINEST VARS'!$C$54*($DY$32*0.5)+'LINEST VARS'!$B$54*($DY$32*$DV42)+'LINEST VARS'!$A$54*(0.5*$DV42)</f>
        <v>3.9749999999999996</v>
      </c>
      <c r="DZ42" s="51">
        <f>'LINEST VARS'!$U$54+'LINEST VARS'!$T$54*(8)+'LINEST VARS'!$S$54*(8)+'LINEST VARS'!$R$54*($DZ$32)+'LINEST VARS'!$Q$54*(0.5)+'LINEST VARS'!$P$54*($DV42)+'LINEST VARS'!$O$54*(8^2)+'LINEST VARS'!$N$54*(8^2)+'LINEST VARS'!$M$54*($DZ$32^2)+'LINEST VARS'!$L$54*(0.5^2)+'LINEST VARS'!$K$54*($DV42^2)+'LINEST VARS'!$J$54*(8*8)+'LINEST VARS'!$I$54*(8*$DZ$32)+'LINEST VARS'!$H$54*(8*0.5)+'LINEST VARS'!$G$54*(8*$DV42)+'LINEST VARS'!$F$54*(8*$DZ$32)+'LINEST VARS'!$E$54*(8*0.5)+'LINEST VARS'!$D$54*(8*$DV42)+'LINEST VARS'!$C$54*($DZ$32*0.5)+'LINEST VARS'!$B$54*($DZ$32*$DV42)+'LINEST VARS'!$A$54*(0.5*$DV42)</f>
        <v>3.9749999999999996</v>
      </c>
      <c r="EA42" s="51">
        <f>'LINEST VARS'!$U$54+'LINEST VARS'!$T$54*(8)+'LINEST VARS'!$S$54*(8)+'LINEST VARS'!$R$54*($EA$32)+'LINEST VARS'!$Q$54*(0.5)+'LINEST VARS'!$P$54*($DV42)+'LINEST VARS'!$O$54*(8^2)+'LINEST VARS'!$N$54*(8^2)+'LINEST VARS'!$M$54*($EA$32^2)+'LINEST VARS'!$L$54*(0.5^2)+'LINEST VARS'!$K$54*($DV42^2)+'LINEST VARS'!$J$54*(8*8)+'LINEST VARS'!$I$54*(8*$EA$32)+'LINEST VARS'!$H$54*(8*0.5)+'LINEST VARS'!$G$54*(8*$DV42)+'LINEST VARS'!$F$54*(8*$EA$32)+'LINEST VARS'!$E$54*(8*0.5)+'LINEST VARS'!$D$54*(8*$DV42)+'LINEST VARS'!$C$54*($EA$32*0.5)+'LINEST VARS'!$B$54*($EA$32*$DV42)+'LINEST VARS'!$A$54*(0.5*$DV42)</f>
        <v>3.9749999999999996</v>
      </c>
      <c r="EB42" s="51">
        <f>'LINEST VARS'!$U$54+'LINEST VARS'!$T$54*(8)+'LINEST VARS'!$S$54*(8)+'LINEST VARS'!$R$54*($EB$32)+'LINEST VARS'!$Q$54*(0.5)+'LINEST VARS'!$P$54*($DV42)+'LINEST VARS'!$O$54*(8^2)+'LINEST VARS'!$N$54*(8^2)+'LINEST VARS'!$M$54*($EB$32^2)+'LINEST VARS'!$L$54*(0.5^2)+'LINEST VARS'!$K$54*($DV42^2)+'LINEST VARS'!$J$54*(8*8)+'LINEST VARS'!$I$54*(8*$EB$32)+'LINEST VARS'!$H$54*(8*0.5)+'LINEST VARS'!$G$54*(8*$DV42)+'LINEST VARS'!$F$54*(8*$EB$32)+'LINEST VARS'!$E$54*(8*0.5)+'LINEST VARS'!$D$54*(8*$DV42)+'LINEST VARS'!$C$54*($EB$32*0.5)+'LINEST VARS'!$B$54*($EB$32*$DV42)+'LINEST VARS'!$A$54*(0.5*$DV42)</f>
        <v>3.9749999999999996</v>
      </c>
      <c r="EC42" s="51">
        <f>'LINEST VARS'!$U$54+'LINEST VARS'!$T$54*(8)+'LINEST VARS'!$S$54*(8)+'LINEST VARS'!$R$54*($EC$32)+'LINEST VARS'!$Q$54*(0.5)+'LINEST VARS'!$P$54*($DV42)+'LINEST VARS'!$O$54*(8^2)+'LINEST VARS'!$N$54*(8^2)+'LINEST VARS'!$M$54*($EC$32^2)+'LINEST VARS'!$L$54*(0.5^2)+'LINEST VARS'!$K$54*($DV42^2)+'LINEST VARS'!$J$54*(8*8)+'LINEST VARS'!$I$54*(8*$EC$32)+'LINEST VARS'!$H$54*(8*0.5)+'LINEST VARS'!$G$54*(8*$DV42)+'LINEST VARS'!$F$54*(8*$EC$32)+'LINEST VARS'!$E$54*(8*0.5)+'LINEST VARS'!$D$54*(8*$DV42)+'LINEST VARS'!$C$54*($EC$32*0.5)+'LINEST VARS'!$B$54*($EC$32*$DV42)+'LINEST VARS'!$A$54*(0.5*$DV42)</f>
        <v>3.9749999999999996</v>
      </c>
      <c r="ED42" s="51">
        <f>'LINEST VARS'!$U$54+'LINEST VARS'!$T$54*(8)+'LINEST VARS'!$S$54*(8)+'LINEST VARS'!$R$54*($ED$32)+'LINEST VARS'!$Q$54*(0.5)+'LINEST VARS'!$P$54*($DV42)+'LINEST VARS'!$O$54*(8^2)+'LINEST VARS'!$N$54*(8^2)+'LINEST VARS'!$M$54*($ED$32^2)+'LINEST VARS'!$L$54*(0.5^2)+'LINEST VARS'!$K$54*($DV42^2)+'LINEST VARS'!$J$54*(8*8)+'LINEST VARS'!$I$54*(8*$ED$32)+'LINEST VARS'!$H$54*(8*0.5)+'LINEST VARS'!$G$54*(8*$DV42)+'LINEST VARS'!$F$54*(8*$ED$32)+'LINEST VARS'!$E$54*(8*0.5)+'LINEST VARS'!$D$54*(8*$DV42)+'LINEST VARS'!$C$54*($ED$32*0.5)+'LINEST VARS'!$B$54*($ED$32*$DV42)+'LINEST VARS'!$A$54*(0.5*$DV42)</f>
        <v>3.9749999999999996</v>
      </c>
      <c r="EE42" s="51">
        <f>'LINEST VARS'!$U$54+'LINEST VARS'!$T$54*(8)+'LINEST VARS'!$S$54*(8)+'LINEST VARS'!$R$54*($EE$32)+'LINEST VARS'!$Q$54*(0.5)+'LINEST VARS'!$P$54*($DV42)+'LINEST VARS'!$O$54*(8^2)+'LINEST VARS'!$N$54*(8^2)+'LINEST VARS'!$M$54*($EE$32^2)+'LINEST VARS'!$L$54*(0.5^2)+'LINEST VARS'!$K$54*($DV42^2)+'LINEST VARS'!$J$54*(8*8)+'LINEST VARS'!$I$54*(8*$EE$32)+'LINEST VARS'!$H$54*(8*0.5)+'LINEST VARS'!$G$54*(8*$DV42)+'LINEST VARS'!$F$54*(8*$EE$32)+'LINEST VARS'!$E$54*(8*0.5)+'LINEST VARS'!$D$54*(8*$DV42)+'LINEST VARS'!$C$54*($EE$32*0.5)+'LINEST VARS'!$B$54*($EE$32*$DV42)+'LINEST VARS'!$A$54*(0.5*$DV42)</f>
        <v>3.9749999999999996</v>
      </c>
      <c r="EF42" s="51">
        <f>'LINEST VARS'!$U$54+'LINEST VARS'!$T$54*(8)+'LINEST VARS'!$S$54*(8)+'LINEST VARS'!$R$54*($EF$32)+'LINEST VARS'!$Q$54*(0.5)+'LINEST VARS'!$P$54*($DV42)+'LINEST VARS'!$O$54*(8^2)+'LINEST VARS'!$N$54*(8^2)+'LINEST VARS'!$M$54*($EF$32^2)+'LINEST VARS'!$L$54*(0.5^2)+'LINEST VARS'!$K$54*($DV42^2)+'LINEST VARS'!$J$54*(8*8)+'LINEST VARS'!$I$54*(8*$EF$32)+'LINEST VARS'!$H$54*(8*0.5)+'LINEST VARS'!$G$54*(8*$DV42)+'LINEST VARS'!$F$54*(8*$EF$32)+'LINEST VARS'!$E$54*(8*0.5)+'LINEST VARS'!$D$54*(8*$DV42)+'LINEST VARS'!$C$54*($EF$32*0.5)+'LINEST VARS'!$B$54*($EF$32*$DV42)+'LINEST VARS'!$A$54*(0.5*$DV42)</f>
        <v>3.9749999999999996</v>
      </c>
      <c r="EG42" s="51">
        <f>'LINEST VARS'!$U$54+'LINEST VARS'!$T$54*(8)+'LINEST VARS'!$S$54*(8)+'LINEST VARS'!$R$54*($EG$32)+'LINEST VARS'!$Q$54*(0.5)+'LINEST VARS'!$P$54*($DV42)+'LINEST VARS'!$O$54*(8^2)+'LINEST VARS'!$N$54*(8^2)+'LINEST VARS'!$M$54*($EG$32^2)+'LINEST VARS'!$L$54*(0.5^2)+'LINEST VARS'!$K$54*($DV42^2)+'LINEST VARS'!$J$54*(8*8)+'LINEST VARS'!$I$54*(8*$EG$32)+'LINEST VARS'!$H$54*(8*0.5)+'LINEST VARS'!$G$54*(8*$DV42)+'LINEST VARS'!$F$54*(8*$EG$32)+'LINEST VARS'!$E$54*(8*0.5)+'LINEST VARS'!$D$54*(8*$DV42)+'LINEST VARS'!$C$54*($EG$32*0.5)+'LINEST VARS'!$B$54*($EG$32*$DV42)+'LINEST VARS'!$A$54*(0.5*$DV42)</f>
        <v>3.9749999999999996</v>
      </c>
      <c r="EH42" s="51">
        <f>'LINEST VARS'!$U$54+'LINEST VARS'!$T$54*(8)+'LINEST VARS'!$S$54*(8)+'LINEST VARS'!$R$54*($EH$32)+'LINEST VARS'!$Q$54*(0.5)+'LINEST VARS'!$P$54*($DV42)+'LINEST VARS'!$O$54*(8^2)+'LINEST VARS'!$N$54*(8^2)+'LINEST VARS'!$M$54*($EH$32^2)+'LINEST VARS'!$L$54*(0.5^2)+'LINEST VARS'!$K$54*($DV42^2)+'LINEST VARS'!$J$54*(8*8)+'LINEST VARS'!$I$54*(8*$EH$32)+'LINEST VARS'!$H$54*(8*0.5)+'LINEST VARS'!$G$54*(8*$DV42)+'LINEST VARS'!$F$54*(8*$EH$32)+'LINEST VARS'!$E$54*(8*0.5)+'LINEST VARS'!$D$54*(8*$DV42)+'LINEST VARS'!$C$54*($EH$32*0.5)+'LINEST VARS'!$B$54*($EH$32*$DV42)+'LINEST VARS'!$A$54*(0.5*$DV42)</f>
        <v>3.9749999999999996</v>
      </c>
      <c r="EI42" s="51">
        <f>'LINEST VARS'!$U$54+'LINEST VARS'!$T$54*(8)+'LINEST VARS'!$S$54*(8)+'LINEST VARS'!$R$54*($EI$32)+'LINEST VARS'!$Q$54*(0.5)+'LINEST VARS'!$P$54*($DV42)+'LINEST VARS'!$O$54*(8^2)+'LINEST VARS'!$N$54*(8^2)+'LINEST VARS'!$M$54*($EI$32^2)+'LINEST VARS'!$L$54*(0.5^2)+'LINEST VARS'!$K$54*($DV42^2)+'LINEST VARS'!$J$54*(8*8)+'LINEST VARS'!$I$54*(8*$EI$32)+'LINEST VARS'!$H$54*(8*0.5)+'LINEST VARS'!$G$54*(8*$DV42)+'LINEST VARS'!$F$54*(8*$EI$32)+'LINEST VARS'!$E$54*(8*0.5)+'LINEST VARS'!$D$54*(8*$DV42)+'LINEST VARS'!$C$54*($EI$32*0.5)+'LINEST VARS'!$B$54*($EI$32*$DV42)+'LINEST VARS'!$A$54*(0.5*$DV42)</f>
        <v>3.9749999999999996</v>
      </c>
      <c r="EJ42" s="51">
        <f>'LINEST VARS'!$U$54+'LINEST VARS'!$T$54*(8)+'LINEST VARS'!$S$54*(8)+'LINEST VARS'!$R$54*($EJ$32)+'LINEST VARS'!$Q$54*(0.5)+'LINEST VARS'!$P$54*($DV42)+'LINEST VARS'!$O$54*(8^2)+'LINEST VARS'!$N$54*(8^2)+'LINEST VARS'!$M$54*($EJ$32^2)+'LINEST VARS'!$L$54*(0.5^2)+'LINEST VARS'!$K$54*($DV42^2)+'LINEST VARS'!$J$54*(8*8)+'LINEST VARS'!$I$54*(8*$EJ$32)+'LINEST VARS'!$H$54*(8*0.5)+'LINEST VARS'!$G$54*(8*$DV42)+'LINEST VARS'!$F$54*(8*$EJ$32)+'LINEST VARS'!$E$54*(8*0.5)+'LINEST VARS'!$D$54*(8*$DV42)+'LINEST VARS'!$C$54*($EJ$32*0.5)+'LINEST VARS'!$B$54*($EJ$32*$DV42)+'LINEST VARS'!$A$54*(0.5*$DV42)</f>
        <v>3.9749999999999996</v>
      </c>
      <c r="EK42" s="51">
        <f>'LINEST VARS'!$U$54+'LINEST VARS'!$T$54*(8)+'LINEST VARS'!$S$54*(8)+'LINEST VARS'!$R$54*($EK$32)+'LINEST VARS'!$Q$54*(0.5)+'LINEST VARS'!$P$54*($DV42)+'LINEST VARS'!$O$54*(8^2)+'LINEST VARS'!$N$54*(8^2)+'LINEST VARS'!$M$54*($EK$32^2)+'LINEST VARS'!$L$54*(0.5^2)+'LINEST VARS'!$K$54*($DV42^2)+'LINEST VARS'!$J$54*(8*8)+'LINEST VARS'!$I$54*(8*$EK$32)+'LINEST VARS'!$H$54*(8*0.5)+'LINEST VARS'!$G$54*(8*$DV42)+'LINEST VARS'!$F$54*(8*$EK$32)+'LINEST VARS'!$E$54*(8*0.5)+'LINEST VARS'!$D$54*(8*$DV42)+'LINEST VARS'!$C$54*($EK$32*0.5)+'LINEST VARS'!$B$54*($EK$32*$DV42)+'LINEST VARS'!$A$54*(0.5*$DV42)</f>
        <v>3.9749999999999996</v>
      </c>
      <c r="EL42" s="51">
        <f>'LINEST VARS'!$U$54+'LINEST VARS'!$T$54*(8)+'LINEST VARS'!$S$54*(8)+'LINEST VARS'!$R$54*($EL$32)+'LINEST VARS'!$Q$54*(0.5)+'LINEST VARS'!$P$54*($DV42)+'LINEST VARS'!$O$54*(8^2)+'LINEST VARS'!$N$54*(8^2)+'LINEST VARS'!$M$54*($EL$32^2)+'LINEST VARS'!$L$54*(0.5^2)+'LINEST VARS'!$K$54*($DV42^2)+'LINEST VARS'!$J$54*(8*8)+'LINEST VARS'!$I$54*(8*$EL$32)+'LINEST VARS'!$H$54*(8*0.5)+'LINEST VARS'!$G$54*(8*$DV42)+'LINEST VARS'!$F$54*(8*$EL$32)+'LINEST VARS'!$E$54*(8*0.5)+'LINEST VARS'!$D$54*(8*$DV42)+'LINEST VARS'!$C$54*($EL$32*0.5)+'LINEST VARS'!$B$54*($EL$32*$DV42)+'LINEST VARS'!$A$54*(0.5*$DV42)</f>
        <v>3.9749999999999996</v>
      </c>
      <c r="EM42" s="51">
        <f>'LINEST VARS'!$U$54+'LINEST VARS'!$T$54*(8)+'LINEST VARS'!$S$54*(8)+'LINEST VARS'!$R$54*($EM$32)+'LINEST VARS'!$Q$54*(0.5)+'LINEST VARS'!$P$54*($DV42)+'LINEST VARS'!$O$54*(8^2)+'LINEST VARS'!$N$54*(8^2)+'LINEST VARS'!$M$54*($EM$32^2)+'LINEST VARS'!$L$54*(0.5^2)+'LINEST VARS'!$K$54*($DV42^2)+'LINEST VARS'!$J$54*(8*8)+'LINEST VARS'!$I$54*(8*$EM$32)+'LINEST VARS'!$H$54*(8*0.5)+'LINEST VARS'!$G$54*(8*$DV42)+'LINEST VARS'!$F$54*(8*$EM$32)+'LINEST VARS'!$E$54*(8*0.5)+'LINEST VARS'!$D$54*(8*$DV42)+'LINEST VARS'!$C$54*($EM$32*0.5)+'LINEST VARS'!$B$54*($EM$32*$DV42)+'LINEST VARS'!$A$54*(0.5*$DV42)</f>
        <v>3.9749999999999996</v>
      </c>
      <c r="EN42" s="51">
        <f>'LINEST VARS'!$U$54+'LINEST VARS'!$T$54*(8)+'LINEST VARS'!$S$54*(8)+'LINEST VARS'!$R$54*($EN$32)+'LINEST VARS'!$Q$54*(0.5)+'LINEST VARS'!$P$54*($DV42)+'LINEST VARS'!$O$54*(8^2)+'LINEST VARS'!$N$54*(8^2)+'LINEST VARS'!$M$54*($EN$32^2)+'LINEST VARS'!$L$54*(0.5^2)+'LINEST VARS'!$K$54*($DV42^2)+'LINEST VARS'!$J$54*(8*8)+'LINEST VARS'!$I$54*(8*$EN$32)+'LINEST VARS'!$H$54*(8*0.5)+'LINEST VARS'!$G$54*(8*$DV42)+'LINEST VARS'!$F$54*(8*$EN$32)+'LINEST VARS'!$E$54*(8*0.5)+'LINEST VARS'!$D$54*(8*$DV42)+'LINEST VARS'!$C$54*($EN$32*0.5)+'LINEST VARS'!$B$54*($EN$32*$DV42)+'LINEST VARS'!$A$54*(0.5*$DV42)</f>
        <v>3.9749999999999996</v>
      </c>
      <c r="EO42" s="51">
        <f>'LINEST VARS'!$U$54+'LINEST VARS'!$T$54*(8)+'LINEST VARS'!$S$54*(8)+'LINEST VARS'!$R$54*($EO$32)+'LINEST VARS'!$Q$54*(0.5)+'LINEST VARS'!$P$54*($DV42)+'LINEST VARS'!$O$54*(8^2)+'LINEST VARS'!$N$54*(8^2)+'LINEST VARS'!$M$54*($EO$32^2)+'LINEST VARS'!$L$54*(0.5^2)+'LINEST VARS'!$K$54*($DV42^2)+'LINEST VARS'!$J$54*(8*8)+'LINEST VARS'!$I$54*(8*$EO$32)+'LINEST VARS'!$H$54*(8*0.5)+'LINEST VARS'!$G$54*(8*$DV42)+'LINEST VARS'!$F$54*(8*$EO$32)+'LINEST VARS'!$E$54*(8*0.5)+'LINEST VARS'!$D$54*(8*$DV42)+'LINEST VARS'!$C$54*($EO$32*0.5)+'LINEST VARS'!$B$54*($EO$32*$DV42)+'LINEST VARS'!$A$54*(0.5*$DV42)</f>
        <v>3.9749999999999996</v>
      </c>
      <c r="EP42" s="51">
        <f>'LINEST VARS'!$U$54+'LINEST VARS'!$T$54*(8)+'LINEST VARS'!$S$54*(8)+'LINEST VARS'!$R$54*($EP$32)+'LINEST VARS'!$Q$54*(0.5)+'LINEST VARS'!$P$54*($DV42)+'LINEST VARS'!$O$54*(8^2)+'LINEST VARS'!$N$54*(8^2)+'LINEST VARS'!$M$54*($EP$32^2)+'LINEST VARS'!$L$54*(0.5^2)+'LINEST VARS'!$K$54*($DV42^2)+'LINEST VARS'!$J$54*(8*8)+'LINEST VARS'!$I$54*(8*$EP$32)+'LINEST VARS'!$H$54*(8*0.5)+'LINEST VARS'!$G$54*(8*$DV42)+'LINEST VARS'!$F$54*(8*$EP$32)+'LINEST VARS'!$E$54*(8*0.5)+'LINEST VARS'!$D$54*(8*$DV42)+'LINEST VARS'!$C$54*($EP$32*0.5)+'LINEST VARS'!$B$54*($EP$32*$DV42)+'LINEST VARS'!$A$54*(0.5*$DV42)</f>
        <v>3.9749999999999996</v>
      </c>
      <c r="EQ42" s="52">
        <f>'LINEST VARS'!$U$54+'LINEST VARS'!$T$54*(8)+'LINEST VARS'!$S$54*(8)+'LINEST VARS'!$R$54*($EQ$32)+'LINEST VARS'!$Q$54*(0.5)+'LINEST VARS'!$P$54*($DV42)+'LINEST VARS'!$O$54*(8^2)+'LINEST VARS'!$N$54*(8^2)+'LINEST VARS'!$M$54*($EQ$32^2)+'LINEST VARS'!$L$54*(0.5^2)+'LINEST VARS'!$K$54*($DV42^2)+'LINEST VARS'!$J$54*(8*8)+'LINEST VARS'!$I$54*(8*$EQ$32)+'LINEST VARS'!$H$54*(8*0.5)+'LINEST VARS'!$G$54*(8*$DV42)+'LINEST VARS'!$F$54*(8*$EQ$32)+'LINEST VARS'!$E$54*(8*0.5)+'LINEST VARS'!$D$54*(8*$DV42)+'LINEST VARS'!$C$54*($EQ$32*0.5)+'LINEST VARS'!$B$54*($EQ$32*$DV42)+'LINEST VARS'!$A$54*(0.5*$DV42)</f>
        <v>3.9749999999999996</v>
      </c>
    </row>
    <row r="43" spans="2:147" ht="15" customHeight="1" x14ac:dyDescent="0.25">
      <c r="B43" s="45">
        <v>8</v>
      </c>
      <c r="C43" s="51">
        <f>'LINEST VARS'!$U$52+'LINEST VARS'!$T$52*($C$32)+'LINEST VARS'!$S$52*($B43)+'LINEST VARS'!$R$52*(4)+'LINEST VARS'!$Q$52*(0.5)+'LINEST VARS'!$P$52*(12.73)+'LINEST VARS'!$O$52*($C$32^2)+'LINEST VARS'!$N$52*($B43^2)+'LINEST VARS'!$M$52*(4^2)+'LINEST VARS'!$L$52*(0.5^2)+'LINEST VARS'!$K$52*(12.73^2)+'LINEST VARS'!$J$52*($C$32*$B43)+'LINEST VARS'!$I$52*($C$32*4)+'LINEST VARS'!$H$52*($C$32*0.5)+'LINEST VARS'!$G$52*($C$32*12.73)+'LINEST VARS'!$F$52*($B43*4)+'LINEST VARS'!$E$52*($B43*0.5)+'LINEST VARS'!$D$52*($B43*12.73)+'LINEST VARS'!$C$52*(4*0.5)+'LINEST VARS'!$B$52*(4*12.73)+'LINEST VARS'!$A$52*(0.5*12.73)</f>
        <v>4.4499999999999984</v>
      </c>
      <c r="D43" s="51">
        <f>'LINEST VARS'!$U$52+'LINEST VARS'!$T$52*($D$32)+'LINEST VARS'!$S$52*($B43)+'LINEST VARS'!$R$52*(4)+'LINEST VARS'!$Q$52*(0.5)+'LINEST VARS'!$P$52*(12.73)+'LINEST VARS'!$O$52*($D$32^2)+'LINEST VARS'!$N$52*($B43^2)+'LINEST VARS'!$M$52*(4^2)+'LINEST VARS'!$L$52*(0.5^2)+'LINEST VARS'!$K$52*(12.73^2)+'LINEST VARS'!$J$52*($D$32*$B43)+'LINEST VARS'!$I$52*($D$32*4)+'LINEST VARS'!$H$52*($D$32*0.5)+'LINEST VARS'!$G$52*($D$32*12.73)+'LINEST VARS'!$F$52*($B43*4)+'LINEST VARS'!$E$52*($B43*0.5)+'LINEST VARS'!$D$52*($B43*12.73)+'LINEST VARS'!$C$52*(4*0.5)+'LINEST VARS'!$B$52*(4*12.73)+'LINEST VARS'!$A$52*(0.5*12.73)</f>
        <v>4.4499999999999984</v>
      </c>
      <c r="E43" s="51">
        <f>'LINEST VARS'!$U$52+'LINEST VARS'!$T$52*($E$32)+'LINEST VARS'!$S$52*($B43)+'LINEST VARS'!$R$52*(4)+'LINEST VARS'!$Q$52*(0.5)+'LINEST VARS'!$P$52*(12.73)+'LINEST VARS'!$O$52*($E$32^2)+'LINEST VARS'!$N$52*($B43^2)+'LINEST VARS'!$M$52*(4^2)+'LINEST VARS'!$L$52*(0.5^2)+'LINEST VARS'!$K$52*(12.73^2)+'LINEST VARS'!$J$52*($E$32*$B43)+'LINEST VARS'!$I$52*($E$32*4)+'LINEST VARS'!$H$52*($E$32*0.5)+'LINEST VARS'!$G$52*($E$32*12.73)+'LINEST VARS'!$F$52*($B43*4)+'LINEST VARS'!$E$52*($B43*0.5)+'LINEST VARS'!$D$52*($B43*12.73)+'LINEST VARS'!$C$52*(4*0.5)+'LINEST VARS'!$B$52*(4*12.73)+'LINEST VARS'!$A$52*(0.5*12.73)</f>
        <v>4.4499999999999984</v>
      </c>
      <c r="F43" s="51">
        <f>'LINEST VARS'!$U$52+'LINEST VARS'!$T$52*($F$32)+'LINEST VARS'!$S$52*($B43)+'LINEST VARS'!$R$52*(4)+'LINEST VARS'!$Q$52*(0.5)+'LINEST VARS'!$P$52*(12.73)+'LINEST VARS'!$O$52*($F$32^2)+'LINEST VARS'!$N$52*($B43^2)+'LINEST VARS'!$M$52*(4^2)+'LINEST VARS'!$L$52*(0.5^2)+'LINEST VARS'!$K$52*(12.73^2)+'LINEST VARS'!$J$52*($F$32*$B43)+'LINEST VARS'!$I$52*($F$32*4)+'LINEST VARS'!$H$52*($F$32*0.5)+'LINEST VARS'!$G$52*($F$32*12.73)+'LINEST VARS'!$F$52*($B43*4)+'LINEST VARS'!$E$52*($B43*0.5)+'LINEST VARS'!$D$52*($B43*12.73)+'LINEST VARS'!$C$52*(4*0.5)+'LINEST VARS'!$B$52*(4*12.73)+'LINEST VARS'!$A$52*(0.5*12.73)</f>
        <v>4.4499999999999984</v>
      </c>
      <c r="G43" s="51">
        <f>'LINEST VARS'!$U$52+'LINEST VARS'!$T$52*($G$32)+'LINEST VARS'!$S$52*($B43)+'LINEST VARS'!$R$52*(4)+'LINEST VARS'!$Q$52*(0.5)+'LINEST VARS'!$P$52*(12.73)+'LINEST VARS'!$O$52*($G$32^2)+'LINEST VARS'!$N$52*($B43^2)+'LINEST VARS'!$M$52*(4^2)+'LINEST VARS'!$L$52*(0.5^2)+'LINEST VARS'!$K$52*(12.73^2)+'LINEST VARS'!$J$52*($G$32*$B43)+'LINEST VARS'!$I$52*($G$32*4)+'LINEST VARS'!$H$52*($G$32*0.5)+'LINEST VARS'!$G$52*($G$32*12.73)+'LINEST VARS'!$F$52*($B43*4)+'LINEST VARS'!$E$52*($B43*0.5)+'LINEST VARS'!$D$52*($B43*12.73)+'LINEST VARS'!$C$52*(4*0.5)+'LINEST VARS'!$B$52*(4*12.73)+'LINEST VARS'!$A$52*(0.5*12.73)</f>
        <v>4.4499999999999984</v>
      </c>
      <c r="H43" s="51">
        <f>'LINEST VARS'!$U$52+'LINEST VARS'!$T$52*($H$32)+'LINEST VARS'!$S$52*($B43)+'LINEST VARS'!$R$52*(4)+'LINEST VARS'!$Q$52*(0.5)+'LINEST VARS'!$P$52*(12.73)+'LINEST VARS'!$O$52*($H$32^2)+'LINEST VARS'!$N$52*($B43^2)+'LINEST VARS'!$M$52*(4^2)+'LINEST VARS'!$L$52*(0.5^2)+'LINEST VARS'!$K$52*(12.73^2)+'LINEST VARS'!$J$52*($H$32*$B43)+'LINEST VARS'!$I$52*($H$32*4)+'LINEST VARS'!$H$52*($H$32*0.5)+'LINEST VARS'!$G$52*($H$32*12.73)+'LINEST VARS'!$F$52*($B43*4)+'LINEST VARS'!$E$52*($B43*0.5)+'LINEST VARS'!$D$52*($B43*12.73)+'LINEST VARS'!$C$52*(4*0.5)+'LINEST VARS'!$B$52*(4*12.73)+'LINEST VARS'!$A$52*(0.5*12.73)</f>
        <v>4.4499999999999984</v>
      </c>
      <c r="I43" s="51">
        <f>'LINEST VARS'!$U$52+'LINEST VARS'!$T$52*($I$32)+'LINEST VARS'!$S$52*($B43)+'LINEST VARS'!$R$52*(4)+'LINEST VARS'!$Q$52*(0.5)+'LINEST VARS'!$P$52*(12.73)+'LINEST VARS'!$O$52*($I$32^2)+'LINEST VARS'!$N$52*($B43^2)+'LINEST VARS'!$M$52*(4^2)+'LINEST VARS'!$L$52*(0.5^2)+'LINEST VARS'!$K$52*(12.73^2)+'LINEST VARS'!$J$52*($I$32*$B43)+'LINEST VARS'!$I$52*($I$32*4)+'LINEST VARS'!$H$52*($I$32*0.5)+'LINEST VARS'!$G$52*($I$32*12.73)+'LINEST VARS'!$F$52*($B43*4)+'LINEST VARS'!$E$52*($B43*0.5)+'LINEST VARS'!$D$52*($B43*12.73)+'LINEST VARS'!$C$52*(4*0.5)+'LINEST VARS'!$B$52*(4*12.73)+'LINEST VARS'!$A$52*(0.5*12.73)</f>
        <v>4.4499999999999984</v>
      </c>
      <c r="J43" s="51">
        <f>'LINEST VARS'!$U$52+'LINEST VARS'!$T$52*($J$32)+'LINEST VARS'!$S$52*($B43)+'LINEST VARS'!$R$52*(4)+'LINEST VARS'!$Q$52*(0.5)+'LINEST VARS'!$P$52*(12.73)+'LINEST VARS'!$O$52*($J$32^2)+'LINEST VARS'!$N$52*($B43^2)+'LINEST VARS'!$M$52*(4^2)+'LINEST VARS'!$L$52*(0.5^2)+'LINEST VARS'!$K$52*(12.73^2)+'LINEST VARS'!$J$52*($J$32*$B43)+'LINEST VARS'!$I$52*($J$32*4)+'LINEST VARS'!$H$52*($J$32*0.5)+'LINEST VARS'!$G$52*($J$32*12.73)+'LINEST VARS'!$F$52*($B43*4)+'LINEST VARS'!$E$52*($B43*0.5)+'LINEST VARS'!$D$52*($B43*12.73)+'LINEST VARS'!$C$52*(4*0.5)+'LINEST VARS'!$B$52*(4*12.73)+'LINEST VARS'!$A$52*(0.5*12.73)</f>
        <v>4.4499999999999984</v>
      </c>
      <c r="K43" s="51">
        <f>'LINEST VARS'!$U$52+'LINEST VARS'!$T$52*($K$32)+'LINEST VARS'!$S$52*($B43)+'LINEST VARS'!$R$52*(4)+'LINEST VARS'!$Q$52*(0.5)+'LINEST VARS'!$P$52*(12.73)+'LINEST VARS'!$O$52*($K$32^2)+'LINEST VARS'!$N$52*($B43^2)+'LINEST VARS'!$M$52*(4^2)+'LINEST VARS'!$L$52*(0.5^2)+'LINEST VARS'!$K$52*(12.73^2)+'LINEST VARS'!$J$52*($K$32*$B43)+'LINEST VARS'!$I$52*($K$32*4)+'LINEST VARS'!$H$52*($K$32*0.5)+'LINEST VARS'!$G$52*($K$32*12.73)+'LINEST VARS'!$F$52*($B43*4)+'LINEST VARS'!$E$52*($B43*0.5)+'LINEST VARS'!$D$52*($B43*12.73)+'LINEST VARS'!$C$52*(4*0.5)+'LINEST VARS'!$B$52*(4*12.73)+'LINEST VARS'!$A$52*(0.5*12.73)</f>
        <v>4.4499999999999984</v>
      </c>
      <c r="L43" s="51">
        <f>'LINEST VARS'!$U$52+'LINEST VARS'!$T$52*($L$32)+'LINEST VARS'!$S$52*($B43)+'LINEST VARS'!$R$52*(4)+'LINEST VARS'!$Q$52*(0.5)+'LINEST VARS'!$P$52*(12.73)+'LINEST VARS'!$O$52*($L$32^2)+'LINEST VARS'!$N$52*($B43^2)+'LINEST VARS'!$M$52*(4^2)+'LINEST VARS'!$L$52*(0.5^2)+'LINEST VARS'!$K$52*(12.73^2)+'LINEST VARS'!$J$52*($L$32*$B43)+'LINEST VARS'!$I$52*($L$32*4)+'LINEST VARS'!$H$52*($L$32*0.5)+'LINEST VARS'!$G$52*($L$32*12.73)+'LINEST VARS'!$F$52*($B43*4)+'LINEST VARS'!$E$52*($B43*0.5)+'LINEST VARS'!$D$52*($B43*12.73)+'LINEST VARS'!$C$52*(4*0.5)+'LINEST VARS'!$B$52*(4*12.73)+'LINEST VARS'!$A$52*(0.5*12.73)</f>
        <v>4.4499999999999984</v>
      </c>
      <c r="M43" s="51">
        <f>'LINEST VARS'!$U$52+'LINEST VARS'!$T$52*($M$32)+'LINEST VARS'!$S$52*($B43)+'LINEST VARS'!$R$52*(4)+'LINEST VARS'!$Q$52*(0.5)+'LINEST VARS'!$P$52*(12.73)+'LINEST VARS'!$O$52*($M$32^2)+'LINEST VARS'!$N$52*($B43^2)+'LINEST VARS'!$M$52*(4^2)+'LINEST VARS'!$L$52*(0.5^2)+'LINEST VARS'!$K$52*(12.73^2)+'LINEST VARS'!$J$52*($M$32*$B43)+'LINEST VARS'!$I$52*($M$32*4)+'LINEST VARS'!$H$52*($M$32*0.5)+'LINEST VARS'!$G$52*($M$32*12.73)+'LINEST VARS'!$F$52*($B43*4)+'LINEST VARS'!$E$52*($B43*0.5)+'LINEST VARS'!$D$52*($B43*12.73)+'LINEST VARS'!$C$52*(4*0.5)+'LINEST VARS'!$B$52*(4*12.73)+'LINEST VARS'!$A$52*(0.5*12.73)</f>
        <v>4.4499999999999984</v>
      </c>
      <c r="N43" s="51">
        <f>'LINEST VARS'!$U$52+'LINEST VARS'!$T$52*($N$32)+'LINEST VARS'!$S$52*($B43)+'LINEST VARS'!$R$52*(4)+'LINEST VARS'!$Q$52*(0.5)+'LINEST VARS'!$P$52*(12.73)+'LINEST VARS'!$O$52*($N$32^2)+'LINEST VARS'!$N$52*($B43^2)+'LINEST VARS'!$M$52*(4^2)+'LINEST VARS'!$L$52*(0.5^2)+'LINEST VARS'!$K$52*(12.73^2)+'LINEST VARS'!$J$52*($N$32*$B43)+'LINEST VARS'!$I$52*($N$32*4)+'LINEST VARS'!$H$52*($N$32*0.5)+'LINEST VARS'!$G$52*($N$32*12.73)+'LINEST VARS'!$F$52*($B43*4)+'LINEST VARS'!$E$52*($B43*0.5)+'LINEST VARS'!$D$52*($B43*12.73)+'LINEST VARS'!$C$52*(4*0.5)+'LINEST VARS'!$B$52*(4*12.73)+'LINEST VARS'!$A$52*(0.5*12.73)</f>
        <v>4.4499999999999984</v>
      </c>
      <c r="O43" s="51">
        <f>'LINEST VARS'!$U$52+'LINEST VARS'!$T$52*($O$32)+'LINEST VARS'!$S$52*($B43)+'LINEST VARS'!$R$52*(4)+'LINEST VARS'!$Q$52*(0.5)+'LINEST VARS'!$P$52*(12.73)+'LINEST VARS'!$O$52*($O$32^2)+'LINEST VARS'!$N$52*($B43^2)+'LINEST VARS'!$M$52*(4^2)+'LINEST VARS'!$L$52*(0.5^2)+'LINEST VARS'!$K$52*(12.73^2)+'LINEST VARS'!$J$52*($O$32*$B43)+'LINEST VARS'!$I$52*($O$32*4)+'LINEST VARS'!$H$52*($O$32*0.5)+'LINEST VARS'!$G$52*($O$32*12.73)+'LINEST VARS'!$F$52*($B43*4)+'LINEST VARS'!$E$52*($B43*0.5)+'LINEST VARS'!$D$52*($B43*12.73)+'LINEST VARS'!$C$52*(4*0.5)+'LINEST VARS'!$B$52*(4*12.73)+'LINEST VARS'!$A$52*(0.5*12.73)</f>
        <v>4.4499999999999984</v>
      </c>
      <c r="P43" s="51">
        <f>'LINEST VARS'!$U$52+'LINEST VARS'!$T$52*($P$32)+'LINEST VARS'!$S$52*($B43)+'LINEST VARS'!$R$52*(4)+'LINEST VARS'!$Q$52*(0.5)+'LINEST VARS'!$P$52*(12.73)+'LINEST VARS'!$O$52*($P$32^2)+'LINEST VARS'!$N$52*($B43^2)+'LINEST VARS'!$M$52*(4^2)+'LINEST VARS'!$L$52*(0.5^2)+'LINEST VARS'!$K$52*(12.73^2)+'LINEST VARS'!$J$52*($P$32*$B43)+'LINEST VARS'!$I$52*($P$32*4)+'LINEST VARS'!$H$52*($P$32*0.5)+'LINEST VARS'!$G$52*($P$32*12.73)+'LINEST VARS'!$F$52*($B43*4)+'LINEST VARS'!$E$52*($B43*0.5)+'LINEST VARS'!$D$52*($B43*12.73)+'LINEST VARS'!$C$52*(4*0.5)+'LINEST VARS'!$B$52*(4*12.73)+'LINEST VARS'!$A$52*(0.5*12.73)</f>
        <v>4.4499999999999984</v>
      </c>
      <c r="Q43" s="51">
        <f>'LINEST VARS'!$U$52+'LINEST VARS'!$T$52*($Q$32)+'LINEST VARS'!$S$52*($B43)+'LINEST VARS'!$R$52*(4)+'LINEST VARS'!$Q$52*(0.5)+'LINEST VARS'!$P$52*(12.73)+'LINEST VARS'!$O$52*($Q$32^2)+'LINEST VARS'!$N$52*($B43^2)+'LINEST VARS'!$M$52*(4^2)+'LINEST VARS'!$L$52*(0.5^2)+'LINEST VARS'!$K$52*(12.73^2)+'LINEST VARS'!$J$52*($Q$32*$B43)+'LINEST VARS'!$I$52*($Q$32*4)+'LINEST VARS'!$H$52*($Q$32*0.5)+'LINEST VARS'!$G$52*($Q$32*12.73)+'LINEST VARS'!$F$52*($B43*4)+'LINEST VARS'!$E$52*($B43*0.5)+'LINEST VARS'!$D$52*($B43*12.73)+'LINEST VARS'!$C$52*(4*0.5)+'LINEST VARS'!$B$52*(4*12.73)+'LINEST VARS'!$A$52*(0.5*12.73)</f>
        <v>4.4499999999999984</v>
      </c>
      <c r="R43" s="51">
        <f>'LINEST VARS'!$U$52+'LINEST VARS'!$T$52*($R$32)+'LINEST VARS'!$S$52*($B43)+'LINEST VARS'!$R$52*(4)+'LINEST VARS'!$Q$52*(0.5)+'LINEST VARS'!$P$52*(12.73)+'LINEST VARS'!$O$52*($R$32^2)+'LINEST VARS'!$N$52*($B43^2)+'LINEST VARS'!$M$52*(4^2)+'LINEST VARS'!$L$52*(0.5^2)+'LINEST VARS'!$K$52*(12.73^2)+'LINEST VARS'!$J$52*($R$32*$B43)+'LINEST VARS'!$I$52*($R$32*4)+'LINEST VARS'!$H$52*($R$32*0.5)+'LINEST VARS'!$G$52*($R$32*12.73)+'LINEST VARS'!$F$52*($B43*4)+'LINEST VARS'!$E$52*($B43*0.5)+'LINEST VARS'!$D$52*($B43*12.73)+'LINEST VARS'!$C$52*(4*0.5)+'LINEST VARS'!$B$52*(4*12.73)+'LINEST VARS'!$A$52*(0.5*12.73)</f>
        <v>4.4499999999999984</v>
      </c>
      <c r="S43" s="51">
        <f>'LINEST VARS'!$U$52+'LINEST VARS'!$T$52*($S$32)+'LINEST VARS'!$S$52*($B43)+'LINEST VARS'!$R$52*(4)+'LINEST VARS'!$Q$52*(0.5)+'LINEST VARS'!$P$52*(12.73)+'LINEST VARS'!$O$52*($S$32^2)+'LINEST VARS'!$N$52*($B43^2)+'LINEST VARS'!$M$52*(4^2)+'LINEST VARS'!$L$52*(0.5^2)+'LINEST VARS'!$K$52*(12.73^2)+'LINEST VARS'!$J$52*($S$32*$B43)+'LINEST VARS'!$I$52*($S$32*4)+'LINEST VARS'!$H$52*($S$32*0.5)+'LINEST VARS'!$G$52*($S$32*12.73)+'LINEST VARS'!$F$52*($B43*4)+'LINEST VARS'!$E$52*($B43*0.5)+'LINEST VARS'!$D$52*($B43*12.73)+'LINEST VARS'!$C$52*(4*0.5)+'LINEST VARS'!$B$52*(4*12.73)+'LINEST VARS'!$A$52*(0.5*12.73)</f>
        <v>4.4499999999999984</v>
      </c>
      <c r="T43" s="51">
        <f>'LINEST VARS'!$U$52+'LINEST VARS'!$T$52*($T$32)+'LINEST VARS'!$S$52*($B43)+'LINEST VARS'!$R$52*(4)+'LINEST VARS'!$Q$52*(0.5)+'LINEST VARS'!$P$52*(12.73)+'LINEST VARS'!$O$52*($T$32^2)+'LINEST VARS'!$N$52*($B43^2)+'LINEST VARS'!$M$52*(4^2)+'LINEST VARS'!$L$52*(0.5^2)+'LINEST VARS'!$K$52*(12.73^2)+'LINEST VARS'!$J$52*($T$32*$B43)+'LINEST VARS'!$I$52*($T$32*4)+'LINEST VARS'!$H$52*($T$32*0.5)+'LINEST VARS'!$G$52*($T$32*12.73)+'LINEST VARS'!$F$52*($B43*4)+'LINEST VARS'!$E$52*($B43*0.5)+'LINEST VARS'!$D$52*($B43*12.73)+'LINEST VARS'!$C$52*(4*0.5)+'LINEST VARS'!$B$52*(4*12.73)+'LINEST VARS'!$A$52*(0.5*12.73)</f>
        <v>4.4499999999999984</v>
      </c>
      <c r="U43" s="51">
        <f>'LINEST VARS'!$U$52+'LINEST VARS'!$T$52*($U$32)+'LINEST VARS'!$S$52*($B43)+'LINEST VARS'!$R$52*(4)+'LINEST VARS'!$Q$52*(0.5)+'LINEST VARS'!$P$52*(12.73)+'LINEST VARS'!$O$52*($U$32^2)+'LINEST VARS'!$N$52*($B43^2)+'LINEST VARS'!$M$52*(4^2)+'LINEST VARS'!$L$52*(0.5^2)+'LINEST VARS'!$K$52*(12.73^2)+'LINEST VARS'!$J$52*($U$32*$B43)+'LINEST VARS'!$I$52*($U$32*4)+'LINEST VARS'!$H$52*($U$32*0.5)+'LINEST VARS'!$G$52*($U$32*12.73)+'LINEST VARS'!$F$52*($B43*4)+'LINEST VARS'!$E$52*($B43*0.5)+'LINEST VARS'!$D$52*($B43*12.73)+'LINEST VARS'!$C$52*(4*0.5)+'LINEST VARS'!$B$52*(4*12.73)+'LINEST VARS'!$A$52*(0.5*12.73)</f>
        <v>4.4499999999999984</v>
      </c>
      <c r="V43" s="51">
        <f>'LINEST VARS'!$U$52+'LINEST VARS'!$T$52*($V$32)+'LINEST VARS'!$S$52*($B43)+'LINEST VARS'!$R$52*(4)+'LINEST VARS'!$Q$52*(0.5)+'LINEST VARS'!$P$52*(12.73)+'LINEST VARS'!$O$52*($V$32^2)+'LINEST VARS'!$N$52*($B43^2)+'LINEST VARS'!$M$52*(4^2)+'LINEST VARS'!$L$52*(0.5^2)+'LINEST VARS'!$K$52*(12.73^2)+'LINEST VARS'!$J$52*($V$32*$B43)+'LINEST VARS'!$I$52*($V$32*4)+'LINEST VARS'!$H$52*($V$32*0.5)+'LINEST VARS'!$G$52*($V$32*12.73)+'LINEST VARS'!$F$52*($B43*4)+'LINEST VARS'!$E$52*($B43*0.5)+'LINEST VARS'!$D$52*($B43*12.73)+'LINEST VARS'!$C$52*(4*0.5)+'LINEST VARS'!$B$52*(4*12.73)+'LINEST VARS'!$A$52*(0.5*12.73)</f>
        <v>4.4499999999999993</v>
      </c>
      <c r="W43" s="52">
        <f>'LINEST VARS'!$U$52+'LINEST VARS'!$T$52*($W$32)+'LINEST VARS'!$S$52*($B43)+'LINEST VARS'!$R$52*(4)+'LINEST VARS'!$Q$52*(0.5)+'LINEST VARS'!$P$52*(12.73)+'LINEST VARS'!$O$52*($W$32^2)+'LINEST VARS'!$N$52*($B43^2)+'LINEST VARS'!$M$52*(4^2)+'LINEST VARS'!$L$52*(0.5^2)+'LINEST VARS'!$K$52*(12.73^2)+'LINEST VARS'!$J$52*($W$32*$B43)+'LINEST VARS'!$I$52*($W$32*4)+'LINEST VARS'!$H$52*($W$32*0.5)+'LINEST VARS'!$G$52*($W$32*12.73)+'LINEST VARS'!$F$52*($B43*4)+'LINEST VARS'!$E$52*($B43*0.5)+'LINEST VARS'!$D$52*($B43*12.73)+'LINEST VARS'!$C$52*(4*0.5)+'LINEST VARS'!$B$52*(4*12.73)+'LINEST VARS'!$A$52*(0.5*12.73)</f>
        <v>4.4499999999999993</v>
      </c>
      <c r="Z43" s="45">
        <v>8</v>
      </c>
      <c r="AA43" s="51">
        <f>'LINEST VARS'!$U$54+'LINEST VARS'!$T$54*($AA$32)+'LINEST VARS'!$S$54*($Z43)+'LINEST VARS'!$R$54*(4)+'LINEST VARS'!$Q$54*(0.5)+'LINEST VARS'!$P$54*(12.73)+'LINEST VARS'!$O$54*($AA$32^2)+'LINEST VARS'!$N$54*($Z43^2)+'LINEST VARS'!$M$54*(4^2)+'LINEST VARS'!$L$54*(0.5^2)+'LINEST VARS'!$K$54*(12.73^2)+'LINEST VARS'!$J$54*($AA$32*$Z43)+'LINEST VARS'!$I$54*($AA$32*4)+'LINEST VARS'!$H$54*($AA$32*0.5)+'LINEST VARS'!$G$54*($AA$32*12.73)+'LINEST VARS'!$F$54*($Z43*4)+'LINEST VARS'!$E$54*($Z43*0.5)+'LINEST VARS'!$D$54*($Z43*12.73)+'LINEST VARS'!$C$54*(4*0.5)+'LINEST VARS'!$B$54*(4*12.73)+'LINEST VARS'!$A$54*(0.5*12.73)</f>
        <v>3.9749999999999996</v>
      </c>
      <c r="AB43" s="51">
        <f>'LINEST VARS'!$U$54+'LINEST VARS'!$T$54*($AB$32)+'LINEST VARS'!$S$54*($Z43)+'LINEST VARS'!$R$54*(4)+'LINEST VARS'!$Q$54*(0.5)+'LINEST VARS'!$P$54*(12.73)+'LINEST VARS'!$O$54*($AB$32^2)+'LINEST VARS'!$N$54*($Z43^2)+'LINEST VARS'!$M$54*(4^2)+'LINEST VARS'!$L$54*(0.5^2)+'LINEST VARS'!$K$54*(12.73^2)+'LINEST VARS'!$J$54*($AB$32*$Z43)+'LINEST VARS'!$I$54*($AB$32*4)+'LINEST VARS'!$H$54*($AB$32*0.5)+'LINEST VARS'!$G$54*($AB$32*12.73)+'LINEST VARS'!$F$54*($Z43*4)+'LINEST VARS'!$E$54*($Z43*0.5)+'LINEST VARS'!$D$54*($Z43*12.73)+'LINEST VARS'!$C$54*(4*0.5)+'LINEST VARS'!$B$54*(4*12.73)+'LINEST VARS'!$A$54*(0.5*12.73)</f>
        <v>3.9749999999999996</v>
      </c>
      <c r="AC43" s="51">
        <f>'LINEST VARS'!$U$54+'LINEST VARS'!$T$54*($AC$32)+'LINEST VARS'!$S$54*($Z43)+'LINEST VARS'!$R$54*(4)+'LINEST VARS'!$Q$54*(0.5)+'LINEST VARS'!$P$54*(12.73)+'LINEST VARS'!$O$54*($AC$32^2)+'LINEST VARS'!$N$54*($Z43^2)+'LINEST VARS'!$M$54*(4^2)+'LINEST VARS'!$L$54*(0.5^2)+'LINEST VARS'!$K$54*(12.73^2)+'LINEST VARS'!$J$54*($AC$32*$Z43)+'LINEST VARS'!$I$54*($AC$32*4)+'LINEST VARS'!$H$54*($AC$32*0.5)+'LINEST VARS'!$G$54*($AC$32*12.73)+'LINEST VARS'!$F$54*($Z43*4)+'LINEST VARS'!$E$54*($Z43*0.5)+'LINEST VARS'!$D$54*($Z43*12.73)+'LINEST VARS'!$C$54*(4*0.5)+'LINEST VARS'!$B$54*(4*12.73)+'LINEST VARS'!$A$54*(0.5*12.73)</f>
        <v>3.9749999999999996</v>
      </c>
      <c r="AD43" s="51">
        <f>'LINEST VARS'!$U$54+'LINEST VARS'!$T$54*($AD$32)+'LINEST VARS'!$S$54*($Z43)+'LINEST VARS'!$R$54*(4)+'LINEST VARS'!$Q$54*(0.5)+'LINEST VARS'!$P$54*(12.73)+'LINEST VARS'!$O$54*($AD$32^2)+'LINEST VARS'!$N$54*($Z43^2)+'LINEST VARS'!$M$54*(4^2)+'LINEST VARS'!$L$54*(0.5^2)+'LINEST VARS'!$K$54*(12.73^2)+'LINEST VARS'!$J$54*($AD$32*$Z43)+'LINEST VARS'!$I$54*($AD$32*4)+'LINEST VARS'!$H$54*($AD$32*0.5)+'LINEST VARS'!$G$54*($AD$32*12.73)+'LINEST VARS'!$F$54*($Z43*4)+'LINEST VARS'!$E$54*($Z43*0.5)+'LINEST VARS'!$D$54*($Z43*12.73)+'LINEST VARS'!$C$54*(4*0.5)+'LINEST VARS'!$B$54*(4*12.73)+'LINEST VARS'!$A$54*(0.5*12.73)</f>
        <v>3.9749999999999996</v>
      </c>
      <c r="AE43" s="51">
        <f>'LINEST VARS'!$U$54+'LINEST VARS'!$T$54*($AE$32)+'LINEST VARS'!$S$54*($Z43)+'LINEST VARS'!$R$54*(4)+'LINEST VARS'!$Q$54*(0.5)+'LINEST VARS'!$P$54*(12.73)+'LINEST VARS'!$O$54*($AE$32^2)+'LINEST VARS'!$N$54*($Z43^2)+'LINEST VARS'!$M$54*(4^2)+'LINEST VARS'!$L$54*(0.5^2)+'LINEST VARS'!$K$54*(12.73^2)+'LINEST VARS'!$J$54*($AE$32*$Z43)+'LINEST VARS'!$I$54*($AE$32*4)+'LINEST VARS'!$H$54*($AE$32*0.5)+'LINEST VARS'!$G$54*($AE$32*12.73)+'LINEST VARS'!$F$54*($Z43*4)+'LINEST VARS'!$E$54*($Z43*0.5)+'LINEST VARS'!$D$54*($Z43*12.73)+'LINEST VARS'!$C$54*(4*0.5)+'LINEST VARS'!$B$54*(4*12.73)+'LINEST VARS'!$A$54*(0.5*12.73)</f>
        <v>3.9749999999999996</v>
      </c>
      <c r="AF43" s="51">
        <f>'LINEST VARS'!$U$54+'LINEST VARS'!$T$54*($AF$32)+'LINEST VARS'!$S$54*($Z43)+'LINEST VARS'!$R$54*(4)+'LINEST VARS'!$Q$54*(0.5)+'LINEST VARS'!$P$54*(12.73)+'LINEST VARS'!$O$54*($AF$32^2)+'LINEST VARS'!$N$54*($Z43^2)+'LINEST VARS'!$M$54*(4^2)+'LINEST VARS'!$L$54*(0.5^2)+'LINEST VARS'!$K$54*(12.73^2)+'LINEST VARS'!$J$54*($AF$32*$Z43)+'LINEST VARS'!$I$54*($AF$32*4)+'LINEST VARS'!$H$54*($AF$32*0.5)+'LINEST VARS'!$G$54*($AF$32*12.73)+'LINEST VARS'!$F$54*($Z43*4)+'LINEST VARS'!$E$54*($Z43*0.5)+'LINEST VARS'!$D$54*($Z43*12.73)+'LINEST VARS'!$C$54*(4*0.5)+'LINEST VARS'!$B$54*(4*12.73)+'LINEST VARS'!$A$54*(0.5*12.73)</f>
        <v>3.9749999999999996</v>
      </c>
      <c r="AG43" s="51">
        <f>'LINEST VARS'!$U$54+'LINEST VARS'!$T$54*($AG$32)+'LINEST VARS'!$S$54*($Z43)+'LINEST VARS'!$R$54*(4)+'LINEST VARS'!$Q$54*(0.5)+'LINEST VARS'!$P$54*(12.73)+'LINEST VARS'!$O$54*($AG$32^2)+'LINEST VARS'!$N$54*($Z43^2)+'LINEST VARS'!$M$54*(4^2)+'LINEST VARS'!$L$54*(0.5^2)+'LINEST VARS'!$K$54*(12.73^2)+'LINEST VARS'!$J$54*($AG$32*$Z43)+'LINEST VARS'!$I$54*($AG$32*4)+'LINEST VARS'!$H$54*($AG$32*0.5)+'LINEST VARS'!$G$54*($AG$32*12.73)+'LINEST VARS'!$F$54*($Z43*4)+'LINEST VARS'!$E$54*($Z43*0.5)+'LINEST VARS'!$D$54*($Z43*12.73)+'LINEST VARS'!$C$54*(4*0.5)+'LINEST VARS'!$B$54*(4*12.73)+'LINEST VARS'!$A$54*(0.5*12.73)</f>
        <v>3.9749999999999996</v>
      </c>
      <c r="AH43" s="51">
        <f>'LINEST VARS'!$U$54+'LINEST VARS'!$T$54*($AH$32)+'LINEST VARS'!$S$54*($Z43)+'LINEST VARS'!$R$54*(4)+'LINEST VARS'!$Q$54*(0.5)+'LINEST VARS'!$P$54*(12.73)+'LINEST VARS'!$O$54*($AH$32^2)+'LINEST VARS'!$N$54*($Z43^2)+'LINEST VARS'!$M$54*(4^2)+'LINEST VARS'!$L$54*(0.5^2)+'LINEST VARS'!$K$54*(12.73^2)+'LINEST VARS'!$J$54*($AH$32*$Z43)+'LINEST VARS'!$I$54*($AH$32*4)+'LINEST VARS'!$H$54*($AH$32*0.5)+'LINEST VARS'!$G$54*($AH$32*12.73)+'LINEST VARS'!$F$54*($Z43*4)+'LINEST VARS'!$E$54*($Z43*0.5)+'LINEST VARS'!$D$54*($Z43*12.73)+'LINEST VARS'!$C$54*(4*0.5)+'LINEST VARS'!$B$54*(4*12.73)+'LINEST VARS'!$A$54*(0.5*12.73)</f>
        <v>3.9749999999999996</v>
      </c>
      <c r="AI43" s="51">
        <f>'LINEST VARS'!$U$54+'LINEST VARS'!$T$54*($AI$32)+'LINEST VARS'!$S$54*($Z43)+'LINEST VARS'!$R$54*(4)+'LINEST VARS'!$Q$54*(0.5)+'LINEST VARS'!$P$54*(12.73)+'LINEST VARS'!$O$54*($AI$32^2)+'LINEST VARS'!$N$54*($Z43^2)+'LINEST VARS'!$M$54*(4^2)+'LINEST VARS'!$L$54*(0.5^2)+'LINEST VARS'!$K$54*(12.73^2)+'LINEST VARS'!$J$54*($AI$32*$Z43)+'LINEST VARS'!$I$54*($AI$32*4)+'LINEST VARS'!$H$54*($AI$32*0.5)+'LINEST VARS'!$G$54*($AI$32*12.73)+'LINEST VARS'!$F$54*($Z43*4)+'LINEST VARS'!$E$54*($Z43*0.5)+'LINEST VARS'!$D$54*($Z43*12.73)+'LINEST VARS'!$C$54*(4*0.5)+'LINEST VARS'!$B$54*(4*12.73)+'LINEST VARS'!$A$54*(0.5*12.73)</f>
        <v>3.9749999999999996</v>
      </c>
      <c r="AJ43" s="51">
        <f>'LINEST VARS'!$U$54+'LINEST VARS'!$T$54*($AJ$32)+'LINEST VARS'!$S$54*($Z43)+'LINEST VARS'!$R$54*(4)+'LINEST VARS'!$Q$54*(0.5)+'LINEST VARS'!$P$54*(12.73)+'LINEST VARS'!$O$54*($AJ$32^2)+'LINEST VARS'!$N$54*($Z43^2)+'LINEST VARS'!$M$54*(4^2)+'LINEST VARS'!$L$54*(0.5^2)+'LINEST VARS'!$K$54*(12.73^2)+'LINEST VARS'!$J$54*($AJ$32*$Z43)+'LINEST VARS'!$I$54*($AJ$32*4)+'LINEST VARS'!$H$54*($AJ$32*0.5)+'LINEST VARS'!$G$54*($AJ$32*12.73)+'LINEST VARS'!$F$54*($Z43*4)+'LINEST VARS'!$E$54*($Z43*0.5)+'LINEST VARS'!$D$54*($Z43*12.73)+'LINEST VARS'!$C$54*(4*0.5)+'LINEST VARS'!$B$54*(4*12.73)+'LINEST VARS'!$A$54*(0.5*12.73)</f>
        <v>3.9749999999999996</v>
      </c>
      <c r="AK43" s="51">
        <f>'LINEST VARS'!$U$54+'LINEST VARS'!$T$54*($AK$32)+'LINEST VARS'!$S$54*($Z43)+'LINEST VARS'!$R$54*(4)+'LINEST VARS'!$Q$54*(0.5)+'LINEST VARS'!$P$54*(12.73)+'LINEST VARS'!$O$54*($AK$32^2)+'LINEST VARS'!$N$54*($Z43^2)+'LINEST VARS'!$M$54*(4^2)+'LINEST VARS'!$L$54*(0.5^2)+'LINEST VARS'!$K$54*(12.73^2)+'LINEST VARS'!$J$54*($AK$32*$Z43)+'LINEST VARS'!$I$54*($AK$32*4)+'LINEST VARS'!$H$54*($AK$32*0.5)+'LINEST VARS'!$G$54*($AK$32*12.73)+'LINEST VARS'!$F$54*($Z43*4)+'LINEST VARS'!$E$54*($Z43*0.5)+'LINEST VARS'!$D$54*($Z43*12.73)+'LINEST VARS'!$C$54*(4*0.5)+'LINEST VARS'!$B$54*(4*12.73)+'LINEST VARS'!$A$54*(0.5*12.73)</f>
        <v>3.9749999999999996</v>
      </c>
      <c r="AL43" s="51">
        <f>'LINEST VARS'!$U$54+'LINEST VARS'!$T$54*($AL$32)+'LINEST VARS'!$S$54*($Z43)+'LINEST VARS'!$R$54*(4)+'LINEST VARS'!$Q$54*(0.5)+'LINEST VARS'!$P$54*(12.73)+'LINEST VARS'!$O$54*($AL$32^2)+'LINEST VARS'!$N$54*($Z43^2)+'LINEST VARS'!$M$54*(4^2)+'LINEST VARS'!$L$54*(0.5^2)+'LINEST VARS'!$K$54*(12.73^2)+'LINEST VARS'!$J$54*($AL$32*$Z43)+'LINEST VARS'!$I$54*($AL$32*4)+'LINEST VARS'!$H$54*($AL$32*0.5)+'LINEST VARS'!$G$54*($AL$32*12.73)+'LINEST VARS'!$F$54*($Z43*4)+'LINEST VARS'!$E$54*($Z43*0.5)+'LINEST VARS'!$D$54*($Z43*12.73)+'LINEST VARS'!$C$54*(4*0.5)+'LINEST VARS'!$B$54*(4*12.73)+'LINEST VARS'!$A$54*(0.5*12.73)</f>
        <v>3.9749999999999996</v>
      </c>
      <c r="AM43" s="51">
        <f>'LINEST VARS'!$U$54+'LINEST VARS'!$T$54*($AM$32)+'LINEST VARS'!$S$54*($Z43)+'LINEST VARS'!$R$54*(4)+'LINEST VARS'!$Q$54*(0.5)+'LINEST VARS'!$P$54*(12.73)+'LINEST VARS'!$O$54*($AM$32^2)+'LINEST VARS'!$N$54*($Z43^2)+'LINEST VARS'!$M$54*(4^2)+'LINEST VARS'!$L$54*(0.5^2)+'LINEST VARS'!$K$54*(12.73^2)+'LINEST VARS'!$J$54*($AM$32*$Z43)+'LINEST VARS'!$I$54*($AM$32*4)+'LINEST VARS'!$H$54*($AM$32*0.5)+'LINEST VARS'!$G$54*($AM$32*12.73)+'LINEST VARS'!$F$54*($Z43*4)+'LINEST VARS'!$E$54*($Z43*0.5)+'LINEST VARS'!$D$54*($Z43*12.73)+'LINEST VARS'!$C$54*(4*0.5)+'LINEST VARS'!$B$54*(4*12.73)+'LINEST VARS'!$A$54*(0.5*12.73)</f>
        <v>3.9749999999999996</v>
      </c>
      <c r="AN43" s="51">
        <f>'LINEST VARS'!$U$54+'LINEST VARS'!$T$54*($AN$32)+'LINEST VARS'!$S$54*($Z43)+'LINEST VARS'!$R$54*(4)+'LINEST VARS'!$Q$54*(0.5)+'LINEST VARS'!$P$54*(12.73)+'LINEST VARS'!$O$54*($AN$32^2)+'LINEST VARS'!$N$54*($Z43^2)+'LINEST VARS'!$M$54*(4^2)+'LINEST VARS'!$L$54*(0.5^2)+'LINEST VARS'!$K$54*(12.73^2)+'LINEST VARS'!$J$54*($AN$32*$Z43)+'LINEST VARS'!$I$54*($AN$32*4)+'LINEST VARS'!$H$54*($AN$32*0.5)+'LINEST VARS'!$G$54*($AN$32*12.73)+'LINEST VARS'!$F$54*($Z43*4)+'LINEST VARS'!$E$54*($Z43*0.5)+'LINEST VARS'!$D$54*($Z43*12.73)+'LINEST VARS'!$C$54*(4*0.5)+'LINEST VARS'!$B$54*(4*12.73)+'LINEST VARS'!$A$54*(0.5*12.73)</f>
        <v>3.9749999999999996</v>
      </c>
      <c r="AO43" s="51">
        <f>'LINEST VARS'!$U$54+'LINEST VARS'!$T$54*($AO$32)+'LINEST VARS'!$S$54*($Z43)+'LINEST VARS'!$R$54*(4)+'LINEST VARS'!$Q$54*(0.5)+'LINEST VARS'!$P$54*(12.73)+'LINEST VARS'!$O$54*($AO$32^2)+'LINEST VARS'!$N$54*($Z43^2)+'LINEST VARS'!$M$54*(4^2)+'LINEST VARS'!$L$54*(0.5^2)+'LINEST VARS'!$K$54*(12.73^2)+'LINEST VARS'!$J$54*($AO$32*$Z43)+'LINEST VARS'!$I$54*($AO$32*4)+'LINEST VARS'!$H$54*($AO$32*0.5)+'LINEST VARS'!$G$54*($AO$32*12.73)+'LINEST VARS'!$F$54*($Z43*4)+'LINEST VARS'!$E$54*($Z43*0.5)+'LINEST VARS'!$D$54*($Z43*12.73)+'LINEST VARS'!$C$54*(4*0.5)+'LINEST VARS'!$B$54*(4*12.73)+'LINEST VARS'!$A$54*(0.5*12.73)</f>
        <v>3.9749999999999996</v>
      </c>
      <c r="AP43" s="51">
        <f>'LINEST VARS'!$U$54+'LINEST VARS'!$T$54*($AP$32)+'LINEST VARS'!$S$54*($Z43)+'LINEST VARS'!$R$54*(4)+'LINEST VARS'!$Q$54*(0.5)+'LINEST VARS'!$P$54*(12.73)+'LINEST VARS'!$O$54*($AP$32^2)+'LINEST VARS'!$N$54*($Z43^2)+'LINEST VARS'!$M$54*(4^2)+'LINEST VARS'!$L$54*(0.5^2)+'LINEST VARS'!$K$54*(12.73^2)+'LINEST VARS'!$J$54*($AP$32*$Z43)+'LINEST VARS'!$I$54*($AP$32*4)+'LINEST VARS'!$H$54*($AP$32*0.5)+'LINEST VARS'!$G$54*($AP$32*12.73)+'LINEST VARS'!$F$54*($Z43*4)+'LINEST VARS'!$E$54*($Z43*0.5)+'LINEST VARS'!$D$54*($Z43*12.73)+'LINEST VARS'!$C$54*(4*0.5)+'LINEST VARS'!$B$54*(4*12.73)+'LINEST VARS'!$A$54*(0.5*12.73)</f>
        <v>3.9749999999999996</v>
      </c>
      <c r="AQ43" s="51">
        <f>'LINEST VARS'!$U$54+'LINEST VARS'!$T$54*($AQ$32)+'LINEST VARS'!$S$54*($Z43)+'LINEST VARS'!$R$54*(4)+'LINEST VARS'!$Q$54*(0.5)+'LINEST VARS'!$P$54*(12.73)+'LINEST VARS'!$O$54*($AQ$32^2)+'LINEST VARS'!$N$54*($Z43^2)+'LINEST VARS'!$M$54*(4^2)+'LINEST VARS'!$L$54*(0.5^2)+'LINEST VARS'!$K$54*(12.73^2)+'LINEST VARS'!$J$54*($AQ$32*$Z43)+'LINEST VARS'!$I$54*($AQ$32*4)+'LINEST VARS'!$H$54*($AQ$32*0.5)+'LINEST VARS'!$G$54*($AQ$32*12.73)+'LINEST VARS'!$F$54*($Z43*4)+'LINEST VARS'!$E$54*($Z43*0.5)+'LINEST VARS'!$D$54*($Z43*12.73)+'LINEST VARS'!$C$54*(4*0.5)+'LINEST VARS'!$B$54*(4*12.73)+'LINEST VARS'!$A$54*(0.5*12.73)</f>
        <v>3.9749999999999996</v>
      </c>
      <c r="AR43" s="51">
        <f>'LINEST VARS'!$U$54+'LINEST VARS'!$T$54*($AR$32)+'LINEST VARS'!$S$54*($Z43)+'LINEST VARS'!$R$54*(4)+'LINEST VARS'!$Q$54*(0.5)+'LINEST VARS'!$P$54*(12.73)+'LINEST VARS'!$O$54*($AR$32^2)+'LINEST VARS'!$N$54*($Z43^2)+'LINEST VARS'!$M$54*(4^2)+'LINEST VARS'!$L$54*(0.5^2)+'LINEST VARS'!$K$54*(12.73^2)+'LINEST VARS'!$J$54*($AR$32*$Z43)+'LINEST VARS'!$I$54*($AR$32*4)+'LINEST VARS'!$H$54*($AR$32*0.5)+'LINEST VARS'!$G$54*($AR$32*12.73)+'LINEST VARS'!$F$54*($Z43*4)+'LINEST VARS'!$E$54*($Z43*0.5)+'LINEST VARS'!$D$54*($Z43*12.73)+'LINEST VARS'!$C$54*(4*0.5)+'LINEST VARS'!$B$54*(4*12.73)+'LINEST VARS'!$A$54*(0.5*12.73)</f>
        <v>3.9749999999999996</v>
      </c>
      <c r="AS43" s="51">
        <f>'LINEST VARS'!$U$54+'LINEST VARS'!$T$54*($AS$32)+'LINEST VARS'!$S$54*($Z43)+'LINEST VARS'!$R$54*(4)+'LINEST VARS'!$Q$54*(0.5)+'LINEST VARS'!$P$54*(12.73)+'LINEST VARS'!$O$54*($AS$32^2)+'LINEST VARS'!$N$54*($Z43^2)+'LINEST VARS'!$M$54*(4^2)+'LINEST VARS'!$L$54*(0.5^2)+'LINEST VARS'!$K$54*(12.73^2)+'LINEST VARS'!$J$54*($AS$32*$Z43)+'LINEST VARS'!$I$54*($AS$32*4)+'LINEST VARS'!$H$54*($AS$32*0.5)+'LINEST VARS'!$G$54*($AS$32*12.73)+'LINEST VARS'!$F$54*($Z43*4)+'LINEST VARS'!$E$54*($Z43*0.5)+'LINEST VARS'!$D$54*($Z43*12.73)+'LINEST VARS'!$C$54*(4*0.5)+'LINEST VARS'!$B$54*(4*12.73)+'LINEST VARS'!$A$54*(0.5*12.73)</f>
        <v>3.9749999999999996</v>
      </c>
      <c r="AT43" s="51">
        <f>'LINEST VARS'!$U$54+'LINEST VARS'!$T$54*($AT$32)+'LINEST VARS'!$S$54*($Z43)+'LINEST VARS'!$R$54*(4)+'LINEST VARS'!$Q$54*(0.5)+'LINEST VARS'!$P$54*(12.73)+'LINEST VARS'!$O$54*($AT$32^2)+'LINEST VARS'!$N$54*($Z43^2)+'LINEST VARS'!$M$54*(4^2)+'LINEST VARS'!$L$54*(0.5^2)+'LINEST VARS'!$K$54*(12.73^2)+'LINEST VARS'!$J$54*($AT$32*$Z43)+'LINEST VARS'!$I$54*($AT$32*4)+'LINEST VARS'!$H$54*($AT$32*0.5)+'LINEST VARS'!$G$54*($AT$32*12.73)+'LINEST VARS'!$F$54*($Z43*4)+'LINEST VARS'!$E$54*($Z43*0.5)+'LINEST VARS'!$D$54*($Z43*12.73)+'LINEST VARS'!$C$54*(4*0.5)+'LINEST VARS'!$B$54*(4*12.73)+'LINEST VARS'!$A$54*(0.5*12.73)</f>
        <v>3.9750000000000001</v>
      </c>
      <c r="AU43" s="52">
        <f>'LINEST VARS'!$U$54+'LINEST VARS'!$T$54*($AU$32)+'LINEST VARS'!$S$54*($Z43)+'LINEST VARS'!$R$54*(4)+'LINEST VARS'!$Q$54*(0.5)+'LINEST VARS'!$P$54*(12.73)+'LINEST VARS'!$O$54*($AU$32^2)+'LINEST VARS'!$N$54*($Z43^2)+'LINEST VARS'!$M$54*(4^2)+'LINEST VARS'!$L$54*(0.5^2)+'LINEST VARS'!$K$54*(12.73^2)+'LINEST VARS'!$J$54*($AU$32*$Z43)+'LINEST VARS'!$I$54*($AU$32*4)+'LINEST VARS'!$H$54*($AU$32*0.5)+'LINEST VARS'!$G$54*($AU$32*12.73)+'LINEST VARS'!$F$54*($Z43*4)+'LINEST VARS'!$E$54*($Z43*0.5)+'LINEST VARS'!$D$54*($Z43*12.73)+'LINEST VARS'!$C$54*(4*0.5)+'LINEST VARS'!$B$54*(4*12.73)+'LINEST VARS'!$A$54*(0.5*12.73)</f>
        <v>3.9750000000000001</v>
      </c>
      <c r="AZ43" s="45">
        <v>0.5</v>
      </c>
      <c r="BA43" s="51">
        <f>'LINEST VARS'!$U$52+'LINEST VARS'!$T$52*(8)+'LINEST VARS'!$S$52*(8)+'LINEST VARS'!$R$52*($BA$32)+'LINEST VARS'!$Q$52*($AZ43)+'LINEST VARS'!$P$52*(12.73)+'LINEST VARS'!$O$52*(8^2)+'LINEST VARS'!$N$52*(8^2)+'LINEST VARS'!$M$52*($BA$32^2)+'LINEST VARS'!$L$52*($AZ43^2)+'LINEST VARS'!$K$52*(12.73^2)+'LINEST VARS'!$J$52*(8*8)+'LINEST VARS'!$I$52*(8*$BA$32)+'LINEST VARS'!$H$52*(8*$AZ43)+'LINEST VARS'!$G$52*(8*12.73)+'LINEST VARS'!$F$52*(8*$BA$32)+'LINEST VARS'!$E$52*(8*$AZ43)+'LINEST VARS'!$D$52*(8*12.73)+'LINEST VARS'!$C$52*($BA$32*$AZ43)+'LINEST VARS'!$B$52*($BA$32*12.73)+'LINEST VARS'!$A$52*($AZ43*12.73)</f>
        <v>4.4499999999999984</v>
      </c>
      <c r="BB43" s="51">
        <f>'LINEST VARS'!$U$52+'LINEST VARS'!$T$52*(8)+'LINEST VARS'!$S$52*(8)+'LINEST VARS'!$R$52*($BB$32)+'LINEST VARS'!$Q$52*($AZ43)+'LINEST VARS'!$P$52*(12.73)+'LINEST VARS'!$O$52*(8^2)+'LINEST VARS'!$N$52*(8^2)+'LINEST VARS'!$M$52*($BB$32^2)+'LINEST VARS'!$L$52*($AZ43^2)+'LINEST VARS'!$K$52*(12.73^2)+'LINEST VARS'!$J$52*(8*8)+'LINEST VARS'!$I$52*(8*$BB$32)+'LINEST VARS'!$H$52*(8*$AZ43)+'LINEST VARS'!$G$52*(8*12.73)+'LINEST VARS'!$F$52*(8*$BB$32)+'LINEST VARS'!$E$52*(8*$AZ43)+'LINEST VARS'!$D$52*(8*12.73)+'LINEST VARS'!$C$52*($BB$32*$AZ43)+'LINEST VARS'!$B$52*($BB$32*12.73)+'LINEST VARS'!$A$52*($AZ43*12.73)</f>
        <v>4.4499999999999984</v>
      </c>
      <c r="BC43" s="51">
        <f>'LINEST VARS'!$U$52+'LINEST VARS'!$T$52*(8)+'LINEST VARS'!$S$52*(8)+'LINEST VARS'!$R$52*($BC$32)+'LINEST VARS'!$Q$52*($AZ43)+'LINEST VARS'!$P$52*(12.73)+'LINEST VARS'!$O$52*(8^2)+'LINEST VARS'!$N$52*(8^2)+'LINEST VARS'!$M$52*($BC$32^2)+'LINEST VARS'!$L$52*($AZ43^2)+'LINEST VARS'!$K$52*(12.73^2)+'LINEST VARS'!$J$52*(8*8)+'LINEST VARS'!$I$52*(8*$BC$32)+'LINEST VARS'!$H$52*(8*$AZ43)+'LINEST VARS'!$G$52*(8*12.73)+'LINEST VARS'!$F$52*(8*$BC$32)+'LINEST VARS'!$E$52*(8*$AZ43)+'LINEST VARS'!$D$52*(8*12.73)+'LINEST VARS'!$C$52*($BC$32*$AZ43)+'LINEST VARS'!$B$52*($BC$32*12.73)+'LINEST VARS'!$A$52*($AZ43*12.73)</f>
        <v>4.4499999999999984</v>
      </c>
      <c r="BD43" s="51">
        <f>'LINEST VARS'!$U$52+'LINEST VARS'!$T$52*(8)+'LINEST VARS'!$S$52*(8)+'LINEST VARS'!$R$52*($BD$32)+'LINEST VARS'!$Q$52*($AZ43)+'LINEST VARS'!$P$52*(12.73)+'LINEST VARS'!$O$52*(8^2)+'LINEST VARS'!$N$52*(8^2)+'LINEST VARS'!$M$52*($BD$32^2)+'LINEST VARS'!$L$52*($AZ43^2)+'LINEST VARS'!$K$52*(12.73^2)+'LINEST VARS'!$J$52*(8*8)+'LINEST VARS'!$I$52*(8*$BD$32)+'LINEST VARS'!$H$52*(8*$AZ43)+'LINEST VARS'!$G$52*(8*12.73)+'LINEST VARS'!$F$52*(8*$BD$32)+'LINEST VARS'!$E$52*(8*$AZ43)+'LINEST VARS'!$D$52*(8*12.73)+'LINEST VARS'!$C$52*($BD$32*$AZ43)+'LINEST VARS'!$B$52*($BD$32*12.73)+'LINEST VARS'!$A$52*($AZ43*12.73)</f>
        <v>4.4499999999999984</v>
      </c>
      <c r="BE43" s="51">
        <f>'LINEST VARS'!$U$52+'LINEST VARS'!$T$52*(8)+'LINEST VARS'!$S$52*(8)+'LINEST VARS'!$R$52*($BE$32)+'LINEST VARS'!$Q$52*($AZ43)+'LINEST VARS'!$P$52*(12.73)+'LINEST VARS'!$O$52*(8^2)+'LINEST VARS'!$N$52*(8^2)+'LINEST VARS'!$M$52*($BE$32^2)+'LINEST VARS'!$L$52*($AZ43^2)+'LINEST VARS'!$K$52*(12.73^2)+'LINEST VARS'!$J$52*(8*8)+'LINEST VARS'!$I$52*(8*$BE$32)+'LINEST VARS'!$H$52*(8*$AZ43)+'LINEST VARS'!$G$52*(8*12.73)+'LINEST VARS'!$F$52*(8*$BE$32)+'LINEST VARS'!$E$52*(8*$AZ43)+'LINEST VARS'!$D$52*(8*12.73)+'LINEST VARS'!$C$52*($BE$32*$AZ43)+'LINEST VARS'!$B$52*($BE$32*12.73)+'LINEST VARS'!$A$52*($AZ43*12.73)</f>
        <v>4.4499999999999984</v>
      </c>
      <c r="BF43" s="51">
        <f>'LINEST VARS'!$U$52+'LINEST VARS'!$T$52*(8)+'LINEST VARS'!$S$52*(8)+'LINEST VARS'!$R$52*($BF$32)+'LINEST VARS'!$Q$52*($AZ43)+'LINEST VARS'!$P$52*(12.73)+'LINEST VARS'!$O$52*(8^2)+'LINEST VARS'!$N$52*(8^2)+'LINEST VARS'!$M$52*($BF$32^2)+'LINEST VARS'!$L$52*($AZ43^2)+'LINEST VARS'!$K$52*(12.73^2)+'LINEST VARS'!$J$52*(8*8)+'LINEST VARS'!$I$52*(8*$BF$32)+'LINEST VARS'!$H$52*(8*$AZ43)+'LINEST VARS'!$G$52*(8*12.73)+'LINEST VARS'!$F$52*(8*$BF$32)+'LINEST VARS'!$E$52*(8*$AZ43)+'LINEST VARS'!$D$52*(8*12.73)+'LINEST VARS'!$C$52*($BF$32*$AZ43)+'LINEST VARS'!$B$52*($BF$32*12.73)+'LINEST VARS'!$A$52*($AZ43*12.73)</f>
        <v>4.4499999999999984</v>
      </c>
      <c r="BG43" s="51">
        <f>'LINEST VARS'!$U$52+'LINEST VARS'!$T$52*(8)+'LINEST VARS'!$S$52*(8)+'LINEST VARS'!$R$52*($BG$32)+'LINEST VARS'!$Q$52*($AZ43)+'LINEST VARS'!$P$52*(12.73)+'LINEST VARS'!$O$52*(8^2)+'LINEST VARS'!$N$52*(8^2)+'LINEST VARS'!$M$52*($BG$32^2)+'LINEST VARS'!$L$52*($AZ43^2)+'LINEST VARS'!$K$52*(12.73^2)+'LINEST VARS'!$J$52*(8*8)+'LINEST VARS'!$I$52*(8*$BG$32)+'LINEST VARS'!$H$52*(8*$AZ43)+'LINEST VARS'!$G$52*(8*12.73)+'LINEST VARS'!$F$52*(8*$BG$32)+'LINEST VARS'!$E$52*(8*$AZ43)+'LINEST VARS'!$D$52*(8*12.73)+'LINEST VARS'!$C$52*($BG$32*$AZ43)+'LINEST VARS'!$B$52*($BG$32*12.73)+'LINEST VARS'!$A$52*($AZ43*12.73)</f>
        <v>4.4499999999999984</v>
      </c>
      <c r="BH43" s="51">
        <f>'LINEST VARS'!$U$52+'LINEST VARS'!$T$52*(8)+'LINEST VARS'!$S$52*(8)+'LINEST VARS'!$R$52*($BH$32)+'LINEST VARS'!$Q$52*($AZ43)+'LINEST VARS'!$P$52*(12.73)+'LINEST VARS'!$O$52*(8^2)+'LINEST VARS'!$N$52*(8^2)+'LINEST VARS'!$M$52*($BH$32^2)+'LINEST VARS'!$L$52*($AZ43^2)+'LINEST VARS'!$K$52*(12.73^2)+'LINEST VARS'!$J$52*(8*8)+'LINEST VARS'!$I$52*(8*$BH$32)+'LINEST VARS'!$H$52*(8*$AZ43)+'LINEST VARS'!$G$52*(8*12.73)+'LINEST VARS'!$F$52*(8*$BH$32)+'LINEST VARS'!$E$52*(8*$AZ43)+'LINEST VARS'!$D$52*(8*12.73)+'LINEST VARS'!$C$52*($BH$32*$AZ43)+'LINEST VARS'!$B$52*($BH$32*12.73)+'LINEST VARS'!$A$52*($AZ43*12.73)</f>
        <v>4.4499999999999984</v>
      </c>
      <c r="BI43" s="51">
        <f>'LINEST VARS'!$U$52+'LINEST VARS'!$T$52*(8)+'LINEST VARS'!$S$52*(8)+'LINEST VARS'!$R$52*($BI$32)+'LINEST VARS'!$Q$52*($AZ43)+'LINEST VARS'!$P$52*(12.73)+'LINEST VARS'!$O$52*(8^2)+'LINEST VARS'!$N$52*(8^2)+'LINEST VARS'!$M$52*($BI$32^2)+'LINEST VARS'!$L$52*($AZ43^2)+'LINEST VARS'!$K$52*(12.73^2)+'LINEST VARS'!$J$52*(8*8)+'LINEST VARS'!$I$52*(8*$BI$32)+'LINEST VARS'!$H$52*(8*$AZ43)+'LINEST VARS'!$G$52*(8*12.73)+'LINEST VARS'!$F$52*(8*$BI$32)+'LINEST VARS'!$E$52*(8*$AZ43)+'LINEST VARS'!$D$52*(8*12.73)+'LINEST VARS'!$C$52*($BI$32*$AZ43)+'LINEST VARS'!$B$52*($BI$32*12.73)+'LINEST VARS'!$A$52*($AZ43*12.73)</f>
        <v>4.4499999999999984</v>
      </c>
      <c r="BJ43" s="51">
        <f>'LINEST VARS'!$U$52+'LINEST VARS'!$T$52*(8)+'LINEST VARS'!$S$52*(8)+'LINEST VARS'!$R$52*($BJ$32)+'LINEST VARS'!$Q$52*($AZ43)+'LINEST VARS'!$P$52*(12.73)+'LINEST VARS'!$O$52*(8^2)+'LINEST VARS'!$N$52*(8^2)+'LINEST VARS'!$M$52*($BJ$32^2)+'LINEST VARS'!$L$52*($AZ43^2)+'LINEST VARS'!$K$52*(12.73^2)+'LINEST VARS'!$J$52*(8*8)+'LINEST VARS'!$I$52*(8*$BJ$32)+'LINEST VARS'!$H$52*(8*$AZ43)+'LINEST VARS'!$G$52*(8*12.73)+'LINEST VARS'!$F$52*(8*$BJ$32)+'LINEST VARS'!$E$52*(8*$AZ43)+'LINEST VARS'!$D$52*(8*12.73)+'LINEST VARS'!$C$52*($BJ$32*$AZ43)+'LINEST VARS'!$B$52*($BJ$32*12.73)+'LINEST VARS'!$A$52*($AZ43*12.73)</f>
        <v>4.4499999999999984</v>
      </c>
      <c r="BK43" s="51">
        <f>'LINEST VARS'!$U$52+'LINEST VARS'!$T$52*(8)+'LINEST VARS'!$S$52*(8)+'LINEST VARS'!$R$52*($BK$32)+'LINEST VARS'!$Q$52*($AZ43)+'LINEST VARS'!$P$52*(12.73)+'LINEST VARS'!$O$52*(8^2)+'LINEST VARS'!$N$52*(8^2)+'LINEST VARS'!$M$52*($BK$32^2)+'LINEST VARS'!$L$52*($AZ43^2)+'LINEST VARS'!$K$52*(12.73^2)+'LINEST VARS'!$J$52*(8*8)+'LINEST VARS'!$I$52*(8*$BK$32)+'LINEST VARS'!$H$52*(8*$AZ43)+'LINEST VARS'!$G$52*(8*12.73)+'LINEST VARS'!$F$52*(8*$BK$32)+'LINEST VARS'!$E$52*(8*$AZ43)+'LINEST VARS'!$D$52*(8*12.73)+'LINEST VARS'!$C$52*($BK$32*$AZ43)+'LINEST VARS'!$B$52*($BK$32*12.73)+'LINEST VARS'!$A$52*($AZ43*12.73)</f>
        <v>4.4499999999999984</v>
      </c>
      <c r="BL43" s="51">
        <f>'LINEST VARS'!$U$52+'LINEST VARS'!$T$52*(8)+'LINEST VARS'!$S$52*(8)+'LINEST VARS'!$R$52*($BL$32)+'LINEST VARS'!$Q$52*($AZ43)+'LINEST VARS'!$P$52*(12.73)+'LINEST VARS'!$O$52*(8^2)+'LINEST VARS'!$N$52*(8^2)+'LINEST VARS'!$M$52*($BL$32^2)+'LINEST VARS'!$L$52*($AZ43^2)+'LINEST VARS'!$K$52*(12.73^2)+'LINEST VARS'!$J$52*(8*8)+'LINEST VARS'!$I$52*(8*$BL$32)+'LINEST VARS'!$H$52*(8*$AZ43)+'LINEST VARS'!$G$52*(8*12.73)+'LINEST VARS'!$F$52*(8*$BL$32)+'LINEST VARS'!$E$52*(8*$AZ43)+'LINEST VARS'!$D$52*(8*12.73)+'LINEST VARS'!$C$52*($BL$32*$AZ43)+'LINEST VARS'!$B$52*($BL$32*12.73)+'LINEST VARS'!$A$52*($AZ43*12.73)</f>
        <v>4.4499999999999984</v>
      </c>
      <c r="BM43" s="51">
        <f>'LINEST VARS'!$U$52+'LINEST VARS'!$T$52*(8)+'LINEST VARS'!$S$52*(8)+'LINEST VARS'!$R$52*($BM$32)+'LINEST VARS'!$Q$52*($AZ43)+'LINEST VARS'!$P$52*(12.73)+'LINEST VARS'!$O$52*(8^2)+'LINEST VARS'!$N$52*(8^2)+'LINEST VARS'!$M$52*($BM$32^2)+'LINEST VARS'!$L$52*($AZ43^2)+'LINEST VARS'!$K$52*(12.73^2)+'LINEST VARS'!$J$52*(8*8)+'LINEST VARS'!$I$52*(8*$BM$32)+'LINEST VARS'!$H$52*(8*$AZ43)+'LINEST VARS'!$G$52*(8*12.73)+'LINEST VARS'!$F$52*(8*$BM$32)+'LINEST VARS'!$E$52*(8*$AZ43)+'LINEST VARS'!$D$52*(8*12.73)+'LINEST VARS'!$C$52*($BM$32*$AZ43)+'LINEST VARS'!$B$52*($BM$32*12.73)+'LINEST VARS'!$A$52*($AZ43*12.73)</f>
        <v>4.4499999999999984</v>
      </c>
      <c r="BN43" s="51">
        <f>'LINEST VARS'!$U$52+'LINEST VARS'!$T$52*(8)+'LINEST VARS'!$S$52*(8)+'LINEST VARS'!$R$52*($BN$32)+'LINEST VARS'!$Q$52*($AZ43)+'LINEST VARS'!$P$52*(12.73)+'LINEST VARS'!$O$52*(8^2)+'LINEST VARS'!$N$52*(8^2)+'LINEST VARS'!$M$52*($BN$32^2)+'LINEST VARS'!$L$52*($AZ43^2)+'LINEST VARS'!$K$52*(12.73^2)+'LINEST VARS'!$J$52*(8*8)+'LINEST VARS'!$I$52*(8*$BN$32)+'LINEST VARS'!$H$52*(8*$AZ43)+'LINEST VARS'!$G$52*(8*12.73)+'LINEST VARS'!$F$52*(8*$BN$32)+'LINEST VARS'!$E$52*(8*$AZ43)+'LINEST VARS'!$D$52*(8*12.73)+'LINEST VARS'!$C$52*($BN$32*$AZ43)+'LINEST VARS'!$B$52*($BN$32*12.73)+'LINEST VARS'!$A$52*($AZ43*12.73)</f>
        <v>4.4499999999999984</v>
      </c>
      <c r="BO43" s="51">
        <f>'LINEST VARS'!$U$52+'LINEST VARS'!$T$52*(8)+'LINEST VARS'!$S$52*(8)+'LINEST VARS'!$R$52*($BO$32)+'LINEST VARS'!$Q$52*($AZ43)+'LINEST VARS'!$P$52*(12.73)+'LINEST VARS'!$O$52*(8^2)+'LINEST VARS'!$N$52*(8^2)+'LINEST VARS'!$M$52*($BO$32^2)+'LINEST VARS'!$L$52*($AZ43^2)+'LINEST VARS'!$K$52*(12.73^2)+'LINEST VARS'!$J$52*(8*8)+'LINEST VARS'!$I$52*(8*$BO$32)+'LINEST VARS'!$H$52*(8*$AZ43)+'LINEST VARS'!$G$52*(8*12.73)+'LINEST VARS'!$F$52*(8*$BO$32)+'LINEST VARS'!$E$52*(8*$AZ43)+'LINEST VARS'!$D$52*(8*12.73)+'LINEST VARS'!$C$52*($BO$32*$AZ43)+'LINEST VARS'!$B$52*($BO$32*12.73)+'LINEST VARS'!$A$52*($AZ43*12.73)</f>
        <v>4.4499999999999984</v>
      </c>
      <c r="BP43" s="51">
        <f>'LINEST VARS'!$U$52+'LINEST VARS'!$T$52*(8)+'LINEST VARS'!$S$52*(8)+'LINEST VARS'!$R$52*($BP$32)+'LINEST VARS'!$Q$52*($AZ43)+'LINEST VARS'!$P$52*(12.73)+'LINEST VARS'!$O$52*(8^2)+'LINEST VARS'!$N$52*(8^2)+'LINEST VARS'!$M$52*($BP$32^2)+'LINEST VARS'!$L$52*($AZ43^2)+'LINEST VARS'!$K$52*(12.73^2)+'LINEST VARS'!$J$52*(8*8)+'LINEST VARS'!$I$52*(8*$BP$32)+'LINEST VARS'!$H$52*(8*$AZ43)+'LINEST VARS'!$G$52*(8*12.73)+'LINEST VARS'!$F$52*(8*$BP$32)+'LINEST VARS'!$E$52*(8*$AZ43)+'LINEST VARS'!$D$52*(8*12.73)+'LINEST VARS'!$C$52*($BP$32*$AZ43)+'LINEST VARS'!$B$52*($BP$32*12.73)+'LINEST VARS'!$A$52*($AZ43*12.73)</f>
        <v>4.4499999999999984</v>
      </c>
      <c r="BQ43" s="51">
        <f>'LINEST VARS'!$U$52+'LINEST VARS'!$T$52*(8)+'LINEST VARS'!$S$52*(8)+'LINEST VARS'!$R$52*($BQ$32)+'LINEST VARS'!$Q$52*($AZ43)+'LINEST VARS'!$P$52*(12.73)+'LINEST VARS'!$O$52*(8^2)+'LINEST VARS'!$N$52*(8^2)+'LINEST VARS'!$M$52*($BQ$32^2)+'LINEST VARS'!$L$52*($AZ43^2)+'LINEST VARS'!$K$52*(12.73^2)+'LINEST VARS'!$J$52*(8*8)+'LINEST VARS'!$I$52*(8*$BQ$32)+'LINEST VARS'!$H$52*(8*$AZ43)+'LINEST VARS'!$G$52*(8*12.73)+'LINEST VARS'!$F$52*(8*$BQ$32)+'LINEST VARS'!$E$52*(8*$AZ43)+'LINEST VARS'!$D$52*(8*12.73)+'LINEST VARS'!$C$52*($BQ$32*$AZ43)+'LINEST VARS'!$B$52*($BQ$32*12.73)+'LINEST VARS'!$A$52*($AZ43*12.73)</f>
        <v>4.4499999999999984</v>
      </c>
      <c r="BR43" s="51">
        <f>'LINEST VARS'!$U$52+'LINEST VARS'!$T$52*(8)+'LINEST VARS'!$S$52*(8)+'LINEST VARS'!$R$52*($BR$32)+'LINEST VARS'!$Q$52*($AZ43)+'LINEST VARS'!$P$52*(12.73)+'LINEST VARS'!$O$52*(8^2)+'LINEST VARS'!$N$52*(8^2)+'LINEST VARS'!$M$52*($BR$32^2)+'LINEST VARS'!$L$52*($AZ43^2)+'LINEST VARS'!$K$52*(12.73^2)+'LINEST VARS'!$J$52*(8*8)+'LINEST VARS'!$I$52*(8*$BR$32)+'LINEST VARS'!$H$52*(8*$AZ43)+'LINEST VARS'!$G$52*(8*12.73)+'LINEST VARS'!$F$52*(8*$BR$32)+'LINEST VARS'!$E$52*(8*$AZ43)+'LINEST VARS'!$D$52*(8*12.73)+'LINEST VARS'!$C$52*($BR$32*$AZ43)+'LINEST VARS'!$B$52*($BR$32*12.73)+'LINEST VARS'!$A$52*($AZ43*12.73)</f>
        <v>4.4499999999999984</v>
      </c>
      <c r="BS43" s="51">
        <f>'LINEST VARS'!$U$52+'LINEST VARS'!$T$52*(8)+'LINEST VARS'!$S$52*(8)+'LINEST VARS'!$R$52*($BS$32)+'LINEST VARS'!$Q$52*($AZ43)+'LINEST VARS'!$P$52*(12.73)+'LINEST VARS'!$O$52*(8^2)+'LINEST VARS'!$N$52*(8^2)+'LINEST VARS'!$M$52*($BS$32^2)+'LINEST VARS'!$L$52*($AZ43^2)+'LINEST VARS'!$K$52*(12.73^2)+'LINEST VARS'!$J$52*(8*8)+'LINEST VARS'!$I$52*(8*$BS$32)+'LINEST VARS'!$H$52*(8*$AZ43)+'LINEST VARS'!$G$52*(8*12.73)+'LINEST VARS'!$F$52*(8*$BS$32)+'LINEST VARS'!$E$52*(8*$AZ43)+'LINEST VARS'!$D$52*(8*12.73)+'LINEST VARS'!$C$52*($BS$32*$AZ43)+'LINEST VARS'!$B$52*($BS$32*12.73)+'LINEST VARS'!$A$52*($AZ43*12.73)</f>
        <v>4.4499999999999984</v>
      </c>
      <c r="BT43" s="51">
        <f>'LINEST VARS'!$U$52+'LINEST VARS'!$T$52*(8)+'LINEST VARS'!$S$52*(8)+'LINEST VARS'!$R$52*($BT$32)+'LINEST VARS'!$Q$52*($AZ43)+'LINEST VARS'!$P$52*(12.73)+'LINEST VARS'!$O$52*(8^2)+'LINEST VARS'!$N$52*(8^2)+'LINEST VARS'!$M$52*($BT$32^2)+'LINEST VARS'!$L$52*($AZ43^2)+'LINEST VARS'!$K$52*(12.73^2)+'LINEST VARS'!$J$52*(8*8)+'LINEST VARS'!$I$52*(8*$BT$32)+'LINEST VARS'!$H$52*(8*$AZ43)+'LINEST VARS'!$G$52*(8*12.73)+'LINEST VARS'!$F$52*(8*$BT$32)+'LINEST VARS'!$E$52*(8*$AZ43)+'LINEST VARS'!$D$52*(8*12.73)+'LINEST VARS'!$C$52*($BT$32*$AZ43)+'LINEST VARS'!$B$52*($BT$32*12.73)+'LINEST VARS'!$A$52*($AZ43*12.73)</f>
        <v>4.4499999999999984</v>
      </c>
      <c r="BU43" s="52">
        <f>'LINEST VARS'!$U$52+'LINEST VARS'!$T$52*(8)+'LINEST VARS'!$S$52*(8)+'LINEST VARS'!$R$52*($BU$32)+'LINEST VARS'!$Q$52*($AZ43)+'LINEST VARS'!$P$52*(12.73)+'LINEST VARS'!$O$52*(8^2)+'LINEST VARS'!$N$52*(8^2)+'LINEST VARS'!$M$52*($BU$32^2)+'LINEST VARS'!$L$52*($AZ43^2)+'LINEST VARS'!$K$52*(12.73^2)+'LINEST VARS'!$J$52*(8*8)+'LINEST VARS'!$I$52*(8*$BU$32)+'LINEST VARS'!$H$52*(8*$AZ43)+'LINEST VARS'!$G$52*(8*12.73)+'LINEST VARS'!$F$52*(8*$BU$32)+'LINEST VARS'!$E$52*(8*$AZ43)+'LINEST VARS'!$D$52*(8*12.73)+'LINEST VARS'!$C$52*($BU$32*$AZ43)+'LINEST VARS'!$B$52*($BU$32*12.73)+'LINEST VARS'!$A$52*($AZ43*12.73)</f>
        <v>4.4499999999999984</v>
      </c>
      <c r="BX43" s="45">
        <v>0.5</v>
      </c>
      <c r="BY43" s="51">
        <f>'LINEST VARS'!$U$54+'LINEST VARS'!$T$54*(8)+'LINEST VARS'!$S$54*(8)+'LINEST VARS'!$R$54*($BY$32)+'LINEST VARS'!$Q$54*($BX43)+'LINEST VARS'!$P$54*(12.73)+'LINEST VARS'!$O$54*(8^2)+'LINEST VARS'!$N$54*(8^2)+'LINEST VARS'!$M$54*($BY$32^2)+'LINEST VARS'!$L$54*($BX43^2)+'LINEST VARS'!$K$54*(12.73^2)+'LINEST VARS'!$J$54*(8*8)+'LINEST VARS'!$I$54*(8*$BY$32)+'LINEST VARS'!$H$54*(8*$BX43)+'LINEST VARS'!$G$54*(8*12.73)+'LINEST VARS'!$F$54*(8*$BY$32)+'LINEST VARS'!$E$54*(8*$BX43)+'LINEST VARS'!$D$54*(8*12.73)+'LINEST VARS'!$C$54*($BY$32*$BX43)+'LINEST VARS'!$B$54*($BY$32*12.73)+'LINEST VARS'!$A$54*($BX43*12.73)</f>
        <v>3.9749999999999996</v>
      </c>
      <c r="BZ43" s="51">
        <f>'LINEST VARS'!$U$54+'LINEST VARS'!$T$54*(8)+'LINEST VARS'!$S$54*(8)+'LINEST VARS'!$R$54*($BZ$32)+'LINEST VARS'!$Q$54*($BX43)+'LINEST VARS'!$P$54*(12.73)+'LINEST VARS'!$O$54*(8^2)+'LINEST VARS'!$N$54*(8^2)+'LINEST VARS'!$M$54*($BZ$32^2)+'LINEST VARS'!$L$54*($BX43^2)+'LINEST VARS'!$K$54*(12.73^2)+'LINEST VARS'!$J$54*(8*8)+'LINEST VARS'!$I$54*(8*$BZ$32)+'LINEST VARS'!$H$54*(8*$BX43)+'LINEST VARS'!$G$54*(8*12.73)+'LINEST VARS'!$F$54*(8*$BZ$32)+'LINEST VARS'!$E$54*(8*$BX43)+'LINEST VARS'!$D$54*(8*12.73)+'LINEST VARS'!$C$54*($BZ$32*$BX43)+'LINEST VARS'!$B$54*($BZ$32*12.73)+'LINEST VARS'!$A$54*($BX43*12.73)</f>
        <v>3.9749999999999996</v>
      </c>
      <c r="CA43" s="51">
        <f>'LINEST VARS'!$U$54+'LINEST VARS'!$T$54*(8)+'LINEST VARS'!$S$54*(8)+'LINEST VARS'!$R$54*($CA$32)+'LINEST VARS'!$Q$54*($BX43)+'LINEST VARS'!$P$54*(12.73)+'LINEST VARS'!$O$54*(8^2)+'LINEST VARS'!$N$54*(8^2)+'LINEST VARS'!$M$54*($CA$32^2)+'LINEST VARS'!$L$54*($BX43^2)+'LINEST VARS'!$K$54*(12.73^2)+'LINEST VARS'!$J$54*(8*8)+'LINEST VARS'!$I$54*(8*$CA$32)+'LINEST VARS'!$H$54*(8*$BX43)+'LINEST VARS'!$G$54*(8*12.73)+'LINEST VARS'!$F$54*(8*$CA$32)+'LINEST VARS'!$E$54*(8*$BX43)+'LINEST VARS'!$D$54*(8*12.73)+'LINEST VARS'!$C$54*($CA$32*$BX43)+'LINEST VARS'!$B$54*($CA$32*12.73)+'LINEST VARS'!$A$54*($BX43*12.73)</f>
        <v>3.9749999999999996</v>
      </c>
      <c r="CB43" s="51">
        <f>'LINEST VARS'!$U$54+'LINEST VARS'!$T$54*(8)+'LINEST VARS'!$S$54*(8)+'LINEST VARS'!$R$54*($CB$32)+'LINEST VARS'!$Q$54*($BX43)+'LINEST VARS'!$P$54*(12.73)+'LINEST VARS'!$O$54*(8^2)+'LINEST VARS'!$N$54*(8^2)+'LINEST VARS'!$M$54*($CB$32^2)+'LINEST VARS'!$L$54*($BX43^2)+'LINEST VARS'!$K$54*(12.73^2)+'LINEST VARS'!$J$54*(8*8)+'LINEST VARS'!$I$54*(8*$CB$32)+'LINEST VARS'!$H$54*(8*$BX43)+'LINEST VARS'!$G$54*(8*12.73)+'LINEST VARS'!$F$54*(8*$CB$32)+'LINEST VARS'!$E$54*(8*$BX43)+'LINEST VARS'!$D$54*(8*12.73)+'LINEST VARS'!$C$54*($CB$32*$BX43)+'LINEST VARS'!$B$54*($CB$32*12.73)+'LINEST VARS'!$A$54*($BX43*12.73)</f>
        <v>3.9749999999999996</v>
      </c>
      <c r="CC43" s="51">
        <f>'LINEST VARS'!$U$54+'LINEST VARS'!$T$54*(8)+'LINEST VARS'!$S$54*(8)+'LINEST VARS'!$R$54*($CC$32)+'LINEST VARS'!$Q$54*($BX43)+'LINEST VARS'!$P$54*(12.73)+'LINEST VARS'!$O$54*(8^2)+'LINEST VARS'!$N$54*(8^2)+'LINEST VARS'!$M$54*($CC$32^2)+'LINEST VARS'!$L$54*($BX43^2)+'LINEST VARS'!$K$54*(12.73^2)+'LINEST VARS'!$J$54*(8*8)+'LINEST VARS'!$I$54*(8*$CC$32)+'LINEST VARS'!$H$54*(8*$BX43)+'LINEST VARS'!$G$54*(8*12.73)+'LINEST VARS'!$F$54*(8*$CC$32)+'LINEST VARS'!$E$54*(8*$BX43)+'LINEST VARS'!$D$54*(8*12.73)+'LINEST VARS'!$C$54*($CC$32*$BX43)+'LINEST VARS'!$B$54*($CC$32*12.73)+'LINEST VARS'!$A$54*($BX43*12.73)</f>
        <v>3.9749999999999996</v>
      </c>
      <c r="CD43" s="51">
        <f>'LINEST VARS'!$U$54+'LINEST VARS'!$T$54*(8)+'LINEST VARS'!$S$54*(8)+'LINEST VARS'!$R$54*($CD$32)+'LINEST VARS'!$Q$54*($BX43)+'LINEST VARS'!$P$54*(12.73)+'LINEST VARS'!$O$54*(8^2)+'LINEST VARS'!$N$54*(8^2)+'LINEST VARS'!$M$54*($CD$32^2)+'LINEST VARS'!$L$54*($BX43^2)+'LINEST VARS'!$K$54*(12.73^2)+'LINEST VARS'!$J$54*(8*8)+'LINEST VARS'!$I$54*(8*$CD$32)+'LINEST VARS'!$H$54*(8*$BX43)+'LINEST VARS'!$G$54*(8*12.73)+'LINEST VARS'!$F$54*(8*$CD$32)+'LINEST VARS'!$E$54*(8*$BX43)+'LINEST VARS'!$D$54*(8*12.73)+'LINEST VARS'!$C$54*($CD$32*$BX43)+'LINEST VARS'!$B$54*($CD$32*12.73)+'LINEST VARS'!$A$54*($BX43*12.73)</f>
        <v>3.9749999999999996</v>
      </c>
      <c r="CE43" s="51">
        <f>'LINEST VARS'!$U$54+'LINEST VARS'!$T$54*(8)+'LINEST VARS'!$S$54*(8)+'LINEST VARS'!$R$54*($CE$32)+'LINEST VARS'!$Q$54*($BX43)+'LINEST VARS'!$P$54*(12.73)+'LINEST VARS'!$O$54*(8^2)+'LINEST VARS'!$N$54*(8^2)+'LINEST VARS'!$M$54*($CE$32^2)+'LINEST VARS'!$L$54*($BX43^2)+'LINEST VARS'!$K$54*(12.73^2)+'LINEST VARS'!$J$54*(8*8)+'LINEST VARS'!$I$54*(8*$CE$32)+'LINEST VARS'!$H$54*(8*$BX43)+'LINEST VARS'!$G$54*(8*12.73)+'LINEST VARS'!$F$54*(8*$CE$32)+'LINEST VARS'!$E$54*(8*$BX43)+'LINEST VARS'!$D$54*(8*12.73)+'LINEST VARS'!$C$54*($CE$32*$BX43)+'LINEST VARS'!$B$54*($CE$32*12.73)+'LINEST VARS'!$A$54*($BX43*12.73)</f>
        <v>3.9749999999999996</v>
      </c>
      <c r="CF43" s="51">
        <f>'LINEST VARS'!$U$54+'LINEST VARS'!$T$54*(8)+'LINEST VARS'!$S$54*(8)+'LINEST VARS'!$R$54*($CF$32)+'LINEST VARS'!$Q$54*($BX43)+'LINEST VARS'!$P$54*(12.73)+'LINEST VARS'!$O$54*(8^2)+'LINEST VARS'!$N$54*(8^2)+'LINEST VARS'!$M$54*($CF$32^2)+'LINEST VARS'!$L$54*($BX43^2)+'LINEST VARS'!$K$54*(12.73^2)+'LINEST VARS'!$J$54*(8*8)+'LINEST VARS'!$I$54*(8*$CF$32)+'LINEST VARS'!$H$54*(8*$BX43)+'LINEST VARS'!$G$54*(8*12.73)+'LINEST VARS'!$F$54*(8*$CF$32)+'LINEST VARS'!$E$54*(8*$BX43)+'LINEST VARS'!$D$54*(8*12.73)+'LINEST VARS'!$C$54*($CF$32*$BX43)+'LINEST VARS'!$B$54*($CF$32*12.73)+'LINEST VARS'!$A$54*($BX43*12.73)</f>
        <v>3.9749999999999996</v>
      </c>
      <c r="CG43" s="51">
        <f>'LINEST VARS'!$U$54+'LINEST VARS'!$T$54*(8)+'LINEST VARS'!$S$54*(8)+'LINEST VARS'!$R$54*($CG$32)+'LINEST VARS'!$Q$54*($BX43)+'LINEST VARS'!$P$54*(12.73)+'LINEST VARS'!$O$54*(8^2)+'LINEST VARS'!$N$54*(8^2)+'LINEST VARS'!$M$54*($CG$32^2)+'LINEST VARS'!$L$54*($BX43^2)+'LINEST VARS'!$K$54*(12.73^2)+'LINEST VARS'!$J$54*(8*8)+'LINEST VARS'!$I$54*(8*$CG$32)+'LINEST VARS'!$H$54*(8*$BX43)+'LINEST VARS'!$G$54*(8*12.73)+'LINEST VARS'!$F$54*(8*$CG$32)+'LINEST VARS'!$E$54*(8*$BX43)+'LINEST VARS'!$D$54*(8*12.73)+'LINEST VARS'!$C$54*($CG$32*$BX43)+'LINEST VARS'!$B$54*($CG$32*12.73)+'LINEST VARS'!$A$54*($BX43*12.73)</f>
        <v>3.9749999999999996</v>
      </c>
      <c r="CH43" s="51">
        <f>'LINEST VARS'!$U$54+'LINEST VARS'!$T$54*(8)+'LINEST VARS'!$S$54*(8)+'LINEST VARS'!$R$54*($CH$32)+'LINEST VARS'!$Q$54*($BX43)+'LINEST VARS'!$P$54*(12.73)+'LINEST VARS'!$O$54*(8^2)+'LINEST VARS'!$N$54*(8^2)+'LINEST VARS'!$M$54*($CH$32^2)+'LINEST VARS'!$L$54*($BX43^2)+'LINEST VARS'!$K$54*(12.73^2)+'LINEST VARS'!$J$54*(8*8)+'LINEST VARS'!$I$54*(8*$CH$32)+'LINEST VARS'!$H$54*(8*$BX43)+'LINEST VARS'!$G$54*(8*12.73)+'LINEST VARS'!$F$54*(8*$CH$32)+'LINEST VARS'!$E$54*(8*$BX43)+'LINEST VARS'!$D$54*(8*12.73)+'LINEST VARS'!$C$54*($CH$32*$BX43)+'LINEST VARS'!$B$54*($CH$32*12.73)+'LINEST VARS'!$A$54*($BX43*12.73)</f>
        <v>3.9749999999999996</v>
      </c>
      <c r="CI43" s="51">
        <f>'LINEST VARS'!$U$54+'LINEST VARS'!$T$54*(8)+'LINEST VARS'!$S$54*(8)+'LINEST VARS'!$R$54*($CI$32)+'LINEST VARS'!$Q$54*($BX43)+'LINEST VARS'!$P$54*(12.73)+'LINEST VARS'!$O$54*(8^2)+'LINEST VARS'!$N$54*(8^2)+'LINEST VARS'!$M$54*($CI$32^2)+'LINEST VARS'!$L$54*($BX43^2)+'LINEST VARS'!$K$54*(12.73^2)+'LINEST VARS'!$J$54*(8*8)+'LINEST VARS'!$I$54*(8*$CI$32)+'LINEST VARS'!$H$54*(8*$BX43)+'LINEST VARS'!$G$54*(8*12.73)+'LINEST VARS'!$F$54*(8*$CI$32)+'LINEST VARS'!$E$54*(8*$BX43)+'LINEST VARS'!$D$54*(8*12.73)+'LINEST VARS'!$C$54*($CI$32*$BX43)+'LINEST VARS'!$B$54*($CI$32*12.73)+'LINEST VARS'!$A$54*($BX43*12.73)</f>
        <v>3.9749999999999996</v>
      </c>
      <c r="CJ43" s="51">
        <f>'LINEST VARS'!$U$54+'LINEST VARS'!$T$54*(8)+'LINEST VARS'!$S$54*(8)+'LINEST VARS'!$R$54*($CJ$32)+'LINEST VARS'!$Q$54*($BX43)+'LINEST VARS'!$P$54*(12.73)+'LINEST VARS'!$O$54*(8^2)+'LINEST VARS'!$N$54*(8^2)+'LINEST VARS'!$M$54*($CJ$32^2)+'LINEST VARS'!$L$54*($BX43^2)+'LINEST VARS'!$K$54*(12.73^2)+'LINEST VARS'!$J$54*(8*8)+'LINEST VARS'!$I$54*(8*$CJ$32)+'LINEST VARS'!$H$54*(8*$BX43)+'LINEST VARS'!$G$54*(8*12.73)+'LINEST VARS'!$F$54*(8*$CJ$32)+'LINEST VARS'!$E$54*(8*$BX43)+'LINEST VARS'!$D$54*(8*12.73)+'LINEST VARS'!$C$54*($CJ$32*$BX43)+'LINEST VARS'!$B$54*($CJ$32*12.73)+'LINEST VARS'!$A$54*($BX43*12.73)</f>
        <v>3.9749999999999996</v>
      </c>
      <c r="CK43" s="51">
        <f>'LINEST VARS'!$U$54+'LINEST VARS'!$T$54*(8)+'LINEST VARS'!$S$54*(8)+'LINEST VARS'!$R$54*($CK$32)+'LINEST VARS'!$Q$54*($BX43)+'LINEST VARS'!$P$54*(12.73)+'LINEST VARS'!$O$54*(8^2)+'LINEST VARS'!$N$54*(8^2)+'LINEST VARS'!$M$54*($CK$32^2)+'LINEST VARS'!$L$54*($BX43^2)+'LINEST VARS'!$K$54*(12.73^2)+'LINEST VARS'!$J$54*(8*8)+'LINEST VARS'!$I$54*(8*$CK$32)+'LINEST VARS'!$H$54*(8*$BX43)+'LINEST VARS'!$G$54*(8*12.73)+'LINEST VARS'!$F$54*(8*$CK$32)+'LINEST VARS'!$E$54*(8*$BX43)+'LINEST VARS'!$D$54*(8*12.73)+'LINEST VARS'!$C$54*($CK$32*$BX43)+'LINEST VARS'!$B$54*($CK$32*12.73)+'LINEST VARS'!$A$54*($BX43*12.73)</f>
        <v>3.9749999999999996</v>
      </c>
      <c r="CL43" s="51">
        <f>'LINEST VARS'!$U$54+'LINEST VARS'!$T$54*(8)+'LINEST VARS'!$S$54*(8)+'LINEST VARS'!$R$54*($CL$32)+'LINEST VARS'!$Q$54*($BX43)+'LINEST VARS'!$P$54*(12.73)+'LINEST VARS'!$O$54*(8^2)+'LINEST VARS'!$N$54*(8^2)+'LINEST VARS'!$M$54*($CL$32^2)+'LINEST VARS'!$L$54*($BX43^2)+'LINEST VARS'!$K$54*(12.73^2)+'LINEST VARS'!$J$54*(8*8)+'LINEST VARS'!$I$54*(8*$CL$32)+'LINEST VARS'!$H$54*(8*$BX43)+'LINEST VARS'!$G$54*(8*12.73)+'LINEST VARS'!$F$54*(8*$CL$32)+'LINEST VARS'!$E$54*(8*$BX43)+'LINEST VARS'!$D$54*(8*12.73)+'LINEST VARS'!$C$54*($CL$32*$BX43)+'LINEST VARS'!$B$54*($CL$32*12.73)+'LINEST VARS'!$A$54*($BX43*12.73)</f>
        <v>3.9749999999999996</v>
      </c>
      <c r="CM43" s="51">
        <f>'LINEST VARS'!$U$54+'LINEST VARS'!$T$54*(8)+'LINEST VARS'!$S$54*(8)+'LINEST VARS'!$R$54*($CM$32)+'LINEST VARS'!$Q$54*($BX43)+'LINEST VARS'!$P$54*(12.73)+'LINEST VARS'!$O$54*(8^2)+'LINEST VARS'!$N$54*(8^2)+'LINEST VARS'!$M$54*($CM$32^2)+'LINEST VARS'!$L$54*($BX43^2)+'LINEST VARS'!$K$54*(12.73^2)+'LINEST VARS'!$J$54*(8*8)+'LINEST VARS'!$I$54*(8*$CM$32)+'LINEST VARS'!$H$54*(8*$BX43)+'LINEST VARS'!$G$54*(8*12.73)+'LINEST VARS'!$F$54*(8*$CM$32)+'LINEST VARS'!$E$54*(8*$BX43)+'LINEST VARS'!$D$54*(8*12.73)+'LINEST VARS'!$C$54*($CM$32*$BX43)+'LINEST VARS'!$B$54*($CM$32*12.73)+'LINEST VARS'!$A$54*($BX43*12.73)</f>
        <v>3.9749999999999996</v>
      </c>
      <c r="CN43" s="51">
        <f>'LINEST VARS'!$U$54+'LINEST VARS'!$T$54*(8)+'LINEST VARS'!$S$54*(8)+'LINEST VARS'!$R$54*($CN$32)+'LINEST VARS'!$Q$54*($BX43)+'LINEST VARS'!$P$54*(12.73)+'LINEST VARS'!$O$54*(8^2)+'LINEST VARS'!$N$54*(8^2)+'LINEST VARS'!$M$54*($CN$32^2)+'LINEST VARS'!$L$54*($BX43^2)+'LINEST VARS'!$K$54*(12.73^2)+'LINEST VARS'!$J$54*(8*8)+'LINEST VARS'!$I$54*(8*$CN$32)+'LINEST VARS'!$H$54*(8*$BX43)+'LINEST VARS'!$G$54*(8*12.73)+'LINEST VARS'!$F$54*(8*$CN$32)+'LINEST VARS'!$E$54*(8*$BX43)+'LINEST VARS'!$D$54*(8*12.73)+'LINEST VARS'!$C$54*($CN$32*$BX43)+'LINEST VARS'!$B$54*($CN$32*12.73)+'LINEST VARS'!$A$54*($BX43*12.73)</f>
        <v>3.9749999999999996</v>
      </c>
      <c r="CO43" s="51">
        <f>'LINEST VARS'!$U$54+'LINEST VARS'!$T$54*(8)+'LINEST VARS'!$S$54*(8)+'LINEST VARS'!$R$54*($CO$32)+'LINEST VARS'!$Q$54*($BX43)+'LINEST VARS'!$P$54*(12.73)+'LINEST VARS'!$O$54*(8^2)+'LINEST VARS'!$N$54*(8^2)+'LINEST VARS'!$M$54*($CO$32^2)+'LINEST VARS'!$L$54*($BX43^2)+'LINEST VARS'!$K$54*(12.73^2)+'LINEST VARS'!$J$54*(8*8)+'LINEST VARS'!$I$54*(8*$CO$32)+'LINEST VARS'!$H$54*(8*$BX43)+'LINEST VARS'!$G$54*(8*12.73)+'LINEST VARS'!$F$54*(8*$CO$32)+'LINEST VARS'!$E$54*(8*$BX43)+'LINEST VARS'!$D$54*(8*12.73)+'LINEST VARS'!$C$54*($CO$32*$BX43)+'LINEST VARS'!$B$54*($CO$32*12.73)+'LINEST VARS'!$A$54*($BX43*12.73)</f>
        <v>3.9749999999999996</v>
      </c>
      <c r="CP43" s="51">
        <f>'LINEST VARS'!$U$54+'LINEST VARS'!$T$54*(8)+'LINEST VARS'!$S$54*(8)+'LINEST VARS'!$R$54*($CP$32)+'LINEST VARS'!$Q$54*($BX43)+'LINEST VARS'!$P$54*(12.73)+'LINEST VARS'!$O$54*(8^2)+'LINEST VARS'!$N$54*(8^2)+'LINEST VARS'!$M$54*($CP$32^2)+'LINEST VARS'!$L$54*($BX43^2)+'LINEST VARS'!$K$54*(12.73^2)+'LINEST VARS'!$J$54*(8*8)+'LINEST VARS'!$I$54*(8*$CP$32)+'LINEST VARS'!$H$54*(8*$BX43)+'LINEST VARS'!$G$54*(8*12.73)+'LINEST VARS'!$F$54*(8*$CP$32)+'LINEST VARS'!$E$54*(8*$BX43)+'LINEST VARS'!$D$54*(8*12.73)+'LINEST VARS'!$C$54*($CP$32*$BX43)+'LINEST VARS'!$B$54*($CP$32*12.73)+'LINEST VARS'!$A$54*($BX43*12.73)</f>
        <v>3.9749999999999996</v>
      </c>
      <c r="CQ43" s="51">
        <f>'LINEST VARS'!$U$54+'LINEST VARS'!$T$54*(8)+'LINEST VARS'!$S$54*(8)+'LINEST VARS'!$R$54*($CQ$32)+'LINEST VARS'!$Q$54*($BX43)+'LINEST VARS'!$P$54*(12.73)+'LINEST VARS'!$O$54*(8^2)+'LINEST VARS'!$N$54*(8^2)+'LINEST VARS'!$M$54*($CQ$32^2)+'LINEST VARS'!$L$54*($BX43^2)+'LINEST VARS'!$K$54*(12.73^2)+'LINEST VARS'!$J$54*(8*8)+'LINEST VARS'!$I$54*(8*$CQ$32)+'LINEST VARS'!$H$54*(8*$BX43)+'LINEST VARS'!$G$54*(8*12.73)+'LINEST VARS'!$F$54*(8*$CQ$32)+'LINEST VARS'!$E$54*(8*$BX43)+'LINEST VARS'!$D$54*(8*12.73)+'LINEST VARS'!$C$54*($CQ$32*$BX43)+'LINEST VARS'!$B$54*($CQ$32*12.73)+'LINEST VARS'!$A$54*($BX43*12.73)</f>
        <v>3.9749999999999996</v>
      </c>
      <c r="CR43" s="51">
        <f>'LINEST VARS'!$U$54+'LINEST VARS'!$T$54*(8)+'LINEST VARS'!$S$54*(8)+'LINEST VARS'!$R$54*($CR$32)+'LINEST VARS'!$Q$54*($BX43)+'LINEST VARS'!$P$54*(12.73)+'LINEST VARS'!$O$54*(8^2)+'LINEST VARS'!$N$54*(8^2)+'LINEST VARS'!$M$54*($CR$32^2)+'LINEST VARS'!$L$54*($BX43^2)+'LINEST VARS'!$K$54*(12.73^2)+'LINEST VARS'!$J$54*(8*8)+'LINEST VARS'!$I$54*(8*$CR$32)+'LINEST VARS'!$H$54*(8*$BX43)+'LINEST VARS'!$G$54*(8*12.73)+'LINEST VARS'!$F$54*(8*$CR$32)+'LINEST VARS'!$E$54*(8*$BX43)+'LINEST VARS'!$D$54*(8*12.73)+'LINEST VARS'!$C$54*($CR$32*$BX43)+'LINEST VARS'!$B$54*($CR$32*12.73)+'LINEST VARS'!$A$54*($BX43*12.73)</f>
        <v>3.9749999999999996</v>
      </c>
      <c r="CS43" s="52">
        <f>'LINEST VARS'!$U$54+'LINEST VARS'!$T$54*(8)+'LINEST VARS'!$S$54*(8)+'LINEST VARS'!$R$54*($CS$32)+'LINEST VARS'!$Q$54*($BX43)+'LINEST VARS'!$P$54*(12.73)+'LINEST VARS'!$O$54*(8^2)+'LINEST VARS'!$N$54*(8^2)+'LINEST VARS'!$M$54*($CS$32^2)+'LINEST VARS'!$L$54*($BX43^2)+'LINEST VARS'!$K$54*(12.73^2)+'LINEST VARS'!$J$54*(8*8)+'LINEST VARS'!$I$54*(8*$CS$32)+'LINEST VARS'!$H$54*(8*$BX43)+'LINEST VARS'!$G$54*(8*12.73)+'LINEST VARS'!$F$54*(8*$CS$32)+'LINEST VARS'!$E$54*(8*$BX43)+'LINEST VARS'!$D$54*(8*12.73)+'LINEST VARS'!$C$54*($CS$32*$BX43)+'LINEST VARS'!$B$54*($CS$32*12.73)+'LINEST VARS'!$A$54*($BX43*12.73)</f>
        <v>3.9749999999999996</v>
      </c>
      <c r="CX43" s="45">
        <v>12.994999999999999</v>
      </c>
      <c r="CY43" s="51">
        <f>'LINEST VARS'!$U$52+'LINEST VARS'!$T$52*(8)+'LINEST VARS'!$S$52*(8)+'LINEST VARS'!$R$52*($CY$32)+'LINEST VARS'!$Q$52*(0.5)+'LINEST VARS'!$P$52*($CX43)+'LINEST VARS'!$O$52*(8^2)+'LINEST VARS'!$N$52*(8^2)+'LINEST VARS'!$M$52*($CY$32^2)+'LINEST VARS'!$L$52*(0.5^2)+'LINEST VARS'!$K$52*($CX43^2)+'LINEST VARS'!$J$52*(8*8)+'LINEST VARS'!$I$52*(8*$CY$32)+'LINEST VARS'!$H$52*(8*0.5)+'LINEST VARS'!$G$52*(8*$CX43)+'LINEST VARS'!$F$52*(8*$CY$32)+'LINEST VARS'!$E$52*(8*0.5)+'LINEST VARS'!$D$52*(8*$CX43)+'LINEST VARS'!$C$52*($CY$32*0.5)+'LINEST VARS'!$B$52*($CY$32*$CX43)+'LINEST VARS'!$A$52*(0.5*$CX43)</f>
        <v>4.4499999999999984</v>
      </c>
      <c r="CZ43" s="51">
        <f>'LINEST VARS'!$U$52+'LINEST VARS'!$T$52*(8)+'LINEST VARS'!$S$52*(8)+'LINEST VARS'!$R$52*($CZ$32)+'LINEST VARS'!$Q$52*(0.5)+'LINEST VARS'!$P$52*($CX43)+'LINEST VARS'!$O$52*(8^2)+'LINEST VARS'!$N$52*(8^2)+'LINEST VARS'!$M$52*($CZ$32^2)+'LINEST VARS'!$L$52*(0.5^2)+'LINEST VARS'!$K$52*($CX43^2)+'LINEST VARS'!$J$52*(8*8)+'LINEST VARS'!$I$52*(8*$CZ$32)+'LINEST VARS'!$H$52*(8*0.5)+'LINEST VARS'!$G$52*(8*$CX43)+'LINEST VARS'!$F$52*(8*$CZ$32)+'LINEST VARS'!$E$52*(8*0.5)+'LINEST VARS'!$D$52*(8*$CX43)+'LINEST VARS'!$C$52*($CZ$32*0.5)+'LINEST VARS'!$B$52*($CZ$32*$CX43)+'LINEST VARS'!$A$52*(0.5*$CX43)</f>
        <v>4.4499999999999984</v>
      </c>
      <c r="DA43" s="51">
        <f>'LINEST VARS'!$U$52+'LINEST VARS'!$T$52*(8)+'LINEST VARS'!$S$52*(8)+'LINEST VARS'!$R$52*($DA$32)+'LINEST VARS'!$Q$52*(0.5)+'LINEST VARS'!$P$52*($CX43)+'LINEST VARS'!$O$52*(8^2)+'LINEST VARS'!$N$52*(8^2)+'LINEST VARS'!$M$52*($DA$32^2)+'LINEST VARS'!$L$52*(0.5^2)+'LINEST VARS'!$K$52*($CX43^2)+'LINEST VARS'!$J$52*(8*8)+'LINEST VARS'!$I$52*(8*$DA$32)+'LINEST VARS'!$H$52*(8*0.5)+'LINEST VARS'!$G$52*(8*$CX43)+'LINEST VARS'!$F$52*(8*$DA$32)+'LINEST VARS'!$E$52*(8*0.5)+'LINEST VARS'!$D$52*(8*$CX43)+'LINEST VARS'!$C$52*($DA$32*0.5)+'LINEST VARS'!$B$52*($DA$32*$CX43)+'LINEST VARS'!$A$52*(0.5*$CX43)</f>
        <v>4.4499999999999984</v>
      </c>
      <c r="DB43" s="51">
        <f>'LINEST VARS'!$U$52+'LINEST VARS'!$T$52*(8)+'LINEST VARS'!$S$52*(8)+'LINEST VARS'!$R$52*($DB$32)+'LINEST VARS'!$Q$52*(0.5)+'LINEST VARS'!$P$52*($CX43)+'LINEST VARS'!$O$52*(8^2)+'LINEST VARS'!$N$52*(8^2)+'LINEST VARS'!$M$52*($DB$32^2)+'LINEST VARS'!$L$52*(0.5^2)+'LINEST VARS'!$K$52*($CX43^2)+'LINEST VARS'!$J$52*(8*8)+'LINEST VARS'!$I$52*(8*$DB$32)+'LINEST VARS'!$H$52*(8*0.5)+'LINEST VARS'!$G$52*(8*$CX43)+'LINEST VARS'!$F$52*(8*$DB$32)+'LINEST VARS'!$E$52*(8*0.5)+'LINEST VARS'!$D$52*(8*$CX43)+'LINEST VARS'!$C$52*($DB$32*0.5)+'LINEST VARS'!$B$52*($DB$32*$CX43)+'LINEST VARS'!$A$52*(0.5*$CX43)</f>
        <v>4.4499999999999984</v>
      </c>
      <c r="DC43" s="51">
        <f>'LINEST VARS'!$U$52+'LINEST VARS'!$T$52*(8)+'LINEST VARS'!$S$52*(8)+'LINEST VARS'!$R$52*($DC$32)+'LINEST VARS'!$Q$52*(0.5)+'LINEST VARS'!$P$52*($CX43)+'LINEST VARS'!$O$52*(8^2)+'LINEST VARS'!$N$52*(8^2)+'LINEST VARS'!$M$52*($DC$32^2)+'LINEST VARS'!$L$52*(0.5^2)+'LINEST VARS'!$K$52*($CX43^2)+'LINEST VARS'!$J$52*(8*8)+'LINEST VARS'!$I$52*(8*$DC$32)+'LINEST VARS'!$H$52*(8*0.5)+'LINEST VARS'!$G$52*(8*$CX43)+'LINEST VARS'!$F$52*(8*$DC$32)+'LINEST VARS'!$E$52*(8*0.5)+'LINEST VARS'!$D$52*(8*$CX43)+'LINEST VARS'!$C$52*($DC$32*0.5)+'LINEST VARS'!$B$52*($DC$32*$CX43)+'LINEST VARS'!$A$52*(0.5*$CX43)</f>
        <v>4.4499999999999984</v>
      </c>
      <c r="DD43" s="51">
        <f>'LINEST VARS'!$U$52+'LINEST VARS'!$T$52*(8)+'LINEST VARS'!$S$52*(8)+'LINEST VARS'!$R$52*($DD$32)+'LINEST VARS'!$Q$52*(0.5)+'LINEST VARS'!$P$52*($CX43)+'LINEST VARS'!$O$52*(8^2)+'LINEST VARS'!$N$52*(8^2)+'LINEST VARS'!$M$52*($DD$32^2)+'LINEST VARS'!$L$52*(0.5^2)+'LINEST VARS'!$K$52*($CX43^2)+'LINEST VARS'!$J$52*(8*8)+'LINEST VARS'!$I$52*(8*$DD$32)+'LINEST VARS'!$H$52*(8*0.5)+'LINEST VARS'!$G$52*(8*$CX43)+'LINEST VARS'!$F$52*(8*$DD$32)+'LINEST VARS'!$E$52*(8*0.5)+'LINEST VARS'!$D$52*(8*$CX43)+'LINEST VARS'!$C$52*($DD$32*0.5)+'LINEST VARS'!$B$52*($DD$32*$CX43)+'LINEST VARS'!$A$52*(0.5*$CX43)</f>
        <v>4.4499999999999984</v>
      </c>
      <c r="DE43" s="51">
        <f>'LINEST VARS'!$U$52+'LINEST VARS'!$T$52*(8)+'LINEST VARS'!$S$52*(8)+'LINEST VARS'!$R$52*($DE$32)+'LINEST VARS'!$Q$52*(0.5)+'LINEST VARS'!$P$52*($CX43)+'LINEST VARS'!$O$52*(8^2)+'LINEST VARS'!$N$52*(8^2)+'LINEST VARS'!$M$52*($DE$32^2)+'LINEST VARS'!$L$52*(0.5^2)+'LINEST VARS'!$K$52*($CX43^2)+'LINEST VARS'!$J$52*(8*8)+'LINEST VARS'!$I$52*(8*$DE$32)+'LINEST VARS'!$H$52*(8*0.5)+'LINEST VARS'!$G$52*(8*$CX43)+'LINEST VARS'!$F$52*(8*$DE$32)+'LINEST VARS'!$E$52*(8*0.5)+'LINEST VARS'!$D$52*(8*$CX43)+'LINEST VARS'!$C$52*($DE$32*0.5)+'LINEST VARS'!$B$52*($DE$32*$CX43)+'LINEST VARS'!$A$52*(0.5*$CX43)</f>
        <v>4.4499999999999984</v>
      </c>
      <c r="DF43" s="51">
        <f>'LINEST VARS'!$U$52+'LINEST VARS'!$T$52*(8)+'LINEST VARS'!$S$52*(8)+'LINEST VARS'!$R$52*($DF$32)+'LINEST VARS'!$Q$52*(0.5)+'LINEST VARS'!$P$52*($CX43)+'LINEST VARS'!$O$52*(8^2)+'LINEST VARS'!$N$52*(8^2)+'LINEST VARS'!$M$52*($DF$32^2)+'LINEST VARS'!$L$52*(0.5^2)+'LINEST VARS'!$K$52*($CX43^2)+'LINEST VARS'!$J$52*(8*8)+'LINEST VARS'!$I$52*(8*$DF$32)+'LINEST VARS'!$H$52*(8*0.5)+'LINEST VARS'!$G$52*(8*$CX43)+'LINEST VARS'!$F$52*(8*$DF$32)+'LINEST VARS'!$E$52*(8*0.5)+'LINEST VARS'!$D$52*(8*$CX43)+'LINEST VARS'!$C$52*($DF$32*0.5)+'LINEST VARS'!$B$52*($DF$32*$CX43)+'LINEST VARS'!$A$52*(0.5*$CX43)</f>
        <v>4.4499999999999984</v>
      </c>
      <c r="DG43" s="51">
        <f>'LINEST VARS'!$U$52+'LINEST VARS'!$T$52*(8)+'LINEST VARS'!$S$52*(8)+'LINEST VARS'!$R$52*($DG$32)+'LINEST VARS'!$Q$52*(0.5)+'LINEST VARS'!$P$52*($CX43)+'LINEST VARS'!$O$52*(8^2)+'LINEST VARS'!$N$52*(8^2)+'LINEST VARS'!$M$52*($DG$32^2)+'LINEST VARS'!$L$52*(0.5^2)+'LINEST VARS'!$K$52*($CX43^2)+'LINEST VARS'!$J$52*(8*8)+'LINEST VARS'!$I$52*(8*$DG$32)+'LINEST VARS'!$H$52*(8*0.5)+'LINEST VARS'!$G$52*(8*$CX43)+'LINEST VARS'!$F$52*(8*$DG$32)+'LINEST VARS'!$E$52*(8*0.5)+'LINEST VARS'!$D$52*(8*$CX43)+'LINEST VARS'!$C$52*($DG$32*0.5)+'LINEST VARS'!$B$52*($DG$32*$CX43)+'LINEST VARS'!$A$52*(0.5*$CX43)</f>
        <v>4.4499999999999984</v>
      </c>
      <c r="DH43" s="51">
        <f>'LINEST VARS'!$U$52+'LINEST VARS'!$T$52*(8)+'LINEST VARS'!$S$52*(8)+'LINEST VARS'!$R$52*($DH$32)+'LINEST VARS'!$Q$52*(0.5)+'LINEST VARS'!$P$52*($CX43)+'LINEST VARS'!$O$52*(8^2)+'LINEST VARS'!$N$52*(8^2)+'LINEST VARS'!$M$52*($DH$32^2)+'LINEST VARS'!$L$52*(0.5^2)+'LINEST VARS'!$K$52*($CX43^2)+'LINEST VARS'!$J$52*(8*8)+'LINEST VARS'!$I$52*(8*$DH$32)+'LINEST VARS'!$H$52*(8*0.5)+'LINEST VARS'!$G$52*(8*$CX43)+'LINEST VARS'!$F$52*(8*$DH$32)+'LINEST VARS'!$E$52*(8*0.5)+'LINEST VARS'!$D$52*(8*$CX43)+'LINEST VARS'!$C$52*($DH$32*0.5)+'LINEST VARS'!$B$52*($DH$32*$CX43)+'LINEST VARS'!$A$52*(0.5*$CX43)</f>
        <v>4.4499999999999984</v>
      </c>
      <c r="DI43" s="51">
        <f>'LINEST VARS'!$U$52+'LINEST VARS'!$T$52*(8)+'LINEST VARS'!$S$52*(8)+'LINEST VARS'!$R$52*($DI$32)+'LINEST VARS'!$Q$52*(0.5)+'LINEST VARS'!$P$52*($CX43)+'LINEST VARS'!$O$52*(8^2)+'LINEST VARS'!$N$52*(8^2)+'LINEST VARS'!$M$52*($DI$32^2)+'LINEST VARS'!$L$52*(0.5^2)+'LINEST VARS'!$K$52*($CX43^2)+'LINEST VARS'!$J$52*(8*8)+'LINEST VARS'!$I$52*(8*$DI$32)+'LINEST VARS'!$H$52*(8*0.5)+'LINEST VARS'!$G$52*(8*$CX43)+'LINEST VARS'!$F$52*(8*$DI$32)+'LINEST VARS'!$E$52*(8*0.5)+'LINEST VARS'!$D$52*(8*$CX43)+'LINEST VARS'!$C$52*($DI$32*0.5)+'LINEST VARS'!$B$52*($DI$32*$CX43)+'LINEST VARS'!$A$52*(0.5*$CX43)</f>
        <v>4.4499999999999984</v>
      </c>
      <c r="DJ43" s="51">
        <f>'LINEST VARS'!$U$52+'LINEST VARS'!$T$52*(8)+'LINEST VARS'!$S$52*(8)+'LINEST VARS'!$R$52*($DJ$32)+'LINEST VARS'!$Q$52*(0.5)+'LINEST VARS'!$P$52*($CX43)+'LINEST VARS'!$O$52*(8^2)+'LINEST VARS'!$N$52*(8^2)+'LINEST VARS'!$M$52*($DJ$32^2)+'LINEST VARS'!$L$52*(0.5^2)+'LINEST VARS'!$K$52*($CX43^2)+'LINEST VARS'!$J$52*(8*8)+'LINEST VARS'!$I$52*(8*$DJ$32)+'LINEST VARS'!$H$52*(8*0.5)+'LINEST VARS'!$G$52*(8*$CX43)+'LINEST VARS'!$F$52*(8*$DJ$32)+'LINEST VARS'!$E$52*(8*0.5)+'LINEST VARS'!$D$52*(8*$CX43)+'LINEST VARS'!$C$52*($DJ$32*0.5)+'LINEST VARS'!$B$52*($DJ$32*$CX43)+'LINEST VARS'!$A$52*(0.5*$CX43)</f>
        <v>4.4499999999999984</v>
      </c>
      <c r="DK43" s="51">
        <f>'LINEST VARS'!$U$52+'LINEST VARS'!$T$52*(8)+'LINEST VARS'!$S$52*(8)+'LINEST VARS'!$R$52*($DK$32)+'LINEST VARS'!$Q$52*(0.5)+'LINEST VARS'!$P$52*($CX43)+'LINEST VARS'!$O$52*(8^2)+'LINEST VARS'!$N$52*(8^2)+'LINEST VARS'!$M$52*($DK$32^2)+'LINEST VARS'!$L$52*(0.5^2)+'LINEST VARS'!$K$52*($CX43^2)+'LINEST VARS'!$J$52*(8*8)+'LINEST VARS'!$I$52*(8*$DK$32)+'LINEST VARS'!$H$52*(8*0.5)+'LINEST VARS'!$G$52*(8*$CX43)+'LINEST VARS'!$F$52*(8*$DK$32)+'LINEST VARS'!$E$52*(8*0.5)+'LINEST VARS'!$D$52*(8*$CX43)+'LINEST VARS'!$C$52*($DK$32*0.5)+'LINEST VARS'!$B$52*($DK$32*$CX43)+'LINEST VARS'!$A$52*(0.5*$CX43)</f>
        <v>4.4499999999999984</v>
      </c>
      <c r="DL43" s="51">
        <f>'LINEST VARS'!$U$52+'LINEST VARS'!$T$52*(8)+'LINEST VARS'!$S$52*(8)+'LINEST VARS'!$R$52*($DL$32)+'LINEST VARS'!$Q$52*(0.5)+'LINEST VARS'!$P$52*($CX43)+'LINEST VARS'!$O$52*(8^2)+'LINEST VARS'!$N$52*(8^2)+'LINEST VARS'!$M$52*($DL$32^2)+'LINEST VARS'!$L$52*(0.5^2)+'LINEST VARS'!$K$52*($CX43^2)+'LINEST VARS'!$J$52*(8*8)+'LINEST VARS'!$I$52*(8*$DL$32)+'LINEST VARS'!$H$52*(8*0.5)+'LINEST VARS'!$G$52*(8*$CX43)+'LINEST VARS'!$F$52*(8*$DL$32)+'LINEST VARS'!$E$52*(8*0.5)+'LINEST VARS'!$D$52*(8*$CX43)+'LINEST VARS'!$C$52*($DL$32*0.5)+'LINEST VARS'!$B$52*($DL$32*$CX43)+'LINEST VARS'!$A$52*(0.5*$CX43)</f>
        <v>4.4499999999999984</v>
      </c>
      <c r="DM43" s="51">
        <f>'LINEST VARS'!$U$52+'LINEST VARS'!$T$52*(8)+'LINEST VARS'!$S$52*(8)+'LINEST VARS'!$R$52*($DM$32)+'LINEST VARS'!$Q$52*(0.5)+'LINEST VARS'!$P$52*($CX43)+'LINEST VARS'!$O$52*(8^2)+'LINEST VARS'!$N$52*(8^2)+'LINEST VARS'!$M$52*($DM$32^2)+'LINEST VARS'!$L$52*(0.5^2)+'LINEST VARS'!$K$52*($CX43^2)+'LINEST VARS'!$J$52*(8*8)+'LINEST VARS'!$I$52*(8*$DM$32)+'LINEST VARS'!$H$52*(8*0.5)+'LINEST VARS'!$G$52*(8*$CX43)+'LINEST VARS'!$F$52*(8*$DM$32)+'LINEST VARS'!$E$52*(8*0.5)+'LINEST VARS'!$D$52*(8*$CX43)+'LINEST VARS'!$C$52*($DM$32*0.5)+'LINEST VARS'!$B$52*($DM$32*$CX43)+'LINEST VARS'!$A$52*(0.5*$CX43)</f>
        <v>4.4499999999999984</v>
      </c>
      <c r="DN43" s="51">
        <f>'LINEST VARS'!$U$52+'LINEST VARS'!$T$52*(8)+'LINEST VARS'!$S$52*(8)+'LINEST VARS'!$R$52*($DN$32)+'LINEST VARS'!$Q$52*(0.5)+'LINEST VARS'!$P$52*($CX43)+'LINEST VARS'!$O$52*(8^2)+'LINEST VARS'!$N$52*(8^2)+'LINEST VARS'!$M$52*($DN$32^2)+'LINEST VARS'!$L$52*(0.5^2)+'LINEST VARS'!$K$52*($CX43^2)+'LINEST VARS'!$J$52*(8*8)+'LINEST VARS'!$I$52*(8*$DN$32)+'LINEST VARS'!$H$52*(8*0.5)+'LINEST VARS'!$G$52*(8*$CX43)+'LINEST VARS'!$F$52*(8*$DN$32)+'LINEST VARS'!$E$52*(8*0.5)+'LINEST VARS'!$D$52*(8*$CX43)+'LINEST VARS'!$C$52*($DN$32*0.5)+'LINEST VARS'!$B$52*($DN$32*$CX43)+'LINEST VARS'!$A$52*(0.5*$CX43)</f>
        <v>4.4499999999999984</v>
      </c>
      <c r="DO43" s="51">
        <f>'LINEST VARS'!$U$52+'LINEST VARS'!$T$52*(8)+'LINEST VARS'!$S$52*(8)+'LINEST VARS'!$R$52*($DO$32)+'LINEST VARS'!$Q$52*(0.5)+'LINEST VARS'!$P$52*($CX43)+'LINEST VARS'!$O$52*(8^2)+'LINEST VARS'!$N$52*(8^2)+'LINEST VARS'!$M$52*($DO$32^2)+'LINEST VARS'!$L$52*(0.5^2)+'LINEST VARS'!$K$52*($CX43^2)+'LINEST VARS'!$J$52*(8*8)+'LINEST VARS'!$I$52*(8*$DO$32)+'LINEST VARS'!$H$52*(8*0.5)+'LINEST VARS'!$G$52*(8*$CX43)+'LINEST VARS'!$F$52*(8*$DO$32)+'LINEST VARS'!$E$52*(8*0.5)+'LINEST VARS'!$D$52*(8*$CX43)+'LINEST VARS'!$C$52*($DO$32*0.5)+'LINEST VARS'!$B$52*($DO$32*$CX43)+'LINEST VARS'!$A$52*(0.5*$CX43)</f>
        <v>4.4499999999999984</v>
      </c>
      <c r="DP43" s="51">
        <f>'LINEST VARS'!$U$52+'LINEST VARS'!$T$52*(8)+'LINEST VARS'!$S$52*(8)+'LINEST VARS'!$R$52*($DP$32)+'LINEST VARS'!$Q$52*(0.5)+'LINEST VARS'!$P$52*($CX43)+'LINEST VARS'!$O$52*(8^2)+'LINEST VARS'!$N$52*(8^2)+'LINEST VARS'!$M$52*($DP$32^2)+'LINEST VARS'!$L$52*(0.5^2)+'LINEST VARS'!$K$52*($CX43^2)+'LINEST VARS'!$J$52*(8*8)+'LINEST VARS'!$I$52*(8*$DP$32)+'LINEST VARS'!$H$52*(8*0.5)+'LINEST VARS'!$G$52*(8*$CX43)+'LINEST VARS'!$F$52*(8*$DP$32)+'LINEST VARS'!$E$52*(8*0.5)+'LINEST VARS'!$D$52*(8*$CX43)+'LINEST VARS'!$C$52*($DP$32*0.5)+'LINEST VARS'!$B$52*($DP$32*$CX43)+'LINEST VARS'!$A$52*(0.5*$CX43)</f>
        <v>4.4499999999999984</v>
      </c>
      <c r="DQ43" s="51">
        <f>'LINEST VARS'!$U$52+'LINEST VARS'!$T$52*(8)+'LINEST VARS'!$S$52*(8)+'LINEST VARS'!$R$52*($DQ$32)+'LINEST VARS'!$Q$52*(0.5)+'LINEST VARS'!$P$52*($CX43)+'LINEST VARS'!$O$52*(8^2)+'LINEST VARS'!$N$52*(8^2)+'LINEST VARS'!$M$52*($DQ$32^2)+'LINEST VARS'!$L$52*(0.5^2)+'LINEST VARS'!$K$52*($CX43^2)+'LINEST VARS'!$J$52*(8*8)+'LINEST VARS'!$I$52*(8*$DQ$32)+'LINEST VARS'!$H$52*(8*0.5)+'LINEST VARS'!$G$52*(8*$CX43)+'LINEST VARS'!$F$52*(8*$DQ$32)+'LINEST VARS'!$E$52*(8*0.5)+'LINEST VARS'!$D$52*(8*$CX43)+'LINEST VARS'!$C$52*($DQ$32*0.5)+'LINEST VARS'!$B$52*($DQ$32*$CX43)+'LINEST VARS'!$A$52*(0.5*$CX43)</f>
        <v>4.4499999999999984</v>
      </c>
      <c r="DR43" s="51">
        <f>'LINEST VARS'!$U$52+'LINEST VARS'!$T$52*(8)+'LINEST VARS'!$S$52*(8)+'LINEST VARS'!$R$52*($DR$32)+'LINEST VARS'!$Q$52*(0.5)+'LINEST VARS'!$P$52*($CX43)+'LINEST VARS'!$O$52*(8^2)+'LINEST VARS'!$N$52*(8^2)+'LINEST VARS'!$M$52*($DR$32^2)+'LINEST VARS'!$L$52*(0.5^2)+'LINEST VARS'!$K$52*($CX43^2)+'LINEST VARS'!$J$52*(8*8)+'LINEST VARS'!$I$52*(8*$DR$32)+'LINEST VARS'!$H$52*(8*0.5)+'LINEST VARS'!$G$52*(8*$CX43)+'LINEST VARS'!$F$52*(8*$DR$32)+'LINEST VARS'!$E$52*(8*0.5)+'LINEST VARS'!$D$52*(8*$CX43)+'LINEST VARS'!$C$52*($DR$32*0.5)+'LINEST VARS'!$B$52*($DR$32*$CX43)+'LINEST VARS'!$A$52*(0.5*$CX43)</f>
        <v>4.4499999999999984</v>
      </c>
      <c r="DS43" s="52">
        <f>'LINEST VARS'!$U$52+'LINEST VARS'!$T$52*(8)+'LINEST VARS'!$S$52*(8)+'LINEST VARS'!$R$52*($DS$32)+'LINEST VARS'!$Q$52*(0.5)+'LINEST VARS'!$P$52*($CX43)+'LINEST VARS'!$O$52*(8^2)+'LINEST VARS'!$N$52*(8^2)+'LINEST VARS'!$M$52*($DS$32^2)+'LINEST VARS'!$L$52*(0.5^2)+'LINEST VARS'!$K$52*($CX43^2)+'LINEST VARS'!$J$52*(8*8)+'LINEST VARS'!$I$52*(8*$DS$32)+'LINEST VARS'!$H$52*(8*0.5)+'LINEST VARS'!$G$52*(8*$CX43)+'LINEST VARS'!$F$52*(8*$DS$32)+'LINEST VARS'!$E$52*(8*0.5)+'LINEST VARS'!$D$52*(8*$CX43)+'LINEST VARS'!$C$52*($DS$32*0.5)+'LINEST VARS'!$B$52*($DS$32*$CX43)+'LINEST VARS'!$A$52*(0.5*$CX43)</f>
        <v>4.4499999999999984</v>
      </c>
      <c r="DV43" s="45">
        <v>12.994999999999999</v>
      </c>
      <c r="DW43" s="51">
        <f>'LINEST VARS'!$U$54+'LINEST VARS'!$T$54*(8)+'LINEST VARS'!$S$54*(8)+'LINEST VARS'!$R$54*($DW$32)+'LINEST VARS'!$Q$54*(0.5)+'LINEST VARS'!$P$54*($DV43)+'LINEST VARS'!$O$54*(8^2)+'LINEST VARS'!$N$54*(8^2)+'LINEST VARS'!$M$54*($DW$32^2)+'LINEST VARS'!$L$54*(0.5^2)+'LINEST VARS'!$K$54*($DV43^2)+'LINEST VARS'!$J$54*(8*8)+'LINEST VARS'!$I$54*(8*$DW$32)+'LINEST VARS'!$H$54*(8*0.5)+'LINEST VARS'!$G$54*(8*$DV43)+'LINEST VARS'!$F$54*(8*$DW$32)+'LINEST VARS'!$E$54*(8*0.5)+'LINEST VARS'!$D$54*(8*$DV43)+'LINEST VARS'!$C$54*($DW$32*0.5)+'LINEST VARS'!$B$54*($DW$32*$DV43)+'LINEST VARS'!$A$54*(0.5*$DV43)</f>
        <v>3.9749999999999996</v>
      </c>
      <c r="DX43" s="51">
        <f>'LINEST VARS'!$U$54+'LINEST VARS'!$T$54*(8)+'LINEST VARS'!$S$54*(8)+'LINEST VARS'!$R$54*($DX$32)+'LINEST VARS'!$Q$54*(0.5)+'LINEST VARS'!$P$54*($DV43)+'LINEST VARS'!$O$54*(8^2)+'LINEST VARS'!$N$54*(8^2)+'LINEST VARS'!$M$54*($DX$32^2)+'LINEST VARS'!$L$54*(0.5^2)+'LINEST VARS'!$K$54*($DV43^2)+'LINEST VARS'!$J$54*(8*8)+'LINEST VARS'!$I$54*(8*$DX$32)+'LINEST VARS'!$H$54*(8*0.5)+'LINEST VARS'!$G$54*(8*$DV43)+'LINEST VARS'!$F$54*(8*$DX$32)+'LINEST VARS'!$E$54*(8*0.5)+'LINEST VARS'!$D$54*(8*$DV43)+'LINEST VARS'!$C$54*($DX$32*0.5)+'LINEST VARS'!$B$54*($DX$32*$DV43)+'LINEST VARS'!$A$54*(0.5*$DV43)</f>
        <v>3.9749999999999996</v>
      </c>
      <c r="DY43" s="51">
        <f>'LINEST VARS'!$U$54+'LINEST VARS'!$T$54*(8)+'LINEST VARS'!$S$54*(8)+'LINEST VARS'!$R$54*($DY$32)+'LINEST VARS'!$Q$54*(0.5)+'LINEST VARS'!$P$54*($DV43)+'LINEST VARS'!$O$54*(8^2)+'LINEST VARS'!$N$54*(8^2)+'LINEST VARS'!$M$54*($DY$32^2)+'LINEST VARS'!$L$54*(0.5^2)+'LINEST VARS'!$K$54*($DV43^2)+'LINEST VARS'!$J$54*(8*8)+'LINEST VARS'!$I$54*(8*$DY$32)+'LINEST VARS'!$H$54*(8*0.5)+'LINEST VARS'!$G$54*(8*$DV43)+'LINEST VARS'!$F$54*(8*$DY$32)+'LINEST VARS'!$E$54*(8*0.5)+'LINEST VARS'!$D$54*(8*$DV43)+'LINEST VARS'!$C$54*($DY$32*0.5)+'LINEST VARS'!$B$54*($DY$32*$DV43)+'LINEST VARS'!$A$54*(0.5*$DV43)</f>
        <v>3.9749999999999996</v>
      </c>
      <c r="DZ43" s="51">
        <f>'LINEST VARS'!$U$54+'LINEST VARS'!$T$54*(8)+'LINEST VARS'!$S$54*(8)+'LINEST VARS'!$R$54*($DZ$32)+'LINEST VARS'!$Q$54*(0.5)+'LINEST VARS'!$P$54*($DV43)+'LINEST VARS'!$O$54*(8^2)+'LINEST VARS'!$N$54*(8^2)+'LINEST VARS'!$M$54*($DZ$32^2)+'LINEST VARS'!$L$54*(0.5^2)+'LINEST VARS'!$K$54*($DV43^2)+'LINEST VARS'!$J$54*(8*8)+'LINEST VARS'!$I$54*(8*$DZ$32)+'LINEST VARS'!$H$54*(8*0.5)+'LINEST VARS'!$G$54*(8*$DV43)+'LINEST VARS'!$F$54*(8*$DZ$32)+'LINEST VARS'!$E$54*(8*0.5)+'LINEST VARS'!$D$54*(8*$DV43)+'LINEST VARS'!$C$54*($DZ$32*0.5)+'LINEST VARS'!$B$54*($DZ$32*$DV43)+'LINEST VARS'!$A$54*(0.5*$DV43)</f>
        <v>3.9749999999999996</v>
      </c>
      <c r="EA43" s="51">
        <f>'LINEST VARS'!$U$54+'LINEST VARS'!$T$54*(8)+'LINEST VARS'!$S$54*(8)+'LINEST VARS'!$R$54*($EA$32)+'LINEST VARS'!$Q$54*(0.5)+'LINEST VARS'!$P$54*($DV43)+'LINEST VARS'!$O$54*(8^2)+'LINEST VARS'!$N$54*(8^2)+'LINEST VARS'!$M$54*($EA$32^2)+'LINEST VARS'!$L$54*(0.5^2)+'LINEST VARS'!$K$54*($DV43^2)+'LINEST VARS'!$J$54*(8*8)+'LINEST VARS'!$I$54*(8*$EA$32)+'LINEST VARS'!$H$54*(8*0.5)+'LINEST VARS'!$G$54*(8*$DV43)+'LINEST VARS'!$F$54*(8*$EA$32)+'LINEST VARS'!$E$54*(8*0.5)+'LINEST VARS'!$D$54*(8*$DV43)+'LINEST VARS'!$C$54*($EA$32*0.5)+'LINEST VARS'!$B$54*($EA$32*$DV43)+'LINEST VARS'!$A$54*(0.5*$DV43)</f>
        <v>3.9749999999999996</v>
      </c>
      <c r="EB43" s="51">
        <f>'LINEST VARS'!$U$54+'LINEST VARS'!$T$54*(8)+'LINEST VARS'!$S$54*(8)+'LINEST VARS'!$R$54*($EB$32)+'LINEST VARS'!$Q$54*(0.5)+'LINEST VARS'!$P$54*($DV43)+'LINEST VARS'!$O$54*(8^2)+'LINEST VARS'!$N$54*(8^2)+'LINEST VARS'!$M$54*($EB$32^2)+'LINEST VARS'!$L$54*(0.5^2)+'LINEST VARS'!$K$54*($DV43^2)+'LINEST VARS'!$J$54*(8*8)+'LINEST VARS'!$I$54*(8*$EB$32)+'LINEST VARS'!$H$54*(8*0.5)+'LINEST VARS'!$G$54*(8*$DV43)+'LINEST VARS'!$F$54*(8*$EB$32)+'LINEST VARS'!$E$54*(8*0.5)+'LINEST VARS'!$D$54*(8*$DV43)+'LINEST VARS'!$C$54*($EB$32*0.5)+'LINEST VARS'!$B$54*($EB$32*$DV43)+'LINEST VARS'!$A$54*(0.5*$DV43)</f>
        <v>3.9749999999999996</v>
      </c>
      <c r="EC43" s="51">
        <f>'LINEST VARS'!$U$54+'LINEST VARS'!$T$54*(8)+'LINEST VARS'!$S$54*(8)+'LINEST VARS'!$R$54*($EC$32)+'LINEST VARS'!$Q$54*(0.5)+'LINEST VARS'!$P$54*($DV43)+'LINEST VARS'!$O$54*(8^2)+'LINEST VARS'!$N$54*(8^2)+'LINEST VARS'!$M$54*($EC$32^2)+'LINEST VARS'!$L$54*(0.5^2)+'LINEST VARS'!$K$54*($DV43^2)+'LINEST VARS'!$J$54*(8*8)+'LINEST VARS'!$I$54*(8*$EC$32)+'LINEST VARS'!$H$54*(8*0.5)+'LINEST VARS'!$G$54*(8*$DV43)+'LINEST VARS'!$F$54*(8*$EC$32)+'LINEST VARS'!$E$54*(8*0.5)+'LINEST VARS'!$D$54*(8*$DV43)+'LINEST VARS'!$C$54*($EC$32*0.5)+'LINEST VARS'!$B$54*($EC$32*$DV43)+'LINEST VARS'!$A$54*(0.5*$DV43)</f>
        <v>3.9749999999999996</v>
      </c>
      <c r="ED43" s="51">
        <f>'LINEST VARS'!$U$54+'LINEST VARS'!$T$54*(8)+'LINEST VARS'!$S$54*(8)+'LINEST VARS'!$R$54*($ED$32)+'LINEST VARS'!$Q$54*(0.5)+'LINEST VARS'!$P$54*($DV43)+'LINEST VARS'!$O$54*(8^2)+'LINEST VARS'!$N$54*(8^2)+'LINEST VARS'!$M$54*($ED$32^2)+'LINEST VARS'!$L$54*(0.5^2)+'LINEST VARS'!$K$54*($DV43^2)+'LINEST VARS'!$J$54*(8*8)+'LINEST VARS'!$I$54*(8*$ED$32)+'LINEST VARS'!$H$54*(8*0.5)+'LINEST VARS'!$G$54*(8*$DV43)+'LINEST VARS'!$F$54*(8*$ED$32)+'LINEST VARS'!$E$54*(8*0.5)+'LINEST VARS'!$D$54*(8*$DV43)+'LINEST VARS'!$C$54*($ED$32*0.5)+'LINEST VARS'!$B$54*($ED$32*$DV43)+'LINEST VARS'!$A$54*(0.5*$DV43)</f>
        <v>3.9749999999999996</v>
      </c>
      <c r="EE43" s="51">
        <f>'LINEST VARS'!$U$54+'LINEST VARS'!$T$54*(8)+'LINEST VARS'!$S$54*(8)+'LINEST VARS'!$R$54*($EE$32)+'LINEST VARS'!$Q$54*(0.5)+'LINEST VARS'!$P$54*($DV43)+'LINEST VARS'!$O$54*(8^2)+'LINEST VARS'!$N$54*(8^2)+'LINEST VARS'!$M$54*($EE$32^2)+'LINEST VARS'!$L$54*(0.5^2)+'LINEST VARS'!$K$54*($DV43^2)+'LINEST VARS'!$J$54*(8*8)+'LINEST VARS'!$I$54*(8*$EE$32)+'LINEST VARS'!$H$54*(8*0.5)+'LINEST VARS'!$G$54*(8*$DV43)+'LINEST VARS'!$F$54*(8*$EE$32)+'LINEST VARS'!$E$54*(8*0.5)+'LINEST VARS'!$D$54*(8*$DV43)+'LINEST VARS'!$C$54*($EE$32*0.5)+'LINEST VARS'!$B$54*($EE$32*$DV43)+'LINEST VARS'!$A$54*(0.5*$DV43)</f>
        <v>3.9749999999999996</v>
      </c>
      <c r="EF43" s="51">
        <f>'LINEST VARS'!$U$54+'LINEST VARS'!$T$54*(8)+'LINEST VARS'!$S$54*(8)+'LINEST VARS'!$R$54*($EF$32)+'LINEST VARS'!$Q$54*(0.5)+'LINEST VARS'!$P$54*($DV43)+'LINEST VARS'!$O$54*(8^2)+'LINEST VARS'!$N$54*(8^2)+'LINEST VARS'!$M$54*($EF$32^2)+'LINEST VARS'!$L$54*(0.5^2)+'LINEST VARS'!$K$54*($DV43^2)+'LINEST VARS'!$J$54*(8*8)+'LINEST VARS'!$I$54*(8*$EF$32)+'LINEST VARS'!$H$54*(8*0.5)+'LINEST VARS'!$G$54*(8*$DV43)+'LINEST VARS'!$F$54*(8*$EF$32)+'LINEST VARS'!$E$54*(8*0.5)+'LINEST VARS'!$D$54*(8*$DV43)+'LINEST VARS'!$C$54*($EF$32*0.5)+'LINEST VARS'!$B$54*($EF$32*$DV43)+'LINEST VARS'!$A$54*(0.5*$DV43)</f>
        <v>3.9749999999999996</v>
      </c>
      <c r="EG43" s="51">
        <f>'LINEST VARS'!$U$54+'LINEST VARS'!$T$54*(8)+'LINEST VARS'!$S$54*(8)+'LINEST VARS'!$R$54*($EG$32)+'LINEST VARS'!$Q$54*(0.5)+'LINEST VARS'!$P$54*($DV43)+'LINEST VARS'!$O$54*(8^2)+'LINEST VARS'!$N$54*(8^2)+'LINEST VARS'!$M$54*($EG$32^2)+'LINEST VARS'!$L$54*(0.5^2)+'LINEST VARS'!$K$54*($DV43^2)+'LINEST VARS'!$J$54*(8*8)+'LINEST VARS'!$I$54*(8*$EG$32)+'LINEST VARS'!$H$54*(8*0.5)+'LINEST VARS'!$G$54*(8*$DV43)+'LINEST VARS'!$F$54*(8*$EG$32)+'LINEST VARS'!$E$54*(8*0.5)+'LINEST VARS'!$D$54*(8*$DV43)+'LINEST VARS'!$C$54*($EG$32*0.5)+'LINEST VARS'!$B$54*($EG$32*$DV43)+'LINEST VARS'!$A$54*(0.5*$DV43)</f>
        <v>3.9749999999999996</v>
      </c>
      <c r="EH43" s="51">
        <f>'LINEST VARS'!$U$54+'LINEST VARS'!$T$54*(8)+'LINEST VARS'!$S$54*(8)+'LINEST VARS'!$R$54*($EH$32)+'LINEST VARS'!$Q$54*(0.5)+'LINEST VARS'!$P$54*($DV43)+'LINEST VARS'!$O$54*(8^2)+'LINEST VARS'!$N$54*(8^2)+'LINEST VARS'!$M$54*($EH$32^2)+'LINEST VARS'!$L$54*(0.5^2)+'LINEST VARS'!$K$54*($DV43^2)+'LINEST VARS'!$J$54*(8*8)+'LINEST VARS'!$I$54*(8*$EH$32)+'LINEST VARS'!$H$54*(8*0.5)+'LINEST VARS'!$G$54*(8*$DV43)+'LINEST VARS'!$F$54*(8*$EH$32)+'LINEST VARS'!$E$54*(8*0.5)+'LINEST VARS'!$D$54*(8*$DV43)+'LINEST VARS'!$C$54*($EH$32*0.5)+'LINEST VARS'!$B$54*($EH$32*$DV43)+'LINEST VARS'!$A$54*(0.5*$DV43)</f>
        <v>3.9749999999999996</v>
      </c>
      <c r="EI43" s="51">
        <f>'LINEST VARS'!$U$54+'LINEST VARS'!$T$54*(8)+'LINEST VARS'!$S$54*(8)+'LINEST VARS'!$R$54*($EI$32)+'LINEST VARS'!$Q$54*(0.5)+'LINEST VARS'!$P$54*($DV43)+'LINEST VARS'!$O$54*(8^2)+'LINEST VARS'!$N$54*(8^2)+'LINEST VARS'!$M$54*($EI$32^2)+'LINEST VARS'!$L$54*(0.5^2)+'LINEST VARS'!$K$54*($DV43^2)+'LINEST VARS'!$J$54*(8*8)+'LINEST VARS'!$I$54*(8*$EI$32)+'LINEST VARS'!$H$54*(8*0.5)+'LINEST VARS'!$G$54*(8*$DV43)+'LINEST VARS'!$F$54*(8*$EI$32)+'LINEST VARS'!$E$54*(8*0.5)+'LINEST VARS'!$D$54*(8*$DV43)+'LINEST VARS'!$C$54*($EI$32*0.5)+'LINEST VARS'!$B$54*($EI$32*$DV43)+'LINEST VARS'!$A$54*(0.5*$DV43)</f>
        <v>3.9749999999999996</v>
      </c>
      <c r="EJ43" s="51">
        <f>'LINEST VARS'!$U$54+'LINEST VARS'!$T$54*(8)+'LINEST VARS'!$S$54*(8)+'LINEST VARS'!$R$54*($EJ$32)+'LINEST VARS'!$Q$54*(0.5)+'LINEST VARS'!$P$54*($DV43)+'LINEST VARS'!$O$54*(8^2)+'LINEST VARS'!$N$54*(8^2)+'LINEST VARS'!$M$54*($EJ$32^2)+'LINEST VARS'!$L$54*(0.5^2)+'LINEST VARS'!$K$54*($DV43^2)+'LINEST VARS'!$J$54*(8*8)+'LINEST VARS'!$I$54*(8*$EJ$32)+'LINEST VARS'!$H$54*(8*0.5)+'LINEST VARS'!$G$54*(8*$DV43)+'LINEST VARS'!$F$54*(8*$EJ$32)+'LINEST VARS'!$E$54*(8*0.5)+'LINEST VARS'!$D$54*(8*$DV43)+'LINEST VARS'!$C$54*($EJ$32*0.5)+'LINEST VARS'!$B$54*($EJ$32*$DV43)+'LINEST VARS'!$A$54*(0.5*$DV43)</f>
        <v>3.9749999999999996</v>
      </c>
      <c r="EK43" s="51">
        <f>'LINEST VARS'!$U$54+'LINEST VARS'!$T$54*(8)+'LINEST VARS'!$S$54*(8)+'LINEST VARS'!$R$54*($EK$32)+'LINEST VARS'!$Q$54*(0.5)+'LINEST VARS'!$P$54*($DV43)+'LINEST VARS'!$O$54*(8^2)+'LINEST VARS'!$N$54*(8^2)+'LINEST VARS'!$M$54*($EK$32^2)+'LINEST VARS'!$L$54*(0.5^2)+'LINEST VARS'!$K$54*($DV43^2)+'LINEST VARS'!$J$54*(8*8)+'LINEST VARS'!$I$54*(8*$EK$32)+'LINEST VARS'!$H$54*(8*0.5)+'LINEST VARS'!$G$54*(8*$DV43)+'LINEST VARS'!$F$54*(8*$EK$32)+'LINEST VARS'!$E$54*(8*0.5)+'LINEST VARS'!$D$54*(8*$DV43)+'LINEST VARS'!$C$54*($EK$32*0.5)+'LINEST VARS'!$B$54*($EK$32*$DV43)+'LINEST VARS'!$A$54*(0.5*$DV43)</f>
        <v>3.9749999999999996</v>
      </c>
      <c r="EL43" s="51">
        <f>'LINEST VARS'!$U$54+'LINEST VARS'!$T$54*(8)+'LINEST VARS'!$S$54*(8)+'LINEST VARS'!$R$54*($EL$32)+'LINEST VARS'!$Q$54*(0.5)+'LINEST VARS'!$P$54*($DV43)+'LINEST VARS'!$O$54*(8^2)+'LINEST VARS'!$N$54*(8^2)+'LINEST VARS'!$M$54*($EL$32^2)+'LINEST VARS'!$L$54*(0.5^2)+'LINEST VARS'!$K$54*($DV43^2)+'LINEST VARS'!$J$54*(8*8)+'LINEST VARS'!$I$54*(8*$EL$32)+'LINEST VARS'!$H$54*(8*0.5)+'LINEST VARS'!$G$54*(8*$DV43)+'LINEST VARS'!$F$54*(8*$EL$32)+'LINEST VARS'!$E$54*(8*0.5)+'LINEST VARS'!$D$54*(8*$DV43)+'LINEST VARS'!$C$54*($EL$32*0.5)+'LINEST VARS'!$B$54*($EL$32*$DV43)+'LINEST VARS'!$A$54*(0.5*$DV43)</f>
        <v>3.9749999999999996</v>
      </c>
      <c r="EM43" s="51">
        <f>'LINEST VARS'!$U$54+'LINEST VARS'!$T$54*(8)+'LINEST VARS'!$S$54*(8)+'LINEST VARS'!$R$54*($EM$32)+'LINEST VARS'!$Q$54*(0.5)+'LINEST VARS'!$P$54*($DV43)+'LINEST VARS'!$O$54*(8^2)+'LINEST VARS'!$N$54*(8^2)+'LINEST VARS'!$M$54*($EM$32^2)+'LINEST VARS'!$L$54*(0.5^2)+'LINEST VARS'!$K$54*($DV43^2)+'LINEST VARS'!$J$54*(8*8)+'LINEST VARS'!$I$54*(8*$EM$32)+'LINEST VARS'!$H$54*(8*0.5)+'LINEST VARS'!$G$54*(8*$DV43)+'LINEST VARS'!$F$54*(8*$EM$32)+'LINEST VARS'!$E$54*(8*0.5)+'LINEST VARS'!$D$54*(8*$DV43)+'LINEST VARS'!$C$54*($EM$32*0.5)+'LINEST VARS'!$B$54*($EM$32*$DV43)+'LINEST VARS'!$A$54*(0.5*$DV43)</f>
        <v>3.9749999999999996</v>
      </c>
      <c r="EN43" s="51">
        <f>'LINEST VARS'!$U$54+'LINEST VARS'!$T$54*(8)+'LINEST VARS'!$S$54*(8)+'LINEST VARS'!$R$54*($EN$32)+'LINEST VARS'!$Q$54*(0.5)+'LINEST VARS'!$P$54*($DV43)+'LINEST VARS'!$O$54*(8^2)+'LINEST VARS'!$N$54*(8^2)+'LINEST VARS'!$M$54*($EN$32^2)+'LINEST VARS'!$L$54*(0.5^2)+'LINEST VARS'!$K$54*($DV43^2)+'LINEST VARS'!$J$54*(8*8)+'LINEST VARS'!$I$54*(8*$EN$32)+'LINEST VARS'!$H$54*(8*0.5)+'LINEST VARS'!$G$54*(8*$DV43)+'LINEST VARS'!$F$54*(8*$EN$32)+'LINEST VARS'!$E$54*(8*0.5)+'LINEST VARS'!$D$54*(8*$DV43)+'LINEST VARS'!$C$54*($EN$32*0.5)+'LINEST VARS'!$B$54*($EN$32*$DV43)+'LINEST VARS'!$A$54*(0.5*$DV43)</f>
        <v>3.9749999999999996</v>
      </c>
      <c r="EO43" s="51">
        <f>'LINEST VARS'!$U$54+'LINEST VARS'!$T$54*(8)+'LINEST VARS'!$S$54*(8)+'LINEST VARS'!$R$54*($EO$32)+'LINEST VARS'!$Q$54*(0.5)+'LINEST VARS'!$P$54*($DV43)+'LINEST VARS'!$O$54*(8^2)+'LINEST VARS'!$N$54*(8^2)+'LINEST VARS'!$M$54*($EO$32^2)+'LINEST VARS'!$L$54*(0.5^2)+'LINEST VARS'!$K$54*($DV43^2)+'LINEST VARS'!$J$54*(8*8)+'LINEST VARS'!$I$54*(8*$EO$32)+'LINEST VARS'!$H$54*(8*0.5)+'LINEST VARS'!$G$54*(8*$DV43)+'LINEST VARS'!$F$54*(8*$EO$32)+'LINEST VARS'!$E$54*(8*0.5)+'LINEST VARS'!$D$54*(8*$DV43)+'LINEST VARS'!$C$54*($EO$32*0.5)+'LINEST VARS'!$B$54*($EO$32*$DV43)+'LINEST VARS'!$A$54*(0.5*$DV43)</f>
        <v>3.9749999999999996</v>
      </c>
      <c r="EP43" s="51">
        <f>'LINEST VARS'!$U$54+'LINEST VARS'!$T$54*(8)+'LINEST VARS'!$S$54*(8)+'LINEST VARS'!$R$54*($EP$32)+'LINEST VARS'!$Q$54*(0.5)+'LINEST VARS'!$P$54*($DV43)+'LINEST VARS'!$O$54*(8^2)+'LINEST VARS'!$N$54*(8^2)+'LINEST VARS'!$M$54*($EP$32^2)+'LINEST VARS'!$L$54*(0.5^2)+'LINEST VARS'!$K$54*($DV43^2)+'LINEST VARS'!$J$54*(8*8)+'LINEST VARS'!$I$54*(8*$EP$32)+'LINEST VARS'!$H$54*(8*0.5)+'LINEST VARS'!$G$54*(8*$DV43)+'LINEST VARS'!$F$54*(8*$EP$32)+'LINEST VARS'!$E$54*(8*0.5)+'LINEST VARS'!$D$54*(8*$DV43)+'LINEST VARS'!$C$54*($EP$32*0.5)+'LINEST VARS'!$B$54*($EP$32*$DV43)+'LINEST VARS'!$A$54*(0.5*$DV43)</f>
        <v>3.9749999999999996</v>
      </c>
      <c r="EQ43" s="52">
        <f>'LINEST VARS'!$U$54+'LINEST VARS'!$T$54*(8)+'LINEST VARS'!$S$54*(8)+'LINEST VARS'!$R$54*($EQ$32)+'LINEST VARS'!$Q$54*(0.5)+'LINEST VARS'!$P$54*($DV43)+'LINEST VARS'!$O$54*(8^2)+'LINEST VARS'!$N$54*(8^2)+'LINEST VARS'!$M$54*($EQ$32^2)+'LINEST VARS'!$L$54*(0.5^2)+'LINEST VARS'!$K$54*($DV43^2)+'LINEST VARS'!$J$54*(8*8)+'LINEST VARS'!$I$54*(8*$EQ$32)+'LINEST VARS'!$H$54*(8*0.5)+'LINEST VARS'!$G$54*(8*$DV43)+'LINEST VARS'!$F$54*(8*$EQ$32)+'LINEST VARS'!$E$54*(8*0.5)+'LINEST VARS'!$D$54*(8*$DV43)+'LINEST VARS'!$C$54*($EQ$32*0.5)+'LINEST VARS'!$B$54*($EQ$32*$DV43)+'LINEST VARS'!$A$54*(0.5*$DV43)</f>
        <v>3.9749999999999996</v>
      </c>
    </row>
    <row r="44" spans="2:147" ht="15" customHeight="1" x14ac:dyDescent="0.25">
      <c r="B44" s="45">
        <v>8.06</v>
      </c>
      <c r="C44" s="51">
        <f>'LINEST VARS'!$U$52+'LINEST VARS'!$T$52*($C$32)+'LINEST VARS'!$S$52*($B44)+'LINEST VARS'!$R$52*(4)+'LINEST VARS'!$Q$52*(0.5)+'LINEST VARS'!$P$52*(12.73)+'LINEST VARS'!$O$52*($C$32^2)+'LINEST VARS'!$N$52*($B44^2)+'LINEST VARS'!$M$52*(4^2)+'LINEST VARS'!$L$52*(0.5^2)+'LINEST VARS'!$K$52*(12.73^2)+'LINEST VARS'!$J$52*($C$32*$B44)+'LINEST VARS'!$I$52*($C$32*4)+'LINEST VARS'!$H$52*($C$32*0.5)+'LINEST VARS'!$G$52*($C$32*12.73)+'LINEST VARS'!$F$52*($B44*4)+'LINEST VARS'!$E$52*($B44*0.5)+'LINEST VARS'!$D$52*($B44*12.73)+'LINEST VARS'!$C$52*(4*0.5)+'LINEST VARS'!$B$52*(4*12.73)+'LINEST VARS'!$A$52*(0.5*12.73)</f>
        <v>4.4499999999999984</v>
      </c>
      <c r="D44" s="51">
        <f>'LINEST VARS'!$U$52+'LINEST VARS'!$T$52*($D$32)+'LINEST VARS'!$S$52*($B44)+'LINEST VARS'!$R$52*(4)+'LINEST VARS'!$Q$52*(0.5)+'LINEST VARS'!$P$52*(12.73)+'LINEST VARS'!$O$52*($D$32^2)+'LINEST VARS'!$N$52*($B44^2)+'LINEST VARS'!$M$52*(4^2)+'LINEST VARS'!$L$52*(0.5^2)+'LINEST VARS'!$K$52*(12.73^2)+'LINEST VARS'!$J$52*($D$32*$B44)+'LINEST VARS'!$I$52*($D$32*4)+'LINEST VARS'!$H$52*($D$32*0.5)+'LINEST VARS'!$G$52*($D$32*12.73)+'LINEST VARS'!$F$52*($B44*4)+'LINEST VARS'!$E$52*($B44*0.5)+'LINEST VARS'!$D$52*($B44*12.73)+'LINEST VARS'!$C$52*(4*0.5)+'LINEST VARS'!$B$52*(4*12.73)+'LINEST VARS'!$A$52*(0.5*12.73)</f>
        <v>4.4499999999999984</v>
      </c>
      <c r="E44" s="51">
        <f>'LINEST VARS'!$U$52+'LINEST VARS'!$T$52*($E$32)+'LINEST VARS'!$S$52*($B44)+'LINEST VARS'!$R$52*(4)+'LINEST VARS'!$Q$52*(0.5)+'LINEST VARS'!$P$52*(12.73)+'LINEST VARS'!$O$52*($E$32^2)+'LINEST VARS'!$N$52*($B44^2)+'LINEST VARS'!$M$52*(4^2)+'LINEST VARS'!$L$52*(0.5^2)+'LINEST VARS'!$K$52*(12.73^2)+'LINEST VARS'!$J$52*($E$32*$B44)+'LINEST VARS'!$I$52*($E$32*4)+'LINEST VARS'!$H$52*($E$32*0.5)+'LINEST VARS'!$G$52*($E$32*12.73)+'LINEST VARS'!$F$52*($B44*4)+'LINEST VARS'!$E$52*($B44*0.5)+'LINEST VARS'!$D$52*($B44*12.73)+'LINEST VARS'!$C$52*(4*0.5)+'LINEST VARS'!$B$52*(4*12.73)+'LINEST VARS'!$A$52*(0.5*12.73)</f>
        <v>4.4499999999999984</v>
      </c>
      <c r="F44" s="51">
        <f>'LINEST VARS'!$U$52+'LINEST VARS'!$T$52*($F$32)+'LINEST VARS'!$S$52*($B44)+'LINEST VARS'!$R$52*(4)+'LINEST VARS'!$Q$52*(0.5)+'LINEST VARS'!$P$52*(12.73)+'LINEST VARS'!$O$52*($F$32^2)+'LINEST VARS'!$N$52*($B44^2)+'LINEST VARS'!$M$52*(4^2)+'LINEST VARS'!$L$52*(0.5^2)+'LINEST VARS'!$K$52*(12.73^2)+'LINEST VARS'!$J$52*($F$32*$B44)+'LINEST VARS'!$I$52*($F$32*4)+'LINEST VARS'!$H$52*($F$32*0.5)+'LINEST VARS'!$G$52*($F$32*12.73)+'LINEST VARS'!$F$52*($B44*4)+'LINEST VARS'!$E$52*($B44*0.5)+'LINEST VARS'!$D$52*($B44*12.73)+'LINEST VARS'!$C$52*(4*0.5)+'LINEST VARS'!$B$52*(4*12.73)+'LINEST VARS'!$A$52*(0.5*12.73)</f>
        <v>4.4499999999999984</v>
      </c>
      <c r="G44" s="51">
        <f>'LINEST VARS'!$U$52+'LINEST VARS'!$T$52*($G$32)+'LINEST VARS'!$S$52*($B44)+'LINEST VARS'!$R$52*(4)+'LINEST VARS'!$Q$52*(0.5)+'LINEST VARS'!$P$52*(12.73)+'LINEST VARS'!$O$52*($G$32^2)+'LINEST VARS'!$N$52*($B44^2)+'LINEST VARS'!$M$52*(4^2)+'LINEST VARS'!$L$52*(0.5^2)+'LINEST VARS'!$K$52*(12.73^2)+'LINEST VARS'!$J$52*($G$32*$B44)+'LINEST VARS'!$I$52*($G$32*4)+'LINEST VARS'!$H$52*($G$32*0.5)+'LINEST VARS'!$G$52*($G$32*12.73)+'LINEST VARS'!$F$52*($B44*4)+'LINEST VARS'!$E$52*($B44*0.5)+'LINEST VARS'!$D$52*($B44*12.73)+'LINEST VARS'!$C$52*(4*0.5)+'LINEST VARS'!$B$52*(4*12.73)+'LINEST VARS'!$A$52*(0.5*12.73)</f>
        <v>4.4499999999999984</v>
      </c>
      <c r="H44" s="51">
        <f>'LINEST VARS'!$U$52+'LINEST VARS'!$T$52*($H$32)+'LINEST VARS'!$S$52*($B44)+'LINEST VARS'!$R$52*(4)+'LINEST VARS'!$Q$52*(0.5)+'LINEST VARS'!$P$52*(12.73)+'LINEST VARS'!$O$52*($H$32^2)+'LINEST VARS'!$N$52*($B44^2)+'LINEST VARS'!$M$52*(4^2)+'LINEST VARS'!$L$52*(0.5^2)+'LINEST VARS'!$K$52*(12.73^2)+'LINEST VARS'!$J$52*($H$32*$B44)+'LINEST VARS'!$I$52*($H$32*4)+'LINEST VARS'!$H$52*($H$32*0.5)+'LINEST VARS'!$G$52*($H$32*12.73)+'LINEST VARS'!$F$52*($B44*4)+'LINEST VARS'!$E$52*($B44*0.5)+'LINEST VARS'!$D$52*($B44*12.73)+'LINEST VARS'!$C$52*(4*0.5)+'LINEST VARS'!$B$52*(4*12.73)+'LINEST VARS'!$A$52*(0.5*12.73)</f>
        <v>4.4499999999999984</v>
      </c>
      <c r="I44" s="51">
        <f>'LINEST VARS'!$U$52+'LINEST VARS'!$T$52*($I$32)+'LINEST VARS'!$S$52*($B44)+'LINEST VARS'!$R$52*(4)+'LINEST VARS'!$Q$52*(0.5)+'LINEST VARS'!$P$52*(12.73)+'LINEST VARS'!$O$52*($I$32^2)+'LINEST VARS'!$N$52*($B44^2)+'LINEST VARS'!$M$52*(4^2)+'LINEST VARS'!$L$52*(0.5^2)+'LINEST VARS'!$K$52*(12.73^2)+'LINEST VARS'!$J$52*($I$32*$B44)+'LINEST VARS'!$I$52*($I$32*4)+'LINEST VARS'!$H$52*($I$32*0.5)+'LINEST VARS'!$G$52*($I$32*12.73)+'LINEST VARS'!$F$52*($B44*4)+'LINEST VARS'!$E$52*($B44*0.5)+'LINEST VARS'!$D$52*($B44*12.73)+'LINEST VARS'!$C$52*(4*0.5)+'LINEST VARS'!$B$52*(4*12.73)+'LINEST VARS'!$A$52*(0.5*12.73)</f>
        <v>4.4499999999999984</v>
      </c>
      <c r="J44" s="51">
        <f>'LINEST VARS'!$U$52+'LINEST VARS'!$T$52*($J$32)+'LINEST VARS'!$S$52*($B44)+'LINEST VARS'!$R$52*(4)+'LINEST VARS'!$Q$52*(0.5)+'LINEST VARS'!$P$52*(12.73)+'LINEST VARS'!$O$52*($J$32^2)+'LINEST VARS'!$N$52*($B44^2)+'LINEST VARS'!$M$52*(4^2)+'LINEST VARS'!$L$52*(0.5^2)+'LINEST VARS'!$K$52*(12.73^2)+'LINEST VARS'!$J$52*($J$32*$B44)+'LINEST VARS'!$I$52*($J$32*4)+'LINEST VARS'!$H$52*($J$32*0.5)+'LINEST VARS'!$G$52*($J$32*12.73)+'LINEST VARS'!$F$52*($B44*4)+'LINEST VARS'!$E$52*($B44*0.5)+'LINEST VARS'!$D$52*($B44*12.73)+'LINEST VARS'!$C$52*(4*0.5)+'LINEST VARS'!$B$52*(4*12.73)+'LINEST VARS'!$A$52*(0.5*12.73)</f>
        <v>4.4499999999999984</v>
      </c>
      <c r="K44" s="51">
        <f>'LINEST VARS'!$U$52+'LINEST VARS'!$T$52*($K$32)+'LINEST VARS'!$S$52*($B44)+'LINEST VARS'!$R$52*(4)+'LINEST VARS'!$Q$52*(0.5)+'LINEST VARS'!$P$52*(12.73)+'LINEST VARS'!$O$52*($K$32^2)+'LINEST VARS'!$N$52*($B44^2)+'LINEST VARS'!$M$52*(4^2)+'LINEST VARS'!$L$52*(0.5^2)+'LINEST VARS'!$K$52*(12.73^2)+'LINEST VARS'!$J$52*($K$32*$B44)+'LINEST VARS'!$I$52*($K$32*4)+'LINEST VARS'!$H$52*($K$32*0.5)+'LINEST VARS'!$G$52*($K$32*12.73)+'LINEST VARS'!$F$52*($B44*4)+'LINEST VARS'!$E$52*($B44*0.5)+'LINEST VARS'!$D$52*($B44*12.73)+'LINEST VARS'!$C$52*(4*0.5)+'LINEST VARS'!$B$52*(4*12.73)+'LINEST VARS'!$A$52*(0.5*12.73)</f>
        <v>4.4499999999999984</v>
      </c>
      <c r="L44" s="51">
        <f>'LINEST VARS'!$U$52+'LINEST VARS'!$T$52*($L$32)+'LINEST VARS'!$S$52*($B44)+'LINEST VARS'!$R$52*(4)+'LINEST VARS'!$Q$52*(0.5)+'LINEST VARS'!$P$52*(12.73)+'LINEST VARS'!$O$52*($L$32^2)+'LINEST VARS'!$N$52*($B44^2)+'LINEST VARS'!$M$52*(4^2)+'LINEST VARS'!$L$52*(0.5^2)+'LINEST VARS'!$K$52*(12.73^2)+'LINEST VARS'!$J$52*($L$32*$B44)+'LINEST VARS'!$I$52*($L$32*4)+'LINEST VARS'!$H$52*($L$32*0.5)+'LINEST VARS'!$G$52*($L$32*12.73)+'LINEST VARS'!$F$52*($B44*4)+'LINEST VARS'!$E$52*($B44*0.5)+'LINEST VARS'!$D$52*($B44*12.73)+'LINEST VARS'!$C$52*(4*0.5)+'LINEST VARS'!$B$52*(4*12.73)+'LINEST VARS'!$A$52*(0.5*12.73)</f>
        <v>4.4499999999999984</v>
      </c>
      <c r="M44" s="51">
        <f>'LINEST VARS'!$U$52+'LINEST VARS'!$T$52*($M$32)+'LINEST VARS'!$S$52*($B44)+'LINEST VARS'!$R$52*(4)+'LINEST VARS'!$Q$52*(0.5)+'LINEST VARS'!$P$52*(12.73)+'LINEST VARS'!$O$52*($M$32^2)+'LINEST VARS'!$N$52*($B44^2)+'LINEST VARS'!$M$52*(4^2)+'LINEST VARS'!$L$52*(0.5^2)+'LINEST VARS'!$K$52*(12.73^2)+'LINEST VARS'!$J$52*($M$32*$B44)+'LINEST VARS'!$I$52*($M$32*4)+'LINEST VARS'!$H$52*($M$32*0.5)+'LINEST VARS'!$G$52*($M$32*12.73)+'LINEST VARS'!$F$52*($B44*4)+'LINEST VARS'!$E$52*($B44*0.5)+'LINEST VARS'!$D$52*($B44*12.73)+'LINEST VARS'!$C$52*(4*0.5)+'LINEST VARS'!$B$52*(4*12.73)+'LINEST VARS'!$A$52*(0.5*12.73)</f>
        <v>4.4499999999999984</v>
      </c>
      <c r="N44" s="51">
        <f>'LINEST VARS'!$U$52+'LINEST VARS'!$T$52*($N$32)+'LINEST VARS'!$S$52*($B44)+'LINEST VARS'!$R$52*(4)+'LINEST VARS'!$Q$52*(0.5)+'LINEST VARS'!$P$52*(12.73)+'LINEST VARS'!$O$52*($N$32^2)+'LINEST VARS'!$N$52*($B44^2)+'LINEST VARS'!$M$52*(4^2)+'LINEST VARS'!$L$52*(0.5^2)+'LINEST VARS'!$K$52*(12.73^2)+'LINEST VARS'!$J$52*($N$32*$B44)+'LINEST VARS'!$I$52*($N$32*4)+'LINEST VARS'!$H$52*($N$32*0.5)+'LINEST VARS'!$G$52*($N$32*12.73)+'LINEST VARS'!$F$52*($B44*4)+'LINEST VARS'!$E$52*($B44*0.5)+'LINEST VARS'!$D$52*($B44*12.73)+'LINEST VARS'!$C$52*(4*0.5)+'LINEST VARS'!$B$52*(4*12.73)+'LINEST VARS'!$A$52*(0.5*12.73)</f>
        <v>4.4499999999999984</v>
      </c>
      <c r="O44" s="51">
        <f>'LINEST VARS'!$U$52+'LINEST VARS'!$T$52*($O$32)+'LINEST VARS'!$S$52*($B44)+'LINEST VARS'!$R$52*(4)+'LINEST VARS'!$Q$52*(0.5)+'LINEST VARS'!$P$52*(12.73)+'LINEST VARS'!$O$52*($O$32^2)+'LINEST VARS'!$N$52*($B44^2)+'LINEST VARS'!$M$52*(4^2)+'LINEST VARS'!$L$52*(0.5^2)+'LINEST VARS'!$K$52*(12.73^2)+'LINEST VARS'!$J$52*($O$32*$B44)+'LINEST VARS'!$I$52*($O$32*4)+'LINEST VARS'!$H$52*($O$32*0.5)+'LINEST VARS'!$G$52*($O$32*12.73)+'LINEST VARS'!$F$52*($B44*4)+'LINEST VARS'!$E$52*($B44*0.5)+'LINEST VARS'!$D$52*($B44*12.73)+'LINEST VARS'!$C$52*(4*0.5)+'LINEST VARS'!$B$52*(4*12.73)+'LINEST VARS'!$A$52*(0.5*12.73)</f>
        <v>4.4499999999999984</v>
      </c>
      <c r="P44" s="51">
        <f>'LINEST VARS'!$U$52+'LINEST VARS'!$T$52*($P$32)+'LINEST VARS'!$S$52*($B44)+'LINEST VARS'!$R$52*(4)+'LINEST VARS'!$Q$52*(0.5)+'LINEST VARS'!$P$52*(12.73)+'LINEST VARS'!$O$52*($P$32^2)+'LINEST VARS'!$N$52*($B44^2)+'LINEST VARS'!$M$52*(4^2)+'LINEST VARS'!$L$52*(0.5^2)+'LINEST VARS'!$K$52*(12.73^2)+'LINEST VARS'!$J$52*($P$32*$B44)+'LINEST VARS'!$I$52*($P$32*4)+'LINEST VARS'!$H$52*($P$32*0.5)+'LINEST VARS'!$G$52*($P$32*12.73)+'LINEST VARS'!$F$52*($B44*4)+'LINEST VARS'!$E$52*($B44*0.5)+'LINEST VARS'!$D$52*($B44*12.73)+'LINEST VARS'!$C$52*(4*0.5)+'LINEST VARS'!$B$52*(4*12.73)+'LINEST VARS'!$A$52*(0.5*12.73)</f>
        <v>4.4499999999999984</v>
      </c>
      <c r="Q44" s="51">
        <f>'LINEST VARS'!$U$52+'LINEST VARS'!$T$52*($Q$32)+'LINEST VARS'!$S$52*($B44)+'LINEST VARS'!$R$52*(4)+'LINEST VARS'!$Q$52*(0.5)+'LINEST VARS'!$P$52*(12.73)+'LINEST VARS'!$O$52*($Q$32^2)+'LINEST VARS'!$N$52*($B44^2)+'LINEST VARS'!$M$52*(4^2)+'LINEST VARS'!$L$52*(0.5^2)+'LINEST VARS'!$K$52*(12.73^2)+'LINEST VARS'!$J$52*($Q$32*$B44)+'LINEST VARS'!$I$52*($Q$32*4)+'LINEST VARS'!$H$52*($Q$32*0.5)+'LINEST VARS'!$G$52*($Q$32*12.73)+'LINEST VARS'!$F$52*($B44*4)+'LINEST VARS'!$E$52*($B44*0.5)+'LINEST VARS'!$D$52*($B44*12.73)+'LINEST VARS'!$C$52*(4*0.5)+'LINEST VARS'!$B$52*(4*12.73)+'LINEST VARS'!$A$52*(0.5*12.73)</f>
        <v>4.4499999999999984</v>
      </c>
      <c r="R44" s="51">
        <f>'LINEST VARS'!$U$52+'LINEST VARS'!$T$52*($R$32)+'LINEST VARS'!$S$52*($B44)+'LINEST VARS'!$R$52*(4)+'LINEST VARS'!$Q$52*(0.5)+'LINEST VARS'!$P$52*(12.73)+'LINEST VARS'!$O$52*($R$32^2)+'LINEST VARS'!$N$52*($B44^2)+'LINEST VARS'!$M$52*(4^2)+'LINEST VARS'!$L$52*(0.5^2)+'LINEST VARS'!$K$52*(12.73^2)+'LINEST VARS'!$J$52*($R$32*$B44)+'LINEST VARS'!$I$52*($R$32*4)+'LINEST VARS'!$H$52*($R$32*0.5)+'LINEST VARS'!$G$52*($R$32*12.73)+'LINEST VARS'!$F$52*($B44*4)+'LINEST VARS'!$E$52*($B44*0.5)+'LINEST VARS'!$D$52*($B44*12.73)+'LINEST VARS'!$C$52*(4*0.5)+'LINEST VARS'!$B$52*(4*12.73)+'LINEST VARS'!$A$52*(0.5*12.73)</f>
        <v>4.4499999999999984</v>
      </c>
      <c r="S44" s="51">
        <f>'LINEST VARS'!$U$52+'LINEST VARS'!$T$52*($S$32)+'LINEST VARS'!$S$52*($B44)+'LINEST VARS'!$R$52*(4)+'LINEST VARS'!$Q$52*(0.5)+'LINEST VARS'!$P$52*(12.73)+'LINEST VARS'!$O$52*($S$32^2)+'LINEST VARS'!$N$52*($B44^2)+'LINEST VARS'!$M$52*(4^2)+'LINEST VARS'!$L$52*(0.5^2)+'LINEST VARS'!$K$52*(12.73^2)+'LINEST VARS'!$J$52*($S$32*$B44)+'LINEST VARS'!$I$52*($S$32*4)+'LINEST VARS'!$H$52*($S$32*0.5)+'LINEST VARS'!$G$52*($S$32*12.73)+'LINEST VARS'!$F$52*($B44*4)+'LINEST VARS'!$E$52*($B44*0.5)+'LINEST VARS'!$D$52*($B44*12.73)+'LINEST VARS'!$C$52*(4*0.5)+'LINEST VARS'!$B$52*(4*12.73)+'LINEST VARS'!$A$52*(0.5*12.73)</f>
        <v>4.4499999999999984</v>
      </c>
      <c r="T44" s="51">
        <f>'LINEST VARS'!$U$52+'LINEST VARS'!$T$52*($T$32)+'LINEST VARS'!$S$52*($B44)+'LINEST VARS'!$R$52*(4)+'LINEST VARS'!$Q$52*(0.5)+'LINEST VARS'!$P$52*(12.73)+'LINEST VARS'!$O$52*($T$32^2)+'LINEST VARS'!$N$52*($B44^2)+'LINEST VARS'!$M$52*(4^2)+'LINEST VARS'!$L$52*(0.5^2)+'LINEST VARS'!$K$52*(12.73^2)+'LINEST VARS'!$J$52*($T$32*$B44)+'LINEST VARS'!$I$52*($T$32*4)+'LINEST VARS'!$H$52*($T$32*0.5)+'LINEST VARS'!$G$52*($T$32*12.73)+'LINEST VARS'!$F$52*($B44*4)+'LINEST VARS'!$E$52*($B44*0.5)+'LINEST VARS'!$D$52*($B44*12.73)+'LINEST VARS'!$C$52*(4*0.5)+'LINEST VARS'!$B$52*(4*12.73)+'LINEST VARS'!$A$52*(0.5*12.73)</f>
        <v>4.4499999999999984</v>
      </c>
      <c r="U44" s="51">
        <f>'LINEST VARS'!$U$52+'LINEST VARS'!$T$52*($U$32)+'LINEST VARS'!$S$52*($B44)+'LINEST VARS'!$R$52*(4)+'LINEST VARS'!$Q$52*(0.5)+'LINEST VARS'!$P$52*(12.73)+'LINEST VARS'!$O$52*($U$32^2)+'LINEST VARS'!$N$52*($B44^2)+'LINEST VARS'!$M$52*(4^2)+'LINEST VARS'!$L$52*(0.5^2)+'LINEST VARS'!$K$52*(12.73^2)+'LINEST VARS'!$J$52*($U$32*$B44)+'LINEST VARS'!$I$52*($U$32*4)+'LINEST VARS'!$H$52*($U$32*0.5)+'LINEST VARS'!$G$52*($U$32*12.73)+'LINEST VARS'!$F$52*($B44*4)+'LINEST VARS'!$E$52*($B44*0.5)+'LINEST VARS'!$D$52*($B44*12.73)+'LINEST VARS'!$C$52*(4*0.5)+'LINEST VARS'!$B$52*(4*12.73)+'LINEST VARS'!$A$52*(0.5*12.73)</f>
        <v>4.4499999999999984</v>
      </c>
      <c r="V44" s="51">
        <f>'LINEST VARS'!$U$52+'LINEST VARS'!$T$52*($V$32)+'LINEST VARS'!$S$52*($B44)+'LINEST VARS'!$R$52*(4)+'LINEST VARS'!$Q$52*(0.5)+'LINEST VARS'!$P$52*(12.73)+'LINEST VARS'!$O$52*($V$32^2)+'LINEST VARS'!$N$52*($B44^2)+'LINEST VARS'!$M$52*(4^2)+'LINEST VARS'!$L$52*(0.5^2)+'LINEST VARS'!$K$52*(12.73^2)+'LINEST VARS'!$J$52*($V$32*$B44)+'LINEST VARS'!$I$52*($V$32*4)+'LINEST VARS'!$H$52*($V$32*0.5)+'LINEST VARS'!$G$52*($V$32*12.73)+'LINEST VARS'!$F$52*($B44*4)+'LINEST VARS'!$E$52*($B44*0.5)+'LINEST VARS'!$D$52*($B44*12.73)+'LINEST VARS'!$C$52*(4*0.5)+'LINEST VARS'!$B$52*(4*12.73)+'LINEST VARS'!$A$52*(0.5*12.73)</f>
        <v>4.4499999999999993</v>
      </c>
      <c r="W44" s="52">
        <f>'LINEST VARS'!$U$52+'LINEST VARS'!$T$52*($W$32)+'LINEST VARS'!$S$52*($B44)+'LINEST VARS'!$R$52*(4)+'LINEST VARS'!$Q$52*(0.5)+'LINEST VARS'!$P$52*(12.73)+'LINEST VARS'!$O$52*($W$32^2)+'LINEST VARS'!$N$52*($B44^2)+'LINEST VARS'!$M$52*(4^2)+'LINEST VARS'!$L$52*(0.5^2)+'LINEST VARS'!$K$52*(12.73^2)+'LINEST VARS'!$J$52*($W$32*$B44)+'LINEST VARS'!$I$52*($W$32*4)+'LINEST VARS'!$H$52*($W$32*0.5)+'LINEST VARS'!$G$52*($W$32*12.73)+'LINEST VARS'!$F$52*($B44*4)+'LINEST VARS'!$E$52*($B44*0.5)+'LINEST VARS'!$D$52*($B44*12.73)+'LINEST VARS'!$C$52*(4*0.5)+'LINEST VARS'!$B$52*(4*12.73)+'LINEST VARS'!$A$52*(0.5*12.73)</f>
        <v>4.4499999999999993</v>
      </c>
      <c r="Z44" s="45">
        <v>8.06</v>
      </c>
      <c r="AA44" s="51">
        <f>'LINEST VARS'!$U$54+'LINEST VARS'!$T$54*($AA$32)+'LINEST VARS'!$S$54*($Z44)+'LINEST VARS'!$R$54*(4)+'LINEST VARS'!$Q$54*(0.5)+'LINEST VARS'!$P$54*(12.73)+'LINEST VARS'!$O$54*($AA$32^2)+'LINEST VARS'!$N$54*($Z44^2)+'LINEST VARS'!$M$54*(4^2)+'LINEST VARS'!$L$54*(0.5^2)+'LINEST VARS'!$K$54*(12.73^2)+'LINEST VARS'!$J$54*($AA$32*$Z44)+'LINEST VARS'!$I$54*($AA$32*4)+'LINEST VARS'!$H$54*($AA$32*0.5)+'LINEST VARS'!$G$54*($AA$32*12.73)+'LINEST VARS'!$F$54*($Z44*4)+'LINEST VARS'!$E$54*($Z44*0.5)+'LINEST VARS'!$D$54*($Z44*12.73)+'LINEST VARS'!$C$54*(4*0.5)+'LINEST VARS'!$B$54*(4*12.73)+'LINEST VARS'!$A$54*(0.5*12.73)</f>
        <v>3.9749999999999996</v>
      </c>
      <c r="AB44" s="51">
        <f>'LINEST VARS'!$U$54+'LINEST VARS'!$T$54*($AB$32)+'LINEST VARS'!$S$54*($Z44)+'LINEST VARS'!$R$54*(4)+'LINEST VARS'!$Q$54*(0.5)+'LINEST VARS'!$P$54*(12.73)+'LINEST VARS'!$O$54*($AB$32^2)+'LINEST VARS'!$N$54*($Z44^2)+'LINEST VARS'!$M$54*(4^2)+'LINEST VARS'!$L$54*(0.5^2)+'LINEST VARS'!$K$54*(12.73^2)+'LINEST VARS'!$J$54*($AB$32*$Z44)+'LINEST VARS'!$I$54*($AB$32*4)+'LINEST VARS'!$H$54*($AB$32*0.5)+'LINEST VARS'!$G$54*($AB$32*12.73)+'LINEST VARS'!$F$54*($Z44*4)+'LINEST VARS'!$E$54*($Z44*0.5)+'LINEST VARS'!$D$54*($Z44*12.73)+'LINEST VARS'!$C$54*(4*0.5)+'LINEST VARS'!$B$54*(4*12.73)+'LINEST VARS'!$A$54*(0.5*12.73)</f>
        <v>3.9749999999999996</v>
      </c>
      <c r="AC44" s="51">
        <f>'LINEST VARS'!$U$54+'LINEST VARS'!$T$54*($AC$32)+'LINEST VARS'!$S$54*($Z44)+'LINEST VARS'!$R$54*(4)+'LINEST VARS'!$Q$54*(0.5)+'LINEST VARS'!$P$54*(12.73)+'LINEST VARS'!$O$54*($AC$32^2)+'LINEST VARS'!$N$54*($Z44^2)+'LINEST VARS'!$M$54*(4^2)+'LINEST VARS'!$L$54*(0.5^2)+'LINEST VARS'!$K$54*(12.73^2)+'LINEST VARS'!$J$54*($AC$32*$Z44)+'LINEST VARS'!$I$54*($AC$32*4)+'LINEST VARS'!$H$54*($AC$32*0.5)+'LINEST VARS'!$G$54*($AC$32*12.73)+'LINEST VARS'!$F$54*($Z44*4)+'LINEST VARS'!$E$54*($Z44*0.5)+'LINEST VARS'!$D$54*($Z44*12.73)+'LINEST VARS'!$C$54*(4*0.5)+'LINEST VARS'!$B$54*(4*12.73)+'LINEST VARS'!$A$54*(0.5*12.73)</f>
        <v>3.9749999999999996</v>
      </c>
      <c r="AD44" s="51">
        <f>'LINEST VARS'!$U$54+'LINEST VARS'!$T$54*($AD$32)+'LINEST VARS'!$S$54*($Z44)+'LINEST VARS'!$R$54*(4)+'LINEST VARS'!$Q$54*(0.5)+'LINEST VARS'!$P$54*(12.73)+'LINEST VARS'!$O$54*($AD$32^2)+'LINEST VARS'!$N$54*($Z44^2)+'LINEST VARS'!$M$54*(4^2)+'LINEST VARS'!$L$54*(0.5^2)+'LINEST VARS'!$K$54*(12.73^2)+'LINEST VARS'!$J$54*($AD$32*$Z44)+'LINEST VARS'!$I$54*($AD$32*4)+'LINEST VARS'!$H$54*($AD$32*0.5)+'LINEST VARS'!$G$54*($AD$32*12.73)+'LINEST VARS'!$F$54*($Z44*4)+'LINEST VARS'!$E$54*($Z44*0.5)+'LINEST VARS'!$D$54*($Z44*12.73)+'LINEST VARS'!$C$54*(4*0.5)+'LINEST VARS'!$B$54*(4*12.73)+'LINEST VARS'!$A$54*(0.5*12.73)</f>
        <v>3.9749999999999996</v>
      </c>
      <c r="AE44" s="51">
        <f>'LINEST VARS'!$U$54+'LINEST VARS'!$T$54*($AE$32)+'LINEST VARS'!$S$54*($Z44)+'LINEST VARS'!$R$54*(4)+'LINEST VARS'!$Q$54*(0.5)+'LINEST VARS'!$P$54*(12.73)+'LINEST VARS'!$O$54*($AE$32^2)+'LINEST VARS'!$N$54*($Z44^2)+'LINEST VARS'!$M$54*(4^2)+'LINEST VARS'!$L$54*(0.5^2)+'LINEST VARS'!$K$54*(12.73^2)+'LINEST VARS'!$J$54*($AE$32*$Z44)+'LINEST VARS'!$I$54*($AE$32*4)+'LINEST VARS'!$H$54*($AE$32*0.5)+'LINEST VARS'!$G$54*($AE$32*12.73)+'LINEST VARS'!$F$54*($Z44*4)+'LINEST VARS'!$E$54*($Z44*0.5)+'LINEST VARS'!$D$54*($Z44*12.73)+'LINEST VARS'!$C$54*(4*0.5)+'LINEST VARS'!$B$54*(4*12.73)+'LINEST VARS'!$A$54*(0.5*12.73)</f>
        <v>3.9749999999999996</v>
      </c>
      <c r="AF44" s="51">
        <f>'LINEST VARS'!$U$54+'LINEST VARS'!$T$54*($AF$32)+'LINEST VARS'!$S$54*($Z44)+'LINEST VARS'!$R$54*(4)+'LINEST VARS'!$Q$54*(0.5)+'LINEST VARS'!$P$54*(12.73)+'LINEST VARS'!$O$54*($AF$32^2)+'LINEST VARS'!$N$54*($Z44^2)+'LINEST VARS'!$M$54*(4^2)+'LINEST VARS'!$L$54*(0.5^2)+'LINEST VARS'!$K$54*(12.73^2)+'LINEST VARS'!$J$54*($AF$32*$Z44)+'LINEST VARS'!$I$54*($AF$32*4)+'LINEST VARS'!$H$54*($AF$32*0.5)+'LINEST VARS'!$G$54*($AF$32*12.73)+'LINEST VARS'!$F$54*($Z44*4)+'LINEST VARS'!$E$54*($Z44*0.5)+'LINEST VARS'!$D$54*($Z44*12.73)+'LINEST VARS'!$C$54*(4*0.5)+'LINEST VARS'!$B$54*(4*12.73)+'LINEST VARS'!$A$54*(0.5*12.73)</f>
        <v>3.9749999999999996</v>
      </c>
      <c r="AG44" s="51">
        <f>'LINEST VARS'!$U$54+'LINEST VARS'!$T$54*($AG$32)+'LINEST VARS'!$S$54*($Z44)+'LINEST VARS'!$R$54*(4)+'LINEST VARS'!$Q$54*(0.5)+'LINEST VARS'!$P$54*(12.73)+'LINEST VARS'!$O$54*($AG$32^2)+'LINEST VARS'!$N$54*($Z44^2)+'LINEST VARS'!$M$54*(4^2)+'LINEST VARS'!$L$54*(0.5^2)+'LINEST VARS'!$K$54*(12.73^2)+'LINEST VARS'!$J$54*($AG$32*$Z44)+'LINEST VARS'!$I$54*($AG$32*4)+'LINEST VARS'!$H$54*($AG$32*0.5)+'LINEST VARS'!$G$54*($AG$32*12.73)+'LINEST VARS'!$F$54*($Z44*4)+'LINEST VARS'!$E$54*($Z44*0.5)+'LINEST VARS'!$D$54*($Z44*12.73)+'LINEST VARS'!$C$54*(4*0.5)+'LINEST VARS'!$B$54*(4*12.73)+'LINEST VARS'!$A$54*(0.5*12.73)</f>
        <v>3.9749999999999996</v>
      </c>
      <c r="AH44" s="51">
        <f>'LINEST VARS'!$U$54+'LINEST VARS'!$T$54*($AH$32)+'LINEST VARS'!$S$54*($Z44)+'LINEST VARS'!$R$54*(4)+'LINEST VARS'!$Q$54*(0.5)+'LINEST VARS'!$P$54*(12.73)+'LINEST VARS'!$O$54*($AH$32^2)+'LINEST VARS'!$N$54*($Z44^2)+'LINEST VARS'!$M$54*(4^2)+'LINEST VARS'!$L$54*(0.5^2)+'LINEST VARS'!$K$54*(12.73^2)+'LINEST VARS'!$J$54*($AH$32*$Z44)+'LINEST VARS'!$I$54*($AH$32*4)+'LINEST VARS'!$H$54*($AH$32*0.5)+'LINEST VARS'!$G$54*($AH$32*12.73)+'LINEST VARS'!$F$54*($Z44*4)+'LINEST VARS'!$E$54*($Z44*0.5)+'LINEST VARS'!$D$54*($Z44*12.73)+'LINEST VARS'!$C$54*(4*0.5)+'LINEST VARS'!$B$54*(4*12.73)+'LINEST VARS'!$A$54*(0.5*12.73)</f>
        <v>3.9749999999999996</v>
      </c>
      <c r="AI44" s="51">
        <f>'LINEST VARS'!$U$54+'LINEST VARS'!$T$54*($AI$32)+'LINEST VARS'!$S$54*($Z44)+'LINEST VARS'!$R$54*(4)+'LINEST VARS'!$Q$54*(0.5)+'LINEST VARS'!$P$54*(12.73)+'LINEST VARS'!$O$54*($AI$32^2)+'LINEST VARS'!$N$54*($Z44^2)+'LINEST VARS'!$M$54*(4^2)+'LINEST VARS'!$L$54*(0.5^2)+'LINEST VARS'!$K$54*(12.73^2)+'LINEST VARS'!$J$54*($AI$32*$Z44)+'LINEST VARS'!$I$54*($AI$32*4)+'LINEST VARS'!$H$54*($AI$32*0.5)+'LINEST VARS'!$G$54*($AI$32*12.73)+'LINEST VARS'!$F$54*($Z44*4)+'LINEST VARS'!$E$54*($Z44*0.5)+'LINEST VARS'!$D$54*($Z44*12.73)+'LINEST VARS'!$C$54*(4*0.5)+'LINEST VARS'!$B$54*(4*12.73)+'LINEST VARS'!$A$54*(0.5*12.73)</f>
        <v>3.9749999999999996</v>
      </c>
      <c r="AJ44" s="51">
        <f>'LINEST VARS'!$U$54+'LINEST VARS'!$T$54*($AJ$32)+'LINEST VARS'!$S$54*($Z44)+'LINEST VARS'!$R$54*(4)+'LINEST VARS'!$Q$54*(0.5)+'LINEST VARS'!$P$54*(12.73)+'LINEST VARS'!$O$54*($AJ$32^2)+'LINEST VARS'!$N$54*($Z44^2)+'LINEST VARS'!$M$54*(4^2)+'LINEST VARS'!$L$54*(0.5^2)+'LINEST VARS'!$K$54*(12.73^2)+'LINEST VARS'!$J$54*($AJ$32*$Z44)+'LINEST VARS'!$I$54*($AJ$32*4)+'LINEST VARS'!$H$54*($AJ$32*0.5)+'LINEST VARS'!$G$54*($AJ$32*12.73)+'LINEST VARS'!$F$54*($Z44*4)+'LINEST VARS'!$E$54*($Z44*0.5)+'LINEST VARS'!$D$54*($Z44*12.73)+'LINEST VARS'!$C$54*(4*0.5)+'LINEST VARS'!$B$54*(4*12.73)+'LINEST VARS'!$A$54*(0.5*12.73)</f>
        <v>3.9749999999999996</v>
      </c>
      <c r="AK44" s="51">
        <f>'LINEST VARS'!$U$54+'LINEST VARS'!$T$54*($AK$32)+'LINEST VARS'!$S$54*($Z44)+'LINEST VARS'!$R$54*(4)+'LINEST VARS'!$Q$54*(0.5)+'LINEST VARS'!$P$54*(12.73)+'LINEST VARS'!$O$54*($AK$32^2)+'LINEST VARS'!$N$54*($Z44^2)+'LINEST VARS'!$M$54*(4^2)+'LINEST VARS'!$L$54*(0.5^2)+'LINEST VARS'!$K$54*(12.73^2)+'LINEST VARS'!$J$54*($AK$32*$Z44)+'LINEST VARS'!$I$54*($AK$32*4)+'LINEST VARS'!$H$54*($AK$32*0.5)+'LINEST VARS'!$G$54*($AK$32*12.73)+'LINEST VARS'!$F$54*($Z44*4)+'LINEST VARS'!$E$54*($Z44*0.5)+'LINEST VARS'!$D$54*($Z44*12.73)+'LINEST VARS'!$C$54*(4*0.5)+'LINEST VARS'!$B$54*(4*12.73)+'LINEST VARS'!$A$54*(0.5*12.73)</f>
        <v>3.9749999999999996</v>
      </c>
      <c r="AL44" s="51">
        <f>'LINEST VARS'!$U$54+'LINEST VARS'!$T$54*($AL$32)+'LINEST VARS'!$S$54*($Z44)+'LINEST VARS'!$R$54*(4)+'LINEST VARS'!$Q$54*(0.5)+'LINEST VARS'!$P$54*(12.73)+'LINEST VARS'!$O$54*($AL$32^2)+'LINEST VARS'!$N$54*($Z44^2)+'LINEST VARS'!$M$54*(4^2)+'LINEST VARS'!$L$54*(0.5^2)+'LINEST VARS'!$K$54*(12.73^2)+'LINEST VARS'!$J$54*($AL$32*$Z44)+'LINEST VARS'!$I$54*($AL$32*4)+'LINEST VARS'!$H$54*($AL$32*0.5)+'LINEST VARS'!$G$54*($AL$32*12.73)+'LINEST VARS'!$F$54*($Z44*4)+'LINEST VARS'!$E$54*($Z44*0.5)+'LINEST VARS'!$D$54*($Z44*12.73)+'LINEST VARS'!$C$54*(4*0.5)+'LINEST VARS'!$B$54*(4*12.73)+'LINEST VARS'!$A$54*(0.5*12.73)</f>
        <v>3.9749999999999996</v>
      </c>
      <c r="AM44" s="51">
        <f>'LINEST VARS'!$U$54+'LINEST VARS'!$T$54*($AM$32)+'LINEST VARS'!$S$54*($Z44)+'LINEST VARS'!$R$54*(4)+'LINEST VARS'!$Q$54*(0.5)+'LINEST VARS'!$P$54*(12.73)+'LINEST VARS'!$O$54*($AM$32^2)+'LINEST VARS'!$N$54*($Z44^2)+'LINEST VARS'!$M$54*(4^2)+'LINEST VARS'!$L$54*(0.5^2)+'LINEST VARS'!$K$54*(12.73^2)+'LINEST VARS'!$J$54*($AM$32*$Z44)+'LINEST VARS'!$I$54*($AM$32*4)+'LINEST VARS'!$H$54*($AM$32*0.5)+'LINEST VARS'!$G$54*($AM$32*12.73)+'LINEST VARS'!$F$54*($Z44*4)+'LINEST VARS'!$E$54*($Z44*0.5)+'LINEST VARS'!$D$54*($Z44*12.73)+'LINEST VARS'!$C$54*(4*0.5)+'LINEST VARS'!$B$54*(4*12.73)+'LINEST VARS'!$A$54*(0.5*12.73)</f>
        <v>3.9749999999999996</v>
      </c>
      <c r="AN44" s="51">
        <f>'LINEST VARS'!$U$54+'LINEST VARS'!$T$54*($AN$32)+'LINEST VARS'!$S$54*($Z44)+'LINEST VARS'!$R$54*(4)+'LINEST VARS'!$Q$54*(0.5)+'LINEST VARS'!$P$54*(12.73)+'LINEST VARS'!$O$54*($AN$32^2)+'LINEST VARS'!$N$54*($Z44^2)+'LINEST VARS'!$M$54*(4^2)+'LINEST VARS'!$L$54*(0.5^2)+'LINEST VARS'!$K$54*(12.73^2)+'LINEST VARS'!$J$54*($AN$32*$Z44)+'LINEST VARS'!$I$54*($AN$32*4)+'LINEST VARS'!$H$54*($AN$32*0.5)+'LINEST VARS'!$G$54*($AN$32*12.73)+'LINEST VARS'!$F$54*($Z44*4)+'LINEST VARS'!$E$54*($Z44*0.5)+'LINEST VARS'!$D$54*($Z44*12.73)+'LINEST VARS'!$C$54*(4*0.5)+'LINEST VARS'!$B$54*(4*12.73)+'LINEST VARS'!$A$54*(0.5*12.73)</f>
        <v>3.9749999999999996</v>
      </c>
      <c r="AO44" s="51">
        <f>'LINEST VARS'!$U$54+'LINEST VARS'!$T$54*($AO$32)+'LINEST VARS'!$S$54*($Z44)+'LINEST VARS'!$R$54*(4)+'LINEST VARS'!$Q$54*(0.5)+'LINEST VARS'!$P$54*(12.73)+'LINEST VARS'!$O$54*($AO$32^2)+'LINEST VARS'!$N$54*($Z44^2)+'LINEST VARS'!$M$54*(4^2)+'LINEST VARS'!$L$54*(0.5^2)+'LINEST VARS'!$K$54*(12.73^2)+'LINEST VARS'!$J$54*($AO$32*$Z44)+'LINEST VARS'!$I$54*($AO$32*4)+'LINEST VARS'!$H$54*($AO$32*0.5)+'LINEST VARS'!$G$54*($AO$32*12.73)+'LINEST VARS'!$F$54*($Z44*4)+'LINEST VARS'!$E$54*($Z44*0.5)+'LINEST VARS'!$D$54*($Z44*12.73)+'LINEST VARS'!$C$54*(4*0.5)+'LINEST VARS'!$B$54*(4*12.73)+'LINEST VARS'!$A$54*(0.5*12.73)</f>
        <v>3.9749999999999996</v>
      </c>
      <c r="AP44" s="51">
        <f>'LINEST VARS'!$U$54+'LINEST VARS'!$T$54*($AP$32)+'LINEST VARS'!$S$54*($Z44)+'LINEST VARS'!$R$54*(4)+'LINEST VARS'!$Q$54*(0.5)+'LINEST VARS'!$P$54*(12.73)+'LINEST VARS'!$O$54*($AP$32^2)+'LINEST VARS'!$N$54*($Z44^2)+'LINEST VARS'!$M$54*(4^2)+'LINEST VARS'!$L$54*(0.5^2)+'LINEST VARS'!$K$54*(12.73^2)+'LINEST VARS'!$J$54*($AP$32*$Z44)+'LINEST VARS'!$I$54*($AP$32*4)+'LINEST VARS'!$H$54*($AP$32*0.5)+'LINEST VARS'!$G$54*($AP$32*12.73)+'LINEST VARS'!$F$54*($Z44*4)+'LINEST VARS'!$E$54*($Z44*0.5)+'LINEST VARS'!$D$54*($Z44*12.73)+'LINEST VARS'!$C$54*(4*0.5)+'LINEST VARS'!$B$54*(4*12.73)+'LINEST VARS'!$A$54*(0.5*12.73)</f>
        <v>3.9749999999999996</v>
      </c>
      <c r="AQ44" s="51">
        <f>'LINEST VARS'!$U$54+'LINEST VARS'!$T$54*($AQ$32)+'LINEST VARS'!$S$54*($Z44)+'LINEST VARS'!$R$54*(4)+'LINEST VARS'!$Q$54*(0.5)+'LINEST VARS'!$P$54*(12.73)+'LINEST VARS'!$O$54*($AQ$32^2)+'LINEST VARS'!$N$54*($Z44^2)+'LINEST VARS'!$M$54*(4^2)+'LINEST VARS'!$L$54*(0.5^2)+'LINEST VARS'!$K$54*(12.73^2)+'LINEST VARS'!$J$54*($AQ$32*$Z44)+'LINEST VARS'!$I$54*($AQ$32*4)+'LINEST VARS'!$H$54*($AQ$32*0.5)+'LINEST VARS'!$G$54*($AQ$32*12.73)+'LINEST VARS'!$F$54*($Z44*4)+'LINEST VARS'!$E$54*($Z44*0.5)+'LINEST VARS'!$D$54*($Z44*12.73)+'LINEST VARS'!$C$54*(4*0.5)+'LINEST VARS'!$B$54*(4*12.73)+'LINEST VARS'!$A$54*(0.5*12.73)</f>
        <v>3.9749999999999996</v>
      </c>
      <c r="AR44" s="51">
        <f>'LINEST VARS'!$U$54+'LINEST VARS'!$T$54*($AR$32)+'LINEST VARS'!$S$54*($Z44)+'LINEST VARS'!$R$54*(4)+'LINEST VARS'!$Q$54*(0.5)+'LINEST VARS'!$P$54*(12.73)+'LINEST VARS'!$O$54*($AR$32^2)+'LINEST VARS'!$N$54*($Z44^2)+'LINEST VARS'!$M$54*(4^2)+'LINEST VARS'!$L$54*(0.5^2)+'LINEST VARS'!$K$54*(12.73^2)+'LINEST VARS'!$J$54*($AR$32*$Z44)+'LINEST VARS'!$I$54*($AR$32*4)+'LINEST VARS'!$H$54*($AR$32*0.5)+'LINEST VARS'!$G$54*($AR$32*12.73)+'LINEST VARS'!$F$54*($Z44*4)+'LINEST VARS'!$E$54*($Z44*0.5)+'LINEST VARS'!$D$54*($Z44*12.73)+'LINEST VARS'!$C$54*(4*0.5)+'LINEST VARS'!$B$54*(4*12.73)+'LINEST VARS'!$A$54*(0.5*12.73)</f>
        <v>3.9749999999999996</v>
      </c>
      <c r="AS44" s="51">
        <f>'LINEST VARS'!$U$54+'LINEST VARS'!$T$54*($AS$32)+'LINEST VARS'!$S$54*($Z44)+'LINEST VARS'!$R$54*(4)+'LINEST VARS'!$Q$54*(0.5)+'LINEST VARS'!$P$54*(12.73)+'LINEST VARS'!$O$54*($AS$32^2)+'LINEST VARS'!$N$54*($Z44^2)+'LINEST VARS'!$M$54*(4^2)+'LINEST VARS'!$L$54*(0.5^2)+'LINEST VARS'!$K$54*(12.73^2)+'LINEST VARS'!$J$54*($AS$32*$Z44)+'LINEST VARS'!$I$54*($AS$32*4)+'LINEST VARS'!$H$54*($AS$32*0.5)+'LINEST VARS'!$G$54*($AS$32*12.73)+'LINEST VARS'!$F$54*($Z44*4)+'LINEST VARS'!$E$54*($Z44*0.5)+'LINEST VARS'!$D$54*($Z44*12.73)+'LINEST VARS'!$C$54*(4*0.5)+'LINEST VARS'!$B$54*(4*12.73)+'LINEST VARS'!$A$54*(0.5*12.73)</f>
        <v>3.9749999999999996</v>
      </c>
      <c r="AT44" s="51">
        <f>'LINEST VARS'!$U$54+'LINEST VARS'!$T$54*($AT$32)+'LINEST VARS'!$S$54*($Z44)+'LINEST VARS'!$R$54*(4)+'LINEST VARS'!$Q$54*(0.5)+'LINEST VARS'!$P$54*(12.73)+'LINEST VARS'!$O$54*($AT$32^2)+'LINEST VARS'!$N$54*($Z44^2)+'LINEST VARS'!$M$54*(4^2)+'LINEST VARS'!$L$54*(0.5^2)+'LINEST VARS'!$K$54*(12.73^2)+'LINEST VARS'!$J$54*($AT$32*$Z44)+'LINEST VARS'!$I$54*($AT$32*4)+'LINEST VARS'!$H$54*($AT$32*0.5)+'LINEST VARS'!$G$54*($AT$32*12.73)+'LINEST VARS'!$F$54*($Z44*4)+'LINEST VARS'!$E$54*($Z44*0.5)+'LINEST VARS'!$D$54*($Z44*12.73)+'LINEST VARS'!$C$54*(4*0.5)+'LINEST VARS'!$B$54*(4*12.73)+'LINEST VARS'!$A$54*(0.5*12.73)</f>
        <v>3.9750000000000001</v>
      </c>
      <c r="AU44" s="52">
        <f>'LINEST VARS'!$U$54+'LINEST VARS'!$T$54*($AU$32)+'LINEST VARS'!$S$54*($Z44)+'LINEST VARS'!$R$54*(4)+'LINEST VARS'!$Q$54*(0.5)+'LINEST VARS'!$P$54*(12.73)+'LINEST VARS'!$O$54*($AU$32^2)+'LINEST VARS'!$N$54*($Z44^2)+'LINEST VARS'!$M$54*(4^2)+'LINEST VARS'!$L$54*(0.5^2)+'LINEST VARS'!$K$54*(12.73^2)+'LINEST VARS'!$J$54*($AU$32*$Z44)+'LINEST VARS'!$I$54*($AU$32*4)+'LINEST VARS'!$H$54*($AU$32*0.5)+'LINEST VARS'!$G$54*($AU$32*12.73)+'LINEST VARS'!$F$54*($Z44*4)+'LINEST VARS'!$E$54*($Z44*0.5)+'LINEST VARS'!$D$54*($Z44*12.73)+'LINEST VARS'!$C$54*(4*0.5)+'LINEST VARS'!$B$54*(4*12.73)+'LINEST VARS'!$A$54*(0.5*12.73)</f>
        <v>3.9750000000000001</v>
      </c>
      <c r="AZ44" s="45">
        <v>0.55000000000000004</v>
      </c>
      <c r="BA44" s="51">
        <f>'LINEST VARS'!$U$52+'LINEST VARS'!$T$52*(8)+'LINEST VARS'!$S$52*(8)+'LINEST VARS'!$R$52*($BA$32)+'LINEST VARS'!$Q$52*($AZ44)+'LINEST VARS'!$P$52*(12.73)+'LINEST VARS'!$O$52*(8^2)+'LINEST VARS'!$N$52*(8^2)+'LINEST VARS'!$M$52*($BA$32^2)+'LINEST VARS'!$L$52*($AZ44^2)+'LINEST VARS'!$K$52*(12.73^2)+'LINEST VARS'!$J$52*(8*8)+'LINEST VARS'!$I$52*(8*$BA$32)+'LINEST VARS'!$H$52*(8*$AZ44)+'LINEST VARS'!$G$52*(8*12.73)+'LINEST VARS'!$F$52*(8*$BA$32)+'LINEST VARS'!$E$52*(8*$AZ44)+'LINEST VARS'!$D$52*(8*12.73)+'LINEST VARS'!$C$52*($BA$32*$AZ44)+'LINEST VARS'!$B$52*($BA$32*12.73)+'LINEST VARS'!$A$52*($AZ44*12.73)</f>
        <v>4.4449999999999985</v>
      </c>
      <c r="BB44" s="51">
        <f>'LINEST VARS'!$U$52+'LINEST VARS'!$T$52*(8)+'LINEST VARS'!$S$52*(8)+'LINEST VARS'!$R$52*($BB$32)+'LINEST VARS'!$Q$52*($AZ44)+'LINEST VARS'!$P$52*(12.73)+'LINEST VARS'!$O$52*(8^2)+'LINEST VARS'!$N$52*(8^2)+'LINEST VARS'!$M$52*($BB$32^2)+'LINEST VARS'!$L$52*($AZ44^2)+'LINEST VARS'!$K$52*(12.73^2)+'LINEST VARS'!$J$52*(8*8)+'LINEST VARS'!$I$52*(8*$BB$32)+'LINEST VARS'!$H$52*(8*$AZ44)+'LINEST VARS'!$G$52*(8*12.73)+'LINEST VARS'!$F$52*(8*$BB$32)+'LINEST VARS'!$E$52*(8*$AZ44)+'LINEST VARS'!$D$52*(8*12.73)+'LINEST VARS'!$C$52*($BB$32*$AZ44)+'LINEST VARS'!$B$52*($BB$32*12.73)+'LINEST VARS'!$A$52*($AZ44*12.73)</f>
        <v>4.4449999999999985</v>
      </c>
      <c r="BC44" s="51">
        <f>'LINEST VARS'!$U$52+'LINEST VARS'!$T$52*(8)+'LINEST VARS'!$S$52*(8)+'LINEST VARS'!$R$52*($BC$32)+'LINEST VARS'!$Q$52*($AZ44)+'LINEST VARS'!$P$52*(12.73)+'LINEST VARS'!$O$52*(8^2)+'LINEST VARS'!$N$52*(8^2)+'LINEST VARS'!$M$52*($BC$32^2)+'LINEST VARS'!$L$52*($AZ44^2)+'LINEST VARS'!$K$52*(12.73^2)+'LINEST VARS'!$J$52*(8*8)+'LINEST VARS'!$I$52*(8*$BC$32)+'LINEST VARS'!$H$52*(8*$AZ44)+'LINEST VARS'!$G$52*(8*12.73)+'LINEST VARS'!$F$52*(8*$BC$32)+'LINEST VARS'!$E$52*(8*$AZ44)+'LINEST VARS'!$D$52*(8*12.73)+'LINEST VARS'!$C$52*($BC$32*$AZ44)+'LINEST VARS'!$B$52*($BC$32*12.73)+'LINEST VARS'!$A$52*($AZ44*12.73)</f>
        <v>4.4449999999999985</v>
      </c>
      <c r="BD44" s="51">
        <f>'LINEST VARS'!$U$52+'LINEST VARS'!$T$52*(8)+'LINEST VARS'!$S$52*(8)+'LINEST VARS'!$R$52*($BD$32)+'LINEST VARS'!$Q$52*($AZ44)+'LINEST VARS'!$P$52*(12.73)+'LINEST VARS'!$O$52*(8^2)+'LINEST VARS'!$N$52*(8^2)+'LINEST VARS'!$M$52*($BD$32^2)+'LINEST VARS'!$L$52*($AZ44^2)+'LINEST VARS'!$K$52*(12.73^2)+'LINEST VARS'!$J$52*(8*8)+'LINEST VARS'!$I$52*(8*$BD$32)+'LINEST VARS'!$H$52*(8*$AZ44)+'LINEST VARS'!$G$52*(8*12.73)+'LINEST VARS'!$F$52*(8*$BD$32)+'LINEST VARS'!$E$52*(8*$AZ44)+'LINEST VARS'!$D$52*(8*12.73)+'LINEST VARS'!$C$52*($BD$32*$AZ44)+'LINEST VARS'!$B$52*($BD$32*12.73)+'LINEST VARS'!$A$52*($AZ44*12.73)</f>
        <v>4.4449999999999985</v>
      </c>
      <c r="BE44" s="51">
        <f>'LINEST VARS'!$U$52+'LINEST VARS'!$T$52*(8)+'LINEST VARS'!$S$52*(8)+'LINEST VARS'!$R$52*($BE$32)+'LINEST VARS'!$Q$52*($AZ44)+'LINEST VARS'!$P$52*(12.73)+'LINEST VARS'!$O$52*(8^2)+'LINEST VARS'!$N$52*(8^2)+'LINEST VARS'!$M$52*($BE$32^2)+'LINEST VARS'!$L$52*($AZ44^2)+'LINEST VARS'!$K$52*(12.73^2)+'LINEST VARS'!$J$52*(8*8)+'LINEST VARS'!$I$52*(8*$BE$32)+'LINEST VARS'!$H$52*(8*$AZ44)+'LINEST VARS'!$G$52*(8*12.73)+'LINEST VARS'!$F$52*(8*$BE$32)+'LINEST VARS'!$E$52*(8*$AZ44)+'LINEST VARS'!$D$52*(8*12.73)+'LINEST VARS'!$C$52*($BE$32*$AZ44)+'LINEST VARS'!$B$52*($BE$32*12.73)+'LINEST VARS'!$A$52*($AZ44*12.73)</f>
        <v>4.4449999999999985</v>
      </c>
      <c r="BF44" s="51">
        <f>'LINEST VARS'!$U$52+'LINEST VARS'!$T$52*(8)+'LINEST VARS'!$S$52*(8)+'LINEST VARS'!$R$52*($BF$32)+'LINEST VARS'!$Q$52*($AZ44)+'LINEST VARS'!$P$52*(12.73)+'LINEST VARS'!$O$52*(8^2)+'LINEST VARS'!$N$52*(8^2)+'LINEST VARS'!$M$52*($BF$32^2)+'LINEST VARS'!$L$52*($AZ44^2)+'LINEST VARS'!$K$52*(12.73^2)+'LINEST VARS'!$J$52*(8*8)+'LINEST VARS'!$I$52*(8*$BF$32)+'LINEST VARS'!$H$52*(8*$AZ44)+'LINEST VARS'!$G$52*(8*12.73)+'LINEST VARS'!$F$52*(8*$BF$32)+'LINEST VARS'!$E$52*(8*$AZ44)+'LINEST VARS'!$D$52*(8*12.73)+'LINEST VARS'!$C$52*($BF$32*$AZ44)+'LINEST VARS'!$B$52*($BF$32*12.73)+'LINEST VARS'!$A$52*($AZ44*12.73)</f>
        <v>4.4449999999999985</v>
      </c>
      <c r="BG44" s="51">
        <f>'LINEST VARS'!$U$52+'LINEST VARS'!$T$52*(8)+'LINEST VARS'!$S$52*(8)+'LINEST VARS'!$R$52*($BG$32)+'LINEST VARS'!$Q$52*($AZ44)+'LINEST VARS'!$P$52*(12.73)+'LINEST VARS'!$O$52*(8^2)+'LINEST VARS'!$N$52*(8^2)+'LINEST VARS'!$M$52*($BG$32^2)+'LINEST VARS'!$L$52*($AZ44^2)+'LINEST VARS'!$K$52*(12.73^2)+'LINEST VARS'!$J$52*(8*8)+'LINEST VARS'!$I$52*(8*$BG$32)+'LINEST VARS'!$H$52*(8*$AZ44)+'LINEST VARS'!$G$52*(8*12.73)+'LINEST VARS'!$F$52*(8*$BG$32)+'LINEST VARS'!$E$52*(8*$AZ44)+'LINEST VARS'!$D$52*(8*12.73)+'LINEST VARS'!$C$52*($BG$32*$AZ44)+'LINEST VARS'!$B$52*($BG$32*12.73)+'LINEST VARS'!$A$52*($AZ44*12.73)</f>
        <v>4.4449999999999985</v>
      </c>
      <c r="BH44" s="51">
        <f>'LINEST VARS'!$U$52+'LINEST VARS'!$T$52*(8)+'LINEST VARS'!$S$52*(8)+'LINEST VARS'!$R$52*($BH$32)+'LINEST VARS'!$Q$52*($AZ44)+'LINEST VARS'!$P$52*(12.73)+'LINEST VARS'!$O$52*(8^2)+'LINEST VARS'!$N$52*(8^2)+'LINEST VARS'!$M$52*($BH$32^2)+'LINEST VARS'!$L$52*($AZ44^2)+'LINEST VARS'!$K$52*(12.73^2)+'LINEST VARS'!$J$52*(8*8)+'LINEST VARS'!$I$52*(8*$BH$32)+'LINEST VARS'!$H$52*(8*$AZ44)+'LINEST VARS'!$G$52*(8*12.73)+'LINEST VARS'!$F$52*(8*$BH$32)+'LINEST VARS'!$E$52*(8*$AZ44)+'LINEST VARS'!$D$52*(8*12.73)+'LINEST VARS'!$C$52*($BH$32*$AZ44)+'LINEST VARS'!$B$52*($BH$32*12.73)+'LINEST VARS'!$A$52*($AZ44*12.73)</f>
        <v>4.4449999999999985</v>
      </c>
      <c r="BI44" s="51">
        <f>'LINEST VARS'!$U$52+'LINEST VARS'!$T$52*(8)+'LINEST VARS'!$S$52*(8)+'LINEST VARS'!$R$52*($BI$32)+'LINEST VARS'!$Q$52*($AZ44)+'LINEST VARS'!$P$52*(12.73)+'LINEST VARS'!$O$52*(8^2)+'LINEST VARS'!$N$52*(8^2)+'LINEST VARS'!$M$52*($BI$32^2)+'LINEST VARS'!$L$52*($AZ44^2)+'LINEST VARS'!$K$52*(12.73^2)+'LINEST VARS'!$J$52*(8*8)+'LINEST VARS'!$I$52*(8*$BI$32)+'LINEST VARS'!$H$52*(8*$AZ44)+'LINEST VARS'!$G$52*(8*12.73)+'LINEST VARS'!$F$52*(8*$BI$32)+'LINEST VARS'!$E$52*(8*$AZ44)+'LINEST VARS'!$D$52*(8*12.73)+'LINEST VARS'!$C$52*($BI$32*$AZ44)+'LINEST VARS'!$B$52*($BI$32*12.73)+'LINEST VARS'!$A$52*($AZ44*12.73)</f>
        <v>4.4449999999999985</v>
      </c>
      <c r="BJ44" s="51">
        <f>'LINEST VARS'!$U$52+'LINEST VARS'!$T$52*(8)+'LINEST VARS'!$S$52*(8)+'LINEST VARS'!$R$52*($BJ$32)+'LINEST VARS'!$Q$52*($AZ44)+'LINEST VARS'!$P$52*(12.73)+'LINEST VARS'!$O$52*(8^2)+'LINEST VARS'!$N$52*(8^2)+'LINEST VARS'!$M$52*($BJ$32^2)+'LINEST VARS'!$L$52*($AZ44^2)+'LINEST VARS'!$K$52*(12.73^2)+'LINEST VARS'!$J$52*(8*8)+'LINEST VARS'!$I$52*(8*$BJ$32)+'LINEST VARS'!$H$52*(8*$AZ44)+'LINEST VARS'!$G$52*(8*12.73)+'LINEST VARS'!$F$52*(8*$BJ$32)+'LINEST VARS'!$E$52*(8*$AZ44)+'LINEST VARS'!$D$52*(8*12.73)+'LINEST VARS'!$C$52*($BJ$32*$AZ44)+'LINEST VARS'!$B$52*($BJ$32*12.73)+'LINEST VARS'!$A$52*($AZ44*12.73)</f>
        <v>4.4449999999999985</v>
      </c>
      <c r="BK44" s="51">
        <f>'LINEST VARS'!$U$52+'LINEST VARS'!$T$52*(8)+'LINEST VARS'!$S$52*(8)+'LINEST VARS'!$R$52*($BK$32)+'LINEST VARS'!$Q$52*($AZ44)+'LINEST VARS'!$P$52*(12.73)+'LINEST VARS'!$O$52*(8^2)+'LINEST VARS'!$N$52*(8^2)+'LINEST VARS'!$M$52*($BK$32^2)+'LINEST VARS'!$L$52*($AZ44^2)+'LINEST VARS'!$K$52*(12.73^2)+'LINEST VARS'!$J$52*(8*8)+'LINEST VARS'!$I$52*(8*$BK$32)+'LINEST VARS'!$H$52*(8*$AZ44)+'LINEST VARS'!$G$52*(8*12.73)+'LINEST VARS'!$F$52*(8*$BK$32)+'LINEST VARS'!$E$52*(8*$AZ44)+'LINEST VARS'!$D$52*(8*12.73)+'LINEST VARS'!$C$52*($BK$32*$AZ44)+'LINEST VARS'!$B$52*($BK$32*12.73)+'LINEST VARS'!$A$52*($AZ44*12.73)</f>
        <v>4.4449999999999985</v>
      </c>
      <c r="BL44" s="51">
        <f>'LINEST VARS'!$U$52+'LINEST VARS'!$T$52*(8)+'LINEST VARS'!$S$52*(8)+'LINEST VARS'!$R$52*($BL$32)+'LINEST VARS'!$Q$52*($AZ44)+'LINEST VARS'!$P$52*(12.73)+'LINEST VARS'!$O$52*(8^2)+'LINEST VARS'!$N$52*(8^2)+'LINEST VARS'!$M$52*($BL$32^2)+'LINEST VARS'!$L$52*($AZ44^2)+'LINEST VARS'!$K$52*(12.73^2)+'LINEST VARS'!$J$52*(8*8)+'LINEST VARS'!$I$52*(8*$BL$32)+'LINEST VARS'!$H$52*(8*$AZ44)+'LINEST VARS'!$G$52*(8*12.73)+'LINEST VARS'!$F$52*(8*$BL$32)+'LINEST VARS'!$E$52*(8*$AZ44)+'LINEST VARS'!$D$52*(8*12.73)+'LINEST VARS'!$C$52*($BL$32*$AZ44)+'LINEST VARS'!$B$52*($BL$32*12.73)+'LINEST VARS'!$A$52*($AZ44*12.73)</f>
        <v>4.4449999999999985</v>
      </c>
      <c r="BM44" s="51">
        <f>'LINEST VARS'!$U$52+'LINEST VARS'!$T$52*(8)+'LINEST VARS'!$S$52*(8)+'LINEST VARS'!$R$52*($BM$32)+'LINEST VARS'!$Q$52*($AZ44)+'LINEST VARS'!$P$52*(12.73)+'LINEST VARS'!$O$52*(8^2)+'LINEST VARS'!$N$52*(8^2)+'LINEST VARS'!$M$52*($BM$32^2)+'LINEST VARS'!$L$52*($AZ44^2)+'LINEST VARS'!$K$52*(12.73^2)+'LINEST VARS'!$J$52*(8*8)+'LINEST VARS'!$I$52*(8*$BM$32)+'LINEST VARS'!$H$52*(8*$AZ44)+'LINEST VARS'!$G$52*(8*12.73)+'LINEST VARS'!$F$52*(8*$BM$32)+'LINEST VARS'!$E$52*(8*$AZ44)+'LINEST VARS'!$D$52*(8*12.73)+'LINEST VARS'!$C$52*($BM$32*$AZ44)+'LINEST VARS'!$B$52*($BM$32*12.73)+'LINEST VARS'!$A$52*($AZ44*12.73)</f>
        <v>4.4449999999999985</v>
      </c>
      <c r="BN44" s="51">
        <f>'LINEST VARS'!$U$52+'LINEST VARS'!$T$52*(8)+'LINEST VARS'!$S$52*(8)+'LINEST VARS'!$R$52*($BN$32)+'LINEST VARS'!$Q$52*($AZ44)+'LINEST VARS'!$P$52*(12.73)+'LINEST VARS'!$O$52*(8^2)+'LINEST VARS'!$N$52*(8^2)+'LINEST VARS'!$M$52*($BN$32^2)+'LINEST VARS'!$L$52*($AZ44^2)+'LINEST VARS'!$K$52*(12.73^2)+'LINEST VARS'!$J$52*(8*8)+'LINEST VARS'!$I$52*(8*$BN$32)+'LINEST VARS'!$H$52*(8*$AZ44)+'LINEST VARS'!$G$52*(8*12.73)+'LINEST VARS'!$F$52*(8*$BN$32)+'LINEST VARS'!$E$52*(8*$AZ44)+'LINEST VARS'!$D$52*(8*12.73)+'LINEST VARS'!$C$52*($BN$32*$AZ44)+'LINEST VARS'!$B$52*($BN$32*12.73)+'LINEST VARS'!$A$52*($AZ44*12.73)</f>
        <v>4.4449999999999985</v>
      </c>
      <c r="BO44" s="51">
        <f>'LINEST VARS'!$U$52+'LINEST VARS'!$T$52*(8)+'LINEST VARS'!$S$52*(8)+'LINEST VARS'!$R$52*($BO$32)+'LINEST VARS'!$Q$52*($AZ44)+'LINEST VARS'!$P$52*(12.73)+'LINEST VARS'!$O$52*(8^2)+'LINEST VARS'!$N$52*(8^2)+'LINEST VARS'!$M$52*($BO$32^2)+'LINEST VARS'!$L$52*($AZ44^2)+'LINEST VARS'!$K$52*(12.73^2)+'LINEST VARS'!$J$52*(8*8)+'LINEST VARS'!$I$52*(8*$BO$32)+'LINEST VARS'!$H$52*(8*$AZ44)+'LINEST VARS'!$G$52*(8*12.73)+'LINEST VARS'!$F$52*(8*$BO$32)+'LINEST VARS'!$E$52*(8*$AZ44)+'LINEST VARS'!$D$52*(8*12.73)+'LINEST VARS'!$C$52*($BO$32*$AZ44)+'LINEST VARS'!$B$52*($BO$32*12.73)+'LINEST VARS'!$A$52*($AZ44*12.73)</f>
        <v>4.4449999999999985</v>
      </c>
      <c r="BP44" s="51">
        <f>'LINEST VARS'!$U$52+'LINEST VARS'!$T$52*(8)+'LINEST VARS'!$S$52*(8)+'LINEST VARS'!$R$52*($BP$32)+'LINEST VARS'!$Q$52*($AZ44)+'LINEST VARS'!$P$52*(12.73)+'LINEST VARS'!$O$52*(8^2)+'LINEST VARS'!$N$52*(8^2)+'LINEST VARS'!$M$52*($BP$32^2)+'LINEST VARS'!$L$52*($AZ44^2)+'LINEST VARS'!$K$52*(12.73^2)+'LINEST VARS'!$J$52*(8*8)+'LINEST VARS'!$I$52*(8*$BP$32)+'LINEST VARS'!$H$52*(8*$AZ44)+'LINEST VARS'!$G$52*(8*12.73)+'LINEST VARS'!$F$52*(8*$BP$32)+'LINEST VARS'!$E$52*(8*$AZ44)+'LINEST VARS'!$D$52*(8*12.73)+'LINEST VARS'!$C$52*($BP$32*$AZ44)+'LINEST VARS'!$B$52*($BP$32*12.73)+'LINEST VARS'!$A$52*($AZ44*12.73)</f>
        <v>4.4449999999999985</v>
      </c>
      <c r="BQ44" s="51">
        <f>'LINEST VARS'!$U$52+'LINEST VARS'!$T$52*(8)+'LINEST VARS'!$S$52*(8)+'LINEST VARS'!$R$52*($BQ$32)+'LINEST VARS'!$Q$52*($AZ44)+'LINEST VARS'!$P$52*(12.73)+'LINEST VARS'!$O$52*(8^2)+'LINEST VARS'!$N$52*(8^2)+'LINEST VARS'!$M$52*($BQ$32^2)+'LINEST VARS'!$L$52*($AZ44^2)+'LINEST VARS'!$K$52*(12.73^2)+'LINEST VARS'!$J$52*(8*8)+'LINEST VARS'!$I$52*(8*$BQ$32)+'LINEST VARS'!$H$52*(8*$AZ44)+'LINEST VARS'!$G$52*(8*12.73)+'LINEST VARS'!$F$52*(8*$BQ$32)+'LINEST VARS'!$E$52*(8*$AZ44)+'LINEST VARS'!$D$52*(8*12.73)+'LINEST VARS'!$C$52*($BQ$32*$AZ44)+'LINEST VARS'!$B$52*($BQ$32*12.73)+'LINEST VARS'!$A$52*($AZ44*12.73)</f>
        <v>4.4449999999999985</v>
      </c>
      <c r="BR44" s="51">
        <f>'LINEST VARS'!$U$52+'LINEST VARS'!$T$52*(8)+'LINEST VARS'!$S$52*(8)+'LINEST VARS'!$R$52*($BR$32)+'LINEST VARS'!$Q$52*($AZ44)+'LINEST VARS'!$P$52*(12.73)+'LINEST VARS'!$O$52*(8^2)+'LINEST VARS'!$N$52*(8^2)+'LINEST VARS'!$M$52*($BR$32^2)+'LINEST VARS'!$L$52*($AZ44^2)+'LINEST VARS'!$K$52*(12.73^2)+'LINEST VARS'!$J$52*(8*8)+'LINEST VARS'!$I$52*(8*$BR$32)+'LINEST VARS'!$H$52*(8*$AZ44)+'LINEST VARS'!$G$52*(8*12.73)+'LINEST VARS'!$F$52*(8*$BR$32)+'LINEST VARS'!$E$52*(8*$AZ44)+'LINEST VARS'!$D$52*(8*12.73)+'LINEST VARS'!$C$52*($BR$32*$AZ44)+'LINEST VARS'!$B$52*($BR$32*12.73)+'LINEST VARS'!$A$52*($AZ44*12.73)</f>
        <v>4.4449999999999985</v>
      </c>
      <c r="BS44" s="51">
        <f>'LINEST VARS'!$U$52+'LINEST VARS'!$T$52*(8)+'LINEST VARS'!$S$52*(8)+'LINEST VARS'!$R$52*($BS$32)+'LINEST VARS'!$Q$52*($AZ44)+'LINEST VARS'!$P$52*(12.73)+'LINEST VARS'!$O$52*(8^2)+'LINEST VARS'!$N$52*(8^2)+'LINEST VARS'!$M$52*($BS$32^2)+'LINEST VARS'!$L$52*($AZ44^2)+'LINEST VARS'!$K$52*(12.73^2)+'LINEST VARS'!$J$52*(8*8)+'LINEST VARS'!$I$52*(8*$BS$32)+'LINEST VARS'!$H$52*(8*$AZ44)+'LINEST VARS'!$G$52*(8*12.73)+'LINEST VARS'!$F$52*(8*$BS$32)+'LINEST VARS'!$E$52*(8*$AZ44)+'LINEST VARS'!$D$52*(8*12.73)+'LINEST VARS'!$C$52*($BS$32*$AZ44)+'LINEST VARS'!$B$52*($BS$32*12.73)+'LINEST VARS'!$A$52*($AZ44*12.73)</f>
        <v>4.4449999999999985</v>
      </c>
      <c r="BT44" s="51">
        <f>'LINEST VARS'!$U$52+'LINEST VARS'!$T$52*(8)+'LINEST VARS'!$S$52*(8)+'LINEST VARS'!$R$52*($BT$32)+'LINEST VARS'!$Q$52*($AZ44)+'LINEST VARS'!$P$52*(12.73)+'LINEST VARS'!$O$52*(8^2)+'LINEST VARS'!$N$52*(8^2)+'LINEST VARS'!$M$52*($BT$32^2)+'LINEST VARS'!$L$52*($AZ44^2)+'LINEST VARS'!$K$52*(12.73^2)+'LINEST VARS'!$J$52*(8*8)+'LINEST VARS'!$I$52*(8*$BT$32)+'LINEST VARS'!$H$52*(8*$AZ44)+'LINEST VARS'!$G$52*(8*12.73)+'LINEST VARS'!$F$52*(8*$BT$32)+'LINEST VARS'!$E$52*(8*$AZ44)+'LINEST VARS'!$D$52*(8*12.73)+'LINEST VARS'!$C$52*($BT$32*$AZ44)+'LINEST VARS'!$B$52*($BT$32*12.73)+'LINEST VARS'!$A$52*($AZ44*12.73)</f>
        <v>4.4449999999999985</v>
      </c>
      <c r="BU44" s="52">
        <f>'LINEST VARS'!$U$52+'LINEST VARS'!$T$52*(8)+'LINEST VARS'!$S$52*(8)+'LINEST VARS'!$R$52*($BU$32)+'LINEST VARS'!$Q$52*($AZ44)+'LINEST VARS'!$P$52*(12.73)+'LINEST VARS'!$O$52*(8^2)+'LINEST VARS'!$N$52*(8^2)+'LINEST VARS'!$M$52*($BU$32^2)+'LINEST VARS'!$L$52*($AZ44^2)+'LINEST VARS'!$K$52*(12.73^2)+'LINEST VARS'!$J$52*(8*8)+'LINEST VARS'!$I$52*(8*$BU$32)+'LINEST VARS'!$H$52*(8*$AZ44)+'LINEST VARS'!$G$52*(8*12.73)+'LINEST VARS'!$F$52*(8*$BU$32)+'LINEST VARS'!$E$52*(8*$AZ44)+'LINEST VARS'!$D$52*(8*12.73)+'LINEST VARS'!$C$52*($BU$32*$AZ44)+'LINEST VARS'!$B$52*($BU$32*12.73)+'LINEST VARS'!$A$52*($AZ44*12.73)</f>
        <v>4.4449999999999985</v>
      </c>
      <c r="BX44" s="45">
        <v>0.55000000000000004</v>
      </c>
      <c r="BY44" s="51">
        <f>'LINEST VARS'!$U$54+'LINEST VARS'!$T$54*(8)+'LINEST VARS'!$S$54*(8)+'LINEST VARS'!$R$54*($BY$32)+'LINEST VARS'!$Q$54*($BX44)+'LINEST VARS'!$P$54*(12.73)+'LINEST VARS'!$O$54*(8^2)+'LINEST VARS'!$N$54*(8^2)+'LINEST VARS'!$M$54*($BY$32^2)+'LINEST VARS'!$L$54*($BX44^2)+'LINEST VARS'!$K$54*(12.73^2)+'LINEST VARS'!$J$54*(8*8)+'LINEST VARS'!$I$54*(8*$BY$32)+'LINEST VARS'!$H$54*(8*$BX44)+'LINEST VARS'!$G$54*(8*12.73)+'LINEST VARS'!$F$54*(8*$BY$32)+'LINEST VARS'!$E$54*(8*$BX44)+'LINEST VARS'!$D$54*(8*12.73)+'LINEST VARS'!$C$54*($BY$32*$BX44)+'LINEST VARS'!$B$54*($BY$32*12.73)+'LINEST VARS'!$A$54*($BX44*12.73)</f>
        <v>3.9724999999999997</v>
      </c>
      <c r="BZ44" s="51">
        <f>'LINEST VARS'!$U$54+'LINEST VARS'!$T$54*(8)+'LINEST VARS'!$S$54*(8)+'LINEST VARS'!$R$54*($BZ$32)+'LINEST VARS'!$Q$54*($BX44)+'LINEST VARS'!$P$54*(12.73)+'LINEST VARS'!$O$54*(8^2)+'LINEST VARS'!$N$54*(8^2)+'LINEST VARS'!$M$54*($BZ$32^2)+'LINEST VARS'!$L$54*($BX44^2)+'LINEST VARS'!$K$54*(12.73^2)+'LINEST VARS'!$J$54*(8*8)+'LINEST VARS'!$I$54*(8*$BZ$32)+'LINEST VARS'!$H$54*(8*$BX44)+'LINEST VARS'!$G$54*(8*12.73)+'LINEST VARS'!$F$54*(8*$BZ$32)+'LINEST VARS'!$E$54*(8*$BX44)+'LINEST VARS'!$D$54*(8*12.73)+'LINEST VARS'!$C$54*($BZ$32*$BX44)+'LINEST VARS'!$B$54*($BZ$32*12.73)+'LINEST VARS'!$A$54*($BX44*12.73)</f>
        <v>3.9724999999999997</v>
      </c>
      <c r="CA44" s="51">
        <f>'LINEST VARS'!$U$54+'LINEST VARS'!$T$54*(8)+'LINEST VARS'!$S$54*(8)+'LINEST VARS'!$R$54*($CA$32)+'LINEST VARS'!$Q$54*($BX44)+'LINEST VARS'!$P$54*(12.73)+'LINEST VARS'!$O$54*(8^2)+'LINEST VARS'!$N$54*(8^2)+'LINEST VARS'!$M$54*($CA$32^2)+'LINEST VARS'!$L$54*($BX44^2)+'LINEST VARS'!$K$54*(12.73^2)+'LINEST VARS'!$J$54*(8*8)+'LINEST VARS'!$I$54*(8*$CA$32)+'LINEST VARS'!$H$54*(8*$BX44)+'LINEST VARS'!$G$54*(8*12.73)+'LINEST VARS'!$F$54*(8*$CA$32)+'LINEST VARS'!$E$54*(8*$BX44)+'LINEST VARS'!$D$54*(8*12.73)+'LINEST VARS'!$C$54*($CA$32*$BX44)+'LINEST VARS'!$B$54*($CA$32*12.73)+'LINEST VARS'!$A$54*($BX44*12.73)</f>
        <v>3.9724999999999997</v>
      </c>
      <c r="CB44" s="51">
        <f>'LINEST VARS'!$U$54+'LINEST VARS'!$T$54*(8)+'LINEST VARS'!$S$54*(8)+'LINEST VARS'!$R$54*($CB$32)+'LINEST VARS'!$Q$54*($BX44)+'LINEST VARS'!$P$54*(12.73)+'LINEST VARS'!$O$54*(8^2)+'LINEST VARS'!$N$54*(8^2)+'LINEST VARS'!$M$54*($CB$32^2)+'LINEST VARS'!$L$54*($BX44^2)+'LINEST VARS'!$K$54*(12.73^2)+'LINEST VARS'!$J$54*(8*8)+'LINEST VARS'!$I$54*(8*$CB$32)+'LINEST VARS'!$H$54*(8*$BX44)+'LINEST VARS'!$G$54*(8*12.73)+'LINEST VARS'!$F$54*(8*$CB$32)+'LINEST VARS'!$E$54*(8*$BX44)+'LINEST VARS'!$D$54*(8*12.73)+'LINEST VARS'!$C$54*($CB$32*$BX44)+'LINEST VARS'!$B$54*($CB$32*12.73)+'LINEST VARS'!$A$54*($BX44*12.73)</f>
        <v>3.9724999999999997</v>
      </c>
      <c r="CC44" s="51">
        <f>'LINEST VARS'!$U$54+'LINEST VARS'!$T$54*(8)+'LINEST VARS'!$S$54*(8)+'LINEST VARS'!$R$54*($CC$32)+'LINEST VARS'!$Q$54*($BX44)+'LINEST VARS'!$P$54*(12.73)+'LINEST VARS'!$O$54*(8^2)+'LINEST VARS'!$N$54*(8^2)+'LINEST VARS'!$M$54*($CC$32^2)+'LINEST VARS'!$L$54*($BX44^2)+'LINEST VARS'!$K$54*(12.73^2)+'LINEST VARS'!$J$54*(8*8)+'LINEST VARS'!$I$54*(8*$CC$32)+'LINEST VARS'!$H$54*(8*$BX44)+'LINEST VARS'!$G$54*(8*12.73)+'LINEST VARS'!$F$54*(8*$CC$32)+'LINEST VARS'!$E$54*(8*$BX44)+'LINEST VARS'!$D$54*(8*12.73)+'LINEST VARS'!$C$54*($CC$32*$BX44)+'LINEST VARS'!$B$54*($CC$32*12.73)+'LINEST VARS'!$A$54*($BX44*12.73)</f>
        <v>3.9724999999999997</v>
      </c>
      <c r="CD44" s="51">
        <f>'LINEST VARS'!$U$54+'LINEST VARS'!$T$54*(8)+'LINEST VARS'!$S$54*(8)+'LINEST VARS'!$R$54*($CD$32)+'LINEST VARS'!$Q$54*($BX44)+'LINEST VARS'!$P$54*(12.73)+'LINEST VARS'!$O$54*(8^2)+'LINEST VARS'!$N$54*(8^2)+'LINEST VARS'!$M$54*($CD$32^2)+'LINEST VARS'!$L$54*($BX44^2)+'LINEST VARS'!$K$54*(12.73^2)+'LINEST VARS'!$J$54*(8*8)+'LINEST VARS'!$I$54*(8*$CD$32)+'LINEST VARS'!$H$54*(8*$BX44)+'LINEST VARS'!$G$54*(8*12.73)+'LINEST VARS'!$F$54*(8*$CD$32)+'LINEST VARS'!$E$54*(8*$BX44)+'LINEST VARS'!$D$54*(8*12.73)+'LINEST VARS'!$C$54*($CD$32*$BX44)+'LINEST VARS'!$B$54*($CD$32*12.73)+'LINEST VARS'!$A$54*($BX44*12.73)</f>
        <v>3.9724999999999997</v>
      </c>
      <c r="CE44" s="51">
        <f>'LINEST VARS'!$U$54+'LINEST VARS'!$T$54*(8)+'LINEST VARS'!$S$54*(8)+'LINEST VARS'!$R$54*($CE$32)+'LINEST VARS'!$Q$54*($BX44)+'LINEST VARS'!$P$54*(12.73)+'LINEST VARS'!$O$54*(8^2)+'LINEST VARS'!$N$54*(8^2)+'LINEST VARS'!$M$54*($CE$32^2)+'LINEST VARS'!$L$54*($BX44^2)+'LINEST VARS'!$K$54*(12.73^2)+'LINEST VARS'!$J$54*(8*8)+'LINEST VARS'!$I$54*(8*$CE$32)+'LINEST VARS'!$H$54*(8*$BX44)+'LINEST VARS'!$G$54*(8*12.73)+'LINEST VARS'!$F$54*(8*$CE$32)+'LINEST VARS'!$E$54*(8*$BX44)+'LINEST VARS'!$D$54*(8*12.73)+'LINEST VARS'!$C$54*($CE$32*$BX44)+'LINEST VARS'!$B$54*($CE$32*12.73)+'LINEST VARS'!$A$54*($BX44*12.73)</f>
        <v>3.9724999999999997</v>
      </c>
      <c r="CF44" s="51">
        <f>'LINEST VARS'!$U$54+'LINEST VARS'!$T$54*(8)+'LINEST VARS'!$S$54*(8)+'LINEST VARS'!$R$54*($CF$32)+'LINEST VARS'!$Q$54*($BX44)+'LINEST VARS'!$P$54*(12.73)+'LINEST VARS'!$O$54*(8^2)+'LINEST VARS'!$N$54*(8^2)+'LINEST VARS'!$M$54*($CF$32^2)+'LINEST VARS'!$L$54*($BX44^2)+'LINEST VARS'!$K$54*(12.73^2)+'LINEST VARS'!$J$54*(8*8)+'LINEST VARS'!$I$54*(8*$CF$32)+'LINEST VARS'!$H$54*(8*$BX44)+'LINEST VARS'!$G$54*(8*12.73)+'LINEST VARS'!$F$54*(8*$CF$32)+'LINEST VARS'!$E$54*(8*$BX44)+'LINEST VARS'!$D$54*(8*12.73)+'LINEST VARS'!$C$54*($CF$32*$BX44)+'LINEST VARS'!$B$54*($CF$32*12.73)+'LINEST VARS'!$A$54*($BX44*12.73)</f>
        <v>3.9724999999999997</v>
      </c>
      <c r="CG44" s="51">
        <f>'LINEST VARS'!$U$54+'LINEST VARS'!$T$54*(8)+'LINEST VARS'!$S$54*(8)+'LINEST VARS'!$R$54*($CG$32)+'LINEST VARS'!$Q$54*($BX44)+'LINEST VARS'!$P$54*(12.73)+'LINEST VARS'!$O$54*(8^2)+'LINEST VARS'!$N$54*(8^2)+'LINEST VARS'!$M$54*($CG$32^2)+'LINEST VARS'!$L$54*($BX44^2)+'LINEST VARS'!$K$54*(12.73^2)+'LINEST VARS'!$J$54*(8*8)+'LINEST VARS'!$I$54*(8*$CG$32)+'LINEST VARS'!$H$54*(8*$BX44)+'LINEST VARS'!$G$54*(8*12.73)+'LINEST VARS'!$F$54*(8*$CG$32)+'LINEST VARS'!$E$54*(8*$BX44)+'LINEST VARS'!$D$54*(8*12.73)+'LINEST VARS'!$C$54*($CG$32*$BX44)+'LINEST VARS'!$B$54*($CG$32*12.73)+'LINEST VARS'!$A$54*($BX44*12.73)</f>
        <v>3.9724999999999997</v>
      </c>
      <c r="CH44" s="51">
        <f>'LINEST VARS'!$U$54+'LINEST VARS'!$T$54*(8)+'LINEST VARS'!$S$54*(8)+'LINEST VARS'!$R$54*($CH$32)+'LINEST VARS'!$Q$54*($BX44)+'LINEST VARS'!$P$54*(12.73)+'LINEST VARS'!$O$54*(8^2)+'LINEST VARS'!$N$54*(8^2)+'LINEST VARS'!$M$54*($CH$32^2)+'LINEST VARS'!$L$54*($BX44^2)+'LINEST VARS'!$K$54*(12.73^2)+'LINEST VARS'!$J$54*(8*8)+'LINEST VARS'!$I$54*(8*$CH$32)+'LINEST VARS'!$H$54*(8*$BX44)+'LINEST VARS'!$G$54*(8*12.73)+'LINEST VARS'!$F$54*(8*$CH$32)+'LINEST VARS'!$E$54*(8*$BX44)+'LINEST VARS'!$D$54*(8*12.73)+'LINEST VARS'!$C$54*($CH$32*$BX44)+'LINEST VARS'!$B$54*($CH$32*12.73)+'LINEST VARS'!$A$54*($BX44*12.73)</f>
        <v>3.9724999999999997</v>
      </c>
      <c r="CI44" s="51">
        <f>'LINEST VARS'!$U$54+'LINEST VARS'!$T$54*(8)+'LINEST VARS'!$S$54*(8)+'LINEST VARS'!$R$54*($CI$32)+'LINEST VARS'!$Q$54*($BX44)+'LINEST VARS'!$P$54*(12.73)+'LINEST VARS'!$O$54*(8^2)+'LINEST VARS'!$N$54*(8^2)+'LINEST VARS'!$M$54*($CI$32^2)+'LINEST VARS'!$L$54*($BX44^2)+'LINEST VARS'!$K$54*(12.73^2)+'LINEST VARS'!$J$54*(8*8)+'LINEST VARS'!$I$54*(8*$CI$32)+'LINEST VARS'!$H$54*(8*$BX44)+'LINEST VARS'!$G$54*(8*12.73)+'LINEST VARS'!$F$54*(8*$CI$32)+'LINEST VARS'!$E$54*(8*$BX44)+'LINEST VARS'!$D$54*(8*12.73)+'LINEST VARS'!$C$54*($CI$32*$BX44)+'LINEST VARS'!$B$54*($CI$32*12.73)+'LINEST VARS'!$A$54*($BX44*12.73)</f>
        <v>3.9724999999999997</v>
      </c>
      <c r="CJ44" s="51">
        <f>'LINEST VARS'!$U$54+'LINEST VARS'!$T$54*(8)+'LINEST VARS'!$S$54*(8)+'LINEST VARS'!$R$54*($CJ$32)+'LINEST VARS'!$Q$54*($BX44)+'LINEST VARS'!$P$54*(12.73)+'LINEST VARS'!$O$54*(8^2)+'LINEST VARS'!$N$54*(8^2)+'LINEST VARS'!$M$54*($CJ$32^2)+'LINEST VARS'!$L$54*($BX44^2)+'LINEST VARS'!$K$54*(12.73^2)+'LINEST VARS'!$J$54*(8*8)+'LINEST VARS'!$I$54*(8*$CJ$32)+'LINEST VARS'!$H$54*(8*$BX44)+'LINEST VARS'!$G$54*(8*12.73)+'LINEST VARS'!$F$54*(8*$CJ$32)+'LINEST VARS'!$E$54*(8*$BX44)+'LINEST VARS'!$D$54*(8*12.73)+'LINEST VARS'!$C$54*($CJ$32*$BX44)+'LINEST VARS'!$B$54*($CJ$32*12.73)+'LINEST VARS'!$A$54*($BX44*12.73)</f>
        <v>3.9724999999999997</v>
      </c>
      <c r="CK44" s="51">
        <f>'LINEST VARS'!$U$54+'LINEST VARS'!$T$54*(8)+'LINEST VARS'!$S$54*(8)+'LINEST VARS'!$R$54*($CK$32)+'LINEST VARS'!$Q$54*($BX44)+'LINEST VARS'!$P$54*(12.73)+'LINEST VARS'!$O$54*(8^2)+'LINEST VARS'!$N$54*(8^2)+'LINEST VARS'!$M$54*($CK$32^2)+'LINEST VARS'!$L$54*($BX44^2)+'LINEST VARS'!$K$54*(12.73^2)+'LINEST VARS'!$J$54*(8*8)+'LINEST VARS'!$I$54*(8*$CK$32)+'LINEST VARS'!$H$54*(8*$BX44)+'LINEST VARS'!$G$54*(8*12.73)+'LINEST VARS'!$F$54*(8*$CK$32)+'LINEST VARS'!$E$54*(8*$BX44)+'LINEST VARS'!$D$54*(8*12.73)+'LINEST VARS'!$C$54*($CK$32*$BX44)+'LINEST VARS'!$B$54*($CK$32*12.73)+'LINEST VARS'!$A$54*($BX44*12.73)</f>
        <v>3.9724999999999997</v>
      </c>
      <c r="CL44" s="51">
        <f>'LINEST VARS'!$U$54+'LINEST VARS'!$T$54*(8)+'LINEST VARS'!$S$54*(8)+'LINEST VARS'!$R$54*($CL$32)+'LINEST VARS'!$Q$54*($BX44)+'LINEST VARS'!$P$54*(12.73)+'LINEST VARS'!$O$54*(8^2)+'LINEST VARS'!$N$54*(8^2)+'LINEST VARS'!$M$54*($CL$32^2)+'LINEST VARS'!$L$54*($BX44^2)+'LINEST VARS'!$K$54*(12.73^2)+'LINEST VARS'!$J$54*(8*8)+'LINEST VARS'!$I$54*(8*$CL$32)+'LINEST VARS'!$H$54*(8*$BX44)+'LINEST VARS'!$G$54*(8*12.73)+'LINEST VARS'!$F$54*(8*$CL$32)+'LINEST VARS'!$E$54*(8*$BX44)+'LINEST VARS'!$D$54*(8*12.73)+'LINEST VARS'!$C$54*($CL$32*$BX44)+'LINEST VARS'!$B$54*($CL$32*12.73)+'LINEST VARS'!$A$54*($BX44*12.73)</f>
        <v>3.9724999999999997</v>
      </c>
      <c r="CM44" s="51">
        <f>'LINEST VARS'!$U$54+'LINEST VARS'!$T$54*(8)+'LINEST VARS'!$S$54*(8)+'LINEST VARS'!$R$54*($CM$32)+'LINEST VARS'!$Q$54*($BX44)+'LINEST VARS'!$P$54*(12.73)+'LINEST VARS'!$O$54*(8^2)+'LINEST VARS'!$N$54*(8^2)+'LINEST VARS'!$M$54*($CM$32^2)+'LINEST VARS'!$L$54*($BX44^2)+'LINEST VARS'!$K$54*(12.73^2)+'LINEST VARS'!$J$54*(8*8)+'LINEST VARS'!$I$54*(8*$CM$32)+'LINEST VARS'!$H$54*(8*$BX44)+'LINEST VARS'!$G$54*(8*12.73)+'LINEST VARS'!$F$54*(8*$CM$32)+'LINEST VARS'!$E$54*(8*$BX44)+'LINEST VARS'!$D$54*(8*12.73)+'LINEST VARS'!$C$54*($CM$32*$BX44)+'LINEST VARS'!$B$54*($CM$32*12.73)+'LINEST VARS'!$A$54*($BX44*12.73)</f>
        <v>3.9724999999999997</v>
      </c>
      <c r="CN44" s="51">
        <f>'LINEST VARS'!$U$54+'LINEST VARS'!$T$54*(8)+'LINEST VARS'!$S$54*(8)+'LINEST VARS'!$R$54*($CN$32)+'LINEST VARS'!$Q$54*($BX44)+'LINEST VARS'!$P$54*(12.73)+'LINEST VARS'!$O$54*(8^2)+'LINEST VARS'!$N$54*(8^2)+'LINEST VARS'!$M$54*($CN$32^2)+'LINEST VARS'!$L$54*($BX44^2)+'LINEST VARS'!$K$54*(12.73^2)+'LINEST VARS'!$J$54*(8*8)+'LINEST VARS'!$I$54*(8*$CN$32)+'LINEST VARS'!$H$54*(8*$BX44)+'LINEST VARS'!$G$54*(8*12.73)+'LINEST VARS'!$F$54*(8*$CN$32)+'LINEST VARS'!$E$54*(8*$BX44)+'LINEST VARS'!$D$54*(8*12.73)+'LINEST VARS'!$C$54*($CN$32*$BX44)+'LINEST VARS'!$B$54*($CN$32*12.73)+'LINEST VARS'!$A$54*($BX44*12.73)</f>
        <v>3.9724999999999997</v>
      </c>
      <c r="CO44" s="51">
        <f>'LINEST VARS'!$U$54+'LINEST VARS'!$T$54*(8)+'LINEST VARS'!$S$54*(8)+'LINEST VARS'!$R$54*($CO$32)+'LINEST VARS'!$Q$54*($BX44)+'LINEST VARS'!$P$54*(12.73)+'LINEST VARS'!$O$54*(8^2)+'LINEST VARS'!$N$54*(8^2)+'LINEST VARS'!$M$54*($CO$32^2)+'LINEST VARS'!$L$54*($BX44^2)+'LINEST VARS'!$K$54*(12.73^2)+'LINEST VARS'!$J$54*(8*8)+'LINEST VARS'!$I$54*(8*$CO$32)+'LINEST VARS'!$H$54*(8*$BX44)+'LINEST VARS'!$G$54*(8*12.73)+'LINEST VARS'!$F$54*(8*$CO$32)+'LINEST VARS'!$E$54*(8*$BX44)+'LINEST VARS'!$D$54*(8*12.73)+'LINEST VARS'!$C$54*($CO$32*$BX44)+'LINEST VARS'!$B$54*($CO$32*12.73)+'LINEST VARS'!$A$54*($BX44*12.73)</f>
        <v>3.9724999999999997</v>
      </c>
      <c r="CP44" s="51">
        <f>'LINEST VARS'!$U$54+'LINEST VARS'!$T$54*(8)+'LINEST VARS'!$S$54*(8)+'LINEST VARS'!$R$54*($CP$32)+'LINEST VARS'!$Q$54*($BX44)+'LINEST VARS'!$P$54*(12.73)+'LINEST VARS'!$O$54*(8^2)+'LINEST VARS'!$N$54*(8^2)+'LINEST VARS'!$M$54*($CP$32^2)+'LINEST VARS'!$L$54*($BX44^2)+'LINEST VARS'!$K$54*(12.73^2)+'LINEST VARS'!$J$54*(8*8)+'LINEST VARS'!$I$54*(8*$CP$32)+'LINEST VARS'!$H$54*(8*$BX44)+'LINEST VARS'!$G$54*(8*12.73)+'LINEST VARS'!$F$54*(8*$CP$32)+'LINEST VARS'!$E$54*(8*$BX44)+'LINEST VARS'!$D$54*(8*12.73)+'LINEST VARS'!$C$54*($CP$32*$BX44)+'LINEST VARS'!$B$54*($CP$32*12.73)+'LINEST VARS'!$A$54*($BX44*12.73)</f>
        <v>3.9724999999999997</v>
      </c>
      <c r="CQ44" s="51">
        <f>'LINEST VARS'!$U$54+'LINEST VARS'!$T$54*(8)+'LINEST VARS'!$S$54*(8)+'LINEST VARS'!$R$54*($CQ$32)+'LINEST VARS'!$Q$54*($BX44)+'LINEST VARS'!$P$54*(12.73)+'LINEST VARS'!$O$54*(8^2)+'LINEST VARS'!$N$54*(8^2)+'LINEST VARS'!$M$54*($CQ$32^2)+'LINEST VARS'!$L$54*($BX44^2)+'LINEST VARS'!$K$54*(12.73^2)+'LINEST VARS'!$J$54*(8*8)+'LINEST VARS'!$I$54*(8*$CQ$32)+'LINEST VARS'!$H$54*(8*$BX44)+'LINEST VARS'!$G$54*(8*12.73)+'LINEST VARS'!$F$54*(8*$CQ$32)+'LINEST VARS'!$E$54*(8*$BX44)+'LINEST VARS'!$D$54*(8*12.73)+'LINEST VARS'!$C$54*($CQ$32*$BX44)+'LINEST VARS'!$B$54*($CQ$32*12.73)+'LINEST VARS'!$A$54*($BX44*12.73)</f>
        <v>3.9724999999999997</v>
      </c>
      <c r="CR44" s="51">
        <f>'LINEST VARS'!$U$54+'LINEST VARS'!$T$54*(8)+'LINEST VARS'!$S$54*(8)+'LINEST VARS'!$R$54*($CR$32)+'LINEST VARS'!$Q$54*($BX44)+'LINEST VARS'!$P$54*(12.73)+'LINEST VARS'!$O$54*(8^2)+'LINEST VARS'!$N$54*(8^2)+'LINEST VARS'!$M$54*($CR$32^2)+'LINEST VARS'!$L$54*($BX44^2)+'LINEST VARS'!$K$54*(12.73^2)+'LINEST VARS'!$J$54*(8*8)+'LINEST VARS'!$I$54*(8*$CR$32)+'LINEST VARS'!$H$54*(8*$BX44)+'LINEST VARS'!$G$54*(8*12.73)+'LINEST VARS'!$F$54*(8*$CR$32)+'LINEST VARS'!$E$54*(8*$BX44)+'LINEST VARS'!$D$54*(8*12.73)+'LINEST VARS'!$C$54*($CR$32*$BX44)+'LINEST VARS'!$B$54*($CR$32*12.73)+'LINEST VARS'!$A$54*($BX44*12.73)</f>
        <v>3.9724999999999997</v>
      </c>
      <c r="CS44" s="52">
        <f>'LINEST VARS'!$U$54+'LINEST VARS'!$T$54*(8)+'LINEST VARS'!$S$54*(8)+'LINEST VARS'!$R$54*($CS$32)+'LINEST VARS'!$Q$54*($BX44)+'LINEST VARS'!$P$54*(12.73)+'LINEST VARS'!$O$54*(8^2)+'LINEST VARS'!$N$54*(8^2)+'LINEST VARS'!$M$54*($CS$32^2)+'LINEST VARS'!$L$54*($BX44^2)+'LINEST VARS'!$K$54*(12.73^2)+'LINEST VARS'!$J$54*(8*8)+'LINEST VARS'!$I$54*(8*$CS$32)+'LINEST VARS'!$H$54*(8*$BX44)+'LINEST VARS'!$G$54*(8*12.73)+'LINEST VARS'!$F$54*(8*$CS$32)+'LINEST VARS'!$E$54*(8*$BX44)+'LINEST VARS'!$D$54*(8*12.73)+'LINEST VARS'!$C$54*($CS$32*$BX44)+'LINEST VARS'!$B$54*($CS$32*12.73)+'LINEST VARS'!$A$54*($BX44*12.73)</f>
        <v>3.9724999999999997</v>
      </c>
      <c r="CX44" s="45">
        <v>14.294499999999999</v>
      </c>
      <c r="CY44" s="51">
        <f>'LINEST VARS'!$U$52+'LINEST VARS'!$T$52*(8)+'LINEST VARS'!$S$52*(8)+'LINEST VARS'!$R$52*($CY$32)+'LINEST VARS'!$Q$52*(0.5)+'LINEST VARS'!$P$52*($CX44)+'LINEST VARS'!$O$52*(8^2)+'LINEST VARS'!$N$52*(8^2)+'LINEST VARS'!$M$52*($CY$32^2)+'LINEST VARS'!$L$52*(0.5^2)+'LINEST VARS'!$K$52*($CX44^2)+'LINEST VARS'!$J$52*(8*8)+'LINEST VARS'!$I$52*(8*$CY$32)+'LINEST VARS'!$H$52*(8*0.5)+'LINEST VARS'!$G$52*(8*$CX44)+'LINEST VARS'!$F$52*(8*$CY$32)+'LINEST VARS'!$E$52*(8*0.5)+'LINEST VARS'!$D$52*(8*$CX44)+'LINEST VARS'!$C$52*($CY$32*0.5)+'LINEST VARS'!$B$52*($CY$32*$CX44)+'LINEST VARS'!$A$52*(0.5*$CX44)</f>
        <v>4.4499999999999984</v>
      </c>
      <c r="CZ44" s="51">
        <f>'LINEST VARS'!$U$52+'LINEST VARS'!$T$52*(8)+'LINEST VARS'!$S$52*(8)+'LINEST VARS'!$R$52*($CZ$32)+'LINEST VARS'!$Q$52*(0.5)+'LINEST VARS'!$P$52*($CX44)+'LINEST VARS'!$O$52*(8^2)+'LINEST VARS'!$N$52*(8^2)+'LINEST VARS'!$M$52*($CZ$32^2)+'LINEST VARS'!$L$52*(0.5^2)+'LINEST VARS'!$K$52*($CX44^2)+'LINEST VARS'!$J$52*(8*8)+'LINEST VARS'!$I$52*(8*$CZ$32)+'LINEST VARS'!$H$52*(8*0.5)+'LINEST VARS'!$G$52*(8*$CX44)+'LINEST VARS'!$F$52*(8*$CZ$32)+'LINEST VARS'!$E$52*(8*0.5)+'LINEST VARS'!$D$52*(8*$CX44)+'LINEST VARS'!$C$52*($CZ$32*0.5)+'LINEST VARS'!$B$52*($CZ$32*$CX44)+'LINEST VARS'!$A$52*(0.5*$CX44)</f>
        <v>4.4499999999999984</v>
      </c>
      <c r="DA44" s="51">
        <f>'LINEST VARS'!$U$52+'LINEST VARS'!$T$52*(8)+'LINEST VARS'!$S$52*(8)+'LINEST VARS'!$R$52*($DA$32)+'LINEST VARS'!$Q$52*(0.5)+'LINEST VARS'!$P$52*($CX44)+'LINEST VARS'!$O$52*(8^2)+'LINEST VARS'!$N$52*(8^2)+'LINEST VARS'!$M$52*($DA$32^2)+'LINEST VARS'!$L$52*(0.5^2)+'LINEST VARS'!$K$52*($CX44^2)+'LINEST VARS'!$J$52*(8*8)+'LINEST VARS'!$I$52*(8*$DA$32)+'LINEST VARS'!$H$52*(8*0.5)+'LINEST VARS'!$G$52*(8*$CX44)+'LINEST VARS'!$F$52*(8*$DA$32)+'LINEST VARS'!$E$52*(8*0.5)+'LINEST VARS'!$D$52*(8*$CX44)+'LINEST VARS'!$C$52*($DA$32*0.5)+'LINEST VARS'!$B$52*($DA$32*$CX44)+'LINEST VARS'!$A$52*(0.5*$CX44)</f>
        <v>4.4499999999999984</v>
      </c>
      <c r="DB44" s="51">
        <f>'LINEST VARS'!$U$52+'LINEST VARS'!$T$52*(8)+'LINEST VARS'!$S$52*(8)+'LINEST VARS'!$R$52*($DB$32)+'LINEST VARS'!$Q$52*(0.5)+'LINEST VARS'!$P$52*($CX44)+'LINEST VARS'!$O$52*(8^2)+'LINEST VARS'!$N$52*(8^2)+'LINEST VARS'!$M$52*($DB$32^2)+'LINEST VARS'!$L$52*(0.5^2)+'LINEST VARS'!$K$52*($CX44^2)+'LINEST VARS'!$J$52*(8*8)+'LINEST VARS'!$I$52*(8*$DB$32)+'LINEST VARS'!$H$52*(8*0.5)+'LINEST VARS'!$G$52*(8*$CX44)+'LINEST VARS'!$F$52*(8*$DB$32)+'LINEST VARS'!$E$52*(8*0.5)+'LINEST VARS'!$D$52*(8*$CX44)+'LINEST VARS'!$C$52*($DB$32*0.5)+'LINEST VARS'!$B$52*($DB$32*$CX44)+'LINEST VARS'!$A$52*(0.5*$CX44)</f>
        <v>4.4499999999999984</v>
      </c>
      <c r="DC44" s="51">
        <f>'LINEST VARS'!$U$52+'LINEST VARS'!$T$52*(8)+'LINEST VARS'!$S$52*(8)+'LINEST VARS'!$R$52*($DC$32)+'LINEST VARS'!$Q$52*(0.5)+'LINEST VARS'!$P$52*($CX44)+'LINEST VARS'!$O$52*(8^2)+'LINEST VARS'!$N$52*(8^2)+'LINEST VARS'!$M$52*($DC$32^2)+'LINEST VARS'!$L$52*(0.5^2)+'LINEST VARS'!$K$52*($CX44^2)+'LINEST VARS'!$J$52*(8*8)+'LINEST VARS'!$I$52*(8*$DC$32)+'LINEST VARS'!$H$52*(8*0.5)+'LINEST VARS'!$G$52*(8*$CX44)+'LINEST VARS'!$F$52*(8*$DC$32)+'LINEST VARS'!$E$52*(8*0.5)+'LINEST VARS'!$D$52*(8*$CX44)+'LINEST VARS'!$C$52*($DC$32*0.5)+'LINEST VARS'!$B$52*($DC$32*$CX44)+'LINEST VARS'!$A$52*(0.5*$CX44)</f>
        <v>4.4499999999999984</v>
      </c>
      <c r="DD44" s="51">
        <f>'LINEST VARS'!$U$52+'LINEST VARS'!$T$52*(8)+'LINEST VARS'!$S$52*(8)+'LINEST VARS'!$R$52*($DD$32)+'LINEST VARS'!$Q$52*(0.5)+'LINEST VARS'!$P$52*($CX44)+'LINEST VARS'!$O$52*(8^2)+'LINEST VARS'!$N$52*(8^2)+'LINEST VARS'!$M$52*($DD$32^2)+'LINEST VARS'!$L$52*(0.5^2)+'LINEST VARS'!$K$52*($CX44^2)+'LINEST VARS'!$J$52*(8*8)+'LINEST VARS'!$I$52*(8*$DD$32)+'LINEST VARS'!$H$52*(8*0.5)+'LINEST VARS'!$G$52*(8*$CX44)+'LINEST VARS'!$F$52*(8*$DD$32)+'LINEST VARS'!$E$52*(8*0.5)+'LINEST VARS'!$D$52*(8*$CX44)+'LINEST VARS'!$C$52*($DD$32*0.5)+'LINEST VARS'!$B$52*($DD$32*$CX44)+'LINEST VARS'!$A$52*(0.5*$CX44)</f>
        <v>4.4499999999999984</v>
      </c>
      <c r="DE44" s="51">
        <f>'LINEST VARS'!$U$52+'LINEST VARS'!$T$52*(8)+'LINEST VARS'!$S$52*(8)+'LINEST VARS'!$R$52*($DE$32)+'LINEST VARS'!$Q$52*(0.5)+'LINEST VARS'!$P$52*($CX44)+'LINEST VARS'!$O$52*(8^2)+'LINEST VARS'!$N$52*(8^2)+'LINEST VARS'!$M$52*($DE$32^2)+'LINEST VARS'!$L$52*(0.5^2)+'LINEST VARS'!$K$52*($CX44^2)+'LINEST VARS'!$J$52*(8*8)+'LINEST VARS'!$I$52*(8*$DE$32)+'LINEST VARS'!$H$52*(8*0.5)+'LINEST VARS'!$G$52*(8*$CX44)+'LINEST VARS'!$F$52*(8*$DE$32)+'LINEST VARS'!$E$52*(8*0.5)+'LINEST VARS'!$D$52*(8*$CX44)+'LINEST VARS'!$C$52*($DE$32*0.5)+'LINEST VARS'!$B$52*($DE$32*$CX44)+'LINEST VARS'!$A$52*(0.5*$CX44)</f>
        <v>4.4499999999999984</v>
      </c>
      <c r="DF44" s="51">
        <f>'LINEST VARS'!$U$52+'LINEST VARS'!$T$52*(8)+'LINEST VARS'!$S$52*(8)+'LINEST VARS'!$R$52*($DF$32)+'LINEST VARS'!$Q$52*(0.5)+'LINEST VARS'!$P$52*($CX44)+'LINEST VARS'!$O$52*(8^2)+'LINEST VARS'!$N$52*(8^2)+'LINEST VARS'!$M$52*($DF$32^2)+'LINEST VARS'!$L$52*(0.5^2)+'LINEST VARS'!$K$52*($CX44^2)+'LINEST VARS'!$J$52*(8*8)+'LINEST VARS'!$I$52*(8*$DF$32)+'LINEST VARS'!$H$52*(8*0.5)+'LINEST VARS'!$G$52*(8*$CX44)+'LINEST VARS'!$F$52*(8*$DF$32)+'LINEST VARS'!$E$52*(8*0.5)+'LINEST VARS'!$D$52*(8*$CX44)+'LINEST VARS'!$C$52*($DF$32*0.5)+'LINEST VARS'!$B$52*($DF$32*$CX44)+'LINEST VARS'!$A$52*(0.5*$CX44)</f>
        <v>4.4499999999999984</v>
      </c>
      <c r="DG44" s="51">
        <f>'LINEST VARS'!$U$52+'LINEST VARS'!$T$52*(8)+'LINEST VARS'!$S$52*(8)+'LINEST VARS'!$R$52*($DG$32)+'LINEST VARS'!$Q$52*(0.5)+'LINEST VARS'!$P$52*($CX44)+'LINEST VARS'!$O$52*(8^2)+'LINEST VARS'!$N$52*(8^2)+'LINEST VARS'!$M$52*($DG$32^2)+'LINEST VARS'!$L$52*(0.5^2)+'LINEST VARS'!$K$52*($CX44^2)+'LINEST VARS'!$J$52*(8*8)+'LINEST VARS'!$I$52*(8*$DG$32)+'LINEST VARS'!$H$52*(8*0.5)+'LINEST VARS'!$G$52*(8*$CX44)+'LINEST VARS'!$F$52*(8*$DG$32)+'LINEST VARS'!$E$52*(8*0.5)+'LINEST VARS'!$D$52*(8*$CX44)+'LINEST VARS'!$C$52*($DG$32*0.5)+'LINEST VARS'!$B$52*($DG$32*$CX44)+'LINEST VARS'!$A$52*(0.5*$CX44)</f>
        <v>4.4499999999999984</v>
      </c>
      <c r="DH44" s="51">
        <f>'LINEST VARS'!$U$52+'LINEST VARS'!$T$52*(8)+'LINEST VARS'!$S$52*(8)+'LINEST VARS'!$R$52*($DH$32)+'LINEST VARS'!$Q$52*(0.5)+'LINEST VARS'!$P$52*($CX44)+'LINEST VARS'!$O$52*(8^2)+'LINEST VARS'!$N$52*(8^2)+'LINEST VARS'!$M$52*($DH$32^2)+'LINEST VARS'!$L$52*(0.5^2)+'LINEST VARS'!$K$52*($CX44^2)+'LINEST VARS'!$J$52*(8*8)+'LINEST VARS'!$I$52*(8*$DH$32)+'LINEST VARS'!$H$52*(8*0.5)+'LINEST VARS'!$G$52*(8*$CX44)+'LINEST VARS'!$F$52*(8*$DH$32)+'LINEST VARS'!$E$52*(8*0.5)+'LINEST VARS'!$D$52*(8*$CX44)+'LINEST VARS'!$C$52*($DH$32*0.5)+'LINEST VARS'!$B$52*($DH$32*$CX44)+'LINEST VARS'!$A$52*(0.5*$CX44)</f>
        <v>4.4499999999999984</v>
      </c>
      <c r="DI44" s="51">
        <f>'LINEST VARS'!$U$52+'LINEST VARS'!$T$52*(8)+'LINEST VARS'!$S$52*(8)+'LINEST VARS'!$R$52*($DI$32)+'LINEST VARS'!$Q$52*(0.5)+'LINEST VARS'!$P$52*($CX44)+'LINEST VARS'!$O$52*(8^2)+'LINEST VARS'!$N$52*(8^2)+'LINEST VARS'!$M$52*($DI$32^2)+'LINEST VARS'!$L$52*(0.5^2)+'LINEST VARS'!$K$52*($CX44^2)+'LINEST VARS'!$J$52*(8*8)+'LINEST VARS'!$I$52*(8*$DI$32)+'LINEST VARS'!$H$52*(8*0.5)+'LINEST VARS'!$G$52*(8*$CX44)+'LINEST VARS'!$F$52*(8*$DI$32)+'LINEST VARS'!$E$52*(8*0.5)+'LINEST VARS'!$D$52*(8*$CX44)+'LINEST VARS'!$C$52*($DI$32*0.5)+'LINEST VARS'!$B$52*($DI$32*$CX44)+'LINEST VARS'!$A$52*(0.5*$CX44)</f>
        <v>4.4499999999999984</v>
      </c>
      <c r="DJ44" s="51">
        <f>'LINEST VARS'!$U$52+'LINEST VARS'!$T$52*(8)+'LINEST VARS'!$S$52*(8)+'LINEST VARS'!$R$52*($DJ$32)+'LINEST VARS'!$Q$52*(0.5)+'LINEST VARS'!$P$52*($CX44)+'LINEST VARS'!$O$52*(8^2)+'LINEST VARS'!$N$52*(8^2)+'LINEST VARS'!$M$52*($DJ$32^2)+'LINEST VARS'!$L$52*(0.5^2)+'LINEST VARS'!$K$52*($CX44^2)+'LINEST VARS'!$J$52*(8*8)+'LINEST VARS'!$I$52*(8*$DJ$32)+'LINEST VARS'!$H$52*(8*0.5)+'LINEST VARS'!$G$52*(8*$CX44)+'LINEST VARS'!$F$52*(8*$DJ$32)+'LINEST VARS'!$E$52*(8*0.5)+'LINEST VARS'!$D$52*(8*$CX44)+'LINEST VARS'!$C$52*($DJ$32*0.5)+'LINEST VARS'!$B$52*($DJ$32*$CX44)+'LINEST VARS'!$A$52*(0.5*$CX44)</f>
        <v>4.4499999999999984</v>
      </c>
      <c r="DK44" s="51">
        <f>'LINEST VARS'!$U$52+'LINEST VARS'!$T$52*(8)+'LINEST VARS'!$S$52*(8)+'LINEST VARS'!$R$52*($DK$32)+'LINEST VARS'!$Q$52*(0.5)+'LINEST VARS'!$P$52*($CX44)+'LINEST VARS'!$O$52*(8^2)+'LINEST VARS'!$N$52*(8^2)+'LINEST VARS'!$M$52*($DK$32^2)+'LINEST VARS'!$L$52*(0.5^2)+'LINEST VARS'!$K$52*($CX44^2)+'LINEST VARS'!$J$52*(8*8)+'LINEST VARS'!$I$52*(8*$DK$32)+'LINEST VARS'!$H$52*(8*0.5)+'LINEST VARS'!$G$52*(8*$CX44)+'LINEST VARS'!$F$52*(8*$DK$32)+'LINEST VARS'!$E$52*(8*0.5)+'LINEST VARS'!$D$52*(8*$CX44)+'LINEST VARS'!$C$52*($DK$32*0.5)+'LINEST VARS'!$B$52*($DK$32*$CX44)+'LINEST VARS'!$A$52*(0.5*$CX44)</f>
        <v>4.4499999999999984</v>
      </c>
      <c r="DL44" s="51">
        <f>'LINEST VARS'!$U$52+'LINEST VARS'!$T$52*(8)+'LINEST VARS'!$S$52*(8)+'LINEST VARS'!$R$52*($DL$32)+'LINEST VARS'!$Q$52*(0.5)+'LINEST VARS'!$P$52*($CX44)+'LINEST VARS'!$O$52*(8^2)+'LINEST VARS'!$N$52*(8^2)+'LINEST VARS'!$M$52*($DL$32^2)+'LINEST VARS'!$L$52*(0.5^2)+'LINEST VARS'!$K$52*($CX44^2)+'LINEST VARS'!$J$52*(8*8)+'LINEST VARS'!$I$52*(8*$DL$32)+'LINEST VARS'!$H$52*(8*0.5)+'LINEST VARS'!$G$52*(8*$CX44)+'LINEST VARS'!$F$52*(8*$DL$32)+'LINEST VARS'!$E$52*(8*0.5)+'LINEST VARS'!$D$52*(8*$CX44)+'LINEST VARS'!$C$52*($DL$32*0.5)+'LINEST VARS'!$B$52*($DL$32*$CX44)+'LINEST VARS'!$A$52*(0.5*$CX44)</f>
        <v>4.4499999999999984</v>
      </c>
      <c r="DM44" s="51">
        <f>'LINEST VARS'!$U$52+'LINEST VARS'!$T$52*(8)+'LINEST VARS'!$S$52*(8)+'LINEST VARS'!$R$52*($DM$32)+'LINEST VARS'!$Q$52*(0.5)+'LINEST VARS'!$P$52*($CX44)+'LINEST VARS'!$O$52*(8^2)+'LINEST VARS'!$N$52*(8^2)+'LINEST VARS'!$M$52*($DM$32^2)+'LINEST VARS'!$L$52*(0.5^2)+'LINEST VARS'!$K$52*($CX44^2)+'LINEST VARS'!$J$52*(8*8)+'LINEST VARS'!$I$52*(8*$DM$32)+'LINEST VARS'!$H$52*(8*0.5)+'LINEST VARS'!$G$52*(8*$CX44)+'LINEST VARS'!$F$52*(8*$DM$32)+'LINEST VARS'!$E$52*(8*0.5)+'LINEST VARS'!$D$52*(8*$CX44)+'LINEST VARS'!$C$52*($DM$32*0.5)+'LINEST VARS'!$B$52*($DM$32*$CX44)+'LINEST VARS'!$A$52*(0.5*$CX44)</f>
        <v>4.4499999999999984</v>
      </c>
      <c r="DN44" s="51">
        <f>'LINEST VARS'!$U$52+'LINEST VARS'!$T$52*(8)+'LINEST VARS'!$S$52*(8)+'LINEST VARS'!$R$52*($DN$32)+'LINEST VARS'!$Q$52*(0.5)+'LINEST VARS'!$P$52*($CX44)+'LINEST VARS'!$O$52*(8^2)+'LINEST VARS'!$N$52*(8^2)+'LINEST VARS'!$M$52*($DN$32^2)+'LINEST VARS'!$L$52*(0.5^2)+'LINEST VARS'!$K$52*($CX44^2)+'LINEST VARS'!$J$52*(8*8)+'LINEST VARS'!$I$52*(8*$DN$32)+'LINEST VARS'!$H$52*(8*0.5)+'LINEST VARS'!$G$52*(8*$CX44)+'LINEST VARS'!$F$52*(8*$DN$32)+'LINEST VARS'!$E$52*(8*0.5)+'LINEST VARS'!$D$52*(8*$CX44)+'LINEST VARS'!$C$52*($DN$32*0.5)+'LINEST VARS'!$B$52*($DN$32*$CX44)+'LINEST VARS'!$A$52*(0.5*$CX44)</f>
        <v>4.4499999999999984</v>
      </c>
      <c r="DO44" s="51">
        <f>'LINEST VARS'!$U$52+'LINEST VARS'!$T$52*(8)+'LINEST VARS'!$S$52*(8)+'LINEST VARS'!$R$52*($DO$32)+'LINEST VARS'!$Q$52*(0.5)+'LINEST VARS'!$P$52*($CX44)+'LINEST VARS'!$O$52*(8^2)+'LINEST VARS'!$N$52*(8^2)+'LINEST VARS'!$M$52*($DO$32^2)+'LINEST VARS'!$L$52*(0.5^2)+'LINEST VARS'!$K$52*($CX44^2)+'LINEST VARS'!$J$52*(8*8)+'LINEST VARS'!$I$52*(8*$DO$32)+'LINEST VARS'!$H$52*(8*0.5)+'LINEST VARS'!$G$52*(8*$CX44)+'LINEST VARS'!$F$52*(8*$DO$32)+'LINEST VARS'!$E$52*(8*0.5)+'LINEST VARS'!$D$52*(8*$CX44)+'LINEST VARS'!$C$52*($DO$32*0.5)+'LINEST VARS'!$B$52*($DO$32*$CX44)+'LINEST VARS'!$A$52*(0.5*$CX44)</f>
        <v>4.4499999999999984</v>
      </c>
      <c r="DP44" s="51">
        <f>'LINEST VARS'!$U$52+'LINEST VARS'!$T$52*(8)+'LINEST VARS'!$S$52*(8)+'LINEST VARS'!$R$52*($DP$32)+'LINEST VARS'!$Q$52*(0.5)+'LINEST VARS'!$P$52*($CX44)+'LINEST VARS'!$O$52*(8^2)+'LINEST VARS'!$N$52*(8^2)+'LINEST VARS'!$M$52*($DP$32^2)+'LINEST VARS'!$L$52*(0.5^2)+'LINEST VARS'!$K$52*($CX44^2)+'LINEST VARS'!$J$52*(8*8)+'LINEST VARS'!$I$52*(8*$DP$32)+'LINEST VARS'!$H$52*(8*0.5)+'LINEST VARS'!$G$52*(8*$CX44)+'LINEST VARS'!$F$52*(8*$DP$32)+'LINEST VARS'!$E$52*(8*0.5)+'LINEST VARS'!$D$52*(8*$CX44)+'LINEST VARS'!$C$52*($DP$32*0.5)+'LINEST VARS'!$B$52*($DP$32*$CX44)+'LINEST VARS'!$A$52*(0.5*$CX44)</f>
        <v>4.4499999999999984</v>
      </c>
      <c r="DQ44" s="51">
        <f>'LINEST VARS'!$U$52+'LINEST VARS'!$T$52*(8)+'LINEST VARS'!$S$52*(8)+'LINEST VARS'!$R$52*($DQ$32)+'LINEST VARS'!$Q$52*(0.5)+'LINEST VARS'!$P$52*($CX44)+'LINEST VARS'!$O$52*(8^2)+'LINEST VARS'!$N$52*(8^2)+'LINEST VARS'!$M$52*($DQ$32^2)+'LINEST VARS'!$L$52*(0.5^2)+'LINEST VARS'!$K$52*($CX44^2)+'LINEST VARS'!$J$52*(8*8)+'LINEST VARS'!$I$52*(8*$DQ$32)+'LINEST VARS'!$H$52*(8*0.5)+'LINEST VARS'!$G$52*(8*$CX44)+'LINEST VARS'!$F$52*(8*$DQ$32)+'LINEST VARS'!$E$52*(8*0.5)+'LINEST VARS'!$D$52*(8*$CX44)+'LINEST VARS'!$C$52*($DQ$32*0.5)+'LINEST VARS'!$B$52*($DQ$32*$CX44)+'LINEST VARS'!$A$52*(0.5*$CX44)</f>
        <v>4.4499999999999984</v>
      </c>
      <c r="DR44" s="51">
        <f>'LINEST VARS'!$U$52+'LINEST VARS'!$T$52*(8)+'LINEST VARS'!$S$52*(8)+'LINEST VARS'!$R$52*($DR$32)+'LINEST VARS'!$Q$52*(0.5)+'LINEST VARS'!$P$52*($CX44)+'LINEST VARS'!$O$52*(8^2)+'LINEST VARS'!$N$52*(8^2)+'LINEST VARS'!$M$52*($DR$32^2)+'LINEST VARS'!$L$52*(0.5^2)+'LINEST VARS'!$K$52*($CX44^2)+'LINEST VARS'!$J$52*(8*8)+'LINEST VARS'!$I$52*(8*$DR$32)+'LINEST VARS'!$H$52*(8*0.5)+'LINEST VARS'!$G$52*(8*$CX44)+'LINEST VARS'!$F$52*(8*$DR$32)+'LINEST VARS'!$E$52*(8*0.5)+'LINEST VARS'!$D$52*(8*$CX44)+'LINEST VARS'!$C$52*($DR$32*0.5)+'LINEST VARS'!$B$52*($DR$32*$CX44)+'LINEST VARS'!$A$52*(0.5*$CX44)</f>
        <v>4.4499999999999984</v>
      </c>
      <c r="DS44" s="52">
        <f>'LINEST VARS'!$U$52+'LINEST VARS'!$T$52*(8)+'LINEST VARS'!$S$52*(8)+'LINEST VARS'!$R$52*($DS$32)+'LINEST VARS'!$Q$52*(0.5)+'LINEST VARS'!$P$52*($CX44)+'LINEST VARS'!$O$52*(8^2)+'LINEST VARS'!$N$52*(8^2)+'LINEST VARS'!$M$52*($DS$32^2)+'LINEST VARS'!$L$52*(0.5^2)+'LINEST VARS'!$K$52*($CX44^2)+'LINEST VARS'!$J$52*(8*8)+'LINEST VARS'!$I$52*(8*$DS$32)+'LINEST VARS'!$H$52*(8*0.5)+'LINEST VARS'!$G$52*(8*$CX44)+'LINEST VARS'!$F$52*(8*$DS$32)+'LINEST VARS'!$E$52*(8*0.5)+'LINEST VARS'!$D$52*(8*$CX44)+'LINEST VARS'!$C$52*($DS$32*0.5)+'LINEST VARS'!$B$52*($DS$32*$CX44)+'LINEST VARS'!$A$52*(0.5*$CX44)</f>
        <v>4.4499999999999984</v>
      </c>
      <c r="DV44" s="45">
        <v>14.294499999999999</v>
      </c>
      <c r="DW44" s="51">
        <f>'LINEST VARS'!$U$54+'LINEST VARS'!$T$54*(8)+'LINEST VARS'!$S$54*(8)+'LINEST VARS'!$R$54*($DW$32)+'LINEST VARS'!$Q$54*(0.5)+'LINEST VARS'!$P$54*($DV44)+'LINEST VARS'!$O$54*(8^2)+'LINEST VARS'!$N$54*(8^2)+'LINEST VARS'!$M$54*($DW$32^2)+'LINEST VARS'!$L$54*(0.5^2)+'LINEST VARS'!$K$54*($DV44^2)+'LINEST VARS'!$J$54*(8*8)+'LINEST VARS'!$I$54*(8*$DW$32)+'LINEST VARS'!$H$54*(8*0.5)+'LINEST VARS'!$G$54*(8*$DV44)+'LINEST VARS'!$F$54*(8*$DW$32)+'LINEST VARS'!$E$54*(8*0.5)+'LINEST VARS'!$D$54*(8*$DV44)+'LINEST VARS'!$C$54*($DW$32*0.5)+'LINEST VARS'!$B$54*($DW$32*$DV44)+'LINEST VARS'!$A$54*(0.5*$DV44)</f>
        <v>3.9749999999999996</v>
      </c>
      <c r="DX44" s="51">
        <f>'LINEST VARS'!$U$54+'LINEST VARS'!$T$54*(8)+'LINEST VARS'!$S$54*(8)+'LINEST VARS'!$R$54*($DX$32)+'LINEST VARS'!$Q$54*(0.5)+'LINEST VARS'!$P$54*($DV44)+'LINEST VARS'!$O$54*(8^2)+'LINEST VARS'!$N$54*(8^2)+'LINEST VARS'!$M$54*($DX$32^2)+'LINEST VARS'!$L$54*(0.5^2)+'LINEST VARS'!$K$54*($DV44^2)+'LINEST VARS'!$J$54*(8*8)+'LINEST VARS'!$I$54*(8*$DX$32)+'LINEST VARS'!$H$54*(8*0.5)+'LINEST VARS'!$G$54*(8*$DV44)+'LINEST VARS'!$F$54*(8*$DX$32)+'LINEST VARS'!$E$54*(8*0.5)+'LINEST VARS'!$D$54*(8*$DV44)+'LINEST VARS'!$C$54*($DX$32*0.5)+'LINEST VARS'!$B$54*($DX$32*$DV44)+'LINEST VARS'!$A$54*(0.5*$DV44)</f>
        <v>3.9749999999999996</v>
      </c>
      <c r="DY44" s="51">
        <f>'LINEST VARS'!$U$54+'LINEST VARS'!$T$54*(8)+'LINEST VARS'!$S$54*(8)+'LINEST VARS'!$R$54*($DY$32)+'LINEST VARS'!$Q$54*(0.5)+'LINEST VARS'!$P$54*($DV44)+'LINEST VARS'!$O$54*(8^2)+'LINEST VARS'!$N$54*(8^2)+'LINEST VARS'!$M$54*($DY$32^2)+'LINEST VARS'!$L$54*(0.5^2)+'LINEST VARS'!$K$54*($DV44^2)+'LINEST VARS'!$J$54*(8*8)+'LINEST VARS'!$I$54*(8*$DY$32)+'LINEST VARS'!$H$54*(8*0.5)+'LINEST VARS'!$G$54*(8*$DV44)+'LINEST VARS'!$F$54*(8*$DY$32)+'LINEST VARS'!$E$54*(8*0.5)+'LINEST VARS'!$D$54*(8*$DV44)+'LINEST VARS'!$C$54*($DY$32*0.5)+'LINEST VARS'!$B$54*($DY$32*$DV44)+'LINEST VARS'!$A$54*(0.5*$DV44)</f>
        <v>3.9749999999999996</v>
      </c>
      <c r="DZ44" s="51">
        <f>'LINEST VARS'!$U$54+'LINEST VARS'!$T$54*(8)+'LINEST VARS'!$S$54*(8)+'LINEST VARS'!$R$54*($DZ$32)+'LINEST VARS'!$Q$54*(0.5)+'LINEST VARS'!$P$54*($DV44)+'LINEST VARS'!$O$54*(8^2)+'LINEST VARS'!$N$54*(8^2)+'LINEST VARS'!$M$54*($DZ$32^2)+'LINEST VARS'!$L$54*(0.5^2)+'LINEST VARS'!$K$54*($DV44^2)+'LINEST VARS'!$J$54*(8*8)+'LINEST VARS'!$I$54*(8*$DZ$32)+'LINEST VARS'!$H$54*(8*0.5)+'LINEST VARS'!$G$54*(8*$DV44)+'LINEST VARS'!$F$54*(8*$DZ$32)+'LINEST VARS'!$E$54*(8*0.5)+'LINEST VARS'!$D$54*(8*$DV44)+'LINEST VARS'!$C$54*($DZ$32*0.5)+'LINEST VARS'!$B$54*($DZ$32*$DV44)+'LINEST VARS'!$A$54*(0.5*$DV44)</f>
        <v>3.9749999999999996</v>
      </c>
      <c r="EA44" s="51">
        <f>'LINEST VARS'!$U$54+'LINEST VARS'!$T$54*(8)+'LINEST VARS'!$S$54*(8)+'LINEST VARS'!$R$54*($EA$32)+'LINEST VARS'!$Q$54*(0.5)+'LINEST VARS'!$P$54*($DV44)+'LINEST VARS'!$O$54*(8^2)+'LINEST VARS'!$N$54*(8^2)+'LINEST VARS'!$M$54*($EA$32^2)+'LINEST VARS'!$L$54*(0.5^2)+'LINEST VARS'!$K$54*($DV44^2)+'LINEST VARS'!$J$54*(8*8)+'LINEST VARS'!$I$54*(8*$EA$32)+'LINEST VARS'!$H$54*(8*0.5)+'LINEST VARS'!$G$54*(8*$DV44)+'LINEST VARS'!$F$54*(8*$EA$32)+'LINEST VARS'!$E$54*(8*0.5)+'LINEST VARS'!$D$54*(8*$DV44)+'LINEST VARS'!$C$54*($EA$32*0.5)+'LINEST VARS'!$B$54*($EA$32*$DV44)+'LINEST VARS'!$A$54*(0.5*$DV44)</f>
        <v>3.9749999999999996</v>
      </c>
      <c r="EB44" s="51">
        <f>'LINEST VARS'!$U$54+'LINEST VARS'!$T$54*(8)+'LINEST VARS'!$S$54*(8)+'LINEST VARS'!$R$54*($EB$32)+'LINEST VARS'!$Q$54*(0.5)+'LINEST VARS'!$P$54*($DV44)+'LINEST VARS'!$O$54*(8^2)+'LINEST VARS'!$N$54*(8^2)+'LINEST VARS'!$M$54*($EB$32^2)+'LINEST VARS'!$L$54*(0.5^2)+'LINEST VARS'!$K$54*($DV44^2)+'LINEST VARS'!$J$54*(8*8)+'LINEST VARS'!$I$54*(8*$EB$32)+'LINEST VARS'!$H$54*(8*0.5)+'LINEST VARS'!$G$54*(8*$DV44)+'LINEST VARS'!$F$54*(8*$EB$32)+'LINEST VARS'!$E$54*(8*0.5)+'LINEST VARS'!$D$54*(8*$DV44)+'LINEST VARS'!$C$54*($EB$32*0.5)+'LINEST VARS'!$B$54*($EB$32*$DV44)+'LINEST VARS'!$A$54*(0.5*$DV44)</f>
        <v>3.9749999999999996</v>
      </c>
      <c r="EC44" s="51">
        <f>'LINEST VARS'!$U$54+'LINEST VARS'!$T$54*(8)+'LINEST VARS'!$S$54*(8)+'LINEST VARS'!$R$54*($EC$32)+'LINEST VARS'!$Q$54*(0.5)+'LINEST VARS'!$P$54*($DV44)+'LINEST VARS'!$O$54*(8^2)+'LINEST VARS'!$N$54*(8^2)+'LINEST VARS'!$M$54*($EC$32^2)+'LINEST VARS'!$L$54*(0.5^2)+'LINEST VARS'!$K$54*($DV44^2)+'LINEST VARS'!$J$54*(8*8)+'LINEST VARS'!$I$54*(8*$EC$32)+'LINEST VARS'!$H$54*(8*0.5)+'LINEST VARS'!$G$54*(8*$DV44)+'LINEST VARS'!$F$54*(8*$EC$32)+'LINEST VARS'!$E$54*(8*0.5)+'LINEST VARS'!$D$54*(8*$DV44)+'LINEST VARS'!$C$54*($EC$32*0.5)+'LINEST VARS'!$B$54*($EC$32*$DV44)+'LINEST VARS'!$A$54*(0.5*$DV44)</f>
        <v>3.9749999999999996</v>
      </c>
      <c r="ED44" s="51">
        <f>'LINEST VARS'!$U$54+'LINEST VARS'!$T$54*(8)+'LINEST VARS'!$S$54*(8)+'LINEST VARS'!$R$54*($ED$32)+'LINEST VARS'!$Q$54*(0.5)+'LINEST VARS'!$P$54*($DV44)+'LINEST VARS'!$O$54*(8^2)+'LINEST VARS'!$N$54*(8^2)+'LINEST VARS'!$M$54*($ED$32^2)+'LINEST VARS'!$L$54*(0.5^2)+'LINEST VARS'!$K$54*($DV44^2)+'LINEST VARS'!$J$54*(8*8)+'LINEST VARS'!$I$54*(8*$ED$32)+'LINEST VARS'!$H$54*(8*0.5)+'LINEST VARS'!$G$54*(8*$DV44)+'LINEST VARS'!$F$54*(8*$ED$32)+'LINEST VARS'!$E$54*(8*0.5)+'LINEST VARS'!$D$54*(8*$DV44)+'LINEST VARS'!$C$54*($ED$32*0.5)+'LINEST VARS'!$B$54*($ED$32*$DV44)+'LINEST VARS'!$A$54*(0.5*$DV44)</f>
        <v>3.9749999999999996</v>
      </c>
      <c r="EE44" s="51">
        <f>'LINEST VARS'!$U$54+'LINEST VARS'!$T$54*(8)+'LINEST VARS'!$S$54*(8)+'LINEST VARS'!$R$54*($EE$32)+'LINEST VARS'!$Q$54*(0.5)+'LINEST VARS'!$P$54*($DV44)+'LINEST VARS'!$O$54*(8^2)+'LINEST VARS'!$N$54*(8^2)+'LINEST VARS'!$M$54*($EE$32^2)+'LINEST VARS'!$L$54*(0.5^2)+'LINEST VARS'!$K$54*($DV44^2)+'LINEST VARS'!$J$54*(8*8)+'LINEST VARS'!$I$54*(8*$EE$32)+'LINEST VARS'!$H$54*(8*0.5)+'LINEST VARS'!$G$54*(8*$DV44)+'LINEST VARS'!$F$54*(8*$EE$32)+'LINEST VARS'!$E$54*(8*0.5)+'LINEST VARS'!$D$54*(8*$DV44)+'LINEST VARS'!$C$54*($EE$32*0.5)+'LINEST VARS'!$B$54*($EE$32*$DV44)+'LINEST VARS'!$A$54*(0.5*$DV44)</f>
        <v>3.9749999999999996</v>
      </c>
      <c r="EF44" s="51">
        <f>'LINEST VARS'!$U$54+'LINEST VARS'!$T$54*(8)+'LINEST VARS'!$S$54*(8)+'LINEST VARS'!$R$54*($EF$32)+'LINEST VARS'!$Q$54*(0.5)+'LINEST VARS'!$P$54*($DV44)+'LINEST VARS'!$O$54*(8^2)+'LINEST VARS'!$N$54*(8^2)+'LINEST VARS'!$M$54*($EF$32^2)+'LINEST VARS'!$L$54*(0.5^2)+'LINEST VARS'!$K$54*($DV44^2)+'LINEST VARS'!$J$54*(8*8)+'LINEST VARS'!$I$54*(8*$EF$32)+'LINEST VARS'!$H$54*(8*0.5)+'LINEST VARS'!$G$54*(8*$DV44)+'LINEST VARS'!$F$54*(8*$EF$32)+'LINEST VARS'!$E$54*(8*0.5)+'LINEST VARS'!$D$54*(8*$DV44)+'LINEST VARS'!$C$54*($EF$32*0.5)+'LINEST VARS'!$B$54*($EF$32*$DV44)+'LINEST VARS'!$A$54*(0.5*$DV44)</f>
        <v>3.9749999999999996</v>
      </c>
      <c r="EG44" s="51">
        <f>'LINEST VARS'!$U$54+'LINEST VARS'!$T$54*(8)+'LINEST VARS'!$S$54*(8)+'LINEST VARS'!$R$54*($EG$32)+'LINEST VARS'!$Q$54*(0.5)+'LINEST VARS'!$P$54*($DV44)+'LINEST VARS'!$O$54*(8^2)+'LINEST VARS'!$N$54*(8^2)+'LINEST VARS'!$M$54*($EG$32^2)+'LINEST VARS'!$L$54*(0.5^2)+'LINEST VARS'!$K$54*($DV44^2)+'LINEST VARS'!$J$54*(8*8)+'LINEST VARS'!$I$54*(8*$EG$32)+'LINEST VARS'!$H$54*(8*0.5)+'LINEST VARS'!$G$54*(8*$DV44)+'LINEST VARS'!$F$54*(8*$EG$32)+'LINEST VARS'!$E$54*(8*0.5)+'LINEST VARS'!$D$54*(8*$DV44)+'LINEST VARS'!$C$54*($EG$32*0.5)+'LINEST VARS'!$B$54*($EG$32*$DV44)+'LINEST VARS'!$A$54*(0.5*$DV44)</f>
        <v>3.9749999999999996</v>
      </c>
      <c r="EH44" s="51">
        <f>'LINEST VARS'!$U$54+'LINEST VARS'!$T$54*(8)+'LINEST VARS'!$S$54*(8)+'LINEST VARS'!$R$54*($EH$32)+'LINEST VARS'!$Q$54*(0.5)+'LINEST VARS'!$P$54*($DV44)+'LINEST VARS'!$O$54*(8^2)+'LINEST VARS'!$N$54*(8^2)+'LINEST VARS'!$M$54*($EH$32^2)+'LINEST VARS'!$L$54*(0.5^2)+'LINEST VARS'!$K$54*($DV44^2)+'LINEST VARS'!$J$54*(8*8)+'LINEST VARS'!$I$54*(8*$EH$32)+'LINEST VARS'!$H$54*(8*0.5)+'LINEST VARS'!$G$54*(8*$DV44)+'LINEST VARS'!$F$54*(8*$EH$32)+'LINEST VARS'!$E$54*(8*0.5)+'LINEST VARS'!$D$54*(8*$DV44)+'LINEST VARS'!$C$54*($EH$32*0.5)+'LINEST VARS'!$B$54*($EH$32*$DV44)+'LINEST VARS'!$A$54*(0.5*$DV44)</f>
        <v>3.9749999999999996</v>
      </c>
      <c r="EI44" s="51">
        <f>'LINEST VARS'!$U$54+'LINEST VARS'!$T$54*(8)+'LINEST VARS'!$S$54*(8)+'LINEST VARS'!$R$54*($EI$32)+'LINEST VARS'!$Q$54*(0.5)+'LINEST VARS'!$P$54*($DV44)+'LINEST VARS'!$O$54*(8^2)+'LINEST VARS'!$N$54*(8^2)+'LINEST VARS'!$M$54*($EI$32^2)+'LINEST VARS'!$L$54*(0.5^2)+'LINEST VARS'!$K$54*($DV44^2)+'LINEST VARS'!$J$54*(8*8)+'LINEST VARS'!$I$54*(8*$EI$32)+'LINEST VARS'!$H$54*(8*0.5)+'LINEST VARS'!$G$54*(8*$DV44)+'LINEST VARS'!$F$54*(8*$EI$32)+'LINEST VARS'!$E$54*(8*0.5)+'LINEST VARS'!$D$54*(8*$DV44)+'LINEST VARS'!$C$54*($EI$32*0.5)+'LINEST VARS'!$B$54*($EI$32*$DV44)+'LINEST VARS'!$A$54*(0.5*$DV44)</f>
        <v>3.9749999999999996</v>
      </c>
      <c r="EJ44" s="51">
        <f>'LINEST VARS'!$U$54+'LINEST VARS'!$T$54*(8)+'LINEST VARS'!$S$54*(8)+'LINEST VARS'!$R$54*($EJ$32)+'LINEST VARS'!$Q$54*(0.5)+'LINEST VARS'!$P$54*($DV44)+'LINEST VARS'!$O$54*(8^2)+'LINEST VARS'!$N$54*(8^2)+'LINEST VARS'!$M$54*($EJ$32^2)+'LINEST VARS'!$L$54*(0.5^2)+'LINEST VARS'!$K$54*($DV44^2)+'LINEST VARS'!$J$54*(8*8)+'LINEST VARS'!$I$54*(8*$EJ$32)+'LINEST VARS'!$H$54*(8*0.5)+'LINEST VARS'!$G$54*(8*$DV44)+'LINEST VARS'!$F$54*(8*$EJ$32)+'LINEST VARS'!$E$54*(8*0.5)+'LINEST VARS'!$D$54*(8*$DV44)+'LINEST VARS'!$C$54*($EJ$32*0.5)+'LINEST VARS'!$B$54*($EJ$32*$DV44)+'LINEST VARS'!$A$54*(0.5*$DV44)</f>
        <v>3.9749999999999996</v>
      </c>
      <c r="EK44" s="51">
        <f>'LINEST VARS'!$U$54+'LINEST VARS'!$T$54*(8)+'LINEST VARS'!$S$54*(8)+'LINEST VARS'!$R$54*($EK$32)+'LINEST VARS'!$Q$54*(0.5)+'LINEST VARS'!$P$54*($DV44)+'LINEST VARS'!$O$54*(8^2)+'LINEST VARS'!$N$54*(8^2)+'LINEST VARS'!$M$54*($EK$32^2)+'LINEST VARS'!$L$54*(0.5^2)+'LINEST VARS'!$K$54*($DV44^2)+'LINEST VARS'!$J$54*(8*8)+'LINEST VARS'!$I$54*(8*$EK$32)+'LINEST VARS'!$H$54*(8*0.5)+'LINEST VARS'!$G$54*(8*$DV44)+'LINEST VARS'!$F$54*(8*$EK$32)+'LINEST VARS'!$E$54*(8*0.5)+'LINEST VARS'!$D$54*(8*$DV44)+'LINEST VARS'!$C$54*($EK$32*0.5)+'LINEST VARS'!$B$54*($EK$32*$DV44)+'LINEST VARS'!$A$54*(0.5*$DV44)</f>
        <v>3.9749999999999996</v>
      </c>
      <c r="EL44" s="51">
        <f>'LINEST VARS'!$U$54+'LINEST VARS'!$T$54*(8)+'LINEST VARS'!$S$54*(8)+'LINEST VARS'!$R$54*($EL$32)+'LINEST VARS'!$Q$54*(0.5)+'LINEST VARS'!$P$54*($DV44)+'LINEST VARS'!$O$54*(8^2)+'LINEST VARS'!$N$54*(8^2)+'LINEST VARS'!$M$54*($EL$32^2)+'LINEST VARS'!$L$54*(0.5^2)+'LINEST VARS'!$K$54*($DV44^2)+'LINEST VARS'!$J$54*(8*8)+'LINEST VARS'!$I$54*(8*$EL$32)+'LINEST VARS'!$H$54*(8*0.5)+'LINEST VARS'!$G$54*(8*$DV44)+'LINEST VARS'!$F$54*(8*$EL$32)+'LINEST VARS'!$E$54*(8*0.5)+'LINEST VARS'!$D$54*(8*$DV44)+'LINEST VARS'!$C$54*($EL$32*0.5)+'LINEST VARS'!$B$54*($EL$32*$DV44)+'LINEST VARS'!$A$54*(0.5*$DV44)</f>
        <v>3.9749999999999996</v>
      </c>
      <c r="EM44" s="51">
        <f>'LINEST VARS'!$U$54+'LINEST VARS'!$T$54*(8)+'LINEST VARS'!$S$54*(8)+'LINEST VARS'!$R$54*($EM$32)+'LINEST VARS'!$Q$54*(0.5)+'LINEST VARS'!$P$54*($DV44)+'LINEST VARS'!$O$54*(8^2)+'LINEST VARS'!$N$54*(8^2)+'LINEST VARS'!$M$54*($EM$32^2)+'LINEST VARS'!$L$54*(0.5^2)+'LINEST VARS'!$K$54*($DV44^2)+'LINEST VARS'!$J$54*(8*8)+'LINEST VARS'!$I$54*(8*$EM$32)+'LINEST VARS'!$H$54*(8*0.5)+'LINEST VARS'!$G$54*(8*$DV44)+'LINEST VARS'!$F$54*(8*$EM$32)+'LINEST VARS'!$E$54*(8*0.5)+'LINEST VARS'!$D$54*(8*$DV44)+'LINEST VARS'!$C$54*($EM$32*0.5)+'LINEST VARS'!$B$54*($EM$32*$DV44)+'LINEST VARS'!$A$54*(0.5*$DV44)</f>
        <v>3.9749999999999996</v>
      </c>
      <c r="EN44" s="51">
        <f>'LINEST VARS'!$U$54+'LINEST VARS'!$T$54*(8)+'LINEST VARS'!$S$54*(8)+'LINEST VARS'!$R$54*($EN$32)+'LINEST VARS'!$Q$54*(0.5)+'LINEST VARS'!$P$54*($DV44)+'LINEST VARS'!$O$54*(8^2)+'LINEST VARS'!$N$54*(8^2)+'LINEST VARS'!$M$54*($EN$32^2)+'LINEST VARS'!$L$54*(0.5^2)+'LINEST VARS'!$K$54*($DV44^2)+'LINEST VARS'!$J$54*(8*8)+'LINEST VARS'!$I$54*(8*$EN$32)+'LINEST VARS'!$H$54*(8*0.5)+'LINEST VARS'!$G$54*(8*$DV44)+'LINEST VARS'!$F$54*(8*$EN$32)+'LINEST VARS'!$E$54*(8*0.5)+'LINEST VARS'!$D$54*(8*$DV44)+'LINEST VARS'!$C$54*($EN$32*0.5)+'LINEST VARS'!$B$54*($EN$32*$DV44)+'LINEST VARS'!$A$54*(0.5*$DV44)</f>
        <v>3.9749999999999996</v>
      </c>
      <c r="EO44" s="51">
        <f>'LINEST VARS'!$U$54+'LINEST VARS'!$T$54*(8)+'LINEST VARS'!$S$54*(8)+'LINEST VARS'!$R$54*($EO$32)+'LINEST VARS'!$Q$54*(0.5)+'LINEST VARS'!$P$54*($DV44)+'LINEST VARS'!$O$54*(8^2)+'LINEST VARS'!$N$54*(8^2)+'LINEST VARS'!$M$54*($EO$32^2)+'LINEST VARS'!$L$54*(0.5^2)+'LINEST VARS'!$K$54*($DV44^2)+'LINEST VARS'!$J$54*(8*8)+'LINEST VARS'!$I$54*(8*$EO$32)+'LINEST VARS'!$H$54*(8*0.5)+'LINEST VARS'!$G$54*(8*$DV44)+'LINEST VARS'!$F$54*(8*$EO$32)+'LINEST VARS'!$E$54*(8*0.5)+'LINEST VARS'!$D$54*(8*$DV44)+'LINEST VARS'!$C$54*($EO$32*0.5)+'LINEST VARS'!$B$54*($EO$32*$DV44)+'LINEST VARS'!$A$54*(0.5*$DV44)</f>
        <v>3.9749999999999996</v>
      </c>
      <c r="EP44" s="51">
        <f>'LINEST VARS'!$U$54+'LINEST VARS'!$T$54*(8)+'LINEST VARS'!$S$54*(8)+'LINEST VARS'!$R$54*($EP$32)+'LINEST VARS'!$Q$54*(0.5)+'LINEST VARS'!$P$54*($DV44)+'LINEST VARS'!$O$54*(8^2)+'LINEST VARS'!$N$54*(8^2)+'LINEST VARS'!$M$54*($EP$32^2)+'LINEST VARS'!$L$54*(0.5^2)+'LINEST VARS'!$K$54*($DV44^2)+'LINEST VARS'!$J$54*(8*8)+'LINEST VARS'!$I$54*(8*$EP$32)+'LINEST VARS'!$H$54*(8*0.5)+'LINEST VARS'!$G$54*(8*$DV44)+'LINEST VARS'!$F$54*(8*$EP$32)+'LINEST VARS'!$E$54*(8*0.5)+'LINEST VARS'!$D$54*(8*$DV44)+'LINEST VARS'!$C$54*($EP$32*0.5)+'LINEST VARS'!$B$54*($EP$32*$DV44)+'LINEST VARS'!$A$54*(0.5*$DV44)</f>
        <v>3.9749999999999996</v>
      </c>
      <c r="EQ44" s="52">
        <f>'LINEST VARS'!$U$54+'LINEST VARS'!$T$54*(8)+'LINEST VARS'!$S$54*(8)+'LINEST VARS'!$R$54*($EQ$32)+'LINEST VARS'!$Q$54*(0.5)+'LINEST VARS'!$P$54*($DV44)+'LINEST VARS'!$O$54*(8^2)+'LINEST VARS'!$N$54*(8^2)+'LINEST VARS'!$M$54*($EQ$32^2)+'LINEST VARS'!$L$54*(0.5^2)+'LINEST VARS'!$K$54*($DV44^2)+'LINEST VARS'!$J$54*(8*8)+'LINEST VARS'!$I$54*(8*$EQ$32)+'LINEST VARS'!$H$54*(8*0.5)+'LINEST VARS'!$G$54*(8*$DV44)+'LINEST VARS'!$F$54*(8*$EQ$32)+'LINEST VARS'!$E$54*(8*0.5)+'LINEST VARS'!$D$54*(8*$DV44)+'LINEST VARS'!$C$54*($EQ$32*0.5)+'LINEST VARS'!$B$54*($EQ$32*$DV44)+'LINEST VARS'!$A$54*(0.5*$DV44)</f>
        <v>3.9749999999999996</v>
      </c>
    </row>
    <row r="45" spans="2:147" ht="15" customHeight="1" x14ac:dyDescent="0.25">
      <c r="B45" s="45">
        <v>8.1199999999999992</v>
      </c>
      <c r="C45" s="51">
        <f>'LINEST VARS'!$U$52+'LINEST VARS'!$T$52*($C$32)+'LINEST VARS'!$S$52*($B45)+'LINEST VARS'!$R$52*(4)+'LINEST VARS'!$Q$52*(0.5)+'LINEST VARS'!$P$52*(12.73)+'LINEST VARS'!$O$52*($C$32^2)+'LINEST VARS'!$N$52*($B45^2)+'LINEST VARS'!$M$52*(4^2)+'LINEST VARS'!$L$52*(0.5^2)+'LINEST VARS'!$K$52*(12.73^2)+'LINEST VARS'!$J$52*($C$32*$B45)+'LINEST VARS'!$I$52*($C$32*4)+'LINEST VARS'!$H$52*($C$32*0.5)+'LINEST VARS'!$G$52*($C$32*12.73)+'LINEST VARS'!$F$52*($B45*4)+'LINEST VARS'!$E$52*($B45*0.5)+'LINEST VARS'!$D$52*($B45*12.73)+'LINEST VARS'!$C$52*(4*0.5)+'LINEST VARS'!$B$52*(4*12.73)+'LINEST VARS'!$A$52*(0.5*12.73)</f>
        <v>4.4499999999999984</v>
      </c>
      <c r="D45" s="51">
        <f>'LINEST VARS'!$U$52+'LINEST VARS'!$T$52*($D$32)+'LINEST VARS'!$S$52*($B45)+'LINEST VARS'!$R$52*(4)+'LINEST VARS'!$Q$52*(0.5)+'LINEST VARS'!$P$52*(12.73)+'LINEST VARS'!$O$52*($D$32^2)+'LINEST VARS'!$N$52*($B45^2)+'LINEST VARS'!$M$52*(4^2)+'LINEST VARS'!$L$52*(0.5^2)+'LINEST VARS'!$K$52*(12.73^2)+'LINEST VARS'!$J$52*($D$32*$B45)+'LINEST VARS'!$I$52*($D$32*4)+'LINEST VARS'!$H$52*($D$32*0.5)+'LINEST VARS'!$G$52*($D$32*12.73)+'LINEST VARS'!$F$52*($B45*4)+'LINEST VARS'!$E$52*($B45*0.5)+'LINEST VARS'!$D$52*($B45*12.73)+'LINEST VARS'!$C$52*(4*0.5)+'LINEST VARS'!$B$52*(4*12.73)+'LINEST VARS'!$A$52*(0.5*12.73)</f>
        <v>4.4499999999999984</v>
      </c>
      <c r="E45" s="51">
        <f>'LINEST VARS'!$U$52+'LINEST VARS'!$T$52*($E$32)+'LINEST VARS'!$S$52*($B45)+'LINEST VARS'!$R$52*(4)+'LINEST VARS'!$Q$52*(0.5)+'LINEST VARS'!$P$52*(12.73)+'LINEST VARS'!$O$52*($E$32^2)+'LINEST VARS'!$N$52*($B45^2)+'LINEST VARS'!$M$52*(4^2)+'LINEST VARS'!$L$52*(0.5^2)+'LINEST VARS'!$K$52*(12.73^2)+'LINEST VARS'!$J$52*($E$32*$B45)+'LINEST VARS'!$I$52*($E$32*4)+'LINEST VARS'!$H$52*($E$32*0.5)+'LINEST VARS'!$G$52*($E$32*12.73)+'LINEST VARS'!$F$52*($B45*4)+'LINEST VARS'!$E$52*($B45*0.5)+'LINEST VARS'!$D$52*($B45*12.73)+'LINEST VARS'!$C$52*(4*0.5)+'LINEST VARS'!$B$52*(4*12.73)+'LINEST VARS'!$A$52*(0.5*12.73)</f>
        <v>4.4499999999999984</v>
      </c>
      <c r="F45" s="51">
        <f>'LINEST VARS'!$U$52+'LINEST VARS'!$T$52*($F$32)+'LINEST VARS'!$S$52*($B45)+'LINEST VARS'!$R$52*(4)+'LINEST VARS'!$Q$52*(0.5)+'LINEST VARS'!$P$52*(12.73)+'LINEST VARS'!$O$52*($F$32^2)+'LINEST VARS'!$N$52*($B45^2)+'LINEST VARS'!$M$52*(4^2)+'LINEST VARS'!$L$52*(0.5^2)+'LINEST VARS'!$K$52*(12.73^2)+'LINEST VARS'!$J$52*($F$32*$B45)+'LINEST VARS'!$I$52*($F$32*4)+'LINEST VARS'!$H$52*($F$32*0.5)+'LINEST VARS'!$G$52*($F$32*12.73)+'LINEST VARS'!$F$52*($B45*4)+'LINEST VARS'!$E$52*($B45*0.5)+'LINEST VARS'!$D$52*($B45*12.73)+'LINEST VARS'!$C$52*(4*0.5)+'LINEST VARS'!$B$52*(4*12.73)+'LINEST VARS'!$A$52*(0.5*12.73)</f>
        <v>4.4499999999999984</v>
      </c>
      <c r="G45" s="51">
        <f>'LINEST VARS'!$U$52+'LINEST VARS'!$T$52*($G$32)+'LINEST VARS'!$S$52*($B45)+'LINEST VARS'!$R$52*(4)+'LINEST VARS'!$Q$52*(0.5)+'LINEST VARS'!$P$52*(12.73)+'LINEST VARS'!$O$52*($G$32^2)+'LINEST VARS'!$N$52*($B45^2)+'LINEST VARS'!$M$52*(4^2)+'LINEST VARS'!$L$52*(0.5^2)+'LINEST VARS'!$K$52*(12.73^2)+'LINEST VARS'!$J$52*($G$32*$B45)+'LINEST VARS'!$I$52*($G$32*4)+'LINEST VARS'!$H$52*($G$32*0.5)+'LINEST VARS'!$G$52*($G$32*12.73)+'LINEST VARS'!$F$52*($B45*4)+'LINEST VARS'!$E$52*($B45*0.5)+'LINEST VARS'!$D$52*($B45*12.73)+'LINEST VARS'!$C$52*(4*0.5)+'LINEST VARS'!$B$52*(4*12.73)+'LINEST VARS'!$A$52*(0.5*12.73)</f>
        <v>4.4499999999999984</v>
      </c>
      <c r="H45" s="51">
        <f>'LINEST VARS'!$U$52+'LINEST VARS'!$T$52*($H$32)+'LINEST VARS'!$S$52*($B45)+'LINEST VARS'!$R$52*(4)+'LINEST VARS'!$Q$52*(0.5)+'LINEST VARS'!$P$52*(12.73)+'LINEST VARS'!$O$52*($H$32^2)+'LINEST VARS'!$N$52*($B45^2)+'LINEST VARS'!$M$52*(4^2)+'LINEST VARS'!$L$52*(0.5^2)+'LINEST VARS'!$K$52*(12.73^2)+'LINEST VARS'!$J$52*($H$32*$B45)+'LINEST VARS'!$I$52*($H$32*4)+'LINEST VARS'!$H$52*($H$32*0.5)+'LINEST VARS'!$G$52*($H$32*12.73)+'LINEST VARS'!$F$52*($B45*4)+'LINEST VARS'!$E$52*($B45*0.5)+'LINEST VARS'!$D$52*($B45*12.73)+'LINEST VARS'!$C$52*(4*0.5)+'LINEST VARS'!$B$52*(4*12.73)+'LINEST VARS'!$A$52*(0.5*12.73)</f>
        <v>4.4499999999999984</v>
      </c>
      <c r="I45" s="51">
        <f>'LINEST VARS'!$U$52+'LINEST VARS'!$T$52*($I$32)+'LINEST VARS'!$S$52*($B45)+'LINEST VARS'!$R$52*(4)+'LINEST VARS'!$Q$52*(0.5)+'LINEST VARS'!$P$52*(12.73)+'LINEST VARS'!$O$52*($I$32^2)+'LINEST VARS'!$N$52*($B45^2)+'LINEST VARS'!$M$52*(4^2)+'LINEST VARS'!$L$52*(0.5^2)+'LINEST VARS'!$K$52*(12.73^2)+'LINEST VARS'!$J$52*($I$32*$B45)+'LINEST VARS'!$I$52*($I$32*4)+'LINEST VARS'!$H$52*($I$32*0.5)+'LINEST VARS'!$G$52*($I$32*12.73)+'LINEST VARS'!$F$52*($B45*4)+'LINEST VARS'!$E$52*($B45*0.5)+'LINEST VARS'!$D$52*($B45*12.73)+'LINEST VARS'!$C$52*(4*0.5)+'LINEST VARS'!$B$52*(4*12.73)+'LINEST VARS'!$A$52*(0.5*12.73)</f>
        <v>4.4499999999999984</v>
      </c>
      <c r="J45" s="51">
        <f>'LINEST VARS'!$U$52+'LINEST VARS'!$T$52*($J$32)+'LINEST VARS'!$S$52*($B45)+'LINEST VARS'!$R$52*(4)+'LINEST VARS'!$Q$52*(0.5)+'LINEST VARS'!$P$52*(12.73)+'LINEST VARS'!$O$52*($J$32^2)+'LINEST VARS'!$N$52*($B45^2)+'LINEST VARS'!$M$52*(4^2)+'LINEST VARS'!$L$52*(0.5^2)+'LINEST VARS'!$K$52*(12.73^2)+'LINEST VARS'!$J$52*($J$32*$B45)+'LINEST VARS'!$I$52*($J$32*4)+'LINEST VARS'!$H$52*($J$32*0.5)+'LINEST VARS'!$G$52*($J$32*12.73)+'LINEST VARS'!$F$52*($B45*4)+'LINEST VARS'!$E$52*($B45*0.5)+'LINEST VARS'!$D$52*($B45*12.73)+'LINEST VARS'!$C$52*(4*0.5)+'LINEST VARS'!$B$52*(4*12.73)+'LINEST VARS'!$A$52*(0.5*12.73)</f>
        <v>4.4499999999999984</v>
      </c>
      <c r="K45" s="51">
        <f>'LINEST VARS'!$U$52+'LINEST VARS'!$T$52*($K$32)+'LINEST VARS'!$S$52*($B45)+'LINEST VARS'!$R$52*(4)+'LINEST VARS'!$Q$52*(0.5)+'LINEST VARS'!$P$52*(12.73)+'LINEST VARS'!$O$52*($K$32^2)+'LINEST VARS'!$N$52*($B45^2)+'LINEST VARS'!$M$52*(4^2)+'LINEST VARS'!$L$52*(0.5^2)+'LINEST VARS'!$K$52*(12.73^2)+'LINEST VARS'!$J$52*($K$32*$B45)+'LINEST VARS'!$I$52*($K$32*4)+'LINEST VARS'!$H$52*($K$32*0.5)+'LINEST VARS'!$G$52*($K$32*12.73)+'LINEST VARS'!$F$52*($B45*4)+'LINEST VARS'!$E$52*($B45*0.5)+'LINEST VARS'!$D$52*($B45*12.73)+'LINEST VARS'!$C$52*(4*0.5)+'LINEST VARS'!$B$52*(4*12.73)+'LINEST VARS'!$A$52*(0.5*12.73)</f>
        <v>4.4499999999999984</v>
      </c>
      <c r="L45" s="51">
        <f>'LINEST VARS'!$U$52+'LINEST VARS'!$T$52*($L$32)+'LINEST VARS'!$S$52*($B45)+'LINEST VARS'!$R$52*(4)+'LINEST VARS'!$Q$52*(0.5)+'LINEST VARS'!$P$52*(12.73)+'LINEST VARS'!$O$52*($L$32^2)+'LINEST VARS'!$N$52*($B45^2)+'LINEST VARS'!$M$52*(4^2)+'LINEST VARS'!$L$52*(0.5^2)+'LINEST VARS'!$K$52*(12.73^2)+'LINEST VARS'!$J$52*($L$32*$B45)+'LINEST VARS'!$I$52*($L$32*4)+'LINEST VARS'!$H$52*($L$32*0.5)+'LINEST VARS'!$G$52*($L$32*12.73)+'LINEST VARS'!$F$52*($B45*4)+'LINEST VARS'!$E$52*($B45*0.5)+'LINEST VARS'!$D$52*($B45*12.73)+'LINEST VARS'!$C$52*(4*0.5)+'LINEST VARS'!$B$52*(4*12.73)+'LINEST VARS'!$A$52*(0.5*12.73)</f>
        <v>4.4499999999999984</v>
      </c>
      <c r="M45" s="51">
        <f>'LINEST VARS'!$U$52+'LINEST VARS'!$T$52*($M$32)+'LINEST VARS'!$S$52*($B45)+'LINEST VARS'!$R$52*(4)+'LINEST VARS'!$Q$52*(0.5)+'LINEST VARS'!$P$52*(12.73)+'LINEST VARS'!$O$52*($M$32^2)+'LINEST VARS'!$N$52*($B45^2)+'LINEST VARS'!$M$52*(4^2)+'LINEST VARS'!$L$52*(0.5^2)+'LINEST VARS'!$K$52*(12.73^2)+'LINEST VARS'!$J$52*($M$32*$B45)+'LINEST VARS'!$I$52*($M$32*4)+'LINEST VARS'!$H$52*($M$32*0.5)+'LINEST VARS'!$G$52*($M$32*12.73)+'LINEST VARS'!$F$52*($B45*4)+'LINEST VARS'!$E$52*($B45*0.5)+'LINEST VARS'!$D$52*($B45*12.73)+'LINEST VARS'!$C$52*(4*0.5)+'LINEST VARS'!$B$52*(4*12.73)+'LINEST VARS'!$A$52*(0.5*12.73)</f>
        <v>4.4499999999999984</v>
      </c>
      <c r="N45" s="51">
        <f>'LINEST VARS'!$U$52+'LINEST VARS'!$T$52*($N$32)+'LINEST VARS'!$S$52*($B45)+'LINEST VARS'!$R$52*(4)+'LINEST VARS'!$Q$52*(0.5)+'LINEST VARS'!$P$52*(12.73)+'LINEST VARS'!$O$52*($N$32^2)+'LINEST VARS'!$N$52*($B45^2)+'LINEST VARS'!$M$52*(4^2)+'LINEST VARS'!$L$52*(0.5^2)+'LINEST VARS'!$K$52*(12.73^2)+'LINEST VARS'!$J$52*($N$32*$B45)+'LINEST VARS'!$I$52*($N$32*4)+'LINEST VARS'!$H$52*($N$32*0.5)+'LINEST VARS'!$G$52*($N$32*12.73)+'LINEST VARS'!$F$52*($B45*4)+'LINEST VARS'!$E$52*($B45*0.5)+'LINEST VARS'!$D$52*($B45*12.73)+'LINEST VARS'!$C$52*(4*0.5)+'LINEST VARS'!$B$52*(4*12.73)+'LINEST VARS'!$A$52*(0.5*12.73)</f>
        <v>4.4499999999999984</v>
      </c>
      <c r="O45" s="51">
        <f>'LINEST VARS'!$U$52+'LINEST VARS'!$T$52*($O$32)+'LINEST VARS'!$S$52*($B45)+'LINEST VARS'!$R$52*(4)+'LINEST VARS'!$Q$52*(0.5)+'LINEST VARS'!$P$52*(12.73)+'LINEST VARS'!$O$52*($O$32^2)+'LINEST VARS'!$N$52*($B45^2)+'LINEST VARS'!$M$52*(4^2)+'LINEST VARS'!$L$52*(0.5^2)+'LINEST VARS'!$K$52*(12.73^2)+'LINEST VARS'!$J$52*($O$32*$B45)+'LINEST VARS'!$I$52*($O$32*4)+'LINEST VARS'!$H$52*($O$32*0.5)+'LINEST VARS'!$G$52*($O$32*12.73)+'LINEST VARS'!$F$52*($B45*4)+'LINEST VARS'!$E$52*($B45*0.5)+'LINEST VARS'!$D$52*($B45*12.73)+'LINEST VARS'!$C$52*(4*0.5)+'LINEST VARS'!$B$52*(4*12.73)+'LINEST VARS'!$A$52*(0.5*12.73)</f>
        <v>4.4499999999999984</v>
      </c>
      <c r="P45" s="51">
        <f>'LINEST VARS'!$U$52+'LINEST VARS'!$T$52*($P$32)+'LINEST VARS'!$S$52*($B45)+'LINEST VARS'!$R$52*(4)+'LINEST VARS'!$Q$52*(0.5)+'LINEST VARS'!$P$52*(12.73)+'LINEST VARS'!$O$52*($P$32^2)+'LINEST VARS'!$N$52*($B45^2)+'LINEST VARS'!$M$52*(4^2)+'LINEST VARS'!$L$52*(0.5^2)+'LINEST VARS'!$K$52*(12.73^2)+'LINEST VARS'!$J$52*($P$32*$B45)+'LINEST VARS'!$I$52*($P$32*4)+'LINEST VARS'!$H$52*($P$32*0.5)+'LINEST VARS'!$G$52*($P$32*12.73)+'LINEST VARS'!$F$52*($B45*4)+'LINEST VARS'!$E$52*($B45*0.5)+'LINEST VARS'!$D$52*($B45*12.73)+'LINEST VARS'!$C$52*(4*0.5)+'LINEST VARS'!$B$52*(4*12.73)+'LINEST VARS'!$A$52*(0.5*12.73)</f>
        <v>4.4499999999999984</v>
      </c>
      <c r="Q45" s="51">
        <f>'LINEST VARS'!$U$52+'LINEST VARS'!$T$52*($Q$32)+'LINEST VARS'!$S$52*($B45)+'LINEST VARS'!$R$52*(4)+'LINEST VARS'!$Q$52*(0.5)+'LINEST VARS'!$P$52*(12.73)+'LINEST VARS'!$O$52*($Q$32^2)+'LINEST VARS'!$N$52*($B45^2)+'LINEST VARS'!$M$52*(4^2)+'LINEST VARS'!$L$52*(0.5^2)+'LINEST VARS'!$K$52*(12.73^2)+'LINEST VARS'!$J$52*($Q$32*$B45)+'LINEST VARS'!$I$52*($Q$32*4)+'LINEST VARS'!$H$52*($Q$32*0.5)+'LINEST VARS'!$G$52*($Q$32*12.73)+'LINEST VARS'!$F$52*($B45*4)+'LINEST VARS'!$E$52*($B45*0.5)+'LINEST VARS'!$D$52*($B45*12.73)+'LINEST VARS'!$C$52*(4*0.5)+'LINEST VARS'!$B$52*(4*12.73)+'LINEST VARS'!$A$52*(0.5*12.73)</f>
        <v>4.4499999999999984</v>
      </c>
      <c r="R45" s="51">
        <f>'LINEST VARS'!$U$52+'LINEST VARS'!$T$52*($R$32)+'LINEST VARS'!$S$52*($B45)+'LINEST VARS'!$R$52*(4)+'LINEST VARS'!$Q$52*(0.5)+'LINEST VARS'!$P$52*(12.73)+'LINEST VARS'!$O$52*($R$32^2)+'LINEST VARS'!$N$52*($B45^2)+'LINEST VARS'!$M$52*(4^2)+'LINEST VARS'!$L$52*(0.5^2)+'LINEST VARS'!$K$52*(12.73^2)+'LINEST VARS'!$J$52*($R$32*$B45)+'LINEST VARS'!$I$52*($R$32*4)+'LINEST VARS'!$H$52*($R$32*0.5)+'LINEST VARS'!$G$52*($R$32*12.73)+'LINEST VARS'!$F$52*($B45*4)+'LINEST VARS'!$E$52*($B45*0.5)+'LINEST VARS'!$D$52*($B45*12.73)+'LINEST VARS'!$C$52*(4*0.5)+'LINEST VARS'!$B$52*(4*12.73)+'LINEST VARS'!$A$52*(0.5*12.73)</f>
        <v>4.4499999999999984</v>
      </c>
      <c r="S45" s="51">
        <f>'LINEST VARS'!$U$52+'LINEST VARS'!$T$52*($S$32)+'LINEST VARS'!$S$52*($B45)+'LINEST VARS'!$R$52*(4)+'LINEST VARS'!$Q$52*(0.5)+'LINEST VARS'!$P$52*(12.73)+'LINEST VARS'!$O$52*($S$32^2)+'LINEST VARS'!$N$52*($B45^2)+'LINEST VARS'!$M$52*(4^2)+'LINEST VARS'!$L$52*(0.5^2)+'LINEST VARS'!$K$52*(12.73^2)+'LINEST VARS'!$J$52*($S$32*$B45)+'LINEST VARS'!$I$52*($S$32*4)+'LINEST VARS'!$H$52*($S$32*0.5)+'LINEST VARS'!$G$52*($S$32*12.73)+'LINEST VARS'!$F$52*($B45*4)+'LINEST VARS'!$E$52*($B45*0.5)+'LINEST VARS'!$D$52*($B45*12.73)+'LINEST VARS'!$C$52*(4*0.5)+'LINEST VARS'!$B$52*(4*12.73)+'LINEST VARS'!$A$52*(0.5*12.73)</f>
        <v>4.4499999999999984</v>
      </c>
      <c r="T45" s="51">
        <f>'LINEST VARS'!$U$52+'LINEST VARS'!$T$52*($T$32)+'LINEST VARS'!$S$52*($B45)+'LINEST VARS'!$R$52*(4)+'LINEST VARS'!$Q$52*(0.5)+'LINEST VARS'!$P$52*(12.73)+'LINEST VARS'!$O$52*($T$32^2)+'LINEST VARS'!$N$52*($B45^2)+'LINEST VARS'!$M$52*(4^2)+'LINEST VARS'!$L$52*(0.5^2)+'LINEST VARS'!$K$52*(12.73^2)+'LINEST VARS'!$J$52*($T$32*$B45)+'LINEST VARS'!$I$52*($T$32*4)+'LINEST VARS'!$H$52*($T$32*0.5)+'LINEST VARS'!$G$52*($T$32*12.73)+'LINEST VARS'!$F$52*($B45*4)+'LINEST VARS'!$E$52*($B45*0.5)+'LINEST VARS'!$D$52*($B45*12.73)+'LINEST VARS'!$C$52*(4*0.5)+'LINEST VARS'!$B$52*(4*12.73)+'LINEST VARS'!$A$52*(0.5*12.73)</f>
        <v>4.4499999999999984</v>
      </c>
      <c r="U45" s="51">
        <f>'LINEST VARS'!$U$52+'LINEST VARS'!$T$52*($U$32)+'LINEST VARS'!$S$52*($B45)+'LINEST VARS'!$R$52*(4)+'LINEST VARS'!$Q$52*(0.5)+'LINEST VARS'!$P$52*(12.73)+'LINEST VARS'!$O$52*($U$32^2)+'LINEST VARS'!$N$52*($B45^2)+'LINEST VARS'!$M$52*(4^2)+'LINEST VARS'!$L$52*(0.5^2)+'LINEST VARS'!$K$52*(12.73^2)+'LINEST VARS'!$J$52*($U$32*$B45)+'LINEST VARS'!$I$52*($U$32*4)+'LINEST VARS'!$H$52*($U$32*0.5)+'LINEST VARS'!$G$52*($U$32*12.73)+'LINEST VARS'!$F$52*($B45*4)+'LINEST VARS'!$E$52*($B45*0.5)+'LINEST VARS'!$D$52*($B45*12.73)+'LINEST VARS'!$C$52*(4*0.5)+'LINEST VARS'!$B$52*(4*12.73)+'LINEST VARS'!$A$52*(0.5*12.73)</f>
        <v>4.4499999999999984</v>
      </c>
      <c r="V45" s="51">
        <f>'LINEST VARS'!$U$52+'LINEST VARS'!$T$52*($V$32)+'LINEST VARS'!$S$52*($B45)+'LINEST VARS'!$R$52*(4)+'LINEST VARS'!$Q$52*(0.5)+'LINEST VARS'!$P$52*(12.73)+'LINEST VARS'!$O$52*($V$32^2)+'LINEST VARS'!$N$52*($B45^2)+'LINEST VARS'!$M$52*(4^2)+'LINEST VARS'!$L$52*(0.5^2)+'LINEST VARS'!$K$52*(12.73^2)+'LINEST VARS'!$J$52*($V$32*$B45)+'LINEST VARS'!$I$52*($V$32*4)+'LINEST VARS'!$H$52*($V$32*0.5)+'LINEST VARS'!$G$52*($V$32*12.73)+'LINEST VARS'!$F$52*($B45*4)+'LINEST VARS'!$E$52*($B45*0.5)+'LINEST VARS'!$D$52*($B45*12.73)+'LINEST VARS'!$C$52*(4*0.5)+'LINEST VARS'!$B$52*(4*12.73)+'LINEST VARS'!$A$52*(0.5*12.73)</f>
        <v>4.4499999999999993</v>
      </c>
      <c r="W45" s="52">
        <f>'LINEST VARS'!$U$52+'LINEST VARS'!$T$52*($W$32)+'LINEST VARS'!$S$52*($B45)+'LINEST VARS'!$R$52*(4)+'LINEST VARS'!$Q$52*(0.5)+'LINEST VARS'!$P$52*(12.73)+'LINEST VARS'!$O$52*($W$32^2)+'LINEST VARS'!$N$52*($B45^2)+'LINEST VARS'!$M$52*(4^2)+'LINEST VARS'!$L$52*(0.5^2)+'LINEST VARS'!$K$52*(12.73^2)+'LINEST VARS'!$J$52*($W$32*$B45)+'LINEST VARS'!$I$52*($W$32*4)+'LINEST VARS'!$H$52*($W$32*0.5)+'LINEST VARS'!$G$52*($W$32*12.73)+'LINEST VARS'!$F$52*($B45*4)+'LINEST VARS'!$E$52*($B45*0.5)+'LINEST VARS'!$D$52*($B45*12.73)+'LINEST VARS'!$C$52*(4*0.5)+'LINEST VARS'!$B$52*(4*12.73)+'LINEST VARS'!$A$52*(0.5*12.73)</f>
        <v>4.4499999999999993</v>
      </c>
      <c r="Z45" s="45">
        <v>8.1199999999999992</v>
      </c>
      <c r="AA45" s="51">
        <f>'LINEST VARS'!$U$54+'LINEST VARS'!$T$54*($AA$32)+'LINEST VARS'!$S$54*($Z45)+'LINEST VARS'!$R$54*(4)+'LINEST VARS'!$Q$54*(0.5)+'LINEST VARS'!$P$54*(12.73)+'LINEST VARS'!$O$54*($AA$32^2)+'LINEST VARS'!$N$54*($Z45^2)+'LINEST VARS'!$M$54*(4^2)+'LINEST VARS'!$L$54*(0.5^2)+'LINEST VARS'!$K$54*(12.73^2)+'LINEST VARS'!$J$54*($AA$32*$Z45)+'LINEST VARS'!$I$54*($AA$32*4)+'LINEST VARS'!$H$54*($AA$32*0.5)+'LINEST VARS'!$G$54*($AA$32*12.73)+'LINEST VARS'!$F$54*($Z45*4)+'LINEST VARS'!$E$54*($Z45*0.5)+'LINEST VARS'!$D$54*($Z45*12.73)+'LINEST VARS'!$C$54*(4*0.5)+'LINEST VARS'!$B$54*(4*12.73)+'LINEST VARS'!$A$54*(0.5*12.73)</f>
        <v>3.9749999999999996</v>
      </c>
      <c r="AB45" s="51">
        <f>'LINEST VARS'!$U$54+'LINEST VARS'!$T$54*($AB$32)+'LINEST VARS'!$S$54*($Z45)+'LINEST VARS'!$R$54*(4)+'LINEST VARS'!$Q$54*(0.5)+'LINEST VARS'!$P$54*(12.73)+'LINEST VARS'!$O$54*($AB$32^2)+'LINEST VARS'!$N$54*($Z45^2)+'LINEST VARS'!$M$54*(4^2)+'LINEST VARS'!$L$54*(0.5^2)+'LINEST VARS'!$K$54*(12.73^2)+'LINEST VARS'!$J$54*($AB$32*$Z45)+'LINEST VARS'!$I$54*($AB$32*4)+'LINEST VARS'!$H$54*($AB$32*0.5)+'LINEST VARS'!$G$54*($AB$32*12.73)+'LINEST VARS'!$F$54*($Z45*4)+'LINEST VARS'!$E$54*($Z45*0.5)+'LINEST VARS'!$D$54*($Z45*12.73)+'LINEST VARS'!$C$54*(4*0.5)+'LINEST VARS'!$B$54*(4*12.73)+'LINEST VARS'!$A$54*(0.5*12.73)</f>
        <v>3.9749999999999996</v>
      </c>
      <c r="AC45" s="51">
        <f>'LINEST VARS'!$U$54+'LINEST VARS'!$T$54*($AC$32)+'LINEST VARS'!$S$54*($Z45)+'LINEST VARS'!$R$54*(4)+'LINEST VARS'!$Q$54*(0.5)+'LINEST VARS'!$P$54*(12.73)+'LINEST VARS'!$O$54*($AC$32^2)+'LINEST VARS'!$N$54*($Z45^2)+'LINEST VARS'!$M$54*(4^2)+'LINEST VARS'!$L$54*(0.5^2)+'LINEST VARS'!$K$54*(12.73^2)+'LINEST VARS'!$J$54*($AC$32*$Z45)+'LINEST VARS'!$I$54*($AC$32*4)+'LINEST VARS'!$H$54*($AC$32*0.5)+'LINEST VARS'!$G$54*($AC$32*12.73)+'LINEST VARS'!$F$54*($Z45*4)+'LINEST VARS'!$E$54*($Z45*0.5)+'LINEST VARS'!$D$54*($Z45*12.73)+'LINEST VARS'!$C$54*(4*0.5)+'LINEST VARS'!$B$54*(4*12.73)+'LINEST VARS'!$A$54*(0.5*12.73)</f>
        <v>3.9749999999999996</v>
      </c>
      <c r="AD45" s="51">
        <f>'LINEST VARS'!$U$54+'LINEST VARS'!$T$54*($AD$32)+'LINEST VARS'!$S$54*($Z45)+'LINEST VARS'!$R$54*(4)+'LINEST VARS'!$Q$54*(0.5)+'LINEST VARS'!$P$54*(12.73)+'LINEST VARS'!$O$54*($AD$32^2)+'LINEST VARS'!$N$54*($Z45^2)+'LINEST VARS'!$M$54*(4^2)+'LINEST VARS'!$L$54*(0.5^2)+'LINEST VARS'!$K$54*(12.73^2)+'LINEST VARS'!$J$54*($AD$32*$Z45)+'LINEST VARS'!$I$54*($AD$32*4)+'LINEST VARS'!$H$54*($AD$32*0.5)+'LINEST VARS'!$G$54*($AD$32*12.73)+'LINEST VARS'!$F$54*($Z45*4)+'LINEST VARS'!$E$54*($Z45*0.5)+'LINEST VARS'!$D$54*($Z45*12.73)+'LINEST VARS'!$C$54*(4*0.5)+'LINEST VARS'!$B$54*(4*12.73)+'LINEST VARS'!$A$54*(0.5*12.73)</f>
        <v>3.9749999999999996</v>
      </c>
      <c r="AE45" s="51">
        <f>'LINEST VARS'!$U$54+'LINEST VARS'!$T$54*($AE$32)+'LINEST VARS'!$S$54*($Z45)+'LINEST VARS'!$R$54*(4)+'LINEST VARS'!$Q$54*(0.5)+'LINEST VARS'!$P$54*(12.73)+'LINEST VARS'!$O$54*($AE$32^2)+'LINEST VARS'!$N$54*($Z45^2)+'LINEST VARS'!$M$54*(4^2)+'LINEST VARS'!$L$54*(0.5^2)+'LINEST VARS'!$K$54*(12.73^2)+'LINEST VARS'!$J$54*($AE$32*$Z45)+'LINEST VARS'!$I$54*($AE$32*4)+'LINEST VARS'!$H$54*($AE$32*0.5)+'LINEST VARS'!$G$54*($AE$32*12.73)+'LINEST VARS'!$F$54*($Z45*4)+'LINEST VARS'!$E$54*($Z45*0.5)+'LINEST VARS'!$D$54*($Z45*12.73)+'LINEST VARS'!$C$54*(4*0.5)+'LINEST VARS'!$B$54*(4*12.73)+'LINEST VARS'!$A$54*(0.5*12.73)</f>
        <v>3.9749999999999996</v>
      </c>
      <c r="AF45" s="51">
        <f>'LINEST VARS'!$U$54+'LINEST VARS'!$T$54*($AF$32)+'LINEST VARS'!$S$54*($Z45)+'LINEST VARS'!$R$54*(4)+'LINEST VARS'!$Q$54*(0.5)+'LINEST VARS'!$P$54*(12.73)+'LINEST VARS'!$O$54*($AF$32^2)+'LINEST VARS'!$N$54*($Z45^2)+'LINEST VARS'!$M$54*(4^2)+'LINEST VARS'!$L$54*(0.5^2)+'LINEST VARS'!$K$54*(12.73^2)+'LINEST VARS'!$J$54*($AF$32*$Z45)+'LINEST VARS'!$I$54*($AF$32*4)+'LINEST VARS'!$H$54*($AF$32*0.5)+'LINEST VARS'!$G$54*($AF$32*12.73)+'LINEST VARS'!$F$54*($Z45*4)+'LINEST VARS'!$E$54*($Z45*0.5)+'LINEST VARS'!$D$54*($Z45*12.73)+'LINEST VARS'!$C$54*(4*0.5)+'LINEST VARS'!$B$54*(4*12.73)+'LINEST VARS'!$A$54*(0.5*12.73)</f>
        <v>3.9749999999999996</v>
      </c>
      <c r="AG45" s="51">
        <f>'LINEST VARS'!$U$54+'LINEST VARS'!$T$54*($AG$32)+'LINEST VARS'!$S$54*($Z45)+'LINEST VARS'!$R$54*(4)+'LINEST VARS'!$Q$54*(0.5)+'LINEST VARS'!$P$54*(12.73)+'LINEST VARS'!$O$54*($AG$32^2)+'LINEST VARS'!$N$54*($Z45^2)+'LINEST VARS'!$M$54*(4^2)+'LINEST VARS'!$L$54*(0.5^2)+'LINEST VARS'!$K$54*(12.73^2)+'LINEST VARS'!$J$54*($AG$32*$Z45)+'LINEST VARS'!$I$54*($AG$32*4)+'LINEST VARS'!$H$54*($AG$32*0.5)+'LINEST VARS'!$G$54*($AG$32*12.73)+'LINEST VARS'!$F$54*($Z45*4)+'LINEST VARS'!$E$54*($Z45*0.5)+'LINEST VARS'!$D$54*($Z45*12.73)+'LINEST VARS'!$C$54*(4*0.5)+'LINEST VARS'!$B$54*(4*12.73)+'LINEST VARS'!$A$54*(0.5*12.73)</f>
        <v>3.9749999999999996</v>
      </c>
      <c r="AH45" s="51">
        <f>'LINEST VARS'!$U$54+'LINEST VARS'!$T$54*($AH$32)+'LINEST VARS'!$S$54*($Z45)+'LINEST VARS'!$R$54*(4)+'LINEST VARS'!$Q$54*(0.5)+'LINEST VARS'!$P$54*(12.73)+'LINEST VARS'!$O$54*($AH$32^2)+'LINEST VARS'!$N$54*($Z45^2)+'LINEST VARS'!$M$54*(4^2)+'LINEST VARS'!$L$54*(0.5^2)+'LINEST VARS'!$K$54*(12.73^2)+'LINEST VARS'!$J$54*($AH$32*$Z45)+'LINEST VARS'!$I$54*($AH$32*4)+'LINEST VARS'!$H$54*($AH$32*0.5)+'LINEST VARS'!$G$54*($AH$32*12.73)+'LINEST VARS'!$F$54*($Z45*4)+'LINEST VARS'!$E$54*($Z45*0.5)+'LINEST VARS'!$D$54*($Z45*12.73)+'LINEST VARS'!$C$54*(4*0.5)+'LINEST VARS'!$B$54*(4*12.73)+'LINEST VARS'!$A$54*(0.5*12.73)</f>
        <v>3.9749999999999996</v>
      </c>
      <c r="AI45" s="51">
        <f>'LINEST VARS'!$U$54+'LINEST VARS'!$T$54*($AI$32)+'LINEST VARS'!$S$54*($Z45)+'LINEST VARS'!$R$54*(4)+'LINEST VARS'!$Q$54*(0.5)+'LINEST VARS'!$P$54*(12.73)+'LINEST VARS'!$O$54*($AI$32^2)+'LINEST VARS'!$N$54*($Z45^2)+'LINEST VARS'!$M$54*(4^2)+'LINEST VARS'!$L$54*(0.5^2)+'LINEST VARS'!$K$54*(12.73^2)+'LINEST VARS'!$J$54*($AI$32*$Z45)+'LINEST VARS'!$I$54*($AI$32*4)+'LINEST VARS'!$H$54*($AI$32*0.5)+'LINEST VARS'!$G$54*($AI$32*12.73)+'LINEST VARS'!$F$54*($Z45*4)+'LINEST VARS'!$E$54*($Z45*0.5)+'LINEST VARS'!$D$54*($Z45*12.73)+'LINEST VARS'!$C$54*(4*0.5)+'LINEST VARS'!$B$54*(4*12.73)+'LINEST VARS'!$A$54*(0.5*12.73)</f>
        <v>3.9749999999999996</v>
      </c>
      <c r="AJ45" s="51">
        <f>'LINEST VARS'!$U$54+'LINEST VARS'!$T$54*($AJ$32)+'LINEST VARS'!$S$54*($Z45)+'LINEST VARS'!$R$54*(4)+'LINEST VARS'!$Q$54*(0.5)+'LINEST VARS'!$P$54*(12.73)+'LINEST VARS'!$O$54*($AJ$32^2)+'LINEST VARS'!$N$54*($Z45^2)+'LINEST VARS'!$M$54*(4^2)+'LINEST VARS'!$L$54*(0.5^2)+'LINEST VARS'!$K$54*(12.73^2)+'LINEST VARS'!$J$54*($AJ$32*$Z45)+'LINEST VARS'!$I$54*($AJ$32*4)+'LINEST VARS'!$H$54*($AJ$32*0.5)+'LINEST VARS'!$G$54*($AJ$32*12.73)+'LINEST VARS'!$F$54*($Z45*4)+'LINEST VARS'!$E$54*($Z45*0.5)+'LINEST VARS'!$D$54*($Z45*12.73)+'LINEST VARS'!$C$54*(4*0.5)+'LINEST VARS'!$B$54*(4*12.73)+'LINEST VARS'!$A$54*(0.5*12.73)</f>
        <v>3.9749999999999996</v>
      </c>
      <c r="AK45" s="51">
        <f>'LINEST VARS'!$U$54+'LINEST VARS'!$T$54*($AK$32)+'LINEST VARS'!$S$54*($Z45)+'LINEST VARS'!$R$54*(4)+'LINEST VARS'!$Q$54*(0.5)+'LINEST VARS'!$P$54*(12.73)+'LINEST VARS'!$O$54*($AK$32^2)+'LINEST VARS'!$N$54*($Z45^2)+'LINEST VARS'!$M$54*(4^2)+'LINEST VARS'!$L$54*(0.5^2)+'LINEST VARS'!$K$54*(12.73^2)+'LINEST VARS'!$J$54*($AK$32*$Z45)+'LINEST VARS'!$I$54*($AK$32*4)+'LINEST VARS'!$H$54*($AK$32*0.5)+'LINEST VARS'!$G$54*($AK$32*12.73)+'LINEST VARS'!$F$54*($Z45*4)+'LINEST VARS'!$E$54*($Z45*0.5)+'LINEST VARS'!$D$54*($Z45*12.73)+'LINEST VARS'!$C$54*(4*0.5)+'LINEST VARS'!$B$54*(4*12.73)+'LINEST VARS'!$A$54*(0.5*12.73)</f>
        <v>3.9749999999999996</v>
      </c>
      <c r="AL45" s="51">
        <f>'LINEST VARS'!$U$54+'LINEST VARS'!$T$54*($AL$32)+'LINEST VARS'!$S$54*($Z45)+'LINEST VARS'!$R$54*(4)+'LINEST VARS'!$Q$54*(0.5)+'LINEST VARS'!$P$54*(12.73)+'LINEST VARS'!$O$54*($AL$32^2)+'LINEST VARS'!$N$54*($Z45^2)+'LINEST VARS'!$M$54*(4^2)+'LINEST VARS'!$L$54*(0.5^2)+'LINEST VARS'!$K$54*(12.73^2)+'LINEST VARS'!$J$54*($AL$32*$Z45)+'LINEST VARS'!$I$54*($AL$32*4)+'LINEST VARS'!$H$54*($AL$32*0.5)+'LINEST VARS'!$G$54*($AL$32*12.73)+'LINEST VARS'!$F$54*($Z45*4)+'LINEST VARS'!$E$54*($Z45*0.5)+'LINEST VARS'!$D$54*($Z45*12.73)+'LINEST VARS'!$C$54*(4*0.5)+'LINEST VARS'!$B$54*(4*12.73)+'LINEST VARS'!$A$54*(0.5*12.73)</f>
        <v>3.9749999999999996</v>
      </c>
      <c r="AM45" s="51">
        <f>'LINEST VARS'!$U$54+'LINEST VARS'!$T$54*($AM$32)+'LINEST VARS'!$S$54*($Z45)+'LINEST VARS'!$R$54*(4)+'LINEST VARS'!$Q$54*(0.5)+'LINEST VARS'!$P$54*(12.73)+'LINEST VARS'!$O$54*($AM$32^2)+'LINEST VARS'!$N$54*($Z45^2)+'LINEST VARS'!$M$54*(4^2)+'LINEST VARS'!$L$54*(0.5^2)+'LINEST VARS'!$K$54*(12.73^2)+'LINEST VARS'!$J$54*($AM$32*$Z45)+'LINEST VARS'!$I$54*($AM$32*4)+'LINEST VARS'!$H$54*($AM$32*0.5)+'LINEST VARS'!$G$54*($AM$32*12.73)+'LINEST VARS'!$F$54*($Z45*4)+'LINEST VARS'!$E$54*($Z45*0.5)+'LINEST VARS'!$D$54*($Z45*12.73)+'LINEST VARS'!$C$54*(4*0.5)+'LINEST VARS'!$B$54*(4*12.73)+'LINEST VARS'!$A$54*(0.5*12.73)</f>
        <v>3.9749999999999996</v>
      </c>
      <c r="AN45" s="51">
        <f>'LINEST VARS'!$U$54+'LINEST VARS'!$T$54*($AN$32)+'LINEST VARS'!$S$54*($Z45)+'LINEST VARS'!$R$54*(4)+'LINEST VARS'!$Q$54*(0.5)+'LINEST VARS'!$P$54*(12.73)+'LINEST VARS'!$O$54*($AN$32^2)+'LINEST VARS'!$N$54*($Z45^2)+'LINEST VARS'!$M$54*(4^2)+'LINEST VARS'!$L$54*(0.5^2)+'LINEST VARS'!$K$54*(12.73^2)+'LINEST VARS'!$J$54*($AN$32*$Z45)+'LINEST VARS'!$I$54*($AN$32*4)+'LINEST VARS'!$H$54*($AN$32*0.5)+'LINEST VARS'!$G$54*($AN$32*12.73)+'LINEST VARS'!$F$54*($Z45*4)+'LINEST VARS'!$E$54*($Z45*0.5)+'LINEST VARS'!$D$54*($Z45*12.73)+'LINEST VARS'!$C$54*(4*0.5)+'LINEST VARS'!$B$54*(4*12.73)+'LINEST VARS'!$A$54*(0.5*12.73)</f>
        <v>3.9749999999999996</v>
      </c>
      <c r="AO45" s="51">
        <f>'LINEST VARS'!$U$54+'LINEST VARS'!$T$54*($AO$32)+'LINEST VARS'!$S$54*($Z45)+'LINEST VARS'!$R$54*(4)+'LINEST VARS'!$Q$54*(0.5)+'LINEST VARS'!$P$54*(12.73)+'LINEST VARS'!$O$54*($AO$32^2)+'LINEST VARS'!$N$54*($Z45^2)+'LINEST VARS'!$M$54*(4^2)+'LINEST VARS'!$L$54*(0.5^2)+'LINEST VARS'!$K$54*(12.73^2)+'LINEST VARS'!$J$54*($AO$32*$Z45)+'LINEST VARS'!$I$54*($AO$32*4)+'LINEST VARS'!$H$54*($AO$32*0.5)+'LINEST VARS'!$G$54*($AO$32*12.73)+'LINEST VARS'!$F$54*($Z45*4)+'LINEST VARS'!$E$54*($Z45*0.5)+'LINEST VARS'!$D$54*($Z45*12.73)+'LINEST VARS'!$C$54*(4*0.5)+'LINEST VARS'!$B$54*(4*12.73)+'LINEST VARS'!$A$54*(0.5*12.73)</f>
        <v>3.9749999999999996</v>
      </c>
      <c r="AP45" s="51">
        <f>'LINEST VARS'!$U$54+'LINEST VARS'!$T$54*($AP$32)+'LINEST VARS'!$S$54*($Z45)+'LINEST VARS'!$R$54*(4)+'LINEST VARS'!$Q$54*(0.5)+'LINEST VARS'!$P$54*(12.73)+'LINEST VARS'!$O$54*($AP$32^2)+'LINEST VARS'!$N$54*($Z45^2)+'LINEST VARS'!$M$54*(4^2)+'LINEST VARS'!$L$54*(0.5^2)+'LINEST VARS'!$K$54*(12.73^2)+'LINEST VARS'!$J$54*($AP$32*$Z45)+'LINEST VARS'!$I$54*($AP$32*4)+'LINEST VARS'!$H$54*($AP$32*0.5)+'LINEST VARS'!$G$54*($AP$32*12.73)+'LINEST VARS'!$F$54*($Z45*4)+'LINEST VARS'!$E$54*($Z45*0.5)+'LINEST VARS'!$D$54*($Z45*12.73)+'LINEST VARS'!$C$54*(4*0.5)+'LINEST VARS'!$B$54*(4*12.73)+'LINEST VARS'!$A$54*(0.5*12.73)</f>
        <v>3.9749999999999996</v>
      </c>
      <c r="AQ45" s="51">
        <f>'LINEST VARS'!$U$54+'LINEST VARS'!$T$54*($AQ$32)+'LINEST VARS'!$S$54*($Z45)+'LINEST VARS'!$R$54*(4)+'LINEST VARS'!$Q$54*(0.5)+'LINEST VARS'!$P$54*(12.73)+'LINEST VARS'!$O$54*($AQ$32^2)+'LINEST VARS'!$N$54*($Z45^2)+'LINEST VARS'!$M$54*(4^2)+'LINEST VARS'!$L$54*(0.5^2)+'LINEST VARS'!$K$54*(12.73^2)+'LINEST VARS'!$J$54*($AQ$32*$Z45)+'LINEST VARS'!$I$54*($AQ$32*4)+'LINEST VARS'!$H$54*($AQ$32*0.5)+'LINEST VARS'!$G$54*($AQ$32*12.73)+'LINEST VARS'!$F$54*($Z45*4)+'LINEST VARS'!$E$54*($Z45*0.5)+'LINEST VARS'!$D$54*($Z45*12.73)+'LINEST VARS'!$C$54*(4*0.5)+'LINEST VARS'!$B$54*(4*12.73)+'LINEST VARS'!$A$54*(0.5*12.73)</f>
        <v>3.9749999999999996</v>
      </c>
      <c r="AR45" s="51">
        <f>'LINEST VARS'!$U$54+'LINEST VARS'!$T$54*($AR$32)+'LINEST VARS'!$S$54*($Z45)+'LINEST VARS'!$R$54*(4)+'LINEST VARS'!$Q$54*(0.5)+'LINEST VARS'!$P$54*(12.73)+'LINEST VARS'!$O$54*($AR$32^2)+'LINEST VARS'!$N$54*($Z45^2)+'LINEST VARS'!$M$54*(4^2)+'LINEST VARS'!$L$54*(0.5^2)+'LINEST VARS'!$K$54*(12.73^2)+'LINEST VARS'!$J$54*($AR$32*$Z45)+'LINEST VARS'!$I$54*($AR$32*4)+'LINEST VARS'!$H$54*($AR$32*0.5)+'LINEST VARS'!$G$54*($AR$32*12.73)+'LINEST VARS'!$F$54*($Z45*4)+'LINEST VARS'!$E$54*($Z45*0.5)+'LINEST VARS'!$D$54*($Z45*12.73)+'LINEST VARS'!$C$54*(4*0.5)+'LINEST VARS'!$B$54*(4*12.73)+'LINEST VARS'!$A$54*(0.5*12.73)</f>
        <v>3.9749999999999996</v>
      </c>
      <c r="AS45" s="51">
        <f>'LINEST VARS'!$U$54+'LINEST VARS'!$T$54*($AS$32)+'LINEST VARS'!$S$54*($Z45)+'LINEST VARS'!$R$54*(4)+'LINEST VARS'!$Q$54*(0.5)+'LINEST VARS'!$P$54*(12.73)+'LINEST VARS'!$O$54*($AS$32^2)+'LINEST VARS'!$N$54*($Z45^2)+'LINEST VARS'!$M$54*(4^2)+'LINEST VARS'!$L$54*(0.5^2)+'LINEST VARS'!$K$54*(12.73^2)+'LINEST VARS'!$J$54*($AS$32*$Z45)+'LINEST VARS'!$I$54*($AS$32*4)+'LINEST VARS'!$H$54*($AS$32*0.5)+'LINEST VARS'!$G$54*($AS$32*12.73)+'LINEST VARS'!$F$54*($Z45*4)+'LINEST VARS'!$E$54*($Z45*0.5)+'LINEST VARS'!$D$54*($Z45*12.73)+'LINEST VARS'!$C$54*(4*0.5)+'LINEST VARS'!$B$54*(4*12.73)+'LINEST VARS'!$A$54*(0.5*12.73)</f>
        <v>3.9749999999999996</v>
      </c>
      <c r="AT45" s="51">
        <f>'LINEST VARS'!$U$54+'LINEST VARS'!$T$54*($AT$32)+'LINEST VARS'!$S$54*($Z45)+'LINEST VARS'!$R$54*(4)+'LINEST VARS'!$Q$54*(0.5)+'LINEST VARS'!$P$54*(12.73)+'LINEST VARS'!$O$54*($AT$32^2)+'LINEST VARS'!$N$54*($Z45^2)+'LINEST VARS'!$M$54*(4^2)+'LINEST VARS'!$L$54*(0.5^2)+'LINEST VARS'!$K$54*(12.73^2)+'LINEST VARS'!$J$54*($AT$32*$Z45)+'LINEST VARS'!$I$54*($AT$32*4)+'LINEST VARS'!$H$54*($AT$32*0.5)+'LINEST VARS'!$G$54*($AT$32*12.73)+'LINEST VARS'!$F$54*($Z45*4)+'LINEST VARS'!$E$54*($Z45*0.5)+'LINEST VARS'!$D$54*($Z45*12.73)+'LINEST VARS'!$C$54*(4*0.5)+'LINEST VARS'!$B$54*(4*12.73)+'LINEST VARS'!$A$54*(0.5*12.73)</f>
        <v>3.9750000000000001</v>
      </c>
      <c r="AU45" s="52">
        <f>'LINEST VARS'!$U$54+'LINEST VARS'!$T$54*($AU$32)+'LINEST VARS'!$S$54*($Z45)+'LINEST VARS'!$R$54*(4)+'LINEST VARS'!$Q$54*(0.5)+'LINEST VARS'!$P$54*(12.73)+'LINEST VARS'!$O$54*($AU$32^2)+'LINEST VARS'!$N$54*($Z45^2)+'LINEST VARS'!$M$54*(4^2)+'LINEST VARS'!$L$54*(0.5^2)+'LINEST VARS'!$K$54*(12.73^2)+'LINEST VARS'!$J$54*($AU$32*$Z45)+'LINEST VARS'!$I$54*($AU$32*4)+'LINEST VARS'!$H$54*($AU$32*0.5)+'LINEST VARS'!$G$54*($AU$32*12.73)+'LINEST VARS'!$F$54*($Z45*4)+'LINEST VARS'!$E$54*($Z45*0.5)+'LINEST VARS'!$D$54*($Z45*12.73)+'LINEST VARS'!$C$54*(4*0.5)+'LINEST VARS'!$B$54*(4*12.73)+'LINEST VARS'!$A$54*(0.5*12.73)</f>
        <v>3.9750000000000001</v>
      </c>
      <c r="AZ45" s="45">
        <v>0.6</v>
      </c>
      <c r="BA45" s="51">
        <f>'LINEST VARS'!$U$52+'LINEST VARS'!$T$52*(8)+'LINEST VARS'!$S$52*(8)+'LINEST VARS'!$R$52*($BA$32)+'LINEST VARS'!$Q$52*($AZ45)+'LINEST VARS'!$P$52*(12.73)+'LINEST VARS'!$O$52*(8^2)+'LINEST VARS'!$N$52*(8^2)+'LINEST VARS'!$M$52*($BA$32^2)+'LINEST VARS'!$L$52*($AZ45^2)+'LINEST VARS'!$K$52*(12.73^2)+'LINEST VARS'!$J$52*(8*8)+'LINEST VARS'!$I$52*(8*$BA$32)+'LINEST VARS'!$H$52*(8*$AZ45)+'LINEST VARS'!$G$52*(8*12.73)+'LINEST VARS'!$F$52*(8*$BA$32)+'LINEST VARS'!$E$52*(8*$AZ45)+'LINEST VARS'!$D$52*(8*12.73)+'LINEST VARS'!$C$52*($BA$32*$AZ45)+'LINEST VARS'!$B$52*($BA$32*12.73)+'LINEST VARS'!$A$52*($AZ45*12.73)</f>
        <v>4.4399999999999986</v>
      </c>
      <c r="BB45" s="51">
        <f>'LINEST VARS'!$U$52+'LINEST VARS'!$T$52*(8)+'LINEST VARS'!$S$52*(8)+'LINEST VARS'!$R$52*($BB$32)+'LINEST VARS'!$Q$52*($AZ45)+'LINEST VARS'!$P$52*(12.73)+'LINEST VARS'!$O$52*(8^2)+'LINEST VARS'!$N$52*(8^2)+'LINEST VARS'!$M$52*($BB$32^2)+'LINEST VARS'!$L$52*($AZ45^2)+'LINEST VARS'!$K$52*(12.73^2)+'LINEST VARS'!$J$52*(8*8)+'LINEST VARS'!$I$52*(8*$BB$32)+'LINEST VARS'!$H$52*(8*$AZ45)+'LINEST VARS'!$G$52*(8*12.73)+'LINEST VARS'!$F$52*(8*$BB$32)+'LINEST VARS'!$E$52*(8*$AZ45)+'LINEST VARS'!$D$52*(8*12.73)+'LINEST VARS'!$C$52*($BB$32*$AZ45)+'LINEST VARS'!$B$52*($BB$32*12.73)+'LINEST VARS'!$A$52*($AZ45*12.73)</f>
        <v>4.4399999999999986</v>
      </c>
      <c r="BC45" s="51">
        <f>'LINEST VARS'!$U$52+'LINEST VARS'!$T$52*(8)+'LINEST VARS'!$S$52*(8)+'LINEST VARS'!$R$52*($BC$32)+'LINEST VARS'!$Q$52*($AZ45)+'LINEST VARS'!$P$52*(12.73)+'LINEST VARS'!$O$52*(8^2)+'LINEST VARS'!$N$52*(8^2)+'LINEST VARS'!$M$52*($BC$32^2)+'LINEST VARS'!$L$52*($AZ45^2)+'LINEST VARS'!$K$52*(12.73^2)+'LINEST VARS'!$J$52*(8*8)+'LINEST VARS'!$I$52*(8*$BC$32)+'LINEST VARS'!$H$52*(8*$AZ45)+'LINEST VARS'!$G$52*(8*12.73)+'LINEST VARS'!$F$52*(8*$BC$32)+'LINEST VARS'!$E$52*(8*$AZ45)+'LINEST VARS'!$D$52*(8*12.73)+'LINEST VARS'!$C$52*($BC$32*$AZ45)+'LINEST VARS'!$B$52*($BC$32*12.73)+'LINEST VARS'!$A$52*($AZ45*12.73)</f>
        <v>4.4399999999999986</v>
      </c>
      <c r="BD45" s="51">
        <f>'LINEST VARS'!$U$52+'LINEST VARS'!$T$52*(8)+'LINEST VARS'!$S$52*(8)+'LINEST VARS'!$R$52*($BD$32)+'LINEST VARS'!$Q$52*($AZ45)+'LINEST VARS'!$P$52*(12.73)+'LINEST VARS'!$O$52*(8^2)+'LINEST VARS'!$N$52*(8^2)+'LINEST VARS'!$M$52*($BD$32^2)+'LINEST VARS'!$L$52*($AZ45^2)+'LINEST VARS'!$K$52*(12.73^2)+'LINEST VARS'!$J$52*(8*8)+'LINEST VARS'!$I$52*(8*$BD$32)+'LINEST VARS'!$H$52*(8*$AZ45)+'LINEST VARS'!$G$52*(8*12.73)+'LINEST VARS'!$F$52*(8*$BD$32)+'LINEST VARS'!$E$52*(8*$AZ45)+'LINEST VARS'!$D$52*(8*12.73)+'LINEST VARS'!$C$52*($BD$32*$AZ45)+'LINEST VARS'!$B$52*($BD$32*12.73)+'LINEST VARS'!$A$52*($AZ45*12.73)</f>
        <v>4.4399999999999986</v>
      </c>
      <c r="BE45" s="51">
        <f>'LINEST VARS'!$U$52+'LINEST VARS'!$T$52*(8)+'LINEST VARS'!$S$52*(8)+'LINEST VARS'!$R$52*($BE$32)+'LINEST VARS'!$Q$52*($AZ45)+'LINEST VARS'!$P$52*(12.73)+'LINEST VARS'!$O$52*(8^2)+'LINEST VARS'!$N$52*(8^2)+'LINEST VARS'!$M$52*($BE$32^2)+'LINEST VARS'!$L$52*($AZ45^2)+'LINEST VARS'!$K$52*(12.73^2)+'LINEST VARS'!$J$52*(8*8)+'LINEST VARS'!$I$52*(8*$BE$32)+'LINEST VARS'!$H$52*(8*$AZ45)+'LINEST VARS'!$G$52*(8*12.73)+'LINEST VARS'!$F$52*(8*$BE$32)+'LINEST VARS'!$E$52*(8*$AZ45)+'LINEST VARS'!$D$52*(8*12.73)+'LINEST VARS'!$C$52*($BE$32*$AZ45)+'LINEST VARS'!$B$52*($BE$32*12.73)+'LINEST VARS'!$A$52*($AZ45*12.73)</f>
        <v>4.4399999999999986</v>
      </c>
      <c r="BF45" s="51">
        <f>'LINEST VARS'!$U$52+'LINEST VARS'!$T$52*(8)+'LINEST VARS'!$S$52*(8)+'LINEST VARS'!$R$52*($BF$32)+'LINEST VARS'!$Q$52*($AZ45)+'LINEST VARS'!$P$52*(12.73)+'LINEST VARS'!$O$52*(8^2)+'LINEST VARS'!$N$52*(8^2)+'LINEST VARS'!$M$52*($BF$32^2)+'LINEST VARS'!$L$52*($AZ45^2)+'LINEST VARS'!$K$52*(12.73^2)+'LINEST VARS'!$J$52*(8*8)+'LINEST VARS'!$I$52*(8*$BF$32)+'LINEST VARS'!$H$52*(8*$AZ45)+'LINEST VARS'!$G$52*(8*12.73)+'LINEST VARS'!$F$52*(8*$BF$32)+'LINEST VARS'!$E$52*(8*$AZ45)+'LINEST VARS'!$D$52*(8*12.73)+'LINEST VARS'!$C$52*($BF$32*$AZ45)+'LINEST VARS'!$B$52*($BF$32*12.73)+'LINEST VARS'!$A$52*($AZ45*12.73)</f>
        <v>4.4399999999999986</v>
      </c>
      <c r="BG45" s="51">
        <f>'LINEST VARS'!$U$52+'LINEST VARS'!$T$52*(8)+'LINEST VARS'!$S$52*(8)+'LINEST VARS'!$R$52*($BG$32)+'LINEST VARS'!$Q$52*($AZ45)+'LINEST VARS'!$P$52*(12.73)+'LINEST VARS'!$O$52*(8^2)+'LINEST VARS'!$N$52*(8^2)+'LINEST VARS'!$M$52*($BG$32^2)+'LINEST VARS'!$L$52*($AZ45^2)+'LINEST VARS'!$K$52*(12.73^2)+'LINEST VARS'!$J$52*(8*8)+'LINEST VARS'!$I$52*(8*$BG$32)+'LINEST VARS'!$H$52*(8*$AZ45)+'LINEST VARS'!$G$52*(8*12.73)+'LINEST VARS'!$F$52*(8*$BG$32)+'LINEST VARS'!$E$52*(8*$AZ45)+'LINEST VARS'!$D$52*(8*12.73)+'LINEST VARS'!$C$52*($BG$32*$AZ45)+'LINEST VARS'!$B$52*($BG$32*12.73)+'LINEST VARS'!$A$52*($AZ45*12.73)</f>
        <v>4.4399999999999986</v>
      </c>
      <c r="BH45" s="51">
        <f>'LINEST VARS'!$U$52+'LINEST VARS'!$T$52*(8)+'LINEST VARS'!$S$52*(8)+'LINEST VARS'!$R$52*($BH$32)+'LINEST VARS'!$Q$52*($AZ45)+'LINEST VARS'!$P$52*(12.73)+'LINEST VARS'!$O$52*(8^2)+'LINEST VARS'!$N$52*(8^2)+'LINEST VARS'!$M$52*($BH$32^2)+'LINEST VARS'!$L$52*($AZ45^2)+'LINEST VARS'!$K$52*(12.73^2)+'LINEST VARS'!$J$52*(8*8)+'LINEST VARS'!$I$52*(8*$BH$32)+'LINEST VARS'!$H$52*(8*$AZ45)+'LINEST VARS'!$G$52*(8*12.73)+'LINEST VARS'!$F$52*(8*$BH$32)+'LINEST VARS'!$E$52*(8*$AZ45)+'LINEST VARS'!$D$52*(8*12.73)+'LINEST VARS'!$C$52*($BH$32*$AZ45)+'LINEST VARS'!$B$52*($BH$32*12.73)+'LINEST VARS'!$A$52*($AZ45*12.73)</f>
        <v>4.4399999999999986</v>
      </c>
      <c r="BI45" s="51">
        <f>'LINEST VARS'!$U$52+'LINEST VARS'!$T$52*(8)+'LINEST VARS'!$S$52*(8)+'LINEST VARS'!$R$52*($BI$32)+'LINEST VARS'!$Q$52*($AZ45)+'LINEST VARS'!$P$52*(12.73)+'LINEST VARS'!$O$52*(8^2)+'LINEST VARS'!$N$52*(8^2)+'LINEST VARS'!$M$52*($BI$32^2)+'LINEST VARS'!$L$52*($AZ45^2)+'LINEST VARS'!$K$52*(12.73^2)+'LINEST VARS'!$J$52*(8*8)+'LINEST VARS'!$I$52*(8*$BI$32)+'LINEST VARS'!$H$52*(8*$AZ45)+'LINEST VARS'!$G$52*(8*12.73)+'LINEST VARS'!$F$52*(8*$BI$32)+'LINEST VARS'!$E$52*(8*$AZ45)+'LINEST VARS'!$D$52*(8*12.73)+'LINEST VARS'!$C$52*($BI$32*$AZ45)+'LINEST VARS'!$B$52*($BI$32*12.73)+'LINEST VARS'!$A$52*($AZ45*12.73)</f>
        <v>4.4399999999999986</v>
      </c>
      <c r="BJ45" s="51">
        <f>'LINEST VARS'!$U$52+'LINEST VARS'!$T$52*(8)+'LINEST VARS'!$S$52*(8)+'LINEST VARS'!$R$52*($BJ$32)+'LINEST VARS'!$Q$52*($AZ45)+'LINEST VARS'!$P$52*(12.73)+'LINEST VARS'!$O$52*(8^2)+'LINEST VARS'!$N$52*(8^2)+'LINEST VARS'!$M$52*($BJ$32^2)+'LINEST VARS'!$L$52*($AZ45^2)+'LINEST VARS'!$K$52*(12.73^2)+'LINEST VARS'!$J$52*(8*8)+'LINEST VARS'!$I$52*(8*$BJ$32)+'LINEST VARS'!$H$52*(8*$AZ45)+'LINEST VARS'!$G$52*(8*12.73)+'LINEST VARS'!$F$52*(8*$BJ$32)+'LINEST VARS'!$E$52*(8*$AZ45)+'LINEST VARS'!$D$52*(8*12.73)+'LINEST VARS'!$C$52*($BJ$32*$AZ45)+'LINEST VARS'!$B$52*($BJ$32*12.73)+'LINEST VARS'!$A$52*($AZ45*12.73)</f>
        <v>4.4399999999999986</v>
      </c>
      <c r="BK45" s="51">
        <f>'LINEST VARS'!$U$52+'LINEST VARS'!$T$52*(8)+'LINEST VARS'!$S$52*(8)+'LINEST VARS'!$R$52*($BK$32)+'LINEST VARS'!$Q$52*($AZ45)+'LINEST VARS'!$P$52*(12.73)+'LINEST VARS'!$O$52*(8^2)+'LINEST VARS'!$N$52*(8^2)+'LINEST VARS'!$M$52*($BK$32^2)+'LINEST VARS'!$L$52*($AZ45^2)+'LINEST VARS'!$K$52*(12.73^2)+'LINEST VARS'!$J$52*(8*8)+'LINEST VARS'!$I$52*(8*$BK$32)+'LINEST VARS'!$H$52*(8*$AZ45)+'LINEST VARS'!$G$52*(8*12.73)+'LINEST VARS'!$F$52*(8*$BK$32)+'LINEST VARS'!$E$52*(8*$AZ45)+'LINEST VARS'!$D$52*(8*12.73)+'LINEST VARS'!$C$52*($BK$32*$AZ45)+'LINEST VARS'!$B$52*($BK$32*12.73)+'LINEST VARS'!$A$52*($AZ45*12.73)</f>
        <v>4.4399999999999986</v>
      </c>
      <c r="BL45" s="51">
        <f>'LINEST VARS'!$U$52+'LINEST VARS'!$T$52*(8)+'LINEST VARS'!$S$52*(8)+'LINEST VARS'!$R$52*($BL$32)+'LINEST VARS'!$Q$52*($AZ45)+'LINEST VARS'!$P$52*(12.73)+'LINEST VARS'!$O$52*(8^2)+'LINEST VARS'!$N$52*(8^2)+'LINEST VARS'!$M$52*($BL$32^2)+'LINEST VARS'!$L$52*($AZ45^2)+'LINEST VARS'!$K$52*(12.73^2)+'LINEST VARS'!$J$52*(8*8)+'LINEST VARS'!$I$52*(8*$BL$32)+'LINEST VARS'!$H$52*(8*$AZ45)+'LINEST VARS'!$G$52*(8*12.73)+'LINEST VARS'!$F$52*(8*$BL$32)+'LINEST VARS'!$E$52*(8*$AZ45)+'LINEST VARS'!$D$52*(8*12.73)+'LINEST VARS'!$C$52*($BL$32*$AZ45)+'LINEST VARS'!$B$52*($BL$32*12.73)+'LINEST VARS'!$A$52*($AZ45*12.73)</f>
        <v>4.4399999999999986</v>
      </c>
      <c r="BM45" s="51">
        <f>'LINEST VARS'!$U$52+'LINEST VARS'!$T$52*(8)+'LINEST VARS'!$S$52*(8)+'LINEST VARS'!$R$52*($BM$32)+'LINEST VARS'!$Q$52*($AZ45)+'LINEST VARS'!$P$52*(12.73)+'LINEST VARS'!$O$52*(8^2)+'LINEST VARS'!$N$52*(8^2)+'LINEST VARS'!$M$52*($BM$32^2)+'LINEST VARS'!$L$52*($AZ45^2)+'LINEST VARS'!$K$52*(12.73^2)+'LINEST VARS'!$J$52*(8*8)+'LINEST VARS'!$I$52*(8*$BM$32)+'LINEST VARS'!$H$52*(8*$AZ45)+'LINEST VARS'!$G$52*(8*12.73)+'LINEST VARS'!$F$52*(8*$BM$32)+'LINEST VARS'!$E$52*(8*$AZ45)+'LINEST VARS'!$D$52*(8*12.73)+'LINEST VARS'!$C$52*($BM$32*$AZ45)+'LINEST VARS'!$B$52*($BM$32*12.73)+'LINEST VARS'!$A$52*($AZ45*12.73)</f>
        <v>4.4399999999999986</v>
      </c>
      <c r="BN45" s="51">
        <f>'LINEST VARS'!$U$52+'LINEST VARS'!$T$52*(8)+'LINEST VARS'!$S$52*(8)+'LINEST VARS'!$R$52*($BN$32)+'LINEST VARS'!$Q$52*($AZ45)+'LINEST VARS'!$P$52*(12.73)+'LINEST VARS'!$O$52*(8^2)+'LINEST VARS'!$N$52*(8^2)+'LINEST VARS'!$M$52*($BN$32^2)+'LINEST VARS'!$L$52*($AZ45^2)+'LINEST VARS'!$K$52*(12.73^2)+'LINEST VARS'!$J$52*(8*8)+'LINEST VARS'!$I$52*(8*$BN$32)+'LINEST VARS'!$H$52*(8*$AZ45)+'LINEST VARS'!$G$52*(8*12.73)+'LINEST VARS'!$F$52*(8*$BN$32)+'LINEST VARS'!$E$52*(8*$AZ45)+'LINEST VARS'!$D$52*(8*12.73)+'LINEST VARS'!$C$52*($BN$32*$AZ45)+'LINEST VARS'!$B$52*($BN$32*12.73)+'LINEST VARS'!$A$52*($AZ45*12.73)</f>
        <v>4.4399999999999986</v>
      </c>
      <c r="BO45" s="51">
        <f>'LINEST VARS'!$U$52+'LINEST VARS'!$T$52*(8)+'LINEST VARS'!$S$52*(8)+'LINEST VARS'!$R$52*($BO$32)+'LINEST VARS'!$Q$52*($AZ45)+'LINEST VARS'!$P$52*(12.73)+'LINEST VARS'!$O$52*(8^2)+'LINEST VARS'!$N$52*(8^2)+'LINEST VARS'!$M$52*($BO$32^2)+'LINEST VARS'!$L$52*($AZ45^2)+'LINEST VARS'!$K$52*(12.73^2)+'LINEST VARS'!$J$52*(8*8)+'LINEST VARS'!$I$52*(8*$BO$32)+'LINEST VARS'!$H$52*(8*$AZ45)+'LINEST VARS'!$G$52*(8*12.73)+'LINEST VARS'!$F$52*(8*$BO$32)+'LINEST VARS'!$E$52*(8*$AZ45)+'LINEST VARS'!$D$52*(8*12.73)+'LINEST VARS'!$C$52*($BO$32*$AZ45)+'LINEST VARS'!$B$52*($BO$32*12.73)+'LINEST VARS'!$A$52*($AZ45*12.73)</f>
        <v>4.4399999999999986</v>
      </c>
      <c r="BP45" s="51">
        <f>'LINEST VARS'!$U$52+'LINEST VARS'!$T$52*(8)+'LINEST VARS'!$S$52*(8)+'LINEST VARS'!$R$52*($BP$32)+'LINEST VARS'!$Q$52*($AZ45)+'LINEST VARS'!$P$52*(12.73)+'LINEST VARS'!$O$52*(8^2)+'LINEST VARS'!$N$52*(8^2)+'LINEST VARS'!$M$52*($BP$32^2)+'LINEST VARS'!$L$52*($AZ45^2)+'LINEST VARS'!$K$52*(12.73^2)+'LINEST VARS'!$J$52*(8*8)+'LINEST VARS'!$I$52*(8*$BP$32)+'LINEST VARS'!$H$52*(8*$AZ45)+'LINEST VARS'!$G$52*(8*12.73)+'LINEST VARS'!$F$52*(8*$BP$32)+'LINEST VARS'!$E$52*(8*$AZ45)+'LINEST VARS'!$D$52*(8*12.73)+'LINEST VARS'!$C$52*($BP$32*$AZ45)+'LINEST VARS'!$B$52*($BP$32*12.73)+'LINEST VARS'!$A$52*($AZ45*12.73)</f>
        <v>4.4399999999999986</v>
      </c>
      <c r="BQ45" s="51">
        <f>'LINEST VARS'!$U$52+'LINEST VARS'!$T$52*(8)+'LINEST VARS'!$S$52*(8)+'LINEST VARS'!$R$52*($BQ$32)+'LINEST VARS'!$Q$52*($AZ45)+'LINEST VARS'!$P$52*(12.73)+'LINEST VARS'!$O$52*(8^2)+'LINEST VARS'!$N$52*(8^2)+'LINEST VARS'!$M$52*($BQ$32^2)+'LINEST VARS'!$L$52*($AZ45^2)+'LINEST VARS'!$K$52*(12.73^2)+'LINEST VARS'!$J$52*(8*8)+'LINEST VARS'!$I$52*(8*$BQ$32)+'LINEST VARS'!$H$52*(8*$AZ45)+'LINEST VARS'!$G$52*(8*12.73)+'LINEST VARS'!$F$52*(8*$BQ$32)+'LINEST VARS'!$E$52*(8*$AZ45)+'LINEST VARS'!$D$52*(8*12.73)+'LINEST VARS'!$C$52*($BQ$32*$AZ45)+'LINEST VARS'!$B$52*($BQ$32*12.73)+'LINEST VARS'!$A$52*($AZ45*12.73)</f>
        <v>4.4399999999999986</v>
      </c>
      <c r="BR45" s="51">
        <f>'LINEST VARS'!$U$52+'LINEST VARS'!$T$52*(8)+'LINEST VARS'!$S$52*(8)+'LINEST VARS'!$R$52*($BR$32)+'LINEST VARS'!$Q$52*($AZ45)+'LINEST VARS'!$P$52*(12.73)+'LINEST VARS'!$O$52*(8^2)+'LINEST VARS'!$N$52*(8^2)+'LINEST VARS'!$M$52*($BR$32^2)+'LINEST VARS'!$L$52*($AZ45^2)+'LINEST VARS'!$K$52*(12.73^2)+'LINEST VARS'!$J$52*(8*8)+'LINEST VARS'!$I$52*(8*$BR$32)+'LINEST VARS'!$H$52*(8*$AZ45)+'LINEST VARS'!$G$52*(8*12.73)+'LINEST VARS'!$F$52*(8*$BR$32)+'LINEST VARS'!$E$52*(8*$AZ45)+'LINEST VARS'!$D$52*(8*12.73)+'LINEST VARS'!$C$52*($BR$32*$AZ45)+'LINEST VARS'!$B$52*($BR$32*12.73)+'LINEST VARS'!$A$52*($AZ45*12.73)</f>
        <v>4.4399999999999986</v>
      </c>
      <c r="BS45" s="51">
        <f>'LINEST VARS'!$U$52+'LINEST VARS'!$T$52*(8)+'LINEST VARS'!$S$52*(8)+'LINEST VARS'!$R$52*($BS$32)+'LINEST VARS'!$Q$52*($AZ45)+'LINEST VARS'!$P$52*(12.73)+'LINEST VARS'!$O$52*(8^2)+'LINEST VARS'!$N$52*(8^2)+'LINEST VARS'!$M$52*($BS$32^2)+'LINEST VARS'!$L$52*($AZ45^2)+'LINEST VARS'!$K$52*(12.73^2)+'LINEST VARS'!$J$52*(8*8)+'LINEST VARS'!$I$52*(8*$BS$32)+'LINEST VARS'!$H$52*(8*$AZ45)+'LINEST VARS'!$G$52*(8*12.73)+'LINEST VARS'!$F$52*(8*$BS$32)+'LINEST VARS'!$E$52*(8*$AZ45)+'LINEST VARS'!$D$52*(8*12.73)+'LINEST VARS'!$C$52*($BS$32*$AZ45)+'LINEST VARS'!$B$52*($BS$32*12.73)+'LINEST VARS'!$A$52*($AZ45*12.73)</f>
        <v>4.4399999999999986</v>
      </c>
      <c r="BT45" s="51">
        <f>'LINEST VARS'!$U$52+'LINEST VARS'!$T$52*(8)+'LINEST VARS'!$S$52*(8)+'LINEST VARS'!$R$52*($BT$32)+'LINEST VARS'!$Q$52*($AZ45)+'LINEST VARS'!$P$52*(12.73)+'LINEST VARS'!$O$52*(8^2)+'LINEST VARS'!$N$52*(8^2)+'LINEST VARS'!$M$52*($BT$32^2)+'LINEST VARS'!$L$52*($AZ45^2)+'LINEST VARS'!$K$52*(12.73^2)+'LINEST VARS'!$J$52*(8*8)+'LINEST VARS'!$I$52*(8*$BT$32)+'LINEST VARS'!$H$52*(8*$AZ45)+'LINEST VARS'!$G$52*(8*12.73)+'LINEST VARS'!$F$52*(8*$BT$32)+'LINEST VARS'!$E$52*(8*$AZ45)+'LINEST VARS'!$D$52*(8*12.73)+'LINEST VARS'!$C$52*($BT$32*$AZ45)+'LINEST VARS'!$B$52*($BT$32*12.73)+'LINEST VARS'!$A$52*($AZ45*12.73)</f>
        <v>4.4399999999999986</v>
      </c>
      <c r="BU45" s="52">
        <f>'LINEST VARS'!$U$52+'LINEST VARS'!$T$52*(8)+'LINEST VARS'!$S$52*(8)+'LINEST VARS'!$R$52*($BU$32)+'LINEST VARS'!$Q$52*($AZ45)+'LINEST VARS'!$P$52*(12.73)+'LINEST VARS'!$O$52*(8^2)+'LINEST VARS'!$N$52*(8^2)+'LINEST VARS'!$M$52*($BU$32^2)+'LINEST VARS'!$L$52*($AZ45^2)+'LINEST VARS'!$K$52*(12.73^2)+'LINEST VARS'!$J$52*(8*8)+'LINEST VARS'!$I$52*(8*$BU$32)+'LINEST VARS'!$H$52*(8*$AZ45)+'LINEST VARS'!$G$52*(8*12.73)+'LINEST VARS'!$F$52*(8*$BU$32)+'LINEST VARS'!$E$52*(8*$AZ45)+'LINEST VARS'!$D$52*(8*12.73)+'LINEST VARS'!$C$52*($BU$32*$AZ45)+'LINEST VARS'!$B$52*($BU$32*12.73)+'LINEST VARS'!$A$52*($AZ45*12.73)</f>
        <v>4.4399999999999986</v>
      </c>
      <c r="BX45" s="45">
        <v>0.6</v>
      </c>
      <c r="BY45" s="51">
        <f>'LINEST VARS'!$U$54+'LINEST VARS'!$T$54*(8)+'LINEST VARS'!$S$54*(8)+'LINEST VARS'!$R$54*($BY$32)+'LINEST VARS'!$Q$54*($BX45)+'LINEST VARS'!$P$54*(12.73)+'LINEST VARS'!$O$54*(8^2)+'LINEST VARS'!$N$54*(8^2)+'LINEST VARS'!$M$54*($BY$32^2)+'LINEST VARS'!$L$54*($BX45^2)+'LINEST VARS'!$K$54*(12.73^2)+'LINEST VARS'!$J$54*(8*8)+'LINEST VARS'!$I$54*(8*$BY$32)+'LINEST VARS'!$H$54*(8*$BX45)+'LINEST VARS'!$G$54*(8*12.73)+'LINEST VARS'!$F$54*(8*$BY$32)+'LINEST VARS'!$E$54*(8*$BX45)+'LINEST VARS'!$D$54*(8*12.73)+'LINEST VARS'!$C$54*($BY$32*$BX45)+'LINEST VARS'!$B$54*($BY$32*12.73)+'LINEST VARS'!$A$54*($BX45*12.73)</f>
        <v>3.9699999999999998</v>
      </c>
      <c r="BZ45" s="51">
        <f>'LINEST VARS'!$U$54+'LINEST VARS'!$T$54*(8)+'LINEST VARS'!$S$54*(8)+'LINEST VARS'!$R$54*($BZ$32)+'LINEST VARS'!$Q$54*($BX45)+'LINEST VARS'!$P$54*(12.73)+'LINEST VARS'!$O$54*(8^2)+'LINEST VARS'!$N$54*(8^2)+'LINEST VARS'!$M$54*($BZ$32^2)+'LINEST VARS'!$L$54*($BX45^2)+'LINEST VARS'!$K$54*(12.73^2)+'LINEST VARS'!$J$54*(8*8)+'LINEST VARS'!$I$54*(8*$BZ$32)+'LINEST VARS'!$H$54*(8*$BX45)+'LINEST VARS'!$G$54*(8*12.73)+'LINEST VARS'!$F$54*(8*$BZ$32)+'LINEST VARS'!$E$54*(8*$BX45)+'LINEST VARS'!$D$54*(8*12.73)+'LINEST VARS'!$C$54*($BZ$32*$BX45)+'LINEST VARS'!$B$54*($BZ$32*12.73)+'LINEST VARS'!$A$54*($BX45*12.73)</f>
        <v>3.9699999999999998</v>
      </c>
      <c r="CA45" s="51">
        <f>'LINEST VARS'!$U$54+'LINEST VARS'!$T$54*(8)+'LINEST VARS'!$S$54*(8)+'LINEST VARS'!$R$54*($CA$32)+'LINEST VARS'!$Q$54*($BX45)+'LINEST VARS'!$P$54*(12.73)+'LINEST VARS'!$O$54*(8^2)+'LINEST VARS'!$N$54*(8^2)+'LINEST VARS'!$M$54*($CA$32^2)+'LINEST VARS'!$L$54*($BX45^2)+'LINEST VARS'!$K$54*(12.73^2)+'LINEST VARS'!$J$54*(8*8)+'LINEST VARS'!$I$54*(8*$CA$32)+'LINEST VARS'!$H$54*(8*$BX45)+'LINEST VARS'!$G$54*(8*12.73)+'LINEST VARS'!$F$54*(8*$CA$32)+'LINEST VARS'!$E$54*(8*$BX45)+'LINEST VARS'!$D$54*(8*12.73)+'LINEST VARS'!$C$54*($CA$32*$BX45)+'LINEST VARS'!$B$54*($CA$32*12.73)+'LINEST VARS'!$A$54*($BX45*12.73)</f>
        <v>3.9699999999999998</v>
      </c>
      <c r="CB45" s="51">
        <f>'LINEST VARS'!$U$54+'LINEST VARS'!$T$54*(8)+'LINEST VARS'!$S$54*(8)+'LINEST VARS'!$R$54*($CB$32)+'LINEST VARS'!$Q$54*($BX45)+'LINEST VARS'!$P$54*(12.73)+'LINEST VARS'!$O$54*(8^2)+'LINEST VARS'!$N$54*(8^2)+'LINEST VARS'!$M$54*($CB$32^2)+'LINEST VARS'!$L$54*($BX45^2)+'LINEST VARS'!$K$54*(12.73^2)+'LINEST VARS'!$J$54*(8*8)+'LINEST VARS'!$I$54*(8*$CB$32)+'LINEST VARS'!$H$54*(8*$BX45)+'LINEST VARS'!$G$54*(8*12.73)+'LINEST VARS'!$F$54*(8*$CB$32)+'LINEST VARS'!$E$54*(8*$BX45)+'LINEST VARS'!$D$54*(8*12.73)+'LINEST VARS'!$C$54*($CB$32*$BX45)+'LINEST VARS'!$B$54*($CB$32*12.73)+'LINEST VARS'!$A$54*($BX45*12.73)</f>
        <v>3.9699999999999998</v>
      </c>
      <c r="CC45" s="51">
        <f>'LINEST VARS'!$U$54+'LINEST VARS'!$T$54*(8)+'LINEST VARS'!$S$54*(8)+'LINEST VARS'!$R$54*($CC$32)+'LINEST VARS'!$Q$54*($BX45)+'LINEST VARS'!$P$54*(12.73)+'LINEST VARS'!$O$54*(8^2)+'LINEST VARS'!$N$54*(8^2)+'LINEST VARS'!$M$54*($CC$32^2)+'LINEST VARS'!$L$54*($BX45^2)+'LINEST VARS'!$K$54*(12.73^2)+'LINEST VARS'!$J$54*(8*8)+'LINEST VARS'!$I$54*(8*$CC$32)+'LINEST VARS'!$H$54*(8*$BX45)+'LINEST VARS'!$G$54*(8*12.73)+'LINEST VARS'!$F$54*(8*$CC$32)+'LINEST VARS'!$E$54*(8*$BX45)+'LINEST VARS'!$D$54*(8*12.73)+'LINEST VARS'!$C$54*($CC$32*$BX45)+'LINEST VARS'!$B$54*($CC$32*12.73)+'LINEST VARS'!$A$54*($BX45*12.73)</f>
        <v>3.9699999999999998</v>
      </c>
      <c r="CD45" s="51">
        <f>'LINEST VARS'!$U$54+'LINEST VARS'!$T$54*(8)+'LINEST VARS'!$S$54*(8)+'LINEST VARS'!$R$54*($CD$32)+'LINEST VARS'!$Q$54*($BX45)+'LINEST VARS'!$P$54*(12.73)+'LINEST VARS'!$O$54*(8^2)+'LINEST VARS'!$N$54*(8^2)+'LINEST VARS'!$M$54*($CD$32^2)+'LINEST VARS'!$L$54*($BX45^2)+'LINEST VARS'!$K$54*(12.73^2)+'LINEST VARS'!$J$54*(8*8)+'LINEST VARS'!$I$54*(8*$CD$32)+'LINEST VARS'!$H$54*(8*$BX45)+'LINEST VARS'!$G$54*(8*12.73)+'LINEST VARS'!$F$54*(8*$CD$32)+'LINEST VARS'!$E$54*(8*$BX45)+'LINEST VARS'!$D$54*(8*12.73)+'LINEST VARS'!$C$54*($CD$32*$BX45)+'LINEST VARS'!$B$54*($CD$32*12.73)+'LINEST VARS'!$A$54*($BX45*12.73)</f>
        <v>3.9699999999999998</v>
      </c>
      <c r="CE45" s="51">
        <f>'LINEST VARS'!$U$54+'LINEST VARS'!$T$54*(8)+'LINEST VARS'!$S$54*(8)+'LINEST VARS'!$R$54*($CE$32)+'LINEST VARS'!$Q$54*($BX45)+'LINEST VARS'!$P$54*(12.73)+'LINEST VARS'!$O$54*(8^2)+'LINEST VARS'!$N$54*(8^2)+'LINEST VARS'!$M$54*($CE$32^2)+'LINEST VARS'!$L$54*($BX45^2)+'LINEST VARS'!$K$54*(12.73^2)+'LINEST VARS'!$J$54*(8*8)+'LINEST VARS'!$I$54*(8*$CE$32)+'LINEST VARS'!$H$54*(8*$BX45)+'LINEST VARS'!$G$54*(8*12.73)+'LINEST VARS'!$F$54*(8*$CE$32)+'LINEST VARS'!$E$54*(8*$BX45)+'LINEST VARS'!$D$54*(8*12.73)+'LINEST VARS'!$C$54*($CE$32*$BX45)+'LINEST VARS'!$B$54*($CE$32*12.73)+'LINEST VARS'!$A$54*($BX45*12.73)</f>
        <v>3.9699999999999998</v>
      </c>
      <c r="CF45" s="51">
        <f>'LINEST VARS'!$U$54+'LINEST VARS'!$T$54*(8)+'LINEST VARS'!$S$54*(8)+'LINEST VARS'!$R$54*($CF$32)+'LINEST VARS'!$Q$54*($BX45)+'LINEST VARS'!$P$54*(12.73)+'LINEST VARS'!$O$54*(8^2)+'LINEST VARS'!$N$54*(8^2)+'LINEST VARS'!$M$54*($CF$32^2)+'LINEST VARS'!$L$54*($BX45^2)+'LINEST VARS'!$K$54*(12.73^2)+'LINEST VARS'!$J$54*(8*8)+'LINEST VARS'!$I$54*(8*$CF$32)+'LINEST VARS'!$H$54*(8*$BX45)+'LINEST VARS'!$G$54*(8*12.73)+'LINEST VARS'!$F$54*(8*$CF$32)+'LINEST VARS'!$E$54*(8*$BX45)+'LINEST VARS'!$D$54*(8*12.73)+'LINEST VARS'!$C$54*($CF$32*$BX45)+'LINEST VARS'!$B$54*($CF$32*12.73)+'LINEST VARS'!$A$54*($BX45*12.73)</f>
        <v>3.9699999999999998</v>
      </c>
      <c r="CG45" s="51">
        <f>'LINEST VARS'!$U$54+'LINEST VARS'!$T$54*(8)+'LINEST VARS'!$S$54*(8)+'LINEST VARS'!$R$54*($CG$32)+'LINEST VARS'!$Q$54*($BX45)+'LINEST VARS'!$P$54*(12.73)+'LINEST VARS'!$O$54*(8^2)+'LINEST VARS'!$N$54*(8^2)+'LINEST VARS'!$M$54*($CG$32^2)+'LINEST VARS'!$L$54*($BX45^2)+'LINEST VARS'!$K$54*(12.73^2)+'LINEST VARS'!$J$54*(8*8)+'LINEST VARS'!$I$54*(8*$CG$32)+'LINEST VARS'!$H$54*(8*$BX45)+'LINEST VARS'!$G$54*(8*12.73)+'LINEST VARS'!$F$54*(8*$CG$32)+'LINEST VARS'!$E$54*(8*$BX45)+'LINEST VARS'!$D$54*(8*12.73)+'LINEST VARS'!$C$54*($CG$32*$BX45)+'LINEST VARS'!$B$54*($CG$32*12.73)+'LINEST VARS'!$A$54*($BX45*12.73)</f>
        <v>3.9699999999999998</v>
      </c>
      <c r="CH45" s="51">
        <f>'LINEST VARS'!$U$54+'LINEST VARS'!$T$54*(8)+'LINEST VARS'!$S$54*(8)+'LINEST VARS'!$R$54*($CH$32)+'LINEST VARS'!$Q$54*($BX45)+'LINEST VARS'!$P$54*(12.73)+'LINEST VARS'!$O$54*(8^2)+'LINEST VARS'!$N$54*(8^2)+'LINEST VARS'!$M$54*($CH$32^2)+'LINEST VARS'!$L$54*($BX45^2)+'LINEST VARS'!$K$54*(12.73^2)+'LINEST VARS'!$J$54*(8*8)+'LINEST VARS'!$I$54*(8*$CH$32)+'LINEST VARS'!$H$54*(8*$BX45)+'LINEST VARS'!$G$54*(8*12.73)+'LINEST VARS'!$F$54*(8*$CH$32)+'LINEST VARS'!$E$54*(8*$BX45)+'LINEST VARS'!$D$54*(8*12.73)+'LINEST VARS'!$C$54*($CH$32*$BX45)+'LINEST VARS'!$B$54*($CH$32*12.73)+'LINEST VARS'!$A$54*($BX45*12.73)</f>
        <v>3.9699999999999998</v>
      </c>
      <c r="CI45" s="51">
        <f>'LINEST VARS'!$U$54+'LINEST VARS'!$T$54*(8)+'LINEST VARS'!$S$54*(8)+'LINEST VARS'!$R$54*($CI$32)+'LINEST VARS'!$Q$54*($BX45)+'LINEST VARS'!$P$54*(12.73)+'LINEST VARS'!$O$54*(8^2)+'LINEST VARS'!$N$54*(8^2)+'LINEST VARS'!$M$54*($CI$32^2)+'LINEST VARS'!$L$54*($BX45^2)+'LINEST VARS'!$K$54*(12.73^2)+'LINEST VARS'!$J$54*(8*8)+'LINEST VARS'!$I$54*(8*$CI$32)+'LINEST VARS'!$H$54*(8*$BX45)+'LINEST VARS'!$G$54*(8*12.73)+'LINEST VARS'!$F$54*(8*$CI$32)+'LINEST VARS'!$E$54*(8*$BX45)+'LINEST VARS'!$D$54*(8*12.73)+'LINEST VARS'!$C$54*($CI$32*$BX45)+'LINEST VARS'!$B$54*($CI$32*12.73)+'LINEST VARS'!$A$54*($BX45*12.73)</f>
        <v>3.9699999999999998</v>
      </c>
      <c r="CJ45" s="51">
        <f>'LINEST VARS'!$U$54+'LINEST VARS'!$T$54*(8)+'LINEST VARS'!$S$54*(8)+'LINEST VARS'!$R$54*($CJ$32)+'LINEST VARS'!$Q$54*($BX45)+'LINEST VARS'!$P$54*(12.73)+'LINEST VARS'!$O$54*(8^2)+'LINEST VARS'!$N$54*(8^2)+'LINEST VARS'!$M$54*($CJ$32^2)+'LINEST VARS'!$L$54*($BX45^2)+'LINEST VARS'!$K$54*(12.73^2)+'LINEST VARS'!$J$54*(8*8)+'LINEST VARS'!$I$54*(8*$CJ$32)+'LINEST VARS'!$H$54*(8*$BX45)+'LINEST VARS'!$G$54*(8*12.73)+'LINEST VARS'!$F$54*(8*$CJ$32)+'LINEST VARS'!$E$54*(8*$BX45)+'LINEST VARS'!$D$54*(8*12.73)+'LINEST VARS'!$C$54*($CJ$32*$BX45)+'LINEST VARS'!$B$54*($CJ$32*12.73)+'LINEST VARS'!$A$54*($BX45*12.73)</f>
        <v>3.9699999999999998</v>
      </c>
      <c r="CK45" s="51">
        <f>'LINEST VARS'!$U$54+'LINEST VARS'!$T$54*(8)+'LINEST VARS'!$S$54*(8)+'LINEST VARS'!$R$54*($CK$32)+'LINEST VARS'!$Q$54*($BX45)+'LINEST VARS'!$P$54*(12.73)+'LINEST VARS'!$O$54*(8^2)+'LINEST VARS'!$N$54*(8^2)+'LINEST VARS'!$M$54*($CK$32^2)+'LINEST VARS'!$L$54*($BX45^2)+'LINEST VARS'!$K$54*(12.73^2)+'LINEST VARS'!$J$54*(8*8)+'LINEST VARS'!$I$54*(8*$CK$32)+'LINEST VARS'!$H$54*(8*$BX45)+'LINEST VARS'!$G$54*(8*12.73)+'LINEST VARS'!$F$54*(8*$CK$32)+'LINEST VARS'!$E$54*(8*$BX45)+'LINEST VARS'!$D$54*(8*12.73)+'LINEST VARS'!$C$54*($CK$32*$BX45)+'LINEST VARS'!$B$54*($CK$32*12.73)+'LINEST VARS'!$A$54*($BX45*12.73)</f>
        <v>3.9699999999999998</v>
      </c>
      <c r="CL45" s="51">
        <f>'LINEST VARS'!$U$54+'LINEST VARS'!$T$54*(8)+'LINEST VARS'!$S$54*(8)+'LINEST VARS'!$R$54*($CL$32)+'LINEST VARS'!$Q$54*($BX45)+'LINEST VARS'!$P$54*(12.73)+'LINEST VARS'!$O$54*(8^2)+'LINEST VARS'!$N$54*(8^2)+'LINEST VARS'!$M$54*($CL$32^2)+'LINEST VARS'!$L$54*($BX45^2)+'LINEST VARS'!$K$54*(12.73^2)+'LINEST VARS'!$J$54*(8*8)+'LINEST VARS'!$I$54*(8*$CL$32)+'LINEST VARS'!$H$54*(8*$BX45)+'LINEST VARS'!$G$54*(8*12.73)+'LINEST VARS'!$F$54*(8*$CL$32)+'LINEST VARS'!$E$54*(8*$BX45)+'LINEST VARS'!$D$54*(8*12.73)+'LINEST VARS'!$C$54*($CL$32*$BX45)+'LINEST VARS'!$B$54*($CL$32*12.73)+'LINEST VARS'!$A$54*($BX45*12.73)</f>
        <v>3.9699999999999998</v>
      </c>
      <c r="CM45" s="51">
        <f>'LINEST VARS'!$U$54+'LINEST VARS'!$T$54*(8)+'LINEST VARS'!$S$54*(8)+'LINEST VARS'!$R$54*($CM$32)+'LINEST VARS'!$Q$54*($BX45)+'LINEST VARS'!$P$54*(12.73)+'LINEST VARS'!$O$54*(8^2)+'LINEST VARS'!$N$54*(8^2)+'LINEST VARS'!$M$54*($CM$32^2)+'LINEST VARS'!$L$54*($BX45^2)+'LINEST VARS'!$K$54*(12.73^2)+'LINEST VARS'!$J$54*(8*8)+'LINEST VARS'!$I$54*(8*$CM$32)+'LINEST VARS'!$H$54*(8*$BX45)+'LINEST VARS'!$G$54*(8*12.73)+'LINEST VARS'!$F$54*(8*$CM$32)+'LINEST VARS'!$E$54*(8*$BX45)+'LINEST VARS'!$D$54*(8*12.73)+'LINEST VARS'!$C$54*($CM$32*$BX45)+'LINEST VARS'!$B$54*($CM$32*12.73)+'LINEST VARS'!$A$54*($BX45*12.73)</f>
        <v>3.9699999999999998</v>
      </c>
      <c r="CN45" s="51">
        <f>'LINEST VARS'!$U$54+'LINEST VARS'!$T$54*(8)+'LINEST VARS'!$S$54*(8)+'LINEST VARS'!$R$54*($CN$32)+'LINEST VARS'!$Q$54*($BX45)+'LINEST VARS'!$P$54*(12.73)+'LINEST VARS'!$O$54*(8^2)+'LINEST VARS'!$N$54*(8^2)+'LINEST VARS'!$M$54*($CN$32^2)+'LINEST VARS'!$L$54*($BX45^2)+'LINEST VARS'!$K$54*(12.73^2)+'LINEST VARS'!$J$54*(8*8)+'LINEST VARS'!$I$54*(8*$CN$32)+'LINEST VARS'!$H$54*(8*$BX45)+'LINEST VARS'!$G$54*(8*12.73)+'LINEST VARS'!$F$54*(8*$CN$32)+'LINEST VARS'!$E$54*(8*$BX45)+'LINEST VARS'!$D$54*(8*12.73)+'LINEST VARS'!$C$54*($CN$32*$BX45)+'LINEST VARS'!$B$54*($CN$32*12.73)+'LINEST VARS'!$A$54*($BX45*12.73)</f>
        <v>3.9699999999999998</v>
      </c>
      <c r="CO45" s="51">
        <f>'LINEST VARS'!$U$54+'LINEST VARS'!$T$54*(8)+'LINEST VARS'!$S$54*(8)+'LINEST VARS'!$R$54*($CO$32)+'LINEST VARS'!$Q$54*($BX45)+'LINEST VARS'!$P$54*(12.73)+'LINEST VARS'!$O$54*(8^2)+'LINEST VARS'!$N$54*(8^2)+'LINEST VARS'!$M$54*($CO$32^2)+'LINEST VARS'!$L$54*($BX45^2)+'LINEST VARS'!$K$54*(12.73^2)+'LINEST VARS'!$J$54*(8*8)+'LINEST VARS'!$I$54*(8*$CO$32)+'LINEST VARS'!$H$54*(8*$BX45)+'LINEST VARS'!$G$54*(8*12.73)+'LINEST VARS'!$F$54*(8*$CO$32)+'LINEST VARS'!$E$54*(8*$BX45)+'LINEST VARS'!$D$54*(8*12.73)+'LINEST VARS'!$C$54*($CO$32*$BX45)+'LINEST VARS'!$B$54*($CO$32*12.73)+'LINEST VARS'!$A$54*($BX45*12.73)</f>
        <v>3.9699999999999998</v>
      </c>
      <c r="CP45" s="51">
        <f>'LINEST VARS'!$U$54+'LINEST VARS'!$T$54*(8)+'LINEST VARS'!$S$54*(8)+'LINEST VARS'!$R$54*($CP$32)+'LINEST VARS'!$Q$54*($BX45)+'LINEST VARS'!$P$54*(12.73)+'LINEST VARS'!$O$54*(8^2)+'LINEST VARS'!$N$54*(8^2)+'LINEST VARS'!$M$54*($CP$32^2)+'LINEST VARS'!$L$54*($BX45^2)+'LINEST VARS'!$K$54*(12.73^2)+'LINEST VARS'!$J$54*(8*8)+'LINEST VARS'!$I$54*(8*$CP$32)+'LINEST VARS'!$H$54*(8*$BX45)+'LINEST VARS'!$G$54*(8*12.73)+'LINEST VARS'!$F$54*(8*$CP$32)+'LINEST VARS'!$E$54*(8*$BX45)+'LINEST VARS'!$D$54*(8*12.73)+'LINEST VARS'!$C$54*($CP$32*$BX45)+'LINEST VARS'!$B$54*($CP$32*12.73)+'LINEST VARS'!$A$54*($BX45*12.73)</f>
        <v>3.9699999999999998</v>
      </c>
      <c r="CQ45" s="51">
        <f>'LINEST VARS'!$U$54+'LINEST VARS'!$T$54*(8)+'LINEST VARS'!$S$54*(8)+'LINEST VARS'!$R$54*($CQ$32)+'LINEST VARS'!$Q$54*($BX45)+'LINEST VARS'!$P$54*(12.73)+'LINEST VARS'!$O$54*(8^2)+'LINEST VARS'!$N$54*(8^2)+'LINEST VARS'!$M$54*($CQ$32^2)+'LINEST VARS'!$L$54*($BX45^2)+'LINEST VARS'!$K$54*(12.73^2)+'LINEST VARS'!$J$54*(8*8)+'LINEST VARS'!$I$54*(8*$CQ$32)+'LINEST VARS'!$H$54*(8*$BX45)+'LINEST VARS'!$G$54*(8*12.73)+'LINEST VARS'!$F$54*(8*$CQ$32)+'LINEST VARS'!$E$54*(8*$BX45)+'LINEST VARS'!$D$54*(8*12.73)+'LINEST VARS'!$C$54*($CQ$32*$BX45)+'LINEST VARS'!$B$54*($CQ$32*12.73)+'LINEST VARS'!$A$54*($BX45*12.73)</f>
        <v>3.9699999999999998</v>
      </c>
      <c r="CR45" s="51">
        <f>'LINEST VARS'!$U$54+'LINEST VARS'!$T$54*(8)+'LINEST VARS'!$S$54*(8)+'LINEST VARS'!$R$54*($CR$32)+'LINEST VARS'!$Q$54*($BX45)+'LINEST VARS'!$P$54*(12.73)+'LINEST VARS'!$O$54*(8^2)+'LINEST VARS'!$N$54*(8^2)+'LINEST VARS'!$M$54*($CR$32^2)+'LINEST VARS'!$L$54*($BX45^2)+'LINEST VARS'!$K$54*(12.73^2)+'LINEST VARS'!$J$54*(8*8)+'LINEST VARS'!$I$54*(8*$CR$32)+'LINEST VARS'!$H$54*(8*$BX45)+'LINEST VARS'!$G$54*(8*12.73)+'LINEST VARS'!$F$54*(8*$CR$32)+'LINEST VARS'!$E$54*(8*$BX45)+'LINEST VARS'!$D$54*(8*12.73)+'LINEST VARS'!$C$54*($CR$32*$BX45)+'LINEST VARS'!$B$54*($CR$32*12.73)+'LINEST VARS'!$A$54*($BX45*12.73)</f>
        <v>3.9699999999999998</v>
      </c>
      <c r="CS45" s="52">
        <f>'LINEST VARS'!$U$54+'LINEST VARS'!$T$54*(8)+'LINEST VARS'!$S$54*(8)+'LINEST VARS'!$R$54*($CS$32)+'LINEST VARS'!$Q$54*($BX45)+'LINEST VARS'!$P$54*(12.73)+'LINEST VARS'!$O$54*(8^2)+'LINEST VARS'!$N$54*(8^2)+'LINEST VARS'!$M$54*($CS$32^2)+'LINEST VARS'!$L$54*($BX45^2)+'LINEST VARS'!$K$54*(12.73^2)+'LINEST VARS'!$J$54*(8*8)+'LINEST VARS'!$I$54*(8*$CS$32)+'LINEST VARS'!$H$54*(8*$BX45)+'LINEST VARS'!$G$54*(8*12.73)+'LINEST VARS'!$F$54*(8*$CS$32)+'LINEST VARS'!$E$54*(8*$BX45)+'LINEST VARS'!$D$54*(8*12.73)+'LINEST VARS'!$C$54*($CS$32*$BX45)+'LINEST VARS'!$B$54*($CS$32*12.73)+'LINEST VARS'!$A$54*($BX45*12.73)</f>
        <v>3.9699999999999998</v>
      </c>
      <c r="CX45" s="45">
        <v>15.593999999999999</v>
      </c>
      <c r="CY45" s="51">
        <f>'LINEST VARS'!$U$52+'LINEST VARS'!$T$52*(8)+'LINEST VARS'!$S$52*(8)+'LINEST VARS'!$R$52*($CY$32)+'LINEST VARS'!$Q$52*(0.5)+'LINEST VARS'!$P$52*($CX45)+'LINEST VARS'!$O$52*(8^2)+'LINEST VARS'!$N$52*(8^2)+'LINEST VARS'!$M$52*($CY$32^2)+'LINEST VARS'!$L$52*(0.5^2)+'LINEST VARS'!$K$52*($CX45^2)+'LINEST VARS'!$J$52*(8*8)+'LINEST VARS'!$I$52*(8*$CY$32)+'LINEST VARS'!$H$52*(8*0.5)+'LINEST VARS'!$G$52*(8*$CX45)+'LINEST VARS'!$F$52*(8*$CY$32)+'LINEST VARS'!$E$52*(8*0.5)+'LINEST VARS'!$D$52*(8*$CX45)+'LINEST VARS'!$C$52*($CY$32*0.5)+'LINEST VARS'!$B$52*($CY$32*$CX45)+'LINEST VARS'!$A$52*(0.5*$CX45)</f>
        <v>4.4499999999999984</v>
      </c>
      <c r="CZ45" s="51">
        <f>'LINEST VARS'!$U$52+'LINEST VARS'!$T$52*(8)+'LINEST VARS'!$S$52*(8)+'LINEST VARS'!$R$52*($CZ$32)+'LINEST VARS'!$Q$52*(0.5)+'LINEST VARS'!$P$52*($CX45)+'LINEST VARS'!$O$52*(8^2)+'LINEST VARS'!$N$52*(8^2)+'LINEST VARS'!$M$52*($CZ$32^2)+'LINEST VARS'!$L$52*(0.5^2)+'LINEST VARS'!$K$52*($CX45^2)+'LINEST VARS'!$J$52*(8*8)+'LINEST VARS'!$I$52*(8*$CZ$32)+'LINEST VARS'!$H$52*(8*0.5)+'LINEST VARS'!$G$52*(8*$CX45)+'LINEST VARS'!$F$52*(8*$CZ$32)+'LINEST VARS'!$E$52*(8*0.5)+'LINEST VARS'!$D$52*(8*$CX45)+'LINEST VARS'!$C$52*($CZ$32*0.5)+'LINEST VARS'!$B$52*($CZ$32*$CX45)+'LINEST VARS'!$A$52*(0.5*$CX45)</f>
        <v>4.4499999999999984</v>
      </c>
      <c r="DA45" s="51">
        <f>'LINEST VARS'!$U$52+'LINEST VARS'!$T$52*(8)+'LINEST VARS'!$S$52*(8)+'LINEST VARS'!$R$52*($DA$32)+'LINEST VARS'!$Q$52*(0.5)+'LINEST VARS'!$P$52*($CX45)+'LINEST VARS'!$O$52*(8^2)+'LINEST VARS'!$N$52*(8^2)+'LINEST VARS'!$M$52*($DA$32^2)+'LINEST VARS'!$L$52*(0.5^2)+'LINEST VARS'!$K$52*($CX45^2)+'LINEST VARS'!$J$52*(8*8)+'LINEST VARS'!$I$52*(8*$DA$32)+'LINEST VARS'!$H$52*(8*0.5)+'LINEST VARS'!$G$52*(8*$CX45)+'LINEST VARS'!$F$52*(8*$DA$32)+'LINEST VARS'!$E$52*(8*0.5)+'LINEST VARS'!$D$52*(8*$CX45)+'LINEST VARS'!$C$52*($DA$32*0.5)+'LINEST VARS'!$B$52*($DA$32*$CX45)+'LINEST VARS'!$A$52*(0.5*$CX45)</f>
        <v>4.4499999999999984</v>
      </c>
      <c r="DB45" s="51">
        <f>'LINEST VARS'!$U$52+'LINEST VARS'!$T$52*(8)+'LINEST VARS'!$S$52*(8)+'LINEST VARS'!$R$52*($DB$32)+'LINEST VARS'!$Q$52*(0.5)+'LINEST VARS'!$P$52*($CX45)+'LINEST VARS'!$O$52*(8^2)+'LINEST VARS'!$N$52*(8^2)+'LINEST VARS'!$M$52*($DB$32^2)+'LINEST VARS'!$L$52*(0.5^2)+'LINEST VARS'!$K$52*($CX45^2)+'LINEST VARS'!$J$52*(8*8)+'LINEST VARS'!$I$52*(8*$DB$32)+'LINEST VARS'!$H$52*(8*0.5)+'LINEST VARS'!$G$52*(8*$CX45)+'LINEST VARS'!$F$52*(8*$DB$32)+'LINEST VARS'!$E$52*(8*0.5)+'LINEST VARS'!$D$52*(8*$CX45)+'LINEST VARS'!$C$52*($DB$32*0.5)+'LINEST VARS'!$B$52*($DB$32*$CX45)+'LINEST VARS'!$A$52*(0.5*$CX45)</f>
        <v>4.4499999999999984</v>
      </c>
      <c r="DC45" s="51">
        <f>'LINEST VARS'!$U$52+'LINEST VARS'!$T$52*(8)+'LINEST VARS'!$S$52*(8)+'LINEST VARS'!$R$52*($DC$32)+'LINEST VARS'!$Q$52*(0.5)+'LINEST VARS'!$P$52*($CX45)+'LINEST VARS'!$O$52*(8^2)+'LINEST VARS'!$N$52*(8^2)+'LINEST VARS'!$M$52*($DC$32^2)+'LINEST VARS'!$L$52*(0.5^2)+'LINEST VARS'!$K$52*($CX45^2)+'LINEST VARS'!$J$52*(8*8)+'LINEST VARS'!$I$52*(8*$DC$32)+'LINEST VARS'!$H$52*(8*0.5)+'LINEST VARS'!$G$52*(8*$CX45)+'LINEST VARS'!$F$52*(8*$DC$32)+'LINEST VARS'!$E$52*(8*0.5)+'LINEST VARS'!$D$52*(8*$CX45)+'LINEST VARS'!$C$52*($DC$32*0.5)+'LINEST VARS'!$B$52*($DC$32*$CX45)+'LINEST VARS'!$A$52*(0.5*$CX45)</f>
        <v>4.4499999999999984</v>
      </c>
      <c r="DD45" s="51">
        <f>'LINEST VARS'!$U$52+'LINEST VARS'!$T$52*(8)+'LINEST VARS'!$S$52*(8)+'LINEST VARS'!$R$52*($DD$32)+'LINEST VARS'!$Q$52*(0.5)+'LINEST VARS'!$P$52*($CX45)+'LINEST VARS'!$O$52*(8^2)+'LINEST VARS'!$N$52*(8^2)+'LINEST VARS'!$M$52*($DD$32^2)+'LINEST VARS'!$L$52*(0.5^2)+'LINEST VARS'!$K$52*($CX45^2)+'LINEST VARS'!$J$52*(8*8)+'LINEST VARS'!$I$52*(8*$DD$32)+'LINEST VARS'!$H$52*(8*0.5)+'LINEST VARS'!$G$52*(8*$CX45)+'LINEST VARS'!$F$52*(8*$DD$32)+'LINEST VARS'!$E$52*(8*0.5)+'LINEST VARS'!$D$52*(8*$CX45)+'LINEST VARS'!$C$52*($DD$32*0.5)+'LINEST VARS'!$B$52*($DD$32*$CX45)+'LINEST VARS'!$A$52*(0.5*$CX45)</f>
        <v>4.4499999999999984</v>
      </c>
      <c r="DE45" s="51">
        <f>'LINEST VARS'!$U$52+'LINEST VARS'!$T$52*(8)+'LINEST VARS'!$S$52*(8)+'LINEST VARS'!$R$52*($DE$32)+'LINEST VARS'!$Q$52*(0.5)+'LINEST VARS'!$P$52*($CX45)+'LINEST VARS'!$O$52*(8^2)+'LINEST VARS'!$N$52*(8^2)+'LINEST VARS'!$M$52*($DE$32^2)+'LINEST VARS'!$L$52*(0.5^2)+'LINEST VARS'!$K$52*($CX45^2)+'LINEST VARS'!$J$52*(8*8)+'LINEST VARS'!$I$52*(8*$DE$32)+'LINEST VARS'!$H$52*(8*0.5)+'LINEST VARS'!$G$52*(8*$CX45)+'LINEST VARS'!$F$52*(8*$DE$32)+'LINEST VARS'!$E$52*(8*0.5)+'LINEST VARS'!$D$52*(8*$CX45)+'LINEST VARS'!$C$52*($DE$32*0.5)+'LINEST VARS'!$B$52*($DE$32*$CX45)+'LINEST VARS'!$A$52*(0.5*$CX45)</f>
        <v>4.4499999999999984</v>
      </c>
      <c r="DF45" s="51">
        <f>'LINEST VARS'!$U$52+'LINEST VARS'!$T$52*(8)+'LINEST VARS'!$S$52*(8)+'LINEST VARS'!$R$52*($DF$32)+'LINEST VARS'!$Q$52*(0.5)+'LINEST VARS'!$P$52*($CX45)+'LINEST VARS'!$O$52*(8^2)+'LINEST VARS'!$N$52*(8^2)+'LINEST VARS'!$M$52*($DF$32^2)+'LINEST VARS'!$L$52*(0.5^2)+'LINEST VARS'!$K$52*($CX45^2)+'LINEST VARS'!$J$52*(8*8)+'LINEST VARS'!$I$52*(8*$DF$32)+'LINEST VARS'!$H$52*(8*0.5)+'LINEST VARS'!$G$52*(8*$CX45)+'LINEST VARS'!$F$52*(8*$DF$32)+'LINEST VARS'!$E$52*(8*0.5)+'LINEST VARS'!$D$52*(8*$CX45)+'LINEST VARS'!$C$52*($DF$32*0.5)+'LINEST VARS'!$B$52*($DF$32*$CX45)+'LINEST VARS'!$A$52*(0.5*$CX45)</f>
        <v>4.4499999999999984</v>
      </c>
      <c r="DG45" s="51">
        <f>'LINEST VARS'!$U$52+'LINEST VARS'!$T$52*(8)+'LINEST VARS'!$S$52*(8)+'LINEST VARS'!$R$52*($DG$32)+'LINEST VARS'!$Q$52*(0.5)+'LINEST VARS'!$P$52*($CX45)+'LINEST VARS'!$O$52*(8^2)+'LINEST VARS'!$N$52*(8^2)+'LINEST VARS'!$M$52*($DG$32^2)+'LINEST VARS'!$L$52*(0.5^2)+'LINEST VARS'!$K$52*($CX45^2)+'LINEST VARS'!$J$52*(8*8)+'LINEST VARS'!$I$52*(8*$DG$32)+'LINEST VARS'!$H$52*(8*0.5)+'LINEST VARS'!$G$52*(8*$CX45)+'LINEST VARS'!$F$52*(8*$DG$32)+'LINEST VARS'!$E$52*(8*0.5)+'LINEST VARS'!$D$52*(8*$CX45)+'LINEST VARS'!$C$52*($DG$32*0.5)+'LINEST VARS'!$B$52*($DG$32*$CX45)+'LINEST VARS'!$A$52*(0.5*$CX45)</f>
        <v>4.4499999999999984</v>
      </c>
      <c r="DH45" s="51">
        <f>'LINEST VARS'!$U$52+'LINEST VARS'!$T$52*(8)+'LINEST VARS'!$S$52*(8)+'LINEST VARS'!$R$52*($DH$32)+'LINEST VARS'!$Q$52*(0.5)+'LINEST VARS'!$P$52*($CX45)+'LINEST VARS'!$O$52*(8^2)+'LINEST VARS'!$N$52*(8^2)+'LINEST VARS'!$M$52*($DH$32^2)+'LINEST VARS'!$L$52*(0.5^2)+'LINEST VARS'!$K$52*($CX45^2)+'LINEST VARS'!$J$52*(8*8)+'LINEST VARS'!$I$52*(8*$DH$32)+'LINEST VARS'!$H$52*(8*0.5)+'LINEST VARS'!$G$52*(8*$CX45)+'LINEST VARS'!$F$52*(8*$DH$32)+'LINEST VARS'!$E$52*(8*0.5)+'LINEST VARS'!$D$52*(8*$CX45)+'LINEST VARS'!$C$52*($DH$32*0.5)+'LINEST VARS'!$B$52*($DH$32*$CX45)+'LINEST VARS'!$A$52*(0.5*$CX45)</f>
        <v>4.4499999999999984</v>
      </c>
      <c r="DI45" s="51">
        <f>'LINEST VARS'!$U$52+'LINEST VARS'!$T$52*(8)+'LINEST VARS'!$S$52*(8)+'LINEST VARS'!$R$52*($DI$32)+'LINEST VARS'!$Q$52*(0.5)+'LINEST VARS'!$P$52*($CX45)+'LINEST VARS'!$O$52*(8^2)+'LINEST VARS'!$N$52*(8^2)+'LINEST VARS'!$M$52*($DI$32^2)+'LINEST VARS'!$L$52*(0.5^2)+'LINEST VARS'!$K$52*($CX45^2)+'LINEST VARS'!$J$52*(8*8)+'LINEST VARS'!$I$52*(8*$DI$32)+'LINEST VARS'!$H$52*(8*0.5)+'LINEST VARS'!$G$52*(8*$CX45)+'LINEST VARS'!$F$52*(8*$DI$32)+'LINEST VARS'!$E$52*(8*0.5)+'LINEST VARS'!$D$52*(8*$CX45)+'LINEST VARS'!$C$52*($DI$32*0.5)+'LINEST VARS'!$B$52*($DI$32*$CX45)+'LINEST VARS'!$A$52*(0.5*$CX45)</f>
        <v>4.4499999999999984</v>
      </c>
      <c r="DJ45" s="51">
        <f>'LINEST VARS'!$U$52+'LINEST VARS'!$T$52*(8)+'LINEST VARS'!$S$52*(8)+'LINEST VARS'!$R$52*($DJ$32)+'LINEST VARS'!$Q$52*(0.5)+'LINEST VARS'!$P$52*($CX45)+'LINEST VARS'!$O$52*(8^2)+'LINEST VARS'!$N$52*(8^2)+'LINEST VARS'!$M$52*($DJ$32^2)+'LINEST VARS'!$L$52*(0.5^2)+'LINEST VARS'!$K$52*($CX45^2)+'LINEST VARS'!$J$52*(8*8)+'LINEST VARS'!$I$52*(8*$DJ$32)+'LINEST VARS'!$H$52*(8*0.5)+'LINEST VARS'!$G$52*(8*$CX45)+'LINEST VARS'!$F$52*(8*$DJ$32)+'LINEST VARS'!$E$52*(8*0.5)+'LINEST VARS'!$D$52*(8*$CX45)+'LINEST VARS'!$C$52*($DJ$32*0.5)+'LINEST VARS'!$B$52*($DJ$32*$CX45)+'LINEST VARS'!$A$52*(0.5*$CX45)</f>
        <v>4.4499999999999984</v>
      </c>
      <c r="DK45" s="51">
        <f>'LINEST VARS'!$U$52+'LINEST VARS'!$T$52*(8)+'LINEST VARS'!$S$52*(8)+'LINEST VARS'!$R$52*($DK$32)+'LINEST VARS'!$Q$52*(0.5)+'LINEST VARS'!$P$52*($CX45)+'LINEST VARS'!$O$52*(8^2)+'LINEST VARS'!$N$52*(8^2)+'LINEST VARS'!$M$52*($DK$32^2)+'LINEST VARS'!$L$52*(0.5^2)+'LINEST VARS'!$K$52*($CX45^2)+'LINEST VARS'!$J$52*(8*8)+'LINEST VARS'!$I$52*(8*$DK$32)+'LINEST VARS'!$H$52*(8*0.5)+'LINEST VARS'!$G$52*(8*$CX45)+'LINEST VARS'!$F$52*(8*$DK$32)+'LINEST VARS'!$E$52*(8*0.5)+'LINEST VARS'!$D$52*(8*$CX45)+'LINEST VARS'!$C$52*($DK$32*0.5)+'LINEST VARS'!$B$52*($DK$32*$CX45)+'LINEST VARS'!$A$52*(0.5*$CX45)</f>
        <v>4.4499999999999984</v>
      </c>
      <c r="DL45" s="51">
        <f>'LINEST VARS'!$U$52+'LINEST VARS'!$T$52*(8)+'LINEST VARS'!$S$52*(8)+'LINEST VARS'!$R$52*($DL$32)+'LINEST VARS'!$Q$52*(0.5)+'LINEST VARS'!$P$52*($CX45)+'LINEST VARS'!$O$52*(8^2)+'LINEST VARS'!$N$52*(8^2)+'LINEST VARS'!$M$52*($DL$32^2)+'LINEST VARS'!$L$52*(0.5^2)+'LINEST VARS'!$K$52*($CX45^2)+'LINEST VARS'!$J$52*(8*8)+'LINEST VARS'!$I$52*(8*$DL$32)+'LINEST VARS'!$H$52*(8*0.5)+'LINEST VARS'!$G$52*(8*$CX45)+'LINEST VARS'!$F$52*(8*$DL$32)+'LINEST VARS'!$E$52*(8*0.5)+'LINEST VARS'!$D$52*(8*$CX45)+'LINEST VARS'!$C$52*($DL$32*0.5)+'LINEST VARS'!$B$52*($DL$32*$CX45)+'LINEST VARS'!$A$52*(0.5*$CX45)</f>
        <v>4.4499999999999984</v>
      </c>
      <c r="DM45" s="51">
        <f>'LINEST VARS'!$U$52+'LINEST VARS'!$T$52*(8)+'LINEST VARS'!$S$52*(8)+'LINEST VARS'!$R$52*($DM$32)+'LINEST VARS'!$Q$52*(0.5)+'LINEST VARS'!$P$52*($CX45)+'LINEST VARS'!$O$52*(8^2)+'LINEST VARS'!$N$52*(8^2)+'LINEST VARS'!$M$52*($DM$32^2)+'LINEST VARS'!$L$52*(0.5^2)+'LINEST VARS'!$K$52*($CX45^2)+'LINEST VARS'!$J$52*(8*8)+'LINEST VARS'!$I$52*(8*$DM$32)+'LINEST VARS'!$H$52*(8*0.5)+'LINEST VARS'!$G$52*(8*$CX45)+'LINEST VARS'!$F$52*(8*$DM$32)+'LINEST VARS'!$E$52*(8*0.5)+'LINEST VARS'!$D$52*(8*$CX45)+'LINEST VARS'!$C$52*($DM$32*0.5)+'LINEST VARS'!$B$52*($DM$32*$CX45)+'LINEST VARS'!$A$52*(0.5*$CX45)</f>
        <v>4.4499999999999984</v>
      </c>
      <c r="DN45" s="51">
        <f>'LINEST VARS'!$U$52+'LINEST VARS'!$T$52*(8)+'LINEST VARS'!$S$52*(8)+'LINEST VARS'!$R$52*($DN$32)+'LINEST VARS'!$Q$52*(0.5)+'LINEST VARS'!$P$52*($CX45)+'LINEST VARS'!$O$52*(8^2)+'LINEST VARS'!$N$52*(8^2)+'LINEST VARS'!$M$52*($DN$32^2)+'LINEST VARS'!$L$52*(0.5^2)+'LINEST VARS'!$K$52*($CX45^2)+'LINEST VARS'!$J$52*(8*8)+'LINEST VARS'!$I$52*(8*$DN$32)+'LINEST VARS'!$H$52*(8*0.5)+'LINEST VARS'!$G$52*(8*$CX45)+'LINEST VARS'!$F$52*(8*$DN$32)+'LINEST VARS'!$E$52*(8*0.5)+'LINEST VARS'!$D$52*(8*$CX45)+'LINEST VARS'!$C$52*($DN$32*0.5)+'LINEST VARS'!$B$52*($DN$32*$CX45)+'LINEST VARS'!$A$52*(0.5*$CX45)</f>
        <v>4.4499999999999984</v>
      </c>
      <c r="DO45" s="51">
        <f>'LINEST VARS'!$U$52+'LINEST VARS'!$T$52*(8)+'LINEST VARS'!$S$52*(8)+'LINEST VARS'!$R$52*($DO$32)+'LINEST VARS'!$Q$52*(0.5)+'LINEST VARS'!$P$52*($CX45)+'LINEST VARS'!$O$52*(8^2)+'LINEST VARS'!$N$52*(8^2)+'LINEST VARS'!$M$52*($DO$32^2)+'LINEST VARS'!$L$52*(0.5^2)+'LINEST VARS'!$K$52*($CX45^2)+'LINEST VARS'!$J$52*(8*8)+'LINEST VARS'!$I$52*(8*$DO$32)+'LINEST VARS'!$H$52*(8*0.5)+'LINEST VARS'!$G$52*(8*$CX45)+'LINEST VARS'!$F$52*(8*$DO$32)+'LINEST VARS'!$E$52*(8*0.5)+'LINEST VARS'!$D$52*(8*$CX45)+'LINEST VARS'!$C$52*($DO$32*0.5)+'LINEST VARS'!$B$52*($DO$32*$CX45)+'LINEST VARS'!$A$52*(0.5*$CX45)</f>
        <v>4.4499999999999984</v>
      </c>
      <c r="DP45" s="51">
        <f>'LINEST VARS'!$U$52+'LINEST VARS'!$T$52*(8)+'LINEST VARS'!$S$52*(8)+'LINEST VARS'!$R$52*($DP$32)+'LINEST VARS'!$Q$52*(0.5)+'LINEST VARS'!$P$52*($CX45)+'LINEST VARS'!$O$52*(8^2)+'LINEST VARS'!$N$52*(8^2)+'LINEST VARS'!$M$52*($DP$32^2)+'LINEST VARS'!$L$52*(0.5^2)+'LINEST VARS'!$K$52*($CX45^2)+'LINEST VARS'!$J$52*(8*8)+'LINEST VARS'!$I$52*(8*$DP$32)+'LINEST VARS'!$H$52*(8*0.5)+'LINEST VARS'!$G$52*(8*$CX45)+'LINEST VARS'!$F$52*(8*$DP$32)+'LINEST VARS'!$E$52*(8*0.5)+'LINEST VARS'!$D$52*(8*$CX45)+'LINEST VARS'!$C$52*($DP$32*0.5)+'LINEST VARS'!$B$52*($DP$32*$CX45)+'LINEST VARS'!$A$52*(0.5*$CX45)</f>
        <v>4.4499999999999984</v>
      </c>
      <c r="DQ45" s="51">
        <f>'LINEST VARS'!$U$52+'LINEST VARS'!$T$52*(8)+'LINEST VARS'!$S$52*(8)+'LINEST VARS'!$R$52*($DQ$32)+'LINEST VARS'!$Q$52*(0.5)+'LINEST VARS'!$P$52*($CX45)+'LINEST VARS'!$O$52*(8^2)+'LINEST VARS'!$N$52*(8^2)+'LINEST VARS'!$M$52*($DQ$32^2)+'LINEST VARS'!$L$52*(0.5^2)+'LINEST VARS'!$K$52*($CX45^2)+'LINEST VARS'!$J$52*(8*8)+'LINEST VARS'!$I$52*(8*$DQ$32)+'LINEST VARS'!$H$52*(8*0.5)+'LINEST VARS'!$G$52*(8*$CX45)+'LINEST VARS'!$F$52*(8*$DQ$32)+'LINEST VARS'!$E$52*(8*0.5)+'LINEST VARS'!$D$52*(8*$CX45)+'LINEST VARS'!$C$52*($DQ$32*0.5)+'LINEST VARS'!$B$52*($DQ$32*$CX45)+'LINEST VARS'!$A$52*(0.5*$CX45)</f>
        <v>4.4499999999999984</v>
      </c>
      <c r="DR45" s="51">
        <f>'LINEST VARS'!$U$52+'LINEST VARS'!$T$52*(8)+'LINEST VARS'!$S$52*(8)+'LINEST VARS'!$R$52*($DR$32)+'LINEST VARS'!$Q$52*(0.5)+'LINEST VARS'!$P$52*($CX45)+'LINEST VARS'!$O$52*(8^2)+'LINEST VARS'!$N$52*(8^2)+'LINEST VARS'!$M$52*($DR$32^2)+'LINEST VARS'!$L$52*(0.5^2)+'LINEST VARS'!$K$52*($CX45^2)+'LINEST VARS'!$J$52*(8*8)+'LINEST VARS'!$I$52*(8*$DR$32)+'LINEST VARS'!$H$52*(8*0.5)+'LINEST VARS'!$G$52*(8*$CX45)+'LINEST VARS'!$F$52*(8*$DR$32)+'LINEST VARS'!$E$52*(8*0.5)+'LINEST VARS'!$D$52*(8*$CX45)+'LINEST VARS'!$C$52*($DR$32*0.5)+'LINEST VARS'!$B$52*($DR$32*$CX45)+'LINEST VARS'!$A$52*(0.5*$CX45)</f>
        <v>4.4499999999999984</v>
      </c>
      <c r="DS45" s="52">
        <f>'LINEST VARS'!$U$52+'LINEST VARS'!$T$52*(8)+'LINEST VARS'!$S$52*(8)+'LINEST VARS'!$R$52*($DS$32)+'LINEST VARS'!$Q$52*(0.5)+'LINEST VARS'!$P$52*($CX45)+'LINEST VARS'!$O$52*(8^2)+'LINEST VARS'!$N$52*(8^2)+'LINEST VARS'!$M$52*($DS$32^2)+'LINEST VARS'!$L$52*(0.5^2)+'LINEST VARS'!$K$52*($CX45^2)+'LINEST VARS'!$J$52*(8*8)+'LINEST VARS'!$I$52*(8*$DS$32)+'LINEST VARS'!$H$52*(8*0.5)+'LINEST VARS'!$G$52*(8*$CX45)+'LINEST VARS'!$F$52*(8*$DS$32)+'LINEST VARS'!$E$52*(8*0.5)+'LINEST VARS'!$D$52*(8*$CX45)+'LINEST VARS'!$C$52*($DS$32*0.5)+'LINEST VARS'!$B$52*($DS$32*$CX45)+'LINEST VARS'!$A$52*(0.5*$CX45)</f>
        <v>4.4499999999999984</v>
      </c>
      <c r="DV45" s="45">
        <v>15.593999999999999</v>
      </c>
      <c r="DW45" s="51">
        <f>'LINEST VARS'!$U$54+'LINEST VARS'!$T$54*(8)+'LINEST VARS'!$S$54*(8)+'LINEST VARS'!$R$54*($DW$32)+'LINEST VARS'!$Q$54*(0.5)+'LINEST VARS'!$P$54*($DV45)+'LINEST VARS'!$O$54*(8^2)+'LINEST VARS'!$N$54*(8^2)+'LINEST VARS'!$M$54*($DW$32^2)+'LINEST VARS'!$L$54*(0.5^2)+'LINEST VARS'!$K$54*($DV45^2)+'LINEST VARS'!$J$54*(8*8)+'LINEST VARS'!$I$54*(8*$DW$32)+'LINEST VARS'!$H$54*(8*0.5)+'LINEST VARS'!$G$54*(8*$DV45)+'LINEST VARS'!$F$54*(8*$DW$32)+'LINEST VARS'!$E$54*(8*0.5)+'LINEST VARS'!$D$54*(8*$DV45)+'LINEST VARS'!$C$54*($DW$32*0.5)+'LINEST VARS'!$B$54*($DW$32*$DV45)+'LINEST VARS'!$A$54*(0.5*$DV45)</f>
        <v>3.9749999999999996</v>
      </c>
      <c r="DX45" s="51">
        <f>'LINEST VARS'!$U$54+'LINEST VARS'!$T$54*(8)+'LINEST VARS'!$S$54*(8)+'LINEST VARS'!$R$54*($DX$32)+'LINEST VARS'!$Q$54*(0.5)+'LINEST VARS'!$P$54*($DV45)+'LINEST VARS'!$O$54*(8^2)+'LINEST VARS'!$N$54*(8^2)+'LINEST VARS'!$M$54*($DX$32^2)+'LINEST VARS'!$L$54*(0.5^2)+'LINEST VARS'!$K$54*($DV45^2)+'LINEST VARS'!$J$54*(8*8)+'LINEST VARS'!$I$54*(8*$DX$32)+'LINEST VARS'!$H$54*(8*0.5)+'LINEST VARS'!$G$54*(8*$DV45)+'LINEST VARS'!$F$54*(8*$DX$32)+'LINEST VARS'!$E$54*(8*0.5)+'LINEST VARS'!$D$54*(8*$DV45)+'LINEST VARS'!$C$54*($DX$32*0.5)+'LINEST VARS'!$B$54*($DX$32*$DV45)+'LINEST VARS'!$A$54*(0.5*$DV45)</f>
        <v>3.9749999999999996</v>
      </c>
      <c r="DY45" s="51">
        <f>'LINEST VARS'!$U$54+'LINEST VARS'!$T$54*(8)+'LINEST VARS'!$S$54*(8)+'LINEST VARS'!$R$54*($DY$32)+'LINEST VARS'!$Q$54*(0.5)+'LINEST VARS'!$P$54*($DV45)+'LINEST VARS'!$O$54*(8^2)+'LINEST VARS'!$N$54*(8^2)+'LINEST VARS'!$M$54*($DY$32^2)+'LINEST VARS'!$L$54*(0.5^2)+'LINEST VARS'!$K$54*($DV45^2)+'LINEST VARS'!$J$54*(8*8)+'LINEST VARS'!$I$54*(8*$DY$32)+'LINEST VARS'!$H$54*(8*0.5)+'LINEST VARS'!$G$54*(8*$DV45)+'LINEST VARS'!$F$54*(8*$DY$32)+'LINEST VARS'!$E$54*(8*0.5)+'LINEST VARS'!$D$54*(8*$DV45)+'LINEST VARS'!$C$54*($DY$32*0.5)+'LINEST VARS'!$B$54*($DY$32*$DV45)+'LINEST VARS'!$A$54*(0.5*$DV45)</f>
        <v>3.9749999999999996</v>
      </c>
      <c r="DZ45" s="51">
        <f>'LINEST VARS'!$U$54+'LINEST VARS'!$T$54*(8)+'LINEST VARS'!$S$54*(8)+'LINEST VARS'!$R$54*($DZ$32)+'LINEST VARS'!$Q$54*(0.5)+'LINEST VARS'!$P$54*($DV45)+'LINEST VARS'!$O$54*(8^2)+'LINEST VARS'!$N$54*(8^2)+'LINEST VARS'!$M$54*($DZ$32^2)+'LINEST VARS'!$L$54*(0.5^2)+'LINEST VARS'!$K$54*($DV45^2)+'LINEST VARS'!$J$54*(8*8)+'LINEST VARS'!$I$54*(8*$DZ$32)+'LINEST VARS'!$H$54*(8*0.5)+'LINEST VARS'!$G$54*(8*$DV45)+'LINEST VARS'!$F$54*(8*$DZ$32)+'LINEST VARS'!$E$54*(8*0.5)+'LINEST VARS'!$D$54*(8*$DV45)+'LINEST VARS'!$C$54*($DZ$32*0.5)+'LINEST VARS'!$B$54*($DZ$32*$DV45)+'LINEST VARS'!$A$54*(0.5*$DV45)</f>
        <v>3.9749999999999996</v>
      </c>
      <c r="EA45" s="51">
        <f>'LINEST VARS'!$U$54+'LINEST VARS'!$T$54*(8)+'LINEST VARS'!$S$54*(8)+'LINEST VARS'!$R$54*($EA$32)+'LINEST VARS'!$Q$54*(0.5)+'LINEST VARS'!$P$54*($DV45)+'LINEST VARS'!$O$54*(8^2)+'LINEST VARS'!$N$54*(8^2)+'LINEST VARS'!$M$54*($EA$32^2)+'LINEST VARS'!$L$54*(0.5^2)+'LINEST VARS'!$K$54*($DV45^2)+'LINEST VARS'!$J$54*(8*8)+'LINEST VARS'!$I$54*(8*$EA$32)+'LINEST VARS'!$H$54*(8*0.5)+'LINEST VARS'!$G$54*(8*$DV45)+'LINEST VARS'!$F$54*(8*$EA$32)+'LINEST VARS'!$E$54*(8*0.5)+'LINEST VARS'!$D$54*(8*$DV45)+'LINEST VARS'!$C$54*($EA$32*0.5)+'LINEST VARS'!$B$54*($EA$32*$DV45)+'LINEST VARS'!$A$54*(0.5*$DV45)</f>
        <v>3.9749999999999996</v>
      </c>
      <c r="EB45" s="51">
        <f>'LINEST VARS'!$U$54+'LINEST VARS'!$T$54*(8)+'LINEST VARS'!$S$54*(8)+'LINEST VARS'!$R$54*($EB$32)+'LINEST VARS'!$Q$54*(0.5)+'LINEST VARS'!$P$54*($DV45)+'LINEST VARS'!$O$54*(8^2)+'LINEST VARS'!$N$54*(8^2)+'LINEST VARS'!$M$54*($EB$32^2)+'LINEST VARS'!$L$54*(0.5^2)+'LINEST VARS'!$K$54*($DV45^2)+'LINEST VARS'!$J$54*(8*8)+'LINEST VARS'!$I$54*(8*$EB$32)+'LINEST VARS'!$H$54*(8*0.5)+'LINEST VARS'!$G$54*(8*$DV45)+'LINEST VARS'!$F$54*(8*$EB$32)+'LINEST VARS'!$E$54*(8*0.5)+'LINEST VARS'!$D$54*(8*$DV45)+'LINEST VARS'!$C$54*($EB$32*0.5)+'LINEST VARS'!$B$54*($EB$32*$DV45)+'LINEST VARS'!$A$54*(0.5*$DV45)</f>
        <v>3.9749999999999996</v>
      </c>
      <c r="EC45" s="51">
        <f>'LINEST VARS'!$U$54+'LINEST VARS'!$T$54*(8)+'LINEST VARS'!$S$54*(8)+'LINEST VARS'!$R$54*($EC$32)+'LINEST VARS'!$Q$54*(0.5)+'LINEST VARS'!$P$54*($DV45)+'LINEST VARS'!$O$54*(8^2)+'LINEST VARS'!$N$54*(8^2)+'LINEST VARS'!$M$54*($EC$32^2)+'LINEST VARS'!$L$54*(0.5^2)+'LINEST VARS'!$K$54*($DV45^2)+'LINEST VARS'!$J$54*(8*8)+'LINEST VARS'!$I$54*(8*$EC$32)+'LINEST VARS'!$H$54*(8*0.5)+'LINEST VARS'!$G$54*(8*$DV45)+'LINEST VARS'!$F$54*(8*$EC$32)+'LINEST VARS'!$E$54*(8*0.5)+'LINEST VARS'!$D$54*(8*$DV45)+'LINEST VARS'!$C$54*($EC$32*0.5)+'LINEST VARS'!$B$54*($EC$32*$DV45)+'LINEST VARS'!$A$54*(0.5*$DV45)</f>
        <v>3.9749999999999996</v>
      </c>
      <c r="ED45" s="51">
        <f>'LINEST VARS'!$U$54+'LINEST VARS'!$T$54*(8)+'LINEST VARS'!$S$54*(8)+'LINEST VARS'!$R$54*($ED$32)+'LINEST VARS'!$Q$54*(0.5)+'LINEST VARS'!$P$54*($DV45)+'LINEST VARS'!$O$54*(8^2)+'LINEST VARS'!$N$54*(8^2)+'LINEST VARS'!$M$54*($ED$32^2)+'LINEST VARS'!$L$54*(0.5^2)+'LINEST VARS'!$K$54*($DV45^2)+'LINEST VARS'!$J$54*(8*8)+'LINEST VARS'!$I$54*(8*$ED$32)+'LINEST VARS'!$H$54*(8*0.5)+'LINEST VARS'!$G$54*(8*$DV45)+'LINEST VARS'!$F$54*(8*$ED$32)+'LINEST VARS'!$E$54*(8*0.5)+'LINEST VARS'!$D$54*(8*$DV45)+'LINEST VARS'!$C$54*($ED$32*0.5)+'LINEST VARS'!$B$54*($ED$32*$DV45)+'LINEST VARS'!$A$54*(0.5*$DV45)</f>
        <v>3.9749999999999996</v>
      </c>
      <c r="EE45" s="51">
        <f>'LINEST VARS'!$U$54+'LINEST VARS'!$T$54*(8)+'LINEST VARS'!$S$54*(8)+'LINEST VARS'!$R$54*($EE$32)+'LINEST VARS'!$Q$54*(0.5)+'LINEST VARS'!$P$54*($DV45)+'LINEST VARS'!$O$54*(8^2)+'LINEST VARS'!$N$54*(8^2)+'LINEST VARS'!$M$54*($EE$32^2)+'LINEST VARS'!$L$54*(0.5^2)+'LINEST VARS'!$K$54*($DV45^2)+'LINEST VARS'!$J$54*(8*8)+'LINEST VARS'!$I$54*(8*$EE$32)+'LINEST VARS'!$H$54*(8*0.5)+'LINEST VARS'!$G$54*(8*$DV45)+'LINEST VARS'!$F$54*(8*$EE$32)+'LINEST VARS'!$E$54*(8*0.5)+'LINEST VARS'!$D$54*(8*$DV45)+'LINEST VARS'!$C$54*($EE$32*0.5)+'LINEST VARS'!$B$54*($EE$32*$DV45)+'LINEST VARS'!$A$54*(0.5*$DV45)</f>
        <v>3.9749999999999996</v>
      </c>
      <c r="EF45" s="51">
        <f>'LINEST VARS'!$U$54+'LINEST VARS'!$T$54*(8)+'LINEST VARS'!$S$54*(8)+'LINEST VARS'!$R$54*($EF$32)+'LINEST VARS'!$Q$54*(0.5)+'LINEST VARS'!$P$54*($DV45)+'LINEST VARS'!$O$54*(8^2)+'LINEST VARS'!$N$54*(8^2)+'LINEST VARS'!$M$54*($EF$32^2)+'LINEST VARS'!$L$54*(0.5^2)+'LINEST VARS'!$K$54*($DV45^2)+'LINEST VARS'!$J$54*(8*8)+'LINEST VARS'!$I$54*(8*$EF$32)+'LINEST VARS'!$H$54*(8*0.5)+'LINEST VARS'!$G$54*(8*$DV45)+'LINEST VARS'!$F$54*(8*$EF$32)+'LINEST VARS'!$E$54*(8*0.5)+'LINEST VARS'!$D$54*(8*$DV45)+'LINEST VARS'!$C$54*($EF$32*0.5)+'LINEST VARS'!$B$54*($EF$32*$DV45)+'LINEST VARS'!$A$54*(0.5*$DV45)</f>
        <v>3.9749999999999996</v>
      </c>
      <c r="EG45" s="51">
        <f>'LINEST VARS'!$U$54+'LINEST VARS'!$T$54*(8)+'LINEST VARS'!$S$54*(8)+'LINEST VARS'!$R$54*($EG$32)+'LINEST VARS'!$Q$54*(0.5)+'LINEST VARS'!$P$54*($DV45)+'LINEST VARS'!$O$54*(8^2)+'LINEST VARS'!$N$54*(8^2)+'LINEST VARS'!$M$54*($EG$32^2)+'LINEST VARS'!$L$54*(0.5^2)+'LINEST VARS'!$K$54*($DV45^2)+'LINEST VARS'!$J$54*(8*8)+'LINEST VARS'!$I$54*(8*$EG$32)+'LINEST VARS'!$H$54*(8*0.5)+'LINEST VARS'!$G$54*(8*$DV45)+'LINEST VARS'!$F$54*(8*$EG$32)+'LINEST VARS'!$E$54*(8*0.5)+'LINEST VARS'!$D$54*(8*$DV45)+'LINEST VARS'!$C$54*($EG$32*0.5)+'LINEST VARS'!$B$54*($EG$32*$DV45)+'LINEST VARS'!$A$54*(0.5*$DV45)</f>
        <v>3.9749999999999996</v>
      </c>
      <c r="EH45" s="51">
        <f>'LINEST VARS'!$U$54+'LINEST VARS'!$T$54*(8)+'LINEST VARS'!$S$54*(8)+'LINEST VARS'!$R$54*($EH$32)+'LINEST VARS'!$Q$54*(0.5)+'LINEST VARS'!$P$54*($DV45)+'LINEST VARS'!$O$54*(8^2)+'LINEST VARS'!$N$54*(8^2)+'LINEST VARS'!$M$54*($EH$32^2)+'LINEST VARS'!$L$54*(0.5^2)+'LINEST VARS'!$K$54*($DV45^2)+'LINEST VARS'!$J$54*(8*8)+'LINEST VARS'!$I$54*(8*$EH$32)+'LINEST VARS'!$H$54*(8*0.5)+'LINEST VARS'!$G$54*(8*$DV45)+'LINEST VARS'!$F$54*(8*$EH$32)+'LINEST VARS'!$E$54*(8*0.5)+'LINEST VARS'!$D$54*(8*$DV45)+'LINEST VARS'!$C$54*($EH$32*0.5)+'LINEST VARS'!$B$54*($EH$32*$DV45)+'LINEST VARS'!$A$54*(0.5*$DV45)</f>
        <v>3.9749999999999996</v>
      </c>
      <c r="EI45" s="51">
        <f>'LINEST VARS'!$U$54+'LINEST VARS'!$T$54*(8)+'LINEST VARS'!$S$54*(8)+'LINEST VARS'!$R$54*($EI$32)+'LINEST VARS'!$Q$54*(0.5)+'LINEST VARS'!$P$54*($DV45)+'LINEST VARS'!$O$54*(8^2)+'LINEST VARS'!$N$54*(8^2)+'LINEST VARS'!$M$54*($EI$32^2)+'LINEST VARS'!$L$54*(0.5^2)+'LINEST VARS'!$K$54*($DV45^2)+'LINEST VARS'!$J$54*(8*8)+'LINEST VARS'!$I$54*(8*$EI$32)+'LINEST VARS'!$H$54*(8*0.5)+'LINEST VARS'!$G$54*(8*$DV45)+'LINEST VARS'!$F$54*(8*$EI$32)+'LINEST VARS'!$E$54*(8*0.5)+'LINEST VARS'!$D$54*(8*$DV45)+'LINEST VARS'!$C$54*($EI$32*0.5)+'LINEST VARS'!$B$54*($EI$32*$DV45)+'LINEST VARS'!$A$54*(0.5*$DV45)</f>
        <v>3.9749999999999996</v>
      </c>
      <c r="EJ45" s="51">
        <f>'LINEST VARS'!$U$54+'LINEST VARS'!$T$54*(8)+'LINEST VARS'!$S$54*(8)+'LINEST VARS'!$R$54*($EJ$32)+'LINEST VARS'!$Q$54*(0.5)+'LINEST VARS'!$P$54*($DV45)+'LINEST VARS'!$O$54*(8^2)+'LINEST VARS'!$N$54*(8^2)+'LINEST VARS'!$M$54*($EJ$32^2)+'LINEST VARS'!$L$54*(0.5^2)+'LINEST VARS'!$K$54*($DV45^2)+'LINEST VARS'!$J$54*(8*8)+'LINEST VARS'!$I$54*(8*$EJ$32)+'LINEST VARS'!$H$54*(8*0.5)+'LINEST VARS'!$G$54*(8*$DV45)+'LINEST VARS'!$F$54*(8*$EJ$32)+'LINEST VARS'!$E$54*(8*0.5)+'LINEST VARS'!$D$54*(8*$DV45)+'LINEST VARS'!$C$54*($EJ$32*0.5)+'LINEST VARS'!$B$54*($EJ$32*$DV45)+'LINEST VARS'!$A$54*(0.5*$DV45)</f>
        <v>3.9749999999999996</v>
      </c>
      <c r="EK45" s="51">
        <f>'LINEST VARS'!$U$54+'LINEST VARS'!$T$54*(8)+'LINEST VARS'!$S$54*(8)+'LINEST VARS'!$R$54*($EK$32)+'LINEST VARS'!$Q$54*(0.5)+'LINEST VARS'!$P$54*($DV45)+'LINEST VARS'!$O$54*(8^2)+'LINEST VARS'!$N$54*(8^2)+'LINEST VARS'!$M$54*($EK$32^2)+'LINEST VARS'!$L$54*(0.5^2)+'LINEST VARS'!$K$54*($DV45^2)+'LINEST VARS'!$J$54*(8*8)+'LINEST VARS'!$I$54*(8*$EK$32)+'LINEST VARS'!$H$54*(8*0.5)+'LINEST VARS'!$G$54*(8*$DV45)+'LINEST VARS'!$F$54*(8*$EK$32)+'LINEST VARS'!$E$54*(8*0.5)+'LINEST VARS'!$D$54*(8*$DV45)+'LINEST VARS'!$C$54*($EK$32*0.5)+'LINEST VARS'!$B$54*($EK$32*$DV45)+'LINEST VARS'!$A$54*(0.5*$DV45)</f>
        <v>3.9749999999999996</v>
      </c>
      <c r="EL45" s="51">
        <f>'LINEST VARS'!$U$54+'LINEST VARS'!$T$54*(8)+'LINEST VARS'!$S$54*(8)+'LINEST VARS'!$R$54*($EL$32)+'LINEST VARS'!$Q$54*(0.5)+'LINEST VARS'!$P$54*($DV45)+'LINEST VARS'!$O$54*(8^2)+'LINEST VARS'!$N$54*(8^2)+'LINEST VARS'!$M$54*($EL$32^2)+'LINEST VARS'!$L$54*(0.5^2)+'LINEST VARS'!$K$54*($DV45^2)+'LINEST VARS'!$J$54*(8*8)+'LINEST VARS'!$I$54*(8*$EL$32)+'LINEST VARS'!$H$54*(8*0.5)+'LINEST VARS'!$G$54*(8*$DV45)+'LINEST VARS'!$F$54*(8*$EL$32)+'LINEST VARS'!$E$54*(8*0.5)+'LINEST VARS'!$D$54*(8*$DV45)+'LINEST VARS'!$C$54*($EL$32*0.5)+'LINEST VARS'!$B$54*($EL$32*$DV45)+'LINEST VARS'!$A$54*(0.5*$DV45)</f>
        <v>3.9749999999999996</v>
      </c>
      <c r="EM45" s="51">
        <f>'LINEST VARS'!$U$54+'LINEST VARS'!$T$54*(8)+'LINEST VARS'!$S$54*(8)+'LINEST VARS'!$R$54*($EM$32)+'LINEST VARS'!$Q$54*(0.5)+'LINEST VARS'!$P$54*($DV45)+'LINEST VARS'!$O$54*(8^2)+'LINEST VARS'!$N$54*(8^2)+'LINEST VARS'!$M$54*($EM$32^2)+'LINEST VARS'!$L$54*(0.5^2)+'LINEST VARS'!$K$54*($DV45^2)+'LINEST VARS'!$J$54*(8*8)+'LINEST VARS'!$I$54*(8*$EM$32)+'LINEST VARS'!$H$54*(8*0.5)+'LINEST VARS'!$G$54*(8*$DV45)+'LINEST VARS'!$F$54*(8*$EM$32)+'LINEST VARS'!$E$54*(8*0.5)+'LINEST VARS'!$D$54*(8*$DV45)+'LINEST VARS'!$C$54*($EM$32*0.5)+'LINEST VARS'!$B$54*($EM$32*$DV45)+'LINEST VARS'!$A$54*(0.5*$DV45)</f>
        <v>3.9749999999999996</v>
      </c>
      <c r="EN45" s="51">
        <f>'LINEST VARS'!$U$54+'LINEST VARS'!$T$54*(8)+'LINEST VARS'!$S$54*(8)+'LINEST VARS'!$R$54*($EN$32)+'LINEST VARS'!$Q$54*(0.5)+'LINEST VARS'!$P$54*($DV45)+'LINEST VARS'!$O$54*(8^2)+'LINEST VARS'!$N$54*(8^2)+'LINEST VARS'!$M$54*($EN$32^2)+'LINEST VARS'!$L$54*(0.5^2)+'LINEST VARS'!$K$54*($DV45^2)+'LINEST VARS'!$J$54*(8*8)+'LINEST VARS'!$I$54*(8*$EN$32)+'LINEST VARS'!$H$54*(8*0.5)+'LINEST VARS'!$G$54*(8*$DV45)+'LINEST VARS'!$F$54*(8*$EN$32)+'LINEST VARS'!$E$54*(8*0.5)+'LINEST VARS'!$D$54*(8*$DV45)+'LINEST VARS'!$C$54*($EN$32*0.5)+'LINEST VARS'!$B$54*($EN$32*$DV45)+'LINEST VARS'!$A$54*(0.5*$DV45)</f>
        <v>3.9749999999999996</v>
      </c>
      <c r="EO45" s="51">
        <f>'LINEST VARS'!$U$54+'LINEST VARS'!$T$54*(8)+'LINEST VARS'!$S$54*(8)+'LINEST VARS'!$R$54*($EO$32)+'LINEST VARS'!$Q$54*(0.5)+'LINEST VARS'!$P$54*($DV45)+'LINEST VARS'!$O$54*(8^2)+'LINEST VARS'!$N$54*(8^2)+'LINEST VARS'!$M$54*($EO$32^2)+'LINEST VARS'!$L$54*(0.5^2)+'LINEST VARS'!$K$54*($DV45^2)+'LINEST VARS'!$J$54*(8*8)+'LINEST VARS'!$I$54*(8*$EO$32)+'LINEST VARS'!$H$54*(8*0.5)+'LINEST VARS'!$G$54*(8*$DV45)+'LINEST VARS'!$F$54*(8*$EO$32)+'LINEST VARS'!$E$54*(8*0.5)+'LINEST VARS'!$D$54*(8*$DV45)+'LINEST VARS'!$C$54*($EO$32*0.5)+'LINEST VARS'!$B$54*($EO$32*$DV45)+'LINEST VARS'!$A$54*(0.5*$DV45)</f>
        <v>3.9749999999999996</v>
      </c>
      <c r="EP45" s="51">
        <f>'LINEST VARS'!$U$54+'LINEST VARS'!$T$54*(8)+'LINEST VARS'!$S$54*(8)+'LINEST VARS'!$R$54*($EP$32)+'LINEST VARS'!$Q$54*(0.5)+'LINEST VARS'!$P$54*($DV45)+'LINEST VARS'!$O$54*(8^2)+'LINEST VARS'!$N$54*(8^2)+'LINEST VARS'!$M$54*($EP$32^2)+'LINEST VARS'!$L$54*(0.5^2)+'LINEST VARS'!$K$54*($DV45^2)+'LINEST VARS'!$J$54*(8*8)+'LINEST VARS'!$I$54*(8*$EP$32)+'LINEST VARS'!$H$54*(8*0.5)+'LINEST VARS'!$G$54*(8*$DV45)+'LINEST VARS'!$F$54*(8*$EP$32)+'LINEST VARS'!$E$54*(8*0.5)+'LINEST VARS'!$D$54*(8*$DV45)+'LINEST VARS'!$C$54*($EP$32*0.5)+'LINEST VARS'!$B$54*($EP$32*$DV45)+'LINEST VARS'!$A$54*(0.5*$DV45)</f>
        <v>3.9749999999999996</v>
      </c>
      <c r="EQ45" s="52">
        <f>'LINEST VARS'!$U$54+'LINEST VARS'!$T$54*(8)+'LINEST VARS'!$S$54*(8)+'LINEST VARS'!$R$54*($EQ$32)+'LINEST VARS'!$Q$54*(0.5)+'LINEST VARS'!$P$54*($DV45)+'LINEST VARS'!$O$54*(8^2)+'LINEST VARS'!$N$54*(8^2)+'LINEST VARS'!$M$54*($EQ$32^2)+'LINEST VARS'!$L$54*(0.5^2)+'LINEST VARS'!$K$54*($DV45^2)+'LINEST VARS'!$J$54*(8*8)+'LINEST VARS'!$I$54*(8*$EQ$32)+'LINEST VARS'!$H$54*(8*0.5)+'LINEST VARS'!$G$54*(8*$DV45)+'LINEST VARS'!$F$54*(8*$EQ$32)+'LINEST VARS'!$E$54*(8*0.5)+'LINEST VARS'!$D$54*(8*$DV45)+'LINEST VARS'!$C$54*($EQ$32*0.5)+'LINEST VARS'!$B$54*($EQ$32*$DV45)+'LINEST VARS'!$A$54*(0.5*$DV45)</f>
        <v>3.9749999999999996</v>
      </c>
    </row>
    <row r="46" spans="2:147" ht="15" customHeight="1" x14ac:dyDescent="0.25">
      <c r="B46" s="45">
        <v>8.18</v>
      </c>
      <c r="C46" s="51">
        <f>'LINEST VARS'!$U$52+'LINEST VARS'!$T$52*($C$32)+'LINEST VARS'!$S$52*($B46)+'LINEST VARS'!$R$52*(4)+'LINEST VARS'!$Q$52*(0.5)+'LINEST VARS'!$P$52*(12.73)+'LINEST VARS'!$O$52*($C$32^2)+'LINEST VARS'!$N$52*($B46^2)+'LINEST VARS'!$M$52*(4^2)+'LINEST VARS'!$L$52*(0.5^2)+'LINEST VARS'!$K$52*(12.73^2)+'LINEST VARS'!$J$52*($C$32*$B46)+'LINEST VARS'!$I$52*($C$32*4)+'LINEST VARS'!$H$52*($C$32*0.5)+'LINEST VARS'!$G$52*($C$32*12.73)+'LINEST VARS'!$F$52*($B46*4)+'LINEST VARS'!$E$52*($B46*0.5)+'LINEST VARS'!$D$52*($B46*12.73)+'LINEST VARS'!$C$52*(4*0.5)+'LINEST VARS'!$B$52*(4*12.73)+'LINEST VARS'!$A$52*(0.5*12.73)</f>
        <v>4.4499999999999984</v>
      </c>
      <c r="D46" s="51">
        <f>'LINEST VARS'!$U$52+'LINEST VARS'!$T$52*($D$32)+'LINEST VARS'!$S$52*($B46)+'LINEST VARS'!$R$52*(4)+'LINEST VARS'!$Q$52*(0.5)+'LINEST VARS'!$P$52*(12.73)+'LINEST VARS'!$O$52*($D$32^2)+'LINEST VARS'!$N$52*($B46^2)+'LINEST VARS'!$M$52*(4^2)+'LINEST VARS'!$L$52*(0.5^2)+'LINEST VARS'!$K$52*(12.73^2)+'LINEST VARS'!$J$52*($D$32*$B46)+'LINEST VARS'!$I$52*($D$32*4)+'LINEST VARS'!$H$52*($D$32*0.5)+'LINEST VARS'!$G$52*($D$32*12.73)+'LINEST VARS'!$F$52*($B46*4)+'LINEST VARS'!$E$52*($B46*0.5)+'LINEST VARS'!$D$52*($B46*12.73)+'LINEST VARS'!$C$52*(4*0.5)+'LINEST VARS'!$B$52*(4*12.73)+'LINEST VARS'!$A$52*(0.5*12.73)</f>
        <v>4.4499999999999984</v>
      </c>
      <c r="E46" s="51">
        <f>'LINEST VARS'!$U$52+'LINEST VARS'!$T$52*($E$32)+'LINEST VARS'!$S$52*($B46)+'LINEST VARS'!$R$52*(4)+'LINEST VARS'!$Q$52*(0.5)+'LINEST VARS'!$P$52*(12.73)+'LINEST VARS'!$O$52*($E$32^2)+'LINEST VARS'!$N$52*($B46^2)+'LINEST VARS'!$M$52*(4^2)+'LINEST VARS'!$L$52*(0.5^2)+'LINEST VARS'!$K$52*(12.73^2)+'LINEST VARS'!$J$52*($E$32*$B46)+'LINEST VARS'!$I$52*($E$32*4)+'LINEST VARS'!$H$52*($E$32*0.5)+'LINEST VARS'!$G$52*($E$32*12.73)+'LINEST VARS'!$F$52*($B46*4)+'LINEST VARS'!$E$52*($B46*0.5)+'LINEST VARS'!$D$52*($B46*12.73)+'LINEST VARS'!$C$52*(4*0.5)+'LINEST VARS'!$B$52*(4*12.73)+'LINEST VARS'!$A$52*(0.5*12.73)</f>
        <v>4.4499999999999984</v>
      </c>
      <c r="F46" s="51">
        <f>'LINEST VARS'!$U$52+'LINEST VARS'!$T$52*($F$32)+'LINEST VARS'!$S$52*($B46)+'LINEST VARS'!$R$52*(4)+'LINEST VARS'!$Q$52*(0.5)+'LINEST VARS'!$P$52*(12.73)+'LINEST VARS'!$O$52*($F$32^2)+'LINEST VARS'!$N$52*($B46^2)+'LINEST VARS'!$M$52*(4^2)+'LINEST VARS'!$L$52*(0.5^2)+'LINEST VARS'!$K$52*(12.73^2)+'LINEST VARS'!$J$52*($F$32*$B46)+'LINEST VARS'!$I$52*($F$32*4)+'LINEST VARS'!$H$52*($F$32*0.5)+'LINEST VARS'!$G$52*($F$32*12.73)+'LINEST VARS'!$F$52*($B46*4)+'LINEST VARS'!$E$52*($B46*0.5)+'LINEST VARS'!$D$52*($B46*12.73)+'LINEST VARS'!$C$52*(4*0.5)+'LINEST VARS'!$B$52*(4*12.73)+'LINEST VARS'!$A$52*(0.5*12.73)</f>
        <v>4.4499999999999984</v>
      </c>
      <c r="G46" s="51">
        <f>'LINEST VARS'!$U$52+'LINEST VARS'!$T$52*($G$32)+'LINEST VARS'!$S$52*($B46)+'LINEST VARS'!$R$52*(4)+'LINEST VARS'!$Q$52*(0.5)+'LINEST VARS'!$P$52*(12.73)+'LINEST VARS'!$O$52*($G$32^2)+'LINEST VARS'!$N$52*($B46^2)+'LINEST VARS'!$M$52*(4^2)+'LINEST VARS'!$L$52*(0.5^2)+'LINEST VARS'!$K$52*(12.73^2)+'LINEST VARS'!$J$52*($G$32*$B46)+'LINEST VARS'!$I$52*($G$32*4)+'LINEST VARS'!$H$52*($G$32*0.5)+'LINEST VARS'!$G$52*($G$32*12.73)+'LINEST VARS'!$F$52*($B46*4)+'LINEST VARS'!$E$52*($B46*0.5)+'LINEST VARS'!$D$52*($B46*12.73)+'LINEST VARS'!$C$52*(4*0.5)+'LINEST VARS'!$B$52*(4*12.73)+'LINEST VARS'!$A$52*(0.5*12.73)</f>
        <v>4.4499999999999984</v>
      </c>
      <c r="H46" s="51">
        <f>'LINEST VARS'!$U$52+'LINEST VARS'!$T$52*($H$32)+'LINEST VARS'!$S$52*($B46)+'LINEST VARS'!$R$52*(4)+'LINEST VARS'!$Q$52*(0.5)+'LINEST VARS'!$P$52*(12.73)+'LINEST VARS'!$O$52*($H$32^2)+'LINEST VARS'!$N$52*($B46^2)+'LINEST VARS'!$M$52*(4^2)+'LINEST VARS'!$L$52*(0.5^2)+'LINEST VARS'!$K$52*(12.73^2)+'LINEST VARS'!$J$52*($H$32*$B46)+'LINEST VARS'!$I$52*($H$32*4)+'LINEST VARS'!$H$52*($H$32*0.5)+'LINEST VARS'!$G$52*($H$32*12.73)+'LINEST VARS'!$F$52*($B46*4)+'LINEST VARS'!$E$52*($B46*0.5)+'LINEST VARS'!$D$52*($B46*12.73)+'LINEST VARS'!$C$52*(4*0.5)+'LINEST VARS'!$B$52*(4*12.73)+'LINEST VARS'!$A$52*(0.5*12.73)</f>
        <v>4.4499999999999984</v>
      </c>
      <c r="I46" s="51">
        <f>'LINEST VARS'!$U$52+'LINEST VARS'!$T$52*($I$32)+'LINEST VARS'!$S$52*($B46)+'LINEST VARS'!$R$52*(4)+'LINEST VARS'!$Q$52*(0.5)+'LINEST VARS'!$P$52*(12.73)+'LINEST VARS'!$O$52*($I$32^2)+'LINEST VARS'!$N$52*($B46^2)+'LINEST VARS'!$M$52*(4^2)+'LINEST VARS'!$L$52*(0.5^2)+'LINEST VARS'!$K$52*(12.73^2)+'LINEST VARS'!$J$52*($I$32*$B46)+'LINEST VARS'!$I$52*($I$32*4)+'LINEST VARS'!$H$52*($I$32*0.5)+'LINEST VARS'!$G$52*($I$32*12.73)+'LINEST VARS'!$F$52*($B46*4)+'LINEST VARS'!$E$52*($B46*0.5)+'LINEST VARS'!$D$52*($B46*12.73)+'LINEST VARS'!$C$52*(4*0.5)+'LINEST VARS'!$B$52*(4*12.73)+'LINEST VARS'!$A$52*(0.5*12.73)</f>
        <v>4.4499999999999984</v>
      </c>
      <c r="J46" s="51">
        <f>'LINEST VARS'!$U$52+'LINEST VARS'!$T$52*($J$32)+'LINEST VARS'!$S$52*($B46)+'LINEST VARS'!$R$52*(4)+'LINEST VARS'!$Q$52*(0.5)+'LINEST VARS'!$P$52*(12.73)+'LINEST VARS'!$O$52*($J$32^2)+'LINEST VARS'!$N$52*($B46^2)+'LINEST VARS'!$M$52*(4^2)+'LINEST VARS'!$L$52*(0.5^2)+'LINEST VARS'!$K$52*(12.73^2)+'LINEST VARS'!$J$52*($J$32*$B46)+'LINEST VARS'!$I$52*($J$32*4)+'LINEST VARS'!$H$52*($J$32*0.5)+'LINEST VARS'!$G$52*($J$32*12.73)+'LINEST VARS'!$F$52*($B46*4)+'LINEST VARS'!$E$52*($B46*0.5)+'LINEST VARS'!$D$52*($B46*12.73)+'LINEST VARS'!$C$52*(4*0.5)+'LINEST VARS'!$B$52*(4*12.73)+'LINEST VARS'!$A$52*(0.5*12.73)</f>
        <v>4.4499999999999984</v>
      </c>
      <c r="K46" s="51">
        <f>'LINEST VARS'!$U$52+'LINEST VARS'!$T$52*($K$32)+'LINEST VARS'!$S$52*($B46)+'LINEST VARS'!$R$52*(4)+'LINEST VARS'!$Q$52*(0.5)+'LINEST VARS'!$P$52*(12.73)+'LINEST VARS'!$O$52*($K$32^2)+'LINEST VARS'!$N$52*($B46^2)+'LINEST VARS'!$M$52*(4^2)+'LINEST VARS'!$L$52*(0.5^2)+'LINEST VARS'!$K$52*(12.73^2)+'LINEST VARS'!$J$52*($K$32*$B46)+'LINEST VARS'!$I$52*($K$32*4)+'LINEST VARS'!$H$52*($K$32*0.5)+'LINEST VARS'!$G$52*($K$32*12.73)+'LINEST VARS'!$F$52*($B46*4)+'LINEST VARS'!$E$52*($B46*0.5)+'LINEST VARS'!$D$52*($B46*12.73)+'LINEST VARS'!$C$52*(4*0.5)+'LINEST VARS'!$B$52*(4*12.73)+'LINEST VARS'!$A$52*(0.5*12.73)</f>
        <v>4.4499999999999984</v>
      </c>
      <c r="L46" s="51">
        <f>'LINEST VARS'!$U$52+'LINEST VARS'!$T$52*($L$32)+'LINEST VARS'!$S$52*($B46)+'LINEST VARS'!$R$52*(4)+'LINEST VARS'!$Q$52*(0.5)+'LINEST VARS'!$P$52*(12.73)+'LINEST VARS'!$O$52*($L$32^2)+'LINEST VARS'!$N$52*($B46^2)+'LINEST VARS'!$M$52*(4^2)+'LINEST VARS'!$L$52*(0.5^2)+'LINEST VARS'!$K$52*(12.73^2)+'LINEST VARS'!$J$52*($L$32*$B46)+'LINEST VARS'!$I$52*($L$32*4)+'LINEST VARS'!$H$52*($L$32*0.5)+'LINEST VARS'!$G$52*($L$32*12.73)+'LINEST VARS'!$F$52*($B46*4)+'LINEST VARS'!$E$52*($B46*0.5)+'LINEST VARS'!$D$52*($B46*12.73)+'LINEST VARS'!$C$52*(4*0.5)+'LINEST VARS'!$B$52*(4*12.73)+'LINEST VARS'!$A$52*(0.5*12.73)</f>
        <v>4.4499999999999984</v>
      </c>
      <c r="M46" s="51">
        <f>'LINEST VARS'!$U$52+'LINEST VARS'!$T$52*($M$32)+'LINEST VARS'!$S$52*($B46)+'LINEST VARS'!$R$52*(4)+'LINEST VARS'!$Q$52*(0.5)+'LINEST VARS'!$P$52*(12.73)+'LINEST VARS'!$O$52*($M$32^2)+'LINEST VARS'!$N$52*($B46^2)+'LINEST VARS'!$M$52*(4^2)+'LINEST VARS'!$L$52*(0.5^2)+'LINEST VARS'!$K$52*(12.73^2)+'LINEST VARS'!$J$52*($M$32*$B46)+'LINEST VARS'!$I$52*($M$32*4)+'LINEST VARS'!$H$52*($M$32*0.5)+'LINEST VARS'!$G$52*($M$32*12.73)+'LINEST VARS'!$F$52*($B46*4)+'LINEST VARS'!$E$52*($B46*0.5)+'LINEST VARS'!$D$52*($B46*12.73)+'LINEST VARS'!$C$52*(4*0.5)+'LINEST VARS'!$B$52*(4*12.73)+'LINEST VARS'!$A$52*(0.5*12.73)</f>
        <v>4.4499999999999984</v>
      </c>
      <c r="N46" s="51">
        <f>'LINEST VARS'!$U$52+'LINEST VARS'!$T$52*($N$32)+'LINEST VARS'!$S$52*($B46)+'LINEST VARS'!$R$52*(4)+'LINEST VARS'!$Q$52*(0.5)+'LINEST VARS'!$P$52*(12.73)+'LINEST VARS'!$O$52*($N$32^2)+'LINEST VARS'!$N$52*($B46^2)+'LINEST VARS'!$M$52*(4^2)+'LINEST VARS'!$L$52*(0.5^2)+'LINEST VARS'!$K$52*(12.73^2)+'LINEST VARS'!$J$52*($N$32*$B46)+'LINEST VARS'!$I$52*($N$32*4)+'LINEST VARS'!$H$52*($N$32*0.5)+'LINEST VARS'!$G$52*($N$32*12.73)+'LINEST VARS'!$F$52*($B46*4)+'LINEST VARS'!$E$52*($B46*0.5)+'LINEST VARS'!$D$52*($B46*12.73)+'LINEST VARS'!$C$52*(4*0.5)+'LINEST VARS'!$B$52*(4*12.73)+'LINEST VARS'!$A$52*(0.5*12.73)</f>
        <v>4.4499999999999984</v>
      </c>
      <c r="O46" s="51">
        <f>'LINEST VARS'!$U$52+'LINEST VARS'!$T$52*($O$32)+'LINEST VARS'!$S$52*($B46)+'LINEST VARS'!$R$52*(4)+'LINEST VARS'!$Q$52*(0.5)+'LINEST VARS'!$P$52*(12.73)+'LINEST VARS'!$O$52*($O$32^2)+'LINEST VARS'!$N$52*($B46^2)+'LINEST VARS'!$M$52*(4^2)+'LINEST VARS'!$L$52*(0.5^2)+'LINEST VARS'!$K$52*(12.73^2)+'LINEST VARS'!$J$52*($O$32*$B46)+'LINEST VARS'!$I$52*($O$32*4)+'LINEST VARS'!$H$52*($O$32*0.5)+'LINEST VARS'!$G$52*($O$32*12.73)+'LINEST VARS'!$F$52*($B46*4)+'LINEST VARS'!$E$52*($B46*0.5)+'LINEST VARS'!$D$52*($B46*12.73)+'LINEST VARS'!$C$52*(4*0.5)+'LINEST VARS'!$B$52*(4*12.73)+'LINEST VARS'!$A$52*(0.5*12.73)</f>
        <v>4.4499999999999984</v>
      </c>
      <c r="P46" s="51">
        <f>'LINEST VARS'!$U$52+'LINEST VARS'!$T$52*($P$32)+'LINEST VARS'!$S$52*($B46)+'LINEST VARS'!$R$52*(4)+'LINEST VARS'!$Q$52*(0.5)+'LINEST VARS'!$P$52*(12.73)+'LINEST VARS'!$O$52*($P$32^2)+'LINEST VARS'!$N$52*($B46^2)+'LINEST VARS'!$M$52*(4^2)+'LINEST VARS'!$L$52*(0.5^2)+'LINEST VARS'!$K$52*(12.73^2)+'LINEST VARS'!$J$52*($P$32*$B46)+'LINEST VARS'!$I$52*($P$32*4)+'LINEST VARS'!$H$52*($P$32*0.5)+'LINEST VARS'!$G$52*($P$32*12.73)+'LINEST VARS'!$F$52*($B46*4)+'LINEST VARS'!$E$52*($B46*0.5)+'LINEST VARS'!$D$52*($B46*12.73)+'LINEST VARS'!$C$52*(4*0.5)+'LINEST VARS'!$B$52*(4*12.73)+'LINEST VARS'!$A$52*(0.5*12.73)</f>
        <v>4.4499999999999984</v>
      </c>
      <c r="Q46" s="51">
        <f>'LINEST VARS'!$U$52+'LINEST VARS'!$T$52*($Q$32)+'LINEST VARS'!$S$52*($B46)+'LINEST VARS'!$R$52*(4)+'LINEST VARS'!$Q$52*(0.5)+'LINEST VARS'!$P$52*(12.73)+'LINEST VARS'!$O$52*($Q$32^2)+'LINEST VARS'!$N$52*($B46^2)+'LINEST VARS'!$M$52*(4^2)+'LINEST VARS'!$L$52*(0.5^2)+'LINEST VARS'!$K$52*(12.73^2)+'LINEST VARS'!$J$52*($Q$32*$B46)+'LINEST VARS'!$I$52*($Q$32*4)+'LINEST VARS'!$H$52*($Q$32*0.5)+'LINEST VARS'!$G$52*($Q$32*12.73)+'LINEST VARS'!$F$52*($B46*4)+'LINEST VARS'!$E$52*($B46*0.5)+'LINEST VARS'!$D$52*($B46*12.73)+'LINEST VARS'!$C$52*(4*0.5)+'LINEST VARS'!$B$52*(4*12.73)+'LINEST VARS'!$A$52*(0.5*12.73)</f>
        <v>4.4499999999999984</v>
      </c>
      <c r="R46" s="51">
        <f>'LINEST VARS'!$U$52+'LINEST VARS'!$T$52*($R$32)+'LINEST VARS'!$S$52*($B46)+'LINEST VARS'!$R$52*(4)+'LINEST VARS'!$Q$52*(0.5)+'LINEST VARS'!$P$52*(12.73)+'LINEST VARS'!$O$52*($R$32^2)+'LINEST VARS'!$N$52*($B46^2)+'LINEST VARS'!$M$52*(4^2)+'LINEST VARS'!$L$52*(0.5^2)+'LINEST VARS'!$K$52*(12.73^2)+'LINEST VARS'!$J$52*($R$32*$B46)+'LINEST VARS'!$I$52*($R$32*4)+'LINEST VARS'!$H$52*($R$32*0.5)+'LINEST VARS'!$G$52*($R$32*12.73)+'LINEST VARS'!$F$52*($B46*4)+'LINEST VARS'!$E$52*($B46*0.5)+'LINEST VARS'!$D$52*($B46*12.73)+'LINEST VARS'!$C$52*(4*0.5)+'LINEST VARS'!$B$52*(4*12.73)+'LINEST VARS'!$A$52*(0.5*12.73)</f>
        <v>4.4499999999999984</v>
      </c>
      <c r="S46" s="51">
        <f>'LINEST VARS'!$U$52+'LINEST VARS'!$T$52*($S$32)+'LINEST VARS'!$S$52*($B46)+'LINEST VARS'!$R$52*(4)+'LINEST VARS'!$Q$52*(0.5)+'LINEST VARS'!$P$52*(12.73)+'LINEST VARS'!$O$52*($S$32^2)+'LINEST VARS'!$N$52*($B46^2)+'LINEST VARS'!$M$52*(4^2)+'LINEST VARS'!$L$52*(0.5^2)+'LINEST VARS'!$K$52*(12.73^2)+'LINEST VARS'!$J$52*($S$32*$B46)+'LINEST VARS'!$I$52*($S$32*4)+'LINEST VARS'!$H$52*($S$32*0.5)+'LINEST VARS'!$G$52*($S$32*12.73)+'LINEST VARS'!$F$52*($B46*4)+'LINEST VARS'!$E$52*($B46*0.5)+'LINEST VARS'!$D$52*($B46*12.73)+'LINEST VARS'!$C$52*(4*0.5)+'LINEST VARS'!$B$52*(4*12.73)+'LINEST VARS'!$A$52*(0.5*12.73)</f>
        <v>4.4499999999999984</v>
      </c>
      <c r="T46" s="51">
        <f>'LINEST VARS'!$U$52+'LINEST VARS'!$T$52*($T$32)+'LINEST VARS'!$S$52*($B46)+'LINEST VARS'!$R$52*(4)+'LINEST VARS'!$Q$52*(0.5)+'LINEST VARS'!$P$52*(12.73)+'LINEST VARS'!$O$52*($T$32^2)+'LINEST VARS'!$N$52*($B46^2)+'LINEST VARS'!$M$52*(4^2)+'LINEST VARS'!$L$52*(0.5^2)+'LINEST VARS'!$K$52*(12.73^2)+'LINEST VARS'!$J$52*($T$32*$B46)+'LINEST VARS'!$I$52*($T$32*4)+'LINEST VARS'!$H$52*($T$32*0.5)+'LINEST VARS'!$G$52*($T$32*12.73)+'LINEST VARS'!$F$52*($B46*4)+'LINEST VARS'!$E$52*($B46*0.5)+'LINEST VARS'!$D$52*($B46*12.73)+'LINEST VARS'!$C$52*(4*0.5)+'LINEST VARS'!$B$52*(4*12.73)+'LINEST VARS'!$A$52*(0.5*12.73)</f>
        <v>4.4499999999999984</v>
      </c>
      <c r="U46" s="51">
        <f>'LINEST VARS'!$U$52+'LINEST VARS'!$T$52*($U$32)+'LINEST VARS'!$S$52*($B46)+'LINEST VARS'!$R$52*(4)+'LINEST VARS'!$Q$52*(0.5)+'LINEST VARS'!$P$52*(12.73)+'LINEST VARS'!$O$52*($U$32^2)+'LINEST VARS'!$N$52*($B46^2)+'LINEST VARS'!$M$52*(4^2)+'LINEST VARS'!$L$52*(0.5^2)+'LINEST VARS'!$K$52*(12.73^2)+'LINEST VARS'!$J$52*($U$32*$B46)+'LINEST VARS'!$I$52*($U$32*4)+'LINEST VARS'!$H$52*($U$32*0.5)+'LINEST VARS'!$G$52*($U$32*12.73)+'LINEST VARS'!$F$52*($B46*4)+'LINEST VARS'!$E$52*($B46*0.5)+'LINEST VARS'!$D$52*($B46*12.73)+'LINEST VARS'!$C$52*(4*0.5)+'LINEST VARS'!$B$52*(4*12.73)+'LINEST VARS'!$A$52*(0.5*12.73)</f>
        <v>4.4499999999999984</v>
      </c>
      <c r="V46" s="51">
        <f>'LINEST VARS'!$U$52+'LINEST VARS'!$T$52*($V$32)+'LINEST VARS'!$S$52*($B46)+'LINEST VARS'!$R$52*(4)+'LINEST VARS'!$Q$52*(0.5)+'LINEST VARS'!$P$52*(12.73)+'LINEST VARS'!$O$52*($V$32^2)+'LINEST VARS'!$N$52*($B46^2)+'LINEST VARS'!$M$52*(4^2)+'LINEST VARS'!$L$52*(0.5^2)+'LINEST VARS'!$K$52*(12.73^2)+'LINEST VARS'!$J$52*($V$32*$B46)+'LINEST VARS'!$I$52*($V$32*4)+'LINEST VARS'!$H$52*($V$32*0.5)+'LINEST VARS'!$G$52*($V$32*12.73)+'LINEST VARS'!$F$52*($B46*4)+'LINEST VARS'!$E$52*($B46*0.5)+'LINEST VARS'!$D$52*($B46*12.73)+'LINEST VARS'!$C$52*(4*0.5)+'LINEST VARS'!$B$52*(4*12.73)+'LINEST VARS'!$A$52*(0.5*12.73)</f>
        <v>4.4499999999999993</v>
      </c>
      <c r="W46" s="52">
        <f>'LINEST VARS'!$U$52+'LINEST VARS'!$T$52*($W$32)+'LINEST VARS'!$S$52*($B46)+'LINEST VARS'!$R$52*(4)+'LINEST VARS'!$Q$52*(0.5)+'LINEST VARS'!$P$52*(12.73)+'LINEST VARS'!$O$52*($W$32^2)+'LINEST VARS'!$N$52*($B46^2)+'LINEST VARS'!$M$52*(4^2)+'LINEST VARS'!$L$52*(0.5^2)+'LINEST VARS'!$K$52*(12.73^2)+'LINEST VARS'!$J$52*($W$32*$B46)+'LINEST VARS'!$I$52*($W$32*4)+'LINEST VARS'!$H$52*($W$32*0.5)+'LINEST VARS'!$G$52*($W$32*12.73)+'LINEST VARS'!$F$52*($B46*4)+'LINEST VARS'!$E$52*($B46*0.5)+'LINEST VARS'!$D$52*($B46*12.73)+'LINEST VARS'!$C$52*(4*0.5)+'LINEST VARS'!$B$52*(4*12.73)+'LINEST VARS'!$A$52*(0.5*12.73)</f>
        <v>4.4499999999999993</v>
      </c>
      <c r="Z46" s="45">
        <v>8.18</v>
      </c>
      <c r="AA46" s="51">
        <f>'LINEST VARS'!$U$54+'LINEST VARS'!$T$54*($AA$32)+'LINEST VARS'!$S$54*($Z46)+'LINEST VARS'!$R$54*(4)+'LINEST VARS'!$Q$54*(0.5)+'LINEST VARS'!$P$54*(12.73)+'LINEST VARS'!$O$54*($AA$32^2)+'LINEST VARS'!$N$54*($Z46^2)+'LINEST VARS'!$M$54*(4^2)+'LINEST VARS'!$L$54*(0.5^2)+'LINEST VARS'!$K$54*(12.73^2)+'LINEST VARS'!$J$54*($AA$32*$Z46)+'LINEST VARS'!$I$54*($AA$32*4)+'LINEST VARS'!$H$54*($AA$32*0.5)+'LINEST VARS'!$G$54*($AA$32*12.73)+'LINEST VARS'!$F$54*($Z46*4)+'LINEST VARS'!$E$54*($Z46*0.5)+'LINEST VARS'!$D$54*($Z46*12.73)+'LINEST VARS'!$C$54*(4*0.5)+'LINEST VARS'!$B$54*(4*12.73)+'LINEST VARS'!$A$54*(0.5*12.73)</f>
        <v>3.9749999999999996</v>
      </c>
      <c r="AB46" s="51">
        <f>'LINEST VARS'!$U$54+'LINEST VARS'!$T$54*($AB$32)+'LINEST VARS'!$S$54*($Z46)+'LINEST VARS'!$R$54*(4)+'LINEST VARS'!$Q$54*(0.5)+'LINEST VARS'!$P$54*(12.73)+'LINEST VARS'!$O$54*($AB$32^2)+'LINEST VARS'!$N$54*($Z46^2)+'LINEST VARS'!$M$54*(4^2)+'LINEST VARS'!$L$54*(0.5^2)+'LINEST VARS'!$K$54*(12.73^2)+'LINEST VARS'!$J$54*($AB$32*$Z46)+'LINEST VARS'!$I$54*($AB$32*4)+'LINEST VARS'!$H$54*($AB$32*0.5)+'LINEST VARS'!$G$54*($AB$32*12.73)+'LINEST VARS'!$F$54*($Z46*4)+'LINEST VARS'!$E$54*($Z46*0.5)+'LINEST VARS'!$D$54*($Z46*12.73)+'LINEST VARS'!$C$54*(4*0.5)+'LINEST VARS'!$B$54*(4*12.73)+'LINEST VARS'!$A$54*(0.5*12.73)</f>
        <v>3.9749999999999996</v>
      </c>
      <c r="AC46" s="51">
        <f>'LINEST VARS'!$U$54+'LINEST VARS'!$T$54*($AC$32)+'LINEST VARS'!$S$54*($Z46)+'LINEST VARS'!$R$54*(4)+'LINEST VARS'!$Q$54*(0.5)+'LINEST VARS'!$P$54*(12.73)+'LINEST VARS'!$O$54*($AC$32^2)+'LINEST VARS'!$N$54*($Z46^2)+'LINEST VARS'!$M$54*(4^2)+'LINEST VARS'!$L$54*(0.5^2)+'LINEST VARS'!$K$54*(12.73^2)+'LINEST VARS'!$J$54*($AC$32*$Z46)+'LINEST VARS'!$I$54*($AC$32*4)+'LINEST VARS'!$H$54*($AC$32*0.5)+'LINEST VARS'!$G$54*($AC$32*12.73)+'LINEST VARS'!$F$54*($Z46*4)+'LINEST VARS'!$E$54*($Z46*0.5)+'LINEST VARS'!$D$54*($Z46*12.73)+'LINEST VARS'!$C$54*(4*0.5)+'LINEST VARS'!$B$54*(4*12.73)+'LINEST VARS'!$A$54*(0.5*12.73)</f>
        <v>3.9749999999999996</v>
      </c>
      <c r="AD46" s="51">
        <f>'LINEST VARS'!$U$54+'LINEST VARS'!$T$54*($AD$32)+'LINEST VARS'!$S$54*($Z46)+'LINEST VARS'!$R$54*(4)+'LINEST VARS'!$Q$54*(0.5)+'LINEST VARS'!$P$54*(12.73)+'LINEST VARS'!$O$54*($AD$32^2)+'LINEST VARS'!$N$54*($Z46^2)+'LINEST VARS'!$M$54*(4^2)+'LINEST VARS'!$L$54*(0.5^2)+'LINEST VARS'!$K$54*(12.73^2)+'LINEST VARS'!$J$54*($AD$32*$Z46)+'LINEST VARS'!$I$54*($AD$32*4)+'LINEST VARS'!$H$54*($AD$32*0.5)+'LINEST VARS'!$G$54*($AD$32*12.73)+'LINEST VARS'!$F$54*($Z46*4)+'LINEST VARS'!$E$54*($Z46*0.5)+'LINEST VARS'!$D$54*($Z46*12.73)+'LINEST VARS'!$C$54*(4*0.5)+'LINEST VARS'!$B$54*(4*12.73)+'LINEST VARS'!$A$54*(0.5*12.73)</f>
        <v>3.9749999999999996</v>
      </c>
      <c r="AE46" s="51">
        <f>'LINEST VARS'!$U$54+'LINEST VARS'!$T$54*($AE$32)+'LINEST VARS'!$S$54*($Z46)+'LINEST VARS'!$R$54*(4)+'LINEST VARS'!$Q$54*(0.5)+'LINEST VARS'!$P$54*(12.73)+'LINEST VARS'!$O$54*($AE$32^2)+'LINEST VARS'!$N$54*($Z46^2)+'LINEST VARS'!$M$54*(4^2)+'LINEST VARS'!$L$54*(0.5^2)+'LINEST VARS'!$K$54*(12.73^2)+'LINEST VARS'!$J$54*($AE$32*$Z46)+'LINEST VARS'!$I$54*($AE$32*4)+'LINEST VARS'!$H$54*($AE$32*0.5)+'LINEST VARS'!$G$54*($AE$32*12.73)+'LINEST VARS'!$F$54*($Z46*4)+'LINEST VARS'!$E$54*($Z46*0.5)+'LINEST VARS'!$D$54*($Z46*12.73)+'LINEST VARS'!$C$54*(4*0.5)+'LINEST VARS'!$B$54*(4*12.73)+'LINEST VARS'!$A$54*(0.5*12.73)</f>
        <v>3.9749999999999996</v>
      </c>
      <c r="AF46" s="51">
        <f>'LINEST VARS'!$U$54+'LINEST VARS'!$T$54*($AF$32)+'LINEST VARS'!$S$54*($Z46)+'LINEST VARS'!$R$54*(4)+'LINEST VARS'!$Q$54*(0.5)+'LINEST VARS'!$P$54*(12.73)+'LINEST VARS'!$O$54*($AF$32^2)+'LINEST VARS'!$N$54*($Z46^2)+'LINEST VARS'!$M$54*(4^2)+'LINEST VARS'!$L$54*(0.5^2)+'LINEST VARS'!$K$54*(12.73^2)+'LINEST VARS'!$J$54*($AF$32*$Z46)+'LINEST VARS'!$I$54*($AF$32*4)+'LINEST VARS'!$H$54*($AF$32*0.5)+'LINEST VARS'!$G$54*($AF$32*12.73)+'LINEST VARS'!$F$54*($Z46*4)+'LINEST VARS'!$E$54*($Z46*0.5)+'LINEST VARS'!$D$54*($Z46*12.73)+'LINEST VARS'!$C$54*(4*0.5)+'LINEST VARS'!$B$54*(4*12.73)+'LINEST VARS'!$A$54*(0.5*12.73)</f>
        <v>3.9749999999999996</v>
      </c>
      <c r="AG46" s="51">
        <f>'LINEST VARS'!$U$54+'LINEST VARS'!$T$54*($AG$32)+'LINEST VARS'!$S$54*($Z46)+'LINEST VARS'!$R$54*(4)+'LINEST VARS'!$Q$54*(0.5)+'LINEST VARS'!$P$54*(12.73)+'LINEST VARS'!$O$54*($AG$32^2)+'LINEST VARS'!$N$54*($Z46^2)+'LINEST VARS'!$M$54*(4^2)+'LINEST VARS'!$L$54*(0.5^2)+'LINEST VARS'!$K$54*(12.73^2)+'LINEST VARS'!$J$54*($AG$32*$Z46)+'LINEST VARS'!$I$54*($AG$32*4)+'LINEST VARS'!$H$54*($AG$32*0.5)+'LINEST VARS'!$G$54*($AG$32*12.73)+'LINEST VARS'!$F$54*($Z46*4)+'LINEST VARS'!$E$54*($Z46*0.5)+'LINEST VARS'!$D$54*($Z46*12.73)+'LINEST VARS'!$C$54*(4*0.5)+'LINEST VARS'!$B$54*(4*12.73)+'LINEST VARS'!$A$54*(0.5*12.73)</f>
        <v>3.9749999999999996</v>
      </c>
      <c r="AH46" s="51">
        <f>'LINEST VARS'!$U$54+'LINEST VARS'!$T$54*($AH$32)+'LINEST VARS'!$S$54*($Z46)+'LINEST VARS'!$R$54*(4)+'LINEST VARS'!$Q$54*(0.5)+'LINEST VARS'!$P$54*(12.73)+'LINEST VARS'!$O$54*($AH$32^2)+'LINEST VARS'!$N$54*($Z46^2)+'LINEST VARS'!$M$54*(4^2)+'LINEST VARS'!$L$54*(0.5^2)+'LINEST VARS'!$K$54*(12.73^2)+'LINEST VARS'!$J$54*($AH$32*$Z46)+'LINEST VARS'!$I$54*($AH$32*4)+'LINEST VARS'!$H$54*($AH$32*0.5)+'LINEST VARS'!$G$54*($AH$32*12.73)+'LINEST VARS'!$F$54*($Z46*4)+'LINEST VARS'!$E$54*($Z46*0.5)+'LINEST VARS'!$D$54*($Z46*12.73)+'LINEST VARS'!$C$54*(4*0.5)+'LINEST VARS'!$B$54*(4*12.73)+'LINEST VARS'!$A$54*(0.5*12.73)</f>
        <v>3.9749999999999996</v>
      </c>
      <c r="AI46" s="51">
        <f>'LINEST VARS'!$U$54+'LINEST VARS'!$T$54*($AI$32)+'LINEST VARS'!$S$54*($Z46)+'LINEST VARS'!$R$54*(4)+'LINEST VARS'!$Q$54*(0.5)+'LINEST VARS'!$P$54*(12.73)+'LINEST VARS'!$O$54*($AI$32^2)+'LINEST VARS'!$N$54*($Z46^2)+'LINEST VARS'!$M$54*(4^2)+'LINEST VARS'!$L$54*(0.5^2)+'LINEST VARS'!$K$54*(12.73^2)+'LINEST VARS'!$J$54*($AI$32*$Z46)+'LINEST VARS'!$I$54*($AI$32*4)+'LINEST VARS'!$H$54*($AI$32*0.5)+'LINEST VARS'!$G$54*($AI$32*12.73)+'LINEST VARS'!$F$54*($Z46*4)+'LINEST VARS'!$E$54*($Z46*0.5)+'LINEST VARS'!$D$54*($Z46*12.73)+'LINEST VARS'!$C$54*(4*0.5)+'LINEST VARS'!$B$54*(4*12.73)+'LINEST VARS'!$A$54*(0.5*12.73)</f>
        <v>3.9749999999999996</v>
      </c>
      <c r="AJ46" s="51">
        <f>'LINEST VARS'!$U$54+'LINEST VARS'!$T$54*($AJ$32)+'LINEST VARS'!$S$54*($Z46)+'LINEST VARS'!$R$54*(4)+'LINEST VARS'!$Q$54*(0.5)+'LINEST VARS'!$P$54*(12.73)+'LINEST VARS'!$O$54*($AJ$32^2)+'LINEST VARS'!$N$54*($Z46^2)+'LINEST VARS'!$M$54*(4^2)+'LINEST VARS'!$L$54*(0.5^2)+'LINEST VARS'!$K$54*(12.73^2)+'LINEST VARS'!$J$54*($AJ$32*$Z46)+'LINEST VARS'!$I$54*($AJ$32*4)+'LINEST VARS'!$H$54*($AJ$32*0.5)+'LINEST VARS'!$G$54*($AJ$32*12.73)+'LINEST VARS'!$F$54*($Z46*4)+'LINEST VARS'!$E$54*($Z46*0.5)+'LINEST VARS'!$D$54*($Z46*12.73)+'LINEST VARS'!$C$54*(4*0.5)+'LINEST VARS'!$B$54*(4*12.73)+'LINEST VARS'!$A$54*(0.5*12.73)</f>
        <v>3.9749999999999996</v>
      </c>
      <c r="AK46" s="51">
        <f>'LINEST VARS'!$U$54+'LINEST VARS'!$T$54*($AK$32)+'LINEST VARS'!$S$54*($Z46)+'LINEST VARS'!$R$54*(4)+'LINEST VARS'!$Q$54*(0.5)+'LINEST VARS'!$P$54*(12.73)+'LINEST VARS'!$O$54*($AK$32^2)+'LINEST VARS'!$N$54*($Z46^2)+'LINEST VARS'!$M$54*(4^2)+'LINEST VARS'!$L$54*(0.5^2)+'LINEST VARS'!$K$54*(12.73^2)+'LINEST VARS'!$J$54*($AK$32*$Z46)+'LINEST VARS'!$I$54*($AK$32*4)+'LINEST VARS'!$H$54*($AK$32*0.5)+'LINEST VARS'!$G$54*($AK$32*12.73)+'LINEST VARS'!$F$54*($Z46*4)+'LINEST VARS'!$E$54*($Z46*0.5)+'LINEST VARS'!$D$54*($Z46*12.73)+'LINEST VARS'!$C$54*(4*0.5)+'LINEST VARS'!$B$54*(4*12.73)+'LINEST VARS'!$A$54*(0.5*12.73)</f>
        <v>3.9749999999999996</v>
      </c>
      <c r="AL46" s="51">
        <f>'LINEST VARS'!$U$54+'LINEST VARS'!$T$54*($AL$32)+'LINEST VARS'!$S$54*($Z46)+'LINEST VARS'!$R$54*(4)+'LINEST VARS'!$Q$54*(0.5)+'LINEST VARS'!$P$54*(12.73)+'LINEST VARS'!$O$54*($AL$32^2)+'LINEST VARS'!$N$54*($Z46^2)+'LINEST VARS'!$M$54*(4^2)+'LINEST VARS'!$L$54*(0.5^2)+'LINEST VARS'!$K$54*(12.73^2)+'LINEST VARS'!$J$54*($AL$32*$Z46)+'LINEST VARS'!$I$54*($AL$32*4)+'LINEST VARS'!$H$54*($AL$32*0.5)+'LINEST VARS'!$G$54*($AL$32*12.73)+'LINEST VARS'!$F$54*($Z46*4)+'LINEST VARS'!$E$54*($Z46*0.5)+'LINEST VARS'!$D$54*($Z46*12.73)+'LINEST VARS'!$C$54*(4*0.5)+'LINEST VARS'!$B$54*(4*12.73)+'LINEST VARS'!$A$54*(0.5*12.73)</f>
        <v>3.9749999999999996</v>
      </c>
      <c r="AM46" s="51">
        <f>'LINEST VARS'!$U$54+'LINEST VARS'!$T$54*($AM$32)+'LINEST VARS'!$S$54*($Z46)+'LINEST VARS'!$R$54*(4)+'LINEST VARS'!$Q$54*(0.5)+'LINEST VARS'!$P$54*(12.73)+'LINEST VARS'!$O$54*($AM$32^2)+'LINEST VARS'!$N$54*($Z46^2)+'LINEST VARS'!$M$54*(4^2)+'LINEST VARS'!$L$54*(0.5^2)+'LINEST VARS'!$K$54*(12.73^2)+'LINEST VARS'!$J$54*($AM$32*$Z46)+'LINEST VARS'!$I$54*($AM$32*4)+'LINEST VARS'!$H$54*($AM$32*0.5)+'LINEST VARS'!$G$54*($AM$32*12.73)+'LINEST VARS'!$F$54*($Z46*4)+'LINEST VARS'!$E$54*($Z46*0.5)+'LINEST VARS'!$D$54*($Z46*12.73)+'LINEST VARS'!$C$54*(4*0.5)+'LINEST VARS'!$B$54*(4*12.73)+'LINEST VARS'!$A$54*(0.5*12.73)</f>
        <v>3.9749999999999996</v>
      </c>
      <c r="AN46" s="51">
        <f>'LINEST VARS'!$U$54+'LINEST VARS'!$T$54*($AN$32)+'LINEST VARS'!$S$54*($Z46)+'LINEST VARS'!$R$54*(4)+'LINEST VARS'!$Q$54*(0.5)+'LINEST VARS'!$P$54*(12.73)+'LINEST VARS'!$O$54*($AN$32^2)+'LINEST VARS'!$N$54*($Z46^2)+'LINEST VARS'!$M$54*(4^2)+'LINEST VARS'!$L$54*(0.5^2)+'LINEST VARS'!$K$54*(12.73^2)+'LINEST VARS'!$J$54*($AN$32*$Z46)+'LINEST VARS'!$I$54*($AN$32*4)+'LINEST VARS'!$H$54*($AN$32*0.5)+'LINEST VARS'!$G$54*($AN$32*12.73)+'LINEST VARS'!$F$54*($Z46*4)+'LINEST VARS'!$E$54*($Z46*0.5)+'LINEST VARS'!$D$54*($Z46*12.73)+'LINEST VARS'!$C$54*(4*0.5)+'LINEST VARS'!$B$54*(4*12.73)+'LINEST VARS'!$A$54*(0.5*12.73)</f>
        <v>3.9749999999999996</v>
      </c>
      <c r="AO46" s="51">
        <f>'LINEST VARS'!$U$54+'LINEST VARS'!$T$54*($AO$32)+'LINEST VARS'!$S$54*($Z46)+'LINEST VARS'!$R$54*(4)+'LINEST VARS'!$Q$54*(0.5)+'LINEST VARS'!$P$54*(12.73)+'LINEST VARS'!$O$54*($AO$32^2)+'LINEST VARS'!$N$54*($Z46^2)+'LINEST VARS'!$M$54*(4^2)+'LINEST VARS'!$L$54*(0.5^2)+'LINEST VARS'!$K$54*(12.73^2)+'LINEST VARS'!$J$54*($AO$32*$Z46)+'LINEST VARS'!$I$54*($AO$32*4)+'LINEST VARS'!$H$54*($AO$32*0.5)+'LINEST VARS'!$G$54*($AO$32*12.73)+'LINEST VARS'!$F$54*($Z46*4)+'LINEST VARS'!$E$54*($Z46*0.5)+'LINEST VARS'!$D$54*($Z46*12.73)+'LINEST VARS'!$C$54*(4*0.5)+'LINEST VARS'!$B$54*(4*12.73)+'LINEST VARS'!$A$54*(0.5*12.73)</f>
        <v>3.9749999999999996</v>
      </c>
      <c r="AP46" s="51">
        <f>'LINEST VARS'!$U$54+'LINEST VARS'!$T$54*($AP$32)+'LINEST VARS'!$S$54*($Z46)+'LINEST VARS'!$R$54*(4)+'LINEST VARS'!$Q$54*(0.5)+'LINEST VARS'!$P$54*(12.73)+'LINEST VARS'!$O$54*($AP$32^2)+'LINEST VARS'!$N$54*($Z46^2)+'LINEST VARS'!$M$54*(4^2)+'LINEST VARS'!$L$54*(0.5^2)+'LINEST VARS'!$K$54*(12.73^2)+'LINEST VARS'!$J$54*($AP$32*$Z46)+'LINEST VARS'!$I$54*($AP$32*4)+'LINEST VARS'!$H$54*($AP$32*0.5)+'LINEST VARS'!$G$54*($AP$32*12.73)+'LINEST VARS'!$F$54*($Z46*4)+'LINEST VARS'!$E$54*($Z46*0.5)+'LINEST VARS'!$D$54*($Z46*12.73)+'LINEST VARS'!$C$54*(4*0.5)+'LINEST VARS'!$B$54*(4*12.73)+'LINEST VARS'!$A$54*(0.5*12.73)</f>
        <v>3.9749999999999996</v>
      </c>
      <c r="AQ46" s="51">
        <f>'LINEST VARS'!$U$54+'LINEST VARS'!$T$54*($AQ$32)+'LINEST VARS'!$S$54*($Z46)+'LINEST VARS'!$R$54*(4)+'LINEST VARS'!$Q$54*(0.5)+'LINEST VARS'!$P$54*(12.73)+'LINEST VARS'!$O$54*($AQ$32^2)+'LINEST VARS'!$N$54*($Z46^2)+'LINEST VARS'!$M$54*(4^2)+'LINEST VARS'!$L$54*(0.5^2)+'LINEST VARS'!$K$54*(12.73^2)+'LINEST VARS'!$J$54*($AQ$32*$Z46)+'LINEST VARS'!$I$54*($AQ$32*4)+'LINEST VARS'!$H$54*($AQ$32*0.5)+'LINEST VARS'!$G$54*($AQ$32*12.73)+'LINEST VARS'!$F$54*($Z46*4)+'LINEST VARS'!$E$54*($Z46*0.5)+'LINEST VARS'!$D$54*($Z46*12.73)+'LINEST VARS'!$C$54*(4*0.5)+'LINEST VARS'!$B$54*(4*12.73)+'LINEST VARS'!$A$54*(0.5*12.73)</f>
        <v>3.9749999999999996</v>
      </c>
      <c r="AR46" s="51">
        <f>'LINEST VARS'!$U$54+'LINEST VARS'!$T$54*($AR$32)+'LINEST VARS'!$S$54*($Z46)+'LINEST VARS'!$R$54*(4)+'LINEST VARS'!$Q$54*(0.5)+'LINEST VARS'!$P$54*(12.73)+'LINEST VARS'!$O$54*($AR$32^2)+'LINEST VARS'!$N$54*($Z46^2)+'LINEST VARS'!$M$54*(4^2)+'LINEST VARS'!$L$54*(0.5^2)+'LINEST VARS'!$K$54*(12.73^2)+'LINEST VARS'!$J$54*($AR$32*$Z46)+'LINEST VARS'!$I$54*($AR$32*4)+'LINEST VARS'!$H$54*($AR$32*0.5)+'LINEST VARS'!$G$54*($AR$32*12.73)+'LINEST VARS'!$F$54*($Z46*4)+'LINEST VARS'!$E$54*($Z46*0.5)+'LINEST VARS'!$D$54*($Z46*12.73)+'LINEST VARS'!$C$54*(4*0.5)+'LINEST VARS'!$B$54*(4*12.73)+'LINEST VARS'!$A$54*(0.5*12.73)</f>
        <v>3.9749999999999996</v>
      </c>
      <c r="AS46" s="51">
        <f>'LINEST VARS'!$U$54+'LINEST VARS'!$T$54*($AS$32)+'LINEST VARS'!$S$54*($Z46)+'LINEST VARS'!$R$54*(4)+'LINEST VARS'!$Q$54*(0.5)+'LINEST VARS'!$P$54*(12.73)+'LINEST VARS'!$O$54*($AS$32^2)+'LINEST VARS'!$N$54*($Z46^2)+'LINEST VARS'!$M$54*(4^2)+'LINEST VARS'!$L$54*(0.5^2)+'LINEST VARS'!$K$54*(12.73^2)+'LINEST VARS'!$J$54*($AS$32*$Z46)+'LINEST VARS'!$I$54*($AS$32*4)+'LINEST VARS'!$H$54*($AS$32*0.5)+'LINEST VARS'!$G$54*($AS$32*12.73)+'LINEST VARS'!$F$54*($Z46*4)+'LINEST VARS'!$E$54*($Z46*0.5)+'LINEST VARS'!$D$54*($Z46*12.73)+'LINEST VARS'!$C$54*(4*0.5)+'LINEST VARS'!$B$54*(4*12.73)+'LINEST VARS'!$A$54*(0.5*12.73)</f>
        <v>3.9749999999999996</v>
      </c>
      <c r="AT46" s="51">
        <f>'LINEST VARS'!$U$54+'LINEST VARS'!$T$54*($AT$32)+'LINEST VARS'!$S$54*($Z46)+'LINEST VARS'!$R$54*(4)+'LINEST VARS'!$Q$54*(0.5)+'LINEST VARS'!$P$54*(12.73)+'LINEST VARS'!$O$54*($AT$32^2)+'LINEST VARS'!$N$54*($Z46^2)+'LINEST VARS'!$M$54*(4^2)+'LINEST VARS'!$L$54*(0.5^2)+'LINEST VARS'!$K$54*(12.73^2)+'LINEST VARS'!$J$54*($AT$32*$Z46)+'LINEST VARS'!$I$54*($AT$32*4)+'LINEST VARS'!$H$54*($AT$32*0.5)+'LINEST VARS'!$G$54*($AT$32*12.73)+'LINEST VARS'!$F$54*($Z46*4)+'LINEST VARS'!$E$54*($Z46*0.5)+'LINEST VARS'!$D$54*($Z46*12.73)+'LINEST VARS'!$C$54*(4*0.5)+'LINEST VARS'!$B$54*(4*12.73)+'LINEST VARS'!$A$54*(0.5*12.73)</f>
        <v>3.9750000000000001</v>
      </c>
      <c r="AU46" s="52">
        <f>'LINEST VARS'!$U$54+'LINEST VARS'!$T$54*($AU$32)+'LINEST VARS'!$S$54*($Z46)+'LINEST VARS'!$R$54*(4)+'LINEST VARS'!$Q$54*(0.5)+'LINEST VARS'!$P$54*(12.73)+'LINEST VARS'!$O$54*($AU$32^2)+'LINEST VARS'!$N$54*($Z46^2)+'LINEST VARS'!$M$54*(4^2)+'LINEST VARS'!$L$54*(0.5^2)+'LINEST VARS'!$K$54*(12.73^2)+'LINEST VARS'!$J$54*($AU$32*$Z46)+'LINEST VARS'!$I$54*($AU$32*4)+'LINEST VARS'!$H$54*($AU$32*0.5)+'LINEST VARS'!$G$54*($AU$32*12.73)+'LINEST VARS'!$F$54*($Z46*4)+'LINEST VARS'!$E$54*($Z46*0.5)+'LINEST VARS'!$D$54*($Z46*12.73)+'LINEST VARS'!$C$54*(4*0.5)+'LINEST VARS'!$B$54*(4*12.73)+'LINEST VARS'!$A$54*(0.5*12.73)</f>
        <v>3.9750000000000001</v>
      </c>
      <c r="AZ46" s="45">
        <v>0.65</v>
      </c>
      <c r="BA46" s="51">
        <f>'LINEST VARS'!$U$52+'LINEST VARS'!$T$52*(8)+'LINEST VARS'!$S$52*(8)+'LINEST VARS'!$R$52*($BA$32)+'LINEST VARS'!$Q$52*($AZ46)+'LINEST VARS'!$P$52*(12.73)+'LINEST VARS'!$O$52*(8^2)+'LINEST VARS'!$N$52*(8^2)+'LINEST VARS'!$M$52*($BA$32^2)+'LINEST VARS'!$L$52*($AZ46^2)+'LINEST VARS'!$K$52*(12.73^2)+'LINEST VARS'!$J$52*(8*8)+'LINEST VARS'!$I$52*(8*$BA$32)+'LINEST VARS'!$H$52*(8*$AZ46)+'LINEST VARS'!$G$52*(8*12.73)+'LINEST VARS'!$F$52*(8*$BA$32)+'LINEST VARS'!$E$52*(8*$AZ46)+'LINEST VARS'!$D$52*(8*12.73)+'LINEST VARS'!$C$52*($BA$32*$AZ46)+'LINEST VARS'!$B$52*($BA$32*12.73)+'LINEST VARS'!$A$52*($AZ46*12.73)</f>
        <v>4.4349999999999987</v>
      </c>
      <c r="BB46" s="51">
        <f>'LINEST VARS'!$U$52+'LINEST VARS'!$T$52*(8)+'LINEST VARS'!$S$52*(8)+'LINEST VARS'!$R$52*($BB$32)+'LINEST VARS'!$Q$52*($AZ46)+'LINEST VARS'!$P$52*(12.73)+'LINEST VARS'!$O$52*(8^2)+'LINEST VARS'!$N$52*(8^2)+'LINEST VARS'!$M$52*($BB$32^2)+'LINEST VARS'!$L$52*($AZ46^2)+'LINEST VARS'!$K$52*(12.73^2)+'LINEST VARS'!$J$52*(8*8)+'LINEST VARS'!$I$52*(8*$BB$32)+'LINEST VARS'!$H$52*(8*$AZ46)+'LINEST VARS'!$G$52*(8*12.73)+'LINEST VARS'!$F$52*(8*$BB$32)+'LINEST VARS'!$E$52*(8*$AZ46)+'LINEST VARS'!$D$52*(8*12.73)+'LINEST VARS'!$C$52*($BB$32*$AZ46)+'LINEST VARS'!$B$52*($BB$32*12.73)+'LINEST VARS'!$A$52*($AZ46*12.73)</f>
        <v>4.4349999999999987</v>
      </c>
      <c r="BC46" s="51">
        <f>'LINEST VARS'!$U$52+'LINEST VARS'!$T$52*(8)+'LINEST VARS'!$S$52*(8)+'LINEST VARS'!$R$52*($BC$32)+'LINEST VARS'!$Q$52*($AZ46)+'LINEST VARS'!$P$52*(12.73)+'LINEST VARS'!$O$52*(8^2)+'LINEST VARS'!$N$52*(8^2)+'LINEST VARS'!$M$52*($BC$32^2)+'LINEST VARS'!$L$52*($AZ46^2)+'LINEST VARS'!$K$52*(12.73^2)+'LINEST VARS'!$J$52*(8*8)+'LINEST VARS'!$I$52*(8*$BC$32)+'LINEST VARS'!$H$52*(8*$AZ46)+'LINEST VARS'!$G$52*(8*12.73)+'LINEST VARS'!$F$52*(8*$BC$32)+'LINEST VARS'!$E$52*(8*$AZ46)+'LINEST VARS'!$D$52*(8*12.73)+'LINEST VARS'!$C$52*($BC$32*$AZ46)+'LINEST VARS'!$B$52*($BC$32*12.73)+'LINEST VARS'!$A$52*($AZ46*12.73)</f>
        <v>4.4349999999999987</v>
      </c>
      <c r="BD46" s="51">
        <f>'LINEST VARS'!$U$52+'LINEST VARS'!$T$52*(8)+'LINEST VARS'!$S$52*(8)+'LINEST VARS'!$R$52*($BD$32)+'LINEST VARS'!$Q$52*($AZ46)+'LINEST VARS'!$P$52*(12.73)+'LINEST VARS'!$O$52*(8^2)+'LINEST VARS'!$N$52*(8^2)+'LINEST VARS'!$M$52*($BD$32^2)+'LINEST VARS'!$L$52*($AZ46^2)+'LINEST VARS'!$K$52*(12.73^2)+'LINEST VARS'!$J$52*(8*8)+'LINEST VARS'!$I$52*(8*$BD$32)+'LINEST VARS'!$H$52*(8*$AZ46)+'LINEST VARS'!$G$52*(8*12.73)+'LINEST VARS'!$F$52*(8*$BD$32)+'LINEST VARS'!$E$52*(8*$AZ46)+'LINEST VARS'!$D$52*(8*12.73)+'LINEST VARS'!$C$52*($BD$32*$AZ46)+'LINEST VARS'!$B$52*($BD$32*12.73)+'LINEST VARS'!$A$52*($AZ46*12.73)</f>
        <v>4.4349999999999987</v>
      </c>
      <c r="BE46" s="51">
        <f>'LINEST VARS'!$U$52+'LINEST VARS'!$T$52*(8)+'LINEST VARS'!$S$52*(8)+'LINEST VARS'!$R$52*($BE$32)+'LINEST VARS'!$Q$52*($AZ46)+'LINEST VARS'!$P$52*(12.73)+'LINEST VARS'!$O$52*(8^2)+'LINEST VARS'!$N$52*(8^2)+'LINEST VARS'!$M$52*($BE$32^2)+'LINEST VARS'!$L$52*($AZ46^2)+'LINEST VARS'!$K$52*(12.73^2)+'LINEST VARS'!$J$52*(8*8)+'LINEST VARS'!$I$52*(8*$BE$32)+'LINEST VARS'!$H$52*(8*$AZ46)+'LINEST VARS'!$G$52*(8*12.73)+'LINEST VARS'!$F$52*(8*$BE$32)+'LINEST VARS'!$E$52*(8*$AZ46)+'LINEST VARS'!$D$52*(8*12.73)+'LINEST VARS'!$C$52*($BE$32*$AZ46)+'LINEST VARS'!$B$52*($BE$32*12.73)+'LINEST VARS'!$A$52*($AZ46*12.73)</f>
        <v>4.4349999999999987</v>
      </c>
      <c r="BF46" s="51">
        <f>'LINEST VARS'!$U$52+'LINEST VARS'!$T$52*(8)+'LINEST VARS'!$S$52*(8)+'LINEST VARS'!$R$52*($BF$32)+'LINEST VARS'!$Q$52*($AZ46)+'LINEST VARS'!$P$52*(12.73)+'LINEST VARS'!$O$52*(8^2)+'LINEST VARS'!$N$52*(8^2)+'LINEST VARS'!$M$52*($BF$32^2)+'LINEST VARS'!$L$52*($AZ46^2)+'LINEST VARS'!$K$52*(12.73^2)+'LINEST VARS'!$J$52*(8*8)+'LINEST VARS'!$I$52*(8*$BF$32)+'LINEST VARS'!$H$52*(8*$AZ46)+'LINEST VARS'!$G$52*(8*12.73)+'LINEST VARS'!$F$52*(8*$BF$32)+'LINEST VARS'!$E$52*(8*$AZ46)+'LINEST VARS'!$D$52*(8*12.73)+'LINEST VARS'!$C$52*($BF$32*$AZ46)+'LINEST VARS'!$B$52*($BF$32*12.73)+'LINEST VARS'!$A$52*($AZ46*12.73)</f>
        <v>4.4349999999999987</v>
      </c>
      <c r="BG46" s="51">
        <f>'LINEST VARS'!$U$52+'LINEST VARS'!$T$52*(8)+'LINEST VARS'!$S$52*(8)+'LINEST VARS'!$R$52*($BG$32)+'LINEST VARS'!$Q$52*($AZ46)+'LINEST VARS'!$P$52*(12.73)+'LINEST VARS'!$O$52*(8^2)+'LINEST VARS'!$N$52*(8^2)+'LINEST VARS'!$M$52*($BG$32^2)+'LINEST VARS'!$L$52*($AZ46^2)+'LINEST VARS'!$K$52*(12.73^2)+'LINEST VARS'!$J$52*(8*8)+'LINEST VARS'!$I$52*(8*$BG$32)+'LINEST VARS'!$H$52*(8*$AZ46)+'LINEST VARS'!$G$52*(8*12.73)+'LINEST VARS'!$F$52*(8*$BG$32)+'LINEST VARS'!$E$52*(8*$AZ46)+'LINEST VARS'!$D$52*(8*12.73)+'LINEST VARS'!$C$52*($BG$32*$AZ46)+'LINEST VARS'!$B$52*($BG$32*12.73)+'LINEST VARS'!$A$52*($AZ46*12.73)</f>
        <v>4.4349999999999987</v>
      </c>
      <c r="BH46" s="51">
        <f>'LINEST VARS'!$U$52+'LINEST VARS'!$T$52*(8)+'LINEST VARS'!$S$52*(8)+'LINEST VARS'!$R$52*($BH$32)+'LINEST VARS'!$Q$52*($AZ46)+'LINEST VARS'!$P$52*(12.73)+'LINEST VARS'!$O$52*(8^2)+'LINEST VARS'!$N$52*(8^2)+'LINEST VARS'!$M$52*($BH$32^2)+'LINEST VARS'!$L$52*($AZ46^2)+'LINEST VARS'!$K$52*(12.73^2)+'LINEST VARS'!$J$52*(8*8)+'LINEST VARS'!$I$52*(8*$BH$32)+'LINEST VARS'!$H$52*(8*$AZ46)+'LINEST VARS'!$G$52*(8*12.73)+'LINEST VARS'!$F$52*(8*$BH$32)+'LINEST VARS'!$E$52*(8*$AZ46)+'LINEST VARS'!$D$52*(8*12.73)+'LINEST VARS'!$C$52*($BH$32*$AZ46)+'LINEST VARS'!$B$52*($BH$32*12.73)+'LINEST VARS'!$A$52*($AZ46*12.73)</f>
        <v>4.4349999999999987</v>
      </c>
      <c r="BI46" s="51">
        <f>'LINEST VARS'!$U$52+'LINEST VARS'!$T$52*(8)+'LINEST VARS'!$S$52*(8)+'LINEST VARS'!$R$52*($BI$32)+'LINEST VARS'!$Q$52*($AZ46)+'LINEST VARS'!$P$52*(12.73)+'LINEST VARS'!$O$52*(8^2)+'LINEST VARS'!$N$52*(8^2)+'LINEST VARS'!$M$52*($BI$32^2)+'LINEST VARS'!$L$52*($AZ46^2)+'LINEST VARS'!$K$52*(12.73^2)+'LINEST VARS'!$J$52*(8*8)+'LINEST VARS'!$I$52*(8*$BI$32)+'LINEST VARS'!$H$52*(8*$AZ46)+'LINEST VARS'!$G$52*(8*12.73)+'LINEST VARS'!$F$52*(8*$BI$32)+'LINEST VARS'!$E$52*(8*$AZ46)+'LINEST VARS'!$D$52*(8*12.73)+'LINEST VARS'!$C$52*($BI$32*$AZ46)+'LINEST VARS'!$B$52*($BI$32*12.73)+'LINEST VARS'!$A$52*($AZ46*12.73)</f>
        <v>4.4349999999999987</v>
      </c>
      <c r="BJ46" s="51">
        <f>'LINEST VARS'!$U$52+'LINEST VARS'!$T$52*(8)+'LINEST VARS'!$S$52*(8)+'LINEST VARS'!$R$52*($BJ$32)+'LINEST VARS'!$Q$52*($AZ46)+'LINEST VARS'!$P$52*(12.73)+'LINEST VARS'!$O$52*(8^2)+'LINEST VARS'!$N$52*(8^2)+'LINEST VARS'!$M$52*($BJ$32^2)+'LINEST VARS'!$L$52*($AZ46^2)+'LINEST VARS'!$K$52*(12.73^2)+'LINEST VARS'!$J$52*(8*8)+'LINEST VARS'!$I$52*(8*$BJ$32)+'LINEST VARS'!$H$52*(8*$AZ46)+'LINEST VARS'!$G$52*(8*12.73)+'LINEST VARS'!$F$52*(8*$BJ$32)+'LINEST VARS'!$E$52*(8*$AZ46)+'LINEST VARS'!$D$52*(8*12.73)+'LINEST VARS'!$C$52*($BJ$32*$AZ46)+'LINEST VARS'!$B$52*($BJ$32*12.73)+'LINEST VARS'!$A$52*($AZ46*12.73)</f>
        <v>4.4349999999999987</v>
      </c>
      <c r="BK46" s="51">
        <f>'LINEST VARS'!$U$52+'LINEST VARS'!$T$52*(8)+'LINEST VARS'!$S$52*(8)+'LINEST VARS'!$R$52*($BK$32)+'LINEST VARS'!$Q$52*($AZ46)+'LINEST VARS'!$P$52*(12.73)+'LINEST VARS'!$O$52*(8^2)+'LINEST VARS'!$N$52*(8^2)+'LINEST VARS'!$M$52*($BK$32^2)+'LINEST VARS'!$L$52*($AZ46^2)+'LINEST VARS'!$K$52*(12.73^2)+'LINEST VARS'!$J$52*(8*8)+'LINEST VARS'!$I$52*(8*$BK$32)+'LINEST VARS'!$H$52*(8*$AZ46)+'LINEST VARS'!$G$52*(8*12.73)+'LINEST VARS'!$F$52*(8*$BK$32)+'LINEST VARS'!$E$52*(8*$AZ46)+'LINEST VARS'!$D$52*(8*12.73)+'LINEST VARS'!$C$52*($BK$32*$AZ46)+'LINEST VARS'!$B$52*($BK$32*12.73)+'LINEST VARS'!$A$52*($AZ46*12.73)</f>
        <v>4.4349999999999987</v>
      </c>
      <c r="BL46" s="51">
        <f>'LINEST VARS'!$U$52+'LINEST VARS'!$T$52*(8)+'LINEST VARS'!$S$52*(8)+'LINEST VARS'!$R$52*($BL$32)+'LINEST VARS'!$Q$52*($AZ46)+'LINEST VARS'!$P$52*(12.73)+'LINEST VARS'!$O$52*(8^2)+'LINEST VARS'!$N$52*(8^2)+'LINEST VARS'!$M$52*($BL$32^2)+'LINEST VARS'!$L$52*($AZ46^2)+'LINEST VARS'!$K$52*(12.73^2)+'LINEST VARS'!$J$52*(8*8)+'LINEST VARS'!$I$52*(8*$BL$32)+'LINEST VARS'!$H$52*(8*$AZ46)+'LINEST VARS'!$G$52*(8*12.73)+'LINEST VARS'!$F$52*(8*$BL$32)+'LINEST VARS'!$E$52*(8*$AZ46)+'LINEST VARS'!$D$52*(8*12.73)+'LINEST VARS'!$C$52*($BL$32*$AZ46)+'LINEST VARS'!$B$52*($BL$32*12.73)+'LINEST VARS'!$A$52*($AZ46*12.73)</f>
        <v>4.4349999999999987</v>
      </c>
      <c r="BM46" s="51">
        <f>'LINEST VARS'!$U$52+'LINEST VARS'!$T$52*(8)+'LINEST VARS'!$S$52*(8)+'LINEST VARS'!$R$52*($BM$32)+'LINEST VARS'!$Q$52*($AZ46)+'LINEST VARS'!$P$52*(12.73)+'LINEST VARS'!$O$52*(8^2)+'LINEST VARS'!$N$52*(8^2)+'LINEST VARS'!$M$52*($BM$32^2)+'LINEST VARS'!$L$52*($AZ46^2)+'LINEST VARS'!$K$52*(12.73^2)+'LINEST VARS'!$J$52*(8*8)+'LINEST VARS'!$I$52*(8*$BM$32)+'LINEST VARS'!$H$52*(8*$AZ46)+'LINEST VARS'!$G$52*(8*12.73)+'LINEST VARS'!$F$52*(8*$BM$32)+'LINEST VARS'!$E$52*(8*$AZ46)+'LINEST VARS'!$D$52*(8*12.73)+'LINEST VARS'!$C$52*($BM$32*$AZ46)+'LINEST VARS'!$B$52*($BM$32*12.73)+'LINEST VARS'!$A$52*($AZ46*12.73)</f>
        <v>4.4349999999999987</v>
      </c>
      <c r="BN46" s="51">
        <f>'LINEST VARS'!$U$52+'LINEST VARS'!$T$52*(8)+'LINEST VARS'!$S$52*(8)+'LINEST VARS'!$R$52*($BN$32)+'LINEST VARS'!$Q$52*($AZ46)+'LINEST VARS'!$P$52*(12.73)+'LINEST VARS'!$O$52*(8^2)+'LINEST VARS'!$N$52*(8^2)+'LINEST VARS'!$M$52*($BN$32^2)+'LINEST VARS'!$L$52*($AZ46^2)+'LINEST VARS'!$K$52*(12.73^2)+'LINEST VARS'!$J$52*(8*8)+'LINEST VARS'!$I$52*(8*$BN$32)+'LINEST VARS'!$H$52*(8*$AZ46)+'LINEST VARS'!$G$52*(8*12.73)+'LINEST VARS'!$F$52*(8*$BN$32)+'LINEST VARS'!$E$52*(8*$AZ46)+'LINEST VARS'!$D$52*(8*12.73)+'LINEST VARS'!$C$52*($BN$32*$AZ46)+'LINEST VARS'!$B$52*($BN$32*12.73)+'LINEST VARS'!$A$52*($AZ46*12.73)</f>
        <v>4.4349999999999987</v>
      </c>
      <c r="BO46" s="51">
        <f>'LINEST VARS'!$U$52+'LINEST VARS'!$T$52*(8)+'LINEST VARS'!$S$52*(8)+'LINEST VARS'!$R$52*($BO$32)+'LINEST VARS'!$Q$52*($AZ46)+'LINEST VARS'!$P$52*(12.73)+'LINEST VARS'!$O$52*(8^2)+'LINEST VARS'!$N$52*(8^2)+'LINEST VARS'!$M$52*($BO$32^2)+'LINEST VARS'!$L$52*($AZ46^2)+'LINEST VARS'!$K$52*(12.73^2)+'LINEST VARS'!$J$52*(8*8)+'LINEST VARS'!$I$52*(8*$BO$32)+'LINEST VARS'!$H$52*(8*$AZ46)+'LINEST VARS'!$G$52*(8*12.73)+'LINEST VARS'!$F$52*(8*$BO$32)+'LINEST VARS'!$E$52*(8*$AZ46)+'LINEST VARS'!$D$52*(8*12.73)+'LINEST VARS'!$C$52*($BO$32*$AZ46)+'LINEST VARS'!$B$52*($BO$32*12.73)+'LINEST VARS'!$A$52*($AZ46*12.73)</f>
        <v>4.4349999999999987</v>
      </c>
      <c r="BP46" s="51">
        <f>'LINEST VARS'!$U$52+'LINEST VARS'!$T$52*(8)+'LINEST VARS'!$S$52*(8)+'LINEST VARS'!$R$52*($BP$32)+'LINEST VARS'!$Q$52*($AZ46)+'LINEST VARS'!$P$52*(12.73)+'LINEST VARS'!$O$52*(8^2)+'LINEST VARS'!$N$52*(8^2)+'LINEST VARS'!$M$52*($BP$32^2)+'LINEST VARS'!$L$52*($AZ46^2)+'LINEST VARS'!$K$52*(12.73^2)+'LINEST VARS'!$J$52*(8*8)+'LINEST VARS'!$I$52*(8*$BP$32)+'LINEST VARS'!$H$52*(8*$AZ46)+'LINEST VARS'!$G$52*(8*12.73)+'LINEST VARS'!$F$52*(8*$BP$32)+'LINEST VARS'!$E$52*(8*$AZ46)+'LINEST VARS'!$D$52*(8*12.73)+'LINEST VARS'!$C$52*($BP$32*$AZ46)+'LINEST VARS'!$B$52*($BP$32*12.73)+'LINEST VARS'!$A$52*($AZ46*12.73)</f>
        <v>4.4349999999999987</v>
      </c>
      <c r="BQ46" s="51">
        <f>'LINEST VARS'!$U$52+'LINEST VARS'!$T$52*(8)+'LINEST VARS'!$S$52*(8)+'LINEST VARS'!$R$52*($BQ$32)+'LINEST VARS'!$Q$52*($AZ46)+'LINEST VARS'!$P$52*(12.73)+'LINEST VARS'!$O$52*(8^2)+'LINEST VARS'!$N$52*(8^2)+'LINEST VARS'!$M$52*($BQ$32^2)+'LINEST VARS'!$L$52*($AZ46^2)+'LINEST VARS'!$K$52*(12.73^2)+'LINEST VARS'!$J$52*(8*8)+'LINEST VARS'!$I$52*(8*$BQ$32)+'LINEST VARS'!$H$52*(8*$AZ46)+'LINEST VARS'!$G$52*(8*12.73)+'LINEST VARS'!$F$52*(8*$BQ$32)+'LINEST VARS'!$E$52*(8*$AZ46)+'LINEST VARS'!$D$52*(8*12.73)+'LINEST VARS'!$C$52*($BQ$32*$AZ46)+'LINEST VARS'!$B$52*($BQ$32*12.73)+'LINEST VARS'!$A$52*($AZ46*12.73)</f>
        <v>4.4349999999999987</v>
      </c>
      <c r="BR46" s="51">
        <f>'LINEST VARS'!$U$52+'LINEST VARS'!$T$52*(8)+'LINEST VARS'!$S$52*(8)+'LINEST VARS'!$R$52*($BR$32)+'LINEST VARS'!$Q$52*($AZ46)+'LINEST VARS'!$P$52*(12.73)+'LINEST VARS'!$O$52*(8^2)+'LINEST VARS'!$N$52*(8^2)+'LINEST VARS'!$M$52*($BR$32^2)+'LINEST VARS'!$L$52*($AZ46^2)+'LINEST VARS'!$K$52*(12.73^2)+'LINEST VARS'!$J$52*(8*8)+'LINEST VARS'!$I$52*(8*$BR$32)+'LINEST VARS'!$H$52*(8*$AZ46)+'LINEST VARS'!$G$52*(8*12.73)+'LINEST VARS'!$F$52*(8*$BR$32)+'LINEST VARS'!$E$52*(8*$AZ46)+'LINEST VARS'!$D$52*(8*12.73)+'LINEST VARS'!$C$52*($BR$32*$AZ46)+'LINEST VARS'!$B$52*($BR$32*12.73)+'LINEST VARS'!$A$52*($AZ46*12.73)</f>
        <v>4.4349999999999987</v>
      </c>
      <c r="BS46" s="51">
        <f>'LINEST VARS'!$U$52+'LINEST VARS'!$T$52*(8)+'LINEST VARS'!$S$52*(8)+'LINEST VARS'!$R$52*($BS$32)+'LINEST VARS'!$Q$52*($AZ46)+'LINEST VARS'!$P$52*(12.73)+'LINEST VARS'!$O$52*(8^2)+'LINEST VARS'!$N$52*(8^2)+'LINEST VARS'!$M$52*($BS$32^2)+'LINEST VARS'!$L$52*($AZ46^2)+'LINEST VARS'!$K$52*(12.73^2)+'LINEST VARS'!$J$52*(8*8)+'LINEST VARS'!$I$52*(8*$BS$32)+'LINEST VARS'!$H$52*(8*$AZ46)+'LINEST VARS'!$G$52*(8*12.73)+'LINEST VARS'!$F$52*(8*$BS$32)+'LINEST VARS'!$E$52*(8*$AZ46)+'LINEST VARS'!$D$52*(8*12.73)+'LINEST VARS'!$C$52*($BS$32*$AZ46)+'LINEST VARS'!$B$52*($BS$32*12.73)+'LINEST VARS'!$A$52*($AZ46*12.73)</f>
        <v>4.4349999999999987</v>
      </c>
      <c r="BT46" s="51">
        <f>'LINEST VARS'!$U$52+'LINEST VARS'!$T$52*(8)+'LINEST VARS'!$S$52*(8)+'LINEST VARS'!$R$52*($BT$32)+'LINEST VARS'!$Q$52*($AZ46)+'LINEST VARS'!$P$52*(12.73)+'LINEST VARS'!$O$52*(8^2)+'LINEST VARS'!$N$52*(8^2)+'LINEST VARS'!$M$52*($BT$32^2)+'LINEST VARS'!$L$52*($AZ46^2)+'LINEST VARS'!$K$52*(12.73^2)+'LINEST VARS'!$J$52*(8*8)+'LINEST VARS'!$I$52*(8*$BT$32)+'LINEST VARS'!$H$52*(8*$AZ46)+'LINEST VARS'!$G$52*(8*12.73)+'LINEST VARS'!$F$52*(8*$BT$32)+'LINEST VARS'!$E$52*(8*$AZ46)+'LINEST VARS'!$D$52*(8*12.73)+'LINEST VARS'!$C$52*($BT$32*$AZ46)+'LINEST VARS'!$B$52*($BT$32*12.73)+'LINEST VARS'!$A$52*($AZ46*12.73)</f>
        <v>4.4349999999999987</v>
      </c>
      <c r="BU46" s="52">
        <f>'LINEST VARS'!$U$52+'LINEST VARS'!$T$52*(8)+'LINEST VARS'!$S$52*(8)+'LINEST VARS'!$R$52*($BU$32)+'LINEST VARS'!$Q$52*($AZ46)+'LINEST VARS'!$P$52*(12.73)+'LINEST VARS'!$O$52*(8^2)+'LINEST VARS'!$N$52*(8^2)+'LINEST VARS'!$M$52*($BU$32^2)+'LINEST VARS'!$L$52*($AZ46^2)+'LINEST VARS'!$K$52*(12.73^2)+'LINEST VARS'!$J$52*(8*8)+'LINEST VARS'!$I$52*(8*$BU$32)+'LINEST VARS'!$H$52*(8*$AZ46)+'LINEST VARS'!$G$52*(8*12.73)+'LINEST VARS'!$F$52*(8*$BU$32)+'LINEST VARS'!$E$52*(8*$AZ46)+'LINEST VARS'!$D$52*(8*12.73)+'LINEST VARS'!$C$52*($BU$32*$AZ46)+'LINEST VARS'!$B$52*($BU$32*12.73)+'LINEST VARS'!$A$52*($AZ46*12.73)</f>
        <v>4.4349999999999987</v>
      </c>
      <c r="BX46" s="45">
        <v>0.65</v>
      </c>
      <c r="BY46" s="51">
        <f>'LINEST VARS'!$U$54+'LINEST VARS'!$T$54*(8)+'LINEST VARS'!$S$54*(8)+'LINEST VARS'!$R$54*($BY$32)+'LINEST VARS'!$Q$54*($BX46)+'LINEST VARS'!$P$54*(12.73)+'LINEST VARS'!$O$54*(8^2)+'LINEST VARS'!$N$54*(8^2)+'LINEST VARS'!$M$54*($BY$32^2)+'LINEST VARS'!$L$54*($BX46^2)+'LINEST VARS'!$K$54*(12.73^2)+'LINEST VARS'!$J$54*(8*8)+'LINEST VARS'!$I$54*(8*$BY$32)+'LINEST VARS'!$H$54*(8*$BX46)+'LINEST VARS'!$G$54*(8*12.73)+'LINEST VARS'!$F$54*(8*$BY$32)+'LINEST VARS'!$E$54*(8*$BX46)+'LINEST VARS'!$D$54*(8*12.73)+'LINEST VARS'!$C$54*($BY$32*$BX46)+'LINEST VARS'!$B$54*($BY$32*12.73)+'LINEST VARS'!$A$54*($BX46*12.73)</f>
        <v>3.9674999999999998</v>
      </c>
      <c r="BZ46" s="51">
        <f>'LINEST VARS'!$U$54+'LINEST VARS'!$T$54*(8)+'LINEST VARS'!$S$54*(8)+'LINEST VARS'!$R$54*($BZ$32)+'LINEST VARS'!$Q$54*($BX46)+'LINEST VARS'!$P$54*(12.73)+'LINEST VARS'!$O$54*(8^2)+'LINEST VARS'!$N$54*(8^2)+'LINEST VARS'!$M$54*($BZ$32^2)+'LINEST VARS'!$L$54*($BX46^2)+'LINEST VARS'!$K$54*(12.73^2)+'LINEST VARS'!$J$54*(8*8)+'LINEST VARS'!$I$54*(8*$BZ$32)+'LINEST VARS'!$H$54*(8*$BX46)+'LINEST VARS'!$G$54*(8*12.73)+'LINEST VARS'!$F$54*(8*$BZ$32)+'LINEST VARS'!$E$54*(8*$BX46)+'LINEST VARS'!$D$54*(8*12.73)+'LINEST VARS'!$C$54*($BZ$32*$BX46)+'LINEST VARS'!$B$54*($BZ$32*12.73)+'LINEST VARS'!$A$54*($BX46*12.73)</f>
        <v>3.9674999999999998</v>
      </c>
      <c r="CA46" s="51">
        <f>'LINEST VARS'!$U$54+'LINEST VARS'!$T$54*(8)+'LINEST VARS'!$S$54*(8)+'LINEST VARS'!$R$54*($CA$32)+'LINEST VARS'!$Q$54*($BX46)+'LINEST VARS'!$P$54*(12.73)+'LINEST VARS'!$O$54*(8^2)+'LINEST VARS'!$N$54*(8^2)+'LINEST VARS'!$M$54*($CA$32^2)+'LINEST VARS'!$L$54*($BX46^2)+'LINEST VARS'!$K$54*(12.73^2)+'LINEST VARS'!$J$54*(8*8)+'LINEST VARS'!$I$54*(8*$CA$32)+'LINEST VARS'!$H$54*(8*$BX46)+'LINEST VARS'!$G$54*(8*12.73)+'LINEST VARS'!$F$54*(8*$CA$32)+'LINEST VARS'!$E$54*(8*$BX46)+'LINEST VARS'!$D$54*(8*12.73)+'LINEST VARS'!$C$54*($CA$32*$BX46)+'LINEST VARS'!$B$54*($CA$32*12.73)+'LINEST VARS'!$A$54*($BX46*12.73)</f>
        <v>3.9674999999999998</v>
      </c>
      <c r="CB46" s="51">
        <f>'LINEST VARS'!$U$54+'LINEST VARS'!$T$54*(8)+'LINEST VARS'!$S$54*(8)+'LINEST VARS'!$R$54*($CB$32)+'LINEST VARS'!$Q$54*($BX46)+'LINEST VARS'!$P$54*(12.73)+'LINEST VARS'!$O$54*(8^2)+'LINEST VARS'!$N$54*(8^2)+'LINEST VARS'!$M$54*($CB$32^2)+'LINEST VARS'!$L$54*($BX46^2)+'LINEST VARS'!$K$54*(12.73^2)+'LINEST VARS'!$J$54*(8*8)+'LINEST VARS'!$I$54*(8*$CB$32)+'LINEST VARS'!$H$54*(8*$BX46)+'LINEST VARS'!$G$54*(8*12.73)+'LINEST VARS'!$F$54*(8*$CB$32)+'LINEST VARS'!$E$54*(8*$BX46)+'LINEST VARS'!$D$54*(8*12.73)+'LINEST VARS'!$C$54*($CB$32*$BX46)+'LINEST VARS'!$B$54*($CB$32*12.73)+'LINEST VARS'!$A$54*($BX46*12.73)</f>
        <v>3.9674999999999998</v>
      </c>
      <c r="CC46" s="51">
        <f>'LINEST VARS'!$U$54+'LINEST VARS'!$T$54*(8)+'LINEST VARS'!$S$54*(8)+'LINEST VARS'!$R$54*($CC$32)+'LINEST VARS'!$Q$54*($BX46)+'LINEST VARS'!$P$54*(12.73)+'LINEST VARS'!$O$54*(8^2)+'LINEST VARS'!$N$54*(8^2)+'LINEST VARS'!$M$54*($CC$32^2)+'LINEST VARS'!$L$54*($BX46^2)+'LINEST VARS'!$K$54*(12.73^2)+'LINEST VARS'!$J$54*(8*8)+'LINEST VARS'!$I$54*(8*$CC$32)+'LINEST VARS'!$H$54*(8*$BX46)+'LINEST VARS'!$G$54*(8*12.73)+'LINEST VARS'!$F$54*(8*$CC$32)+'LINEST VARS'!$E$54*(8*$BX46)+'LINEST VARS'!$D$54*(8*12.73)+'LINEST VARS'!$C$54*($CC$32*$BX46)+'LINEST VARS'!$B$54*($CC$32*12.73)+'LINEST VARS'!$A$54*($BX46*12.73)</f>
        <v>3.9674999999999998</v>
      </c>
      <c r="CD46" s="51">
        <f>'LINEST VARS'!$U$54+'LINEST VARS'!$T$54*(8)+'LINEST VARS'!$S$54*(8)+'LINEST VARS'!$R$54*($CD$32)+'LINEST VARS'!$Q$54*($BX46)+'LINEST VARS'!$P$54*(12.73)+'LINEST VARS'!$O$54*(8^2)+'LINEST VARS'!$N$54*(8^2)+'LINEST VARS'!$M$54*($CD$32^2)+'LINEST VARS'!$L$54*($BX46^2)+'LINEST VARS'!$K$54*(12.73^2)+'LINEST VARS'!$J$54*(8*8)+'LINEST VARS'!$I$54*(8*$CD$32)+'LINEST VARS'!$H$54*(8*$BX46)+'LINEST VARS'!$G$54*(8*12.73)+'LINEST VARS'!$F$54*(8*$CD$32)+'LINEST VARS'!$E$54*(8*$BX46)+'LINEST VARS'!$D$54*(8*12.73)+'LINEST VARS'!$C$54*($CD$32*$BX46)+'LINEST VARS'!$B$54*($CD$32*12.73)+'LINEST VARS'!$A$54*($BX46*12.73)</f>
        <v>3.9674999999999998</v>
      </c>
      <c r="CE46" s="51">
        <f>'LINEST VARS'!$U$54+'LINEST VARS'!$T$54*(8)+'LINEST VARS'!$S$54*(8)+'LINEST VARS'!$R$54*($CE$32)+'LINEST VARS'!$Q$54*($BX46)+'LINEST VARS'!$P$54*(12.73)+'LINEST VARS'!$O$54*(8^2)+'LINEST VARS'!$N$54*(8^2)+'LINEST VARS'!$M$54*($CE$32^2)+'LINEST VARS'!$L$54*($BX46^2)+'LINEST VARS'!$K$54*(12.73^2)+'LINEST VARS'!$J$54*(8*8)+'LINEST VARS'!$I$54*(8*$CE$32)+'LINEST VARS'!$H$54*(8*$BX46)+'LINEST VARS'!$G$54*(8*12.73)+'LINEST VARS'!$F$54*(8*$CE$32)+'LINEST VARS'!$E$54*(8*$BX46)+'LINEST VARS'!$D$54*(8*12.73)+'LINEST VARS'!$C$54*($CE$32*$BX46)+'LINEST VARS'!$B$54*($CE$32*12.73)+'LINEST VARS'!$A$54*($BX46*12.73)</f>
        <v>3.9674999999999998</v>
      </c>
      <c r="CF46" s="51">
        <f>'LINEST VARS'!$U$54+'LINEST VARS'!$T$54*(8)+'LINEST VARS'!$S$54*(8)+'LINEST VARS'!$R$54*($CF$32)+'LINEST VARS'!$Q$54*($BX46)+'LINEST VARS'!$P$54*(12.73)+'LINEST VARS'!$O$54*(8^2)+'LINEST VARS'!$N$54*(8^2)+'LINEST VARS'!$M$54*($CF$32^2)+'LINEST VARS'!$L$54*($BX46^2)+'LINEST VARS'!$K$54*(12.73^2)+'LINEST VARS'!$J$54*(8*8)+'LINEST VARS'!$I$54*(8*$CF$32)+'LINEST VARS'!$H$54*(8*$BX46)+'LINEST VARS'!$G$54*(8*12.73)+'LINEST VARS'!$F$54*(8*$CF$32)+'LINEST VARS'!$E$54*(8*$BX46)+'LINEST VARS'!$D$54*(8*12.73)+'LINEST VARS'!$C$54*($CF$32*$BX46)+'LINEST VARS'!$B$54*($CF$32*12.73)+'LINEST VARS'!$A$54*($BX46*12.73)</f>
        <v>3.9674999999999998</v>
      </c>
      <c r="CG46" s="51">
        <f>'LINEST VARS'!$U$54+'LINEST VARS'!$T$54*(8)+'LINEST VARS'!$S$54*(8)+'LINEST VARS'!$R$54*($CG$32)+'LINEST VARS'!$Q$54*($BX46)+'LINEST VARS'!$P$54*(12.73)+'LINEST VARS'!$O$54*(8^2)+'LINEST VARS'!$N$54*(8^2)+'LINEST VARS'!$M$54*($CG$32^2)+'LINEST VARS'!$L$54*($BX46^2)+'LINEST VARS'!$K$54*(12.73^2)+'LINEST VARS'!$J$54*(8*8)+'LINEST VARS'!$I$54*(8*$CG$32)+'LINEST VARS'!$H$54*(8*$BX46)+'LINEST VARS'!$G$54*(8*12.73)+'LINEST VARS'!$F$54*(8*$CG$32)+'LINEST VARS'!$E$54*(8*$BX46)+'LINEST VARS'!$D$54*(8*12.73)+'LINEST VARS'!$C$54*($CG$32*$BX46)+'LINEST VARS'!$B$54*($CG$32*12.73)+'LINEST VARS'!$A$54*($BX46*12.73)</f>
        <v>3.9674999999999998</v>
      </c>
      <c r="CH46" s="51">
        <f>'LINEST VARS'!$U$54+'LINEST VARS'!$T$54*(8)+'LINEST VARS'!$S$54*(8)+'LINEST VARS'!$R$54*($CH$32)+'LINEST VARS'!$Q$54*($BX46)+'LINEST VARS'!$P$54*(12.73)+'LINEST VARS'!$O$54*(8^2)+'LINEST VARS'!$N$54*(8^2)+'LINEST VARS'!$M$54*($CH$32^2)+'LINEST VARS'!$L$54*($BX46^2)+'LINEST VARS'!$K$54*(12.73^2)+'LINEST VARS'!$J$54*(8*8)+'LINEST VARS'!$I$54*(8*$CH$32)+'LINEST VARS'!$H$54*(8*$BX46)+'LINEST VARS'!$G$54*(8*12.73)+'LINEST VARS'!$F$54*(8*$CH$32)+'LINEST VARS'!$E$54*(8*$BX46)+'LINEST VARS'!$D$54*(8*12.73)+'LINEST VARS'!$C$54*($CH$32*$BX46)+'LINEST VARS'!$B$54*($CH$32*12.73)+'LINEST VARS'!$A$54*($BX46*12.73)</f>
        <v>3.9674999999999998</v>
      </c>
      <c r="CI46" s="51">
        <f>'LINEST VARS'!$U$54+'LINEST VARS'!$T$54*(8)+'LINEST VARS'!$S$54*(8)+'LINEST VARS'!$R$54*($CI$32)+'LINEST VARS'!$Q$54*($BX46)+'LINEST VARS'!$P$54*(12.73)+'LINEST VARS'!$O$54*(8^2)+'LINEST VARS'!$N$54*(8^2)+'LINEST VARS'!$M$54*($CI$32^2)+'LINEST VARS'!$L$54*($BX46^2)+'LINEST VARS'!$K$54*(12.73^2)+'LINEST VARS'!$J$54*(8*8)+'LINEST VARS'!$I$54*(8*$CI$32)+'LINEST VARS'!$H$54*(8*$BX46)+'LINEST VARS'!$G$54*(8*12.73)+'LINEST VARS'!$F$54*(8*$CI$32)+'LINEST VARS'!$E$54*(8*$BX46)+'LINEST VARS'!$D$54*(8*12.73)+'LINEST VARS'!$C$54*($CI$32*$BX46)+'LINEST VARS'!$B$54*($CI$32*12.73)+'LINEST VARS'!$A$54*($BX46*12.73)</f>
        <v>3.9674999999999998</v>
      </c>
      <c r="CJ46" s="51">
        <f>'LINEST VARS'!$U$54+'LINEST VARS'!$T$54*(8)+'LINEST VARS'!$S$54*(8)+'LINEST VARS'!$R$54*($CJ$32)+'LINEST VARS'!$Q$54*($BX46)+'LINEST VARS'!$P$54*(12.73)+'LINEST VARS'!$O$54*(8^2)+'LINEST VARS'!$N$54*(8^2)+'LINEST VARS'!$M$54*($CJ$32^2)+'LINEST VARS'!$L$54*($BX46^2)+'LINEST VARS'!$K$54*(12.73^2)+'LINEST VARS'!$J$54*(8*8)+'LINEST VARS'!$I$54*(8*$CJ$32)+'LINEST VARS'!$H$54*(8*$BX46)+'LINEST VARS'!$G$54*(8*12.73)+'LINEST VARS'!$F$54*(8*$CJ$32)+'LINEST VARS'!$E$54*(8*$BX46)+'LINEST VARS'!$D$54*(8*12.73)+'LINEST VARS'!$C$54*($CJ$32*$BX46)+'LINEST VARS'!$B$54*($CJ$32*12.73)+'LINEST VARS'!$A$54*($BX46*12.73)</f>
        <v>3.9674999999999998</v>
      </c>
      <c r="CK46" s="51">
        <f>'LINEST VARS'!$U$54+'LINEST VARS'!$T$54*(8)+'LINEST VARS'!$S$54*(8)+'LINEST VARS'!$R$54*($CK$32)+'LINEST VARS'!$Q$54*($BX46)+'LINEST VARS'!$P$54*(12.73)+'LINEST VARS'!$O$54*(8^2)+'LINEST VARS'!$N$54*(8^2)+'LINEST VARS'!$M$54*($CK$32^2)+'LINEST VARS'!$L$54*($BX46^2)+'LINEST VARS'!$K$54*(12.73^2)+'LINEST VARS'!$J$54*(8*8)+'LINEST VARS'!$I$54*(8*$CK$32)+'LINEST VARS'!$H$54*(8*$BX46)+'LINEST VARS'!$G$54*(8*12.73)+'LINEST VARS'!$F$54*(8*$CK$32)+'LINEST VARS'!$E$54*(8*$BX46)+'LINEST VARS'!$D$54*(8*12.73)+'LINEST VARS'!$C$54*($CK$32*$BX46)+'LINEST VARS'!$B$54*($CK$32*12.73)+'LINEST VARS'!$A$54*($BX46*12.73)</f>
        <v>3.9674999999999998</v>
      </c>
      <c r="CL46" s="51">
        <f>'LINEST VARS'!$U$54+'LINEST VARS'!$T$54*(8)+'LINEST VARS'!$S$54*(8)+'LINEST VARS'!$R$54*($CL$32)+'LINEST VARS'!$Q$54*($BX46)+'LINEST VARS'!$P$54*(12.73)+'LINEST VARS'!$O$54*(8^2)+'LINEST VARS'!$N$54*(8^2)+'LINEST VARS'!$M$54*($CL$32^2)+'LINEST VARS'!$L$54*($BX46^2)+'LINEST VARS'!$K$54*(12.73^2)+'LINEST VARS'!$J$54*(8*8)+'LINEST VARS'!$I$54*(8*$CL$32)+'LINEST VARS'!$H$54*(8*$BX46)+'LINEST VARS'!$G$54*(8*12.73)+'LINEST VARS'!$F$54*(8*$CL$32)+'LINEST VARS'!$E$54*(8*$BX46)+'LINEST VARS'!$D$54*(8*12.73)+'LINEST VARS'!$C$54*($CL$32*$BX46)+'LINEST VARS'!$B$54*($CL$32*12.73)+'LINEST VARS'!$A$54*($BX46*12.73)</f>
        <v>3.9674999999999998</v>
      </c>
      <c r="CM46" s="51">
        <f>'LINEST VARS'!$U$54+'LINEST VARS'!$T$54*(8)+'LINEST VARS'!$S$54*(8)+'LINEST VARS'!$R$54*($CM$32)+'LINEST VARS'!$Q$54*($BX46)+'LINEST VARS'!$P$54*(12.73)+'LINEST VARS'!$O$54*(8^2)+'LINEST VARS'!$N$54*(8^2)+'LINEST VARS'!$M$54*($CM$32^2)+'LINEST VARS'!$L$54*($BX46^2)+'LINEST VARS'!$K$54*(12.73^2)+'LINEST VARS'!$J$54*(8*8)+'LINEST VARS'!$I$54*(8*$CM$32)+'LINEST VARS'!$H$54*(8*$BX46)+'LINEST VARS'!$G$54*(8*12.73)+'LINEST VARS'!$F$54*(8*$CM$32)+'LINEST VARS'!$E$54*(8*$BX46)+'LINEST VARS'!$D$54*(8*12.73)+'LINEST VARS'!$C$54*($CM$32*$BX46)+'LINEST VARS'!$B$54*($CM$32*12.73)+'LINEST VARS'!$A$54*($BX46*12.73)</f>
        <v>3.9674999999999998</v>
      </c>
      <c r="CN46" s="51">
        <f>'LINEST VARS'!$U$54+'LINEST VARS'!$T$54*(8)+'LINEST VARS'!$S$54*(8)+'LINEST VARS'!$R$54*($CN$32)+'LINEST VARS'!$Q$54*($BX46)+'LINEST VARS'!$P$54*(12.73)+'LINEST VARS'!$O$54*(8^2)+'LINEST VARS'!$N$54*(8^2)+'LINEST VARS'!$M$54*($CN$32^2)+'LINEST VARS'!$L$54*($BX46^2)+'LINEST VARS'!$K$54*(12.73^2)+'LINEST VARS'!$J$54*(8*8)+'LINEST VARS'!$I$54*(8*$CN$32)+'LINEST VARS'!$H$54*(8*$BX46)+'LINEST VARS'!$G$54*(8*12.73)+'LINEST VARS'!$F$54*(8*$CN$32)+'LINEST VARS'!$E$54*(8*$BX46)+'LINEST VARS'!$D$54*(8*12.73)+'LINEST VARS'!$C$54*($CN$32*$BX46)+'LINEST VARS'!$B$54*($CN$32*12.73)+'LINEST VARS'!$A$54*($BX46*12.73)</f>
        <v>3.9674999999999998</v>
      </c>
      <c r="CO46" s="51">
        <f>'LINEST VARS'!$U$54+'LINEST VARS'!$T$54*(8)+'LINEST VARS'!$S$54*(8)+'LINEST VARS'!$R$54*($CO$32)+'LINEST VARS'!$Q$54*($BX46)+'LINEST VARS'!$P$54*(12.73)+'LINEST VARS'!$O$54*(8^2)+'LINEST VARS'!$N$54*(8^2)+'LINEST VARS'!$M$54*($CO$32^2)+'LINEST VARS'!$L$54*($BX46^2)+'LINEST VARS'!$K$54*(12.73^2)+'LINEST VARS'!$J$54*(8*8)+'LINEST VARS'!$I$54*(8*$CO$32)+'LINEST VARS'!$H$54*(8*$BX46)+'LINEST VARS'!$G$54*(8*12.73)+'LINEST VARS'!$F$54*(8*$CO$32)+'LINEST VARS'!$E$54*(8*$BX46)+'LINEST VARS'!$D$54*(8*12.73)+'LINEST VARS'!$C$54*($CO$32*$BX46)+'LINEST VARS'!$B$54*($CO$32*12.73)+'LINEST VARS'!$A$54*($BX46*12.73)</f>
        <v>3.9674999999999998</v>
      </c>
      <c r="CP46" s="51">
        <f>'LINEST VARS'!$U$54+'LINEST VARS'!$T$54*(8)+'LINEST VARS'!$S$54*(8)+'LINEST VARS'!$R$54*($CP$32)+'LINEST VARS'!$Q$54*($BX46)+'LINEST VARS'!$P$54*(12.73)+'LINEST VARS'!$O$54*(8^2)+'LINEST VARS'!$N$54*(8^2)+'LINEST VARS'!$M$54*($CP$32^2)+'LINEST VARS'!$L$54*($BX46^2)+'LINEST VARS'!$K$54*(12.73^2)+'LINEST VARS'!$J$54*(8*8)+'LINEST VARS'!$I$54*(8*$CP$32)+'LINEST VARS'!$H$54*(8*$BX46)+'LINEST VARS'!$G$54*(8*12.73)+'LINEST VARS'!$F$54*(8*$CP$32)+'LINEST VARS'!$E$54*(8*$BX46)+'LINEST VARS'!$D$54*(8*12.73)+'LINEST VARS'!$C$54*($CP$32*$BX46)+'LINEST VARS'!$B$54*($CP$32*12.73)+'LINEST VARS'!$A$54*($BX46*12.73)</f>
        <v>3.9674999999999998</v>
      </c>
      <c r="CQ46" s="51">
        <f>'LINEST VARS'!$U$54+'LINEST VARS'!$T$54*(8)+'LINEST VARS'!$S$54*(8)+'LINEST VARS'!$R$54*($CQ$32)+'LINEST VARS'!$Q$54*($BX46)+'LINEST VARS'!$P$54*(12.73)+'LINEST VARS'!$O$54*(8^2)+'LINEST VARS'!$N$54*(8^2)+'LINEST VARS'!$M$54*($CQ$32^2)+'LINEST VARS'!$L$54*($BX46^2)+'LINEST VARS'!$K$54*(12.73^2)+'LINEST VARS'!$J$54*(8*8)+'LINEST VARS'!$I$54*(8*$CQ$32)+'LINEST VARS'!$H$54*(8*$BX46)+'LINEST VARS'!$G$54*(8*12.73)+'LINEST VARS'!$F$54*(8*$CQ$32)+'LINEST VARS'!$E$54*(8*$BX46)+'LINEST VARS'!$D$54*(8*12.73)+'LINEST VARS'!$C$54*($CQ$32*$BX46)+'LINEST VARS'!$B$54*($CQ$32*12.73)+'LINEST VARS'!$A$54*($BX46*12.73)</f>
        <v>3.9674999999999998</v>
      </c>
      <c r="CR46" s="51">
        <f>'LINEST VARS'!$U$54+'LINEST VARS'!$T$54*(8)+'LINEST VARS'!$S$54*(8)+'LINEST VARS'!$R$54*($CR$32)+'LINEST VARS'!$Q$54*($BX46)+'LINEST VARS'!$P$54*(12.73)+'LINEST VARS'!$O$54*(8^2)+'LINEST VARS'!$N$54*(8^2)+'LINEST VARS'!$M$54*($CR$32^2)+'LINEST VARS'!$L$54*($BX46^2)+'LINEST VARS'!$K$54*(12.73^2)+'LINEST VARS'!$J$54*(8*8)+'LINEST VARS'!$I$54*(8*$CR$32)+'LINEST VARS'!$H$54*(8*$BX46)+'LINEST VARS'!$G$54*(8*12.73)+'LINEST VARS'!$F$54*(8*$CR$32)+'LINEST VARS'!$E$54*(8*$BX46)+'LINEST VARS'!$D$54*(8*12.73)+'LINEST VARS'!$C$54*($CR$32*$BX46)+'LINEST VARS'!$B$54*($CR$32*12.73)+'LINEST VARS'!$A$54*($BX46*12.73)</f>
        <v>3.9674999999999998</v>
      </c>
      <c r="CS46" s="52">
        <f>'LINEST VARS'!$U$54+'LINEST VARS'!$T$54*(8)+'LINEST VARS'!$S$54*(8)+'LINEST VARS'!$R$54*($CS$32)+'LINEST VARS'!$Q$54*($BX46)+'LINEST VARS'!$P$54*(12.73)+'LINEST VARS'!$O$54*(8^2)+'LINEST VARS'!$N$54*(8^2)+'LINEST VARS'!$M$54*($CS$32^2)+'LINEST VARS'!$L$54*($BX46^2)+'LINEST VARS'!$K$54*(12.73^2)+'LINEST VARS'!$J$54*(8*8)+'LINEST VARS'!$I$54*(8*$CS$32)+'LINEST VARS'!$H$54*(8*$BX46)+'LINEST VARS'!$G$54*(8*12.73)+'LINEST VARS'!$F$54*(8*$CS$32)+'LINEST VARS'!$E$54*(8*$BX46)+'LINEST VARS'!$D$54*(8*12.73)+'LINEST VARS'!$C$54*($CS$32*$BX46)+'LINEST VARS'!$B$54*($CS$32*12.73)+'LINEST VARS'!$A$54*($BX46*12.73)</f>
        <v>3.9674999999999998</v>
      </c>
      <c r="CX46" s="45">
        <v>16.8935</v>
      </c>
      <c r="CY46" s="51">
        <f>'LINEST VARS'!$U$52+'LINEST VARS'!$T$52*(8)+'LINEST VARS'!$S$52*(8)+'LINEST VARS'!$R$52*($CY$32)+'LINEST VARS'!$Q$52*(0.5)+'LINEST VARS'!$P$52*($CX46)+'LINEST VARS'!$O$52*(8^2)+'LINEST VARS'!$N$52*(8^2)+'LINEST VARS'!$M$52*($CY$32^2)+'LINEST VARS'!$L$52*(0.5^2)+'LINEST VARS'!$K$52*($CX46^2)+'LINEST VARS'!$J$52*(8*8)+'LINEST VARS'!$I$52*(8*$CY$32)+'LINEST VARS'!$H$52*(8*0.5)+'LINEST VARS'!$G$52*(8*$CX46)+'LINEST VARS'!$F$52*(8*$CY$32)+'LINEST VARS'!$E$52*(8*0.5)+'LINEST VARS'!$D$52*(8*$CX46)+'LINEST VARS'!$C$52*($CY$32*0.5)+'LINEST VARS'!$B$52*($CY$32*$CX46)+'LINEST VARS'!$A$52*(0.5*$CX46)</f>
        <v>4.4499999999999984</v>
      </c>
      <c r="CZ46" s="51">
        <f>'LINEST VARS'!$U$52+'LINEST VARS'!$T$52*(8)+'LINEST VARS'!$S$52*(8)+'LINEST VARS'!$R$52*($CZ$32)+'LINEST VARS'!$Q$52*(0.5)+'LINEST VARS'!$P$52*($CX46)+'LINEST VARS'!$O$52*(8^2)+'LINEST VARS'!$N$52*(8^2)+'LINEST VARS'!$M$52*($CZ$32^2)+'LINEST VARS'!$L$52*(0.5^2)+'LINEST VARS'!$K$52*($CX46^2)+'LINEST VARS'!$J$52*(8*8)+'LINEST VARS'!$I$52*(8*$CZ$32)+'LINEST VARS'!$H$52*(8*0.5)+'LINEST VARS'!$G$52*(8*$CX46)+'LINEST VARS'!$F$52*(8*$CZ$32)+'LINEST VARS'!$E$52*(8*0.5)+'LINEST VARS'!$D$52*(8*$CX46)+'LINEST VARS'!$C$52*($CZ$32*0.5)+'LINEST VARS'!$B$52*($CZ$32*$CX46)+'LINEST VARS'!$A$52*(0.5*$CX46)</f>
        <v>4.4499999999999984</v>
      </c>
      <c r="DA46" s="51">
        <f>'LINEST VARS'!$U$52+'LINEST VARS'!$T$52*(8)+'LINEST VARS'!$S$52*(8)+'LINEST VARS'!$R$52*($DA$32)+'LINEST VARS'!$Q$52*(0.5)+'LINEST VARS'!$P$52*($CX46)+'LINEST VARS'!$O$52*(8^2)+'LINEST VARS'!$N$52*(8^2)+'LINEST VARS'!$M$52*($DA$32^2)+'LINEST VARS'!$L$52*(0.5^2)+'LINEST VARS'!$K$52*($CX46^2)+'LINEST VARS'!$J$52*(8*8)+'LINEST VARS'!$I$52*(8*$DA$32)+'LINEST VARS'!$H$52*(8*0.5)+'LINEST VARS'!$G$52*(8*$CX46)+'LINEST VARS'!$F$52*(8*$DA$32)+'LINEST VARS'!$E$52*(8*0.5)+'LINEST VARS'!$D$52*(8*$CX46)+'LINEST VARS'!$C$52*($DA$32*0.5)+'LINEST VARS'!$B$52*($DA$32*$CX46)+'LINEST VARS'!$A$52*(0.5*$CX46)</f>
        <v>4.4499999999999984</v>
      </c>
      <c r="DB46" s="51">
        <f>'LINEST VARS'!$U$52+'LINEST VARS'!$T$52*(8)+'LINEST VARS'!$S$52*(8)+'LINEST VARS'!$R$52*($DB$32)+'LINEST VARS'!$Q$52*(0.5)+'LINEST VARS'!$P$52*($CX46)+'LINEST VARS'!$O$52*(8^2)+'LINEST VARS'!$N$52*(8^2)+'LINEST VARS'!$M$52*($DB$32^2)+'LINEST VARS'!$L$52*(0.5^2)+'LINEST VARS'!$K$52*($CX46^2)+'LINEST VARS'!$J$52*(8*8)+'LINEST VARS'!$I$52*(8*$DB$32)+'LINEST VARS'!$H$52*(8*0.5)+'LINEST VARS'!$G$52*(8*$CX46)+'LINEST VARS'!$F$52*(8*$DB$32)+'LINEST VARS'!$E$52*(8*0.5)+'LINEST VARS'!$D$52*(8*$CX46)+'LINEST VARS'!$C$52*($DB$32*0.5)+'LINEST VARS'!$B$52*($DB$32*$CX46)+'LINEST VARS'!$A$52*(0.5*$CX46)</f>
        <v>4.4499999999999984</v>
      </c>
      <c r="DC46" s="51">
        <f>'LINEST VARS'!$U$52+'LINEST VARS'!$T$52*(8)+'LINEST VARS'!$S$52*(8)+'LINEST VARS'!$R$52*($DC$32)+'LINEST VARS'!$Q$52*(0.5)+'LINEST VARS'!$P$52*($CX46)+'LINEST VARS'!$O$52*(8^2)+'LINEST VARS'!$N$52*(8^2)+'LINEST VARS'!$M$52*($DC$32^2)+'LINEST VARS'!$L$52*(0.5^2)+'LINEST VARS'!$K$52*($CX46^2)+'LINEST VARS'!$J$52*(8*8)+'LINEST VARS'!$I$52*(8*$DC$32)+'LINEST VARS'!$H$52*(8*0.5)+'LINEST VARS'!$G$52*(8*$CX46)+'LINEST VARS'!$F$52*(8*$DC$32)+'LINEST VARS'!$E$52*(8*0.5)+'LINEST VARS'!$D$52*(8*$CX46)+'LINEST VARS'!$C$52*($DC$32*0.5)+'LINEST VARS'!$B$52*($DC$32*$CX46)+'LINEST VARS'!$A$52*(0.5*$CX46)</f>
        <v>4.4499999999999984</v>
      </c>
      <c r="DD46" s="51">
        <f>'LINEST VARS'!$U$52+'LINEST VARS'!$T$52*(8)+'LINEST VARS'!$S$52*(8)+'LINEST VARS'!$R$52*($DD$32)+'LINEST VARS'!$Q$52*(0.5)+'LINEST VARS'!$P$52*($CX46)+'LINEST VARS'!$O$52*(8^2)+'LINEST VARS'!$N$52*(8^2)+'LINEST VARS'!$M$52*($DD$32^2)+'LINEST VARS'!$L$52*(0.5^2)+'LINEST VARS'!$K$52*($CX46^2)+'LINEST VARS'!$J$52*(8*8)+'LINEST VARS'!$I$52*(8*$DD$32)+'LINEST VARS'!$H$52*(8*0.5)+'LINEST VARS'!$G$52*(8*$CX46)+'LINEST VARS'!$F$52*(8*$DD$32)+'LINEST VARS'!$E$52*(8*0.5)+'LINEST VARS'!$D$52*(8*$CX46)+'LINEST VARS'!$C$52*($DD$32*0.5)+'LINEST VARS'!$B$52*($DD$32*$CX46)+'LINEST VARS'!$A$52*(0.5*$CX46)</f>
        <v>4.4499999999999984</v>
      </c>
      <c r="DE46" s="51">
        <f>'LINEST VARS'!$U$52+'LINEST VARS'!$T$52*(8)+'LINEST VARS'!$S$52*(8)+'LINEST VARS'!$R$52*($DE$32)+'LINEST VARS'!$Q$52*(0.5)+'LINEST VARS'!$P$52*($CX46)+'LINEST VARS'!$O$52*(8^2)+'LINEST VARS'!$N$52*(8^2)+'LINEST VARS'!$M$52*($DE$32^2)+'LINEST VARS'!$L$52*(0.5^2)+'LINEST VARS'!$K$52*($CX46^2)+'LINEST VARS'!$J$52*(8*8)+'LINEST VARS'!$I$52*(8*$DE$32)+'LINEST VARS'!$H$52*(8*0.5)+'LINEST VARS'!$G$52*(8*$CX46)+'LINEST VARS'!$F$52*(8*$DE$32)+'LINEST VARS'!$E$52*(8*0.5)+'LINEST VARS'!$D$52*(8*$CX46)+'LINEST VARS'!$C$52*($DE$32*0.5)+'LINEST VARS'!$B$52*($DE$32*$CX46)+'LINEST VARS'!$A$52*(0.5*$CX46)</f>
        <v>4.4499999999999984</v>
      </c>
      <c r="DF46" s="51">
        <f>'LINEST VARS'!$U$52+'LINEST VARS'!$T$52*(8)+'LINEST VARS'!$S$52*(8)+'LINEST VARS'!$R$52*($DF$32)+'LINEST VARS'!$Q$52*(0.5)+'LINEST VARS'!$P$52*($CX46)+'LINEST VARS'!$O$52*(8^2)+'LINEST VARS'!$N$52*(8^2)+'LINEST VARS'!$M$52*($DF$32^2)+'LINEST VARS'!$L$52*(0.5^2)+'LINEST VARS'!$K$52*($CX46^2)+'LINEST VARS'!$J$52*(8*8)+'LINEST VARS'!$I$52*(8*$DF$32)+'LINEST VARS'!$H$52*(8*0.5)+'LINEST VARS'!$G$52*(8*$CX46)+'LINEST VARS'!$F$52*(8*$DF$32)+'LINEST VARS'!$E$52*(8*0.5)+'LINEST VARS'!$D$52*(8*$CX46)+'LINEST VARS'!$C$52*($DF$32*0.5)+'LINEST VARS'!$B$52*($DF$32*$CX46)+'LINEST VARS'!$A$52*(0.5*$CX46)</f>
        <v>4.4499999999999984</v>
      </c>
      <c r="DG46" s="51">
        <f>'LINEST VARS'!$U$52+'LINEST VARS'!$T$52*(8)+'LINEST VARS'!$S$52*(8)+'LINEST VARS'!$R$52*($DG$32)+'LINEST VARS'!$Q$52*(0.5)+'LINEST VARS'!$P$52*($CX46)+'LINEST VARS'!$O$52*(8^2)+'LINEST VARS'!$N$52*(8^2)+'LINEST VARS'!$M$52*($DG$32^2)+'LINEST VARS'!$L$52*(0.5^2)+'LINEST VARS'!$K$52*($CX46^2)+'LINEST VARS'!$J$52*(8*8)+'LINEST VARS'!$I$52*(8*$DG$32)+'LINEST VARS'!$H$52*(8*0.5)+'LINEST VARS'!$G$52*(8*$CX46)+'LINEST VARS'!$F$52*(8*$DG$32)+'LINEST VARS'!$E$52*(8*0.5)+'LINEST VARS'!$D$52*(8*$CX46)+'LINEST VARS'!$C$52*($DG$32*0.5)+'LINEST VARS'!$B$52*($DG$32*$CX46)+'LINEST VARS'!$A$52*(0.5*$CX46)</f>
        <v>4.4499999999999984</v>
      </c>
      <c r="DH46" s="51">
        <f>'LINEST VARS'!$U$52+'LINEST VARS'!$T$52*(8)+'LINEST VARS'!$S$52*(8)+'LINEST VARS'!$R$52*($DH$32)+'LINEST VARS'!$Q$52*(0.5)+'LINEST VARS'!$P$52*($CX46)+'LINEST VARS'!$O$52*(8^2)+'LINEST VARS'!$N$52*(8^2)+'LINEST VARS'!$M$52*($DH$32^2)+'LINEST VARS'!$L$52*(0.5^2)+'LINEST VARS'!$K$52*($CX46^2)+'LINEST VARS'!$J$52*(8*8)+'LINEST VARS'!$I$52*(8*$DH$32)+'LINEST VARS'!$H$52*(8*0.5)+'LINEST VARS'!$G$52*(8*$CX46)+'LINEST VARS'!$F$52*(8*$DH$32)+'LINEST VARS'!$E$52*(8*0.5)+'LINEST VARS'!$D$52*(8*$CX46)+'LINEST VARS'!$C$52*($DH$32*0.5)+'LINEST VARS'!$B$52*($DH$32*$CX46)+'LINEST VARS'!$A$52*(0.5*$CX46)</f>
        <v>4.4499999999999984</v>
      </c>
      <c r="DI46" s="51">
        <f>'LINEST VARS'!$U$52+'LINEST VARS'!$T$52*(8)+'LINEST VARS'!$S$52*(8)+'LINEST VARS'!$R$52*($DI$32)+'LINEST VARS'!$Q$52*(0.5)+'LINEST VARS'!$P$52*($CX46)+'LINEST VARS'!$O$52*(8^2)+'LINEST VARS'!$N$52*(8^2)+'LINEST VARS'!$M$52*($DI$32^2)+'LINEST VARS'!$L$52*(0.5^2)+'LINEST VARS'!$K$52*($CX46^2)+'LINEST VARS'!$J$52*(8*8)+'LINEST VARS'!$I$52*(8*$DI$32)+'LINEST VARS'!$H$52*(8*0.5)+'LINEST VARS'!$G$52*(8*$CX46)+'LINEST VARS'!$F$52*(8*$DI$32)+'LINEST VARS'!$E$52*(8*0.5)+'LINEST VARS'!$D$52*(8*$CX46)+'LINEST VARS'!$C$52*($DI$32*0.5)+'LINEST VARS'!$B$52*($DI$32*$CX46)+'LINEST VARS'!$A$52*(0.5*$CX46)</f>
        <v>4.4499999999999984</v>
      </c>
      <c r="DJ46" s="51">
        <f>'LINEST VARS'!$U$52+'LINEST VARS'!$T$52*(8)+'LINEST VARS'!$S$52*(8)+'LINEST VARS'!$R$52*($DJ$32)+'LINEST VARS'!$Q$52*(0.5)+'LINEST VARS'!$P$52*($CX46)+'LINEST VARS'!$O$52*(8^2)+'LINEST VARS'!$N$52*(8^2)+'LINEST VARS'!$M$52*($DJ$32^2)+'LINEST VARS'!$L$52*(0.5^2)+'LINEST VARS'!$K$52*($CX46^2)+'LINEST VARS'!$J$52*(8*8)+'LINEST VARS'!$I$52*(8*$DJ$32)+'LINEST VARS'!$H$52*(8*0.5)+'LINEST VARS'!$G$52*(8*$CX46)+'LINEST VARS'!$F$52*(8*$DJ$32)+'LINEST VARS'!$E$52*(8*0.5)+'LINEST VARS'!$D$52*(8*$CX46)+'LINEST VARS'!$C$52*($DJ$32*0.5)+'LINEST VARS'!$B$52*($DJ$32*$CX46)+'LINEST VARS'!$A$52*(0.5*$CX46)</f>
        <v>4.4499999999999984</v>
      </c>
      <c r="DK46" s="51">
        <f>'LINEST VARS'!$U$52+'LINEST VARS'!$T$52*(8)+'LINEST VARS'!$S$52*(8)+'LINEST VARS'!$R$52*($DK$32)+'LINEST VARS'!$Q$52*(0.5)+'LINEST VARS'!$P$52*($CX46)+'LINEST VARS'!$O$52*(8^2)+'LINEST VARS'!$N$52*(8^2)+'LINEST VARS'!$M$52*($DK$32^2)+'LINEST VARS'!$L$52*(0.5^2)+'LINEST VARS'!$K$52*($CX46^2)+'LINEST VARS'!$J$52*(8*8)+'LINEST VARS'!$I$52*(8*$DK$32)+'LINEST VARS'!$H$52*(8*0.5)+'LINEST VARS'!$G$52*(8*$CX46)+'LINEST VARS'!$F$52*(8*$DK$32)+'LINEST VARS'!$E$52*(8*0.5)+'LINEST VARS'!$D$52*(8*$CX46)+'LINEST VARS'!$C$52*($DK$32*0.5)+'LINEST VARS'!$B$52*($DK$32*$CX46)+'LINEST VARS'!$A$52*(0.5*$CX46)</f>
        <v>4.4499999999999984</v>
      </c>
      <c r="DL46" s="51">
        <f>'LINEST VARS'!$U$52+'LINEST VARS'!$T$52*(8)+'LINEST VARS'!$S$52*(8)+'LINEST VARS'!$R$52*($DL$32)+'LINEST VARS'!$Q$52*(0.5)+'LINEST VARS'!$P$52*($CX46)+'LINEST VARS'!$O$52*(8^2)+'LINEST VARS'!$N$52*(8^2)+'LINEST VARS'!$M$52*($DL$32^2)+'LINEST VARS'!$L$52*(0.5^2)+'LINEST VARS'!$K$52*($CX46^2)+'LINEST VARS'!$J$52*(8*8)+'LINEST VARS'!$I$52*(8*$DL$32)+'LINEST VARS'!$H$52*(8*0.5)+'LINEST VARS'!$G$52*(8*$CX46)+'LINEST VARS'!$F$52*(8*$DL$32)+'LINEST VARS'!$E$52*(8*0.5)+'LINEST VARS'!$D$52*(8*$CX46)+'LINEST VARS'!$C$52*($DL$32*0.5)+'LINEST VARS'!$B$52*($DL$32*$CX46)+'LINEST VARS'!$A$52*(0.5*$CX46)</f>
        <v>4.4499999999999984</v>
      </c>
      <c r="DM46" s="51">
        <f>'LINEST VARS'!$U$52+'LINEST VARS'!$T$52*(8)+'LINEST VARS'!$S$52*(8)+'LINEST VARS'!$R$52*($DM$32)+'LINEST VARS'!$Q$52*(0.5)+'LINEST VARS'!$P$52*($CX46)+'LINEST VARS'!$O$52*(8^2)+'LINEST VARS'!$N$52*(8^2)+'LINEST VARS'!$M$52*($DM$32^2)+'LINEST VARS'!$L$52*(0.5^2)+'LINEST VARS'!$K$52*($CX46^2)+'LINEST VARS'!$J$52*(8*8)+'LINEST VARS'!$I$52*(8*$DM$32)+'LINEST VARS'!$H$52*(8*0.5)+'LINEST VARS'!$G$52*(8*$CX46)+'LINEST VARS'!$F$52*(8*$DM$32)+'LINEST VARS'!$E$52*(8*0.5)+'LINEST VARS'!$D$52*(8*$CX46)+'LINEST VARS'!$C$52*($DM$32*0.5)+'LINEST VARS'!$B$52*($DM$32*$CX46)+'LINEST VARS'!$A$52*(0.5*$CX46)</f>
        <v>4.4499999999999984</v>
      </c>
      <c r="DN46" s="51">
        <f>'LINEST VARS'!$U$52+'LINEST VARS'!$T$52*(8)+'LINEST VARS'!$S$52*(8)+'LINEST VARS'!$R$52*($DN$32)+'LINEST VARS'!$Q$52*(0.5)+'LINEST VARS'!$P$52*($CX46)+'LINEST VARS'!$O$52*(8^2)+'LINEST VARS'!$N$52*(8^2)+'LINEST VARS'!$M$52*($DN$32^2)+'LINEST VARS'!$L$52*(0.5^2)+'LINEST VARS'!$K$52*($CX46^2)+'LINEST VARS'!$J$52*(8*8)+'LINEST VARS'!$I$52*(8*$DN$32)+'LINEST VARS'!$H$52*(8*0.5)+'LINEST VARS'!$G$52*(8*$CX46)+'LINEST VARS'!$F$52*(8*$DN$32)+'LINEST VARS'!$E$52*(8*0.5)+'LINEST VARS'!$D$52*(8*$CX46)+'LINEST VARS'!$C$52*($DN$32*0.5)+'LINEST VARS'!$B$52*($DN$32*$CX46)+'LINEST VARS'!$A$52*(0.5*$CX46)</f>
        <v>4.4499999999999984</v>
      </c>
      <c r="DO46" s="51">
        <f>'LINEST VARS'!$U$52+'LINEST VARS'!$T$52*(8)+'LINEST VARS'!$S$52*(8)+'LINEST VARS'!$R$52*($DO$32)+'LINEST VARS'!$Q$52*(0.5)+'LINEST VARS'!$P$52*($CX46)+'LINEST VARS'!$O$52*(8^2)+'LINEST VARS'!$N$52*(8^2)+'LINEST VARS'!$M$52*($DO$32^2)+'LINEST VARS'!$L$52*(0.5^2)+'LINEST VARS'!$K$52*($CX46^2)+'LINEST VARS'!$J$52*(8*8)+'LINEST VARS'!$I$52*(8*$DO$32)+'LINEST VARS'!$H$52*(8*0.5)+'LINEST VARS'!$G$52*(8*$CX46)+'LINEST VARS'!$F$52*(8*$DO$32)+'LINEST VARS'!$E$52*(8*0.5)+'LINEST VARS'!$D$52*(8*$CX46)+'LINEST VARS'!$C$52*($DO$32*0.5)+'LINEST VARS'!$B$52*($DO$32*$CX46)+'LINEST VARS'!$A$52*(0.5*$CX46)</f>
        <v>4.4499999999999984</v>
      </c>
      <c r="DP46" s="51">
        <f>'LINEST VARS'!$U$52+'LINEST VARS'!$T$52*(8)+'LINEST VARS'!$S$52*(8)+'LINEST VARS'!$R$52*($DP$32)+'LINEST VARS'!$Q$52*(0.5)+'LINEST VARS'!$P$52*($CX46)+'LINEST VARS'!$O$52*(8^2)+'LINEST VARS'!$N$52*(8^2)+'LINEST VARS'!$M$52*($DP$32^2)+'LINEST VARS'!$L$52*(0.5^2)+'LINEST VARS'!$K$52*($CX46^2)+'LINEST VARS'!$J$52*(8*8)+'LINEST VARS'!$I$52*(8*$DP$32)+'LINEST VARS'!$H$52*(8*0.5)+'LINEST VARS'!$G$52*(8*$CX46)+'LINEST VARS'!$F$52*(8*$DP$32)+'LINEST VARS'!$E$52*(8*0.5)+'LINEST VARS'!$D$52*(8*$CX46)+'LINEST VARS'!$C$52*($DP$32*0.5)+'LINEST VARS'!$B$52*($DP$32*$CX46)+'LINEST VARS'!$A$52*(0.5*$CX46)</f>
        <v>4.4499999999999984</v>
      </c>
      <c r="DQ46" s="51">
        <f>'LINEST VARS'!$U$52+'LINEST VARS'!$T$52*(8)+'LINEST VARS'!$S$52*(8)+'LINEST VARS'!$R$52*($DQ$32)+'LINEST VARS'!$Q$52*(0.5)+'LINEST VARS'!$P$52*($CX46)+'LINEST VARS'!$O$52*(8^2)+'LINEST VARS'!$N$52*(8^2)+'LINEST VARS'!$M$52*($DQ$32^2)+'LINEST VARS'!$L$52*(0.5^2)+'LINEST VARS'!$K$52*($CX46^2)+'LINEST VARS'!$J$52*(8*8)+'LINEST VARS'!$I$52*(8*$DQ$32)+'LINEST VARS'!$H$52*(8*0.5)+'LINEST VARS'!$G$52*(8*$CX46)+'LINEST VARS'!$F$52*(8*$DQ$32)+'LINEST VARS'!$E$52*(8*0.5)+'LINEST VARS'!$D$52*(8*$CX46)+'LINEST VARS'!$C$52*($DQ$32*0.5)+'LINEST VARS'!$B$52*($DQ$32*$CX46)+'LINEST VARS'!$A$52*(0.5*$CX46)</f>
        <v>4.4499999999999984</v>
      </c>
      <c r="DR46" s="51">
        <f>'LINEST VARS'!$U$52+'LINEST VARS'!$T$52*(8)+'LINEST VARS'!$S$52*(8)+'LINEST VARS'!$R$52*($DR$32)+'LINEST VARS'!$Q$52*(0.5)+'LINEST VARS'!$P$52*($CX46)+'LINEST VARS'!$O$52*(8^2)+'LINEST VARS'!$N$52*(8^2)+'LINEST VARS'!$M$52*($DR$32^2)+'LINEST VARS'!$L$52*(0.5^2)+'LINEST VARS'!$K$52*($CX46^2)+'LINEST VARS'!$J$52*(8*8)+'LINEST VARS'!$I$52*(8*$DR$32)+'LINEST VARS'!$H$52*(8*0.5)+'LINEST VARS'!$G$52*(8*$CX46)+'LINEST VARS'!$F$52*(8*$DR$32)+'LINEST VARS'!$E$52*(8*0.5)+'LINEST VARS'!$D$52*(8*$CX46)+'LINEST VARS'!$C$52*($DR$32*0.5)+'LINEST VARS'!$B$52*($DR$32*$CX46)+'LINEST VARS'!$A$52*(0.5*$CX46)</f>
        <v>4.4499999999999984</v>
      </c>
      <c r="DS46" s="52">
        <f>'LINEST VARS'!$U$52+'LINEST VARS'!$T$52*(8)+'LINEST VARS'!$S$52*(8)+'LINEST VARS'!$R$52*($DS$32)+'LINEST VARS'!$Q$52*(0.5)+'LINEST VARS'!$P$52*($CX46)+'LINEST VARS'!$O$52*(8^2)+'LINEST VARS'!$N$52*(8^2)+'LINEST VARS'!$M$52*($DS$32^2)+'LINEST VARS'!$L$52*(0.5^2)+'LINEST VARS'!$K$52*($CX46^2)+'LINEST VARS'!$J$52*(8*8)+'LINEST VARS'!$I$52*(8*$DS$32)+'LINEST VARS'!$H$52*(8*0.5)+'LINEST VARS'!$G$52*(8*$CX46)+'LINEST VARS'!$F$52*(8*$DS$32)+'LINEST VARS'!$E$52*(8*0.5)+'LINEST VARS'!$D$52*(8*$CX46)+'LINEST VARS'!$C$52*($DS$32*0.5)+'LINEST VARS'!$B$52*($DS$32*$CX46)+'LINEST VARS'!$A$52*(0.5*$CX46)</f>
        <v>4.4499999999999984</v>
      </c>
      <c r="DV46" s="45">
        <v>16.8935</v>
      </c>
      <c r="DW46" s="51">
        <f>'LINEST VARS'!$U$54+'LINEST VARS'!$T$54*(8)+'LINEST VARS'!$S$54*(8)+'LINEST VARS'!$R$54*($DW$32)+'LINEST VARS'!$Q$54*(0.5)+'LINEST VARS'!$P$54*($DV46)+'LINEST VARS'!$O$54*(8^2)+'LINEST VARS'!$N$54*(8^2)+'LINEST VARS'!$M$54*($DW$32^2)+'LINEST VARS'!$L$54*(0.5^2)+'LINEST VARS'!$K$54*($DV46^2)+'LINEST VARS'!$J$54*(8*8)+'LINEST VARS'!$I$54*(8*$DW$32)+'LINEST VARS'!$H$54*(8*0.5)+'LINEST VARS'!$G$54*(8*$DV46)+'LINEST VARS'!$F$54*(8*$DW$32)+'LINEST VARS'!$E$54*(8*0.5)+'LINEST VARS'!$D$54*(8*$DV46)+'LINEST VARS'!$C$54*($DW$32*0.5)+'LINEST VARS'!$B$54*($DW$32*$DV46)+'LINEST VARS'!$A$54*(0.5*$DV46)</f>
        <v>3.9749999999999996</v>
      </c>
      <c r="DX46" s="51">
        <f>'LINEST VARS'!$U$54+'LINEST VARS'!$T$54*(8)+'LINEST VARS'!$S$54*(8)+'LINEST VARS'!$R$54*($DX$32)+'LINEST VARS'!$Q$54*(0.5)+'LINEST VARS'!$P$54*($DV46)+'LINEST VARS'!$O$54*(8^2)+'LINEST VARS'!$N$54*(8^2)+'LINEST VARS'!$M$54*($DX$32^2)+'LINEST VARS'!$L$54*(0.5^2)+'LINEST VARS'!$K$54*($DV46^2)+'LINEST VARS'!$J$54*(8*8)+'LINEST VARS'!$I$54*(8*$DX$32)+'LINEST VARS'!$H$54*(8*0.5)+'LINEST VARS'!$G$54*(8*$DV46)+'LINEST VARS'!$F$54*(8*$DX$32)+'LINEST VARS'!$E$54*(8*0.5)+'LINEST VARS'!$D$54*(8*$DV46)+'LINEST VARS'!$C$54*($DX$32*0.5)+'LINEST VARS'!$B$54*($DX$32*$DV46)+'LINEST VARS'!$A$54*(0.5*$DV46)</f>
        <v>3.9749999999999996</v>
      </c>
      <c r="DY46" s="51">
        <f>'LINEST VARS'!$U$54+'LINEST VARS'!$T$54*(8)+'LINEST VARS'!$S$54*(8)+'LINEST VARS'!$R$54*($DY$32)+'LINEST VARS'!$Q$54*(0.5)+'LINEST VARS'!$P$54*($DV46)+'LINEST VARS'!$O$54*(8^2)+'LINEST VARS'!$N$54*(8^2)+'LINEST VARS'!$M$54*($DY$32^2)+'LINEST VARS'!$L$54*(0.5^2)+'LINEST VARS'!$K$54*($DV46^2)+'LINEST VARS'!$J$54*(8*8)+'LINEST VARS'!$I$54*(8*$DY$32)+'LINEST VARS'!$H$54*(8*0.5)+'LINEST VARS'!$G$54*(8*$DV46)+'LINEST VARS'!$F$54*(8*$DY$32)+'LINEST VARS'!$E$54*(8*0.5)+'LINEST VARS'!$D$54*(8*$DV46)+'LINEST VARS'!$C$54*($DY$32*0.5)+'LINEST VARS'!$B$54*($DY$32*$DV46)+'LINEST VARS'!$A$54*(0.5*$DV46)</f>
        <v>3.9749999999999996</v>
      </c>
      <c r="DZ46" s="51">
        <f>'LINEST VARS'!$U$54+'LINEST VARS'!$T$54*(8)+'LINEST VARS'!$S$54*(8)+'LINEST VARS'!$R$54*($DZ$32)+'LINEST VARS'!$Q$54*(0.5)+'LINEST VARS'!$P$54*($DV46)+'LINEST VARS'!$O$54*(8^2)+'LINEST VARS'!$N$54*(8^2)+'LINEST VARS'!$M$54*($DZ$32^2)+'LINEST VARS'!$L$54*(0.5^2)+'LINEST VARS'!$K$54*($DV46^2)+'LINEST VARS'!$J$54*(8*8)+'LINEST VARS'!$I$54*(8*$DZ$32)+'LINEST VARS'!$H$54*(8*0.5)+'LINEST VARS'!$G$54*(8*$DV46)+'LINEST VARS'!$F$54*(8*$DZ$32)+'LINEST VARS'!$E$54*(8*0.5)+'LINEST VARS'!$D$54*(8*$DV46)+'LINEST VARS'!$C$54*($DZ$32*0.5)+'LINEST VARS'!$B$54*($DZ$32*$DV46)+'LINEST VARS'!$A$54*(0.5*$DV46)</f>
        <v>3.9749999999999996</v>
      </c>
      <c r="EA46" s="51">
        <f>'LINEST VARS'!$U$54+'LINEST VARS'!$T$54*(8)+'LINEST VARS'!$S$54*(8)+'LINEST VARS'!$R$54*($EA$32)+'LINEST VARS'!$Q$54*(0.5)+'LINEST VARS'!$P$54*($DV46)+'LINEST VARS'!$O$54*(8^2)+'LINEST VARS'!$N$54*(8^2)+'LINEST VARS'!$M$54*($EA$32^2)+'LINEST VARS'!$L$54*(0.5^2)+'LINEST VARS'!$K$54*($DV46^2)+'LINEST VARS'!$J$54*(8*8)+'LINEST VARS'!$I$54*(8*$EA$32)+'LINEST VARS'!$H$54*(8*0.5)+'LINEST VARS'!$G$54*(8*$DV46)+'LINEST VARS'!$F$54*(8*$EA$32)+'LINEST VARS'!$E$54*(8*0.5)+'LINEST VARS'!$D$54*(8*$DV46)+'LINEST VARS'!$C$54*($EA$32*0.5)+'LINEST VARS'!$B$54*($EA$32*$DV46)+'LINEST VARS'!$A$54*(0.5*$DV46)</f>
        <v>3.9749999999999996</v>
      </c>
      <c r="EB46" s="51">
        <f>'LINEST VARS'!$U$54+'LINEST VARS'!$T$54*(8)+'LINEST VARS'!$S$54*(8)+'LINEST VARS'!$R$54*($EB$32)+'LINEST VARS'!$Q$54*(0.5)+'LINEST VARS'!$P$54*($DV46)+'LINEST VARS'!$O$54*(8^2)+'LINEST VARS'!$N$54*(8^2)+'LINEST VARS'!$M$54*($EB$32^2)+'LINEST VARS'!$L$54*(0.5^2)+'LINEST VARS'!$K$54*($DV46^2)+'LINEST VARS'!$J$54*(8*8)+'LINEST VARS'!$I$54*(8*$EB$32)+'LINEST VARS'!$H$54*(8*0.5)+'LINEST VARS'!$G$54*(8*$DV46)+'LINEST VARS'!$F$54*(8*$EB$32)+'LINEST VARS'!$E$54*(8*0.5)+'LINEST VARS'!$D$54*(8*$DV46)+'LINEST VARS'!$C$54*($EB$32*0.5)+'LINEST VARS'!$B$54*($EB$32*$DV46)+'LINEST VARS'!$A$54*(0.5*$DV46)</f>
        <v>3.9749999999999996</v>
      </c>
      <c r="EC46" s="51">
        <f>'LINEST VARS'!$U$54+'LINEST VARS'!$T$54*(8)+'LINEST VARS'!$S$54*(8)+'LINEST VARS'!$R$54*($EC$32)+'LINEST VARS'!$Q$54*(0.5)+'LINEST VARS'!$P$54*($DV46)+'LINEST VARS'!$O$54*(8^2)+'LINEST VARS'!$N$54*(8^2)+'LINEST VARS'!$M$54*($EC$32^2)+'LINEST VARS'!$L$54*(0.5^2)+'LINEST VARS'!$K$54*($DV46^2)+'LINEST VARS'!$J$54*(8*8)+'LINEST VARS'!$I$54*(8*$EC$32)+'LINEST VARS'!$H$54*(8*0.5)+'LINEST VARS'!$G$54*(8*$DV46)+'LINEST VARS'!$F$54*(8*$EC$32)+'LINEST VARS'!$E$54*(8*0.5)+'LINEST VARS'!$D$54*(8*$DV46)+'LINEST VARS'!$C$54*($EC$32*0.5)+'LINEST VARS'!$B$54*($EC$32*$DV46)+'LINEST VARS'!$A$54*(0.5*$DV46)</f>
        <v>3.9749999999999996</v>
      </c>
      <c r="ED46" s="51">
        <f>'LINEST VARS'!$U$54+'LINEST VARS'!$T$54*(8)+'LINEST VARS'!$S$54*(8)+'LINEST VARS'!$R$54*($ED$32)+'LINEST VARS'!$Q$54*(0.5)+'LINEST VARS'!$P$54*($DV46)+'LINEST VARS'!$O$54*(8^2)+'LINEST VARS'!$N$54*(8^2)+'LINEST VARS'!$M$54*($ED$32^2)+'LINEST VARS'!$L$54*(0.5^2)+'LINEST VARS'!$K$54*($DV46^2)+'LINEST VARS'!$J$54*(8*8)+'LINEST VARS'!$I$54*(8*$ED$32)+'LINEST VARS'!$H$54*(8*0.5)+'LINEST VARS'!$G$54*(8*$DV46)+'LINEST VARS'!$F$54*(8*$ED$32)+'LINEST VARS'!$E$54*(8*0.5)+'LINEST VARS'!$D$54*(8*$DV46)+'LINEST VARS'!$C$54*($ED$32*0.5)+'LINEST VARS'!$B$54*($ED$32*$DV46)+'LINEST VARS'!$A$54*(0.5*$DV46)</f>
        <v>3.9749999999999996</v>
      </c>
      <c r="EE46" s="51">
        <f>'LINEST VARS'!$U$54+'LINEST VARS'!$T$54*(8)+'LINEST VARS'!$S$54*(8)+'LINEST VARS'!$R$54*($EE$32)+'LINEST VARS'!$Q$54*(0.5)+'LINEST VARS'!$P$54*($DV46)+'LINEST VARS'!$O$54*(8^2)+'LINEST VARS'!$N$54*(8^2)+'LINEST VARS'!$M$54*($EE$32^2)+'LINEST VARS'!$L$54*(0.5^2)+'LINEST VARS'!$K$54*($DV46^2)+'LINEST VARS'!$J$54*(8*8)+'LINEST VARS'!$I$54*(8*$EE$32)+'LINEST VARS'!$H$54*(8*0.5)+'LINEST VARS'!$G$54*(8*$DV46)+'LINEST VARS'!$F$54*(8*$EE$32)+'LINEST VARS'!$E$54*(8*0.5)+'LINEST VARS'!$D$54*(8*$DV46)+'LINEST VARS'!$C$54*($EE$32*0.5)+'LINEST VARS'!$B$54*($EE$32*$DV46)+'LINEST VARS'!$A$54*(0.5*$DV46)</f>
        <v>3.9749999999999996</v>
      </c>
      <c r="EF46" s="51">
        <f>'LINEST VARS'!$U$54+'LINEST VARS'!$T$54*(8)+'LINEST VARS'!$S$54*(8)+'LINEST VARS'!$R$54*($EF$32)+'LINEST VARS'!$Q$54*(0.5)+'LINEST VARS'!$P$54*($DV46)+'LINEST VARS'!$O$54*(8^2)+'LINEST VARS'!$N$54*(8^2)+'LINEST VARS'!$M$54*($EF$32^2)+'LINEST VARS'!$L$54*(0.5^2)+'LINEST VARS'!$K$54*($DV46^2)+'LINEST VARS'!$J$54*(8*8)+'LINEST VARS'!$I$54*(8*$EF$32)+'LINEST VARS'!$H$54*(8*0.5)+'LINEST VARS'!$G$54*(8*$DV46)+'LINEST VARS'!$F$54*(8*$EF$32)+'LINEST VARS'!$E$54*(8*0.5)+'LINEST VARS'!$D$54*(8*$DV46)+'LINEST VARS'!$C$54*($EF$32*0.5)+'LINEST VARS'!$B$54*($EF$32*$DV46)+'LINEST VARS'!$A$54*(0.5*$DV46)</f>
        <v>3.9749999999999996</v>
      </c>
      <c r="EG46" s="51">
        <f>'LINEST VARS'!$U$54+'LINEST VARS'!$T$54*(8)+'LINEST VARS'!$S$54*(8)+'LINEST VARS'!$R$54*($EG$32)+'LINEST VARS'!$Q$54*(0.5)+'LINEST VARS'!$P$54*($DV46)+'LINEST VARS'!$O$54*(8^2)+'LINEST VARS'!$N$54*(8^2)+'LINEST VARS'!$M$54*($EG$32^2)+'LINEST VARS'!$L$54*(0.5^2)+'LINEST VARS'!$K$54*($DV46^2)+'LINEST VARS'!$J$54*(8*8)+'LINEST VARS'!$I$54*(8*$EG$32)+'LINEST VARS'!$H$54*(8*0.5)+'LINEST VARS'!$G$54*(8*$DV46)+'LINEST VARS'!$F$54*(8*$EG$32)+'LINEST VARS'!$E$54*(8*0.5)+'LINEST VARS'!$D$54*(8*$DV46)+'LINEST VARS'!$C$54*($EG$32*0.5)+'LINEST VARS'!$B$54*($EG$32*$DV46)+'LINEST VARS'!$A$54*(0.5*$DV46)</f>
        <v>3.9749999999999996</v>
      </c>
      <c r="EH46" s="51">
        <f>'LINEST VARS'!$U$54+'LINEST VARS'!$T$54*(8)+'LINEST VARS'!$S$54*(8)+'LINEST VARS'!$R$54*($EH$32)+'LINEST VARS'!$Q$54*(0.5)+'LINEST VARS'!$P$54*($DV46)+'LINEST VARS'!$O$54*(8^2)+'LINEST VARS'!$N$54*(8^2)+'LINEST VARS'!$M$54*($EH$32^2)+'LINEST VARS'!$L$54*(0.5^2)+'LINEST VARS'!$K$54*($DV46^2)+'LINEST VARS'!$J$54*(8*8)+'LINEST VARS'!$I$54*(8*$EH$32)+'LINEST VARS'!$H$54*(8*0.5)+'LINEST VARS'!$G$54*(8*$DV46)+'LINEST VARS'!$F$54*(8*$EH$32)+'LINEST VARS'!$E$54*(8*0.5)+'LINEST VARS'!$D$54*(8*$DV46)+'LINEST VARS'!$C$54*($EH$32*0.5)+'LINEST VARS'!$B$54*($EH$32*$DV46)+'LINEST VARS'!$A$54*(0.5*$DV46)</f>
        <v>3.9749999999999996</v>
      </c>
      <c r="EI46" s="51">
        <f>'LINEST VARS'!$U$54+'LINEST VARS'!$T$54*(8)+'LINEST VARS'!$S$54*(8)+'LINEST VARS'!$R$54*($EI$32)+'LINEST VARS'!$Q$54*(0.5)+'LINEST VARS'!$P$54*($DV46)+'LINEST VARS'!$O$54*(8^2)+'LINEST VARS'!$N$54*(8^2)+'LINEST VARS'!$M$54*($EI$32^2)+'LINEST VARS'!$L$54*(0.5^2)+'LINEST VARS'!$K$54*($DV46^2)+'LINEST VARS'!$J$54*(8*8)+'LINEST VARS'!$I$54*(8*$EI$32)+'LINEST VARS'!$H$54*(8*0.5)+'LINEST VARS'!$G$54*(8*$DV46)+'LINEST VARS'!$F$54*(8*$EI$32)+'LINEST VARS'!$E$54*(8*0.5)+'LINEST VARS'!$D$54*(8*$DV46)+'LINEST VARS'!$C$54*($EI$32*0.5)+'LINEST VARS'!$B$54*($EI$32*$DV46)+'LINEST VARS'!$A$54*(0.5*$DV46)</f>
        <v>3.9749999999999996</v>
      </c>
      <c r="EJ46" s="51">
        <f>'LINEST VARS'!$U$54+'LINEST VARS'!$T$54*(8)+'LINEST VARS'!$S$54*(8)+'LINEST VARS'!$R$54*($EJ$32)+'LINEST VARS'!$Q$54*(0.5)+'LINEST VARS'!$P$54*($DV46)+'LINEST VARS'!$O$54*(8^2)+'LINEST VARS'!$N$54*(8^2)+'LINEST VARS'!$M$54*($EJ$32^2)+'LINEST VARS'!$L$54*(0.5^2)+'LINEST VARS'!$K$54*($DV46^2)+'LINEST VARS'!$J$54*(8*8)+'LINEST VARS'!$I$54*(8*$EJ$32)+'LINEST VARS'!$H$54*(8*0.5)+'LINEST VARS'!$G$54*(8*$DV46)+'LINEST VARS'!$F$54*(8*$EJ$32)+'LINEST VARS'!$E$54*(8*0.5)+'LINEST VARS'!$D$54*(8*$DV46)+'LINEST VARS'!$C$54*($EJ$32*0.5)+'LINEST VARS'!$B$54*($EJ$32*$DV46)+'LINEST VARS'!$A$54*(0.5*$DV46)</f>
        <v>3.9749999999999996</v>
      </c>
      <c r="EK46" s="51">
        <f>'LINEST VARS'!$U$54+'LINEST VARS'!$T$54*(8)+'LINEST VARS'!$S$54*(8)+'LINEST VARS'!$R$54*($EK$32)+'LINEST VARS'!$Q$54*(0.5)+'LINEST VARS'!$P$54*($DV46)+'LINEST VARS'!$O$54*(8^2)+'LINEST VARS'!$N$54*(8^2)+'LINEST VARS'!$M$54*($EK$32^2)+'LINEST VARS'!$L$54*(0.5^2)+'LINEST VARS'!$K$54*($DV46^2)+'LINEST VARS'!$J$54*(8*8)+'LINEST VARS'!$I$54*(8*$EK$32)+'LINEST VARS'!$H$54*(8*0.5)+'LINEST VARS'!$G$54*(8*$DV46)+'LINEST VARS'!$F$54*(8*$EK$32)+'LINEST VARS'!$E$54*(8*0.5)+'LINEST VARS'!$D$54*(8*$DV46)+'LINEST VARS'!$C$54*($EK$32*0.5)+'LINEST VARS'!$B$54*($EK$32*$DV46)+'LINEST VARS'!$A$54*(0.5*$DV46)</f>
        <v>3.9749999999999996</v>
      </c>
      <c r="EL46" s="51">
        <f>'LINEST VARS'!$U$54+'LINEST VARS'!$T$54*(8)+'LINEST VARS'!$S$54*(8)+'LINEST VARS'!$R$54*($EL$32)+'LINEST VARS'!$Q$54*(0.5)+'LINEST VARS'!$P$54*($DV46)+'LINEST VARS'!$O$54*(8^2)+'LINEST VARS'!$N$54*(8^2)+'LINEST VARS'!$M$54*($EL$32^2)+'LINEST VARS'!$L$54*(0.5^2)+'LINEST VARS'!$K$54*($DV46^2)+'LINEST VARS'!$J$54*(8*8)+'LINEST VARS'!$I$54*(8*$EL$32)+'LINEST VARS'!$H$54*(8*0.5)+'LINEST VARS'!$G$54*(8*$DV46)+'LINEST VARS'!$F$54*(8*$EL$32)+'LINEST VARS'!$E$54*(8*0.5)+'LINEST VARS'!$D$54*(8*$DV46)+'LINEST VARS'!$C$54*($EL$32*0.5)+'LINEST VARS'!$B$54*($EL$32*$DV46)+'LINEST VARS'!$A$54*(0.5*$DV46)</f>
        <v>3.9749999999999996</v>
      </c>
      <c r="EM46" s="51">
        <f>'LINEST VARS'!$U$54+'LINEST VARS'!$T$54*(8)+'LINEST VARS'!$S$54*(8)+'LINEST VARS'!$R$54*($EM$32)+'LINEST VARS'!$Q$54*(0.5)+'LINEST VARS'!$P$54*($DV46)+'LINEST VARS'!$O$54*(8^2)+'LINEST VARS'!$N$54*(8^2)+'LINEST VARS'!$M$54*($EM$32^2)+'LINEST VARS'!$L$54*(0.5^2)+'LINEST VARS'!$K$54*($DV46^2)+'LINEST VARS'!$J$54*(8*8)+'LINEST VARS'!$I$54*(8*$EM$32)+'LINEST VARS'!$H$54*(8*0.5)+'LINEST VARS'!$G$54*(8*$DV46)+'LINEST VARS'!$F$54*(8*$EM$32)+'LINEST VARS'!$E$54*(8*0.5)+'LINEST VARS'!$D$54*(8*$DV46)+'LINEST VARS'!$C$54*($EM$32*0.5)+'LINEST VARS'!$B$54*($EM$32*$DV46)+'LINEST VARS'!$A$54*(0.5*$DV46)</f>
        <v>3.9749999999999996</v>
      </c>
      <c r="EN46" s="51">
        <f>'LINEST VARS'!$U$54+'LINEST VARS'!$T$54*(8)+'LINEST VARS'!$S$54*(8)+'LINEST VARS'!$R$54*($EN$32)+'LINEST VARS'!$Q$54*(0.5)+'LINEST VARS'!$P$54*($DV46)+'LINEST VARS'!$O$54*(8^2)+'LINEST VARS'!$N$54*(8^2)+'LINEST VARS'!$M$54*($EN$32^2)+'LINEST VARS'!$L$54*(0.5^2)+'LINEST VARS'!$K$54*($DV46^2)+'LINEST VARS'!$J$54*(8*8)+'LINEST VARS'!$I$54*(8*$EN$32)+'LINEST VARS'!$H$54*(8*0.5)+'LINEST VARS'!$G$54*(8*$DV46)+'LINEST VARS'!$F$54*(8*$EN$32)+'LINEST VARS'!$E$54*(8*0.5)+'LINEST VARS'!$D$54*(8*$DV46)+'LINEST VARS'!$C$54*($EN$32*0.5)+'LINEST VARS'!$B$54*($EN$32*$DV46)+'LINEST VARS'!$A$54*(0.5*$DV46)</f>
        <v>3.9749999999999996</v>
      </c>
      <c r="EO46" s="51">
        <f>'LINEST VARS'!$U$54+'LINEST VARS'!$T$54*(8)+'LINEST VARS'!$S$54*(8)+'LINEST VARS'!$R$54*($EO$32)+'LINEST VARS'!$Q$54*(0.5)+'LINEST VARS'!$P$54*($DV46)+'LINEST VARS'!$O$54*(8^2)+'LINEST VARS'!$N$54*(8^2)+'LINEST VARS'!$M$54*($EO$32^2)+'LINEST VARS'!$L$54*(0.5^2)+'LINEST VARS'!$K$54*($DV46^2)+'LINEST VARS'!$J$54*(8*8)+'LINEST VARS'!$I$54*(8*$EO$32)+'LINEST VARS'!$H$54*(8*0.5)+'LINEST VARS'!$G$54*(8*$DV46)+'LINEST VARS'!$F$54*(8*$EO$32)+'LINEST VARS'!$E$54*(8*0.5)+'LINEST VARS'!$D$54*(8*$DV46)+'LINEST VARS'!$C$54*($EO$32*0.5)+'LINEST VARS'!$B$54*($EO$32*$DV46)+'LINEST VARS'!$A$54*(0.5*$DV46)</f>
        <v>3.9749999999999996</v>
      </c>
      <c r="EP46" s="51">
        <f>'LINEST VARS'!$U$54+'LINEST VARS'!$T$54*(8)+'LINEST VARS'!$S$54*(8)+'LINEST VARS'!$R$54*($EP$32)+'LINEST VARS'!$Q$54*(0.5)+'LINEST VARS'!$P$54*($DV46)+'LINEST VARS'!$O$54*(8^2)+'LINEST VARS'!$N$54*(8^2)+'LINEST VARS'!$M$54*($EP$32^2)+'LINEST VARS'!$L$54*(0.5^2)+'LINEST VARS'!$K$54*($DV46^2)+'LINEST VARS'!$J$54*(8*8)+'LINEST VARS'!$I$54*(8*$EP$32)+'LINEST VARS'!$H$54*(8*0.5)+'LINEST VARS'!$G$54*(8*$DV46)+'LINEST VARS'!$F$54*(8*$EP$32)+'LINEST VARS'!$E$54*(8*0.5)+'LINEST VARS'!$D$54*(8*$DV46)+'LINEST VARS'!$C$54*($EP$32*0.5)+'LINEST VARS'!$B$54*($EP$32*$DV46)+'LINEST VARS'!$A$54*(0.5*$DV46)</f>
        <v>3.9749999999999996</v>
      </c>
      <c r="EQ46" s="52">
        <f>'LINEST VARS'!$U$54+'LINEST VARS'!$T$54*(8)+'LINEST VARS'!$S$54*(8)+'LINEST VARS'!$R$54*($EQ$32)+'LINEST VARS'!$Q$54*(0.5)+'LINEST VARS'!$P$54*($DV46)+'LINEST VARS'!$O$54*(8^2)+'LINEST VARS'!$N$54*(8^2)+'LINEST VARS'!$M$54*($EQ$32^2)+'LINEST VARS'!$L$54*(0.5^2)+'LINEST VARS'!$K$54*($DV46^2)+'LINEST VARS'!$J$54*(8*8)+'LINEST VARS'!$I$54*(8*$EQ$32)+'LINEST VARS'!$H$54*(8*0.5)+'LINEST VARS'!$G$54*(8*$DV46)+'LINEST VARS'!$F$54*(8*$EQ$32)+'LINEST VARS'!$E$54*(8*0.5)+'LINEST VARS'!$D$54*(8*$DV46)+'LINEST VARS'!$C$54*($EQ$32*0.5)+'LINEST VARS'!$B$54*($EQ$32*$DV46)+'LINEST VARS'!$A$54*(0.5*$DV46)</f>
        <v>3.9749999999999996</v>
      </c>
    </row>
    <row r="47" spans="2:147" ht="15" customHeight="1" x14ac:dyDescent="0.25">
      <c r="B47" s="45">
        <v>8.24</v>
      </c>
      <c r="C47" s="51">
        <f>'LINEST VARS'!$U$52+'LINEST VARS'!$T$52*($C$32)+'LINEST VARS'!$S$52*($B47)+'LINEST VARS'!$R$52*(4)+'LINEST VARS'!$Q$52*(0.5)+'LINEST VARS'!$P$52*(12.73)+'LINEST VARS'!$O$52*($C$32^2)+'LINEST VARS'!$N$52*($B47^2)+'LINEST VARS'!$M$52*(4^2)+'LINEST VARS'!$L$52*(0.5^2)+'LINEST VARS'!$K$52*(12.73^2)+'LINEST VARS'!$J$52*($C$32*$B47)+'LINEST VARS'!$I$52*($C$32*4)+'LINEST VARS'!$H$52*($C$32*0.5)+'LINEST VARS'!$G$52*($C$32*12.73)+'LINEST VARS'!$F$52*($B47*4)+'LINEST VARS'!$E$52*($B47*0.5)+'LINEST VARS'!$D$52*($B47*12.73)+'LINEST VARS'!$C$52*(4*0.5)+'LINEST VARS'!$B$52*(4*12.73)+'LINEST VARS'!$A$52*(0.5*12.73)</f>
        <v>4.4499999999999984</v>
      </c>
      <c r="D47" s="51">
        <f>'LINEST VARS'!$U$52+'LINEST VARS'!$T$52*($D$32)+'LINEST VARS'!$S$52*($B47)+'LINEST VARS'!$R$52*(4)+'LINEST VARS'!$Q$52*(0.5)+'LINEST VARS'!$P$52*(12.73)+'LINEST VARS'!$O$52*($D$32^2)+'LINEST VARS'!$N$52*($B47^2)+'LINEST VARS'!$M$52*(4^2)+'LINEST VARS'!$L$52*(0.5^2)+'LINEST VARS'!$K$52*(12.73^2)+'LINEST VARS'!$J$52*($D$32*$B47)+'LINEST VARS'!$I$52*($D$32*4)+'LINEST VARS'!$H$52*($D$32*0.5)+'LINEST VARS'!$G$52*($D$32*12.73)+'LINEST VARS'!$F$52*($B47*4)+'LINEST VARS'!$E$52*($B47*0.5)+'LINEST VARS'!$D$52*($B47*12.73)+'LINEST VARS'!$C$52*(4*0.5)+'LINEST VARS'!$B$52*(4*12.73)+'LINEST VARS'!$A$52*(0.5*12.73)</f>
        <v>4.4499999999999984</v>
      </c>
      <c r="E47" s="51">
        <f>'LINEST VARS'!$U$52+'LINEST VARS'!$T$52*($E$32)+'LINEST VARS'!$S$52*($B47)+'LINEST VARS'!$R$52*(4)+'LINEST VARS'!$Q$52*(0.5)+'LINEST VARS'!$P$52*(12.73)+'LINEST VARS'!$O$52*($E$32^2)+'LINEST VARS'!$N$52*($B47^2)+'LINEST VARS'!$M$52*(4^2)+'LINEST VARS'!$L$52*(0.5^2)+'LINEST VARS'!$K$52*(12.73^2)+'LINEST VARS'!$J$52*($E$32*$B47)+'LINEST VARS'!$I$52*($E$32*4)+'LINEST VARS'!$H$52*($E$32*0.5)+'LINEST VARS'!$G$52*($E$32*12.73)+'LINEST VARS'!$F$52*($B47*4)+'LINEST VARS'!$E$52*($B47*0.5)+'LINEST VARS'!$D$52*($B47*12.73)+'LINEST VARS'!$C$52*(4*0.5)+'LINEST VARS'!$B$52*(4*12.73)+'LINEST VARS'!$A$52*(0.5*12.73)</f>
        <v>4.4499999999999984</v>
      </c>
      <c r="F47" s="51">
        <f>'LINEST VARS'!$U$52+'LINEST VARS'!$T$52*($F$32)+'LINEST VARS'!$S$52*($B47)+'LINEST VARS'!$R$52*(4)+'LINEST VARS'!$Q$52*(0.5)+'LINEST VARS'!$P$52*(12.73)+'LINEST VARS'!$O$52*($F$32^2)+'LINEST VARS'!$N$52*($B47^2)+'LINEST VARS'!$M$52*(4^2)+'LINEST VARS'!$L$52*(0.5^2)+'LINEST VARS'!$K$52*(12.73^2)+'LINEST VARS'!$J$52*($F$32*$B47)+'LINEST VARS'!$I$52*($F$32*4)+'LINEST VARS'!$H$52*($F$32*0.5)+'LINEST VARS'!$G$52*($F$32*12.73)+'LINEST VARS'!$F$52*($B47*4)+'LINEST VARS'!$E$52*($B47*0.5)+'LINEST VARS'!$D$52*($B47*12.73)+'LINEST VARS'!$C$52*(4*0.5)+'LINEST VARS'!$B$52*(4*12.73)+'LINEST VARS'!$A$52*(0.5*12.73)</f>
        <v>4.4499999999999984</v>
      </c>
      <c r="G47" s="51">
        <f>'LINEST VARS'!$U$52+'LINEST VARS'!$T$52*($G$32)+'LINEST VARS'!$S$52*($B47)+'LINEST VARS'!$R$52*(4)+'LINEST VARS'!$Q$52*(0.5)+'LINEST VARS'!$P$52*(12.73)+'LINEST VARS'!$O$52*($G$32^2)+'LINEST VARS'!$N$52*($B47^2)+'LINEST VARS'!$M$52*(4^2)+'LINEST VARS'!$L$52*(0.5^2)+'LINEST VARS'!$K$52*(12.73^2)+'LINEST VARS'!$J$52*($G$32*$B47)+'LINEST VARS'!$I$52*($G$32*4)+'LINEST VARS'!$H$52*($G$32*0.5)+'LINEST VARS'!$G$52*($G$32*12.73)+'LINEST VARS'!$F$52*($B47*4)+'LINEST VARS'!$E$52*($B47*0.5)+'LINEST VARS'!$D$52*($B47*12.73)+'LINEST VARS'!$C$52*(4*0.5)+'LINEST VARS'!$B$52*(4*12.73)+'LINEST VARS'!$A$52*(0.5*12.73)</f>
        <v>4.4499999999999984</v>
      </c>
      <c r="H47" s="51">
        <f>'LINEST VARS'!$U$52+'LINEST VARS'!$T$52*($H$32)+'LINEST VARS'!$S$52*($B47)+'LINEST VARS'!$R$52*(4)+'LINEST VARS'!$Q$52*(0.5)+'LINEST VARS'!$P$52*(12.73)+'LINEST VARS'!$O$52*($H$32^2)+'LINEST VARS'!$N$52*($B47^2)+'LINEST VARS'!$M$52*(4^2)+'LINEST VARS'!$L$52*(0.5^2)+'LINEST VARS'!$K$52*(12.73^2)+'LINEST VARS'!$J$52*($H$32*$B47)+'LINEST VARS'!$I$52*($H$32*4)+'LINEST VARS'!$H$52*($H$32*0.5)+'LINEST VARS'!$G$52*($H$32*12.73)+'LINEST VARS'!$F$52*($B47*4)+'LINEST VARS'!$E$52*($B47*0.5)+'LINEST VARS'!$D$52*($B47*12.73)+'LINEST VARS'!$C$52*(4*0.5)+'LINEST VARS'!$B$52*(4*12.73)+'LINEST VARS'!$A$52*(0.5*12.73)</f>
        <v>4.4499999999999984</v>
      </c>
      <c r="I47" s="51">
        <f>'LINEST VARS'!$U$52+'LINEST VARS'!$T$52*($I$32)+'LINEST VARS'!$S$52*($B47)+'LINEST VARS'!$R$52*(4)+'LINEST VARS'!$Q$52*(0.5)+'LINEST VARS'!$P$52*(12.73)+'LINEST VARS'!$O$52*($I$32^2)+'LINEST VARS'!$N$52*($B47^2)+'LINEST VARS'!$M$52*(4^2)+'LINEST VARS'!$L$52*(0.5^2)+'LINEST VARS'!$K$52*(12.73^2)+'LINEST VARS'!$J$52*($I$32*$B47)+'LINEST VARS'!$I$52*($I$32*4)+'LINEST VARS'!$H$52*($I$32*0.5)+'LINEST VARS'!$G$52*($I$32*12.73)+'LINEST VARS'!$F$52*($B47*4)+'LINEST VARS'!$E$52*($B47*0.5)+'LINEST VARS'!$D$52*($B47*12.73)+'LINEST VARS'!$C$52*(4*0.5)+'LINEST VARS'!$B$52*(4*12.73)+'LINEST VARS'!$A$52*(0.5*12.73)</f>
        <v>4.4499999999999984</v>
      </c>
      <c r="J47" s="51">
        <f>'LINEST VARS'!$U$52+'LINEST VARS'!$T$52*($J$32)+'LINEST VARS'!$S$52*($B47)+'LINEST VARS'!$R$52*(4)+'LINEST VARS'!$Q$52*(0.5)+'LINEST VARS'!$P$52*(12.73)+'LINEST VARS'!$O$52*($J$32^2)+'LINEST VARS'!$N$52*($B47^2)+'LINEST VARS'!$M$52*(4^2)+'LINEST VARS'!$L$52*(0.5^2)+'LINEST VARS'!$K$52*(12.73^2)+'LINEST VARS'!$J$52*($J$32*$B47)+'LINEST VARS'!$I$52*($J$32*4)+'LINEST VARS'!$H$52*($J$32*0.5)+'LINEST VARS'!$G$52*($J$32*12.73)+'LINEST VARS'!$F$52*($B47*4)+'LINEST VARS'!$E$52*($B47*0.5)+'LINEST VARS'!$D$52*($B47*12.73)+'LINEST VARS'!$C$52*(4*0.5)+'LINEST VARS'!$B$52*(4*12.73)+'LINEST VARS'!$A$52*(0.5*12.73)</f>
        <v>4.4499999999999984</v>
      </c>
      <c r="K47" s="51">
        <f>'LINEST VARS'!$U$52+'LINEST VARS'!$T$52*($K$32)+'LINEST VARS'!$S$52*($B47)+'LINEST VARS'!$R$52*(4)+'LINEST VARS'!$Q$52*(0.5)+'LINEST VARS'!$P$52*(12.73)+'LINEST VARS'!$O$52*($K$32^2)+'LINEST VARS'!$N$52*($B47^2)+'LINEST VARS'!$M$52*(4^2)+'LINEST VARS'!$L$52*(0.5^2)+'LINEST VARS'!$K$52*(12.73^2)+'LINEST VARS'!$J$52*($K$32*$B47)+'LINEST VARS'!$I$52*($K$32*4)+'LINEST VARS'!$H$52*($K$32*0.5)+'LINEST VARS'!$G$52*($K$32*12.73)+'LINEST VARS'!$F$52*($B47*4)+'LINEST VARS'!$E$52*($B47*0.5)+'LINEST VARS'!$D$52*($B47*12.73)+'LINEST VARS'!$C$52*(4*0.5)+'LINEST VARS'!$B$52*(4*12.73)+'LINEST VARS'!$A$52*(0.5*12.73)</f>
        <v>4.4499999999999984</v>
      </c>
      <c r="L47" s="51">
        <f>'LINEST VARS'!$U$52+'LINEST VARS'!$T$52*($L$32)+'LINEST VARS'!$S$52*($B47)+'LINEST VARS'!$R$52*(4)+'LINEST VARS'!$Q$52*(0.5)+'LINEST VARS'!$P$52*(12.73)+'LINEST VARS'!$O$52*($L$32^2)+'LINEST VARS'!$N$52*($B47^2)+'LINEST VARS'!$M$52*(4^2)+'LINEST VARS'!$L$52*(0.5^2)+'LINEST VARS'!$K$52*(12.73^2)+'LINEST VARS'!$J$52*($L$32*$B47)+'LINEST VARS'!$I$52*($L$32*4)+'LINEST VARS'!$H$52*($L$32*0.5)+'LINEST VARS'!$G$52*($L$32*12.73)+'LINEST VARS'!$F$52*($B47*4)+'LINEST VARS'!$E$52*($B47*0.5)+'LINEST VARS'!$D$52*($B47*12.73)+'LINEST VARS'!$C$52*(4*0.5)+'LINEST VARS'!$B$52*(4*12.73)+'LINEST VARS'!$A$52*(0.5*12.73)</f>
        <v>4.4499999999999984</v>
      </c>
      <c r="M47" s="51">
        <f>'LINEST VARS'!$U$52+'LINEST VARS'!$T$52*($M$32)+'LINEST VARS'!$S$52*($B47)+'LINEST VARS'!$R$52*(4)+'LINEST VARS'!$Q$52*(0.5)+'LINEST VARS'!$P$52*(12.73)+'LINEST VARS'!$O$52*($M$32^2)+'LINEST VARS'!$N$52*($B47^2)+'LINEST VARS'!$M$52*(4^2)+'LINEST VARS'!$L$52*(0.5^2)+'LINEST VARS'!$K$52*(12.73^2)+'LINEST VARS'!$J$52*($M$32*$B47)+'LINEST VARS'!$I$52*($M$32*4)+'LINEST VARS'!$H$52*($M$32*0.5)+'LINEST VARS'!$G$52*($M$32*12.73)+'LINEST VARS'!$F$52*($B47*4)+'LINEST VARS'!$E$52*($B47*0.5)+'LINEST VARS'!$D$52*($B47*12.73)+'LINEST VARS'!$C$52*(4*0.5)+'LINEST VARS'!$B$52*(4*12.73)+'LINEST VARS'!$A$52*(0.5*12.73)</f>
        <v>4.4499999999999984</v>
      </c>
      <c r="N47" s="51">
        <f>'LINEST VARS'!$U$52+'LINEST VARS'!$T$52*($N$32)+'LINEST VARS'!$S$52*($B47)+'LINEST VARS'!$R$52*(4)+'LINEST VARS'!$Q$52*(0.5)+'LINEST VARS'!$P$52*(12.73)+'LINEST VARS'!$O$52*($N$32^2)+'LINEST VARS'!$N$52*($B47^2)+'LINEST VARS'!$M$52*(4^2)+'LINEST VARS'!$L$52*(0.5^2)+'LINEST VARS'!$K$52*(12.73^2)+'LINEST VARS'!$J$52*($N$32*$B47)+'LINEST VARS'!$I$52*($N$32*4)+'LINEST VARS'!$H$52*($N$32*0.5)+'LINEST VARS'!$G$52*($N$32*12.73)+'LINEST VARS'!$F$52*($B47*4)+'LINEST VARS'!$E$52*($B47*0.5)+'LINEST VARS'!$D$52*($B47*12.73)+'LINEST VARS'!$C$52*(4*0.5)+'LINEST VARS'!$B$52*(4*12.73)+'LINEST VARS'!$A$52*(0.5*12.73)</f>
        <v>4.4499999999999984</v>
      </c>
      <c r="O47" s="51">
        <f>'LINEST VARS'!$U$52+'LINEST VARS'!$T$52*($O$32)+'LINEST VARS'!$S$52*($B47)+'LINEST VARS'!$R$52*(4)+'LINEST VARS'!$Q$52*(0.5)+'LINEST VARS'!$P$52*(12.73)+'LINEST VARS'!$O$52*($O$32^2)+'LINEST VARS'!$N$52*($B47^2)+'LINEST VARS'!$M$52*(4^2)+'LINEST VARS'!$L$52*(0.5^2)+'LINEST VARS'!$K$52*(12.73^2)+'LINEST VARS'!$J$52*($O$32*$B47)+'LINEST VARS'!$I$52*($O$32*4)+'LINEST VARS'!$H$52*($O$32*0.5)+'LINEST VARS'!$G$52*($O$32*12.73)+'LINEST VARS'!$F$52*($B47*4)+'LINEST VARS'!$E$52*($B47*0.5)+'LINEST VARS'!$D$52*($B47*12.73)+'LINEST VARS'!$C$52*(4*0.5)+'LINEST VARS'!$B$52*(4*12.73)+'LINEST VARS'!$A$52*(0.5*12.73)</f>
        <v>4.4499999999999984</v>
      </c>
      <c r="P47" s="51">
        <f>'LINEST VARS'!$U$52+'LINEST VARS'!$T$52*($P$32)+'LINEST VARS'!$S$52*($B47)+'LINEST VARS'!$R$52*(4)+'LINEST VARS'!$Q$52*(0.5)+'LINEST VARS'!$P$52*(12.73)+'LINEST VARS'!$O$52*($P$32^2)+'LINEST VARS'!$N$52*($B47^2)+'LINEST VARS'!$M$52*(4^2)+'LINEST VARS'!$L$52*(0.5^2)+'LINEST VARS'!$K$52*(12.73^2)+'LINEST VARS'!$J$52*($P$32*$B47)+'LINEST VARS'!$I$52*($P$32*4)+'LINEST VARS'!$H$52*($P$32*0.5)+'LINEST VARS'!$G$52*($P$32*12.73)+'LINEST VARS'!$F$52*($B47*4)+'LINEST VARS'!$E$52*($B47*0.5)+'LINEST VARS'!$D$52*($B47*12.73)+'LINEST VARS'!$C$52*(4*0.5)+'LINEST VARS'!$B$52*(4*12.73)+'LINEST VARS'!$A$52*(0.5*12.73)</f>
        <v>4.4499999999999984</v>
      </c>
      <c r="Q47" s="51">
        <f>'LINEST VARS'!$U$52+'LINEST VARS'!$T$52*($Q$32)+'LINEST VARS'!$S$52*($B47)+'LINEST VARS'!$R$52*(4)+'LINEST VARS'!$Q$52*(0.5)+'LINEST VARS'!$P$52*(12.73)+'LINEST VARS'!$O$52*($Q$32^2)+'LINEST VARS'!$N$52*($B47^2)+'LINEST VARS'!$M$52*(4^2)+'LINEST VARS'!$L$52*(0.5^2)+'LINEST VARS'!$K$52*(12.73^2)+'LINEST VARS'!$J$52*($Q$32*$B47)+'LINEST VARS'!$I$52*($Q$32*4)+'LINEST VARS'!$H$52*($Q$32*0.5)+'LINEST VARS'!$G$52*($Q$32*12.73)+'LINEST VARS'!$F$52*($B47*4)+'LINEST VARS'!$E$52*($B47*0.5)+'LINEST VARS'!$D$52*($B47*12.73)+'LINEST VARS'!$C$52*(4*0.5)+'LINEST VARS'!$B$52*(4*12.73)+'LINEST VARS'!$A$52*(0.5*12.73)</f>
        <v>4.4499999999999984</v>
      </c>
      <c r="R47" s="51">
        <f>'LINEST VARS'!$U$52+'LINEST VARS'!$T$52*($R$32)+'LINEST VARS'!$S$52*($B47)+'LINEST VARS'!$R$52*(4)+'LINEST VARS'!$Q$52*(0.5)+'LINEST VARS'!$P$52*(12.73)+'LINEST VARS'!$O$52*($R$32^2)+'LINEST VARS'!$N$52*($B47^2)+'LINEST VARS'!$M$52*(4^2)+'LINEST VARS'!$L$52*(0.5^2)+'LINEST VARS'!$K$52*(12.73^2)+'LINEST VARS'!$J$52*($R$32*$B47)+'LINEST VARS'!$I$52*($R$32*4)+'LINEST VARS'!$H$52*($R$32*0.5)+'LINEST VARS'!$G$52*($R$32*12.73)+'LINEST VARS'!$F$52*($B47*4)+'LINEST VARS'!$E$52*($B47*0.5)+'LINEST VARS'!$D$52*($B47*12.73)+'LINEST VARS'!$C$52*(4*0.5)+'LINEST VARS'!$B$52*(4*12.73)+'LINEST VARS'!$A$52*(0.5*12.73)</f>
        <v>4.4499999999999984</v>
      </c>
      <c r="S47" s="51">
        <f>'LINEST VARS'!$U$52+'LINEST VARS'!$T$52*($S$32)+'LINEST VARS'!$S$52*($B47)+'LINEST VARS'!$R$52*(4)+'LINEST VARS'!$Q$52*(0.5)+'LINEST VARS'!$P$52*(12.73)+'LINEST VARS'!$O$52*($S$32^2)+'LINEST VARS'!$N$52*($B47^2)+'LINEST VARS'!$M$52*(4^2)+'LINEST VARS'!$L$52*(0.5^2)+'LINEST VARS'!$K$52*(12.73^2)+'LINEST VARS'!$J$52*($S$32*$B47)+'LINEST VARS'!$I$52*($S$32*4)+'LINEST VARS'!$H$52*($S$32*0.5)+'LINEST VARS'!$G$52*($S$32*12.73)+'LINEST VARS'!$F$52*($B47*4)+'LINEST VARS'!$E$52*($B47*0.5)+'LINEST VARS'!$D$52*($B47*12.73)+'LINEST VARS'!$C$52*(4*0.5)+'LINEST VARS'!$B$52*(4*12.73)+'LINEST VARS'!$A$52*(0.5*12.73)</f>
        <v>4.4499999999999984</v>
      </c>
      <c r="T47" s="51">
        <f>'LINEST VARS'!$U$52+'LINEST VARS'!$T$52*($T$32)+'LINEST VARS'!$S$52*($B47)+'LINEST VARS'!$R$52*(4)+'LINEST VARS'!$Q$52*(0.5)+'LINEST VARS'!$P$52*(12.73)+'LINEST VARS'!$O$52*($T$32^2)+'LINEST VARS'!$N$52*($B47^2)+'LINEST VARS'!$M$52*(4^2)+'LINEST VARS'!$L$52*(0.5^2)+'LINEST VARS'!$K$52*(12.73^2)+'LINEST VARS'!$J$52*($T$32*$B47)+'LINEST VARS'!$I$52*($T$32*4)+'LINEST VARS'!$H$52*($T$32*0.5)+'LINEST VARS'!$G$52*($T$32*12.73)+'LINEST VARS'!$F$52*($B47*4)+'LINEST VARS'!$E$52*($B47*0.5)+'LINEST VARS'!$D$52*($B47*12.73)+'LINEST VARS'!$C$52*(4*0.5)+'LINEST VARS'!$B$52*(4*12.73)+'LINEST VARS'!$A$52*(0.5*12.73)</f>
        <v>4.4499999999999984</v>
      </c>
      <c r="U47" s="51">
        <f>'LINEST VARS'!$U$52+'LINEST VARS'!$T$52*($U$32)+'LINEST VARS'!$S$52*($B47)+'LINEST VARS'!$R$52*(4)+'LINEST VARS'!$Q$52*(0.5)+'LINEST VARS'!$P$52*(12.73)+'LINEST VARS'!$O$52*($U$32^2)+'LINEST VARS'!$N$52*($B47^2)+'LINEST VARS'!$M$52*(4^2)+'LINEST VARS'!$L$52*(0.5^2)+'LINEST VARS'!$K$52*(12.73^2)+'LINEST VARS'!$J$52*($U$32*$B47)+'LINEST VARS'!$I$52*($U$32*4)+'LINEST VARS'!$H$52*($U$32*0.5)+'LINEST VARS'!$G$52*($U$32*12.73)+'LINEST VARS'!$F$52*($B47*4)+'LINEST VARS'!$E$52*($B47*0.5)+'LINEST VARS'!$D$52*($B47*12.73)+'LINEST VARS'!$C$52*(4*0.5)+'LINEST VARS'!$B$52*(4*12.73)+'LINEST VARS'!$A$52*(0.5*12.73)</f>
        <v>4.4499999999999984</v>
      </c>
      <c r="V47" s="51">
        <f>'LINEST VARS'!$U$52+'LINEST VARS'!$T$52*($V$32)+'LINEST VARS'!$S$52*($B47)+'LINEST VARS'!$R$52*(4)+'LINEST VARS'!$Q$52*(0.5)+'LINEST VARS'!$P$52*(12.73)+'LINEST VARS'!$O$52*($V$32^2)+'LINEST VARS'!$N$52*($B47^2)+'LINEST VARS'!$M$52*(4^2)+'LINEST VARS'!$L$52*(0.5^2)+'LINEST VARS'!$K$52*(12.73^2)+'LINEST VARS'!$J$52*($V$32*$B47)+'LINEST VARS'!$I$52*($V$32*4)+'LINEST VARS'!$H$52*($V$32*0.5)+'LINEST VARS'!$G$52*($V$32*12.73)+'LINEST VARS'!$F$52*($B47*4)+'LINEST VARS'!$E$52*($B47*0.5)+'LINEST VARS'!$D$52*($B47*12.73)+'LINEST VARS'!$C$52*(4*0.5)+'LINEST VARS'!$B$52*(4*12.73)+'LINEST VARS'!$A$52*(0.5*12.73)</f>
        <v>4.4499999999999993</v>
      </c>
      <c r="W47" s="52">
        <f>'LINEST VARS'!$U$52+'LINEST VARS'!$T$52*($W$32)+'LINEST VARS'!$S$52*($B47)+'LINEST VARS'!$R$52*(4)+'LINEST VARS'!$Q$52*(0.5)+'LINEST VARS'!$P$52*(12.73)+'LINEST VARS'!$O$52*($W$32^2)+'LINEST VARS'!$N$52*($B47^2)+'LINEST VARS'!$M$52*(4^2)+'LINEST VARS'!$L$52*(0.5^2)+'LINEST VARS'!$K$52*(12.73^2)+'LINEST VARS'!$J$52*($W$32*$B47)+'LINEST VARS'!$I$52*($W$32*4)+'LINEST VARS'!$H$52*($W$32*0.5)+'LINEST VARS'!$G$52*($W$32*12.73)+'LINEST VARS'!$F$52*($B47*4)+'LINEST VARS'!$E$52*($B47*0.5)+'LINEST VARS'!$D$52*($B47*12.73)+'LINEST VARS'!$C$52*(4*0.5)+'LINEST VARS'!$B$52*(4*12.73)+'LINEST VARS'!$A$52*(0.5*12.73)</f>
        <v>4.4499999999999993</v>
      </c>
      <c r="Z47" s="45">
        <v>8.24</v>
      </c>
      <c r="AA47" s="51">
        <f>'LINEST VARS'!$U$54+'LINEST VARS'!$T$54*($AA$32)+'LINEST VARS'!$S$54*($Z47)+'LINEST VARS'!$R$54*(4)+'LINEST VARS'!$Q$54*(0.5)+'LINEST VARS'!$P$54*(12.73)+'LINEST VARS'!$O$54*($AA$32^2)+'LINEST VARS'!$N$54*($Z47^2)+'LINEST VARS'!$M$54*(4^2)+'LINEST VARS'!$L$54*(0.5^2)+'LINEST VARS'!$K$54*(12.73^2)+'LINEST VARS'!$J$54*($AA$32*$Z47)+'LINEST VARS'!$I$54*($AA$32*4)+'LINEST VARS'!$H$54*($AA$32*0.5)+'LINEST VARS'!$G$54*($AA$32*12.73)+'LINEST VARS'!$F$54*($Z47*4)+'LINEST VARS'!$E$54*($Z47*0.5)+'LINEST VARS'!$D$54*($Z47*12.73)+'LINEST VARS'!$C$54*(4*0.5)+'LINEST VARS'!$B$54*(4*12.73)+'LINEST VARS'!$A$54*(0.5*12.73)</f>
        <v>3.9749999999999996</v>
      </c>
      <c r="AB47" s="51">
        <f>'LINEST VARS'!$U$54+'LINEST VARS'!$T$54*($AB$32)+'LINEST VARS'!$S$54*($Z47)+'LINEST VARS'!$R$54*(4)+'LINEST VARS'!$Q$54*(0.5)+'LINEST VARS'!$P$54*(12.73)+'LINEST VARS'!$O$54*($AB$32^2)+'LINEST VARS'!$N$54*($Z47^2)+'LINEST VARS'!$M$54*(4^2)+'LINEST VARS'!$L$54*(0.5^2)+'LINEST VARS'!$K$54*(12.73^2)+'LINEST VARS'!$J$54*($AB$32*$Z47)+'LINEST VARS'!$I$54*($AB$32*4)+'LINEST VARS'!$H$54*($AB$32*0.5)+'LINEST VARS'!$G$54*($AB$32*12.73)+'LINEST VARS'!$F$54*($Z47*4)+'LINEST VARS'!$E$54*($Z47*0.5)+'LINEST VARS'!$D$54*($Z47*12.73)+'LINEST VARS'!$C$54*(4*0.5)+'LINEST VARS'!$B$54*(4*12.73)+'LINEST VARS'!$A$54*(0.5*12.73)</f>
        <v>3.9749999999999996</v>
      </c>
      <c r="AC47" s="51">
        <f>'LINEST VARS'!$U$54+'LINEST VARS'!$T$54*($AC$32)+'LINEST VARS'!$S$54*($Z47)+'LINEST VARS'!$R$54*(4)+'LINEST VARS'!$Q$54*(0.5)+'LINEST VARS'!$P$54*(12.73)+'LINEST VARS'!$O$54*($AC$32^2)+'LINEST VARS'!$N$54*($Z47^2)+'LINEST VARS'!$M$54*(4^2)+'LINEST VARS'!$L$54*(0.5^2)+'LINEST VARS'!$K$54*(12.73^2)+'LINEST VARS'!$J$54*($AC$32*$Z47)+'LINEST VARS'!$I$54*($AC$32*4)+'LINEST VARS'!$H$54*($AC$32*0.5)+'LINEST VARS'!$G$54*($AC$32*12.73)+'LINEST VARS'!$F$54*($Z47*4)+'LINEST VARS'!$E$54*($Z47*0.5)+'LINEST VARS'!$D$54*($Z47*12.73)+'LINEST VARS'!$C$54*(4*0.5)+'LINEST VARS'!$B$54*(4*12.73)+'LINEST VARS'!$A$54*(0.5*12.73)</f>
        <v>3.9749999999999996</v>
      </c>
      <c r="AD47" s="51">
        <f>'LINEST VARS'!$U$54+'LINEST VARS'!$T$54*($AD$32)+'LINEST VARS'!$S$54*($Z47)+'LINEST VARS'!$R$54*(4)+'LINEST VARS'!$Q$54*(0.5)+'LINEST VARS'!$P$54*(12.73)+'LINEST VARS'!$O$54*($AD$32^2)+'LINEST VARS'!$N$54*($Z47^2)+'LINEST VARS'!$M$54*(4^2)+'LINEST VARS'!$L$54*(0.5^2)+'LINEST VARS'!$K$54*(12.73^2)+'LINEST VARS'!$J$54*($AD$32*$Z47)+'LINEST VARS'!$I$54*($AD$32*4)+'LINEST VARS'!$H$54*($AD$32*0.5)+'LINEST VARS'!$G$54*($AD$32*12.73)+'LINEST VARS'!$F$54*($Z47*4)+'LINEST VARS'!$E$54*($Z47*0.5)+'LINEST VARS'!$D$54*($Z47*12.73)+'LINEST VARS'!$C$54*(4*0.5)+'LINEST VARS'!$B$54*(4*12.73)+'LINEST VARS'!$A$54*(0.5*12.73)</f>
        <v>3.9749999999999996</v>
      </c>
      <c r="AE47" s="51">
        <f>'LINEST VARS'!$U$54+'LINEST VARS'!$T$54*($AE$32)+'LINEST VARS'!$S$54*($Z47)+'LINEST VARS'!$R$54*(4)+'LINEST VARS'!$Q$54*(0.5)+'LINEST VARS'!$P$54*(12.73)+'LINEST VARS'!$O$54*($AE$32^2)+'LINEST VARS'!$N$54*($Z47^2)+'LINEST VARS'!$M$54*(4^2)+'LINEST VARS'!$L$54*(0.5^2)+'LINEST VARS'!$K$54*(12.73^2)+'LINEST VARS'!$J$54*($AE$32*$Z47)+'LINEST VARS'!$I$54*($AE$32*4)+'LINEST VARS'!$H$54*($AE$32*0.5)+'LINEST VARS'!$G$54*($AE$32*12.73)+'LINEST VARS'!$F$54*($Z47*4)+'LINEST VARS'!$E$54*($Z47*0.5)+'LINEST VARS'!$D$54*($Z47*12.73)+'LINEST VARS'!$C$54*(4*0.5)+'LINEST VARS'!$B$54*(4*12.73)+'LINEST VARS'!$A$54*(0.5*12.73)</f>
        <v>3.9749999999999996</v>
      </c>
      <c r="AF47" s="51">
        <f>'LINEST VARS'!$U$54+'LINEST VARS'!$T$54*($AF$32)+'LINEST VARS'!$S$54*($Z47)+'LINEST VARS'!$R$54*(4)+'LINEST VARS'!$Q$54*(0.5)+'LINEST VARS'!$P$54*(12.73)+'LINEST VARS'!$O$54*($AF$32^2)+'LINEST VARS'!$N$54*($Z47^2)+'LINEST VARS'!$M$54*(4^2)+'LINEST VARS'!$L$54*(0.5^2)+'LINEST VARS'!$K$54*(12.73^2)+'LINEST VARS'!$J$54*($AF$32*$Z47)+'LINEST VARS'!$I$54*($AF$32*4)+'LINEST VARS'!$H$54*($AF$32*0.5)+'LINEST VARS'!$G$54*($AF$32*12.73)+'LINEST VARS'!$F$54*($Z47*4)+'LINEST VARS'!$E$54*($Z47*0.5)+'LINEST VARS'!$D$54*($Z47*12.73)+'LINEST VARS'!$C$54*(4*0.5)+'LINEST VARS'!$B$54*(4*12.73)+'LINEST VARS'!$A$54*(0.5*12.73)</f>
        <v>3.9749999999999996</v>
      </c>
      <c r="AG47" s="51">
        <f>'LINEST VARS'!$U$54+'LINEST VARS'!$T$54*($AG$32)+'LINEST VARS'!$S$54*($Z47)+'LINEST VARS'!$R$54*(4)+'LINEST VARS'!$Q$54*(0.5)+'LINEST VARS'!$P$54*(12.73)+'LINEST VARS'!$O$54*($AG$32^2)+'LINEST VARS'!$N$54*($Z47^2)+'LINEST VARS'!$M$54*(4^2)+'LINEST VARS'!$L$54*(0.5^2)+'LINEST VARS'!$K$54*(12.73^2)+'LINEST VARS'!$J$54*($AG$32*$Z47)+'LINEST VARS'!$I$54*($AG$32*4)+'LINEST VARS'!$H$54*($AG$32*0.5)+'LINEST VARS'!$G$54*($AG$32*12.73)+'LINEST VARS'!$F$54*($Z47*4)+'LINEST VARS'!$E$54*($Z47*0.5)+'LINEST VARS'!$D$54*($Z47*12.73)+'LINEST VARS'!$C$54*(4*0.5)+'LINEST VARS'!$B$54*(4*12.73)+'LINEST VARS'!$A$54*(0.5*12.73)</f>
        <v>3.9749999999999996</v>
      </c>
      <c r="AH47" s="51">
        <f>'LINEST VARS'!$U$54+'LINEST VARS'!$T$54*($AH$32)+'LINEST VARS'!$S$54*($Z47)+'LINEST VARS'!$R$54*(4)+'LINEST VARS'!$Q$54*(0.5)+'LINEST VARS'!$P$54*(12.73)+'LINEST VARS'!$O$54*($AH$32^2)+'LINEST VARS'!$N$54*($Z47^2)+'LINEST VARS'!$M$54*(4^2)+'LINEST VARS'!$L$54*(0.5^2)+'LINEST VARS'!$K$54*(12.73^2)+'LINEST VARS'!$J$54*($AH$32*$Z47)+'LINEST VARS'!$I$54*($AH$32*4)+'LINEST VARS'!$H$54*($AH$32*0.5)+'LINEST VARS'!$G$54*($AH$32*12.73)+'LINEST VARS'!$F$54*($Z47*4)+'LINEST VARS'!$E$54*($Z47*0.5)+'LINEST VARS'!$D$54*($Z47*12.73)+'LINEST VARS'!$C$54*(4*0.5)+'LINEST VARS'!$B$54*(4*12.73)+'LINEST VARS'!$A$54*(0.5*12.73)</f>
        <v>3.9749999999999996</v>
      </c>
      <c r="AI47" s="51">
        <f>'LINEST VARS'!$U$54+'LINEST VARS'!$T$54*($AI$32)+'LINEST VARS'!$S$54*($Z47)+'LINEST VARS'!$R$54*(4)+'LINEST VARS'!$Q$54*(0.5)+'LINEST VARS'!$P$54*(12.73)+'LINEST VARS'!$O$54*($AI$32^2)+'LINEST VARS'!$N$54*($Z47^2)+'LINEST VARS'!$M$54*(4^2)+'LINEST VARS'!$L$54*(0.5^2)+'LINEST VARS'!$K$54*(12.73^2)+'LINEST VARS'!$J$54*($AI$32*$Z47)+'LINEST VARS'!$I$54*($AI$32*4)+'LINEST VARS'!$H$54*($AI$32*0.5)+'LINEST VARS'!$G$54*($AI$32*12.73)+'LINEST VARS'!$F$54*($Z47*4)+'LINEST VARS'!$E$54*($Z47*0.5)+'LINEST VARS'!$D$54*($Z47*12.73)+'LINEST VARS'!$C$54*(4*0.5)+'LINEST VARS'!$B$54*(4*12.73)+'LINEST VARS'!$A$54*(0.5*12.73)</f>
        <v>3.9749999999999996</v>
      </c>
      <c r="AJ47" s="51">
        <f>'LINEST VARS'!$U$54+'LINEST VARS'!$T$54*($AJ$32)+'LINEST VARS'!$S$54*($Z47)+'LINEST VARS'!$R$54*(4)+'LINEST VARS'!$Q$54*(0.5)+'LINEST VARS'!$P$54*(12.73)+'LINEST VARS'!$O$54*($AJ$32^2)+'LINEST VARS'!$N$54*($Z47^2)+'LINEST VARS'!$M$54*(4^2)+'LINEST VARS'!$L$54*(0.5^2)+'LINEST VARS'!$K$54*(12.73^2)+'LINEST VARS'!$J$54*($AJ$32*$Z47)+'LINEST VARS'!$I$54*($AJ$32*4)+'LINEST VARS'!$H$54*($AJ$32*0.5)+'LINEST VARS'!$G$54*($AJ$32*12.73)+'LINEST VARS'!$F$54*($Z47*4)+'LINEST VARS'!$E$54*($Z47*0.5)+'LINEST VARS'!$D$54*($Z47*12.73)+'LINEST VARS'!$C$54*(4*0.5)+'LINEST VARS'!$B$54*(4*12.73)+'LINEST VARS'!$A$54*(0.5*12.73)</f>
        <v>3.9749999999999996</v>
      </c>
      <c r="AK47" s="51">
        <f>'LINEST VARS'!$U$54+'LINEST VARS'!$T$54*($AK$32)+'LINEST VARS'!$S$54*($Z47)+'LINEST VARS'!$R$54*(4)+'LINEST VARS'!$Q$54*(0.5)+'LINEST VARS'!$P$54*(12.73)+'LINEST VARS'!$O$54*($AK$32^2)+'LINEST VARS'!$N$54*($Z47^2)+'LINEST VARS'!$M$54*(4^2)+'LINEST VARS'!$L$54*(0.5^2)+'LINEST VARS'!$K$54*(12.73^2)+'LINEST VARS'!$J$54*($AK$32*$Z47)+'LINEST VARS'!$I$54*($AK$32*4)+'LINEST VARS'!$H$54*($AK$32*0.5)+'LINEST VARS'!$G$54*($AK$32*12.73)+'LINEST VARS'!$F$54*($Z47*4)+'LINEST VARS'!$E$54*($Z47*0.5)+'LINEST VARS'!$D$54*($Z47*12.73)+'LINEST VARS'!$C$54*(4*0.5)+'LINEST VARS'!$B$54*(4*12.73)+'LINEST VARS'!$A$54*(0.5*12.73)</f>
        <v>3.9749999999999996</v>
      </c>
      <c r="AL47" s="51">
        <f>'LINEST VARS'!$U$54+'LINEST VARS'!$T$54*($AL$32)+'LINEST VARS'!$S$54*($Z47)+'LINEST VARS'!$R$54*(4)+'LINEST VARS'!$Q$54*(0.5)+'LINEST VARS'!$P$54*(12.73)+'LINEST VARS'!$O$54*($AL$32^2)+'LINEST VARS'!$N$54*($Z47^2)+'LINEST VARS'!$M$54*(4^2)+'LINEST VARS'!$L$54*(0.5^2)+'LINEST VARS'!$K$54*(12.73^2)+'LINEST VARS'!$J$54*($AL$32*$Z47)+'LINEST VARS'!$I$54*($AL$32*4)+'LINEST VARS'!$H$54*($AL$32*0.5)+'LINEST VARS'!$G$54*($AL$32*12.73)+'LINEST VARS'!$F$54*($Z47*4)+'LINEST VARS'!$E$54*($Z47*0.5)+'LINEST VARS'!$D$54*($Z47*12.73)+'LINEST VARS'!$C$54*(4*0.5)+'LINEST VARS'!$B$54*(4*12.73)+'LINEST VARS'!$A$54*(0.5*12.73)</f>
        <v>3.9749999999999996</v>
      </c>
      <c r="AM47" s="51">
        <f>'LINEST VARS'!$U$54+'LINEST VARS'!$T$54*($AM$32)+'LINEST VARS'!$S$54*($Z47)+'LINEST VARS'!$R$54*(4)+'LINEST VARS'!$Q$54*(0.5)+'LINEST VARS'!$P$54*(12.73)+'LINEST VARS'!$O$54*($AM$32^2)+'LINEST VARS'!$N$54*($Z47^2)+'LINEST VARS'!$M$54*(4^2)+'LINEST VARS'!$L$54*(0.5^2)+'LINEST VARS'!$K$54*(12.73^2)+'LINEST VARS'!$J$54*($AM$32*$Z47)+'LINEST VARS'!$I$54*($AM$32*4)+'LINEST VARS'!$H$54*($AM$32*0.5)+'LINEST VARS'!$G$54*($AM$32*12.73)+'LINEST VARS'!$F$54*($Z47*4)+'LINEST VARS'!$E$54*($Z47*0.5)+'LINEST VARS'!$D$54*($Z47*12.73)+'LINEST VARS'!$C$54*(4*0.5)+'LINEST VARS'!$B$54*(4*12.73)+'LINEST VARS'!$A$54*(0.5*12.73)</f>
        <v>3.9749999999999996</v>
      </c>
      <c r="AN47" s="51">
        <f>'LINEST VARS'!$U$54+'LINEST VARS'!$T$54*($AN$32)+'LINEST VARS'!$S$54*($Z47)+'LINEST VARS'!$R$54*(4)+'LINEST VARS'!$Q$54*(0.5)+'LINEST VARS'!$P$54*(12.73)+'LINEST VARS'!$O$54*($AN$32^2)+'LINEST VARS'!$N$54*($Z47^2)+'LINEST VARS'!$M$54*(4^2)+'LINEST VARS'!$L$54*(0.5^2)+'LINEST VARS'!$K$54*(12.73^2)+'LINEST VARS'!$J$54*($AN$32*$Z47)+'LINEST VARS'!$I$54*($AN$32*4)+'LINEST VARS'!$H$54*($AN$32*0.5)+'LINEST VARS'!$G$54*($AN$32*12.73)+'LINEST VARS'!$F$54*($Z47*4)+'LINEST VARS'!$E$54*($Z47*0.5)+'LINEST VARS'!$D$54*($Z47*12.73)+'LINEST VARS'!$C$54*(4*0.5)+'LINEST VARS'!$B$54*(4*12.73)+'LINEST VARS'!$A$54*(0.5*12.73)</f>
        <v>3.9749999999999996</v>
      </c>
      <c r="AO47" s="51">
        <f>'LINEST VARS'!$U$54+'LINEST VARS'!$T$54*($AO$32)+'LINEST VARS'!$S$54*($Z47)+'LINEST VARS'!$R$54*(4)+'LINEST VARS'!$Q$54*(0.5)+'LINEST VARS'!$P$54*(12.73)+'LINEST VARS'!$O$54*($AO$32^2)+'LINEST VARS'!$N$54*($Z47^2)+'LINEST VARS'!$M$54*(4^2)+'LINEST VARS'!$L$54*(0.5^2)+'LINEST VARS'!$K$54*(12.73^2)+'LINEST VARS'!$J$54*($AO$32*$Z47)+'LINEST VARS'!$I$54*($AO$32*4)+'LINEST VARS'!$H$54*($AO$32*0.5)+'LINEST VARS'!$G$54*($AO$32*12.73)+'LINEST VARS'!$F$54*($Z47*4)+'LINEST VARS'!$E$54*($Z47*0.5)+'LINEST VARS'!$D$54*($Z47*12.73)+'LINEST VARS'!$C$54*(4*0.5)+'LINEST VARS'!$B$54*(4*12.73)+'LINEST VARS'!$A$54*(0.5*12.73)</f>
        <v>3.9749999999999996</v>
      </c>
      <c r="AP47" s="51">
        <f>'LINEST VARS'!$U$54+'LINEST VARS'!$T$54*($AP$32)+'LINEST VARS'!$S$54*($Z47)+'LINEST VARS'!$R$54*(4)+'LINEST VARS'!$Q$54*(0.5)+'LINEST VARS'!$P$54*(12.73)+'LINEST VARS'!$O$54*($AP$32^2)+'LINEST VARS'!$N$54*($Z47^2)+'LINEST VARS'!$M$54*(4^2)+'LINEST VARS'!$L$54*(0.5^2)+'LINEST VARS'!$K$54*(12.73^2)+'LINEST VARS'!$J$54*($AP$32*$Z47)+'LINEST VARS'!$I$54*($AP$32*4)+'LINEST VARS'!$H$54*($AP$32*0.5)+'LINEST VARS'!$G$54*($AP$32*12.73)+'LINEST VARS'!$F$54*($Z47*4)+'LINEST VARS'!$E$54*($Z47*0.5)+'LINEST VARS'!$D$54*($Z47*12.73)+'LINEST VARS'!$C$54*(4*0.5)+'LINEST VARS'!$B$54*(4*12.73)+'LINEST VARS'!$A$54*(0.5*12.73)</f>
        <v>3.9749999999999996</v>
      </c>
      <c r="AQ47" s="51">
        <f>'LINEST VARS'!$U$54+'LINEST VARS'!$T$54*($AQ$32)+'LINEST VARS'!$S$54*($Z47)+'LINEST VARS'!$R$54*(4)+'LINEST VARS'!$Q$54*(0.5)+'LINEST VARS'!$P$54*(12.73)+'LINEST VARS'!$O$54*($AQ$32^2)+'LINEST VARS'!$N$54*($Z47^2)+'LINEST VARS'!$M$54*(4^2)+'LINEST VARS'!$L$54*(0.5^2)+'LINEST VARS'!$K$54*(12.73^2)+'LINEST VARS'!$J$54*($AQ$32*$Z47)+'LINEST VARS'!$I$54*($AQ$32*4)+'LINEST VARS'!$H$54*($AQ$32*0.5)+'LINEST VARS'!$G$54*($AQ$32*12.73)+'LINEST VARS'!$F$54*($Z47*4)+'LINEST VARS'!$E$54*($Z47*0.5)+'LINEST VARS'!$D$54*($Z47*12.73)+'LINEST VARS'!$C$54*(4*0.5)+'LINEST VARS'!$B$54*(4*12.73)+'LINEST VARS'!$A$54*(0.5*12.73)</f>
        <v>3.9749999999999996</v>
      </c>
      <c r="AR47" s="51">
        <f>'LINEST VARS'!$U$54+'LINEST VARS'!$T$54*($AR$32)+'LINEST VARS'!$S$54*($Z47)+'LINEST VARS'!$R$54*(4)+'LINEST VARS'!$Q$54*(0.5)+'LINEST VARS'!$P$54*(12.73)+'LINEST VARS'!$O$54*($AR$32^2)+'LINEST VARS'!$N$54*($Z47^2)+'LINEST VARS'!$M$54*(4^2)+'LINEST VARS'!$L$54*(0.5^2)+'LINEST VARS'!$K$54*(12.73^2)+'LINEST VARS'!$J$54*($AR$32*$Z47)+'LINEST VARS'!$I$54*($AR$32*4)+'LINEST VARS'!$H$54*($AR$32*0.5)+'LINEST VARS'!$G$54*($AR$32*12.73)+'LINEST VARS'!$F$54*($Z47*4)+'LINEST VARS'!$E$54*($Z47*0.5)+'LINEST VARS'!$D$54*($Z47*12.73)+'LINEST VARS'!$C$54*(4*0.5)+'LINEST VARS'!$B$54*(4*12.73)+'LINEST VARS'!$A$54*(0.5*12.73)</f>
        <v>3.9749999999999996</v>
      </c>
      <c r="AS47" s="51">
        <f>'LINEST VARS'!$U$54+'LINEST VARS'!$T$54*($AS$32)+'LINEST VARS'!$S$54*($Z47)+'LINEST VARS'!$R$54*(4)+'LINEST VARS'!$Q$54*(0.5)+'LINEST VARS'!$P$54*(12.73)+'LINEST VARS'!$O$54*($AS$32^2)+'LINEST VARS'!$N$54*($Z47^2)+'LINEST VARS'!$M$54*(4^2)+'LINEST VARS'!$L$54*(0.5^2)+'LINEST VARS'!$K$54*(12.73^2)+'LINEST VARS'!$J$54*($AS$32*$Z47)+'LINEST VARS'!$I$54*($AS$32*4)+'LINEST VARS'!$H$54*($AS$32*0.5)+'LINEST VARS'!$G$54*($AS$32*12.73)+'LINEST VARS'!$F$54*($Z47*4)+'LINEST VARS'!$E$54*($Z47*0.5)+'LINEST VARS'!$D$54*($Z47*12.73)+'LINEST VARS'!$C$54*(4*0.5)+'LINEST VARS'!$B$54*(4*12.73)+'LINEST VARS'!$A$54*(0.5*12.73)</f>
        <v>3.9749999999999996</v>
      </c>
      <c r="AT47" s="51">
        <f>'LINEST VARS'!$U$54+'LINEST VARS'!$T$54*($AT$32)+'LINEST VARS'!$S$54*($Z47)+'LINEST VARS'!$R$54*(4)+'LINEST VARS'!$Q$54*(0.5)+'LINEST VARS'!$P$54*(12.73)+'LINEST VARS'!$O$54*($AT$32^2)+'LINEST VARS'!$N$54*($Z47^2)+'LINEST VARS'!$M$54*(4^2)+'LINEST VARS'!$L$54*(0.5^2)+'LINEST VARS'!$K$54*(12.73^2)+'LINEST VARS'!$J$54*($AT$32*$Z47)+'LINEST VARS'!$I$54*($AT$32*4)+'LINEST VARS'!$H$54*($AT$32*0.5)+'LINEST VARS'!$G$54*($AT$32*12.73)+'LINEST VARS'!$F$54*($Z47*4)+'LINEST VARS'!$E$54*($Z47*0.5)+'LINEST VARS'!$D$54*($Z47*12.73)+'LINEST VARS'!$C$54*(4*0.5)+'LINEST VARS'!$B$54*(4*12.73)+'LINEST VARS'!$A$54*(0.5*12.73)</f>
        <v>3.9750000000000001</v>
      </c>
      <c r="AU47" s="52">
        <f>'LINEST VARS'!$U$54+'LINEST VARS'!$T$54*($AU$32)+'LINEST VARS'!$S$54*($Z47)+'LINEST VARS'!$R$54*(4)+'LINEST VARS'!$Q$54*(0.5)+'LINEST VARS'!$P$54*(12.73)+'LINEST VARS'!$O$54*($AU$32^2)+'LINEST VARS'!$N$54*($Z47^2)+'LINEST VARS'!$M$54*(4^2)+'LINEST VARS'!$L$54*(0.5^2)+'LINEST VARS'!$K$54*(12.73^2)+'LINEST VARS'!$J$54*($AU$32*$Z47)+'LINEST VARS'!$I$54*($AU$32*4)+'LINEST VARS'!$H$54*($AU$32*0.5)+'LINEST VARS'!$G$54*($AU$32*12.73)+'LINEST VARS'!$F$54*($Z47*4)+'LINEST VARS'!$E$54*($Z47*0.5)+'LINEST VARS'!$D$54*($Z47*12.73)+'LINEST VARS'!$C$54*(4*0.5)+'LINEST VARS'!$B$54*(4*12.73)+'LINEST VARS'!$A$54*(0.5*12.73)</f>
        <v>3.9750000000000001</v>
      </c>
      <c r="AZ47" s="45">
        <v>0.7</v>
      </c>
      <c r="BA47" s="51">
        <f>'LINEST VARS'!$U$52+'LINEST VARS'!$T$52*(8)+'LINEST VARS'!$S$52*(8)+'LINEST VARS'!$R$52*($BA$32)+'LINEST VARS'!$Q$52*($AZ47)+'LINEST VARS'!$P$52*(12.73)+'LINEST VARS'!$O$52*(8^2)+'LINEST VARS'!$N$52*(8^2)+'LINEST VARS'!$M$52*($BA$32^2)+'LINEST VARS'!$L$52*($AZ47^2)+'LINEST VARS'!$K$52*(12.73^2)+'LINEST VARS'!$J$52*(8*8)+'LINEST VARS'!$I$52*(8*$BA$32)+'LINEST VARS'!$H$52*(8*$AZ47)+'LINEST VARS'!$G$52*(8*12.73)+'LINEST VARS'!$F$52*(8*$BA$32)+'LINEST VARS'!$E$52*(8*$AZ47)+'LINEST VARS'!$D$52*(8*12.73)+'LINEST VARS'!$C$52*($BA$32*$AZ47)+'LINEST VARS'!$B$52*($BA$32*12.73)+'LINEST VARS'!$A$52*($AZ47*12.73)</f>
        <v>4.4299999999999988</v>
      </c>
      <c r="BB47" s="51">
        <f>'LINEST VARS'!$U$52+'LINEST VARS'!$T$52*(8)+'LINEST VARS'!$S$52*(8)+'LINEST VARS'!$R$52*($BB$32)+'LINEST VARS'!$Q$52*($AZ47)+'LINEST VARS'!$P$52*(12.73)+'LINEST VARS'!$O$52*(8^2)+'LINEST VARS'!$N$52*(8^2)+'LINEST VARS'!$M$52*($BB$32^2)+'LINEST VARS'!$L$52*($AZ47^2)+'LINEST VARS'!$K$52*(12.73^2)+'LINEST VARS'!$J$52*(8*8)+'LINEST VARS'!$I$52*(8*$BB$32)+'LINEST VARS'!$H$52*(8*$AZ47)+'LINEST VARS'!$G$52*(8*12.73)+'LINEST VARS'!$F$52*(8*$BB$32)+'LINEST VARS'!$E$52*(8*$AZ47)+'LINEST VARS'!$D$52*(8*12.73)+'LINEST VARS'!$C$52*($BB$32*$AZ47)+'LINEST VARS'!$B$52*($BB$32*12.73)+'LINEST VARS'!$A$52*($AZ47*12.73)</f>
        <v>4.4299999999999988</v>
      </c>
      <c r="BC47" s="51">
        <f>'LINEST VARS'!$U$52+'LINEST VARS'!$T$52*(8)+'LINEST VARS'!$S$52*(8)+'LINEST VARS'!$R$52*($BC$32)+'LINEST VARS'!$Q$52*($AZ47)+'LINEST VARS'!$P$52*(12.73)+'LINEST VARS'!$O$52*(8^2)+'LINEST VARS'!$N$52*(8^2)+'LINEST VARS'!$M$52*($BC$32^2)+'LINEST VARS'!$L$52*($AZ47^2)+'LINEST VARS'!$K$52*(12.73^2)+'LINEST VARS'!$J$52*(8*8)+'LINEST VARS'!$I$52*(8*$BC$32)+'LINEST VARS'!$H$52*(8*$AZ47)+'LINEST VARS'!$G$52*(8*12.73)+'LINEST VARS'!$F$52*(8*$BC$32)+'LINEST VARS'!$E$52*(8*$AZ47)+'LINEST VARS'!$D$52*(8*12.73)+'LINEST VARS'!$C$52*($BC$32*$AZ47)+'LINEST VARS'!$B$52*($BC$32*12.73)+'LINEST VARS'!$A$52*($AZ47*12.73)</f>
        <v>4.4299999999999988</v>
      </c>
      <c r="BD47" s="51">
        <f>'LINEST VARS'!$U$52+'LINEST VARS'!$T$52*(8)+'LINEST VARS'!$S$52*(8)+'LINEST VARS'!$R$52*($BD$32)+'LINEST VARS'!$Q$52*($AZ47)+'LINEST VARS'!$P$52*(12.73)+'LINEST VARS'!$O$52*(8^2)+'LINEST VARS'!$N$52*(8^2)+'LINEST VARS'!$M$52*($BD$32^2)+'LINEST VARS'!$L$52*($AZ47^2)+'LINEST VARS'!$K$52*(12.73^2)+'LINEST VARS'!$J$52*(8*8)+'LINEST VARS'!$I$52*(8*$BD$32)+'LINEST VARS'!$H$52*(8*$AZ47)+'LINEST VARS'!$G$52*(8*12.73)+'LINEST VARS'!$F$52*(8*$BD$32)+'LINEST VARS'!$E$52*(8*$AZ47)+'LINEST VARS'!$D$52*(8*12.73)+'LINEST VARS'!$C$52*($BD$32*$AZ47)+'LINEST VARS'!$B$52*($BD$32*12.73)+'LINEST VARS'!$A$52*($AZ47*12.73)</f>
        <v>4.4299999999999988</v>
      </c>
      <c r="BE47" s="51">
        <f>'LINEST VARS'!$U$52+'LINEST VARS'!$T$52*(8)+'LINEST VARS'!$S$52*(8)+'LINEST VARS'!$R$52*($BE$32)+'LINEST VARS'!$Q$52*($AZ47)+'LINEST VARS'!$P$52*(12.73)+'LINEST VARS'!$O$52*(8^2)+'LINEST VARS'!$N$52*(8^2)+'LINEST VARS'!$M$52*($BE$32^2)+'LINEST VARS'!$L$52*($AZ47^2)+'LINEST VARS'!$K$52*(12.73^2)+'LINEST VARS'!$J$52*(8*8)+'LINEST VARS'!$I$52*(8*$BE$32)+'LINEST VARS'!$H$52*(8*$AZ47)+'LINEST VARS'!$G$52*(8*12.73)+'LINEST VARS'!$F$52*(8*$BE$32)+'LINEST VARS'!$E$52*(8*$AZ47)+'LINEST VARS'!$D$52*(8*12.73)+'LINEST VARS'!$C$52*($BE$32*$AZ47)+'LINEST VARS'!$B$52*($BE$32*12.73)+'LINEST VARS'!$A$52*($AZ47*12.73)</f>
        <v>4.4299999999999988</v>
      </c>
      <c r="BF47" s="51">
        <f>'LINEST VARS'!$U$52+'LINEST VARS'!$T$52*(8)+'LINEST VARS'!$S$52*(8)+'LINEST VARS'!$R$52*($BF$32)+'LINEST VARS'!$Q$52*($AZ47)+'LINEST VARS'!$P$52*(12.73)+'LINEST VARS'!$O$52*(8^2)+'LINEST VARS'!$N$52*(8^2)+'LINEST VARS'!$M$52*($BF$32^2)+'LINEST VARS'!$L$52*($AZ47^2)+'LINEST VARS'!$K$52*(12.73^2)+'LINEST VARS'!$J$52*(8*8)+'LINEST VARS'!$I$52*(8*$BF$32)+'LINEST VARS'!$H$52*(8*$AZ47)+'LINEST VARS'!$G$52*(8*12.73)+'LINEST VARS'!$F$52*(8*$BF$32)+'LINEST VARS'!$E$52*(8*$AZ47)+'LINEST VARS'!$D$52*(8*12.73)+'LINEST VARS'!$C$52*($BF$32*$AZ47)+'LINEST VARS'!$B$52*($BF$32*12.73)+'LINEST VARS'!$A$52*($AZ47*12.73)</f>
        <v>4.4299999999999988</v>
      </c>
      <c r="BG47" s="51">
        <f>'LINEST VARS'!$U$52+'LINEST VARS'!$T$52*(8)+'LINEST VARS'!$S$52*(8)+'LINEST VARS'!$R$52*($BG$32)+'LINEST VARS'!$Q$52*($AZ47)+'LINEST VARS'!$P$52*(12.73)+'LINEST VARS'!$O$52*(8^2)+'LINEST VARS'!$N$52*(8^2)+'LINEST VARS'!$M$52*($BG$32^2)+'LINEST VARS'!$L$52*($AZ47^2)+'LINEST VARS'!$K$52*(12.73^2)+'LINEST VARS'!$J$52*(8*8)+'LINEST VARS'!$I$52*(8*$BG$32)+'LINEST VARS'!$H$52*(8*$AZ47)+'LINEST VARS'!$G$52*(8*12.73)+'LINEST VARS'!$F$52*(8*$BG$32)+'LINEST VARS'!$E$52*(8*$AZ47)+'LINEST VARS'!$D$52*(8*12.73)+'LINEST VARS'!$C$52*($BG$32*$AZ47)+'LINEST VARS'!$B$52*($BG$32*12.73)+'LINEST VARS'!$A$52*($AZ47*12.73)</f>
        <v>4.4299999999999988</v>
      </c>
      <c r="BH47" s="51">
        <f>'LINEST VARS'!$U$52+'LINEST VARS'!$T$52*(8)+'LINEST VARS'!$S$52*(8)+'LINEST VARS'!$R$52*($BH$32)+'LINEST VARS'!$Q$52*($AZ47)+'LINEST VARS'!$P$52*(12.73)+'LINEST VARS'!$O$52*(8^2)+'LINEST VARS'!$N$52*(8^2)+'LINEST VARS'!$M$52*($BH$32^2)+'LINEST VARS'!$L$52*($AZ47^2)+'LINEST VARS'!$K$52*(12.73^2)+'LINEST VARS'!$J$52*(8*8)+'LINEST VARS'!$I$52*(8*$BH$32)+'LINEST VARS'!$H$52*(8*$AZ47)+'LINEST VARS'!$G$52*(8*12.73)+'LINEST VARS'!$F$52*(8*$BH$32)+'LINEST VARS'!$E$52*(8*$AZ47)+'LINEST VARS'!$D$52*(8*12.73)+'LINEST VARS'!$C$52*($BH$32*$AZ47)+'LINEST VARS'!$B$52*($BH$32*12.73)+'LINEST VARS'!$A$52*($AZ47*12.73)</f>
        <v>4.4299999999999988</v>
      </c>
      <c r="BI47" s="51">
        <f>'LINEST VARS'!$U$52+'LINEST VARS'!$T$52*(8)+'LINEST VARS'!$S$52*(8)+'LINEST VARS'!$R$52*($BI$32)+'LINEST VARS'!$Q$52*($AZ47)+'LINEST VARS'!$P$52*(12.73)+'LINEST VARS'!$O$52*(8^2)+'LINEST VARS'!$N$52*(8^2)+'LINEST VARS'!$M$52*($BI$32^2)+'LINEST VARS'!$L$52*($AZ47^2)+'LINEST VARS'!$K$52*(12.73^2)+'LINEST VARS'!$J$52*(8*8)+'LINEST VARS'!$I$52*(8*$BI$32)+'LINEST VARS'!$H$52*(8*$AZ47)+'LINEST VARS'!$G$52*(8*12.73)+'LINEST VARS'!$F$52*(8*$BI$32)+'LINEST VARS'!$E$52*(8*$AZ47)+'LINEST VARS'!$D$52*(8*12.73)+'LINEST VARS'!$C$52*($BI$32*$AZ47)+'LINEST VARS'!$B$52*($BI$32*12.73)+'LINEST VARS'!$A$52*($AZ47*12.73)</f>
        <v>4.4299999999999988</v>
      </c>
      <c r="BJ47" s="51">
        <f>'LINEST VARS'!$U$52+'LINEST VARS'!$T$52*(8)+'LINEST VARS'!$S$52*(8)+'LINEST VARS'!$R$52*($BJ$32)+'LINEST VARS'!$Q$52*($AZ47)+'LINEST VARS'!$P$52*(12.73)+'LINEST VARS'!$O$52*(8^2)+'LINEST VARS'!$N$52*(8^2)+'LINEST VARS'!$M$52*($BJ$32^2)+'LINEST VARS'!$L$52*($AZ47^2)+'LINEST VARS'!$K$52*(12.73^2)+'LINEST VARS'!$J$52*(8*8)+'LINEST VARS'!$I$52*(8*$BJ$32)+'LINEST VARS'!$H$52*(8*$AZ47)+'LINEST VARS'!$G$52*(8*12.73)+'LINEST VARS'!$F$52*(8*$BJ$32)+'LINEST VARS'!$E$52*(8*$AZ47)+'LINEST VARS'!$D$52*(8*12.73)+'LINEST VARS'!$C$52*($BJ$32*$AZ47)+'LINEST VARS'!$B$52*($BJ$32*12.73)+'LINEST VARS'!$A$52*($AZ47*12.73)</f>
        <v>4.4299999999999988</v>
      </c>
      <c r="BK47" s="51">
        <f>'LINEST VARS'!$U$52+'LINEST VARS'!$T$52*(8)+'LINEST VARS'!$S$52*(8)+'LINEST VARS'!$R$52*($BK$32)+'LINEST VARS'!$Q$52*($AZ47)+'LINEST VARS'!$P$52*(12.73)+'LINEST VARS'!$O$52*(8^2)+'LINEST VARS'!$N$52*(8^2)+'LINEST VARS'!$M$52*($BK$32^2)+'LINEST VARS'!$L$52*($AZ47^2)+'LINEST VARS'!$K$52*(12.73^2)+'LINEST VARS'!$J$52*(8*8)+'LINEST VARS'!$I$52*(8*$BK$32)+'LINEST VARS'!$H$52*(8*$AZ47)+'LINEST VARS'!$G$52*(8*12.73)+'LINEST VARS'!$F$52*(8*$BK$32)+'LINEST VARS'!$E$52*(8*$AZ47)+'LINEST VARS'!$D$52*(8*12.73)+'LINEST VARS'!$C$52*($BK$32*$AZ47)+'LINEST VARS'!$B$52*($BK$32*12.73)+'LINEST VARS'!$A$52*($AZ47*12.73)</f>
        <v>4.4299999999999988</v>
      </c>
      <c r="BL47" s="51">
        <f>'LINEST VARS'!$U$52+'LINEST VARS'!$T$52*(8)+'LINEST VARS'!$S$52*(8)+'LINEST VARS'!$R$52*($BL$32)+'LINEST VARS'!$Q$52*($AZ47)+'LINEST VARS'!$P$52*(12.73)+'LINEST VARS'!$O$52*(8^2)+'LINEST VARS'!$N$52*(8^2)+'LINEST VARS'!$M$52*($BL$32^2)+'LINEST VARS'!$L$52*($AZ47^2)+'LINEST VARS'!$K$52*(12.73^2)+'LINEST VARS'!$J$52*(8*8)+'LINEST VARS'!$I$52*(8*$BL$32)+'LINEST VARS'!$H$52*(8*$AZ47)+'LINEST VARS'!$G$52*(8*12.73)+'LINEST VARS'!$F$52*(8*$BL$32)+'LINEST VARS'!$E$52*(8*$AZ47)+'LINEST VARS'!$D$52*(8*12.73)+'LINEST VARS'!$C$52*($BL$32*$AZ47)+'LINEST VARS'!$B$52*($BL$32*12.73)+'LINEST VARS'!$A$52*($AZ47*12.73)</f>
        <v>4.4299999999999988</v>
      </c>
      <c r="BM47" s="51">
        <f>'LINEST VARS'!$U$52+'LINEST VARS'!$T$52*(8)+'LINEST VARS'!$S$52*(8)+'LINEST VARS'!$R$52*($BM$32)+'LINEST VARS'!$Q$52*($AZ47)+'LINEST VARS'!$P$52*(12.73)+'LINEST VARS'!$O$52*(8^2)+'LINEST VARS'!$N$52*(8^2)+'LINEST VARS'!$M$52*($BM$32^2)+'LINEST VARS'!$L$52*($AZ47^2)+'LINEST VARS'!$K$52*(12.73^2)+'LINEST VARS'!$J$52*(8*8)+'LINEST VARS'!$I$52*(8*$BM$32)+'LINEST VARS'!$H$52*(8*$AZ47)+'LINEST VARS'!$G$52*(8*12.73)+'LINEST VARS'!$F$52*(8*$BM$32)+'LINEST VARS'!$E$52*(8*$AZ47)+'LINEST VARS'!$D$52*(8*12.73)+'LINEST VARS'!$C$52*($BM$32*$AZ47)+'LINEST VARS'!$B$52*($BM$32*12.73)+'LINEST VARS'!$A$52*($AZ47*12.73)</f>
        <v>4.4299999999999988</v>
      </c>
      <c r="BN47" s="51">
        <f>'LINEST VARS'!$U$52+'LINEST VARS'!$T$52*(8)+'LINEST VARS'!$S$52*(8)+'LINEST VARS'!$R$52*($BN$32)+'LINEST VARS'!$Q$52*($AZ47)+'LINEST VARS'!$P$52*(12.73)+'LINEST VARS'!$O$52*(8^2)+'LINEST VARS'!$N$52*(8^2)+'LINEST VARS'!$M$52*($BN$32^2)+'LINEST VARS'!$L$52*($AZ47^2)+'LINEST VARS'!$K$52*(12.73^2)+'LINEST VARS'!$J$52*(8*8)+'LINEST VARS'!$I$52*(8*$BN$32)+'LINEST VARS'!$H$52*(8*$AZ47)+'LINEST VARS'!$G$52*(8*12.73)+'LINEST VARS'!$F$52*(8*$BN$32)+'LINEST VARS'!$E$52*(8*$AZ47)+'LINEST VARS'!$D$52*(8*12.73)+'LINEST VARS'!$C$52*($BN$32*$AZ47)+'LINEST VARS'!$B$52*($BN$32*12.73)+'LINEST VARS'!$A$52*($AZ47*12.73)</f>
        <v>4.4299999999999988</v>
      </c>
      <c r="BO47" s="51">
        <f>'LINEST VARS'!$U$52+'LINEST VARS'!$T$52*(8)+'LINEST VARS'!$S$52*(8)+'LINEST VARS'!$R$52*($BO$32)+'LINEST VARS'!$Q$52*($AZ47)+'LINEST VARS'!$P$52*(12.73)+'LINEST VARS'!$O$52*(8^2)+'LINEST VARS'!$N$52*(8^2)+'LINEST VARS'!$M$52*($BO$32^2)+'LINEST VARS'!$L$52*($AZ47^2)+'LINEST VARS'!$K$52*(12.73^2)+'LINEST VARS'!$J$52*(8*8)+'LINEST VARS'!$I$52*(8*$BO$32)+'LINEST VARS'!$H$52*(8*$AZ47)+'LINEST VARS'!$G$52*(8*12.73)+'LINEST VARS'!$F$52*(8*$BO$32)+'LINEST VARS'!$E$52*(8*$AZ47)+'LINEST VARS'!$D$52*(8*12.73)+'LINEST VARS'!$C$52*($BO$32*$AZ47)+'LINEST VARS'!$B$52*($BO$32*12.73)+'LINEST VARS'!$A$52*($AZ47*12.73)</f>
        <v>4.4299999999999988</v>
      </c>
      <c r="BP47" s="51">
        <f>'LINEST VARS'!$U$52+'LINEST VARS'!$T$52*(8)+'LINEST VARS'!$S$52*(8)+'LINEST VARS'!$R$52*($BP$32)+'LINEST VARS'!$Q$52*($AZ47)+'LINEST VARS'!$P$52*(12.73)+'LINEST VARS'!$O$52*(8^2)+'LINEST VARS'!$N$52*(8^2)+'LINEST VARS'!$M$52*($BP$32^2)+'LINEST VARS'!$L$52*($AZ47^2)+'LINEST VARS'!$K$52*(12.73^2)+'LINEST VARS'!$J$52*(8*8)+'LINEST VARS'!$I$52*(8*$BP$32)+'LINEST VARS'!$H$52*(8*$AZ47)+'LINEST VARS'!$G$52*(8*12.73)+'LINEST VARS'!$F$52*(8*$BP$32)+'LINEST VARS'!$E$52*(8*$AZ47)+'LINEST VARS'!$D$52*(8*12.73)+'LINEST VARS'!$C$52*($BP$32*$AZ47)+'LINEST VARS'!$B$52*($BP$32*12.73)+'LINEST VARS'!$A$52*($AZ47*12.73)</f>
        <v>4.4299999999999988</v>
      </c>
      <c r="BQ47" s="51">
        <f>'LINEST VARS'!$U$52+'LINEST VARS'!$T$52*(8)+'LINEST VARS'!$S$52*(8)+'LINEST VARS'!$R$52*($BQ$32)+'LINEST VARS'!$Q$52*($AZ47)+'LINEST VARS'!$P$52*(12.73)+'LINEST VARS'!$O$52*(8^2)+'LINEST VARS'!$N$52*(8^2)+'LINEST VARS'!$M$52*($BQ$32^2)+'LINEST VARS'!$L$52*($AZ47^2)+'LINEST VARS'!$K$52*(12.73^2)+'LINEST VARS'!$J$52*(8*8)+'LINEST VARS'!$I$52*(8*$BQ$32)+'LINEST VARS'!$H$52*(8*$AZ47)+'LINEST VARS'!$G$52*(8*12.73)+'LINEST VARS'!$F$52*(8*$BQ$32)+'LINEST VARS'!$E$52*(8*$AZ47)+'LINEST VARS'!$D$52*(8*12.73)+'LINEST VARS'!$C$52*($BQ$32*$AZ47)+'LINEST VARS'!$B$52*($BQ$32*12.73)+'LINEST VARS'!$A$52*($AZ47*12.73)</f>
        <v>4.4299999999999988</v>
      </c>
      <c r="BR47" s="51">
        <f>'LINEST VARS'!$U$52+'LINEST VARS'!$T$52*(8)+'LINEST VARS'!$S$52*(8)+'LINEST VARS'!$R$52*($BR$32)+'LINEST VARS'!$Q$52*($AZ47)+'LINEST VARS'!$P$52*(12.73)+'LINEST VARS'!$O$52*(8^2)+'LINEST VARS'!$N$52*(8^2)+'LINEST VARS'!$M$52*($BR$32^2)+'LINEST VARS'!$L$52*($AZ47^2)+'LINEST VARS'!$K$52*(12.73^2)+'LINEST VARS'!$J$52*(8*8)+'LINEST VARS'!$I$52*(8*$BR$32)+'LINEST VARS'!$H$52*(8*$AZ47)+'LINEST VARS'!$G$52*(8*12.73)+'LINEST VARS'!$F$52*(8*$BR$32)+'LINEST VARS'!$E$52*(8*$AZ47)+'LINEST VARS'!$D$52*(8*12.73)+'LINEST VARS'!$C$52*($BR$32*$AZ47)+'LINEST VARS'!$B$52*($BR$32*12.73)+'LINEST VARS'!$A$52*($AZ47*12.73)</f>
        <v>4.4299999999999988</v>
      </c>
      <c r="BS47" s="51">
        <f>'LINEST VARS'!$U$52+'LINEST VARS'!$T$52*(8)+'LINEST VARS'!$S$52*(8)+'LINEST VARS'!$R$52*($BS$32)+'LINEST VARS'!$Q$52*($AZ47)+'LINEST VARS'!$P$52*(12.73)+'LINEST VARS'!$O$52*(8^2)+'LINEST VARS'!$N$52*(8^2)+'LINEST VARS'!$M$52*($BS$32^2)+'LINEST VARS'!$L$52*($AZ47^2)+'LINEST VARS'!$K$52*(12.73^2)+'LINEST VARS'!$J$52*(8*8)+'LINEST VARS'!$I$52*(8*$BS$32)+'LINEST VARS'!$H$52*(8*$AZ47)+'LINEST VARS'!$G$52*(8*12.73)+'LINEST VARS'!$F$52*(8*$BS$32)+'LINEST VARS'!$E$52*(8*$AZ47)+'LINEST VARS'!$D$52*(8*12.73)+'LINEST VARS'!$C$52*($BS$32*$AZ47)+'LINEST VARS'!$B$52*($BS$32*12.73)+'LINEST VARS'!$A$52*($AZ47*12.73)</f>
        <v>4.4299999999999988</v>
      </c>
      <c r="BT47" s="51">
        <f>'LINEST VARS'!$U$52+'LINEST VARS'!$T$52*(8)+'LINEST VARS'!$S$52*(8)+'LINEST VARS'!$R$52*($BT$32)+'LINEST VARS'!$Q$52*($AZ47)+'LINEST VARS'!$P$52*(12.73)+'LINEST VARS'!$O$52*(8^2)+'LINEST VARS'!$N$52*(8^2)+'LINEST VARS'!$M$52*($BT$32^2)+'LINEST VARS'!$L$52*($AZ47^2)+'LINEST VARS'!$K$52*(12.73^2)+'LINEST VARS'!$J$52*(8*8)+'LINEST VARS'!$I$52*(8*$BT$32)+'LINEST VARS'!$H$52*(8*$AZ47)+'LINEST VARS'!$G$52*(8*12.73)+'LINEST VARS'!$F$52*(8*$BT$32)+'LINEST VARS'!$E$52*(8*$AZ47)+'LINEST VARS'!$D$52*(8*12.73)+'LINEST VARS'!$C$52*($BT$32*$AZ47)+'LINEST VARS'!$B$52*($BT$32*12.73)+'LINEST VARS'!$A$52*($AZ47*12.73)</f>
        <v>4.4299999999999988</v>
      </c>
      <c r="BU47" s="52">
        <f>'LINEST VARS'!$U$52+'LINEST VARS'!$T$52*(8)+'LINEST VARS'!$S$52*(8)+'LINEST VARS'!$R$52*($BU$32)+'LINEST VARS'!$Q$52*($AZ47)+'LINEST VARS'!$P$52*(12.73)+'LINEST VARS'!$O$52*(8^2)+'LINEST VARS'!$N$52*(8^2)+'LINEST VARS'!$M$52*($BU$32^2)+'LINEST VARS'!$L$52*($AZ47^2)+'LINEST VARS'!$K$52*(12.73^2)+'LINEST VARS'!$J$52*(8*8)+'LINEST VARS'!$I$52*(8*$BU$32)+'LINEST VARS'!$H$52*(8*$AZ47)+'LINEST VARS'!$G$52*(8*12.73)+'LINEST VARS'!$F$52*(8*$BU$32)+'LINEST VARS'!$E$52*(8*$AZ47)+'LINEST VARS'!$D$52*(8*12.73)+'LINEST VARS'!$C$52*($BU$32*$AZ47)+'LINEST VARS'!$B$52*($BU$32*12.73)+'LINEST VARS'!$A$52*($AZ47*12.73)</f>
        <v>4.4299999999999988</v>
      </c>
      <c r="BX47" s="45">
        <v>0.7</v>
      </c>
      <c r="BY47" s="51">
        <f>'LINEST VARS'!$U$54+'LINEST VARS'!$T$54*(8)+'LINEST VARS'!$S$54*(8)+'LINEST VARS'!$R$54*($BY$32)+'LINEST VARS'!$Q$54*($BX47)+'LINEST VARS'!$P$54*(12.73)+'LINEST VARS'!$O$54*(8^2)+'LINEST VARS'!$N$54*(8^2)+'LINEST VARS'!$M$54*($BY$32^2)+'LINEST VARS'!$L$54*($BX47^2)+'LINEST VARS'!$K$54*(12.73^2)+'LINEST VARS'!$J$54*(8*8)+'LINEST VARS'!$I$54*(8*$BY$32)+'LINEST VARS'!$H$54*(8*$BX47)+'LINEST VARS'!$G$54*(8*12.73)+'LINEST VARS'!$F$54*(8*$BY$32)+'LINEST VARS'!$E$54*(8*$BX47)+'LINEST VARS'!$D$54*(8*12.73)+'LINEST VARS'!$C$54*($BY$32*$BX47)+'LINEST VARS'!$B$54*($BY$32*12.73)+'LINEST VARS'!$A$54*($BX47*12.73)</f>
        <v>3.9649999999999999</v>
      </c>
      <c r="BZ47" s="51">
        <f>'LINEST VARS'!$U$54+'LINEST VARS'!$T$54*(8)+'LINEST VARS'!$S$54*(8)+'LINEST VARS'!$R$54*($BZ$32)+'LINEST VARS'!$Q$54*($BX47)+'LINEST VARS'!$P$54*(12.73)+'LINEST VARS'!$O$54*(8^2)+'LINEST VARS'!$N$54*(8^2)+'LINEST VARS'!$M$54*($BZ$32^2)+'LINEST VARS'!$L$54*($BX47^2)+'LINEST VARS'!$K$54*(12.73^2)+'LINEST VARS'!$J$54*(8*8)+'LINEST VARS'!$I$54*(8*$BZ$32)+'LINEST VARS'!$H$54*(8*$BX47)+'LINEST VARS'!$G$54*(8*12.73)+'LINEST VARS'!$F$54*(8*$BZ$32)+'LINEST VARS'!$E$54*(8*$BX47)+'LINEST VARS'!$D$54*(8*12.73)+'LINEST VARS'!$C$54*($BZ$32*$BX47)+'LINEST VARS'!$B$54*($BZ$32*12.73)+'LINEST VARS'!$A$54*($BX47*12.73)</f>
        <v>3.9649999999999999</v>
      </c>
      <c r="CA47" s="51">
        <f>'LINEST VARS'!$U$54+'LINEST VARS'!$T$54*(8)+'LINEST VARS'!$S$54*(8)+'LINEST VARS'!$R$54*($CA$32)+'LINEST VARS'!$Q$54*($BX47)+'LINEST VARS'!$P$54*(12.73)+'LINEST VARS'!$O$54*(8^2)+'LINEST VARS'!$N$54*(8^2)+'LINEST VARS'!$M$54*($CA$32^2)+'LINEST VARS'!$L$54*($BX47^2)+'LINEST VARS'!$K$54*(12.73^2)+'LINEST VARS'!$J$54*(8*8)+'LINEST VARS'!$I$54*(8*$CA$32)+'LINEST VARS'!$H$54*(8*$BX47)+'LINEST VARS'!$G$54*(8*12.73)+'LINEST VARS'!$F$54*(8*$CA$32)+'LINEST VARS'!$E$54*(8*$BX47)+'LINEST VARS'!$D$54*(8*12.73)+'LINEST VARS'!$C$54*($CA$32*$BX47)+'LINEST VARS'!$B$54*($CA$32*12.73)+'LINEST VARS'!$A$54*($BX47*12.73)</f>
        <v>3.9649999999999999</v>
      </c>
      <c r="CB47" s="51">
        <f>'LINEST VARS'!$U$54+'LINEST VARS'!$T$54*(8)+'LINEST VARS'!$S$54*(8)+'LINEST VARS'!$R$54*($CB$32)+'LINEST VARS'!$Q$54*($BX47)+'LINEST VARS'!$P$54*(12.73)+'LINEST VARS'!$O$54*(8^2)+'LINEST VARS'!$N$54*(8^2)+'LINEST VARS'!$M$54*($CB$32^2)+'LINEST VARS'!$L$54*($BX47^2)+'LINEST VARS'!$K$54*(12.73^2)+'LINEST VARS'!$J$54*(8*8)+'LINEST VARS'!$I$54*(8*$CB$32)+'LINEST VARS'!$H$54*(8*$BX47)+'LINEST VARS'!$G$54*(8*12.73)+'LINEST VARS'!$F$54*(8*$CB$32)+'LINEST VARS'!$E$54*(8*$BX47)+'LINEST VARS'!$D$54*(8*12.73)+'LINEST VARS'!$C$54*($CB$32*$BX47)+'LINEST VARS'!$B$54*($CB$32*12.73)+'LINEST VARS'!$A$54*($BX47*12.73)</f>
        <v>3.9649999999999999</v>
      </c>
      <c r="CC47" s="51">
        <f>'LINEST VARS'!$U$54+'LINEST VARS'!$T$54*(8)+'LINEST VARS'!$S$54*(8)+'LINEST VARS'!$R$54*($CC$32)+'LINEST VARS'!$Q$54*($BX47)+'LINEST VARS'!$P$54*(12.73)+'LINEST VARS'!$O$54*(8^2)+'LINEST VARS'!$N$54*(8^2)+'LINEST VARS'!$M$54*($CC$32^2)+'LINEST VARS'!$L$54*($BX47^2)+'LINEST VARS'!$K$54*(12.73^2)+'LINEST VARS'!$J$54*(8*8)+'LINEST VARS'!$I$54*(8*$CC$32)+'LINEST VARS'!$H$54*(8*$BX47)+'LINEST VARS'!$G$54*(8*12.73)+'LINEST VARS'!$F$54*(8*$CC$32)+'LINEST VARS'!$E$54*(8*$BX47)+'LINEST VARS'!$D$54*(8*12.73)+'LINEST VARS'!$C$54*($CC$32*$BX47)+'LINEST VARS'!$B$54*($CC$32*12.73)+'LINEST VARS'!$A$54*($BX47*12.73)</f>
        <v>3.9649999999999999</v>
      </c>
      <c r="CD47" s="51">
        <f>'LINEST VARS'!$U$54+'LINEST VARS'!$T$54*(8)+'LINEST VARS'!$S$54*(8)+'LINEST VARS'!$R$54*($CD$32)+'LINEST VARS'!$Q$54*($BX47)+'LINEST VARS'!$P$54*(12.73)+'LINEST VARS'!$O$54*(8^2)+'LINEST VARS'!$N$54*(8^2)+'LINEST VARS'!$M$54*($CD$32^2)+'LINEST VARS'!$L$54*($BX47^2)+'LINEST VARS'!$K$54*(12.73^2)+'LINEST VARS'!$J$54*(8*8)+'LINEST VARS'!$I$54*(8*$CD$32)+'LINEST VARS'!$H$54*(8*$BX47)+'LINEST VARS'!$G$54*(8*12.73)+'LINEST VARS'!$F$54*(8*$CD$32)+'LINEST VARS'!$E$54*(8*$BX47)+'LINEST VARS'!$D$54*(8*12.73)+'LINEST VARS'!$C$54*($CD$32*$BX47)+'LINEST VARS'!$B$54*($CD$32*12.73)+'LINEST VARS'!$A$54*($BX47*12.73)</f>
        <v>3.9649999999999999</v>
      </c>
      <c r="CE47" s="51">
        <f>'LINEST VARS'!$U$54+'LINEST VARS'!$T$54*(8)+'LINEST VARS'!$S$54*(8)+'LINEST VARS'!$R$54*($CE$32)+'LINEST VARS'!$Q$54*($BX47)+'LINEST VARS'!$P$54*(12.73)+'LINEST VARS'!$O$54*(8^2)+'LINEST VARS'!$N$54*(8^2)+'LINEST VARS'!$M$54*($CE$32^2)+'LINEST VARS'!$L$54*($BX47^2)+'LINEST VARS'!$K$54*(12.73^2)+'LINEST VARS'!$J$54*(8*8)+'LINEST VARS'!$I$54*(8*$CE$32)+'LINEST VARS'!$H$54*(8*$BX47)+'LINEST VARS'!$G$54*(8*12.73)+'LINEST VARS'!$F$54*(8*$CE$32)+'LINEST VARS'!$E$54*(8*$BX47)+'LINEST VARS'!$D$54*(8*12.73)+'LINEST VARS'!$C$54*($CE$32*$BX47)+'LINEST VARS'!$B$54*($CE$32*12.73)+'LINEST VARS'!$A$54*($BX47*12.73)</f>
        <v>3.9649999999999999</v>
      </c>
      <c r="CF47" s="51">
        <f>'LINEST VARS'!$U$54+'LINEST VARS'!$T$54*(8)+'LINEST VARS'!$S$54*(8)+'LINEST VARS'!$R$54*($CF$32)+'LINEST VARS'!$Q$54*($BX47)+'LINEST VARS'!$P$54*(12.73)+'LINEST VARS'!$O$54*(8^2)+'LINEST VARS'!$N$54*(8^2)+'LINEST VARS'!$M$54*($CF$32^2)+'LINEST VARS'!$L$54*($BX47^2)+'LINEST VARS'!$K$54*(12.73^2)+'LINEST VARS'!$J$54*(8*8)+'LINEST VARS'!$I$54*(8*$CF$32)+'LINEST VARS'!$H$54*(8*$BX47)+'LINEST VARS'!$G$54*(8*12.73)+'LINEST VARS'!$F$54*(8*$CF$32)+'LINEST VARS'!$E$54*(8*$BX47)+'LINEST VARS'!$D$54*(8*12.73)+'LINEST VARS'!$C$54*($CF$32*$BX47)+'LINEST VARS'!$B$54*($CF$32*12.73)+'LINEST VARS'!$A$54*($BX47*12.73)</f>
        <v>3.9649999999999999</v>
      </c>
      <c r="CG47" s="51">
        <f>'LINEST VARS'!$U$54+'LINEST VARS'!$T$54*(8)+'LINEST VARS'!$S$54*(8)+'LINEST VARS'!$R$54*($CG$32)+'LINEST VARS'!$Q$54*($BX47)+'LINEST VARS'!$P$54*(12.73)+'LINEST VARS'!$O$54*(8^2)+'LINEST VARS'!$N$54*(8^2)+'LINEST VARS'!$M$54*($CG$32^2)+'LINEST VARS'!$L$54*($BX47^2)+'LINEST VARS'!$K$54*(12.73^2)+'LINEST VARS'!$J$54*(8*8)+'LINEST VARS'!$I$54*(8*$CG$32)+'LINEST VARS'!$H$54*(8*$BX47)+'LINEST VARS'!$G$54*(8*12.73)+'LINEST VARS'!$F$54*(8*$CG$32)+'LINEST VARS'!$E$54*(8*$BX47)+'LINEST VARS'!$D$54*(8*12.73)+'LINEST VARS'!$C$54*($CG$32*$BX47)+'LINEST VARS'!$B$54*($CG$32*12.73)+'LINEST VARS'!$A$54*($BX47*12.73)</f>
        <v>3.9649999999999999</v>
      </c>
      <c r="CH47" s="51">
        <f>'LINEST VARS'!$U$54+'LINEST VARS'!$T$54*(8)+'LINEST VARS'!$S$54*(8)+'LINEST VARS'!$R$54*($CH$32)+'LINEST VARS'!$Q$54*($BX47)+'LINEST VARS'!$P$54*(12.73)+'LINEST VARS'!$O$54*(8^2)+'LINEST VARS'!$N$54*(8^2)+'LINEST VARS'!$M$54*($CH$32^2)+'LINEST VARS'!$L$54*($BX47^2)+'LINEST VARS'!$K$54*(12.73^2)+'LINEST VARS'!$J$54*(8*8)+'LINEST VARS'!$I$54*(8*$CH$32)+'LINEST VARS'!$H$54*(8*$BX47)+'LINEST VARS'!$G$54*(8*12.73)+'LINEST VARS'!$F$54*(8*$CH$32)+'LINEST VARS'!$E$54*(8*$BX47)+'LINEST VARS'!$D$54*(8*12.73)+'LINEST VARS'!$C$54*($CH$32*$BX47)+'LINEST VARS'!$B$54*($CH$32*12.73)+'LINEST VARS'!$A$54*($BX47*12.73)</f>
        <v>3.9649999999999999</v>
      </c>
      <c r="CI47" s="51">
        <f>'LINEST VARS'!$U$54+'LINEST VARS'!$T$54*(8)+'LINEST VARS'!$S$54*(8)+'LINEST VARS'!$R$54*($CI$32)+'LINEST VARS'!$Q$54*($BX47)+'LINEST VARS'!$P$54*(12.73)+'LINEST VARS'!$O$54*(8^2)+'LINEST VARS'!$N$54*(8^2)+'LINEST VARS'!$M$54*($CI$32^2)+'LINEST VARS'!$L$54*($BX47^2)+'LINEST VARS'!$K$54*(12.73^2)+'LINEST VARS'!$J$54*(8*8)+'LINEST VARS'!$I$54*(8*$CI$32)+'LINEST VARS'!$H$54*(8*$BX47)+'LINEST VARS'!$G$54*(8*12.73)+'LINEST VARS'!$F$54*(8*$CI$32)+'LINEST VARS'!$E$54*(8*$BX47)+'LINEST VARS'!$D$54*(8*12.73)+'LINEST VARS'!$C$54*($CI$32*$BX47)+'LINEST VARS'!$B$54*($CI$32*12.73)+'LINEST VARS'!$A$54*($BX47*12.73)</f>
        <v>3.9649999999999999</v>
      </c>
      <c r="CJ47" s="51">
        <f>'LINEST VARS'!$U$54+'LINEST VARS'!$T$54*(8)+'LINEST VARS'!$S$54*(8)+'LINEST VARS'!$R$54*($CJ$32)+'LINEST VARS'!$Q$54*($BX47)+'LINEST VARS'!$P$54*(12.73)+'LINEST VARS'!$O$54*(8^2)+'LINEST VARS'!$N$54*(8^2)+'LINEST VARS'!$M$54*($CJ$32^2)+'LINEST VARS'!$L$54*($BX47^2)+'LINEST VARS'!$K$54*(12.73^2)+'LINEST VARS'!$J$54*(8*8)+'LINEST VARS'!$I$54*(8*$CJ$32)+'LINEST VARS'!$H$54*(8*$BX47)+'LINEST VARS'!$G$54*(8*12.73)+'LINEST VARS'!$F$54*(8*$CJ$32)+'LINEST VARS'!$E$54*(8*$BX47)+'LINEST VARS'!$D$54*(8*12.73)+'LINEST VARS'!$C$54*($CJ$32*$BX47)+'LINEST VARS'!$B$54*($CJ$32*12.73)+'LINEST VARS'!$A$54*($BX47*12.73)</f>
        <v>3.9649999999999999</v>
      </c>
      <c r="CK47" s="51">
        <f>'LINEST VARS'!$U$54+'LINEST VARS'!$T$54*(8)+'LINEST VARS'!$S$54*(8)+'LINEST VARS'!$R$54*($CK$32)+'LINEST VARS'!$Q$54*($BX47)+'LINEST VARS'!$P$54*(12.73)+'LINEST VARS'!$O$54*(8^2)+'LINEST VARS'!$N$54*(8^2)+'LINEST VARS'!$M$54*($CK$32^2)+'LINEST VARS'!$L$54*($BX47^2)+'LINEST VARS'!$K$54*(12.73^2)+'LINEST VARS'!$J$54*(8*8)+'LINEST VARS'!$I$54*(8*$CK$32)+'LINEST VARS'!$H$54*(8*$BX47)+'LINEST VARS'!$G$54*(8*12.73)+'LINEST VARS'!$F$54*(8*$CK$32)+'LINEST VARS'!$E$54*(8*$BX47)+'LINEST VARS'!$D$54*(8*12.73)+'LINEST VARS'!$C$54*($CK$32*$BX47)+'LINEST VARS'!$B$54*($CK$32*12.73)+'LINEST VARS'!$A$54*($BX47*12.73)</f>
        <v>3.9649999999999999</v>
      </c>
      <c r="CL47" s="51">
        <f>'LINEST VARS'!$U$54+'LINEST VARS'!$T$54*(8)+'LINEST VARS'!$S$54*(8)+'LINEST VARS'!$R$54*($CL$32)+'LINEST VARS'!$Q$54*($BX47)+'LINEST VARS'!$P$54*(12.73)+'LINEST VARS'!$O$54*(8^2)+'LINEST VARS'!$N$54*(8^2)+'LINEST VARS'!$M$54*($CL$32^2)+'LINEST VARS'!$L$54*($BX47^2)+'LINEST VARS'!$K$54*(12.73^2)+'LINEST VARS'!$J$54*(8*8)+'LINEST VARS'!$I$54*(8*$CL$32)+'LINEST VARS'!$H$54*(8*$BX47)+'LINEST VARS'!$G$54*(8*12.73)+'LINEST VARS'!$F$54*(8*$CL$32)+'LINEST VARS'!$E$54*(8*$BX47)+'LINEST VARS'!$D$54*(8*12.73)+'LINEST VARS'!$C$54*($CL$32*$BX47)+'LINEST VARS'!$B$54*($CL$32*12.73)+'LINEST VARS'!$A$54*($BX47*12.73)</f>
        <v>3.9649999999999999</v>
      </c>
      <c r="CM47" s="51">
        <f>'LINEST VARS'!$U$54+'LINEST VARS'!$T$54*(8)+'LINEST VARS'!$S$54*(8)+'LINEST VARS'!$R$54*($CM$32)+'LINEST VARS'!$Q$54*($BX47)+'LINEST VARS'!$P$54*(12.73)+'LINEST VARS'!$O$54*(8^2)+'LINEST VARS'!$N$54*(8^2)+'LINEST VARS'!$M$54*($CM$32^2)+'LINEST VARS'!$L$54*($BX47^2)+'LINEST VARS'!$K$54*(12.73^2)+'LINEST VARS'!$J$54*(8*8)+'LINEST VARS'!$I$54*(8*$CM$32)+'LINEST VARS'!$H$54*(8*$BX47)+'LINEST VARS'!$G$54*(8*12.73)+'LINEST VARS'!$F$54*(8*$CM$32)+'LINEST VARS'!$E$54*(8*$BX47)+'LINEST VARS'!$D$54*(8*12.73)+'LINEST VARS'!$C$54*($CM$32*$BX47)+'LINEST VARS'!$B$54*($CM$32*12.73)+'LINEST VARS'!$A$54*($BX47*12.73)</f>
        <v>3.9649999999999999</v>
      </c>
      <c r="CN47" s="51">
        <f>'LINEST VARS'!$U$54+'LINEST VARS'!$T$54*(8)+'LINEST VARS'!$S$54*(8)+'LINEST VARS'!$R$54*($CN$32)+'LINEST VARS'!$Q$54*($BX47)+'LINEST VARS'!$P$54*(12.73)+'LINEST VARS'!$O$54*(8^2)+'LINEST VARS'!$N$54*(8^2)+'LINEST VARS'!$M$54*($CN$32^2)+'LINEST VARS'!$L$54*($BX47^2)+'LINEST VARS'!$K$54*(12.73^2)+'LINEST VARS'!$J$54*(8*8)+'LINEST VARS'!$I$54*(8*$CN$32)+'LINEST VARS'!$H$54*(8*$BX47)+'LINEST VARS'!$G$54*(8*12.73)+'LINEST VARS'!$F$54*(8*$CN$32)+'LINEST VARS'!$E$54*(8*$BX47)+'LINEST VARS'!$D$54*(8*12.73)+'LINEST VARS'!$C$54*($CN$32*$BX47)+'LINEST VARS'!$B$54*($CN$32*12.73)+'LINEST VARS'!$A$54*($BX47*12.73)</f>
        <v>3.9649999999999999</v>
      </c>
      <c r="CO47" s="51">
        <f>'LINEST VARS'!$U$54+'LINEST VARS'!$T$54*(8)+'LINEST VARS'!$S$54*(8)+'LINEST VARS'!$R$54*($CO$32)+'LINEST VARS'!$Q$54*($BX47)+'LINEST VARS'!$P$54*(12.73)+'LINEST VARS'!$O$54*(8^2)+'LINEST VARS'!$N$54*(8^2)+'LINEST VARS'!$M$54*($CO$32^2)+'LINEST VARS'!$L$54*($BX47^2)+'LINEST VARS'!$K$54*(12.73^2)+'LINEST VARS'!$J$54*(8*8)+'LINEST VARS'!$I$54*(8*$CO$32)+'LINEST VARS'!$H$54*(8*$BX47)+'LINEST VARS'!$G$54*(8*12.73)+'LINEST VARS'!$F$54*(8*$CO$32)+'LINEST VARS'!$E$54*(8*$BX47)+'LINEST VARS'!$D$54*(8*12.73)+'LINEST VARS'!$C$54*($CO$32*$BX47)+'LINEST VARS'!$B$54*($CO$32*12.73)+'LINEST VARS'!$A$54*($BX47*12.73)</f>
        <v>3.9649999999999999</v>
      </c>
      <c r="CP47" s="51">
        <f>'LINEST VARS'!$U$54+'LINEST VARS'!$T$54*(8)+'LINEST VARS'!$S$54*(8)+'LINEST VARS'!$R$54*($CP$32)+'LINEST VARS'!$Q$54*($BX47)+'LINEST VARS'!$P$54*(12.73)+'LINEST VARS'!$O$54*(8^2)+'LINEST VARS'!$N$54*(8^2)+'LINEST VARS'!$M$54*($CP$32^2)+'LINEST VARS'!$L$54*($BX47^2)+'LINEST VARS'!$K$54*(12.73^2)+'LINEST VARS'!$J$54*(8*8)+'LINEST VARS'!$I$54*(8*$CP$32)+'LINEST VARS'!$H$54*(8*$BX47)+'LINEST VARS'!$G$54*(8*12.73)+'LINEST VARS'!$F$54*(8*$CP$32)+'LINEST VARS'!$E$54*(8*$BX47)+'LINEST VARS'!$D$54*(8*12.73)+'LINEST VARS'!$C$54*($CP$32*$BX47)+'LINEST VARS'!$B$54*($CP$32*12.73)+'LINEST VARS'!$A$54*($BX47*12.73)</f>
        <v>3.9649999999999999</v>
      </c>
      <c r="CQ47" s="51">
        <f>'LINEST VARS'!$U$54+'LINEST VARS'!$T$54*(8)+'LINEST VARS'!$S$54*(8)+'LINEST VARS'!$R$54*($CQ$32)+'LINEST VARS'!$Q$54*($BX47)+'LINEST VARS'!$P$54*(12.73)+'LINEST VARS'!$O$54*(8^2)+'LINEST VARS'!$N$54*(8^2)+'LINEST VARS'!$M$54*($CQ$32^2)+'LINEST VARS'!$L$54*($BX47^2)+'LINEST VARS'!$K$54*(12.73^2)+'LINEST VARS'!$J$54*(8*8)+'LINEST VARS'!$I$54*(8*$CQ$32)+'LINEST VARS'!$H$54*(8*$BX47)+'LINEST VARS'!$G$54*(8*12.73)+'LINEST VARS'!$F$54*(8*$CQ$32)+'LINEST VARS'!$E$54*(8*$BX47)+'LINEST VARS'!$D$54*(8*12.73)+'LINEST VARS'!$C$54*($CQ$32*$BX47)+'LINEST VARS'!$B$54*($CQ$32*12.73)+'LINEST VARS'!$A$54*($BX47*12.73)</f>
        <v>3.9649999999999999</v>
      </c>
      <c r="CR47" s="51">
        <f>'LINEST VARS'!$U$54+'LINEST VARS'!$T$54*(8)+'LINEST VARS'!$S$54*(8)+'LINEST VARS'!$R$54*($CR$32)+'LINEST VARS'!$Q$54*($BX47)+'LINEST VARS'!$P$54*(12.73)+'LINEST VARS'!$O$54*(8^2)+'LINEST VARS'!$N$54*(8^2)+'LINEST VARS'!$M$54*($CR$32^2)+'LINEST VARS'!$L$54*($BX47^2)+'LINEST VARS'!$K$54*(12.73^2)+'LINEST VARS'!$J$54*(8*8)+'LINEST VARS'!$I$54*(8*$CR$32)+'LINEST VARS'!$H$54*(8*$BX47)+'LINEST VARS'!$G$54*(8*12.73)+'LINEST VARS'!$F$54*(8*$CR$32)+'LINEST VARS'!$E$54*(8*$BX47)+'LINEST VARS'!$D$54*(8*12.73)+'LINEST VARS'!$C$54*($CR$32*$BX47)+'LINEST VARS'!$B$54*($CR$32*12.73)+'LINEST VARS'!$A$54*($BX47*12.73)</f>
        <v>3.9649999999999999</v>
      </c>
      <c r="CS47" s="52">
        <f>'LINEST VARS'!$U$54+'LINEST VARS'!$T$54*(8)+'LINEST VARS'!$S$54*(8)+'LINEST VARS'!$R$54*($CS$32)+'LINEST VARS'!$Q$54*($BX47)+'LINEST VARS'!$P$54*(12.73)+'LINEST VARS'!$O$54*(8^2)+'LINEST VARS'!$N$54*(8^2)+'LINEST VARS'!$M$54*($CS$32^2)+'LINEST VARS'!$L$54*($BX47^2)+'LINEST VARS'!$K$54*(12.73^2)+'LINEST VARS'!$J$54*(8*8)+'LINEST VARS'!$I$54*(8*$CS$32)+'LINEST VARS'!$H$54*(8*$BX47)+'LINEST VARS'!$G$54*(8*12.73)+'LINEST VARS'!$F$54*(8*$CS$32)+'LINEST VARS'!$E$54*(8*$BX47)+'LINEST VARS'!$D$54*(8*12.73)+'LINEST VARS'!$C$54*($CS$32*$BX47)+'LINEST VARS'!$B$54*($CS$32*12.73)+'LINEST VARS'!$A$54*($BX47*12.73)</f>
        <v>3.9649999999999999</v>
      </c>
      <c r="CX47" s="45">
        <v>18.193000000000001</v>
      </c>
      <c r="CY47" s="51">
        <f>'LINEST VARS'!$U$52+'LINEST VARS'!$T$52*(8)+'LINEST VARS'!$S$52*(8)+'LINEST VARS'!$R$52*($CY$32)+'LINEST VARS'!$Q$52*(0.5)+'LINEST VARS'!$P$52*($CX47)+'LINEST VARS'!$O$52*(8^2)+'LINEST VARS'!$N$52*(8^2)+'LINEST VARS'!$M$52*($CY$32^2)+'LINEST VARS'!$L$52*(0.5^2)+'LINEST VARS'!$K$52*($CX47^2)+'LINEST VARS'!$J$52*(8*8)+'LINEST VARS'!$I$52*(8*$CY$32)+'LINEST VARS'!$H$52*(8*0.5)+'LINEST VARS'!$G$52*(8*$CX47)+'LINEST VARS'!$F$52*(8*$CY$32)+'LINEST VARS'!$E$52*(8*0.5)+'LINEST VARS'!$D$52*(8*$CX47)+'LINEST VARS'!$C$52*($CY$32*0.5)+'LINEST VARS'!$B$52*($CY$32*$CX47)+'LINEST VARS'!$A$52*(0.5*$CX47)</f>
        <v>4.4499999999999984</v>
      </c>
      <c r="CZ47" s="51">
        <f>'LINEST VARS'!$U$52+'LINEST VARS'!$T$52*(8)+'LINEST VARS'!$S$52*(8)+'LINEST VARS'!$R$52*($CZ$32)+'LINEST VARS'!$Q$52*(0.5)+'LINEST VARS'!$P$52*($CX47)+'LINEST VARS'!$O$52*(8^2)+'LINEST VARS'!$N$52*(8^2)+'LINEST VARS'!$M$52*($CZ$32^2)+'LINEST VARS'!$L$52*(0.5^2)+'LINEST VARS'!$K$52*($CX47^2)+'LINEST VARS'!$J$52*(8*8)+'LINEST VARS'!$I$52*(8*$CZ$32)+'LINEST VARS'!$H$52*(8*0.5)+'LINEST VARS'!$G$52*(8*$CX47)+'LINEST VARS'!$F$52*(8*$CZ$32)+'LINEST VARS'!$E$52*(8*0.5)+'LINEST VARS'!$D$52*(8*$CX47)+'LINEST VARS'!$C$52*($CZ$32*0.5)+'LINEST VARS'!$B$52*($CZ$32*$CX47)+'LINEST VARS'!$A$52*(0.5*$CX47)</f>
        <v>4.4499999999999984</v>
      </c>
      <c r="DA47" s="51">
        <f>'LINEST VARS'!$U$52+'LINEST VARS'!$T$52*(8)+'LINEST VARS'!$S$52*(8)+'LINEST VARS'!$R$52*($DA$32)+'LINEST VARS'!$Q$52*(0.5)+'LINEST VARS'!$P$52*($CX47)+'LINEST VARS'!$O$52*(8^2)+'LINEST VARS'!$N$52*(8^2)+'LINEST VARS'!$M$52*($DA$32^2)+'LINEST VARS'!$L$52*(0.5^2)+'LINEST VARS'!$K$52*($CX47^2)+'LINEST VARS'!$J$52*(8*8)+'LINEST VARS'!$I$52*(8*$DA$32)+'LINEST VARS'!$H$52*(8*0.5)+'LINEST VARS'!$G$52*(8*$CX47)+'LINEST VARS'!$F$52*(8*$DA$32)+'LINEST VARS'!$E$52*(8*0.5)+'LINEST VARS'!$D$52*(8*$CX47)+'LINEST VARS'!$C$52*($DA$32*0.5)+'LINEST VARS'!$B$52*($DA$32*$CX47)+'LINEST VARS'!$A$52*(0.5*$CX47)</f>
        <v>4.4499999999999984</v>
      </c>
      <c r="DB47" s="51">
        <f>'LINEST VARS'!$U$52+'LINEST VARS'!$T$52*(8)+'LINEST VARS'!$S$52*(8)+'LINEST VARS'!$R$52*($DB$32)+'LINEST VARS'!$Q$52*(0.5)+'LINEST VARS'!$P$52*($CX47)+'LINEST VARS'!$O$52*(8^2)+'LINEST VARS'!$N$52*(8^2)+'LINEST VARS'!$M$52*($DB$32^2)+'LINEST VARS'!$L$52*(0.5^2)+'LINEST VARS'!$K$52*($CX47^2)+'LINEST VARS'!$J$52*(8*8)+'LINEST VARS'!$I$52*(8*$DB$32)+'LINEST VARS'!$H$52*(8*0.5)+'LINEST VARS'!$G$52*(8*$CX47)+'LINEST VARS'!$F$52*(8*$DB$32)+'LINEST VARS'!$E$52*(8*0.5)+'LINEST VARS'!$D$52*(8*$CX47)+'LINEST VARS'!$C$52*($DB$32*0.5)+'LINEST VARS'!$B$52*($DB$32*$CX47)+'LINEST VARS'!$A$52*(0.5*$CX47)</f>
        <v>4.4499999999999984</v>
      </c>
      <c r="DC47" s="51">
        <f>'LINEST VARS'!$U$52+'LINEST VARS'!$T$52*(8)+'LINEST VARS'!$S$52*(8)+'LINEST VARS'!$R$52*($DC$32)+'LINEST VARS'!$Q$52*(0.5)+'LINEST VARS'!$P$52*($CX47)+'LINEST VARS'!$O$52*(8^2)+'LINEST VARS'!$N$52*(8^2)+'LINEST VARS'!$M$52*($DC$32^2)+'LINEST VARS'!$L$52*(0.5^2)+'LINEST VARS'!$K$52*($CX47^2)+'LINEST VARS'!$J$52*(8*8)+'LINEST VARS'!$I$52*(8*$DC$32)+'LINEST VARS'!$H$52*(8*0.5)+'LINEST VARS'!$G$52*(8*$CX47)+'LINEST VARS'!$F$52*(8*$DC$32)+'LINEST VARS'!$E$52*(8*0.5)+'LINEST VARS'!$D$52*(8*$CX47)+'LINEST VARS'!$C$52*($DC$32*0.5)+'LINEST VARS'!$B$52*($DC$32*$CX47)+'LINEST VARS'!$A$52*(0.5*$CX47)</f>
        <v>4.4499999999999984</v>
      </c>
      <c r="DD47" s="51">
        <f>'LINEST VARS'!$U$52+'LINEST VARS'!$T$52*(8)+'LINEST VARS'!$S$52*(8)+'LINEST VARS'!$R$52*($DD$32)+'LINEST VARS'!$Q$52*(0.5)+'LINEST VARS'!$P$52*($CX47)+'LINEST VARS'!$O$52*(8^2)+'LINEST VARS'!$N$52*(8^2)+'LINEST VARS'!$M$52*($DD$32^2)+'LINEST VARS'!$L$52*(0.5^2)+'LINEST VARS'!$K$52*($CX47^2)+'LINEST VARS'!$J$52*(8*8)+'LINEST VARS'!$I$52*(8*$DD$32)+'LINEST VARS'!$H$52*(8*0.5)+'LINEST VARS'!$G$52*(8*$CX47)+'LINEST VARS'!$F$52*(8*$DD$32)+'LINEST VARS'!$E$52*(8*0.5)+'LINEST VARS'!$D$52*(8*$CX47)+'LINEST VARS'!$C$52*($DD$32*0.5)+'LINEST VARS'!$B$52*($DD$32*$CX47)+'LINEST VARS'!$A$52*(0.5*$CX47)</f>
        <v>4.4499999999999984</v>
      </c>
      <c r="DE47" s="51">
        <f>'LINEST VARS'!$U$52+'LINEST VARS'!$T$52*(8)+'LINEST VARS'!$S$52*(8)+'LINEST VARS'!$R$52*($DE$32)+'LINEST VARS'!$Q$52*(0.5)+'LINEST VARS'!$P$52*($CX47)+'LINEST VARS'!$O$52*(8^2)+'LINEST VARS'!$N$52*(8^2)+'LINEST VARS'!$M$52*($DE$32^2)+'LINEST VARS'!$L$52*(0.5^2)+'LINEST VARS'!$K$52*($CX47^2)+'LINEST VARS'!$J$52*(8*8)+'LINEST VARS'!$I$52*(8*$DE$32)+'LINEST VARS'!$H$52*(8*0.5)+'LINEST VARS'!$G$52*(8*$CX47)+'LINEST VARS'!$F$52*(8*$DE$32)+'LINEST VARS'!$E$52*(8*0.5)+'LINEST VARS'!$D$52*(8*$CX47)+'LINEST VARS'!$C$52*($DE$32*0.5)+'LINEST VARS'!$B$52*($DE$32*$CX47)+'LINEST VARS'!$A$52*(0.5*$CX47)</f>
        <v>4.4499999999999984</v>
      </c>
      <c r="DF47" s="51">
        <f>'LINEST VARS'!$U$52+'LINEST VARS'!$T$52*(8)+'LINEST VARS'!$S$52*(8)+'LINEST VARS'!$R$52*($DF$32)+'LINEST VARS'!$Q$52*(0.5)+'LINEST VARS'!$P$52*($CX47)+'LINEST VARS'!$O$52*(8^2)+'LINEST VARS'!$N$52*(8^2)+'LINEST VARS'!$M$52*($DF$32^2)+'LINEST VARS'!$L$52*(0.5^2)+'LINEST VARS'!$K$52*($CX47^2)+'LINEST VARS'!$J$52*(8*8)+'LINEST VARS'!$I$52*(8*$DF$32)+'LINEST VARS'!$H$52*(8*0.5)+'LINEST VARS'!$G$52*(8*$CX47)+'LINEST VARS'!$F$52*(8*$DF$32)+'LINEST VARS'!$E$52*(8*0.5)+'LINEST VARS'!$D$52*(8*$CX47)+'LINEST VARS'!$C$52*($DF$32*0.5)+'LINEST VARS'!$B$52*($DF$32*$CX47)+'LINEST VARS'!$A$52*(0.5*$CX47)</f>
        <v>4.4499999999999984</v>
      </c>
      <c r="DG47" s="51">
        <f>'LINEST VARS'!$U$52+'LINEST VARS'!$T$52*(8)+'LINEST VARS'!$S$52*(8)+'LINEST VARS'!$R$52*($DG$32)+'LINEST VARS'!$Q$52*(0.5)+'LINEST VARS'!$P$52*($CX47)+'LINEST VARS'!$O$52*(8^2)+'LINEST VARS'!$N$52*(8^2)+'LINEST VARS'!$M$52*($DG$32^2)+'LINEST VARS'!$L$52*(0.5^2)+'LINEST VARS'!$K$52*($CX47^2)+'LINEST VARS'!$J$52*(8*8)+'LINEST VARS'!$I$52*(8*$DG$32)+'LINEST VARS'!$H$52*(8*0.5)+'LINEST VARS'!$G$52*(8*$CX47)+'LINEST VARS'!$F$52*(8*$DG$32)+'LINEST VARS'!$E$52*(8*0.5)+'LINEST VARS'!$D$52*(8*$CX47)+'LINEST VARS'!$C$52*($DG$32*0.5)+'LINEST VARS'!$B$52*($DG$32*$CX47)+'LINEST VARS'!$A$52*(0.5*$CX47)</f>
        <v>4.4499999999999984</v>
      </c>
      <c r="DH47" s="51">
        <f>'LINEST VARS'!$U$52+'LINEST VARS'!$T$52*(8)+'LINEST VARS'!$S$52*(8)+'LINEST VARS'!$R$52*($DH$32)+'LINEST VARS'!$Q$52*(0.5)+'LINEST VARS'!$P$52*($CX47)+'LINEST VARS'!$O$52*(8^2)+'LINEST VARS'!$N$52*(8^2)+'LINEST VARS'!$M$52*($DH$32^2)+'LINEST VARS'!$L$52*(0.5^2)+'LINEST VARS'!$K$52*($CX47^2)+'LINEST VARS'!$J$52*(8*8)+'LINEST VARS'!$I$52*(8*$DH$32)+'LINEST VARS'!$H$52*(8*0.5)+'LINEST VARS'!$G$52*(8*$CX47)+'LINEST VARS'!$F$52*(8*$DH$32)+'LINEST VARS'!$E$52*(8*0.5)+'LINEST VARS'!$D$52*(8*$CX47)+'LINEST VARS'!$C$52*($DH$32*0.5)+'LINEST VARS'!$B$52*($DH$32*$CX47)+'LINEST VARS'!$A$52*(0.5*$CX47)</f>
        <v>4.4499999999999984</v>
      </c>
      <c r="DI47" s="51">
        <f>'LINEST VARS'!$U$52+'LINEST VARS'!$T$52*(8)+'LINEST VARS'!$S$52*(8)+'LINEST VARS'!$R$52*($DI$32)+'LINEST VARS'!$Q$52*(0.5)+'LINEST VARS'!$P$52*($CX47)+'LINEST VARS'!$O$52*(8^2)+'LINEST VARS'!$N$52*(8^2)+'LINEST VARS'!$M$52*($DI$32^2)+'LINEST VARS'!$L$52*(0.5^2)+'LINEST VARS'!$K$52*($CX47^2)+'LINEST VARS'!$J$52*(8*8)+'LINEST VARS'!$I$52*(8*$DI$32)+'LINEST VARS'!$H$52*(8*0.5)+'LINEST VARS'!$G$52*(8*$CX47)+'LINEST VARS'!$F$52*(8*$DI$32)+'LINEST VARS'!$E$52*(8*0.5)+'LINEST VARS'!$D$52*(8*$CX47)+'LINEST VARS'!$C$52*($DI$32*0.5)+'LINEST VARS'!$B$52*($DI$32*$CX47)+'LINEST VARS'!$A$52*(0.5*$CX47)</f>
        <v>4.4499999999999984</v>
      </c>
      <c r="DJ47" s="51">
        <f>'LINEST VARS'!$U$52+'LINEST VARS'!$T$52*(8)+'LINEST VARS'!$S$52*(8)+'LINEST VARS'!$R$52*($DJ$32)+'LINEST VARS'!$Q$52*(0.5)+'LINEST VARS'!$P$52*($CX47)+'LINEST VARS'!$O$52*(8^2)+'LINEST VARS'!$N$52*(8^2)+'LINEST VARS'!$M$52*($DJ$32^2)+'LINEST VARS'!$L$52*(0.5^2)+'LINEST VARS'!$K$52*($CX47^2)+'LINEST VARS'!$J$52*(8*8)+'LINEST VARS'!$I$52*(8*$DJ$32)+'LINEST VARS'!$H$52*(8*0.5)+'LINEST VARS'!$G$52*(8*$CX47)+'LINEST VARS'!$F$52*(8*$DJ$32)+'LINEST VARS'!$E$52*(8*0.5)+'LINEST VARS'!$D$52*(8*$CX47)+'LINEST VARS'!$C$52*($DJ$32*0.5)+'LINEST VARS'!$B$52*($DJ$32*$CX47)+'LINEST VARS'!$A$52*(0.5*$CX47)</f>
        <v>4.4499999999999984</v>
      </c>
      <c r="DK47" s="51">
        <f>'LINEST VARS'!$U$52+'LINEST VARS'!$T$52*(8)+'LINEST VARS'!$S$52*(8)+'LINEST VARS'!$R$52*($DK$32)+'LINEST VARS'!$Q$52*(0.5)+'LINEST VARS'!$P$52*($CX47)+'LINEST VARS'!$O$52*(8^2)+'LINEST VARS'!$N$52*(8^2)+'LINEST VARS'!$M$52*($DK$32^2)+'LINEST VARS'!$L$52*(0.5^2)+'LINEST VARS'!$K$52*($CX47^2)+'LINEST VARS'!$J$52*(8*8)+'LINEST VARS'!$I$52*(8*$DK$32)+'LINEST VARS'!$H$52*(8*0.5)+'LINEST VARS'!$G$52*(8*$CX47)+'LINEST VARS'!$F$52*(8*$DK$32)+'LINEST VARS'!$E$52*(8*0.5)+'LINEST VARS'!$D$52*(8*$CX47)+'LINEST VARS'!$C$52*($DK$32*0.5)+'LINEST VARS'!$B$52*($DK$32*$CX47)+'LINEST VARS'!$A$52*(0.5*$CX47)</f>
        <v>4.4499999999999984</v>
      </c>
      <c r="DL47" s="51">
        <f>'LINEST VARS'!$U$52+'LINEST VARS'!$T$52*(8)+'LINEST VARS'!$S$52*(8)+'LINEST VARS'!$R$52*($DL$32)+'LINEST VARS'!$Q$52*(0.5)+'LINEST VARS'!$P$52*($CX47)+'LINEST VARS'!$O$52*(8^2)+'LINEST VARS'!$N$52*(8^2)+'LINEST VARS'!$M$52*($DL$32^2)+'LINEST VARS'!$L$52*(0.5^2)+'LINEST VARS'!$K$52*($CX47^2)+'LINEST VARS'!$J$52*(8*8)+'LINEST VARS'!$I$52*(8*$DL$32)+'LINEST VARS'!$H$52*(8*0.5)+'LINEST VARS'!$G$52*(8*$CX47)+'LINEST VARS'!$F$52*(8*$DL$32)+'LINEST VARS'!$E$52*(8*0.5)+'LINEST VARS'!$D$52*(8*$CX47)+'LINEST VARS'!$C$52*($DL$32*0.5)+'LINEST VARS'!$B$52*($DL$32*$CX47)+'LINEST VARS'!$A$52*(0.5*$CX47)</f>
        <v>4.4499999999999984</v>
      </c>
      <c r="DM47" s="51">
        <f>'LINEST VARS'!$U$52+'LINEST VARS'!$T$52*(8)+'LINEST VARS'!$S$52*(8)+'LINEST VARS'!$R$52*($DM$32)+'LINEST VARS'!$Q$52*(0.5)+'LINEST VARS'!$P$52*($CX47)+'LINEST VARS'!$O$52*(8^2)+'LINEST VARS'!$N$52*(8^2)+'LINEST VARS'!$M$52*($DM$32^2)+'LINEST VARS'!$L$52*(0.5^2)+'LINEST VARS'!$K$52*($CX47^2)+'LINEST VARS'!$J$52*(8*8)+'LINEST VARS'!$I$52*(8*$DM$32)+'LINEST VARS'!$H$52*(8*0.5)+'LINEST VARS'!$G$52*(8*$CX47)+'LINEST VARS'!$F$52*(8*$DM$32)+'LINEST VARS'!$E$52*(8*0.5)+'LINEST VARS'!$D$52*(8*$CX47)+'LINEST VARS'!$C$52*($DM$32*0.5)+'LINEST VARS'!$B$52*($DM$32*$CX47)+'LINEST VARS'!$A$52*(0.5*$CX47)</f>
        <v>4.4499999999999984</v>
      </c>
      <c r="DN47" s="51">
        <f>'LINEST VARS'!$U$52+'LINEST VARS'!$T$52*(8)+'LINEST VARS'!$S$52*(8)+'LINEST VARS'!$R$52*($DN$32)+'LINEST VARS'!$Q$52*(0.5)+'LINEST VARS'!$P$52*($CX47)+'LINEST VARS'!$O$52*(8^2)+'LINEST VARS'!$N$52*(8^2)+'LINEST VARS'!$M$52*($DN$32^2)+'LINEST VARS'!$L$52*(0.5^2)+'LINEST VARS'!$K$52*($CX47^2)+'LINEST VARS'!$J$52*(8*8)+'LINEST VARS'!$I$52*(8*$DN$32)+'LINEST VARS'!$H$52*(8*0.5)+'LINEST VARS'!$G$52*(8*$CX47)+'LINEST VARS'!$F$52*(8*$DN$32)+'LINEST VARS'!$E$52*(8*0.5)+'LINEST VARS'!$D$52*(8*$CX47)+'LINEST VARS'!$C$52*($DN$32*0.5)+'LINEST VARS'!$B$52*($DN$32*$CX47)+'LINEST VARS'!$A$52*(0.5*$CX47)</f>
        <v>4.4499999999999984</v>
      </c>
      <c r="DO47" s="51">
        <f>'LINEST VARS'!$U$52+'LINEST VARS'!$T$52*(8)+'LINEST VARS'!$S$52*(8)+'LINEST VARS'!$R$52*($DO$32)+'LINEST VARS'!$Q$52*(0.5)+'LINEST VARS'!$P$52*($CX47)+'LINEST VARS'!$O$52*(8^2)+'LINEST VARS'!$N$52*(8^2)+'LINEST VARS'!$M$52*($DO$32^2)+'LINEST VARS'!$L$52*(0.5^2)+'LINEST VARS'!$K$52*($CX47^2)+'LINEST VARS'!$J$52*(8*8)+'LINEST VARS'!$I$52*(8*$DO$32)+'LINEST VARS'!$H$52*(8*0.5)+'LINEST VARS'!$G$52*(8*$CX47)+'LINEST VARS'!$F$52*(8*$DO$32)+'LINEST VARS'!$E$52*(8*0.5)+'LINEST VARS'!$D$52*(8*$CX47)+'LINEST VARS'!$C$52*($DO$32*0.5)+'LINEST VARS'!$B$52*($DO$32*$CX47)+'LINEST VARS'!$A$52*(0.5*$CX47)</f>
        <v>4.4499999999999984</v>
      </c>
      <c r="DP47" s="51">
        <f>'LINEST VARS'!$U$52+'LINEST VARS'!$T$52*(8)+'LINEST VARS'!$S$52*(8)+'LINEST VARS'!$R$52*($DP$32)+'LINEST VARS'!$Q$52*(0.5)+'LINEST VARS'!$P$52*($CX47)+'LINEST VARS'!$O$52*(8^2)+'LINEST VARS'!$N$52*(8^2)+'LINEST VARS'!$M$52*($DP$32^2)+'LINEST VARS'!$L$52*(0.5^2)+'LINEST VARS'!$K$52*($CX47^2)+'LINEST VARS'!$J$52*(8*8)+'LINEST VARS'!$I$52*(8*$DP$32)+'LINEST VARS'!$H$52*(8*0.5)+'LINEST VARS'!$G$52*(8*$CX47)+'LINEST VARS'!$F$52*(8*$DP$32)+'LINEST VARS'!$E$52*(8*0.5)+'LINEST VARS'!$D$52*(8*$CX47)+'LINEST VARS'!$C$52*($DP$32*0.5)+'LINEST VARS'!$B$52*($DP$32*$CX47)+'LINEST VARS'!$A$52*(0.5*$CX47)</f>
        <v>4.4499999999999984</v>
      </c>
      <c r="DQ47" s="51">
        <f>'LINEST VARS'!$U$52+'LINEST VARS'!$T$52*(8)+'LINEST VARS'!$S$52*(8)+'LINEST VARS'!$R$52*($DQ$32)+'LINEST VARS'!$Q$52*(0.5)+'LINEST VARS'!$P$52*($CX47)+'LINEST VARS'!$O$52*(8^2)+'LINEST VARS'!$N$52*(8^2)+'LINEST VARS'!$M$52*($DQ$32^2)+'LINEST VARS'!$L$52*(0.5^2)+'LINEST VARS'!$K$52*($CX47^2)+'LINEST VARS'!$J$52*(8*8)+'LINEST VARS'!$I$52*(8*$DQ$32)+'LINEST VARS'!$H$52*(8*0.5)+'LINEST VARS'!$G$52*(8*$CX47)+'LINEST VARS'!$F$52*(8*$DQ$32)+'LINEST VARS'!$E$52*(8*0.5)+'LINEST VARS'!$D$52*(8*$CX47)+'LINEST VARS'!$C$52*($DQ$32*0.5)+'LINEST VARS'!$B$52*($DQ$32*$CX47)+'LINEST VARS'!$A$52*(0.5*$CX47)</f>
        <v>4.4499999999999984</v>
      </c>
      <c r="DR47" s="51">
        <f>'LINEST VARS'!$U$52+'LINEST VARS'!$T$52*(8)+'LINEST VARS'!$S$52*(8)+'LINEST VARS'!$R$52*($DR$32)+'LINEST VARS'!$Q$52*(0.5)+'LINEST VARS'!$P$52*($CX47)+'LINEST VARS'!$O$52*(8^2)+'LINEST VARS'!$N$52*(8^2)+'LINEST VARS'!$M$52*($DR$32^2)+'LINEST VARS'!$L$52*(0.5^2)+'LINEST VARS'!$K$52*($CX47^2)+'LINEST VARS'!$J$52*(8*8)+'LINEST VARS'!$I$52*(8*$DR$32)+'LINEST VARS'!$H$52*(8*0.5)+'LINEST VARS'!$G$52*(8*$CX47)+'LINEST VARS'!$F$52*(8*$DR$32)+'LINEST VARS'!$E$52*(8*0.5)+'LINEST VARS'!$D$52*(8*$CX47)+'LINEST VARS'!$C$52*($DR$32*0.5)+'LINEST VARS'!$B$52*($DR$32*$CX47)+'LINEST VARS'!$A$52*(0.5*$CX47)</f>
        <v>4.4499999999999984</v>
      </c>
      <c r="DS47" s="52">
        <f>'LINEST VARS'!$U$52+'LINEST VARS'!$T$52*(8)+'LINEST VARS'!$S$52*(8)+'LINEST VARS'!$R$52*($DS$32)+'LINEST VARS'!$Q$52*(0.5)+'LINEST VARS'!$P$52*($CX47)+'LINEST VARS'!$O$52*(8^2)+'LINEST VARS'!$N$52*(8^2)+'LINEST VARS'!$M$52*($DS$32^2)+'LINEST VARS'!$L$52*(0.5^2)+'LINEST VARS'!$K$52*($CX47^2)+'LINEST VARS'!$J$52*(8*8)+'LINEST VARS'!$I$52*(8*$DS$32)+'LINEST VARS'!$H$52*(8*0.5)+'LINEST VARS'!$G$52*(8*$CX47)+'LINEST VARS'!$F$52*(8*$DS$32)+'LINEST VARS'!$E$52*(8*0.5)+'LINEST VARS'!$D$52*(8*$CX47)+'LINEST VARS'!$C$52*($DS$32*0.5)+'LINEST VARS'!$B$52*($DS$32*$CX47)+'LINEST VARS'!$A$52*(0.5*$CX47)</f>
        <v>4.4499999999999984</v>
      </c>
      <c r="DV47" s="45">
        <v>18.193000000000001</v>
      </c>
      <c r="DW47" s="51">
        <f>'LINEST VARS'!$U$54+'LINEST VARS'!$T$54*(8)+'LINEST VARS'!$S$54*(8)+'LINEST VARS'!$R$54*($DW$32)+'LINEST VARS'!$Q$54*(0.5)+'LINEST VARS'!$P$54*($DV47)+'LINEST VARS'!$O$54*(8^2)+'LINEST VARS'!$N$54*(8^2)+'LINEST VARS'!$M$54*($DW$32^2)+'LINEST VARS'!$L$54*(0.5^2)+'LINEST VARS'!$K$54*($DV47^2)+'LINEST VARS'!$J$54*(8*8)+'LINEST VARS'!$I$54*(8*$DW$32)+'LINEST VARS'!$H$54*(8*0.5)+'LINEST VARS'!$G$54*(8*$DV47)+'LINEST VARS'!$F$54*(8*$DW$32)+'LINEST VARS'!$E$54*(8*0.5)+'LINEST VARS'!$D$54*(8*$DV47)+'LINEST VARS'!$C$54*($DW$32*0.5)+'LINEST VARS'!$B$54*($DW$32*$DV47)+'LINEST VARS'!$A$54*(0.5*$DV47)</f>
        <v>3.9749999999999996</v>
      </c>
      <c r="DX47" s="51">
        <f>'LINEST VARS'!$U$54+'LINEST VARS'!$T$54*(8)+'LINEST VARS'!$S$54*(8)+'LINEST VARS'!$R$54*($DX$32)+'LINEST VARS'!$Q$54*(0.5)+'LINEST VARS'!$P$54*($DV47)+'LINEST VARS'!$O$54*(8^2)+'LINEST VARS'!$N$54*(8^2)+'LINEST VARS'!$M$54*($DX$32^2)+'LINEST VARS'!$L$54*(0.5^2)+'LINEST VARS'!$K$54*($DV47^2)+'LINEST VARS'!$J$54*(8*8)+'LINEST VARS'!$I$54*(8*$DX$32)+'LINEST VARS'!$H$54*(8*0.5)+'LINEST VARS'!$G$54*(8*$DV47)+'LINEST VARS'!$F$54*(8*$DX$32)+'LINEST VARS'!$E$54*(8*0.5)+'LINEST VARS'!$D$54*(8*$DV47)+'LINEST VARS'!$C$54*($DX$32*0.5)+'LINEST VARS'!$B$54*($DX$32*$DV47)+'LINEST VARS'!$A$54*(0.5*$DV47)</f>
        <v>3.9749999999999996</v>
      </c>
      <c r="DY47" s="51">
        <f>'LINEST VARS'!$U$54+'LINEST VARS'!$T$54*(8)+'LINEST VARS'!$S$54*(8)+'LINEST VARS'!$R$54*($DY$32)+'LINEST VARS'!$Q$54*(0.5)+'LINEST VARS'!$P$54*($DV47)+'LINEST VARS'!$O$54*(8^2)+'LINEST VARS'!$N$54*(8^2)+'LINEST VARS'!$M$54*($DY$32^2)+'LINEST VARS'!$L$54*(0.5^2)+'LINEST VARS'!$K$54*($DV47^2)+'LINEST VARS'!$J$54*(8*8)+'LINEST VARS'!$I$54*(8*$DY$32)+'LINEST VARS'!$H$54*(8*0.5)+'LINEST VARS'!$G$54*(8*$DV47)+'LINEST VARS'!$F$54*(8*$DY$32)+'LINEST VARS'!$E$54*(8*0.5)+'LINEST VARS'!$D$54*(8*$DV47)+'LINEST VARS'!$C$54*($DY$32*0.5)+'LINEST VARS'!$B$54*($DY$32*$DV47)+'LINEST VARS'!$A$54*(0.5*$DV47)</f>
        <v>3.9749999999999996</v>
      </c>
      <c r="DZ47" s="51">
        <f>'LINEST VARS'!$U$54+'LINEST VARS'!$T$54*(8)+'LINEST VARS'!$S$54*(8)+'LINEST VARS'!$R$54*($DZ$32)+'LINEST VARS'!$Q$54*(0.5)+'LINEST VARS'!$P$54*($DV47)+'LINEST VARS'!$O$54*(8^2)+'LINEST VARS'!$N$54*(8^2)+'LINEST VARS'!$M$54*($DZ$32^2)+'LINEST VARS'!$L$54*(0.5^2)+'LINEST VARS'!$K$54*($DV47^2)+'LINEST VARS'!$J$54*(8*8)+'LINEST VARS'!$I$54*(8*$DZ$32)+'LINEST VARS'!$H$54*(8*0.5)+'LINEST VARS'!$G$54*(8*$DV47)+'LINEST VARS'!$F$54*(8*$DZ$32)+'LINEST VARS'!$E$54*(8*0.5)+'LINEST VARS'!$D$54*(8*$DV47)+'LINEST VARS'!$C$54*($DZ$32*0.5)+'LINEST VARS'!$B$54*($DZ$32*$DV47)+'LINEST VARS'!$A$54*(0.5*$DV47)</f>
        <v>3.9749999999999996</v>
      </c>
      <c r="EA47" s="51">
        <f>'LINEST VARS'!$U$54+'LINEST VARS'!$T$54*(8)+'LINEST VARS'!$S$54*(8)+'LINEST VARS'!$R$54*($EA$32)+'LINEST VARS'!$Q$54*(0.5)+'LINEST VARS'!$P$54*($DV47)+'LINEST VARS'!$O$54*(8^2)+'LINEST VARS'!$N$54*(8^2)+'LINEST VARS'!$M$54*($EA$32^2)+'LINEST VARS'!$L$54*(0.5^2)+'LINEST VARS'!$K$54*($DV47^2)+'LINEST VARS'!$J$54*(8*8)+'LINEST VARS'!$I$54*(8*$EA$32)+'LINEST VARS'!$H$54*(8*0.5)+'LINEST VARS'!$G$54*(8*$DV47)+'LINEST VARS'!$F$54*(8*$EA$32)+'LINEST VARS'!$E$54*(8*0.5)+'LINEST VARS'!$D$54*(8*$DV47)+'LINEST VARS'!$C$54*($EA$32*0.5)+'LINEST VARS'!$B$54*($EA$32*$DV47)+'LINEST VARS'!$A$54*(0.5*$DV47)</f>
        <v>3.9749999999999996</v>
      </c>
      <c r="EB47" s="51">
        <f>'LINEST VARS'!$U$54+'LINEST VARS'!$T$54*(8)+'LINEST VARS'!$S$54*(8)+'LINEST VARS'!$R$54*($EB$32)+'LINEST VARS'!$Q$54*(0.5)+'LINEST VARS'!$P$54*($DV47)+'LINEST VARS'!$O$54*(8^2)+'LINEST VARS'!$N$54*(8^2)+'LINEST VARS'!$M$54*($EB$32^2)+'LINEST VARS'!$L$54*(0.5^2)+'LINEST VARS'!$K$54*($DV47^2)+'LINEST VARS'!$J$54*(8*8)+'LINEST VARS'!$I$54*(8*$EB$32)+'LINEST VARS'!$H$54*(8*0.5)+'LINEST VARS'!$G$54*(8*$DV47)+'LINEST VARS'!$F$54*(8*$EB$32)+'LINEST VARS'!$E$54*(8*0.5)+'LINEST VARS'!$D$54*(8*$DV47)+'LINEST VARS'!$C$54*($EB$32*0.5)+'LINEST VARS'!$B$54*($EB$32*$DV47)+'LINEST VARS'!$A$54*(0.5*$DV47)</f>
        <v>3.9749999999999996</v>
      </c>
      <c r="EC47" s="51">
        <f>'LINEST VARS'!$U$54+'LINEST VARS'!$T$54*(8)+'LINEST VARS'!$S$54*(8)+'LINEST VARS'!$R$54*($EC$32)+'LINEST VARS'!$Q$54*(0.5)+'LINEST VARS'!$P$54*($DV47)+'LINEST VARS'!$O$54*(8^2)+'LINEST VARS'!$N$54*(8^2)+'LINEST VARS'!$M$54*($EC$32^2)+'LINEST VARS'!$L$54*(0.5^2)+'LINEST VARS'!$K$54*($DV47^2)+'LINEST VARS'!$J$54*(8*8)+'LINEST VARS'!$I$54*(8*$EC$32)+'LINEST VARS'!$H$54*(8*0.5)+'LINEST VARS'!$G$54*(8*$DV47)+'LINEST VARS'!$F$54*(8*$EC$32)+'LINEST VARS'!$E$54*(8*0.5)+'LINEST VARS'!$D$54*(8*$DV47)+'LINEST VARS'!$C$54*($EC$32*0.5)+'LINEST VARS'!$B$54*($EC$32*$DV47)+'LINEST VARS'!$A$54*(0.5*$DV47)</f>
        <v>3.9749999999999996</v>
      </c>
      <c r="ED47" s="51">
        <f>'LINEST VARS'!$U$54+'LINEST VARS'!$T$54*(8)+'LINEST VARS'!$S$54*(8)+'LINEST VARS'!$R$54*($ED$32)+'LINEST VARS'!$Q$54*(0.5)+'LINEST VARS'!$P$54*($DV47)+'LINEST VARS'!$O$54*(8^2)+'LINEST VARS'!$N$54*(8^2)+'LINEST VARS'!$M$54*($ED$32^2)+'LINEST VARS'!$L$54*(0.5^2)+'LINEST VARS'!$K$54*($DV47^2)+'LINEST VARS'!$J$54*(8*8)+'LINEST VARS'!$I$54*(8*$ED$32)+'LINEST VARS'!$H$54*(8*0.5)+'LINEST VARS'!$G$54*(8*$DV47)+'LINEST VARS'!$F$54*(8*$ED$32)+'LINEST VARS'!$E$54*(8*0.5)+'LINEST VARS'!$D$54*(8*$DV47)+'LINEST VARS'!$C$54*($ED$32*0.5)+'LINEST VARS'!$B$54*($ED$32*$DV47)+'LINEST VARS'!$A$54*(0.5*$DV47)</f>
        <v>3.9749999999999996</v>
      </c>
      <c r="EE47" s="51">
        <f>'LINEST VARS'!$U$54+'LINEST VARS'!$T$54*(8)+'LINEST VARS'!$S$54*(8)+'LINEST VARS'!$R$54*($EE$32)+'LINEST VARS'!$Q$54*(0.5)+'LINEST VARS'!$P$54*($DV47)+'LINEST VARS'!$O$54*(8^2)+'LINEST VARS'!$N$54*(8^2)+'LINEST VARS'!$M$54*($EE$32^2)+'LINEST VARS'!$L$54*(0.5^2)+'LINEST VARS'!$K$54*($DV47^2)+'LINEST VARS'!$J$54*(8*8)+'LINEST VARS'!$I$54*(8*$EE$32)+'LINEST VARS'!$H$54*(8*0.5)+'LINEST VARS'!$G$54*(8*$DV47)+'LINEST VARS'!$F$54*(8*$EE$32)+'LINEST VARS'!$E$54*(8*0.5)+'LINEST VARS'!$D$54*(8*$DV47)+'LINEST VARS'!$C$54*($EE$32*0.5)+'LINEST VARS'!$B$54*($EE$32*$DV47)+'LINEST VARS'!$A$54*(0.5*$DV47)</f>
        <v>3.9749999999999996</v>
      </c>
      <c r="EF47" s="51">
        <f>'LINEST VARS'!$U$54+'LINEST VARS'!$T$54*(8)+'LINEST VARS'!$S$54*(8)+'LINEST VARS'!$R$54*($EF$32)+'LINEST VARS'!$Q$54*(0.5)+'LINEST VARS'!$P$54*($DV47)+'LINEST VARS'!$O$54*(8^2)+'LINEST VARS'!$N$54*(8^2)+'LINEST VARS'!$M$54*($EF$32^2)+'LINEST VARS'!$L$54*(0.5^2)+'LINEST VARS'!$K$54*($DV47^2)+'LINEST VARS'!$J$54*(8*8)+'LINEST VARS'!$I$54*(8*$EF$32)+'LINEST VARS'!$H$54*(8*0.5)+'LINEST VARS'!$G$54*(8*$DV47)+'LINEST VARS'!$F$54*(8*$EF$32)+'LINEST VARS'!$E$54*(8*0.5)+'LINEST VARS'!$D$54*(8*$DV47)+'LINEST VARS'!$C$54*($EF$32*0.5)+'LINEST VARS'!$B$54*($EF$32*$DV47)+'LINEST VARS'!$A$54*(0.5*$DV47)</f>
        <v>3.9749999999999996</v>
      </c>
      <c r="EG47" s="51">
        <f>'LINEST VARS'!$U$54+'LINEST VARS'!$T$54*(8)+'LINEST VARS'!$S$54*(8)+'LINEST VARS'!$R$54*($EG$32)+'LINEST VARS'!$Q$54*(0.5)+'LINEST VARS'!$P$54*($DV47)+'LINEST VARS'!$O$54*(8^2)+'LINEST VARS'!$N$54*(8^2)+'LINEST VARS'!$M$54*($EG$32^2)+'LINEST VARS'!$L$54*(0.5^2)+'LINEST VARS'!$K$54*($DV47^2)+'LINEST VARS'!$J$54*(8*8)+'LINEST VARS'!$I$54*(8*$EG$32)+'LINEST VARS'!$H$54*(8*0.5)+'LINEST VARS'!$G$54*(8*$DV47)+'LINEST VARS'!$F$54*(8*$EG$32)+'LINEST VARS'!$E$54*(8*0.5)+'LINEST VARS'!$D$54*(8*$DV47)+'LINEST VARS'!$C$54*($EG$32*0.5)+'LINEST VARS'!$B$54*($EG$32*$DV47)+'LINEST VARS'!$A$54*(0.5*$DV47)</f>
        <v>3.9749999999999996</v>
      </c>
      <c r="EH47" s="51">
        <f>'LINEST VARS'!$U$54+'LINEST VARS'!$T$54*(8)+'LINEST VARS'!$S$54*(8)+'LINEST VARS'!$R$54*($EH$32)+'LINEST VARS'!$Q$54*(0.5)+'LINEST VARS'!$P$54*($DV47)+'LINEST VARS'!$O$54*(8^2)+'LINEST VARS'!$N$54*(8^2)+'LINEST VARS'!$M$54*($EH$32^2)+'LINEST VARS'!$L$54*(0.5^2)+'LINEST VARS'!$K$54*($DV47^2)+'LINEST VARS'!$J$54*(8*8)+'LINEST VARS'!$I$54*(8*$EH$32)+'LINEST VARS'!$H$54*(8*0.5)+'LINEST VARS'!$G$54*(8*$DV47)+'LINEST VARS'!$F$54*(8*$EH$32)+'LINEST VARS'!$E$54*(8*0.5)+'LINEST VARS'!$D$54*(8*$DV47)+'LINEST VARS'!$C$54*($EH$32*0.5)+'LINEST VARS'!$B$54*($EH$32*$DV47)+'LINEST VARS'!$A$54*(0.5*$DV47)</f>
        <v>3.9749999999999996</v>
      </c>
      <c r="EI47" s="51">
        <f>'LINEST VARS'!$U$54+'LINEST VARS'!$T$54*(8)+'LINEST VARS'!$S$54*(8)+'LINEST VARS'!$R$54*($EI$32)+'LINEST VARS'!$Q$54*(0.5)+'LINEST VARS'!$P$54*($DV47)+'LINEST VARS'!$O$54*(8^2)+'LINEST VARS'!$N$54*(8^2)+'LINEST VARS'!$M$54*($EI$32^2)+'LINEST VARS'!$L$54*(0.5^2)+'LINEST VARS'!$K$54*($DV47^2)+'LINEST VARS'!$J$54*(8*8)+'LINEST VARS'!$I$54*(8*$EI$32)+'LINEST VARS'!$H$54*(8*0.5)+'LINEST VARS'!$G$54*(8*$DV47)+'LINEST VARS'!$F$54*(8*$EI$32)+'LINEST VARS'!$E$54*(8*0.5)+'LINEST VARS'!$D$54*(8*$DV47)+'LINEST VARS'!$C$54*($EI$32*0.5)+'LINEST VARS'!$B$54*($EI$32*$DV47)+'LINEST VARS'!$A$54*(0.5*$DV47)</f>
        <v>3.9749999999999996</v>
      </c>
      <c r="EJ47" s="51">
        <f>'LINEST VARS'!$U$54+'LINEST VARS'!$T$54*(8)+'LINEST VARS'!$S$54*(8)+'LINEST VARS'!$R$54*($EJ$32)+'LINEST VARS'!$Q$54*(0.5)+'LINEST VARS'!$P$54*($DV47)+'LINEST VARS'!$O$54*(8^2)+'LINEST VARS'!$N$54*(8^2)+'LINEST VARS'!$M$54*($EJ$32^2)+'LINEST VARS'!$L$54*(0.5^2)+'LINEST VARS'!$K$54*($DV47^2)+'LINEST VARS'!$J$54*(8*8)+'LINEST VARS'!$I$54*(8*$EJ$32)+'LINEST VARS'!$H$54*(8*0.5)+'LINEST VARS'!$G$54*(8*$DV47)+'LINEST VARS'!$F$54*(8*$EJ$32)+'LINEST VARS'!$E$54*(8*0.5)+'LINEST VARS'!$D$54*(8*$DV47)+'LINEST VARS'!$C$54*($EJ$32*0.5)+'LINEST VARS'!$B$54*($EJ$32*$DV47)+'LINEST VARS'!$A$54*(0.5*$DV47)</f>
        <v>3.9749999999999996</v>
      </c>
      <c r="EK47" s="51">
        <f>'LINEST VARS'!$U$54+'LINEST VARS'!$T$54*(8)+'LINEST VARS'!$S$54*(8)+'LINEST VARS'!$R$54*($EK$32)+'LINEST VARS'!$Q$54*(0.5)+'LINEST VARS'!$P$54*($DV47)+'LINEST VARS'!$O$54*(8^2)+'LINEST VARS'!$N$54*(8^2)+'LINEST VARS'!$M$54*($EK$32^2)+'LINEST VARS'!$L$54*(0.5^2)+'LINEST VARS'!$K$54*($DV47^2)+'LINEST VARS'!$J$54*(8*8)+'LINEST VARS'!$I$54*(8*$EK$32)+'LINEST VARS'!$H$54*(8*0.5)+'LINEST VARS'!$G$54*(8*$DV47)+'LINEST VARS'!$F$54*(8*$EK$32)+'LINEST VARS'!$E$54*(8*0.5)+'LINEST VARS'!$D$54*(8*$DV47)+'LINEST VARS'!$C$54*($EK$32*0.5)+'LINEST VARS'!$B$54*($EK$32*$DV47)+'LINEST VARS'!$A$54*(0.5*$DV47)</f>
        <v>3.9749999999999996</v>
      </c>
      <c r="EL47" s="51">
        <f>'LINEST VARS'!$U$54+'LINEST VARS'!$T$54*(8)+'LINEST VARS'!$S$54*(8)+'LINEST VARS'!$R$54*($EL$32)+'LINEST VARS'!$Q$54*(0.5)+'LINEST VARS'!$P$54*($DV47)+'LINEST VARS'!$O$54*(8^2)+'LINEST VARS'!$N$54*(8^2)+'LINEST VARS'!$M$54*($EL$32^2)+'LINEST VARS'!$L$54*(0.5^2)+'LINEST VARS'!$K$54*($DV47^2)+'LINEST VARS'!$J$54*(8*8)+'LINEST VARS'!$I$54*(8*$EL$32)+'LINEST VARS'!$H$54*(8*0.5)+'LINEST VARS'!$G$54*(8*$DV47)+'LINEST VARS'!$F$54*(8*$EL$32)+'LINEST VARS'!$E$54*(8*0.5)+'LINEST VARS'!$D$54*(8*$DV47)+'LINEST VARS'!$C$54*($EL$32*0.5)+'LINEST VARS'!$B$54*($EL$32*$DV47)+'LINEST VARS'!$A$54*(0.5*$DV47)</f>
        <v>3.9749999999999996</v>
      </c>
      <c r="EM47" s="51">
        <f>'LINEST VARS'!$U$54+'LINEST VARS'!$T$54*(8)+'LINEST VARS'!$S$54*(8)+'LINEST VARS'!$R$54*($EM$32)+'LINEST VARS'!$Q$54*(0.5)+'LINEST VARS'!$P$54*($DV47)+'LINEST VARS'!$O$54*(8^2)+'LINEST VARS'!$N$54*(8^2)+'LINEST VARS'!$M$54*($EM$32^2)+'LINEST VARS'!$L$54*(0.5^2)+'LINEST VARS'!$K$54*($DV47^2)+'LINEST VARS'!$J$54*(8*8)+'LINEST VARS'!$I$54*(8*$EM$32)+'LINEST VARS'!$H$54*(8*0.5)+'LINEST VARS'!$G$54*(8*$DV47)+'LINEST VARS'!$F$54*(8*$EM$32)+'LINEST VARS'!$E$54*(8*0.5)+'LINEST VARS'!$D$54*(8*$DV47)+'LINEST VARS'!$C$54*($EM$32*0.5)+'LINEST VARS'!$B$54*($EM$32*$DV47)+'LINEST VARS'!$A$54*(0.5*$DV47)</f>
        <v>3.9749999999999996</v>
      </c>
      <c r="EN47" s="51">
        <f>'LINEST VARS'!$U$54+'LINEST VARS'!$T$54*(8)+'LINEST VARS'!$S$54*(8)+'LINEST VARS'!$R$54*($EN$32)+'LINEST VARS'!$Q$54*(0.5)+'LINEST VARS'!$P$54*($DV47)+'LINEST VARS'!$O$54*(8^2)+'LINEST VARS'!$N$54*(8^2)+'LINEST VARS'!$M$54*($EN$32^2)+'LINEST VARS'!$L$54*(0.5^2)+'LINEST VARS'!$K$54*($DV47^2)+'LINEST VARS'!$J$54*(8*8)+'LINEST VARS'!$I$54*(8*$EN$32)+'LINEST VARS'!$H$54*(8*0.5)+'LINEST VARS'!$G$54*(8*$DV47)+'LINEST VARS'!$F$54*(8*$EN$32)+'LINEST VARS'!$E$54*(8*0.5)+'LINEST VARS'!$D$54*(8*$DV47)+'LINEST VARS'!$C$54*($EN$32*0.5)+'LINEST VARS'!$B$54*($EN$32*$DV47)+'LINEST VARS'!$A$54*(0.5*$DV47)</f>
        <v>3.9749999999999996</v>
      </c>
      <c r="EO47" s="51">
        <f>'LINEST VARS'!$U$54+'LINEST VARS'!$T$54*(8)+'LINEST VARS'!$S$54*(8)+'LINEST VARS'!$R$54*($EO$32)+'LINEST VARS'!$Q$54*(0.5)+'LINEST VARS'!$P$54*($DV47)+'LINEST VARS'!$O$54*(8^2)+'LINEST VARS'!$N$54*(8^2)+'LINEST VARS'!$M$54*($EO$32^2)+'LINEST VARS'!$L$54*(0.5^2)+'LINEST VARS'!$K$54*($DV47^2)+'LINEST VARS'!$J$54*(8*8)+'LINEST VARS'!$I$54*(8*$EO$32)+'LINEST VARS'!$H$54*(8*0.5)+'LINEST VARS'!$G$54*(8*$DV47)+'LINEST VARS'!$F$54*(8*$EO$32)+'LINEST VARS'!$E$54*(8*0.5)+'LINEST VARS'!$D$54*(8*$DV47)+'LINEST VARS'!$C$54*($EO$32*0.5)+'LINEST VARS'!$B$54*($EO$32*$DV47)+'LINEST VARS'!$A$54*(0.5*$DV47)</f>
        <v>3.9749999999999996</v>
      </c>
      <c r="EP47" s="51">
        <f>'LINEST VARS'!$U$54+'LINEST VARS'!$T$54*(8)+'LINEST VARS'!$S$54*(8)+'LINEST VARS'!$R$54*($EP$32)+'LINEST VARS'!$Q$54*(0.5)+'LINEST VARS'!$P$54*($DV47)+'LINEST VARS'!$O$54*(8^2)+'LINEST VARS'!$N$54*(8^2)+'LINEST VARS'!$M$54*($EP$32^2)+'LINEST VARS'!$L$54*(0.5^2)+'LINEST VARS'!$K$54*($DV47^2)+'LINEST VARS'!$J$54*(8*8)+'LINEST VARS'!$I$54*(8*$EP$32)+'LINEST VARS'!$H$54*(8*0.5)+'LINEST VARS'!$G$54*(8*$DV47)+'LINEST VARS'!$F$54*(8*$EP$32)+'LINEST VARS'!$E$54*(8*0.5)+'LINEST VARS'!$D$54*(8*$DV47)+'LINEST VARS'!$C$54*($EP$32*0.5)+'LINEST VARS'!$B$54*($EP$32*$DV47)+'LINEST VARS'!$A$54*(0.5*$DV47)</f>
        <v>3.9749999999999996</v>
      </c>
      <c r="EQ47" s="52">
        <f>'LINEST VARS'!$U$54+'LINEST VARS'!$T$54*(8)+'LINEST VARS'!$S$54*(8)+'LINEST VARS'!$R$54*($EQ$32)+'LINEST VARS'!$Q$54*(0.5)+'LINEST VARS'!$P$54*($DV47)+'LINEST VARS'!$O$54*(8^2)+'LINEST VARS'!$N$54*(8^2)+'LINEST VARS'!$M$54*($EQ$32^2)+'LINEST VARS'!$L$54*(0.5^2)+'LINEST VARS'!$K$54*($DV47^2)+'LINEST VARS'!$J$54*(8*8)+'LINEST VARS'!$I$54*(8*$EQ$32)+'LINEST VARS'!$H$54*(8*0.5)+'LINEST VARS'!$G$54*(8*$DV47)+'LINEST VARS'!$F$54*(8*$EQ$32)+'LINEST VARS'!$E$54*(8*0.5)+'LINEST VARS'!$D$54*(8*$DV47)+'LINEST VARS'!$C$54*($EQ$32*0.5)+'LINEST VARS'!$B$54*($EQ$32*$DV47)+'LINEST VARS'!$A$54*(0.5*$DV47)</f>
        <v>3.9749999999999996</v>
      </c>
    </row>
    <row r="48" spans="2:147" ht="15" customHeight="1" x14ac:dyDescent="0.25">
      <c r="B48" s="45">
        <v>8.3000000000000007</v>
      </c>
      <c r="C48" s="51">
        <f>'LINEST VARS'!$U$52+'LINEST VARS'!$T$52*($C$32)+'LINEST VARS'!$S$52*($B48)+'LINEST VARS'!$R$52*(4)+'LINEST VARS'!$Q$52*(0.5)+'LINEST VARS'!$P$52*(12.73)+'LINEST VARS'!$O$52*($C$32^2)+'LINEST VARS'!$N$52*($B48^2)+'LINEST VARS'!$M$52*(4^2)+'LINEST VARS'!$L$52*(0.5^2)+'LINEST VARS'!$K$52*(12.73^2)+'LINEST VARS'!$J$52*($C$32*$B48)+'LINEST VARS'!$I$52*($C$32*4)+'LINEST VARS'!$H$52*($C$32*0.5)+'LINEST VARS'!$G$52*($C$32*12.73)+'LINEST VARS'!$F$52*($B48*4)+'LINEST VARS'!$E$52*($B48*0.5)+'LINEST VARS'!$D$52*($B48*12.73)+'LINEST VARS'!$C$52*(4*0.5)+'LINEST VARS'!$B$52*(4*12.73)+'LINEST VARS'!$A$52*(0.5*12.73)</f>
        <v>4.4499999999999984</v>
      </c>
      <c r="D48" s="51">
        <f>'LINEST VARS'!$U$52+'LINEST VARS'!$T$52*($D$32)+'LINEST VARS'!$S$52*($B48)+'LINEST VARS'!$R$52*(4)+'LINEST VARS'!$Q$52*(0.5)+'LINEST VARS'!$P$52*(12.73)+'LINEST VARS'!$O$52*($D$32^2)+'LINEST VARS'!$N$52*($B48^2)+'LINEST VARS'!$M$52*(4^2)+'LINEST VARS'!$L$52*(0.5^2)+'LINEST VARS'!$K$52*(12.73^2)+'LINEST VARS'!$J$52*($D$32*$B48)+'LINEST VARS'!$I$52*($D$32*4)+'LINEST VARS'!$H$52*($D$32*0.5)+'LINEST VARS'!$G$52*($D$32*12.73)+'LINEST VARS'!$F$52*($B48*4)+'LINEST VARS'!$E$52*($B48*0.5)+'LINEST VARS'!$D$52*($B48*12.73)+'LINEST VARS'!$C$52*(4*0.5)+'LINEST VARS'!$B$52*(4*12.73)+'LINEST VARS'!$A$52*(0.5*12.73)</f>
        <v>4.4499999999999984</v>
      </c>
      <c r="E48" s="51">
        <f>'LINEST VARS'!$U$52+'LINEST VARS'!$T$52*($E$32)+'LINEST VARS'!$S$52*($B48)+'LINEST VARS'!$R$52*(4)+'LINEST VARS'!$Q$52*(0.5)+'LINEST VARS'!$P$52*(12.73)+'LINEST VARS'!$O$52*($E$32^2)+'LINEST VARS'!$N$52*($B48^2)+'LINEST VARS'!$M$52*(4^2)+'LINEST VARS'!$L$52*(0.5^2)+'LINEST VARS'!$K$52*(12.73^2)+'LINEST VARS'!$J$52*($E$32*$B48)+'LINEST VARS'!$I$52*($E$32*4)+'LINEST VARS'!$H$52*($E$32*0.5)+'LINEST VARS'!$G$52*($E$32*12.73)+'LINEST VARS'!$F$52*($B48*4)+'LINEST VARS'!$E$52*($B48*0.5)+'LINEST VARS'!$D$52*($B48*12.73)+'LINEST VARS'!$C$52*(4*0.5)+'LINEST VARS'!$B$52*(4*12.73)+'LINEST VARS'!$A$52*(0.5*12.73)</f>
        <v>4.4499999999999984</v>
      </c>
      <c r="F48" s="51">
        <f>'LINEST VARS'!$U$52+'LINEST VARS'!$T$52*($F$32)+'LINEST VARS'!$S$52*($B48)+'LINEST VARS'!$R$52*(4)+'LINEST VARS'!$Q$52*(0.5)+'LINEST VARS'!$P$52*(12.73)+'LINEST VARS'!$O$52*($F$32^2)+'LINEST VARS'!$N$52*($B48^2)+'LINEST VARS'!$M$52*(4^2)+'LINEST VARS'!$L$52*(0.5^2)+'LINEST VARS'!$K$52*(12.73^2)+'LINEST VARS'!$J$52*($F$32*$B48)+'LINEST VARS'!$I$52*($F$32*4)+'LINEST VARS'!$H$52*($F$32*0.5)+'LINEST VARS'!$G$52*($F$32*12.73)+'LINEST VARS'!$F$52*($B48*4)+'LINEST VARS'!$E$52*($B48*0.5)+'LINEST VARS'!$D$52*($B48*12.73)+'LINEST VARS'!$C$52*(4*0.5)+'LINEST VARS'!$B$52*(4*12.73)+'LINEST VARS'!$A$52*(0.5*12.73)</f>
        <v>4.4499999999999984</v>
      </c>
      <c r="G48" s="51">
        <f>'LINEST VARS'!$U$52+'LINEST VARS'!$T$52*($G$32)+'LINEST VARS'!$S$52*($B48)+'LINEST VARS'!$R$52*(4)+'LINEST VARS'!$Q$52*(0.5)+'LINEST VARS'!$P$52*(12.73)+'LINEST VARS'!$O$52*($G$32^2)+'LINEST VARS'!$N$52*($B48^2)+'LINEST VARS'!$M$52*(4^2)+'LINEST VARS'!$L$52*(0.5^2)+'LINEST VARS'!$K$52*(12.73^2)+'LINEST VARS'!$J$52*($G$32*$B48)+'LINEST VARS'!$I$52*($G$32*4)+'LINEST VARS'!$H$52*($G$32*0.5)+'LINEST VARS'!$G$52*($G$32*12.73)+'LINEST VARS'!$F$52*($B48*4)+'LINEST VARS'!$E$52*($B48*0.5)+'LINEST VARS'!$D$52*($B48*12.73)+'LINEST VARS'!$C$52*(4*0.5)+'LINEST VARS'!$B$52*(4*12.73)+'LINEST VARS'!$A$52*(0.5*12.73)</f>
        <v>4.4499999999999984</v>
      </c>
      <c r="H48" s="51">
        <f>'LINEST VARS'!$U$52+'LINEST VARS'!$T$52*($H$32)+'LINEST VARS'!$S$52*($B48)+'LINEST VARS'!$R$52*(4)+'LINEST VARS'!$Q$52*(0.5)+'LINEST VARS'!$P$52*(12.73)+'LINEST VARS'!$O$52*($H$32^2)+'LINEST VARS'!$N$52*($B48^2)+'LINEST VARS'!$M$52*(4^2)+'LINEST VARS'!$L$52*(0.5^2)+'LINEST VARS'!$K$52*(12.73^2)+'LINEST VARS'!$J$52*($H$32*$B48)+'LINEST VARS'!$I$52*($H$32*4)+'LINEST VARS'!$H$52*($H$32*0.5)+'LINEST VARS'!$G$52*($H$32*12.73)+'LINEST VARS'!$F$52*($B48*4)+'LINEST VARS'!$E$52*($B48*0.5)+'LINEST VARS'!$D$52*($B48*12.73)+'LINEST VARS'!$C$52*(4*0.5)+'LINEST VARS'!$B$52*(4*12.73)+'LINEST VARS'!$A$52*(0.5*12.73)</f>
        <v>4.4499999999999984</v>
      </c>
      <c r="I48" s="51">
        <f>'LINEST VARS'!$U$52+'LINEST VARS'!$T$52*($I$32)+'LINEST VARS'!$S$52*($B48)+'LINEST VARS'!$R$52*(4)+'LINEST VARS'!$Q$52*(0.5)+'LINEST VARS'!$P$52*(12.73)+'LINEST VARS'!$O$52*($I$32^2)+'LINEST VARS'!$N$52*($B48^2)+'LINEST VARS'!$M$52*(4^2)+'LINEST VARS'!$L$52*(0.5^2)+'LINEST VARS'!$K$52*(12.73^2)+'LINEST VARS'!$J$52*($I$32*$B48)+'LINEST VARS'!$I$52*($I$32*4)+'LINEST VARS'!$H$52*($I$32*0.5)+'LINEST VARS'!$G$52*($I$32*12.73)+'LINEST VARS'!$F$52*($B48*4)+'LINEST VARS'!$E$52*($B48*0.5)+'LINEST VARS'!$D$52*($B48*12.73)+'LINEST VARS'!$C$52*(4*0.5)+'LINEST VARS'!$B$52*(4*12.73)+'LINEST VARS'!$A$52*(0.5*12.73)</f>
        <v>4.4499999999999984</v>
      </c>
      <c r="J48" s="51">
        <f>'LINEST VARS'!$U$52+'LINEST VARS'!$T$52*($J$32)+'LINEST VARS'!$S$52*($B48)+'LINEST VARS'!$R$52*(4)+'LINEST VARS'!$Q$52*(0.5)+'LINEST VARS'!$P$52*(12.73)+'LINEST VARS'!$O$52*($J$32^2)+'LINEST VARS'!$N$52*($B48^2)+'LINEST VARS'!$M$52*(4^2)+'LINEST VARS'!$L$52*(0.5^2)+'LINEST VARS'!$K$52*(12.73^2)+'LINEST VARS'!$J$52*($J$32*$B48)+'LINEST VARS'!$I$52*($J$32*4)+'LINEST VARS'!$H$52*($J$32*0.5)+'LINEST VARS'!$G$52*($J$32*12.73)+'LINEST VARS'!$F$52*($B48*4)+'LINEST VARS'!$E$52*($B48*0.5)+'LINEST VARS'!$D$52*($B48*12.73)+'LINEST VARS'!$C$52*(4*0.5)+'LINEST VARS'!$B$52*(4*12.73)+'LINEST VARS'!$A$52*(0.5*12.73)</f>
        <v>4.4499999999999984</v>
      </c>
      <c r="K48" s="51">
        <f>'LINEST VARS'!$U$52+'LINEST VARS'!$T$52*($K$32)+'LINEST VARS'!$S$52*($B48)+'LINEST VARS'!$R$52*(4)+'LINEST VARS'!$Q$52*(0.5)+'LINEST VARS'!$P$52*(12.73)+'LINEST VARS'!$O$52*($K$32^2)+'LINEST VARS'!$N$52*($B48^2)+'LINEST VARS'!$M$52*(4^2)+'LINEST VARS'!$L$52*(0.5^2)+'LINEST VARS'!$K$52*(12.73^2)+'LINEST VARS'!$J$52*($K$32*$B48)+'LINEST VARS'!$I$52*($K$32*4)+'LINEST VARS'!$H$52*($K$32*0.5)+'LINEST VARS'!$G$52*($K$32*12.73)+'LINEST VARS'!$F$52*($B48*4)+'LINEST VARS'!$E$52*($B48*0.5)+'LINEST VARS'!$D$52*($B48*12.73)+'LINEST VARS'!$C$52*(4*0.5)+'LINEST VARS'!$B$52*(4*12.73)+'LINEST VARS'!$A$52*(0.5*12.73)</f>
        <v>4.4499999999999984</v>
      </c>
      <c r="L48" s="51">
        <f>'LINEST VARS'!$U$52+'LINEST VARS'!$T$52*($L$32)+'LINEST VARS'!$S$52*($B48)+'LINEST VARS'!$R$52*(4)+'LINEST VARS'!$Q$52*(0.5)+'LINEST VARS'!$P$52*(12.73)+'LINEST VARS'!$O$52*($L$32^2)+'LINEST VARS'!$N$52*($B48^2)+'LINEST VARS'!$M$52*(4^2)+'LINEST VARS'!$L$52*(0.5^2)+'LINEST VARS'!$K$52*(12.73^2)+'LINEST VARS'!$J$52*($L$32*$B48)+'LINEST VARS'!$I$52*($L$32*4)+'LINEST VARS'!$H$52*($L$32*0.5)+'LINEST VARS'!$G$52*($L$32*12.73)+'LINEST VARS'!$F$52*($B48*4)+'LINEST VARS'!$E$52*($B48*0.5)+'LINEST VARS'!$D$52*($B48*12.73)+'LINEST VARS'!$C$52*(4*0.5)+'LINEST VARS'!$B$52*(4*12.73)+'LINEST VARS'!$A$52*(0.5*12.73)</f>
        <v>4.4499999999999984</v>
      </c>
      <c r="M48" s="51">
        <f>'LINEST VARS'!$U$52+'LINEST VARS'!$T$52*($M$32)+'LINEST VARS'!$S$52*($B48)+'LINEST VARS'!$R$52*(4)+'LINEST VARS'!$Q$52*(0.5)+'LINEST VARS'!$P$52*(12.73)+'LINEST VARS'!$O$52*($M$32^2)+'LINEST VARS'!$N$52*($B48^2)+'LINEST VARS'!$M$52*(4^2)+'LINEST VARS'!$L$52*(0.5^2)+'LINEST VARS'!$K$52*(12.73^2)+'LINEST VARS'!$J$52*($M$32*$B48)+'LINEST VARS'!$I$52*($M$32*4)+'LINEST VARS'!$H$52*($M$32*0.5)+'LINEST VARS'!$G$52*($M$32*12.73)+'LINEST VARS'!$F$52*($B48*4)+'LINEST VARS'!$E$52*($B48*0.5)+'LINEST VARS'!$D$52*($B48*12.73)+'LINEST VARS'!$C$52*(4*0.5)+'LINEST VARS'!$B$52*(4*12.73)+'LINEST VARS'!$A$52*(0.5*12.73)</f>
        <v>4.4499999999999984</v>
      </c>
      <c r="N48" s="51">
        <f>'LINEST VARS'!$U$52+'LINEST VARS'!$T$52*($N$32)+'LINEST VARS'!$S$52*($B48)+'LINEST VARS'!$R$52*(4)+'LINEST VARS'!$Q$52*(0.5)+'LINEST VARS'!$P$52*(12.73)+'LINEST VARS'!$O$52*($N$32^2)+'LINEST VARS'!$N$52*($B48^2)+'LINEST VARS'!$M$52*(4^2)+'LINEST VARS'!$L$52*(0.5^2)+'LINEST VARS'!$K$52*(12.73^2)+'LINEST VARS'!$J$52*($N$32*$B48)+'LINEST VARS'!$I$52*($N$32*4)+'LINEST VARS'!$H$52*($N$32*0.5)+'LINEST VARS'!$G$52*($N$32*12.73)+'LINEST VARS'!$F$52*($B48*4)+'LINEST VARS'!$E$52*($B48*0.5)+'LINEST VARS'!$D$52*($B48*12.73)+'LINEST VARS'!$C$52*(4*0.5)+'LINEST VARS'!$B$52*(4*12.73)+'LINEST VARS'!$A$52*(0.5*12.73)</f>
        <v>4.4499999999999984</v>
      </c>
      <c r="O48" s="51">
        <f>'LINEST VARS'!$U$52+'LINEST VARS'!$T$52*($O$32)+'LINEST VARS'!$S$52*($B48)+'LINEST VARS'!$R$52*(4)+'LINEST VARS'!$Q$52*(0.5)+'LINEST VARS'!$P$52*(12.73)+'LINEST VARS'!$O$52*($O$32^2)+'LINEST VARS'!$N$52*($B48^2)+'LINEST VARS'!$M$52*(4^2)+'LINEST VARS'!$L$52*(0.5^2)+'LINEST VARS'!$K$52*(12.73^2)+'LINEST VARS'!$J$52*($O$32*$B48)+'LINEST VARS'!$I$52*($O$32*4)+'LINEST VARS'!$H$52*($O$32*0.5)+'LINEST VARS'!$G$52*($O$32*12.73)+'LINEST VARS'!$F$52*($B48*4)+'LINEST VARS'!$E$52*($B48*0.5)+'LINEST VARS'!$D$52*($B48*12.73)+'LINEST VARS'!$C$52*(4*0.5)+'LINEST VARS'!$B$52*(4*12.73)+'LINEST VARS'!$A$52*(0.5*12.73)</f>
        <v>4.4499999999999984</v>
      </c>
      <c r="P48" s="51">
        <f>'LINEST VARS'!$U$52+'LINEST VARS'!$T$52*($P$32)+'LINEST VARS'!$S$52*($B48)+'LINEST VARS'!$R$52*(4)+'LINEST VARS'!$Q$52*(0.5)+'LINEST VARS'!$P$52*(12.73)+'LINEST VARS'!$O$52*($P$32^2)+'LINEST VARS'!$N$52*($B48^2)+'LINEST VARS'!$M$52*(4^2)+'LINEST VARS'!$L$52*(0.5^2)+'LINEST VARS'!$K$52*(12.73^2)+'LINEST VARS'!$J$52*($P$32*$B48)+'LINEST VARS'!$I$52*($P$32*4)+'LINEST VARS'!$H$52*($P$32*0.5)+'LINEST VARS'!$G$52*($P$32*12.73)+'LINEST VARS'!$F$52*($B48*4)+'LINEST VARS'!$E$52*($B48*0.5)+'LINEST VARS'!$D$52*($B48*12.73)+'LINEST VARS'!$C$52*(4*0.5)+'LINEST VARS'!$B$52*(4*12.73)+'LINEST VARS'!$A$52*(0.5*12.73)</f>
        <v>4.4499999999999984</v>
      </c>
      <c r="Q48" s="51">
        <f>'LINEST VARS'!$U$52+'LINEST VARS'!$T$52*($Q$32)+'LINEST VARS'!$S$52*($B48)+'LINEST VARS'!$R$52*(4)+'LINEST VARS'!$Q$52*(0.5)+'LINEST VARS'!$P$52*(12.73)+'LINEST VARS'!$O$52*($Q$32^2)+'LINEST VARS'!$N$52*($B48^2)+'LINEST VARS'!$M$52*(4^2)+'LINEST VARS'!$L$52*(0.5^2)+'LINEST VARS'!$K$52*(12.73^2)+'LINEST VARS'!$J$52*($Q$32*$B48)+'LINEST VARS'!$I$52*($Q$32*4)+'LINEST VARS'!$H$52*($Q$32*0.5)+'LINEST VARS'!$G$52*($Q$32*12.73)+'LINEST VARS'!$F$52*($B48*4)+'LINEST VARS'!$E$52*($B48*0.5)+'LINEST VARS'!$D$52*($B48*12.73)+'LINEST VARS'!$C$52*(4*0.5)+'LINEST VARS'!$B$52*(4*12.73)+'LINEST VARS'!$A$52*(0.5*12.73)</f>
        <v>4.4499999999999984</v>
      </c>
      <c r="R48" s="51">
        <f>'LINEST VARS'!$U$52+'LINEST VARS'!$T$52*($R$32)+'LINEST VARS'!$S$52*($B48)+'LINEST VARS'!$R$52*(4)+'LINEST VARS'!$Q$52*(0.5)+'LINEST VARS'!$P$52*(12.73)+'LINEST VARS'!$O$52*($R$32^2)+'LINEST VARS'!$N$52*($B48^2)+'LINEST VARS'!$M$52*(4^2)+'LINEST VARS'!$L$52*(0.5^2)+'LINEST VARS'!$K$52*(12.73^2)+'LINEST VARS'!$J$52*($R$32*$B48)+'LINEST VARS'!$I$52*($R$32*4)+'LINEST VARS'!$H$52*($R$32*0.5)+'LINEST VARS'!$G$52*($R$32*12.73)+'LINEST VARS'!$F$52*($B48*4)+'LINEST VARS'!$E$52*($B48*0.5)+'LINEST VARS'!$D$52*($B48*12.73)+'LINEST VARS'!$C$52*(4*0.5)+'LINEST VARS'!$B$52*(4*12.73)+'LINEST VARS'!$A$52*(0.5*12.73)</f>
        <v>4.4499999999999984</v>
      </c>
      <c r="S48" s="51">
        <f>'LINEST VARS'!$U$52+'LINEST VARS'!$T$52*($S$32)+'LINEST VARS'!$S$52*($B48)+'LINEST VARS'!$R$52*(4)+'LINEST VARS'!$Q$52*(0.5)+'LINEST VARS'!$P$52*(12.73)+'LINEST VARS'!$O$52*($S$32^2)+'LINEST VARS'!$N$52*($B48^2)+'LINEST VARS'!$M$52*(4^2)+'LINEST VARS'!$L$52*(0.5^2)+'LINEST VARS'!$K$52*(12.73^2)+'LINEST VARS'!$J$52*($S$32*$B48)+'LINEST VARS'!$I$52*($S$32*4)+'LINEST VARS'!$H$52*($S$32*0.5)+'LINEST VARS'!$G$52*($S$32*12.73)+'LINEST VARS'!$F$52*($B48*4)+'LINEST VARS'!$E$52*($B48*0.5)+'LINEST VARS'!$D$52*($B48*12.73)+'LINEST VARS'!$C$52*(4*0.5)+'LINEST VARS'!$B$52*(4*12.73)+'LINEST VARS'!$A$52*(0.5*12.73)</f>
        <v>4.4499999999999984</v>
      </c>
      <c r="T48" s="51">
        <f>'LINEST VARS'!$U$52+'LINEST VARS'!$T$52*($T$32)+'LINEST VARS'!$S$52*($B48)+'LINEST VARS'!$R$52*(4)+'LINEST VARS'!$Q$52*(0.5)+'LINEST VARS'!$P$52*(12.73)+'LINEST VARS'!$O$52*($T$32^2)+'LINEST VARS'!$N$52*($B48^2)+'LINEST VARS'!$M$52*(4^2)+'LINEST VARS'!$L$52*(0.5^2)+'LINEST VARS'!$K$52*(12.73^2)+'LINEST VARS'!$J$52*($T$32*$B48)+'LINEST VARS'!$I$52*($T$32*4)+'LINEST VARS'!$H$52*($T$32*0.5)+'LINEST VARS'!$G$52*($T$32*12.73)+'LINEST VARS'!$F$52*($B48*4)+'LINEST VARS'!$E$52*($B48*0.5)+'LINEST VARS'!$D$52*($B48*12.73)+'LINEST VARS'!$C$52*(4*0.5)+'LINEST VARS'!$B$52*(4*12.73)+'LINEST VARS'!$A$52*(0.5*12.73)</f>
        <v>4.4499999999999984</v>
      </c>
      <c r="U48" s="51">
        <f>'LINEST VARS'!$U$52+'LINEST VARS'!$T$52*($U$32)+'LINEST VARS'!$S$52*($B48)+'LINEST VARS'!$R$52*(4)+'LINEST VARS'!$Q$52*(0.5)+'LINEST VARS'!$P$52*(12.73)+'LINEST VARS'!$O$52*($U$32^2)+'LINEST VARS'!$N$52*($B48^2)+'LINEST VARS'!$M$52*(4^2)+'LINEST VARS'!$L$52*(0.5^2)+'LINEST VARS'!$K$52*(12.73^2)+'LINEST VARS'!$J$52*($U$32*$B48)+'LINEST VARS'!$I$52*($U$32*4)+'LINEST VARS'!$H$52*($U$32*0.5)+'LINEST VARS'!$G$52*($U$32*12.73)+'LINEST VARS'!$F$52*($B48*4)+'LINEST VARS'!$E$52*($B48*0.5)+'LINEST VARS'!$D$52*($B48*12.73)+'LINEST VARS'!$C$52*(4*0.5)+'LINEST VARS'!$B$52*(4*12.73)+'LINEST VARS'!$A$52*(0.5*12.73)</f>
        <v>4.4499999999999984</v>
      </c>
      <c r="V48" s="51">
        <f>'LINEST VARS'!$U$52+'LINEST VARS'!$T$52*($V$32)+'LINEST VARS'!$S$52*($B48)+'LINEST VARS'!$R$52*(4)+'LINEST VARS'!$Q$52*(0.5)+'LINEST VARS'!$P$52*(12.73)+'LINEST VARS'!$O$52*($V$32^2)+'LINEST VARS'!$N$52*($B48^2)+'LINEST VARS'!$M$52*(4^2)+'LINEST VARS'!$L$52*(0.5^2)+'LINEST VARS'!$K$52*(12.73^2)+'LINEST VARS'!$J$52*($V$32*$B48)+'LINEST VARS'!$I$52*($V$32*4)+'LINEST VARS'!$H$52*($V$32*0.5)+'LINEST VARS'!$G$52*($V$32*12.73)+'LINEST VARS'!$F$52*($B48*4)+'LINEST VARS'!$E$52*($B48*0.5)+'LINEST VARS'!$D$52*($B48*12.73)+'LINEST VARS'!$C$52*(4*0.5)+'LINEST VARS'!$B$52*(4*12.73)+'LINEST VARS'!$A$52*(0.5*12.73)</f>
        <v>4.4499999999999993</v>
      </c>
      <c r="W48" s="52">
        <f>'LINEST VARS'!$U$52+'LINEST VARS'!$T$52*($W$32)+'LINEST VARS'!$S$52*($B48)+'LINEST VARS'!$R$52*(4)+'LINEST VARS'!$Q$52*(0.5)+'LINEST VARS'!$P$52*(12.73)+'LINEST VARS'!$O$52*($W$32^2)+'LINEST VARS'!$N$52*($B48^2)+'LINEST VARS'!$M$52*(4^2)+'LINEST VARS'!$L$52*(0.5^2)+'LINEST VARS'!$K$52*(12.73^2)+'LINEST VARS'!$J$52*($W$32*$B48)+'LINEST VARS'!$I$52*($W$32*4)+'LINEST VARS'!$H$52*($W$32*0.5)+'LINEST VARS'!$G$52*($W$32*12.73)+'LINEST VARS'!$F$52*($B48*4)+'LINEST VARS'!$E$52*($B48*0.5)+'LINEST VARS'!$D$52*($B48*12.73)+'LINEST VARS'!$C$52*(4*0.5)+'LINEST VARS'!$B$52*(4*12.73)+'LINEST VARS'!$A$52*(0.5*12.73)</f>
        <v>4.4499999999999993</v>
      </c>
      <c r="Z48" s="45">
        <v>8.3000000000000007</v>
      </c>
      <c r="AA48" s="51">
        <f>'LINEST VARS'!$U$54+'LINEST VARS'!$T$54*($AA$32)+'LINEST VARS'!$S$54*($Z48)+'LINEST VARS'!$R$54*(4)+'LINEST VARS'!$Q$54*(0.5)+'LINEST VARS'!$P$54*(12.73)+'LINEST VARS'!$O$54*($AA$32^2)+'LINEST VARS'!$N$54*($Z48^2)+'LINEST VARS'!$M$54*(4^2)+'LINEST VARS'!$L$54*(0.5^2)+'LINEST VARS'!$K$54*(12.73^2)+'LINEST VARS'!$J$54*($AA$32*$Z48)+'LINEST VARS'!$I$54*($AA$32*4)+'LINEST VARS'!$H$54*($AA$32*0.5)+'LINEST VARS'!$G$54*($AA$32*12.73)+'LINEST VARS'!$F$54*($Z48*4)+'LINEST VARS'!$E$54*($Z48*0.5)+'LINEST VARS'!$D$54*($Z48*12.73)+'LINEST VARS'!$C$54*(4*0.5)+'LINEST VARS'!$B$54*(4*12.73)+'LINEST VARS'!$A$54*(0.5*12.73)</f>
        <v>3.9749999999999996</v>
      </c>
      <c r="AB48" s="51">
        <f>'LINEST VARS'!$U$54+'LINEST VARS'!$T$54*($AB$32)+'LINEST VARS'!$S$54*($Z48)+'LINEST VARS'!$R$54*(4)+'LINEST VARS'!$Q$54*(0.5)+'LINEST VARS'!$P$54*(12.73)+'LINEST VARS'!$O$54*($AB$32^2)+'LINEST VARS'!$N$54*($Z48^2)+'LINEST VARS'!$M$54*(4^2)+'LINEST VARS'!$L$54*(0.5^2)+'LINEST VARS'!$K$54*(12.73^2)+'LINEST VARS'!$J$54*($AB$32*$Z48)+'LINEST VARS'!$I$54*($AB$32*4)+'LINEST VARS'!$H$54*($AB$32*0.5)+'LINEST VARS'!$G$54*($AB$32*12.73)+'LINEST VARS'!$F$54*($Z48*4)+'LINEST VARS'!$E$54*($Z48*0.5)+'LINEST VARS'!$D$54*($Z48*12.73)+'LINEST VARS'!$C$54*(4*0.5)+'LINEST VARS'!$B$54*(4*12.73)+'LINEST VARS'!$A$54*(0.5*12.73)</f>
        <v>3.9749999999999996</v>
      </c>
      <c r="AC48" s="51">
        <f>'LINEST VARS'!$U$54+'LINEST VARS'!$T$54*($AC$32)+'LINEST VARS'!$S$54*($Z48)+'LINEST VARS'!$R$54*(4)+'LINEST VARS'!$Q$54*(0.5)+'LINEST VARS'!$P$54*(12.73)+'LINEST VARS'!$O$54*($AC$32^2)+'LINEST VARS'!$N$54*($Z48^2)+'LINEST VARS'!$M$54*(4^2)+'LINEST VARS'!$L$54*(0.5^2)+'LINEST VARS'!$K$54*(12.73^2)+'LINEST VARS'!$J$54*($AC$32*$Z48)+'LINEST VARS'!$I$54*($AC$32*4)+'LINEST VARS'!$H$54*($AC$32*0.5)+'LINEST VARS'!$G$54*($AC$32*12.73)+'LINEST VARS'!$F$54*($Z48*4)+'LINEST VARS'!$E$54*($Z48*0.5)+'LINEST VARS'!$D$54*($Z48*12.73)+'LINEST VARS'!$C$54*(4*0.5)+'LINEST VARS'!$B$54*(4*12.73)+'LINEST VARS'!$A$54*(0.5*12.73)</f>
        <v>3.9749999999999996</v>
      </c>
      <c r="AD48" s="51">
        <f>'LINEST VARS'!$U$54+'LINEST VARS'!$T$54*($AD$32)+'LINEST VARS'!$S$54*($Z48)+'LINEST VARS'!$R$54*(4)+'LINEST VARS'!$Q$54*(0.5)+'LINEST VARS'!$P$54*(12.73)+'LINEST VARS'!$O$54*($AD$32^2)+'LINEST VARS'!$N$54*($Z48^2)+'LINEST VARS'!$M$54*(4^2)+'LINEST VARS'!$L$54*(0.5^2)+'LINEST VARS'!$K$54*(12.73^2)+'LINEST VARS'!$J$54*($AD$32*$Z48)+'LINEST VARS'!$I$54*($AD$32*4)+'LINEST VARS'!$H$54*($AD$32*0.5)+'LINEST VARS'!$G$54*($AD$32*12.73)+'LINEST VARS'!$F$54*($Z48*4)+'LINEST VARS'!$E$54*($Z48*0.5)+'LINEST VARS'!$D$54*($Z48*12.73)+'LINEST VARS'!$C$54*(4*0.5)+'LINEST VARS'!$B$54*(4*12.73)+'LINEST VARS'!$A$54*(0.5*12.73)</f>
        <v>3.9749999999999996</v>
      </c>
      <c r="AE48" s="51">
        <f>'LINEST VARS'!$U$54+'LINEST VARS'!$T$54*($AE$32)+'LINEST VARS'!$S$54*($Z48)+'LINEST VARS'!$R$54*(4)+'LINEST VARS'!$Q$54*(0.5)+'LINEST VARS'!$P$54*(12.73)+'LINEST VARS'!$O$54*($AE$32^2)+'LINEST VARS'!$N$54*($Z48^2)+'LINEST VARS'!$M$54*(4^2)+'LINEST VARS'!$L$54*(0.5^2)+'LINEST VARS'!$K$54*(12.73^2)+'LINEST VARS'!$J$54*($AE$32*$Z48)+'LINEST VARS'!$I$54*($AE$32*4)+'LINEST VARS'!$H$54*($AE$32*0.5)+'LINEST VARS'!$G$54*($AE$32*12.73)+'LINEST VARS'!$F$54*($Z48*4)+'LINEST VARS'!$E$54*($Z48*0.5)+'LINEST VARS'!$D$54*($Z48*12.73)+'LINEST VARS'!$C$54*(4*0.5)+'LINEST VARS'!$B$54*(4*12.73)+'LINEST VARS'!$A$54*(0.5*12.73)</f>
        <v>3.9749999999999996</v>
      </c>
      <c r="AF48" s="51">
        <f>'LINEST VARS'!$U$54+'LINEST VARS'!$T$54*($AF$32)+'LINEST VARS'!$S$54*($Z48)+'LINEST VARS'!$R$54*(4)+'LINEST VARS'!$Q$54*(0.5)+'LINEST VARS'!$P$54*(12.73)+'LINEST VARS'!$O$54*($AF$32^2)+'LINEST VARS'!$N$54*($Z48^2)+'LINEST VARS'!$M$54*(4^2)+'LINEST VARS'!$L$54*(0.5^2)+'LINEST VARS'!$K$54*(12.73^2)+'LINEST VARS'!$J$54*($AF$32*$Z48)+'LINEST VARS'!$I$54*($AF$32*4)+'LINEST VARS'!$H$54*($AF$32*0.5)+'LINEST VARS'!$G$54*($AF$32*12.73)+'LINEST VARS'!$F$54*($Z48*4)+'LINEST VARS'!$E$54*($Z48*0.5)+'LINEST VARS'!$D$54*($Z48*12.73)+'LINEST VARS'!$C$54*(4*0.5)+'LINEST VARS'!$B$54*(4*12.73)+'LINEST VARS'!$A$54*(0.5*12.73)</f>
        <v>3.9749999999999996</v>
      </c>
      <c r="AG48" s="51">
        <f>'LINEST VARS'!$U$54+'LINEST VARS'!$T$54*($AG$32)+'LINEST VARS'!$S$54*($Z48)+'LINEST VARS'!$R$54*(4)+'LINEST VARS'!$Q$54*(0.5)+'LINEST VARS'!$P$54*(12.73)+'LINEST VARS'!$O$54*($AG$32^2)+'LINEST VARS'!$N$54*($Z48^2)+'LINEST VARS'!$M$54*(4^2)+'LINEST VARS'!$L$54*(0.5^2)+'LINEST VARS'!$K$54*(12.73^2)+'LINEST VARS'!$J$54*($AG$32*$Z48)+'LINEST VARS'!$I$54*($AG$32*4)+'LINEST VARS'!$H$54*($AG$32*0.5)+'LINEST VARS'!$G$54*($AG$32*12.73)+'LINEST VARS'!$F$54*($Z48*4)+'LINEST VARS'!$E$54*($Z48*0.5)+'LINEST VARS'!$D$54*($Z48*12.73)+'LINEST VARS'!$C$54*(4*0.5)+'LINEST VARS'!$B$54*(4*12.73)+'LINEST VARS'!$A$54*(0.5*12.73)</f>
        <v>3.9749999999999996</v>
      </c>
      <c r="AH48" s="51">
        <f>'LINEST VARS'!$U$54+'LINEST VARS'!$T$54*($AH$32)+'LINEST VARS'!$S$54*($Z48)+'LINEST VARS'!$R$54*(4)+'LINEST VARS'!$Q$54*(0.5)+'LINEST VARS'!$P$54*(12.73)+'LINEST VARS'!$O$54*($AH$32^2)+'LINEST VARS'!$N$54*($Z48^2)+'LINEST VARS'!$M$54*(4^2)+'LINEST VARS'!$L$54*(0.5^2)+'LINEST VARS'!$K$54*(12.73^2)+'LINEST VARS'!$J$54*($AH$32*$Z48)+'LINEST VARS'!$I$54*($AH$32*4)+'LINEST VARS'!$H$54*($AH$32*0.5)+'LINEST VARS'!$G$54*($AH$32*12.73)+'LINEST VARS'!$F$54*($Z48*4)+'LINEST VARS'!$E$54*($Z48*0.5)+'LINEST VARS'!$D$54*($Z48*12.73)+'LINEST VARS'!$C$54*(4*0.5)+'LINEST VARS'!$B$54*(4*12.73)+'LINEST VARS'!$A$54*(0.5*12.73)</f>
        <v>3.9749999999999996</v>
      </c>
      <c r="AI48" s="51">
        <f>'LINEST VARS'!$U$54+'LINEST VARS'!$T$54*($AI$32)+'LINEST VARS'!$S$54*($Z48)+'LINEST VARS'!$R$54*(4)+'LINEST VARS'!$Q$54*(0.5)+'LINEST VARS'!$P$54*(12.73)+'LINEST VARS'!$O$54*($AI$32^2)+'LINEST VARS'!$N$54*($Z48^2)+'LINEST VARS'!$M$54*(4^2)+'LINEST VARS'!$L$54*(0.5^2)+'LINEST VARS'!$K$54*(12.73^2)+'LINEST VARS'!$J$54*($AI$32*$Z48)+'LINEST VARS'!$I$54*($AI$32*4)+'LINEST VARS'!$H$54*($AI$32*0.5)+'LINEST VARS'!$G$54*($AI$32*12.73)+'LINEST VARS'!$F$54*($Z48*4)+'LINEST VARS'!$E$54*($Z48*0.5)+'LINEST VARS'!$D$54*($Z48*12.73)+'LINEST VARS'!$C$54*(4*0.5)+'LINEST VARS'!$B$54*(4*12.73)+'LINEST VARS'!$A$54*(0.5*12.73)</f>
        <v>3.9749999999999996</v>
      </c>
      <c r="AJ48" s="51">
        <f>'LINEST VARS'!$U$54+'LINEST VARS'!$T$54*($AJ$32)+'LINEST VARS'!$S$54*($Z48)+'LINEST VARS'!$R$54*(4)+'LINEST VARS'!$Q$54*(0.5)+'LINEST VARS'!$P$54*(12.73)+'LINEST VARS'!$O$54*($AJ$32^2)+'LINEST VARS'!$N$54*($Z48^2)+'LINEST VARS'!$M$54*(4^2)+'LINEST VARS'!$L$54*(0.5^2)+'LINEST VARS'!$K$54*(12.73^2)+'LINEST VARS'!$J$54*($AJ$32*$Z48)+'LINEST VARS'!$I$54*($AJ$32*4)+'LINEST VARS'!$H$54*($AJ$32*0.5)+'LINEST VARS'!$G$54*($AJ$32*12.73)+'LINEST VARS'!$F$54*($Z48*4)+'LINEST VARS'!$E$54*($Z48*0.5)+'LINEST VARS'!$D$54*($Z48*12.73)+'LINEST VARS'!$C$54*(4*0.5)+'LINEST VARS'!$B$54*(4*12.73)+'LINEST VARS'!$A$54*(0.5*12.73)</f>
        <v>3.9749999999999996</v>
      </c>
      <c r="AK48" s="51">
        <f>'LINEST VARS'!$U$54+'LINEST VARS'!$T$54*($AK$32)+'LINEST VARS'!$S$54*($Z48)+'LINEST VARS'!$R$54*(4)+'LINEST VARS'!$Q$54*(0.5)+'LINEST VARS'!$P$54*(12.73)+'LINEST VARS'!$O$54*($AK$32^2)+'LINEST VARS'!$N$54*($Z48^2)+'LINEST VARS'!$M$54*(4^2)+'LINEST VARS'!$L$54*(0.5^2)+'LINEST VARS'!$K$54*(12.73^2)+'LINEST VARS'!$J$54*($AK$32*$Z48)+'LINEST VARS'!$I$54*($AK$32*4)+'LINEST VARS'!$H$54*($AK$32*0.5)+'LINEST VARS'!$G$54*($AK$32*12.73)+'LINEST VARS'!$F$54*($Z48*4)+'LINEST VARS'!$E$54*($Z48*0.5)+'LINEST VARS'!$D$54*($Z48*12.73)+'LINEST VARS'!$C$54*(4*0.5)+'LINEST VARS'!$B$54*(4*12.73)+'LINEST VARS'!$A$54*(0.5*12.73)</f>
        <v>3.9749999999999996</v>
      </c>
      <c r="AL48" s="51">
        <f>'LINEST VARS'!$U$54+'LINEST VARS'!$T$54*($AL$32)+'LINEST VARS'!$S$54*($Z48)+'LINEST VARS'!$R$54*(4)+'LINEST VARS'!$Q$54*(0.5)+'LINEST VARS'!$P$54*(12.73)+'LINEST VARS'!$O$54*($AL$32^2)+'LINEST VARS'!$N$54*($Z48^2)+'LINEST VARS'!$M$54*(4^2)+'LINEST VARS'!$L$54*(0.5^2)+'LINEST VARS'!$K$54*(12.73^2)+'LINEST VARS'!$J$54*($AL$32*$Z48)+'LINEST VARS'!$I$54*($AL$32*4)+'LINEST VARS'!$H$54*($AL$32*0.5)+'LINEST VARS'!$G$54*($AL$32*12.73)+'LINEST VARS'!$F$54*($Z48*4)+'LINEST VARS'!$E$54*($Z48*0.5)+'LINEST VARS'!$D$54*($Z48*12.73)+'LINEST VARS'!$C$54*(4*0.5)+'LINEST VARS'!$B$54*(4*12.73)+'LINEST VARS'!$A$54*(0.5*12.73)</f>
        <v>3.9749999999999996</v>
      </c>
      <c r="AM48" s="51">
        <f>'LINEST VARS'!$U$54+'LINEST VARS'!$T$54*($AM$32)+'LINEST VARS'!$S$54*($Z48)+'LINEST VARS'!$R$54*(4)+'LINEST VARS'!$Q$54*(0.5)+'LINEST VARS'!$P$54*(12.73)+'LINEST VARS'!$O$54*($AM$32^2)+'LINEST VARS'!$N$54*($Z48^2)+'LINEST VARS'!$M$54*(4^2)+'LINEST VARS'!$L$54*(0.5^2)+'LINEST VARS'!$K$54*(12.73^2)+'LINEST VARS'!$J$54*($AM$32*$Z48)+'LINEST VARS'!$I$54*($AM$32*4)+'LINEST VARS'!$H$54*($AM$32*0.5)+'LINEST VARS'!$G$54*($AM$32*12.73)+'LINEST VARS'!$F$54*($Z48*4)+'LINEST VARS'!$E$54*($Z48*0.5)+'LINEST VARS'!$D$54*($Z48*12.73)+'LINEST VARS'!$C$54*(4*0.5)+'LINEST VARS'!$B$54*(4*12.73)+'LINEST VARS'!$A$54*(0.5*12.73)</f>
        <v>3.9749999999999996</v>
      </c>
      <c r="AN48" s="51">
        <f>'LINEST VARS'!$U$54+'LINEST VARS'!$T$54*($AN$32)+'LINEST VARS'!$S$54*($Z48)+'LINEST VARS'!$R$54*(4)+'LINEST VARS'!$Q$54*(0.5)+'LINEST VARS'!$P$54*(12.73)+'LINEST VARS'!$O$54*($AN$32^2)+'LINEST VARS'!$N$54*($Z48^2)+'LINEST VARS'!$M$54*(4^2)+'LINEST VARS'!$L$54*(0.5^2)+'LINEST VARS'!$K$54*(12.73^2)+'LINEST VARS'!$J$54*($AN$32*$Z48)+'LINEST VARS'!$I$54*($AN$32*4)+'LINEST VARS'!$H$54*($AN$32*0.5)+'LINEST VARS'!$G$54*($AN$32*12.73)+'LINEST VARS'!$F$54*($Z48*4)+'LINEST VARS'!$E$54*($Z48*0.5)+'LINEST VARS'!$D$54*($Z48*12.73)+'LINEST VARS'!$C$54*(4*0.5)+'LINEST VARS'!$B$54*(4*12.73)+'LINEST VARS'!$A$54*(0.5*12.73)</f>
        <v>3.9749999999999996</v>
      </c>
      <c r="AO48" s="51">
        <f>'LINEST VARS'!$U$54+'LINEST VARS'!$T$54*($AO$32)+'LINEST VARS'!$S$54*($Z48)+'LINEST VARS'!$R$54*(4)+'LINEST VARS'!$Q$54*(0.5)+'LINEST VARS'!$P$54*(12.73)+'LINEST VARS'!$O$54*($AO$32^2)+'LINEST VARS'!$N$54*($Z48^2)+'LINEST VARS'!$M$54*(4^2)+'LINEST VARS'!$L$54*(0.5^2)+'LINEST VARS'!$K$54*(12.73^2)+'LINEST VARS'!$J$54*($AO$32*$Z48)+'LINEST VARS'!$I$54*($AO$32*4)+'LINEST VARS'!$H$54*($AO$32*0.5)+'LINEST VARS'!$G$54*($AO$32*12.73)+'LINEST VARS'!$F$54*($Z48*4)+'LINEST VARS'!$E$54*($Z48*0.5)+'LINEST VARS'!$D$54*($Z48*12.73)+'LINEST VARS'!$C$54*(4*0.5)+'LINEST VARS'!$B$54*(4*12.73)+'LINEST VARS'!$A$54*(0.5*12.73)</f>
        <v>3.9749999999999996</v>
      </c>
      <c r="AP48" s="51">
        <f>'LINEST VARS'!$U$54+'LINEST VARS'!$T$54*($AP$32)+'LINEST VARS'!$S$54*($Z48)+'LINEST VARS'!$R$54*(4)+'LINEST VARS'!$Q$54*(0.5)+'LINEST VARS'!$P$54*(12.73)+'LINEST VARS'!$O$54*($AP$32^2)+'LINEST VARS'!$N$54*($Z48^2)+'LINEST VARS'!$M$54*(4^2)+'LINEST VARS'!$L$54*(0.5^2)+'LINEST VARS'!$K$54*(12.73^2)+'LINEST VARS'!$J$54*($AP$32*$Z48)+'LINEST VARS'!$I$54*($AP$32*4)+'LINEST VARS'!$H$54*($AP$32*0.5)+'LINEST VARS'!$G$54*($AP$32*12.73)+'LINEST VARS'!$F$54*($Z48*4)+'LINEST VARS'!$E$54*($Z48*0.5)+'LINEST VARS'!$D$54*($Z48*12.73)+'LINEST VARS'!$C$54*(4*0.5)+'LINEST VARS'!$B$54*(4*12.73)+'LINEST VARS'!$A$54*(0.5*12.73)</f>
        <v>3.9749999999999996</v>
      </c>
      <c r="AQ48" s="51">
        <f>'LINEST VARS'!$U$54+'LINEST VARS'!$T$54*($AQ$32)+'LINEST VARS'!$S$54*($Z48)+'LINEST VARS'!$R$54*(4)+'LINEST VARS'!$Q$54*(0.5)+'LINEST VARS'!$P$54*(12.73)+'LINEST VARS'!$O$54*($AQ$32^2)+'LINEST VARS'!$N$54*($Z48^2)+'LINEST VARS'!$M$54*(4^2)+'LINEST VARS'!$L$54*(0.5^2)+'LINEST VARS'!$K$54*(12.73^2)+'LINEST VARS'!$J$54*($AQ$32*$Z48)+'LINEST VARS'!$I$54*($AQ$32*4)+'LINEST VARS'!$H$54*($AQ$32*0.5)+'LINEST VARS'!$G$54*($AQ$32*12.73)+'LINEST VARS'!$F$54*($Z48*4)+'LINEST VARS'!$E$54*($Z48*0.5)+'LINEST VARS'!$D$54*($Z48*12.73)+'LINEST VARS'!$C$54*(4*0.5)+'LINEST VARS'!$B$54*(4*12.73)+'LINEST VARS'!$A$54*(0.5*12.73)</f>
        <v>3.9749999999999996</v>
      </c>
      <c r="AR48" s="51">
        <f>'LINEST VARS'!$U$54+'LINEST VARS'!$T$54*($AR$32)+'LINEST VARS'!$S$54*($Z48)+'LINEST VARS'!$R$54*(4)+'LINEST VARS'!$Q$54*(0.5)+'LINEST VARS'!$P$54*(12.73)+'LINEST VARS'!$O$54*($AR$32^2)+'LINEST VARS'!$N$54*($Z48^2)+'LINEST VARS'!$M$54*(4^2)+'LINEST VARS'!$L$54*(0.5^2)+'LINEST VARS'!$K$54*(12.73^2)+'LINEST VARS'!$J$54*($AR$32*$Z48)+'LINEST VARS'!$I$54*($AR$32*4)+'LINEST VARS'!$H$54*($AR$32*0.5)+'LINEST VARS'!$G$54*($AR$32*12.73)+'LINEST VARS'!$F$54*($Z48*4)+'LINEST VARS'!$E$54*($Z48*0.5)+'LINEST VARS'!$D$54*($Z48*12.73)+'LINEST VARS'!$C$54*(4*0.5)+'LINEST VARS'!$B$54*(4*12.73)+'LINEST VARS'!$A$54*(0.5*12.73)</f>
        <v>3.9749999999999996</v>
      </c>
      <c r="AS48" s="51">
        <f>'LINEST VARS'!$U$54+'LINEST VARS'!$T$54*($AS$32)+'LINEST VARS'!$S$54*($Z48)+'LINEST VARS'!$R$54*(4)+'LINEST VARS'!$Q$54*(0.5)+'LINEST VARS'!$P$54*(12.73)+'LINEST VARS'!$O$54*($AS$32^2)+'LINEST VARS'!$N$54*($Z48^2)+'LINEST VARS'!$M$54*(4^2)+'LINEST VARS'!$L$54*(0.5^2)+'LINEST VARS'!$K$54*(12.73^2)+'LINEST VARS'!$J$54*($AS$32*$Z48)+'LINEST VARS'!$I$54*($AS$32*4)+'LINEST VARS'!$H$54*($AS$32*0.5)+'LINEST VARS'!$G$54*($AS$32*12.73)+'LINEST VARS'!$F$54*($Z48*4)+'LINEST VARS'!$E$54*($Z48*0.5)+'LINEST VARS'!$D$54*($Z48*12.73)+'LINEST VARS'!$C$54*(4*0.5)+'LINEST VARS'!$B$54*(4*12.73)+'LINEST VARS'!$A$54*(0.5*12.73)</f>
        <v>3.9749999999999996</v>
      </c>
      <c r="AT48" s="51">
        <f>'LINEST VARS'!$U$54+'LINEST VARS'!$T$54*($AT$32)+'LINEST VARS'!$S$54*($Z48)+'LINEST VARS'!$R$54*(4)+'LINEST VARS'!$Q$54*(0.5)+'LINEST VARS'!$P$54*(12.73)+'LINEST VARS'!$O$54*($AT$32^2)+'LINEST VARS'!$N$54*($Z48^2)+'LINEST VARS'!$M$54*(4^2)+'LINEST VARS'!$L$54*(0.5^2)+'LINEST VARS'!$K$54*(12.73^2)+'LINEST VARS'!$J$54*($AT$32*$Z48)+'LINEST VARS'!$I$54*($AT$32*4)+'LINEST VARS'!$H$54*($AT$32*0.5)+'LINEST VARS'!$G$54*($AT$32*12.73)+'LINEST VARS'!$F$54*($Z48*4)+'LINEST VARS'!$E$54*($Z48*0.5)+'LINEST VARS'!$D$54*($Z48*12.73)+'LINEST VARS'!$C$54*(4*0.5)+'LINEST VARS'!$B$54*(4*12.73)+'LINEST VARS'!$A$54*(0.5*12.73)</f>
        <v>3.9750000000000001</v>
      </c>
      <c r="AU48" s="52">
        <f>'LINEST VARS'!$U$54+'LINEST VARS'!$T$54*($AU$32)+'LINEST VARS'!$S$54*($Z48)+'LINEST VARS'!$R$54*(4)+'LINEST VARS'!$Q$54*(0.5)+'LINEST VARS'!$P$54*(12.73)+'LINEST VARS'!$O$54*($AU$32^2)+'LINEST VARS'!$N$54*($Z48^2)+'LINEST VARS'!$M$54*(4^2)+'LINEST VARS'!$L$54*(0.5^2)+'LINEST VARS'!$K$54*(12.73^2)+'LINEST VARS'!$J$54*($AU$32*$Z48)+'LINEST VARS'!$I$54*($AU$32*4)+'LINEST VARS'!$H$54*($AU$32*0.5)+'LINEST VARS'!$G$54*($AU$32*12.73)+'LINEST VARS'!$F$54*($Z48*4)+'LINEST VARS'!$E$54*($Z48*0.5)+'LINEST VARS'!$D$54*($Z48*12.73)+'LINEST VARS'!$C$54*(4*0.5)+'LINEST VARS'!$B$54*(4*12.73)+'LINEST VARS'!$A$54*(0.5*12.73)</f>
        <v>3.9750000000000001</v>
      </c>
      <c r="AZ48" s="45">
        <v>0.75</v>
      </c>
      <c r="BA48" s="51">
        <f>'LINEST VARS'!$U$52+'LINEST VARS'!$T$52*(8)+'LINEST VARS'!$S$52*(8)+'LINEST VARS'!$R$52*($BA$32)+'LINEST VARS'!$Q$52*($AZ48)+'LINEST VARS'!$P$52*(12.73)+'LINEST VARS'!$O$52*(8^2)+'LINEST VARS'!$N$52*(8^2)+'LINEST VARS'!$M$52*($BA$32^2)+'LINEST VARS'!$L$52*($AZ48^2)+'LINEST VARS'!$K$52*(12.73^2)+'LINEST VARS'!$J$52*(8*8)+'LINEST VARS'!$I$52*(8*$BA$32)+'LINEST VARS'!$H$52*(8*$AZ48)+'LINEST VARS'!$G$52*(8*12.73)+'LINEST VARS'!$F$52*(8*$BA$32)+'LINEST VARS'!$E$52*(8*$AZ48)+'LINEST VARS'!$D$52*(8*12.73)+'LINEST VARS'!$C$52*($BA$32*$AZ48)+'LINEST VARS'!$B$52*($BA$32*12.73)+'LINEST VARS'!$A$52*($AZ48*12.73)</f>
        <v>4.4249999999999989</v>
      </c>
      <c r="BB48" s="51">
        <f>'LINEST VARS'!$U$52+'LINEST VARS'!$T$52*(8)+'LINEST VARS'!$S$52*(8)+'LINEST VARS'!$R$52*($BB$32)+'LINEST VARS'!$Q$52*($AZ48)+'LINEST VARS'!$P$52*(12.73)+'LINEST VARS'!$O$52*(8^2)+'LINEST VARS'!$N$52*(8^2)+'LINEST VARS'!$M$52*($BB$32^2)+'LINEST VARS'!$L$52*($AZ48^2)+'LINEST VARS'!$K$52*(12.73^2)+'LINEST VARS'!$J$52*(8*8)+'LINEST VARS'!$I$52*(8*$BB$32)+'LINEST VARS'!$H$52*(8*$AZ48)+'LINEST VARS'!$G$52*(8*12.73)+'LINEST VARS'!$F$52*(8*$BB$32)+'LINEST VARS'!$E$52*(8*$AZ48)+'LINEST VARS'!$D$52*(8*12.73)+'LINEST VARS'!$C$52*($BB$32*$AZ48)+'LINEST VARS'!$B$52*($BB$32*12.73)+'LINEST VARS'!$A$52*($AZ48*12.73)</f>
        <v>4.4249999999999989</v>
      </c>
      <c r="BC48" s="51">
        <f>'LINEST VARS'!$U$52+'LINEST VARS'!$T$52*(8)+'LINEST VARS'!$S$52*(8)+'LINEST VARS'!$R$52*($BC$32)+'LINEST VARS'!$Q$52*($AZ48)+'LINEST VARS'!$P$52*(12.73)+'LINEST VARS'!$O$52*(8^2)+'LINEST VARS'!$N$52*(8^2)+'LINEST VARS'!$M$52*($BC$32^2)+'LINEST VARS'!$L$52*($AZ48^2)+'LINEST VARS'!$K$52*(12.73^2)+'LINEST VARS'!$J$52*(8*8)+'LINEST VARS'!$I$52*(8*$BC$32)+'LINEST VARS'!$H$52*(8*$AZ48)+'LINEST VARS'!$G$52*(8*12.73)+'LINEST VARS'!$F$52*(8*$BC$32)+'LINEST VARS'!$E$52*(8*$AZ48)+'LINEST VARS'!$D$52*(8*12.73)+'LINEST VARS'!$C$52*($BC$32*$AZ48)+'LINEST VARS'!$B$52*($BC$32*12.73)+'LINEST VARS'!$A$52*($AZ48*12.73)</f>
        <v>4.4249999999999989</v>
      </c>
      <c r="BD48" s="51">
        <f>'LINEST VARS'!$U$52+'LINEST VARS'!$T$52*(8)+'LINEST VARS'!$S$52*(8)+'LINEST VARS'!$R$52*($BD$32)+'LINEST VARS'!$Q$52*($AZ48)+'LINEST VARS'!$P$52*(12.73)+'LINEST VARS'!$O$52*(8^2)+'LINEST VARS'!$N$52*(8^2)+'LINEST VARS'!$M$52*($BD$32^2)+'LINEST VARS'!$L$52*($AZ48^2)+'LINEST VARS'!$K$52*(12.73^2)+'LINEST VARS'!$J$52*(8*8)+'LINEST VARS'!$I$52*(8*$BD$32)+'LINEST VARS'!$H$52*(8*$AZ48)+'LINEST VARS'!$G$52*(8*12.73)+'LINEST VARS'!$F$52*(8*$BD$32)+'LINEST VARS'!$E$52*(8*$AZ48)+'LINEST VARS'!$D$52*(8*12.73)+'LINEST VARS'!$C$52*($BD$32*$AZ48)+'LINEST VARS'!$B$52*($BD$32*12.73)+'LINEST VARS'!$A$52*($AZ48*12.73)</f>
        <v>4.4249999999999989</v>
      </c>
      <c r="BE48" s="51">
        <f>'LINEST VARS'!$U$52+'LINEST VARS'!$T$52*(8)+'LINEST VARS'!$S$52*(8)+'LINEST VARS'!$R$52*($BE$32)+'LINEST VARS'!$Q$52*($AZ48)+'LINEST VARS'!$P$52*(12.73)+'LINEST VARS'!$O$52*(8^2)+'LINEST VARS'!$N$52*(8^2)+'LINEST VARS'!$M$52*($BE$32^2)+'LINEST VARS'!$L$52*($AZ48^2)+'LINEST VARS'!$K$52*(12.73^2)+'LINEST VARS'!$J$52*(8*8)+'LINEST VARS'!$I$52*(8*$BE$32)+'LINEST VARS'!$H$52*(8*$AZ48)+'LINEST VARS'!$G$52*(8*12.73)+'LINEST VARS'!$F$52*(8*$BE$32)+'LINEST VARS'!$E$52*(8*$AZ48)+'LINEST VARS'!$D$52*(8*12.73)+'LINEST VARS'!$C$52*($BE$32*$AZ48)+'LINEST VARS'!$B$52*($BE$32*12.73)+'LINEST VARS'!$A$52*($AZ48*12.73)</f>
        <v>4.4249999999999989</v>
      </c>
      <c r="BF48" s="51">
        <f>'LINEST VARS'!$U$52+'LINEST VARS'!$T$52*(8)+'LINEST VARS'!$S$52*(8)+'LINEST VARS'!$R$52*($BF$32)+'LINEST VARS'!$Q$52*($AZ48)+'LINEST VARS'!$P$52*(12.73)+'LINEST VARS'!$O$52*(8^2)+'LINEST VARS'!$N$52*(8^2)+'LINEST VARS'!$M$52*($BF$32^2)+'LINEST VARS'!$L$52*($AZ48^2)+'LINEST VARS'!$K$52*(12.73^2)+'LINEST VARS'!$J$52*(8*8)+'LINEST VARS'!$I$52*(8*$BF$32)+'LINEST VARS'!$H$52*(8*$AZ48)+'LINEST VARS'!$G$52*(8*12.73)+'LINEST VARS'!$F$52*(8*$BF$32)+'LINEST VARS'!$E$52*(8*$AZ48)+'LINEST VARS'!$D$52*(8*12.73)+'LINEST VARS'!$C$52*($BF$32*$AZ48)+'LINEST VARS'!$B$52*($BF$32*12.73)+'LINEST VARS'!$A$52*($AZ48*12.73)</f>
        <v>4.4249999999999989</v>
      </c>
      <c r="BG48" s="51">
        <f>'LINEST VARS'!$U$52+'LINEST VARS'!$T$52*(8)+'LINEST VARS'!$S$52*(8)+'LINEST VARS'!$R$52*($BG$32)+'LINEST VARS'!$Q$52*($AZ48)+'LINEST VARS'!$P$52*(12.73)+'LINEST VARS'!$O$52*(8^2)+'LINEST VARS'!$N$52*(8^2)+'LINEST VARS'!$M$52*($BG$32^2)+'LINEST VARS'!$L$52*($AZ48^2)+'LINEST VARS'!$K$52*(12.73^2)+'LINEST VARS'!$J$52*(8*8)+'LINEST VARS'!$I$52*(8*$BG$32)+'LINEST VARS'!$H$52*(8*$AZ48)+'LINEST VARS'!$G$52*(8*12.73)+'LINEST VARS'!$F$52*(8*$BG$32)+'LINEST VARS'!$E$52*(8*$AZ48)+'LINEST VARS'!$D$52*(8*12.73)+'LINEST VARS'!$C$52*($BG$32*$AZ48)+'LINEST VARS'!$B$52*($BG$32*12.73)+'LINEST VARS'!$A$52*($AZ48*12.73)</f>
        <v>4.4249999999999989</v>
      </c>
      <c r="BH48" s="51">
        <f>'LINEST VARS'!$U$52+'LINEST VARS'!$T$52*(8)+'LINEST VARS'!$S$52*(8)+'LINEST VARS'!$R$52*($BH$32)+'LINEST VARS'!$Q$52*($AZ48)+'LINEST VARS'!$P$52*(12.73)+'LINEST VARS'!$O$52*(8^2)+'LINEST VARS'!$N$52*(8^2)+'LINEST VARS'!$M$52*($BH$32^2)+'LINEST VARS'!$L$52*($AZ48^2)+'LINEST VARS'!$K$52*(12.73^2)+'LINEST VARS'!$J$52*(8*8)+'LINEST VARS'!$I$52*(8*$BH$32)+'LINEST VARS'!$H$52*(8*$AZ48)+'LINEST VARS'!$G$52*(8*12.73)+'LINEST VARS'!$F$52*(8*$BH$32)+'LINEST VARS'!$E$52*(8*$AZ48)+'LINEST VARS'!$D$52*(8*12.73)+'LINEST VARS'!$C$52*($BH$32*$AZ48)+'LINEST VARS'!$B$52*($BH$32*12.73)+'LINEST VARS'!$A$52*($AZ48*12.73)</f>
        <v>4.4249999999999989</v>
      </c>
      <c r="BI48" s="51">
        <f>'LINEST VARS'!$U$52+'LINEST VARS'!$T$52*(8)+'LINEST VARS'!$S$52*(8)+'LINEST VARS'!$R$52*($BI$32)+'LINEST VARS'!$Q$52*($AZ48)+'LINEST VARS'!$P$52*(12.73)+'LINEST VARS'!$O$52*(8^2)+'LINEST VARS'!$N$52*(8^2)+'LINEST VARS'!$M$52*($BI$32^2)+'LINEST VARS'!$L$52*($AZ48^2)+'LINEST VARS'!$K$52*(12.73^2)+'LINEST VARS'!$J$52*(8*8)+'LINEST VARS'!$I$52*(8*$BI$32)+'LINEST VARS'!$H$52*(8*$AZ48)+'LINEST VARS'!$G$52*(8*12.73)+'LINEST VARS'!$F$52*(8*$BI$32)+'LINEST VARS'!$E$52*(8*$AZ48)+'LINEST VARS'!$D$52*(8*12.73)+'LINEST VARS'!$C$52*($BI$32*$AZ48)+'LINEST VARS'!$B$52*($BI$32*12.73)+'LINEST VARS'!$A$52*($AZ48*12.73)</f>
        <v>4.4249999999999989</v>
      </c>
      <c r="BJ48" s="51">
        <f>'LINEST VARS'!$U$52+'LINEST VARS'!$T$52*(8)+'LINEST VARS'!$S$52*(8)+'LINEST VARS'!$R$52*($BJ$32)+'LINEST VARS'!$Q$52*($AZ48)+'LINEST VARS'!$P$52*(12.73)+'LINEST VARS'!$O$52*(8^2)+'LINEST VARS'!$N$52*(8^2)+'LINEST VARS'!$M$52*($BJ$32^2)+'LINEST VARS'!$L$52*($AZ48^2)+'LINEST VARS'!$K$52*(12.73^2)+'LINEST VARS'!$J$52*(8*8)+'LINEST VARS'!$I$52*(8*$BJ$32)+'LINEST VARS'!$H$52*(8*$AZ48)+'LINEST VARS'!$G$52*(8*12.73)+'LINEST VARS'!$F$52*(8*$BJ$32)+'LINEST VARS'!$E$52*(8*$AZ48)+'LINEST VARS'!$D$52*(8*12.73)+'LINEST VARS'!$C$52*($BJ$32*$AZ48)+'LINEST VARS'!$B$52*($BJ$32*12.73)+'LINEST VARS'!$A$52*($AZ48*12.73)</f>
        <v>4.4249999999999989</v>
      </c>
      <c r="BK48" s="51">
        <f>'LINEST VARS'!$U$52+'LINEST VARS'!$T$52*(8)+'LINEST VARS'!$S$52*(8)+'LINEST VARS'!$R$52*($BK$32)+'LINEST VARS'!$Q$52*($AZ48)+'LINEST VARS'!$P$52*(12.73)+'LINEST VARS'!$O$52*(8^2)+'LINEST VARS'!$N$52*(8^2)+'LINEST VARS'!$M$52*($BK$32^2)+'LINEST VARS'!$L$52*($AZ48^2)+'LINEST VARS'!$K$52*(12.73^2)+'LINEST VARS'!$J$52*(8*8)+'LINEST VARS'!$I$52*(8*$BK$32)+'LINEST VARS'!$H$52*(8*$AZ48)+'LINEST VARS'!$G$52*(8*12.73)+'LINEST VARS'!$F$52*(8*$BK$32)+'LINEST VARS'!$E$52*(8*$AZ48)+'LINEST VARS'!$D$52*(8*12.73)+'LINEST VARS'!$C$52*($BK$32*$AZ48)+'LINEST VARS'!$B$52*($BK$32*12.73)+'LINEST VARS'!$A$52*($AZ48*12.73)</f>
        <v>4.4249999999999989</v>
      </c>
      <c r="BL48" s="51">
        <f>'LINEST VARS'!$U$52+'LINEST VARS'!$T$52*(8)+'LINEST VARS'!$S$52*(8)+'LINEST VARS'!$R$52*($BL$32)+'LINEST VARS'!$Q$52*($AZ48)+'LINEST VARS'!$P$52*(12.73)+'LINEST VARS'!$O$52*(8^2)+'LINEST VARS'!$N$52*(8^2)+'LINEST VARS'!$M$52*($BL$32^2)+'LINEST VARS'!$L$52*($AZ48^2)+'LINEST VARS'!$K$52*(12.73^2)+'LINEST VARS'!$J$52*(8*8)+'LINEST VARS'!$I$52*(8*$BL$32)+'LINEST VARS'!$H$52*(8*$AZ48)+'LINEST VARS'!$G$52*(8*12.73)+'LINEST VARS'!$F$52*(8*$BL$32)+'LINEST VARS'!$E$52*(8*$AZ48)+'LINEST VARS'!$D$52*(8*12.73)+'LINEST VARS'!$C$52*($BL$32*$AZ48)+'LINEST VARS'!$B$52*($BL$32*12.73)+'LINEST VARS'!$A$52*($AZ48*12.73)</f>
        <v>4.4249999999999989</v>
      </c>
      <c r="BM48" s="51">
        <f>'LINEST VARS'!$U$52+'LINEST VARS'!$T$52*(8)+'LINEST VARS'!$S$52*(8)+'LINEST VARS'!$R$52*($BM$32)+'LINEST VARS'!$Q$52*($AZ48)+'LINEST VARS'!$P$52*(12.73)+'LINEST VARS'!$O$52*(8^2)+'LINEST VARS'!$N$52*(8^2)+'LINEST VARS'!$M$52*($BM$32^2)+'LINEST VARS'!$L$52*($AZ48^2)+'LINEST VARS'!$K$52*(12.73^2)+'LINEST VARS'!$J$52*(8*8)+'LINEST VARS'!$I$52*(8*$BM$32)+'LINEST VARS'!$H$52*(8*$AZ48)+'LINEST VARS'!$G$52*(8*12.73)+'LINEST VARS'!$F$52*(8*$BM$32)+'LINEST VARS'!$E$52*(8*$AZ48)+'LINEST VARS'!$D$52*(8*12.73)+'LINEST VARS'!$C$52*($BM$32*$AZ48)+'LINEST VARS'!$B$52*($BM$32*12.73)+'LINEST VARS'!$A$52*($AZ48*12.73)</f>
        <v>4.4249999999999989</v>
      </c>
      <c r="BN48" s="51">
        <f>'LINEST VARS'!$U$52+'LINEST VARS'!$T$52*(8)+'LINEST VARS'!$S$52*(8)+'LINEST VARS'!$R$52*($BN$32)+'LINEST VARS'!$Q$52*($AZ48)+'LINEST VARS'!$P$52*(12.73)+'LINEST VARS'!$O$52*(8^2)+'LINEST VARS'!$N$52*(8^2)+'LINEST VARS'!$M$52*($BN$32^2)+'LINEST VARS'!$L$52*($AZ48^2)+'LINEST VARS'!$K$52*(12.73^2)+'LINEST VARS'!$J$52*(8*8)+'LINEST VARS'!$I$52*(8*$BN$32)+'LINEST VARS'!$H$52*(8*$AZ48)+'LINEST VARS'!$G$52*(8*12.73)+'LINEST VARS'!$F$52*(8*$BN$32)+'LINEST VARS'!$E$52*(8*$AZ48)+'LINEST VARS'!$D$52*(8*12.73)+'LINEST VARS'!$C$52*($BN$32*$AZ48)+'LINEST VARS'!$B$52*($BN$32*12.73)+'LINEST VARS'!$A$52*($AZ48*12.73)</f>
        <v>4.4249999999999989</v>
      </c>
      <c r="BO48" s="51">
        <f>'LINEST VARS'!$U$52+'LINEST VARS'!$T$52*(8)+'LINEST VARS'!$S$52*(8)+'LINEST VARS'!$R$52*($BO$32)+'LINEST VARS'!$Q$52*($AZ48)+'LINEST VARS'!$P$52*(12.73)+'LINEST VARS'!$O$52*(8^2)+'LINEST VARS'!$N$52*(8^2)+'LINEST VARS'!$M$52*($BO$32^2)+'LINEST VARS'!$L$52*($AZ48^2)+'LINEST VARS'!$K$52*(12.73^2)+'LINEST VARS'!$J$52*(8*8)+'LINEST VARS'!$I$52*(8*$BO$32)+'LINEST VARS'!$H$52*(8*$AZ48)+'LINEST VARS'!$G$52*(8*12.73)+'LINEST VARS'!$F$52*(8*$BO$32)+'LINEST VARS'!$E$52*(8*$AZ48)+'LINEST VARS'!$D$52*(8*12.73)+'LINEST VARS'!$C$52*($BO$32*$AZ48)+'LINEST VARS'!$B$52*($BO$32*12.73)+'LINEST VARS'!$A$52*($AZ48*12.73)</f>
        <v>4.4249999999999989</v>
      </c>
      <c r="BP48" s="51">
        <f>'LINEST VARS'!$U$52+'LINEST VARS'!$T$52*(8)+'LINEST VARS'!$S$52*(8)+'LINEST VARS'!$R$52*($BP$32)+'LINEST VARS'!$Q$52*($AZ48)+'LINEST VARS'!$P$52*(12.73)+'LINEST VARS'!$O$52*(8^2)+'LINEST VARS'!$N$52*(8^2)+'LINEST VARS'!$M$52*($BP$32^2)+'LINEST VARS'!$L$52*($AZ48^2)+'LINEST VARS'!$K$52*(12.73^2)+'LINEST VARS'!$J$52*(8*8)+'LINEST VARS'!$I$52*(8*$BP$32)+'LINEST VARS'!$H$52*(8*$AZ48)+'LINEST VARS'!$G$52*(8*12.73)+'LINEST VARS'!$F$52*(8*$BP$32)+'LINEST VARS'!$E$52*(8*$AZ48)+'LINEST VARS'!$D$52*(8*12.73)+'LINEST VARS'!$C$52*($BP$32*$AZ48)+'LINEST VARS'!$B$52*($BP$32*12.73)+'LINEST VARS'!$A$52*($AZ48*12.73)</f>
        <v>4.4249999999999989</v>
      </c>
      <c r="BQ48" s="51">
        <f>'LINEST VARS'!$U$52+'LINEST VARS'!$T$52*(8)+'LINEST VARS'!$S$52*(8)+'LINEST VARS'!$R$52*($BQ$32)+'LINEST VARS'!$Q$52*($AZ48)+'LINEST VARS'!$P$52*(12.73)+'LINEST VARS'!$O$52*(8^2)+'LINEST VARS'!$N$52*(8^2)+'LINEST VARS'!$M$52*($BQ$32^2)+'LINEST VARS'!$L$52*($AZ48^2)+'LINEST VARS'!$K$52*(12.73^2)+'LINEST VARS'!$J$52*(8*8)+'LINEST VARS'!$I$52*(8*$BQ$32)+'LINEST VARS'!$H$52*(8*$AZ48)+'LINEST VARS'!$G$52*(8*12.73)+'LINEST VARS'!$F$52*(8*$BQ$32)+'LINEST VARS'!$E$52*(8*$AZ48)+'LINEST VARS'!$D$52*(8*12.73)+'LINEST VARS'!$C$52*($BQ$32*$AZ48)+'LINEST VARS'!$B$52*($BQ$32*12.73)+'LINEST VARS'!$A$52*($AZ48*12.73)</f>
        <v>4.4249999999999989</v>
      </c>
      <c r="BR48" s="51">
        <f>'LINEST VARS'!$U$52+'LINEST VARS'!$T$52*(8)+'LINEST VARS'!$S$52*(8)+'LINEST VARS'!$R$52*($BR$32)+'LINEST VARS'!$Q$52*($AZ48)+'LINEST VARS'!$P$52*(12.73)+'LINEST VARS'!$O$52*(8^2)+'LINEST VARS'!$N$52*(8^2)+'LINEST VARS'!$M$52*($BR$32^2)+'LINEST VARS'!$L$52*($AZ48^2)+'LINEST VARS'!$K$52*(12.73^2)+'LINEST VARS'!$J$52*(8*8)+'LINEST VARS'!$I$52*(8*$BR$32)+'LINEST VARS'!$H$52*(8*$AZ48)+'LINEST VARS'!$G$52*(8*12.73)+'LINEST VARS'!$F$52*(8*$BR$32)+'LINEST VARS'!$E$52*(8*$AZ48)+'LINEST VARS'!$D$52*(8*12.73)+'LINEST VARS'!$C$52*($BR$32*$AZ48)+'LINEST VARS'!$B$52*($BR$32*12.73)+'LINEST VARS'!$A$52*($AZ48*12.73)</f>
        <v>4.4249999999999989</v>
      </c>
      <c r="BS48" s="51">
        <f>'LINEST VARS'!$U$52+'LINEST VARS'!$T$52*(8)+'LINEST VARS'!$S$52*(8)+'LINEST VARS'!$R$52*($BS$32)+'LINEST VARS'!$Q$52*($AZ48)+'LINEST VARS'!$P$52*(12.73)+'LINEST VARS'!$O$52*(8^2)+'LINEST VARS'!$N$52*(8^2)+'LINEST VARS'!$M$52*($BS$32^2)+'LINEST VARS'!$L$52*($AZ48^2)+'LINEST VARS'!$K$52*(12.73^2)+'LINEST VARS'!$J$52*(8*8)+'LINEST VARS'!$I$52*(8*$BS$32)+'LINEST VARS'!$H$52*(8*$AZ48)+'LINEST VARS'!$G$52*(8*12.73)+'LINEST VARS'!$F$52*(8*$BS$32)+'LINEST VARS'!$E$52*(8*$AZ48)+'LINEST VARS'!$D$52*(8*12.73)+'LINEST VARS'!$C$52*($BS$32*$AZ48)+'LINEST VARS'!$B$52*($BS$32*12.73)+'LINEST VARS'!$A$52*($AZ48*12.73)</f>
        <v>4.4249999999999989</v>
      </c>
      <c r="BT48" s="51">
        <f>'LINEST VARS'!$U$52+'LINEST VARS'!$T$52*(8)+'LINEST VARS'!$S$52*(8)+'LINEST VARS'!$R$52*($BT$32)+'LINEST VARS'!$Q$52*($AZ48)+'LINEST VARS'!$P$52*(12.73)+'LINEST VARS'!$O$52*(8^2)+'LINEST VARS'!$N$52*(8^2)+'LINEST VARS'!$M$52*($BT$32^2)+'LINEST VARS'!$L$52*($AZ48^2)+'LINEST VARS'!$K$52*(12.73^2)+'LINEST VARS'!$J$52*(8*8)+'LINEST VARS'!$I$52*(8*$BT$32)+'LINEST VARS'!$H$52*(8*$AZ48)+'LINEST VARS'!$G$52*(8*12.73)+'LINEST VARS'!$F$52*(8*$BT$32)+'LINEST VARS'!$E$52*(8*$AZ48)+'LINEST VARS'!$D$52*(8*12.73)+'LINEST VARS'!$C$52*($BT$32*$AZ48)+'LINEST VARS'!$B$52*($BT$32*12.73)+'LINEST VARS'!$A$52*($AZ48*12.73)</f>
        <v>4.4249999999999989</v>
      </c>
      <c r="BU48" s="52">
        <f>'LINEST VARS'!$U$52+'LINEST VARS'!$T$52*(8)+'LINEST VARS'!$S$52*(8)+'LINEST VARS'!$R$52*($BU$32)+'LINEST VARS'!$Q$52*($AZ48)+'LINEST VARS'!$P$52*(12.73)+'LINEST VARS'!$O$52*(8^2)+'LINEST VARS'!$N$52*(8^2)+'LINEST VARS'!$M$52*($BU$32^2)+'LINEST VARS'!$L$52*($AZ48^2)+'LINEST VARS'!$K$52*(12.73^2)+'LINEST VARS'!$J$52*(8*8)+'LINEST VARS'!$I$52*(8*$BU$32)+'LINEST VARS'!$H$52*(8*$AZ48)+'LINEST VARS'!$G$52*(8*12.73)+'LINEST VARS'!$F$52*(8*$BU$32)+'LINEST VARS'!$E$52*(8*$AZ48)+'LINEST VARS'!$D$52*(8*12.73)+'LINEST VARS'!$C$52*($BU$32*$AZ48)+'LINEST VARS'!$B$52*($BU$32*12.73)+'LINEST VARS'!$A$52*($AZ48*12.73)</f>
        <v>4.4249999999999989</v>
      </c>
      <c r="BX48" s="45">
        <v>0.75</v>
      </c>
      <c r="BY48" s="51">
        <f>'LINEST VARS'!$U$54+'LINEST VARS'!$T$54*(8)+'LINEST VARS'!$S$54*(8)+'LINEST VARS'!$R$54*($BY$32)+'LINEST VARS'!$Q$54*($BX48)+'LINEST VARS'!$P$54*(12.73)+'LINEST VARS'!$O$54*(8^2)+'LINEST VARS'!$N$54*(8^2)+'LINEST VARS'!$M$54*($BY$32^2)+'LINEST VARS'!$L$54*($BX48^2)+'LINEST VARS'!$K$54*(12.73^2)+'LINEST VARS'!$J$54*(8*8)+'LINEST VARS'!$I$54*(8*$BY$32)+'LINEST VARS'!$H$54*(8*$BX48)+'LINEST VARS'!$G$54*(8*12.73)+'LINEST VARS'!$F$54*(8*$BY$32)+'LINEST VARS'!$E$54*(8*$BX48)+'LINEST VARS'!$D$54*(8*12.73)+'LINEST VARS'!$C$54*($BY$32*$BX48)+'LINEST VARS'!$B$54*($BY$32*12.73)+'LINEST VARS'!$A$54*($BX48*12.73)</f>
        <v>3.9624999999999999</v>
      </c>
      <c r="BZ48" s="51">
        <f>'LINEST VARS'!$U$54+'LINEST VARS'!$T$54*(8)+'LINEST VARS'!$S$54*(8)+'LINEST VARS'!$R$54*($BZ$32)+'LINEST VARS'!$Q$54*($BX48)+'LINEST VARS'!$P$54*(12.73)+'LINEST VARS'!$O$54*(8^2)+'LINEST VARS'!$N$54*(8^2)+'LINEST VARS'!$M$54*($BZ$32^2)+'LINEST VARS'!$L$54*($BX48^2)+'LINEST VARS'!$K$54*(12.73^2)+'LINEST VARS'!$J$54*(8*8)+'LINEST VARS'!$I$54*(8*$BZ$32)+'LINEST VARS'!$H$54*(8*$BX48)+'LINEST VARS'!$G$54*(8*12.73)+'LINEST VARS'!$F$54*(8*$BZ$32)+'LINEST VARS'!$E$54*(8*$BX48)+'LINEST VARS'!$D$54*(8*12.73)+'LINEST VARS'!$C$54*($BZ$32*$BX48)+'LINEST VARS'!$B$54*($BZ$32*12.73)+'LINEST VARS'!$A$54*($BX48*12.73)</f>
        <v>3.9624999999999999</v>
      </c>
      <c r="CA48" s="51">
        <f>'LINEST VARS'!$U$54+'LINEST VARS'!$T$54*(8)+'LINEST VARS'!$S$54*(8)+'LINEST VARS'!$R$54*($CA$32)+'LINEST VARS'!$Q$54*($BX48)+'LINEST VARS'!$P$54*(12.73)+'LINEST VARS'!$O$54*(8^2)+'LINEST VARS'!$N$54*(8^2)+'LINEST VARS'!$M$54*($CA$32^2)+'LINEST VARS'!$L$54*($BX48^2)+'LINEST VARS'!$K$54*(12.73^2)+'LINEST VARS'!$J$54*(8*8)+'LINEST VARS'!$I$54*(8*$CA$32)+'LINEST VARS'!$H$54*(8*$BX48)+'LINEST VARS'!$G$54*(8*12.73)+'LINEST VARS'!$F$54*(8*$CA$32)+'LINEST VARS'!$E$54*(8*$BX48)+'LINEST VARS'!$D$54*(8*12.73)+'LINEST VARS'!$C$54*($CA$32*$BX48)+'LINEST VARS'!$B$54*($CA$32*12.73)+'LINEST VARS'!$A$54*($BX48*12.73)</f>
        <v>3.9624999999999999</v>
      </c>
      <c r="CB48" s="51">
        <f>'LINEST VARS'!$U$54+'LINEST VARS'!$T$54*(8)+'LINEST VARS'!$S$54*(8)+'LINEST VARS'!$R$54*($CB$32)+'LINEST VARS'!$Q$54*($BX48)+'LINEST VARS'!$P$54*(12.73)+'LINEST VARS'!$O$54*(8^2)+'LINEST VARS'!$N$54*(8^2)+'LINEST VARS'!$M$54*($CB$32^2)+'LINEST VARS'!$L$54*($BX48^2)+'LINEST VARS'!$K$54*(12.73^2)+'LINEST VARS'!$J$54*(8*8)+'LINEST VARS'!$I$54*(8*$CB$32)+'LINEST VARS'!$H$54*(8*$BX48)+'LINEST VARS'!$G$54*(8*12.73)+'LINEST VARS'!$F$54*(8*$CB$32)+'LINEST VARS'!$E$54*(8*$BX48)+'LINEST VARS'!$D$54*(8*12.73)+'LINEST VARS'!$C$54*($CB$32*$BX48)+'LINEST VARS'!$B$54*($CB$32*12.73)+'LINEST VARS'!$A$54*($BX48*12.73)</f>
        <v>3.9624999999999999</v>
      </c>
      <c r="CC48" s="51">
        <f>'LINEST VARS'!$U$54+'LINEST VARS'!$T$54*(8)+'LINEST VARS'!$S$54*(8)+'LINEST VARS'!$R$54*($CC$32)+'LINEST VARS'!$Q$54*($BX48)+'LINEST VARS'!$P$54*(12.73)+'LINEST VARS'!$O$54*(8^2)+'LINEST VARS'!$N$54*(8^2)+'LINEST VARS'!$M$54*($CC$32^2)+'LINEST VARS'!$L$54*($BX48^2)+'LINEST VARS'!$K$54*(12.73^2)+'LINEST VARS'!$J$54*(8*8)+'LINEST VARS'!$I$54*(8*$CC$32)+'LINEST VARS'!$H$54*(8*$BX48)+'LINEST VARS'!$G$54*(8*12.73)+'LINEST VARS'!$F$54*(8*$CC$32)+'LINEST VARS'!$E$54*(8*$BX48)+'LINEST VARS'!$D$54*(8*12.73)+'LINEST VARS'!$C$54*($CC$32*$BX48)+'LINEST VARS'!$B$54*($CC$32*12.73)+'LINEST VARS'!$A$54*($BX48*12.73)</f>
        <v>3.9624999999999999</v>
      </c>
      <c r="CD48" s="51">
        <f>'LINEST VARS'!$U$54+'LINEST VARS'!$T$54*(8)+'LINEST VARS'!$S$54*(8)+'LINEST VARS'!$R$54*($CD$32)+'LINEST VARS'!$Q$54*($BX48)+'LINEST VARS'!$P$54*(12.73)+'LINEST VARS'!$O$54*(8^2)+'LINEST VARS'!$N$54*(8^2)+'LINEST VARS'!$M$54*($CD$32^2)+'LINEST VARS'!$L$54*($BX48^2)+'LINEST VARS'!$K$54*(12.73^2)+'LINEST VARS'!$J$54*(8*8)+'LINEST VARS'!$I$54*(8*$CD$32)+'LINEST VARS'!$H$54*(8*$BX48)+'LINEST VARS'!$G$54*(8*12.73)+'LINEST VARS'!$F$54*(8*$CD$32)+'LINEST VARS'!$E$54*(8*$BX48)+'LINEST VARS'!$D$54*(8*12.73)+'LINEST VARS'!$C$54*($CD$32*$BX48)+'LINEST VARS'!$B$54*($CD$32*12.73)+'LINEST VARS'!$A$54*($BX48*12.73)</f>
        <v>3.9624999999999999</v>
      </c>
      <c r="CE48" s="51">
        <f>'LINEST VARS'!$U$54+'LINEST VARS'!$T$54*(8)+'LINEST VARS'!$S$54*(8)+'LINEST VARS'!$R$54*($CE$32)+'LINEST VARS'!$Q$54*($BX48)+'LINEST VARS'!$P$54*(12.73)+'LINEST VARS'!$O$54*(8^2)+'LINEST VARS'!$N$54*(8^2)+'LINEST VARS'!$M$54*($CE$32^2)+'LINEST VARS'!$L$54*($BX48^2)+'LINEST VARS'!$K$54*(12.73^2)+'LINEST VARS'!$J$54*(8*8)+'LINEST VARS'!$I$54*(8*$CE$32)+'LINEST VARS'!$H$54*(8*$BX48)+'LINEST VARS'!$G$54*(8*12.73)+'LINEST VARS'!$F$54*(8*$CE$32)+'LINEST VARS'!$E$54*(8*$BX48)+'LINEST VARS'!$D$54*(8*12.73)+'LINEST VARS'!$C$54*($CE$32*$BX48)+'LINEST VARS'!$B$54*($CE$32*12.73)+'LINEST VARS'!$A$54*($BX48*12.73)</f>
        <v>3.9624999999999999</v>
      </c>
      <c r="CF48" s="51">
        <f>'LINEST VARS'!$U$54+'LINEST VARS'!$T$54*(8)+'LINEST VARS'!$S$54*(8)+'LINEST VARS'!$R$54*($CF$32)+'LINEST VARS'!$Q$54*($BX48)+'LINEST VARS'!$P$54*(12.73)+'LINEST VARS'!$O$54*(8^2)+'LINEST VARS'!$N$54*(8^2)+'LINEST VARS'!$M$54*($CF$32^2)+'LINEST VARS'!$L$54*($BX48^2)+'LINEST VARS'!$K$54*(12.73^2)+'LINEST VARS'!$J$54*(8*8)+'LINEST VARS'!$I$54*(8*$CF$32)+'LINEST VARS'!$H$54*(8*$BX48)+'LINEST VARS'!$G$54*(8*12.73)+'LINEST VARS'!$F$54*(8*$CF$32)+'LINEST VARS'!$E$54*(8*$BX48)+'LINEST VARS'!$D$54*(8*12.73)+'LINEST VARS'!$C$54*($CF$32*$BX48)+'LINEST VARS'!$B$54*($CF$32*12.73)+'LINEST VARS'!$A$54*($BX48*12.73)</f>
        <v>3.9624999999999999</v>
      </c>
      <c r="CG48" s="51">
        <f>'LINEST VARS'!$U$54+'LINEST VARS'!$T$54*(8)+'LINEST VARS'!$S$54*(8)+'LINEST VARS'!$R$54*($CG$32)+'LINEST VARS'!$Q$54*($BX48)+'LINEST VARS'!$P$54*(12.73)+'LINEST VARS'!$O$54*(8^2)+'LINEST VARS'!$N$54*(8^2)+'LINEST VARS'!$M$54*($CG$32^2)+'LINEST VARS'!$L$54*($BX48^2)+'LINEST VARS'!$K$54*(12.73^2)+'LINEST VARS'!$J$54*(8*8)+'LINEST VARS'!$I$54*(8*$CG$32)+'LINEST VARS'!$H$54*(8*$BX48)+'LINEST VARS'!$G$54*(8*12.73)+'LINEST VARS'!$F$54*(8*$CG$32)+'LINEST VARS'!$E$54*(8*$BX48)+'LINEST VARS'!$D$54*(8*12.73)+'LINEST VARS'!$C$54*($CG$32*$BX48)+'LINEST VARS'!$B$54*($CG$32*12.73)+'LINEST VARS'!$A$54*($BX48*12.73)</f>
        <v>3.9624999999999999</v>
      </c>
      <c r="CH48" s="51">
        <f>'LINEST VARS'!$U$54+'LINEST VARS'!$T$54*(8)+'LINEST VARS'!$S$54*(8)+'LINEST VARS'!$R$54*($CH$32)+'LINEST VARS'!$Q$54*($BX48)+'LINEST VARS'!$P$54*(12.73)+'LINEST VARS'!$O$54*(8^2)+'LINEST VARS'!$N$54*(8^2)+'LINEST VARS'!$M$54*($CH$32^2)+'LINEST VARS'!$L$54*($BX48^2)+'LINEST VARS'!$K$54*(12.73^2)+'LINEST VARS'!$J$54*(8*8)+'LINEST VARS'!$I$54*(8*$CH$32)+'LINEST VARS'!$H$54*(8*$BX48)+'LINEST VARS'!$G$54*(8*12.73)+'LINEST VARS'!$F$54*(8*$CH$32)+'LINEST VARS'!$E$54*(8*$BX48)+'LINEST VARS'!$D$54*(8*12.73)+'LINEST VARS'!$C$54*($CH$32*$BX48)+'LINEST VARS'!$B$54*($CH$32*12.73)+'LINEST VARS'!$A$54*($BX48*12.73)</f>
        <v>3.9624999999999999</v>
      </c>
      <c r="CI48" s="51">
        <f>'LINEST VARS'!$U$54+'LINEST VARS'!$T$54*(8)+'LINEST VARS'!$S$54*(8)+'LINEST VARS'!$R$54*($CI$32)+'LINEST VARS'!$Q$54*($BX48)+'LINEST VARS'!$P$54*(12.73)+'LINEST VARS'!$O$54*(8^2)+'LINEST VARS'!$N$54*(8^2)+'LINEST VARS'!$M$54*($CI$32^2)+'LINEST VARS'!$L$54*($BX48^2)+'LINEST VARS'!$K$54*(12.73^2)+'LINEST VARS'!$J$54*(8*8)+'LINEST VARS'!$I$54*(8*$CI$32)+'LINEST VARS'!$H$54*(8*$BX48)+'LINEST VARS'!$G$54*(8*12.73)+'LINEST VARS'!$F$54*(8*$CI$32)+'LINEST VARS'!$E$54*(8*$BX48)+'LINEST VARS'!$D$54*(8*12.73)+'LINEST VARS'!$C$54*($CI$32*$BX48)+'LINEST VARS'!$B$54*($CI$32*12.73)+'LINEST VARS'!$A$54*($BX48*12.73)</f>
        <v>3.9624999999999999</v>
      </c>
      <c r="CJ48" s="51">
        <f>'LINEST VARS'!$U$54+'LINEST VARS'!$T$54*(8)+'LINEST VARS'!$S$54*(8)+'LINEST VARS'!$R$54*($CJ$32)+'LINEST VARS'!$Q$54*($BX48)+'LINEST VARS'!$P$54*(12.73)+'LINEST VARS'!$O$54*(8^2)+'LINEST VARS'!$N$54*(8^2)+'LINEST VARS'!$M$54*($CJ$32^2)+'LINEST VARS'!$L$54*($BX48^2)+'LINEST VARS'!$K$54*(12.73^2)+'LINEST VARS'!$J$54*(8*8)+'LINEST VARS'!$I$54*(8*$CJ$32)+'LINEST VARS'!$H$54*(8*$BX48)+'LINEST VARS'!$G$54*(8*12.73)+'LINEST VARS'!$F$54*(8*$CJ$32)+'LINEST VARS'!$E$54*(8*$BX48)+'LINEST VARS'!$D$54*(8*12.73)+'LINEST VARS'!$C$54*($CJ$32*$BX48)+'LINEST VARS'!$B$54*($CJ$32*12.73)+'LINEST VARS'!$A$54*($BX48*12.73)</f>
        <v>3.9624999999999999</v>
      </c>
      <c r="CK48" s="51">
        <f>'LINEST VARS'!$U$54+'LINEST VARS'!$T$54*(8)+'LINEST VARS'!$S$54*(8)+'LINEST VARS'!$R$54*($CK$32)+'LINEST VARS'!$Q$54*($BX48)+'LINEST VARS'!$P$54*(12.73)+'LINEST VARS'!$O$54*(8^2)+'LINEST VARS'!$N$54*(8^2)+'LINEST VARS'!$M$54*($CK$32^2)+'LINEST VARS'!$L$54*($BX48^2)+'LINEST VARS'!$K$54*(12.73^2)+'LINEST VARS'!$J$54*(8*8)+'LINEST VARS'!$I$54*(8*$CK$32)+'LINEST VARS'!$H$54*(8*$BX48)+'LINEST VARS'!$G$54*(8*12.73)+'LINEST VARS'!$F$54*(8*$CK$32)+'LINEST VARS'!$E$54*(8*$BX48)+'LINEST VARS'!$D$54*(8*12.73)+'LINEST VARS'!$C$54*($CK$32*$BX48)+'LINEST VARS'!$B$54*($CK$32*12.73)+'LINEST VARS'!$A$54*($BX48*12.73)</f>
        <v>3.9624999999999999</v>
      </c>
      <c r="CL48" s="51">
        <f>'LINEST VARS'!$U$54+'LINEST VARS'!$T$54*(8)+'LINEST VARS'!$S$54*(8)+'LINEST VARS'!$R$54*($CL$32)+'LINEST VARS'!$Q$54*($BX48)+'LINEST VARS'!$P$54*(12.73)+'LINEST VARS'!$O$54*(8^2)+'LINEST VARS'!$N$54*(8^2)+'LINEST VARS'!$M$54*($CL$32^2)+'LINEST VARS'!$L$54*($BX48^2)+'LINEST VARS'!$K$54*(12.73^2)+'LINEST VARS'!$J$54*(8*8)+'LINEST VARS'!$I$54*(8*$CL$32)+'LINEST VARS'!$H$54*(8*$BX48)+'LINEST VARS'!$G$54*(8*12.73)+'LINEST VARS'!$F$54*(8*$CL$32)+'LINEST VARS'!$E$54*(8*$BX48)+'LINEST VARS'!$D$54*(8*12.73)+'LINEST VARS'!$C$54*($CL$32*$BX48)+'LINEST VARS'!$B$54*($CL$32*12.73)+'LINEST VARS'!$A$54*($BX48*12.73)</f>
        <v>3.9624999999999999</v>
      </c>
      <c r="CM48" s="51">
        <f>'LINEST VARS'!$U$54+'LINEST VARS'!$T$54*(8)+'LINEST VARS'!$S$54*(8)+'LINEST VARS'!$R$54*($CM$32)+'LINEST VARS'!$Q$54*($BX48)+'LINEST VARS'!$P$54*(12.73)+'LINEST VARS'!$O$54*(8^2)+'LINEST VARS'!$N$54*(8^2)+'LINEST VARS'!$M$54*($CM$32^2)+'LINEST VARS'!$L$54*($BX48^2)+'LINEST VARS'!$K$54*(12.73^2)+'LINEST VARS'!$J$54*(8*8)+'LINEST VARS'!$I$54*(8*$CM$32)+'LINEST VARS'!$H$54*(8*$BX48)+'LINEST VARS'!$G$54*(8*12.73)+'LINEST VARS'!$F$54*(8*$CM$32)+'LINEST VARS'!$E$54*(8*$BX48)+'LINEST VARS'!$D$54*(8*12.73)+'LINEST VARS'!$C$54*($CM$32*$BX48)+'LINEST VARS'!$B$54*($CM$32*12.73)+'LINEST VARS'!$A$54*($BX48*12.73)</f>
        <v>3.9624999999999999</v>
      </c>
      <c r="CN48" s="51">
        <f>'LINEST VARS'!$U$54+'LINEST VARS'!$T$54*(8)+'LINEST VARS'!$S$54*(8)+'LINEST VARS'!$R$54*($CN$32)+'LINEST VARS'!$Q$54*($BX48)+'LINEST VARS'!$P$54*(12.73)+'LINEST VARS'!$O$54*(8^2)+'LINEST VARS'!$N$54*(8^2)+'LINEST VARS'!$M$54*($CN$32^2)+'LINEST VARS'!$L$54*($BX48^2)+'LINEST VARS'!$K$54*(12.73^2)+'LINEST VARS'!$J$54*(8*8)+'LINEST VARS'!$I$54*(8*$CN$32)+'LINEST VARS'!$H$54*(8*$BX48)+'LINEST VARS'!$G$54*(8*12.73)+'LINEST VARS'!$F$54*(8*$CN$32)+'LINEST VARS'!$E$54*(8*$BX48)+'LINEST VARS'!$D$54*(8*12.73)+'LINEST VARS'!$C$54*($CN$32*$BX48)+'LINEST VARS'!$B$54*($CN$32*12.73)+'LINEST VARS'!$A$54*($BX48*12.73)</f>
        <v>3.9624999999999999</v>
      </c>
      <c r="CO48" s="51">
        <f>'LINEST VARS'!$U$54+'LINEST VARS'!$T$54*(8)+'LINEST VARS'!$S$54*(8)+'LINEST VARS'!$R$54*($CO$32)+'LINEST VARS'!$Q$54*($BX48)+'LINEST VARS'!$P$54*(12.73)+'LINEST VARS'!$O$54*(8^2)+'LINEST VARS'!$N$54*(8^2)+'LINEST VARS'!$M$54*($CO$32^2)+'LINEST VARS'!$L$54*($BX48^2)+'LINEST VARS'!$K$54*(12.73^2)+'LINEST VARS'!$J$54*(8*8)+'LINEST VARS'!$I$54*(8*$CO$32)+'LINEST VARS'!$H$54*(8*$BX48)+'LINEST VARS'!$G$54*(8*12.73)+'LINEST VARS'!$F$54*(8*$CO$32)+'LINEST VARS'!$E$54*(8*$BX48)+'LINEST VARS'!$D$54*(8*12.73)+'LINEST VARS'!$C$54*($CO$32*$BX48)+'LINEST VARS'!$B$54*($CO$32*12.73)+'LINEST VARS'!$A$54*($BX48*12.73)</f>
        <v>3.9624999999999999</v>
      </c>
      <c r="CP48" s="51">
        <f>'LINEST VARS'!$U$54+'LINEST VARS'!$T$54*(8)+'LINEST VARS'!$S$54*(8)+'LINEST VARS'!$R$54*($CP$32)+'LINEST VARS'!$Q$54*($BX48)+'LINEST VARS'!$P$54*(12.73)+'LINEST VARS'!$O$54*(8^2)+'LINEST VARS'!$N$54*(8^2)+'LINEST VARS'!$M$54*($CP$32^2)+'LINEST VARS'!$L$54*($BX48^2)+'LINEST VARS'!$K$54*(12.73^2)+'LINEST VARS'!$J$54*(8*8)+'LINEST VARS'!$I$54*(8*$CP$32)+'LINEST VARS'!$H$54*(8*$BX48)+'LINEST VARS'!$G$54*(8*12.73)+'LINEST VARS'!$F$54*(8*$CP$32)+'LINEST VARS'!$E$54*(8*$BX48)+'LINEST VARS'!$D$54*(8*12.73)+'LINEST VARS'!$C$54*($CP$32*$BX48)+'LINEST VARS'!$B$54*($CP$32*12.73)+'LINEST VARS'!$A$54*($BX48*12.73)</f>
        <v>3.9624999999999999</v>
      </c>
      <c r="CQ48" s="51">
        <f>'LINEST VARS'!$U$54+'LINEST VARS'!$T$54*(8)+'LINEST VARS'!$S$54*(8)+'LINEST VARS'!$R$54*($CQ$32)+'LINEST VARS'!$Q$54*($BX48)+'LINEST VARS'!$P$54*(12.73)+'LINEST VARS'!$O$54*(8^2)+'LINEST VARS'!$N$54*(8^2)+'LINEST VARS'!$M$54*($CQ$32^2)+'LINEST VARS'!$L$54*($BX48^2)+'LINEST VARS'!$K$54*(12.73^2)+'LINEST VARS'!$J$54*(8*8)+'LINEST VARS'!$I$54*(8*$CQ$32)+'LINEST VARS'!$H$54*(8*$BX48)+'LINEST VARS'!$G$54*(8*12.73)+'LINEST VARS'!$F$54*(8*$CQ$32)+'LINEST VARS'!$E$54*(8*$BX48)+'LINEST VARS'!$D$54*(8*12.73)+'LINEST VARS'!$C$54*($CQ$32*$BX48)+'LINEST VARS'!$B$54*($CQ$32*12.73)+'LINEST VARS'!$A$54*($BX48*12.73)</f>
        <v>3.9624999999999999</v>
      </c>
      <c r="CR48" s="51">
        <f>'LINEST VARS'!$U$54+'LINEST VARS'!$T$54*(8)+'LINEST VARS'!$S$54*(8)+'LINEST VARS'!$R$54*($CR$32)+'LINEST VARS'!$Q$54*($BX48)+'LINEST VARS'!$P$54*(12.73)+'LINEST VARS'!$O$54*(8^2)+'LINEST VARS'!$N$54*(8^2)+'LINEST VARS'!$M$54*($CR$32^2)+'LINEST VARS'!$L$54*($BX48^2)+'LINEST VARS'!$K$54*(12.73^2)+'LINEST VARS'!$J$54*(8*8)+'LINEST VARS'!$I$54*(8*$CR$32)+'LINEST VARS'!$H$54*(8*$BX48)+'LINEST VARS'!$G$54*(8*12.73)+'LINEST VARS'!$F$54*(8*$CR$32)+'LINEST VARS'!$E$54*(8*$BX48)+'LINEST VARS'!$D$54*(8*12.73)+'LINEST VARS'!$C$54*($CR$32*$BX48)+'LINEST VARS'!$B$54*($CR$32*12.73)+'LINEST VARS'!$A$54*($BX48*12.73)</f>
        <v>3.9624999999999999</v>
      </c>
      <c r="CS48" s="52">
        <f>'LINEST VARS'!$U$54+'LINEST VARS'!$T$54*(8)+'LINEST VARS'!$S$54*(8)+'LINEST VARS'!$R$54*($CS$32)+'LINEST VARS'!$Q$54*($BX48)+'LINEST VARS'!$P$54*(12.73)+'LINEST VARS'!$O$54*(8^2)+'LINEST VARS'!$N$54*(8^2)+'LINEST VARS'!$M$54*($CS$32^2)+'LINEST VARS'!$L$54*($BX48^2)+'LINEST VARS'!$K$54*(12.73^2)+'LINEST VARS'!$J$54*(8*8)+'LINEST VARS'!$I$54*(8*$CS$32)+'LINEST VARS'!$H$54*(8*$BX48)+'LINEST VARS'!$G$54*(8*12.73)+'LINEST VARS'!$F$54*(8*$CS$32)+'LINEST VARS'!$E$54*(8*$BX48)+'LINEST VARS'!$D$54*(8*12.73)+'LINEST VARS'!$C$54*($CS$32*$BX48)+'LINEST VARS'!$B$54*($CS$32*12.73)+'LINEST VARS'!$A$54*($BX48*12.73)</f>
        <v>3.9624999999999999</v>
      </c>
      <c r="CX48" s="45">
        <v>19.4925</v>
      </c>
      <c r="CY48" s="51">
        <f>'LINEST VARS'!$U$52+'LINEST VARS'!$T$52*(8)+'LINEST VARS'!$S$52*(8)+'LINEST VARS'!$R$52*($CY$32)+'LINEST VARS'!$Q$52*(0.5)+'LINEST VARS'!$P$52*($CX48)+'LINEST VARS'!$O$52*(8^2)+'LINEST VARS'!$N$52*(8^2)+'LINEST VARS'!$M$52*($CY$32^2)+'LINEST VARS'!$L$52*(0.5^2)+'LINEST VARS'!$K$52*($CX48^2)+'LINEST VARS'!$J$52*(8*8)+'LINEST VARS'!$I$52*(8*$CY$32)+'LINEST VARS'!$H$52*(8*0.5)+'LINEST VARS'!$G$52*(8*$CX48)+'LINEST VARS'!$F$52*(8*$CY$32)+'LINEST VARS'!$E$52*(8*0.5)+'LINEST VARS'!$D$52*(8*$CX48)+'LINEST VARS'!$C$52*($CY$32*0.5)+'LINEST VARS'!$B$52*($CY$32*$CX48)+'LINEST VARS'!$A$52*(0.5*$CX48)</f>
        <v>4.4499999999999984</v>
      </c>
      <c r="CZ48" s="51">
        <f>'LINEST VARS'!$U$52+'LINEST VARS'!$T$52*(8)+'LINEST VARS'!$S$52*(8)+'LINEST VARS'!$R$52*($CZ$32)+'LINEST VARS'!$Q$52*(0.5)+'LINEST VARS'!$P$52*($CX48)+'LINEST VARS'!$O$52*(8^2)+'LINEST VARS'!$N$52*(8^2)+'LINEST VARS'!$M$52*($CZ$32^2)+'LINEST VARS'!$L$52*(0.5^2)+'LINEST VARS'!$K$52*($CX48^2)+'LINEST VARS'!$J$52*(8*8)+'LINEST VARS'!$I$52*(8*$CZ$32)+'LINEST VARS'!$H$52*(8*0.5)+'LINEST VARS'!$G$52*(8*$CX48)+'LINEST VARS'!$F$52*(8*$CZ$32)+'LINEST VARS'!$E$52*(8*0.5)+'LINEST VARS'!$D$52*(8*$CX48)+'LINEST VARS'!$C$52*($CZ$32*0.5)+'LINEST VARS'!$B$52*($CZ$32*$CX48)+'LINEST VARS'!$A$52*(0.5*$CX48)</f>
        <v>4.4499999999999984</v>
      </c>
      <c r="DA48" s="51">
        <f>'LINEST VARS'!$U$52+'LINEST VARS'!$T$52*(8)+'LINEST VARS'!$S$52*(8)+'LINEST VARS'!$R$52*($DA$32)+'LINEST VARS'!$Q$52*(0.5)+'LINEST VARS'!$P$52*($CX48)+'LINEST VARS'!$O$52*(8^2)+'LINEST VARS'!$N$52*(8^2)+'LINEST VARS'!$M$52*($DA$32^2)+'LINEST VARS'!$L$52*(0.5^2)+'LINEST VARS'!$K$52*($CX48^2)+'LINEST VARS'!$J$52*(8*8)+'LINEST VARS'!$I$52*(8*$DA$32)+'LINEST VARS'!$H$52*(8*0.5)+'LINEST VARS'!$G$52*(8*$CX48)+'LINEST VARS'!$F$52*(8*$DA$32)+'LINEST VARS'!$E$52*(8*0.5)+'LINEST VARS'!$D$52*(8*$CX48)+'LINEST VARS'!$C$52*($DA$32*0.5)+'LINEST VARS'!$B$52*($DA$32*$CX48)+'LINEST VARS'!$A$52*(0.5*$CX48)</f>
        <v>4.4499999999999984</v>
      </c>
      <c r="DB48" s="51">
        <f>'LINEST VARS'!$U$52+'LINEST VARS'!$T$52*(8)+'LINEST VARS'!$S$52*(8)+'LINEST VARS'!$R$52*($DB$32)+'LINEST VARS'!$Q$52*(0.5)+'LINEST VARS'!$P$52*($CX48)+'LINEST VARS'!$O$52*(8^2)+'LINEST VARS'!$N$52*(8^2)+'LINEST VARS'!$M$52*($DB$32^2)+'LINEST VARS'!$L$52*(0.5^2)+'LINEST VARS'!$K$52*($CX48^2)+'LINEST VARS'!$J$52*(8*8)+'LINEST VARS'!$I$52*(8*$DB$32)+'LINEST VARS'!$H$52*(8*0.5)+'LINEST VARS'!$G$52*(8*$CX48)+'LINEST VARS'!$F$52*(8*$DB$32)+'LINEST VARS'!$E$52*(8*0.5)+'LINEST VARS'!$D$52*(8*$CX48)+'LINEST VARS'!$C$52*($DB$32*0.5)+'LINEST VARS'!$B$52*($DB$32*$CX48)+'LINEST VARS'!$A$52*(0.5*$CX48)</f>
        <v>4.4499999999999984</v>
      </c>
      <c r="DC48" s="51">
        <f>'LINEST VARS'!$U$52+'LINEST VARS'!$T$52*(8)+'LINEST VARS'!$S$52*(8)+'LINEST VARS'!$R$52*($DC$32)+'LINEST VARS'!$Q$52*(0.5)+'LINEST VARS'!$P$52*($CX48)+'LINEST VARS'!$O$52*(8^2)+'LINEST VARS'!$N$52*(8^2)+'LINEST VARS'!$M$52*($DC$32^2)+'LINEST VARS'!$L$52*(0.5^2)+'LINEST VARS'!$K$52*($CX48^2)+'LINEST VARS'!$J$52*(8*8)+'LINEST VARS'!$I$52*(8*$DC$32)+'LINEST VARS'!$H$52*(8*0.5)+'LINEST VARS'!$G$52*(8*$CX48)+'LINEST VARS'!$F$52*(8*$DC$32)+'LINEST VARS'!$E$52*(8*0.5)+'LINEST VARS'!$D$52*(8*$CX48)+'LINEST VARS'!$C$52*($DC$32*0.5)+'LINEST VARS'!$B$52*($DC$32*$CX48)+'LINEST VARS'!$A$52*(0.5*$CX48)</f>
        <v>4.4499999999999984</v>
      </c>
      <c r="DD48" s="51">
        <f>'LINEST VARS'!$U$52+'LINEST VARS'!$T$52*(8)+'LINEST VARS'!$S$52*(8)+'LINEST VARS'!$R$52*($DD$32)+'LINEST VARS'!$Q$52*(0.5)+'LINEST VARS'!$P$52*($CX48)+'LINEST VARS'!$O$52*(8^2)+'LINEST VARS'!$N$52*(8^2)+'LINEST VARS'!$M$52*($DD$32^2)+'LINEST VARS'!$L$52*(0.5^2)+'LINEST VARS'!$K$52*($CX48^2)+'LINEST VARS'!$J$52*(8*8)+'LINEST VARS'!$I$52*(8*$DD$32)+'LINEST VARS'!$H$52*(8*0.5)+'LINEST VARS'!$G$52*(8*$CX48)+'LINEST VARS'!$F$52*(8*$DD$32)+'LINEST VARS'!$E$52*(8*0.5)+'LINEST VARS'!$D$52*(8*$CX48)+'LINEST VARS'!$C$52*($DD$32*0.5)+'LINEST VARS'!$B$52*($DD$32*$CX48)+'LINEST VARS'!$A$52*(0.5*$CX48)</f>
        <v>4.4499999999999984</v>
      </c>
      <c r="DE48" s="51">
        <f>'LINEST VARS'!$U$52+'LINEST VARS'!$T$52*(8)+'LINEST VARS'!$S$52*(8)+'LINEST VARS'!$R$52*($DE$32)+'LINEST VARS'!$Q$52*(0.5)+'LINEST VARS'!$P$52*($CX48)+'LINEST VARS'!$O$52*(8^2)+'LINEST VARS'!$N$52*(8^2)+'LINEST VARS'!$M$52*($DE$32^2)+'LINEST VARS'!$L$52*(0.5^2)+'LINEST VARS'!$K$52*($CX48^2)+'LINEST VARS'!$J$52*(8*8)+'LINEST VARS'!$I$52*(8*$DE$32)+'LINEST VARS'!$H$52*(8*0.5)+'LINEST VARS'!$G$52*(8*$CX48)+'LINEST VARS'!$F$52*(8*$DE$32)+'LINEST VARS'!$E$52*(8*0.5)+'LINEST VARS'!$D$52*(8*$CX48)+'LINEST VARS'!$C$52*($DE$32*0.5)+'LINEST VARS'!$B$52*($DE$32*$CX48)+'LINEST VARS'!$A$52*(0.5*$CX48)</f>
        <v>4.4499999999999984</v>
      </c>
      <c r="DF48" s="51">
        <f>'LINEST VARS'!$U$52+'LINEST VARS'!$T$52*(8)+'LINEST VARS'!$S$52*(8)+'LINEST VARS'!$R$52*($DF$32)+'LINEST VARS'!$Q$52*(0.5)+'LINEST VARS'!$P$52*($CX48)+'LINEST VARS'!$O$52*(8^2)+'LINEST VARS'!$N$52*(8^2)+'LINEST VARS'!$M$52*($DF$32^2)+'LINEST VARS'!$L$52*(0.5^2)+'LINEST VARS'!$K$52*($CX48^2)+'LINEST VARS'!$J$52*(8*8)+'LINEST VARS'!$I$52*(8*$DF$32)+'LINEST VARS'!$H$52*(8*0.5)+'LINEST VARS'!$G$52*(8*$CX48)+'LINEST VARS'!$F$52*(8*$DF$32)+'LINEST VARS'!$E$52*(8*0.5)+'LINEST VARS'!$D$52*(8*$CX48)+'LINEST VARS'!$C$52*($DF$32*0.5)+'LINEST VARS'!$B$52*($DF$32*$CX48)+'LINEST VARS'!$A$52*(0.5*$CX48)</f>
        <v>4.4499999999999984</v>
      </c>
      <c r="DG48" s="51">
        <f>'LINEST VARS'!$U$52+'LINEST VARS'!$T$52*(8)+'LINEST VARS'!$S$52*(8)+'LINEST VARS'!$R$52*($DG$32)+'LINEST VARS'!$Q$52*(0.5)+'LINEST VARS'!$P$52*($CX48)+'LINEST VARS'!$O$52*(8^2)+'LINEST VARS'!$N$52*(8^2)+'LINEST VARS'!$M$52*($DG$32^2)+'LINEST VARS'!$L$52*(0.5^2)+'LINEST VARS'!$K$52*($CX48^2)+'LINEST VARS'!$J$52*(8*8)+'LINEST VARS'!$I$52*(8*$DG$32)+'LINEST VARS'!$H$52*(8*0.5)+'LINEST VARS'!$G$52*(8*$CX48)+'LINEST VARS'!$F$52*(8*$DG$32)+'LINEST VARS'!$E$52*(8*0.5)+'LINEST VARS'!$D$52*(8*$CX48)+'LINEST VARS'!$C$52*($DG$32*0.5)+'LINEST VARS'!$B$52*($DG$32*$CX48)+'LINEST VARS'!$A$52*(0.5*$CX48)</f>
        <v>4.4499999999999984</v>
      </c>
      <c r="DH48" s="51">
        <f>'LINEST VARS'!$U$52+'LINEST VARS'!$T$52*(8)+'LINEST VARS'!$S$52*(8)+'LINEST VARS'!$R$52*($DH$32)+'LINEST VARS'!$Q$52*(0.5)+'LINEST VARS'!$P$52*($CX48)+'LINEST VARS'!$O$52*(8^2)+'LINEST VARS'!$N$52*(8^2)+'LINEST VARS'!$M$52*($DH$32^2)+'LINEST VARS'!$L$52*(0.5^2)+'LINEST VARS'!$K$52*($CX48^2)+'LINEST VARS'!$J$52*(8*8)+'LINEST VARS'!$I$52*(8*$DH$32)+'LINEST VARS'!$H$52*(8*0.5)+'LINEST VARS'!$G$52*(8*$CX48)+'LINEST VARS'!$F$52*(8*$DH$32)+'LINEST VARS'!$E$52*(8*0.5)+'LINEST VARS'!$D$52*(8*$CX48)+'LINEST VARS'!$C$52*($DH$32*0.5)+'LINEST VARS'!$B$52*($DH$32*$CX48)+'LINEST VARS'!$A$52*(0.5*$CX48)</f>
        <v>4.4499999999999984</v>
      </c>
      <c r="DI48" s="51">
        <f>'LINEST VARS'!$U$52+'LINEST VARS'!$T$52*(8)+'LINEST VARS'!$S$52*(8)+'LINEST VARS'!$R$52*($DI$32)+'LINEST VARS'!$Q$52*(0.5)+'LINEST VARS'!$P$52*($CX48)+'LINEST VARS'!$O$52*(8^2)+'LINEST VARS'!$N$52*(8^2)+'LINEST VARS'!$M$52*($DI$32^2)+'LINEST VARS'!$L$52*(0.5^2)+'LINEST VARS'!$K$52*($CX48^2)+'LINEST VARS'!$J$52*(8*8)+'LINEST VARS'!$I$52*(8*$DI$32)+'LINEST VARS'!$H$52*(8*0.5)+'LINEST VARS'!$G$52*(8*$CX48)+'LINEST VARS'!$F$52*(8*$DI$32)+'LINEST VARS'!$E$52*(8*0.5)+'LINEST VARS'!$D$52*(8*$CX48)+'LINEST VARS'!$C$52*($DI$32*0.5)+'LINEST VARS'!$B$52*($DI$32*$CX48)+'LINEST VARS'!$A$52*(0.5*$CX48)</f>
        <v>4.4499999999999984</v>
      </c>
      <c r="DJ48" s="51">
        <f>'LINEST VARS'!$U$52+'LINEST VARS'!$T$52*(8)+'LINEST VARS'!$S$52*(8)+'LINEST VARS'!$R$52*($DJ$32)+'LINEST VARS'!$Q$52*(0.5)+'LINEST VARS'!$P$52*($CX48)+'LINEST VARS'!$O$52*(8^2)+'LINEST VARS'!$N$52*(8^2)+'LINEST VARS'!$M$52*($DJ$32^2)+'LINEST VARS'!$L$52*(0.5^2)+'LINEST VARS'!$K$52*($CX48^2)+'LINEST VARS'!$J$52*(8*8)+'LINEST VARS'!$I$52*(8*$DJ$32)+'LINEST VARS'!$H$52*(8*0.5)+'LINEST VARS'!$G$52*(8*$CX48)+'LINEST VARS'!$F$52*(8*$DJ$32)+'LINEST VARS'!$E$52*(8*0.5)+'LINEST VARS'!$D$52*(8*$CX48)+'LINEST VARS'!$C$52*($DJ$32*0.5)+'LINEST VARS'!$B$52*($DJ$32*$CX48)+'LINEST VARS'!$A$52*(0.5*$CX48)</f>
        <v>4.4499999999999984</v>
      </c>
      <c r="DK48" s="51">
        <f>'LINEST VARS'!$U$52+'LINEST VARS'!$T$52*(8)+'LINEST VARS'!$S$52*(8)+'LINEST VARS'!$R$52*($DK$32)+'LINEST VARS'!$Q$52*(0.5)+'LINEST VARS'!$P$52*($CX48)+'LINEST VARS'!$O$52*(8^2)+'LINEST VARS'!$N$52*(8^2)+'LINEST VARS'!$M$52*($DK$32^2)+'LINEST VARS'!$L$52*(0.5^2)+'LINEST VARS'!$K$52*($CX48^2)+'LINEST VARS'!$J$52*(8*8)+'LINEST VARS'!$I$52*(8*$DK$32)+'LINEST VARS'!$H$52*(8*0.5)+'LINEST VARS'!$G$52*(8*$CX48)+'LINEST VARS'!$F$52*(8*$DK$32)+'LINEST VARS'!$E$52*(8*0.5)+'LINEST VARS'!$D$52*(8*$CX48)+'LINEST VARS'!$C$52*($DK$32*0.5)+'LINEST VARS'!$B$52*($DK$32*$CX48)+'LINEST VARS'!$A$52*(0.5*$CX48)</f>
        <v>4.4499999999999984</v>
      </c>
      <c r="DL48" s="51">
        <f>'LINEST VARS'!$U$52+'LINEST VARS'!$T$52*(8)+'LINEST VARS'!$S$52*(8)+'LINEST VARS'!$R$52*($DL$32)+'LINEST VARS'!$Q$52*(0.5)+'LINEST VARS'!$P$52*($CX48)+'LINEST VARS'!$O$52*(8^2)+'LINEST VARS'!$N$52*(8^2)+'LINEST VARS'!$M$52*($DL$32^2)+'LINEST VARS'!$L$52*(0.5^2)+'LINEST VARS'!$K$52*($CX48^2)+'LINEST VARS'!$J$52*(8*8)+'LINEST VARS'!$I$52*(8*$DL$32)+'LINEST VARS'!$H$52*(8*0.5)+'LINEST VARS'!$G$52*(8*$CX48)+'LINEST VARS'!$F$52*(8*$DL$32)+'LINEST VARS'!$E$52*(8*0.5)+'LINEST VARS'!$D$52*(8*$CX48)+'LINEST VARS'!$C$52*($DL$32*0.5)+'LINEST VARS'!$B$52*($DL$32*$CX48)+'LINEST VARS'!$A$52*(0.5*$CX48)</f>
        <v>4.4499999999999984</v>
      </c>
      <c r="DM48" s="51">
        <f>'LINEST VARS'!$U$52+'LINEST VARS'!$T$52*(8)+'LINEST VARS'!$S$52*(8)+'LINEST VARS'!$R$52*($DM$32)+'LINEST VARS'!$Q$52*(0.5)+'LINEST VARS'!$P$52*($CX48)+'LINEST VARS'!$O$52*(8^2)+'LINEST VARS'!$N$52*(8^2)+'LINEST VARS'!$M$52*($DM$32^2)+'LINEST VARS'!$L$52*(0.5^2)+'LINEST VARS'!$K$52*($CX48^2)+'LINEST VARS'!$J$52*(8*8)+'LINEST VARS'!$I$52*(8*$DM$32)+'LINEST VARS'!$H$52*(8*0.5)+'LINEST VARS'!$G$52*(8*$CX48)+'LINEST VARS'!$F$52*(8*$DM$32)+'LINEST VARS'!$E$52*(8*0.5)+'LINEST VARS'!$D$52*(8*$CX48)+'LINEST VARS'!$C$52*($DM$32*0.5)+'LINEST VARS'!$B$52*($DM$32*$CX48)+'LINEST VARS'!$A$52*(0.5*$CX48)</f>
        <v>4.4499999999999984</v>
      </c>
      <c r="DN48" s="51">
        <f>'LINEST VARS'!$U$52+'LINEST VARS'!$T$52*(8)+'LINEST VARS'!$S$52*(8)+'LINEST VARS'!$R$52*($DN$32)+'LINEST VARS'!$Q$52*(0.5)+'LINEST VARS'!$P$52*($CX48)+'LINEST VARS'!$O$52*(8^2)+'LINEST VARS'!$N$52*(8^2)+'LINEST VARS'!$M$52*($DN$32^2)+'LINEST VARS'!$L$52*(0.5^2)+'LINEST VARS'!$K$52*($CX48^2)+'LINEST VARS'!$J$52*(8*8)+'LINEST VARS'!$I$52*(8*$DN$32)+'LINEST VARS'!$H$52*(8*0.5)+'LINEST VARS'!$G$52*(8*$CX48)+'LINEST VARS'!$F$52*(8*$DN$32)+'LINEST VARS'!$E$52*(8*0.5)+'LINEST VARS'!$D$52*(8*$CX48)+'LINEST VARS'!$C$52*($DN$32*0.5)+'LINEST VARS'!$B$52*($DN$32*$CX48)+'LINEST VARS'!$A$52*(0.5*$CX48)</f>
        <v>4.4499999999999984</v>
      </c>
      <c r="DO48" s="51">
        <f>'LINEST VARS'!$U$52+'LINEST VARS'!$T$52*(8)+'LINEST VARS'!$S$52*(8)+'LINEST VARS'!$R$52*($DO$32)+'LINEST VARS'!$Q$52*(0.5)+'LINEST VARS'!$P$52*($CX48)+'LINEST VARS'!$O$52*(8^2)+'LINEST VARS'!$N$52*(8^2)+'LINEST VARS'!$M$52*($DO$32^2)+'LINEST VARS'!$L$52*(0.5^2)+'LINEST VARS'!$K$52*($CX48^2)+'LINEST VARS'!$J$52*(8*8)+'LINEST VARS'!$I$52*(8*$DO$32)+'LINEST VARS'!$H$52*(8*0.5)+'LINEST VARS'!$G$52*(8*$CX48)+'LINEST VARS'!$F$52*(8*$DO$32)+'LINEST VARS'!$E$52*(8*0.5)+'LINEST VARS'!$D$52*(8*$CX48)+'LINEST VARS'!$C$52*($DO$32*0.5)+'LINEST VARS'!$B$52*($DO$32*$CX48)+'LINEST VARS'!$A$52*(0.5*$CX48)</f>
        <v>4.4499999999999984</v>
      </c>
      <c r="DP48" s="51">
        <f>'LINEST VARS'!$U$52+'LINEST VARS'!$T$52*(8)+'LINEST VARS'!$S$52*(8)+'LINEST VARS'!$R$52*($DP$32)+'LINEST VARS'!$Q$52*(0.5)+'LINEST VARS'!$P$52*($CX48)+'LINEST VARS'!$O$52*(8^2)+'LINEST VARS'!$N$52*(8^2)+'LINEST VARS'!$M$52*($DP$32^2)+'LINEST VARS'!$L$52*(0.5^2)+'LINEST VARS'!$K$52*($CX48^2)+'LINEST VARS'!$J$52*(8*8)+'LINEST VARS'!$I$52*(8*$DP$32)+'LINEST VARS'!$H$52*(8*0.5)+'LINEST VARS'!$G$52*(8*$CX48)+'LINEST VARS'!$F$52*(8*$DP$32)+'LINEST VARS'!$E$52*(8*0.5)+'LINEST VARS'!$D$52*(8*$CX48)+'LINEST VARS'!$C$52*($DP$32*0.5)+'LINEST VARS'!$B$52*($DP$32*$CX48)+'LINEST VARS'!$A$52*(0.5*$CX48)</f>
        <v>4.4499999999999984</v>
      </c>
      <c r="DQ48" s="51">
        <f>'LINEST VARS'!$U$52+'LINEST VARS'!$T$52*(8)+'LINEST VARS'!$S$52*(8)+'LINEST VARS'!$R$52*($DQ$32)+'LINEST VARS'!$Q$52*(0.5)+'LINEST VARS'!$P$52*($CX48)+'LINEST VARS'!$O$52*(8^2)+'LINEST VARS'!$N$52*(8^2)+'LINEST VARS'!$M$52*($DQ$32^2)+'LINEST VARS'!$L$52*(0.5^2)+'LINEST VARS'!$K$52*($CX48^2)+'LINEST VARS'!$J$52*(8*8)+'LINEST VARS'!$I$52*(8*$DQ$32)+'LINEST VARS'!$H$52*(8*0.5)+'LINEST VARS'!$G$52*(8*$CX48)+'LINEST VARS'!$F$52*(8*$DQ$32)+'LINEST VARS'!$E$52*(8*0.5)+'LINEST VARS'!$D$52*(8*$CX48)+'LINEST VARS'!$C$52*($DQ$32*0.5)+'LINEST VARS'!$B$52*($DQ$32*$CX48)+'LINEST VARS'!$A$52*(0.5*$CX48)</f>
        <v>4.4499999999999984</v>
      </c>
      <c r="DR48" s="51">
        <f>'LINEST VARS'!$U$52+'LINEST VARS'!$T$52*(8)+'LINEST VARS'!$S$52*(8)+'LINEST VARS'!$R$52*($DR$32)+'LINEST VARS'!$Q$52*(0.5)+'LINEST VARS'!$P$52*($CX48)+'LINEST VARS'!$O$52*(8^2)+'LINEST VARS'!$N$52*(8^2)+'LINEST VARS'!$M$52*($DR$32^2)+'LINEST VARS'!$L$52*(0.5^2)+'LINEST VARS'!$K$52*($CX48^2)+'LINEST VARS'!$J$52*(8*8)+'LINEST VARS'!$I$52*(8*$DR$32)+'LINEST VARS'!$H$52*(8*0.5)+'LINEST VARS'!$G$52*(8*$CX48)+'LINEST VARS'!$F$52*(8*$DR$32)+'LINEST VARS'!$E$52*(8*0.5)+'LINEST VARS'!$D$52*(8*$CX48)+'LINEST VARS'!$C$52*($DR$32*0.5)+'LINEST VARS'!$B$52*($DR$32*$CX48)+'LINEST VARS'!$A$52*(0.5*$CX48)</f>
        <v>4.4499999999999984</v>
      </c>
      <c r="DS48" s="52">
        <f>'LINEST VARS'!$U$52+'LINEST VARS'!$T$52*(8)+'LINEST VARS'!$S$52*(8)+'LINEST VARS'!$R$52*($DS$32)+'LINEST VARS'!$Q$52*(0.5)+'LINEST VARS'!$P$52*($CX48)+'LINEST VARS'!$O$52*(8^2)+'LINEST VARS'!$N$52*(8^2)+'LINEST VARS'!$M$52*($DS$32^2)+'LINEST VARS'!$L$52*(0.5^2)+'LINEST VARS'!$K$52*($CX48^2)+'LINEST VARS'!$J$52*(8*8)+'LINEST VARS'!$I$52*(8*$DS$32)+'LINEST VARS'!$H$52*(8*0.5)+'LINEST VARS'!$G$52*(8*$CX48)+'LINEST VARS'!$F$52*(8*$DS$32)+'LINEST VARS'!$E$52*(8*0.5)+'LINEST VARS'!$D$52*(8*$CX48)+'LINEST VARS'!$C$52*($DS$32*0.5)+'LINEST VARS'!$B$52*($DS$32*$CX48)+'LINEST VARS'!$A$52*(0.5*$CX48)</f>
        <v>4.4499999999999984</v>
      </c>
      <c r="DV48" s="45">
        <v>19.4925</v>
      </c>
      <c r="DW48" s="51">
        <f>'LINEST VARS'!$U$54+'LINEST VARS'!$T$54*(8)+'LINEST VARS'!$S$54*(8)+'LINEST VARS'!$R$54*($DW$32)+'LINEST VARS'!$Q$54*(0.5)+'LINEST VARS'!$P$54*($DV48)+'LINEST VARS'!$O$54*(8^2)+'LINEST VARS'!$N$54*(8^2)+'LINEST VARS'!$M$54*($DW$32^2)+'LINEST VARS'!$L$54*(0.5^2)+'LINEST VARS'!$K$54*($DV48^2)+'LINEST VARS'!$J$54*(8*8)+'LINEST VARS'!$I$54*(8*$DW$32)+'LINEST VARS'!$H$54*(8*0.5)+'LINEST VARS'!$G$54*(8*$DV48)+'LINEST VARS'!$F$54*(8*$DW$32)+'LINEST VARS'!$E$54*(8*0.5)+'LINEST VARS'!$D$54*(8*$DV48)+'LINEST VARS'!$C$54*($DW$32*0.5)+'LINEST VARS'!$B$54*($DW$32*$DV48)+'LINEST VARS'!$A$54*(0.5*$DV48)</f>
        <v>3.9749999999999996</v>
      </c>
      <c r="DX48" s="51">
        <f>'LINEST VARS'!$U$54+'LINEST VARS'!$T$54*(8)+'LINEST VARS'!$S$54*(8)+'LINEST VARS'!$R$54*($DX$32)+'LINEST VARS'!$Q$54*(0.5)+'LINEST VARS'!$P$54*($DV48)+'LINEST VARS'!$O$54*(8^2)+'LINEST VARS'!$N$54*(8^2)+'LINEST VARS'!$M$54*($DX$32^2)+'LINEST VARS'!$L$54*(0.5^2)+'LINEST VARS'!$K$54*($DV48^2)+'LINEST VARS'!$J$54*(8*8)+'LINEST VARS'!$I$54*(8*$DX$32)+'LINEST VARS'!$H$54*(8*0.5)+'LINEST VARS'!$G$54*(8*$DV48)+'LINEST VARS'!$F$54*(8*$DX$32)+'LINEST VARS'!$E$54*(8*0.5)+'LINEST VARS'!$D$54*(8*$DV48)+'LINEST VARS'!$C$54*($DX$32*0.5)+'LINEST VARS'!$B$54*($DX$32*$DV48)+'LINEST VARS'!$A$54*(0.5*$DV48)</f>
        <v>3.9749999999999996</v>
      </c>
      <c r="DY48" s="51">
        <f>'LINEST VARS'!$U$54+'LINEST VARS'!$T$54*(8)+'LINEST VARS'!$S$54*(8)+'LINEST VARS'!$R$54*($DY$32)+'LINEST VARS'!$Q$54*(0.5)+'LINEST VARS'!$P$54*($DV48)+'LINEST VARS'!$O$54*(8^2)+'LINEST VARS'!$N$54*(8^2)+'LINEST VARS'!$M$54*($DY$32^2)+'LINEST VARS'!$L$54*(0.5^2)+'LINEST VARS'!$K$54*($DV48^2)+'LINEST VARS'!$J$54*(8*8)+'LINEST VARS'!$I$54*(8*$DY$32)+'LINEST VARS'!$H$54*(8*0.5)+'LINEST VARS'!$G$54*(8*$DV48)+'LINEST VARS'!$F$54*(8*$DY$32)+'LINEST VARS'!$E$54*(8*0.5)+'LINEST VARS'!$D$54*(8*$DV48)+'LINEST VARS'!$C$54*($DY$32*0.5)+'LINEST VARS'!$B$54*($DY$32*$DV48)+'LINEST VARS'!$A$54*(0.5*$DV48)</f>
        <v>3.9749999999999996</v>
      </c>
      <c r="DZ48" s="51">
        <f>'LINEST VARS'!$U$54+'LINEST VARS'!$T$54*(8)+'LINEST VARS'!$S$54*(8)+'LINEST VARS'!$R$54*($DZ$32)+'LINEST VARS'!$Q$54*(0.5)+'LINEST VARS'!$P$54*($DV48)+'LINEST VARS'!$O$54*(8^2)+'LINEST VARS'!$N$54*(8^2)+'LINEST VARS'!$M$54*($DZ$32^2)+'LINEST VARS'!$L$54*(0.5^2)+'LINEST VARS'!$K$54*($DV48^2)+'LINEST VARS'!$J$54*(8*8)+'LINEST VARS'!$I$54*(8*$DZ$32)+'LINEST VARS'!$H$54*(8*0.5)+'LINEST VARS'!$G$54*(8*$DV48)+'LINEST VARS'!$F$54*(8*$DZ$32)+'LINEST VARS'!$E$54*(8*0.5)+'LINEST VARS'!$D$54*(8*$DV48)+'LINEST VARS'!$C$54*($DZ$32*0.5)+'LINEST VARS'!$B$54*($DZ$32*$DV48)+'LINEST VARS'!$A$54*(0.5*$DV48)</f>
        <v>3.9749999999999996</v>
      </c>
      <c r="EA48" s="51">
        <f>'LINEST VARS'!$U$54+'LINEST VARS'!$T$54*(8)+'LINEST VARS'!$S$54*(8)+'LINEST VARS'!$R$54*($EA$32)+'LINEST VARS'!$Q$54*(0.5)+'LINEST VARS'!$P$54*($DV48)+'LINEST VARS'!$O$54*(8^2)+'LINEST VARS'!$N$54*(8^2)+'LINEST VARS'!$M$54*($EA$32^2)+'LINEST VARS'!$L$54*(0.5^2)+'LINEST VARS'!$K$54*($DV48^2)+'LINEST VARS'!$J$54*(8*8)+'LINEST VARS'!$I$54*(8*$EA$32)+'LINEST VARS'!$H$54*(8*0.5)+'LINEST VARS'!$G$54*(8*$DV48)+'LINEST VARS'!$F$54*(8*$EA$32)+'LINEST VARS'!$E$54*(8*0.5)+'LINEST VARS'!$D$54*(8*$DV48)+'LINEST VARS'!$C$54*($EA$32*0.5)+'LINEST VARS'!$B$54*($EA$32*$DV48)+'LINEST VARS'!$A$54*(0.5*$DV48)</f>
        <v>3.9749999999999996</v>
      </c>
      <c r="EB48" s="51">
        <f>'LINEST VARS'!$U$54+'LINEST VARS'!$T$54*(8)+'LINEST VARS'!$S$54*(8)+'LINEST VARS'!$R$54*($EB$32)+'LINEST VARS'!$Q$54*(0.5)+'LINEST VARS'!$P$54*($DV48)+'LINEST VARS'!$O$54*(8^2)+'LINEST VARS'!$N$54*(8^2)+'LINEST VARS'!$M$54*($EB$32^2)+'LINEST VARS'!$L$54*(0.5^2)+'LINEST VARS'!$K$54*($DV48^2)+'LINEST VARS'!$J$54*(8*8)+'LINEST VARS'!$I$54*(8*$EB$32)+'LINEST VARS'!$H$54*(8*0.5)+'LINEST VARS'!$G$54*(8*$DV48)+'LINEST VARS'!$F$54*(8*$EB$32)+'LINEST VARS'!$E$54*(8*0.5)+'LINEST VARS'!$D$54*(8*$DV48)+'LINEST VARS'!$C$54*($EB$32*0.5)+'LINEST VARS'!$B$54*($EB$32*$DV48)+'LINEST VARS'!$A$54*(0.5*$DV48)</f>
        <v>3.9749999999999996</v>
      </c>
      <c r="EC48" s="51">
        <f>'LINEST VARS'!$U$54+'LINEST VARS'!$T$54*(8)+'LINEST VARS'!$S$54*(8)+'LINEST VARS'!$R$54*($EC$32)+'LINEST VARS'!$Q$54*(0.5)+'LINEST VARS'!$P$54*($DV48)+'LINEST VARS'!$O$54*(8^2)+'LINEST VARS'!$N$54*(8^2)+'LINEST VARS'!$M$54*($EC$32^2)+'LINEST VARS'!$L$54*(0.5^2)+'LINEST VARS'!$K$54*($DV48^2)+'LINEST VARS'!$J$54*(8*8)+'LINEST VARS'!$I$54*(8*$EC$32)+'LINEST VARS'!$H$54*(8*0.5)+'LINEST VARS'!$G$54*(8*$DV48)+'LINEST VARS'!$F$54*(8*$EC$32)+'LINEST VARS'!$E$54*(8*0.5)+'LINEST VARS'!$D$54*(8*$DV48)+'LINEST VARS'!$C$54*($EC$32*0.5)+'LINEST VARS'!$B$54*($EC$32*$DV48)+'LINEST VARS'!$A$54*(0.5*$DV48)</f>
        <v>3.9749999999999996</v>
      </c>
      <c r="ED48" s="51">
        <f>'LINEST VARS'!$U$54+'LINEST VARS'!$T$54*(8)+'LINEST VARS'!$S$54*(8)+'LINEST VARS'!$R$54*($ED$32)+'LINEST VARS'!$Q$54*(0.5)+'LINEST VARS'!$P$54*($DV48)+'LINEST VARS'!$O$54*(8^2)+'LINEST VARS'!$N$54*(8^2)+'LINEST VARS'!$M$54*($ED$32^2)+'LINEST VARS'!$L$54*(0.5^2)+'LINEST VARS'!$K$54*($DV48^2)+'LINEST VARS'!$J$54*(8*8)+'LINEST VARS'!$I$54*(8*$ED$32)+'LINEST VARS'!$H$54*(8*0.5)+'LINEST VARS'!$G$54*(8*$DV48)+'LINEST VARS'!$F$54*(8*$ED$32)+'LINEST VARS'!$E$54*(8*0.5)+'LINEST VARS'!$D$54*(8*$DV48)+'LINEST VARS'!$C$54*($ED$32*0.5)+'LINEST VARS'!$B$54*($ED$32*$DV48)+'LINEST VARS'!$A$54*(0.5*$DV48)</f>
        <v>3.9749999999999996</v>
      </c>
      <c r="EE48" s="51">
        <f>'LINEST VARS'!$U$54+'LINEST VARS'!$T$54*(8)+'LINEST VARS'!$S$54*(8)+'LINEST VARS'!$R$54*($EE$32)+'LINEST VARS'!$Q$54*(0.5)+'LINEST VARS'!$P$54*($DV48)+'LINEST VARS'!$O$54*(8^2)+'LINEST VARS'!$N$54*(8^2)+'LINEST VARS'!$M$54*($EE$32^2)+'LINEST VARS'!$L$54*(0.5^2)+'LINEST VARS'!$K$54*($DV48^2)+'LINEST VARS'!$J$54*(8*8)+'LINEST VARS'!$I$54*(8*$EE$32)+'LINEST VARS'!$H$54*(8*0.5)+'LINEST VARS'!$G$54*(8*$DV48)+'LINEST VARS'!$F$54*(8*$EE$32)+'LINEST VARS'!$E$54*(8*0.5)+'LINEST VARS'!$D$54*(8*$DV48)+'LINEST VARS'!$C$54*($EE$32*0.5)+'LINEST VARS'!$B$54*($EE$32*$DV48)+'LINEST VARS'!$A$54*(0.5*$DV48)</f>
        <v>3.9749999999999996</v>
      </c>
      <c r="EF48" s="51">
        <f>'LINEST VARS'!$U$54+'LINEST VARS'!$T$54*(8)+'LINEST VARS'!$S$54*(8)+'LINEST VARS'!$R$54*($EF$32)+'LINEST VARS'!$Q$54*(0.5)+'LINEST VARS'!$P$54*($DV48)+'LINEST VARS'!$O$54*(8^2)+'LINEST VARS'!$N$54*(8^2)+'LINEST VARS'!$M$54*($EF$32^2)+'LINEST VARS'!$L$54*(0.5^2)+'LINEST VARS'!$K$54*($DV48^2)+'LINEST VARS'!$J$54*(8*8)+'LINEST VARS'!$I$54*(8*$EF$32)+'LINEST VARS'!$H$54*(8*0.5)+'LINEST VARS'!$G$54*(8*$DV48)+'LINEST VARS'!$F$54*(8*$EF$32)+'LINEST VARS'!$E$54*(8*0.5)+'LINEST VARS'!$D$54*(8*$DV48)+'LINEST VARS'!$C$54*($EF$32*0.5)+'LINEST VARS'!$B$54*($EF$32*$DV48)+'LINEST VARS'!$A$54*(0.5*$DV48)</f>
        <v>3.9749999999999996</v>
      </c>
      <c r="EG48" s="51">
        <f>'LINEST VARS'!$U$54+'LINEST VARS'!$T$54*(8)+'LINEST VARS'!$S$54*(8)+'LINEST VARS'!$R$54*($EG$32)+'LINEST VARS'!$Q$54*(0.5)+'LINEST VARS'!$P$54*($DV48)+'LINEST VARS'!$O$54*(8^2)+'LINEST VARS'!$N$54*(8^2)+'LINEST VARS'!$M$54*($EG$32^2)+'LINEST VARS'!$L$54*(0.5^2)+'LINEST VARS'!$K$54*($DV48^2)+'LINEST VARS'!$J$54*(8*8)+'LINEST VARS'!$I$54*(8*$EG$32)+'LINEST VARS'!$H$54*(8*0.5)+'LINEST VARS'!$G$54*(8*$DV48)+'LINEST VARS'!$F$54*(8*$EG$32)+'LINEST VARS'!$E$54*(8*0.5)+'LINEST VARS'!$D$54*(8*$DV48)+'LINEST VARS'!$C$54*($EG$32*0.5)+'LINEST VARS'!$B$54*($EG$32*$DV48)+'LINEST VARS'!$A$54*(0.5*$DV48)</f>
        <v>3.9749999999999996</v>
      </c>
      <c r="EH48" s="51">
        <f>'LINEST VARS'!$U$54+'LINEST VARS'!$T$54*(8)+'LINEST VARS'!$S$54*(8)+'LINEST VARS'!$R$54*($EH$32)+'LINEST VARS'!$Q$54*(0.5)+'LINEST VARS'!$P$54*($DV48)+'LINEST VARS'!$O$54*(8^2)+'LINEST VARS'!$N$54*(8^2)+'LINEST VARS'!$M$54*($EH$32^2)+'LINEST VARS'!$L$54*(0.5^2)+'LINEST VARS'!$K$54*($DV48^2)+'LINEST VARS'!$J$54*(8*8)+'LINEST VARS'!$I$54*(8*$EH$32)+'LINEST VARS'!$H$54*(8*0.5)+'LINEST VARS'!$G$54*(8*$DV48)+'LINEST VARS'!$F$54*(8*$EH$32)+'LINEST VARS'!$E$54*(8*0.5)+'LINEST VARS'!$D$54*(8*$DV48)+'LINEST VARS'!$C$54*($EH$32*0.5)+'LINEST VARS'!$B$54*($EH$32*$DV48)+'LINEST VARS'!$A$54*(0.5*$DV48)</f>
        <v>3.9749999999999996</v>
      </c>
      <c r="EI48" s="51">
        <f>'LINEST VARS'!$U$54+'LINEST VARS'!$T$54*(8)+'LINEST VARS'!$S$54*(8)+'LINEST VARS'!$R$54*($EI$32)+'LINEST VARS'!$Q$54*(0.5)+'LINEST VARS'!$P$54*($DV48)+'LINEST VARS'!$O$54*(8^2)+'LINEST VARS'!$N$54*(8^2)+'LINEST VARS'!$M$54*($EI$32^2)+'LINEST VARS'!$L$54*(0.5^2)+'LINEST VARS'!$K$54*($DV48^2)+'LINEST VARS'!$J$54*(8*8)+'LINEST VARS'!$I$54*(8*$EI$32)+'LINEST VARS'!$H$54*(8*0.5)+'LINEST VARS'!$G$54*(8*$DV48)+'LINEST VARS'!$F$54*(8*$EI$32)+'LINEST VARS'!$E$54*(8*0.5)+'LINEST VARS'!$D$54*(8*$DV48)+'LINEST VARS'!$C$54*($EI$32*0.5)+'LINEST VARS'!$B$54*($EI$32*$DV48)+'LINEST VARS'!$A$54*(0.5*$DV48)</f>
        <v>3.9749999999999996</v>
      </c>
      <c r="EJ48" s="51">
        <f>'LINEST VARS'!$U$54+'LINEST VARS'!$T$54*(8)+'LINEST VARS'!$S$54*(8)+'LINEST VARS'!$R$54*($EJ$32)+'LINEST VARS'!$Q$54*(0.5)+'LINEST VARS'!$P$54*($DV48)+'LINEST VARS'!$O$54*(8^2)+'LINEST VARS'!$N$54*(8^2)+'LINEST VARS'!$M$54*($EJ$32^2)+'LINEST VARS'!$L$54*(0.5^2)+'LINEST VARS'!$K$54*($DV48^2)+'LINEST VARS'!$J$54*(8*8)+'LINEST VARS'!$I$54*(8*$EJ$32)+'LINEST VARS'!$H$54*(8*0.5)+'LINEST VARS'!$G$54*(8*$DV48)+'LINEST VARS'!$F$54*(8*$EJ$32)+'LINEST VARS'!$E$54*(8*0.5)+'LINEST VARS'!$D$54*(8*$DV48)+'LINEST VARS'!$C$54*($EJ$32*0.5)+'LINEST VARS'!$B$54*($EJ$32*$DV48)+'LINEST VARS'!$A$54*(0.5*$DV48)</f>
        <v>3.9749999999999996</v>
      </c>
      <c r="EK48" s="51">
        <f>'LINEST VARS'!$U$54+'LINEST VARS'!$T$54*(8)+'LINEST VARS'!$S$54*(8)+'LINEST VARS'!$R$54*($EK$32)+'LINEST VARS'!$Q$54*(0.5)+'LINEST VARS'!$P$54*($DV48)+'LINEST VARS'!$O$54*(8^2)+'LINEST VARS'!$N$54*(8^2)+'LINEST VARS'!$M$54*($EK$32^2)+'LINEST VARS'!$L$54*(0.5^2)+'LINEST VARS'!$K$54*($DV48^2)+'LINEST VARS'!$J$54*(8*8)+'LINEST VARS'!$I$54*(8*$EK$32)+'LINEST VARS'!$H$54*(8*0.5)+'LINEST VARS'!$G$54*(8*$DV48)+'LINEST VARS'!$F$54*(8*$EK$32)+'LINEST VARS'!$E$54*(8*0.5)+'LINEST VARS'!$D$54*(8*$DV48)+'LINEST VARS'!$C$54*($EK$32*0.5)+'LINEST VARS'!$B$54*($EK$32*$DV48)+'LINEST VARS'!$A$54*(0.5*$DV48)</f>
        <v>3.9749999999999996</v>
      </c>
      <c r="EL48" s="51">
        <f>'LINEST VARS'!$U$54+'LINEST VARS'!$T$54*(8)+'LINEST VARS'!$S$54*(8)+'LINEST VARS'!$R$54*($EL$32)+'LINEST VARS'!$Q$54*(0.5)+'LINEST VARS'!$P$54*($DV48)+'LINEST VARS'!$O$54*(8^2)+'LINEST VARS'!$N$54*(8^2)+'LINEST VARS'!$M$54*($EL$32^2)+'LINEST VARS'!$L$54*(0.5^2)+'LINEST VARS'!$K$54*($DV48^2)+'LINEST VARS'!$J$54*(8*8)+'LINEST VARS'!$I$54*(8*$EL$32)+'LINEST VARS'!$H$54*(8*0.5)+'LINEST VARS'!$G$54*(8*$DV48)+'LINEST VARS'!$F$54*(8*$EL$32)+'LINEST VARS'!$E$54*(8*0.5)+'LINEST VARS'!$D$54*(8*$DV48)+'LINEST VARS'!$C$54*($EL$32*0.5)+'LINEST VARS'!$B$54*($EL$32*$DV48)+'LINEST VARS'!$A$54*(0.5*$DV48)</f>
        <v>3.9749999999999996</v>
      </c>
      <c r="EM48" s="51">
        <f>'LINEST VARS'!$U$54+'LINEST VARS'!$T$54*(8)+'LINEST VARS'!$S$54*(8)+'LINEST VARS'!$R$54*($EM$32)+'LINEST VARS'!$Q$54*(0.5)+'LINEST VARS'!$P$54*($DV48)+'LINEST VARS'!$O$54*(8^2)+'LINEST VARS'!$N$54*(8^2)+'LINEST VARS'!$M$54*($EM$32^2)+'LINEST VARS'!$L$54*(0.5^2)+'LINEST VARS'!$K$54*($DV48^2)+'LINEST VARS'!$J$54*(8*8)+'LINEST VARS'!$I$54*(8*$EM$32)+'LINEST VARS'!$H$54*(8*0.5)+'LINEST VARS'!$G$54*(8*$DV48)+'LINEST VARS'!$F$54*(8*$EM$32)+'LINEST VARS'!$E$54*(8*0.5)+'LINEST VARS'!$D$54*(8*$DV48)+'LINEST VARS'!$C$54*($EM$32*0.5)+'LINEST VARS'!$B$54*($EM$32*$DV48)+'LINEST VARS'!$A$54*(0.5*$DV48)</f>
        <v>3.9749999999999996</v>
      </c>
      <c r="EN48" s="51">
        <f>'LINEST VARS'!$U$54+'LINEST VARS'!$T$54*(8)+'LINEST VARS'!$S$54*(8)+'LINEST VARS'!$R$54*($EN$32)+'LINEST VARS'!$Q$54*(0.5)+'LINEST VARS'!$P$54*($DV48)+'LINEST VARS'!$O$54*(8^2)+'LINEST VARS'!$N$54*(8^2)+'LINEST VARS'!$M$54*($EN$32^2)+'LINEST VARS'!$L$54*(0.5^2)+'LINEST VARS'!$K$54*($DV48^2)+'LINEST VARS'!$J$54*(8*8)+'LINEST VARS'!$I$54*(8*$EN$32)+'LINEST VARS'!$H$54*(8*0.5)+'LINEST VARS'!$G$54*(8*$DV48)+'LINEST VARS'!$F$54*(8*$EN$32)+'LINEST VARS'!$E$54*(8*0.5)+'LINEST VARS'!$D$54*(8*$DV48)+'LINEST VARS'!$C$54*($EN$32*0.5)+'LINEST VARS'!$B$54*($EN$32*$DV48)+'LINEST VARS'!$A$54*(0.5*$DV48)</f>
        <v>3.9749999999999996</v>
      </c>
      <c r="EO48" s="51">
        <f>'LINEST VARS'!$U$54+'LINEST VARS'!$T$54*(8)+'LINEST VARS'!$S$54*(8)+'LINEST VARS'!$R$54*($EO$32)+'LINEST VARS'!$Q$54*(0.5)+'LINEST VARS'!$P$54*($DV48)+'LINEST VARS'!$O$54*(8^2)+'LINEST VARS'!$N$54*(8^2)+'LINEST VARS'!$M$54*($EO$32^2)+'LINEST VARS'!$L$54*(0.5^2)+'LINEST VARS'!$K$54*($DV48^2)+'LINEST VARS'!$J$54*(8*8)+'LINEST VARS'!$I$54*(8*$EO$32)+'LINEST VARS'!$H$54*(8*0.5)+'LINEST VARS'!$G$54*(8*$DV48)+'LINEST VARS'!$F$54*(8*$EO$32)+'LINEST VARS'!$E$54*(8*0.5)+'LINEST VARS'!$D$54*(8*$DV48)+'LINEST VARS'!$C$54*($EO$32*0.5)+'LINEST VARS'!$B$54*($EO$32*$DV48)+'LINEST VARS'!$A$54*(0.5*$DV48)</f>
        <v>3.9749999999999996</v>
      </c>
      <c r="EP48" s="51">
        <f>'LINEST VARS'!$U$54+'LINEST VARS'!$T$54*(8)+'LINEST VARS'!$S$54*(8)+'LINEST VARS'!$R$54*($EP$32)+'LINEST VARS'!$Q$54*(0.5)+'LINEST VARS'!$P$54*($DV48)+'LINEST VARS'!$O$54*(8^2)+'LINEST VARS'!$N$54*(8^2)+'LINEST VARS'!$M$54*($EP$32^2)+'LINEST VARS'!$L$54*(0.5^2)+'LINEST VARS'!$K$54*($DV48^2)+'LINEST VARS'!$J$54*(8*8)+'LINEST VARS'!$I$54*(8*$EP$32)+'LINEST VARS'!$H$54*(8*0.5)+'LINEST VARS'!$G$54*(8*$DV48)+'LINEST VARS'!$F$54*(8*$EP$32)+'LINEST VARS'!$E$54*(8*0.5)+'LINEST VARS'!$D$54*(8*$DV48)+'LINEST VARS'!$C$54*($EP$32*0.5)+'LINEST VARS'!$B$54*($EP$32*$DV48)+'LINEST VARS'!$A$54*(0.5*$DV48)</f>
        <v>3.9749999999999996</v>
      </c>
      <c r="EQ48" s="52">
        <f>'LINEST VARS'!$U$54+'LINEST VARS'!$T$54*(8)+'LINEST VARS'!$S$54*(8)+'LINEST VARS'!$R$54*($EQ$32)+'LINEST VARS'!$Q$54*(0.5)+'LINEST VARS'!$P$54*($DV48)+'LINEST VARS'!$O$54*(8^2)+'LINEST VARS'!$N$54*(8^2)+'LINEST VARS'!$M$54*($EQ$32^2)+'LINEST VARS'!$L$54*(0.5^2)+'LINEST VARS'!$K$54*($DV48^2)+'LINEST VARS'!$J$54*(8*8)+'LINEST VARS'!$I$54*(8*$EQ$32)+'LINEST VARS'!$H$54*(8*0.5)+'LINEST VARS'!$G$54*(8*$DV48)+'LINEST VARS'!$F$54*(8*$EQ$32)+'LINEST VARS'!$E$54*(8*0.5)+'LINEST VARS'!$D$54*(8*$DV48)+'LINEST VARS'!$C$54*($EQ$32*0.5)+'LINEST VARS'!$B$54*($EQ$32*$DV48)+'LINEST VARS'!$A$54*(0.5*$DV48)</f>
        <v>3.9749999999999996</v>
      </c>
    </row>
    <row r="49" spans="2:147" ht="15" customHeight="1" x14ac:dyDescent="0.25">
      <c r="B49" s="45">
        <v>8.36</v>
      </c>
      <c r="C49" s="51">
        <f>'LINEST VARS'!$U$52+'LINEST VARS'!$T$52*($C$32)+'LINEST VARS'!$S$52*($B49)+'LINEST VARS'!$R$52*(4)+'LINEST VARS'!$Q$52*(0.5)+'LINEST VARS'!$P$52*(12.73)+'LINEST VARS'!$O$52*($C$32^2)+'LINEST VARS'!$N$52*($B49^2)+'LINEST VARS'!$M$52*(4^2)+'LINEST VARS'!$L$52*(0.5^2)+'LINEST VARS'!$K$52*(12.73^2)+'LINEST VARS'!$J$52*($C$32*$B49)+'LINEST VARS'!$I$52*($C$32*4)+'LINEST VARS'!$H$52*($C$32*0.5)+'LINEST VARS'!$G$52*($C$32*12.73)+'LINEST VARS'!$F$52*($B49*4)+'LINEST VARS'!$E$52*($B49*0.5)+'LINEST VARS'!$D$52*($B49*12.73)+'LINEST VARS'!$C$52*(4*0.5)+'LINEST VARS'!$B$52*(4*12.73)+'LINEST VARS'!$A$52*(0.5*12.73)</f>
        <v>4.4499999999999984</v>
      </c>
      <c r="D49" s="51">
        <f>'LINEST VARS'!$U$52+'LINEST VARS'!$T$52*($D$32)+'LINEST VARS'!$S$52*($B49)+'LINEST VARS'!$R$52*(4)+'LINEST VARS'!$Q$52*(0.5)+'LINEST VARS'!$P$52*(12.73)+'LINEST VARS'!$O$52*($D$32^2)+'LINEST VARS'!$N$52*($B49^2)+'LINEST VARS'!$M$52*(4^2)+'LINEST VARS'!$L$52*(0.5^2)+'LINEST VARS'!$K$52*(12.73^2)+'LINEST VARS'!$J$52*($D$32*$B49)+'LINEST VARS'!$I$52*($D$32*4)+'LINEST VARS'!$H$52*($D$32*0.5)+'LINEST VARS'!$G$52*($D$32*12.73)+'LINEST VARS'!$F$52*($B49*4)+'LINEST VARS'!$E$52*($B49*0.5)+'LINEST VARS'!$D$52*($B49*12.73)+'LINEST VARS'!$C$52*(4*0.5)+'LINEST VARS'!$B$52*(4*12.73)+'LINEST VARS'!$A$52*(0.5*12.73)</f>
        <v>4.4499999999999984</v>
      </c>
      <c r="E49" s="51">
        <f>'LINEST VARS'!$U$52+'LINEST VARS'!$T$52*($E$32)+'LINEST VARS'!$S$52*($B49)+'LINEST VARS'!$R$52*(4)+'LINEST VARS'!$Q$52*(0.5)+'LINEST VARS'!$P$52*(12.73)+'LINEST VARS'!$O$52*($E$32^2)+'LINEST VARS'!$N$52*($B49^2)+'LINEST VARS'!$M$52*(4^2)+'LINEST VARS'!$L$52*(0.5^2)+'LINEST VARS'!$K$52*(12.73^2)+'LINEST VARS'!$J$52*($E$32*$B49)+'LINEST VARS'!$I$52*($E$32*4)+'LINEST VARS'!$H$52*($E$32*0.5)+'LINEST VARS'!$G$52*($E$32*12.73)+'LINEST VARS'!$F$52*($B49*4)+'LINEST VARS'!$E$52*($B49*0.5)+'LINEST VARS'!$D$52*($B49*12.73)+'LINEST VARS'!$C$52*(4*0.5)+'LINEST VARS'!$B$52*(4*12.73)+'LINEST VARS'!$A$52*(0.5*12.73)</f>
        <v>4.4499999999999984</v>
      </c>
      <c r="F49" s="51">
        <f>'LINEST VARS'!$U$52+'LINEST VARS'!$T$52*($F$32)+'LINEST VARS'!$S$52*($B49)+'LINEST VARS'!$R$52*(4)+'LINEST VARS'!$Q$52*(0.5)+'LINEST VARS'!$P$52*(12.73)+'LINEST VARS'!$O$52*($F$32^2)+'LINEST VARS'!$N$52*($B49^2)+'LINEST VARS'!$M$52*(4^2)+'LINEST VARS'!$L$52*(0.5^2)+'LINEST VARS'!$K$52*(12.73^2)+'LINEST VARS'!$J$52*($F$32*$B49)+'LINEST VARS'!$I$52*($F$32*4)+'LINEST VARS'!$H$52*($F$32*0.5)+'LINEST VARS'!$G$52*($F$32*12.73)+'LINEST VARS'!$F$52*($B49*4)+'LINEST VARS'!$E$52*($B49*0.5)+'LINEST VARS'!$D$52*($B49*12.73)+'LINEST VARS'!$C$52*(4*0.5)+'LINEST VARS'!$B$52*(4*12.73)+'LINEST VARS'!$A$52*(0.5*12.73)</f>
        <v>4.4499999999999984</v>
      </c>
      <c r="G49" s="51">
        <f>'LINEST VARS'!$U$52+'LINEST VARS'!$T$52*($G$32)+'LINEST VARS'!$S$52*($B49)+'LINEST VARS'!$R$52*(4)+'LINEST VARS'!$Q$52*(0.5)+'LINEST VARS'!$P$52*(12.73)+'LINEST VARS'!$O$52*($G$32^2)+'LINEST VARS'!$N$52*($B49^2)+'LINEST VARS'!$M$52*(4^2)+'LINEST VARS'!$L$52*(0.5^2)+'LINEST VARS'!$K$52*(12.73^2)+'LINEST VARS'!$J$52*($G$32*$B49)+'LINEST VARS'!$I$52*($G$32*4)+'LINEST VARS'!$H$52*($G$32*0.5)+'LINEST VARS'!$G$52*($G$32*12.73)+'LINEST VARS'!$F$52*($B49*4)+'LINEST VARS'!$E$52*($B49*0.5)+'LINEST VARS'!$D$52*($B49*12.73)+'LINEST VARS'!$C$52*(4*0.5)+'LINEST VARS'!$B$52*(4*12.73)+'LINEST VARS'!$A$52*(0.5*12.73)</f>
        <v>4.4499999999999984</v>
      </c>
      <c r="H49" s="51">
        <f>'LINEST VARS'!$U$52+'LINEST VARS'!$T$52*($H$32)+'LINEST VARS'!$S$52*($B49)+'LINEST VARS'!$R$52*(4)+'LINEST VARS'!$Q$52*(0.5)+'LINEST VARS'!$P$52*(12.73)+'LINEST VARS'!$O$52*($H$32^2)+'LINEST VARS'!$N$52*($B49^2)+'LINEST VARS'!$M$52*(4^2)+'LINEST VARS'!$L$52*(0.5^2)+'LINEST VARS'!$K$52*(12.73^2)+'LINEST VARS'!$J$52*($H$32*$B49)+'LINEST VARS'!$I$52*($H$32*4)+'LINEST VARS'!$H$52*($H$32*0.5)+'LINEST VARS'!$G$52*($H$32*12.73)+'LINEST VARS'!$F$52*($B49*4)+'LINEST VARS'!$E$52*($B49*0.5)+'LINEST VARS'!$D$52*($B49*12.73)+'LINEST VARS'!$C$52*(4*0.5)+'LINEST VARS'!$B$52*(4*12.73)+'LINEST VARS'!$A$52*(0.5*12.73)</f>
        <v>4.4499999999999984</v>
      </c>
      <c r="I49" s="51">
        <f>'LINEST VARS'!$U$52+'LINEST VARS'!$T$52*($I$32)+'LINEST VARS'!$S$52*($B49)+'LINEST VARS'!$R$52*(4)+'LINEST VARS'!$Q$52*(0.5)+'LINEST VARS'!$P$52*(12.73)+'LINEST VARS'!$O$52*($I$32^2)+'LINEST VARS'!$N$52*($B49^2)+'LINEST VARS'!$M$52*(4^2)+'LINEST VARS'!$L$52*(0.5^2)+'LINEST VARS'!$K$52*(12.73^2)+'LINEST VARS'!$J$52*($I$32*$B49)+'LINEST VARS'!$I$52*($I$32*4)+'LINEST VARS'!$H$52*($I$32*0.5)+'LINEST VARS'!$G$52*($I$32*12.73)+'LINEST VARS'!$F$52*($B49*4)+'LINEST VARS'!$E$52*($B49*0.5)+'LINEST VARS'!$D$52*($B49*12.73)+'LINEST VARS'!$C$52*(4*0.5)+'LINEST VARS'!$B$52*(4*12.73)+'LINEST VARS'!$A$52*(0.5*12.73)</f>
        <v>4.4499999999999984</v>
      </c>
      <c r="J49" s="51">
        <f>'LINEST VARS'!$U$52+'LINEST VARS'!$T$52*($J$32)+'LINEST VARS'!$S$52*($B49)+'LINEST VARS'!$R$52*(4)+'LINEST VARS'!$Q$52*(0.5)+'LINEST VARS'!$P$52*(12.73)+'LINEST VARS'!$O$52*($J$32^2)+'LINEST VARS'!$N$52*($B49^2)+'LINEST VARS'!$M$52*(4^2)+'LINEST VARS'!$L$52*(0.5^2)+'LINEST VARS'!$K$52*(12.73^2)+'LINEST VARS'!$J$52*($J$32*$B49)+'LINEST VARS'!$I$52*($J$32*4)+'LINEST VARS'!$H$52*($J$32*0.5)+'LINEST VARS'!$G$52*($J$32*12.73)+'LINEST VARS'!$F$52*($B49*4)+'LINEST VARS'!$E$52*($B49*0.5)+'LINEST VARS'!$D$52*($B49*12.73)+'LINEST VARS'!$C$52*(4*0.5)+'LINEST VARS'!$B$52*(4*12.73)+'LINEST VARS'!$A$52*(0.5*12.73)</f>
        <v>4.4499999999999984</v>
      </c>
      <c r="K49" s="51">
        <f>'LINEST VARS'!$U$52+'LINEST VARS'!$T$52*($K$32)+'LINEST VARS'!$S$52*($B49)+'LINEST VARS'!$R$52*(4)+'LINEST VARS'!$Q$52*(0.5)+'LINEST VARS'!$P$52*(12.73)+'LINEST VARS'!$O$52*($K$32^2)+'LINEST VARS'!$N$52*($B49^2)+'LINEST VARS'!$M$52*(4^2)+'LINEST VARS'!$L$52*(0.5^2)+'LINEST VARS'!$K$52*(12.73^2)+'LINEST VARS'!$J$52*($K$32*$B49)+'LINEST VARS'!$I$52*($K$32*4)+'LINEST VARS'!$H$52*($K$32*0.5)+'LINEST VARS'!$G$52*($K$32*12.73)+'LINEST VARS'!$F$52*($B49*4)+'LINEST VARS'!$E$52*($B49*0.5)+'LINEST VARS'!$D$52*($B49*12.73)+'LINEST VARS'!$C$52*(4*0.5)+'LINEST VARS'!$B$52*(4*12.73)+'LINEST VARS'!$A$52*(0.5*12.73)</f>
        <v>4.4499999999999984</v>
      </c>
      <c r="L49" s="51">
        <f>'LINEST VARS'!$U$52+'LINEST VARS'!$T$52*($L$32)+'LINEST VARS'!$S$52*($B49)+'LINEST VARS'!$R$52*(4)+'LINEST VARS'!$Q$52*(0.5)+'LINEST VARS'!$P$52*(12.73)+'LINEST VARS'!$O$52*($L$32^2)+'LINEST VARS'!$N$52*($B49^2)+'LINEST VARS'!$M$52*(4^2)+'LINEST VARS'!$L$52*(0.5^2)+'LINEST VARS'!$K$52*(12.73^2)+'LINEST VARS'!$J$52*($L$32*$B49)+'LINEST VARS'!$I$52*($L$32*4)+'LINEST VARS'!$H$52*($L$32*0.5)+'LINEST VARS'!$G$52*($L$32*12.73)+'LINEST VARS'!$F$52*($B49*4)+'LINEST VARS'!$E$52*($B49*0.5)+'LINEST VARS'!$D$52*($B49*12.73)+'LINEST VARS'!$C$52*(4*0.5)+'LINEST VARS'!$B$52*(4*12.73)+'LINEST VARS'!$A$52*(0.5*12.73)</f>
        <v>4.4499999999999984</v>
      </c>
      <c r="M49" s="51">
        <f>'LINEST VARS'!$U$52+'LINEST VARS'!$T$52*($M$32)+'LINEST VARS'!$S$52*($B49)+'LINEST VARS'!$R$52*(4)+'LINEST VARS'!$Q$52*(0.5)+'LINEST VARS'!$P$52*(12.73)+'LINEST VARS'!$O$52*($M$32^2)+'LINEST VARS'!$N$52*($B49^2)+'LINEST VARS'!$M$52*(4^2)+'LINEST VARS'!$L$52*(0.5^2)+'LINEST VARS'!$K$52*(12.73^2)+'LINEST VARS'!$J$52*($M$32*$B49)+'LINEST VARS'!$I$52*($M$32*4)+'LINEST VARS'!$H$52*($M$32*0.5)+'LINEST VARS'!$G$52*($M$32*12.73)+'LINEST VARS'!$F$52*($B49*4)+'LINEST VARS'!$E$52*($B49*0.5)+'LINEST VARS'!$D$52*($B49*12.73)+'LINEST VARS'!$C$52*(4*0.5)+'LINEST VARS'!$B$52*(4*12.73)+'LINEST VARS'!$A$52*(0.5*12.73)</f>
        <v>4.4499999999999984</v>
      </c>
      <c r="N49" s="51">
        <f>'LINEST VARS'!$U$52+'LINEST VARS'!$T$52*($N$32)+'LINEST VARS'!$S$52*($B49)+'LINEST VARS'!$R$52*(4)+'LINEST VARS'!$Q$52*(0.5)+'LINEST VARS'!$P$52*(12.73)+'LINEST VARS'!$O$52*($N$32^2)+'LINEST VARS'!$N$52*($B49^2)+'LINEST VARS'!$M$52*(4^2)+'LINEST VARS'!$L$52*(0.5^2)+'LINEST VARS'!$K$52*(12.73^2)+'LINEST VARS'!$J$52*($N$32*$B49)+'LINEST VARS'!$I$52*($N$32*4)+'LINEST VARS'!$H$52*($N$32*0.5)+'LINEST VARS'!$G$52*($N$32*12.73)+'LINEST VARS'!$F$52*($B49*4)+'LINEST VARS'!$E$52*($B49*0.5)+'LINEST VARS'!$D$52*($B49*12.73)+'LINEST VARS'!$C$52*(4*0.5)+'LINEST VARS'!$B$52*(4*12.73)+'LINEST VARS'!$A$52*(0.5*12.73)</f>
        <v>4.4499999999999984</v>
      </c>
      <c r="O49" s="51">
        <f>'LINEST VARS'!$U$52+'LINEST VARS'!$T$52*($O$32)+'LINEST VARS'!$S$52*($B49)+'LINEST VARS'!$R$52*(4)+'LINEST VARS'!$Q$52*(0.5)+'LINEST VARS'!$P$52*(12.73)+'LINEST VARS'!$O$52*($O$32^2)+'LINEST VARS'!$N$52*($B49^2)+'LINEST VARS'!$M$52*(4^2)+'LINEST VARS'!$L$52*(0.5^2)+'LINEST VARS'!$K$52*(12.73^2)+'LINEST VARS'!$J$52*($O$32*$B49)+'LINEST VARS'!$I$52*($O$32*4)+'LINEST VARS'!$H$52*($O$32*0.5)+'LINEST VARS'!$G$52*($O$32*12.73)+'LINEST VARS'!$F$52*($B49*4)+'LINEST VARS'!$E$52*($B49*0.5)+'LINEST VARS'!$D$52*($B49*12.73)+'LINEST VARS'!$C$52*(4*0.5)+'LINEST VARS'!$B$52*(4*12.73)+'LINEST VARS'!$A$52*(0.5*12.73)</f>
        <v>4.4499999999999984</v>
      </c>
      <c r="P49" s="51">
        <f>'LINEST VARS'!$U$52+'LINEST VARS'!$T$52*($P$32)+'LINEST VARS'!$S$52*($B49)+'LINEST VARS'!$R$52*(4)+'LINEST VARS'!$Q$52*(0.5)+'LINEST VARS'!$P$52*(12.73)+'LINEST VARS'!$O$52*($P$32^2)+'LINEST VARS'!$N$52*($B49^2)+'LINEST VARS'!$M$52*(4^2)+'LINEST VARS'!$L$52*(0.5^2)+'LINEST VARS'!$K$52*(12.73^2)+'LINEST VARS'!$J$52*($P$32*$B49)+'LINEST VARS'!$I$52*($P$32*4)+'LINEST VARS'!$H$52*($P$32*0.5)+'LINEST VARS'!$G$52*($P$32*12.73)+'LINEST VARS'!$F$52*($B49*4)+'LINEST VARS'!$E$52*($B49*0.5)+'LINEST VARS'!$D$52*($B49*12.73)+'LINEST VARS'!$C$52*(4*0.5)+'LINEST VARS'!$B$52*(4*12.73)+'LINEST VARS'!$A$52*(0.5*12.73)</f>
        <v>4.4499999999999984</v>
      </c>
      <c r="Q49" s="51">
        <f>'LINEST VARS'!$U$52+'LINEST VARS'!$T$52*($Q$32)+'LINEST VARS'!$S$52*($B49)+'LINEST VARS'!$R$52*(4)+'LINEST VARS'!$Q$52*(0.5)+'LINEST VARS'!$P$52*(12.73)+'LINEST VARS'!$O$52*($Q$32^2)+'LINEST VARS'!$N$52*($B49^2)+'LINEST VARS'!$M$52*(4^2)+'LINEST VARS'!$L$52*(0.5^2)+'LINEST VARS'!$K$52*(12.73^2)+'LINEST VARS'!$J$52*($Q$32*$B49)+'LINEST VARS'!$I$52*($Q$32*4)+'LINEST VARS'!$H$52*($Q$32*0.5)+'LINEST VARS'!$G$52*($Q$32*12.73)+'LINEST VARS'!$F$52*($B49*4)+'LINEST VARS'!$E$52*($B49*0.5)+'LINEST VARS'!$D$52*($B49*12.73)+'LINEST VARS'!$C$52*(4*0.5)+'LINEST VARS'!$B$52*(4*12.73)+'LINEST VARS'!$A$52*(0.5*12.73)</f>
        <v>4.4499999999999984</v>
      </c>
      <c r="R49" s="51">
        <f>'LINEST VARS'!$U$52+'LINEST VARS'!$T$52*($R$32)+'LINEST VARS'!$S$52*($B49)+'LINEST VARS'!$R$52*(4)+'LINEST VARS'!$Q$52*(0.5)+'LINEST VARS'!$P$52*(12.73)+'LINEST VARS'!$O$52*($R$32^2)+'LINEST VARS'!$N$52*($B49^2)+'LINEST VARS'!$M$52*(4^2)+'LINEST VARS'!$L$52*(0.5^2)+'LINEST VARS'!$K$52*(12.73^2)+'LINEST VARS'!$J$52*($R$32*$B49)+'LINEST VARS'!$I$52*($R$32*4)+'LINEST VARS'!$H$52*($R$32*0.5)+'LINEST VARS'!$G$52*($R$32*12.73)+'LINEST VARS'!$F$52*($B49*4)+'LINEST VARS'!$E$52*($B49*0.5)+'LINEST VARS'!$D$52*($B49*12.73)+'LINEST VARS'!$C$52*(4*0.5)+'LINEST VARS'!$B$52*(4*12.73)+'LINEST VARS'!$A$52*(0.5*12.73)</f>
        <v>4.4499999999999984</v>
      </c>
      <c r="S49" s="51">
        <f>'LINEST VARS'!$U$52+'LINEST VARS'!$T$52*($S$32)+'LINEST VARS'!$S$52*($B49)+'LINEST VARS'!$R$52*(4)+'LINEST VARS'!$Q$52*(0.5)+'LINEST VARS'!$P$52*(12.73)+'LINEST VARS'!$O$52*($S$32^2)+'LINEST VARS'!$N$52*($B49^2)+'LINEST VARS'!$M$52*(4^2)+'LINEST VARS'!$L$52*(0.5^2)+'LINEST VARS'!$K$52*(12.73^2)+'LINEST VARS'!$J$52*($S$32*$B49)+'LINEST VARS'!$I$52*($S$32*4)+'LINEST VARS'!$H$52*($S$32*0.5)+'LINEST VARS'!$G$52*($S$32*12.73)+'LINEST VARS'!$F$52*($B49*4)+'LINEST VARS'!$E$52*($B49*0.5)+'LINEST VARS'!$D$52*($B49*12.73)+'LINEST VARS'!$C$52*(4*0.5)+'LINEST VARS'!$B$52*(4*12.73)+'LINEST VARS'!$A$52*(0.5*12.73)</f>
        <v>4.4499999999999984</v>
      </c>
      <c r="T49" s="51">
        <f>'LINEST VARS'!$U$52+'LINEST VARS'!$T$52*($T$32)+'LINEST VARS'!$S$52*($B49)+'LINEST VARS'!$R$52*(4)+'LINEST VARS'!$Q$52*(0.5)+'LINEST VARS'!$P$52*(12.73)+'LINEST VARS'!$O$52*($T$32^2)+'LINEST VARS'!$N$52*($B49^2)+'LINEST VARS'!$M$52*(4^2)+'LINEST VARS'!$L$52*(0.5^2)+'LINEST VARS'!$K$52*(12.73^2)+'LINEST VARS'!$J$52*($T$32*$B49)+'LINEST VARS'!$I$52*($T$32*4)+'LINEST VARS'!$H$52*($T$32*0.5)+'LINEST VARS'!$G$52*($T$32*12.73)+'LINEST VARS'!$F$52*($B49*4)+'LINEST VARS'!$E$52*($B49*0.5)+'LINEST VARS'!$D$52*($B49*12.73)+'LINEST VARS'!$C$52*(4*0.5)+'LINEST VARS'!$B$52*(4*12.73)+'LINEST VARS'!$A$52*(0.5*12.73)</f>
        <v>4.4499999999999984</v>
      </c>
      <c r="U49" s="51">
        <f>'LINEST VARS'!$U$52+'LINEST VARS'!$T$52*($U$32)+'LINEST VARS'!$S$52*($B49)+'LINEST VARS'!$R$52*(4)+'LINEST VARS'!$Q$52*(0.5)+'LINEST VARS'!$P$52*(12.73)+'LINEST VARS'!$O$52*($U$32^2)+'LINEST VARS'!$N$52*($B49^2)+'LINEST VARS'!$M$52*(4^2)+'LINEST VARS'!$L$52*(0.5^2)+'LINEST VARS'!$K$52*(12.73^2)+'LINEST VARS'!$J$52*($U$32*$B49)+'LINEST VARS'!$I$52*($U$32*4)+'LINEST VARS'!$H$52*($U$32*0.5)+'LINEST VARS'!$G$52*($U$32*12.73)+'LINEST VARS'!$F$52*($B49*4)+'LINEST VARS'!$E$52*($B49*0.5)+'LINEST VARS'!$D$52*($B49*12.73)+'LINEST VARS'!$C$52*(4*0.5)+'LINEST VARS'!$B$52*(4*12.73)+'LINEST VARS'!$A$52*(0.5*12.73)</f>
        <v>4.4499999999999984</v>
      </c>
      <c r="V49" s="51">
        <f>'LINEST VARS'!$U$52+'LINEST VARS'!$T$52*($V$32)+'LINEST VARS'!$S$52*($B49)+'LINEST VARS'!$R$52*(4)+'LINEST VARS'!$Q$52*(0.5)+'LINEST VARS'!$P$52*(12.73)+'LINEST VARS'!$O$52*($V$32^2)+'LINEST VARS'!$N$52*($B49^2)+'LINEST VARS'!$M$52*(4^2)+'LINEST VARS'!$L$52*(0.5^2)+'LINEST VARS'!$K$52*(12.73^2)+'LINEST VARS'!$J$52*($V$32*$B49)+'LINEST VARS'!$I$52*($V$32*4)+'LINEST VARS'!$H$52*($V$32*0.5)+'LINEST VARS'!$G$52*($V$32*12.73)+'LINEST VARS'!$F$52*($B49*4)+'LINEST VARS'!$E$52*($B49*0.5)+'LINEST VARS'!$D$52*($B49*12.73)+'LINEST VARS'!$C$52*(4*0.5)+'LINEST VARS'!$B$52*(4*12.73)+'LINEST VARS'!$A$52*(0.5*12.73)</f>
        <v>4.4499999999999993</v>
      </c>
      <c r="W49" s="52">
        <f>'LINEST VARS'!$U$52+'LINEST VARS'!$T$52*($W$32)+'LINEST VARS'!$S$52*($B49)+'LINEST VARS'!$R$52*(4)+'LINEST VARS'!$Q$52*(0.5)+'LINEST VARS'!$P$52*(12.73)+'LINEST VARS'!$O$52*($W$32^2)+'LINEST VARS'!$N$52*($B49^2)+'LINEST VARS'!$M$52*(4^2)+'LINEST VARS'!$L$52*(0.5^2)+'LINEST VARS'!$K$52*(12.73^2)+'LINEST VARS'!$J$52*($W$32*$B49)+'LINEST VARS'!$I$52*($W$32*4)+'LINEST VARS'!$H$52*($W$32*0.5)+'LINEST VARS'!$G$52*($W$32*12.73)+'LINEST VARS'!$F$52*($B49*4)+'LINEST VARS'!$E$52*($B49*0.5)+'LINEST VARS'!$D$52*($B49*12.73)+'LINEST VARS'!$C$52*(4*0.5)+'LINEST VARS'!$B$52*(4*12.73)+'LINEST VARS'!$A$52*(0.5*12.73)</f>
        <v>4.4499999999999993</v>
      </c>
      <c r="Z49" s="45">
        <v>8.36</v>
      </c>
      <c r="AA49" s="51">
        <f>'LINEST VARS'!$U$54+'LINEST VARS'!$T$54*($AA$32)+'LINEST VARS'!$S$54*($Z49)+'LINEST VARS'!$R$54*(4)+'LINEST VARS'!$Q$54*(0.5)+'LINEST VARS'!$P$54*(12.73)+'LINEST VARS'!$O$54*($AA$32^2)+'LINEST VARS'!$N$54*($Z49^2)+'LINEST VARS'!$M$54*(4^2)+'LINEST VARS'!$L$54*(0.5^2)+'LINEST VARS'!$K$54*(12.73^2)+'LINEST VARS'!$J$54*($AA$32*$Z49)+'LINEST VARS'!$I$54*($AA$32*4)+'LINEST VARS'!$H$54*($AA$32*0.5)+'LINEST VARS'!$G$54*($AA$32*12.73)+'LINEST VARS'!$F$54*($Z49*4)+'LINEST VARS'!$E$54*($Z49*0.5)+'LINEST VARS'!$D$54*($Z49*12.73)+'LINEST VARS'!$C$54*(4*0.5)+'LINEST VARS'!$B$54*(4*12.73)+'LINEST VARS'!$A$54*(0.5*12.73)</f>
        <v>3.9749999999999996</v>
      </c>
      <c r="AB49" s="51">
        <f>'LINEST VARS'!$U$54+'LINEST VARS'!$T$54*($AB$32)+'LINEST VARS'!$S$54*($Z49)+'LINEST VARS'!$R$54*(4)+'LINEST VARS'!$Q$54*(0.5)+'LINEST VARS'!$P$54*(12.73)+'LINEST VARS'!$O$54*($AB$32^2)+'LINEST VARS'!$N$54*($Z49^2)+'LINEST VARS'!$M$54*(4^2)+'LINEST VARS'!$L$54*(0.5^2)+'LINEST VARS'!$K$54*(12.73^2)+'LINEST VARS'!$J$54*($AB$32*$Z49)+'LINEST VARS'!$I$54*($AB$32*4)+'LINEST VARS'!$H$54*($AB$32*0.5)+'LINEST VARS'!$G$54*($AB$32*12.73)+'LINEST VARS'!$F$54*($Z49*4)+'LINEST VARS'!$E$54*($Z49*0.5)+'LINEST VARS'!$D$54*($Z49*12.73)+'LINEST VARS'!$C$54*(4*0.5)+'LINEST VARS'!$B$54*(4*12.73)+'LINEST VARS'!$A$54*(0.5*12.73)</f>
        <v>3.9749999999999996</v>
      </c>
      <c r="AC49" s="51">
        <f>'LINEST VARS'!$U$54+'LINEST VARS'!$T$54*($AC$32)+'LINEST VARS'!$S$54*($Z49)+'LINEST VARS'!$R$54*(4)+'LINEST VARS'!$Q$54*(0.5)+'LINEST VARS'!$P$54*(12.73)+'LINEST VARS'!$O$54*($AC$32^2)+'LINEST VARS'!$N$54*($Z49^2)+'LINEST VARS'!$M$54*(4^2)+'LINEST VARS'!$L$54*(0.5^2)+'LINEST VARS'!$K$54*(12.73^2)+'LINEST VARS'!$J$54*($AC$32*$Z49)+'LINEST VARS'!$I$54*($AC$32*4)+'LINEST VARS'!$H$54*($AC$32*0.5)+'LINEST VARS'!$G$54*($AC$32*12.73)+'LINEST VARS'!$F$54*($Z49*4)+'LINEST VARS'!$E$54*($Z49*0.5)+'LINEST VARS'!$D$54*($Z49*12.73)+'LINEST VARS'!$C$54*(4*0.5)+'LINEST VARS'!$B$54*(4*12.73)+'LINEST VARS'!$A$54*(0.5*12.73)</f>
        <v>3.9749999999999996</v>
      </c>
      <c r="AD49" s="51">
        <f>'LINEST VARS'!$U$54+'LINEST VARS'!$T$54*($AD$32)+'LINEST VARS'!$S$54*($Z49)+'LINEST VARS'!$R$54*(4)+'LINEST VARS'!$Q$54*(0.5)+'LINEST VARS'!$P$54*(12.73)+'LINEST VARS'!$O$54*($AD$32^2)+'LINEST VARS'!$N$54*($Z49^2)+'LINEST VARS'!$M$54*(4^2)+'LINEST VARS'!$L$54*(0.5^2)+'LINEST VARS'!$K$54*(12.73^2)+'LINEST VARS'!$J$54*($AD$32*$Z49)+'LINEST VARS'!$I$54*($AD$32*4)+'LINEST VARS'!$H$54*($AD$32*0.5)+'LINEST VARS'!$G$54*($AD$32*12.73)+'LINEST VARS'!$F$54*($Z49*4)+'LINEST VARS'!$E$54*($Z49*0.5)+'LINEST VARS'!$D$54*($Z49*12.73)+'LINEST VARS'!$C$54*(4*0.5)+'LINEST VARS'!$B$54*(4*12.73)+'LINEST VARS'!$A$54*(0.5*12.73)</f>
        <v>3.9749999999999996</v>
      </c>
      <c r="AE49" s="51">
        <f>'LINEST VARS'!$U$54+'LINEST VARS'!$T$54*($AE$32)+'LINEST VARS'!$S$54*($Z49)+'LINEST VARS'!$R$54*(4)+'LINEST VARS'!$Q$54*(0.5)+'LINEST VARS'!$P$54*(12.73)+'LINEST VARS'!$O$54*($AE$32^2)+'LINEST VARS'!$N$54*($Z49^2)+'LINEST VARS'!$M$54*(4^2)+'LINEST VARS'!$L$54*(0.5^2)+'LINEST VARS'!$K$54*(12.73^2)+'LINEST VARS'!$J$54*($AE$32*$Z49)+'LINEST VARS'!$I$54*($AE$32*4)+'LINEST VARS'!$H$54*($AE$32*0.5)+'LINEST VARS'!$G$54*($AE$32*12.73)+'LINEST VARS'!$F$54*($Z49*4)+'LINEST VARS'!$E$54*($Z49*0.5)+'LINEST VARS'!$D$54*($Z49*12.73)+'LINEST VARS'!$C$54*(4*0.5)+'LINEST VARS'!$B$54*(4*12.73)+'LINEST VARS'!$A$54*(0.5*12.73)</f>
        <v>3.9749999999999996</v>
      </c>
      <c r="AF49" s="51">
        <f>'LINEST VARS'!$U$54+'LINEST VARS'!$T$54*($AF$32)+'LINEST VARS'!$S$54*($Z49)+'LINEST VARS'!$R$54*(4)+'LINEST VARS'!$Q$54*(0.5)+'LINEST VARS'!$P$54*(12.73)+'LINEST VARS'!$O$54*($AF$32^2)+'LINEST VARS'!$N$54*($Z49^2)+'LINEST VARS'!$M$54*(4^2)+'LINEST VARS'!$L$54*(0.5^2)+'LINEST VARS'!$K$54*(12.73^2)+'LINEST VARS'!$J$54*($AF$32*$Z49)+'LINEST VARS'!$I$54*($AF$32*4)+'LINEST VARS'!$H$54*($AF$32*0.5)+'LINEST VARS'!$G$54*($AF$32*12.73)+'LINEST VARS'!$F$54*($Z49*4)+'LINEST VARS'!$E$54*($Z49*0.5)+'LINEST VARS'!$D$54*($Z49*12.73)+'LINEST VARS'!$C$54*(4*0.5)+'LINEST VARS'!$B$54*(4*12.73)+'LINEST VARS'!$A$54*(0.5*12.73)</f>
        <v>3.9749999999999996</v>
      </c>
      <c r="AG49" s="51">
        <f>'LINEST VARS'!$U$54+'LINEST VARS'!$T$54*($AG$32)+'LINEST VARS'!$S$54*($Z49)+'LINEST VARS'!$R$54*(4)+'LINEST VARS'!$Q$54*(0.5)+'LINEST VARS'!$P$54*(12.73)+'LINEST VARS'!$O$54*($AG$32^2)+'LINEST VARS'!$N$54*($Z49^2)+'LINEST VARS'!$M$54*(4^2)+'LINEST VARS'!$L$54*(0.5^2)+'LINEST VARS'!$K$54*(12.73^2)+'LINEST VARS'!$J$54*($AG$32*$Z49)+'LINEST VARS'!$I$54*($AG$32*4)+'LINEST VARS'!$H$54*($AG$32*0.5)+'LINEST VARS'!$G$54*($AG$32*12.73)+'LINEST VARS'!$F$54*($Z49*4)+'LINEST VARS'!$E$54*($Z49*0.5)+'LINEST VARS'!$D$54*($Z49*12.73)+'LINEST VARS'!$C$54*(4*0.5)+'LINEST VARS'!$B$54*(4*12.73)+'LINEST VARS'!$A$54*(0.5*12.73)</f>
        <v>3.9749999999999996</v>
      </c>
      <c r="AH49" s="51">
        <f>'LINEST VARS'!$U$54+'LINEST VARS'!$T$54*($AH$32)+'LINEST VARS'!$S$54*($Z49)+'LINEST VARS'!$R$54*(4)+'LINEST VARS'!$Q$54*(0.5)+'LINEST VARS'!$P$54*(12.73)+'LINEST VARS'!$O$54*($AH$32^2)+'LINEST VARS'!$N$54*($Z49^2)+'LINEST VARS'!$M$54*(4^2)+'LINEST VARS'!$L$54*(0.5^2)+'LINEST VARS'!$K$54*(12.73^2)+'LINEST VARS'!$J$54*($AH$32*$Z49)+'LINEST VARS'!$I$54*($AH$32*4)+'LINEST VARS'!$H$54*($AH$32*0.5)+'LINEST VARS'!$G$54*($AH$32*12.73)+'LINEST VARS'!$F$54*($Z49*4)+'LINEST VARS'!$E$54*($Z49*0.5)+'LINEST VARS'!$D$54*($Z49*12.73)+'LINEST VARS'!$C$54*(4*0.5)+'LINEST VARS'!$B$54*(4*12.73)+'LINEST VARS'!$A$54*(0.5*12.73)</f>
        <v>3.9749999999999996</v>
      </c>
      <c r="AI49" s="51">
        <f>'LINEST VARS'!$U$54+'LINEST VARS'!$T$54*($AI$32)+'LINEST VARS'!$S$54*($Z49)+'LINEST VARS'!$R$54*(4)+'LINEST VARS'!$Q$54*(0.5)+'LINEST VARS'!$P$54*(12.73)+'LINEST VARS'!$O$54*($AI$32^2)+'LINEST VARS'!$N$54*($Z49^2)+'LINEST VARS'!$M$54*(4^2)+'LINEST VARS'!$L$54*(0.5^2)+'LINEST VARS'!$K$54*(12.73^2)+'LINEST VARS'!$J$54*($AI$32*$Z49)+'LINEST VARS'!$I$54*($AI$32*4)+'LINEST VARS'!$H$54*($AI$32*0.5)+'LINEST VARS'!$G$54*($AI$32*12.73)+'LINEST VARS'!$F$54*($Z49*4)+'LINEST VARS'!$E$54*($Z49*0.5)+'LINEST VARS'!$D$54*($Z49*12.73)+'LINEST VARS'!$C$54*(4*0.5)+'LINEST VARS'!$B$54*(4*12.73)+'LINEST VARS'!$A$54*(0.5*12.73)</f>
        <v>3.9749999999999996</v>
      </c>
      <c r="AJ49" s="51">
        <f>'LINEST VARS'!$U$54+'LINEST VARS'!$T$54*($AJ$32)+'LINEST VARS'!$S$54*($Z49)+'LINEST VARS'!$R$54*(4)+'LINEST VARS'!$Q$54*(0.5)+'LINEST VARS'!$P$54*(12.73)+'LINEST VARS'!$O$54*($AJ$32^2)+'LINEST VARS'!$N$54*($Z49^2)+'LINEST VARS'!$M$54*(4^2)+'LINEST VARS'!$L$54*(0.5^2)+'LINEST VARS'!$K$54*(12.73^2)+'LINEST VARS'!$J$54*($AJ$32*$Z49)+'LINEST VARS'!$I$54*($AJ$32*4)+'LINEST VARS'!$H$54*($AJ$32*0.5)+'LINEST VARS'!$G$54*($AJ$32*12.73)+'LINEST VARS'!$F$54*($Z49*4)+'LINEST VARS'!$E$54*($Z49*0.5)+'LINEST VARS'!$D$54*($Z49*12.73)+'LINEST VARS'!$C$54*(4*0.5)+'LINEST VARS'!$B$54*(4*12.73)+'LINEST VARS'!$A$54*(0.5*12.73)</f>
        <v>3.9749999999999996</v>
      </c>
      <c r="AK49" s="51">
        <f>'LINEST VARS'!$U$54+'LINEST VARS'!$T$54*($AK$32)+'LINEST VARS'!$S$54*($Z49)+'LINEST VARS'!$R$54*(4)+'LINEST VARS'!$Q$54*(0.5)+'LINEST VARS'!$P$54*(12.73)+'LINEST VARS'!$O$54*($AK$32^2)+'LINEST VARS'!$N$54*($Z49^2)+'LINEST VARS'!$M$54*(4^2)+'LINEST VARS'!$L$54*(0.5^2)+'LINEST VARS'!$K$54*(12.73^2)+'LINEST VARS'!$J$54*($AK$32*$Z49)+'LINEST VARS'!$I$54*($AK$32*4)+'LINEST VARS'!$H$54*($AK$32*0.5)+'LINEST VARS'!$G$54*($AK$32*12.73)+'LINEST VARS'!$F$54*($Z49*4)+'LINEST VARS'!$E$54*($Z49*0.5)+'LINEST VARS'!$D$54*($Z49*12.73)+'LINEST VARS'!$C$54*(4*0.5)+'LINEST VARS'!$B$54*(4*12.73)+'LINEST VARS'!$A$54*(0.5*12.73)</f>
        <v>3.9749999999999996</v>
      </c>
      <c r="AL49" s="51">
        <f>'LINEST VARS'!$U$54+'LINEST VARS'!$T$54*($AL$32)+'LINEST VARS'!$S$54*($Z49)+'LINEST VARS'!$R$54*(4)+'LINEST VARS'!$Q$54*(0.5)+'LINEST VARS'!$P$54*(12.73)+'LINEST VARS'!$O$54*($AL$32^2)+'LINEST VARS'!$N$54*($Z49^2)+'LINEST VARS'!$M$54*(4^2)+'LINEST VARS'!$L$54*(0.5^2)+'LINEST VARS'!$K$54*(12.73^2)+'LINEST VARS'!$J$54*($AL$32*$Z49)+'LINEST VARS'!$I$54*($AL$32*4)+'LINEST VARS'!$H$54*($AL$32*0.5)+'LINEST VARS'!$G$54*($AL$32*12.73)+'LINEST VARS'!$F$54*($Z49*4)+'LINEST VARS'!$E$54*($Z49*0.5)+'LINEST VARS'!$D$54*($Z49*12.73)+'LINEST VARS'!$C$54*(4*0.5)+'LINEST VARS'!$B$54*(4*12.73)+'LINEST VARS'!$A$54*(0.5*12.73)</f>
        <v>3.9749999999999996</v>
      </c>
      <c r="AM49" s="51">
        <f>'LINEST VARS'!$U$54+'LINEST VARS'!$T$54*($AM$32)+'LINEST VARS'!$S$54*($Z49)+'LINEST VARS'!$R$54*(4)+'LINEST VARS'!$Q$54*(0.5)+'LINEST VARS'!$P$54*(12.73)+'LINEST VARS'!$O$54*($AM$32^2)+'LINEST VARS'!$N$54*($Z49^2)+'LINEST VARS'!$M$54*(4^2)+'LINEST VARS'!$L$54*(0.5^2)+'LINEST VARS'!$K$54*(12.73^2)+'LINEST VARS'!$J$54*($AM$32*$Z49)+'LINEST VARS'!$I$54*($AM$32*4)+'LINEST VARS'!$H$54*($AM$32*0.5)+'LINEST VARS'!$G$54*($AM$32*12.73)+'LINEST VARS'!$F$54*($Z49*4)+'LINEST VARS'!$E$54*($Z49*0.5)+'LINEST VARS'!$D$54*($Z49*12.73)+'LINEST VARS'!$C$54*(4*0.5)+'LINEST VARS'!$B$54*(4*12.73)+'LINEST VARS'!$A$54*(0.5*12.73)</f>
        <v>3.9749999999999996</v>
      </c>
      <c r="AN49" s="51">
        <f>'LINEST VARS'!$U$54+'LINEST VARS'!$T$54*($AN$32)+'LINEST VARS'!$S$54*($Z49)+'LINEST VARS'!$R$54*(4)+'LINEST VARS'!$Q$54*(0.5)+'LINEST VARS'!$P$54*(12.73)+'LINEST VARS'!$O$54*($AN$32^2)+'LINEST VARS'!$N$54*($Z49^2)+'LINEST VARS'!$M$54*(4^2)+'LINEST VARS'!$L$54*(0.5^2)+'LINEST VARS'!$K$54*(12.73^2)+'LINEST VARS'!$J$54*($AN$32*$Z49)+'LINEST VARS'!$I$54*($AN$32*4)+'LINEST VARS'!$H$54*($AN$32*0.5)+'LINEST VARS'!$G$54*($AN$32*12.73)+'LINEST VARS'!$F$54*($Z49*4)+'LINEST VARS'!$E$54*($Z49*0.5)+'LINEST VARS'!$D$54*($Z49*12.73)+'LINEST VARS'!$C$54*(4*0.5)+'LINEST VARS'!$B$54*(4*12.73)+'LINEST VARS'!$A$54*(0.5*12.73)</f>
        <v>3.9749999999999996</v>
      </c>
      <c r="AO49" s="51">
        <f>'LINEST VARS'!$U$54+'LINEST VARS'!$T$54*($AO$32)+'LINEST VARS'!$S$54*($Z49)+'LINEST VARS'!$R$54*(4)+'LINEST VARS'!$Q$54*(0.5)+'LINEST VARS'!$P$54*(12.73)+'LINEST VARS'!$O$54*($AO$32^2)+'LINEST VARS'!$N$54*($Z49^2)+'LINEST VARS'!$M$54*(4^2)+'LINEST VARS'!$L$54*(0.5^2)+'LINEST VARS'!$K$54*(12.73^2)+'LINEST VARS'!$J$54*($AO$32*$Z49)+'LINEST VARS'!$I$54*($AO$32*4)+'LINEST VARS'!$H$54*($AO$32*0.5)+'LINEST VARS'!$G$54*($AO$32*12.73)+'LINEST VARS'!$F$54*($Z49*4)+'LINEST VARS'!$E$54*($Z49*0.5)+'LINEST VARS'!$D$54*($Z49*12.73)+'LINEST VARS'!$C$54*(4*0.5)+'LINEST VARS'!$B$54*(4*12.73)+'LINEST VARS'!$A$54*(0.5*12.73)</f>
        <v>3.9749999999999996</v>
      </c>
      <c r="AP49" s="51">
        <f>'LINEST VARS'!$U$54+'LINEST VARS'!$T$54*($AP$32)+'LINEST VARS'!$S$54*($Z49)+'LINEST VARS'!$R$54*(4)+'LINEST VARS'!$Q$54*(0.5)+'LINEST VARS'!$P$54*(12.73)+'LINEST VARS'!$O$54*($AP$32^2)+'LINEST VARS'!$N$54*($Z49^2)+'LINEST VARS'!$M$54*(4^2)+'LINEST VARS'!$L$54*(0.5^2)+'LINEST VARS'!$K$54*(12.73^2)+'LINEST VARS'!$J$54*($AP$32*$Z49)+'LINEST VARS'!$I$54*($AP$32*4)+'LINEST VARS'!$H$54*($AP$32*0.5)+'LINEST VARS'!$G$54*($AP$32*12.73)+'LINEST VARS'!$F$54*($Z49*4)+'LINEST VARS'!$E$54*($Z49*0.5)+'LINEST VARS'!$D$54*($Z49*12.73)+'LINEST VARS'!$C$54*(4*0.5)+'LINEST VARS'!$B$54*(4*12.73)+'LINEST VARS'!$A$54*(0.5*12.73)</f>
        <v>3.9749999999999996</v>
      </c>
      <c r="AQ49" s="51">
        <f>'LINEST VARS'!$U$54+'LINEST VARS'!$T$54*($AQ$32)+'LINEST VARS'!$S$54*($Z49)+'LINEST VARS'!$R$54*(4)+'LINEST VARS'!$Q$54*(0.5)+'LINEST VARS'!$P$54*(12.73)+'LINEST VARS'!$O$54*($AQ$32^2)+'LINEST VARS'!$N$54*($Z49^2)+'LINEST VARS'!$M$54*(4^2)+'LINEST VARS'!$L$54*(0.5^2)+'LINEST VARS'!$K$54*(12.73^2)+'LINEST VARS'!$J$54*($AQ$32*$Z49)+'LINEST VARS'!$I$54*($AQ$32*4)+'LINEST VARS'!$H$54*($AQ$32*0.5)+'LINEST VARS'!$G$54*($AQ$32*12.73)+'LINEST VARS'!$F$54*($Z49*4)+'LINEST VARS'!$E$54*($Z49*0.5)+'LINEST VARS'!$D$54*($Z49*12.73)+'LINEST VARS'!$C$54*(4*0.5)+'LINEST VARS'!$B$54*(4*12.73)+'LINEST VARS'!$A$54*(0.5*12.73)</f>
        <v>3.9749999999999996</v>
      </c>
      <c r="AR49" s="51">
        <f>'LINEST VARS'!$U$54+'LINEST VARS'!$T$54*($AR$32)+'LINEST VARS'!$S$54*($Z49)+'LINEST VARS'!$R$54*(4)+'LINEST VARS'!$Q$54*(0.5)+'LINEST VARS'!$P$54*(12.73)+'LINEST VARS'!$O$54*($AR$32^2)+'LINEST VARS'!$N$54*($Z49^2)+'LINEST VARS'!$M$54*(4^2)+'LINEST VARS'!$L$54*(0.5^2)+'LINEST VARS'!$K$54*(12.73^2)+'LINEST VARS'!$J$54*($AR$32*$Z49)+'LINEST VARS'!$I$54*($AR$32*4)+'LINEST VARS'!$H$54*($AR$32*0.5)+'LINEST VARS'!$G$54*($AR$32*12.73)+'LINEST VARS'!$F$54*($Z49*4)+'LINEST VARS'!$E$54*($Z49*0.5)+'LINEST VARS'!$D$54*($Z49*12.73)+'LINEST VARS'!$C$54*(4*0.5)+'LINEST VARS'!$B$54*(4*12.73)+'LINEST VARS'!$A$54*(0.5*12.73)</f>
        <v>3.9749999999999996</v>
      </c>
      <c r="AS49" s="51">
        <f>'LINEST VARS'!$U$54+'LINEST VARS'!$T$54*($AS$32)+'LINEST VARS'!$S$54*($Z49)+'LINEST VARS'!$R$54*(4)+'LINEST VARS'!$Q$54*(0.5)+'LINEST VARS'!$P$54*(12.73)+'LINEST VARS'!$O$54*($AS$32^2)+'LINEST VARS'!$N$54*($Z49^2)+'LINEST VARS'!$M$54*(4^2)+'LINEST VARS'!$L$54*(0.5^2)+'LINEST VARS'!$K$54*(12.73^2)+'LINEST VARS'!$J$54*($AS$32*$Z49)+'LINEST VARS'!$I$54*($AS$32*4)+'LINEST VARS'!$H$54*($AS$32*0.5)+'LINEST VARS'!$G$54*($AS$32*12.73)+'LINEST VARS'!$F$54*($Z49*4)+'LINEST VARS'!$E$54*($Z49*0.5)+'LINEST VARS'!$D$54*($Z49*12.73)+'LINEST VARS'!$C$54*(4*0.5)+'LINEST VARS'!$B$54*(4*12.73)+'LINEST VARS'!$A$54*(0.5*12.73)</f>
        <v>3.9749999999999996</v>
      </c>
      <c r="AT49" s="51">
        <f>'LINEST VARS'!$U$54+'LINEST VARS'!$T$54*($AT$32)+'LINEST VARS'!$S$54*($Z49)+'LINEST VARS'!$R$54*(4)+'LINEST VARS'!$Q$54*(0.5)+'LINEST VARS'!$P$54*(12.73)+'LINEST VARS'!$O$54*($AT$32^2)+'LINEST VARS'!$N$54*($Z49^2)+'LINEST VARS'!$M$54*(4^2)+'LINEST VARS'!$L$54*(0.5^2)+'LINEST VARS'!$K$54*(12.73^2)+'LINEST VARS'!$J$54*($AT$32*$Z49)+'LINEST VARS'!$I$54*($AT$32*4)+'LINEST VARS'!$H$54*($AT$32*0.5)+'LINEST VARS'!$G$54*($AT$32*12.73)+'LINEST VARS'!$F$54*($Z49*4)+'LINEST VARS'!$E$54*($Z49*0.5)+'LINEST VARS'!$D$54*($Z49*12.73)+'LINEST VARS'!$C$54*(4*0.5)+'LINEST VARS'!$B$54*(4*12.73)+'LINEST VARS'!$A$54*(0.5*12.73)</f>
        <v>3.9750000000000001</v>
      </c>
      <c r="AU49" s="52">
        <f>'LINEST VARS'!$U$54+'LINEST VARS'!$T$54*($AU$32)+'LINEST VARS'!$S$54*($Z49)+'LINEST VARS'!$R$54*(4)+'LINEST VARS'!$Q$54*(0.5)+'LINEST VARS'!$P$54*(12.73)+'LINEST VARS'!$O$54*($AU$32^2)+'LINEST VARS'!$N$54*($Z49^2)+'LINEST VARS'!$M$54*(4^2)+'LINEST VARS'!$L$54*(0.5^2)+'LINEST VARS'!$K$54*(12.73^2)+'LINEST VARS'!$J$54*($AU$32*$Z49)+'LINEST VARS'!$I$54*($AU$32*4)+'LINEST VARS'!$H$54*($AU$32*0.5)+'LINEST VARS'!$G$54*($AU$32*12.73)+'LINEST VARS'!$F$54*($Z49*4)+'LINEST VARS'!$E$54*($Z49*0.5)+'LINEST VARS'!$D$54*($Z49*12.73)+'LINEST VARS'!$C$54*(4*0.5)+'LINEST VARS'!$B$54*(4*12.73)+'LINEST VARS'!$A$54*(0.5*12.73)</f>
        <v>3.9750000000000001</v>
      </c>
      <c r="AZ49" s="45">
        <v>0.8</v>
      </c>
      <c r="BA49" s="51">
        <f>'LINEST VARS'!$U$52+'LINEST VARS'!$T$52*(8)+'LINEST VARS'!$S$52*(8)+'LINEST VARS'!$R$52*($BA$32)+'LINEST VARS'!$Q$52*($AZ49)+'LINEST VARS'!$P$52*(12.73)+'LINEST VARS'!$O$52*(8^2)+'LINEST VARS'!$N$52*(8^2)+'LINEST VARS'!$M$52*($BA$32^2)+'LINEST VARS'!$L$52*($AZ49^2)+'LINEST VARS'!$K$52*(12.73^2)+'LINEST VARS'!$J$52*(8*8)+'LINEST VARS'!$I$52*(8*$BA$32)+'LINEST VARS'!$H$52*(8*$AZ49)+'LINEST VARS'!$G$52*(8*12.73)+'LINEST VARS'!$F$52*(8*$BA$32)+'LINEST VARS'!$E$52*(8*$AZ49)+'LINEST VARS'!$D$52*(8*12.73)+'LINEST VARS'!$C$52*($BA$32*$AZ49)+'LINEST VARS'!$B$52*($BA$32*12.73)+'LINEST VARS'!$A$52*($AZ49*12.73)</f>
        <v>4.4199999999999982</v>
      </c>
      <c r="BB49" s="51">
        <f>'LINEST VARS'!$U$52+'LINEST VARS'!$T$52*(8)+'LINEST VARS'!$S$52*(8)+'LINEST VARS'!$R$52*($BB$32)+'LINEST VARS'!$Q$52*($AZ49)+'LINEST VARS'!$P$52*(12.73)+'LINEST VARS'!$O$52*(8^2)+'LINEST VARS'!$N$52*(8^2)+'LINEST VARS'!$M$52*($BB$32^2)+'LINEST VARS'!$L$52*($AZ49^2)+'LINEST VARS'!$K$52*(12.73^2)+'LINEST VARS'!$J$52*(8*8)+'LINEST VARS'!$I$52*(8*$BB$32)+'LINEST VARS'!$H$52*(8*$AZ49)+'LINEST VARS'!$G$52*(8*12.73)+'LINEST VARS'!$F$52*(8*$BB$32)+'LINEST VARS'!$E$52*(8*$AZ49)+'LINEST VARS'!$D$52*(8*12.73)+'LINEST VARS'!$C$52*($BB$32*$AZ49)+'LINEST VARS'!$B$52*($BB$32*12.73)+'LINEST VARS'!$A$52*($AZ49*12.73)</f>
        <v>4.4199999999999982</v>
      </c>
      <c r="BC49" s="51">
        <f>'LINEST VARS'!$U$52+'LINEST VARS'!$T$52*(8)+'LINEST VARS'!$S$52*(8)+'LINEST VARS'!$R$52*($BC$32)+'LINEST VARS'!$Q$52*($AZ49)+'LINEST VARS'!$P$52*(12.73)+'LINEST VARS'!$O$52*(8^2)+'LINEST VARS'!$N$52*(8^2)+'LINEST VARS'!$M$52*($BC$32^2)+'LINEST VARS'!$L$52*($AZ49^2)+'LINEST VARS'!$K$52*(12.73^2)+'LINEST VARS'!$J$52*(8*8)+'LINEST VARS'!$I$52*(8*$BC$32)+'LINEST VARS'!$H$52*(8*$AZ49)+'LINEST VARS'!$G$52*(8*12.73)+'LINEST VARS'!$F$52*(8*$BC$32)+'LINEST VARS'!$E$52*(8*$AZ49)+'LINEST VARS'!$D$52*(8*12.73)+'LINEST VARS'!$C$52*($BC$32*$AZ49)+'LINEST VARS'!$B$52*($BC$32*12.73)+'LINEST VARS'!$A$52*($AZ49*12.73)</f>
        <v>4.4199999999999982</v>
      </c>
      <c r="BD49" s="51">
        <f>'LINEST VARS'!$U$52+'LINEST VARS'!$T$52*(8)+'LINEST VARS'!$S$52*(8)+'LINEST VARS'!$R$52*($BD$32)+'LINEST VARS'!$Q$52*($AZ49)+'LINEST VARS'!$P$52*(12.73)+'LINEST VARS'!$O$52*(8^2)+'LINEST VARS'!$N$52*(8^2)+'LINEST VARS'!$M$52*($BD$32^2)+'LINEST VARS'!$L$52*($AZ49^2)+'LINEST VARS'!$K$52*(12.73^2)+'LINEST VARS'!$J$52*(8*8)+'LINEST VARS'!$I$52*(8*$BD$32)+'LINEST VARS'!$H$52*(8*$AZ49)+'LINEST VARS'!$G$52*(8*12.73)+'LINEST VARS'!$F$52*(8*$BD$32)+'LINEST VARS'!$E$52*(8*$AZ49)+'LINEST VARS'!$D$52*(8*12.73)+'LINEST VARS'!$C$52*($BD$32*$AZ49)+'LINEST VARS'!$B$52*($BD$32*12.73)+'LINEST VARS'!$A$52*($AZ49*12.73)</f>
        <v>4.4199999999999982</v>
      </c>
      <c r="BE49" s="51">
        <f>'LINEST VARS'!$U$52+'LINEST VARS'!$T$52*(8)+'LINEST VARS'!$S$52*(8)+'LINEST VARS'!$R$52*($BE$32)+'LINEST VARS'!$Q$52*($AZ49)+'LINEST VARS'!$P$52*(12.73)+'LINEST VARS'!$O$52*(8^2)+'LINEST VARS'!$N$52*(8^2)+'LINEST VARS'!$M$52*($BE$32^2)+'LINEST VARS'!$L$52*($AZ49^2)+'LINEST VARS'!$K$52*(12.73^2)+'LINEST VARS'!$J$52*(8*8)+'LINEST VARS'!$I$52*(8*$BE$32)+'LINEST VARS'!$H$52*(8*$AZ49)+'LINEST VARS'!$G$52*(8*12.73)+'LINEST VARS'!$F$52*(8*$BE$32)+'LINEST VARS'!$E$52*(8*$AZ49)+'LINEST VARS'!$D$52*(8*12.73)+'LINEST VARS'!$C$52*($BE$32*$AZ49)+'LINEST VARS'!$B$52*($BE$32*12.73)+'LINEST VARS'!$A$52*($AZ49*12.73)</f>
        <v>4.4199999999999982</v>
      </c>
      <c r="BF49" s="51">
        <f>'LINEST VARS'!$U$52+'LINEST VARS'!$T$52*(8)+'LINEST VARS'!$S$52*(8)+'LINEST VARS'!$R$52*($BF$32)+'LINEST VARS'!$Q$52*($AZ49)+'LINEST VARS'!$P$52*(12.73)+'LINEST VARS'!$O$52*(8^2)+'LINEST VARS'!$N$52*(8^2)+'LINEST VARS'!$M$52*($BF$32^2)+'LINEST VARS'!$L$52*($AZ49^2)+'LINEST VARS'!$K$52*(12.73^2)+'LINEST VARS'!$J$52*(8*8)+'LINEST VARS'!$I$52*(8*$BF$32)+'LINEST VARS'!$H$52*(8*$AZ49)+'LINEST VARS'!$G$52*(8*12.73)+'LINEST VARS'!$F$52*(8*$BF$32)+'LINEST VARS'!$E$52*(8*$AZ49)+'LINEST VARS'!$D$52*(8*12.73)+'LINEST VARS'!$C$52*($BF$32*$AZ49)+'LINEST VARS'!$B$52*($BF$32*12.73)+'LINEST VARS'!$A$52*($AZ49*12.73)</f>
        <v>4.4199999999999982</v>
      </c>
      <c r="BG49" s="51">
        <f>'LINEST VARS'!$U$52+'LINEST VARS'!$T$52*(8)+'LINEST VARS'!$S$52*(8)+'LINEST VARS'!$R$52*($BG$32)+'LINEST VARS'!$Q$52*($AZ49)+'LINEST VARS'!$P$52*(12.73)+'LINEST VARS'!$O$52*(8^2)+'LINEST VARS'!$N$52*(8^2)+'LINEST VARS'!$M$52*($BG$32^2)+'LINEST VARS'!$L$52*($AZ49^2)+'LINEST VARS'!$K$52*(12.73^2)+'LINEST VARS'!$J$52*(8*8)+'LINEST VARS'!$I$52*(8*$BG$32)+'LINEST VARS'!$H$52*(8*$AZ49)+'LINEST VARS'!$G$52*(8*12.73)+'LINEST VARS'!$F$52*(8*$BG$32)+'LINEST VARS'!$E$52*(8*$AZ49)+'LINEST VARS'!$D$52*(8*12.73)+'LINEST VARS'!$C$52*($BG$32*$AZ49)+'LINEST VARS'!$B$52*($BG$32*12.73)+'LINEST VARS'!$A$52*($AZ49*12.73)</f>
        <v>4.4199999999999982</v>
      </c>
      <c r="BH49" s="51">
        <f>'LINEST VARS'!$U$52+'LINEST VARS'!$T$52*(8)+'LINEST VARS'!$S$52*(8)+'LINEST VARS'!$R$52*($BH$32)+'LINEST VARS'!$Q$52*($AZ49)+'LINEST VARS'!$P$52*(12.73)+'LINEST VARS'!$O$52*(8^2)+'LINEST VARS'!$N$52*(8^2)+'LINEST VARS'!$M$52*($BH$32^2)+'LINEST VARS'!$L$52*($AZ49^2)+'LINEST VARS'!$K$52*(12.73^2)+'LINEST VARS'!$J$52*(8*8)+'LINEST VARS'!$I$52*(8*$BH$32)+'LINEST VARS'!$H$52*(8*$AZ49)+'LINEST VARS'!$G$52*(8*12.73)+'LINEST VARS'!$F$52*(8*$BH$32)+'LINEST VARS'!$E$52*(8*$AZ49)+'LINEST VARS'!$D$52*(8*12.73)+'LINEST VARS'!$C$52*($BH$32*$AZ49)+'LINEST VARS'!$B$52*($BH$32*12.73)+'LINEST VARS'!$A$52*($AZ49*12.73)</f>
        <v>4.4199999999999982</v>
      </c>
      <c r="BI49" s="51">
        <f>'LINEST VARS'!$U$52+'LINEST VARS'!$T$52*(8)+'LINEST VARS'!$S$52*(8)+'LINEST VARS'!$R$52*($BI$32)+'LINEST VARS'!$Q$52*($AZ49)+'LINEST VARS'!$P$52*(12.73)+'LINEST VARS'!$O$52*(8^2)+'LINEST VARS'!$N$52*(8^2)+'LINEST VARS'!$M$52*($BI$32^2)+'LINEST VARS'!$L$52*($AZ49^2)+'LINEST VARS'!$K$52*(12.73^2)+'LINEST VARS'!$J$52*(8*8)+'LINEST VARS'!$I$52*(8*$BI$32)+'LINEST VARS'!$H$52*(8*$AZ49)+'LINEST VARS'!$G$52*(8*12.73)+'LINEST VARS'!$F$52*(8*$BI$32)+'LINEST VARS'!$E$52*(8*$AZ49)+'LINEST VARS'!$D$52*(8*12.73)+'LINEST VARS'!$C$52*($BI$32*$AZ49)+'LINEST VARS'!$B$52*($BI$32*12.73)+'LINEST VARS'!$A$52*($AZ49*12.73)</f>
        <v>4.4199999999999982</v>
      </c>
      <c r="BJ49" s="51">
        <f>'LINEST VARS'!$U$52+'LINEST VARS'!$T$52*(8)+'LINEST VARS'!$S$52*(8)+'LINEST VARS'!$R$52*($BJ$32)+'LINEST VARS'!$Q$52*($AZ49)+'LINEST VARS'!$P$52*(12.73)+'LINEST VARS'!$O$52*(8^2)+'LINEST VARS'!$N$52*(8^2)+'LINEST VARS'!$M$52*($BJ$32^2)+'LINEST VARS'!$L$52*($AZ49^2)+'LINEST VARS'!$K$52*(12.73^2)+'LINEST VARS'!$J$52*(8*8)+'LINEST VARS'!$I$52*(8*$BJ$32)+'LINEST VARS'!$H$52*(8*$AZ49)+'LINEST VARS'!$G$52*(8*12.73)+'LINEST VARS'!$F$52*(8*$BJ$32)+'LINEST VARS'!$E$52*(8*$AZ49)+'LINEST VARS'!$D$52*(8*12.73)+'LINEST VARS'!$C$52*($BJ$32*$AZ49)+'LINEST VARS'!$B$52*($BJ$32*12.73)+'LINEST VARS'!$A$52*($AZ49*12.73)</f>
        <v>4.4199999999999982</v>
      </c>
      <c r="BK49" s="51">
        <f>'LINEST VARS'!$U$52+'LINEST VARS'!$T$52*(8)+'LINEST VARS'!$S$52*(8)+'LINEST VARS'!$R$52*($BK$32)+'LINEST VARS'!$Q$52*($AZ49)+'LINEST VARS'!$P$52*(12.73)+'LINEST VARS'!$O$52*(8^2)+'LINEST VARS'!$N$52*(8^2)+'LINEST VARS'!$M$52*($BK$32^2)+'LINEST VARS'!$L$52*($AZ49^2)+'LINEST VARS'!$K$52*(12.73^2)+'LINEST VARS'!$J$52*(8*8)+'LINEST VARS'!$I$52*(8*$BK$32)+'LINEST VARS'!$H$52*(8*$AZ49)+'LINEST VARS'!$G$52*(8*12.73)+'LINEST VARS'!$F$52*(8*$BK$32)+'LINEST VARS'!$E$52*(8*$AZ49)+'LINEST VARS'!$D$52*(8*12.73)+'LINEST VARS'!$C$52*($BK$32*$AZ49)+'LINEST VARS'!$B$52*($BK$32*12.73)+'LINEST VARS'!$A$52*($AZ49*12.73)</f>
        <v>4.4199999999999982</v>
      </c>
      <c r="BL49" s="51">
        <f>'LINEST VARS'!$U$52+'LINEST VARS'!$T$52*(8)+'LINEST VARS'!$S$52*(8)+'LINEST VARS'!$R$52*($BL$32)+'LINEST VARS'!$Q$52*($AZ49)+'LINEST VARS'!$P$52*(12.73)+'LINEST VARS'!$O$52*(8^2)+'LINEST VARS'!$N$52*(8^2)+'LINEST VARS'!$M$52*($BL$32^2)+'LINEST VARS'!$L$52*($AZ49^2)+'LINEST VARS'!$K$52*(12.73^2)+'LINEST VARS'!$J$52*(8*8)+'LINEST VARS'!$I$52*(8*$BL$32)+'LINEST VARS'!$H$52*(8*$AZ49)+'LINEST VARS'!$G$52*(8*12.73)+'LINEST VARS'!$F$52*(8*$BL$32)+'LINEST VARS'!$E$52*(8*$AZ49)+'LINEST VARS'!$D$52*(8*12.73)+'LINEST VARS'!$C$52*($BL$32*$AZ49)+'LINEST VARS'!$B$52*($BL$32*12.73)+'LINEST VARS'!$A$52*($AZ49*12.73)</f>
        <v>4.4199999999999982</v>
      </c>
      <c r="BM49" s="51">
        <f>'LINEST VARS'!$U$52+'LINEST VARS'!$T$52*(8)+'LINEST VARS'!$S$52*(8)+'LINEST VARS'!$R$52*($BM$32)+'LINEST VARS'!$Q$52*($AZ49)+'LINEST VARS'!$P$52*(12.73)+'LINEST VARS'!$O$52*(8^2)+'LINEST VARS'!$N$52*(8^2)+'LINEST VARS'!$M$52*($BM$32^2)+'LINEST VARS'!$L$52*($AZ49^2)+'LINEST VARS'!$K$52*(12.73^2)+'LINEST VARS'!$J$52*(8*8)+'LINEST VARS'!$I$52*(8*$BM$32)+'LINEST VARS'!$H$52*(8*$AZ49)+'LINEST VARS'!$G$52*(8*12.73)+'LINEST VARS'!$F$52*(8*$BM$32)+'LINEST VARS'!$E$52*(8*$AZ49)+'LINEST VARS'!$D$52*(8*12.73)+'LINEST VARS'!$C$52*($BM$32*$AZ49)+'LINEST VARS'!$B$52*($BM$32*12.73)+'LINEST VARS'!$A$52*($AZ49*12.73)</f>
        <v>4.4199999999999982</v>
      </c>
      <c r="BN49" s="51">
        <f>'LINEST VARS'!$U$52+'LINEST VARS'!$T$52*(8)+'LINEST VARS'!$S$52*(8)+'LINEST VARS'!$R$52*($BN$32)+'LINEST VARS'!$Q$52*($AZ49)+'LINEST VARS'!$P$52*(12.73)+'LINEST VARS'!$O$52*(8^2)+'LINEST VARS'!$N$52*(8^2)+'LINEST VARS'!$M$52*($BN$32^2)+'LINEST VARS'!$L$52*($AZ49^2)+'LINEST VARS'!$K$52*(12.73^2)+'LINEST VARS'!$J$52*(8*8)+'LINEST VARS'!$I$52*(8*$BN$32)+'LINEST VARS'!$H$52*(8*$AZ49)+'LINEST VARS'!$G$52*(8*12.73)+'LINEST VARS'!$F$52*(8*$BN$32)+'LINEST VARS'!$E$52*(8*$AZ49)+'LINEST VARS'!$D$52*(8*12.73)+'LINEST VARS'!$C$52*($BN$32*$AZ49)+'LINEST VARS'!$B$52*($BN$32*12.73)+'LINEST VARS'!$A$52*($AZ49*12.73)</f>
        <v>4.4199999999999982</v>
      </c>
      <c r="BO49" s="51">
        <f>'LINEST VARS'!$U$52+'LINEST VARS'!$T$52*(8)+'LINEST VARS'!$S$52*(8)+'LINEST VARS'!$R$52*($BO$32)+'LINEST VARS'!$Q$52*($AZ49)+'LINEST VARS'!$P$52*(12.73)+'LINEST VARS'!$O$52*(8^2)+'LINEST VARS'!$N$52*(8^2)+'LINEST VARS'!$M$52*($BO$32^2)+'LINEST VARS'!$L$52*($AZ49^2)+'LINEST VARS'!$K$52*(12.73^2)+'LINEST VARS'!$J$52*(8*8)+'LINEST VARS'!$I$52*(8*$BO$32)+'LINEST VARS'!$H$52*(8*$AZ49)+'LINEST VARS'!$G$52*(8*12.73)+'LINEST VARS'!$F$52*(8*$BO$32)+'LINEST VARS'!$E$52*(8*$AZ49)+'LINEST VARS'!$D$52*(8*12.73)+'LINEST VARS'!$C$52*($BO$32*$AZ49)+'LINEST VARS'!$B$52*($BO$32*12.73)+'LINEST VARS'!$A$52*($AZ49*12.73)</f>
        <v>4.4199999999999982</v>
      </c>
      <c r="BP49" s="51">
        <f>'LINEST VARS'!$U$52+'LINEST VARS'!$T$52*(8)+'LINEST VARS'!$S$52*(8)+'LINEST VARS'!$R$52*($BP$32)+'LINEST VARS'!$Q$52*($AZ49)+'LINEST VARS'!$P$52*(12.73)+'LINEST VARS'!$O$52*(8^2)+'LINEST VARS'!$N$52*(8^2)+'LINEST VARS'!$M$52*($BP$32^2)+'LINEST VARS'!$L$52*($AZ49^2)+'LINEST VARS'!$K$52*(12.73^2)+'LINEST VARS'!$J$52*(8*8)+'LINEST VARS'!$I$52*(8*$BP$32)+'LINEST VARS'!$H$52*(8*$AZ49)+'LINEST VARS'!$G$52*(8*12.73)+'LINEST VARS'!$F$52*(8*$BP$32)+'LINEST VARS'!$E$52*(8*$AZ49)+'LINEST VARS'!$D$52*(8*12.73)+'LINEST VARS'!$C$52*($BP$32*$AZ49)+'LINEST VARS'!$B$52*($BP$32*12.73)+'LINEST VARS'!$A$52*($AZ49*12.73)</f>
        <v>4.4199999999999982</v>
      </c>
      <c r="BQ49" s="51">
        <f>'LINEST VARS'!$U$52+'LINEST VARS'!$T$52*(8)+'LINEST VARS'!$S$52*(8)+'LINEST VARS'!$R$52*($BQ$32)+'LINEST VARS'!$Q$52*($AZ49)+'LINEST VARS'!$P$52*(12.73)+'LINEST VARS'!$O$52*(8^2)+'LINEST VARS'!$N$52*(8^2)+'LINEST VARS'!$M$52*($BQ$32^2)+'LINEST VARS'!$L$52*($AZ49^2)+'LINEST VARS'!$K$52*(12.73^2)+'LINEST VARS'!$J$52*(8*8)+'LINEST VARS'!$I$52*(8*$BQ$32)+'LINEST VARS'!$H$52*(8*$AZ49)+'LINEST VARS'!$G$52*(8*12.73)+'LINEST VARS'!$F$52*(8*$BQ$32)+'LINEST VARS'!$E$52*(8*$AZ49)+'LINEST VARS'!$D$52*(8*12.73)+'LINEST VARS'!$C$52*($BQ$32*$AZ49)+'LINEST VARS'!$B$52*($BQ$32*12.73)+'LINEST VARS'!$A$52*($AZ49*12.73)</f>
        <v>4.4199999999999982</v>
      </c>
      <c r="BR49" s="51">
        <f>'LINEST VARS'!$U$52+'LINEST VARS'!$T$52*(8)+'LINEST VARS'!$S$52*(8)+'LINEST VARS'!$R$52*($BR$32)+'LINEST VARS'!$Q$52*($AZ49)+'LINEST VARS'!$P$52*(12.73)+'LINEST VARS'!$O$52*(8^2)+'LINEST VARS'!$N$52*(8^2)+'LINEST VARS'!$M$52*($BR$32^2)+'LINEST VARS'!$L$52*($AZ49^2)+'LINEST VARS'!$K$52*(12.73^2)+'LINEST VARS'!$J$52*(8*8)+'LINEST VARS'!$I$52*(8*$BR$32)+'LINEST VARS'!$H$52*(8*$AZ49)+'LINEST VARS'!$G$52*(8*12.73)+'LINEST VARS'!$F$52*(8*$BR$32)+'LINEST VARS'!$E$52*(8*$AZ49)+'LINEST VARS'!$D$52*(8*12.73)+'LINEST VARS'!$C$52*($BR$32*$AZ49)+'LINEST VARS'!$B$52*($BR$32*12.73)+'LINEST VARS'!$A$52*($AZ49*12.73)</f>
        <v>4.4199999999999982</v>
      </c>
      <c r="BS49" s="51">
        <f>'LINEST VARS'!$U$52+'LINEST VARS'!$T$52*(8)+'LINEST VARS'!$S$52*(8)+'LINEST VARS'!$R$52*($BS$32)+'LINEST VARS'!$Q$52*($AZ49)+'LINEST VARS'!$P$52*(12.73)+'LINEST VARS'!$O$52*(8^2)+'LINEST VARS'!$N$52*(8^2)+'LINEST VARS'!$M$52*($BS$32^2)+'LINEST VARS'!$L$52*($AZ49^2)+'LINEST VARS'!$K$52*(12.73^2)+'LINEST VARS'!$J$52*(8*8)+'LINEST VARS'!$I$52*(8*$BS$32)+'LINEST VARS'!$H$52*(8*$AZ49)+'LINEST VARS'!$G$52*(8*12.73)+'LINEST VARS'!$F$52*(8*$BS$32)+'LINEST VARS'!$E$52*(8*$AZ49)+'LINEST VARS'!$D$52*(8*12.73)+'LINEST VARS'!$C$52*($BS$32*$AZ49)+'LINEST VARS'!$B$52*($BS$32*12.73)+'LINEST VARS'!$A$52*($AZ49*12.73)</f>
        <v>4.4199999999999982</v>
      </c>
      <c r="BT49" s="51">
        <f>'LINEST VARS'!$U$52+'LINEST VARS'!$T$52*(8)+'LINEST VARS'!$S$52*(8)+'LINEST VARS'!$R$52*($BT$32)+'LINEST VARS'!$Q$52*($AZ49)+'LINEST VARS'!$P$52*(12.73)+'LINEST VARS'!$O$52*(8^2)+'LINEST VARS'!$N$52*(8^2)+'LINEST VARS'!$M$52*($BT$32^2)+'LINEST VARS'!$L$52*($AZ49^2)+'LINEST VARS'!$K$52*(12.73^2)+'LINEST VARS'!$J$52*(8*8)+'LINEST VARS'!$I$52*(8*$BT$32)+'LINEST VARS'!$H$52*(8*$AZ49)+'LINEST VARS'!$G$52*(8*12.73)+'LINEST VARS'!$F$52*(8*$BT$32)+'LINEST VARS'!$E$52*(8*$AZ49)+'LINEST VARS'!$D$52*(8*12.73)+'LINEST VARS'!$C$52*($BT$32*$AZ49)+'LINEST VARS'!$B$52*($BT$32*12.73)+'LINEST VARS'!$A$52*($AZ49*12.73)</f>
        <v>4.4199999999999982</v>
      </c>
      <c r="BU49" s="52">
        <f>'LINEST VARS'!$U$52+'LINEST VARS'!$T$52*(8)+'LINEST VARS'!$S$52*(8)+'LINEST VARS'!$R$52*($BU$32)+'LINEST VARS'!$Q$52*($AZ49)+'LINEST VARS'!$P$52*(12.73)+'LINEST VARS'!$O$52*(8^2)+'LINEST VARS'!$N$52*(8^2)+'LINEST VARS'!$M$52*($BU$32^2)+'LINEST VARS'!$L$52*($AZ49^2)+'LINEST VARS'!$K$52*(12.73^2)+'LINEST VARS'!$J$52*(8*8)+'LINEST VARS'!$I$52*(8*$BU$32)+'LINEST VARS'!$H$52*(8*$AZ49)+'LINEST VARS'!$G$52*(8*12.73)+'LINEST VARS'!$F$52*(8*$BU$32)+'LINEST VARS'!$E$52*(8*$AZ49)+'LINEST VARS'!$D$52*(8*12.73)+'LINEST VARS'!$C$52*($BU$32*$AZ49)+'LINEST VARS'!$B$52*($BU$32*12.73)+'LINEST VARS'!$A$52*($AZ49*12.73)</f>
        <v>4.4199999999999982</v>
      </c>
      <c r="BX49" s="45">
        <v>0.8</v>
      </c>
      <c r="BY49" s="51">
        <f>'LINEST VARS'!$U$54+'LINEST VARS'!$T$54*(8)+'LINEST VARS'!$S$54*(8)+'LINEST VARS'!$R$54*($BY$32)+'LINEST VARS'!$Q$54*($BX49)+'LINEST VARS'!$P$54*(12.73)+'LINEST VARS'!$O$54*(8^2)+'LINEST VARS'!$N$54*(8^2)+'LINEST VARS'!$M$54*($BY$32^2)+'LINEST VARS'!$L$54*($BX49^2)+'LINEST VARS'!$K$54*(12.73^2)+'LINEST VARS'!$J$54*(8*8)+'LINEST VARS'!$I$54*(8*$BY$32)+'LINEST VARS'!$H$54*(8*$BX49)+'LINEST VARS'!$G$54*(8*12.73)+'LINEST VARS'!$F$54*(8*$BY$32)+'LINEST VARS'!$E$54*(8*$BX49)+'LINEST VARS'!$D$54*(8*12.73)+'LINEST VARS'!$C$54*($BY$32*$BX49)+'LINEST VARS'!$B$54*($BY$32*12.73)+'LINEST VARS'!$A$54*($BX49*12.73)</f>
        <v>3.9599999999999995</v>
      </c>
      <c r="BZ49" s="51">
        <f>'LINEST VARS'!$U$54+'LINEST VARS'!$T$54*(8)+'LINEST VARS'!$S$54*(8)+'LINEST VARS'!$R$54*($BZ$32)+'LINEST VARS'!$Q$54*($BX49)+'LINEST VARS'!$P$54*(12.73)+'LINEST VARS'!$O$54*(8^2)+'LINEST VARS'!$N$54*(8^2)+'LINEST VARS'!$M$54*($BZ$32^2)+'LINEST VARS'!$L$54*($BX49^2)+'LINEST VARS'!$K$54*(12.73^2)+'LINEST VARS'!$J$54*(8*8)+'LINEST VARS'!$I$54*(8*$BZ$32)+'LINEST VARS'!$H$54*(8*$BX49)+'LINEST VARS'!$G$54*(8*12.73)+'LINEST VARS'!$F$54*(8*$BZ$32)+'LINEST VARS'!$E$54*(8*$BX49)+'LINEST VARS'!$D$54*(8*12.73)+'LINEST VARS'!$C$54*($BZ$32*$BX49)+'LINEST VARS'!$B$54*($BZ$32*12.73)+'LINEST VARS'!$A$54*($BX49*12.73)</f>
        <v>3.9599999999999995</v>
      </c>
      <c r="CA49" s="51">
        <f>'LINEST VARS'!$U$54+'LINEST VARS'!$T$54*(8)+'LINEST VARS'!$S$54*(8)+'LINEST VARS'!$R$54*($CA$32)+'LINEST VARS'!$Q$54*($BX49)+'LINEST VARS'!$P$54*(12.73)+'LINEST VARS'!$O$54*(8^2)+'LINEST VARS'!$N$54*(8^2)+'LINEST VARS'!$M$54*($CA$32^2)+'LINEST VARS'!$L$54*($BX49^2)+'LINEST VARS'!$K$54*(12.73^2)+'LINEST VARS'!$J$54*(8*8)+'LINEST VARS'!$I$54*(8*$CA$32)+'LINEST VARS'!$H$54*(8*$BX49)+'LINEST VARS'!$G$54*(8*12.73)+'LINEST VARS'!$F$54*(8*$CA$32)+'LINEST VARS'!$E$54*(8*$BX49)+'LINEST VARS'!$D$54*(8*12.73)+'LINEST VARS'!$C$54*($CA$32*$BX49)+'LINEST VARS'!$B$54*($CA$32*12.73)+'LINEST VARS'!$A$54*($BX49*12.73)</f>
        <v>3.9599999999999995</v>
      </c>
      <c r="CB49" s="51">
        <f>'LINEST VARS'!$U$54+'LINEST VARS'!$T$54*(8)+'LINEST VARS'!$S$54*(8)+'LINEST VARS'!$R$54*($CB$32)+'LINEST VARS'!$Q$54*($BX49)+'LINEST VARS'!$P$54*(12.73)+'LINEST VARS'!$O$54*(8^2)+'LINEST VARS'!$N$54*(8^2)+'LINEST VARS'!$M$54*($CB$32^2)+'LINEST VARS'!$L$54*($BX49^2)+'LINEST VARS'!$K$54*(12.73^2)+'LINEST VARS'!$J$54*(8*8)+'LINEST VARS'!$I$54*(8*$CB$32)+'LINEST VARS'!$H$54*(8*$BX49)+'LINEST VARS'!$G$54*(8*12.73)+'LINEST VARS'!$F$54*(8*$CB$32)+'LINEST VARS'!$E$54*(8*$BX49)+'LINEST VARS'!$D$54*(8*12.73)+'LINEST VARS'!$C$54*($CB$32*$BX49)+'LINEST VARS'!$B$54*($CB$32*12.73)+'LINEST VARS'!$A$54*($BX49*12.73)</f>
        <v>3.9599999999999995</v>
      </c>
      <c r="CC49" s="51">
        <f>'LINEST VARS'!$U$54+'LINEST VARS'!$T$54*(8)+'LINEST VARS'!$S$54*(8)+'LINEST VARS'!$R$54*($CC$32)+'LINEST VARS'!$Q$54*($BX49)+'LINEST VARS'!$P$54*(12.73)+'LINEST VARS'!$O$54*(8^2)+'LINEST VARS'!$N$54*(8^2)+'LINEST VARS'!$M$54*($CC$32^2)+'LINEST VARS'!$L$54*($BX49^2)+'LINEST VARS'!$K$54*(12.73^2)+'LINEST VARS'!$J$54*(8*8)+'LINEST VARS'!$I$54*(8*$CC$32)+'LINEST VARS'!$H$54*(8*$BX49)+'LINEST VARS'!$G$54*(8*12.73)+'LINEST VARS'!$F$54*(8*$CC$32)+'LINEST VARS'!$E$54*(8*$BX49)+'LINEST VARS'!$D$54*(8*12.73)+'LINEST VARS'!$C$54*($CC$32*$BX49)+'LINEST VARS'!$B$54*($CC$32*12.73)+'LINEST VARS'!$A$54*($BX49*12.73)</f>
        <v>3.9599999999999995</v>
      </c>
      <c r="CD49" s="51">
        <f>'LINEST VARS'!$U$54+'LINEST VARS'!$T$54*(8)+'LINEST VARS'!$S$54*(8)+'LINEST VARS'!$R$54*($CD$32)+'LINEST VARS'!$Q$54*($BX49)+'LINEST VARS'!$P$54*(12.73)+'LINEST VARS'!$O$54*(8^2)+'LINEST VARS'!$N$54*(8^2)+'LINEST VARS'!$M$54*($CD$32^2)+'LINEST VARS'!$L$54*($BX49^2)+'LINEST VARS'!$K$54*(12.73^2)+'LINEST VARS'!$J$54*(8*8)+'LINEST VARS'!$I$54*(8*$CD$32)+'LINEST VARS'!$H$54*(8*$BX49)+'LINEST VARS'!$G$54*(8*12.73)+'LINEST VARS'!$F$54*(8*$CD$32)+'LINEST VARS'!$E$54*(8*$BX49)+'LINEST VARS'!$D$54*(8*12.73)+'LINEST VARS'!$C$54*($CD$32*$BX49)+'LINEST VARS'!$B$54*($CD$32*12.73)+'LINEST VARS'!$A$54*($BX49*12.73)</f>
        <v>3.9599999999999995</v>
      </c>
      <c r="CE49" s="51">
        <f>'LINEST VARS'!$U$54+'LINEST VARS'!$T$54*(8)+'LINEST VARS'!$S$54*(8)+'LINEST VARS'!$R$54*($CE$32)+'LINEST VARS'!$Q$54*($BX49)+'LINEST VARS'!$P$54*(12.73)+'LINEST VARS'!$O$54*(8^2)+'LINEST VARS'!$N$54*(8^2)+'LINEST VARS'!$M$54*($CE$32^2)+'LINEST VARS'!$L$54*($BX49^2)+'LINEST VARS'!$K$54*(12.73^2)+'LINEST VARS'!$J$54*(8*8)+'LINEST VARS'!$I$54*(8*$CE$32)+'LINEST VARS'!$H$54*(8*$BX49)+'LINEST VARS'!$G$54*(8*12.73)+'LINEST VARS'!$F$54*(8*$CE$32)+'LINEST VARS'!$E$54*(8*$BX49)+'LINEST VARS'!$D$54*(8*12.73)+'LINEST VARS'!$C$54*($CE$32*$BX49)+'LINEST VARS'!$B$54*($CE$32*12.73)+'LINEST VARS'!$A$54*($BX49*12.73)</f>
        <v>3.9599999999999995</v>
      </c>
      <c r="CF49" s="51">
        <f>'LINEST VARS'!$U$54+'LINEST VARS'!$T$54*(8)+'LINEST VARS'!$S$54*(8)+'LINEST VARS'!$R$54*($CF$32)+'LINEST VARS'!$Q$54*($BX49)+'LINEST VARS'!$P$54*(12.73)+'LINEST VARS'!$O$54*(8^2)+'LINEST VARS'!$N$54*(8^2)+'LINEST VARS'!$M$54*($CF$32^2)+'LINEST VARS'!$L$54*($BX49^2)+'LINEST VARS'!$K$54*(12.73^2)+'LINEST VARS'!$J$54*(8*8)+'LINEST VARS'!$I$54*(8*$CF$32)+'LINEST VARS'!$H$54*(8*$BX49)+'LINEST VARS'!$G$54*(8*12.73)+'LINEST VARS'!$F$54*(8*$CF$32)+'LINEST VARS'!$E$54*(8*$BX49)+'LINEST VARS'!$D$54*(8*12.73)+'LINEST VARS'!$C$54*($CF$32*$BX49)+'LINEST VARS'!$B$54*($CF$32*12.73)+'LINEST VARS'!$A$54*($BX49*12.73)</f>
        <v>3.9599999999999995</v>
      </c>
      <c r="CG49" s="51">
        <f>'LINEST VARS'!$U$54+'LINEST VARS'!$T$54*(8)+'LINEST VARS'!$S$54*(8)+'LINEST VARS'!$R$54*($CG$32)+'LINEST VARS'!$Q$54*($BX49)+'LINEST VARS'!$P$54*(12.73)+'LINEST VARS'!$O$54*(8^2)+'LINEST VARS'!$N$54*(8^2)+'LINEST VARS'!$M$54*($CG$32^2)+'LINEST VARS'!$L$54*($BX49^2)+'LINEST VARS'!$K$54*(12.73^2)+'LINEST VARS'!$J$54*(8*8)+'LINEST VARS'!$I$54*(8*$CG$32)+'LINEST VARS'!$H$54*(8*$BX49)+'LINEST VARS'!$G$54*(8*12.73)+'LINEST VARS'!$F$54*(8*$CG$32)+'LINEST VARS'!$E$54*(8*$BX49)+'LINEST VARS'!$D$54*(8*12.73)+'LINEST VARS'!$C$54*($CG$32*$BX49)+'LINEST VARS'!$B$54*($CG$32*12.73)+'LINEST VARS'!$A$54*($BX49*12.73)</f>
        <v>3.9599999999999995</v>
      </c>
      <c r="CH49" s="51">
        <f>'LINEST VARS'!$U$54+'LINEST VARS'!$T$54*(8)+'LINEST VARS'!$S$54*(8)+'LINEST VARS'!$R$54*($CH$32)+'LINEST VARS'!$Q$54*($BX49)+'LINEST VARS'!$P$54*(12.73)+'LINEST VARS'!$O$54*(8^2)+'LINEST VARS'!$N$54*(8^2)+'LINEST VARS'!$M$54*($CH$32^2)+'LINEST VARS'!$L$54*($BX49^2)+'LINEST VARS'!$K$54*(12.73^2)+'LINEST VARS'!$J$54*(8*8)+'LINEST VARS'!$I$54*(8*$CH$32)+'LINEST VARS'!$H$54*(8*$BX49)+'LINEST VARS'!$G$54*(8*12.73)+'LINEST VARS'!$F$54*(8*$CH$32)+'LINEST VARS'!$E$54*(8*$BX49)+'LINEST VARS'!$D$54*(8*12.73)+'LINEST VARS'!$C$54*($CH$32*$BX49)+'LINEST VARS'!$B$54*($CH$32*12.73)+'LINEST VARS'!$A$54*($BX49*12.73)</f>
        <v>3.9599999999999995</v>
      </c>
      <c r="CI49" s="51">
        <f>'LINEST VARS'!$U$54+'LINEST VARS'!$T$54*(8)+'LINEST VARS'!$S$54*(8)+'LINEST VARS'!$R$54*($CI$32)+'LINEST VARS'!$Q$54*($BX49)+'LINEST VARS'!$P$54*(12.73)+'LINEST VARS'!$O$54*(8^2)+'LINEST VARS'!$N$54*(8^2)+'LINEST VARS'!$M$54*($CI$32^2)+'LINEST VARS'!$L$54*($BX49^2)+'LINEST VARS'!$K$54*(12.73^2)+'LINEST VARS'!$J$54*(8*8)+'LINEST VARS'!$I$54*(8*$CI$32)+'LINEST VARS'!$H$54*(8*$BX49)+'LINEST VARS'!$G$54*(8*12.73)+'LINEST VARS'!$F$54*(8*$CI$32)+'LINEST VARS'!$E$54*(8*$BX49)+'LINEST VARS'!$D$54*(8*12.73)+'LINEST VARS'!$C$54*($CI$32*$BX49)+'LINEST VARS'!$B$54*($CI$32*12.73)+'LINEST VARS'!$A$54*($BX49*12.73)</f>
        <v>3.9599999999999995</v>
      </c>
      <c r="CJ49" s="51">
        <f>'LINEST VARS'!$U$54+'LINEST VARS'!$T$54*(8)+'LINEST VARS'!$S$54*(8)+'LINEST VARS'!$R$54*($CJ$32)+'LINEST VARS'!$Q$54*($BX49)+'LINEST VARS'!$P$54*(12.73)+'LINEST VARS'!$O$54*(8^2)+'LINEST VARS'!$N$54*(8^2)+'LINEST VARS'!$M$54*($CJ$32^2)+'LINEST VARS'!$L$54*($BX49^2)+'LINEST VARS'!$K$54*(12.73^2)+'LINEST VARS'!$J$54*(8*8)+'LINEST VARS'!$I$54*(8*$CJ$32)+'LINEST VARS'!$H$54*(8*$BX49)+'LINEST VARS'!$G$54*(8*12.73)+'LINEST VARS'!$F$54*(8*$CJ$32)+'LINEST VARS'!$E$54*(8*$BX49)+'LINEST VARS'!$D$54*(8*12.73)+'LINEST VARS'!$C$54*($CJ$32*$BX49)+'LINEST VARS'!$B$54*($CJ$32*12.73)+'LINEST VARS'!$A$54*($BX49*12.73)</f>
        <v>3.9599999999999995</v>
      </c>
      <c r="CK49" s="51">
        <f>'LINEST VARS'!$U$54+'LINEST VARS'!$T$54*(8)+'LINEST VARS'!$S$54*(8)+'LINEST VARS'!$R$54*($CK$32)+'LINEST VARS'!$Q$54*($BX49)+'LINEST VARS'!$P$54*(12.73)+'LINEST VARS'!$O$54*(8^2)+'LINEST VARS'!$N$54*(8^2)+'LINEST VARS'!$M$54*($CK$32^2)+'LINEST VARS'!$L$54*($BX49^2)+'LINEST VARS'!$K$54*(12.73^2)+'LINEST VARS'!$J$54*(8*8)+'LINEST VARS'!$I$54*(8*$CK$32)+'LINEST VARS'!$H$54*(8*$BX49)+'LINEST VARS'!$G$54*(8*12.73)+'LINEST VARS'!$F$54*(8*$CK$32)+'LINEST VARS'!$E$54*(8*$BX49)+'LINEST VARS'!$D$54*(8*12.73)+'LINEST VARS'!$C$54*($CK$32*$BX49)+'LINEST VARS'!$B$54*($CK$32*12.73)+'LINEST VARS'!$A$54*($BX49*12.73)</f>
        <v>3.9599999999999995</v>
      </c>
      <c r="CL49" s="51">
        <f>'LINEST VARS'!$U$54+'LINEST VARS'!$T$54*(8)+'LINEST VARS'!$S$54*(8)+'LINEST VARS'!$R$54*($CL$32)+'LINEST VARS'!$Q$54*($BX49)+'LINEST VARS'!$P$54*(12.73)+'LINEST VARS'!$O$54*(8^2)+'LINEST VARS'!$N$54*(8^2)+'LINEST VARS'!$M$54*($CL$32^2)+'LINEST VARS'!$L$54*($BX49^2)+'LINEST VARS'!$K$54*(12.73^2)+'LINEST VARS'!$J$54*(8*8)+'LINEST VARS'!$I$54*(8*$CL$32)+'LINEST VARS'!$H$54*(8*$BX49)+'LINEST VARS'!$G$54*(8*12.73)+'LINEST VARS'!$F$54*(8*$CL$32)+'LINEST VARS'!$E$54*(8*$BX49)+'LINEST VARS'!$D$54*(8*12.73)+'LINEST VARS'!$C$54*($CL$32*$BX49)+'LINEST VARS'!$B$54*($CL$32*12.73)+'LINEST VARS'!$A$54*($BX49*12.73)</f>
        <v>3.9599999999999995</v>
      </c>
      <c r="CM49" s="51">
        <f>'LINEST VARS'!$U$54+'LINEST VARS'!$T$54*(8)+'LINEST VARS'!$S$54*(8)+'LINEST VARS'!$R$54*($CM$32)+'LINEST VARS'!$Q$54*($BX49)+'LINEST VARS'!$P$54*(12.73)+'LINEST VARS'!$O$54*(8^2)+'LINEST VARS'!$N$54*(8^2)+'LINEST VARS'!$M$54*($CM$32^2)+'LINEST VARS'!$L$54*($BX49^2)+'LINEST VARS'!$K$54*(12.73^2)+'LINEST VARS'!$J$54*(8*8)+'LINEST VARS'!$I$54*(8*$CM$32)+'LINEST VARS'!$H$54*(8*$BX49)+'LINEST VARS'!$G$54*(8*12.73)+'LINEST VARS'!$F$54*(8*$CM$32)+'LINEST VARS'!$E$54*(8*$BX49)+'LINEST VARS'!$D$54*(8*12.73)+'LINEST VARS'!$C$54*($CM$32*$BX49)+'LINEST VARS'!$B$54*($CM$32*12.73)+'LINEST VARS'!$A$54*($BX49*12.73)</f>
        <v>3.9599999999999995</v>
      </c>
      <c r="CN49" s="51">
        <f>'LINEST VARS'!$U$54+'LINEST VARS'!$T$54*(8)+'LINEST VARS'!$S$54*(8)+'LINEST VARS'!$R$54*($CN$32)+'LINEST VARS'!$Q$54*($BX49)+'LINEST VARS'!$P$54*(12.73)+'LINEST VARS'!$O$54*(8^2)+'LINEST VARS'!$N$54*(8^2)+'LINEST VARS'!$M$54*($CN$32^2)+'LINEST VARS'!$L$54*($BX49^2)+'LINEST VARS'!$K$54*(12.73^2)+'LINEST VARS'!$J$54*(8*8)+'LINEST VARS'!$I$54*(8*$CN$32)+'LINEST VARS'!$H$54*(8*$BX49)+'LINEST VARS'!$G$54*(8*12.73)+'LINEST VARS'!$F$54*(8*$CN$32)+'LINEST VARS'!$E$54*(8*$BX49)+'LINEST VARS'!$D$54*(8*12.73)+'LINEST VARS'!$C$54*($CN$32*$BX49)+'LINEST VARS'!$B$54*($CN$32*12.73)+'LINEST VARS'!$A$54*($BX49*12.73)</f>
        <v>3.9599999999999995</v>
      </c>
      <c r="CO49" s="51">
        <f>'LINEST VARS'!$U$54+'LINEST VARS'!$T$54*(8)+'LINEST VARS'!$S$54*(8)+'LINEST VARS'!$R$54*($CO$32)+'LINEST VARS'!$Q$54*($BX49)+'LINEST VARS'!$P$54*(12.73)+'LINEST VARS'!$O$54*(8^2)+'LINEST VARS'!$N$54*(8^2)+'LINEST VARS'!$M$54*($CO$32^2)+'LINEST VARS'!$L$54*($BX49^2)+'LINEST VARS'!$K$54*(12.73^2)+'LINEST VARS'!$J$54*(8*8)+'LINEST VARS'!$I$54*(8*$CO$32)+'LINEST VARS'!$H$54*(8*$BX49)+'LINEST VARS'!$G$54*(8*12.73)+'LINEST VARS'!$F$54*(8*$CO$32)+'LINEST VARS'!$E$54*(8*$BX49)+'LINEST VARS'!$D$54*(8*12.73)+'LINEST VARS'!$C$54*($CO$32*$BX49)+'LINEST VARS'!$B$54*($CO$32*12.73)+'LINEST VARS'!$A$54*($BX49*12.73)</f>
        <v>3.9599999999999995</v>
      </c>
      <c r="CP49" s="51">
        <f>'LINEST VARS'!$U$54+'LINEST VARS'!$T$54*(8)+'LINEST VARS'!$S$54*(8)+'LINEST VARS'!$R$54*($CP$32)+'LINEST VARS'!$Q$54*($BX49)+'LINEST VARS'!$P$54*(12.73)+'LINEST VARS'!$O$54*(8^2)+'LINEST VARS'!$N$54*(8^2)+'LINEST VARS'!$M$54*($CP$32^2)+'LINEST VARS'!$L$54*($BX49^2)+'LINEST VARS'!$K$54*(12.73^2)+'LINEST VARS'!$J$54*(8*8)+'LINEST VARS'!$I$54*(8*$CP$32)+'LINEST VARS'!$H$54*(8*$BX49)+'LINEST VARS'!$G$54*(8*12.73)+'LINEST VARS'!$F$54*(8*$CP$32)+'LINEST VARS'!$E$54*(8*$BX49)+'LINEST VARS'!$D$54*(8*12.73)+'LINEST VARS'!$C$54*($CP$32*$BX49)+'LINEST VARS'!$B$54*($CP$32*12.73)+'LINEST VARS'!$A$54*($BX49*12.73)</f>
        <v>3.9599999999999995</v>
      </c>
      <c r="CQ49" s="51">
        <f>'LINEST VARS'!$U$54+'LINEST VARS'!$T$54*(8)+'LINEST VARS'!$S$54*(8)+'LINEST VARS'!$R$54*($CQ$32)+'LINEST VARS'!$Q$54*($BX49)+'LINEST VARS'!$P$54*(12.73)+'LINEST VARS'!$O$54*(8^2)+'LINEST VARS'!$N$54*(8^2)+'LINEST VARS'!$M$54*($CQ$32^2)+'LINEST VARS'!$L$54*($BX49^2)+'LINEST VARS'!$K$54*(12.73^2)+'LINEST VARS'!$J$54*(8*8)+'LINEST VARS'!$I$54*(8*$CQ$32)+'LINEST VARS'!$H$54*(8*$BX49)+'LINEST VARS'!$G$54*(8*12.73)+'LINEST VARS'!$F$54*(8*$CQ$32)+'LINEST VARS'!$E$54*(8*$BX49)+'LINEST VARS'!$D$54*(8*12.73)+'LINEST VARS'!$C$54*($CQ$32*$BX49)+'LINEST VARS'!$B$54*($CQ$32*12.73)+'LINEST VARS'!$A$54*($BX49*12.73)</f>
        <v>3.9599999999999995</v>
      </c>
      <c r="CR49" s="51">
        <f>'LINEST VARS'!$U$54+'LINEST VARS'!$T$54*(8)+'LINEST VARS'!$S$54*(8)+'LINEST VARS'!$R$54*($CR$32)+'LINEST VARS'!$Q$54*($BX49)+'LINEST VARS'!$P$54*(12.73)+'LINEST VARS'!$O$54*(8^2)+'LINEST VARS'!$N$54*(8^2)+'LINEST VARS'!$M$54*($CR$32^2)+'LINEST VARS'!$L$54*($BX49^2)+'LINEST VARS'!$K$54*(12.73^2)+'LINEST VARS'!$J$54*(8*8)+'LINEST VARS'!$I$54*(8*$CR$32)+'LINEST VARS'!$H$54*(8*$BX49)+'LINEST VARS'!$G$54*(8*12.73)+'LINEST VARS'!$F$54*(8*$CR$32)+'LINEST VARS'!$E$54*(8*$BX49)+'LINEST VARS'!$D$54*(8*12.73)+'LINEST VARS'!$C$54*($CR$32*$BX49)+'LINEST VARS'!$B$54*($CR$32*12.73)+'LINEST VARS'!$A$54*($BX49*12.73)</f>
        <v>3.9599999999999995</v>
      </c>
      <c r="CS49" s="52">
        <f>'LINEST VARS'!$U$54+'LINEST VARS'!$T$54*(8)+'LINEST VARS'!$S$54*(8)+'LINEST VARS'!$R$54*($CS$32)+'LINEST VARS'!$Q$54*($BX49)+'LINEST VARS'!$P$54*(12.73)+'LINEST VARS'!$O$54*(8^2)+'LINEST VARS'!$N$54*(8^2)+'LINEST VARS'!$M$54*($CS$32^2)+'LINEST VARS'!$L$54*($BX49^2)+'LINEST VARS'!$K$54*(12.73^2)+'LINEST VARS'!$J$54*(8*8)+'LINEST VARS'!$I$54*(8*$CS$32)+'LINEST VARS'!$H$54*(8*$BX49)+'LINEST VARS'!$G$54*(8*12.73)+'LINEST VARS'!$F$54*(8*$CS$32)+'LINEST VARS'!$E$54*(8*$BX49)+'LINEST VARS'!$D$54*(8*12.73)+'LINEST VARS'!$C$54*($CS$32*$BX49)+'LINEST VARS'!$B$54*($CS$32*12.73)+'LINEST VARS'!$A$54*($BX49*12.73)</f>
        <v>3.9599999999999995</v>
      </c>
      <c r="CX49" s="45">
        <v>20.792000000000002</v>
      </c>
      <c r="CY49" s="51">
        <f>'LINEST VARS'!$U$52+'LINEST VARS'!$T$52*(8)+'LINEST VARS'!$S$52*(8)+'LINEST VARS'!$R$52*($CY$32)+'LINEST VARS'!$Q$52*(0.5)+'LINEST VARS'!$P$52*($CX49)+'LINEST VARS'!$O$52*(8^2)+'LINEST VARS'!$N$52*(8^2)+'LINEST VARS'!$M$52*($CY$32^2)+'LINEST VARS'!$L$52*(0.5^2)+'LINEST VARS'!$K$52*($CX49^2)+'LINEST VARS'!$J$52*(8*8)+'LINEST VARS'!$I$52*(8*$CY$32)+'LINEST VARS'!$H$52*(8*0.5)+'LINEST VARS'!$G$52*(8*$CX49)+'LINEST VARS'!$F$52*(8*$CY$32)+'LINEST VARS'!$E$52*(8*0.5)+'LINEST VARS'!$D$52*(8*$CX49)+'LINEST VARS'!$C$52*($CY$32*0.5)+'LINEST VARS'!$B$52*($CY$32*$CX49)+'LINEST VARS'!$A$52*(0.5*$CX49)</f>
        <v>4.4499999999999984</v>
      </c>
      <c r="CZ49" s="51">
        <f>'LINEST VARS'!$U$52+'LINEST VARS'!$T$52*(8)+'LINEST VARS'!$S$52*(8)+'LINEST VARS'!$R$52*($CZ$32)+'LINEST VARS'!$Q$52*(0.5)+'LINEST VARS'!$P$52*($CX49)+'LINEST VARS'!$O$52*(8^2)+'LINEST VARS'!$N$52*(8^2)+'LINEST VARS'!$M$52*($CZ$32^2)+'LINEST VARS'!$L$52*(0.5^2)+'LINEST VARS'!$K$52*($CX49^2)+'LINEST VARS'!$J$52*(8*8)+'LINEST VARS'!$I$52*(8*$CZ$32)+'LINEST VARS'!$H$52*(8*0.5)+'LINEST VARS'!$G$52*(8*$CX49)+'LINEST VARS'!$F$52*(8*$CZ$32)+'LINEST VARS'!$E$52*(8*0.5)+'LINEST VARS'!$D$52*(8*$CX49)+'LINEST VARS'!$C$52*($CZ$32*0.5)+'LINEST VARS'!$B$52*($CZ$32*$CX49)+'LINEST VARS'!$A$52*(0.5*$CX49)</f>
        <v>4.4499999999999984</v>
      </c>
      <c r="DA49" s="51">
        <f>'LINEST VARS'!$U$52+'LINEST VARS'!$T$52*(8)+'LINEST VARS'!$S$52*(8)+'LINEST VARS'!$R$52*($DA$32)+'LINEST VARS'!$Q$52*(0.5)+'LINEST VARS'!$P$52*($CX49)+'LINEST VARS'!$O$52*(8^2)+'LINEST VARS'!$N$52*(8^2)+'LINEST VARS'!$M$52*($DA$32^2)+'LINEST VARS'!$L$52*(0.5^2)+'LINEST VARS'!$K$52*($CX49^2)+'LINEST VARS'!$J$52*(8*8)+'LINEST VARS'!$I$52*(8*$DA$32)+'LINEST VARS'!$H$52*(8*0.5)+'LINEST VARS'!$G$52*(8*$CX49)+'LINEST VARS'!$F$52*(8*$DA$32)+'LINEST VARS'!$E$52*(8*0.5)+'LINEST VARS'!$D$52*(8*$CX49)+'LINEST VARS'!$C$52*($DA$32*0.5)+'LINEST VARS'!$B$52*($DA$32*$CX49)+'LINEST VARS'!$A$52*(0.5*$CX49)</f>
        <v>4.4499999999999984</v>
      </c>
      <c r="DB49" s="51">
        <f>'LINEST VARS'!$U$52+'LINEST VARS'!$T$52*(8)+'LINEST VARS'!$S$52*(8)+'LINEST VARS'!$R$52*($DB$32)+'LINEST VARS'!$Q$52*(0.5)+'LINEST VARS'!$P$52*($CX49)+'LINEST VARS'!$O$52*(8^2)+'LINEST VARS'!$N$52*(8^2)+'LINEST VARS'!$M$52*($DB$32^2)+'LINEST VARS'!$L$52*(0.5^2)+'LINEST VARS'!$K$52*($CX49^2)+'LINEST VARS'!$J$52*(8*8)+'LINEST VARS'!$I$52*(8*$DB$32)+'LINEST VARS'!$H$52*(8*0.5)+'LINEST VARS'!$G$52*(8*$CX49)+'LINEST VARS'!$F$52*(8*$DB$32)+'LINEST VARS'!$E$52*(8*0.5)+'LINEST VARS'!$D$52*(8*$CX49)+'LINEST VARS'!$C$52*($DB$32*0.5)+'LINEST VARS'!$B$52*($DB$32*$CX49)+'LINEST VARS'!$A$52*(0.5*$CX49)</f>
        <v>4.4499999999999984</v>
      </c>
      <c r="DC49" s="51">
        <f>'LINEST VARS'!$U$52+'LINEST VARS'!$T$52*(8)+'LINEST VARS'!$S$52*(8)+'LINEST VARS'!$R$52*($DC$32)+'LINEST VARS'!$Q$52*(0.5)+'LINEST VARS'!$P$52*($CX49)+'LINEST VARS'!$O$52*(8^2)+'LINEST VARS'!$N$52*(8^2)+'LINEST VARS'!$M$52*($DC$32^2)+'LINEST VARS'!$L$52*(0.5^2)+'LINEST VARS'!$K$52*($CX49^2)+'LINEST VARS'!$J$52*(8*8)+'LINEST VARS'!$I$52*(8*$DC$32)+'LINEST VARS'!$H$52*(8*0.5)+'LINEST VARS'!$G$52*(8*$CX49)+'LINEST VARS'!$F$52*(8*$DC$32)+'LINEST VARS'!$E$52*(8*0.5)+'LINEST VARS'!$D$52*(8*$CX49)+'LINEST VARS'!$C$52*($DC$32*0.5)+'LINEST VARS'!$B$52*($DC$32*$CX49)+'LINEST VARS'!$A$52*(0.5*$CX49)</f>
        <v>4.4499999999999984</v>
      </c>
      <c r="DD49" s="51">
        <f>'LINEST VARS'!$U$52+'LINEST VARS'!$T$52*(8)+'LINEST VARS'!$S$52*(8)+'LINEST VARS'!$R$52*($DD$32)+'LINEST VARS'!$Q$52*(0.5)+'LINEST VARS'!$P$52*($CX49)+'LINEST VARS'!$O$52*(8^2)+'LINEST VARS'!$N$52*(8^2)+'LINEST VARS'!$M$52*($DD$32^2)+'LINEST VARS'!$L$52*(0.5^2)+'LINEST VARS'!$K$52*($CX49^2)+'LINEST VARS'!$J$52*(8*8)+'LINEST VARS'!$I$52*(8*$DD$32)+'LINEST VARS'!$H$52*(8*0.5)+'LINEST VARS'!$G$52*(8*$CX49)+'LINEST VARS'!$F$52*(8*$DD$32)+'LINEST VARS'!$E$52*(8*0.5)+'LINEST VARS'!$D$52*(8*$CX49)+'LINEST VARS'!$C$52*($DD$32*0.5)+'LINEST VARS'!$B$52*($DD$32*$CX49)+'LINEST VARS'!$A$52*(0.5*$CX49)</f>
        <v>4.4499999999999984</v>
      </c>
      <c r="DE49" s="51">
        <f>'LINEST VARS'!$U$52+'LINEST VARS'!$T$52*(8)+'LINEST VARS'!$S$52*(8)+'LINEST VARS'!$R$52*($DE$32)+'LINEST VARS'!$Q$52*(0.5)+'LINEST VARS'!$P$52*($CX49)+'LINEST VARS'!$O$52*(8^2)+'LINEST VARS'!$N$52*(8^2)+'LINEST VARS'!$M$52*($DE$32^2)+'LINEST VARS'!$L$52*(0.5^2)+'LINEST VARS'!$K$52*($CX49^2)+'LINEST VARS'!$J$52*(8*8)+'LINEST VARS'!$I$52*(8*$DE$32)+'LINEST VARS'!$H$52*(8*0.5)+'LINEST VARS'!$G$52*(8*$CX49)+'LINEST VARS'!$F$52*(8*$DE$32)+'LINEST VARS'!$E$52*(8*0.5)+'LINEST VARS'!$D$52*(8*$CX49)+'LINEST VARS'!$C$52*($DE$32*0.5)+'LINEST VARS'!$B$52*($DE$32*$CX49)+'LINEST VARS'!$A$52*(0.5*$CX49)</f>
        <v>4.4499999999999984</v>
      </c>
      <c r="DF49" s="51">
        <f>'LINEST VARS'!$U$52+'LINEST VARS'!$T$52*(8)+'LINEST VARS'!$S$52*(8)+'LINEST VARS'!$R$52*($DF$32)+'LINEST VARS'!$Q$52*(0.5)+'LINEST VARS'!$P$52*($CX49)+'LINEST VARS'!$O$52*(8^2)+'LINEST VARS'!$N$52*(8^2)+'LINEST VARS'!$M$52*($DF$32^2)+'LINEST VARS'!$L$52*(0.5^2)+'LINEST VARS'!$K$52*($CX49^2)+'LINEST VARS'!$J$52*(8*8)+'LINEST VARS'!$I$52*(8*$DF$32)+'LINEST VARS'!$H$52*(8*0.5)+'LINEST VARS'!$G$52*(8*$CX49)+'LINEST VARS'!$F$52*(8*$DF$32)+'LINEST VARS'!$E$52*(8*0.5)+'LINEST VARS'!$D$52*(8*$CX49)+'LINEST VARS'!$C$52*($DF$32*0.5)+'LINEST VARS'!$B$52*($DF$32*$CX49)+'LINEST VARS'!$A$52*(0.5*$CX49)</f>
        <v>4.4499999999999984</v>
      </c>
      <c r="DG49" s="51">
        <f>'LINEST VARS'!$U$52+'LINEST VARS'!$T$52*(8)+'LINEST VARS'!$S$52*(8)+'LINEST VARS'!$R$52*($DG$32)+'LINEST VARS'!$Q$52*(0.5)+'LINEST VARS'!$P$52*($CX49)+'LINEST VARS'!$O$52*(8^2)+'LINEST VARS'!$N$52*(8^2)+'LINEST VARS'!$M$52*($DG$32^2)+'LINEST VARS'!$L$52*(0.5^2)+'LINEST VARS'!$K$52*($CX49^2)+'LINEST VARS'!$J$52*(8*8)+'LINEST VARS'!$I$52*(8*$DG$32)+'LINEST VARS'!$H$52*(8*0.5)+'LINEST VARS'!$G$52*(8*$CX49)+'LINEST VARS'!$F$52*(8*$DG$32)+'LINEST VARS'!$E$52*(8*0.5)+'LINEST VARS'!$D$52*(8*$CX49)+'LINEST VARS'!$C$52*($DG$32*0.5)+'LINEST VARS'!$B$52*($DG$32*$CX49)+'LINEST VARS'!$A$52*(0.5*$CX49)</f>
        <v>4.4499999999999984</v>
      </c>
      <c r="DH49" s="51">
        <f>'LINEST VARS'!$U$52+'LINEST VARS'!$T$52*(8)+'LINEST VARS'!$S$52*(8)+'LINEST VARS'!$R$52*($DH$32)+'LINEST VARS'!$Q$52*(0.5)+'LINEST VARS'!$P$52*($CX49)+'LINEST VARS'!$O$52*(8^2)+'LINEST VARS'!$N$52*(8^2)+'LINEST VARS'!$M$52*($DH$32^2)+'LINEST VARS'!$L$52*(0.5^2)+'LINEST VARS'!$K$52*($CX49^2)+'LINEST VARS'!$J$52*(8*8)+'LINEST VARS'!$I$52*(8*$DH$32)+'LINEST VARS'!$H$52*(8*0.5)+'LINEST VARS'!$G$52*(8*$CX49)+'LINEST VARS'!$F$52*(8*$DH$32)+'LINEST VARS'!$E$52*(8*0.5)+'LINEST VARS'!$D$52*(8*$CX49)+'LINEST VARS'!$C$52*($DH$32*0.5)+'LINEST VARS'!$B$52*($DH$32*$CX49)+'LINEST VARS'!$A$52*(0.5*$CX49)</f>
        <v>4.4499999999999984</v>
      </c>
      <c r="DI49" s="51">
        <f>'LINEST VARS'!$U$52+'LINEST VARS'!$T$52*(8)+'LINEST VARS'!$S$52*(8)+'LINEST VARS'!$R$52*($DI$32)+'LINEST VARS'!$Q$52*(0.5)+'LINEST VARS'!$P$52*($CX49)+'LINEST VARS'!$O$52*(8^2)+'LINEST VARS'!$N$52*(8^2)+'LINEST VARS'!$M$52*($DI$32^2)+'LINEST VARS'!$L$52*(0.5^2)+'LINEST VARS'!$K$52*($CX49^2)+'LINEST VARS'!$J$52*(8*8)+'LINEST VARS'!$I$52*(8*$DI$32)+'LINEST VARS'!$H$52*(8*0.5)+'LINEST VARS'!$G$52*(8*$CX49)+'LINEST VARS'!$F$52*(8*$DI$32)+'LINEST VARS'!$E$52*(8*0.5)+'LINEST VARS'!$D$52*(8*$CX49)+'LINEST VARS'!$C$52*($DI$32*0.5)+'LINEST VARS'!$B$52*($DI$32*$CX49)+'LINEST VARS'!$A$52*(0.5*$CX49)</f>
        <v>4.4499999999999984</v>
      </c>
      <c r="DJ49" s="51">
        <f>'LINEST VARS'!$U$52+'LINEST VARS'!$T$52*(8)+'LINEST VARS'!$S$52*(8)+'LINEST VARS'!$R$52*($DJ$32)+'LINEST VARS'!$Q$52*(0.5)+'LINEST VARS'!$P$52*($CX49)+'LINEST VARS'!$O$52*(8^2)+'LINEST VARS'!$N$52*(8^2)+'LINEST VARS'!$M$52*($DJ$32^2)+'LINEST VARS'!$L$52*(0.5^2)+'LINEST VARS'!$K$52*($CX49^2)+'LINEST VARS'!$J$52*(8*8)+'LINEST VARS'!$I$52*(8*$DJ$32)+'LINEST VARS'!$H$52*(8*0.5)+'LINEST VARS'!$G$52*(8*$CX49)+'LINEST VARS'!$F$52*(8*$DJ$32)+'LINEST VARS'!$E$52*(8*0.5)+'LINEST VARS'!$D$52*(8*$CX49)+'LINEST VARS'!$C$52*($DJ$32*0.5)+'LINEST VARS'!$B$52*($DJ$32*$CX49)+'LINEST VARS'!$A$52*(0.5*$CX49)</f>
        <v>4.4499999999999984</v>
      </c>
      <c r="DK49" s="51">
        <f>'LINEST VARS'!$U$52+'LINEST VARS'!$T$52*(8)+'LINEST VARS'!$S$52*(8)+'LINEST VARS'!$R$52*($DK$32)+'LINEST VARS'!$Q$52*(0.5)+'LINEST VARS'!$P$52*($CX49)+'LINEST VARS'!$O$52*(8^2)+'LINEST VARS'!$N$52*(8^2)+'LINEST VARS'!$M$52*($DK$32^2)+'LINEST VARS'!$L$52*(0.5^2)+'LINEST VARS'!$K$52*($CX49^2)+'LINEST VARS'!$J$52*(8*8)+'LINEST VARS'!$I$52*(8*$DK$32)+'LINEST VARS'!$H$52*(8*0.5)+'LINEST VARS'!$G$52*(8*$CX49)+'LINEST VARS'!$F$52*(8*$DK$32)+'LINEST VARS'!$E$52*(8*0.5)+'LINEST VARS'!$D$52*(8*$CX49)+'LINEST VARS'!$C$52*($DK$32*0.5)+'LINEST VARS'!$B$52*($DK$32*$CX49)+'LINEST VARS'!$A$52*(0.5*$CX49)</f>
        <v>4.4499999999999984</v>
      </c>
      <c r="DL49" s="51">
        <f>'LINEST VARS'!$U$52+'LINEST VARS'!$T$52*(8)+'LINEST VARS'!$S$52*(8)+'LINEST VARS'!$R$52*($DL$32)+'LINEST VARS'!$Q$52*(0.5)+'LINEST VARS'!$P$52*($CX49)+'LINEST VARS'!$O$52*(8^2)+'LINEST VARS'!$N$52*(8^2)+'LINEST VARS'!$M$52*($DL$32^2)+'LINEST VARS'!$L$52*(0.5^2)+'LINEST VARS'!$K$52*($CX49^2)+'LINEST VARS'!$J$52*(8*8)+'LINEST VARS'!$I$52*(8*$DL$32)+'LINEST VARS'!$H$52*(8*0.5)+'LINEST VARS'!$G$52*(8*$CX49)+'LINEST VARS'!$F$52*(8*$DL$32)+'LINEST VARS'!$E$52*(8*0.5)+'LINEST VARS'!$D$52*(8*$CX49)+'LINEST VARS'!$C$52*($DL$32*0.5)+'LINEST VARS'!$B$52*($DL$32*$CX49)+'LINEST VARS'!$A$52*(0.5*$CX49)</f>
        <v>4.4499999999999984</v>
      </c>
      <c r="DM49" s="51">
        <f>'LINEST VARS'!$U$52+'LINEST VARS'!$T$52*(8)+'LINEST VARS'!$S$52*(8)+'LINEST VARS'!$R$52*($DM$32)+'LINEST VARS'!$Q$52*(0.5)+'LINEST VARS'!$P$52*($CX49)+'LINEST VARS'!$O$52*(8^2)+'LINEST VARS'!$N$52*(8^2)+'LINEST VARS'!$M$52*($DM$32^2)+'LINEST VARS'!$L$52*(0.5^2)+'LINEST VARS'!$K$52*($CX49^2)+'LINEST VARS'!$J$52*(8*8)+'LINEST VARS'!$I$52*(8*$DM$32)+'LINEST VARS'!$H$52*(8*0.5)+'LINEST VARS'!$G$52*(8*$CX49)+'LINEST VARS'!$F$52*(8*$DM$32)+'LINEST VARS'!$E$52*(8*0.5)+'LINEST VARS'!$D$52*(8*$CX49)+'LINEST VARS'!$C$52*($DM$32*0.5)+'LINEST VARS'!$B$52*($DM$32*$CX49)+'LINEST VARS'!$A$52*(0.5*$CX49)</f>
        <v>4.4499999999999984</v>
      </c>
      <c r="DN49" s="51">
        <f>'LINEST VARS'!$U$52+'LINEST VARS'!$T$52*(8)+'LINEST VARS'!$S$52*(8)+'LINEST VARS'!$R$52*($DN$32)+'LINEST VARS'!$Q$52*(0.5)+'LINEST VARS'!$P$52*($CX49)+'LINEST VARS'!$O$52*(8^2)+'LINEST VARS'!$N$52*(8^2)+'LINEST VARS'!$M$52*($DN$32^2)+'LINEST VARS'!$L$52*(0.5^2)+'LINEST VARS'!$K$52*($CX49^2)+'LINEST VARS'!$J$52*(8*8)+'LINEST VARS'!$I$52*(8*$DN$32)+'LINEST VARS'!$H$52*(8*0.5)+'LINEST VARS'!$G$52*(8*$CX49)+'LINEST VARS'!$F$52*(8*$DN$32)+'LINEST VARS'!$E$52*(8*0.5)+'LINEST VARS'!$D$52*(8*$CX49)+'LINEST VARS'!$C$52*($DN$32*0.5)+'LINEST VARS'!$B$52*($DN$32*$CX49)+'LINEST VARS'!$A$52*(0.5*$CX49)</f>
        <v>4.4499999999999984</v>
      </c>
      <c r="DO49" s="51">
        <f>'LINEST VARS'!$U$52+'LINEST VARS'!$T$52*(8)+'LINEST VARS'!$S$52*(8)+'LINEST VARS'!$R$52*($DO$32)+'LINEST VARS'!$Q$52*(0.5)+'LINEST VARS'!$P$52*($CX49)+'LINEST VARS'!$O$52*(8^2)+'LINEST VARS'!$N$52*(8^2)+'LINEST VARS'!$M$52*($DO$32^2)+'LINEST VARS'!$L$52*(0.5^2)+'LINEST VARS'!$K$52*($CX49^2)+'LINEST VARS'!$J$52*(8*8)+'LINEST VARS'!$I$52*(8*$DO$32)+'LINEST VARS'!$H$52*(8*0.5)+'LINEST VARS'!$G$52*(8*$CX49)+'LINEST VARS'!$F$52*(8*$DO$32)+'LINEST VARS'!$E$52*(8*0.5)+'LINEST VARS'!$D$52*(8*$CX49)+'LINEST VARS'!$C$52*($DO$32*0.5)+'LINEST VARS'!$B$52*($DO$32*$CX49)+'LINEST VARS'!$A$52*(0.5*$CX49)</f>
        <v>4.4499999999999984</v>
      </c>
      <c r="DP49" s="51">
        <f>'LINEST VARS'!$U$52+'LINEST VARS'!$T$52*(8)+'LINEST VARS'!$S$52*(8)+'LINEST VARS'!$R$52*($DP$32)+'LINEST VARS'!$Q$52*(0.5)+'LINEST VARS'!$P$52*($CX49)+'LINEST VARS'!$O$52*(8^2)+'LINEST VARS'!$N$52*(8^2)+'LINEST VARS'!$M$52*($DP$32^2)+'LINEST VARS'!$L$52*(0.5^2)+'LINEST VARS'!$K$52*($CX49^2)+'LINEST VARS'!$J$52*(8*8)+'LINEST VARS'!$I$52*(8*$DP$32)+'LINEST VARS'!$H$52*(8*0.5)+'LINEST VARS'!$G$52*(8*$CX49)+'LINEST VARS'!$F$52*(8*$DP$32)+'LINEST VARS'!$E$52*(8*0.5)+'LINEST VARS'!$D$52*(8*$CX49)+'LINEST VARS'!$C$52*($DP$32*0.5)+'LINEST VARS'!$B$52*($DP$32*$CX49)+'LINEST VARS'!$A$52*(0.5*$CX49)</f>
        <v>4.4499999999999984</v>
      </c>
      <c r="DQ49" s="51">
        <f>'LINEST VARS'!$U$52+'LINEST VARS'!$T$52*(8)+'LINEST VARS'!$S$52*(8)+'LINEST VARS'!$R$52*($DQ$32)+'LINEST VARS'!$Q$52*(0.5)+'LINEST VARS'!$P$52*($CX49)+'LINEST VARS'!$O$52*(8^2)+'LINEST VARS'!$N$52*(8^2)+'LINEST VARS'!$M$52*($DQ$32^2)+'LINEST VARS'!$L$52*(0.5^2)+'LINEST VARS'!$K$52*($CX49^2)+'LINEST VARS'!$J$52*(8*8)+'LINEST VARS'!$I$52*(8*$DQ$32)+'LINEST VARS'!$H$52*(8*0.5)+'LINEST VARS'!$G$52*(8*$CX49)+'LINEST VARS'!$F$52*(8*$DQ$32)+'LINEST VARS'!$E$52*(8*0.5)+'LINEST VARS'!$D$52*(8*$CX49)+'LINEST VARS'!$C$52*($DQ$32*0.5)+'LINEST VARS'!$B$52*($DQ$32*$CX49)+'LINEST VARS'!$A$52*(0.5*$CX49)</f>
        <v>4.4499999999999984</v>
      </c>
      <c r="DR49" s="51">
        <f>'LINEST VARS'!$U$52+'LINEST VARS'!$T$52*(8)+'LINEST VARS'!$S$52*(8)+'LINEST VARS'!$R$52*($DR$32)+'LINEST VARS'!$Q$52*(0.5)+'LINEST VARS'!$P$52*($CX49)+'LINEST VARS'!$O$52*(8^2)+'LINEST VARS'!$N$52*(8^2)+'LINEST VARS'!$M$52*($DR$32^2)+'LINEST VARS'!$L$52*(0.5^2)+'LINEST VARS'!$K$52*($CX49^2)+'LINEST VARS'!$J$52*(8*8)+'LINEST VARS'!$I$52*(8*$DR$32)+'LINEST VARS'!$H$52*(8*0.5)+'LINEST VARS'!$G$52*(8*$CX49)+'LINEST VARS'!$F$52*(8*$DR$32)+'LINEST VARS'!$E$52*(8*0.5)+'LINEST VARS'!$D$52*(8*$CX49)+'LINEST VARS'!$C$52*($DR$32*0.5)+'LINEST VARS'!$B$52*($DR$32*$CX49)+'LINEST VARS'!$A$52*(0.5*$CX49)</f>
        <v>4.4499999999999984</v>
      </c>
      <c r="DS49" s="52">
        <f>'LINEST VARS'!$U$52+'LINEST VARS'!$T$52*(8)+'LINEST VARS'!$S$52*(8)+'LINEST VARS'!$R$52*($DS$32)+'LINEST VARS'!$Q$52*(0.5)+'LINEST VARS'!$P$52*($CX49)+'LINEST VARS'!$O$52*(8^2)+'LINEST VARS'!$N$52*(8^2)+'LINEST VARS'!$M$52*($DS$32^2)+'LINEST VARS'!$L$52*(0.5^2)+'LINEST VARS'!$K$52*($CX49^2)+'LINEST VARS'!$J$52*(8*8)+'LINEST VARS'!$I$52*(8*$DS$32)+'LINEST VARS'!$H$52*(8*0.5)+'LINEST VARS'!$G$52*(8*$CX49)+'LINEST VARS'!$F$52*(8*$DS$32)+'LINEST VARS'!$E$52*(8*0.5)+'LINEST VARS'!$D$52*(8*$CX49)+'LINEST VARS'!$C$52*($DS$32*0.5)+'LINEST VARS'!$B$52*($DS$32*$CX49)+'LINEST VARS'!$A$52*(0.5*$CX49)</f>
        <v>4.4499999999999984</v>
      </c>
      <c r="DV49" s="45">
        <v>20.792000000000002</v>
      </c>
      <c r="DW49" s="51">
        <f>'LINEST VARS'!$U$54+'LINEST VARS'!$T$54*(8)+'LINEST VARS'!$S$54*(8)+'LINEST VARS'!$R$54*($DW$32)+'LINEST VARS'!$Q$54*(0.5)+'LINEST VARS'!$P$54*($DV49)+'LINEST VARS'!$O$54*(8^2)+'LINEST VARS'!$N$54*(8^2)+'LINEST VARS'!$M$54*($DW$32^2)+'LINEST VARS'!$L$54*(0.5^2)+'LINEST VARS'!$K$54*($DV49^2)+'LINEST VARS'!$J$54*(8*8)+'LINEST VARS'!$I$54*(8*$DW$32)+'LINEST VARS'!$H$54*(8*0.5)+'LINEST VARS'!$G$54*(8*$DV49)+'LINEST VARS'!$F$54*(8*$DW$32)+'LINEST VARS'!$E$54*(8*0.5)+'LINEST VARS'!$D$54*(8*$DV49)+'LINEST VARS'!$C$54*($DW$32*0.5)+'LINEST VARS'!$B$54*($DW$32*$DV49)+'LINEST VARS'!$A$54*(0.5*$DV49)</f>
        <v>3.9749999999999996</v>
      </c>
      <c r="DX49" s="51">
        <f>'LINEST VARS'!$U$54+'LINEST VARS'!$T$54*(8)+'LINEST VARS'!$S$54*(8)+'LINEST VARS'!$R$54*($DX$32)+'LINEST VARS'!$Q$54*(0.5)+'LINEST VARS'!$P$54*($DV49)+'LINEST VARS'!$O$54*(8^2)+'LINEST VARS'!$N$54*(8^2)+'LINEST VARS'!$M$54*($DX$32^2)+'LINEST VARS'!$L$54*(0.5^2)+'LINEST VARS'!$K$54*($DV49^2)+'LINEST VARS'!$J$54*(8*8)+'LINEST VARS'!$I$54*(8*$DX$32)+'LINEST VARS'!$H$54*(8*0.5)+'LINEST VARS'!$G$54*(8*$DV49)+'LINEST VARS'!$F$54*(8*$DX$32)+'LINEST VARS'!$E$54*(8*0.5)+'LINEST VARS'!$D$54*(8*$DV49)+'LINEST VARS'!$C$54*($DX$32*0.5)+'LINEST VARS'!$B$54*($DX$32*$DV49)+'LINEST VARS'!$A$54*(0.5*$DV49)</f>
        <v>3.9749999999999996</v>
      </c>
      <c r="DY49" s="51">
        <f>'LINEST VARS'!$U$54+'LINEST VARS'!$T$54*(8)+'LINEST VARS'!$S$54*(8)+'LINEST VARS'!$R$54*($DY$32)+'LINEST VARS'!$Q$54*(0.5)+'LINEST VARS'!$P$54*($DV49)+'LINEST VARS'!$O$54*(8^2)+'LINEST VARS'!$N$54*(8^2)+'LINEST VARS'!$M$54*($DY$32^2)+'LINEST VARS'!$L$54*(0.5^2)+'LINEST VARS'!$K$54*($DV49^2)+'LINEST VARS'!$J$54*(8*8)+'LINEST VARS'!$I$54*(8*$DY$32)+'LINEST VARS'!$H$54*(8*0.5)+'LINEST VARS'!$G$54*(8*$DV49)+'LINEST VARS'!$F$54*(8*$DY$32)+'LINEST VARS'!$E$54*(8*0.5)+'LINEST VARS'!$D$54*(8*$DV49)+'LINEST VARS'!$C$54*($DY$32*0.5)+'LINEST VARS'!$B$54*($DY$32*$DV49)+'LINEST VARS'!$A$54*(0.5*$DV49)</f>
        <v>3.9749999999999996</v>
      </c>
      <c r="DZ49" s="51">
        <f>'LINEST VARS'!$U$54+'LINEST VARS'!$T$54*(8)+'LINEST VARS'!$S$54*(8)+'LINEST VARS'!$R$54*($DZ$32)+'LINEST VARS'!$Q$54*(0.5)+'LINEST VARS'!$P$54*($DV49)+'LINEST VARS'!$O$54*(8^2)+'LINEST VARS'!$N$54*(8^2)+'LINEST VARS'!$M$54*($DZ$32^2)+'LINEST VARS'!$L$54*(0.5^2)+'LINEST VARS'!$K$54*($DV49^2)+'LINEST VARS'!$J$54*(8*8)+'LINEST VARS'!$I$54*(8*$DZ$32)+'LINEST VARS'!$H$54*(8*0.5)+'LINEST VARS'!$G$54*(8*$DV49)+'LINEST VARS'!$F$54*(8*$DZ$32)+'LINEST VARS'!$E$54*(8*0.5)+'LINEST VARS'!$D$54*(8*$DV49)+'LINEST VARS'!$C$54*($DZ$32*0.5)+'LINEST VARS'!$B$54*($DZ$32*$DV49)+'LINEST VARS'!$A$54*(0.5*$DV49)</f>
        <v>3.9749999999999996</v>
      </c>
      <c r="EA49" s="51">
        <f>'LINEST VARS'!$U$54+'LINEST VARS'!$T$54*(8)+'LINEST VARS'!$S$54*(8)+'LINEST VARS'!$R$54*($EA$32)+'LINEST VARS'!$Q$54*(0.5)+'LINEST VARS'!$P$54*($DV49)+'LINEST VARS'!$O$54*(8^2)+'LINEST VARS'!$N$54*(8^2)+'LINEST VARS'!$M$54*($EA$32^2)+'LINEST VARS'!$L$54*(0.5^2)+'LINEST VARS'!$K$54*($DV49^2)+'LINEST VARS'!$J$54*(8*8)+'LINEST VARS'!$I$54*(8*$EA$32)+'LINEST VARS'!$H$54*(8*0.5)+'LINEST VARS'!$G$54*(8*$DV49)+'LINEST VARS'!$F$54*(8*$EA$32)+'LINEST VARS'!$E$54*(8*0.5)+'LINEST VARS'!$D$54*(8*$DV49)+'LINEST VARS'!$C$54*($EA$32*0.5)+'LINEST VARS'!$B$54*($EA$32*$DV49)+'LINEST VARS'!$A$54*(0.5*$DV49)</f>
        <v>3.9749999999999996</v>
      </c>
      <c r="EB49" s="51">
        <f>'LINEST VARS'!$U$54+'LINEST VARS'!$T$54*(8)+'LINEST VARS'!$S$54*(8)+'LINEST VARS'!$R$54*($EB$32)+'LINEST VARS'!$Q$54*(0.5)+'LINEST VARS'!$P$54*($DV49)+'LINEST VARS'!$O$54*(8^2)+'LINEST VARS'!$N$54*(8^2)+'LINEST VARS'!$M$54*($EB$32^2)+'LINEST VARS'!$L$54*(0.5^2)+'LINEST VARS'!$K$54*($DV49^2)+'LINEST VARS'!$J$54*(8*8)+'LINEST VARS'!$I$54*(8*$EB$32)+'LINEST VARS'!$H$54*(8*0.5)+'LINEST VARS'!$G$54*(8*$DV49)+'LINEST VARS'!$F$54*(8*$EB$32)+'LINEST VARS'!$E$54*(8*0.5)+'LINEST VARS'!$D$54*(8*$DV49)+'LINEST VARS'!$C$54*($EB$32*0.5)+'LINEST VARS'!$B$54*($EB$32*$DV49)+'LINEST VARS'!$A$54*(0.5*$DV49)</f>
        <v>3.9749999999999996</v>
      </c>
      <c r="EC49" s="51">
        <f>'LINEST VARS'!$U$54+'LINEST VARS'!$T$54*(8)+'LINEST VARS'!$S$54*(8)+'LINEST VARS'!$R$54*($EC$32)+'LINEST VARS'!$Q$54*(0.5)+'LINEST VARS'!$P$54*($DV49)+'LINEST VARS'!$O$54*(8^2)+'LINEST VARS'!$N$54*(8^2)+'LINEST VARS'!$M$54*($EC$32^2)+'LINEST VARS'!$L$54*(0.5^2)+'LINEST VARS'!$K$54*($DV49^2)+'LINEST VARS'!$J$54*(8*8)+'LINEST VARS'!$I$54*(8*$EC$32)+'LINEST VARS'!$H$54*(8*0.5)+'LINEST VARS'!$G$54*(8*$DV49)+'LINEST VARS'!$F$54*(8*$EC$32)+'LINEST VARS'!$E$54*(8*0.5)+'LINEST VARS'!$D$54*(8*$DV49)+'LINEST VARS'!$C$54*($EC$32*0.5)+'LINEST VARS'!$B$54*($EC$32*$DV49)+'LINEST VARS'!$A$54*(0.5*$DV49)</f>
        <v>3.9749999999999996</v>
      </c>
      <c r="ED49" s="51">
        <f>'LINEST VARS'!$U$54+'LINEST VARS'!$T$54*(8)+'LINEST VARS'!$S$54*(8)+'LINEST VARS'!$R$54*($ED$32)+'LINEST VARS'!$Q$54*(0.5)+'LINEST VARS'!$P$54*($DV49)+'LINEST VARS'!$O$54*(8^2)+'LINEST VARS'!$N$54*(8^2)+'LINEST VARS'!$M$54*($ED$32^2)+'LINEST VARS'!$L$54*(0.5^2)+'LINEST VARS'!$K$54*($DV49^2)+'LINEST VARS'!$J$54*(8*8)+'LINEST VARS'!$I$54*(8*$ED$32)+'LINEST VARS'!$H$54*(8*0.5)+'LINEST VARS'!$G$54*(8*$DV49)+'LINEST VARS'!$F$54*(8*$ED$32)+'LINEST VARS'!$E$54*(8*0.5)+'LINEST VARS'!$D$54*(8*$DV49)+'LINEST VARS'!$C$54*($ED$32*0.5)+'LINEST VARS'!$B$54*($ED$32*$DV49)+'LINEST VARS'!$A$54*(0.5*$DV49)</f>
        <v>3.9749999999999996</v>
      </c>
      <c r="EE49" s="51">
        <f>'LINEST VARS'!$U$54+'LINEST VARS'!$T$54*(8)+'LINEST VARS'!$S$54*(8)+'LINEST VARS'!$R$54*($EE$32)+'LINEST VARS'!$Q$54*(0.5)+'LINEST VARS'!$P$54*($DV49)+'LINEST VARS'!$O$54*(8^2)+'LINEST VARS'!$N$54*(8^2)+'LINEST VARS'!$M$54*($EE$32^2)+'LINEST VARS'!$L$54*(0.5^2)+'LINEST VARS'!$K$54*($DV49^2)+'LINEST VARS'!$J$54*(8*8)+'LINEST VARS'!$I$54*(8*$EE$32)+'LINEST VARS'!$H$54*(8*0.5)+'LINEST VARS'!$G$54*(8*$DV49)+'LINEST VARS'!$F$54*(8*$EE$32)+'LINEST VARS'!$E$54*(8*0.5)+'LINEST VARS'!$D$54*(8*$DV49)+'LINEST VARS'!$C$54*($EE$32*0.5)+'LINEST VARS'!$B$54*($EE$32*$DV49)+'LINEST VARS'!$A$54*(0.5*$DV49)</f>
        <v>3.9749999999999996</v>
      </c>
      <c r="EF49" s="51">
        <f>'LINEST VARS'!$U$54+'LINEST VARS'!$T$54*(8)+'LINEST VARS'!$S$54*(8)+'LINEST VARS'!$R$54*($EF$32)+'LINEST VARS'!$Q$54*(0.5)+'LINEST VARS'!$P$54*($DV49)+'LINEST VARS'!$O$54*(8^2)+'LINEST VARS'!$N$54*(8^2)+'LINEST VARS'!$M$54*($EF$32^2)+'LINEST VARS'!$L$54*(0.5^2)+'LINEST VARS'!$K$54*($DV49^2)+'LINEST VARS'!$J$54*(8*8)+'LINEST VARS'!$I$54*(8*$EF$32)+'LINEST VARS'!$H$54*(8*0.5)+'LINEST VARS'!$G$54*(8*$DV49)+'LINEST VARS'!$F$54*(8*$EF$32)+'LINEST VARS'!$E$54*(8*0.5)+'LINEST VARS'!$D$54*(8*$DV49)+'LINEST VARS'!$C$54*($EF$32*0.5)+'LINEST VARS'!$B$54*($EF$32*$DV49)+'LINEST VARS'!$A$54*(0.5*$DV49)</f>
        <v>3.9749999999999996</v>
      </c>
      <c r="EG49" s="51">
        <f>'LINEST VARS'!$U$54+'LINEST VARS'!$T$54*(8)+'LINEST VARS'!$S$54*(8)+'LINEST VARS'!$R$54*($EG$32)+'LINEST VARS'!$Q$54*(0.5)+'LINEST VARS'!$P$54*($DV49)+'LINEST VARS'!$O$54*(8^2)+'LINEST VARS'!$N$54*(8^2)+'LINEST VARS'!$M$54*($EG$32^2)+'LINEST VARS'!$L$54*(0.5^2)+'LINEST VARS'!$K$54*($DV49^2)+'LINEST VARS'!$J$54*(8*8)+'LINEST VARS'!$I$54*(8*$EG$32)+'LINEST VARS'!$H$54*(8*0.5)+'LINEST VARS'!$G$54*(8*$DV49)+'LINEST VARS'!$F$54*(8*$EG$32)+'LINEST VARS'!$E$54*(8*0.5)+'LINEST VARS'!$D$54*(8*$DV49)+'LINEST VARS'!$C$54*($EG$32*0.5)+'LINEST VARS'!$B$54*($EG$32*$DV49)+'LINEST VARS'!$A$54*(0.5*$DV49)</f>
        <v>3.9749999999999996</v>
      </c>
      <c r="EH49" s="51">
        <f>'LINEST VARS'!$U$54+'LINEST VARS'!$T$54*(8)+'LINEST VARS'!$S$54*(8)+'LINEST VARS'!$R$54*($EH$32)+'LINEST VARS'!$Q$54*(0.5)+'LINEST VARS'!$P$54*($DV49)+'LINEST VARS'!$O$54*(8^2)+'LINEST VARS'!$N$54*(8^2)+'LINEST VARS'!$M$54*($EH$32^2)+'LINEST VARS'!$L$54*(0.5^2)+'LINEST VARS'!$K$54*($DV49^2)+'LINEST VARS'!$J$54*(8*8)+'LINEST VARS'!$I$54*(8*$EH$32)+'LINEST VARS'!$H$54*(8*0.5)+'LINEST VARS'!$G$54*(8*$DV49)+'LINEST VARS'!$F$54*(8*$EH$32)+'LINEST VARS'!$E$54*(8*0.5)+'LINEST VARS'!$D$54*(8*$DV49)+'LINEST VARS'!$C$54*($EH$32*0.5)+'LINEST VARS'!$B$54*($EH$32*$DV49)+'LINEST VARS'!$A$54*(0.5*$DV49)</f>
        <v>3.9749999999999996</v>
      </c>
      <c r="EI49" s="51">
        <f>'LINEST VARS'!$U$54+'LINEST VARS'!$T$54*(8)+'LINEST VARS'!$S$54*(8)+'LINEST VARS'!$R$54*($EI$32)+'LINEST VARS'!$Q$54*(0.5)+'LINEST VARS'!$P$54*($DV49)+'LINEST VARS'!$O$54*(8^2)+'LINEST VARS'!$N$54*(8^2)+'LINEST VARS'!$M$54*($EI$32^2)+'LINEST VARS'!$L$54*(0.5^2)+'LINEST VARS'!$K$54*($DV49^2)+'LINEST VARS'!$J$54*(8*8)+'LINEST VARS'!$I$54*(8*$EI$32)+'LINEST VARS'!$H$54*(8*0.5)+'LINEST VARS'!$G$54*(8*$DV49)+'LINEST VARS'!$F$54*(8*$EI$32)+'LINEST VARS'!$E$54*(8*0.5)+'LINEST VARS'!$D$54*(8*$DV49)+'LINEST VARS'!$C$54*($EI$32*0.5)+'LINEST VARS'!$B$54*($EI$32*$DV49)+'LINEST VARS'!$A$54*(0.5*$DV49)</f>
        <v>3.9749999999999996</v>
      </c>
      <c r="EJ49" s="51">
        <f>'LINEST VARS'!$U$54+'LINEST VARS'!$T$54*(8)+'LINEST VARS'!$S$54*(8)+'LINEST VARS'!$R$54*($EJ$32)+'LINEST VARS'!$Q$54*(0.5)+'LINEST VARS'!$P$54*($DV49)+'LINEST VARS'!$O$54*(8^2)+'LINEST VARS'!$N$54*(8^2)+'LINEST VARS'!$M$54*($EJ$32^2)+'LINEST VARS'!$L$54*(0.5^2)+'LINEST VARS'!$K$54*($DV49^2)+'LINEST VARS'!$J$54*(8*8)+'LINEST VARS'!$I$54*(8*$EJ$32)+'LINEST VARS'!$H$54*(8*0.5)+'LINEST VARS'!$G$54*(8*$DV49)+'LINEST VARS'!$F$54*(8*$EJ$32)+'LINEST VARS'!$E$54*(8*0.5)+'LINEST VARS'!$D$54*(8*$DV49)+'LINEST VARS'!$C$54*($EJ$32*0.5)+'LINEST VARS'!$B$54*($EJ$32*$DV49)+'LINEST VARS'!$A$54*(0.5*$DV49)</f>
        <v>3.9749999999999996</v>
      </c>
      <c r="EK49" s="51">
        <f>'LINEST VARS'!$U$54+'LINEST VARS'!$T$54*(8)+'LINEST VARS'!$S$54*(8)+'LINEST VARS'!$R$54*($EK$32)+'LINEST VARS'!$Q$54*(0.5)+'LINEST VARS'!$P$54*($DV49)+'LINEST VARS'!$O$54*(8^2)+'LINEST VARS'!$N$54*(8^2)+'LINEST VARS'!$M$54*($EK$32^2)+'LINEST VARS'!$L$54*(0.5^2)+'LINEST VARS'!$K$54*($DV49^2)+'LINEST VARS'!$J$54*(8*8)+'LINEST VARS'!$I$54*(8*$EK$32)+'LINEST VARS'!$H$54*(8*0.5)+'LINEST VARS'!$G$54*(8*$DV49)+'LINEST VARS'!$F$54*(8*$EK$32)+'LINEST VARS'!$E$54*(8*0.5)+'LINEST VARS'!$D$54*(8*$DV49)+'LINEST VARS'!$C$54*($EK$32*0.5)+'LINEST VARS'!$B$54*($EK$32*$DV49)+'LINEST VARS'!$A$54*(0.5*$DV49)</f>
        <v>3.9749999999999996</v>
      </c>
      <c r="EL49" s="51">
        <f>'LINEST VARS'!$U$54+'LINEST VARS'!$T$54*(8)+'LINEST VARS'!$S$54*(8)+'LINEST VARS'!$R$54*($EL$32)+'LINEST VARS'!$Q$54*(0.5)+'LINEST VARS'!$P$54*($DV49)+'LINEST VARS'!$O$54*(8^2)+'LINEST VARS'!$N$54*(8^2)+'LINEST VARS'!$M$54*($EL$32^2)+'LINEST VARS'!$L$54*(0.5^2)+'LINEST VARS'!$K$54*($DV49^2)+'LINEST VARS'!$J$54*(8*8)+'LINEST VARS'!$I$54*(8*$EL$32)+'LINEST VARS'!$H$54*(8*0.5)+'LINEST VARS'!$G$54*(8*$DV49)+'LINEST VARS'!$F$54*(8*$EL$32)+'LINEST VARS'!$E$54*(8*0.5)+'LINEST VARS'!$D$54*(8*$DV49)+'LINEST VARS'!$C$54*($EL$32*0.5)+'LINEST VARS'!$B$54*($EL$32*$DV49)+'LINEST VARS'!$A$54*(0.5*$DV49)</f>
        <v>3.9749999999999996</v>
      </c>
      <c r="EM49" s="51">
        <f>'LINEST VARS'!$U$54+'LINEST VARS'!$T$54*(8)+'LINEST VARS'!$S$54*(8)+'LINEST VARS'!$R$54*($EM$32)+'LINEST VARS'!$Q$54*(0.5)+'LINEST VARS'!$P$54*($DV49)+'LINEST VARS'!$O$54*(8^2)+'LINEST VARS'!$N$54*(8^2)+'LINEST VARS'!$M$54*($EM$32^2)+'LINEST VARS'!$L$54*(0.5^2)+'LINEST VARS'!$K$54*($DV49^2)+'LINEST VARS'!$J$54*(8*8)+'LINEST VARS'!$I$54*(8*$EM$32)+'LINEST VARS'!$H$54*(8*0.5)+'LINEST VARS'!$G$54*(8*$DV49)+'LINEST VARS'!$F$54*(8*$EM$32)+'LINEST VARS'!$E$54*(8*0.5)+'LINEST VARS'!$D$54*(8*$DV49)+'LINEST VARS'!$C$54*($EM$32*0.5)+'LINEST VARS'!$B$54*($EM$32*$DV49)+'LINEST VARS'!$A$54*(0.5*$DV49)</f>
        <v>3.9749999999999996</v>
      </c>
      <c r="EN49" s="51">
        <f>'LINEST VARS'!$U$54+'LINEST VARS'!$T$54*(8)+'LINEST VARS'!$S$54*(8)+'LINEST VARS'!$R$54*($EN$32)+'LINEST VARS'!$Q$54*(0.5)+'LINEST VARS'!$P$54*($DV49)+'LINEST VARS'!$O$54*(8^2)+'LINEST VARS'!$N$54*(8^2)+'LINEST VARS'!$M$54*($EN$32^2)+'LINEST VARS'!$L$54*(0.5^2)+'LINEST VARS'!$K$54*($DV49^2)+'LINEST VARS'!$J$54*(8*8)+'LINEST VARS'!$I$54*(8*$EN$32)+'LINEST VARS'!$H$54*(8*0.5)+'LINEST VARS'!$G$54*(8*$DV49)+'LINEST VARS'!$F$54*(8*$EN$32)+'LINEST VARS'!$E$54*(8*0.5)+'LINEST VARS'!$D$54*(8*$DV49)+'LINEST VARS'!$C$54*($EN$32*0.5)+'LINEST VARS'!$B$54*($EN$32*$DV49)+'LINEST VARS'!$A$54*(0.5*$DV49)</f>
        <v>3.9749999999999996</v>
      </c>
      <c r="EO49" s="51">
        <f>'LINEST VARS'!$U$54+'LINEST VARS'!$T$54*(8)+'LINEST VARS'!$S$54*(8)+'LINEST VARS'!$R$54*($EO$32)+'LINEST VARS'!$Q$54*(0.5)+'LINEST VARS'!$P$54*($DV49)+'LINEST VARS'!$O$54*(8^2)+'LINEST VARS'!$N$54*(8^2)+'LINEST VARS'!$M$54*($EO$32^2)+'LINEST VARS'!$L$54*(0.5^2)+'LINEST VARS'!$K$54*($DV49^2)+'LINEST VARS'!$J$54*(8*8)+'LINEST VARS'!$I$54*(8*$EO$32)+'LINEST VARS'!$H$54*(8*0.5)+'LINEST VARS'!$G$54*(8*$DV49)+'LINEST VARS'!$F$54*(8*$EO$32)+'LINEST VARS'!$E$54*(8*0.5)+'LINEST VARS'!$D$54*(8*$DV49)+'LINEST VARS'!$C$54*($EO$32*0.5)+'LINEST VARS'!$B$54*($EO$32*$DV49)+'LINEST VARS'!$A$54*(0.5*$DV49)</f>
        <v>3.9749999999999996</v>
      </c>
      <c r="EP49" s="51">
        <f>'LINEST VARS'!$U$54+'LINEST VARS'!$T$54*(8)+'LINEST VARS'!$S$54*(8)+'LINEST VARS'!$R$54*($EP$32)+'LINEST VARS'!$Q$54*(0.5)+'LINEST VARS'!$P$54*($DV49)+'LINEST VARS'!$O$54*(8^2)+'LINEST VARS'!$N$54*(8^2)+'LINEST VARS'!$M$54*($EP$32^2)+'LINEST VARS'!$L$54*(0.5^2)+'LINEST VARS'!$K$54*($DV49^2)+'LINEST VARS'!$J$54*(8*8)+'LINEST VARS'!$I$54*(8*$EP$32)+'LINEST VARS'!$H$54*(8*0.5)+'LINEST VARS'!$G$54*(8*$DV49)+'LINEST VARS'!$F$54*(8*$EP$32)+'LINEST VARS'!$E$54*(8*0.5)+'LINEST VARS'!$D$54*(8*$DV49)+'LINEST VARS'!$C$54*($EP$32*0.5)+'LINEST VARS'!$B$54*($EP$32*$DV49)+'LINEST VARS'!$A$54*(0.5*$DV49)</f>
        <v>3.9749999999999996</v>
      </c>
      <c r="EQ49" s="52">
        <f>'LINEST VARS'!$U$54+'LINEST VARS'!$T$54*(8)+'LINEST VARS'!$S$54*(8)+'LINEST VARS'!$R$54*($EQ$32)+'LINEST VARS'!$Q$54*(0.5)+'LINEST VARS'!$P$54*($DV49)+'LINEST VARS'!$O$54*(8^2)+'LINEST VARS'!$N$54*(8^2)+'LINEST VARS'!$M$54*($EQ$32^2)+'LINEST VARS'!$L$54*(0.5^2)+'LINEST VARS'!$K$54*($DV49^2)+'LINEST VARS'!$J$54*(8*8)+'LINEST VARS'!$I$54*(8*$EQ$32)+'LINEST VARS'!$H$54*(8*0.5)+'LINEST VARS'!$G$54*(8*$DV49)+'LINEST VARS'!$F$54*(8*$EQ$32)+'LINEST VARS'!$E$54*(8*0.5)+'LINEST VARS'!$D$54*(8*$DV49)+'LINEST VARS'!$C$54*($EQ$32*0.5)+'LINEST VARS'!$B$54*($EQ$32*$DV49)+'LINEST VARS'!$A$54*(0.5*$DV49)</f>
        <v>3.9749999999999996</v>
      </c>
    </row>
    <row r="50" spans="2:147" ht="15" customHeight="1" x14ac:dyDescent="0.25">
      <c r="B50" s="45">
        <v>8.42</v>
      </c>
      <c r="C50" s="51">
        <f>'LINEST VARS'!$U$52+'LINEST VARS'!$T$52*($C$32)+'LINEST VARS'!$S$52*($B50)+'LINEST VARS'!$R$52*(4)+'LINEST VARS'!$Q$52*(0.5)+'LINEST VARS'!$P$52*(12.73)+'LINEST VARS'!$O$52*($C$32^2)+'LINEST VARS'!$N$52*($B50^2)+'LINEST VARS'!$M$52*(4^2)+'LINEST VARS'!$L$52*(0.5^2)+'LINEST VARS'!$K$52*(12.73^2)+'LINEST VARS'!$J$52*($C$32*$B50)+'LINEST VARS'!$I$52*($C$32*4)+'LINEST VARS'!$H$52*($C$32*0.5)+'LINEST VARS'!$G$52*($C$32*12.73)+'LINEST VARS'!$F$52*($B50*4)+'LINEST VARS'!$E$52*($B50*0.5)+'LINEST VARS'!$D$52*($B50*12.73)+'LINEST VARS'!$C$52*(4*0.5)+'LINEST VARS'!$B$52*(4*12.73)+'LINEST VARS'!$A$52*(0.5*12.73)</f>
        <v>4.4499999999999984</v>
      </c>
      <c r="D50" s="51">
        <f>'LINEST VARS'!$U$52+'LINEST VARS'!$T$52*($D$32)+'LINEST VARS'!$S$52*($B50)+'LINEST VARS'!$R$52*(4)+'LINEST VARS'!$Q$52*(0.5)+'LINEST VARS'!$P$52*(12.73)+'LINEST VARS'!$O$52*($D$32^2)+'LINEST VARS'!$N$52*($B50^2)+'LINEST VARS'!$M$52*(4^2)+'LINEST VARS'!$L$52*(0.5^2)+'LINEST VARS'!$K$52*(12.73^2)+'LINEST VARS'!$J$52*($D$32*$B50)+'LINEST VARS'!$I$52*($D$32*4)+'LINEST VARS'!$H$52*($D$32*0.5)+'LINEST VARS'!$G$52*($D$32*12.73)+'LINEST VARS'!$F$52*($B50*4)+'LINEST VARS'!$E$52*($B50*0.5)+'LINEST VARS'!$D$52*($B50*12.73)+'LINEST VARS'!$C$52*(4*0.5)+'LINEST VARS'!$B$52*(4*12.73)+'LINEST VARS'!$A$52*(0.5*12.73)</f>
        <v>4.4499999999999984</v>
      </c>
      <c r="E50" s="51">
        <f>'LINEST VARS'!$U$52+'LINEST VARS'!$T$52*($E$32)+'LINEST VARS'!$S$52*($B50)+'LINEST VARS'!$R$52*(4)+'LINEST VARS'!$Q$52*(0.5)+'LINEST VARS'!$P$52*(12.73)+'LINEST VARS'!$O$52*($E$32^2)+'LINEST VARS'!$N$52*($B50^2)+'LINEST VARS'!$M$52*(4^2)+'LINEST VARS'!$L$52*(0.5^2)+'LINEST VARS'!$K$52*(12.73^2)+'LINEST VARS'!$J$52*($E$32*$B50)+'LINEST VARS'!$I$52*($E$32*4)+'LINEST VARS'!$H$52*($E$32*0.5)+'LINEST VARS'!$G$52*($E$32*12.73)+'LINEST VARS'!$F$52*($B50*4)+'LINEST VARS'!$E$52*($B50*0.5)+'LINEST VARS'!$D$52*($B50*12.73)+'LINEST VARS'!$C$52*(4*0.5)+'LINEST VARS'!$B$52*(4*12.73)+'LINEST VARS'!$A$52*(0.5*12.73)</f>
        <v>4.4499999999999984</v>
      </c>
      <c r="F50" s="51">
        <f>'LINEST VARS'!$U$52+'LINEST VARS'!$T$52*($F$32)+'LINEST VARS'!$S$52*($B50)+'LINEST VARS'!$R$52*(4)+'LINEST VARS'!$Q$52*(0.5)+'LINEST VARS'!$P$52*(12.73)+'LINEST VARS'!$O$52*($F$32^2)+'LINEST VARS'!$N$52*($B50^2)+'LINEST VARS'!$M$52*(4^2)+'LINEST VARS'!$L$52*(0.5^2)+'LINEST VARS'!$K$52*(12.73^2)+'LINEST VARS'!$J$52*($F$32*$B50)+'LINEST VARS'!$I$52*($F$32*4)+'LINEST VARS'!$H$52*($F$32*0.5)+'LINEST VARS'!$G$52*($F$32*12.73)+'LINEST VARS'!$F$52*($B50*4)+'LINEST VARS'!$E$52*($B50*0.5)+'LINEST VARS'!$D$52*($B50*12.73)+'LINEST VARS'!$C$52*(4*0.5)+'LINEST VARS'!$B$52*(4*12.73)+'LINEST VARS'!$A$52*(0.5*12.73)</f>
        <v>4.4499999999999984</v>
      </c>
      <c r="G50" s="51">
        <f>'LINEST VARS'!$U$52+'LINEST VARS'!$T$52*($G$32)+'LINEST VARS'!$S$52*($B50)+'LINEST VARS'!$R$52*(4)+'LINEST VARS'!$Q$52*(0.5)+'LINEST VARS'!$P$52*(12.73)+'LINEST VARS'!$O$52*($G$32^2)+'LINEST VARS'!$N$52*($B50^2)+'LINEST VARS'!$M$52*(4^2)+'LINEST VARS'!$L$52*(0.5^2)+'LINEST VARS'!$K$52*(12.73^2)+'LINEST VARS'!$J$52*($G$32*$B50)+'LINEST VARS'!$I$52*($G$32*4)+'LINEST VARS'!$H$52*($G$32*0.5)+'LINEST VARS'!$G$52*($G$32*12.73)+'LINEST VARS'!$F$52*($B50*4)+'LINEST VARS'!$E$52*($B50*0.5)+'LINEST VARS'!$D$52*($B50*12.73)+'LINEST VARS'!$C$52*(4*0.5)+'LINEST VARS'!$B$52*(4*12.73)+'LINEST VARS'!$A$52*(0.5*12.73)</f>
        <v>4.4499999999999984</v>
      </c>
      <c r="H50" s="51">
        <f>'LINEST VARS'!$U$52+'LINEST VARS'!$T$52*($H$32)+'LINEST VARS'!$S$52*($B50)+'LINEST VARS'!$R$52*(4)+'LINEST VARS'!$Q$52*(0.5)+'LINEST VARS'!$P$52*(12.73)+'LINEST VARS'!$O$52*($H$32^2)+'LINEST VARS'!$N$52*($B50^2)+'LINEST VARS'!$M$52*(4^2)+'LINEST VARS'!$L$52*(0.5^2)+'LINEST VARS'!$K$52*(12.73^2)+'LINEST VARS'!$J$52*($H$32*$B50)+'LINEST VARS'!$I$52*($H$32*4)+'LINEST VARS'!$H$52*($H$32*0.5)+'LINEST VARS'!$G$52*($H$32*12.73)+'LINEST VARS'!$F$52*($B50*4)+'LINEST VARS'!$E$52*($B50*0.5)+'LINEST VARS'!$D$52*($B50*12.73)+'LINEST VARS'!$C$52*(4*0.5)+'LINEST VARS'!$B$52*(4*12.73)+'LINEST VARS'!$A$52*(0.5*12.73)</f>
        <v>4.4499999999999984</v>
      </c>
      <c r="I50" s="51">
        <f>'LINEST VARS'!$U$52+'LINEST VARS'!$T$52*($I$32)+'LINEST VARS'!$S$52*($B50)+'LINEST VARS'!$R$52*(4)+'LINEST VARS'!$Q$52*(0.5)+'LINEST VARS'!$P$52*(12.73)+'LINEST VARS'!$O$52*($I$32^2)+'LINEST VARS'!$N$52*($B50^2)+'LINEST VARS'!$M$52*(4^2)+'LINEST VARS'!$L$52*(0.5^2)+'LINEST VARS'!$K$52*(12.73^2)+'LINEST VARS'!$J$52*($I$32*$B50)+'LINEST VARS'!$I$52*($I$32*4)+'LINEST VARS'!$H$52*($I$32*0.5)+'LINEST VARS'!$G$52*($I$32*12.73)+'LINEST VARS'!$F$52*($B50*4)+'LINEST VARS'!$E$52*($B50*0.5)+'LINEST VARS'!$D$52*($B50*12.73)+'LINEST VARS'!$C$52*(4*0.5)+'LINEST VARS'!$B$52*(4*12.73)+'LINEST VARS'!$A$52*(0.5*12.73)</f>
        <v>4.4499999999999984</v>
      </c>
      <c r="J50" s="51">
        <f>'LINEST VARS'!$U$52+'LINEST VARS'!$T$52*($J$32)+'LINEST VARS'!$S$52*($B50)+'LINEST VARS'!$R$52*(4)+'LINEST VARS'!$Q$52*(0.5)+'LINEST VARS'!$P$52*(12.73)+'LINEST VARS'!$O$52*($J$32^2)+'LINEST VARS'!$N$52*($B50^2)+'LINEST VARS'!$M$52*(4^2)+'LINEST VARS'!$L$52*(0.5^2)+'LINEST VARS'!$K$52*(12.73^2)+'LINEST VARS'!$J$52*($J$32*$B50)+'LINEST VARS'!$I$52*($J$32*4)+'LINEST VARS'!$H$52*($J$32*0.5)+'LINEST VARS'!$G$52*($J$32*12.73)+'LINEST VARS'!$F$52*($B50*4)+'LINEST VARS'!$E$52*($B50*0.5)+'LINEST VARS'!$D$52*($B50*12.73)+'LINEST VARS'!$C$52*(4*0.5)+'LINEST VARS'!$B$52*(4*12.73)+'LINEST VARS'!$A$52*(0.5*12.73)</f>
        <v>4.4499999999999984</v>
      </c>
      <c r="K50" s="51">
        <f>'LINEST VARS'!$U$52+'LINEST VARS'!$T$52*($K$32)+'LINEST VARS'!$S$52*($B50)+'LINEST VARS'!$R$52*(4)+'LINEST VARS'!$Q$52*(0.5)+'LINEST VARS'!$P$52*(12.73)+'LINEST VARS'!$O$52*($K$32^2)+'LINEST VARS'!$N$52*($B50^2)+'LINEST VARS'!$M$52*(4^2)+'LINEST VARS'!$L$52*(0.5^2)+'LINEST VARS'!$K$52*(12.73^2)+'LINEST VARS'!$J$52*($K$32*$B50)+'LINEST VARS'!$I$52*($K$32*4)+'LINEST VARS'!$H$52*($K$32*0.5)+'LINEST VARS'!$G$52*($K$32*12.73)+'LINEST VARS'!$F$52*($B50*4)+'LINEST VARS'!$E$52*($B50*0.5)+'LINEST VARS'!$D$52*($B50*12.73)+'LINEST VARS'!$C$52*(4*0.5)+'LINEST VARS'!$B$52*(4*12.73)+'LINEST VARS'!$A$52*(0.5*12.73)</f>
        <v>4.4499999999999984</v>
      </c>
      <c r="L50" s="51">
        <f>'LINEST VARS'!$U$52+'LINEST VARS'!$T$52*($L$32)+'LINEST VARS'!$S$52*($B50)+'LINEST VARS'!$R$52*(4)+'LINEST VARS'!$Q$52*(0.5)+'LINEST VARS'!$P$52*(12.73)+'LINEST VARS'!$O$52*($L$32^2)+'LINEST VARS'!$N$52*($B50^2)+'LINEST VARS'!$M$52*(4^2)+'LINEST VARS'!$L$52*(0.5^2)+'LINEST VARS'!$K$52*(12.73^2)+'LINEST VARS'!$J$52*($L$32*$B50)+'LINEST VARS'!$I$52*($L$32*4)+'LINEST VARS'!$H$52*($L$32*0.5)+'LINEST VARS'!$G$52*($L$32*12.73)+'LINEST VARS'!$F$52*($B50*4)+'LINEST VARS'!$E$52*($B50*0.5)+'LINEST VARS'!$D$52*($B50*12.73)+'LINEST VARS'!$C$52*(4*0.5)+'LINEST VARS'!$B$52*(4*12.73)+'LINEST VARS'!$A$52*(0.5*12.73)</f>
        <v>4.4499999999999984</v>
      </c>
      <c r="M50" s="51">
        <f>'LINEST VARS'!$U$52+'LINEST VARS'!$T$52*($M$32)+'LINEST VARS'!$S$52*($B50)+'LINEST VARS'!$R$52*(4)+'LINEST VARS'!$Q$52*(0.5)+'LINEST VARS'!$P$52*(12.73)+'LINEST VARS'!$O$52*($M$32^2)+'LINEST VARS'!$N$52*($B50^2)+'LINEST VARS'!$M$52*(4^2)+'LINEST VARS'!$L$52*(0.5^2)+'LINEST VARS'!$K$52*(12.73^2)+'LINEST VARS'!$J$52*($M$32*$B50)+'LINEST VARS'!$I$52*($M$32*4)+'LINEST VARS'!$H$52*($M$32*0.5)+'LINEST VARS'!$G$52*($M$32*12.73)+'LINEST VARS'!$F$52*($B50*4)+'LINEST VARS'!$E$52*($B50*0.5)+'LINEST VARS'!$D$52*($B50*12.73)+'LINEST VARS'!$C$52*(4*0.5)+'LINEST VARS'!$B$52*(4*12.73)+'LINEST VARS'!$A$52*(0.5*12.73)</f>
        <v>4.4499999999999984</v>
      </c>
      <c r="N50" s="51">
        <f>'LINEST VARS'!$U$52+'LINEST VARS'!$T$52*($N$32)+'LINEST VARS'!$S$52*($B50)+'LINEST VARS'!$R$52*(4)+'LINEST VARS'!$Q$52*(0.5)+'LINEST VARS'!$P$52*(12.73)+'LINEST VARS'!$O$52*($N$32^2)+'LINEST VARS'!$N$52*($B50^2)+'LINEST VARS'!$M$52*(4^2)+'LINEST VARS'!$L$52*(0.5^2)+'LINEST VARS'!$K$52*(12.73^2)+'LINEST VARS'!$J$52*($N$32*$B50)+'LINEST VARS'!$I$52*($N$32*4)+'LINEST VARS'!$H$52*($N$32*0.5)+'LINEST VARS'!$G$52*($N$32*12.73)+'LINEST VARS'!$F$52*($B50*4)+'LINEST VARS'!$E$52*($B50*0.5)+'LINEST VARS'!$D$52*($B50*12.73)+'LINEST VARS'!$C$52*(4*0.5)+'LINEST VARS'!$B$52*(4*12.73)+'LINEST VARS'!$A$52*(0.5*12.73)</f>
        <v>4.4499999999999984</v>
      </c>
      <c r="O50" s="51">
        <f>'LINEST VARS'!$U$52+'LINEST VARS'!$T$52*($O$32)+'LINEST VARS'!$S$52*($B50)+'LINEST VARS'!$R$52*(4)+'LINEST VARS'!$Q$52*(0.5)+'LINEST VARS'!$P$52*(12.73)+'LINEST VARS'!$O$52*($O$32^2)+'LINEST VARS'!$N$52*($B50^2)+'LINEST VARS'!$M$52*(4^2)+'LINEST VARS'!$L$52*(0.5^2)+'LINEST VARS'!$K$52*(12.73^2)+'LINEST VARS'!$J$52*($O$32*$B50)+'LINEST VARS'!$I$52*($O$32*4)+'LINEST VARS'!$H$52*($O$32*0.5)+'LINEST VARS'!$G$52*($O$32*12.73)+'LINEST VARS'!$F$52*($B50*4)+'LINEST VARS'!$E$52*($B50*0.5)+'LINEST VARS'!$D$52*($B50*12.73)+'LINEST VARS'!$C$52*(4*0.5)+'LINEST VARS'!$B$52*(4*12.73)+'LINEST VARS'!$A$52*(0.5*12.73)</f>
        <v>4.4499999999999984</v>
      </c>
      <c r="P50" s="51">
        <f>'LINEST VARS'!$U$52+'LINEST VARS'!$T$52*($P$32)+'LINEST VARS'!$S$52*($B50)+'LINEST VARS'!$R$52*(4)+'LINEST VARS'!$Q$52*(0.5)+'LINEST VARS'!$P$52*(12.73)+'LINEST VARS'!$O$52*($P$32^2)+'LINEST VARS'!$N$52*($B50^2)+'LINEST VARS'!$M$52*(4^2)+'LINEST VARS'!$L$52*(0.5^2)+'LINEST VARS'!$K$52*(12.73^2)+'LINEST VARS'!$J$52*($P$32*$B50)+'LINEST VARS'!$I$52*($P$32*4)+'LINEST VARS'!$H$52*($P$32*0.5)+'LINEST VARS'!$G$52*($P$32*12.73)+'LINEST VARS'!$F$52*($B50*4)+'LINEST VARS'!$E$52*($B50*0.5)+'LINEST VARS'!$D$52*($B50*12.73)+'LINEST VARS'!$C$52*(4*0.5)+'LINEST VARS'!$B$52*(4*12.73)+'LINEST VARS'!$A$52*(0.5*12.73)</f>
        <v>4.4499999999999984</v>
      </c>
      <c r="Q50" s="51">
        <f>'LINEST VARS'!$U$52+'LINEST VARS'!$T$52*($Q$32)+'LINEST VARS'!$S$52*($B50)+'LINEST VARS'!$R$52*(4)+'LINEST VARS'!$Q$52*(0.5)+'LINEST VARS'!$P$52*(12.73)+'LINEST VARS'!$O$52*($Q$32^2)+'LINEST VARS'!$N$52*($B50^2)+'LINEST VARS'!$M$52*(4^2)+'LINEST VARS'!$L$52*(0.5^2)+'LINEST VARS'!$K$52*(12.73^2)+'LINEST VARS'!$J$52*($Q$32*$B50)+'LINEST VARS'!$I$52*($Q$32*4)+'LINEST VARS'!$H$52*($Q$32*0.5)+'LINEST VARS'!$G$52*($Q$32*12.73)+'LINEST VARS'!$F$52*($B50*4)+'LINEST VARS'!$E$52*($B50*0.5)+'LINEST VARS'!$D$52*($B50*12.73)+'LINEST VARS'!$C$52*(4*0.5)+'LINEST VARS'!$B$52*(4*12.73)+'LINEST VARS'!$A$52*(0.5*12.73)</f>
        <v>4.4499999999999984</v>
      </c>
      <c r="R50" s="51">
        <f>'LINEST VARS'!$U$52+'LINEST VARS'!$T$52*($R$32)+'LINEST VARS'!$S$52*($B50)+'LINEST VARS'!$R$52*(4)+'LINEST VARS'!$Q$52*(0.5)+'LINEST VARS'!$P$52*(12.73)+'LINEST VARS'!$O$52*($R$32^2)+'LINEST VARS'!$N$52*($B50^2)+'LINEST VARS'!$M$52*(4^2)+'LINEST VARS'!$L$52*(0.5^2)+'LINEST VARS'!$K$52*(12.73^2)+'LINEST VARS'!$J$52*($R$32*$B50)+'LINEST VARS'!$I$52*($R$32*4)+'LINEST VARS'!$H$52*($R$32*0.5)+'LINEST VARS'!$G$52*($R$32*12.73)+'LINEST VARS'!$F$52*($B50*4)+'LINEST VARS'!$E$52*($B50*0.5)+'LINEST VARS'!$D$52*($B50*12.73)+'LINEST VARS'!$C$52*(4*0.5)+'LINEST VARS'!$B$52*(4*12.73)+'LINEST VARS'!$A$52*(0.5*12.73)</f>
        <v>4.4499999999999984</v>
      </c>
      <c r="S50" s="51">
        <f>'LINEST VARS'!$U$52+'LINEST VARS'!$T$52*($S$32)+'LINEST VARS'!$S$52*($B50)+'LINEST VARS'!$R$52*(4)+'LINEST VARS'!$Q$52*(0.5)+'LINEST VARS'!$P$52*(12.73)+'LINEST VARS'!$O$52*($S$32^2)+'LINEST VARS'!$N$52*($B50^2)+'LINEST VARS'!$M$52*(4^2)+'LINEST VARS'!$L$52*(0.5^2)+'LINEST VARS'!$K$52*(12.73^2)+'LINEST VARS'!$J$52*($S$32*$B50)+'LINEST VARS'!$I$52*($S$32*4)+'LINEST VARS'!$H$52*($S$32*0.5)+'LINEST VARS'!$G$52*($S$32*12.73)+'LINEST VARS'!$F$52*($B50*4)+'LINEST VARS'!$E$52*($B50*0.5)+'LINEST VARS'!$D$52*($B50*12.73)+'LINEST VARS'!$C$52*(4*0.5)+'LINEST VARS'!$B$52*(4*12.73)+'LINEST VARS'!$A$52*(0.5*12.73)</f>
        <v>4.4499999999999984</v>
      </c>
      <c r="T50" s="51">
        <f>'LINEST VARS'!$U$52+'LINEST VARS'!$T$52*($T$32)+'LINEST VARS'!$S$52*($B50)+'LINEST VARS'!$R$52*(4)+'LINEST VARS'!$Q$52*(0.5)+'LINEST VARS'!$P$52*(12.73)+'LINEST VARS'!$O$52*($T$32^2)+'LINEST VARS'!$N$52*($B50^2)+'LINEST VARS'!$M$52*(4^2)+'LINEST VARS'!$L$52*(0.5^2)+'LINEST VARS'!$K$52*(12.73^2)+'LINEST VARS'!$J$52*($T$32*$B50)+'LINEST VARS'!$I$52*($T$32*4)+'LINEST VARS'!$H$52*($T$32*0.5)+'LINEST VARS'!$G$52*($T$32*12.73)+'LINEST VARS'!$F$52*($B50*4)+'LINEST VARS'!$E$52*($B50*0.5)+'LINEST VARS'!$D$52*($B50*12.73)+'LINEST VARS'!$C$52*(4*0.5)+'LINEST VARS'!$B$52*(4*12.73)+'LINEST VARS'!$A$52*(0.5*12.73)</f>
        <v>4.4499999999999984</v>
      </c>
      <c r="U50" s="51">
        <f>'LINEST VARS'!$U$52+'LINEST VARS'!$T$52*($U$32)+'LINEST VARS'!$S$52*($B50)+'LINEST VARS'!$R$52*(4)+'LINEST VARS'!$Q$52*(0.5)+'LINEST VARS'!$P$52*(12.73)+'LINEST VARS'!$O$52*($U$32^2)+'LINEST VARS'!$N$52*($B50^2)+'LINEST VARS'!$M$52*(4^2)+'LINEST VARS'!$L$52*(0.5^2)+'LINEST VARS'!$K$52*(12.73^2)+'LINEST VARS'!$J$52*($U$32*$B50)+'LINEST VARS'!$I$52*($U$32*4)+'LINEST VARS'!$H$52*($U$32*0.5)+'LINEST VARS'!$G$52*($U$32*12.73)+'LINEST VARS'!$F$52*($B50*4)+'LINEST VARS'!$E$52*($B50*0.5)+'LINEST VARS'!$D$52*($B50*12.73)+'LINEST VARS'!$C$52*(4*0.5)+'LINEST VARS'!$B$52*(4*12.73)+'LINEST VARS'!$A$52*(0.5*12.73)</f>
        <v>4.4499999999999984</v>
      </c>
      <c r="V50" s="51">
        <f>'LINEST VARS'!$U$52+'LINEST VARS'!$T$52*($V$32)+'LINEST VARS'!$S$52*($B50)+'LINEST VARS'!$R$52*(4)+'LINEST VARS'!$Q$52*(0.5)+'LINEST VARS'!$P$52*(12.73)+'LINEST VARS'!$O$52*($V$32^2)+'LINEST VARS'!$N$52*($B50^2)+'LINEST VARS'!$M$52*(4^2)+'LINEST VARS'!$L$52*(0.5^2)+'LINEST VARS'!$K$52*(12.73^2)+'LINEST VARS'!$J$52*($V$32*$B50)+'LINEST VARS'!$I$52*($V$32*4)+'LINEST VARS'!$H$52*($V$32*0.5)+'LINEST VARS'!$G$52*($V$32*12.73)+'LINEST VARS'!$F$52*($B50*4)+'LINEST VARS'!$E$52*($B50*0.5)+'LINEST VARS'!$D$52*($B50*12.73)+'LINEST VARS'!$C$52*(4*0.5)+'LINEST VARS'!$B$52*(4*12.73)+'LINEST VARS'!$A$52*(0.5*12.73)</f>
        <v>4.4499999999999993</v>
      </c>
      <c r="W50" s="52">
        <f>'LINEST VARS'!$U$52+'LINEST VARS'!$T$52*($W$32)+'LINEST VARS'!$S$52*($B50)+'LINEST VARS'!$R$52*(4)+'LINEST VARS'!$Q$52*(0.5)+'LINEST VARS'!$P$52*(12.73)+'LINEST VARS'!$O$52*($W$32^2)+'LINEST VARS'!$N$52*($B50^2)+'LINEST VARS'!$M$52*(4^2)+'LINEST VARS'!$L$52*(0.5^2)+'LINEST VARS'!$K$52*(12.73^2)+'LINEST VARS'!$J$52*($W$32*$B50)+'LINEST VARS'!$I$52*($W$32*4)+'LINEST VARS'!$H$52*($W$32*0.5)+'LINEST VARS'!$G$52*($W$32*12.73)+'LINEST VARS'!$F$52*($B50*4)+'LINEST VARS'!$E$52*($B50*0.5)+'LINEST VARS'!$D$52*($B50*12.73)+'LINEST VARS'!$C$52*(4*0.5)+'LINEST VARS'!$B$52*(4*12.73)+'LINEST VARS'!$A$52*(0.5*12.73)</f>
        <v>4.4499999999999993</v>
      </c>
      <c r="Z50" s="45">
        <v>8.42</v>
      </c>
      <c r="AA50" s="51">
        <f>'LINEST VARS'!$U$54+'LINEST VARS'!$T$54*($AA$32)+'LINEST VARS'!$S$54*($Z50)+'LINEST VARS'!$R$54*(4)+'LINEST VARS'!$Q$54*(0.5)+'LINEST VARS'!$P$54*(12.73)+'LINEST VARS'!$O$54*($AA$32^2)+'LINEST VARS'!$N$54*($Z50^2)+'LINEST VARS'!$M$54*(4^2)+'LINEST VARS'!$L$54*(0.5^2)+'LINEST VARS'!$K$54*(12.73^2)+'LINEST VARS'!$J$54*($AA$32*$Z50)+'LINEST VARS'!$I$54*($AA$32*4)+'LINEST VARS'!$H$54*($AA$32*0.5)+'LINEST VARS'!$G$54*($AA$32*12.73)+'LINEST VARS'!$F$54*($Z50*4)+'LINEST VARS'!$E$54*($Z50*0.5)+'LINEST VARS'!$D$54*($Z50*12.73)+'LINEST VARS'!$C$54*(4*0.5)+'LINEST VARS'!$B$54*(4*12.73)+'LINEST VARS'!$A$54*(0.5*12.73)</f>
        <v>3.9749999999999996</v>
      </c>
      <c r="AB50" s="51">
        <f>'LINEST VARS'!$U$54+'LINEST VARS'!$T$54*($AB$32)+'LINEST VARS'!$S$54*($Z50)+'LINEST VARS'!$R$54*(4)+'LINEST VARS'!$Q$54*(0.5)+'LINEST VARS'!$P$54*(12.73)+'LINEST VARS'!$O$54*($AB$32^2)+'LINEST VARS'!$N$54*($Z50^2)+'LINEST VARS'!$M$54*(4^2)+'LINEST VARS'!$L$54*(0.5^2)+'LINEST VARS'!$K$54*(12.73^2)+'LINEST VARS'!$J$54*($AB$32*$Z50)+'LINEST VARS'!$I$54*($AB$32*4)+'LINEST VARS'!$H$54*($AB$32*0.5)+'LINEST VARS'!$G$54*($AB$32*12.73)+'LINEST VARS'!$F$54*($Z50*4)+'LINEST VARS'!$E$54*($Z50*0.5)+'LINEST VARS'!$D$54*($Z50*12.73)+'LINEST VARS'!$C$54*(4*0.5)+'LINEST VARS'!$B$54*(4*12.73)+'LINEST VARS'!$A$54*(0.5*12.73)</f>
        <v>3.9749999999999996</v>
      </c>
      <c r="AC50" s="51">
        <f>'LINEST VARS'!$U$54+'LINEST VARS'!$T$54*($AC$32)+'LINEST VARS'!$S$54*($Z50)+'LINEST VARS'!$R$54*(4)+'LINEST VARS'!$Q$54*(0.5)+'LINEST VARS'!$P$54*(12.73)+'LINEST VARS'!$O$54*($AC$32^2)+'LINEST VARS'!$N$54*($Z50^2)+'LINEST VARS'!$M$54*(4^2)+'LINEST VARS'!$L$54*(0.5^2)+'LINEST VARS'!$K$54*(12.73^2)+'LINEST VARS'!$J$54*($AC$32*$Z50)+'LINEST VARS'!$I$54*($AC$32*4)+'LINEST VARS'!$H$54*($AC$32*0.5)+'LINEST VARS'!$G$54*($AC$32*12.73)+'LINEST VARS'!$F$54*($Z50*4)+'LINEST VARS'!$E$54*($Z50*0.5)+'LINEST VARS'!$D$54*($Z50*12.73)+'LINEST VARS'!$C$54*(4*0.5)+'LINEST VARS'!$B$54*(4*12.73)+'LINEST VARS'!$A$54*(0.5*12.73)</f>
        <v>3.9749999999999996</v>
      </c>
      <c r="AD50" s="51">
        <f>'LINEST VARS'!$U$54+'LINEST VARS'!$T$54*($AD$32)+'LINEST VARS'!$S$54*($Z50)+'LINEST VARS'!$R$54*(4)+'LINEST VARS'!$Q$54*(0.5)+'LINEST VARS'!$P$54*(12.73)+'LINEST VARS'!$O$54*($AD$32^2)+'LINEST VARS'!$N$54*($Z50^2)+'LINEST VARS'!$M$54*(4^2)+'LINEST VARS'!$L$54*(0.5^2)+'LINEST VARS'!$K$54*(12.73^2)+'LINEST VARS'!$J$54*($AD$32*$Z50)+'LINEST VARS'!$I$54*($AD$32*4)+'LINEST VARS'!$H$54*($AD$32*0.5)+'LINEST VARS'!$G$54*($AD$32*12.73)+'LINEST VARS'!$F$54*($Z50*4)+'LINEST VARS'!$E$54*($Z50*0.5)+'LINEST VARS'!$D$54*($Z50*12.73)+'LINEST VARS'!$C$54*(4*0.5)+'LINEST VARS'!$B$54*(4*12.73)+'LINEST VARS'!$A$54*(0.5*12.73)</f>
        <v>3.9749999999999996</v>
      </c>
      <c r="AE50" s="51">
        <f>'LINEST VARS'!$U$54+'LINEST VARS'!$T$54*($AE$32)+'LINEST VARS'!$S$54*($Z50)+'LINEST VARS'!$R$54*(4)+'LINEST VARS'!$Q$54*(0.5)+'LINEST VARS'!$P$54*(12.73)+'LINEST VARS'!$O$54*($AE$32^2)+'LINEST VARS'!$N$54*($Z50^2)+'LINEST VARS'!$M$54*(4^2)+'LINEST VARS'!$L$54*(0.5^2)+'LINEST VARS'!$K$54*(12.73^2)+'LINEST VARS'!$J$54*($AE$32*$Z50)+'LINEST VARS'!$I$54*($AE$32*4)+'LINEST VARS'!$H$54*($AE$32*0.5)+'LINEST VARS'!$G$54*($AE$32*12.73)+'LINEST VARS'!$F$54*($Z50*4)+'LINEST VARS'!$E$54*($Z50*0.5)+'LINEST VARS'!$D$54*($Z50*12.73)+'LINEST VARS'!$C$54*(4*0.5)+'LINEST VARS'!$B$54*(4*12.73)+'LINEST VARS'!$A$54*(0.5*12.73)</f>
        <v>3.9749999999999996</v>
      </c>
      <c r="AF50" s="51">
        <f>'LINEST VARS'!$U$54+'LINEST VARS'!$T$54*($AF$32)+'LINEST VARS'!$S$54*($Z50)+'LINEST VARS'!$R$54*(4)+'LINEST VARS'!$Q$54*(0.5)+'LINEST VARS'!$P$54*(12.73)+'LINEST VARS'!$O$54*($AF$32^2)+'LINEST VARS'!$N$54*($Z50^2)+'LINEST VARS'!$M$54*(4^2)+'LINEST VARS'!$L$54*(0.5^2)+'LINEST VARS'!$K$54*(12.73^2)+'LINEST VARS'!$J$54*($AF$32*$Z50)+'LINEST VARS'!$I$54*($AF$32*4)+'LINEST VARS'!$H$54*($AF$32*0.5)+'LINEST VARS'!$G$54*($AF$32*12.73)+'LINEST VARS'!$F$54*($Z50*4)+'LINEST VARS'!$E$54*($Z50*0.5)+'LINEST VARS'!$D$54*($Z50*12.73)+'LINEST VARS'!$C$54*(4*0.5)+'LINEST VARS'!$B$54*(4*12.73)+'LINEST VARS'!$A$54*(0.5*12.73)</f>
        <v>3.9749999999999996</v>
      </c>
      <c r="AG50" s="51">
        <f>'LINEST VARS'!$U$54+'LINEST VARS'!$T$54*($AG$32)+'LINEST VARS'!$S$54*($Z50)+'LINEST VARS'!$R$54*(4)+'LINEST VARS'!$Q$54*(0.5)+'LINEST VARS'!$P$54*(12.73)+'LINEST VARS'!$O$54*($AG$32^2)+'LINEST VARS'!$N$54*($Z50^2)+'LINEST VARS'!$M$54*(4^2)+'LINEST VARS'!$L$54*(0.5^2)+'LINEST VARS'!$K$54*(12.73^2)+'LINEST VARS'!$J$54*($AG$32*$Z50)+'LINEST VARS'!$I$54*($AG$32*4)+'LINEST VARS'!$H$54*($AG$32*0.5)+'LINEST VARS'!$G$54*($AG$32*12.73)+'LINEST VARS'!$F$54*($Z50*4)+'LINEST VARS'!$E$54*($Z50*0.5)+'LINEST VARS'!$D$54*($Z50*12.73)+'LINEST VARS'!$C$54*(4*0.5)+'LINEST VARS'!$B$54*(4*12.73)+'LINEST VARS'!$A$54*(0.5*12.73)</f>
        <v>3.9749999999999996</v>
      </c>
      <c r="AH50" s="51">
        <f>'LINEST VARS'!$U$54+'LINEST VARS'!$T$54*($AH$32)+'LINEST VARS'!$S$54*($Z50)+'LINEST VARS'!$R$54*(4)+'LINEST VARS'!$Q$54*(0.5)+'LINEST VARS'!$P$54*(12.73)+'LINEST VARS'!$O$54*($AH$32^2)+'LINEST VARS'!$N$54*($Z50^2)+'LINEST VARS'!$M$54*(4^2)+'LINEST VARS'!$L$54*(0.5^2)+'LINEST VARS'!$K$54*(12.73^2)+'LINEST VARS'!$J$54*($AH$32*$Z50)+'LINEST VARS'!$I$54*($AH$32*4)+'LINEST VARS'!$H$54*($AH$32*0.5)+'LINEST VARS'!$G$54*($AH$32*12.73)+'LINEST VARS'!$F$54*($Z50*4)+'LINEST VARS'!$E$54*($Z50*0.5)+'LINEST VARS'!$D$54*($Z50*12.73)+'LINEST VARS'!$C$54*(4*0.5)+'LINEST VARS'!$B$54*(4*12.73)+'LINEST VARS'!$A$54*(0.5*12.73)</f>
        <v>3.9749999999999996</v>
      </c>
      <c r="AI50" s="51">
        <f>'LINEST VARS'!$U$54+'LINEST VARS'!$T$54*($AI$32)+'LINEST VARS'!$S$54*($Z50)+'LINEST VARS'!$R$54*(4)+'LINEST VARS'!$Q$54*(0.5)+'LINEST VARS'!$P$54*(12.73)+'LINEST VARS'!$O$54*($AI$32^2)+'LINEST VARS'!$N$54*($Z50^2)+'LINEST VARS'!$M$54*(4^2)+'LINEST VARS'!$L$54*(0.5^2)+'LINEST VARS'!$K$54*(12.73^2)+'LINEST VARS'!$J$54*($AI$32*$Z50)+'LINEST VARS'!$I$54*($AI$32*4)+'LINEST VARS'!$H$54*($AI$32*0.5)+'LINEST VARS'!$G$54*($AI$32*12.73)+'LINEST VARS'!$F$54*($Z50*4)+'LINEST VARS'!$E$54*($Z50*0.5)+'LINEST VARS'!$D$54*($Z50*12.73)+'LINEST VARS'!$C$54*(4*0.5)+'LINEST VARS'!$B$54*(4*12.73)+'LINEST VARS'!$A$54*(0.5*12.73)</f>
        <v>3.9749999999999996</v>
      </c>
      <c r="AJ50" s="51">
        <f>'LINEST VARS'!$U$54+'LINEST VARS'!$T$54*($AJ$32)+'LINEST VARS'!$S$54*($Z50)+'LINEST VARS'!$R$54*(4)+'LINEST VARS'!$Q$54*(0.5)+'LINEST VARS'!$P$54*(12.73)+'LINEST VARS'!$O$54*($AJ$32^2)+'LINEST VARS'!$N$54*($Z50^2)+'LINEST VARS'!$M$54*(4^2)+'LINEST VARS'!$L$54*(0.5^2)+'LINEST VARS'!$K$54*(12.73^2)+'LINEST VARS'!$J$54*($AJ$32*$Z50)+'LINEST VARS'!$I$54*($AJ$32*4)+'LINEST VARS'!$H$54*($AJ$32*0.5)+'LINEST VARS'!$G$54*($AJ$32*12.73)+'LINEST VARS'!$F$54*($Z50*4)+'LINEST VARS'!$E$54*($Z50*0.5)+'LINEST VARS'!$D$54*($Z50*12.73)+'LINEST VARS'!$C$54*(4*0.5)+'LINEST VARS'!$B$54*(4*12.73)+'LINEST VARS'!$A$54*(0.5*12.73)</f>
        <v>3.9749999999999996</v>
      </c>
      <c r="AK50" s="51">
        <f>'LINEST VARS'!$U$54+'LINEST VARS'!$T$54*($AK$32)+'LINEST VARS'!$S$54*($Z50)+'LINEST VARS'!$R$54*(4)+'LINEST VARS'!$Q$54*(0.5)+'LINEST VARS'!$P$54*(12.73)+'LINEST VARS'!$O$54*($AK$32^2)+'LINEST VARS'!$N$54*($Z50^2)+'LINEST VARS'!$M$54*(4^2)+'LINEST VARS'!$L$54*(0.5^2)+'LINEST VARS'!$K$54*(12.73^2)+'LINEST VARS'!$J$54*($AK$32*$Z50)+'LINEST VARS'!$I$54*($AK$32*4)+'LINEST VARS'!$H$54*($AK$32*0.5)+'LINEST VARS'!$G$54*($AK$32*12.73)+'LINEST VARS'!$F$54*($Z50*4)+'LINEST VARS'!$E$54*($Z50*0.5)+'LINEST VARS'!$D$54*($Z50*12.73)+'LINEST VARS'!$C$54*(4*0.5)+'LINEST VARS'!$B$54*(4*12.73)+'LINEST VARS'!$A$54*(0.5*12.73)</f>
        <v>3.9749999999999996</v>
      </c>
      <c r="AL50" s="51">
        <f>'LINEST VARS'!$U$54+'LINEST VARS'!$T$54*($AL$32)+'LINEST VARS'!$S$54*($Z50)+'LINEST VARS'!$R$54*(4)+'LINEST VARS'!$Q$54*(0.5)+'LINEST VARS'!$P$54*(12.73)+'LINEST VARS'!$O$54*($AL$32^2)+'LINEST VARS'!$N$54*($Z50^2)+'LINEST VARS'!$M$54*(4^2)+'LINEST VARS'!$L$54*(0.5^2)+'LINEST VARS'!$K$54*(12.73^2)+'LINEST VARS'!$J$54*($AL$32*$Z50)+'LINEST VARS'!$I$54*($AL$32*4)+'LINEST VARS'!$H$54*($AL$32*0.5)+'LINEST VARS'!$G$54*($AL$32*12.73)+'LINEST VARS'!$F$54*($Z50*4)+'LINEST VARS'!$E$54*($Z50*0.5)+'LINEST VARS'!$D$54*($Z50*12.73)+'LINEST VARS'!$C$54*(4*0.5)+'LINEST VARS'!$B$54*(4*12.73)+'LINEST VARS'!$A$54*(0.5*12.73)</f>
        <v>3.9749999999999996</v>
      </c>
      <c r="AM50" s="51">
        <f>'LINEST VARS'!$U$54+'LINEST VARS'!$T$54*($AM$32)+'LINEST VARS'!$S$54*($Z50)+'LINEST VARS'!$R$54*(4)+'LINEST VARS'!$Q$54*(0.5)+'LINEST VARS'!$P$54*(12.73)+'LINEST VARS'!$O$54*($AM$32^2)+'LINEST VARS'!$N$54*($Z50^2)+'LINEST VARS'!$M$54*(4^2)+'LINEST VARS'!$L$54*(0.5^2)+'LINEST VARS'!$K$54*(12.73^2)+'LINEST VARS'!$J$54*($AM$32*$Z50)+'LINEST VARS'!$I$54*($AM$32*4)+'LINEST VARS'!$H$54*($AM$32*0.5)+'LINEST VARS'!$G$54*($AM$32*12.73)+'LINEST VARS'!$F$54*($Z50*4)+'LINEST VARS'!$E$54*($Z50*0.5)+'LINEST VARS'!$D$54*($Z50*12.73)+'LINEST VARS'!$C$54*(4*0.5)+'LINEST VARS'!$B$54*(4*12.73)+'LINEST VARS'!$A$54*(0.5*12.73)</f>
        <v>3.9749999999999996</v>
      </c>
      <c r="AN50" s="51">
        <f>'LINEST VARS'!$U$54+'LINEST VARS'!$T$54*($AN$32)+'LINEST VARS'!$S$54*($Z50)+'LINEST VARS'!$R$54*(4)+'LINEST VARS'!$Q$54*(0.5)+'LINEST VARS'!$P$54*(12.73)+'LINEST VARS'!$O$54*($AN$32^2)+'LINEST VARS'!$N$54*($Z50^2)+'LINEST VARS'!$M$54*(4^2)+'LINEST VARS'!$L$54*(0.5^2)+'LINEST VARS'!$K$54*(12.73^2)+'LINEST VARS'!$J$54*($AN$32*$Z50)+'LINEST VARS'!$I$54*($AN$32*4)+'LINEST VARS'!$H$54*($AN$32*0.5)+'LINEST VARS'!$G$54*($AN$32*12.73)+'LINEST VARS'!$F$54*($Z50*4)+'LINEST VARS'!$E$54*($Z50*0.5)+'LINEST VARS'!$D$54*($Z50*12.73)+'LINEST VARS'!$C$54*(4*0.5)+'LINEST VARS'!$B$54*(4*12.73)+'LINEST VARS'!$A$54*(0.5*12.73)</f>
        <v>3.9749999999999996</v>
      </c>
      <c r="AO50" s="51">
        <f>'LINEST VARS'!$U$54+'LINEST VARS'!$T$54*($AO$32)+'LINEST VARS'!$S$54*($Z50)+'LINEST VARS'!$R$54*(4)+'LINEST VARS'!$Q$54*(0.5)+'LINEST VARS'!$P$54*(12.73)+'LINEST VARS'!$O$54*($AO$32^2)+'LINEST VARS'!$N$54*($Z50^2)+'LINEST VARS'!$M$54*(4^2)+'LINEST VARS'!$L$54*(0.5^2)+'LINEST VARS'!$K$54*(12.73^2)+'LINEST VARS'!$J$54*($AO$32*$Z50)+'LINEST VARS'!$I$54*($AO$32*4)+'LINEST VARS'!$H$54*($AO$32*0.5)+'LINEST VARS'!$G$54*($AO$32*12.73)+'LINEST VARS'!$F$54*($Z50*4)+'LINEST VARS'!$E$54*($Z50*0.5)+'LINEST VARS'!$D$54*($Z50*12.73)+'LINEST VARS'!$C$54*(4*0.5)+'LINEST VARS'!$B$54*(4*12.73)+'LINEST VARS'!$A$54*(0.5*12.73)</f>
        <v>3.9749999999999996</v>
      </c>
      <c r="AP50" s="51">
        <f>'LINEST VARS'!$U$54+'LINEST VARS'!$T$54*($AP$32)+'LINEST VARS'!$S$54*($Z50)+'LINEST VARS'!$R$54*(4)+'LINEST VARS'!$Q$54*(0.5)+'LINEST VARS'!$P$54*(12.73)+'LINEST VARS'!$O$54*($AP$32^2)+'LINEST VARS'!$N$54*($Z50^2)+'LINEST VARS'!$M$54*(4^2)+'LINEST VARS'!$L$54*(0.5^2)+'LINEST VARS'!$K$54*(12.73^2)+'LINEST VARS'!$J$54*($AP$32*$Z50)+'LINEST VARS'!$I$54*($AP$32*4)+'LINEST VARS'!$H$54*($AP$32*0.5)+'LINEST VARS'!$G$54*($AP$32*12.73)+'LINEST VARS'!$F$54*($Z50*4)+'LINEST VARS'!$E$54*($Z50*0.5)+'LINEST VARS'!$D$54*($Z50*12.73)+'LINEST VARS'!$C$54*(4*0.5)+'LINEST VARS'!$B$54*(4*12.73)+'LINEST VARS'!$A$54*(0.5*12.73)</f>
        <v>3.9749999999999996</v>
      </c>
      <c r="AQ50" s="51">
        <f>'LINEST VARS'!$U$54+'LINEST VARS'!$T$54*($AQ$32)+'LINEST VARS'!$S$54*($Z50)+'LINEST VARS'!$R$54*(4)+'LINEST VARS'!$Q$54*(0.5)+'LINEST VARS'!$P$54*(12.73)+'LINEST VARS'!$O$54*($AQ$32^2)+'LINEST VARS'!$N$54*($Z50^2)+'LINEST VARS'!$M$54*(4^2)+'LINEST VARS'!$L$54*(0.5^2)+'LINEST VARS'!$K$54*(12.73^2)+'LINEST VARS'!$J$54*($AQ$32*$Z50)+'LINEST VARS'!$I$54*($AQ$32*4)+'LINEST VARS'!$H$54*($AQ$32*0.5)+'LINEST VARS'!$G$54*($AQ$32*12.73)+'LINEST VARS'!$F$54*($Z50*4)+'LINEST VARS'!$E$54*($Z50*0.5)+'LINEST VARS'!$D$54*($Z50*12.73)+'LINEST VARS'!$C$54*(4*0.5)+'LINEST VARS'!$B$54*(4*12.73)+'LINEST VARS'!$A$54*(0.5*12.73)</f>
        <v>3.9749999999999996</v>
      </c>
      <c r="AR50" s="51">
        <f>'LINEST VARS'!$U$54+'LINEST VARS'!$T$54*($AR$32)+'LINEST VARS'!$S$54*($Z50)+'LINEST VARS'!$R$54*(4)+'LINEST VARS'!$Q$54*(0.5)+'LINEST VARS'!$P$54*(12.73)+'LINEST VARS'!$O$54*($AR$32^2)+'LINEST VARS'!$N$54*($Z50^2)+'LINEST VARS'!$M$54*(4^2)+'LINEST VARS'!$L$54*(0.5^2)+'LINEST VARS'!$K$54*(12.73^2)+'LINEST VARS'!$J$54*($AR$32*$Z50)+'LINEST VARS'!$I$54*($AR$32*4)+'LINEST VARS'!$H$54*($AR$32*0.5)+'LINEST VARS'!$G$54*($AR$32*12.73)+'LINEST VARS'!$F$54*($Z50*4)+'LINEST VARS'!$E$54*($Z50*0.5)+'LINEST VARS'!$D$54*($Z50*12.73)+'LINEST VARS'!$C$54*(4*0.5)+'LINEST VARS'!$B$54*(4*12.73)+'LINEST VARS'!$A$54*(0.5*12.73)</f>
        <v>3.9749999999999996</v>
      </c>
      <c r="AS50" s="51">
        <f>'LINEST VARS'!$U$54+'LINEST VARS'!$T$54*($AS$32)+'LINEST VARS'!$S$54*($Z50)+'LINEST VARS'!$R$54*(4)+'LINEST VARS'!$Q$54*(0.5)+'LINEST VARS'!$P$54*(12.73)+'LINEST VARS'!$O$54*($AS$32^2)+'LINEST VARS'!$N$54*($Z50^2)+'LINEST VARS'!$M$54*(4^2)+'LINEST VARS'!$L$54*(0.5^2)+'LINEST VARS'!$K$54*(12.73^2)+'LINEST VARS'!$J$54*($AS$32*$Z50)+'LINEST VARS'!$I$54*($AS$32*4)+'LINEST VARS'!$H$54*($AS$32*0.5)+'LINEST VARS'!$G$54*($AS$32*12.73)+'LINEST VARS'!$F$54*($Z50*4)+'LINEST VARS'!$E$54*($Z50*0.5)+'LINEST VARS'!$D$54*($Z50*12.73)+'LINEST VARS'!$C$54*(4*0.5)+'LINEST VARS'!$B$54*(4*12.73)+'LINEST VARS'!$A$54*(0.5*12.73)</f>
        <v>3.9749999999999996</v>
      </c>
      <c r="AT50" s="51">
        <f>'LINEST VARS'!$U$54+'LINEST VARS'!$T$54*($AT$32)+'LINEST VARS'!$S$54*($Z50)+'LINEST VARS'!$R$54*(4)+'LINEST VARS'!$Q$54*(0.5)+'LINEST VARS'!$P$54*(12.73)+'LINEST VARS'!$O$54*($AT$32^2)+'LINEST VARS'!$N$54*($Z50^2)+'LINEST VARS'!$M$54*(4^2)+'LINEST VARS'!$L$54*(0.5^2)+'LINEST VARS'!$K$54*(12.73^2)+'LINEST VARS'!$J$54*($AT$32*$Z50)+'LINEST VARS'!$I$54*($AT$32*4)+'LINEST VARS'!$H$54*($AT$32*0.5)+'LINEST VARS'!$G$54*($AT$32*12.73)+'LINEST VARS'!$F$54*($Z50*4)+'LINEST VARS'!$E$54*($Z50*0.5)+'LINEST VARS'!$D$54*($Z50*12.73)+'LINEST VARS'!$C$54*(4*0.5)+'LINEST VARS'!$B$54*(4*12.73)+'LINEST VARS'!$A$54*(0.5*12.73)</f>
        <v>3.9750000000000001</v>
      </c>
      <c r="AU50" s="52">
        <f>'LINEST VARS'!$U$54+'LINEST VARS'!$T$54*($AU$32)+'LINEST VARS'!$S$54*($Z50)+'LINEST VARS'!$R$54*(4)+'LINEST VARS'!$Q$54*(0.5)+'LINEST VARS'!$P$54*(12.73)+'LINEST VARS'!$O$54*($AU$32^2)+'LINEST VARS'!$N$54*($Z50^2)+'LINEST VARS'!$M$54*(4^2)+'LINEST VARS'!$L$54*(0.5^2)+'LINEST VARS'!$K$54*(12.73^2)+'LINEST VARS'!$J$54*($AU$32*$Z50)+'LINEST VARS'!$I$54*($AU$32*4)+'LINEST VARS'!$H$54*($AU$32*0.5)+'LINEST VARS'!$G$54*($AU$32*12.73)+'LINEST VARS'!$F$54*($Z50*4)+'LINEST VARS'!$E$54*($Z50*0.5)+'LINEST VARS'!$D$54*($Z50*12.73)+'LINEST VARS'!$C$54*(4*0.5)+'LINEST VARS'!$B$54*(4*12.73)+'LINEST VARS'!$A$54*(0.5*12.73)</f>
        <v>3.9750000000000001</v>
      </c>
      <c r="AZ50" s="45">
        <v>0.85</v>
      </c>
      <c r="BA50" s="51">
        <f>'LINEST VARS'!$U$52+'LINEST VARS'!$T$52*(8)+'LINEST VARS'!$S$52*(8)+'LINEST VARS'!$R$52*($BA$32)+'LINEST VARS'!$Q$52*($AZ50)+'LINEST VARS'!$P$52*(12.73)+'LINEST VARS'!$O$52*(8^2)+'LINEST VARS'!$N$52*(8^2)+'LINEST VARS'!$M$52*($BA$32^2)+'LINEST VARS'!$L$52*($AZ50^2)+'LINEST VARS'!$K$52*(12.73^2)+'LINEST VARS'!$J$52*(8*8)+'LINEST VARS'!$I$52*(8*$BA$32)+'LINEST VARS'!$H$52*(8*$AZ50)+'LINEST VARS'!$G$52*(8*12.73)+'LINEST VARS'!$F$52*(8*$BA$32)+'LINEST VARS'!$E$52*(8*$AZ50)+'LINEST VARS'!$D$52*(8*12.73)+'LINEST VARS'!$C$52*($BA$32*$AZ50)+'LINEST VARS'!$B$52*($BA$32*12.73)+'LINEST VARS'!$A$52*($AZ50*12.73)</f>
        <v>4.4149999999999983</v>
      </c>
      <c r="BB50" s="51">
        <f>'LINEST VARS'!$U$52+'LINEST VARS'!$T$52*(8)+'LINEST VARS'!$S$52*(8)+'LINEST VARS'!$R$52*($BB$32)+'LINEST VARS'!$Q$52*($AZ50)+'LINEST VARS'!$P$52*(12.73)+'LINEST VARS'!$O$52*(8^2)+'LINEST VARS'!$N$52*(8^2)+'LINEST VARS'!$M$52*($BB$32^2)+'LINEST VARS'!$L$52*($AZ50^2)+'LINEST VARS'!$K$52*(12.73^2)+'LINEST VARS'!$J$52*(8*8)+'LINEST VARS'!$I$52*(8*$BB$32)+'LINEST VARS'!$H$52*(8*$AZ50)+'LINEST VARS'!$G$52*(8*12.73)+'LINEST VARS'!$F$52*(8*$BB$32)+'LINEST VARS'!$E$52*(8*$AZ50)+'LINEST VARS'!$D$52*(8*12.73)+'LINEST VARS'!$C$52*($BB$32*$AZ50)+'LINEST VARS'!$B$52*($BB$32*12.73)+'LINEST VARS'!$A$52*($AZ50*12.73)</f>
        <v>4.4149999999999983</v>
      </c>
      <c r="BC50" s="51">
        <f>'LINEST VARS'!$U$52+'LINEST VARS'!$T$52*(8)+'LINEST VARS'!$S$52*(8)+'LINEST VARS'!$R$52*($BC$32)+'LINEST VARS'!$Q$52*($AZ50)+'LINEST VARS'!$P$52*(12.73)+'LINEST VARS'!$O$52*(8^2)+'LINEST VARS'!$N$52*(8^2)+'LINEST VARS'!$M$52*($BC$32^2)+'LINEST VARS'!$L$52*($AZ50^2)+'LINEST VARS'!$K$52*(12.73^2)+'LINEST VARS'!$J$52*(8*8)+'LINEST VARS'!$I$52*(8*$BC$32)+'LINEST VARS'!$H$52*(8*$AZ50)+'LINEST VARS'!$G$52*(8*12.73)+'LINEST VARS'!$F$52*(8*$BC$32)+'LINEST VARS'!$E$52*(8*$AZ50)+'LINEST VARS'!$D$52*(8*12.73)+'LINEST VARS'!$C$52*($BC$32*$AZ50)+'LINEST VARS'!$B$52*($BC$32*12.73)+'LINEST VARS'!$A$52*($AZ50*12.73)</f>
        <v>4.4149999999999983</v>
      </c>
      <c r="BD50" s="51">
        <f>'LINEST VARS'!$U$52+'LINEST VARS'!$T$52*(8)+'LINEST VARS'!$S$52*(8)+'LINEST VARS'!$R$52*($BD$32)+'LINEST VARS'!$Q$52*($AZ50)+'LINEST VARS'!$P$52*(12.73)+'LINEST VARS'!$O$52*(8^2)+'LINEST VARS'!$N$52*(8^2)+'LINEST VARS'!$M$52*($BD$32^2)+'LINEST VARS'!$L$52*($AZ50^2)+'LINEST VARS'!$K$52*(12.73^2)+'LINEST VARS'!$J$52*(8*8)+'LINEST VARS'!$I$52*(8*$BD$32)+'LINEST VARS'!$H$52*(8*$AZ50)+'LINEST VARS'!$G$52*(8*12.73)+'LINEST VARS'!$F$52*(8*$BD$32)+'LINEST VARS'!$E$52*(8*$AZ50)+'LINEST VARS'!$D$52*(8*12.73)+'LINEST VARS'!$C$52*($BD$32*$AZ50)+'LINEST VARS'!$B$52*($BD$32*12.73)+'LINEST VARS'!$A$52*($AZ50*12.73)</f>
        <v>4.4149999999999983</v>
      </c>
      <c r="BE50" s="51">
        <f>'LINEST VARS'!$U$52+'LINEST VARS'!$T$52*(8)+'LINEST VARS'!$S$52*(8)+'LINEST VARS'!$R$52*($BE$32)+'LINEST VARS'!$Q$52*($AZ50)+'LINEST VARS'!$P$52*(12.73)+'LINEST VARS'!$O$52*(8^2)+'LINEST VARS'!$N$52*(8^2)+'LINEST VARS'!$M$52*($BE$32^2)+'LINEST VARS'!$L$52*($AZ50^2)+'LINEST VARS'!$K$52*(12.73^2)+'LINEST VARS'!$J$52*(8*8)+'LINEST VARS'!$I$52*(8*$BE$32)+'LINEST VARS'!$H$52*(8*$AZ50)+'LINEST VARS'!$G$52*(8*12.73)+'LINEST VARS'!$F$52*(8*$BE$32)+'LINEST VARS'!$E$52*(8*$AZ50)+'LINEST VARS'!$D$52*(8*12.73)+'LINEST VARS'!$C$52*($BE$32*$AZ50)+'LINEST VARS'!$B$52*($BE$32*12.73)+'LINEST VARS'!$A$52*($AZ50*12.73)</f>
        <v>4.4149999999999983</v>
      </c>
      <c r="BF50" s="51">
        <f>'LINEST VARS'!$U$52+'LINEST VARS'!$T$52*(8)+'LINEST VARS'!$S$52*(8)+'LINEST VARS'!$R$52*($BF$32)+'LINEST VARS'!$Q$52*($AZ50)+'LINEST VARS'!$P$52*(12.73)+'LINEST VARS'!$O$52*(8^2)+'LINEST VARS'!$N$52*(8^2)+'LINEST VARS'!$M$52*($BF$32^2)+'LINEST VARS'!$L$52*($AZ50^2)+'LINEST VARS'!$K$52*(12.73^2)+'LINEST VARS'!$J$52*(8*8)+'LINEST VARS'!$I$52*(8*$BF$32)+'LINEST VARS'!$H$52*(8*$AZ50)+'LINEST VARS'!$G$52*(8*12.73)+'LINEST VARS'!$F$52*(8*$BF$32)+'LINEST VARS'!$E$52*(8*$AZ50)+'LINEST VARS'!$D$52*(8*12.73)+'LINEST VARS'!$C$52*($BF$32*$AZ50)+'LINEST VARS'!$B$52*($BF$32*12.73)+'LINEST VARS'!$A$52*($AZ50*12.73)</f>
        <v>4.4149999999999983</v>
      </c>
      <c r="BG50" s="51">
        <f>'LINEST VARS'!$U$52+'LINEST VARS'!$T$52*(8)+'LINEST VARS'!$S$52*(8)+'LINEST VARS'!$R$52*($BG$32)+'LINEST VARS'!$Q$52*($AZ50)+'LINEST VARS'!$P$52*(12.73)+'LINEST VARS'!$O$52*(8^2)+'LINEST VARS'!$N$52*(8^2)+'LINEST VARS'!$M$52*($BG$32^2)+'LINEST VARS'!$L$52*($AZ50^2)+'LINEST VARS'!$K$52*(12.73^2)+'LINEST VARS'!$J$52*(8*8)+'LINEST VARS'!$I$52*(8*$BG$32)+'LINEST VARS'!$H$52*(8*$AZ50)+'LINEST VARS'!$G$52*(8*12.73)+'LINEST VARS'!$F$52*(8*$BG$32)+'LINEST VARS'!$E$52*(8*$AZ50)+'LINEST VARS'!$D$52*(8*12.73)+'LINEST VARS'!$C$52*($BG$32*$AZ50)+'LINEST VARS'!$B$52*($BG$32*12.73)+'LINEST VARS'!$A$52*($AZ50*12.73)</f>
        <v>4.4149999999999983</v>
      </c>
      <c r="BH50" s="51">
        <f>'LINEST VARS'!$U$52+'LINEST VARS'!$T$52*(8)+'LINEST VARS'!$S$52*(8)+'LINEST VARS'!$R$52*($BH$32)+'LINEST VARS'!$Q$52*($AZ50)+'LINEST VARS'!$P$52*(12.73)+'LINEST VARS'!$O$52*(8^2)+'LINEST VARS'!$N$52*(8^2)+'LINEST VARS'!$M$52*($BH$32^2)+'LINEST VARS'!$L$52*($AZ50^2)+'LINEST VARS'!$K$52*(12.73^2)+'LINEST VARS'!$J$52*(8*8)+'LINEST VARS'!$I$52*(8*$BH$32)+'LINEST VARS'!$H$52*(8*$AZ50)+'LINEST VARS'!$G$52*(8*12.73)+'LINEST VARS'!$F$52*(8*$BH$32)+'LINEST VARS'!$E$52*(8*$AZ50)+'LINEST VARS'!$D$52*(8*12.73)+'LINEST VARS'!$C$52*($BH$32*$AZ50)+'LINEST VARS'!$B$52*($BH$32*12.73)+'LINEST VARS'!$A$52*($AZ50*12.73)</f>
        <v>4.4149999999999983</v>
      </c>
      <c r="BI50" s="51">
        <f>'LINEST VARS'!$U$52+'LINEST VARS'!$T$52*(8)+'LINEST VARS'!$S$52*(8)+'LINEST VARS'!$R$52*($BI$32)+'LINEST VARS'!$Q$52*($AZ50)+'LINEST VARS'!$P$52*(12.73)+'LINEST VARS'!$O$52*(8^2)+'LINEST VARS'!$N$52*(8^2)+'LINEST VARS'!$M$52*($BI$32^2)+'LINEST VARS'!$L$52*($AZ50^2)+'LINEST VARS'!$K$52*(12.73^2)+'LINEST VARS'!$J$52*(8*8)+'LINEST VARS'!$I$52*(8*$BI$32)+'LINEST VARS'!$H$52*(8*$AZ50)+'LINEST VARS'!$G$52*(8*12.73)+'LINEST VARS'!$F$52*(8*$BI$32)+'LINEST VARS'!$E$52*(8*$AZ50)+'LINEST VARS'!$D$52*(8*12.73)+'LINEST VARS'!$C$52*($BI$32*$AZ50)+'LINEST VARS'!$B$52*($BI$32*12.73)+'LINEST VARS'!$A$52*($AZ50*12.73)</f>
        <v>4.4149999999999983</v>
      </c>
      <c r="BJ50" s="51">
        <f>'LINEST VARS'!$U$52+'LINEST VARS'!$T$52*(8)+'LINEST VARS'!$S$52*(8)+'LINEST VARS'!$R$52*($BJ$32)+'LINEST VARS'!$Q$52*($AZ50)+'LINEST VARS'!$P$52*(12.73)+'LINEST VARS'!$O$52*(8^2)+'LINEST VARS'!$N$52*(8^2)+'LINEST VARS'!$M$52*($BJ$32^2)+'LINEST VARS'!$L$52*($AZ50^2)+'LINEST VARS'!$K$52*(12.73^2)+'LINEST VARS'!$J$52*(8*8)+'LINEST VARS'!$I$52*(8*$BJ$32)+'LINEST VARS'!$H$52*(8*$AZ50)+'LINEST VARS'!$G$52*(8*12.73)+'LINEST VARS'!$F$52*(8*$BJ$32)+'LINEST VARS'!$E$52*(8*$AZ50)+'LINEST VARS'!$D$52*(8*12.73)+'LINEST VARS'!$C$52*($BJ$32*$AZ50)+'LINEST VARS'!$B$52*($BJ$32*12.73)+'LINEST VARS'!$A$52*($AZ50*12.73)</f>
        <v>4.4149999999999983</v>
      </c>
      <c r="BK50" s="51">
        <f>'LINEST VARS'!$U$52+'LINEST VARS'!$T$52*(8)+'LINEST VARS'!$S$52*(8)+'LINEST VARS'!$R$52*($BK$32)+'LINEST VARS'!$Q$52*($AZ50)+'LINEST VARS'!$P$52*(12.73)+'LINEST VARS'!$O$52*(8^2)+'LINEST VARS'!$N$52*(8^2)+'LINEST VARS'!$M$52*($BK$32^2)+'LINEST VARS'!$L$52*($AZ50^2)+'LINEST VARS'!$K$52*(12.73^2)+'LINEST VARS'!$J$52*(8*8)+'LINEST VARS'!$I$52*(8*$BK$32)+'LINEST VARS'!$H$52*(8*$AZ50)+'LINEST VARS'!$G$52*(8*12.73)+'LINEST VARS'!$F$52*(8*$BK$32)+'LINEST VARS'!$E$52*(8*$AZ50)+'LINEST VARS'!$D$52*(8*12.73)+'LINEST VARS'!$C$52*($BK$32*$AZ50)+'LINEST VARS'!$B$52*($BK$32*12.73)+'LINEST VARS'!$A$52*($AZ50*12.73)</f>
        <v>4.4149999999999983</v>
      </c>
      <c r="BL50" s="51">
        <f>'LINEST VARS'!$U$52+'LINEST VARS'!$T$52*(8)+'LINEST VARS'!$S$52*(8)+'LINEST VARS'!$R$52*($BL$32)+'LINEST VARS'!$Q$52*($AZ50)+'LINEST VARS'!$P$52*(12.73)+'LINEST VARS'!$O$52*(8^2)+'LINEST VARS'!$N$52*(8^2)+'LINEST VARS'!$M$52*($BL$32^2)+'LINEST VARS'!$L$52*($AZ50^2)+'LINEST VARS'!$K$52*(12.73^2)+'LINEST VARS'!$J$52*(8*8)+'LINEST VARS'!$I$52*(8*$BL$32)+'LINEST VARS'!$H$52*(8*$AZ50)+'LINEST VARS'!$G$52*(8*12.73)+'LINEST VARS'!$F$52*(8*$BL$32)+'LINEST VARS'!$E$52*(8*$AZ50)+'LINEST VARS'!$D$52*(8*12.73)+'LINEST VARS'!$C$52*($BL$32*$AZ50)+'LINEST VARS'!$B$52*($BL$32*12.73)+'LINEST VARS'!$A$52*($AZ50*12.73)</f>
        <v>4.4149999999999983</v>
      </c>
      <c r="BM50" s="51">
        <f>'LINEST VARS'!$U$52+'LINEST VARS'!$T$52*(8)+'LINEST VARS'!$S$52*(8)+'LINEST VARS'!$R$52*($BM$32)+'LINEST VARS'!$Q$52*($AZ50)+'LINEST VARS'!$P$52*(12.73)+'LINEST VARS'!$O$52*(8^2)+'LINEST VARS'!$N$52*(8^2)+'LINEST VARS'!$M$52*($BM$32^2)+'LINEST VARS'!$L$52*($AZ50^2)+'LINEST VARS'!$K$52*(12.73^2)+'LINEST VARS'!$J$52*(8*8)+'LINEST VARS'!$I$52*(8*$BM$32)+'LINEST VARS'!$H$52*(8*$AZ50)+'LINEST VARS'!$G$52*(8*12.73)+'LINEST VARS'!$F$52*(8*$BM$32)+'LINEST VARS'!$E$52*(8*$AZ50)+'LINEST VARS'!$D$52*(8*12.73)+'LINEST VARS'!$C$52*($BM$32*$AZ50)+'LINEST VARS'!$B$52*($BM$32*12.73)+'LINEST VARS'!$A$52*($AZ50*12.73)</f>
        <v>4.4149999999999983</v>
      </c>
      <c r="BN50" s="51">
        <f>'LINEST VARS'!$U$52+'LINEST VARS'!$T$52*(8)+'LINEST VARS'!$S$52*(8)+'LINEST VARS'!$R$52*($BN$32)+'LINEST VARS'!$Q$52*($AZ50)+'LINEST VARS'!$P$52*(12.73)+'LINEST VARS'!$O$52*(8^2)+'LINEST VARS'!$N$52*(8^2)+'LINEST VARS'!$M$52*($BN$32^2)+'LINEST VARS'!$L$52*($AZ50^2)+'LINEST VARS'!$K$52*(12.73^2)+'LINEST VARS'!$J$52*(8*8)+'LINEST VARS'!$I$52*(8*$BN$32)+'LINEST VARS'!$H$52*(8*$AZ50)+'LINEST VARS'!$G$52*(8*12.73)+'LINEST VARS'!$F$52*(8*$BN$32)+'LINEST VARS'!$E$52*(8*$AZ50)+'LINEST VARS'!$D$52*(8*12.73)+'LINEST VARS'!$C$52*($BN$32*$AZ50)+'LINEST VARS'!$B$52*($BN$32*12.73)+'LINEST VARS'!$A$52*($AZ50*12.73)</f>
        <v>4.4149999999999983</v>
      </c>
      <c r="BO50" s="51">
        <f>'LINEST VARS'!$U$52+'LINEST VARS'!$T$52*(8)+'LINEST VARS'!$S$52*(8)+'LINEST VARS'!$R$52*($BO$32)+'LINEST VARS'!$Q$52*($AZ50)+'LINEST VARS'!$P$52*(12.73)+'LINEST VARS'!$O$52*(8^2)+'LINEST VARS'!$N$52*(8^2)+'LINEST VARS'!$M$52*($BO$32^2)+'LINEST VARS'!$L$52*($AZ50^2)+'LINEST VARS'!$K$52*(12.73^2)+'LINEST VARS'!$J$52*(8*8)+'LINEST VARS'!$I$52*(8*$BO$32)+'LINEST VARS'!$H$52*(8*$AZ50)+'LINEST VARS'!$G$52*(8*12.73)+'LINEST VARS'!$F$52*(8*$BO$32)+'LINEST VARS'!$E$52*(8*$AZ50)+'LINEST VARS'!$D$52*(8*12.73)+'LINEST VARS'!$C$52*($BO$32*$AZ50)+'LINEST VARS'!$B$52*($BO$32*12.73)+'LINEST VARS'!$A$52*($AZ50*12.73)</f>
        <v>4.4149999999999983</v>
      </c>
      <c r="BP50" s="51">
        <f>'LINEST VARS'!$U$52+'LINEST VARS'!$T$52*(8)+'LINEST VARS'!$S$52*(8)+'LINEST VARS'!$R$52*($BP$32)+'LINEST VARS'!$Q$52*($AZ50)+'LINEST VARS'!$P$52*(12.73)+'LINEST VARS'!$O$52*(8^2)+'LINEST VARS'!$N$52*(8^2)+'LINEST VARS'!$M$52*($BP$32^2)+'LINEST VARS'!$L$52*($AZ50^2)+'LINEST VARS'!$K$52*(12.73^2)+'LINEST VARS'!$J$52*(8*8)+'LINEST VARS'!$I$52*(8*$BP$32)+'LINEST VARS'!$H$52*(8*$AZ50)+'LINEST VARS'!$G$52*(8*12.73)+'LINEST VARS'!$F$52*(8*$BP$32)+'LINEST VARS'!$E$52*(8*$AZ50)+'LINEST VARS'!$D$52*(8*12.73)+'LINEST VARS'!$C$52*($BP$32*$AZ50)+'LINEST VARS'!$B$52*($BP$32*12.73)+'LINEST VARS'!$A$52*($AZ50*12.73)</f>
        <v>4.4149999999999983</v>
      </c>
      <c r="BQ50" s="51">
        <f>'LINEST VARS'!$U$52+'LINEST VARS'!$T$52*(8)+'LINEST VARS'!$S$52*(8)+'LINEST VARS'!$R$52*($BQ$32)+'LINEST VARS'!$Q$52*($AZ50)+'LINEST VARS'!$P$52*(12.73)+'LINEST VARS'!$O$52*(8^2)+'LINEST VARS'!$N$52*(8^2)+'LINEST VARS'!$M$52*($BQ$32^2)+'LINEST VARS'!$L$52*($AZ50^2)+'LINEST VARS'!$K$52*(12.73^2)+'LINEST VARS'!$J$52*(8*8)+'LINEST VARS'!$I$52*(8*$BQ$32)+'LINEST VARS'!$H$52*(8*$AZ50)+'LINEST VARS'!$G$52*(8*12.73)+'LINEST VARS'!$F$52*(8*$BQ$32)+'LINEST VARS'!$E$52*(8*$AZ50)+'LINEST VARS'!$D$52*(8*12.73)+'LINEST VARS'!$C$52*($BQ$32*$AZ50)+'LINEST VARS'!$B$52*($BQ$32*12.73)+'LINEST VARS'!$A$52*($AZ50*12.73)</f>
        <v>4.4149999999999983</v>
      </c>
      <c r="BR50" s="51">
        <f>'LINEST VARS'!$U$52+'LINEST VARS'!$T$52*(8)+'LINEST VARS'!$S$52*(8)+'LINEST VARS'!$R$52*($BR$32)+'LINEST VARS'!$Q$52*($AZ50)+'LINEST VARS'!$P$52*(12.73)+'LINEST VARS'!$O$52*(8^2)+'LINEST VARS'!$N$52*(8^2)+'LINEST VARS'!$M$52*($BR$32^2)+'LINEST VARS'!$L$52*($AZ50^2)+'LINEST VARS'!$K$52*(12.73^2)+'LINEST VARS'!$J$52*(8*8)+'LINEST VARS'!$I$52*(8*$BR$32)+'LINEST VARS'!$H$52*(8*$AZ50)+'LINEST VARS'!$G$52*(8*12.73)+'LINEST VARS'!$F$52*(8*$BR$32)+'LINEST VARS'!$E$52*(8*$AZ50)+'LINEST VARS'!$D$52*(8*12.73)+'LINEST VARS'!$C$52*($BR$32*$AZ50)+'LINEST VARS'!$B$52*($BR$32*12.73)+'LINEST VARS'!$A$52*($AZ50*12.73)</f>
        <v>4.4149999999999983</v>
      </c>
      <c r="BS50" s="51">
        <f>'LINEST VARS'!$U$52+'LINEST VARS'!$T$52*(8)+'LINEST VARS'!$S$52*(8)+'LINEST VARS'!$R$52*($BS$32)+'LINEST VARS'!$Q$52*($AZ50)+'LINEST VARS'!$P$52*(12.73)+'LINEST VARS'!$O$52*(8^2)+'LINEST VARS'!$N$52*(8^2)+'LINEST VARS'!$M$52*($BS$32^2)+'LINEST VARS'!$L$52*($AZ50^2)+'LINEST VARS'!$K$52*(12.73^2)+'LINEST VARS'!$J$52*(8*8)+'LINEST VARS'!$I$52*(8*$BS$32)+'LINEST VARS'!$H$52*(8*$AZ50)+'LINEST VARS'!$G$52*(8*12.73)+'LINEST VARS'!$F$52*(8*$BS$32)+'LINEST VARS'!$E$52*(8*$AZ50)+'LINEST VARS'!$D$52*(8*12.73)+'LINEST VARS'!$C$52*($BS$32*$AZ50)+'LINEST VARS'!$B$52*($BS$32*12.73)+'LINEST VARS'!$A$52*($AZ50*12.73)</f>
        <v>4.4149999999999983</v>
      </c>
      <c r="BT50" s="51">
        <f>'LINEST VARS'!$U$52+'LINEST VARS'!$T$52*(8)+'LINEST VARS'!$S$52*(8)+'LINEST VARS'!$R$52*($BT$32)+'LINEST VARS'!$Q$52*($AZ50)+'LINEST VARS'!$P$52*(12.73)+'LINEST VARS'!$O$52*(8^2)+'LINEST VARS'!$N$52*(8^2)+'LINEST VARS'!$M$52*($BT$32^2)+'LINEST VARS'!$L$52*($AZ50^2)+'LINEST VARS'!$K$52*(12.73^2)+'LINEST VARS'!$J$52*(8*8)+'LINEST VARS'!$I$52*(8*$BT$32)+'LINEST VARS'!$H$52*(8*$AZ50)+'LINEST VARS'!$G$52*(8*12.73)+'LINEST VARS'!$F$52*(8*$BT$32)+'LINEST VARS'!$E$52*(8*$AZ50)+'LINEST VARS'!$D$52*(8*12.73)+'LINEST VARS'!$C$52*($BT$32*$AZ50)+'LINEST VARS'!$B$52*($BT$32*12.73)+'LINEST VARS'!$A$52*($AZ50*12.73)</f>
        <v>4.4149999999999983</v>
      </c>
      <c r="BU50" s="52">
        <f>'LINEST VARS'!$U$52+'LINEST VARS'!$T$52*(8)+'LINEST VARS'!$S$52*(8)+'LINEST VARS'!$R$52*($BU$32)+'LINEST VARS'!$Q$52*($AZ50)+'LINEST VARS'!$P$52*(12.73)+'LINEST VARS'!$O$52*(8^2)+'LINEST VARS'!$N$52*(8^2)+'LINEST VARS'!$M$52*($BU$32^2)+'LINEST VARS'!$L$52*($AZ50^2)+'LINEST VARS'!$K$52*(12.73^2)+'LINEST VARS'!$J$52*(8*8)+'LINEST VARS'!$I$52*(8*$BU$32)+'LINEST VARS'!$H$52*(8*$AZ50)+'LINEST VARS'!$G$52*(8*12.73)+'LINEST VARS'!$F$52*(8*$BU$32)+'LINEST VARS'!$E$52*(8*$AZ50)+'LINEST VARS'!$D$52*(8*12.73)+'LINEST VARS'!$C$52*($BU$32*$AZ50)+'LINEST VARS'!$B$52*($BU$32*12.73)+'LINEST VARS'!$A$52*($AZ50*12.73)</f>
        <v>4.4149999999999983</v>
      </c>
      <c r="BX50" s="45">
        <v>0.85</v>
      </c>
      <c r="BY50" s="51">
        <f>'LINEST VARS'!$U$54+'LINEST VARS'!$T$54*(8)+'LINEST VARS'!$S$54*(8)+'LINEST VARS'!$R$54*($BY$32)+'LINEST VARS'!$Q$54*($BX50)+'LINEST VARS'!$P$54*(12.73)+'LINEST VARS'!$O$54*(8^2)+'LINEST VARS'!$N$54*(8^2)+'LINEST VARS'!$M$54*($BY$32^2)+'LINEST VARS'!$L$54*($BX50^2)+'LINEST VARS'!$K$54*(12.73^2)+'LINEST VARS'!$J$54*(8*8)+'LINEST VARS'!$I$54*(8*$BY$32)+'LINEST VARS'!$H$54*(8*$BX50)+'LINEST VARS'!$G$54*(8*12.73)+'LINEST VARS'!$F$54*(8*$BY$32)+'LINEST VARS'!$E$54*(8*$BX50)+'LINEST VARS'!$D$54*(8*12.73)+'LINEST VARS'!$C$54*($BY$32*$BX50)+'LINEST VARS'!$B$54*($BY$32*12.73)+'LINEST VARS'!$A$54*($BX50*12.73)</f>
        <v>3.9574999999999996</v>
      </c>
      <c r="BZ50" s="51">
        <f>'LINEST VARS'!$U$54+'LINEST VARS'!$T$54*(8)+'LINEST VARS'!$S$54*(8)+'LINEST VARS'!$R$54*($BZ$32)+'LINEST VARS'!$Q$54*($BX50)+'LINEST VARS'!$P$54*(12.73)+'LINEST VARS'!$O$54*(8^2)+'LINEST VARS'!$N$54*(8^2)+'LINEST VARS'!$M$54*($BZ$32^2)+'LINEST VARS'!$L$54*($BX50^2)+'LINEST VARS'!$K$54*(12.73^2)+'LINEST VARS'!$J$54*(8*8)+'LINEST VARS'!$I$54*(8*$BZ$32)+'LINEST VARS'!$H$54*(8*$BX50)+'LINEST VARS'!$G$54*(8*12.73)+'LINEST VARS'!$F$54*(8*$BZ$32)+'LINEST VARS'!$E$54*(8*$BX50)+'LINEST VARS'!$D$54*(8*12.73)+'LINEST VARS'!$C$54*($BZ$32*$BX50)+'LINEST VARS'!$B$54*($BZ$32*12.73)+'LINEST VARS'!$A$54*($BX50*12.73)</f>
        <v>3.9574999999999996</v>
      </c>
      <c r="CA50" s="51">
        <f>'LINEST VARS'!$U$54+'LINEST VARS'!$T$54*(8)+'LINEST VARS'!$S$54*(8)+'LINEST VARS'!$R$54*($CA$32)+'LINEST VARS'!$Q$54*($BX50)+'LINEST VARS'!$P$54*(12.73)+'LINEST VARS'!$O$54*(8^2)+'LINEST VARS'!$N$54*(8^2)+'LINEST VARS'!$M$54*($CA$32^2)+'LINEST VARS'!$L$54*($BX50^2)+'LINEST VARS'!$K$54*(12.73^2)+'LINEST VARS'!$J$54*(8*8)+'LINEST VARS'!$I$54*(8*$CA$32)+'LINEST VARS'!$H$54*(8*$BX50)+'LINEST VARS'!$G$54*(8*12.73)+'LINEST VARS'!$F$54*(8*$CA$32)+'LINEST VARS'!$E$54*(8*$BX50)+'LINEST VARS'!$D$54*(8*12.73)+'LINEST VARS'!$C$54*($CA$32*$BX50)+'LINEST VARS'!$B$54*($CA$32*12.73)+'LINEST VARS'!$A$54*($BX50*12.73)</f>
        <v>3.9574999999999996</v>
      </c>
      <c r="CB50" s="51">
        <f>'LINEST VARS'!$U$54+'LINEST VARS'!$T$54*(8)+'LINEST VARS'!$S$54*(8)+'LINEST VARS'!$R$54*($CB$32)+'LINEST VARS'!$Q$54*($BX50)+'LINEST VARS'!$P$54*(12.73)+'LINEST VARS'!$O$54*(8^2)+'LINEST VARS'!$N$54*(8^2)+'LINEST VARS'!$M$54*($CB$32^2)+'LINEST VARS'!$L$54*($BX50^2)+'LINEST VARS'!$K$54*(12.73^2)+'LINEST VARS'!$J$54*(8*8)+'LINEST VARS'!$I$54*(8*$CB$32)+'LINEST VARS'!$H$54*(8*$BX50)+'LINEST VARS'!$G$54*(8*12.73)+'LINEST VARS'!$F$54*(8*$CB$32)+'LINEST VARS'!$E$54*(8*$BX50)+'LINEST VARS'!$D$54*(8*12.73)+'LINEST VARS'!$C$54*($CB$32*$BX50)+'LINEST VARS'!$B$54*($CB$32*12.73)+'LINEST VARS'!$A$54*($BX50*12.73)</f>
        <v>3.9574999999999996</v>
      </c>
      <c r="CC50" s="51">
        <f>'LINEST VARS'!$U$54+'LINEST VARS'!$T$54*(8)+'LINEST VARS'!$S$54*(8)+'LINEST VARS'!$R$54*($CC$32)+'LINEST VARS'!$Q$54*($BX50)+'LINEST VARS'!$P$54*(12.73)+'LINEST VARS'!$O$54*(8^2)+'LINEST VARS'!$N$54*(8^2)+'LINEST VARS'!$M$54*($CC$32^2)+'LINEST VARS'!$L$54*($BX50^2)+'LINEST VARS'!$K$54*(12.73^2)+'LINEST VARS'!$J$54*(8*8)+'LINEST VARS'!$I$54*(8*$CC$32)+'LINEST VARS'!$H$54*(8*$BX50)+'LINEST VARS'!$G$54*(8*12.73)+'LINEST VARS'!$F$54*(8*$CC$32)+'LINEST VARS'!$E$54*(8*$BX50)+'LINEST VARS'!$D$54*(8*12.73)+'LINEST VARS'!$C$54*($CC$32*$BX50)+'LINEST VARS'!$B$54*($CC$32*12.73)+'LINEST VARS'!$A$54*($BX50*12.73)</f>
        <v>3.9574999999999996</v>
      </c>
      <c r="CD50" s="51">
        <f>'LINEST VARS'!$U$54+'LINEST VARS'!$T$54*(8)+'LINEST VARS'!$S$54*(8)+'LINEST VARS'!$R$54*($CD$32)+'LINEST VARS'!$Q$54*($BX50)+'LINEST VARS'!$P$54*(12.73)+'LINEST VARS'!$O$54*(8^2)+'LINEST VARS'!$N$54*(8^2)+'LINEST VARS'!$M$54*($CD$32^2)+'LINEST VARS'!$L$54*($BX50^2)+'LINEST VARS'!$K$54*(12.73^2)+'LINEST VARS'!$J$54*(8*8)+'LINEST VARS'!$I$54*(8*$CD$32)+'LINEST VARS'!$H$54*(8*$BX50)+'LINEST VARS'!$G$54*(8*12.73)+'LINEST VARS'!$F$54*(8*$CD$32)+'LINEST VARS'!$E$54*(8*$BX50)+'LINEST VARS'!$D$54*(8*12.73)+'LINEST VARS'!$C$54*($CD$32*$BX50)+'LINEST VARS'!$B$54*($CD$32*12.73)+'LINEST VARS'!$A$54*($BX50*12.73)</f>
        <v>3.9574999999999996</v>
      </c>
      <c r="CE50" s="51">
        <f>'LINEST VARS'!$U$54+'LINEST VARS'!$T$54*(8)+'LINEST VARS'!$S$54*(8)+'LINEST VARS'!$R$54*($CE$32)+'LINEST VARS'!$Q$54*($BX50)+'LINEST VARS'!$P$54*(12.73)+'LINEST VARS'!$O$54*(8^2)+'LINEST VARS'!$N$54*(8^2)+'LINEST VARS'!$M$54*($CE$32^2)+'LINEST VARS'!$L$54*($BX50^2)+'LINEST VARS'!$K$54*(12.73^2)+'LINEST VARS'!$J$54*(8*8)+'LINEST VARS'!$I$54*(8*$CE$32)+'LINEST VARS'!$H$54*(8*$BX50)+'LINEST VARS'!$G$54*(8*12.73)+'LINEST VARS'!$F$54*(8*$CE$32)+'LINEST VARS'!$E$54*(8*$BX50)+'LINEST VARS'!$D$54*(8*12.73)+'LINEST VARS'!$C$54*($CE$32*$BX50)+'LINEST VARS'!$B$54*($CE$32*12.73)+'LINEST VARS'!$A$54*($BX50*12.73)</f>
        <v>3.9574999999999996</v>
      </c>
      <c r="CF50" s="51">
        <f>'LINEST VARS'!$U$54+'LINEST VARS'!$T$54*(8)+'LINEST VARS'!$S$54*(8)+'LINEST VARS'!$R$54*($CF$32)+'LINEST VARS'!$Q$54*($BX50)+'LINEST VARS'!$P$54*(12.73)+'LINEST VARS'!$O$54*(8^2)+'LINEST VARS'!$N$54*(8^2)+'LINEST VARS'!$M$54*($CF$32^2)+'LINEST VARS'!$L$54*($BX50^2)+'LINEST VARS'!$K$54*(12.73^2)+'LINEST VARS'!$J$54*(8*8)+'LINEST VARS'!$I$54*(8*$CF$32)+'LINEST VARS'!$H$54*(8*$BX50)+'LINEST VARS'!$G$54*(8*12.73)+'LINEST VARS'!$F$54*(8*$CF$32)+'LINEST VARS'!$E$54*(8*$BX50)+'LINEST VARS'!$D$54*(8*12.73)+'LINEST VARS'!$C$54*($CF$32*$BX50)+'LINEST VARS'!$B$54*($CF$32*12.73)+'LINEST VARS'!$A$54*($BX50*12.73)</f>
        <v>3.9574999999999996</v>
      </c>
      <c r="CG50" s="51">
        <f>'LINEST VARS'!$U$54+'LINEST VARS'!$T$54*(8)+'LINEST VARS'!$S$54*(8)+'LINEST VARS'!$R$54*($CG$32)+'LINEST VARS'!$Q$54*($BX50)+'LINEST VARS'!$P$54*(12.73)+'LINEST VARS'!$O$54*(8^2)+'LINEST VARS'!$N$54*(8^2)+'LINEST VARS'!$M$54*($CG$32^2)+'LINEST VARS'!$L$54*($BX50^2)+'LINEST VARS'!$K$54*(12.73^2)+'LINEST VARS'!$J$54*(8*8)+'LINEST VARS'!$I$54*(8*$CG$32)+'LINEST VARS'!$H$54*(8*$BX50)+'LINEST VARS'!$G$54*(8*12.73)+'LINEST VARS'!$F$54*(8*$CG$32)+'LINEST VARS'!$E$54*(8*$BX50)+'LINEST VARS'!$D$54*(8*12.73)+'LINEST VARS'!$C$54*($CG$32*$BX50)+'LINEST VARS'!$B$54*($CG$32*12.73)+'LINEST VARS'!$A$54*($BX50*12.73)</f>
        <v>3.9574999999999996</v>
      </c>
      <c r="CH50" s="51">
        <f>'LINEST VARS'!$U$54+'LINEST VARS'!$T$54*(8)+'LINEST VARS'!$S$54*(8)+'LINEST VARS'!$R$54*($CH$32)+'LINEST VARS'!$Q$54*($BX50)+'LINEST VARS'!$P$54*(12.73)+'LINEST VARS'!$O$54*(8^2)+'LINEST VARS'!$N$54*(8^2)+'LINEST VARS'!$M$54*($CH$32^2)+'LINEST VARS'!$L$54*($BX50^2)+'LINEST VARS'!$K$54*(12.73^2)+'LINEST VARS'!$J$54*(8*8)+'LINEST VARS'!$I$54*(8*$CH$32)+'LINEST VARS'!$H$54*(8*$BX50)+'LINEST VARS'!$G$54*(8*12.73)+'LINEST VARS'!$F$54*(8*$CH$32)+'LINEST VARS'!$E$54*(8*$BX50)+'LINEST VARS'!$D$54*(8*12.73)+'LINEST VARS'!$C$54*($CH$32*$BX50)+'LINEST VARS'!$B$54*($CH$32*12.73)+'LINEST VARS'!$A$54*($BX50*12.73)</f>
        <v>3.9574999999999996</v>
      </c>
      <c r="CI50" s="51">
        <f>'LINEST VARS'!$U$54+'LINEST VARS'!$T$54*(8)+'LINEST VARS'!$S$54*(8)+'LINEST VARS'!$R$54*($CI$32)+'LINEST VARS'!$Q$54*($BX50)+'LINEST VARS'!$P$54*(12.73)+'LINEST VARS'!$O$54*(8^2)+'LINEST VARS'!$N$54*(8^2)+'LINEST VARS'!$M$54*($CI$32^2)+'LINEST VARS'!$L$54*($BX50^2)+'LINEST VARS'!$K$54*(12.73^2)+'LINEST VARS'!$J$54*(8*8)+'LINEST VARS'!$I$54*(8*$CI$32)+'LINEST VARS'!$H$54*(8*$BX50)+'LINEST VARS'!$G$54*(8*12.73)+'LINEST VARS'!$F$54*(8*$CI$32)+'LINEST VARS'!$E$54*(8*$BX50)+'LINEST VARS'!$D$54*(8*12.73)+'LINEST VARS'!$C$54*($CI$32*$BX50)+'LINEST VARS'!$B$54*($CI$32*12.73)+'LINEST VARS'!$A$54*($BX50*12.73)</f>
        <v>3.9574999999999996</v>
      </c>
      <c r="CJ50" s="51">
        <f>'LINEST VARS'!$U$54+'LINEST VARS'!$T$54*(8)+'LINEST VARS'!$S$54*(8)+'LINEST VARS'!$R$54*($CJ$32)+'LINEST VARS'!$Q$54*($BX50)+'LINEST VARS'!$P$54*(12.73)+'LINEST VARS'!$O$54*(8^2)+'LINEST VARS'!$N$54*(8^2)+'LINEST VARS'!$M$54*($CJ$32^2)+'LINEST VARS'!$L$54*($BX50^2)+'LINEST VARS'!$K$54*(12.73^2)+'LINEST VARS'!$J$54*(8*8)+'LINEST VARS'!$I$54*(8*$CJ$32)+'LINEST VARS'!$H$54*(8*$BX50)+'LINEST VARS'!$G$54*(8*12.73)+'LINEST VARS'!$F$54*(8*$CJ$32)+'LINEST VARS'!$E$54*(8*$BX50)+'LINEST VARS'!$D$54*(8*12.73)+'LINEST VARS'!$C$54*($CJ$32*$BX50)+'LINEST VARS'!$B$54*($CJ$32*12.73)+'LINEST VARS'!$A$54*($BX50*12.73)</f>
        <v>3.9574999999999996</v>
      </c>
      <c r="CK50" s="51">
        <f>'LINEST VARS'!$U$54+'LINEST VARS'!$T$54*(8)+'LINEST VARS'!$S$54*(8)+'LINEST VARS'!$R$54*($CK$32)+'LINEST VARS'!$Q$54*($BX50)+'LINEST VARS'!$P$54*(12.73)+'LINEST VARS'!$O$54*(8^2)+'LINEST VARS'!$N$54*(8^2)+'LINEST VARS'!$M$54*($CK$32^2)+'LINEST VARS'!$L$54*($BX50^2)+'LINEST VARS'!$K$54*(12.73^2)+'LINEST VARS'!$J$54*(8*8)+'LINEST VARS'!$I$54*(8*$CK$32)+'LINEST VARS'!$H$54*(8*$BX50)+'LINEST VARS'!$G$54*(8*12.73)+'LINEST VARS'!$F$54*(8*$CK$32)+'LINEST VARS'!$E$54*(8*$BX50)+'LINEST VARS'!$D$54*(8*12.73)+'LINEST VARS'!$C$54*($CK$32*$BX50)+'LINEST VARS'!$B$54*($CK$32*12.73)+'LINEST VARS'!$A$54*($BX50*12.73)</f>
        <v>3.9574999999999996</v>
      </c>
      <c r="CL50" s="51">
        <f>'LINEST VARS'!$U$54+'LINEST VARS'!$T$54*(8)+'LINEST VARS'!$S$54*(8)+'LINEST VARS'!$R$54*($CL$32)+'LINEST VARS'!$Q$54*($BX50)+'LINEST VARS'!$P$54*(12.73)+'LINEST VARS'!$O$54*(8^2)+'LINEST VARS'!$N$54*(8^2)+'LINEST VARS'!$M$54*($CL$32^2)+'LINEST VARS'!$L$54*($BX50^2)+'LINEST VARS'!$K$54*(12.73^2)+'LINEST VARS'!$J$54*(8*8)+'LINEST VARS'!$I$54*(8*$CL$32)+'LINEST VARS'!$H$54*(8*$BX50)+'LINEST VARS'!$G$54*(8*12.73)+'LINEST VARS'!$F$54*(8*$CL$32)+'LINEST VARS'!$E$54*(8*$BX50)+'LINEST VARS'!$D$54*(8*12.73)+'LINEST VARS'!$C$54*($CL$32*$BX50)+'LINEST VARS'!$B$54*($CL$32*12.73)+'LINEST VARS'!$A$54*($BX50*12.73)</f>
        <v>3.9574999999999996</v>
      </c>
      <c r="CM50" s="51">
        <f>'LINEST VARS'!$U$54+'LINEST VARS'!$T$54*(8)+'LINEST VARS'!$S$54*(8)+'LINEST VARS'!$R$54*($CM$32)+'LINEST VARS'!$Q$54*($BX50)+'LINEST VARS'!$P$54*(12.73)+'LINEST VARS'!$O$54*(8^2)+'LINEST VARS'!$N$54*(8^2)+'LINEST VARS'!$M$54*($CM$32^2)+'LINEST VARS'!$L$54*($BX50^2)+'LINEST VARS'!$K$54*(12.73^2)+'LINEST VARS'!$J$54*(8*8)+'LINEST VARS'!$I$54*(8*$CM$32)+'LINEST VARS'!$H$54*(8*$BX50)+'LINEST VARS'!$G$54*(8*12.73)+'LINEST VARS'!$F$54*(8*$CM$32)+'LINEST VARS'!$E$54*(8*$BX50)+'LINEST VARS'!$D$54*(8*12.73)+'LINEST VARS'!$C$54*($CM$32*$BX50)+'LINEST VARS'!$B$54*($CM$32*12.73)+'LINEST VARS'!$A$54*($BX50*12.73)</f>
        <v>3.9574999999999996</v>
      </c>
      <c r="CN50" s="51">
        <f>'LINEST VARS'!$U$54+'LINEST VARS'!$T$54*(8)+'LINEST VARS'!$S$54*(8)+'LINEST VARS'!$R$54*($CN$32)+'LINEST VARS'!$Q$54*($BX50)+'LINEST VARS'!$P$54*(12.73)+'LINEST VARS'!$O$54*(8^2)+'LINEST VARS'!$N$54*(8^2)+'LINEST VARS'!$M$54*($CN$32^2)+'LINEST VARS'!$L$54*($BX50^2)+'LINEST VARS'!$K$54*(12.73^2)+'LINEST VARS'!$J$54*(8*8)+'LINEST VARS'!$I$54*(8*$CN$32)+'LINEST VARS'!$H$54*(8*$BX50)+'LINEST VARS'!$G$54*(8*12.73)+'LINEST VARS'!$F$54*(8*$CN$32)+'LINEST VARS'!$E$54*(8*$BX50)+'LINEST VARS'!$D$54*(8*12.73)+'LINEST VARS'!$C$54*($CN$32*$BX50)+'LINEST VARS'!$B$54*($CN$32*12.73)+'LINEST VARS'!$A$54*($BX50*12.73)</f>
        <v>3.9574999999999996</v>
      </c>
      <c r="CO50" s="51">
        <f>'LINEST VARS'!$U$54+'LINEST VARS'!$T$54*(8)+'LINEST VARS'!$S$54*(8)+'LINEST VARS'!$R$54*($CO$32)+'LINEST VARS'!$Q$54*($BX50)+'LINEST VARS'!$P$54*(12.73)+'LINEST VARS'!$O$54*(8^2)+'LINEST VARS'!$N$54*(8^2)+'LINEST VARS'!$M$54*($CO$32^2)+'LINEST VARS'!$L$54*($BX50^2)+'LINEST VARS'!$K$54*(12.73^2)+'LINEST VARS'!$J$54*(8*8)+'LINEST VARS'!$I$54*(8*$CO$32)+'LINEST VARS'!$H$54*(8*$BX50)+'LINEST VARS'!$G$54*(8*12.73)+'LINEST VARS'!$F$54*(8*$CO$32)+'LINEST VARS'!$E$54*(8*$BX50)+'LINEST VARS'!$D$54*(8*12.73)+'LINEST VARS'!$C$54*($CO$32*$BX50)+'LINEST VARS'!$B$54*($CO$32*12.73)+'LINEST VARS'!$A$54*($BX50*12.73)</f>
        <v>3.9574999999999996</v>
      </c>
      <c r="CP50" s="51">
        <f>'LINEST VARS'!$U$54+'LINEST VARS'!$T$54*(8)+'LINEST VARS'!$S$54*(8)+'LINEST VARS'!$R$54*($CP$32)+'LINEST VARS'!$Q$54*($BX50)+'LINEST VARS'!$P$54*(12.73)+'LINEST VARS'!$O$54*(8^2)+'LINEST VARS'!$N$54*(8^2)+'LINEST VARS'!$M$54*($CP$32^2)+'LINEST VARS'!$L$54*($BX50^2)+'LINEST VARS'!$K$54*(12.73^2)+'LINEST VARS'!$J$54*(8*8)+'LINEST VARS'!$I$54*(8*$CP$32)+'LINEST VARS'!$H$54*(8*$BX50)+'LINEST VARS'!$G$54*(8*12.73)+'LINEST VARS'!$F$54*(8*$CP$32)+'LINEST VARS'!$E$54*(8*$BX50)+'LINEST VARS'!$D$54*(8*12.73)+'LINEST VARS'!$C$54*($CP$32*$BX50)+'LINEST VARS'!$B$54*($CP$32*12.73)+'LINEST VARS'!$A$54*($BX50*12.73)</f>
        <v>3.9574999999999996</v>
      </c>
      <c r="CQ50" s="51">
        <f>'LINEST VARS'!$U$54+'LINEST VARS'!$T$54*(8)+'LINEST VARS'!$S$54*(8)+'LINEST VARS'!$R$54*($CQ$32)+'LINEST VARS'!$Q$54*($BX50)+'LINEST VARS'!$P$54*(12.73)+'LINEST VARS'!$O$54*(8^2)+'LINEST VARS'!$N$54*(8^2)+'LINEST VARS'!$M$54*($CQ$32^2)+'LINEST VARS'!$L$54*($BX50^2)+'LINEST VARS'!$K$54*(12.73^2)+'LINEST VARS'!$J$54*(8*8)+'LINEST VARS'!$I$54*(8*$CQ$32)+'LINEST VARS'!$H$54*(8*$BX50)+'LINEST VARS'!$G$54*(8*12.73)+'LINEST VARS'!$F$54*(8*$CQ$32)+'LINEST VARS'!$E$54*(8*$BX50)+'LINEST VARS'!$D$54*(8*12.73)+'LINEST VARS'!$C$54*($CQ$32*$BX50)+'LINEST VARS'!$B$54*($CQ$32*12.73)+'LINEST VARS'!$A$54*($BX50*12.73)</f>
        <v>3.9574999999999996</v>
      </c>
      <c r="CR50" s="51">
        <f>'LINEST VARS'!$U$54+'LINEST VARS'!$T$54*(8)+'LINEST VARS'!$S$54*(8)+'LINEST VARS'!$R$54*($CR$32)+'LINEST VARS'!$Q$54*($BX50)+'LINEST VARS'!$P$54*(12.73)+'LINEST VARS'!$O$54*(8^2)+'LINEST VARS'!$N$54*(8^2)+'LINEST VARS'!$M$54*($CR$32^2)+'LINEST VARS'!$L$54*($BX50^2)+'LINEST VARS'!$K$54*(12.73^2)+'LINEST VARS'!$J$54*(8*8)+'LINEST VARS'!$I$54*(8*$CR$32)+'LINEST VARS'!$H$54*(8*$BX50)+'LINEST VARS'!$G$54*(8*12.73)+'LINEST VARS'!$F$54*(8*$CR$32)+'LINEST VARS'!$E$54*(8*$BX50)+'LINEST VARS'!$D$54*(8*12.73)+'LINEST VARS'!$C$54*($CR$32*$BX50)+'LINEST VARS'!$B$54*($CR$32*12.73)+'LINEST VARS'!$A$54*($BX50*12.73)</f>
        <v>3.9574999999999996</v>
      </c>
      <c r="CS50" s="52">
        <f>'LINEST VARS'!$U$54+'LINEST VARS'!$T$54*(8)+'LINEST VARS'!$S$54*(8)+'LINEST VARS'!$R$54*($CS$32)+'LINEST VARS'!$Q$54*($BX50)+'LINEST VARS'!$P$54*(12.73)+'LINEST VARS'!$O$54*(8^2)+'LINEST VARS'!$N$54*(8^2)+'LINEST VARS'!$M$54*($CS$32^2)+'LINEST VARS'!$L$54*($BX50^2)+'LINEST VARS'!$K$54*(12.73^2)+'LINEST VARS'!$J$54*(8*8)+'LINEST VARS'!$I$54*(8*$CS$32)+'LINEST VARS'!$H$54*(8*$BX50)+'LINEST VARS'!$G$54*(8*12.73)+'LINEST VARS'!$F$54*(8*$CS$32)+'LINEST VARS'!$E$54*(8*$BX50)+'LINEST VARS'!$D$54*(8*12.73)+'LINEST VARS'!$C$54*($CS$32*$BX50)+'LINEST VARS'!$B$54*($CS$32*12.73)+'LINEST VARS'!$A$54*($BX50*12.73)</f>
        <v>3.9574999999999996</v>
      </c>
      <c r="CX50" s="45">
        <v>22.0915</v>
      </c>
      <c r="CY50" s="51">
        <f>'LINEST VARS'!$U$52+'LINEST VARS'!$T$52*(8)+'LINEST VARS'!$S$52*(8)+'LINEST VARS'!$R$52*($CY$32)+'LINEST VARS'!$Q$52*(0.5)+'LINEST VARS'!$P$52*($CX50)+'LINEST VARS'!$O$52*(8^2)+'LINEST VARS'!$N$52*(8^2)+'LINEST VARS'!$M$52*($CY$32^2)+'LINEST VARS'!$L$52*(0.5^2)+'LINEST VARS'!$K$52*($CX50^2)+'LINEST VARS'!$J$52*(8*8)+'LINEST VARS'!$I$52*(8*$CY$32)+'LINEST VARS'!$H$52*(8*0.5)+'LINEST VARS'!$G$52*(8*$CX50)+'LINEST VARS'!$F$52*(8*$CY$32)+'LINEST VARS'!$E$52*(8*0.5)+'LINEST VARS'!$D$52*(8*$CX50)+'LINEST VARS'!$C$52*($CY$32*0.5)+'LINEST VARS'!$B$52*($CY$32*$CX50)+'LINEST VARS'!$A$52*(0.5*$CX50)</f>
        <v>4.4499999999999984</v>
      </c>
      <c r="CZ50" s="51">
        <f>'LINEST VARS'!$U$52+'LINEST VARS'!$T$52*(8)+'LINEST VARS'!$S$52*(8)+'LINEST VARS'!$R$52*($CZ$32)+'LINEST VARS'!$Q$52*(0.5)+'LINEST VARS'!$P$52*($CX50)+'LINEST VARS'!$O$52*(8^2)+'LINEST VARS'!$N$52*(8^2)+'LINEST VARS'!$M$52*($CZ$32^2)+'LINEST VARS'!$L$52*(0.5^2)+'LINEST VARS'!$K$52*($CX50^2)+'LINEST VARS'!$J$52*(8*8)+'LINEST VARS'!$I$52*(8*$CZ$32)+'LINEST VARS'!$H$52*(8*0.5)+'LINEST VARS'!$G$52*(8*$CX50)+'LINEST VARS'!$F$52*(8*$CZ$32)+'LINEST VARS'!$E$52*(8*0.5)+'LINEST VARS'!$D$52*(8*$CX50)+'LINEST VARS'!$C$52*($CZ$32*0.5)+'LINEST VARS'!$B$52*($CZ$32*$CX50)+'LINEST VARS'!$A$52*(0.5*$CX50)</f>
        <v>4.4499999999999984</v>
      </c>
      <c r="DA50" s="51">
        <f>'LINEST VARS'!$U$52+'LINEST VARS'!$T$52*(8)+'LINEST VARS'!$S$52*(8)+'LINEST VARS'!$R$52*($DA$32)+'LINEST VARS'!$Q$52*(0.5)+'LINEST VARS'!$P$52*($CX50)+'LINEST VARS'!$O$52*(8^2)+'LINEST VARS'!$N$52*(8^2)+'LINEST VARS'!$M$52*($DA$32^2)+'LINEST VARS'!$L$52*(0.5^2)+'LINEST VARS'!$K$52*($CX50^2)+'LINEST VARS'!$J$52*(8*8)+'LINEST VARS'!$I$52*(8*$DA$32)+'LINEST VARS'!$H$52*(8*0.5)+'LINEST VARS'!$G$52*(8*$CX50)+'LINEST VARS'!$F$52*(8*$DA$32)+'LINEST VARS'!$E$52*(8*0.5)+'LINEST VARS'!$D$52*(8*$CX50)+'LINEST VARS'!$C$52*($DA$32*0.5)+'LINEST VARS'!$B$52*($DA$32*$CX50)+'LINEST VARS'!$A$52*(0.5*$CX50)</f>
        <v>4.4499999999999984</v>
      </c>
      <c r="DB50" s="51">
        <f>'LINEST VARS'!$U$52+'LINEST VARS'!$T$52*(8)+'LINEST VARS'!$S$52*(8)+'LINEST VARS'!$R$52*($DB$32)+'LINEST VARS'!$Q$52*(0.5)+'LINEST VARS'!$P$52*($CX50)+'LINEST VARS'!$O$52*(8^2)+'LINEST VARS'!$N$52*(8^2)+'LINEST VARS'!$M$52*($DB$32^2)+'LINEST VARS'!$L$52*(0.5^2)+'LINEST VARS'!$K$52*($CX50^2)+'LINEST VARS'!$J$52*(8*8)+'LINEST VARS'!$I$52*(8*$DB$32)+'LINEST VARS'!$H$52*(8*0.5)+'LINEST VARS'!$G$52*(8*$CX50)+'LINEST VARS'!$F$52*(8*$DB$32)+'LINEST VARS'!$E$52*(8*0.5)+'LINEST VARS'!$D$52*(8*$CX50)+'LINEST VARS'!$C$52*($DB$32*0.5)+'LINEST VARS'!$B$52*($DB$32*$CX50)+'LINEST VARS'!$A$52*(0.5*$CX50)</f>
        <v>4.4499999999999984</v>
      </c>
      <c r="DC50" s="51">
        <f>'LINEST VARS'!$U$52+'LINEST VARS'!$T$52*(8)+'LINEST VARS'!$S$52*(8)+'LINEST VARS'!$R$52*($DC$32)+'LINEST VARS'!$Q$52*(0.5)+'LINEST VARS'!$P$52*($CX50)+'LINEST VARS'!$O$52*(8^2)+'LINEST VARS'!$N$52*(8^2)+'LINEST VARS'!$M$52*($DC$32^2)+'LINEST VARS'!$L$52*(0.5^2)+'LINEST VARS'!$K$52*($CX50^2)+'LINEST VARS'!$J$52*(8*8)+'LINEST VARS'!$I$52*(8*$DC$32)+'LINEST VARS'!$H$52*(8*0.5)+'LINEST VARS'!$G$52*(8*$CX50)+'LINEST VARS'!$F$52*(8*$DC$32)+'LINEST VARS'!$E$52*(8*0.5)+'LINEST VARS'!$D$52*(8*$CX50)+'LINEST VARS'!$C$52*($DC$32*0.5)+'LINEST VARS'!$B$52*($DC$32*$CX50)+'LINEST VARS'!$A$52*(0.5*$CX50)</f>
        <v>4.4499999999999984</v>
      </c>
      <c r="DD50" s="51">
        <f>'LINEST VARS'!$U$52+'LINEST VARS'!$T$52*(8)+'LINEST VARS'!$S$52*(8)+'LINEST VARS'!$R$52*($DD$32)+'LINEST VARS'!$Q$52*(0.5)+'LINEST VARS'!$P$52*($CX50)+'LINEST VARS'!$O$52*(8^2)+'LINEST VARS'!$N$52*(8^2)+'LINEST VARS'!$M$52*($DD$32^2)+'LINEST VARS'!$L$52*(0.5^2)+'LINEST VARS'!$K$52*($CX50^2)+'LINEST VARS'!$J$52*(8*8)+'LINEST VARS'!$I$52*(8*$DD$32)+'LINEST VARS'!$H$52*(8*0.5)+'LINEST VARS'!$G$52*(8*$CX50)+'LINEST VARS'!$F$52*(8*$DD$32)+'LINEST VARS'!$E$52*(8*0.5)+'LINEST VARS'!$D$52*(8*$CX50)+'LINEST VARS'!$C$52*($DD$32*0.5)+'LINEST VARS'!$B$52*($DD$32*$CX50)+'LINEST VARS'!$A$52*(0.5*$CX50)</f>
        <v>4.4499999999999984</v>
      </c>
      <c r="DE50" s="51">
        <f>'LINEST VARS'!$U$52+'LINEST VARS'!$T$52*(8)+'LINEST VARS'!$S$52*(8)+'LINEST VARS'!$R$52*($DE$32)+'LINEST VARS'!$Q$52*(0.5)+'LINEST VARS'!$P$52*($CX50)+'LINEST VARS'!$O$52*(8^2)+'LINEST VARS'!$N$52*(8^2)+'LINEST VARS'!$M$52*($DE$32^2)+'LINEST VARS'!$L$52*(0.5^2)+'LINEST VARS'!$K$52*($CX50^2)+'LINEST VARS'!$J$52*(8*8)+'LINEST VARS'!$I$52*(8*$DE$32)+'LINEST VARS'!$H$52*(8*0.5)+'LINEST VARS'!$G$52*(8*$CX50)+'LINEST VARS'!$F$52*(8*$DE$32)+'LINEST VARS'!$E$52*(8*0.5)+'LINEST VARS'!$D$52*(8*$CX50)+'LINEST VARS'!$C$52*($DE$32*0.5)+'LINEST VARS'!$B$52*($DE$32*$CX50)+'LINEST VARS'!$A$52*(0.5*$CX50)</f>
        <v>4.4499999999999984</v>
      </c>
      <c r="DF50" s="51">
        <f>'LINEST VARS'!$U$52+'LINEST VARS'!$T$52*(8)+'LINEST VARS'!$S$52*(8)+'LINEST VARS'!$R$52*($DF$32)+'LINEST VARS'!$Q$52*(0.5)+'LINEST VARS'!$P$52*($CX50)+'LINEST VARS'!$O$52*(8^2)+'LINEST VARS'!$N$52*(8^2)+'LINEST VARS'!$M$52*($DF$32^2)+'LINEST VARS'!$L$52*(0.5^2)+'LINEST VARS'!$K$52*($CX50^2)+'LINEST VARS'!$J$52*(8*8)+'LINEST VARS'!$I$52*(8*$DF$32)+'LINEST VARS'!$H$52*(8*0.5)+'LINEST VARS'!$G$52*(8*$CX50)+'LINEST VARS'!$F$52*(8*$DF$32)+'LINEST VARS'!$E$52*(8*0.5)+'LINEST VARS'!$D$52*(8*$CX50)+'LINEST VARS'!$C$52*($DF$32*0.5)+'LINEST VARS'!$B$52*($DF$32*$CX50)+'LINEST VARS'!$A$52*(0.5*$CX50)</f>
        <v>4.4499999999999984</v>
      </c>
      <c r="DG50" s="51">
        <f>'LINEST VARS'!$U$52+'LINEST VARS'!$T$52*(8)+'LINEST VARS'!$S$52*(8)+'LINEST VARS'!$R$52*($DG$32)+'LINEST VARS'!$Q$52*(0.5)+'LINEST VARS'!$P$52*($CX50)+'LINEST VARS'!$O$52*(8^2)+'LINEST VARS'!$N$52*(8^2)+'LINEST VARS'!$M$52*($DG$32^2)+'LINEST VARS'!$L$52*(0.5^2)+'LINEST VARS'!$K$52*($CX50^2)+'LINEST VARS'!$J$52*(8*8)+'LINEST VARS'!$I$52*(8*$DG$32)+'LINEST VARS'!$H$52*(8*0.5)+'LINEST VARS'!$G$52*(8*$CX50)+'LINEST VARS'!$F$52*(8*$DG$32)+'LINEST VARS'!$E$52*(8*0.5)+'LINEST VARS'!$D$52*(8*$CX50)+'LINEST VARS'!$C$52*($DG$32*0.5)+'LINEST VARS'!$B$52*($DG$32*$CX50)+'LINEST VARS'!$A$52*(0.5*$CX50)</f>
        <v>4.4499999999999984</v>
      </c>
      <c r="DH50" s="51">
        <f>'LINEST VARS'!$U$52+'LINEST VARS'!$T$52*(8)+'LINEST VARS'!$S$52*(8)+'LINEST VARS'!$R$52*($DH$32)+'LINEST VARS'!$Q$52*(0.5)+'LINEST VARS'!$P$52*($CX50)+'LINEST VARS'!$O$52*(8^2)+'LINEST VARS'!$N$52*(8^2)+'LINEST VARS'!$M$52*($DH$32^2)+'LINEST VARS'!$L$52*(0.5^2)+'LINEST VARS'!$K$52*($CX50^2)+'LINEST VARS'!$J$52*(8*8)+'LINEST VARS'!$I$52*(8*$DH$32)+'LINEST VARS'!$H$52*(8*0.5)+'LINEST VARS'!$G$52*(8*$CX50)+'LINEST VARS'!$F$52*(8*$DH$32)+'LINEST VARS'!$E$52*(8*0.5)+'LINEST VARS'!$D$52*(8*$CX50)+'LINEST VARS'!$C$52*($DH$32*0.5)+'LINEST VARS'!$B$52*($DH$32*$CX50)+'LINEST VARS'!$A$52*(0.5*$CX50)</f>
        <v>4.4499999999999984</v>
      </c>
      <c r="DI50" s="51">
        <f>'LINEST VARS'!$U$52+'LINEST VARS'!$T$52*(8)+'LINEST VARS'!$S$52*(8)+'LINEST VARS'!$R$52*($DI$32)+'LINEST VARS'!$Q$52*(0.5)+'LINEST VARS'!$P$52*($CX50)+'LINEST VARS'!$O$52*(8^2)+'LINEST VARS'!$N$52*(8^2)+'LINEST VARS'!$M$52*($DI$32^2)+'LINEST VARS'!$L$52*(0.5^2)+'LINEST VARS'!$K$52*($CX50^2)+'LINEST VARS'!$J$52*(8*8)+'LINEST VARS'!$I$52*(8*$DI$32)+'LINEST VARS'!$H$52*(8*0.5)+'LINEST VARS'!$G$52*(8*$CX50)+'LINEST VARS'!$F$52*(8*$DI$32)+'LINEST VARS'!$E$52*(8*0.5)+'LINEST VARS'!$D$52*(8*$CX50)+'LINEST VARS'!$C$52*($DI$32*0.5)+'LINEST VARS'!$B$52*($DI$32*$CX50)+'LINEST VARS'!$A$52*(0.5*$CX50)</f>
        <v>4.4499999999999984</v>
      </c>
      <c r="DJ50" s="51">
        <f>'LINEST VARS'!$U$52+'LINEST VARS'!$T$52*(8)+'LINEST VARS'!$S$52*(8)+'LINEST VARS'!$R$52*($DJ$32)+'LINEST VARS'!$Q$52*(0.5)+'LINEST VARS'!$P$52*($CX50)+'LINEST VARS'!$O$52*(8^2)+'LINEST VARS'!$N$52*(8^2)+'LINEST VARS'!$M$52*($DJ$32^2)+'LINEST VARS'!$L$52*(0.5^2)+'LINEST VARS'!$K$52*($CX50^2)+'LINEST VARS'!$J$52*(8*8)+'LINEST VARS'!$I$52*(8*$DJ$32)+'LINEST VARS'!$H$52*(8*0.5)+'LINEST VARS'!$G$52*(8*$CX50)+'LINEST VARS'!$F$52*(8*$DJ$32)+'LINEST VARS'!$E$52*(8*0.5)+'LINEST VARS'!$D$52*(8*$CX50)+'LINEST VARS'!$C$52*($DJ$32*0.5)+'LINEST VARS'!$B$52*($DJ$32*$CX50)+'LINEST VARS'!$A$52*(0.5*$CX50)</f>
        <v>4.4499999999999984</v>
      </c>
      <c r="DK50" s="51">
        <f>'LINEST VARS'!$U$52+'LINEST VARS'!$T$52*(8)+'LINEST VARS'!$S$52*(8)+'LINEST VARS'!$R$52*($DK$32)+'LINEST VARS'!$Q$52*(0.5)+'LINEST VARS'!$P$52*($CX50)+'LINEST VARS'!$O$52*(8^2)+'LINEST VARS'!$N$52*(8^2)+'LINEST VARS'!$M$52*($DK$32^2)+'LINEST VARS'!$L$52*(0.5^2)+'LINEST VARS'!$K$52*($CX50^2)+'LINEST VARS'!$J$52*(8*8)+'LINEST VARS'!$I$52*(8*$DK$32)+'LINEST VARS'!$H$52*(8*0.5)+'LINEST VARS'!$G$52*(8*$CX50)+'LINEST VARS'!$F$52*(8*$DK$32)+'LINEST VARS'!$E$52*(8*0.5)+'LINEST VARS'!$D$52*(8*$CX50)+'LINEST VARS'!$C$52*($DK$32*0.5)+'LINEST VARS'!$B$52*($DK$32*$CX50)+'LINEST VARS'!$A$52*(0.5*$CX50)</f>
        <v>4.4499999999999984</v>
      </c>
      <c r="DL50" s="51">
        <f>'LINEST VARS'!$U$52+'LINEST VARS'!$T$52*(8)+'LINEST VARS'!$S$52*(8)+'LINEST VARS'!$R$52*($DL$32)+'LINEST VARS'!$Q$52*(0.5)+'LINEST VARS'!$P$52*($CX50)+'LINEST VARS'!$O$52*(8^2)+'LINEST VARS'!$N$52*(8^2)+'LINEST VARS'!$M$52*($DL$32^2)+'LINEST VARS'!$L$52*(0.5^2)+'LINEST VARS'!$K$52*($CX50^2)+'LINEST VARS'!$J$52*(8*8)+'LINEST VARS'!$I$52*(8*$DL$32)+'LINEST VARS'!$H$52*(8*0.5)+'LINEST VARS'!$G$52*(8*$CX50)+'LINEST VARS'!$F$52*(8*$DL$32)+'LINEST VARS'!$E$52*(8*0.5)+'LINEST VARS'!$D$52*(8*$CX50)+'LINEST VARS'!$C$52*($DL$32*0.5)+'LINEST VARS'!$B$52*($DL$32*$CX50)+'LINEST VARS'!$A$52*(0.5*$CX50)</f>
        <v>4.4499999999999984</v>
      </c>
      <c r="DM50" s="51">
        <f>'LINEST VARS'!$U$52+'LINEST VARS'!$T$52*(8)+'LINEST VARS'!$S$52*(8)+'LINEST VARS'!$R$52*($DM$32)+'LINEST VARS'!$Q$52*(0.5)+'LINEST VARS'!$P$52*($CX50)+'LINEST VARS'!$O$52*(8^2)+'LINEST VARS'!$N$52*(8^2)+'LINEST VARS'!$M$52*($DM$32^2)+'LINEST VARS'!$L$52*(0.5^2)+'LINEST VARS'!$K$52*($CX50^2)+'LINEST VARS'!$J$52*(8*8)+'LINEST VARS'!$I$52*(8*$DM$32)+'LINEST VARS'!$H$52*(8*0.5)+'LINEST VARS'!$G$52*(8*$CX50)+'LINEST VARS'!$F$52*(8*$DM$32)+'LINEST VARS'!$E$52*(8*0.5)+'LINEST VARS'!$D$52*(8*$CX50)+'LINEST VARS'!$C$52*($DM$32*0.5)+'LINEST VARS'!$B$52*($DM$32*$CX50)+'LINEST VARS'!$A$52*(0.5*$CX50)</f>
        <v>4.4499999999999984</v>
      </c>
      <c r="DN50" s="51">
        <f>'LINEST VARS'!$U$52+'LINEST VARS'!$T$52*(8)+'LINEST VARS'!$S$52*(8)+'LINEST VARS'!$R$52*($DN$32)+'LINEST VARS'!$Q$52*(0.5)+'LINEST VARS'!$P$52*($CX50)+'LINEST VARS'!$O$52*(8^2)+'LINEST VARS'!$N$52*(8^2)+'LINEST VARS'!$M$52*($DN$32^2)+'LINEST VARS'!$L$52*(0.5^2)+'LINEST VARS'!$K$52*($CX50^2)+'LINEST VARS'!$J$52*(8*8)+'LINEST VARS'!$I$52*(8*$DN$32)+'LINEST VARS'!$H$52*(8*0.5)+'LINEST VARS'!$G$52*(8*$CX50)+'LINEST VARS'!$F$52*(8*$DN$32)+'LINEST VARS'!$E$52*(8*0.5)+'LINEST VARS'!$D$52*(8*$CX50)+'LINEST VARS'!$C$52*($DN$32*0.5)+'LINEST VARS'!$B$52*($DN$32*$CX50)+'LINEST VARS'!$A$52*(0.5*$CX50)</f>
        <v>4.4499999999999984</v>
      </c>
      <c r="DO50" s="51">
        <f>'LINEST VARS'!$U$52+'LINEST VARS'!$T$52*(8)+'LINEST VARS'!$S$52*(8)+'LINEST VARS'!$R$52*($DO$32)+'LINEST VARS'!$Q$52*(0.5)+'LINEST VARS'!$P$52*($CX50)+'LINEST VARS'!$O$52*(8^2)+'LINEST VARS'!$N$52*(8^2)+'LINEST VARS'!$M$52*($DO$32^2)+'LINEST VARS'!$L$52*(0.5^2)+'LINEST VARS'!$K$52*($CX50^2)+'LINEST VARS'!$J$52*(8*8)+'LINEST VARS'!$I$52*(8*$DO$32)+'LINEST VARS'!$H$52*(8*0.5)+'LINEST VARS'!$G$52*(8*$CX50)+'LINEST VARS'!$F$52*(8*$DO$32)+'LINEST VARS'!$E$52*(8*0.5)+'LINEST VARS'!$D$52*(8*$CX50)+'LINEST VARS'!$C$52*($DO$32*0.5)+'LINEST VARS'!$B$52*($DO$32*$CX50)+'LINEST VARS'!$A$52*(0.5*$CX50)</f>
        <v>4.4499999999999984</v>
      </c>
      <c r="DP50" s="51">
        <f>'LINEST VARS'!$U$52+'LINEST VARS'!$T$52*(8)+'LINEST VARS'!$S$52*(8)+'LINEST VARS'!$R$52*($DP$32)+'LINEST VARS'!$Q$52*(0.5)+'LINEST VARS'!$P$52*($CX50)+'LINEST VARS'!$O$52*(8^2)+'LINEST VARS'!$N$52*(8^2)+'LINEST VARS'!$M$52*($DP$32^2)+'LINEST VARS'!$L$52*(0.5^2)+'LINEST VARS'!$K$52*($CX50^2)+'LINEST VARS'!$J$52*(8*8)+'LINEST VARS'!$I$52*(8*$DP$32)+'LINEST VARS'!$H$52*(8*0.5)+'LINEST VARS'!$G$52*(8*$CX50)+'LINEST VARS'!$F$52*(8*$DP$32)+'LINEST VARS'!$E$52*(8*0.5)+'LINEST VARS'!$D$52*(8*$CX50)+'LINEST VARS'!$C$52*($DP$32*0.5)+'LINEST VARS'!$B$52*($DP$32*$CX50)+'LINEST VARS'!$A$52*(0.5*$CX50)</f>
        <v>4.4499999999999984</v>
      </c>
      <c r="DQ50" s="51">
        <f>'LINEST VARS'!$U$52+'LINEST VARS'!$T$52*(8)+'LINEST VARS'!$S$52*(8)+'LINEST VARS'!$R$52*($DQ$32)+'LINEST VARS'!$Q$52*(0.5)+'LINEST VARS'!$P$52*($CX50)+'LINEST VARS'!$O$52*(8^2)+'LINEST VARS'!$N$52*(8^2)+'LINEST VARS'!$M$52*($DQ$32^2)+'LINEST VARS'!$L$52*(0.5^2)+'LINEST VARS'!$K$52*($CX50^2)+'LINEST VARS'!$J$52*(8*8)+'LINEST VARS'!$I$52*(8*$DQ$32)+'LINEST VARS'!$H$52*(8*0.5)+'LINEST VARS'!$G$52*(8*$CX50)+'LINEST VARS'!$F$52*(8*$DQ$32)+'LINEST VARS'!$E$52*(8*0.5)+'LINEST VARS'!$D$52*(8*$CX50)+'LINEST VARS'!$C$52*($DQ$32*0.5)+'LINEST VARS'!$B$52*($DQ$32*$CX50)+'LINEST VARS'!$A$52*(0.5*$CX50)</f>
        <v>4.4499999999999984</v>
      </c>
      <c r="DR50" s="51">
        <f>'LINEST VARS'!$U$52+'LINEST VARS'!$T$52*(8)+'LINEST VARS'!$S$52*(8)+'LINEST VARS'!$R$52*($DR$32)+'LINEST VARS'!$Q$52*(0.5)+'LINEST VARS'!$P$52*($CX50)+'LINEST VARS'!$O$52*(8^2)+'LINEST VARS'!$N$52*(8^2)+'LINEST VARS'!$M$52*($DR$32^2)+'LINEST VARS'!$L$52*(0.5^2)+'LINEST VARS'!$K$52*($CX50^2)+'LINEST VARS'!$J$52*(8*8)+'LINEST VARS'!$I$52*(8*$DR$32)+'LINEST VARS'!$H$52*(8*0.5)+'LINEST VARS'!$G$52*(8*$CX50)+'LINEST VARS'!$F$52*(8*$DR$32)+'LINEST VARS'!$E$52*(8*0.5)+'LINEST VARS'!$D$52*(8*$CX50)+'LINEST VARS'!$C$52*($DR$32*0.5)+'LINEST VARS'!$B$52*($DR$32*$CX50)+'LINEST VARS'!$A$52*(0.5*$CX50)</f>
        <v>4.4499999999999984</v>
      </c>
      <c r="DS50" s="52">
        <f>'LINEST VARS'!$U$52+'LINEST VARS'!$T$52*(8)+'LINEST VARS'!$S$52*(8)+'LINEST VARS'!$R$52*($DS$32)+'LINEST VARS'!$Q$52*(0.5)+'LINEST VARS'!$P$52*($CX50)+'LINEST VARS'!$O$52*(8^2)+'LINEST VARS'!$N$52*(8^2)+'LINEST VARS'!$M$52*($DS$32^2)+'LINEST VARS'!$L$52*(0.5^2)+'LINEST VARS'!$K$52*($CX50^2)+'LINEST VARS'!$J$52*(8*8)+'LINEST VARS'!$I$52*(8*$DS$32)+'LINEST VARS'!$H$52*(8*0.5)+'LINEST VARS'!$G$52*(8*$CX50)+'LINEST VARS'!$F$52*(8*$DS$32)+'LINEST VARS'!$E$52*(8*0.5)+'LINEST VARS'!$D$52*(8*$CX50)+'LINEST VARS'!$C$52*($DS$32*0.5)+'LINEST VARS'!$B$52*($DS$32*$CX50)+'LINEST VARS'!$A$52*(0.5*$CX50)</f>
        <v>4.4499999999999984</v>
      </c>
      <c r="DV50" s="45">
        <v>22.0915</v>
      </c>
      <c r="DW50" s="51">
        <f>'LINEST VARS'!$U$54+'LINEST VARS'!$T$54*(8)+'LINEST VARS'!$S$54*(8)+'LINEST VARS'!$R$54*($DW$32)+'LINEST VARS'!$Q$54*(0.5)+'LINEST VARS'!$P$54*($DV50)+'LINEST VARS'!$O$54*(8^2)+'LINEST VARS'!$N$54*(8^2)+'LINEST VARS'!$M$54*($DW$32^2)+'LINEST VARS'!$L$54*(0.5^2)+'LINEST VARS'!$K$54*($DV50^2)+'LINEST VARS'!$J$54*(8*8)+'LINEST VARS'!$I$54*(8*$DW$32)+'LINEST VARS'!$H$54*(8*0.5)+'LINEST VARS'!$G$54*(8*$DV50)+'LINEST VARS'!$F$54*(8*$DW$32)+'LINEST VARS'!$E$54*(8*0.5)+'LINEST VARS'!$D$54*(8*$DV50)+'LINEST VARS'!$C$54*($DW$32*0.5)+'LINEST VARS'!$B$54*($DW$32*$DV50)+'LINEST VARS'!$A$54*(0.5*$DV50)</f>
        <v>3.9749999999999996</v>
      </c>
      <c r="DX50" s="51">
        <f>'LINEST VARS'!$U$54+'LINEST VARS'!$T$54*(8)+'LINEST VARS'!$S$54*(8)+'LINEST VARS'!$R$54*($DX$32)+'LINEST VARS'!$Q$54*(0.5)+'LINEST VARS'!$P$54*($DV50)+'LINEST VARS'!$O$54*(8^2)+'LINEST VARS'!$N$54*(8^2)+'LINEST VARS'!$M$54*($DX$32^2)+'LINEST VARS'!$L$54*(0.5^2)+'LINEST VARS'!$K$54*($DV50^2)+'LINEST VARS'!$J$54*(8*8)+'LINEST VARS'!$I$54*(8*$DX$32)+'LINEST VARS'!$H$54*(8*0.5)+'LINEST VARS'!$G$54*(8*$DV50)+'LINEST VARS'!$F$54*(8*$DX$32)+'LINEST VARS'!$E$54*(8*0.5)+'LINEST VARS'!$D$54*(8*$DV50)+'LINEST VARS'!$C$54*($DX$32*0.5)+'LINEST VARS'!$B$54*($DX$32*$DV50)+'LINEST VARS'!$A$54*(0.5*$DV50)</f>
        <v>3.9749999999999996</v>
      </c>
      <c r="DY50" s="51">
        <f>'LINEST VARS'!$U$54+'LINEST VARS'!$T$54*(8)+'LINEST VARS'!$S$54*(8)+'LINEST VARS'!$R$54*($DY$32)+'LINEST VARS'!$Q$54*(0.5)+'LINEST VARS'!$P$54*($DV50)+'LINEST VARS'!$O$54*(8^2)+'LINEST VARS'!$N$54*(8^2)+'LINEST VARS'!$M$54*($DY$32^2)+'LINEST VARS'!$L$54*(0.5^2)+'LINEST VARS'!$K$54*($DV50^2)+'LINEST VARS'!$J$54*(8*8)+'LINEST VARS'!$I$54*(8*$DY$32)+'LINEST VARS'!$H$54*(8*0.5)+'LINEST VARS'!$G$54*(8*$DV50)+'LINEST VARS'!$F$54*(8*$DY$32)+'LINEST VARS'!$E$54*(8*0.5)+'LINEST VARS'!$D$54*(8*$DV50)+'LINEST VARS'!$C$54*($DY$32*0.5)+'LINEST VARS'!$B$54*($DY$32*$DV50)+'LINEST VARS'!$A$54*(0.5*$DV50)</f>
        <v>3.9749999999999996</v>
      </c>
      <c r="DZ50" s="51">
        <f>'LINEST VARS'!$U$54+'LINEST VARS'!$T$54*(8)+'LINEST VARS'!$S$54*(8)+'LINEST VARS'!$R$54*($DZ$32)+'LINEST VARS'!$Q$54*(0.5)+'LINEST VARS'!$P$54*($DV50)+'LINEST VARS'!$O$54*(8^2)+'LINEST VARS'!$N$54*(8^2)+'LINEST VARS'!$M$54*($DZ$32^2)+'LINEST VARS'!$L$54*(0.5^2)+'LINEST VARS'!$K$54*($DV50^2)+'LINEST VARS'!$J$54*(8*8)+'LINEST VARS'!$I$54*(8*$DZ$32)+'LINEST VARS'!$H$54*(8*0.5)+'LINEST VARS'!$G$54*(8*$DV50)+'LINEST VARS'!$F$54*(8*$DZ$32)+'LINEST VARS'!$E$54*(8*0.5)+'LINEST VARS'!$D$54*(8*$DV50)+'LINEST VARS'!$C$54*($DZ$32*0.5)+'LINEST VARS'!$B$54*($DZ$32*$DV50)+'LINEST VARS'!$A$54*(0.5*$DV50)</f>
        <v>3.9749999999999996</v>
      </c>
      <c r="EA50" s="51">
        <f>'LINEST VARS'!$U$54+'LINEST VARS'!$T$54*(8)+'LINEST VARS'!$S$54*(8)+'LINEST VARS'!$R$54*($EA$32)+'LINEST VARS'!$Q$54*(0.5)+'LINEST VARS'!$P$54*($DV50)+'LINEST VARS'!$O$54*(8^2)+'LINEST VARS'!$N$54*(8^2)+'LINEST VARS'!$M$54*($EA$32^2)+'LINEST VARS'!$L$54*(0.5^2)+'LINEST VARS'!$K$54*($DV50^2)+'LINEST VARS'!$J$54*(8*8)+'LINEST VARS'!$I$54*(8*$EA$32)+'LINEST VARS'!$H$54*(8*0.5)+'LINEST VARS'!$G$54*(8*$DV50)+'LINEST VARS'!$F$54*(8*$EA$32)+'LINEST VARS'!$E$54*(8*0.5)+'LINEST VARS'!$D$54*(8*$DV50)+'LINEST VARS'!$C$54*($EA$32*0.5)+'LINEST VARS'!$B$54*($EA$32*$DV50)+'LINEST VARS'!$A$54*(0.5*$DV50)</f>
        <v>3.9749999999999996</v>
      </c>
      <c r="EB50" s="51">
        <f>'LINEST VARS'!$U$54+'LINEST VARS'!$T$54*(8)+'LINEST VARS'!$S$54*(8)+'LINEST VARS'!$R$54*($EB$32)+'LINEST VARS'!$Q$54*(0.5)+'LINEST VARS'!$P$54*($DV50)+'LINEST VARS'!$O$54*(8^2)+'LINEST VARS'!$N$54*(8^2)+'LINEST VARS'!$M$54*($EB$32^2)+'LINEST VARS'!$L$54*(0.5^2)+'LINEST VARS'!$K$54*($DV50^2)+'LINEST VARS'!$J$54*(8*8)+'LINEST VARS'!$I$54*(8*$EB$32)+'LINEST VARS'!$H$54*(8*0.5)+'LINEST VARS'!$G$54*(8*$DV50)+'LINEST VARS'!$F$54*(8*$EB$32)+'LINEST VARS'!$E$54*(8*0.5)+'LINEST VARS'!$D$54*(8*$DV50)+'LINEST VARS'!$C$54*($EB$32*0.5)+'LINEST VARS'!$B$54*($EB$32*$DV50)+'LINEST VARS'!$A$54*(0.5*$DV50)</f>
        <v>3.9749999999999996</v>
      </c>
      <c r="EC50" s="51">
        <f>'LINEST VARS'!$U$54+'LINEST VARS'!$T$54*(8)+'LINEST VARS'!$S$54*(8)+'LINEST VARS'!$R$54*($EC$32)+'LINEST VARS'!$Q$54*(0.5)+'LINEST VARS'!$P$54*($DV50)+'LINEST VARS'!$O$54*(8^2)+'LINEST VARS'!$N$54*(8^2)+'LINEST VARS'!$M$54*($EC$32^2)+'LINEST VARS'!$L$54*(0.5^2)+'LINEST VARS'!$K$54*($DV50^2)+'LINEST VARS'!$J$54*(8*8)+'LINEST VARS'!$I$54*(8*$EC$32)+'LINEST VARS'!$H$54*(8*0.5)+'LINEST VARS'!$G$54*(8*$DV50)+'LINEST VARS'!$F$54*(8*$EC$32)+'LINEST VARS'!$E$54*(8*0.5)+'LINEST VARS'!$D$54*(8*$DV50)+'LINEST VARS'!$C$54*($EC$32*0.5)+'LINEST VARS'!$B$54*($EC$32*$DV50)+'LINEST VARS'!$A$54*(0.5*$DV50)</f>
        <v>3.9749999999999996</v>
      </c>
      <c r="ED50" s="51">
        <f>'LINEST VARS'!$U$54+'LINEST VARS'!$T$54*(8)+'LINEST VARS'!$S$54*(8)+'LINEST VARS'!$R$54*($ED$32)+'LINEST VARS'!$Q$54*(0.5)+'LINEST VARS'!$P$54*($DV50)+'LINEST VARS'!$O$54*(8^2)+'LINEST VARS'!$N$54*(8^2)+'LINEST VARS'!$M$54*($ED$32^2)+'LINEST VARS'!$L$54*(0.5^2)+'LINEST VARS'!$K$54*($DV50^2)+'LINEST VARS'!$J$54*(8*8)+'LINEST VARS'!$I$54*(8*$ED$32)+'LINEST VARS'!$H$54*(8*0.5)+'LINEST VARS'!$G$54*(8*$DV50)+'LINEST VARS'!$F$54*(8*$ED$32)+'LINEST VARS'!$E$54*(8*0.5)+'LINEST VARS'!$D$54*(8*$DV50)+'LINEST VARS'!$C$54*($ED$32*0.5)+'LINEST VARS'!$B$54*($ED$32*$DV50)+'LINEST VARS'!$A$54*(0.5*$DV50)</f>
        <v>3.9749999999999996</v>
      </c>
      <c r="EE50" s="51">
        <f>'LINEST VARS'!$U$54+'LINEST VARS'!$T$54*(8)+'LINEST VARS'!$S$54*(8)+'LINEST VARS'!$R$54*($EE$32)+'LINEST VARS'!$Q$54*(0.5)+'LINEST VARS'!$P$54*($DV50)+'LINEST VARS'!$O$54*(8^2)+'LINEST VARS'!$N$54*(8^2)+'LINEST VARS'!$M$54*($EE$32^2)+'LINEST VARS'!$L$54*(0.5^2)+'LINEST VARS'!$K$54*($DV50^2)+'LINEST VARS'!$J$54*(8*8)+'LINEST VARS'!$I$54*(8*$EE$32)+'LINEST VARS'!$H$54*(8*0.5)+'LINEST VARS'!$G$54*(8*$DV50)+'LINEST VARS'!$F$54*(8*$EE$32)+'LINEST VARS'!$E$54*(8*0.5)+'LINEST VARS'!$D$54*(8*$DV50)+'LINEST VARS'!$C$54*($EE$32*0.5)+'LINEST VARS'!$B$54*($EE$32*$DV50)+'LINEST VARS'!$A$54*(0.5*$DV50)</f>
        <v>3.9749999999999996</v>
      </c>
      <c r="EF50" s="51">
        <f>'LINEST VARS'!$U$54+'LINEST VARS'!$T$54*(8)+'LINEST VARS'!$S$54*(8)+'LINEST VARS'!$R$54*($EF$32)+'LINEST VARS'!$Q$54*(0.5)+'LINEST VARS'!$P$54*($DV50)+'LINEST VARS'!$O$54*(8^2)+'LINEST VARS'!$N$54*(8^2)+'LINEST VARS'!$M$54*($EF$32^2)+'LINEST VARS'!$L$54*(0.5^2)+'LINEST VARS'!$K$54*($DV50^2)+'LINEST VARS'!$J$54*(8*8)+'LINEST VARS'!$I$54*(8*$EF$32)+'LINEST VARS'!$H$54*(8*0.5)+'LINEST VARS'!$G$54*(8*$DV50)+'LINEST VARS'!$F$54*(8*$EF$32)+'LINEST VARS'!$E$54*(8*0.5)+'LINEST VARS'!$D$54*(8*$DV50)+'LINEST VARS'!$C$54*($EF$32*0.5)+'LINEST VARS'!$B$54*($EF$32*$DV50)+'LINEST VARS'!$A$54*(0.5*$DV50)</f>
        <v>3.9749999999999996</v>
      </c>
      <c r="EG50" s="51">
        <f>'LINEST VARS'!$U$54+'LINEST VARS'!$T$54*(8)+'LINEST VARS'!$S$54*(8)+'LINEST VARS'!$R$54*($EG$32)+'LINEST VARS'!$Q$54*(0.5)+'LINEST VARS'!$P$54*($DV50)+'LINEST VARS'!$O$54*(8^2)+'LINEST VARS'!$N$54*(8^2)+'LINEST VARS'!$M$54*($EG$32^2)+'LINEST VARS'!$L$54*(0.5^2)+'LINEST VARS'!$K$54*($DV50^2)+'LINEST VARS'!$J$54*(8*8)+'LINEST VARS'!$I$54*(8*$EG$32)+'LINEST VARS'!$H$54*(8*0.5)+'LINEST VARS'!$G$54*(8*$DV50)+'LINEST VARS'!$F$54*(8*$EG$32)+'LINEST VARS'!$E$54*(8*0.5)+'LINEST VARS'!$D$54*(8*$DV50)+'LINEST VARS'!$C$54*($EG$32*0.5)+'LINEST VARS'!$B$54*($EG$32*$DV50)+'LINEST VARS'!$A$54*(0.5*$DV50)</f>
        <v>3.9749999999999996</v>
      </c>
      <c r="EH50" s="51">
        <f>'LINEST VARS'!$U$54+'LINEST VARS'!$T$54*(8)+'LINEST VARS'!$S$54*(8)+'LINEST VARS'!$R$54*($EH$32)+'LINEST VARS'!$Q$54*(0.5)+'LINEST VARS'!$P$54*($DV50)+'LINEST VARS'!$O$54*(8^2)+'LINEST VARS'!$N$54*(8^2)+'LINEST VARS'!$M$54*($EH$32^2)+'LINEST VARS'!$L$54*(0.5^2)+'LINEST VARS'!$K$54*($DV50^2)+'LINEST VARS'!$J$54*(8*8)+'LINEST VARS'!$I$54*(8*$EH$32)+'LINEST VARS'!$H$54*(8*0.5)+'LINEST VARS'!$G$54*(8*$DV50)+'LINEST VARS'!$F$54*(8*$EH$32)+'LINEST VARS'!$E$54*(8*0.5)+'LINEST VARS'!$D$54*(8*$DV50)+'LINEST VARS'!$C$54*($EH$32*0.5)+'LINEST VARS'!$B$54*($EH$32*$DV50)+'LINEST VARS'!$A$54*(0.5*$DV50)</f>
        <v>3.9749999999999996</v>
      </c>
      <c r="EI50" s="51">
        <f>'LINEST VARS'!$U$54+'LINEST VARS'!$T$54*(8)+'LINEST VARS'!$S$54*(8)+'LINEST VARS'!$R$54*($EI$32)+'LINEST VARS'!$Q$54*(0.5)+'LINEST VARS'!$P$54*($DV50)+'LINEST VARS'!$O$54*(8^2)+'LINEST VARS'!$N$54*(8^2)+'LINEST VARS'!$M$54*($EI$32^2)+'LINEST VARS'!$L$54*(0.5^2)+'LINEST VARS'!$K$54*($DV50^2)+'LINEST VARS'!$J$54*(8*8)+'LINEST VARS'!$I$54*(8*$EI$32)+'LINEST VARS'!$H$54*(8*0.5)+'LINEST VARS'!$G$54*(8*$DV50)+'LINEST VARS'!$F$54*(8*$EI$32)+'LINEST VARS'!$E$54*(8*0.5)+'LINEST VARS'!$D$54*(8*$DV50)+'LINEST VARS'!$C$54*($EI$32*0.5)+'LINEST VARS'!$B$54*($EI$32*$DV50)+'LINEST VARS'!$A$54*(0.5*$DV50)</f>
        <v>3.9749999999999996</v>
      </c>
      <c r="EJ50" s="51">
        <f>'LINEST VARS'!$U$54+'LINEST VARS'!$T$54*(8)+'LINEST VARS'!$S$54*(8)+'LINEST VARS'!$R$54*($EJ$32)+'LINEST VARS'!$Q$54*(0.5)+'LINEST VARS'!$P$54*($DV50)+'LINEST VARS'!$O$54*(8^2)+'LINEST VARS'!$N$54*(8^2)+'LINEST VARS'!$M$54*($EJ$32^2)+'LINEST VARS'!$L$54*(0.5^2)+'LINEST VARS'!$K$54*($DV50^2)+'LINEST VARS'!$J$54*(8*8)+'LINEST VARS'!$I$54*(8*$EJ$32)+'LINEST VARS'!$H$54*(8*0.5)+'LINEST VARS'!$G$54*(8*$DV50)+'LINEST VARS'!$F$54*(8*$EJ$32)+'LINEST VARS'!$E$54*(8*0.5)+'LINEST VARS'!$D$54*(8*$DV50)+'LINEST VARS'!$C$54*($EJ$32*0.5)+'LINEST VARS'!$B$54*($EJ$32*$DV50)+'LINEST VARS'!$A$54*(0.5*$DV50)</f>
        <v>3.9749999999999996</v>
      </c>
      <c r="EK50" s="51">
        <f>'LINEST VARS'!$U$54+'LINEST VARS'!$T$54*(8)+'LINEST VARS'!$S$54*(8)+'LINEST VARS'!$R$54*($EK$32)+'LINEST VARS'!$Q$54*(0.5)+'LINEST VARS'!$P$54*($DV50)+'LINEST VARS'!$O$54*(8^2)+'LINEST VARS'!$N$54*(8^2)+'LINEST VARS'!$M$54*($EK$32^2)+'LINEST VARS'!$L$54*(0.5^2)+'LINEST VARS'!$K$54*($DV50^2)+'LINEST VARS'!$J$54*(8*8)+'LINEST VARS'!$I$54*(8*$EK$32)+'LINEST VARS'!$H$54*(8*0.5)+'LINEST VARS'!$G$54*(8*$DV50)+'LINEST VARS'!$F$54*(8*$EK$32)+'LINEST VARS'!$E$54*(8*0.5)+'LINEST VARS'!$D$54*(8*$DV50)+'LINEST VARS'!$C$54*($EK$32*0.5)+'LINEST VARS'!$B$54*($EK$32*$DV50)+'LINEST VARS'!$A$54*(0.5*$DV50)</f>
        <v>3.9749999999999996</v>
      </c>
      <c r="EL50" s="51">
        <f>'LINEST VARS'!$U$54+'LINEST VARS'!$T$54*(8)+'LINEST VARS'!$S$54*(8)+'LINEST VARS'!$R$54*($EL$32)+'LINEST VARS'!$Q$54*(0.5)+'LINEST VARS'!$P$54*($DV50)+'LINEST VARS'!$O$54*(8^2)+'LINEST VARS'!$N$54*(8^2)+'LINEST VARS'!$M$54*($EL$32^2)+'LINEST VARS'!$L$54*(0.5^2)+'LINEST VARS'!$K$54*($DV50^2)+'LINEST VARS'!$J$54*(8*8)+'LINEST VARS'!$I$54*(8*$EL$32)+'LINEST VARS'!$H$54*(8*0.5)+'LINEST VARS'!$G$54*(8*$DV50)+'LINEST VARS'!$F$54*(8*$EL$32)+'LINEST VARS'!$E$54*(8*0.5)+'LINEST VARS'!$D$54*(8*$DV50)+'LINEST VARS'!$C$54*($EL$32*0.5)+'LINEST VARS'!$B$54*($EL$32*$DV50)+'LINEST VARS'!$A$54*(0.5*$DV50)</f>
        <v>3.9749999999999996</v>
      </c>
      <c r="EM50" s="51">
        <f>'LINEST VARS'!$U$54+'LINEST VARS'!$T$54*(8)+'LINEST VARS'!$S$54*(8)+'LINEST VARS'!$R$54*($EM$32)+'LINEST VARS'!$Q$54*(0.5)+'LINEST VARS'!$P$54*($DV50)+'LINEST VARS'!$O$54*(8^2)+'LINEST VARS'!$N$54*(8^2)+'LINEST VARS'!$M$54*($EM$32^2)+'LINEST VARS'!$L$54*(0.5^2)+'LINEST VARS'!$K$54*($DV50^2)+'LINEST VARS'!$J$54*(8*8)+'LINEST VARS'!$I$54*(8*$EM$32)+'LINEST VARS'!$H$54*(8*0.5)+'LINEST VARS'!$G$54*(8*$DV50)+'LINEST VARS'!$F$54*(8*$EM$32)+'LINEST VARS'!$E$54*(8*0.5)+'LINEST VARS'!$D$54*(8*$DV50)+'LINEST VARS'!$C$54*($EM$32*0.5)+'LINEST VARS'!$B$54*($EM$32*$DV50)+'LINEST VARS'!$A$54*(0.5*$DV50)</f>
        <v>3.9749999999999996</v>
      </c>
      <c r="EN50" s="51">
        <f>'LINEST VARS'!$U$54+'LINEST VARS'!$T$54*(8)+'LINEST VARS'!$S$54*(8)+'LINEST VARS'!$R$54*($EN$32)+'LINEST VARS'!$Q$54*(0.5)+'LINEST VARS'!$P$54*($DV50)+'LINEST VARS'!$O$54*(8^2)+'LINEST VARS'!$N$54*(8^2)+'LINEST VARS'!$M$54*($EN$32^2)+'LINEST VARS'!$L$54*(0.5^2)+'LINEST VARS'!$K$54*($DV50^2)+'LINEST VARS'!$J$54*(8*8)+'LINEST VARS'!$I$54*(8*$EN$32)+'LINEST VARS'!$H$54*(8*0.5)+'LINEST VARS'!$G$54*(8*$DV50)+'LINEST VARS'!$F$54*(8*$EN$32)+'LINEST VARS'!$E$54*(8*0.5)+'LINEST VARS'!$D$54*(8*$DV50)+'LINEST VARS'!$C$54*($EN$32*0.5)+'LINEST VARS'!$B$54*($EN$32*$DV50)+'LINEST VARS'!$A$54*(0.5*$DV50)</f>
        <v>3.9749999999999996</v>
      </c>
      <c r="EO50" s="51">
        <f>'LINEST VARS'!$U$54+'LINEST VARS'!$T$54*(8)+'LINEST VARS'!$S$54*(8)+'LINEST VARS'!$R$54*($EO$32)+'LINEST VARS'!$Q$54*(0.5)+'LINEST VARS'!$P$54*($DV50)+'LINEST VARS'!$O$54*(8^2)+'LINEST VARS'!$N$54*(8^2)+'LINEST VARS'!$M$54*($EO$32^2)+'LINEST VARS'!$L$54*(0.5^2)+'LINEST VARS'!$K$54*($DV50^2)+'LINEST VARS'!$J$54*(8*8)+'LINEST VARS'!$I$54*(8*$EO$32)+'LINEST VARS'!$H$54*(8*0.5)+'LINEST VARS'!$G$54*(8*$DV50)+'LINEST VARS'!$F$54*(8*$EO$32)+'LINEST VARS'!$E$54*(8*0.5)+'LINEST VARS'!$D$54*(8*$DV50)+'LINEST VARS'!$C$54*($EO$32*0.5)+'LINEST VARS'!$B$54*($EO$32*$DV50)+'LINEST VARS'!$A$54*(0.5*$DV50)</f>
        <v>3.9749999999999996</v>
      </c>
      <c r="EP50" s="51">
        <f>'LINEST VARS'!$U$54+'LINEST VARS'!$T$54*(8)+'LINEST VARS'!$S$54*(8)+'LINEST VARS'!$R$54*($EP$32)+'LINEST VARS'!$Q$54*(0.5)+'LINEST VARS'!$P$54*($DV50)+'LINEST VARS'!$O$54*(8^2)+'LINEST VARS'!$N$54*(8^2)+'LINEST VARS'!$M$54*($EP$32^2)+'LINEST VARS'!$L$54*(0.5^2)+'LINEST VARS'!$K$54*($DV50^2)+'LINEST VARS'!$J$54*(8*8)+'LINEST VARS'!$I$54*(8*$EP$32)+'LINEST VARS'!$H$54*(8*0.5)+'LINEST VARS'!$G$54*(8*$DV50)+'LINEST VARS'!$F$54*(8*$EP$32)+'LINEST VARS'!$E$54*(8*0.5)+'LINEST VARS'!$D$54*(8*$DV50)+'LINEST VARS'!$C$54*($EP$32*0.5)+'LINEST VARS'!$B$54*($EP$32*$DV50)+'LINEST VARS'!$A$54*(0.5*$DV50)</f>
        <v>3.9749999999999996</v>
      </c>
      <c r="EQ50" s="52">
        <f>'LINEST VARS'!$U$54+'LINEST VARS'!$T$54*(8)+'LINEST VARS'!$S$54*(8)+'LINEST VARS'!$R$54*($EQ$32)+'LINEST VARS'!$Q$54*(0.5)+'LINEST VARS'!$P$54*($DV50)+'LINEST VARS'!$O$54*(8^2)+'LINEST VARS'!$N$54*(8^2)+'LINEST VARS'!$M$54*($EQ$32^2)+'LINEST VARS'!$L$54*(0.5^2)+'LINEST VARS'!$K$54*($DV50^2)+'LINEST VARS'!$J$54*(8*8)+'LINEST VARS'!$I$54*(8*$EQ$32)+'LINEST VARS'!$H$54*(8*0.5)+'LINEST VARS'!$G$54*(8*$DV50)+'LINEST VARS'!$F$54*(8*$EQ$32)+'LINEST VARS'!$E$54*(8*0.5)+'LINEST VARS'!$D$54*(8*$DV50)+'LINEST VARS'!$C$54*($EQ$32*0.5)+'LINEST VARS'!$B$54*($EQ$32*$DV50)+'LINEST VARS'!$A$54*(0.5*$DV50)</f>
        <v>3.9749999999999996</v>
      </c>
    </row>
    <row r="51" spans="2:147" ht="15" customHeight="1" x14ac:dyDescent="0.25">
      <c r="B51" s="45">
        <v>8.48</v>
      </c>
      <c r="C51" s="51">
        <f>'LINEST VARS'!$U$52+'LINEST VARS'!$T$52*($C$32)+'LINEST VARS'!$S$52*($B51)+'LINEST VARS'!$R$52*(4)+'LINEST VARS'!$Q$52*(0.5)+'LINEST VARS'!$P$52*(12.73)+'LINEST VARS'!$O$52*($C$32^2)+'LINEST VARS'!$N$52*($B51^2)+'LINEST VARS'!$M$52*(4^2)+'LINEST VARS'!$L$52*(0.5^2)+'LINEST VARS'!$K$52*(12.73^2)+'LINEST VARS'!$J$52*($C$32*$B51)+'LINEST VARS'!$I$52*($C$32*4)+'LINEST VARS'!$H$52*($C$32*0.5)+'LINEST VARS'!$G$52*($C$32*12.73)+'LINEST VARS'!$F$52*($B51*4)+'LINEST VARS'!$E$52*($B51*0.5)+'LINEST VARS'!$D$52*($B51*12.73)+'LINEST VARS'!$C$52*(4*0.5)+'LINEST VARS'!$B$52*(4*12.73)+'LINEST VARS'!$A$52*(0.5*12.73)</f>
        <v>4.4499999999999984</v>
      </c>
      <c r="D51" s="51">
        <f>'LINEST VARS'!$U$52+'LINEST VARS'!$T$52*($D$32)+'LINEST VARS'!$S$52*($B51)+'LINEST VARS'!$R$52*(4)+'LINEST VARS'!$Q$52*(0.5)+'LINEST VARS'!$P$52*(12.73)+'LINEST VARS'!$O$52*($D$32^2)+'LINEST VARS'!$N$52*($B51^2)+'LINEST VARS'!$M$52*(4^2)+'LINEST VARS'!$L$52*(0.5^2)+'LINEST VARS'!$K$52*(12.73^2)+'LINEST VARS'!$J$52*($D$32*$B51)+'LINEST VARS'!$I$52*($D$32*4)+'LINEST VARS'!$H$52*($D$32*0.5)+'LINEST VARS'!$G$52*($D$32*12.73)+'LINEST VARS'!$F$52*($B51*4)+'LINEST VARS'!$E$52*($B51*0.5)+'LINEST VARS'!$D$52*($B51*12.73)+'LINEST VARS'!$C$52*(4*0.5)+'LINEST VARS'!$B$52*(4*12.73)+'LINEST VARS'!$A$52*(0.5*12.73)</f>
        <v>4.4499999999999984</v>
      </c>
      <c r="E51" s="51">
        <f>'LINEST VARS'!$U$52+'LINEST VARS'!$T$52*($E$32)+'LINEST VARS'!$S$52*($B51)+'LINEST VARS'!$R$52*(4)+'LINEST VARS'!$Q$52*(0.5)+'LINEST VARS'!$P$52*(12.73)+'LINEST VARS'!$O$52*($E$32^2)+'LINEST VARS'!$N$52*($B51^2)+'LINEST VARS'!$M$52*(4^2)+'LINEST VARS'!$L$52*(0.5^2)+'LINEST VARS'!$K$52*(12.73^2)+'LINEST VARS'!$J$52*($E$32*$B51)+'LINEST VARS'!$I$52*($E$32*4)+'LINEST VARS'!$H$52*($E$32*0.5)+'LINEST VARS'!$G$52*($E$32*12.73)+'LINEST VARS'!$F$52*($B51*4)+'LINEST VARS'!$E$52*($B51*0.5)+'LINEST VARS'!$D$52*($B51*12.73)+'LINEST VARS'!$C$52*(4*0.5)+'LINEST VARS'!$B$52*(4*12.73)+'LINEST VARS'!$A$52*(0.5*12.73)</f>
        <v>4.4499999999999984</v>
      </c>
      <c r="F51" s="51">
        <f>'LINEST VARS'!$U$52+'LINEST VARS'!$T$52*($F$32)+'LINEST VARS'!$S$52*($B51)+'LINEST VARS'!$R$52*(4)+'LINEST VARS'!$Q$52*(0.5)+'LINEST VARS'!$P$52*(12.73)+'LINEST VARS'!$O$52*($F$32^2)+'LINEST VARS'!$N$52*($B51^2)+'LINEST VARS'!$M$52*(4^2)+'LINEST VARS'!$L$52*(0.5^2)+'LINEST VARS'!$K$52*(12.73^2)+'LINEST VARS'!$J$52*($F$32*$B51)+'LINEST VARS'!$I$52*($F$32*4)+'LINEST VARS'!$H$52*($F$32*0.5)+'LINEST VARS'!$G$52*($F$32*12.73)+'LINEST VARS'!$F$52*($B51*4)+'LINEST VARS'!$E$52*($B51*0.5)+'LINEST VARS'!$D$52*($B51*12.73)+'LINEST VARS'!$C$52*(4*0.5)+'LINEST VARS'!$B$52*(4*12.73)+'LINEST VARS'!$A$52*(0.5*12.73)</f>
        <v>4.4499999999999984</v>
      </c>
      <c r="G51" s="51">
        <f>'LINEST VARS'!$U$52+'LINEST VARS'!$T$52*($G$32)+'LINEST VARS'!$S$52*($B51)+'LINEST VARS'!$R$52*(4)+'LINEST VARS'!$Q$52*(0.5)+'LINEST VARS'!$P$52*(12.73)+'LINEST VARS'!$O$52*($G$32^2)+'LINEST VARS'!$N$52*($B51^2)+'LINEST VARS'!$M$52*(4^2)+'LINEST VARS'!$L$52*(0.5^2)+'LINEST VARS'!$K$52*(12.73^2)+'LINEST VARS'!$J$52*($G$32*$B51)+'LINEST VARS'!$I$52*($G$32*4)+'LINEST VARS'!$H$52*($G$32*0.5)+'LINEST VARS'!$G$52*($G$32*12.73)+'LINEST VARS'!$F$52*($B51*4)+'LINEST VARS'!$E$52*($B51*0.5)+'LINEST VARS'!$D$52*($B51*12.73)+'LINEST VARS'!$C$52*(4*0.5)+'LINEST VARS'!$B$52*(4*12.73)+'LINEST VARS'!$A$52*(0.5*12.73)</f>
        <v>4.4499999999999984</v>
      </c>
      <c r="H51" s="51">
        <f>'LINEST VARS'!$U$52+'LINEST VARS'!$T$52*($H$32)+'LINEST VARS'!$S$52*($B51)+'LINEST VARS'!$R$52*(4)+'LINEST VARS'!$Q$52*(0.5)+'LINEST VARS'!$P$52*(12.73)+'LINEST VARS'!$O$52*($H$32^2)+'LINEST VARS'!$N$52*($B51^2)+'LINEST VARS'!$M$52*(4^2)+'LINEST VARS'!$L$52*(0.5^2)+'LINEST VARS'!$K$52*(12.73^2)+'LINEST VARS'!$J$52*($H$32*$B51)+'LINEST VARS'!$I$52*($H$32*4)+'LINEST VARS'!$H$52*($H$32*0.5)+'LINEST VARS'!$G$52*($H$32*12.73)+'LINEST VARS'!$F$52*($B51*4)+'LINEST VARS'!$E$52*($B51*0.5)+'LINEST VARS'!$D$52*($B51*12.73)+'LINEST VARS'!$C$52*(4*0.5)+'LINEST VARS'!$B$52*(4*12.73)+'LINEST VARS'!$A$52*(0.5*12.73)</f>
        <v>4.4499999999999984</v>
      </c>
      <c r="I51" s="51">
        <f>'LINEST VARS'!$U$52+'LINEST VARS'!$T$52*($I$32)+'LINEST VARS'!$S$52*($B51)+'LINEST VARS'!$R$52*(4)+'LINEST VARS'!$Q$52*(0.5)+'LINEST VARS'!$P$52*(12.73)+'LINEST VARS'!$O$52*($I$32^2)+'LINEST VARS'!$N$52*($B51^2)+'LINEST VARS'!$M$52*(4^2)+'LINEST VARS'!$L$52*(0.5^2)+'LINEST VARS'!$K$52*(12.73^2)+'LINEST VARS'!$J$52*($I$32*$B51)+'LINEST VARS'!$I$52*($I$32*4)+'LINEST VARS'!$H$52*($I$32*0.5)+'LINEST VARS'!$G$52*($I$32*12.73)+'LINEST VARS'!$F$52*($B51*4)+'LINEST VARS'!$E$52*($B51*0.5)+'LINEST VARS'!$D$52*($B51*12.73)+'LINEST VARS'!$C$52*(4*0.5)+'LINEST VARS'!$B$52*(4*12.73)+'LINEST VARS'!$A$52*(0.5*12.73)</f>
        <v>4.4499999999999984</v>
      </c>
      <c r="J51" s="51">
        <f>'LINEST VARS'!$U$52+'LINEST VARS'!$T$52*($J$32)+'LINEST VARS'!$S$52*($B51)+'LINEST VARS'!$R$52*(4)+'LINEST VARS'!$Q$52*(0.5)+'LINEST VARS'!$P$52*(12.73)+'LINEST VARS'!$O$52*($J$32^2)+'LINEST VARS'!$N$52*($B51^2)+'LINEST VARS'!$M$52*(4^2)+'LINEST VARS'!$L$52*(0.5^2)+'LINEST VARS'!$K$52*(12.73^2)+'LINEST VARS'!$J$52*($J$32*$B51)+'LINEST VARS'!$I$52*($J$32*4)+'LINEST VARS'!$H$52*($J$32*0.5)+'LINEST VARS'!$G$52*($J$32*12.73)+'LINEST VARS'!$F$52*($B51*4)+'LINEST VARS'!$E$52*($B51*0.5)+'LINEST VARS'!$D$52*($B51*12.73)+'LINEST VARS'!$C$52*(4*0.5)+'LINEST VARS'!$B$52*(4*12.73)+'LINEST VARS'!$A$52*(0.5*12.73)</f>
        <v>4.4499999999999984</v>
      </c>
      <c r="K51" s="51">
        <f>'LINEST VARS'!$U$52+'LINEST VARS'!$T$52*($K$32)+'LINEST VARS'!$S$52*($B51)+'LINEST VARS'!$R$52*(4)+'LINEST VARS'!$Q$52*(0.5)+'LINEST VARS'!$P$52*(12.73)+'LINEST VARS'!$O$52*($K$32^2)+'LINEST VARS'!$N$52*($B51^2)+'LINEST VARS'!$M$52*(4^2)+'LINEST VARS'!$L$52*(0.5^2)+'LINEST VARS'!$K$52*(12.73^2)+'LINEST VARS'!$J$52*($K$32*$B51)+'LINEST VARS'!$I$52*($K$32*4)+'LINEST VARS'!$H$52*($K$32*0.5)+'LINEST VARS'!$G$52*($K$32*12.73)+'LINEST VARS'!$F$52*($B51*4)+'LINEST VARS'!$E$52*($B51*0.5)+'LINEST VARS'!$D$52*($B51*12.73)+'LINEST VARS'!$C$52*(4*0.5)+'LINEST VARS'!$B$52*(4*12.73)+'LINEST VARS'!$A$52*(0.5*12.73)</f>
        <v>4.4499999999999984</v>
      </c>
      <c r="L51" s="51">
        <f>'LINEST VARS'!$U$52+'LINEST VARS'!$T$52*($L$32)+'LINEST VARS'!$S$52*($B51)+'LINEST VARS'!$R$52*(4)+'LINEST VARS'!$Q$52*(0.5)+'LINEST VARS'!$P$52*(12.73)+'LINEST VARS'!$O$52*($L$32^2)+'LINEST VARS'!$N$52*($B51^2)+'LINEST VARS'!$M$52*(4^2)+'LINEST VARS'!$L$52*(0.5^2)+'LINEST VARS'!$K$52*(12.73^2)+'LINEST VARS'!$J$52*($L$32*$B51)+'LINEST VARS'!$I$52*($L$32*4)+'LINEST VARS'!$H$52*($L$32*0.5)+'LINEST VARS'!$G$52*($L$32*12.73)+'LINEST VARS'!$F$52*($B51*4)+'LINEST VARS'!$E$52*($B51*0.5)+'LINEST VARS'!$D$52*($B51*12.73)+'LINEST VARS'!$C$52*(4*0.5)+'LINEST VARS'!$B$52*(4*12.73)+'LINEST VARS'!$A$52*(0.5*12.73)</f>
        <v>4.4499999999999984</v>
      </c>
      <c r="M51" s="51">
        <f>'LINEST VARS'!$U$52+'LINEST VARS'!$T$52*($M$32)+'LINEST VARS'!$S$52*($B51)+'LINEST VARS'!$R$52*(4)+'LINEST VARS'!$Q$52*(0.5)+'LINEST VARS'!$P$52*(12.73)+'LINEST VARS'!$O$52*($M$32^2)+'LINEST VARS'!$N$52*($B51^2)+'LINEST VARS'!$M$52*(4^2)+'LINEST VARS'!$L$52*(0.5^2)+'LINEST VARS'!$K$52*(12.73^2)+'LINEST VARS'!$J$52*($M$32*$B51)+'LINEST VARS'!$I$52*($M$32*4)+'LINEST VARS'!$H$52*($M$32*0.5)+'LINEST VARS'!$G$52*($M$32*12.73)+'LINEST VARS'!$F$52*($B51*4)+'LINEST VARS'!$E$52*($B51*0.5)+'LINEST VARS'!$D$52*($B51*12.73)+'LINEST VARS'!$C$52*(4*0.5)+'LINEST VARS'!$B$52*(4*12.73)+'LINEST VARS'!$A$52*(0.5*12.73)</f>
        <v>4.4499999999999984</v>
      </c>
      <c r="N51" s="51">
        <f>'LINEST VARS'!$U$52+'LINEST VARS'!$T$52*($N$32)+'LINEST VARS'!$S$52*($B51)+'LINEST VARS'!$R$52*(4)+'LINEST VARS'!$Q$52*(0.5)+'LINEST VARS'!$P$52*(12.73)+'LINEST VARS'!$O$52*($N$32^2)+'LINEST VARS'!$N$52*($B51^2)+'LINEST VARS'!$M$52*(4^2)+'LINEST VARS'!$L$52*(0.5^2)+'LINEST VARS'!$K$52*(12.73^2)+'LINEST VARS'!$J$52*($N$32*$B51)+'LINEST VARS'!$I$52*($N$32*4)+'LINEST VARS'!$H$52*($N$32*0.5)+'LINEST VARS'!$G$52*($N$32*12.73)+'LINEST VARS'!$F$52*($B51*4)+'LINEST VARS'!$E$52*($B51*0.5)+'LINEST VARS'!$D$52*($B51*12.73)+'LINEST VARS'!$C$52*(4*0.5)+'LINEST VARS'!$B$52*(4*12.73)+'LINEST VARS'!$A$52*(0.5*12.73)</f>
        <v>4.4499999999999984</v>
      </c>
      <c r="O51" s="51">
        <f>'LINEST VARS'!$U$52+'LINEST VARS'!$T$52*($O$32)+'LINEST VARS'!$S$52*($B51)+'LINEST VARS'!$R$52*(4)+'LINEST VARS'!$Q$52*(0.5)+'LINEST VARS'!$P$52*(12.73)+'LINEST VARS'!$O$52*($O$32^2)+'LINEST VARS'!$N$52*($B51^2)+'LINEST VARS'!$M$52*(4^2)+'LINEST VARS'!$L$52*(0.5^2)+'LINEST VARS'!$K$52*(12.73^2)+'LINEST VARS'!$J$52*($O$32*$B51)+'LINEST VARS'!$I$52*($O$32*4)+'LINEST VARS'!$H$52*($O$32*0.5)+'LINEST VARS'!$G$52*($O$32*12.73)+'LINEST VARS'!$F$52*($B51*4)+'LINEST VARS'!$E$52*($B51*0.5)+'LINEST VARS'!$D$52*($B51*12.73)+'LINEST VARS'!$C$52*(4*0.5)+'LINEST VARS'!$B$52*(4*12.73)+'LINEST VARS'!$A$52*(0.5*12.73)</f>
        <v>4.4499999999999984</v>
      </c>
      <c r="P51" s="51">
        <f>'LINEST VARS'!$U$52+'LINEST VARS'!$T$52*($P$32)+'LINEST VARS'!$S$52*($B51)+'LINEST VARS'!$R$52*(4)+'LINEST VARS'!$Q$52*(0.5)+'LINEST VARS'!$P$52*(12.73)+'LINEST VARS'!$O$52*($P$32^2)+'LINEST VARS'!$N$52*($B51^2)+'LINEST VARS'!$M$52*(4^2)+'LINEST VARS'!$L$52*(0.5^2)+'LINEST VARS'!$K$52*(12.73^2)+'LINEST VARS'!$J$52*($P$32*$B51)+'LINEST VARS'!$I$52*($P$32*4)+'LINEST VARS'!$H$52*($P$32*0.5)+'LINEST VARS'!$G$52*($P$32*12.73)+'LINEST VARS'!$F$52*($B51*4)+'LINEST VARS'!$E$52*($B51*0.5)+'LINEST VARS'!$D$52*($B51*12.73)+'LINEST VARS'!$C$52*(4*0.5)+'LINEST VARS'!$B$52*(4*12.73)+'LINEST VARS'!$A$52*(0.5*12.73)</f>
        <v>4.4499999999999984</v>
      </c>
      <c r="Q51" s="51">
        <f>'LINEST VARS'!$U$52+'LINEST VARS'!$T$52*($Q$32)+'LINEST VARS'!$S$52*($B51)+'LINEST VARS'!$R$52*(4)+'LINEST VARS'!$Q$52*(0.5)+'LINEST VARS'!$P$52*(12.73)+'LINEST VARS'!$O$52*($Q$32^2)+'LINEST VARS'!$N$52*($B51^2)+'LINEST VARS'!$M$52*(4^2)+'LINEST VARS'!$L$52*(0.5^2)+'LINEST VARS'!$K$52*(12.73^2)+'LINEST VARS'!$J$52*($Q$32*$B51)+'LINEST VARS'!$I$52*($Q$32*4)+'LINEST VARS'!$H$52*($Q$32*0.5)+'LINEST VARS'!$G$52*($Q$32*12.73)+'LINEST VARS'!$F$52*($B51*4)+'LINEST VARS'!$E$52*($B51*0.5)+'LINEST VARS'!$D$52*($B51*12.73)+'LINEST VARS'!$C$52*(4*0.5)+'LINEST VARS'!$B$52*(4*12.73)+'LINEST VARS'!$A$52*(0.5*12.73)</f>
        <v>4.4499999999999984</v>
      </c>
      <c r="R51" s="51">
        <f>'LINEST VARS'!$U$52+'LINEST VARS'!$T$52*($R$32)+'LINEST VARS'!$S$52*($B51)+'LINEST VARS'!$R$52*(4)+'LINEST VARS'!$Q$52*(0.5)+'LINEST VARS'!$P$52*(12.73)+'LINEST VARS'!$O$52*($R$32^2)+'LINEST VARS'!$N$52*($B51^2)+'LINEST VARS'!$M$52*(4^2)+'LINEST VARS'!$L$52*(0.5^2)+'LINEST VARS'!$K$52*(12.73^2)+'LINEST VARS'!$J$52*($R$32*$B51)+'LINEST VARS'!$I$52*($R$32*4)+'LINEST VARS'!$H$52*($R$32*0.5)+'LINEST VARS'!$G$52*($R$32*12.73)+'LINEST VARS'!$F$52*($B51*4)+'LINEST VARS'!$E$52*($B51*0.5)+'LINEST VARS'!$D$52*($B51*12.73)+'LINEST VARS'!$C$52*(4*0.5)+'LINEST VARS'!$B$52*(4*12.73)+'LINEST VARS'!$A$52*(0.5*12.73)</f>
        <v>4.4499999999999984</v>
      </c>
      <c r="S51" s="51">
        <f>'LINEST VARS'!$U$52+'LINEST VARS'!$T$52*($S$32)+'LINEST VARS'!$S$52*($B51)+'LINEST VARS'!$R$52*(4)+'LINEST VARS'!$Q$52*(0.5)+'LINEST VARS'!$P$52*(12.73)+'LINEST VARS'!$O$52*($S$32^2)+'LINEST VARS'!$N$52*($B51^2)+'LINEST VARS'!$M$52*(4^2)+'LINEST VARS'!$L$52*(0.5^2)+'LINEST VARS'!$K$52*(12.73^2)+'LINEST VARS'!$J$52*($S$32*$B51)+'LINEST VARS'!$I$52*($S$32*4)+'LINEST VARS'!$H$52*($S$32*0.5)+'LINEST VARS'!$G$52*($S$32*12.73)+'LINEST VARS'!$F$52*($B51*4)+'LINEST VARS'!$E$52*($B51*0.5)+'LINEST VARS'!$D$52*($B51*12.73)+'LINEST VARS'!$C$52*(4*0.5)+'LINEST VARS'!$B$52*(4*12.73)+'LINEST VARS'!$A$52*(0.5*12.73)</f>
        <v>4.4499999999999984</v>
      </c>
      <c r="T51" s="51">
        <f>'LINEST VARS'!$U$52+'LINEST VARS'!$T$52*($T$32)+'LINEST VARS'!$S$52*($B51)+'LINEST VARS'!$R$52*(4)+'LINEST VARS'!$Q$52*(0.5)+'LINEST VARS'!$P$52*(12.73)+'LINEST VARS'!$O$52*($T$32^2)+'LINEST VARS'!$N$52*($B51^2)+'LINEST VARS'!$M$52*(4^2)+'LINEST VARS'!$L$52*(0.5^2)+'LINEST VARS'!$K$52*(12.73^2)+'LINEST VARS'!$J$52*($T$32*$B51)+'LINEST VARS'!$I$52*($T$32*4)+'LINEST VARS'!$H$52*($T$32*0.5)+'LINEST VARS'!$G$52*($T$32*12.73)+'LINEST VARS'!$F$52*($B51*4)+'LINEST VARS'!$E$52*($B51*0.5)+'LINEST VARS'!$D$52*($B51*12.73)+'LINEST VARS'!$C$52*(4*0.5)+'LINEST VARS'!$B$52*(4*12.73)+'LINEST VARS'!$A$52*(0.5*12.73)</f>
        <v>4.4499999999999984</v>
      </c>
      <c r="U51" s="51">
        <f>'LINEST VARS'!$U$52+'LINEST VARS'!$T$52*($U$32)+'LINEST VARS'!$S$52*($B51)+'LINEST VARS'!$R$52*(4)+'LINEST VARS'!$Q$52*(0.5)+'LINEST VARS'!$P$52*(12.73)+'LINEST VARS'!$O$52*($U$32^2)+'LINEST VARS'!$N$52*($B51^2)+'LINEST VARS'!$M$52*(4^2)+'LINEST VARS'!$L$52*(0.5^2)+'LINEST VARS'!$K$52*(12.73^2)+'LINEST VARS'!$J$52*($U$32*$B51)+'LINEST VARS'!$I$52*($U$32*4)+'LINEST VARS'!$H$52*($U$32*0.5)+'LINEST VARS'!$G$52*($U$32*12.73)+'LINEST VARS'!$F$52*($B51*4)+'LINEST VARS'!$E$52*($B51*0.5)+'LINEST VARS'!$D$52*($B51*12.73)+'LINEST VARS'!$C$52*(4*0.5)+'LINEST VARS'!$B$52*(4*12.73)+'LINEST VARS'!$A$52*(0.5*12.73)</f>
        <v>4.4499999999999984</v>
      </c>
      <c r="V51" s="51">
        <f>'LINEST VARS'!$U$52+'LINEST VARS'!$T$52*($V$32)+'LINEST VARS'!$S$52*($B51)+'LINEST VARS'!$R$52*(4)+'LINEST VARS'!$Q$52*(0.5)+'LINEST VARS'!$P$52*(12.73)+'LINEST VARS'!$O$52*($V$32^2)+'LINEST VARS'!$N$52*($B51^2)+'LINEST VARS'!$M$52*(4^2)+'LINEST VARS'!$L$52*(0.5^2)+'LINEST VARS'!$K$52*(12.73^2)+'LINEST VARS'!$J$52*($V$32*$B51)+'LINEST VARS'!$I$52*($V$32*4)+'LINEST VARS'!$H$52*($V$32*0.5)+'LINEST VARS'!$G$52*($V$32*12.73)+'LINEST VARS'!$F$52*($B51*4)+'LINEST VARS'!$E$52*($B51*0.5)+'LINEST VARS'!$D$52*($B51*12.73)+'LINEST VARS'!$C$52*(4*0.5)+'LINEST VARS'!$B$52*(4*12.73)+'LINEST VARS'!$A$52*(0.5*12.73)</f>
        <v>4.4499999999999993</v>
      </c>
      <c r="W51" s="52">
        <f>'LINEST VARS'!$U$52+'LINEST VARS'!$T$52*($W$32)+'LINEST VARS'!$S$52*($B51)+'LINEST VARS'!$R$52*(4)+'LINEST VARS'!$Q$52*(0.5)+'LINEST VARS'!$P$52*(12.73)+'LINEST VARS'!$O$52*($W$32^2)+'LINEST VARS'!$N$52*($B51^2)+'LINEST VARS'!$M$52*(4^2)+'LINEST VARS'!$L$52*(0.5^2)+'LINEST VARS'!$K$52*(12.73^2)+'LINEST VARS'!$J$52*($W$32*$B51)+'LINEST VARS'!$I$52*($W$32*4)+'LINEST VARS'!$H$52*($W$32*0.5)+'LINEST VARS'!$G$52*($W$32*12.73)+'LINEST VARS'!$F$52*($B51*4)+'LINEST VARS'!$E$52*($B51*0.5)+'LINEST VARS'!$D$52*($B51*12.73)+'LINEST VARS'!$C$52*(4*0.5)+'LINEST VARS'!$B$52*(4*12.73)+'LINEST VARS'!$A$52*(0.5*12.73)</f>
        <v>4.4499999999999993</v>
      </c>
      <c r="Z51" s="45">
        <v>8.48</v>
      </c>
      <c r="AA51" s="51">
        <f>'LINEST VARS'!$U$54+'LINEST VARS'!$T$54*($AA$32)+'LINEST VARS'!$S$54*($Z51)+'LINEST VARS'!$R$54*(4)+'LINEST VARS'!$Q$54*(0.5)+'LINEST VARS'!$P$54*(12.73)+'LINEST VARS'!$O$54*($AA$32^2)+'LINEST VARS'!$N$54*($Z51^2)+'LINEST VARS'!$M$54*(4^2)+'LINEST VARS'!$L$54*(0.5^2)+'LINEST VARS'!$K$54*(12.73^2)+'LINEST VARS'!$J$54*($AA$32*$Z51)+'LINEST VARS'!$I$54*($AA$32*4)+'LINEST VARS'!$H$54*($AA$32*0.5)+'LINEST VARS'!$G$54*($AA$32*12.73)+'LINEST VARS'!$F$54*($Z51*4)+'LINEST VARS'!$E$54*($Z51*0.5)+'LINEST VARS'!$D$54*($Z51*12.73)+'LINEST VARS'!$C$54*(4*0.5)+'LINEST VARS'!$B$54*(4*12.73)+'LINEST VARS'!$A$54*(0.5*12.73)</f>
        <v>3.9749999999999996</v>
      </c>
      <c r="AB51" s="51">
        <f>'LINEST VARS'!$U$54+'LINEST VARS'!$T$54*($AB$32)+'LINEST VARS'!$S$54*($Z51)+'LINEST VARS'!$R$54*(4)+'LINEST VARS'!$Q$54*(0.5)+'LINEST VARS'!$P$54*(12.73)+'LINEST VARS'!$O$54*($AB$32^2)+'LINEST VARS'!$N$54*($Z51^2)+'LINEST VARS'!$M$54*(4^2)+'LINEST VARS'!$L$54*(0.5^2)+'LINEST VARS'!$K$54*(12.73^2)+'LINEST VARS'!$J$54*($AB$32*$Z51)+'LINEST VARS'!$I$54*($AB$32*4)+'LINEST VARS'!$H$54*($AB$32*0.5)+'LINEST VARS'!$G$54*($AB$32*12.73)+'LINEST VARS'!$F$54*($Z51*4)+'LINEST VARS'!$E$54*($Z51*0.5)+'LINEST VARS'!$D$54*($Z51*12.73)+'LINEST VARS'!$C$54*(4*0.5)+'LINEST VARS'!$B$54*(4*12.73)+'LINEST VARS'!$A$54*(0.5*12.73)</f>
        <v>3.9749999999999996</v>
      </c>
      <c r="AC51" s="51">
        <f>'LINEST VARS'!$U$54+'LINEST VARS'!$T$54*($AC$32)+'LINEST VARS'!$S$54*($Z51)+'LINEST VARS'!$R$54*(4)+'LINEST VARS'!$Q$54*(0.5)+'LINEST VARS'!$P$54*(12.73)+'LINEST VARS'!$O$54*($AC$32^2)+'LINEST VARS'!$N$54*($Z51^2)+'LINEST VARS'!$M$54*(4^2)+'LINEST VARS'!$L$54*(0.5^2)+'LINEST VARS'!$K$54*(12.73^2)+'LINEST VARS'!$J$54*($AC$32*$Z51)+'LINEST VARS'!$I$54*($AC$32*4)+'LINEST VARS'!$H$54*($AC$32*0.5)+'LINEST VARS'!$G$54*($AC$32*12.73)+'LINEST VARS'!$F$54*($Z51*4)+'LINEST VARS'!$E$54*($Z51*0.5)+'LINEST VARS'!$D$54*($Z51*12.73)+'LINEST VARS'!$C$54*(4*0.5)+'LINEST VARS'!$B$54*(4*12.73)+'LINEST VARS'!$A$54*(0.5*12.73)</f>
        <v>3.9749999999999996</v>
      </c>
      <c r="AD51" s="51">
        <f>'LINEST VARS'!$U$54+'LINEST VARS'!$T$54*($AD$32)+'LINEST VARS'!$S$54*($Z51)+'LINEST VARS'!$R$54*(4)+'LINEST VARS'!$Q$54*(0.5)+'LINEST VARS'!$P$54*(12.73)+'LINEST VARS'!$O$54*($AD$32^2)+'LINEST VARS'!$N$54*($Z51^2)+'LINEST VARS'!$M$54*(4^2)+'LINEST VARS'!$L$54*(0.5^2)+'LINEST VARS'!$K$54*(12.73^2)+'LINEST VARS'!$J$54*($AD$32*$Z51)+'LINEST VARS'!$I$54*($AD$32*4)+'LINEST VARS'!$H$54*($AD$32*0.5)+'LINEST VARS'!$G$54*($AD$32*12.73)+'LINEST VARS'!$F$54*($Z51*4)+'LINEST VARS'!$E$54*($Z51*0.5)+'LINEST VARS'!$D$54*($Z51*12.73)+'LINEST VARS'!$C$54*(4*0.5)+'LINEST VARS'!$B$54*(4*12.73)+'LINEST VARS'!$A$54*(0.5*12.73)</f>
        <v>3.9749999999999996</v>
      </c>
      <c r="AE51" s="51">
        <f>'LINEST VARS'!$U$54+'LINEST VARS'!$T$54*($AE$32)+'LINEST VARS'!$S$54*($Z51)+'LINEST VARS'!$R$54*(4)+'LINEST VARS'!$Q$54*(0.5)+'LINEST VARS'!$P$54*(12.73)+'LINEST VARS'!$O$54*($AE$32^2)+'LINEST VARS'!$N$54*($Z51^2)+'LINEST VARS'!$M$54*(4^2)+'LINEST VARS'!$L$54*(0.5^2)+'LINEST VARS'!$K$54*(12.73^2)+'LINEST VARS'!$J$54*($AE$32*$Z51)+'LINEST VARS'!$I$54*($AE$32*4)+'LINEST VARS'!$H$54*($AE$32*0.5)+'LINEST VARS'!$G$54*($AE$32*12.73)+'LINEST VARS'!$F$54*($Z51*4)+'LINEST VARS'!$E$54*($Z51*0.5)+'LINEST VARS'!$D$54*($Z51*12.73)+'LINEST VARS'!$C$54*(4*0.5)+'LINEST VARS'!$B$54*(4*12.73)+'LINEST VARS'!$A$54*(0.5*12.73)</f>
        <v>3.9749999999999996</v>
      </c>
      <c r="AF51" s="51">
        <f>'LINEST VARS'!$U$54+'LINEST VARS'!$T$54*($AF$32)+'LINEST VARS'!$S$54*($Z51)+'LINEST VARS'!$R$54*(4)+'LINEST VARS'!$Q$54*(0.5)+'LINEST VARS'!$P$54*(12.73)+'LINEST VARS'!$O$54*($AF$32^2)+'LINEST VARS'!$N$54*($Z51^2)+'LINEST VARS'!$M$54*(4^2)+'LINEST VARS'!$L$54*(0.5^2)+'LINEST VARS'!$K$54*(12.73^2)+'LINEST VARS'!$J$54*($AF$32*$Z51)+'LINEST VARS'!$I$54*($AF$32*4)+'LINEST VARS'!$H$54*($AF$32*0.5)+'LINEST VARS'!$G$54*($AF$32*12.73)+'LINEST VARS'!$F$54*($Z51*4)+'LINEST VARS'!$E$54*($Z51*0.5)+'LINEST VARS'!$D$54*($Z51*12.73)+'LINEST VARS'!$C$54*(4*0.5)+'LINEST VARS'!$B$54*(4*12.73)+'LINEST VARS'!$A$54*(0.5*12.73)</f>
        <v>3.9749999999999996</v>
      </c>
      <c r="AG51" s="51">
        <f>'LINEST VARS'!$U$54+'LINEST VARS'!$T$54*($AG$32)+'LINEST VARS'!$S$54*($Z51)+'LINEST VARS'!$R$54*(4)+'LINEST VARS'!$Q$54*(0.5)+'LINEST VARS'!$P$54*(12.73)+'LINEST VARS'!$O$54*($AG$32^2)+'LINEST VARS'!$N$54*($Z51^2)+'LINEST VARS'!$M$54*(4^2)+'LINEST VARS'!$L$54*(0.5^2)+'LINEST VARS'!$K$54*(12.73^2)+'LINEST VARS'!$J$54*($AG$32*$Z51)+'LINEST VARS'!$I$54*($AG$32*4)+'LINEST VARS'!$H$54*($AG$32*0.5)+'LINEST VARS'!$G$54*($AG$32*12.73)+'LINEST VARS'!$F$54*($Z51*4)+'LINEST VARS'!$E$54*($Z51*0.5)+'LINEST VARS'!$D$54*($Z51*12.73)+'LINEST VARS'!$C$54*(4*0.5)+'LINEST VARS'!$B$54*(4*12.73)+'LINEST VARS'!$A$54*(0.5*12.73)</f>
        <v>3.9749999999999996</v>
      </c>
      <c r="AH51" s="51">
        <f>'LINEST VARS'!$U$54+'LINEST VARS'!$T$54*($AH$32)+'LINEST VARS'!$S$54*($Z51)+'LINEST VARS'!$R$54*(4)+'LINEST VARS'!$Q$54*(0.5)+'LINEST VARS'!$P$54*(12.73)+'LINEST VARS'!$O$54*($AH$32^2)+'LINEST VARS'!$N$54*($Z51^2)+'LINEST VARS'!$M$54*(4^2)+'LINEST VARS'!$L$54*(0.5^2)+'LINEST VARS'!$K$54*(12.73^2)+'LINEST VARS'!$J$54*($AH$32*$Z51)+'LINEST VARS'!$I$54*($AH$32*4)+'LINEST VARS'!$H$54*($AH$32*0.5)+'LINEST VARS'!$G$54*($AH$32*12.73)+'LINEST VARS'!$F$54*($Z51*4)+'LINEST VARS'!$E$54*($Z51*0.5)+'LINEST VARS'!$D$54*($Z51*12.73)+'LINEST VARS'!$C$54*(4*0.5)+'LINEST VARS'!$B$54*(4*12.73)+'LINEST VARS'!$A$54*(0.5*12.73)</f>
        <v>3.9749999999999996</v>
      </c>
      <c r="AI51" s="51">
        <f>'LINEST VARS'!$U$54+'LINEST VARS'!$T$54*($AI$32)+'LINEST VARS'!$S$54*($Z51)+'LINEST VARS'!$R$54*(4)+'LINEST VARS'!$Q$54*(0.5)+'LINEST VARS'!$P$54*(12.73)+'LINEST VARS'!$O$54*($AI$32^2)+'LINEST VARS'!$N$54*($Z51^2)+'LINEST VARS'!$M$54*(4^2)+'LINEST VARS'!$L$54*(0.5^2)+'LINEST VARS'!$K$54*(12.73^2)+'LINEST VARS'!$J$54*($AI$32*$Z51)+'LINEST VARS'!$I$54*($AI$32*4)+'LINEST VARS'!$H$54*($AI$32*0.5)+'LINEST VARS'!$G$54*($AI$32*12.73)+'LINEST VARS'!$F$54*($Z51*4)+'LINEST VARS'!$E$54*($Z51*0.5)+'LINEST VARS'!$D$54*($Z51*12.73)+'LINEST VARS'!$C$54*(4*0.5)+'LINEST VARS'!$B$54*(4*12.73)+'LINEST VARS'!$A$54*(0.5*12.73)</f>
        <v>3.9749999999999996</v>
      </c>
      <c r="AJ51" s="51">
        <f>'LINEST VARS'!$U$54+'LINEST VARS'!$T$54*($AJ$32)+'LINEST VARS'!$S$54*($Z51)+'LINEST VARS'!$R$54*(4)+'LINEST VARS'!$Q$54*(0.5)+'LINEST VARS'!$P$54*(12.73)+'LINEST VARS'!$O$54*($AJ$32^2)+'LINEST VARS'!$N$54*($Z51^2)+'LINEST VARS'!$M$54*(4^2)+'LINEST VARS'!$L$54*(0.5^2)+'LINEST VARS'!$K$54*(12.73^2)+'LINEST VARS'!$J$54*($AJ$32*$Z51)+'LINEST VARS'!$I$54*($AJ$32*4)+'LINEST VARS'!$H$54*($AJ$32*0.5)+'LINEST VARS'!$G$54*($AJ$32*12.73)+'LINEST VARS'!$F$54*($Z51*4)+'LINEST VARS'!$E$54*($Z51*0.5)+'LINEST VARS'!$D$54*($Z51*12.73)+'LINEST VARS'!$C$54*(4*0.5)+'LINEST VARS'!$B$54*(4*12.73)+'LINEST VARS'!$A$54*(0.5*12.73)</f>
        <v>3.9749999999999996</v>
      </c>
      <c r="AK51" s="51">
        <f>'LINEST VARS'!$U$54+'LINEST VARS'!$T$54*($AK$32)+'LINEST VARS'!$S$54*($Z51)+'LINEST VARS'!$R$54*(4)+'LINEST VARS'!$Q$54*(0.5)+'LINEST VARS'!$P$54*(12.73)+'LINEST VARS'!$O$54*($AK$32^2)+'LINEST VARS'!$N$54*($Z51^2)+'LINEST VARS'!$M$54*(4^2)+'LINEST VARS'!$L$54*(0.5^2)+'LINEST VARS'!$K$54*(12.73^2)+'LINEST VARS'!$J$54*($AK$32*$Z51)+'LINEST VARS'!$I$54*($AK$32*4)+'LINEST VARS'!$H$54*($AK$32*0.5)+'LINEST VARS'!$G$54*($AK$32*12.73)+'LINEST VARS'!$F$54*($Z51*4)+'LINEST VARS'!$E$54*($Z51*0.5)+'LINEST VARS'!$D$54*($Z51*12.73)+'LINEST VARS'!$C$54*(4*0.5)+'LINEST VARS'!$B$54*(4*12.73)+'LINEST VARS'!$A$54*(0.5*12.73)</f>
        <v>3.9749999999999996</v>
      </c>
      <c r="AL51" s="51">
        <f>'LINEST VARS'!$U$54+'LINEST VARS'!$T$54*($AL$32)+'LINEST VARS'!$S$54*($Z51)+'LINEST VARS'!$R$54*(4)+'LINEST VARS'!$Q$54*(0.5)+'LINEST VARS'!$P$54*(12.73)+'LINEST VARS'!$O$54*($AL$32^2)+'LINEST VARS'!$N$54*($Z51^2)+'LINEST VARS'!$M$54*(4^2)+'LINEST VARS'!$L$54*(0.5^2)+'LINEST VARS'!$K$54*(12.73^2)+'LINEST VARS'!$J$54*($AL$32*$Z51)+'LINEST VARS'!$I$54*($AL$32*4)+'LINEST VARS'!$H$54*($AL$32*0.5)+'LINEST VARS'!$G$54*($AL$32*12.73)+'LINEST VARS'!$F$54*($Z51*4)+'LINEST VARS'!$E$54*($Z51*0.5)+'LINEST VARS'!$D$54*($Z51*12.73)+'LINEST VARS'!$C$54*(4*0.5)+'LINEST VARS'!$B$54*(4*12.73)+'LINEST VARS'!$A$54*(0.5*12.73)</f>
        <v>3.9749999999999996</v>
      </c>
      <c r="AM51" s="51">
        <f>'LINEST VARS'!$U$54+'LINEST VARS'!$T$54*($AM$32)+'LINEST VARS'!$S$54*($Z51)+'LINEST VARS'!$R$54*(4)+'LINEST VARS'!$Q$54*(0.5)+'LINEST VARS'!$P$54*(12.73)+'LINEST VARS'!$O$54*($AM$32^2)+'LINEST VARS'!$N$54*($Z51^2)+'LINEST VARS'!$M$54*(4^2)+'LINEST VARS'!$L$54*(0.5^2)+'LINEST VARS'!$K$54*(12.73^2)+'LINEST VARS'!$J$54*($AM$32*$Z51)+'LINEST VARS'!$I$54*($AM$32*4)+'LINEST VARS'!$H$54*($AM$32*0.5)+'LINEST VARS'!$G$54*($AM$32*12.73)+'LINEST VARS'!$F$54*($Z51*4)+'LINEST VARS'!$E$54*($Z51*0.5)+'LINEST VARS'!$D$54*($Z51*12.73)+'LINEST VARS'!$C$54*(4*0.5)+'LINEST VARS'!$B$54*(4*12.73)+'LINEST VARS'!$A$54*(0.5*12.73)</f>
        <v>3.9749999999999996</v>
      </c>
      <c r="AN51" s="51">
        <f>'LINEST VARS'!$U$54+'LINEST VARS'!$T$54*($AN$32)+'LINEST VARS'!$S$54*($Z51)+'LINEST VARS'!$R$54*(4)+'LINEST VARS'!$Q$54*(0.5)+'LINEST VARS'!$P$54*(12.73)+'LINEST VARS'!$O$54*($AN$32^2)+'LINEST VARS'!$N$54*($Z51^2)+'LINEST VARS'!$M$54*(4^2)+'LINEST VARS'!$L$54*(0.5^2)+'LINEST VARS'!$K$54*(12.73^2)+'LINEST VARS'!$J$54*($AN$32*$Z51)+'LINEST VARS'!$I$54*($AN$32*4)+'LINEST VARS'!$H$54*($AN$32*0.5)+'LINEST VARS'!$G$54*($AN$32*12.73)+'LINEST VARS'!$F$54*($Z51*4)+'LINEST VARS'!$E$54*($Z51*0.5)+'LINEST VARS'!$D$54*($Z51*12.73)+'LINEST VARS'!$C$54*(4*0.5)+'LINEST VARS'!$B$54*(4*12.73)+'LINEST VARS'!$A$54*(0.5*12.73)</f>
        <v>3.9749999999999996</v>
      </c>
      <c r="AO51" s="51">
        <f>'LINEST VARS'!$U$54+'LINEST VARS'!$T$54*($AO$32)+'LINEST VARS'!$S$54*($Z51)+'LINEST VARS'!$R$54*(4)+'LINEST VARS'!$Q$54*(0.5)+'LINEST VARS'!$P$54*(12.73)+'LINEST VARS'!$O$54*($AO$32^2)+'LINEST VARS'!$N$54*($Z51^2)+'LINEST VARS'!$M$54*(4^2)+'LINEST VARS'!$L$54*(0.5^2)+'LINEST VARS'!$K$54*(12.73^2)+'LINEST VARS'!$J$54*($AO$32*$Z51)+'LINEST VARS'!$I$54*($AO$32*4)+'LINEST VARS'!$H$54*($AO$32*0.5)+'LINEST VARS'!$G$54*($AO$32*12.73)+'LINEST VARS'!$F$54*($Z51*4)+'LINEST VARS'!$E$54*($Z51*0.5)+'LINEST VARS'!$D$54*($Z51*12.73)+'LINEST VARS'!$C$54*(4*0.5)+'LINEST VARS'!$B$54*(4*12.73)+'LINEST VARS'!$A$54*(0.5*12.73)</f>
        <v>3.9749999999999996</v>
      </c>
      <c r="AP51" s="51">
        <f>'LINEST VARS'!$U$54+'LINEST VARS'!$T$54*($AP$32)+'LINEST VARS'!$S$54*($Z51)+'LINEST VARS'!$R$54*(4)+'LINEST VARS'!$Q$54*(0.5)+'LINEST VARS'!$P$54*(12.73)+'LINEST VARS'!$O$54*($AP$32^2)+'LINEST VARS'!$N$54*($Z51^2)+'LINEST VARS'!$M$54*(4^2)+'LINEST VARS'!$L$54*(0.5^2)+'LINEST VARS'!$K$54*(12.73^2)+'LINEST VARS'!$J$54*($AP$32*$Z51)+'LINEST VARS'!$I$54*($AP$32*4)+'LINEST VARS'!$H$54*($AP$32*0.5)+'LINEST VARS'!$G$54*($AP$32*12.73)+'LINEST VARS'!$F$54*($Z51*4)+'LINEST VARS'!$E$54*($Z51*0.5)+'LINEST VARS'!$D$54*($Z51*12.73)+'LINEST VARS'!$C$54*(4*0.5)+'LINEST VARS'!$B$54*(4*12.73)+'LINEST VARS'!$A$54*(0.5*12.73)</f>
        <v>3.9749999999999996</v>
      </c>
      <c r="AQ51" s="51">
        <f>'LINEST VARS'!$U$54+'LINEST VARS'!$T$54*($AQ$32)+'LINEST VARS'!$S$54*($Z51)+'LINEST VARS'!$R$54*(4)+'LINEST VARS'!$Q$54*(0.5)+'LINEST VARS'!$P$54*(12.73)+'LINEST VARS'!$O$54*($AQ$32^2)+'LINEST VARS'!$N$54*($Z51^2)+'LINEST VARS'!$M$54*(4^2)+'LINEST VARS'!$L$54*(0.5^2)+'LINEST VARS'!$K$54*(12.73^2)+'LINEST VARS'!$J$54*($AQ$32*$Z51)+'LINEST VARS'!$I$54*($AQ$32*4)+'LINEST VARS'!$H$54*($AQ$32*0.5)+'LINEST VARS'!$G$54*($AQ$32*12.73)+'LINEST VARS'!$F$54*($Z51*4)+'LINEST VARS'!$E$54*($Z51*0.5)+'LINEST VARS'!$D$54*($Z51*12.73)+'LINEST VARS'!$C$54*(4*0.5)+'LINEST VARS'!$B$54*(4*12.73)+'LINEST VARS'!$A$54*(0.5*12.73)</f>
        <v>3.9749999999999996</v>
      </c>
      <c r="AR51" s="51">
        <f>'LINEST VARS'!$U$54+'LINEST VARS'!$T$54*($AR$32)+'LINEST VARS'!$S$54*($Z51)+'LINEST VARS'!$R$54*(4)+'LINEST VARS'!$Q$54*(0.5)+'LINEST VARS'!$P$54*(12.73)+'LINEST VARS'!$O$54*($AR$32^2)+'LINEST VARS'!$N$54*($Z51^2)+'LINEST VARS'!$M$54*(4^2)+'LINEST VARS'!$L$54*(0.5^2)+'LINEST VARS'!$K$54*(12.73^2)+'LINEST VARS'!$J$54*($AR$32*$Z51)+'LINEST VARS'!$I$54*($AR$32*4)+'LINEST VARS'!$H$54*($AR$32*0.5)+'LINEST VARS'!$G$54*($AR$32*12.73)+'LINEST VARS'!$F$54*($Z51*4)+'LINEST VARS'!$E$54*($Z51*0.5)+'LINEST VARS'!$D$54*($Z51*12.73)+'LINEST VARS'!$C$54*(4*0.5)+'LINEST VARS'!$B$54*(4*12.73)+'LINEST VARS'!$A$54*(0.5*12.73)</f>
        <v>3.9749999999999996</v>
      </c>
      <c r="AS51" s="51">
        <f>'LINEST VARS'!$U$54+'LINEST VARS'!$T$54*($AS$32)+'LINEST VARS'!$S$54*($Z51)+'LINEST VARS'!$R$54*(4)+'LINEST VARS'!$Q$54*(0.5)+'LINEST VARS'!$P$54*(12.73)+'LINEST VARS'!$O$54*($AS$32^2)+'LINEST VARS'!$N$54*($Z51^2)+'LINEST VARS'!$M$54*(4^2)+'LINEST VARS'!$L$54*(0.5^2)+'LINEST VARS'!$K$54*(12.73^2)+'LINEST VARS'!$J$54*($AS$32*$Z51)+'LINEST VARS'!$I$54*($AS$32*4)+'LINEST VARS'!$H$54*($AS$32*0.5)+'LINEST VARS'!$G$54*($AS$32*12.73)+'LINEST VARS'!$F$54*($Z51*4)+'LINEST VARS'!$E$54*($Z51*0.5)+'LINEST VARS'!$D$54*($Z51*12.73)+'LINEST VARS'!$C$54*(4*0.5)+'LINEST VARS'!$B$54*(4*12.73)+'LINEST VARS'!$A$54*(0.5*12.73)</f>
        <v>3.9749999999999996</v>
      </c>
      <c r="AT51" s="51">
        <f>'LINEST VARS'!$U$54+'LINEST VARS'!$T$54*($AT$32)+'LINEST VARS'!$S$54*($Z51)+'LINEST VARS'!$R$54*(4)+'LINEST VARS'!$Q$54*(0.5)+'LINEST VARS'!$P$54*(12.73)+'LINEST VARS'!$O$54*($AT$32^2)+'LINEST VARS'!$N$54*($Z51^2)+'LINEST VARS'!$M$54*(4^2)+'LINEST VARS'!$L$54*(0.5^2)+'LINEST VARS'!$K$54*(12.73^2)+'LINEST VARS'!$J$54*($AT$32*$Z51)+'LINEST VARS'!$I$54*($AT$32*4)+'LINEST VARS'!$H$54*($AT$32*0.5)+'LINEST VARS'!$G$54*($AT$32*12.73)+'LINEST VARS'!$F$54*($Z51*4)+'LINEST VARS'!$E$54*($Z51*0.5)+'LINEST VARS'!$D$54*($Z51*12.73)+'LINEST VARS'!$C$54*(4*0.5)+'LINEST VARS'!$B$54*(4*12.73)+'LINEST VARS'!$A$54*(0.5*12.73)</f>
        <v>3.9750000000000001</v>
      </c>
      <c r="AU51" s="52">
        <f>'LINEST VARS'!$U$54+'LINEST VARS'!$T$54*($AU$32)+'LINEST VARS'!$S$54*($Z51)+'LINEST VARS'!$R$54*(4)+'LINEST VARS'!$Q$54*(0.5)+'LINEST VARS'!$P$54*(12.73)+'LINEST VARS'!$O$54*($AU$32^2)+'LINEST VARS'!$N$54*($Z51^2)+'LINEST VARS'!$M$54*(4^2)+'LINEST VARS'!$L$54*(0.5^2)+'LINEST VARS'!$K$54*(12.73^2)+'LINEST VARS'!$J$54*($AU$32*$Z51)+'LINEST VARS'!$I$54*($AU$32*4)+'LINEST VARS'!$H$54*($AU$32*0.5)+'LINEST VARS'!$G$54*($AU$32*12.73)+'LINEST VARS'!$F$54*($Z51*4)+'LINEST VARS'!$E$54*($Z51*0.5)+'LINEST VARS'!$D$54*($Z51*12.73)+'LINEST VARS'!$C$54*(4*0.5)+'LINEST VARS'!$B$54*(4*12.73)+'LINEST VARS'!$A$54*(0.5*12.73)</f>
        <v>3.9750000000000001</v>
      </c>
      <c r="AZ51" s="45">
        <v>0.9</v>
      </c>
      <c r="BA51" s="51">
        <f>'LINEST VARS'!$U$52+'LINEST VARS'!$T$52*(8)+'LINEST VARS'!$S$52*(8)+'LINEST VARS'!$R$52*($BA$32)+'LINEST VARS'!$Q$52*($AZ51)+'LINEST VARS'!$P$52*(12.73)+'LINEST VARS'!$O$52*(8^2)+'LINEST VARS'!$N$52*(8^2)+'LINEST VARS'!$M$52*($BA$32^2)+'LINEST VARS'!$L$52*($AZ51^2)+'LINEST VARS'!$K$52*(12.73^2)+'LINEST VARS'!$J$52*(8*8)+'LINEST VARS'!$I$52*(8*$BA$32)+'LINEST VARS'!$H$52*(8*$AZ51)+'LINEST VARS'!$G$52*(8*12.73)+'LINEST VARS'!$F$52*(8*$BA$32)+'LINEST VARS'!$E$52*(8*$AZ51)+'LINEST VARS'!$D$52*(8*12.73)+'LINEST VARS'!$C$52*($BA$32*$AZ51)+'LINEST VARS'!$B$52*($BA$32*12.73)+'LINEST VARS'!$A$52*($AZ51*12.73)</f>
        <v>4.4099999999999984</v>
      </c>
      <c r="BB51" s="51">
        <f>'LINEST VARS'!$U$52+'LINEST VARS'!$T$52*(8)+'LINEST VARS'!$S$52*(8)+'LINEST VARS'!$R$52*($BB$32)+'LINEST VARS'!$Q$52*($AZ51)+'LINEST VARS'!$P$52*(12.73)+'LINEST VARS'!$O$52*(8^2)+'LINEST VARS'!$N$52*(8^2)+'LINEST VARS'!$M$52*($BB$32^2)+'LINEST VARS'!$L$52*($AZ51^2)+'LINEST VARS'!$K$52*(12.73^2)+'LINEST VARS'!$J$52*(8*8)+'LINEST VARS'!$I$52*(8*$BB$32)+'LINEST VARS'!$H$52*(8*$AZ51)+'LINEST VARS'!$G$52*(8*12.73)+'LINEST VARS'!$F$52*(8*$BB$32)+'LINEST VARS'!$E$52*(8*$AZ51)+'LINEST VARS'!$D$52*(8*12.73)+'LINEST VARS'!$C$52*($BB$32*$AZ51)+'LINEST VARS'!$B$52*($BB$32*12.73)+'LINEST VARS'!$A$52*($AZ51*12.73)</f>
        <v>4.4099999999999984</v>
      </c>
      <c r="BC51" s="51">
        <f>'LINEST VARS'!$U$52+'LINEST VARS'!$T$52*(8)+'LINEST VARS'!$S$52*(8)+'LINEST VARS'!$R$52*($BC$32)+'LINEST VARS'!$Q$52*($AZ51)+'LINEST VARS'!$P$52*(12.73)+'LINEST VARS'!$O$52*(8^2)+'LINEST VARS'!$N$52*(8^2)+'LINEST VARS'!$M$52*($BC$32^2)+'LINEST VARS'!$L$52*($AZ51^2)+'LINEST VARS'!$K$52*(12.73^2)+'LINEST VARS'!$J$52*(8*8)+'LINEST VARS'!$I$52*(8*$BC$32)+'LINEST VARS'!$H$52*(8*$AZ51)+'LINEST VARS'!$G$52*(8*12.73)+'LINEST VARS'!$F$52*(8*$BC$32)+'LINEST VARS'!$E$52*(8*$AZ51)+'LINEST VARS'!$D$52*(8*12.73)+'LINEST VARS'!$C$52*($BC$32*$AZ51)+'LINEST VARS'!$B$52*($BC$32*12.73)+'LINEST VARS'!$A$52*($AZ51*12.73)</f>
        <v>4.4099999999999984</v>
      </c>
      <c r="BD51" s="51">
        <f>'LINEST VARS'!$U$52+'LINEST VARS'!$T$52*(8)+'LINEST VARS'!$S$52*(8)+'LINEST VARS'!$R$52*($BD$32)+'LINEST VARS'!$Q$52*($AZ51)+'LINEST VARS'!$P$52*(12.73)+'LINEST VARS'!$O$52*(8^2)+'LINEST VARS'!$N$52*(8^2)+'LINEST VARS'!$M$52*($BD$32^2)+'LINEST VARS'!$L$52*($AZ51^2)+'LINEST VARS'!$K$52*(12.73^2)+'LINEST VARS'!$J$52*(8*8)+'LINEST VARS'!$I$52*(8*$BD$32)+'LINEST VARS'!$H$52*(8*$AZ51)+'LINEST VARS'!$G$52*(8*12.73)+'LINEST VARS'!$F$52*(8*$BD$32)+'LINEST VARS'!$E$52*(8*$AZ51)+'LINEST VARS'!$D$52*(8*12.73)+'LINEST VARS'!$C$52*($BD$32*$AZ51)+'LINEST VARS'!$B$52*($BD$32*12.73)+'LINEST VARS'!$A$52*($AZ51*12.73)</f>
        <v>4.4099999999999984</v>
      </c>
      <c r="BE51" s="51">
        <f>'LINEST VARS'!$U$52+'LINEST VARS'!$T$52*(8)+'LINEST VARS'!$S$52*(8)+'LINEST VARS'!$R$52*($BE$32)+'LINEST VARS'!$Q$52*($AZ51)+'LINEST VARS'!$P$52*(12.73)+'LINEST VARS'!$O$52*(8^2)+'LINEST VARS'!$N$52*(8^2)+'LINEST VARS'!$M$52*($BE$32^2)+'LINEST VARS'!$L$52*($AZ51^2)+'LINEST VARS'!$K$52*(12.73^2)+'LINEST VARS'!$J$52*(8*8)+'LINEST VARS'!$I$52*(8*$BE$32)+'LINEST VARS'!$H$52*(8*$AZ51)+'LINEST VARS'!$G$52*(8*12.73)+'LINEST VARS'!$F$52*(8*$BE$32)+'LINEST VARS'!$E$52*(8*$AZ51)+'LINEST VARS'!$D$52*(8*12.73)+'LINEST VARS'!$C$52*($BE$32*$AZ51)+'LINEST VARS'!$B$52*($BE$32*12.73)+'LINEST VARS'!$A$52*($AZ51*12.73)</f>
        <v>4.4099999999999984</v>
      </c>
      <c r="BF51" s="51">
        <f>'LINEST VARS'!$U$52+'LINEST VARS'!$T$52*(8)+'LINEST VARS'!$S$52*(8)+'LINEST VARS'!$R$52*($BF$32)+'LINEST VARS'!$Q$52*($AZ51)+'LINEST VARS'!$P$52*(12.73)+'LINEST VARS'!$O$52*(8^2)+'LINEST VARS'!$N$52*(8^2)+'LINEST VARS'!$M$52*($BF$32^2)+'LINEST VARS'!$L$52*($AZ51^2)+'LINEST VARS'!$K$52*(12.73^2)+'LINEST VARS'!$J$52*(8*8)+'LINEST VARS'!$I$52*(8*$BF$32)+'LINEST VARS'!$H$52*(8*$AZ51)+'LINEST VARS'!$G$52*(8*12.73)+'LINEST VARS'!$F$52*(8*$BF$32)+'LINEST VARS'!$E$52*(8*$AZ51)+'LINEST VARS'!$D$52*(8*12.73)+'LINEST VARS'!$C$52*($BF$32*$AZ51)+'LINEST VARS'!$B$52*($BF$32*12.73)+'LINEST VARS'!$A$52*($AZ51*12.73)</f>
        <v>4.4099999999999984</v>
      </c>
      <c r="BG51" s="51">
        <f>'LINEST VARS'!$U$52+'LINEST VARS'!$T$52*(8)+'LINEST VARS'!$S$52*(8)+'LINEST VARS'!$R$52*($BG$32)+'LINEST VARS'!$Q$52*($AZ51)+'LINEST VARS'!$P$52*(12.73)+'LINEST VARS'!$O$52*(8^2)+'LINEST VARS'!$N$52*(8^2)+'LINEST VARS'!$M$52*($BG$32^2)+'LINEST VARS'!$L$52*($AZ51^2)+'LINEST VARS'!$K$52*(12.73^2)+'LINEST VARS'!$J$52*(8*8)+'LINEST VARS'!$I$52*(8*$BG$32)+'LINEST VARS'!$H$52*(8*$AZ51)+'LINEST VARS'!$G$52*(8*12.73)+'LINEST VARS'!$F$52*(8*$BG$32)+'LINEST VARS'!$E$52*(8*$AZ51)+'LINEST VARS'!$D$52*(8*12.73)+'LINEST VARS'!$C$52*($BG$32*$AZ51)+'LINEST VARS'!$B$52*($BG$32*12.73)+'LINEST VARS'!$A$52*($AZ51*12.73)</f>
        <v>4.4099999999999984</v>
      </c>
      <c r="BH51" s="51">
        <f>'LINEST VARS'!$U$52+'LINEST VARS'!$T$52*(8)+'LINEST VARS'!$S$52*(8)+'LINEST VARS'!$R$52*($BH$32)+'LINEST VARS'!$Q$52*($AZ51)+'LINEST VARS'!$P$52*(12.73)+'LINEST VARS'!$O$52*(8^2)+'LINEST VARS'!$N$52*(8^2)+'LINEST VARS'!$M$52*($BH$32^2)+'LINEST VARS'!$L$52*($AZ51^2)+'LINEST VARS'!$K$52*(12.73^2)+'LINEST VARS'!$J$52*(8*8)+'LINEST VARS'!$I$52*(8*$BH$32)+'LINEST VARS'!$H$52*(8*$AZ51)+'LINEST VARS'!$G$52*(8*12.73)+'LINEST VARS'!$F$52*(8*$BH$32)+'LINEST VARS'!$E$52*(8*$AZ51)+'LINEST VARS'!$D$52*(8*12.73)+'LINEST VARS'!$C$52*($BH$32*$AZ51)+'LINEST VARS'!$B$52*($BH$32*12.73)+'LINEST VARS'!$A$52*($AZ51*12.73)</f>
        <v>4.4099999999999984</v>
      </c>
      <c r="BI51" s="51">
        <f>'LINEST VARS'!$U$52+'LINEST VARS'!$T$52*(8)+'LINEST VARS'!$S$52*(8)+'LINEST VARS'!$R$52*($BI$32)+'LINEST VARS'!$Q$52*($AZ51)+'LINEST VARS'!$P$52*(12.73)+'LINEST VARS'!$O$52*(8^2)+'LINEST VARS'!$N$52*(8^2)+'LINEST VARS'!$M$52*($BI$32^2)+'LINEST VARS'!$L$52*($AZ51^2)+'LINEST VARS'!$K$52*(12.73^2)+'LINEST VARS'!$J$52*(8*8)+'LINEST VARS'!$I$52*(8*$BI$32)+'LINEST VARS'!$H$52*(8*$AZ51)+'LINEST VARS'!$G$52*(8*12.73)+'LINEST VARS'!$F$52*(8*$BI$32)+'LINEST VARS'!$E$52*(8*$AZ51)+'LINEST VARS'!$D$52*(8*12.73)+'LINEST VARS'!$C$52*($BI$32*$AZ51)+'LINEST VARS'!$B$52*($BI$32*12.73)+'LINEST VARS'!$A$52*($AZ51*12.73)</f>
        <v>4.4099999999999984</v>
      </c>
      <c r="BJ51" s="51">
        <f>'LINEST VARS'!$U$52+'LINEST VARS'!$T$52*(8)+'LINEST VARS'!$S$52*(8)+'LINEST VARS'!$R$52*($BJ$32)+'LINEST VARS'!$Q$52*($AZ51)+'LINEST VARS'!$P$52*(12.73)+'LINEST VARS'!$O$52*(8^2)+'LINEST VARS'!$N$52*(8^2)+'LINEST VARS'!$M$52*($BJ$32^2)+'LINEST VARS'!$L$52*($AZ51^2)+'LINEST VARS'!$K$52*(12.73^2)+'LINEST VARS'!$J$52*(8*8)+'LINEST VARS'!$I$52*(8*$BJ$32)+'LINEST VARS'!$H$52*(8*$AZ51)+'LINEST VARS'!$G$52*(8*12.73)+'LINEST VARS'!$F$52*(8*$BJ$32)+'LINEST VARS'!$E$52*(8*$AZ51)+'LINEST VARS'!$D$52*(8*12.73)+'LINEST VARS'!$C$52*($BJ$32*$AZ51)+'LINEST VARS'!$B$52*($BJ$32*12.73)+'LINEST VARS'!$A$52*($AZ51*12.73)</f>
        <v>4.4099999999999984</v>
      </c>
      <c r="BK51" s="51">
        <f>'LINEST VARS'!$U$52+'LINEST VARS'!$T$52*(8)+'LINEST VARS'!$S$52*(8)+'LINEST VARS'!$R$52*($BK$32)+'LINEST VARS'!$Q$52*($AZ51)+'LINEST VARS'!$P$52*(12.73)+'LINEST VARS'!$O$52*(8^2)+'LINEST VARS'!$N$52*(8^2)+'LINEST VARS'!$M$52*($BK$32^2)+'LINEST VARS'!$L$52*($AZ51^2)+'LINEST VARS'!$K$52*(12.73^2)+'LINEST VARS'!$J$52*(8*8)+'LINEST VARS'!$I$52*(8*$BK$32)+'LINEST VARS'!$H$52*(8*$AZ51)+'LINEST VARS'!$G$52*(8*12.73)+'LINEST VARS'!$F$52*(8*$BK$32)+'LINEST VARS'!$E$52*(8*$AZ51)+'LINEST VARS'!$D$52*(8*12.73)+'LINEST VARS'!$C$52*($BK$32*$AZ51)+'LINEST VARS'!$B$52*($BK$32*12.73)+'LINEST VARS'!$A$52*($AZ51*12.73)</f>
        <v>4.4099999999999984</v>
      </c>
      <c r="BL51" s="51">
        <f>'LINEST VARS'!$U$52+'LINEST VARS'!$T$52*(8)+'LINEST VARS'!$S$52*(8)+'LINEST VARS'!$R$52*($BL$32)+'LINEST VARS'!$Q$52*($AZ51)+'LINEST VARS'!$P$52*(12.73)+'LINEST VARS'!$O$52*(8^2)+'LINEST VARS'!$N$52*(8^2)+'LINEST VARS'!$M$52*($BL$32^2)+'LINEST VARS'!$L$52*($AZ51^2)+'LINEST VARS'!$K$52*(12.73^2)+'LINEST VARS'!$J$52*(8*8)+'LINEST VARS'!$I$52*(8*$BL$32)+'LINEST VARS'!$H$52*(8*$AZ51)+'LINEST VARS'!$G$52*(8*12.73)+'LINEST VARS'!$F$52*(8*$BL$32)+'LINEST VARS'!$E$52*(8*$AZ51)+'LINEST VARS'!$D$52*(8*12.73)+'LINEST VARS'!$C$52*($BL$32*$AZ51)+'LINEST VARS'!$B$52*($BL$32*12.73)+'LINEST VARS'!$A$52*($AZ51*12.73)</f>
        <v>4.4099999999999984</v>
      </c>
      <c r="BM51" s="51">
        <f>'LINEST VARS'!$U$52+'LINEST VARS'!$T$52*(8)+'LINEST VARS'!$S$52*(8)+'LINEST VARS'!$R$52*($BM$32)+'LINEST VARS'!$Q$52*($AZ51)+'LINEST VARS'!$P$52*(12.73)+'LINEST VARS'!$O$52*(8^2)+'LINEST VARS'!$N$52*(8^2)+'LINEST VARS'!$M$52*($BM$32^2)+'LINEST VARS'!$L$52*($AZ51^2)+'LINEST VARS'!$K$52*(12.73^2)+'LINEST VARS'!$J$52*(8*8)+'LINEST VARS'!$I$52*(8*$BM$32)+'LINEST VARS'!$H$52*(8*$AZ51)+'LINEST VARS'!$G$52*(8*12.73)+'LINEST VARS'!$F$52*(8*$BM$32)+'LINEST VARS'!$E$52*(8*$AZ51)+'LINEST VARS'!$D$52*(8*12.73)+'LINEST VARS'!$C$52*($BM$32*$AZ51)+'LINEST VARS'!$B$52*($BM$32*12.73)+'LINEST VARS'!$A$52*($AZ51*12.73)</f>
        <v>4.4099999999999984</v>
      </c>
      <c r="BN51" s="51">
        <f>'LINEST VARS'!$U$52+'LINEST VARS'!$T$52*(8)+'LINEST VARS'!$S$52*(8)+'LINEST VARS'!$R$52*($BN$32)+'LINEST VARS'!$Q$52*($AZ51)+'LINEST VARS'!$P$52*(12.73)+'LINEST VARS'!$O$52*(8^2)+'LINEST VARS'!$N$52*(8^2)+'LINEST VARS'!$M$52*($BN$32^2)+'LINEST VARS'!$L$52*($AZ51^2)+'LINEST VARS'!$K$52*(12.73^2)+'LINEST VARS'!$J$52*(8*8)+'LINEST VARS'!$I$52*(8*$BN$32)+'LINEST VARS'!$H$52*(8*$AZ51)+'LINEST VARS'!$G$52*(8*12.73)+'LINEST VARS'!$F$52*(8*$BN$32)+'LINEST VARS'!$E$52*(8*$AZ51)+'LINEST VARS'!$D$52*(8*12.73)+'LINEST VARS'!$C$52*($BN$32*$AZ51)+'LINEST VARS'!$B$52*($BN$32*12.73)+'LINEST VARS'!$A$52*($AZ51*12.73)</f>
        <v>4.4099999999999984</v>
      </c>
      <c r="BO51" s="51">
        <f>'LINEST VARS'!$U$52+'LINEST VARS'!$T$52*(8)+'LINEST VARS'!$S$52*(8)+'LINEST VARS'!$R$52*($BO$32)+'LINEST VARS'!$Q$52*($AZ51)+'LINEST VARS'!$P$52*(12.73)+'LINEST VARS'!$O$52*(8^2)+'LINEST VARS'!$N$52*(8^2)+'LINEST VARS'!$M$52*($BO$32^2)+'LINEST VARS'!$L$52*($AZ51^2)+'LINEST VARS'!$K$52*(12.73^2)+'LINEST VARS'!$J$52*(8*8)+'LINEST VARS'!$I$52*(8*$BO$32)+'LINEST VARS'!$H$52*(8*$AZ51)+'LINEST VARS'!$G$52*(8*12.73)+'LINEST VARS'!$F$52*(8*$BO$32)+'LINEST VARS'!$E$52*(8*$AZ51)+'LINEST VARS'!$D$52*(8*12.73)+'LINEST VARS'!$C$52*($BO$32*$AZ51)+'LINEST VARS'!$B$52*($BO$32*12.73)+'LINEST VARS'!$A$52*($AZ51*12.73)</f>
        <v>4.4099999999999984</v>
      </c>
      <c r="BP51" s="51">
        <f>'LINEST VARS'!$U$52+'LINEST VARS'!$T$52*(8)+'LINEST VARS'!$S$52*(8)+'LINEST VARS'!$R$52*($BP$32)+'LINEST VARS'!$Q$52*($AZ51)+'LINEST VARS'!$P$52*(12.73)+'LINEST VARS'!$O$52*(8^2)+'LINEST VARS'!$N$52*(8^2)+'LINEST VARS'!$M$52*($BP$32^2)+'LINEST VARS'!$L$52*($AZ51^2)+'LINEST VARS'!$K$52*(12.73^2)+'LINEST VARS'!$J$52*(8*8)+'LINEST VARS'!$I$52*(8*$BP$32)+'LINEST VARS'!$H$52*(8*$AZ51)+'LINEST VARS'!$G$52*(8*12.73)+'LINEST VARS'!$F$52*(8*$BP$32)+'LINEST VARS'!$E$52*(8*$AZ51)+'LINEST VARS'!$D$52*(8*12.73)+'LINEST VARS'!$C$52*($BP$32*$AZ51)+'LINEST VARS'!$B$52*($BP$32*12.73)+'LINEST VARS'!$A$52*($AZ51*12.73)</f>
        <v>4.4099999999999984</v>
      </c>
      <c r="BQ51" s="51">
        <f>'LINEST VARS'!$U$52+'LINEST VARS'!$T$52*(8)+'LINEST VARS'!$S$52*(8)+'LINEST VARS'!$R$52*($BQ$32)+'LINEST VARS'!$Q$52*($AZ51)+'LINEST VARS'!$P$52*(12.73)+'LINEST VARS'!$O$52*(8^2)+'LINEST VARS'!$N$52*(8^2)+'LINEST VARS'!$M$52*($BQ$32^2)+'LINEST VARS'!$L$52*($AZ51^2)+'LINEST VARS'!$K$52*(12.73^2)+'LINEST VARS'!$J$52*(8*8)+'LINEST VARS'!$I$52*(8*$BQ$32)+'LINEST VARS'!$H$52*(8*$AZ51)+'LINEST VARS'!$G$52*(8*12.73)+'LINEST VARS'!$F$52*(8*$BQ$32)+'LINEST VARS'!$E$52*(8*$AZ51)+'LINEST VARS'!$D$52*(8*12.73)+'LINEST VARS'!$C$52*($BQ$32*$AZ51)+'LINEST VARS'!$B$52*($BQ$32*12.73)+'LINEST VARS'!$A$52*($AZ51*12.73)</f>
        <v>4.4099999999999984</v>
      </c>
      <c r="BR51" s="51">
        <f>'LINEST VARS'!$U$52+'LINEST VARS'!$T$52*(8)+'LINEST VARS'!$S$52*(8)+'LINEST VARS'!$R$52*($BR$32)+'LINEST VARS'!$Q$52*($AZ51)+'LINEST VARS'!$P$52*(12.73)+'LINEST VARS'!$O$52*(8^2)+'LINEST VARS'!$N$52*(8^2)+'LINEST VARS'!$M$52*($BR$32^2)+'LINEST VARS'!$L$52*($AZ51^2)+'LINEST VARS'!$K$52*(12.73^2)+'LINEST VARS'!$J$52*(8*8)+'LINEST VARS'!$I$52*(8*$BR$32)+'LINEST VARS'!$H$52*(8*$AZ51)+'LINEST VARS'!$G$52*(8*12.73)+'LINEST VARS'!$F$52*(8*$BR$32)+'LINEST VARS'!$E$52*(8*$AZ51)+'LINEST VARS'!$D$52*(8*12.73)+'LINEST VARS'!$C$52*($BR$32*$AZ51)+'LINEST VARS'!$B$52*($BR$32*12.73)+'LINEST VARS'!$A$52*($AZ51*12.73)</f>
        <v>4.4099999999999984</v>
      </c>
      <c r="BS51" s="51">
        <f>'LINEST VARS'!$U$52+'LINEST VARS'!$T$52*(8)+'LINEST VARS'!$S$52*(8)+'LINEST VARS'!$R$52*($BS$32)+'LINEST VARS'!$Q$52*($AZ51)+'LINEST VARS'!$P$52*(12.73)+'LINEST VARS'!$O$52*(8^2)+'LINEST VARS'!$N$52*(8^2)+'LINEST VARS'!$M$52*($BS$32^2)+'LINEST VARS'!$L$52*($AZ51^2)+'LINEST VARS'!$K$52*(12.73^2)+'LINEST VARS'!$J$52*(8*8)+'LINEST VARS'!$I$52*(8*$BS$32)+'LINEST VARS'!$H$52*(8*$AZ51)+'LINEST VARS'!$G$52*(8*12.73)+'LINEST VARS'!$F$52*(8*$BS$32)+'LINEST VARS'!$E$52*(8*$AZ51)+'LINEST VARS'!$D$52*(8*12.73)+'LINEST VARS'!$C$52*($BS$32*$AZ51)+'LINEST VARS'!$B$52*($BS$32*12.73)+'LINEST VARS'!$A$52*($AZ51*12.73)</f>
        <v>4.4099999999999984</v>
      </c>
      <c r="BT51" s="51">
        <f>'LINEST VARS'!$U$52+'LINEST VARS'!$T$52*(8)+'LINEST VARS'!$S$52*(8)+'LINEST VARS'!$R$52*($BT$32)+'LINEST VARS'!$Q$52*($AZ51)+'LINEST VARS'!$P$52*(12.73)+'LINEST VARS'!$O$52*(8^2)+'LINEST VARS'!$N$52*(8^2)+'LINEST VARS'!$M$52*($BT$32^2)+'LINEST VARS'!$L$52*($AZ51^2)+'LINEST VARS'!$K$52*(12.73^2)+'LINEST VARS'!$J$52*(8*8)+'LINEST VARS'!$I$52*(8*$BT$32)+'LINEST VARS'!$H$52*(8*$AZ51)+'LINEST VARS'!$G$52*(8*12.73)+'LINEST VARS'!$F$52*(8*$BT$32)+'LINEST VARS'!$E$52*(8*$AZ51)+'LINEST VARS'!$D$52*(8*12.73)+'LINEST VARS'!$C$52*($BT$32*$AZ51)+'LINEST VARS'!$B$52*($BT$32*12.73)+'LINEST VARS'!$A$52*($AZ51*12.73)</f>
        <v>4.4099999999999984</v>
      </c>
      <c r="BU51" s="52">
        <f>'LINEST VARS'!$U$52+'LINEST VARS'!$T$52*(8)+'LINEST VARS'!$S$52*(8)+'LINEST VARS'!$R$52*($BU$32)+'LINEST VARS'!$Q$52*($AZ51)+'LINEST VARS'!$P$52*(12.73)+'LINEST VARS'!$O$52*(8^2)+'LINEST VARS'!$N$52*(8^2)+'LINEST VARS'!$M$52*($BU$32^2)+'LINEST VARS'!$L$52*($AZ51^2)+'LINEST VARS'!$K$52*(12.73^2)+'LINEST VARS'!$J$52*(8*8)+'LINEST VARS'!$I$52*(8*$BU$32)+'LINEST VARS'!$H$52*(8*$AZ51)+'LINEST VARS'!$G$52*(8*12.73)+'LINEST VARS'!$F$52*(8*$BU$32)+'LINEST VARS'!$E$52*(8*$AZ51)+'LINEST VARS'!$D$52*(8*12.73)+'LINEST VARS'!$C$52*($BU$32*$AZ51)+'LINEST VARS'!$B$52*($BU$32*12.73)+'LINEST VARS'!$A$52*($AZ51*12.73)</f>
        <v>4.4099999999999984</v>
      </c>
      <c r="BX51" s="45">
        <v>0.9</v>
      </c>
      <c r="BY51" s="51">
        <f>'LINEST VARS'!$U$54+'LINEST VARS'!$T$54*(8)+'LINEST VARS'!$S$54*(8)+'LINEST VARS'!$R$54*($BY$32)+'LINEST VARS'!$Q$54*($BX51)+'LINEST VARS'!$P$54*(12.73)+'LINEST VARS'!$O$54*(8^2)+'LINEST VARS'!$N$54*(8^2)+'LINEST VARS'!$M$54*($BY$32^2)+'LINEST VARS'!$L$54*($BX51^2)+'LINEST VARS'!$K$54*(12.73^2)+'LINEST VARS'!$J$54*(8*8)+'LINEST VARS'!$I$54*(8*$BY$32)+'LINEST VARS'!$H$54*(8*$BX51)+'LINEST VARS'!$G$54*(8*12.73)+'LINEST VARS'!$F$54*(8*$BY$32)+'LINEST VARS'!$E$54*(8*$BX51)+'LINEST VARS'!$D$54*(8*12.73)+'LINEST VARS'!$C$54*($BY$32*$BX51)+'LINEST VARS'!$B$54*($BY$32*12.73)+'LINEST VARS'!$A$54*($BX51*12.73)</f>
        <v>3.9549999999999996</v>
      </c>
      <c r="BZ51" s="51">
        <f>'LINEST VARS'!$U$54+'LINEST VARS'!$T$54*(8)+'LINEST VARS'!$S$54*(8)+'LINEST VARS'!$R$54*($BZ$32)+'LINEST VARS'!$Q$54*($BX51)+'LINEST VARS'!$P$54*(12.73)+'LINEST VARS'!$O$54*(8^2)+'LINEST VARS'!$N$54*(8^2)+'LINEST VARS'!$M$54*($BZ$32^2)+'LINEST VARS'!$L$54*($BX51^2)+'LINEST VARS'!$K$54*(12.73^2)+'LINEST VARS'!$J$54*(8*8)+'LINEST VARS'!$I$54*(8*$BZ$32)+'LINEST VARS'!$H$54*(8*$BX51)+'LINEST VARS'!$G$54*(8*12.73)+'LINEST VARS'!$F$54*(8*$BZ$32)+'LINEST VARS'!$E$54*(8*$BX51)+'LINEST VARS'!$D$54*(8*12.73)+'LINEST VARS'!$C$54*($BZ$32*$BX51)+'LINEST VARS'!$B$54*($BZ$32*12.73)+'LINEST VARS'!$A$54*($BX51*12.73)</f>
        <v>3.9549999999999996</v>
      </c>
      <c r="CA51" s="51">
        <f>'LINEST VARS'!$U$54+'LINEST VARS'!$T$54*(8)+'LINEST VARS'!$S$54*(8)+'LINEST VARS'!$R$54*($CA$32)+'LINEST VARS'!$Q$54*($BX51)+'LINEST VARS'!$P$54*(12.73)+'LINEST VARS'!$O$54*(8^2)+'LINEST VARS'!$N$54*(8^2)+'LINEST VARS'!$M$54*($CA$32^2)+'LINEST VARS'!$L$54*($BX51^2)+'LINEST VARS'!$K$54*(12.73^2)+'LINEST VARS'!$J$54*(8*8)+'LINEST VARS'!$I$54*(8*$CA$32)+'LINEST VARS'!$H$54*(8*$BX51)+'LINEST VARS'!$G$54*(8*12.73)+'LINEST VARS'!$F$54*(8*$CA$32)+'LINEST VARS'!$E$54*(8*$BX51)+'LINEST VARS'!$D$54*(8*12.73)+'LINEST VARS'!$C$54*($CA$32*$BX51)+'LINEST VARS'!$B$54*($CA$32*12.73)+'LINEST VARS'!$A$54*($BX51*12.73)</f>
        <v>3.9549999999999996</v>
      </c>
      <c r="CB51" s="51">
        <f>'LINEST VARS'!$U$54+'LINEST VARS'!$T$54*(8)+'LINEST VARS'!$S$54*(8)+'LINEST VARS'!$R$54*($CB$32)+'LINEST VARS'!$Q$54*($BX51)+'LINEST VARS'!$P$54*(12.73)+'LINEST VARS'!$O$54*(8^2)+'LINEST VARS'!$N$54*(8^2)+'LINEST VARS'!$M$54*($CB$32^2)+'LINEST VARS'!$L$54*($BX51^2)+'LINEST VARS'!$K$54*(12.73^2)+'LINEST VARS'!$J$54*(8*8)+'LINEST VARS'!$I$54*(8*$CB$32)+'LINEST VARS'!$H$54*(8*$BX51)+'LINEST VARS'!$G$54*(8*12.73)+'LINEST VARS'!$F$54*(8*$CB$32)+'LINEST VARS'!$E$54*(8*$BX51)+'LINEST VARS'!$D$54*(8*12.73)+'LINEST VARS'!$C$54*($CB$32*$BX51)+'LINEST VARS'!$B$54*($CB$32*12.73)+'LINEST VARS'!$A$54*($BX51*12.73)</f>
        <v>3.9549999999999996</v>
      </c>
      <c r="CC51" s="51">
        <f>'LINEST VARS'!$U$54+'LINEST VARS'!$T$54*(8)+'LINEST VARS'!$S$54*(8)+'LINEST VARS'!$R$54*($CC$32)+'LINEST VARS'!$Q$54*($BX51)+'LINEST VARS'!$P$54*(12.73)+'LINEST VARS'!$O$54*(8^2)+'LINEST VARS'!$N$54*(8^2)+'LINEST VARS'!$M$54*($CC$32^2)+'LINEST VARS'!$L$54*($BX51^2)+'LINEST VARS'!$K$54*(12.73^2)+'LINEST VARS'!$J$54*(8*8)+'LINEST VARS'!$I$54*(8*$CC$32)+'LINEST VARS'!$H$54*(8*$BX51)+'LINEST VARS'!$G$54*(8*12.73)+'LINEST VARS'!$F$54*(8*$CC$32)+'LINEST VARS'!$E$54*(8*$BX51)+'LINEST VARS'!$D$54*(8*12.73)+'LINEST VARS'!$C$54*($CC$32*$BX51)+'LINEST VARS'!$B$54*($CC$32*12.73)+'LINEST VARS'!$A$54*($BX51*12.73)</f>
        <v>3.9549999999999996</v>
      </c>
      <c r="CD51" s="51">
        <f>'LINEST VARS'!$U$54+'LINEST VARS'!$T$54*(8)+'LINEST VARS'!$S$54*(8)+'LINEST VARS'!$R$54*($CD$32)+'LINEST VARS'!$Q$54*($BX51)+'LINEST VARS'!$P$54*(12.73)+'LINEST VARS'!$O$54*(8^2)+'LINEST VARS'!$N$54*(8^2)+'LINEST VARS'!$M$54*($CD$32^2)+'LINEST VARS'!$L$54*($BX51^2)+'LINEST VARS'!$K$54*(12.73^2)+'LINEST VARS'!$J$54*(8*8)+'LINEST VARS'!$I$54*(8*$CD$32)+'LINEST VARS'!$H$54*(8*$BX51)+'LINEST VARS'!$G$54*(8*12.73)+'LINEST VARS'!$F$54*(8*$CD$32)+'LINEST VARS'!$E$54*(8*$BX51)+'LINEST VARS'!$D$54*(8*12.73)+'LINEST VARS'!$C$54*($CD$32*$BX51)+'LINEST VARS'!$B$54*($CD$32*12.73)+'LINEST VARS'!$A$54*($BX51*12.73)</f>
        <v>3.9549999999999996</v>
      </c>
      <c r="CE51" s="51">
        <f>'LINEST VARS'!$U$54+'LINEST VARS'!$T$54*(8)+'LINEST VARS'!$S$54*(8)+'LINEST VARS'!$R$54*($CE$32)+'LINEST VARS'!$Q$54*($BX51)+'LINEST VARS'!$P$54*(12.73)+'LINEST VARS'!$O$54*(8^2)+'LINEST VARS'!$N$54*(8^2)+'LINEST VARS'!$M$54*($CE$32^2)+'LINEST VARS'!$L$54*($BX51^2)+'LINEST VARS'!$K$54*(12.73^2)+'LINEST VARS'!$J$54*(8*8)+'LINEST VARS'!$I$54*(8*$CE$32)+'LINEST VARS'!$H$54*(8*$BX51)+'LINEST VARS'!$G$54*(8*12.73)+'LINEST VARS'!$F$54*(8*$CE$32)+'LINEST VARS'!$E$54*(8*$BX51)+'LINEST VARS'!$D$54*(8*12.73)+'LINEST VARS'!$C$54*($CE$32*$BX51)+'LINEST VARS'!$B$54*($CE$32*12.73)+'LINEST VARS'!$A$54*($BX51*12.73)</f>
        <v>3.9549999999999996</v>
      </c>
      <c r="CF51" s="51">
        <f>'LINEST VARS'!$U$54+'LINEST VARS'!$T$54*(8)+'LINEST VARS'!$S$54*(8)+'LINEST VARS'!$R$54*($CF$32)+'LINEST VARS'!$Q$54*($BX51)+'LINEST VARS'!$P$54*(12.73)+'LINEST VARS'!$O$54*(8^2)+'LINEST VARS'!$N$54*(8^2)+'LINEST VARS'!$M$54*($CF$32^2)+'LINEST VARS'!$L$54*($BX51^2)+'LINEST VARS'!$K$54*(12.73^2)+'LINEST VARS'!$J$54*(8*8)+'LINEST VARS'!$I$54*(8*$CF$32)+'LINEST VARS'!$H$54*(8*$BX51)+'LINEST VARS'!$G$54*(8*12.73)+'LINEST VARS'!$F$54*(8*$CF$32)+'LINEST VARS'!$E$54*(8*$BX51)+'LINEST VARS'!$D$54*(8*12.73)+'LINEST VARS'!$C$54*($CF$32*$BX51)+'LINEST VARS'!$B$54*($CF$32*12.73)+'LINEST VARS'!$A$54*($BX51*12.73)</f>
        <v>3.9549999999999996</v>
      </c>
      <c r="CG51" s="51">
        <f>'LINEST VARS'!$U$54+'LINEST VARS'!$T$54*(8)+'LINEST VARS'!$S$54*(8)+'LINEST VARS'!$R$54*($CG$32)+'LINEST VARS'!$Q$54*($BX51)+'LINEST VARS'!$P$54*(12.73)+'LINEST VARS'!$O$54*(8^2)+'LINEST VARS'!$N$54*(8^2)+'LINEST VARS'!$M$54*($CG$32^2)+'LINEST VARS'!$L$54*($BX51^2)+'LINEST VARS'!$K$54*(12.73^2)+'LINEST VARS'!$J$54*(8*8)+'LINEST VARS'!$I$54*(8*$CG$32)+'LINEST VARS'!$H$54*(8*$BX51)+'LINEST VARS'!$G$54*(8*12.73)+'LINEST VARS'!$F$54*(8*$CG$32)+'LINEST VARS'!$E$54*(8*$BX51)+'LINEST VARS'!$D$54*(8*12.73)+'LINEST VARS'!$C$54*($CG$32*$BX51)+'LINEST VARS'!$B$54*($CG$32*12.73)+'LINEST VARS'!$A$54*($BX51*12.73)</f>
        <v>3.9549999999999996</v>
      </c>
      <c r="CH51" s="51">
        <f>'LINEST VARS'!$U$54+'LINEST VARS'!$T$54*(8)+'LINEST VARS'!$S$54*(8)+'LINEST VARS'!$R$54*($CH$32)+'LINEST VARS'!$Q$54*($BX51)+'LINEST VARS'!$P$54*(12.73)+'LINEST VARS'!$O$54*(8^2)+'LINEST VARS'!$N$54*(8^2)+'LINEST VARS'!$M$54*($CH$32^2)+'LINEST VARS'!$L$54*($BX51^2)+'LINEST VARS'!$K$54*(12.73^2)+'LINEST VARS'!$J$54*(8*8)+'LINEST VARS'!$I$54*(8*$CH$32)+'LINEST VARS'!$H$54*(8*$BX51)+'LINEST VARS'!$G$54*(8*12.73)+'LINEST VARS'!$F$54*(8*$CH$32)+'LINEST VARS'!$E$54*(8*$BX51)+'LINEST VARS'!$D$54*(8*12.73)+'LINEST VARS'!$C$54*($CH$32*$BX51)+'LINEST VARS'!$B$54*($CH$32*12.73)+'LINEST VARS'!$A$54*($BX51*12.73)</f>
        <v>3.9549999999999996</v>
      </c>
      <c r="CI51" s="51">
        <f>'LINEST VARS'!$U$54+'LINEST VARS'!$T$54*(8)+'LINEST VARS'!$S$54*(8)+'LINEST VARS'!$R$54*($CI$32)+'LINEST VARS'!$Q$54*($BX51)+'LINEST VARS'!$P$54*(12.73)+'LINEST VARS'!$O$54*(8^2)+'LINEST VARS'!$N$54*(8^2)+'LINEST VARS'!$M$54*($CI$32^2)+'LINEST VARS'!$L$54*($BX51^2)+'LINEST VARS'!$K$54*(12.73^2)+'LINEST VARS'!$J$54*(8*8)+'LINEST VARS'!$I$54*(8*$CI$32)+'LINEST VARS'!$H$54*(8*$BX51)+'LINEST VARS'!$G$54*(8*12.73)+'LINEST VARS'!$F$54*(8*$CI$32)+'LINEST VARS'!$E$54*(8*$BX51)+'LINEST VARS'!$D$54*(8*12.73)+'LINEST VARS'!$C$54*($CI$32*$BX51)+'LINEST VARS'!$B$54*($CI$32*12.73)+'LINEST VARS'!$A$54*($BX51*12.73)</f>
        <v>3.9549999999999996</v>
      </c>
      <c r="CJ51" s="51">
        <f>'LINEST VARS'!$U$54+'LINEST VARS'!$T$54*(8)+'LINEST VARS'!$S$54*(8)+'LINEST VARS'!$R$54*($CJ$32)+'LINEST VARS'!$Q$54*($BX51)+'LINEST VARS'!$P$54*(12.73)+'LINEST VARS'!$O$54*(8^2)+'LINEST VARS'!$N$54*(8^2)+'LINEST VARS'!$M$54*($CJ$32^2)+'LINEST VARS'!$L$54*($BX51^2)+'LINEST VARS'!$K$54*(12.73^2)+'LINEST VARS'!$J$54*(8*8)+'LINEST VARS'!$I$54*(8*$CJ$32)+'LINEST VARS'!$H$54*(8*$BX51)+'LINEST VARS'!$G$54*(8*12.73)+'LINEST VARS'!$F$54*(8*$CJ$32)+'LINEST VARS'!$E$54*(8*$BX51)+'LINEST VARS'!$D$54*(8*12.73)+'LINEST VARS'!$C$54*($CJ$32*$BX51)+'LINEST VARS'!$B$54*($CJ$32*12.73)+'LINEST VARS'!$A$54*($BX51*12.73)</f>
        <v>3.9549999999999996</v>
      </c>
      <c r="CK51" s="51">
        <f>'LINEST VARS'!$U$54+'LINEST VARS'!$T$54*(8)+'LINEST VARS'!$S$54*(8)+'LINEST VARS'!$R$54*($CK$32)+'LINEST VARS'!$Q$54*($BX51)+'LINEST VARS'!$P$54*(12.73)+'LINEST VARS'!$O$54*(8^2)+'LINEST VARS'!$N$54*(8^2)+'LINEST VARS'!$M$54*($CK$32^2)+'LINEST VARS'!$L$54*($BX51^2)+'LINEST VARS'!$K$54*(12.73^2)+'LINEST VARS'!$J$54*(8*8)+'LINEST VARS'!$I$54*(8*$CK$32)+'LINEST VARS'!$H$54*(8*$BX51)+'LINEST VARS'!$G$54*(8*12.73)+'LINEST VARS'!$F$54*(8*$CK$32)+'LINEST VARS'!$E$54*(8*$BX51)+'LINEST VARS'!$D$54*(8*12.73)+'LINEST VARS'!$C$54*($CK$32*$BX51)+'LINEST VARS'!$B$54*($CK$32*12.73)+'LINEST VARS'!$A$54*($BX51*12.73)</f>
        <v>3.9549999999999996</v>
      </c>
      <c r="CL51" s="51">
        <f>'LINEST VARS'!$U$54+'LINEST VARS'!$T$54*(8)+'LINEST VARS'!$S$54*(8)+'LINEST VARS'!$R$54*($CL$32)+'LINEST VARS'!$Q$54*($BX51)+'LINEST VARS'!$P$54*(12.73)+'LINEST VARS'!$O$54*(8^2)+'LINEST VARS'!$N$54*(8^2)+'LINEST VARS'!$M$54*($CL$32^2)+'LINEST VARS'!$L$54*($BX51^2)+'LINEST VARS'!$K$54*(12.73^2)+'LINEST VARS'!$J$54*(8*8)+'LINEST VARS'!$I$54*(8*$CL$32)+'LINEST VARS'!$H$54*(8*$BX51)+'LINEST VARS'!$G$54*(8*12.73)+'LINEST VARS'!$F$54*(8*$CL$32)+'LINEST VARS'!$E$54*(8*$BX51)+'LINEST VARS'!$D$54*(8*12.73)+'LINEST VARS'!$C$54*($CL$32*$BX51)+'LINEST VARS'!$B$54*($CL$32*12.73)+'LINEST VARS'!$A$54*($BX51*12.73)</f>
        <v>3.9549999999999996</v>
      </c>
      <c r="CM51" s="51">
        <f>'LINEST VARS'!$U$54+'LINEST VARS'!$T$54*(8)+'LINEST VARS'!$S$54*(8)+'LINEST VARS'!$R$54*($CM$32)+'LINEST VARS'!$Q$54*($BX51)+'LINEST VARS'!$P$54*(12.73)+'LINEST VARS'!$O$54*(8^2)+'LINEST VARS'!$N$54*(8^2)+'LINEST VARS'!$M$54*($CM$32^2)+'LINEST VARS'!$L$54*($BX51^2)+'LINEST VARS'!$K$54*(12.73^2)+'LINEST VARS'!$J$54*(8*8)+'LINEST VARS'!$I$54*(8*$CM$32)+'LINEST VARS'!$H$54*(8*$BX51)+'LINEST VARS'!$G$54*(8*12.73)+'LINEST VARS'!$F$54*(8*$CM$32)+'LINEST VARS'!$E$54*(8*$BX51)+'LINEST VARS'!$D$54*(8*12.73)+'LINEST VARS'!$C$54*($CM$32*$BX51)+'LINEST VARS'!$B$54*($CM$32*12.73)+'LINEST VARS'!$A$54*($BX51*12.73)</f>
        <v>3.9549999999999996</v>
      </c>
      <c r="CN51" s="51">
        <f>'LINEST VARS'!$U$54+'LINEST VARS'!$T$54*(8)+'LINEST VARS'!$S$54*(8)+'LINEST VARS'!$R$54*($CN$32)+'LINEST VARS'!$Q$54*($BX51)+'LINEST VARS'!$P$54*(12.73)+'LINEST VARS'!$O$54*(8^2)+'LINEST VARS'!$N$54*(8^2)+'LINEST VARS'!$M$54*($CN$32^2)+'LINEST VARS'!$L$54*($BX51^2)+'LINEST VARS'!$K$54*(12.73^2)+'LINEST VARS'!$J$54*(8*8)+'LINEST VARS'!$I$54*(8*$CN$32)+'LINEST VARS'!$H$54*(8*$BX51)+'LINEST VARS'!$G$54*(8*12.73)+'LINEST VARS'!$F$54*(8*$CN$32)+'LINEST VARS'!$E$54*(8*$BX51)+'LINEST VARS'!$D$54*(8*12.73)+'LINEST VARS'!$C$54*($CN$32*$BX51)+'LINEST VARS'!$B$54*($CN$32*12.73)+'LINEST VARS'!$A$54*($BX51*12.73)</f>
        <v>3.9549999999999996</v>
      </c>
      <c r="CO51" s="51">
        <f>'LINEST VARS'!$U$54+'LINEST VARS'!$T$54*(8)+'LINEST VARS'!$S$54*(8)+'LINEST VARS'!$R$54*($CO$32)+'LINEST VARS'!$Q$54*($BX51)+'LINEST VARS'!$P$54*(12.73)+'LINEST VARS'!$O$54*(8^2)+'LINEST VARS'!$N$54*(8^2)+'LINEST VARS'!$M$54*($CO$32^2)+'LINEST VARS'!$L$54*($BX51^2)+'LINEST VARS'!$K$54*(12.73^2)+'LINEST VARS'!$J$54*(8*8)+'LINEST VARS'!$I$54*(8*$CO$32)+'LINEST VARS'!$H$54*(8*$BX51)+'LINEST VARS'!$G$54*(8*12.73)+'LINEST VARS'!$F$54*(8*$CO$32)+'LINEST VARS'!$E$54*(8*$BX51)+'LINEST VARS'!$D$54*(8*12.73)+'LINEST VARS'!$C$54*($CO$32*$BX51)+'LINEST VARS'!$B$54*($CO$32*12.73)+'LINEST VARS'!$A$54*($BX51*12.73)</f>
        <v>3.9549999999999996</v>
      </c>
      <c r="CP51" s="51">
        <f>'LINEST VARS'!$U$54+'LINEST VARS'!$T$54*(8)+'LINEST VARS'!$S$54*(8)+'LINEST VARS'!$R$54*($CP$32)+'LINEST VARS'!$Q$54*($BX51)+'LINEST VARS'!$P$54*(12.73)+'LINEST VARS'!$O$54*(8^2)+'LINEST VARS'!$N$54*(8^2)+'LINEST VARS'!$M$54*($CP$32^2)+'LINEST VARS'!$L$54*($BX51^2)+'LINEST VARS'!$K$54*(12.73^2)+'LINEST VARS'!$J$54*(8*8)+'LINEST VARS'!$I$54*(8*$CP$32)+'LINEST VARS'!$H$54*(8*$BX51)+'LINEST VARS'!$G$54*(8*12.73)+'LINEST VARS'!$F$54*(8*$CP$32)+'LINEST VARS'!$E$54*(8*$BX51)+'LINEST VARS'!$D$54*(8*12.73)+'LINEST VARS'!$C$54*($CP$32*$BX51)+'LINEST VARS'!$B$54*($CP$32*12.73)+'LINEST VARS'!$A$54*($BX51*12.73)</f>
        <v>3.9549999999999996</v>
      </c>
      <c r="CQ51" s="51">
        <f>'LINEST VARS'!$U$54+'LINEST VARS'!$T$54*(8)+'LINEST VARS'!$S$54*(8)+'LINEST VARS'!$R$54*($CQ$32)+'LINEST VARS'!$Q$54*($BX51)+'LINEST VARS'!$P$54*(12.73)+'LINEST VARS'!$O$54*(8^2)+'LINEST VARS'!$N$54*(8^2)+'LINEST VARS'!$M$54*($CQ$32^2)+'LINEST VARS'!$L$54*($BX51^2)+'LINEST VARS'!$K$54*(12.73^2)+'LINEST VARS'!$J$54*(8*8)+'LINEST VARS'!$I$54*(8*$CQ$32)+'LINEST VARS'!$H$54*(8*$BX51)+'LINEST VARS'!$G$54*(8*12.73)+'LINEST VARS'!$F$54*(8*$CQ$32)+'LINEST VARS'!$E$54*(8*$BX51)+'LINEST VARS'!$D$54*(8*12.73)+'LINEST VARS'!$C$54*($CQ$32*$BX51)+'LINEST VARS'!$B$54*($CQ$32*12.73)+'LINEST VARS'!$A$54*($BX51*12.73)</f>
        <v>3.9549999999999996</v>
      </c>
      <c r="CR51" s="51">
        <f>'LINEST VARS'!$U$54+'LINEST VARS'!$T$54*(8)+'LINEST VARS'!$S$54*(8)+'LINEST VARS'!$R$54*($CR$32)+'LINEST VARS'!$Q$54*($BX51)+'LINEST VARS'!$P$54*(12.73)+'LINEST VARS'!$O$54*(8^2)+'LINEST VARS'!$N$54*(8^2)+'LINEST VARS'!$M$54*($CR$32^2)+'LINEST VARS'!$L$54*($BX51^2)+'LINEST VARS'!$K$54*(12.73^2)+'LINEST VARS'!$J$54*(8*8)+'LINEST VARS'!$I$54*(8*$CR$32)+'LINEST VARS'!$H$54*(8*$BX51)+'LINEST VARS'!$G$54*(8*12.73)+'LINEST VARS'!$F$54*(8*$CR$32)+'LINEST VARS'!$E$54*(8*$BX51)+'LINEST VARS'!$D$54*(8*12.73)+'LINEST VARS'!$C$54*($CR$32*$BX51)+'LINEST VARS'!$B$54*($CR$32*12.73)+'LINEST VARS'!$A$54*($BX51*12.73)</f>
        <v>3.9549999999999996</v>
      </c>
      <c r="CS51" s="52">
        <f>'LINEST VARS'!$U$54+'LINEST VARS'!$T$54*(8)+'LINEST VARS'!$S$54*(8)+'LINEST VARS'!$R$54*($CS$32)+'LINEST VARS'!$Q$54*($BX51)+'LINEST VARS'!$P$54*(12.73)+'LINEST VARS'!$O$54*(8^2)+'LINEST VARS'!$N$54*(8^2)+'LINEST VARS'!$M$54*($CS$32^2)+'LINEST VARS'!$L$54*($BX51^2)+'LINEST VARS'!$K$54*(12.73^2)+'LINEST VARS'!$J$54*(8*8)+'LINEST VARS'!$I$54*(8*$CS$32)+'LINEST VARS'!$H$54*(8*$BX51)+'LINEST VARS'!$G$54*(8*12.73)+'LINEST VARS'!$F$54*(8*$CS$32)+'LINEST VARS'!$E$54*(8*$BX51)+'LINEST VARS'!$D$54*(8*12.73)+'LINEST VARS'!$C$54*($CS$32*$BX51)+'LINEST VARS'!$B$54*($CS$32*12.73)+'LINEST VARS'!$A$54*($BX51*12.73)</f>
        <v>3.9549999999999996</v>
      </c>
      <c r="CX51" s="45">
        <v>23.390999999999998</v>
      </c>
      <c r="CY51" s="51">
        <f>'LINEST VARS'!$U$52+'LINEST VARS'!$T$52*(8)+'LINEST VARS'!$S$52*(8)+'LINEST VARS'!$R$52*($CY$32)+'LINEST VARS'!$Q$52*(0.5)+'LINEST VARS'!$P$52*($CX51)+'LINEST VARS'!$O$52*(8^2)+'LINEST VARS'!$N$52*(8^2)+'LINEST VARS'!$M$52*($CY$32^2)+'LINEST VARS'!$L$52*(0.5^2)+'LINEST VARS'!$K$52*($CX51^2)+'LINEST VARS'!$J$52*(8*8)+'LINEST VARS'!$I$52*(8*$CY$32)+'LINEST VARS'!$H$52*(8*0.5)+'LINEST VARS'!$G$52*(8*$CX51)+'LINEST VARS'!$F$52*(8*$CY$32)+'LINEST VARS'!$E$52*(8*0.5)+'LINEST VARS'!$D$52*(8*$CX51)+'LINEST VARS'!$C$52*($CY$32*0.5)+'LINEST VARS'!$B$52*($CY$32*$CX51)+'LINEST VARS'!$A$52*(0.5*$CX51)</f>
        <v>4.4499999999999984</v>
      </c>
      <c r="CZ51" s="51">
        <f>'LINEST VARS'!$U$52+'LINEST VARS'!$T$52*(8)+'LINEST VARS'!$S$52*(8)+'LINEST VARS'!$R$52*($CZ$32)+'LINEST VARS'!$Q$52*(0.5)+'LINEST VARS'!$P$52*($CX51)+'LINEST VARS'!$O$52*(8^2)+'LINEST VARS'!$N$52*(8^2)+'LINEST VARS'!$M$52*($CZ$32^2)+'LINEST VARS'!$L$52*(0.5^2)+'LINEST VARS'!$K$52*($CX51^2)+'LINEST VARS'!$J$52*(8*8)+'LINEST VARS'!$I$52*(8*$CZ$32)+'LINEST VARS'!$H$52*(8*0.5)+'LINEST VARS'!$G$52*(8*$CX51)+'LINEST VARS'!$F$52*(8*$CZ$32)+'LINEST VARS'!$E$52*(8*0.5)+'LINEST VARS'!$D$52*(8*$CX51)+'LINEST VARS'!$C$52*($CZ$32*0.5)+'LINEST VARS'!$B$52*($CZ$32*$CX51)+'LINEST VARS'!$A$52*(0.5*$CX51)</f>
        <v>4.4499999999999984</v>
      </c>
      <c r="DA51" s="51">
        <f>'LINEST VARS'!$U$52+'LINEST VARS'!$T$52*(8)+'LINEST VARS'!$S$52*(8)+'LINEST VARS'!$R$52*($DA$32)+'LINEST VARS'!$Q$52*(0.5)+'LINEST VARS'!$P$52*($CX51)+'LINEST VARS'!$O$52*(8^2)+'LINEST VARS'!$N$52*(8^2)+'LINEST VARS'!$M$52*($DA$32^2)+'LINEST VARS'!$L$52*(0.5^2)+'LINEST VARS'!$K$52*($CX51^2)+'LINEST VARS'!$J$52*(8*8)+'LINEST VARS'!$I$52*(8*$DA$32)+'LINEST VARS'!$H$52*(8*0.5)+'LINEST VARS'!$G$52*(8*$CX51)+'LINEST VARS'!$F$52*(8*$DA$32)+'LINEST VARS'!$E$52*(8*0.5)+'LINEST VARS'!$D$52*(8*$CX51)+'LINEST VARS'!$C$52*($DA$32*0.5)+'LINEST VARS'!$B$52*($DA$32*$CX51)+'LINEST VARS'!$A$52*(0.5*$CX51)</f>
        <v>4.4499999999999984</v>
      </c>
      <c r="DB51" s="51">
        <f>'LINEST VARS'!$U$52+'LINEST VARS'!$T$52*(8)+'LINEST VARS'!$S$52*(8)+'LINEST VARS'!$R$52*($DB$32)+'LINEST VARS'!$Q$52*(0.5)+'LINEST VARS'!$P$52*($CX51)+'LINEST VARS'!$O$52*(8^2)+'LINEST VARS'!$N$52*(8^2)+'LINEST VARS'!$M$52*($DB$32^2)+'LINEST VARS'!$L$52*(0.5^2)+'LINEST VARS'!$K$52*($CX51^2)+'LINEST VARS'!$J$52*(8*8)+'LINEST VARS'!$I$52*(8*$DB$32)+'LINEST VARS'!$H$52*(8*0.5)+'LINEST VARS'!$G$52*(8*$CX51)+'LINEST VARS'!$F$52*(8*$DB$32)+'LINEST VARS'!$E$52*(8*0.5)+'LINEST VARS'!$D$52*(8*$CX51)+'LINEST VARS'!$C$52*($DB$32*0.5)+'LINEST VARS'!$B$52*($DB$32*$CX51)+'LINEST VARS'!$A$52*(0.5*$CX51)</f>
        <v>4.4499999999999984</v>
      </c>
      <c r="DC51" s="51">
        <f>'LINEST VARS'!$U$52+'LINEST VARS'!$T$52*(8)+'LINEST VARS'!$S$52*(8)+'LINEST VARS'!$R$52*($DC$32)+'LINEST VARS'!$Q$52*(0.5)+'LINEST VARS'!$P$52*($CX51)+'LINEST VARS'!$O$52*(8^2)+'LINEST VARS'!$N$52*(8^2)+'LINEST VARS'!$M$52*($DC$32^2)+'LINEST VARS'!$L$52*(0.5^2)+'LINEST VARS'!$K$52*($CX51^2)+'LINEST VARS'!$J$52*(8*8)+'LINEST VARS'!$I$52*(8*$DC$32)+'LINEST VARS'!$H$52*(8*0.5)+'LINEST VARS'!$G$52*(8*$CX51)+'LINEST VARS'!$F$52*(8*$DC$32)+'LINEST VARS'!$E$52*(8*0.5)+'LINEST VARS'!$D$52*(8*$CX51)+'LINEST VARS'!$C$52*($DC$32*0.5)+'LINEST VARS'!$B$52*($DC$32*$CX51)+'LINEST VARS'!$A$52*(0.5*$CX51)</f>
        <v>4.4499999999999984</v>
      </c>
      <c r="DD51" s="51">
        <f>'LINEST VARS'!$U$52+'LINEST VARS'!$T$52*(8)+'LINEST VARS'!$S$52*(8)+'LINEST VARS'!$R$52*($DD$32)+'LINEST VARS'!$Q$52*(0.5)+'LINEST VARS'!$P$52*($CX51)+'LINEST VARS'!$O$52*(8^2)+'LINEST VARS'!$N$52*(8^2)+'LINEST VARS'!$M$52*($DD$32^2)+'LINEST VARS'!$L$52*(0.5^2)+'LINEST VARS'!$K$52*($CX51^2)+'LINEST VARS'!$J$52*(8*8)+'LINEST VARS'!$I$52*(8*$DD$32)+'LINEST VARS'!$H$52*(8*0.5)+'LINEST VARS'!$G$52*(8*$CX51)+'LINEST VARS'!$F$52*(8*$DD$32)+'LINEST VARS'!$E$52*(8*0.5)+'LINEST VARS'!$D$52*(8*$CX51)+'LINEST VARS'!$C$52*($DD$32*0.5)+'LINEST VARS'!$B$52*($DD$32*$CX51)+'LINEST VARS'!$A$52*(0.5*$CX51)</f>
        <v>4.4499999999999984</v>
      </c>
      <c r="DE51" s="51">
        <f>'LINEST VARS'!$U$52+'LINEST VARS'!$T$52*(8)+'LINEST VARS'!$S$52*(8)+'LINEST VARS'!$R$52*($DE$32)+'LINEST VARS'!$Q$52*(0.5)+'LINEST VARS'!$P$52*($CX51)+'LINEST VARS'!$O$52*(8^2)+'LINEST VARS'!$N$52*(8^2)+'LINEST VARS'!$M$52*($DE$32^2)+'LINEST VARS'!$L$52*(0.5^2)+'LINEST VARS'!$K$52*($CX51^2)+'LINEST VARS'!$J$52*(8*8)+'LINEST VARS'!$I$52*(8*$DE$32)+'LINEST VARS'!$H$52*(8*0.5)+'LINEST VARS'!$G$52*(8*$CX51)+'LINEST VARS'!$F$52*(8*$DE$32)+'LINEST VARS'!$E$52*(8*0.5)+'LINEST VARS'!$D$52*(8*$CX51)+'LINEST VARS'!$C$52*($DE$32*0.5)+'LINEST VARS'!$B$52*($DE$32*$CX51)+'LINEST VARS'!$A$52*(0.5*$CX51)</f>
        <v>4.4499999999999984</v>
      </c>
      <c r="DF51" s="51">
        <f>'LINEST VARS'!$U$52+'LINEST VARS'!$T$52*(8)+'LINEST VARS'!$S$52*(8)+'LINEST VARS'!$R$52*($DF$32)+'LINEST VARS'!$Q$52*(0.5)+'LINEST VARS'!$P$52*($CX51)+'LINEST VARS'!$O$52*(8^2)+'LINEST VARS'!$N$52*(8^2)+'LINEST VARS'!$M$52*($DF$32^2)+'LINEST VARS'!$L$52*(0.5^2)+'LINEST VARS'!$K$52*($CX51^2)+'LINEST VARS'!$J$52*(8*8)+'LINEST VARS'!$I$52*(8*$DF$32)+'LINEST VARS'!$H$52*(8*0.5)+'LINEST VARS'!$G$52*(8*$CX51)+'LINEST VARS'!$F$52*(8*$DF$32)+'LINEST VARS'!$E$52*(8*0.5)+'LINEST VARS'!$D$52*(8*$CX51)+'LINEST VARS'!$C$52*($DF$32*0.5)+'LINEST VARS'!$B$52*($DF$32*$CX51)+'LINEST VARS'!$A$52*(0.5*$CX51)</f>
        <v>4.4499999999999984</v>
      </c>
      <c r="DG51" s="51">
        <f>'LINEST VARS'!$U$52+'LINEST VARS'!$T$52*(8)+'LINEST VARS'!$S$52*(8)+'LINEST VARS'!$R$52*($DG$32)+'LINEST VARS'!$Q$52*(0.5)+'LINEST VARS'!$P$52*($CX51)+'LINEST VARS'!$O$52*(8^2)+'LINEST VARS'!$N$52*(8^2)+'LINEST VARS'!$M$52*($DG$32^2)+'LINEST VARS'!$L$52*(0.5^2)+'LINEST VARS'!$K$52*($CX51^2)+'LINEST VARS'!$J$52*(8*8)+'LINEST VARS'!$I$52*(8*$DG$32)+'LINEST VARS'!$H$52*(8*0.5)+'LINEST VARS'!$G$52*(8*$CX51)+'LINEST VARS'!$F$52*(8*$DG$32)+'LINEST VARS'!$E$52*(8*0.5)+'LINEST VARS'!$D$52*(8*$CX51)+'LINEST VARS'!$C$52*($DG$32*0.5)+'LINEST VARS'!$B$52*($DG$32*$CX51)+'LINEST VARS'!$A$52*(0.5*$CX51)</f>
        <v>4.4499999999999984</v>
      </c>
      <c r="DH51" s="51">
        <f>'LINEST VARS'!$U$52+'LINEST VARS'!$T$52*(8)+'LINEST VARS'!$S$52*(8)+'LINEST VARS'!$R$52*($DH$32)+'LINEST VARS'!$Q$52*(0.5)+'LINEST VARS'!$P$52*($CX51)+'LINEST VARS'!$O$52*(8^2)+'LINEST VARS'!$N$52*(8^2)+'LINEST VARS'!$M$52*($DH$32^2)+'LINEST VARS'!$L$52*(0.5^2)+'LINEST VARS'!$K$52*($CX51^2)+'LINEST VARS'!$J$52*(8*8)+'LINEST VARS'!$I$52*(8*$DH$32)+'LINEST VARS'!$H$52*(8*0.5)+'LINEST VARS'!$G$52*(8*$CX51)+'LINEST VARS'!$F$52*(8*$DH$32)+'LINEST VARS'!$E$52*(8*0.5)+'LINEST VARS'!$D$52*(8*$CX51)+'LINEST VARS'!$C$52*($DH$32*0.5)+'LINEST VARS'!$B$52*($DH$32*$CX51)+'LINEST VARS'!$A$52*(0.5*$CX51)</f>
        <v>4.4499999999999984</v>
      </c>
      <c r="DI51" s="51">
        <f>'LINEST VARS'!$U$52+'LINEST VARS'!$T$52*(8)+'LINEST VARS'!$S$52*(8)+'LINEST VARS'!$R$52*($DI$32)+'LINEST VARS'!$Q$52*(0.5)+'LINEST VARS'!$P$52*($CX51)+'LINEST VARS'!$O$52*(8^2)+'LINEST VARS'!$N$52*(8^2)+'LINEST VARS'!$M$52*($DI$32^2)+'LINEST VARS'!$L$52*(0.5^2)+'LINEST VARS'!$K$52*($CX51^2)+'LINEST VARS'!$J$52*(8*8)+'LINEST VARS'!$I$52*(8*$DI$32)+'LINEST VARS'!$H$52*(8*0.5)+'LINEST VARS'!$G$52*(8*$CX51)+'LINEST VARS'!$F$52*(8*$DI$32)+'LINEST VARS'!$E$52*(8*0.5)+'LINEST VARS'!$D$52*(8*$CX51)+'LINEST VARS'!$C$52*($DI$32*0.5)+'LINEST VARS'!$B$52*($DI$32*$CX51)+'LINEST VARS'!$A$52*(0.5*$CX51)</f>
        <v>4.4499999999999984</v>
      </c>
      <c r="DJ51" s="51">
        <f>'LINEST VARS'!$U$52+'LINEST VARS'!$T$52*(8)+'LINEST VARS'!$S$52*(8)+'LINEST VARS'!$R$52*($DJ$32)+'LINEST VARS'!$Q$52*(0.5)+'LINEST VARS'!$P$52*($CX51)+'LINEST VARS'!$O$52*(8^2)+'LINEST VARS'!$N$52*(8^2)+'LINEST VARS'!$M$52*($DJ$32^2)+'LINEST VARS'!$L$52*(0.5^2)+'LINEST VARS'!$K$52*($CX51^2)+'LINEST VARS'!$J$52*(8*8)+'LINEST VARS'!$I$52*(8*$DJ$32)+'LINEST VARS'!$H$52*(8*0.5)+'LINEST VARS'!$G$52*(8*$CX51)+'LINEST VARS'!$F$52*(8*$DJ$32)+'LINEST VARS'!$E$52*(8*0.5)+'LINEST VARS'!$D$52*(8*$CX51)+'LINEST VARS'!$C$52*($DJ$32*0.5)+'LINEST VARS'!$B$52*($DJ$32*$CX51)+'LINEST VARS'!$A$52*(0.5*$CX51)</f>
        <v>4.4499999999999984</v>
      </c>
      <c r="DK51" s="51">
        <f>'LINEST VARS'!$U$52+'LINEST VARS'!$T$52*(8)+'LINEST VARS'!$S$52*(8)+'LINEST VARS'!$R$52*($DK$32)+'LINEST VARS'!$Q$52*(0.5)+'LINEST VARS'!$P$52*($CX51)+'LINEST VARS'!$O$52*(8^2)+'LINEST VARS'!$N$52*(8^2)+'LINEST VARS'!$M$52*($DK$32^2)+'LINEST VARS'!$L$52*(0.5^2)+'LINEST VARS'!$K$52*($CX51^2)+'LINEST VARS'!$J$52*(8*8)+'LINEST VARS'!$I$52*(8*$DK$32)+'LINEST VARS'!$H$52*(8*0.5)+'LINEST VARS'!$G$52*(8*$CX51)+'LINEST VARS'!$F$52*(8*$DK$32)+'LINEST VARS'!$E$52*(8*0.5)+'LINEST VARS'!$D$52*(8*$CX51)+'LINEST VARS'!$C$52*($DK$32*0.5)+'LINEST VARS'!$B$52*($DK$32*$CX51)+'LINEST VARS'!$A$52*(0.5*$CX51)</f>
        <v>4.4499999999999984</v>
      </c>
      <c r="DL51" s="51">
        <f>'LINEST VARS'!$U$52+'LINEST VARS'!$T$52*(8)+'LINEST VARS'!$S$52*(8)+'LINEST VARS'!$R$52*($DL$32)+'LINEST VARS'!$Q$52*(0.5)+'LINEST VARS'!$P$52*($CX51)+'LINEST VARS'!$O$52*(8^2)+'LINEST VARS'!$N$52*(8^2)+'LINEST VARS'!$M$52*($DL$32^2)+'LINEST VARS'!$L$52*(0.5^2)+'LINEST VARS'!$K$52*($CX51^2)+'LINEST VARS'!$J$52*(8*8)+'LINEST VARS'!$I$52*(8*$DL$32)+'LINEST VARS'!$H$52*(8*0.5)+'LINEST VARS'!$G$52*(8*$CX51)+'LINEST VARS'!$F$52*(8*$DL$32)+'LINEST VARS'!$E$52*(8*0.5)+'LINEST VARS'!$D$52*(8*$CX51)+'LINEST VARS'!$C$52*($DL$32*0.5)+'LINEST VARS'!$B$52*($DL$32*$CX51)+'LINEST VARS'!$A$52*(0.5*$CX51)</f>
        <v>4.4499999999999984</v>
      </c>
      <c r="DM51" s="51">
        <f>'LINEST VARS'!$U$52+'LINEST VARS'!$T$52*(8)+'LINEST VARS'!$S$52*(8)+'LINEST VARS'!$R$52*($DM$32)+'LINEST VARS'!$Q$52*(0.5)+'LINEST VARS'!$P$52*($CX51)+'LINEST VARS'!$O$52*(8^2)+'LINEST VARS'!$N$52*(8^2)+'LINEST VARS'!$M$52*($DM$32^2)+'LINEST VARS'!$L$52*(0.5^2)+'LINEST VARS'!$K$52*($CX51^2)+'LINEST VARS'!$J$52*(8*8)+'LINEST VARS'!$I$52*(8*$DM$32)+'LINEST VARS'!$H$52*(8*0.5)+'LINEST VARS'!$G$52*(8*$CX51)+'LINEST VARS'!$F$52*(8*$DM$32)+'LINEST VARS'!$E$52*(8*0.5)+'LINEST VARS'!$D$52*(8*$CX51)+'LINEST VARS'!$C$52*($DM$32*0.5)+'LINEST VARS'!$B$52*($DM$32*$CX51)+'LINEST VARS'!$A$52*(0.5*$CX51)</f>
        <v>4.4499999999999984</v>
      </c>
      <c r="DN51" s="51">
        <f>'LINEST VARS'!$U$52+'LINEST VARS'!$T$52*(8)+'LINEST VARS'!$S$52*(8)+'LINEST VARS'!$R$52*($DN$32)+'LINEST VARS'!$Q$52*(0.5)+'LINEST VARS'!$P$52*($CX51)+'LINEST VARS'!$O$52*(8^2)+'LINEST VARS'!$N$52*(8^2)+'LINEST VARS'!$M$52*($DN$32^2)+'LINEST VARS'!$L$52*(0.5^2)+'LINEST VARS'!$K$52*($CX51^2)+'LINEST VARS'!$J$52*(8*8)+'LINEST VARS'!$I$52*(8*$DN$32)+'LINEST VARS'!$H$52*(8*0.5)+'LINEST VARS'!$G$52*(8*$CX51)+'LINEST VARS'!$F$52*(8*$DN$32)+'LINEST VARS'!$E$52*(8*0.5)+'LINEST VARS'!$D$52*(8*$CX51)+'LINEST VARS'!$C$52*($DN$32*0.5)+'LINEST VARS'!$B$52*($DN$32*$CX51)+'LINEST VARS'!$A$52*(0.5*$CX51)</f>
        <v>4.4499999999999984</v>
      </c>
      <c r="DO51" s="51">
        <f>'LINEST VARS'!$U$52+'LINEST VARS'!$T$52*(8)+'LINEST VARS'!$S$52*(8)+'LINEST VARS'!$R$52*($DO$32)+'LINEST VARS'!$Q$52*(0.5)+'LINEST VARS'!$P$52*($CX51)+'LINEST VARS'!$O$52*(8^2)+'LINEST VARS'!$N$52*(8^2)+'LINEST VARS'!$M$52*($DO$32^2)+'LINEST VARS'!$L$52*(0.5^2)+'LINEST VARS'!$K$52*($CX51^2)+'LINEST VARS'!$J$52*(8*8)+'LINEST VARS'!$I$52*(8*$DO$32)+'LINEST VARS'!$H$52*(8*0.5)+'LINEST VARS'!$G$52*(8*$CX51)+'LINEST VARS'!$F$52*(8*$DO$32)+'LINEST VARS'!$E$52*(8*0.5)+'LINEST VARS'!$D$52*(8*$CX51)+'LINEST VARS'!$C$52*($DO$32*0.5)+'LINEST VARS'!$B$52*($DO$32*$CX51)+'LINEST VARS'!$A$52*(0.5*$CX51)</f>
        <v>4.4499999999999984</v>
      </c>
      <c r="DP51" s="51">
        <f>'LINEST VARS'!$U$52+'LINEST VARS'!$T$52*(8)+'LINEST VARS'!$S$52*(8)+'LINEST VARS'!$R$52*($DP$32)+'LINEST VARS'!$Q$52*(0.5)+'LINEST VARS'!$P$52*($CX51)+'LINEST VARS'!$O$52*(8^2)+'LINEST VARS'!$N$52*(8^2)+'LINEST VARS'!$M$52*($DP$32^2)+'LINEST VARS'!$L$52*(0.5^2)+'LINEST VARS'!$K$52*($CX51^2)+'LINEST VARS'!$J$52*(8*8)+'LINEST VARS'!$I$52*(8*$DP$32)+'LINEST VARS'!$H$52*(8*0.5)+'LINEST VARS'!$G$52*(8*$CX51)+'LINEST VARS'!$F$52*(8*$DP$32)+'LINEST VARS'!$E$52*(8*0.5)+'LINEST VARS'!$D$52*(8*$CX51)+'LINEST VARS'!$C$52*($DP$32*0.5)+'LINEST VARS'!$B$52*($DP$32*$CX51)+'LINEST VARS'!$A$52*(0.5*$CX51)</f>
        <v>4.4499999999999984</v>
      </c>
      <c r="DQ51" s="51">
        <f>'LINEST VARS'!$U$52+'LINEST VARS'!$T$52*(8)+'LINEST VARS'!$S$52*(8)+'LINEST VARS'!$R$52*($DQ$32)+'LINEST VARS'!$Q$52*(0.5)+'LINEST VARS'!$P$52*($CX51)+'LINEST VARS'!$O$52*(8^2)+'LINEST VARS'!$N$52*(8^2)+'LINEST VARS'!$M$52*($DQ$32^2)+'LINEST VARS'!$L$52*(0.5^2)+'LINEST VARS'!$K$52*($CX51^2)+'LINEST VARS'!$J$52*(8*8)+'LINEST VARS'!$I$52*(8*$DQ$32)+'LINEST VARS'!$H$52*(8*0.5)+'LINEST VARS'!$G$52*(8*$CX51)+'LINEST VARS'!$F$52*(8*$DQ$32)+'LINEST VARS'!$E$52*(8*0.5)+'LINEST VARS'!$D$52*(8*$CX51)+'LINEST VARS'!$C$52*($DQ$32*0.5)+'LINEST VARS'!$B$52*($DQ$32*$CX51)+'LINEST VARS'!$A$52*(0.5*$CX51)</f>
        <v>4.4499999999999984</v>
      </c>
      <c r="DR51" s="51">
        <f>'LINEST VARS'!$U$52+'LINEST VARS'!$T$52*(8)+'LINEST VARS'!$S$52*(8)+'LINEST VARS'!$R$52*($DR$32)+'LINEST VARS'!$Q$52*(0.5)+'LINEST VARS'!$P$52*($CX51)+'LINEST VARS'!$O$52*(8^2)+'LINEST VARS'!$N$52*(8^2)+'LINEST VARS'!$M$52*($DR$32^2)+'LINEST VARS'!$L$52*(0.5^2)+'LINEST VARS'!$K$52*($CX51^2)+'LINEST VARS'!$J$52*(8*8)+'LINEST VARS'!$I$52*(8*$DR$32)+'LINEST VARS'!$H$52*(8*0.5)+'LINEST VARS'!$G$52*(8*$CX51)+'LINEST VARS'!$F$52*(8*$DR$32)+'LINEST VARS'!$E$52*(8*0.5)+'LINEST VARS'!$D$52*(8*$CX51)+'LINEST VARS'!$C$52*($DR$32*0.5)+'LINEST VARS'!$B$52*($DR$32*$CX51)+'LINEST VARS'!$A$52*(0.5*$CX51)</f>
        <v>4.4499999999999984</v>
      </c>
      <c r="DS51" s="52">
        <f>'LINEST VARS'!$U$52+'LINEST VARS'!$T$52*(8)+'LINEST VARS'!$S$52*(8)+'LINEST VARS'!$R$52*($DS$32)+'LINEST VARS'!$Q$52*(0.5)+'LINEST VARS'!$P$52*($CX51)+'LINEST VARS'!$O$52*(8^2)+'LINEST VARS'!$N$52*(8^2)+'LINEST VARS'!$M$52*($DS$32^2)+'LINEST VARS'!$L$52*(0.5^2)+'LINEST VARS'!$K$52*($CX51^2)+'LINEST VARS'!$J$52*(8*8)+'LINEST VARS'!$I$52*(8*$DS$32)+'LINEST VARS'!$H$52*(8*0.5)+'LINEST VARS'!$G$52*(8*$CX51)+'LINEST VARS'!$F$52*(8*$DS$32)+'LINEST VARS'!$E$52*(8*0.5)+'LINEST VARS'!$D$52*(8*$CX51)+'LINEST VARS'!$C$52*($DS$32*0.5)+'LINEST VARS'!$B$52*($DS$32*$CX51)+'LINEST VARS'!$A$52*(0.5*$CX51)</f>
        <v>4.4499999999999984</v>
      </c>
      <c r="DV51" s="45">
        <v>23.390999999999998</v>
      </c>
      <c r="DW51" s="51">
        <f>'LINEST VARS'!$U$54+'LINEST VARS'!$T$54*(8)+'LINEST VARS'!$S$54*(8)+'LINEST VARS'!$R$54*($DW$32)+'LINEST VARS'!$Q$54*(0.5)+'LINEST VARS'!$P$54*($DV51)+'LINEST VARS'!$O$54*(8^2)+'LINEST VARS'!$N$54*(8^2)+'LINEST VARS'!$M$54*($DW$32^2)+'LINEST VARS'!$L$54*(0.5^2)+'LINEST VARS'!$K$54*($DV51^2)+'LINEST VARS'!$J$54*(8*8)+'LINEST VARS'!$I$54*(8*$DW$32)+'LINEST VARS'!$H$54*(8*0.5)+'LINEST VARS'!$G$54*(8*$DV51)+'LINEST VARS'!$F$54*(8*$DW$32)+'LINEST VARS'!$E$54*(8*0.5)+'LINEST VARS'!$D$54*(8*$DV51)+'LINEST VARS'!$C$54*($DW$32*0.5)+'LINEST VARS'!$B$54*($DW$32*$DV51)+'LINEST VARS'!$A$54*(0.5*$DV51)</f>
        <v>3.9749999999999996</v>
      </c>
      <c r="DX51" s="51">
        <f>'LINEST VARS'!$U$54+'LINEST VARS'!$T$54*(8)+'LINEST VARS'!$S$54*(8)+'LINEST VARS'!$R$54*($DX$32)+'LINEST VARS'!$Q$54*(0.5)+'LINEST VARS'!$P$54*($DV51)+'LINEST VARS'!$O$54*(8^2)+'LINEST VARS'!$N$54*(8^2)+'LINEST VARS'!$M$54*($DX$32^2)+'LINEST VARS'!$L$54*(0.5^2)+'LINEST VARS'!$K$54*($DV51^2)+'LINEST VARS'!$J$54*(8*8)+'LINEST VARS'!$I$54*(8*$DX$32)+'LINEST VARS'!$H$54*(8*0.5)+'LINEST VARS'!$G$54*(8*$DV51)+'LINEST VARS'!$F$54*(8*$DX$32)+'LINEST VARS'!$E$54*(8*0.5)+'LINEST VARS'!$D$54*(8*$DV51)+'LINEST VARS'!$C$54*($DX$32*0.5)+'LINEST VARS'!$B$54*($DX$32*$DV51)+'LINEST VARS'!$A$54*(0.5*$DV51)</f>
        <v>3.9749999999999996</v>
      </c>
      <c r="DY51" s="51">
        <f>'LINEST VARS'!$U$54+'LINEST VARS'!$T$54*(8)+'LINEST VARS'!$S$54*(8)+'LINEST VARS'!$R$54*($DY$32)+'LINEST VARS'!$Q$54*(0.5)+'LINEST VARS'!$P$54*($DV51)+'LINEST VARS'!$O$54*(8^2)+'LINEST VARS'!$N$54*(8^2)+'LINEST VARS'!$M$54*($DY$32^2)+'LINEST VARS'!$L$54*(0.5^2)+'LINEST VARS'!$K$54*($DV51^2)+'LINEST VARS'!$J$54*(8*8)+'LINEST VARS'!$I$54*(8*$DY$32)+'LINEST VARS'!$H$54*(8*0.5)+'LINEST VARS'!$G$54*(8*$DV51)+'LINEST VARS'!$F$54*(8*$DY$32)+'LINEST VARS'!$E$54*(8*0.5)+'LINEST VARS'!$D$54*(8*$DV51)+'LINEST VARS'!$C$54*($DY$32*0.5)+'LINEST VARS'!$B$54*($DY$32*$DV51)+'LINEST VARS'!$A$54*(0.5*$DV51)</f>
        <v>3.9749999999999996</v>
      </c>
      <c r="DZ51" s="51">
        <f>'LINEST VARS'!$U$54+'LINEST VARS'!$T$54*(8)+'LINEST VARS'!$S$54*(8)+'LINEST VARS'!$R$54*($DZ$32)+'LINEST VARS'!$Q$54*(0.5)+'LINEST VARS'!$P$54*($DV51)+'LINEST VARS'!$O$54*(8^2)+'LINEST VARS'!$N$54*(8^2)+'LINEST VARS'!$M$54*($DZ$32^2)+'LINEST VARS'!$L$54*(0.5^2)+'LINEST VARS'!$K$54*($DV51^2)+'LINEST VARS'!$J$54*(8*8)+'LINEST VARS'!$I$54*(8*$DZ$32)+'LINEST VARS'!$H$54*(8*0.5)+'LINEST VARS'!$G$54*(8*$DV51)+'LINEST VARS'!$F$54*(8*$DZ$32)+'LINEST VARS'!$E$54*(8*0.5)+'LINEST VARS'!$D$54*(8*$DV51)+'LINEST VARS'!$C$54*($DZ$32*0.5)+'LINEST VARS'!$B$54*($DZ$32*$DV51)+'LINEST VARS'!$A$54*(0.5*$DV51)</f>
        <v>3.9749999999999996</v>
      </c>
      <c r="EA51" s="51">
        <f>'LINEST VARS'!$U$54+'LINEST VARS'!$T$54*(8)+'LINEST VARS'!$S$54*(8)+'LINEST VARS'!$R$54*($EA$32)+'LINEST VARS'!$Q$54*(0.5)+'LINEST VARS'!$P$54*($DV51)+'LINEST VARS'!$O$54*(8^2)+'LINEST VARS'!$N$54*(8^2)+'LINEST VARS'!$M$54*($EA$32^2)+'LINEST VARS'!$L$54*(0.5^2)+'LINEST VARS'!$K$54*($DV51^2)+'LINEST VARS'!$J$54*(8*8)+'LINEST VARS'!$I$54*(8*$EA$32)+'LINEST VARS'!$H$54*(8*0.5)+'LINEST VARS'!$G$54*(8*$DV51)+'LINEST VARS'!$F$54*(8*$EA$32)+'LINEST VARS'!$E$54*(8*0.5)+'LINEST VARS'!$D$54*(8*$DV51)+'LINEST VARS'!$C$54*($EA$32*0.5)+'LINEST VARS'!$B$54*($EA$32*$DV51)+'LINEST VARS'!$A$54*(0.5*$DV51)</f>
        <v>3.9749999999999996</v>
      </c>
      <c r="EB51" s="51">
        <f>'LINEST VARS'!$U$54+'LINEST VARS'!$T$54*(8)+'LINEST VARS'!$S$54*(8)+'LINEST VARS'!$R$54*($EB$32)+'LINEST VARS'!$Q$54*(0.5)+'LINEST VARS'!$P$54*($DV51)+'LINEST VARS'!$O$54*(8^2)+'LINEST VARS'!$N$54*(8^2)+'LINEST VARS'!$M$54*($EB$32^2)+'LINEST VARS'!$L$54*(0.5^2)+'LINEST VARS'!$K$54*($DV51^2)+'LINEST VARS'!$J$54*(8*8)+'LINEST VARS'!$I$54*(8*$EB$32)+'LINEST VARS'!$H$54*(8*0.5)+'LINEST VARS'!$G$54*(8*$DV51)+'LINEST VARS'!$F$54*(8*$EB$32)+'LINEST VARS'!$E$54*(8*0.5)+'LINEST VARS'!$D$54*(8*$DV51)+'LINEST VARS'!$C$54*($EB$32*0.5)+'LINEST VARS'!$B$54*($EB$32*$DV51)+'LINEST VARS'!$A$54*(0.5*$DV51)</f>
        <v>3.9749999999999996</v>
      </c>
      <c r="EC51" s="51">
        <f>'LINEST VARS'!$U$54+'LINEST VARS'!$T$54*(8)+'LINEST VARS'!$S$54*(8)+'LINEST VARS'!$R$54*($EC$32)+'LINEST VARS'!$Q$54*(0.5)+'LINEST VARS'!$P$54*($DV51)+'LINEST VARS'!$O$54*(8^2)+'LINEST VARS'!$N$54*(8^2)+'LINEST VARS'!$M$54*($EC$32^2)+'LINEST VARS'!$L$54*(0.5^2)+'LINEST VARS'!$K$54*($DV51^2)+'LINEST VARS'!$J$54*(8*8)+'LINEST VARS'!$I$54*(8*$EC$32)+'LINEST VARS'!$H$54*(8*0.5)+'LINEST VARS'!$G$54*(8*$DV51)+'LINEST VARS'!$F$54*(8*$EC$32)+'LINEST VARS'!$E$54*(8*0.5)+'LINEST VARS'!$D$54*(8*$DV51)+'LINEST VARS'!$C$54*($EC$32*0.5)+'LINEST VARS'!$B$54*($EC$32*$DV51)+'LINEST VARS'!$A$54*(0.5*$DV51)</f>
        <v>3.9749999999999996</v>
      </c>
      <c r="ED51" s="51">
        <f>'LINEST VARS'!$U$54+'LINEST VARS'!$T$54*(8)+'LINEST VARS'!$S$54*(8)+'LINEST VARS'!$R$54*($ED$32)+'LINEST VARS'!$Q$54*(0.5)+'LINEST VARS'!$P$54*($DV51)+'LINEST VARS'!$O$54*(8^2)+'LINEST VARS'!$N$54*(8^2)+'LINEST VARS'!$M$54*($ED$32^2)+'LINEST VARS'!$L$54*(0.5^2)+'LINEST VARS'!$K$54*($DV51^2)+'LINEST VARS'!$J$54*(8*8)+'LINEST VARS'!$I$54*(8*$ED$32)+'LINEST VARS'!$H$54*(8*0.5)+'LINEST VARS'!$G$54*(8*$DV51)+'LINEST VARS'!$F$54*(8*$ED$32)+'LINEST VARS'!$E$54*(8*0.5)+'LINEST VARS'!$D$54*(8*$DV51)+'LINEST VARS'!$C$54*($ED$32*0.5)+'LINEST VARS'!$B$54*($ED$32*$DV51)+'LINEST VARS'!$A$54*(0.5*$DV51)</f>
        <v>3.9749999999999996</v>
      </c>
      <c r="EE51" s="51">
        <f>'LINEST VARS'!$U$54+'LINEST VARS'!$T$54*(8)+'LINEST VARS'!$S$54*(8)+'LINEST VARS'!$R$54*($EE$32)+'LINEST VARS'!$Q$54*(0.5)+'LINEST VARS'!$P$54*($DV51)+'LINEST VARS'!$O$54*(8^2)+'LINEST VARS'!$N$54*(8^2)+'LINEST VARS'!$M$54*($EE$32^2)+'LINEST VARS'!$L$54*(0.5^2)+'LINEST VARS'!$K$54*($DV51^2)+'LINEST VARS'!$J$54*(8*8)+'LINEST VARS'!$I$54*(8*$EE$32)+'LINEST VARS'!$H$54*(8*0.5)+'LINEST VARS'!$G$54*(8*$DV51)+'LINEST VARS'!$F$54*(8*$EE$32)+'LINEST VARS'!$E$54*(8*0.5)+'LINEST VARS'!$D$54*(8*$DV51)+'LINEST VARS'!$C$54*($EE$32*0.5)+'LINEST VARS'!$B$54*($EE$32*$DV51)+'LINEST VARS'!$A$54*(0.5*$DV51)</f>
        <v>3.9749999999999996</v>
      </c>
      <c r="EF51" s="51">
        <f>'LINEST VARS'!$U$54+'LINEST VARS'!$T$54*(8)+'LINEST VARS'!$S$54*(8)+'LINEST VARS'!$R$54*($EF$32)+'LINEST VARS'!$Q$54*(0.5)+'LINEST VARS'!$P$54*($DV51)+'LINEST VARS'!$O$54*(8^2)+'LINEST VARS'!$N$54*(8^2)+'LINEST VARS'!$M$54*($EF$32^2)+'LINEST VARS'!$L$54*(0.5^2)+'LINEST VARS'!$K$54*($DV51^2)+'LINEST VARS'!$J$54*(8*8)+'LINEST VARS'!$I$54*(8*$EF$32)+'LINEST VARS'!$H$54*(8*0.5)+'LINEST VARS'!$G$54*(8*$DV51)+'LINEST VARS'!$F$54*(8*$EF$32)+'LINEST VARS'!$E$54*(8*0.5)+'LINEST VARS'!$D$54*(8*$DV51)+'LINEST VARS'!$C$54*($EF$32*0.5)+'LINEST VARS'!$B$54*($EF$32*$DV51)+'LINEST VARS'!$A$54*(0.5*$DV51)</f>
        <v>3.9749999999999996</v>
      </c>
      <c r="EG51" s="51">
        <f>'LINEST VARS'!$U$54+'LINEST VARS'!$T$54*(8)+'LINEST VARS'!$S$54*(8)+'LINEST VARS'!$R$54*($EG$32)+'LINEST VARS'!$Q$54*(0.5)+'LINEST VARS'!$P$54*($DV51)+'LINEST VARS'!$O$54*(8^2)+'LINEST VARS'!$N$54*(8^2)+'LINEST VARS'!$M$54*($EG$32^2)+'LINEST VARS'!$L$54*(0.5^2)+'LINEST VARS'!$K$54*($DV51^2)+'LINEST VARS'!$J$54*(8*8)+'LINEST VARS'!$I$54*(8*$EG$32)+'LINEST VARS'!$H$54*(8*0.5)+'LINEST VARS'!$G$54*(8*$DV51)+'LINEST VARS'!$F$54*(8*$EG$32)+'LINEST VARS'!$E$54*(8*0.5)+'LINEST VARS'!$D$54*(8*$DV51)+'LINEST VARS'!$C$54*($EG$32*0.5)+'LINEST VARS'!$B$54*($EG$32*$DV51)+'LINEST VARS'!$A$54*(0.5*$DV51)</f>
        <v>3.9749999999999996</v>
      </c>
      <c r="EH51" s="51">
        <f>'LINEST VARS'!$U$54+'LINEST VARS'!$T$54*(8)+'LINEST VARS'!$S$54*(8)+'LINEST VARS'!$R$54*($EH$32)+'LINEST VARS'!$Q$54*(0.5)+'LINEST VARS'!$P$54*($DV51)+'LINEST VARS'!$O$54*(8^2)+'LINEST VARS'!$N$54*(8^2)+'LINEST VARS'!$M$54*($EH$32^2)+'LINEST VARS'!$L$54*(0.5^2)+'LINEST VARS'!$K$54*($DV51^2)+'LINEST VARS'!$J$54*(8*8)+'LINEST VARS'!$I$54*(8*$EH$32)+'LINEST VARS'!$H$54*(8*0.5)+'LINEST VARS'!$G$54*(8*$DV51)+'LINEST VARS'!$F$54*(8*$EH$32)+'LINEST VARS'!$E$54*(8*0.5)+'LINEST VARS'!$D$54*(8*$DV51)+'LINEST VARS'!$C$54*($EH$32*0.5)+'LINEST VARS'!$B$54*($EH$32*$DV51)+'LINEST VARS'!$A$54*(0.5*$DV51)</f>
        <v>3.9749999999999996</v>
      </c>
      <c r="EI51" s="51">
        <f>'LINEST VARS'!$U$54+'LINEST VARS'!$T$54*(8)+'LINEST VARS'!$S$54*(8)+'LINEST VARS'!$R$54*($EI$32)+'LINEST VARS'!$Q$54*(0.5)+'LINEST VARS'!$P$54*($DV51)+'LINEST VARS'!$O$54*(8^2)+'LINEST VARS'!$N$54*(8^2)+'LINEST VARS'!$M$54*($EI$32^2)+'LINEST VARS'!$L$54*(0.5^2)+'LINEST VARS'!$K$54*($DV51^2)+'LINEST VARS'!$J$54*(8*8)+'LINEST VARS'!$I$54*(8*$EI$32)+'LINEST VARS'!$H$54*(8*0.5)+'LINEST VARS'!$G$54*(8*$DV51)+'LINEST VARS'!$F$54*(8*$EI$32)+'LINEST VARS'!$E$54*(8*0.5)+'LINEST VARS'!$D$54*(8*$DV51)+'LINEST VARS'!$C$54*($EI$32*0.5)+'LINEST VARS'!$B$54*($EI$32*$DV51)+'LINEST VARS'!$A$54*(0.5*$DV51)</f>
        <v>3.9749999999999996</v>
      </c>
      <c r="EJ51" s="51">
        <f>'LINEST VARS'!$U$54+'LINEST VARS'!$T$54*(8)+'LINEST VARS'!$S$54*(8)+'LINEST VARS'!$R$54*($EJ$32)+'LINEST VARS'!$Q$54*(0.5)+'LINEST VARS'!$P$54*($DV51)+'LINEST VARS'!$O$54*(8^2)+'LINEST VARS'!$N$54*(8^2)+'LINEST VARS'!$M$54*($EJ$32^2)+'LINEST VARS'!$L$54*(0.5^2)+'LINEST VARS'!$K$54*($DV51^2)+'LINEST VARS'!$J$54*(8*8)+'LINEST VARS'!$I$54*(8*$EJ$32)+'LINEST VARS'!$H$54*(8*0.5)+'LINEST VARS'!$G$54*(8*$DV51)+'LINEST VARS'!$F$54*(8*$EJ$32)+'LINEST VARS'!$E$54*(8*0.5)+'LINEST VARS'!$D$54*(8*$DV51)+'LINEST VARS'!$C$54*($EJ$32*0.5)+'LINEST VARS'!$B$54*($EJ$32*$DV51)+'LINEST VARS'!$A$54*(0.5*$DV51)</f>
        <v>3.9749999999999996</v>
      </c>
      <c r="EK51" s="51">
        <f>'LINEST VARS'!$U$54+'LINEST VARS'!$T$54*(8)+'LINEST VARS'!$S$54*(8)+'LINEST VARS'!$R$54*($EK$32)+'LINEST VARS'!$Q$54*(0.5)+'LINEST VARS'!$P$54*($DV51)+'LINEST VARS'!$O$54*(8^2)+'LINEST VARS'!$N$54*(8^2)+'LINEST VARS'!$M$54*($EK$32^2)+'LINEST VARS'!$L$54*(0.5^2)+'LINEST VARS'!$K$54*($DV51^2)+'LINEST VARS'!$J$54*(8*8)+'LINEST VARS'!$I$54*(8*$EK$32)+'LINEST VARS'!$H$54*(8*0.5)+'LINEST VARS'!$G$54*(8*$DV51)+'LINEST VARS'!$F$54*(8*$EK$32)+'LINEST VARS'!$E$54*(8*0.5)+'LINEST VARS'!$D$54*(8*$DV51)+'LINEST VARS'!$C$54*($EK$32*0.5)+'LINEST VARS'!$B$54*($EK$32*$DV51)+'LINEST VARS'!$A$54*(0.5*$DV51)</f>
        <v>3.9749999999999996</v>
      </c>
      <c r="EL51" s="51">
        <f>'LINEST VARS'!$U$54+'LINEST VARS'!$T$54*(8)+'LINEST VARS'!$S$54*(8)+'LINEST VARS'!$R$54*($EL$32)+'LINEST VARS'!$Q$54*(0.5)+'LINEST VARS'!$P$54*($DV51)+'LINEST VARS'!$O$54*(8^2)+'LINEST VARS'!$N$54*(8^2)+'LINEST VARS'!$M$54*($EL$32^2)+'LINEST VARS'!$L$54*(0.5^2)+'LINEST VARS'!$K$54*($DV51^2)+'LINEST VARS'!$J$54*(8*8)+'LINEST VARS'!$I$54*(8*$EL$32)+'LINEST VARS'!$H$54*(8*0.5)+'LINEST VARS'!$G$54*(8*$DV51)+'LINEST VARS'!$F$54*(8*$EL$32)+'LINEST VARS'!$E$54*(8*0.5)+'LINEST VARS'!$D$54*(8*$DV51)+'LINEST VARS'!$C$54*($EL$32*0.5)+'LINEST VARS'!$B$54*($EL$32*$DV51)+'LINEST VARS'!$A$54*(0.5*$DV51)</f>
        <v>3.9749999999999996</v>
      </c>
      <c r="EM51" s="51">
        <f>'LINEST VARS'!$U$54+'LINEST VARS'!$T$54*(8)+'LINEST VARS'!$S$54*(8)+'LINEST VARS'!$R$54*($EM$32)+'LINEST VARS'!$Q$54*(0.5)+'LINEST VARS'!$P$54*($DV51)+'LINEST VARS'!$O$54*(8^2)+'LINEST VARS'!$N$54*(8^2)+'LINEST VARS'!$M$54*($EM$32^2)+'LINEST VARS'!$L$54*(0.5^2)+'LINEST VARS'!$K$54*($DV51^2)+'LINEST VARS'!$J$54*(8*8)+'LINEST VARS'!$I$54*(8*$EM$32)+'LINEST VARS'!$H$54*(8*0.5)+'LINEST VARS'!$G$54*(8*$DV51)+'LINEST VARS'!$F$54*(8*$EM$32)+'LINEST VARS'!$E$54*(8*0.5)+'LINEST VARS'!$D$54*(8*$DV51)+'LINEST VARS'!$C$54*($EM$32*0.5)+'LINEST VARS'!$B$54*($EM$32*$DV51)+'LINEST VARS'!$A$54*(0.5*$DV51)</f>
        <v>3.9749999999999996</v>
      </c>
      <c r="EN51" s="51">
        <f>'LINEST VARS'!$U$54+'LINEST VARS'!$T$54*(8)+'LINEST VARS'!$S$54*(8)+'LINEST VARS'!$R$54*($EN$32)+'LINEST VARS'!$Q$54*(0.5)+'LINEST VARS'!$P$54*($DV51)+'LINEST VARS'!$O$54*(8^2)+'LINEST VARS'!$N$54*(8^2)+'LINEST VARS'!$M$54*($EN$32^2)+'LINEST VARS'!$L$54*(0.5^2)+'LINEST VARS'!$K$54*($DV51^2)+'LINEST VARS'!$J$54*(8*8)+'LINEST VARS'!$I$54*(8*$EN$32)+'LINEST VARS'!$H$54*(8*0.5)+'LINEST VARS'!$G$54*(8*$DV51)+'LINEST VARS'!$F$54*(8*$EN$32)+'LINEST VARS'!$E$54*(8*0.5)+'LINEST VARS'!$D$54*(8*$DV51)+'LINEST VARS'!$C$54*($EN$32*0.5)+'LINEST VARS'!$B$54*($EN$32*$DV51)+'LINEST VARS'!$A$54*(0.5*$DV51)</f>
        <v>3.9749999999999996</v>
      </c>
      <c r="EO51" s="51">
        <f>'LINEST VARS'!$U$54+'LINEST VARS'!$T$54*(8)+'LINEST VARS'!$S$54*(8)+'LINEST VARS'!$R$54*($EO$32)+'LINEST VARS'!$Q$54*(0.5)+'LINEST VARS'!$P$54*($DV51)+'LINEST VARS'!$O$54*(8^2)+'LINEST VARS'!$N$54*(8^2)+'LINEST VARS'!$M$54*($EO$32^2)+'LINEST VARS'!$L$54*(0.5^2)+'LINEST VARS'!$K$54*($DV51^2)+'LINEST VARS'!$J$54*(8*8)+'LINEST VARS'!$I$54*(8*$EO$32)+'LINEST VARS'!$H$54*(8*0.5)+'LINEST VARS'!$G$54*(8*$DV51)+'LINEST VARS'!$F$54*(8*$EO$32)+'LINEST VARS'!$E$54*(8*0.5)+'LINEST VARS'!$D$54*(8*$DV51)+'LINEST VARS'!$C$54*($EO$32*0.5)+'LINEST VARS'!$B$54*($EO$32*$DV51)+'LINEST VARS'!$A$54*(0.5*$DV51)</f>
        <v>3.9749999999999996</v>
      </c>
      <c r="EP51" s="51">
        <f>'LINEST VARS'!$U$54+'LINEST VARS'!$T$54*(8)+'LINEST VARS'!$S$54*(8)+'LINEST VARS'!$R$54*($EP$32)+'LINEST VARS'!$Q$54*(0.5)+'LINEST VARS'!$P$54*($DV51)+'LINEST VARS'!$O$54*(8^2)+'LINEST VARS'!$N$54*(8^2)+'LINEST VARS'!$M$54*($EP$32^2)+'LINEST VARS'!$L$54*(0.5^2)+'LINEST VARS'!$K$54*($DV51^2)+'LINEST VARS'!$J$54*(8*8)+'LINEST VARS'!$I$54*(8*$EP$32)+'LINEST VARS'!$H$54*(8*0.5)+'LINEST VARS'!$G$54*(8*$DV51)+'LINEST VARS'!$F$54*(8*$EP$32)+'LINEST VARS'!$E$54*(8*0.5)+'LINEST VARS'!$D$54*(8*$DV51)+'LINEST VARS'!$C$54*($EP$32*0.5)+'LINEST VARS'!$B$54*($EP$32*$DV51)+'LINEST VARS'!$A$54*(0.5*$DV51)</f>
        <v>3.9749999999999996</v>
      </c>
      <c r="EQ51" s="52">
        <f>'LINEST VARS'!$U$54+'LINEST VARS'!$T$54*(8)+'LINEST VARS'!$S$54*(8)+'LINEST VARS'!$R$54*($EQ$32)+'LINEST VARS'!$Q$54*(0.5)+'LINEST VARS'!$P$54*($DV51)+'LINEST VARS'!$O$54*(8^2)+'LINEST VARS'!$N$54*(8^2)+'LINEST VARS'!$M$54*($EQ$32^2)+'LINEST VARS'!$L$54*(0.5^2)+'LINEST VARS'!$K$54*($DV51^2)+'LINEST VARS'!$J$54*(8*8)+'LINEST VARS'!$I$54*(8*$EQ$32)+'LINEST VARS'!$H$54*(8*0.5)+'LINEST VARS'!$G$54*(8*$DV51)+'LINEST VARS'!$F$54*(8*$EQ$32)+'LINEST VARS'!$E$54*(8*0.5)+'LINEST VARS'!$D$54*(8*$DV51)+'LINEST VARS'!$C$54*($EQ$32*0.5)+'LINEST VARS'!$B$54*($EQ$32*$DV51)+'LINEST VARS'!$A$54*(0.5*$DV51)</f>
        <v>3.9749999999999996</v>
      </c>
    </row>
    <row r="52" spans="2:147" ht="15" customHeight="1" x14ac:dyDescent="0.25">
      <c r="B52" s="45">
        <v>8.5399999999999991</v>
      </c>
      <c r="C52" s="51">
        <f>'LINEST VARS'!$U$52+'LINEST VARS'!$T$52*($C$32)+'LINEST VARS'!$S$52*($B52)+'LINEST VARS'!$R$52*(4)+'LINEST VARS'!$Q$52*(0.5)+'LINEST VARS'!$P$52*(12.73)+'LINEST VARS'!$O$52*($C$32^2)+'LINEST VARS'!$N$52*($B52^2)+'LINEST VARS'!$M$52*(4^2)+'LINEST VARS'!$L$52*(0.5^2)+'LINEST VARS'!$K$52*(12.73^2)+'LINEST VARS'!$J$52*($C$32*$B52)+'LINEST VARS'!$I$52*($C$32*4)+'LINEST VARS'!$H$52*($C$32*0.5)+'LINEST VARS'!$G$52*($C$32*12.73)+'LINEST VARS'!$F$52*($B52*4)+'LINEST VARS'!$E$52*($B52*0.5)+'LINEST VARS'!$D$52*($B52*12.73)+'LINEST VARS'!$C$52*(4*0.5)+'LINEST VARS'!$B$52*(4*12.73)+'LINEST VARS'!$A$52*(0.5*12.73)</f>
        <v>4.4499999999999984</v>
      </c>
      <c r="D52" s="51">
        <f>'LINEST VARS'!$U$52+'LINEST VARS'!$T$52*($D$32)+'LINEST VARS'!$S$52*($B52)+'LINEST VARS'!$R$52*(4)+'LINEST VARS'!$Q$52*(0.5)+'LINEST VARS'!$P$52*(12.73)+'LINEST VARS'!$O$52*($D$32^2)+'LINEST VARS'!$N$52*($B52^2)+'LINEST VARS'!$M$52*(4^2)+'LINEST VARS'!$L$52*(0.5^2)+'LINEST VARS'!$K$52*(12.73^2)+'LINEST VARS'!$J$52*($D$32*$B52)+'LINEST VARS'!$I$52*($D$32*4)+'LINEST VARS'!$H$52*($D$32*0.5)+'LINEST VARS'!$G$52*($D$32*12.73)+'LINEST VARS'!$F$52*($B52*4)+'LINEST VARS'!$E$52*($B52*0.5)+'LINEST VARS'!$D$52*($B52*12.73)+'LINEST VARS'!$C$52*(4*0.5)+'LINEST VARS'!$B$52*(4*12.73)+'LINEST VARS'!$A$52*(0.5*12.73)</f>
        <v>4.4499999999999984</v>
      </c>
      <c r="E52" s="51">
        <f>'LINEST VARS'!$U$52+'LINEST VARS'!$T$52*($E$32)+'LINEST VARS'!$S$52*($B52)+'LINEST VARS'!$R$52*(4)+'LINEST VARS'!$Q$52*(0.5)+'LINEST VARS'!$P$52*(12.73)+'LINEST VARS'!$O$52*($E$32^2)+'LINEST VARS'!$N$52*($B52^2)+'LINEST VARS'!$M$52*(4^2)+'LINEST VARS'!$L$52*(0.5^2)+'LINEST VARS'!$K$52*(12.73^2)+'LINEST VARS'!$J$52*($E$32*$B52)+'LINEST VARS'!$I$52*($E$32*4)+'LINEST VARS'!$H$52*($E$32*0.5)+'LINEST VARS'!$G$52*($E$32*12.73)+'LINEST VARS'!$F$52*($B52*4)+'LINEST VARS'!$E$52*($B52*0.5)+'LINEST VARS'!$D$52*($B52*12.73)+'LINEST VARS'!$C$52*(4*0.5)+'LINEST VARS'!$B$52*(4*12.73)+'LINEST VARS'!$A$52*(0.5*12.73)</f>
        <v>4.4499999999999984</v>
      </c>
      <c r="F52" s="51">
        <f>'LINEST VARS'!$U$52+'LINEST VARS'!$T$52*($F$32)+'LINEST VARS'!$S$52*($B52)+'LINEST VARS'!$R$52*(4)+'LINEST VARS'!$Q$52*(0.5)+'LINEST VARS'!$P$52*(12.73)+'LINEST VARS'!$O$52*($F$32^2)+'LINEST VARS'!$N$52*($B52^2)+'LINEST VARS'!$M$52*(4^2)+'LINEST VARS'!$L$52*(0.5^2)+'LINEST VARS'!$K$52*(12.73^2)+'LINEST VARS'!$J$52*($F$32*$B52)+'LINEST VARS'!$I$52*($F$32*4)+'LINEST VARS'!$H$52*($F$32*0.5)+'LINEST VARS'!$G$52*($F$32*12.73)+'LINEST VARS'!$F$52*($B52*4)+'LINEST VARS'!$E$52*($B52*0.5)+'LINEST VARS'!$D$52*($B52*12.73)+'LINEST VARS'!$C$52*(4*0.5)+'LINEST VARS'!$B$52*(4*12.73)+'LINEST VARS'!$A$52*(0.5*12.73)</f>
        <v>4.4499999999999984</v>
      </c>
      <c r="G52" s="51">
        <f>'LINEST VARS'!$U$52+'LINEST VARS'!$T$52*($G$32)+'LINEST VARS'!$S$52*($B52)+'LINEST VARS'!$R$52*(4)+'LINEST VARS'!$Q$52*(0.5)+'LINEST VARS'!$P$52*(12.73)+'LINEST VARS'!$O$52*($G$32^2)+'LINEST VARS'!$N$52*($B52^2)+'LINEST VARS'!$M$52*(4^2)+'LINEST VARS'!$L$52*(0.5^2)+'LINEST VARS'!$K$52*(12.73^2)+'LINEST VARS'!$J$52*($G$32*$B52)+'LINEST VARS'!$I$52*($G$32*4)+'LINEST VARS'!$H$52*($G$32*0.5)+'LINEST VARS'!$G$52*($G$32*12.73)+'LINEST VARS'!$F$52*($B52*4)+'LINEST VARS'!$E$52*($B52*0.5)+'LINEST VARS'!$D$52*($B52*12.73)+'LINEST VARS'!$C$52*(4*0.5)+'LINEST VARS'!$B$52*(4*12.73)+'LINEST VARS'!$A$52*(0.5*12.73)</f>
        <v>4.4499999999999984</v>
      </c>
      <c r="H52" s="51">
        <f>'LINEST VARS'!$U$52+'LINEST VARS'!$T$52*($H$32)+'LINEST VARS'!$S$52*($B52)+'LINEST VARS'!$R$52*(4)+'LINEST VARS'!$Q$52*(0.5)+'LINEST VARS'!$P$52*(12.73)+'LINEST VARS'!$O$52*($H$32^2)+'LINEST VARS'!$N$52*($B52^2)+'LINEST VARS'!$M$52*(4^2)+'LINEST VARS'!$L$52*(0.5^2)+'LINEST VARS'!$K$52*(12.73^2)+'LINEST VARS'!$J$52*($H$32*$B52)+'LINEST VARS'!$I$52*($H$32*4)+'LINEST VARS'!$H$52*($H$32*0.5)+'LINEST VARS'!$G$52*($H$32*12.73)+'LINEST VARS'!$F$52*($B52*4)+'LINEST VARS'!$E$52*($B52*0.5)+'LINEST VARS'!$D$52*($B52*12.73)+'LINEST VARS'!$C$52*(4*0.5)+'LINEST VARS'!$B$52*(4*12.73)+'LINEST VARS'!$A$52*(0.5*12.73)</f>
        <v>4.4499999999999984</v>
      </c>
      <c r="I52" s="51">
        <f>'LINEST VARS'!$U$52+'LINEST VARS'!$T$52*($I$32)+'LINEST VARS'!$S$52*($B52)+'LINEST VARS'!$R$52*(4)+'LINEST VARS'!$Q$52*(0.5)+'LINEST VARS'!$P$52*(12.73)+'LINEST VARS'!$O$52*($I$32^2)+'LINEST VARS'!$N$52*($B52^2)+'LINEST VARS'!$M$52*(4^2)+'LINEST VARS'!$L$52*(0.5^2)+'LINEST VARS'!$K$52*(12.73^2)+'LINEST VARS'!$J$52*($I$32*$B52)+'LINEST VARS'!$I$52*($I$32*4)+'LINEST VARS'!$H$52*($I$32*0.5)+'LINEST VARS'!$G$52*($I$32*12.73)+'LINEST VARS'!$F$52*($B52*4)+'LINEST VARS'!$E$52*($B52*0.5)+'LINEST VARS'!$D$52*($B52*12.73)+'LINEST VARS'!$C$52*(4*0.5)+'LINEST VARS'!$B$52*(4*12.73)+'LINEST VARS'!$A$52*(0.5*12.73)</f>
        <v>4.4499999999999984</v>
      </c>
      <c r="J52" s="51">
        <f>'LINEST VARS'!$U$52+'LINEST VARS'!$T$52*($J$32)+'LINEST VARS'!$S$52*($B52)+'LINEST VARS'!$R$52*(4)+'LINEST VARS'!$Q$52*(0.5)+'LINEST VARS'!$P$52*(12.73)+'LINEST VARS'!$O$52*($J$32^2)+'LINEST VARS'!$N$52*($B52^2)+'LINEST VARS'!$M$52*(4^2)+'LINEST VARS'!$L$52*(0.5^2)+'LINEST VARS'!$K$52*(12.73^2)+'LINEST VARS'!$J$52*($J$32*$B52)+'LINEST VARS'!$I$52*($J$32*4)+'LINEST VARS'!$H$52*($J$32*0.5)+'LINEST VARS'!$G$52*($J$32*12.73)+'LINEST VARS'!$F$52*($B52*4)+'LINEST VARS'!$E$52*($B52*0.5)+'LINEST VARS'!$D$52*($B52*12.73)+'LINEST VARS'!$C$52*(4*0.5)+'LINEST VARS'!$B$52*(4*12.73)+'LINEST VARS'!$A$52*(0.5*12.73)</f>
        <v>4.4499999999999984</v>
      </c>
      <c r="K52" s="51">
        <f>'LINEST VARS'!$U$52+'LINEST VARS'!$T$52*($K$32)+'LINEST VARS'!$S$52*($B52)+'LINEST VARS'!$R$52*(4)+'LINEST VARS'!$Q$52*(0.5)+'LINEST VARS'!$P$52*(12.73)+'LINEST VARS'!$O$52*($K$32^2)+'LINEST VARS'!$N$52*($B52^2)+'LINEST VARS'!$M$52*(4^2)+'LINEST VARS'!$L$52*(0.5^2)+'LINEST VARS'!$K$52*(12.73^2)+'LINEST VARS'!$J$52*($K$32*$B52)+'LINEST VARS'!$I$52*($K$32*4)+'LINEST VARS'!$H$52*($K$32*0.5)+'LINEST VARS'!$G$52*($K$32*12.73)+'LINEST VARS'!$F$52*($B52*4)+'LINEST VARS'!$E$52*($B52*0.5)+'LINEST VARS'!$D$52*($B52*12.73)+'LINEST VARS'!$C$52*(4*0.5)+'LINEST VARS'!$B$52*(4*12.73)+'LINEST VARS'!$A$52*(0.5*12.73)</f>
        <v>4.4499999999999984</v>
      </c>
      <c r="L52" s="51">
        <f>'LINEST VARS'!$U$52+'LINEST VARS'!$T$52*($L$32)+'LINEST VARS'!$S$52*($B52)+'LINEST VARS'!$R$52*(4)+'LINEST VARS'!$Q$52*(0.5)+'LINEST VARS'!$P$52*(12.73)+'LINEST VARS'!$O$52*($L$32^2)+'LINEST VARS'!$N$52*($B52^2)+'LINEST VARS'!$M$52*(4^2)+'LINEST VARS'!$L$52*(0.5^2)+'LINEST VARS'!$K$52*(12.73^2)+'LINEST VARS'!$J$52*($L$32*$B52)+'LINEST VARS'!$I$52*($L$32*4)+'LINEST VARS'!$H$52*($L$32*0.5)+'LINEST VARS'!$G$52*($L$32*12.73)+'LINEST VARS'!$F$52*($B52*4)+'LINEST VARS'!$E$52*($B52*0.5)+'LINEST VARS'!$D$52*($B52*12.73)+'LINEST VARS'!$C$52*(4*0.5)+'LINEST VARS'!$B$52*(4*12.73)+'LINEST VARS'!$A$52*(0.5*12.73)</f>
        <v>4.4499999999999984</v>
      </c>
      <c r="M52" s="51">
        <f>'LINEST VARS'!$U$52+'LINEST VARS'!$T$52*($M$32)+'LINEST VARS'!$S$52*($B52)+'LINEST VARS'!$R$52*(4)+'LINEST VARS'!$Q$52*(0.5)+'LINEST VARS'!$P$52*(12.73)+'LINEST VARS'!$O$52*($M$32^2)+'LINEST VARS'!$N$52*($B52^2)+'LINEST VARS'!$M$52*(4^2)+'LINEST VARS'!$L$52*(0.5^2)+'LINEST VARS'!$K$52*(12.73^2)+'LINEST VARS'!$J$52*($M$32*$B52)+'LINEST VARS'!$I$52*($M$32*4)+'LINEST VARS'!$H$52*($M$32*0.5)+'LINEST VARS'!$G$52*($M$32*12.73)+'LINEST VARS'!$F$52*($B52*4)+'LINEST VARS'!$E$52*($B52*0.5)+'LINEST VARS'!$D$52*($B52*12.73)+'LINEST VARS'!$C$52*(4*0.5)+'LINEST VARS'!$B$52*(4*12.73)+'LINEST VARS'!$A$52*(0.5*12.73)</f>
        <v>4.4499999999999984</v>
      </c>
      <c r="N52" s="51">
        <f>'LINEST VARS'!$U$52+'LINEST VARS'!$T$52*($N$32)+'LINEST VARS'!$S$52*($B52)+'LINEST VARS'!$R$52*(4)+'LINEST VARS'!$Q$52*(0.5)+'LINEST VARS'!$P$52*(12.73)+'LINEST VARS'!$O$52*($N$32^2)+'LINEST VARS'!$N$52*($B52^2)+'LINEST VARS'!$M$52*(4^2)+'LINEST VARS'!$L$52*(0.5^2)+'LINEST VARS'!$K$52*(12.73^2)+'LINEST VARS'!$J$52*($N$32*$B52)+'LINEST VARS'!$I$52*($N$32*4)+'LINEST VARS'!$H$52*($N$32*0.5)+'LINEST VARS'!$G$52*($N$32*12.73)+'LINEST VARS'!$F$52*($B52*4)+'LINEST VARS'!$E$52*($B52*0.5)+'LINEST VARS'!$D$52*($B52*12.73)+'LINEST VARS'!$C$52*(4*0.5)+'LINEST VARS'!$B$52*(4*12.73)+'LINEST VARS'!$A$52*(0.5*12.73)</f>
        <v>4.4499999999999984</v>
      </c>
      <c r="O52" s="51">
        <f>'LINEST VARS'!$U$52+'LINEST VARS'!$T$52*($O$32)+'LINEST VARS'!$S$52*($B52)+'LINEST VARS'!$R$52*(4)+'LINEST VARS'!$Q$52*(0.5)+'LINEST VARS'!$P$52*(12.73)+'LINEST VARS'!$O$52*($O$32^2)+'LINEST VARS'!$N$52*($B52^2)+'LINEST VARS'!$M$52*(4^2)+'LINEST VARS'!$L$52*(0.5^2)+'LINEST VARS'!$K$52*(12.73^2)+'LINEST VARS'!$J$52*($O$32*$B52)+'LINEST VARS'!$I$52*($O$32*4)+'LINEST VARS'!$H$52*($O$32*0.5)+'LINEST VARS'!$G$52*($O$32*12.73)+'LINEST VARS'!$F$52*($B52*4)+'LINEST VARS'!$E$52*($B52*0.5)+'LINEST VARS'!$D$52*($B52*12.73)+'LINEST VARS'!$C$52*(4*0.5)+'LINEST VARS'!$B$52*(4*12.73)+'LINEST VARS'!$A$52*(0.5*12.73)</f>
        <v>4.4499999999999984</v>
      </c>
      <c r="P52" s="51">
        <f>'LINEST VARS'!$U$52+'LINEST VARS'!$T$52*($P$32)+'LINEST VARS'!$S$52*($B52)+'LINEST VARS'!$R$52*(4)+'LINEST VARS'!$Q$52*(0.5)+'LINEST VARS'!$P$52*(12.73)+'LINEST VARS'!$O$52*($P$32^2)+'LINEST VARS'!$N$52*($B52^2)+'LINEST VARS'!$M$52*(4^2)+'LINEST VARS'!$L$52*(0.5^2)+'LINEST VARS'!$K$52*(12.73^2)+'LINEST VARS'!$J$52*($P$32*$B52)+'LINEST VARS'!$I$52*($P$32*4)+'LINEST VARS'!$H$52*($P$32*0.5)+'LINEST VARS'!$G$52*($P$32*12.73)+'LINEST VARS'!$F$52*($B52*4)+'LINEST VARS'!$E$52*($B52*0.5)+'LINEST VARS'!$D$52*($B52*12.73)+'LINEST VARS'!$C$52*(4*0.5)+'LINEST VARS'!$B$52*(4*12.73)+'LINEST VARS'!$A$52*(0.5*12.73)</f>
        <v>4.4499999999999984</v>
      </c>
      <c r="Q52" s="51">
        <f>'LINEST VARS'!$U$52+'LINEST VARS'!$T$52*($Q$32)+'LINEST VARS'!$S$52*($B52)+'LINEST VARS'!$R$52*(4)+'LINEST VARS'!$Q$52*(0.5)+'LINEST VARS'!$P$52*(12.73)+'LINEST VARS'!$O$52*($Q$32^2)+'LINEST VARS'!$N$52*($B52^2)+'LINEST VARS'!$M$52*(4^2)+'LINEST VARS'!$L$52*(0.5^2)+'LINEST VARS'!$K$52*(12.73^2)+'LINEST VARS'!$J$52*($Q$32*$B52)+'LINEST VARS'!$I$52*($Q$32*4)+'LINEST VARS'!$H$52*($Q$32*0.5)+'LINEST VARS'!$G$52*($Q$32*12.73)+'LINEST VARS'!$F$52*($B52*4)+'LINEST VARS'!$E$52*($B52*0.5)+'LINEST VARS'!$D$52*($B52*12.73)+'LINEST VARS'!$C$52*(4*0.5)+'LINEST VARS'!$B$52*(4*12.73)+'LINEST VARS'!$A$52*(0.5*12.73)</f>
        <v>4.4499999999999984</v>
      </c>
      <c r="R52" s="51">
        <f>'LINEST VARS'!$U$52+'LINEST VARS'!$T$52*($R$32)+'LINEST VARS'!$S$52*($B52)+'LINEST VARS'!$R$52*(4)+'LINEST VARS'!$Q$52*(0.5)+'LINEST VARS'!$P$52*(12.73)+'LINEST VARS'!$O$52*($R$32^2)+'LINEST VARS'!$N$52*($B52^2)+'LINEST VARS'!$M$52*(4^2)+'LINEST VARS'!$L$52*(0.5^2)+'LINEST VARS'!$K$52*(12.73^2)+'LINEST VARS'!$J$52*($R$32*$B52)+'LINEST VARS'!$I$52*($R$32*4)+'LINEST VARS'!$H$52*($R$32*0.5)+'LINEST VARS'!$G$52*($R$32*12.73)+'LINEST VARS'!$F$52*($B52*4)+'LINEST VARS'!$E$52*($B52*0.5)+'LINEST VARS'!$D$52*($B52*12.73)+'LINEST VARS'!$C$52*(4*0.5)+'LINEST VARS'!$B$52*(4*12.73)+'LINEST VARS'!$A$52*(0.5*12.73)</f>
        <v>4.4499999999999984</v>
      </c>
      <c r="S52" s="51">
        <f>'LINEST VARS'!$U$52+'LINEST VARS'!$T$52*($S$32)+'LINEST VARS'!$S$52*($B52)+'LINEST VARS'!$R$52*(4)+'LINEST VARS'!$Q$52*(0.5)+'LINEST VARS'!$P$52*(12.73)+'LINEST VARS'!$O$52*($S$32^2)+'LINEST VARS'!$N$52*($B52^2)+'LINEST VARS'!$M$52*(4^2)+'LINEST VARS'!$L$52*(0.5^2)+'LINEST VARS'!$K$52*(12.73^2)+'LINEST VARS'!$J$52*($S$32*$B52)+'LINEST VARS'!$I$52*($S$32*4)+'LINEST VARS'!$H$52*($S$32*0.5)+'LINEST VARS'!$G$52*($S$32*12.73)+'LINEST VARS'!$F$52*($B52*4)+'LINEST VARS'!$E$52*($B52*0.5)+'LINEST VARS'!$D$52*($B52*12.73)+'LINEST VARS'!$C$52*(4*0.5)+'LINEST VARS'!$B$52*(4*12.73)+'LINEST VARS'!$A$52*(0.5*12.73)</f>
        <v>4.4499999999999984</v>
      </c>
      <c r="T52" s="51">
        <f>'LINEST VARS'!$U$52+'LINEST VARS'!$T$52*($T$32)+'LINEST VARS'!$S$52*($B52)+'LINEST VARS'!$R$52*(4)+'LINEST VARS'!$Q$52*(0.5)+'LINEST VARS'!$P$52*(12.73)+'LINEST VARS'!$O$52*($T$32^2)+'LINEST VARS'!$N$52*($B52^2)+'LINEST VARS'!$M$52*(4^2)+'LINEST VARS'!$L$52*(0.5^2)+'LINEST VARS'!$K$52*(12.73^2)+'LINEST VARS'!$J$52*($T$32*$B52)+'LINEST VARS'!$I$52*($T$32*4)+'LINEST VARS'!$H$52*($T$32*0.5)+'LINEST VARS'!$G$52*($T$32*12.73)+'LINEST VARS'!$F$52*($B52*4)+'LINEST VARS'!$E$52*($B52*0.5)+'LINEST VARS'!$D$52*($B52*12.73)+'LINEST VARS'!$C$52*(4*0.5)+'LINEST VARS'!$B$52*(4*12.73)+'LINEST VARS'!$A$52*(0.5*12.73)</f>
        <v>4.4499999999999984</v>
      </c>
      <c r="U52" s="51">
        <f>'LINEST VARS'!$U$52+'LINEST VARS'!$T$52*($U$32)+'LINEST VARS'!$S$52*($B52)+'LINEST VARS'!$R$52*(4)+'LINEST VARS'!$Q$52*(0.5)+'LINEST VARS'!$P$52*(12.73)+'LINEST VARS'!$O$52*($U$32^2)+'LINEST VARS'!$N$52*($B52^2)+'LINEST VARS'!$M$52*(4^2)+'LINEST VARS'!$L$52*(0.5^2)+'LINEST VARS'!$K$52*(12.73^2)+'LINEST VARS'!$J$52*($U$32*$B52)+'LINEST VARS'!$I$52*($U$32*4)+'LINEST VARS'!$H$52*($U$32*0.5)+'LINEST VARS'!$G$52*($U$32*12.73)+'LINEST VARS'!$F$52*($B52*4)+'LINEST VARS'!$E$52*($B52*0.5)+'LINEST VARS'!$D$52*($B52*12.73)+'LINEST VARS'!$C$52*(4*0.5)+'LINEST VARS'!$B$52*(4*12.73)+'LINEST VARS'!$A$52*(0.5*12.73)</f>
        <v>4.4499999999999984</v>
      </c>
      <c r="V52" s="51">
        <f>'LINEST VARS'!$U$52+'LINEST VARS'!$T$52*($V$32)+'LINEST VARS'!$S$52*($B52)+'LINEST VARS'!$R$52*(4)+'LINEST VARS'!$Q$52*(0.5)+'LINEST VARS'!$P$52*(12.73)+'LINEST VARS'!$O$52*($V$32^2)+'LINEST VARS'!$N$52*($B52^2)+'LINEST VARS'!$M$52*(4^2)+'LINEST VARS'!$L$52*(0.5^2)+'LINEST VARS'!$K$52*(12.73^2)+'LINEST VARS'!$J$52*($V$32*$B52)+'LINEST VARS'!$I$52*($V$32*4)+'LINEST VARS'!$H$52*($V$32*0.5)+'LINEST VARS'!$G$52*($V$32*12.73)+'LINEST VARS'!$F$52*($B52*4)+'LINEST VARS'!$E$52*($B52*0.5)+'LINEST VARS'!$D$52*($B52*12.73)+'LINEST VARS'!$C$52*(4*0.5)+'LINEST VARS'!$B$52*(4*12.73)+'LINEST VARS'!$A$52*(0.5*12.73)</f>
        <v>4.4499999999999993</v>
      </c>
      <c r="W52" s="52">
        <f>'LINEST VARS'!$U$52+'LINEST VARS'!$T$52*($W$32)+'LINEST VARS'!$S$52*($B52)+'LINEST VARS'!$R$52*(4)+'LINEST VARS'!$Q$52*(0.5)+'LINEST VARS'!$P$52*(12.73)+'LINEST VARS'!$O$52*($W$32^2)+'LINEST VARS'!$N$52*($B52^2)+'LINEST VARS'!$M$52*(4^2)+'LINEST VARS'!$L$52*(0.5^2)+'LINEST VARS'!$K$52*(12.73^2)+'LINEST VARS'!$J$52*($W$32*$B52)+'LINEST VARS'!$I$52*($W$32*4)+'LINEST VARS'!$H$52*($W$32*0.5)+'LINEST VARS'!$G$52*($W$32*12.73)+'LINEST VARS'!$F$52*($B52*4)+'LINEST VARS'!$E$52*($B52*0.5)+'LINEST VARS'!$D$52*($B52*12.73)+'LINEST VARS'!$C$52*(4*0.5)+'LINEST VARS'!$B$52*(4*12.73)+'LINEST VARS'!$A$52*(0.5*12.73)</f>
        <v>4.4499999999999993</v>
      </c>
      <c r="Z52" s="45">
        <v>8.5399999999999991</v>
      </c>
      <c r="AA52" s="51">
        <f>'LINEST VARS'!$U$54+'LINEST VARS'!$T$54*($AA$32)+'LINEST VARS'!$S$54*($Z52)+'LINEST VARS'!$R$54*(4)+'LINEST VARS'!$Q$54*(0.5)+'LINEST VARS'!$P$54*(12.73)+'LINEST VARS'!$O$54*($AA$32^2)+'LINEST VARS'!$N$54*($Z52^2)+'LINEST VARS'!$M$54*(4^2)+'LINEST VARS'!$L$54*(0.5^2)+'LINEST VARS'!$K$54*(12.73^2)+'LINEST VARS'!$J$54*($AA$32*$Z52)+'LINEST VARS'!$I$54*($AA$32*4)+'LINEST VARS'!$H$54*($AA$32*0.5)+'LINEST VARS'!$G$54*($AA$32*12.73)+'LINEST VARS'!$F$54*($Z52*4)+'LINEST VARS'!$E$54*($Z52*0.5)+'LINEST VARS'!$D$54*($Z52*12.73)+'LINEST VARS'!$C$54*(4*0.5)+'LINEST VARS'!$B$54*(4*12.73)+'LINEST VARS'!$A$54*(0.5*12.73)</f>
        <v>3.9749999999999996</v>
      </c>
      <c r="AB52" s="51">
        <f>'LINEST VARS'!$U$54+'LINEST VARS'!$T$54*($AB$32)+'LINEST VARS'!$S$54*($Z52)+'LINEST VARS'!$R$54*(4)+'LINEST VARS'!$Q$54*(0.5)+'LINEST VARS'!$P$54*(12.73)+'LINEST VARS'!$O$54*($AB$32^2)+'LINEST VARS'!$N$54*($Z52^2)+'LINEST VARS'!$M$54*(4^2)+'LINEST VARS'!$L$54*(0.5^2)+'LINEST VARS'!$K$54*(12.73^2)+'LINEST VARS'!$J$54*($AB$32*$Z52)+'LINEST VARS'!$I$54*($AB$32*4)+'LINEST VARS'!$H$54*($AB$32*0.5)+'LINEST VARS'!$G$54*($AB$32*12.73)+'LINEST VARS'!$F$54*($Z52*4)+'LINEST VARS'!$E$54*($Z52*0.5)+'LINEST VARS'!$D$54*($Z52*12.73)+'LINEST VARS'!$C$54*(4*0.5)+'LINEST VARS'!$B$54*(4*12.73)+'LINEST VARS'!$A$54*(0.5*12.73)</f>
        <v>3.9749999999999996</v>
      </c>
      <c r="AC52" s="51">
        <f>'LINEST VARS'!$U$54+'LINEST VARS'!$T$54*($AC$32)+'LINEST VARS'!$S$54*($Z52)+'LINEST VARS'!$R$54*(4)+'LINEST VARS'!$Q$54*(0.5)+'LINEST VARS'!$P$54*(12.73)+'LINEST VARS'!$O$54*($AC$32^2)+'LINEST VARS'!$N$54*($Z52^2)+'LINEST VARS'!$M$54*(4^2)+'LINEST VARS'!$L$54*(0.5^2)+'LINEST VARS'!$K$54*(12.73^2)+'LINEST VARS'!$J$54*($AC$32*$Z52)+'LINEST VARS'!$I$54*($AC$32*4)+'LINEST VARS'!$H$54*($AC$32*0.5)+'LINEST VARS'!$G$54*($AC$32*12.73)+'LINEST VARS'!$F$54*($Z52*4)+'LINEST VARS'!$E$54*($Z52*0.5)+'LINEST VARS'!$D$54*($Z52*12.73)+'LINEST VARS'!$C$54*(4*0.5)+'LINEST VARS'!$B$54*(4*12.73)+'LINEST VARS'!$A$54*(0.5*12.73)</f>
        <v>3.9749999999999996</v>
      </c>
      <c r="AD52" s="51">
        <f>'LINEST VARS'!$U$54+'LINEST VARS'!$T$54*($AD$32)+'LINEST VARS'!$S$54*($Z52)+'LINEST VARS'!$R$54*(4)+'LINEST VARS'!$Q$54*(0.5)+'LINEST VARS'!$P$54*(12.73)+'LINEST VARS'!$O$54*($AD$32^2)+'LINEST VARS'!$N$54*($Z52^2)+'LINEST VARS'!$M$54*(4^2)+'LINEST VARS'!$L$54*(0.5^2)+'LINEST VARS'!$K$54*(12.73^2)+'LINEST VARS'!$J$54*($AD$32*$Z52)+'LINEST VARS'!$I$54*($AD$32*4)+'LINEST VARS'!$H$54*($AD$32*0.5)+'LINEST VARS'!$G$54*($AD$32*12.73)+'LINEST VARS'!$F$54*($Z52*4)+'LINEST VARS'!$E$54*($Z52*0.5)+'LINEST VARS'!$D$54*($Z52*12.73)+'LINEST VARS'!$C$54*(4*0.5)+'LINEST VARS'!$B$54*(4*12.73)+'LINEST VARS'!$A$54*(0.5*12.73)</f>
        <v>3.9749999999999996</v>
      </c>
      <c r="AE52" s="51">
        <f>'LINEST VARS'!$U$54+'LINEST VARS'!$T$54*($AE$32)+'LINEST VARS'!$S$54*($Z52)+'LINEST VARS'!$R$54*(4)+'LINEST VARS'!$Q$54*(0.5)+'LINEST VARS'!$P$54*(12.73)+'LINEST VARS'!$O$54*($AE$32^2)+'LINEST VARS'!$N$54*($Z52^2)+'LINEST VARS'!$M$54*(4^2)+'LINEST VARS'!$L$54*(0.5^2)+'LINEST VARS'!$K$54*(12.73^2)+'LINEST VARS'!$J$54*($AE$32*$Z52)+'LINEST VARS'!$I$54*($AE$32*4)+'LINEST VARS'!$H$54*($AE$32*0.5)+'LINEST VARS'!$G$54*($AE$32*12.73)+'LINEST VARS'!$F$54*($Z52*4)+'LINEST VARS'!$E$54*($Z52*0.5)+'LINEST VARS'!$D$54*($Z52*12.73)+'LINEST VARS'!$C$54*(4*0.5)+'LINEST VARS'!$B$54*(4*12.73)+'LINEST VARS'!$A$54*(0.5*12.73)</f>
        <v>3.9749999999999996</v>
      </c>
      <c r="AF52" s="51">
        <f>'LINEST VARS'!$U$54+'LINEST VARS'!$T$54*($AF$32)+'LINEST VARS'!$S$54*($Z52)+'LINEST VARS'!$R$54*(4)+'LINEST VARS'!$Q$54*(0.5)+'LINEST VARS'!$P$54*(12.73)+'LINEST VARS'!$O$54*($AF$32^2)+'LINEST VARS'!$N$54*($Z52^2)+'LINEST VARS'!$M$54*(4^2)+'LINEST VARS'!$L$54*(0.5^2)+'LINEST VARS'!$K$54*(12.73^2)+'LINEST VARS'!$J$54*($AF$32*$Z52)+'LINEST VARS'!$I$54*($AF$32*4)+'LINEST VARS'!$H$54*($AF$32*0.5)+'LINEST VARS'!$G$54*($AF$32*12.73)+'LINEST VARS'!$F$54*($Z52*4)+'LINEST VARS'!$E$54*($Z52*0.5)+'LINEST VARS'!$D$54*($Z52*12.73)+'LINEST VARS'!$C$54*(4*0.5)+'LINEST VARS'!$B$54*(4*12.73)+'LINEST VARS'!$A$54*(0.5*12.73)</f>
        <v>3.9749999999999996</v>
      </c>
      <c r="AG52" s="51">
        <f>'LINEST VARS'!$U$54+'LINEST VARS'!$T$54*($AG$32)+'LINEST VARS'!$S$54*($Z52)+'LINEST VARS'!$R$54*(4)+'LINEST VARS'!$Q$54*(0.5)+'LINEST VARS'!$P$54*(12.73)+'LINEST VARS'!$O$54*($AG$32^2)+'LINEST VARS'!$N$54*($Z52^2)+'LINEST VARS'!$M$54*(4^2)+'LINEST VARS'!$L$54*(0.5^2)+'LINEST VARS'!$K$54*(12.73^2)+'LINEST VARS'!$J$54*($AG$32*$Z52)+'LINEST VARS'!$I$54*($AG$32*4)+'LINEST VARS'!$H$54*($AG$32*0.5)+'LINEST VARS'!$G$54*($AG$32*12.73)+'LINEST VARS'!$F$54*($Z52*4)+'LINEST VARS'!$E$54*($Z52*0.5)+'LINEST VARS'!$D$54*($Z52*12.73)+'LINEST VARS'!$C$54*(4*0.5)+'LINEST VARS'!$B$54*(4*12.73)+'LINEST VARS'!$A$54*(0.5*12.73)</f>
        <v>3.9749999999999996</v>
      </c>
      <c r="AH52" s="51">
        <f>'LINEST VARS'!$U$54+'LINEST VARS'!$T$54*($AH$32)+'LINEST VARS'!$S$54*($Z52)+'LINEST VARS'!$R$54*(4)+'LINEST VARS'!$Q$54*(0.5)+'LINEST VARS'!$P$54*(12.73)+'LINEST VARS'!$O$54*($AH$32^2)+'LINEST VARS'!$N$54*($Z52^2)+'LINEST VARS'!$M$54*(4^2)+'LINEST VARS'!$L$54*(0.5^2)+'LINEST VARS'!$K$54*(12.73^2)+'LINEST VARS'!$J$54*($AH$32*$Z52)+'LINEST VARS'!$I$54*($AH$32*4)+'LINEST VARS'!$H$54*($AH$32*0.5)+'LINEST VARS'!$G$54*($AH$32*12.73)+'LINEST VARS'!$F$54*($Z52*4)+'LINEST VARS'!$E$54*($Z52*0.5)+'LINEST VARS'!$D$54*($Z52*12.73)+'LINEST VARS'!$C$54*(4*0.5)+'LINEST VARS'!$B$54*(4*12.73)+'LINEST VARS'!$A$54*(0.5*12.73)</f>
        <v>3.9749999999999996</v>
      </c>
      <c r="AI52" s="51">
        <f>'LINEST VARS'!$U$54+'LINEST VARS'!$T$54*($AI$32)+'LINEST VARS'!$S$54*($Z52)+'LINEST VARS'!$R$54*(4)+'LINEST VARS'!$Q$54*(0.5)+'LINEST VARS'!$P$54*(12.73)+'LINEST VARS'!$O$54*($AI$32^2)+'LINEST VARS'!$N$54*($Z52^2)+'LINEST VARS'!$M$54*(4^2)+'LINEST VARS'!$L$54*(0.5^2)+'LINEST VARS'!$K$54*(12.73^2)+'LINEST VARS'!$J$54*($AI$32*$Z52)+'LINEST VARS'!$I$54*($AI$32*4)+'LINEST VARS'!$H$54*($AI$32*0.5)+'LINEST VARS'!$G$54*($AI$32*12.73)+'LINEST VARS'!$F$54*($Z52*4)+'LINEST VARS'!$E$54*($Z52*0.5)+'LINEST VARS'!$D$54*($Z52*12.73)+'LINEST VARS'!$C$54*(4*0.5)+'LINEST VARS'!$B$54*(4*12.73)+'LINEST VARS'!$A$54*(0.5*12.73)</f>
        <v>3.9749999999999996</v>
      </c>
      <c r="AJ52" s="51">
        <f>'LINEST VARS'!$U$54+'LINEST VARS'!$T$54*($AJ$32)+'LINEST VARS'!$S$54*($Z52)+'LINEST VARS'!$R$54*(4)+'LINEST VARS'!$Q$54*(0.5)+'LINEST VARS'!$P$54*(12.73)+'LINEST VARS'!$O$54*($AJ$32^2)+'LINEST VARS'!$N$54*($Z52^2)+'LINEST VARS'!$M$54*(4^2)+'LINEST VARS'!$L$54*(0.5^2)+'LINEST VARS'!$K$54*(12.73^2)+'LINEST VARS'!$J$54*($AJ$32*$Z52)+'LINEST VARS'!$I$54*($AJ$32*4)+'LINEST VARS'!$H$54*($AJ$32*0.5)+'LINEST VARS'!$G$54*($AJ$32*12.73)+'LINEST VARS'!$F$54*($Z52*4)+'LINEST VARS'!$E$54*($Z52*0.5)+'LINEST VARS'!$D$54*($Z52*12.73)+'LINEST VARS'!$C$54*(4*0.5)+'LINEST VARS'!$B$54*(4*12.73)+'LINEST VARS'!$A$54*(0.5*12.73)</f>
        <v>3.9749999999999996</v>
      </c>
      <c r="AK52" s="51">
        <f>'LINEST VARS'!$U$54+'LINEST VARS'!$T$54*($AK$32)+'LINEST VARS'!$S$54*($Z52)+'LINEST VARS'!$R$54*(4)+'LINEST VARS'!$Q$54*(0.5)+'LINEST VARS'!$P$54*(12.73)+'LINEST VARS'!$O$54*($AK$32^2)+'LINEST VARS'!$N$54*($Z52^2)+'LINEST VARS'!$M$54*(4^2)+'LINEST VARS'!$L$54*(0.5^2)+'LINEST VARS'!$K$54*(12.73^2)+'LINEST VARS'!$J$54*($AK$32*$Z52)+'LINEST VARS'!$I$54*($AK$32*4)+'LINEST VARS'!$H$54*($AK$32*0.5)+'LINEST VARS'!$G$54*($AK$32*12.73)+'LINEST VARS'!$F$54*($Z52*4)+'LINEST VARS'!$E$54*($Z52*0.5)+'LINEST VARS'!$D$54*($Z52*12.73)+'LINEST VARS'!$C$54*(4*0.5)+'LINEST VARS'!$B$54*(4*12.73)+'LINEST VARS'!$A$54*(0.5*12.73)</f>
        <v>3.9749999999999996</v>
      </c>
      <c r="AL52" s="51">
        <f>'LINEST VARS'!$U$54+'LINEST VARS'!$T$54*($AL$32)+'LINEST VARS'!$S$54*($Z52)+'LINEST VARS'!$R$54*(4)+'LINEST VARS'!$Q$54*(0.5)+'LINEST VARS'!$P$54*(12.73)+'LINEST VARS'!$O$54*($AL$32^2)+'LINEST VARS'!$N$54*($Z52^2)+'LINEST VARS'!$M$54*(4^2)+'LINEST VARS'!$L$54*(0.5^2)+'LINEST VARS'!$K$54*(12.73^2)+'LINEST VARS'!$J$54*($AL$32*$Z52)+'LINEST VARS'!$I$54*($AL$32*4)+'LINEST VARS'!$H$54*($AL$32*0.5)+'LINEST VARS'!$G$54*($AL$32*12.73)+'LINEST VARS'!$F$54*($Z52*4)+'LINEST VARS'!$E$54*($Z52*0.5)+'LINEST VARS'!$D$54*($Z52*12.73)+'LINEST VARS'!$C$54*(4*0.5)+'LINEST VARS'!$B$54*(4*12.73)+'LINEST VARS'!$A$54*(0.5*12.73)</f>
        <v>3.9749999999999996</v>
      </c>
      <c r="AM52" s="51">
        <f>'LINEST VARS'!$U$54+'LINEST VARS'!$T$54*($AM$32)+'LINEST VARS'!$S$54*($Z52)+'LINEST VARS'!$R$54*(4)+'LINEST VARS'!$Q$54*(0.5)+'LINEST VARS'!$P$54*(12.73)+'LINEST VARS'!$O$54*($AM$32^2)+'LINEST VARS'!$N$54*($Z52^2)+'LINEST VARS'!$M$54*(4^2)+'LINEST VARS'!$L$54*(0.5^2)+'LINEST VARS'!$K$54*(12.73^2)+'LINEST VARS'!$J$54*($AM$32*$Z52)+'LINEST VARS'!$I$54*($AM$32*4)+'LINEST VARS'!$H$54*($AM$32*0.5)+'LINEST VARS'!$G$54*($AM$32*12.73)+'LINEST VARS'!$F$54*($Z52*4)+'LINEST VARS'!$E$54*($Z52*0.5)+'LINEST VARS'!$D$54*($Z52*12.73)+'LINEST VARS'!$C$54*(4*0.5)+'LINEST VARS'!$B$54*(4*12.73)+'LINEST VARS'!$A$54*(0.5*12.73)</f>
        <v>3.9749999999999996</v>
      </c>
      <c r="AN52" s="51">
        <f>'LINEST VARS'!$U$54+'LINEST VARS'!$T$54*($AN$32)+'LINEST VARS'!$S$54*($Z52)+'LINEST VARS'!$R$54*(4)+'LINEST VARS'!$Q$54*(0.5)+'LINEST VARS'!$P$54*(12.73)+'LINEST VARS'!$O$54*($AN$32^2)+'LINEST VARS'!$N$54*($Z52^2)+'LINEST VARS'!$M$54*(4^2)+'LINEST VARS'!$L$54*(0.5^2)+'LINEST VARS'!$K$54*(12.73^2)+'LINEST VARS'!$J$54*($AN$32*$Z52)+'LINEST VARS'!$I$54*($AN$32*4)+'LINEST VARS'!$H$54*($AN$32*0.5)+'LINEST VARS'!$G$54*($AN$32*12.73)+'LINEST VARS'!$F$54*($Z52*4)+'LINEST VARS'!$E$54*($Z52*0.5)+'LINEST VARS'!$D$54*($Z52*12.73)+'LINEST VARS'!$C$54*(4*0.5)+'LINEST VARS'!$B$54*(4*12.73)+'LINEST VARS'!$A$54*(0.5*12.73)</f>
        <v>3.9749999999999996</v>
      </c>
      <c r="AO52" s="51">
        <f>'LINEST VARS'!$U$54+'LINEST VARS'!$T$54*($AO$32)+'LINEST VARS'!$S$54*($Z52)+'LINEST VARS'!$R$54*(4)+'LINEST VARS'!$Q$54*(0.5)+'LINEST VARS'!$P$54*(12.73)+'LINEST VARS'!$O$54*($AO$32^2)+'LINEST VARS'!$N$54*($Z52^2)+'LINEST VARS'!$M$54*(4^2)+'LINEST VARS'!$L$54*(0.5^2)+'LINEST VARS'!$K$54*(12.73^2)+'LINEST VARS'!$J$54*($AO$32*$Z52)+'LINEST VARS'!$I$54*($AO$32*4)+'LINEST VARS'!$H$54*($AO$32*0.5)+'LINEST VARS'!$G$54*($AO$32*12.73)+'LINEST VARS'!$F$54*($Z52*4)+'LINEST VARS'!$E$54*($Z52*0.5)+'LINEST VARS'!$D$54*($Z52*12.73)+'LINEST VARS'!$C$54*(4*0.5)+'LINEST VARS'!$B$54*(4*12.73)+'LINEST VARS'!$A$54*(0.5*12.73)</f>
        <v>3.9749999999999996</v>
      </c>
      <c r="AP52" s="51">
        <f>'LINEST VARS'!$U$54+'LINEST VARS'!$T$54*($AP$32)+'LINEST VARS'!$S$54*($Z52)+'LINEST VARS'!$R$54*(4)+'LINEST VARS'!$Q$54*(0.5)+'LINEST VARS'!$P$54*(12.73)+'LINEST VARS'!$O$54*($AP$32^2)+'LINEST VARS'!$N$54*($Z52^2)+'LINEST VARS'!$M$54*(4^2)+'LINEST VARS'!$L$54*(0.5^2)+'LINEST VARS'!$K$54*(12.73^2)+'LINEST VARS'!$J$54*($AP$32*$Z52)+'LINEST VARS'!$I$54*($AP$32*4)+'LINEST VARS'!$H$54*($AP$32*0.5)+'LINEST VARS'!$G$54*($AP$32*12.73)+'LINEST VARS'!$F$54*($Z52*4)+'LINEST VARS'!$E$54*($Z52*0.5)+'LINEST VARS'!$D$54*($Z52*12.73)+'LINEST VARS'!$C$54*(4*0.5)+'LINEST VARS'!$B$54*(4*12.73)+'LINEST VARS'!$A$54*(0.5*12.73)</f>
        <v>3.9749999999999996</v>
      </c>
      <c r="AQ52" s="51">
        <f>'LINEST VARS'!$U$54+'LINEST VARS'!$T$54*($AQ$32)+'LINEST VARS'!$S$54*($Z52)+'LINEST VARS'!$R$54*(4)+'LINEST VARS'!$Q$54*(0.5)+'LINEST VARS'!$P$54*(12.73)+'LINEST VARS'!$O$54*($AQ$32^2)+'LINEST VARS'!$N$54*($Z52^2)+'LINEST VARS'!$M$54*(4^2)+'LINEST VARS'!$L$54*(0.5^2)+'LINEST VARS'!$K$54*(12.73^2)+'LINEST VARS'!$J$54*($AQ$32*$Z52)+'LINEST VARS'!$I$54*($AQ$32*4)+'LINEST VARS'!$H$54*($AQ$32*0.5)+'LINEST VARS'!$G$54*($AQ$32*12.73)+'LINEST VARS'!$F$54*($Z52*4)+'LINEST VARS'!$E$54*($Z52*0.5)+'LINEST VARS'!$D$54*($Z52*12.73)+'LINEST VARS'!$C$54*(4*0.5)+'LINEST VARS'!$B$54*(4*12.73)+'LINEST VARS'!$A$54*(0.5*12.73)</f>
        <v>3.9749999999999996</v>
      </c>
      <c r="AR52" s="51">
        <f>'LINEST VARS'!$U$54+'LINEST VARS'!$T$54*($AR$32)+'LINEST VARS'!$S$54*($Z52)+'LINEST VARS'!$R$54*(4)+'LINEST VARS'!$Q$54*(0.5)+'LINEST VARS'!$P$54*(12.73)+'LINEST VARS'!$O$54*($AR$32^2)+'LINEST VARS'!$N$54*($Z52^2)+'LINEST VARS'!$M$54*(4^2)+'LINEST VARS'!$L$54*(0.5^2)+'LINEST VARS'!$K$54*(12.73^2)+'LINEST VARS'!$J$54*($AR$32*$Z52)+'LINEST VARS'!$I$54*($AR$32*4)+'LINEST VARS'!$H$54*($AR$32*0.5)+'LINEST VARS'!$G$54*($AR$32*12.73)+'LINEST VARS'!$F$54*($Z52*4)+'LINEST VARS'!$E$54*($Z52*0.5)+'LINEST VARS'!$D$54*($Z52*12.73)+'LINEST VARS'!$C$54*(4*0.5)+'LINEST VARS'!$B$54*(4*12.73)+'LINEST VARS'!$A$54*(0.5*12.73)</f>
        <v>3.9749999999999996</v>
      </c>
      <c r="AS52" s="51">
        <f>'LINEST VARS'!$U$54+'LINEST VARS'!$T$54*($AS$32)+'LINEST VARS'!$S$54*($Z52)+'LINEST VARS'!$R$54*(4)+'LINEST VARS'!$Q$54*(0.5)+'LINEST VARS'!$P$54*(12.73)+'LINEST VARS'!$O$54*($AS$32^2)+'LINEST VARS'!$N$54*($Z52^2)+'LINEST VARS'!$M$54*(4^2)+'LINEST VARS'!$L$54*(0.5^2)+'LINEST VARS'!$K$54*(12.73^2)+'LINEST VARS'!$J$54*($AS$32*$Z52)+'LINEST VARS'!$I$54*($AS$32*4)+'LINEST VARS'!$H$54*($AS$32*0.5)+'LINEST VARS'!$G$54*($AS$32*12.73)+'LINEST VARS'!$F$54*($Z52*4)+'LINEST VARS'!$E$54*($Z52*0.5)+'LINEST VARS'!$D$54*($Z52*12.73)+'LINEST VARS'!$C$54*(4*0.5)+'LINEST VARS'!$B$54*(4*12.73)+'LINEST VARS'!$A$54*(0.5*12.73)</f>
        <v>3.9749999999999996</v>
      </c>
      <c r="AT52" s="51">
        <f>'LINEST VARS'!$U$54+'LINEST VARS'!$T$54*($AT$32)+'LINEST VARS'!$S$54*($Z52)+'LINEST VARS'!$R$54*(4)+'LINEST VARS'!$Q$54*(0.5)+'LINEST VARS'!$P$54*(12.73)+'LINEST VARS'!$O$54*($AT$32^2)+'LINEST VARS'!$N$54*($Z52^2)+'LINEST VARS'!$M$54*(4^2)+'LINEST VARS'!$L$54*(0.5^2)+'LINEST VARS'!$K$54*(12.73^2)+'LINEST VARS'!$J$54*($AT$32*$Z52)+'LINEST VARS'!$I$54*($AT$32*4)+'LINEST VARS'!$H$54*($AT$32*0.5)+'LINEST VARS'!$G$54*($AT$32*12.73)+'LINEST VARS'!$F$54*($Z52*4)+'LINEST VARS'!$E$54*($Z52*0.5)+'LINEST VARS'!$D$54*($Z52*12.73)+'LINEST VARS'!$C$54*(4*0.5)+'LINEST VARS'!$B$54*(4*12.73)+'LINEST VARS'!$A$54*(0.5*12.73)</f>
        <v>3.9750000000000001</v>
      </c>
      <c r="AU52" s="52">
        <f>'LINEST VARS'!$U$54+'LINEST VARS'!$T$54*($AU$32)+'LINEST VARS'!$S$54*($Z52)+'LINEST VARS'!$R$54*(4)+'LINEST VARS'!$Q$54*(0.5)+'LINEST VARS'!$P$54*(12.73)+'LINEST VARS'!$O$54*($AU$32^2)+'LINEST VARS'!$N$54*($Z52^2)+'LINEST VARS'!$M$54*(4^2)+'LINEST VARS'!$L$54*(0.5^2)+'LINEST VARS'!$K$54*(12.73^2)+'LINEST VARS'!$J$54*($AU$32*$Z52)+'LINEST VARS'!$I$54*($AU$32*4)+'LINEST VARS'!$H$54*($AU$32*0.5)+'LINEST VARS'!$G$54*($AU$32*12.73)+'LINEST VARS'!$F$54*($Z52*4)+'LINEST VARS'!$E$54*($Z52*0.5)+'LINEST VARS'!$D$54*($Z52*12.73)+'LINEST VARS'!$C$54*(4*0.5)+'LINEST VARS'!$B$54*(4*12.73)+'LINEST VARS'!$A$54*(0.5*12.73)</f>
        <v>3.9750000000000001</v>
      </c>
      <c r="AZ52" s="45">
        <v>0.95</v>
      </c>
      <c r="BA52" s="51">
        <f>'LINEST VARS'!$U$52+'LINEST VARS'!$T$52*(8)+'LINEST VARS'!$S$52*(8)+'LINEST VARS'!$R$52*($BA$32)+'LINEST VARS'!$Q$52*($AZ52)+'LINEST VARS'!$P$52*(12.73)+'LINEST VARS'!$O$52*(8^2)+'LINEST VARS'!$N$52*(8^2)+'LINEST VARS'!$M$52*($BA$32^2)+'LINEST VARS'!$L$52*($AZ52^2)+'LINEST VARS'!$K$52*(12.73^2)+'LINEST VARS'!$J$52*(8*8)+'LINEST VARS'!$I$52*(8*$BA$32)+'LINEST VARS'!$H$52*(8*$AZ52)+'LINEST VARS'!$G$52*(8*12.73)+'LINEST VARS'!$F$52*(8*$BA$32)+'LINEST VARS'!$E$52*(8*$AZ52)+'LINEST VARS'!$D$52*(8*12.73)+'LINEST VARS'!$C$52*($BA$32*$AZ52)+'LINEST VARS'!$B$52*($BA$32*12.73)+'LINEST VARS'!$A$52*($AZ52*12.73)</f>
        <v>4.4049999999999985</v>
      </c>
      <c r="BB52" s="51">
        <f>'LINEST VARS'!$U$52+'LINEST VARS'!$T$52*(8)+'LINEST VARS'!$S$52*(8)+'LINEST VARS'!$R$52*($BB$32)+'LINEST VARS'!$Q$52*($AZ52)+'LINEST VARS'!$P$52*(12.73)+'LINEST VARS'!$O$52*(8^2)+'LINEST VARS'!$N$52*(8^2)+'LINEST VARS'!$M$52*($BB$32^2)+'LINEST VARS'!$L$52*($AZ52^2)+'LINEST VARS'!$K$52*(12.73^2)+'LINEST VARS'!$J$52*(8*8)+'LINEST VARS'!$I$52*(8*$BB$32)+'LINEST VARS'!$H$52*(8*$AZ52)+'LINEST VARS'!$G$52*(8*12.73)+'LINEST VARS'!$F$52*(8*$BB$32)+'LINEST VARS'!$E$52*(8*$AZ52)+'LINEST VARS'!$D$52*(8*12.73)+'LINEST VARS'!$C$52*($BB$32*$AZ52)+'LINEST VARS'!$B$52*($BB$32*12.73)+'LINEST VARS'!$A$52*($AZ52*12.73)</f>
        <v>4.4049999999999985</v>
      </c>
      <c r="BC52" s="51">
        <f>'LINEST VARS'!$U$52+'LINEST VARS'!$T$52*(8)+'LINEST VARS'!$S$52*(8)+'LINEST VARS'!$R$52*($BC$32)+'LINEST VARS'!$Q$52*($AZ52)+'LINEST VARS'!$P$52*(12.73)+'LINEST VARS'!$O$52*(8^2)+'LINEST VARS'!$N$52*(8^2)+'LINEST VARS'!$M$52*($BC$32^2)+'LINEST VARS'!$L$52*($AZ52^2)+'LINEST VARS'!$K$52*(12.73^2)+'LINEST VARS'!$J$52*(8*8)+'LINEST VARS'!$I$52*(8*$BC$32)+'LINEST VARS'!$H$52*(8*$AZ52)+'LINEST VARS'!$G$52*(8*12.73)+'LINEST VARS'!$F$52*(8*$BC$32)+'LINEST VARS'!$E$52*(8*$AZ52)+'LINEST VARS'!$D$52*(8*12.73)+'LINEST VARS'!$C$52*($BC$32*$AZ52)+'LINEST VARS'!$B$52*($BC$32*12.73)+'LINEST VARS'!$A$52*($AZ52*12.73)</f>
        <v>4.4049999999999985</v>
      </c>
      <c r="BD52" s="51">
        <f>'LINEST VARS'!$U$52+'LINEST VARS'!$T$52*(8)+'LINEST VARS'!$S$52*(8)+'LINEST VARS'!$R$52*($BD$32)+'LINEST VARS'!$Q$52*($AZ52)+'LINEST VARS'!$P$52*(12.73)+'LINEST VARS'!$O$52*(8^2)+'LINEST VARS'!$N$52*(8^2)+'LINEST VARS'!$M$52*($BD$32^2)+'LINEST VARS'!$L$52*($AZ52^2)+'LINEST VARS'!$K$52*(12.73^2)+'LINEST VARS'!$J$52*(8*8)+'LINEST VARS'!$I$52*(8*$BD$32)+'LINEST VARS'!$H$52*(8*$AZ52)+'LINEST VARS'!$G$52*(8*12.73)+'LINEST VARS'!$F$52*(8*$BD$32)+'LINEST VARS'!$E$52*(8*$AZ52)+'LINEST VARS'!$D$52*(8*12.73)+'LINEST VARS'!$C$52*($BD$32*$AZ52)+'LINEST VARS'!$B$52*($BD$32*12.73)+'LINEST VARS'!$A$52*($AZ52*12.73)</f>
        <v>4.4049999999999985</v>
      </c>
      <c r="BE52" s="51">
        <f>'LINEST VARS'!$U$52+'LINEST VARS'!$T$52*(8)+'LINEST VARS'!$S$52*(8)+'LINEST VARS'!$R$52*($BE$32)+'LINEST VARS'!$Q$52*($AZ52)+'LINEST VARS'!$P$52*(12.73)+'LINEST VARS'!$O$52*(8^2)+'LINEST VARS'!$N$52*(8^2)+'LINEST VARS'!$M$52*($BE$32^2)+'LINEST VARS'!$L$52*($AZ52^2)+'LINEST VARS'!$K$52*(12.73^2)+'LINEST VARS'!$J$52*(8*8)+'LINEST VARS'!$I$52*(8*$BE$32)+'LINEST VARS'!$H$52*(8*$AZ52)+'LINEST VARS'!$G$52*(8*12.73)+'LINEST VARS'!$F$52*(8*$BE$32)+'LINEST VARS'!$E$52*(8*$AZ52)+'LINEST VARS'!$D$52*(8*12.73)+'LINEST VARS'!$C$52*($BE$32*$AZ52)+'LINEST VARS'!$B$52*($BE$32*12.73)+'LINEST VARS'!$A$52*($AZ52*12.73)</f>
        <v>4.4049999999999985</v>
      </c>
      <c r="BF52" s="51">
        <f>'LINEST VARS'!$U$52+'LINEST VARS'!$T$52*(8)+'LINEST VARS'!$S$52*(8)+'LINEST VARS'!$R$52*($BF$32)+'LINEST VARS'!$Q$52*($AZ52)+'LINEST VARS'!$P$52*(12.73)+'LINEST VARS'!$O$52*(8^2)+'LINEST VARS'!$N$52*(8^2)+'LINEST VARS'!$M$52*($BF$32^2)+'LINEST VARS'!$L$52*($AZ52^2)+'LINEST VARS'!$K$52*(12.73^2)+'LINEST VARS'!$J$52*(8*8)+'LINEST VARS'!$I$52*(8*$BF$32)+'LINEST VARS'!$H$52*(8*$AZ52)+'LINEST VARS'!$G$52*(8*12.73)+'LINEST VARS'!$F$52*(8*$BF$32)+'LINEST VARS'!$E$52*(8*$AZ52)+'LINEST VARS'!$D$52*(8*12.73)+'LINEST VARS'!$C$52*($BF$32*$AZ52)+'LINEST VARS'!$B$52*($BF$32*12.73)+'LINEST VARS'!$A$52*($AZ52*12.73)</f>
        <v>4.4049999999999985</v>
      </c>
      <c r="BG52" s="51">
        <f>'LINEST VARS'!$U$52+'LINEST VARS'!$T$52*(8)+'LINEST VARS'!$S$52*(8)+'LINEST VARS'!$R$52*($BG$32)+'LINEST VARS'!$Q$52*($AZ52)+'LINEST VARS'!$P$52*(12.73)+'LINEST VARS'!$O$52*(8^2)+'LINEST VARS'!$N$52*(8^2)+'LINEST VARS'!$M$52*($BG$32^2)+'LINEST VARS'!$L$52*($AZ52^2)+'LINEST VARS'!$K$52*(12.73^2)+'LINEST VARS'!$J$52*(8*8)+'LINEST VARS'!$I$52*(8*$BG$32)+'LINEST VARS'!$H$52*(8*$AZ52)+'LINEST VARS'!$G$52*(8*12.73)+'LINEST VARS'!$F$52*(8*$BG$32)+'LINEST VARS'!$E$52*(8*$AZ52)+'LINEST VARS'!$D$52*(8*12.73)+'LINEST VARS'!$C$52*($BG$32*$AZ52)+'LINEST VARS'!$B$52*($BG$32*12.73)+'LINEST VARS'!$A$52*($AZ52*12.73)</f>
        <v>4.4049999999999985</v>
      </c>
      <c r="BH52" s="51">
        <f>'LINEST VARS'!$U$52+'LINEST VARS'!$T$52*(8)+'LINEST VARS'!$S$52*(8)+'LINEST VARS'!$R$52*($BH$32)+'LINEST VARS'!$Q$52*($AZ52)+'LINEST VARS'!$P$52*(12.73)+'LINEST VARS'!$O$52*(8^2)+'LINEST VARS'!$N$52*(8^2)+'LINEST VARS'!$M$52*($BH$32^2)+'LINEST VARS'!$L$52*($AZ52^2)+'LINEST VARS'!$K$52*(12.73^2)+'LINEST VARS'!$J$52*(8*8)+'LINEST VARS'!$I$52*(8*$BH$32)+'LINEST VARS'!$H$52*(8*$AZ52)+'LINEST VARS'!$G$52*(8*12.73)+'LINEST VARS'!$F$52*(8*$BH$32)+'LINEST VARS'!$E$52*(8*$AZ52)+'LINEST VARS'!$D$52*(8*12.73)+'LINEST VARS'!$C$52*($BH$32*$AZ52)+'LINEST VARS'!$B$52*($BH$32*12.73)+'LINEST VARS'!$A$52*($AZ52*12.73)</f>
        <v>4.4049999999999985</v>
      </c>
      <c r="BI52" s="51">
        <f>'LINEST VARS'!$U$52+'LINEST VARS'!$T$52*(8)+'LINEST VARS'!$S$52*(8)+'LINEST VARS'!$R$52*($BI$32)+'LINEST VARS'!$Q$52*($AZ52)+'LINEST VARS'!$P$52*(12.73)+'LINEST VARS'!$O$52*(8^2)+'LINEST VARS'!$N$52*(8^2)+'LINEST VARS'!$M$52*($BI$32^2)+'LINEST VARS'!$L$52*($AZ52^2)+'LINEST VARS'!$K$52*(12.73^2)+'LINEST VARS'!$J$52*(8*8)+'LINEST VARS'!$I$52*(8*$BI$32)+'LINEST VARS'!$H$52*(8*$AZ52)+'LINEST VARS'!$G$52*(8*12.73)+'LINEST VARS'!$F$52*(8*$BI$32)+'LINEST VARS'!$E$52*(8*$AZ52)+'LINEST VARS'!$D$52*(8*12.73)+'LINEST VARS'!$C$52*($BI$32*$AZ52)+'LINEST VARS'!$B$52*($BI$32*12.73)+'LINEST VARS'!$A$52*($AZ52*12.73)</f>
        <v>4.4049999999999985</v>
      </c>
      <c r="BJ52" s="51">
        <f>'LINEST VARS'!$U$52+'LINEST VARS'!$T$52*(8)+'LINEST VARS'!$S$52*(8)+'LINEST VARS'!$R$52*($BJ$32)+'LINEST VARS'!$Q$52*($AZ52)+'LINEST VARS'!$P$52*(12.73)+'LINEST VARS'!$O$52*(8^2)+'LINEST VARS'!$N$52*(8^2)+'LINEST VARS'!$M$52*($BJ$32^2)+'LINEST VARS'!$L$52*($AZ52^2)+'LINEST VARS'!$K$52*(12.73^2)+'LINEST VARS'!$J$52*(8*8)+'LINEST VARS'!$I$52*(8*$BJ$32)+'LINEST VARS'!$H$52*(8*$AZ52)+'LINEST VARS'!$G$52*(8*12.73)+'LINEST VARS'!$F$52*(8*$BJ$32)+'LINEST VARS'!$E$52*(8*$AZ52)+'LINEST VARS'!$D$52*(8*12.73)+'LINEST VARS'!$C$52*($BJ$32*$AZ52)+'LINEST VARS'!$B$52*($BJ$32*12.73)+'LINEST VARS'!$A$52*($AZ52*12.73)</f>
        <v>4.4049999999999985</v>
      </c>
      <c r="BK52" s="51">
        <f>'LINEST VARS'!$U$52+'LINEST VARS'!$T$52*(8)+'LINEST VARS'!$S$52*(8)+'LINEST VARS'!$R$52*($BK$32)+'LINEST VARS'!$Q$52*($AZ52)+'LINEST VARS'!$P$52*(12.73)+'LINEST VARS'!$O$52*(8^2)+'LINEST VARS'!$N$52*(8^2)+'LINEST VARS'!$M$52*($BK$32^2)+'LINEST VARS'!$L$52*($AZ52^2)+'LINEST VARS'!$K$52*(12.73^2)+'LINEST VARS'!$J$52*(8*8)+'LINEST VARS'!$I$52*(8*$BK$32)+'LINEST VARS'!$H$52*(8*$AZ52)+'LINEST VARS'!$G$52*(8*12.73)+'LINEST VARS'!$F$52*(8*$BK$32)+'LINEST VARS'!$E$52*(8*$AZ52)+'LINEST VARS'!$D$52*(8*12.73)+'LINEST VARS'!$C$52*($BK$32*$AZ52)+'LINEST VARS'!$B$52*($BK$32*12.73)+'LINEST VARS'!$A$52*($AZ52*12.73)</f>
        <v>4.4049999999999985</v>
      </c>
      <c r="BL52" s="51">
        <f>'LINEST VARS'!$U$52+'LINEST VARS'!$T$52*(8)+'LINEST VARS'!$S$52*(8)+'LINEST VARS'!$R$52*($BL$32)+'LINEST VARS'!$Q$52*($AZ52)+'LINEST VARS'!$P$52*(12.73)+'LINEST VARS'!$O$52*(8^2)+'LINEST VARS'!$N$52*(8^2)+'LINEST VARS'!$M$52*($BL$32^2)+'LINEST VARS'!$L$52*($AZ52^2)+'LINEST VARS'!$K$52*(12.73^2)+'LINEST VARS'!$J$52*(8*8)+'LINEST VARS'!$I$52*(8*$BL$32)+'LINEST VARS'!$H$52*(8*$AZ52)+'LINEST VARS'!$G$52*(8*12.73)+'LINEST VARS'!$F$52*(8*$BL$32)+'LINEST VARS'!$E$52*(8*$AZ52)+'LINEST VARS'!$D$52*(8*12.73)+'LINEST VARS'!$C$52*($BL$32*$AZ52)+'LINEST VARS'!$B$52*($BL$32*12.73)+'LINEST VARS'!$A$52*($AZ52*12.73)</f>
        <v>4.4049999999999985</v>
      </c>
      <c r="BM52" s="51">
        <f>'LINEST VARS'!$U$52+'LINEST VARS'!$T$52*(8)+'LINEST VARS'!$S$52*(8)+'LINEST VARS'!$R$52*($BM$32)+'LINEST VARS'!$Q$52*($AZ52)+'LINEST VARS'!$P$52*(12.73)+'LINEST VARS'!$O$52*(8^2)+'LINEST VARS'!$N$52*(8^2)+'LINEST VARS'!$M$52*($BM$32^2)+'LINEST VARS'!$L$52*($AZ52^2)+'LINEST VARS'!$K$52*(12.73^2)+'LINEST VARS'!$J$52*(8*8)+'LINEST VARS'!$I$52*(8*$BM$32)+'LINEST VARS'!$H$52*(8*$AZ52)+'LINEST VARS'!$G$52*(8*12.73)+'LINEST VARS'!$F$52*(8*$BM$32)+'LINEST VARS'!$E$52*(8*$AZ52)+'LINEST VARS'!$D$52*(8*12.73)+'LINEST VARS'!$C$52*($BM$32*$AZ52)+'LINEST VARS'!$B$52*($BM$32*12.73)+'LINEST VARS'!$A$52*($AZ52*12.73)</f>
        <v>4.4049999999999985</v>
      </c>
      <c r="BN52" s="51">
        <f>'LINEST VARS'!$U$52+'LINEST VARS'!$T$52*(8)+'LINEST VARS'!$S$52*(8)+'LINEST VARS'!$R$52*($BN$32)+'LINEST VARS'!$Q$52*($AZ52)+'LINEST VARS'!$P$52*(12.73)+'LINEST VARS'!$O$52*(8^2)+'LINEST VARS'!$N$52*(8^2)+'LINEST VARS'!$M$52*($BN$32^2)+'LINEST VARS'!$L$52*($AZ52^2)+'LINEST VARS'!$K$52*(12.73^2)+'LINEST VARS'!$J$52*(8*8)+'LINEST VARS'!$I$52*(8*$BN$32)+'LINEST VARS'!$H$52*(8*$AZ52)+'LINEST VARS'!$G$52*(8*12.73)+'LINEST VARS'!$F$52*(8*$BN$32)+'LINEST VARS'!$E$52*(8*$AZ52)+'LINEST VARS'!$D$52*(8*12.73)+'LINEST VARS'!$C$52*($BN$32*$AZ52)+'LINEST VARS'!$B$52*($BN$32*12.73)+'LINEST VARS'!$A$52*($AZ52*12.73)</f>
        <v>4.4049999999999985</v>
      </c>
      <c r="BO52" s="51">
        <f>'LINEST VARS'!$U$52+'LINEST VARS'!$T$52*(8)+'LINEST VARS'!$S$52*(8)+'LINEST VARS'!$R$52*($BO$32)+'LINEST VARS'!$Q$52*($AZ52)+'LINEST VARS'!$P$52*(12.73)+'LINEST VARS'!$O$52*(8^2)+'LINEST VARS'!$N$52*(8^2)+'LINEST VARS'!$M$52*($BO$32^2)+'LINEST VARS'!$L$52*($AZ52^2)+'LINEST VARS'!$K$52*(12.73^2)+'LINEST VARS'!$J$52*(8*8)+'LINEST VARS'!$I$52*(8*$BO$32)+'LINEST VARS'!$H$52*(8*$AZ52)+'LINEST VARS'!$G$52*(8*12.73)+'LINEST VARS'!$F$52*(8*$BO$32)+'LINEST VARS'!$E$52*(8*$AZ52)+'LINEST VARS'!$D$52*(8*12.73)+'LINEST VARS'!$C$52*($BO$32*$AZ52)+'LINEST VARS'!$B$52*($BO$32*12.73)+'LINEST VARS'!$A$52*($AZ52*12.73)</f>
        <v>4.4049999999999985</v>
      </c>
      <c r="BP52" s="51">
        <f>'LINEST VARS'!$U$52+'LINEST VARS'!$T$52*(8)+'LINEST VARS'!$S$52*(8)+'LINEST VARS'!$R$52*($BP$32)+'LINEST VARS'!$Q$52*($AZ52)+'LINEST VARS'!$P$52*(12.73)+'LINEST VARS'!$O$52*(8^2)+'LINEST VARS'!$N$52*(8^2)+'LINEST VARS'!$M$52*($BP$32^2)+'LINEST VARS'!$L$52*($AZ52^2)+'LINEST VARS'!$K$52*(12.73^2)+'LINEST VARS'!$J$52*(8*8)+'LINEST VARS'!$I$52*(8*$BP$32)+'LINEST VARS'!$H$52*(8*$AZ52)+'LINEST VARS'!$G$52*(8*12.73)+'LINEST VARS'!$F$52*(8*$BP$32)+'LINEST VARS'!$E$52*(8*$AZ52)+'LINEST VARS'!$D$52*(8*12.73)+'LINEST VARS'!$C$52*($BP$32*$AZ52)+'LINEST VARS'!$B$52*($BP$32*12.73)+'LINEST VARS'!$A$52*($AZ52*12.73)</f>
        <v>4.4049999999999985</v>
      </c>
      <c r="BQ52" s="51">
        <f>'LINEST VARS'!$U$52+'LINEST VARS'!$T$52*(8)+'LINEST VARS'!$S$52*(8)+'LINEST VARS'!$R$52*($BQ$32)+'LINEST VARS'!$Q$52*($AZ52)+'LINEST VARS'!$P$52*(12.73)+'LINEST VARS'!$O$52*(8^2)+'LINEST VARS'!$N$52*(8^2)+'LINEST VARS'!$M$52*($BQ$32^2)+'LINEST VARS'!$L$52*($AZ52^2)+'LINEST VARS'!$K$52*(12.73^2)+'LINEST VARS'!$J$52*(8*8)+'LINEST VARS'!$I$52*(8*$BQ$32)+'LINEST VARS'!$H$52*(8*$AZ52)+'LINEST VARS'!$G$52*(8*12.73)+'LINEST VARS'!$F$52*(8*$BQ$32)+'LINEST VARS'!$E$52*(8*$AZ52)+'LINEST VARS'!$D$52*(8*12.73)+'LINEST VARS'!$C$52*($BQ$32*$AZ52)+'LINEST VARS'!$B$52*($BQ$32*12.73)+'LINEST VARS'!$A$52*($AZ52*12.73)</f>
        <v>4.4049999999999985</v>
      </c>
      <c r="BR52" s="51">
        <f>'LINEST VARS'!$U$52+'LINEST VARS'!$T$52*(8)+'LINEST VARS'!$S$52*(8)+'LINEST VARS'!$R$52*($BR$32)+'LINEST VARS'!$Q$52*($AZ52)+'LINEST VARS'!$P$52*(12.73)+'LINEST VARS'!$O$52*(8^2)+'LINEST VARS'!$N$52*(8^2)+'LINEST VARS'!$M$52*($BR$32^2)+'LINEST VARS'!$L$52*($AZ52^2)+'LINEST VARS'!$K$52*(12.73^2)+'LINEST VARS'!$J$52*(8*8)+'LINEST VARS'!$I$52*(8*$BR$32)+'LINEST VARS'!$H$52*(8*$AZ52)+'LINEST VARS'!$G$52*(8*12.73)+'LINEST VARS'!$F$52*(8*$BR$32)+'LINEST VARS'!$E$52*(8*$AZ52)+'LINEST VARS'!$D$52*(8*12.73)+'LINEST VARS'!$C$52*($BR$32*$AZ52)+'LINEST VARS'!$B$52*($BR$32*12.73)+'LINEST VARS'!$A$52*($AZ52*12.73)</f>
        <v>4.4049999999999985</v>
      </c>
      <c r="BS52" s="51">
        <f>'LINEST VARS'!$U$52+'LINEST VARS'!$T$52*(8)+'LINEST VARS'!$S$52*(8)+'LINEST VARS'!$R$52*($BS$32)+'LINEST VARS'!$Q$52*($AZ52)+'LINEST VARS'!$P$52*(12.73)+'LINEST VARS'!$O$52*(8^2)+'LINEST VARS'!$N$52*(8^2)+'LINEST VARS'!$M$52*($BS$32^2)+'LINEST VARS'!$L$52*($AZ52^2)+'LINEST VARS'!$K$52*(12.73^2)+'LINEST VARS'!$J$52*(8*8)+'LINEST VARS'!$I$52*(8*$BS$32)+'LINEST VARS'!$H$52*(8*$AZ52)+'LINEST VARS'!$G$52*(8*12.73)+'LINEST VARS'!$F$52*(8*$BS$32)+'LINEST VARS'!$E$52*(8*$AZ52)+'LINEST VARS'!$D$52*(8*12.73)+'LINEST VARS'!$C$52*($BS$32*$AZ52)+'LINEST VARS'!$B$52*($BS$32*12.73)+'LINEST VARS'!$A$52*($AZ52*12.73)</f>
        <v>4.4049999999999985</v>
      </c>
      <c r="BT52" s="51">
        <f>'LINEST VARS'!$U$52+'LINEST VARS'!$T$52*(8)+'LINEST VARS'!$S$52*(8)+'LINEST VARS'!$R$52*($BT$32)+'LINEST VARS'!$Q$52*($AZ52)+'LINEST VARS'!$P$52*(12.73)+'LINEST VARS'!$O$52*(8^2)+'LINEST VARS'!$N$52*(8^2)+'LINEST VARS'!$M$52*($BT$32^2)+'LINEST VARS'!$L$52*($AZ52^2)+'LINEST VARS'!$K$52*(12.73^2)+'LINEST VARS'!$J$52*(8*8)+'LINEST VARS'!$I$52*(8*$BT$32)+'LINEST VARS'!$H$52*(8*$AZ52)+'LINEST VARS'!$G$52*(8*12.73)+'LINEST VARS'!$F$52*(8*$BT$32)+'LINEST VARS'!$E$52*(8*$AZ52)+'LINEST VARS'!$D$52*(8*12.73)+'LINEST VARS'!$C$52*($BT$32*$AZ52)+'LINEST VARS'!$B$52*($BT$32*12.73)+'LINEST VARS'!$A$52*($AZ52*12.73)</f>
        <v>4.4049999999999985</v>
      </c>
      <c r="BU52" s="52">
        <f>'LINEST VARS'!$U$52+'LINEST VARS'!$T$52*(8)+'LINEST VARS'!$S$52*(8)+'LINEST VARS'!$R$52*($BU$32)+'LINEST VARS'!$Q$52*($AZ52)+'LINEST VARS'!$P$52*(12.73)+'LINEST VARS'!$O$52*(8^2)+'LINEST VARS'!$N$52*(8^2)+'LINEST VARS'!$M$52*($BU$32^2)+'LINEST VARS'!$L$52*($AZ52^2)+'LINEST VARS'!$K$52*(12.73^2)+'LINEST VARS'!$J$52*(8*8)+'LINEST VARS'!$I$52*(8*$BU$32)+'LINEST VARS'!$H$52*(8*$AZ52)+'LINEST VARS'!$G$52*(8*12.73)+'LINEST VARS'!$F$52*(8*$BU$32)+'LINEST VARS'!$E$52*(8*$AZ52)+'LINEST VARS'!$D$52*(8*12.73)+'LINEST VARS'!$C$52*($BU$32*$AZ52)+'LINEST VARS'!$B$52*($BU$32*12.73)+'LINEST VARS'!$A$52*($AZ52*12.73)</f>
        <v>4.4049999999999985</v>
      </c>
      <c r="BX52" s="45">
        <v>0.95</v>
      </c>
      <c r="BY52" s="51">
        <f>'LINEST VARS'!$U$54+'LINEST VARS'!$T$54*(8)+'LINEST VARS'!$S$54*(8)+'LINEST VARS'!$R$54*($BY$32)+'LINEST VARS'!$Q$54*($BX52)+'LINEST VARS'!$P$54*(12.73)+'LINEST VARS'!$O$54*(8^2)+'LINEST VARS'!$N$54*(8^2)+'LINEST VARS'!$M$54*($BY$32^2)+'LINEST VARS'!$L$54*($BX52^2)+'LINEST VARS'!$K$54*(12.73^2)+'LINEST VARS'!$J$54*(8*8)+'LINEST VARS'!$I$54*(8*$BY$32)+'LINEST VARS'!$H$54*(8*$BX52)+'LINEST VARS'!$G$54*(8*12.73)+'LINEST VARS'!$F$54*(8*$BY$32)+'LINEST VARS'!$E$54*(8*$BX52)+'LINEST VARS'!$D$54*(8*12.73)+'LINEST VARS'!$C$54*($BY$32*$BX52)+'LINEST VARS'!$B$54*($BY$32*12.73)+'LINEST VARS'!$A$54*($BX52*12.73)</f>
        <v>3.9524999999999997</v>
      </c>
      <c r="BZ52" s="51">
        <f>'LINEST VARS'!$U$54+'LINEST VARS'!$T$54*(8)+'LINEST VARS'!$S$54*(8)+'LINEST VARS'!$R$54*($BZ$32)+'LINEST VARS'!$Q$54*($BX52)+'LINEST VARS'!$P$54*(12.73)+'LINEST VARS'!$O$54*(8^2)+'LINEST VARS'!$N$54*(8^2)+'LINEST VARS'!$M$54*($BZ$32^2)+'LINEST VARS'!$L$54*($BX52^2)+'LINEST VARS'!$K$54*(12.73^2)+'LINEST VARS'!$J$54*(8*8)+'LINEST VARS'!$I$54*(8*$BZ$32)+'LINEST VARS'!$H$54*(8*$BX52)+'LINEST VARS'!$G$54*(8*12.73)+'LINEST VARS'!$F$54*(8*$BZ$32)+'LINEST VARS'!$E$54*(8*$BX52)+'LINEST VARS'!$D$54*(8*12.73)+'LINEST VARS'!$C$54*($BZ$32*$BX52)+'LINEST VARS'!$B$54*($BZ$32*12.73)+'LINEST VARS'!$A$54*($BX52*12.73)</f>
        <v>3.9524999999999997</v>
      </c>
      <c r="CA52" s="51">
        <f>'LINEST VARS'!$U$54+'LINEST VARS'!$T$54*(8)+'LINEST VARS'!$S$54*(8)+'LINEST VARS'!$R$54*($CA$32)+'LINEST VARS'!$Q$54*($BX52)+'LINEST VARS'!$P$54*(12.73)+'LINEST VARS'!$O$54*(8^2)+'LINEST VARS'!$N$54*(8^2)+'LINEST VARS'!$M$54*($CA$32^2)+'LINEST VARS'!$L$54*($BX52^2)+'LINEST VARS'!$K$54*(12.73^2)+'LINEST VARS'!$J$54*(8*8)+'LINEST VARS'!$I$54*(8*$CA$32)+'LINEST VARS'!$H$54*(8*$BX52)+'LINEST VARS'!$G$54*(8*12.73)+'LINEST VARS'!$F$54*(8*$CA$32)+'LINEST VARS'!$E$54*(8*$BX52)+'LINEST VARS'!$D$54*(8*12.73)+'LINEST VARS'!$C$54*($CA$32*$BX52)+'LINEST VARS'!$B$54*($CA$32*12.73)+'LINEST VARS'!$A$54*($BX52*12.73)</f>
        <v>3.9524999999999997</v>
      </c>
      <c r="CB52" s="51">
        <f>'LINEST VARS'!$U$54+'LINEST VARS'!$T$54*(8)+'LINEST VARS'!$S$54*(8)+'LINEST VARS'!$R$54*($CB$32)+'LINEST VARS'!$Q$54*($BX52)+'LINEST VARS'!$P$54*(12.73)+'LINEST VARS'!$O$54*(8^2)+'LINEST VARS'!$N$54*(8^2)+'LINEST VARS'!$M$54*($CB$32^2)+'LINEST VARS'!$L$54*($BX52^2)+'LINEST VARS'!$K$54*(12.73^2)+'LINEST VARS'!$J$54*(8*8)+'LINEST VARS'!$I$54*(8*$CB$32)+'LINEST VARS'!$H$54*(8*$BX52)+'LINEST VARS'!$G$54*(8*12.73)+'LINEST VARS'!$F$54*(8*$CB$32)+'LINEST VARS'!$E$54*(8*$BX52)+'LINEST VARS'!$D$54*(8*12.73)+'LINEST VARS'!$C$54*($CB$32*$BX52)+'LINEST VARS'!$B$54*($CB$32*12.73)+'LINEST VARS'!$A$54*($BX52*12.73)</f>
        <v>3.9524999999999997</v>
      </c>
      <c r="CC52" s="51">
        <f>'LINEST VARS'!$U$54+'LINEST VARS'!$T$54*(8)+'LINEST VARS'!$S$54*(8)+'LINEST VARS'!$R$54*($CC$32)+'LINEST VARS'!$Q$54*($BX52)+'LINEST VARS'!$P$54*(12.73)+'LINEST VARS'!$O$54*(8^2)+'LINEST VARS'!$N$54*(8^2)+'LINEST VARS'!$M$54*($CC$32^2)+'LINEST VARS'!$L$54*($BX52^2)+'LINEST VARS'!$K$54*(12.73^2)+'LINEST VARS'!$J$54*(8*8)+'LINEST VARS'!$I$54*(8*$CC$32)+'LINEST VARS'!$H$54*(8*$BX52)+'LINEST VARS'!$G$54*(8*12.73)+'LINEST VARS'!$F$54*(8*$CC$32)+'LINEST VARS'!$E$54*(8*$BX52)+'LINEST VARS'!$D$54*(8*12.73)+'LINEST VARS'!$C$54*($CC$32*$BX52)+'LINEST VARS'!$B$54*($CC$32*12.73)+'LINEST VARS'!$A$54*($BX52*12.73)</f>
        <v>3.9524999999999997</v>
      </c>
      <c r="CD52" s="51">
        <f>'LINEST VARS'!$U$54+'LINEST VARS'!$T$54*(8)+'LINEST VARS'!$S$54*(8)+'LINEST VARS'!$R$54*($CD$32)+'LINEST VARS'!$Q$54*($BX52)+'LINEST VARS'!$P$54*(12.73)+'LINEST VARS'!$O$54*(8^2)+'LINEST VARS'!$N$54*(8^2)+'LINEST VARS'!$M$54*($CD$32^2)+'LINEST VARS'!$L$54*($BX52^2)+'LINEST VARS'!$K$54*(12.73^2)+'LINEST VARS'!$J$54*(8*8)+'LINEST VARS'!$I$54*(8*$CD$32)+'LINEST VARS'!$H$54*(8*$BX52)+'LINEST VARS'!$G$54*(8*12.73)+'LINEST VARS'!$F$54*(8*$CD$32)+'LINEST VARS'!$E$54*(8*$BX52)+'LINEST VARS'!$D$54*(8*12.73)+'LINEST VARS'!$C$54*($CD$32*$BX52)+'LINEST VARS'!$B$54*($CD$32*12.73)+'LINEST VARS'!$A$54*($BX52*12.73)</f>
        <v>3.9524999999999997</v>
      </c>
      <c r="CE52" s="51">
        <f>'LINEST VARS'!$U$54+'LINEST VARS'!$T$54*(8)+'LINEST VARS'!$S$54*(8)+'LINEST VARS'!$R$54*($CE$32)+'LINEST VARS'!$Q$54*($BX52)+'LINEST VARS'!$P$54*(12.73)+'LINEST VARS'!$O$54*(8^2)+'LINEST VARS'!$N$54*(8^2)+'LINEST VARS'!$M$54*($CE$32^2)+'LINEST VARS'!$L$54*($BX52^2)+'LINEST VARS'!$K$54*(12.73^2)+'LINEST VARS'!$J$54*(8*8)+'LINEST VARS'!$I$54*(8*$CE$32)+'LINEST VARS'!$H$54*(8*$BX52)+'LINEST VARS'!$G$54*(8*12.73)+'LINEST VARS'!$F$54*(8*$CE$32)+'LINEST VARS'!$E$54*(8*$BX52)+'LINEST VARS'!$D$54*(8*12.73)+'LINEST VARS'!$C$54*($CE$32*$BX52)+'LINEST VARS'!$B$54*($CE$32*12.73)+'LINEST VARS'!$A$54*($BX52*12.73)</f>
        <v>3.9524999999999997</v>
      </c>
      <c r="CF52" s="51">
        <f>'LINEST VARS'!$U$54+'LINEST VARS'!$T$54*(8)+'LINEST VARS'!$S$54*(8)+'LINEST VARS'!$R$54*($CF$32)+'LINEST VARS'!$Q$54*($BX52)+'LINEST VARS'!$P$54*(12.73)+'LINEST VARS'!$O$54*(8^2)+'LINEST VARS'!$N$54*(8^2)+'LINEST VARS'!$M$54*($CF$32^2)+'LINEST VARS'!$L$54*($BX52^2)+'LINEST VARS'!$K$54*(12.73^2)+'LINEST VARS'!$J$54*(8*8)+'LINEST VARS'!$I$54*(8*$CF$32)+'LINEST VARS'!$H$54*(8*$BX52)+'LINEST VARS'!$G$54*(8*12.73)+'LINEST VARS'!$F$54*(8*$CF$32)+'LINEST VARS'!$E$54*(8*$BX52)+'LINEST VARS'!$D$54*(8*12.73)+'LINEST VARS'!$C$54*($CF$32*$BX52)+'LINEST VARS'!$B$54*($CF$32*12.73)+'LINEST VARS'!$A$54*($BX52*12.73)</f>
        <v>3.9524999999999997</v>
      </c>
      <c r="CG52" s="51">
        <f>'LINEST VARS'!$U$54+'LINEST VARS'!$T$54*(8)+'LINEST VARS'!$S$54*(8)+'LINEST VARS'!$R$54*($CG$32)+'LINEST VARS'!$Q$54*($BX52)+'LINEST VARS'!$P$54*(12.73)+'LINEST VARS'!$O$54*(8^2)+'LINEST VARS'!$N$54*(8^2)+'LINEST VARS'!$M$54*($CG$32^2)+'LINEST VARS'!$L$54*($BX52^2)+'LINEST VARS'!$K$54*(12.73^2)+'LINEST VARS'!$J$54*(8*8)+'LINEST VARS'!$I$54*(8*$CG$32)+'LINEST VARS'!$H$54*(8*$BX52)+'LINEST VARS'!$G$54*(8*12.73)+'LINEST VARS'!$F$54*(8*$CG$32)+'LINEST VARS'!$E$54*(8*$BX52)+'LINEST VARS'!$D$54*(8*12.73)+'LINEST VARS'!$C$54*($CG$32*$BX52)+'LINEST VARS'!$B$54*($CG$32*12.73)+'LINEST VARS'!$A$54*($BX52*12.73)</f>
        <v>3.9524999999999997</v>
      </c>
      <c r="CH52" s="51">
        <f>'LINEST VARS'!$U$54+'LINEST VARS'!$T$54*(8)+'LINEST VARS'!$S$54*(8)+'LINEST VARS'!$R$54*($CH$32)+'LINEST VARS'!$Q$54*($BX52)+'LINEST VARS'!$P$54*(12.73)+'LINEST VARS'!$O$54*(8^2)+'LINEST VARS'!$N$54*(8^2)+'LINEST VARS'!$M$54*($CH$32^2)+'LINEST VARS'!$L$54*($BX52^2)+'LINEST VARS'!$K$54*(12.73^2)+'LINEST VARS'!$J$54*(8*8)+'LINEST VARS'!$I$54*(8*$CH$32)+'LINEST VARS'!$H$54*(8*$BX52)+'LINEST VARS'!$G$54*(8*12.73)+'LINEST VARS'!$F$54*(8*$CH$32)+'LINEST VARS'!$E$54*(8*$BX52)+'LINEST VARS'!$D$54*(8*12.73)+'LINEST VARS'!$C$54*($CH$32*$BX52)+'LINEST VARS'!$B$54*($CH$32*12.73)+'LINEST VARS'!$A$54*($BX52*12.73)</f>
        <v>3.9524999999999997</v>
      </c>
      <c r="CI52" s="51">
        <f>'LINEST VARS'!$U$54+'LINEST VARS'!$T$54*(8)+'LINEST VARS'!$S$54*(8)+'LINEST VARS'!$R$54*($CI$32)+'LINEST VARS'!$Q$54*($BX52)+'LINEST VARS'!$P$54*(12.73)+'LINEST VARS'!$O$54*(8^2)+'LINEST VARS'!$N$54*(8^2)+'LINEST VARS'!$M$54*($CI$32^2)+'LINEST VARS'!$L$54*($BX52^2)+'LINEST VARS'!$K$54*(12.73^2)+'LINEST VARS'!$J$54*(8*8)+'LINEST VARS'!$I$54*(8*$CI$32)+'LINEST VARS'!$H$54*(8*$BX52)+'LINEST VARS'!$G$54*(8*12.73)+'LINEST VARS'!$F$54*(8*$CI$32)+'LINEST VARS'!$E$54*(8*$BX52)+'LINEST VARS'!$D$54*(8*12.73)+'LINEST VARS'!$C$54*($CI$32*$BX52)+'LINEST VARS'!$B$54*($CI$32*12.73)+'LINEST VARS'!$A$54*($BX52*12.73)</f>
        <v>3.9524999999999997</v>
      </c>
      <c r="CJ52" s="51">
        <f>'LINEST VARS'!$U$54+'LINEST VARS'!$T$54*(8)+'LINEST VARS'!$S$54*(8)+'LINEST VARS'!$R$54*($CJ$32)+'LINEST VARS'!$Q$54*($BX52)+'LINEST VARS'!$P$54*(12.73)+'LINEST VARS'!$O$54*(8^2)+'LINEST VARS'!$N$54*(8^2)+'LINEST VARS'!$M$54*($CJ$32^2)+'LINEST VARS'!$L$54*($BX52^2)+'LINEST VARS'!$K$54*(12.73^2)+'LINEST VARS'!$J$54*(8*8)+'LINEST VARS'!$I$54*(8*$CJ$32)+'LINEST VARS'!$H$54*(8*$BX52)+'LINEST VARS'!$G$54*(8*12.73)+'LINEST VARS'!$F$54*(8*$CJ$32)+'LINEST VARS'!$E$54*(8*$BX52)+'LINEST VARS'!$D$54*(8*12.73)+'LINEST VARS'!$C$54*($CJ$32*$BX52)+'LINEST VARS'!$B$54*($CJ$32*12.73)+'LINEST VARS'!$A$54*($BX52*12.73)</f>
        <v>3.9524999999999997</v>
      </c>
      <c r="CK52" s="51">
        <f>'LINEST VARS'!$U$54+'LINEST VARS'!$T$54*(8)+'LINEST VARS'!$S$54*(8)+'LINEST VARS'!$R$54*($CK$32)+'LINEST VARS'!$Q$54*($BX52)+'LINEST VARS'!$P$54*(12.73)+'LINEST VARS'!$O$54*(8^2)+'LINEST VARS'!$N$54*(8^2)+'LINEST VARS'!$M$54*($CK$32^2)+'LINEST VARS'!$L$54*($BX52^2)+'LINEST VARS'!$K$54*(12.73^2)+'LINEST VARS'!$J$54*(8*8)+'LINEST VARS'!$I$54*(8*$CK$32)+'LINEST VARS'!$H$54*(8*$BX52)+'LINEST VARS'!$G$54*(8*12.73)+'LINEST VARS'!$F$54*(8*$CK$32)+'LINEST VARS'!$E$54*(8*$BX52)+'LINEST VARS'!$D$54*(8*12.73)+'LINEST VARS'!$C$54*($CK$32*$BX52)+'LINEST VARS'!$B$54*($CK$32*12.73)+'LINEST VARS'!$A$54*($BX52*12.73)</f>
        <v>3.9524999999999997</v>
      </c>
      <c r="CL52" s="51">
        <f>'LINEST VARS'!$U$54+'LINEST VARS'!$T$54*(8)+'LINEST VARS'!$S$54*(8)+'LINEST VARS'!$R$54*($CL$32)+'LINEST VARS'!$Q$54*($BX52)+'LINEST VARS'!$P$54*(12.73)+'LINEST VARS'!$O$54*(8^2)+'LINEST VARS'!$N$54*(8^2)+'LINEST VARS'!$M$54*($CL$32^2)+'LINEST VARS'!$L$54*($BX52^2)+'LINEST VARS'!$K$54*(12.73^2)+'LINEST VARS'!$J$54*(8*8)+'LINEST VARS'!$I$54*(8*$CL$32)+'LINEST VARS'!$H$54*(8*$BX52)+'LINEST VARS'!$G$54*(8*12.73)+'LINEST VARS'!$F$54*(8*$CL$32)+'LINEST VARS'!$E$54*(8*$BX52)+'LINEST VARS'!$D$54*(8*12.73)+'LINEST VARS'!$C$54*($CL$32*$BX52)+'LINEST VARS'!$B$54*($CL$32*12.73)+'LINEST VARS'!$A$54*($BX52*12.73)</f>
        <v>3.9524999999999997</v>
      </c>
      <c r="CM52" s="51">
        <f>'LINEST VARS'!$U$54+'LINEST VARS'!$T$54*(8)+'LINEST VARS'!$S$54*(8)+'LINEST VARS'!$R$54*($CM$32)+'LINEST VARS'!$Q$54*($BX52)+'LINEST VARS'!$P$54*(12.73)+'LINEST VARS'!$O$54*(8^2)+'LINEST VARS'!$N$54*(8^2)+'LINEST VARS'!$M$54*($CM$32^2)+'LINEST VARS'!$L$54*($BX52^2)+'LINEST VARS'!$K$54*(12.73^2)+'LINEST VARS'!$J$54*(8*8)+'LINEST VARS'!$I$54*(8*$CM$32)+'LINEST VARS'!$H$54*(8*$BX52)+'LINEST VARS'!$G$54*(8*12.73)+'LINEST VARS'!$F$54*(8*$CM$32)+'LINEST VARS'!$E$54*(8*$BX52)+'LINEST VARS'!$D$54*(8*12.73)+'LINEST VARS'!$C$54*($CM$32*$BX52)+'LINEST VARS'!$B$54*($CM$32*12.73)+'LINEST VARS'!$A$54*($BX52*12.73)</f>
        <v>3.9524999999999997</v>
      </c>
      <c r="CN52" s="51">
        <f>'LINEST VARS'!$U$54+'LINEST VARS'!$T$54*(8)+'LINEST VARS'!$S$54*(8)+'LINEST VARS'!$R$54*($CN$32)+'LINEST VARS'!$Q$54*($BX52)+'LINEST VARS'!$P$54*(12.73)+'LINEST VARS'!$O$54*(8^2)+'LINEST VARS'!$N$54*(8^2)+'LINEST VARS'!$M$54*($CN$32^2)+'LINEST VARS'!$L$54*($BX52^2)+'LINEST VARS'!$K$54*(12.73^2)+'LINEST VARS'!$J$54*(8*8)+'LINEST VARS'!$I$54*(8*$CN$32)+'LINEST VARS'!$H$54*(8*$BX52)+'LINEST VARS'!$G$54*(8*12.73)+'LINEST VARS'!$F$54*(8*$CN$32)+'LINEST VARS'!$E$54*(8*$BX52)+'LINEST VARS'!$D$54*(8*12.73)+'LINEST VARS'!$C$54*($CN$32*$BX52)+'LINEST VARS'!$B$54*($CN$32*12.73)+'LINEST VARS'!$A$54*($BX52*12.73)</f>
        <v>3.9524999999999997</v>
      </c>
      <c r="CO52" s="51">
        <f>'LINEST VARS'!$U$54+'LINEST VARS'!$T$54*(8)+'LINEST VARS'!$S$54*(8)+'LINEST VARS'!$R$54*($CO$32)+'LINEST VARS'!$Q$54*($BX52)+'LINEST VARS'!$P$54*(12.73)+'LINEST VARS'!$O$54*(8^2)+'LINEST VARS'!$N$54*(8^2)+'LINEST VARS'!$M$54*($CO$32^2)+'LINEST VARS'!$L$54*($BX52^2)+'LINEST VARS'!$K$54*(12.73^2)+'LINEST VARS'!$J$54*(8*8)+'LINEST VARS'!$I$54*(8*$CO$32)+'LINEST VARS'!$H$54*(8*$BX52)+'LINEST VARS'!$G$54*(8*12.73)+'LINEST VARS'!$F$54*(8*$CO$32)+'LINEST VARS'!$E$54*(8*$BX52)+'LINEST VARS'!$D$54*(8*12.73)+'LINEST VARS'!$C$54*($CO$32*$BX52)+'LINEST VARS'!$B$54*($CO$32*12.73)+'LINEST VARS'!$A$54*($BX52*12.73)</f>
        <v>3.9524999999999997</v>
      </c>
      <c r="CP52" s="51">
        <f>'LINEST VARS'!$U$54+'LINEST VARS'!$T$54*(8)+'LINEST VARS'!$S$54*(8)+'LINEST VARS'!$R$54*($CP$32)+'LINEST VARS'!$Q$54*($BX52)+'LINEST VARS'!$P$54*(12.73)+'LINEST VARS'!$O$54*(8^2)+'LINEST VARS'!$N$54*(8^2)+'LINEST VARS'!$M$54*($CP$32^2)+'LINEST VARS'!$L$54*($BX52^2)+'LINEST VARS'!$K$54*(12.73^2)+'LINEST VARS'!$J$54*(8*8)+'LINEST VARS'!$I$54*(8*$CP$32)+'LINEST VARS'!$H$54*(8*$BX52)+'LINEST VARS'!$G$54*(8*12.73)+'LINEST VARS'!$F$54*(8*$CP$32)+'LINEST VARS'!$E$54*(8*$BX52)+'LINEST VARS'!$D$54*(8*12.73)+'LINEST VARS'!$C$54*($CP$32*$BX52)+'LINEST VARS'!$B$54*($CP$32*12.73)+'LINEST VARS'!$A$54*($BX52*12.73)</f>
        <v>3.9524999999999997</v>
      </c>
      <c r="CQ52" s="51">
        <f>'LINEST VARS'!$U$54+'LINEST VARS'!$T$54*(8)+'LINEST VARS'!$S$54*(8)+'LINEST VARS'!$R$54*($CQ$32)+'LINEST VARS'!$Q$54*($BX52)+'LINEST VARS'!$P$54*(12.73)+'LINEST VARS'!$O$54*(8^2)+'LINEST VARS'!$N$54*(8^2)+'LINEST VARS'!$M$54*($CQ$32^2)+'LINEST VARS'!$L$54*($BX52^2)+'LINEST VARS'!$K$54*(12.73^2)+'LINEST VARS'!$J$54*(8*8)+'LINEST VARS'!$I$54*(8*$CQ$32)+'LINEST VARS'!$H$54*(8*$BX52)+'LINEST VARS'!$G$54*(8*12.73)+'LINEST VARS'!$F$54*(8*$CQ$32)+'LINEST VARS'!$E$54*(8*$BX52)+'LINEST VARS'!$D$54*(8*12.73)+'LINEST VARS'!$C$54*($CQ$32*$BX52)+'LINEST VARS'!$B$54*($CQ$32*12.73)+'LINEST VARS'!$A$54*($BX52*12.73)</f>
        <v>3.9524999999999997</v>
      </c>
      <c r="CR52" s="51">
        <f>'LINEST VARS'!$U$54+'LINEST VARS'!$T$54*(8)+'LINEST VARS'!$S$54*(8)+'LINEST VARS'!$R$54*($CR$32)+'LINEST VARS'!$Q$54*($BX52)+'LINEST VARS'!$P$54*(12.73)+'LINEST VARS'!$O$54*(8^2)+'LINEST VARS'!$N$54*(8^2)+'LINEST VARS'!$M$54*($CR$32^2)+'LINEST VARS'!$L$54*($BX52^2)+'LINEST VARS'!$K$54*(12.73^2)+'LINEST VARS'!$J$54*(8*8)+'LINEST VARS'!$I$54*(8*$CR$32)+'LINEST VARS'!$H$54*(8*$BX52)+'LINEST VARS'!$G$54*(8*12.73)+'LINEST VARS'!$F$54*(8*$CR$32)+'LINEST VARS'!$E$54*(8*$BX52)+'LINEST VARS'!$D$54*(8*12.73)+'LINEST VARS'!$C$54*($CR$32*$BX52)+'LINEST VARS'!$B$54*($CR$32*12.73)+'LINEST VARS'!$A$54*($BX52*12.73)</f>
        <v>3.9524999999999997</v>
      </c>
      <c r="CS52" s="52">
        <f>'LINEST VARS'!$U$54+'LINEST VARS'!$T$54*(8)+'LINEST VARS'!$S$54*(8)+'LINEST VARS'!$R$54*($CS$32)+'LINEST VARS'!$Q$54*($BX52)+'LINEST VARS'!$P$54*(12.73)+'LINEST VARS'!$O$54*(8^2)+'LINEST VARS'!$N$54*(8^2)+'LINEST VARS'!$M$54*($CS$32^2)+'LINEST VARS'!$L$54*($BX52^2)+'LINEST VARS'!$K$54*(12.73^2)+'LINEST VARS'!$J$54*(8*8)+'LINEST VARS'!$I$54*(8*$CS$32)+'LINEST VARS'!$H$54*(8*$BX52)+'LINEST VARS'!$G$54*(8*12.73)+'LINEST VARS'!$F$54*(8*$CS$32)+'LINEST VARS'!$E$54*(8*$BX52)+'LINEST VARS'!$D$54*(8*12.73)+'LINEST VARS'!$C$54*($CS$32*$BX52)+'LINEST VARS'!$B$54*($CS$32*12.73)+'LINEST VARS'!$A$54*($BX52*12.73)</f>
        <v>3.9524999999999997</v>
      </c>
      <c r="CX52" s="45">
        <v>24.6905</v>
      </c>
      <c r="CY52" s="51">
        <f>'LINEST VARS'!$U$52+'LINEST VARS'!$T$52*(8)+'LINEST VARS'!$S$52*(8)+'LINEST VARS'!$R$52*($CY$32)+'LINEST VARS'!$Q$52*(0.5)+'LINEST VARS'!$P$52*($CX52)+'LINEST VARS'!$O$52*(8^2)+'LINEST VARS'!$N$52*(8^2)+'LINEST VARS'!$M$52*($CY$32^2)+'LINEST VARS'!$L$52*(0.5^2)+'LINEST VARS'!$K$52*($CX52^2)+'LINEST VARS'!$J$52*(8*8)+'LINEST VARS'!$I$52*(8*$CY$32)+'LINEST VARS'!$H$52*(8*0.5)+'LINEST VARS'!$G$52*(8*$CX52)+'LINEST VARS'!$F$52*(8*$CY$32)+'LINEST VARS'!$E$52*(8*0.5)+'LINEST VARS'!$D$52*(8*$CX52)+'LINEST VARS'!$C$52*($CY$32*0.5)+'LINEST VARS'!$B$52*($CY$32*$CX52)+'LINEST VARS'!$A$52*(0.5*$CX52)</f>
        <v>4.4499999999999984</v>
      </c>
      <c r="CZ52" s="51">
        <f>'LINEST VARS'!$U$52+'LINEST VARS'!$T$52*(8)+'LINEST VARS'!$S$52*(8)+'LINEST VARS'!$R$52*($CZ$32)+'LINEST VARS'!$Q$52*(0.5)+'LINEST VARS'!$P$52*($CX52)+'LINEST VARS'!$O$52*(8^2)+'LINEST VARS'!$N$52*(8^2)+'LINEST VARS'!$M$52*($CZ$32^2)+'LINEST VARS'!$L$52*(0.5^2)+'LINEST VARS'!$K$52*($CX52^2)+'LINEST VARS'!$J$52*(8*8)+'LINEST VARS'!$I$52*(8*$CZ$32)+'LINEST VARS'!$H$52*(8*0.5)+'LINEST VARS'!$G$52*(8*$CX52)+'LINEST VARS'!$F$52*(8*$CZ$32)+'LINEST VARS'!$E$52*(8*0.5)+'LINEST VARS'!$D$52*(8*$CX52)+'LINEST VARS'!$C$52*($CZ$32*0.5)+'LINEST VARS'!$B$52*($CZ$32*$CX52)+'LINEST VARS'!$A$52*(0.5*$CX52)</f>
        <v>4.4499999999999984</v>
      </c>
      <c r="DA52" s="51">
        <f>'LINEST VARS'!$U$52+'LINEST VARS'!$T$52*(8)+'LINEST VARS'!$S$52*(8)+'LINEST VARS'!$R$52*($DA$32)+'LINEST VARS'!$Q$52*(0.5)+'LINEST VARS'!$P$52*($CX52)+'LINEST VARS'!$O$52*(8^2)+'LINEST VARS'!$N$52*(8^2)+'LINEST VARS'!$M$52*($DA$32^2)+'LINEST VARS'!$L$52*(0.5^2)+'LINEST VARS'!$K$52*($CX52^2)+'LINEST VARS'!$J$52*(8*8)+'LINEST VARS'!$I$52*(8*$DA$32)+'LINEST VARS'!$H$52*(8*0.5)+'LINEST VARS'!$G$52*(8*$CX52)+'LINEST VARS'!$F$52*(8*$DA$32)+'LINEST VARS'!$E$52*(8*0.5)+'LINEST VARS'!$D$52*(8*$CX52)+'LINEST VARS'!$C$52*($DA$32*0.5)+'LINEST VARS'!$B$52*($DA$32*$CX52)+'LINEST VARS'!$A$52*(0.5*$CX52)</f>
        <v>4.4499999999999984</v>
      </c>
      <c r="DB52" s="51">
        <f>'LINEST VARS'!$U$52+'LINEST VARS'!$T$52*(8)+'LINEST VARS'!$S$52*(8)+'LINEST VARS'!$R$52*($DB$32)+'LINEST VARS'!$Q$52*(0.5)+'LINEST VARS'!$P$52*($CX52)+'LINEST VARS'!$O$52*(8^2)+'LINEST VARS'!$N$52*(8^2)+'LINEST VARS'!$M$52*($DB$32^2)+'LINEST VARS'!$L$52*(0.5^2)+'LINEST VARS'!$K$52*($CX52^2)+'LINEST VARS'!$J$52*(8*8)+'LINEST VARS'!$I$52*(8*$DB$32)+'LINEST VARS'!$H$52*(8*0.5)+'LINEST VARS'!$G$52*(8*$CX52)+'LINEST VARS'!$F$52*(8*$DB$32)+'LINEST VARS'!$E$52*(8*0.5)+'LINEST VARS'!$D$52*(8*$CX52)+'LINEST VARS'!$C$52*($DB$32*0.5)+'LINEST VARS'!$B$52*($DB$32*$CX52)+'LINEST VARS'!$A$52*(0.5*$CX52)</f>
        <v>4.4499999999999984</v>
      </c>
      <c r="DC52" s="51">
        <f>'LINEST VARS'!$U$52+'LINEST VARS'!$T$52*(8)+'LINEST VARS'!$S$52*(8)+'LINEST VARS'!$R$52*($DC$32)+'LINEST VARS'!$Q$52*(0.5)+'LINEST VARS'!$P$52*($CX52)+'LINEST VARS'!$O$52*(8^2)+'LINEST VARS'!$N$52*(8^2)+'LINEST VARS'!$M$52*($DC$32^2)+'LINEST VARS'!$L$52*(0.5^2)+'LINEST VARS'!$K$52*($CX52^2)+'LINEST VARS'!$J$52*(8*8)+'LINEST VARS'!$I$52*(8*$DC$32)+'LINEST VARS'!$H$52*(8*0.5)+'LINEST VARS'!$G$52*(8*$CX52)+'LINEST VARS'!$F$52*(8*$DC$32)+'LINEST VARS'!$E$52*(8*0.5)+'LINEST VARS'!$D$52*(8*$CX52)+'LINEST VARS'!$C$52*($DC$32*0.5)+'LINEST VARS'!$B$52*($DC$32*$CX52)+'LINEST VARS'!$A$52*(0.5*$CX52)</f>
        <v>4.4499999999999984</v>
      </c>
      <c r="DD52" s="51">
        <f>'LINEST VARS'!$U$52+'LINEST VARS'!$T$52*(8)+'LINEST VARS'!$S$52*(8)+'LINEST VARS'!$R$52*($DD$32)+'LINEST VARS'!$Q$52*(0.5)+'LINEST VARS'!$P$52*($CX52)+'LINEST VARS'!$O$52*(8^2)+'LINEST VARS'!$N$52*(8^2)+'LINEST VARS'!$M$52*($DD$32^2)+'LINEST VARS'!$L$52*(0.5^2)+'LINEST VARS'!$K$52*($CX52^2)+'LINEST VARS'!$J$52*(8*8)+'LINEST VARS'!$I$52*(8*$DD$32)+'LINEST VARS'!$H$52*(8*0.5)+'LINEST VARS'!$G$52*(8*$CX52)+'LINEST VARS'!$F$52*(8*$DD$32)+'LINEST VARS'!$E$52*(8*0.5)+'LINEST VARS'!$D$52*(8*$CX52)+'LINEST VARS'!$C$52*($DD$32*0.5)+'LINEST VARS'!$B$52*($DD$32*$CX52)+'LINEST VARS'!$A$52*(0.5*$CX52)</f>
        <v>4.4499999999999984</v>
      </c>
      <c r="DE52" s="51">
        <f>'LINEST VARS'!$U$52+'LINEST VARS'!$T$52*(8)+'LINEST VARS'!$S$52*(8)+'LINEST VARS'!$R$52*($DE$32)+'LINEST VARS'!$Q$52*(0.5)+'LINEST VARS'!$P$52*($CX52)+'LINEST VARS'!$O$52*(8^2)+'LINEST VARS'!$N$52*(8^2)+'LINEST VARS'!$M$52*($DE$32^2)+'LINEST VARS'!$L$52*(0.5^2)+'LINEST VARS'!$K$52*($CX52^2)+'LINEST VARS'!$J$52*(8*8)+'LINEST VARS'!$I$52*(8*$DE$32)+'LINEST VARS'!$H$52*(8*0.5)+'LINEST VARS'!$G$52*(8*$CX52)+'LINEST VARS'!$F$52*(8*$DE$32)+'LINEST VARS'!$E$52*(8*0.5)+'LINEST VARS'!$D$52*(8*$CX52)+'LINEST VARS'!$C$52*($DE$32*0.5)+'LINEST VARS'!$B$52*($DE$32*$CX52)+'LINEST VARS'!$A$52*(0.5*$CX52)</f>
        <v>4.4499999999999984</v>
      </c>
      <c r="DF52" s="51">
        <f>'LINEST VARS'!$U$52+'LINEST VARS'!$T$52*(8)+'LINEST VARS'!$S$52*(8)+'LINEST VARS'!$R$52*($DF$32)+'LINEST VARS'!$Q$52*(0.5)+'LINEST VARS'!$P$52*($CX52)+'LINEST VARS'!$O$52*(8^2)+'LINEST VARS'!$N$52*(8^2)+'LINEST VARS'!$M$52*($DF$32^2)+'LINEST VARS'!$L$52*(0.5^2)+'LINEST VARS'!$K$52*($CX52^2)+'LINEST VARS'!$J$52*(8*8)+'LINEST VARS'!$I$52*(8*$DF$32)+'LINEST VARS'!$H$52*(8*0.5)+'LINEST VARS'!$G$52*(8*$CX52)+'LINEST VARS'!$F$52*(8*$DF$32)+'LINEST VARS'!$E$52*(8*0.5)+'LINEST VARS'!$D$52*(8*$CX52)+'LINEST VARS'!$C$52*($DF$32*0.5)+'LINEST VARS'!$B$52*($DF$32*$CX52)+'LINEST VARS'!$A$52*(0.5*$CX52)</f>
        <v>4.4499999999999984</v>
      </c>
      <c r="DG52" s="51">
        <f>'LINEST VARS'!$U$52+'LINEST VARS'!$T$52*(8)+'LINEST VARS'!$S$52*(8)+'LINEST VARS'!$R$52*($DG$32)+'LINEST VARS'!$Q$52*(0.5)+'LINEST VARS'!$P$52*($CX52)+'LINEST VARS'!$O$52*(8^2)+'LINEST VARS'!$N$52*(8^2)+'LINEST VARS'!$M$52*($DG$32^2)+'LINEST VARS'!$L$52*(0.5^2)+'LINEST VARS'!$K$52*($CX52^2)+'LINEST VARS'!$J$52*(8*8)+'LINEST VARS'!$I$52*(8*$DG$32)+'LINEST VARS'!$H$52*(8*0.5)+'LINEST VARS'!$G$52*(8*$CX52)+'LINEST VARS'!$F$52*(8*$DG$32)+'LINEST VARS'!$E$52*(8*0.5)+'LINEST VARS'!$D$52*(8*$CX52)+'LINEST VARS'!$C$52*($DG$32*0.5)+'LINEST VARS'!$B$52*($DG$32*$CX52)+'LINEST VARS'!$A$52*(0.5*$CX52)</f>
        <v>4.4499999999999984</v>
      </c>
      <c r="DH52" s="51">
        <f>'LINEST VARS'!$U$52+'LINEST VARS'!$T$52*(8)+'LINEST VARS'!$S$52*(8)+'LINEST VARS'!$R$52*($DH$32)+'LINEST VARS'!$Q$52*(0.5)+'LINEST VARS'!$P$52*($CX52)+'LINEST VARS'!$O$52*(8^2)+'LINEST VARS'!$N$52*(8^2)+'LINEST VARS'!$M$52*($DH$32^2)+'LINEST VARS'!$L$52*(0.5^2)+'LINEST VARS'!$K$52*($CX52^2)+'LINEST VARS'!$J$52*(8*8)+'LINEST VARS'!$I$52*(8*$DH$32)+'LINEST VARS'!$H$52*(8*0.5)+'LINEST VARS'!$G$52*(8*$CX52)+'LINEST VARS'!$F$52*(8*$DH$32)+'LINEST VARS'!$E$52*(8*0.5)+'LINEST VARS'!$D$52*(8*$CX52)+'LINEST VARS'!$C$52*($DH$32*0.5)+'LINEST VARS'!$B$52*($DH$32*$CX52)+'LINEST VARS'!$A$52*(0.5*$CX52)</f>
        <v>4.4499999999999984</v>
      </c>
      <c r="DI52" s="51">
        <f>'LINEST VARS'!$U$52+'LINEST VARS'!$T$52*(8)+'LINEST VARS'!$S$52*(8)+'LINEST VARS'!$R$52*($DI$32)+'LINEST VARS'!$Q$52*(0.5)+'LINEST VARS'!$P$52*($CX52)+'LINEST VARS'!$O$52*(8^2)+'LINEST VARS'!$N$52*(8^2)+'LINEST VARS'!$M$52*($DI$32^2)+'LINEST VARS'!$L$52*(0.5^2)+'LINEST VARS'!$K$52*($CX52^2)+'LINEST VARS'!$J$52*(8*8)+'LINEST VARS'!$I$52*(8*$DI$32)+'LINEST VARS'!$H$52*(8*0.5)+'LINEST VARS'!$G$52*(8*$CX52)+'LINEST VARS'!$F$52*(8*$DI$32)+'LINEST VARS'!$E$52*(8*0.5)+'LINEST VARS'!$D$52*(8*$CX52)+'LINEST VARS'!$C$52*($DI$32*0.5)+'LINEST VARS'!$B$52*($DI$32*$CX52)+'LINEST VARS'!$A$52*(0.5*$CX52)</f>
        <v>4.4499999999999984</v>
      </c>
      <c r="DJ52" s="51">
        <f>'LINEST VARS'!$U$52+'LINEST VARS'!$T$52*(8)+'LINEST VARS'!$S$52*(8)+'LINEST VARS'!$R$52*($DJ$32)+'LINEST VARS'!$Q$52*(0.5)+'LINEST VARS'!$P$52*($CX52)+'LINEST VARS'!$O$52*(8^2)+'LINEST VARS'!$N$52*(8^2)+'LINEST VARS'!$M$52*($DJ$32^2)+'LINEST VARS'!$L$52*(0.5^2)+'LINEST VARS'!$K$52*($CX52^2)+'LINEST VARS'!$J$52*(8*8)+'LINEST VARS'!$I$52*(8*$DJ$32)+'LINEST VARS'!$H$52*(8*0.5)+'LINEST VARS'!$G$52*(8*$CX52)+'LINEST VARS'!$F$52*(8*$DJ$32)+'LINEST VARS'!$E$52*(8*0.5)+'LINEST VARS'!$D$52*(8*$CX52)+'LINEST VARS'!$C$52*($DJ$32*0.5)+'LINEST VARS'!$B$52*($DJ$32*$CX52)+'LINEST VARS'!$A$52*(0.5*$CX52)</f>
        <v>4.4499999999999984</v>
      </c>
      <c r="DK52" s="51">
        <f>'LINEST VARS'!$U$52+'LINEST VARS'!$T$52*(8)+'LINEST VARS'!$S$52*(8)+'LINEST VARS'!$R$52*($DK$32)+'LINEST VARS'!$Q$52*(0.5)+'LINEST VARS'!$P$52*($CX52)+'LINEST VARS'!$O$52*(8^2)+'LINEST VARS'!$N$52*(8^2)+'LINEST VARS'!$M$52*($DK$32^2)+'LINEST VARS'!$L$52*(0.5^2)+'LINEST VARS'!$K$52*($CX52^2)+'LINEST VARS'!$J$52*(8*8)+'LINEST VARS'!$I$52*(8*$DK$32)+'LINEST VARS'!$H$52*(8*0.5)+'LINEST VARS'!$G$52*(8*$CX52)+'LINEST VARS'!$F$52*(8*$DK$32)+'LINEST VARS'!$E$52*(8*0.5)+'LINEST VARS'!$D$52*(8*$CX52)+'LINEST VARS'!$C$52*($DK$32*0.5)+'LINEST VARS'!$B$52*($DK$32*$CX52)+'LINEST VARS'!$A$52*(0.5*$CX52)</f>
        <v>4.4499999999999984</v>
      </c>
      <c r="DL52" s="51">
        <f>'LINEST VARS'!$U$52+'LINEST VARS'!$T$52*(8)+'LINEST VARS'!$S$52*(8)+'LINEST VARS'!$R$52*($DL$32)+'LINEST VARS'!$Q$52*(0.5)+'LINEST VARS'!$P$52*($CX52)+'LINEST VARS'!$O$52*(8^2)+'LINEST VARS'!$N$52*(8^2)+'LINEST VARS'!$M$52*($DL$32^2)+'LINEST VARS'!$L$52*(0.5^2)+'LINEST VARS'!$K$52*($CX52^2)+'LINEST VARS'!$J$52*(8*8)+'LINEST VARS'!$I$52*(8*$DL$32)+'LINEST VARS'!$H$52*(8*0.5)+'LINEST VARS'!$G$52*(8*$CX52)+'LINEST VARS'!$F$52*(8*$DL$32)+'LINEST VARS'!$E$52*(8*0.5)+'LINEST VARS'!$D$52*(8*$CX52)+'LINEST VARS'!$C$52*($DL$32*0.5)+'LINEST VARS'!$B$52*($DL$32*$CX52)+'LINEST VARS'!$A$52*(0.5*$CX52)</f>
        <v>4.4499999999999984</v>
      </c>
      <c r="DM52" s="51">
        <f>'LINEST VARS'!$U$52+'LINEST VARS'!$T$52*(8)+'LINEST VARS'!$S$52*(8)+'LINEST VARS'!$R$52*($DM$32)+'LINEST VARS'!$Q$52*(0.5)+'LINEST VARS'!$P$52*($CX52)+'LINEST VARS'!$O$52*(8^2)+'LINEST VARS'!$N$52*(8^2)+'LINEST VARS'!$M$52*($DM$32^2)+'LINEST VARS'!$L$52*(0.5^2)+'LINEST VARS'!$K$52*($CX52^2)+'LINEST VARS'!$J$52*(8*8)+'LINEST VARS'!$I$52*(8*$DM$32)+'LINEST VARS'!$H$52*(8*0.5)+'LINEST VARS'!$G$52*(8*$CX52)+'LINEST VARS'!$F$52*(8*$DM$32)+'LINEST VARS'!$E$52*(8*0.5)+'LINEST VARS'!$D$52*(8*$CX52)+'LINEST VARS'!$C$52*($DM$32*0.5)+'LINEST VARS'!$B$52*($DM$32*$CX52)+'LINEST VARS'!$A$52*(0.5*$CX52)</f>
        <v>4.4499999999999984</v>
      </c>
      <c r="DN52" s="51">
        <f>'LINEST VARS'!$U$52+'LINEST VARS'!$T$52*(8)+'LINEST VARS'!$S$52*(8)+'LINEST VARS'!$R$52*($DN$32)+'LINEST VARS'!$Q$52*(0.5)+'LINEST VARS'!$P$52*($CX52)+'LINEST VARS'!$O$52*(8^2)+'LINEST VARS'!$N$52*(8^2)+'LINEST VARS'!$M$52*($DN$32^2)+'LINEST VARS'!$L$52*(0.5^2)+'LINEST VARS'!$K$52*($CX52^2)+'LINEST VARS'!$J$52*(8*8)+'LINEST VARS'!$I$52*(8*$DN$32)+'LINEST VARS'!$H$52*(8*0.5)+'LINEST VARS'!$G$52*(8*$CX52)+'LINEST VARS'!$F$52*(8*$DN$32)+'LINEST VARS'!$E$52*(8*0.5)+'LINEST VARS'!$D$52*(8*$CX52)+'LINEST VARS'!$C$52*($DN$32*0.5)+'LINEST VARS'!$B$52*($DN$32*$CX52)+'LINEST VARS'!$A$52*(0.5*$CX52)</f>
        <v>4.4499999999999984</v>
      </c>
      <c r="DO52" s="51">
        <f>'LINEST VARS'!$U$52+'LINEST VARS'!$T$52*(8)+'LINEST VARS'!$S$52*(8)+'LINEST VARS'!$R$52*($DO$32)+'LINEST VARS'!$Q$52*(0.5)+'LINEST VARS'!$P$52*($CX52)+'LINEST VARS'!$O$52*(8^2)+'LINEST VARS'!$N$52*(8^2)+'LINEST VARS'!$M$52*($DO$32^2)+'LINEST VARS'!$L$52*(0.5^2)+'LINEST VARS'!$K$52*($CX52^2)+'LINEST VARS'!$J$52*(8*8)+'LINEST VARS'!$I$52*(8*$DO$32)+'LINEST VARS'!$H$52*(8*0.5)+'LINEST VARS'!$G$52*(8*$CX52)+'LINEST VARS'!$F$52*(8*$DO$32)+'LINEST VARS'!$E$52*(8*0.5)+'LINEST VARS'!$D$52*(8*$CX52)+'LINEST VARS'!$C$52*($DO$32*0.5)+'LINEST VARS'!$B$52*($DO$32*$CX52)+'LINEST VARS'!$A$52*(0.5*$CX52)</f>
        <v>4.4499999999999984</v>
      </c>
      <c r="DP52" s="51">
        <f>'LINEST VARS'!$U$52+'LINEST VARS'!$T$52*(8)+'LINEST VARS'!$S$52*(8)+'LINEST VARS'!$R$52*($DP$32)+'LINEST VARS'!$Q$52*(0.5)+'LINEST VARS'!$P$52*($CX52)+'LINEST VARS'!$O$52*(8^2)+'LINEST VARS'!$N$52*(8^2)+'LINEST VARS'!$M$52*($DP$32^2)+'LINEST VARS'!$L$52*(0.5^2)+'LINEST VARS'!$K$52*($CX52^2)+'LINEST VARS'!$J$52*(8*8)+'LINEST VARS'!$I$52*(8*$DP$32)+'LINEST VARS'!$H$52*(8*0.5)+'LINEST VARS'!$G$52*(8*$CX52)+'LINEST VARS'!$F$52*(8*$DP$32)+'LINEST VARS'!$E$52*(8*0.5)+'LINEST VARS'!$D$52*(8*$CX52)+'LINEST VARS'!$C$52*($DP$32*0.5)+'LINEST VARS'!$B$52*($DP$32*$CX52)+'LINEST VARS'!$A$52*(0.5*$CX52)</f>
        <v>4.4499999999999984</v>
      </c>
      <c r="DQ52" s="51">
        <f>'LINEST VARS'!$U$52+'LINEST VARS'!$T$52*(8)+'LINEST VARS'!$S$52*(8)+'LINEST VARS'!$R$52*($DQ$32)+'LINEST VARS'!$Q$52*(0.5)+'LINEST VARS'!$P$52*($CX52)+'LINEST VARS'!$O$52*(8^2)+'LINEST VARS'!$N$52*(8^2)+'LINEST VARS'!$M$52*($DQ$32^2)+'LINEST VARS'!$L$52*(0.5^2)+'LINEST VARS'!$K$52*($CX52^2)+'LINEST VARS'!$J$52*(8*8)+'LINEST VARS'!$I$52*(8*$DQ$32)+'LINEST VARS'!$H$52*(8*0.5)+'LINEST VARS'!$G$52*(8*$CX52)+'LINEST VARS'!$F$52*(8*$DQ$32)+'LINEST VARS'!$E$52*(8*0.5)+'LINEST VARS'!$D$52*(8*$CX52)+'LINEST VARS'!$C$52*($DQ$32*0.5)+'LINEST VARS'!$B$52*($DQ$32*$CX52)+'LINEST VARS'!$A$52*(0.5*$CX52)</f>
        <v>4.4499999999999984</v>
      </c>
      <c r="DR52" s="51">
        <f>'LINEST VARS'!$U$52+'LINEST VARS'!$T$52*(8)+'LINEST VARS'!$S$52*(8)+'LINEST VARS'!$R$52*($DR$32)+'LINEST VARS'!$Q$52*(0.5)+'LINEST VARS'!$P$52*($CX52)+'LINEST VARS'!$O$52*(8^2)+'LINEST VARS'!$N$52*(8^2)+'LINEST VARS'!$M$52*($DR$32^2)+'LINEST VARS'!$L$52*(0.5^2)+'LINEST VARS'!$K$52*($CX52^2)+'LINEST VARS'!$J$52*(8*8)+'LINEST VARS'!$I$52*(8*$DR$32)+'LINEST VARS'!$H$52*(8*0.5)+'LINEST VARS'!$G$52*(8*$CX52)+'LINEST VARS'!$F$52*(8*$DR$32)+'LINEST VARS'!$E$52*(8*0.5)+'LINEST VARS'!$D$52*(8*$CX52)+'LINEST VARS'!$C$52*($DR$32*0.5)+'LINEST VARS'!$B$52*($DR$32*$CX52)+'LINEST VARS'!$A$52*(0.5*$CX52)</f>
        <v>4.4499999999999984</v>
      </c>
      <c r="DS52" s="52">
        <f>'LINEST VARS'!$U$52+'LINEST VARS'!$T$52*(8)+'LINEST VARS'!$S$52*(8)+'LINEST VARS'!$R$52*($DS$32)+'LINEST VARS'!$Q$52*(0.5)+'LINEST VARS'!$P$52*($CX52)+'LINEST VARS'!$O$52*(8^2)+'LINEST VARS'!$N$52*(8^2)+'LINEST VARS'!$M$52*($DS$32^2)+'LINEST VARS'!$L$52*(0.5^2)+'LINEST VARS'!$K$52*($CX52^2)+'LINEST VARS'!$J$52*(8*8)+'LINEST VARS'!$I$52*(8*$DS$32)+'LINEST VARS'!$H$52*(8*0.5)+'LINEST VARS'!$G$52*(8*$CX52)+'LINEST VARS'!$F$52*(8*$DS$32)+'LINEST VARS'!$E$52*(8*0.5)+'LINEST VARS'!$D$52*(8*$CX52)+'LINEST VARS'!$C$52*($DS$32*0.5)+'LINEST VARS'!$B$52*($DS$32*$CX52)+'LINEST VARS'!$A$52*(0.5*$CX52)</f>
        <v>4.4499999999999984</v>
      </c>
      <c r="DV52" s="45">
        <v>24.6905</v>
      </c>
      <c r="DW52" s="51">
        <f>'LINEST VARS'!$U$54+'LINEST VARS'!$T$54*(8)+'LINEST VARS'!$S$54*(8)+'LINEST VARS'!$R$54*($DW$32)+'LINEST VARS'!$Q$54*(0.5)+'LINEST VARS'!$P$54*($DV52)+'LINEST VARS'!$O$54*(8^2)+'LINEST VARS'!$N$54*(8^2)+'LINEST VARS'!$M$54*($DW$32^2)+'LINEST VARS'!$L$54*(0.5^2)+'LINEST VARS'!$K$54*($DV52^2)+'LINEST VARS'!$J$54*(8*8)+'LINEST VARS'!$I$54*(8*$DW$32)+'LINEST VARS'!$H$54*(8*0.5)+'LINEST VARS'!$G$54*(8*$DV52)+'LINEST VARS'!$F$54*(8*$DW$32)+'LINEST VARS'!$E$54*(8*0.5)+'LINEST VARS'!$D$54*(8*$DV52)+'LINEST VARS'!$C$54*($DW$32*0.5)+'LINEST VARS'!$B$54*($DW$32*$DV52)+'LINEST VARS'!$A$54*(0.5*$DV52)</f>
        <v>3.9749999999999996</v>
      </c>
      <c r="DX52" s="51">
        <f>'LINEST VARS'!$U$54+'LINEST VARS'!$T$54*(8)+'LINEST VARS'!$S$54*(8)+'LINEST VARS'!$R$54*($DX$32)+'LINEST VARS'!$Q$54*(0.5)+'LINEST VARS'!$P$54*($DV52)+'LINEST VARS'!$O$54*(8^2)+'LINEST VARS'!$N$54*(8^2)+'LINEST VARS'!$M$54*($DX$32^2)+'LINEST VARS'!$L$54*(0.5^2)+'LINEST VARS'!$K$54*($DV52^2)+'LINEST VARS'!$J$54*(8*8)+'LINEST VARS'!$I$54*(8*$DX$32)+'LINEST VARS'!$H$54*(8*0.5)+'LINEST VARS'!$G$54*(8*$DV52)+'LINEST VARS'!$F$54*(8*$DX$32)+'LINEST VARS'!$E$54*(8*0.5)+'LINEST VARS'!$D$54*(8*$DV52)+'LINEST VARS'!$C$54*($DX$32*0.5)+'LINEST VARS'!$B$54*($DX$32*$DV52)+'LINEST VARS'!$A$54*(0.5*$DV52)</f>
        <v>3.9749999999999996</v>
      </c>
      <c r="DY52" s="51">
        <f>'LINEST VARS'!$U$54+'LINEST VARS'!$T$54*(8)+'LINEST VARS'!$S$54*(8)+'LINEST VARS'!$R$54*($DY$32)+'LINEST VARS'!$Q$54*(0.5)+'LINEST VARS'!$P$54*($DV52)+'LINEST VARS'!$O$54*(8^2)+'LINEST VARS'!$N$54*(8^2)+'LINEST VARS'!$M$54*($DY$32^2)+'LINEST VARS'!$L$54*(0.5^2)+'LINEST VARS'!$K$54*($DV52^2)+'LINEST VARS'!$J$54*(8*8)+'LINEST VARS'!$I$54*(8*$DY$32)+'LINEST VARS'!$H$54*(8*0.5)+'LINEST VARS'!$G$54*(8*$DV52)+'LINEST VARS'!$F$54*(8*$DY$32)+'LINEST VARS'!$E$54*(8*0.5)+'LINEST VARS'!$D$54*(8*$DV52)+'LINEST VARS'!$C$54*($DY$32*0.5)+'LINEST VARS'!$B$54*($DY$32*$DV52)+'LINEST VARS'!$A$54*(0.5*$DV52)</f>
        <v>3.9749999999999996</v>
      </c>
      <c r="DZ52" s="51">
        <f>'LINEST VARS'!$U$54+'LINEST VARS'!$T$54*(8)+'LINEST VARS'!$S$54*(8)+'LINEST VARS'!$R$54*($DZ$32)+'LINEST VARS'!$Q$54*(0.5)+'LINEST VARS'!$P$54*($DV52)+'LINEST VARS'!$O$54*(8^2)+'LINEST VARS'!$N$54*(8^2)+'LINEST VARS'!$M$54*($DZ$32^2)+'LINEST VARS'!$L$54*(0.5^2)+'LINEST VARS'!$K$54*($DV52^2)+'LINEST VARS'!$J$54*(8*8)+'LINEST VARS'!$I$54*(8*$DZ$32)+'LINEST VARS'!$H$54*(8*0.5)+'LINEST VARS'!$G$54*(8*$DV52)+'LINEST VARS'!$F$54*(8*$DZ$32)+'LINEST VARS'!$E$54*(8*0.5)+'LINEST VARS'!$D$54*(8*$DV52)+'LINEST VARS'!$C$54*($DZ$32*0.5)+'LINEST VARS'!$B$54*($DZ$32*$DV52)+'LINEST VARS'!$A$54*(0.5*$DV52)</f>
        <v>3.9749999999999996</v>
      </c>
      <c r="EA52" s="51">
        <f>'LINEST VARS'!$U$54+'LINEST VARS'!$T$54*(8)+'LINEST VARS'!$S$54*(8)+'LINEST VARS'!$R$54*($EA$32)+'LINEST VARS'!$Q$54*(0.5)+'LINEST VARS'!$P$54*($DV52)+'LINEST VARS'!$O$54*(8^2)+'LINEST VARS'!$N$54*(8^2)+'LINEST VARS'!$M$54*($EA$32^2)+'LINEST VARS'!$L$54*(0.5^2)+'LINEST VARS'!$K$54*($DV52^2)+'LINEST VARS'!$J$54*(8*8)+'LINEST VARS'!$I$54*(8*$EA$32)+'LINEST VARS'!$H$54*(8*0.5)+'LINEST VARS'!$G$54*(8*$DV52)+'LINEST VARS'!$F$54*(8*$EA$32)+'LINEST VARS'!$E$54*(8*0.5)+'LINEST VARS'!$D$54*(8*$DV52)+'LINEST VARS'!$C$54*($EA$32*0.5)+'LINEST VARS'!$B$54*($EA$32*$DV52)+'LINEST VARS'!$A$54*(0.5*$DV52)</f>
        <v>3.9749999999999996</v>
      </c>
      <c r="EB52" s="51">
        <f>'LINEST VARS'!$U$54+'LINEST VARS'!$T$54*(8)+'LINEST VARS'!$S$54*(8)+'LINEST VARS'!$R$54*($EB$32)+'LINEST VARS'!$Q$54*(0.5)+'LINEST VARS'!$P$54*($DV52)+'LINEST VARS'!$O$54*(8^2)+'LINEST VARS'!$N$54*(8^2)+'LINEST VARS'!$M$54*($EB$32^2)+'LINEST VARS'!$L$54*(0.5^2)+'LINEST VARS'!$K$54*($DV52^2)+'LINEST VARS'!$J$54*(8*8)+'LINEST VARS'!$I$54*(8*$EB$32)+'LINEST VARS'!$H$54*(8*0.5)+'LINEST VARS'!$G$54*(8*$DV52)+'LINEST VARS'!$F$54*(8*$EB$32)+'LINEST VARS'!$E$54*(8*0.5)+'LINEST VARS'!$D$54*(8*$DV52)+'LINEST VARS'!$C$54*($EB$32*0.5)+'LINEST VARS'!$B$54*($EB$32*$DV52)+'LINEST VARS'!$A$54*(0.5*$DV52)</f>
        <v>3.9749999999999996</v>
      </c>
      <c r="EC52" s="51">
        <f>'LINEST VARS'!$U$54+'LINEST VARS'!$T$54*(8)+'LINEST VARS'!$S$54*(8)+'LINEST VARS'!$R$54*($EC$32)+'LINEST VARS'!$Q$54*(0.5)+'LINEST VARS'!$P$54*($DV52)+'LINEST VARS'!$O$54*(8^2)+'LINEST VARS'!$N$54*(8^2)+'LINEST VARS'!$M$54*($EC$32^2)+'LINEST VARS'!$L$54*(0.5^2)+'LINEST VARS'!$K$54*($DV52^2)+'LINEST VARS'!$J$54*(8*8)+'LINEST VARS'!$I$54*(8*$EC$32)+'LINEST VARS'!$H$54*(8*0.5)+'LINEST VARS'!$G$54*(8*$DV52)+'LINEST VARS'!$F$54*(8*$EC$32)+'LINEST VARS'!$E$54*(8*0.5)+'LINEST VARS'!$D$54*(8*$DV52)+'LINEST VARS'!$C$54*($EC$32*0.5)+'LINEST VARS'!$B$54*($EC$32*$DV52)+'LINEST VARS'!$A$54*(0.5*$DV52)</f>
        <v>3.9749999999999996</v>
      </c>
      <c r="ED52" s="51">
        <f>'LINEST VARS'!$U$54+'LINEST VARS'!$T$54*(8)+'LINEST VARS'!$S$54*(8)+'LINEST VARS'!$R$54*($ED$32)+'LINEST VARS'!$Q$54*(0.5)+'LINEST VARS'!$P$54*($DV52)+'LINEST VARS'!$O$54*(8^2)+'LINEST VARS'!$N$54*(8^2)+'LINEST VARS'!$M$54*($ED$32^2)+'LINEST VARS'!$L$54*(0.5^2)+'LINEST VARS'!$K$54*($DV52^2)+'LINEST VARS'!$J$54*(8*8)+'LINEST VARS'!$I$54*(8*$ED$32)+'LINEST VARS'!$H$54*(8*0.5)+'LINEST VARS'!$G$54*(8*$DV52)+'LINEST VARS'!$F$54*(8*$ED$32)+'LINEST VARS'!$E$54*(8*0.5)+'LINEST VARS'!$D$54*(8*$DV52)+'LINEST VARS'!$C$54*($ED$32*0.5)+'LINEST VARS'!$B$54*($ED$32*$DV52)+'LINEST VARS'!$A$54*(0.5*$DV52)</f>
        <v>3.9749999999999996</v>
      </c>
      <c r="EE52" s="51">
        <f>'LINEST VARS'!$U$54+'LINEST VARS'!$T$54*(8)+'LINEST VARS'!$S$54*(8)+'LINEST VARS'!$R$54*($EE$32)+'LINEST VARS'!$Q$54*(0.5)+'LINEST VARS'!$P$54*($DV52)+'LINEST VARS'!$O$54*(8^2)+'LINEST VARS'!$N$54*(8^2)+'LINEST VARS'!$M$54*($EE$32^2)+'LINEST VARS'!$L$54*(0.5^2)+'LINEST VARS'!$K$54*($DV52^2)+'LINEST VARS'!$J$54*(8*8)+'LINEST VARS'!$I$54*(8*$EE$32)+'LINEST VARS'!$H$54*(8*0.5)+'LINEST VARS'!$G$54*(8*$DV52)+'LINEST VARS'!$F$54*(8*$EE$32)+'LINEST VARS'!$E$54*(8*0.5)+'LINEST VARS'!$D$54*(8*$DV52)+'LINEST VARS'!$C$54*($EE$32*0.5)+'LINEST VARS'!$B$54*($EE$32*$DV52)+'LINEST VARS'!$A$54*(0.5*$DV52)</f>
        <v>3.9749999999999996</v>
      </c>
      <c r="EF52" s="51">
        <f>'LINEST VARS'!$U$54+'LINEST VARS'!$T$54*(8)+'LINEST VARS'!$S$54*(8)+'LINEST VARS'!$R$54*($EF$32)+'LINEST VARS'!$Q$54*(0.5)+'LINEST VARS'!$P$54*($DV52)+'LINEST VARS'!$O$54*(8^2)+'LINEST VARS'!$N$54*(8^2)+'LINEST VARS'!$M$54*($EF$32^2)+'LINEST VARS'!$L$54*(0.5^2)+'LINEST VARS'!$K$54*($DV52^2)+'LINEST VARS'!$J$54*(8*8)+'LINEST VARS'!$I$54*(8*$EF$32)+'LINEST VARS'!$H$54*(8*0.5)+'LINEST VARS'!$G$54*(8*$DV52)+'LINEST VARS'!$F$54*(8*$EF$32)+'LINEST VARS'!$E$54*(8*0.5)+'LINEST VARS'!$D$54*(8*$DV52)+'LINEST VARS'!$C$54*($EF$32*0.5)+'LINEST VARS'!$B$54*($EF$32*$DV52)+'LINEST VARS'!$A$54*(0.5*$DV52)</f>
        <v>3.9749999999999996</v>
      </c>
      <c r="EG52" s="51">
        <f>'LINEST VARS'!$U$54+'LINEST VARS'!$T$54*(8)+'LINEST VARS'!$S$54*(8)+'LINEST VARS'!$R$54*($EG$32)+'LINEST VARS'!$Q$54*(0.5)+'LINEST VARS'!$P$54*($DV52)+'LINEST VARS'!$O$54*(8^2)+'LINEST VARS'!$N$54*(8^2)+'LINEST VARS'!$M$54*($EG$32^2)+'LINEST VARS'!$L$54*(0.5^2)+'LINEST VARS'!$K$54*($DV52^2)+'LINEST VARS'!$J$54*(8*8)+'LINEST VARS'!$I$54*(8*$EG$32)+'LINEST VARS'!$H$54*(8*0.5)+'LINEST VARS'!$G$54*(8*$DV52)+'LINEST VARS'!$F$54*(8*$EG$32)+'LINEST VARS'!$E$54*(8*0.5)+'LINEST VARS'!$D$54*(8*$DV52)+'LINEST VARS'!$C$54*($EG$32*0.5)+'LINEST VARS'!$B$54*($EG$32*$DV52)+'LINEST VARS'!$A$54*(0.5*$DV52)</f>
        <v>3.9749999999999996</v>
      </c>
      <c r="EH52" s="51">
        <f>'LINEST VARS'!$U$54+'LINEST VARS'!$T$54*(8)+'LINEST VARS'!$S$54*(8)+'LINEST VARS'!$R$54*($EH$32)+'LINEST VARS'!$Q$54*(0.5)+'LINEST VARS'!$P$54*($DV52)+'LINEST VARS'!$O$54*(8^2)+'LINEST VARS'!$N$54*(8^2)+'LINEST VARS'!$M$54*($EH$32^2)+'LINEST VARS'!$L$54*(0.5^2)+'LINEST VARS'!$K$54*($DV52^2)+'LINEST VARS'!$J$54*(8*8)+'LINEST VARS'!$I$54*(8*$EH$32)+'LINEST VARS'!$H$54*(8*0.5)+'LINEST VARS'!$G$54*(8*$DV52)+'LINEST VARS'!$F$54*(8*$EH$32)+'LINEST VARS'!$E$54*(8*0.5)+'LINEST VARS'!$D$54*(8*$DV52)+'LINEST VARS'!$C$54*($EH$32*0.5)+'LINEST VARS'!$B$54*($EH$32*$DV52)+'LINEST VARS'!$A$54*(0.5*$DV52)</f>
        <v>3.9749999999999996</v>
      </c>
      <c r="EI52" s="51">
        <f>'LINEST VARS'!$U$54+'LINEST VARS'!$T$54*(8)+'LINEST VARS'!$S$54*(8)+'LINEST VARS'!$R$54*($EI$32)+'LINEST VARS'!$Q$54*(0.5)+'LINEST VARS'!$P$54*($DV52)+'LINEST VARS'!$O$54*(8^2)+'LINEST VARS'!$N$54*(8^2)+'LINEST VARS'!$M$54*($EI$32^2)+'LINEST VARS'!$L$54*(0.5^2)+'LINEST VARS'!$K$54*($DV52^2)+'LINEST VARS'!$J$54*(8*8)+'LINEST VARS'!$I$54*(8*$EI$32)+'LINEST VARS'!$H$54*(8*0.5)+'LINEST VARS'!$G$54*(8*$DV52)+'LINEST VARS'!$F$54*(8*$EI$32)+'LINEST VARS'!$E$54*(8*0.5)+'LINEST VARS'!$D$54*(8*$DV52)+'LINEST VARS'!$C$54*($EI$32*0.5)+'LINEST VARS'!$B$54*($EI$32*$DV52)+'LINEST VARS'!$A$54*(0.5*$DV52)</f>
        <v>3.9749999999999996</v>
      </c>
      <c r="EJ52" s="51">
        <f>'LINEST VARS'!$U$54+'LINEST VARS'!$T$54*(8)+'LINEST VARS'!$S$54*(8)+'LINEST VARS'!$R$54*($EJ$32)+'LINEST VARS'!$Q$54*(0.5)+'LINEST VARS'!$P$54*($DV52)+'LINEST VARS'!$O$54*(8^2)+'LINEST VARS'!$N$54*(8^2)+'LINEST VARS'!$M$54*($EJ$32^2)+'LINEST VARS'!$L$54*(0.5^2)+'LINEST VARS'!$K$54*($DV52^2)+'LINEST VARS'!$J$54*(8*8)+'LINEST VARS'!$I$54*(8*$EJ$32)+'LINEST VARS'!$H$54*(8*0.5)+'LINEST VARS'!$G$54*(8*$DV52)+'LINEST VARS'!$F$54*(8*$EJ$32)+'LINEST VARS'!$E$54*(8*0.5)+'LINEST VARS'!$D$54*(8*$DV52)+'LINEST VARS'!$C$54*($EJ$32*0.5)+'LINEST VARS'!$B$54*($EJ$32*$DV52)+'LINEST VARS'!$A$54*(0.5*$DV52)</f>
        <v>3.9749999999999996</v>
      </c>
      <c r="EK52" s="51">
        <f>'LINEST VARS'!$U$54+'LINEST VARS'!$T$54*(8)+'LINEST VARS'!$S$54*(8)+'LINEST VARS'!$R$54*($EK$32)+'LINEST VARS'!$Q$54*(0.5)+'LINEST VARS'!$P$54*($DV52)+'LINEST VARS'!$O$54*(8^2)+'LINEST VARS'!$N$54*(8^2)+'LINEST VARS'!$M$54*($EK$32^2)+'LINEST VARS'!$L$54*(0.5^2)+'LINEST VARS'!$K$54*($DV52^2)+'LINEST VARS'!$J$54*(8*8)+'LINEST VARS'!$I$54*(8*$EK$32)+'LINEST VARS'!$H$54*(8*0.5)+'LINEST VARS'!$G$54*(8*$DV52)+'LINEST VARS'!$F$54*(8*$EK$32)+'LINEST VARS'!$E$54*(8*0.5)+'LINEST VARS'!$D$54*(8*$DV52)+'LINEST VARS'!$C$54*($EK$32*0.5)+'LINEST VARS'!$B$54*($EK$32*$DV52)+'LINEST VARS'!$A$54*(0.5*$DV52)</f>
        <v>3.9749999999999996</v>
      </c>
      <c r="EL52" s="51">
        <f>'LINEST VARS'!$U$54+'LINEST VARS'!$T$54*(8)+'LINEST VARS'!$S$54*(8)+'LINEST VARS'!$R$54*($EL$32)+'LINEST VARS'!$Q$54*(0.5)+'LINEST VARS'!$P$54*($DV52)+'LINEST VARS'!$O$54*(8^2)+'LINEST VARS'!$N$54*(8^2)+'LINEST VARS'!$M$54*($EL$32^2)+'LINEST VARS'!$L$54*(0.5^2)+'LINEST VARS'!$K$54*($DV52^2)+'LINEST VARS'!$J$54*(8*8)+'LINEST VARS'!$I$54*(8*$EL$32)+'LINEST VARS'!$H$54*(8*0.5)+'LINEST VARS'!$G$54*(8*$DV52)+'LINEST VARS'!$F$54*(8*$EL$32)+'LINEST VARS'!$E$54*(8*0.5)+'LINEST VARS'!$D$54*(8*$DV52)+'LINEST VARS'!$C$54*($EL$32*0.5)+'LINEST VARS'!$B$54*($EL$32*$DV52)+'LINEST VARS'!$A$54*(0.5*$DV52)</f>
        <v>3.9749999999999996</v>
      </c>
      <c r="EM52" s="51">
        <f>'LINEST VARS'!$U$54+'LINEST VARS'!$T$54*(8)+'LINEST VARS'!$S$54*(8)+'LINEST VARS'!$R$54*($EM$32)+'LINEST VARS'!$Q$54*(0.5)+'LINEST VARS'!$P$54*($DV52)+'LINEST VARS'!$O$54*(8^2)+'LINEST VARS'!$N$54*(8^2)+'LINEST VARS'!$M$54*($EM$32^2)+'LINEST VARS'!$L$54*(0.5^2)+'LINEST VARS'!$K$54*($DV52^2)+'LINEST VARS'!$J$54*(8*8)+'LINEST VARS'!$I$54*(8*$EM$32)+'LINEST VARS'!$H$54*(8*0.5)+'LINEST VARS'!$G$54*(8*$DV52)+'LINEST VARS'!$F$54*(8*$EM$32)+'LINEST VARS'!$E$54*(8*0.5)+'LINEST VARS'!$D$54*(8*$DV52)+'LINEST VARS'!$C$54*($EM$32*0.5)+'LINEST VARS'!$B$54*($EM$32*$DV52)+'LINEST VARS'!$A$54*(0.5*$DV52)</f>
        <v>3.9749999999999996</v>
      </c>
      <c r="EN52" s="51">
        <f>'LINEST VARS'!$U$54+'LINEST VARS'!$T$54*(8)+'LINEST VARS'!$S$54*(8)+'LINEST VARS'!$R$54*($EN$32)+'LINEST VARS'!$Q$54*(0.5)+'LINEST VARS'!$P$54*($DV52)+'LINEST VARS'!$O$54*(8^2)+'LINEST VARS'!$N$54*(8^2)+'LINEST VARS'!$M$54*($EN$32^2)+'LINEST VARS'!$L$54*(0.5^2)+'LINEST VARS'!$K$54*($DV52^2)+'LINEST VARS'!$J$54*(8*8)+'LINEST VARS'!$I$54*(8*$EN$32)+'LINEST VARS'!$H$54*(8*0.5)+'LINEST VARS'!$G$54*(8*$DV52)+'LINEST VARS'!$F$54*(8*$EN$32)+'LINEST VARS'!$E$54*(8*0.5)+'LINEST VARS'!$D$54*(8*$DV52)+'LINEST VARS'!$C$54*($EN$32*0.5)+'LINEST VARS'!$B$54*($EN$32*$DV52)+'LINEST VARS'!$A$54*(0.5*$DV52)</f>
        <v>3.9749999999999996</v>
      </c>
      <c r="EO52" s="51">
        <f>'LINEST VARS'!$U$54+'LINEST VARS'!$T$54*(8)+'LINEST VARS'!$S$54*(8)+'LINEST VARS'!$R$54*($EO$32)+'LINEST VARS'!$Q$54*(0.5)+'LINEST VARS'!$P$54*($DV52)+'LINEST VARS'!$O$54*(8^2)+'LINEST VARS'!$N$54*(8^2)+'LINEST VARS'!$M$54*($EO$32^2)+'LINEST VARS'!$L$54*(0.5^2)+'LINEST VARS'!$K$54*($DV52^2)+'LINEST VARS'!$J$54*(8*8)+'LINEST VARS'!$I$54*(8*$EO$32)+'LINEST VARS'!$H$54*(8*0.5)+'LINEST VARS'!$G$54*(8*$DV52)+'LINEST VARS'!$F$54*(8*$EO$32)+'LINEST VARS'!$E$54*(8*0.5)+'LINEST VARS'!$D$54*(8*$DV52)+'LINEST VARS'!$C$54*($EO$32*0.5)+'LINEST VARS'!$B$54*($EO$32*$DV52)+'LINEST VARS'!$A$54*(0.5*$DV52)</f>
        <v>3.9749999999999996</v>
      </c>
      <c r="EP52" s="51">
        <f>'LINEST VARS'!$U$54+'LINEST VARS'!$T$54*(8)+'LINEST VARS'!$S$54*(8)+'LINEST VARS'!$R$54*($EP$32)+'LINEST VARS'!$Q$54*(0.5)+'LINEST VARS'!$P$54*($DV52)+'LINEST VARS'!$O$54*(8^2)+'LINEST VARS'!$N$54*(8^2)+'LINEST VARS'!$M$54*($EP$32^2)+'LINEST VARS'!$L$54*(0.5^2)+'LINEST VARS'!$K$54*($DV52^2)+'LINEST VARS'!$J$54*(8*8)+'LINEST VARS'!$I$54*(8*$EP$32)+'LINEST VARS'!$H$54*(8*0.5)+'LINEST VARS'!$G$54*(8*$DV52)+'LINEST VARS'!$F$54*(8*$EP$32)+'LINEST VARS'!$E$54*(8*0.5)+'LINEST VARS'!$D$54*(8*$DV52)+'LINEST VARS'!$C$54*($EP$32*0.5)+'LINEST VARS'!$B$54*($EP$32*$DV52)+'LINEST VARS'!$A$54*(0.5*$DV52)</f>
        <v>3.9749999999999996</v>
      </c>
      <c r="EQ52" s="52">
        <f>'LINEST VARS'!$U$54+'LINEST VARS'!$T$54*(8)+'LINEST VARS'!$S$54*(8)+'LINEST VARS'!$R$54*($EQ$32)+'LINEST VARS'!$Q$54*(0.5)+'LINEST VARS'!$P$54*($DV52)+'LINEST VARS'!$O$54*(8^2)+'LINEST VARS'!$N$54*(8^2)+'LINEST VARS'!$M$54*($EQ$32^2)+'LINEST VARS'!$L$54*(0.5^2)+'LINEST VARS'!$K$54*($DV52^2)+'LINEST VARS'!$J$54*(8*8)+'LINEST VARS'!$I$54*(8*$EQ$32)+'LINEST VARS'!$H$54*(8*0.5)+'LINEST VARS'!$G$54*(8*$DV52)+'LINEST VARS'!$F$54*(8*$EQ$32)+'LINEST VARS'!$E$54*(8*0.5)+'LINEST VARS'!$D$54*(8*$DV52)+'LINEST VARS'!$C$54*($EQ$32*0.5)+'LINEST VARS'!$B$54*($EQ$32*$DV52)+'LINEST VARS'!$A$54*(0.5*$DV52)</f>
        <v>3.9749999999999996</v>
      </c>
    </row>
    <row r="53" spans="2:147" ht="15" customHeight="1" thickBot="1" x14ac:dyDescent="0.3">
      <c r="B53" s="48">
        <v>8.6</v>
      </c>
      <c r="C53" s="53">
        <f>'LINEST VARS'!$U$52+'LINEST VARS'!$T$52*($C$32)+'LINEST VARS'!$S$52*($B53)+'LINEST VARS'!$R$52*(4)+'LINEST VARS'!$Q$52*(0.5)+'LINEST VARS'!$P$52*(12.73)+'LINEST VARS'!$O$52*($C$32^2)+'LINEST VARS'!$N$52*($B53^2)+'LINEST VARS'!$M$52*(4^2)+'LINEST VARS'!$L$52*(0.5^2)+'LINEST VARS'!$K$52*(12.73^2)+'LINEST VARS'!$J$52*($C$32*$B53)+'LINEST VARS'!$I$52*($C$32*4)+'LINEST VARS'!$H$52*($C$32*0.5)+'LINEST VARS'!$G$52*($C$32*12.73)+'LINEST VARS'!$F$52*($B53*4)+'LINEST VARS'!$E$52*($B53*0.5)+'LINEST VARS'!$D$52*($B53*12.73)+'LINEST VARS'!$C$52*(4*0.5)+'LINEST VARS'!$B$52*(4*12.73)+'LINEST VARS'!$A$52*(0.5*12.73)</f>
        <v>4.4499999999999984</v>
      </c>
      <c r="D53" s="53">
        <f>'LINEST VARS'!$U$52+'LINEST VARS'!$T$52*($D$32)+'LINEST VARS'!$S$52*($B53)+'LINEST VARS'!$R$52*(4)+'LINEST VARS'!$Q$52*(0.5)+'LINEST VARS'!$P$52*(12.73)+'LINEST VARS'!$O$52*($D$32^2)+'LINEST VARS'!$N$52*($B53^2)+'LINEST VARS'!$M$52*(4^2)+'LINEST VARS'!$L$52*(0.5^2)+'LINEST VARS'!$K$52*(12.73^2)+'LINEST VARS'!$J$52*($D$32*$B53)+'LINEST VARS'!$I$52*($D$32*4)+'LINEST VARS'!$H$52*($D$32*0.5)+'LINEST VARS'!$G$52*($D$32*12.73)+'LINEST VARS'!$F$52*($B53*4)+'LINEST VARS'!$E$52*($B53*0.5)+'LINEST VARS'!$D$52*($B53*12.73)+'LINEST VARS'!$C$52*(4*0.5)+'LINEST VARS'!$B$52*(4*12.73)+'LINEST VARS'!$A$52*(0.5*12.73)</f>
        <v>4.4499999999999984</v>
      </c>
      <c r="E53" s="53">
        <f>'LINEST VARS'!$U$52+'LINEST VARS'!$T$52*($E$32)+'LINEST VARS'!$S$52*($B53)+'LINEST VARS'!$R$52*(4)+'LINEST VARS'!$Q$52*(0.5)+'LINEST VARS'!$P$52*(12.73)+'LINEST VARS'!$O$52*($E$32^2)+'LINEST VARS'!$N$52*($B53^2)+'LINEST VARS'!$M$52*(4^2)+'LINEST VARS'!$L$52*(0.5^2)+'LINEST VARS'!$K$52*(12.73^2)+'LINEST VARS'!$J$52*($E$32*$B53)+'LINEST VARS'!$I$52*($E$32*4)+'LINEST VARS'!$H$52*($E$32*0.5)+'LINEST VARS'!$G$52*($E$32*12.73)+'LINEST VARS'!$F$52*($B53*4)+'LINEST VARS'!$E$52*($B53*0.5)+'LINEST VARS'!$D$52*($B53*12.73)+'LINEST VARS'!$C$52*(4*0.5)+'LINEST VARS'!$B$52*(4*12.73)+'LINEST VARS'!$A$52*(0.5*12.73)</f>
        <v>4.4499999999999984</v>
      </c>
      <c r="F53" s="53">
        <f>'LINEST VARS'!$U$52+'LINEST VARS'!$T$52*($F$32)+'LINEST VARS'!$S$52*($B53)+'LINEST VARS'!$R$52*(4)+'LINEST VARS'!$Q$52*(0.5)+'LINEST VARS'!$P$52*(12.73)+'LINEST VARS'!$O$52*($F$32^2)+'LINEST VARS'!$N$52*($B53^2)+'LINEST VARS'!$M$52*(4^2)+'LINEST VARS'!$L$52*(0.5^2)+'LINEST VARS'!$K$52*(12.73^2)+'LINEST VARS'!$J$52*($F$32*$B53)+'LINEST VARS'!$I$52*($F$32*4)+'LINEST VARS'!$H$52*($F$32*0.5)+'LINEST VARS'!$G$52*($F$32*12.73)+'LINEST VARS'!$F$52*($B53*4)+'LINEST VARS'!$E$52*($B53*0.5)+'LINEST VARS'!$D$52*($B53*12.73)+'LINEST VARS'!$C$52*(4*0.5)+'LINEST VARS'!$B$52*(4*12.73)+'LINEST VARS'!$A$52*(0.5*12.73)</f>
        <v>4.4499999999999984</v>
      </c>
      <c r="G53" s="53">
        <f>'LINEST VARS'!$U$52+'LINEST VARS'!$T$52*($G$32)+'LINEST VARS'!$S$52*($B53)+'LINEST VARS'!$R$52*(4)+'LINEST VARS'!$Q$52*(0.5)+'LINEST VARS'!$P$52*(12.73)+'LINEST VARS'!$O$52*($G$32^2)+'LINEST VARS'!$N$52*($B53^2)+'LINEST VARS'!$M$52*(4^2)+'LINEST VARS'!$L$52*(0.5^2)+'LINEST VARS'!$K$52*(12.73^2)+'LINEST VARS'!$J$52*($G$32*$B53)+'LINEST VARS'!$I$52*($G$32*4)+'LINEST VARS'!$H$52*($G$32*0.5)+'LINEST VARS'!$G$52*($G$32*12.73)+'LINEST VARS'!$F$52*($B53*4)+'LINEST VARS'!$E$52*($B53*0.5)+'LINEST VARS'!$D$52*($B53*12.73)+'LINEST VARS'!$C$52*(4*0.5)+'LINEST VARS'!$B$52*(4*12.73)+'LINEST VARS'!$A$52*(0.5*12.73)</f>
        <v>4.4499999999999984</v>
      </c>
      <c r="H53" s="53">
        <f>'LINEST VARS'!$U$52+'LINEST VARS'!$T$52*($H$32)+'LINEST VARS'!$S$52*($B53)+'LINEST VARS'!$R$52*(4)+'LINEST VARS'!$Q$52*(0.5)+'LINEST VARS'!$P$52*(12.73)+'LINEST VARS'!$O$52*($H$32^2)+'LINEST VARS'!$N$52*($B53^2)+'LINEST VARS'!$M$52*(4^2)+'LINEST VARS'!$L$52*(0.5^2)+'LINEST VARS'!$K$52*(12.73^2)+'LINEST VARS'!$J$52*($H$32*$B53)+'LINEST VARS'!$I$52*($H$32*4)+'LINEST VARS'!$H$52*($H$32*0.5)+'LINEST VARS'!$G$52*($H$32*12.73)+'LINEST VARS'!$F$52*($B53*4)+'LINEST VARS'!$E$52*($B53*0.5)+'LINEST VARS'!$D$52*($B53*12.73)+'LINEST VARS'!$C$52*(4*0.5)+'LINEST VARS'!$B$52*(4*12.73)+'LINEST VARS'!$A$52*(0.5*12.73)</f>
        <v>4.4499999999999984</v>
      </c>
      <c r="I53" s="53">
        <f>'LINEST VARS'!$U$52+'LINEST VARS'!$T$52*($I$32)+'LINEST VARS'!$S$52*($B53)+'LINEST VARS'!$R$52*(4)+'LINEST VARS'!$Q$52*(0.5)+'LINEST VARS'!$P$52*(12.73)+'LINEST VARS'!$O$52*($I$32^2)+'LINEST VARS'!$N$52*($B53^2)+'LINEST VARS'!$M$52*(4^2)+'LINEST VARS'!$L$52*(0.5^2)+'LINEST VARS'!$K$52*(12.73^2)+'LINEST VARS'!$J$52*($I$32*$B53)+'LINEST VARS'!$I$52*($I$32*4)+'LINEST VARS'!$H$52*($I$32*0.5)+'LINEST VARS'!$G$52*($I$32*12.73)+'LINEST VARS'!$F$52*($B53*4)+'LINEST VARS'!$E$52*($B53*0.5)+'LINEST VARS'!$D$52*($B53*12.73)+'LINEST VARS'!$C$52*(4*0.5)+'LINEST VARS'!$B$52*(4*12.73)+'LINEST VARS'!$A$52*(0.5*12.73)</f>
        <v>4.4499999999999984</v>
      </c>
      <c r="J53" s="53">
        <f>'LINEST VARS'!$U$52+'LINEST VARS'!$T$52*($J$32)+'LINEST VARS'!$S$52*($B53)+'LINEST VARS'!$R$52*(4)+'LINEST VARS'!$Q$52*(0.5)+'LINEST VARS'!$P$52*(12.73)+'LINEST VARS'!$O$52*($J$32^2)+'LINEST VARS'!$N$52*($B53^2)+'LINEST VARS'!$M$52*(4^2)+'LINEST VARS'!$L$52*(0.5^2)+'LINEST VARS'!$K$52*(12.73^2)+'LINEST VARS'!$J$52*($J$32*$B53)+'LINEST VARS'!$I$52*($J$32*4)+'LINEST VARS'!$H$52*($J$32*0.5)+'LINEST VARS'!$G$52*($J$32*12.73)+'LINEST VARS'!$F$52*($B53*4)+'LINEST VARS'!$E$52*($B53*0.5)+'LINEST VARS'!$D$52*($B53*12.73)+'LINEST VARS'!$C$52*(4*0.5)+'LINEST VARS'!$B$52*(4*12.73)+'LINEST VARS'!$A$52*(0.5*12.73)</f>
        <v>4.4499999999999984</v>
      </c>
      <c r="K53" s="53">
        <f>'LINEST VARS'!$U$52+'LINEST VARS'!$T$52*($K$32)+'LINEST VARS'!$S$52*($B53)+'LINEST VARS'!$R$52*(4)+'LINEST VARS'!$Q$52*(0.5)+'LINEST VARS'!$P$52*(12.73)+'LINEST VARS'!$O$52*($K$32^2)+'LINEST VARS'!$N$52*($B53^2)+'LINEST VARS'!$M$52*(4^2)+'LINEST VARS'!$L$52*(0.5^2)+'LINEST VARS'!$K$52*(12.73^2)+'LINEST VARS'!$J$52*($K$32*$B53)+'LINEST VARS'!$I$52*($K$32*4)+'LINEST VARS'!$H$52*($K$32*0.5)+'LINEST VARS'!$G$52*($K$32*12.73)+'LINEST VARS'!$F$52*($B53*4)+'LINEST VARS'!$E$52*($B53*0.5)+'LINEST VARS'!$D$52*($B53*12.73)+'LINEST VARS'!$C$52*(4*0.5)+'LINEST VARS'!$B$52*(4*12.73)+'LINEST VARS'!$A$52*(0.5*12.73)</f>
        <v>4.4499999999999984</v>
      </c>
      <c r="L53" s="53">
        <f>'LINEST VARS'!$U$52+'LINEST VARS'!$T$52*($L$32)+'LINEST VARS'!$S$52*($B53)+'LINEST VARS'!$R$52*(4)+'LINEST VARS'!$Q$52*(0.5)+'LINEST VARS'!$P$52*(12.73)+'LINEST VARS'!$O$52*($L$32^2)+'LINEST VARS'!$N$52*($B53^2)+'LINEST VARS'!$M$52*(4^2)+'LINEST VARS'!$L$52*(0.5^2)+'LINEST VARS'!$K$52*(12.73^2)+'LINEST VARS'!$J$52*($L$32*$B53)+'LINEST VARS'!$I$52*($L$32*4)+'LINEST VARS'!$H$52*($L$32*0.5)+'LINEST VARS'!$G$52*($L$32*12.73)+'LINEST VARS'!$F$52*($B53*4)+'LINEST VARS'!$E$52*($B53*0.5)+'LINEST VARS'!$D$52*($B53*12.73)+'LINEST VARS'!$C$52*(4*0.5)+'LINEST VARS'!$B$52*(4*12.73)+'LINEST VARS'!$A$52*(0.5*12.73)</f>
        <v>4.4499999999999984</v>
      </c>
      <c r="M53" s="53">
        <f>'LINEST VARS'!$U$52+'LINEST VARS'!$T$52*($M$32)+'LINEST VARS'!$S$52*($B53)+'LINEST VARS'!$R$52*(4)+'LINEST VARS'!$Q$52*(0.5)+'LINEST VARS'!$P$52*(12.73)+'LINEST VARS'!$O$52*($M$32^2)+'LINEST VARS'!$N$52*($B53^2)+'LINEST VARS'!$M$52*(4^2)+'LINEST VARS'!$L$52*(0.5^2)+'LINEST VARS'!$K$52*(12.73^2)+'LINEST VARS'!$J$52*($M$32*$B53)+'LINEST VARS'!$I$52*($M$32*4)+'LINEST VARS'!$H$52*($M$32*0.5)+'LINEST VARS'!$G$52*($M$32*12.73)+'LINEST VARS'!$F$52*($B53*4)+'LINEST VARS'!$E$52*($B53*0.5)+'LINEST VARS'!$D$52*($B53*12.73)+'LINEST VARS'!$C$52*(4*0.5)+'LINEST VARS'!$B$52*(4*12.73)+'LINEST VARS'!$A$52*(0.5*12.73)</f>
        <v>4.4499999999999984</v>
      </c>
      <c r="N53" s="53">
        <f>'LINEST VARS'!$U$52+'LINEST VARS'!$T$52*($N$32)+'LINEST VARS'!$S$52*($B53)+'LINEST VARS'!$R$52*(4)+'LINEST VARS'!$Q$52*(0.5)+'LINEST VARS'!$P$52*(12.73)+'LINEST VARS'!$O$52*($N$32^2)+'LINEST VARS'!$N$52*($B53^2)+'LINEST VARS'!$M$52*(4^2)+'LINEST VARS'!$L$52*(0.5^2)+'LINEST VARS'!$K$52*(12.73^2)+'LINEST VARS'!$J$52*($N$32*$B53)+'LINEST VARS'!$I$52*($N$32*4)+'LINEST VARS'!$H$52*($N$32*0.5)+'LINEST VARS'!$G$52*($N$32*12.73)+'LINEST VARS'!$F$52*($B53*4)+'LINEST VARS'!$E$52*($B53*0.5)+'LINEST VARS'!$D$52*($B53*12.73)+'LINEST VARS'!$C$52*(4*0.5)+'LINEST VARS'!$B$52*(4*12.73)+'LINEST VARS'!$A$52*(0.5*12.73)</f>
        <v>4.4499999999999984</v>
      </c>
      <c r="O53" s="53">
        <f>'LINEST VARS'!$U$52+'LINEST VARS'!$T$52*($O$32)+'LINEST VARS'!$S$52*($B53)+'LINEST VARS'!$R$52*(4)+'LINEST VARS'!$Q$52*(0.5)+'LINEST VARS'!$P$52*(12.73)+'LINEST VARS'!$O$52*($O$32^2)+'LINEST VARS'!$N$52*($B53^2)+'LINEST VARS'!$M$52*(4^2)+'LINEST VARS'!$L$52*(0.5^2)+'LINEST VARS'!$K$52*(12.73^2)+'LINEST VARS'!$J$52*($O$32*$B53)+'LINEST VARS'!$I$52*($O$32*4)+'LINEST VARS'!$H$52*($O$32*0.5)+'LINEST VARS'!$G$52*($O$32*12.73)+'LINEST VARS'!$F$52*($B53*4)+'LINEST VARS'!$E$52*($B53*0.5)+'LINEST VARS'!$D$52*($B53*12.73)+'LINEST VARS'!$C$52*(4*0.5)+'LINEST VARS'!$B$52*(4*12.73)+'LINEST VARS'!$A$52*(0.5*12.73)</f>
        <v>4.4499999999999984</v>
      </c>
      <c r="P53" s="53">
        <f>'LINEST VARS'!$U$52+'LINEST VARS'!$T$52*($P$32)+'LINEST VARS'!$S$52*($B53)+'LINEST VARS'!$R$52*(4)+'LINEST VARS'!$Q$52*(0.5)+'LINEST VARS'!$P$52*(12.73)+'LINEST VARS'!$O$52*($P$32^2)+'LINEST VARS'!$N$52*($B53^2)+'LINEST VARS'!$M$52*(4^2)+'LINEST VARS'!$L$52*(0.5^2)+'LINEST VARS'!$K$52*(12.73^2)+'LINEST VARS'!$J$52*($P$32*$B53)+'LINEST VARS'!$I$52*($P$32*4)+'LINEST VARS'!$H$52*($P$32*0.5)+'LINEST VARS'!$G$52*($P$32*12.73)+'LINEST VARS'!$F$52*($B53*4)+'LINEST VARS'!$E$52*($B53*0.5)+'LINEST VARS'!$D$52*($B53*12.73)+'LINEST VARS'!$C$52*(4*0.5)+'LINEST VARS'!$B$52*(4*12.73)+'LINEST VARS'!$A$52*(0.5*12.73)</f>
        <v>4.4499999999999984</v>
      </c>
      <c r="Q53" s="53">
        <f>'LINEST VARS'!$U$52+'LINEST VARS'!$T$52*($Q$32)+'LINEST VARS'!$S$52*($B53)+'LINEST VARS'!$R$52*(4)+'LINEST VARS'!$Q$52*(0.5)+'LINEST VARS'!$P$52*(12.73)+'LINEST VARS'!$O$52*($Q$32^2)+'LINEST VARS'!$N$52*($B53^2)+'LINEST VARS'!$M$52*(4^2)+'LINEST VARS'!$L$52*(0.5^2)+'LINEST VARS'!$K$52*(12.73^2)+'LINEST VARS'!$J$52*($Q$32*$B53)+'LINEST VARS'!$I$52*($Q$32*4)+'LINEST VARS'!$H$52*($Q$32*0.5)+'LINEST VARS'!$G$52*($Q$32*12.73)+'LINEST VARS'!$F$52*($B53*4)+'LINEST VARS'!$E$52*($B53*0.5)+'LINEST VARS'!$D$52*($B53*12.73)+'LINEST VARS'!$C$52*(4*0.5)+'LINEST VARS'!$B$52*(4*12.73)+'LINEST VARS'!$A$52*(0.5*12.73)</f>
        <v>4.4499999999999984</v>
      </c>
      <c r="R53" s="53">
        <f>'LINEST VARS'!$U$52+'LINEST VARS'!$T$52*($R$32)+'LINEST VARS'!$S$52*($B53)+'LINEST VARS'!$R$52*(4)+'LINEST VARS'!$Q$52*(0.5)+'LINEST VARS'!$P$52*(12.73)+'LINEST VARS'!$O$52*($R$32^2)+'LINEST VARS'!$N$52*($B53^2)+'LINEST VARS'!$M$52*(4^2)+'LINEST VARS'!$L$52*(0.5^2)+'LINEST VARS'!$K$52*(12.73^2)+'LINEST VARS'!$J$52*($R$32*$B53)+'LINEST VARS'!$I$52*($R$32*4)+'LINEST VARS'!$H$52*($R$32*0.5)+'LINEST VARS'!$G$52*($R$32*12.73)+'LINEST VARS'!$F$52*($B53*4)+'LINEST VARS'!$E$52*($B53*0.5)+'LINEST VARS'!$D$52*($B53*12.73)+'LINEST VARS'!$C$52*(4*0.5)+'LINEST VARS'!$B$52*(4*12.73)+'LINEST VARS'!$A$52*(0.5*12.73)</f>
        <v>4.4499999999999984</v>
      </c>
      <c r="S53" s="53">
        <f>'LINEST VARS'!$U$52+'LINEST VARS'!$T$52*($S$32)+'LINEST VARS'!$S$52*($B53)+'LINEST VARS'!$R$52*(4)+'LINEST VARS'!$Q$52*(0.5)+'LINEST VARS'!$P$52*(12.73)+'LINEST VARS'!$O$52*($S$32^2)+'LINEST VARS'!$N$52*($B53^2)+'LINEST VARS'!$M$52*(4^2)+'LINEST VARS'!$L$52*(0.5^2)+'LINEST VARS'!$K$52*(12.73^2)+'LINEST VARS'!$J$52*($S$32*$B53)+'LINEST VARS'!$I$52*($S$32*4)+'LINEST VARS'!$H$52*($S$32*0.5)+'LINEST VARS'!$G$52*($S$32*12.73)+'LINEST VARS'!$F$52*($B53*4)+'LINEST VARS'!$E$52*($B53*0.5)+'LINEST VARS'!$D$52*($B53*12.73)+'LINEST VARS'!$C$52*(4*0.5)+'LINEST VARS'!$B$52*(4*12.73)+'LINEST VARS'!$A$52*(0.5*12.73)</f>
        <v>4.4499999999999984</v>
      </c>
      <c r="T53" s="53">
        <f>'LINEST VARS'!$U$52+'LINEST VARS'!$T$52*($T$32)+'LINEST VARS'!$S$52*($B53)+'LINEST VARS'!$R$52*(4)+'LINEST VARS'!$Q$52*(0.5)+'LINEST VARS'!$P$52*(12.73)+'LINEST VARS'!$O$52*($T$32^2)+'LINEST VARS'!$N$52*($B53^2)+'LINEST VARS'!$M$52*(4^2)+'LINEST VARS'!$L$52*(0.5^2)+'LINEST VARS'!$K$52*(12.73^2)+'LINEST VARS'!$J$52*($T$32*$B53)+'LINEST VARS'!$I$52*($T$32*4)+'LINEST VARS'!$H$52*($T$32*0.5)+'LINEST VARS'!$G$52*($T$32*12.73)+'LINEST VARS'!$F$52*($B53*4)+'LINEST VARS'!$E$52*($B53*0.5)+'LINEST VARS'!$D$52*($B53*12.73)+'LINEST VARS'!$C$52*(4*0.5)+'LINEST VARS'!$B$52*(4*12.73)+'LINEST VARS'!$A$52*(0.5*12.73)</f>
        <v>4.4499999999999984</v>
      </c>
      <c r="U53" s="53">
        <f>'LINEST VARS'!$U$52+'LINEST VARS'!$T$52*($U$32)+'LINEST VARS'!$S$52*($B53)+'LINEST VARS'!$R$52*(4)+'LINEST VARS'!$Q$52*(0.5)+'LINEST VARS'!$P$52*(12.73)+'LINEST VARS'!$O$52*($U$32^2)+'LINEST VARS'!$N$52*($B53^2)+'LINEST VARS'!$M$52*(4^2)+'LINEST VARS'!$L$52*(0.5^2)+'LINEST VARS'!$K$52*(12.73^2)+'LINEST VARS'!$J$52*($U$32*$B53)+'LINEST VARS'!$I$52*($U$32*4)+'LINEST VARS'!$H$52*($U$32*0.5)+'LINEST VARS'!$G$52*($U$32*12.73)+'LINEST VARS'!$F$52*($B53*4)+'LINEST VARS'!$E$52*($B53*0.5)+'LINEST VARS'!$D$52*($B53*12.73)+'LINEST VARS'!$C$52*(4*0.5)+'LINEST VARS'!$B$52*(4*12.73)+'LINEST VARS'!$A$52*(0.5*12.73)</f>
        <v>4.4499999999999984</v>
      </c>
      <c r="V53" s="53">
        <f>'LINEST VARS'!$U$52+'LINEST VARS'!$T$52*($V$32)+'LINEST VARS'!$S$52*($B53)+'LINEST VARS'!$R$52*(4)+'LINEST VARS'!$Q$52*(0.5)+'LINEST VARS'!$P$52*(12.73)+'LINEST VARS'!$O$52*($V$32^2)+'LINEST VARS'!$N$52*($B53^2)+'LINEST VARS'!$M$52*(4^2)+'LINEST VARS'!$L$52*(0.5^2)+'LINEST VARS'!$K$52*(12.73^2)+'LINEST VARS'!$J$52*($V$32*$B53)+'LINEST VARS'!$I$52*($V$32*4)+'LINEST VARS'!$H$52*($V$32*0.5)+'LINEST VARS'!$G$52*($V$32*12.73)+'LINEST VARS'!$F$52*($B53*4)+'LINEST VARS'!$E$52*($B53*0.5)+'LINEST VARS'!$D$52*($B53*12.73)+'LINEST VARS'!$C$52*(4*0.5)+'LINEST VARS'!$B$52*(4*12.73)+'LINEST VARS'!$A$52*(0.5*12.73)</f>
        <v>4.4499999999999993</v>
      </c>
      <c r="W53" s="54">
        <f>'LINEST VARS'!$U$52+'LINEST VARS'!$T$52*($W$32)+'LINEST VARS'!$S$52*($B53)+'LINEST VARS'!$R$52*(4)+'LINEST VARS'!$Q$52*(0.5)+'LINEST VARS'!$P$52*(12.73)+'LINEST VARS'!$O$52*($W$32^2)+'LINEST VARS'!$N$52*($B53^2)+'LINEST VARS'!$M$52*(4^2)+'LINEST VARS'!$L$52*(0.5^2)+'LINEST VARS'!$K$52*(12.73^2)+'LINEST VARS'!$J$52*($W$32*$B53)+'LINEST VARS'!$I$52*($W$32*4)+'LINEST VARS'!$H$52*($W$32*0.5)+'LINEST VARS'!$G$52*($W$32*12.73)+'LINEST VARS'!$F$52*($B53*4)+'LINEST VARS'!$E$52*($B53*0.5)+'LINEST VARS'!$D$52*($B53*12.73)+'LINEST VARS'!$C$52*(4*0.5)+'LINEST VARS'!$B$52*(4*12.73)+'LINEST VARS'!$A$52*(0.5*12.73)</f>
        <v>4.4499999999999993</v>
      </c>
      <c r="Z53" s="48">
        <v>8.6</v>
      </c>
      <c r="AA53" s="53">
        <f>'LINEST VARS'!$U$54+'LINEST VARS'!$T$54*($AA$32)+'LINEST VARS'!$S$54*($Z53)+'LINEST VARS'!$R$54*(4)+'LINEST VARS'!$Q$54*(0.5)+'LINEST VARS'!$P$54*(12.73)+'LINEST VARS'!$O$54*($AA$32^2)+'LINEST VARS'!$N$54*($Z53^2)+'LINEST VARS'!$M$54*(4^2)+'LINEST VARS'!$L$54*(0.5^2)+'LINEST VARS'!$K$54*(12.73^2)+'LINEST VARS'!$J$54*($AA$32*$Z53)+'LINEST VARS'!$I$54*($AA$32*4)+'LINEST VARS'!$H$54*($AA$32*0.5)+'LINEST VARS'!$G$54*($AA$32*12.73)+'LINEST VARS'!$F$54*($Z53*4)+'LINEST VARS'!$E$54*($Z53*0.5)+'LINEST VARS'!$D$54*($Z53*12.73)+'LINEST VARS'!$C$54*(4*0.5)+'LINEST VARS'!$B$54*(4*12.73)+'LINEST VARS'!$A$54*(0.5*12.73)</f>
        <v>3.9749999999999996</v>
      </c>
      <c r="AB53" s="53">
        <f>'LINEST VARS'!$U$54+'LINEST VARS'!$T$54*($AB$32)+'LINEST VARS'!$S$54*($Z53)+'LINEST VARS'!$R$54*(4)+'LINEST VARS'!$Q$54*(0.5)+'LINEST VARS'!$P$54*(12.73)+'LINEST VARS'!$O$54*($AB$32^2)+'LINEST VARS'!$N$54*($Z53^2)+'LINEST VARS'!$M$54*(4^2)+'LINEST VARS'!$L$54*(0.5^2)+'LINEST VARS'!$K$54*(12.73^2)+'LINEST VARS'!$J$54*($AB$32*$Z53)+'LINEST VARS'!$I$54*($AB$32*4)+'LINEST VARS'!$H$54*($AB$32*0.5)+'LINEST VARS'!$G$54*($AB$32*12.73)+'LINEST VARS'!$F$54*($Z53*4)+'LINEST VARS'!$E$54*($Z53*0.5)+'LINEST VARS'!$D$54*($Z53*12.73)+'LINEST VARS'!$C$54*(4*0.5)+'LINEST VARS'!$B$54*(4*12.73)+'LINEST VARS'!$A$54*(0.5*12.73)</f>
        <v>3.9749999999999996</v>
      </c>
      <c r="AC53" s="53">
        <f>'LINEST VARS'!$U$54+'LINEST VARS'!$T$54*($AC$32)+'LINEST VARS'!$S$54*($Z53)+'LINEST VARS'!$R$54*(4)+'LINEST VARS'!$Q$54*(0.5)+'LINEST VARS'!$P$54*(12.73)+'LINEST VARS'!$O$54*($AC$32^2)+'LINEST VARS'!$N$54*($Z53^2)+'LINEST VARS'!$M$54*(4^2)+'LINEST VARS'!$L$54*(0.5^2)+'LINEST VARS'!$K$54*(12.73^2)+'LINEST VARS'!$J$54*($AC$32*$Z53)+'LINEST VARS'!$I$54*($AC$32*4)+'LINEST VARS'!$H$54*($AC$32*0.5)+'LINEST VARS'!$G$54*($AC$32*12.73)+'LINEST VARS'!$F$54*($Z53*4)+'LINEST VARS'!$E$54*($Z53*0.5)+'LINEST VARS'!$D$54*($Z53*12.73)+'LINEST VARS'!$C$54*(4*0.5)+'LINEST VARS'!$B$54*(4*12.73)+'LINEST VARS'!$A$54*(0.5*12.73)</f>
        <v>3.9749999999999996</v>
      </c>
      <c r="AD53" s="53">
        <f>'LINEST VARS'!$U$54+'LINEST VARS'!$T$54*($AD$32)+'LINEST VARS'!$S$54*($Z53)+'LINEST VARS'!$R$54*(4)+'LINEST VARS'!$Q$54*(0.5)+'LINEST VARS'!$P$54*(12.73)+'LINEST VARS'!$O$54*($AD$32^2)+'LINEST VARS'!$N$54*($Z53^2)+'LINEST VARS'!$M$54*(4^2)+'LINEST VARS'!$L$54*(0.5^2)+'LINEST VARS'!$K$54*(12.73^2)+'LINEST VARS'!$J$54*($AD$32*$Z53)+'LINEST VARS'!$I$54*($AD$32*4)+'LINEST VARS'!$H$54*($AD$32*0.5)+'LINEST VARS'!$G$54*($AD$32*12.73)+'LINEST VARS'!$F$54*($Z53*4)+'LINEST VARS'!$E$54*($Z53*0.5)+'LINEST VARS'!$D$54*($Z53*12.73)+'LINEST VARS'!$C$54*(4*0.5)+'LINEST VARS'!$B$54*(4*12.73)+'LINEST VARS'!$A$54*(0.5*12.73)</f>
        <v>3.9749999999999996</v>
      </c>
      <c r="AE53" s="53">
        <f>'LINEST VARS'!$U$54+'LINEST VARS'!$T$54*($AE$32)+'LINEST VARS'!$S$54*($Z53)+'LINEST VARS'!$R$54*(4)+'LINEST VARS'!$Q$54*(0.5)+'LINEST VARS'!$P$54*(12.73)+'LINEST VARS'!$O$54*($AE$32^2)+'LINEST VARS'!$N$54*($Z53^2)+'LINEST VARS'!$M$54*(4^2)+'LINEST VARS'!$L$54*(0.5^2)+'LINEST VARS'!$K$54*(12.73^2)+'LINEST VARS'!$J$54*($AE$32*$Z53)+'LINEST VARS'!$I$54*($AE$32*4)+'LINEST VARS'!$H$54*($AE$32*0.5)+'LINEST VARS'!$G$54*($AE$32*12.73)+'LINEST VARS'!$F$54*($Z53*4)+'LINEST VARS'!$E$54*($Z53*0.5)+'LINEST VARS'!$D$54*($Z53*12.73)+'LINEST VARS'!$C$54*(4*0.5)+'LINEST VARS'!$B$54*(4*12.73)+'LINEST VARS'!$A$54*(0.5*12.73)</f>
        <v>3.9749999999999996</v>
      </c>
      <c r="AF53" s="53">
        <f>'LINEST VARS'!$U$54+'LINEST VARS'!$T$54*($AF$32)+'LINEST VARS'!$S$54*($Z53)+'LINEST VARS'!$R$54*(4)+'LINEST VARS'!$Q$54*(0.5)+'LINEST VARS'!$P$54*(12.73)+'LINEST VARS'!$O$54*($AF$32^2)+'LINEST VARS'!$N$54*($Z53^2)+'LINEST VARS'!$M$54*(4^2)+'LINEST VARS'!$L$54*(0.5^2)+'LINEST VARS'!$K$54*(12.73^2)+'LINEST VARS'!$J$54*($AF$32*$Z53)+'LINEST VARS'!$I$54*($AF$32*4)+'LINEST VARS'!$H$54*($AF$32*0.5)+'LINEST VARS'!$G$54*($AF$32*12.73)+'LINEST VARS'!$F$54*($Z53*4)+'LINEST VARS'!$E$54*($Z53*0.5)+'LINEST VARS'!$D$54*($Z53*12.73)+'LINEST VARS'!$C$54*(4*0.5)+'LINEST VARS'!$B$54*(4*12.73)+'LINEST VARS'!$A$54*(0.5*12.73)</f>
        <v>3.9749999999999996</v>
      </c>
      <c r="AG53" s="53">
        <f>'LINEST VARS'!$U$54+'LINEST VARS'!$T$54*($AG$32)+'LINEST VARS'!$S$54*($Z53)+'LINEST VARS'!$R$54*(4)+'LINEST VARS'!$Q$54*(0.5)+'LINEST VARS'!$P$54*(12.73)+'LINEST VARS'!$O$54*($AG$32^2)+'LINEST VARS'!$N$54*($Z53^2)+'LINEST VARS'!$M$54*(4^2)+'LINEST VARS'!$L$54*(0.5^2)+'LINEST VARS'!$K$54*(12.73^2)+'LINEST VARS'!$J$54*($AG$32*$Z53)+'LINEST VARS'!$I$54*($AG$32*4)+'LINEST VARS'!$H$54*($AG$32*0.5)+'LINEST VARS'!$G$54*($AG$32*12.73)+'LINEST VARS'!$F$54*($Z53*4)+'LINEST VARS'!$E$54*($Z53*0.5)+'LINEST VARS'!$D$54*($Z53*12.73)+'LINEST VARS'!$C$54*(4*0.5)+'LINEST VARS'!$B$54*(4*12.73)+'LINEST VARS'!$A$54*(0.5*12.73)</f>
        <v>3.9749999999999996</v>
      </c>
      <c r="AH53" s="53">
        <f>'LINEST VARS'!$U$54+'LINEST VARS'!$T$54*($AH$32)+'LINEST VARS'!$S$54*($Z53)+'LINEST VARS'!$R$54*(4)+'LINEST VARS'!$Q$54*(0.5)+'LINEST VARS'!$P$54*(12.73)+'LINEST VARS'!$O$54*($AH$32^2)+'LINEST VARS'!$N$54*($Z53^2)+'LINEST VARS'!$M$54*(4^2)+'LINEST VARS'!$L$54*(0.5^2)+'LINEST VARS'!$K$54*(12.73^2)+'LINEST VARS'!$J$54*($AH$32*$Z53)+'LINEST VARS'!$I$54*($AH$32*4)+'LINEST VARS'!$H$54*($AH$32*0.5)+'LINEST VARS'!$G$54*($AH$32*12.73)+'LINEST VARS'!$F$54*($Z53*4)+'LINEST VARS'!$E$54*($Z53*0.5)+'LINEST VARS'!$D$54*($Z53*12.73)+'LINEST VARS'!$C$54*(4*0.5)+'LINEST VARS'!$B$54*(4*12.73)+'LINEST VARS'!$A$54*(0.5*12.73)</f>
        <v>3.9749999999999996</v>
      </c>
      <c r="AI53" s="53">
        <f>'LINEST VARS'!$U$54+'LINEST VARS'!$T$54*($AI$32)+'LINEST VARS'!$S$54*($Z53)+'LINEST VARS'!$R$54*(4)+'LINEST VARS'!$Q$54*(0.5)+'LINEST VARS'!$P$54*(12.73)+'LINEST VARS'!$O$54*($AI$32^2)+'LINEST VARS'!$N$54*($Z53^2)+'LINEST VARS'!$M$54*(4^2)+'LINEST VARS'!$L$54*(0.5^2)+'LINEST VARS'!$K$54*(12.73^2)+'LINEST VARS'!$J$54*($AI$32*$Z53)+'LINEST VARS'!$I$54*($AI$32*4)+'LINEST VARS'!$H$54*($AI$32*0.5)+'LINEST VARS'!$G$54*($AI$32*12.73)+'LINEST VARS'!$F$54*($Z53*4)+'LINEST VARS'!$E$54*($Z53*0.5)+'LINEST VARS'!$D$54*($Z53*12.73)+'LINEST VARS'!$C$54*(4*0.5)+'LINEST VARS'!$B$54*(4*12.73)+'LINEST VARS'!$A$54*(0.5*12.73)</f>
        <v>3.9749999999999996</v>
      </c>
      <c r="AJ53" s="53">
        <f>'LINEST VARS'!$U$54+'LINEST VARS'!$T$54*($AJ$32)+'LINEST VARS'!$S$54*($Z53)+'LINEST VARS'!$R$54*(4)+'LINEST VARS'!$Q$54*(0.5)+'LINEST VARS'!$P$54*(12.73)+'LINEST VARS'!$O$54*($AJ$32^2)+'LINEST VARS'!$N$54*($Z53^2)+'LINEST VARS'!$M$54*(4^2)+'LINEST VARS'!$L$54*(0.5^2)+'LINEST VARS'!$K$54*(12.73^2)+'LINEST VARS'!$J$54*($AJ$32*$Z53)+'LINEST VARS'!$I$54*($AJ$32*4)+'LINEST VARS'!$H$54*($AJ$32*0.5)+'LINEST VARS'!$G$54*($AJ$32*12.73)+'LINEST VARS'!$F$54*($Z53*4)+'LINEST VARS'!$E$54*($Z53*0.5)+'LINEST VARS'!$D$54*($Z53*12.73)+'LINEST VARS'!$C$54*(4*0.5)+'LINEST VARS'!$B$54*(4*12.73)+'LINEST VARS'!$A$54*(0.5*12.73)</f>
        <v>3.9749999999999996</v>
      </c>
      <c r="AK53" s="53">
        <f>'LINEST VARS'!$U$54+'LINEST VARS'!$T$54*($AK$32)+'LINEST VARS'!$S$54*($Z53)+'LINEST VARS'!$R$54*(4)+'LINEST VARS'!$Q$54*(0.5)+'LINEST VARS'!$P$54*(12.73)+'LINEST VARS'!$O$54*($AK$32^2)+'LINEST VARS'!$N$54*($Z53^2)+'LINEST VARS'!$M$54*(4^2)+'LINEST VARS'!$L$54*(0.5^2)+'LINEST VARS'!$K$54*(12.73^2)+'LINEST VARS'!$J$54*($AK$32*$Z53)+'LINEST VARS'!$I$54*($AK$32*4)+'LINEST VARS'!$H$54*($AK$32*0.5)+'LINEST VARS'!$G$54*($AK$32*12.73)+'LINEST VARS'!$F$54*($Z53*4)+'LINEST VARS'!$E$54*($Z53*0.5)+'LINEST VARS'!$D$54*($Z53*12.73)+'LINEST VARS'!$C$54*(4*0.5)+'LINEST VARS'!$B$54*(4*12.73)+'LINEST VARS'!$A$54*(0.5*12.73)</f>
        <v>3.9749999999999996</v>
      </c>
      <c r="AL53" s="53">
        <f>'LINEST VARS'!$U$54+'LINEST VARS'!$T$54*($AL$32)+'LINEST VARS'!$S$54*($Z53)+'LINEST VARS'!$R$54*(4)+'LINEST VARS'!$Q$54*(0.5)+'LINEST VARS'!$P$54*(12.73)+'LINEST VARS'!$O$54*($AL$32^2)+'LINEST VARS'!$N$54*($Z53^2)+'LINEST VARS'!$M$54*(4^2)+'LINEST VARS'!$L$54*(0.5^2)+'LINEST VARS'!$K$54*(12.73^2)+'LINEST VARS'!$J$54*($AL$32*$Z53)+'LINEST VARS'!$I$54*($AL$32*4)+'LINEST VARS'!$H$54*($AL$32*0.5)+'LINEST VARS'!$G$54*($AL$32*12.73)+'LINEST VARS'!$F$54*($Z53*4)+'LINEST VARS'!$E$54*($Z53*0.5)+'LINEST VARS'!$D$54*($Z53*12.73)+'LINEST VARS'!$C$54*(4*0.5)+'LINEST VARS'!$B$54*(4*12.73)+'LINEST VARS'!$A$54*(0.5*12.73)</f>
        <v>3.9749999999999996</v>
      </c>
      <c r="AM53" s="53">
        <f>'LINEST VARS'!$U$54+'LINEST VARS'!$T$54*($AM$32)+'LINEST VARS'!$S$54*($Z53)+'LINEST VARS'!$R$54*(4)+'LINEST VARS'!$Q$54*(0.5)+'LINEST VARS'!$P$54*(12.73)+'LINEST VARS'!$O$54*($AM$32^2)+'LINEST VARS'!$N$54*($Z53^2)+'LINEST VARS'!$M$54*(4^2)+'LINEST VARS'!$L$54*(0.5^2)+'LINEST VARS'!$K$54*(12.73^2)+'LINEST VARS'!$J$54*($AM$32*$Z53)+'LINEST VARS'!$I$54*($AM$32*4)+'LINEST VARS'!$H$54*($AM$32*0.5)+'LINEST VARS'!$G$54*($AM$32*12.73)+'LINEST VARS'!$F$54*($Z53*4)+'LINEST VARS'!$E$54*($Z53*0.5)+'LINEST VARS'!$D$54*($Z53*12.73)+'LINEST VARS'!$C$54*(4*0.5)+'LINEST VARS'!$B$54*(4*12.73)+'LINEST VARS'!$A$54*(0.5*12.73)</f>
        <v>3.9749999999999996</v>
      </c>
      <c r="AN53" s="53">
        <f>'LINEST VARS'!$U$54+'LINEST VARS'!$T$54*($AN$32)+'LINEST VARS'!$S$54*($Z53)+'LINEST VARS'!$R$54*(4)+'LINEST VARS'!$Q$54*(0.5)+'LINEST VARS'!$P$54*(12.73)+'LINEST VARS'!$O$54*($AN$32^2)+'LINEST VARS'!$N$54*($Z53^2)+'LINEST VARS'!$M$54*(4^2)+'LINEST VARS'!$L$54*(0.5^2)+'LINEST VARS'!$K$54*(12.73^2)+'LINEST VARS'!$J$54*($AN$32*$Z53)+'LINEST VARS'!$I$54*($AN$32*4)+'LINEST VARS'!$H$54*($AN$32*0.5)+'LINEST VARS'!$G$54*($AN$32*12.73)+'LINEST VARS'!$F$54*($Z53*4)+'LINEST VARS'!$E$54*($Z53*0.5)+'LINEST VARS'!$D$54*($Z53*12.73)+'LINEST VARS'!$C$54*(4*0.5)+'LINEST VARS'!$B$54*(4*12.73)+'LINEST VARS'!$A$54*(0.5*12.73)</f>
        <v>3.9749999999999996</v>
      </c>
      <c r="AO53" s="53">
        <f>'LINEST VARS'!$U$54+'LINEST VARS'!$T$54*($AO$32)+'LINEST VARS'!$S$54*($Z53)+'LINEST VARS'!$R$54*(4)+'LINEST VARS'!$Q$54*(0.5)+'LINEST VARS'!$P$54*(12.73)+'LINEST VARS'!$O$54*($AO$32^2)+'LINEST VARS'!$N$54*($Z53^2)+'LINEST VARS'!$M$54*(4^2)+'LINEST VARS'!$L$54*(0.5^2)+'LINEST VARS'!$K$54*(12.73^2)+'LINEST VARS'!$J$54*($AO$32*$Z53)+'LINEST VARS'!$I$54*($AO$32*4)+'LINEST VARS'!$H$54*($AO$32*0.5)+'LINEST VARS'!$G$54*($AO$32*12.73)+'LINEST VARS'!$F$54*($Z53*4)+'LINEST VARS'!$E$54*($Z53*0.5)+'LINEST VARS'!$D$54*($Z53*12.73)+'LINEST VARS'!$C$54*(4*0.5)+'LINEST VARS'!$B$54*(4*12.73)+'LINEST VARS'!$A$54*(0.5*12.73)</f>
        <v>3.9749999999999996</v>
      </c>
      <c r="AP53" s="53">
        <f>'LINEST VARS'!$U$54+'LINEST VARS'!$T$54*($AP$32)+'LINEST VARS'!$S$54*($Z53)+'LINEST VARS'!$R$54*(4)+'LINEST VARS'!$Q$54*(0.5)+'LINEST VARS'!$P$54*(12.73)+'LINEST VARS'!$O$54*($AP$32^2)+'LINEST VARS'!$N$54*($Z53^2)+'LINEST VARS'!$M$54*(4^2)+'LINEST VARS'!$L$54*(0.5^2)+'LINEST VARS'!$K$54*(12.73^2)+'LINEST VARS'!$J$54*($AP$32*$Z53)+'LINEST VARS'!$I$54*($AP$32*4)+'LINEST VARS'!$H$54*($AP$32*0.5)+'LINEST VARS'!$G$54*($AP$32*12.73)+'LINEST VARS'!$F$54*($Z53*4)+'LINEST VARS'!$E$54*($Z53*0.5)+'LINEST VARS'!$D$54*($Z53*12.73)+'LINEST VARS'!$C$54*(4*0.5)+'LINEST VARS'!$B$54*(4*12.73)+'LINEST VARS'!$A$54*(0.5*12.73)</f>
        <v>3.9749999999999996</v>
      </c>
      <c r="AQ53" s="53">
        <f>'LINEST VARS'!$U$54+'LINEST VARS'!$T$54*($AQ$32)+'LINEST VARS'!$S$54*($Z53)+'LINEST VARS'!$R$54*(4)+'LINEST VARS'!$Q$54*(0.5)+'LINEST VARS'!$P$54*(12.73)+'LINEST VARS'!$O$54*($AQ$32^2)+'LINEST VARS'!$N$54*($Z53^2)+'LINEST VARS'!$M$54*(4^2)+'LINEST VARS'!$L$54*(0.5^2)+'LINEST VARS'!$K$54*(12.73^2)+'LINEST VARS'!$J$54*($AQ$32*$Z53)+'LINEST VARS'!$I$54*($AQ$32*4)+'LINEST VARS'!$H$54*($AQ$32*0.5)+'LINEST VARS'!$G$54*($AQ$32*12.73)+'LINEST VARS'!$F$54*($Z53*4)+'LINEST VARS'!$E$54*($Z53*0.5)+'LINEST VARS'!$D$54*($Z53*12.73)+'LINEST VARS'!$C$54*(4*0.5)+'LINEST VARS'!$B$54*(4*12.73)+'LINEST VARS'!$A$54*(0.5*12.73)</f>
        <v>3.9749999999999996</v>
      </c>
      <c r="AR53" s="53">
        <f>'LINEST VARS'!$U$54+'LINEST VARS'!$T$54*($AR$32)+'LINEST VARS'!$S$54*($Z53)+'LINEST VARS'!$R$54*(4)+'LINEST VARS'!$Q$54*(0.5)+'LINEST VARS'!$P$54*(12.73)+'LINEST VARS'!$O$54*($AR$32^2)+'LINEST VARS'!$N$54*($Z53^2)+'LINEST VARS'!$M$54*(4^2)+'LINEST VARS'!$L$54*(0.5^2)+'LINEST VARS'!$K$54*(12.73^2)+'LINEST VARS'!$J$54*($AR$32*$Z53)+'LINEST VARS'!$I$54*($AR$32*4)+'LINEST VARS'!$H$54*($AR$32*0.5)+'LINEST VARS'!$G$54*($AR$32*12.73)+'LINEST VARS'!$F$54*($Z53*4)+'LINEST VARS'!$E$54*($Z53*0.5)+'LINEST VARS'!$D$54*($Z53*12.73)+'LINEST VARS'!$C$54*(4*0.5)+'LINEST VARS'!$B$54*(4*12.73)+'LINEST VARS'!$A$54*(0.5*12.73)</f>
        <v>3.9749999999999996</v>
      </c>
      <c r="AS53" s="53">
        <f>'LINEST VARS'!$U$54+'LINEST VARS'!$T$54*($AS$32)+'LINEST VARS'!$S$54*($Z53)+'LINEST VARS'!$R$54*(4)+'LINEST VARS'!$Q$54*(0.5)+'LINEST VARS'!$P$54*(12.73)+'LINEST VARS'!$O$54*($AS$32^2)+'LINEST VARS'!$N$54*($Z53^2)+'LINEST VARS'!$M$54*(4^2)+'LINEST VARS'!$L$54*(0.5^2)+'LINEST VARS'!$K$54*(12.73^2)+'LINEST VARS'!$J$54*($AS$32*$Z53)+'LINEST VARS'!$I$54*($AS$32*4)+'LINEST VARS'!$H$54*($AS$32*0.5)+'LINEST VARS'!$G$54*($AS$32*12.73)+'LINEST VARS'!$F$54*($Z53*4)+'LINEST VARS'!$E$54*($Z53*0.5)+'LINEST VARS'!$D$54*($Z53*12.73)+'LINEST VARS'!$C$54*(4*0.5)+'LINEST VARS'!$B$54*(4*12.73)+'LINEST VARS'!$A$54*(0.5*12.73)</f>
        <v>3.9749999999999996</v>
      </c>
      <c r="AT53" s="53">
        <f>'LINEST VARS'!$U$54+'LINEST VARS'!$T$54*($AT$32)+'LINEST VARS'!$S$54*($Z53)+'LINEST VARS'!$R$54*(4)+'LINEST VARS'!$Q$54*(0.5)+'LINEST VARS'!$P$54*(12.73)+'LINEST VARS'!$O$54*($AT$32^2)+'LINEST VARS'!$N$54*($Z53^2)+'LINEST VARS'!$M$54*(4^2)+'LINEST VARS'!$L$54*(0.5^2)+'LINEST VARS'!$K$54*(12.73^2)+'LINEST VARS'!$J$54*($AT$32*$Z53)+'LINEST VARS'!$I$54*($AT$32*4)+'LINEST VARS'!$H$54*($AT$32*0.5)+'LINEST VARS'!$G$54*($AT$32*12.73)+'LINEST VARS'!$F$54*($Z53*4)+'LINEST VARS'!$E$54*($Z53*0.5)+'LINEST VARS'!$D$54*($Z53*12.73)+'LINEST VARS'!$C$54*(4*0.5)+'LINEST VARS'!$B$54*(4*12.73)+'LINEST VARS'!$A$54*(0.5*12.73)</f>
        <v>3.9750000000000001</v>
      </c>
      <c r="AU53" s="54">
        <f>'LINEST VARS'!$U$54+'LINEST VARS'!$T$54*($AU$32)+'LINEST VARS'!$S$54*($Z53)+'LINEST VARS'!$R$54*(4)+'LINEST VARS'!$Q$54*(0.5)+'LINEST VARS'!$P$54*(12.73)+'LINEST VARS'!$O$54*($AU$32^2)+'LINEST VARS'!$N$54*($Z53^2)+'LINEST VARS'!$M$54*(4^2)+'LINEST VARS'!$L$54*(0.5^2)+'LINEST VARS'!$K$54*(12.73^2)+'LINEST VARS'!$J$54*($AU$32*$Z53)+'LINEST VARS'!$I$54*($AU$32*4)+'LINEST VARS'!$H$54*($AU$32*0.5)+'LINEST VARS'!$G$54*($AU$32*12.73)+'LINEST VARS'!$F$54*($Z53*4)+'LINEST VARS'!$E$54*($Z53*0.5)+'LINEST VARS'!$D$54*($Z53*12.73)+'LINEST VARS'!$C$54*(4*0.5)+'LINEST VARS'!$B$54*(4*12.73)+'LINEST VARS'!$A$54*(0.5*12.73)</f>
        <v>3.9750000000000001</v>
      </c>
      <c r="AZ53" s="48">
        <v>1</v>
      </c>
      <c r="BA53" s="53">
        <f>'LINEST VARS'!$U$52+'LINEST VARS'!$T$52*(8)+'LINEST VARS'!$S$52*(8)+'LINEST VARS'!$R$52*($BA$32)+'LINEST VARS'!$Q$52*($AZ53)+'LINEST VARS'!$P$52*(12.73)+'LINEST VARS'!$O$52*(8^2)+'LINEST VARS'!$N$52*(8^2)+'LINEST VARS'!$M$52*($BA$32^2)+'LINEST VARS'!$L$52*($AZ53^2)+'LINEST VARS'!$K$52*(12.73^2)+'LINEST VARS'!$J$52*(8*8)+'LINEST VARS'!$I$52*(8*$BA$32)+'LINEST VARS'!$H$52*(8*$AZ53)+'LINEST VARS'!$G$52*(8*12.73)+'LINEST VARS'!$F$52*(8*$BA$32)+'LINEST VARS'!$E$52*(8*$AZ53)+'LINEST VARS'!$D$52*(8*12.73)+'LINEST VARS'!$C$52*($BA$32*$AZ53)+'LINEST VARS'!$B$52*($BA$32*12.73)+'LINEST VARS'!$A$52*($AZ53*12.73)</f>
        <v>4.3999999999999986</v>
      </c>
      <c r="BB53" s="53">
        <f>'LINEST VARS'!$U$52+'LINEST VARS'!$T$52*(8)+'LINEST VARS'!$S$52*(8)+'LINEST VARS'!$R$52*($BB$32)+'LINEST VARS'!$Q$52*($AZ53)+'LINEST VARS'!$P$52*(12.73)+'LINEST VARS'!$O$52*(8^2)+'LINEST VARS'!$N$52*(8^2)+'LINEST VARS'!$M$52*($BB$32^2)+'LINEST VARS'!$L$52*($AZ53^2)+'LINEST VARS'!$K$52*(12.73^2)+'LINEST VARS'!$J$52*(8*8)+'LINEST VARS'!$I$52*(8*$BB$32)+'LINEST VARS'!$H$52*(8*$AZ53)+'LINEST VARS'!$G$52*(8*12.73)+'LINEST VARS'!$F$52*(8*$BB$32)+'LINEST VARS'!$E$52*(8*$AZ53)+'LINEST VARS'!$D$52*(8*12.73)+'LINEST VARS'!$C$52*($BB$32*$AZ53)+'LINEST VARS'!$B$52*($BB$32*12.73)+'LINEST VARS'!$A$52*($AZ53*12.73)</f>
        <v>4.3999999999999986</v>
      </c>
      <c r="BC53" s="53">
        <f>'LINEST VARS'!$U$52+'LINEST VARS'!$T$52*(8)+'LINEST VARS'!$S$52*(8)+'LINEST VARS'!$R$52*($BC$32)+'LINEST VARS'!$Q$52*($AZ53)+'LINEST VARS'!$P$52*(12.73)+'LINEST VARS'!$O$52*(8^2)+'LINEST VARS'!$N$52*(8^2)+'LINEST VARS'!$M$52*($BC$32^2)+'LINEST VARS'!$L$52*($AZ53^2)+'LINEST VARS'!$K$52*(12.73^2)+'LINEST VARS'!$J$52*(8*8)+'LINEST VARS'!$I$52*(8*$BC$32)+'LINEST VARS'!$H$52*(8*$AZ53)+'LINEST VARS'!$G$52*(8*12.73)+'LINEST VARS'!$F$52*(8*$BC$32)+'LINEST VARS'!$E$52*(8*$AZ53)+'LINEST VARS'!$D$52*(8*12.73)+'LINEST VARS'!$C$52*($BC$32*$AZ53)+'LINEST VARS'!$B$52*($BC$32*12.73)+'LINEST VARS'!$A$52*($AZ53*12.73)</f>
        <v>4.3999999999999986</v>
      </c>
      <c r="BD53" s="53">
        <f>'LINEST VARS'!$U$52+'LINEST VARS'!$T$52*(8)+'LINEST VARS'!$S$52*(8)+'LINEST VARS'!$R$52*($BD$32)+'LINEST VARS'!$Q$52*($AZ53)+'LINEST VARS'!$P$52*(12.73)+'LINEST VARS'!$O$52*(8^2)+'LINEST VARS'!$N$52*(8^2)+'LINEST VARS'!$M$52*($BD$32^2)+'LINEST VARS'!$L$52*($AZ53^2)+'LINEST VARS'!$K$52*(12.73^2)+'LINEST VARS'!$J$52*(8*8)+'LINEST VARS'!$I$52*(8*$BD$32)+'LINEST VARS'!$H$52*(8*$AZ53)+'LINEST VARS'!$G$52*(8*12.73)+'LINEST VARS'!$F$52*(8*$BD$32)+'LINEST VARS'!$E$52*(8*$AZ53)+'LINEST VARS'!$D$52*(8*12.73)+'LINEST VARS'!$C$52*($BD$32*$AZ53)+'LINEST VARS'!$B$52*($BD$32*12.73)+'LINEST VARS'!$A$52*($AZ53*12.73)</f>
        <v>4.3999999999999986</v>
      </c>
      <c r="BE53" s="53">
        <f>'LINEST VARS'!$U$52+'LINEST VARS'!$T$52*(8)+'LINEST VARS'!$S$52*(8)+'LINEST VARS'!$R$52*($BE$32)+'LINEST VARS'!$Q$52*($AZ53)+'LINEST VARS'!$P$52*(12.73)+'LINEST VARS'!$O$52*(8^2)+'LINEST VARS'!$N$52*(8^2)+'LINEST VARS'!$M$52*($BE$32^2)+'LINEST VARS'!$L$52*($AZ53^2)+'LINEST VARS'!$K$52*(12.73^2)+'LINEST VARS'!$J$52*(8*8)+'LINEST VARS'!$I$52*(8*$BE$32)+'LINEST VARS'!$H$52*(8*$AZ53)+'LINEST VARS'!$G$52*(8*12.73)+'LINEST VARS'!$F$52*(8*$BE$32)+'LINEST VARS'!$E$52*(8*$AZ53)+'LINEST VARS'!$D$52*(8*12.73)+'LINEST VARS'!$C$52*($BE$32*$AZ53)+'LINEST VARS'!$B$52*($BE$32*12.73)+'LINEST VARS'!$A$52*($AZ53*12.73)</f>
        <v>4.3999999999999986</v>
      </c>
      <c r="BF53" s="53">
        <f>'LINEST VARS'!$U$52+'LINEST VARS'!$T$52*(8)+'LINEST VARS'!$S$52*(8)+'LINEST VARS'!$R$52*($BF$32)+'LINEST VARS'!$Q$52*($AZ53)+'LINEST VARS'!$P$52*(12.73)+'LINEST VARS'!$O$52*(8^2)+'LINEST VARS'!$N$52*(8^2)+'LINEST VARS'!$M$52*($BF$32^2)+'LINEST VARS'!$L$52*($AZ53^2)+'LINEST VARS'!$K$52*(12.73^2)+'LINEST VARS'!$J$52*(8*8)+'LINEST VARS'!$I$52*(8*$BF$32)+'LINEST VARS'!$H$52*(8*$AZ53)+'LINEST VARS'!$G$52*(8*12.73)+'LINEST VARS'!$F$52*(8*$BF$32)+'LINEST VARS'!$E$52*(8*$AZ53)+'LINEST VARS'!$D$52*(8*12.73)+'LINEST VARS'!$C$52*($BF$32*$AZ53)+'LINEST VARS'!$B$52*($BF$32*12.73)+'LINEST VARS'!$A$52*($AZ53*12.73)</f>
        <v>4.3999999999999986</v>
      </c>
      <c r="BG53" s="53">
        <f>'LINEST VARS'!$U$52+'LINEST VARS'!$T$52*(8)+'LINEST VARS'!$S$52*(8)+'LINEST VARS'!$R$52*($BG$32)+'LINEST VARS'!$Q$52*($AZ53)+'LINEST VARS'!$P$52*(12.73)+'LINEST VARS'!$O$52*(8^2)+'LINEST VARS'!$N$52*(8^2)+'LINEST VARS'!$M$52*($BG$32^2)+'LINEST VARS'!$L$52*($AZ53^2)+'LINEST VARS'!$K$52*(12.73^2)+'LINEST VARS'!$J$52*(8*8)+'LINEST VARS'!$I$52*(8*$BG$32)+'LINEST VARS'!$H$52*(8*$AZ53)+'LINEST VARS'!$G$52*(8*12.73)+'LINEST VARS'!$F$52*(8*$BG$32)+'LINEST VARS'!$E$52*(8*$AZ53)+'LINEST VARS'!$D$52*(8*12.73)+'LINEST VARS'!$C$52*($BG$32*$AZ53)+'LINEST VARS'!$B$52*($BG$32*12.73)+'LINEST VARS'!$A$52*($AZ53*12.73)</f>
        <v>4.3999999999999986</v>
      </c>
      <c r="BH53" s="53">
        <f>'LINEST VARS'!$U$52+'LINEST VARS'!$T$52*(8)+'LINEST VARS'!$S$52*(8)+'LINEST VARS'!$R$52*($BH$32)+'LINEST VARS'!$Q$52*($AZ53)+'LINEST VARS'!$P$52*(12.73)+'LINEST VARS'!$O$52*(8^2)+'LINEST VARS'!$N$52*(8^2)+'LINEST VARS'!$M$52*($BH$32^2)+'LINEST VARS'!$L$52*($AZ53^2)+'LINEST VARS'!$K$52*(12.73^2)+'LINEST VARS'!$J$52*(8*8)+'LINEST VARS'!$I$52*(8*$BH$32)+'LINEST VARS'!$H$52*(8*$AZ53)+'LINEST VARS'!$G$52*(8*12.73)+'LINEST VARS'!$F$52*(8*$BH$32)+'LINEST VARS'!$E$52*(8*$AZ53)+'LINEST VARS'!$D$52*(8*12.73)+'LINEST VARS'!$C$52*($BH$32*$AZ53)+'LINEST VARS'!$B$52*($BH$32*12.73)+'LINEST VARS'!$A$52*($AZ53*12.73)</f>
        <v>4.3999999999999986</v>
      </c>
      <c r="BI53" s="53">
        <f>'LINEST VARS'!$U$52+'LINEST VARS'!$T$52*(8)+'LINEST VARS'!$S$52*(8)+'LINEST VARS'!$R$52*($BI$32)+'LINEST VARS'!$Q$52*($AZ53)+'LINEST VARS'!$P$52*(12.73)+'LINEST VARS'!$O$52*(8^2)+'LINEST VARS'!$N$52*(8^2)+'LINEST VARS'!$M$52*($BI$32^2)+'LINEST VARS'!$L$52*($AZ53^2)+'LINEST VARS'!$K$52*(12.73^2)+'LINEST VARS'!$J$52*(8*8)+'LINEST VARS'!$I$52*(8*$BI$32)+'LINEST VARS'!$H$52*(8*$AZ53)+'LINEST VARS'!$G$52*(8*12.73)+'LINEST VARS'!$F$52*(8*$BI$32)+'LINEST VARS'!$E$52*(8*$AZ53)+'LINEST VARS'!$D$52*(8*12.73)+'LINEST VARS'!$C$52*($BI$32*$AZ53)+'LINEST VARS'!$B$52*($BI$32*12.73)+'LINEST VARS'!$A$52*($AZ53*12.73)</f>
        <v>4.3999999999999986</v>
      </c>
      <c r="BJ53" s="53">
        <f>'LINEST VARS'!$U$52+'LINEST VARS'!$T$52*(8)+'LINEST VARS'!$S$52*(8)+'LINEST VARS'!$R$52*($BJ$32)+'LINEST VARS'!$Q$52*($AZ53)+'LINEST VARS'!$P$52*(12.73)+'LINEST VARS'!$O$52*(8^2)+'LINEST VARS'!$N$52*(8^2)+'LINEST VARS'!$M$52*($BJ$32^2)+'LINEST VARS'!$L$52*($AZ53^2)+'LINEST VARS'!$K$52*(12.73^2)+'LINEST VARS'!$J$52*(8*8)+'LINEST VARS'!$I$52*(8*$BJ$32)+'LINEST VARS'!$H$52*(8*$AZ53)+'LINEST VARS'!$G$52*(8*12.73)+'LINEST VARS'!$F$52*(8*$BJ$32)+'LINEST VARS'!$E$52*(8*$AZ53)+'LINEST VARS'!$D$52*(8*12.73)+'LINEST VARS'!$C$52*($BJ$32*$AZ53)+'LINEST VARS'!$B$52*($BJ$32*12.73)+'LINEST VARS'!$A$52*($AZ53*12.73)</f>
        <v>4.3999999999999986</v>
      </c>
      <c r="BK53" s="53">
        <f>'LINEST VARS'!$U$52+'LINEST VARS'!$T$52*(8)+'LINEST VARS'!$S$52*(8)+'LINEST VARS'!$R$52*($BK$32)+'LINEST VARS'!$Q$52*($AZ53)+'LINEST VARS'!$P$52*(12.73)+'LINEST VARS'!$O$52*(8^2)+'LINEST VARS'!$N$52*(8^2)+'LINEST VARS'!$M$52*($BK$32^2)+'LINEST VARS'!$L$52*($AZ53^2)+'LINEST VARS'!$K$52*(12.73^2)+'LINEST VARS'!$J$52*(8*8)+'LINEST VARS'!$I$52*(8*$BK$32)+'LINEST VARS'!$H$52*(8*$AZ53)+'LINEST VARS'!$G$52*(8*12.73)+'LINEST VARS'!$F$52*(8*$BK$32)+'LINEST VARS'!$E$52*(8*$AZ53)+'LINEST VARS'!$D$52*(8*12.73)+'LINEST VARS'!$C$52*($BK$32*$AZ53)+'LINEST VARS'!$B$52*($BK$32*12.73)+'LINEST VARS'!$A$52*($AZ53*12.73)</f>
        <v>4.3999999999999986</v>
      </c>
      <c r="BL53" s="53">
        <f>'LINEST VARS'!$U$52+'LINEST VARS'!$T$52*(8)+'LINEST VARS'!$S$52*(8)+'LINEST VARS'!$R$52*($BL$32)+'LINEST VARS'!$Q$52*($AZ53)+'LINEST VARS'!$P$52*(12.73)+'LINEST VARS'!$O$52*(8^2)+'LINEST VARS'!$N$52*(8^2)+'LINEST VARS'!$M$52*($BL$32^2)+'LINEST VARS'!$L$52*($AZ53^2)+'LINEST VARS'!$K$52*(12.73^2)+'LINEST VARS'!$J$52*(8*8)+'LINEST VARS'!$I$52*(8*$BL$32)+'LINEST VARS'!$H$52*(8*$AZ53)+'LINEST VARS'!$G$52*(8*12.73)+'LINEST VARS'!$F$52*(8*$BL$32)+'LINEST VARS'!$E$52*(8*$AZ53)+'LINEST VARS'!$D$52*(8*12.73)+'LINEST VARS'!$C$52*($BL$32*$AZ53)+'LINEST VARS'!$B$52*($BL$32*12.73)+'LINEST VARS'!$A$52*($AZ53*12.73)</f>
        <v>4.3999999999999986</v>
      </c>
      <c r="BM53" s="53">
        <f>'LINEST VARS'!$U$52+'LINEST VARS'!$T$52*(8)+'LINEST VARS'!$S$52*(8)+'LINEST VARS'!$R$52*($BM$32)+'LINEST VARS'!$Q$52*($AZ53)+'LINEST VARS'!$P$52*(12.73)+'LINEST VARS'!$O$52*(8^2)+'LINEST VARS'!$N$52*(8^2)+'LINEST VARS'!$M$52*($BM$32^2)+'LINEST VARS'!$L$52*($AZ53^2)+'LINEST VARS'!$K$52*(12.73^2)+'LINEST VARS'!$J$52*(8*8)+'LINEST VARS'!$I$52*(8*$BM$32)+'LINEST VARS'!$H$52*(8*$AZ53)+'LINEST VARS'!$G$52*(8*12.73)+'LINEST VARS'!$F$52*(8*$BM$32)+'LINEST VARS'!$E$52*(8*$AZ53)+'LINEST VARS'!$D$52*(8*12.73)+'LINEST VARS'!$C$52*($BM$32*$AZ53)+'LINEST VARS'!$B$52*($BM$32*12.73)+'LINEST VARS'!$A$52*($AZ53*12.73)</f>
        <v>4.3999999999999986</v>
      </c>
      <c r="BN53" s="53">
        <f>'LINEST VARS'!$U$52+'LINEST VARS'!$T$52*(8)+'LINEST VARS'!$S$52*(8)+'LINEST VARS'!$R$52*($BN$32)+'LINEST VARS'!$Q$52*($AZ53)+'LINEST VARS'!$P$52*(12.73)+'LINEST VARS'!$O$52*(8^2)+'LINEST VARS'!$N$52*(8^2)+'LINEST VARS'!$M$52*($BN$32^2)+'LINEST VARS'!$L$52*($AZ53^2)+'LINEST VARS'!$K$52*(12.73^2)+'LINEST VARS'!$J$52*(8*8)+'LINEST VARS'!$I$52*(8*$BN$32)+'LINEST VARS'!$H$52*(8*$AZ53)+'LINEST VARS'!$G$52*(8*12.73)+'LINEST VARS'!$F$52*(8*$BN$32)+'LINEST VARS'!$E$52*(8*$AZ53)+'LINEST VARS'!$D$52*(8*12.73)+'LINEST VARS'!$C$52*($BN$32*$AZ53)+'LINEST VARS'!$B$52*($BN$32*12.73)+'LINEST VARS'!$A$52*($AZ53*12.73)</f>
        <v>4.3999999999999986</v>
      </c>
      <c r="BO53" s="53">
        <f>'LINEST VARS'!$U$52+'LINEST VARS'!$T$52*(8)+'LINEST VARS'!$S$52*(8)+'LINEST VARS'!$R$52*($BO$32)+'LINEST VARS'!$Q$52*($AZ53)+'LINEST VARS'!$P$52*(12.73)+'LINEST VARS'!$O$52*(8^2)+'LINEST VARS'!$N$52*(8^2)+'LINEST VARS'!$M$52*($BO$32^2)+'LINEST VARS'!$L$52*($AZ53^2)+'LINEST VARS'!$K$52*(12.73^2)+'LINEST VARS'!$J$52*(8*8)+'LINEST VARS'!$I$52*(8*$BO$32)+'LINEST VARS'!$H$52*(8*$AZ53)+'LINEST VARS'!$G$52*(8*12.73)+'LINEST VARS'!$F$52*(8*$BO$32)+'LINEST VARS'!$E$52*(8*$AZ53)+'LINEST VARS'!$D$52*(8*12.73)+'LINEST VARS'!$C$52*($BO$32*$AZ53)+'LINEST VARS'!$B$52*($BO$32*12.73)+'LINEST VARS'!$A$52*($AZ53*12.73)</f>
        <v>4.3999999999999986</v>
      </c>
      <c r="BP53" s="53">
        <f>'LINEST VARS'!$U$52+'LINEST VARS'!$T$52*(8)+'LINEST VARS'!$S$52*(8)+'LINEST VARS'!$R$52*($BP$32)+'LINEST VARS'!$Q$52*($AZ53)+'LINEST VARS'!$P$52*(12.73)+'LINEST VARS'!$O$52*(8^2)+'LINEST VARS'!$N$52*(8^2)+'LINEST VARS'!$M$52*($BP$32^2)+'LINEST VARS'!$L$52*($AZ53^2)+'LINEST VARS'!$K$52*(12.73^2)+'LINEST VARS'!$J$52*(8*8)+'LINEST VARS'!$I$52*(8*$BP$32)+'LINEST VARS'!$H$52*(8*$AZ53)+'LINEST VARS'!$G$52*(8*12.73)+'LINEST VARS'!$F$52*(8*$BP$32)+'LINEST VARS'!$E$52*(8*$AZ53)+'LINEST VARS'!$D$52*(8*12.73)+'LINEST VARS'!$C$52*($BP$32*$AZ53)+'LINEST VARS'!$B$52*($BP$32*12.73)+'LINEST VARS'!$A$52*($AZ53*12.73)</f>
        <v>4.3999999999999986</v>
      </c>
      <c r="BQ53" s="53">
        <f>'LINEST VARS'!$U$52+'LINEST VARS'!$T$52*(8)+'LINEST VARS'!$S$52*(8)+'LINEST VARS'!$R$52*($BQ$32)+'LINEST VARS'!$Q$52*($AZ53)+'LINEST VARS'!$P$52*(12.73)+'LINEST VARS'!$O$52*(8^2)+'LINEST VARS'!$N$52*(8^2)+'LINEST VARS'!$M$52*($BQ$32^2)+'LINEST VARS'!$L$52*($AZ53^2)+'LINEST VARS'!$K$52*(12.73^2)+'LINEST VARS'!$J$52*(8*8)+'LINEST VARS'!$I$52*(8*$BQ$32)+'LINEST VARS'!$H$52*(8*$AZ53)+'LINEST VARS'!$G$52*(8*12.73)+'LINEST VARS'!$F$52*(8*$BQ$32)+'LINEST VARS'!$E$52*(8*$AZ53)+'LINEST VARS'!$D$52*(8*12.73)+'LINEST VARS'!$C$52*($BQ$32*$AZ53)+'LINEST VARS'!$B$52*($BQ$32*12.73)+'LINEST VARS'!$A$52*($AZ53*12.73)</f>
        <v>4.3999999999999986</v>
      </c>
      <c r="BR53" s="53">
        <f>'LINEST VARS'!$U$52+'LINEST VARS'!$T$52*(8)+'LINEST VARS'!$S$52*(8)+'LINEST VARS'!$R$52*($BR$32)+'LINEST VARS'!$Q$52*($AZ53)+'LINEST VARS'!$P$52*(12.73)+'LINEST VARS'!$O$52*(8^2)+'LINEST VARS'!$N$52*(8^2)+'LINEST VARS'!$M$52*($BR$32^2)+'LINEST VARS'!$L$52*($AZ53^2)+'LINEST VARS'!$K$52*(12.73^2)+'LINEST VARS'!$J$52*(8*8)+'LINEST VARS'!$I$52*(8*$BR$32)+'LINEST VARS'!$H$52*(8*$AZ53)+'LINEST VARS'!$G$52*(8*12.73)+'LINEST VARS'!$F$52*(8*$BR$32)+'LINEST VARS'!$E$52*(8*$AZ53)+'LINEST VARS'!$D$52*(8*12.73)+'LINEST VARS'!$C$52*($BR$32*$AZ53)+'LINEST VARS'!$B$52*($BR$32*12.73)+'LINEST VARS'!$A$52*($AZ53*12.73)</f>
        <v>4.3999999999999986</v>
      </c>
      <c r="BS53" s="53">
        <f>'LINEST VARS'!$U$52+'LINEST VARS'!$T$52*(8)+'LINEST VARS'!$S$52*(8)+'LINEST VARS'!$R$52*($BS$32)+'LINEST VARS'!$Q$52*($AZ53)+'LINEST VARS'!$P$52*(12.73)+'LINEST VARS'!$O$52*(8^2)+'LINEST VARS'!$N$52*(8^2)+'LINEST VARS'!$M$52*($BS$32^2)+'LINEST VARS'!$L$52*($AZ53^2)+'LINEST VARS'!$K$52*(12.73^2)+'LINEST VARS'!$J$52*(8*8)+'LINEST VARS'!$I$52*(8*$BS$32)+'LINEST VARS'!$H$52*(8*$AZ53)+'LINEST VARS'!$G$52*(8*12.73)+'LINEST VARS'!$F$52*(8*$BS$32)+'LINEST VARS'!$E$52*(8*$AZ53)+'LINEST VARS'!$D$52*(8*12.73)+'LINEST VARS'!$C$52*($BS$32*$AZ53)+'LINEST VARS'!$B$52*($BS$32*12.73)+'LINEST VARS'!$A$52*($AZ53*12.73)</f>
        <v>4.3999999999999986</v>
      </c>
      <c r="BT53" s="53">
        <f>'LINEST VARS'!$U$52+'LINEST VARS'!$T$52*(8)+'LINEST VARS'!$S$52*(8)+'LINEST VARS'!$R$52*($BT$32)+'LINEST VARS'!$Q$52*($AZ53)+'LINEST VARS'!$P$52*(12.73)+'LINEST VARS'!$O$52*(8^2)+'LINEST VARS'!$N$52*(8^2)+'LINEST VARS'!$M$52*($BT$32^2)+'LINEST VARS'!$L$52*($AZ53^2)+'LINEST VARS'!$K$52*(12.73^2)+'LINEST VARS'!$J$52*(8*8)+'LINEST VARS'!$I$52*(8*$BT$32)+'LINEST VARS'!$H$52*(8*$AZ53)+'LINEST VARS'!$G$52*(8*12.73)+'LINEST VARS'!$F$52*(8*$BT$32)+'LINEST VARS'!$E$52*(8*$AZ53)+'LINEST VARS'!$D$52*(8*12.73)+'LINEST VARS'!$C$52*($BT$32*$AZ53)+'LINEST VARS'!$B$52*($BT$32*12.73)+'LINEST VARS'!$A$52*($AZ53*12.73)</f>
        <v>4.3999999999999986</v>
      </c>
      <c r="BU53" s="54">
        <f>'LINEST VARS'!$U$52+'LINEST VARS'!$T$52*(8)+'LINEST VARS'!$S$52*(8)+'LINEST VARS'!$R$52*($BU$32)+'LINEST VARS'!$Q$52*($AZ53)+'LINEST VARS'!$P$52*(12.73)+'LINEST VARS'!$O$52*(8^2)+'LINEST VARS'!$N$52*(8^2)+'LINEST VARS'!$M$52*($BU$32^2)+'LINEST VARS'!$L$52*($AZ53^2)+'LINEST VARS'!$K$52*(12.73^2)+'LINEST VARS'!$J$52*(8*8)+'LINEST VARS'!$I$52*(8*$BU$32)+'LINEST VARS'!$H$52*(8*$AZ53)+'LINEST VARS'!$G$52*(8*12.73)+'LINEST VARS'!$F$52*(8*$BU$32)+'LINEST VARS'!$E$52*(8*$AZ53)+'LINEST VARS'!$D$52*(8*12.73)+'LINEST VARS'!$C$52*($BU$32*$AZ53)+'LINEST VARS'!$B$52*($BU$32*12.73)+'LINEST VARS'!$A$52*($AZ53*12.73)</f>
        <v>4.3999999999999986</v>
      </c>
      <c r="BX53" s="48">
        <v>1</v>
      </c>
      <c r="BY53" s="53">
        <f>'LINEST VARS'!$U$54+'LINEST VARS'!$T$54*(8)+'LINEST VARS'!$S$54*(8)+'LINEST VARS'!$R$54*($BY$32)+'LINEST VARS'!$Q$54*($BX53)+'LINEST VARS'!$P$54*(12.73)+'LINEST VARS'!$O$54*(8^2)+'LINEST VARS'!$N$54*(8^2)+'LINEST VARS'!$M$54*($BY$32^2)+'LINEST VARS'!$L$54*($BX53^2)+'LINEST VARS'!$K$54*(12.73^2)+'LINEST VARS'!$J$54*(8*8)+'LINEST VARS'!$I$54*(8*$BY$32)+'LINEST VARS'!$H$54*(8*$BX53)+'LINEST VARS'!$G$54*(8*12.73)+'LINEST VARS'!$F$54*(8*$BY$32)+'LINEST VARS'!$E$54*(8*$BX53)+'LINEST VARS'!$D$54*(8*12.73)+'LINEST VARS'!$C$54*($BY$32*$BX53)+'LINEST VARS'!$B$54*($BY$32*12.73)+'LINEST VARS'!$A$54*($BX53*12.73)</f>
        <v>3.9499999999999997</v>
      </c>
      <c r="BZ53" s="53">
        <f>'LINEST VARS'!$U$54+'LINEST VARS'!$T$54*(8)+'LINEST VARS'!$S$54*(8)+'LINEST VARS'!$R$54*($BZ$32)+'LINEST VARS'!$Q$54*($BX53)+'LINEST VARS'!$P$54*(12.73)+'LINEST VARS'!$O$54*(8^2)+'LINEST VARS'!$N$54*(8^2)+'LINEST VARS'!$M$54*($BZ$32^2)+'LINEST VARS'!$L$54*($BX53^2)+'LINEST VARS'!$K$54*(12.73^2)+'LINEST VARS'!$J$54*(8*8)+'LINEST VARS'!$I$54*(8*$BZ$32)+'LINEST VARS'!$H$54*(8*$BX53)+'LINEST VARS'!$G$54*(8*12.73)+'LINEST VARS'!$F$54*(8*$BZ$32)+'LINEST VARS'!$E$54*(8*$BX53)+'LINEST VARS'!$D$54*(8*12.73)+'LINEST VARS'!$C$54*($BZ$32*$BX53)+'LINEST VARS'!$B$54*($BZ$32*12.73)+'LINEST VARS'!$A$54*($BX53*12.73)</f>
        <v>3.9499999999999997</v>
      </c>
      <c r="CA53" s="53">
        <f>'LINEST VARS'!$U$54+'LINEST VARS'!$T$54*(8)+'LINEST VARS'!$S$54*(8)+'LINEST VARS'!$R$54*($CA$32)+'LINEST VARS'!$Q$54*($BX53)+'LINEST VARS'!$P$54*(12.73)+'LINEST VARS'!$O$54*(8^2)+'LINEST VARS'!$N$54*(8^2)+'LINEST VARS'!$M$54*($CA$32^2)+'LINEST VARS'!$L$54*($BX53^2)+'LINEST VARS'!$K$54*(12.73^2)+'LINEST VARS'!$J$54*(8*8)+'LINEST VARS'!$I$54*(8*$CA$32)+'LINEST VARS'!$H$54*(8*$BX53)+'LINEST VARS'!$G$54*(8*12.73)+'LINEST VARS'!$F$54*(8*$CA$32)+'LINEST VARS'!$E$54*(8*$BX53)+'LINEST VARS'!$D$54*(8*12.73)+'LINEST VARS'!$C$54*($CA$32*$BX53)+'LINEST VARS'!$B$54*($CA$32*12.73)+'LINEST VARS'!$A$54*($BX53*12.73)</f>
        <v>3.9499999999999997</v>
      </c>
      <c r="CB53" s="53">
        <f>'LINEST VARS'!$U$54+'LINEST VARS'!$T$54*(8)+'LINEST VARS'!$S$54*(8)+'LINEST VARS'!$R$54*($CB$32)+'LINEST VARS'!$Q$54*($BX53)+'LINEST VARS'!$P$54*(12.73)+'LINEST VARS'!$O$54*(8^2)+'LINEST VARS'!$N$54*(8^2)+'LINEST VARS'!$M$54*($CB$32^2)+'LINEST VARS'!$L$54*($BX53^2)+'LINEST VARS'!$K$54*(12.73^2)+'LINEST VARS'!$J$54*(8*8)+'LINEST VARS'!$I$54*(8*$CB$32)+'LINEST VARS'!$H$54*(8*$BX53)+'LINEST VARS'!$G$54*(8*12.73)+'LINEST VARS'!$F$54*(8*$CB$32)+'LINEST VARS'!$E$54*(8*$BX53)+'LINEST VARS'!$D$54*(8*12.73)+'LINEST VARS'!$C$54*($CB$32*$BX53)+'LINEST VARS'!$B$54*($CB$32*12.73)+'LINEST VARS'!$A$54*($BX53*12.73)</f>
        <v>3.9499999999999997</v>
      </c>
      <c r="CC53" s="53">
        <f>'LINEST VARS'!$U$54+'LINEST VARS'!$T$54*(8)+'LINEST VARS'!$S$54*(8)+'LINEST VARS'!$R$54*($CC$32)+'LINEST VARS'!$Q$54*($BX53)+'LINEST VARS'!$P$54*(12.73)+'LINEST VARS'!$O$54*(8^2)+'LINEST VARS'!$N$54*(8^2)+'LINEST VARS'!$M$54*($CC$32^2)+'LINEST VARS'!$L$54*($BX53^2)+'LINEST VARS'!$K$54*(12.73^2)+'LINEST VARS'!$J$54*(8*8)+'LINEST VARS'!$I$54*(8*$CC$32)+'LINEST VARS'!$H$54*(8*$BX53)+'LINEST VARS'!$G$54*(8*12.73)+'LINEST VARS'!$F$54*(8*$CC$32)+'LINEST VARS'!$E$54*(8*$BX53)+'LINEST VARS'!$D$54*(8*12.73)+'LINEST VARS'!$C$54*($CC$32*$BX53)+'LINEST VARS'!$B$54*($CC$32*12.73)+'LINEST VARS'!$A$54*($BX53*12.73)</f>
        <v>3.9499999999999997</v>
      </c>
      <c r="CD53" s="53">
        <f>'LINEST VARS'!$U$54+'LINEST VARS'!$T$54*(8)+'LINEST VARS'!$S$54*(8)+'LINEST VARS'!$R$54*($CD$32)+'LINEST VARS'!$Q$54*($BX53)+'LINEST VARS'!$P$54*(12.73)+'LINEST VARS'!$O$54*(8^2)+'LINEST VARS'!$N$54*(8^2)+'LINEST VARS'!$M$54*($CD$32^2)+'LINEST VARS'!$L$54*($BX53^2)+'LINEST VARS'!$K$54*(12.73^2)+'LINEST VARS'!$J$54*(8*8)+'LINEST VARS'!$I$54*(8*$CD$32)+'LINEST VARS'!$H$54*(8*$BX53)+'LINEST VARS'!$G$54*(8*12.73)+'LINEST VARS'!$F$54*(8*$CD$32)+'LINEST VARS'!$E$54*(8*$BX53)+'LINEST VARS'!$D$54*(8*12.73)+'LINEST VARS'!$C$54*($CD$32*$BX53)+'LINEST VARS'!$B$54*($CD$32*12.73)+'LINEST VARS'!$A$54*($BX53*12.73)</f>
        <v>3.9499999999999997</v>
      </c>
      <c r="CE53" s="53">
        <f>'LINEST VARS'!$U$54+'LINEST VARS'!$T$54*(8)+'LINEST VARS'!$S$54*(8)+'LINEST VARS'!$R$54*($CE$32)+'LINEST VARS'!$Q$54*($BX53)+'LINEST VARS'!$P$54*(12.73)+'LINEST VARS'!$O$54*(8^2)+'LINEST VARS'!$N$54*(8^2)+'LINEST VARS'!$M$54*($CE$32^2)+'LINEST VARS'!$L$54*($BX53^2)+'LINEST VARS'!$K$54*(12.73^2)+'LINEST VARS'!$J$54*(8*8)+'LINEST VARS'!$I$54*(8*$CE$32)+'LINEST VARS'!$H$54*(8*$BX53)+'LINEST VARS'!$G$54*(8*12.73)+'LINEST VARS'!$F$54*(8*$CE$32)+'LINEST VARS'!$E$54*(8*$BX53)+'LINEST VARS'!$D$54*(8*12.73)+'LINEST VARS'!$C$54*($CE$32*$BX53)+'LINEST VARS'!$B$54*($CE$32*12.73)+'LINEST VARS'!$A$54*($BX53*12.73)</f>
        <v>3.9499999999999997</v>
      </c>
      <c r="CF53" s="53">
        <f>'LINEST VARS'!$U$54+'LINEST VARS'!$T$54*(8)+'LINEST VARS'!$S$54*(8)+'LINEST VARS'!$R$54*($CF$32)+'LINEST VARS'!$Q$54*($BX53)+'LINEST VARS'!$P$54*(12.73)+'LINEST VARS'!$O$54*(8^2)+'LINEST VARS'!$N$54*(8^2)+'LINEST VARS'!$M$54*($CF$32^2)+'LINEST VARS'!$L$54*($BX53^2)+'LINEST VARS'!$K$54*(12.73^2)+'LINEST VARS'!$J$54*(8*8)+'LINEST VARS'!$I$54*(8*$CF$32)+'LINEST VARS'!$H$54*(8*$BX53)+'LINEST VARS'!$G$54*(8*12.73)+'LINEST VARS'!$F$54*(8*$CF$32)+'LINEST VARS'!$E$54*(8*$BX53)+'LINEST VARS'!$D$54*(8*12.73)+'LINEST VARS'!$C$54*($CF$32*$BX53)+'LINEST VARS'!$B$54*($CF$32*12.73)+'LINEST VARS'!$A$54*($BX53*12.73)</f>
        <v>3.9499999999999997</v>
      </c>
      <c r="CG53" s="53">
        <f>'LINEST VARS'!$U$54+'LINEST VARS'!$T$54*(8)+'LINEST VARS'!$S$54*(8)+'LINEST VARS'!$R$54*($CG$32)+'LINEST VARS'!$Q$54*($BX53)+'LINEST VARS'!$P$54*(12.73)+'LINEST VARS'!$O$54*(8^2)+'LINEST VARS'!$N$54*(8^2)+'LINEST VARS'!$M$54*($CG$32^2)+'LINEST VARS'!$L$54*($BX53^2)+'LINEST VARS'!$K$54*(12.73^2)+'LINEST VARS'!$J$54*(8*8)+'LINEST VARS'!$I$54*(8*$CG$32)+'LINEST VARS'!$H$54*(8*$BX53)+'LINEST VARS'!$G$54*(8*12.73)+'LINEST VARS'!$F$54*(8*$CG$32)+'LINEST VARS'!$E$54*(8*$BX53)+'LINEST VARS'!$D$54*(8*12.73)+'LINEST VARS'!$C$54*($CG$32*$BX53)+'LINEST VARS'!$B$54*($CG$32*12.73)+'LINEST VARS'!$A$54*($BX53*12.73)</f>
        <v>3.9499999999999997</v>
      </c>
      <c r="CH53" s="53">
        <f>'LINEST VARS'!$U$54+'LINEST VARS'!$T$54*(8)+'LINEST VARS'!$S$54*(8)+'LINEST VARS'!$R$54*($CH$32)+'LINEST VARS'!$Q$54*($BX53)+'LINEST VARS'!$P$54*(12.73)+'LINEST VARS'!$O$54*(8^2)+'LINEST VARS'!$N$54*(8^2)+'LINEST VARS'!$M$54*($CH$32^2)+'LINEST VARS'!$L$54*($BX53^2)+'LINEST VARS'!$K$54*(12.73^2)+'LINEST VARS'!$J$54*(8*8)+'LINEST VARS'!$I$54*(8*$CH$32)+'LINEST VARS'!$H$54*(8*$BX53)+'LINEST VARS'!$G$54*(8*12.73)+'LINEST VARS'!$F$54*(8*$CH$32)+'LINEST VARS'!$E$54*(8*$BX53)+'LINEST VARS'!$D$54*(8*12.73)+'LINEST VARS'!$C$54*($CH$32*$BX53)+'LINEST VARS'!$B$54*($CH$32*12.73)+'LINEST VARS'!$A$54*($BX53*12.73)</f>
        <v>3.9499999999999997</v>
      </c>
      <c r="CI53" s="53">
        <f>'LINEST VARS'!$U$54+'LINEST VARS'!$T$54*(8)+'LINEST VARS'!$S$54*(8)+'LINEST VARS'!$R$54*($CI$32)+'LINEST VARS'!$Q$54*($BX53)+'LINEST VARS'!$P$54*(12.73)+'LINEST VARS'!$O$54*(8^2)+'LINEST VARS'!$N$54*(8^2)+'LINEST VARS'!$M$54*($CI$32^2)+'LINEST VARS'!$L$54*($BX53^2)+'LINEST VARS'!$K$54*(12.73^2)+'LINEST VARS'!$J$54*(8*8)+'LINEST VARS'!$I$54*(8*$CI$32)+'LINEST VARS'!$H$54*(8*$BX53)+'LINEST VARS'!$G$54*(8*12.73)+'LINEST VARS'!$F$54*(8*$CI$32)+'LINEST VARS'!$E$54*(8*$BX53)+'LINEST VARS'!$D$54*(8*12.73)+'LINEST VARS'!$C$54*($CI$32*$BX53)+'LINEST VARS'!$B$54*($CI$32*12.73)+'LINEST VARS'!$A$54*($BX53*12.73)</f>
        <v>3.9499999999999997</v>
      </c>
      <c r="CJ53" s="53">
        <f>'LINEST VARS'!$U$54+'LINEST VARS'!$T$54*(8)+'LINEST VARS'!$S$54*(8)+'LINEST VARS'!$R$54*($CJ$32)+'LINEST VARS'!$Q$54*($BX53)+'LINEST VARS'!$P$54*(12.73)+'LINEST VARS'!$O$54*(8^2)+'LINEST VARS'!$N$54*(8^2)+'LINEST VARS'!$M$54*($CJ$32^2)+'LINEST VARS'!$L$54*($BX53^2)+'LINEST VARS'!$K$54*(12.73^2)+'LINEST VARS'!$J$54*(8*8)+'LINEST VARS'!$I$54*(8*$CJ$32)+'LINEST VARS'!$H$54*(8*$BX53)+'LINEST VARS'!$G$54*(8*12.73)+'LINEST VARS'!$F$54*(8*$CJ$32)+'LINEST VARS'!$E$54*(8*$BX53)+'LINEST VARS'!$D$54*(8*12.73)+'LINEST VARS'!$C$54*($CJ$32*$BX53)+'LINEST VARS'!$B$54*($CJ$32*12.73)+'LINEST VARS'!$A$54*($BX53*12.73)</f>
        <v>3.9499999999999997</v>
      </c>
      <c r="CK53" s="53">
        <f>'LINEST VARS'!$U$54+'LINEST VARS'!$T$54*(8)+'LINEST VARS'!$S$54*(8)+'LINEST VARS'!$R$54*($CK$32)+'LINEST VARS'!$Q$54*($BX53)+'LINEST VARS'!$P$54*(12.73)+'LINEST VARS'!$O$54*(8^2)+'LINEST VARS'!$N$54*(8^2)+'LINEST VARS'!$M$54*($CK$32^2)+'LINEST VARS'!$L$54*($BX53^2)+'LINEST VARS'!$K$54*(12.73^2)+'LINEST VARS'!$J$54*(8*8)+'LINEST VARS'!$I$54*(8*$CK$32)+'LINEST VARS'!$H$54*(8*$BX53)+'LINEST VARS'!$G$54*(8*12.73)+'LINEST VARS'!$F$54*(8*$CK$32)+'LINEST VARS'!$E$54*(8*$BX53)+'LINEST VARS'!$D$54*(8*12.73)+'LINEST VARS'!$C$54*($CK$32*$BX53)+'LINEST VARS'!$B$54*($CK$32*12.73)+'LINEST VARS'!$A$54*($BX53*12.73)</f>
        <v>3.9499999999999997</v>
      </c>
      <c r="CL53" s="53">
        <f>'LINEST VARS'!$U$54+'LINEST VARS'!$T$54*(8)+'LINEST VARS'!$S$54*(8)+'LINEST VARS'!$R$54*($CL$32)+'LINEST VARS'!$Q$54*($BX53)+'LINEST VARS'!$P$54*(12.73)+'LINEST VARS'!$O$54*(8^2)+'LINEST VARS'!$N$54*(8^2)+'LINEST VARS'!$M$54*($CL$32^2)+'LINEST VARS'!$L$54*($BX53^2)+'LINEST VARS'!$K$54*(12.73^2)+'LINEST VARS'!$J$54*(8*8)+'LINEST VARS'!$I$54*(8*$CL$32)+'LINEST VARS'!$H$54*(8*$BX53)+'LINEST VARS'!$G$54*(8*12.73)+'LINEST VARS'!$F$54*(8*$CL$32)+'LINEST VARS'!$E$54*(8*$BX53)+'LINEST VARS'!$D$54*(8*12.73)+'LINEST VARS'!$C$54*($CL$32*$BX53)+'LINEST VARS'!$B$54*($CL$32*12.73)+'LINEST VARS'!$A$54*($BX53*12.73)</f>
        <v>3.9499999999999997</v>
      </c>
      <c r="CM53" s="53">
        <f>'LINEST VARS'!$U$54+'LINEST VARS'!$T$54*(8)+'LINEST VARS'!$S$54*(8)+'LINEST VARS'!$R$54*($CM$32)+'LINEST VARS'!$Q$54*($BX53)+'LINEST VARS'!$P$54*(12.73)+'LINEST VARS'!$O$54*(8^2)+'LINEST VARS'!$N$54*(8^2)+'LINEST VARS'!$M$54*($CM$32^2)+'LINEST VARS'!$L$54*($BX53^2)+'LINEST VARS'!$K$54*(12.73^2)+'LINEST VARS'!$J$54*(8*8)+'LINEST VARS'!$I$54*(8*$CM$32)+'LINEST VARS'!$H$54*(8*$BX53)+'LINEST VARS'!$G$54*(8*12.73)+'LINEST VARS'!$F$54*(8*$CM$32)+'LINEST VARS'!$E$54*(8*$BX53)+'LINEST VARS'!$D$54*(8*12.73)+'LINEST VARS'!$C$54*($CM$32*$BX53)+'LINEST VARS'!$B$54*($CM$32*12.73)+'LINEST VARS'!$A$54*($BX53*12.73)</f>
        <v>3.9499999999999997</v>
      </c>
      <c r="CN53" s="53">
        <f>'LINEST VARS'!$U$54+'LINEST VARS'!$T$54*(8)+'LINEST VARS'!$S$54*(8)+'LINEST VARS'!$R$54*($CN$32)+'LINEST VARS'!$Q$54*($BX53)+'LINEST VARS'!$P$54*(12.73)+'LINEST VARS'!$O$54*(8^2)+'LINEST VARS'!$N$54*(8^2)+'LINEST VARS'!$M$54*($CN$32^2)+'LINEST VARS'!$L$54*($BX53^2)+'LINEST VARS'!$K$54*(12.73^2)+'LINEST VARS'!$J$54*(8*8)+'LINEST VARS'!$I$54*(8*$CN$32)+'LINEST VARS'!$H$54*(8*$BX53)+'LINEST VARS'!$G$54*(8*12.73)+'LINEST VARS'!$F$54*(8*$CN$32)+'LINEST VARS'!$E$54*(8*$BX53)+'LINEST VARS'!$D$54*(8*12.73)+'LINEST VARS'!$C$54*($CN$32*$BX53)+'LINEST VARS'!$B$54*($CN$32*12.73)+'LINEST VARS'!$A$54*($BX53*12.73)</f>
        <v>3.9499999999999997</v>
      </c>
      <c r="CO53" s="53">
        <f>'LINEST VARS'!$U$54+'LINEST VARS'!$T$54*(8)+'LINEST VARS'!$S$54*(8)+'LINEST VARS'!$R$54*($CO$32)+'LINEST VARS'!$Q$54*($BX53)+'LINEST VARS'!$P$54*(12.73)+'LINEST VARS'!$O$54*(8^2)+'LINEST VARS'!$N$54*(8^2)+'LINEST VARS'!$M$54*($CO$32^2)+'LINEST VARS'!$L$54*($BX53^2)+'LINEST VARS'!$K$54*(12.73^2)+'LINEST VARS'!$J$54*(8*8)+'LINEST VARS'!$I$54*(8*$CO$32)+'LINEST VARS'!$H$54*(8*$BX53)+'LINEST VARS'!$G$54*(8*12.73)+'LINEST VARS'!$F$54*(8*$CO$32)+'LINEST VARS'!$E$54*(8*$BX53)+'LINEST VARS'!$D$54*(8*12.73)+'LINEST VARS'!$C$54*($CO$32*$BX53)+'LINEST VARS'!$B$54*($CO$32*12.73)+'LINEST VARS'!$A$54*($BX53*12.73)</f>
        <v>3.9499999999999997</v>
      </c>
      <c r="CP53" s="53">
        <f>'LINEST VARS'!$U$54+'LINEST VARS'!$T$54*(8)+'LINEST VARS'!$S$54*(8)+'LINEST VARS'!$R$54*($CP$32)+'LINEST VARS'!$Q$54*($BX53)+'LINEST VARS'!$P$54*(12.73)+'LINEST VARS'!$O$54*(8^2)+'LINEST VARS'!$N$54*(8^2)+'LINEST VARS'!$M$54*($CP$32^2)+'LINEST VARS'!$L$54*($BX53^2)+'LINEST VARS'!$K$54*(12.73^2)+'LINEST VARS'!$J$54*(8*8)+'LINEST VARS'!$I$54*(8*$CP$32)+'LINEST VARS'!$H$54*(8*$BX53)+'LINEST VARS'!$G$54*(8*12.73)+'LINEST VARS'!$F$54*(8*$CP$32)+'LINEST VARS'!$E$54*(8*$BX53)+'LINEST VARS'!$D$54*(8*12.73)+'LINEST VARS'!$C$54*($CP$32*$BX53)+'LINEST VARS'!$B$54*($CP$32*12.73)+'LINEST VARS'!$A$54*($BX53*12.73)</f>
        <v>3.9499999999999997</v>
      </c>
      <c r="CQ53" s="53">
        <f>'LINEST VARS'!$U$54+'LINEST VARS'!$T$54*(8)+'LINEST VARS'!$S$54*(8)+'LINEST VARS'!$R$54*($CQ$32)+'LINEST VARS'!$Q$54*($BX53)+'LINEST VARS'!$P$54*(12.73)+'LINEST VARS'!$O$54*(8^2)+'LINEST VARS'!$N$54*(8^2)+'LINEST VARS'!$M$54*($CQ$32^2)+'LINEST VARS'!$L$54*($BX53^2)+'LINEST VARS'!$K$54*(12.73^2)+'LINEST VARS'!$J$54*(8*8)+'LINEST VARS'!$I$54*(8*$CQ$32)+'LINEST VARS'!$H$54*(8*$BX53)+'LINEST VARS'!$G$54*(8*12.73)+'LINEST VARS'!$F$54*(8*$CQ$32)+'LINEST VARS'!$E$54*(8*$BX53)+'LINEST VARS'!$D$54*(8*12.73)+'LINEST VARS'!$C$54*($CQ$32*$BX53)+'LINEST VARS'!$B$54*($CQ$32*12.73)+'LINEST VARS'!$A$54*($BX53*12.73)</f>
        <v>3.9499999999999997</v>
      </c>
      <c r="CR53" s="53">
        <f>'LINEST VARS'!$U$54+'LINEST VARS'!$T$54*(8)+'LINEST VARS'!$S$54*(8)+'LINEST VARS'!$R$54*($CR$32)+'LINEST VARS'!$Q$54*($BX53)+'LINEST VARS'!$P$54*(12.73)+'LINEST VARS'!$O$54*(8^2)+'LINEST VARS'!$N$54*(8^2)+'LINEST VARS'!$M$54*($CR$32^2)+'LINEST VARS'!$L$54*($BX53^2)+'LINEST VARS'!$K$54*(12.73^2)+'LINEST VARS'!$J$54*(8*8)+'LINEST VARS'!$I$54*(8*$CR$32)+'LINEST VARS'!$H$54*(8*$BX53)+'LINEST VARS'!$G$54*(8*12.73)+'LINEST VARS'!$F$54*(8*$CR$32)+'LINEST VARS'!$E$54*(8*$BX53)+'LINEST VARS'!$D$54*(8*12.73)+'LINEST VARS'!$C$54*($CR$32*$BX53)+'LINEST VARS'!$B$54*($CR$32*12.73)+'LINEST VARS'!$A$54*($BX53*12.73)</f>
        <v>3.9499999999999997</v>
      </c>
      <c r="CS53" s="54">
        <f>'LINEST VARS'!$U$54+'LINEST VARS'!$T$54*(8)+'LINEST VARS'!$S$54*(8)+'LINEST VARS'!$R$54*($CS$32)+'LINEST VARS'!$Q$54*($BX53)+'LINEST VARS'!$P$54*(12.73)+'LINEST VARS'!$O$54*(8^2)+'LINEST VARS'!$N$54*(8^2)+'LINEST VARS'!$M$54*($CS$32^2)+'LINEST VARS'!$L$54*($BX53^2)+'LINEST VARS'!$K$54*(12.73^2)+'LINEST VARS'!$J$54*(8*8)+'LINEST VARS'!$I$54*(8*$CS$32)+'LINEST VARS'!$H$54*(8*$BX53)+'LINEST VARS'!$G$54*(8*12.73)+'LINEST VARS'!$F$54*(8*$CS$32)+'LINEST VARS'!$E$54*(8*$BX53)+'LINEST VARS'!$D$54*(8*12.73)+'LINEST VARS'!$C$54*($CS$32*$BX53)+'LINEST VARS'!$B$54*($CS$32*12.73)+'LINEST VARS'!$A$54*($BX53*12.73)</f>
        <v>3.9499999999999997</v>
      </c>
      <c r="CX53" s="48">
        <v>25.99</v>
      </c>
      <c r="CY53" s="53">
        <f>'LINEST VARS'!$U$52+'LINEST VARS'!$T$52*(8)+'LINEST VARS'!$S$52*(8)+'LINEST VARS'!$R$52*($CY$32)+'LINEST VARS'!$Q$52*(0.5)+'LINEST VARS'!$P$52*($CX53)+'LINEST VARS'!$O$52*(8^2)+'LINEST VARS'!$N$52*(8^2)+'LINEST VARS'!$M$52*($CY$32^2)+'LINEST VARS'!$L$52*(0.5^2)+'LINEST VARS'!$K$52*($CX53^2)+'LINEST VARS'!$J$52*(8*8)+'LINEST VARS'!$I$52*(8*$CY$32)+'LINEST VARS'!$H$52*(8*0.5)+'LINEST VARS'!$G$52*(8*$CX53)+'LINEST VARS'!$F$52*(8*$CY$32)+'LINEST VARS'!$E$52*(8*0.5)+'LINEST VARS'!$D$52*(8*$CX53)+'LINEST VARS'!$C$52*($CY$32*0.5)+'LINEST VARS'!$B$52*($CY$32*$CX53)+'LINEST VARS'!$A$52*(0.5*$CX53)</f>
        <v>4.4499999999999984</v>
      </c>
      <c r="CZ53" s="53">
        <f>'LINEST VARS'!$U$52+'LINEST VARS'!$T$52*(8)+'LINEST VARS'!$S$52*(8)+'LINEST VARS'!$R$52*($CZ$32)+'LINEST VARS'!$Q$52*(0.5)+'LINEST VARS'!$P$52*($CX53)+'LINEST VARS'!$O$52*(8^2)+'LINEST VARS'!$N$52*(8^2)+'LINEST VARS'!$M$52*($CZ$32^2)+'LINEST VARS'!$L$52*(0.5^2)+'LINEST VARS'!$K$52*($CX53^2)+'LINEST VARS'!$J$52*(8*8)+'LINEST VARS'!$I$52*(8*$CZ$32)+'LINEST VARS'!$H$52*(8*0.5)+'LINEST VARS'!$G$52*(8*$CX53)+'LINEST VARS'!$F$52*(8*$CZ$32)+'LINEST VARS'!$E$52*(8*0.5)+'LINEST VARS'!$D$52*(8*$CX53)+'LINEST VARS'!$C$52*($CZ$32*0.5)+'LINEST VARS'!$B$52*($CZ$32*$CX53)+'LINEST VARS'!$A$52*(0.5*$CX53)</f>
        <v>4.4499999999999984</v>
      </c>
      <c r="DA53" s="53">
        <f>'LINEST VARS'!$U$52+'LINEST VARS'!$T$52*(8)+'LINEST VARS'!$S$52*(8)+'LINEST VARS'!$R$52*($DA$32)+'LINEST VARS'!$Q$52*(0.5)+'LINEST VARS'!$P$52*($CX53)+'LINEST VARS'!$O$52*(8^2)+'LINEST VARS'!$N$52*(8^2)+'LINEST VARS'!$M$52*($DA$32^2)+'LINEST VARS'!$L$52*(0.5^2)+'LINEST VARS'!$K$52*($CX53^2)+'LINEST VARS'!$J$52*(8*8)+'LINEST VARS'!$I$52*(8*$DA$32)+'LINEST VARS'!$H$52*(8*0.5)+'LINEST VARS'!$G$52*(8*$CX53)+'LINEST VARS'!$F$52*(8*$DA$32)+'LINEST VARS'!$E$52*(8*0.5)+'LINEST VARS'!$D$52*(8*$CX53)+'LINEST VARS'!$C$52*($DA$32*0.5)+'LINEST VARS'!$B$52*($DA$32*$CX53)+'LINEST VARS'!$A$52*(0.5*$CX53)</f>
        <v>4.4499999999999984</v>
      </c>
      <c r="DB53" s="53">
        <f>'LINEST VARS'!$U$52+'LINEST VARS'!$T$52*(8)+'LINEST VARS'!$S$52*(8)+'LINEST VARS'!$R$52*($DB$32)+'LINEST VARS'!$Q$52*(0.5)+'LINEST VARS'!$P$52*($CX53)+'LINEST VARS'!$O$52*(8^2)+'LINEST VARS'!$N$52*(8^2)+'LINEST VARS'!$M$52*($DB$32^2)+'LINEST VARS'!$L$52*(0.5^2)+'LINEST VARS'!$K$52*($CX53^2)+'LINEST VARS'!$J$52*(8*8)+'LINEST VARS'!$I$52*(8*$DB$32)+'LINEST VARS'!$H$52*(8*0.5)+'LINEST VARS'!$G$52*(8*$CX53)+'LINEST VARS'!$F$52*(8*$DB$32)+'LINEST VARS'!$E$52*(8*0.5)+'LINEST VARS'!$D$52*(8*$CX53)+'LINEST VARS'!$C$52*($DB$32*0.5)+'LINEST VARS'!$B$52*($DB$32*$CX53)+'LINEST VARS'!$A$52*(0.5*$CX53)</f>
        <v>4.4499999999999984</v>
      </c>
      <c r="DC53" s="53">
        <f>'LINEST VARS'!$U$52+'LINEST VARS'!$T$52*(8)+'LINEST VARS'!$S$52*(8)+'LINEST VARS'!$R$52*($DC$32)+'LINEST VARS'!$Q$52*(0.5)+'LINEST VARS'!$P$52*($CX53)+'LINEST VARS'!$O$52*(8^2)+'LINEST VARS'!$N$52*(8^2)+'LINEST VARS'!$M$52*($DC$32^2)+'LINEST VARS'!$L$52*(0.5^2)+'LINEST VARS'!$K$52*($CX53^2)+'LINEST VARS'!$J$52*(8*8)+'LINEST VARS'!$I$52*(8*$DC$32)+'LINEST VARS'!$H$52*(8*0.5)+'LINEST VARS'!$G$52*(8*$CX53)+'LINEST VARS'!$F$52*(8*$DC$32)+'LINEST VARS'!$E$52*(8*0.5)+'LINEST VARS'!$D$52*(8*$CX53)+'LINEST VARS'!$C$52*($DC$32*0.5)+'LINEST VARS'!$B$52*($DC$32*$CX53)+'LINEST VARS'!$A$52*(0.5*$CX53)</f>
        <v>4.4499999999999984</v>
      </c>
      <c r="DD53" s="53">
        <f>'LINEST VARS'!$U$52+'LINEST VARS'!$T$52*(8)+'LINEST VARS'!$S$52*(8)+'LINEST VARS'!$R$52*($DD$32)+'LINEST VARS'!$Q$52*(0.5)+'LINEST VARS'!$P$52*($CX53)+'LINEST VARS'!$O$52*(8^2)+'LINEST VARS'!$N$52*(8^2)+'LINEST VARS'!$M$52*($DD$32^2)+'LINEST VARS'!$L$52*(0.5^2)+'LINEST VARS'!$K$52*($CX53^2)+'LINEST VARS'!$J$52*(8*8)+'LINEST VARS'!$I$52*(8*$DD$32)+'LINEST VARS'!$H$52*(8*0.5)+'LINEST VARS'!$G$52*(8*$CX53)+'LINEST VARS'!$F$52*(8*$DD$32)+'LINEST VARS'!$E$52*(8*0.5)+'LINEST VARS'!$D$52*(8*$CX53)+'LINEST VARS'!$C$52*($DD$32*0.5)+'LINEST VARS'!$B$52*($DD$32*$CX53)+'LINEST VARS'!$A$52*(0.5*$CX53)</f>
        <v>4.4499999999999984</v>
      </c>
      <c r="DE53" s="53">
        <f>'LINEST VARS'!$U$52+'LINEST VARS'!$T$52*(8)+'LINEST VARS'!$S$52*(8)+'LINEST VARS'!$R$52*($DE$32)+'LINEST VARS'!$Q$52*(0.5)+'LINEST VARS'!$P$52*($CX53)+'LINEST VARS'!$O$52*(8^2)+'LINEST VARS'!$N$52*(8^2)+'LINEST VARS'!$M$52*($DE$32^2)+'LINEST VARS'!$L$52*(0.5^2)+'LINEST VARS'!$K$52*($CX53^2)+'LINEST VARS'!$J$52*(8*8)+'LINEST VARS'!$I$52*(8*$DE$32)+'LINEST VARS'!$H$52*(8*0.5)+'LINEST VARS'!$G$52*(8*$CX53)+'LINEST VARS'!$F$52*(8*$DE$32)+'LINEST VARS'!$E$52*(8*0.5)+'LINEST VARS'!$D$52*(8*$CX53)+'LINEST VARS'!$C$52*($DE$32*0.5)+'LINEST VARS'!$B$52*($DE$32*$CX53)+'LINEST VARS'!$A$52*(0.5*$CX53)</f>
        <v>4.4499999999999984</v>
      </c>
      <c r="DF53" s="53">
        <f>'LINEST VARS'!$U$52+'LINEST VARS'!$T$52*(8)+'LINEST VARS'!$S$52*(8)+'LINEST VARS'!$R$52*($DF$32)+'LINEST VARS'!$Q$52*(0.5)+'LINEST VARS'!$P$52*($CX53)+'LINEST VARS'!$O$52*(8^2)+'LINEST VARS'!$N$52*(8^2)+'LINEST VARS'!$M$52*($DF$32^2)+'LINEST VARS'!$L$52*(0.5^2)+'LINEST VARS'!$K$52*($CX53^2)+'LINEST VARS'!$J$52*(8*8)+'LINEST VARS'!$I$52*(8*$DF$32)+'LINEST VARS'!$H$52*(8*0.5)+'LINEST VARS'!$G$52*(8*$CX53)+'LINEST VARS'!$F$52*(8*$DF$32)+'LINEST VARS'!$E$52*(8*0.5)+'LINEST VARS'!$D$52*(8*$CX53)+'LINEST VARS'!$C$52*($DF$32*0.5)+'LINEST VARS'!$B$52*($DF$32*$CX53)+'LINEST VARS'!$A$52*(0.5*$CX53)</f>
        <v>4.4499999999999984</v>
      </c>
      <c r="DG53" s="53">
        <f>'LINEST VARS'!$U$52+'LINEST VARS'!$T$52*(8)+'LINEST VARS'!$S$52*(8)+'LINEST VARS'!$R$52*($DG$32)+'LINEST VARS'!$Q$52*(0.5)+'LINEST VARS'!$P$52*($CX53)+'LINEST VARS'!$O$52*(8^2)+'LINEST VARS'!$N$52*(8^2)+'LINEST VARS'!$M$52*($DG$32^2)+'LINEST VARS'!$L$52*(0.5^2)+'LINEST VARS'!$K$52*($CX53^2)+'LINEST VARS'!$J$52*(8*8)+'LINEST VARS'!$I$52*(8*$DG$32)+'LINEST VARS'!$H$52*(8*0.5)+'LINEST VARS'!$G$52*(8*$CX53)+'LINEST VARS'!$F$52*(8*$DG$32)+'LINEST VARS'!$E$52*(8*0.5)+'LINEST VARS'!$D$52*(8*$CX53)+'LINEST VARS'!$C$52*($DG$32*0.5)+'LINEST VARS'!$B$52*($DG$32*$CX53)+'LINEST VARS'!$A$52*(0.5*$CX53)</f>
        <v>4.4499999999999984</v>
      </c>
      <c r="DH53" s="53">
        <f>'LINEST VARS'!$U$52+'LINEST VARS'!$T$52*(8)+'LINEST VARS'!$S$52*(8)+'LINEST VARS'!$R$52*($DH$32)+'LINEST VARS'!$Q$52*(0.5)+'LINEST VARS'!$P$52*($CX53)+'LINEST VARS'!$O$52*(8^2)+'LINEST VARS'!$N$52*(8^2)+'LINEST VARS'!$M$52*($DH$32^2)+'LINEST VARS'!$L$52*(0.5^2)+'LINEST VARS'!$K$52*($CX53^2)+'LINEST VARS'!$J$52*(8*8)+'LINEST VARS'!$I$52*(8*$DH$32)+'LINEST VARS'!$H$52*(8*0.5)+'LINEST VARS'!$G$52*(8*$CX53)+'LINEST VARS'!$F$52*(8*$DH$32)+'LINEST VARS'!$E$52*(8*0.5)+'LINEST VARS'!$D$52*(8*$CX53)+'LINEST VARS'!$C$52*($DH$32*0.5)+'LINEST VARS'!$B$52*($DH$32*$CX53)+'LINEST VARS'!$A$52*(0.5*$CX53)</f>
        <v>4.4499999999999984</v>
      </c>
      <c r="DI53" s="53">
        <f>'LINEST VARS'!$U$52+'LINEST VARS'!$T$52*(8)+'LINEST VARS'!$S$52*(8)+'LINEST VARS'!$R$52*($DI$32)+'LINEST VARS'!$Q$52*(0.5)+'LINEST VARS'!$P$52*($CX53)+'LINEST VARS'!$O$52*(8^2)+'LINEST VARS'!$N$52*(8^2)+'LINEST VARS'!$M$52*($DI$32^2)+'LINEST VARS'!$L$52*(0.5^2)+'LINEST VARS'!$K$52*($CX53^2)+'LINEST VARS'!$J$52*(8*8)+'LINEST VARS'!$I$52*(8*$DI$32)+'LINEST VARS'!$H$52*(8*0.5)+'LINEST VARS'!$G$52*(8*$CX53)+'LINEST VARS'!$F$52*(8*$DI$32)+'LINEST VARS'!$E$52*(8*0.5)+'LINEST VARS'!$D$52*(8*$CX53)+'LINEST VARS'!$C$52*($DI$32*0.5)+'LINEST VARS'!$B$52*($DI$32*$CX53)+'LINEST VARS'!$A$52*(0.5*$CX53)</f>
        <v>4.4499999999999984</v>
      </c>
      <c r="DJ53" s="53">
        <f>'LINEST VARS'!$U$52+'LINEST VARS'!$T$52*(8)+'LINEST VARS'!$S$52*(8)+'LINEST VARS'!$R$52*($DJ$32)+'LINEST VARS'!$Q$52*(0.5)+'LINEST VARS'!$P$52*($CX53)+'LINEST VARS'!$O$52*(8^2)+'LINEST VARS'!$N$52*(8^2)+'LINEST VARS'!$M$52*($DJ$32^2)+'LINEST VARS'!$L$52*(0.5^2)+'LINEST VARS'!$K$52*($CX53^2)+'LINEST VARS'!$J$52*(8*8)+'LINEST VARS'!$I$52*(8*$DJ$32)+'LINEST VARS'!$H$52*(8*0.5)+'LINEST VARS'!$G$52*(8*$CX53)+'LINEST VARS'!$F$52*(8*$DJ$32)+'LINEST VARS'!$E$52*(8*0.5)+'LINEST VARS'!$D$52*(8*$CX53)+'LINEST VARS'!$C$52*($DJ$32*0.5)+'LINEST VARS'!$B$52*($DJ$32*$CX53)+'LINEST VARS'!$A$52*(0.5*$CX53)</f>
        <v>4.4499999999999984</v>
      </c>
      <c r="DK53" s="53">
        <f>'LINEST VARS'!$U$52+'LINEST VARS'!$T$52*(8)+'LINEST VARS'!$S$52*(8)+'LINEST VARS'!$R$52*($DK$32)+'LINEST VARS'!$Q$52*(0.5)+'LINEST VARS'!$P$52*($CX53)+'LINEST VARS'!$O$52*(8^2)+'LINEST VARS'!$N$52*(8^2)+'LINEST VARS'!$M$52*($DK$32^2)+'LINEST VARS'!$L$52*(0.5^2)+'LINEST VARS'!$K$52*($CX53^2)+'LINEST VARS'!$J$52*(8*8)+'LINEST VARS'!$I$52*(8*$DK$32)+'LINEST VARS'!$H$52*(8*0.5)+'LINEST VARS'!$G$52*(8*$CX53)+'LINEST VARS'!$F$52*(8*$DK$32)+'LINEST VARS'!$E$52*(8*0.5)+'LINEST VARS'!$D$52*(8*$CX53)+'LINEST VARS'!$C$52*($DK$32*0.5)+'LINEST VARS'!$B$52*($DK$32*$CX53)+'LINEST VARS'!$A$52*(0.5*$CX53)</f>
        <v>4.4499999999999984</v>
      </c>
      <c r="DL53" s="53">
        <f>'LINEST VARS'!$U$52+'LINEST VARS'!$T$52*(8)+'LINEST VARS'!$S$52*(8)+'LINEST VARS'!$R$52*($DL$32)+'LINEST VARS'!$Q$52*(0.5)+'LINEST VARS'!$P$52*($CX53)+'LINEST VARS'!$O$52*(8^2)+'LINEST VARS'!$N$52*(8^2)+'LINEST VARS'!$M$52*($DL$32^2)+'LINEST VARS'!$L$52*(0.5^2)+'LINEST VARS'!$K$52*($CX53^2)+'LINEST VARS'!$J$52*(8*8)+'LINEST VARS'!$I$52*(8*$DL$32)+'LINEST VARS'!$H$52*(8*0.5)+'LINEST VARS'!$G$52*(8*$CX53)+'LINEST VARS'!$F$52*(8*$DL$32)+'LINEST VARS'!$E$52*(8*0.5)+'LINEST VARS'!$D$52*(8*$CX53)+'LINEST VARS'!$C$52*($DL$32*0.5)+'LINEST VARS'!$B$52*($DL$32*$CX53)+'LINEST VARS'!$A$52*(0.5*$CX53)</f>
        <v>4.4499999999999984</v>
      </c>
      <c r="DM53" s="53">
        <f>'LINEST VARS'!$U$52+'LINEST VARS'!$T$52*(8)+'LINEST VARS'!$S$52*(8)+'LINEST VARS'!$R$52*($DM$32)+'LINEST VARS'!$Q$52*(0.5)+'LINEST VARS'!$P$52*($CX53)+'LINEST VARS'!$O$52*(8^2)+'LINEST VARS'!$N$52*(8^2)+'LINEST VARS'!$M$52*($DM$32^2)+'LINEST VARS'!$L$52*(0.5^2)+'LINEST VARS'!$K$52*($CX53^2)+'LINEST VARS'!$J$52*(8*8)+'LINEST VARS'!$I$52*(8*$DM$32)+'LINEST VARS'!$H$52*(8*0.5)+'LINEST VARS'!$G$52*(8*$CX53)+'LINEST VARS'!$F$52*(8*$DM$32)+'LINEST VARS'!$E$52*(8*0.5)+'LINEST VARS'!$D$52*(8*$CX53)+'LINEST VARS'!$C$52*($DM$32*0.5)+'LINEST VARS'!$B$52*($DM$32*$CX53)+'LINEST VARS'!$A$52*(0.5*$CX53)</f>
        <v>4.4499999999999984</v>
      </c>
      <c r="DN53" s="53">
        <f>'LINEST VARS'!$U$52+'LINEST VARS'!$T$52*(8)+'LINEST VARS'!$S$52*(8)+'LINEST VARS'!$R$52*($DN$32)+'LINEST VARS'!$Q$52*(0.5)+'LINEST VARS'!$P$52*($CX53)+'LINEST VARS'!$O$52*(8^2)+'LINEST VARS'!$N$52*(8^2)+'LINEST VARS'!$M$52*($DN$32^2)+'LINEST VARS'!$L$52*(0.5^2)+'LINEST VARS'!$K$52*($CX53^2)+'LINEST VARS'!$J$52*(8*8)+'LINEST VARS'!$I$52*(8*$DN$32)+'LINEST VARS'!$H$52*(8*0.5)+'LINEST VARS'!$G$52*(8*$CX53)+'LINEST VARS'!$F$52*(8*$DN$32)+'LINEST VARS'!$E$52*(8*0.5)+'LINEST VARS'!$D$52*(8*$CX53)+'LINEST VARS'!$C$52*($DN$32*0.5)+'LINEST VARS'!$B$52*($DN$32*$CX53)+'LINEST VARS'!$A$52*(0.5*$CX53)</f>
        <v>4.4499999999999984</v>
      </c>
      <c r="DO53" s="53">
        <f>'LINEST VARS'!$U$52+'LINEST VARS'!$T$52*(8)+'LINEST VARS'!$S$52*(8)+'LINEST VARS'!$R$52*($DO$32)+'LINEST VARS'!$Q$52*(0.5)+'LINEST VARS'!$P$52*($CX53)+'LINEST VARS'!$O$52*(8^2)+'LINEST VARS'!$N$52*(8^2)+'LINEST VARS'!$M$52*($DO$32^2)+'LINEST VARS'!$L$52*(0.5^2)+'LINEST VARS'!$K$52*($CX53^2)+'LINEST VARS'!$J$52*(8*8)+'LINEST VARS'!$I$52*(8*$DO$32)+'LINEST VARS'!$H$52*(8*0.5)+'LINEST VARS'!$G$52*(8*$CX53)+'LINEST VARS'!$F$52*(8*$DO$32)+'LINEST VARS'!$E$52*(8*0.5)+'LINEST VARS'!$D$52*(8*$CX53)+'LINEST VARS'!$C$52*($DO$32*0.5)+'LINEST VARS'!$B$52*($DO$32*$CX53)+'LINEST VARS'!$A$52*(0.5*$CX53)</f>
        <v>4.4499999999999984</v>
      </c>
      <c r="DP53" s="53">
        <f>'LINEST VARS'!$U$52+'LINEST VARS'!$T$52*(8)+'LINEST VARS'!$S$52*(8)+'LINEST VARS'!$R$52*($DP$32)+'LINEST VARS'!$Q$52*(0.5)+'LINEST VARS'!$P$52*($CX53)+'LINEST VARS'!$O$52*(8^2)+'LINEST VARS'!$N$52*(8^2)+'LINEST VARS'!$M$52*($DP$32^2)+'LINEST VARS'!$L$52*(0.5^2)+'LINEST VARS'!$K$52*($CX53^2)+'LINEST VARS'!$J$52*(8*8)+'LINEST VARS'!$I$52*(8*$DP$32)+'LINEST VARS'!$H$52*(8*0.5)+'LINEST VARS'!$G$52*(8*$CX53)+'LINEST VARS'!$F$52*(8*$DP$32)+'LINEST VARS'!$E$52*(8*0.5)+'LINEST VARS'!$D$52*(8*$CX53)+'LINEST VARS'!$C$52*($DP$32*0.5)+'LINEST VARS'!$B$52*($DP$32*$CX53)+'LINEST VARS'!$A$52*(0.5*$CX53)</f>
        <v>4.4499999999999984</v>
      </c>
      <c r="DQ53" s="53">
        <f>'LINEST VARS'!$U$52+'LINEST VARS'!$T$52*(8)+'LINEST VARS'!$S$52*(8)+'LINEST VARS'!$R$52*($DQ$32)+'LINEST VARS'!$Q$52*(0.5)+'LINEST VARS'!$P$52*($CX53)+'LINEST VARS'!$O$52*(8^2)+'LINEST VARS'!$N$52*(8^2)+'LINEST VARS'!$M$52*($DQ$32^2)+'LINEST VARS'!$L$52*(0.5^2)+'LINEST VARS'!$K$52*($CX53^2)+'LINEST VARS'!$J$52*(8*8)+'LINEST VARS'!$I$52*(8*$DQ$32)+'LINEST VARS'!$H$52*(8*0.5)+'LINEST VARS'!$G$52*(8*$CX53)+'LINEST VARS'!$F$52*(8*$DQ$32)+'LINEST VARS'!$E$52*(8*0.5)+'LINEST VARS'!$D$52*(8*$CX53)+'LINEST VARS'!$C$52*($DQ$32*0.5)+'LINEST VARS'!$B$52*($DQ$32*$CX53)+'LINEST VARS'!$A$52*(0.5*$CX53)</f>
        <v>4.4499999999999984</v>
      </c>
      <c r="DR53" s="53">
        <f>'LINEST VARS'!$U$52+'LINEST VARS'!$T$52*(8)+'LINEST VARS'!$S$52*(8)+'LINEST VARS'!$R$52*($DR$32)+'LINEST VARS'!$Q$52*(0.5)+'LINEST VARS'!$P$52*($CX53)+'LINEST VARS'!$O$52*(8^2)+'LINEST VARS'!$N$52*(8^2)+'LINEST VARS'!$M$52*($DR$32^2)+'LINEST VARS'!$L$52*(0.5^2)+'LINEST VARS'!$K$52*($CX53^2)+'LINEST VARS'!$J$52*(8*8)+'LINEST VARS'!$I$52*(8*$DR$32)+'LINEST VARS'!$H$52*(8*0.5)+'LINEST VARS'!$G$52*(8*$CX53)+'LINEST VARS'!$F$52*(8*$DR$32)+'LINEST VARS'!$E$52*(8*0.5)+'LINEST VARS'!$D$52*(8*$CX53)+'LINEST VARS'!$C$52*($DR$32*0.5)+'LINEST VARS'!$B$52*($DR$32*$CX53)+'LINEST VARS'!$A$52*(0.5*$CX53)</f>
        <v>4.4499999999999984</v>
      </c>
      <c r="DS53" s="54">
        <f>'LINEST VARS'!$U$52+'LINEST VARS'!$T$52*(8)+'LINEST VARS'!$S$52*(8)+'LINEST VARS'!$R$52*($DS$32)+'LINEST VARS'!$Q$52*(0.5)+'LINEST VARS'!$P$52*($CX53)+'LINEST VARS'!$O$52*(8^2)+'LINEST VARS'!$N$52*(8^2)+'LINEST VARS'!$M$52*($DS$32^2)+'LINEST VARS'!$L$52*(0.5^2)+'LINEST VARS'!$K$52*($CX53^2)+'LINEST VARS'!$J$52*(8*8)+'LINEST VARS'!$I$52*(8*$DS$32)+'LINEST VARS'!$H$52*(8*0.5)+'LINEST VARS'!$G$52*(8*$CX53)+'LINEST VARS'!$F$52*(8*$DS$32)+'LINEST VARS'!$E$52*(8*0.5)+'LINEST VARS'!$D$52*(8*$CX53)+'LINEST VARS'!$C$52*($DS$32*0.5)+'LINEST VARS'!$B$52*($DS$32*$CX53)+'LINEST VARS'!$A$52*(0.5*$CX53)</f>
        <v>4.4499999999999984</v>
      </c>
      <c r="DV53" s="48">
        <v>25.99</v>
      </c>
      <c r="DW53" s="53">
        <f>'LINEST VARS'!$U$54+'LINEST VARS'!$T$54*(8)+'LINEST VARS'!$S$54*(8)+'LINEST VARS'!$R$54*($DW$32)+'LINEST VARS'!$Q$54*(0.5)+'LINEST VARS'!$P$54*($DV53)+'LINEST VARS'!$O$54*(8^2)+'LINEST VARS'!$N$54*(8^2)+'LINEST VARS'!$M$54*($DW$32^2)+'LINEST VARS'!$L$54*(0.5^2)+'LINEST VARS'!$K$54*($DV53^2)+'LINEST VARS'!$J$54*(8*8)+'LINEST VARS'!$I$54*(8*$DW$32)+'LINEST VARS'!$H$54*(8*0.5)+'LINEST VARS'!$G$54*(8*$DV53)+'LINEST VARS'!$F$54*(8*$DW$32)+'LINEST VARS'!$E$54*(8*0.5)+'LINEST VARS'!$D$54*(8*$DV53)+'LINEST VARS'!$C$54*($DW$32*0.5)+'LINEST VARS'!$B$54*($DW$32*$DV53)+'LINEST VARS'!$A$54*(0.5*$DV53)</f>
        <v>3.9749999999999996</v>
      </c>
      <c r="DX53" s="53">
        <f>'LINEST VARS'!$U$54+'LINEST VARS'!$T$54*(8)+'LINEST VARS'!$S$54*(8)+'LINEST VARS'!$R$54*($DX$32)+'LINEST VARS'!$Q$54*(0.5)+'LINEST VARS'!$P$54*($DV53)+'LINEST VARS'!$O$54*(8^2)+'LINEST VARS'!$N$54*(8^2)+'LINEST VARS'!$M$54*($DX$32^2)+'LINEST VARS'!$L$54*(0.5^2)+'LINEST VARS'!$K$54*($DV53^2)+'LINEST VARS'!$J$54*(8*8)+'LINEST VARS'!$I$54*(8*$DX$32)+'LINEST VARS'!$H$54*(8*0.5)+'LINEST VARS'!$G$54*(8*$DV53)+'LINEST VARS'!$F$54*(8*$DX$32)+'LINEST VARS'!$E$54*(8*0.5)+'LINEST VARS'!$D$54*(8*$DV53)+'LINEST VARS'!$C$54*($DX$32*0.5)+'LINEST VARS'!$B$54*($DX$32*$DV53)+'LINEST VARS'!$A$54*(0.5*$DV53)</f>
        <v>3.9749999999999996</v>
      </c>
      <c r="DY53" s="53">
        <f>'LINEST VARS'!$U$54+'LINEST VARS'!$T$54*(8)+'LINEST VARS'!$S$54*(8)+'LINEST VARS'!$R$54*($DY$32)+'LINEST VARS'!$Q$54*(0.5)+'LINEST VARS'!$P$54*($DV53)+'LINEST VARS'!$O$54*(8^2)+'LINEST VARS'!$N$54*(8^2)+'LINEST VARS'!$M$54*($DY$32^2)+'LINEST VARS'!$L$54*(0.5^2)+'LINEST VARS'!$K$54*($DV53^2)+'LINEST VARS'!$J$54*(8*8)+'LINEST VARS'!$I$54*(8*$DY$32)+'LINEST VARS'!$H$54*(8*0.5)+'LINEST VARS'!$G$54*(8*$DV53)+'LINEST VARS'!$F$54*(8*$DY$32)+'LINEST VARS'!$E$54*(8*0.5)+'LINEST VARS'!$D$54*(8*$DV53)+'LINEST VARS'!$C$54*($DY$32*0.5)+'LINEST VARS'!$B$54*($DY$32*$DV53)+'LINEST VARS'!$A$54*(0.5*$DV53)</f>
        <v>3.9749999999999996</v>
      </c>
      <c r="DZ53" s="53">
        <f>'LINEST VARS'!$U$54+'LINEST VARS'!$T$54*(8)+'LINEST VARS'!$S$54*(8)+'LINEST VARS'!$R$54*($DZ$32)+'LINEST VARS'!$Q$54*(0.5)+'LINEST VARS'!$P$54*($DV53)+'LINEST VARS'!$O$54*(8^2)+'LINEST VARS'!$N$54*(8^2)+'LINEST VARS'!$M$54*($DZ$32^2)+'LINEST VARS'!$L$54*(0.5^2)+'LINEST VARS'!$K$54*($DV53^2)+'LINEST VARS'!$J$54*(8*8)+'LINEST VARS'!$I$54*(8*$DZ$32)+'LINEST VARS'!$H$54*(8*0.5)+'LINEST VARS'!$G$54*(8*$DV53)+'LINEST VARS'!$F$54*(8*$DZ$32)+'LINEST VARS'!$E$54*(8*0.5)+'LINEST VARS'!$D$54*(8*$DV53)+'LINEST VARS'!$C$54*($DZ$32*0.5)+'LINEST VARS'!$B$54*($DZ$32*$DV53)+'LINEST VARS'!$A$54*(0.5*$DV53)</f>
        <v>3.9749999999999996</v>
      </c>
      <c r="EA53" s="53">
        <f>'LINEST VARS'!$U$54+'LINEST VARS'!$T$54*(8)+'LINEST VARS'!$S$54*(8)+'LINEST VARS'!$R$54*($EA$32)+'LINEST VARS'!$Q$54*(0.5)+'LINEST VARS'!$P$54*($DV53)+'LINEST VARS'!$O$54*(8^2)+'LINEST VARS'!$N$54*(8^2)+'LINEST VARS'!$M$54*($EA$32^2)+'LINEST VARS'!$L$54*(0.5^2)+'LINEST VARS'!$K$54*($DV53^2)+'LINEST VARS'!$J$54*(8*8)+'LINEST VARS'!$I$54*(8*$EA$32)+'LINEST VARS'!$H$54*(8*0.5)+'LINEST VARS'!$G$54*(8*$DV53)+'LINEST VARS'!$F$54*(8*$EA$32)+'LINEST VARS'!$E$54*(8*0.5)+'LINEST VARS'!$D$54*(8*$DV53)+'LINEST VARS'!$C$54*($EA$32*0.5)+'LINEST VARS'!$B$54*($EA$32*$DV53)+'LINEST VARS'!$A$54*(0.5*$DV53)</f>
        <v>3.9749999999999996</v>
      </c>
      <c r="EB53" s="53">
        <f>'LINEST VARS'!$U$54+'LINEST VARS'!$T$54*(8)+'LINEST VARS'!$S$54*(8)+'LINEST VARS'!$R$54*($EB$32)+'LINEST VARS'!$Q$54*(0.5)+'LINEST VARS'!$P$54*($DV53)+'LINEST VARS'!$O$54*(8^2)+'LINEST VARS'!$N$54*(8^2)+'LINEST VARS'!$M$54*($EB$32^2)+'LINEST VARS'!$L$54*(0.5^2)+'LINEST VARS'!$K$54*($DV53^2)+'LINEST VARS'!$J$54*(8*8)+'LINEST VARS'!$I$54*(8*$EB$32)+'LINEST VARS'!$H$54*(8*0.5)+'LINEST VARS'!$G$54*(8*$DV53)+'LINEST VARS'!$F$54*(8*$EB$32)+'LINEST VARS'!$E$54*(8*0.5)+'LINEST VARS'!$D$54*(8*$DV53)+'LINEST VARS'!$C$54*($EB$32*0.5)+'LINEST VARS'!$B$54*($EB$32*$DV53)+'LINEST VARS'!$A$54*(0.5*$DV53)</f>
        <v>3.9749999999999996</v>
      </c>
      <c r="EC53" s="53">
        <f>'LINEST VARS'!$U$54+'LINEST VARS'!$T$54*(8)+'LINEST VARS'!$S$54*(8)+'LINEST VARS'!$R$54*($EC$32)+'LINEST VARS'!$Q$54*(0.5)+'LINEST VARS'!$P$54*($DV53)+'LINEST VARS'!$O$54*(8^2)+'LINEST VARS'!$N$54*(8^2)+'LINEST VARS'!$M$54*($EC$32^2)+'LINEST VARS'!$L$54*(0.5^2)+'LINEST VARS'!$K$54*($DV53^2)+'LINEST VARS'!$J$54*(8*8)+'LINEST VARS'!$I$54*(8*$EC$32)+'LINEST VARS'!$H$54*(8*0.5)+'LINEST VARS'!$G$54*(8*$DV53)+'LINEST VARS'!$F$54*(8*$EC$32)+'LINEST VARS'!$E$54*(8*0.5)+'LINEST VARS'!$D$54*(8*$DV53)+'LINEST VARS'!$C$54*($EC$32*0.5)+'LINEST VARS'!$B$54*($EC$32*$DV53)+'LINEST VARS'!$A$54*(0.5*$DV53)</f>
        <v>3.9749999999999996</v>
      </c>
      <c r="ED53" s="53">
        <f>'LINEST VARS'!$U$54+'LINEST VARS'!$T$54*(8)+'LINEST VARS'!$S$54*(8)+'LINEST VARS'!$R$54*($ED$32)+'LINEST VARS'!$Q$54*(0.5)+'LINEST VARS'!$P$54*($DV53)+'LINEST VARS'!$O$54*(8^2)+'LINEST VARS'!$N$54*(8^2)+'LINEST VARS'!$M$54*($ED$32^2)+'LINEST VARS'!$L$54*(0.5^2)+'LINEST VARS'!$K$54*($DV53^2)+'LINEST VARS'!$J$54*(8*8)+'LINEST VARS'!$I$54*(8*$ED$32)+'LINEST VARS'!$H$54*(8*0.5)+'LINEST VARS'!$G$54*(8*$DV53)+'LINEST VARS'!$F$54*(8*$ED$32)+'LINEST VARS'!$E$54*(8*0.5)+'LINEST VARS'!$D$54*(8*$DV53)+'LINEST VARS'!$C$54*($ED$32*0.5)+'LINEST VARS'!$B$54*($ED$32*$DV53)+'LINEST VARS'!$A$54*(0.5*$DV53)</f>
        <v>3.9749999999999996</v>
      </c>
      <c r="EE53" s="53">
        <f>'LINEST VARS'!$U$54+'LINEST VARS'!$T$54*(8)+'LINEST VARS'!$S$54*(8)+'LINEST VARS'!$R$54*($EE$32)+'LINEST VARS'!$Q$54*(0.5)+'LINEST VARS'!$P$54*($DV53)+'LINEST VARS'!$O$54*(8^2)+'LINEST VARS'!$N$54*(8^2)+'LINEST VARS'!$M$54*($EE$32^2)+'LINEST VARS'!$L$54*(0.5^2)+'LINEST VARS'!$K$54*($DV53^2)+'LINEST VARS'!$J$54*(8*8)+'LINEST VARS'!$I$54*(8*$EE$32)+'LINEST VARS'!$H$54*(8*0.5)+'LINEST VARS'!$G$54*(8*$DV53)+'LINEST VARS'!$F$54*(8*$EE$32)+'LINEST VARS'!$E$54*(8*0.5)+'LINEST VARS'!$D$54*(8*$DV53)+'LINEST VARS'!$C$54*($EE$32*0.5)+'LINEST VARS'!$B$54*($EE$32*$DV53)+'LINEST VARS'!$A$54*(0.5*$DV53)</f>
        <v>3.9749999999999996</v>
      </c>
      <c r="EF53" s="53">
        <f>'LINEST VARS'!$U$54+'LINEST VARS'!$T$54*(8)+'LINEST VARS'!$S$54*(8)+'LINEST VARS'!$R$54*($EF$32)+'LINEST VARS'!$Q$54*(0.5)+'LINEST VARS'!$P$54*($DV53)+'LINEST VARS'!$O$54*(8^2)+'LINEST VARS'!$N$54*(8^2)+'LINEST VARS'!$M$54*($EF$32^2)+'LINEST VARS'!$L$54*(0.5^2)+'LINEST VARS'!$K$54*($DV53^2)+'LINEST VARS'!$J$54*(8*8)+'LINEST VARS'!$I$54*(8*$EF$32)+'LINEST VARS'!$H$54*(8*0.5)+'LINEST VARS'!$G$54*(8*$DV53)+'LINEST VARS'!$F$54*(8*$EF$32)+'LINEST VARS'!$E$54*(8*0.5)+'LINEST VARS'!$D$54*(8*$DV53)+'LINEST VARS'!$C$54*($EF$32*0.5)+'LINEST VARS'!$B$54*($EF$32*$DV53)+'LINEST VARS'!$A$54*(0.5*$DV53)</f>
        <v>3.9749999999999996</v>
      </c>
      <c r="EG53" s="53">
        <f>'LINEST VARS'!$U$54+'LINEST VARS'!$T$54*(8)+'LINEST VARS'!$S$54*(8)+'LINEST VARS'!$R$54*($EG$32)+'LINEST VARS'!$Q$54*(0.5)+'LINEST VARS'!$P$54*($DV53)+'LINEST VARS'!$O$54*(8^2)+'LINEST VARS'!$N$54*(8^2)+'LINEST VARS'!$M$54*($EG$32^2)+'LINEST VARS'!$L$54*(0.5^2)+'LINEST VARS'!$K$54*($DV53^2)+'LINEST VARS'!$J$54*(8*8)+'LINEST VARS'!$I$54*(8*$EG$32)+'LINEST VARS'!$H$54*(8*0.5)+'LINEST VARS'!$G$54*(8*$DV53)+'LINEST VARS'!$F$54*(8*$EG$32)+'LINEST VARS'!$E$54*(8*0.5)+'LINEST VARS'!$D$54*(8*$DV53)+'LINEST VARS'!$C$54*($EG$32*0.5)+'LINEST VARS'!$B$54*($EG$32*$DV53)+'LINEST VARS'!$A$54*(0.5*$DV53)</f>
        <v>3.9749999999999996</v>
      </c>
      <c r="EH53" s="53">
        <f>'LINEST VARS'!$U$54+'LINEST VARS'!$T$54*(8)+'LINEST VARS'!$S$54*(8)+'LINEST VARS'!$R$54*($EH$32)+'LINEST VARS'!$Q$54*(0.5)+'LINEST VARS'!$P$54*($DV53)+'LINEST VARS'!$O$54*(8^2)+'LINEST VARS'!$N$54*(8^2)+'LINEST VARS'!$M$54*($EH$32^2)+'LINEST VARS'!$L$54*(0.5^2)+'LINEST VARS'!$K$54*($DV53^2)+'LINEST VARS'!$J$54*(8*8)+'LINEST VARS'!$I$54*(8*$EH$32)+'LINEST VARS'!$H$54*(8*0.5)+'LINEST VARS'!$G$54*(8*$DV53)+'LINEST VARS'!$F$54*(8*$EH$32)+'LINEST VARS'!$E$54*(8*0.5)+'LINEST VARS'!$D$54*(8*$DV53)+'LINEST VARS'!$C$54*($EH$32*0.5)+'LINEST VARS'!$B$54*($EH$32*$DV53)+'LINEST VARS'!$A$54*(0.5*$DV53)</f>
        <v>3.9749999999999996</v>
      </c>
      <c r="EI53" s="53">
        <f>'LINEST VARS'!$U$54+'LINEST VARS'!$T$54*(8)+'LINEST VARS'!$S$54*(8)+'LINEST VARS'!$R$54*($EI$32)+'LINEST VARS'!$Q$54*(0.5)+'LINEST VARS'!$P$54*($DV53)+'LINEST VARS'!$O$54*(8^2)+'LINEST VARS'!$N$54*(8^2)+'LINEST VARS'!$M$54*($EI$32^2)+'LINEST VARS'!$L$54*(0.5^2)+'LINEST VARS'!$K$54*($DV53^2)+'LINEST VARS'!$J$54*(8*8)+'LINEST VARS'!$I$54*(8*$EI$32)+'LINEST VARS'!$H$54*(8*0.5)+'LINEST VARS'!$G$54*(8*$DV53)+'LINEST VARS'!$F$54*(8*$EI$32)+'LINEST VARS'!$E$54*(8*0.5)+'LINEST VARS'!$D$54*(8*$DV53)+'LINEST VARS'!$C$54*($EI$32*0.5)+'LINEST VARS'!$B$54*($EI$32*$DV53)+'LINEST VARS'!$A$54*(0.5*$DV53)</f>
        <v>3.9749999999999996</v>
      </c>
      <c r="EJ53" s="53">
        <f>'LINEST VARS'!$U$54+'LINEST VARS'!$T$54*(8)+'LINEST VARS'!$S$54*(8)+'LINEST VARS'!$R$54*($EJ$32)+'LINEST VARS'!$Q$54*(0.5)+'LINEST VARS'!$P$54*($DV53)+'LINEST VARS'!$O$54*(8^2)+'LINEST VARS'!$N$54*(8^2)+'LINEST VARS'!$M$54*($EJ$32^2)+'LINEST VARS'!$L$54*(0.5^2)+'LINEST VARS'!$K$54*($DV53^2)+'LINEST VARS'!$J$54*(8*8)+'LINEST VARS'!$I$54*(8*$EJ$32)+'LINEST VARS'!$H$54*(8*0.5)+'LINEST VARS'!$G$54*(8*$DV53)+'LINEST VARS'!$F$54*(8*$EJ$32)+'LINEST VARS'!$E$54*(8*0.5)+'LINEST VARS'!$D$54*(8*$DV53)+'LINEST VARS'!$C$54*($EJ$32*0.5)+'LINEST VARS'!$B$54*($EJ$32*$DV53)+'LINEST VARS'!$A$54*(0.5*$DV53)</f>
        <v>3.9749999999999996</v>
      </c>
      <c r="EK53" s="53">
        <f>'LINEST VARS'!$U$54+'LINEST VARS'!$T$54*(8)+'LINEST VARS'!$S$54*(8)+'LINEST VARS'!$R$54*($EK$32)+'LINEST VARS'!$Q$54*(0.5)+'LINEST VARS'!$P$54*($DV53)+'LINEST VARS'!$O$54*(8^2)+'LINEST VARS'!$N$54*(8^2)+'LINEST VARS'!$M$54*($EK$32^2)+'LINEST VARS'!$L$54*(0.5^2)+'LINEST VARS'!$K$54*($DV53^2)+'LINEST VARS'!$J$54*(8*8)+'LINEST VARS'!$I$54*(8*$EK$32)+'LINEST VARS'!$H$54*(8*0.5)+'LINEST VARS'!$G$54*(8*$DV53)+'LINEST VARS'!$F$54*(8*$EK$32)+'LINEST VARS'!$E$54*(8*0.5)+'LINEST VARS'!$D$54*(8*$DV53)+'LINEST VARS'!$C$54*($EK$32*0.5)+'LINEST VARS'!$B$54*($EK$32*$DV53)+'LINEST VARS'!$A$54*(0.5*$DV53)</f>
        <v>3.9749999999999996</v>
      </c>
      <c r="EL53" s="53">
        <f>'LINEST VARS'!$U$54+'LINEST VARS'!$T$54*(8)+'LINEST VARS'!$S$54*(8)+'LINEST VARS'!$R$54*($EL$32)+'LINEST VARS'!$Q$54*(0.5)+'LINEST VARS'!$P$54*($DV53)+'LINEST VARS'!$O$54*(8^2)+'LINEST VARS'!$N$54*(8^2)+'LINEST VARS'!$M$54*($EL$32^2)+'LINEST VARS'!$L$54*(0.5^2)+'LINEST VARS'!$K$54*($DV53^2)+'LINEST VARS'!$J$54*(8*8)+'LINEST VARS'!$I$54*(8*$EL$32)+'LINEST VARS'!$H$54*(8*0.5)+'LINEST VARS'!$G$54*(8*$DV53)+'LINEST VARS'!$F$54*(8*$EL$32)+'LINEST VARS'!$E$54*(8*0.5)+'LINEST VARS'!$D$54*(8*$DV53)+'LINEST VARS'!$C$54*($EL$32*0.5)+'LINEST VARS'!$B$54*($EL$32*$DV53)+'LINEST VARS'!$A$54*(0.5*$DV53)</f>
        <v>3.9749999999999996</v>
      </c>
      <c r="EM53" s="53">
        <f>'LINEST VARS'!$U$54+'LINEST VARS'!$T$54*(8)+'LINEST VARS'!$S$54*(8)+'LINEST VARS'!$R$54*($EM$32)+'LINEST VARS'!$Q$54*(0.5)+'LINEST VARS'!$P$54*($DV53)+'LINEST VARS'!$O$54*(8^2)+'LINEST VARS'!$N$54*(8^2)+'LINEST VARS'!$M$54*($EM$32^2)+'LINEST VARS'!$L$54*(0.5^2)+'LINEST VARS'!$K$54*($DV53^2)+'LINEST VARS'!$J$54*(8*8)+'LINEST VARS'!$I$54*(8*$EM$32)+'LINEST VARS'!$H$54*(8*0.5)+'LINEST VARS'!$G$54*(8*$DV53)+'LINEST VARS'!$F$54*(8*$EM$32)+'LINEST VARS'!$E$54*(8*0.5)+'LINEST VARS'!$D$54*(8*$DV53)+'LINEST VARS'!$C$54*($EM$32*0.5)+'LINEST VARS'!$B$54*($EM$32*$DV53)+'LINEST VARS'!$A$54*(0.5*$DV53)</f>
        <v>3.9749999999999996</v>
      </c>
      <c r="EN53" s="53">
        <f>'LINEST VARS'!$U$54+'LINEST VARS'!$T$54*(8)+'LINEST VARS'!$S$54*(8)+'LINEST VARS'!$R$54*($EN$32)+'LINEST VARS'!$Q$54*(0.5)+'LINEST VARS'!$P$54*($DV53)+'LINEST VARS'!$O$54*(8^2)+'LINEST VARS'!$N$54*(8^2)+'LINEST VARS'!$M$54*($EN$32^2)+'LINEST VARS'!$L$54*(0.5^2)+'LINEST VARS'!$K$54*($DV53^2)+'LINEST VARS'!$J$54*(8*8)+'LINEST VARS'!$I$54*(8*$EN$32)+'LINEST VARS'!$H$54*(8*0.5)+'LINEST VARS'!$G$54*(8*$DV53)+'LINEST VARS'!$F$54*(8*$EN$32)+'LINEST VARS'!$E$54*(8*0.5)+'LINEST VARS'!$D$54*(8*$DV53)+'LINEST VARS'!$C$54*($EN$32*0.5)+'LINEST VARS'!$B$54*($EN$32*$DV53)+'LINEST VARS'!$A$54*(0.5*$DV53)</f>
        <v>3.9749999999999996</v>
      </c>
      <c r="EO53" s="53">
        <f>'LINEST VARS'!$U$54+'LINEST VARS'!$T$54*(8)+'LINEST VARS'!$S$54*(8)+'LINEST VARS'!$R$54*($EO$32)+'LINEST VARS'!$Q$54*(0.5)+'LINEST VARS'!$P$54*($DV53)+'LINEST VARS'!$O$54*(8^2)+'LINEST VARS'!$N$54*(8^2)+'LINEST VARS'!$M$54*($EO$32^2)+'LINEST VARS'!$L$54*(0.5^2)+'LINEST VARS'!$K$54*($DV53^2)+'LINEST VARS'!$J$54*(8*8)+'LINEST VARS'!$I$54*(8*$EO$32)+'LINEST VARS'!$H$54*(8*0.5)+'LINEST VARS'!$G$54*(8*$DV53)+'LINEST VARS'!$F$54*(8*$EO$32)+'LINEST VARS'!$E$54*(8*0.5)+'LINEST VARS'!$D$54*(8*$DV53)+'LINEST VARS'!$C$54*($EO$32*0.5)+'LINEST VARS'!$B$54*($EO$32*$DV53)+'LINEST VARS'!$A$54*(0.5*$DV53)</f>
        <v>3.9749999999999996</v>
      </c>
      <c r="EP53" s="53">
        <f>'LINEST VARS'!$U$54+'LINEST VARS'!$T$54*(8)+'LINEST VARS'!$S$54*(8)+'LINEST VARS'!$R$54*($EP$32)+'LINEST VARS'!$Q$54*(0.5)+'LINEST VARS'!$P$54*($DV53)+'LINEST VARS'!$O$54*(8^2)+'LINEST VARS'!$N$54*(8^2)+'LINEST VARS'!$M$54*($EP$32^2)+'LINEST VARS'!$L$54*(0.5^2)+'LINEST VARS'!$K$54*($DV53^2)+'LINEST VARS'!$J$54*(8*8)+'LINEST VARS'!$I$54*(8*$EP$32)+'LINEST VARS'!$H$54*(8*0.5)+'LINEST VARS'!$G$54*(8*$DV53)+'LINEST VARS'!$F$54*(8*$EP$32)+'LINEST VARS'!$E$54*(8*0.5)+'LINEST VARS'!$D$54*(8*$DV53)+'LINEST VARS'!$C$54*($EP$32*0.5)+'LINEST VARS'!$B$54*($EP$32*$DV53)+'LINEST VARS'!$A$54*(0.5*$DV53)</f>
        <v>3.9749999999999996</v>
      </c>
      <c r="EQ53" s="54">
        <f>'LINEST VARS'!$U$54+'LINEST VARS'!$T$54*(8)+'LINEST VARS'!$S$54*(8)+'LINEST VARS'!$R$54*($EQ$32)+'LINEST VARS'!$Q$54*(0.5)+'LINEST VARS'!$P$54*($DV53)+'LINEST VARS'!$O$54*(8^2)+'LINEST VARS'!$N$54*(8^2)+'LINEST VARS'!$M$54*($EQ$32^2)+'LINEST VARS'!$L$54*(0.5^2)+'LINEST VARS'!$K$54*($DV53^2)+'LINEST VARS'!$J$54*(8*8)+'LINEST VARS'!$I$54*(8*$EQ$32)+'LINEST VARS'!$H$54*(8*0.5)+'LINEST VARS'!$G$54*(8*$DV53)+'LINEST VARS'!$F$54*(8*$EQ$32)+'LINEST VARS'!$E$54*(8*0.5)+'LINEST VARS'!$D$54*(8*$DV53)+'LINEST VARS'!$C$54*($EQ$32*0.5)+'LINEST VARS'!$B$54*($EQ$32*$DV53)+'LINEST VARS'!$A$54*(0.5*$DV53)</f>
        <v>3.9749999999999996</v>
      </c>
    </row>
    <row r="54" spans="2:147" ht="15" customHeight="1" x14ac:dyDescent="0.25"/>
    <row r="55" spans="2:147" ht="15" customHeight="1" thickBot="1" x14ac:dyDescent="0.3">
      <c r="B55" s="59" t="s">
        <v>8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Z55" s="59" t="s">
        <v>9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Z55" s="59" t="s">
        <v>22</v>
      </c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X55" s="59" t="s">
        <v>23</v>
      </c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X55" s="59" t="s">
        <v>36</v>
      </c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V55" s="59" t="s">
        <v>37</v>
      </c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</row>
    <row r="56" spans="2:147" ht="15" customHeight="1" x14ac:dyDescent="0.25">
      <c r="B56" s="42" t="s">
        <v>5</v>
      </c>
      <c r="C56" s="43">
        <v>7.4</v>
      </c>
      <c r="D56" s="43">
        <v>7.46</v>
      </c>
      <c r="E56" s="43">
        <v>7.52</v>
      </c>
      <c r="F56" s="43">
        <v>7.58</v>
      </c>
      <c r="G56" s="43">
        <v>7.64</v>
      </c>
      <c r="H56" s="43">
        <v>7.7</v>
      </c>
      <c r="I56" s="43">
        <v>7.76</v>
      </c>
      <c r="J56" s="43">
        <v>7.82</v>
      </c>
      <c r="K56" s="43">
        <v>7.88</v>
      </c>
      <c r="L56" s="43">
        <v>7.94</v>
      </c>
      <c r="M56" s="43">
        <v>8</v>
      </c>
      <c r="N56" s="43">
        <v>8.06</v>
      </c>
      <c r="O56" s="43">
        <v>8.1199999999999992</v>
      </c>
      <c r="P56" s="43">
        <v>8.18</v>
      </c>
      <c r="Q56" s="43">
        <v>8.24</v>
      </c>
      <c r="R56" s="43">
        <v>8.3000000000000007</v>
      </c>
      <c r="S56" s="43">
        <v>8.36</v>
      </c>
      <c r="T56" s="43">
        <v>8.42</v>
      </c>
      <c r="U56" s="43">
        <v>8.48</v>
      </c>
      <c r="V56" s="43">
        <v>8.5399999999999991</v>
      </c>
      <c r="W56" s="44">
        <v>8.6</v>
      </c>
      <c r="Z56" s="42" t="s">
        <v>5</v>
      </c>
      <c r="AA56" s="43">
        <v>7.4</v>
      </c>
      <c r="AB56" s="43">
        <v>7.46</v>
      </c>
      <c r="AC56" s="43">
        <v>7.52</v>
      </c>
      <c r="AD56" s="43">
        <v>7.58</v>
      </c>
      <c r="AE56" s="43">
        <v>7.64</v>
      </c>
      <c r="AF56" s="43">
        <v>7.7</v>
      </c>
      <c r="AG56" s="43">
        <v>7.76</v>
      </c>
      <c r="AH56" s="43">
        <v>7.82</v>
      </c>
      <c r="AI56" s="43">
        <v>7.88</v>
      </c>
      <c r="AJ56" s="43">
        <v>7.94</v>
      </c>
      <c r="AK56" s="43">
        <v>8</v>
      </c>
      <c r="AL56" s="43">
        <v>8.06</v>
      </c>
      <c r="AM56" s="43">
        <v>8.1199999999999992</v>
      </c>
      <c r="AN56" s="43">
        <v>8.18</v>
      </c>
      <c r="AO56" s="43">
        <v>8.24</v>
      </c>
      <c r="AP56" s="43">
        <v>8.3000000000000007</v>
      </c>
      <c r="AQ56" s="43">
        <v>8.36</v>
      </c>
      <c r="AR56" s="43">
        <v>8.42</v>
      </c>
      <c r="AS56" s="43">
        <v>8.48</v>
      </c>
      <c r="AT56" s="43">
        <v>8.5399999999999991</v>
      </c>
      <c r="AU56" s="44">
        <v>8.6</v>
      </c>
      <c r="AZ56" s="42" t="s">
        <v>19</v>
      </c>
      <c r="BA56" s="43">
        <v>0</v>
      </c>
      <c r="BB56" s="43">
        <v>0.4</v>
      </c>
      <c r="BC56" s="43">
        <v>0.8</v>
      </c>
      <c r="BD56" s="43">
        <v>1.2</v>
      </c>
      <c r="BE56" s="43">
        <v>1.6</v>
      </c>
      <c r="BF56" s="43">
        <v>2</v>
      </c>
      <c r="BG56" s="43">
        <v>2.4</v>
      </c>
      <c r="BH56" s="43">
        <v>2.8</v>
      </c>
      <c r="BI56" s="43">
        <v>3.2</v>
      </c>
      <c r="BJ56" s="43">
        <v>3.6</v>
      </c>
      <c r="BK56" s="43">
        <v>4</v>
      </c>
      <c r="BL56" s="43">
        <v>4.4000000000000004</v>
      </c>
      <c r="BM56" s="43">
        <v>4.8</v>
      </c>
      <c r="BN56" s="43">
        <v>5.2</v>
      </c>
      <c r="BO56" s="43">
        <v>5.6</v>
      </c>
      <c r="BP56" s="43">
        <v>6</v>
      </c>
      <c r="BQ56" s="43">
        <v>6.4</v>
      </c>
      <c r="BR56" s="43">
        <v>6.8</v>
      </c>
      <c r="BS56" s="43">
        <v>7.2</v>
      </c>
      <c r="BT56" s="43">
        <v>7.6</v>
      </c>
      <c r="BU56" s="44">
        <v>8</v>
      </c>
      <c r="BX56" s="42" t="s">
        <v>19</v>
      </c>
      <c r="BY56" s="43">
        <v>0</v>
      </c>
      <c r="BZ56" s="43">
        <v>0.4</v>
      </c>
      <c r="CA56" s="43">
        <v>0.8</v>
      </c>
      <c r="CB56" s="43">
        <v>1.2</v>
      </c>
      <c r="CC56" s="43">
        <v>1.6</v>
      </c>
      <c r="CD56" s="43">
        <v>2</v>
      </c>
      <c r="CE56" s="43">
        <v>2.4</v>
      </c>
      <c r="CF56" s="43">
        <v>2.8</v>
      </c>
      <c r="CG56" s="43">
        <v>3.2</v>
      </c>
      <c r="CH56" s="43">
        <v>3.6</v>
      </c>
      <c r="CI56" s="43">
        <v>4</v>
      </c>
      <c r="CJ56" s="43">
        <v>4.4000000000000004</v>
      </c>
      <c r="CK56" s="43">
        <v>4.8</v>
      </c>
      <c r="CL56" s="43">
        <v>5.2</v>
      </c>
      <c r="CM56" s="43">
        <v>5.6</v>
      </c>
      <c r="CN56" s="43">
        <v>6</v>
      </c>
      <c r="CO56" s="43">
        <v>6.4</v>
      </c>
      <c r="CP56" s="43">
        <v>6.8</v>
      </c>
      <c r="CQ56" s="43">
        <v>7.2</v>
      </c>
      <c r="CR56" s="43">
        <v>7.6</v>
      </c>
      <c r="CS56" s="44">
        <v>8</v>
      </c>
      <c r="CX56" s="42" t="s">
        <v>33</v>
      </c>
      <c r="CY56" s="43">
        <v>0</v>
      </c>
      <c r="CZ56" s="43">
        <v>0.4</v>
      </c>
      <c r="DA56" s="43">
        <v>0.8</v>
      </c>
      <c r="DB56" s="43">
        <v>1.2</v>
      </c>
      <c r="DC56" s="43">
        <v>1.6</v>
      </c>
      <c r="DD56" s="43">
        <v>2</v>
      </c>
      <c r="DE56" s="43">
        <v>2.4</v>
      </c>
      <c r="DF56" s="43">
        <v>2.8</v>
      </c>
      <c r="DG56" s="43">
        <v>3.2</v>
      </c>
      <c r="DH56" s="43">
        <v>3.6</v>
      </c>
      <c r="DI56" s="43">
        <v>4</v>
      </c>
      <c r="DJ56" s="43">
        <v>4.4000000000000004</v>
      </c>
      <c r="DK56" s="43">
        <v>4.8</v>
      </c>
      <c r="DL56" s="43">
        <v>5.2</v>
      </c>
      <c r="DM56" s="43">
        <v>5.6</v>
      </c>
      <c r="DN56" s="43">
        <v>6</v>
      </c>
      <c r="DO56" s="43">
        <v>6.4</v>
      </c>
      <c r="DP56" s="43">
        <v>6.8</v>
      </c>
      <c r="DQ56" s="43">
        <v>7.2</v>
      </c>
      <c r="DR56" s="43">
        <v>7.6</v>
      </c>
      <c r="DS56" s="44">
        <v>8</v>
      </c>
      <c r="DV56" s="42" t="s">
        <v>33</v>
      </c>
      <c r="DW56" s="43">
        <v>0</v>
      </c>
      <c r="DX56" s="43">
        <v>0.4</v>
      </c>
      <c r="DY56" s="43">
        <v>0.8</v>
      </c>
      <c r="DZ56" s="43">
        <v>1.2</v>
      </c>
      <c r="EA56" s="43">
        <v>1.6</v>
      </c>
      <c r="EB56" s="43">
        <v>2</v>
      </c>
      <c r="EC56" s="43">
        <v>2.4</v>
      </c>
      <c r="ED56" s="43">
        <v>2.8</v>
      </c>
      <c r="EE56" s="43">
        <v>3.2</v>
      </c>
      <c r="EF56" s="43">
        <v>3.6</v>
      </c>
      <c r="EG56" s="43">
        <v>4</v>
      </c>
      <c r="EH56" s="43">
        <v>4.4000000000000004</v>
      </c>
      <c r="EI56" s="43">
        <v>4.8</v>
      </c>
      <c r="EJ56" s="43">
        <v>5.2</v>
      </c>
      <c r="EK56" s="43">
        <v>5.6</v>
      </c>
      <c r="EL56" s="43">
        <v>6</v>
      </c>
      <c r="EM56" s="43">
        <v>6.4</v>
      </c>
      <c r="EN56" s="43">
        <v>6.8</v>
      </c>
      <c r="EO56" s="43">
        <v>7.2</v>
      </c>
      <c r="EP56" s="43">
        <v>7.6</v>
      </c>
      <c r="EQ56" s="44">
        <v>8</v>
      </c>
    </row>
    <row r="57" spans="2:147" ht="15" customHeight="1" x14ac:dyDescent="0.25">
      <c r="B57" s="45">
        <v>7.4</v>
      </c>
      <c r="C57" s="51">
        <f>'LINEST VARS'!$U$56+'LINEST VARS'!$T$56*($C$56)+'LINEST VARS'!$S$56*($B57)+'LINEST VARS'!$R$56*(4)+'LINEST VARS'!$Q$56*(0.5)+'LINEST VARS'!$P$56*(12.73)+'LINEST VARS'!$O$56*($C$56^2)+'LINEST VARS'!$N$56*($B57^2)+'LINEST VARS'!$M$56*(4^2)+'LINEST VARS'!$L$56*(0.5^2)+'LINEST VARS'!$K$56*(12.73^2)+'LINEST VARS'!$J$56*($C$56*$B57)+'LINEST VARS'!$I$56*($C$56*4)+'LINEST VARS'!$H$56*($C$56*0.5)+'LINEST VARS'!$G$56*($C$56*12.73)+'LINEST VARS'!$F$56*($B57*4)+'LINEST VARS'!$E$56*($B57*0.5)+'LINEST VARS'!$D$56*($B57*12.73)+'LINEST VARS'!$C$56*(4*0.5)+'LINEST VARS'!$B$56*(4*12.73)+'LINEST VARS'!$A$56*(0.5*12.73)</f>
        <v>2.8400000000000012</v>
      </c>
      <c r="D57" s="51">
        <f>'LINEST VARS'!$U$56+'LINEST VARS'!$T$56*($D$56)+'LINEST VARS'!$S$56*($B57)+'LINEST VARS'!$R$56*(4)+'LINEST VARS'!$Q$56*(0.5)+'LINEST VARS'!$P$56*(12.73)+'LINEST VARS'!$O$56*($D$56^2)+'LINEST VARS'!$N$56*($B57^2)+'LINEST VARS'!$M$56*(4^2)+'LINEST VARS'!$L$56*(0.5^2)+'LINEST VARS'!$K$56*(12.73^2)+'LINEST VARS'!$J$56*($D$56*$B57)+'LINEST VARS'!$I$56*($D$56*4)+'LINEST VARS'!$H$56*($D$56*0.5)+'LINEST VARS'!$G$56*($D$56*12.73)+'LINEST VARS'!$F$56*($B57*4)+'LINEST VARS'!$E$56*($B57*0.5)+'LINEST VARS'!$D$56*($B57*12.73)+'LINEST VARS'!$C$56*(4*0.5)+'LINEST VARS'!$B$56*(4*12.73)+'LINEST VARS'!$A$56*(0.5*12.73)</f>
        <v>2.8400000000000012</v>
      </c>
      <c r="E57" s="51">
        <f>'LINEST VARS'!$U$56+'LINEST VARS'!$T$56*($E$56)+'LINEST VARS'!$S$56*($B57)+'LINEST VARS'!$R$56*(4)+'LINEST VARS'!$Q$56*(0.5)+'LINEST VARS'!$P$56*(12.73)+'LINEST VARS'!$O$56*($E$56^2)+'LINEST VARS'!$N$56*($B57^2)+'LINEST VARS'!$M$56*(4^2)+'LINEST VARS'!$L$56*(0.5^2)+'LINEST VARS'!$K$56*(12.73^2)+'LINEST VARS'!$J$56*($E$56*$B57)+'LINEST VARS'!$I$56*($E$56*4)+'LINEST VARS'!$H$56*($E$56*0.5)+'LINEST VARS'!$G$56*($E$56*12.73)+'LINEST VARS'!$F$56*($B57*4)+'LINEST VARS'!$E$56*($B57*0.5)+'LINEST VARS'!$D$56*($B57*12.73)+'LINEST VARS'!$C$56*(4*0.5)+'LINEST VARS'!$B$56*(4*12.73)+'LINEST VARS'!$A$56*(0.5*12.73)</f>
        <v>2.8400000000000012</v>
      </c>
      <c r="F57" s="51">
        <f>'LINEST VARS'!$U$56+'LINEST VARS'!$T$56*($F$56)+'LINEST VARS'!$S$56*($B57)+'LINEST VARS'!$R$56*(4)+'LINEST VARS'!$Q$56*(0.5)+'LINEST VARS'!$P$56*(12.73)+'LINEST VARS'!$O$56*($F$56^2)+'LINEST VARS'!$N$56*($B57^2)+'LINEST VARS'!$M$56*(4^2)+'LINEST VARS'!$L$56*(0.5^2)+'LINEST VARS'!$K$56*(12.73^2)+'LINEST VARS'!$J$56*($F$56*$B57)+'LINEST VARS'!$I$56*($F$56*4)+'LINEST VARS'!$H$56*($F$56*0.5)+'LINEST VARS'!$G$56*($F$56*12.73)+'LINEST VARS'!$F$56*($B57*4)+'LINEST VARS'!$E$56*($B57*0.5)+'LINEST VARS'!$D$56*($B57*12.73)+'LINEST VARS'!$C$56*(4*0.5)+'LINEST VARS'!$B$56*(4*12.73)+'LINEST VARS'!$A$56*(0.5*12.73)</f>
        <v>2.8400000000000012</v>
      </c>
      <c r="G57" s="51">
        <f>'LINEST VARS'!$U$56+'LINEST VARS'!$T$56*($G$56)+'LINEST VARS'!$S$56*($B57)+'LINEST VARS'!$R$56*(4)+'LINEST VARS'!$Q$56*(0.5)+'LINEST VARS'!$P$56*(12.73)+'LINEST VARS'!$O$56*($G$56^2)+'LINEST VARS'!$N$56*($B57^2)+'LINEST VARS'!$M$56*(4^2)+'LINEST VARS'!$L$56*(0.5^2)+'LINEST VARS'!$K$56*(12.73^2)+'LINEST VARS'!$J$56*($G$56*$B57)+'LINEST VARS'!$I$56*($G$56*4)+'LINEST VARS'!$H$56*($G$56*0.5)+'LINEST VARS'!$G$56*($G$56*12.73)+'LINEST VARS'!$F$56*($B57*4)+'LINEST VARS'!$E$56*($B57*0.5)+'LINEST VARS'!$D$56*($B57*12.73)+'LINEST VARS'!$C$56*(4*0.5)+'LINEST VARS'!$B$56*(4*12.73)+'LINEST VARS'!$A$56*(0.5*12.73)</f>
        <v>2.8400000000000016</v>
      </c>
      <c r="H57" s="51">
        <f>'LINEST VARS'!$U$56+'LINEST VARS'!$T$56*($H$56)+'LINEST VARS'!$S$56*($B57)+'LINEST VARS'!$R$56*(4)+'LINEST VARS'!$Q$56*(0.5)+'LINEST VARS'!$P$56*(12.73)+'LINEST VARS'!$O$56*($H$56^2)+'LINEST VARS'!$N$56*($B57^2)+'LINEST VARS'!$M$56*(4^2)+'LINEST VARS'!$L$56*(0.5^2)+'LINEST VARS'!$K$56*(12.73^2)+'LINEST VARS'!$J$56*($H$56*$B57)+'LINEST VARS'!$I$56*($H$56*4)+'LINEST VARS'!$H$56*($H$56*0.5)+'LINEST VARS'!$G$56*($H$56*12.73)+'LINEST VARS'!$F$56*($B57*4)+'LINEST VARS'!$E$56*($B57*0.5)+'LINEST VARS'!$D$56*($B57*12.73)+'LINEST VARS'!$C$56*(4*0.5)+'LINEST VARS'!$B$56*(4*12.73)+'LINEST VARS'!$A$56*(0.5*12.73)</f>
        <v>2.8400000000000016</v>
      </c>
      <c r="I57" s="51">
        <f>'LINEST VARS'!$U$56+'LINEST VARS'!$T$56*($I$56)+'LINEST VARS'!$S$56*($B57)+'LINEST VARS'!$R$56*(4)+'LINEST VARS'!$Q$56*(0.5)+'LINEST VARS'!$P$56*(12.73)+'LINEST VARS'!$O$56*($I$56^2)+'LINEST VARS'!$N$56*($B57^2)+'LINEST VARS'!$M$56*(4^2)+'LINEST VARS'!$L$56*(0.5^2)+'LINEST VARS'!$K$56*(12.73^2)+'LINEST VARS'!$J$56*($I$56*$B57)+'LINEST VARS'!$I$56*($I$56*4)+'LINEST VARS'!$H$56*($I$56*0.5)+'LINEST VARS'!$G$56*($I$56*12.73)+'LINEST VARS'!$F$56*($B57*4)+'LINEST VARS'!$E$56*($B57*0.5)+'LINEST VARS'!$D$56*($B57*12.73)+'LINEST VARS'!$C$56*(4*0.5)+'LINEST VARS'!$B$56*(4*12.73)+'LINEST VARS'!$A$56*(0.5*12.73)</f>
        <v>2.8400000000000016</v>
      </c>
      <c r="J57" s="51">
        <f>'LINEST VARS'!$U$56+'LINEST VARS'!$T$56*($J$56)+'LINEST VARS'!$S$56*($B57)+'LINEST VARS'!$R$56*(4)+'LINEST VARS'!$Q$56*(0.5)+'LINEST VARS'!$P$56*(12.73)+'LINEST VARS'!$O$56*($J$56^2)+'LINEST VARS'!$N$56*($B57^2)+'LINEST VARS'!$M$56*(4^2)+'LINEST VARS'!$L$56*(0.5^2)+'LINEST VARS'!$K$56*(12.73^2)+'LINEST VARS'!$J$56*($J$56*$B57)+'LINEST VARS'!$I$56*($J$56*4)+'LINEST VARS'!$H$56*($J$56*0.5)+'LINEST VARS'!$G$56*($J$56*12.73)+'LINEST VARS'!$F$56*($B57*4)+'LINEST VARS'!$E$56*($B57*0.5)+'LINEST VARS'!$D$56*($B57*12.73)+'LINEST VARS'!$C$56*(4*0.5)+'LINEST VARS'!$B$56*(4*12.73)+'LINEST VARS'!$A$56*(0.5*12.73)</f>
        <v>2.8400000000000016</v>
      </c>
      <c r="K57" s="51">
        <f>'LINEST VARS'!$U$56+'LINEST VARS'!$T$56*($K$56)+'LINEST VARS'!$S$56*($B57)+'LINEST VARS'!$R$56*(4)+'LINEST VARS'!$Q$56*(0.5)+'LINEST VARS'!$P$56*(12.73)+'LINEST VARS'!$O$56*($K$56^2)+'LINEST VARS'!$N$56*($B57^2)+'LINEST VARS'!$M$56*(4^2)+'LINEST VARS'!$L$56*(0.5^2)+'LINEST VARS'!$K$56*(12.73^2)+'LINEST VARS'!$J$56*($K$56*$B57)+'LINEST VARS'!$I$56*($K$56*4)+'LINEST VARS'!$H$56*($K$56*0.5)+'LINEST VARS'!$G$56*($K$56*12.73)+'LINEST VARS'!$F$56*($B57*4)+'LINEST VARS'!$E$56*($B57*0.5)+'LINEST VARS'!$D$56*($B57*12.73)+'LINEST VARS'!$C$56*(4*0.5)+'LINEST VARS'!$B$56*(4*12.73)+'LINEST VARS'!$A$56*(0.5*12.73)</f>
        <v>2.8400000000000012</v>
      </c>
      <c r="L57" s="51">
        <f>'LINEST VARS'!$U$56+'LINEST VARS'!$T$56*($L$56)+'LINEST VARS'!$S$56*($B57)+'LINEST VARS'!$R$56*(4)+'LINEST VARS'!$Q$56*(0.5)+'LINEST VARS'!$P$56*(12.73)+'LINEST VARS'!$O$56*($L$56^2)+'LINEST VARS'!$N$56*($B57^2)+'LINEST VARS'!$M$56*(4^2)+'LINEST VARS'!$L$56*(0.5^2)+'LINEST VARS'!$K$56*(12.73^2)+'LINEST VARS'!$J$56*($L$56*$B57)+'LINEST VARS'!$I$56*($L$56*4)+'LINEST VARS'!$H$56*($L$56*0.5)+'LINEST VARS'!$G$56*($L$56*12.73)+'LINEST VARS'!$F$56*($B57*4)+'LINEST VARS'!$E$56*($B57*0.5)+'LINEST VARS'!$D$56*($B57*12.73)+'LINEST VARS'!$C$56*(4*0.5)+'LINEST VARS'!$B$56*(4*12.73)+'LINEST VARS'!$A$56*(0.5*12.73)</f>
        <v>2.8400000000000012</v>
      </c>
      <c r="M57" s="51">
        <f>'LINEST VARS'!$U$56+'LINEST VARS'!$T$56*($M$56)+'LINEST VARS'!$S$56*($B57)+'LINEST VARS'!$R$56*(4)+'LINEST VARS'!$Q$56*(0.5)+'LINEST VARS'!$P$56*(12.73)+'LINEST VARS'!$O$56*($M$56^2)+'LINEST VARS'!$N$56*($B57^2)+'LINEST VARS'!$M$56*(4^2)+'LINEST VARS'!$L$56*(0.5^2)+'LINEST VARS'!$K$56*(12.73^2)+'LINEST VARS'!$J$56*($M$56*$B57)+'LINEST VARS'!$I$56*($M$56*4)+'LINEST VARS'!$H$56*($M$56*0.5)+'LINEST VARS'!$G$56*($M$56*12.73)+'LINEST VARS'!$F$56*($B57*4)+'LINEST VARS'!$E$56*($B57*0.5)+'LINEST VARS'!$D$56*($B57*12.73)+'LINEST VARS'!$C$56*(4*0.5)+'LINEST VARS'!$B$56*(4*12.73)+'LINEST VARS'!$A$56*(0.5*12.73)</f>
        <v>2.8400000000000012</v>
      </c>
      <c r="N57" s="51">
        <f>'LINEST VARS'!$U$56+'LINEST VARS'!$T$56*($N$56)+'LINEST VARS'!$S$56*($B57)+'LINEST VARS'!$R$56*(4)+'LINEST VARS'!$Q$56*(0.5)+'LINEST VARS'!$P$56*(12.73)+'LINEST VARS'!$O$56*($N$56^2)+'LINEST VARS'!$N$56*($B57^2)+'LINEST VARS'!$M$56*(4^2)+'LINEST VARS'!$L$56*(0.5^2)+'LINEST VARS'!$K$56*(12.73^2)+'LINEST VARS'!$J$56*($N$56*$B57)+'LINEST VARS'!$I$56*($N$56*4)+'LINEST VARS'!$H$56*($N$56*0.5)+'LINEST VARS'!$G$56*($N$56*12.73)+'LINEST VARS'!$F$56*($B57*4)+'LINEST VARS'!$E$56*($B57*0.5)+'LINEST VARS'!$D$56*($B57*12.73)+'LINEST VARS'!$C$56*(4*0.5)+'LINEST VARS'!$B$56*(4*12.73)+'LINEST VARS'!$A$56*(0.5*12.73)</f>
        <v>2.8400000000000012</v>
      </c>
      <c r="O57" s="51">
        <f>'LINEST VARS'!$U$56+'LINEST VARS'!$T$56*($O$56)+'LINEST VARS'!$S$56*($B57)+'LINEST VARS'!$R$56*(4)+'LINEST VARS'!$Q$56*(0.5)+'LINEST VARS'!$P$56*(12.73)+'LINEST VARS'!$O$56*($O$56^2)+'LINEST VARS'!$N$56*($B57^2)+'LINEST VARS'!$M$56*(4^2)+'LINEST VARS'!$L$56*(0.5^2)+'LINEST VARS'!$K$56*(12.73^2)+'LINEST VARS'!$J$56*($O$56*$B57)+'LINEST VARS'!$I$56*($O$56*4)+'LINEST VARS'!$H$56*($O$56*0.5)+'LINEST VARS'!$G$56*($O$56*12.73)+'LINEST VARS'!$F$56*($B57*4)+'LINEST VARS'!$E$56*($B57*0.5)+'LINEST VARS'!$D$56*($B57*12.73)+'LINEST VARS'!$C$56*(4*0.5)+'LINEST VARS'!$B$56*(4*12.73)+'LINEST VARS'!$A$56*(0.5*12.73)</f>
        <v>2.8400000000000012</v>
      </c>
      <c r="P57" s="51">
        <f>'LINEST VARS'!$U$56+'LINEST VARS'!$T$56*($P$56)+'LINEST VARS'!$S$56*($B57)+'LINEST VARS'!$R$56*(4)+'LINEST VARS'!$Q$56*(0.5)+'LINEST VARS'!$P$56*(12.73)+'LINEST VARS'!$O$56*($P$56^2)+'LINEST VARS'!$N$56*($B57^2)+'LINEST VARS'!$M$56*(4^2)+'LINEST VARS'!$L$56*(0.5^2)+'LINEST VARS'!$K$56*(12.73^2)+'LINEST VARS'!$J$56*($P$56*$B57)+'LINEST VARS'!$I$56*($P$56*4)+'LINEST VARS'!$H$56*($P$56*0.5)+'LINEST VARS'!$G$56*($P$56*12.73)+'LINEST VARS'!$F$56*($B57*4)+'LINEST VARS'!$E$56*($B57*0.5)+'LINEST VARS'!$D$56*($B57*12.73)+'LINEST VARS'!$C$56*(4*0.5)+'LINEST VARS'!$B$56*(4*12.73)+'LINEST VARS'!$A$56*(0.5*12.73)</f>
        <v>2.8400000000000012</v>
      </c>
      <c r="Q57" s="51">
        <f>'LINEST VARS'!$U$56+'LINEST VARS'!$T$56*($Q$56)+'LINEST VARS'!$S$56*($B57)+'LINEST VARS'!$R$56*(4)+'LINEST VARS'!$Q$56*(0.5)+'LINEST VARS'!$P$56*(12.73)+'LINEST VARS'!$O$56*($Q$56^2)+'LINEST VARS'!$N$56*($B57^2)+'LINEST VARS'!$M$56*(4^2)+'LINEST VARS'!$L$56*(0.5^2)+'LINEST VARS'!$K$56*(12.73^2)+'LINEST VARS'!$J$56*($Q$56*$B57)+'LINEST VARS'!$I$56*($Q$56*4)+'LINEST VARS'!$H$56*($Q$56*0.5)+'LINEST VARS'!$G$56*($Q$56*12.73)+'LINEST VARS'!$F$56*($B57*4)+'LINEST VARS'!$E$56*($B57*0.5)+'LINEST VARS'!$D$56*($B57*12.73)+'LINEST VARS'!$C$56*(4*0.5)+'LINEST VARS'!$B$56*(4*12.73)+'LINEST VARS'!$A$56*(0.5*12.73)</f>
        <v>2.8400000000000012</v>
      </c>
      <c r="R57" s="51">
        <f>'LINEST VARS'!$U$56+'LINEST VARS'!$T$56*($R$56)+'LINEST VARS'!$S$56*($B57)+'LINEST VARS'!$R$56*(4)+'LINEST VARS'!$Q$56*(0.5)+'LINEST VARS'!$P$56*(12.73)+'LINEST VARS'!$O$56*($R$56^2)+'LINEST VARS'!$N$56*($B57^2)+'LINEST VARS'!$M$56*(4^2)+'LINEST VARS'!$L$56*(0.5^2)+'LINEST VARS'!$K$56*(12.73^2)+'LINEST VARS'!$J$56*($R$56*$B57)+'LINEST VARS'!$I$56*($R$56*4)+'LINEST VARS'!$H$56*($R$56*0.5)+'LINEST VARS'!$G$56*($R$56*12.73)+'LINEST VARS'!$F$56*($B57*4)+'LINEST VARS'!$E$56*($B57*0.5)+'LINEST VARS'!$D$56*($B57*12.73)+'LINEST VARS'!$C$56*(4*0.5)+'LINEST VARS'!$B$56*(4*12.73)+'LINEST VARS'!$A$56*(0.5*12.73)</f>
        <v>2.8400000000000012</v>
      </c>
      <c r="S57" s="51">
        <f>'LINEST VARS'!$U$56+'LINEST VARS'!$T$56*($S$56)+'LINEST VARS'!$S$56*($B57)+'LINEST VARS'!$R$56*(4)+'LINEST VARS'!$Q$56*(0.5)+'LINEST VARS'!$P$56*(12.73)+'LINEST VARS'!$O$56*($S$56^2)+'LINEST VARS'!$N$56*($B57^2)+'LINEST VARS'!$M$56*(4^2)+'LINEST VARS'!$L$56*(0.5^2)+'LINEST VARS'!$K$56*(12.73^2)+'LINEST VARS'!$J$56*($S$56*$B57)+'LINEST VARS'!$I$56*($S$56*4)+'LINEST VARS'!$H$56*($S$56*0.5)+'LINEST VARS'!$G$56*($S$56*12.73)+'LINEST VARS'!$F$56*($B57*4)+'LINEST VARS'!$E$56*($B57*0.5)+'LINEST VARS'!$D$56*($B57*12.73)+'LINEST VARS'!$C$56*(4*0.5)+'LINEST VARS'!$B$56*(4*12.73)+'LINEST VARS'!$A$56*(0.5*12.73)</f>
        <v>2.8400000000000012</v>
      </c>
      <c r="T57" s="51">
        <f>'LINEST VARS'!$U$56+'LINEST VARS'!$T$56*($T$56)+'LINEST VARS'!$S$56*($B57)+'LINEST VARS'!$R$56*(4)+'LINEST VARS'!$Q$56*(0.5)+'LINEST VARS'!$P$56*(12.73)+'LINEST VARS'!$O$56*($T$56^2)+'LINEST VARS'!$N$56*($B57^2)+'LINEST VARS'!$M$56*(4^2)+'LINEST VARS'!$L$56*(0.5^2)+'LINEST VARS'!$K$56*(12.73^2)+'LINEST VARS'!$J$56*($T$56*$B57)+'LINEST VARS'!$I$56*($T$56*4)+'LINEST VARS'!$H$56*($T$56*0.5)+'LINEST VARS'!$G$56*($T$56*12.73)+'LINEST VARS'!$F$56*($B57*4)+'LINEST VARS'!$E$56*($B57*0.5)+'LINEST VARS'!$D$56*($B57*12.73)+'LINEST VARS'!$C$56*(4*0.5)+'LINEST VARS'!$B$56*(4*12.73)+'LINEST VARS'!$A$56*(0.5*12.73)</f>
        <v>2.8400000000000012</v>
      </c>
      <c r="U57" s="51">
        <f>'LINEST VARS'!$U$56+'LINEST VARS'!$T$56*($U$56)+'LINEST VARS'!$S$56*($B57)+'LINEST VARS'!$R$56*(4)+'LINEST VARS'!$Q$56*(0.5)+'LINEST VARS'!$P$56*(12.73)+'LINEST VARS'!$O$56*($U$56^2)+'LINEST VARS'!$N$56*($B57^2)+'LINEST VARS'!$M$56*(4^2)+'LINEST VARS'!$L$56*(0.5^2)+'LINEST VARS'!$K$56*(12.73^2)+'LINEST VARS'!$J$56*($U$56*$B57)+'LINEST VARS'!$I$56*($U$56*4)+'LINEST VARS'!$H$56*($U$56*0.5)+'LINEST VARS'!$G$56*($U$56*12.73)+'LINEST VARS'!$F$56*($B57*4)+'LINEST VARS'!$E$56*($B57*0.5)+'LINEST VARS'!$D$56*($B57*12.73)+'LINEST VARS'!$C$56*(4*0.5)+'LINEST VARS'!$B$56*(4*12.73)+'LINEST VARS'!$A$56*(0.5*12.73)</f>
        <v>2.8400000000000012</v>
      </c>
      <c r="V57" s="51">
        <f>'LINEST VARS'!$U$56+'LINEST VARS'!$T$56*($V$56)+'LINEST VARS'!$S$56*($B57)+'LINEST VARS'!$R$56*(4)+'LINEST VARS'!$Q$56*(0.5)+'LINEST VARS'!$P$56*(12.73)+'LINEST VARS'!$O$56*($V$56^2)+'LINEST VARS'!$N$56*($B57^2)+'LINEST VARS'!$M$56*(4^2)+'LINEST VARS'!$L$56*(0.5^2)+'LINEST VARS'!$K$56*(12.73^2)+'LINEST VARS'!$J$56*($V$56*$B57)+'LINEST VARS'!$I$56*($V$56*4)+'LINEST VARS'!$H$56*($V$56*0.5)+'LINEST VARS'!$G$56*($V$56*12.73)+'LINEST VARS'!$F$56*($B57*4)+'LINEST VARS'!$E$56*($B57*0.5)+'LINEST VARS'!$D$56*($B57*12.73)+'LINEST VARS'!$C$56*(4*0.5)+'LINEST VARS'!$B$56*(4*12.73)+'LINEST VARS'!$A$56*(0.5*12.73)</f>
        <v>2.8400000000000012</v>
      </c>
      <c r="W57" s="52">
        <f>'LINEST VARS'!$U$56+'LINEST VARS'!$T$56*($W$56)+'LINEST VARS'!$S$56*($B57)+'LINEST VARS'!$R$56*(4)+'LINEST VARS'!$Q$56*(0.5)+'LINEST VARS'!$P$56*(12.73)+'LINEST VARS'!$O$56*($W$56^2)+'LINEST VARS'!$N$56*($B57^2)+'LINEST VARS'!$M$56*(4^2)+'LINEST VARS'!$L$56*(0.5^2)+'LINEST VARS'!$K$56*(12.73^2)+'LINEST VARS'!$J$56*($W$56*$B57)+'LINEST VARS'!$I$56*($W$56*4)+'LINEST VARS'!$H$56*($W$56*0.5)+'LINEST VARS'!$G$56*($W$56*12.73)+'LINEST VARS'!$F$56*($B57*4)+'LINEST VARS'!$E$56*($B57*0.5)+'LINEST VARS'!$D$56*($B57*12.73)+'LINEST VARS'!$C$56*(4*0.5)+'LINEST VARS'!$B$56*(4*12.73)+'LINEST VARS'!$A$56*(0.5*12.73)</f>
        <v>2.8400000000000012</v>
      </c>
      <c r="Z57" s="45">
        <v>7.4</v>
      </c>
      <c r="AA57" s="51">
        <f>'LINEST VARS'!$U$58+'LINEST VARS'!$T$58*($AA$56)+'LINEST VARS'!$S$58*($Z57)+'LINEST VARS'!$R$58*(4)+'LINEST VARS'!$Q$58*(0.5)+'LINEST VARS'!$P$58*(12.73)+'LINEST VARS'!$O$58*($AA$56^2)+'LINEST VARS'!$N$58*($Z57^2)+'LINEST VARS'!$M$58*(4^2)+'LINEST VARS'!$L$58*(0.5^2)+'LINEST VARS'!$K$58*(12.73^2)+'LINEST VARS'!$J$58*($AA$56*$Z57)+'LINEST VARS'!$I$58*($AA$56*4)+'LINEST VARS'!$H$58*($AA$56*0.5)+'LINEST VARS'!$G$58*($AA$56*12.73)+'LINEST VARS'!$F$58*($Z57*4)+'LINEST VARS'!$E$58*($Z57*0.5)+'LINEST VARS'!$D$58*($Z57*12.73)+'LINEST VARS'!$C$58*(4*0.5)+'LINEST VARS'!$B$58*(4*12.73)+'LINEST VARS'!$A$58*(0.5*12.73)</f>
        <v>0.94365000000000032</v>
      </c>
      <c r="AB57" s="51">
        <f>'LINEST VARS'!$U$58+'LINEST VARS'!$T$58*($AB$56)+'LINEST VARS'!$S$58*($Z57)+'LINEST VARS'!$R$58*(4)+'LINEST VARS'!$Q$58*(0.5)+'LINEST VARS'!$P$58*(12.73)+'LINEST VARS'!$O$58*($AB$56^2)+'LINEST VARS'!$N$58*($Z57^2)+'LINEST VARS'!$M$58*(4^2)+'LINEST VARS'!$L$58*(0.5^2)+'LINEST VARS'!$K$58*(12.73^2)+'LINEST VARS'!$J$58*($AB$56*$Z57)+'LINEST VARS'!$I$58*($AB$56*4)+'LINEST VARS'!$H$58*($AB$56*0.5)+'LINEST VARS'!$G$58*($AB$56*12.73)+'LINEST VARS'!$F$58*($Z57*4)+'LINEST VARS'!$E$58*($Z57*0.5)+'LINEST VARS'!$D$58*($Z57*12.73)+'LINEST VARS'!$C$58*(4*0.5)+'LINEST VARS'!$B$58*(4*12.73)+'LINEST VARS'!$A$58*(0.5*12.73)</f>
        <v>0.94365000000000032</v>
      </c>
      <c r="AC57" s="51">
        <f>'LINEST VARS'!$U$58+'LINEST VARS'!$T$58*($AC$56)+'LINEST VARS'!$S$58*($Z57)+'LINEST VARS'!$R$58*(4)+'LINEST VARS'!$Q$58*(0.5)+'LINEST VARS'!$P$58*(12.73)+'LINEST VARS'!$O$58*($AC$56^2)+'LINEST VARS'!$N$58*($Z57^2)+'LINEST VARS'!$M$58*(4^2)+'LINEST VARS'!$L$58*(0.5^2)+'LINEST VARS'!$K$58*(12.73^2)+'LINEST VARS'!$J$58*($AC$56*$Z57)+'LINEST VARS'!$I$58*($AC$56*4)+'LINEST VARS'!$H$58*($AC$56*0.5)+'LINEST VARS'!$G$58*($AC$56*12.73)+'LINEST VARS'!$F$58*($Z57*4)+'LINEST VARS'!$E$58*($Z57*0.5)+'LINEST VARS'!$D$58*($Z57*12.73)+'LINEST VARS'!$C$58*(4*0.5)+'LINEST VARS'!$B$58*(4*12.73)+'LINEST VARS'!$A$58*(0.5*12.73)</f>
        <v>0.94365000000000032</v>
      </c>
      <c r="AD57" s="51">
        <f>'LINEST VARS'!$U$58+'LINEST VARS'!$T$58*($AD$56)+'LINEST VARS'!$S$58*($Z57)+'LINEST VARS'!$R$58*(4)+'LINEST VARS'!$Q$58*(0.5)+'LINEST VARS'!$P$58*(12.73)+'LINEST VARS'!$O$58*($AD$56^2)+'LINEST VARS'!$N$58*($Z57^2)+'LINEST VARS'!$M$58*(4^2)+'LINEST VARS'!$L$58*(0.5^2)+'LINEST VARS'!$K$58*(12.73^2)+'LINEST VARS'!$J$58*($AD$56*$Z57)+'LINEST VARS'!$I$58*($AD$56*4)+'LINEST VARS'!$H$58*($AD$56*0.5)+'LINEST VARS'!$G$58*($AD$56*12.73)+'LINEST VARS'!$F$58*($Z57*4)+'LINEST VARS'!$E$58*($Z57*0.5)+'LINEST VARS'!$D$58*($Z57*12.73)+'LINEST VARS'!$C$58*(4*0.5)+'LINEST VARS'!$B$58*(4*12.73)+'LINEST VARS'!$A$58*(0.5*12.73)</f>
        <v>0.94365000000000032</v>
      </c>
      <c r="AE57" s="51">
        <f>'LINEST VARS'!$U$58+'LINEST VARS'!$T$58*($AE$56)+'LINEST VARS'!$S$58*($Z57)+'LINEST VARS'!$R$58*(4)+'LINEST VARS'!$Q$58*(0.5)+'LINEST VARS'!$P$58*(12.73)+'LINEST VARS'!$O$58*($AE$56^2)+'LINEST VARS'!$N$58*($Z57^2)+'LINEST VARS'!$M$58*(4^2)+'LINEST VARS'!$L$58*(0.5^2)+'LINEST VARS'!$K$58*(12.73^2)+'LINEST VARS'!$J$58*($AE$56*$Z57)+'LINEST VARS'!$I$58*($AE$56*4)+'LINEST VARS'!$H$58*($AE$56*0.5)+'LINEST VARS'!$G$58*($AE$56*12.73)+'LINEST VARS'!$F$58*($Z57*4)+'LINEST VARS'!$E$58*($Z57*0.5)+'LINEST VARS'!$D$58*($Z57*12.73)+'LINEST VARS'!$C$58*(4*0.5)+'LINEST VARS'!$B$58*(4*12.73)+'LINEST VARS'!$A$58*(0.5*12.73)</f>
        <v>0.94365000000000032</v>
      </c>
      <c r="AF57" s="51">
        <f>'LINEST VARS'!$U$58+'LINEST VARS'!$T$58*($AF$56)+'LINEST VARS'!$S$58*($Z57)+'LINEST VARS'!$R$58*(4)+'LINEST VARS'!$Q$58*(0.5)+'LINEST VARS'!$P$58*(12.73)+'LINEST VARS'!$O$58*($AF$56^2)+'LINEST VARS'!$N$58*($Z57^2)+'LINEST VARS'!$M$58*(4^2)+'LINEST VARS'!$L$58*(0.5^2)+'LINEST VARS'!$K$58*(12.73^2)+'LINEST VARS'!$J$58*($AF$56*$Z57)+'LINEST VARS'!$I$58*($AF$56*4)+'LINEST VARS'!$H$58*($AF$56*0.5)+'LINEST VARS'!$G$58*($AF$56*12.73)+'LINEST VARS'!$F$58*($Z57*4)+'LINEST VARS'!$E$58*($Z57*0.5)+'LINEST VARS'!$D$58*($Z57*12.73)+'LINEST VARS'!$C$58*(4*0.5)+'LINEST VARS'!$B$58*(4*12.73)+'LINEST VARS'!$A$58*(0.5*12.73)</f>
        <v>0.94365000000000032</v>
      </c>
      <c r="AG57" s="51">
        <f>'LINEST VARS'!$U$58+'LINEST VARS'!$T$58*($AG$56)+'LINEST VARS'!$S$58*($Z57)+'LINEST VARS'!$R$58*(4)+'LINEST VARS'!$Q$58*(0.5)+'LINEST VARS'!$P$58*(12.73)+'LINEST VARS'!$O$58*($AG$56^2)+'LINEST VARS'!$N$58*($Z57^2)+'LINEST VARS'!$M$58*(4^2)+'LINEST VARS'!$L$58*(0.5^2)+'LINEST VARS'!$K$58*(12.73^2)+'LINEST VARS'!$J$58*($AG$56*$Z57)+'LINEST VARS'!$I$58*($AG$56*4)+'LINEST VARS'!$H$58*($AG$56*0.5)+'LINEST VARS'!$G$58*($AG$56*12.73)+'LINEST VARS'!$F$58*($Z57*4)+'LINEST VARS'!$E$58*($Z57*0.5)+'LINEST VARS'!$D$58*($Z57*12.73)+'LINEST VARS'!$C$58*(4*0.5)+'LINEST VARS'!$B$58*(4*12.73)+'LINEST VARS'!$A$58*(0.5*12.73)</f>
        <v>0.94365000000000032</v>
      </c>
      <c r="AH57" s="51">
        <f>'LINEST VARS'!$U$58+'LINEST VARS'!$T$58*($AH$56)+'LINEST VARS'!$S$58*($Z57)+'LINEST VARS'!$R$58*(4)+'LINEST VARS'!$Q$58*(0.5)+'LINEST VARS'!$P$58*(12.73)+'LINEST VARS'!$O$58*($AH$56^2)+'LINEST VARS'!$N$58*($Z57^2)+'LINEST VARS'!$M$58*(4^2)+'LINEST VARS'!$L$58*(0.5^2)+'LINEST VARS'!$K$58*(12.73^2)+'LINEST VARS'!$J$58*($AH$56*$Z57)+'LINEST VARS'!$I$58*($AH$56*4)+'LINEST VARS'!$H$58*($AH$56*0.5)+'LINEST VARS'!$G$58*($AH$56*12.73)+'LINEST VARS'!$F$58*($Z57*4)+'LINEST VARS'!$E$58*($Z57*0.5)+'LINEST VARS'!$D$58*($Z57*12.73)+'LINEST VARS'!$C$58*(4*0.5)+'LINEST VARS'!$B$58*(4*12.73)+'LINEST VARS'!$A$58*(0.5*12.73)</f>
        <v>0.94365000000000032</v>
      </c>
      <c r="AI57" s="51">
        <f>'LINEST VARS'!$U$58+'LINEST VARS'!$T$58*($AI$56)+'LINEST VARS'!$S$58*($Z57)+'LINEST VARS'!$R$58*(4)+'LINEST VARS'!$Q$58*(0.5)+'LINEST VARS'!$P$58*(12.73)+'LINEST VARS'!$O$58*($AI$56^2)+'LINEST VARS'!$N$58*($Z57^2)+'LINEST VARS'!$M$58*(4^2)+'LINEST VARS'!$L$58*(0.5^2)+'LINEST VARS'!$K$58*(12.73^2)+'LINEST VARS'!$J$58*($AI$56*$Z57)+'LINEST VARS'!$I$58*($AI$56*4)+'LINEST VARS'!$H$58*($AI$56*0.5)+'LINEST VARS'!$G$58*($AI$56*12.73)+'LINEST VARS'!$F$58*($Z57*4)+'LINEST VARS'!$E$58*($Z57*0.5)+'LINEST VARS'!$D$58*($Z57*12.73)+'LINEST VARS'!$C$58*(4*0.5)+'LINEST VARS'!$B$58*(4*12.73)+'LINEST VARS'!$A$58*(0.5*12.73)</f>
        <v>0.94365000000000021</v>
      </c>
      <c r="AJ57" s="51">
        <f>'LINEST VARS'!$U$58+'LINEST VARS'!$T$58*($AJ$56)+'LINEST VARS'!$S$58*($Z57)+'LINEST VARS'!$R$58*(4)+'LINEST VARS'!$Q$58*(0.5)+'LINEST VARS'!$P$58*(12.73)+'LINEST VARS'!$O$58*($AJ$56^2)+'LINEST VARS'!$N$58*($Z57^2)+'LINEST VARS'!$M$58*(4^2)+'LINEST VARS'!$L$58*(0.5^2)+'LINEST VARS'!$K$58*(12.73^2)+'LINEST VARS'!$J$58*($AJ$56*$Z57)+'LINEST VARS'!$I$58*($AJ$56*4)+'LINEST VARS'!$H$58*($AJ$56*0.5)+'LINEST VARS'!$G$58*($AJ$56*12.73)+'LINEST VARS'!$F$58*($Z57*4)+'LINEST VARS'!$E$58*($Z57*0.5)+'LINEST VARS'!$D$58*($Z57*12.73)+'LINEST VARS'!$C$58*(4*0.5)+'LINEST VARS'!$B$58*(4*12.73)+'LINEST VARS'!$A$58*(0.5*12.73)</f>
        <v>0.94365000000000021</v>
      </c>
      <c r="AK57" s="51">
        <f>'LINEST VARS'!$U$58+'LINEST VARS'!$T$58*($AK$56)+'LINEST VARS'!$S$58*($Z57)+'LINEST VARS'!$R$58*(4)+'LINEST VARS'!$Q$58*(0.5)+'LINEST VARS'!$P$58*(12.73)+'LINEST VARS'!$O$58*($AK$56^2)+'LINEST VARS'!$N$58*($Z57^2)+'LINEST VARS'!$M$58*(4^2)+'LINEST VARS'!$L$58*(0.5^2)+'LINEST VARS'!$K$58*(12.73^2)+'LINEST VARS'!$J$58*($AK$56*$Z57)+'LINEST VARS'!$I$58*($AK$56*4)+'LINEST VARS'!$H$58*($AK$56*0.5)+'LINEST VARS'!$G$58*($AK$56*12.73)+'LINEST VARS'!$F$58*($Z57*4)+'LINEST VARS'!$E$58*($Z57*0.5)+'LINEST VARS'!$D$58*($Z57*12.73)+'LINEST VARS'!$C$58*(4*0.5)+'LINEST VARS'!$B$58*(4*12.73)+'LINEST VARS'!$A$58*(0.5*12.73)</f>
        <v>0.94365000000000032</v>
      </c>
      <c r="AL57" s="51">
        <f>'LINEST VARS'!$U$58+'LINEST VARS'!$T$58*($AL$56)+'LINEST VARS'!$S$58*($Z57)+'LINEST VARS'!$R$58*(4)+'LINEST VARS'!$Q$58*(0.5)+'LINEST VARS'!$P$58*(12.73)+'LINEST VARS'!$O$58*($AL$56^2)+'LINEST VARS'!$N$58*($Z57^2)+'LINEST VARS'!$M$58*(4^2)+'LINEST VARS'!$L$58*(0.5^2)+'LINEST VARS'!$K$58*(12.73^2)+'LINEST VARS'!$J$58*($AL$56*$Z57)+'LINEST VARS'!$I$58*($AL$56*4)+'LINEST VARS'!$H$58*($AL$56*0.5)+'LINEST VARS'!$G$58*($AL$56*12.73)+'LINEST VARS'!$F$58*($Z57*4)+'LINEST VARS'!$E$58*($Z57*0.5)+'LINEST VARS'!$D$58*($Z57*12.73)+'LINEST VARS'!$C$58*(4*0.5)+'LINEST VARS'!$B$58*(4*12.73)+'LINEST VARS'!$A$58*(0.5*12.73)</f>
        <v>0.94365000000000032</v>
      </c>
      <c r="AM57" s="51">
        <f>'LINEST VARS'!$U$58+'LINEST VARS'!$T$58*($AM$56)+'LINEST VARS'!$S$58*($Z57)+'LINEST VARS'!$R$58*(4)+'LINEST VARS'!$Q$58*(0.5)+'LINEST VARS'!$P$58*(12.73)+'LINEST VARS'!$O$58*($AM$56^2)+'LINEST VARS'!$N$58*($Z57^2)+'LINEST VARS'!$M$58*(4^2)+'LINEST VARS'!$L$58*(0.5^2)+'LINEST VARS'!$K$58*(12.73^2)+'LINEST VARS'!$J$58*($AM$56*$Z57)+'LINEST VARS'!$I$58*($AM$56*4)+'LINEST VARS'!$H$58*($AM$56*0.5)+'LINEST VARS'!$G$58*($AM$56*12.73)+'LINEST VARS'!$F$58*($Z57*4)+'LINEST VARS'!$E$58*($Z57*0.5)+'LINEST VARS'!$D$58*($Z57*12.73)+'LINEST VARS'!$C$58*(4*0.5)+'LINEST VARS'!$B$58*(4*12.73)+'LINEST VARS'!$A$58*(0.5*12.73)</f>
        <v>0.94365000000000021</v>
      </c>
      <c r="AN57" s="51">
        <f>'LINEST VARS'!$U$58+'LINEST VARS'!$T$58*($AN$56)+'LINEST VARS'!$S$58*($Z57)+'LINEST VARS'!$R$58*(4)+'LINEST VARS'!$Q$58*(0.5)+'LINEST VARS'!$P$58*(12.73)+'LINEST VARS'!$O$58*($AN$56^2)+'LINEST VARS'!$N$58*($Z57^2)+'LINEST VARS'!$M$58*(4^2)+'LINEST VARS'!$L$58*(0.5^2)+'LINEST VARS'!$K$58*(12.73^2)+'LINEST VARS'!$J$58*($AN$56*$Z57)+'LINEST VARS'!$I$58*($AN$56*4)+'LINEST VARS'!$H$58*($AN$56*0.5)+'LINEST VARS'!$G$58*($AN$56*12.73)+'LINEST VARS'!$F$58*($Z57*4)+'LINEST VARS'!$E$58*($Z57*0.5)+'LINEST VARS'!$D$58*($Z57*12.73)+'LINEST VARS'!$C$58*(4*0.5)+'LINEST VARS'!$B$58*(4*12.73)+'LINEST VARS'!$A$58*(0.5*12.73)</f>
        <v>0.94365000000000021</v>
      </c>
      <c r="AO57" s="51">
        <f>'LINEST VARS'!$U$58+'LINEST VARS'!$T$58*($AO$56)+'LINEST VARS'!$S$58*($Z57)+'LINEST VARS'!$R$58*(4)+'LINEST VARS'!$Q$58*(0.5)+'LINEST VARS'!$P$58*(12.73)+'LINEST VARS'!$O$58*($AO$56^2)+'LINEST VARS'!$N$58*($Z57^2)+'LINEST VARS'!$M$58*(4^2)+'LINEST VARS'!$L$58*(0.5^2)+'LINEST VARS'!$K$58*(12.73^2)+'LINEST VARS'!$J$58*($AO$56*$Z57)+'LINEST VARS'!$I$58*($AO$56*4)+'LINEST VARS'!$H$58*($AO$56*0.5)+'LINEST VARS'!$G$58*($AO$56*12.73)+'LINEST VARS'!$F$58*($Z57*4)+'LINEST VARS'!$E$58*($Z57*0.5)+'LINEST VARS'!$D$58*($Z57*12.73)+'LINEST VARS'!$C$58*(4*0.5)+'LINEST VARS'!$B$58*(4*12.73)+'LINEST VARS'!$A$58*(0.5*12.73)</f>
        <v>0.94365000000000021</v>
      </c>
      <c r="AP57" s="51">
        <f>'LINEST VARS'!$U$58+'LINEST VARS'!$T$58*($AP$56)+'LINEST VARS'!$S$58*($Z57)+'LINEST VARS'!$R$58*(4)+'LINEST VARS'!$Q$58*(0.5)+'LINEST VARS'!$P$58*(12.73)+'LINEST VARS'!$O$58*($AP$56^2)+'LINEST VARS'!$N$58*($Z57^2)+'LINEST VARS'!$M$58*(4^2)+'LINEST VARS'!$L$58*(0.5^2)+'LINEST VARS'!$K$58*(12.73^2)+'LINEST VARS'!$J$58*($AP$56*$Z57)+'LINEST VARS'!$I$58*($AP$56*4)+'LINEST VARS'!$H$58*($AP$56*0.5)+'LINEST VARS'!$G$58*($AP$56*12.73)+'LINEST VARS'!$F$58*($Z57*4)+'LINEST VARS'!$E$58*($Z57*0.5)+'LINEST VARS'!$D$58*($Z57*12.73)+'LINEST VARS'!$C$58*(4*0.5)+'LINEST VARS'!$B$58*(4*12.73)+'LINEST VARS'!$A$58*(0.5*12.73)</f>
        <v>0.94365000000000021</v>
      </c>
      <c r="AQ57" s="51">
        <f>'LINEST VARS'!$U$58+'LINEST VARS'!$T$58*($AQ$56)+'LINEST VARS'!$S$58*($Z57)+'LINEST VARS'!$R$58*(4)+'LINEST VARS'!$Q$58*(0.5)+'LINEST VARS'!$P$58*(12.73)+'LINEST VARS'!$O$58*($AQ$56^2)+'LINEST VARS'!$N$58*($Z57^2)+'LINEST VARS'!$M$58*(4^2)+'LINEST VARS'!$L$58*(0.5^2)+'LINEST VARS'!$K$58*(12.73^2)+'LINEST VARS'!$J$58*($AQ$56*$Z57)+'LINEST VARS'!$I$58*($AQ$56*4)+'LINEST VARS'!$H$58*($AQ$56*0.5)+'LINEST VARS'!$G$58*($AQ$56*12.73)+'LINEST VARS'!$F$58*($Z57*4)+'LINEST VARS'!$E$58*($Z57*0.5)+'LINEST VARS'!$D$58*($Z57*12.73)+'LINEST VARS'!$C$58*(4*0.5)+'LINEST VARS'!$B$58*(4*12.73)+'LINEST VARS'!$A$58*(0.5*12.73)</f>
        <v>0.94365000000000021</v>
      </c>
      <c r="AR57" s="51">
        <f>'LINEST VARS'!$U$58+'LINEST VARS'!$T$58*($AR$56)+'LINEST VARS'!$S$58*($Z57)+'LINEST VARS'!$R$58*(4)+'LINEST VARS'!$Q$58*(0.5)+'LINEST VARS'!$P$58*(12.73)+'LINEST VARS'!$O$58*($AR$56^2)+'LINEST VARS'!$N$58*($Z57^2)+'LINEST VARS'!$M$58*(4^2)+'LINEST VARS'!$L$58*(0.5^2)+'LINEST VARS'!$K$58*(12.73^2)+'LINEST VARS'!$J$58*($AR$56*$Z57)+'LINEST VARS'!$I$58*($AR$56*4)+'LINEST VARS'!$H$58*($AR$56*0.5)+'LINEST VARS'!$G$58*($AR$56*12.73)+'LINEST VARS'!$F$58*($Z57*4)+'LINEST VARS'!$E$58*($Z57*0.5)+'LINEST VARS'!$D$58*($Z57*12.73)+'LINEST VARS'!$C$58*(4*0.5)+'LINEST VARS'!$B$58*(4*12.73)+'LINEST VARS'!$A$58*(0.5*12.73)</f>
        <v>0.94365000000000021</v>
      </c>
      <c r="AS57" s="51">
        <f>'LINEST VARS'!$U$58+'LINEST VARS'!$T$58*($AS$56)+'LINEST VARS'!$S$58*($Z57)+'LINEST VARS'!$R$58*(4)+'LINEST VARS'!$Q$58*(0.5)+'LINEST VARS'!$P$58*(12.73)+'LINEST VARS'!$O$58*($AS$56^2)+'LINEST VARS'!$N$58*($Z57^2)+'LINEST VARS'!$M$58*(4^2)+'LINEST VARS'!$L$58*(0.5^2)+'LINEST VARS'!$K$58*(12.73^2)+'LINEST VARS'!$J$58*($AS$56*$Z57)+'LINEST VARS'!$I$58*($AS$56*4)+'LINEST VARS'!$H$58*($AS$56*0.5)+'LINEST VARS'!$G$58*($AS$56*12.73)+'LINEST VARS'!$F$58*($Z57*4)+'LINEST VARS'!$E$58*($Z57*0.5)+'LINEST VARS'!$D$58*($Z57*12.73)+'LINEST VARS'!$C$58*(4*0.5)+'LINEST VARS'!$B$58*(4*12.73)+'LINEST VARS'!$A$58*(0.5*12.73)</f>
        <v>0.94365000000000021</v>
      </c>
      <c r="AT57" s="51">
        <f>'LINEST VARS'!$U$58+'LINEST VARS'!$T$58*($AT$56)+'LINEST VARS'!$S$58*($Z57)+'LINEST VARS'!$R$58*(4)+'LINEST VARS'!$Q$58*(0.5)+'LINEST VARS'!$P$58*(12.73)+'LINEST VARS'!$O$58*($AT$56^2)+'LINEST VARS'!$N$58*($Z57^2)+'LINEST VARS'!$M$58*(4^2)+'LINEST VARS'!$L$58*(0.5^2)+'LINEST VARS'!$K$58*(12.73^2)+'LINEST VARS'!$J$58*($AT$56*$Z57)+'LINEST VARS'!$I$58*($AT$56*4)+'LINEST VARS'!$H$58*($AT$56*0.5)+'LINEST VARS'!$G$58*($AT$56*12.73)+'LINEST VARS'!$F$58*($Z57*4)+'LINEST VARS'!$E$58*($Z57*0.5)+'LINEST VARS'!$D$58*($Z57*12.73)+'LINEST VARS'!$C$58*(4*0.5)+'LINEST VARS'!$B$58*(4*12.73)+'LINEST VARS'!$A$58*(0.5*12.73)</f>
        <v>0.94365000000000021</v>
      </c>
      <c r="AU57" s="52">
        <f>'LINEST VARS'!$U$58+'LINEST VARS'!$T$58*($AU$56)+'LINEST VARS'!$S$58*($Z57)+'LINEST VARS'!$R$58*(4)+'LINEST VARS'!$Q$58*(0.5)+'LINEST VARS'!$P$58*(12.73)+'LINEST VARS'!$O$58*($AU$56^2)+'LINEST VARS'!$N$58*($Z57^2)+'LINEST VARS'!$M$58*(4^2)+'LINEST VARS'!$L$58*(0.5^2)+'LINEST VARS'!$K$58*(12.73^2)+'LINEST VARS'!$J$58*($AU$56*$Z57)+'LINEST VARS'!$I$58*($AU$56*4)+'LINEST VARS'!$H$58*($AU$56*0.5)+'LINEST VARS'!$G$58*($AU$56*12.73)+'LINEST VARS'!$F$58*($Z57*4)+'LINEST VARS'!$E$58*($Z57*0.5)+'LINEST VARS'!$D$58*($Z57*12.73)+'LINEST VARS'!$C$58*(4*0.5)+'LINEST VARS'!$B$58*(4*12.73)+'LINEST VARS'!$A$58*(0.5*12.73)</f>
        <v>0.94365000000000021</v>
      </c>
      <c r="AZ57" s="45">
        <v>0</v>
      </c>
      <c r="BA57" s="51">
        <f>'LINEST VARS'!$U$56+'LINEST VARS'!$T$56*(8)+'LINEST VARS'!$S$56*(8)+'LINEST VARS'!$R$56*($BA$56)+'LINEST VARS'!$Q$56*($AZ57)+'LINEST VARS'!$P$56*(12.73)+'LINEST VARS'!$O$56*(8^2)+'LINEST VARS'!$N$56*(8^2)+'LINEST VARS'!$M$56*($BA$56^2)+'LINEST VARS'!$L$56*($AZ57^2)+'LINEST VARS'!$K$56*(12.73^2)+'LINEST VARS'!$J$56*(8*8)+'LINEST VARS'!$I$56*(8*$BA$56)+'LINEST VARS'!$H$56*(8*$AZ57)+'LINEST VARS'!$G$56*(8*12.73)+'LINEST VARS'!$F$56*(8*$BA$56)+'LINEST VARS'!$E$56*(8*$AZ57)+'LINEST VARS'!$D$56*(8*12.73)+'LINEST VARS'!$C$56*($BA$56*$AZ57)+'LINEST VARS'!$B$56*($BA$56*12.73)+'LINEST VARS'!$A$56*($AZ57*12.73)</f>
        <v>2.8000000000000012</v>
      </c>
      <c r="BB57" s="51">
        <f>'LINEST VARS'!$U$56+'LINEST VARS'!$T$56*(8)+'LINEST VARS'!$S$56*(8)+'LINEST VARS'!$R$56*($BB$56)+'LINEST VARS'!$Q$56*($AZ57)+'LINEST VARS'!$P$56*(12.73)+'LINEST VARS'!$O$56*(8^2)+'LINEST VARS'!$N$56*(8^2)+'LINEST VARS'!$M$56*($BB$56^2)+'LINEST VARS'!$L$56*($AZ57^2)+'LINEST VARS'!$K$56*(12.73^2)+'LINEST VARS'!$J$56*(8*8)+'LINEST VARS'!$I$56*(8*$BB$56)+'LINEST VARS'!$H$56*(8*$AZ57)+'LINEST VARS'!$G$56*(8*12.73)+'LINEST VARS'!$F$56*(8*$BB$56)+'LINEST VARS'!$E$56*(8*$AZ57)+'LINEST VARS'!$D$56*(8*12.73)+'LINEST VARS'!$C$56*($BB$56*$AZ57)+'LINEST VARS'!$B$56*($BB$56*12.73)+'LINEST VARS'!$A$56*($AZ57*12.73)</f>
        <v>2.8184000000000013</v>
      </c>
      <c r="BC57" s="51">
        <f>'LINEST VARS'!$U$56+'LINEST VARS'!$T$56*(8)+'LINEST VARS'!$S$56*(8)+'LINEST VARS'!$R$56*($BC$56)+'LINEST VARS'!$Q$56*($AZ57)+'LINEST VARS'!$P$56*(12.73)+'LINEST VARS'!$O$56*(8^2)+'LINEST VARS'!$N$56*(8^2)+'LINEST VARS'!$M$56*($BC$56^2)+'LINEST VARS'!$L$56*($AZ57^2)+'LINEST VARS'!$K$56*(12.73^2)+'LINEST VARS'!$J$56*(8*8)+'LINEST VARS'!$I$56*(8*$BC$56)+'LINEST VARS'!$H$56*(8*$AZ57)+'LINEST VARS'!$G$56*(8*12.73)+'LINEST VARS'!$F$56*(8*$BC$56)+'LINEST VARS'!$E$56*(8*$AZ57)+'LINEST VARS'!$D$56*(8*12.73)+'LINEST VARS'!$C$56*($BC$56*$AZ57)+'LINEST VARS'!$B$56*($BC$56*12.73)+'LINEST VARS'!$A$56*($AZ57*12.73)</f>
        <v>2.833600000000001</v>
      </c>
      <c r="BD57" s="51">
        <f>'LINEST VARS'!$U$56+'LINEST VARS'!$T$56*(8)+'LINEST VARS'!$S$56*(8)+'LINEST VARS'!$R$56*($BD$56)+'LINEST VARS'!$Q$56*($AZ57)+'LINEST VARS'!$P$56*(12.73)+'LINEST VARS'!$O$56*(8^2)+'LINEST VARS'!$N$56*(8^2)+'LINEST VARS'!$M$56*($BD$56^2)+'LINEST VARS'!$L$56*($AZ57^2)+'LINEST VARS'!$K$56*(12.73^2)+'LINEST VARS'!$J$56*(8*8)+'LINEST VARS'!$I$56*(8*$BD$56)+'LINEST VARS'!$H$56*(8*$AZ57)+'LINEST VARS'!$G$56*(8*12.73)+'LINEST VARS'!$F$56*(8*$BD$56)+'LINEST VARS'!$E$56*(8*$AZ57)+'LINEST VARS'!$D$56*(8*12.73)+'LINEST VARS'!$C$56*($BD$56*$AZ57)+'LINEST VARS'!$B$56*($BD$56*12.73)+'LINEST VARS'!$A$56*($AZ57*12.73)</f>
        <v>2.845600000000001</v>
      </c>
      <c r="BE57" s="51">
        <f>'LINEST VARS'!$U$56+'LINEST VARS'!$T$56*(8)+'LINEST VARS'!$S$56*(8)+'LINEST VARS'!$R$56*($BE$56)+'LINEST VARS'!$Q$56*($AZ57)+'LINEST VARS'!$P$56*(12.73)+'LINEST VARS'!$O$56*(8^2)+'LINEST VARS'!$N$56*(8^2)+'LINEST VARS'!$M$56*($BE$56^2)+'LINEST VARS'!$L$56*($AZ57^2)+'LINEST VARS'!$K$56*(12.73^2)+'LINEST VARS'!$J$56*(8*8)+'LINEST VARS'!$I$56*(8*$BE$56)+'LINEST VARS'!$H$56*(8*$AZ57)+'LINEST VARS'!$G$56*(8*12.73)+'LINEST VARS'!$F$56*(8*$BE$56)+'LINEST VARS'!$E$56*(8*$AZ57)+'LINEST VARS'!$D$56*(8*12.73)+'LINEST VARS'!$C$56*($BE$56*$AZ57)+'LINEST VARS'!$B$56*($BE$56*12.73)+'LINEST VARS'!$A$56*($AZ57*12.73)</f>
        <v>2.8544000000000014</v>
      </c>
      <c r="BF57" s="51">
        <f>'LINEST VARS'!$U$56+'LINEST VARS'!$T$56*(8)+'LINEST VARS'!$S$56*(8)+'LINEST VARS'!$R$56*($BF$56)+'LINEST VARS'!$Q$56*($AZ57)+'LINEST VARS'!$P$56*(12.73)+'LINEST VARS'!$O$56*(8^2)+'LINEST VARS'!$N$56*(8^2)+'LINEST VARS'!$M$56*($BF$56^2)+'LINEST VARS'!$L$56*($AZ57^2)+'LINEST VARS'!$K$56*(12.73^2)+'LINEST VARS'!$J$56*(8*8)+'LINEST VARS'!$I$56*(8*$BF$56)+'LINEST VARS'!$H$56*(8*$AZ57)+'LINEST VARS'!$G$56*(8*12.73)+'LINEST VARS'!$F$56*(8*$BF$56)+'LINEST VARS'!$E$56*(8*$AZ57)+'LINEST VARS'!$D$56*(8*12.73)+'LINEST VARS'!$C$56*($BF$56*$AZ57)+'LINEST VARS'!$B$56*($BF$56*12.73)+'LINEST VARS'!$A$56*($AZ57*12.73)</f>
        <v>2.8600000000000012</v>
      </c>
      <c r="BG57" s="51">
        <f>'LINEST VARS'!$U$56+'LINEST VARS'!$T$56*(8)+'LINEST VARS'!$S$56*(8)+'LINEST VARS'!$R$56*($BG$56)+'LINEST VARS'!$Q$56*($AZ57)+'LINEST VARS'!$P$56*(12.73)+'LINEST VARS'!$O$56*(8^2)+'LINEST VARS'!$N$56*(8^2)+'LINEST VARS'!$M$56*($BG$56^2)+'LINEST VARS'!$L$56*($AZ57^2)+'LINEST VARS'!$K$56*(12.73^2)+'LINEST VARS'!$J$56*(8*8)+'LINEST VARS'!$I$56*(8*$BG$56)+'LINEST VARS'!$H$56*(8*$AZ57)+'LINEST VARS'!$G$56*(8*12.73)+'LINEST VARS'!$F$56*(8*$BG$56)+'LINEST VARS'!$E$56*(8*$AZ57)+'LINEST VARS'!$D$56*(8*12.73)+'LINEST VARS'!$C$56*($BG$56*$AZ57)+'LINEST VARS'!$B$56*($BG$56*12.73)+'LINEST VARS'!$A$56*($AZ57*12.73)</f>
        <v>2.8624000000000014</v>
      </c>
      <c r="BH57" s="51">
        <f>'LINEST VARS'!$U$56+'LINEST VARS'!$T$56*(8)+'LINEST VARS'!$S$56*(8)+'LINEST VARS'!$R$56*($BH$56)+'LINEST VARS'!$Q$56*($AZ57)+'LINEST VARS'!$P$56*(12.73)+'LINEST VARS'!$O$56*(8^2)+'LINEST VARS'!$N$56*(8^2)+'LINEST VARS'!$M$56*($BH$56^2)+'LINEST VARS'!$L$56*($AZ57^2)+'LINEST VARS'!$K$56*(12.73^2)+'LINEST VARS'!$J$56*(8*8)+'LINEST VARS'!$I$56*(8*$BH$56)+'LINEST VARS'!$H$56*(8*$AZ57)+'LINEST VARS'!$G$56*(8*12.73)+'LINEST VARS'!$F$56*(8*$BH$56)+'LINEST VARS'!$E$56*(8*$AZ57)+'LINEST VARS'!$D$56*(8*12.73)+'LINEST VARS'!$C$56*($BH$56*$AZ57)+'LINEST VARS'!$B$56*($BH$56*12.73)+'LINEST VARS'!$A$56*($AZ57*12.73)</f>
        <v>2.861600000000001</v>
      </c>
      <c r="BI57" s="51">
        <f>'LINEST VARS'!$U$56+'LINEST VARS'!$T$56*(8)+'LINEST VARS'!$S$56*(8)+'LINEST VARS'!$R$56*($BI$56)+'LINEST VARS'!$Q$56*($AZ57)+'LINEST VARS'!$P$56*(12.73)+'LINEST VARS'!$O$56*(8^2)+'LINEST VARS'!$N$56*(8^2)+'LINEST VARS'!$M$56*($BI$56^2)+'LINEST VARS'!$L$56*($AZ57^2)+'LINEST VARS'!$K$56*(12.73^2)+'LINEST VARS'!$J$56*(8*8)+'LINEST VARS'!$I$56*(8*$BI$56)+'LINEST VARS'!$H$56*(8*$AZ57)+'LINEST VARS'!$G$56*(8*12.73)+'LINEST VARS'!$F$56*(8*$BI$56)+'LINEST VARS'!$E$56*(8*$AZ57)+'LINEST VARS'!$D$56*(8*12.73)+'LINEST VARS'!$C$56*($BI$56*$AZ57)+'LINEST VARS'!$B$56*($BI$56*12.73)+'LINEST VARS'!$A$56*($AZ57*12.73)</f>
        <v>2.857600000000001</v>
      </c>
      <c r="BJ57" s="51">
        <f>'LINEST VARS'!$U$56+'LINEST VARS'!$T$56*(8)+'LINEST VARS'!$S$56*(8)+'LINEST VARS'!$R$56*($BJ$56)+'LINEST VARS'!$Q$56*($AZ57)+'LINEST VARS'!$P$56*(12.73)+'LINEST VARS'!$O$56*(8^2)+'LINEST VARS'!$N$56*(8^2)+'LINEST VARS'!$M$56*($BJ$56^2)+'LINEST VARS'!$L$56*($AZ57^2)+'LINEST VARS'!$K$56*(12.73^2)+'LINEST VARS'!$J$56*(8*8)+'LINEST VARS'!$I$56*(8*$BJ$56)+'LINEST VARS'!$H$56*(8*$AZ57)+'LINEST VARS'!$G$56*(8*12.73)+'LINEST VARS'!$F$56*(8*$BJ$56)+'LINEST VARS'!$E$56*(8*$AZ57)+'LINEST VARS'!$D$56*(8*12.73)+'LINEST VARS'!$C$56*($BJ$56*$AZ57)+'LINEST VARS'!$B$56*($BJ$56*12.73)+'LINEST VARS'!$A$56*($AZ57*12.73)</f>
        <v>2.8504000000000014</v>
      </c>
      <c r="BK57" s="51">
        <f>'LINEST VARS'!$U$56+'LINEST VARS'!$T$56*(8)+'LINEST VARS'!$S$56*(8)+'LINEST VARS'!$R$56*($BK$56)+'LINEST VARS'!$Q$56*($AZ57)+'LINEST VARS'!$P$56*(12.73)+'LINEST VARS'!$O$56*(8^2)+'LINEST VARS'!$N$56*(8^2)+'LINEST VARS'!$M$56*($BK$56^2)+'LINEST VARS'!$L$56*($AZ57^2)+'LINEST VARS'!$K$56*(12.73^2)+'LINEST VARS'!$J$56*(8*8)+'LINEST VARS'!$I$56*(8*$BK$56)+'LINEST VARS'!$H$56*(8*$AZ57)+'LINEST VARS'!$G$56*(8*12.73)+'LINEST VARS'!$F$56*(8*$BK$56)+'LINEST VARS'!$E$56*(8*$AZ57)+'LINEST VARS'!$D$56*(8*12.73)+'LINEST VARS'!$C$56*($BK$56*$AZ57)+'LINEST VARS'!$B$56*($BK$56*12.73)+'LINEST VARS'!$A$56*($AZ57*12.73)</f>
        <v>2.8400000000000012</v>
      </c>
      <c r="BL57" s="51">
        <f>'LINEST VARS'!$U$56+'LINEST VARS'!$T$56*(8)+'LINEST VARS'!$S$56*(8)+'LINEST VARS'!$R$56*($BL$56)+'LINEST VARS'!$Q$56*($AZ57)+'LINEST VARS'!$P$56*(12.73)+'LINEST VARS'!$O$56*(8^2)+'LINEST VARS'!$N$56*(8^2)+'LINEST VARS'!$M$56*($BL$56^2)+'LINEST VARS'!$L$56*($AZ57^2)+'LINEST VARS'!$K$56*(12.73^2)+'LINEST VARS'!$J$56*(8*8)+'LINEST VARS'!$I$56*(8*$BL$56)+'LINEST VARS'!$H$56*(8*$AZ57)+'LINEST VARS'!$G$56*(8*12.73)+'LINEST VARS'!$F$56*(8*$BL$56)+'LINEST VARS'!$E$56*(8*$AZ57)+'LINEST VARS'!$D$56*(8*12.73)+'LINEST VARS'!$C$56*($BL$56*$AZ57)+'LINEST VARS'!$B$56*($BL$56*12.73)+'LINEST VARS'!$A$56*($AZ57*12.73)</f>
        <v>2.8264000000000014</v>
      </c>
      <c r="BM57" s="51">
        <f>'LINEST VARS'!$U$56+'LINEST VARS'!$T$56*(8)+'LINEST VARS'!$S$56*(8)+'LINEST VARS'!$R$56*($BM$56)+'LINEST VARS'!$Q$56*($AZ57)+'LINEST VARS'!$P$56*(12.73)+'LINEST VARS'!$O$56*(8^2)+'LINEST VARS'!$N$56*(8^2)+'LINEST VARS'!$M$56*($BM$56^2)+'LINEST VARS'!$L$56*($AZ57^2)+'LINEST VARS'!$K$56*(12.73^2)+'LINEST VARS'!$J$56*(8*8)+'LINEST VARS'!$I$56*(8*$BM$56)+'LINEST VARS'!$H$56*(8*$AZ57)+'LINEST VARS'!$G$56*(8*12.73)+'LINEST VARS'!$F$56*(8*$BM$56)+'LINEST VARS'!$E$56*(8*$AZ57)+'LINEST VARS'!$D$56*(8*12.73)+'LINEST VARS'!$C$56*($BM$56*$AZ57)+'LINEST VARS'!$B$56*($BM$56*12.73)+'LINEST VARS'!$A$56*($AZ57*12.73)</f>
        <v>2.809600000000001</v>
      </c>
      <c r="BN57" s="51">
        <f>'LINEST VARS'!$U$56+'LINEST VARS'!$T$56*(8)+'LINEST VARS'!$S$56*(8)+'LINEST VARS'!$R$56*($BN$56)+'LINEST VARS'!$Q$56*($AZ57)+'LINEST VARS'!$P$56*(12.73)+'LINEST VARS'!$O$56*(8^2)+'LINEST VARS'!$N$56*(8^2)+'LINEST VARS'!$M$56*($BN$56^2)+'LINEST VARS'!$L$56*($AZ57^2)+'LINEST VARS'!$K$56*(12.73^2)+'LINEST VARS'!$J$56*(8*8)+'LINEST VARS'!$I$56*(8*$BN$56)+'LINEST VARS'!$H$56*(8*$AZ57)+'LINEST VARS'!$G$56*(8*12.73)+'LINEST VARS'!$F$56*(8*$BN$56)+'LINEST VARS'!$E$56*(8*$AZ57)+'LINEST VARS'!$D$56*(8*12.73)+'LINEST VARS'!$C$56*($BN$56*$AZ57)+'LINEST VARS'!$B$56*($BN$56*12.73)+'LINEST VARS'!$A$56*($AZ57*12.73)</f>
        <v>2.789600000000001</v>
      </c>
      <c r="BO57" s="51">
        <f>'LINEST VARS'!$U$56+'LINEST VARS'!$T$56*(8)+'LINEST VARS'!$S$56*(8)+'LINEST VARS'!$R$56*($BO$56)+'LINEST VARS'!$Q$56*($AZ57)+'LINEST VARS'!$P$56*(12.73)+'LINEST VARS'!$O$56*(8^2)+'LINEST VARS'!$N$56*(8^2)+'LINEST VARS'!$M$56*($BO$56^2)+'LINEST VARS'!$L$56*($AZ57^2)+'LINEST VARS'!$K$56*(12.73^2)+'LINEST VARS'!$J$56*(8*8)+'LINEST VARS'!$I$56*(8*$BO$56)+'LINEST VARS'!$H$56*(8*$AZ57)+'LINEST VARS'!$G$56*(8*12.73)+'LINEST VARS'!$F$56*(8*$BO$56)+'LINEST VARS'!$E$56*(8*$AZ57)+'LINEST VARS'!$D$56*(8*12.73)+'LINEST VARS'!$C$56*($BO$56*$AZ57)+'LINEST VARS'!$B$56*($BO$56*12.73)+'LINEST VARS'!$A$56*($AZ57*12.73)</f>
        <v>2.7664000000000013</v>
      </c>
      <c r="BP57" s="51">
        <f>'LINEST VARS'!$U$56+'LINEST VARS'!$T$56*(8)+'LINEST VARS'!$S$56*(8)+'LINEST VARS'!$R$56*($BP$56)+'LINEST VARS'!$Q$56*($AZ57)+'LINEST VARS'!$P$56*(12.73)+'LINEST VARS'!$O$56*(8^2)+'LINEST VARS'!$N$56*(8^2)+'LINEST VARS'!$M$56*($BP$56^2)+'LINEST VARS'!$L$56*($AZ57^2)+'LINEST VARS'!$K$56*(12.73^2)+'LINEST VARS'!$J$56*(8*8)+'LINEST VARS'!$I$56*(8*$BP$56)+'LINEST VARS'!$H$56*(8*$AZ57)+'LINEST VARS'!$G$56*(8*12.73)+'LINEST VARS'!$F$56*(8*$BP$56)+'LINEST VARS'!$E$56*(8*$AZ57)+'LINEST VARS'!$D$56*(8*12.73)+'LINEST VARS'!$C$56*($BP$56*$AZ57)+'LINEST VARS'!$B$56*($BP$56*12.73)+'LINEST VARS'!$A$56*($AZ57*12.73)</f>
        <v>2.7400000000000011</v>
      </c>
      <c r="BQ57" s="51">
        <f>'LINEST VARS'!$U$56+'LINEST VARS'!$T$56*(8)+'LINEST VARS'!$S$56*(8)+'LINEST VARS'!$R$56*($BQ$56)+'LINEST VARS'!$Q$56*($AZ57)+'LINEST VARS'!$P$56*(12.73)+'LINEST VARS'!$O$56*(8^2)+'LINEST VARS'!$N$56*(8^2)+'LINEST VARS'!$M$56*($BQ$56^2)+'LINEST VARS'!$L$56*($AZ57^2)+'LINEST VARS'!$K$56*(12.73^2)+'LINEST VARS'!$J$56*(8*8)+'LINEST VARS'!$I$56*(8*$BQ$56)+'LINEST VARS'!$H$56*(8*$AZ57)+'LINEST VARS'!$G$56*(8*12.73)+'LINEST VARS'!$F$56*(8*$BQ$56)+'LINEST VARS'!$E$56*(8*$AZ57)+'LINEST VARS'!$D$56*(8*12.73)+'LINEST VARS'!$C$56*($BQ$56*$AZ57)+'LINEST VARS'!$B$56*($BQ$56*12.73)+'LINEST VARS'!$A$56*($AZ57*12.73)</f>
        <v>2.7104000000000008</v>
      </c>
      <c r="BR57" s="51">
        <f>'LINEST VARS'!$U$56+'LINEST VARS'!$T$56*(8)+'LINEST VARS'!$S$56*(8)+'LINEST VARS'!$R$56*($BR$56)+'LINEST VARS'!$Q$56*($AZ57)+'LINEST VARS'!$P$56*(12.73)+'LINEST VARS'!$O$56*(8^2)+'LINEST VARS'!$N$56*(8^2)+'LINEST VARS'!$M$56*($BR$56^2)+'LINEST VARS'!$L$56*($AZ57^2)+'LINEST VARS'!$K$56*(12.73^2)+'LINEST VARS'!$J$56*(8*8)+'LINEST VARS'!$I$56*(8*$BR$56)+'LINEST VARS'!$H$56*(8*$AZ57)+'LINEST VARS'!$G$56*(8*12.73)+'LINEST VARS'!$F$56*(8*$BR$56)+'LINEST VARS'!$E$56*(8*$AZ57)+'LINEST VARS'!$D$56*(8*12.73)+'LINEST VARS'!$C$56*($BR$56*$AZ57)+'LINEST VARS'!$B$56*($BR$56*12.73)+'LINEST VARS'!$A$56*($AZ57*12.73)</f>
        <v>2.6776000000000013</v>
      </c>
      <c r="BS57" s="51">
        <f>'LINEST VARS'!$U$56+'LINEST VARS'!$T$56*(8)+'LINEST VARS'!$S$56*(8)+'LINEST VARS'!$R$56*($BS$56)+'LINEST VARS'!$Q$56*($AZ57)+'LINEST VARS'!$P$56*(12.73)+'LINEST VARS'!$O$56*(8^2)+'LINEST VARS'!$N$56*(8^2)+'LINEST VARS'!$M$56*($BS$56^2)+'LINEST VARS'!$L$56*($AZ57^2)+'LINEST VARS'!$K$56*(12.73^2)+'LINEST VARS'!$J$56*(8*8)+'LINEST VARS'!$I$56*(8*$BS$56)+'LINEST VARS'!$H$56*(8*$AZ57)+'LINEST VARS'!$G$56*(8*12.73)+'LINEST VARS'!$F$56*(8*$BS$56)+'LINEST VARS'!$E$56*(8*$AZ57)+'LINEST VARS'!$D$56*(8*12.73)+'LINEST VARS'!$C$56*($BS$56*$AZ57)+'LINEST VARS'!$B$56*($BS$56*12.73)+'LINEST VARS'!$A$56*($AZ57*12.73)</f>
        <v>2.6416000000000008</v>
      </c>
      <c r="BT57" s="51">
        <f>'LINEST VARS'!$U$56+'LINEST VARS'!$T$56*(8)+'LINEST VARS'!$S$56*(8)+'LINEST VARS'!$R$56*($BT$56)+'LINEST VARS'!$Q$56*($AZ57)+'LINEST VARS'!$P$56*(12.73)+'LINEST VARS'!$O$56*(8^2)+'LINEST VARS'!$N$56*(8^2)+'LINEST VARS'!$M$56*($BT$56^2)+'LINEST VARS'!$L$56*($AZ57^2)+'LINEST VARS'!$K$56*(12.73^2)+'LINEST VARS'!$J$56*(8*8)+'LINEST VARS'!$I$56*(8*$BT$56)+'LINEST VARS'!$H$56*(8*$AZ57)+'LINEST VARS'!$G$56*(8*12.73)+'LINEST VARS'!$F$56*(8*$BT$56)+'LINEST VARS'!$E$56*(8*$AZ57)+'LINEST VARS'!$D$56*(8*12.73)+'LINEST VARS'!$C$56*($BT$56*$AZ57)+'LINEST VARS'!$B$56*($BT$56*12.73)+'LINEST VARS'!$A$56*($AZ57*12.73)</f>
        <v>2.6024000000000012</v>
      </c>
      <c r="BU57" s="52">
        <f>'LINEST VARS'!$U$56+'LINEST VARS'!$T$56*(8)+'LINEST VARS'!$S$56*(8)+'LINEST VARS'!$R$56*($BU$56)+'LINEST VARS'!$Q$56*($AZ57)+'LINEST VARS'!$P$56*(12.73)+'LINEST VARS'!$O$56*(8^2)+'LINEST VARS'!$N$56*(8^2)+'LINEST VARS'!$M$56*($BU$56^2)+'LINEST VARS'!$L$56*($AZ57^2)+'LINEST VARS'!$K$56*(12.73^2)+'LINEST VARS'!$J$56*(8*8)+'LINEST VARS'!$I$56*(8*$BU$56)+'LINEST VARS'!$H$56*(8*$AZ57)+'LINEST VARS'!$G$56*(8*12.73)+'LINEST VARS'!$F$56*(8*$BU$56)+'LINEST VARS'!$E$56*(8*$AZ57)+'LINEST VARS'!$D$56*(8*12.73)+'LINEST VARS'!$C$56*($BU$56*$AZ57)+'LINEST VARS'!$B$56*($BU$56*12.73)+'LINEST VARS'!$A$56*($AZ57*12.73)</f>
        <v>2.5600000000000009</v>
      </c>
      <c r="BX57" s="45">
        <v>0</v>
      </c>
      <c r="BY57" s="51">
        <f>'LINEST VARS'!$U$58+'LINEST VARS'!$T$58*(8)+'LINEST VARS'!$S$58*(8)+'LINEST VARS'!$R$58*($BY$56)+'LINEST VARS'!$Q$58*($BX57)+'LINEST VARS'!$P$58*(12.73)+'LINEST VARS'!$O$58*(8^2)+'LINEST VARS'!$N$58*(8^2)+'LINEST VARS'!$M$58*($BY$56^2)+'LINEST VARS'!$L$58*($BX57^2)+'LINEST VARS'!$K$58*(12.73^2)+'LINEST VARS'!$J$58*(8*8)+'LINEST VARS'!$I$58*(8*$BY$56)+'LINEST VARS'!$H$58*(8*$BX57)+'LINEST VARS'!$G$58*(8*12.73)+'LINEST VARS'!$F$58*(8*$BY$56)+'LINEST VARS'!$E$58*(8*$BX57)+'LINEST VARS'!$D$58*(8*12.73)+'LINEST VARS'!$C$58*($BY$56*$BX57)+'LINEST VARS'!$B$58*($BY$56*12.73)+'LINEST VARS'!$A$58*($BX57*12.73)</f>
        <v>0.86365000000000036</v>
      </c>
      <c r="BZ57" s="51">
        <f>'LINEST VARS'!$U$58+'LINEST VARS'!$T$58*(8)+'LINEST VARS'!$S$58*(8)+'LINEST VARS'!$R$58*($BZ$56)+'LINEST VARS'!$Q$58*($BX57)+'LINEST VARS'!$P$58*(12.73)+'LINEST VARS'!$O$58*(8^2)+'LINEST VARS'!$N$58*(8^2)+'LINEST VARS'!$M$58*($BZ$56^2)+'LINEST VARS'!$L$58*($BX57^2)+'LINEST VARS'!$K$58*(12.73^2)+'LINEST VARS'!$J$58*(8*8)+'LINEST VARS'!$I$58*(8*$BZ$56)+'LINEST VARS'!$H$58*(8*$BX57)+'LINEST VARS'!$G$58*(8*12.73)+'LINEST VARS'!$F$58*(8*$BZ$56)+'LINEST VARS'!$E$58*(8*$BX57)+'LINEST VARS'!$D$58*(8*12.73)+'LINEST VARS'!$C$58*($BZ$56*$BX57)+'LINEST VARS'!$B$58*($BZ$56*12.73)+'LINEST VARS'!$A$58*($BX57*12.73)</f>
        <v>0.87165000000000037</v>
      </c>
      <c r="CA57" s="51">
        <f>'LINEST VARS'!$U$58+'LINEST VARS'!$T$58*(8)+'LINEST VARS'!$S$58*(8)+'LINEST VARS'!$R$58*($CA$56)+'LINEST VARS'!$Q$58*($BX57)+'LINEST VARS'!$P$58*(12.73)+'LINEST VARS'!$O$58*(8^2)+'LINEST VARS'!$N$58*(8^2)+'LINEST VARS'!$M$58*($CA$56^2)+'LINEST VARS'!$L$58*($BX57^2)+'LINEST VARS'!$K$58*(12.73^2)+'LINEST VARS'!$J$58*(8*8)+'LINEST VARS'!$I$58*(8*$CA$56)+'LINEST VARS'!$H$58*(8*$BX57)+'LINEST VARS'!$G$58*(8*12.73)+'LINEST VARS'!$F$58*(8*$CA$56)+'LINEST VARS'!$E$58*(8*$BX57)+'LINEST VARS'!$D$58*(8*12.73)+'LINEST VARS'!$C$58*($CA$56*$BX57)+'LINEST VARS'!$B$58*($CA$56*12.73)+'LINEST VARS'!$A$58*($BX57*12.73)</f>
        <v>0.87965000000000027</v>
      </c>
      <c r="CB57" s="51">
        <f>'LINEST VARS'!$U$58+'LINEST VARS'!$T$58*(8)+'LINEST VARS'!$S$58*(8)+'LINEST VARS'!$R$58*($CB$56)+'LINEST VARS'!$Q$58*($BX57)+'LINEST VARS'!$P$58*(12.73)+'LINEST VARS'!$O$58*(8^2)+'LINEST VARS'!$N$58*(8^2)+'LINEST VARS'!$M$58*($CB$56^2)+'LINEST VARS'!$L$58*($BX57^2)+'LINEST VARS'!$K$58*(12.73^2)+'LINEST VARS'!$J$58*(8*8)+'LINEST VARS'!$I$58*(8*$CB$56)+'LINEST VARS'!$H$58*(8*$BX57)+'LINEST VARS'!$G$58*(8*12.73)+'LINEST VARS'!$F$58*(8*$CB$56)+'LINEST VARS'!$E$58*(8*$BX57)+'LINEST VARS'!$D$58*(8*12.73)+'LINEST VARS'!$C$58*($CB$56*$BX57)+'LINEST VARS'!$B$58*($CB$56*12.73)+'LINEST VARS'!$A$58*($BX57*12.73)</f>
        <v>0.88765000000000027</v>
      </c>
      <c r="CC57" s="51">
        <f>'LINEST VARS'!$U$58+'LINEST VARS'!$T$58*(8)+'LINEST VARS'!$S$58*(8)+'LINEST VARS'!$R$58*($CC$56)+'LINEST VARS'!$Q$58*($BX57)+'LINEST VARS'!$P$58*(12.73)+'LINEST VARS'!$O$58*(8^2)+'LINEST VARS'!$N$58*(8^2)+'LINEST VARS'!$M$58*($CC$56^2)+'LINEST VARS'!$L$58*($BX57^2)+'LINEST VARS'!$K$58*(12.73^2)+'LINEST VARS'!$J$58*(8*8)+'LINEST VARS'!$I$58*(8*$CC$56)+'LINEST VARS'!$H$58*(8*$BX57)+'LINEST VARS'!$G$58*(8*12.73)+'LINEST VARS'!$F$58*(8*$CC$56)+'LINEST VARS'!$E$58*(8*$BX57)+'LINEST VARS'!$D$58*(8*12.73)+'LINEST VARS'!$C$58*($CC$56*$BX57)+'LINEST VARS'!$B$58*($CC$56*12.73)+'LINEST VARS'!$A$58*($BX57*12.73)</f>
        <v>0.89565000000000017</v>
      </c>
      <c r="CD57" s="51">
        <f>'LINEST VARS'!$U$58+'LINEST VARS'!$T$58*(8)+'LINEST VARS'!$S$58*(8)+'LINEST VARS'!$R$58*($CD$56)+'LINEST VARS'!$Q$58*($BX57)+'LINEST VARS'!$P$58*(12.73)+'LINEST VARS'!$O$58*(8^2)+'LINEST VARS'!$N$58*(8^2)+'LINEST VARS'!$M$58*($CD$56^2)+'LINEST VARS'!$L$58*($BX57^2)+'LINEST VARS'!$K$58*(12.73^2)+'LINEST VARS'!$J$58*(8*8)+'LINEST VARS'!$I$58*(8*$CD$56)+'LINEST VARS'!$H$58*(8*$BX57)+'LINEST VARS'!$G$58*(8*12.73)+'LINEST VARS'!$F$58*(8*$CD$56)+'LINEST VARS'!$E$58*(8*$BX57)+'LINEST VARS'!$D$58*(8*12.73)+'LINEST VARS'!$C$58*($CD$56*$BX57)+'LINEST VARS'!$B$58*($CD$56*12.73)+'LINEST VARS'!$A$58*($BX57*12.73)</f>
        <v>0.90365000000000029</v>
      </c>
      <c r="CE57" s="51">
        <f>'LINEST VARS'!$U$58+'LINEST VARS'!$T$58*(8)+'LINEST VARS'!$S$58*(8)+'LINEST VARS'!$R$58*($CE$56)+'LINEST VARS'!$Q$58*($BX57)+'LINEST VARS'!$P$58*(12.73)+'LINEST VARS'!$O$58*(8^2)+'LINEST VARS'!$N$58*(8^2)+'LINEST VARS'!$M$58*($CE$56^2)+'LINEST VARS'!$L$58*($BX57^2)+'LINEST VARS'!$K$58*(12.73^2)+'LINEST VARS'!$J$58*(8*8)+'LINEST VARS'!$I$58*(8*$CE$56)+'LINEST VARS'!$H$58*(8*$BX57)+'LINEST VARS'!$G$58*(8*12.73)+'LINEST VARS'!$F$58*(8*$CE$56)+'LINEST VARS'!$E$58*(8*$BX57)+'LINEST VARS'!$D$58*(8*12.73)+'LINEST VARS'!$C$58*($CE$56*$BX57)+'LINEST VARS'!$B$58*($CE$56*12.73)+'LINEST VARS'!$A$58*($BX57*12.73)</f>
        <v>0.91165000000000029</v>
      </c>
      <c r="CF57" s="51">
        <f>'LINEST VARS'!$U$58+'LINEST VARS'!$T$58*(8)+'LINEST VARS'!$S$58*(8)+'LINEST VARS'!$R$58*($CF$56)+'LINEST VARS'!$Q$58*($BX57)+'LINEST VARS'!$P$58*(12.73)+'LINEST VARS'!$O$58*(8^2)+'LINEST VARS'!$N$58*(8^2)+'LINEST VARS'!$M$58*($CF$56^2)+'LINEST VARS'!$L$58*($BX57^2)+'LINEST VARS'!$K$58*(12.73^2)+'LINEST VARS'!$J$58*(8*8)+'LINEST VARS'!$I$58*(8*$CF$56)+'LINEST VARS'!$H$58*(8*$BX57)+'LINEST VARS'!$G$58*(8*12.73)+'LINEST VARS'!$F$58*(8*$CF$56)+'LINEST VARS'!$E$58*(8*$BX57)+'LINEST VARS'!$D$58*(8*12.73)+'LINEST VARS'!$C$58*($CF$56*$BX57)+'LINEST VARS'!$B$58*($CF$56*12.73)+'LINEST VARS'!$A$58*($BX57*12.73)</f>
        <v>0.9196500000000003</v>
      </c>
      <c r="CG57" s="51">
        <f>'LINEST VARS'!$U$58+'LINEST VARS'!$T$58*(8)+'LINEST VARS'!$S$58*(8)+'LINEST VARS'!$R$58*($CG$56)+'LINEST VARS'!$Q$58*($BX57)+'LINEST VARS'!$P$58*(12.73)+'LINEST VARS'!$O$58*(8^2)+'LINEST VARS'!$N$58*(8^2)+'LINEST VARS'!$M$58*($CG$56^2)+'LINEST VARS'!$L$58*($BX57^2)+'LINEST VARS'!$K$58*(12.73^2)+'LINEST VARS'!$J$58*(8*8)+'LINEST VARS'!$I$58*(8*$CG$56)+'LINEST VARS'!$H$58*(8*$BX57)+'LINEST VARS'!$G$58*(8*12.73)+'LINEST VARS'!$F$58*(8*$CG$56)+'LINEST VARS'!$E$58*(8*$BX57)+'LINEST VARS'!$D$58*(8*12.73)+'LINEST VARS'!$C$58*($CG$56*$BX57)+'LINEST VARS'!$B$58*($CG$56*12.73)+'LINEST VARS'!$A$58*($BX57*12.73)</f>
        <v>0.92765000000000042</v>
      </c>
      <c r="CH57" s="51">
        <f>'LINEST VARS'!$U$58+'LINEST VARS'!$T$58*(8)+'LINEST VARS'!$S$58*(8)+'LINEST VARS'!$R$58*($CH$56)+'LINEST VARS'!$Q$58*($BX57)+'LINEST VARS'!$P$58*(12.73)+'LINEST VARS'!$O$58*(8^2)+'LINEST VARS'!$N$58*(8^2)+'LINEST VARS'!$M$58*($CH$56^2)+'LINEST VARS'!$L$58*($BX57^2)+'LINEST VARS'!$K$58*(12.73^2)+'LINEST VARS'!$J$58*(8*8)+'LINEST VARS'!$I$58*(8*$CH$56)+'LINEST VARS'!$H$58*(8*$BX57)+'LINEST VARS'!$G$58*(8*12.73)+'LINEST VARS'!$F$58*(8*$CH$56)+'LINEST VARS'!$E$58*(8*$BX57)+'LINEST VARS'!$D$58*(8*12.73)+'LINEST VARS'!$C$58*($CH$56*$BX57)+'LINEST VARS'!$B$58*($CH$56*12.73)+'LINEST VARS'!$A$58*($BX57*12.73)</f>
        <v>0.93565000000000031</v>
      </c>
      <c r="CI57" s="51">
        <f>'LINEST VARS'!$U$58+'LINEST VARS'!$T$58*(8)+'LINEST VARS'!$S$58*(8)+'LINEST VARS'!$R$58*($CI$56)+'LINEST VARS'!$Q$58*($BX57)+'LINEST VARS'!$P$58*(12.73)+'LINEST VARS'!$O$58*(8^2)+'LINEST VARS'!$N$58*(8^2)+'LINEST VARS'!$M$58*($CI$56^2)+'LINEST VARS'!$L$58*($BX57^2)+'LINEST VARS'!$K$58*(12.73^2)+'LINEST VARS'!$J$58*(8*8)+'LINEST VARS'!$I$58*(8*$CI$56)+'LINEST VARS'!$H$58*(8*$BX57)+'LINEST VARS'!$G$58*(8*12.73)+'LINEST VARS'!$F$58*(8*$CI$56)+'LINEST VARS'!$E$58*(8*$BX57)+'LINEST VARS'!$D$58*(8*12.73)+'LINEST VARS'!$C$58*($CI$56*$BX57)+'LINEST VARS'!$B$58*($CI$56*12.73)+'LINEST VARS'!$A$58*($BX57*12.73)</f>
        <v>0.94365000000000032</v>
      </c>
      <c r="CJ57" s="51">
        <f>'LINEST VARS'!$U$58+'LINEST VARS'!$T$58*(8)+'LINEST VARS'!$S$58*(8)+'LINEST VARS'!$R$58*($CJ$56)+'LINEST VARS'!$Q$58*($BX57)+'LINEST VARS'!$P$58*(12.73)+'LINEST VARS'!$O$58*(8^2)+'LINEST VARS'!$N$58*(8^2)+'LINEST VARS'!$M$58*($CJ$56^2)+'LINEST VARS'!$L$58*($BX57^2)+'LINEST VARS'!$K$58*(12.73^2)+'LINEST VARS'!$J$58*(8*8)+'LINEST VARS'!$I$58*(8*$CJ$56)+'LINEST VARS'!$H$58*(8*$BX57)+'LINEST VARS'!$G$58*(8*12.73)+'LINEST VARS'!$F$58*(8*$CJ$56)+'LINEST VARS'!$E$58*(8*$BX57)+'LINEST VARS'!$D$58*(8*12.73)+'LINEST VARS'!$C$58*($CJ$56*$BX57)+'LINEST VARS'!$B$58*($CJ$56*12.73)+'LINEST VARS'!$A$58*($BX57*12.73)</f>
        <v>0.95165000000000022</v>
      </c>
      <c r="CK57" s="51">
        <f>'LINEST VARS'!$U$58+'LINEST VARS'!$T$58*(8)+'LINEST VARS'!$S$58*(8)+'LINEST VARS'!$R$58*($CK$56)+'LINEST VARS'!$Q$58*($BX57)+'LINEST VARS'!$P$58*(12.73)+'LINEST VARS'!$O$58*(8^2)+'LINEST VARS'!$N$58*(8^2)+'LINEST VARS'!$M$58*($CK$56^2)+'LINEST VARS'!$L$58*($BX57^2)+'LINEST VARS'!$K$58*(12.73^2)+'LINEST VARS'!$J$58*(8*8)+'LINEST VARS'!$I$58*(8*$CK$56)+'LINEST VARS'!$H$58*(8*$BX57)+'LINEST VARS'!$G$58*(8*12.73)+'LINEST VARS'!$F$58*(8*$CK$56)+'LINEST VARS'!$E$58*(8*$BX57)+'LINEST VARS'!$D$58*(8*12.73)+'LINEST VARS'!$C$58*($CK$56*$BX57)+'LINEST VARS'!$B$58*($CK$56*12.73)+'LINEST VARS'!$A$58*($BX57*12.73)</f>
        <v>0.95965000000000023</v>
      </c>
      <c r="CL57" s="51">
        <f>'LINEST VARS'!$U$58+'LINEST VARS'!$T$58*(8)+'LINEST VARS'!$S$58*(8)+'LINEST VARS'!$R$58*($CL$56)+'LINEST VARS'!$Q$58*($BX57)+'LINEST VARS'!$P$58*(12.73)+'LINEST VARS'!$O$58*(8^2)+'LINEST VARS'!$N$58*(8^2)+'LINEST VARS'!$M$58*($CL$56^2)+'LINEST VARS'!$L$58*($BX57^2)+'LINEST VARS'!$K$58*(12.73^2)+'LINEST VARS'!$J$58*(8*8)+'LINEST VARS'!$I$58*(8*$CL$56)+'LINEST VARS'!$H$58*(8*$BX57)+'LINEST VARS'!$G$58*(8*12.73)+'LINEST VARS'!$F$58*(8*$CL$56)+'LINEST VARS'!$E$58*(8*$BX57)+'LINEST VARS'!$D$58*(8*12.73)+'LINEST VARS'!$C$58*($CL$56*$BX57)+'LINEST VARS'!$B$58*($CL$56*12.73)+'LINEST VARS'!$A$58*($BX57*12.73)</f>
        <v>0.96765000000000012</v>
      </c>
      <c r="CM57" s="51">
        <f>'LINEST VARS'!$U$58+'LINEST VARS'!$T$58*(8)+'LINEST VARS'!$S$58*(8)+'LINEST VARS'!$R$58*($CM$56)+'LINEST VARS'!$Q$58*($BX57)+'LINEST VARS'!$P$58*(12.73)+'LINEST VARS'!$O$58*(8^2)+'LINEST VARS'!$N$58*(8^2)+'LINEST VARS'!$M$58*($CM$56^2)+'LINEST VARS'!$L$58*($BX57^2)+'LINEST VARS'!$K$58*(12.73^2)+'LINEST VARS'!$J$58*(8*8)+'LINEST VARS'!$I$58*(8*$CM$56)+'LINEST VARS'!$H$58*(8*$BX57)+'LINEST VARS'!$G$58*(8*12.73)+'LINEST VARS'!$F$58*(8*$CM$56)+'LINEST VARS'!$E$58*(8*$BX57)+'LINEST VARS'!$D$58*(8*12.73)+'LINEST VARS'!$C$58*($CM$56*$BX57)+'LINEST VARS'!$B$58*($CM$56*12.73)+'LINEST VARS'!$A$58*($BX57*12.73)</f>
        <v>0.97565000000000024</v>
      </c>
      <c r="CN57" s="51">
        <f>'LINEST VARS'!$U$58+'LINEST VARS'!$T$58*(8)+'LINEST VARS'!$S$58*(8)+'LINEST VARS'!$R$58*($CN$56)+'LINEST VARS'!$Q$58*($BX57)+'LINEST VARS'!$P$58*(12.73)+'LINEST VARS'!$O$58*(8^2)+'LINEST VARS'!$N$58*(8^2)+'LINEST VARS'!$M$58*($CN$56^2)+'LINEST VARS'!$L$58*($BX57^2)+'LINEST VARS'!$K$58*(12.73^2)+'LINEST VARS'!$J$58*(8*8)+'LINEST VARS'!$I$58*(8*$CN$56)+'LINEST VARS'!$H$58*(8*$BX57)+'LINEST VARS'!$G$58*(8*12.73)+'LINEST VARS'!$F$58*(8*$CN$56)+'LINEST VARS'!$E$58*(8*$BX57)+'LINEST VARS'!$D$58*(8*12.73)+'LINEST VARS'!$C$58*($CN$56*$BX57)+'LINEST VARS'!$B$58*($CN$56*12.73)+'LINEST VARS'!$A$58*($BX57*12.73)</f>
        <v>0.98365000000000025</v>
      </c>
      <c r="CO57" s="51">
        <f>'LINEST VARS'!$U$58+'LINEST VARS'!$T$58*(8)+'LINEST VARS'!$S$58*(8)+'LINEST VARS'!$R$58*($CO$56)+'LINEST VARS'!$Q$58*($BX57)+'LINEST VARS'!$P$58*(12.73)+'LINEST VARS'!$O$58*(8^2)+'LINEST VARS'!$N$58*(8^2)+'LINEST VARS'!$M$58*($CO$56^2)+'LINEST VARS'!$L$58*($BX57^2)+'LINEST VARS'!$K$58*(12.73^2)+'LINEST VARS'!$J$58*(8*8)+'LINEST VARS'!$I$58*(8*$CO$56)+'LINEST VARS'!$H$58*(8*$BX57)+'LINEST VARS'!$G$58*(8*12.73)+'LINEST VARS'!$F$58*(8*$CO$56)+'LINEST VARS'!$E$58*(8*$BX57)+'LINEST VARS'!$D$58*(8*12.73)+'LINEST VARS'!$C$58*($CO$56*$BX57)+'LINEST VARS'!$B$58*($CO$56*12.73)+'LINEST VARS'!$A$58*($BX57*12.73)</f>
        <v>0.99165000000000036</v>
      </c>
      <c r="CP57" s="51">
        <f>'LINEST VARS'!$U$58+'LINEST VARS'!$T$58*(8)+'LINEST VARS'!$S$58*(8)+'LINEST VARS'!$R$58*($CP$56)+'LINEST VARS'!$Q$58*($BX57)+'LINEST VARS'!$P$58*(12.73)+'LINEST VARS'!$O$58*(8^2)+'LINEST VARS'!$N$58*(8^2)+'LINEST VARS'!$M$58*($CP$56^2)+'LINEST VARS'!$L$58*($BX57^2)+'LINEST VARS'!$K$58*(12.73^2)+'LINEST VARS'!$J$58*(8*8)+'LINEST VARS'!$I$58*(8*$CP$56)+'LINEST VARS'!$H$58*(8*$BX57)+'LINEST VARS'!$G$58*(8*12.73)+'LINEST VARS'!$F$58*(8*$CP$56)+'LINEST VARS'!$E$58*(8*$BX57)+'LINEST VARS'!$D$58*(8*12.73)+'LINEST VARS'!$C$58*($CP$56*$BX57)+'LINEST VARS'!$B$58*($CP$56*12.73)+'LINEST VARS'!$A$58*($BX57*12.73)</f>
        <v>0.99965000000000037</v>
      </c>
      <c r="CQ57" s="51">
        <f>'LINEST VARS'!$U$58+'LINEST VARS'!$T$58*(8)+'LINEST VARS'!$S$58*(8)+'LINEST VARS'!$R$58*($CQ$56)+'LINEST VARS'!$Q$58*($BX57)+'LINEST VARS'!$P$58*(12.73)+'LINEST VARS'!$O$58*(8^2)+'LINEST VARS'!$N$58*(8^2)+'LINEST VARS'!$M$58*($CQ$56^2)+'LINEST VARS'!$L$58*($BX57^2)+'LINEST VARS'!$K$58*(12.73^2)+'LINEST VARS'!$J$58*(8*8)+'LINEST VARS'!$I$58*(8*$CQ$56)+'LINEST VARS'!$H$58*(8*$BX57)+'LINEST VARS'!$G$58*(8*12.73)+'LINEST VARS'!$F$58*(8*$CQ$56)+'LINEST VARS'!$E$58*(8*$BX57)+'LINEST VARS'!$D$58*(8*12.73)+'LINEST VARS'!$C$58*($CQ$56*$BX57)+'LINEST VARS'!$B$58*($CQ$56*12.73)+'LINEST VARS'!$A$58*($BX57*12.73)</f>
        <v>1.0076500000000002</v>
      </c>
      <c r="CR57" s="51">
        <f>'LINEST VARS'!$U$58+'LINEST VARS'!$T$58*(8)+'LINEST VARS'!$S$58*(8)+'LINEST VARS'!$R$58*($CR$56)+'LINEST VARS'!$Q$58*($BX57)+'LINEST VARS'!$P$58*(12.73)+'LINEST VARS'!$O$58*(8^2)+'LINEST VARS'!$N$58*(8^2)+'LINEST VARS'!$M$58*($CR$56^2)+'LINEST VARS'!$L$58*($BX57^2)+'LINEST VARS'!$K$58*(12.73^2)+'LINEST VARS'!$J$58*(8*8)+'LINEST VARS'!$I$58*(8*$CR$56)+'LINEST VARS'!$H$58*(8*$BX57)+'LINEST VARS'!$G$58*(8*12.73)+'LINEST VARS'!$F$58*(8*$CR$56)+'LINEST VARS'!$E$58*(8*$BX57)+'LINEST VARS'!$D$58*(8*12.73)+'LINEST VARS'!$C$58*($CR$56*$BX57)+'LINEST VARS'!$B$58*($CR$56*12.73)+'LINEST VARS'!$A$58*($BX57*12.73)</f>
        <v>1.0156499999999999</v>
      </c>
      <c r="CS57" s="52">
        <f>'LINEST VARS'!$U$58+'LINEST VARS'!$T$58*(8)+'LINEST VARS'!$S$58*(8)+'LINEST VARS'!$R$58*($CS$56)+'LINEST VARS'!$Q$58*($BX57)+'LINEST VARS'!$P$58*(12.73)+'LINEST VARS'!$O$58*(8^2)+'LINEST VARS'!$N$58*(8^2)+'LINEST VARS'!$M$58*($CS$56^2)+'LINEST VARS'!$L$58*($BX57^2)+'LINEST VARS'!$K$58*(12.73^2)+'LINEST VARS'!$J$58*(8*8)+'LINEST VARS'!$I$58*(8*$CS$56)+'LINEST VARS'!$H$58*(8*$BX57)+'LINEST VARS'!$G$58*(8*12.73)+'LINEST VARS'!$F$58*(8*$CS$56)+'LINEST VARS'!$E$58*(8*$BX57)+'LINEST VARS'!$D$58*(8*12.73)+'LINEST VARS'!$C$58*($CS$56*$BX57)+'LINEST VARS'!$B$58*($CS$56*12.73)+'LINEST VARS'!$A$58*($BX57*12.73)</f>
        <v>1.0236500000000002</v>
      </c>
      <c r="CX57" s="45">
        <v>0</v>
      </c>
      <c r="CY57" s="51">
        <f>'LINEST VARS'!$U$56+'LINEST VARS'!$T$56*(8)+'LINEST VARS'!$S$56*(8)+'LINEST VARS'!$R$56*($CY$56)+'LINEST VARS'!$Q$56*(0.5)+'LINEST VARS'!$P$56*($CX57)+'LINEST VARS'!$O$56*(8^2)+'LINEST VARS'!$N$56*(8^2)+'LINEST VARS'!$M$56*($CY$56^2)+'LINEST VARS'!$L$56*(0.5^2)+'LINEST VARS'!$K$56*($CX57^2)+'LINEST VARS'!$J$56*(8*8)+'LINEST VARS'!$I$56*(8*$CY$56)+'LINEST VARS'!$H$56*(8*0.5)+'LINEST VARS'!$G$56*(8*$CX57)+'LINEST VARS'!$F$56*(8*$CY$56)+'LINEST VARS'!$E$56*(8*0.5)+'LINEST VARS'!$D$56*(8*$CX57)+'LINEST VARS'!$C$56*($CY$56*0.5)+'LINEST VARS'!$B$56*($CY$56*$CX57)+'LINEST VARS'!$A$56*(0.5*$CX57)</f>
        <v>2.8000000000000007</v>
      </c>
      <c r="CZ57" s="51">
        <f>'LINEST VARS'!$U$56+'LINEST VARS'!$T$56*(8)+'LINEST VARS'!$S$56*(8)+'LINEST VARS'!$R$56*($CZ$56)+'LINEST VARS'!$Q$56*(0.5)+'LINEST VARS'!$P$56*($CX57)+'LINEST VARS'!$O$56*(8^2)+'LINEST VARS'!$N$56*(8^2)+'LINEST VARS'!$M$56*($CZ$56^2)+'LINEST VARS'!$L$56*(0.5^2)+'LINEST VARS'!$K$56*($CX57^2)+'LINEST VARS'!$J$56*(8*8)+'LINEST VARS'!$I$56*(8*$CZ$56)+'LINEST VARS'!$H$56*(8*0.5)+'LINEST VARS'!$G$56*(8*$CX57)+'LINEST VARS'!$F$56*(8*$CZ$56)+'LINEST VARS'!$E$56*(8*0.5)+'LINEST VARS'!$D$56*(8*$CX57)+'LINEST VARS'!$C$56*($CZ$56*0.5)+'LINEST VARS'!$B$56*($CZ$56*$CX57)+'LINEST VARS'!$A$56*(0.5*$CX57)</f>
        <v>2.8184000000000009</v>
      </c>
      <c r="DA57" s="51">
        <f>'LINEST VARS'!$U$56+'LINEST VARS'!$T$56*(8)+'LINEST VARS'!$S$56*(8)+'LINEST VARS'!$R$56*($DA$56)+'LINEST VARS'!$Q$56*(0.5)+'LINEST VARS'!$P$56*($CX57)+'LINEST VARS'!$O$56*(8^2)+'LINEST VARS'!$N$56*(8^2)+'LINEST VARS'!$M$56*($DA$56^2)+'LINEST VARS'!$L$56*(0.5^2)+'LINEST VARS'!$K$56*($CX57^2)+'LINEST VARS'!$J$56*(8*8)+'LINEST VARS'!$I$56*(8*$DA$56)+'LINEST VARS'!$H$56*(8*0.5)+'LINEST VARS'!$G$56*(8*$CX57)+'LINEST VARS'!$F$56*(8*$DA$56)+'LINEST VARS'!$E$56*(8*0.5)+'LINEST VARS'!$D$56*(8*$CX57)+'LINEST VARS'!$C$56*($DA$56*0.5)+'LINEST VARS'!$B$56*($DA$56*$CX57)+'LINEST VARS'!$A$56*(0.5*$CX57)</f>
        <v>2.8336000000000006</v>
      </c>
      <c r="DB57" s="51">
        <f>'LINEST VARS'!$U$56+'LINEST VARS'!$T$56*(8)+'LINEST VARS'!$S$56*(8)+'LINEST VARS'!$R$56*($DB$56)+'LINEST VARS'!$Q$56*(0.5)+'LINEST VARS'!$P$56*($CX57)+'LINEST VARS'!$O$56*(8^2)+'LINEST VARS'!$N$56*(8^2)+'LINEST VARS'!$M$56*($DB$56^2)+'LINEST VARS'!$L$56*(0.5^2)+'LINEST VARS'!$K$56*($CX57^2)+'LINEST VARS'!$J$56*(8*8)+'LINEST VARS'!$I$56*(8*$DB$56)+'LINEST VARS'!$H$56*(8*0.5)+'LINEST VARS'!$G$56*(8*$CX57)+'LINEST VARS'!$F$56*(8*$DB$56)+'LINEST VARS'!$E$56*(8*0.5)+'LINEST VARS'!$D$56*(8*$CX57)+'LINEST VARS'!$C$56*($DB$56*0.5)+'LINEST VARS'!$B$56*($DB$56*$CX57)+'LINEST VARS'!$A$56*(0.5*$CX57)</f>
        <v>2.8456000000000006</v>
      </c>
      <c r="DC57" s="51">
        <f>'LINEST VARS'!$U$56+'LINEST VARS'!$T$56*(8)+'LINEST VARS'!$S$56*(8)+'LINEST VARS'!$R$56*($DC$56)+'LINEST VARS'!$Q$56*(0.5)+'LINEST VARS'!$P$56*($CX57)+'LINEST VARS'!$O$56*(8^2)+'LINEST VARS'!$N$56*(8^2)+'LINEST VARS'!$M$56*($DC$56^2)+'LINEST VARS'!$L$56*(0.5^2)+'LINEST VARS'!$K$56*($CX57^2)+'LINEST VARS'!$J$56*(8*8)+'LINEST VARS'!$I$56*(8*$DC$56)+'LINEST VARS'!$H$56*(8*0.5)+'LINEST VARS'!$G$56*(8*$CX57)+'LINEST VARS'!$F$56*(8*$DC$56)+'LINEST VARS'!$E$56*(8*0.5)+'LINEST VARS'!$D$56*(8*$CX57)+'LINEST VARS'!$C$56*($DC$56*0.5)+'LINEST VARS'!$B$56*($DC$56*$CX57)+'LINEST VARS'!$A$56*(0.5*$CX57)</f>
        <v>2.8544000000000009</v>
      </c>
      <c r="DD57" s="51">
        <f>'LINEST VARS'!$U$56+'LINEST VARS'!$T$56*(8)+'LINEST VARS'!$S$56*(8)+'LINEST VARS'!$R$56*($DD$56)+'LINEST VARS'!$Q$56*(0.5)+'LINEST VARS'!$P$56*($CX57)+'LINEST VARS'!$O$56*(8^2)+'LINEST VARS'!$N$56*(8^2)+'LINEST VARS'!$M$56*($DD$56^2)+'LINEST VARS'!$L$56*(0.5^2)+'LINEST VARS'!$K$56*($CX57^2)+'LINEST VARS'!$J$56*(8*8)+'LINEST VARS'!$I$56*(8*$DD$56)+'LINEST VARS'!$H$56*(8*0.5)+'LINEST VARS'!$G$56*(8*$CX57)+'LINEST VARS'!$F$56*(8*$DD$56)+'LINEST VARS'!$E$56*(8*0.5)+'LINEST VARS'!$D$56*(8*$CX57)+'LINEST VARS'!$C$56*($DD$56*0.5)+'LINEST VARS'!$B$56*($DD$56*$CX57)+'LINEST VARS'!$A$56*(0.5*$CX57)</f>
        <v>2.8600000000000008</v>
      </c>
      <c r="DE57" s="51">
        <f>'LINEST VARS'!$U$56+'LINEST VARS'!$T$56*(8)+'LINEST VARS'!$S$56*(8)+'LINEST VARS'!$R$56*($DE$56)+'LINEST VARS'!$Q$56*(0.5)+'LINEST VARS'!$P$56*($CX57)+'LINEST VARS'!$O$56*(8^2)+'LINEST VARS'!$N$56*(8^2)+'LINEST VARS'!$M$56*($DE$56^2)+'LINEST VARS'!$L$56*(0.5^2)+'LINEST VARS'!$K$56*($CX57^2)+'LINEST VARS'!$J$56*(8*8)+'LINEST VARS'!$I$56*(8*$DE$56)+'LINEST VARS'!$H$56*(8*0.5)+'LINEST VARS'!$G$56*(8*$CX57)+'LINEST VARS'!$F$56*(8*$DE$56)+'LINEST VARS'!$E$56*(8*0.5)+'LINEST VARS'!$D$56*(8*$CX57)+'LINEST VARS'!$C$56*($DE$56*0.5)+'LINEST VARS'!$B$56*($DE$56*$CX57)+'LINEST VARS'!$A$56*(0.5*$CX57)</f>
        <v>2.8624000000000009</v>
      </c>
      <c r="DF57" s="51">
        <f>'LINEST VARS'!$U$56+'LINEST VARS'!$T$56*(8)+'LINEST VARS'!$S$56*(8)+'LINEST VARS'!$R$56*($DF$56)+'LINEST VARS'!$Q$56*(0.5)+'LINEST VARS'!$P$56*($CX57)+'LINEST VARS'!$O$56*(8^2)+'LINEST VARS'!$N$56*(8^2)+'LINEST VARS'!$M$56*($DF$56^2)+'LINEST VARS'!$L$56*(0.5^2)+'LINEST VARS'!$K$56*($CX57^2)+'LINEST VARS'!$J$56*(8*8)+'LINEST VARS'!$I$56*(8*$DF$56)+'LINEST VARS'!$H$56*(8*0.5)+'LINEST VARS'!$G$56*(8*$CX57)+'LINEST VARS'!$F$56*(8*$DF$56)+'LINEST VARS'!$E$56*(8*0.5)+'LINEST VARS'!$D$56*(8*$CX57)+'LINEST VARS'!$C$56*($DF$56*0.5)+'LINEST VARS'!$B$56*($DF$56*$CX57)+'LINEST VARS'!$A$56*(0.5*$CX57)</f>
        <v>2.8616000000000006</v>
      </c>
      <c r="DG57" s="51">
        <f>'LINEST VARS'!$U$56+'LINEST VARS'!$T$56*(8)+'LINEST VARS'!$S$56*(8)+'LINEST VARS'!$R$56*($DG$56)+'LINEST VARS'!$Q$56*(0.5)+'LINEST VARS'!$P$56*($CX57)+'LINEST VARS'!$O$56*(8^2)+'LINEST VARS'!$N$56*(8^2)+'LINEST VARS'!$M$56*($DG$56^2)+'LINEST VARS'!$L$56*(0.5^2)+'LINEST VARS'!$K$56*($CX57^2)+'LINEST VARS'!$J$56*(8*8)+'LINEST VARS'!$I$56*(8*$DG$56)+'LINEST VARS'!$H$56*(8*0.5)+'LINEST VARS'!$G$56*(8*$CX57)+'LINEST VARS'!$F$56*(8*$DG$56)+'LINEST VARS'!$E$56*(8*0.5)+'LINEST VARS'!$D$56*(8*$CX57)+'LINEST VARS'!$C$56*($DG$56*0.5)+'LINEST VARS'!$B$56*($DG$56*$CX57)+'LINEST VARS'!$A$56*(0.5*$CX57)</f>
        <v>2.8576000000000006</v>
      </c>
      <c r="DH57" s="51">
        <f>'LINEST VARS'!$U$56+'LINEST VARS'!$T$56*(8)+'LINEST VARS'!$S$56*(8)+'LINEST VARS'!$R$56*($DH$56)+'LINEST VARS'!$Q$56*(0.5)+'LINEST VARS'!$P$56*($CX57)+'LINEST VARS'!$O$56*(8^2)+'LINEST VARS'!$N$56*(8^2)+'LINEST VARS'!$M$56*($DH$56^2)+'LINEST VARS'!$L$56*(0.5^2)+'LINEST VARS'!$K$56*($CX57^2)+'LINEST VARS'!$J$56*(8*8)+'LINEST VARS'!$I$56*(8*$DH$56)+'LINEST VARS'!$H$56*(8*0.5)+'LINEST VARS'!$G$56*(8*$CX57)+'LINEST VARS'!$F$56*(8*$DH$56)+'LINEST VARS'!$E$56*(8*0.5)+'LINEST VARS'!$D$56*(8*$CX57)+'LINEST VARS'!$C$56*($DH$56*0.5)+'LINEST VARS'!$B$56*($DH$56*$CX57)+'LINEST VARS'!$A$56*(0.5*$CX57)</f>
        <v>2.8504000000000009</v>
      </c>
      <c r="DI57" s="51">
        <f>'LINEST VARS'!$U$56+'LINEST VARS'!$T$56*(8)+'LINEST VARS'!$S$56*(8)+'LINEST VARS'!$R$56*($DI$56)+'LINEST VARS'!$Q$56*(0.5)+'LINEST VARS'!$P$56*($CX57)+'LINEST VARS'!$O$56*(8^2)+'LINEST VARS'!$N$56*(8^2)+'LINEST VARS'!$M$56*($DI$56^2)+'LINEST VARS'!$L$56*(0.5^2)+'LINEST VARS'!$K$56*($CX57^2)+'LINEST VARS'!$J$56*(8*8)+'LINEST VARS'!$I$56*(8*$DI$56)+'LINEST VARS'!$H$56*(8*0.5)+'LINEST VARS'!$G$56*(8*$CX57)+'LINEST VARS'!$F$56*(8*$DI$56)+'LINEST VARS'!$E$56*(8*0.5)+'LINEST VARS'!$D$56*(8*$CX57)+'LINEST VARS'!$C$56*($DI$56*0.5)+'LINEST VARS'!$B$56*($DI$56*$CX57)+'LINEST VARS'!$A$56*(0.5*$CX57)</f>
        <v>2.8400000000000007</v>
      </c>
      <c r="DJ57" s="51">
        <f>'LINEST VARS'!$U$56+'LINEST VARS'!$T$56*(8)+'LINEST VARS'!$S$56*(8)+'LINEST VARS'!$R$56*($DJ$56)+'LINEST VARS'!$Q$56*(0.5)+'LINEST VARS'!$P$56*($CX57)+'LINEST VARS'!$O$56*(8^2)+'LINEST VARS'!$N$56*(8^2)+'LINEST VARS'!$M$56*($DJ$56^2)+'LINEST VARS'!$L$56*(0.5^2)+'LINEST VARS'!$K$56*($CX57^2)+'LINEST VARS'!$J$56*(8*8)+'LINEST VARS'!$I$56*(8*$DJ$56)+'LINEST VARS'!$H$56*(8*0.5)+'LINEST VARS'!$G$56*(8*$CX57)+'LINEST VARS'!$F$56*(8*$DJ$56)+'LINEST VARS'!$E$56*(8*0.5)+'LINEST VARS'!$D$56*(8*$CX57)+'LINEST VARS'!$C$56*($DJ$56*0.5)+'LINEST VARS'!$B$56*($DJ$56*$CX57)+'LINEST VARS'!$A$56*(0.5*$CX57)</f>
        <v>2.8264000000000009</v>
      </c>
      <c r="DK57" s="51">
        <f>'LINEST VARS'!$U$56+'LINEST VARS'!$T$56*(8)+'LINEST VARS'!$S$56*(8)+'LINEST VARS'!$R$56*($DK$56)+'LINEST VARS'!$Q$56*(0.5)+'LINEST VARS'!$P$56*($CX57)+'LINEST VARS'!$O$56*(8^2)+'LINEST VARS'!$N$56*(8^2)+'LINEST VARS'!$M$56*($DK$56^2)+'LINEST VARS'!$L$56*(0.5^2)+'LINEST VARS'!$K$56*($CX57^2)+'LINEST VARS'!$J$56*(8*8)+'LINEST VARS'!$I$56*(8*$DK$56)+'LINEST VARS'!$H$56*(8*0.5)+'LINEST VARS'!$G$56*(8*$CX57)+'LINEST VARS'!$F$56*(8*$DK$56)+'LINEST VARS'!$E$56*(8*0.5)+'LINEST VARS'!$D$56*(8*$CX57)+'LINEST VARS'!$C$56*($DK$56*0.5)+'LINEST VARS'!$B$56*($DK$56*$CX57)+'LINEST VARS'!$A$56*(0.5*$CX57)</f>
        <v>2.8096000000000005</v>
      </c>
      <c r="DL57" s="51">
        <f>'LINEST VARS'!$U$56+'LINEST VARS'!$T$56*(8)+'LINEST VARS'!$S$56*(8)+'LINEST VARS'!$R$56*($DL$56)+'LINEST VARS'!$Q$56*(0.5)+'LINEST VARS'!$P$56*($CX57)+'LINEST VARS'!$O$56*(8^2)+'LINEST VARS'!$N$56*(8^2)+'LINEST VARS'!$M$56*($DL$56^2)+'LINEST VARS'!$L$56*(0.5^2)+'LINEST VARS'!$K$56*($CX57^2)+'LINEST VARS'!$J$56*(8*8)+'LINEST VARS'!$I$56*(8*$DL$56)+'LINEST VARS'!$H$56*(8*0.5)+'LINEST VARS'!$G$56*(8*$CX57)+'LINEST VARS'!$F$56*(8*$DL$56)+'LINEST VARS'!$E$56*(8*0.5)+'LINEST VARS'!$D$56*(8*$CX57)+'LINEST VARS'!$C$56*($DL$56*0.5)+'LINEST VARS'!$B$56*($DL$56*$CX57)+'LINEST VARS'!$A$56*(0.5*$CX57)</f>
        <v>2.7896000000000005</v>
      </c>
      <c r="DM57" s="51">
        <f>'LINEST VARS'!$U$56+'LINEST VARS'!$T$56*(8)+'LINEST VARS'!$S$56*(8)+'LINEST VARS'!$R$56*($DM$56)+'LINEST VARS'!$Q$56*(0.5)+'LINEST VARS'!$P$56*($CX57)+'LINEST VARS'!$O$56*(8^2)+'LINEST VARS'!$N$56*(8^2)+'LINEST VARS'!$M$56*($DM$56^2)+'LINEST VARS'!$L$56*(0.5^2)+'LINEST VARS'!$K$56*($CX57^2)+'LINEST VARS'!$J$56*(8*8)+'LINEST VARS'!$I$56*(8*$DM$56)+'LINEST VARS'!$H$56*(8*0.5)+'LINEST VARS'!$G$56*(8*$CX57)+'LINEST VARS'!$F$56*(8*$DM$56)+'LINEST VARS'!$E$56*(8*0.5)+'LINEST VARS'!$D$56*(8*$CX57)+'LINEST VARS'!$C$56*($DM$56*0.5)+'LINEST VARS'!$B$56*($DM$56*$CX57)+'LINEST VARS'!$A$56*(0.5*$CX57)</f>
        <v>2.7664000000000009</v>
      </c>
      <c r="DN57" s="51">
        <f>'LINEST VARS'!$U$56+'LINEST VARS'!$T$56*(8)+'LINEST VARS'!$S$56*(8)+'LINEST VARS'!$R$56*($DN$56)+'LINEST VARS'!$Q$56*(0.5)+'LINEST VARS'!$P$56*($CX57)+'LINEST VARS'!$O$56*(8^2)+'LINEST VARS'!$N$56*(8^2)+'LINEST VARS'!$M$56*($DN$56^2)+'LINEST VARS'!$L$56*(0.5^2)+'LINEST VARS'!$K$56*($CX57^2)+'LINEST VARS'!$J$56*(8*8)+'LINEST VARS'!$I$56*(8*$DN$56)+'LINEST VARS'!$H$56*(8*0.5)+'LINEST VARS'!$G$56*(8*$CX57)+'LINEST VARS'!$F$56*(8*$DN$56)+'LINEST VARS'!$E$56*(8*0.5)+'LINEST VARS'!$D$56*(8*$CX57)+'LINEST VARS'!$C$56*($DN$56*0.5)+'LINEST VARS'!$B$56*($DN$56*$CX57)+'LINEST VARS'!$A$56*(0.5*$CX57)</f>
        <v>2.7400000000000007</v>
      </c>
      <c r="DO57" s="51">
        <f>'LINEST VARS'!$U$56+'LINEST VARS'!$T$56*(8)+'LINEST VARS'!$S$56*(8)+'LINEST VARS'!$R$56*($DO$56)+'LINEST VARS'!$Q$56*(0.5)+'LINEST VARS'!$P$56*($CX57)+'LINEST VARS'!$O$56*(8^2)+'LINEST VARS'!$N$56*(8^2)+'LINEST VARS'!$M$56*($DO$56^2)+'LINEST VARS'!$L$56*(0.5^2)+'LINEST VARS'!$K$56*($CX57^2)+'LINEST VARS'!$J$56*(8*8)+'LINEST VARS'!$I$56*(8*$DO$56)+'LINEST VARS'!$H$56*(8*0.5)+'LINEST VARS'!$G$56*(8*$CX57)+'LINEST VARS'!$F$56*(8*$DO$56)+'LINEST VARS'!$E$56*(8*0.5)+'LINEST VARS'!$D$56*(8*$CX57)+'LINEST VARS'!$C$56*($DO$56*0.5)+'LINEST VARS'!$B$56*($DO$56*$CX57)+'LINEST VARS'!$A$56*(0.5*$CX57)</f>
        <v>2.7104000000000004</v>
      </c>
      <c r="DP57" s="51">
        <f>'LINEST VARS'!$U$56+'LINEST VARS'!$T$56*(8)+'LINEST VARS'!$S$56*(8)+'LINEST VARS'!$R$56*($DP$56)+'LINEST VARS'!$Q$56*(0.5)+'LINEST VARS'!$P$56*($CX57)+'LINEST VARS'!$O$56*(8^2)+'LINEST VARS'!$N$56*(8^2)+'LINEST VARS'!$M$56*($DP$56^2)+'LINEST VARS'!$L$56*(0.5^2)+'LINEST VARS'!$K$56*($CX57^2)+'LINEST VARS'!$J$56*(8*8)+'LINEST VARS'!$I$56*(8*$DP$56)+'LINEST VARS'!$H$56*(8*0.5)+'LINEST VARS'!$G$56*(8*$CX57)+'LINEST VARS'!$F$56*(8*$DP$56)+'LINEST VARS'!$E$56*(8*0.5)+'LINEST VARS'!$D$56*(8*$CX57)+'LINEST VARS'!$C$56*($DP$56*0.5)+'LINEST VARS'!$B$56*($DP$56*$CX57)+'LINEST VARS'!$A$56*(0.5*$CX57)</f>
        <v>2.6776000000000004</v>
      </c>
      <c r="DQ57" s="51">
        <f>'LINEST VARS'!$U$56+'LINEST VARS'!$T$56*(8)+'LINEST VARS'!$S$56*(8)+'LINEST VARS'!$R$56*($DQ$56)+'LINEST VARS'!$Q$56*(0.5)+'LINEST VARS'!$P$56*($CX57)+'LINEST VARS'!$O$56*(8^2)+'LINEST VARS'!$N$56*(8^2)+'LINEST VARS'!$M$56*($DQ$56^2)+'LINEST VARS'!$L$56*(0.5^2)+'LINEST VARS'!$K$56*($CX57^2)+'LINEST VARS'!$J$56*(8*8)+'LINEST VARS'!$I$56*(8*$DQ$56)+'LINEST VARS'!$H$56*(8*0.5)+'LINEST VARS'!$G$56*(8*$CX57)+'LINEST VARS'!$F$56*(8*$DQ$56)+'LINEST VARS'!$E$56*(8*0.5)+'LINEST VARS'!$D$56*(8*$CX57)+'LINEST VARS'!$C$56*($DQ$56*0.5)+'LINEST VARS'!$B$56*($DQ$56*$CX57)+'LINEST VARS'!$A$56*(0.5*$CX57)</f>
        <v>2.6416000000000004</v>
      </c>
      <c r="DR57" s="51">
        <f>'LINEST VARS'!$U$56+'LINEST VARS'!$T$56*(8)+'LINEST VARS'!$S$56*(8)+'LINEST VARS'!$R$56*($DR$56)+'LINEST VARS'!$Q$56*(0.5)+'LINEST VARS'!$P$56*($CX57)+'LINEST VARS'!$O$56*(8^2)+'LINEST VARS'!$N$56*(8^2)+'LINEST VARS'!$M$56*($DR$56^2)+'LINEST VARS'!$L$56*(0.5^2)+'LINEST VARS'!$K$56*($CX57^2)+'LINEST VARS'!$J$56*(8*8)+'LINEST VARS'!$I$56*(8*$DR$56)+'LINEST VARS'!$H$56*(8*0.5)+'LINEST VARS'!$G$56*(8*$CX57)+'LINEST VARS'!$F$56*(8*$DR$56)+'LINEST VARS'!$E$56*(8*0.5)+'LINEST VARS'!$D$56*(8*$CX57)+'LINEST VARS'!$C$56*($DR$56*0.5)+'LINEST VARS'!$B$56*($DR$56*$CX57)+'LINEST VARS'!$A$56*(0.5*$CX57)</f>
        <v>2.6024000000000007</v>
      </c>
      <c r="DS57" s="52">
        <f>'LINEST VARS'!$U$56+'LINEST VARS'!$T$56*(8)+'LINEST VARS'!$S$56*(8)+'LINEST VARS'!$R$56*($DS$56)+'LINEST VARS'!$Q$56*(0.5)+'LINEST VARS'!$P$56*($CX57)+'LINEST VARS'!$O$56*(8^2)+'LINEST VARS'!$N$56*(8^2)+'LINEST VARS'!$M$56*($DS$56^2)+'LINEST VARS'!$L$56*(0.5^2)+'LINEST VARS'!$K$56*($CX57^2)+'LINEST VARS'!$J$56*(8*8)+'LINEST VARS'!$I$56*(8*$DS$56)+'LINEST VARS'!$H$56*(8*0.5)+'LINEST VARS'!$G$56*(8*$CX57)+'LINEST VARS'!$F$56*(8*$DS$56)+'LINEST VARS'!$E$56*(8*0.5)+'LINEST VARS'!$D$56*(8*$CX57)+'LINEST VARS'!$C$56*($DS$56*0.5)+'LINEST VARS'!$B$56*($DS$56*$CX57)+'LINEST VARS'!$A$56*(0.5*$CX57)</f>
        <v>2.5600000000000005</v>
      </c>
      <c r="DV57" s="45">
        <v>0</v>
      </c>
      <c r="DW57" s="51">
        <f>'LINEST VARS'!$U$58+'LINEST VARS'!$T$58*(8)+'LINEST VARS'!$S$58*(8)+'LINEST VARS'!$R$58*($DW$56)+'LINEST VARS'!$Q$58*(0.5)+'LINEST VARS'!$P$58*($DV57)+'LINEST VARS'!$O$58*(8^2)+'LINEST VARS'!$N$58*(8^2)+'LINEST VARS'!$M$58*($DW$56^2)+'LINEST VARS'!$L$58*(0.5^2)+'LINEST VARS'!$K$58*($DV57^2)+'LINEST VARS'!$J$58*(8*8)+'LINEST VARS'!$I$58*(8*$DW$56)+'LINEST VARS'!$H$58*(8*0.5)+'LINEST VARS'!$G$58*(8*$DV57)+'LINEST VARS'!$F$58*(8*$DW$56)+'LINEST VARS'!$E$58*(8*0.5)+'LINEST VARS'!$D$58*(8*$DV57)+'LINEST VARS'!$C$58*($DW$56*0.5)+'LINEST VARS'!$B$58*($DW$56*$DV57)+'LINEST VARS'!$A$58*(0.5*$DV57)</f>
        <v>0.80000000000000027</v>
      </c>
      <c r="DX57" s="51">
        <f>'LINEST VARS'!$U$58+'LINEST VARS'!$T$58*(8)+'LINEST VARS'!$S$58*(8)+'LINEST VARS'!$R$58*($DX$56)+'LINEST VARS'!$Q$58*(0.5)+'LINEST VARS'!$P$58*($DV57)+'LINEST VARS'!$O$58*(8^2)+'LINEST VARS'!$N$58*(8^2)+'LINEST VARS'!$M$58*($DX$56^2)+'LINEST VARS'!$L$58*(0.5^2)+'LINEST VARS'!$K$58*($DV57^2)+'LINEST VARS'!$J$58*(8*8)+'LINEST VARS'!$I$58*(8*$DX$56)+'LINEST VARS'!$H$58*(8*0.5)+'LINEST VARS'!$G$58*(8*$DV57)+'LINEST VARS'!$F$58*(8*$DX$56)+'LINEST VARS'!$E$58*(8*0.5)+'LINEST VARS'!$D$58*(8*$DV57)+'LINEST VARS'!$C$58*($DX$56*0.5)+'LINEST VARS'!$B$58*($DX$56*$DV57)+'LINEST VARS'!$A$58*(0.5*$DV57)</f>
        <v>0.80800000000000027</v>
      </c>
      <c r="DY57" s="51">
        <f>'LINEST VARS'!$U$58+'LINEST VARS'!$T$58*(8)+'LINEST VARS'!$S$58*(8)+'LINEST VARS'!$R$58*($DY$56)+'LINEST VARS'!$Q$58*(0.5)+'LINEST VARS'!$P$58*($DV57)+'LINEST VARS'!$O$58*(8^2)+'LINEST VARS'!$N$58*(8^2)+'LINEST VARS'!$M$58*($DY$56^2)+'LINEST VARS'!$L$58*(0.5^2)+'LINEST VARS'!$K$58*($DV57^2)+'LINEST VARS'!$J$58*(8*8)+'LINEST VARS'!$I$58*(8*$DY$56)+'LINEST VARS'!$H$58*(8*0.5)+'LINEST VARS'!$G$58*(8*$DV57)+'LINEST VARS'!$F$58*(8*$DY$56)+'LINEST VARS'!$E$58*(8*0.5)+'LINEST VARS'!$D$58*(8*$DV57)+'LINEST VARS'!$C$58*($DY$56*0.5)+'LINEST VARS'!$B$58*($DY$56*$DV57)+'LINEST VARS'!$A$58*(0.5*$DV57)</f>
        <v>0.81600000000000017</v>
      </c>
      <c r="DZ57" s="51">
        <f>'LINEST VARS'!$U$58+'LINEST VARS'!$T$58*(8)+'LINEST VARS'!$S$58*(8)+'LINEST VARS'!$R$58*($DZ$56)+'LINEST VARS'!$Q$58*(0.5)+'LINEST VARS'!$P$58*($DV57)+'LINEST VARS'!$O$58*(8^2)+'LINEST VARS'!$N$58*(8^2)+'LINEST VARS'!$M$58*($DZ$56^2)+'LINEST VARS'!$L$58*(0.5^2)+'LINEST VARS'!$K$58*($DV57^2)+'LINEST VARS'!$J$58*(8*8)+'LINEST VARS'!$I$58*(8*$DZ$56)+'LINEST VARS'!$H$58*(8*0.5)+'LINEST VARS'!$G$58*(8*$DV57)+'LINEST VARS'!$F$58*(8*$DZ$56)+'LINEST VARS'!$E$58*(8*0.5)+'LINEST VARS'!$D$58*(8*$DV57)+'LINEST VARS'!$C$58*($DZ$56*0.5)+'LINEST VARS'!$B$58*($DZ$56*$DV57)+'LINEST VARS'!$A$58*(0.5*$DV57)</f>
        <v>0.82400000000000018</v>
      </c>
      <c r="EA57" s="51">
        <f>'LINEST VARS'!$U$58+'LINEST VARS'!$T$58*(8)+'LINEST VARS'!$S$58*(8)+'LINEST VARS'!$R$58*($EA$56)+'LINEST VARS'!$Q$58*(0.5)+'LINEST VARS'!$P$58*($DV57)+'LINEST VARS'!$O$58*(8^2)+'LINEST VARS'!$N$58*(8^2)+'LINEST VARS'!$M$58*($EA$56^2)+'LINEST VARS'!$L$58*(0.5^2)+'LINEST VARS'!$K$58*($DV57^2)+'LINEST VARS'!$J$58*(8*8)+'LINEST VARS'!$I$58*(8*$EA$56)+'LINEST VARS'!$H$58*(8*0.5)+'LINEST VARS'!$G$58*(8*$DV57)+'LINEST VARS'!$F$58*(8*$EA$56)+'LINEST VARS'!$E$58*(8*0.5)+'LINEST VARS'!$D$58*(8*$DV57)+'LINEST VARS'!$C$58*($EA$56*0.5)+'LINEST VARS'!$B$58*($EA$56*$DV57)+'LINEST VARS'!$A$58*(0.5*$DV57)</f>
        <v>0.83200000000000007</v>
      </c>
      <c r="EB57" s="51">
        <f>'LINEST VARS'!$U$58+'LINEST VARS'!$T$58*(8)+'LINEST VARS'!$S$58*(8)+'LINEST VARS'!$R$58*($EB$56)+'LINEST VARS'!$Q$58*(0.5)+'LINEST VARS'!$P$58*($DV57)+'LINEST VARS'!$O$58*(8^2)+'LINEST VARS'!$N$58*(8^2)+'LINEST VARS'!$M$58*($EB$56^2)+'LINEST VARS'!$L$58*(0.5^2)+'LINEST VARS'!$K$58*($DV57^2)+'LINEST VARS'!$J$58*(8*8)+'LINEST VARS'!$I$58*(8*$EB$56)+'LINEST VARS'!$H$58*(8*0.5)+'LINEST VARS'!$G$58*(8*$DV57)+'LINEST VARS'!$F$58*(8*$EB$56)+'LINEST VARS'!$E$58*(8*0.5)+'LINEST VARS'!$D$58*(8*$DV57)+'LINEST VARS'!$C$58*($EB$56*0.5)+'LINEST VARS'!$B$58*($EB$56*$DV57)+'LINEST VARS'!$A$58*(0.5*$DV57)</f>
        <v>0.84000000000000019</v>
      </c>
      <c r="EC57" s="51">
        <f>'LINEST VARS'!$U$58+'LINEST VARS'!$T$58*(8)+'LINEST VARS'!$S$58*(8)+'LINEST VARS'!$R$58*($EC$56)+'LINEST VARS'!$Q$58*(0.5)+'LINEST VARS'!$P$58*($DV57)+'LINEST VARS'!$O$58*(8^2)+'LINEST VARS'!$N$58*(8^2)+'LINEST VARS'!$M$58*($EC$56^2)+'LINEST VARS'!$L$58*(0.5^2)+'LINEST VARS'!$K$58*($DV57^2)+'LINEST VARS'!$J$58*(8*8)+'LINEST VARS'!$I$58*(8*$EC$56)+'LINEST VARS'!$H$58*(8*0.5)+'LINEST VARS'!$G$58*(8*$DV57)+'LINEST VARS'!$F$58*(8*$EC$56)+'LINEST VARS'!$E$58*(8*0.5)+'LINEST VARS'!$D$58*(8*$DV57)+'LINEST VARS'!$C$58*($EC$56*0.5)+'LINEST VARS'!$B$58*($EC$56*$DV57)+'LINEST VARS'!$A$58*(0.5*$DV57)</f>
        <v>0.8480000000000002</v>
      </c>
      <c r="ED57" s="51">
        <f>'LINEST VARS'!$U$58+'LINEST VARS'!$T$58*(8)+'LINEST VARS'!$S$58*(8)+'LINEST VARS'!$R$58*($ED$56)+'LINEST VARS'!$Q$58*(0.5)+'LINEST VARS'!$P$58*($DV57)+'LINEST VARS'!$O$58*(8^2)+'LINEST VARS'!$N$58*(8^2)+'LINEST VARS'!$M$58*($ED$56^2)+'LINEST VARS'!$L$58*(0.5^2)+'LINEST VARS'!$K$58*($DV57^2)+'LINEST VARS'!$J$58*(8*8)+'LINEST VARS'!$I$58*(8*$ED$56)+'LINEST VARS'!$H$58*(8*0.5)+'LINEST VARS'!$G$58*(8*$DV57)+'LINEST VARS'!$F$58*(8*$ED$56)+'LINEST VARS'!$E$58*(8*0.5)+'LINEST VARS'!$D$58*(8*$DV57)+'LINEST VARS'!$C$58*($ED$56*0.5)+'LINEST VARS'!$B$58*($ED$56*$DV57)+'LINEST VARS'!$A$58*(0.5*$DV57)</f>
        <v>0.85600000000000021</v>
      </c>
      <c r="EE57" s="51">
        <f>'LINEST VARS'!$U$58+'LINEST VARS'!$T$58*(8)+'LINEST VARS'!$S$58*(8)+'LINEST VARS'!$R$58*($EE$56)+'LINEST VARS'!$Q$58*(0.5)+'LINEST VARS'!$P$58*($DV57)+'LINEST VARS'!$O$58*(8^2)+'LINEST VARS'!$N$58*(8^2)+'LINEST VARS'!$M$58*($EE$56^2)+'LINEST VARS'!$L$58*(0.5^2)+'LINEST VARS'!$K$58*($DV57^2)+'LINEST VARS'!$J$58*(8*8)+'LINEST VARS'!$I$58*(8*$EE$56)+'LINEST VARS'!$H$58*(8*0.5)+'LINEST VARS'!$G$58*(8*$DV57)+'LINEST VARS'!$F$58*(8*$EE$56)+'LINEST VARS'!$E$58*(8*0.5)+'LINEST VARS'!$D$58*(8*$DV57)+'LINEST VARS'!$C$58*($EE$56*0.5)+'LINEST VARS'!$B$58*($EE$56*$DV57)+'LINEST VARS'!$A$58*(0.5*$DV57)</f>
        <v>0.86400000000000032</v>
      </c>
      <c r="EF57" s="51">
        <f>'LINEST VARS'!$U$58+'LINEST VARS'!$T$58*(8)+'LINEST VARS'!$S$58*(8)+'LINEST VARS'!$R$58*($EF$56)+'LINEST VARS'!$Q$58*(0.5)+'LINEST VARS'!$P$58*($DV57)+'LINEST VARS'!$O$58*(8^2)+'LINEST VARS'!$N$58*(8^2)+'LINEST VARS'!$M$58*($EF$56^2)+'LINEST VARS'!$L$58*(0.5^2)+'LINEST VARS'!$K$58*($DV57^2)+'LINEST VARS'!$J$58*(8*8)+'LINEST VARS'!$I$58*(8*$EF$56)+'LINEST VARS'!$H$58*(8*0.5)+'LINEST VARS'!$G$58*(8*$DV57)+'LINEST VARS'!$F$58*(8*$EF$56)+'LINEST VARS'!$E$58*(8*0.5)+'LINEST VARS'!$D$58*(8*$DV57)+'LINEST VARS'!$C$58*($EF$56*0.5)+'LINEST VARS'!$B$58*($EF$56*$DV57)+'LINEST VARS'!$A$58*(0.5*$DV57)</f>
        <v>0.87200000000000022</v>
      </c>
      <c r="EG57" s="51">
        <f>'LINEST VARS'!$U$58+'LINEST VARS'!$T$58*(8)+'LINEST VARS'!$S$58*(8)+'LINEST VARS'!$R$58*($EG$56)+'LINEST VARS'!$Q$58*(0.5)+'LINEST VARS'!$P$58*($DV57)+'LINEST VARS'!$O$58*(8^2)+'LINEST VARS'!$N$58*(8^2)+'LINEST VARS'!$M$58*($EG$56^2)+'LINEST VARS'!$L$58*(0.5^2)+'LINEST VARS'!$K$58*($DV57^2)+'LINEST VARS'!$J$58*(8*8)+'LINEST VARS'!$I$58*(8*$EG$56)+'LINEST VARS'!$H$58*(8*0.5)+'LINEST VARS'!$G$58*(8*$DV57)+'LINEST VARS'!$F$58*(8*$EG$56)+'LINEST VARS'!$E$58*(8*0.5)+'LINEST VARS'!$D$58*(8*$DV57)+'LINEST VARS'!$C$58*($EG$56*0.5)+'LINEST VARS'!$B$58*($EG$56*$DV57)+'LINEST VARS'!$A$58*(0.5*$DV57)</f>
        <v>0.88000000000000023</v>
      </c>
      <c r="EH57" s="51">
        <f>'LINEST VARS'!$U$58+'LINEST VARS'!$T$58*(8)+'LINEST VARS'!$S$58*(8)+'LINEST VARS'!$R$58*($EH$56)+'LINEST VARS'!$Q$58*(0.5)+'LINEST VARS'!$P$58*($DV57)+'LINEST VARS'!$O$58*(8^2)+'LINEST VARS'!$N$58*(8^2)+'LINEST VARS'!$M$58*($EH$56^2)+'LINEST VARS'!$L$58*(0.5^2)+'LINEST VARS'!$K$58*($DV57^2)+'LINEST VARS'!$J$58*(8*8)+'LINEST VARS'!$I$58*(8*$EH$56)+'LINEST VARS'!$H$58*(8*0.5)+'LINEST VARS'!$G$58*(8*$DV57)+'LINEST VARS'!$F$58*(8*$EH$56)+'LINEST VARS'!$E$58*(8*0.5)+'LINEST VARS'!$D$58*(8*$DV57)+'LINEST VARS'!$C$58*($EH$56*0.5)+'LINEST VARS'!$B$58*($EH$56*$DV57)+'LINEST VARS'!$A$58*(0.5*$DV57)</f>
        <v>0.88800000000000012</v>
      </c>
      <c r="EI57" s="51">
        <f>'LINEST VARS'!$U$58+'LINEST VARS'!$T$58*(8)+'LINEST VARS'!$S$58*(8)+'LINEST VARS'!$R$58*($EI$56)+'LINEST VARS'!$Q$58*(0.5)+'LINEST VARS'!$P$58*($DV57)+'LINEST VARS'!$O$58*(8^2)+'LINEST VARS'!$N$58*(8^2)+'LINEST VARS'!$M$58*($EI$56^2)+'LINEST VARS'!$L$58*(0.5^2)+'LINEST VARS'!$K$58*($DV57^2)+'LINEST VARS'!$J$58*(8*8)+'LINEST VARS'!$I$58*(8*$EI$56)+'LINEST VARS'!$H$58*(8*0.5)+'LINEST VARS'!$G$58*(8*$DV57)+'LINEST VARS'!$F$58*(8*$EI$56)+'LINEST VARS'!$E$58*(8*0.5)+'LINEST VARS'!$D$58*(8*$DV57)+'LINEST VARS'!$C$58*($EI$56*0.5)+'LINEST VARS'!$B$58*($EI$56*$DV57)+'LINEST VARS'!$A$58*(0.5*$DV57)</f>
        <v>0.89600000000000013</v>
      </c>
      <c r="EJ57" s="51">
        <f>'LINEST VARS'!$U$58+'LINEST VARS'!$T$58*(8)+'LINEST VARS'!$S$58*(8)+'LINEST VARS'!$R$58*($EJ$56)+'LINEST VARS'!$Q$58*(0.5)+'LINEST VARS'!$P$58*($DV57)+'LINEST VARS'!$O$58*(8^2)+'LINEST VARS'!$N$58*(8^2)+'LINEST VARS'!$M$58*($EJ$56^2)+'LINEST VARS'!$L$58*(0.5^2)+'LINEST VARS'!$K$58*($DV57^2)+'LINEST VARS'!$J$58*(8*8)+'LINEST VARS'!$I$58*(8*$EJ$56)+'LINEST VARS'!$H$58*(8*0.5)+'LINEST VARS'!$G$58*(8*$DV57)+'LINEST VARS'!$F$58*(8*$EJ$56)+'LINEST VARS'!$E$58*(8*0.5)+'LINEST VARS'!$D$58*(8*$DV57)+'LINEST VARS'!$C$58*($EJ$56*0.5)+'LINEST VARS'!$B$58*($EJ$56*$DV57)+'LINEST VARS'!$A$58*(0.5*$DV57)</f>
        <v>0.90400000000000003</v>
      </c>
      <c r="EK57" s="51">
        <f>'LINEST VARS'!$U$58+'LINEST VARS'!$T$58*(8)+'LINEST VARS'!$S$58*(8)+'LINEST VARS'!$R$58*($EK$56)+'LINEST VARS'!$Q$58*(0.5)+'LINEST VARS'!$P$58*($DV57)+'LINEST VARS'!$O$58*(8^2)+'LINEST VARS'!$N$58*(8^2)+'LINEST VARS'!$M$58*($EK$56^2)+'LINEST VARS'!$L$58*(0.5^2)+'LINEST VARS'!$K$58*($DV57^2)+'LINEST VARS'!$J$58*(8*8)+'LINEST VARS'!$I$58*(8*$EK$56)+'LINEST VARS'!$H$58*(8*0.5)+'LINEST VARS'!$G$58*(8*$DV57)+'LINEST VARS'!$F$58*(8*$EK$56)+'LINEST VARS'!$E$58*(8*0.5)+'LINEST VARS'!$D$58*(8*$DV57)+'LINEST VARS'!$C$58*($EK$56*0.5)+'LINEST VARS'!$B$58*($EK$56*$DV57)+'LINEST VARS'!$A$58*(0.5*$DV57)</f>
        <v>0.91200000000000014</v>
      </c>
      <c r="EL57" s="51">
        <f>'LINEST VARS'!$U$58+'LINEST VARS'!$T$58*(8)+'LINEST VARS'!$S$58*(8)+'LINEST VARS'!$R$58*($EL$56)+'LINEST VARS'!$Q$58*(0.5)+'LINEST VARS'!$P$58*($DV57)+'LINEST VARS'!$O$58*(8^2)+'LINEST VARS'!$N$58*(8^2)+'LINEST VARS'!$M$58*($EL$56^2)+'LINEST VARS'!$L$58*(0.5^2)+'LINEST VARS'!$K$58*($DV57^2)+'LINEST VARS'!$J$58*(8*8)+'LINEST VARS'!$I$58*(8*$EL$56)+'LINEST VARS'!$H$58*(8*0.5)+'LINEST VARS'!$G$58*(8*$DV57)+'LINEST VARS'!$F$58*(8*$EL$56)+'LINEST VARS'!$E$58*(8*0.5)+'LINEST VARS'!$D$58*(8*$DV57)+'LINEST VARS'!$C$58*($EL$56*0.5)+'LINEST VARS'!$B$58*($EL$56*$DV57)+'LINEST VARS'!$A$58*(0.5*$DV57)</f>
        <v>0.92000000000000015</v>
      </c>
      <c r="EM57" s="51">
        <f>'LINEST VARS'!$U$58+'LINEST VARS'!$T$58*(8)+'LINEST VARS'!$S$58*(8)+'LINEST VARS'!$R$58*($EM$56)+'LINEST VARS'!$Q$58*(0.5)+'LINEST VARS'!$P$58*($DV57)+'LINEST VARS'!$O$58*(8^2)+'LINEST VARS'!$N$58*(8^2)+'LINEST VARS'!$M$58*($EM$56^2)+'LINEST VARS'!$L$58*(0.5^2)+'LINEST VARS'!$K$58*($DV57^2)+'LINEST VARS'!$J$58*(8*8)+'LINEST VARS'!$I$58*(8*$EM$56)+'LINEST VARS'!$H$58*(8*0.5)+'LINEST VARS'!$G$58*(8*$DV57)+'LINEST VARS'!$F$58*(8*$EM$56)+'LINEST VARS'!$E$58*(8*0.5)+'LINEST VARS'!$D$58*(8*$DV57)+'LINEST VARS'!$C$58*($EM$56*0.5)+'LINEST VARS'!$B$58*($EM$56*$DV57)+'LINEST VARS'!$A$58*(0.5*$DV57)</f>
        <v>0.92800000000000027</v>
      </c>
      <c r="EN57" s="51">
        <f>'LINEST VARS'!$U$58+'LINEST VARS'!$T$58*(8)+'LINEST VARS'!$S$58*(8)+'LINEST VARS'!$R$58*($EN$56)+'LINEST VARS'!$Q$58*(0.5)+'LINEST VARS'!$P$58*($DV57)+'LINEST VARS'!$O$58*(8^2)+'LINEST VARS'!$N$58*(8^2)+'LINEST VARS'!$M$58*($EN$56^2)+'LINEST VARS'!$L$58*(0.5^2)+'LINEST VARS'!$K$58*($DV57^2)+'LINEST VARS'!$J$58*(8*8)+'LINEST VARS'!$I$58*(8*$EN$56)+'LINEST VARS'!$H$58*(8*0.5)+'LINEST VARS'!$G$58*(8*$DV57)+'LINEST VARS'!$F$58*(8*$EN$56)+'LINEST VARS'!$E$58*(8*0.5)+'LINEST VARS'!$D$58*(8*$DV57)+'LINEST VARS'!$C$58*($EN$56*0.5)+'LINEST VARS'!$B$58*($EN$56*$DV57)+'LINEST VARS'!$A$58*(0.5*$DV57)</f>
        <v>0.93600000000000028</v>
      </c>
      <c r="EO57" s="51">
        <f>'LINEST VARS'!$U$58+'LINEST VARS'!$T$58*(8)+'LINEST VARS'!$S$58*(8)+'LINEST VARS'!$R$58*($EO$56)+'LINEST VARS'!$Q$58*(0.5)+'LINEST VARS'!$P$58*($DV57)+'LINEST VARS'!$O$58*(8^2)+'LINEST VARS'!$N$58*(8^2)+'LINEST VARS'!$M$58*($EO$56^2)+'LINEST VARS'!$L$58*(0.5^2)+'LINEST VARS'!$K$58*($DV57^2)+'LINEST VARS'!$J$58*(8*8)+'LINEST VARS'!$I$58*(8*$EO$56)+'LINEST VARS'!$H$58*(8*0.5)+'LINEST VARS'!$G$58*(8*$DV57)+'LINEST VARS'!$F$58*(8*$EO$56)+'LINEST VARS'!$E$58*(8*0.5)+'LINEST VARS'!$D$58*(8*$DV57)+'LINEST VARS'!$C$58*($EO$56*0.5)+'LINEST VARS'!$B$58*($EO$56*$DV57)+'LINEST VARS'!$A$58*(0.5*$DV57)</f>
        <v>0.94400000000000028</v>
      </c>
      <c r="EP57" s="51">
        <f>'LINEST VARS'!$U$58+'LINEST VARS'!$T$58*(8)+'LINEST VARS'!$S$58*(8)+'LINEST VARS'!$R$58*($EP$56)+'LINEST VARS'!$Q$58*(0.5)+'LINEST VARS'!$P$58*($DV57)+'LINEST VARS'!$O$58*(8^2)+'LINEST VARS'!$N$58*(8^2)+'LINEST VARS'!$M$58*($EP$56^2)+'LINEST VARS'!$L$58*(0.5^2)+'LINEST VARS'!$K$58*($DV57^2)+'LINEST VARS'!$J$58*(8*8)+'LINEST VARS'!$I$58*(8*$EP$56)+'LINEST VARS'!$H$58*(8*0.5)+'LINEST VARS'!$G$58*(8*$DV57)+'LINEST VARS'!$F$58*(8*$EP$56)+'LINEST VARS'!$E$58*(8*0.5)+'LINEST VARS'!$D$58*(8*$DV57)+'LINEST VARS'!$C$58*($EP$56*0.5)+'LINEST VARS'!$B$58*($EP$56*$DV57)+'LINEST VARS'!$A$58*(0.5*$DV57)</f>
        <v>0.95200000000000018</v>
      </c>
      <c r="EQ57" s="52">
        <f>'LINEST VARS'!$U$58+'LINEST VARS'!$T$58*(8)+'LINEST VARS'!$S$58*(8)+'LINEST VARS'!$R$58*($EQ$56)+'LINEST VARS'!$Q$58*(0.5)+'LINEST VARS'!$P$58*($DV57)+'LINEST VARS'!$O$58*(8^2)+'LINEST VARS'!$N$58*(8^2)+'LINEST VARS'!$M$58*($EQ$56^2)+'LINEST VARS'!$L$58*(0.5^2)+'LINEST VARS'!$K$58*($DV57^2)+'LINEST VARS'!$J$58*(8*8)+'LINEST VARS'!$I$58*(8*$EQ$56)+'LINEST VARS'!$H$58*(8*0.5)+'LINEST VARS'!$G$58*(8*$DV57)+'LINEST VARS'!$F$58*(8*$EQ$56)+'LINEST VARS'!$E$58*(8*0.5)+'LINEST VARS'!$D$58*(8*$DV57)+'LINEST VARS'!$C$58*($EQ$56*0.5)+'LINEST VARS'!$B$58*($EQ$56*$DV57)+'LINEST VARS'!$A$58*(0.5*$DV57)</f>
        <v>0.96000000000000019</v>
      </c>
    </row>
    <row r="58" spans="2:147" ht="15" customHeight="1" x14ac:dyDescent="0.25">
      <c r="B58" s="45">
        <v>7.46</v>
      </c>
      <c r="C58" s="51">
        <f>'LINEST VARS'!$U$56+'LINEST VARS'!$T$56*($C$56)+'LINEST VARS'!$S$56*($B58)+'LINEST VARS'!$R$56*(4)+'LINEST VARS'!$Q$56*(0.5)+'LINEST VARS'!$P$56*(12.73)+'LINEST VARS'!$O$56*($C$56^2)+'LINEST VARS'!$N$56*($B58^2)+'LINEST VARS'!$M$56*(4^2)+'LINEST VARS'!$L$56*(0.5^2)+'LINEST VARS'!$K$56*(12.73^2)+'LINEST VARS'!$J$56*($C$56*$B58)+'LINEST VARS'!$I$56*($C$56*4)+'LINEST VARS'!$H$56*($C$56*0.5)+'LINEST VARS'!$G$56*($C$56*12.73)+'LINEST VARS'!$F$56*($B58*4)+'LINEST VARS'!$E$56*($B58*0.5)+'LINEST VARS'!$D$56*($B58*12.73)+'LINEST VARS'!$C$56*(4*0.5)+'LINEST VARS'!$B$56*(4*12.73)+'LINEST VARS'!$A$56*(0.5*12.73)</f>
        <v>2.8400000000000012</v>
      </c>
      <c r="D58" s="51">
        <f>'LINEST VARS'!$U$56+'LINEST VARS'!$T$56*($D$56)+'LINEST VARS'!$S$56*($B58)+'LINEST VARS'!$R$56*(4)+'LINEST VARS'!$Q$56*(0.5)+'LINEST VARS'!$P$56*(12.73)+'LINEST VARS'!$O$56*($D$56^2)+'LINEST VARS'!$N$56*($B58^2)+'LINEST VARS'!$M$56*(4^2)+'LINEST VARS'!$L$56*(0.5^2)+'LINEST VARS'!$K$56*(12.73^2)+'LINEST VARS'!$J$56*($D$56*$B58)+'LINEST VARS'!$I$56*($D$56*4)+'LINEST VARS'!$H$56*($D$56*0.5)+'LINEST VARS'!$G$56*($D$56*12.73)+'LINEST VARS'!$F$56*($B58*4)+'LINEST VARS'!$E$56*($B58*0.5)+'LINEST VARS'!$D$56*($B58*12.73)+'LINEST VARS'!$C$56*(4*0.5)+'LINEST VARS'!$B$56*(4*12.73)+'LINEST VARS'!$A$56*(0.5*12.73)</f>
        <v>2.8400000000000012</v>
      </c>
      <c r="E58" s="51">
        <f>'LINEST VARS'!$U$56+'LINEST VARS'!$T$56*($E$56)+'LINEST VARS'!$S$56*($B58)+'LINEST VARS'!$R$56*(4)+'LINEST VARS'!$Q$56*(0.5)+'LINEST VARS'!$P$56*(12.73)+'LINEST VARS'!$O$56*($E$56^2)+'LINEST VARS'!$N$56*($B58^2)+'LINEST VARS'!$M$56*(4^2)+'LINEST VARS'!$L$56*(0.5^2)+'LINEST VARS'!$K$56*(12.73^2)+'LINEST VARS'!$J$56*($E$56*$B58)+'LINEST VARS'!$I$56*($E$56*4)+'LINEST VARS'!$H$56*($E$56*0.5)+'LINEST VARS'!$G$56*($E$56*12.73)+'LINEST VARS'!$F$56*($B58*4)+'LINEST VARS'!$E$56*($B58*0.5)+'LINEST VARS'!$D$56*($B58*12.73)+'LINEST VARS'!$C$56*(4*0.5)+'LINEST VARS'!$B$56*(4*12.73)+'LINEST VARS'!$A$56*(0.5*12.73)</f>
        <v>2.8400000000000012</v>
      </c>
      <c r="F58" s="51">
        <f>'LINEST VARS'!$U$56+'LINEST VARS'!$T$56*($F$56)+'LINEST VARS'!$S$56*($B58)+'LINEST VARS'!$R$56*(4)+'LINEST VARS'!$Q$56*(0.5)+'LINEST VARS'!$P$56*(12.73)+'LINEST VARS'!$O$56*($F$56^2)+'LINEST VARS'!$N$56*($B58^2)+'LINEST VARS'!$M$56*(4^2)+'LINEST VARS'!$L$56*(0.5^2)+'LINEST VARS'!$K$56*(12.73^2)+'LINEST VARS'!$J$56*($F$56*$B58)+'LINEST VARS'!$I$56*($F$56*4)+'LINEST VARS'!$H$56*($F$56*0.5)+'LINEST VARS'!$G$56*($F$56*12.73)+'LINEST VARS'!$F$56*($B58*4)+'LINEST VARS'!$E$56*($B58*0.5)+'LINEST VARS'!$D$56*($B58*12.73)+'LINEST VARS'!$C$56*(4*0.5)+'LINEST VARS'!$B$56*(4*12.73)+'LINEST VARS'!$A$56*(0.5*12.73)</f>
        <v>2.8400000000000016</v>
      </c>
      <c r="G58" s="51">
        <f>'LINEST VARS'!$U$56+'LINEST VARS'!$T$56*($G$56)+'LINEST VARS'!$S$56*($B58)+'LINEST VARS'!$R$56*(4)+'LINEST VARS'!$Q$56*(0.5)+'LINEST VARS'!$P$56*(12.73)+'LINEST VARS'!$O$56*($G$56^2)+'LINEST VARS'!$N$56*($B58^2)+'LINEST VARS'!$M$56*(4^2)+'LINEST VARS'!$L$56*(0.5^2)+'LINEST VARS'!$K$56*(12.73^2)+'LINEST VARS'!$J$56*($G$56*$B58)+'LINEST VARS'!$I$56*($G$56*4)+'LINEST VARS'!$H$56*($G$56*0.5)+'LINEST VARS'!$G$56*($G$56*12.73)+'LINEST VARS'!$F$56*($B58*4)+'LINEST VARS'!$E$56*($B58*0.5)+'LINEST VARS'!$D$56*($B58*12.73)+'LINEST VARS'!$C$56*(4*0.5)+'LINEST VARS'!$B$56*(4*12.73)+'LINEST VARS'!$A$56*(0.5*12.73)</f>
        <v>2.8400000000000016</v>
      </c>
      <c r="H58" s="51">
        <f>'LINEST VARS'!$U$56+'LINEST VARS'!$T$56*($H$56)+'LINEST VARS'!$S$56*($B58)+'LINEST VARS'!$R$56*(4)+'LINEST VARS'!$Q$56*(0.5)+'LINEST VARS'!$P$56*(12.73)+'LINEST VARS'!$O$56*($H$56^2)+'LINEST VARS'!$N$56*($B58^2)+'LINEST VARS'!$M$56*(4^2)+'LINEST VARS'!$L$56*(0.5^2)+'LINEST VARS'!$K$56*(12.73^2)+'LINEST VARS'!$J$56*($H$56*$B58)+'LINEST VARS'!$I$56*($H$56*4)+'LINEST VARS'!$H$56*($H$56*0.5)+'LINEST VARS'!$G$56*($H$56*12.73)+'LINEST VARS'!$F$56*($B58*4)+'LINEST VARS'!$E$56*($B58*0.5)+'LINEST VARS'!$D$56*($B58*12.73)+'LINEST VARS'!$C$56*(4*0.5)+'LINEST VARS'!$B$56*(4*12.73)+'LINEST VARS'!$A$56*(0.5*12.73)</f>
        <v>2.8400000000000016</v>
      </c>
      <c r="I58" s="51">
        <f>'LINEST VARS'!$U$56+'LINEST VARS'!$T$56*($I$56)+'LINEST VARS'!$S$56*($B58)+'LINEST VARS'!$R$56*(4)+'LINEST VARS'!$Q$56*(0.5)+'LINEST VARS'!$P$56*(12.73)+'LINEST VARS'!$O$56*($I$56^2)+'LINEST VARS'!$N$56*($B58^2)+'LINEST VARS'!$M$56*(4^2)+'LINEST VARS'!$L$56*(0.5^2)+'LINEST VARS'!$K$56*(12.73^2)+'LINEST VARS'!$J$56*($I$56*$B58)+'LINEST VARS'!$I$56*($I$56*4)+'LINEST VARS'!$H$56*($I$56*0.5)+'LINEST VARS'!$G$56*($I$56*12.73)+'LINEST VARS'!$F$56*($B58*4)+'LINEST VARS'!$E$56*($B58*0.5)+'LINEST VARS'!$D$56*($B58*12.73)+'LINEST VARS'!$C$56*(4*0.5)+'LINEST VARS'!$B$56*(4*12.73)+'LINEST VARS'!$A$56*(0.5*12.73)</f>
        <v>2.8400000000000016</v>
      </c>
      <c r="J58" s="51">
        <f>'LINEST VARS'!$U$56+'LINEST VARS'!$T$56*($J$56)+'LINEST VARS'!$S$56*($B58)+'LINEST VARS'!$R$56*(4)+'LINEST VARS'!$Q$56*(0.5)+'LINEST VARS'!$P$56*(12.73)+'LINEST VARS'!$O$56*($J$56^2)+'LINEST VARS'!$N$56*($B58^2)+'LINEST VARS'!$M$56*(4^2)+'LINEST VARS'!$L$56*(0.5^2)+'LINEST VARS'!$K$56*(12.73^2)+'LINEST VARS'!$J$56*($J$56*$B58)+'LINEST VARS'!$I$56*($J$56*4)+'LINEST VARS'!$H$56*($J$56*0.5)+'LINEST VARS'!$G$56*($J$56*12.73)+'LINEST VARS'!$F$56*($B58*4)+'LINEST VARS'!$E$56*($B58*0.5)+'LINEST VARS'!$D$56*($B58*12.73)+'LINEST VARS'!$C$56*(4*0.5)+'LINEST VARS'!$B$56*(4*12.73)+'LINEST VARS'!$A$56*(0.5*12.73)</f>
        <v>2.8400000000000016</v>
      </c>
      <c r="K58" s="51">
        <f>'LINEST VARS'!$U$56+'LINEST VARS'!$T$56*($K$56)+'LINEST VARS'!$S$56*($B58)+'LINEST VARS'!$R$56*(4)+'LINEST VARS'!$Q$56*(0.5)+'LINEST VARS'!$P$56*(12.73)+'LINEST VARS'!$O$56*($K$56^2)+'LINEST VARS'!$N$56*($B58^2)+'LINEST VARS'!$M$56*(4^2)+'LINEST VARS'!$L$56*(0.5^2)+'LINEST VARS'!$K$56*(12.73^2)+'LINEST VARS'!$J$56*($K$56*$B58)+'LINEST VARS'!$I$56*($K$56*4)+'LINEST VARS'!$H$56*($K$56*0.5)+'LINEST VARS'!$G$56*($K$56*12.73)+'LINEST VARS'!$F$56*($B58*4)+'LINEST VARS'!$E$56*($B58*0.5)+'LINEST VARS'!$D$56*($B58*12.73)+'LINEST VARS'!$C$56*(4*0.5)+'LINEST VARS'!$B$56*(4*12.73)+'LINEST VARS'!$A$56*(0.5*12.73)</f>
        <v>2.8400000000000012</v>
      </c>
      <c r="L58" s="51">
        <f>'LINEST VARS'!$U$56+'LINEST VARS'!$T$56*($L$56)+'LINEST VARS'!$S$56*($B58)+'LINEST VARS'!$R$56*(4)+'LINEST VARS'!$Q$56*(0.5)+'LINEST VARS'!$P$56*(12.73)+'LINEST VARS'!$O$56*($L$56^2)+'LINEST VARS'!$N$56*($B58^2)+'LINEST VARS'!$M$56*(4^2)+'LINEST VARS'!$L$56*(0.5^2)+'LINEST VARS'!$K$56*(12.73^2)+'LINEST VARS'!$J$56*($L$56*$B58)+'LINEST VARS'!$I$56*($L$56*4)+'LINEST VARS'!$H$56*($L$56*0.5)+'LINEST VARS'!$G$56*($L$56*12.73)+'LINEST VARS'!$F$56*($B58*4)+'LINEST VARS'!$E$56*($B58*0.5)+'LINEST VARS'!$D$56*($B58*12.73)+'LINEST VARS'!$C$56*(4*0.5)+'LINEST VARS'!$B$56*(4*12.73)+'LINEST VARS'!$A$56*(0.5*12.73)</f>
        <v>2.8400000000000012</v>
      </c>
      <c r="M58" s="51">
        <f>'LINEST VARS'!$U$56+'LINEST VARS'!$T$56*($M$56)+'LINEST VARS'!$S$56*($B58)+'LINEST VARS'!$R$56*(4)+'LINEST VARS'!$Q$56*(0.5)+'LINEST VARS'!$P$56*(12.73)+'LINEST VARS'!$O$56*($M$56^2)+'LINEST VARS'!$N$56*($B58^2)+'LINEST VARS'!$M$56*(4^2)+'LINEST VARS'!$L$56*(0.5^2)+'LINEST VARS'!$K$56*(12.73^2)+'LINEST VARS'!$J$56*($M$56*$B58)+'LINEST VARS'!$I$56*($M$56*4)+'LINEST VARS'!$H$56*($M$56*0.5)+'LINEST VARS'!$G$56*($M$56*12.73)+'LINEST VARS'!$F$56*($B58*4)+'LINEST VARS'!$E$56*($B58*0.5)+'LINEST VARS'!$D$56*($B58*12.73)+'LINEST VARS'!$C$56*(4*0.5)+'LINEST VARS'!$B$56*(4*12.73)+'LINEST VARS'!$A$56*(0.5*12.73)</f>
        <v>2.8400000000000012</v>
      </c>
      <c r="N58" s="51">
        <f>'LINEST VARS'!$U$56+'LINEST VARS'!$T$56*($N$56)+'LINEST VARS'!$S$56*($B58)+'LINEST VARS'!$R$56*(4)+'LINEST VARS'!$Q$56*(0.5)+'LINEST VARS'!$P$56*(12.73)+'LINEST VARS'!$O$56*($N$56^2)+'LINEST VARS'!$N$56*($B58^2)+'LINEST VARS'!$M$56*(4^2)+'LINEST VARS'!$L$56*(0.5^2)+'LINEST VARS'!$K$56*(12.73^2)+'LINEST VARS'!$J$56*($N$56*$B58)+'LINEST VARS'!$I$56*($N$56*4)+'LINEST VARS'!$H$56*($N$56*0.5)+'LINEST VARS'!$G$56*($N$56*12.73)+'LINEST VARS'!$F$56*($B58*4)+'LINEST VARS'!$E$56*($B58*0.5)+'LINEST VARS'!$D$56*($B58*12.73)+'LINEST VARS'!$C$56*(4*0.5)+'LINEST VARS'!$B$56*(4*12.73)+'LINEST VARS'!$A$56*(0.5*12.73)</f>
        <v>2.8400000000000012</v>
      </c>
      <c r="O58" s="51">
        <f>'LINEST VARS'!$U$56+'LINEST VARS'!$T$56*($O$56)+'LINEST VARS'!$S$56*($B58)+'LINEST VARS'!$R$56*(4)+'LINEST VARS'!$Q$56*(0.5)+'LINEST VARS'!$P$56*(12.73)+'LINEST VARS'!$O$56*($O$56^2)+'LINEST VARS'!$N$56*($B58^2)+'LINEST VARS'!$M$56*(4^2)+'LINEST VARS'!$L$56*(0.5^2)+'LINEST VARS'!$K$56*(12.73^2)+'LINEST VARS'!$J$56*($O$56*$B58)+'LINEST VARS'!$I$56*($O$56*4)+'LINEST VARS'!$H$56*($O$56*0.5)+'LINEST VARS'!$G$56*($O$56*12.73)+'LINEST VARS'!$F$56*($B58*4)+'LINEST VARS'!$E$56*($B58*0.5)+'LINEST VARS'!$D$56*($B58*12.73)+'LINEST VARS'!$C$56*(4*0.5)+'LINEST VARS'!$B$56*(4*12.73)+'LINEST VARS'!$A$56*(0.5*12.73)</f>
        <v>2.8400000000000012</v>
      </c>
      <c r="P58" s="51">
        <f>'LINEST VARS'!$U$56+'LINEST VARS'!$T$56*($P$56)+'LINEST VARS'!$S$56*($B58)+'LINEST VARS'!$R$56*(4)+'LINEST VARS'!$Q$56*(0.5)+'LINEST VARS'!$P$56*(12.73)+'LINEST VARS'!$O$56*($P$56^2)+'LINEST VARS'!$N$56*($B58^2)+'LINEST VARS'!$M$56*(4^2)+'LINEST VARS'!$L$56*(0.5^2)+'LINEST VARS'!$K$56*(12.73^2)+'LINEST VARS'!$J$56*($P$56*$B58)+'LINEST VARS'!$I$56*($P$56*4)+'LINEST VARS'!$H$56*($P$56*0.5)+'LINEST VARS'!$G$56*($P$56*12.73)+'LINEST VARS'!$F$56*($B58*4)+'LINEST VARS'!$E$56*($B58*0.5)+'LINEST VARS'!$D$56*($B58*12.73)+'LINEST VARS'!$C$56*(4*0.5)+'LINEST VARS'!$B$56*(4*12.73)+'LINEST VARS'!$A$56*(0.5*12.73)</f>
        <v>2.8400000000000012</v>
      </c>
      <c r="Q58" s="51">
        <f>'LINEST VARS'!$U$56+'LINEST VARS'!$T$56*($Q$56)+'LINEST VARS'!$S$56*($B58)+'LINEST VARS'!$R$56*(4)+'LINEST VARS'!$Q$56*(0.5)+'LINEST VARS'!$P$56*(12.73)+'LINEST VARS'!$O$56*($Q$56^2)+'LINEST VARS'!$N$56*($B58^2)+'LINEST VARS'!$M$56*(4^2)+'LINEST VARS'!$L$56*(0.5^2)+'LINEST VARS'!$K$56*(12.73^2)+'LINEST VARS'!$J$56*($Q$56*$B58)+'LINEST VARS'!$I$56*($Q$56*4)+'LINEST VARS'!$H$56*($Q$56*0.5)+'LINEST VARS'!$G$56*($Q$56*12.73)+'LINEST VARS'!$F$56*($B58*4)+'LINEST VARS'!$E$56*($B58*0.5)+'LINEST VARS'!$D$56*($B58*12.73)+'LINEST VARS'!$C$56*(4*0.5)+'LINEST VARS'!$B$56*(4*12.73)+'LINEST VARS'!$A$56*(0.5*12.73)</f>
        <v>2.8400000000000012</v>
      </c>
      <c r="R58" s="51">
        <f>'LINEST VARS'!$U$56+'LINEST VARS'!$T$56*($R$56)+'LINEST VARS'!$S$56*($B58)+'LINEST VARS'!$R$56*(4)+'LINEST VARS'!$Q$56*(0.5)+'LINEST VARS'!$P$56*(12.73)+'LINEST VARS'!$O$56*($R$56^2)+'LINEST VARS'!$N$56*($B58^2)+'LINEST VARS'!$M$56*(4^2)+'LINEST VARS'!$L$56*(0.5^2)+'LINEST VARS'!$K$56*(12.73^2)+'LINEST VARS'!$J$56*($R$56*$B58)+'LINEST VARS'!$I$56*($R$56*4)+'LINEST VARS'!$H$56*($R$56*0.5)+'LINEST VARS'!$G$56*($R$56*12.73)+'LINEST VARS'!$F$56*($B58*4)+'LINEST VARS'!$E$56*($B58*0.5)+'LINEST VARS'!$D$56*($B58*12.73)+'LINEST VARS'!$C$56*(4*0.5)+'LINEST VARS'!$B$56*(4*12.73)+'LINEST VARS'!$A$56*(0.5*12.73)</f>
        <v>2.8400000000000012</v>
      </c>
      <c r="S58" s="51">
        <f>'LINEST VARS'!$U$56+'LINEST VARS'!$T$56*($S$56)+'LINEST VARS'!$S$56*($B58)+'LINEST VARS'!$R$56*(4)+'LINEST VARS'!$Q$56*(0.5)+'LINEST VARS'!$P$56*(12.73)+'LINEST VARS'!$O$56*($S$56^2)+'LINEST VARS'!$N$56*($B58^2)+'LINEST VARS'!$M$56*(4^2)+'LINEST VARS'!$L$56*(0.5^2)+'LINEST VARS'!$K$56*(12.73^2)+'LINEST VARS'!$J$56*($S$56*$B58)+'LINEST VARS'!$I$56*($S$56*4)+'LINEST VARS'!$H$56*($S$56*0.5)+'LINEST VARS'!$G$56*($S$56*12.73)+'LINEST VARS'!$F$56*($B58*4)+'LINEST VARS'!$E$56*($B58*0.5)+'LINEST VARS'!$D$56*($B58*12.73)+'LINEST VARS'!$C$56*(4*0.5)+'LINEST VARS'!$B$56*(4*12.73)+'LINEST VARS'!$A$56*(0.5*12.73)</f>
        <v>2.8400000000000012</v>
      </c>
      <c r="T58" s="51">
        <f>'LINEST VARS'!$U$56+'LINEST VARS'!$T$56*($T$56)+'LINEST VARS'!$S$56*($B58)+'LINEST VARS'!$R$56*(4)+'LINEST VARS'!$Q$56*(0.5)+'LINEST VARS'!$P$56*(12.73)+'LINEST VARS'!$O$56*($T$56^2)+'LINEST VARS'!$N$56*($B58^2)+'LINEST VARS'!$M$56*(4^2)+'LINEST VARS'!$L$56*(0.5^2)+'LINEST VARS'!$K$56*(12.73^2)+'LINEST VARS'!$J$56*($T$56*$B58)+'LINEST VARS'!$I$56*($T$56*4)+'LINEST VARS'!$H$56*($T$56*0.5)+'LINEST VARS'!$G$56*($T$56*12.73)+'LINEST VARS'!$F$56*($B58*4)+'LINEST VARS'!$E$56*($B58*0.5)+'LINEST VARS'!$D$56*($B58*12.73)+'LINEST VARS'!$C$56*(4*0.5)+'LINEST VARS'!$B$56*(4*12.73)+'LINEST VARS'!$A$56*(0.5*12.73)</f>
        <v>2.8400000000000012</v>
      </c>
      <c r="U58" s="51">
        <f>'LINEST VARS'!$U$56+'LINEST VARS'!$T$56*($U$56)+'LINEST VARS'!$S$56*($B58)+'LINEST VARS'!$R$56*(4)+'LINEST VARS'!$Q$56*(0.5)+'LINEST VARS'!$P$56*(12.73)+'LINEST VARS'!$O$56*($U$56^2)+'LINEST VARS'!$N$56*($B58^2)+'LINEST VARS'!$M$56*(4^2)+'LINEST VARS'!$L$56*(0.5^2)+'LINEST VARS'!$K$56*(12.73^2)+'LINEST VARS'!$J$56*($U$56*$B58)+'LINEST VARS'!$I$56*($U$56*4)+'LINEST VARS'!$H$56*($U$56*0.5)+'LINEST VARS'!$G$56*($U$56*12.73)+'LINEST VARS'!$F$56*($B58*4)+'LINEST VARS'!$E$56*($B58*0.5)+'LINEST VARS'!$D$56*($B58*12.73)+'LINEST VARS'!$C$56*(4*0.5)+'LINEST VARS'!$B$56*(4*12.73)+'LINEST VARS'!$A$56*(0.5*12.73)</f>
        <v>2.8400000000000012</v>
      </c>
      <c r="V58" s="51">
        <f>'LINEST VARS'!$U$56+'LINEST VARS'!$T$56*($V$56)+'LINEST VARS'!$S$56*($B58)+'LINEST VARS'!$R$56*(4)+'LINEST VARS'!$Q$56*(0.5)+'LINEST VARS'!$P$56*(12.73)+'LINEST VARS'!$O$56*($V$56^2)+'LINEST VARS'!$N$56*($B58^2)+'LINEST VARS'!$M$56*(4^2)+'LINEST VARS'!$L$56*(0.5^2)+'LINEST VARS'!$K$56*(12.73^2)+'LINEST VARS'!$J$56*($V$56*$B58)+'LINEST VARS'!$I$56*($V$56*4)+'LINEST VARS'!$H$56*($V$56*0.5)+'LINEST VARS'!$G$56*($V$56*12.73)+'LINEST VARS'!$F$56*($B58*4)+'LINEST VARS'!$E$56*($B58*0.5)+'LINEST VARS'!$D$56*($B58*12.73)+'LINEST VARS'!$C$56*(4*0.5)+'LINEST VARS'!$B$56*(4*12.73)+'LINEST VARS'!$A$56*(0.5*12.73)</f>
        <v>2.8400000000000012</v>
      </c>
      <c r="W58" s="52">
        <f>'LINEST VARS'!$U$56+'LINEST VARS'!$T$56*($W$56)+'LINEST VARS'!$S$56*($B58)+'LINEST VARS'!$R$56*(4)+'LINEST VARS'!$Q$56*(0.5)+'LINEST VARS'!$P$56*(12.73)+'LINEST VARS'!$O$56*($W$56^2)+'LINEST VARS'!$N$56*($B58^2)+'LINEST VARS'!$M$56*(4^2)+'LINEST VARS'!$L$56*(0.5^2)+'LINEST VARS'!$K$56*(12.73^2)+'LINEST VARS'!$J$56*($W$56*$B58)+'LINEST VARS'!$I$56*($W$56*4)+'LINEST VARS'!$H$56*($W$56*0.5)+'LINEST VARS'!$G$56*($W$56*12.73)+'LINEST VARS'!$F$56*($B58*4)+'LINEST VARS'!$E$56*($B58*0.5)+'LINEST VARS'!$D$56*($B58*12.73)+'LINEST VARS'!$C$56*(4*0.5)+'LINEST VARS'!$B$56*(4*12.73)+'LINEST VARS'!$A$56*(0.5*12.73)</f>
        <v>2.8400000000000012</v>
      </c>
      <c r="Z58" s="45">
        <v>7.46</v>
      </c>
      <c r="AA58" s="51">
        <f>'LINEST VARS'!$U$58+'LINEST VARS'!$T$58*($AA$56)+'LINEST VARS'!$S$58*($Z58)+'LINEST VARS'!$R$58*(4)+'LINEST VARS'!$Q$58*(0.5)+'LINEST VARS'!$P$58*(12.73)+'LINEST VARS'!$O$58*($AA$56^2)+'LINEST VARS'!$N$58*($Z58^2)+'LINEST VARS'!$M$58*(4^2)+'LINEST VARS'!$L$58*(0.5^2)+'LINEST VARS'!$K$58*(12.73^2)+'LINEST VARS'!$J$58*($AA$56*$Z58)+'LINEST VARS'!$I$58*($AA$56*4)+'LINEST VARS'!$H$58*($AA$56*0.5)+'LINEST VARS'!$G$58*($AA$56*12.73)+'LINEST VARS'!$F$58*($Z58*4)+'LINEST VARS'!$E$58*($Z58*0.5)+'LINEST VARS'!$D$58*($Z58*12.73)+'LINEST VARS'!$C$58*(4*0.5)+'LINEST VARS'!$B$58*(4*12.73)+'LINEST VARS'!$A$58*(0.5*12.73)</f>
        <v>0.94365000000000032</v>
      </c>
      <c r="AB58" s="51">
        <f>'LINEST VARS'!$U$58+'LINEST VARS'!$T$58*($AB$56)+'LINEST VARS'!$S$58*($Z58)+'LINEST VARS'!$R$58*(4)+'LINEST VARS'!$Q$58*(0.5)+'LINEST VARS'!$P$58*(12.73)+'LINEST VARS'!$O$58*($AB$56^2)+'LINEST VARS'!$N$58*($Z58^2)+'LINEST VARS'!$M$58*(4^2)+'LINEST VARS'!$L$58*(0.5^2)+'LINEST VARS'!$K$58*(12.73^2)+'LINEST VARS'!$J$58*($AB$56*$Z58)+'LINEST VARS'!$I$58*($AB$56*4)+'LINEST VARS'!$H$58*($AB$56*0.5)+'LINEST VARS'!$G$58*($AB$56*12.73)+'LINEST VARS'!$F$58*($Z58*4)+'LINEST VARS'!$E$58*($Z58*0.5)+'LINEST VARS'!$D$58*($Z58*12.73)+'LINEST VARS'!$C$58*(4*0.5)+'LINEST VARS'!$B$58*(4*12.73)+'LINEST VARS'!$A$58*(0.5*12.73)</f>
        <v>0.94365000000000032</v>
      </c>
      <c r="AC58" s="51">
        <f>'LINEST VARS'!$U$58+'LINEST VARS'!$T$58*($AC$56)+'LINEST VARS'!$S$58*($Z58)+'LINEST VARS'!$R$58*(4)+'LINEST VARS'!$Q$58*(0.5)+'LINEST VARS'!$P$58*(12.73)+'LINEST VARS'!$O$58*($AC$56^2)+'LINEST VARS'!$N$58*($Z58^2)+'LINEST VARS'!$M$58*(4^2)+'LINEST VARS'!$L$58*(0.5^2)+'LINEST VARS'!$K$58*(12.73^2)+'LINEST VARS'!$J$58*($AC$56*$Z58)+'LINEST VARS'!$I$58*($AC$56*4)+'LINEST VARS'!$H$58*($AC$56*0.5)+'LINEST VARS'!$G$58*($AC$56*12.73)+'LINEST VARS'!$F$58*($Z58*4)+'LINEST VARS'!$E$58*($Z58*0.5)+'LINEST VARS'!$D$58*($Z58*12.73)+'LINEST VARS'!$C$58*(4*0.5)+'LINEST VARS'!$B$58*(4*12.73)+'LINEST VARS'!$A$58*(0.5*12.73)</f>
        <v>0.94365000000000032</v>
      </c>
      <c r="AD58" s="51">
        <f>'LINEST VARS'!$U$58+'LINEST VARS'!$T$58*($AD$56)+'LINEST VARS'!$S$58*($Z58)+'LINEST VARS'!$R$58*(4)+'LINEST VARS'!$Q$58*(0.5)+'LINEST VARS'!$P$58*(12.73)+'LINEST VARS'!$O$58*($AD$56^2)+'LINEST VARS'!$N$58*($Z58^2)+'LINEST VARS'!$M$58*(4^2)+'LINEST VARS'!$L$58*(0.5^2)+'LINEST VARS'!$K$58*(12.73^2)+'LINEST VARS'!$J$58*($AD$56*$Z58)+'LINEST VARS'!$I$58*($AD$56*4)+'LINEST VARS'!$H$58*($AD$56*0.5)+'LINEST VARS'!$G$58*($AD$56*12.73)+'LINEST VARS'!$F$58*($Z58*4)+'LINEST VARS'!$E$58*($Z58*0.5)+'LINEST VARS'!$D$58*($Z58*12.73)+'LINEST VARS'!$C$58*(4*0.5)+'LINEST VARS'!$B$58*(4*12.73)+'LINEST VARS'!$A$58*(0.5*12.73)</f>
        <v>0.94365000000000032</v>
      </c>
      <c r="AE58" s="51">
        <f>'LINEST VARS'!$U$58+'LINEST VARS'!$T$58*($AE$56)+'LINEST VARS'!$S$58*($Z58)+'LINEST VARS'!$R$58*(4)+'LINEST VARS'!$Q$58*(0.5)+'LINEST VARS'!$P$58*(12.73)+'LINEST VARS'!$O$58*($AE$56^2)+'LINEST VARS'!$N$58*($Z58^2)+'LINEST VARS'!$M$58*(4^2)+'LINEST VARS'!$L$58*(0.5^2)+'LINEST VARS'!$K$58*(12.73^2)+'LINEST VARS'!$J$58*($AE$56*$Z58)+'LINEST VARS'!$I$58*($AE$56*4)+'LINEST VARS'!$H$58*($AE$56*0.5)+'LINEST VARS'!$G$58*($AE$56*12.73)+'LINEST VARS'!$F$58*($Z58*4)+'LINEST VARS'!$E$58*($Z58*0.5)+'LINEST VARS'!$D$58*($Z58*12.73)+'LINEST VARS'!$C$58*(4*0.5)+'LINEST VARS'!$B$58*(4*12.73)+'LINEST VARS'!$A$58*(0.5*12.73)</f>
        <v>0.94365000000000032</v>
      </c>
      <c r="AF58" s="51">
        <f>'LINEST VARS'!$U$58+'LINEST VARS'!$T$58*($AF$56)+'LINEST VARS'!$S$58*($Z58)+'LINEST VARS'!$R$58*(4)+'LINEST VARS'!$Q$58*(0.5)+'LINEST VARS'!$P$58*(12.73)+'LINEST VARS'!$O$58*($AF$56^2)+'LINEST VARS'!$N$58*($Z58^2)+'LINEST VARS'!$M$58*(4^2)+'LINEST VARS'!$L$58*(0.5^2)+'LINEST VARS'!$K$58*(12.73^2)+'LINEST VARS'!$J$58*($AF$56*$Z58)+'LINEST VARS'!$I$58*($AF$56*4)+'LINEST VARS'!$H$58*($AF$56*0.5)+'LINEST VARS'!$G$58*($AF$56*12.73)+'LINEST VARS'!$F$58*($Z58*4)+'LINEST VARS'!$E$58*($Z58*0.5)+'LINEST VARS'!$D$58*($Z58*12.73)+'LINEST VARS'!$C$58*(4*0.5)+'LINEST VARS'!$B$58*(4*12.73)+'LINEST VARS'!$A$58*(0.5*12.73)</f>
        <v>0.94365000000000032</v>
      </c>
      <c r="AG58" s="51">
        <f>'LINEST VARS'!$U$58+'LINEST VARS'!$T$58*($AG$56)+'LINEST VARS'!$S$58*($Z58)+'LINEST VARS'!$R$58*(4)+'LINEST VARS'!$Q$58*(0.5)+'LINEST VARS'!$P$58*(12.73)+'LINEST VARS'!$O$58*($AG$56^2)+'LINEST VARS'!$N$58*($Z58^2)+'LINEST VARS'!$M$58*(4^2)+'LINEST VARS'!$L$58*(0.5^2)+'LINEST VARS'!$K$58*(12.73^2)+'LINEST VARS'!$J$58*($AG$56*$Z58)+'LINEST VARS'!$I$58*($AG$56*4)+'LINEST VARS'!$H$58*($AG$56*0.5)+'LINEST VARS'!$G$58*($AG$56*12.73)+'LINEST VARS'!$F$58*($Z58*4)+'LINEST VARS'!$E$58*($Z58*0.5)+'LINEST VARS'!$D$58*($Z58*12.73)+'LINEST VARS'!$C$58*(4*0.5)+'LINEST VARS'!$B$58*(4*12.73)+'LINEST VARS'!$A$58*(0.5*12.73)</f>
        <v>0.94365000000000032</v>
      </c>
      <c r="AH58" s="51">
        <f>'LINEST VARS'!$U$58+'LINEST VARS'!$T$58*($AH$56)+'LINEST VARS'!$S$58*($Z58)+'LINEST VARS'!$R$58*(4)+'LINEST VARS'!$Q$58*(0.5)+'LINEST VARS'!$P$58*(12.73)+'LINEST VARS'!$O$58*($AH$56^2)+'LINEST VARS'!$N$58*($Z58^2)+'LINEST VARS'!$M$58*(4^2)+'LINEST VARS'!$L$58*(0.5^2)+'LINEST VARS'!$K$58*(12.73^2)+'LINEST VARS'!$J$58*($AH$56*$Z58)+'LINEST VARS'!$I$58*($AH$56*4)+'LINEST VARS'!$H$58*($AH$56*0.5)+'LINEST VARS'!$G$58*($AH$56*12.73)+'LINEST VARS'!$F$58*($Z58*4)+'LINEST VARS'!$E$58*($Z58*0.5)+'LINEST VARS'!$D$58*($Z58*12.73)+'LINEST VARS'!$C$58*(4*0.5)+'LINEST VARS'!$B$58*(4*12.73)+'LINEST VARS'!$A$58*(0.5*12.73)</f>
        <v>0.94365000000000032</v>
      </c>
      <c r="AI58" s="51">
        <f>'LINEST VARS'!$U$58+'LINEST VARS'!$T$58*($AI$56)+'LINEST VARS'!$S$58*($Z58)+'LINEST VARS'!$R$58*(4)+'LINEST VARS'!$Q$58*(0.5)+'LINEST VARS'!$P$58*(12.73)+'LINEST VARS'!$O$58*($AI$56^2)+'LINEST VARS'!$N$58*($Z58^2)+'LINEST VARS'!$M$58*(4^2)+'LINEST VARS'!$L$58*(0.5^2)+'LINEST VARS'!$K$58*(12.73^2)+'LINEST VARS'!$J$58*($AI$56*$Z58)+'LINEST VARS'!$I$58*($AI$56*4)+'LINEST VARS'!$H$58*($AI$56*0.5)+'LINEST VARS'!$G$58*($AI$56*12.73)+'LINEST VARS'!$F$58*($Z58*4)+'LINEST VARS'!$E$58*($Z58*0.5)+'LINEST VARS'!$D$58*($Z58*12.73)+'LINEST VARS'!$C$58*(4*0.5)+'LINEST VARS'!$B$58*(4*12.73)+'LINEST VARS'!$A$58*(0.5*12.73)</f>
        <v>0.94365000000000021</v>
      </c>
      <c r="AJ58" s="51">
        <f>'LINEST VARS'!$U$58+'LINEST VARS'!$T$58*($AJ$56)+'LINEST VARS'!$S$58*($Z58)+'LINEST VARS'!$R$58*(4)+'LINEST VARS'!$Q$58*(0.5)+'LINEST VARS'!$P$58*(12.73)+'LINEST VARS'!$O$58*($AJ$56^2)+'LINEST VARS'!$N$58*($Z58^2)+'LINEST VARS'!$M$58*(4^2)+'LINEST VARS'!$L$58*(0.5^2)+'LINEST VARS'!$K$58*(12.73^2)+'LINEST VARS'!$J$58*($AJ$56*$Z58)+'LINEST VARS'!$I$58*($AJ$56*4)+'LINEST VARS'!$H$58*($AJ$56*0.5)+'LINEST VARS'!$G$58*($AJ$56*12.73)+'LINEST VARS'!$F$58*($Z58*4)+'LINEST VARS'!$E$58*($Z58*0.5)+'LINEST VARS'!$D$58*($Z58*12.73)+'LINEST VARS'!$C$58*(4*0.5)+'LINEST VARS'!$B$58*(4*12.73)+'LINEST VARS'!$A$58*(0.5*12.73)</f>
        <v>0.94365000000000032</v>
      </c>
      <c r="AK58" s="51">
        <f>'LINEST VARS'!$U$58+'LINEST VARS'!$T$58*($AK$56)+'LINEST VARS'!$S$58*($Z58)+'LINEST VARS'!$R$58*(4)+'LINEST VARS'!$Q$58*(0.5)+'LINEST VARS'!$P$58*(12.73)+'LINEST VARS'!$O$58*($AK$56^2)+'LINEST VARS'!$N$58*($Z58^2)+'LINEST VARS'!$M$58*(4^2)+'LINEST VARS'!$L$58*(0.5^2)+'LINEST VARS'!$K$58*(12.73^2)+'LINEST VARS'!$J$58*($AK$56*$Z58)+'LINEST VARS'!$I$58*($AK$56*4)+'LINEST VARS'!$H$58*($AK$56*0.5)+'LINEST VARS'!$G$58*($AK$56*12.73)+'LINEST VARS'!$F$58*($Z58*4)+'LINEST VARS'!$E$58*($Z58*0.5)+'LINEST VARS'!$D$58*($Z58*12.73)+'LINEST VARS'!$C$58*(4*0.5)+'LINEST VARS'!$B$58*(4*12.73)+'LINEST VARS'!$A$58*(0.5*12.73)</f>
        <v>0.94365000000000032</v>
      </c>
      <c r="AL58" s="51">
        <f>'LINEST VARS'!$U$58+'LINEST VARS'!$T$58*($AL$56)+'LINEST VARS'!$S$58*($Z58)+'LINEST VARS'!$R$58*(4)+'LINEST VARS'!$Q$58*(0.5)+'LINEST VARS'!$P$58*(12.73)+'LINEST VARS'!$O$58*($AL$56^2)+'LINEST VARS'!$N$58*($Z58^2)+'LINEST VARS'!$M$58*(4^2)+'LINEST VARS'!$L$58*(0.5^2)+'LINEST VARS'!$K$58*(12.73^2)+'LINEST VARS'!$J$58*($AL$56*$Z58)+'LINEST VARS'!$I$58*($AL$56*4)+'LINEST VARS'!$H$58*($AL$56*0.5)+'LINEST VARS'!$G$58*($AL$56*12.73)+'LINEST VARS'!$F$58*($Z58*4)+'LINEST VARS'!$E$58*($Z58*0.5)+'LINEST VARS'!$D$58*($Z58*12.73)+'LINEST VARS'!$C$58*(4*0.5)+'LINEST VARS'!$B$58*(4*12.73)+'LINEST VARS'!$A$58*(0.5*12.73)</f>
        <v>0.94365000000000032</v>
      </c>
      <c r="AM58" s="51">
        <f>'LINEST VARS'!$U$58+'LINEST VARS'!$T$58*($AM$56)+'LINEST VARS'!$S$58*($Z58)+'LINEST VARS'!$R$58*(4)+'LINEST VARS'!$Q$58*(0.5)+'LINEST VARS'!$P$58*(12.73)+'LINEST VARS'!$O$58*($AM$56^2)+'LINEST VARS'!$N$58*($Z58^2)+'LINEST VARS'!$M$58*(4^2)+'LINEST VARS'!$L$58*(0.5^2)+'LINEST VARS'!$K$58*(12.73^2)+'LINEST VARS'!$J$58*($AM$56*$Z58)+'LINEST VARS'!$I$58*($AM$56*4)+'LINEST VARS'!$H$58*($AM$56*0.5)+'LINEST VARS'!$G$58*($AM$56*12.73)+'LINEST VARS'!$F$58*($Z58*4)+'LINEST VARS'!$E$58*($Z58*0.5)+'LINEST VARS'!$D$58*($Z58*12.73)+'LINEST VARS'!$C$58*(4*0.5)+'LINEST VARS'!$B$58*(4*12.73)+'LINEST VARS'!$A$58*(0.5*12.73)</f>
        <v>0.94365000000000021</v>
      </c>
      <c r="AN58" s="51">
        <f>'LINEST VARS'!$U$58+'LINEST VARS'!$T$58*($AN$56)+'LINEST VARS'!$S$58*($Z58)+'LINEST VARS'!$R$58*(4)+'LINEST VARS'!$Q$58*(0.5)+'LINEST VARS'!$P$58*(12.73)+'LINEST VARS'!$O$58*($AN$56^2)+'LINEST VARS'!$N$58*($Z58^2)+'LINEST VARS'!$M$58*(4^2)+'LINEST VARS'!$L$58*(0.5^2)+'LINEST VARS'!$K$58*(12.73^2)+'LINEST VARS'!$J$58*($AN$56*$Z58)+'LINEST VARS'!$I$58*($AN$56*4)+'LINEST VARS'!$H$58*($AN$56*0.5)+'LINEST VARS'!$G$58*($AN$56*12.73)+'LINEST VARS'!$F$58*($Z58*4)+'LINEST VARS'!$E$58*($Z58*0.5)+'LINEST VARS'!$D$58*($Z58*12.73)+'LINEST VARS'!$C$58*(4*0.5)+'LINEST VARS'!$B$58*(4*12.73)+'LINEST VARS'!$A$58*(0.5*12.73)</f>
        <v>0.94365000000000021</v>
      </c>
      <c r="AO58" s="51">
        <f>'LINEST VARS'!$U$58+'LINEST VARS'!$T$58*($AO$56)+'LINEST VARS'!$S$58*($Z58)+'LINEST VARS'!$R$58*(4)+'LINEST VARS'!$Q$58*(0.5)+'LINEST VARS'!$P$58*(12.73)+'LINEST VARS'!$O$58*($AO$56^2)+'LINEST VARS'!$N$58*($Z58^2)+'LINEST VARS'!$M$58*(4^2)+'LINEST VARS'!$L$58*(0.5^2)+'LINEST VARS'!$K$58*(12.73^2)+'LINEST VARS'!$J$58*($AO$56*$Z58)+'LINEST VARS'!$I$58*($AO$56*4)+'LINEST VARS'!$H$58*($AO$56*0.5)+'LINEST VARS'!$G$58*($AO$56*12.73)+'LINEST VARS'!$F$58*($Z58*4)+'LINEST VARS'!$E$58*($Z58*0.5)+'LINEST VARS'!$D$58*($Z58*12.73)+'LINEST VARS'!$C$58*(4*0.5)+'LINEST VARS'!$B$58*(4*12.73)+'LINEST VARS'!$A$58*(0.5*12.73)</f>
        <v>0.94365000000000021</v>
      </c>
      <c r="AP58" s="51">
        <f>'LINEST VARS'!$U$58+'LINEST VARS'!$T$58*($AP$56)+'LINEST VARS'!$S$58*($Z58)+'LINEST VARS'!$R$58*(4)+'LINEST VARS'!$Q$58*(0.5)+'LINEST VARS'!$P$58*(12.73)+'LINEST VARS'!$O$58*($AP$56^2)+'LINEST VARS'!$N$58*($Z58^2)+'LINEST VARS'!$M$58*(4^2)+'LINEST VARS'!$L$58*(0.5^2)+'LINEST VARS'!$K$58*(12.73^2)+'LINEST VARS'!$J$58*($AP$56*$Z58)+'LINEST VARS'!$I$58*($AP$56*4)+'LINEST VARS'!$H$58*($AP$56*0.5)+'LINEST VARS'!$G$58*($AP$56*12.73)+'LINEST VARS'!$F$58*($Z58*4)+'LINEST VARS'!$E$58*($Z58*0.5)+'LINEST VARS'!$D$58*($Z58*12.73)+'LINEST VARS'!$C$58*(4*0.5)+'LINEST VARS'!$B$58*(4*12.73)+'LINEST VARS'!$A$58*(0.5*12.73)</f>
        <v>0.94365000000000021</v>
      </c>
      <c r="AQ58" s="51">
        <f>'LINEST VARS'!$U$58+'LINEST VARS'!$T$58*($AQ$56)+'LINEST VARS'!$S$58*($Z58)+'LINEST VARS'!$R$58*(4)+'LINEST VARS'!$Q$58*(0.5)+'LINEST VARS'!$P$58*(12.73)+'LINEST VARS'!$O$58*($AQ$56^2)+'LINEST VARS'!$N$58*($Z58^2)+'LINEST VARS'!$M$58*(4^2)+'LINEST VARS'!$L$58*(0.5^2)+'LINEST VARS'!$K$58*(12.73^2)+'LINEST VARS'!$J$58*($AQ$56*$Z58)+'LINEST VARS'!$I$58*($AQ$56*4)+'LINEST VARS'!$H$58*($AQ$56*0.5)+'LINEST VARS'!$G$58*($AQ$56*12.73)+'LINEST VARS'!$F$58*($Z58*4)+'LINEST VARS'!$E$58*($Z58*0.5)+'LINEST VARS'!$D$58*($Z58*12.73)+'LINEST VARS'!$C$58*(4*0.5)+'LINEST VARS'!$B$58*(4*12.73)+'LINEST VARS'!$A$58*(0.5*12.73)</f>
        <v>0.94365000000000021</v>
      </c>
      <c r="AR58" s="51">
        <f>'LINEST VARS'!$U$58+'LINEST VARS'!$T$58*($AR$56)+'LINEST VARS'!$S$58*($Z58)+'LINEST VARS'!$R$58*(4)+'LINEST VARS'!$Q$58*(0.5)+'LINEST VARS'!$P$58*(12.73)+'LINEST VARS'!$O$58*($AR$56^2)+'LINEST VARS'!$N$58*($Z58^2)+'LINEST VARS'!$M$58*(4^2)+'LINEST VARS'!$L$58*(0.5^2)+'LINEST VARS'!$K$58*(12.73^2)+'LINEST VARS'!$J$58*($AR$56*$Z58)+'LINEST VARS'!$I$58*($AR$56*4)+'LINEST VARS'!$H$58*($AR$56*0.5)+'LINEST VARS'!$G$58*($AR$56*12.73)+'LINEST VARS'!$F$58*($Z58*4)+'LINEST VARS'!$E$58*($Z58*0.5)+'LINEST VARS'!$D$58*($Z58*12.73)+'LINEST VARS'!$C$58*(4*0.5)+'LINEST VARS'!$B$58*(4*12.73)+'LINEST VARS'!$A$58*(0.5*12.73)</f>
        <v>0.94365000000000021</v>
      </c>
      <c r="AS58" s="51">
        <f>'LINEST VARS'!$U$58+'LINEST VARS'!$T$58*($AS$56)+'LINEST VARS'!$S$58*($Z58)+'LINEST VARS'!$R$58*(4)+'LINEST VARS'!$Q$58*(0.5)+'LINEST VARS'!$P$58*(12.73)+'LINEST VARS'!$O$58*($AS$56^2)+'LINEST VARS'!$N$58*($Z58^2)+'LINEST VARS'!$M$58*(4^2)+'LINEST VARS'!$L$58*(0.5^2)+'LINEST VARS'!$K$58*(12.73^2)+'LINEST VARS'!$J$58*($AS$56*$Z58)+'LINEST VARS'!$I$58*($AS$56*4)+'LINEST VARS'!$H$58*($AS$56*0.5)+'LINEST VARS'!$G$58*($AS$56*12.73)+'LINEST VARS'!$F$58*($Z58*4)+'LINEST VARS'!$E$58*($Z58*0.5)+'LINEST VARS'!$D$58*($Z58*12.73)+'LINEST VARS'!$C$58*(4*0.5)+'LINEST VARS'!$B$58*(4*12.73)+'LINEST VARS'!$A$58*(0.5*12.73)</f>
        <v>0.94365000000000021</v>
      </c>
      <c r="AT58" s="51">
        <f>'LINEST VARS'!$U$58+'LINEST VARS'!$T$58*($AT$56)+'LINEST VARS'!$S$58*($Z58)+'LINEST VARS'!$R$58*(4)+'LINEST VARS'!$Q$58*(0.5)+'LINEST VARS'!$P$58*(12.73)+'LINEST VARS'!$O$58*($AT$56^2)+'LINEST VARS'!$N$58*($Z58^2)+'LINEST VARS'!$M$58*(4^2)+'LINEST VARS'!$L$58*(0.5^2)+'LINEST VARS'!$K$58*(12.73^2)+'LINEST VARS'!$J$58*($AT$56*$Z58)+'LINEST VARS'!$I$58*($AT$56*4)+'LINEST VARS'!$H$58*($AT$56*0.5)+'LINEST VARS'!$G$58*($AT$56*12.73)+'LINEST VARS'!$F$58*($Z58*4)+'LINEST VARS'!$E$58*($Z58*0.5)+'LINEST VARS'!$D$58*($Z58*12.73)+'LINEST VARS'!$C$58*(4*0.5)+'LINEST VARS'!$B$58*(4*12.73)+'LINEST VARS'!$A$58*(0.5*12.73)</f>
        <v>0.94365000000000032</v>
      </c>
      <c r="AU58" s="52">
        <f>'LINEST VARS'!$U$58+'LINEST VARS'!$T$58*($AU$56)+'LINEST VARS'!$S$58*($Z58)+'LINEST VARS'!$R$58*(4)+'LINEST VARS'!$Q$58*(0.5)+'LINEST VARS'!$P$58*(12.73)+'LINEST VARS'!$O$58*($AU$56^2)+'LINEST VARS'!$N$58*($Z58^2)+'LINEST VARS'!$M$58*(4^2)+'LINEST VARS'!$L$58*(0.5^2)+'LINEST VARS'!$K$58*(12.73^2)+'LINEST VARS'!$J$58*($AU$56*$Z58)+'LINEST VARS'!$I$58*($AU$56*4)+'LINEST VARS'!$H$58*($AU$56*0.5)+'LINEST VARS'!$G$58*($AU$56*12.73)+'LINEST VARS'!$F$58*($Z58*4)+'LINEST VARS'!$E$58*($Z58*0.5)+'LINEST VARS'!$D$58*($Z58*12.73)+'LINEST VARS'!$C$58*(4*0.5)+'LINEST VARS'!$B$58*(4*12.73)+'LINEST VARS'!$A$58*(0.5*12.73)</f>
        <v>0.94365000000000021</v>
      </c>
      <c r="AZ58" s="45">
        <v>0.05</v>
      </c>
      <c r="BA58" s="51">
        <f>'LINEST VARS'!$U$56+'LINEST VARS'!$T$56*(8)+'LINEST VARS'!$S$56*(8)+'LINEST VARS'!$R$56*($BA$56)+'LINEST VARS'!$Q$56*($AZ58)+'LINEST VARS'!$P$56*(12.73)+'LINEST VARS'!$O$56*(8^2)+'LINEST VARS'!$N$56*(8^2)+'LINEST VARS'!$M$56*($BA$56^2)+'LINEST VARS'!$L$56*($AZ58^2)+'LINEST VARS'!$K$56*(12.73^2)+'LINEST VARS'!$J$56*(8*8)+'LINEST VARS'!$I$56*(8*$BA$56)+'LINEST VARS'!$H$56*(8*$AZ58)+'LINEST VARS'!$G$56*(8*12.73)+'LINEST VARS'!$F$56*(8*$BA$56)+'LINEST VARS'!$E$56*(8*$AZ58)+'LINEST VARS'!$D$56*(8*12.73)+'LINEST VARS'!$C$56*($BA$56*$AZ58)+'LINEST VARS'!$B$56*($BA$56*12.73)+'LINEST VARS'!$A$56*($AZ58*12.73)</f>
        <v>2.8000000000000012</v>
      </c>
      <c r="BB58" s="51">
        <f>'LINEST VARS'!$U$56+'LINEST VARS'!$T$56*(8)+'LINEST VARS'!$S$56*(8)+'LINEST VARS'!$R$56*($BB$56)+'LINEST VARS'!$Q$56*($AZ58)+'LINEST VARS'!$P$56*(12.73)+'LINEST VARS'!$O$56*(8^2)+'LINEST VARS'!$N$56*(8^2)+'LINEST VARS'!$M$56*($BB$56^2)+'LINEST VARS'!$L$56*($AZ58^2)+'LINEST VARS'!$K$56*(12.73^2)+'LINEST VARS'!$J$56*(8*8)+'LINEST VARS'!$I$56*(8*$BB$56)+'LINEST VARS'!$H$56*(8*$AZ58)+'LINEST VARS'!$G$56*(8*12.73)+'LINEST VARS'!$F$56*(8*$BB$56)+'LINEST VARS'!$E$56*(8*$AZ58)+'LINEST VARS'!$D$56*(8*12.73)+'LINEST VARS'!$C$56*($BB$56*$AZ58)+'LINEST VARS'!$B$56*($BB$56*12.73)+'LINEST VARS'!$A$56*($AZ58*12.73)</f>
        <v>2.8184000000000013</v>
      </c>
      <c r="BC58" s="51">
        <f>'LINEST VARS'!$U$56+'LINEST VARS'!$T$56*(8)+'LINEST VARS'!$S$56*(8)+'LINEST VARS'!$R$56*($BC$56)+'LINEST VARS'!$Q$56*($AZ58)+'LINEST VARS'!$P$56*(12.73)+'LINEST VARS'!$O$56*(8^2)+'LINEST VARS'!$N$56*(8^2)+'LINEST VARS'!$M$56*($BC$56^2)+'LINEST VARS'!$L$56*($AZ58^2)+'LINEST VARS'!$K$56*(12.73^2)+'LINEST VARS'!$J$56*(8*8)+'LINEST VARS'!$I$56*(8*$BC$56)+'LINEST VARS'!$H$56*(8*$AZ58)+'LINEST VARS'!$G$56*(8*12.73)+'LINEST VARS'!$F$56*(8*$BC$56)+'LINEST VARS'!$E$56*(8*$AZ58)+'LINEST VARS'!$D$56*(8*12.73)+'LINEST VARS'!$C$56*($BC$56*$AZ58)+'LINEST VARS'!$B$56*($BC$56*12.73)+'LINEST VARS'!$A$56*($AZ58*12.73)</f>
        <v>2.833600000000001</v>
      </c>
      <c r="BD58" s="51">
        <f>'LINEST VARS'!$U$56+'LINEST VARS'!$T$56*(8)+'LINEST VARS'!$S$56*(8)+'LINEST VARS'!$R$56*($BD$56)+'LINEST VARS'!$Q$56*($AZ58)+'LINEST VARS'!$P$56*(12.73)+'LINEST VARS'!$O$56*(8^2)+'LINEST VARS'!$N$56*(8^2)+'LINEST VARS'!$M$56*($BD$56^2)+'LINEST VARS'!$L$56*($AZ58^2)+'LINEST VARS'!$K$56*(12.73^2)+'LINEST VARS'!$J$56*(8*8)+'LINEST VARS'!$I$56*(8*$BD$56)+'LINEST VARS'!$H$56*(8*$AZ58)+'LINEST VARS'!$G$56*(8*12.73)+'LINEST VARS'!$F$56*(8*$BD$56)+'LINEST VARS'!$E$56*(8*$AZ58)+'LINEST VARS'!$D$56*(8*12.73)+'LINEST VARS'!$C$56*($BD$56*$AZ58)+'LINEST VARS'!$B$56*($BD$56*12.73)+'LINEST VARS'!$A$56*($AZ58*12.73)</f>
        <v>2.845600000000001</v>
      </c>
      <c r="BE58" s="51">
        <f>'LINEST VARS'!$U$56+'LINEST VARS'!$T$56*(8)+'LINEST VARS'!$S$56*(8)+'LINEST VARS'!$R$56*($BE$56)+'LINEST VARS'!$Q$56*($AZ58)+'LINEST VARS'!$P$56*(12.73)+'LINEST VARS'!$O$56*(8^2)+'LINEST VARS'!$N$56*(8^2)+'LINEST VARS'!$M$56*($BE$56^2)+'LINEST VARS'!$L$56*($AZ58^2)+'LINEST VARS'!$K$56*(12.73^2)+'LINEST VARS'!$J$56*(8*8)+'LINEST VARS'!$I$56*(8*$BE$56)+'LINEST VARS'!$H$56*(8*$AZ58)+'LINEST VARS'!$G$56*(8*12.73)+'LINEST VARS'!$F$56*(8*$BE$56)+'LINEST VARS'!$E$56*(8*$AZ58)+'LINEST VARS'!$D$56*(8*12.73)+'LINEST VARS'!$C$56*($BE$56*$AZ58)+'LINEST VARS'!$B$56*($BE$56*12.73)+'LINEST VARS'!$A$56*($AZ58*12.73)</f>
        <v>2.8544000000000014</v>
      </c>
      <c r="BF58" s="51">
        <f>'LINEST VARS'!$U$56+'LINEST VARS'!$T$56*(8)+'LINEST VARS'!$S$56*(8)+'LINEST VARS'!$R$56*($BF$56)+'LINEST VARS'!$Q$56*($AZ58)+'LINEST VARS'!$P$56*(12.73)+'LINEST VARS'!$O$56*(8^2)+'LINEST VARS'!$N$56*(8^2)+'LINEST VARS'!$M$56*($BF$56^2)+'LINEST VARS'!$L$56*($AZ58^2)+'LINEST VARS'!$K$56*(12.73^2)+'LINEST VARS'!$J$56*(8*8)+'LINEST VARS'!$I$56*(8*$BF$56)+'LINEST VARS'!$H$56*(8*$AZ58)+'LINEST VARS'!$G$56*(8*12.73)+'LINEST VARS'!$F$56*(8*$BF$56)+'LINEST VARS'!$E$56*(8*$AZ58)+'LINEST VARS'!$D$56*(8*12.73)+'LINEST VARS'!$C$56*($BF$56*$AZ58)+'LINEST VARS'!$B$56*($BF$56*12.73)+'LINEST VARS'!$A$56*($AZ58*12.73)</f>
        <v>2.8600000000000012</v>
      </c>
      <c r="BG58" s="51">
        <f>'LINEST VARS'!$U$56+'LINEST VARS'!$T$56*(8)+'LINEST VARS'!$S$56*(8)+'LINEST VARS'!$R$56*($BG$56)+'LINEST VARS'!$Q$56*($AZ58)+'LINEST VARS'!$P$56*(12.73)+'LINEST VARS'!$O$56*(8^2)+'LINEST VARS'!$N$56*(8^2)+'LINEST VARS'!$M$56*($BG$56^2)+'LINEST VARS'!$L$56*($AZ58^2)+'LINEST VARS'!$K$56*(12.73^2)+'LINEST VARS'!$J$56*(8*8)+'LINEST VARS'!$I$56*(8*$BG$56)+'LINEST VARS'!$H$56*(8*$AZ58)+'LINEST VARS'!$G$56*(8*12.73)+'LINEST VARS'!$F$56*(8*$BG$56)+'LINEST VARS'!$E$56*(8*$AZ58)+'LINEST VARS'!$D$56*(8*12.73)+'LINEST VARS'!$C$56*($BG$56*$AZ58)+'LINEST VARS'!$B$56*($BG$56*12.73)+'LINEST VARS'!$A$56*($AZ58*12.73)</f>
        <v>2.8624000000000014</v>
      </c>
      <c r="BH58" s="51">
        <f>'LINEST VARS'!$U$56+'LINEST VARS'!$T$56*(8)+'LINEST VARS'!$S$56*(8)+'LINEST VARS'!$R$56*($BH$56)+'LINEST VARS'!$Q$56*($AZ58)+'LINEST VARS'!$P$56*(12.73)+'LINEST VARS'!$O$56*(8^2)+'LINEST VARS'!$N$56*(8^2)+'LINEST VARS'!$M$56*($BH$56^2)+'LINEST VARS'!$L$56*($AZ58^2)+'LINEST VARS'!$K$56*(12.73^2)+'LINEST VARS'!$J$56*(8*8)+'LINEST VARS'!$I$56*(8*$BH$56)+'LINEST VARS'!$H$56*(8*$AZ58)+'LINEST VARS'!$G$56*(8*12.73)+'LINEST VARS'!$F$56*(8*$BH$56)+'LINEST VARS'!$E$56*(8*$AZ58)+'LINEST VARS'!$D$56*(8*12.73)+'LINEST VARS'!$C$56*($BH$56*$AZ58)+'LINEST VARS'!$B$56*($BH$56*12.73)+'LINEST VARS'!$A$56*($AZ58*12.73)</f>
        <v>2.861600000000001</v>
      </c>
      <c r="BI58" s="51">
        <f>'LINEST VARS'!$U$56+'LINEST VARS'!$T$56*(8)+'LINEST VARS'!$S$56*(8)+'LINEST VARS'!$R$56*($BI$56)+'LINEST VARS'!$Q$56*($AZ58)+'LINEST VARS'!$P$56*(12.73)+'LINEST VARS'!$O$56*(8^2)+'LINEST VARS'!$N$56*(8^2)+'LINEST VARS'!$M$56*($BI$56^2)+'LINEST VARS'!$L$56*($AZ58^2)+'LINEST VARS'!$K$56*(12.73^2)+'LINEST VARS'!$J$56*(8*8)+'LINEST VARS'!$I$56*(8*$BI$56)+'LINEST VARS'!$H$56*(8*$AZ58)+'LINEST VARS'!$G$56*(8*12.73)+'LINEST VARS'!$F$56*(8*$BI$56)+'LINEST VARS'!$E$56*(8*$AZ58)+'LINEST VARS'!$D$56*(8*12.73)+'LINEST VARS'!$C$56*($BI$56*$AZ58)+'LINEST VARS'!$B$56*($BI$56*12.73)+'LINEST VARS'!$A$56*($AZ58*12.73)</f>
        <v>2.857600000000001</v>
      </c>
      <c r="BJ58" s="51">
        <f>'LINEST VARS'!$U$56+'LINEST VARS'!$T$56*(8)+'LINEST VARS'!$S$56*(8)+'LINEST VARS'!$R$56*($BJ$56)+'LINEST VARS'!$Q$56*($AZ58)+'LINEST VARS'!$P$56*(12.73)+'LINEST VARS'!$O$56*(8^2)+'LINEST VARS'!$N$56*(8^2)+'LINEST VARS'!$M$56*($BJ$56^2)+'LINEST VARS'!$L$56*($AZ58^2)+'LINEST VARS'!$K$56*(12.73^2)+'LINEST VARS'!$J$56*(8*8)+'LINEST VARS'!$I$56*(8*$BJ$56)+'LINEST VARS'!$H$56*(8*$AZ58)+'LINEST VARS'!$G$56*(8*12.73)+'LINEST VARS'!$F$56*(8*$BJ$56)+'LINEST VARS'!$E$56*(8*$AZ58)+'LINEST VARS'!$D$56*(8*12.73)+'LINEST VARS'!$C$56*($BJ$56*$AZ58)+'LINEST VARS'!$B$56*($BJ$56*12.73)+'LINEST VARS'!$A$56*($AZ58*12.73)</f>
        <v>2.8504000000000014</v>
      </c>
      <c r="BK58" s="51">
        <f>'LINEST VARS'!$U$56+'LINEST VARS'!$T$56*(8)+'LINEST VARS'!$S$56*(8)+'LINEST VARS'!$R$56*($BK$56)+'LINEST VARS'!$Q$56*($AZ58)+'LINEST VARS'!$P$56*(12.73)+'LINEST VARS'!$O$56*(8^2)+'LINEST VARS'!$N$56*(8^2)+'LINEST VARS'!$M$56*($BK$56^2)+'LINEST VARS'!$L$56*($AZ58^2)+'LINEST VARS'!$K$56*(12.73^2)+'LINEST VARS'!$J$56*(8*8)+'LINEST VARS'!$I$56*(8*$BK$56)+'LINEST VARS'!$H$56*(8*$AZ58)+'LINEST VARS'!$G$56*(8*12.73)+'LINEST VARS'!$F$56*(8*$BK$56)+'LINEST VARS'!$E$56*(8*$AZ58)+'LINEST VARS'!$D$56*(8*12.73)+'LINEST VARS'!$C$56*($BK$56*$AZ58)+'LINEST VARS'!$B$56*($BK$56*12.73)+'LINEST VARS'!$A$56*($AZ58*12.73)</f>
        <v>2.8400000000000012</v>
      </c>
      <c r="BL58" s="51">
        <f>'LINEST VARS'!$U$56+'LINEST VARS'!$T$56*(8)+'LINEST VARS'!$S$56*(8)+'LINEST VARS'!$R$56*($BL$56)+'LINEST VARS'!$Q$56*($AZ58)+'LINEST VARS'!$P$56*(12.73)+'LINEST VARS'!$O$56*(8^2)+'LINEST VARS'!$N$56*(8^2)+'LINEST VARS'!$M$56*($BL$56^2)+'LINEST VARS'!$L$56*($AZ58^2)+'LINEST VARS'!$K$56*(12.73^2)+'LINEST VARS'!$J$56*(8*8)+'LINEST VARS'!$I$56*(8*$BL$56)+'LINEST VARS'!$H$56*(8*$AZ58)+'LINEST VARS'!$G$56*(8*12.73)+'LINEST VARS'!$F$56*(8*$BL$56)+'LINEST VARS'!$E$56*(8*$AZ58)+'LINEST VARS'!$D$56*(8*12.73)+'LINEST VARS'!$C$56*($BL$56*$AZ58)+'LINEST VARS'!$B$56*($BL$56*12.73)+'LINEST VARS'!$A$56*($AZ58*12.73)</f>
        <v>2.8264000000000014</v>
      </c>
      <c r="BM58" s="51">
        <f>'LINEST VARS'!$U$56+'LINEST VARS'!$T$56*(8)+'LINEST VARS'!$S$56*(8)+'LINEST VARS'!$R$56*($BM$56)+'LINEST VARS'!$Q$56*($AZ58)+'LINEST VARS'!$P$56*(12.73)+'LINEST VARS'!$O$56*(8^2)+'LINEST VARS'!$N$56*(8^2)+'LINEST VARS'!$M$56*($BM$56^2)+'LINEST VARS'!$L$56*($AZ58^2)+'LINEST VARS'!$K$56*(12.73^2)+'LINEST VARS'!$J$56*(8*8)+'LINEST VARS'!$I$56*(8*$BM$56)+'LINEST VARS'!$H$56*(8*$AZ58)+'LINEST VARS'!$G$56*(8*12.73)+'LINEST VARS'!$F$56*(8*$BM$56)+'LINEST VARS'!$E$56*(8*$AZ58)+'LINEST VARS'!$D$56*(8*12.73)+'LINEST VARS'!$C$56*($BM$56*$AZ58)+'LINEST VARS'!$B$56*($BM$56*12.73)+'LINEST VARS'!$A$56*($AZ58*12.73)</f>
        <v>2.809600000000001</v>
      </c>
      <c r="BN58" s="51">
        <f>'LINEST VARS'!$U$56+'LINEST VARS'!$T$56*(8)+'LINEST VARS'!$S$56*(8)+'LINEST VARS'!$R$56*($BN$56)+'LINEST VARS'!$Q$56*($AZ58)+'LINEST VARS'!$P$56*(12.73)+'LINEST VARS'!$O$56*(8^2)+'LINEST VARS'!$N$56*(8^2)+'LINEST VARS'!$M$56*($BN$56^2)+'LINEST VARS'!$L$56*($AZ58^2)+'LINEST VARS'!$K$56*(12.73^2)+'LINEST VARS'!$J$56*(8*8)+'LINEST VARS'!$I$56*(8*$BN$56)+'LINEST VARS'!$H$56*(8*$AZ58)+'LINEST VARS'!$G$56*(8*12.73)+'LINEST VARS'!$F$56*(8*$BN$56)+'LINEST VARS'!$E$56*(8*$AZ58)+'LINEST VARS'!$D$56*(8*12.73)+'LINEST VARS'!$C$56*($BN$56*$AZ58)+'LINEST VARS'!$B$56*($BN$56*12.73)+'LINEST VARS'!$A$56*($AZ58*12.73)</f>
        <v>2.789600000000001</v>
      </c>
      <c r="BO58" s="51">
        <f>'LINEST VARS'!$U$56+'LINEST VARS'!$T$56*(8)+'LINEST VARS'!$S$56*(8)+'LINEST VARS'!$R$56*($BO$56)+'LINEST VARS'!$Q$56*($AZ58)+'LINEST VARS'!$P$56*(12.73)+'LINEST VARS'!$O$56*(8^2)+'LINEST VARS'!$N$56*(8^2)+'LINEST VARS'!$M$56*($BO$56^2)+'LINEST VARS'!$L$56*($AZ58^2)+'LINEST VARS'!$K$56*(12.73^2)+'LINEST VARS'!$J$56*(8*8)+'LINEST VARS'!$I$56*(8*$BO$56)+'LINEST VARS'!$H$56*(8*$AZ58)+'LINEST VARS'!$G$56*(8*12.73)+'LINEST VARS'!$F$56*(8*$BO$56)+'LINEST VARS'!$E$56*(8*$AZ58)+'LINEST VARS'!$D$56*(8*12.73)+'LINEST VARS'!$C$56*($BO$56*$AZ58)+'LINEST VARS'!$B$56*($BO$56*12.73)+'LINEST VARS'!$A$56*($AZ58*12.73)</f>
        <v>2.7664000000000013</v>
      </c>
      <c r="BP58" s="51">
        <f>'LINEST VARS'!$U$56+'LINEST VARS'!$T$56*(8)+'LINEST VARS'!$S$56*(8)+'LINEST VARS'!$R$56*($BP$56)+'LINEST VARS'!$Q$56*($AZ58)+'LINEST VARS'!$P$56*(12.73)+'LINEST VARS'!$O$56*(8^2)+'LINEST VARS'!$N$56*(8^2)+'LINEST VARS'!$M$56*($BP$56^2)+'LINEST VARS'!$L$56*($AZ58^2)+'LINEST VARS'!$K$56*(12.73^2)+'LINEST VARS'!$J$56*(8*8)+'LINEST VARS'!$I$56*(8*$BP$56)+'LINEST VARS'!$H$56*(8*$AZ58)+'LINEST VARS'!$G$56*(8*12.73)+'LINEST VARS'!$F$56*(8*$BP$56)+'LINEST VARS'!$E$56*(8*$AZ58)+'LINEST VARS'!$D$56*(8*12.73)+'LINEST VARS'!$C$56*($BP$56*$AZ58)+'LINEST VARS'!$B$56*($BP$56*12.73)+'LINEST VARS'!$A$56*($AZ58*12.73)</f>
        <v>2.7400000000000011</v>
      </c>
      <c r="BQ58" s="51">
        <f>'LINEST VARS'!$U$56+'LINEST VARS'!$T$56*(8)+'LINEST VARS'!$S$56*(8)+'LINEST VARS'!$R$56*($BQ$56)+'LINEST VARS'!$Q$56*($AZ58)+'LINEST VARS'!$P$56*(12.73)+'LINEST VARS'!$O$56*(8^2)+'LINEST VARS'!$N$56*(8^2)+'LINEST VARS'!$M$56*($BQ$56^2)+'LINEST VARS'!$L$56*($AZ58^2)+'LINEST VARS'!$K$56*(12.73^2)+'LINEST VARS'!$J$56*(8*8)+'LINEST VARS'!$I$56*(8*$BQ$56)+'LINEST VARS'!$H$56*(8*$AZ58)+'LINEST VARS'!$G$56*(8*12.73)+'LINEST VARS'!$F$56*(8*$BQ$56)+'LINEST VARS'!$E$56*(8*$AZ58)+'LINEST VARS'!$D$56*(8*12.73)+'LINEST VARS'!$C$56*($BQ$56*$AZ58)+'LINEST VARS'!$B$56*($BQ$56*12.73)+'LINEST VARS'!$A$56*($AZ58*12.73)</f>
        <v>2.7104000000000008</v>
      </c>
      <c r="BR58" s="51">
        <f>'LINEST VARS'!$U$56+'LINEST VARS'!$T$56*(8)+'LINEST VARS'!$S$56*(8)+'LINEST VARS'!$R$56*($BR$56)+'LINEST VARS'!$Q$56*($AZ58)+'LINEST VARS'!$P$56*(12.73)+'LINEST VARS'!$O$56*(8^2)+'LINEST VARS'!$N$56*(8^2)+'LINEST VARS'!$M$56*($BR$56^2)+'LINEST VARS'!$L$56*($AZ58^2)+'LINEST VARS'!$K$56*(12.73^2)+'LINEST VARS'!$J$56*(8*8)+'LINEST VARS'!$I$56*(8*$BR$56)+'LINEST VARS'!$H$56*(8*$AZ58)+'LINEST VARS'!$G$56*(8*12.73)+'LINEST VARS'!$F$56*(8*$BR$56)+'LINEST VARS'!$E$56*(8*$AZ58)+'LINEST VARS'!$D$56*(8*12.73)+'LINEST VARS'!$C$56*($BR$56*$AZ58)+'LINEST VARS'!$B$56*($BR$56*12.73)+'LINEST VARS'!$A$56*($AZ58*12.73)</f>
        <v>2.6776000000000013</v>
      </c>
      <c r="BS58" s="51">
        <f>'LINEST VARS'!$U$56+'LINEST VARS'!$T$56*(8)+'LINEST VARS'!$S$56*(8)+'LINEST VARS'!$R$56*($BS$56)+'LINEST VARS'!$Q$56*($AZ58)+'LINEST VARS'!$P$56*(12.73)+'LINEST VARS'!$O$56*(8^2)+'LINEST VARS'!$N$56*(8^2)+'LINEST VARS'!$M$56*($BS$56^2)+'LINEST VARS'!$L$56*($AZ58^2)+'LINEST VARS'!$K$56*(12.73^2)+'LINEST VARS'!$J$56*(8*8)+'LINEST VARS'!$I$56*(8*$BS$56)+'LINEST VARS'!$H$56*(8*$AZ58)+'LINEST VARS'!$G$56*(8*12.73)+'LINEST VARS'!$F$56*(8*$BS$56)+'LINEST VARS'!$E$56*(8*$AZ58)+'LINEST VARS'!$D$56*(8*12.73)+'LINEST VARS'!$C$56*($BS$56*$AZ58)+'LINEST VARS'!$B$56*($BS$56*12.73)+'LINEST VARS'!$A$56*($AZ58*12.73)</f>
        <v>2.6416000000000008</v>
      </c>
      <c r="BT58" s="51">
        <f>'LINEST VARS'!$U$56+'LINEST VARS'!$T$56*(8)+'LINEST VARS'!$S$56*(8)+'LINEST VARS'!$R$56*($BT$56)+'LINEST VARS'!$Q$56*($AZ58)+'LINEST VARS'!$P$56*(12.73)+'LINEST VARS'!$O$56*(8^2)+'LINEST VARS'!$N$56*(8^2)+'LINEST VARS'!$M$56*($BT$56^2)+'LINEST VARS'!$L$56*($AZ58^2)+'LINEST VARS'!$K$56*(12.73^2)+'LINEST VARS'!$J$56*(8*8)+'LINEST VARS'!$I$56*(8*$BT$56)+'LINEST VARS'!$H$56*(8*$AZ58)+'LINEST VARS'!$G$56*(8*12.73)+'LINEST VARS'!$F$56*(8*$BT$56)+'LINEST VARS'!$E$56*(8*$AZ58)+'LINEST VARS'!$D$56*(8*12.73)+'LINEST VARS'!$C$56*($BT$56*$AZ58)+'LINEST VARS'!$B$56*($BT$56*12.73)+'LINEST VARS'!$A$56*($AZ58*12.73)</f>
        <v>2.6024000000000012</v>
      </c>
      <c r="BU58" s="52">
        <f>'LINEST VARS'!$U$56+'LINEST VARS'!$T$56*(8)+'LINEST VARS'!$S$56*(8)+'LINEST VARS'!$R$56*($BU$56)+'LINEST VARS'!$Q$56*($AZ58)+'LINEST VARS'!$P$56*(12.73)+'LINEST VARS'!$O$56*(8^2)+'LINEST VARS'!$N$56*(8^2)+'LINEST VARS'!$M$56*($BU$56^2)+'LINEST VARS'!$L$56*($AZ58^2)+'LINEST VARS'!$K$56*(12.73^2)+'LINEST VARS'!$J$56*(8*8)+'LINEST VARS'!$I$56*(8*$BU$56)+'LINEST VARS'!$H$56*(8*$AZ58)+'LINEST VARS'!$G$56*(8*12.73)+'LINEST VARS'!$F$56*(8*$BU$56)+'LINEST VARS'!$E$56*(8*$AZ58)+'LINEST VARS'!$D$56*(8*12.73)+'LINEST VARS'!$C$56*($BU$56*$AZ58)+'LINEST VARS'!$B$56*($BU$56*12.73)+'LINEST VARS'!$A$56*($AZ58*12.73)</f>
        <v>2.5600000000000009</v>
      </c>
      <c r="BX58" s="45">
        <v>0.05</v>
      </c>
      <c r="BY58" s="51">
        <f>'LINEST VARS'!$U$58+'LINEST VARS'!$T$58*(8)+'LINEST VARS'!$S$58*(8)+'LINEST VARS'!$R$58*($BY$56)+'LINEST VARS'!$Q$58*($BX58)+'LINEST VARS'!$P$58*(12.73)+'LINEST VARS'!$O$58*(8^2)+'LINEST VARS'!$N$58*(8^2)+'LINEST VARS'!$M$58*($BY$56^2)+'LINEST VARS'!$L$58*($BX58^2)+'LINEST VARS'!$K$58*(12.73^2)+'LINEST VARS'!$J$58*(8*8)+'LINEST VARS'!$I$58*(8*$BY$56)+'LINEST VARS'!$H$58*(8*$BX58)+'LINEST VARS'!$G$58*(8*12.73)+'LINEST VARS'!$F$58*(8*$BY$56)+'LINEST VARS'!$E$58*(8*$BX58)+'LINEST VARS'!$D$58*(8*12.73)+'LINEST VARS'!$C$58*($BY$56*$BX58)+'LINEST VARS'!$B$58*($BY$56*12.73)+'LINEST VARS'!$A$58*($BX58*12.73)</f>
        <v>0.86365000000000036</v>
      </c>
      <c r="BZ58" s="51">
        <f>'LINEST VARS'!$U$58+'LINEST VARS'!$T$58*(8)+'LINEST VARS'!$S$58*(8)+'LINEST VARS'!$R$58*($BZ$56)+'LINEST VARS'!$Q$58*($BX58)+'LINEST VARS'!$P$58*(12.73)+'LINEST VARS'!$O$58*(8^2)+'LINEST VARS'!$N$58*(8^2)+'LINEST VARS'!$M$58*($BZ$56^2)+'LINEST VARS'!$L$58*($BX58^2)+'LINEST VARS'!$K$58*(12.73^2)+'LINEST VARS'!$J$58*(8*8)+'LINEST VARS'!$I$58*(8*$BZ$56)+'LINEST VARS'!$H$58*(8*$BX58)+'LINEST VARS'!$G$58*(8*12.73)+'LINEST VARS'!$F$58*(8*$BZ$56)+'LINEST VARS'!$E$58*(8*$BX58)+'LINEST VARS'!$D$58*(8*12.73)+'LINEST VARS'!$C$58*($BZ$56*$BX58)+'LINEST VARS'!$B$58*($BZ$56*12.73)+'LINEST VARS'!$A$58*($BX58*12.73)</f>
        <v>0.87165000000000037</v>
      </c>
      <c r="CA58" s="51">
        <f>'LINEST VARS'!$U$58+'LINEST VARS'!$T$58*(8)+'LINEST VARS'!$S$58*(8)+'LINEST VARS'!$R$58*($CA$56)+'LINEST VARS'!$Q$58*($BX58)+'LINEST VARS'!$P$58*(12.73)+'LINEST VARS'!$O$58*(8^2)+'LINEST VARS'!$N$58*(8^2)+'LINEST VARS'!$M$58*($CA$56^2)+'LINEST VARS'!$L$58*($BX58^2)+'LINEST VARS'!$K$58*(12.73^2)+'LINEST VARS'!$J$58*(8*8)+'LINEST VARS'!$I$58*(8*$CA$56)+'LINEST VARS'!$H$58*(8*$BX58)+'LINEST VARS'!$G$58*(8*12.73)+'LINEST VARS'!$F$58*(8*$CA$56)+'LINEST VARS'!$E$58*(8*$BX58)+'LINEST VARS'!$D$58*(8*12.73)+'LINEST VARS'!$C$58*($CA$56*$BX58)+'LINEST VARS'!$B$58*($CA$56*12.73)+'LINEST VARS'!$A$58*($BX58*12.73)</f>
        <v>0.87965000000000027</v>
      </c>
      <c r="CB58" s="51">
        <f>'LINEST VARS'!$U$58+'LINEST VARS'!$T$58*(8)+'LINEST VARS'!$S$58*(8)+'LINEST VARS'!$R$58*($CB$56)+'LINEST VARS'!$Q$58*($BX58)+'LINEST VARS'!$P$58*(12.73)+'LINEST VARS'!$O$58*(8^2)+'LINEST VARS'!$N$58*(8^2)+'LINEST VARS'!$M$58*($CB$56^2)+'LINEST VARS'!$L$58*($BX58^2)+'LINEST VARS'!$K$58*(12.73^2)+'LINEST VARS'!$J$58*(8*8)+'LINEST VARS'!$I$58*(8*$CB$56)+'LINEST VARS'!$H$58*(8*$BX58)+'LINEST VARS'!$G$58*(8*12.73)+'LINEST VARS'!$F$58*(8*$CB$56)+'LINEST VARS'!$E$58*(8*$BX58)+'LINEST VARS'!$D$58*(8*12.73)+'LINEST VARS'!$C$58*($CB$56*$BX58)+'LINEST VARS'!$B$58*($CB$56*12.73)+'LINEST VARS'!$A$58*($BX58*12.73)</f>
        <v>0.88765000000000027</v>
      </c>
      <c r="CC58" s="51">
        <f>'LINEST VARS'!$U$58+'LINEST VARS'!$T$58*(8)+'LINEST VARS'!$S$58*(8)+'LINEST VARS'!$R$58*($CC$56)+'LINEST VARS'!$Q$58*($BX58)+'LINEST VARS'!$P$58*(12.73)+'LINEST VARS'!$O$58*(8^2)+'LINEST VARS'!$N$58*(8^2)+'LINEST VARS'!$M$58*($CC$56^2)+'LINEST VARS'!$L$58*($BX58^2)+'LINEST VARS'!$K$58*(12.73^2)+'LINEST VARS'!$J$58*(8*8)+'LINEST VARS'!$I$58*(8*$CC$56)+'LINEST VARS'!$H$58*(8*$BX58)+'LINEST VARS'!$G$58*(8*12.73)+'LINEST VARS'!$F$58*(8*$CC$56)+'LINEST VARS'!$E$58*(8*$BX58)+'LINEST VARS'!$D$58*(8*12.73)+'LINEST VARS'!$C$58*($CC$56*$BX58)+'LINEST VARS'!$B$58*($CC$56*12.73)+'LINEST VARS'!$A$58*($BX58*12.73)</f>
        <v>0.89565000000000017</v>
      </c>
      <c r="CD58" s="51">
        <f>'LINEST VARS'!$U$58+'LINEST VARS'!$T$58*(8)+'LINEST VARS'!$S$58*(8)+'LINEST VARS'!$R$58*($CD$56)+'LINEST VARS'!$Q$58*($BX58)+'LINEST VARS'!$P$58*(12.73)+'LINEST VARS'!$O$58*(8^2)+'LINEST VARS'!$N$58*(8^2)+'LINEST VARS'!$M$58*($CD$56^2)+'LINEST VARS'!$L$58*($BX58^2)+'LINEST VARS'!$K$58*(12.73^2)+'LINEST VARS'!$J$58*(8*8)+'LINEST VARS'!$I$58*(8*$CD$56)+'LINEST VARS'!$H$58*(8*$BX58)+'LINEST VARS'!$G$58*(8*12.73)+'LINEST VARS'!$F$58*(8*$CD$56)+'LINEST VARS'!$E$58*(8*$BX58)+'LINEST VARS'!$D$58*(8*12.73)+'LINEST VARS'!$C$58*($CD$56*$BX58)+'LINEST VARS'!$B$58*($CD$56*12.73)+'LINEST VARS'!$A$58*($BX58*12.73)</f>
        <v>0.90365000000000029</v>
      </c>
      <c r="CE58" s="51">
        <f>'LINEST VARS'!$U$58+'LINEST VARS'!$T$58*(8)+'LINEST VARS'!$S$58*(8)+'LINEST VARS'!$R$58*($CE$56)+'LINEST VARS'!$Q$58*($BX58)+'LINEST VARS'!$P$58*(12.73)+'LINEST VARS'!$O$58*(8^2)+'LINEST VARS'!$N$58*(8^2)+'LINEST VARS'!$M$58*($CE$56^2)+'LINEST VARS'!$L$58*($BX58^2)+'LINEST VARS'!$K$58*(12.73^2)+'LINEST VARS'!$J$58*(8*8)+'LINEST VARS'!$I$58*(8*$CE$56)+'LINEST VARS'!$H$58*(8*$BX58)+'LINEST VARS'!$G$58*(8*12.73)+'LINEST VARS'!$F$58*(8*$CE$56)+'LINEST VARS'!$E$58*(8*$BX58)+'LINEST VARS'!$D$58*(8*12.73)+'LINEST VARS'!$C$58*($CE$56*$BX58)+'LINEST VARS'!$B$58*($CE$56*12.73)+'LINEST VARS'!$A$58*($BX58*12.73)</f>
        <v>0.91165000000000029</v>
      </c>
      <c r="CF58" s="51">
        <f>'LINEST VARS'!$U$58+'LINEST VARS'!$T$58*(8)+'LINEST VARS'!$S$58*(8)+'LINEST VARS'!$R$58*($CF$56)+'LINEST VARS'!$Q$58*($BX58)+'LINEST VARS'!$P$58*(12.73)+'LINEST VARS'!$O$58*(8^2)+'LINEST VARS'!$N$58*(8^2)+'LINEST VARS'!$M$58*($CF$56^2)+'LINEST VARS'!$L$58*($BX58^2)+'LINEST VARS'!$K$58*(12.73^2)+'LINEST VARS'!$J$58*(8*8)+'LINEST VARS'!$I$58*(8*$CF$56)+'LINEST VARS'!$H$58*(8*$BX58)+'LINEST VARS'!$G$58*(8*12.73)+'LINEST VARS'!$F$58*(8*$CF$56)+'LINEST VARS'!$E$58*(8*$BX58)+'LINEST VARS'!$D$58*(8*12.73)+'LINEST VARS'!$C$58*($CF$56*$BX58)+'LINEST VARS'!$B$58*($CF$56*12.73)+'LINEST VARS'!$A$58*($BX58*12.73)</f>
        <v>0.9196500000000003</v>
      </c>
      <c r="CG58" s="51">
        <f>'LINEST VARS'!$U$58+'LINEST VARS'!$T$58*(8)+'LINEST VARS'!$S$58*(8)+'LINEST VARS'!$R$58*($CG$56)+'LINEST VARS'!$Q$58*($BX58)+'LINEST VARS'!$P$58*(12.73)+'LINEST VARS'!$O$58*(8^2)+'LINEST VARS'!$N$58*(8^2)+'LINEST VARS'!$M$58*($CG$56^2)+'LINEST VARS'!$L$58*($BX58^2)+'LINEST VARS'!$K$58*(12.73^2)+'LINEST VARS'!$J$58*(8*8)+'LINEST VARS'!$I$58*(8*$CG$56)+'LINEST VARS'!$H$58*(8*$BX58)+'LINEST VARS'!$G$58*(8*12.73)+'LINEST VARS'!$F$58*(8*$CG$56)+'LINEST VARS'!$E$58*(8*$BX58)+'LINEST VARS'!$D$58*(8*12.73)+'LINEST VARS'!$C$58*($CG$56*$BX58)+'LINEST VARS'!$B$58*($CG$56*12.73)+'LINEST VARS'!$A$58*($BX58*12.73)</f>
        <v>0.92765000000000042</v>
      </c>
      <c r="CH58" s="51">
        <f>'LINEST VARS'!$U$58+'LINEST VARS'!$T$58*(8)+'LINEST VARS'!$S$58*(8)+'LINEST VARS'!$R$58*($CH$56)+'LINEST VARS'!$Q$58*($BX58)+'LINEST VARS'!$P$58*(12.73)+'LINEST VARS'!$O$58*(8^2)+'LINEST VARS'!$N$58*(8^2)+'LINEST VARS'!$M$58*($CH$56^2)+'LINEST VARS'!$L$58*($BX58^2)+'LINEST VARS'!$K$58*(12.73^2)+'LINEST VARS'!$J$58*(8*8)+'LINEST VARS'!$I$58*(8*$CH$56)+'LINEST VARS'!$H$58*(8*$BX58)+'LINEST VARS'!$G$58*(8*12.73)+'LINEST VARS'!$F$58*(8*$CH$56)+'LINEST VARS'!$E$58*(8*$BX58)+'LINEST VARS'!$D$58*(8*12.73)+'LINEST VARS'!$C$58*($CH$56*$BX58)+'LINEST VARS'!$B$58*($CH$56*12.73)+'LINEST VARS'!$A$58*($BX58*12.73)</f>
        <v>0.93565000000000031</v>
      </c>
      <c r="CI58" s="51">
        <f>'LINEST VARS'!$U$58+'LINEST VARS'!$T$58*(8)+'LINEST VARS'!$S$58*(8)+'LINEST VARS'!$R$58*($CI$56)+'LINEST VARS'!$Q$58*($BX58)+'LINEST VARS'!$P$58*(12.73)+'LINEST VARS'!$O$58*(8^2)+'LINEST VARS'!$N$58*(8^2)+'LINEST VARS'!$M$58*($CI$56^2)+'LINEST VARS'!$L$58*($BX58^2)+'LINEST VARS'!$K$58*(12.73^2)+'LINEST VARS'!$J$58*(8*8)+'LINEST VARS'!$I$58*(8*$CI$56)+'LINEST VARS'!$H$58*(8*$BX58)+'LINEST VARS'!$G$58*(8*12.73)+'LINEST VARS'!$F$58*(8*$CI$56)+'LINEST VARS'!$E$58*(8*$BX58)+'LINEST VARS'!$D$58*(8*12.73)+'LINEST VARS'!$C$58*($CI$56*$BX58)+'LINEST VARS'!$B$58*($CI$56*12.73)+'LINEST VARS'!$A$58*($BX58*12.73)</f>
        <v>0.94365000000000032</v>
      </c>
      <c r="CJ58" s="51">
        <f>'LINEST VARS'!$U$58+'LINEST VARS'!$T$58*(8)+'LINEST VARS'!$S$58*(8)+'LINEST VARS'!$R$58*($CJ$56)+'LINEST VARS'!$Q$58*($BX58)+'LINEST VARS'!$P$58*(12.73)+'LINEST VARS'!$O$58*(8^2)+'LINEST VARS'!$N$58*(8^2)+'LINEST VARS'!$M$58*($CJ$56^2)+'LINEST VARS'!$L$58*($BX58^2)+'LINEST VARS'!$K$58*(12.73^2)+'LINEST VARS'!$J$58*(8*8)+'LINEST VARS'!$I$58*(8*$CJ$56)+'LINEST VARS'!$H$58*(8*$BX58)+'LINEST VARS'!$G$58*(8*12.73)+'LINEST VARS'!$F$58*(8*$CJ$56)+'LINEST VARS'!$E$58*(8*$BX58)+'LINEST VARS'!$D$58*(8*12.73)+'LINEST VARS'!$C$58*($CJ$56*$BX58)+'LINEST VARS'!$B$58*($CJ$56*12.73)+'LINEST VARS'!$A$58*($BX58*12.73)</f>
        <v>0.95165000000000022</v>
      </c>
      <c r="CK58" s="51">
        <f>'LINEST VARS'!$U$58+'LINEST VARS'!$T$58*(8)+'LINEST VARS'!$S$58*(8)+'LINEST VARS'!$R$58*($CK$56)+'LINEST VARS'!$Q$58*($BX58)+'LINEST VARS'!$P$58*(12.73)+'LINEST VARS'!$O$58*(8^2)+'LINEST VARS'!$N$58*(8^2)+'LINEST VARS'!$M$58*($CK$56^2)+'LINEST VARS'!$L$58*($BX58^2)+'LINEST VARS'!$K$58*(12.73^2)+'LINEST VARS'!$J$58*(8*8)+'LINEST VARS'!$I$58*(8*$CK$56)+'LINEST VARS'!$H$58*(8*$BX58)+'LINEST VARS'!$G$58*(8*12.73)+'LINEST VARS'!$F$58*(8*$CK$56)+'LINEST VARS'!$E$58*(8*$BX58)+'LINEST VARS'!$D$58*(8*12.73)+'LINEST VARS'!$C$58*($CK$56*$BX58)+'LINEST VARS'!$B$58*($CK$56*12.73)+'LINEST VARS'!$A$58*($BX58*12.73)</f>
        <v>0.95965000000000023</v>
      </c>
      <c r="CL58" s="51">
        <f>'LINEST VARS'!$U$58+'LINEST VARS'!$T$58*(8)+'LINEST VARS'!$S$58*(8)+'LINEST VARS'!$R$58*($CL$56)+'LINEST VARS'!$Q$58*($BX58)+'LINEST VARS'!$P$58*(12.73)+'LINEST VARS'!$O$58*(8^2)+'LINEST VARS'!$N$58*(8^2)+'LINEST VARS'!$M$58*($CL$56^2)+'LINEST VARS'!$L$58*($BX58^2)+'LINEST VARS'!$K$58*(12.73^2)+'LINEST VARS'!$J$58*(8*8)+'LINEST VARS'!$I$58*(8*$CL$56)+'LINEST VARS'!$H$58*(8*$BX58)+'LINEST VARS'!$G$58*(8*12.73)+'LINEST VARS'!$F$58*(8*$CL$56)+'LINEST VARS'!$E$58*(8*$BX58)+'LINEST VARS'!$D$58*(8*12.73)+'LINEST VARS'!$C$58*($CL$56*$BX58)+'LINEST VARS'!$B$58*($CL$56*12.73)+'LINEST VARS'!$A$58*($BX58*12.73)</f>
        <v>0.96765000000000012</v>
      </c>
      <c r="CM58" s="51">
        <f>'LINEST VARS'!$U$58+'LINEST VARS'!$T$58*(8)+'LINEST VARS'!$S$58*(8)+'LINEST VARS'!$R$58*($CM$56)+'LINEST VARS'!$Q$58*($BX58)+'LINEST VARS'!$P$58*(12.73)+'LINEST VARS'!$O$58*(8^2)+'LINEST VARS'!$N$58*(8^2)+'LINEST VARS'!$M$58*($CM$56^2)+'LINEST VARS'!$L$58*($BX58^2)+'LINEST VARS'!$K$58*(12.73^2)+'LINEST VARS'!$J$58*(8*8)+'LINEST VARS'!$I$58*(8*$CM$56)+'LINEST VARS'!$H$58*(8*$BX58)+'LINEST VARS'!$G$58*(8*12.73)+'LINEST VARS'!$F$58*(8*$CM$56)+'LINEST VARS'!$E$58*(8*$BX58)+'LINEST VARS'!$D$58*(8*12.73)+'LINEST VARS'!$C$58*($CM$56*$BX58)+'LINEST VARS'!$B$58*($CM$56*12.73)+'LINEST VARS'!$A$58*($BX58*12.73)</f>
        <v>0.97565000000000024</v>
      </c>
      <c r="CN58" s="51">
        <f>'LINEST VARS'!$U$58+'LINEST VARS'!$T$58*(8)+'LINEST VARS'!$S$58*(8)+'LINEST VARS'!$R$58*($CN$56)+'LINEST VARS'!$Q$58*($BX58)+'LINEST VARS'!$P$58*(12.73)+'LINEST VARS'!$O$58*(8^2)+'LINEST VARS'!$N$58*(8^2)+'LINEST VARS'!$M$58*($CN$56^2)+'LINEST VARS'!$L$58*($BX58^2)+'LINEST VARS'!$K$58*(12.73^2)+'LINEST VARS'!$J$58*(8*8)+'LINEST VARS'!$I$58*(8*$CN$56)+'LINEST VARS'!$H$58*(8*$BX58)+'LINEST VARS'!$G$58*(8*12.73)+'LINEST VARS'!$F$58*(8*$CN$56)+'LINEST VARS'!$E$58*(8*$BX58)+'LINEST VARS'!$D$58*(8*12.73)+'LINEST VARS'!$C$58*($CN$56*$BX58)+'LINEST VARS'!$B$58*($CN$56*12.73)+'LINEST VARS'!$A$58*($BX58*12.73)</f>
        <v>0.98365000000000025</v>
      </c>
      <c r="CO58" s="51">
        <f>'LINEST VARS'!$U$58+'LINEST VARS'!$T$58*(8)+'LINEST VARS'!$S$58*(8)+'LINEST VARS'!$R$58*($CO$56)+'LINEST VARS'!$Q$58*($BX58)+'LINEST VARS'!$P$58*(12.73)+'LINEST VARS'!$O$58*(8^2)+'LINEST VARS'!$N$58*(8^2)+'LINEST VARS'!$M$58*($CO$56^2)+'LINEST VARS'!$L$58*($BX58^2)+'LINEST VARS'!$K$58*(12.73^2)+'LINEST VARS'!$J$58*(8*8)+'LINEST VARS'!$I$58*(8*$CO$56)+'LINEST VARS'!$H$58*(8*$BX58)+'LINEST VARS'!$G$58*(8*12.73)+'LINEST VARS'!$F$58*(8*$CO$56)+'LINEST VARS'!$E$58*(8*$BX58)+'LINEST VARS'!$D$58*(8*12.73)+'LINEST VARS'!$C$58*($CO$56*$BX58)+'LINEST VARS'!$B$58*($CO$56*12.73)+'LINEST VARS'!$A$58*($BX58*12.73)</f>
        <v>0.99165000000000036</v>
      </c>
      <c r="CP58" s="51">
        <f>'LINEST VARS'!$U$58+'LINEST VARS'!$T$58*(8)+'LINEST VARS'!$S$58*(8)+'LINEST VARS'!$R$58*($CP$56)+'LINEST VARS'!$Q$58*($BX58)+'LINEST VARS'!$P$58*(12.73)+'LINEST VARS'!$O$58*(8^2)+'LINEST VARS'!$N$58*(8^2)+'LINEST VARS'!$M$58*($CP$56^2)+'LINEST VARS'!$L$58*($BX58^2)+'LINEST VARS'!$K$58*(12.73^2)+'LINEST VARS'!$J$58*(8*8)+'LINEST VARS'!$I$58*(8*$CP$56)+'LINEST VARS'!$H$58*(8*$BX58)+'LINEST VARS'!$G$58*(8*12.73)+'LINEST VARS'!$F$58*(8*$CP$56)+'LINEST VARS'!$E$58*(8*$BX58)+'LINEST VARS'!$D$58*(8*12.73)+'LINEST VARS'!$C$58*($CP$56*$BX58)+'LINEST VARS'!$B$58*($CP$56*12.73)+'LINEST VARS'!$A$58*($BX58*12.73)</f>
        <v>0.99965000000000037</v>
      </c>
      <c r="CQ58" s="51">
        <f>'LINEST VARS'!$U$58+'LINEST VARS'!$T$58*(8)+'LINEST VARS'!$S$58*(8)+'LINEST VARS'!$R$58*($CQ$56)+'LINEST VARS'!$Q$58*($BX58)+'LINEST VARS'!$P$58*(12.73)+'LINEST VARS'!$O$58*(8^2)+'LINEST VARS'!$N$58*(8^2)+'LINEST VARS'!$M$58*($CQ$56^2)+'LINEST VARS'!$L$58*($BX58^2)+'LINEST VARS'!$K$58*(12.73^2)+'LINEST VARS'!$J$58*(8*8)+'LINEST VARS'!$I$58*(8*$CQ$56)+'LINEST VARS'!$H$58*(8*$BX58)+'LINEST VARS'!$G$58*(8*12.73)+'LINEST VARS'!$F$58*(8*$CQ$56)+'LINEST VARS'!$E$58*(8*$BX58)+'LINEST VARS'!$D$58*(8*12.73)+'LINEST VARS'!$C$58*($CQ$56*$BX58)+'LINEST VARS'!$B$58*($CQ$56*12.73)+'LINEST VARS'!$A$58*($BX58*12.73)</f>
        <v>1.0076500000000002</v>
      </c>
      <c r="CR58" s="51">
        <f>'LINEST VARS'!$U$58+'LINEST VARS'!$T$58*(8)+'LINEST VARS'!$S$58*(8)+'LINEST VARS'!$R$58*($CR$56)+'LINEST VARS'!$Q$58*($BX58)+'LINEST VARS'!$P$58*(12.73)+'LINEST VARS'!$O$58*(8^2)+'LINEST VARS'!$N$58*(8^2)+'LINEST VARS'!$M$58*($CR$56^2)+'LINEST VARS'!$L$58*($BX58^2)+'LINEST VARS'!$K$58*(12.73^2)+'LINEST VARS'!$J$58*(8*8)+'LINEST VARS'!$I$58*(8*$CR$56)+'LINEST VARS'!$H$58*(8*$BX58)+'LINEST VARS'!$G$58*(8*12.73)+'LINEST VARS'!$F$58*(8*$CR$56)+'LINEST VARS'!$E$58*(8*$BX58)+'LINEST VARS'!$D$58*(8*12.73)+'LINEST VARS'!$C$58*($CR$56*$BX58)+'LINEST VARS'!$B$58*($CR$56*12.73)+'LINEST VARS'!$A$58*($BX58*12.73)</f>
        <v>1.0156499999999999</v>
      </c>
      <c r="CS58" s="52">
        <f>'LINEST VARS'!$U$58+'LINEST VARS'!$T$58*(8)+'LINEST VARS'!$S$58*(8)+'LINEST VARS'!$R$58*($CS$56)+'LINEST VARS'!$Q$58*($BX58)+'LINEST VARS'!$P$58*(12.73)+'LINEST VARS'!$O$58*(8^2)+'LINEST VARS'!$N$58*(8^2)+'LINEST VARS'!$M$58*($CS$56^2)+'LINEST VARS'!$L$58*($BX58^2)+'LINEST VARS'!$K$58*(12.73^2)+'LINEST VARS'!$J$58*(8*8)+'LINEST VARS'!$I$58*(8*$CS$56)+'LINEST VARS'!$H$58*(8*$BX58)+'LINEST VARS'!$G$58*(8*12.73)+'LINEST VARS'!$F$58*(8*$CS$56)+'LINEST VARS'!$E$58*(8*$BX58)+'LINEST VARS'!$D$58*(8*12.73)+'LINEST VARS'!$C$58*($CS$56*$BX58)+'LINEST VARS'!$B$58*($CS$56*12.73)+'LINEST VARS'!$A$58*($BX58*12.73)</f>
        <v>1.0236500000000002</v>
      </c>
      <c r="CX58" s="45">
        <v>1.2995000000000001</v>
      </c>
      <c r="CY58" s="51">
        <f>'LINEST VARS'!$U$56+'LINEST VARS'!$T$56*(8)+'LINEST VARS'!$S$56*(8)+'LINEST VARS'!$R$56*($CY$56)+'LINEST VARS'!$Q$56*(0.5)+'LINEST VARS'!$P$56*($CX58)+'LINEST VARS'!$O$56*(8^2)+'LINEST VARS'!$N$56*(8^2)+'LINEST VARS'!$M$56*($CY$56^2)+'LINEST VARS'!$L$56*(0.5^2)+'LINEST VARS'!$K$56*($CX58^2)+'LINEST VARS'!$J$56*(8*8)+'LINEST VARS'!$I$56*(8*$CY$56)+'LINEST VARS'!$H$56*(8*0.5)+'LINEST VARS'!$G$56*(8*$CX58)+'LINEST VARS'!$F$56*(8*$CY$56)+'LINEST VARS'!$E$56*(8*0.5)+'LINEST VARS'!$D$56*(8*$CX58)+'LINEST VARS'!$C$56*($CY$56*0.5)+'LINEST VARS'!$B$56*($CY$56*$CX58)+'LINEST VARS'!$A$56*(0.5*$CX58)</f>
        <v>2.8000000000000007</v>
      </c>
      <c r="CZ58" s="51">
        <f>'LINEST VARS'!$U$56+'LINEST VARS'!$T$56*(8)+'LINEST VARS'!$S$56*(8)+'LINEST VARS'!$R$56*($CZ$56)+'LINEST VARS'!$Q$56*(0.5)+'LINEST VARS'!$P$56*($CX58)+'LINEST VARS'!$O$56*(8^2)+'LINEST VARS'!$N$56*(8^2)+'LINEST VARS'!$M$56*($CZ$56^2)+'LINEST VARS'!$L$56*(0.5^2)+'LINEST VARS'!$K$56*($CX58^2)+'LINEST VARS'!$J$56*(8*8)+'LINEST VARS'!$I$56*(8*$CZ$56)+'LINEST VARS'!$H$56*(8*0.5)+'LINEST VARS'!$G$56*(8*$CX58)+'LINEST VARS'!$F$56*(8*$CZ$56)+'LINEST VARS'!$E$56*(8*0.5)+'LINEST VARS'!$D$56*(8*$CX58)+'LINEST VARS'!$C$56*($CZ$56*0.5)+'LINEST VARS'!$B$56*($CZ$56*$CX58)+'LINEST VARS'!$A$56*(0.5*$CX58)</f>
        <v>2.8184000000000009</v>
      </c>
      <c r="DA58" s="51">
        <f>'LINEST VARS'!$U$56+'LINEST VARS'!$T$56*(8)+'LINEST VARS'!$S$56*(8)+'LINEST VARS'!$R$56*($DA$56)+'LINEST VARS'!$Q$56*(0.5)+'LINEST VARS'!$P$56*($CX58)+'LINEST VARS'!$O$56*(8^2)+'LINEST VARS'!$N$56*(8^2)+'LINEST VARS'!$M$56*($DA$56^2)+'LINEST VARS'!$L$56*(0.5^2)+'LINEST VARS'!$K$56*($CX58^2)+'LINEST VARS'!$J$56*(8*8)+'LINEST VARS'!$I$56*(8*$DA$56)+'LINEST VARS'!$H$56*(8*0.5)+'LINEST VARS'!$G$56*(8*$CX58)+'LINEST VARS'!$F$56*(8*$DA$56)+'LINEST VARS'!$E$56*(8*0.5)+'LINEST VARS'!$D$56*(8*$CX58)+'LINEST VARS'!$C$56*($DA$56*0.5)+'LINEST VARS'!$B$56*($DA$56*$CX58)+'LINEST VARS'!$A$56*(0.5*$CX58)</f>
        <v>2.8336000000000006</v>
      </c>
      <c r="DB58" s="51">
        <f>'LINEST VARS'!$U$56+'LINEST VARS'!$T$56*(8)+'LINEST VARS'!$S$56*(8)+'LINEST VARS'!$R$56*($DB$56)+'LINEST VARS'!$Q$56*(0.5)+'LINEST VARS'!$P$56*($CX58)+'LINEST VARS'!$O$56*(8^2)+'LINEST VARS'!$N$56*(8^2)+'LINEST VARS'!$M$56*($DB$56^2)+'LINEST VARS'!$L$56*(0.5^2)+'LINEST VARS'!$K$56*($CX58^2)+'LINEST VARS'!$J$56*(8*8)+'LINEST VARS'!$I$56*(8*$DB$56)+'LINEST VARS'!$H$56*(8*0.5)+'LINEST VARS'!$G$56*(8*$CX58)+'LINEST VARS'!$F$56*(8*$DB$56)+'LINEST VARS'!$E$56*(8*0.5)+'LINEST VARS'!$D$56*(8*$CX58)+'LINEST VARS'!$C$56*($DB$56*0.5)+'LINEST VARS'!$B$56*($DB$56*$CX58)+'LINEST VARS'!$A$56*(0.5*$CX58)</f>
        <v>2.8456000000000006</v>
      </c>
      <c r="DC58" s="51">
        <f>'LINEST VARS'!$U$56+'LINEST VARS'!$T$56*(8)+'LINEST VARS'!$S$56*(8)+'LINEST VARS'!$R$56*($DC$56)+'LINEST VARS'!$Q$56*(0.5)+'LINEST VARS'!$P$56*($CX58)+'LINEST VARS'!$O$56*(8^2)+'LINEST VARS'!$N$56*(8^2)+'LINEST VARS'!$M$56*($DC$56^2)+'LINEST VARS'!$L$56*(0.5^2)+'LINEST VARS'!$K$56*($CX58^2)+'LINEST VARS'!$J$56*(8*8)+'LINEST VARS'!$I$56*(8*$DC$56)+'LINEST VARS'!$H$56*(8*0.5)+'LINEST VARS'!$G$56*(8*$CX58)+'LINEST VARS'!$F$56*(8*$DC$56)+'LINEST VARS'!$E$56*(8*0.5)+'LINEST VARS'!$D$56*(8*$CX58)+'LINEST VARS'!$C$56*($DC$56*0.5)+'LINEST VARS'!$B$56*($DC$56*$CX58)+'LINEST VARS'!$A$56*(0.5*$CX58)</f>
        <v>2.8544000000000009</v>
      </c>
      <c r="DD58" s="51">
        <f>'LINEST VARS'!$U$56+'LINEST VARS'!$T$56*(8)+'LINEST VARS'!$S$56*(8)+'LINEST VARS'!$R$56*($DD$56)+'LINEST VARS'!$Q$56*(0.5)+'LINEST VARS'!$P$56*($CX58)+'LINEST VARS'!$O$56*(8^2)+'LINEST VARS'!$N$56*(8^2)+'LINEST VARS'!$M$56*($DD$56^2)+'LINEST VARS'!$L$56*(0.5^2)+'LINEST VARS'!$K$56*($CX58^2)+'LINEST VARS'!$J$56*(8*8)+'LINEST VARS'!$I$56*(8*$DD$56)+'LINEST VARS'!$H$56*(8*0.5)+'LINEST VARS'!$G$56*(8*$CX58)+'LINEST VARS'!$F$56*(8*$DD$56)+'LINEST VARS'!$E$56*(8*0.5)+'LINEST VARS'!$D$56*(8*$CX58)+'LINEST VARS'!$C$56*($DD$56*0.5)+'LINEST VARS'!$B$56*($DD$56*$CX58)+'LINEST VARS'!$A$56*(0.5*$CX58)</f>
        <v>2.8600000000000008</v>
      </c>
      <c r="DE58" s="51">
        <f>'LINEST VARS'!$U$56+'LINEST VARS'!$T$56*(8)+'LINEST VARS'!$S$56*(8)+'LINEST VARS'!$R$56*($DE$56)+'LINEST VARS'!$Q$56*(0.5)+'LINEST VARS'!$P$56*($CX58)+'LINEST VARS'!$O$56*(8^2)+'LINEST VARS'!$N$56*(8^2)+'LINEST VARS'!$M$56*($DE$56^2)+'LINEST VARS'!$L$56*(0.5^2)+'LINEST VARS'!$K$56*($CX58^2)+'LINEST VARS'!$J$56*(8*8)+'LINEST VARS'!$I$56*(8*$DE$56)+'LINEST VARS'!$H$56*(8*0.5)+'LINEST VARS'!$G$56*(8*$CX58)+'LINEST VARS'!$F$56*(8*$DE$56)+'LINEST VARS'!$E$56*(8*0.5)+'LINEST VARS'!$D$56*(8*$CX58)+'LINEST VARS'!$C$56*($DE$56*0.5)+'LINEST VARS'!$B$56*($DE$56*$CX58)+'LINEST VARS'!$A$56*(0.5*$CX58)</f>
        <v>2.8624000000000009</v>
      </c>
      <c r="DF58" s="51">
        <f>'LINEST VARS'!$U$56+'LINEST VARS'!$T$56*(8)+'LINEST VARS'!$S$56*(8)+'LINEST VARS'!$R$56*($DF$56)+'LINEST VARS'!$Q$56*(0.5)+'LINEST VARS'!$P$56*($CX58)+'LINEST VARS'!$O$56*(8^2)+'LINEST VARS'!$N$56*(8^2)+'LINEST VARS'!$M$56*($DF$56^2)+'LINEST VARS'!$L$56*(0.5^2)+'LINEST VARS'!$K$56*($CX58^2)+'LINEST VARS'!$J$56*(8*8)+'LINEST VARS'!$I$56*(8*$DF$56)+'LINEST VARS'!$H$56*(8*0.5)+'LINEST VARS'!$G$56*(8*$CX58)+'LINEST VARS'!$F$56*(8*$DF$56)+'LINEST VARS'!$E$56*(8*0.5)+'LINEST VARS'!$D$56*(8*$CX58)+'LINEST VARS'!$C$56*($DF$56*0.5)+'LINEST VARS'!$B$56*($DF$56*$CX58)+'LINEST VARS'!$A$56*(0.5*$CX58)</f>
        <v>2.8616000000000006</v>
      </c>
      <c r="DG58" s="51">
        <f>'LINEST VARS'!$U$56+'LINEST VARS'!$T$56*(8)+'LINEST VARS'!$S$56*(8)+'LINEST VARS'!$R$56*($DG$56)+'LINEST VARS'!$Q$56*(0.5)+'LINEST VARS'!$P$56*($CX58)+'LINEST VARS'!$O$56*(8^2)+'LINEST VARS'!$N$56*(8^2)+'LINEST VARS'!$M$56*($DG$56^2)+'LINEST VARS'!$L$56*(0.5^2)+'LINEST VARS'!$K$56*($CX58^2)+'LINEST VARS'!$J$56*(8*8)+'LINEST VARS'!$I$56*(8*$DG$56)+'LINEST VARS'!$H$56*(8*0.5)+'LINEST VARS'!$G$56*(8*$CX58)+'LINEST VARS'!$F$56*(8*$DG$56)+'LINEST VARS'!$E$56*(8*0.5)+'LINEST VARS'!$D$56*(8*$CX58)+'LINEST VARS'!$C$56*($DG$56*0.5)+'LINEST VARS'!$B$56*($DG$56*$CX58)+'LINEST VARS'!$A$56*(0.5*$CX58)</f>
        <v>2.8576000000000006</v>
      </c>
      <c r="DH58" s="51">
        <f>'LINEST VARS'!$U$56+'LINEST VARS'!$T$56*(8)+'LINEST VARS'!$S$56*(8)+'LINEST VARS'!$R$56*($DH$56)+'LINEST VARS'!$Q$56*(0.5)+'LINEST VARS'!$P$56*($CX58)+'LINEST VARS'!$O$56*(8^2)+'LINEST VARS'!$N$56*(8^2)+'LINEST VARS'!$M$56*($DH$56^2)+'LINEST VARS'!$L$56*(0.5^2)+'LINEST VARS'!$K$56*($CX58^2)+'LINEST VARS'!$J$56*(8*8)+'LINEST VARS'!$I$56*(8*$DH$56)+'LINEST VARS'!$H$56*(8*0.5)+'LINEST VARS'!$G$56*(8*$CX58)+'LINEST VARS'!$F$56*(8*$DH$56)+'LINEST VARS'!$E$56*(8*0.5)+'LINEST VARS'!$D$56*(8*$CX58)+'LINEST VARS'!$C$56*($DH$56*0.5)+'LINEST VARS'!$B$56*($DH$56*$CX58)+'LINEST VARS'!$A$56*(0.5*$CX58)</f>
        <v>2.8504000000000009</v>
      </c>
      <c r="DI58" s="51">
        <f>'LINEST VARS'!$U$56+'LINEST VARS'!$T$56*(8)+'LINEST VARS'!$S$56*(8)+'LINEST VARS'!$R$56*($DI$56)+'LINEST VARS'!$Q$56*(0.5)+'LINEST VARS'!$P$56*($CX58)+'LINEST VARS'!$O$56*(8^2)+'LINEST VARS'!$N$56*(8^2)+'LINEST VARS'!$M$56*($DI$56^2)+'LINEST VARS'!$L$56*(0.5^2)+'LINEST VARS'!$K$56*($CX58^2)+'LINEST VARS'!$J$56*(8*8)+'LINEST VARS'!$I$56*(8*$DI$56)+'LINEST VARS'!$H$56*(8*0.5)+'LINEST VARS'!$G$56*(8*$CX58)+'LINEST VARS'!$F$56*(8*$DI$56)+'LINEST VARS'!$E$56*(8*0.5)+'LINEST VARS'!$D$56*(8*$CX58)+'LINEST VARS'!$C$56*($DI$56*0.5)+'LINEST VARS'!$B$56*($DI$56*$CX58)+'LINEST VARS'!$A$56*(0.5*$CX58)</f>
        <v>2.8400000000000007</v>
      </c>
      <c r="DJ58" s="51">
        <f>'LINEST VARS'!$U$56+'LINEST VARS'!$T$56*(8)+'LINEST VARS'!$S$56*(8)+'LINEST VARS'!$R$56*($DJ$56)+'LINEST VARS'!$Q$56*(0.5)+'LINEST VARS'!$P$56*($CX58)+'LINEST VARS'!$O$56*(8^2)+'LINEST VARS'!$N$56*(8^2)+'LINEST VARS'!$M$56*($DJ$56^2)+'LINEST VARS'!$L$56*(0.5^2)+'LINEST VARS'!$K$56*($CX58^2)+'LINEST VARS'!$J$56*(8*8)+'LINEST VARS'!$I$56*(8*$DJ$56)+'LINEST VARS'!$H$56*(8*0.5)+'LINEST VARS'!$G$56*(8*$CX58)+'LINEST VARS'!$F$56*(8*$DJ$56)+'LINEST VARS'!$E$56*(8*0.5)+'LINEST VARS'!$D$56*(8*$CX58)+'LINEST VARS'!$C$56*($DJ$56*0.5)+'LINEST VARS'!$B$56*($DJ$56*$CX58)+'LINEST VARS'!$A$56*(0.5*$CX58)</f>
        <v>2.8264000000000009</v>
      </c>
      <c r="DK58" s="51">
        <f>'LINEST VARS'!$U$56+'LINEST VARS'!$T$56*(8)+'LINEST VARS'!$S$56*(8)+'LINEST VARS'!$R$56*($DK$56)+'LINEST VARS'!$Q$56*(0.5)+'LINEST VARS'!$P$56*($CX58)+'LINEST VARS'!$O$56*(8^2)+'LINEST VARS'!$N$56*(8^2)+'LINEST VARS'!$M$56*($DK$56^2)+'LINEST VARS'!$L$56*(0.5^2)+'LINEST VARS'!$K$56*($CX58^2)+'LINEST VARS'!$J$56*(8*8)+'LINEST VARS'!$I$56*(8*$DK$56)+'LINEST VARS'!$H$56*(8*0.5)+'LINEST VARS'!$G$56*(8*$CX58)+'LINEST VARS'!$F$56*(8*$DK$56)+'LINEST VARS'!$E$56*(8*0.5)+'LINEST VARS'!$D$56*(8*$CX58)+'LINEST VARS'!$C$56*($DK$56*0.5)+'LINEST VARS'!$B$56*($DK$56*$CX58)+'LINEST VARS'!$A$56*(0.5*$CX58)</f>
        <v>2.8096000000000005</v>
      </c>
      <c r="DL58" s="51">
        <f>'LINEST VARS'!$U$56+'LINEST VARS'!$T$56*(8)+'LINEST VARS'!$S$56*(8)+'LINEST VARS'!$R$56*($DL$56)+'LINEST VARS'!$Q$56*(0.5)+'LINEST VARS'!$P$56*($CX58)+'LINEST VARS'!$O$56*(8^2)+'LINEST VARS'!$N$56*(8^2)+'LINEST VARS'!$M$56*($DL$56^2)+'LINEST VARS'!$L$56*(0.5^2)+'LINEST VARS'!$K$56*($CX58^2)+'LINEST VARS'!$J$56*(8*8)+'LINEST VARS'!$I$56*(8*$DL$56)+'LINEST VARS'!$H$56*(8*0.5)+'LINEST VARS'!$G$56*(8*$CX58)+'LINEST VARS'!$F$56*(8*$DL$56)+'LINEST VARS'!$E$56*(8*0.5)+'LINEST VARS'!$D$56*(8*$CX58)+'LINEST VARS'!$C$56*($DL$56*0.5)+'LINEST VARS'!$B$56*($DL$56*$CX58)+'LINEST VARS'!$A$56*(0.5*$CX58)</f>
        <v>2.7896000000000005</v>
      </c>
      <c r="DM58" s="51">
        <f>'LINEST VARS'!$U$56+'LINEST VARS'!$T$56*(8)+'LINEST VARS'!$S$56*(8)+'LINEST VARS'!$R$56*($DM$56)+'LINEST VARS'!$Q$56*(0.5)+'LINEST VARS'!$P$56*($CX58)+'LINEST VARS'!$O$56*(8^2)+'LINEST VARS'!$N$56*(8^2)+'LINEST VARS'!$M$56*($DM$56^2)+'LINEST VARS'!$L$56*(0.5^2)+'LINEST VARS'!$K$56*($CX58^2)+'LINEST VARS'!$J$56*(8*8)+'LINEST VARS'!$I$56*(8*$DM$56)+'LINEST VARS'!$H$56*(8*0.5)+'LINEST VARS'!$G$56*(8*$CX58)+'LINEST VARS'!$F$56*(8*$DM$56)+'LINEST VARS'!$E$56*(8*0.5)+'LINEST VARS'!$D$56*(8*$CX58)+'LINEST VARS'!$C$56*($DM$56*0.5)+'LINEST VARS'!$B$56*($DM$56*$CX58)+'LINEST VARS'!$A$56*(0.5*$CX58)</f>
        <v>2.7664000000000009</v>
      </c>
      <c r="DN58" s="51">
        <f>'LINEST VARS'!$U$56+'LINEST VARS'!$T$56*(8)+'LINEST VARS'!$S$56*(8)+'LINEST VARS'!$R$56*($DN$56)+'LINEST VARS'!$Q$56*(0.5)+'LINEST VARS'!$P$56*($CX58)+'LINEST VARS'!$O$56*(8^2)+'LINEST VARS'!$N$56*(8^2)+'LINEST VARS'!$M$56*($DN$56^2)+'LINEST VARS'!$L$56*(0.5^2)+'LINEST VARS'!$K$56*($CX58^2)+'LINEST VARS'!$J$56*(8*8)+'LINEST VARS'!$I$56*(8*$DN$56)+'LINEST VARS'!$H$56*(8*0.5)+'LINEST VARS'!$G$56*(8*$CX58)+'LINEST VARS'!$F$56*(8*$DN$56)+'LINEST VARS'!$E$56*(8*0.5)+'LINEST VARS'!$D$56*(8*$CX58)+'LINEST VARS'!$C$56*($DN$56*0.5)+'LINEST VARS'!$B$56*($DN$56*$CX58)+'LINEST VARS'!$A$56*(0.5*$CX58)</f>
        <v>2.7400000000000007</v>
      </c>
      <c r="DO58" s="51">
        <f>'LINEST VARS'!$U$56+'LINEST VARS'!$T$56*(8)+'LINEST VARS'!$S$56*(8)+'LINEST VARS'!$R$56*($DO$56)+'LINEST VARS'!$Q$56*(0.5)+'LINEST VARS'!$P$56*($CX58)+'LINEST VARS'!$O$56*(8^2)+'LINEST VARS'!$N$56*(8^2)+'LINEST VARS'!$M$56*($DO$56^2)+'LINEST VARS'!$L$56*(0.5^2)+'LINEST VARS'!$K$56*($CX58^2)+'LINEST VARS'!$J$56*(8*8)+'LINEST VARS'!$I$56*(8*$DO$56)+'LINEST VARS'!$H$56*(8*0.5)+'LINEST VARS'!$G$56*(8*$CX58)+'LINEST VARS'!$F$56*(8*$DO$56)+'LINEST VARS'!$E$56*(8*0.5)+'LINEST VARS'!$D$56*(8*$CX58)+'LINEST VARS'!$C$56*($DO$56*0.5)+'LINEST VARS'!$B$56*($DO$56*$CX58)+'LINEST VARS'!$A$56*(0.5*$CX58)</f>
        <v>2.7104000000000004</v>
      </c>
      <c r="DP58" s="51">
        <f>'LINEST VARS'!$U$56+'LINEST VARS'!$T$56*(8)+'LINEST VARS'!$S$56*(8)+'LINEST VARS'!$R$56*($DP$56)+'LINEST VARS'!$Q$56*(0.5)+'LINEST VARS'!$P$56*($CX58)+'LINEST VARS'!$O$56*(8^2)+'LINEST VARS'!$N$56*(8^2)+'LINEST VARS'!$M$56*($DP$56^2)+'LINEST VARS'!$L$56*(0.5^2)+'LINEST VARS'!$K$56*($CX58^2)+'LINEST VARS'!$J$56*(8*8)+'LINEST VARS'!$I$56*(8*$DP$56)+'LINEST VARS'!$H$56*(8*0.5)+'LINEST VARS'!$G$56*(8*$CX58)+'LINEST VARS'!$F$56*(8*$DP$56)+'LINEST VARS'!$E$56*(8*0.5)+'LINEST VARS'!$D$56*(8*$CX58)+'LINEST VARS'!$C$56*($DP$56*0.5)+'LINEST VARS'!$B$56*($DP$56*$CX58)+'LINEST VARS'!$A$56*(0.5*$CX58)</f>
        <v>2.6776000000000004</v>
      </c>
      <c r="DQ58" s="51">
        <f>'LINEST VARS'!$U$56+'LINEST VARS'!$T$56*(8)+'LINEST VARS'!$S$56*(8)+'LINEST VARS'!$R$56*($DQ$56)+'LINEST VARS'!$Q$56*(0.5)+'LINEST VARS'!$P$56*($CX58)+'LINEST VARS'!$O$56*(8^2)+'LINEST VARS'!$N$56*(8^2)+'LINEST VARS'!$M$56*($DQ$56^2)+'LINEST VARS'!$L$56*(0.5^2)+'LINEST VARS'!$K$56*($CX58^2)+'LINEST VARS'!$J$56*(8*8)+'LINEST VARS'!$I$56*(8*$DQ$56)+'LINEST VARS'!$H$56*(8*0.5)+'LINEST VARS'!$G$56*(8*$CX58)+'LINEST VARS'!$F$56*(8*$DQ$56)+'LINEST VARS'!$E$56*(8*0.5)+'LINEST VARS'!$D$56*(8*$CX58)+'LINEST VARS'!$C$56*($DQ$56*0.5)+'LINEST VARS'!$B$56*($DQ$56*$CX58)+'LINEST VARS'!$A$56*(0.5*$CX58)</f>
        <v>2.6416000000000004</v>
      </c>
      <c r="DR58" s="51">
        <f>'LINEST VARS'!$U$56+'LINEST VARS'!$T$56*(8)+'LINEST VARS'!$S$56*(8)+'LINEST VARS'!$R$56*($DR$56)+'LINEST VARS'!$Q$56*(0.5)+'LINEST VARS'!$P$56*($CX58)+'LINEST VARS'!$O$56*(8^2)+'LINEST VARS'!$N$56*(8^2)+'LINEST VARS'!$M$56*($DR$56^2)+'LINEST VARS'!$L$56*(0.5^2)+'LINEST VARS'!$K$56*($CX58^2)+'LINEST VARS'!$J$56*(8*8)+'LINEST VARS'!$I$56*(8*$DR$56)+'LINEST VARS'!$H$56*(8*0.5)+'LINEST VARS'!$G$56*(8*$CX58)+'LINEST VARS'!$F$56*(8*$DR$56)+'LINEST VARS'!$E$56*(8*0.5)+'LINEST VARS'!$D$56*(8*$CX58)+'LINEST VARS'!$C$56*($DR$56*0.5)+'LINEST VARS'!$B$56*($DR$56*$CX58)+'LINEST VARS'!$A$56*(0.5*$CX58)</f>
        <v>2.6024000000000007</v>
      </c>
      <c r="DS58" s="52">
        <f>'LINEST VARS'!$U$56+'LINEST VARS'!$T$56*(8)+'LINEST VARS'!$S$56*(8)+'LINEST VARS'!$R$56*($DS$56)+'LINEST VARS'!$Q$56*(0.5)+'LINEST VARS'!$P$56*($CX58)+'LINEST VARS'!$O$56*(8^2)+'LINEST VARS'!$N$56*(8^2)+'LINEST VARS'!$M$56*($DS$56^2)+'LINEST VARS'!$L$56*(0.5^2)+'LINEST VARS'!$K$56*($CX58^2)+'LINEST VARS'!$J$56*(8*8)+'LINEST VARS'!$I$56*(8*$DS$56)+'LINEST VARS'!$H$56*(8*0.5)+'LINEST VARS'!$G$56*(8*$CX58)+'LINEST VARS'!$F$56*(8*$DS$56)+'LINEST VARS'!$E$56*(8*0.5)+'LINEST VARS'!$D$56*(8*$CX58)+'LINEST VARS'!$C$56*($DS$56*0.5)+'LINEST VARS'!$B$56*($DS$56*$CX58)+'LINEST VARS'!$A$56*(0.5*$CX58)</f>
        <v>2.5600000000000005</v>
      </c>
      <c r="DV58" s="45">
        <v>1.2995000000000001</v>
      </c>
      <c r="DW58" s="51">
        <f>'LINEST VARS'!$U$58+'LINEST VARS'!$T$58*(8)+'LINEST VARS'!$S$58*(8)+'LINEST VARS'!$R$58*($DW$56)+'LINEST VARS'!$Q$58*(0.5)+'LINEST VARS'!$P$58*($DV58)+'LINEST VARS'!$O$58*(8^2)+'LINEST VARS'!$N$58*(8^2)+'LINEST VARS'!$M$58*($DW$56^2)+'LINEST VARS'!$L$58*(0.5^2)+'LINEST VARS'!$K$58*($DV58^2)+'LINEST VARS'!$J$58*(8*8)+'LINEST VARS'!$I$58*(8*$DW$56)+'LINEST VARS'!$H$58*(8*0.5)+'LINEST VARS'!$G$58*(8*$DV58)+'LINEST VARS'!$F$58*(8*$DW$56)+'LINEST VARS'!$E$58*(8*0.5)+'LINEST VARS'!$D$58*(8*$DV58)+'LINEST VARS'!$C$58*($DW$56*0.5)+'LINEST VARS'!$B$58*($DW$56*$DV58)+'LINEST VARS'!$A$58*(0.5*$DV58)</f>
        <v>0.80649750000000031</v>
      </c>
      <c r="DX58" s="51">
        <f>'LINEST VARS'!$U$58+'LINEST VARS'!$T$58*(8)+'LINEST VARS'!$S$58*(8)+'LINEST VARS'!$R$58*($DX$56)+'LINEST VARS'!$Q$58*(0.5)+'LINEST VARS'!$P$58*($DV58)+'LINEST VARS'!$O$58*(8^2)+'LINEST VARS'!$N$58*(8^2)+'LINEST VARS'!$M$58*($DX$56^2)+'LINEST VARS'!$L$58*(0.5^2)+'LINEST VARS'!$K$58*($DV58^2)+'LINEST VARS'!$J$58*(8*8)+'LINEST VARS'!$I$58*(8*$DX$56)+'LINEST VARS'!$H$58*(8*0.5)+'LINEST VARS'!$G$58*(8*$DV58)+'LINEST VARS'!$F$58*(8*$DX$56)+'LINEST VARS'!$E$58*(8*0.5)+'LINEST VARS'!$D$58*(8*$DV58)+'LINEST VARS'!$C$58*($DX$56*0.5)+'LINEST VARS'!$B$58*($DX$56*$DV58)+'LINEST VARS'!$A$58*(0.5*$DV58)</f>
        <v>0.81449750000000032</v>
      </c>
      <c r="DY58" s="51">
        <f>'LINEST VARS'!$U$58+'LINEST VARS'!$T$58*(8)+'LINEST VARS'!$S$58*(8)+'LINEST VARS'!$R$58*($DY$56)+'LINEST VARS'!$Q$58*(0.5)+'LINEST VARS'!$P$58*($DV58)+'LINEST VARS'!$O$58*(8^2)+'LINEST VARS'!$N$58*(8^2)+'LINEST VARS'!$M$58*($DY$56^2)+'LINEST VARS'!$L$58*(0.5^2)+'LINEST VARS'!$K$58*($DV58^2)+'LINEST VARS'!$J$58*(8*8)+'LINEST VARS'!$I$58*(8*$DY$56)+'LINEST VARS'!$H$58*(8*0.5)+'LINEST VARS'!$G$58*(8*$DV58)+'LINEST VARS'!$F$58*(8*$DY$56)+'LINEST VARS'!$E$58*(8*0.5)+'LINEST VARS'!$D$58*(8*$DV58)+'LINEST VARS'!$C$58*($DY$56*0.5)+'LINEST VARS'!$B$58*($DY$56*$DV58)+'LINEST VARS'!$A$58*(0.5*$DV58)</f>
        <v>0.82249750000000021</v>
      </c>
      <c r="DZ58" s="51">
        <f>'LINEST VARS'!$U$58+'LINEST VARS'!$T$58*(8)+'LINEST VARS'!$S$58*(8)+'LINEST VARS'!$R$58*($DZ$56)+'LINEST VARS'!$Q$58*(0.5)+'LINEST VARS'!$P$58*($DV58)+'LINEST VARS'!$O$58*(8^2)+'LINEST VARS'!$N$58*(8^2)+'LINEST VARS'!$M$58*($DZ$56^2)+'LINEST VARS'!$L$58*(0.5^2)+'LINEST VARS'!$K$58*($DV58^2)+'LINEST VARS'!$J$58*(8*8)+'LINEST VARS'!$I$58*(8*$DZ$56)+'LINEST VARS'!$H$58*(8*0.5)+'LINEST VARS'!$G$58*(8*$DV58)+'LINEST VARS'!$F$58*(8*$DZ$56)+'LINEST VARS'!$E$58*(8*0.5)+'LINEST VARS'!$D$58*(8*$DV58)+'LINEST VARS'!$C$58*($DZ$56*0.5)+'LINEST VARS'!$B$58*($DZ$56*$DV58)+'LINEST VARS'!$A$58*(0.5*$DV58)</f>
        <v>0.83049750000000022</v>
      </c>
      <c r="EA58" s="51">
        <f>'LINEST VARS'!$U$58+'LINEST VARS'!$T$58*(8)+'LINEST VARS'!$S$58*(8)+'LINEST VARS'!$R$58*($EA$56)+'LINEST VARS'!$Q$58*(0.5)+'LINEST VARS'!$P$58*($DV58)+'LINEST VARS'!$O$58*(8^2)+'LINEST VARS'!$N$58*(8^2)+'LINEST VARS'!$M$58*($EA$56^2)+'LINEST VARS'!$L$58*(0.5^2)+'LINEST VARS'!$K$58*($DV58^2)+'LINEST VARS'!$J$58*(8*8)+'LINEST VARS'!$I$58*(8*$EA$56)+'LINEST VARS'!$H$58*(8*0.5)+'LINEST VARS'!$G$58*(8*$DV58)+'LINEST VARS'!$F$58*(8*$EA$56)+'LINEST VARS'!$E$58*(8*0.5)+'LINEST VARS'!$D$58*(8*$DV58)+'LINEST VARS'!$C$58*($EA$56*0.5)+'LINEST VARS'!$B$58*($EA$56*$DV58)+'LINEST VARS'!$A$58*(0.5*$DV58)</f>
        <v>0.83849750000000012</v>
      </c>
      <c r="EB58" s="51">
        <f>'LINEST VARS'!$U$58+'LINEST VARS'!$T$58*(8)+'LINEST VARS'!$S$58*(8)+'LINEST VARS'!$R$58*($EB$56)+'LINEST VARS'!$Q$58*(0.5)+'LINEST VARS'!$P$58*($DV58)+'LINEST VARS'!$O$58*(8^2)+'LINEST VARS'!$N$58*(8^2)+'LINEST VARS'!$M$58*($EB$56^2)+'LINEST VARS'!$L$58*(0.5^2)+'LINEST VARS'!$K$58*($DV58^2)+'LINEST VARS'!$J$58*(8*8)+'LINEST VARS'!$I$58*(8*$EB$56)+'LINEST VARS'!$H$58*(8*0.5)+'LINEST VARS'!$G$58*(8*$DV58)+'LINEST VARS'!$F$58*(8*$EB$56)+'LINEST VARS'!$E$58*(8*0.5)+'LINEST VARS'!$D$58*(8*$DV58)+'LINEST VARS'!$C$58*($EB$56*0.5)+'LINEST VARS'!$B$58*($EB$56*$DV58)+'LINEST VARS'!$A$58*(0.5*$DV58)</f>
        <v>0.84649750000000024</v>
      </c>
      <c r="EC58" s="51">
        <f>'LINEST VARS'!$U$58+'LINEST VARS'!$T$58*(8)+'LINEST VARS'!$S$58*(8)+'LINEST VARS'!$R$58*($EC$56)+'LINEST VARS'!$Q$58*(0.5)+'LINEST VARS'!$P$58*($DV58)+'LINEST VARS'!$O$58*(8^2)+'LINEST VARS'!$N$58*(8^2)+'LINEST VARS'!$M$58*($EC$56^2)+'LINEST VARS'!$L$58*(0.5^2)+'LINEST VARS'!$K$58*($DV58^2)+'LINEST VARS'!$J$58*(8*8)+'LINEST VARS'!$I$58*(8*$EC$56)+'LINEST VARS'!$H$58*(8*0.5)+'LINEST VARS'!$G$58*(8*$DV58)+'LINEST VARS'!$F$58*(8*$EC$56)+'LINEST VARS'!$E$58*(8*0.5)+'LINEST VARS'!$D$58*(8*$DV58)+'LINEST VARS'!$C$58*($EC$56*0.5)+'LINEST VARS'!$B$58*($EC$56*$DV58)+'LINEST VARS'!$A$58*(0.5*$DV58)</f>
        <v>0.85449750000000024</v>
      </c>
      <c r="ED58" s="51">
        <f>'LINEST VARS'!$U$58+'LINEST VARS'!$T$58*(8)+'LINEST VARS'!$S$58*(8)+'LINEST VARS'!$R$58*($ED$56)+'LINEST VARS'!$Q$58*(0.5)+'LINEST VARS'!$P$58*($DV58)+'LINEST VARS'!$O$58*(8^2)+'LINEST VARS'!$N$58*(8^2)+'LINEST VARS'!$M$58*($ED$56^2)+'LINEST VARS'!$L$58*(0.5^2)+'LINEST VARS'!$K$58*($DV58^2)+'LINEST VARS'!$J$58*(8*8)+'LINEST VARS'!$I$58*(8*$ED$56)+'LINEST VARS'!$H$58*(8*0.5)+'LINEST VARS'!$G$58*(8*$DV58)+'LINEST VARS'!$F$58*(8*$ED$56)+'LINEST VARS'!$E$58*(8*0.5)+'LINEST VARS'!$D$58*(8*$DV58)+'LINEST VARS'!$C$58*($ED$56*0.5)+'LINEST VARS'!$B$58*($ED$56*$DV58)+'LINEST VARS'!$A$58*(0.5*$DV58)</f>
        <v>0.86249750000000025</v>
      </c>
      <c r="EE58" s="51">
        <f>'LINEST VARS'!$U$58+'LINEST VARS'!$T$58*(8)+'LINEST VARS'!$S$58*(8)+'LINEST VARS'!$R$58*($EE$56)+'LINEST VARS'!$Q$58*(0.5)+'LINEST VARS'!$P$58*($DV58)+'LINEST VARS'!$O$58*(8^2)+'LINEST VARS'!$N$58*(8^2)+'LINEST VARS'!$M$58*($EE$56^2)+'LINEST VARS'!$L$58*(0.5^2)+'LINEST VARS'!$K$58*($DV58^2)+'LINEST VARS'!$J$58*(8*8)+'LINEST VARS'!$I$58*(8*$EE$56)+'LINEST VARS'!$H$58*(8*0.5)+'LINEST VARS'!$G$58*(8*$DV58)+'LINEST VARS'!$F$58*(8*$EE$56)+'LINEST VARS'!$E$58*(8*0.5)+'LINEST VARS'!$D$58*(8*$DV58)+'LINEST VARS'!$C$58*($EE$56*0.5)+'LINEST VARS'!$B$58*($EE$56*$DV58)+'LINEST VARS'!$A$58*(0.5*$DV58)</f>
        <v>0.87049750000000037</v>
      </c>
      <c r="EF58" s="51">
        <f>'LINEST VARS'!$U$58+'LINEST VARS'!$T$58*(8)+'LINEST VARS'!$S$58*(8)+'LINEST VARS'!$R$58*($EF$56)+'LINEST VARS'!$Q$58*(0.5)+'LINEST VARS'!$P$58*($DV58)+'LINEST VARS'!$O$58*(8^2)+'LINEST VARS'!$N$58*(8^2)+'LINEST VARS'!$M$58*($EF$56^2)+'LINEST VARS'!$L$58*(0.5^2)+'LINEST VARS'!$K$58*($DV58^2)+'LINEST VARS'!$J$58*(8*8)+'LINEST VARS'!$I$58*(8*$EF$56)+'LINEST VARS'!$H$58*(8*0.5)+'LINEST VARS'!$G$58*(8*$DV58)+'LINEST VARS'!$F$58*(8*$EF$56)+'LINEST VARS'!$E$58*(8*0.5)+'LINEST VARS'!$D$58*(8*$DV58)+'LINEST VARS'!$C$58*($EF$56*0.5)+'LINEST VARS'!$B$58*($EF$56*$DV58)+'LINEST VARS'!$A$58*(0.5*$DV58)</f>
        <v>0.87849750000000026</v>
      </c>
      <c r="EG58" s="51">
        <f>'LINEST VARS'!$U$58+'LINEST VARS'!$T$58*(8)+'LINEST VARS'!$S$58*(8)+'LINEST VARS'!$R$58*($EG$56)+'LINEST VARS'!$Q$58*(0.5)+'LINEST VARS'!$P$58*($DV58)+'LINEST VARS'!$O$58*(8^2)+'LINEST VARS'!$N$58*(8^2)+'LINEST VARS'!$M$58*($EG$56^2)+'LINEST VARS'!$L$58*(0.5^2)+'LINEST VARS'!$K$58*($DV58^2)+'LINEST VARS'!$J$58*(8*8)+'LINEST VARS'!$I$58*(8*$EG$56)+'LINEST VARS'!$H$58*(8*0.5)+'LINEST VARS'!$G$58*(8*$DV58)+'LINEST VARS'!$F$58*(8*$EG$56)+'LINEST VARS'!$E$58*(8*0.5)+'LINEST VARS'!$D$58*(8*$DV58)+'LINEST VARS'!$C$58*($EG$56*0.5)+'LINEST VARS'!$B$58*($EG$56*$DV58)+'LINEST VARS'!$A$58*(0.5*$DV58)</f>
        <v>0.88649750000000027</v>
      </c>
      <c r="EH58" s="51">
        <f>'LINEST VARS'!$U$58+'LINEST VARS'!$T$58*(8)+'LINEST VARS'!$S$58*(8)+'LINEST VARS'!$R$58*($EH$56)+'LINEST VARS'!$Q$58*(0.5)+'LINEST VARS'!$P$58*($DV58)+'LINEST VARS'!$O$58*(8^2)+'LINEST VARS'!$N$58*(8^2)+'LINEST VARS'!$M$58*($EH$56^2)+'LINEST VARS'!$L$58*(0.5^2)+'LINEST VARS'!$K$58*($DV58^2)+'LINEST VARS'!$J$58*(8*8)+'LINEST VARS'!$I$58*(8*$EH$56)+'LINEST VARS'!$H$58*(8*0.5)+'LINEST VARS'!$G$58*(8*$DV58)+'LINEST VARS'!$F$58*(8*$EH$56)+'LINEST VARS'!$E$58*(8*0.5)+'LINEST VARS'!$D$58*(8*$DV58)+'LINEST VARS'!$C$58*($EH$56*0.5)+'LINEST VARS'!$B$58*($EH$56*$DV58)+'LINEST VARS'!$A$58*(0.5*$DV58)</f>
        <v>0.89449750000000017</v>
      </c>
      <c r="EI58" s="51">
        <f>'LINEST VARS'!$U$58+'LINEST VARS'!$T$58*(8)+'LINEST VARS'!$S$58*(8)+'LINEST VARS'!$R$58*($EI$56)+'LINEST VARS'!$Q$58*(0.5)+'LINEST VARS'!$P$58*($DV58)+'LINEST VARS'!$O$58*(8^2)+'LINEST VARS'!$N$58*(8^2)+'LINEST VARS'!$M$58*($EI$56^2)+'LINEST VARS'!$L$58*(0.5^2)+'LINEST VARS'!$K$58*($DV58^2)+'LINEST VARS'!$J$58*(8*8)+'LINEST VARS'!$I$58*(8*$EI$56)+'LINEST VARS'!$H$58*(8*0.5)+'LINEST VARS'!$G$58*(8*$DV58)+'LINEST VARS'!$F$58*(8*$EI$56)+'LINEST VARS'!$E$58*(8*0.5)+'LINEST VARS'!$D$58*(8*$DV58)+'LINEST VARS'!$C$58*($EI$56*0.5)+'LINEST VARS'!$B$58*($EI$56*$DV58)+'LINEST VARS'!$A$58*(0.5*$DV58)</f>
        <v>0.90249750000000017</v>
      </c>
      <c r="EJ58" s="51">
        <f>'LINEST VARS'!$U$58+'LINEST VARS'!$T$58*(8)+'LINEST VARS'!$S$58*(8)+'LINEST VARS'!$R$58*($EJ$56)+'LINEST VARS'!$Q$58*(0.5)+'LINEST VARS'!$P$58*($DV58)+'LINEST VARS'!$O$58*(8^2)+'LINEST VARS'!$N$58*(8^2)+'LINEST VARS'!$M$58*($EJ$56^2)+'LINEST VARS'!$L$58*(0.5^2)+'LINEST VARS'!$K$58*($DV58^2)+'LINEST VARS'!$J$58*(8*8)+'LINEST VARS'!$I$58*(8*$EJ$56)+'LINEST VARS'!$H$58*(8*0.5)+'LINEST VARS'!$G$58*(8*$DV58)+'LINEST VARS'!$F$58*(8*$EJ$56)+'LINEST VARS'!$E$58*(8*0.5)+'LINEST VARS'!$D$58*(8*$DV58)+'LINEST VARS'!$C$58*($EJ$56*0.5)+'LINEST VARS'!$B$58*($EJ$56*$DV58)+'LINEST VARS'!$A$58*(0.5*$DV58)</f>
        <v>0.91049750000000007</v>
      </c>
      <c r="EK58" s="51">
        <f>'LINEST VARS'!$U$58+'LINEST VARS'!$T$58*(8)+'LINEST VARS'!$S$58*(8)+'LINEST VARS'!$R$58*($EK$56)+'LINEST VARS'!$Q$58*(0.5)+'LINEST VARS'!$P$58*($DV58)+'LINEST VARS'!$O$58*(8^2)+'LINEST VARS'!$N$58*(8^2)+'LINEST VARS'!$M$58*($EK$56^2)+'LINEST VARS'!$L$58*(0.5^2)+'LINEST VARS'!$K$58*($DV58^2)+'LINEST VARS'!$J$58*(8*8)+'LINEST VARS'!$I$58*(8*$EK$56)+'LINEST VARS'!$H$58*(8*0.5)+'LINEST VARS'!$G$58*(8*$DV58)+'LINEST VARS'!$F$58*(8*$EK$56)+'LINEST VARS'!$E$58*(8*0.5)+'LINEST VARS'!$D$58*(8*$DV58)+'LINEST VARS'!$C$58*($EK$56*0.5)+'LINEST VARS'!$B$58*($EK$56*$DV58)+'LINEST VARS'!$A$58*(0.5*$DV58)</f>
        <v>0.91849750000000019</v>
      </c>
      <c r="EL58" s="51">
        <f>'LINEST VARS'!$U$58+'LINEST VARS'!$T$58*(8)+'LINEST VARS'!$S$58*(8)+'LINEST VARS'!$R$58*($EL$56)+'LINEST VARS'!$Q$58*(0.5)+'LINEST VARS'!$P$58*($DV58)+'LINEST VARS'!$O$58*(8^2)+'LINEST VARS'!$N$58*(8^2)+'LINEST VARS'!$M$58*($EL$56^2)+'LINEST VARS'!$L$58*(0.5^2)+'LINEST VARS'!$K$58*($DV58^2)+'LINEST VARS'!$J$58*(8*8)+'LINEST VARS'!$I$58*(8*$EL$56)+'LINEST VARS'!$H$58*(8*0.5)+'LINEST VARS'!$G$58*(8*$DV58)+'LINEST VARS'!$F$58*(8*$EL$56)+'LINEST VARS'!$E$58*(8*0.5)+'LINEST VARS'!$D$58*(8*$DV58)+'LINEST VARS'!$C$58*($EL$56*0.5)+'LINEST VARS'!$B$58*($EL$56*$DV58)+'LINEST VARS'!$A$58*(0.5*$DV58)</f>
        <v>0.9264975000000002</v>
      </c>
      <c r="EM58" s="51">
        <f>'LINEST VARS'!$U$58+'LINEST VARS'!$T$58*(8)+'LINEST VARS'!$S$58*(8)+'LINEST VARS'!$R$58*($EM$56)+'LINEST VARS'!$Q$58*(0.5)+'LINEST VARS'!$P$58*($DV58)+'LINEST VARS'!$O$58*(8^2)+'LINEST VARS'!$N$58*(8^2)+'LINEST VARS'!$M$58*($EM$56^2)+'LINEST VARS'!$L$58*(0.5^2)+'LINEST VARS'!$K$58*($DV58^2)+'LINEST VARS'!$J$58*(8*8)+'LINEST VARS'!$I$58*(8*$EM$56)+'LINEST VARS'!$H$58*(8*0.5)+'LINEST VARS'!$G$58*(8*$DV58)+'LINEST VARS'!$F$58*(8*$EM$56)+'LINEST VARS'!$E$58*(8*0.5)+'LINEST VARS'!$D$58*(8*$DV58)+'LINEST VARS'!$C$58*($EM$56*0.5)+'LINEST VARS'!$B$58*($EM$56*$DV58)+'LINEST VARS'!$A$58*(0.5*$DV58)</f>
        <v>0.93449750000000031</v>
      </c>
      <c r="EN58" s="51">
        <f>'LINEST VARS'!$U$58+'LINEST VARS'!$T$58*(8)+'LINEST VARS'!$S$58*(8)+'LINEST VARS'!$R$58*($EN$56)+'LINEST VARS'!$Q$58*(0.5)+'LINEST VARS'!$P$58*($DV58)+'LINEST VARS'!$O$58*(8^2)+'LINEST VARS'!$N$58*(8^2)+'LINEST VARS'!$M$58*($EN$56^2)+'LINEST VARS'!$L$58*(0.5^2)+'LINEST VARS'!$K$58*($DV58^2)+'LINEST VARS'!$J$58*(8*8)+'LINEST VARS'!$I$58*(8*$EN$56)+'LINEST VARS'!$H$58*(8*0.5)+'LINEST VARS'!$G$58*(8*$DV58)+'LINEST VARS'!$F$58*(8*$EN$56)+'LINEST VARS'!$E$58*(8*0.5)+'LINEST VARS'!$D$58*(8*$DV58)+'LINEST VARS'!$C$58*($EN$56*0.5)+'LINEST VARS'!$B$58*($EN$56*$DV58)+'LINEST VARS'!$A$58*(0.5*$DV58)</f>
        <v>0.94249750000000032</v>
      </c>
      <c r="EO58" s="51">
        <f>'LINEST VARS'!$U$58+'LINEST VARS'!$T$58*(8)+'LINEST VARS'!$S$58*(8)+'LINEST VARS'!$R$58*($EO$56)+'LINEST VARS'!$Q$58*(0.5)+'LINEST VARS'!$P$58*($DV58)+'LINEST VARS'!$O$58*(8^2)+'LINEST VARS'!$N$58*(8^2)+'LINEST VARS'!$M$58*($EO$56^2)+'LINEST VARS'!$L$58*(0.5^2)+'LINEST VARS'!$K$58*($DV58^2)+'LINEST VARS'!$J$58*(8*8)+'LINEST VARS'!$I$58*(8*$EO$56)+'LINEST VARS'!$H$58*(8*0.5)+'LINEST VARS'!$G$58*(8*$DV58)+'LINEST VARS'!$F$58*(8*$EO$56)+'LINEST VARS'!$E$58*(8*0.5)+'LINEST VARS'!$D$58*(8*$DV58)+'LINEST VARS'!$C$58*($EO$56*0.5)+'LINEST VARS'!$B$58*($EO$56*$DV58)+'LINEST VARS'!$A$58*(0.5*$DV58)</f>
        <v>0.95049750000000033</v>
      </c>
      <c r="EP58" s="51">
        <f>'LINEST VARS'!$U$58+'LINEST VARS'!$T$58*(8)+'LINEST VARS'!$S$58*(8)+'LINEST VARS'!$R$58*($EP$56)+'LINEST VARS'!$Q$58*(0.5)+'LINEST VARS'!$P$58*($DV58)+'LINEST VARS'!$O$58*(8^2)+'LINEST VARS'!$N$58*(8^2)+'LINEST VARS'!$M$58*($EP$56^2)+'LINEST VARS'!$L$58*(0.5^2)+'LINEST VARS'!$K$58*($DV58^2)+'LINEST VARS'!$J$58*(8*8)+'LINEST VARS'!$I$58*(8*$EP$56)+'LINEST VARS'!$H$58*(8*0.5)+'LINEST VARS'!$G$58*(8*$DV58)+'LINEST VARS'!$F$58*(8*$EP$56)+'LINEST VARS'!$E$58*(8*0.5)+'LINEST VARS'!$D$58*(8*$DV58)+'LINEST VARS'!$C$58*($EP$56*0.5)+'LINEST VARS'!$B$58*($EP$56*$DV58)+'LINEST VARS'!$A$58*(0.5*$DV58)</f>
        <v>0.95849750000000022</v>
      </c>
      <c r="EQ58" s="52">
        <f>'LINEST VARS'!$U$58+'LINEST VARS'!$T$58*(8)+'LINEST VARS'!$S$58*(8)+'LINEST VARS'!$R$58*($EQ$56)+'LINEST VARS'!$Q$58*(0.5)+'LINEST VARS'!$P$58*($DV58)+'LINEST VARS'!$O$58*(8^2)+'LINEST VARS'!$N$58*(8^2)+'LINEST VARS'!$M$58*($EQ$56^2)+'LINEST VARS'!$L$58*(0.5^2)+'LINEST VARS'!$K$58*($DV58^2)+'LINEST VARS'!$J$58*(8*8)+'LINEST VARS'!$I$58*(8*$EQ$56)+'LINEST VARS'!$H$58*(8*0.5)+'LINEST VARS'!$G$58*(8*$DV58)+'LINEST VARS'!$F$58*(8*$EQ$56)+'LINEST VARS'!$E$58*(8*0.5)+'LINEST VARS'!$D$58*(8*$DV58)+'LINEST VARS'!$C$58*($EQ$56*0.5)+'LINEST VARS'!$B$58*($EQ$56*$DV58)+'LINEST VARS'!$A$58*(0.5*$DV58)</f>
        <v>0.96649750000000023</v>
      </c>
    </row>
    <row r="59" spans="2:147" ht="15" customHeight="1" x14ac:dyDescent="0.25">
      <c r="B59" s="45">
        <v>7.52</v>
      </c>
      <c r="C59" s="51">
        <f>'LINEST VARS'!$U$56+'LINEST VARS'!$T$56*($C$56)+'LINEST VARS'!$S$56*($B59)+'LINEST VARS'!$R$56*(4)+'LINEST VARS'!$Q$56*(0.5)+'LINEST VARS'!$P$56*(12.73)+'LINEST VARS'!$O$56*($C$56^2)+'LINEST VARS'!$N$56*($B59^2)+'LINEST VARS'!$M$56*(4^2)+'LINEST VARS'!$L$56*(0.5^2)+'LINEST VARS'!$K$56*(12.73^2)+'LINEST VARS'!$J$56*($C$56*$B59)+'LINEST VARS'!$I$56*($C$56*4)+'LINEST VARS'!$H$56*($C$56*0.5)+'LINEST VARS'!$G$56*($C$56*12.73)+'LINEST VARS'!$F$56*($B59*4)+'LINEST VARS'!$E$56*($B59*0.5)+'LINEST VARS'!$D$56*($B59*12.73)+'LINEST VARS'!$C$56*(4*0.5)+'LINEST VARS'!$B$56*(4*12.73)+'LINEST VARS'!$A$56*(0.5*12.73)</f>
        <v>2.8400000000000012</v>
      </c>
      <c r="D59" s="51">
        <f>'LINEST VARS'!$U$56+'LINEST VARS'!$T$56*($D$56)+'LINEST VARS'!$S$56*($B59)+'LINEST VARS'!$R$56*(4)+'LINEST VARS'!$Q$56*(0.5)+'LINEST VARS'!$P$56*(12.73)+'LINEST VARS'!$O$56*($D$56^2)+'LINEST VARS'!$N$56*($B59^2)+'LINEST VARS'!$M$56*(4^2)+'LINEST VARS'!$L$56*(0.5^2)+'LINEST VARS'!$K$56*(12.73^2)+'LINEST VARS'!$J$56*($D$56*$B59)+'LINEST VARS'!$I$56*($D$56*4)+'LINEST VARS'!$H$56*($D$56*0.5)+'LINEST VARS'!$G$56*($D$56*12.73)+'LINEST VARS'!$F$56*($B59*4)+'LINEST VARS'!$E$56*($B59*0.5)+'LINEST VARS'!$D$56*($B59*12.73)+'LINEST VARS'!$C$56*(4*0.5)+'LINEST VARS'!$B$56*(4*12.73)+'LINEST VARS'!$A$56*(0.5*12.73)</f>
        <v>2.8400000000000012</v>
      </c>
      <c r="E59" s="51">
        <f>'LINEST VARS'!$U$56+'LINEST VARS'!$T$56*($E$56)+'LINEST VARS'!$S$56*($B59)+'LINEST VARS'!$R$56*(4)+'LINEST VARS'!$Q$56*(0.5)+'LINEST VARS'!$P$56*(12.73)+'LINEST VARS'!$O$56*($E$56^2)+'LINEST VARS'!$N$56*($B59^2)+'LINEST VARS'!$M$56*(4^2)+'LINEST VARS'!$L$56*(0.5^2)+'LINEST VARS'!$K$56*(12.73^2)+'LINEST VARS'!$J$56*($E$56*$B59)+'LINEST VARS'!$I$56*($E$56*4)+'LINEST VARS'!$H$56*($E$56*0.5)+'LINEST VARS'!$G$56*($E$56*12.73)+'LINEST VARS'!$F$56*($B59*4)+'LINEST VARS'!$E$56*($B59*0.5)+'LINEST VARS'!$D$56*($B59*12.73)+'LINEST VARS'!$C$56*(4*0.5)+'LINEST VARS'!$B$56*(4*12.73)+'LINEST VARS'!$A$56*(0.5*12.73)</f>
        <v>2.8400000000000016</v>
      </c>
      <c r="F59" s="51">
        <f>'LINEST VARS'!$U$56+'LINEST VARS'!$T$56*($F$56)+'LINEST VARS'!$S$56*($B59)+'LINEST VARS'!$R$56*(4)+'LINEST VARS'!$Q$56*(0.5)+'LINEST VARS'!$P$56*(12.73)+'LINEST VARS'!$O$56*($F$56^2)+'LINEST VARS'!$N$56*($B59^2)+'LINEST VARS'!$M$56*(4^2)+'LINEST VARS'!$L$56*(0.5^2)+'LINEST VARS'!$K$56*(12.73^2)+'LINEST VARS'!$J$56*($F$56*$B59)+'LINEST VARS'!$I$56*($F$56*4)+'LINEST VARS'!$H$56*($F$56*0.5)+'LINEST VARS'!$G$56*($F$56*12.73)+'LINEST VARS'!$F$56*($B59*4)+'LINEST VARS'!$E$56*($B59*0.5)+'LINEST VARS'!$D$56*($B59*12.73)+'LINEST VARS'!$C$56*(4*0.5)+'LINEST VARS'!$B$56*(4*12.73)+'LINEST VARS'!$A$56*(0.5*12.73)</f>
        <v>2.8400000000000016</v>
      </c>
      <c r="G59" s="51">
        <f>'LINEST VARS'!$U$56+'LINEST VARS'!$T$56*($G$56)+'LINEST VARS'!$S$56*($B59)+'LINEST VARS'!$R$56*(4)+'LINEST VARS'!$Q$56*(0.5)+'LINEST VARS'!$P$56*(12.73)+'LINEST VARS'!$O$56*($G$56^2)+'LINEST VARS'!$N$56*($B59^2)+'LINEST VARS'!$M$56*(4^2)+'LINEST VARS'!$L$56*(0.5^2)+'LINEST VARS'!$K$56*(12.73^2)+'LINEST VARS'!$J$56*($G$56*$B59)+'LINEST VARS'!$I$56*($G$56*4)+'LINEST VARS'!$H$56*($G$56*0.5)+'LINEST VARS'!$G$56*($G$56*12.73)+'LINEST VARS'!$F$56*($B59*4)+'LINEST VARS'!$E$56*($B59*0.5)+'LINEST VARS'!$D$56*($B59*12.73)+'LINEST VARS'!$C$56*(4*0.5)+'LINEST VARS'!$B$56*(4*12.73)+'LINEST VARS'!$A$56*(0.5*12.73)</f>
        <v>2.8400000000000016</v>
      </c>
      <c r="H59" s="51">
        <f>'LINEST VARS'!$U$56+'LINEST VARS'!$T$56*($H$56)+'LINEST VARS'!$S$56*($B59)+'LINEST VARS'!$R$56*(4)+'LINEST VARS'!$Q$56*(0.5)+'LINEST VARS'!$P$56*(12.73)+'LINEST VARS'!$O$56*($H$56^2)+'LINEST VARS'!$N$56*($B59^2)+'LINEST VARS'!$M$56*(4^2)+'LINEST VARS'!$L$56*(0.5^2)+'LINEST VARS'!$K$56*(12.73^2)+'LINEST VARS'!$J$56*($H$56*$B59)+'LINEST VARS'!$I$56*($H$56*4)+'LINEST VARS'!$H$56*($H$56*0.5)+'LINEST VARS'!$G$56*($H$56*12.73)+'LINEST VARS'!$F$56*($B59*4)+'LINEST VARS'!$E$56*($B59*0.5)+'LINEST VARS'!$D$56*($B59*12.73)+'LINEST VARS'!$C$56*(4*0.5)+'LINEST VARS'!$B$56*(4*12.73)+'LINEST VARS'!$A$56*(0.5*12.73)</f>
        <v>2.8400000000000016</v>
      </c>
      <c r="I59" s="51">
        <f>'LINEST VARS'!$U$56+'LINEST VARS'!$T$56*($I$56)+'LINEST VARS'!$S$56*($B59)+'LINEST VARS'!$R$56*(4)+'LINEST VARS'!$Q$56*(0.5)+'LINEST VARS'!$P$56*(12.73)+'LINEST VARS'!$O$56*($I$56^2)+'LINEST VARS'!$N$56*($B59^2)+'LINEST VARS'!$M$56*(4^2)+'LINEST VARS'!$L$56*(0.5^2)+'LINEST VARS'!$K$56*(12.73^2)+'LINEST VARS'!$J$56*($I$56*$B59)+'LINEST VARS'!$I$56*($I$56*4)+'LINEST VARS'!$H$56*($I$56*0.5)+'LINEST VARS'!$G$56*($I$56*12.73)+'LINEST VARS'!$F$56*($B59*4)+'LINEST VARS'!$E$56*($B59*0.5)+'LINEST VARS'!$D$56*($B59*12.73)+'LINEST VARS'!$C$56*(4*0.5)+'LINEST VARS'!$B$56*(4*12.73)+'LINEST VARS'!$A$56*(0.5*12.73)</f>
        <v>2.8400000000000016</v>
      </c>
      <c r="J59" s="51">
        <f>'LINEST VARS'!$U$56+'LINEST VARS'!$T$56*($J$56)+'LINEST VARS'!$S$56*($B59)+'LINEST VARS'!$R$56*(4)+'LINEST VARS'!$Q$56*(0.5)+'LINEST VARS'!$P$56*(12.73)+'LINEST VARS'!$O$56*($J$56^2)+'LINEST VARS'!$N$56*($B59^2)+'LINEST VARS'!$M$56*(4^2)+'LINEST VARS'!$L$56*(0.5^2)+'LINEST VARS'!$K$56*(12.73^2)+'LINEST VARS'!$J$56*($J$56*$B59)+'LINEST VARS'!$I$56*($J$56*4)+'LINEST VARS'!$H$56*($J$56*0.5)+'LINEST VARS'!$G$56*($J$56*12.73)+'LINEST VARS'!$F$56*($B59*4)+'LINEST VARS'!$E$56*($B59*0.5)+'LINEST VARS'!$D$56*($B59*12.73)+'LINEST VARS'!$C$56*(4*0.5)+'LINEST VARS'!$B$56*(4*12.73)+'LINEST VARS'!$A$56*(0.5*12.73)</f>
        <v>2.8400000000000016</v>
      </c>
      <c r="K59" s="51">
        <f>'LINEST VARS'!$U$56+'LINEST VARS'!$T$56*($K$56)+'LINEST VARS'!$S$56*($B59)+'LINEST VARS'!$R$56*(4)+'LINEST VARS'!$Q$56*(0.5)+'LINEST VARS'!$P$56*(12.73)+'LINEST VARS'!$O$56*($K$56^2)+'LINEST VARS'!$N$56*($B59^2)+'LINEST VARS'!$M$56*(4^2)+'LINEST VARS'!$L$56*(0.5^2)+'LINEST VARS'!$K$56*(12.73^2)+'LINEST VARS'!$J$56*($K$56*$B59)+'LINEST VARS'!$I$56*($K$56*4)+'LINEST VARS'!$H$56*($K$56*0.5)+'LINEST VARS'!$G$56*($K$56*12.73)+'LINEST VARS'!$F$56*($B59*4)+'LINEST VARS'!$E$56*($B59*0.5)+'LINEST VARS'!$D$56*($B59*12.73)+'LINEST VARS'!$C$56*(4*0.5)+'LINEST VARS'!$B$56*(4*12.73)+'LINEST VARS'!$A$56*(0.5*12.73)</f>
        <v>2.8400000000000012</v>
      </c>
      <c r="L59" s="51">
        <f>'LINEST VARS'!$U$56+'LINEST VARS'!$T$56*($L$56)+'LINEST VARS'!$S$56*($B59)+'LINEST VARS'!$R$56*(4)+'LINEST VARS'!$Q$56*(0.5)+'LINEST VARS'!$P$56*(12.73)+'LINEST VARS'!$O$56*($L$56^2)+'LINEST VARS'!$N$56*($B59^2)+'LINEST VARS'!$M$56*(4^2)+'LINEST VARS'!$L$56*(0.5^2)+'LINEST VARS'!$K$56*(12.73^2)+'LINEST VARS'!$J$56*($L$56*$B59)+'LINEST VARS'!$I$56*($L$56*4)+'LINEST VARS'!$H$56*($L$56*0.5)+'LINEST VARS'!$G$56*($L$56*12.73)+'LINEST VARS'!$F$56*($B59*4)+'LINEST VARS'!$E$56*($B59*0.5)+'LINEST VARS'!$D$56*($B59*12.73)+'LINEST VARS'!$C$56*(4*0.5)+'LINEST VARS'!$B$56*(4*12.73)+'LINEST VARS'!$A$56*(0.5*12.73)</f>
        <v>2.8400000000000012</v>
      </c>
      <c r="M59" s="51">
        <f>'LINEST VARS'!$U$56+'LINEST VARS'!$T$56*($M$56)+'LINEST VARS'!$S$56*($B59)+'LINEST VARS'!$R$56*(4)+'LINEST VARS'!$Q$56*(0.5)+'LINEST VARS'!$P$56*(12.73)+'LINEST VARS'!$O$56*($M$56^2)+'LINEST VARS'!$N$56*($B59^2)+'LINEST VARS'!$M$56*(4^2)+'LINEST VARS'!$L$56*(0.5^2)+'LINEST VARS'!$K$56*(12.73^2)+'LINEST VARS'!$J$56*($M$56*$B59)+'LINEST VARS'!$I$56*($M$56*4)+'LINEST VARS'!$H$56*($M$56*0.5)+'LINEST VARS'!$G$56*($M$56*12.73)+'LINEST VARS'!$F$56*($B59*4)+'LINEST VARS'!$E$56*($B59*0.5)+'LINEST VARS'!$D$56*($B59*12.73)+'LINEST VARS'!$C$56*(4*0.5)+'LINEST VARS'!$B$56*(4*12.73)+'LINEST VARS'!$A$56*(0.5*12.73)</f>
        <v>2.8400000000000012</v>
      </c>
      <c r="N59" s="51">
        <f>'LINEST VARS'!$U$56+'LINEST VARS'!$T$56*($N$56)+'LINEST VARS'!$S$56*($B59)+'LINEST VARS'!$R$56*(4)+'LINEST VARS'!$Q$56*(0.5)+'LINEST VARS'!$P$56*(12.73)+'LINEST VARS'!$O$56*($N$56^2)+'LINEST VARS'!$N$56*($B59^2)+'LINEST VARS'!$M$56*(4^2)+'LINEST VARS'!$L$56*(0.5^2)+'LINEST VARS'!$K$56*(12.73^2)+'LINEST VARS'!$J$56*($N$56*$B59)+'LINEST VARS'!$I$56*($N$56*4)+'LINEST VARS'!$H$56*($N$56*0.5)+'LINEST VARS'!$G$56*($N$56*12.73)+'LINEST VARS'!$F$56*($B59*4)+'LINEST VARS'!$E$56*($B59*0.5)+'LINEST VARS'!$D$56*($B59*12.73)+'LINEST VARS'!$C$56*(4*0.5)+'LINEST VARS'!$B$56*(4*12.73)+'LINEST VARS'!$A$56*(0.5*12.73)</f>
        <v>2.8400000000000012</v>
      </c>
      <c r="O59" s="51">
        <f>'LINEST VARS'!$U$56+'LINEST VARS'!$T$56*($O$56)+'LINEST VARS'!$S$56*($B59)+'LINEST VARS'!$R$56*(4)+'LINEST VARS'!$Q$56*(0.5)+'LINEST VARS'!$P$56*(12.73)+'LINEST VARS'!$O$56*($O$56^2)+'LINEST VARS'!$N$56*($B59^2)+'LINEST VARS'!$M$56*(4^2)+'LINEST VARS'!$L$56*(0.5^2)+'LINEST VARS'!$K$56*(12.73^2)+'LINEST VARS'!$J$56*($O$56*$B59)+'LINEST VARS'!$I$56*($O$56*4)+'LINEST VARS'!$H$56*($O$56*0.5)+'LINEST VARS'!$G$56*($O$56*12.73)+'LINEST VARS'!$F$56*($B59*4)+'LINEST VARS'!$E$56*($B59*0.5)+'LINEST VARS'!$D$56*($B59*12.73)+'LINEST VARS'!$C$56*(4*0.5)+'LINEST VARS'!$B$56*(4*12.73)+'LINEST VARS'!$A$56*(0.5*12.73)</f>
        <v>2.8400000000000012</v>
      </c>
      <c r="P59" s="51">
        <f>'LINEST VARS'!$U$56+'LINEST VARS'!$T$56*($P$56)+'LINEST VARS'!$S$56*($B59)+'LINEST VARS'!$R$56*(4)+'LINEST VARS'!$Q$56*(0.5)+'LINEST VARS'!$P$56*(12.73)+'LINEST VARS'!$O$56*($P$56^2)+'LINEST VARS'!$N$56*($B59^2)+'LINEST VARS'!$M$56*(4^2)+'LINEST VARS'!$L$56*(0.5^2)+'LINEST VARS'!$K$56*(12.73^2)+'LINEST VARS'!$J$56*($P$56*$B59)+'LINEST VARS'!$I$56*($P$56*4)+'LINEST VARS'!$H$56*($P$56*0.5)+'LINEST VARS'!$G$56*($P$56*12.73)+'LINEST VARS'!$F$56*($B59*4)+'LINEST VARS'!$E$56*($B59*0.5)+'LINEST VARS'!$D$56*($B59*12.73)+'LINEST VARS'!$C$56*(4*0.5)+'LINEST VARS'!$B$56*(4*12.73)+'LINEST VARS'!$A$56*(0.5*12.73)</f>
        <v>2.8400000000000012</v>
      </c>
      <c r="Q59" s="51">
        <f>'LINEST VARS'!$U$56+'LINEST VARS'!$T$56*($Q$56)+'LINEST VARS'!$S$56*($B59)+'LINEST VARS'!$R$56*(4)+'LINEST VARS'!$Q$56*(0.5)+'LINEST VARS'!$P$56*(12.73)+'LINEST VARS'!$O$56*($Q$56^2)+'LINEST VARS'!$N$56*($B59^2)+'LINEST VARS'!$M$56*(4^2)+'LINEST VARS'!$L$56*(0.5^2)+'LINEST VARS'!$K$56*(12.73^2)+'LINEST VARS'!$J$56*($Q$56*$B59)+'LINEST VARS'!$I$56*($Q$56*4)+'LINEST VARS'!$H$56*($Q$56*0.5)+'LINEST VARS'!$G$56*($Q$56*12.73)+'LINEST VARS'!$F$56*($B59*4)+'LINEST VARS'!$E$56*($B59*0.5)+'LINEST VARS'!$D$56*($B59*12.73)+'LINEST VARS'!$C$56*(4*0.5)+'LINEST VARS'!$B$56*(4*12.73)+'LINEST VARS'!$A$56*(0.5*12.73)</f>
        <v>2.8400000000000012</v>
      </c>
      <c r="R59" s="51">
        <f>'LINEST VARS'!$U$56+'LINEST VARS'!$T$56*($R$56)+'LINEST VARS'!$S$56*($B59)+'LINEST VARS'!$R$56*(4)+'LINEST VARS'!$Q$56*(0.5)+'LINEST VARS'!$P$56*(12.73)+'LINEST VARS'!$O$56*($R$56^2)+'LINEST VARS'!$N$56*($B59^2)+'LINEST VARS'!$M$56*(4^2)+'LINEST VARS'!$L$56*(0.5^2)+'LINEST VARS'!$K$56*(12.73^2)+'LINEST VARS'!$J$56*($R$56*$B59)+'LINEST VARS'!$I$56*($R$56*4)+'LINEST VARS'!$H$56*($R$56*0.5)+'LINEST VARS'!$G$56*($R$56*12.73)+'LINEST VARS'!$F$56*($B59*4)+'LINEST VARS'!$E$56*($B59*0.5)+'LINEST VARS'!$D$56*($B59*12.73)+'LINEST VARS'!$C$56*(4*0.5)+'LINEST VARS'!$B$56*(4*12.73)+'LINEST VARS'!$A$56*(0.5*12.73)</f>
        <v>2.8400000000000012</v>
      </c>
      <c r="S59" s="51">
        <f>'LINEST VARS'!$U$56+'LINEST VARS'!$T$56*($S$56)+'LINEST VARS'!$S$56*($B59)+'LINEST VARS'!$R$56*(4)+'LINEST VARS'!$Q$56*(0.5)+'LINEST VARS'!$P$56*(12.73)+'LINEST VARS'!$O$56*($S$56^2)+'LINEST VARS'!$N$56*($B59^2)+'LINEST VARS'!$M$56*(4^2)+'LINEST VARS'!$L$56*(0.5^2)+'LINEST VARS'!$K$56*(12.73^2)+'LINEST VARS'!$J$56*($S$56*$B59)+'LINEST VARS'!$I$56*($S$56*4)+'LINEST VARS'!$H$56*($S$56*0.5)+'LINEST VARS'!$G$56*($S$56*12.73)+'LINEST VARS'!$F$56*($B59*4)+'LINEST VARS'!$E$56*($B59*0.5)+'LINEST VARS'!$D$56*($B59*12.73)+'LINEST VARS'!$C$56*(4*0.5)+'LINEST VARS'!$B$56*(4*12.73)+'LINEST VARS'!$A$56*(0.5*12.73)</f>
        <v>2.8400000000000012</v>
      </c>
      <c r="T59" s="51">
        <f>'LINEST VARS'!$U$56+'LINEST VARS'!$T$56*($T$56)+'LINEST VARS'!$S$56*($B59)+'LINEST VARS'!$R$56*(4)+'LINEST VARS'!$Q$56*(0.5)+'LINEST VARS'!$P$56*(12.73)+'LINEST VARS'!$O$56*($T$56^2)+'LINEST VARS'!$N$56*($B59^2)+'LINEST VARS'!$M$56*(4^2)+'LINEST VARS'!$L$56*(0.5^2)+'LINEST VARS'!$K$56*(12.73^2)+'LINEST VARS'!$J$56*($T$56*$B59)+'LINEST VARS'!$I$56*($T$56*4)+'LINEST VARS'!$H$56*($T$56*0.5)+'LINEST VARS'!$G$56*($T$56*12.73)+'LINEST VARS'!$F$56*($B59*4)+'LINEST VARS'!$E$56*($B59*0.5)+'LINEST VARS'!$D$56*($B59*12.73)+'LINEST VARS'!$C$56*(4*0.5)+'LINEST VARS'!$B$56*(4*12.73)+'LINEST VARS'!$A$56*(0.5*12.73)</f>
        <v>2.8400000000000012</v>
      </c>
      <c r="U59" s="51">
        <f>'LINEST VARS'!$U$56+'LINEST VARS'!$T$56*($U$56)+'LINEST VARS'!$S$56*($B59)+'LINEST VARS'!$R$56*(4)+'LINEST VARS'!$Q$56*(0.5)+'LINEST VARS'!$P$56*(12.73)+'LINEST VARS'!$O$56*($U$56^2)+'LINEST VARS'!$N$56*($B59^2)+'LINEST VARS'!$M$56*(4^2)+'LINEST VARS'!$L$56*(0.5^2)+'LINEST VARS'!$K$56*(12.73^2)+'LINEST VARS'!$J$56*($U$56*$B59)+'LINEST VARS'!$I$56*($U$56*4)+'LINEST VARS'!$H$56*($U$56*0.5)+'LINEST VARS'!$G$56*($U$56*12.73)+'LINEST VARS'!$F$56*($B59*4)+'LINEST VARS'!$E$56*($B59*0.5)+'LINEST VARS'!$D$56*($B59*12.73)+'LINEST VARS'!$C$56*(4*0.5)+'LINEST VARS'!$B$56*(4*12.73)+'LINEST VARS'!$A$56*(0.5*12.73)</f>
        <v>2.8400000000000012</v>
      </c>
      <c r="V59" s="51">
        <f>'LINEST VARS'!$U$56+'LINEST VARS'!$T$56*($V$56)+'LINEST VARS'!$S$56*($B59)+'LINEST VARS'!$R$56*(4)+'LINEST VARS'!$Q$56*(0.5)+'LINEST VARS'!$P$56*(12.73)+'LINEST VARS'!$O$56*($V$56^2)+'LINEST VARS'!$N$56*($B59^2)+'LINEST VARS'!$M$56*(4^2)+'LINEST VARS'!$L$56*(0.5^2)+'LINEST VARS'!$K$56*(12.73^2)+'LINEST VARS'!$J$56*($V$56*$B59)+'LINEST VARS'!$I$56*($V$56*4)+'LINEST VARS'!$H$56*($V$56*0.5)+'LINEST VARS'!$G$56*($V$56*12.73)+'LINEST VARS'!$F$56*($B59*4)+'LINEST VARS'!$E$56*($B59*0.5)+'LINEST VARS'!$D$56*($B59*12.73)+'LINEST VARS'!$C$56*(4*0.5)+'LINEST VARS'!$B$56*(4*12.73)+'LINEST VARS'!$A$56*(0.5*12.73)</f>
        <v>2.8400000000000012</v>
      </c>
      <c r="W59" s="52">
        <f>'LINEST VARS'!$U$56+'LINEST VARS'!$T$56*($W$56)+'LINEST VARS'!$S$56*($B59)+'LINEST VARS'!$R$56*(4)+'LINEST VARS'!$Q$56*(0.5)+'LINEST VARS'!$P$56*(12.73)+'LINEST VARS'!$O$56*($W$56^2)+'LINEST VARS'!$N$56*($B59^2)+'LINEST VARS'!$M$56*(4^2)+'LINEST VARS'!$L$56*(0.5^2)+'LINEST VARS'!$K$56*(12.73^2)+'LINEST VARS'!$J$56*($W$56*$B59)+'LINEST VARS'!$I$56*($W$56*4)+'LINEST VARS'!$H$56*($W$56*0.5)+'LINEST VARS'!$G$56*($W$56*12.73)+'LINEST VARS'!$F$56*($B59*4)+'LINEST VARS'!$E$56*($B59*0.5)+'LINEST VARS'!$D$56*($B59*12.73)+'LINEST VARS'!$C$56*(4*0.5)+'LINEST VARS'!$B$56*(4*12.73)+'LINEST VARS'!$A$56*(0.5*12.73)</f>
        <v>2.8400000000000012</v>
      </c>
      <c r="Z59" s="45">
        <v>7.52</v>
      </c>
      <c r="AA59" s="51">
        <f>'LINEST VARS'!$U$58+'LINEST VARS'!$T$58*($AA$56)+'LINEST VARS'!$S$58*($Z59)+'LINEST VARS'!$R$58*(4)+'LINEST VARS'!$Q$58*(0.5)+'LINEST VARS'!$P$58*(12.73)+'LINEST VARS'!$O$58*($AA$56^2)+'LINEST VARS'!$N$58*($Z59^2)+'LINEST VARS'!$M$58*(4^2)+'LINEST VARS'!$L$58*(0.5^2)+'LINEST VARS'!$K$58*(12.73^2)+'LINEST VARS'!$J$58*($AA$56*$Z59)+'LINEST VARS'!$I$58*($AA$56*4)+'LINEST VARS'!$H$58*($AA$56*0.5)+'LINEST VARS'!$G$58*($AA$56*12.73)+'LINEST VARS'!$F$58*($Z59*4)+'LINEST VARS'!$E$58*($Z59*0.5)+'LINEST VARS'!$D$58*($Z59*12.73)+'LINEST VARS'!$C$58*(4*0.5)+'LINEST VARS'!$B$58*(4*12.73)+'LINEST VARS'!$A$58*(0.5*12.73)</f>
        <v>0.94365000000000032</v>
      </c>
      <c r="AB59" s="51">
        <f>'LINEST VARS'!$U$58+'LINEST VARS'!$T$58*($AB$56)+'LINEST VARS'!$S$58*($Z59)+'LINEST VARS'!$R$58*(4)+'LINEST VARS'!$Q$58*(0.5)+'LINEST VARS'!$P$58*(12.73)+'LINEST VARS'!$O$58*($AB$56^2)+'LINEST VARS'!$N$58*($Z59^2)+'LINEST VARS'!$M$58*(4^2)+'LINEST VARS'!$L$58*(0.5^2)+'LINEST VARS'!$K$58*(12.73^2)+'LINEST VARS'!$J$58*($AB$56*$Z59)+'LINEST VARS'!$I$58*($AB$56*4)+'LINEST VARS'!$H$58*($AB$56*0.5)+'LINEST VARS'!$G$58*($AB$56*12.73)+'LINEST VARS'!$F$58*($Z59*4)+'LINEST VARS'!$E$58*($Z59*0.5)+'LINEST VARS'!$D$58*($Z59*12.73)+'LINEST VARS'!$C$58*(4*0.5)+'LINEST VARS'!$B$58*(4*12.73)+'LINEST VARS'!$A$58*(0.5*12.73)</f>
        <v>0.94365000000000032</v>
      </c>
      <c r="AC59" s="51">
        <f>'LINEST VARS'!$U$58+'LINEST VARS'!$T$58*($AC$56)+'LINEST VARS'!$S$58*($Z59)+'LINEST VARS'!$R$58*(4)+'LINEST VARS'!$Q$58*(0.5)+'LINEST VARS'!$P$58*(12.73)+'LINEST VARS'!$O$58*($AC$56^2)+'LINEST VARS'!$N$58*($Z59^2)+'LINEST VARS'!$M$58*(4^2)+'LINEST VARS'!$L$58*(0.5^2)+'LINEST VARS'!$K$58*(12.73^2)+'LINEST VARS'!$J$58*($AC$56*$Z59)+'LINEST VARS'!$I$58*($AC$56*4)+'LINEST VARS'!$H$58*($AC$56*0.5)+'LINEST VARS'!$G$58*($AC$56*12.73)+'LINEST VARS'!$F$58*($Z59*4)+'LINEST VARS'!$E$58*($Z59*0.5)+'LINEST VARS'!$D$58*($Z59*12.73)+'LINEST VARS'!$C$58*(4*0.5)+'LINEST VARS'!$B$58*(4*12.73)+'LINEST VARS'!$A$58*(0.5*12.73)</f>
        <v>0.94365000000000032</v>
      </c>
      <c r="AD59" s="51">
        <f>'LINEST VARS'!$U$58+'LINEST VARS'!$T$58*($AD$56)+'LINEST VARS'!$S$58*($Z59)+'LINEST VARS'!$R$58*(4)+'LINEST VARS'!$Q$58*(0.5)+'LINEST VARS'!$P$58*(12.73)+'LINEST VARS'!$O$58*($AD$56^2)+'LINEST VARS'!$N$58*($Z59^2)+'LINEST VARS'!$M$58*(4^2)+'LINEST VARS'!$L$58*(0.5^2)+'LINEST VARS'!$K$58*(12.73^2)+'LINEST VARS'!$J$58*($AD$56*$Z59)+'LINEST VARS'!$I$58*($AD$56*4)+'LINEST VARS'!$H$58*($AD$56*0.5)+'LINEST VARS'!$G$58*($AD$56*12.73)+'LINEST VARS'!$F$58*($Z59*4)+'LINEST VARS'!$E$58*($Z59*0.5)+'LINEST VARS'!$D$58*($Z59*12.73)+'LINEST VARS'!$C$58*(4*0.5)+'LINEST VARS'!$B$58*(4*12.73)+'LINEST VARS'!$A$58*(0.5*12.73)</f>
        <v>0.94365000000000032</v>
      </c>
      <c r="AE59" s="51">
        <f>'LINEST VARS'!$U$58+'LINEST VARS'!$T$58*($AE$56)+'LINEST VARS'!$S$58*($Z59)+'LINEST VARS'!$R$58*(4)+'LINEST VARS'!$Q$58*(0.5)+'LINEST VARS'!$P$58*(12.73)+'LINEST VARS'!$O$58*($AE$56^2)+'LINEST VARS'!$N$58*($Z59^2)+'LINEST VARS'!$M$58*(4^2)+'LINEST VARS'!$L$58*(0.5^2)+'LINEST VARS'!$K$58*(12.73^2)+'LINEST VARS'!$J$58*($AE$56*$Z59)+'LINEST VARS'!$I$58*($AE$56*4)+'LINEST VARS'!$H$58*($AE$56*0.5)+'LINEST VARS'!$G$58*($AE$56*12.73)+'LINEST VARS'!$F$58*($Z59*4)+'LINEST VARS'!$E$58*($Z59*0.5)+'LINEST VARS'!$D$58*($Z59*12.73)+'LINEST VARS'!$C$58*(4*0.5)+'LINEST VARS'!$B$58*(4*12.73)+'LINEST VARS'!$A$58*(0.5*12.73)</f>
        <v>0.94365000000000032</v>
      </c>
      <c r="AF59" s="51">
        <f>'LINEST VARS'!$U$58+'LINEST VARS'!$T$58*($AF$56)+'LINEST VARS'!$S$58*($Z59)+'LINEST VARS'!$R$58*(4)+'LINEST VARS'!$Q$58*(0.5)+'LINEST VARS'!$P$58*(12.73)+'LINEST VARS'!$O$58*($AF$56^2)+'LINEST VARS'!$N$58*($Z59^2)+'LINEST VARS'!$M$58*(4^2)+'LINEST VARS'!$L$58*(0.5^2)+'LINEST VARS'!$K$58*(12.73^2)+'LINEST VARS'!$J$58*($AF$56*$Z59)+'LINEST VARS'!$I$58*($AF$56*4)+'LINEST VARS'!$H$58*($AF$56*0.5)+'LINEST VARS'!$G$58*($AF$56*12.73)+'LINEST VARS'!$F$58*($Z59*4)+'LINEST VARS'!$E$58*($Z59*0.5)+'LINEST VARS'!$D$58*($Z59*12.73)+'LINEST VARS'!$C$58*(4*0.5)+'LINEST VARS'!$B$58*(4*12.73)+'LINEST VARS'!$A$58*(0.5*12.73)</f>
        <v>0.94365000000000032</v>
      </c>
      <c r="AG59" s="51">
        <f>'LINEST VARS'!$U$58+'LINEST VARS'!$T$58*($AG$56)+'LINEST VARS'!$S$58*($Z59)+'LINEST VARS'!$R$58*(4)+'LINEST VARS'!$Q$58*(0.5)+'LINEST VARS'!$P$58*(12.73)+'LINEST VARS'!$O$58*($AG$56^2)+'LINEST VARS'!$N$58*($Z59^2)+'LINEST VARS'!$M$58*(4^2)+'LINEST VARS'!$L$58*(0.5^2)+'LINEST VARS'!$K$58*(12.73^2)+'LINEST VARS'!$J$58*($AG$56*$Z59)+'LINEST VARS'!$I$58*($AG$56*4)+'LINEST VARS'!$H$58*($AG$56*0.5)+'LINEST VARS'!$G$58*($AG$56*12.73)+'LINEST VARS'!$F$58*($Z59*4)+'LINEST VARS'!$E$58*($Z59*0.5)+'LINEST VARS'!$D$58*($Z59*12.73)+'LINEST VARS'!$C$58*(4*0.5)+'LINEST VARS'!$B$58*(4*12.73)+'LINEST VARS'!$A$58*(0.5*12.73)</f>
        <v>0.94365000000000032</v>
      </c>
      <c r="AH59" s="51">
        <f>'LINEST VARS'!$U$58+'LINEST VARS'!$T$58*($AH$56)+'LINEST VARS'!$S$58*($Z59)+'LINEST VARS'!$R$58*(4)+'LINEST VARS'!$Q$58*(0.5)+'LINEST VARS'!$P$58*(12.73)+'LINEST VARS'!$O$58*($AH$56^2)+'LINEST VARS'!$N$58*($Z59^2)+'LINEST VARS'!$M$58*(4^2)+'LINEST VARS'!$L$58*(0.5^2)+'LINEST VARS'!$K$58*(12.73^2)+'LINEST VARS'!$J$58*($AH$56*$Z59)+'LINEST VARS'!$I$58*($AH$56*4)+'LINEST VARS'!$H$58*($AH$56*0.5)+'LINEST VARS'!$G$58*($AH$56*12.73)+'LINEST VARS'!$F$58*($Z59*4)+'LINEST VARS'!$E$58*($Z59*0.5)+'LINEST VARS'!$D$58*($Z59*12.73)+'LINEST VARS'!$C$58*(4*0.5)+'LINEST VARS'!$B$58*(4*12.73)+'LINEST VARS'!$A$58*(0.5*12.73)</f>
        <v>0.94365000000000032</v>
      </c>
      <c r="AI59" s="51">
        <f>'LINEST VARS'!$U$58+'LINEST VARS'!$T$58*($AI$56)+'LINEST VARS'!$S$58*($Z59)+'LINEST VARS'!$R$58*(4)+'LINEST VARS'!$Q$58*(0.5)+'LINEST VARS'!$P$58*(12.73)+'LINEST VARS'!$O$58*($AI$56^2)+'LINEST VARS'!$N$58*($Z59^2)+'LINEST VARS'!$M$58*(4^2)+'LINEST VARS'!$L$58*(0.5^2)+'LINEST VARS'!$K$58*(12.73^2)+'LINEST VARS'!$J$58*($AI$56*$Z59)+'LINEST VARS'!$I$58*($AI$56*4)+'LINEST VARS'!$H$58*($AI$56*0.5)+'LINEST VARS'!$G$58*($AI$56*12.73)+'LINEST VARS'!$F$58*($Z59*4)+'LINEST VARS'!$E$58*($Z59*0.5)+'LINEST VARS'!$D$58*($Z59*12.73)+'LINEST VARS'!$C$58*(4*0.5)+'LINEST VARS'!$B$58*(4*12.73)+'LINEST VARS'!$A$58*(0.5*12.73)</f>
        <v>0.94365000000000032</v>
      </c>
      <c r="AJ59" s="51">
        <f>'LINEST VARS'!$U$58+'LINEST VARS'!$T$58*($AJ$56)+'LINEST VARS'!$S$58*($Z59)+'LINEST VARS'!$R$58*(4)+'LINEST VARS'!$Q$58*(0.5)+'LINEST VARS'!$P$58*(12.73)+'LINEST VARS'!$O$58*($AJ$56^2)+'LINEST VARS'!$N$58*($Z59^2)+'LINEST VARS'!$M$58*(4^2)+'LINEST VARS'!$L$58*(0.5^2)+'LINEST VARS'!$K$58*(12.73^2)+'LINEST VARS'!$J$58*($AJ$56*$Z59)+'LINEST VARS'!$I$58*($AJ$56*4)+'LINEST VARS'!$H$58*($AJ$56*0.5)+'LINEST VARS'!$G$58*($AJ$56*12.73)+'LINEST VARS'!$F$58*($Z59*4)+'LINEST VARS'!$E$58*($Z59*0.5)+'LINEST VARS'!$D$58*($Z59*12.73)+'LINEST VARS'!$C$58*(4*0.5)+'LINEST VARS'!$B$58*(4*12.73)+'LINEST VARS'!$A$58*(0.5*12.73)</f>
        <v>0.94365000000000032</v>
      </c>
      <c r="AK59" s="51">
        <f>'LINEST VARS'!$U$58+'LINEST VARS'!$T$58*($AK$56)+'LINEST VARS'!$S$58*($Z59)+'LINEST VARS'!$R$58*(4)+'LINEST VARS'!$Q$58*(0.5)+'LINEST VARS'!$P$58*(12.73)+'LINEST VARS'!$O$58*($AK$56^2)+'LINEST VARS'!$N$58*($Z59^2)+'LINEST VARS'!$M$58*(4^2)+'LINEST VARS'!$L$58*(0.5^2)+'LINEST VARS'!$K$58*(12.73^2)+'LINEST VARS'!$J$58*($AK$56*$Z59)+'LINEST VARS'!$I$58*($AK$56*4)+'LINEST VARS'!$H$58*($AK$56*0.5)+'LINEST VARS'!$G$58*($AK$56*12.73)+'LINEST VARS'!$F$58*($Z59*4)+'LINEST VARS'!$E$58*($Z59*0.5)+'LINEST VARS'!$D$58*($Z59*12.73)+'LINEST VARS'!$C$58*(4*0.5)+'LINEST VARS'!$B$58*(4*12.73)+'LINEST VARS'!$A$58*(0.5*12.73)</f>
        <v>0.94365000000000032</v>
      </c>
      <c r="AL59" s="51">
        <f>'LINEST VARS'!$U$58+'LINEST VARS'!$T$58*($AL$56)+'LINEST VARS'!$S$58*($Z59)+'LINEST VARS'!$R$58*(4)+'LINEST VARS'!$Q$58*(0.5)+'LINEST VARS'!$P$58*(12.73)+'LINEST VARS'!$O$58*($AL$56^2)+'LINEST VARS'!$N$58*($Z59^2)+'LINEST VARS'!$M$58*(4^2)+'LINEST VARS'!$L$58*(0.5^2)+'LINEST VARS'!$K$58*(12.73^2)+'LINEST VARS'!$J$58*($AL$56*$Z59)+'LINEST VARS'!$I$58*($AL$56*4)+'LINEST VARS'!$H$58*($AL$56*0.5)+'LINEST VARS'!$G$58*($AL$56*12.73)+'LINEST VARS'!$F$58*($Z59*4)+'LINEST VARS'!$E$58*($Z59*0.5)+'LINEST VARS'!$D$58*($Z59*12.73)+'LINEST VARS'!$C$58*(4*0.5)+'LINEST VARS'!$B$58*(4*12.73)+'LINEST VARS'!$A$58*(0.5*12.73)</f>
        <v>0.94365000000000032</v>
      </c>
      <c r="AM59" s="51">
        <f>'LINEST VARS'!$U$58+'LINEST VARS'!$T$58*($AM$56)+'LINEST VARS'!$S$58*($Z59)+'LINEST VARS'!$R$58*(4)+'LINEST VARS'!$Q$58*(0.5)+'LINEST VARS'!$P$58*(12.73)+'LINEST VARS'!$O$58*($AM$56^2)+'LINEST VARS'!$N$58*($Z59^2)+'LINEST VARS'!$M$58*(4^2)+'LINEST VARS'!$L$58*(0.5^2)+'LINEST VARS'!$K$58*(12.73^2)+'LINEST VARS'!$J$58*($AM$56*$Z59)+'LINEST VARS'!$I$58*($AM$56*4)+'LINEST VARS'!$H$58*($AM$56*0.5)+'LINEST VARS'!$G$58*($AM$56*12.73)+'LINEST VARS'!$F$58*($Z59*4)+'LINEST VARS'!$E$58*($Z59*0.5)+'LINEST VARS'!$D$58*($Z59*12.73)+'LINEST VARS'!$C$58*(4*0.5)+'LINEST VARS'!$B$58*(4*12.73)+'LINEST VARS'!$A$58*(0.5*12.73)</f>
        <v>0.94365000000000021</v>
      </c>
      <c r="AN59" s="51">
        <f>'LINEST VARS'!$U$58+'LINEST VARS'!$T$58*($AN$56)+'LINEST VARS'!$S$58*($Z59)+'LINEST VARS'!$R$58*(4)+'LINEST VARS'!$Q$58*(0.5)+'LINEST VARS'!$P$58*(12.73)+'LINEST VARS'!$O$58*($AN$56^2)+'LINEST VARS'!$N$58*($Z59^2)+'LINEST VARS'!$M$58*(4^2)+'LINEST VARS'!$L$58*(0.5^2)+'LINEST VARS'!$K$58*(12.73^2)+'LINEST VARS'!$J$58*($AN$56*$Z59)+'LINEST VARS'!$I$58*($AN$56*4)+'LINEST VARS'!$H$58*($AN$56*0.5)+'LINEST VARS'!$G$58*($AN$56*12.73)+'LINEST VARS'!$F$58*($Z59*4)+'LINEST VARS'!$E$58*($Z59*0.5)+'LINEST VARS'!$D$58*($Z59*12.73)+'LINEST VARS'!$C$58*(4*0.5)+'LINEST VARS'!$B$58*(4*12.73)+'LINEST VARS'!$A$58*(0.5*12.73)</f>
        <v>0.94365000000000021</v>
      </c>
      <c r="AO59" s="51">
        <f>'LINEST VARS'!$U$58+'LINEST VARS'!$T$58*($AO$56)+'LINEST VARS'!$S$58*($Z59)+'LINEST VARS'!$R$58*(4)+'LINEST VARS'!$Q$58*(0.5)+'LINEST VARS'!$P$58*(12.73)+'LINEST VARS'!$O$58*($AO$56^2)+'LINEST VARS'!$N$58*($Z59^2)+'LINEST VARS'!$M$58*(4^2)+'LINEST VARS'!$L$58*(0.5^2)+'LINEST VARS'!$K$58*(12.73^2)+'LINEST VARS'!$J$58*($AO$56*$Z59)+'LINEST VARS'!$I$58*($AO$56*4)+'LINEST VARS'!$H$58*($AO$56*0.5)+'LINEST VARS'!$G$58*($AO$56*12.73)+'LINEST VARS'!$F$58*($Z59*4)+'LINEST VARS'!$E$58*($Z59*0.5)+'LINEST VARS'!$D$58*($Z59*12.73)+'LINEST VARS'!$C$58*(4*0.5)+'LINEST VARS'!$B$58*(4*12.73)+'LINEST VARS'!$A$58*(0.5*12.73)</f>
        <v>0.94365000000000021</v>
      </c>
      <c r="AP59" s="51">
        <f>'LINEST VARS'!$U$58+'LINEST VARS'!$T$58*($AP$56)+'LINEST VARS'!$S$58*($Z59)+'LINEST VARS'!$R$58*(4)+'LINEST VARS'!$Q$58*(0.5)+'LINEST VARS'!$P$58*(12.73)+'LINEST VARS'!$O$58*($AP$56^2)+'LINEST VARS'!$N$58*($Z59^2)+'LINEST VARS'!$M$58*(4^2)+'LINEST VARS'!$L$58*(0.5^2)+'LINEST VARS'!$K$58*(12.73^2)+'LINEST VARS'!$J$58*($AP$56*$Z59)+'LINEST VARS'!$I$58*($AP$56*4)+'LINEST VARS'!$H$58*($AP$56*0.5)+'LINEST VARS'!$G$58*($AP$56*12.73)+'LINEST VARS'!$F$58*($Z59*4)+'LINEST VARS'!$E$58*($Z59*0.5)+'LINEST VARS'!$D$58*($Z59*12.73)+'LINEST VARS'!$C$58*(4*0.5)+'LINEST VARS'!$B$58*(4*12.73)+'LINEST VARS'!$A$58*(0.5*12.73)</f>
        <v>0.94365000000000021</v>
      </c>
      <c r="AQ59" s="51">
        <f>'LINEST VARS'!$U$58+'LINEST VARS'!$T$58*($AQ$56)+'LINEST VARS'!$S$58*($Z59)+'LINEST VARS'!$R$58*(4)+'LINEST VARS'!$Q$58*(0.5)+'LINEST VARS'!$P$58*(12.73)+'LINEST VARS'!$O$58*($AQ$56^2)+'LINEST VARS'!$N$58*($Z59^2)+'LINEST VARS'!$M$58*(4^2)+'LINEST VARS'!$L$58*(0.5^2)+'LINEST VARS'!$K$58*(12.73^2)+'LINEST VARS'!$J$58*($AQ$56*$Z59)+'LINEST VARS'!$I$58*($AQ$56*4)+'LINEST VARS'!$H$58*($AQ$56*0.5)+'LINEST VARS'!$G$58*($AQ$56*12.73)+'LINEST VARS'!$F$58*($Z59*4)+'LINEST VARS'!$E$58*($Z59*0.5)+'LINEST VARS'!$D$58*($Z59*12.73)+'LINEST VARS'!$C$58*(4*0.5)+'LINEST VARS'!$B$58*(4*12.73)+'LINEST VARS'!$A$58*(0.5*12.73)</f>
        <v>0.94365000000000021</v>
      </c>
      <c r="AR59" s="51">
        <f>'LINEST VARS'!$U$58+'LINEST VARS'!$T$58*($AR$56)+'LINEST VARS'!$S$58*($Z59)+'LINEST VARS'!$R$58*(4)+'LINEST VARS'!$Q$58*(0.5)+'LINEST VARS'!$P$58*(12.73)+'LINEST VARS'!$O$58*($AR$56^2)+'LINEST VARS'!$N$58*($Z59^2)+'LINEST VARS'!$M$58*(4^2)+'LINEST VARS'!$L$58*(0.5^2)+'LINEST VARS'!$K$58*(12.73^2)+'LINEST VARS'!$J$58*($AR$56*$Z59)+'LINEST VARS'!$I$58*($AR$56*4)+'LINEST VARS'!$H$58*($AR$56*0.5)+'LINEST VARS'!$G$58*($AR$56*12.73)+'LINEST VARS'!$F$58*($Z59*4)+'LINEST VARS'!$E$58*($Z59*0.5)+'LINEST VARS'!$D$58*($Z59*12.73)+'LINEST VARS'!$C$58*(4*0.5)+'LINEST VARS'!$B$58*(4*12.73)+'LINEST VARS'!$A$58*(0.5*12.73)</f>
        <v>0.94365000000000021</v>
      </c>
      <c r="AS59" s="51">
        <f>'LINEST VARS'!$U$58+'LINEST VARS'!$T$58*($AS$56)+'LINEST VARS'!$S$58*($Z59)+'LINEST VARS'!$R$58*(4)+'LINEST VARS'!$Q$58*(0.5)+'LINEST VARS'!$P$58*(12.73)+'LINEST VARS'!$O$58*($AS$56^2)+'LINEST VARS'!$N$58*($Z59^2)+'LINEST VARS'!$M$58*(4^2)+'LINEST VARS'!$L$58*(0.5^2)+'LINEST VARS'!$K$58*(12.73^2)+'LINEST VARS'!$J$58*($AS$56*$Z59)+'LINEST VARS'!$I$58*($AS$56*4)+'LINEST VARS'!$H$58*($AS$56*0.5)+'LINEST VARS'!$G$58*($AS$56*12.73)+'LINEST VARS'!$F$58*($Z59*4)+'LINEST VARS'!$E$58*($Z59*0.5)+'LINEST VARS'!$D$58*($Z59*12.73)+'LINEST VARS'!$C$58*(4*0.5)+'LINEST VARS'!$B$58*(4*12.73)+'LINEST VARS'!$A$58*(0.5*12.73)</f>
        <v>0.94365000000000032</v>
      </c>
      <c r="AT59" s="51">
        <f>'LINEST VARS'!$U$58+'LINEST VARS'!$T$58*($AT$56)+'LINEST VARS'!$S$58*($Z59)+'LINEST VARS'!$R$58*(4)+'LINEST VARS'!$Q$58*(0.5)+'LINEST VARS'!$P$58*(12.73)+'LINEST VARS'!$O$58*($AT$56^2)+'LINEST VARS'!$N$58*($Z59^2)+'LINEST VARS'!$M$58*(4^2)+'LINEST VARS'!$L$58*(0.5^2)+'LINEST VARS'!$K$58*(12.73^2)+'LINEST VARS'!$J$58*($AT$56*$Z59)+'LINEST VARS'!$I$58*($AT$56*4)+'LINEST VARS'!$H$58*($AT$56*0.5)+'LINEST VARS'!$G$58*($AT$56*12.73)+'LINEST VARS'!$F$58*($Z59*4)+'LINEST VARS'!$E$58*($Z59*0.5)+'LINEST VARS'!$D$58*($Z59*12.73)+'LINEST VARS'!$C$58*(4*0.5)+'LINEST VARS'!$B$58*(4*12.73)+'LINEST VARS'!$A$58*(0.5*12.73)</f>
        <v>0.94365000000000032</v>
      </c>
      <c r="AU59" s="52">
        <f>'LINEST VARS'!$U$58+'LINEST VARS'!$T$58*($AU$56)+'LINEST VARS'!$S$58*($Z59)+'LINEST VARS'!$R$58*(4)+'LINEST VARS'!$Q$58*(0.5)+'LINEST VARS'!$P$58*(12.73)+'LINEST VARS'!$O$58*($AU$56^2)+'LINEST VARS'!$N$58*($Z59^2)+'LINEST VARS'!$M$58*(4^2)+'LINEST VARS'!$L$58*(0.5^2)+'LINEST VARS'!$K$58*(12.73^2)+'LINEST VARS'!$J$58*($AU$56*$Z59)+'LINEST VARS'!$I$58*($AU$56*4)+'LINEST VARS'!$H$58*($AU$56*0.5)+'LINEST VARS'!$G$58*($AU$56*12.73)+'LINEST VARS'!$F$58*($Z59*4)+'LINEST VARS'!$E$58*($Z59*0.5)+'LINEST VARS'!$D$58*($Z59*12.73)+'LINEST VARS'!$C$58*(4*0.5)+'LINEST VARS'!$B$58*(4*12.73)+'LINEST VARS'!$A$58*(0.5*12.73)</f>
        <v>0.94365000000000021</v>
      </c>
      <c r="AZ59" s="45">
        <v>0.1</v>
      </c>
      <c r="BA59" s="51">
        <f>'LINEST VARS'!$U$56+'LINEST VARS'!$T$56*(8)+'LINEST VARS'!$S$56*(8)+'LINEST VARS'!$R$56*($BA$56)+'LINEST VARS'!$Q$56*($AZ59)+'LINEST VARS'!$P$56*(12.73)+'LINEST VARS'!$O$56*(8^2)+'LINEST VARS'!$N$56*(8^2)+'LINEST VARS'!$M$56*($BA$56^2)+'LINEST VARS'!$L$56*($AZ59^2)+'LINEST VARS'!$K$56*(12.73^2)+'LINEST VARS'!$J$56*(8*8)+'LINEST VARS'!$I$56*(8*$BA$56)+'LINEST VARS'!$H$56*(8*$AZ59)+'LINEST VARS'!$G$56*(8*12.73)+'LINEST VARS'!$F$56*(8*$BA$56)+'LINEST VARS'!$E$56*(8*$AZ59)+'LINEST VARS'!$D$56*(8*12.73)+'LINEST VARS'!$C$56*($BA$56*$AZ59)+'LINEST VARS'!$B$56*($BA$56*12.73)+'LINEST VARS'!$A$56*($AZ59*12.73)</f>
        <v>2.8000000000000012</v>
      </c>
      <c r="BB59" s="51">
        <f>'LINEST VARS'!$U$56+'LINEST VARS'!$T$56*(8)+'LINEST VARS'!$S$56*(8)+'LINEST VARS'!$R$56*($BB$56)+'LINEST VARS'!$Q$56*($AZ59)+'LINEST VARS'!$P$56*(12.73)+'LINEST VARS'!$O$56*(8^2)+'LINEST VARS'!$N$56*(8^2)+'LINEST VARS'!$M$56*($BB$56^2)+'LINEST VARS'!$L$56*($AZ59^2)+'LINEST VARS'!$K$56*(12.73^2)+'LINEST VARS'!$J$56*(8*8)+'LINEST VARS'!$I$56*(8*$BB$56)+'LINEST VARS'!$H$56*(8*$AZ59)+'LINEST VARS'!$G$56*(8*12.73)+'LINEST VARS'!$F$56*(8*$BB$56)+'LINEST VARS'!$E$56*(8*$AZ59)+'LINEST VARS'!$D$56*(8*12.73)+'LINEST VARS'!$C$56*($BB$56*$AZ59)+'LINEST VARS'!$B$56*($BB$56*12.73)+'LINEST VARS'!$A$56*($AZ59*12.73)</f>
        <v>2.8184000000000013</v>
      </c>
      <c r="BC59" s="51">
        <f>'LINEST VARS'!$U$56+'LINEST VARS'!$T$56*(8)+'LINEST VARS'!$S$56*(8)+'LINEST VARS'!$R$56*($BC$56)+'LINEST VARS'!$Q$56*($AZ59)+'LINEST VARS'!$P$56*(12.73)+'LINEST VARS'!$O$56*(8^2)+'LINEST VARS'!$N$56*(8^2)+'LINEST VARS'!$M$56*($BC$56^2)+'LINEST VARS'!$L$56*($AZ59^2)+'LINEST VARS'!$K$56*(12.73^2)+'LINEST VARS'!$J$56*(8*8)+'LINEST VARS'!$I$56*(8*$BC$56)+'LINEST VARS'!$H$56*(8*$AZ59)+'LINEST VARS'!$G$56*(8*12.73)+'LINEST VARS'!$F$56*(8*$BC$56)+'LINEST VARS'!$E$56*(8*$AZ59)+'LINEST VARS'!$D$56*(8*12.73)+'LINEST VARS'!$C$56*($BC$56*$AZ59)+'LINEST VARS'!$B$56*($BC$56*12.73)+'LINEST VARS'!$A$56*($AZ59*12.73)</f>
        <v>2.833600000000001</v>
      </c>
      <c r="BD59" s="51">
        <f>'LINEST VARS'!$U$56+'LINEST VARS'!$T$56*(8)+'LINEST VARS'!$S$56*(8)+'LINEST VARS'!$R$56*($BD$56)+'LINEST VARS'!$Q$56*($AZ59)+'LINEST VARS'!$P$56*(12.73)+'LINEST VARS'!$O$56*(8^2)+'LINEST VARS'!$N$56*(8^2)+'LINEST VARS'!$M$56*($BD$56^2)+'LINEST VARS'!$L$56*($AZ59^2)+'LINEST VARS'!$K$56*(12.73^2)+'LINEST VARS'!$J$56*(8*8)+'LINEST VARS'!$I$56*(8*$BD$56)+'LINEST VARS'!$H$56*(8*$AZ59)+'LINEST VARS'!$G$56*(8*12.73)+'LINEST VARS'!$F$56*(8*$BD$56)+'LINEST VARS'!$E$56*(8*$AZ59)+'LINEST VARS'!$D$56*(8*12.73)+'LINEST VARS'!$C$56*($BD$56*$AZ59)+'LINEST VARS'!$B$56*($BD$56*12.73)+'LINEST VARS'!$A$56*($AZ59*12.73)</f>
        <v>2.845600000000001</v>
      </c>
      <c r="BE59" s="51">
        <f>'LINEST VARS'!$U$56+'LINEST VARS'!$T$56*(8)+'LINEST VARS'!$S$56*(8)+'LINEST VARS'!$R$56*($BE$56)+'LINEST VARS'!$Q$56*($AZ59)+'LINEST VARS'!$P$56*(12.73)+'LINEST VARS'!$O$56*(8^2)+'LINEST VARS'!$N$56*(8^2)+'LINEST VARS'!$M$56*($BE$56^2)+'LINEST VARS'!$L$56*($AZ59^2)+'LINEST VARS'!$K$56*(12.73^2)+'LINEST VARS'!$J$56*(8*8)+'LINEST VARS'!$I$56*(8*$BE$56)+'LINEST VARS'!$H$56*(8*$AZ59)+'LINEST VARS'!$G$56*(8*12.73)+'LINEST VARS'!$F$56*(8*$BE$56)+'LINEST VARS'!$E$56*(8*$AZ59)+'LINEST VARS'!$D$56*(8*12.73)+'LINEST VARS'!$C$56*($BE$56*$AZ59)+'LINEST VARS'!$B$56*($BE$56*12.73)+'LINEST VARS'!$A$56*($AZ59*12.73)</f>
        <v>2.8544000000000014</v>
      </c>
      <c r="BF59" s="51">
        <f>'LINEST VARS'!$U$56+'LINEST VARS'!$T$56*(8)+'LINEST VARS'!$S$56*(8)+'LINEST VARS'!$R$56*($BF$56)+'LINEST VARS'!$Q$56*($AZ59)+'LINEST VARS'!$P$56*(12.73)+'LINEST VARS'!$O$56*(8^2)+'LINEST VARS'!$N$56*(8^2)+'LINEST VARS'!$M$56*($BF$56^2)+'LINEST VARS'!$L$56*($AZ59^2)+'LINEST VARS'!$K$56*(12.73^2)+'LINEST VARS'!$J$56*(8*8)+'LINEST VARS'!$I$56*(8*$BF$56)+'LINEST VARS'!$H$56*(8*$AZ59)+'LINEST VARS'!$G$56*(8*12.73)+'LINEST VARS'!$F$56*(8*$BF$56)+'LINEST VARS'!$E$56*(8*$AZ59)+'LINEST VARS'!$D$56*(8*12.73)+'LINEST VARS'!$C$56*($BF$56*$AZ59)+'LINEST VARS'!$B$56*($BF$56*12.73)+'LINEST VARS'!$A$56*($AZ59*12.73)</f>
        <v>2.8600000000000012</v>
      </c>
      <c r="BG59" s="51">
        <f>'LINEST VARS'!$U$56+'LINEST VARS'!$T$56*(8)+'LINEST VARS'!$S$56*(8)+'LINEST VARS'!$R$56*($BG$56)+'LINEST VARS'!$Q$56*($AZ59)+'LINEST VARS'!$P$56*(12.73)+'LINEST VARS'!$O$56*(8^2)+'LINEST VARS'!$N$56*(8^2)+'LINEST VARS'!$M$56*($BG$56^2)+'LINEST VARS'!$L$56*($AZ59^2)+'LINEST VARS'!$K$56*(12.73^2)+'LINEST VARS'!$J$56*(8*8)+'LINEST VARS'!$I$56*(8*$BG$56)+'LINEST VARS'!$H$56*(8*$AZ59)+'LINEST VARS'!$G$56*(8*12.73)+'LINEST VARS'!$F$56*(8*$BG$56)+'LINEST VARS'!$E$56*(8*$AZ59)+'LINEST VARS'!$D$56*(8*12.73)+'LINEST VARS'!$C$56*($BG$56*$AZ59)+'LINEST VARS'!$B$56*($BG$56*12.73)+'LINEST VARS'!$A$56*($AZ59*12.73)</f>
        <v>2.8624000000000014</v>
      </c>
      <c r="BH59" s="51">
        <f>'LINEST VARS'!$U$56+'LINEST VARS'!$T$56*(8)+'LINEST VARS'!$S$56*(8)+'LINEST VARS'!$R$56*($BH$56)+'LINEST VARS'!$Q$56*($AZ59)+'LINEST VARS'!$P$56*(12.73)+'LINEST VARS'!$O$56*(8^2)+'LINEST VARS'!$N$56*(8^2)+'LINEST VARS'!$M$56*($BH$56^2)+'LINEST VARS'!$L$56*($AZ59^2)+'LINEST VARS'!$K$56*(12.73^2)+'LINEST VARS'!$J$56*(8*8)+'LINEST VARS'!$I$56*(8*$BH$56)+'LINEST VARS'!$H$56*(8*$AZ59)+'LINEST VARS'!$G$56*(8*12.73)+'LINEST VARS'!$F$56*(8*$BH$56)+'LINEST VARS'!$E$56*(8*$AZ59)+'LINEST VARS'!$D$56*(8*12.73)+'LINEST VARS'!$C$56*($BH$56*$AZ59)+'LINEST VARS'!$B$56*($BH$56*12.73)+'LINEST VARS'!$A$56*($AZ59*12.73)</f>
        <v>2.861600000000001</v>
      </c>
      <c r="BI59" s="51">
        <f>'LINEST VARS'!$U$56+'LINEST VARS'!$T$56*(8)+'LINEST VARS'!$S$56*(8)+'LINEST VARS'!$R$56*($BI$56)+'LINEST VARS'!$Q$56*($AZ59)+'LINEST VARS'!$P$56*(12.73)+'LINEST VARS'!$O$56*(8^2)+'LINEST VARS'!$N$56*(8^2)+'LINEST VARS'!$M$56*($BI$56^2)+'LINEST VARS'!$L$56*($AZ59^2)+'LINEST VARS'!$K$56*(12.73^2)+'LINEST VARS'!$J$56*(8*8)+'LINEST VARS'!$I$56*(8*$BI$56)+'LINEST VARS'!$H$56*(8*$AZ59)+'LINEST VARS'!$G$56*(8*12.73)+'LINEST VARS'!$F$56*(8*$BI$56)+'LINEST VARS'!$E$56*(8*$AZ59)+'LINEST VARS'!$D$56*(8*12.73)+'LINEST VARS'!$C$56*($BI$56*$AZ59)+'LINEST VARS'!$B$56*($BI$56*12.73)+'LINEST VARS'!$A$56*($AZ59*12.73)</f>
        <v>2.857600000000001</v>
      </c>
      <c r="BJ59" s="51">
        <f>'LINEST VARS'!$U$56+'LINEST VARS'!$T$56*(8)+'LINEST VARS'!$S$56*(8)+'LINEST VARS'!$R$56*($BJ$56)+'LINEST VARS'!$Q$56*($AZ59)+'LINEST VARS'!$P$56*(12.73)+'LINEST VARS'!$O$56*(8^2)+'LINEST VARS'!$N$56*(8^2)+'LINEST VARS'!$M$56*($BJ$56^2)+'LINEST VARS'!$L$56*($AZ59^2)+'LINEST VARS'!$K$56*(12.73^2)+'LINEST VARS'!$J$56*(8*8)+'LINEST VARS'!$I$56*(8*$BJ$56)+'LINEST VARS'!$H$56*(8*$AZ59)+'LINEST VARS'!$G$56*(8*12.73)+'LINEST VARS'!$F$56*(8*$BJ$56)+'LINEST VARS'!$E$56*(8*$AZ59)+'LINEST VARS'!$D$56*(8*12.73)+'LINEST VARS'!$C$56*($BJ$56*$AZ59)+'LINEST VARS'!$B$56*($BJ$56*12.73)+'LINEST VARS'!$A$56*($AZ59*12.73)</f>
        <v>2.8504000000000014</v>
      </c>
      <c r="BK59" s="51">
        <f>'LINEST VARS'!$U$56+'LINEST VARS'!$T$56*(8)+'LINEST VARS'!$S$56*(8)+'LINEST VARS'!$R$56*($BK$56)+'LINEST VARS'!$Q$56*($AZ59)+'LINEST VARS'!$P$56*(12.73)+'LINEST VARS'!$O$56*(8^2)+'LINEST VARS'!$N$56*(8^2)+'LINEST VARS'!$M$56*($BK$56^2)+'LINEST VARS'!$L$56*($AZ59^2)+'LINEST VARS'!$K$56*(12.73^2)+'LINEST VARS'!$J$56*(8*8)+'LINEST VARS'!$I$56*(8*$BK$56)+'LINEST VARS'!$H$56*(8*$AZ59)+'LINEST VARS'!$G$56*(8*12.73)+'LINEST VARS'!$F$56*(8*$BK$56)+'LINEST VARS'!$E$56*(8*$AZ59)+'LINEST VARS'!$D$56*(8*12.73)+'LINEST VARS'!$C$56*($BK$56*$AZ59)+'LINEST VARS'!$B$56*($BK$56*12.73)+'LINEST VARS'!$A$56*($AZ59*12.73)</f>
        <v>2.8400000000000012</v>
      </c>
      <c r="BL59" s="51">
        <f>'LINEST VARS'!$U$56+'LINEST VARS'!$T$56*(8)+'LINEST VARS'!$S$56*(8)+'LINEST VARS'!$R$56*($BL$56)+'LINEST VARS'!$Q$56*($AZ59)+'LINEST VARS'!$P$56*(12.73)+'LINEST VARS'!$O$56*(8^2)+'LINEST VARS'!$N$56*(8^2)+'LINEST VARS'!$M$56*($BL$56^2)+'LINEST VARS'!$L$56*($AZ59^2)+'LINEST VARS'!$K$56*(12.73^2)+'LINEST VARS'!$J$56*(8*8)+'LINEST VARS'!$I$56*(8*$BL$56)+'LINEST VARS'!$H$56*(8*$AZ59)+'LINEST VARS'!$G$56*(8*12.73)+'LINEST VARS'!$F$56*(8*$BL$56)+'LINEST VARS'!$E$56*(8*$AZ59)+'LINEST VARS'!$D$56*(8*12.73)+'LINEST VARS'!$C$56*($BL$56*$AZ59)+'LINEST VARS'!$B$56*($BL$56*12.73)+'LINEST VARS'!$A$56*($AZ59*12.73)</f>
        <v>2.8264000000000014</v>
      </c>
      <c r="BM59" s="51">
        <f>'LINEST VARS'!$U$56+'LINEST VARS'!$T$56*(8)+'LINEST VARS'!$S$56*(8)+'LINEST VARS'!$R$56*($BM$56)+'LINEST VARS'!$Q$56*($AZ59)+'LINEST VARS'!$P$56*(12.73)+'LINEST VARS'!$O$56*(8^2)+'LINEST VARS'!$N$56*(8^2)+'LINEST VARS'!$M$56*($BM$56^2)+'LINEST VARS'!$L$56*($AZ59^2)+'LINEST VARS'!$K$56*(12.73^2)+'LINEST VARS'!$J$56*(8*8)+'LINEST VARS'!$I$56*(8*$BM$56)+'LINEST VARS'!$H$56*(8*$AZ59)+'LINEST VARS'!$G$56*(8*12.73)+'LINEST VARS'!$F$56*(8*$BM$56)+'LINEST VARS'!$E$56*(8*$AZ59)+'LINEST VARS'!$D$56*(8*12.73)+'LINEST VARS'!$C$56*($BM$56*$AZ59)+'LINEST VARS'!$B$56*($BM$56*12.73)+'LINEST VARS'!$A$56*($AZ59*12.73)</f>
        <v>2.809600000000001</v>
      </c>
      <c r="BN59" s="51">
        <f>'LINEST VARS'!$U$56+'LINEST VARS'!$T$56*(8)+'LINEST VARS'!$S$56*(8)+'LINEST VARS'!$R$56*($BN$56)+'LINEST VARS'!$Q$56*($AZ59)+'LINEST VARS'!$P$56*(12.73)+'LINEST VARS'!$O$56*(8^2)+'LINEST VARS'!$N$56*(8^2)+'LINEST VARS'!$M$56*($BN$56^2)+'LINEST VARS'!$L$56*($AZ59^2)+'LINEST VARS'!$K$56*(12.73^2)+'LINEST VARS'!$J$56*(8*8)+'LINEST VARS'!$I$56*(8*$BN$56)+'LINEST VARS'!$H$56*(8*$AZ59)+'LINEST VARS'!$G$56*(8*12.73)+'LINEST VARS'!$F$56*(8*$BN$56)+'LINEST VARS'!$E$56*(8*$AZ59)+'LINEST VARS'!$D$56*(8*12.73)+'LINEST VARS'!$C$56*($BN$56*$AZ59)+'LINEST VARS'!$B$56*($BN$56*12.73)+'LINEST VARS'!$A$56*($AZ59*12.73)</f>
        <v>2.789600000000001</v>
      </c>
      <c r="BO59" s="51">
        <f>'LINEST VARS'!$U$56+'LINEST VARS'!$T$56*(8)+'LINEST VARS'!$S$56*(8)+'LINEST VARS'!$R$56*($BO$56)+'LINEST VARS'!$Q$56*($AZ59)+'LINEST VARS'!$P$56*(12.73)+'LINEST VARS'!$O$56*(8^2)+'LINEST VARS'!$N$56*(8^2)+'LINEST VARS'!$M$56*($BO$56^2)+'LINEST VARS'!$L$56*($AZ59^2)+'LINEST VARS'!$K$56*(12.73^2)+'LINEST VARS'!$J$56*(8*8)+'LINEST VARS'!$I$56*(8*$BO$56)+'LINEST VARS'!$H$56*(8*$AZ59)+'LINEST VARS'!$G$56*(8*12.73)+'LINEST VARS'!$F$56*(8*$BO$56)+'LINEST VARS'!$E$56*(8*$AZ59)+'LINEST VARS'!$D$56*(8*12.73)+'LINEST VARS'!$C$56*($BO$56*$AZ59)+'LINEST VARS'!$B$56*($BO$56*12.73)+'LINEST VARS'!$A$56*($AZ59*12.73)</f>
        <v>2.7664000000000013</v>
      </c>
      <c r="BP59" s="51">
        <f>'LINEST VARS'!$U$56+'LINEST VARS'!$T$56*(8)+'LINEST VARS'!$S$56*(8)+'LINEST VARS'!$R$56*($BP$56)+'LINEST VARS'!$Q$56*($AZ59)+'LINEST VARS'!$P$56*(12.73)+'LINEST VARS'!$O$56*(8^2)+'LINEST VARS'!$N$56*(8^2)+'LINEST VARS'!$M$56*($BP$56^2)+'LINEST VARS'!$L$56*($AZ59^2)+'LINEST VARS'!$K$56*(12.73^2)+'LINEST VARS'!$J$56*(8*8)+'LINEST VARS'!$I$56*(8*$BP$56)+'LINEST VARS'!$H$56*(8*$AZ59)+'LINEST VARS'!$G$56*(8*12.73)+'LINEST VARS'!$F$56*(8*$BP$56)+'LINEST VARS'!$E$56*(8*$AZ59)+'LINEST VARS'!$D$56*(8*12.73)+'LINEST VARS'!$C$56*($BP$56*$AZ59)+'LINEST VARS'!$B$56*($BP$56*12.73)+'LINEST VARS'!$A$56*($AZ59*12.73)</f>
        <v>2.7400000000000011</v>
      </c>
      <c r="BQ59" s="51">
        <f>'LINEST VARS'!$U$56+'LINEST VARS'!$T$56*(8)+'LINEST VARS'!$S$56*(8)+'LINEST VARS'!$R$56*($BQ$56)+'LINEST VARS'!$Q$56*($AZ59)+'LINEST VARS'!$P$56*(12.73)+'LINEST VARS'!$O$56*(8^2)+'LINEST VARS'!$N$56*(8^2)+'LINEST VARS'!$M$56*($BQ$56^2)+'LINEST VARS'!$L$56*($AZ59^2)+'LINEST VARS'!$K$56*(12.73^2)+'LINEST VARS'!$J$56*(8*8)+'LINEST VARS'!$I$56*(8*$BQ$56)+'LINEST VARS'!$H$56*(8*$AZ59)+'LINEST VARS'!$G$56*(8*12.73)+'LINEST VARS'!$F$56*(8*$BQ$56)+'LINEST VARS'!$E$56*(8*$AZ59)+'LINEST VARS'!$D$56*(8*12.73)+'LINEST VARS'!$C$56*($BQ$56*$AZ59)+'LINEST VARS'!$B$56*($BQ$56*12.73)+'LINEST VARS'!$A$56*($AZ59*12.73)</f>
        <v>2.7104000000000008</v>
      </c>
      <c r="BR59" s="51">
        <f>'LINEST VARS'!$U$56+'LINEST VARS'!$T$56*(8)+'LINEST VARS'!$S$56*(8)+'LINEST VARS'!$R$56*($BR$56)+'LINEST VARS'!$Q$56*($AZ59)+'LINEST VARS'!$P$56*(12.73)+'LINEST VARS'!$O$56*(8^2)+'LINEST VARS'!$N$56*(8^2)+'LINEST VARS'!$M$56*($BR$56^2)+'LINEST VARS'!$L$56*($AZ59^2)+'LINEST VARS'!$K$56*(12.73^2)+'LINEST VARS'!$J$56*(8*8)+'LINEST VARS'!$I$56*(8*$BR$56)+'LINEST VARS'!$H$56*(8*$AZ59)+'LINEST VARS'!$G$56*(8*12.73)+'LINEST VARS'!$F$56*(8*$BR$56)+'LINEST VARS'!$E$56*(8*$AZ59)+'LINEST VARS'!$D$56*(8*12.73)+'LINEST VARS'!$C$56*($BR$56*$AZ59)+'LINEST VARS'!$B$56*($BR$56*12.73)+'LINEST VARS'!$A$56*($AZ59*12.73)</f>
        <v>2.6776000000000013</v>
      </c>
      <c r="BS59" s="51">
        <f>'LINEST VARS'!$U$56+'LINEST VARS'!$T$56*(8)+'LINEST VARS'!$S$56*(8)+'LINEST VARS'!$R$56*($BS$56)+'LINEST VARS'!$Q$56*($AZ59)+'LINEST VARS'!$P$56*(12.73)+'LINEST VARS'!$O$56*(8^2)+'LINEST VARS'!$N$56*(8^2)+'LINEST VARS'!$M$56*($BS$56^2)+'LINEST VARS'!$L$56*($AZ59^2)+'LINEST VARS'!$K$56*(12.73^2)+'LINEST VARS'!$J$56*(8*8)+'LINEST VARS'!$I$56*(8*$BS$56)+'LINEST VARS'!$H$56*(8*$AZ59)+'LINEST VARS'!$G$56*(8*12.73)+'LINEST VARS'!$F$56*(8*$BS$56)+'LINEST VARS'!$E$56*(8*$AZ59)+'LINEST VARS'!$D$56*(8*12.73)+'LINEST VARS'!$C$56*($BS$56*$AZ59)+'LINEST VARS'!$B$56*($BS$56*12.73)+'LINEST VARS'!$A$56*($AZ59*12.73)</f>
        <v>2.6416000000000008</v>
      </c>
      <c r="BT59" s="51">
        <f>'LINEST VARS'!$U$56+'LINEST VARS'!$T$56*(8)+'LINEST VARS'!$S$56*(8)+'LINEST VARS'!$R$56*($BT$56)+'LINEST VARS'!$Q$56*($AZ59)+'LINEST VARS'!$P$56*(12.73)+'LINEST VARS'!$O$56*(8^2)+'LINEST VARS'!$N$56*(8^2)+'LINEST VARS'!$M$56*($BT$56^2)+'LINEST VARS'!$L$56*($AZ59^2)+'LINEST VARS'!$K$56*(12.73^2)+'LINEST VARS'!$J$56*(8*8)+'LINEST VARS'!$I$56*(8*$BT$56)+'LINEST VARS'!$H$56*(8*$AZ59)+'LINEST VARS'!$G$56*(8*12.73)+'LINEST VARS'!$F$56*(8*$BT$56)+'LINEST VARS'!$E$56*(8*$AZ59)+'LINEST VARS'!$D$56*(8*12.73)+'LINEST VARS'!$C$56*($BT$56*$AZ59)+'LINEST VARS'!$B$56*($BT$56*12.73)+'LINEST VARS'!$A$56*($AZ59*12.73)</f>
        <v>2.6024000000000012</v>
      </c>
      <c r="BU59" s="52">
        <f>'LINEST VARS'!$U$56+'LINEST VARS'!$T$56*(8)+'LINEST VARS'!$S$56*(8)+'LINEST VARS'!$R$56*($BU$56)+'LINEST VARS'!$Q$56*($AZ59)+'LINEST VARS'!$P$56*(12.73)+'LINEST VARS'!$O$56*(8^2)+'LINEST VARS'!$N$56*(8^2)+'LINEST VARS'!$M$56*($BU$56^2)+'LINEST VARS'!$L$56*($AZ59^2)+'LINEST VARS'!$K$56*(12.73^2)+'LINEST VARS'!$J$56*(8*8)+'LINEST VARS'!$I$56*(8*$BU$56)+'LINEST VARS'!$H$56*(8*$AZ59)+'LINEST VARS'!$G$56*(8*12.73)+'LINEST VARS'!$F$56*(8*$BU$56)+'LINEST VARS'!$E$56*(8*$AZ59)+'LINEST VARS'!$D$56*(8*12.73)+'LINEST VARS'!$C$56*($BU$56*$AZ59)+'LINEST VARS'!$B$56*($BU$56*12.73)+'LINEST VARS'!$A$56*($AZ59*12.73)</f>
        <v>2.5600000000000009</v>
      </c>
      <c r="BX59" s="45">
        <v>0.1</v>
      </c>
      <c r="BY59" s="51">
        <f>'LINEST VARS'!$U$58+'LINEST VARS'!$T$58*(8)+'LINEST VARS'!$S$58*(8)+'LINEST VARS'!$R$58*($BY$56)+'LINEST VARS'!$Q$58*($BX59)+'LINEST VARS'!$P$58*(12.73)+'LINEST VARS'!$O$58*(8^2)+'LINEST VARS'!$N$58*(8^2)+'LINEST VARS'!$M$58*($BY$56^2)+'LINEST VARS'!$L$58*($BX59^2)+'LINEST VARS'!$K$58*(12.73^2)+'LINEST VARS'!$J$58*(8*8)+'LINEST VARS'!$I$58*(8*$BY$56)+'LINEST VARS'!$H$58*(8*$BX59)+'LINEST VARS'!$G$58*(8*12.73)+'LINEST VARS'!$F$58*(8*$BY$56)+'LINEST VARS'!$E$58*(8*$BX59)+'LINEST VARS'!$D$58*(8*12.73)+'LINEST VARS'!$C$58*($BY$56*$BX59)+'LINEST VARS'!$B$58*($BY$56*12.73)+'LINEST VARS'!$A$58*($BX59*12.73)</f>
        <v>0.86365000000000036</v>
      </c>
      <c r="BZ59" s="51">
        <f>'LINEST VARS'!$U$58+'LINEST VARS'!$T$58*(8)+'LINEST VARS'!$S$58*(8)+'LINEST VARS'!$R$58*($BZ$56)+'LINEST VARS'!$Q$58*($BX59)+'LINEST VARS'!$P$58*(12.73)+'LINEST VARS'!$O$58*(8^2)+'LINEST VARS'!$N$58*(8^2)+'LINEST VARS'!$M$58*($BZ$56^2)+'LINEST VARS'!$L$58*($BX59^2)+'LINEST VARS'!$K$58*(12.73^2)+'LINEST VARS'!$J$58*(8*8)+'LINEST VARS'!$I$58*(8*$BZ$56)+'LINEST VARS'!$H$58*(8*$BX59)+'LINEST VARS'!$G$58*(8*12.73)+'LINEST VARS'!$F$58*(8*$BZ$56)+'LINEST VARS'!$E$58*(8*$BX59)+'LINEST VARS'!$D$58*(8*12.73)+'LINEST VARS'!$C$58*($BZ$56*$BX59)+'LINEST VARS'!$B$58*($BZ$56*12.73)+'LINEST VARS'!$A$58*($BX59*12.73)</f>
        <v>0.87165000000000037</v>
      </c>
      <c r="CA59" s="51">
        <f>'LINEST VARS'!$U$58+'LINEST VARS'!$T$58*(8)+'LINEST VARS'!$S$58*(8)+'LINEST VARS'!$R$58*($CA$56)+'LINEST VARS'!$Q$58*($BX59)+'LINEST VARS'!$P$58*(12.73)+'LINEST VARS'!$O$58*(8^2)+'LINEST VARS'!$N$58*(8^2)+'LINEST VARS'!$M$58*($CA$56^2)+'LINEST VARS'!$L$58*($BX59^2)+'LINEST VARS'!$K$58*(12.73^2)+'LINEST VARS'!$J$58*(8*8)+'LINEST VARS'!$I$58*(8*$CA$56)+'LINEST VARS'!$H$58*(8*$BX59)+'LINEST VARS'!$G$58*(8*12.73)+'LINEST VARS'!$F$58*(8*$CA$56)+'LINEST VARS'!$E$58*(8*$BX59)+'LINEST VARS'!$D$58*(8*12.73)+'LINEST VARS'!$C$58*($CA$56*$BX59)+'LINEST VARS'!$B$58*($CA$56*12.73)+'LINEST VARS'!$A$58*($BX59*12.73)</f>
        <v>0.87965000000000027</v>
      </c>
      <c r="CB59" s="51">
        <f>'LINEST VARS'!$U$58+'LINEST VARS'!$T$58*(8)+'LINEST VARS'!$S$58*(8)+'LINEST VARS'!$R$58*($CB$56)+'LINEST VARS'!$Q$58*($BX59)+'LINEST VARS'!$P$58*(12.73)+'LINEST VARS'!$O$58*(8^2)+'LINEST VARS'!$N$58*(8^2)+'LINEST VARS'!$M$58*($CB$56^2)+'LINEST VARS'!$L$58*($BX59^2)+'LINEST VARS'!$K$58*(12.73^2)+'LINEST VARS'!$J$58*(8*8)+'LINEST VARS'!$I$58*(8*$CB$56)+'LINEST VARS'!$H$58*(8*$BX59)+'LINEST VARS'!$G$58*(8*12.73)+'LINEST VARS'!$F$58*(8*$CB$56)+'LINEST VARS'!$E$58*(8*$BX59)+'LINEST VARS'!$D$58*(8*12.73)+'LINEST VARS'!$C$58*($CB$56*$BX59)+'LINEST VARS'!$B$58*($CB$56*12.73)+'LINEST VARS'!$A$58*($BX59*12.73)</f>
        <v>0.88765000000000027</v>
      </c>
      <c r="CC59" s="51">
        <f>'LINEST VARS'!$U$58+'LINEST VARS'!$T$58*(8)+'LINEST VARS'!$S$58*(8)+'LINEST VARS'!$R$58*($CC$56)+'LINEST VARS'!$Q$58*($BX59)+'LINEST VARS'!$P$58*(12.73)+'LINEST VARS'!$O$58*(8^2)+'LINEST VARS'!$N$58*(8^2)+'LINEST VARS'!$M$58*($CC$56^2)+'LINEST VARS'!$L$58*($BX59^2)+'LINEST VARS'!$K$58*(12.73^2)+'LINEST VARS'!$J$58*(8*8)+'LINEST VARS'!$I$58*(8*$CC$56)+'LINEST VARS'!$H$58*(8*$BX59)+'LINEST VARS'!$G$58*(8*12.73)+'LINEST VARS'!$F$58*(8*$CC$56)+'LINEST VARS'!$E$58*(8*$BX59)+'LINEST VARS'!$D$58*(8*12.73)+'LINEST VARS'!$C$58*($CC$56*$BX59)+'LINEST VARS'!$B$58*($CC$56*12.73)+'LINEST VARS'!$A$58*($BX59*12.73)</f>
        <v>0.89565000000000017</v>
      </c>
      <c r="CD59" s="51">
        <f>'LINEST VARS'!$U$58+'LINEST VARS'!$T$58*(8)+'LINEST VARS'!$S$58*(8)+'LINEST VARS'!$R$58*($CD$56)+'LINEST VARS'!$Q$58*($BX59)+'LINEST VARS'!$P$58*(12.73)+'LINEST VARS'!$O$58*(8^2)+'LINEST VARS'!$N$58*(8^2)+'LINEST VARS'!$M$58*($CD$56^2)+'LINEST VARS'!$L$58*($BX59^2)+'LINEST VARS'!$K$58*(12.73^2)+'LINEST VARS'!$J$58*(8*8)+'LINEST VARS'!$I$58*(8*$CD$56)+'LINEST VARS'!$H$58*(8*$BX59)+'LINEST VARS'!$G$58*(8*12.73)+'LINEST VARS'!$F$58*(8*$CD$56)+'LINEST VARS'!$E$58*(8*$BX59)+'LINEST VARS'!$D$58*(8*12.73)+'LINEST VARS'!$C$58*($CD$56*$BX59)+'LINEST VARS'!$B$58*($CD$56*12.73)+'LINEST VARS'!$A$58*($BX59*12.73)</f>
        <v>0.90365000000000029</v>
      </c>
      <c r="CE59" s="51">
        <f>'LINEST VARS'!$U$58+'LINEST VARS'!$T$58*(8)+'LINEST VARS'!$S$58*(8)+'LINEST VARS'!$R$58*($CE$56)+'LINEST VARS'!$Q$58*($BX59)+'LINEST VARS'!$P$58*(12.73)+'LINEST VARS'!$O$58*(8^2)+'LINEST VARS'!$N$58*(8^2)+'LINEST VARS'!$M$58*($CE$56^2)+'LINEST VARS'!$L$58*($BX59^2)+'LINEST VARS'!$K$58*(12.73^2)+'LINEST VARS'!$J$58*(8*8)+'LINEST VARS'!$I$58*(8*$CE$56)+'LINEST VARS'!$H$58*(8*$BX59)+'LINEST VARS'!$G$58*(8*12.73)+'LINEST VARS'!$F$58*(8*$CE$56)+'LINEST VARS'!$E$58*(8*$BX59)+'LINEST VARS'!$D$58*(8*12.73)+'LINEST VARS'!$C$58*($CE$56*$BX59)+'LINEST VARS'!$B$58*($CE$56*12.73)+'LINEST VARS'!$A$58*($BX59*12.73)</f>
        <v>0.91165000000000029</v>
      </c>
      <c r="CF59" s="51">
        <f>'LINEST VARS'!$U$58+'LINEST VARS'!$T$58*(8)+'LINEST VARS'!$S$58*(8)+'LINEST VARS'!$R$58*($CF$56)+'LINEST VARS'!$Q$58*($BX59)+'LINEST VARS'!$P$58*(12.73)+'LINEST VARS'!$O$58*(8^2)+'LINEST VARS'!$N$58*(8^2)+'LINEST VARS'!$M$58*($CF$56^2)+'LINEST VARS'!$L$58*($BX59^2)+'LINEST VARS'!$K$58*(12.73^2)+'LINEST VARS'!$J$58*(8*8)+'LINEST VARS'!$I$58*(8*$CF$56)+'LINEST VARS'!$H$58*(8*$BX59)+'LINEST VARS'!$G$58*(8*12.73)+'LINEST VARS'!$F$58*(8*$CF$56)+'LINEST VARS'!$E$58*(8*$BX59)+'LINEST VARS'!$D$58*(8*12.73)+'LINEST VARS'!$C$58*($CF$56*$BX59)+'LINEST VARS'!$B$58*($CF$56*12.73)+'LINEST VARS'!$A$58*($BX59*12.73)</f>
        <v>0.9196500000000003</v>
      </c>
      <c r="CG59" s="51">
        <f>'LINEST VARS'!$U$58+'LINEST VARS'!$T$58*(8)+'LINEST VARS'!$S$58*(8)+'LINEST VARS'!$R$58*($CG$56)+'LINEST VARS'!$Q$58*($BX59)+'LINEST VARS'!$P$58*(12.73)+'LINEST VARS'!$O$58*(8^2)+'LINEST VARS'!$N$58*(8^2)+'LINEST VARS'!$M$58*($CG$56^2)+'LINEST VARS'!$L$58*($BX59^2)+'LINEST VARS'!$K$58*(12.73^2)+'LINEST VARS'!$J$58*(8*8)+'LINEST VARS'!$I$58*(8*$CG$56)+'LINEST VARS'!$H$58*(8*$BX59)+'LINEST VARS'!$G$58*(8*12.73)+'LINEST VARS'!$F$58*(8*$CG$56)+'LINEST VARS'!$E$58*(8*$BX59)+'LINEST VARS'!$D$58*(8*12.73)+'LINEST VARS'!$C$58*($CG$56*$BX59)+'LINEST VARS'!$B$58*($CG$56*12.73)+'LINEST VARS'!$A$58*($BX59*12.73)</f>
        <v>0.92765000000000042</v>
      </c>
      <c r="CH59" s="51">
        <f>'LINEST VARS'!$U$58+'LINEST VARS'!$T$58*(8)+'LINEST VARS'!$S$58*(8)+'LINEST VARS'!$R$58*($CH$56)+'LINEST VARS'!$Q$58*($BX59)+'LINEST VARS'!$P$58*(12.73)+'LINEST VARS'!$O$58*(8^2)+'LINEST VARS'!$N$58*(8^2)+'LINEST VARS'!$M$58*($CH$56^2)+'LINEST VARS'!$L$58*($BX59^2)+'LINEST VARS'!$K$58*(12.73^2)+'LINEST VARS'!$J$58*(8*8)+'LINEST VARS'!$I$58*(8*$CH$56)+'LINEST VARS'!$H$58*(8*$BX59)+'LINEST VARS'!$G$58*(8*12.73)+'LINEST VARS'!$F$58*(8*$CH$56)+'LINEST VARS'!$E$58*(8*$BX59)+'LINEST VARS'!$D$58*(8*12.73)+'LINEST VARS'!$C$58*($CH$56*$BX59)+'LINEST VARS'!$B$58*($CH$56*12.73)+'LINEST VARS'!$A$58*($BX59*12.73)</f>
        <v>0.93565000000000031</v>
      </c>
      <c r="CI59" s="51">
        <f>'LINEST VARS'!$U$58+'LINEST VARS'!$T$58*(8)+'LINEST VARS'!$S$58*(8)+'LINEST VARS'!$R$58*($CI$56)+'LINEST VARS'!$Q$58*($BX59)+'LINEST VARS'!$P$58*(12.73)+'LINEST VARS'!$O$58*(8^2)+'LINEST VARS'!$N$58*(8^2)+'LINEST VARS'!$M$58*($CI$56^2)+'LINEST VARS'!$L$58*($BX59^2)+'LINEST VARS'!$K$58*(12.73^2)+'LINEST VARS'!$J$58*(8*8)+'LINEST VARS'!$I$58*(8*$CI$56)+'LINEST VARS'!$H$58*(8*$BX59)+'LINEST VARS'!$G$58*(8*12.73)+'LINEST VARS'!$F$58*(8*$CI$56)+'LINEST VARS'!$E$58*(8*$BX59)+'LINEST VARS'!$D$58*(8*12.73)+'LINEST VARS'!$C$58*($CI$56*$BX59)+'LINEST VARS'!$B$58*($CI$56*12.73)+'LINEST VARS'!$A$58*($BX59*12.73)</f>
        <v>0.94365000000000032</v>
      </c>
      <c r="CJ59" s="51">
        <f>'LINEST VARS'!$U$58+'LINEST VARS'!$T$58*(8)+'LINEST VARS'!$S$58*(8)+'LINEST VARS'!$R$58*($CJ$56)+'LINEST VARS'!$Q$58*($BX59)+'LINEST VARS'!$P$58*(12.73)+'LINEST VARS'!$O$58*(8^2)+'LINEST VARS'!$N$58*(8^2)+'LINEST VARS'!$M$58*($CJ$56^2)+'LINEST VARS'!$L$58*($BX59^2)+'LINEST VARS'!$K$58*(12.73^2)+'LINEST VARS'!$J$58*(8*8)+'LINEST VARS'!$I$58*(8*$CJ$56)+'LINEST VARS'!$H$58*(8*$BX59)+'LINEST VARS'!$G$58*(8*12.73)+'LINEST VARS'!$F$58*(8*$CJ$56)+'LINEST VARS'!$E$58*(8*$BX59)+'LINEST VARS'!$D$58*(8*12.73)+'LINEST VARS'!$C$58*($CJ$56*$BX59)+'LINEST VARS'!$B$58*($CJ$56*12.73)+'LINEST VARS'!$A$58*($BX59*12.73)</f>
        <v>0.95165000000000022</v>
      </c>
      <c r="CK59" s="51">
        <f>'LINEST VARS'!$U$58+'LINEST VARS'!$T$58*(8)+'LINEST VARS'!$S$58*(8)+'LINEST VARS'!$R$58*($CK$56)+'LINEST VARS'!$Q$58*($BX59)+'LINEST VARS'!$P$58*(12.73)+'LINEST VARS'!$O$58*(8^2)+'LINEST VARS'!$N$58*(8^2)+'LINEST VARS'!$M$58*($CK$56^2)+'LINEST VARS'!$L$58*($BX59^2)+'LINEST VARS'!$K$58*(12.73^2)+'LINEST VARS'!$J$58*(8*8)+'LINEST VARS'!$I$58*(8*$CK$56)+'LINEST VARS'!$H$58*(8*$BX59)+'LINEST VARS'!$G$58*(8*12.73)+'LINEST VARS'!$F$58*(8*$CK$56)+'LINEST VARS'!$E$58*(8*$BX59)+'LINEST VARS'!$D$58*(8*12.73)+'LINEST VARS'!$C$58*($CK$56*$BX59)+'LINEST VARS'!$B$58*($CK$56*12.73)+'LINEST VARS'!$A$58*($BX59*12.73)</f>
        <v>0.95965000000000023</v>
      </c>
      <c r="CL59" s="51">
        <f>'LINEST VARS'!$U$58+'LINEST VARS'!$T$58*(8)+'LINEST VARS'!$S$58*(8)+'LINEST VARS'!$R$58*($CL$56)+'LINEST VARS'!$Q$58*($BX59)+'LINEST VARS'!$P$58*(12.73)+'LINEST VARS'!$O$58*(8^2)+'LINEST VARS'!$N$58*(8^2)+'LINEST VARS'!$M$58*($CL$56^2)+'LINEST VARS'!$L$58*($BX59^2)+'LINEST VARS'!$K$58*(12.73^2)+'LINEST VARS'!$J$58*(8*8)+'LINEST VARS'!$I$58*(8*$CL$56)+'LINEST VARS'!$H$58*(8*$BX59)+'LINEST VARS'!$G$58*(8*12.73)+'LINEST VARS'!$F$58*(8*$CL$56)+'LINEST VARS'!$E$58*(8*$BX59)+'LINEST VARS'!$D$58*(8*12.73)+'LINEST VARS'!$C$58*($CL$56*$BX59)+'LINEST VARS'!$B$58*($CL$56*12.73)+'LINEST VARS'!$A$58*($BX59*12.73)</f>
        <v>0.96765000000000012</v>
      </c>
      <c r="CM59" s="51">
        <f>'LINEST VARS'!$U$58+'LINEST VARS'!$T$58*(8)+'LINEST VARS'!$S$58*(8)+'LINEST VARS'!$R$58*($CM$56)+'LINEST VARS'!$Q$58*($BX59)+'LINEST VARS'!$P$58*(12.73)+'LINEST VARS'!$O$58*(8^2)+'LINEST VARS'!$N$58*(8^2)+'LINEST VARS'!$M$58*($CM$56^2)+'LINEST VARS'!$L$58*($BX59^2)+'LINEST VARS'!$K$58*(12.73^2)+'LINEST VARS'!$J$58*(8*8)+'LINEST VARS'!$I$58*(8*$CM$56)+'LINEST VARS'!$H$58*(8*$BX59)+'LINEST VARS'!$G$58*(8*12.73)+'LINEST VARS'!$F$58*(8*$CM$56)+'LINEST VARS'!$E$58*(8*$BX59)+'LINEST VARS'!$D$58*(8*12.73)+'LINEST VARS'!$C$58*($CM$56*$BX59)+'LINEST VARS'!$B$58*($CM$56*12.73)+'LINEST VARS'!$A$58*($BX59*12.73)</f>
        <v>0.97565000000000024</v>
      </c>
      <c r="CN59" s="51">
        <f>'LINEST VARS'!$U$58+'LINEST VARS'!$T$58*(8)+'LINEST VARS'!$S$58*(8)+'LINEST VARS'!$R$58*($CN$56)+'LINEST VARS'!$Q$58*($BX59)+'LINEST VARS'!$P$58*(12.73)+'LINEST VARS'!$O$58*(8^2)+'LINEST VARS'!$N$58*(8^2)+'LINEST VARS'!$M$58*($CN$56^2)+'LINEST VARS'!$L$58*($BX59^2)+'LINEST VARS'!$K$58*(12.73^2)+'LINEST VARS'!$J$58*(8*8)+'LINEST VARS'!$I$58*(8*$CN$56)+'LINEST VARS'!$H$58*(8*$BX59)+'LINEST VARS'!$G$58*(8*12.73)+'LINEST VARS'!$F$58*(8*$CN$56)+'LINEST VARS'!$E$58*(8*$BX59)+'LINEST VARS'!$D$58*(8*12.73)+'LINEST VARS'!$C$58*($CN$56*$BX59)+'LINEST VARS'!$B$58*($CN$56*12.73)+'LINEST VARS'!$A$58*($BX59*12.73)</f>
        <v>0.98365000000000025</v>
      </c>
      <c r="CO59" s="51">
        <f>'LINEST VARS'!$U$58+'LINEST VARS'!$T$58*(8)+'LINEST VARS'!$S$58*(8)+'LINEST VARS'!$R$58*($CO$56)+'LINEST VARS'!$Q$58*($BX59)+'LINEST VARS'!$P$58*(12.73)+'LINEST VARS'!$O$58*(8^2)+'LINEST VARS'!$N$58*(8^2)+'LINEST VARS'!$M$58*($CO$56^2)+'LINEST VARS'!$L$58*($BX59^2)+'LINEST VARS'!$K$58*(12.73^2)+'LINEST VARS'!$J$58*(8*8)+'LINEST VARS'!$I$58*(8*$CO$56)+'LINEST VARS'!$H$58*(8*$BX59)+'LINEST VARS'!$G$58*(8*12.73)+'LINEST VARS'!$F$58*(8*$CO$56)+'LINEST VARS'!$E$58*(8*$BX59)+'LINEST VARS'!$D$58*(8*12.73)+'LINEST VARS'!$C$58*($CO$56*$BX59)+'LINEST VARS'!$B$58*($CO$56*12.73)+'LINEST VARS'!$A$58*($BX59*12.73)</f>
        <v>0.99165000000000036</v>
      </c>
      <c r="CP59" s="51">
        <f>'LINEST VARS'!$U$58+'LINEST VARS'!$T$58*(8)+'LINEST VARS'!$S$58*(8)+'LINEST VARS'!$R$58*($CP$56)+'LINEST VARS'!$Q$58*($BX59)+'LINEST VARS'!$P$58*(12.73)+'LINEST VARS'!$O$58*(8^2)+'LINEST VARS'!$N$58*(8^2)+'LINEST VARS'!$M$58*($CP$56^2)+'LINEST VARS'!$L$58*($BX59^2)+'LINEST VARS'!$K$58*(12.73^2)+'LINEST VARS'!$J$58*(8*8)+'LINEST VARS'!$I$58*(8*$CP$56)+'LINEST VARS'!$H$58*(8*$BX59)+'LINEST VARS'!$G$58*(8*12.73)+'LINEST VARS'!$F$58*(8*$CP$56)+'LINEST VARS'!$E$58*(8*$BX59)+'LINEST VARS'!$D$58*(8*12.73)+'LINEST VARS'!$C$58*($CP$56*$BX59)+'LINEST VARS'!$B$58*($CP$56*12.73)+'LINEST VARS'!$A$58*($BX59*12.73)</f>
        <v>0.99965000000000037</v>
      </c>
      <c r="CQ59" s="51">
        <f>'LINEST VARS'!$U$58+'LINEST VARS'!$T$58*(8)+'LINEST VARS'!$S$58*(8)+'LINEST VARS'!$R$58*($CQ$56)+'LINEST VARS'!$Q$58*($BX59)+'LINEST VARS'!$P$58*(12.73)+'LINEST VARS'!$O$58*(8^2)+'LINEST VARS'!$N$58*(8^2)+'LINEST VARS'!$M$58*($CQ$56^2)+'LINEST VARS'!$L$58*($BX59^2)+'LINEST VARS'!$K$58*(12.73^2)+'LINEST VARS'!$J$58*(8*8)+'LINEST VARS'!$I$58*(8*$CQ$56)+'LINEST VARS'!$H$58*(8*$BX59)+'LINEST VARS'!$G$58*(8*12.73)+'LINEST VARS'!$F$58*(8*$CQ$56)+'LINEST VARS'!$E$58*(8*$BX59)+'LINEST VARS'!$D$58*(8*12.73)+'LINEST VARS'!$C$58*($CQ$56*$BX59)+'LINEST VARS'!$B$58*($CQ$56*12.73)+'LINEST VARS'!$A$58*($BX59*12.73)</f>
        <v>1.0076500000000002</v>
      </c>
      <c r="CR59" s="51">
        <f>'LINEST VARS'!$U$58+'LINEST VARS'!$T$58*(8)+'LINEST VARS'!$S$58*(8)+'LINEST VARS'!$R$58*($CR$56)+'LINEST VARS'!$Q$58*($BX59)+'LINEST VARS'!$P$58*(12.73)+'LINEST VARS'!$O$58*(8^2)+'LINEST VARS'!$N$58*(8^2)+'LINEST VARS'!$M$58*($CR$56^2)+'LINEST VARS'!$L$58*($BX59^2)+'LINEST VARS'!$K$58*(12.73^2)+'LINEST VARS'!$J$58*(8*8)+'LINEST VARS'!$I$58*(8*$CR$56)+'LINEST VARS'!$H$58*(8*$BX59)+'LINEST VARS'!$G$58*(8*12.73)+'LINEST VARS'!$F$58*(8*$CR$56)+'LINEST VARS'!$E$58*(8*$BX59)+'LINEST VARS'!$D$58*(8*12.73)+'LINEST VARS'!$C$58*($CR$56*$BX59)+'LINEST VARS'!$B$58*($CR$56*12.73)+'LINEST VARS'!$A$58*($BX59*12.73)</f>
        <v>1.0156499999999999</v>
      </c>
      <c r="CS59" s="52">
        <f>'LINEST VARS'!$U$58+'LINEST VARS'!$T$58*(8)+'LINEST VARS'!$S$58*(8)+'LINEST VARS'!$R$58*($CS$56)+'LINEST VARS'!$Q$58*($BX59)+'LINEST VARS'!$P$58*(12.73)+'LINEST VARS'!$O$58*(8^2)+'LINEST VARS'!$N$58*(8^2)+'LINEST VARS'!$M$58*($CS$56^2)+'LINEST VARS'!$L$58*($BX59^2)+'LINEST VARS'!$K$58*(12.73^2)+'LINEST VARS'!$J$58*(8*8)+'LINEST VARS'!$I$58*(8*$CS$56)+'LINEST VARS'!$H$58*(8*$BX59)+'LINEST VARS'!$G$58*(8*12.73)+'LINEST VARS'!$F$58*(8*$CS$56)+'LINEST VARS'!$E$58*(8*$BX59)+'LINEST VARS'!$D$58*(8*12.73)+'LINEST VARS'!$C$58*($CS$56*$BX59)+'LINEST VARS'!$B$58*($CS$56*12.73)+'LINEST VARS'!$A$58*($BX59*12.73)</f>
        <v>1.0236500000000002</v>
      </c>
      <c r="CX59" s="45">
        <v>2.5990000000000002</v>
      </c>
      <c r="CY59" s="51">
        <f>'LINEST VARS'!$U$56+'LINEST VARS'!$T$56*(8)+'LINEST VARS'!$S$56*(8)+'LINEST VARS'!$R$56*($CY$56)+'LINEST VARS'!$Q$56*(0.5)+'LINEST VARS'!$P$56*($CX59)+'LINEST VARS'!$O$56*(8^2)+'LINEST VARS'!$N$56*(8^2)+'LINEST VARS'!$M$56*($CY$56^2)+'LINEST VARS'!$L$56*(0.5^2)+'LINEST VARS'!$K$56*($CX59^2)+'LINEST VARS'!$J$56*(8*8)+'LINEST VARS'!$I$56*(8*$CY$56)+'LINEST VARS'!$H$56*(8*0.5)+'LINEST VARS'!$G$56*(8*$CX59)+'LINEST VARS'!$F$56*(8*$CY$56)+'LINEST VARS'!$E$56*(8*0.5)+'LINEST VARS'!$D$56*(8*$CX59)+'LINEST VARS'!$C$56*($CY$56*0.5)+'LINEST VARS'!$B$56*($CY$56*$CX59)+'LINEST VARS'!$A$56*(0.5*$CX59)</f>
        <v>2.8000000000000007</v>
      </c>
      <c r="CZ59" s="51">
        <f>'LINEST VARS'!$U$56+'LINEST VARS'!$T$56*(8)+'LINEST VARS'!$S$56*(8)+'LINEST VARS'!$R$56*($CZ$56)+'LINEST VARS'!$Q$56*(0.5)+'LINEST VARS'!$P$56*($CX59)+'LINEST VARS'!$O$56*(8^2)+'LINEST VARS'!$N$56*(8^2)+'LINEST VARS'!$M$56*($CZ$56^2)+'LINEST VARS'!$L$56*(0.5^2)+'LINEST VARS'!$K$56*($CX59^2)+'LINEST VARS'!$J$56*(8*8)+'LINEST VARS'!$I$56*(8*$CZ$56)+'LINEST VARS'!$H$56*(8*0.5)+'LINEST VARS'!$G$56*(8*$CX59)+'LINEST VARS'!$F$56*(8*$CZ$56)+'LINEST VARS'!$E$56*(8*0.5)+'LINEST VARS'!$D$56*(8*$CX59)+'LINEST VARS'!$C$56*($CZ$56*0.5)+'LINEST VARS'!$B$56*($CZ$56*$CX59)+'LINEST VARS'!$A$56*(0.5*$CX59)</f>
        <v>2.8184000000000009</v>
      </c>
      <c r="DA59" s="51">
        <f>'LINEST VARS'!$U$56+'LINEST VARS'!$T$56*(8)+'LINEST VARS'!$S$56*(8)+'LINEST VARS'!$R$56*($DA$56)+'LINEST VARS'!$Q$56*(0.5)+'LINEST VARS'!$P$56*($CX59)+'LINEST VARS'!$O$56*(8^2)+'LINEST VARS'!$N$56*(8^2)+'LINEST VARS'!$M$56*($DA$56^2)+'LINEST VARS'!$L$56*(0.5^2)+'LINEST VARS'!$K$56*($CX59^2)+'LINEST VARS'!$J$56*(8*8)+'LINEST VARS'!$I$56*(8*$DA$56)+'LINEST VARS'!$H$56*(8*0.5)+'LINEST VARS'!$G$56*(8*$CX59)+'LINEST VARS'!$F$56*(8*$DA$56)+'LINEST VARS'!$E$56*(8*0.5)+'LINEST VARS'!$D$56*(8*$CX59)+'LINEST VARS'!$C$56*($DA$56*0.5)+'LINEST VARS'!$B$56*($DA$56*$CX59)+'LINEST VARS'!$A$56*(0.5*$CX59)</f>
        <v>2.8336000000000006</v>
      </c>
      <c r="DB59" s="51">
        <f>'LINEST VARS'!$U$56+'LINEST VARS'!$T$56*(8)+'LINEST VARS'!$S$56*(8)+'LINEST VARS'!$R$56*($DB$56)+'LINEST VARS'!$Q$56*(0.5)+'LINEST VARS'!$P$56*($CX59)+'LINEST VARS'!$O$56*(8^2)+'LINEST VARS'!$N$56*(8^2)+'LINEST VARS'!$M$56*($DB$56^2)+'LINEST VARS'!$L$56*(0.5^2)+'LINEST VARS'!$K$56*($CX59^2)+'LINEST VARS'!$J$56*(8*8)+'LINEST VARS'!$I$56*(8*$DB$56)+'LINEST VARS'!$H$56*(8*0.5)+'LINEST VARS'!$G$56*(8*$CX59)+'LINEST VARS'!$F$56*(8*$DB$56)+'LINEST VARS'!$E$56*(8*0.5)+'LINEST VARS'!$D$56*(8*$CX59)+'LINEST VARS'!$C$56*($DB$56*0.5)+'LINEST VARS'!$B$56*($DB$56*$CX59)+'LINEST VARS'!$A$56*(0.5*$CX59)</f>
        <v>2.8456000000000006</v>
      </c>
      <c r="DC59" s="51">
        <f>'LINEST VARS'!$U$56+'LINEST VARS'!$T$56*(8)+'LINEST VARS'!$S$56*(8)+'LINEST VARS'!$R$56*($DC$56)+'LINEST VARS'!$Q$56*(0.5)+'LINEST VARS'!$P$56*($CX59)+'LINEST VARS'!$O$56*(8^2)+'LINEST VARS'!$N$56*(8^2)+'LINEST VARS'!$M$56*($DC$56^2)+'LINEST VARS'!$L$56*(0.5^2)+'LINEST VARS'!$K$56*($CX59^2)+'LINEST VARS'!$J$56*(8*8)+'LINEST VARS'!$I$56*(8*$DC$56)+'LINEST VARS'!$H$56*(8*0.5)+'LINEST VARS'!$G$56*(8*$CX59)+'LINEST VARS'!$F$56*(8*$DC$56)+'LINEST VARS'!$E$56*(8*0.5)+'LINEST VARS'!$D$56*(8*$CX59)+'LINEST VARS'!$C$56*($DC$56*0.5)+'LINEST VARS'!$B$56*($DC$56*$CX59)+'LINEST VARS'!$A$56*(0.5*$CX59)</f>
        <v>2.8544000000000009</v>
      </c>
      <c r="DD59" s="51">
        <f>'LINEST VARS'!$U$56+'LINEST VARS'!$T$56*(8)+'LINEST VARS'!$S$56*(8)+'LINEST VARS'!$R$56*($DD$56)+'LINEST VARS'!$Q$56*(0.5)+'LINEST VARS'!$P$56*($CX59)+'LINEST VARS'!$O$56*(8^2)+'LINEST VARS'!$N$56*(8^2)+'LINEST VARS'!$M$56*($DD$56^2)+'LINEST VARS'!$L$56*(0.5^2)+'LINEST VARS'!$K$56*($CX59^2)+'LINEST VARS'!$J$56*(8*8)+'LINEST VARS'!$I$56*(8*$DD$56)+'LINEST VARS'!$H$56*(8*0.5)+'LINEST VARS'!$G$56*(8*$CX59)+'LINEST VARS'!$F$56*(8*$DD$56)+'LINEST VARS'!$E$56*(8*0.5)+'LINEST VARS'!$D$56*(8*$CX59)+'LINEST VARS'!$C$56*($DD$56*0.5)+'LINEST VARS'!$B$56*($DD$56*$CX59)+'LINEST VARS'!$A$56*(0.5*$CX59)</f>
        <v>2.8600000000000008</v>
      </c>
      <c r="DE59" s="51">
        <f>'LINEST VARS'!$U$56+'LINEST VARS'!$T$56*(8)+'LINEST VARS'!$S$56*(8)+'LINEST VARS'!$R$56*($DE$56)+'LINEST VARS'!$Q$56*(0.5)+'LINEST VARS'!$P$56*($CX59)+'LINEST VARS'!$O$56*(8^2)+'LINEST VARS'!$N$56*(8^2)+'LINEST VARS'!$M$56*($DE$56^2)+'LINEST VARS'!$L$56*(0.5^2)+'LINEST VARS'!$K$56*($CX59^2)+'LINEST VARS'!$J$56*(8*8)+'LINEST VARS'!$I$56*(8*$DE$56)+'LINEST VARS'!$H$56*(8*0.5)+'LINEST VARS'!$G$56*(8*$CX59)+'LINEST VARS'!$F$56*(8*$DE$56)+'LINEST VARS'!$E$56*(8*0.5)+'LINEST VARS'!$D$56*(8*$CX59)+'LINEST VARS'!$C$56*($DE$56*0.5)+'LINEST VARS'!$B$56*($DE$56*$CX59)+'LINEST VARS'!$A$56*(0.5*$CX59)</f>
        <v>2.8624000000000009</v>
      </c>
      <c r="DF59" s="51">
        <f>'LINEST VARS'!$U$56+'LINEST VARS'!$T$56*(8)+'LINEST VARS'!$S$56*(8)+'LINEST VARS'!$R$56*($DF$56)+'LINEST VARS'!$Q$56*(0.5)+'LINEST VARS'!$P$56*($CX59)+'LINEST VARS'!$O$56*(8^2)+'LINEST VARS'!$N$56*(8^2)+'LINEST VARS'!$M$56*($DF$56^2)+'LINEST VARS'!$L$56*(0.5^2)+'LINEST VARS'!$K$56*($CX59^2)+'LINEST VARS'!$J$56*(8*8)+'LINEST VARS'!$I$56*(8*$DF$56)+'LINEST VARS'!$H$56*(8*0.5)+'LINEST VARS'!$G$56*(8*$CX59)+'LINEST VARS'!$F$56*(8*$DF$56)+'LINEST VARS'!$E$56*(8*0.5)+'LINEST VARS'!$D$56*(8*$CX59)+'LINEST VARS'!$C$56*($DF$56*0.5)+'LINEST VARS'!$B$56*($DF$56*$CX59)+'LINEST VARS'!$A$56*(0.5*$CX59)</f>
        <v>2.8616000000000006</v>
      </c>
      <c r="DG59" s="51">
        <f>'LINEST VARS'!$U$56+'LINEST VARS'!$T$56*(8)+'LINEST VARS'!$S$56*(8)+'LINEST VARS'!$R$56*($DG$56)+'LINEST VARS'!$Q$56*(0.5)+'LINEST VARS'!$P$56*($CX59)+'LINEST VARS'!$O$56*(8^2)+'LINEST VARS'!$N$56*(8^2)+'LINEST VARS'!$M$56*($DG$56^2)+'LINEST VARS'!$L$56*(0.5^2)+'LINEST VARS'!$K$56*($CX59^2)+'LINEST VARS'!$J$56*(8*8)+'LINEST VARS'!$I$56*(8*$DG$56)+'LINEST VARS'!$H$56*(8*0.5)+'LINEST VARS'!$G$56*(8*$CX59)+'LINEST VARS'!$F$56*(8*$DG$56)+'LINEST VARS'!$E$56*(8*0.5)+'LINEST VARS'!$D$56*(8*$CX59)+'LINEST VARS'!$C$56*($DG$56*0.5)+'LINEST VARS'!$B$56*($DG$56*$CX59)+'LINEST VARS'!$A$56*(0.5*$CX59)</f>
        <v>2.8576000000000006</v>
      </c>
      <c r="DH59" s="51">
        <f>'LINEST VARS'!$U$56+'LINEST VARS'!$T$56*(8)+'LINEST VARS'!$S$56*(8)+'LINEST VARS'!$R$56*($DH$56)+'LINEST VARS'!$Q$56*(0.5)+'LINEST VARS'!$P$56*($CX59)+'LINEST VARS'!$O$56*(8^2)+'LINEST VARS'!$N$56*(8^2)+'LINEST VARS'!$M$56*($DH$56^2)+'LINEST VARS'!$L$56*(0.5^2)+'LINEST VARS'!$K$56*($CX59^2)+'LINEST VARS'!$J$56*(8*8)+'LINEST VARS'!$I$56*(8*$DH$56)+'LINEST VARS'!$H$56*(8*0.5)+'LINEST VARS'!$G$56*(8*$CX59)+'LINEST VARS'!$F$56*(8*$DH$56)+'LINEST VARS'!$E$56*(8*0.5)+'LINEST VARS'!$D$56*(8*$CX59)+'LINEST VARS'!$C$56*($DH$56*0.5)+'LINEST VARS'!$B$56*($DH$56*$CX59)+'LINEST VARS'!$A$56*(0.5*$CX59)</f>
        <v>2.8504000000000009</v>
      </c>
      <c r="DI59" s="51">
        <f>'LINEST VARS'!$U$56+'LINEST VARS'!$T$56*(8)+'LINEST VARS'!$S$56*(8)+'LINEST VARS'!$R$56*($DI$56)+'LINEST VARS'!$Q$56*(0.5)+'LINEST VARS'!$P$56*($CX59)+'LINEST VARS'!$O$56*(8^2)+'LINEST VARS'!$N$56*(8^2)+'LINEST VARS'!$M$56*($DI$56^2)+'LINEST VARS'!$L$56*(0.5^2)+'LINEST VARS'!$K$56*($CX59^2)+'LINEST VARS'!$J$56*(8*8)+'LINEST VARS'!$I$56*(8*$DI$56)+'LINEST VARS'!$H$56*(8*0.5)+'LINEST VARS'!$G$56*(8*$CX59)+'LINEST VARS'!$F$56*(8*$DI$56)+'LINEST VARS'!$E$56*(8*0.5)+'LINEST VARS'!$D$56*(8*$CX59)+'LINEST VARS'!$C$56*($DI$56*0.5)+'LINEST VARS'!$B$56*($DI$56*$CX59)+'LINEST VARS'!$A$56*(0.5*$CX59)</f>
        <v>2.8400000000000007</v>
      </c>
      <c r="DJ59" s="51">
        <f>'LINEST VARS'!$U$56+'LINEST VARS'!$T$56*(8)+'LINEST VARS'!$S$56*(8)+'LINEST VARS'!$R$56*($DJ$56)+'LINEST VARS'!$Q$56*(0.5)+'LINEST VARS'!$P$56*($CX59)+'LINEST VARS'!$O$56*(8^2)+'LINEST VARS'!$N$56*(8^2)+'LINEST VARS'!$M$56*($DJ$56^2)+'LINEST VARS'!$L$56*(0.5^2)+'LINEST VARS'!$K$56*($CX59^2)+'LINEST VARS'!$J$56*(8*8)+'LINEST VARS'!$I$56*(8*$DJ$56)+'LINEST VARS'!$H$56*(8*0.5)+'LINEST VARS'!$G$56*(8*$CX59)+'LINEST VARS'!$F$56*(8*$DJ$56)+'LINEST VARS'!$E$56*(8*0.5)+'LINEST VARS'!$D$56*(8*$CX59)+'LINEST VARS'!$C$56*($DJ$56*0.5)+'LINEST VARS'!$B$56*($DJ$56*$CX59)+'LINEST VARS'!$A$56*(0.5*$CX59)</f>
        <v>2.8264000000000009</v>
      </c>
      <c r="DK59" s="51">
        <f>'LINEST VARS'!$U$56+'LINEST VARS'!$T$56*(8)+'LINEST VARS'!$S$56*(8)+'LINEST VARS'!$R$56*($DK$56)+'LINEST VARS'!$Q$56*(0.5)+'LINEST VARS'!$P$56*($CX59)+'LINEST VARS'!$O$56*(8^2)+'LINEST VARS'!$N$56*(8^2)+'LINEST VARS'!$M$56*($DK$56^2)+'LINEST VARS'!$L$56*(0.5^2)+'LINEST VARS'!$K$56*($CX59^2)+'LINEST VARS'!$J$56*(8*8)+'LINEST VARS'!$I$56*(8*$DK$56)+'LINEST VARS'!$H$56*(8*0.5)+'LINEST VARS'!$G$56*(8*$CX59)+'LINEST VARS'!$F$56*(8*$DK$56)+'LINEST VARS'!$E$56*(8*0.5)+'LINEST VARS'!$D$56*(8*$CX59)+'LINEST VARS'!$C$56*($DK$56*0.5)+'LINEST VARS'!$B$56*($DK$56*$CX59)+'LINEST VARS'!$A$56*(0.5*$CX59)</f>
        <v>2.8096000000000005</v>
      </c>
      <c r="DL59" s="51">
        <f>'LINEST VARS'!$U$56+'LINEST VARS'!$T$56*(8)+'LINEST VARS'!$S$56*(8)+'LINEST VARS'!$R$56*($DL$56)+'LINEST VARS'!$Q$56*(0.5)+'LINEST VARS'!$P$56*($CX59)+'LINEST VARS'!$O$56*(8^2)+'LINEST VARS'!$N$56*(8^2)+'LINEST VARS'!$M$56*($DL$56^2)+'LINEST VARS'!$L$56*(0.5^2)+'LINEST VARS'!$K$56*($CX59^2)+'LINEST VARS'!$J$56*(8*8)+'LINEST VARS'!$I$56*(8*$DL$56)+'LINEST VARS'!$H$56*(8*0.5)+'LINEST VARS'!$G$56*(8*$CX59)+'LINEST VARS'!$F$56*(8*$DL$56)+'LINEST VARS'!$E$56*(8*0.5)+'LINEST VARS'!$D$56*(8*$CX59)+'LINEST VARS'!$C$56*($DL$56*0.5)+'LINEST VARS'!$B$56*($DL$56*$CX59)+'LINEST VARS'!$A$56*(0.5*$CX59)</f>
        <v>2.7896000000000005</v>
      </c>
      <c r="DM59" s="51">
        <f>'LINEST VARS'!$U$56+'LINEST VARS'!$T$56*(8)+'LINEST VARS'!$S$56*(8)+'LINEST VARS'!$R$56*($DM$56)+'LINEST VARS'!$Q$56*(0.5)+'LINEST VARS'!$P$56*($CX59)+'LINEST VARS'!$O$56*(8^2)+'LINEST VARS'!$N$56*(8^2)+'LINEST VARS'!$M$56*($DM$56^2)+'LINEST VARS'!$L$56*(0.5^2)+'LINEST VARS'!$K$56*($CX59^2)+'LINEST VARS'!$J$56*(8*8)+'LINEST VARS'!$I$56*(8*$DM$56)+'LINEST VARS'!$H$56*(8*0.5)+'LINEST VARS'!$G$56*(8*$CX59)+'LINEST VARS'!$F$56*(8*$DM$56)+'LINEST VARS'!$E$56*(8*0.5)+'LINEST VARS'!$D$56*(8*$CX59)+'LINEST VARS'!$C$56*($DM$56*0.5)+'LINEST VARS'!$B$56*($DM$56*$CX59)+'LINEST VARS'!$A$56*(0.5*$CX59)</f>
        <v>2.7664000000000009</v>
      </c>
      <c r="DN59" s="51">
        <f>'LINEST VARS'!$U$56+'LINEST VARS'!$T$56*(8)+'LINEST VARS'!$S$56*(8)+'LINEST VARS'!$R$56*($DN$56)+'LINEST VARS'!$Q$56*(0.5)+'LINEST VARS'!$P$56*($CX59)+'LINEST VARS'!$O$56*(8^2)+'LINEST VARS'!$N$56*(8^2)+'LINEST VARS'!$M$56*($DN$56^2)+'LINEST VARS'!$L$56*(0.5^2)+'LINEST VARS'!$K$56*($CX59^2)+'LINEST VARS'!$J$56*(8*8)+'LINEST VARS'!$I$56*(8*$DN$56)+'LINEST VARS'!$H$56*(8*0.5)+'LINEST VARS'!$G$56*(8*$CX59)+'LINEST VARS'!$F$56*(8*$DN$56)+'LINEST VARS'!$E$56*(8*0.5)+'LINEST VARS'!$D$56*(8*$CX59)+'LINEST VARS'!$C$56*($DN$56*0.5)+'LINEST VARS'!$B$56*($DN$56*$CX59)+'LINEST VARS'!$A$56*(0.5*$CX59)</f>
        <v>2.7400000000000007</v>
      </c>
      <c r="DO59" s="51">
        <f>'LINEST VARS'!$U$56+'LINEST VARS'!$T$56*(8)+'LINEST VARS'!$S$56*(8)+'LINEST VARS'!$R$56*($DO$56)+'LINEST VARS'!$Q$56*(0.5)+'LINEST VARS'!$P$56*($CX59)+'LINEST VARS'!$O$56*(8^2)+'LINEST VARS'!$N$56*(8^2)+'LINEST VARS'!$M$56*($DO$56^2)+'LINEST VARS'!$L$56*(0.5^2)+'LINEST VARS'!$K$56*($CX59^2)+'LINEST VARS'!$J$56*(8*8)+'LINEST VARS'!$I$56*(8*$DO$56)+'LINEST VARS'!$H$56*(8*0.5)+'LINEST VARS'!$G$56*(8*$CX59)+'LINEST VARS'!$F$56*(8*$DO$56)+'LINEST VARS'!$E$56*(8*0.5)+'LINEST VARS'!$D$56*(8*$CX59)+'LINEST VARS'!$C$56*($DO$56*0.5)+'LINEST VARS'!$B$56*($DO$56*$CX59)+'LINEST VARS'!$A$56*(0.5*$CX59)</f>
        <v>2.7104000000000004</v>
      </c>
      <c r="DP59" s="51">
        <f>'LINEST VARS'!$U$56+'LINEST VARS'!$T$56*(8)+'LINEST VARS'!$S$56*(8)+'LINEST VARS'!$R$56*($DP$56)+'LINEST VARS'!$Q$56*(0.5)+'LINEST VARS'!$P$56*($CX59)+'LINEST VARS'!$O$56*(8^2)+'LINEST VARS'!$N$56*(8^2)+'LINEST VARS'!$M$56*($DP$56^2)+'LINEST VARS'!$L$56*(0.5^2)+'LINEST VARS'!$K$56*($CX59^2)+'LINEST VARS'!$J$56*(8*8)+'LINEST VARS'!$I$56*(8*$DP$56)+'LINEST VARS'!$H$56*(8*0.5)+'LINEST VARS'!$G$56*(8*$CX59)+'LINEST VARS'!$F$56*(8*$DP$56)+'LINEST VARS'!$E$56*(8*0.5)+'LINEST VARS'!$D$56*(8*$CX59)+'LINEST VARS'!$C$56*($DP$56*0.5)+'LINEST VARS'!$B$56*($DP$56*$CX59)+'LINEST VARS'!$A$56*(0.5*$CX59)</f>
        <v>2.6776000000000004</v>
      </c>
      <c r="DQ59" s="51">
        <f>'LINEST VARS'!$U$56+'LINEST VARS'!$T$56*(8)+'LINEST VARS'!$S$56*(8)+'LINEST VARS'!$R$56*($DQ$56)+'LINEST VARS'!$Q$56*(0.5)+'LINEST VARS'!$P$56*($CX59)+'LINEST VARS'!$O$56*(8^2)+'LINEST VARS'!$N$56*(8^2)+'LINEST VARS'!$M$56*($DQ$56^2)+'LINEST VARS'!$L$56*(0.5^2)+'LINEST VARS'!$K$56*($CX59^2)+'LINEST VARS'!$J$56*(8*8)+'LINEST VARS'!$I$56*(8*$DQ$56)+'LINEST VARS'!$H$56*(8*0.5)+'LINEST VARS'!$G$56*(8*$CX59)+'LINEST VARS'!$F$56*(8*$DQ$56)+'LINEST VARS'!$E$56*(8*0.5)+'LINEST VARS'!$D$56*(8*$CX59)+'LINEST VARS'!$C$56*($DQ$56*0.5)+'LINEST VARS'!$B$56*($DQ$56*$CX59)+'LINEST VARS'!$A$56*(0.5*$CX59)</f>
        <v>2.6416000000000004</v>
      </c>
      <c r="DR59" s="51">
        <f>'LINEST VARS'!$U$56+'LINEST VARS'!$T$56*(8)+'LINEST VARS'!$S$56*(8)+'LINEST VARS'!$R$56*($DR$56)+'LINEST VARS'!$Q$56*(0.5)+'LINEST VARS'!$P$56*($CX59)+'LINEST VARS'!$O$56*(8^2)+'LINEST VARS'!$N$56*(8^2)+'LINEST VARS'!$M$56*($DR$56^2)+'LINEST VARS'!$L$56*(0.5^2)+'LINEST VARS'!$K$56*($CX59^2)+'LINEST VARS'!$J$56*(8*8)+'LINEST VARS'!$I$56*(8*$DR$56)+'LINEST VARS'!$H$56*(8*0.5)+'LINEST VARS'!$G$56*(8*$CX59)+'LINEST VARS'!$F$56*(8*$DR$56)+'LINEST VARS'!$E$56*(8*0.5)+'LINEST VARS'!$D$56*(8*$CX59)+'LINEST VARS'!$C$56*($DR$56*0.5)+'LINEST VARS'!$B$56*($DR$56*$CX59)+'LINEST VARS'!$A$56*(0.5*$CX59)</f>
        <v>2.6024000000000007</v>
      </c>
      <c r="DS59" s="52">
        <f>'LINEST VARS'!$U$56+'LINEST VARS'!$T$56*(8)+'LINEST VARS'!$S$56*(8)+'LINEST VARS'!$R$56*($DS$56)+'LINEST VARS'!$Q$56*(0.5)+'LINEST VARS'!$P$56*($CX59)+'LINEST VARS'!$O$56*(8^2)+'LINEST VARS'!$N$56*(8^2)+'LINEST VARS'!$M$56*($DS$56^2)+'LINEST VARS'!$L$56*(0.5^2)+'LINEST VARS'!$K$56*($CX59^2)+'LINEST VARS'!$J$56*(8*8)+'LINEST VARS'!$I$56*(8*$DS$56)+'LINEST VARS'!$H$56*(8*0.5)+'LINEST VARS'!$G$56*(8*$CX59)+'LINEST VARS'!$F$56*(8*$DS$56)+'LINEST VARS'!$E$56*(8*0.5)+'LINEST VARS'!$D$56*(8*$CX59)+'LINEST VARS'!$C$56*($DS$56*0.5)+'LINEST VARS'!$B$56*($DS$56*$CX59)+'LINEST VARS'!$A$56*(0.5*$CX59)</f>
        <v>2.5600000000000005</v>
      </c>
      <c r="DV59" s="45">
        <v>2.5990000000000002</v>
      </c>
      <c r="DW59" s="51">
        <f>'LINEST VARS'!$U$58+'LINEST VARS'!$T$58*(8)+'LINEST VARS'!$S$58*(8)+'LINEST VARS'!$R$58*($DW$56)+'LINEST VARS'!$Q$58*(0.5)+'LINEST VARS'!$P$58*($DV59)+'LINEST VARS'!$O$58*(8^2)+'LINEST VARS'!$N$58*(8^2)+'LINEST VARS'!$M$58*($DW$56^2)+'LINEST VARS'!$L$58*(0.5^2)+'LINEST VARS'!$K$58*($DV59^2)+'LINEST VARS'!$J$58*(8*8)+'LINEST VARS'!$I$58*(8*$DW$56)+'LINEST VARS'!$H$58*(8*0.5)+'LINEST VARS'!$G$58*(8*$DV59)+'LINEST VARS'!$F$58*(8*$DW$56)+'LINEST VARS'!$E$58*(8*0.5)+'LINEST VARS'!$D$58*(8*$DV59)+'LINEST VARS'!$C$58*($DW$56*0.5)+'LINEST VARS'!$B$58*($DW$56*$DV59)+'LINEST VARS'!$A$58*(0.5*$DV59)</f>
        <v>0.81299500000000025</v>
      </c>
      <c r="DX59" s="51">
        <f>'LINEST VARS'!$U$58+'LINEST VARS'!$T$58*(8)+'LINEST VARS'!$S$58*(8)+'LINEST VARS'!$R$58*($DX$56)+'LINEST VARS'!$Q$58*(0.5)+'LINEST VARS'!$P$58*($DV59)+'LINEST VARS'!$O$58*(8^2)+'LINEST VARS'!$N$58*(8^2)+'LINEST VARS'!$M$58*($DX$56^2)+'LINEST VARS'!$L$58*(0.5^2)+'LINEST VARS'!$K$58*($DV59^2)+'LINEST VARS'!$J$58*(8*8)+'LINEST VARS'!$I$58*(8*$DX$56)+'LINEST VARS'!$H$58*(8*0.5)+'LINEST VARS'!$G$58*(8*$DV59)+'LINEST VARS'!$F$58*(8*$DX$56)+'LINEST VARS'!$E$58*(8*0.5)+'LINEST VARS'!$D$58*(8*$DV59)+'LINEST VARS'!$C$58*($DX$56*0.5)+'LINEST VARS'!$B$58*($DX$56*$DV59)+'LINEST VARS'!$A$58*(0.5*$DV59)</f>
        <v>0.82099500000000025</v>
      </c>
      <c r="DY59" s="51">
        <f>'LINEST VARS'!$U$58+'LINEST VARS'!$T$58*(8)+'LINEST VARS'!$S$58*(8)+'LINEST VARS'!$R$58*($DY$56)+'LINEST VARS'!$Q$58*(0.5)+'LINEST VARS'!$P$58*($DV59)+'LINEST VARS'!$O$58*(8^2)+'LINEST VARS'!$N$58*(8^2)+'LINEST VARS'!$M$58*($DY$56^2)+'LINEST VARS'!$L$58*(0.5^2)+'LINEST VARS'!$K$58*($DV59^2)+'LINEST VARS'!$J$58*(8*8)+'LINEST VARS'!$I$58*(8*$DY$56)+'LINEST VARS'!$H$58*(8*0.5)+'LINEST VARS'!$G$58*(8*$DV59)+'LINEST VARS'!$F$58*(8*$DY$56)+'LINEST VARS'!$E$58*(8*0.5)+'LINEST VARS'!$D$58*(8*$DV59)+'LINEST VARS'!$C$58*($DY$56*0.5)+'LINEST VARS'!$B$58*($DY$56*$DV59)+'LINEST VARS'!$A$58*(0.5*$DV59)</f>
        <v>0.82899500000000015</v>
      </c>
      <c r="DZ59" s="51">
        <f>'LINEST VARS'!$U$58+'LINEST VARS'!$T$58*(8)+'LINEST VARS'!$S$58*(8)+'LINEST VARS'!$R$58*($DZ$56)+'LINEST VARS'!$Q$58*(0.5)+'LINEST VARS'!$P$58*($DV59)+'LINEST VARS'!$O$58*(8^2)+'LINEST VARS'!$N$58*(8^2)+'LINEST VARS'!$M$58*($DZ$56^2)+'LINEST VARS'!$L$58*(0.5^2)+'LINEST VARS'!$K$58*($DV59^2)+'LINEST VARS'!$J$58*(8*8)+'LINEST VARS'!$I$58*(8*$DZ$56)+'LINEST VARS'!$H$58*(8*0.5)+'LINEST VARS'!$G$58*(8*$DV59)+'LINEST VARS'!$F$58*(8*$DZ$56)+'LINEST VARS'!$E$58*(8*0.5)+'LINEST VARS'!$D$58*(8*$DV59)+'LINEST VARS'!$C$58*($DZ$56*0.5)+'LINEST VARS'!$B$58*($DZ$56*$DV59)+'LINEST VARS'!$A$58*(0.5*$DV59)</f>
        <v>0.83699500000000016</v>
      </c>
      <c r="EA59" s="51">
        <f>'LINEST VARS'!$U$58+'LINEST VARS'!$T$58*(8)+'LINEST VARS'!$S$58*(8)+'LINEST VARS'!$R$58*($EA$56)+'LINEST VARS'!$Q$58*(0.5)+'LINEST VARS'!$P$58*($DV59)+'LINEST VARS'!$O$58*(8^2)+'LINEST VARS'!$N$58*(8^2)+'LINEST VARS'!$M$58*($EA$56^2)+'LINEST VARS'!$L$58*(0.5^2)+'LINEST VARS'!$K$58*($DV59^2)+'LINEST VARS'!$J$58*(8*8)+'LINEST VARS'!$I$58*(8*$EA$56)+'LINEST VARS'!$H$58*(8*0.5)+'LINEST VARS'!$G$58*(8*$DV59)+'LINEST VARS'!$F$58*(8*$EA$56)+'LINEST VARS'!$E$58*(8*0.5)+'LINEST VARS'!$D$58*(8*$DV59)+'LINEST VARS'!$C$58*($EA$56*0.5)+'LINEST VARS'!$B$58*($EA$56*$DV59)+'LINEST VARS'!$A$58*(0.5*$DV59)</f>
        <v>0.84499500000000005</v>
      </c>
      <c r="EB59" s="51">
        <f>'LINEST VARS'!$U$58+'LINEST VARS'!$T$58*(8)+'LINEST VARS'!$S$58*(8)+'LINEST VARS'!$R$58*($EB$56)+'LINEST VARS'!$Q$58*(0.5)+'LINEST VARS'!$P$58*($DV59)+'LINEST VARS'!$O$58*(8^2)+'LINEST VARS'!$N$58*(8^2)+'LINEST VARS'!$M$58*($EB$56^2)+'LINEST VARS'!$L$58*(0.5^2)+'LINEST VARS'!$K$58*($DV59^2)+'LINEST VARS'!$J$58*(8*8)+'LINEST VARS'!$I$58*(8*$EB$56)+'LINEST VARS'!$H$58*(8*0.5)+'LINEST VARS'!$G$58*(8*$DV59)+'LINEST VARS'!$F$58*(8*$EB$56)+'LINEST VARS'!$E$58*(8*0.5)+'LINEST VARS'!$D$58*(8*$DV59)+'LINEST VARS'!$C$58*($EB$56*0.5)+'LINEST VARS'!$B$58*($EB$56*$DV59)+'LINEST VARS'!$A$58*(0.5*$DV59)</f>
        <v>0.85299500000000017</v>
      </c>
      <c r="EC59" s="51">
        <f>'LINEST VARS'!$U$58+'LINEST VARS'!$T$58*(8)+'LINEST VARS'!$S$58*(8)+'LINEST VARS'!$R$58*($EC$56)+'LINEST VARS'!$Q$58*(0.5)+'LINEST VARS'!$P$58*($DV59)+'LINEST VARS'!$O$58*(8^2)+'LINEST VARS'!$N$58*(8^2)+'LINEST VARS'!$M$58*($EC$56^2)+'LINEST VARS'!$L$58*(0.5^2)+'LINEST VARS'!$K$58*($DV59^2)+'LINEST VARS'!$J$58*(8*8)+'LINEST VARS'!$I$58*(8*$EC$56)+'LINEST VARS'!$H$58*(8*0.5)+'LINEST VARS'!$G$58*(8*$DV59)+'LINEST VARS'!$F$58*(8*$EC$56)+'LINEST VARS'!$E$58*(8*0.5)+'LINEST VARS'!$D$58*(8*$DV59)+'LINEST VARS'!$C$58*($EC$56*0.5)+'LINEST VARS'!$B$58*($EC$56*$DV59)+'LINEST VARS'!$A$58*(0.5*$DV59)</f>
        <v>0.86099500000000018</v>
      </c>
      <c r="ED59" s="51">
        <f>'LINEST VARS'!$U$58+'LINEST VARS'!$T$58*(8)+'LINEST VARS'!$S$58*(8)+'LINEST VARS'!$R$58*($ED$56)+'LINEST VARS'!$Q$58*(0.5)+'LINEST VARS'!$P$58*($DV59)+'LINEST VARS'!$O$58*(8^2)+'LINEST VARS'!$N$58*(8^2)+'LINEST VARS'!$M$58*($ED$56^2)+'LINEST VARS'!$L$58*(0.5^2)+'LINEST VARS'!$K$58*($DV59^2)+'LINEST VARS'!$J$58*(8*8)+'LINEST VARS'!$I$58*(8*$ED$56)+'LINEST VARS'!$H$58*(8*0.5)+'LINEST VARS'!$G$58*(8*$DV59)+'LINEST VARS'!$F$58*(8*$ED$56)+'LINEST VARS'!$E$58*(8*0.5)+'LINEST VARS'!$D$58*(8*$DV59)+'LINEST VARS'!$C$58*($ED$56*0.5)+'LINEST VARS'!$B$58*($ED$56*$DV59)+'LINEST VARS'!$A$58*(0.5*$DV59)</f>
        <v>0.86899500000000018</v>
      </c>
      <c r="EE59" s="51">
        <f>'LINEST VARS'!$U$58+'LINEST VARS'!$T$58*(8)+'LINEST VARS'!$S$58*(8)+'LINEST VARS'!$R$58*($EE$56)+'LINEST VARS'!$Q$58*(0.5)+'LINEST VARS'!$P$58*($DV59)+'LINEST VARS'!$O$58*(8^2)+'LINEST VARS'!$N$58*(8^2)+'LINEST VARS'!$M$58*($EE$56^2)+'LINEST VARS'!$L$58*(0.5^2)+'LINEST VARS'!$K$58*($DV59^2)+'LINEST VARS'!$J$58*(8*8)+'LINEST VARS'!$I$58*(8*$EE$56)+'LINEST VARS'!$H$58*(8*0.5)+'LINEST VARS'!$G$58*(8*$DV59)+'LINEST VARS'!$F$58*(8*$EE$56)+'LINEST VARS'!$E$58*(8*0.5)+'LINEST VARS'!$D$58*(8*$DV59)+'LINEST VARS'!$C$58*($EE$56*0.5)+'LINEST VARS'!$B$58*($EE$56*$DV59)+'LINEST VARS'!$A$58*(0.5*$DV59)</f>
        <v>0.8769950000000003</v>
      </c>
      <c r="EF59" s="51">
        <f>'LINEST VARS'!$U$58+'LINEST VARS'!$T$58*(8)+'LINEST VARS'!$S$58*(8)+'LINEST VARS'!$R$58*($EF$56)+'LINEST VARS'!$Q$58*(0.5)+'LINEST VARS'!$P$58*($DV59)+'LINEST VARS'!$O$58*(8^2)+'LINEST VARS'!$N$58*(8^2)+'LINEST VARS'!$M$58*($EF$56^2)+'LINEST VARS'!$L$58*(0.5^2)+'LINEST VARS'!$K$58*($DV59^2)+'LINEST VARS'!$J$58*(8*8)+'LINEST VARS'!$I$58*(8*$EF$56)+'LINEST VARS'!$H$58*(8*0.5)+'LINEST VARS'!$G$58*(8*$DV59)+'LINEST VARS'!$F$58*(8*$EF$56)+'LINEST VARS'!$E$58*(8*0.5)+'LINEST VARS'!$D$58*(8*$DV59)+'LINEST VARS'!$C$58*($EF$56*0.5)+'LINEST VARS'!$B$58*($EF$56*$DV59)+'LINEST VARS'!$A$58*(0.5*$DV59)</f>
        <v>0.8849950000000002</v>
      </c>
      <c r="EG59" s="51">
        <f>'LINEST VARS'!$U$58+'LINEST VARS'!$T$58*(8)+'LINEST VARS'!$S$58*(8)+'LINEST VARS'!$R$58*($EG$56)+'LINEST VARS'!$Q$58*(0.5)+'LINEST VARS'!$P$58*($DV59)+'LINEST VARS'!$O$58*(8^2)+'LINEST VARS'!$N$58*(8^2)+'LINEST VARS'!$M$58*($EG$56^2)+'LINEST VARS'!$L$58*(0.5^2)+'LINEST VARS'!$K$58*($DV59^2)+'LINEST VARS'!$J$58*(8*8)+'LINEST VARS'!$I$58*(8*$EG$56)+'LINEST VARS'!$H$58*(8*0.5)+'LINEST VARS'!$G$58*(8*$DV59)+'LINEST VARS'!$F$58*(8*$EG$56)+'LINEST VARS'!$E$58*(8*0.5)+'LINEST VARS'!$D$58*(8*$DV59)+'LINEST VARS'!$C$58*($EG$56*0.5)+'LINEST VARS'!$B$58*($EG$56*$DV59)+'LINEST VARS'!$A$58*(0.5*$DV59)</f>
        <v>0.89299500000000021</v>
      </c>
      <c r="EH59" s="51">
        <f>'LINEST VARS'!$U$58+'LINEST VARS'!$T$58*(8)+'LINEST VARS'!$S$58*(8)+'LINEST VARS'!$R$58*($EH$56)+'LINEST VARS'!$Q$58*(0.5)+'LINEST VARS'!$P$58*($DV59)+'LINEST VARS'!$O$58*(8^2)+'LINEST VARS'!$N$58*(8^2)+'LINEST VARS'!$M$58*($EH$56^2)+'LINEST VARS'!$L$58*(0.5^2)+'LINEST VARS'!$K$58*($DV59^2)+'LINEST VARS'!$J$58*(8*8)+'LINEST VARS'!$I$58*(8*$EH$56)+'LINEST VARS'!$H$58*(8*0.5)+'LINEST VARS'!$G$58*(8*$DV59)+'LINEST VARS'!$F$58*(8*$EH$56)+'LINEST VARS'!$E$58*(8*0.5)+'LINEST VARS'!$D$58*(8*$DV59)+'LINEST VARS'!$C$58*($EH$56*0.5)+'LINEST VARS'!$B$58*($EH$56*$DV59)+'LINEST VARS'!$A$58*(0.5*$DV59)</f>
        <v>0.9009950000000001</v>
      </c>
      <c r="EI59" s="51">
        <f>'LINEST VARS'!$U$58+'LINEST VARS'!$T$58*(8)+'LINEST VARS'!$S$58*(8)+'LINEST VARS'!$R$58*($EI$56)+'LINEST VARS'!$Q$58*(0.5)+'LINEST VARS'!$P$58*($DV59)+'LINEST VARS'!$O$58*(8^2)+'LINEST VARS'!$N$58*(8^2)+'LINEST VARS'!$M$58*($EI$56^2)+'LINEST VARS'!$L$58*(0.5^2)+'LINEST VARS'!$K$58*($DV59^2)+'LINEST VARS'!$J$58*(8*8)+'LINEST VARS'!$I$58*(8*$EI$56)+'LINEST VARS'!$H$58*(8*0.5)+'LINEST VARS'!$G$58*(8*$DV59)+'LINEST VARS'!$F$58*(8*$EI$56)+'LINEST VARS'!$E$58*(8*0.5)+'LINEST VARS'!$D$58*(8*$DV59)+'LINEST VARS'!$C$58*($EI$56*0.5)+'LINEST VARS'!$B$58*($EI$56*$DV59)+'LINEST VARS'!$A$58*(0.5*$DV59)</f>
        <v>0.90899500000000011</v>
      </c>
      <c r="EJ59" s="51">
        <f>'LINEST VARS'!$U$58+'LINEST VARS'!$T$58*(8)+'LINEST VARS'!$S$58*(8)+'LINEST VARS'!$R$58*($EJ$56)+'LINEST VARS'!$Q$58*(0.5)+'LINEST VARS'!$P$58*($DV59)+'LINEST VARS'!$O$58*(8^2)+'LINEST VARS'!$N$58*(8^2)+'LINEST VARS'!$M$58*($EJ$56^2)+'LINEST VARS'!$L$58*(0.5^2)+'LINEST VARS'!$K$58*($DV59^2)+'LINEST VARS'!$J$58*(8*8)+'LINEST VARS'!$I$58*(8*$EJ$56)+'LINEST VARS'!$H$58*(8*0.5)+'LINEST VARS'!$G$58*(8*$DV59)+'LINEST VARS'!$F$58*(8*$EJ$56)+'LINEST VARS'!$E$58*(8*0.5)+'LINEST VARS'!$D$58*(8*$DV59)+'LINEST VARS'!$C$58*($EJ$56*0.5)+'LINEST VARS'!$B$58*($EJ$56*$DV59)+'LINEST VARS'!$A$58*(0.5*$DV59)</f>
        <v>0.916995</v>
      </c>
      <c r="EK59" s="51">
        <f>'LINEST VARS'!$U$58+'LINEST VARS'!$T$58*(8)+'LINEST VARS'!$S$58*(8)+'LINEST VARS'!$R$58*($EK$56)+'LINEST VARS'!$Q$58*(0.5)+'LINEST VARS'!$P$58*($DV59)+'LINEST VARS'!$O$58*(8^2)+'LINEST VARS'!$N$58*(8^2)+'LINEST VARS'!$M$58*($EK$56^2)+'LINEST VARS'!$L$58*(0.5^2)+'LINEST VARS'!$K$58*($DV59^2)+'LINEST VARS'!$J$58*(8*8)+'LINEST VARS'!$I$58*(8*$EK$56)+'LINEST VARS'!$H$58*(8*0.5)+'LINEST VARS'!$G$58*(8*$DV59)+'LINEST VARS'!$F$58*(8*$EK$56)+'LINEST VARS'!$E$58*(8*0.5)+'LINEST VARS'!$D$58*(8*$DV59)+'LINEST VARS'!$C$58*($EK$56*0.5)+'LINEST VARS'!$B$58*($EK$56*$DV59)+'LINEST VARS'!$A$58*(0.5*$DV59)</f>
        <v>0.92499500000000012</v>
      </c>
      <c r="EL59" s="51">
        <f>'LINEST VARS'!$U$58+'LINEST VARS'!$T$58*(8)+'LINEST VARS'!$S$58*(8)+'LINEST VARS'!$R$58*($EL$56)+'LINEST VARS'!$Q$58*(0.5)+'LINEST VARS'!$P$58*($DV59)+'LINEST VARS'!$O$58*(8^2)+'LINEST VARS'!$N$58*(8^2)+'LINEST VARS'!$M$58*($EL$56^2)+'LINEST VARS'!$L$58*(0.5^2)+'LINEST VARS'!$K$58*($DV59^2)+'LINEST VARS'!$J$58*(8*8)+'LINEST VARS'!$I$58*(8*$EL$56)+'LINEST VARS'!$H$58*(8*0.5)+'LINEST VARS'!$G$58*(8*$DV59)+'LINEST VARS'!$F$58*(8*$EL$56)+'LINEST VARS'!$E$58*(8*0.5)+'LINEST VARS'!$D$58*(8*$DV59)+'LINEST VARS'!$C$58*($EL$56*0.5)+'LINEST VARS'!$B$58*($EL$56*$DV59)+'LINEST VARS'!$A$58*(0.5*$DV59)</f>
        <v>0.93299500000000013</v>
      </c>
      <c r="EM59" s="51">
        <f>'LINEST VARS'!$U$58+'LINEST VARS'!$T$58*(8)+'LINEST VARS'!$S$58*(8)+'LINEST VARS'!$R$58*($EM$56)+'LINEST VARS'!$Q$58*(0.5)+'LINEST VARS'!$P$58*($DV59)+'LINEST VARS'!$O$58*(8^2)+'LINEST VARS'!$N$58*(8^2)+'LINEST VARS'!$M$58*($EM$56^2)+'LINEST VARS'!$L$58*(0.5^2)+'LINEST VARS'!$K$58*($DV59^2)+'LINEST VARS'!$J$58*(8*8)+'LINEST VARS'!$I$58*(8*$EM$56)+'LINEST VARS'!$H$58*(8*0.5)+'LINEST VARS'!$G$58*(8*$DV59)+'LINEST VARS'!$F$58*(8*$EM$56)+'LINEST VARS'!$E$58*(8*0.5)+'LINEST VARS'!$D$58*(8*$DV59)+'LINEST VARS'!$C$58*($EM$56*0.5)+'LINEST VARS'!$B$58*($EM$56*$DV59)+'LINEST VARS'!$A$58*(0.5*$DV59)</f>
        <v>0.94099500000000025</v>
      </c>
      <c r="EN59" s="51">
        <f>'LINEST VARS'!$U$58+'LINEST VARS'!$T$58*(8)+'LINEST VARS'!$S$58*(8)+'LINEST VARS'!$R$58*($EN$56)+'LINEST VARS'!$Q$58*(0.5)+'LINEST VARS'!$P$58*($DV59)+'LINEST VARS'!$O$58*(8^2)+'LINEST VARS'!$N$58*(8^2)+'LINEST VARS'!$M$58*($EN$56^2)+'LINEST VARS'!$L$58*(0.5^2)+'LINEST VARS'!$K$58*($DV59^2)+'LINEST VARS'!$J$58*(8*8)+'LINEST VARS'!$I$58*(8*$EN$56)+'LINEST VARS'!$H$58*(8*0.5)+'LINEST VARS'!$G$58*(8*$DV59)+'LINEST VARS'!$F$58*(8*$EN$56)+'LINEST VARS'!$E$58*(8*0.5)+'LINEST VARS'!$D$58*(8*$DV59)+'LINEST VARS'!$C$58*($EN$56*0.5)+'LINEST VARS'!$B$58*($EN$56*$DV59)+'LINEST VARS'!$A$58*(0.5*$DV59)</f>
        <v>0.94899500000000026</v>
      </c>
      <c r="EO59" s="51">
        <f>'LINEST VARS'!$U$58+'LINEST VARS'!$T$58*(8)+'LINEST VARS'!$S$58*(8)+'LINEST VARS'!$R$58*($EO$56)+'LINEST VARS'!$Q$58*(0.5)+'LINEST VARS'!$P$58*($DV59)+'LINEST VARS'!$O$58*(8^2)+'LINEST VARS'!$N$58*(8^2)+'LINEST VARS'!$M$58*($EO$56^2)+'LINEST VARS'!$L$58*(0.5^2)+'LINEST VARS'!$K$58*($DV59^2)+'LINEST VARS'!$J$58*(8*8)+'LINEST VARS'!$I$58*(8*$EO$56)+'LINEST VARS'!$H$58*(8*0.5)+'LINEST VARS'!$G$58*(8*$DV59)+'LINEST VARS'!$F$58*(8*$EO$56)+'LINEST VARS'!$E$58*(8*0.5)+'LINEST VARS'!$D$58*(8*$DV59)+'LINEST VARS'!$C$58*($EO$56*0.5)+'LINEST VARS'!$B$58*($EO$56*$DV59)+'LINEST VARS'!$A$58*(0.5*$DV59)</f>
        <v>0.95699500000000026</v>
      </c>
      <c r="EP59" s="51">
        <f>'LINEST VARS'!$U$58+'LINEST VARS'!$T$58*(8)+'LINEST VARS'!$S$58*(8)+'LINEST VARS'!$R$58*($EP$56)+'LINEST VARS'!$Q$58*(0.5)+'LINEST VARS'!$P$58*($DV59)+'LINEST VARS'!$O$58*(8^2)+'LINEST VARS'!$N$58*(8^2)+'LINEST VARS'!$M$58*($EP$56^2)+'LINEST VARS'!$L$58*(0.5^2)+'LINEST VARS'!$K$58*($DV59^2)+'LINEST VARS'!$J$58*(8*8)+'LINEST VARS'!$I$58*(8*$EP$56)+'LINEST VARS'!$H$58*(8*0.5)+'LINEST VARS'!$G$58*(8*$DV59)+'LINEST VARS'!$F$58*(8*$EP$56)+'LINEST VARS'!$E$58*(8*0.5)+'LINEST VARS'!$D$58*(8*$DV59)+'LINEST VARS'!$C$58*($EP$56*0.5)+'LINEST VARS'!$B$58*($EP$56*$DV59)+'LINEST VARS'!$A$58*(0.5*$DV59)</f>
        <v>0.96499500000000016</v>
      </c>
      <c r="EQ59" s="52">
        <f>'LINEST VARS'!$U$58+'LINEST VARS'!$T$58*(8)+'LINEST VARS'!$S$58*(8)+'LINEST VARS'!$R$58*($EQ$56)+'LINEST VARS'!$Q$58*(0.5)+'LINEST VARS'!$P$58*($DV59)+'LINEST VARS'!$O$58*(8^2)+'LINEST VARS'!$N$58*(8^2)+'LINEST VARS'!$M$58*($EQ$56^2)+'LINEST VARS'!$L$58*(0.5^2)+'LINEST VARS'!$K$58*($DV59^2)+'LINEST VARS'!$J$58*(8*8)+'LINEST VARS'!$I$58*(8*$EQ$56)+'LINEST VARS'!$H$58*(8*0.5)+'LINEST VARS'!$G$58*(8*$DV59)+'LINEST VARS'!$F$58*(8*$EQ$56)+'LINEST VARS'!$E$58*(8*0.5)+'LINEST VARS'!$D$58*(8*$DV59)+'LINEST VARS'!$C$58*($EQ$56*0.5)+'LINEST VARS'!$B$58*($EQ$56*$DV59)+'LINEST VARS'!$A$58*(0.5*$DV59)</f>
        <v>0.97299500000000017</v>
      </c>
    </row>
    <row r="60" spans="2:147" ht="15" customHeight="1" x14ac:dyDescent="0.25">
      <c r="B60" s="45">
        <v>7.58</v>
      </c>
      <c r="C60" s="51">
        <f>'LINEST VARS'!$U$56+'LINEST VARS'!$T$56*($C$56)+'LINEST VARS'!$S$56*($B60)+'LINEST VARS'!$R$56*(4)+'LINEST VARS'!$Q$56*(0.5)+'LINEST VARS'!$P$56*(12.73)+'LINEST VARS'!$O$56*($C$56^2)+'LINEST VARS'!$N$56*($B60^2)+'LINEST VARS'!$M$56*(4^2)+'LINEST VARS'!$L$56*(0.5^2)+'LINEST VARS'!$K$56*(12.73^2)+'LINEST VARS'!$J$56*($C$56*$B60)+'LINEST VARS'!$I$56*($C$56*4)+'LINEST VARS'!$H$56*($C$56*0.5)+'LINEST VARS'!$G$56*($C$56*12.73)+'LINEST VARS'!$F$56*($B60*4)+'LINEST VARS'!$E$56*($B60*0.5)+'LINEST VARS'!$D$56*($B60*12.73)+'LINEST VARS'!$C$56*(4*0.5)+'LINEST VARS'!$B$56*(4*12.73)+'LINEST VARS'!$A$56*(0.5*12.73)</f>
        <v>2.8400000000000012</v>
      </c>
      <c r="D60" s="51">
        <f>'LINEST VARS'!$U$56+'LINEST VARS'!$T$56*($D$56)+'LINEST VARS'!$S$56*($B60)+'LINEST VARS'!$R$56*(4)+'LINEST VARS'!$Q$56*(0.5)+'LINEST VARS'!$P$56*(12.73)+'LINEST VARS'!$O$56*($D$56^2)+'LINEST VARS'!$N$56*($B60^2)+'LINEST VARS'!$M$56*(4^2)+'LINEST VARS'!$L$56*(0.5^2)+'LINEST VARS'!$K$56*(12.73^2)+'LINEST VARS'!$J$56*($D$56*$B60)+'LINEST VARS'!$I$56*($D$56*4)+'LINEST VARS'!$H$56*($D$56*0.5)+'LINEST VARS'!$G$56*($D$56*12.73)+'LINEST VARS'!$F$56*($B60*4)+'LINEST VARS'!$E$56*($B60*0.5)+'LINEST VARS'!$D$56*($B60*12.73)+'LINEST VARS'!$C$56*(4*0.5)+'LINEST VARS'!$B$56*(4*12.73)+'LINEST VARS'!$A$56*(0.5*12.73)</f>
        <v>2.8400000000000016</v>
      </c>
      <c r="E60" s="51">
        <f>'LINEST VARS'!$U$56+'LINEST VARS'!$T$56*($E$56)+'LINEST VARS'!$S$56*($B60)+'LINEST VARS'!$R$56*(4)+'LINEST VARS'!$Q$56*(0.5)+'LINEST VARS'!$P$56*(12.73)+'LINEST VARS'!$O$56*($E$56^2)+'LINEST VARS'!$N$56*($B60^2)+'LINEST VARS'!$M$56*(4^2)+'LINEST VARS'!$L$56*(0.5^2)+'LINEST VARS'!$K$56*(12.73^2)+'LINEST VARS'!$J$56*($E$56*$B60)+'LINEST VARS'!$I$56*($E$56*4)+'LINEST VARS'!$H$56*($E$56*0.5)+'LINEST VARS'!$G$56*($E$56*12.73)+'LINEST VARS'!$F$56*($B60*4)+'LINEST VARS'!$E$56*($B60*0.5)+'LINEST VARS'!$D$56*($B60*12.73)+'LINEST VARS'!$C$56*(4*0.5)+'LINEST VARS'!$B$56*(4*12.73)+'LINEST VARS'!$A$56*(0.5*12.73)</f>
        <v>2.8400000000000016</v>
      </c>
      <c r="F60" s="51">
        <f>'LINEST VARS'!$U$56+'LINEST VARS'!$T$56*($F$56)+'LINEST VARS'!$S$56*($B60)+'LINEST VARS'!$R$56*(4)+'LINEST VARS'!$Q$56*(0.5)+'LINEST VARS'!$P$56*(12.73)+'LINEST VARS'!$O$56*($F$56^2)+'LINEST VARS'!$N$56*($B60^2)+'LINEST VARS'!$M$56*(4^2)+'LINEST VARS'!$L$56*(0.5^2)+'LINEST VARS'!$K$56*(12.73^2)+'LINEST VARS'!$J$56*($F$56*$B60)+'LINEST VARS'!$I$56*($F$56*4)+'LINEST VARS'!$H$56*($F$56*0.5)+'LINEST VARS'!$G$56*($F$56*12.73)+'LINEST VARS'!$F$56*($B60*4)+'LINEST VARS'!$E$56*($B60*0.5)+'LINEST VARS'!$D$56*($B60*12.73)+'LINEST VARS'!$C$56*(4*0.5)+'LINEST VARS'!$B$56*(4*12.73)+'LINEST VARS'!$A$56*(0.5*12.73)</f>
        <v>2.8400000000000016</v>
      </c>
      <c r="G60" s="51">
        <f>'LINEST VARS'!$U$56+'LINEST VARS'!$T$56*($G$56)+'LINEST VARS'!$S$56*($B60)+'LINEST VARS'!$R$56*(4)+'LINEST VARS'!$Q$56*(0.5)+'LINEST VARS'!$P$56*(12.73)+'LINEST VARS'!$O$56*($G$56^2)+'LINEST VARS'!$N$56*($B60^2)+'LINEST VARS'!$M$56*(4^2)+'LINEST VARS'!$L$56*(0.5^2)+'LINEST VARS'!$K$56*(12.73^2)+'LINEST VARS'!$J$56*($G$56*$B60)+'LINEST VARS'!$I$56*($G$56*4)+'LINEST VARS'!$H$56*($G$56*0.5)+'LINEST VARS'!$G$56*($G$56*12.73)+'LINEST VARS'!$F$56*($B60*4)+'LINEST VARS'!$E$56*($B60*0.5)+'LINEST VARS'!$D$56*($B60*12.73)+'LINEST VARS'!$C$56*(4*0.5)+'LINEST VARS'!$B$56*(4*12.73)+'LINEST VARS'!$A$56*(0.5*12.73)</f>
        <v>2.8400000000000016</v>
      </c>
      <c r="H60" s="51">
        <f>'LINEST VARS'!$U$56+'LINEST VARS'!$T$56*($H$56)+'LINEST VARS'!$S$56*($B60)+'LINEST VARS'!$R$56*(4)+'LINEST VARS'!$Q$56*(0.5)+'LINEST VARS'!$P$56*(12.73)+'LINEST VARS'!$O$56*($H$56^2)+'LINEST VARS'!$N$56*($B60^2)+'LINEST VARS'!$M$56*(4^2)+'LINEST VARS'!$L$56*(0.5^2)+'LINEST VARS'!$K$56*(12.73^2)+'LINEST VARS'!$J$56*($H$56*$B60)+'LINEST VARS'!$I$56*($H$56*4)+'LINEST VARS'!$H$56*($H$56*0.5)+'LINEST VARS'!$G$56*($H$56*12.73)+'LINEST VARS'!$F$56*($B60*4)+'LINEST VARS'!$E$56*($B60*0.5)+'LINEST VARS'!$D$56*($B60*12.73)+'LINEST VARS'!$C$56*(4*0.5)+'LINEST VARS'!$B$56*(4*12.73)+'LINEST VARS'!$A$56*(0.5*12.73)</f>
        <v>2.8400000000000016</v>
      </c>
      <c r="I60" s="51">
        <f>'LINEST VARS'!$U$56+'LINEST VARS'!$T$56*($I$56)+'LINEST VARS'!$S$56*($B60)+'LINEST VARS'!$R$56*(4)+'LINEST VARS'!$Q$56*(0.5)+'LINEST VARS'!$P$56*(12.73)+'LINEST VARS'!$O$56*($I$56^2)+'LINEST VARS'!$N$56*($B60^2)+'LINEST VARS'!$M$56*(4^2)+'LINEST VARS'!$L$56*(0.5^2)+'LINEST VARS'!$K$56*(12.73^2)+'LINEST VARS'!$J$56*($I$56*$B60)+'LINEST VARS'!$I$56*($I$56*4)+'LINEST VARS'!$H$56*($I$56*0.5)+'LINEST VARS'!$G$56*($I$56*12.73)+'LINEST VARS'!$F$56*($B60*4)+'LINEST VARS'!$E$56*($B60*0.5)+'LINEST VARS'!$D$56*($B60*12.73)+'LINEST VARS'!$C$56*(4*0.5)+'LINEST VARS'!$B$56*(4*12.73)+'LINEST VARS'!$A$56*(0.5*12.73)</f>
        <v>2.8400000000000016</v>
      </c>
      <c r="J60" s="51">
        <f>'LINEST VARS'!$U$56+'LINEST VARS'!$T$56*($J$56)+'LINEST VARS'!$S$56*($B60)+'LINEST VARS'!$R$56*(4)+'LINEST VARS'!$Q$56*(0.5)+'LINEST VARS'!$P$56*(12.73)+'LINEST VARS'!$O$56*($J$56^2)+'LINEST VARS'!$N$56*($B60^2)+'LINEST VARS'!$M$56*(4^2)+'LINEST VARS'!$L$56*(0.5^2)+'LINEST VARS'!$K$56*(12.73^2)+'LINEST VARS'!$J$56*($J$56*$B60)+'LINEST VARS'!$I$56*($J$56*4)+'LINEST VARS'!$H$56*($J$56*0.5)+'LINEST VARS'!$G$56*($J$56*12.73)+'LINEST VARS'!$F$56*($B60*4)+'LINEST VARS'!$E$56*($B60*0.5)+'LINEST VARS'!$D$56*($B60*12.73)+'LINEST VARS'!$C$56*(4*0.5)+'LINEST VARS'!$B$56*(4*12.73)+'LINEST VARS'!$A$56*(0.5*12.73)</f>
        <v>2.8400000000000016</v>
      </c>
      <c r="K60" s="51">
        <f>'LINEST VARS'!$U$56+'LINEST VARS'!$T$56*($K$56)+'LINEST VARS'!$S$56*($B60)+'LINEST VARS'!$R$56*(4)+'LINEST VARS'!$Q$56*(0.5)+'LINEST VARS'!$P$56*(12.73)+'LINEST VARS'!$O$56*($K$56^2)+'LINEST VARS'!$N$56*($B60^2)+'LINEST VARS'!$M$56*(4^2)+'LINEST VARS'!$L$56*(0.5^2)+'LINEST VARS'!$K$56*(12.73^2)+'LINEST VARS'!$J$56*($K$56*$B60)+'LINEST VARS'!$I$56*($K$56*4)+'LINEST VARS'!$H$56*($K$56*0.5)+'LINEST VARS'!$G$56*($K$56*12.73)+'LINEST VARS'!$F$56*($B60*4)+'LINEST VARS'!$E$56*($B60*0.5)+'LINEST VARS'!$D$56*($B60*12.73)+'LINEST VARS'!$C$56*(4*0.5)+'LINEST VARS'!$B$56*(4*12.73)+'LINEST VARS'!$A$56*(0.5*12.73)</f>
        <v>2.8400000000000012</v>
      </c>
      <c r="L60" s="51">
        <f>'LINEST VARS'!$U$56+'LINEST VARS'!$T$56*($L$56)+'LINEST VARS'!$S$56*($B60)+'LINEST VARS'!$R$56*(4)+'LINEST VARS'!$Q$56*(0.5)+'LINEST VARS'!$P$56*(12.73)+'LINEST VARS'!$O$56*($L$56^2)+'LINEST VARS'!$N$56*($B60^2)+'LINEST VARS'!$M$56*(4^2)+'LINEST VARS'!$L$56*(0.5^2)+'LINEST VARS'!$K$56*(12.73^2)+'LINEST VARS'!$J$56*($L$56*$B60)+'LINEST VARS'!$I$56*($L$56*4)+'LINEST VARS'!$H$56*($L$56*0.5)+'LINEST VARS'!$G$56*($L$56*12.73)+'LINEST VARS'!$F$56*($B60*4)+'LINEST VARS'!$E$56*($B60*0.5)+'LINEST VARS'!$D$56*($B60*12.73)+'LINEST VARS'!$C$56*(4*0.5)+'LINEST VARS'!$B$56*(4*12.73)+'LINEST VARS'!$A$56*(0.5*12.73)</f>
        <v>2.8400000000000012</v>
      </c>
      <c r="M60" s="51">
        <f>'LINEST VARS'!$U$56+'LINEST VARS'!$T$56*($M$56)+'LINEST VARS'!$S$56*($B60)+'LINEST VARS'!$R$56*(4)+'LINEST VARS'!$Q$56*(0.5)+'LINEST VARS'!$P$56*(12.73)+'LINEST VARS'!$O$56*($M$56^2)+'LINEST VARS'!$N$56*($B60^2)+'LINEST VARS'!$M$56*(4^2)+'LINEST VARS'!$L$56*(0.5^2)+'LINEST VARS'!$K$56*(12.73^2)+'LINEST VARS'!$J$56*($M$56*$B60)+'LINEST VARS'!$I$56*($M$56*4)+'LINEST VARS'!$H$56*($M$56*0.5)+'LINEST VARS'!$G$56*($M$56*12.73)+'LINEST VARS'!$F$56*($B60*4)+'LINEST VARS'!$E$56*($B60*0.5)+'LINEST VARS'!$D$56*($B60*12.73)+'LINEST VARS'!$C$56*(4*0.5)+'LINEST VARS'!$B$56*(4*12.73)+'LINEST VARS'!$A$56*(0.5*12.73)</f>
        <v>2.8400000000000012</v>
      </c>
      <c r="N60" s="51">
        <f>'LINEST VARS'!$U$56+'LINEST VARS'!$T$56*($N$56)+'LINEST VARS'!$S$56*($B60)+'LINEST VARS'!$R$56*(4)+'LINEST VARS'!$Q$56*(0.5)+'LINEST VARS'!$P$56*(12.73)+'LINEST VARS'!$O$56*($N$56^2)+'LINEST VARS'!$N$56*($B60^2)+'LINEST VARS'!$M$56*(4^2)+'LINEST VARS'!$L$56*(0.5^2)+'LINEST VARS'!$K$56*(12.73^2)+'LINEST VARS'!$J$56*($N$56*$B60)+'LINEST VARS'!$I$56*($N$56*4)+'LINEST VARS'!$H$56*($N$56*0.5)+'LINEST VARS'!$G$56*($N$56*12.73)+'LINEST VARS'!$F$56*($B60*4)+'LINEST VARS'!$E$56*($B60*0.5)+'LINEST VARS'!$D$56*($B60*12.73)+'LINEST VARS'!$C$56*(4*0.5)+'LINEST VARS'!$B$56*(4*12.73)+'LINEST VARS'!$A$56*(0.5*12.73)</f>
        <v>2.8400000000000012</v>
      </c>
      <c r="O60" s="51">
        <f>'LINEST VARS'!$U$56+'LINEST VARS'!$T$56*($O$56)+'LINEST VARS'!$S$56*($B60)+'LINEST VARS'!$R$56*(4)+'LINEST VARS'!$Q$56*(0.5)+'LINEST VARS'!$P$56*(12.73)+'LINEST VARS'!$O$56*($O$56^2)+'LINEST VARS'!$N$56*($B60^2)+'LINEST VARS'!$M$56*(4^2)+'LINEST VARS'!$L$56*(0.5^2)+'LINEST VARS'!$K$56*(12.73^2)+'LINEST VARS'!$J$56*($O$56*$B60)+'LINEST VARS'!$I$56*($O$56*4)+'LINEST VARS'!$H$56*($O$56*0.5)+'LINEST VARS'!$G$56*($O$56*12.73)+'LINEST VARS'!$F$56*($B60*4)+'LINEST VARS'!$E$56*($B60*0.5)+'LINEST VARS'!$D$56*($B60*12.73)+'LINEST VARS'!$C$56*(4*0.5)+'LINEST VARS'!$B$56*(4*12.73)+'LINEST VARS'!$A$56*(0.5*12.73)</f>
        <v>2.8400000000000012</v>
      </c>
      <c r="P60" s="51">
        <f>'LINEST VARS'!$U$56+'LINEST VARS'!$T$56*($P$56)+'LINEST VARS'!$S$56*($B60)+'LINEST VARS'!$R$56*(4)+'LINEST VARS'!$Q$56*(0.5)+'LINEST VARS'!$P$56*(12.73)+'LINEST VARS'!$O$56*($P$56^2)+'LINEST VARS'!$N$56*($B60^2)+'LINEST VARS'!$M$56*(4^2)+'LINEST VARS'!$L$56*(0.5^2)+'LINEST VARS'!$K$56*(12.73^2)+'LINEST VARS'!$J$56*($P$56*$B60)+'LINEST VARS'!$I$56*($P$56*4)+'LINEST VARS'!$H$56*($P$56*0.5)+'LINEST VARS'!$G$56*($P$56*12.73)+'LINEST VARS'!$F$56*($B60*4)+'LINEST VARS'!$E$56*($B60*0.5)+'LINEST VARS'!$D$56*($B60*12.73)+'LINEST VARS'!$C$56*(4*0.5)+'LINEST VARS'!$B$56*(4*12.73)+'LINEST VARS'!$A$56*(0.5*12.73)</f>
        <v>2.8400000000000012</v>
      </c>
      <c r="Q60" s="51">
        <f>'LINEST VARS'!$U$56+'LINEST VARS'!$T$56*($Q$56)+'LINEST VARS'!$S$56*($B60)+'LINEST VARS'!$R$56*(4)+'LINEST VARS'!$Q$56*(0.5)+'LINEST VARS'!$P$56*(12.73)+'LINEST VARS'!$O$56*($Q$56^2)+'LINEST VARS'!$N$56*($B60^2)+'LINEST VARS'!$M$56*(4^2)+'LINEST VARS'!$L$56*(0.5^2)+'LINEST VARS'!$K$56*(12.73^2)+'LINEST VARS'!$J$56*($Q$56*$B60)+'LINEST VARS'!$I$56*($Q$56*4)+'LINEST VARS'!$H$56*($Q$56*0.5)+'LINEST VARS'!$G$56*($Q$56*12.73)+'LINEST VARS'!$F$56*($B60*4)+'LINEST VARS'!$E$56*($B60*0.5)+'LINEST VARS'!$D$56*($B60*12.73)+'LINEST VARS'!$C$56*(4*0.5)+'LINEST VARS'!$B$56*(4*12.73)+'LINEST VARS'!$A$56*(0.5*12.73)</f>
        <v>2.8400000000000012</v>
      </c>
      <c r="R60" s="51">
        <f>'LINEST VARS'!$U$56+'LINEST VARS'!$T$56*($R$56)+'LINEST VARS'!$S$56*($B60)+'LINEST VARS'!$R$56*(4)+'LINEST VARS'!$Q$56*(0.5)+'LINEST VARS'!$P$56*(12.73)+'LINEST VARS'!$O$56*($R$56^2)+'LINEST VARS'!$N$56*($B60^2)+'LINEST VARS'!$M$56*(4^2)+'LINEST VARS'!$L$56*(0.5^2)+'LINEST VARS'!$K$56*(12.73^2)+'LINEST VARS'!$J$56*($R$56*$B60)+'LINEST VARS'!$I$56*($R$56*4)+'LINEST VARS'!$H$56*($R$56*0.5)+'LINEST VARS'!$G$56*($R$56*12.73)+'LINEST VARS'!$F$56*($B60*4)+'LINEST VARS'!$E$56*($B60*0.5)+'LINEST VARS'!$D$56*($B60*12.73)+'LINEST VARS'!$C$56*(4*0.5)+'LINEST VARS'!$B$56*(4*12.73)+'LINEST VARS'!$A$56*(0.5*12.73)</f>
        <v>2.8400000000000012</v>
      </c>
      <c r="S60" s="51">
        <f>'LINEST VARS'!$U$56+'LINEST VARS'!$T$56*($S$56)+'LINEST VARS'!$S$56*($B60)+'LINEST VARS'!$R$56*(4)+'LINEST VARS'!$Q$56*(0.5)+'LINEST VARS'!$P$56*(12.73)+'LINEST VARS'!$O$56*($S$56^2)+'LINEST VARS'!$N$56*($B60^2)+'LINEST VARS'!$M$56*(4^2)+'LINEST VARS'!$L$56*(0.5^2)+'LINEST VARS'!$K$56*(12.73^2)+'LINEST VARS'!$J$56*($S$56*$B60)+'LINEST VARS'!$I$56*($S$56*4)+'LINEST VARS'!$H$56*($S$56*0.5)+'LINEST VARS'!$G$56*($S$56*12.73)+'LINEST VARS'!$F$56*($B60*4)+'LINEST VARS'!$E$56*($B60*0.5)+'LINEST VARS'!$D$56*($B60*12.73)+'LINEST VARS'!$C$56*(4*0.5)+'LINEST VARS'!$B$56*(4*12.73)+'LINEST VARS'!$A$56*(0.5*12.73)</f>
        <v>2.8400000000000012</v>
      </c>
      <c r="T60" s="51">
        <f>'LINEST VARS'!$U$56+'LINEST VARS'!$T$56*($T$56)+'LINEST VARS'!$S$56*($B60)+'LINEST VARS'!$R$56*(4)+'LINEST VARS'!$Q$56*(0.5)+'LINEST VARS'!$P$56*(12.73)+'LINEST VARS'!$O$56*($T$56^2)+'LINEST VARS'!$N$56*($B60^2)+'LINEST VARS'!$M$56*(4^2)+'LINEST VARS'!$L$56*(0.5^2)+'LINEST VARS'!$K$56*(12.73^2)+'LINEST VARS'!$J$56*($T$56*$B60)+'LINEST VARS'!$I$56*($T$56*4)+'LINEST VARS'!$H$56*($T$56*0.5)+'LINEST VARS'!$G$56*($T$56*12.73)+'LINEST VARS'!$F$56*($B60*4)+'LINEST VARS'!$E$56*($B60*0.5)+'LINEST VARS'!$D$56*($B60*12.73)+'LINEST VARS'!$C$56*(4*0.5)+'LINEST VARS'!$B$56*(4*12.73)+'LINEST VARS'!$A$56*(0.5*12.73)</f>
        <v>2.8400000000000012</v>
      </c>
      <c r="U60" s="51">
        <f>'LINEST VARS'!$U$56+'LINEST VARS'!$T$56*($U$56)+'LINEST VARS'!$S$56*($B60)+'LINEST VARS'!$R$56*(4)+'LINEST VARS'!$Q$56*(0.5)+'LINEST VARS'!$P$56*(12.73)+'LINEST VARS'!$O$56*($U$56^2)+'LINEST VARS'!$N$56*($B60^2)+'LINEST VARS'!$M$56*(4^2)+'LINEST VARS'!$L$56*(0.5^2)+'LINEST VARS'!$K$56*(12.73^2)+'LINEST VARS'!$J$56*($U$56*$B60)+'LINEST VARS'!$I$56*($U$56*4)+'LINEST VARS'!$H$56*($U$56*0.5)+'LINEST VARS'!$G$56*($U$56*12.73)+'LINEST VARS'!$F$56*($B60*4)+'LINEST VARS'!$E$56*($B60*0.5)+'LINEST VARS'!$D$56*($B60*12.73)+'LINEST VARS'!$C$56*(4*0.5)+'LINEST VARS'!$B$56*(4*12.73)+'LINEST VARS'!$A$56*(0.5*12.73)</f>
        <v>2.8400000000000012</v>
      </c>
      <c r="V60" s="51">
        <f>'LINEST VARS'!$U$56+'LINEST VARS'!$T$56*($V$56)+'LINEST VARS'!$S$56*($B60)+'LINEST VARS'!$R$56*(4)+'LINEST VARS'!$Q$56*(0.5)+'LINEST VARS'!$P$56*(12.73)+'LINEST VARS'!$O$56*($V$56^2)+'LINEST VARS'!$N$56*($B60^2)+'LINEST VARS'!$M$56*(4^2)+'LINEST VARS'!$L$56*(0.5^2)+'LINEST VARS'!$K$56*(12.73^2)+'LINEST VARS'!$J$56*($V$56*$B60)+'LINEST VARS'!$I$56*($V$56*4)+'LINEST VARS'!$H$56*($V$56*0.5)+'LINEST VARS'!$G$56*($V$56*12.73)+'LINEST VARS'!$F$56*($B60*4)+'LINEST VARS'!$E$56*($B60*0.5)+'LINEST VARS'!$D$56*($B60*12.73)+'LINEST VARS'!$C$56*(4*0.5)+'LINEST VARS'!$B$56*(4*12.73)+'LINEST VARS'!$A$56*(0.5*12.73)</f>
        <v>2.8400000000000012</v>
      </c>
      <c r="W60" s="52">
        <f>'LINEST VARS'!$U$56+'LINEST VARS'!$T$56*($W$56)+'LINEST VARS'!$S$56*($B60)+'LINEST VARS'!$R$56*(4)+'LINEST VARS'!$Q$56*(0.5)+'LINEST VARS'!$P$56*(12.73)+'LINEST VARS'!$O$56*($W$56^2)+'LINEST VARS'!$N$56*($B60^2)+'LINEST VARS'!$M$56*(4^2)+'LINEST VARS'!$L$56*(0.5^2)+'LINEST VARS'!$K$56*(12.73^2)+'LINEST VARS'!$J$56*($W$56*$B60)+'LINEST VARS'!$I$56*($W$56*4)+'LINEST VARS'!$H$56*($W$56*0.5)+'LINEST VARS'!$G$56*($W$56*12.73)+'LINEST VARS'!$F$56*($B60*4)+'LINEST VARS'!$E$56*($B60*0.5)+'LINEST VARS'!$D$56*($B60*12.73)+'LINEST VARS'!$C$56*(4*0.5)+'LINEST VARS'!$B$56*(4*12.73)+'LINEST VARS'!$A$56*(0.5*12.73)</f>
        <v>2.8400000000000012</v>
      </c>
      <c r="Z60" s="45">
        <v>7.58</v>
      </c>
      <c r="AA60" s="51">
        <f>'LINEST VARS'!$U$58+'LINEST VARS'!$T$58*($AA$56)+'LINEST VARS'!$S$58*($Z60)+'LINEST VARS'!$R$58*(4)+'LINEST VARS'!$Q$58*(0.5)+'LINEST VARS'!$P$58*(12.73)+'LINEST VARS'!$O$58*($AA$56^2)+'LINEST VARS'!$N$58*($Z60^2)+'LINEST VARS'!$M$58*(4^2)+'LINEST VARS'!$L$58*(0.5^2)+'LINEST VARS'!$K$58*(12.73^2)+'LINEST VARS'!$J$58*($AA$56*$Z60)+'LINEST VARS'!$I$58*($AA$56*4)+'LINEST VARS'!$H$58*($AA$56*0.5)+'LINEST VARS'!$G$58*($AA$56*12.73)+'LINEST VARS'!$F$58*($Z60*4)+'LINEST VARS'!$E$58*($Z60*0.5)+'LINEST VARS'!$D$58*($Z60*12.73)+'LINEST VARS'!$C$58*(4*0.5)+'LINEST VARS'!$B$58*(4*12.73)+'LINEST VARS'!$A$58*(0.5*12.73)</f>
        <v>0.94365000000000032</v>
      </c>
      <c r="AB60" s="51">
        <f>'LINEST VARS'!$U$58+'LINEST VARS'!$T$58*($AB$56)+'LINEST VARS'!$S$58*($Z60)+'LINEST VARS'!$R$58*(4)+'LINEST VARS'!$Q$58*(0.5)+'LINEST VARS'!$P$58*(12.73)+'LINEST VARS'!$O$58*($AB$56^2)+'LINEST VARS'!$N$58*($Z60^2)+'LINEST VARS'!$M$58*(4^2)+'LINEST VARS'!$L$58*(0.5^2)+'LINEST VARS'!$K$58*(12.73^2)+'LINEST VARS'!$J$58*($AB$56*$Z60)+'LINEST VARS'!$I$58*($AB$56*4)+'LINEST VARS'!$H$58*($AB$56*0.5)+'LINEST VARS'!$G$58*($AB$56*12.73)+'LINEST VARS'!$F$58*($Z60*4)+'LINEST VARS'!$E$58*($Z60*0.5)+'LINEST VARS'!$D$58*($Z60*12.73)+'LINEST VARS'!$C$58*(4*0.5)+'LINEST VARS'!$B$58*(4*12.73)+'LINEST VARS'!$A$58*(0.5*12.73)</f>
        <v>0.94365000000000032</v>
      </c>
      <c r="AC60" s="51">
        <f>'LINEST VARS'!$U$58+'LINEST VARS'!$T$58*($AC$56)+'LINEST VARS'!$S$58*($Z60)+'LINEST VARS'!$R$58*(4)+'LINEST VARS'!$Q$58*(0.5)+'LINEST VARS'!$P$58*(12.73)+'LINEST VARS'!$O$58*($AC$56^2)+'LINEST VARS'!$N$58*($Z60^2)+'LINEST VARS'!$M$58*(4^2)+'LINEST VARS'!$L$58*(0.5^2)+'LINEST VARS'!$K$58*(12.73^2)+'LINEST VARS'!$J$58*($AC$56*$Z60)+'LINEST VARS'!$I$58*($AC$56*4)+'LINEST VARS'!$H$58*($AC$56*0.5)+'LINEST VARS'!$G$58*($AC$56*12.73)+'LINEST VARS'!$F$58*($Z60*4)+'LINEST VARS'!$E$58*($Z60*0.5)+'LINEST VARS'!$D$58*($Z60*12.73)+'LINEST VARS'!$C$58*(4*0.5)+'LINEST VARS'!$B$58*(4*12.73)+'LINEST VARS'!$A$58*(0.5*12.73)</f>
        <v>0.94365000000000032</v>
      </c>
      <c r="AD60" s="51">
        <f>'LINEST VARS'!$U$58+'LINEST VARS'!$T$58*($AD$56)+'LINEST VARS'!$S$58*($Z60)+'LINEST VARS'!$R$58*(4)+'LINEST VARS'!$Q$58*(0.5)+'LINEST VARS'!$P$58*(12.73)+'LINEST VARS'!$O$58*($AD$56^2)+'LINEST VARS'!$N$58*($Z60^2)+'LINEST VARS'!$M$58*(4^2)+'LINEST VARS'!$L$58*(0.5^2)+'LINEST VARS'!$K$58*(12.73^2)+'LINEST VARS'!$J$58*($AD$56*$Z60)+'LINEST VARS'!$I$58*($AD$56*4)+'LINEST VARS'!$H$58*($AD$56*0.5)+'LINEST VARS'!$G$58*($AD$56*12.73)+'LINEST VARS'!$F$58*($Z60*4)+'LINEST VARS'!$E$58*($Z60*0.5)+'LINEST VARS'!$D$58*($Z60*12.73)+'LINEST VARS'!$C$58*(4*0.5)+'LINEST VARS'!$B$58*(4*12.73)+'LINEST VARS'!$A$58*(0.5*12.73)</f>
        <v>0.94365000000000032</v>
      </c>
      <c r="AE60" s="51">
        <f>'LINEST VARS'!$U$58+'LINEST VARS'!$T$58*($AE$56)+'LINEST VARS'!$S$58*($Z60)+'LINEST VARS'!$R$58*(4)+'LINEST VARS'!$Q$58*(0.5)+'LINEST VARS'!$P$58*(12.73)+'LINEST VARS'!$O$58*($AE$56^2)+'LINEST VARS'!$N$58*($Z60^2)+'LINEST VARS'!$M$58*(4^2)+'LINEST VARS'!$L$58*(0.5^2)+'LINEST VARS'!$K$58*(12.73^2)+'LINEST VARS'!$J$58*($AE$56*$Z60)+'LINEST VARS'!$I$58*($AE$56*4)+'LINEST VARS'!$H$58*($AE$56*0.5)+'LINEST VARS'!$G$58*($AE$56*12.73)+'LINEST VARS'!$F$58*($Z60*4)+'LINEST VARS'!$E$58*($Z60*0.5)+'LINEST VARS'!$D$58*($Z60*12.73)+'LINEST VARS'!$C$58*(4*0.5)+'LINEST VARS'!$B$58*(4*12.73)+'LINEST VARS'!$A$58*(0.5*12.73)</f>
        <v>0.94365000000000032</v>
      </c>
      <c r="AF60" s="51">
        <f>'LINEST VARS'!$U$58+'LINEST VARS'!$T$58*($AF$56)+'LINEST VARS'!$S$58*($Z60)+'LINEST VARS'!$R$58*(4)+'LINEST VARS'!$Q$58*(0.5)+'LINEST VARS'!$P$58*(12.73)+'LINEST VARS'!$O$58*($AF$56^2)+'LINEST VARS'!$N$58*($Z60^2)+'LINEST VARS'!$M$58*(4^2)+'LINEST VARS'!$L$58*(0.5^2)+'LINEST VARS'!$K$58*(12.73^2)+'LINEST VARS'!$J$58*($AF$56*$Z60)+'LINEST VARS'!$I$58*($AF$56*4)+'LINEST VARS'!$H$58*($AF$56*0.5)+'LINEST VARS'!$G$58*($AF$56*12.73)+'LINEST VARS'!$F$58*($Z60*4)+'LINEST VARS'!$E$58*($Z60*0.5)+'LINEST VARS'!$D$58*($Z60*12.73)+'LINEST VARS'!$C$58*(4*0.5)+'LINEST VARS'!$B$58*(4*12.73)+'LINEST VARS'!$A$58*(0.5*12.73)</f>
        <v>0.94365000000000032</v>
      </c>
      <c r="AG60" s="51">
        <f>'LINEST VARS'!$U$58+'LINEST VARS'!$T$58*($AG$56)+'LINEST VARS'!$S$58*($Z60)+'LINEST VARS'!$R$58*(4)+'LINEST VARS'!$Q$58*(0.5)+'LINEST VARS'!$P$58*(12.73)+'LINEST VARS'!$O$58*($AG$56^2)+'LINEST VARS'!$N$58*($Z60^2)+'LINEST VARS'!$M$58*(4^2)+'LINEST VARS'!$L$58*(0.5^2)+'LINEST VARS'!$K$58*(12.73^2)+'LINEST VARS'!$J$58*($AG$56*$Z60)+'LINEST VARS'!$I$58*($AG$56*4)+'LINEST VARS'!$H$58*($AG$56*0.5)+'LINEST VARS'!$G$58*($AG$56*12.73)+'LINEST VARS'!$F$58*($Z60*4)+'LINEST VARS'!$E$58*($Z60*0.5)+'LINEST VARS'!$D$58*($Z60*12.73)+'LINEST VARS'!$C$58*(4*0.5)+'LINEST VARS'!$B$58*(4*12.73)+'LINEST VARS'!$A$58*(0.5*12.73)</f>
        <v>0.94365000000000032</v>
      </c>
      <c r="AH60" s="51">
        <f>'LINEST VARS'!$U$58+'LINEST VARS'!$T$58*($AH$56)+'LINEST VARS'!$S$58*($Z60)+'LINEST VARS'!$R$58*(4)+'LINEST VARS'!$Q$58*(0.5)+'LINEST VARS'!$P$58*(12.73)+'LINEST VARS'!$O$58*($AH$56^2)+'LINEST VARS'!$N$58*($Z60^2)+'LINEST VARS'!$M$58*(4^2)+'LINEST VARS'!$L$58*(0.5^2)+'LINEST VARS'!$K$58*(12.73^2)+'LINEST VARS'!$J$58*($AH$56*$Z60)+'LINEST VARS'!$I$58*($AH$56*4)+'LINEST VARS'!$H$58*($AH$56*0.5)+'LINEST VARS'!$G$58*($AH$56*12.73)+'LINEST VARS'!$F$58*($Z60*4)+'LINEST VARS'!$E$58*($Z60*0.5)+'LINEST VARS'!$D$58*($Z60*12.73)+'LINEST VARS'!$C$58*(4*0.5)+'LINEST VARS'!$B$58*(4*12.73)+'LINEST VARS'!$A$58*(0.5*12.73)</f>
        <v>0.94365000000000043</v>
      </c>
      <c r="AI60" s="51">
        <f>'LINEST VARS'!$U$58+'LINEST VARS'!$T$58*($AI$56)+'LINEST VARS'!$S$58*($Z60)+'LINEST VARS'!$R$58*(4)+'LINEST VARS'!$Q$58*(0.5)+'LINEST VARS'!$P$58*(12.73)+'LINEST VARS'!$O$58*($AI$56^2)+'LINEST VARS'!$N$58*($Z60^2)+'LINEST VARS'!$M$58*(4^2)+'LINEST VARS'!$L$58*(0.5^2)+'LINEST VARS'!$K$58*(12.73^2)+'LINEST VARS'!$J$58*($AI$56*$Z60)+'LINEST VARS'!$I$58*($AI$56*4)+'LINEST VARS'!$H$58*($AI$56*0.5)+'LINEST VARS'!$G$58*($AI$56*12.73)+'LINEST VARS'!$F$58*($Z60*4)+'LINEST VARS'!$E$58*($Z60*0.5)+'LINEST VARS'!$D$58*($Z60*12.73)+'LINEST VARS'!$C$58*(4*0.5)+'LINEST VARS'!$B$58*(4*12.73)+'LINEST VARS'!$A$58*(0.5*12.73)</f>
        <v>0.94365000000000032</v>
      </c>
      <c r="AJ60" s="51">
        <f>'LINEST VARS'!$U$58+'LINEST VARS'!$T$58*($AJ$56)+'LINEST VARS'!$S$58*($Z60)+'LINEST VARS'!$R$58*(4)+'LINEST VARS'!$Q$58*(0.5)+'LINEST VARS'!$P$58*(12.73)+'LINEST VARS'!$O$58*($AJ$56^2)+'LINEST VARS'!$N$58*($Z60^2)+'LINEST VARS'!$M$58*(4^2)+'LINEST VARS'!$L$58*(0.5^2)+'LINEST VARS'!$K$58*(12.73^2)+'LINEST VARS'!$J$58*($AJ$56*$Z60)+'LINEST VARS'!$I$58*($AJ$56*4)+'LINEST VARS'!$H$58*($AJ$56*0.5)+'LINEST VARS'!$G$58*($AJ$56*12.73)+'LINEST VARS'!$F$58*($Z60*4)+'LINEST VARS'!$E$58*($Z60*0.5)+'LINEST VARS'!$D$58*($Z60*12.73)+'LINEST VARS'!$C$58*(4*0.5)+'LINEST VARS'!$B$58*(4*12.73)+'LINEST VARS'!$A$58*(0.5*12.73)</f>
        <v>0.94365000000000032</v>
      </c>
      <c r="AK60" s="51">
        <f>'LINEST VARS'!$U$58+'LINEST VARS'!$T$58*($AK$56)+'LINEST VARS'!$S$58*($Z60)+'LINEST VARS'!$R$58*(4)+'LINEST VARS'!$Q$58*(0.5)+'LINEST VARS'!$P$58*(12.73)+'LINEST VARS'!$O$58*($AK$56^2)+'LINEST VARS'!$N$58*($Z60^2)+'LINEST VARS'!$M$58*(4^2)+'LINEST VARS'!$L$58*(0.5^2)+'LINEST VARS'!$K$58*(12.73^2)+'LINEST VARS'!$J$58*($AK$56*$Z60)+'LINEST VARS'!$I$58*($AK$56*4)+'LINEST VARS'!$H$58*($AK$56*0.5)+'LINEST VARS'!$G$58*($AK$56*12.73)+'LINEST VARS'!$F$58*($Z60*4)+'LINEST VARS'!$E$58*($Z60*0.5)+'LINEST VARS'!$D$58*($Z60*12.73)+'LINEST VARS'!$C$58*(4*0.5)+'LINEST VARS'!$B$58*(4*12.73)+'LINEST VARS'!$A$58*(0.5*12.73)</f>
        <v>0.94365000000000032</v>
      </c>
      <c r="AL60" s="51">
        <f>'LINEST VARS'!$U$58+'LINEST VARS'!$T$58*($AL$56)+'LINEST VARS'!$S$58*($Z60)+'LINEST VARS'!$R$58*(4)+'LINEST VARS'!$Q$58*(0.5)+'LINEST VARS'!$P$58*(12.73)+'LINEST VARS'!$O$58*($AL$56^2)+'LINEST VARS'!$N$58*($Z60^2)+'LINEST VARS'!$M$58*(4^2)+'LINEST VARS'!$L$58*(0.5^2)+'LINEST VARS'!$K$58*(12.73^2)+'LINEST VARS'!$J$58*($AL$56*$Z60)+'LINEST VARS'!$I$58*($AL$56*4)+'LINEST VARS'!$H$58*($AL$56*0.5)+'LINEST VARS'!$G$58*($AL$56*12.73)+'LINEST VARS'!$F$58*($Z60*4)+'LINEST VARS'!$E$58*($Z60*0.5)+'LINEST VARS'!$D$58*($Z60*12.73)+'LINEST VARS'!$C$58*(4*0.5)+'LINEST VARS'!$B$58*(4*12.73)+'LINEST VARS'!$A$58*(0.5*12.73)</f>
        <v>0.94365000000000032</v>
      </c>
      <c r="AM60" s="51">
        <f>'LINEST VARS'!$U$58+'LINEST VARS'!$T$58*($AM$56)+'LINEST VARS'!$S$58*($Z60)+'LINEST VARS'!$R$58*(4)+'LINEST VARS'!$Q$58*(0.5)+'LINEST VARS'!$P$58*(12.73)+'LINEST VARS'!$O$58*($AM$56^2)+'LINEST VARS'!$N$58*($Z60^2)+'LINEST VARS'!$M$58*(4^2)+'LINEST VARS'!$L$58*(0.5^2)+'LINEST VARS'!$K$58*(12.73^2)+'LINEST VARS'!$J$58*($AM$56*$Z60)+'LINEST VARS'!$I$58*($AM$56*4)+'LINEST VARS'!$H$58*($AM$56*0.5)+'LINEST VARS'!$G$58*($AM$56*12.73)+'LINEST VARS'!$F$58*($Z60*4)+'LINEST VARS'!$E$58*($Z60*0.5)+'LINEST VARS'!$D$58*($Z60*12.73)+'LINEST VARS'!$C$58*(4*0.5)+'LINEST VARS'!$B$58*(4*12.73)+'LINEST VARS'!$A$58*(0.5*12.73)</f>
        <v>0.94365000000000021</v>
      </c>
      <c r="AN60" s="51">
        <f>'LINEST VARS'!$U$58+'LINEST VARS'!$T$58*($AN$56)+'LINEST VARS'!$S$58*($Z60)+'LINEST VARS'!$R$58*(4)+'LINEST VARS'!$Q$58*(0.5)+'LINEST VARS'!$P$58*(12.73)+'LINEST VARS'!$O$58*($AN$56^2)+'LINEST VARS'!$N$58*($Z60^2)+'LINEST VARS'!$M$58*(4^2)+'LINEST VARS'!$L$58*(0.5^2)+'LINEST VARS'!$K$58*(12.73^2)+'LINEST VARS'!$J$58*($AN$56*$Z60)+'LINEST VARS'!$I$58*($AN$56*4)+'LINEST VARS'!$H$58*($AN$56*0.5)+'LINEST VARS'!$G$58*($AN$56*12.73)+'LINEST VARS'!$F$58*($Z60*4)+'LINEST VARS'!$E$58*($Z60*0.5)+'LINEST VARS'!$D$58*($Z60*12.73)+'LINEST VARS'!$C$58*(4*0.5)+'LINEST VARS'!$B$58*(4*12.73)+'LINEST VARS'!$A$58*(0.5*12.73)</f>
        <v>0.94365000000000021</v>
      </c>
      <c r="AO60" s="51">
        <f>'LINEST VARS'!$U$58+'LINEST VARS'!$T$58*($AO$56)+'LINEST VARS'!$S$58*($Z60)+'LINEST VARS'!$R$58*(4)+'LINEST VARS'!$Q$58*(0.5)+'LINEST VARS'!$P$58*(12.73)+'LINEST VARS'!$O$58*($AO$56^2)+'LINEST VARS'!$N$58*($Z60^2)+'LINEST VARS'!$M$58*(4^2)+'LINEST VARS'!$L$58*(0.5^2)+'LINEST VARS'!$K$58*(12.73^2)+'LINEST VARS'!$J$58*($AO$56*$Z60)+'LINEST VARS'!$I$58*($AO$56*4)+'LINEST VARS'!$H$58*($AO$56*0.5)+'LINEST VARS'!$G$58*($AO$56*12.73)+'LINEST VARS'!$F$58*($Z60*4)+'LINEST VARS'!$E$58*($Z60*0.5)+'LINEST VARS'!$D$58*($Z60*12.73)+'LINEST VARS'!$C$58*(4*0.5)+'LINEST VARS'!$B$58*(4*12.73)+'LINEST VARS'!$A$58*(0.5*12.73)</f>
        <v>0.94365000000000021</v>
      </c>
      <c r="AP60" s="51">
        <f>'LINEST VARS'!$U$58+'LINEST VARS'!$T$58*($AP$56)+'LINEST VARS'!$S$58*($Z60)+'LINEST VARS'!$R$58*(4)+'LINEST VARS'!$Q$58*(0.5)+'LINEST VARS'!$P$58*(12.73)+'LINEST VARS'!$O$58*($AP$56^2)+'LINEST VARS'!$N$58*($Z60^2)+'LINEST VARS'!$M$58*(4^2)+'LINEST VARS'!$L$58*(0.5^2)+'LINEST VARS'!$K$58*(12.73^2)+'LINEST VARS'!$J$58*($AP$56*$Z60)+'LINEST VARS'!$I$58*($AP$56*4)+'LINEST VARS'!$H$58*($AP$56*0.5)+'LINEST VARS'!$G$58*($AP$56*12.73)+'LINEST VARS'!$F$58*($Z60*4)+'LINEST VARS'!$E$58*($Z60*0.5)+'LINEST VARS'!$D$58*($Z60*12.73)+'LINEST VARS'!$C$58*(4*0.5)+'LINEST VARS'!$B$58*(4*12.73)+'LINEST VARS'!$A$58*(0.5*12.73)</f>
        <v>0.94365000000000021</v>
      </c>
      <c r="AQ60" s="51">
        <f>'LINEST VARS'!$U$58+'LINEST VARS'!$T$58*($AQ$56)+'LINEST VARS'!$S$58*($Z60)+'LINEST VARS'!$R$58*(4)+'LINEST VARS'!$Q$58*(0.5)+'LINEST VARS'!$P$58*(12.73)+'LINEST VARS'!$O$58*($AQ$56^2)+'LINEST VARS'!$N$58*($Z60^2)+'LINEST VARS'!$M$58*(4^2)+'LINEST VARS'!$L$58*(0.5^2)+'LINEST VARS'!$K$58*(12.73^2)+'LINEST VARS'!$J$58*($AQ$56*$Z60)+'LINEST VARS'!$I$58*($AQ$56*4)+'LINEST VARS'!$H$58*($AQ$56*0.5)+'LINEST VARS'!$G$58*($AQ$56*12.73)+'LINEST VARS'!$F$58*($Z60*4)+'LINEST VARS'!$E$58*($Z60*0.5)+'LINEST VARS'!$D$58*($Z60*12.73)+'LINEST VARS'!$C$58*(4*0.5)+'LINEST VARS'!$B$58*(4*12.73)+'LINEST VARS'!$A$58*(0.5*12.73)</f>
        <v>0.94365000000000021</v>
      </c>
      <c r="AR60" s="51">
        <f>'LINEST VARS'!$U$58+'LINEST VARS'!$T$58*($AR$56)+'LINEST VARS'!$S$58*($Z60)+'LINEST VARS'!$R$58*(4)+'LINEST VARS'!$Q$58*(0.5)+'LINEST VARS'!$P$58*(12.73)+'LINEST VARS'!$O$58*($AR$56^2)+'LINEST VARS'!$N$58*($Z60^2)+'LINEST VARS'!$M$58*(4^2)+'LINEST VARS'!$L$58*(0.5^2)+'LINEST VARS'!$K$58*(12.73^2)+'LINEST VARS'!$J$58*($AR$56*$Z60)+'LINEST VARS'!$I$58*($AR$56*4)+'LINEST VARS'!$H$58*($AR$56*0.5)+'LINEST VARS'!$G$58*($AR$56*12.73)+'LINEST VARS'!$F$58*($Z60*4)+'LINEST VARS'!$E$58*($Z60*0.5)+'LINEST VARS'!$D$58*($Z60*12.73)+'LINEST VARS'!$C$58*(4*0.5)+'LINEST VARS'!$B$58*(4*12.73)+'LINEST VARS'!$A$58*(0.5*12.73)</f>
        <v>0.94365000000000032</v>
      </c>
      <c r="AS60" s="51">
        <f>'LINEST VARS'!$U$58+'LINEST VARS'!$T$58*($AS$56)+'LINEST VARS'!$S$58*($Z60)+'LINEST VARS'!$R$58*(4)+'LINEST VARS'!$Q$58*(0.5)+'LINEST VARS'!$P$58*(12.73)+'LINEST VARS'!$O$58*($AS$56^2)+'LINEST VARS'!$N$58*($Z60^2)+'LINEST VARS'!$M$58*(4^2)+'LINEST VARS'!$L$58*(0.5^2)+'LINEST VARS'!$K$58*(12.73^2)+'LINEST VARS'!$J$58*($AS$56*$Z60)+'LINEST VARS'!$I$58*($AS$56*4)+'LINEST VARS'!$H$58*($AS$56*0.5)+'LINEST VARS'!$G$58*($AS$56*12.73)+'LINEST VARS'!$F$58*($Z60*4)+'LINEST VARS'!$E$58*($Z60*0.5)+'LINEST VARS'!$D$58*($Z60*12.73)+'LINEST VARS'!$C$58*(4*0.5)+'LINEST VARS'!$B$58*(4*12.73)+'LINEST VARS'!$A$58*(0.5*12.73)</f>
        <v>0.94365000000000032</v>
      </c>
      <c r="AT60" s="51">
        <f>'LINEST VARS'!$U$58+'LINEST VARS'!$T$58*($AT$56)+'LINEST VARS'!$S$58*($Z60)+'LINEST VARS'!$R$58*(4)+'LINEST VARS'!$Q$58*(0.5)+'LINEST VARS'!$P$58*(12.73)+'LINEST VARS'!$O$58*($AT$56^2)+'LINEST VARS'!$N$58*($Z60^2)+'LINEST VARS'!$M$58*(4^2)+'LINEST VARS'!$L$58*(0.5^2)+'LINEST VARS'!$K$58*(12.73^2)+'LINEST VARS'!$J$58*($AT$56*$Z60)+'LINEST VARS'!$I$58*($AT$56*4)+'LINEST VARS'!$H$58*($AT$56*0.5)+'LINEST VARS'!$G$58*($AT$56*12.73)+'LINEST VARS'!$F$58*($Z60*4)+'LINEST VARS'!$E$58*($Z60*0.5)+'LINEST VARS'!$D$58*($Z60*12.73)+'LINEST VARS'!$C$58*(4*0.5)+'LINEST VARS'!$B$58*(4*12.73)+'LINEST VARS'!$A$58*(0.5*12.73)</f>
        <v>0.94365000000000032</v>
      </c>
      <c r="AU60" s="52">
        <f>'LINEST VARS'!$U$58+'LINEST VARS'!$T$58*($AU$56)+'LINEST VARS'!$S$58*($Z60)+'LINEST VARS'!$R$58*(4)+'LINEST VARS'!$Q$58*(0.5)+'LINEST VARS'!$P$58*(12.73)+'LINEST VARS'!$O$58*($AU$56^2)+'LINEST VARS'!$N$58*($Z60^2)+'LINEST VARS'!$M$58*(4^2)+'LINEST VARS'!$L$58*(0.5^2)+'LINEST VARS'!$K$58*(12.73^2)+'LINEST VARS'!$J$58*($AU$56*$Z60)+'LINEST VARS'!$I$58*($AU$56*4)+'LINEST VARS'!$H$58*($AU$56*0.5)+'LINEST VARS'!$G$58*($AU$56*12.73)+'LINEST VARS'!$F$58*($Z60*4)+'LINEST VARS'!$E$58*($Z60*0.5)+'LINEST VARS'!$D$58*($Z60*12.73)+'LINEST VARS'!$C$58*(4*0.5)+'LINEST VARS'!$B$58*(4*12.73)+'LINEST VARS'!$A$58*(0.5*12.73)</f>
        <v>0.94365000000000021</v>
      </c>
      <c r="AZ60" s="45">
        <v>0.15</v>
      </c>
      <c r="BA60" s="51">
        <f>'LINEST VARS'!$U$56+'LINEST VARS'!$T$56*(8)+'LINEST VARS'!$S$56*(8)+'LINEST VARS'!$R$56*($BA$56)+'LINEST VARS'!$Q$56*($AZ60)+'LINEST VARS'!$P$56*(12.73)+'LINEST VARS'!$O$56*(8^2)+'LINEST VARS'!$N$56*(8^2)+'LINEST VARS'!$M$56*($BA$56^2)+'LINEST VARS'!$L$56*($AZ60^2)+'LINEST VARS'!$K$56*(12.73^2)+'LINEST VARS'!$J$56*(8*8)+'LINEST VARS'!$I$56*(8*$BA$56)+'LINEST VARS'!$H$56*(8*$AZ60)+'LINEST VARS'!$G$56*(8*12.73)+'LINEST VARS'!$F$56*(8*$BA$56)+'LINEST VARS'!$E$56*(8*$AZ60)+'LINEST VARS'!$D$56*(8*12.73)+'LINEST VARS'!$C$56*($BA$56*$AZ60)+'LINEST VARS'!$B$56*($BA$56*12.73)+'LINEST VARS'!$A$56*($AZ60*12.73)</f>
        <v>2.8000000000000012</v>
      </c>
      <c r="BB60" s="51">
        <f>'LINEST VARS'!$U$56+'LINEST VARS'!$T$56*(8)+'LINEST VARS'!$S$56*(8)+'LINEST VARS'!$R$56*($BB$56)+'LINEST VARS'!$Q$56*($AZ60)+'LINEST VARS'!$P$56*(12.73)+'LINEST VARS'!$O$56*(8^2)+'LINEST VARS'!$N$56*(8^2)+'LINEST VARS'!$M$56*($BB$56^2)+'LINEST VARS'!$L$56*($AZ60^2)+'LINEST VARS'!$K$56*(12.73^2)+'LINEST VARS'!$J$56*(8*8)+'LINEST VARS'!$I$56*(8*$BB$56)+'LINEST VARS'!$H$56*(8*$AZ60)+'LINEST VARS'!$G$56*(8*12.73)+'LINEST VARS'!$F$56*(8*$BB$56)+'LINEST VARS'!$E$56*(8*$AZ60)+'LINEST VARS'!$D$56*(8*12.73)+'LINEST VARS'!$C$56*($BB$56*$AZ60)+'LINEST VARS'!$B$56*($BB$56*12.73)+'LINEST VARS'!$A$56*($AZ60*12.73)</f>
        <v>2.8184000000000013</v>
      </c>
      <c r="BC60" s="51">
        <f>'LINEST VARS'!$U$56+'LINEST VARS'!$T$56*(8)+'LINEST VARS'!$S$56*(8)+'LINEST VARS'!$R$56*($BC$56)+'LINEST VARS'!$Q$56*($AZ60)+'LINEST VARS'!$P$56*(12.73)+'LINEST VARS'!$O$56*(8^2)+'LINEST VARS'!$N$56*(8^2)+'LINEST VARS'!$M$56*($BC$56^2)+'LINEST VARS'!$L$56*($AZ60^2)+'LINEST VARS'!$K$56*(12.73^2)+'LINEST VARS'!$J$56*(8*8)+'LINEST VARS'!$I$56*(8*$BC$56)+'LINEST VARS'!$H$56*(8*$AZ60)+'LINEST VARS'!$G$56*(8*12.73)+'LINEST VARS'!$F$56*(8*$BC$56)+'LINEST VARS'!$E$56*(8*$AZ60)+'LINEST VARS'!$D$56*(8*12.73)+'LINEST VARS'!$C$56*($BC$56*$AZ60)+'LINEST VARS'!$B$56*($BC$56*12.73)+'LINEST VARS'!$A$56*($AZ60*12.73)</f>
        <v>2.833600000000001</v>
      </c>
      <c r="BD60" s="51">
        <f>'LINEST VARS'!$U$56+'LINEST VARS'!$T$56*(8)+'LINEST VARS'!$S$56*(8)+'LINEST VARS'!$R$56*($BD$56)+'LINEST VARS'!$Q$56*($AZ60)+'LINEST VARS'!$P$56*(12.73)+'LINEST VARS'!$O$56*(8^2)+'LINEST VARS'!$N$56*(8^2)+'LINEST VARS'!$M$56*($BD$56^2)+'LINEST VARS'!$L$56*($AZ60^2)+'LINEST VARS'!$K$56*(12.73^2)+'LINEST VARS'!$J$56*(8*8)+'LINEST VARS'!$I$56*(8*$BD$56)+'LINEST VARS'!$H$56*(8*$AZ60)+'LINEST VARS'!$G$56*(8*12.73)+'LINEST VARS'!$F$56*(8*$BD$56)+'LINEST VARS'!$E$56*(8*$AZ60)+'LINEST VARS'!$D$56*(8*12.73)+'LINEST VARS'!$C$56*($BD$56*$AZ60)+'LINEST VARS'!$B$56*($BD$56*12.73)+'LINEST VARS'!$A$56*($AZ60*12.73)</f>
        <v>2.845600000000001</v>
      </c>
      <c r="BE60" s="51">
        <f>'LINEST VARS'!$U$56+'LINEST VARS'!$T$56*(8)+'LINEST VARS'!$S$56*(8)+'LINEST VARS'!$R$56*($BE$56)+'LINEST VARS'!$Q$56*($AZ60)+'LINEST VARS'!$P$56*(12.73)+'LINEST VARS'!$O$56*(8^2)+'LINEST VARS'!$N$56*(8^2)+'LINEST VARS'!$M$56*($BE$56^2)+'LINEST VARS'!$L$56*($AZ60^2)+'LINEST VARS'!$K$56*(12.73^2)+'LINEST VARS'!$J$56*(8*8)+'LINEST VARS'!$I$56*(8*$BE$56)+'LINEST VARS'!$H$56*(8*$AZ60)+'LINEST VARS'!$G$56*(8*12.73)+'LINEST VARS'!$F$56*(8*$BE$56)+'LINEST VARS'!$E$56*(8*$AZ60)+'LINEST VARS'!$D$56*(8*12.73)+'LINEST VARS'!$C$56*($BE$56*$AZ60)+'LINEST VARS'!$B$56*($BE$56*12.73)+'LINEST VARS'!$A$56*($AZ60*12.73)</f>
        <v>2.8544000000000014</v>
      </c>
      <c r="BF60" s="51">
        <f>'LINEST VARS'!$U$56+'LINEST VARS'!$T$56*(8)+'LINEST VARS'!$S$56*(8)+'LINEST VARS'!$R$56*($BF$56)+'LINEST VARS'!$Q$56*($AZ60)+'LINEST VARS'!$P$56*(12.73)+'LINEST VARS'!$O$56*(8^2)+'LINEST VARS'!$N$56*(8^2)+'LINEST VARS'!$M$56*($BF$56^2)+'LINEST VARS'!$L$56*($AZ60^2)+'LINEST VARS'!$K$56*(12.73^2)+'LINEST VARS'!$J$56*(8*8)+'LINEST VARS'!$I$56*(8*$BF$56)+'LINEST VARS'!$H$56*(8*$AZ60)+'LINEST VARS'!$G$56*(8*12.73)+'LINEST VARS'!$F$56*(8*$BF$56)+'LINEST VARS'!$E$56*(8*$AZ60)+'LINEST VARS'!$D$56*(8*12.73)+'LINEST VARS'!$C$56*($BF$56*$AZ60)+'LINEST VARS'!$B$56*($BF$56*12.73)+'LINEST VARS'!$A$56*($AZ60*12.73)</f>
        <v>2.8600000000000012</v>
      </c>
      <c r="BG60" s="51">
        <f>'LINEST VARS'!$U$56+'LINEST VARS'!$T$56*(8)+'LINEST VARS'!$S$56*(8)+'LINEST VARS'!$R$56*($BG$56)+'LINEST VARS'!$Q$56*($AZ60)+'LINEST VARS'!$P$56*(12.73)+'LINEST VARS'!$O$56*(8^2)+'LINEST VARS'!$N$56*(8^2)+'LINEST VARS'!$M$56*($BG$56^2)+'LINEST VARS'!$L$56*($AZ60^2)+'LINEST VARS'!$K$56*(12.73^2)+'LINEST VARS'!$J$56*(8*8)+'LINEST VARS'!$I$56*(8*$BG$56)+'LINEST VARS'!$H$56*(8*$AZ60)+'LINEST VARS'!$G$56*(8*12.73)+'LINEST VARS'!$F$56*(8*$BG$56)+'LINEST VARS'!$E$56*(8*$AZ60)+'LINEST VARS'!$D$56*(8*12.73)+'LINEST VARS'!$C$56*($BG$56*$AZ60)+'LINEST VARS'!$B$56*($BG$56*12.73)+'LINEST VARS'!$A$56*($AZ60*12.73)</f>
        <v>2.8624000000000014</v>
      </c>
      <c r="BH60" s="51">
        <f>'LINEST VARS'!$U$56+'LINEST VARS'!$T$56*(8)+'LINEST VARS'!$S$56*(8)+'LINEST VARS'!$R$56*($BH$56)+'LINEST VARS'!$Q$56*($AZ60)+'LINEST VARS'!$P$56*(12.73)+'LINEST VARS'!$O$56*(8^2)+'LINEST VARS'!$N$56*(8^2)+'LINEST VARS'!$M$56*($BH$56^2)+'LINEST VARS'!$L$56*($AZ60^2)+'LINEST VARS'!$K$56*(12.73^2)+'LINEST VARS'!$J$56*(8*8)+'LINEST VARS'!$I$56*(8*$BH$56)+'LINEST VARS'!$H$56*(8*$AZ60)+'LINEST VARS'!$G$56*(8*12.73)+'LINEST VARS'!$F$56*(8*$BH$56)+'LINEST VARS'!$E$56*(8*$AZ60)+'LINEST VARS'!$D$56*(8*12.73)+'LINEST VARS'!$C$56*($BH$56*$AZ60)+'LINEST VARS'!$B$56*($BH$56*12.73)+'LINEST VARS'!$A$56*($AZ60*12.73)</f>
        <v>2.861600000000001</v>
      </c>
      <c r="BI60" s="51">
        <f>'LINEST VARS'!$U$56+'LINEST VARS'!$T$56*(8)+'LINEST VARS'!$S$56*(8)+'LINEST VARS'!$R$56*($BI$56)+'LINEST VARS'!$Q$56*($AZ60)+'LINEST VARS'!$P$56*(12.73)+'LINEST VARS'!$O$56*(8^2)+'LINEST VARS'!$N$56*(8^2)+'LINEST VARS'!$M$56*($BI$56^2)+'LINEST VARS'!$L$56*($AZ60^2)+'LINEST VARS'!$K$56*(12.73^2)+'LINEST VARS'!$J$56*(8*8)+'LINEST VARS'!$I$56*(8*$BI$56)+'LINEST VARS'!$H$56*(8*$AZ60)+'LINEST VARS'!$G$56*(8*12.73)+'LINEST VARS'!$F$56*(8*$BI$56)+'LINEST VARS'!$E$56*(8*$AZ60)+'LINEST VARS'!$D$56*(8*12.73)+'LINEST VARS'!$C$56*($BI$56*$AZ60)+'LINEST VARS'!$B$56*($BI$56*12.73)+'LINEST VARS'!$A$56*($AZ60*12.73)</f>
        <v>2.857600000000001</v>
      </c>
      <c r="BJ60" s="51">
        <f>'LINEST VARS'!$U$56+'LINEST VARS'!$T$56*(8)+'LINEST VARS'!$S$56*(8)+'LINEST VARS'!$R$56*($BJ$56)+'LINEST VARS'!$Q$56*($AZ60)+'LINEST VARS'!$P$56*(12.73)+'LINEST VARS'!$O$56*(8^2)+'LINEST VARS'!$N$56*(8^2)+'LINEST VARS'!$M$56*($BJ$56^2)+'LINEST VARS'!$L$56*($AZ60^2)+'LINEST VARS'!$K$56*(12.73^2)+'LINEST VARS'!$J$56*(8*8)+'LINEST VARS'!$I$56*(8*$BJ$56)+'LINEST VARS'!$H$56*(8*$AZ60)+'LINEST VARS'!$G$56*(8*12.73)+'LINEST VARS'!$F$56*(8*$BJ$56)+'LINEST VARS'!$E$56*(8*$AZ60)+'LINEST VARS'!$D$56*(8*12.73)+'LINEST VARS'!$C$56*($BJ$56*$AZ60)+'LINEST VARS'!$B$56*($BJ$56*12.73)+'LINEST VARS'!$A$56*($AZ60*12.73)</f>
        <v>2.8504000000000014</v>
      </c>
      <c r="BK60" s="51">
        <f>'LINEST VARS'!$U$56+'LINEST VARS'!$T$56*(8)+'LINEST VARS'!$S$56*(8)+'LINEST VARS'!$R$56*($BK$56)+'LINEST VARS'!$Q$56*($AZ60)+'LINEST VARS'!$P$56*(12.73)+'LINEST VARS'!$O$56*(8^2)+'LINEST VARS'!$N$56*(8^2)+'LINEST VARS'!$M$56*($BK$56^2)+'LINEST VARS'!$L$56*($AZ60^2)+'LINEST VARS'!$K$56*(12.73^2)+'LINEST VARS'!$J$56*(8*8)+'LINEST VARS'!$I$56*(8*$BK$56)+'LINEST VARS'!$H$56*(8*$AZ60)+'LINEST VARS'!$G$56*(8*12.73)+'LINEST VARS'!$F$56*(8*$BK$56)+'LINEST VARS'!$E$56*(8*$AZ60)+'LINEST VARS'!$D$56*(8*12.73)+'LINEST VARS'!$C$56*($BK$56*$AZ60)+'LINEST VARS'!$B$56*($BK$56*12.73)+'LINEST VARS'!$A$56*($AZ60*12.73)</f>
        <v>2.8400000000000012</v>
      </c>
      <c r="BL60" s="51">
        <f>'LINEST VARS'!$U$56+'LINEST VARS'!$T$56*(8)+'LINEST VARS'!$S$56*(8)+'LINEST VARS'!$R$56*($BL$56)+'LINEST VARS'!$Q$56*($AZ60)+'LINEST VARS'!$P$56*(12.73)+'LINEST VARS'!$O$56*(8^2)+'LINEST VARS'!$N$56*(8^2)+'LINEST VARS'!$M$56*($BL$56^2)+'LINEST VARS'!$L$56*($AZ60^2)+'LINEST VARS'!$K$56*(12.73^2)+'LINEST VARS'!$J$56*(8*8)+'LINEST VARS'!$I$56*(8*$BL$56)+'LINEST VARS'!$H$56*(8*$AZ60)+'LINEST VARS'!$G$56*(8*12.73)+'LINEST VARS'!$F$56*(8*$BL$56)+'LINEST VARS'!$E$56*(8*$AZ60)+'LINEST VARS'!$D$56*(8*12.73)+'LINEST VARS'!$C$56*($BL$56*$AZ60)+'LINEST VARS'!$B$56*($BL$56*12.73)+'LINEST VARS'!$A$56*($AZ60*12.73)</f>
        <v>2.8264000000000014</v>
      </c>
      <c r="BM60" s="51">
        <f>'LINEST VARS'!$U$56+'LINEST VARS'!$T$56*(8)+'LINEST VARS'!$S$56*(8)+'LINEST VARS'!$R$56*($BM$56)+'LINEST VARS'!$Q$56*($AZ60)+'LINEST VARS'!$P$56*(12.73)+'LINEST VARS'!$O$56*(8^2)+'LINEST VARS'!$N$56*(8^2)+'LINEST VARS'!$M$56*($BM$56^2)+'LINEST VARS'!$L$56*($AZ60^2)+'LINEST VARS'!$K$56*(12.73^2)+'LINEST VARS'!$J$56*(8*8)+'LINEST VARS'!$I$56*(8*$BM$56)+'LINEST VARS'!$H$56*(8*$AZ60)+'LINEST VARS'!$G$56*(8*12.73)+'LINEST VARS'!$F$56*(8*$BM$56)+'LINEST VARS'!$E$56*(8*$AZ60)+'LINEST VARS'!$D$56*(8*12.73)+'LINEST VARS'!$C$56*($BM$56*$AZ60)+'LINEST VARS'!$B$56*($BM$56*12.73)+'LINEST VARS'!$A$56*($AZ60*12.73)</f>
        <v>2.809600000000001</v>
      </c>
      <c r="BN60" s="51">
        <f>'LINEST VARS'!$U$56+'LINEST VARS'!$T$56*(8)+'LINEST VARS'!$S$56*(8)+'LINEST VARS'!$R$56*($BN$56)+'LINEST VARS'!$Q$56*($AZ60)+'LINEST VARS'!$P$56*(12.73)+'LINEST VARS'!$O$56*(8^2)+'LINEST VARS'!$N$56*(8^2)+'LINEST VARS'!$M$56*($BN$56^2)+'LINEST VARS'!$L$56*($AZ60^2)+'LINEST VARS'!$K$56*(12.73^2)+'LINEST VARS'!$J$56*(8*8)+'LINEST VARS'!$I$56*(8*$BN$56)+'LINEST VARS'!$H$56*(8*$AZ60)+'LINEST VARS'!$G$56*(8*12.73)+'LINEST VARS'!$F$56*(8*$BN$56)+'LINEST VARS'!$E$56*(8*$AZ60)+'LINEST VARS'!$D$56*(8*12.73)+'LINEST VARS'!$C$56*($BN$56*$AZ60)+'LINEST VARS'!$B$56*($BN$56*12.73)+'LINEST VARS'!$A$56*($AZ60*12.73)</f>
        <v>2.789600000000001</v>
      </c>
      <c r="BO60" s="51">
        <f>'LINEST VARS'!$U$56+'LINEST VARS'!$T$56*(8)+'LINEST VARS'!$S$56*(8)+'LINEST VARS'!$R$56*($BO$56)+'LINEST VARS'!$Q$56*($AZ60)+'LINEST VARS'!$P$56*(12.73)+'LINEST VARS'!$O$56*(8^2)+'LINEST VARS'!$N$56*(8^2)+'LINEST VARS'!$M$56*($BO$56^2)+'LINEST VARS'!$L$56*($AZ60^2)+'LINEST VARS'!$K$56*(12.73^2)+'LINEST VARS'!$J$56*(8*8)+'LINEST VARS'!$I$56*(8*$BO$56)+'LINEST VARS'!$H$56*(8*$AZ60)+'LINEST VARS'!$G$56*(8*12.73)+'LINEST VARS'!$F$56*(8*$BO$56)+'LINEST VARS'!$E$56*(8*$AZ60)+'LINEST VARS'!$D$56*(8*12.73)+'LINEST VARS'!$C$56*($BO$56*$AZ60)+'LINEST VARS'!$B$56*($BO$56*12.73)+'LINEST VARS'!$A$56*($AZ60*12.73)</f>
        <v>2.7664000000000013</v>
      </c>
      <c r="BP60" s="51">
        <f>'LINEST VARS'!$U$56+'LINEST VARS'!$T$56*(8)+'LINEST VARS'!$S$56*(8)+'LINEST VARS'!$R$56*($BP$56)+'LINEST VARS'!$Q$56*($AZ60)+'LINEST VARS'!$P$56*(12.73)+'LINEST VARS'!$O$56*(8^2)+'LINEST VARS'!$N$56*(8^2)+'LINEST VARS'!$M$56*($BP$56^2)+'LINEST VARS'!$L$56*($AZ60^2)+'LINEST VARS'!$K$56*(12.73^2)+'LINEST VARS'!$J$56*(8*8)+'LINEST VARS'!$I$56*(8*$BP$56)+'LINEST VARS'!$H$56*(8*$AZ60)+'LINEST VARS'!$G$56*(8*12.73)+'LINEST VARS'!$F$56*(8*$BP$56)+'LINEST VARS'!$E$56*(8*$AZ60)+'LINEST VARS'!$D$56*(8*12.73)+'LINEST VARS'!$C$56*($BP$56*$AZ60)+'LINEST VARS'!$B$56*($BP$56*12.73)+'LINEST VARS'!$A$56*($AZ60*12.73)</f>
        <v>2.7400000000000011</v>
      </c>
      <c r="BQ60" s="51">
        <f>'LINEST VARS'!$U$56+'LINEST VARS'!$T$56*(8)+'LINEST VARS'!$S$56*(8)+'LINEST VARS'!$R$56*($BQ$56)+'LINEST VARS'!$Q$56*($AZ60)+'LINEST VARS'!$P$56*(12.73)+'LINEST VARS'!$O$56*(8^2)+'LINEST VARS'!$N$56*(8^2)+'LINEST VARS'!$M$56*($BQ$56^2)+'LINEST VARS'!$L$56*($AZ60^2)+'LINEST VARS'!$K$56*(12.73^2)+'LINEST VARS'!$J$56*(8*8)+'LINEST VARS'!$I$56*(8*$BQ$56)+'LINEST VARS'!$H$56*(8*$AZ60)+'LINEST VARS'!$G$56*(8*12.73)+'LINEST VARS'!$F$56*(8*$BQ$56)+'LINEST VARS'!$E$56*(8*$AZ60)+'LINEST VARS'!$D$56*(8*12.73)+'LINEST VARS'!$C$56*($BQ$56*$AZ60)+'LINEST VARS'!$B$56*($BQ$56*12.73)+'LINEST VARS'!$A$56*($AZ60*12.73)</f>
        <v>2.7104000000000008</v>
      </c>
      <c r="BR60" s="51">
        <f>'LINEST VARS'!$U$56+'LINEST VARS'!$T$56*(8)+'LINEST VARS'!$S$56*(8)+'LINEST VARS'!$R$56*($BR$56)+'LINEST VARS'!$Q$56*($AZ60)+'LINEST VARS'!$P$56*(12.73)+'LINEST VARS'!$O$56*(8^2)+'LINEST VARS'!$N$56*(8^2)+'LINEST VARS'!$M$56*($BR$56^2)+'LINEST VARS'!$L$56*($AZ60^2)+'LINEST VARS'!$K$56*(12.73^2)+'LINEST VARS'!$J$56*(8*8)+'LINEST VARS'!$I$56*(8*$BR$56)+'LINEST VARS'!$H$56*(8*$AZ60)+'LINEST VARS'!$G$56*(8*12.73)+'LINEST VARS'!$F$56*(8*$BR$56)+'LINEST VARS'!$E$56*(8*$AZ60)+'LINEST VARS'!$D$56*(8*12.73)+'LINEST VARS'!$C$56*($BR$56*$AZ60)+'LINEST VARS'!$B$56*($BR$56*12.73)+'LINEST VARS'!$A$56*($AZ60*12.73)</f>
        <v>2.6776000000000013</v>
      </c>
      <c r="BS60" s="51">
        <f>'LINEST VARS'!$U$56+'LINEST VARS'!$T$56*(8)+'LINEST VARS'!$S$56*(8)+'LINEST VARS'!$R$56*($BS$56)+'LINEST VARS'!$Q$56*($AZ60)+'LINEST VARS'!$P$56*(12.73)+'LINEST VARS'!$O$56*(8^2)+'LINEST VARS'!$N$56*(8^2)+'LINEST VARS'!$M$56*($BS$56^2)+'LINEST VARS'!$L$56*($AZ60^2)+'LINEST VARS'!$K$56*(12.73^2)+'LINEST VARS'!$J$56*(8*8)+'LINEST VARS'!$I$56*(8*$BS$56)+'LINEST VARS'!$H$56*(8*$AZ60)+'LINEST VARS'!$G$56*(8*12.73)+'LINEST VARS'!$F$56*(8*$BS$56)+'LINEST VARS'!$E$56*(8*$AZ60)+'LINEST VARS'!$D$56*(8*12.73)+'LINEST VARS'!$C$56*($BS$56*$AZ60)+'LINEST VARS'!$B$56*($BS$56*12.73)+'LINEST VARS'!$A$56*($AZ60*12.73)</f>
        <v>2.6416000000000008</v>
      </c>
      <c r="BT60" s="51">
        <f>'LINEST VARS'!$U$56+'LINEST VARS'!$T$56*(8)+'LINEST VARS'!$S$56*(8)+'LINEST VARS'!$R$56*($BT$56)+'LINEST VARS'!$Q$56*($AZ60)+'LINEST VARS'!$P$56*(12.73)+'LINEST VARS'!$O$56*(8^2)+'LINEST VARS'!$N$56*(8^2)+'LINEST VARS'!$M$56*($BT$56^2)+'LINEST VARS'!$L$56*($AZ60^2)+'LINEST VARS'!$K$56*(12.73^2)+'LINEST VARS'!$J$56*(8*8)+'LINEST VARS'!$I$56*(8*$BT$56)+'LINEST VARS'!$H$56*(8*$AZ60)+'LINEST VARS'!$G$56*(8*12.73)+'LINEST VARS'!$F$56*(8*$BT$56)+'LINEST VARS'!$E$56*(8*$AZ60)+'LINEST VARS'!$D$56*(8*12.73)+'LINEST VARS'!$C$56*($BT$56*$AZ60)+'LINEST VARS'!$B$56*($BT$56*12.73)+'LINEST VARS'!$A$56*($AZ60*12.73)</f>
        <v>2.6024000000000012</v>
      </c>
      <c r="BU60" s="52">
        <f>'LINEST VARS'!$U$56+'LINEST VARS'!$T$56*(8)+'LINEST VARS'!$S$56*(8)+'LINEST VARS'!$R$56*($BU$56)+'LINEST VARS'!$Q$56*($AZ60)+'LINEST VARS'!$P$56*(12.73)+'LINEST VARS'!$O$56*(8^2)+'LINEST VARS'!$N$56*(8^2)+'LINEST VARS'!$M$56*($BU$56^2)+'LINEST VARS'!$L$56*($AZ60^2)+'LINEST VARS'!$K$56*(12.73^2)+'LINEST VARS'!$J$56*(8*8)+'LINEST VARS'!$I$56*(8*$BU$56)+'LINEST VARS'!$H$56*(8*$AZ60)+'LINEST VARS'!$G$56*(8*12.73)+'LINEST VARS'!$F$56*(8*$BU$56)+'LINEST VARS'!$E$56*(8*$AZ60)+'LINEST VARS'!$D$56*(8*12.73)+'LINEST VARS'!$C$56*($BU$56*$AZ60)+'LINEST VARS'!$B$56*($BU$56*12.73)+'LINEST VARS'!$A$56*($AZ60*12.73)</f>
        <v>2.5600000000000009</v>
      </c>
      <c r="BX60" s="45">
        <v>0.15</v>
      </c>
      <c r="BY60" s="51">
        <f>'LINEST VARS'!$U$58+'LINEST VARS'!$T$58*(8)+'LINEST VARS'!$S$58*(8)+'LINEST VARS'!$R$58*($BY$56)+'LINEST VARS'!$Q$58*($BX60)+'LINEST VARS'!$P$58*(12.73)+'LINEST VARS'!$O$58*(8^2)+'LINEST VARS'!$N$58*(8^2)+'LINEST VARS'!$M$58*($BY$56^2)+'LINEST VARS'!$L$58*($BX60^2)+'LINEST VARS'!$K$58*(12.73^2)+'LINEST VARS'!$J$58*(8*8)+'LINEST VARS'!$I$58*(8*$BY$56)+'LINEST VARS'!$H$58*(8*$BX60)+'LINEST VARS'!$G$58*(8*12.73)+'LINEST VARS'!$F$58*(8*$BY$56)+'LINEST VARS'!$E$58*(8*$BX60)+'LINEST VARS'!$D$58*(8*12.73)+'LINEST VARS'!$C$58*($BY$56*$BX60)+'LINEST VARS'!$B$58*($BY$56*12.73)+'LINEST VARS'!$A$58*($BX60*12.73)</f>
        <v>0.86365000000000036</v>
      </c>
      <c r="BZ60" s="51">
        <f>'LINEST VARS'!$U$58+'LINEST VARS'!$T$58*(8)+'LINEST VARS'!$S$58*(8)+'LINEST VARS'!$R$58*($BZ$56)+'LINEST VARS'!$Q$58*($BX60)+'LINEST VARS'!$P$58*(12.73)+'LINEST VARS'!$O$58*(8^2)+'LINEST VARS'!$N$58*(8^2)+'LINEST VARS'!$M$58*($BZ$56^2)+'LINEST VARS'!$L$58*($BX60^2)+'LINEST VARS'!$K$58*(12.73^2)+'LINEST VARS'!$J$58*(8*8)+'LINEST VARS'!$I$58*(8*$BZ$56)+'LINEST VARS'!$H$58*(8*$BX60)+'LINEST VARS'!$G$58*(8*12.73)+'LINEST VARS'!$F$58*(8*$BZ$56)+'LINEST VARS'!$E$58*(8*$BX60)+'LINEST VARS'!$D$58*(8*12.73)+'LINEST VARS'!$C$58*($BZ$56*$BX60)+'LINEST VARS'!$B$58*($BZ$56*12.73)+'LINEST VARS'!$A$58*($BX60*12.73)</f>
        <v>0.87165000000000037</v>
      </c>
      <c r="CA60" s="51">
        <f>'LINEST VARS'!$U$58+'LINEST VARS'!$T$58*(8)+'LINEST VARS'!$S$58*(8)+'LINEST VARS'!$R$58*($CA$56)+'LINEST VARS'!$Q$58*($BX60)+'LINEST VARS'!$P$58*(12.73)+'LINEST VARS'!$O$58*(8^2)+'LINEST VARS'!$N$58*(8^2)+'LINEST VARS'!$M$58*($CA$56^2)+'LINEST VARS'!$L$58*($BX60^2)+'LINEST VARS'!$K$58*(12.73^2)+'LINEST VARS'!$J$58*(8*8)+'LINEST VARS'!$I$58*(8*$CA$56)+'LINEST VARS'!$H$58*(8*$BX60)+'LINEST VARS'!$G$58*(8*12.73)+'LINEST VARS'!$F$58*(8*$CA$56)+'LINEST VARS'!$E$58*(8*$BX60)+'LINEST VARS'!$D$58*(8*12.73)+'LINEST VARS'!$C$58*($CA$56*$BX60)+'LINEST VARS'!$B$58*($CA$56*12.73)+'LINEST VARS'!$A$58*($BX60*12.73)</f>
        <v>0.87965000000000027</v>
      </c>
      <c r="CB60" s="51">
        <f>'LINEST VARS'!$U$58+'LINEST VARS'!$T$58*(8)+'LINEST VARS'!$S$58*(8)+'LINEST VARS'!$R$58*($CB$56)+'LINEST VARS'!$Q$58*($BX60)+'LINEST VARS'!$P$58*(12.73)+'LINEST VARS'!$O$58*(8^2)+'LINEST VARS'!$N$58*(8^2)+'LINEST VARS'!$M$58*($CB$56^2)+'LINEST VARS'!$L$58*($BX60^2)+'LINEST VARS'!$K$58*(12.73^2)+'LINEST VARS'!$J$58*(8*8)+'LINEST VARS'!$I$58*(8*$CB$56)+'LINEST VARS'!$H$58*(8*$BX60)+'LINEST VARS'!$G$58*(8*12.73)+'LINEST VARS'!$F$58*(8*$CB$56)+'LINEST VARS'!$E$58*(8*$BX60)+'LINEST VARS'!$D$58*(8*12.73)+'LINEST VARS'!$C$58*($CB$56*$BX60)+'LINEST VARS'!$B$58*($CB$56*12.73)+'LINEST VARS'!$A$58*($BX60*12.73)</f>
        <v>0.88765000000000027</v>
      </c>
      <c r="CC60" s="51">
        <f>'LINEST VARS'!$U$58+'LINEST VARS'!$T$58*(8)+'LINEST VARS'!$S$58*(8)+'LINEST VARS'!$R$58*($CC$56)+'LINEST VARS'!$Q$58*($BX60)+'LINEST VARS'!$P$58*(12.73)+'LINEST VARS'!$O$58*(8^2)+'LINEST VARS'!$N$58*(8^2)+'LINEST VARS'!$M$58*($CC$56^2)+'LINEST VARS'!$L$58*($BX60^2)+'LINEST VARS'!$K$58*(12.73^2)+'LINEST VARS'!$J$58*(8*8)+'LINEST VARS'!$I$58*(8*$CC$56)+'LINEST VARS'!$H$58*(8*$BX60)+'LINEST VARS'!$G$58*(8*12.73)+'LINEST VARS'!$F$58*(8*$CC$56)+'LINEST VARS'!$E$58*(8*$BX60)+'LINEST VARS'!$D$58*(8*12.73)+'LINEST VARS'!$C$58*($CC$56*$BX60)+'LINEST VARS'!$B$58*($CC$56*12.73)+'LINEST VARS'!$A$58*($BX60*12.73)</f>
        <v>0.89565000000000017</v>
      </c>
      <c r="CD60" s="51">
        <f>'LINEST VARS'!$U$58+'LINEST VARS'!$T$58*(8)+'LINEST VARS'!$S$58*(8)+'LINEST VARS'!$R$58*($CD$56)+'LINEST VARS'!$Q$58*($BX60)+'LINEST VARS'!$P$58*(12.73)+'LINEST VARS'!$O$58*(8^2)+'LINEST VARS'!$N$58*(8^2)+'LINEST VARS'!$M$58*($CD$56^2)+'LINEST VARS'!$L$58*($BX60^2)+'LINEST VARS'!$K$58*(12.73^2)+'LINEST VARS'!$J$58*(8*8)+'LINEST VARS'!$I$58*(8*$CD$56)+'LINEST VARS'!$H$58*(8*$BX60)+'LINEST VARS'!$G$58*(8*12.73)+'LINEST VARS'!$F$58*(8*$CD$56)+'LINEST VARS'!$E$58*(8*$BX60)+'LINEST VARS'!$D$58*(8*12.73)+'LINEST VARS'!$C$58*($CD$56*$BX60)+'LINEST VARS'!$B$58*($CD$56*12.73)+'LINEST VARS'!$A$58*($BX60*12.73)</f>
        <v>0.90365000000000029</v>
      </c>
      <c r="CE60" s="51">
        <f>'LINEST VARS'!$U$58+'LINEST VARS'!$T$58*(8)+'LINEST VARS'!$S$58*(8)+'LINEST VARS'!$R$58*($CE$56)+'LINEST VARS'!$Q$58*($BX60)+'LINEST VARS'!$P$58*(12.73)+'LINEST VARS'!$O$58*(8^2)+'LINEST VARS'!$N$58*(8^2)+'LINEST VARS'!$M$58*($CE$56^2)+'LINEST VARS'!$L$58*($BX60^2)+'LINEST VARS'!$K$58*(12.73^2)+'LINEST VARS'!$J$58*(8*8)+'LINEST VARS'!$I$58*(8*$CE$56)+'LINEST VARS'!$H$58*(8*$BX60)+'LINEST VARS'!$G$58*(8*12.73)+'LINEST VARS'!$F$58*(8*$CE$56)+'LINEST VARS'!$E$58*(8*$BX60)+'LINEST VARS'!$D$58*(8*12.73)+'LINEST VARS'!$C$58*($CE$56*$BX60)+'LINEST VARS'!$B$58*($CE$56*12.73)+'LINEST VARS'!$A$58*($BX60*12.73)</f>
        <v>0.91165000000000029</v>
      </c>
      <c r="CF60" s="51">
        <f>'LINEST VARS'!$U$58+'LINEST VARS'!$T$58*(8)+'LINEST VARS'!$S$58*(8)+'LINEST VARS'!$R$58*($CF$56)+'LINEST VARS'!$Q$58*($BX60)+'LINEST VARS'!$P$58*(12.73)+'LINEST VARS'!$O$58*(8^2)+'LINEST VARS'!$N$58*(8^2)+'LINEST VARS'!$M$58*($CF$56^2)+'LINEST VARS'!$L$58*($BX60^2)+'LINEST VARS'!$K$58*(12.73^2)+'LINEST VARS'!$J$58*(8*8)+'LINEST VARS'!$I$58*(8*$CF$56)+'LINEST VARS'!$H$58*(8*$BX60)+'LINEST VARS'!$G$58*(8*12.73)+'LINEST VARS'!$F$58*(8*$CF$56)+'LINEST VARS'!$E$58*(8*$BX60)+'LINEST VARS'!$D$58*(8*12.73)+'LINEST VARS'!$C$58*($CF$56*$BX60)+'LINEST VARS'!$B$58*($CF$56*12.73)+'LINEST VARS'!$A$58*($BX60*12.73)</f>
        <v>0.9196500000000003</v>
      </c>
      <c r="CG60" s="51">
        <f>'LINEST VARS'!$U$58+'LINEST VARS'!$T$58*(8)+'LINEST VARS'!$S$58*(8)+'LINEST VARS'!$R$58*($CG$56)+'LINEST VARS'!$Q$58*($BX60)+'LINEST VARS'!$P$58*(12.73)+'LINEST VARS'!$O$58*(8^2)+'LINEST VARS'!$N$58*(8^2)+'LINEST VARS'!$M$58*($CG$56^2)+'LINEST VARS'!$L$58*($BX60^2)+'LINEST VARS'!$K$58*(12.73^2)+'LINEST VARS'!$J$58*(8*8)+'LINEST VARS'!$I$58*(8*$CG$56)+'LINEST VARS'!$H$58*(8*$BX60)+'LINEST VARS'!$G$58*(8*12.73)+'LINEST VARS'!$F$58*(8*$CG$56)+'LINEST VARS'!$E$58*(8*$BX60)+'LINEST VARS'!$D$58*(8*12.73)+'LINEST VARS'!$C$58*($CG$56*$BX60)+'LINEST VARS'!$B$58*($CG$56*12.73)+'LINEST VARS'!$A$58*($BX60*12.73)</f>
        <v>0.92765000000000042</v>
      </c>
      <c r="CH60" s="51">
        <f>'LINEST VARS'!$U$58+'LINEST VARS'!$T$58*(8)+'LINEST VARS'!$S$58*(8)+'LINEST VARS'!$R$58*($CH$56)+'LINEST VARS'!$Q$58*($BX60)+'LINEST VARS'!$P$58*(12.73)+'LINEST VARS'!$O$58*(8^2)+'LINEST VARS'!$N$58*(8^2)+'LINEST VARS'!$M$58*($CH$56^2)+'LINEST VARS'!$L$58*($BX60^2)+'LINEST VARS'!$K$58*(12.73^2)+'LINEST VARS'!$J$58*(8*8)+'LINEST VARS'!$I$58*(8*$CH$56)+'LINEST VARS'!$H$58*(8*$BX60)+'LINEST VARS'!$G$58*(8*12.73)+'LINEST VARS'!$F$58*(8*$CH$56)+'LINEST VARS'!$E$58*(8*$BX60)+'LINEST VARS'!$D$58*(8*12.73)+'LINEST VARS'!$C$58*($CH$56*$BX60)+'LINEST VARS'!$B$58*($CH$56*12.73)+'LINEST VARS'!$A$58*($BX60*12.73)</f>
        <v>0.93565000000000031</v>
      </c>
      <c r="CI60" s="51">
        <f>'LINEST VARS'!$U$58+'LINEST VARS'!$T$58*(8)+'LINEST VARS'!$S$58*(8)+'LINEST VARS'!$R$58*($CI$56)+'LINEST VARS'!$Q$58*($BX60)+'LINEST VARS'!$P$58*(12.73)+'LINEST VARS'!$O$58*(8^2)+'LINEST VARS'!$N$58*(8^2)+'LINEST VARS'!$M$58*($CI$56^2)+'LINEST VARS'!$L$58*($BX60^2)+'LINEST VARS'!$K$58*(12.73^2)+'LINEST VARS'!$J$58*(8*8)+'LINEST VARS'!$I$58*(8*$CI$56)+'LINEST VARS'!$H$58*(8*$BX60)+'LINEST VARS'!$G$58*(8*12.73)+'LINEST VARS'!$F$58*(8*$CI$56)+'LINEST VARS'!$E$58*(8*$BX60)+'LINEST VARS'!$D$58*(8*12.73)+'LINEST VARS'!$C$58*($CI$56*$BX60)+'LINEST VARS'!$B$58*($CI$56*12.73)+'LINEST VARS'!$A$58*($BX60*12.73)</f>
        <v>0.94365000000000032</v>
      </c>
      <c r="CJ60" s="51">
        <f>'LINEST VARS'!$U$58+'LINEST VARS'!$T$58*(8)+'LINEST VARS'!$S$58*(8)+'LINEST VARS'!$R$58*($CJ$56)+'LINEST VARS'!$Q$58*($BX60)+'LINEST VARS'!$P$58*(12.73)+'LINEST VARS'!$O$58*(8^2)+'LINEST VARS'!$N$58*(8^2)+'LINEST VARS'!$M$58*($CJ$56^2)+'LINEST VARS'!$L$58*($BX60^2)+'LINEST VARS'!$K$58*(12.73^2)+'LINEST VARS'!$J$58*(8*8)+'LINEST VARS'!$I$58*(8*$CJ$56)+'LINEST VARS'!$H$58*(8*$BX60)+'LINEST VARS'!$G$58*(8*12.73)+'LINEST VARS'!$F$58*(8*$CJ$56)+'LINEST VARS'!$E$58*(8*$BX60)+'LINEST VARS'!$D$58*(8*12.73)+'LINEST VARS'!$C$58*($CJ$56*$BX60)+'LINEST VARS'!$B$58*($CJ$56*12.73)+'LINEST VARS'!$A$58*($BX60*12.73)</f>
        <v>0.95165000000000022</v>
      </c>
      <c r="CK60" s="51">
        <f>'LINEST VARS'!$U$58+'LINEST VARS'!$T$58*(8)+'LINEST VARS'!$S$58*(8)+'LINEST VARS'!$R$58*($CK$56)+'LINEST VARS'!$Q$58*($BX60)+'LINEST VARS'!$P$58*(12.73)+'LINEST VARS'!$O$58*(8^2)+'LINEST VARS'!$N$58*(8^2)+'LINEST VARS'!$M$58*($CK$56^2)+'LINEST VARS'!$L$58*($BX60^2)+'LINEST VARS'!$K$58*(12.73^2)+'LINEST VARS'!$J$58*(8*8)+'LINEST VARS'!$I$58*(8*$CK$56)+'LINEST VARS'!$H$58*(8*$BX60)+'LINEST VARS'!$G$58*(8*12.73)+'LINEST VARS'!$F$58*(8*$CK$56)+'LINEST VARS'!$E$58*(8*$BX60)+'LINEST VARS'!$D$58*(8*12.73)+'LINEST VARS'!$C$58*($CK$56*$BX60)+'LINEST VARS'!$B$58*($CK$56*12.73)+'LINEST VARS'!$A$58*($BX60*12.73)</f>
        <v>0.95965000000000023</v>
      </c>
      <c r="CL60" s="51">
        <f>'LINEST VARS'!$U$58+'LINEST VARS'!$T$58*(8)+'LINEST VARS'!$S$58*(8)+'LINEST VARS'!$R$58*($CL$56)+'LINEST VARS'!$Q$58*($BX60)+'LINEST VARS'!$P$58*(12.73)+'LINEST VARS'!$O$58*(8^2)+'LINEST VARS'!$N$58*(8^2)+'LINEST VARS'!$M$58*($CL$56^2)+'LINEST VARS'!$L$58*($BX60^2)+'LINEST VARS'!$K$58*(12.73^2)+'LINEST VARS'!$J$58*(8*8)+'LINEST VARS'!$I$58*(8*$CL$56)+'LINEST VARS'!$H$58*(8*$BX60)+'LINEST VARS'!$G$58*(8*12.73)+'LINEST VARS'!$F$58*(8*$CL$56)+'LINEST VARS'!$E$58*(8*$BX60)+'LINEST VARS'!$D$58*(8*12.73)+'LINEST VARS'!$C$58*($CL$56*$BX60)+'LINEST VARS'!$B$58*($CL$56*12.73)+'LINEST VARS'!$A$58*($BX60*12.73)</f>
        <v>0.96765000000000012</v>
      </c>
      <c r="CM60" s="51">
        <f>'LINEST VARS'!$U$58+'LINEST VARS'!$T$58*(8)+'LINEST VARS'!$S$58*(8)+'LINEST VARS'!$R$58*($CM$56)+'LINEST VARS'!$Q$58*($BX60)+'LINEST VARS'!$P$58*(12.73)+'LINEST VARS'!$O$58*(8^2)+'LINEST VARS'!$N$58*(8^2)+'LINEST VARS'!$M$58*($CM$56^2)+'LINEST VARS'!$L$58*($BX60^2)+'LINEST VARS'!$K$58*(12.73^2)+'LINEST VARS'!$J$58*(8*8)+'LINEST VARS'!$I$58*(8*$CM$56)+'LINEST VARS'!$H$58*(8*$BX60)+'LINEST VARS'!$G$58*(8*12.73)+'LINEST VARS'!$F$58*(8*$CM$56)+'LINEST VARS'!$E$58*(8*$BX60)+'LINEST VARS'!$D$58*(8*12.73)+'LINEST VARS'!$C$58*($CM$56*$BX60)+'LINEST VARS'!$B$58*($CM$56*12.73)+'LINEST VARS'!$A$58*($BX60*12.73)</f>
        <v>0.97565000000000024</v>
      </c>
      <c r="CN60" s="51">
        <f>'LINEST VARS'!$U$58+'LINEST VARS'!$T$58*(8)+'LINEST VARS'!$S$58*(8)+'LINEST VARS'!$R$58*($CN$56)+'LINEST VARS'!$Q$58*($BX60)+'LINEST VARS'!$P$58*(12.73)+'LINEST VARS'!$O$58*(8^2)+'LINEST VARS'!$N$58*(8^2)+'LINEST VARS'!$M$58*($CN$56^2)+'LINEST VARS'!$L$58*($BX60^2)+'LINEST VARS'!$K$58*(12.73^2)+'LINEST VARS'!$J$58*(8*8)+'LINEST VARS'!$I$58*(8*$CN$56)+'LINEST VARS'!$H$58*(8*$BX60)+'LINEST VARS'!$G$58*(8*12.73)+'LINEST VARS'!$F$58*(8*$CN$56)+'LINEST VARS'!$E$58*(8*$BX60)+'LINEST VARS'!$D$58*(8*12.73)+'LINEST VARS'!$C$58*($CN$56*$BX60)+'LINEST VARS'!$B$58*($CN$56*12.73)+'LINEST VARS'!$A$58*($BX60*12.73)</f>
        <v>0.98365000000000025</v>
      </c>
      <c r="CO60" s="51">
        <f>'LINEST VARS'!$U$58+'LINEST VARS'!$T$58*(8)+'LINEST VARS'!$S$58*(8)+'LINEST VARS'!$R$58*($CO$56)+'LINEST VARS'!$Q$58*($BX60)+'LINEST VARS'!$P$58*(12.73)+'LINEST VARS'!$O$58*(8^2)+'LINEST VARS'!$N$58*(8^2)+'LINEST VARS'!$M$58*($CO$56^2)+'LINEST VARS'!$L$58*($BX60^2)+'LINEST VARS'!$K$58*(12.73^2)+'LINEST VARS'!$J$58*(8*8)+'LINEST VARS'!$I$58*(8*$CO$56)+'LINEST VARS'!$H$58*(8*$BX60)+'LINEST VARS'!$G$58*(8*12.73)+'LINEST VARS'!$F$58*(8*$CO$56)+'LINEST VARS'!$E$58*(8*$BX60)+'LINEST VARS'!$D$58*(8*12.73)+'LINEST VARS'!$C$58*($CO$56*$BX60)+'LINEST VARS'!$B$58*($CO$56*12.73)+'LINEST VARS'!$A$58*($BX60*12.73)</f>
        <v>0.99165000000000036</v>
      </c>
      <c r="CP60" s="51">
        <f>'LINEST VARS'!$U$58+'LINEST VARS'!$T$58*(8)+'LINEST VARS'!$S$58*(8)+'LINEST VARS'!$R$58*($CP$56)+'LINEST VARS'!$Q$58*($BX60)+'LINEST VARS'!$P$58*(12.73)+'LINEST VARS'!$O$58*(8^2)+'LINEST VARS'!$N$58*(8^2)+'LINEST VARS'!$M$58*($CP$56^2)+'LINEST VARS'!$L$58*($BX60^2)+'LINEST VARS'!$K$58*(12.73^2)+'LINEST VARS'!$J$58*(8*8)+'LINEST VARS'!$I$58*(8*$CP$56)+'LINEST VARS'!$H$58*(8*$BX60)+'LINEST VARS'!$G$58*(8*12.73)+'LINEST VARS'!$F$58*(8*$CP$56)+'LINEST VARS'!$E$58*(8*$BX60)+'LINEST VARS'!$D$58*(8*12.73)+'LINEST VARS'!$C$58*($CP$56*$BX60)+'LINEST VARS'!$B$58*($CP$56*12.73)+'LINEST VARS'!$A$58*($BX60*12.73)</f>
        <v>0.99965000000000037</v>
      </c>
      <c r="CQ60" s="51">
        <f>'LINEST VARS'!$U$58+'LINEST VARS'!$T$58*(8)+'LINEST VARS'!$S$58*(8)+'LINEST VARS'!$R$58*($CQ$56)+'LINEST VARS'!$Q$58*($BX60)+'LINEST VARS'!$P$58*(12.73)+'LINEST VARS'!$O$58*(8^2)+'LINEST VARS'!$N$58*(8^2)+'LINEST VARS'!$M$58*($CQ$56^2)+'LINEST VARS'!$L$58*($BX60^2)+'LINEST VARS'!$K$58*(12.73^2)+'LINEST VARS'!$J$58*(8*8)+'LINEST VARS'!$I$58*(8*$CQ$56)+'LINEST VARS'!$H$58*(8*$BX60)+'LINEST VARS'!$G$58*(8*12.73)+'LINEST VARS'!$F$58*(8*$CQ$56)+'LINEST VARS'!$E$58*(8*$BX60)+'LINEST VARS'!$D$58*(8*12.73)+'LINEST VARS'!$C$58*($CQ$56*$BX60)+'LINEST VARS'!$B$58*($CQ$56*12.73)+'LINEST VARS'!$A$58*($BX60*12.73)</f>
        <v>1.0076500000000002</v>
      </c>
      <c r="CR60" s="51">
        <f>'LINEST VARS'!$U$58+'LINEST VARS'!$T$58*(8)+'LINEST VARS'!$S$58*(8)+'LINEST VARS'!$R$58*($CR$56)+'LINEST VARS'!$Q$58*($BX60)+'LINEST VARS'!$P$58*(12.73)+'LINEST VARS'!$O$58*(8^2)+'LINEST VARS'!$N$58*(8^2)+'LINEST VARS'!$M$58*($CR$56^2)+'LINEST VARS'!$L$58*($BX60^2)+'LINEST VARS'!$K$58*(12.73^2)+'LINEST VARS'!$J$58*(8*8)+'LINEST VARS'!$I$58*(8*$CR$56)+'LINEST VARS'!$H$58*(8*$BX60)+'LINEST VARS'!$G$58*(8*12.73)+'LINEST VARS'!$F$58*(8*$CR$56)+'LINEST VARS'!$E$58*(8*$BX60)+'LINEST VARS'!$D$58*(8*12.73)+'LINEST VARS'!$C$58*($CR$56*$BX60)+'LINEST VARS'!$B$58*($CR$56*12.73)+'LINEST VARS'!$A$58*($BX60*12.73)</f>
        <v>1.0156499999999999</v>
      </c>
      <c r="CS60" s="52">
        <f>'LINEST VARS'!$U$58+'LINEST VARS'!$T$58*(8)+'LINEST VARS'!$S$58*(8)+'LINEST VARS'!$R$58*($CS$56)+'LINEST VARS'!$Q$58*($BX60)+'LINEST VARS'!$P$58*(12.73)+'LINEST VARS'!$O$58*(8^2)+'LINEST VARS'!$N$58*(8^2)+'LINEST VARS'!$M$58*($CS$56^2)+'LINEST VARS'!$L$58*($BX60^2)+'LINEST VARS'!$K$58*(12.73^2)+'LINEST VARS'!$J$58*(8*8)+'LINEST VARS'!$I$58*(8*$CS$56)+'LINEST VARS'!$H$58*(8*$BX60)+'LINEST VARS'!$G$58*(8*12.73)+'LINEST VARS'!$F$58*(8*$CS$56)+'LINEST VARS'!$E$58*(8*$BX60)+'LINEST VARS'!$D$58*(8*12.73)+'LINEST VARS'!$C$58*($CS$56*$BX60)+'LINEST VARS'!$B$58*($CS$56*12.73)+'LINEST VARS'!$A$58*($BX60*12.73)</f>
        <v>1.0236500000000002</v>
      </c>
      <c r="CX60" s="45">
        <v>3.8984999999999999</v>
      </c>
      <c r="CY60" s="51">
        <f>'LINEST VARS'!$U$56+'LINEST VARS'!$T$56*(8)+'LINEST VARS'!$S$56*(8)+'LINEST VARS'!$R$56*($CY$56)+'LINEST VARS'!$Q$56*(0.5)+'LINEST VARS'!$P$56*($CX60)+'LINEST VARS'!$O$56*(8^2)+'LINEST VARS'!$N$56*(8^2)+'LINEST VARS'!$M$56*($CY$56^2)+'LINEST VARS'!$L$56*(0.5^2)+'LINEST VARS'!$K$56*($CX60^2)+'LINEST VARS'!$J$56*(8*8)+'LINEST VARS'!$I$56*(8*$CY$56)+'LINEST VARS'!$H$56*(8*0.5)+'LINEST VARS'!$G$56*(8*$CX60)+'LINEST VARS'!$F$56*(8*$CY$56)+'LINEST VARS'!$E$56*(8*0.5)+'LINEST VARS'!$D$56*(8*$CX60)+'LINEST VARS'!$C$56*($CY$56*0.5)+'LINEST VARS'!$B$56*($CY$56*$CX60)+'LINEST VARS'!$A$56*(0.5*$CX60)</f>
        <v>2.8000000000000007</v>
      </c>
      <c r="CZ60" s="51">
        <f>'LINEST VARS'!$U$56+'LINEST VARS'!$T$56*(8)+'LINEST VARS'!$S$56*(8)+'LINEST VARS'!$R$56*($CZ$56)+'LINEST VARS'!$Q$56*(0.5)+'LINEST VARS'!$P$56*($CX60)+'LINEST VARS'!$O$56*(8^2)+'LINEST VARS'!$N$56*(8^2)+'LINEST VARS'!$M$56*($CZ$56^2)+'LINEST VARS'!$L$56*(0.5^2)+'LINEST VARS'!$K$56*($CX60^2)+'LINEST VARS'!$J$56*(8*8)+'LINEST VARS'!$I$56*(8*$CZ$56)+'LINEST VARS'!$H$56*(8*0.5)+'LINEST VARS'!$G$56*(8*$CX60)+'LINEST VARS'!$F$56*(8*$CZ$56)+'LINEST VARS'!$E$56*(8*0.5)+'LINEST VARS'!$D$56*(8*$CX60)+'LINEST VARS'!$C$56*($CZ$56*0.5)+'LINEST VARS'!$B$56*($CZ$56*$CX60)+'LINEST VARS'!$A$56*(0.5*$CX60)</f>
        <v>2.8184000000000009</v>
      </c>
      <c r="DA60" s="51">
        <f>'LINEST VARS'!$U$56+'LINEST VARS'!$T$56*(8)+'LINEST VARS'!$S$56*(8)+'LINEST VARS'!$R$56*($DA$56)+'LINEST VARS'!$Q$56*(0.5)+'LINEST VARS'!$P$56*($CX60)+'LINEST VARS'!$O$56*(8^2)+'LINEST VARS'!$N$56*(8^2)+'LINEST VARS'!$M$56*($DA$56^2)+'LINEST VARS'!$L$56*(0.5^2)+'LINEST VARS'!$K$56*($CX60^2)+'LINEST VARS'!$J$56*(8*8)+'LINEST VARS'!$I$56*(8*$DA$56)+'LINEST VARS'!$H$56*(8*0.5)+'LINEST VARS'!$G$56*(8*$CX60)+'LINEST VARS'!$F$56*(8*$DA$56)+'LINEST VARS'!$E$56*(8*0.5)+'LINEST VARS'!$D$56*(8*$CX60)+'LINEST VARS'!$C$56*($DA$56*0.5)+'LINEST VARS'!$B$56*($DA$56*$CX60)+'LINEST VARS'!$A$56*(0.5*$CX60)</f>
        <v>2.8336000000000006</v>
      </c>
      <c r="DB60" s="51">
        <f>'LINEST VARS'!$U$56+'LINEST VARS'!$T$56*(8)+'LINEST VARS'!$S$56*(8)+'LINEST VARS'!$R$56*($DB$56)+'LINEST VARS'!$Q$56*(0.5)+'LINEST VARS'!$P$56*($CX60)+'LINEST VARS'!$O$56*(8^2)+'LINEST VARS'!$N$56*(8^2)+'LINEST VARS'!$M$56*($DB$56^2)+'LINEST VARS'!$L$56*(0.5^2)+'LINEST VARS'!$K$56*($CX60^2)+'LINEST VARS'!$J$56*(8*8)+'LINEST VARS'!$I$56*(8*$DB$56)+'LINEST VARS'!$H$56*(8*0.5)+'LINEST VARS'!$G$56*(8*$CX60)+'LINEST VARS'!$F$56*(8*$DB$56)+'LINEST VARS'!$E$56*(8*0.5)+'LINEST VARS'!$D$56*(8*$CX60)+'LINEST VARS'!$C$56*($DB$56*0.5)+'LINEST VARS'!$B$56*($DB$56*$CX60)+'LINEST VARS'!$A$56*(0.5*$CX60)</f>
        <v>2.8456000000000006</v>
      </c>
      <c r="DC60" s="51">
        <f>'LINEST VARS'!$U$56+'LINEST VARS'!$T$56*(8)+'LINEST VARS'!$S$56*(8)+'LINEST VARS'!$R$56*($DC$56)+'LINEST VARS'!$Q$56*(0.5)+'LINEST VARS'!$P$56*($CX60)+'LINEST VARS'!$O$56*(8^2)+'LINEST VARS'!$N$56*(8^2)+'LINEST VARS'!$M$56*($DC$56^2)+'LINEST VARS'!$L$56*(0.5^2)+'LINEST VARS'!$K$56*($CX60^2)+'LINEST VARS'!$J$56*(8*8)+'LINEST VARS'!$I$56*(8*$DC$56)+'LINEST VARS'!$H$56*(8*0.5)+'LINEST VARS'!$G$56*(8*$CX60)+'LINEST VARS'!$F$56*(8*$DC$56)+'LINEST VARS'!$E$56*(8*0.5)+'LINEST VARS'!$D$56*(8*$CX60)+'LINEST VARS'!$C$56*($DC$56*0.5)+'LINEST VARS'!$B$56*($DC$56*$CX60)+'LINEST VARS'!$A$56*(0.5*$CX60)</f>
        <v>2.8544000000000009</v>
      </c>
      <c r="DD60" s="51">
        <f>'LINEST VARS'!$U$56+'LINEST VARS'!$T$56*(8)+'LINEST VARS'!$S$56*(8)+'LINEST VARS'!$R$56*($DD$56)+'LINEST VARS'!$Q$56*(0.5)+'LINEST VARS'!$P$56*($CX60)+'LINEST VARS'!$O$56*(8^2)+'LINEST VARS'!$N$56*(8^2)+'LINEST VARS'!$M$56*($DD$56^2)+'LINEST VARS'!$L$56*(0.5^2)+'LINEST VARS'!$K$56*($CX60^2)+'LINEST VARS'!$J$56*(8*8)+'LINEST VARS'!$I$56*(8*$DD$56)+'LINEST VARS'!$H$56*(8*0.5)+'LINEST VARS'!$G$56*(8*$CX60)+'LINEST VARS'!$F$56*(8*$DD$56)+'LINEST VARS'!$E$56*(8*0.5)+'LINEST VARS'!$D$56*(8*$CX60)+'LINEST VARS'!$C$56*($DD$56*0.5)+'LINEST VARS'!$B$56*($DD$56*$CX60)+'LINEST VARS'!$A$56*(0.5*$CX60)</f>
        <v>2.8600000000000008</v>
      </c>
      <c r="DE60" s="51">
        <f>'LINEST VARS'!$U$56+'LINEST VARS'!$T$56*(8)+'LINEST VARS'!$S$56*(8)+'LINEST VARS'!$R$56*($DE$56)+'LINEST VARS'!$Q$56*(0.5)+'LINEST VARS'!$P$56*($CX60)+'LINEST VARS'!$O$56*(8^2)+'LINEST VARS'!$N$56*(8^2)+'LINEST VARS'!$M$56*($DE$56^2)+'LINEST VARS'!$L$56*(0.5^2)+'LINEST VARS'!$K$56*($CX60^2)+'LINEST VARS'!$J$56*(8*8)+'LINEST VARS'!$I$56*(8*$DE$56)+'LINEST VARS'!$H$56*(8*0.5)+'LINEST VARS'!$G$56*(8*$CX60)+'LINEST VARS'!$F$56*(8*$DE$56)+'LINEST VARS'!$E$56*(8*0.5)+'LINEST VARS'!$D$56*(8*$CX60)+'LINEST VARS'!$C$56*($DE$56*0.5)+'LINEST VARS'!$B$56*($DE$56*$CX60)+'LINEST VARS'!$A$56*(0.5*$CX60)</f>
        <v>2.8624000000000009</v>
      </c>
      <c r="DF60" s="51">
        <f>'LINEST VARS'!$U$56+'LINEST VARS'!$T$56*(8)+'LINEST VARS'!$S$56*(8)+'LINEST VARS'!$R$56*($DF$56)+'LINEST VARS'!$Q$56*(0.5)+'LINEST VARS'!$P$56*($CX60)+'LINEST VARS'!$O$56*(8^2)+'LINEST VARS'!$N$56*(8^2)+'LINEST VARS'!$M$56*($DF$56^2)+'LINEST VARS'!$L$56*(0.5^2)+'LINEST VARS'!$K$56*($CX60^2)+'LINEST VARS'!$J$56*(8*8)+'LINEST VARS'!$I$56*(8*$DF$56)+'LINEST VARS'!$H$56*(8*0.5)+'LINEST VARS'!$G$56*(8*$CX60)+'LINEST VARS'!$F$56*(8*$DF$56)+'LINEST VARS'!$E$56*(8*0.5)+'LINEST VARS'!$D$56*(8*$CX60)+'LINEST VARS'!$C$56*($DF$56*0.5)+'LINEST VARS'!$B$56*($DF$56*$CX60)+'LINEST VARS'!$A$56*(0.5*$CX60)</f>
        <v>2.8616000000000006</v>
      </c>
      <c r="DG60" s="51">
        <f>'LINEST VARS'!$U$56+'LINEST VARS'!$T$56*(8)+'LINEST VARS'!$S$56*(8)+'LINEST VARS'!$R$56*($DG$56)+'LINEST VARS'!$Q$56*(0.5)+'LINEST VARS'!$P$56*($CX60)+'LINEST VARS'!$O$56*(8^2)+'LINEST VARS'!$N$56*(8^2)+'LINEST VARS'!$M$56*($DG$56^2)+'LINEST VARS'!$L$56*(0.5^2)+'LINEST VARS'!$K$56*($CX60^2)+'LINEST VARS'!$J$56*(8*8)+'LINEST VARS'!$I$56*(8*$DG$56)+'LINEST VARS'!$H$56*(8*0.5)+'LINEST VARS'!$G$56*(8*$CX60)+'LINEST VARS'!$F$56*(8*$DG$56)+'LINEST VARS'!$E$56*(8*0.5)+'LINEST VARS'!$D$56*(8*$CX60)+'LINEST VARS'!$C$56*($DG$56*0.5)+'LINEST VARS'!$B$56*($DG$56*$CX60)+'LINEST VARS'!$A$56*(0.5*$CX60)</f>
        <v>2.8576000000000006</v>
      </c>
      <c r="DH60" s="51">
        <f>'LINEST VARS'!$U$56+'LINEST VARS'!$T$56*(8)+'LINEST VARS'!$S$56*(8)+'LINEST VARS'!$R$56*($DH$56)+'LINEST VARS'!$Q$56*(0.5)+'LINEST VARS'!$P$56*($CX60)+'LINEST VARS'!$O$56*(8^2)+'LINEST VARS'!$N$56*(8^2)+'LINEST VARS'!$M$56*($DH$56^2)+'LINEST VARS'!$L$56*(0.5^2)+'LINEST VARS'!$K$56*($CX60^2)+'LINEST VARS'!$J$56*(8*8)+'LINEST VARS'!$I$56*(8*$DH$56)+'LINEST VARS'!$H$56*(8*0.5)+'LINEST VARS'!$G$56*(8*$CX60)+'LINEST VARS'!$F$56*(8*$DH$56)+'LINEST VARS'!$E$56*(8*0.5)+'LINEST VARS'!$D$56*(8*$CX60)+'LINEST VARS'!$C$56*($DH$56*0.5)+'LINEST VARS'!$B$56*($DH$56*$CX60)+'LINEST VARS'!$A$56*(0.5*$CX60)</f>
        <v>2.8504000000000009</v>
      </c>
      <c r="DI60" s="51">
        <f>'LINEST VARS'!$U$56+'LINEST VARS'!$T$56*(8)+'LINEST VARS'!$S$56*(8)+'LINEST VARS'!$R$56*($DI$56)+'LINEST VARS'!$Q$56*(0.5)+'LINEST VARS'!$P$56*($CX60)+'LINEST VARS'!$O$56*(8^2)+'LINEST VARS'!$N$56*(8^2)+'LINEST VARS'!$M$56*($DI$56^2)+'LINEST VARS'!$L$56*(0.5^2)+'LINEST VARS'!$K$56*($CX60^2)+'LINEST VARS'!$J$56*(8*8)+'LINEST VARS'!$I$56*(8*$DI$56)+'LINEST VARS'!$H$56*(8*0.5)+'LINEST VARS'!$G$56*(8*$CX60)+'LINEST VARS'!$F$56*(8*$DI$56)+'LINEST VARS'!$E$56*(8*0.5)+'LINEST VARS'!$D$56*(8*$CX60)+'LINEST VARS'!$C$56*($DI$56*0.5)+'LINEST VARS'!$B$56*($DI$56*$CX60)+'LINEST VARS'!$A$56*(0.5*$CX60)</f>
        <v>2.8400000000000007</v>
      </c>
      <c r="DJ60" s="51">
        <f>'LINEST VARS'!$U$56+'LINEST VARS'!$T$56*(8)+'LINEST VARS'!$S$56*(8)+'LINEST VARS'!$R$56*($DJ$56)+'LINEST VARS'!$Q$56*(0.5)+'LINEST VARS'!$P$56*($CX60)+'LINEST VARS'!$O$56*(8^2)+'LINEST VARS'!$N$56*(8^2)+'LINEST VARS'!$M$56*($DJ$56^2)+'LINEST VARS'!$L$56*(0.5^2)+'LINEST VARS'!$K$56*($CX60^2)+'LINEST VARS'!$J$56*(8*8)+'LINEST VARS'!$I$56*(8*$DJ$56)+'LINEST VARS'!$H$56*(8*0.5)+'LINEST VARS'!$G$56*(8*$CX60)+'LINEST VARS'!$F$56*(8*$DJ$56)+'LINEST VARS'!$E$56*(8*0.5)+'LINEST VARS'!$D$56*(8*$CX60)+'LINEST VARS'!$C$56*($DJ$56*0.5)+'LINEST VARS'!$B$56*($DJ$56*$CX60)+'LINEST VARS'!$A$56*(0.5*$CX60)</f>
        <v>2.8264000000000009</v>
      </c>
      <c r="DK60" s="51">
        <f>'LINEST VARS'!$U$56+'LINEST VARS'!$T$56*(8)+'LINEST VARS'!$S$56*(8)+'LINEST VARS'!$R$56*($DK$56)+'LINEST VARS'!$Q$56*(0.5)+'LINEST VARS'!$P$56*($CX60)+'LINEST VARS'!$O$56*(8^2)+'LINEST VARS'!$N$56*(8^2)+'LINEST VARS'!$M$56*($DK$56^2)+'LINEST VARS'!$L$56*(0.5^2)+'LINEST VARS'!$K$56*($CX60^2)+'LINEST VARS'!$J$56*(8*8)+'LINEST VARS'!$I$56*(8*$DK$56)+'LINEST VARS'!$H$56*(8*0.5)+'LINEST VARS'!$G$56*(8*$CX60)+'LINEST VARS'!$F$56*(8*$DK$56)+'LINEST VARS'!$E$56*(8*0.5)+'LINEST VARS'!$D$56*(8*$CX60)+'LINEST VARS'!$C$56*($DK$56*0.5)+'LINEST VARS'!$B$56*($DK$56*$CX60)+'LINEST VARS'!$A$56*(0.5*$CX60)</f>
        <v>2.8096000000000005</v>
      </c>
      <c r="DL60" s="51">
        <f>'LINEST VARS'!$U$56+'LINEST VARS'!$T$56*(8)+'LINEST VARS'!$S$56*(8)+'LINEST VARS'!$R$56*($DL$56)+'LINEST VARS'!$Q$56*(0.5)+'LINEST VARS'!$P$56*($CX60)+'LINEST VARS'!$O$56*(8^2)+'LINEST VARS'!$N$56*(8^2)+'LINEST VARS'!$M$56*($DL$56^2)+'LINEST VARS'!$L$56*(0.5^2)+'LINEST VARS'!$K$56*($CX60^2)+'LINEST VARS'!$J$56*(8*8)+'LINEST VARS'!$I$56*(8*$DL$56)+'LINEST VARS'!$H$56*(8*0.5)+'LINEST VARS'!$G$56*(8*$CX60)+'LINEST VARS'!$F$56*(8*$DL$56)+'LINEST VARS'!$E$56*(8*0.5)+'LINEST VARS'!$D$56*(8*$CX60)+'LINEST VARS'!$C$56*($DL$56*0.5)+'LINEST VARS'!$B$56*($DL$56*$CX60)+'LINEST VARS'!$A$56*(0.5*$CX60)</f>
        <v>2.7896000000000005</v>
      </c>
      <c r="DM60" s="51">
        <f>'LINEST VARS'!$U$56+'LINEST VARS'!$T$56*(8)+'LINEST VARS'!$S$56*(8)+'LINEST VARS'!$R$56*($DM$56)+'LINEST VARS'!$Q$56*(0.5)+'LINEST VARS'!$P$56*($CX60)+'LINEST VARS'!$O$56*(8^2)+'LINEST VARS'!$N$56*(8^2)+'LINEST VARS'!$M$56*($DM$56^2)+'LINEST VARS'!$L$56*(0.5^2)+'LINEST VARS'!$K$56*($CX60^2)+'LINEST VARS'!$J$56*(8*8)+'LINEST VARS'!$I$56*(8*$DM$56)+'LINEST VARS'!$H$56*(8*0.5)+'LINEST VARS'!$G$56*(8*$CX60)+'LINEST VARS'!$F$56*(8*$DM$56)+'LINEST VARS'!$E$56*(8*0.5)+'LINEST VARS'!$D$56*(8*$CX60)+'LINEST VARS'!$C$56*($DM$56*0.5)+'LINEST VARS'!$B$56*($DM$56*$CX60)+'LINEST VARS'!$A$56*(0.5*$CX60)</f>
        <v>2.7664000000000009</v>
      </c>
      <c r="DN60" s="51">
        <f>'LINEST VARS'!$U$56+'LINEST VARS'!$T$56*(8)+'LINEST VARS'!$S$56*(8)+'LINEST VARS'!$R$56*($DN$56)+'LINEST VARS'!$Q$56*(0.5)+'LINEST VARS'!$P$56*($CX60)+'LINEST VARS'!$O$56*(8^2)+'LINEST VARS'!$N$56*(8^2)+'LINEST VARS'!$M$56*($DN$56^2)+'LINEST VARS'!$L$56*(0.5^2)+'LINEST VARS'!$K$56*($CX60^2)+'LINEST VARS'!$J$56*(8*8)+'LINEST VARS'!$I$56*(8*$DN$56)+'LINEST VARS'!$H$56*(8*0.5)+'LINEST VARS'!$G$56*(8*$CX60)+'LINEST VARS'!$F$56*(8*$DN$56)+'LINEST VARS'!$E$56*(8*0.5)+'LINEST VARS'!$D$56*(8*$CX60)+'LINEST VARS'!$C$56*($DN$56*0.5)+'LINEST VARS'!$B$56*($DN$56*$CX60)+'LINEST VARS'!$A$56*(0.5*$CX60)</f>
        <v>2.7400000000000007</v>
      </c>
      <c r="DO60" s="51">
        <f>'LINEST VARS'!$U$56+'LINEST VARS'!$T$56*(8)+'LINEST VARS'!$S$56*(8)+'LINEST VARS'!$R$56*($DO$56)+'LINEST VARS'!$Q$56*(0.5)+'LINEST VARS'!$P$56*($CX60)+'LINEST VARS'!$O$56*(8^2)+'LINEST VARS'!$N$56*(8^2)+'LINEST VARS'!$M$56*($DO$56^2)+'LINEST VARS'!$L$56*(0.5^2)+'LINEST VARS'!$K$56*($CX60^2)+'LINEST VARS'!$J$56*(8*8)+'LINEST VARS'!$I$56*(8*$DO$56)+'LINEST VARS'!$H$56*(8*0.5)+'LINEST VARS'!$G$56*(8*$CX60)+'LINEST VARS'!$F$56*(8*$DO$56)+'LINEST VARS'!$E$56*(8*0.5)+'LINEST VARS'!$D$56*(8*$CX60)+'LINEST VARS'!$C$56*($DO$56*0.5)+'LINEST VARS'!$B$56*($DO$56*$CX60)+'LINEST VARS'!$A$56*(0.5*$CX60)</f>
        <v>2.7104000000000004</v>
      </c>
      <c r="DP60" s="51">
        <f>'LINEST VARS'!$U$56+'LINEST VARS'!$T$56*(8)+'LINEST VARS'!$S$56*(8)+'LINEST VARS'!$R$56*($DP$56)+'LINEST VARS'!$Q$56*(0.5)+'LINEST VARS'!$P$56*($CX60)+'LINEST VARS'!$O$56*(8^2)+'LINEST VARS'!$N$56*(8^2)+'LINEST VARS'!$M$56*($DP$56^2)+'LINEST VARS'!$L$56*(0.5^2)+'LINEST VARS'!$K$56*($CX60^2)+'LINEST VARS'!$J$56*(8*8)+'LINEST VARS'!$I$56*(8*$DP$56)+'LINEST VARS'!$H$56*(8*0.5)+'LINEST VARS'!$G$56*(8*$CX60)+'LINEST VARS'!$F$56*(8*$DP$56)+'LINEST VARS'!$E$56*(8*0.5)+'LINEST VARS'!$D$56*(8*$CX60)+'LINEST VARS'!$C$56*($DP$56*0.5)+'LINEST VARS'!$B$56*($DP$56*$CX60)+'LINEST VARS'!$A$56*(0.5*$CX60)</f>
        <v>2.6776000000000004</v>
      </c>
      <c r="DQ60" s="51">
        <f>'LINEST VARS'!$U$56+'LINEST VARS'!$T$56*(8)+'LINEST VARS'!$S$56*(8)+'LINEST VARS'!$R$56*($DQ$56)+'LINEST VARS'!$Q$56*(0.5)+'LINEST VARS'!$P$56*($CX60)+'LINEST VARS'!$O$56*(8^2)+'LINEST VARS'!$N$56*(8^2)+'LINEST VARS'!$M$56*($DQ$56^2)+'LINEST VARS'!$L$56*(0.5^2)+'LINEST VARS'!$K$56*($CX60^2)+'LINEST VARS'!$J$56*(8*8)+'LINEST VARS'!$I$56*(8*$DQ$56)+'LINEST VARS'!$H$56*(8*0.5)+'LINEST VARS'!$G$56*(8*$CX60)+'LINEST VARS'!$F$56*(8*$DQ$56)+'LINEST VARS'!$E$56*(8*0.5)+'LINEST VARS'!$D$56*(8*$CX60)+'LINEST VARS'!$C$56*($DQ$56*0.5)+'LINEST VARS'!$B$56*($DQ$56*$CX60)+'LINEST VARS'!$A$56*(0.5*$CX60)</f>
        <v>2.6416000000000004</v>
      </c>
      <c r="DR60" s="51">
        <f>'LINEST VARS'!$U$56+'LINEST VARS'!$T$56*(8)+'LINEST VARS'!$S$56*(8)+'LINEST VARS'!$R$56*($DR$56)+'LINEST VARS'!$Q$56*(0.5)+'LINEST VARS'!$P$56*($CX60)+'LINEST VARS'!$O$56*(8^2)+'LINEST VARS'!$N$56*(8^2)+'LINEST VARS'!$M$56*($DR$56^2)+'LINEST VARS'!$L$56*(0.5^2)+'LINEST VARS'!$K$56*($CX60^2)+'LINEST VARS'!$J$56*(8*8)+'LINEST VARS'!$I$56*(8*$DR$56)+'LINEST VARS'!$H$56*(8*0.5)+'LINEST VARS'!$G$56*(8*$CX60)+'LINEST VARS'!$F$56*(8*$DR$56)+'LINEST VARS'!$E$56*(8*0.5)+'LINEST VARS'!$D$56*(8*$CX60)+'LINEST VARS'!$C$56*($DR$56*0.5)+'LINEST VARS'!$B$56*($DR$56*$CX60)+'LINEST VARS'!$A$56*(0.5*$CX60)</f>
        <v>2.6024000000000007</v>
      </c>
      <c r="DS60" s="52">
        <f>'LINEST VARS'!$U$56+'LINEST VARS'!$T$56*(8)+'LINEST VARS'!$S$56*(8)+'LINEST VARS'!$R$56*($DS$56)+'LINEST VARS'!$Q$56*(0.5)+'LINEST VARS'!$P$56*($CX60)+'LINEST VARS'!$O$56*(8^2)+'LINEST VARS'!$N$56*(8^2)+'LINEST VARS'!$M$56*($DS$56^2)+'LINEST VARS'!$L$56*(0.5^2)+'LINEST VARS'!$K$56*($CX60^2)+'LINEST VARS'!$J$56*(8*8)+'LINEST VARS'!$I$56*(8*$DS$56)+'LINEST VARS'!$H$56*(8*0.5)+'LINEST VARS'!$G$56*(8*$CX60)+'LINEST VARS'!$F$56*(8*$DS$56)+'LINEST VARS'!$E$56*(8*0.5)+'LINEST VARS'!$D$56*(8*$CX60)+'LINEST VARS'!$C$56*($DS$56*0.5)+'LINEST VARS'!$B$56*($DS$56*$CX60)+'LINEST VARS'!$A$56*(0.5*$CX60)</f>
        <v>2.5600000000000005</v>
      </c>
      <c r="DV60" s="45">
        <v>3.8984999999999999</v>
      </c>
      <c r="DW60" s="51">
        <f>'LINEST VARS'!$U$58+'LINEST VARS'!$T$58*(8)+'LINEST VARS'!$S$58*(8)+'LINEST VARS'!$R$58*($DW$56)+'LINEST VARS'!$Q$58*(0.5)+'LINEST VARS'!$P$58*($DV60)+'LINEST VARS'!$O$58*(8^2)+'LINEST VARS'!$N$58*(8^2)+'LINEST VARS'!$M$58*($DW$56^2)+'LINEST VARS'!$L$58*(0.5^2)+'LINEST VARS'!$K$58*($DV60^2)+'LINEST VARS'!$J$58*(8*8)+'LINEST VARS'!$I$58*(8*$DW$56)+'LINEST VARS'!$H$58*(8*0.5)+'LINEST VARS'!$G$58*(8*$DV60)+'LINEST VARS'!$F$58*(8*$DW$56)+'LINEST VARS'!$E$58*(8*0.5)+'LINEST VARS'!$D$58*(8*$DV60)+'LINEST VARS'!$C$58*($DW$56*0.5)+'LINEST VARS'!$B$58*($DW$56*$DV60)+'LINEST VARS'!$A$58*(0.5*$DV60)</f>
        <v>0.81949250000000029</v>
      </c>
      <c r="DX60" s="51">
        <f>'LINEST VARS'!$U$58+'LINEST VARS'!$T$58*(8)+'LINEST VARS'!$S$58*(8)+'LINEST VARS'!$R$58*($DX$56)+'LINEST VARS'!$Q$58*(0.5)+'LINEST VARS'!$P$58*($DV60)+'LINEST VARS'!$O$58*(8^2)+'LINEST VARS'!$N$58*(8^2)+'LINEST VARS'!$M$58*($DX$56^2)+'LINEST VARS'!$L$58*(0.5^2)+'LINEST VARS'!$K$58*($DV60^2)+'LINEST VARS'!$J$58*(8*8)+'LINEST VARS'!$I$58*(8*$DX$56)+'LINEST VARS'!$H$58*(8*0.5)+'LINEST VARS'!$G$58*(8*$DV60)+'LINEST VARS'!$F$58*(8*$DX$56)+'LINEST VARS'!$E$58*(8*0.5)+'LINEST VARS'!$D$58*(8*$DV60)+'LINEST VARS'!$C$58*($DX$56*0.5)+'LINEST VARS'!$B$58*($DX$56*$DV60)+'LINEST VARS'!$A$58*(0.5*$DV60)</f>
        <v>0.8274925000000003</v>
      </c>
      <c r="DY60" s="51">
        <f>'LINEST VARS'!$U$58+'LINEST VARS'!$T$58*(8)+'LINEST VARS'!$S$58*(8)+'LINEST VARS'!$R$58*($DY$56)+'LINEST VARS'!$Q$58*(0.5)+'LINEST VARS'!$P$58*($DV60)+'LINEST VARS'!$O$58*(8^2)+'LINEST VARS'!$N$58*(8^2)+'LINEST VARS'!$M$58*($DY$56^2)+'LINEST VARS'!$L$58*(0.5^2)+'LINEST VARS'!$K$58*($DV60^2)+'LINEST VARS'!$J$58*(8*8)+'LINEST VARS'!$I$58*(8*$DY$56)+'LINEST VARS'!$H$58*(8*0.5)+'LINEST VARS'!$G$58*(8*$DV60)+'LINEST VARS'!$F$58*(8*$DY$56)+'LINEST VARS'!$E$58*(8*0.5)+'LINEST VARS'!$D$58*(8*$DV60)+'LINEST VARS'!$C$58*($DY$56*0.5)+'LINEST VARS'!$B$58*($DY$56*$DV60)+'LINEST VARS'!$A$58*(0.5*$DV60)</f>
        <v>0.83549250000000019</v>
      </c>
      <c r="DZ60" s="51">
        <f>'LINEST VARS'!$U$58+'LINEST VARS'!$T$58*(8)+'LINEST VARS'!$S$58*(8)+'LINEST VARS'!$R$58*($DZ$56)+'LINEST VARS'!$Q$58*(0.5)+'LINEST VARS'!$P$58*($DV60)+'LINEST VARS'!$O$58*(8^2)+'LINEST VARS'!$N$58*(8^2)+'LINEST VARS'!$M$58*($DZ$56^2)+'LINEST VARS'!$L$58*(0.5^2)+'LINEST VARS'!$K$58*($DV60^2)+'LINEST VARS'!$J$58*(8*8)+'LINEST VARS'!$I$58*(8*$DZ$56)+'LINEST VARS'!$H$58*(8*0.5)+'LINEST VARS'!$G$58*(8*$DV60)+'LINEST VARS'!$F$58*(8*$DZ$56)+'LINEST VARS'!$E$58*(8*0.5)+'LINEST VARS'!$D$58*(8*$DV60)+'LINEST VARS'!$C$58*($DZ$56*0.5)+'LINEST VARS'!$B$58*($DZ$56*$DV60)+'LINEST VARS'!$A$58*(0.5*$DV60)</f>
        <v>0.8434925000000002</v>
      </c>
      <c r="EA60" s="51">
        <f>'LINEST VARS'!$U$58+'LINEST VARS'!$T$58*(8)+'LINEST VARS'!$S$58*(8)+'LINEST VARS'!$R$58*($EA$56)+'LINEST VARS'!$Q$58*(0.5)+'LINEST VARS'!$P$58*($DV60)+'LINEST VARS'!$O$58*(8^2)+'LINEST VARS'!$N$58*(8^2)+'LINEST VARS'!$M$58*($EA$56^2)+'LINEST VARS'!$L$58*(0.5^2)+'LINEST VARS'!$K$58*($DV60^2)+'LINEST VARS'!$J$58*(8*8)+'LINEST VARS'!$I$58*(8*$EA$56)+'LINEST VARS'!$H$58*(8*0.5)+'LINEST VARS'!$G$58*(8*$DV60)+'LINEST VARS'!$F$58*(8*$EA$56)+'LINEST VARS'!$E$58*(8*0.5)+'LINEST VARS'!$D$58*(8*$DV60)+'LINEST VARS'!$C$58*($EA$56*0.5)+'LINEST VARS'!$B$58*($EA$56*$DV60)+'LINEST VARS'!$A$58*(0.5*$DV60)</f>
        <v>0.8514925000000001</v>
      </c>
      <c r="EB60" s="51">
        <f>'LINEST VARS'!$U$58+'LINEST VARS'!$T$58*(8)+'LINEST VARS'!$S$58*(8)+'LINEST VARS'!$R$58*($EB$56)+'LINEST VARS'!$Q$58*(0.5)+'LINEST VARS'!$P$58*($DV60)+'LINEST VARS'!$O$58*(8^2)+'LINEST VARS'!$N$58*(8^2)+'LINEST VARS'!$M$58*($EB$56^2)+'LINEST VARS'!$L$58*(0.5^2)+'LINEST VARS'!$K$58*($DV60^2)+'LINEST VARS'!$J$58*(8*8)+'LINEST VARS'!$I$58*(8*$EB$56)+'LINEST VARS'!$H$58*(8*0.5)+'LINEST VARS'!$G$58*(8*$DV60)+'LINEST VARS'!$F$58*(8*$EB$56)+'LINEST VARS'!$E$58*(8*0.5)+'LINEST VARS'!$D$58*(8*$DV60)+'LINEST VARS'!$C$58*($EB$56*0.5)+'LINEST VARS'!$B$58*($EB$56*$DV60)+'LINEST VARS'!$A$58*(0.5*$DV60)</f>
        <v>0.85949250000000021</v>
      </c>
      <c r="EC60" s="51">
        <f>'LINEST VARS'!$U$58+'LINEST VARS'!$T$58*(8)+'LINEST VARS'!$S$58*(8)+'LINEST VARS'!$R$58*($EC$56)+'LINEST VARS'!$Q$58*(0.5)+'LINEST VARS'!$P$58*($DV60)+'LINEST VARS'!$O$58*(8^2)+'LINEST VARS'!$N$58*(8^2)+'LINEST VARS'!$M$58*($EC$56^2)+'LINEST VARS'!$L$58*(0.5^2)+'LINEST VARS'!$K$58*($DV60^2)+'LINEST VARS'!$J$58*(8*8)+'LINEST VARS'!$I$58*(8*$EC$56)+'LINEST VARS'!$H$58*(8*0.5)+'LINEST VARS'!$G$58*(8*$DV60)+'LINEST VARS'!$F$58*(8*$EC$56)+'LINEST VARS'!$E$58*(8*0.5)+'LINEST VARS'!$D$58*(8*$DV60)+'LINEST VARS'!$C$58*($EC$56*0.5)+'LINEST VARS'!$B$58*($EC$56*$DV60)+'LINEST VARS'!$A$58*(0.5*$DV60)</f>
        <v>0.86749250000000022</v>
      </c>
      <c r="ED60" s="51">
        <f>'LINEST VARS'!$U$58+'LINEST VARS'!$T$58*(8)+'LINEST VARS'!$S$58*(8)+'LINEST VARS'!$R$58*($ED$56)+'LINEST VARS'!$Q$58*(0.5)+'LINEST VARS'!$P$58*($DV60)+'LINEST VARS'!$O$58*(8^2)+'LINEST VARS'!$N$58*(8^2)+'LINEST VARS'!$M$58*($ED$56^2)+'LINEST VARS'!$L$58*(0.5^2)+'LINEST VARS'!$K$58*($DV60^2)+'LINEST VARS'!$J$58*(8*8)+'LINEST VARS'!$I$58*(8*$ED$56)+'LINEST VARS'!$H$58*(8*0.5)+'LINEST VARS'!$G$58*(8*$DV60)+'LINEST VARS'!$F$58*(8*$ED$56)+'LINEST VARS'!$E$58*(8*0.5)+'LINEST VARS'!$D$58*(8*$DV60)+'LINEST VARS'!$C$58*($ED$56*0.5)+'LINEST VARS'!$B$58*($ED$56*$DV60)+'LINEST VARS'!$A$58*(0.5*$DV60)</f>
        <v>0.87549250000000023</v>
      </c>
      <c r="EE60" s="51">
        <f>'LINEST VARS'!$U$58+'LINEST VARS'!$T$58*(8)+'LINEST VARS'!$S$58*(8)+'LINEST VARS'!$R$58*($EE$56)+'LINEST VARS'!$Q$58*(0.5)+'LINEST VARS'!$P$58*($DV60)+'LINEST VARS'!$O$58*(8^2)+'LINEST VARS'!$N$58*(8^2)+'LINEST VARS'!$M$58*($EE$56^2)+'LINEST VARS'!$L$58*(0.5^2)+'LINEST VARS'!$K$58*($DV60^2)+'LINEST VARS'!$J$58*(8*8)+'LINEST VARS'!$I$58*(8*$EE$56)+'LINEST VARS'!$H$58*(8*0.5)+'LINEST VARS'!$G$58*(8*$DV60)+'LINEST VARS'!$F$58*(8*$EE$56)+'LINEST VARS'!$E$58*(8*0.5)+'LINEST VARS'!$D$58*(8*$DV60)+'LINEST VARS'!$C$58*($EE$56*0.5)+'LINEST VARS'!$B$58*($EE$56*$DV60)+'LINEST VARS'!$A$58*(0.5*$DV60)</f>
        <v>0.88349250000000035</v>
      </c>
      <c r="EF60" s="51">
        <f>'LINEST VARS'!$U$58+'LINEST VARS'!$T$58*(8)+'LINEST VARS'!$S$58*(8)+'LINEST VARS'!$R$58*($EF$56)+'LINEST VARS'!$Q$58*(0.5)+'LINEST VARS'!$P$58*($DV60)+'LINEST VARS'!$O$58*(8^2)+'LINEST VARS'!$N$58*(8^2)+'LINEST VARS'!$M$58*($EF$56^2)+'LINEST VARS'!$L$58*(0.5^2)+'LINEST VARS'!$K$58*($DV60^2)+'LINEST VARS'!$J$58*(8*8)+'LINEST VARS'!$I$58*(8*$EF$56)+'LINEST VARS'!$H$58*(8*0.5)+'LINEST VARS'!$G$58*(8*$DV60)+'LINEST VARS'!$F$58*(8*$EF$56)+'LINEST VARS'!$E$58*(8*0.5)+'LINEST VARS'!$D$58*(8*$DV60)+'LINEST VARS'!$C$58*($EF$56*0.5)+'LINEST VARS'!$B$58*($EF$56*$DV60)+'LINEST VARS'!$A$58*(0.5*$DV60)</f>
        <v>0.89149250000000024</v>
      </c>
      <c r="EG60" s="51">
        <f>'LINEST VARS'!$U$58+'LINEST VARS'!$T$58*(8)+'LINEST VARS'!$S$58*(8)+'LINEST VARS'!$R$58*($EG$56)+'LINEST VARS'!$Q$58*(0.5)+'LINEST VARS'!$P$58*($DV60)+'LINEST VARS'!$O$58*(8^2)+'LINEST VARS'!$N$58*(8^2)+'LINEST VARS'!$M$58*($EG$56^2)+'LINEST VARS'!$L$58*(0.5^2)+'LINEST VARS'!$K$58*($DV60^2)+'LINEST VARS'!$J$58*(8*8)+'LINEST VARS'!$I$58*(8*$EG$56)+'LINEST VARS'!$H$58*(8*0.5)+'LINEST VARS'!$G$58*(8*$DV60)+'LINEST VARS'!$F$58*(8*$EG$56)+'LINEST VARS'!$E$58*(8*0.5)+'LINEST VARS'!$D$58*(8*$DV60)+'LINEST VARS'!$C$58*($EG$56*0.5)+'LINEST VARS'!$B$58*($EG$56*$DV60)+'LINEST VARS'!$A$58*(0.5*$DV60)</f>
        <v>0.89949250000000025</v>
      </c>
      <c r="EH60" s="51">
        <f>'LINEST VARS'!$U$58+'LINEST VARS'!$T$58*(8)+'LINEST VARS'!$S$58*(8)+'LINEST VARS'!$R$58*($EH$56)+'LINEST VARS'!$Q$58*(0.5)+'LINEST VARS'!$P$58*($DV60)+'LINEST VARS'!$O$58*(8^2)+'LINEST VARS'!$N$58*(8^2)+'LINEST VARS'!$M$58*($EH$56^2)+'LINEST VARS'!$L$58*(0.5^2)+'LINEST VARS'!$K$58*($DV60^2)+'LINEST VARS'!$J$58*(8*8)+'LINEST VARS'!$I$58*(8*$EH$56)+'LINEST VARS'!$H$58*(8*0.5)+'LINEST VARS'!$G$58*(8*$DV60)+'LINEST VARS'!$F$58*(8*$EH$56)+'LINEST VARS'!$E$58*(8*0.5)+'LINEST VARS'!$D$58*(8*$DV60)+'LINEST VARS'!$C$58*($EH$56*0.5)+'LINEST VARS'!$B$58*($EH$56*$DV60)+'LINEST VARS'!$A$58*(0.5*$DV60)</f>
        <v>0.90749250000000015</v>
      </c>
      <c r="EI60" s="51">
        <f>'LINEST VARS'!$U$58+'LINEST VARS'!$T$58*(8)+'LINEST VARS'!$S$58*(8)+'LINEST VARS'!$R$58*($EI$56)+'LINEST VARS'!$Q$58*(0.5)+'LINEST VARS'!$P$58*($DV60)+'LINEST VARS'!$O$58*(8^2)+'LINEST VARS'!$N$58*(8^2)+'LINEST VARS'!$M$58*($EI$56^2)+'LINEST VARS'!$L$58*(0.5^2)+'LINEST VARS'!$K$58*($DV60^2)+'LINEST VARS'!$J$58*(8*8)+'LINEST VARS'!$I$58*(8*$EI$56)+'LINEST VARS'!$H$58*(8*0.5)+'LINEST VARS'!$G$58*(8*$DV60)+'LINEST VARS'!$F$58*(8*$EI$56)+'LINEST VARS'!$E$58*(8*0.5)+'LINEST VARS'!$D$58*(8*$DV60)+'LINEST VARS'!$C$58*($EI$56*0.5)+'LINEST VARS'!$B$58*($EI$56*$DV60)+'LINEST VARS'!$A$58*(0.5*$DV60)</f>
        <v>0.91549250000000015</v>
      </c>
      <c r="EJ60" s="51">
        <f>'LINEST VARS'!$U$58+'LINEST VARS'!$T$58*(8)+'LINEST VARS'!$S$58*(8)+'LINEST VARS'!$R$58*($EJ$56)+'LINEST VARS'!$Q$58*(0.5)+'LINEST VARS'!$P$58*($DV60)+'LINEST VARS'!$O$58*(8^2)+'LINEST VARS'!$N$58*(8^2)+'LINEST VARS'!$M$58*($EJ$56^2)+'LINEST VARS'!$L$58*(0.5^2)+'LINEST VARS'!$K$58*($DV60^2)+'LINEST VARS'!$J$58*(8*8)+'LINEST VARS'!$I$58*(8*$EJ$56)+'LINEST VARS'!$H$58*(8*0.5)+'LINEST VARS'!$G$58*(8*$DV60)+'LINEST VARS'!$F$58*(8*$EJ$56)+'LINEST VARS'!$E$58*(8*0.5)+'LINEST VARS'!$D$58*(8*$DV60)+'LINEST VARS'!$C$58*($EJ$56*0.5)+'LINEST VARS'!$B$58*($EJ$56*$DV60)+'LINEST VARS'!$A$58*(0.5*$DV60)</f>
        <v>0.92349250000000005</v>
      </c>
      <c r="EK60" s="51">
        <f>'LINEST VARS'!$U$58+'LINEST VARS'!$T$58*(8)+'LINEST VARS'!$S$58*(8)+'LINEST VARS'!$R$58*($EK$56)+'LINEST VARS'!$Q$58*(0.5)+'LINEST VARS'!$P$58*($DV60)+'LINEST VARS'!$O$58*(8^2)+'LINEST VARS'!$N$58*(8^2)+'LINEST VARS'!$M$58*($EK$56^2)+'LINEST VARS'!$L$58*(0.5^2)+'LINEST VARS'!$K$58*($DV60^2)+'LINEST VARS'!$J$58*(8*8)+'LINEST VARS'!$I$58*(8*$EK$56)+'LINEST VARS'!$H$58*(8*0.5)+'LINEST VARS'!$G$58*(8*$DV60)+'LINEST VARS'!$F$58*(8*$EK$56)+'LINEST VARS'!$E$58*(8*0.5)+'LINEST VARS'!$D$58*(8*$DV60)+'LINEST VARS'!$C$58*($EK$56*0.5)+'LINEST VARS'!$B$58*($EK$56*$DV60)+'LINEST VARS'!$A$58*(0.5*$DV60)</f>
        <v>0.93149250000000017</v>
      </c>
      <c r="EL60" s="51">
        <f>'LINEST VARS'!$U$58+'LINEST VARS'!$T$58*(8)+'LINEST VARS'!$S$58*(8)+'LINEST VARS'!$R$58*($EL$56)+'LINEST VARS'!$Q$58*(0.5)+'LINEST VARS'!$P$58*($DV60)+'LINEST VARS'!$O$58*(8^2)+'LINEST VARS'!$N$58*(8^2)+'LINEST VARS'!$M$58*($EL$56^2)+'LINEST VARS'!$L$58*(0.5^2)+'LINEST VARS'!$K$58*($DV60^2)+'LINEST VARS'!$J$58*(8*8)+'LINEST VARS'!$I$58*(8*$EL$56)+'LINEST VARS'!$H$58*(8*0.5)+'LINEST VARS'!$G$58*(8*$DV60)+'LINEST VARS'!$F$58*(8*$EL$56)+'LINEST VARS'!$E$58*(8*0.5)+'LINEST VARS'!$D$58*(8*$DV60)+'LINEST VARS'!$C$58*($EL$56*0.5)+'LINEST VARS'!$B$58*($EL$56*$DV60)+'LINEST VARS'!$A$58*(0.5*$DV60)</f>
        <v>0.93949250000000017</v>
      </c>
      <c r="EM60" s="51">
        <f>'LINEST VARS'!$U$58+'LINEST VARS'!$T$58*(8)+'LINEST VARS'!$S$58*(8)+'LINEST VARS'!$R$58*($EM$56)+'LINEST VARS'!$Q$58*(0.5)+'LINEST VARS'!$P$58*($DV60)+'LINEST VARS'!$O$58*(8^2)+'LINEST VARS'!$N$58*(8^2)+'LINEST VARS'!$M$58*($EM$56^2)+'LINEST VARS'!$L$58*(0.5^2)+'LINEST VARS'!$K$58*($DV60^2)+'LINEST VARS'!$J$58*(8*8)+'LINEST VARS'!$I$58*(8*$EM$56)+'LINEST VARS'!$H$58*(8*0.5)+'LINEST VARS'!$G$58*(8*$DV60)+'LINEST VARS'!$F$58*(8*$EM$56)+'LINEST VARS'!$E$58*(8*0.5)+'LINEST VARS'!$D$58*(8*$DV60)+'LINEST VARS'!$C$58*($EM$56*0.5)+'LINEST VARS'!$B$58*($EM$56*$DV60)+'LINEST VARS'!$A$58*(0.5*$DV60)</f>
        <v>0.94749250000000029</v>
      </c>
      <c r="EN60" s="51">
        <f>'LINEST VARS'!$U$58+'LINEST VARS'!$T$58*(8)+'LINEST VARS'!$S$58*(8)+'LINEST VARS'!$R$58*($EN$56)+'LINEST VARS'!$Q$58*(0.5)+'LINEST VARS'!$P$58*($DV60)+'LINEST VARS'!$O$58*(8^2)+'LINEST VARS'!$N$58*(8^2)+'LINEST VARS'!$M$58*($EN$56^2)+'LINEST VARS'!$L$58*(0.5^2)+'LINEST VARS'!$K$58*($DV60^2)+'LINEST VARS'!$J$58*(8*8)+'LINEST VARS'!$I$58*(8*$EN$56)+'LINEST VARS'!$H$58*(8*0.5)+'LINEST VARS'!$G$58*(8*$DV60)+'LINEST VARS'!$F$58*(8*$EN$56)+'LINEST VARS'!$E$58*(8*0.5)+'LINEST VARS'!$D$58*(8*$DV60)+'LINEST VARS'!$C$58*($EN$56*0.5)+'LINEST VARS'!$B$58*($EN$56*$DV60)+'LINEST VARS'!$A$58*(0.5*$DV60)</f>
        <v>0.9554925000000003</v>
      </c>
      <c r="EO60" s="51">
        <f>'LINEST VARS'!$U$58+'LINEST VARS'!$T$58*(8)+'LINEST VARS'!$S$58*(8)+'LINEST VARS'!$R$58*($EO$56)+'LINEST VARS'!$Q$58*(0.5)+'LINEST VARS'!$P$58*($DV60)+'LINEST VARS'!$O$58*(8^2)+'LINEST VARS'!$N$58*(8^2)+'LINEST VARS'!$M$58*($EO$56^2)+'LINEST VARS'!$L$58*(0.5^2)+'LINEST VARS'!$K$58*($DV60^2)+'LINEST VARS'!$J$58*(8*8)+'LINEST VARS'!$I$58*(8*$EO$56)+'LINEST VARS'!$H$58*(8*0.5)+'LINEST VARS'!$G$58*(8*$DV60)+'LINEST VARS'!$F$58*(8*$EO$56)+'LINEST VARS'!$E$58*(8*0.5)+'LINEST VARS'!$D$58*(8*$DV60)+'LINEST VARS'!$C$58*($EO$56*0.5)+'LINEST VARS'!$B$58*($EO$56*$DV60)+'LINEST VARS'!$A$58*(0.5*$DV60)</f>
        <v>0.96349250000000031</v>
      </c>
      <c r="EP60" s="51">
        <f>'LINEST VARS'!$U$58+'LINEST VARS'!$T$58*(8)+'LINEST VARS'!$S$58*(8)+'LINEST VARS'!$R$58*($EP$56)+'LINEST VARS'!$Q$58*(0.5)+'LINEST VARS'!$P$58*($DV60)+'LINEST VARS'!$O$58*(8^2)+'LINEST VARS'!$N$58*(8^2)+'LINEST VARS'!$M$58*($EP$56^2)+'LINEST VARS'!$L$58*(0.5^2)+'LINEST VARS'!$K$58*($DV60^2)+'LINEST VARS'!$J$58*(8*8)+'LINEST VARS'!$I$58*(8*$EP$56)+'LINEST VARS'!$H$58*(8*0.5)+'LINEST VARS'!$G$58*(8*$DV60)+'LINEST VARS'!$F$58*(8*$EP$56)+'LINEST VARS'!$E$58*(8*0.5)+'LINEST VARS'!$D$58*(8*$DV60)+'LINEST VARS'!$C$58*($EP$56*0.5)+'LINEST VARS'!$B$58*($EP$56*$DV60)+'LINEST VARS'!$A$58*(0.5*$DV60)</f>
        <v>0.9714925000000002</v>
      </c>
      <c r="EQ60" s="52">
        <f>'LINEST VARS'!$U$58+'LINEST VARS'!$T$58*(8)+'LINEST VARS'!$S$58*(8)+'LINEST VARS'!$R$58*($EQ$56)+'LINEST VARS'!$Q$58*(0.5)+'LINEST VARS'!$P$58*($DV60)+'LINEST VARS'!$O$58*(8^2)+'LINEST VARS'!$N$58*(8^2)+'LINEST VARS'!$M$58*($EQ$56^2)+'LINEST VARS'!$L$58*(0.5^2)+'LINEST VARS'!$K$58*($DV60^2)+'LINEST VARS'!$J$58*(8*8)+'LINEST VARS'!$I$58*(8*$EQ$56)+'LINEST VARS'!$H$58*(8*0.5)+'LINEST VARS'!$G$58*(8*$DV60)+'LINEST VARS'!$F$58*(8*$EQ$56)+'LINEST VARS'!$E$58*(8*0.5)+'LINEST VARS'!$D$58*(8*$DV60)+'LINEST VARS'!$C$58*($EQ$56*0.5)+'LINEST VARS'!$B$58*($EQ$56*$DV60)+'LINEST VARS'!$A$58*(0.5*$DV60)</f>
        <v>0.97949250000000021</v>
      </c>
    </row>
    <row r="61" spans="2:147" ht="15" customHeight="1" x14ac:dyDescent="0.25">
      <c r="B61" s="45">
        <v>7.64</v>
      </c>
      <c r="C61" s="51">
        <f>'LINEST VARS'!$U$56+'LINEST VARS'!$T$56*($C$56)+'LINEST VARS'!$S$56*($B61)+'LINEST VARS'!$R$56*(4)+'LINEST VARS'!$Q$56*(0.5)+'LINEST VARS'!$P$56*(12.73)+'LINEST VARS'!$O$56*($C$56^2)+'LINEST VARS'!$N$56*($B61^2)+'LINEST VARS'!$M$56*(4^2)+'LINEST VARS'!$L$56*(0.5^2)+'LINEST VARS'!$K$56*(12.73^2)+'LINEST VARS'!$J$56*($C$56*$B61)+'LINEST VARS'!$I$56*($C$56*4)+'LINEST VARS'!$H$56*($C$56*0.5)+'LINEST VARS'!$G$56*($C$56*12.73)+'LINEST VARS'!$F$56*($B61*4)+'LINEST VARS'!$E$56*($B61*0.5)+'LINEST VARS'!$D$56*($B61*12.73)+'LINEST VARS'!$C$56*(4*0.5)+'LINEST VARS'!$B$56*(4*12.73)+'LINEST VARS'!$A$56*(0.5*12.73)</f>
        <v>2.8400000000000021</v>
      </c>
      <c r="D61" s="51">
        <f>'LINEST VARS'!$U$56+'LINEST VARS'!$T$56*($D$56)+'LINEST VARS'!$S$56*($B61)+'LINEST VARS'!$R$56*(4)+'LINEST VARS'!$Q$56*(0.5)+'LINEST VARS'!$P$56*(12.73)+'LINEST VARS'!$O$56*($D$56^2)+'LINEST VARS'!$N$56*($B61^2)+'LINEST VARS'!$M$56*(4^2)+'LINEST VARS'!$L$56*(0.5^2)+'LINEST VARS'!$K$56*(12.73^2)+'LINEST VARS'!$J$56*($D$56*$B61)+'LINEST VARS'!$I$56*($D$56*4)+'LINEST VARS'!$H$56*($D$56*0.5)+'LINEST VARS'!$G$56*($D$56*12.73)+'LINEST VARS'!$F$56*($B61*4)+'LINEST VARS'!$E$56*($B61*0.5)+'LINEST VARS'!$D$56*($B61*12.73)+'LINEST VARS'!$C$56*(4*0.5)+'LINEST VARS'!$B$56*(4*12.73)+'LINEST VARS'!$A$56*(0.5*12.73)</f>
        <v>2.8400000000000016</v>
      </c>
      <c r="E61" s="51">
        <f>'LINEST VARS'!$U$56+'LINEST VARS'!$T$56*($E$56)+'LINEST VARS'!$S$56*($B61)+'LINEST VARS'!$R$56*(4)+'LINEST VARS'!$Q$56*(0.5)+'LINEST VARS'!$P$56*(12.73)+'LINEST VARS'!$O$56*($E$56^2)+'LINEST VARS'!$N$56*($B61^2)+'LINEST VARS'!$M$56*(4^2)+'LINEST VARS'!$L$56*(0.5^2)+'LINEST VARS'!$K$56*(12.73^2)+'LINEST VARS'!$J$56*($E$56*$B61)+'LINEST VARS'!$I$56*($E$56*4)+'LINEST VARS'!$H$56*($E$56*0.5)+'LINEST VARS'!$G$56*($E$56*12.73)+'LINEST VARS'!$F$56*($B61*4)+'LINEST VARS'!$E$56*($B61*0.5)+'LINEST VARS'!$D$56*($B61*12.73)+'LINEST VARS'!$C$56*(4*0.5)+'LINEST VARS'!$B$56*(4*12.73)+'LINEST VARS'!$A$56*(0.5*12.73)</f>
        <v>2.8400000000000016</v>
      </c>
      <c r="F61" s="51">
        <f>'LINEST VARS'!$U$56+'LINEST VARS'!$T$56*($F$56)+'LINEST VARS'!$S$56*($B61)+'LINEST VARS'!$R$56*(4)+'LINEST VARS'!$Q$56*(0.5)+'LINEST VARS'!$P$56*(12.73)+'LINEST VARS'!$O$56*($F$56^2)+'LINEST VARS'!$N$56*($B61^2)+'LINEST VARS'!$M$56*(4^2)+'LINEST VARS'!$L$56*(0.5^2)+'LINEST VARS'!$K$56*(12.73^2)+'LINEST VARS'!$J$56*($F$56*$B61)+'LINEST VARS'!$I$56*($F$56*4)+'LINEST VARS'!$H$56*($F$56*0.5)+'LINEST VARS'!$G$56*($F$56*12.73)+'LINEST VARS'!$F$56*($B61*4)+'LINEST VARS'!$E$56*($B61*0.5)+'LINEST VARS'!$D$56*($B61*12.73)+'LINEST VARS'!$C$56*(4*0.5)+'LINEST VARS'!$B$56*(4*12.73)+'LINEST VARS'!$A$56*(0.5*12.73)</f>
        <v>2.8400000000000016</v>
      </c>
      <c r="G61" s="51">
        <f>'LINEST VARS'!$U$56+'LINEST VARS'!$T$56*($G$56)+'LINEST VARS'!$S$56*($B61)+'LINEST VARS'!$R$56*(4)+'LINEST VARS'!$Q$56*(0.5)+'LINEST VARS'!$P$56*(12.73)+'LINEST VARS'!$O$56*($G$56^2)+'LINEST VARS'!$N$56*($B61^2)+'LINEST VARS'!$M$56*(4^2)+'LINEST VARS'!$L$56*(0.5^2)+'LINEST VARS'!$K$56*(12.73^2)+'LINEST VARS'!$J$56*($G$56*$B61)+'LINEST VARS'!$I$56*($G$56*4)+'LINEST VARS'!$H$56*($G$56*0.5)+'LINEST VARS'!$G$56*($G$56*12.73)+'LINEST VARS'!$F$56*($B61*4)+'LINEST VARS'!$E$56*($B61*0.5)+'LINEST VARS'!$D$56*($B61*12.73)+'LINEST VARS'!$C$56*(4*0.5)+'LINEST VARS'!$B$56*(4*12.73)+'LINEST VARS'!$A$56*(0.5*12.73)</f>
        <v>2.8400000000000016</v>
      </c>
      <c r="H61" s="51">
        <f>'LINEST VARS'!$U$56+'LINEST VARS'!$T$56*($H$56)+'LINEST VARS'!$S$56*($B61)+'LINEST VARS'!$R$56*(4)+'LINEST VARS'!$Q$56*(0.5)+'LINEST VARS'!$P$56*(12.73)+'LINEST VARS'!$O$56*($H$56^2)+'LINEST VARS'!$N$56*($B61^2)+'LINEST VARS'!$M$56*(4^2)+'LINEST VARS'!$L$56*(0.5^2)+'LINEST VARS'!$K$56*(12.73^2)+'LINEST VARS'!$J$56*($H$56*$B61)+'LINEST VARS'!$I$56*($H$56*4)+'LINEST VARS'!$H$56*($H$56*0.5)+'LINEST VARS'!$G$56*($H$56*12.73)+'LINEST VARS'!$F$56*($B61*4)+'LINEST VARS'!$E$56*($B61*0.5)+'LINEST VARS'!$D$56*($B61*12.73)+'LINEST VARS'!$C$56*(4*0.5)+'LINEST VARS'!$B$56*(4*12.73)+'LINEST VARS'!$A$56*(0.5*12.73)</f>
        <v>2.8400000000000016</v>
      </c>
      <c r="I61" s="51">
        <f>'LINEST VARS'!$U$56+'LINEST VARS'!$T$56*($I$56)+'LINEST VARS'!$S$56*($B61)+'LINEST VARS'!$R$56*(4)+'LINEST VARS'!$Q$56*(0.5)+'LINEST VARS'!$P$56*(12.73)+'LINEST VARS'!$O$56*($I$56^2)+'LINEST VARS'!$N$56*($B61^2)+'LINEST VARS'!$M$56*(4^2)+'LINEST VARS'!$L$56*(0.5^2)+'LINEST VARS'!$K$56*(12.73^2)+'LINEST VARS'!$J$56*($I$56*$B61)+'LINEST VARS'!$I$56*($I$56*4)+'LINEST VARS'!$H$56*($I$56*0.5)+'LINEST VARS'!$G$56*($I$56*12.73)+'LINEST VARS'!$F$56*($B61*4)+'LINEST VARS'!$E$56*($B61*0.5)+'LINEST VARS'!$D$56*($B61*12.73)+'LINEST VARS'!$C$56*(4*0.5)+'LINEST VARS'!$B$56*(4*12.73)+'LINEST VARS'!$A$56*(0.5*12.73)</f>
        <v>2.8400000000000016</v>
      </c>
      <c r="J61" s="51">
        <f>'LINEST VARS'!$U$56+'LINEST VARS'!$T$56*($J$56)+'LINEST VARS'!$S$56*($B61)+'LINEST VARS'!$R$56*(4)+'LINEST VARS'!$Q$56*(0.5)+'LINEST VARS'!$P$56*(12.73)+'LINEST VARS'!$O$56*($J$56^2)+'LINEST VARS'!$N$56*($B61^2)+'LINEST VARS'!$M$56*(4^2)+'LINEST VARS'!$L$56*(0.5^2)+'LINEST VARS'!$K$56*(12.73^2)+'LINEST VARS'!$J$56*($J$56*$B61)+'LINEST VARS'!$I$56*($J$56*4)+'LINEST VARS'!$H$56*($J$56*0.5)+'LINEST VARS'!$G$56*($J$56*12.73)+'LINEST VARS'!$F$56*($B61*4)+'LINEST VARS'!$E$56*($B61*0.5)+'LINEST VARS'!$D$56*($B61*12.73)+'LINEST VARS'!$C$56*(4*0.5)+'LINEST VARS'!$B$56*(4*12.73)+'LINEST VARS'!$A$56*(0.5*12.73)</f>
        <v>2.8400000000000016</v>
      </c>
      <c r="K61" s="51">
        <f>'LINEST VARS'!$U$56+'LINEST VARS'!$T$56*($K$56)+'LINEST VARS'!$S$56*($B61)+'LINEST VARS'!$R$56*(4)+'LINEST VARS'!$Q$56*(0.5)+'LINEST VARS'!$P$56*(12.73)+'LINEST VARS'!$O$56*($K$56^2)+'LINEST VARS'!$N$56*($B61^2)+'LINEST VARS'!$M$56*(4^2)+'LINEST VARS'!$L$56*(0.5^2)+'LINEST VARS'!$K$56*(12.73^2)+'LINEST VARS'!$J$56*($K$56*$B61)+'LINEST VARS'!$I$56*($K$56*4)+'LINEST VARS'!$H$56*($K$56*0.5)+'LINEST VARS'!$G$56*($K$56*12.73)+'LINEST VARS'!$F$56*($B61*4)+'LINEST VARS'!$E$56*($B61*0.5)+'LINEST VARS'!$D$56*($B61*12.73)+'LINEST VARS'!$C$56*(4*0.5)+'LINEST VARS'!$B$56*(4*12.73)+'LINEST VARS'!$A$56*(0.5*12.73)</f>
        <v>2.8400000000000012</v>
      </c>
      <c r="L61" s="51">
        <f>'LINEST VARS'!$U$56+'LINEST VARS'!$T$56*($L$56)+'LINEST VARS'!$S$56*($B61)+'LINEST VARS'!$R$56*(4)+'LINEST VARS'!$Q$56*(0.5)+'LINEST VARS'!$P$56*(12.73)+'LINEST VARS'!$O$56*($L$56^2)+'LINEST VARS'!$N$56*($B61^2)+'LINEST VARS'!$M$56*(4^2)+'LINEST VARS'!$L$56*(0.5^2)+'LINEST VARS'!$K$56*(12.73^2)+'LINEST VARS'!$J$56*($L$56*$B61)+'LINEST VARS'!$I$56*($L$56*4)+'LINEST VARS'!$H$56*($L$56*0.5)+'LINEST VARS'!$G$56*($L$56*12.73)+'LINEST VARS'!$F$56*($B61*4)+'LINEST VARS'!$E$56*($B61*0.5)+'LINEST VARS'!$D$56*($B61*12.73)+'LINEST VARS'!$C$56*(4*0.5)+'LINEST VARS'!$B$56*(4*12.73)+'LINEST VARS'!$A$56*(0.5*12.73)</f>
        <v>2.8400000000000012</v>
      </c>
      <c r="M61" s="51">
        <f>'LINEST VARS'!$U$56+'LINEST VARS'!$T$56*($M$56)+'LINEST VARS'!$S$56*($B61)+'LINEST VARS'!$R$56*(4)+'LINEST VARS'!$Q$56*(0.5)+'LINEST VARS'!$P$56*(12.73)+'LINEST VARS'!$O$56*($M$56^2)+'LINEST VARS'!$N$56*($B61^2)+'LINEST VARS'!$M$56*(4^2)+'LINEST VARS'!$L$56*(0.5^2)+'LINEST VARS'!$K$56*(12.73^2)+'LINEST VARS'!$J$56*($M$56*$B61)+'LINEST VARS'!$I$56*($M$56*4)+'LINEST VARS'!$H$56*($M$56*0.5)+'LINEST VARS'!$G$56*($M$56*12.73)+'LINEST VARS'!$F$56*($B61*4)+'LINEST VARS'!$E$56*($B61*0.5)+'LINEST VARS'!$D$56*($B61*12.73)+'LINEST VARS'!$C$56*(4*0.5)+'LINEST VARS'!$B$56*(4*12.73)+'LINEST VARS'!$A$56*(0.5*12.73)</f>
        <v>2.8400000000000012</v>
      </c>
      <c r="N61" s="51">
        <f>'LINEST VARS'!$U$56+'LINEST VARS'!$T$56*($N$56)+'LINEST VARS'!$S$56*($B61)+'LINEST VARS'!$R$56*(4)+'LINEST VARS'!$Q$56*(0.5)+'LINEST VARS'!$P$56*(12.73)+'LINEST VARS'!$O$56*($N$56^2)+'LINEST VARS'!$N$56*($B61^2)+'LINEST VARS'!$M$56*(4^2)+'LINEST VARS'!$L$56*(0.5^2)+'LINEST VARS'!$K$56*(12.73^2)+'LINEST VARS'!$J$56*($N$56*$B61)+'LINEST VARS'!$I$56*($N$56*4)+'LINEST VARS'!$H$56*($N$56*0.5)+'LINEST VARS'!$G$56*($N$56*12.73)+'LINEST VARS'!$F$56*($B61*4)+'LINEST VARS'!$E$56*($B61*0.5)+'LINEST VARS'!$D$56*($B61*12.73)+'LINEST VARS'!$C$56*(4*0.5)+'LINEST VARS'!$B$56*(4*12.73)+'LINEST VARS'!$A$56*(0.5*12.73)</f>
        <v>2.8400000000000012</v>
      </c>
      <c r="O61" s="51">
        <f>'LINEST VARS'!$U$56+'LINEST VARS'!$T$56*($O$56)+'LINEST VARS'!$S$56*($B61)+'LINEST VARS'!$R$56*(4)+'LINEST VARS'!$Q$56*(0.5)+'LINEST VARS'!$P$56*(12.73)+'LINEST VARS'!$O$56*($O$56^2)+'LINEST VARS'!$N$56*($B61^2)+'LINEST VARS'!$M$56*(4^2)+'LINEST VARS'!$L$56*(0.5^2)+'LINEST VARS'!$K$56*(12.73^2)+'LINEST VARS'!$J$56*($O$56*$B61)+'LINEST VARS'!$I$56*($O$56*4)+'LINEST VARS'!$H$56*($O$56*0.5)+'LINEST VARS'!$G$56*($O$56*12.73)+'LINEST VARS'!$F$56*($B61*4)+'LINEST VARS'!$E$56*($B61*0.5)+'LINEST VARS'!$D$56*($B61*12.73)+'LINEST VARS'!$C$56*(4*0.5)+'LINEST VARS'!$B$56*(4*12.73)+'LINEST VARS'!$A$56*(0.5*12.73)</f>
        <v>2.8400000000000012</v>
      </c>
      <c r="P61" s="51">
        <f>'LINEST VARS'!$U$56+'LINEST VARS'!$T$56*($P$56)+'LINEST VARS'!$S$56*($B61)+'LINEST VARS'!$R$56*(4)+'LINEST VARS'!$Q$56*(0.5)+'LINEST VARS'!$P$56*(12.73)+'LINEST VARS'!$O$56*($P$56^2)+'LINEST VARS'!$N$56*($B61^2)+'LINEST VARS'!$M$56*(4^2)+'LINEST VARS'!$L$56*(0.5^2)+'LINEST VARS'!$K$56*(12.73^2)+'LINEST VARS'!$J$56*($P$56*$B61)+'LINEST VARS'!$I$56*($P$56*4)+'LINEST VARS'!$H$56*($P$56*0.5)+'LINEST VARS'!$G$56*($P$56*12.73)+'LINEST VARS'!$F$56*($B61*4)+'LINEST VARS'!$E$56*($B61*0.5)+'LINEST VARS'!$D$56*($B61*12.73)+'LINEST VARS'!$C$56*(4*0.5)+'LINEST VARS'!$B$56*(4*12.73)+'LINEST VARS'!$A$56*(0.5*12.73)</f>
        <v>2.8400000000000012</v>
      </c>
      <c r="Q61" s="51">
        <f>'LINEST VARS'!$U$56+'LINEST VARS'!$T$56*($Q$56)+'LINEST VARS'!$S$56*($B61)+'LINEST VARS'!$R$56*(4)+'LINEST VARS'!$Q$56*(0.5)+'LINEST VARS'!$P$56*(12.73)+'LINEST VARS'!$O$56*($Q$56^2)+'LINEST VARS'!$N$56*($B61^2)+'LINEST VARS'!$M$56*(4^2)+'LINEST VARS'!$L$56*(0.5^2)+'LINEST VARS'!$K$56*(12.73^2)+'LINEST VARS'!$J$56*($Q$56*$B61)+'LINEST VARS'!$I$56*($Q$56*4)+'LINEST VARS'!$H$56*($Q$56*0.5)+'LINEST VARS'!$G$56*($Q$56*12.73)+'LINEST VARS'!$F$56*($B61*4)+'LINEST VARS'!$E$56*($B61*0.5)+'LINEST VARS'!$D$56*($B61*12.73)+'LINEST VARS'!$C$56*(4*0.5)+'LINEST VARS'!$B$56*(4*12.73)+'LINEST VARS'!$A$56*(0.5*12.73)</f>
        <v>2.8400000000000012</v>
      </c>
      <c r="R61" s="51">
        <f>'LINEST VARS'!$U$56+'LINEST VARS'!$T$56*($R$56)+'LINEST VARS'!$S$56*($B61)+'LINEST VARS'!$R$56*(4)+'LINEST VARS'!$Q$56*(0.5)+'LINEST VARS'!$P$56*(12.73)+'LINEST VARS'!$O$56*($R$56^2)+'LINEST VARS'!$N$56*($B61^2)+'LINEST VARS'!$M$56*(4^2)+'LINEST VARS'!$L$56*(0.5^2)+'LINEST VARS'!$K$56*(12.73^2)+'LINEST VARS'!$J$56*($R$56*$B61)+'LINEST VARS'!$I$56*($R$56*4)+'LINEST VARS'!$H$56*($R$56*0.5)+'LINEST VARS'!$G$56*($R$56*12.73)+'LINEST VARS'!$F$56*($B61*4)+'LINEST VARS'!$E$56*($B61*0.5)+'LINEST VARS'!$D$56*($B61*12.73)+'LINEST VARS'!$C$56*(4*0.5)+'LINEST VARS'!$B$56*(4*12.73)+'LINEST VARS'!$A$56*(0.5*12.73)</f>
        <v>2.8400000000000012</v>
      </c>
      <c r="S61" s="51">
        <f>'LINEST VARS'!$U$56+'LINEST VARS'!$T$56*($S$56)+'LINEST VARS'!$S$56*($B61)+'LINEST VARS'!$R$56*(4)+'LINEST VARS'!$Q$56*(0.5)+'LINEST VARS'!$P$56*(12.73)+'LINEST VARS'!$O$56*($S$56^2)+'LINEST VARS'!$N$56*($B61^2)+'LINEST VARS'!$M$56*(4^2)+'LINEST VARS'!$L$56*(0.5^2)+'LINEST VARS'!$K$56*(12.73^2)+'LINEST VARS'!$J$56*($S$56*$B61)+'LINEST VARS'!$I$56*($S$56*4)+'LINEST VARS'!$H$56*($S$56*0.5)+'LINEST VARS'!$G$56*($S$56*12.73)+'LINEST VARS'!$F$56*($B61*4)+'LINEST VARS'!$E$56*($B61*0.5)+'LINEST VARS'!$D$56*($B61*12.73)+'LINEST VARS'!$C$56*(4*0.5)+'LINEST VARS'!$B$56*(4*12.73)+'LINEST VARS'!$A$56*(0.5*12.73)</f>
        <v>2.8400000000000012</v>
      </c>
      <c r="T61" s="51">
        <f>'LINEST VARS'!$U$56+'LINEST VARS'!$T$56*($T$56)+'LINEST VARS'!$S$56*($B61)+'LINEST VARS'!$R$56*(4)+'LINEST VARS'!$Q$56*(0.5)+'LINEST VARS'!$P$56*(12.73)+'LINEST VARS'!$O$56*($T$56^2)+'LINEST VARS'!$N$56*($B61^2)+'LINEST VARS'!$M$56*(4^2)+'LINEST VARS'!$L$56*(0.5^2)+'LINEST VARS'!$K$56*(12.73^2)+'LINEST VARS'!$J$56*($T$56*$B61)+'LINEST VARS'!$I$56*($T$56*4)+'LINEST VARS'!$H$56*($T$56*0.5)+'LINEST VARS'!$G$56*($T$56*12.73)+'LINEST VARS'!$F$56*($B61*4)+'LINEST VARS'!$E$56*($B61*0.5)+'LINEST VARS'!$D$56*($B61*12.73)+'LINEST VARS'!$C$56*(4*0.5)+'LINEST VARS'!$B$56*(4*12.73)+'LINEST VARS'!$A$56*(0.5*12.73)</f>
        <v>2.8400000000000012</v>
      </c>
      <c r="U61" s="51">
        <f>'LINEST VARS'!$U$56+'LINEST VARS'!$T$56*($U$56)+'LINEST VARS'!$S$56*($B61)+'LINEST VARS'!$R$56*(4)+'LINEST VARS'!$Q$56*(0.5)+'LINEST VARS'!$P$56*(12.73)+'LINEST VARS'!$O$56*($U$56^2)+'LINEST VARS'!$N$56*($B61^2)+'LINEST VARS'!$M$56*(4^2)+'LINEST VARS'!$L$56*(0.5^2)+'LINEST VARS'!$K$56*(12.73^2)+'LINEST VARS'!$J$56*($U$56*$B61)+'LINEST VARS'!$I$56*($U$56*4)+'LINEST VARS'!$H$56*($U$56*0.5)+'LINEST VARS'!$G$56*($U$56*12.73)+'LINEST VARS'!$F$56*($B61*4)+'LINEST VARS'!$E$56*($B61*0.5)+'LINEST VARS'!$D$56*($B61*12.73)+'LINEST VARS'!$C$56*(4*0.5)+'LINEST VARS'!$B$56*(4*12.73)+'LINEST VARS'!$A$56*(0.5*12.73)</f>
        <v>2.8400000000000012</v>
      </c>
      <c r="V61" s="51">
        <f>'LINEST VARS'!$U$56+'LINEST VARS'!$T$56*($V$56)+'LINEST VARS'!$S$56*($B61)+'LINEST VARS'!$R$56*(4)+'LINEST VARS'!$Q$56*(0.5)+'LINEST VARS'!$P$56*(12.73)+'LINEST VARS'!$O$56*($V$56^2)+'LINEST VARS'!$N$56*($B61^2)+'LINEST VARS'!$M$56*(4^2)+'LINEST VARS'!$L$56*(0.5^2)+'LINEST VARS'!$K$56*(12.73^2)+'LINEST VARS'!$J$56*($V$56*$B61)+'LINEST VARS'!$I$56*($V$56*4)+'LINEST VARS'!$H$56*($V$56*0.5)+'LINEST VARS'!$G$56*($V$56*12.73)+'LINEST VARS'!$F$56*($B61*4)+'LINEST VARS'!$E$56*($B61*0.5)+'LINEST VARS'!$D$56*($B61*12.73)+'LINEST VARS'!$C$56*(4*0.5)+'LINEST VARS'!$B$56*(4*12.73)+'LINEST VARS'!$A$56*(0.5*12.73)</f>
        <v>2.8400000000000012</v>
      </c>
      <c r="W61" s="52">
        <f>'LINEST VARS'!$U$56+'LINEST VARS'!$T$56*($W$56)+'LINEST VARS'!$S$56*($B61)+'LINEST VARS'!$R$56*(4)+'LINEST VARS'!$Q$56*(0.5)+'LINEST VARS'!$P$56*(12.73)+'LINEST VARS'!$O$56*($W$56^2)+'LINEST VARS'!$N$56*($B61^2)+'LINEST VARS'!$M$56*(4^2)+'LINEST VARS'!$L$56*(0.5^2)+'LINEST VARS'!$K$56*(12.73^2)+'LINEST VARS'!$J$56*($W$56*$B61)+'LINEST VARS'!$I$56*($W$56*4)+'LINEST VARS'!$H$56*($W$56*0.5)+'LINEST VARS'!$G$56*($W$56*12.73)+'LINEST VARS'!$F$56*($B61*4)+'LINEST VARS'!$E$56*($B61*0.5)+'LINEST VARS'!$D$56*($B61*12.73)+'LINEST VARS'!$C$56*(4*0.5)+'LINEST VARS'!$B$56*(4*12.73)+'LINEST VARS'!$A$56*(0.5*12.73)</f>
        <v>2.8400000000000012</v>
      </c>
      <c r="Z61" s="45">
        <v>7.64</v>
      </c>
      <c r="AA61" s="51">
        <f>'LINEST VARS'!$U$58+'LINEST VARS'!$T$58*($AA$56)+'LINEST VARS'!$S$58*($Z61)+'LINEST VARS'!$R$58*(4)+'LINEST VARS'!$Q$58*(0.5)+'LINEST VARS'!$P$58*(12.73)+'LINEST VARS'!$O$58*($AA$56^2)+'LINEST VARS'!$N$58*($Z61^2)+'LINEST VARS'!$M$58*(4^2)+'LINEST VARS'!$L$58*(0.5^2)+'LINEST VARS'!$K$58*(12.73^2)+'LINEST VARS'!$J$58*($AA$56*$Z61)+'LINEST VARS'!$I$58*($AA$56*4)+'LINEST VARS'!$H$58*($AA$56*0.5)+'LINEST VARS'!$G$58*($AA$56*12.73)+'LINEST VARS'!$F$58*($Z61*4)+'LINEST VARS'!$E$58*($Z61*0.5)+'LINEST VARS'!$D$58*($Z61*12.73)+'LINEST VARS'!$C$58*(4*0.5)+'LINEST VARS'!$B$58*(4*12.73)+'LINEST VARS'!$A$58*(0.5*12.73)</f>
        <v>0.94365000000000032</v>
      </c>
      <c r="AB61" s="51">
        <f>'LINEST VARS'!$U$58+'LINEST VARS'!$T$58*($AB$56)+'LINEST VARS'!$S$58*($Z61)+'LINEST VARS'!$R$58*(4)+'LINEST VARS'!$Q$58*(0.5)+'LINEST VARS'!$P$58*(12.73)+'LINEST VARS'!$O$58*($AB$56^2)+'LINEST VARS'!$N$58*($Z61^2)+'LINEST VARS'!$M$58*(4^2)+'LINEST VARS'!$L$58*(0.5^2)+'LINEST VARS'!$K$58*(12.73^2)+'LINEST VARS'!$J$58*($AB$56*$Z61)+'LINEST VARS'!$I$58*($AB$56*4)+'LINEST VARS'!$H$58*($AB$56*0.5)+'LINEST VARS'!$G$58*($AB$56*12.73)+'LINEST VARS'!$F$58*($Z61*4)+'LINEST VARS'!$E$58*($Z61*0.5)+'LINEST VARS'!$D$58*($Z61*12.73)+'LINEST VARS'!$C$58*(4*0.5)+'LINEST VARS'!$B$58*(4*12.73)+'LINEST VARS'!$A$58*(0.5*12.73)</f>
        <v>0.94365000000000032</v>
      </c>
      <c r="AC61" s="51">
        <f>'LINEST VARS'!$U$58+'LINEST VARS'!$T$58*($AC$56)+'LINEST VARS'!$S$58*($Z61)+'LINEST VARS'!$R$58*(4)+'LINEST VARS'!$Q$58*(0.5)+'LINEST VARS'!$P$58*(12.73)+'LINEST VARS'!$O$58*($AC$56^2)+'LINEST VARS'!$N$58*($Z61^2)+'LINEST VARS'!$M$58*(4^2)+'LINEST VARS'!$L$58*(0.5^2)+'LINEST VARS'!$K$58*(12.73^2)+'LINEST VARS'!$J$58*($AC$56*$Z61)+'LINEST VARS'!$I$58*($AC$56*4)+'LINEST VARS'!$H$58*($AC$56*0.5)+'LINEST VARS'!$G$58*($AC$56*12.73)+'LINEST VARS'!$F$58*($Z61*4)+'LINEST VARS'!$E$58*($Z61*0.5)+'LINEST VARS'!$D$58*($Z61*12.73)+'LINEST VARS'!$C$58*(4*0.5)+'LINEST VARS'!$B$58*(4*12.73)+'LINEST VARS'!$A$58*(0.5*12.73)</f>
        <v>0.94365000000000032</v>
      </c>
      <c r="AD61" s="51">
        <f>'LINEST VARS'!$U$58+'LINEST VARS'!$T$58*($AD$56)+'LINEST VARS'!$S$58*($Z61)+'LINEST VARS'!$R$58*(4)+'LINEST VARS'!$Q$58*(0.5)+'LINEST VARS'!$P$58*(12.73)+'LINEST VARS'!$O$58*($AD$56^2)+'LINEST VARS'!$N$58*($Z61^2)+'LINEST VARS'!$M$58*(4^2)+'LINEST VARS'!$L$58*(0.5^2)+'LINEST VARS'!$K$58*(12.73^2)+'LINEST VARS'!$J$58*($AD$56*$Z61)+'LINEST VARS'!$I$58*($AD$56*4)+'LINEST VARS'!$H$58*($AD$56*0.5)+'LINEST VARS'!$G$58*($AD$56*12.73)+'LINEST VARS'!$F$58*($Z61*4)+'LINEST VARS'!$E$58*($Z61*0.5)+'LINEST VARS'!$D$58*($Z61*12.73)+'LINEST VARS'!$C$58*(4*0.5)+'LINEST VARS'!$B$58*(4*12.73)+'LINEST VARS'!$A$58*(0.5*12.73)</f>
        <v>0.94365000000000032</v>
      </c>
      <c r="AE61" s="51">
        <f>'LINEST VARS'!$U$58+'LINEST VARS'!$T$58*($AE$56)+'LINEST VARS'!$S$58*($Z61)+'LINEST VARS'!$R$58*(4)+'LINEST VARS'!$Q$58*(0.5)+'LINEST VARS'!$P$58*(12.73)+'LINEST VARS'!$O$58*($AE$56^2)+'LINEST VARS'!$N$58*($Z61^2)+'LINEST VARS'!$M$58*(4^2)+'LINEST VARS'!$L$58*(0.5^2)+'LINEST VARS'!$K$58*(12.73^2)+'LINEST VARS'!$J$58*($AE$56*$Z61)+'LINEST VARS'!$I$58*($AE$56*4)+'LINEST VARS'!$H$58*($AE$56*0.5)+'LINEST VARS'!$G$58*($AE$56*12.73)+'LINEST VARS'!$F$58*($Z61*4)+'LINEST VARS'!$E$58*($Z61*0.5)+'LINEST VARS'!$D$58*($Z61*12.73)+'LINEST VARS'!$C$58*(4*0.5)+'LINEST VARS'!$B$58*(4*12.73)+'LINEST VARS'!$A$58*(0.5*12.73)</f>
        <v>0.94365000000000032</v>
      </c>
      <c r="AF61" s="51">
        <f>'LINEST VARS'!$U$58+'LINEST VARS'!$T$58*($AF$56)+'LINEST VARS'!$S$58*($Z61)+'LINEST VARS'!$R$58*(4)+'LINEST VARS'!$Q$58*(0.5)+'LINEST VARS'!$P$58*(12.73)+'LINEST VARS'!$O$58*($AF$56^2)+'LINEST VARS'!$N$58*($Z61^2)+'LINEST VARS'!$M$58*(4^2)+'LINEST VARS'!$L$58*(0.5^2)+'LINEST VARS'!$K$58*(12.73^2)+'LINEST VARS'!$J$58*($AF$56*$Z61)+'LINEST VARS'!$I$58*($AF$56*4)+'LINEST VARS'!$H$58*($AF$56*0.5)+'LINEST VARS'!$G$58*($AF$56*12.73)+'LINEST VARS'!$F$58*($Z61*4)+'LINEST VARS'!$E$58*($Z61*0.5)+'LINEST VARS'!$D$58*($Z61*12.73)+'LINEST VARS'!$C$58*(4*0.5)+'LINEST VARS'!$B$58*(4*12.73)+'LINEST VARS'!$A$58*(0.5*12.73)</f>
        <v>0.94365000000000032</v>
      </c>
      <c r="AG61" s="51">
        <f>'LINEST VARS'!$U$58+'LINEST VARS'!$T$58*($AG$56)+'LINEST VARS'!$S$58*($Z61)+'LINEST VARS'!$R$58*(4)+'LINEST VARS'!$Q$58*(0.5)+'LINEST VARS'!$P$58*(12.73)+'LINEST VARS'!$O$58*($AG$56^2)+'LINEST VARS'!$N$58*($Z61^2)+'LINEST VARS'!$M$58*(4^2)+'LINEST VARS'!$L$58*(0.5^2)+'LINEST VARS'!$K$58*(12.73^2)+'LINEST VARS'!$J$58*($AG$56*$Z61)+'LINEST VARS'!$I$58*($AG$56*4)+'LINEST VARS'!$H$58*($AG$56*0.5)+'LINEST VARS'!$G$58*($AG$56*12.73)+'LINEST VARS'!$F$58*($Z61*4)+'LINEST VARS'!$E$58*($Z61*0.5)+'LINEST VARS'!$D$58*($Z61*12.73)+'LINEST VARS'!$C$58*(4*0.5)+'LINEST VARS'!$B$58*(4*12.73)+'LINEST VARS'!$A$58*(0.5*12.73)</f>
        <v>0.94365000000000043</v>
      </c>
      <c r="AH61" s="51">
        <f>'LINEST VARS'!$U$58+'LINEST VARS'!$T$58*($AH$56)+'LINEST VARS'!$S$58*($Z61)+'LINEST VARS'!$R$58*(4)+'LINEST VARS'!$Q$58*(0.5)+'LINEST VARS'!$P$58*(12.73)+'LINEST VARS'!$O$58*($AH$56^2)+'LINEST VARS'!$N$58*($Z61^2)+'LINEST VARS'!$M$58*(4^2)+'LINEST VARS'!$L$58*(0.5^2)+'LINEST VARS'!$K$58*(12.73^2)+'LINEST VARS'!$J$58*($AH$56*$Z61)+'LINEST VARS'!$I$58*($AH$56*4)+'LINEST VARS'!$H$58*($AH$56*0.5)+'LINEST VARS'!$G$58*($AH$56*12.73)+'LINEST VARS'!$F$58*($Z61*4)+'LINEST VARS'!$E$58*($Z61*0.5)+'LINEST VARS'!$D$58*($Z61*12.73)+'LINEST VARS'!$C$58*(4*0.5)+'LINEST VARS'!$B$58*(4*12.73)+'LINEST VARS'!$A$58*(0.5*12.73)</f>
        <v>0.94365000000000043</v>
      </c>
      <c r="AI61" s="51">
        <f>'LINEST VARS'!$U$58+'LINEST VARS'!$T$58*($AI$56)+'LINEST VARS'!$S$58*($Z61)+'LINEST VARS'!$R$58*(4)+'LINEST VARS'!$Q$58*(0.5)+'LINEST VARS'!$P$58*(12.73)+'LINEST VARS'!$O$58*($AI$56^2)+'LINEST VARS'!$N$58*($Z61^2)+'LINEST VARS'!$M$58*(4^2)+'LINEST VARS'!$L$58*(0.5^2)+'LINEST VARS'!$K$58*(12.73^2)+'LINEST VARS'!$J$58*($AI$56*$Z61)+'LINEST VARS'!$I$58*($AI$56*4)+'LINEST VARS'!$H$58*($AI$56*0.5)+'LINEST VARS'!$G$58*($AI$56*12.73)+'LINEST VARS'!$F$58*($Z61*4)+'LINEST VARS'!$E$58*($Z61*0.5)+'LINEST VARS'!$D$58*($Z61*12.73)+'LINEST VARS'!$C$58*(4*0.5)+'LINEST VARS'!$B$58*(4*12.73)+'LINEST VARS'!$A$58*(0.5*12.73)</f>
        <v>0.94365000000000032</v>
      </c>
      <c r="AJ61" s="51">
        <f>'LINEST VARS'!$U$58+'LINEST VARS'!$T$58*($AJ$56)+'LINEST VARS'!$S$58*($Z61)+'LINEST VARS'!$R$58*(4)+'LINEST VARS'!$Q$58*(0.5)+'LINEST VARS'!$P$58*(12.73)+'LINEST VARS'!$O$58*($AJ$56^2)+'LINEST VARS'!$N$58*($Z61^2)+'LINEST VARS'!$M$58*(4^2)+'LINEST VARS'!$L$58*(0.5^2)+'LINEST VARS'!$K$58*(12.73^2)+'LINEST VARS'!$J$58*($AJ$56*$Z61)+'LINEST VARS'!$I$58*($AJ$56*4)+'LINEST VARS'!$H$58*($AJ$56*0.5)+'LINEST VARS'!$G$58*($AJ$56*12.73)+'LINEST VARS'!$F$58*($Z61*4)+'LINEST VARS'!$E$58*($Z61*0.5)+'LINEST VARS'!$D$58*($Z61*12.73)+'LINEST VARS'!$C$58*(4*0.5)+'LINEST VARS'!$B$58*(4*12.73)+'LINEST VARS'!$A$58*(0.5*12.73)</f>
        <v>0.94365000000000032</v>
      </c>
      <c r="AK61" s="51">
        <f>'LINEST VARS'!$U$58+'LINEST VARS'!$T$58*($AK$56)+'LINEST VARS'!$S$58*($Z61)+'LINEST VARS'!$R$58*(4)+'LINEST VARS'!$Q$58*(0.5)+'LINEST VARS'!$P$58*(12.73)+'LINEST VARS'!$O$58*($AK$56^2)+'LINEST VARS'!$N$58*($Z61^2)+'LINEST VARS'!$M$58*(4^2)+'LINEST VARS'!$L$58*(0.5^2)+'LINEST VARS'!$K$58*(12.73^2)+'LINEST VARS'!$J$58*($AK$56*$Z61)+'LINEST VARS'!$I$58*($AK$56*4)+'LINEST VARS'!$H$58*($AK$56*0.5)+'LINEST VARS'!$G$58*($AK$56*12.73)+'LINEST VARS'!$F$58*($Z61*4)+'LINEST VARS'!$E$58*($Z61*0.5)+'LINEST VARS'!$D$58*($Z61*12.73)+'LINEST VARS'!$C$58*(4*0.5)+'LINEST VARS'!$B$58*(4*12.73)+'LINEST VARS'!$A$58*(0.5*12.73)</f>
        <v>0.94365000000000032</v>
      </c>
      <c r="AL61" s="51">
        <f>'LINEST VARS'!$U$58+'LINEST VARS'!$T$58*($AL$56)+'LINEST VARS'!$S$58*($Z61)+'LINEST VARS'!$R$58*(4)+'LINEST VARS'!$Q$58*(0.5)+'LINEST VARS'!$P$58*(12.73)+'LINEST VARS'!$O$58*($AL$56^2)+'LINEST VARS'!$N$58*($Z61^2)+'LINEST VARS'!$M$58*(4^2)+'LINEST VARS'!$L$58*(0.5^2)+'LINEST VARS'!$K$58*(12.73^2)+'LINEST VARS'!$J$58*($AL$56*$Z61)+'LINEST VARS'!$I$58*($AL$56*4)+'LINEST VARS'!$H$58*($AL$56*0.5)+'LINEST VARS'!$G$58*($AL$56*12.73)+'LINEST VARS'!$F$58*($Z61*4)+'LINEST VARS'!$E$58*($Z61*0.5)+'LINEST VARS'!$D$58*($Z61*12.73)+'LINEST VARS'!$C$58*(4*0.5)+'LINEST VARS'!$B$58*(4*12.73)+'LINEST VARS'!$A$58*(0.5*12.73)</f>
        <v>0.94365000000000032</v>
      </c>
      <c r="AM61" s="51">
        <f>'LINEST VARS'!$U$58+'LINEST VARS'!$T$58*($AM$56)+'LINEST VARS'!$S$58*($Z61)+'LINEST VARS'!$R$58*(4)+'LINEST VARS'!$Q$58*(0.5)+'LINEST VARS'!$P$58*(12.73)+'LINEST VARS'!$O$58*($AM$56^2)+'LINEST VARS'!$N$58*($Z61^2)+'LINEST VARS'!$M$58*(4^2)+'LINEST VARS'!$L$58*(0.5^2)+'LINEST VARS'!$K$58*(12.73^2)+'LINEST VARS'!$J$58*($AM$56*$Z61)+'LINEST VARS'!$I$58*($AM$56*4)+'LINEST VARS'!$H$58*($AM$56*0.5)+'LINEST VARS'!$G$58*($AM$56*12.73)+'LINEST VARS'!$F$58*($Z61*4)+'LINEST VARS'!$E$58*($Z61*0.5)+'LINEST VARS'!$D$58*($Z61*12.73)+'LINEST VARS'!$C$58*(4*0.5)+'LINEST VARS'!$B$58*(4*12.73)+'LINEST VARS'!$A$58*(0.5*12.73)</f>
        <v>0.94365000000000021</v>
      </c>
      <c r="AN61" s="51">
        <f>'LINEST VARS'!$U$58+'LINEST VARS'!$T$58*($AN$56)+'LINEST VARS'!$S$58*($Z61)+'LINEST VARS'!$R$58*(4)+'LINEST VARS'!$Q$58*(0.5)+'LINEST VARS'!$P$58*(12.73)+'LINEST VARS'!$O$58*($AN$56^2)+'LINEST VARS'!$N$58*($Z61^2)+'LINEST VARS'!$M$58*(4^2)+'LINEST VARS'!$L$58*(0.5^2)+'LINEST VARS'!$K$58*(12.73^2)+'LINEST VARS'!$J$58*($AN$56*$Z61)+'LINEST VARS'!$I$58*($AN$56*4)+'LINEST VARS'!$H$58*($AN$56*0.5)+'LINEST VARS'!$G$58*($AN$56*12.73)+'LINEST VARS'!$F$58*($Z61*4)+'LINEST VARS'!$E$58*($Z61*0.5)+'LINEST VARS'!$D$58*($Z61*12.73)+'LINEST VARS'!$C$58*(4*0.5)+'LINEST VARS'!$B$58*(4*12.73)+'LINEST VARS'!$A$58*(0.5*12.73)</f>
        <v>0.94365000000000021</v>
      </c>
      <c r="AO61" s="51">
        <f>'LINEST VARS'!$U$58+'LINEST VARS'!$T$58*($AO$56)+'LINEST VARS'!$S$58*($Z61)+'LINEST VARS'!$R$58*(4)+'LINEST VARS'!$Q$58*(0.5)+'LINEST VARS'!$P$58*(12.73)+'LINEST VARS'!$O$58*($AO$56^2)+'LINEST VARS'!$N$58*($Z61^2)+'LINEST VARS'!$M$58*(4^2)+'LINEST VARS'!$L$58*(0.5^2)+'LINEST VARS'!$K$58*(12.73^2)+'LINEST VARS'!$J$58*($AO$56*$Z61)+'LINEST VARS'!$I$58*($AO$56*4)+'LINEST VARS'!$H$58*($AO$56*0.5)+'LINEST VARS'!$G$58*($AO$56*12.73)+'LINEST VARS'!$F$58*($Z61*4)+'LINEST VARS'!$E$58*($Z61*0.5)+'LINEST VARS'!$D$58*($Z61*12.73)+'LINEST VARS'!$C$58*(4*0.5)+'LINEST VARS'!$B$58*(4*12.73)+'LINEST VARS'!$A$58*(0.5*12.73)</f>
        <v>0.94365000000000021</v>
      </c>
      <c r="AP61" s="51">
        <f>'LINEST VARS'!$U$58+'LINEST VARS'!$T$58*($AP$56)+'LINEST VARS'!$S$58*($Z61)+'LINEST VARS'!$R$58*(4)+'LINEST VARS'!$Q$58*(0.5)+'LINEST VARS'!$P$58*(12.73)+'LINEST VARS'!$O$58*($AP$56^2)+'LINEST VARS'!$N$58*($Z61^2)+'LINEST VARS'!$M$58*(4^2)+'LINEST VARS'!$L$58*(0.5^2)+'LINEST VARS'!$K$58*(12.73^2)+'LINEST VARS'!$J$58*($AP$56*$Z61)+'LINEST VARS'!$I$58*($AP$56*4)+'LINEST VARS'!$H$58*($AP$56*0.5)+'LINEST VARS'!$G$58*($AP$56*12.73)+'LINEST VARS'!$F$58*($Z61*4)+'LINEST VARS'!$E$58*($Z61*0.5)+'LINEST VARS'!$D$58*($Z61*12.73)+'LINEST VARS'!$C$58*(4*0.5)+'LINEST VARS'!$B$58*(4*12.73)+'LINEST VARS'!$A$58*(0.5*12.73)</f>
        <v>0.94365000000000021</v>
      </c>
      <c r="AQ61" s="51">
        <f>'LINEST VARS'!$U$58+'LINEST VARS'!$T$58*($AQ$56)+'LINEST VARS'!$S$58*($Z61)+'LINEST VARS'!$R$58*(4)+'LINEST VARS'!$Q$58*(0.5)+'LINEST VARS'!$P$58*(12.73)+'LINEST VARS'!$O$58*($AQ$56^2)+'LINEST VARS'!$N$58*($Z61^2)+'LINEST VARS'!$M$58*(4^2)+'LINEST VARS'!$L$58*(0.5^2)+'LINEST VARS'!$K$58*(12.73^2)+'LINEST VARS'!$J$58*($AQ$56*$Z61)+'LINEST VARS'!$I$58*($AQ$56*4)+'LINEST VARS'!$H$58*($AQ$56*0.5)+'LINEST VARS'!$G$58*($AQ$56*12.73)+'LINEST VARS'!$F$58*($Z61*4)+'LINEST VARS'!$E$58*($Z61*0.5)+'LINEST VARS'!$D$58*($Z61*12.73)+'LINEST VARS'!$C$58*(4*0.5)+'LINEST VARS'!$B$58*(4*12.73)+'LINEST VARS'!$A$58*(0.5*12.73)</f>
        <v>0.94365000000000032</v>
      </c>
      <c r="AR61" s="51">
        <f>'LINEST VARS'!$U$58+'LINEST VARS'!$T$58*($AR$56)+'LINEST VARS'!$S$58*($Z61)+'LINEST VARS'!$R$58*(4)+'LINEST VARS'!$Q$58*(0.5)+'LINEST VARS'!$P$58*(12.73)+'LINEST VARS'!$O$58*($AR$56^2)+'LINEST VARS'!$N$58*($Z61^2)+'LINEST VARS'!$M$58*(4^2)+'LINEST VARS'!$L$58*(0.5^2)+'LINEST VARS'!$K$58*(12.73^2)+'LINEST VARS'!$J$58*($AR$56*$Z61)+'LINEST VARS'!$I$58*($AR$56*4)+'LINEST VARS'!$H$58*($AR$56*0.5)+'LINEST VARS'!$G$58*($AR$56*12.73)+'LINEST VARS'!$F$58*($Z61*4)+'LINEST VARS'!$E$58*($Z61*0.5)+'LINEST VARS'!$D$58*($Z61*12.73)+'LINEST VARS'!$C$58*(4*0.5)+'LINEST VARS'!$B$58*(4*12.73)+'LINEST VARS'!$A$58*(0.5*12.73)</f>
        <v>0.94365000000000032</v>
      </c>
      <c r="AS61" s="51">
        <f>'LINEST VARS'!$U$58+'LINEST VARS'!$T$58*($AS$56)+'LINEST VARS'!$S$58*($Z61)+'LINEST VARS'!$R$58*(4)+'LINEST VARS'!$Q$58*(0.5)+'LINEST VARS'!$P$58*(12.73)+'LINEST VARS'!$O$58*($AS$56^2)+'LINEST VARS'!$N$58*($Z61^2)+'LINEST VARS'!$M$58*(4^2)+'LINEST VARS'!$L$58*(0.5^2)+'LINEST VARS'!$K$58*(12.73^2)+'LINEST VARS'!$J$58*($AS$56*$Z61)+'LINEST VARS'!$I$58*($AS$56*4)+'LINEST VARS'!$H$58*($AS$56*0.5)+'LINEST VARS'!$G$58*($AS$56*12.73)+'LINEST VARS'!$F$58*($Z61*4)+'LINEST VARS'!$E$58*($Z61*0.5)+'LINEST VARS'!$D$58*($Z61*12.73)+'LINEST VARS'!$C$58*(4*0.5)+'LINEST VARS'!$B$58*(4*12.73)+'LINEST VARS'!$A$58*(0.5*12.73)</f>
        <v>0.94365000000000032</v>
      </c>
      <c r="AT61" s="51">
        <f>'LINEST VARS'!$U$58+'LINEST VARS'!$T$58*($AT$56)+'LINEST VARS'!$S$58*($Z61)+'LINEST VARS'!$R$58*(4)+'LINEST VARS'!$Q$58*(0.5)+'LINEST VARS'!$P$58*(12.73)+'LINEST VARS'!$O$58*($AT$56^2)+'LINEST VARS'!$N$58*($Z61^2)+'LINEST VARS'!$M$58*(4^2)+'LINEST VARS'!$L$58*(0.5^2)+'LINEST VARS'!$K$58*(12.73^2)+'LINEST VARS'!$J$58*($AT$56*$Z61)+'LINEST VARS'!$I$58*($AT$56*4)+'LINEST VARS'!$H$58*($AT$56*0.5)+'LINEST VARS'!$G$58*($AT$56*12.73)+'LINEST VARS'!$F$58*($Z61*4)+'LINEST VARS'!$E$58*($Z61*0.5)+'LINEST VARS'!$D$58*($Z61*12.73)+'LINEST VARS'!$C$58*(4*0.5)+'LINEST VARS'!$B$58*(4*12.73)+'LINEST VARS'!$A$58*(0.5*12.73)</f>
        <v>0.94365000000000032</v>
      </c>
      <c r="AU61" s="52">
        <f>'LINEST VARS'!$U$58+'LINEST VARS'!$T$58*($AU$56)+'LINEST VARS'!$S$58*($Z61)+'LINEST VARS'!$R$58*(4)+'LINEST VARS'!$Q$58*(0.5)+'LINEST VARS'!$P$58*(12.73)+'LINEST VARS'!$O$58*($AU$56^2)+'LINEST VARS'!$N$58*($Z61^2)+'LINEST VARS'!$M$58*(4^2)+'LINEST VARS'!$L$58*(0.5^2)+'LINEST VARS'!$K$58*(12.73^2)+'LINEST VARS'!$J$58*($AU$56*$Z61)+'LINEST VARS'!$I$58*($AU$56*4)+'LINEST VARS'!$H$58*($AU$56*0.5)+'LINEST VARS'!$G$58*($AU$56*12.73)+'LINEST VARS'!$F$58*($Z61*4)+'LINEST VARS'!$E$58*($Z61*0.5)+'LINEST VARS'!$D$58*($Z61*12.73)+'LINEST VARS'!$C$58*(4*0.5)+'LINEST VARS'!$B$58*(4*12.73)+'LINEST VARS'!$A$58*(0.5*12.73)</f>
        <v>0.94365000000000021</v>
      </c>
      <c r="AZ61" s="45">
        <v>0.2</v>
      </c>
      <c r="BA61" s="51">
        <f>'LINEST VARS'!$U$56+'LINEST VARS'!$T$56*(8)+'LINEST VARS'!$S$56*(8)+'LINEST VARS'!$R$56*($BA$56)+'LINEST VARS'!$Q$56*($AZ61)+'LINEST VARS'!$P$56*(12.73)+'LINEST VARS'!$O$56*(8^2)+'LINEST VARS'!$N$56*(8^2)+'LINEST VARS'!$M$56*($BA$56^2)+'LINEST VARS'!$L$56*($AZ61^2)+'LINEST VARS'!$K$56*(12.73^2)+'LINEST VARS'!$J$56*(8*8)+'LINEST VARS'!$I$56*(8*$BA$56)+'LINEST VARS'!$H$56*(8*$AZ61)+'LINEST VARS'!$G$56*(8*12.73)+'LINEST VARS'!$F$56*(8*$BA$56)+'LINEST VARS'!$E$56*(8*$AZ61)+'LINEST VARS'!$D$56*(8*12.73)+'LINEST VARS'!$C$56*($BA$56*$AZ61)+'LINEST VARS'!$B$56*($BA$56*12.73)+'LINEST VARS'!$A$56*($AZ61*12.73)</f>
        <v>2.8000000000000012</v>
      </c>
      <c r="BB61" s="51">
        <f>'LINEST VARS'!$U$56+'LINEST VARS'!$T$56*(8)+'LINEST VARS'!$S$56*(8)+'LINEST VARS'!$R$56*($BB$56)+'LINEST VARS'!$Q$56*($AZ61)+'LINEST VARS'!$P$56*(12.73)+'LINEST VARS'!$O$56*(8^2)+'LINEST VARS'!$N$56*(8^2)+'LINEST VARS'!$M$56*($BB$56^2)+'LINEST VARS'!$L$56*($AZ61^2)+'LINEST VARS'!$K$56*(12.73^2)+'LINEST VARS'!$J$56*(8*8)+'LINEST VARS'!$I$56*(8*$BB$56)+'LINEST VARS'!$H$56*(8*$AZ61)+'LINEST VARS'!$G$56*(8*12.73)+'LINEST VARS'!$F$56*(8*$BB$56)+'LINEST VARS'!$E$56*(8*$AZ61)+'LINEST VARS'!$D$56*(8*12.73)+'LINEST VARS'!$C$56*($BB$56*$AZ61)+'LINEST VARS'!$B$56*($BB$56*12.73)+'LINEST VARS'!$A$56*($AZ61*12.73)</f>
        <v>2.8184000000000013</v>
      </c>
      <c r="BC61" s="51">
        <f>'LINEST VARS'!$U$56+'LINEST VARS'!$T$56*(8)+'LINEST VARS'!$S$56*(8)+'LINEST VARS'!$R$56*($BC$56)+'LINEST VARS'!$Q$56*($AZ61)+'LINEST VARS'!$P$56*(12.73)+'LINEST VARS'!$O$56*(8^2)+'LINEST VARS'!$N$56*(8^2)+'LINEST VARS'!$M$56*($BC$56^2)+'LINEST VARS'!$L$56*($AZ61^2)+'LINEST VARS'!$K$56*(12.73^2)+'LINEST VARS'!$J$56*(8*8)+'LINEST VARS'!$I$56*(8*$BC$56)+'LINEST VARS'!$H$56*(8*$AZ61)+'LINEST VARS'!$G$56*(8*12.73)+'LINEST VARS'!$F$56*(8*$BC$56)+'LINEST VARS'!$E$56*(8*$AZ61)+'LINEST VARS'!$D$56*(8*12.73)+'LINEST VARS'!$C$56*($BC$56*$AZ61)+'LINEST VARS'!$B$56*($BC$56*12.73)+'LINEST VARS'!$A$56*($AZ61*12.73)</f>
        <v>2.833600000000001</v>
      </c>
      <c r="BD61" s="51">
        <f>'LINEST VARS'!$U$56+'LINEST VARS'!$T$56*(8)+'LINEST VARS'!$S$56*(8)+'LINEST VARS'!$R$56*($BD$56)+'LINEST VARS'!$Q$56*($AZ61)+'LINEST VARS'!$P$56*(12.73)+'LINEST VARS'!$O$56*(8^2)+'LINEST VARS'!$N$56*(8^2)+'LINEST VARS'!$M$56*($BD$56^2)+'LINEST VARS'!$L$56*($AZ61^2)+'LINEST VARS'!$K$56*(12.73^2)+'LINEST VARS'!$J$56*(8*8)+'LINEST VARS'!$I$56*(8*$BD$56)+'LINEST VARS'!$H$56*(8*$AZ61)+'LINEST VARS'!$G$56*(8*12.73)+'LINEST VARS'!$F$56*(8*$BD$56)+'LINEST VARS'!$E$56*(8*$AZ61)+'LINEST VARS'!$D$56*(8*12.73)+'LINEST VARS'!$C$56*($BD$56*$AZ61)+'LINEST VARS'!$B$56*($BD$56*12.73)+'LINEST VARS'!$A$56*($AZ61*12.73)</f>
        <v>2.845600000000001</v>
      </c>
      <c r="BE61" s="51">
        <f>'LINEST VARS'!$U$56+'LINEST VARS'!$T$56*(8)+'LINEST VARS'!$S$56*(8)+'LINEST VARS'!$R$56*($BE$56)+'LINEST VARS'!$Q$56*($AZ61)+'LINEST VARS'!$P$56*(12.73)+'LINEST VARS'!$O$56*(8^2)+'LINEST VARS'!$N$56*(8^2)+'LINEST VARS'!$M$56*($BE$56^2)+'LINEST VARS'!$L$56*($AZ61^2)+'LINEST VARS'!$K$56*(12.73^2)+'LINEST VARS'!$J$56*(8*8)+'LINEST VARS'!$I$56*(8*$BE$56)+'LINEST VARS'!$H$56*(8*$AZ61)+'LINEST VARS'!$G$56*(8*12.73)+'LINEST VARS'!$F$56*(8*$BE$56)+'LINEST VARS'!$E$56*(8*$AZ61)+'LINEST VARS'!$D$56*(8*12.73)+'LINEST VARS'!$C$56*($BE$56*$AZ61)+'LINEST VARS'!$B$56*($BE$56*12.73)+'LINEST VARS'!$A$56*($AZ61*12.73)</f>
        <v>2.8544000000000014</v>
      </c>
      <c r="BF61" s="51">
        <f>'LINEST VARS'!$U$56+'LINEST VARS'!$T$56*(8)+'LINEST VARS'!$S$56*(8)+'LINEST VARS'!$R$56*($BF$56)+'LINEST VARS'!$Q$56*($AZ61)+'LINEST VARS'!$P$56*(12.73)+'LINEST VARS'!$O$56*(8^2)+'LINEST VARS'!$N$56*(8^2)+'LINEST VARS'!$M$56*($BF$56^2)+'LINEST VARS'!$L$56*($AZ61^2)+'LINEST VARS'!$K$56*(12.73^2)+'LINEST VARS'!$J$56*(8*8)+'LINEST VARS'!$I$56*(8*$BF$56)+'LINEST VARS'!$H$56*(8*$AZ61)+'LINEST VARS'!$G$56*(8*12.73)+'LINEST VARS'!$F$56*(8*$BF$56)+'LINEST VARS'!$E$56*(8*$AZ61)+'LINEST VARS'!$D$56*(8*12.73)+'LINEST VARS'!$C$56*($BF$56*$AZ61)+'LINEST VARS'!$B$56*($BF$56*12.73)+'LINEST VARS'!$A$56*($AZ61*12.73)</f>
        <v>2.8600000000000012</v>
      </c>
      <c r="BG61" s="51">
        <f>'LINEST VARS'!$U$56+'LINEST VARS'!$T$56*(8)+'LINEST VARS'!$S$56*(8)+'LINEST VARS'!$R$56*($BG$56)+'LINEST VARS'!$Q$56*($AZ61)+'LINEST VARS'!$P$56*(12.73)+'LINEST VARS'!$O$56*(8^2)+'LINEST VARS'!$N$56*(8^2)+'LINEST VARS'!$M$56*($BG$56^2)+'LINEST VARS'!$L$56*($AZ61^2)+'LINEST VARS'!$K$56*(12.73^2)+'LINEST VARS'!$J$56*(8*8)+'LINEST VARS'!$I$56*(8*$BG$56)+'LINEST VARS'!$H$56*(8*$AZ61)+'LINEST VARS'!$G$56*(8*12.73)+'LINEST VARS'!$F$56*(8*$BG$56)+'LINEST VARS'!$E$56*(8*$AZ61)+'LINEST VARS'!$D$56*(8*12.73)+'LINEST VARS'!$C$56*($BG$56*$AZ61)+'LINEST VARS'!$B$56*($BG$56*12.73)+'LINEST VARS'!$A$56*($AZ61*12.73)</f>
        <v>2.8624000000000014</v>
      </c>
      <c r="BH61" s="51">
        <f>'LINEST VARS'!$U$56+'LINEST VARS'!$T$56*(8)+'LINEST VARS'!$S$56*(8)+'LINEST VARS'!$R$56*($BH$56)+'LINEST VARS'!$Q$56*($AZ61)+'LINEST VARS'!$P$56*(12.73)+'LINEST VARS'!$O$56*(8^2)+'LINEST VARS'!$N$56*(8^2)+'LINEST VARS'!$M$56*($BH$56^2)+'LINEST VARS'!$L$56*($AZ61^2)+'LINEST VARS'!$K$56*(12.73^2)+'LINEST VARS'!$J$56*(8*8)+'LINEST VARS'!$I$56*(8*$BH$56)+'LINEST VARS'!$H$56*(8*$AZ61)+'LINEST VARS'!$G$56*(8*12.73)+'LINEST VARS'!$F$56*(8*$BH$56)+'LINEST VARS'!$E$56*(8*$AZ61)+'LINEST VARS'!$D$56*(8*12.73)+'LINEST VARS'!$C$56*($BH$56*$AZ61)+'LINEST VARS'!$B$56*($BH$56*12.73)+'LINEST VARS'!$A$56*($AZ61*12.73)</f>
        <v>2.861600000000001</v>
      </c>
      <c r="BI61" s="51">
        <f>'LINEST VARS'!$U$56+'LINEST VARS'!$T$56*(8)+'LINEST VARS'!$S$56*(8)+'LINEST VARS'!$R$56*($BI$56)+'LINEST VARS'!$Q$56*($AZ61)+'LINEST VARS'!$P$56*(12.73)+'LINEST VARS'!$O$56*(8^2)+'LINEST VARS'!$N$56*(8^2)+'LINEST VARS'!$M$56*($BI$56^2)+'LINEST VARS'!$L$56*($AZ61^2)+'LINEST VARS'!$K$56*(12.73^2)+'LINEST VARS'!$J$56*(8*8)+'LINEST VARS'!$I$56*(8*$BI$56)+'LINEST VARS'!$H$56*(8*$AZ61)+'LINEST VARS'!$G$56*(8*12.73)+'LINEST VARS'!$F$56*(8*$BI$56)+'LINEST VARS'!$E$56*(8*$AZ61)+'LINEST VARS'!$D$56*(8*12.73)+'LINEST VARS'!$C$56*($BI$56*$AZ61)+'LINEST VARS'!$B$56*($BI$56*12.73)+'LINEST VARS'!$A$56*($AZ61*12.73)</f>
        <v>2.857600000000001</v>
      </c>
      <c r="BJ61" s="51">
        <f>'LINEST VARS'!$U$56+'LINEST VARS'!$T$56*(8)+'LINEST VARS'!$S$56*(8)+'LINEST VARS'!$R$56*($BJ$56)+'LINEST VARS'!$Q$56*($AZ61)+'LINEST VARS'!$P$56*(12.73)+'LINEST VARS'!$O$56*(8^2)+'LINEST VARS'!$N$56*(8^2)+'LINEST VARS'!$M$56*($BJ$56^2)+'LINEST VARS'!$L$56*($AZ61^2)+'LINEST VARS'!$K$56*(12.73^2)+'LINEST VARS'!$J$56*(8*8)+'LINEST VARS'!$I$56*(8*$BJ$56)+'LINEST VARS'!$H$56*(8*$AZ61)+'LINEST VARS'!$G$56*(8*12.73)+'LINEST VARS'!$F$56*(8*$BJ$56)+'LINEST VARS'!$E$56*(8*$AZ61)+'LINEST VARS'!$D$56*(8*12.73)+'LINEST VARS'!$C$56*($BJ$56*$AZ61)+'LINEST VARS'!$B$56*($BJ$56*12.73)+'LINEST VARS'!$A$56*($AZ61*12.73)</f>
        <v>2.8504000000000014</v>
      </c>
      <c r="BK61" s="51">
        <f>'LINEST VARS'!$U$56+'LINEST VARS'!$T$56*(8)+'LINEST VARS'!$S$56*(8)+'LINEST VARS'!$R$56*($BK$56)+'LINEST VARS'!$Q$56*($AZ61)+'LINEST VARS'!$P$56*(12.73)+'LINEST VARS'!$O$56*(8^2)+'LINEST VARS'!$N$56*(8^2)+'LINEST VARS'!$M$56*($BK$56^2)+'LINEST VARS'!$L$56*($AZ61^2)+'LINEST VARS'!$K$56*(12.73^2)+'LINEST VARS'!$J$56*(8*8)+'LINEST VARS'!$I$56*(8*$BK$56)+'LINEST VARS'!$H$56*(8*$AZ61)+'LINEST VARS'!$G$56*(8*12.73)+'LINEST VARS'!$F$56*(8*$BK$56)+'LINEST VARS'!$E$56*(8*$AZ61)+'LINEST VARS'!$D$56*(8*12.73)+'LINEST VARS'!$C$56*($BK$56*$AZ61)+'LINEST VARS'!$B$56*($BK$56*12.73)+'LINEST VARS'!$A$56*($AZ61*12.73)</f>
        <v>2.8400000000000012</v>
      </c>
      <c r="BL61" s="51">
        <f>'LINEST VARS'!$U$56+'LINEST VARS'!$T$56*(8)+'LINEST VARS'!$S$56*(8)+'LINEST VARS'!$R$56*($BL$56)+'LINEST VARS'!$Q$56*($AZ61)+'LINEST VARS'!$P$56*(12.73)+'LINEST VARS'!$O$56*(8^2)+'LINEST VARS'!$N$56*(8^2)+'LINEST VARS'!$M$56*($BL$56^2)+'LINEST VARS'!$L$56*($AZ61^2)+'LINEST VARS'!$K$56*(12.73^2)+'LINEST VARS'!$J$56*(8*8)+'LINEST VARS'!$I$56*(8*$BL$56)+'LINEST VARS'!$H$56*(8*$AZ61)+'LINEST VARS'!$G$56*(8*12.73)+'LINEST VARS'!$F$56*(8*$BL$56)+'LINEST VARS'!$E$56*(8*$AZ61)+'LINEST VARS'!$D$56*(8*12.73)+'LINEST VARS'!$C$56*($BL$56*$AZ61)+'LINEST VARS'!$B$56*($BL$56*12.73)+'LINEST VARS'!$A$56*($AZ61*12.73)</f>
        <v>2.8264000000000014</v>
      </c>
      <c r="BM61" s="51">
        <f>'LINEST VARS'!$U$56+'LINEST VARS'!$T$56*(8)+'LINEST VARS'!$S$56*(8)+'LINEST VARS'!$R$56*($BM$56)+'LINEST VARS'!$Q$56*($AZ61)+'LINEST VARS'!$P$56*(12.73)+'LINEST VARS'!$O$56*(8^2)+'LINEST VARS'!$N$56*(8^2)+'LINEST VARS'!$M$56*($BM$56^2)+'LINEST VARS'!$L$56*($AZ61^2)+'LINEST VARS'!$K$56*(12.73^2)+'LINEST VARS'!$J$56*(8*8)+'LINEST VARS'!$I$56*(8*$BM$56)+'LINEST VARS'!$H$56*(8*$AZ61)+'LINEST VARS'!$G$56*(8*12.73)+'LINEST VARS'!$F$56*(8*$BM$56)+'LINEST VARS'!$E$56*(8*$AZ61)+'LINEST VARS'!$D$56*(8*12.73)+'LINEST VARS'!$C$56*($BM$56*$AZ61)+'LINEST VARS'!$B$56*($BM$56*12.73)+'LINEST VARS'!$A$56*($AZ61*12.73)</f>
        <v>2.809600000000001</v>
      </c>
      <c r="BN61" s="51">
        <f>'LINEST VARS'!$U$56+'LINEST VARS'!$T$56*(8)+'LINEST VARS'!$S$56*(8)+'LINEST VARS'!$R$56*($BN$56)+'LINEST VARS'!$Q$56*($AZ61)+'LINEST VARS'!$P$56*(12.73)+'LINEST VARS'!$O$56*(8^2)+'LINEST VARS'!$N$56*(8^2)+'LINEST VARS'!$M$56*($BN$56^2)+'LINEST VARS'!$L$56*($AZ61^2)+'LINEST VARS'!$K$56*(12.73^2)+'LINEST VARS'!$J$56*(8*8)+'LINEST VARS'!$I$56*(8*$BN$56)+'LINEST VARS'!$H$56*(8*$AZ61)+'LINEST VARS'!$G$56*(8*12.73)+'LINEST VARS'!$F$56*(8*$BN$56)+'LINEST VARS'!$E$56*(8*$AZ61)+'LINEST VARS'!$D$56*(8*12.73)+'LINEST VARS'!$C$56*($BN$56*$AZ61)+'LINEST VARS'!$B$56*($BN$56*12.73)+'LINEST VARS'!$A$56*($AZ61*12.73)</f>
        <v>2.789600000000001</v>
      </c>
      <c r="BO61" s="51">
        <f>'LINEST VARS'!$U$56+'LINEST VARS'!$T$56*(8)+'LINEST VARS'!$S$56*(8)+'LINEST VARS'!$R$56*($BO$56)+'LINEST VARS'!$Q$56*($AZ61)+'LINEST VARS'!$P$56*(12.73)+'LINEST VARS'!$O$56*(8^2)+'LINEST VARS'!$N$56*(8^2)+'LINEST VARS'!$M$56*($BO$56^2)+'LINEST VARS'!$L$56*($AZ61^2)+'LINEST VARS'!$K$56*(12.73^2)+'LINEST VARS'!$J$56*(8*8)+'LINEST VARS'!$I$56*(8*$BO$56)+'LINEST VARS'!$H$56*(8*$AZ61)+'LINEST VARS'!$G$56*(8*12.73)+'LINEST VARS'!$F$56*(8*$BO$56)+'LINEST VARS'!$E$56*(8*$AZ61)+'LINEST VARS'!$D$56*(8*12.73)+'LINEST VARS'!$C$56*($BO$56*$AZ61)+'LINEST VARS'!$B$56*($BO$56*12.73)+'LINEST VARS'!$A$56*($AZ61*12.73)</f>
        <v>2.7664000000000013</v>
      </c>
      <c r="BP61" s="51">
        <f>'LINEST VARS'!$U$56+'LINEST VARS'!$T$56*(8)+'LINEST VARS'!$S$56*(8)+'LINEST VARS'!$R$56*($BP$56)+'LINEST VARS'!$Q$56*($AZ61)+'LINEST VARS'!$P$56*(12.73)+'LINEST VARS'!$O$56*(8^2)+'LINEST VARS'!$N$56*(8^2)+'LINEST VARS'!$M$56*($BP$56^2)+'LINEST VARS'!$L$56*($AZ61^2)+'LINEST VARS'!$K$56*(12.73^2)+'LINEST VARS'!$J$56*(8*8)+'LINEST VARS'!$I$56*(8*$BP$56)+'LINEST VARS'!$H$56*(8*$AZ61)+'LINEST VARS'!$G$56*(8*12.73)+'LINEST VARS'!$F$56*(8*$BP$56)+'LINEST VARS'!$E$56*(8*$AZ61)+'LINEST VARS'!$D$56*(8*12.73)+'LINEST VARS'!$C$56*($BP$56*$AZ61)+'LINEST VARS'!$B$56*($BP$56*12.73)+'LINEST VARS'!$A$56*($AZ61*12.73)</f>
        <v>2.7400000000000011</v>
      </c>
      <c r="BQ61" s="51">
        <f>'LINEST VARS'!$U$56+'LINEST VARS'!$T$56*(8)+'LINEST VARS'!$S$56*(8)+'LINEST VARS'!$R$56*($BQ$56)+'LINEST VARS'!$Q$56*($AZ61)+'LINEST VARS'!$P$56*(12.73)+'LINEST VARS'!$O$56*(8^2)+'LINEST VARS'!$N$56*(8^2)+'LINEST VARS'!$M$56*($BQ$56^2)+'LINEST VARS'!$L$56*($AZ61^2)+'LINEST VARS'!$K$56*(12.73^2)+'LINEST VARS'!$J$56*(8*8)+'LINEST VARS'!$I$56*(8*$BQ$56)+'LINEST VARS'!$H$56*(8*$AZ61)+'LINEST VARS'!$G$56*(8*12.73)+'LINEST VARS'!$F$56*(8*$BQ$56)+'LINEST VARS'!$E$56*(8*$AZ61)+'LINEST VARS'!$D$56*(8*12.73)+'LINEST VARS'!$C$56*($BQ$56*$AZ61)+'LINEST VARS'!$B$56*($BQ$56*12.73)+'LINEST VARS'!$A$56*($AZ61*12.73)</f>
        <v>2.7104000000000008</v>
      </c>
      <c r="BR61" s="51">
        <f>'LINEST VARS'!$U$56+'LINEST VARS'!$T$56*(8)+'LINEST VARS'!$S$56*(8)+'LINEST VARS'!$R$56*($BR$56)+'LINEST VARS'!$Q$56*($AZ61)+'LINEST VARS'!$P$56*(12.73)+'LINEST VARS'!$O$56*(8^2)+'LINEST VARS'!$N$56*(8^2)+'LINEST VARS'!$M$56*($BR$56^2)+'LINEST VARS'!$L$56*($AZ61^2)+'LINEST VARS'!$K$56*(12.73^2)+'LINEST VARS'!$J$56*(8*8)+'LINEST VARS'!$I$56*(8*$BR$56)+'LINEST VARS'!$H$56*(8*$AZ61)+'LINEST VARS'!$G$56*(8*12.73)+'LINEST VARS'!$F$56*(8*$BR$56)+'LINEST VARS'!$E$56*(8*$AZ61)+'LINEST VARS'!$D$56*(8*12.73)+'LINEST VARS'!$C$56*($BR$56*$AZ61)+'LINEST VARS'!$B$56*($BR$56*12.73)+'LINEST VARS'!$A$56*($AZ61*12.73)</f>
        <v>2.6776000000000013</v>
      </c>
      <c r="BS61" s="51">
        <f>'LINEST VARS'!$U$56+'LINEST VARS'!$T$56*(8)+'LINEST VARS'!$S$56*(8)+'LINEST VARS'!$R$56*($BS$56)+'LINEST VARS'!$Q$56*($AZ61)+'LINEST VARS'!$P$56*(12.73)+'LINEST VARS'!$O$56*(8^2)+'LINEST VARS'!$N$56*(8^2)+'LINEST VARS'!$M$56*($BS$56^2)+'LINEST VARS'!$L$56*($AZ61^2)+'LINEST VARS'!$K$56*(12.73^2)+'LINEST VARS'!$J$56*(8*8)+'LINEST VARS'!$I$56*(8*$BS$56)+'LINEST VARS'!$H$56*(8*$AZ61)+'LINEST VARS'!$G$56*(8*12.73)+'LINEST VARS'!$F$56*(8*$BS$56)+'LINEST VARS'!$E$56*(8*$AZ61)+'LINEST VARS'!$D$56*(8*12.73)+'LINEST VARS'!$C$56*($BS$56*$AZ61)+'LINEST VARS'!$B$56*($BS$56*12.73)+'LINEST VARS'!$A$56*($AZ61*12.73)</f>
        <v>2.6416000000000008</v>
      </c>
      <c r="BT61" s="51">
        <f>'LINEST VARS'!$U$56+'LINEST VARS'!$T$56*(8)+'LINEST VARS'!$S$56*(8)+'LINEST VARS'!$R$56*($BT$56)+'LINEST VARS'!$Q$56*($AZ61)+'LINEST VARS'!$P$56*(12.73)+'LINEST VARS'!$O$56*(8^2)+'LINEST VARS'!$N$56*(8^2)+'LINEST VARS'!$M$56*($BT$56^2)+'LINEST VARS'!$L$56*($AZ61^2)+'LINEST VARS'!$K$56*(12.73^2)+'LINEST VARS'!$J$56*(8*8)+'LINEST VARS'!$I$56*(8*$BT$56)+'LINEST VARS'!$H$56*(8*$AZ61)+'LINEST VARS'!$G$56*(8*12.73)+'LINEST VARS'!$F$56*(8*$BT$56)+'LINEST VARS'!$E$56*(8*$AZ61)+'LINEST VARS'!$D$56*(8*12.73)+'LINEST VARS'!$C$56*($BT$56*$AZ61)+'LINEST VARS'!$B$56*($BT$56*12.73)+'LINEST VARS'!$A$56*($AZ61*12.73)</f>
        <v>2.6024000000000012</v>
      </c>
      <c r="BU61" s="52">
        <f>'LINEST VARS'!$U$56+'LINEST VARS'!$T$56*(8)+'LINEST VARS'!$S$56*(8)+'LINEST VARS'!$R$56*($BU$56)+'LINEST VARS'!$Q$56*($AZ61)+'LINEST VARS'!$P$56*(12.73)+'LINEST VARS'!$O$56*(8^2)+'LINEST VARS'!$N$56*(8^2)+'LINEST VARS'!$M$56*($BU$56^2)+'LINEST VARS'!$L$56*($AZ61^2)+'LINEST VARS'!$K$56*(12.73^2)+'LINEST VARS'!$J$56*(8*8)+'LINEST VARS'!$I$56*(8*$BU$56)+'LINEST VARS'!$H$56*(8*$AZ61)+'LINEST VARS'!$G$56*(8*12.73)+'LINEST VARS'!$F$56*(8*$BU$56)+'LINEST VARS'!$E$56*(8*$AZ61)+'LINEST VARS'!$D$56*(8*12.73)+'LINEST VARS'!$C$56*($BU$56*$AZ61)+'LINEST VARS'!$B$56*($BU$56*12.73)+'LINEST VARS'!$A$56*($AZ61*12.73)</f>
        <v>2.5600000000000009</v>
      </c>
      <c r="BX61" s="45">
        <v>0.2</v>
      </c>
      <c r="BY61" s="51">
        <f>'LINEST VARS'!$U$58+'LINEST VARS'!$T$58*(8)+'LINEST VARS'!$S$58*(8)+'LINEST VARS'!$R$58*($BY$56)+'LINEST VARS'!$Q$58*($BX61)+'LINEST VARS'!$P$58*(12.73)+'LINEST VARS'!$O$58*(8^2)+'LINEST VARS'!$N$58*(8^2)+'LINEST VARS'!$M$58*($BY$56^2)+'LINEST VARS'!$L$58*($BX61^2)+'LINEST VARS'!$K$58*(12.73^2)+'LINEST VARS'!$J$58*(8*8)+'LINEST VARS'!$I$58*(8*$BY$56)+'LINEST VARS'!$H$58*(8*$BX61)+'LINEST VARS'!$G$58*(8*12.73)+'LINEST VARS'!$F$58*(8*$BY$56)+'LINEST VARS'!$E$58*(8*$BX61)+'LINEST VARS'!$D$58*(8*12.73)+'LINEST VARS'!$C$58*($BY$56*$BX61)+'LINEST VARS'!$B$58*($BY$56*12.73)+'LINEST VARS'!$A$58*($BX61*12.73)</f>
        <v>0.86365000000000036</v>
      </c>
      <c r="BZ61" s="51">
        <f>'LINEST VARS'!$U$58+'LINEST VARS'!$T$58*(8)+'LINEST VARS'!$S$58*(8)+'LINEST VARS'!$R$58*($BZ$56)+'LINEST VARS'!$Q$58*($BX61)+'LINEST VARS'!$P$58*(12.73)+'LINEST VARS'!$O$58*(8^2)+'LINEST VARS'!$N$58*(8^2)+'LINEST VARS'!$M$58*($BZ$56^2)+'LINEST VARS'!$L$58*($BX61^2)+'LINEST VARS'!$K$58*(12.73^2)+'LINEST VARS'!$J$58*(8*8)+'LINEST VARS'!$I$58*(8*$BZ$56)+'LINEST VARS'!$H$58*(8*$BX61)+'LINEST VARS'!$G$58*(8*12.73)+'LINEST VARS'!$F$58*(8*$BZ$56)+'LINEST VARS'!$E$58*(8*$BX61)+'LINEST VARS'!$D$58*(8*12.73)+'LINEST VARS'!$C$58*($BZ$56*$BX61)+'LINEST VARS'!$B$58*($BZ$56*12.73)+'LINEST VARS'!$A$58*($BX61*12.73)</f>
        <v>0.87165000000000037</v>
      </c>
      <c r="CA61" s="51">
        <f>'LINEST VARS'!$U$58+'LINEST VARS'!$T$58*(8)+'LINEST VARS'!$S$58*(8)+'LINEST VARS'!$R$58*($CA$56)+'LINEST VARS'!$Q$58*($BX61)+'LINEST VARS'!$P$58*(12.73)+'LINEST VARS'!$O$58*(8^2)+'LINEST VARS'!$N$58*(8^2)+'LINEST VARS'!$M$58*($CA$56^2)+'LINEST VARS'!$L$58*($BX61^2)+'LINEST VARS'!$K$58*(12.73^2)+'LINEST VARS'!$J$58*(8*8)+'LINEST VARS'!$I$58*(8*$CA$56)+'LINEST VARS'!$H$58*(8*$BX61)+'LINEST VARS'!$G$58*(8*12.73)+'LINEST VARS'!$F$58*(8*$CA$56)+'LINEST VARS'!$E$58*(8*$BX61)+'LINEST VARS'!$D$58*(8*12.73)+'LINEST VARS'!$C$58*($CA$56*$BX61)+'LINEST VARS'!$B$58*($CA$56*12.73)+'LINEST VARS'!$A$58*($BX61*12.73)</f>
        <v>0.87965000000000027</v>
      </c>
      <c r="CB61" s="51">
        <f>'LINEST VARS'!$U$58+'LINEST VARS'!$T$58*(8)+'LINEST VARS'!$S$58*(8)+'LINEST VARS'!$R$58*($CB$56)+'LINEST VARS'!$Q$58*($BX61)+'LINEST VARS'!$P$58*(12.73)+'LINEST VARS'!$O$58*(8^2)+'LINEST VARS'!$N$58*(8^2)+'LINEST VARS'!$M$58*($CB$56^2)+'LINEST VARS'!$L$58*($BX61^2)+'LINEST VARS'!$K$58*(12.73^2)+'LINEST VARS'!$J$58*(8*8)+'LINEST VARS'!$I$58*(8*$CB$56)+'LINEST VARS'!$H$58*(8*$BX61)+'LINEST VARS'!$G$58*(8*12.73)+'LINEST VARS'!$F$58*(8*$CB$56)+'LINEST VARS'!$E$58*(8*$BX61)+'LINEST VARS'!$D$58*(8*12.73)+'LINEST VARS'!$C$58*($CB$56*$BX61)+'LINEST VARS'!$B$58*($CB$56*12.73)+'LINEST VARS'!$A$58*($BX61*12.73)</f>
        <v>0.88765000000000027</v>
      </c>
      <c r="CC61" s="51">
        <f>'LINEST VARS'!$U$58+'LINEST VARS'!$T$58*(8)+'LINEST VARS'!$S$58*(8)+'LINEST VARS'!$R$58*($CC$56)+'LINEST VARS'!$Q$58*($BX61)+'LINEST VARS'!$P$58*(12.73)+'LINEST VARS'!$O$58*(8^2)+'LINEST VARS'!$N$58*(8^2)+'LINEST VARS'!$M$58*($CC$56^2)+'LINEST VARS'!$L$58*($BX61^2)+'LINEST VARS'!$K$58*(12.73^2)+'LINEST VARS'!$J$58*(8*8)+'LINEST VARS'!$I$58*(8*$CC$56)+'LINEST VARS'!$H$58*(8*$BX61)+'LINEST VARS'!$G$58*(8*12.73)+'LINEST VARS'!$F$58*(8*$CC$56)+'LINEST VARS'!$E$58*(8*$BX61)+'LINEST VARS'!$D$58*(8*12.73)+'LINEST VARS'!$C$58*($CC$56*$BX61)+'LINEST VARS'!$B$58*($CC$56*12.73)+'LINEST VARS'!$A$58*($BX61*12.73)</f>
        <v>0.89565000000000017</v>
      </c>
      <c r="CD61" s="51">
        <f>'LINEST VARS'!$U$58+'LINEST VARS'!$T$58*(8)+'LINEST VARS'!$S$58*(8)+'LINEST VARS'!$R$58*($CD$56)+'LINEST VARS'!$Q$58*($BX61)+'LINEST VARS'!$P$58*(12.73)+'LINEST VARS'!$O$58*(8^2)+'LINEST VARS'!$N$58*(8^2)+'LINEST VARS'!$M$58*($CD$56^2)+'LINEST VARS'!$L$58*($BX61^2)+'LINEST VARS'!$K$58*(12.73^2)+'LINEST VARS'!$J$58*(8*8)+'LINEST VARS'!$I$58*(8*$CD$56)+'LINEST VARS'!$H$58*(8*$BX61)+'LINEST VARS'!$G$58*(8*12.73)+'LINEST VARS'!$F$58*(8*$CD$56)+'LINEST VARS'!$E$58*(8*$BX61)+'LINEST VARS'!$D$58*(8*12.73)+'LINEST VARS'!$C$58*($CD$56*$BX61)+'LINEST VARS'!$B$58*($CD$56*12.73)+'LINEST VARS'!$A$58*($BX61*12.73)</f>
        <v>0.90365000000000029</v>
      </c>
      <c r="CE61" s="51">
        <f>'LINEST VARS'!$U$58+'LINEST VARS'!$T$58*(8)+'LINEST VARS'!$S$58*(8)+'LINEST VARS'!$R$58*($CE$56)+'LINEST VARS'!$Q$58*($BX61)+'LINEST VARS'!$P$58*(12.73)+'LINEST VARS'!$O$58*(8^2)+'LINEST VARS'!$N$58*(8^2)+'LINEST VARS'!$M$58*($CE$56^2)+'LINEST VARS'!$L$58*($BX61^2)+'LINEST VARS'!$K$58*(12.73^2)+'LINEST VARS'!$J$58*(8*8)+'LINEST VARS'!$I$58*(8*$CE$56)+'LINEST VARS'!$H$58*(8*$BX61)+'LINEST VARS'!$G$58*(8*12.73)+'LINEST VARS'!$F$58*(8*$CE$56)+'LINEST VARS'!$E$58*(8*$BX61)+'LINEST VARS'!$D$58*(8*12.73)+'LINEST VARS'!$C$58*($CE$56*$BX61)+'LINEST VARS'!$B$58*($CE$56*12.73)+'LINEST VARS'!$A$58*($BX61*12.73)</f>
        <v>0.91165000000000029</v>
      </c>
      <c r="CF61" s="51">
        <f>'LINEST VARS'!$U$58+'LINEST VARS'!$T$58*(8)+'LINEST VARS'!$S$58*(8)+'LINEST VARS'!$R$58*($CF$56)+'LINEST VARS'!$Q$58*($BX61)+'LINEST VARS'!$P$58*(12.73)+'LINEST VARS'!$O$58*(8^2)+'LINEST VARS'!$N$58*(8^2)+'LINEST VARS'!$M$58*($CF$56^2)+'LINEST VARS'!$L$58*($BX61^2)+'LINEST VARS'!$K$58*(12.73^2)+'LINEST VARS'!$J$58*(8*8)+'LINEST VARS'!$I$58*(8*$CF$56)+'LINEST VARS'!$H$58*(8*$BX61)+'LINEST VARS'!$G$58*(8*12.73)+'LINEST VARS'!$F$58*(8*$CF$56)+'LINEST VARS'!$E$58*(8*$BX61)+'LINEST VARS'!$D$58*(8*12.73)+'LINEST VARS'!$C$58*($CF$56*$BX61)+'LINEST VARS'!$B$58*($CF$56*12.73)+'LINEST VARS'!$A$58*($BX61*12.73)</f>
        <v>0.9196500000000003</v>
      </c>
      <c r="CG61" s="51">
        <f>'LINEST VARS'!$U$58+'LINEST VARS'!$T$58*(8)+'LINEST VARS'!$S$58*(8)+'LINEST VARS'!$R$58*($CG$56)+'LINEST VARS'!$Q$58*($BX61)+'LINEST VARS'!$P$58*(12.73)+'LINEST VARS'!$O$58*(8^2)+'LINEST VARS'!$N$58*(8^2)+'LINEST VARS'!$M$58*($CG$56^2)+'LINEST VARS'!$L$58*($BX61^2)+'LINEST VARS'!$K$58*(12.73^2)+'LINEST VARS'!$J$58*(8*8)+'LINEST VARS'!$I$58*(8*$CG$56)+'LINEST VARS'!$H$58*(8*$BX61)+'LINEST VARS'!$G$58*(8*12.73)+'LINEST VARS'!$F$58*(8*$CG$56)+'LINEST VARS'!$E$58*(8*$BX61)+'LINEST VARS'!$D$58*(8*12.73)+'LINEST VARS'!$C$58*($CG$56*$BX61)+'LINEST VARS'!$B$58*($CG$56*12.73)+'LINEST VARS'!$A$58*($BX61*12.73)</f>
        <v>0.92765000000000042</v>
      </c>
      <c r="CH61" s="51">
        <f>'LINEST VARS'!$U$58+'LINEST VARS'!$T$58*(8)+'LINEST VARS'!$S$58*(8)+'LINEST VARS'!$R$58*($CH$56)+'LINEST VARS'!$Q$58*($BX61)+'LINEST VARS'!$P$58*(12.73)+'LINEST VARS'!$O$58*(8^2)+'LINEST VARS'!$N$58*(8^2)+'LINEST VARS'!$M$58*($CH$56^2)+'LINEST VARS'!$L$58*($BX61^2)+'LINEST VARS'!$K$58*(12.73^2)+'LINEST VARS'!$J$58*(8*8)+'LINEST VARS'!$I$58*(8*$CH$56)+'LINEST VARS'!$H$58*(8*$BX61)+'LINEST VARS'!$G$58*(8*12.73)+'LINEST VARS'!$F$58*(8*$CH$56)+'LINEST VARS'!$E$58*(8*$BX61)+'LINEST VARS'!$D$58*(8*12.73)+'LINEST VARS'!$C$58*($CH$56*$BX61)+'LINEST VARS'!$B$58*($CH$56*12.73)+'LINEST VARS'!$A$58*($BX61*12.73)</f>
        <v>0.93565000000000031</v>
      </c>
      <c r="CI61" s="51">
        <f>'LINEST VARS'!$U$58+'LINEST VARS'!$T$58*(8)+'LINEST VARS'!$S$58*(8)+'LINEST VARS'!$R$58*($CI$56)+'LINEST VARS'!$Q$58*($BX61)+'LINEST VARS'!$P$58*(12.73)+'LINEST VARS'!$O$58*(8^2)+'LINEST VARS'!$N$58*(8^2)+'LINEST VARS'!$M$58*($CI$56^2)+'LINEST VARS'!$L$58*($BX61^2)+'LINEST VARS'!$K$58*(12.73^2)+'LINEST VARS'!$J$58*(8*8)+'LINEST VARS'!$I$58*(8*$CI$56)+'LINEST VARS'!$H$58*(8*$BX61)+'LINEST VARS'!$G$58*(8*12.73)+'LINEST VARS'!$F$58*(8*$CI$56)+'LINEST VARS'!$E$58*(8*$BX61)+'LINEST VARS'!$D$58*(8*12.73)+'LINEST VARS'!$C$58*($CI$56*$BX61)+'LINEST VARS'!$B$58*($CI$56*12.73)+'LINEST VARS'!$A$58*($BX61*12.73)</f>
        <v>0.94365000000000032</v>
      </c>
      <c r="CJ61" s="51">
        <f>'LINEST VARS'!$U$58+'LINEST VARS'!$T$58*(8)+'LINEST VARS'!$S$58*(8)+'LINEST VARS'!$R$58*($CJ$56)+'LINEST VARS'!$Q$58*($BX61)+'LINEST VARS'!$P$58*(12.73)+'LINEST VARS'!$O$58*(8^2)+'LINEST VARS'!$N$58*(8^2)+'LINEST VARS'!$M$58*($CJ$56^2)+'LINEST VARS'!$L$58*($BX61^2)+'LINEST VARS'!$K$58*(12.73^2)+'LINEST VARS'!$J$58*(8*8)+'LINEST VARS'!$I$58*(8*$CJ$56)+'LINEST VARS'!$H$58*(8*$BX61)+'LINEST VARS'!$G$58*(8*12.73)+'LINEST VARS'!$F$58*(8*$CJ$56)+'LINEST VARS'!$E$58*(8*$BX61)+'LINEST VARS'!$D$58*(8*12.73)+'LINEST VARS'!$C$58*($CJ$56*$BX61)+'LINEST VARS'!$B$58*($CJ$56*12.73)+'LINEST VARS'!$A$58*($BX61*12.73)</f>
        <v>0.95165000000000022</v>
      </c>
      <c r="CK61" s="51">
        <f>'LINEST VARS'!$U$58+'LINEST VARS'!$T$58*(8)+'LINEST VARS'!$S$58*(8)+'LINEST VARS'!$R$58*($CK$56)+'LINEST VARS'!$Q$58*($BX61)+'LINEST VARS'!$P$58*(12.73)+'LINEST VARS'!$O$58*(8^2)+'LINEST VARS'!$N$58*(8^2)+'LINEST VARS'!$M$58*($CK$56^2)+'LINEST VARS'!$L$58*($BX61^2)+'LINEST VARS'!$K$58*(12.73^2)+'LINEST VARS'!$J$58*(8*8)+'LINEST VARS'!$I$58*(8*$CK$56)+'LINEST VARS'!$H$58*(8*$BX61)+'LINEST VARS'!$G$58*(8*12.73)+'LINEST VARS'!$F$58*(8*$CK$56)+'LINEST VARS'!$E$58*(8*$BX61)+'LINEST VARS'!$D$58*(8*12.73)+'LINEST VARS'!$C$58*($CK$56*$BX61)+'LINEST VARS'!$B$58*($CK$56*12.73)+'LINEST VARS'!$A$58*($BX61*12.73)</f>
        <v>0.95965000000000023</v>
      </c>
      <c r="CL61" s="51">
        <f>'LINEST VARS'!$U$58+'LINEST VARS'!$T$58*(8)+'LINEST VARS'!$S$58*(8)+'LINEST VARS'!$R$58*($CL$56)+'LINEST VARS'!$Q$58*($BX61)+'LINEST VARS'!$P$58*(12.73)+'LINEST VARS'!$O$58*(8^2)+'LINEST VARS'!$N$58*(8^2)+'LINEST VARS'!$M$58*($CL$56^2)+'LINEST VARS'!$L$58*($BX61^2)+'LINEST VARS'!$K$58*(12.73^2)+'LINEST VARS'!$J$58*(8*8)+'LINEST VARS'!$I$58*(8*$CL$56)+'LINEST VARS'!$H$58*(8*$BX61)+'LINEST VARS'!$G$58*(8*12.73)+'LINEST VARS'!$F$58*(8*$CL$56)+'LINEST VARS'!$E$58*(8*$BX61)+'LINEST VARS'!$D$58*(8*12.73)+'LINEST VARS'!$C$58*($CL$56*$BX61)+'LINEST VARS'!$B$58*($CL$56*12.73)+'LINEST VARS'!$A$58*($BX61*12.73)</f>
        <v>0.96765000000000012</v>
      </c>
      <c r="CM61" s="51">
        <f>'LINEST VARS'!$U$58+'LINEST VARS'!$T$58*(8)+'LINEST VARS'!$S$58*(8)+'LINEST VARS'!$R$58*($CM$56)+'LINEST VARS'!$Q$58*($BX61)+'LINEST VARS'!$P$58*(12.73)+'LINEST VARS'!$O$58*(8^2)+'LINEST VARS'!$N$58*(8^2)+'LINEST VARS'!$M$58*($CM$56^2)+'LINEST VARS'!$L$58*($BX61^2)+'LINEST VARS'!$K$58*(12.73^2)+'LINEST VARS'!$J$58*(8*8)+'LINEST VARS'!$I$58*(8*$CM$56)+'LINEST VARS'!$H$58*(8*$BX61)+'LINEST VARS'!$G$58*(8*12.73)+'LINEST VARS'!$F$58*(8*$CM$56)+'LINEST VARS'!$E$58*(8*$BX61)+'LINEST VARS'!$D$58*(8*12.73)+'LINEST VARS'!$C$58*($CM$56*$BX61)+'LINEST VARS'!$B$58*($CM$56*12.73)+'LINEST VARS'!$A$58*($BX61*12.73)</f>
        <v>0.97565000000000024</v>
      </c>
      <c r="CN61" s="51">
        <f>'LINEST VARS'!$U$58+'LINEST VARS'!$T$58*(8)+'LINEST VARS'!$S$58*(8)+'LINEST VARS'!$R$58*($CN$56)+'LINEST VARS'!$Q$58*($BX61)+'LINEST VARS'!$P$58*(12.73)+'LINEST VARS'!$O$58*(8^2)+'LINEST VARS'!$N$58*(8^2)+'LINEST VARS'!$M$58*($CN$56^2)+'LINEST VARS'!$L$58*($BX61^2)+'LINEST VARS'!$K$58*(12.73^2)+'LINEST VARS'!$J$58*(8*8)+'LINEST VARS'!$I$58*(8*$CN$56)+'LINEST VARS'!$H$58*(8*$BX61)+'LINEST VARS'!$G$58*(8*12.73)+'LINEST VARS'!$F$58*(8*$CN$56)+'LINEST VARS'!$E$58*(8*$BX61)+'LINEST VARS'!$D$58*(8*12.73)+'LINEST VARS'!$C$58*($CN$56*$BX61)+'LINEST VARS'!$B$58*($CN$56*12.73)+'LINEST VARS'!$A$58*($BX61*12.73)</f>
        <v>0.98365000000000025</v>
      </c>
      <c r="CO61" s="51">
        <f>'LINEST VARS'!$U$58+'LINEST VARS'!$T$58*(8)+'LINEST VARS'!$S$58*(8)+'LINEST VARS'!$R$58*($CO$56)+'LINEST VARS'!$Q$58*($BX61)+'LINEST VARS'!$P$58*(12.73)+'LINEST VARS'!$O$58*(8^2)+'LINEST VARS'!$N$58*(8^2)+'LINEST VARS'!$M$58*($CO$56^2)+'LINEST VARS'!$L$58*($BX61^2)+'LINEST VARS'!$K$58*(12.73^2)+'LINEST VARS'!$J$58*(8*8)+'LINEST VARS'!$I$58*(8*$CO$56)+'LINEST VARS'!$H$58*(8*$BX61)+'LINEST VARS'!$G$58*(8*12.73)+'LINEST VARS'!$F$58*(8*$CO$56)+'LINEST VARS'!$E$58*(8*$BX61)+'LINEST VARS'!$D$58*(8*12.73)+'LINEST VARS'!$C$58*($CO$56*$BX61)+'LINEST VARS'!$B$58*($CO$56*12.73)+'LINEST VARS'!$A$58*($BX61*12.73)</f>
        <v>0.99165000000000036</v>
      </c>
      <c r="CP61" s="51">
        <f>'LINEST VARS'!$U$58+'LINEST VARS'!$T$58*(8)+'LINEST VARS'!$S$58*(8)+'LINEST VARS'!$R$58*($CP$56)+'LINEST VARS'!$Q$58*($BX61)+'LINEST VARS'!$P$58*(12.73)+'LINEST VARS'!$O$58*(8^2)+'LINEST VARS'!$N$58*(8^2)+'LINEST VARS'!$M$58*($CP$56^2)+'LINEST VARS'!$L$58*($BX61^2)+'LINEST VARS'!$K$58*(12.73^2)+'LINEST VARS'!$J$58*(8*8)+'LINEST VARS'!$I$58*(8*$CP$56)+'LINEST VARS'!$H$58*(8*$BX61)+'LINEST VARS'!$G$58*(8*12.73)+'LINEST VARS'!$F$58*(8*$CP$56)+'LINEST VARS'!$E$58*(8*$BX61)+'LINEST VARS'!$D$58*(8*12.73)+'LINEST VARS'!$C$58*($CP$56*$BX61)+'LINEST VARS'!$B$58*($CP$56*12.73)+'LINEST VARS'!$A$58*($BX61*12.73)</f>
        <v>0.99965000000000037</v>
      </c>
      <c r="CQ61" s="51">
        <f>'LINEST VARS'!$U$58+'LINEST VARS'!$T$58*(8)+'LINEST VARS'!$S$58*(8)+'LINEST VARS'!$R$58*($CQ$56)+'LINEST VARS'!$Q$58*($BX61)+'LINEST VARS'!$P$58*(12.73)+'LINEST VARS'!$O$58*(8^2)+'LINEST VARS'!$N$58*(8^2)+'LINEST VARS'!$M$58*($CQ$56^2)+'LINEST VARS'!$L$58*($BX61^2)+'LINEST VARS'!$K$58*(12.73^2)+'LINEST VARS'!$J$58*(8*8)+'LINEST VARS'!$I$58*(8*$CQ$56)+'LINEST VARS'!$H$58*(8*$BX61)+'LINEST VARS'!$G$58*(8*12.73)+'LINEST VARS'!$F$58*(8*$CQ$56)+'LINEST VARS'!$E$58*(8*$BX61)+'LINEST VARS'!$D$58*(8*12.73)+'LINEST VARS'!$C$58*($CQ$56*$BX61)+'LINEST VARS'!$B$58*($CQ$56*12.73)+'LINEST VARS'!$A$58*($BX61*12.73)</f>
        <v>1.0076500000000002</v>
      </c>
      <c r="CR61" s="51">
        <f>'LINEST VARS'!$U$58+'LINEST VARS'!$T$58*(8)+'LINEST VARS'!$S$58*(8)+'LINEST VARS'!$R$58*($CR$56)+'LINEST VARS'!$Q$58*($BX61)+'LINEST VARS'!$P$58*(12.73)+'LINEST VARS'!$O$58*(8^2)+'LINEST VARS'!$N$58*(8^2)+'LINEST VARS'!$M$58*($CR$56^2)+'LINEST VARS'!$L$58*($BX61^2)+'LINEST VARS'!$K$58*(12.73^2)+'LINEST VARS'!$J$58*(8*8)+'LINEST VARS'!$I$58*(8*$CR$56)+'LINEST VARS'!$H$58*(8*$BX61)+'LINEST VARS'!$G$58*(8*12.73)+'LINEST VARS'!$F$58*(8*$CR$56)+'LINEST VARS'!$E$58*(8*$BX61)+'LINEST VARS'!$D$58*(8*12.73)+'LINEST VARS'!$C$58*($CR$56*$BX61)+'LINEST VARS'!$B$58*($CR$56*12.73)+'LINEST VARS'!$A$58*($BX61*12.73)</f>
        <v>1.0156499999999999</v>
      </c>
      <c r="CS61" s="52">
        <f>'LINEST VARS'!$U$58+'LINEST VARS'!$T$58*(8)+'LINEST VARS'!$S$58*(8)+'LINEST VARS'!$R$58*($CS$56)+'LINEST VARS'!$Q$58*($BX61)+'LINEST VARS'!$P$58*(12.73)+'LINEST VARS'!$O$58*(8^2)+'LINEST VARS'!$N$58*(8^2)+'LINEST VARS'!$M$58*($CS$56^2)+'LINEST VARS'!$L$58*($BX61^2)+'LINEST VARS'!$K$58*(12.73^2)+'LINEST VARS'!$J$58*(8*8)+'LINEST VARS'!$I$58*(8*$CS$56)+'LINEST VARS'!$H$58*(8*$BX61)+'LINEST VARS'!$G$58*(8*12.73)+'LINEST VARS'!$F$58*(8*$CS$56)+'LINEST VARS'!$E$58*(8*$BX61)+'LINEST VARS'!$D$58*(8*12.73)+'LINEST VARS'!$C$58*($CS$56*$BX61)+'LINEST VARS'!$B$58*($CS$56*12.73)+'LINEST VARS'!$A$58*($BX61*12.73)</f>
        <v>1.0236500000000002</v>
      </c>
      <c r="CX61" s="45">
        <v>5.1980000000000004</v>
      </c>
      <c r="CY61" s="51">
        <f>'LINEST VARS'!$U$56+'LINEST VARS'!$T$56*(8)+'LINEST VARS'!$S$56*(8)+'LINEST VARS'!$R$56*($CY$56)+'LINEST VARS'!$Q$56*(0.5)+'LINEST VARS'!$P$56*($CX61)+'LINEST VARS'!$O$56*(8^2)+'LINEST VARS'!$N$56*(8^2)+'LINEST VARS'!$M$56*($CY$56^2)+'LINEST VARS'!$L$56*(0.5^2)+'LINEST VARS'!$K$56*($CX61^2)+'LINEST VARS'!$J$56*(8*8)+'LINEST VARS'!$I$56*(8*$CY$56)+'LINEST VARS'!$H$56*(8*0.5)+'LINEST VARS'!$G$56*(8*$CX61)+'LINEST VARS'!$F$56*(8*$CY$56)+'LINEST VARS'!$E$56*(8*0.5)+'LINEST VARS'!$D$56*(8*$CX61)+'LINEST VARS'!$C$56*($CY$56*0.5)+'LINEST VARS'!$B$56*($CY$56*$CX61)+'LINEST VARS'!$A$56*(0.5*$CX61)</f>
        <v>2.8000000000000007</v>
      </c>
      <c r="CZ61" s="51">
        <f>'LINEST VARS'!$U$56+'LINEST VARS'!$T$56*(8)+'LINEST VARS'!$S$56*(8)+'LINEST VARS'!$R$56*($CZ$56)+'LINEST VARS'!$Q$56*(0.5)+'LINEST VARS'!$P$56*($CX61)+'LINEST VARS'!$O$56*(8^2)+'LINEST VARS'!$N$56*(8^2)+'LINEST VARS'!$M$56*($CZ$56^2)+'LINEST VARS'!$L$56*(0.5^2)+'LINEST VARS'!$K$56*($CX61^2)+'LINEST VARS'!$J$56*(8*8)+'LINEST VARS'!$I$56*(8*$CZ$56)+'LINEST VARS'!$H$56*(8*0.5)+'LINEST VARS'!$G$56*(8*$CX61)+'LINEST VARS'!$F$56*(8*$CZ$56)+'LINEST VARS'!$E$56*(8*0.5)+'LINEST VARS'!$D$56*(8*$CX61)+'LINEST VARS'!$C$56*($CZ$56*0.5)+'LINEST VARS'!$B$56*($CZ$56*$CX61)+'LINEST VARS'!$A$56*(0.5*$CX61)</f>
        <v>2.8184000000000009</v>
      </c>
      <c r="DA61" s="51">
        <f>'LINEST VARS'!$U$56+'LINEST VARS'!$T$56*(8)+'LINEST VARS'!$S$56*(8)+'LINEST VARS'!$R$56*($DA$56)+'LINEST VARS'!$Q$56*(0.5)+'LINEST VARS'!$P$56*($CX61)+'LINEST VARS'!$O$56*(8^2)+'LINEST VARS'!$N$56*(8^2)+'LINEST VARS'!$M$56*($DA$56^2)+'LINEST VARS'!$L$56*(0.5^2)+'LINEST VARS'!$K$56*($CX61^2)+'LINEST VARS'!$J$56*(8*8)+'LINEST VARS'!$I$56*(8*$DA$56)+'LINEST VARS'!$H$56*(8*0.5)+'LINEST VARS'!$G$56*(8*$CX61)+'LINEST VARS'!$F$56*(8*$DA$56)+'LINEST VARS'!$E$56*(8*0.5)+'LINEST VARS'!$D$56*(8*$CX61)+'LINEST VARS'!$C$56*($DA$56*0.5)+'LINEST VARS'!$B$56*($DA$56*$CX61)+'LINEST VARS'!$A$56*(0.5*$CX61)</f>
        <v>2.8336000000000006</v>
      </c>
      <c r="DB61" s="51">
        <f>'LINEST VARS'!$U$56+'LINEST VARS'!$T$56*(8)+'LINEST VARS'!$S$56*(8)+'LINEST VARS'!$R$56*($DB$56)+'LINEST VARS'!$Q$56*(0.5)+'LINEST VARS'!$P$56*($CX61)+'LINEST VARS'!$O$56*(8^2)+'LINEST VARS'!$N$56*(8^2)+'LINEST VARS'!$M$56*($DB$56^2)+'LINEST VARS'!$L$56*(0.5^2)+'LINEST VARS'!$K$56*($CX61^2)+'LINEST VARS'!$J$56*(8*8)+'LINEST VARS'!$I$56*(8*$DB$56)+'LINEST VARS'!$H$56*(8*0.5)+'LINEST VARS'!$G$56*(8*$CX61)+'LINEST VARS'!$F$56*(8*$DB$56)+'LINEST VARS'!$E$56*(8*0.5)+'LINEST VARS'!$D$56*(8*$CX61)+'LINEST VARS'!$C$56*($DB$56*0.5)+'LINEST VARS'!$B$56*($DB$56*$CX61)+'LINEST VARS'!$A$56*(0.5*$CX61)</f>
        <v>2.8456000000000006</v>
      </c>
      <c r="DC61" s="51">
        <f>'LINEST VARS'!$U$56+'LINEST VARS'!$T$56*(8)+'LINEST VARS'!$S$56*(8)+'LINEST VARS'!$R$56*($DC$56)+'LINEST VARS'!$Q$56*(0.5)+'LINEST VARS'!$P$56*($CX61)+'LINEST VARS'!$O$56*(8^2)+'LINEST VARS'!$N$56*(8^2)+'LINEST VARS'!$M$56*($DC$56^2)+'LINEST VARS'!$L$56*(0.5^2)+'LINEST VARS'!$K$56*($CX61^2)+'LINEST VARS'!$J$56*(8*8)+'LINEST VARS'!$I$56*(8*$DC$56)+'LINEST VARS'!$H$56*(8*0.5)+'LINEST VARS'!$G$56*(8*$CX61)+'LINEST VARS'!$F$56*(8*$DC$56)+'LINEST VARS'!$E$56*(8*0.5)+'LINEST VARS'!$D$56*(8*$CX61)+'LINEST VARS'!$C$56*($DC$56*0.5)+'LINEST VARS'!$B$56*($DC$56*$CX61)+'LINEST VARS'!$A$56*(0.5*$CX61)</f>
        <v>2.8544000000000009</v>
      </c>
      <c r="DD61" s="51">
        <f>'LINEST VARS'!$U$56+'LINEST VARS'!$T$56*(8)+'LINEST VARS'!$S$56*(8)+'LINEST VARS'!$R$56*($DD$56)+'LINEST VARS'!$Q$56*(0.5)+'LINEST VARS'!$P$56*($CX61)+'LINEST VARS'!$O$56*(8^2)+'LINEST VARS'!$N$56*(8^2)+'LINEST VARS'!$M$56*($DD$56^2)+'LINEST VARS'!$L$56*(0.5^2)+'LINEST VARS'!$K$56*($CX61^2)+'LINEST VARS'!$J$56*(8*8)+'LINEST VARS'!$I$56*(8*$DD$56)+'LINEST VARS'!$H$56*(8*0.5)+'LINEST VARS'!$G$56*(8*$CX61)+'LINEST VARS'!$F$56*(8*$DD$56)+'LINEST VARS'!$E$56*(8*0.5)+'LINEST VARS'!$D$56*(8*$CX61)+'LINEST VARS'!$C$56*($DD$56*0.5)+'LINEST VARS'!$B$56*($DD$56*$CX61)+'LINEST VARS'!$A$56*(0.5*$CX61)</f>
        <v>2.8600000000000008</v>
      </c>
      <c r="DE61" s="51">
        <f>'LINEST VARS'!$U$56+'LINEST VARS'!$T$56*(8)+'LINEST VARS'!$S$56*(8)+'LINEST VARS'!$R$56*($DE$56)+'LINEST VARS'!$Q$56*(0.5)+'LINEST VARS'!$P$56*($CX61)+'LINEST VARS'!$O$56*(8^2)+'LINEST VARS'!$N$56*(8^2)+'LINEST VARS'!$M$56*($DE$56^2)+'LINEST VARS'!$L$56*(0.5^2)+'LINEST VARS'!$K$56*($CX61^2)+'LINEST VARS'!$J$56*(8*8)+'LINEST VARS'!$I$56*(8*$DE$56)+'LINEST VARS'!$H$56*(8*0.5)+'LINEST VARS'!$G$56*(8*$CX61)+'LINEST VARS'!$F$56*(8*$DE$56)+'LINEST VARS'!$E$56*(8*0.5)+'LINEST VARS'!$D$56*(8*$CX61)+'LINEST VARS'!$C$56*($DE$56*0.5)+'LINEST VARS'!$B$56*($DE$56*$CX61)+'LINEST VARS'!$A$56*(0.5*$CX61)</f>
        <v>2.8624000000000009</v>
      </c>
      <c r="DF61" s="51">
        <f>'LINEST VARS'!$U$56+'LINEST VARS'!$T$56*(8)+'LINEST VARS'!$S$56*(8)+'LINEST VARS'!$R$56*($DF$56)+'LINEST VARS'!$Q$56*(0.5)+'LINEST VARS'!$P$56*($CX61)+'LINEST VARS'!$O$56*(8^2)+'LINEST VARS'!$N$56*(8^2)+'LINEST VARS'!$M$56*($DF$56^2)+'LINEST VARS'!$L$56*(0.5^2)+'LINEST VARS'!$K$56*($CX61^2)+'LINEST VARS'!$J$56*(8*8)+'LINEST VARS'!$I$56*(8*$DF$56)+'LINEST VARS'!$H$56*(8*0.5)+'LINEST VARS'!$G$56*(8*$CX61)+'LINEST VARS'!$F$56*(8*$DF$56)+'LINEST VARS'!$E$56*(8*0.5)+'LINEST VARS'!$D$56*(8*$CX61)+'LINEST VARS'!$C$56*($DF$56*0.5)+'LINEST VARS'!$B$56*($DF$56*$CX61)+'LINEST VARS'!$A$56*(0.5*$CX61)</f>
        <v>2.8616000000000006</v>
      </c>
      <c r="DG61" s="51">
        <f>'LINEST VARS'!$U$56+'LINEST VARS'!$T$56*(8)+'LINEST VARS'!$S$56*(8)+'LINEST VARS'!$R$56*($DG$56)+'LINEST VARS'!$Q$56*(0.5)+'LINEST VARS'!$P$56*($CX61)+'LINEST VARS'!$O$56*(8^2)+'LINEST VARS'!$N$56*(8^2)+'LINEST VARS'!$M$56*($DG$56^2)+'LINEST VARS'!$L$56*(0.5^2)+'LINEST VARS'!$K$56*($CX61^2)+'LINEST VARS'!$J$56*(8*8)+'LINEST VARS'!$I$56*(8*$DG$56)+'LINEST VARS'!$H$56*(8*0.5)+'LINEST VARS'!$G$56*(8*$CX61)+'LINEST VARS'!$F$56*(8*$DG$56)+'LINEST VARS'!$E$56*(8*0.5)+'LINEST VARS'!$D$56*(8*$CX61)+'LINEST VARS'!$C$56*($DG$56*0.5)+'LINEST VARS'!$B$56*($DG$56*$CX61)+'LINEST VARS'!$A$56*(0.5*$CX61)</f>
        <v>2.8576000000000006</v>
      </c>
      <c r="DH61" s="51">
        <f>'LINEST VARS'!$U$56+'LINEST VARS'!$T$56*(8)+'LINEST VARS'!$S$56*(8)+'LINEST VARS'!$R$56*($DH$56)+'LINEST VARS'!$Q$56*(0.5)+'LINEST VARS'!$P$56*($CX61)+'LINEST VARS'!$O$56*(8^2)+'LINEST VARS'!$N$56*(8^2)+'LINEST VARS'!$M$56*($DH$56^2)+'LINEST VARS'!$L$56*(0.5^2)+'LINEST VARS'!$K$56*($CX61^2)+'LINEST VARS'!$J$56*(8*8)+'LINEST VARS'!$I$56*(8*$DH$56)+'LINEST VARS'!$H$56*(8*0.5)+'LINEST VARS'!$G$56*(8*$CX61)+'LINEST VARS'!$F$56*(8*$DH$56)+'LINEST VARS'!$E$56*(8*0.5)+'LINEST VARS'!$D$56*(8*$CX61)+'LINEST VARS'!$C$56*($DH$56*0.5)+'LINEST VARS'!$B$56*($DH$56*$CX61)+'LINEST VARS'!$A$56*(0.5*$CX61)</f>
        <v>2.8504000000000009</v>
      </c>
      <c r="DI61" s="51">
        <f>'LINEST VARS'!$U$56+'LINEST VARS'!$T$56*(8)+'LINEST VARS'!$S$56*(8)+'LINEST VARS'!$R$56*($DI$56)+'LINEST VARS'!$Q$56*(0.5)+'LINEST VARS'!$P$56*($CX61)+'LINEST VARS'!$O$56*(8^2)+'LINEST VARS'!$N$56*(8^2)+'LINEST VARS'!$M$56*($DI$56^2)+'LINEST VARS'!$L$56*(0.5^2)+'LINEST VARS'!$K$56*($CX61^2)+'LINEST VARS'!$J$56*(8*8)+'LINEST VARS'!$I$56*(8*$DI$56)+'LINEST VARS'!$H$56*(8*0.5)+'LINEST VARS'!$G$56*(8*$CX61)+'LINEST VARS'!$F$56*(8*$DI$56)+'LINEST VARS'!$E$56*(8*0.5)+'LINEST VARS'!$D$56*(8*$CX61)+'LINEST VARS'!$C$56*($DI$56*0.5)+'LINEST VARS'!$B$56*($DI$56*$CX61)+'LINEST VARS'!$A$56*(0.5*$CX61)</f>
        <v>2.8400000000000007</v>
      </c>
      <c r="DJ61" s="51">
        <f>'LINEST VARS'!$U$56+'LINEST VARS'!$T$56*(8)+'LINEST VARS'!$S$56*(8)+'LINEST VARS'!$R$56*($DJ$56)+'LINEST VARS'!$Q$56*(0.5)+'LINEST VARS'!$P$56*($CX61)+'LINEST VARS'!$O$56*(8^2)+'LINEST VARS'!$N$56*(8^2)+'LINEST VARS'!$M$56*($DJ$56^2)+'LINEST VARS'!$L$56*(0.5^2)+'LINEST VARS'!$K$56*($CX61^2)+'LINEST VARS'!$J$56*(8*8)+'LINEST VARS'!$I$56*(8*$DJ$56)+'LINEST VARS'!$H$56*(8*0.5)+'LINEST VARS'!$G$56*(8*$CX61)+'LINEST VARS'!$F$56*(8*$DJ$56)+'LINEST VARS'!$E$56*(8*0.5)+'LINEST VARS'!$D$56*(8*$CX61)+'LINEST VARS'!$C$56*($DJ$56*0.5)+'LINEST VARS'!$B$56*($DJ$56*$CX61)+'LINEST VARS'!$A$56*(0.5*$CX61)</f>
        <v>2.8264000000000009</v>
      </c>
      <c r="DK61" s="51">
        <f>'LINEST VARS'!$U$56+'LINEST VARS'!$T$56*(8)+'LINEST VARS'!$S$56*(8)+'LINEST VARS'!$R$56*($DK$56)+'LINEST VARS'!$Q$56*(0.5)+'LINEST VARS'!$P$56*($CX61)+'LINEST VARS'!$O$56*(8^2)+'LINEST VARS'!$N$56*(8^2)+'LINEST VARS'!$M$56*($DK$56^2)+'LINEST VARS'!$L$56*(0.5^2)+'LINEST VARS'!$K$56*($CX61^2)+'LINEST VARS'!$J$56*(8*8)+'LINEST VARS'!$I$56*(8*$DK$56)+'LINEST VARS'!$H$56*(8*0.5)+'LINEST VARS'!$G$56*(8*$CX61)+'LINEST VARS'!$F$56*(8*$DK$56)+'LINEST VARS'!$E$56*(8*0.5)+'LINEST VARS'!$D$56*(8*$CX61)+'LINEST VARS'!$C$56*($DK$56*0.5)+'LINEST VARS'!$B$56*($DK$56*$CX61)+'LINEST VARS'!$A$56*(0.5*$CX61)</f>
        <v>2.8096000000000005</v>
      </c>
      <c r="DL61" s="51">
        <f>'LINEST VARS'!$U$56+'LINEST VARS'!$T$56*(8)+'LINEST VARS'!$S$56*(8)+'LINEST VARS'!$R$56*($DL$56)+'LINEST VARS'!$Q$56*(0.5)+'LINEST VARS'!$P$56*($CX61)+'LINEST VARS'!$O$56*(8^2)+'LINEST VARS'!$N$56*(8^2)+'LINEST VARS'!$M$56*($DL$56^2)+'LINEST VARS'!$L$56*(0.5^2)+'LINEST VARS'!$K$56*($CX61^2)+'LINEST VARS'!$J$56*(8*8)+'LINEST VARS'!$I$56*(8*$DL$56)+'LINEST VARS'!$H$56*(8*0.5)+'LINEST VARS'!$G$56*(8*$CX61)+'LINEST VARS'!$F$56*(8*$DL$56)+'LINEST VARS'!$E$56*(8*0.5)+'LINEST VARS'!$D$56*(8*$CX61)+'LINEST VARS'!$C$56*($DL$56*0.5)+'LINEST VARS'!$B$56*($DL$56*$CX61)+'LINEST VARS'!$A$56*(0.5*$CX61)</f>
        <v>2.7896000000000005</v>
      </c>
      <c r="DM61" s="51">
        <f>'LINEST VARS'!$U$56+'LINEST VARS'!$T$56*(8)+'LINEST VARS'!$S$56*(8)+'LINEST VARS'!$R$56*($DM$56)+'LINEST VARS'!$Q$56*(0.5)+'LINEST VARS'!$P$56*($CX61)+'LINEST VARS'!$O$56*(8^2)+'LINEST VARS'!$N$56*(8^2)+'LINEST VARS'!$M$56*($DM$56^2)+'LINEST VARS'!$L$56*(0.5^2)+'LINEST VARS'!$K$56*($CX61^2)+'LINEST VARS'!$J$56*(8*8)+'LINEST VARS'!$I$56*(8*$DM$56)+'LINEST VARS'!$H$56*(8*0.5)+'LINEST VARS'!$G$56*(8*$CX61)+'LINEST VARS'!$F$56*(8*$DM$56)+'LINEST VARS'!$E$56*(8*0.5)+'LINEST VARS'!$D$56*(8*$CX61)+'LINEST VARS'!$C$56*($DM$56*0.5)+'LINEST VARS'!$B$56*($DM$56*$CX61)+'LINEST VARS'!$A$56*(0.5*$CX61)</f>
        <v>2.7664000000000009</v>
      </c>
      <c r="DN61" s="51">
        <f>'LINEST VARS'!$U$56+'LINEST VARS'!$T$56*(8)+'LINEST VARS'!$S$56*(8)+'LINEST VARS'!$R$56*($DN$56)+'LINEST VARS'!$Q$56*(0.5)+'LINEST VARS'!$P$56*($CX61)+'LINEST VARS'!$O$56*(8^2)+'LINEST VARS'!$N$56*(8^2)+'LINEST VARS'!$M$56*($DN$56^2)+'LINEST VARS'!$L$56*(0.5^2)+'LINEST VARS'!$K$56*($CX61^2)+'LINEST VARS'!$J$56*(8*8)+'LINEST VARS'!$I$56*(8*$DN$56)+'LINEST VARS'!$H$56*(8*0.5)+'LINEST VARS'!$G$56*(8*$CX61)+'LINEST VARS'!$F$56*(8*$DN$56)+'LINEST VARS'!$E$56*(8*0.5)+'LINEST VARS'!$D$56*(8*$CX61)+'LINEST VARS'!$C$56*($DN$56*0.5)+'LINEST VARS'!$B$56*($DN$56*$CX61)+'LINEST VARS'!$A$56*(0.5*$CX61)</f>
        <v>2.7400000000000007</v>
      </c>
      <c r="DO61" s="51">
        <f>'LINEST VARS'!$U$56+'LINEST VARS'!$T$56*(8)+'LINEST VARS'!$S$56*(8)+'LINEST VARS'!$R$56*($DO$56)+'LINEST VARS'!$Q$56*(0.5)+'LINEST VARS'!$P$56*($CX61)+'LINEST VARS'!$O$56*(8^2)+'LINEST VARS'!$N$56*(8^2)+'LINEST VARS'!$M$56*($DO$56^2)+'LINEST VARS'!$L$56*(0.5^2)+'LINEST VARS'!$K$56*($CX61^2)+'LINEST VARS'!$J$56*(8*8)+'LINEST VARS'!$I$56*(8*$DO$56)+'LINEST VARS'!$H$56*(8*0.5)+'LINEST VARS'!$G$56*(8*$CX61)+'LINEST VARS'!$F$56*(8*$DO$56)+'LINEST VARS'!$E$56*(8*0.5)+'LINEST VARS'!$D$56*(8*$CX61)+'LINEST VARS'!$C$56*($DO$56*0.5)+'LINEST VARS'!$B$56*($DO$56*$CX61)+'LINEST VARS'!$A$56*(0.5*$CX61)</f>
        <v>2.7104000000000004</v>
      </c>
      <c r="DP61" s="51">
        <f>'LINEST VARS'!$U$56+'LINEST VARS'!$T$56*(8)+'LINEST VARS'!$S$56*(8)+'LINEST VARS'!$R$56*($DP$56)+'LINEST VARS'!$Q$56*(0.5)+'LINEST VARS'!$P$56*($CX61)+'LINEST VARS'!$O$56*(8^2)+'LINEST VARS'!$N$56*(8^2)+'LINEST VARS'!$M$56*($DP$56^2)+'LINEST VARS'!$L$56*(0.5^2)+'LINEST VARS'!$K$56*($CX61^2)+'LINEST VARS'!$J$56*(8*8)+'LINEST VARS'!$I$56*(8*$DP$56)+'LINEST VARS'!$H$56*(8*0.5)+'LINEST VARS'!$G$56*(8*$CX61)+'LINEST VARS'!$F$56*(8*$DP$56)+'LINEST VARS'!$E$56*(8*0.5)+'LINEST VARS'!$D$56*(8*$CX61)+'LINEST VARS'!$C$56*($DP$56*0.5)+'LINEST VARS'!$B$56*($DP$56*$CX61)+'LINEST VARS'!$A$56*(0.5*$CX61)</f>
        <v>2.6776000000000004</v>
      </c>
      <c r="DQ61" s="51">
        <f>'LINEST VARS'!$U$56+'LINEST VARS'!$T$56*(8)+'LINEST VARS'!$S$56*(8)+'LINEST VARS'!$R$56*($DQ$56)+'LINEST VARS'!$Q$56*(0.5)+'LINEST VARS'!$P$56*($CX61)+'LINEST VARS'!$O$56*(8^2)+'LINEST VARS'!$N$56*(8^2)+'LINEST VARS'!$M$56*($DQ$56^2)+'LINEST VARS'!$L$56*(0.5^2)+'LINEST VARS'!$K$56*($CX61^2)+'LINEST VARS'!$J$56*(8*8)+'LINEST VARS'!$I$56*(8*$DQ$56)+'LINEST VARS'!$H$56*(8*0.5)+'LINEST VARS'!$G$56*(8*$CX61)+'LINEST VARS'!$F$56*(8*$DQ$56)+'LINEST VARS'!$E$56*(8*0.5)+'LINEST VARS'!$D$56*(8*$CX61)+'LINEST VARS'!$C$56*($DQ$56*0.5)+'LINEST VARS'!$B$56*($DQ$56*$CX61)+'LINEST VARS'!$A$56*(0.5*$CX61)</f>
        <v>2.6416000000000004</v>
      </c>
      <c r="DR61" s="51">
        <f>'LINEST VARS'!$U$56+'LINEST VARS'!$T$56*(8)+'LINEST VARS'!$S$56*(8)+'LINEST VARS'!$R$56*($DR$56)+'LINEST VARS'!$Q$56*(0.5)+'LINEST VARS'!$P$56*($CX61)+'LINEST VARS'!$O$56*(8^2)+'LINEST VARS'!$N$56*(8^2)+'LINEST VARS'!$M$56*($DR$56^2)+'LINEST VARS'!$L$56*(0.5^2)+'LINEST VARS'!$K$56*($CX61^2)+'LINEST VARS'!$J$56*(8*8)+'LINEST VARS'!$I$56*(8*$DR$56)+'LINEST VARS'!$H$56*(8*0.5)+'LINEST VARS'!$G$56*(8*$CX61)+'LINEST VARS'!$F$56*(8*$DR$56)+'LINEST VARS'!$E$56*(8*0.5)+'LINEST VARS'!$D$56*(8*$CX61)+'LINEST VARS'!$C$56*($DR$56*0.5)+'LINEST VARS'!$B$56*($DR$56*$CX61)+'LINEST VARS'!$A$56*(0.5*$CX61)</f>
        <v>2.6024000000000007</v>
      </c>
      <c r="DS61" s="52">
        <f>'LINEST VARS'!$U$56+'LINEST VARS'!$T$56*(8)+'LINEST VARS'!$S$56*(8)+'LINEST VARS'!$R$56*($DS$56)+'LINEST VARS'!$Q$56*(0.5)+'LINEST VARS'!$P$56*($CX61)+'LINEST VARS'!$O$56*(8^2)+'LINEST VARS'!$N$56*(8^2)+'LINEST VARS'!$M$56*($DS$56^2)+'LINEST VARS'!$L$56*(0.5^2)+'LINEST VARS'!$K$56*($CX61^2)+'LINEST VARS'!$J$56*(8*8)+'LINEST VARS'!$I$56*(8*$DS$56)+'LINEST VARS'!$H$56*(8*0.5)+'LINEST VARS'!$G$56*(8*$CX61)+'LINEST VARS'!$F$56*(8*$DS$56)+'LINEST VARS'!$E$56*(8*0.5)+'LINEST VARS'!$D$56*(8*$CX61)+'LINEST VARS'!$C$56*($DS$56*0.5)+'LINEST VARS'!$B$56*($DS$56*$CX61)+'LINEST VARS'!$A$56*(0.5*$CX61)</f>
        <v>2.5600000000000005</v>
      </c>
      <c r="DV61" s="45">
        <v>5.1980000000000004</v>
      </c>
      <c r="DW61" s="51">
        <f>'LINEST VARS'!$U$58+'LINEST VARS'!$T$58*(8)+'LINEST VARS'!$S$58*(8)+'LINEST VARS'!$R$58*($DW$56)+'LINEST VARS'!$Q$58*(0.5)+'LINEST VARS'!$P$58*($DV61)+'LINEST VARS'!$O$58*(8^2)+'LINEST VARS'!$N$58*(8^2)+'LINEST VARS'!$M$58*($DW$56^2)+'LINEST VARS'!$L$58*(0.5^2)+'LINEST VARS'!$K$58*($DV61^2)+'LINEST VARS'!$J$58*(8*8)+'LINEST VARS'!$I$58*(8*$DW$56)+'LINEST VARS'!$H$58*(8*0.5)+'LINEST VARS'!$G$58*(8*$DV61)+'LINEST VARS'!$F$58*(8*$DW$56)+'LINEST VARS'!$E$58*(8*0.5)+'LINEST VARS'!$D$58*(8*$DV61)+'LINEST VARS'!$C$58*($DW$56*0.5)+'LINEST VARS'!$B$58*($DW$56*$DV61)+'LINEST VARS'!$A$58*(0.5*$DV61)</f>
        <v>0.82599000000000034</v>
      </c>
      <c r="DX61" s="51">
        <f>'LINEST VARS'!$U$58+'LINEST VARS'!$T$58*(8)+'LINEST VARS'!$S$58*(8)+'LINEST VARS'!$R$58*($DX$56)+'LINEST VARS'!$Q$58*(0.5)+'LINEST VARS'!$P$58*($DV61)+'LINEST VARS'!$O$58*(8^2)+'LINEST VARS'!$N$58*(8^2)+'LINEST VARS'!$M$58*($DX$56^2)+'LINEST VARS'!$L$58*(0.5^2)+'LINEST VARS'!$K$58*($DV61^2)+'LINEST VARS'!$J$58*(8*8)+'LINEST VARS'!$I$58*(8*$DX$56)+'LINEST VARS'!$H$58*(8*0.5)+'LINEST VARS'!$G$58*(8*$DV61)+'LINEST VARS'!$F$58*(8*$DX$56)+'LINEST VARS'!$E$58*(8*0.5)+'LINEST VARS'!$D$58*(8*$DV61)+'LINEST VARS'!$C$58*($DX$56*0.5)+'LINEST VARS'!$B$58*($DX$56*$DV61)+'LINEST VARS'!$A$58*(0.5*$DV61)</f>
        <v>0.83399000000000034</v>
      </c>
      <c r="DY61" s="51">
        <f>'LINEST VARS'!$U$58+'LINEST VARS'!$T$58*(8)+'LINEST VARS'!$S$58*(8)+'LINEST VARS'!$R$58*($DY$56)+'LINEST VARS'!$Q$58*(0.5)+'LINEST VARS'!$P$58*($DV61)+'LINEST VARS'!$O$58*(8^2)+'LINEST VARS'!$N$58*(8^2)+'LINEST VARS'!$M$58*($DY$56^2)+'LINEST VARS'!$L$58*(0.5^2)+'LINEST VARS'!$K$58*($DV61^2)+'LINEST VARS'!$J$58*(8*8)+'LINEST VARS'!$I$58*(8*$DY$56)+'LINEST VARS'!$H$58*(8*0.5)+'LINEST VARS'!$G$58*(8*$DV61)+'LINEST VARS'!$F$58*(8*$DY$56)+'LINEST VARS'!$E$58*(8*0.5)+'LINEST VARS'!$D$58*(8*$DV61)+'LINEST VARS'!$C$58*($DY$56*0.5)+'LINEST VARS'!$B$58*($DY$56*$DV61)+'LINEST VARS'!$A$58*(0.5*$DV61)</f>
        <v>0.84199000000000024</v>
      </c>
      <c r="DZ61" s="51">
        <f>'LINEST VARS'!$U$58+'LINEST VARS'!$T$58*(8)+'LINEST VARS'!$S$58*(8)+'LINEST VARS'!$R$58*($DZ$56)+'LINEST VARS'!$Q$58*(0.5)+'LINEST VARS'!$P$58*($DV61)+'LINEST VARS'!$O$58*(8^2)+'LINEST VARS'!$N$58*(8^2)+'LINEST VARS'!$M$58*($DZ$56^2)+'LINEST VARS'!$L$58*(0.5^2)+'LINEST VARS'!$K$58*($DV61^2)+'LINEST VARS'!$J$58*(8*8)+'LINEST VARS'!$I$58*(8*$DZ$56)+'LINEST VARS'!$H$58*(8*0.5)+'LINEST VARS'!$G$58*(8*$DV61)+'LINEST VARS'!$F$58*(8*$DZ$56)+'LINEST VARS'!$E$58*(8*0.5)+'LINEST VARS'!$D$58*(8*$DV61)+'LINEST VARS'!$C$58*($DZ$56*0.5)+'LINEST VARS'!$B$58*($DZ$56*$DV61)+'LINEST VARS'!$A$58*(0.5*$DV61)</f>
        <v>0.84999000000000025</v>
      </c>
      <c r="EA61" s="51">
        <f>'LINEST VARS'!$U$58+'LINEST VARS'!$T$58*(8)+'LINEST VARS'!$S$58*(8)+'LINEST VARS'!$R$58*($EA$56)+'LINEST VARS'!$Q$58*(0.5)+'LINEST VARS'!$P$58*($DV61)+'LINEST VARS'!$O$58*(8^2)+'LINEST VARS'!$N$58*(8^2)+'LINEST VARS'!$M$58*($EA$56^2)+'LINEST VARS'!$L$58*(0.5^2)+'LINEST VARS'!$K$58*($DV61^2)+'LINEST VARS'!$J$58*(8*8)+'LINEST VARS'!$I$58*(8*$EA$56)+'LINEST VARS'!$H$58*(8*0.5)+'LINEST VARS'!$G$58*(8*$DV61)+'LINEST VARS'!$F$58*(8*$EA$56)+'LINEST VARS'!$E$58*(8*0.5)+'LINEST VARS'!$D$58*(8*$DV61)+'LINEST VARS'!$C$58*($EA$56*0.5)+'LINEST VARS'!$B$58*($EA$56*$DV61)+'LINEST VARS'!$A$58*(0.5*$DV61)</f>
        <v>0.85799000000000014</v>
      </c>
      <c r="EB61" s="51">
        <f>'LINEST VARS'!$U$58+'LINEST VARS'!$T$58*(8)+'LINEST VARS'!$S$58*(8)+'LINEST VARS'!$R$58*($EB$56)+'LINEST VARS'!$Q$58*(0.5)+'LINEST VARS'!$P$58*($DV61)+'LINEST VARS'!$O$58*(8^2)+'LINEST VARS'!$N$58*(8^2)+'LINEST VARS'!$M$58*($EB$56^2)+'LINEST VARS'!$L$58*(0.5^2)+'LINEST VARS'!$K$58*($DV61^2)+'LINEST VARS'!$J$58*(8*8)+'LINEST VARS'!$I$58*(8*$EB$56)+'LINEST VARS'!$H$58*(8*0.5)+'LINEST VARS'!$G$58*(8*$DV61)+'LINEST VARS'!$F$58*(8*$EB$56)+'LINEST VARS'!$E$58*(8*0.5)+'LINEST VARS'!$D$58*(8*$DV61)+'LINEST VARS'!$C$58*($EB$56*0.5)+'LINEST VARS'!$B$58*($EB$56*$DV61)+'LINEST VARS'!$A$58*(0.5*$DV61)</f>
        <v>0.86599000000000026</v>
      </c>
      <c r="EC61" s="51">
        <f>'LINEST VARS'!$U$58+'LINEST VARS'!$T$58*(8)+'LINEST VARS'!$S$58*(8)+'LINEST VARS'!$R$58*($EC$56)+'LINEST VARS'!$Q$58*(0.5)+'LINEST VARS'!$P$58*($DV61)+'LINEST VARS'!$O$58*(8^2)+'LINEST VARS'!$N$58*(8^2)+'LINEST VARS'!$M$58*($EC$56^2)+'LINEST VARS'!$L$58*(0.5^2)+'LINEST VARS'!$K$58*($DV61^2)+'LINEST VARS'!$J$58*(8*8)+'LINEST VARS'!$I$58*(8*$EC$56)+'LINEST VARS'!$H$58*(8*0.5)+'LINEST VARS'!$G$58*(8*$DV61)+'LINEST VARS'!$F$58*(8*$EC$56)+'LINEST VARS'!$E$58*(8*0.5)+'LINEST VARS'!$D$58*(8*$DV61)+'LINEST VARS'!$C$58*($EC$56*0.5)+'LINEST VARS'!$B$58*($EC$56*$DV61)+'LINEST VARS'!$A$58*(0.5*$DV61)</f>
        <v>0.87399000000000027</v>
      </c>
      <c r="ED61" s="51">
        <f>'LINEST VARS'!$U$58+'LINEST VARS'!$T$58*(8)+'LINEST VARS'!$S$58*(8)+'LINEST VARS'!$R$58*($ED$56)+'LINEST VARS'!$Q$58*(0.5)+'LINEST VARS'!$P$58*($DV61)+'LINEST VARS'!$O$58*(8^2)+'LINEST VARS'!$N$58*(8^2)+'LINEST VARS'!$M$58*($ED$56^2)+'LINEST VARS'!$L$58*(0.5^2)+'LINEST VARS'!$K$58*($DV61^2)+'LINEST VARS'!$J$58*(8*8)+'LINEST VARS'!$I$58*(8*$ED$56)+'LINEST VARS'!$H$58*(8*0.5)+'LINEST VARS'!$G$58*(8*$DV61)+'LINEST VARS'!$F$58*(8*$ED$56)+'LINEST VARS'!$E$58*(8*0.5)+'LINEST VARS'!$D$58*(8*$DV61)+'LINEST VARS'!$C$58*($ED$56*0.5)+'LINEST VARS'!$B$58*($ED$56*$DV61)+'LINEST VARS'!$A$58*(0.5*$DV61)</f>
        <v>0.88199000000000027</v>
      </c>
      <c r="EE61" s="51">
        <f>'LINEST VARS'!$U$58+'LINEST VARS'!$T$58*(8)+'LINEST VARS'!$S$58*(8)+'LINEST VARS'!$R$58*($EE$56)+'LINEST VARS'!$Q$58*(0.5)+'LINEST VARS'!$P$58*($DV61)+'LINEST VARS'!$O$58*(8^2)+'LINEST VARS'!$N$58*(8^2)+'LINEST VARS'!$M$58*($EE$56^2)+'LINEST VARS'!$L$58*(0.5^2)+'LINEST VARS'!$K$58*($DV61^2)+'LINEST VARS'!$J$58*(8*8)+'LINEST VARS'!$I$58*(8*$EE$56)+'LINEST VARS'!$H$58*(8*0.5)+'LINEST VARS'!$G$58*(8*$DV61)+'LINEST VARS'!$F$58*(8*$EE$56)+'LINEST VARS'!$E$58*(8*0.5)+'LINEST VARS'!$D$58*(8*$DV61)+'LINEST VARS'!$C$58*($EE$56*0.5)+'LINEST VARS'!$B$58*($EE$56*$DV61)+'LINEST VARS'!$A$58*(0.5*$DV61)</f>
        <v>0.88999000000000039</v>
      </c>
      <c r="EF61" s="51">
        <f>'LINEST VARS'!$U$58+'LINEST VARS'!$T$58*(8)+'LINEST VARS'!$S$58*(8)+'LINEST VARS'!$R$58*($EF$56)+'LINEST VARS'!$Q$58*(0.5)+'LINEST VARS'!$P$58*($DV61)+'LINEST VARS'!$O$58*(8^2)+'LINEST VARS'!$N$58*(8^2)+'LINEST VARS'!$M$58*($EF$56^2)+'LINEST VARS'!$L$58*(0.5^2)+'LINEST VARS'!$K$58*($DV61^2)+'LINEST VARS'!$J$58*(8*8)+'LINEST VARS'!$I$58*(8*$EF$56)+'LINEST VARS'!$H$58*(8*0.5)+'LINEST VARS'!$G$58*(8*$DV61)+'LINEST VARS'!$F$58*(8*$EF$56)+'LINEST VARS'!$E$58*(8*0.5)+'LINEST VARS'!$D$58*(8*$DV61)+'LINEST VARS'!$C$58*($EF$56*0.5)+'LINEST VARS'!$B$58*($EF$56*$DV61)+'LINEST VARS'!$A$58*(0.5*$DV61)</f>
        <v>0.89799000000000029</v>
      </c>
      <c r="EG61" s="51">
        <f>'LINEST VARS'!$U$58+'LINEST VARS'!$T$58*(8)+'LINEST VARS'!$S$58*(8)+'LINEST VARS'!$R$58*($EG$56)+'LINEST VARS'!$Q$58*(0.5)+'LINEST VARS'!$P$58*($DV61)+'LINEST VARS'!$O$58*(8^2)+'LINEST VARS'!$N$58*(8^2)+'LINEST VARS'!$M$58*($EG$56^2)+'LINEST VARS'!$L$58*(0.5^2)+'LINEST VARS'!$K$58*($DV61^2)+'LINEST VARS'!$J$58*(8*8)+'LINEST VARS'!$I$58*(8*$EG$56)+'LINEST VARS'!$H$58*(8*0.5)+'LINEST VARS'!$G$58*(8*$DV61)+'LINEST VARS'!$F$58*(8*$EG$56)+'LINEST VARS'!$E$58*(8*0.5)+'LINEST VARS'!$D$58*(8*$DV61)+'LINEST VARS'!$C$58*($EG$56*0.5)+'LINEST VARS'!$B$58*($EG$56*$DV61)+'LINEST VARS'!$A$58*(0.5*$DV61)</f>
        <v>0.9059900000000003</v>
      </c>
      <c r="EH61" s="51">
        <f>'LINEST VARS'!$U$58+'LINEST VARS'!$T$58*(8)+'LINEST VARS'!$S$58*(8)+'LINEST VARS'!$R$58*($EH$56)+'LINEST VARS'!$Q$58*(0.5)+'LINEST VARS'!$P$58*($DV61)+'LINEST VARS'!$O$58*(8^2)+'LINEST VARS'!$N$58*(8^2)+'LINEST VARS'!$M$58*($EH$56^2)+'LINEST VARS'!$L$58*(0.5^2)+'LINEST VARS'!$K$58*($DV61^2)+'LINEST VARS'!$J$58*(8*8)+'LINEST VARS'!$I$58*(8*$EH$56)+'LINEST VARS'!$H$58*(8*0.5)+'LINEST VARS'!$G$58*(8*$DV61)+'LINEST VARS'!$F$58*(8*$EH$56)+'LINEST VARS'!$E$58*(8*0.5)+'LINEST VARS'!$D$58*(8*$DV61)+'LINEST VARS'!$C$58*($EH$56*0.5)+'LINEST VARS'!$B$58*($EH$56*$DV61)+'LINEST VARS'!$A$58*(0.5*$DV61)</f>
        <v>0.91399000000000019</v>
      </c>
      <c r="EI61" s="51">
        <f>'LINEST VARS'!$U$58+'LINEST VARS'!$T$58*(8)+'LINEST VARS'!$S$58*(8)+'LINEST VARS'!$R$58*($EI$56)+'LINEST VARS'!$Q$58*(0.5)+'LINEST VARS'!$P$58*($DV61)+'LINEST VARS'!$O$58*(8^2)+'LINEST VARS'!$N$58*(8^2)+'LINEST VARS'!$M$58*($EI$56^2)+'LINEST VARS'!$L$58*(0.5^2)+'LINEST VARS'!$K$58*($DV61^2)+'LINEST VARS'!$J$58*(8*8)+'LINEST VARS'!$I$58*(8*$EI$56)+'LINEST VARS'!$H$58*(8*0.5)+'LINEST VARS'!$G$58*(8*$DV61)+'LINEST VARS'!$F$58*(8*$EI$56)+'LINEST VARS'!$E$58*(8*0.5)+'LINEST VARS'!$D$58*(8*$DV61)+'LINEST VARS'!$C$58*($EI$56*0.5)+'LINEST VARS'!$B$58*($EI$56*$DV61)+'LINEST VARS'!$A$58*(0.5*$DV61)</f>
        <v>0.9219900000000002</v>
      </c>
      <c r="EJ61" s="51">
        <f>'LINEST VARS'!$U$58+'LINEST VARS'!$T$58*(8)+'LINEST VARS'!$S$58*(8)+'LINEST VARS'!$R$58*($EJ$56)+'LINEST VARS'!$Q$58*(0.5)+'LINEST VARS'!$P$58*($DV61)+'LINEST VARS'!$O$58*(8^2)+'LINEST VARS'!$N$58*(8^2)+'LINEST VARS'!$M$58*($EJ$56^2)+'LINEST VARS'!$L$58*(0.5^2)+'LINEST VARS'!$K$58*($DV61^2)+'LINEST VARS'!$J$58*(8*8)+'LINEST VARS'!$I$58*(8*$EJ$56)+'LINEST VARS'!$H$58*(8*0.5)+'LINEST VARS'!$G$58*(8*$DV61)+'LINEST VARS'!$F$58*(8*$EJ$56)+'LINEST VARS'!$E$58*(8*0.5)+'LINEST VARS'!$D$58*(8*$DV61)+'LINEST VARS'!$C$58*($EJ$56*0.5)+'LINEST VARS'!$B$58*($EJ$56*$DV61)+'LINEST VARS'!$A$58*(0.5*$DV61)</f>
        <v>0.92999000000000009</v>
      </c>
      <c r="EK61" s="51">
        <f>'LINEST VARS'!$U$58+'LINEST VARS'!$T$58*(8)+'LINEST VARS'!$S$58*(8)+'LINEST VARS'!$R$58*($EK$56)+'LINEST VARS'!$Q$58*(0.5)+'LINEST VARS'!$P$58*($DV61)+'LINEST VARS'!$O$58*(8^2)+'LINEST VARS'!$N$58*(8^2)+'LINEST VARS'!$M$58*($EK$56^2)+'LINEST VARS'!$L$58*(0.5^2)+'LINEST VARS'!$K$58*($DV61^2)+'LINEST VARS'!$J$58*(8*8)+'LINEST VARS'!$I$58*(8*$EK$56)+'LINEST VARS'!$H$58*(8*0.5)+'LINEST VARS'!$G$58*(8*$DV61)+'LINEST VARS'!$F$58*(8*$EK$56)+'LINEST VARS'!$E$58*(8*0.5)+'LINEST VARS'!$D$58*(8*$DV61)+'LINEST VARS'!$C$58*($EK$56*0.5)+'LINEST VARS'!$B$58*($EK$56*$DV61)+'LINEST VARS'!$A$58*(0.5*$DV61)</f>
        <v>0.93799000000000021</v>
      </c>
      <c r="EL61" s="51">
        <f>'LINEST VARS'!$U$58+'LINEST VARS'!$T$58*(8)+'LINEST VARS'!$S$58*(8)+'LINEST VARS'!$R$58*($EL$56)+'LINEST VARS'!$Q$58*(0.5)+'LINEST VARS'!$P$58*($DV61)+'LINEST VARS'!$O$58*(8^2)+'LINEST VARS'!$N$58*(8^2)+'LINEST VARS'!$M$58*($EL$56^2)+'LINEST VARS'!$L$58*(0.5^2)+'LINEST VARS'!$K$58*($DV61^2)+'LINEST VARS'!$J$58*(8*8)+'LINEST VARS'!$I$58*(8*$EL$56)+'LINEST VARS'!$H$58*(8*0.5)+'LINEST VARS'!$G$58*(8*$DV61)+'LINEST VARS'!$F$58*(8*$EL$56)+'LINEST VARS'!$E$58*(8*0.5)+'LINEST VARS'!$D$58*(8*$DV61)+'LINEST VARS'!$C$58*($EL$56*0.5)+'LINEST VARS'!$B$58*($EL$56*$DV61)+'LINEST VARS'!$A$58*(0.5*$DV61)</f>
        <v>0.94599000000000022</v>
      </c>
      <c r="EM61" s="51">
        <f>'LINEST VARS'!$U$58+'LINEST VARS'!$T$58*(8)+'LINEST VARS'!$S$58*(8)+'LINEST VARS'!$R$58*($EM$56)+'LINEST VARS'!$Q$58*(0.5)+'LINEST VARS'!$P$58*($DV61)+'LINEST VARS'!$O$58*(8^2)+'LINEST VARS'!$N$58*(8^2)+'LINEST VARS'!$M$58*($EM$56^2)+'LINEST VARS'!$L$58*(0.5^2)+'LINEST VARS'!$K$58*($DV61^2)+'LINEST VARS'!$J$58*(8*8)+'LINEST VARS'!$I$58*(8*$EM$56)+'LINEST VARS'!$H$58*(8*0.5)+'LINEST VARS'!$G$58*(8*$DV61)+'LINEST VARS'!$F$58*(8*$EM$56)+'LINEST VARS'!$E$58*(8*0.5)+'LINEST VARS'!$D$58*(8*$DV61)+'LINEST VARS'!$C$58*($EM$56*0.5)+'LINEST VARS'!$B$58*($EM$56*$DV61)+'LINEST VARS'!$A$58*(0.5*$DV61)</f>
        <v>0.95399000000000034</v>
      </c>
      <c r="EN61" s="51">
        <f>'LINEST VARS'!$U$58+'LINEST VARS'!$T$58*(8)+'LINEST VARS'!$S$58*(8)+'LINEST VARS'!$R$58*($EN$56)+'LINEST VARS'!$Q$58*(0.5)+'LINEST VARS'!$P$58*($DV61)+'LINEST VARS'!$O$58*(8^2)+'LINEST VARS'!$N$58*(8^2)+'LINEST VARS'!$M$58*($EN$56^2)+'LINEST VARS'!$L$58*(0.5^2)+'LINEST VARS'!$K$58*($DV61^2)+'LINEST VARS'!$J$58*(8*8)+'LINEST VARS'!$I$58*(8*$EN$56)+'LINEST VARS'!$H$58*(8*0.5)+'LINEST VARS'!$G$58*(8*$DV61)+'LINEST VARS'!$F$58*(8*$EN$56)+'LINEST VARS'!$E$58*(8*0.5)+'LINEST VARS'!$D$58*(8*$DV61)+'LINEST VARS'!$C$58*($EN$56*0.5)+'LINEST VARS'!$B$58*($EN$56*$DV61)+'LINEST VARS'!$A$58*(0.5*$DV61)</f>
        <v>0.96199000000000034</v>
      </c>
      <c r="EO61" s="51">
        <f>'LINEST VARS'!$U$58+'LINEST VARS'!$T$58*(8)+'LINEST VARS'!$S$58*(8)+'LINEST VARS'!$R$58*($EO$56)+'LINEST VARS'!$Q$58*(0.5)+'LINEST VARS'!$P$58*($DV61)+'LINEST VARS'!$O$58*(8^2)+'LINEST VARS'!$N$58*(8^2)+'LINEST VARS'!$M$58*($EO$56^2)+'LINEST VARS'!$L$58*(0.5^2)+'LINEST VARS'!$K$58*($DV61^2)+'LINEST VARS'!$J$58*(8*8)+'LINEST VARS'!$I$58*(8*$EO$56)+'LINEST VARS'!$H$58*(8*0.5)+'LINEST VARS'!$G$58*(8*$DV61)+'LINEST VARS'!$F$58*(8*$EO$56)+'LINEST VARS'!$E$58*(8*0.5)+'LINEST VARS'!$D$58*(8*$DV61)+'LINEST VARS'!$C$58*($EO$56*0.5)+'LINEST VARS'!$B$58*($EO$56*$DV61)+'LINEST VARS'!$A$58*(0.5*$DV61)</f>
        <v>0.96999000000000035</v>
      </c>
      <c r="EP61" s="51">
        <f>'LINEST VARS'!$U$58+'LINEST VARS'!$T$58*(8)+'LINEST VARS'!$S$58*(8)+'LINEST VARS'!$R$58*($EP$56)+'LINEST VARS'!$Q$58*(0.5)+'LINEST VARS'!$P$58*($DV61)+'LINEST VARS'!$O$58*(8^2)+'LINEST VARS'!$N$58*(8^2)+'LINEST VARS'!$M$58*($EP$56^2)+'LINEST VARS'!$L$58*(0.5^2)+'LINEST VARS'!$K$58*($DV61^2)+'LINEST VARS'!$J$58*(8*8)+'LINEST VARS'!$I$58*(8*$EP$56)+'LINEST VARS'!$H$58*(8*0.5)+'LINEST VARS'!$G$58*(8*$DV61)+'LINEST VARS'!$F$58*(8*$EP$56)+'LINEST VARS'!$E$58*(8*0.5)+'LINEST VARS'!$D$58*(8*$DV61)+'LINEST VARS'!$C$58*($EP$56*0.5)+'LINEST VARS'!$B$58*($EP$56*$DV61)+'LINEST VARS'!$A$58*(0.5*$DV61)</f>
        <v>0.97799000000000025</v>
      </c>
      <c r="EQ61" s="52">
        <f>'LINEST VARS'!$U$58+'LINEST VARS'!$T$58*(8)+'LINEST VARS'!$S$58*(8)+'LINEST VARS'!$R$58*($EQ$56)+'LINEST VARS'!$Q$58*(0.5)+'LINEST VARS'!$P$58*($DV61)+'LINEST VARS'!$O$58*(8^2)+'LINEST VARS'!$N$58*(8^2)+'LINEST VARS'!$M$58*($EQ$56^2)+'LINEST VARS'!$L$58*(0.5^2)+'LINEST VARS'!$K$58*($DV61^2)+'LINEST VARS'!$J$58*(8*8)+'LINEST VARS'!$I$58*(8*$EQ$56)+'LINEST VARS'!$H$58*(8*0.5)+'LINEST VARS'!$G$58*(8*$DV61)+'LINEST VARS'!$F$58*(8*$EQ$56)+'LINEST VARS'!$E$58*(8*0.5)+'LINEST VARS'!$D$58*(8*$DV61)+'LINEST VARS'!$C$58*($EQ$56*0.5)+'LINEST VARS'!$B$58*($EQ$56*$DV61)+'LINEST VARS'!$A$58*(0.5*$DV61)</f>
        <v>0.98599000000000026</v>
      </c>
    </row>
    <row r="62" spans="2:147" ht="15" customHeight="1" x14ac:dyDescent="0.25">
      <c r="B62" s="45">
        <v>7.7</v>
      </c>
      <c r="C62" s="51">
        <f>'LINEST VARS'!$U$56+'LINEST VARS'!$T$56*($C$56)+'LINEST VARS'!$S$56*($B62)+'LINEST VARS'!$R$56*(4)+'LINEST VARS'!$Q$56*(0.5)+'LINEST VARS'!$P$56*(12.73)+'LINEST VARS'!$O$56*($C$56^2)+'LINEST VARS'!$N$56*($B62^2)+'LINEST VARS'!$M$56*(4^2)+'LINEST VARS'!$L$56*(0.5^2)+'LINEST VARS'!$K$56*(12.73^2)+'LINEST VARS'!$J$56*($C$56*$B62)+'LINEST VARS'!$I$56*($C$56*4)+'LINEST VARS'!$H$56*($C$56*0.5)+'LINEST VARS'!$G$56*($C$56*12.73)+'LINEST VARS'!$F$56*($B62*4)+'LINEST VARS'!$E$56*($B62*0.5)+'LINEST VARS'!$D$56*($B62*12.73)+'LINEST VARS'!$C$56*(4*0.5)+'LINEST VARS'!$B$56*(4*12.73)+'LINEST VARS'!$A$56*(0.5*12.73)</f>
        <v>2.8400000000000012</v>
      </c>
      <c r="D62" s="51">
        <f>'LINEST VARS'!$U$56+'LINEST VARS'!$T$56*($D$56)+'LINEST VARS'!$S$56*($B62)+'LINEST VARS'!$R$56*(4)+'LINEST VARS'!$Q$56*(0.5)+'LINEST VARS'!$P$56*(12.73)+'LINEST VARS'!$O$56*($D$56^2)+'LINEST VARS'!$N$56*($B62^2)+'LINEST VARS'!$M$56*(4^2)+'LINEST VARS'!$L$56*(0.5^2)+'LINEST VARS'!$K$56*(12.73^2)+'LINEST VARS'!$J$56*($D$56*$B62)+'LINEST VARS'!$I$56*($D$56*4)+'LINEST VARS'!$H$56*($D$56*0.5)+'LINEST VARS'!$G$56*($D$56*12.73)+'LINEST VARS'!$F$56*($B62*4)+'LINEST VARS'!$E$56*($B62*0.5)+'LINEST VARS'!$D$56*($B62*12.73)+'LINEST VARS'!$C$56*(4*0.5)+'LINEST VARS'!$B$56*(4*12.73)+'LINEST VARS'!$A$56*(0.5*12.73)</f>
        <v>2.8400000000000012</v>
      </c>
      <c r="E62" s="51">
        <f>'LINEST VARS'!$U$56+'LINEST VARS'!$T$56*($E$56)+'LINEST VARS'!$S$56*($B62)+'LINEST VARS'!$R$56*(4)+'LINEST VARS'!$Q$56*(0.5)+'LINEST VARS'!$P$56*(12.73)+'LINEST VARS'!$O$56*($E$56^2)+'LINEST VARS'!$N$56*($B62^2)+'LINEST VARS'!$M$56*(4^2)+'LINEST VARS'!$L$56*(0.5^2)+'LINEST VARS'!$K$56*(12.73^2)+'LINEST VARS'!$J$56*($E$56*$B62)+'LINEST VARS'!$I$56*($E$56*4)+'LINEST VARS'!$H$56*($E$56*0.5)+'LINEST VARS'!$G$56*($E$56*12.73)+'LINEST VARS'!$F$56*($B62*4)+'LINEST VARS'!$E$56*($B62*0.5)+'LINEST VARS'!$D$56*($B62*12.73)+'LINEST VARS'!$C$56*(4*0.5)+'LINEST VARS'!$B$56*(4*12.73)+'LINEST VARS'!$A$56*(0.5*12.73)</f>
        <v>2.8400000000000012</v>
      </c>
      <c r="F62" s="51">
        <f>'LINEST VARS'!$U$56+'LINEST VARS'!$T$56*($F$56)+'LINEST VARS'!$S$56*($B62)+'LINEST VARS'!$R$56*(4)+'LINEST VARS'!$Q$56*(0.5)+'LINEST VARS'!$P$56*(12.73)+'LINEST VARS'!$O$56*($F$56^2)+'LINEST VARS'!$N$56*($B62^2)+'LINEST VARS'!$M$56*(4^2)+'LINEST VARS'!$L$56*(0.5^2)+'LINEST VARS'!$K$56*(12.73^2)+'LINEST VARS'!$J$56*($F$56*$B62)+'LINEST VARS'!$I$56*($F$56*4)+'LINEST VARS'!$H$56*($F$56*0.5)+'LINEST VARS'!$G$56*($F$56*12.73)+'LINEST VARS'!$F$56*($B62*4)+'LINEST VARS'!$E$56*($B62*0.5)+'LINEST VARS'!$D$56*($B62*12.73)+'LINEST VARS'!$C$56*(4*0.5)+'LINEST VARS'!$B$56*(4*12.73)+'LINEST VARS'!$A$56*(0.5*12.73)</f>
        <v>2.8400000000000012</v>
      </c>
      <c r="G62" s="51">
        <f>'LINEST VARS'!$U$56+'LINEST VARS'!$T$56*($G$56)+'LINEST VARS'!$S$56*($B62)+'LINEST VARS'!$R$56*(4)+'LINEST VARS'!$Q$56*(0.5)+'LINEST VARS'!$P$56*(12.73)+'LINEST VARS'!$O$56*($G$56^2)+'LINEST VARS'!$N$56*($B62^2)+'LINEST VARS'!$M$56*(4^2)+'LINEST VARS'!$L$56*(0.5^2)+'LINEST VARS'!$K$56*(12.73^2)+'LINEST VARS'!$J$56*($G$56*$B62)+'LINEST VARS'!$I$56*($G$56*4)+'LINEST VARS'!$H$56*($G$56*0.5)+'LINEST VARS'!$G$56*($G$56*12.73)+'LINEST VARS'!$F$56*($B62*4)+'LINEST VARS'!$E$56*($B62*0.5)+'LINEST VARS'!$D$56*($B62*12.73)+'LINEST VARS'!$C$56*(4*0.5)+'LINEST VARS'!$B$56*(4*12.73)+'LINEST VARS'!$A$56*(0.5*12.73)</f>
        <v>2.8400000000000012</v>
      </c>
      <c r="H62" s="51">
        <f>'LINEST VARS'!$U$56+'LINEST VARS'!$T$56*($H$56)+'LINEST VARS'!$S$56*($B62)+'LINEST VARS'!$R$56*(4)+'LINEST VARS'!$Q$56*(0.5)+'LINEST VARS'!$P$56*(12.73)+'LINEST VARS'!$O$56*($H$56^2)+'LINEST VARS'!$N$56*($B62^2)+'LINEST VARS'!$M$56*(4^2)+'LINEST VARS'!$L$56*(0.5^2)+'LINEST VARS'!$K$56*(12.73^2)+'LINEST VARS'!$J$56*($H$56*$B62)+'LINEST VARS'!$I$56*($H$56*4)+'LINEST VARS'!$H$56*($H$56*0.5)+'LINEST VARS'!$G$56*($H$56*12.73)+'LINEST VARS'!$F$56*($B62*4)+'LINEST VARS'!$E$56*($B62*0.5)+'LINEST VARS'!$D$56*($B62*12.73)+'LINEST VARS'!$C$56*(4*0.5)+'LINEST VARS'!$B$56*(4*12.73)+'LINEST VARS'!$A$56*(0.5*12.73)</f>
        <v>2.8400000000000012</v>
      </c>
      <c r="I62" s="51">
        <f>'LINEST VARS'!$U$56+'LINEST VARS'!$T$56*($I$56)+'LINEST VARS'!$S$56*($B62)+'LINEST VARS'!$R$56*(4)+'LINEST VARS'!$Q$56*(0.5)+'LINEST VARS'!$P$56*(12.73)+'LINEST VARS'!$O$56*($I$56^2)+'LINEST VARS'!$N$56*($B62^2)+'LINEST VARS'!$M$56*(4^2)+'LINEST VARS'!$L$56*(0.5^2)+'LINEST VARS'!$K$56*(12.73^2)+'LINEST VARS'!$J$56*($I$56*$B62)+'LINEST VARS'!$I$56*($I$56*4)+'LINEST VARS'!$H$56*($I$56*0.5)+'LINEST VARS'!$G$56*($I$56*12.73)+'LINEST VARS'!$F$56*($B62*4)+'LINEST VARS'!$E$56*($B62*0.5)+'LINEST VARS'!$D$56*($B62*12.73)+'LINEST VARS'!$C$56*(4*0.5)+'LINEST VARS'!$B$56*(4*12.73)+'LINEST VARS'!$A$56*(0.5*12.73)</f>
        <v>2.8400000000000012</v>
      </c>
      <c r="J62" s="51">
        <f>'LINEST VARS'!$U$56+'LINEST VARS'!$T$56*($J$56)+'LINEST VARS'!$S$56*($B62)+'LINEST VARS'!$R$56*(4)+'LINEST VARS'!$Q$56*(0.5)+'LINEST VARS'!$P$56*(12.73)+'LINEST VARS'!$O$56*($J$56^2)+'LINEST VARS'!$N$56*($B62^2)+'LINEST VARS'!$M$56*(4^2)+'LINEST VARS'!$L$56*(0.5^2)+'LINEST VARS'!$K$56*(12.73^2)+'LINEST VARS'!$J$56*($J$56*$B62)+'LINEST VARS'!$I$56*($J$56*4)+'LINEST VARS'!$H$56*($J$56*0.5)+'LINEST VARS'!$G$56*($J$56*12.73)+'LINEST VARS'!$F$56*($B62*4)+'LINEST VARS'!$E$56*($B62*0.5)+'LINEST VARS'!$D$56*($B62*12.73)+'LINEST VARS'!$C$56*(4*0.5)+'LINEST VARS'!$B$56*(4*12.73)+'LINEST VARS'!$A$56*(0.5*12.73)</f>
        <v>2.8400000000000012</v>
      </c>
      <c r="K62" s="51">
        <f>'LINEST VARS'!$U$56+'LINEST VARS'!$T$56*($K$56)+'LINEST VARS'!$S$56*($B62)+'LINEST VARS'!$R$56*(4)+'LINEST VARS'!$Q$56*(0.5)+'LINEST VARS'!$P$56*(12.73)+'LINEST VARS'!$O$56*($K$56^2)+'LINEST VARS'!$N$56*($B62^2)+'LINEST VARS'!$M$56*(4^2)+'LINEST VARS'!$L$56*(0.5^2)+'LINEST VARS'!$K$56*(12.73^2)+'LINEST VARS'!$J$56*($K$56*$B62)+'LINEST VARS'!$I$56*($K$56*4)+'LINEST VARS'!$H$56*($K$56*0.5)+'LINEST VARS'!$G$56*($K$56*12.73)+'LINEST VARS'!$F$56*($B62*4)+'LINEST VARS'!$E$56*($B62*0.5)+'LINEST VARS'!$D$56*($B62*12.73)+'LINEST VARS'!$C$56*(4*0.5)+'LINEST VARS'!$B$56*(4*12.73)+'LINEST VARS'!$A$56*(0.5*12.73)</f>
        <v>2.8400000000000007</v>
      </c>
      <c r="L62" s="51">
        <f>'LINEST VARS'!$U$56+'LINEST VARS'!$T$56*($L$56)+'LINEST VARS'!$S$56*($B62)+'LINEST VARS'!$R$56*(4)+'LINEST VARS'!$Q$56*(0.5)+'LINEST VARS'!$P$56*(12.73)+'LINEST VARS'!$O$56*($L$56^2)+'LINEST VARS'!$N$56*($B62^2)+'LINEST VARS'!$M$56*(4^2)+'LINEST VARS'!$L$56*(0.5^2)+'LINEST VARS'!$K$56*(12.73^2)+'LINEST VARS'!$J$56*($L$56*$B62)+'LINEST VARS'!$I$56*($L$56*4)+'LINEST VARS'!$H$56*($L$56*0.5)+'LINEST VARS'!$G$56*($L$56*12.73)+'LINEST VARS'!$F$56*($B62*4)+'LINEST VARS'!$E$56*($B62*0.5)+'LINEST VARS'!$D$56*($B62*12.73)+'LINEST VARS'!$C$56*(4*0.5)+'LINEST VARS'!$B$56*(4*12.73)+'LINEST VARS'!$A$56*(0.5*12.73)</f>
        <v>2.8400000000000007</v>
      </c>
      <c r="M62" s="51">
        <f>'LINEST VARS'!$U$56+'LINEST VARS'!$T$56*($M$56)+'LINEST VARS'!$S$56*($B62)+'LINEST VARS'!$R$56*(4)+'LINEST VARS'!$Q$56*(0.5)+'LINEST VARS'!$P$56*(12.73)+'LINEST VARS'!$O$56*($M$56^2)+'LINEST VARS'!$N$56*($B62^2)+'LINEST VARS'!$M$56*(4^2)+'LINEST VARS'!$L$56*(0.5^2)+'LINEST VARS'!$K$56*(12.73^2)+'LINEST VARS'!$J$56*($M$56*$B62)+'LINEST VARS'!$I$56*($M$56*4)+'LINEST VARS'!$H$56*($M$56*0.5)+'LINEST VARS'!$G$56*($M$56*12.73)+'LINEST VARS'!$F$56*($B62*4)+'LINEST VARS'!$E$56*($B62*0.5)+'LINEST VARS'!$D$56*($B62*12.73)+'LINEST VARS'!$C$56*(4*0.5)+'LINEST VARS'!$B$56*(4*12.73)+'LINEST VARS'!$A$56*(0.5*12.73)</f>
        <v>2.8400000000000007</v>
      </c>
      <c r="N62" s="51">
        <f>'LINEST VARS'!$U$56+'LINEST VARS'!$T$56*($N$56)+'LINEST VARS'!$S$56*($B62)+'LINEST VARS'!$R$56*(4)+'LINEST VARS'!$Q$56*(0.5)+'LINEST VARS'!$P$56*(12.73)+'LINEST VARS'!$O$56*($N$56^2)+'LINEST VARS'!$N$56*($B62^2)+'LINEST VARS'!$M$56*(4^2)+'LINEST VARS'!$L$56*(0.5^2)+'LINEST VARS'!$K$56*(12.73^2)+'LINEST VARS'!$J$56*($N$56*$B62)+'LINEST VARS'!$I$56*($N$56*4)+'LINEST VARS'!$H$56*($N$56*0.5)+'LINEST VARS'!$G$56*($N$56*12.73)+'LINEST VARS'!$F$56*($B62*4)+'LINEST VARS'!$E$56*($B62*0.5)+'LINEST VARS'!$D$56*($B62*12.73)+'LINEST VARS'!$C$56*(4*0.5)+'LINEST VARS'!$B$56*(4*12.73)+'LINEST VARS'!$A$56*(0.5*12.73)</f>
        <v>2.8400000000000007</v>
      </c>
      <c r="O62" s="51">
        <f>'LINEST VARS'!$U$56+'LINEST VARS'!$T$56*($O$56)+'LINEST VARS'!$S$56*($B62)+'LINEST VARS'!$R$56*(4)+'LINEST VARS'!$Q$56*(0.5)+'LINEST VARS'!$P$56*(12.73)+'LINEST VARS'!$O$56*($O$56^2)+'LINEST VARS'!$N$56*($B62^2)+'LINEST VARS'!$M$56*(4^2)+'LINEST VARS'!$L$56*(0.5^2)+'LINEST VARS'!$K$56*(12.73^2)+'LINEST VARS'!$J$56*($O$56*$B62)+'LINEST VARS'!$I$56*($O$56*4)+'LINEST VARS'!$H$56*($O$56*0.5)+'LINEST VARS'!$G$56*($O$56*12.73)+'LINEST VARS'!$F$56*($B62*4)+'LINEST VARS'!$E$56*($B62*0.5)+'LINEST VARS'!$D$56*($B62*12.73)+'LINEST VARS'!$C$56*(4*0.5)+'LINEST VARS'!$B$56*(4*12.73)+'LINEST VARS'!$A$56*(0.5*12.73)</f>
        <v>2.8400000000000007</v>
      </c>
      <c r="P62" s="51">
        <f>'LINEST VARS'!$U$56+'LINEST VARS'!$T$56*($P$56)+'LINEST VARS'!$S$56*($B62)+'LINEST VARS'!$R$56*(4)+'LINEST VARS'!$Q$56*(0.5)+'LINEST VARS'!$P$56*(12.73)+'LINEST VARS'!$O$56*($P$56^2)+'LINEST VARS'!$N$56*($B62^2)+'LINEST VARS'!$M$56*(4^2)+'LINEST VARS'!$L$56*(0.5^2)+'LINEST VARS'!$K$56*(12.73^2)+'LINEST VARS'!$J$56*($P$56*$B62)+'LINEST VARS'!$I$56*($P$56*4)+'LINEST VARS'!$H$56*($P$56*0.5)+'LINEST VARS'!$G$56*($P$56*12.73)+'LINEST VARS'!$F$56*($B62*4)+'LINEST VARS'!$E$56*($B62*0.5)+'LINEST VARS'!$D$56*($B62*12.73)+'LINEST VARS'!$C$56*(4*0.5)+'LINEST VARS'!$B$56*(4*12.73)+'LINEST VARS'!$A$56*(0.5*12.73)</f>
        <v>2.8400000000000007</v>
      </c>
      <c r="Q62" s="51">
        <f>'LINEST VARS'!$U$56+'LINEST VARS'!$T$56*($Q$56)+'LINEST VARS'!$S$56*($B62)+'LINEST VARS'!$R$56*(4)+'LINEST VARS'!$Q$56*(0.5)+'LINEST VARS'!$P$56*(12.73)+'LINEST VARS'!$O$56*($Q$56^2)+'LINEST VARS'!$N$56*($B62^2)+'LINEST VARS'!$M$56*(4^2)+'LINEST VARS'!$L$56*(0.5^2)+'LINEST VARS'!$K$56*(12.73^2)+'LINEST VARS'!$J$56*($Q$56*$B62)+'LINEST VARS'!$I$56*($Q$56*4)+'LINEST VARS'!$H$56*($Q$56*0.5)+'LINEST VARS'!$G$56*($Q$56*12.73)+'LINEST VARS'!$F$56*($B62*4)+'LINEST VARS'!$E$56*($B62*0.5)+'LINEST VARS'!$D$56*($B62*12.73)+'LINEST VARS'!$C$56*(4*0.5)+'LINEST VARS'!$B$56*(4*12.73)+'LINEST VARS'!$A$56*(0.5*12.73)</f>
        <v>2.8400000000000007</v>
      </c>
      <c r="R62" s="51">
        <f>'LINEST VARS'!$U$56+'LINEST VARS'!$T$56*($R$56)+'LINEST VARS'!$S$56*($B62)+'LINEST VARS'!$R$56*(4)+'LINEST VARS'!$Q$56*(0.5)+'LINEST VARS'!$P$56*(12.73)+'LINEST VARS'!$O$56*($R$56^2)+'LINEST VARS'!$N$56*($B62^2)+'LINEST VARS'!$M$56*(4^2)+'LINEST VARS'!$L$56*(0.5^2)+'LINEST VARS'!$K$56*(12.73^2)+'LINEST VARS'!$J$56*($R$56*$B62)+'LINEST VARS'!$I$56*($R$56*4)+'LINEST VARS'!$H$56*($R$56*0.5)+'LINEST VARS'!$G$56*($R$56*12.73)+'LINEST VARS'!$F$56*($B62*4)+'LINEST VARS'!$E$56*($B62*0.5)+'LINEST VARS'!$D$56*($B62*12.73)+'LINEST VARS'!$C$56*(4*0.5)+'LINEST VARS'!$B$56*(4*12.73)+'LINEST VARS'!$A$56*(0.5*12.73)</f>
        <v>2.8400000000000007</v>
      </c>
      <c r="S62" s="51">
        <f>'LINEST VARS'!$U$56+'LINEST VARS'!$T$56*($S$56)+'LINEST VARS'!$S$56*($B62)+'LINEST VARS'!$R$56*(4)+'LINEST VARS'!$Q$56*(0.5)+'LINEST VARS'!$P$56*(12.73)+'LINEST VARS'!$O$56*($S$56^2)+'LINEST VARS'!$N$56*($B62^2)+'LINEST VARS'!$M$56*(4^2)+'LINEST VARS'!$L$56*(0.5^2)+'LINEST VARS'!$K$56*(12.73^2)+'LINEST VARS'!$J$56*($S$56*$B62)+'LINEST VARS'!$I$56*($S$56*4)+'LINEST VARS'!$H$56*($S$56*0.5)+'LINEST VARS'!$G$56*($S$56*12.73)+'LINEST VARS'!$F$56*($B62*4)+'LINEST VARS'!$E$56*($B62*0.5)+'LINEST VARS'!$D$56*($B62*12.73)+'LINEST VARS'!$C$56*(4*0.5)+'LINEST VARS'!$B$56*(4*12.73)+'LINEST VARS'!$A$56*(0.5*12.73)</f>
        <v>2.8400000000000007</v>
      </c>
      <c r="T62" s="51">
        <f>'LINEST VARS'!$U$56+'LINEST VARS'!$T$56*($T$56)+'LINEST VARS'!$S$56*($B62)+'LINEST VARS'!$R$56*(4)+'LINEST VARS'!$Q$56*(0.5)+'LINEST VARS'!$P$56*(12.73)+'LINEST VARS'!$O$56*($T$56^2)+'LINEST VARS'!$N$56*($B62^2)+'LINEST VARS'!$M$56*(4^2)+'LINEST VARS'!$L$56*(0.5^2)+'LINEST VARS'!$K$56*(12.73^2)+'LINEST VARS'!$J$56*($T$56*$B62)+'LINEST VARS'!$I$56*($T$56*4)+'LINEST VARS'!$H$56*($T$56*0.5)+'LINEST VARS'!$G$56*($T$56*12.73)+'LINEST VARS'!$F$56*($B62*4)+'LINEST VARS'!$E$56*($B62*0.5)+'LINEST VARS'!$D$56*($B62*12.73)+'LINEST VARS'!$C$56*(4*0.5)+'LINEST VARS'!$B$56*(4*12.73)+'LINEST VARS'!$A$56*(0.5*12.73)</f>
        <v>2.8400000000000007</v>
      </c>
      <c r="U62" s="51">
        <f>'LINEST VARS'!$U$56+'LINEST VARS'!$T$56*($U$56)+'LINEST VARS'!$S$56*($B62)+'LINEST VARS'!$R$56*(4)+'LINEST VARS'!$Q$56*(0.5)+'LINEST VARS'!$P$56*(12.73)+'LINEST VARS'!$O$56*($U$56^2)+'LINEST VARS'!$N$56*($B62^2)+'LINEST VARS'!$M$56*(4^2)+'LINEST VARS'!$L$56*(0.5^2)+'LINEST VARS'!$K$56*(12.73^2)+'LINEST VARS'!$J$56*($U$56*$B62)+'LINEST VARS'!$I$56*($U$56*4)+'LINEST VARS'!$H$56*($U$56*0.5)+'LINEST VARS'!$G$56*($U$56*12.73)+'LINEST VARS'!$F$56*($B62*4)+'LINEST VARS'!$E$56*($B62*0.5)+'LINEST VARS'!$D$56*($B62*12.73)+'LINEST VARS'!$C$56*(4*0.5)+'LINEST VARS'!$B$56*(4*12.73)+'LINEST VARS'!$A$56*(0.5*12.73)</f>
        <v>2.8400000000000007</v>
      </c>
      <c r="V62" s="51">
        <f>'LINEST VARS'!$U$56+'LINEST VARS'!$T$56*($V$56)+'LINEST VARS'!$S$56*($B62)+'LINEST VARS'!$R$56*(4)+'LINEST VARS'!$Q$56*(0.5)+'LINEST VARS'!$P$56*(12.73)+'LINEST VARS'!$O$56*($V$56^2)+'LINEST VARS'!$N$56*($B62^2)+'LINEST VARS'!$M$56*(4^2)+'LINEST VARS'!$L$56*(0.5^2)+'LINEST VARS'!$K$56*(12.73^2)+'LINEST VARS'!$J$56*($V$56*$B62)+'LINEST VARS'!$I$56*($V$56*4)+'LINEST VARS'!$H$56*($V$56*0.5)+'LINEST VARS'!$G$56*($V$56*12.73)+'LINEST VARS'!$F$56*($B62*4)+'LINEST VARS'!$E$56*($B62*0.5)+'LINEST VARS'!$D$56*($B62*12.73)+'LINEST VARS'!$C$56*(4*0.5)+'LINEST VARS'!$B$56*(4*12.73)+'LINEST VARS'!$A$56*(0.5*12.73)</f>
        <v>2.8400000000000007</v>
      </c>
      <c r="W62" s="52">
        <f>'LINEST VARS'!$U$56+'LINEST VARS'!$T$56*($W$56)+'LINEST VARS'!$S$56*($B62)+'LINEST VARS'!$R$56*(4)+'LINEST VARS'!$Q$56*(0.5)+'LINEST VARS'!$P$56*(12.73)+'LINEST VARS'!$O$56*($W$56^2)+'LINEST VARS'!$N$56*($B62^2)+'LINEST VARS'!$M$56*(4^2)+'LINEST VARS'!$L$56*(0.5^2)+'LINEST VARS'!$K$56*(12.73^2)+'LINEST VARS'!$J$56*($W$56*$B62)+'LINEST VARS'!$I$56*($W$56*4)+'LINEST VARS'!$H$56*($W$56*0.5)+'LINEST VARS'!$G$56*($W$56*12.73)+'LINEST VARS'!$F$56*($B62*4)+'LINEST VARS'!$E$56*($B62*0.5)+'LINEST VARS'!$D$56*($B62*12.73)+'LINEST VARS'!$C$56*(4*0.5)+'LINEST VARS'!$B$56*(4*12.73)+'LINEST VARS'!$A$56*(0.5*12.73)</f>
        <v>2.8400000000000007</v>
      </c>
      <c r="Z62" s="45">
        <v>7.7</v>
      </c>
      <c r="AA62" s="51">
        <f>'LINEST VARS'!$U$58+'LINEST VARS'!$T$58*($AA$56)+'LINEST VARS'!$S$58*($Z62)+'LINEST VARS'!$R$58*(4)+'LINEST VARS'!$Q$58*(0.5)+'LINEST VARS'!$P$58*(12.73)+'LINEST VARS'!$O$58*($AA$56^2)+'LINEST VARS'!$N$58*($Z62^2)+'LINEST VARS'!$M$58*(4^2)+'LINEST VARS'!$L$58*(0.5^2)+'LINEST VARS'!$K$58*(12.73^2)+'LINEST VARS'!$J$58*($AA$56*$Z62)+'LINEST VARS'!$I$58*($AA$56*4)+'LINEST VARS'!$H$58*($AA$56*0.5)+'LINEST VARS'!$G$58*($AA$56*12.73)+'LINEST VARS'!$F$58*($Z62*4)+'LINEST VARS'!$E$58*($Z62*0.5)+'LINEST VARS'!$D$58*($Z62*12.73)+'LINEST VARS'!$C$58*(4*0.5)+'LINEST VARS'!$B$58*(4*12.73)+'LINEST VARS'!$A$58*(0.5*12.73)</f>
        <v>0.94365000000000021</v>
      </c>
      <c r="AB62" s="51">
        <f>'LINEST VARS'!$U$58+'LINEST VARS'!$T$58*($AB$56)+'LINEST VARS'!$S$58*($Z62)+'LINEST VARS'!$R$58*(4)+'LINEST VARS'!$Q$58*(0.5)+'LINEST VARS'!$P$58*(12.73)+'LINEST VARS'!$O$58*($AB$56^2)+'LINEST VARS'!$N$58*($Z62^2)+'LINEST VARS'!$M$58*(4^2)+'LINEST VARS'!$L$58*(0.5^2)+'LINEST VARS'!$K$58*(12.73^2)+'LINEST VARS'!$J$58*($AB$56*$Z62)+'LINEST VARS'!$I$58*($AB$56*4)+'LINEST VARS'!$H$58*($AB$56*0.5)+'LINEST VARS'!$G$58*($AB$56*12.73)+'LINEST VARS'!$F$58*($Z62*4)+'LINEST VARS'!$E$58*($Z62*0.5)+'LINEST VARS'!$D$58*($Z62*12.73)+'LINEST VARS'!$C$58*(4*0.5)+'LINEST VARS'!$B$58*(4*12.73)+'LINEST VARS'!$A$58*(0.5*12.73)</f>
        <v>0.94365000000000021</v>
      </c>
      <c r="AC62" s="51">
        <f>'LINEST VARS'!$U$58+'LINEST VARS'!$T$58*($AC$56)+'LINEST VARS'!$S$58*($Z62)+'LINEST VARS'!$R$58*(4)+'LINEST VARS'!$Q$58*(0.5)+'LINEST VARS'!$P$58*(12.73)+'LINEST VARS'!$O$58*($AC$56^2)+'LINEST VARS'!$N$58*($Z62^2)+'LINEST VARS'!$M$58*(4^2)+'LINEST VARS'!$L$58*(0.5^2)+'LINEST VARS'!$K$58*(12.73^2)+'LINEST VARS'!$J$58*($AC$56*$Z62)+'LINEST VARS'!$I$58*($AC$56*4)+'LINEST VARS'!$H$58*($AC$56*0.5)+'LINEST VARS'!$G$58*($AC$56*12.73)+'LINEST VARS'!$F$58*($Z62*4)+'LINEST VARS'!$E$58*($Z62*0.5)+'LINEST VARS'!$D$58*($Z62*12.73)+'LINEST VARS'!$C$58*(4*0.5)+'LINEST VARS'!$B$58*(4*12.73)+'LINEST VARS'!$A$58*(0.5*12.73)</f>
        <v>0.94365000000000021</v>
      </c>
      <c r="AD62" s="51">
        <f>'LINEST VARS'!$U$58+'LINEST VARS'!$T$58*($AD$56)+'LINEST VARS'!$S$58*($Z62)+'LINEST VARS'!$R$58*(4)+'LINEST VARS'!$Q$58*(0.5)+'LINEST VARS'!$P$58*(12.73)+'LINEST VARS'!$O$58*($AD$56^2)+'LINEST VARS'!$N$58*($Z62^2)+'LINEST VARS'!$M$58*(4^2)+'LINEST VARS'!$L$58*(0.5^2)+'LINEST VARS'!$K$58*(12.73^2)+'LINEST VARS'!$J$58*($AD$56*$Z62)+'LINEST VARS'!$I$58*($AD$56*4)+'LINEST VARS'!$H$58*($AD$56*0.5)+'LINEST VARS'!$G$58*($AD$56*12.73)+'LINEST VARS'!$F$58*($Z62*4)+'LINEST VARS'!$E$58*($Z62*0.5)+'LINEST VARS'!$D$58*($Z62*12.73)+'LINEST VARS'!$C$58*(4*0.5)+'LINEST VARS'!$B$58*(4*12.73)+'LINEST VARS'!$A$58*(0.5*12.73)</f>
        <v>0.94365000000000021</v>
      </c>
      <c r="AE62" s="51">
        <f>'LINEST VARS'!$U$58+'LINEST VARS'!$T$58*($AE$56)+'LINEST VARS'!$S$58*($Z62)+'LINEST VARS'!$R$58*(4)+'LINEST VARS'!$Q$58*(0.5)+'LINEST VARS'!$P$58*(12.73)+'LINEST VARS'!$O$58*($AE$56^2)+'LINEST VARS'!$N$58*($Z62^2)+'LINEST VARS'!$M$58*(4^2)+'LINEST VARS'!$L$58*(0.5^2)+'LINEST VARS'!$K$58*(12.73^2)+'LINEST VARS'!$J$58*($AE$56*$Z62)+'LINEST VARS'!$I$58*($AE$56*4)+'LINEST VARS'!$H$58*($AE$56*0.5)+'LINEST VARS'!$G$58*($AE$56*12.73)+'LINEST VARS'!$F$58*($Z62*4)+'LINEST VARS'!$E$58*($Z62*0.5)+'LINEST VARS'!$D$58*($Z62*12.73)+'LINEST VARS'!$C$58*(4*0.5)+'LINEST VARS'!$B$58*(4*12.73)+'LINEST VARS'!$A$58*(0.5*12.73)</f>
        <v>0.94365000000000021</v>
      </c>
      <c r="AF62" s="51">
        <f>'LINEST VARS'!$U$58+'LINEST VARS'!$T$58*($AF$56)+'LINEST VARS'!$S$58*($Z62)+'LINEST VARS'!$R$58*(4)+'LINEST VARS'!$Q$58*(0.5)+'LINEST VARS'!$P$58*(12.73)+'LINEST VARS'!$O$58*($AF$56^2)+'LINEST VARS'!$N$58*($Z62^2)+'LINEST VARS'!$M$58*(4^2)+'LINEST VARS'!$L$58*(0.5^2)+'LINEST VARS'!$K$58*(12.73^2)+'LINEST VARS'!$J$58*($AF$56*$Z62)+'LINEST VARS'!$I$58*($AF$56*4)+'LINEST VARS'!$H$58*($AF$56*0.5)+'LINEST VARS'!$G$58*($AF$56*12.73)+'LINEST VARS'!$F$58*($Z62*4)+'LINEST VARS'!$E$58*($Z62*0.5)+'LINEST VARS'!$D$58*($Z62*12.73)+'LINEST VARS'!$C$58*(4*0.5)+'LINEST VARS'!$B$58*(4*12.73)+'LINEST VARS'!$A$58*(0.5*12.73)</f>
        <v>0.94365000000000032</v>
      </c>
      <c r="AG62" s="51">
        <f>'LINEST VARS'!$U$58+'LINEST VARS'!$T$58*($AG$56)+'LINEST VARS'!$S$58*($Z62)+'LINEST VARS'!$R$58*(4)+'LINEST VARS'!$Q$58*(0.5)+'LINEST VARS'!$P$58*(12.73)+'LINEST VARS'!$O$58*($AG$56^2)+'LINEST VARS'!$N$58*($Z62^2)+'LINEST VARS'!$M$58*(4^2)+'LINEST VARS'!$L$58*(0.5^2)+'LINEST VARS'!$K$58*(12.73^2)+'LINEST VARS'!$J$58*($AG$56*$Z62)+'LINEST VARS'!$I$58*($AG$56*4)+'LINEST VARS'!$H$58*($AG$56*0.5)+'LINEST VARS'!$G$58*($AG$56*12.73)+'LINEST VARS'!$F$58*($Z62*4)+'LINEST VARS'!$E$58*($Z62*0.5)+'LINEST VARS'!$D$58*($Z62*12.73)+'LINEST VARS'!$C$58*(4*0.5)+'LINEST VARS'!$B$58*(4*12.73)+'LINEST VARS'!$A$58*(0.5*12.73)</f>
        <v>0.94365000000000032</v>
      </c>
      <c r="AH62" s="51">
        <f>'LINEST VARS'!$U$58+'LINEST VARS'!$T$58*($AH$56)+'LINEST VARS'!$S$58*($Z62)+'LINEST VARS'!$R$58*(4)+'LINEST VARS'!$Q$58*(0.5)+'LINEST VARS'!$P$58*(12.73)+'LINEST VARS'!$O$58*($AH$56^2)+'LINEST VARS'!$N$58*($Z62^2)+'LINEST VARS'!$M$58*(4^2)+'LINEST VARS'!$L$58*(0.5^2)+'LINEST VARS'!$K$58*(12.73^2)+'LINEST VARS'!$J$58*($AH$56*$Z62)+'LINEST VARS'!$I$58*($AH$56*4)+'LINEST VARS'!$H$58*($AH$56*0.5)+'LINEST VARS'!$G$58*($AH$56*12.73)+'LINEST VARS'!$F$58*($Z62*4)+'LINEST VARS'!$E$58*($Z62*0.5)+'LINEST VARS'!$D$58*($Z62*12.73)+'LINEST VARS'!$C$58*(4*0.5)+'LINEST VARS'!$B$58*(4*12.73)+'LINEST VARS'!$A$58*(0.5*12.73)</f>
        <v>0.94365000000000032</v>
      </c>
      <c r="AI62" s="51">
        <f>'LINEST VARS'!$U$58+'LINEST VARS'!$T$58*($AI$56)+'LINEST VARS'!$S$58*($Z62)+'LINEST VARS'!$R$58*(4)+'LINEST VARS'!$Q$58*(0.5)+'LINEST VARS'!$P$58*(12.73)+'LINEST VARS'!$O$58*($AI$56^2)+'LINEST VARS'!$N$58*($Z62^2)+'LINEST VARS'!$M$58*(4^2)+'LINEST VARS'!$L$58*(0.5^2)+'LINEST VARS'!$K$58*(12.73^2)+'LINEST VARS'!$J$58*($AI$56*$Z62)+'LINEST VARS'!$I$58*($AI$56*4)+'LINEST VARS'!$H$58*($AI$56*0.5)+'LINEST VARS'!$G$58*($AI$56*12.73)+'LINEST VARS'!$F$58*($Z62*4)+'LINEST VARS'!$E$58*($Z62*0.5)+'LINEST VARS'!$D$58*($Z62*12.73)+'LINEST VARS'!$C$58*(4*0.5)+'LINEST VARS'!$B$58*(4*12.73)+'LINEST VARS'!$A$58*(0.5*12.73)</f>
        <v>0.94365000000000021</v>
      </c>
      <c r="AJ62" s="51">
        <f>'LINEST VARS'!$U$58+'LINEST VARS'!$T$58*($AJ$56)+'LINEST VARS'!$S$58*($Z62)+'LINEST VARS'!$R$58*(4)+'LINEST VARS'!$Q$58*(0.5)+'LINEST VARS'!$P$58*(12.73)+'LINEST VARS'!$O$58*($AJ$56^2)+'LINEST VARS'!$N$58*($Z62^2)+'LINEST VARS'!$M$58*(4^2)+'LINEST VARS'!$L$58*(0.5^2)+'LINEST VARS'!$K$58*(12.73^2)+'LINEST VARS'!$J$58*($AJ$56*$Z62)+'LINEST VARS'!$I$58*($AJ$56*4)+'LINEST VARS'!$H$58*($AJ$56*0.5)+'LINEST VARS'!$G$58*($AJ$56*12.73)+'LINEST VARS'!$F$58*($Z62*4)+'LINEST VARS'!$E$58*($Z62*0.5)+'LINEST VARS'!$D$58*($Z62*12.73)+'LINEST VARS'!$C$58*(4*0.5)+'LINEST VARS'!$B$58*(4*12.73)+'LINEST VARS'!$A$58*(0.5*12.73)</f>
        <v>0.94365000000000021</v>
      </c>
      <c r="AK62" s="51">
        <f>'LINEST VARS'!$U$58+'LINEST VARS'!$T$58*($AK$56)+'LINEST VARS'!$S$58*($Z62)+'LINEST VARS'!$R$58*(4)+'LINEST VARS'!$Q$58*(0.5)+'LINEST VARS'!$P$58*(12.73)+'LINEST VARS'!$O$58*($AK$56^2)+'LINEST VARS'!$N$58*($Z62^2)+'LINEST VARS'!$M$58*(4^2)+'LINEST VARS'!$L$58*(0.5^2)+'LINEST VARS'!$K$58*(12.73^2)+'LINEST VARS'!$J$58*($AK$56*$Z62)+'LINEST VARS'!$I$58*($AK$56*4)+'LINEST VARS'!$H$58*($AK$56*0.5)+'LINEST VARS'!$G$58*($AK$56*12.73)+'LINEST VARS'!$F$58*($Z62*4)+'LINEST VARS'!$E$58*($Z62*0.5)+'LINEST VARS'!$D$58*($Z62*12.73)+'LINEST VARS'!$C$58*(4*0.5)+'LINEST VARS'!$B$58*(4*12.73)+'LINEST VARS'!$A$58*(0.5*12.73)</f>
        <v>0.94365000000000021</v>
      </c>
      <c r="AL62" s="51">
        <f>'LINEST VARS'!$U$58+'LINEST VARS'!$T$58*($AL$56)+'LINEST VARS'!$S$58*($Z62)+'LINEST VARS'!$R$58*(4)+'LINEST VARS'!$Q$58*(0.5)+'LINEST VARS'!$P$58*(12.73)+'LINEST VARS'!$O$58*($AL$56^2)+'LINEST VARS'!$N$58*($Z62^2)+'LINEST VARS'!$M$58*(4^2)+'LINEST VARS'!$L$58*(0.5^2)+'LINEST VARS'!$K$58*(12.73^2)+'LINEST VARS'!$J$58*($AL$56*$Z62)+'LINEST VARS'!$I$58*($AL$56*4)+'LINEST VARS'!$H$58*($AL$56*0.5)+'LINEST VARS'!$G$58*($AL$56*12.73)+'LINEST VARS'!$F$58*($Z62*4)+'LINEST VARS'!$E$58*($Z62*0.5)+'LINEST VARS'!$D$58*($Z62*12.73)+'LINEST VARS'!$C$58*(4*0.5)+'LINEST VARS'!$B$58*(4*12.73)+'LINEST VARS'!$A$58*(0.5*12.73)</f>
        <v>0.94365000000000021</v>
      </c>
      <c r="AM62" s="51">
        <f>'LINEST VARS'!$U$58+'LINEST VARS'!$T$58*($AM$56)+'LINEST VARS'!$S$58*($Z62)+'LINEST VARS'!$R$58*(4)+'LINEST VARS'!$Q$58*(0.5)+'LINEST VARS'!$P$58*(12.73)+'LINEST VARS'!$O$58*($AM$56^2)+'LINEST VARS'!$N$58*($Z62^2)+'LINEST VARS'!$M$58*(4^2)+'LINEST VARS'!$L$58*(0.5^2)+'LINEST VARS'!$K$58*(12.73^2)+'LINEST VARS'!$J$58*($AM$56*$Z62)+'LINEST VARS'!$I$58*($AM$56*4)+'LINEST VARS'!$H$58*($AM$56*0.5)+'LINEST VARS'!$G$58*($AM$56*12.73)+'LINEST VARS'!$F$58*($Z62*4)+'LINEST VARS'!$E$58*($Z62*0.5)+'LINEST VARS'!$D$58*($Z62*12.73)+'LINEST VARS'!$C$58*(4*0.5)+'LINEST VARS'!$B$58*(4*12.73)+'LINEST VARS'!$A$58*(0.5*12.73)</f>
        <v>0.9436500000000001</v>
      </c>
      <c r="AN62" s="51">
        <f>'LINEST VARS'!$U$58+'LINEST VARS'!$T$58*($AN$56)+'LINEST VARS'!$S$58*($Z62)+'LINEST VARS'!$R$58*(4)+'LINEST VARS'!$Q$58*(0.5)+'LINEST VARS'!$P$58*(12.73)+'LINEST VARS'!$O$58*($AN$56^2)+'LINEST VARS'!$N$58*($Z62^2)+'LINEST VARS'!$M$58*(4^2)+'LINEST VARS'!$L$58*(0.5^2)+'LINEST VARS'!$K$58*(12.73^2)+'LINEST VARS'!$J$58*($AN$56*$Z62)+'LINEST VARS'!$I$58*($AN$56*4)+'LINEST VARS'!$H$58*($AN$56*0.5)+'LINEST VARS'!$G$58*($AN$56*12.73)+'LINEST VARS'!$F$58*($Z62*4)+'LINEST VARS'!$E$58*($Z62*0.5)+'LINEST VARS'!$D$58*($Z62*12.73)+'LINEST VARS'!$C$58*(4*0.5)+'LINEST VARS'!$B$58*(4*12.73)+'LINEST VARS'!$A$58*(0.5*12.73)</f>
        <v>0.9436500000000001</v>
      </c>
      <c r="AO62" s="51">
        <f>'LINEST VARS'!$U$58+'LINEST VARS'!$T$58*($AO$56)+'LINEST VARS'!$S$58*($Z62)+'LINEST VARS'!$R$58*(4)+'LINEST VARS'!$Q$58*(0.5)+'LINEST VARS'!$P$58*(12.73)+'LINEST VARS'!$O$58*($AO$56^2)+'LINEST VARS'!$N$58*($Z62^2)+'LINEST VARS'!$M$58*(4^2)+'LINEST VARS'!$L$58*(0.5^2)+'LINEST VARS'!$K$58*(12.73^2)+'LINEST VARS'!$J$58*($AO$56*$Z62)+'LINEST VARS'!$I$58*($AO$56*4)+'LINEST VARS'!$H$58*($AO$56*0.5)+'LINEST VARS'!$G$58*($AO$56*12.73)+'LINEST VARS'!$F$58*($Z62*4)+'LINEST VARS'!$E$58*($Z62*0.5)+'LINEST VARS'!$D$58*($Z62*12.73)+'LINEST VARS'!$C$58*(4*0.5)+'LINEST VARS'!$B$58*(4*12.73)+'LINEST VARS'!$A$58*(0.5*12.73)</f>
        <v>0.9436500000000001</v>
      </c>
      <c r="AP62" s="51">
        <f>'LINEST VARS'!$U$58+'LINEST VARS'!$T$58*($AP$56)+'LINEST VARS'!$S$58*($Z62)+'LINEST VARS'!$R$58*(4)+'LINEST VARS'!$Q$58*(0.5)+'LINEST VARS'!$P$58*(12.73)+'LINEST VARS'!$O$58*($AP$56^2)+'LINEST VARS'!$N$58*($Z62^2)+'LINEST VARS'!$M$58*(4^2)+'LINEST VARS'!$L$58*(0.5^2)+'LINEST VARS'!$K$58*(12.73^2)+'LINEST VARS'!$J$58*($AP$56*$Z62)+'LINEST VARS'!$I$58*($AP$56*4)+'LINEST VARS'!$H$58*($AP$56*0.5)+'LINEST VARS'!$G$58*($AP$56*12.73)+'LINEST VARS'!$F$58*($Z62*4)+'LINEST VARS'!$E$58*($Z62*0.5)+'LINEST VARS'!$D$58*($Z62*12.73)+'LINEST VARS'!$C$58*(4*0.5)+'LINEST VARS'!$B$58*(4*12.73)+'LINEST VARS'!$A$58*(0.5*12.73)</f>
        <v>0.94365000000000021</v>
      </c>
      <c r="AQ62" s="51">
        <f>'LINEST VARS'!$U$58+'LINEST VARS'!$T$58*($AQ$56)+'LINEST VARS'!$S$58*($Z62)+'LINEST VARS'!$R$58*(4)+'LINEST VARS'!$Q$58*(0.5)+'LINEST VARS'!$P$58*(12.73)+'LINEST VARS'!$O$58*($AQ$56^2)+'LINEST VARS'!$N$58*($Z62^2)+'LINEST VARS'!$M$58*(4^2)+'LINEST VARS'!$L$58*(0.5^2)+'LINEST VARS'!$K$58*(12.73^2)+'LINEST VARS'!$J$58*($AQ$56*$Z62)+'LINEST VARS'!$I$58*($AQ$56*4)+'LINEST VARS'!$H$58*($AQ$56*0.5)+'LINEST VARS'!$G$58*($AQ$56*12.73)+'LINEST VARS'!$F$58*($Z62*4)+'LINEST VARS'!$E$58*($Z62*0.5)+'LINEST VARS'!$D$58*($Z62*12.73)+'LINEST VARS'!$C$58*(4*0.5)+'LINEST VARS'!$B$58*(4*12.73)+'LINEST VARS'!$A$58*(0.5*12.73)</f>
        <v>0.94365000000000021</v>
      </c>
      <c r="AR62" s="51">
        <f>'LINEST VARS'!$U$58+'LINEST VARS'!$T$58*($AR$56)+'LINEST VARS'!$S$58*($Z62)+'LINEST VARS'!$R$58*(4)+'LINEST VARS'!$Q$58*(0.5)+'LINEST VARS'!$P$58*(12.73)+'LINEST VARS'!$O$58*($AR$56^2)+'LINEST VARS'!$N$58*($Z62^2)+'LINEST VARS'!$M$58*(4^2)+'LINEST VARS'!$L$58*(0.5^2)+'LINEST VARS'!$K$58*(12.73^2)+'LINEST VARS'!$J$58*($AR$56*$Z62)+'LINEST VARS'!$I$58*($AR$56*4)+'LINEST VARS'!$H$58*($AR$56*0.5)+'LINEST VARS'!$G$58*($AR$56*12.73)+'LINEST VARS'!$F$58*($Z62*4)+'LINEST VARS'!$E$58*($Z62*0.5)+'LINEST VARS'!$D$58*($Z62*12.73)+'LINEST VARS'!$C$58*(4*0.5)+'LINEST VARS'!$B$58*(4*12.73)+'LINEST VARS'!$A$58*(0.5*12.73)</f>
        <v>0.94365000000000021</v>
      </c>
      <c r="AS62" s="51">
        <f>'LINEST VARS'!$U$58+'LINEST VARS'!$T$58*($AS$56)+'LINEST VARS'!$S$58*($Z62)+'LINEST VARS'!$R$58*(4)+'LINEST VARS'!$Q$58*(0.5)+'LINEST VARS'!$P$58*(12.73)+'LINEST VARS'!$O$58*($AS$56^2)+'LINEST VARS'!$N$58*($Z62^2)+'LINEST VARS'!$M$58*(4^2)+'LINEST VARS'!$L$58*(0.5^2)+'LINEST VARS'!$K$58*(12.73^2)+'LINEST VARS'!$J$58*($AS$56*$Z62)+'LINEST VARS'!$I$58*($AS$56*4)+'LINEST VARS'!$H$58*($AS$56*0.5)+'LINEST VARS'!$G$58*($AS$56*12.73)+'LINEST VARS'!$F$58*($Z62*4)+'LINEST VARS'!$E$58*($Z62*0.5)+'LINEST VARS'!$D$58*($Z62*12.73)+'LINEST VARS'!$C$58*(4*0.5)+'LINEST VARS'!$B$58*(4*12.73)+'LINEST VARS'!$A$58*(0.5*12.73)</f>
        <v>0.94365000000000021</v>
      </c>
      <c r="AT62" s="51">
        <f>'LINEST VARS'!$U$58+'LINEST VARS'!$T$58*($AT$56)+'LINEST VARS'!$S$58*($Z62)+'LINEST VARS'!$R$58*(4)+'LINEST VARS'!$Q$58*(0.5)+'LINEST VARS'!$P$58*(12.73)+'LINEST VARS'!$O$58*($AT$56^2)+'LINEST VARS'!$N$58*($Z62^2)+'LINEST VARS'!$M$58*(4^2)+'LINEST VARS'!$L$58*(0.5^2)+'LINEST VARS'!$K$58*(12.73^2)+'LINEST VARS'!$J$58*($AT$56*$Z62)+'LINEST VARS'!$I$58*($AT$56*4)+'LINEST VARS'!$H$58*($AT$56*0.5)+'LINEST VARS'!$G$58*($AT$56*12.73)+'LINEST VARS'!$F$58*($Z62*4)+'LINEST VARS'!$E$58*($Z62*0.5)+'LINEST VARS'!$D$58*($Z62*12.73)+'LINEST VARS'!$C$58*(4*0.5)+'LINEST VARS'!$B$58*(4*12.73)+'LINEST VARS'!$A$58*(0.5*12.73)</f>
        <v>0.94365000000000021</v>
      </c>
      <c r="AU62" s="52">
        <f>'LINEST VARS'!$U$58+'LINEST VARS'!$T$58*($AU$56)+'LINEST VARS'!$S$58*($Z62)+'LINEST VARS'!$R$58*(4)+'LINEST VARS'!$Q$58*(0.5)+'LINEST VARS'!$P$58*(12.73)+'LINEST VARS'!$O$58*($AU$56^2)+'LINEST VARS'!$N$58*($Z62^2)+'LINEST VARS'!$M$58*(4^2)+'LINEST VARS'!$L$58*(0.5^2)+'LINEST VARS'!$K$58*(12.73^2)+'LINEST VARS'!$J$58*($AU$56*$Z62)+'LINEST VARS'!$I$58*($AU$56*4)+'LINEST VARS'!$H$58*($AU$56*0.5)+'LINEST VARS'!$G$58*($AU$56*12.73)+'LINEST VARS'!$F$58*($Z62*4)+'LINEST VARS'!$E$58*($Z62*0.5)+'LINEST VARS'!$D$58*($Z62*12.73)+'LINEST VARS'!$C$58*(4*0.5)+'LINEST VARS'!$B$58*(4*12.73)+'LINEST VARS'!$A$58*(0.5*12.73)</f>
        <v>0.9436500000000001</v>
      </c>
      <c r="AZ62" s="45">
        <v>0.25</v>
      </c>
      <c r="BA62" s="51">
        <f>'LINEST VARS'!$U$56+'LINEST VARS'!$T$56*(8)+'LINEST VARS'!$S$56*(8)+'LINEST VARS'!$R$56*($BA$56)+'LINEST VARS'!$Q$56*($AZ62)+'LINEST VARS'!$P$56*(12.73)+'LINEST VARS'!$O$56*(8^2)+'LINEST VARS'!$N$56*(8^2)+'LINEST VARS'!$M$56*($BA$56^2)+'LINEST VARS'!$L$56*($AZ62^2)+'LINEST VARS'!$K$56*(12.73^2)+'LINEST VARS'!$J$56*(8*8)+'LINEST VARS'!$I$56*(8*$BA$56)+'LINEST VARS'!$H$56*(8*$AZ62)+'LINEST VARS'!$G$56*(8*12.73)+'LINEST VARS'!$F$56*(8*$BA$56)+'LINEST VARS'!$E$56*(8*$AZ62)+'LINEST VARS'!$D$56*(8*12.73)+'LINEST VARS'!$C$56*($BA$56*$AZ62)+'LINEST VARS'!$B$56*($BA$56*12.73)+'LINEST VARS'!$A$56*($AZ62*12.73)</f>
        <v>2.8000000000000016</v>
      </c>
      <c r="BB62" s="51">
        <f>'LINEST VARS'!$U$56+'LINEST VARS'!$T$56*(8)+'LINEST VARS'!$S$56*(8)+'LINEST VARS'!$R$56*($BB$56)+'LINEST VARS'!$Q$56*($AZ62)+'LINEST VARS'!$P$56*(12.73)+'LINEST VARS'!$O$56*(8^2)+'LINEST VARS'!$N$56*(8^2)+'LINEST VARS'!$M$56*($BB$56^2)+'LINEST VARS'!$L$56*($AZ62^2)+'LINEST VARS'!$K$56*(12.73^2)+'LINEST VARS'!$J$56*(8*8)+'LINEST VARS'!$I$56*(8*$BB$56)+'LINEST VARS'!$H$56*(8*$AZ62)+'LINEST VARS'!$G$56*(8*12.73)+'LINEST VARS'!$F$56*(8*$BB$56)+'LINEST VARS'!$E$56*(8*$AZ62)+'LINEST VARS'!$D$56*(8*12.73)+'LINEST VARS'!$C$56*($BB$56*$AZ62)+'LINEST VARS'!$B$56*($BB$56*12.73)+'LINEST VARS'!$A$56*($AZ62*12.73)</f>
        <v>2.8184000000000018</v>
      </c>
      <c r="BC62" s="51">
        <f>'LINEST VARS'!$U$56+'LINEST VARS'!$T$56*(8)+'LINEST VARS'!$S$56*(8)+'LINEST VARS'!$R$56*($BC$56)+'LINEST VARS'!$Q$56*($AZ62)+'LINEST VARS'!$P$56*(12.73)+'LINEST VARS'!$O$56*(8^2)+'LINEST VARS'!$N$56*(8^2)+'LINEST VARS'!$M$56*($BC$56^2)+'LINEST VARS'!$L$56*($AZ62^2)+'LINEST VARS'!$K$56*(12.73^2)+'LINEST VARS'!$J$56*(8*8)+'LINEST VARS'!$I$56*(8*$BC$56)+'LINEST VARS'!$H$56*(8*$AZ62)+'LINEST VARS'!$G$56*(8*12.73)+'LINEST VARS'!$F$56*(8*$BC$56)+'LINEST VARS'!$E$56*(8*$AZ62)+'LINEST VARS'!$D$56*(8*12.73)+'LINEST VARS'!$C$56*($BC$56*$AZ62)+'LINEST VARS'!$B$56*($BC$56*12.73)+'LINEST VARS'!$A$56*($AZ62*12.73)</f>
        <v>2.8336000000000015</v>
      </c>
      <c r="BD62" s="51">
        <f>'LINEST VARS'!$U$56+'LINEST VARS'!$T$56*(8)+'LINEST VARS'!$S$56*(8)+'LINEST VARS'!$R$56*($BD$56)+'LINEST VARS'!$Q$56*($AZ62)+'LINEST VARS'!$P$56*(12.73)+'LINEST VARS'!$O$56*(8^2)+'LINEST VARS'!$N$56*(8^2)+'LINEST VARS'!$M$56*($BD$56^2)+'LINEST VARS'!$L$56*($AZ62^2)+'LINEST VARS'!$K$56*(12.73^2)+'LINEST VARS'!$J$56*(8*8)+'LINEST VARS'!$I$56*(8*$BD$56)+'LINEST VARS'!$H$56*(8*$AZ62)+'LINEST VARS'!$G$56*(8*12.73)+'LINEST VARS'!$F$56*(8*$BD$56)+'LINEST VARS'!$E$56*(8*$AZ62)+'LINEST VARS'!$D$56*(8*12.73)+'LINEST VARS'!$C$56*($BD$56*$AZ62)+'LINEST VARS'!$B$56*($BD$56*12.73)+'LINEST VARS'!$A$56*($AZ62*12.73)</f>
        <v>2.8456000000000015</v>
      </c>
      <c r="BE62" s="51">
        <f>'LINEST VARS'!$U$56+'LINEST VARS'!$T$56*(8)+'LINEST VARS'!$S$56*(8)+'LINEST VARS'!$R$56*($BE$56)+'LINEST VARS'!$Q$56*($AZ62)+'LINEST VARS'!$P$56*(12.73)+'LINEST VARS'!$O$56*(8^2)+'LINEST VARS'!$N$56*(8^2)+'LINEST VARS'!$M$56*($BE$56^2)+'LINEST VARS'!$L$56*($AZ62^2)+'LINEST VARS'!$K$56*(12.73^2)+'LINEST VARS'!$J$56*(8*8)+'LINEST VARS'!$I$56*(8*$BE$56)+'LINEST VARS'!$H$56*(8*$AZ62)+'LINEST VARS'!$G$56*(8*12.73)+'LINEST VARS'!$F$56*(8*$BE$56)+'LINEST VARS'!$E$56*(8*$AZ62)+'LINEST VARS'!$D$56*(8*12.73)+'LINEST VARS'!$C$56*($BE$56*$AZ62)+'LINEST VARS'!$B$56*($BE$56*12.73)+'LINEST VARS'!$A$56*($AZ62*12.73)</f>
        <v>2.8544000000000018</v>
      </c>
      <c r="BF62" s="51">
        <f>'LINEST VARS'!$U$56+'LINEST VARS'!$T$56*(8)+'LINEST VARS'!$S$56*(8)+'LINEST VARS'!$R$56*($BF$56)+'LINEST VARS'!$Q$56*($AZ62)+'LINEST VARS'!$P$56*(12.73)+'LINEST VARS'!$O$56*(8^2)+'LINEST VARS'!$N$56*(8^2)+'LINEST VARS'!$M$56*($BF$56^2)+'LINEST VARS'!$L$56*($AZ62^2)+'LINEST VARS'!$K$56*(12.73^2)+'LINEST VARS'!$J$56*(8*8)+'LINEST VARS'!$I$56*(8*$BF$56)+'LINEST VARS'!$H$56*(8*$AZ62)+'LINEST VARS'!$G$56*(8*12.73)+'LINEST VARS'!$F$56*(8*$BF$56)+'LINEST VARS'!$E$56*(8*$AZ62)+'LINEST VARS'!$D$56*(8*12.73)+'LINEST VARS'!$C$56*($BF$56*$AZ62)+'LINEST VARS'!$B$56*($BF$56*12.73)+'LINEST VARS'!$A$56*($AZ62*12.73)</f>
        <v>2.8600000000000017</v>
      </c>
      <c r="BG62" s="51">
        <f>'LINEST VARS'!$U$56+'LINEST VARS'!$T$56*(8)+'LINEST VARS'!$S$56*(8)+'LINEST VARS'!$R$56*($BG$56)+'LINEST VARS'!$Q$56*($AZ62)+'LINEST VARS'!$P$56*(12.73)+'LINEST VARS'!$O$56*(8^2)+'LINEST VARS'!$N$56*(8^2)+'LINEST VARS'!$M$56*($BG$56^2)+'LINEST VARS'!$L$56*($AZ62^2)+'LINEST VARS'!$K$56*(12.73^2)+'LINEST VARS'!$J$56*(8*8)+'LINEST VARS'!$I$56*(8*$BG$56)+'LINEST VARS'!$H$56*(8*$AZ62)+'LINEST VARS'!$G$56*(8*12.73)+'LINEST VARS'!$F$56*(8*$BG$56)+'LINEST VARS'!$E$56*(8*$AZ62)+'LINEST VARS'!$D$56*(8*12.73)+'LINEST VARS'!$C$56*($BG$56*$AZ62)+'LINEST VARS'!$B$56*($BG$56*12.73)+'LINEST VARS'!$A$56*($AZ62*12.73)</f>
        <v>2.8624000000000018</v>
      </c>
      <c r="BH62" s="51">
        <f>'LINEST VARS'!$U$56+'LINEST VARS'!$T$56*(8)+'LINEST VARS'!$S$56*(8)+'LINEST VARS'!$R$56*($BH$56)+'LINEST VARS'!$Q$56*($AZ62)+'LINEST VARS'!$P$56*(12.73)+'LINEST VARS'!$O$56*(8^2)+'LINEST VARS'!$N$56*(8^2)+'LINEST VARS'!$M$56*($BH$56^2)+'LINEST VARS'!$L$56*($AZ62^2)+'LINEST VARS'!$K$56*(12.73^2)+'LINEST VARS'!$J$56*(8*8)+'LINEST VARS'!$I$56*(8*$BH$56)+'LINEST VARS'!$H$56*(8*$AZ62)+'LINEST VARS'!$G$56*(8*12.73)+'LINEST VARS'!$F$56*(8*$BH$56)+'LINEST VARS'!$E$56*(8*$AZ62)+'LINEST VARS'!$D$56*(8*12.73)+'LINEST VARS'!$C$56*($BH$56*$AZ62)+'LINEST VARS'!$B$56*($BH$56*12.73)+'LINEST VARS'!$A$56*($AZ62*12.73)</f>
        <v>2.8616000000000015</v>
      </c>
      <c r="BI62" s="51">
        <f>'LINEST VARS'!$U$56+'LINEST VARS'!$T$56*(8)+'LINEST VARS'!$S$56*(8)+'LINEST VARS'!$R$56*($BI$56)+'LINEST VARS'!$Q$56*($AZ62)+'LINEST VARS'!$P$56*(12.73)+'LINEST VARS'!$O$56*(8^2)+'LINEST VARS'!$N$56*(8^2)+'LINEST VARS'!$M$56*($BI$56^2)+'LINEST VARS'!$L$56*($AZ62^2)+'LINEST VARS'!$K$56*(12.73^2)+'LINEST VARS'!$J$56*(8*8)+'LINEST VARS'!$I$56*(8*$BI$56)+'LINEST VARS'!$H$56*(8*$AZ62)+'LINEST VARS'!$G$56*(8*12.73)+'LINEST VARS'!$F$56*(8*$BI$56)+'LINEST VARS'!$E$56*(8*$AZ62)+'LINEST VARS'!$D$56*(8*12.73)+'LINEST VARS'!$C$56*($BI$56*$AZ62)+'LINEST VARS'!$B$56*($BI$56*12.73)+'LINEST VARS'!$A$56*($AZ62*12.73)</f>
        <v>2.8576000000000015</v>
      </c>
      <c r="BJ62" s="51">
        <f>'LINEST VARS'!$U$56+'LINEST VARS'!$T$56*(8)+'LINEST VARS'!$S$56*(8)+'LINEST VARS'!$R$56*($BJ$56)+'LINEST VARS'!$Q$56*($AZ62)+'LINEST VARS'!$P$56*(12.73)+'LINEST VARS'!$O$56*(8^2)+'LINEST VARS'!$N$56*(8^2)+'LINEST VARS'!$M$56*($BJ$56^2)+'LINEST VARS'!$L$56*($AZ62^2)+'LINEST VARS'!$K$56*(12.73^2)+'LINEST VARS'!$J$56*(8*8)+'LINEST VARS'!$I$56*(8*$BJ$56)+'LINEST VARS'!$H$56*(8*$AZ62)+'LINEST VARS'!$G$56*(8*12.73)+'LINEST VARS'!$F$56*(8*$BJ$56)+'LINEST VARS'!$E$56*(8*$AZ62)+'LINEST VARS'!$D$56*(8*12.73)+'LINEST VARS'!$C$56*($BJ$56*$AZ62)+'LINEST VARS'!$B$56*($BJ$56*12.73)+'LINEST VARS'!$A$56*($AZ62*12.73)</f>
        <v>2.8504000000000018</v>
      </c>
      <c r="BK62" s="51">
        <f>'LINEST VARS'!$U$56+'LINEST VARS'!$T$56*(8)+'LINEST VARS'!$S$56*(8)+'LINEST VARS'!$R$56*($BK$56)+'LINEST VARS'!$Q$56*($AZ62)+'LINEST VARS'!$P$56*(12.73)+'LINEST VARS'!$O$56*(8^2)+'LINEST VARS'!$N$56*(8^2)+'LINEST VARS'!$M$56*($BK$56^2)+'LINEST VARS'!$L$56*($AZ62^2)+'LINEST VARS'!$K$56*(12.73^2)+'LINEST VARS'!$J$56*(8*8)+'LINEST VARS'!$I$56*(8*$BK$56)+'LINEST VARS'!$H$56*(8*$AZ62)+'LINEST VARS'!$G$56*(8*12.73)+'LINEST VARS'!$F$56*(8*$BK$56)+'LINEST VARS'!$E$56*(8*$AZ62)+'LINEST VARS'!$D$56*(8*12.73)+'LINEST VARS'!$C$56*($BK$56*$AZ62)+'LINEST VARS'!$B$56*($BK$56*12.73)+'LINEST VARS'!$A$56*($AZ62*12.73)</f>
        <v>2.8400000000000016</v>
      </c>
      <c r="BL62" s="51">
        <f>'LINEST VARS'!$U$56+'LINEST VARS'!$T$56*(8)+'LINEST VARS'!$S$56*(8)+'LINEST VARS'!$R$56*($BL$56)+'LINEST VARS'!$Q$56*($AZ62)+'LINEST VARS'!$P$56*(12.73)+'LINEST VARS'!$O$56*(8^2)+'LINEST VARS'!$N$56*(8^2)+'LINEST VARS'!$M$56*($BL$56^2)+'LINEST VARS'!$L$56*($AZ62^2)+'LINEST VARS'!$K$56*(12.73^2)+'LINEST VARS'!$J$56*(8*8)+'LINEST VARS'!$I$56*(8*$BL$56)+'LINEST VARS'!$H$56*(8*$AZ62)+'LINEST VARS'!$G$56*(8*12.73)+'LINEST VARS'!$F$56*(8*$BL$56)+'LINEST VARS'!$E$56*(8*$AZ62)+'LINEST VARS'!$D$56*(8*12.73)+'LINEST VARS'!$C$56*($BL$56*$AZ62)+'LINEST VARS'!$B$56*($BL$56*12.73)+'LINEST VARS'!$A$56*($AZ62*12.73)</f>
        <v>2.8264000000000018</v>
      </c>
      <c r="BM62" s="51">
        <f>'LINEST VARS'!$U$56+'LINEST VARS'!$T$56*(8)+'LINEST VARS'!$S$56*(8)+'LINEST VARS'!$R$56*($BM$56)+'LINEST VARS'!$Q$56*($AZ62)+'LINEST VARS'!$P$56*(12.73)+'LINEST VARS'!$O$56*(8^2)+'LINEST VARS'!$N$56*(8^2)+'LINEST VARS'!$M$56*($BM$56^2)+'LINEST VARS'!$L$56*($AZ62^2)+'LINEST VARS'!$K$56*(12.73^2)+'LINEST VARS'!$J$56*(8*8)+'LINEST VARS'!$I$56*(8*$BM$56)+'LINEST VARS'!$H$56*(8*$AZ62)+'LINEST VARS'!$G$56*(8*12.73)+'LINEST VARS'!$F$56*(8*$BM$56)+'LINEST VARS'!$E$56*(8*$AZ62)+'LINEST VARS'!$D$56*(8*12.73)+'LINEST VARS'!$C$56*($BM$56*$AZ62)+'LINEST VARS'!$B$56*($BM$56*12.73)+'LINEST VARS'!$A$56*($AZ62*12.73)</f>
        <v>2.8096000000000014</v>
      </c>
      <c r="BN62" s="51">
        <f>'LINEST VARS'!$U$56+'LINEST VARS'!$T$56*(8)+'LINEST VARS'!$S$56*(8)+'LINEST VARS'!$R$56*($BN$56)+'LINEST VARS'!$Q$56*($AZ62)+'LINEST VARS'!$P$56*(12.73)+'LINEST VARS'!$O$56*(8^2)+'LINEST VARS'!$N$56*(8^2)+'LINEST VARS'!$M$56*($BN$56^2)+'LINEST VARS'!$L$56*($AZ62^2)+'LINEST VARS'!$K$56*(12.73^2)+'LINEST VARS'!$J$56*(8*8)+'LINEST VARS'!$I$56*(8*$BN$56)+'LINEST VARS'!$H$56*(8*$AZ62)+'LINEST VARS'!$G$56*(8*12.73)+'LINEST VARS'!$F$56*(8*$BN$56)+'LINEST VARS'!$E$56*(8*$AZ62)+'LINEST VARS'!$D$56*(8*12.73)+'LINEST VARS'!$C$56*($BN$56*$AZ62)+'LINEST VARS'!$B$56*($BN$56*12.73)+'LINEST VARS'!$A$56*($AZ62*12.73)</f>
        <v>2.7896000000000014</v>
      </c>
      <c r="BO62" s="51">
        <f>'LINEST VARS'!$U$56+'LINEST VARS'!$T$56*(8)+'LINEST VARS'!$S$56*(8)+'LINEST VARS'!$R$56*($BO$56)+'LINEST VARS'!$Q$56*($AZ62)+'LINEST VARS'!$P$56*(12.73)+'LINEST VARS'!$O$56*(8^2)+'LINEST VARS'!$N$56*(8^2)+'LINEST VARS'!$M$56*($BO$56^2)+'LINEST VARS'!$L$56*($AZ62^2)+'LINEST VARS'!$K$56*(12.73^2)+'LINEST VARS'!$J$56*(8*8)+'LINEST VARS'!$I$56*(8*$BO$56)+'LINEST VARS'!$H$56*(8*$AZ62)+'LINEST VARS'!$G$56*(8*12.73)+'LINEST VARS'!$F$56*(8*$BO$56)+'LINEST VARS'!$E$56*(8*$AZ62)+'LINEST VARS'!$D$56*(8*12.73)+'LINEST VARS'!$C$56*($BO$56*$AZ62)+'LINEST VARS'!$B$56*($BO$56*12.73)+'LINEST VARS'!$A$56*($AZ62*12.73)</f>
        <v>2.7664000000000017</v>
      </c>
      <c r="BP62" s="51">
        <f>'LINEST VARS'!$U$56+'LINEST VARS'!$T$56*(8)+'LINEST VARS'!$S$56*(8)+'LINEST VARS'!$R$56*($BP$56)+'LINEST VARS'!$Q$56*($AZ62)+'LINEST VARS'!$P$56*(12.73)+'LINEST VARS'!$O$56*(8^2)+'LINEST VARS'!$N$56*(8^2)+'LINEST VARS'!$M$56*($BP$56^2)+'LINEST VARS'!$L$56*($AZ62^2)+'LINEST VARS'!$K$56*(12.73^2)+'LINEST VARS'!$J$56*(8*8)+'LINEST VARS'!$I$56*(8*$BP$56)+'LINEST VARS'!$H$56*(8*$AZ62)+'LINEST VARS'!$G$56*(8*12.73)+'LINEST VARS'!$F$56*(8*$BP$56)+'LINEST VARS'!$E$56*(8*$AZ62)+'LINEST VARS'!$D$56*(8*12.73)+'LINEST VARS'!$C$56*($BP$56*$AZ62)+'LINEST VARS'!$B$56*($BP$56*12.73)+'LINEST VARS'!$A$56*($AZ62*12.73)</f>
        <v>2.7400000000000015</v>
      </c>
      <c r="BQ62" s="51">
        <f>'LINEST VARS'!$U$56+'LINEST VARS'!$T$56*(8)+'LINEST VARS'!$S$56*(8)+'LINEST VARS'!$R$56*($BQ$56)+'LINEST VARS'!$Q$56*($AZ62)+'LINEST VARS'!$P$56*(12.73)+'LINEST VARS'!$O$56*(8^2)+'LINEST VARS'!$N$56*(8^2)+'LINEST VARS'!$M$56*($BQ$56^2)+'LINEST VARS'!$L$56*($AZ62^2)+'LINEST VARS'!$K$56*(12.73^2)+'LINEST VARS'!$J$56*(8*8)+'LINEST VARS'!$I$56*(8*$BQ$56)+'LINEST VARS'!$H$56*(8*$AZ62)+'LINEST VARS'!$G$56*(8*12.73)+'LINEST VARS'!$F$56*(8*$BQ$56)+'LINEST VARS'!$E$56*(8*$AZ62)+'LINEST VARS'!$D$56*(8*12.73)+'LINEST VARS'!$C$56*($BQ$56*$AZ62)+'LINEST VARS'!$B$56*($BQ$56*12.73)+'LINEST VARS'!$A$56*($AZ62*12.73)</f>
        <v>2.7104000000000013</v>
      </c>
      <c r="BR62" s="51">
        <f>'LINEST VARS'!$U$56+'LINEST VARS'!$T$56*(8)+'LINEST VARS'!$S$56*(8)+'LINEST VARS'!$R$56*($BR$56)+'LINEST VARS'!$Q$56*($AZ62)+'LINEST VARS'!$P$56*(12.73)+'LINEST VARS'!$O$56*(8^2)+'LINEST VARS'!$N$56*(8^2)+'LINEST VARS'!$M$56*($BR$56^2)+'LINEST VARS'!$L$56*($AZ62^2)+'LINEST VARS'!$K$56*(12.73^2)+'LINEST VARS'!$J$56*(8*8)+'LINEST VARS'!$I$56*(8*$BR$56)+'LINEST VARS'!$H$56*(8*$AZ62)+'LINEST VARS'!$G$56*(8*12.73)+'LINEST VARS'!$F$56*(8*$BR$56)+'LINEST VARS'!$E$56*(8*$AZ62)+'LINEST VARS'!$D$56*(8*12.73)+'LINEST VARS'!$C$56*($BR$56*$AZ62)+'LINEST VARS'!$B$56*($BR$56*12.73)+'LINEST VARS'!$A$56*($AZ62*12.73)</f>
        <v>2.6776000000000013</v>
      </c>
      <c r="BS62" s="51">
        <f>'LINEST VARS'!$U$56+'LINEST VARS'!$T$56*(8)+'LINEST VARS'!$S$56*(8)+'LINEST VARS'!$R$56*($BS$56)+'LINEST VARS'!$Q$56*($AZ62)+'LINEST VARS'!$P$56*(12.73)+'LINEST VARS'!$O$56*(8^2)+'LINEST VARS'!$N$56*(8^2)+'LINEST VARS'!$M$56*($BS$56^2)+'LINEST VARS'!$L$56*($AZ62^2)+'LINEST VARS'!$K$56*(12.73^2)+'LINEST VARS'!$J$56*(8*8)+'LINEST VARS'!$I$56*(8*$BS$56)+'LINEST VARS'!$H$56*(8*$AZ62)+'LINEST VARS'!$G$56*(8*12.73)+'LINEST VARS'!$F$56*(8*$BS$56)+'LINEST VARS'!$E$56*(8*$AZ62)+'LINEST VARS'!$D$56*(8*12.73)+'LINEST VARS'!$C$56*($BS$56*$AZ62)+'LINEST VARS'!$B$56*($BS$56*12.73)+'LINEST VARS'!$A$56*($AZ62*12.73)</f>
        <v>2.6416000000000013</v>
      </c>
      <c r="BT62" s="51">
        <f>'LINEST VARS'!$U$56+'LINEST VARS'!$T$56*(8)+'LINEST VARS'!$S$56*(8)+'LINEST VARS'!$R$56*($BT$56)+'LINEST VARS'!$Q$56*($AZ62)+'LINEST VARS'!$P$56*(12.73)+'LINEST VARS'!$O$56*(8^2)+'LINEST VARS'!$N$56*(8^2)+'LINEST VARS'!$M$56*($BT$56^2)+'LINEST VARS'!$L$56*($AZ62^2)+'LINEST VARS'!$K$56*(12.73^2)+'LINEST VARS'!$J$56*(8*8)+'LINEST VARS'!$I$56*(8*$BT$56)+'LINEST VARS'!$H$56*(8*$AZ62)+'LINEST VARS'!$G$56*(8*12.73)+'LINEST VARS'!$F$56*(8*$BT$56)+'LINEST VARS'!$E$56*(8*$AZ62)+'LINEST VARS'!$D$56*(8*12.73)+'LINEST VARS'!$C$56*($BT$56*$AZ62)+'LINEST VARS'!$B$56*($BT$56*12.73)+'LINEST VARS'!$A$56*($AZ62*12.73)</f>
        <v>2.6024000000000016</v>
      </c>
      <c r="BU62" s="52">
        <f>'LINEST VARS'!$U$56+'LINEST VARS'!$T$56*(8)+'LINEST VARS'!$S$56*(8)+'LINEST VARS'!$R$56*($BU$56)+'LINEST VARS'!$Q$56*($AZ62)+'LINEST VARS'!$P$56*(12.73)+'LINEST VARS'!$O$56*(8^2)+'LINEST VARS'!$N$56*(8^2)+'LINEST VARS'!$M$56*($BU$56^2)+'LINEST VARS'!$L$56*($AZ62^2)+'LINEST VARS'!$K$56*(12.73^2)+'LINEST VARS'!$J$56*(8*8)+'LINEST VARS'!$I$56*(8*$BU$56)+'LINEST VARS'!$H$56*(8*$AZ62)+'LINEST VARS'!$G$56*(8*12.73)+'LINEST VARS'!$F$56*(8*$BU$56)+'LINEST VARS'!$E$56*(8*$AZ62)+'LINEST VARS'!$D$56*(8*12.73)+'LINEST VARS'!$C$56*($BU$56*$AZ62)+'LINEST VARS'!$B$56*($BU$56*12.73)+'LINEST VARS'!$A$56*($AZ62*12.73)</f>
        <v>2.5600000000000014</v>
      </c>
      <c r="BX62" s="45">
        <v>0.25</v>
      </c>
      <c r="BY62" s="51">
        <f>'LINEST VARS'!$U$58+'LINEST VARS'!$T$58*(8)+'LINEST VARS'!$S$58*(8)+'LINEST VARS'!$R$58*($BY$56)+'LINEST VARS'!$Q$58*($BX62)+'LINEST VARS'!$P$58*(12.73)+'LINEST VARS'!$O$58*(8^2)+'LINEST VARS'!$N$58*(8^2)+'LINEST VARS'!$M$58*($BY$56^2)+'LINEST VARS'!$L$58*($BX62^2)+'LINEST VARS'!$K$58*(12.73^2)+'LINEST VARS'!$J$58*(8*8)+'LINEST VARS'!$I$58*(8*$BY$56)+'LINEST VARS'!$H$58*(8*$BX62)+'LINEST VARS'!$G$58*(8*12.73)+'LINEST VARS'!$F$58*(8*$BY$56)+'LINEST VARS'!$E$58*(8*$BX62)+'LINEST VARS'!$D$58*(8*12.73)+'LINEST VARS'!$C$58*($BY$56*$BX62)+'LINEST VARS'!$B$58*($BY$56*12.73)+'LINEST VARS'!$A$58*($BX62*12.73)</f>
        <v>0.86365000000000036</v>
      </c>
      <c r="BZ62" s="51">
        <f>'LINEST VARS'!$U$58+'LINEST VARS'!$T$58*(8)+'LINEST VARS'!$S$58*(8)+'LINEST VARS'!$R$58*($BZ$56)+'LINEST VARS'!$Q$58*($BX62)+'LINEST VARS'!$P$58*(12.73)+'LINEST VARS'!$O$58*(8^2)+'LINEST VARS'!$N$58*(8^2)+'LINEST VARS'!$M$58*($BZ$56^2)+'LINEST VARS'!$L$58*($BX62^2)+'LINEST VARS'!$K$58*(12.73^2)+'LINEST VARS'!$J$58*(8*8)+'LINEST VARS'!$I$58*(8*$BZ$56)+'LINEST VARS'!$H$58*(8*$BX62)+'LINEST VARS'!$G$58*(8*12.73)+'LINEST VARS'!$F$58*(8*$BZ$56)+'LINEST VARS'!$E$58*(8*$BX62)+'LINEST VARS'!$D$58*(8*12.73)+'LINEST VARS'!$C$58*($BZ$56*$BX62)+'LINEST VARS'!$B$58*($BZ$56*12.73)+'LINEST VARS'!$A$58*($BX62*12.73)</f>
        <v>0.87165000000000037</v>
      </c>
      <c r="CA62" s="51">
        <f>'LINEST VARS'!$U$58+'LINEST VARS'!$T$58*(8)+'LINEST VARS'!$S$58*(8)+'LINEST VARS'!$R$58*($CA$56)+'LINEST VARS'!$Q$58*($BX62)+'LINEST VARS'!$P$58*(12.73)+'LINEST VARS'!$O$58*(8^2)+'LINEST VARS'!$N$58*(8^2)+'LINEST VARS'!$M$58*($CA$56^2)+'LINEST VARS'!$L$58*($BX62^2)+'LINEST VARS'!$K$58*(12.73^2)+'LINEST VARS'!$J$58*(8*8)+'LINEST VARS'!$I$58*(8*$CA$56)+'LINEST VARS'!$H$58*(8*$BX62)+'LINEST VARS'!$G$58*(8*12.73)+'LINEST VARS'!$F$58*(8*$CA$56)+'LINEST VARS'!$E$58*(8*$BX62)+'LINEST VARS'!$D$58*(8*12.73)+'LINEST VARS'!$C$58*($CA$56*$BX62)+'LINEST VARS'!$B$58*($CA$56*12.73)+'LINEST VARS'!$A$58*($BX62*12.73)</f>
        <v>0.87965000000000027</v>
      </c>
      <c r="CB62" s="51">
        <f>'LINEST VARS'!$U$58+'LINEST VARS'!$T$58*(8)+'LINEST VARS'!$S$58*(8)+'LINEST VARS'!$R$58*($CB$56)+'LINEST VARS'!$Q$58*($BX62)+'LINEST VARS'!$P$58*(12.73)+'LINEST VARS'!$O$58*(8^2)+'LINEST VARS'!$N$58*(8^2)+'LINEST VARS'!$M$58*($CB$56^2)+'LINEST VARS'!$L$58*($BX62^2)+'LINEST VARS'!$K$58*(12.73^2)+'LINEST VARS'!$J$58*(8*8)+'LINEST VARS'!$I$58*(8*$CB$56)+'LINEST VARS'!$H$58*(8*$BX62)+'LINEST VARS'!$G$58*(8*12.73)+'LINEST VARS'!$F$58*(8*$CB$56)+'LINEST VARS'!$E$58*(8*$BX62)+'LINEST VARS'!$D$58*(8*12.73)+'LINEST VARS'!$C$58*($CB$56*$BX62)+'LINEST VARS'!$B$58*($CB$56*12.73)+'LINEST VARS'!$A$58*($BX62*12.73)</f>
        <v>0.88765000000000027</v>
      </c>
      <c r="CC62" s="51">
        <f>'LINEST VARS'!$U$58+'LINEST VARS'!$T$58*(8)+'LINEST VARS'!$S$58*(8)+'LINEST VARS'!$R$58*($CC$56)+'LINEST VARS'!$Q$58*($BX62)+'LINEST VARS'!$P$58*(12.73)+'LINEST VARS'!$O$58*(8^2)+'LINEST VARS'!$N$58*(8^2)+'LINEST VARS'!$M$58*($CC$56^2)+'LINEST VARS'!$L$58*($BX62^2)+'LINEST VARS'!$K$58*(12.73^2)+'LINEST VARS'!$J$58*(8*8)+'LINEST VARS'!$I$58*(8*$CC$56)+'LINEST VARS'!$H$58*(8*$BX62)+'LINEST VARS'!$G$58*(8*12.73)+'LINEST VARS'!$F$58*(8*$CC$56)+'LINEST VARS'!$E$58*(8*$BX62)+'LINEST VARS'!$D$58*(8*12.73)+'LINEST VARS'!$C$58*($CC$56*$BX62)+'LINEST VARS'!$B$58*($CC$56*12.73)+'LINEST VARS'!$A$58*($BX62*12.73)</f>
        <v>0.89565000000000017</v>
      </c>
      <c r="CD62" s="51">
        <f>'LINEST VARS'!$U$58+'LINEST VARS'!$T$58*(8)+'LINEST VARS'!$S$58*(8)+'LINEST VARS'!$R$58*($CD$56)+'LINEST VARS'!$Q$58*($BX62)+'LINEST VARS'!$P$58*(12.73)+'LINEST VARS'!$O$58*(8^2)+'LINEST VARS'!$N$58*(8^2)+'LINEST VARS'!$M$58*($CD$56^2)+'LINEST VARS'!$L$58*($BX62^2)+'LINEST VARS'!$K$58*(12.73^2)+'LINEST VARS'!$J$58*(8*8)+'LINEST VARS'!$I$58*(8*$CD$56)+'LINEST VARS'!$H$58*(8*$BX62)+'LINEST VARS'!$G$58*(8*12.73)+'LINEST VARS'!$F$58*(8*$CD$56)+'LINEST VARS'!$E$58*(8*$BX62)+'LINEST VARS'!$D$58*(8*12.73)+'LINEST VARS'!$C$58*($CD$56*$BX62)+'LINEST VARS'!$B$58*($CD$56*12.73)+'LINEST VARS'!$A$58*($BX62*12.73)</f>
        <v>0.90365000000000029</v>
      </c>
      <c r="CE62" s="51">
        <f>'LINEST VARS'!$U$58+'LINEST VARS'!$T$58*(8)+'LINEST VARS'!$S$58*(8)+'LINEST VARS'!$R$58*($CE$56)+'LINEST VARS'!$Q$58*($BX62)+'LINEST VARS'!$P$58*(12.73)+'LINEST VARS'!$O$58*(8^2)+'LINEST VARS'!$N$58*(8^2)+'LINEST VARS'!$M$58*($CE$56^2)+'LINEST VARS'!$L$58*($BX62^2)+'LINEST VARS'!$K$58*(12.73^2)+'LINEST VARS'!$J$58*(8*8)+'LINEST VARS'!$I$58*(8*$CE$56)+'LINEST VARS'!$H$58*(8*$BX62)+'LINEST VARS'!$G$58*(8*12.73)+'LINEST VARS'!$F$58*(8*$CE$56)+'LINEST VARS'!$E$58*(8*$BX62)+'LINEST VARS'!$D$58*(8*12.73)+'LINEST VARS'!$C$58*($CE$56*$BX62)+'LINEST VARS'!$B$58*($CE$56*12.73)+'LINEST VARS'!$A$58*($BX62*12.73)</f>
        <v>0.91165000000000029</v>
      </c>
      <c r="CF62" s="51">
        <f>'LINEST VARS'!$U$58+'LINEST VARS'!$T$58*(8)+'LINEST VARS'!$S$58*(8)+'LINEST VARS'!$R$58*($CF$56)+'LINEST VARS'!$Q$58*($BX62)+'LINEST VARS'!$P$58*(12.73)+'LINEST VARS'!$O$58*(8^2)+'LINEST VARS'!$N$58*(8^2)+'LINEST VARS'!$M$58*($CF$56^2)+'LINEST VARS'!$L$58*($BX62^2)+'LINEST VARS'!$K$58*(12.73^2)+'LINEST VARS'!$J$58*(8*8)+'LINEST VARS'!$I$58*(8*$CF$56)+'LINEST VARS'!$H$58*(8*$BX62)+'LINEST VARS'!$G$58*(8*12.73)+'LINEST VARS'!$F$58*(8*$CF$56)+'LINEST VARS'!$E$58*(8*$BX62)+'LINEST VARS'!$D$58*(8*12.73)+'LINEST VARS'!$C$58*($CF$56*$BX62)+'LINEST VARS'!$B$58*($CF$56*12.73)+'LINEST VARS'!$A$58*($BX62*12.73)</f>
        <v>0.9196500000000003</v>
      </c>
      <c r="CG62" s="51">
        <f>'LINEST VARS'!$U$58+'LINEST VARS'!$T$58*(8)+'LINEST VARS'!$S$58*(8)+'LINEST VARS'!$R$58*($CG$56)+'LINEST VARS'!$Q$58*($BX62)+'LINEST VARS'!$P$58*(12.73)+'LINEST VARS'!$O$58*(8^2)+'LINEST VARS'!$N$58*(8^2)+'LINEST VARS'!$M$58*($CG$56^2)+'LINEST VARS'!$L$58*($BX62^2)+'LINEST VARS'!$K$58*(12.73^2)+'LINEST VARS'!$J$58*(8*8)+'LINEST VARS'!$I$58*(8*$CG$56)+'LINEST VARS'!$H$58*(8*$BX62)+'LINEST VARS'!$G$58*(8*12.73)+'LINEST VARS'!$F$58*(8*$CG$56)+'LINEST VARS'!$E$58*(8*$BX62)+'LINEST VARS'!$D$58*(8*12.73)+'LINEST VARS'!$C$58*($CG$56*$BX62)+'LINEST VARS'!$B$58*($CG$56*12.73)+'LINEST VARS'!$A$58*($BX62*12.73)</f>
        <v>0.92765000000000042</v>
      </c>
      <c r="CH62" s="51">
        <f>'LINEST VARS'!$U$58+'LINEST VARS'!$T$58*(8)+'LINEST VARS'!$S$58*(8)+'LINEST VARS'!$R$58*($CH$56)+'LINEST VARS'!$Q$58*($BX62)+'LINEST VARS'!$P$58*(12.73)+'LINEST VARS'!$O$58*(8^2)+'LINEST VARS'!$N$58*(8^2)+'LINEST VARS'!$M$58*($CH$56^2)+'LINEST VARS'!$L$58*($BX62^2)+'LINEST VARS'!$K$58*(12.73^2)+'LINEST VARS'!$J$58*(8*8)+'LINEST VARS'!$I$58*(8*$CH$56)+'LINEST VARS'!$H$58*(8*$BX62)+'LINEST VARS'!$G$58*(8*12.73)+'LINEST VARS'!$F$58*(8*$CH$56)+'LINEST VARS'!$E$58*(8*$BX62)+'LINEST VARS'!$D$58*(8*12.73)+'LINEST VARS'!$C$58*($CH$56*$BX62)+'LINEST VARS'!$B$58*($CH$56*12.73)+'LINEST VARS'!$A$58*($BX62*12.73)</f>
        <v>0.93565000000000031</v>
      </c>
      <c r="CI62" s="51">
        <f>'LINEST VARS'!$U$58+'LINEST VARS'!$T$58*(8)+'LINEST VARS'!$S$58*(8)+'LINEST VARS'!$R$58*($CI$56)+'LINEST VARS'!$Q$58*($BX62)+'LINEST VARS'!$P$58*(12.73)+'LINEST VARS'!$O$58*(8^2)+'LINEST VARS'!$N$58*(8^2)+'LINEST VARS'!$M$58*($CI$56^2)+'LINEST VARS'!$L$58*($BX62^2)+'LINEST VARS'!$K$58*(12.73^2)+'LINEST VARS'!$J$58*(8*8)+'LINEST VARS'!$I$58*(8*$CI$56)+'LINEST VARS'!$H$58*(8*$BX62)+'LINEST VARS'!$G$58*(8*12.73)+'LINEST VARS'!$F$58*(8*$CI$56)+'LINEST VARS'!$E$58*(8*$BX62)+'LINEST VARS'!$D$58*(8*12.73)+'LINEST VARS'!$C$58*($CI$56*$BX62)+'LINEST VARS'!$B$58*($CI$56*12.73)+'LINEST VARS'!$A$58*($BX62*12.73)</f>
        <v>0.94365000000000032</v>
      </c>
      <c r="CJ62" s="51">
        <f>'LINEST VARS'!$U$58+'LINEST VARS'!$T$58*(8)+'LINEST VARS'!$S$58*(8)+'LINEST VARS'!$R$58*($CJ$56)+'LINEST VARS'!$Q$58*($BX62)+'LINEST VARS'!$P$58*(12.73)+'LINEST VARS'!$O$58*(8^2)+'LINEST VARS'!$N$58*(8^2)+'LINEST VARS'!$M$58*($CJ$56^2)+'LINEST VARS'!$L$58*($BX62^2)+'LINEST VARS'!$K$58*(12.73^2)+'LINEST VARS'!$J$58*(8*8)+'LINEST VARS'!$I$58*(8*$CJ$56)+'LINEST VARS'!$H$58*(8*$BX62)+'LINEST VARS'!$G$58*(8*12.73)+'LINEST VARS'!$F$58*(8*$CJ$56)+'LINEST VARS'!$E$58*(8*$BX62)+'LINEST VARS'!$D$58*(8*12.73)+'LINEST VARS'!$C$58*($CJ$56*$BX62)+'LINEST VARS'!$B$58*($CJ$56*12.73)+'LINEST VARS'!$A$58*($BX62*12.73)</f>
        <v>0.95165000000000022</v>
      </c>
      <c r="CK62" s="51">
        <f>'LINEST VARS'!$U$58+'LINEST VARS'!$T$58*(8)+'LINEST VARS'!$S$58*(8)+'LINEST VARS'!$R$58*($CK$56)+'LINEST VARS'!$Q$58*($BX62)+'LINEST VARS'!$P$58*(12.73)+'LINEST VARS'!$O$58*(8^2)+'LINEST VARS'!$N$58*(8^2)+'LINEST VARS'!$M$58*($CK$56^2)+'LINEST VARS'!$L$58*($BX62^2)+'LINEST VARS'!$K$58*(12.73^2)+'LINEST VARS'!$J$58*(8*8)+'LINEST VARS'!$I$58*(8*$CK$56)+'LINEST VARS'!$H$58*(8*$BX62)+'LINEST VARS'!$G$58*(8*12.73)+'LINEST VARS'!$F$58*(8*$CK$56)+'LINEST VARS'!$E$58*(8*$BX62)+'LINEST VARS'!$D$58*(8*12.73)+'LINEST VARS'!$C$58*($CK$56*$BX62)+'LINEST VARS'!$B$58*($CK$56*12.73)+'LINEST VARS'!$A$58*($BX62*12.73)</f>
        <v>0.95965000000000023</v>
      </c>
      <c r="CL62" s="51">
        <f>'LINEST VARS'!$U$58+'LINEST VARS'!$T$58*(8)+'LINEST VARS'!$S$58*(8)+'LINEST VARS'!$R$58*($CL$56)+'LINEST VARS'!$Q$58*($BX62)+'LINEST VARS'!$P$58*(12.73)+'LINEST VARS'!$O$58*(8^2)+'LINEST VARS'!$N$58*(8^2)+'LINEST VARS'!$M$58*($CL$56^2)+'LINEST VARS'!$L$58*($BX62^2)+'LINEST VARS'!$K$58*(12.73^2)+'LINEST VARS'!$J$58*(8*8)+'LINEST VARS'!$I$58*(8*$CL$56)+'LINEST VARS'!$H$58*(8*$BX62)+'LINEST VARS'!$G$58*(8*12.73)+'LINEST VARS'!$F$58*(8*$CL$56)+'LINEST VARS'!$E$58*(8*$BX62)+'LINEST VARS'!$D$58*(8*12.73)+'LINEST VARS'!$C$58*($CL$56*$BX62)+'LINEST VARS'!$B$58*($CL$56*12.73)+'LINEST VARS'!$A$58*($BX62*12.73)</f>
        <v>0.96765000000000012</v>
      </c>
      <c r="CM62" s="51">
        <f>'LINEST VARS'!$U$58+'LINEST VARS'!$T$58*(8)+'LINEST VARS'!$S$58*(8)+'LINEST VARS'!$R$58*($CM$56)+'LINEST VARS'!$Q$58*($BX62)+'LINEST VARS'!$P$58*(12.73)+'LINEST VARS'!$O$58*(8^2)+'LINEST VARS'!$N$58*(8^2)+'LINEST VARS'!$M$58*($CM$56^2)+'LINEST VARS'!$L$58*($BX62^2)+'LINEST VARS'!$K$58*(12.73^2)+'LINEST VARS'!$J$58*(8*8)+'LINEST VARS'!$I$58*(8*$CM$56)+'LINEST VARS'!$H$58*(8*$BX62)+'LINEST VARS'!$G$58*(8*12.73)+'LINEST VARS'!$F$58*(8*$CM$56)+'LINEST VARS'!$E$58*(8*$BX62)+'LINEST VARS'!$D$58*(8*12.73)+'LINEST VARS'!$C$58*($CM$56*$BX62)+'LINEST VARS'!$B$58*($CM$56*12.73)+'LINEST VARS'!$A$58*($BX62*12.73)</f>
        <v>0.97565000000000024</v>
      </c>
      <c r="CN62" s="51">
        <f>'LINEST VARS'!$U$58+'LINEST VARS'!$T$58*(8)+'LINEST VARS'!$S$58*(8)+'LINEST VARS'!$R$58*($CN$56)+'LINEST VARS'!$Q$58*($BX62)+'LINEST VARS'!$P$58*(12.73)+'LINEST VARS'!$O$58*(8^2)+'LINEST VARS'!$N$58*(8^2)+'LINEST VARS'!$M$58*($CN$56^2)+'LINEST VARS'!$L$58*($BX62^2)+'LINEST VARS'!$K$58*(12.73^2)+'LINEST VARS'!$J$58*(8*8)+'LINEST VARS'!$I$58*(8*$CN$56)+'LINEST VARS'!$H$58*(8*$BX62)+'LINEST VARS'!$G$58*(8*12.73)+'LINEST VARS'!$F$58*(8*$CN$56)+'LINEST VARS'!$E$58*(8*$BX62)+'LINEST VARS'!$D$58*(8*12.73)+'LINEST VARS'!$C$58*($CN$56*$BX62)+'LINEST VARS'!$B$58*($CN$56*12.73)+'LINEST VARS'!$A$58*($BX62*12.73)</f>
        <v>0.98365000000000025</v>
      </c>
      <c r="CO62" s="51">
        <f>'LINEST VARS'!$U$58+'LINEST VARS'!$T$58*(8)+'LINEST VARS'!$S$58*(8)+'LINEST VARS'!$R$58*($CO$56)+'LINEST VARS'!$Q$58*($BX62)+'LINEST VARS'!$P$58*(12.73)+'LINEST VARS'!$O$58*(8^2)+'LINEST VARS'!$N$58*(8^2)+'LINEST VARS'!$M$58*($CO$56^2)+'LINEST VARS'!$L$58*($BX62^2)+'LINEST VARS'!$K$58*(12.73^2)+'LINEST VARS'!$J$58*(8*8)+'LINEST VARS'!$I$58*(8*$CO$56)+'LINEST VARS'!$H$58*(8*$BX62)+'LINEST VARS'!$G$58*(8*12.73)+'LINEST VARS'!$F$58*(8*$CO$56)+'LINEST VARS'!$E$58*(8*$BX62)+'LINEST VARS'!$D$58*(8*12.73)+'LINEST VARS'!$C$58*($CO$56*$BX62)+'LINEST VARS'!$B$58*($CO$56*12.73)+'LINEST VARS'!$A$58*($BX62*12.73)</f>
        <v>0.99165000000000036</v>
      </c>
      <c r="CP62" s="51">
        <f>'LINEST VARS'!$U$58+'LINEST VARS'!$T$58*(8)+'LINEST VARS'!$S$58*(8)+'LINEST VARS'!$R$58*($CP$56)+'LINEST VARS'!$Q$58*($BX62)+'LINEST VARS'!$P$58*(12.73)+'LINEST VARS'!$O$58*(8^2)+'LINEST VARS'!$N$58*(8^2)+'LINEST VARS'!$M$58*($CP$56^2)+'LINEST VARS'!$L$58*($BX62^2)+'LINEST VARS'!$K$58*(12.73^2)+'LINEST VARS'!$J$58*(8*8)+'LINEST VARS'!$I$58*(8*$CP$56)+'LINEST VARS'!$H$58*(8*$BX62)+'LINEST VARS'!$G$58*(8*12.73)+'LINEST VARS'!$F$58*(8*$CP$56)+'LINEST VARS'!$E$58*(8*$BX62)+'LINEST VARS'!$D$58*(8*12.73)+'LINEST VARS'!$C$58*($CP$56*$BX62)+'LINEST VARS'!$B$58*($CP$56*12.73)+'LINEST VARS'!$A$58*($BX62*12.73)</f>
        <v>0.99965000000000037</v>
      </c>
      <c r="CQ62" s="51">
        <f>'LINEST VARS'!$U$58+'LINEST VARS'!$T$58*(8)+'LINEST VARS'!$S$58*(8)+'LINEST VARS'!$R$58*($CQ$56)+'LINEST VARS'!$Q$58*($BX62)+'LINEST VARS'!$P$58*(12.73)+'LINEST VARS'!$O$58*(8^2)+'LINEST VARS'!$N$58*(8^2)+'LINEST VARS'!$M$58*($CQ$56^2)+'LINEST VARS'!$L$58*($BX62^2)+'LINEST VARS'!$K$58*(12.73^2)+'LINEST VARS'!$J$58*(8*8)+'LINEST VARS'!$I$58*(8*$CQ$56)+'LINEST VARS'!$H$58*(8*$BX62)+'LINEST VARS'!$G$58*(8*12.73)+'LINEST VARS'!$F$58*(8*$CQ$56)+'LINEST VARS'!$E$58*(8*$BX62)+'LINEST VARS'!$D$58*(8*12.73)+'LINEST VARS'!$C$58*($CQ$56*$BX62)+'LINEST VARS'!$B$58*($CQ$56*12.73)+'LINEST VARS'!$A$58*($BX62*12.73)</f>
        <v>1.0076500000000002</v>
      </c>
      <c r="CR62" s="51">
        <f>'LINEST VARS'!$U$58+'LINEST VARS'!$T$58*(8)+'LINEST VARS'!$S$58*(8)+'LINEST VARS'!$R$58*($CR$56)+'LINEST VARS'!$Q$58*($BX62)+'LINEST VARS'!$P$58*(12.73)+'LINEST VARS'!$O$58*(8^2)+'LINEST VARS'!$N$58*(8^2)+'LINEST VARS'!$M$58*($CR$56^2)+'LINEST VARS'!$L$58*($BX62^2)+'LINEST VARS'!$K$58*(12.73^2)+'LINEST VARS'!$J$58*(8*8)+'LINEST VARS'!$I$58*(8*$CR$56)+'LINEST VARS'!$H$58*(8*$BX62)+'LINEST VARS'!$G$58*(8*12.73)+'LINEST VARS'!$F$58*(8*$CR$56)+'LINEST VARS'!$E$58*(8*$BX62)+'LINEST VARS'!$D$58*(8*12.73)+'LINEST VARS'!$C$58*($CR$56*$BX62)+'LINEST VARS'!$B$58*($CR$56*12.73)+'LINEST VARS'!$A$58*($BX62*12.73)</f>
        <v>1.0156499999999999</v>
      </c>
      <c r="CS62" s="52">
        <f>'LINEST VARS'!$U$58+'LINEST VARS'!$T$58*(8)+'LINEST VARS'!$S$58*(8)+'LINEST VARS'!$R$58*($CS$56)+'LINEST VARS'!$Q$58*($BX62)+'LINEST VARS'!$P$58*(12.73)+'LINEST VARS'!$O$58*(8^2)+'LINEST VARS'!$N$58*(8^2)+'LINEST VARS'!$M$58*($CS$56^2)+'LINEST VARS'!$L$58*($BX62^2)+'LINEST VARS'!$K$58*(12.73^2)+'LINEST VARS'!$J$58*(8*8)+'LINEST VARS'!$I$58*(8*$CS$56)+'LINEST VARS'!$H$58*(8*$BX62)+'LINEST VARS'!$G$58*(8*12.73)+'LINEST VARS'!$F$58*(8*$CS$56)+'LINEST VARS'!$E$58*(8*$BX62)+'LINEST VARS'!$D$58*(8*12.73)+'LINEST VARS'!$C$58*($CS$56*$BX62)+'LINEST VARS'!$B$58*($CS$56*12.73)+'LINEST VARS'!$A$58*($BX62*12.73)</f>
        <v>1.0236500000000002</v>
      </c>
      <c r="CX62" s="45">
        <v>6.4974999999999996</v>
      </c>
      <c r="CY62" s="51">
        <f>'LINEST VARS'!$U$56+'LINEST VARS'!$T$56*(8)+'LINEST VARS'!$S$56*(8)+'LINEST VARS'!$R$56*($CY$56)+'LINEST VARS'!$Q$56*(0.5)+'LINEST VARS'!$P$56*($CX62)+'LINEST VARS'!$O$56*(8^2)+'LINEST VARS'!$N$56*(8^2)+'LINEST VARS'!$M$56*($CY$56^2)+'LINEST VARS'!$L$56*(0.5^2)+'LINEST VARS'!$K$56*($CX62^2)+'LINEST VARS'!$J$56*(8*8)+'LINEST VARS'!$I$56*(8*$CY$56)+'LINEST VARS'!$H$56*(8*0.5)+'LINEST VARS'!$G$56*(8*$CX62)+'LINEST VARS'!$F$56*(8*$CY$56)+'LINEST VARS'!$E$56*(8*0.5)+'LINEST VARS'!$D$56*(8*$CX62)+'LINEST VARS'!$C$56*($CY$56*0.5)+'LINEST VARS'!$B$56*($CY$56*$CX62)+'LINEST VARS'!$A$56*(0.5*$CX62)</f>
        <v>2.8000000000000007</v>
      </c>
      <c r="CZ62" s="51">
        <f>'LINEST VARS'!$U$56+'LINEST VARS'!$T$56*(8)+'LINEST VARS'!$S$56*(8)+'LINEST VARS'!$R$56*($CZ$56)+'LINEST VARS'!$Q$56*(0.5)+'LINEST VARS'!$P$56*($CX62)+'LINEST VARS'!$O$56*(8^2)+'LINEST VARS'!$N$56*(8^2)+'LINEST VARS'!$M$56*($CZ$56^2)+'LINEST VARS'!$L$56*(0.5^2)+'LINEST VARS'!$K$56*($CX62^2)+'LINEST VARS'!$J$56*(8*8)+'LINEST VARS'!$I$56*(8*$CZ$56)+'LINEST VARS'!$H$56*(8*0.5)+'LINEST VARS'!$G$56*(8*$CX62)+'LINEST VARS'!$F$56*(8*$CZ$56)+'LINEST VARS'!$E$56*(8*0.5)+'LINEST VARS'!$D$56*(8*$CX62)+'LINEST VARS'!$C$56*($CZ$56*0.5)+'LINEST VARS'!$B$56*($CZ$56*$CX62)+'LINEST VARS'!$A$56*(0.5*$CX62)</f>
        <v>2.8184000000000009</v>
      </c>
      <c r="DA62" s="51">
        <f>'LINEST VARS'!$U$56+'LINEST VARS'!$T$56*(8)+'LINEST VARS'!$S$56*(8)+'LINEST VARS'!$R$56*($DA$56)+'LINEST VARS'!$Q$56*(0.5)+'LINEST VARS'!$P$56*($CX62)+'LINEST VARS'!$O$56*(8^2)+'LINEST VARS'!$N$56*(8^2)+'LINEST VARS'!$M$56*($DA$56^2)+'LINEST VARS'!$L$56*(0.5^2)+'LINEST VARS'!$K$56*($CX62^2)+'LINEST VARS'!$J$56*(8*8)+'LINEST VARS'!$I$56*(8*$DA$56)+'LINEST VARS'!$H$56*(8*0.5)+'LINEST VARS'!$G$56*(8*$CX62)+'LINEST VARS'!$F$56*(8*$DA$56)+'LINEST VARS'!$E$56*(8*0.5)+'LINEST VARS'!$D$56*(8*$CX62)+'LINEST VARS'!$C$56*($DA$56*0.5)+'LINEST VARS'!$B$56*($DA$56*$CX62)+'LINEST VARS'!$A$56*(0.5*$CX62)</f>
        <v>2.8336000000000006</v>
      </c>
      <c r="DB62" s="51">
        <f>'LINEST VARS'!$U$56+'LINEST VARS'!$T$56*(8)+'LINEST VARS'!$S$56*(8)+'LINEST VARS'!$R$56*($DB$56)+'LINEST VARS'!$Q$56*(0.5)+'LINEST VARS'!$P$56*($CX62)+'LINEST VARS'!$O$56*(8^2)+'LINEST VARS'!$N$56*(8^2)+'LINEST VARS'!$M$56*($DB$56^2)+'LINEST VARS'!$L$56*(0.5^2)+'LINEST VARS'!$K$56*($CX62^2)+'LINEST VARS'!$J$56*(8*8)+'LINEST VARS'!$I$56*(8*$DB$56)+'LINEST VARS'!$H$56*(8*0.5)+'LINEST VARS'!$G$56*(8*$CX62)+'LINEST VARS'!$F$56*(8*$DB$56)+'LINEST VARS'!$E$56*(8*0.5)+'LINEST VARS'!$D$56*(8*$CX62)+'LINEST VARS'!$C$56*($DB$56*0.5)+'LINEST VARS'!$B$56*($DB$56*$CX62)+'LINEST VARS'!$A$56*(0.5*$CX62)</f>
        <v>2.8456000000000006</v>
      </c>
      <c r="DC62" s="51">
        <f>'LINEST VARS'!$U$56+'LINEST VARS'!$T$56*(8)+'LINEST VARS'!$S$56*(8)+'LINEST VARS'!$R$56*($DC$56)+'LINEST VARS'!$Q$56*(0.5)+'LINEST VARS'!$P$56*($CX62)+'LINEST VARS'!$O$56*(8^2)+'LINEST VARS'!$N$56*(8^2)+'LINEST VARS'!$M$56*($DC$56^2)+'LINEST VARS'!$L$56*(0.5^2)+'LINEST VARS'!$K$56*($CX62^2)+'LINEST VARS'!$J$56*(8*8)+'LINEST VARS'!$I$56*(8*$DC$56)+'LINEST VARS'!$H$56*(8*0.5)+'LINEST VARS'!$G$56*(8*$CX62)+'LINEST VARS'!$F$56*(8*$DC$56)+'LINEST VARS'!$E$56*(8*0.5)+'LINEST VARS'!$D$56*(8*$CX62)+'LINEST VARS'!$C$56*($DC$56*0.5)+'LINEST VARS'!$B$56*($DC$56*$CX62)+'LINEST VARS'!$A$56*(0.5*$CX62)</f>
        <v>2.8544000000000009</v>
      </c>
      <c r="DD62" s="51">
        <f>'LINEST VARS'!$U$56+'LINEST VARS'!$T$56*(8)+'LINEST VARS'!$S$56*(8)+'LINEST VARS'!$R$56*($DD$56)+'LINEST VARS'!$Q$56*(0.5)+'LINEST VARS'!$P$56*($CX62)+'LINEST VARS'!$O$56*(8^2)+'LINEST VARS'!$N$56*(8^2)+'LINEST VARS'!$M$56*($DD$56^2)+'LINEST VARS'!$L$56*(0.5^2)+'LINEST VARS'!$K$56*($CX62^2)+'LINEST VARS'!$J$56*(8*8)+'LINEST VARS'!$I$56*(8*$DD$56)+'LINEST VARS'!$H$56*(8*0.5)+'LINEST VARS'!$G$56*(8*$CX62)+'LINEST VARS'!$F$56*(8*$DD$56)+'LINEST VARS'!$E$56*(8*0.5)+'LINEST VARS'!$D$56*(8*$CX62)+'LINEST VARS'!$C$56*($DD$56*0.5)+'LINEST VARS'!$B$56*($DD$56*$CX62)+'LINEST VARS'!$A$56*(0.5*$CX62)</f>
        <v>2.8600000000000008</v>
      </c>
      <c r="DE62" s="51">
        <f>'LINEST VARS'!$U$56+'LINEST VARS'!$T$56*(8)+'LINEST VARS'!$S$56*(8)+'LINEST VARS'!$R$56*($DE$56)+'LINEST VARS'!$Q$56*(0.5)+'LINEST VARS'!$P$56*($CX62)+'LINEST VARS'!$O$56*(8^2)+'LINEST VARS'!$N$56*(8^2)+'LINEST VARS'!$M$56*($DE$56^2)+'LINEST VARS'!$L$56*(0.5^2)+'LINEST VARS'!$K$56*($CX62^2)+'LINEST VARS'!$J$56*(8*8)+'LINEST VARS'!$I$56*(8*$DE$56)+'LINEST VARS'!$H$56*(8*0.5)+'LINEST VARS'!$G$56*(8*$CX62)+'LINEST VARS'!$F$56*(8*$DE$56)+'LINEST VARS'!$E$56*(8*0.5)+'LINEST VARS'!$D$56*(8*$CX62)+'LINEST VARS'!$C$56*($DE$56*0.5)+'LINEST VARS'!$B$56*($DE$56*$CX62)+'LINEST VARS'!$A$56*(0.5*$CX62)</f>
        <v>2.8624000000000009</v>
      </c>
      <c r="DF62" s="51">
        <f>'LINEST VARS'!$U$56+'LINEST VARS'!$T$56*(8)+'LINEST VARS'!$S$56*(8)+'LINEST VARS'!$R$56*($DF$56)+'LINEST VARS'!$Q$56*(0.5)+'LINEST VARS'!$P$56*($CX62)+'LINEST VARS'!$O$56*(8^2)+'LINEST VARS'!$N$56*(8^2)+'LINEST VARS'!$M$56*($DF$56^2)+'LINEST VARS'!$L$56*(0.5^2)+'LINEST VARS'!$K$56*($CX62^2)+'LINEST VARS'!$J$56*(8*8)+'LINEST VARS'!$I$56*(8*$DF$56)+'LINEST VARS'!$H$56*(8*0.5)+'LINEST VARS'!$G$56*(8*$CX62)+'LINEST VARS'!$F$56*(8*$DF$56)+'LINEST VARS'!$E$56*(8*0.5)+'LINEST VARS'!$D$56*(8*$CX62)+'LINEST VARS'!$C$56*($DF$56*0.5)+'LINEST VARS'!$B$56*($DF$56*$CX62)+'LINEST VARS'!$A$56*(0.5*$CX62)</f>
        <v>2.8616000000000006</v>
      </c>
      <c r="DG62" s="51">
        <f>'LINEST VARS'!$U$56+'LINEST VARS'!$T$56*(8)+'LINEST VARS'!$S$56*(8)+'LINEST VARS'!$R$56*($DG$56)+'LINEST VARS'!$Q$56*(0.5)+'LINEST VARS'!$P$56*($CX62)+'LINEST VARS'!$O$56*(8^2)+'LINEST VARS'!$N$56*(8^2)+'LINEST VARS'!$M$56*($DG$56^2)+'LINEST VARS'!$L$56*(0.5^2)+'LINEST VARS'!$K$56*($CX62^2)+'LINEST VARS'!$J$56*(8*8)+'LINEST VARS'!$I$56*(8*$DG$56)+'LINEST VARS'!$H$56*(8*0.5)+'LINEST VARS'!$G$56*(8*$CX62)+'LINEST VARS'!$F$56*(8*$DG$56)+'LINEST VARS'!$E$56*(8*0.5)+'LINEST VARS'!$D$56*(8*$CX62)+'LINEST VARS'!$C$56*($DG$56*0.5)+'LINEST VARS'!$B$56*($DG$56*$CX62)+'LINEST VARS'!$A$56*(0.5*$CX62)</f>
        <v>2.8576000000000006</v>
      </c>
      <c r="DH62" s="51">
        <f>'LINEST VARS'!$U$56+'LINEST VARS'!$T$56*(8)+'LINEST VARS'!$S$56*(8)+'LINEST VARS'!$R$56*($DH$56)+'LINEST VARS'!$Q$56*(0.5)+'LINEST VARS'!$P$56*($CX62)+'LINEST VARS'!$O$56*(8^2)+'LINEST VARS'!$N$56*(8^2)+'LINEST VARS'!$M$56*($DH$56^2)+'LINEST VARS'!$L$56*(0.5^2)+'LINEST VARS'!$K$56*($CX62^2)+'LINEST VARS'!$J$56*(8*8)+'LINEST VARS'!$I$56*(8*$DH$56)+'LINEST VARS'!$H$56*(8*0.5)+'LINEST VARS'!$G$56*(8*$CX62)+'LINEST VARS'!$F$56*(8*$DH$56)+'LINEST VARS'!$E$56*(8*0.5)+'LINEST VARS'!$D$56*(8*$CX62)+'LINEST VARS'!$C$56*($DH$56*0.5)+'LINEST VARS'!$B$56*($DH$56*$CX62)+'LINEST VARS'!$A$56*(0.5*$CX62)</f>
        <v>2.8504000000000009</v>
      </c>
      <c r="DI62" s="51">
        <f>'LINEST VARS'!$U$56+'LINEST VARS'!$T$56*(8)+'LINEST VARS'!$S$56*(8)+'LINEST VARS'!$R$56*($DI$56)+'LINEST VARS'!$Q$56*(0.5)+'LINEST VARS'!$P$56*($CX62)+'LINEST VARS'!$O$56*(8^2)+'LINEST VARS'!$N$56*(8^2)+'LINEST VARS'!$M$56*($DI$56^2)+'LINEST VARS'!$L$56*(0.5^2)+'LINEST VARS'!$K$56*($CX62^2)+'LINEST VARS'!$J$56*(8*8)+'LINEST VARS'!$I$56*(8*$DI$56)+'LINEST VARS'!$H$56*(8*0.5)+'LINEST VARS'!$G$56*(8*$CX62)+'LINEST VARS'!$F$56*(8*$DI$56)+'LINEST VARS'!$E$56*(8*0.5)+'LINEST VARS'!$D$56*(8*$CX62)+'LINEST VARS'!$C$56*($DI$56*0.5)+'LINEST VARS'!$B$56*($DI$56*$CX62)+'LINEST VARS'!$A$56*(0.5*$CX62)</f>
        <v>2.8400000000000007</v>
      </c>
      <c r="DJ62" s="51">
        <f>'LINEST VARS'!$U$56+'LINEST VARS'!$T$56*(8)+'LINEST VARS'!$S$56*(8)+'LINEST VARS'!$R$56*($DJ$56)+'LINEST VARS'!$Q$56*(0.5)+'LINEST VARS'!$P$56*($CX62)+'LINEST VARS'!$O$56*(8^2)+'LINEST VARS'!$N$56*(8^2)+'LINEST VARS'!$M$56*($DJ$56^2)+'LINEST VARS'!$L$56*(0.5^2)+'LINEST VARS'!$K$56*($CX62^2)+'LINEST VARS'!$J$56*(8*8)+'LINEST VARS'!$I$56*(8*$DJ$56)+'LINEST VARS'!$H$56*(8*0.5)+'LINEST VARS'!$G$56*(8*$CX62)+'LINEST VARS'!$F$56*(8*$DJ$56)+'LINEST VARS'!$E$56*(8*0.5)+'LINEST VARS'!$D$56*(8*$CX62)+'LINEST VARS'!$C$56*($DJ$56*0.5)+'LINEST VARS'!$B$56*($DJ$56*$CX62)+'LINEST VARS'!$A$56*(0.5*$CX62)</f>
        <v>2.8264000000000009</v>
      </c>
      <c r="DK62" s="51">
        <f>'LINEST VARS'!$U$56+'LINEST VARS'!$T$56*(8)+'LINEST VARS'!$S$56*(8)+'LINEST VARS'!$R$56*($DK$56)+'LINEST VARS'!$Q$56*(0.5)+'LINEST VARS'!$P$56*($CX62)+'LINEST VARS'!$O$56*(8^2)+'LINEST VARS'!$N$56*(8^2)+'LINEST VARS'!$M$56*($DK$56^2)+'LINEST VARS'!$L$56*(0.5^2)+'LINEST VARS'!$K$56*($CX62^2)+'LINEST VARS'!$J$56*(8*8)+'LINEST VARS'!$I$56*(8*$DK$56)+'LINEST VARS'!$H$56*(8*0.5)+'LINEST VARS'!$G$56*(8*$CX62)+'LINEST VARS'!$F$56*(8*$DK$56)+'LINEST VARS'!$E$56*(8*0.5)+'LINEST VARS'!$D$56*(8*$CX62)+'LINEST VARS'!$C$56*($DK$56*0.5)+'LINEST VARS'!$B$56*($DK$56*$CX62)+'LINEST VARS'!$A$56*(0.5*$CX62)</f>
        <v>2.8096000000000005</v>
      </c>
      <c r="DL62" s="51">
        <f>'LINEST VARS'!$U$56+'LINEST VARS'!$T$56*(8)+'LINEST VARS'!$S$56*(8)+'LINEST VARS'!$R$56*($DL$56)+'LINEST VARS'!$Q$56*(0.5)+'LINEST VARS'!$P$56*($CX62)+'LINEST VARS'!$O$56*(8^2)+'LINEST VARS'!$N$56*(8^2)+'LINEST VARS'!$M$56*($DL$56^2)+'LINEST VARS'!$L$56*(0.5^2)+'LINEST VARS'!$K$56*($CX62^2)+'LINEST VARS'!$J$56*(8*8)+'LINEST VARS'!$I$56*(8*$DL$56)+'LINEST VARS'!$H$56*(8*0.5)+'LINEST VARS'!$G$56*(8*$CX62)+'LINEST VARS'!$F$56*(8*$DL$56)+'LINEST VARS'!$E$56*(8*0.5)+'LINEST VARS'!$D$56*(8*$CX62)+'LINEST VARS'!$C$56*($DL$56*0.5)+'LINEST VARS'!$B$56*($DL$56*$CX62)+'LINEST VARS'!$A$56*(0.5*$CX62)</f>
        <v>2.7896000000000005</v>
      </c>
      <c r="DM62" s="51">
        <f>'LINEST VARS'!$U$56+'LINEST VARS'!$T$56*(8)+'LINEST VARS'!$S$56*(8)+'LINEST VARS'!$R$56*($DM$56)+'LINEST VARS'!$Q$56*(0.5)+'LINEST VARS'!$P$56*($CX62)+'LINEST VARS'!$O$56*(8^2)+'LINEST VARS'!$N$56*(8^2)+'LINEST VARS'!$M$56*($DM$56^2)+'LINEST VARS'!$L$56*(0.5^2)+'LINEST VARS'!$K$56*($CX62^2)+'LINEST VARS'!$J$56*(8*8)+'LINEST VARS'!$I$56*(8*$DM$56)+'LINEST VARS'!$H$56*(8*0.5)+'LINEST VARS'!$G$56*(8*$CX62)+'LINEST VARS'!$F$56*(8*$DM$56)+'LINEST VARS'!$E$56*(8*0.5)+'LINEST VARS'!$D$56*(8*$CX62)+'LINEST VARS'!$C$56*($DM$56*0.5)+'LINEST VARS'!$B$56*($DM$56*$CX62)+'LINEST VARS'!$A$56*(0.5*$CX62)</f>
        <v>2.7664000000000009</v>
      </c>
      <c r="DN62" s="51">
        <f>'LINEST VARS'!$U$56+'LINEST VARS'!$T$56*(8)+'LINEST VARS'!$S$56*(8)+'LINEST VARS'!$R$56*($DN$56)+'LINEST VARS'!$Q$56*(0.5)+'LINEST VARS'!$P$56*($CX62)+'LINEST VARS'!$O$56*(8^2)+'LINEST VARS'!$N$56*(8^2)+'LINEST VARS'!$M$56*($DN$56^2)+'LINEST VARS'!$L$56*(0.5^2)+'LINEST VARS'!$K$56*($CX62^2)+'LINEST VARS'!$J$56*(8*8)+'LINEST VARS'!$I$56*(8*$DN$56)+'LINEST VARS'!$H$56*(8*0.5)+'LINEST VARS'!$G$56*(8*$CX62)+'LINEST VARS'!$F$56*(8*$DN$56)+'LINEST VARS'!$E$56*(8*0.5)+'LINEST VARS'!$D$56*(8*$CX62)+'LINEST VARS'!$C$56*($DN$56*0.5)+'LINEST VARS'!$B$56*($DN$56*$CX62)+'LINEST VARS'!$A$56*(0.5*$CX62)</f>
        <v>2.7400000000000007</v>
      </c>
      <c r="DO62" s="51">
        <f>'LINEST VARS'!$U$56+'LINEST VARS'!$T$56*(8)+'LINEST VARS'!$S$56*(8)+'LINEST VARS'!$R$56*($DO$56)+'LINEST VARS'!$Q$56*(0.5)+'LINEST VARS'!$P$56*($CX62)+'LINEST VARS'!$O$56*(8^2)+'LINEST VARS'!$N$56*(8^2)+'LINEST VARS'!$M$56*($DO$56^2)+'LINEST VARS'!$L$56*(0.5^2)+'LINEST VARS'!$K$56*($CX62^2)+'LINEST VARS'!$J$56*(8*8)+'LINEST VARS'!$I$56*(8*$DO$56)+'LINEST VARS'!$H$56*(8*0.5)+'LINEST VARS'!$G$56*(8*$CX62)+'LINEST VARS'!$F$56*(8*$DO$56)+'LINEST VARS'!$E$56*(8*0.5)+'LINEST VARS'!$D$56*(8*$CX62)+'LINEST VARS'!$C$56*($DO$56*0.5)+'LINEST VARS'!$B$56*($DO$56*$CX62)+'LINEST VARS'!$A$56*(0.5*$CX62)</f>
        <v>2.7104000000000004</v>
      </c>
      <c r="DP62" s="51">
        <f>'LINEST VARS'!$U$56+'LINEST VARS'!$T$56*(8)+'LINEST VARS'!$S$56*(8)+'LINEST VARS'!$R$56*($DP$56)+'LINEST VARS'!$Q$56*(0.5)+'LINEST VARS'!$P$56*($CX62)+'LINEST VARS'!$O$56*(8^2)+'LINEST VARS'!$N$56*(8^2)+'LINEST VARS'!$M$56*($DP$56^2)+'LINEST VARS'!$L$56*(0.5^2)+'LINEST VARS'!$K$56*($CX62^2)+'LINEST VARS'!$J$56*(8*8)+'LINEST VARS'!$I$56*(8*$DP$56)+'LINEST VARS'!$H$56*(8*0.5)+'LINEST VARS'!$G$56*(8*$CX62)+'LINEST VARS'!$F$56*(8*$DP$56)+'LINEST VARS'!$E$56*(8*0.5)+'LINEST VARS'!$D$56*(8*$CX62)+'LINEST VARS'!$C$56*($DP$56*0.5)+'LINEST VARS'!$B$56*($DP$56*$CX62)+'LINEST VARS'!$A$56*(0.5*$CX62)</f>
        <v>2.6776000000000004</v>
      </c>
      <c r="DQ62" s="51">
        <f>'LINEST VARS'!$U$56+'LINEST VARS'!$T$56*(8)+'LINEST VARS'!$S$56*(8)+'LINEST VARS'!$R$56*($DQ$56)+'LINEST VARS'!$Q$56*(0.5)+'LINEST VARS'!$P$56*($CX62)+'LINEST VARS'!$O$56*(8^2)+'LINEST VARS'!$N$56*(8^2)+'LINEST VARS'!$M$56*($DQ$56^2)+'LINEST VARS'!$L$56*(0.5^2)+'LINEST VARS'!$K$56*($CX62^2)+'LINEST VARS'!$J$56*(8*8)+'LINEST VARS'!$I$56*(8*$DQ$56)+'LINEST VARS'!$H$56*(8*0.5)+'LINEST VARS'!$G$56*(8*$CX62)+'LINEST VARS'!$F$56*(8*$DQ$56)+'LINEST VARS'!$E$56*(8*0.5)+'LINEST VARS'!$D$56*(8*$CX62)+'LINEST VARS'!$C$56*($DQ$56*0.5)+'LINEST VARS'!$B$56*($DQ$56*$CX62)+'LINEST VARS'!$A$56*(0.5*$CX62)</f>
        <v>2.6416000000000004</v>
      </c>
      <c r="DR62" s="51">
        <f>'LINEST VARS'!$U$56+'LINEST VARS'!$T$56*(8)+'LINEST VARS'!$S$56*(8)+'LINEST VARS'!$R$56*($DR$56)+'LINEST VARS'!$Q$56*(0.5)+'LINEST VARS'!$P$56*($CX62)+'LINEST VARS'!$O$56*(8^2)+'LINEST VARS'!$N$56*(8^2)+'LINEST VARS'!$M$56*($DR$56^2)+'LINEST VARS'!$L$56*(0.5^2)+'LINEST VARS'!$K$56*($CX62^2)+'LINEST VARS'!$J$56*(8*8)+'LINEST VARS'!$I$56*(8*$DR$56)+'LINEST VARS'!$H$56*(8*0.5)+'LINEST VARS'!$G$56*(8*$CX62)+'LINEST VARS'!$F$56*(8*$DR$56)+'LINEST VARS'!$E$56*(8*0.5)+'LINEST VARS'!$D$56*(8*$CX62)+'LINEST VARS'!$C$56*($DR$56*0.5)+'LINEST VARS'!$B$56*($DR$56*$CX62)+'LINEST VARS'!$A$56*(0.5*$CX62)</f>
        <v>2.6024000000000007</v>
      </c>
      <c r="DS62" s="52">
        <f>'LINEST VARS'!$U$56+'LINEST VARS'!$T$56*(8)+'LINEST VARS'!$S$56*(8)+'LINEST VARS'!$R$56*($DS$56)+'LINEST VARS'!$Q$56*(0.5)+'LINEST VARS'!$P$56*($CX62)+'LINEST VARS'!$O$56*(8^2)+'LINEST VARS'!$N$56*(8^2)+'LINEST VARS'!$M$56*($DS$56^2)+'LINEST VARS'!$L$56*(0.5^2)+'LINEST VARS'!$K$56*($CX62^2)+'LINEST VARS'!$J$56*(8*8)+'LINEST VARS'!$I$56*(8*$DS$56)+'LINEST VARS'!$H$56*(8*0.5)+'LINEST VARS'!$G$56*(8*$CX62)+'LINEST VARS'!$F$56*(8*$DS$56)+'LINEST VARS'!$E$56*(8*0.5)+'LINEST VARS'!$D$56*(8*$CX62)+'LINEST VARS'!$C$56*($DS$56*0.5)+'LINEST VARS'!$B$56*($DS$56*$CX62)+'LINEST VARS'!$A$56*(0.5*$CX62)</f>
        <v>2.5600000000000005</v>
      </c>
      <c r="DV62" s="45">
        <v>6.4974999999999996</v>
      </c>
      <c r="DW62" s="51">
        <f>'LINEST VARS'!$U$58+'LINEST VARS'!$T$58*(8)+'LINEST VARS'!$S$58*(8)+'LINEST VARS'!$R$58*($DW$56)+'LINEST VARS'!$Q$58*(0.5)+'LINEST VARS'!$P$58*($DV62)+'LINEST VARS'!$O$58*(8^2)+'LINEST VARS'!$N$58*(8^2)+'LINEST VARS'!$M$58*($DW$56^2)+'LINEST VARS'!$L$58*(0.5^2)+'LINEST VARS'!$K$58*($DV62^2)+'LINEST VARS'!$J$58*(8*8)+'LINEST VARS'!$I$58*(8*$DW$56)+'LINEST VARS'!$H$58*(8*0.5)+'LINEST VARS'!$G$58*(8*$DV62)+'LINEST VARS'!$F$58*(8*$DW$56)+'LINEST VARS'!$E$58*(8*0.5)+'LINEST VARS'!$D$58*(8*$DV62)+'LINEST VARS'!$C$58*($DW$56*0.5)+'LINEST VARS'!$B$58*($DW$56*$DV62)+'LINEST VARS'!$A$58*(0.5*$DV62)</f>
        <v>0.83248750000000027</v>
      </c>
      <c r="DX62" s="51">
        <f>'LINEST VARS'!$U$58+'LINEST VARS'!$T$58*(8)+'LINEST VARS'!$S$58*(8)+'LINEST VARS'!$R$58*($DX$56)+'LINEST VARS'!$Q$58*(0.5)+'LINEST VARS'!$P$58*($DV62)+'LINEST VARS'!$O$58*(8^2)+'LINEST VARS'!$N$58*(8^2)+'LINEST VARS'!$M$58*($DX$56^2)+'LINEST VARS'!$L$58*(0.5^2)+'LINEST VARS'!$K$58*($DV62^2)+'LINEST VARS'!$J$58*(8*8)+'LINEST VARS'!$I$58*(8*$DX$56)+'LINEST VARS'!$H$58*(8*0.5)+'LINEST VARS'!$G$58*(8*$DV62)+'LINEST VARS'!$F$58*(8*$DX$56)+'LINEST VARS'!$E$58*(8*0.5)+'LINEST VARS'!$D$58*(8*$DV62)+'LINEST VARS'!$C$58*($DX$56*0.5)+'LINEST VARS'!$B$58*($DX$56*$DV62)+'LINEST VARS'!$A$58*(0.5*$DV62)</f>
        <v>0.84048750000000028</v>
      </c>
      <c r="DY62" s="51">
        <f>'LINEST VARS'!$U$58+'LINEST VARS'!$T$58*(8)+'LINEST VARS'!$S$58*(8)+'LINEST VARS'!$R$58*($DY$56)+'LINEST VARS'!$Q$58*(0.5)+'LINEST VARS'!$P$58*($DV62)+'LINEST VARS'!$O$58*(8^2)+'LINEST VARS'!$N$58*(8^2)+'LINEST VARS'!$M$58*($DY$56^2)+'LINEST VARS'!$L$58*(0.5^2)+'LINEST VARS'!$K$58*($DV62^2)+'LINEST VARS'!$J$58*(8*8)+'LINEST VARS'!$I$58*(8*$DY$56)+'LINEST VARS'!$H$58*(8*0.5)+'LINEST VARS'!$G$58*(8*$DV62)+'LINEST VARS'!$F$58*(8*$DY$56)+'LINEST VARS'!$E$58*(8*0.5)+'LINEST VARS'!$D$58*(8*$DV62)+'LINEST VARS'!$C$58*($DY$56*0.5)+'LINEST VARS'!$B$58*($DY$56*$DV62)+'LINEST VARS'!$A$58*(0.5*$DV62)</f>
        <v>0.84848750000000017</v>
      </c>
      <c r="DZ62" s="51">
        <f>'LINEST VARS'!$U$58+'LINEST VARS'!$T$58*(8)+'LINEST VARS'!$S$58*(8)+'LINEST VARS'!$R$58*($DZ$56)+'LINEST VARS'!$Q$58*(0.5)+'LINEST VARS'!$P$58*($DV62)+'LINEST VARS'!$O$58*(8^2)+'LINEST VARS'!$N$58*(8^2)+'LINEST VARS'!$M$58*($DZ$56^2)+'LINEST VARS'!$L$58*(0.5^2)+'LINEST VARS'!$K$58*($DV62^2)+'LINEST VARS'!$J$58*(8*8)+'LINEST VARS'!$I$58*(8*$DZ$56)+'LINEST VARS'!$H$58*(8*0.5)+'LINEST VARS'!$G$58*(8*$DV62)+'LINEST VARS'!$F$58*(8*$DZ$56)+'LINEST VARS'!$E$58*(8*0.5)+'LINEST VARS'!$D$58*(8*$DV62)+'LINEST VARS'!$C$58*($DZ$56*0.5)+'LINEST VARS'!$B$58*($DZ$56*$DV62)+'LINEST VARS'!$A$58*(0.5*$DV62)</f>
        <v>0.85648750000000018</v>
      </c>
      <c r="EA62" s="51">
        <f>'LINEST VARS'!$U$58+'LINEST VARS'!$T$58*(8)+'LINEST VARS'!$S$58*(8)+'LINEST VARS'!$R$58*($EA$56)+'LINEST VARS'!$Q$58*(0.5)+'LINEST VARS'!$P$58*($DV62)+'LINEST VARS'!$O$58*(8^2)+'LINEST VARS'!$N$58*(8^2)+'LINEST VARS'!$M$58*($EA$56^2)+'LINEST VARS'!$L$58*(0.5^2)+'LINEST VARS'!$K$58*($DV62^2)+'LINEST VARS'!$J$58*(8*8)+'LINEST VARS'!$I$58*(8*$EA$56)+'LINEST VARS'!$H$58*(8*0.5)+'LINEST VARS'!$G$58*(8*$DV62)+'LINEST VARS'!$F$58*(8*$EA$56)+'LINEST VARS'!$E$58*(8*0.5)+'LINEST VARS'!$D$58*(8*$DV62)+'LINEST VARS'!$C$58*($EA$56*0.5)+'LINEST VARS'!$B$58*($EA$56*$DV62)+'LINEST VARS'!$A$58*(0.5*$DV62)</f>
        <v>0.86448750000000008</v>
      </c>
      <c r="EB62" s="51">
        <f>'LINEST VARS'!$U$58+'LINEST VARS'!$T$58*(8)+'LINEST VARS'!$S$58*(8)+'LINEST VARS'!$R$58*($EB$56)+'LINEST VARS'!$Q$58*(0.5)+'LINEST VARS'!$P$58*($DV62)+'LINEST VARS'!$O$58*(8^2)+'LINEST VARS'!$N$58*(8^2)+'LINEST VARS'!$M$58*($EB$56^2)+'LINEST VARS'!$L$58*(0.5^2)+'LINEST VARS'!$K$58*($DV62^2)+'LINEST VARS'!$J$58*(8*8)+'LINEST VARS'!$I$58*(8*$EB$56)+'LINEST VARS'!$H$58*(8*0.5)+'LINEST VARS'!$G$58*(8*$DV62)+'LINEST VARS'!$F$58*(8*$EB$56)+'LINEST VARS'!$E$58*(8*0.5)+'LINEST VARS'!$D$58*(8*$DV62)+'LINEST VARS'!$C$58*($EB$56*0.5)+'LINEST VARS'!$B$58*($EB$56*$DV62)+'LINEST VARS'!$A$58*(0.5*$DV62)</f>
        <v>0.87248750000000019</v>
      </c>
      <c r="EC62" s="51">
        <f>'LINEST VARS'!$U$58+'LINEST VARS'!$T$58*(8)+'LINEST VARS'!$S$58*(8)+'LINEST VARS'!$R$58*($EC$56)+'LINEST VARS'!$Q$58*(0.5)+'LINEST VARS'!$P$58*($DV62)+'LINEST VARS'!$O$58*(8^2)+'LINEST VARS'!$N$58*(8^2)+'LINEST VARS'!$M$58*($EC$56^2)+'LINEST VARS'!$L$58*(0.5^2)+'LINEST VARS'!$K$58*($DV62^2)+'LINEST VARS'!$J$58*(8*8)+'LINEST VARS'!$I$58*(8*$EC$56)+'LINEST VARS'!$H$58*(8*0.5)+'LINEST VARS'!$G$58*(8*$DV62)+'LINEST VARS'!$F$58*(8*$EC$56)+'LINEST VARS'!$E$58*(8*0.5)+'LINEST VARS'!$D$58*(8*$DV62)+'LINEST VARS'!$C$58*($EC$56*0.5)+'LINEST VARS'!$B$58*($EC$56*$DV62)+'LINEST VARS'!$A$58*(0.5*$DV62)</f>
        <v>0.8804875000000002</v>
      </c>
      <c r="ED62" s="51">
        <f>'LINEST VARS'!$U$58+'LINEST VARS'!$T$58*(8)+'LINEST VARS'!$S$58*(8)+'LINEST VARS'!$R$58*($ED$56)+'LINEST VARS'!$Q$58*(0.5)+'LINEST VARS'!$P$58*($DV62)+'LINEST VARS'!$O$58*(8^2)+'LINEST VARS'!$N$58*(8^2)+'LINEST VARS'!$M$58*($ED$56^2)+'LINEST VARS'!$L$58*(0.5^2)+'LINEST VARS'!$K$58*($DV62^2)+'LINEST VARS'!$J$58*(8*8)+'LINEST VARS'!$I$58*(8*$ED$56)+'LINEST VARS'!$H$58*(8*0.5)+'LINEST VARS'!$G$58*(8*$DV62)+'LINEST VARS'!$F$58*(8*$ED$56)+'LINEST VARS'!$E$58*(8*0.5)+'LINEST VARS'!$D$58*(8*$DV62)+'LINEST VARS'!$C$58*($ED$56*0.5)+'LINEST VARS'!$B$58*($ED$56*$DV62)+'LINEST VARS'!$A$58*(0.5*$DV62)</f>
        <v>0.88848750000000021</v>
      </c>
      <c r="EE62" s="51">
        <f>'LINEST VARS'!$U$58+'LINEST VARS'!$T$58*(8)+'LINEST VARS'!$S$58*(8)+'LINEST VARS'!$R$58*($EE$56)+'LINEST VARS'!$Q$58*(0.5)+'LINEST VARS'!$P$58*($DV62)+'LINEST VARS'!$O$58*(8^2)+'LINEST VARS'!$N$58*(8^2)+'LINEST VARS'!$M$58*($EE$56^2)+'LINEST VARS'!$L$58*(0.5^2)+'LINEST VARS'!$K$58*($DV62^2)+'LINEST VARS'!$J$58*(8*8)+'LINEST VARS'!$I$58*(8*$EE$56)+'LINEST VARS'!$H$58*(8*0.5)+'LINEST VARS'!$G$58*(8*$DV62)+'LINEST VARS'!$F$58*(8*$EE$56)+'LINEST VARS'!$E$58*(8*0.5)+'LINEST VARS'!$D$58*(8*$DV62)+'LINEST VARS'!$C$58*($EE$56*0.5)+'LINEST VARS'!$B$58*($EE$56*$DV62)+'LINEST VARS'!$A$58*(0.5*$DV62)</f>
        <v>0.89648750000000033</v>
      </c>
      <c r="EF62" s="51">
        <f>'LINEST VARS'!$U$58+'LINEST VARS'!$T$58*(8)+'LINEST VARS'!$S$58*(8)+'LINEST VARS'!$R$58*($EF$56)+'LINEST VARS'!$Q$58*(0.5)+'LINEST VARS'!$P$58*($DV62)+'LINEST VARS'!$O$58*(8^2)+'LINEST VARS'!$N$58*(8^2)+'LINEST VARS'!$M$58*($EF$56^2)+'LINEST VARS'!$L$58*(0.5^2)+'LINEST VARS'!$K$58*($DV62^2)+'LINEST VARS'!$J$58*(8*8)+'LINEST VARS'!$I$58*(8*$EF$56)+'LINEST VARS'!$H$58*(8*0.5)+'LINEST VARS'!$G$58*(8*$DV62)+'LINEST VARS'!$F$58*(8*$EF$56)+'LINEST VARS'!$E$58*(8*0.5)+'LINEST VARS'!$D$58*(8*$DV62)+'LINEST VARS'!$C$58*($EF$56*0.5)+'LINEST VARS'!$B$58*($EF$56*$DV62)+'LINEST VARS'!$A$58*(0.5*$DV62)</f>
        <v>0.90448750000000022</v>
      </c>
      <c r="EG62" s="51">
        <f>'LINEST VARS'!$U$58+'LINEST VARS'!$T$58*(8)+'LINEST VARS'!$S$58*(8)+'LINEST VARS'!$R$58*($EG$56)+'LINEST VARS'!$Q$58*(0.5)+'LINEST VARS'!$P$58*($DV62)+'LINEST VARS'!$O$58*(8^2)+'LINEST VARS'!$N$58*(8^2)+'LINEST VARS'!$M$58*($EG$56^2)+'LINEST VARS'!$L$58*(0.5^2)+'LINEST VARS'!$K$58*($DV62^2)+'LINEST VARS'!$J$58*(8*8)+'LINEST VARS'!$I$58*(8*$EG$56)+'LINEST VARS'!$H$58*(8*0.5)+'LINEST VARS'!$G$58*(8*$DV62)+'LINEST VARS'!$F$58*(8*$EG$56)+'LINEST VARS'!$E$58*(8*0.5)+'LINEST VARS'!$D$58*(8*$DV62)+'LINEST VARS'!$C$58*($EG$56*0.5)+'LINEST VARS'!$B$58*($EG$56*$DV62)+'LINEST VARS'!$A$58*(0.5*$DV62)</f>
        <v>0.91248750000000023</v>
      </c>
      <c r="EH62" s="51">
        <f>'LINEST VARS'!$U$58+'LINEST VARS'!$T$58*(8)+'LINEST VARS'!$S$58*(8)+'LINEST VARS'!$R$58*($EH$56)+'LINEST VARS'!$Q$58*(0.5)+'LINEST VARS'!$P$58*($DV62)+'LINEST VARS'!$O$58*(8^2)+'LINEST VARS'!$N$58*(8^2)+'LINEST VARS'!$M$58*($EH$56^2)+'LINEST VARS'!$L$58*(0.5^2)+'LINEST VARS'!$K$58*($DV62^2)+'LINEST VARS'!$J$58*(8*8)+'LINEST VARS'!$I$58*(8*$EH$56)+'LINEST VARS'!$H$58*(8*0.5)+'LINEST VARS'!$G$58*(8*$DV62)+'LINEST VARS'!$F$58*(8*$EH$56)+'LINEST VARS'!$E$58*(8*0.5)+'LINEST VARS'!$D$58*(8*$DV62)+'LINEST VARS'!$C$58*($EH$56*0.5)+'LINEST VARS'!$B$58*($EH$56*$DV62)+'LINEST VARS'!$A$58*(0.5*$DV62)</f>
        <v>0.92048750000000013</v>
      </c>
      <c r="EI62" s="51">
        <f>'LINEST VARS'!$U$58+'LINEST VARS'!$T$58*(8)+'LINEST VARS'!$S$58*(8)+'LINEST VARS'!$R$58*($EI$56)+'LINEST VARS'!$Q$58*(0.5)+'LINEST VARS'!$P$58*($DV62)+'LINEST VARS'!$O$58*(8^2)+'LINEST VARS'!$N$58*(8^2)+'LINEST VARS'!$M$58*($EI$56^2)+'LINEST VARS'!$L$58*(0.5^2)+'LINEST VARS'!$K$58*($DV62^2)+'LINEST VARS'!$J$58*(8*8)+'LINEST VARS'!$I$58*(8*$EI$56)+'LINEST VARS'!$H$58*(8*0.5)+'LINEST VARS'!$G$58*(8*$DV62)+'LINEST VARS'!$F$58*(8*$EI$56)+'LINEST VARS'!$E$58*(8*0.5)+'LINEST VARS'!$D$58*(8*$DV62)+'LINEST VARS'!$C$58*($EI$56*0.5)+'LINEST VARS'!$B$58*($EI$56*$DV62)+'LINEST VARS'!$A$58*(0.5*$DV62)</f>
        <v>0.92848750000000013</v>
      </c>
      <c r="EJ62" s="51">
        <f>'LINEST VARS'!$U$58+'LINEST VARS'!$T$58*(8)+'LINEST VARS'!$S$58*(8)+'LINEST VARS'!$R$58*($EJ$56)+'LINEST VARS'!$Q$58*(0.5)+'LINEST VARS'!$P$58*($DV62)+'LINEST VARS'!$O$58*(8^2)+'LINEST VARS'!$N$58*(8^2)+'LINEST VARS'!$M$58*($EJ$56^2)+'LINEST VARS'!$L$58*(0.5^2)+'LINEST VARS'!$K$58*($DV62^2)+'LINEST VARS'!$J$58*(8*8)+'LINEST VARS'!$I$58*(8*$EJ$56)+'LINEST VARS'!$H$58*(8*0.5)+'LINEST VARS'!$G$58*(8*$DV62)+'LINEST VARS'!$F$58*(8*$EJ$56)+'LINEST VARS'!$E$58*(8*0.5)+'LINEST VARS'!$D$58*(8*$DV62)+'LINEST VARS'!$C$58*($EJ$56*0.5)+'LINEST VARS'!$B$58*($EJ$56*$DV62)+'LINEST VARS'!$A$58*(0.5*$DV62)</f>
        <v>0.93648750000000003</v>
      </c>
      <c r="EK62" s="51">
        <f>'LINEST VARS'!$U$58+'LINEST VARS'!$T$58*(8)+'LINEST VARS'!$S$58*(8)+'LINEST VARS'!$R$58*($EK$56)+'LINEST VARS'!$Q$58*(0.5)+'LINEST VARS'!$P$58*($DV62)+'LINEST VARS'!$O$58*(8^2)+'LINEST VARS'!$N$58*(8^2)+'LINEST VARS'!$M$58*($EK$56^2)+'LINEST VARS'!$L$58*(0.5^2)+'LINEST VARS'!$K$58*($DV62^2)+'LINEST VARS'!$J$58*(8*8)+'LINEST VARS'!$I$58*(8*$EK$56)+'LINEST VARS'!$H$58*(8*0.5)+'LINEST VARS'!$G$58*(8*$DV62)+'LINEST VARS'!$F$58*(8*$EK$56)+'LINEST VARS'!$E$58*(8*0.5)+'LINEST VARS'!$D$58*(8*$DV62)+'LINEST VARS'!$C$58*($EK$56*0.5)+'LINEST VARS'!$B$58*($EK$56*$DV62)+'LINEST VARS'!$A$58*(0.5*$DV62)</f>
        <v>0.94448750000000015</v>
      </c>
      <c r="EL62" s="51">
        <f>'LINEST VARS'!$U$58+'LINEST VARS'!$T$58*(8)+'LINEST VARS'!$S$58*(8)+'LINEST VARS'!$R$58*($EL$56)+'LINEST VARS'!$Q$58*(0.5)+'LINEST VARS'!$P$58*($DV62)+'LINEST VARS'!$O$58*(8^2)+'LINEST VARS'!$N$58*(8^2)+'LINEST VARS'!$M$58*($EL$56^2)+'LINEST VARS'!$L$58*(0.5^2)+'LINEST VARS'!$K$58*($DV62^2)+'LINEST VARS'!$J$58*(8*8)+'LINEST VARS'!$I$58*(8*$EL$56)+'LINEST VARS'!$H$58*(8*0.5)+'LINEST VARS'!$G$58*(8*$DV62)+'LINEST VARS'!$F$58*(8*$EL$56)+'LINEST VARS'!$E$58*(8*0.5)+'LINEST VARS'!$D$58*(8*$DV62)+'LINEST VARS'!$C$58*($EL$56*0.5)+'LINEST VARS'!$B$58*($EL$56*$DV62)+'LINEST VARS'!$A$58*(0.5*$DV62)</f>
        <v>0.95248750000000015</v>
      </c>
      <c r="EM62" s="51">
        <f>'LINEST VARS'!$U$58+'LINEST VARS'!$T$58*(8)+'LINEST VARS'!$S$58*(8)+'LINEST VARS'!$R$58*($EM$56)+'LINEST VARS'!$Q$58*(0.5)+'LINEST VARS'!$P$58*($DV62)+'LINEST VARS'!$O$58*(8^2)+'LINEST VARS'!$N$58*(8^2)+'LINEST VARS'!$M$58*($EM$56^2)+'LINEST VARS'!$L$58*(0.5^2)+'LINEST VARS'!$K$58*($DV62^2)+'LINEST VARS'!$J$58*(8*8)+'LINEST VARS'!$I$58*(8*$EM$56)+'LINEST VARS'!$H$58*(8*0.5)+'LINEST VARS'!$G$58*(8*$DV62)+'LINEST VARS'!$F$58*(8*$EM$56)+'LINEST VARS'!$E$58*(8*0.5)+'LINEST VARS'!$D$58*(8*$DV62)+'LINEST VARS'!$C$58*($EM$56*0.5)+'LINEST VARS'!$B$58*($EM$56*$DV62)+'LINEST VARS'!$A$58*(0.5*$DV62)</f>
        <v>0.96048750000000027</v>
      </c>
      <c r="EN62" s="51">
        <f>'LINEST VARS'!$U$58+'LINEST VARS'!$T$58*(8)+'LINEST VARS'!$S$58*(8)+'LINEST VARS'!$R$58*($EN$56)+'LINEST VARS'!$Q$58*(0.5)+'LINEST VARS'!$P$58*($DV62)+'LINEST VARS'!$O$58*(8^2)+'LINEST VARS'!$N$58*(8^2)+'LINEST VARS'!$M$58*($EN$56^2)+'LINEST VARS'!$L$58*(0.5^2)+'LINEST VARS'!$K$58*($DV62^2)+'LINEST VARS'!$J$58*(8*8)+'LINEST VARS'!$I$58*(8*$EN$56)+'LINEST VARS'!$H$58*(8*0.5)+'LINEST VARS'!$G$58*(8*$DV62)+'LINEST VARS'!$F$58*(8*$EN$56)+'LINEST VARS'!$E$58*(8*0.5)+'LINEST VARS'!$D$58*(8*$DV62)+'LINEST VARS'!$C$58*($EN$56*0.5)+'LINEST VARS'!$B$58*($EN$56*$DV62)+'LINEST VARS'!$A$58*(0.5*$DV62)</f>
        <v>0.96848750000000028</v>
      </c>
      <c r="EO62" s="51">
        <f>'LINEST VARS'!$U$58+'LINEST VARS'!$T$58*(8)+'LINEST VARS'!$S$58*(8)+'LINEST VARS'!$R$58*($EO$56)+'LINEST VARS'!$Q$58*(0.5)+'LINEST VARS'!$P$58*($DV62)+'LINEST VARS'!$O$58*(8^2)+'LINEST VARS'!$N$58*(8^2)+'LINEST VARS'!$M$58*($EO$56^2)+'LINEST VARS'!$L$58*(0.5^2)+'LINEST VARS'!$K$58*($DV62^2)+'LINEST VARS'!$J$58*(8*8)+'LINEST VARS'!$I$58*(8*$EO$56)+'LINEST VARS'!$H$58*(8*0.5)+'LINEST VARS'!$G$58*(8*$DV62)+'LINEST VARS'!$F$58*(8*$EO$56)+'LINEST VARS'!$E$58*(8*0.5)+'LINEST VARS'!$D$58*(8*$DV62)+'LINEST VARS'!$C$58*($EO$56*0.5)+'LINEST VARS'!$B$58*($EO$56*$DV62)+'LINEST VARS'!$A$58*(0.5*$DV62)</f>
        <v>0.97648750000000029</v>
      </c>
      <c r="EP62" s="51">
        <f>'LINEST VARS'!$U$58+'LINEST VARS'!$T$58*(8)+'LINEST VARS'!$S$58*(8)+'LINEST VARS'!$R$58*($EP$56)+'LINEST VARS'!$Q$58*(0.5)+'LINEST VARS'!$P$58*($DV62)+'LINEST VARS'!$O$58*(8^2)+'LINEST VARS'!$N$58*(8^2)+'LINEST VARS'!$M$58*($EP$56^2)+'LINEST VARS'!$L$58*(0.5^2)+'LINEST VARS'!$K$58*($DV62^2)+'LINEST VARS'!$J$58*(8*8)+'LINEST VARS'!$I$58*(8*$EP$56)+'LINEST VARS'!$H$58*(8*0.5)+'LINEST VARS'!$G$58*(8*$DV62)+'LINEST VARS'!$F$58*(8*$EP$56)+'LINEST VARS'!$E$58*(8*0.5)+'LINEST VARS'!$D$58*(8*$DV62)+'LINEST VARS'!$C$58*($EP$56*0.5)+'LINEST VARS'!$B$58*($EP$56*$DV62)+'LINEST VARS'!$A$58*(0.5*$DV62)</f>
        <v>0.98448750000000018</v>
      </c>
      <c r="EQ62" s="52">
        <f>'LINEST VARS'!$U$58+'LINEST VARS'!$T$58*(8)+'LINEST VARS'!$S$58*(8)+'LINEST VARS'!$R$58*($EQ$56)+'LINEST VARS'!$Q$58*(0.5)+'LINEST VARS'!$P$58*($DV62)+'LINEST VARS'!$O$58*(8^2)+'LINEST VARS'!$N$58*(8^2)+'LINEST VARS'!$M$58*($EQ$56^2)+'LINEST VARS'!$L$58*(0.5^2)+'LINEST VARS'!$K$58*($DV62^2)+'LINEST VARS'!$J$58*(8*8)+'LINEST VARS'!$I$58*(8*$EQ$56)+'LINEST VARS'!$H$58*(8*0.5)+'LINEST VARS'!$G$58*(8*$DV62)+'LINEST VARS'!$F$58*(8*$EQ$56)+'LINEST VARS'!$E$58*(8*0.5)+'LINEST VARS'!$D$58*(8*$DV62)+'LINEST VARS'!$C$58*($EQ$56*0.5)+'LINEST VARS'!$B$58*($EQ$56*$DV62)+'LINEST VARS'!$A$58*(0.5*$DV62)</f>
        <v>0.99248750000000019</v>
      </c>
    </row>
    <row r="63" spans="2:147" ht="15" customHeight="1" x14ac:dyDescent="0.25">
      <c r="B63" s="45">
        <v>7.76</v>
      </c>
      <c r="C63" s="51">
        <f>'LINEST VARS'!$U$56+'LINEST VARS'!$T$56*($C$56)+'LINEST VARS'!$S$56*($B63)+'LINEST VARS'!$R$56*(4)+'LINEST VARS'!$Q$56*(0.5)+'LINEST VARS'!$P$56*(12.73)+'LINEST VARS'!$O$56*($C$56^2)+'LINEST VARS'!$N$56*($B63^2)+'LINEST VARS'!$M$56*(4^2)+'LINEST VARS'!$L$56*(0.5^2)+'LINEST VARS'!$K$56*(12.73^2)+'LINEST VARS'!$J$56*($C$56*$B63)+'LINEST VARS'!$I$56*($C$56*4)+'LINEST VARS'!$H$56*($C$56*0.5)+'LINEST VARS'!$G$56*($C$56*12.73)+'LINEST VARS'!$F$56*($B63*4)+'LINEST VARS'!$E$56*($B63*0.5)+'LINEST VARS'!$D$56*($B63*12.73)+'LINEST VARS'!$C$56*(4*0.5)+'LINEST VARS'!$B$56*(4*12.73)+'LINEST VARS'!$A$56*(0.5*12.73)</f>
        <v>2.8400000000000012</v>
      </c>
      <c r="D63" s="51">
        <f>'LINEST VARS'!$U$56+'LINEST VARS'!$T$56*($D$56)+'LINEST VARS'!$S$56*($B63)+'LINEST VARS'!$R$56*(4)+'LINEST VARS'!$Q$56*(0.5)+'LINEST VARS'!$P$56*(12.73)+'LINEST VARS'!$O$56*($D$56^2)+'LINEST VARS'!$N$56*($B63^2)+'LINEST VARS'!$M$56*(4^2)+'LINEST VARS'!$L$56*(0.5^2)+'LINEST VARS'!$K$56*(12.73^2)+'LINEST VARS'!$J$56*($D$56*$B63)+'LINEST VARS'!$I$56*($D$56*4)+'LINEST VARS'!$H$56*($D$56*0.5)+'LINEST VARS'!$G$56*($D$56*12.73)+'LINEST VARS'!$F$56*($B63*4)+'LINEST VARS'!$E$56*($B63*0.5)+'LINEST VARS'!$D$56*($B63*12.73)+'LINEST VARS'!$C$56*(4*0.5)+'LINEST VARS'!$B$56*(4*12.73)+'LINEST VARS'!$A$56*(0.5*12.73)</f>
        <v>2.8400000000000012</v>
      </c>
      <c r="E63" s="51">
        <f>'LINEST VARS'!$U$56+'LINEST VARS'!$T$56*($E$56)+'LINEST VARS'!$S$56*($B63)+'LINEST VARS'!$R$56*(4)+'LINEST VARS'!$Q$56*(0.5)+'LINEST VARS'!$P$56*(12.73)+'LINEST VARS'!$O$56*($E$56^2)+'LINEST VARS'!$N$56*($B63^2)+'LINEST VARS'!$M$56*(4^2)+'LINEST VARS'!$L$56*(0.5^2)+'LINEST VARS'!$K$56*(12.73^2)+'LINEST VARS'!$J$56*($E$56*$B63)+'LINEST VARS'!$I$56*($E$56*4)+'LINEST VARS'!$H$56*($E$56*0.5)+'LINEST VARS'!$G$56*($E$56*12.73)+'LINEST VARS'!$F$56*($B63*4)+'LINEST VARS'!$E$56*($B63*0.5)+'LINEST VARS'!$D$56*($B63*12.73)+'LINEST VARS'!$C$56*(4*0.5)+'LINEST VARS'!$B$56*(4*12.73)+'LINEST VARS'!$A$56*(0.5*12.73)</f>
        <v>2.8400000000000012</v>
      </c>
      <c r="F63" s="51">
        <f>'LINEST VARS'!$U$56+'LINEST VARS'!$T$56*($F$56)+'LINEST VARS'!$S$56*($B63)+'LINEST VARS'!$R$56*(4)+'LINEST VARS'!$Q$56*(0.5)+'LINEST VARS'!$P$56*(12.73)+'LINEST VARS'!$O$56*($F$56^2)+'LINEST VARS'!$N$56*($B63^2)+'LINEST VARS'!$M$56*(4^2)+'LINEST VARS'!$L$56*(0.5^2)+'LINEST VARS'!$K$56*(12.73^2)+'LINEST VARS'!$J$56*($F$56*$B63)+'LINEST VARS'!$I$56*($F$56*4)+'LINEST VARS'!$H$56*($F$56*0.5)+'LINEST VARS'!$G$56*($F$56*12.73)+'LINEST VARS'!$F$56*($B63*4)+'LINEST VARS'!$E$56*($B63*0.5)+'LINEST VARS'!$D$56*($B63*12.73)+'LINEST VARS'!$C$56*(4*0.5)+'LINEST VARS'!$B$56*(4*12.73)+'LINEST VARS'!$A$56*(0.5*12.73)</f>
        <v>2.8400000000000012</v>
      </c>
      <c r="G63" s="51">
        <f>'LINEST VARS'!$U$56+'LINEST VARS'!$T$56*($G$56)+'LINEST VARS'!$S$56*($B63)+'LINEST VARS'!$R$56*(4)+'LINEST VARS'!$Q$56*(0.5)+'LINEST VARS'!$P$56*(12.73)+'LINEST VARS'!$O$56*($G$56^2)+'LINEST VARS'!$N$56*($B63^2)+'LINEST VARS'!$M$56*(4^2)+'LINEST VARS'!$L$56*(0.5^2)+'LINEST VARS'!$K$56*(12.73^2)+'LINEST VARS'!$J$56*($G$56*$B63)+'LINEST VARS'!$I$56*($G$56*4)+'LINEST VARS'!$H$56*($G$56*0.5)+'LINEST VARS'!$G$56*($G$56*12.73)+'LINEST VARS'!$F$56*($B63*4)+'LINEST VARS'!$E$56*($B63*0.5)+'LINEST VARS'!$D$56*($B63*12.73)+'LINEST VARS'!$C$56*(4*0.5)+'LINEST VARS'!$B$56*(4*12.73)+'LINEST VARS'!$A$56*(0.5*12.73)</f>
        <v>2.8400000000000012</v>
      </c>
      <c r="H63" s="51">
        <f>'LINEST VARS'!$U$56+'LINEST VARS'!$T$56*($H$56)+'LINEST VARS'!$S$56*($B63)+'LINEST VARS'!$R$56*(4)+'LINEST VARS'!$Q$56*(0.5)+'LINEST VARS'!$P$56*(12.73)+'LINEST VARS'!$O$56*($H$56^2)+'LINEST VARS'!$N$56*($B63^2)+'LINEST VARS'!$M$56*(4^2)+'LINEST VARS'!$L$56*(0.5^2)+'LINEST VARS'!$K$56*(12.73^2)+'LINEST VARS'!$J$56*($H$56*$B63)+'LINEST VARS'!$I$56*($H$56*4)+'LINEST VARS'!$H$56*($H$56*0.5)+'LINEST VARS'!$G$56*($H$56*12.73)+'LINEST VARS'!$F$56*($B63*4)+'LINEST VARS'!$E$56*($B63*0.5)+'LINEST VARS'!$D$56*($B63*12.73)+'LINEST VARS'!$C$56*(4*0.5)+'LINEST VARS'!$B$56*(4*12.73)+'LINEST VARS'!$A$56*(0.5*12.73)</f>
        <v>2.8400000000000012</v>
      </c>
      <c r="I63" s="51">
        <f>'LINEST VARS'!$U$56+'LINEST VARS'!$T$56*($I$56)+'LINEST VARS'!$S$56*($B63)+'LINEST VARS'!$R$56*(4)+'LINEST VARS'!$Q$56*(0.5)+'LINEST VARS'!$P$56*(12.73)+'LINEST VARS'!$O$56*($I$56^2)+'LINEST VARS'!$N$56*($B63^2)+'LINEST VARS'!$M$56*(4^2)+'LINEST VARS'!$L$56*(0.5^2)+'LINEST VARS'!$K$56*(12.73^2)+'LINEST VARS'!$J$56*($I$56*$B63)+'LINEST VARS'!$I$56*($I$56*4)+'LINEST VARS'!$H$56*($I$56*0.5)+'LINEST VARS'!$G$56*($I$56*12.73)+'LINEST VARS'!$F$56*($B63*4)+'LINEST VARS'!$E$56*($B63*0.5)+'LINEST VARS'!$D$56*($B63*12.73)+'LINEST VARS'!$C$56*(4*0.5)+'LINEST VARS'!$B$56*(4*12.73)+'LINEST VARS'!$A$56*(0.5*12.73)</f>
        <v>2.8400000000000012</v>
      </c>
      <c r="J63" s="51">
        <f>'LINEST VARS'!$U$56+'LINEST VARS'!$T$56*($J$56)+'LINEST VARS'!$S$56*($B63)+'LINEST VARS'!$R$56*(4)+'LINEST VARS'!$Q$56*(0.5)+'LINEST VARS'!$P$56*(12.73)+'LINEST VARS'!$O$56*($J$56^2)+'LINEST VARS'!$N$56*($B63^2)+'LINEST VARS'!$M$56*(4^2)+'LINEST VARS'!$L$56*(0.5^2)+'LINEST VARS'!$K$56*(12.73^2)+'LINEST VARS'!$J$56*($J$56*$B63)+'LINEST VARS'!$I$56*($J$56*4)+'LINEST VARS'!$H$56*($J$56*0.5)+'LINEST VARS'!$G$56*($J$56*12.73)+'LINEST VARS'!$F$56*($B63*4)+'LINEST VARS'!$E$56*($B63*0.5)+'LINEST VARS'!$D$56*($B63*12.73)+'LINEST VARS'!$C$56*(4*0.5)+'LINEST VARS'!$B$56*(4*12.73)+'LINEST VARS'!$A$56*(0.5*12.73)</f>
        <v>2.8400000000000012</v>
      </c>
      <c r="K63" s="51">
        <f>'LINEST VARS'!$U$56+'LINEST VARS'!$T$56*($K$56)+'LINEST VARS'!$S$56*($B63)+'LINEST VARS'!$R$56*(4)+'LINEST VARS'!$Q$56*(0.5)+'LINEST VARS'!$P$56*(12.73)+'LINEST VARS'!$O$56*($K$56^2)+'LINEST VARS'!$N$56*($B63^2)+'LINEST VARS'!$M$56*(4^2)+'LINEST VARS'!$L$56*(0.5^2)+'LINEST VARS'!$K$56*(12.73^2)+'LINEST VARS'!$J$56*($K$56*$B63)+'LINEST VARS'!$I$56*($K$56*4)+'LINEST VARS'!$H$56*($K$56*0.5)+'LINEST VARS'!$G$56*($K$56*12.73)+'LINEST VARS'!$F$56*($B63*4)+'LINEST VARS'!$E$56*($B63*0.5)+'LINEST VARS'!$D$56*($B63*12.73)+'LINEST VARS'!$C$56*(4*0.5)+'LINEST VARS'!$B$56*(4*12.73)+'LINEST VARS'!$A$56*(0.5*12.73)</f>
        <v>2.8400000000000007</v>
      </c>
      <c r="L63" s="51">
        <f>'LINEST VARS'!$U$56+'LINEST VARS'!$T$56*($L$56)+'LINEST VARS'!$S$56*($B63)+'LINEST VARS'!$R$56*(4)+'LINEST VARS'!$Q$56*(0.5)+'LINEST VARS'!$P$56*(12.73)+'LINEST VARS'!$O$56*($L$56^2)+'LINEST VARS'!$N$56*($B63^2)+'LINEST VARS'!$M$56*(4^2)+'LINEST VARS'!$L$56*(0.5^2)+'LINEST VARS'!$K$56*(12.73^2)+'LINEST VARS'!$J$56*($L$56*$B63)+'LINEST VARS'!$I$56*($L$56*4)+'LINEST VARS'!$H$56*($L$56*0.5)+'LINEST VARS'!$G$56*($L$56*12.73)+'LINEST VARS'!$F$56*($B63*4)+'LINEST VARS'!$E$56*($B63*0.5)+'LINEST VARS'!$D$56*($B63*12.73)+'LINEST VARS'!$C$56*(4*0.5)+'LINEST VARS'!$B$56*(4*12.73)+'LINEST VARS'!$A$56*(0.5*12.73)</f>
        <v>2.8400000000000007</v>
      </c>
      <c r="M63" s="51">
        <f>'LINEST VARS'!$U$56+'LINEST VARS'!$T$56*($M$56)+'LINEST VARS'!$S$56*($B63)+'LINEST VARS'!$R$56*(4)+'LINEST VARS'!$Q$56*(0.5)+'LINEST VARS'!$P$56*(12.73)+'LINEST VARS'!$O$56*($M$56^2)+'LINEST VARS'!$N$56*($B63^2)+'LINEST VARS'!$M$56*(4^2)+'LINEST VARS'!$L$56*(0.5^2)+'LINEST VARS'!$K$56*(12.73^2)+'LINEST VARS'!$J$56*($M$56*$B63)+'LINEST VARS'!$I$56*($M$56*4)+'LINEST VARS'!$H$56*($M$56*0.5)+'LINEST VARS'!$G$56*($M$56*12.73)+'LINEST VARS'!$F$56*($B63*4)+'LINEST VARS'!$E$56*($B63*0.5)+'LINEST VARS'!$D$56*($B63*12.73)+'LINEST VARS'!$C$56*(4*0.5)+'LINEST VARS'!$B$56*(4*12.73)+'LINEST VARS'!$A$56*(0.5*12.73)</f>
        <v>2.8400000000000007</v>
      </c>
      <c r="N63" s="51">
        <f>'LINEST VARS'!$U$56+'LINEST VARS'!$T$56*($N$56)+'LINEST VARS'!$S$56*($B63)+'LINEST VARS'!$R$56*(4)+'LINEST VARS'!$Q$56*(0.5)+'LINEST VARS'!$P$56*(12.73)+'LINEST VARS'!$O$56*($N$56^2)+'LINEST VARS'!$N$56*($B63^2)+'LINEST VARS'!$M$56*(4^2)+'LINEST VARS'!$L$56*(0.5^2)+'LINEST VARS'!$K$56*(12.73^2)+'LINEST VARS'!$J$56*($N$56*$B63)+'LINEST VARS'!$I$56*($N$56*4)+'LINEST VARS'!$H$56*($N$56*0.5)+'LINEST VARS'!$G$56*($N$56*12.73)+'LINEST VARS'!$F$56*($B63*4)+'LINEST VARS'!$E$56*($B63*0.5)+'LINEST VARS'!$D$56*($B63*12.73)+'LINEST VARS'!$C$56*(4*0.5)+'LINEST VARS'!$B$56*(4*12.73)+'LINEST VARS'!$A$56*(0.5*12.73)</f>
        <v>2.8400000000000007</v>
      </c>
      <c r="O63" s="51">
        <f>'LINEST VARS'!$U$56+'LINEST VARS'!$T$56*($O$56)+'LINEST VARS'!$S$56*($B63)+'LINEST VARS'!$R$56*(4)+'LINEST VARS'!$Q$56*(0.5)+'LINEST VARS'!$P$56*(12.73)+'LINEST VARS'!$O$56*($O$56^2)+'LINEST VARS'!$N$56*($B63^2)+'LINEST VARS'!$M$56*(4^2)+'LINEST VARS'!$L$56*(0.5^2)+'LINEST VARS'!$K$56*(12.73^2)+'LINEST VARS'!$J$56*($O$56*$B63)+'LINEST VARS'!$I$56*($O$56*4)+'LINEST VARS'!$H$56*($O$56*0.5)+'LINEST VARS'!$G$56*($O$56*12.73)+'LINEST VARS'!$F$56*($B63*4)+'LINEST VARS'!$E$56*($B63*0.5)+'LINEST VARS'!$D$56*($B63*12.73)+'LINEST VARS'!$C$56*(4*0.5)+'LINEST VARS'!$B$56*(4*12.73)+'LINEST VARS'!$A$56*(0.5*12.73)</f>
        <v>2.8400000000000007</v>
      </c>
      <c r="P63" s="51">
        <f>'LINEST VARS'!$U$56+'LINEST VARS'!$T$56*($P$56)+'LINEST VARS'!$S$56*($B63)+'LINEST VARS'!$R$56*(4)+'LINEST VARS'!$Q$56*(0.5)+'LINEST VARS'!$P$56*(12.73)+'LINEST VARS'!$O$56*($P$56^2)+'LINEST VARS'!$N$56*($B63^2)+'LINEST VARS'!$M$56*(4^2)+'LINEST VARS'!$L$56*(0.5^2)+'LINEST VARS'!$K$56*(12.73^2)+'LINEST VARS'!$J$56*($P$56*$B63)+'LINEST VARS'!$I$56*($P$56*4)+'LINEST VARS'!$H$56*($P$56*0.5)+'LINEST VARS'!$G$56*($P$56*12.73)+'LINEST VARS'!$F$56*($B63*4)+'LINEST VARS'!$E$56*($B63*0.5)+'LINEST VARS'!$D$56*($B63*12.73)+'LINEST VARS'!$C$56*(4*0.5)+'LINEST VARS'!$B$56*(4*12.73)+'LINEST VARS'!$A$56*(0.5*12.73)</f>
        <v>2.8400000000000007</v>
      </c>
      <c r="Q63" s="51">
        <f>'LINEST VARS'!$U$56+'LINEST VARS'!$T$56*($Q$56)+'LINEST VARS'!$S$56*($B63)+'LINEST VARS'!$R$56*(4)+'LINEST VARS'!$Q$56*(0.5)+'LINEST VARS'!$P$56*(12.73)+'LINEST VARS'!$O$56*($Q$56^2)+'LINEST VARS'!$N$56*($B63^2)+'LINEST VARS'!$M$56*(4^2)+'LINEST VARS'!$L$56*(0.5^2)+'LINEST VARS'!$K$56*(12.73^2)+'LINEST VARS'!$J$56*($Q$56*$B63)+'LINEST VARS'!$I$56*($Q$56*4)+'LINEST VARS'!$H$56*($Q$56*0.5)+'LINEST VARS'!$G$56*($Q$56*12.73)+'LINEST VARS'!$F$56*($B63*4)+'LINEST VARS'!$E$56*($B63*0.5)+'LINEST VARS'!$D$56*($B63*12.73)+'LINEST VARS'!$C$56*(4*0.5)+'LINEST VARS'!$B$56*(4*12.73)+'LINEST VARS'!$A$56*(0.5*12.73)</f>
        <v>2.8400000000000007</v>
      </c>
      <c r="R63" s="51">
        <f>'LINEST VARS'!$U$56+'LINEST VARS'!$T$56*($R$56)+'LINEST VARS'!$S$56*($B63)+'LINEST VARS'!$R$56*(4)+'LINEST VARS'!$Q$56*(0.5)+'LINEST VARS'!$P$56*(12.73)+'LINEST VARS'!$O$56*($R$56^2)+'LINEST VARS'!$N$56*($B63^2)+'LINEST VARS'!$M$56*(4^2)+'LINEST VARS'!$L$56*(0.5^2)+'LINEST VARS'!$K$56*(12.73^2)+'LINEST VARS'!$J$56*($R$56*$B63)+'LINEST VARS'!$I$56*($R$56*4)+'LINEST VARS'!$H$56*($R$56*0.5)+'LINEST VARS'!$G$56*($R$56*12.73)+'LINEST VARS'!$F$56*($B63*4)+'LINEST VARS'!$E$56*($B63*0.5)+'LINEST VARS'!$D$56*($B63*12.73)+'LINEST VARS'!$C$56*(4*0.5)+'LINEST VARS'!$B$56*(4*12.73)+'LINEST VARS'!$A$56*(0.5*12.73)</f>
        <v>2.8400000000000007</v>
      </c>
      <c r="S63" s="51">
        <f>'LINEST VARS'!$U$56+'LINEST VARS'!$T$56*($S$56)+'LINEST VARS'!$S$56*($B63)+'LINEST VARS'!$R$56*(4)+'LINEST VARS'!$Q$56*(0.5)+'LINEST VARS'!$P$56*(12.73)+'LINEST VARS'!$O$56*($S$56^2)+'LINEST VARS'!$N$56*($B63^2)+'LINEST VARS'!$M$56*(4^2)+'LINEST VARS'!$L$56*(0.5^2)+'LINEST VARS'!$K$56*(12.73^2)+'LINEST VARS'!$J$56*($S$56*$B63)+'LINEST VARS'!$I$56*($S$56*4)+'LINEST VARS'!$H$56*($S$56*0.5)+'LINEST VARS'!$G$56*($S$56*12.73)+'LINEST VARS'!$F$56*($B63*4)+'LINEST VARS'!$E$56*($B63*0.5)+'LINEST VARS'!$D$56*($B63*12.73)+'LINEST VARS'!$C$56*(4*0.5)+'LINEST VARS'!$B$56*(4*12.73)+'LINEST VARS'!$A$56*(0.5*12.73)</f>
        <v>2.8400000000000007</v>
      </c>
      <c r="T63" s="51">
        <f>'LINEST VARS'!$U$56+'LINEST VARS'!$T$56*($T$56)+'LINEST VARS'!$S$56*($B63)+'LINEST VARS'!$R$56*(4)+'LINEST VARS'!$Q$56*(0.5)+'LINEST VARS'!$P$56*(12.73)+'LINEST VARS'!$O$56*($T$56^2)+'LINEST VARS'!$N$56*($B63^2)+'LINEST VARS'!$M$56*(4^2)+'LINEST VARS'!$L$56*(0.5^2)+'LINEST VARS'!$K$56*(12.73^2)+'LINEST VARS'!$J$56*($T$56*$B63)+'LINEST VARS'!$I$56*($T$56*4)+'LINEST VARS'!$H$56*($T$56*0.5)+'LINEST VARS'!$G$56*($T$56*12.73)+'LINEST VARS'!$F$56*($B63*4)+'LINEST VARS'!$E$56*($B63*0.5)+'LINEST VARS'!$D$56*($B63*12.73)+'LINEST VARS'!$C$56*(4*0.5)+'LINEST VARS'!$B$56*(4*12.73)+'LINEST VARS'!$A$56*(0.5*12.73)</f>
        <v>2.8400000000000007</v>
      </c>
      <c r="U63" s="51">
        <f>'LINEST VARS'!$U$56+'LINEST VARS'!$T$56*($U$56)+'LINEST VARS'!$S$56*($B63)+'LINEST VARS'!$R$56*(4)+'LINEST VARS'!$Q$56*(0.5)+'LINEST VARS'!$P$56*(12.73)+'LINEST VARS'!$O$56*($U$56^2)+'LINEST VARS'!$N$56*($B63^2)+'LINEST VARS'!$M$56*(4^2)+'LINEST VARS'!$L$56*(0.5^2)+'LINEST VARS'!$K$56*(12.73^2)+'LINEST VARS'!$J$56*($U$56*$B63)+'LINEST VARS'!$I$56*($U$56*4)+'LINEST VARS'!$H$56*($U$56*0.5)+'LINEST VARS'!$G$56*($U$56*12.73)+'LINEST VARS'!$F$56*($B63*4)+'LINEST VARS'!$E$56*($B63*0.5)+'LINEST VARS'!$D$56*($B63*12.73)+'LINEST VARS'!$C$56*(4*0.5)+'LINEST VARS'!$B$56*(4*12.73)+'LINEST VARS'!$A$56*(0.5*12.73)</f>
        <v>2.8400000000000007</v>
      </c>
      <c r="V63" s="51">
        <f>'LINEST VARS'!$U$56+'LINEST VARS'!$T$56*($V$56)+'LINEST VARS'!$S$56*($B63)+'LINEST VARS'!$R$56*(4)+'LINEST VARS'!$Q$56*(0.5)+'LINEST VARS'!$P$56*(12.73)+'LINEST VARS'!$O$56*($V$56^2)+'LINEST VARS'!$N$56*($B63^2)+'LINEST VARS'!$M$56*(4^2)+'LINEST VARS'!$L$56*(0.5^2)+'LINEST VARS'!$K$56*(12.73^2)+'LINEST VARS'!$J$56*($V$56*$B63)+'LINEST VARS'!$I$56*($V$56*4)+'LINEST VARS'!$H$56*($V$56*0.5)+'LINEST VARS'!$G$56*($V$56*12.73)+'LINEST VARS'!$F$56*($B63*4)+'LINEST VARS'!$E$56*($B63*0.5)+'LINEST VARS'!$D$56*($B63*12.73)+'LINEST VARS'!$C$56*(4*0.5)+'LINEST VARS'!$B$56*(4*12.73)+'LINEST VARS'!$A$56*(0.5*12.73)</f>
        <v>2.8400000000000007</v>
      </c>
      <c r="W63" s="52">
        <f>'LINEST VARS'!$U$56+'LINEST VARS'!$T$56*($W$56)+'LINEST VARS'!$S$56*($B63)+'LINEST VARS'!$R$56*(4)+'LINEST VARS'!$Q$56*(0.5)+'LINEST VARS'!$P$56*(12.73)+'LINEST VARS'!$O$56*($W$56^2)+'LINEST VARS'!$N$56*($B63^2)+'LINEST VARS'!$M$56*(4^2)+'LINEST VARS'!$L$56*(0.5^2)+'LINEST VARS'!$K$56*(12.73^2)+'LINEST VARS'!$J$56*($W$56*$B63)+'LINEST VARS'!$I$56*($W$56*4)+'LINEST VARS'!$H$56*($W$56*0.5)+'LINEST VARS'!$G$56*($W$56*12.73)+'LINEST VARS'!$F$56*($B63*4)+'LINEST VARS'!$E$56*($B63*0.5)+'LINEST VARS'!$D$56*($B63*12.73)+'LINEST VARS'!$C$56*(4*0.5)+'LINEST VARS'!$B$56*(4*12.73)+'LINEST VARS'!$A$56*(0.5*12.73)</f>
        <v>2.8400000000000007</v>
      </c>
      <c r="Z63" s="45">
        <v>7.76</v>
      </c>
      <c r="AA63" s="51">
        <f>'LINEST VARS'!$U$58+'LINEST VARS'!$T$58*($AA$56)+'LINEST VARS'!$S$58*($Z63)+'LINEST VARS'!$R$58*(4)+'LINEST VARS'!$Q$58*(0.5)+'LINEST VARS'!$P$58*(12.73)+'LINEST VARS'!$O$58*($AA$56^2)+'LINEST VARS'!$N$58*($Z63^2)+'LINEST VARS'!$M$58*(4^2)+'LINEST VARS'!$L$58*(0.5^2)+'LINEST VARS'!$K$58*(12.73^2)+'LINEST VARS'!$J$58*($AA$56*$Z63)+'LINEST VARS'!$I$58*($AA$56*4)+'LINEST VARS'!$H$58*($AA$56*0.5)+'LINEST VARS'!$G$58*($AA$56*12.73)+'LINEST VARS'!$F$58*($Z63*4)+'LINEST VARS'!$E$58*($Z63*0.5)+'LINEST VARS'!$D$58*($Z63*12.73)+'LINEST VARS'!$C$58*(4*0.5)+'LINEST VARS'!$B$58*(4*12.73)+'LINEST VARS'!$A$58*(0.5*12.73)</f>
        <v>0.94365000000000021</v>
      </c>
      <c r="AB63" s="51">
        <f>'LINEST VARS'!$U$58+'LINEST VARS'!$T$58*($AB$56)+'LINEST VARS'!$S$58*($Z63)+'LINEST VARS'!$R$58*(4)+'LINEST VARS'!$Q$58*(0.5)+'LINEST VARS'!$P$58*(12.73)+'LINEST VARS'!$O$58*($AB$56^2)+'LINEST VARS'!$N$58*($Z63^2)+'LINEST VARS'!$M$58*(4^2)+'LINEST VARS'!$L$58*(0.5^2)+'LINEST VARS'!$K$58*(12.73^2)+'LINEST VARS'!$J$58*($AB$56*$Z63)+'LINEST VARS'!$I$58*($AB$56*4)+'LINEST VARS'!$H$58*($AB$56*0.5)+'LINEST VARS'!$G$58*($AB$56*12.73)+'LINEST VARS'!$F$58*($Z63*4)+'LINEST VARS'!$E$58*($Z63*0.5)+'LINEST VARS'!$D$58*($Z63*12.73)+'LINEST VARS'!$C$58*(4*0.5)+'LINEST VARS'!$B$58*(4*12.73)+'LINEST VARS'!$A$58*(0.5*12.73)</f>
        <v>0.94365000000000021</v>
      </c>
      <c r="AC63" s="51">
        <f>'LINEST VARS'!$U$58+'LINEST VARS'!$T$58*($AC$56)+'LINEST VARS'!$S$58*($Z63)+'LINEST VARS'!$R$58*(4)+'LINEST VARS'!$Q$58*(0.5)+'LINEST VARS'!$P$58*(12.73)+'LINEST VARS'!$O$58*($AC$56^2)+'LINEST VARS'!$N$58*($Z63^2)+'LINEST VARS'!$M$58*(4^2)+'LINEST VARS'!$L$58*(0.5^2)+'LINEST VARS'!$K$58*(12.73^2)+'LINEST VARS'!$J$58*($AC$56*$Z63)+'LINEST VARS'!$I$58*($AC$56*4)+'LINEST VARS'!$H$58*($AC$56*0.5)+'LINEST VARS'!$G$58*($AC$56*12.73)+'LINEST VARS'!$F$58*($Z63*4)+'LINEST VARS'!$E$58*($Z63*0.5)+'LINEST VARS'!$D$58*($Z63*12.73)+'LINEST VARS'!$C$58*(4*0.5)+'LINEST VARS'!$B$58*(4*12.73)+'LINEST VARS'!$A$58*(0.5*12.73)</f>
        <v>0.94365000000000021</v>
      </c>
      <c r="AD63" s="51">
        <f>'LINEST VARS'!$U$58+'LINEST VARS'!$T$58*($AD$56)+'LINEST VARS'!$S$58*($Z63)+'LINEST VARS'!$R$58*(4)+'LINEST VARS'!$Q$58*(0.5)+'LINEST VARS'!$P$58*(12.73)+'LINEST VARS'!$O$58*($AD$56^2)+'LINEST VARS'!$N$58*($Z63^2)+'LINEST VARS'!$M$58*(4^2)+'LINEST VARS'!$L$58*(0.5^2)+'LINEST VARS'!$K$58*(12.73^2)+'LINEST VARS'!$J$58*($AD$56*$Z63)+'LINEST VARS'!$I$58*($AD$56*4)+'LINEST VARS'!$H$58*($AD$56*0.5)+'LINEST VARS'!$G$58*($AD$56*12.73)+'LINEST VARS'!$F$58*($Z63*4)+'LINEST VARS'!$E$58*($Z63*0.5)+'LINEST VARS'!$D$58*($Z63*12.73)+'LINEST VARS'!$C$58*(4*0.5)+'LINEST VARS'!$B$58*(4*12.73)+'LINEST VARS'!$A$58*(0.5*12.73)</f>
        <v>0.94365000000000021</v>
      </c>
      <c r="AE63" s="51">
        <f>'LINEST VARS'!$U$58+'LINEST VARS'!$T$58*($AE$56)+'LINEST VARS'!$S$58*($Z63)+'LINEST VARS'!$R$58*(4)+'LINEST VARS'!$Q$58*(0.5)+'LINEST VARS'!$P$58*(12.73)+'LINEST VARS'!$O$58*($AE$56^2)+'LINEST VARS'!$N$58*($Z63^2)+'LINEST VARS'!$M$58*(4^2)+'LINEST VARS'!$L$58*(0.5^2)+'LINEST VARS'!$K$58*(12.73^2)+'LINEST VARS'!$J$58*($AE$56*$Z63)+'LINEST VARS'!$I$58*($AE$56*4)+'LINEST VARS'!$H$58*($AE$56*0.5)+'LINEST VARS'!$G$58*($AE$56*12.73)+'LINEST VARS'!$F$58*($Z63*4)+'LINEST VARS'!$E$58*($Z63*0.5)+'LINEST VARS'!$D$58*($Z63*12.73)+'LINEST VARS'!$C$58*(4*0.5)+'LINEST VARS'!$B$58*(4*12.73)+'LINEST VARS'!$A$58*(0.5*12.73)</f>
        <v>0.94365000000000032</v>
      </c>
      <c r="AF63" s="51">
        <f>'LINEST VARS'!$U$58+'LINEST VARS'!$T$58*($AF$56)+'LINEST VARS'!$S$58*($Z63)+'LINEST VARS'!$R$58*(4)+'LINEST VARS'!$Q$58*(0.5)+'LINEST VARS'!$P$58*(12.73)+'LINEST VARS'!$O$58*($AF$56^2)+'LINEST VARS'!$N$58*($Z63^2)+'LINEST VARS'!$M$58*(4^2)+'LINEST VARS'!$L$58*(0.5^2)+'LINEST VARS'!$K$58*(12.73^2)+'LINEST VARS'!$J$58*($AF$56*$Z63)+'LINEST VARS'!$I$58*($AF$56*4)+'LINEST VARS'!$H$58*($AF$56*0.5)+'LINEST VARS'!$G$58*($AF$56*12.73)+'LINEST VARS'!$F$58*($Z63*4)+'LINEST VARS'!$E$58*($Z63*0.5)+'LINEST VARS'!$D$58*($Z63*12.73)+'LINEST VARS'!$C$58*(4*0.5)+'LINEST VARS'!$B$58*(4*12.73)+'LINEST VARS'!$A$58*(0.5*12.73)</f>
        <v>0.94365000000000032</v>
      </c>
      <c r="AG63" s="51">
        <f>'LINEST VARS'!$U$58+'LINEST VARS'!$T$58*($AG$56)+'LINEST VARS'!$S$58*($Z63)+'LINEST VARS'!$R$58*(4)+'LINEST VARS'!$Q$58*(0.5)+'LINEST VARS'!$P$58*(12.73)+'LINEST VARS'!$O$58*($AG$56^2)+'LINEST VARS'!$N$58*($Z63^2)+'LINEST VARS'!$M$58*(4^2)+'LINEST VARS'!$L$58*(0.5^2)+'LINEST VARS'!$K$58*(12.73^2)+'LINEST VARS'!$J$58*($AG$56*$Z63)+'LINEST VARS'!$I$58*($AG$56*4)+'LINEST VARS'!$H$58*($AG$56*0.5)+'LINEST VARS'!$G$58*($AG$56*12.73)+'LINEST VARS'!$F$58*($Z63*4)+'LINEST VARS'!$E$58*($Z63*0.5)+'LINEST VARS'!$D$58*($Z63*12.73)+'LINEST VARS'!$C$58*(4*0.5)+'LINEST VARS'!$B$58*(4*12.73)+'LINEST VARS'!$A$58*(0.5*12.73)</f>
        <v>0.94365000000000032</v>
      </c>
      <c r="AH63" s="51">
        <f>'LINEST VARS'!$U$58+'LINEST VARS'!$T$58*($AH$56)+'LINEST VARS'!$S$58*($Z63)+'LINEST VARS'!$R$58*(4)+'LINEST VARS'!$Q$58*(0.5)+'LINEST VARS'!$P$58*(12.73)+'LINEST VARS'!$O$58*($AH$56^2)+'LINEST VARS'!$N$58*($Z63^2)+'LINEST VARS'!$M$58*(4^2)+'LINEST VARS'!$L$58*(0.5^2)+'LINEST VARS'!$K$58*(12.73^2)+'LINEST VARS'!$J$58*($AH$56*$Z63)+'LINEST VARS'!$I$58*($AH$56*4)+'LINEST VARS'!$H$58*($AH$56*0.5)+'LINEST VARS'!$G$58*($AH$56*12.73)+'LINEST VARS'!$F$58*($Z63*4)+'LINEST VARS'!$E$58*($Z63*0.5)+'LINEST VARS'!$D$58*($Z63*12.73)+'LINEST VARS'!$C$58*(4*0.5)+'LINEST VARS'!$B$58*(4*12.73)+'LINEST VARS'!$A$58*(0.5*12.73)</f>
        <v>0.94365000000000032</v>
      </c>
      <c r="AI63" s="51">
        <f>'LINEST VARS'!$U$58+'LINEST VARS'!$T$58*($AI$56)+'LINEST VARS'!$S$58*($Z63)+'LINEST VARS'!$R$58*(4)+'LINEST VARS'!$Q$58*(0.5)+'LINEST VARS'!$P$58*(12.73)+'LINEST VARS'!$O$58*($AI$56^2)+'LINEST VARS'!$N$58*($Z63^2)+'LINEST VARS'!$M$58*(4^2)+'LINEST VARS'!$L$58*(0.5^2)+'LINEST VARS'!$K$58*(12.73^2)+'LINEST VARS'!$J$58*($AI$56*$Z63)+'LINEST VARS'!$I$58*($AI$56*4)+'LINEST VARS'!$H$58*($AI$56*0.5)+'LINEST VARS'!$G$58*($AI$56*12.73)+'LINEST VARS'!$F$58*($Z63*4)+'LINEST VARS'!$E$58*($Z63*0.5)+'LINEST VARS'!$D$58*($Z63*12.73)+'LINEST VARS'!$C$58*(4*0.5)+'LINEST VARS'!$B$58*(4*12.73)+'LINEST VARS'!$A$58*(0.5*12.73)</f>
        <v>0.94365000000000021</v>
      </c>
      <c r="AJ63" s="51">
        <f>'LINEST VARS'!$U$58+'LINEST VARS'!$T$58*($AJ$56)+'LINEST VARS'!$S$58*($Z63)+'LINEST VARS'!$R$58*(4)+'LINEST VARS'!$Q$58*(0.5)+'LINEST VARS'!$P$58*(12.73)+'LINEST VARS'!$O$58*($AJ$56^2)+'LINEST VARS'!$N$58*($Z63^2)+'LINEST VARS'!$M$58*(4^2)+'LINEST VARS'!$L$58*(0.5^2)+'LINEST VARS'!$K$58*(12.73^2)+'LINEST VARS'!$J$58*($AJ$56*$Z63)+'LINEST VARS'!$I$58*($AJ$56*4)+'LINEST VARS'!$H$58*($AJ$56*0.5)+'LINEST VARS'!$G$58*($AJ$56*12.73)+'LINEST VARS'!$F$58*($Z63*4)+'LINEST VARS'!$E$58*($Z63*0.5)+'LINEST VARS'!$D$58*($Z63*12.73)+'LINEST VARS'!$C$58*(4*0.5)+'LINEST VARS'!$B$58*(4*12.73)+'LINEST VARS'!$A$58*(0.5*12.73)</f>
        <v>0.94365000000000021</v>
      </c>
      <c r="AK63" s="51">
        <f>'LINEST VARS'!$U$58+'LINEST VARS'!$T$58*($AK$56)+'LINEST VARS'!$S$58*($Z63)+'LINEST VARS'!$R$58*(4)+'LINEST VARS'!$Q$58*(0.5)+'LINEST VARS'!$P$58*(12.73)+'LINEST VARS'!$O$58*($AK$56^2)+'LINEST VARS'!$N$58*($Z63^2)+'LINEST VARS'!$M$58*(4^2)+'LINEST VARS'!$L$58*(0.5^2)+'LINEST VARS'!$K$58*(12.73^2)+'LINEST VARS'!$J$58*($AK$56*$Z63)+'LINEST VARS'!$I$58*($AK$56*4)+'LINEST VARS'!$H$58*($AK$56*0.5)+'LINEST VARS'!$G$58*($AK$56*12.73)+'LINEST VARS'!$F$58*($Z63*4)+'LINEST VARS'!$E$58*($Z63*0.5)+'LINEST VARS'!$D$58*($Z63*12.73)+'LINEST VARS'!$C$58*(4*0.5)+'LINEST VARS'!$B$58*(4*12.73)+'LINEST VARS'!$A$58*(0.5*12.73)</f>
        <v>0.94365000000000021</v>
      </c>
      <c r="AL63" s="51">
        <f>'LINEST VARS'!$U$58+'LINEST VARS'!$T$58*($AL$56)+'LINEST VARS'!$S$58*($Z63)+'LINEST VARS'!$R$58*(4)+'LINEST VARS'!$Q$58*(0.5)+'LINEST VARS'!$P$58*(12.73)+'LINEST VARS'!$O$58*($AL$56^2)+'LINEST VARS'!$N$58*($Z63^2)+'LINEST VARS'!$M$58*(4^2)+'LINEST VARS'!$L$58*(0.5^2)+'LINEST VARS'!$K$58*(12.73^2)+'LINEST VARS'!$J$58*($AL$56*$Z63)+'LINEST VARS'!$I$58*($AL$56*4)+'LINEST VARS'!$H$58*($AL$56*0.5)+'LINEST VARS'!$G$58*($AL$56*12.73)+'LINEST VARS'!$F$58*($Z63*4)+'LINEST VARS'!$E$58*($Z63*0.5)+'LINEST VARS'!$D$58*($Z63*12.73)+'LINEST VARS'!$C$58*(4*0.5)+'LINEST VARS'!$B$58*(4*12.73)+'LINEST VARS'!$A$58*(0.5*12.73)</f>
        <v>0.94365000000000021</v>
      </c>
      <c r="AM63" s="51">
        <f>'LINEST VARS'!$U$58+'LINEST VARS'!$T$58*($AM$56)+'LINEST VARS'!$S$58*($Z63)+'LINEST VARS'!$R$58*(4)+'LINEST VARS'!$Q$58*(0.5)+'LINEST VARS'!$P$58*(12.73)+'LINEST VARS'!$O$58*($AM$56^2)+'LINEST VARS'!$N$58*($Z63^2)+'LINEST VARS'!$M$58*(4^2)+'LINEST VARS'!$L$58*(0.5^2)+'LINEST VARS'!$K$58*(12.73^2)+'LINEST VARS'!$J$58*($AM$56*$Z63)+'LINEST VARS'!$I$58*($AM$56*4)+'LINEST VARS'!$H$58*($AM$56*0.5)+'LINEST VARS'!$G$58*($AM$56*12.73)+'LINEST VARS'!$F$58*($Z63*4)+'LINEST VARS'!$E$58*($Z63*0.5)+'LINEST VARS'!$D$58*($Z63*12.73)+'LINEST VARS'!$C$58*(4*0.5)+'LINEST VARS'!$B$58*(4*12.73)+'LINEST VARS'!$A$58*(0.5*12.73)</f>
        <v>0.9436500000000001</v>
      </c>
      <c r="AN63" s="51">
        <f>'LINEST VARS'!$U$58+'LINEST VARS'!$T$58*($AN$56)+'LINEST VARS'!$S$58*($Z63)+'LINEST VARS'!$R$58*(4)+'LINEST VARS'!$Q$58*(0.5)+'LINEST VARS'!$P$58*(12.73)+'LINEST VARS'!$O$58*($AN$56^2)+'LINEST VARS'!$N$58*($Z63^2)+'LINEST VARS'!$M$58*(4^2)+'LINEST VARS'!$L$58*(0.5^2)+'LINEST VARS'!$K$58*(12.73^2)+'LINEST VARS'!$J$58*($AN$56*$Z63)+'LINEST VARS'!$I$58*($AN$56*4)+'LINEST VARS'!$H$58*($AN$56*0.5)+'LINEST VARS'!$G$58*($AN$56*12.73)+'LINEST VARS'!$F$58*($Z63*4)+'LINEST VARS'!$E$58*($Z63*0.5)+'LINEST VARS'!$D$58*($Z63*12.73)+'LINEST VARS'!$C$58*(4*0.5)+'LINEST VARS'!$B$58*(4*12.73)+'LINEST VARS'!$A$58*(0.5*12.73)</f>
        <v>0.9436500000000001</v>
      </c>
      <c r="AO63" s="51">
        <f>'LINEST VARS'!$U$58+'LINEST VARS'!$T$58*($AO$56)+'LINEST VARS'!$S$58*($Z63)+'LINEST VARS'!$R$58*(4)+'LINEST VARS'!$Q$58*(0.5)+'LINEST VARS'!$P$58*(12.73)+'LINEST VARS'!$O$58*($AO$56^2)+'LINEST VARS'!$N$58*($Z63^2)+'LINEST VARS'!$M$58*(4^2)+'LINEST VARS'!$L$58*(0.5^2)+'LINEST VARS'!$K$58*(12.73^2)+'LINEST VARS'!$J$58*($AO$56*$Z63)+'LINEST VARS'!$I$58*($AO$56*4)+'LINEST VARS'!$H$58*($AO$56*0.5)+'LINEST VARS'!$G$58*($AO$56*12.73)+'LINEST VARS'!$F$58*($Z63*4)+'LINEST VARS'!$E$58*($Z63*0.5)+'LINEST VARS'!$D$58*($Z63*12.73)+'LINEST VARS'!$C$58*(4*0.5)+'LINEST VARS'!$B$58*(4*12.73)+'LINEST VARS'!$A$58*(0.5*12.73)</f>
        <v>0.94365000000000021</v>
      </c>
      <c r="AP63" s="51">
        <f>'LINEST VARS'!$U$58+'LINEST VARS'!$T$58*($AP$56)+'LINEST VARS'!$S$58*($Z63)+'LINEST VARS'!$R$58*(4)+'LINEST VARS'!$Q$58*(0.5)+'LINEST VARS'!$P$58*(12.73)+'LINEST VARS'!$O$58*($AP$56^2)+'LINEST VARS'!$N$58*($Z63^2)+'LINEST VARS'!$M$58*(4^2)+'LINEST VARS'!$L$58*(0.5^2)+'LINEST VARS'!$K$58*(12.73^2)+'LINEST VARS'!$J$58*($AP$56*$Z63)+'LINEST VARS'!$I$58*($AP$56*4)+'LINEST VARS'!$H$58*($AP$56*0.5)+'LINEST VARS'!$G$58*($AP$56*12.73)+'LINEST VARS'!$F$58*($Z63*4)+'LINEST VARS'!$E$58*($Z63*0.5)+'LINEST VARS'!$D$58*($Z63*12.73)+'LINEST VARS'!$C$58*(4*0.5)+'LINEST VARS'!$B$58*(4*12.73)+'LINEST VARS'!$A$58*(0.5*12.73)</f>
        <v>0.94365000000000021</v>
      </c>
      <c r="AQ63" s="51">
        <f>'LINEST VARS'!$U$58+'LINEST VARS'!$T$58*($AQ$56)+'LINEST VARS'!$S$58*($Z63)+'LINEST VARS'!$R$58*(4)+'LINEST VARS'!$Q$58*(0.5)+'LINEST VARS'!$P$58*(12.73)+'LINEST VARS'!$O$58*($AQ$56^2)+'LINEST VARS'!$N$58*($Z63^2)+'LINEST VARS'!$M$58*(4^2)+'LINEST VARS'!$L$58*(0.5^2)+'LINEST VARS'!$K$58*(12.73^2)+'LINEST VARS'!$J$58*($AQ$56*$Z63)+'LINEST VARS'!$I$58*($AQ$56*4)+'LINEST VARS'!$H$58*($AQ$56*0.5)+'LINEST VARS'!$G$58*($AQ$56*12.73)+'LINEST VARS'!$F$58*($Z63*4)+'LINEST VARS'!$E$58*($Z63*0.5)+'LINEST VARS'!$D$58*($Z63*12.73)+'LINEST VARS'!$C$58*(4*0.5)+'LINEST VARS'!$B$58*(4*12.73)+'LINEST VARS'!$A$58*(0.5*12.73)</f>
        <v>0.94365000000000021</v>
      </c>
      <c r="AR63" s="51">
        <f>'LINEST VARS'!$U$58+'LINEST VARS'!$T$58*($AR$56)+'LINEST VARS'!$S$58*($Z63)+'LINEST VARS'!$R$58*(4)+'LINEST VARS'!$Q$58*(0.5)+'LINEST VARS'!$P$58*(12.73)+'LINEST VARS'!$O$58*($AR$56^2)+'LINEST VARS'!$N$58*($Z63^2)+'LINEST VARS'!$M$58*(4^2)+'LINEST VARS'!$L$58*(0.5^2)+'LINEST VARS'!$K$58*(12.73^2)+'LINEST VARS'!$J$58*($AR$56*$Z63)+'LINEST VARS'!$I$58*($AR$56*4)+'LINEST VARS'!$H$58*($AR$56*0.5)+'LINEST VARS'!$G$58*($AR$56*12.73)+'LINEST VARS'!$F$58*($Z63*4)+'LINEST VARS'!$E$58*($Z63*0.5)+'LINEST VARS'!$D$58*($Z63*12.73)+'LINEST VARS'!$C$58*(4*0.5)+'LINEST VARS'!$B$58*(4*12.73)+'LINEST VARS'!$A$58*(0.5*12.73)</f>
        <v>0.94365000000000021</v>
      </c>
      <c r="AS63" s="51">
        <f>'LINEST VARS'!$U$58+'LINEST VARS'!$T$58*($AS$56)+'LINEST VARS'!$S$58*($Z63)+'LINEST VARS'!$R$58*(4)+'LINEST VARS'!$Q$58*(0.5)+'LINEST VARS'!$P$58*(12.73)+'LINEST VARS'!$O$58*($AS$56^2)+'LINEST VARS'!$N$58*($Z63^2)+'LINEST VARS'!$M$58*(4^2)+'LINEST VARS'!$L$58*(0.5^2)+'LINEST VARS'!$K$58*(12.73^2)+'LINEST VARS'!$J$58*($AS$56*$Z63)+'LINEST VARS'!$I$58*($AS$56*4)+'LINEST VARS'!$H$58*($AS$56*0.5)+'LINEST VARS'!$G$58*($AS$56*12.73)+'LINEST VARS'!$F$58*($Z63*4)+'LINEST VARS'!$E$58*($Z63*0.5)+'LINEST VARS'!$D$58*($Z63*12.73)+'LINEST VARS'!$C$58*(4*0.5)+'LINEST VARS'!$B$58*(4*12.73)+'LINEST VARS'!$A$58*(0.5*12.73)</f>
        <v>0.94365000000000021</v>
      </c>
      <c r="AT63" s="51">
        <f>'LINEST VARS'!$U$58+'LINEST VARS'!$T$58*($AT$56)+'LINEST VARS'!$S$58*($Z63)+'LINEST VARS'!$R$58*(4)+'LINEST VARS'!$Q$58*(0.5)+'LINEST VARS'!$P$58*(12.73)+'LINEST VARS'!$O$58*($AT$56^2)+'LINEST VARS'!$N$58*($Z63^2)+'LINEST VARS'!$M$58*(4^2)+'LINEST VARS'!$L$58*(0.5^2)+'LINEST VARS'!$K$58*(12.73^2)+'LINEST VARS'!$J$58*($AT$56*$Z63)+'LINEST VARS'!$I$58*($AT$56*4)+'LINEST VARS'!$H$58*($AT$56*0.5)+'LINEST VARS'!$G$58*($AT$56*12.73)+'LINEST VARS'!$F$58*($Z63*4)+'LINEST VARS'!$E$58*($Z63*0.5)+'LINEST VARS'!$D$58*($Z63*12.73)+'LINEST VARS'!$C$58*(4*0.5)+'LINEST VARS'!$B$58*(4*12.73)+'LINEST VARS'!$A$58*(0.5*12.73)</f>
        <v>0.94365000000000021</v>
      </c>
      <c r="AU63" s="52">
        <f>'LINEST VARS'!$U$58+'LINEST VARS'!$T$58*($AU$56)+'LINEST VARS'!$S$58*($Z63)+'LINEST VARS'!$R$58*(4)+'LINEST VARS'!$Q$58*(0.5)+'LINEST VARS'!$P$58*(12.73)+'LINEST VARS'!$O$58*($AU$56^2)+'LINEST VARS'!$N$58*($Z63^2)+'LINEST VARS'!$M$58*(4^2)+'LINEST VARS'!$L$58*(0.5^2)+'LINEST VARS'!$K$58*(12.73^2)+'LINEST VARS'!$J$58*($AU$56*$Z63)+'LINEST VARS'!$I$58*($AU$56*4)+'LINEST VARS'!$H$58*($AU$56*0.5)+'LINEST VARS'!$G$58*($AU$56*12.73)+'LINEST VARS'!$F$58*($Z63*4)+'LINEST VARS'!$E$58*($Z63*0.5)+'LINEST VARS'!$D$58*($Z63*12.73)+'LINEST VARS'!$C$58*(4*0.5)+'LINEST VARS'!$B$58*(4*12.73)+'LINEST VARS'!$A$58*(0.5*12.73)</f>
        <v>0.9436500000000001</v>
      </c>
      <c r="AZ63" s="45">
        <v>0.3</v>
      </c>
      <c r="BA63" s="51">
        <f>'LINEST VARS'!$U$56+'LINEST VARS'!$T$56*(8)+'LINEST VARS'!$S$56*(8)+'LINEST VARS'!$R$56*($BA$56)+'LINEST VARS'!$Q$56*($AZ63)+'LINEST VARS'!$P$56*(12.73)+'LINEST VARS'!$O$56*(8^2)+'LINEST VARS'!$N$56*(8^2)+'LINEST VARS'!$M$56*($BA$56^2)+'LINEST VARS'!$L$56*($AZ63^2)+'LINEST VARS'!$K$56*(12.73^2)+'LINEST VARS'!$J$56*(8*8)+'LINEST VARS'!$I$56*(8*$BA$56)+'LINEST VARS'!$H$56*(8*$AZ63)+'LINEST VARS'!$G$56*(8*12.73)+'LINEST VARS'!$F$56*(8*$BA$56)+'LINEST VARS'!$E$56*(8*$AZ63)+'LINEST VARS'!$D$56*(8*12.73)+'LINEST VARS'!$C$56*($BA$56*$AZ63)+'LINEST VARS'!$B$56*($BA$56*12.73)+'LINEST VARS'!$A$56*($AZ63*12.73)</f>
        <v>2.8000000000000016</v>
      </c>
      <c r="BB63" s="51">
        <f>'LINEST VARS'!$U$56+'LINEST VARS'!$T$56*(8)+'LINEST VARS'!$S$56*(8)+'LINEST VARS'!$R$56*($BB$56)+'LINEST VARS'!$Q$56*($AZ63)+'LINEST VARS'!$P$56*(12.73)+'LINEST VARS'!$O$56*(8^2)+'LINEST VARS'!$N$56*(8^2)+'LINEST VARS'!$M$56*($BB$56^2)+'LINEST VARS'!$L$56*($AZ63^2)+'LINEST VARS'!$K$56*(12.73^2)+'LINEST VARS'!$J$56*(8*8)+'LINEST VARS'!$I$56*(8*$BB$56)+'LINEST VARS'!$H$56*(8*$AZ63)+'LINEST VARS'!$G$56*(8*12.73)+'LINEST VARS'!$F$56*(8*$BB$56)+'LINEST VARS'!$E$56*(8*$AZ63)+'LINEST VARS'!$D$56*(8*12.73)+'LINEST VARS'!$C$56*($BB$56*$AZ63)+'LINEST VARS'!$B$56*($BB$56*12.73)+'LINEST VARS'!$A$56*($AZ63*12.73)</f>
        <v>2.8184000000000018</v>
      </c>
      <c r="BC63" s="51">
        <f>'LINEST VARS'!$U$56+'LINEST VARS'!$T$56*(8)+'LINEST VARS'!$S$56*(8)+'LINEST VARS'!$R$56*($BC$56)+'LINEST VARS'!$Q$56*($AZ63)+'LINEST VARS'!$P$56*(12.73)+'LINEST VARS'!$O$56*(8^2)+'LINEST VARS'!$N$56*(8^2)+'LINEST VARS'!$M$56*($BC$56^2)+'LINEST VARS'!$L$56*($AZ63^2)+'LINEST VARS'!$K$56*(12.73^2)+'LINEST VARS'!$J$56*(8*8)+'LINEST VARS'!$I$56*(8*$BC$56)+'LINEST VARS'!$H$56*(8*$AZ63)+'LINEST VARS'!$G$56*(8*12.73)+'LINEST VARS'!$F$56*(8*$BC$56)+'LINEST VARS'!$E$56*(8*$AZ63)+'LINEST VARS'!$D$56*(8*12.73)+'LINEST VARS'!$C$56*($BC$56*$AZ63)+'LINEST VARS'!$B$56*($BC$56*12.73)+'LINEST VARS'!$A$56*($AZ63*12.73)</f>
        <v>2.8336000000000015</v>
      </c>
      <c r="BD63" s="51">
        <f>'LINEST VARS'!$U$56+'LINEST VARS'!$T$56*(8)+'LINEST VARS'!$S$56*(8)+'LINEST VARS'!$R$56*($BD$56)+'LINEST VARS'!$Q$56*($AZ63)+'LINEST VARS'!$P$56*(12.73)+'LINEST VARS'!$O$56*(8^2)+'LINEST VARS'!$N$56*(8^2)+'LINEST VARS'!$M$56*($BD$56^2)+'LINEST VARS'!$L$56*($AZ63^2)+'LINEST VARS'!$K$56*(12.73^2)+'LINEST VARS'!$J$56*(8*8)+'LINEST VARS'!$I$56*(8*$BD$56)+'LINEST VARS'!$H$56*(8*$AZ63)+'LINEST VARS'!$G$56*(8*12.73)+'LINEST VARS'!$F$56*(8*$BD$56)+'LINEST VARS'!$E$56*(8*$AZ63)+'LINEST VARS'!$D$56*(8*12.73)+'LINEST VARS'!$C$56*($BD$56*$AZ63)+'LINEST VARS'!$B$56*($BD$56*12.73)+'LINEST VARS'!$A$56*($AZ63*12.73)</f>
        <v>2.8456000000000015</v>
      </c>
      <c r="BE63" s="51">
        <f>'LINEST VARS'!$U$56+'LINEST VARS'!$T$56*(8)+'LINEST VARS'!$S$56*(8)+'LINEST VARS'!$R$56*($BE$56)+'LINEST VARS'!$Q$56*($AZ63)+'LINEST VARS'!$P$56*(12.73)+'LINEST VARS'!$O$56*(8^2)+'LINEST VARS'!$N$56*(8^2)+'LINEST VARS'!$M$56*($BE$56^2)+'LINEST VARS'!$L$56*($AZ63^2)+'LINEST VARS'!$K$56*(12.73^2)+'LINEST VARS'!$J$56*(8*8)+'LINEST VARS'!$I$56*(8*$BE$56)+'LINEST VARS'!$H$56*(8*$AZ63)+'LINEST VARS'!$G$56*(8*12.73)+'LINEST VARS'!$F$56*(8*$BE$56)+'LINEST VARS'!$E$56*(8*$AZ63)+'LINEST VARS'!$D$56*(8*12.73)+'LINEST VARS'!$C$56*($BE$56*$AZ63)+'LINEST VARS'!$B$56*($BE$56*12.73)+'LINEST VARS'!$A$56*($AZ63*12.73)</f>
        <v>2.8544000000000018</v>
      </c>
      <c r="BF63" s="51">
        <f>'LINEST VARS'!$U$56+'LINEST VARS'!$T$56*(8)+'LINEST VARS'!$S$56*(8)+'LINEST VARS'!$R$56*($BF$56)+'LINEST VARS'!$Q$56*($AZ63)+'LINEST VARS'!$P$56*(12.73)+'LINEST VARS'!$O$56*(8^2)+'LINEST VARS'!$N$56*(8^2)+'LINEST VARS'!$M$56*($BF$56^2)+'LINEST VARS'!$L$56*($AZ63^2)+'LINEST VARS'!$K$56*(12.73^2)+'LINEST VARS'!$J$56*(8*8)+'LINEST VARS'!$I$56*(8*$BF$56)+'LINEST VARS'!$H$56*(8*$AZ63)+'LINEST VARS'!$G$56*(8*12.73)+'LINEST VARS'!$F$56*(8*$BF$56)+'LINEST VARS'!$E$56*(8*$AZ63)+'LINEST VARS'!$D$56*(8*12.73)+'LINEST VARS'!$C$56*($BF$56*$AZ63)+'LINEST VARS'!$B$56*($BF$56*12.73)+'LINEST VARS'!$A$56*($AZ63*12.73)</f>
        <v>2.8600000000000017</v>
      </c>
      <c r="BG63" s="51">
        <f>'LINEST VARS'!$U$56+'LINEST VARS'!$T$56*(8)+'LINEST VARS'!$S$56*(8)+'LINEST VARS'!$R$56*($BG$56)+'LINEST VARS'!$Q$56*($AZ63)+'LINEST VARS'!$P$56*(12.73)+'LINEST VARS'!$O$56*(8^2)+'LINEST VARS'!$N$56*(8^2)+'LINEST VARS'!$M$56*($BG$56^2)+'LINEST VARS'!$L$56*($AZ63^2)+'LINEST VARS'!$K$56*(12.73^2)+'LINEST VARS'!$J$56*(8*8)+'LINEST VARS'!$I$56*(8*$BG$56)+'LINEST VARS'!$H$56*(8*$AZ63)+'LINEST VARS'!$G$56*(8*12.73)+'LINEST VARS'!$F$56*(8*$BG$56)+'LINEST VARS'!$E$56*(8*$AZ63)+'LINEST VARS'!$D$56*(8*12.73)+'LINEST VARS'!$C$56*($BG$56*$AZ63)+'LINEST VARS'!$B$56*($BG$56*12.73)+'LINEST VARS'!$A$56*($AZ63*12.73)</f>
        <v>2.8624000000000018</v>
      </c>
      <c r="BH63" s="51">
        <f>'LINEST VARS'!$U$56+'LINEST VARS'!$T$56*(8)+'LINEST VARS'!$S$56*(8)+'LINEST VARS'!$R$56*($BH$56)+'LINEST VARS'!$Q$56*($AZ63)+'LINEST VARS'!$P$56*(12.73)+'LINEST VARS'!$O$56*(8^2)+'LINEST VARS'!$N$56*(8^2)+'LINEST VARS'!$M$56*($BH$56^2)+'LINEST VARS'!$L$56*($AZ63^2)+'LINEST VARS'!$K$56*(12.73^2)+'LINEST VARS'!$J$56*(8*8)+'LINEST VARS'!$I$56*(8*$BH$56)+'LINEST VARS'!$H$56*(8*$AZ63)+'LINEST VARS'!$G$56*(8*12.73)+'LINEST VARS'!$F$56*(8*$BH$56)+'LINEST VARS'!$E$56*(8*$AZ63)+'LINEST VARS'!$D$56*(8*12.73)+'LINEST VARS'!$C$56*($BH$56*$AZ63)+'LINEST VARS'!$B$56*($BH$56*12.73)+'LINEST VARS'!$A$56*($AZ63*12.73)</f>
        <v>2.8616000000000015</v>
      </c>
      <c r="BI63" s="51">
        <f>'LINEST VARS'!$U$56+'LINEST VARS'!$T$56*(8)+'LINEST VARS'!$S$56*(8)+'LINEST VARS'!$R$56*($BI$56)+'LINEST VARS'!$Q$56*($AZ63)+'LINEST VARS'!$P$56*(12.73)+'LINEST VARS'!$O$56*(8^2)+'LINEST VARS'!$N$56*(8^2)+'LINEST VARS'!$M$56*($BI$56^2)+'LINEST VARS'!$L$56*($AZ63^2)+'LINEST VARS'!$K$56*(12.73^2)+'LINEST VARS'!$J$56*(8*8)+'LINEST VARS'!$I$56*(8*$BI$56)+'LINEST VARS'!$H$56*(8*$AZ63)+'LINEST VARS'!$G$56*(8*12.73)+'LINEST VARS'!$F$56*(8*$BI$56)+'LINEST VARS'!$E$56*(8*$AZ63)+'LINEST VARS'!$D$56*(8*12.73)+'LINEST VARS'!$C$56*($BI$56*$AZ63)+'LINEST VARS'!$B$56*($BI$56*12.73)+'LINEST VARS'!$A$56*($AZ63*12.73)</f>
        <v>2.8576000000000015</v>
      </c>
      <c r="BJ63" s="51">
        <f>'LINEST VARS'!$U$56+'LINEST VARS'!$T$56*(8)+'LINEST VARS'!$S$56*(8)+'LINEST VARS'!$R$56*($BJ$56)+'LINEST VARS'!$Q$56*($AZ63)+'LINEST VARS'!$P$56*(12.73)+'LINEST VARS'!$O$56*(8^2)+'LINEST VARS'!$N$56*(8^2)+'LINEST VARS'!$M$56*($BJ$56^2)+'LINEST VARS'!$L$56*($AZ63^2)+'LINEST VARS'!$K$56*(12.73^2)+'LINEST VARS'!$J$56*(8*8)+'LINEST VARS'!$I$56*(8*$BJ$56)+'LINEST VARS'!$H$56*(8*$AZ63)+'LINEST VARS'!$G$56*(8*12.73)+'LINEST VARS'!$F$56*(8*$BJ$56)+'LINEST VARS'!$E$56*(8*$AZ63)+'LINEST VARS'!$D$56*(8*12.73)+'LINEST VARS'!$C$56*($BJ$56*$AZ63)+'LINEST VARS'!$B$56*($BJ$56*12.73)+'LINEST VARS'!$A$56*($AZ63*12.73)</f>
        <v>2.8504000000000018</v>
      </c>
      <c r="BK63" s="51">
        <f>'LINEST VARS'!$U$56+'LINEST VARS'!$T$56*(8)+'LINEST VARS'!$S$56*(8)+'LINEST VARS'!$R$56*($BK$56)+'LINEST VARS'!$Q$56*($AZ63)+'LINEST VARS'!$P$56*(12.73)+'LINEST VARS'!$O$56*(8^2)+'LINEST VARS'!$N$56*(8^2)+'LINEST VARS'!$M$56*($BK$56^2)+'LINEST VARS'!$L$56*($AZ63^2)+'LINEST VARS'!$K$56*(12.73^2)+'LINEST VARS'!$J$56*(8*8)+'LINEST VARS'!$I$56*(8*$BK$56)+'LINEST VARS'!$H$56*(8*$AZ63)+'LINEST VARS'!$G$56*(8*12.73)+'LINEST VARS'!$F$56*(8*$BK$56)+'LINEST VARS'!$E$56*(8*$AZ63)+'LINEST VARS'!$D$56*(8*12.73)+'LINEST VARS'!$C$56*($BK$56*$AZ63)+'LINEST VARS'!$B$56*($BK$56*12.73)+'LINEST VARS'!$A$56*($AZ63*12.73)</f>
        <v>2.8400000000000016</v>
      </c>
      <c r="BL63" s="51">
        <f>'LINEST VARS'!$U$56+'LINEST VARS'!$T$56*(8)+'LINEST VARS'!$S$56*(8)+'LINEST VARS'!$R$56*($BL$56)+'LINEST VARS'!$Q$56*($AZ63)+'LINEST VARS'!$P$56*(12.73)+'LINEST VARS'!$O$56*(8^2)+'LINEST VARS'!$N$56*(8^2)+'LINEST VARS'!$M$56*($BL$56^2)+'LINEST VARS'!$L$56*($AZ63^2)+'LINEST VARS'!$K$56*(12.73^2)+'LINEST VARS'!$J$56*(8*8)+'LINEST VARS'!$I$56*(8*$BL$56)+'LINEST VARS'!$H$56*(8*$AZ63)+'LINEST VARS'!$G$56*(8*12.73)+'LINEST VARS'!$F$56*(8*$BL$56)+'LINEST VARS'!$E$56*(8*$AZ63)+'LINEST VARS'!$D$56*(8*12.73)+'LINEST VARS'!$C$56*($BL$56*$AZ63)+'LINEST VARS'!$B$56*($BL$56*12.73)+'LINEST VARS'!$A$56*($AZ63*12.73)</f>
        <v>2.8264000000000018</v>
      </c>
      <c r="BM63" s="51">
        <f>'LINEST VARS'!$U$56+'LINEST VARS'!$T$56*(8)+'LINEST VARS'!$S$56*(8)+'LINEST VARS'!$R$56*($BM$56)+'LINEST VARS'!$Q$56*($AZ63)+'LINEST VARS'!$P$56*(12.73)+'LINEST VARS'!$O$56*(8^2)+'LINEST VARS'!$N$56*(8^2)+'LINEST VARS'!$M$56*($BM$56^2)+'LINEST VARS'!$L$56*($AZ63^2)+'LINEST VARS'!$K$56*(12.73^2)+'LINEST VARS'!$J$56*(8*8)+'LINEST VARS'!$I$56*(8*$BM$56)+'LINEST VARS'!$H$56*(8*$AZ63)+'LINEST VARS'!$G$56*(8*12.73)+'LINEST VARS'!$F$56*(8*$BM$56)+'LINEST VARS'!$E$56*(8*$AZ63)+'LINEST VARS'!$D$56*(8*12.73)+'LINEST VARS'!$C$56*($BM$56*$AZ63)+'LINEST VARS'!$B$56*($BM$56*12.73)+'LINEST VARS'!$A$56*($AZ63*12.73)</f>
        <v>2.8096000000000014</v>
      </c>
      <c r="BN63" s="51">
        <f>'LINEST VARS'!$U$56+'LINEST VARS'!$T$56*(8)+'LINEST VARS'!$S$56*(8)+'LINEST VARS'!$R$56*($BN$56)+'LINEST VARS'!$Q$56*($AZ63)+'LINEST VARS'!$P$56*(12.73)+'LINEST VARS'!$O$56*(8^2)+'LINEST VARS'!$N$56*(8^2)+'LINEST VARS'!$M$56*($BN$56^2)+'LINEST VARS'!$L$56*($AZ63^2)+'LINEST VARS'!$K$56*(12.73^2)+'LINEST VARS'!$J$56*(8*8)+'LINEST VARS'!$I$56*(8*$BN$56)+'LINEST VARS'!$H$56*(8*$AZ63)+'LINEST VARS'!$G$56*(8*12.73)+'LINEST VARS'!$F$56*(8*$BN$56)+'LINEST VARS'!$E$56*(8*$AZ63)+'LINEST VARS'!$D$56*(8*12.73)+'LINEST VARS'!$C$56*($BN$56*$AZ63)+'LINEST VARS'!$B$56*($BN$56*12.73)+'LINEST VARS'!$A$56*($AZ63*12.73)</f>
        <v>2.7896000000000014</v>
      </c>
      <c r="BO63" s="51">
        <f>'LINEST VARS'!$U$56+'LINEST VARS'!$T$56*(8)+'LINEST VARS'!$S$56*(8)+'LINEST VARS'!$R$56*($BO$56)+'LINEST VARS'!$Q$56*($AZ63)+'LINEST VARS'!$P$56*(12.73)+'LINEST VARS'!$O$56*(8^2)+'LINEST VARS'!$N$56*(8^2)+'LINEST VARS'!$M$56*($BO$56^2)+'LINEST VARS'!$L$56*($AZ63^2)+'LINEST VARS'!$K$56*(12.73^2)+'LINEST VARS'!$J$56*(8*8)+'LINEST VARS'!$I$56*(8*$BO$56)+'LINEST VARS'!$H$56*(8*$AZ63)+'LINEST VARS'!$G$56*(8*12.73)+'LINEST VARS'!$F$56*(8*$BO$56)+'LINEST VARS'!$E$56*(8*$AZ63)+'LINEST VARS'!$D$56*(8*12.73)+'LINEST VARS'!$C$56*($BO$56*$AZ63)+'LINEST VARS'!$B$56*($BO$56*12.73)+'LINEST VARS'!$A$56*($AZ63*12.73)</f>
        <v>2.7664000000000017</v>
      </c>
      <c r="BP63" s="51">
        <f>'LINEST VARS'!$U$56+'LINEST VARS'!$T$56*(8)+'LINEST VARS'!$S$56*(8)+'LINEST VARS'!$R$56*($BP$56)+'LINEST VARS'!$Q$56*($AZ63)+'LINEST VARS'!$P$56*(12.73)+'LINEST VARS'!$O$56*(8^2)+'LINEST VARS'!$N$56*(8^2)+'LINEST VARS'!$M$56*($BP$56^2)+'LINEST VARS'!$L$56*($AZ63^2)+'LINEST VARS'!$K$56*(12.73^2)+'LINEST VARS'!$J$56*(8*8)+'LINEST VARS'!$I$56*(8*$BP$56)+'LINEST VARS'!$H$56*(8*$AZ63)+'LINEST VARS'!$G$56*(8*12.73)+'LINEST VARS'!$F$56*(8*$BP$56)+'LINEST VARS'!$E$56*(8*$AZ63)+'LINEST VARS'!$D$56*(8*12.73)+'LINEST VARS'!$C$56*($BP$56*$AZ63)+'LINEST VARS'!$B$56*($BP$56*12.73)+'LINEST VARS'!$A$56*($AZ63*12.73)</f>
        <v>2.7400000000000015</v>
      </c>
      <c r="BQ63" s="51">
        <f>'LINEST VARS'!$U$56+'LINEST VARS'!$T$56*(8)+'LINEST VARS'!$S$56*(8)+'LINEST VARS'!$R$56*($BQ$56)+'LINEST VARS'!$Q$56*($AZ63)+'LINEST VARS'!$P$56*(12.73)+'LINEST VARS'!$O$56*(8^2)+'LINEST VARS'!$N$56*(8^2)+'LINEST VARS'!$M$56*($BQ$56^2)+'LINEST VARS'!$L$56*($AZ63^2)+'LINEST VARS'!$K$56*(12.73^2)+'LINEST VARS'!$J$56*(8*8)+'LINEST VARS'!$I$56*(8*$BQ$56)+'LINEST VARS'!$H$56*(8*$AZ63)+'LINEST VARS'!$G$56*(8*12.73)+'LINEST VARS'!$F$56*(8*$BQ$56)+'LINEST VARS'!$E$56*(8*$AZ63)+'LINEST VARS'!$D$56*(8*12.73)+'LINEST VARS'!$C$56*($BQ$56*$AZ63)+'LINEST VARS'!$B$56*($BQ$56*12.73)+'LINEST VARS'!$A$56*($AZ63*12.73)</f>
        <v>2.7104000000000013</v>
      </c>
      <c r="BR63" s="51">
        <f>'LINEST VARS'!$U$56+'LINEST VARS'!$T$56*(8)+'LINEST VARS'!$S$56*(8)+'LINEST VARS'!$R$56*($BR$56)+'LINEST VARS'!$Q$56*($AZ63)+'LINEST VARS'!$P$56*(12.73)+'LINEST VARS'!$O$56*(8^2)+'LINEST VARS'!$N$56*(8^2)+'LINEST VARS'!$M$56*($BR$56^2)+'LINEST VARS'!$L$56*($AZ63^2)+'LINEST VARS'!$K$56*(12.73^2)+'LINEST VARS'!$J$56*(8*8)+'LINEST VARS'!$I$56*(8*$BR$56)+'LINEST VARS'!$H$56*(8*$AZ63)+'LINEST VARS'!$G$56*(8*12.73)+'LINEST VARS'!$F$56*(8*$BR$56)+'LINEST VARS'!$E$56*(8*$AZ63)+'LINEST VARS'!$D$56*(8*12.73)+'LINEST VARS'!$C$56*($BR$56*$AZ63)+'LINEST VARS'!$B$56*($BR$56*12.73)+'LINEST VARS'!$A$56*($AZ63*12.73)</f>
        <v>2.6776000000000013</v>
      </c>
      <c r="BS63" s="51">
        <f>'LINEST VARS'!$U$56+'LINEST VARS'!$T$56*(8)+'LINEST VARS'!$S$56*(8)+'LINEST VARS'!$R$56*($BS$56)+'LINEST VARS'!$Q$56*($AZ63)+'LINEST VARS'!$P$56*(12.73)+'LINEST VARS'!$O$56*(8^2)+'LINEST VARS'!$N$56*(8^2)+'LINEST VARS'!$M$56*($BS$56^2)+'LINEST VARS'!$L$56*($AZ63^2)+'LINEST VARS'!$K$56*(12.73^2)+'LINEST VARS'!$J$56*(8*8)+'LINEST VARS'!$I$56*(8*$BS$56)+'LINEST VARS'!$H$56*(8*$AZ63)+'LINEST VARS'!$G$56*(8*12.73)+'LINEST VARS'!$F$56*(8*$BS$56)+'LINEST VARS'!$E$56*(8*$AZ63)+'LINEST VARS'!$D$56*(8*12.73)+'LINEST VARS'!$C$56*($BS$56*$AZ63)+'LINEST VARS'!$B$56*($BS$56*12.73)+'LINEST VARS'!$A$56*($AZ63*12.73)</f>
        <v>2.6416000000000013</v>
      </c>
      <c r="BT63" s="51">
        <f>'LINEST VARS'!$U$56+'LINEST VARS'!$T$56*(8)+'LINEST VARS'!$S$56*(8)+'LINEST VARS'!$R$56*($BT$56)+'LINEST VARS'!$Q$56*($AZ63)+'LINEST VARS'!$P$56*(12.73)+'LINEST VARS'!$O$56*(8^2)+'LINEST VARS'!$N$56*(8^2)+'LINEST VARS'!$M$56*($BT$56^2)+'LINEST VARS'!$L$56*($AZ63^2)+'LINEST VARS'!$K$56*(12.73^2)+'LINEST VARS'!$J$56*(8*8)+'LINEST VARS'!$I$56*(8*$BT$56)+'LINEST VARS'!$H$56*(8*$AZ63)+'LINEST VARS'!$G$56*(8*12.73)+'LINEST VARS'!$F$56*(8*$BT$56)+'LINEST VARS'!$E$56*(8*$AZ63)+'LINEST VARS'!$D$56*(8*12.73)+'LINEST VARS'!$C$56*($BT$56*$AZ63)+'LINEST VARS'!$B$56*($BT$56*12.73)+'LINEST VARS'!$A$56*($AZ63*12.73)</f>
        <v>2.6024000000000016</v>
      </c>
      <c r="BU63" s="52">
        <f>'LINEST VARS'!$U$56+'LINEST VARS'!$T$56*(8)+'LINEST VARS'!$S$56*(8)+'LINEST VARS'!$R$56*($BU$56)+'LINEST VARS'!$Q$56*($AZ63)+'LINEST VARS'!$P$56*(12.73)+'LINEST VARS'!$O$56*(8^2)+'LINEST VARS'!$N$56*(8^2)+'LINEST VARS'!$M$56*($BU$56^2)+'LINEST VARS'!$L$56*($AZ63^2)+'LINEST VARS'!$K$56*(12.73^2)+'LINEST VARS'!$J$56*(8*8)+'LINEST VARS'!$I$56*(8*$BU$56)+'LINEST VARS'!$H$56*(8*$AZ63)+'LINEST VARS'!$G$56*(8*12.73)+'LINEST VARS'!$F$56*(8*$BU$56)+'LINEST VARS'!$E$56*(8*$AZ63)+'LINEST VARS'!$D$56*(8*12.73)+'LINEST VARS'!$C$56*($BU$56*$AZ63)+'LINEST VARS'!$B$56*($BU$56*12.73)+'LINEST VARS'!$A$56*($AZ63*12.73)</f>
        <v>2.5600000000000014</v>
      </c>
      <c r="BX63" s="45">
        <v>0.3</v>
      </c>
      <c r="BY63" s="51">
        <f>'LINEST VARS'!$U$58+'LINEST VARS'!$T$58*(8)+'LINEST VARS'!$S$58*(8)+'LINEST VARS'!$R$58*($BY$56)+'LINEST VARS'!$Q$58*($BX63)+'LINEST VARS'!$P$58*(12.73)+'LINEST VARS'!$O$58*(8^2)+'LINEST VARS'!$N$58*(8^2)+'LINEST VARS'!$M$58*($BY$56^2)+'LINEST VARS'!$L$58*($BX63^2)+'LINEST VARS'!$K$58*(12.73^2)+'LINEST VARS'!$J$58*(8*8)+'LINEST VARS'!$I$58*(8*$BY$56)+'LINEST VARS'!$H$58*(8*$BX63)+'LINEST VARS'!$G$58*(8*12.73)+'LINEST VARS'!$F$58*(8*$BY$56)+'LINEST VARS'!$E$58*(8*$BX63)+'LINEST VARS'!$D$58*(8*12.73)+'LINEST VARS'!$C$58*($BY$56*$BX63)+'LINEST VARS'!$B$58*($BY$56*12.73)+'LINEST VARS'!$A$58*($BX63*12.73)</f>
        <v>0.86365000000000036</v>
      </c>
      <c r="BZ63" s="51">
        <f>'LINEST VARS'!$U$58+'LINEST VARS'!$T$58*(8)+'LINEST VARS'!$S$58*(8)+'LINEST VARS'!$R$58*($BZ$56)+'LINEST VARS'!$Q$58*($BX63)+'LINEST VARS'!$P$58*(12.73)+'LINEST VARS'!$O$58*(8^2)+'LINEST VARS'!$N$58*(8^2)+'LINEST VARS'!$M$58*($BZ$56^2)+'LINEST VARS'!$L$58*($BX63^2)+'LINEST VARS'!$K$58*(12.73^2)+'LINEST VARS'!$J$58*(8*8)+'LINEST VARS'!$I$58*(8*$BZ$56)+'LINEST VARS'!$H$58*(8*$BX63)+'LINEST VARS'!$G$58*(8*12.73)+'LINEST VARS'!$F$58*(8*$BZ$56)+'LINEST VARS'!$E$58*(8*$BX63)+'LINEST VARS'!$D$58*(8*12.73)+'LINEST VARS'!$C$58*($BZ$56*$BX63)+'LINEST VARS'!$B$58*($BZ$56*12.73)+'LINEST VARS'!$A$58*($BX63*12.73)</f>
        <v>0.87165000000000037</v>
      </c>
      <c r="CA63" s="51">
        <f>'LINEST VARS'!$U$58+'LINEST VARS'!$T$58*(8)+'LINEST VARS'!$S$58*(8)+'LINEST VARS'!$R$58*($CA$56)+'LINEST VARS'!$Q$58*($BX63)+'LINEST VARS'!$P$58*(12.73)+'LINEST VARS'!$O$58*(8^2)+'LINEST VARS'!$N$58*(8^2)+'LINEST VARS'!$M$58*($CA$56^2)+'LINEST VARS'!$L$58*($BX63^2)+'LINEST VARS'!$K$58*(12.73^2)+'LINEST VARS'!$J$58*(8*8)+'LINEST VARS'!$I$58*(8*$CA$56)+'LINEST VARS'!$H$58*(8*$BX63)+'LINEST VARS'!$G$58*(8*12.73)+'LINEST VARS'!$F$58*(8*$CA$56)+'LINEST VARS'!$E$58*(8*$BX63)+'LINEST VARS'!$D$58*(8*12.73)+'LINEST VARS'!$C$58*($CA$56*$BX63)+'LINEST VARS'!$B$58*($CA$56*12.73)+'LINEST VARS'!$A$58*($BX63*12.73)</f>
        <v>0.87965000000000027</v>
      </c>
      <c r="CB63" s="51">
        <f>'LINEST VARS'!$U$58+'LINEST VARS'!$T$58*(8)+'LINEST VARS'!$S$58*(8)+'LINEST VARS'!$R$58*($CB$56)+'LINEST VARS'!$Q$58*($BX63)+'LINEST VARS'!$P$58*(12.73)+'LINEST VARS'!$O$58*(8^2)+'LINEST VARS'!$N$58*(8^2)+'LINEST VARS'!$M$58*($CB$56^2)+'LINEST VARS'!$L$58*($BX63^2)+'LINEST VARS'!$K$58*(12.73^2)+'LINEST VARS'!$J$58*(8*8)+'LINEST VARS'!$I$58*(8*$CB$56)+'LINEST VARS'!$H$58*(8*$BX63)+'LINEST VARS'!$G$58*(8*12.73)+'LINEST VARS'!$F$58*(8*$CB$56)+'LINEST VARS'!$E$58*(8*$BX63)+'LINEST VARS'!$D$58*(8*12.73)+'LINEST VARS'!$C$58*($CB$56*$BX63)+'LINEST VARS'!$B$58*($CB$56*12.73)+'LINEST VARS'!$A$58*($BX63*12.73)</f>
        <v>0.88765000000000027</v>
      </c>
      <c r="CC63" s="51">
        <f>'LINEST VARS'!$U$58+'LINEST VARS'!$T$58*(8)+'LINEST VARS'!$S$58*(8)+'LINEST VARS'!$R$58*($CC$56)+'LINEST VARS'!$Q$58*($BX63)+'LINEST VARS'!$P$58*(12.73)+'LINEST VARS'!$O$58*(8^2)+'LINEST VARS'!$N$58*(8^2)+'LINEST VARS'!$M$58*($CC$56^2)+'LINEST VARS'!$L$58*($BX63^2)+'LINEST VARS'!$K$58*(12.73^2)+'LINEST VARS'!$J$58*(8*8)+'LINEST VARS'!$I$58*(8*$CC$56)+'LINEST VARS'!$H$58*(8*$BX63)+'LINEST VARS'!$G$58*(8*12.73)+'LINEST VARS'!$F$58*(8*$CC$56)+'LINEST VARS'!$E$58*(8*$BX63)+'LINEST VARS'!$D$58*(8*12.73)+'LINEST VARS'!$C$58*($CC$56*$BX63)+'LINEST VARS'!$B$58*($CC$56*12.73)+'LINEST VARS'!$A$58*($BX63*12.73)</f>
        <v>0.89565000000000017</v>
      </c>
      <c r="CD63" s="51">
        <f>'LINEST VARS'!$U$58+'LINEST VARS'!$T$58*(8)+'LINEST VARS'!$S$58*(8)+'LINEST VARS'!$R$58*($CD$56)+'LINEST VARS'!$Q$58*($BX63)+'LINEST VARS'!$P$58*(12.73)+'LINEST VARS'!$O$58*(8^2)+'LINEST VARS'!$N$58*(8^2)+'LINEST VARS'!$M$58*($CD$56^2)+'LINEST VARS'!$L$58*($BX63^2)+'LINEST VARS'!$K$58*(12.73^2)+'LINEST VARS'!$J$58*(8*8)+'LINEST VARS'!$I$58*(8*$CD$56)+'LINEST VARS'!$H$58*(8*$BX63)+'LINEST VARS'!$G$58*(8*12.73)+'LINEST VARS'!$F$58*(8*$CD$56)+'LINEST VARS'!$E$58*(8*$BX63)+'LINEST VARS'!$D$58*(8*12.73)+'LINEST VARS'!$C$58*($CD$56*$BX63)+'LINEST VARS'!$B$58*($CD$56*12.73)+'LINEST VARS'!$A$58*($BX63*12.73)</f>
        <v>0.90365000000000029</v>
      </c>
      <c r="CE63" s="51">
        <f>'LINEST VARS'!$U$58+'LINEST VARS'!$T$58*(8)+'LINEST VARS'!$S$58*(8)+'LINEST VARS'!$R$58*($CE$56)+'LINEST VARS'!$Q$58*($BX63)+'LINEST VARS'!$P$58*(12.73)+'LINEST VARS'!$O$58*(8^2)+'LINEST VARS'!$N$58*(8^2)+'LINEST VARS'!$M$58*($CE$56^2)+'LINEST VARS'!$L$58*($BX63^2)+'LINEST VARS'!$K$58*(12.73^2)+'LINEST VARS'!$J$58*(8*8)+'LINEST VARS'!$I$58*(8*$CE$56)+'LINEST VARS'!$H$58*(8*$BX63)+'LINEST VARS'!$G$58*(8*12.73)+'LINEST VARS'!$F$58*(8*$CE$56)+'LINEST VARS'!$E$58*(8*$BX63)+'LINEST VARS'!$D$58*(8*12.73)+'LINEST VARS'!$C$58*($CE$56*$BX63)+'LINEST VARS'!$B$58*($CE$56*12.73)+'LINEST VARS'!$A$58*($BX63*12.73)</f>
        <v>0.91165000000000029</v>
      </c>
      <c r="CF63" s="51">
        <f>'LINEST VARS'!$U$58+'LINEST VARS'!$T$58*(8)+'LINEST VARS'!$S$58*(8)+'LINEST VARS'!$R$58*($CF$56)+'LINEST VARS'!$Q$58*($BX63)+'LINEST VARS'!$P$58*(12.73)+'LINEST VARS'!$O$58*(8^2)+'LINEST VARS'!$N$58*(8^2)+'LINEST VARS'!$M$58*($CF$56^2)+'LINEST VARS'!$L$58*($BX63^2)+'LINEST VARS'!$K$58*(12.73^2)+'LINEST VARS'!$J$58*(8*8)+'LINEST VARS'!$I$58*(8*$CF$56)+'LINEST VARS'!$H$58*(8*$BX63)+'LINEST VARS'!$G$58*(8*12.73)+'LINEST VARS'!$F$58*(8*$CF$56)+'LINEST VARS'!$E$58*(8*$BX63)+'LINEST VARS'!$D$58*(8*12.73)+'LINEST VARS'!$C$58*($CF$56*$BX63)+'LINEST VARS'!$B$58*($CF$56*12.73)+'LINEST VARS'!$A$58*($BX63*12.73)</f>
        <v>0.9196500000000003</v>
      </c>
      <c r="CG63" s="51">
        <f>'LINEST VARS'!$U$58+'LINEST VARS'!$T$58*(8)+'LINEST VARS'!$S$58*(8)+'LINEST VARS'!$R$58*($CG$56)+'LINEST VARS'!$Q$58*($BX63)+'LINEST VARS'!$P$58*(12.73)+'LINEST VARS'!$O$58*(8^2)+'LINEST VARS'!$N$58*(8^2)+'LINEST VARS'!$M$58*($CG$56^2)+'LINEST VARS'!$L$58*($BX63^2)+'LINEST VARS'!$K$58*(12.73^2)+'LINEST VARS'!$J$58*(8*8)+'LINEST VARS'!$I$58*(8*$CG$56)+'LINEST VARS'!$H$58*(8*$BX63)+'LINEST VARS'!$G$58*(8*12.73)+'LINEST VARS'!$F$58*(8*$CG$56)+'LINEST VARS'!$E$58*(8*$BX63)+'LINEST VARS'!$D$58*(8*12.73)+'LINEST VARS'!$C$58*($CG$56*$BX63)+'LINEST VARS'!$B$58*($CG$56*12.73)+'LINEST VARS'!$A$58*($BX63*12.73)</f>
        <v>0.92765000000000042</v>
      </c>
      <c r="CH63" s="51">
        <f>'LINEST VARS'!$U$58+'LINEST VARS'!$T$58*(8)+'LINEST VARS'!$S$58*(8)+'LINEST VARS'!$R$58*($CH$56)+'LINEST VARS'!$Q$58*($BX63)+'LINEST VARS'!$P$58*(12.73)+'LINEST VARS'!$O$58*(8^2)+'LINEST VARS'!$N$58*(8^2)+'LINEST VARS'!$M$58*($CH$56^2)+'LINEST VARS'!$L$58*($BX63^2)+'LINEST VARS'!$K$58*(12.73^2)+'LINEST VARS'!$J$58*(8*8)+'LINEST VARS'!$I$58*(8*$CH$56)+'LINEST VARS'!$H$58*(8*$BX63)+'LINEST VARS'!$G$58*(8*12.73)+'LINEST VARS'!$F$58*(8*$CH$56)+'LINEST VARS'!$E$58*(8*$BX63)+'LINEST VARS'!$D$58*(8*12.73)+'LINEST VARS'!$C$58*($CH$56*$BX63)+'LINEST VARS'!$B$58*($CH$56*12.73)+'LINEST VARS'!$A$58*($BX63*12.73)</f>
        <v>0.93565000000000031</v>
      </c>
      <c r="CI63" s="51">
        <f>'LINEST VARS'!$U$58+'LINEST VARS'!$T$58*(8)+'LINEST VARS'!$S$58*(8)+'LINEST VARS'!$R$58*($CI$56)+'LINEST VARS'!$Q$58*($BX63)+'LINEST VARS'!$P$58*(12.73)+'LINEST VARS'!$O$58*(8^2)+'LINEST VARS'!$N$58*(8^2)+'LINEST VARS'!$M$58*($CI$56^2)+'LINEST VARS'!$L$58*($BX63^2)+'LINEST VARS'!$K$58*(12.73^2)+'LINEST VARS'!$J$58*(8*8)+'LINEST VARS'!$I$58*(8*$CI$56)+'LINEST VARS'!$H$58*(8*$BX63)+'LINEST VARS'!$G$58*(8*12.73)+'LINEST VARS'!$F$58*(8*$CI$56)+'LINEST VARS'!$E$58*(8*$BX63)+'LINEST VARS'!$D$58*(8*12.73)+'LINEST VARS'!$C$58*($CI$56*$BX63)+'LINEST VARS'!$B$58*($CI$56*12.73)+'LINEST VARS'!$A$58*($BX63*12.73)</f>
        <v>0.94365000000000032</v>
      </c>
      <c r="CJ63" s="51">
        <f>'LINEST VARS'!$U$58+'LINEST VARS'!$T$58*(8)+'LINEST VARS'!$S$58*(8)+'LINEST VARS'!$R$58*($CJ$56)+'LINEST VARS'!$Q$58*($BX63)+'LINEST VARS'!$P$58*(12.73)+'LINEST VARS'!$O$58*(8^2)+'LINEST VARS'!$N$58*(8^2)+'LINEST VARS'!$M$58*($CJ$56^2)+'LINEST VARS'!$L$58*($BX63^2)+'LINEST VARS'!$K$58*(12.73^2)+'LINEST VARS'!$J$58*(8*8)+'LINEST VARS'!$I$58*(8*$CJ$56)+'LINEST VARS'!$H$58*(8*$BX63)+'LINEST VARS'!$G$58*(8*12.73)+'LINEST VARS'!$F$58*(8*$CJ$56)+'LINEST VARS'!$E$58*(8*$BX63)+'LINEST VARS'!$D$58*(8*12.73)+'LINEST VARS'!$C$58*($CJ$56*$BX63)+'LINEST VARS'!$B$58*($CJ$56*12.73)+'LINEST VARS'!$A$58*($BX63*12.73)</f>
        <v>0.95165000000000022</v>
      </c>
      <c r="CK63" s="51">
        <f>'LINEST VARS'!$U$58+'LINEST VARS'!$T$58*(8)+'LINEST VARS'!$S$58*(8)+'LINEST VARS'!$R$58*($CK$56)+'LINEST VARS'!$Q$58*($BX63)+'LINEST VARS'!$P$58*(12.73)+'LINEST VARS'!$O$58*(8^2)+'LINEST VARS'!$N$58*(8^2)+'LINEST VARS'!$M$58*($CK$56^2)+'LINEST VARS'!$L$58*($BX63^2)+'LINEST VARS'!$K$58*(12.73^2)+'LINEST VARS'!$J$58*(8*8)+'LINEST VARS'!$I$58*(8*$CK$56)+'LINEST VARS'!$H$58*(8*$BX63)+'LINEST VARS'!$G$58*(8*12.73)+'LINEST VARS'!$F$58*(8*$CK$56)+'LINEST VARS'!$E$58*(8*$BX63)+'LINEST VARS'!$D$58*(8*12.73)+'LINEST VARS'!$C$58*($CK$56*$BX63)+'LINEST VARS'!$B$58*($CK$56*12.73)+'LINEST VARS'!$A$58*($BX63*12.73)</f>
        <v>0.95965000000000023</v>
      </c>
      <c r="CL63" s="51">
        <f>'LINEST VARS'!$U$58+'LINEST VARS'!$T$58*(8)+'LINEST VARS'!$S$58*(8)+'LINEST VARS'!$R$58*($CL$56)+'LINEST VARS'!$Q$58*($BX63)+'LINEST VARS'!$P$58*(12.73)+'LINEST VARS'!$O$58*(8^2)+'LINEST VARS'!$N$58*(8^2)+'LINEST VARS'!$M$58*($CL$56^2)+'LINEST VARS'!$L$58*($BX63^2)+'LINEST VARS'!$K$58*(12.73^2)+'LINEST VARS'!$J$58*(8*8)+'LINEST VARS'!$I$58*(8*$CL$56)+'LINEST VARS'!$H$58*(8*$BX63)+'LINEST VARS'!$G$58*(8*12.73)+'LINEST VARS'!$F$58*(8*$CL$56)+'LINEST VARS'!$E$58*(8*$BX63)+'LINEST VARS'!$D$58*(8*12.73)+'LINEST VARS'!$C$58*($CL$56*$BX63)+'LINEST VARS'!$B$58*($CL$56*12.73)+'LINEST VARS'!$A$58*($BX63*12.73)</f>
        <v>0.96765000000000012</v>
      </c>
      <c r="CM63" s="51">
        <f>'LINEST VARS'!$U$58+'LINEST VARS'!$T$58*(8)+'LINEST VARS'!$S$58*(8)+'LINEST VARS'!$R$58*($CM$56)+'LINEST VARS'!$Q$58*($BX63)+'LINEST VARS'!$P$58*(12.73)+'LINEST VARS'!$O$58*(8^2)+'LINEST VARS'!$N$58*(8^2)+'LINEST VARS'!$M$58*($CM$56^2)+'LINEST VARS'!$L$58*($BX63^2)+'LINEST VARS'!$K$58*(12.73^2)+'LINEST VARS'!$J$58*(8*8)+'LINEST VARS'!$I$58*(8*$CM$56)+'LINEST VARS'!$H$58*(8*$BX63)+'LINEST VARS'!$G$58*(8*12.73)+'LINEST VARS'!$F$58*(8*$CM$56)+'LINEST VARS'!$E$58*(8*$BX63)+'LINEST VARS'!$D$58*(8*12.73)+'LINEST VARS'!$C$58*($CM$56*$BX63)+'LINEST VARS'!$B$58*($CM$56*12.73)+'LINEST VARS'!$A$58*($BX63*12.73)</f>
        <v>0.97565000000000024</v>
      </c>
      <c r="CN63" s="51">
        <f>'LINEST VARS'!$U$58+'LINEST VARS'!$T$58*(8)+'LINEST VARS'!$S$58*(8)+'LINEST VARS'!$R$58*($CN$56)+'LINEST VARS'!$Q$58*($BX63)+'LINEST VARS'!$P$58*(12.73)+'LINEST VARS'!$O$58*(8^2)+'LINEST VARS'!$N$58*(8^2)+'LINEST VARS'!$M$58*($CN$56^2)+'LINEST VARS'!$L$58*($BX63^2)+'LINEST VARS'!$K$58*(12.73^2)+'LINEST VARS'!$J$58*(8*8)+'LINEST VARS'!$I$58*(8*$CN$56)+'LINEST VARS'!$H$58*(8*$BX63)+'LINEST VARS'!$G$58*(8*12.73)+'LINEST VARS'!$F$58*(8*$CN$56)+'LINEST VARS'!$E$58*(8*$BX63)+'LINEST VARS'!$D$58*(8*12.73)+'LINEST VARS'!$C$58*($CN$56*$BX63)+'LINEST VARS'!$B$58*($CN$56*12.73)+'LINEST VARS'!$A$58*($BX63*12.73)</f>
        <v>0.98365000000000025</v>
      </c>
      <c r="CO63" s="51">
        <f>'LINEST VARS'!$U$58+'LINEST VARS'!$T$58*(8)+'LINEST VARS'!$S$58*(8)+'LINEST VARS'!$R$58*($CO$56)+'LINEST VARS'!$Q$58*($BX63)+'LINEST VARS'!$P$58*(12.73)+'LINEST VARS'!$O$58*(8^2)+'LINEST VARS'!$N$58*(8^2)+'LINEST VARS'!$M$58*($CO$56^2)+'LINEST VARS'!$L$58*($BX63^2)+'LINEST VARS'!$K$58*(12.73^2)+'LINEST VARS'!$J$58*(8*8)+'LINEST VARS'!$I$58*(8*$CO$56)+'LINEST VARS'!$H$58*(8*$BX63)+'LINEST VARS'!$G$58*(8*12.73)+'LINEST VARS'!$F$58*(8*$CO$56)+'LINEST VARS'!$E$58*(8*$BX63)+'LINEST VARS'!$D$58*(8*12.73)+'LINEST VARS'!$C$58*($CO$56*$BX63)+'LINEST VARS'!$B$58*($CO$56*12.73)+'LINEST VARS'!$A$58*($BX63*12.73)</f>
        <v>0.99165000000000036</v>
      </c>
      <c r="CP63" s="51">
        <f>'LINEST VARS'!$U$58+'LINEST VARS'!$T$58*(8)+'LINEST VARS'!$S$58*(8)+'LINEST VARS'!$R$58*($CP$56)+'LINEST VARS'!$Q$58*($BX63)+'LINEST VARS'!$P$58*(12.73)+'LINEST VARS'!$O$58*(8^2)+'LINEST VARS'!$N$58*(8^2)+'LINEST VARS'!$M$58*($CP$56^2)+'LINEST VARS'!$L$58*($BX63^2)+'LINEST VARS'!$K$58*(12.73^2)+'LINEST VARS'!$J$58*(8*8)+'LINEST VARS'!$I$58*(8*$CP$56)+'LINEST VARS'!$H$58*(8*$BX63)+'LINEST VARS'!$G$58*(8*12.73)+'LINEST VARS'!$F$58*(8*$CP$56)+'LINEST VARS'!$E$58*(8*$BX63)+'LINEST VARS'!$D$58*(8*12.73)+'LINEST VARS'!$C$58*($CP$56*$BX63)+'LINEST VARS'!$B$58*($CP$56*12.73)+'LINEST VARS'!$A$58*($BX63*12.73)</f>
        <v>0.99965000000000037</v>
      </c>
      <c r="CQ63" s="51">
        <f>'LINEST VARS'!$U$58+'LINEST VARS'!$T$58*(8)+'LINEST VARS'!$S$58*(8)+'LINEST VARS'!$R$58*($CQ$56)+'LINEST VARS'!$Q$58*($BX63)+'LINEST VARS'!$P$58*(12.73)+'LINEST VARS'!$O$58*(8^2)+'LINEST VARS'!$N$58*(8^2)+'LINEST VARS'!$M$58*($CQ$56^2)+'LINEST VARS'!$L$58*($BX63^2)+'LINEST VARS'!$K$58*(12.73^2)+'LINEST VARS'!$J$58*(8*8)+'LINEST VARS'!$I$58*(8*$CQ$56)+'LINEST VARS'!$H$58*(8*$BX63)+'LINEST VARS'!$G$58*(8*12.73)+'LINEST VARS'!$F$58*(8*$CQ$56)+'LINEST VARS'!$E$58*(8*$BX63)+'LINEST VARS'!$D$58*(8*12.73)+'LINEST VARS'!$C$58*($CQ$56*$BX63)+'LINEST VARS'!$B$58*($CQ$56*12.73)+'LINEST VARS'!$A$58*($BX63*12.73)</f>
        <v>1.0076500000000002</v>
      </c>
      <c r="CR63" s="51">
        <f>'LINEST VARS'!$U$58+'LINEST VARS'!$T$58*(8)+'LINEST VARS'!$S$58*(8)+'LINEST VARS'!$R$58*($CR$56)+'LINEST VARS'!$Q$58*($BX63)+'LINEST VARS'!$P$58*(12.73)+'LINEST VARS'!$O$58*(8^2)+'LINEST VARS'!$N$58*(8^2)+'LINEST VARS'!$M$58*($CR$56^2)+'LINEST VARS'!$L$58*($BX63^2)+'LINEST VARS'!$K$58*(12.73^2)+'LINEST VARS'!$J$58*(8*8)+'LINEST VARS'!$I$58*(8*$CR$56)+'LINEST VARS'!$H$58*(8*$BX63)+'LINEST VARS'!$G$58*(8*12.73)+'LINEST VARS'!$F$58*(8*$CR$56)+'LINEST VARS'!$E$58*(8*$BX63)+'LINEST VARS'!$D$58*(8*12.73)+'LINEST VARS'!$C$58*($CR$56*$BX63)+'LINEST VARS'!$B$58*($CR$56*12.73)+'LINEST VARS'!$A$58*($BX63*12.73)</f>
        <v>1.0156499999999999</v>
      </c>
      <c r="CS63" s="52">
        <f>'LINEST VARS'!$U$58+'LINEST VARS'!$T$58*(8)+'LINEST VARS'!$S$58*(8)+'LINEST VARS'!$R$58*($CS$56)+'LINEST VARS'!$Q$58*($BX63)+'LINEST VARS'!$P$58*(12.73)+'LINEST VARS'!$O$58*(8^2)+'LINEST VARS'!$N$58*(8^2)+'LINEST VARS'!$M$58*($CS$56^2)+'LINEST VARS'!$L$58*($BX63^2)+'LINEST VARS'!$K$58*(12.73^2)+'LINEST VARS'!$J$58*(8*8)+'LINEST VARS'!$I$58*(8*$CS$56)+'LINEST VARS'!$H$58*(8*$BX63)+'LINEST VARS'!$G$58*(8*12.73)+'LINEST VARS'!$F$58*(8*$CS$56)+'LINEST VARS'!$E$58*(8*$BX63)+'LINEST VARS'!$D$58*(8*12.73)+'LINEST VARS'!$C$58*($CS$56*$BX63)+'LINEST VARS'!$B$58*($CS$56*12.73)+'LINEST VARS'!$A$58*($BX63*12.73)</f>
        <v>1.0236500000000002</v>
      </c>
      <c r="CX63" s="45">
        <v>7.7969999999999997</v>
      </c>
      <c r="CY63" s="51">
        <f>'LINEST VARS'!$U$56+'LINEST VARS'!$T$56*(8)+'LINEST VARS'!$S$56*(8)+'LINEST VARS'!$R$56*($CY$56)+'LINEST VARS'!$Q$56*(0.5)+'LINEST VARS'!$P$56*($CX63)+'LINEST VARS'!$O$56*(8^2)+'LINEST VARS'!$N$56*(8^2)+'LINEST VARS'!$M$56*($CY$56^2)+'LINEST VARS'!$L$56*(0.5^2)+'LINEST VARS'!$K$56*($CX63^2)+'LINEST VARS'!$J$56*(8*8)+'LINEST VARS'!$I$56*(8*$CY$56)+'LINEST VARS'!$H$56*(8*0.5)+'LINEST VARS'!$G$56*(8*$CX63)+'LINEST VARS'!$F$56*(8*$CY$56)+'LINEST VARS'!$E$56*(8*0.5)+'LINEST VARS'!$D$56*(8*$CX63)+'LINEST VARS'!$C$56*($CY$56*0.5)+'LINEST VARS'!$B$56*($CY$56*$CX63)+'LINEST VARS'!$A$56*(0.5*$CX63)</f>
        <v>2.8000000000000007</v>
      </c>
      <c r="CZ63" s="51">
        <f>'LINEST VARS'!$U$56+'LINEST VARS'!$T$56*(8)+'LINEST VARS'!$S$56*(8)+'LINEST VARS'!$R$56*($CZ$56)+'LINEST VARS'!$Q$56*(0.5)+'LINEST VARS'!$P$56*($CX63)+'LINEST VARS'!$O$56*(8^2)+'LINEST VARS'!$N$56*(8^2)+'LINEST VARS'!$M$56*($CZ$56^2)+'LINEST VARS'!$L$56*(0.5^2)+'LINEST VARS'!$K$56*($CX63^2)+'LINEST VARS'!$J$56*(8*8)+'LINEST VARS'!$I$56*(8*$CZ$56)+'LINEST VARS'!$H$56*(8*0.5)+'LINEST VARS'!$G$56*(8*$CX63)+'LINEST VARS'!$F$56*(8*$CZ$56)+'LINEST VARS'!$E$56*(8*0.5)+'LINEST VARS'!$D$56*(8*$CX63)+'LINEST VARS'!$C$56*($CZ$56*0.5)+'LINEST VARS'!$B$56*($CZ$56*$CX63)+'LINEST VARS'!$A$56*(0.5*$CX63)</f>
        <v>2.8184000000000009</v>
      </c>
      <c r="DA63" s="51">
        <f>'LINEST VARS'!$U$56+'LINEST VARS'!$T$56*(8)+'LINEST VARS'!$S$56*(8)+'LINEST VARS'!$R$56*($DA$56)+'LINEST VARS'!$Q$56*(0.5)+'LINEST VARS'!$P$56*($CX63)+'LINEST VARS'!$O$56*(8^2)+'LINEST VARS'!$N$56*(8^2)+'LINEST VARS'!$M$56*($DA$56^2)+'LINEST VARS'!$L$56*(0.5^2)+'LINEST VARS'!$K$56*($CX63^2)+'LINEST VARS'!$J$56*(8*8)+'LINEST VARS'!$I$56*(8*$DA$56)+'LINEST VARS'!$H$56*(8*0.5)+'LINEST VARS'!$G$56*(8*$CX63)+'LINEST VARS'!$F$56*(8*$DA$56)+'LINEST VARS'!$E$56*(8*0.5)+'LINEST VARS'!$D$56*(8*$CX63)+'LINEST VARS'!$C$56*($DA$56*0.5)+'LINEST VARS'!$B$56*($DA$56*$CX63)+'LINEST VARS'!$A$56*(0.5*$CX63)</f>
        <v>2.8336000000000006</v>
      </c>
      <c r="DB63" s="51">
        <f>'LINEST VARS'!$U$56+'LINEST VARS'!$T$56*(8)+'LINEST VARS'!$S$56*(8)+'LINEST VARS'!$R$56*($DB$56)+'LINEST VARS'!$Q$56*(0.5)+'LINEST VARS'!$P$56*($CX63)+'LINEST VARS'!$O$56*(8^2)+'LINEST VARS'!$N$56*(8^2)+'LINEST VARS'!$M$56*($DB$56^2)+'LINEST VARS'!$L$56*(0.5^2)+'LINEST VARS'!$K$56*($CX63^2)+'LINEST VARS'!$J$56*(8*8)+'LINEST VARS'!$I$56*(8*$DB$56)+'LINEST VARS'!$H$56*(8*0.5)+'LINEST VARS'!$G$56*(8*$CX63)+'LINEST VARS'!$F$56*(8*$DB$56)+'LINEST VARS'!$E$56*(8*0.5)+'LINEST VARS'!$D$56*(8*$CX63)+'LINEST VARS'!$C$56*($DB$56*0.5)+'LINEST VARS'!$B$56*($DB$56*$CX63)+'LINEST VARS'!$A$56*(0.5*$CX63)</f>
        <v>2.8456000000000006</v>
      </c>
      <c r="DC63" s="51">
        <f>'LINEST VARS'!$U$56+'LINEST VARS'!$T$56*(8)+'LINEST VARS'!$S$56*(8)+'LINEST VARS'!$R$56*($DC$56)+'LINEST VARS'!$Q$56*(0.5)+'LINEST VARS'!$P$56*($CX63)+'LINEST VARS'!$O$56*(8^2)+'LINEST VARS'!$N$56*(8^2)+'LINEST VARS'!$M$56*($DC$56^2)+'LINEST VARS'!$L$56*(0.5^2)+'LINEST VARS'!$K$56*($CX63^2)+'LINEST VARS'!$J$56*(8*8)+'LINEST VARS'!$I$56*(8*$DC$56)+'LINEST VARS'!$H$56*(8*0.5)+'LINEST VARS'!$G$56*(8*$CX63)+'LINEST VARS'!$F$56*(8*$DC$56)+'LINEST VARS'!$E$56*(8*0.5)+'LINEST VARS'!$D$56*(8*$CX63)+'LINEST VARS'!$C$56*($DC$56*0.5)+'LINEST VARS'!$B$56*($DC$56*$CX63)+'LINEST VARS'!$A$56*(0.5*$CX63)</f>
        <v>2.8544000000000009</v>
      </c>
      <c r="DD63" s="51">
        <f>'LINEST VARS'!$U$56+'LINEST VARS'!$T$56*(8)+'LINEST VARS'!$S$56*(8)+'LINEST VARS'!$R$56*($DD$56)+'LINEST VARS'!$Q$56*(0.5)+'LINEST VARS'!$P$56*($CX63)+'LINEST VARS'!$O$56*(8^2)+'LINEST VARS'!$N$56*(8^2)+'LINEST VARS'!$M$56*($DD$56^2)+'LINEST VARS'!$L$56*(0.5^2)+'LINEST VARS'!$K$56*($CX63^2)+'LINEST VARS'!$J$56*(8*8)+'LINEST VARS'!$I$56*(8*$DD$56)+'LINEST VARS'!$H$56*(8*0.5)+'LINEST VARS'!$G$56*(8*$CX63)+'LINEST VARS'!$F$56*(8*$DD$56)+'LINEST VARS'!$E$56*(8*0.5)+'LINEST VARS'!$D$56*(8*$CX63)+'LINEST VARS'!$C$56*($DD$56*0.5)+'LINEST VARS'!$B$56*($DD$56*$CX63)+'LINEST VARS'!$A$56*(0.5*$CX63)</f>
        <v>2.8600000000000008</v>
      </c>
      <c r="DE63" s="51">
        <f>'LINEST VARS'!$U$56+'LINEST VARS'!$T$56*(8)+'LINEST VARS'!$S$56*(8)+'LINEST VARS'!$R$56*($DE$56)+'LINEST VARS'!$Q$56*(0.5)+'LINEST VARS'!$P$56*($CX63)+'LINEST VARS'!$O$56*(8^2)+'LINEST VARS'!$N$56*(8^2)+'LINEST VARS'!$M$56*($DE$56^2)+'LINEST VARS'!$L$56*(0.5^2)+'LINEST VARS'!$K$56*($CX63^2)+'LINEST VARS'!$J$56*(8*8)+'LINEST VARS'!$I$56*(8*$DE$56)+'LINEST VARS'!$H$56*(8*0.5)+'LINEST VARS'!$G$56*(8*$CX63)+'LINEST VARS'!$F$56*(8*$DE$56)+'LINEST VARS'!$E$56*(8*0.5)+'LINEST VARS'!$D$56*(8*$CX63)+'LINEST VARS'!$C$56*($DE$56*0.5)+'LINEST VARS'!$B$56*($DE$56*$CX63)+'LINEST VARS'!$A$56*(0.5*$CX63)</f>
        <v>2.8624000000000009</v>
      </c>
      <c r="DF63" s="51">
        <f>'LINEST VARS'!$U$56+'LINEST VARS'!$T$56*(8)+'LINEST VARS'!$S$56*(8)+'LINEST VARS'!$R$56*($DF$56)+'LINEST VARS'!$Q$56*(0.5)+'LINEST VARS'!$P$56*($CX63)+'LINEST VARS'!$O$56*(8^2)+'LINEST VARS'!$N$56*(8^2)+'LINEST VARS'!$M$56*($DF$56^2)+'LINEST VARS'!$L$56*(0.5^2)+'LINEST VARS'!$K$56*($CX63^2)+'LINEST VARS'!$J$56*(8*8)+'LINEST VARS'!$I$56*(8*$DF$56)+'LINEST VARS'!$H$56*(8*0.5)+'LINEST VARS'!$G$56*(8*$CX63)+'LINEST VARS'!$F$56*(8*$DF$56)+'LINEST VARS'!$E$56*(8*0.5)+'LINEST VARS'!$D$56*(8*$CX63)+'LINEST VARS'!$C$56*($DF$56*0.5)+'LINEST VARS'!$B$56*($DF$56*$CX63)+'LINEST VARS'!$A$56*(0.5*$CX63)</f>
        <v>2.8616000000000006</v>
      </c>
      <c r="DG63" s="51">
        <f>'LINEST VARS'!$U$56+'LINEST VARS'!$T$56*(8)+'LINEST VARS'!$S$56*(8)+'LINEST VARS'!$R$56*($DG$56)+'LINEST VARS'!$Q$56*(0.5)+'LINEST VARS'!$P$56*($CX63)+'LINEST VARS'!$O$56*(8^2)+'LINEST VARS'!$N$56*(8^2)+'LINEST VARS'!$M$56*($DG$56^2)+'LINEST VARS'!$L$56*(0.5^2)+'LINEST VARS'!$K$56*($CX63^2)+'LINEST VARS'!$J$56*(8*8)+'LINEST VARS'!$I$56*(8*$DG$56)+'LINEST VARS'!$H$56*(8*0.5)+'LINEST VARS'!$G$56*(8*$CX63)+'LINEST VARS'!$F$56*(8*$DG$56)+'LINEST VARS'!$E$56*(8*0.5)+'LINEST VARS'!$D$56*(8*$CX63)+'LINEST VARS'!$C$56*($DG$56*0.5)+'LINEST VARS'!$B$56*($DG$56*$CX63)+'LINEST VARS'!$A$56*(0.5*$CX63)</f>
        <v>2.8576000000000006</v>
      </c>
      <c r="DH63" s="51">
        <f>'LINEST VARS'!$U$56+'LINEST VARS'!$T$56*(8)+'LINEST VARS'!$S$56*(8)+'LINEST VARS'!$R$56*($DH$56)+'LINEST VARS'!$Q$56*(0.5)+'LINEST VARS'!$P$56*($CX63)+'LINEST VARS'!$O$56*(8^2)+'LINEST VARS'!$N$56*(8^2)+'LINEST VARS'!$M$56*($DH$56^2)+'LINEST VARS'!$L$56*(0.5^2)+'LINEST VARS'!$K$56*($CX63^2)+'LINEST VARS'!$J$56*(8*8)+'LINEST VARS'!$I$56*(8*$DH$56)+'LINEST VARS'!$H$56*(8*0.5)+'LINEST VARS'!$G$56*(8*$CX63)+'LINEST VARS'!$F$56*(8*$DH$56)+'LINEST VARS'!$E$56*(8*0.5)+'LINEST VARS'!$D$56*(8*$CX63)+'LINEST VARS'!$C$56*($DH$56*0.5)+'LINEST VARS'!$B$56*($DH$56*$CX63)+'LINEST VARS'!$A$56*(0.5*$CX63)</f>
        <v>2.8504000000000009</v>
      </c>
      <c r="DI63" s="51">
        <f>'LINEST VARS'!$U$56+'LINEST VARS'!$T$56*(8)+'LINEST VARS'!$S$56*(8)+'LINEST VARS'!$R$56*($DI$56)+'LINEST VARS'!$Q$56*(0.5)+'LINEST VARS'!$P$56*($CX63)+'LINEST VARS'!$O$56*(8^2)+'LINEST VARS'!$N$56*(8^2)+'LINEST VARS'!$M$56*($DI$56^2)+'LINEST VARS'!$L$56*(0.5^2)+'LINEST VARS'!$K$56*($CX63^2)+'LINEST VARS'!$J$56*(8*8)+'LINEST VARS'!$I$56*(8*$DI$56)+'LINEST VARS'!$H$56*(8*0.5)+'LINEST VARS'!$G$56*(8*$CX63)+'LINEST VARS'!$F$56*(8*$DI$56)+'LINEST VARS'!$E$56*(8*0.5)+'LINEST VARS'!$D$56*(8*$CX63)+'LINEST VARS'!$C$56*($DI$56*0.5)+'LINEST VARS'!$B$56*($DI$56*$CX63)+'LINEST VARS'!$A$56*(0.5*$CX63)</f>
        <v>2.8400000000000007</v>
      </c>
      <c r="DJ63" s="51">
        <f>'LINEST VARS'!$U$56+'LINEST VARS'!$T$56*(8)+'LINEST VARS'!$S$56*(8)+'LINEST VARS'!$R$56*($DJ$56)+'LINEST VARS'!$Q$56*(0.5)+'LINEST VARS'!$P$56*($CX63)+'LINEST VARS'!$O$56*(8^2)+'LINEST VARS'!$N$56*(8^2)+'LINEST VARS'!$M$56*($DJ$56^2)+'LINEST VARS'!$L$56*(0.5^2)+'LINEST VARS'!$K$56*($CX63^2)+'LINEST VARS'!$J$56*(8*8)+'LINEST VARS'!$I$56*(8*$DJ$56)+'LINEST VARS'!$H$56*(8*0.5)+'LINEST VARS'!$G$56*(8*$CX63)+'LINEST VARS'!$F$56*(8*$DJ$56)+'LINEST VARS'!$E$56*(8*0.5)+'LINEST VARS'!$D$56*(8*$CX63)+'LINEST VARS'!$C$56*($DJ$56*0.5)+'LINEST VARS'!$B$56*($DJ$56*$CX63)+'LINEST VARS'!$A$56*(0.5*$CX63)</f>
        <v>2.8264000000000009</v>
      </c>
      <c r="DK63" s="51">
        <f>'LINEST VARS'!$U$56+'LINEST VARS'!$T$56*(8)+'LINEST VARS'!$S$56*(8)+'LINEST VARS'!$R$56*($DK$56)+'LINEST VARS'!$Q$56*(0.5)+'LINEST VARS'!$P$56*($CX63)+'LINEST VARS'!$O$56*(8^2)+'LINEST VARS'!$N$56*(8^2)+'LINEST VARS'!$M$56*($DK$56^2)+'LINEST VARS'!$L$56*(0.5^2)+'LINEST VARS'!$K$56*($CX63^2)+'LINEST VARS'!$J$56*(8*8)+'LINEST VARS'!$I$56*(8*$DK$56)+'LINEST VARS'!$H$56*(8*0.5)+'LINEST VARS'!$G$56*(8*$CX63)+'LINEST VARS'!$F$56*(8*$DK$56)+'LINEST VARS'!$E$56*(8*0.5)+'LINEST VARS'!$D$56*(8*$CX63)+'LINEST VARS'!$C$56*($DK$56*0.5)+'LINEST VARS'!$B$56*($DK$56*$CX63)+'LINEST VARS'!$A$56*(0.5*$CX63)</f>
        <v>2.8096000000000005</v>
      </c>
      <c r="DL63" s="51">
        <f>'LINEST VARS'!$U$56+'LINEST VARS'!$T$56*(8)+'LINEST VARS'!$S$56*(8)+'LINEST VARS'!$R$56*($DL$56)+'LINEST VARS'!$Q$56*(0.5)+'LINEST VARS'!$P$56*($CX63)+'LINEST VARS'!$O$56*(8^2)+'LINEST VARS'!$N$56*(8^2)+'LINEST VARS'!$M$56*($DL$56^2)+'LINEST VARS'!$L$56*(0.5^2)+'LINEST VARS'!$K$56*($CX63^2)+'LINEST VARS'!$J$56*(8*8)+'LINEST VARS'!$I$56*(8*$DL$56)+'LINEST VARS'!$H$56*(8*0.5)+'LINEST VARS'!$G$56*(8*$CX63)+'LINEST VARS'!$F$56*(8*$DL$56)+'LINEST VARS'!$E$56*(8*0.5)+'LINEST VARS'!$D$56*(8*$CX63)+'LINEST VARS'!$C$56*($DL$56*0.5)+'LINEST VARS'!$B$56*($DL$56*$CX63)+'LINEST VARS'!$A$56*(0.5*$CX63)</f>
        <v>2.7896000000000005</v>
      </c>
      <c r="DM63" s="51">
        <f>'LINEST VARS'!$U$56+'LINEST VARS'!$T$56*(8)+'LINEST VARS'!$S$56*(8)+'LINEST VARS'!$R$56*($DM$56)+'LINEST VARS'!$Q$56*(0.5)+'LINEST VARS'!$P$56*($CX63)+'LINEST VARS'!$O$56*(8^2)+'LINEST VARS'!$N$56*(8^2)+'LINEST VARS'!$M$56*($DM$56^2)+'LINEST VARS'!$L$56*(0.5^2)+'LINEST VARS'!$K$56*($CX63^2)+'LINEST VARS'!$J$56*(8*8)+'LINEST VARS'!$I$56*(8*$DM$56)+'LINEST VARS'!$H$56*(8*0.5)+'LINEST VARS'!$G$56*(8*$CX63)+'LINEST VARS'!$F$56*(8*$DM$56)+'LINEST VARS'!$E$56*(8*0.5)+'LINEST VARS'!$D$56*(8*$CX63)+'LINEST VARS'!$C$56*($DM$56*0.5)+'LINEST VARS'!$B$56*($DM$56*$CX63)+'LINEST VARS'!$A$56*(0.5*$CX63)</f>
        <v>2.7664000000000009</v>
      </c>
      <c r="DN63" s="51">
        <f>'LINEST VARS'!$U$56+'LINEST VARS'!$T$56*(8)+'LINEST VARS'!$S$56*(8)+'LINEST VARS'!$R$56*($DN$56)+'LINEST VARS'!$Q$56*(0.5)+'LINEST VARS'!$P$56*($CX63)+'LINEST VARS'!$O$56*(8^2)+'LINEST VARS'!$N$56*(8^2)+'LINEST VARS'!$M$56*($DN$56^2)+'LINEST VARS'!$L$56*(0.5^2)+'LINEST VARS'!$K$56*($CX63^2)+'LINEST VARS'!$J$56*(8*8)+'LINEST VARS'!$I$56*(8*$DN$56)+'LINEST VARS'!$H$56*(8*0.5)+'LINEST VARS'!$G$56*(8*$CX63)+'LINEST VARS'!$F$56*(8*$DN$56)+'LINEST VARS'!$E$56*(8*0.5)+'LINEST VARS'!$D$56*(8*$CX63)+'LINEST VARS'!$C$56*($DN$56*0.5)+'LINEST VARS'!$B$56*($DN$56*$CX63)+'LINEST VARS'!$A$56*(0.5*$CX63)</f>
        <v>2.7400000000000007</v>
      </c>
      <c r="DO63" s="51">
        <f>'LINEST VARS'!$U$56+'LINEST VARS'!$T$56*(8)+'LINEST VARS'!$S$56*(8)+'LINEST VARS'!$R$56*($DO$56)+'LINEST VARS'!$Q$56*(0.5)+'LINEST VARS'!$P$56*($CX63)+'LINEST VARS'!$O$56*(8^2)+'LINEST VARS'!$N$56*(8^2)+'LINEST VARS'!$M$56*($DO$56^2)+'LINEST VARS'!$L$56*(0.5^2)+'LINEST VARS'!$K$56*($CX63^2)+'LINEST VARS'!$J$56*(8*8)+'LINEST VARS'!$I$56*(8*$DO$56)+'LINEST VARS'!$H$56*(8*0.5)+'LINEST VARS'!$G$56*(8*$CX63)+'LINEST VARS'!$F$56*(8*$DO$56)+'LINEST VARS'!$E$56*(8*0.5)+'LINEST VARS'!$D$56*(8*$CX63)+'LINEST VARS'!$C$56*($DO$56*0.5)+'LINEST VARS'!$B$56*($DO$56*$CX63)+'LINEST VARS'!$A$56*(0.5*$CX63)</f>
        <v>2.7104000000000004</v>
      </c>
      <c r="DP63" s="51">
        <f>'LINEST VARS'!$U$56+'LINEST VARS'!$T$56*(8)+'LINEST VARS'!$S$56*(8)+'LINEST VARS'!$R$56*($DP$56)+'LINEST VARS'!$Q$56*(0.5)+'LINEST VARS'!$P$56*($CX63)+'LINEST VARS'!$O$56*(8^2)+'LINEST VARS'!$N$56*(8^2)+'LINEST VARS'!$M$56*($DP$56^2)+'LINEST VARS'!$L$56*(0.5^2)+'LINEST VARS'!$K$56*($CX63^2)+'LINEST VARS'!$J$56*(8*8)+'LINEST VARS'!$I$56*(8*$DP$56)+'LINEST VARS'!$H$56*(8*0.5)+'LINEST VARS'!$G$56*(8*$CX63)+'LINEST VARS'!$F$56*(8*$DP$56)+'LINEST VARS'!$E$56*(8*0.5)+'LINEST VARS'!$D$56*(8*$CX63)+'LINEST VARS'!$C$56*($DP$56*0.5)+'LINEST VARS'!$B$56*($DP$56*$CX63)+'LINEST VARS'!$A$56*(0.5*$CX63)</f>
        <v>2.6776000000000004</v>
      </c>
      <c r="DQ63" s="51">
        <f>'LINEST VARS'!$U$56+'LINEST VARS'!$T$56*(8)+'LINEST VARS'!$S$56*(8)+'LINEST VARS'!$R$56*($DQ$56)+'LINEST VARS'!$Q$56*(0.5)+'LINEST VARS'!$P$56*($CX63)+'LINEST VARS'!$O$56*(8^2)+'LINEST VARS'!$N$56*(8^2)+'LINEST VARS'!$M$56*($DQ$56^2)+'LINEST VARS'!$L$56*(0.5^2)+'LINEST VARS'!$K$56*($CX63^2)+'LINEST VARS'!$J$56*(8*8)+'LINEST VARS'!$I$56*(8*$DQ$56)+'LINEST VARS'!$H$56*(8*0.5)+'LINEST VARS'!$G$56*(8*$CX63)+'LINEST VARS'!$F$56*(8*$DQ$56)+'LINEST VARS'!$E$56*(8*0.5)+'LINEST VARS'!$D$56*(8*$CX63)+'LINEST VARS'!$C$56*($DQ$56*0.5)+'LINEST VARS'!$B$56*($DQ$56*$CX63)+'LINEST VARS'!$A$56*(0.5*$CX63)</f>
        <v>2.6416000000000004</v>
      </c>
      <c r="DR63" s="51">
        <f>'LINEST VARS'!$U$56+'LINEST VARS'!$T$56*(8)+'LINEST VARS'!$S$56*(8)+'LINEST VARS'!$R$56*($DR$56)+'LINEST VARS'!$Q$56*(0.5)+'LINEST VARS'!$P$56*($CX63)+'LINEST VARS'!$O$56*(8^2)+'LINEST VARS'!$N$56*(8^2)+'LINEST VARS'!$M$56*($DR$56^2)+'LINEST VARS'!$L$56*(0.5^2)+'LINEST VARS'!$K$56*($CX63^2)+'LINEST VARS'!$J$56*(8*8)+'LINEST VARS'!$I$56*(8*$DR$56)+'LINEST VARS'!$H$56*(8*0.5)+'LINEST VARS'!$G$56*(8*$CX63)+'LINEST VARS'!$F$56*(8*$DR$56)+'LINEST VARS'!$E$56*(8*0.5)+'LINEST VARS'!$D$56*(8*$CX63)+'LINEST VARS'!$C$56*($DR$56*0.5)+'LINEST VARS'!$B$56*($DR$56*$CX63)+'LINEST VARS'!$A$56*(0.5*$CX63)</f>
        <v>2.6024000000000007</v>
      </c>
      <c r="DS63" s="52">
        <f>'LINEST VARS'!$U$56+'LINEST VARS'!$T$56*(8)+'LINEST VARS'!$S$56*(8)+'LINEST VARS'!$R$56*($DS$56)+'LINEST VARS'!$Q$56*(0.5)+'LINEST VARS'!$P$56*($CX63)+'LINEST VARS'!$O$56*(8^2)+'LINEST VARS'!$N$56*(8^2)+'LINEST VARS'!$M$56*($DS$56^2)+'LINEST VARS'!$L$56*(0.5^2)+'LINEST VARS'!$K$56*($CX63^2)+'LINEST VARS'!$J$56*(8*8)+'LINEST VARS'!$I$56*(8*$DS$56)+'LINEST VARS'!$H$56*(8*0.5)+'LINEST VARS'!$G$56*(8*$CX63)+'LINEST VARS'!$F$56*(8*$DS$56)+'LINEST VARS'!$E$56*(8*0.5)+'LINEST VARS'!$D$56*(8*$CX63)+'LINEST VARS'!$C$56*($DS$56*0.5)+'LINEST VARS'!$B$56*($DS$56*$CX63)+'LINEST VARS'!$A$56*(0.5*$CX63)</f>
        <v>2.5600000000000005</v>
      </c>
      <c r="DV63" s="45">
        <v>7.7969999999999997</v>
      </c>
      <c r="DW63" s="51">
        <f>'LINEST VARS'!$U$58+'LINEST VARS'!$T$58*(8)+'LINEST VARS'!$S$58*(8)+'LINEST VARS'!$R$58*($DW$56)+'LINEST VARS'!$Q$58*(0.5)+'LINEST VARS'!$P$58*($DV63)+'LINEST VARS'!$O$58*(8^2)+'LINEST VARS'!$N$58*(8^2)+'LINEST VARS'!$M$58*($DW$56^2)+'LINEST VARS'!$L$58*(0.5^2)+'LINEST VARS'!$K$58*($DV63^2)+'LINEST VARS'!$J$58*(8*8)+'LINEST VARS'!$I$58*(8*$DW$56)+'LINEST VARS'!$H$58*(8*0.5)+'LINEST VARS'!$G$58*(8*$DV63)+'LINEST VARS'!$F$58*(8*$DW$56)+'LINEST VARS'!$E$58*(8*0.5)+'LINEST VARS'!$D$58*(8*$DV63)+'LINEST VARS'!$C$58*($DW$56*0.5)+'LINEST VARS'!$B$58*($DW$56*$DV63)+'LINEST VARS'!$A$58*(0.5*$DV63)</f>
        <v>0.83898500000000031</v>
      </c>
      <c r="DX63" s="51">
        <f>'LINEST VARS'!$U$58+'LINEST VARS'!$T$58*(8)+'LINEST VARS'!$S$58*(8)+'LINEST VARS'!$R$58*($DX$56)+'LINEST VARS'!$Q$58*(0.5)+'LINEST VARS'!$P$58*($DV63)+'LINEST VARS'!$O$58*(8^2)+'LINEST VARS'!$N$58*(8^2)+'LINEST VARS'!$M$58*($DX$56^2)+'LINEST VARS'!$L$58*(0.5^2)+'LINEST VARS'!$K$58*($DV63^2)+'LINEST VARS'!$J$58*(8*8)+'LINEST VARS'!$I$58*(8*$DX$56)+'LINEST VARS'!$H$58*(8*0.5)+'LINEST VARS'!$G$58*(8*$DV63)+'LINEST VARS'!$F$58*(8*$DX$56)+'LINEST VARS'!$E$58*(8*0.5)+'LINEST VARS'!$D$58*(8*$DV63)+'LINEST VARS'!$C$58*($DX$56*0.5)+'LINEST VARS'!$B$58*($DX$56*$DV63)+'LINEST VARS'!$A$58*(0.5*$DV63)</f>
        <v>0.84698500000000032</v>
      </c>
      <c r="DY63" s="51">
        <f>'LINEST VARS'!$U$58+'LINEST VARS'!$T$58*(8)+'LINEST VARS'!$S$58*(8)+'LINEST VARS'!$R$58*($DY$56)+'LINEST VARS'!$Q$58*(0.5)+'LINEST VARS'!$P$58*($DV63)+'LINEST VARS'!$O$58*(8^2)+'LINEST VARS'!$N$58*(8^2)+'LINEST VARS'!$M$58*($DY$56^2)+'LINEST VARS'!$L$58*(0.5^2)+'LINEST VARS'!$K$58*($DV63^2)+'LINEST VARS'!$J$58*(8*8)+'LINEST VARS'!$I$58*(8*$DY$56)+'LINEST VARS'!$H$58*(8*0.5)+'LINEST VARS'!$G$58*(8*$DV63)+'LINEST VARS'!$F$58*(8*$DY$56)+'LINEST VARS'!$E$58*(8*0.5)+'LINEST VARS'!$D$58*(8*$DV63)+'LINEST VARS'!$C$58*($DY$56*0.5)+'LINEST VARS'!$B$58*($DY$56*$DV63)+'LINEST VARS'!$A$58*(0.5*$DV63)</f>
        <v>0.85498500000000022</v>
      </c>
      <c r="DZ63" s="51">
        <f>'LINEST VARS'!$U$58+'LINEST VARS'!$T$58*(8)+'LINEST VARS'!$S$58*(8)+'LINEST VARS'!$R$58*($DZ$56)+'LINEST VARS'!$Q$58*(0.5)+'LINEST VARS'!$P$58*($DV63)+'LINEST VARS'!$O$58*(8^2)+'LINEST VARS'!$N$58*(8^2)+'LINEST VARS'!$M$58*($DZ$56^2)+'LINEST VARS'!$L$58*(0.5^2)+'LINEST VARS'!$K$58*($DV63^2)+'LINEST VARS'!$J$58*(8*8)+'LINEST VARS'!$I$58*(8*$DZ$56)+'LINEST VARS'!$H$58*(8*0.5)+'LINEST VARS'!$G$58*(8*$DV63)+'LINEST VARS'!$F$58*(8*$DZ$56)+'LINEST VARS'!$E$58*(8*0.5)+'LINEST VARS'!$D$58*(8*$DV63)+'LINEST VARS'!$C$58*($DZ$56*0.5)+'LINEST VARS'!$B$58*($DZ$56*$DV63)+'LINEST VARS'!$A$58*(0.5*$DV63)</f>
        <v>0.86298500000000022</v>
      </c>
      <c r="EA63" s="51">
        <f>'LINEST VARS'!$U$58+'LINEST VARS'!$T$58*(8)+'LINEST VARS'!$S$58*(8)+'LINEST VARS'!$R$58*($EA$56)+'LINEST VARS'!$Q$58*(0.5)+'LINEST VARS'!$P$58*($DV63)+'LINEST VARS'!$O$58*(8^2)+'LINEST VARS'!$N$58*(8^2)+'LINEST VARS'!$M$58*($EA$56^2)+'LINEST VARS'!$L$58*(0.5^2)+'LINEST VARS'!$K$58*($DV63^2)+'LINEST VARS'!$J$58*(8*8)+'LINEST VARS'!$I$58*(8*$EA$56)+'LINEST VARS'!$H$58*(8*0.5)+'LINEST VARS'!$G$58*(8*$DV63)+'LINEST VARS'!$F$58*(8*$EA$56)+'LINEST VARS'!$E$58*(8*0.5)+'LINEST VARS'!$D$58*(8*$DV63)+'LINEST VARS'!$C$58*($EA$56*0.5)+'LINEST VARS'!$B$58*($EA$56*$DV63)+'LINEST VARS'!$A$58*(0.5*$DV63)</f>
        <v>0.87098500000000012</v>
      </c>
      <c r="EB63" s="51">
        <f>'LINEST VARS'!$U$58+'LINEST VARS'!$T$58*(8)+'LINEST VARS'!$S$58*(8)+'LINEST VARS'!$R$58*($EB$56)+'LINEST VARS'!$Q$58*(0.5)+'LINEST VARS'!$P$58*($DV63)+'LINEST VARS'!$O$58*(8^2)+'LINEST VARS'!$N$58*(8^2)+'LINEST VARS'!$M$58*($EB$56^2)+'LINEST VARS'!$L$58*(0.5^2)+'LINEST VARS'!$K$58*($DV63^2)+'LINEST VARS'!$J$58*(8*8)+'LINEST VARS'!$I$58*(8*$EB$56)+'LINEST VARS'!$H$58*(8*0.5)+'LINEST VARS'!$G$58*(8*$DV63)+'LINEST VARS'!$F$58*(8*$EB$56)+'LINEST VARS'!$E$58*(8*0.5)+'LINEST VARS'!$D$58*(8*$DV63)+'LINEST VARS'!$C$58*($EB$56*0.5)+'LINEST VARS'!$B$58*($EB$56*$DV63)+'LINEST VARS'!$A$58*(0.5*$DV63)</f>
        <v>0.87898500000000024</v>
      </c>
      <c r="EC63" s="51">
        <f>'LINEST VARS'!$U$58+'LINEST VARS'!$T$58*(8)+'LINEST VARS'!$S$58*(8)+'LINEST VARS'!$R$58*($EC$56)+'LINEST VARS'!$Q$58*(0.5)+'LINEST VARS'!$P$58*($DV63)+'LINEST VARS'!$O$58*(8^2)+'LINEST VARS'!$N$58*(8^2)+'LINEST VARS'!$M$58*($EC$56^2)+'LINEST VARS'!$L$58*(0.5^2)+'LINEST VARS'!$K$58*($DV63^2)+'LINEST VARS'!$J$58*(8*8)+'LINEST VARS'!$I$58*(8*$EC$56)+'LINEST VARS'!$H$58*(8*0.5)+'LINEST VARS'!$G$58*(8*$DV63)+'LINEST VARS'!$F$58*(8*$EC$56)+'LINEST VARS'!$E$58*(8*0.5)+'LINEST VARS'!$D$58*(8*$DV63)+'LINEST VARS'!$C$58*($EC$56*0.5)+'LINEST VARS'!$B$58*($EC$56*$DV63)+'LINEST VARS'!$A$58*(0.5*$DV63)</f>
        <v>0.88698500000000025</v>
      </c>
      <c r="ED63" s="51">
        <f>'LINEST VARS'!$U$58+'LINEST VARS'!$T$58*(8)+'LINEST VARS'!$S$58*(8)+'LINEST VARS'!$R$58*($ED$56)+'LINEST VARS'!$Q$58*(0.5)+'LINEST VARS'!$P$58*($DV63)+'LINEST VARS'!$O$58*(8^2)+'LINEST VARS'!$N$58*(8^2)+'LINEST VARS'!$M$58*($ED$56^2)+'LINEST VARS'!$L$58*(0.5^2)+'LINEST VARS'!$K$58*($DV63^2)+'LINEST VARS'!$J$58*(8*8)+'LINEST VARS'!$I$58*(8*$ED$56)+'LINEST VARS'!$H$58*(8*0.5)+'LINEST VARS'!$G$58*(8*$DV63)+'LINEST VARS'!$F$58*(8*$ED$56)+'LINEST VARS'!$E$58*(8*0.5)+'LINEST VARS'!$D$58*(8*$DV63)+'LINEST VARS'!$C$58*($ED$56*0.5)+'LINEST VARS'!$B$58*($ED$56*$DV63)+'LINEST VARS'!$A$58*(0.5*$DV63)</f>
        <v>0.89498500000000025</v>
      </c>
      <c r="EE63" s="51">
        <f>'LINEST VARS'!$U$58+'LINEST VARS'!$T$58*(8)+'LINEST VARS'!$S$58*(8)+'LINEST VARS'!$R$58*($EE$56)+'LINEST VARS'!$Q$58*(0.5)+'LINEST VARS'!$P$58*($DV63)+'LINEST VARS'!$O$58*(8^2)+'LINEST VARS'!$N$58*(8^2)+'LINEST VARS'!$M$58*($EE$56^2)+'LINEST VARS'!$L$58*(0.5^2)+'LINEST VARS'!$K$58*($DV63^2)+'LINEST VARS'!$J$58*(8*8)+'LINEST VARS'!$I$58*(8*$EE$56)+'LINEST VARS'!$H$58*(8*0.5)+'LINEST VARS'!$G$58*(8*$DV63)+'LINEST VARS'!$F$58*(8*$EE$56)+'LINEST VARS'!$E$58*(8*0.5)+'LINEST VARS'!$D$58*(8*$DV63)+'LINEST VARS'!$C$58*($EE$56*0.5)+'LINEST VARS'!$B$58*($EE$56*$DV63)+'LINEST VARS'!$A$58*(0.5*$DV63)</f>
        <v>0.90298500000000037</v>
      </c>
      <c r="EF63" s="51">
        <f>'LINEST VARS'!$U$58+'LINEST VARS'!$T$58*(8)+'LINEST VARS'!$S$58*(8)+'LINEST VARS'!$R$58*($EF$56)+'LINEST VARS'!$Q$58*(0.5)+'LINEST VARS'!$P$58*($DV63)+'LINEST VARS'!$O$58*(8^2)+'LINEST VARS'!$N$58*(8^2)+'LINEST VARS'!$M$58*($EF$56^2)+'LINEST VARS'!$L$58*(0.5^2)+'LINEST VARS'!$K$58*($DV63^2)+'LINEST VARS'!$J$58*(8*8)+'LINEST VARS'!$I$58*(8*$EF$56)+'LINEST VARS'!$H$58*(8*0.5)+'LINEST VARS'!$G$58*(8*$DV63)+'LINEST VARS'!$F$58*(8*$EF$56)+'LINEST VARS'!$E$58*(8*0.5)+'LINEST VARS'!$D$58*(8*$DV63)+'LINEST VARS'!$C$58*($EF$56*0.5)+'LINEST VARS'!$B$58*($EF$56*$DV63)+'LINEST VARS'!$A$58*(0.5*$DV63)</f>
        <v>0.91098500000000027</v>
      </c>
      <c r="EG63" s="51">
        <f>'LINEST VARS'!$U$58+'LINEST VARS'!$T$58*(8)+'LINEST VARS'!$S$58*(8)+'LINEST VARS'!$R$58*($EG$56)+'LINEST VARS'!$Q$58*(0.5)+'LINEST VARS'!$P$58*($DV63)+'LINEST VARS'!$O$58*(8^2)+'LINEST VARS'!$N$58*(8^2)+'LINEST VARS'!$M$58*($EG$56^2)+'LINEST VARS'!$L$58*(0.5^2)+'LINEST VARS'!$K$58*($DV63^2)+'LINEST VARS'!$J$58*(8*8)+'LINEST VARS'!$I$58*(8*$EG$56)+'LINEST VARS'!$H$58*(8*0.5)+'LINEST VARS'!$G$58*(8*$DV63)+'LINEST VARS'!$F$58*(8*$EG$56)+'LINEST VARS'!$E$58*(8*0.5)+'LINEST VARS'!$D$58*(8*$DV63)+'LINEST VARS'!$C$58*($EG$56*0.5)+'LINEST VARS'!$B$58*($EG$56*$DV63)+'LINEST VARS'!$A$58*(0.5*$DV63)</f>
        <v>0.91898500000000027</v>
      </c>
      <c r="EH63" s="51">
        <f>'LINEST VARS'!$U$58+'LINEST VARS'!$T$58*(8)+'LINEST VARS'!$S$58*(8)+'LINEST VARS'!$R$58*($EH$56)+'LINEST VARS'!$Q$58*(0.5)+'LINEST VARS'!$P$58*($DV63)+'LINEST VARS'!$O$58*(8^2)+'LINEST VARS'!$N$58*(8^2)+'LINEST VARS'!$M$58*($EH$56^2)+'LINEST VARS'!$L$58*(0.5^2)+'LINEST VARS'!$K$58*($DV63^2)+'LINEST VARS'!$J$58*(8*8)+'LINEST VARS'!$I$58*(8*$EH$56)+'LINEST VARS'!$H$58*(8*0.5)+'LINEST VARS'!$G$58*(8*$DV63)+'LINEST VARS'!$F$58*(8*$EH$56)+'LINEST VARS'!$E$58*(8*0.5)+'LINEST VARS'!$D$58*(8*$DV63)+'LINEST VARS'!$C$58*($EH$56*0.5)+'LINEST VARS'!$B$58*($EH$56*$DV63)+'LINEST VARS'!$A$58*(0.5*$DV63)</f>
        <v>0.92698500000000017</v>
      </c>
      <c r="EI63" s="51">
        <f>'LINEST VARS'!$U$58+'LINEST VARS'!$T$58*(8)+'LINEST VARS'!$S$58*(8)+'LINEST VARS'!$R$58*($EI$56)+'LINEST VARS'!$Q$58*(0.5)+'LINEST VARS'!$P$58*($DV63)+'LINEST VARS'!$O$58*(8^2)+'LINEST VARS'!$N$58*(8^2)+'LINEST VARS'!$M$58*($EI$56^2)+'LINEST VARS'!$L$58*(0.5^2)+'LINEST VARS'!$K$58*($DV63^2)+'LINEST VARS'!$J$58*(8*8)+'LINEST VARS'!$I$58*(8*$EI$56)+'LINEST VARS'!$H$58*(8*0.5)+'LINEST VARS'!$G$58*(8*$DV63)+'LINEST VARS'!$F$58*(8*$EI$56)+'LINEST VARS'!$E$58*(8*0.5)+'LINEST VARS'!$D$58*(8*$DV63)+'LINEST VARS'!$C$58*($EI$56*0.5)+'LINEST VARS'!$B$58*($EI$56*$DV63)+'LINEST VARS'!$A$58*(0.5*$DV63)</f>
        <v>0.93498500000000018</v>
      </c>
      <c r="EJ63" s="51">
        <f>'LINEST VARS'!$U$58+'LINEST VARS'!$T$58*(8)+'LINEST VARS'!$S$58*(8)+'LINEST VARS'!$R$58*($EJ$56)+'LINEST VARS'!$Q$58*(0.5)+'LINEST VARS'!$P$58*($DV63)+'LINEST VARS'!$O$58*(8^2)+'LINEST VARS'!$N$58*(8^2)+'LINEST VARS'!$M$58*($EJ$56^2)+'LINEST VARS'!$L$58*(0.5^2)+'LINEST VARS'!$K$58*($DV63^2)+'LINEST VARS'!$J$58*(8*8)+'LINEST VARS'!$I$58*(8*$EJ$56)+'LINEST VARS'!$H$58*(8*0.5)+'LINEST VARS'!$G$58*(8*$DV63)+'LINEST VARS'!$F$58*(8*$EJ$56)+'LINEST VARS'!$E$58*(8*0.5)+'LINEST VARS'!$D$58*(8*$DV63)+'LINEST VARS'!$C$58*($EJ$56*0.5)+'LINEST VARS'!$B$58*($EJ$56*$DV63)+'LINEST VARS'!$A$58*(0.5*$DV63)</f>
        <v>0.94298500000000007</v>
      </c>
      <c r="EK63" s="51">
        <f>'LINEST VARS'!$U$58+'LINEST VARS'!$T$58*(8)+'LINEST VARS'!$S$58*(8)+'LINEST VARS'!$R$58*($EK$56)+'LINEST VARS'!$Q$58*(0.5)+'LINEST VARS'!$P$58*($DV63)+'LINEST VARS'!$O$58*(8^2)+'LINEST VARS'!$N$58*(8^2)+'LINEST VARS'!$M$58*($EK$56^2)+'LINEST VARS'!$L$58*(0.5^2)+'LINEST VARS'!$K$58*($DV63^2)+'LINEST VARS'!$J$58*(8*8)+'LINEST VARS'!$I$58*(8*$EK$56)+'LINEST VARS'!$H$58*(8*0.5)+'LINEST VARS'!$G$58*(8*$DV63)+'LINEST VARS'!$F$58*(8*$EK$56)+'LINEST VARS'!$E$58*(8*0.5)+'LINEST VARS'!$D$58*(8*$DV63)+'LINEST VARS'!$C$58*($EK$56*0.5)+'LINEST VARS'!$B$58*($EK$56*$DV63)+'LINEST VARS'!$A$58*(0.5*$DV63)</f>
        <v>0.95098500000000019</v>
      </c>
      <c r="EL63" s="51">
        <f>'LINEST VARS'!$U$58+'LINEST VARS'!$T$58*(8)+'LINEST VARS'!$S$58*(8)+'LINEST VARS'!$R$58*($EL$56)+'LINEST VARS'!$Q$58*(0.5)+'LINEST VARS'!$P$58*($DV63)+'LINEST VARS'!$O$58*(8^2)+'LINEST VARS'!$N$58*(8^2)+'LINEST VARS'!$M$58*($EL$56^2)+'LINEST VARS'!$L$58*(0.5^2)+'LINEST VARS'!$K$58*($DV63^2)+'LINEST VARS'!$J$58*(8*8)+'LINEST VARS'!$I$58*(8*$EL$56)+'LINEST VARS'!$H$58*(8*0.5)+'LINEST VARS'!$G$58*(8*$DV63)+'LINEST VARS'!$F$58*(8*$EL$56)+'LINEST VARS'!$E$58*(8*0.5)+'LINEST VARS'!$D$58*(8*$DV63)+'LINEST VARS'!$C$58*($EL$56*0.5)+'LINEST VARS'!$B$58*($EL$56*$DV63)+'LINEST VARS'!$A$58*(0.5*$DV63)</f>
        <v>0.9589850000000002</v>
      </c>
      <c r="EM63" s="51">
        <f>'LINEST VARS'!$U$58+'LINEST VARS'!$T$58*(8)+'LINEST VARS'!$S$58*(8)+'LINEST VARS'!$R$58*($EM$56)+'LINEST VARS'!$Q$58*(0.5)+'LINEST VARS'!$P$58*($DV63)+'LINEST VARS'!$O$58*(8^2)+'LINEST VARS'!$N$58*(8^2)+'LINEST VARS'!$M$58*($EM$56^2)+'LINEST VARS'!$L$58*(0.5^2)+'LINEST VARS'!$K$58*($DV63^2)+'LINEST VARS'!$J$58*(8*8)+'LINEST VARS'!$I$58*(8*$EM$56)+'LINEST VARS'!$H$58*(8*0.5)+'LINEST VARS'!$G$58*(8*$DV63)+'LINEST VARS'!$F$58*(8*$EM$56)+'LINEST VARS'!$E$58*(8*0.5)+'LINEST VARS'!$D$58*(8*$DV63)+'LINEST VARS'!$C$58*($EM$56*0.5)+'LINEST VARS'!$B$58*($EM$56*$DV63)+'LINEST VARS'!$A$58*(0.5*$DV63)</f>
        <v>0.96698500000000032</v>
      </c>
      <c r="EN63" s="51">
        <f>'LINEST VARS'!$U$58+'LINEST VARS'!$T$58*(8)+'LINEST VARS'!$S$58*(8)+'LINEST VARS'!$R$58*($EN$56)+'LINEST VARS'!$Q$58*(0.5)+'LINEST VARS'!$P$58*($DV63)+'LINEST VARS'!$O$58*(8^2)+'LINEST VARS'!$N$58*(8^2)+'LINEST VARS'!$M$58*($EN$56^2)+'LINEST VARS'!$L$58*(0.5^2)+'LINEST VARS'!$K$58*($DV63^2)+'LINEST VARS'!$J$58*(8*8)+'LINEST VARS'!$I$58*(8*$EN$56)+'LINEST VARS'!$H$58*(8*0.5)+'LINEST VARS'!$G$58*(8*$DV63)+'LINEST VARS'!$F$58*(8*$EN$56)+'LINEST VARS'!$E$58*(8*0.5)+'LINEST VARS'!$D$58*(8*$DV63)+'LINEST VARS'!$C$58*($EN$56*0.5)+'LINEST VARS'!$B$58*($EN$56*$DV63)+'LINEST VARS'!$A$58*(0.5*$DV63)</f>
        <v>0.97498500000000032</v>
      </c>
      <c r="EO63" s="51">
        <f>'LINEST VARS'!$U$58+'LINEST VARS'!$T$58*(8)+'LINEST VARS'!$S$58*(8)+'LINEST VARS'!$R$58*($EO$56)+'LINEST VARS'!$Q$58*(0.5)+'LINEST VARS'!$P$58*($DV63)+'LINEST VARS'!$O$58*(8^2)+'LINEST VARS'!$N$58*(8^2)+'LINEST VARS'!$M$58*($EO$56^2)+'LINEST VARS'!$L$58*(0.5^2)+'LINEST VARS'!$K$58*($DV63^2)+'LINEST VARS'!$J$58*(8*8)+'LINEST VARS'!$I$58*(8*$EO$56)+'LINEST VARS'!$H$58*(8*0.5)+'LINEST VARS'!$G$58*(8*$DV63)+'LINEST VARS'!$F$58*(8*$EO$56)+'LINEST VARS'!$E$58*(8*0.5)+'LINEST VARS'!$D$58*(8*$DV63)+'LINEST VARS'!$C$58*($EO$56*0.5)+'LINEST VARS'!$B$58*($EO$56*$DV63)+'LINEST VARS'!$A$58*(0.5*$DV63)</f>
        <v>0.98298500000000033</v>
      </c>
      <c r="EP63" s="51">
        <f>'LINEST VARS'!$U$58+'LINEST VARS'!$T$58*(8)+'LINEST VARS'!$S$58*(8)+'LINEST VARS'!$R$58*($EP$56)+'LINEST VARS'!$Q$58*(0.5)+'LINEST VARS'!$P$58*($DV63)+'LINEST VARS'!$O$58*(8^2)+'LINEST VARS'!$N$58*(8^2)+'LINEST VARS'!$M$58*($EP$56^2)+'LINEST VARS'!$L$58*(0.5^2)+'LINEST VARS'!$K$58*($DV63^2)+'LINEST VARS'!$J$58*(8*8)+'LINEST VARS'!$I$58*(8*$EP$56)+'LINEST VARS'!$H$58*(8*0.5)+'LINEST VARS'!$G$58*(8*$DV63)+'LINEST VARS'!$F$58*(8*$EP$56)+'LINEST VARS'!$E$58*(8*0.5)+'LINEST VARS'!$D$58*(8*$DV63)+'LINEST VARS'!$C$58*($EP$56*0.5)+'LINEST VARS'!$B$58*($EP$56*$DV63)+'LINEST VARS'!$A$58*(0.5*$DV63)</f>
        <v>0.99098500000000023</v>
      </c>
      <c r="EQ63" s="52">
        <f>'LINEST VARS'!$U$58+'LINEST VARS'!$T$58*(8)+'LINEST VARS'!$S$58*(8)+'LINEST VARS'!$R$58*($EQ$56)+'LINEST VARS'!$Q$58*(0.5)+'LINEST VARS'!$P$58*($DV63)+'LINEST VARS'!$O$58*(8^2)+'LINEST VARS'!$N$58*(8^2)+'LINEST VARS'!$M$58*($EQ$56^2)+'LINEST VARS'!$L$58*(0.5^2)+'LINEST VARS'!$K$58*($DV63^2)+'LINEST VARS'!$J$58*(8*8)+'LINEST VARS'!$I$58*(8*$EQ$56)+'LINEST VARS'!$H$58*(8*0.5)+'LINEST VARS'!$G$58*(8*$DV63)+'LINEST VARS'!$F$58*(8*$EQ$56)+'LINEST VARS'!$E$58*(8*0.5)+'LINEST VARS'!$D$58*(8*$DV63)+'LINEST VARS'!$C$58*($EQ$56*0.5)+'LINEST VARS'!$B$58*($EQ$56*$DV63)+'LINEST VARS'!$A$58*(0.5*$DV63)</f>
        <v>0.99898500000000023</v>
      </c>
    </row>
    <row r="64" spans="2:147" ht="15" customHeight="1" x14ac:dyDescent="0.25">
      <c r="B64" s="45">
        <v>7.82</v>
      </c>
      <c r="C64" s="51">
        <f>'LINEST VARS'!$U$56+'LINEST VARS'!$T$56*($C$56)+'LINEST VARS'!$S$56*($B64)+'LINEST VARS'!$R$56*(4)+'LINEST VARS'!$Q$56*(0.5)+'LINEST VARS'!$P$56*(12.73)+'LINEST VARS'!$O$56*($C$56^2)+'LINEST VARS'!$N$56*($B64^2)+'LINEST VARS'!$M$56*(4^2)+'LINEST VARS'!$L$56*(0.5^2)+'LINEST VARS'!$K$56*(12.73^2)+'LINEST VARS'!$J$56*($C$56*$B64)+'LINEST VARS'!$I$56*($C$56*4)+'LINEST VARS'!$H$56*($C$56*0.5)+'LINEST VARS'!$G$56*($C$56*12.73)+'LINEST VARS'!$F$56*($B64*4)+'LINEST VARS'!$E$56*($B64*0.5)+'LINEST VARS'!$D$56*($B64*12.73)+'LINEST VARS'!$C$56*(4*0.5)+'LINEST VARS'!$B$56*(4*12.73)+'LINEST VARS'!$A$56*(0.5*12.73)</f>
        <v>2.8400000000000012</v>
      </c>
      <c r="D64" s="51">
        <f>'LINEST VARS'!$U$56+'LINEST VARS'!$T$56*($D$56)+'LINEST VARS'!$S$56*($B64)+'LINEST VARS'!$R$56*(4)+'LINEST VARS'!$Q$56*(0.5)+'LINEST VARS'!$P$56*(12.73)+'LINEST VARS'!$O$56*($D$56^2)+'LINEST VARS'!$N$56*($B64^2)+'LINEST VARS'!$M$56*(4^2)+'LINEST VARS'!$L$56*(0.5^2)+'LINEST VARS'!$K$56*(12.73^2)+'LINEST VARS'!$J$56*($D$56*$B64)+'LINEST VARS'!$I$56*($D$56*4)+'LINEST VARS'!$H$56*($D$56*0.5)+'LINEST VARS'!$G$56*($D$56*12.73)+'LINEST VARS'!$F$56*($B64*4)+'LINEST VARS'!$E$56*($B64*0.5)+'LINEST VARS'!$D$56*($B64*12.73)+'LINEST VARS'!$C$56*(4*0.5)+'LINEST VARS'!$B$56*(4*12.73)+'LINEST VARS'!$A$56*(0.5*12.73)</f>
        <v>2.8400000000000012</v>
      </c>
      <c r="E64" s="51">
        <f>'LINEST VARS'!$U$56+'LINEST VARS'!$T$56*($E$56)+'LINEST VARS'!$S$56*($B64)+'LINEST VARS'!$R$56*(4)+'LINEST VARS'!$Q$56*(0.5)+'LINEST VARS'!$P$56*(12.73)+'LINEST VARS'!$O$56*($E$56^2)+'LINEST VARS'!$N$56*($B64^2)+'LINEST VARS'!$M$56*(4^2)+'LINEST VARS'!$L$56*(0.5^2)+'LINEST VARS'!$K$56*(12.73^2)+'LINEST VARS'!$J$56*($E$56*$B64)+'LINEST VARS'!$I$56*($E$56*4)+'LINEST VARS'!$H$56*($E$56*0.5)+'LINEST VARS'!$G$56*($E$56*12.73)+'LINEST VARS'!$F$56*($B64*4)+'LINEST VARS'!$E$56*($B64*0.5)+'LINEST VARS'!$D$56*($B64*12.73)+'LINEST VARS'!$C$56*(4*0.5)+'LINEST VARS'!$B$56*(4*12.73)+'LINEST VARS'!$A$56*(0.5*12.73)</f>
        <v>2.8400000000000012</v>
      </c>
      <c r="F64" s="51">
        <f>'LINEST VARS'!$U$56+'LINEST VARS'!$T$56*($F$56)+'LINEST VARS'!$S$56*($B64)+'LINEST VARS'!$R$56*(4)+'LINEST VARS'!$Q$56*(0.5)+'LINEST VARS'!$P$56*(12.73)+'LINEST VARS'!$O$56*($F$56^2)+'LINEST VARS'!$N$56*($B64^2)+'LINEST VARS'!$M$56*(4^2)+'LINEST VARS'!$L$56*(0.5^2)+'LINEST VARS'!$K$56*(12.73^2)+'LINEST VARS'!$J$56*($F$56*$B64)+'LINEST VARS'!$I$56*($F$56*4)+'LINEST VARS'!$H$56*($F$56*0.5)+'LINEST VARS'!$G$56*($F$56*12.73)+'LINEST VARS'!$F$56*($B64*4)+'LINEST VARS'!$E$56*($B64*0.5)+'LINEST VARS'!$D$56*($B64*12.73)+'LINEST VARS'!$C$56*(4*0.5)+'LINEST VARS'!$B$56*(4*12.73)+'LINEST VARS'!$A$56*(0.5*12.73)</f>
        <v>2.8400000000000012</v>
      </c>
      <c r="G64" s="51">
        <f>'LINEST VARS'!$U$56+'LINEST VARS'!$T$56*($G$56)+'LINEST VARS'!$S$56*($B64)+'LINEST VARS'!$R$56*(4)+'LINEST VARS'!$Q$56*(0.5)+'LINEST VARS'!$P$56*(12.73)+'LINEST VARS'!$O$56*($G$56^2)+'LINEST VARS'!$N$56*($B64^2)+'LINEST VARS'!$M$56*(4^2)+'LINEST VARS'!$L$56*(0.5^2)+'LINEST VARS'!$K$56*(12.73^2)+'LINEST VARS'!$J$56*($G$56*$B64)+'LINEST VARS'!$I$56*($G$56*4)+'LINEST VARS'!$H$56*($G$56*0.5)+'LINEST VARS'!$G$56*($G$56*12.73)+'LINEST VARS'!$F$56*($B64*4)+'LINEST VARS'!$E$56*($B64*0.5)+'LINEST VARS'!$D$56*($B64*12.73)+'LINEST VARS'!$C$56*(4*0.5)+'LINEST VARS'!$B$56*(4*12.73)+'LINEST VARS'!$A$56*(0.5*12.73)</f>
        <v>2.8400000000000012</v>
      </c>
      <c r="H64" s="51">
        <f>'LINEST VARS'!$U$56+'LINEST VARS'!$T$56*($H$56)+'LINEST VARS'!$S$56*($B64)+'LINEST VARS'!$R$56*(4)+'LINEST VARS'!$Q$56*(0.5)+'LINEST VARS'!$P$56*(12.73)+'LINEST VARS'!$O$56*($H$56^2)+'LINEST VARS'!$N$56*($B64^2)+'LINEST VARS'!$M$56*(4^2)+'LINEST VARS'!$L$56*(0.5^2)+'LINEST VARS'!$K$56*(12.73^2)+'LINEST VARS'!$J$56*($H$56*$B64)+'LINEST VARS'!$I$56*($H$56*4)+'LINEST VARS'!$H$56*($H$56*0.5)+'LINEST VARS'!$G$56*($H$56*12.73)+'LINEST VARS'!$F$56*($B64*4)+'LINEST VARS'!$E$56*($B64*0.5)+'LINEST VARS'!$D$56*($B64*12.73)+'LINEST VARS'!$C$56*(4*0.5)+'LINEST VARS'!$B$56*(4*12.73)+'LINEST VARS'!$A$56*(0.5*12.73)</f>
        <v>2.8400000000000012</v>
      </c>
      <c r="I64" s="51">
        <f>'LINEST VARS'!$U$56+'LINEST VARS'!$T$56*($I$56)+'LINEST VARS'!$S$56*($B64)+'LINEST VARS'!$R$56*(4)+'LINEST VARS'!$Q$56*(0.5)+'LINEST VARS'!$P$56*(12.73)+'LINEST VARS'!$O$56*($I$56^2)+'LINEST VARS'!$N$56*($B64^2)+'LINEST VARS'!$M$56*(4^2)+'LINEST VARS'!$L$56*(0.5^2)+'LINEST VARS'!$K$56*(12.73^2)+'LINEST VARS'!$J$56*($I$56*$B64)+'LINEST VARS'!$I$56*($I$56*4)+'LINEST VARS'!$H$56*($I$56*0.5)+'LINEST VARS'!$G$56*($I$56*12.73)+'LINEST VARS'!$F$56*($B64*4)+'LINEST VARS'!$E$56*($B64*0.5)+'LINEST VARS'!$D$56*($B64*12.73)+'LINEST VARS'!$C$56*(4*0.5)+'LINEST VARS'!$B$56*(4*12.73)+'LINEST VARS'!$A$56*(0.5*12.73)</f>
        <v>2.8400000000000012</v>
      </c>
      <c r="J64" s="51">
        <f>'LINEST VARS'!$U$56+'LINEST VARS'!$T$56*($J$56)+'LINEST VARS'!$S$56*($B64)+'LINEST VARS'!$R$56*(4)+'LINEST VARS'!$Q$56*(0.5)+'LINEST VARS'!$P$56*(12.73)+'LINEST VARS'!$O$56*($J$56^2)+'LINEST VARS'!$N$56*($B64^2)+'LINEST VARS'!$M$56*(4^2)+'LINEST VARS'!$L$56*(0.5^2)+'LINEST VARS'!$K$56*(12.73^2)+'LINEST VARS'!$J$56*($J$56*$B64)+'LINEST VARS'!$I$56*($J$56*4)+'LINEST VARS'!$H$56*($J$56*0.5)+'LINEST VARS'!$G$56*($J$56*12.73)+'LINEST VARS'!$F$56*($B64*4)+'LINEST VARS'!$E$56*($B64*0.5)+'LINEST VARS'!$D$56*($B64*12.73)+'LINEST VARS'!$C$56*(4*0.5)+'LINEST VARS'!$B$56*(4*12.73)+'LINEST VARS'!$A$56*(0.5*12.73)</f>
        <v>2.8400000000000012</v>
      </c>
      <c r="K64" s="51">
        <f>'LINEST VARS'!$U$56+'LINEST VARS'!$T$56*($K$56)+'LINEST VARS'!$S$56*($B64)+'LINEST VARS'!$R$56*(4)+'LINEST VARS'!$Q$56*(0.5)+'LINEST VARS'!$P$56*(12.73)+'LINEST VARS'!$O$56*($K$56^2)+'LINEST VARS'!$N$56*($B64^2)+'LINEST VARS'!$M$56*(4^2)+'LINEST VARS'!$L$56*(0.5^2)+'LINEST VARS'!$K$56*(12.73^2)+'LINEST VARS'!$J$56*($K$56*$B64)+'LINEST VARS'!$I$56*($K$56*4)+'LINEST VARS'!$H$56*($K$56*0.5)+'LINEST VARS'!$G$56*($K$56*12.73)+'LINEST VARS'!$F$56*($B64*4)+'LINEST VARS'!$E$56*($B64*0.5)+'LINEST VARS'!$D$56*($B64*12.73)+'LINEST VARS'!$C$56*(4*0.5)+'LINEST VARS'!$B$56*(4*12.73)+'LINEST VARS'!$A$56*(0.5*12.73)</f>
        <v>2.8400000000000007</v>
      </c>
      <c r="L64" s="51">
        <f>'LINEST VARS'!$U$56+'LINEST VARS'!$T$56*($L$56)+'LINEST VARS'!$S$56*($B64)+'LINEST VARS'!$R$56*(4)+'LINEST VARS'!$Q$56*(0.5)+'LINEST VARS'!$P$56*(12.73)+'LINEST VARS'!$O$56*($L$56^2)+'LINEST VARS'!$N$56*($B64^2)+'LINEST VARS'!$M$56*(4^2)+'LINEST VARS'!$L$56*(0.5^2)+'LINEST VARS'!$K$56*(12.73^2)+'LINEST VARS'!$J$56*($L$56*$B64)+'LINEST VARS'!$I$56*($L$56*4)+'LINEST VARS'!$H$56*($L$56*0.5)+'LINEST VARS'!$G$56*($L$56*12.73)+'LINEST VARS'!$F$56*($B64*4)+'LINEST VARS'!$E$56*($B64*0.5)+'LINEST VARS'!$D$56*($B64*12.73)+'LINEST VARS'!$C$56*(4*0.5)+'LINEST VARS'!$B$56*(4*12.73)+'LINEST VARS'!$A$56*(0.5*12.73)</f>
        <v>2.8400000000000007</v>
      </c>
      <c r="M64" s="51">
        <f>'LINEST VARS'!$U$56+'LINEST VARS'!$T$56*($M$56)+'LINEST VARS'!$S$56*($B64)+'LINEST VARS'!$R$56*(4)+'LINEST VARS'!$Q$56*(0.5)+'LINEST VARS'!$P$56*(12.73)+'LINEST VARS'!$O$56*($M$56^2)+'LINEST VARS'!$N$56*($B64^2)+'LINEST VARS'!$M$56*(4^2)+'LINEST VARS'!$L$56*(0.5^2)+'LINEST VARS'!$K$56*(12.73^2)+'LINEST VARS'!$J$56*($M$56*$B64)+'LINEST VARS'!$I$56*($M$56*4)+'LINEST VARS'!$H$56*($M$56*0.5)+'LINEST VARS'!$G$56*($M$56*12.73)+'LINEST VARS'!$F$56*($B64*4)+'LINEST VARS'!$E$56*($B64*0.5)+'LINEST VARS'!$D$56*($B64*12.73)+'LINEST VARS'!$C$56*(4*0.5)+'LINEST VARS'!$B$56*(4*12.73)+'LINEST VARS'!$A$56*(0.5*12.73)</f>
        <v>2.8400000000000007</v>
      </c>
      <c r="N64" s="51">
        <f>'LINEST VARS'!$U$56+'LINEST VARS'!$T$56*($N$56)+'LINEST VARS'!$S$56*($B64)+'LINEST VARS'!$R$56*(4)+'LINEST VARS'!$Q$56*(0.5)+'LINEST VARS'!$P$56*(12.73)+'LINEST VARS'!$O$56*($N$56^2)+'LINEST VARS'!$N$56*($B64^2)+'LINEST VARS'!$M$56*(4^2)+'LINEST VARS'!$L$56*(0.5^2)+'LINEST VARS'!$K$56*(12.73^2)+'LINEST VARS'!$J$56*($N$56*$B64)+'LINEST VARS'!$I$56*($N$56*4)+'LINEST VARS'!$H$56*($N$56*0.5)+'LINEST VARS'!$G$56*($N$56*12.73)+'LINEST VARS'!$F$56*($B64*4)+'LINEST VARS'!$E$56*($B64*0.5)+'LINEST VARS'!$D$56*($B64*12.73)+'LINEST VARS'!$C$56*(4*0.5)+'LINEST VARS'!$B$56*(4*12.73)+'LINEST VARS'!$A$56*(0.5*12.73)</f>
        <v>2.8400000000000007</v>
      </c>
      <c r="O64" s="51">
        <f>'LINEST VARS'!$U$56+'LINEST VARS'!$T$56*($O$56)+'LINEST VARS'!$S$56*($B64)+'LINEST VARS'!$R$56*(4)+'LINEST VARS'!$Q$56*(0.5)+'LINEST VARS'!$P$56*(12.73)+'LINEST VARS'!$O$56*($O$56^2)+'LINEST VARS'!$N$56*($B64^2)+'LINEST VARS'!$M$56*(4^2)+'LINEST VARS'!$L$56*(0.5^2)+'LINEST VARS'!$K$56*(12.73^2)+'LINEST VARS'!$J$56*($O$56*$B64)+'LINEST VARS'!$I$56*($O$56*4)+'LINEST VARS'!$H$56*($O$56*0.5)+'LINEST VARS'!$G$56*($O$56*12.73)+'LINEST VARS'!$F$56*($B64*4)+'LINEST VARS'!$E$56*($B64*0.5)+'LINEST VARS'!$D$56*($B64*12.73)+'LINEST VARS'!$C$56*(4*0.5)+'LINEST VARS'!$B$56*(4*12.73)+'LINEST VARS'!$A$56*(0.5*12.73)</f>
        <v>2.8400000000000007</v>
      </c>
      <c r="P64" s="51">
        <f>'LINEST VARS'!$U$56+'LINEST VARS'!$T$56*($P$56)+'LINEST VARS'!$S$56*($B64)+'LINEST VARS'!$R$56*(4)+'LINEST VARS'!$Q$56*(0.5)+'LINEST VARS'!$P$56*(12.73)+'LINEST VARS'!$O$56*($P$56^2)+'LINEST VARS'!$N$56*($B64^2)+'LINEST VARS'!$M$56*(4^2)+'LINEST VARS'!$L$56*(0.5^2)+'LINEST VARS'!$K$56*(12.73^2)+'LINEST VARS'!$J$56*($P$56*$B64)+'LINEST VARS'!$I$56*($P$56*4)+'LINEST VARS'!$H$56*($P$56*0.5)+'LINEST VARS'!$G$56*($P$56*12.73)+'LINEST VARS'!$F$56*($B64*4)+'LINEST VARS'!$E$56*($B64*0.5)+'LINEST VARS'!$D$56*($B64*12.73)+'LINEST VARS'!$C$56*(4*0.5)+'LINEST VARS'!$B$56*(4*12.73)+'LINEST VARS'!$A$56*(0.5*12.73)</f>
        <v>2.8400000000000007</v>
      </c>
      <c r="Q64" s="51">
        <f>'LINEST VARS'!$U$56+'LINEST VARS'!$T$56*($Q$56)+'LINEST VARS'!$S$56*($B64)+'LINEST VARS'!$R$56*(4)+'LINEST VARS'!$Q$56*(0.5)+'LINEST VARS'!$P$56*(12.73)+'LINEST VARS'!$O$56*($Q$56^2)+'LINEST VARS'!$N$56*($B64^2)+'LINEST VARS'!$M$56*(4^2)+'LINEST VARS'!$L$56*(0.5^2)+'LINEST VARS'!$K$56*(12.73^2)+'LINEST VARS'!$J$56*($Q$56*$B64)+'LINEST VARS'!$I$56*($Q$56*4)+'LINEST VARS'!$H$56*($Q$56*0.5)+'LINEST VARS'!$G$56*($Q$56*12.73)+'LINEST VARS'!$F$56*($B64*4)+'LINEST VARS'!$E$56*($B64*0.5)+'LINEST VARS'!$D$56*($B64*12.73)+'LINEST VARS'!$C$56*(4*0.5)+'LINEST VARS'!$B$56*(4*12.73)+'LINEST VARS'!$A$56*(0.5*12.73)</f>
        <v>2.8400000000000007</v>
      </c>
      <c r="R64" s="51">
        <f>'LINEST VARS'!$U$56+'LINEST VARS'!$T$56*($R$56)+'LINEST VARS'!$S$56*($B64)+'LINEST VARS'!$R$56*(4)+'LINEST VARS'!$Q$56*(0.5)+'LINEST VARS'!$P$56*(12.73)+'LINEST VARS'!$O$56*($R$56^2)+'LINEST VARS'!$N$56*($B64^2)+'LINEST VARS'!$M$56*(4^2)+'LINEST VARS'!$L$56*(0.5^2)+'LINEST VARS'!$K$56*(12.73^2)+'LINEST VARS'!$J$56*($R$56*$B64)+'LINEST VARS'!$I$56*($R$56*4)+'LINEST VARS'!$H$56*($R$56*0.5)+'LINEST VARS'!$G$56*($R$56*12.73)+'LINEST VARS'!$F$56*($B64*4)+'LINEST VARS'!$E$56*($B64*0.5)+'LINEST VARS'!$D$56*($B64*12.73)+'LINEST VARS'!$C$56*(4*0.5)+'LINEST VARS'!$B$56*(4*12.73)+'LINEST VARS'!$A$56*(0.5*12.73)</f>
        <v>2.8400000000000007</v>
      </c>
      <c r="S64" s="51">
        <f>'LINEST VARS'!$U$56+'LINEST VARS'!$T$56*($S$56)+'LINEST VARS'!$S$56*($B64)+'LINEST VARS'!$R$56*(4)+'LINEST VARS'!$Q$56*(0.5)+'LINEST VARS'!$P$56*(12.73)+'LINEST VARS'!$O$56*($S$56^2)+'LINEST VARS'!$N$56*($B64^2)+'LINEST VARS'!$M$56*(4^2)+'LINEST VARS'!$L$56*(0.5^2)+'LINEST VARS'!$K$56*(12.73^2)+'LINEST VARS'!$J$56*($S$56*$B64)+'LINEST VARS'!$I$56*($S$56*4)+'LINEST VARS'!$H$56*($S$56*0.5)+'LINEST VARS'!$G$56*($S$56*12.73)+'LINEST VARS'!$F$56*($B64*4)+'LINEST VARS'!$E$56*($B64*0.5)+'LINEST VARS'!$D$56*($B64*12.73)+'LINEST VARS'!$C$56*(4*0.5)+'LINEST VARS'!$B$56*(4*12.73)+'LINEST VARS'!$A$56*(0.5*12.73)</f>
        <v>2.8400000000000007</v>
      </c>
      <c r="T64" s="51">
        <f>'LINEST VARS'!$U$56+'LINEST VARS'!$T$56*($T$56)+'LINEST VARS'!$S$56*($B64)+'LINEST VARS'!$R$56*(4)+'LINEST VARS'!$Q$56*(0.5)+'LINEST VARS'!$P$56*(12.73)+'LINEST VARS'!$O$56*($T$56^2)+'LINEST VARS'!$N$56*($B64^2)+'LINEST VARS'!$M$56*(4^2)+'LINEST VARS'!$L$56*(0.5^2)+'LINEST VARS'!$K$56*(12.73^2)+'LINEST VARS'!$J$56*($T$56*$B64)+'LINEST VARS'!$I$56*($T$56*4)+'LINEST VARS'!$H$56*($T$56*0.5)+'LINEST VARS'!$G$56*($T$56*12.73)+'LINEST VARS'!$F$56*($B64*4)+'LINEST VARS'!$E$56*($B64*0.5)+'LINEST VARS'!$D$56*($B64*12.73)+'LINEST VARS'!$C$56*(4*0.5)+'LINEST VARS'!$B$56*(4*12.73)+'LINEST VARS'!$A$56*(0.5*12.73)</f>
        <v>2.8400000000000007</v>
      </c>
      <c r="U64" s="51">
        <f>'LINEST VARS'!$U$56+'LINEST VARS'!$T$56*($U$56)+'LINEST VARS'!$S$56*($B64)+'LINEST VARS'!$R$56*(4)+'LINEST VARS'!$Q$56*(0.5)+'LINEST VARS'!$P$56*(12.73)+'LINEST VARS'!$O$56*($U$56^2)+'LINEST VARS'!$N$56*($B64^2)+'LINEST VARS'!$M$56*(4^2)+'LINEST VARS'!$L$56*(0.5^2)+'LINEST VARS'!$K$56*(12.73^2)+'LINEST VARS'!$J$56*($U$56*$B64)+'LINEST VARS'!$I$56*($U$56*4)+'LINEST VARS'!$H$56*($U$56*0.5)+'LINEST VARS'!$G$56*($U$56*12.73)+'LINEST VARS'!$F$56*($B64*4)+'LINEST VARS'!$E$56*($B64*0.5)+'LINEST VARS'!$D$56*($B64*12.73)+'LINEST VARS'!$C$56*(4*0.5)+'LINEST VARS'!$B$56*(4*12.73)+'LINEST VARS'!$A$56*(0.5*12.73)</f>
        <v>2.8400000000000007</v>
      </c>
      <c r="V64" s="51">
        <f>'LINEST VARS'!$U$56+'LINEST VARS'!$T$56*($V$56)+'LINEST VARS'!$S$56*($B64)+'LINEST VARS'!$R$56*(4)+'LINEST VARS'!$Q$56*(0.5)+'LINEST VARS'!$P$56*(12.73)+'LINEST VARS'!$O$56*($V$56^2)+'LINEST VARS'!$N$56*($B64^2)+'LINEST VARS'!$M$56*(4^2)+'LINEST VARS'!$L$56*(0.5^2)+'LINEST VARS'!$K$56*(12.73^2)+'LINEST VARS'!$J$56*($V$56*$B64)+'LINEST VARS'!$I$56*($V$56*4)+'LINEST VARS'!$H$56*($V$56*0.5)+'LINEST VARS'!$G$56*($V$56*12.73)+'LINEST VARS'!$F$56*($B64*4)+'LINEST VARS'!$E$56*($B64*0.5)+'LINEST VARS'!$D$56*($B64*12.73)+'LINEST VARS'!$C$56*(4*0.5)+'LINEST VARS'!$B$56*(4*12.73)+'LINEST VARS'!$A$56*(0.5*12.73)</f>
        <v>2.8400000000000007</v>
      </c>
      <c r="W64" s="52">
        <f>'LINEST VARS'!$U$56+'LINEST VARS'!$T$56*($W$56)+'LINEST VARS'!$S$56*($B64)+'LINEST VARS'!$R$56*(4)+'LINEST VARS'!$Q$56*(0.5)+'LINEST VARS'!$P$56*(12.73)+'LINEST VARS'!$O$56*($W$56^2)+'LINEST VARS'!$N$56*($B64^2)+'LINEST VARS'!$M$56*(4^2)+'LINEST VARS'!$L$56*(0.5^2)+'LINEST VARS'!$K$56*(12.73^2)+'LINEST VARS'!$J$56*($W$56*$B64)+'LINEST VARS'!$I$56*($W$56*4)+'LINEST VARS'!$H$56*($W$56*0.5)+'LINEST VARS'!$G$56*($W$56*12.73)+'LINEST VARS'!$F$56*($B64*4)+'LINEST VARS'!$E$56*($B64*0.5)+'LINEST VARS'!$D$56*($B64*12.73)+'LINEST VARS'!$C$56*(4*0.5)+'LINEST VARS'!$B$56*(4*12.73)+'LINEST VARS'!$A$56*(0.5*12.73)</f>
        <v>2.8400000000000007</v>
      </c>
      <c r="Z64" s="45">
        <v>7.82</v>
      </c>
      <c r="AA64" s="51">
        <f>'LINEST VARS'!$U$58+'LINEST VARS'!$T$58*($AA$56)+'LINEST VARS'!$S$58*($Z64)+'LINEST VARS'!$R$58*(4)+'LINEST VARS'!$Q$58*(0.5)+'LINEST VARS'!$P$58*(12.73)+'LINEST VARS'!$O$58*($AA$56^2)+'LINEST VARS'!$N$58*($Z64^2)+'LINEST VARS'!$M$58*(4^2)+'LINEST VARS'!$L$58*(0.5^2)+'LINEST VARS'!$K$58*(12.73^2)+'LINEST VARS'!$J$58*($AA$56*$Z64)+'LINEST VARS'!$I$58*($AA$56*4)+'LINEST VARS'!$H$58*($AA$56*0.5)+'LINEST VARS'!$G$58*($AA$56*12.73)+'LINEST VARS'!$F$58*($Z64*4)+'LINEST VARS'!$E$58*($Z64*0.5)+'LINEST VARS'!$D$58*($Z64*12.73)+'LINEST VARS'!$C$58*(4*0.5)+'LINEST VARS'!$B$58*(4*12.73)+'LINEST VARS'!$A$58*(0.5*12.73)</f>
        <v>0.94365000000000021</v>
      </c>
      <c r="AB64" s="51">
        <f>'LINEST VARS'!$U$58+'LINEST VARS'!$T$58*($AB$56)+'LINEST VARS'!$S$58*($Z64)+'LINEST VARS'!$R$58*(4)+'LINEST VARS'!$Q$58*(0.5)+'LINEST VARS'!$P$58*(12.73)+'LINEST VARS'!$O$58*($AB$56^2)+'LINEST VARS'!$N$58*($Z64^2)+'LINEST VARS'!$M$58*(4^2)+'LINEST VARS'!$L$58*(0.5^2)+'LINEST VARS'!$K$58*(12.73^2)+'LINEST VARS'!$J$58*($AB$56*$Z64)+'LINEST VARS'!$I$58*($AB$56*4)+'LINEST VARS'!$H$58*($AB$56*0.5)+'LINEST VARS'!$G$58*($AB$56*12.73)+'LINEST VARS'!$F$58*($Z64*4)+'LINEST VARS'!$E$58*($Z64*0.5)+'LINEST VARS'!$D$58*($Z64*12.73)+'LINEST VARS'!$C$58*(4*0.5)+'LINEST VARS'!$B$58*(4*12.73)+'LINEST VARS'!$A$58*(0.5*12.73)</f>
        <v>0.94365000000000021</v>
      </c>
      <c r="AC64" s="51">
        <f>'LINEST VARS'!$U$58+'LINEST VARS'!$T$58*($AC$56)+'LINEST VARS'!$S$58*($Z64)+'LINEST VARS'!$R$58*(4)+'LINEST VARS'!$Q$58*(0.5)+'LINEST VARS'!$P$58*(12.73)+'LINEST VARS'!$O$58*($AC$56^2)+'LINEST VARS'!$N$58*($Z64^2)+'LINEST VARS'!$M$58*(4^2)+'LINEST VARS'!$L$58*(0.5^2)+'LINEST VARS'!$K$58*(12.73^2)+'LINEST VARS'!$J$58*($AC$56*$Z64)+'LINEST VARS'!$I$58*($AC$56*4)+'LINEST VARS'!$H$58*($AC$56*0.5)+'LINEST VARS'!$G$58*($AC$56*12.73)+'LINEST VARS'!$F$58*($Z64*4)+'LINEST VARS'!$E$58*($Z64*0.5)+'LINEST VARS'!$D$58*($Z64*12.73)+'LINEST VARS'!$C$58*(4*0.5)+'LINEST VARS'!$B$58*(4*12.73)+'LINEST VARS'!$A$58*(0.5*12.73)</f>
        <v>0.94365000000000021</v>
      </c>
      <c r="AD64" s="51">
        <f>'LINEST VARS'!$U$58+'LINEST VARS'!$T$58*($AD$56)+'LINEST VARS'!$S$58*($Z64)+'LINEST VARS'!$R$58*(4)+'LINEST VARS'!$Q$58*(0.5)+'LINEST VARS'!$P$58*(12.73)+'LINEST VARS'!$O$58*($AD$56^2)+'LINEST VARS'!$N$58*($Z64^2)+'LINEST VARS'!$M$58*(4^2)+'LINEST VARS'!$L$58*(0.5^2)+'LINEST VARS'!$K$58*(12.73^2)+'LINEST VARS'!$J$58*($AD$56*$Z64)+'LINEST VARS'!$I$58*($AD$56*4)+'LINEST VARS'!$H$58*($AD$56*0.5)+'LINEST VARS'!$G$58*($AD$56*12.73)+'LINEST VARS'!$F$58*($Z64*4)+'LINEST VARS'!$E$58*($Z64*0.5)+'LINEST VARS'!$D$58*($Z64*12.73)+'LINEST VARS'!$C$58*(4*0.5)+'LINEST VARS'!$B$58*(4*12.73)+'LINEST VARS'!$A$58*(0.5*12.73)</f>
        <v>0.94365000000000032</v>
      </c>
      <c r="AE64" s="51">
        <f>'LINEST VARS'!$U$58+'LINEST VARS'!$T$58*($AE$56)+'LINEST VARS'!$S$58*($Z64)+'LINEST VARS'!$R$58*(4)+'LINEST VARS'!$Q$58*(0.5)+'LINEST VARS'!$P$58*(12.73)+'LINEST VARS'!$O$58*($AE$56^2)+'LINEST VARS'!$N$58*($Z64^2)+'LINEST VARS'!$M$58*(4^2)+'LINEST VARS'!$L$58*(0.5^2)+'LINEST VARS'!$K$58*(12.73^2)+'LINEST VARS'!$J$58*($AE$56*$Z64)+'LINEST VARS'!$I$58*($AE$56*4)+'LINEST VARS'!$H$58*($AE$56*0.5)+'LINEST VARS'!$G$58*($AE$56*12.73)+'LINEST VARS'!$F$58*($Z64*4)+'LINEST VARS'!$E$58*($Z64*0.5)+'LINEST VARS'!$D$58*($Z64*12.73)+'LINEST VARS'!$C$58*(4*0.5)+'LINEST VARS'!$B$58*(4*12.73)+'LINEST VARS'!$A$58*(0.5*12.73)</f>
        <v>0.94365000000000032</v>
      </c>
      <c r="AF64" s="51">
        <f>'LINEST VARS'!$U$58+'LINEST VARS'!$T$58*($AF$56)+'LINEST VARS'!$S$58*($Z64)+'LINEST VARS'!$R$58*(4)+'LINEST VARS'!$Q$58*(0.5)+'LINEST VARS'!$P$58*(12.73)+'LINEST VARS'!$O$58*($AF$56^2)+'LINEST VARS'!$N$58*($Z64^2)+'LINEST VARS'!$M$58*(4^2)+'LINEST VARS'!$L$58*(0.5^2)+'LINEST VARS'!$K$58*(12.73^2)+'LINEST VARS'!$J$58*($AF$56*$Z64)+'LINEST VARS'!$I$58*($AF$56*4)+'LINEST VARS'!$H$58*($AF$56*0.5)+'LINEST VARS'!$G$58*($AF$56*12.73)+'LINEST VARS'!$F$58*($Z64*4)+'LINEST VARS'!$E$58*($Z64*0.5)+'LINEST VARS'!$D$58*($Z64*12.73)+'LINEST VARS'!$C$58*(4*0.5)+'LINEST VARS'!$B$58*(4*12.73)+'LINEST VARS'!$A$58*(0.5*12.73)</f>
        <v>0.94365000000000032</v>
      </c>
      <c r="AG64" s="51">
        <f>'LINEST VARS'!$U$58+'LINEST VARS'!$T$58*($AG$56)+'LINEST VARS'!$S$58*($Z64)+'LINEST VARS'!$R$58*(4)+'LINEST VARS'!$Q$58*(0.5)+'LINEST VARS'!$P$58*(12.73)+'LINEST VARS'!$O$58*($AG$56^2)+'LINEST VARS'!$N$58*($Z64^2)+'LINEST VARS'!$M$58*(4^2)+'LINEST VARS'!$L$58*(0.5^2)+'LINEST VARS'!$K$58*(12.73^2)+'LINEST VARS'!$J$58*($AG$56*$Z64)+'LINEST VARS'!$I$58*($AG$56*4)+'LINEST VARS'!$H$58*($AG$56*0.5)+'LINEST VARS'!$G$58*($AG$56*12.73)+'LINEST VARS'!$F$58*($Z64*4)+'LINEST VARS'!$E$58*($Z64*0.5)+'LINEST VARS'!$D$58*($Z64*12.73)+'LINEST VARS'!$C$58*(4*0.5)+'LINEST VARS'!$B$58*(4*12.73)+'LINEST VARS'!$A$58*(0.5*12.73)</f>
        <v>0.94365000000000032</v>
      </c>
      <c r="AH64" s="51">
        <f>'LINEST VARS'!$U$58+'LINEST VARS'!$T$58*($AH$56)+'LINEST VARS'!$S$58*($Z64)+'LINEST VARS'!$R$58*(4)+'LINEST VARS'!$Q$58*(0.5)+'LINEST VARS'!$P$58*(12.73)+'LINEST VARS'!$O$58*($AH$56^2)+'LINEST VARS'!$N$58*($Z64^2)+'LINEST VARS'!$M$58*(4^2)+'LINEST VARS'!$L$58*(0.5^2)+'LINEST VARS'!$K$58*(12.73^2)+'LINEST VARS'!$J$58*($AH$56*$Z64)+'LINEST VARS'!$I$58*($AH$56*4)+'LINEST VARS'!$H$58*($AH$56*0.5)+'LINEST VARS'!$G$58*($AH$56*12.73)+'LINEST VARS'!$F$58*($Z64*4)+'LINEST VARS'!$E$58*($Z64*0.5)+'LINEST VARS'!$D$58*($Z64*12.73)+'LINEST VARS'!$C$58*(4*0.5)+'LINEST VARS'!$B$58*(4*12.73)+'LINEST VARS'!$A$58*(0.5*12.73)</f>
        <v>0.94365000000000032</v>
      </c>
      <c r="AI64" s="51">
        <f>'LINEST VARS'!$U$58+'LINEST VARS'!$T$58*($AI$56)+'LINEST VARS'!$S$58*($Z64)+'LINEST VARS'!$R$58*(4)+'LINEST VARS'!$Q$58*(0.5)+'LINEST VARS'!$P$58*(12.73)+'LINEST VARS'!$O$58*($AI$56^2)+'LINEST VARS'!$N$58*($Z64^2)+'LINEST VARS'!$M$58*(4^2)+'LINEST VARS'!$L$58*(0.5^2)+'LINEST VARS'!$K$58*(12.73^2)+'LINEST VARS'!$J$58*($AI$56*$Z64)+'LINEST VARS'!$I$58*($AI$56*4)+'LINEST VARS'!$H$58*($AI$56*0.5)+'LINEST VARS'!$G$58*($AI$56*12.73)+'LINEST VARS'!$F$58*($Z64*4)+'LINEST VARS'!$E$58*($Z64*0.5)+'LINEST VARS'!$D$58*($Z64*12.73)+'LINEST VARS'!$C$58*(4*0.5)+'LINEST VARS'!$B$58*(4*12.73)+'LINEST VARS'!$A$58*(0.5*12.73)</f>
        <v>0.94365000000000021</v>
      </c>
      <c r="AJ64" s="51">
        <f>'LINEST VARS'!$U$58+'LINEST VARS'!$T$58*($AJ$56)+'LINEST VARS'!$S$58*($Z64)+'LINEST VARS'!$R$58*(4)+'LINEST VARS'!$Q$58*(0.5)+'LINEST VARS'!$P$58*(12.73)+'LINEST VARS'!$O$58*($AJ$56^2)+'LINEST VARS'!$N$58*($Z64^2)+'LINEST VARS'!$M$58*(4^2)+'LINEST VARS'!$L$58*(0.5^2)+'LINEST VARS'!$K$58*(12.73^2)+'LINEST VARS'!$J$58*($AJ$56*$Z64)+'LINEST VARS'!$I$58*($AJ$56*4)+'LINEST VARS'!$H$58*($AJ$56*0.5)+'LINEST VARS'!$G$58*($AJ$56*12.73)+'LINEST VARS'!$F$58*($Z64*4)+'LINEST VARS'!$E$58*($Z64*0.5)+'LINEST VARS'!$D$58*($Z64*12.73)+'LINEST VARS'!$C$58*(4*0.5)+'LINEST VARS'!$B$58*(4*12.73)+'LINEST VARS'!$A$58*(0.5*12.73)</f>
        <v>0.94365000000000021</v>
      </c>
      <c r="AK64" s="51">
        <f>'LINEST VARS'!$U$58+'LINEST VARS'!$T$58*($AK$56)+'LINEST VARS'!$S$58*($Z64)+'LINEST VARS'!$R$58*(4)+'LINEST VARS'!$Q$58*(0.5)+'LINEST VARS'!$P$58*(12.73)+'LINEST VARS'!$O$58*($AK$56^2)+'LINEST VARS'!$N$58*($Z64^2)+'LINEST VARS'!$M$58*(4^2)+'LINEST VARS'!$L$58*(0.5^2)+'LINEST VARS'!$K$58*(12.73^2)+'LINEST VARS'!$J$58*($AK$56*$Z64)+'LINEST VARS'!$I$58*($AK$56*4)+'LINEST VARS'!$H$58*($AK$56*0.5)+'LINEST VARS'!$G$58*($AK$56*12.73)+'LINEST VARS'!$F$58*($Z64*4)+'LINEST VARS'!$E$58*($Z64*0.5)+'LINEST VARS'!$D$58*($Z64*12.73)+'LINEST VARS'!$C$58*(4*0.5)+'LINEST VARS'!$B$58*(4*12.73)+'LINEST VARS'!$A$58*(0.5*12.73)</f>
        <v>0.94365000000000021</v>
      </c>
      <c r="AL64" s="51">
        <f>'LINEST VARS'!$U$58+'LINEST VARS'!$T$58*($AL$56)+'LINEST VARS'!$S$58*($Z64)+'LINEST VARS'!$R$58*(4)+'LINEST VARS'!$Q$58*(0.5)+'LINEST VARS'!$P$58*(12.73)+'LINEST VARS'!$O$58*($AL$56^2)+'LINEST VARS'!$N$58*($Z64^2)+'LINEST VARS'!$M$58*(4^2)+'LINEST VARS'!$L$58*(0.5^2)+'LINEST VARS'!$K$58*(12.73^2)+'LINEST VARS'!$J$58*($AL$56*$Z64)+'LINEST VARS'!$I$58*($AL$56*4)+'LINEST VARS'!$H$58*($AL$56*0.5)+'LINEST VARS'!$G$58*($AL$56*12.73)+'LINEST VARS'!$F$58*($Z64*4)+'LINEST VARS'!$E$58*($Z64*0.5)+'LINEST VARS'!$D$58*($Z64*12.73)+'LINEST VARS'!$C$58*(4*0.5)+'LINEST VARS'!$B$58*(4*12.73)+'LINEST VARS'!$A$58*(0.5*12.73)</f>
        <v>0.94365000000000021</v>
      </c>
      <c r="AM64" s="51">
        <f>'LINEST VARS'!$U$58+'LINEST VARS'!$T$58*($AM$56)+'LINEST VARS'!$S$58*($Z64)+'LINEST VARS'!$R$58*(4)+'LINEST VARS'!$Q$58*(0.5)+'LINEST VARS'!$P$58*(12.73)+'LINEST VARS'!$O$58*($AM$56^2)+'LINEST VARS'!$N$58*($Z64^2)+'LINEST VARS'!$M$58*(4^2)+'LINEST VARS'!$L$58*(0.5^2)+'LINEST VARS'!$K$58*(12.73^2)+'LINEST VARS'!$J$58*($AM$56*$Z64)+'LINEST VARS'!$I$58*($AM$56*4)+'LINEST VARS'!$H$58*($AM$56*0.5)+'LINEST VARS'!$G$58*($AM$56*12.73)+'LINEST VARS'!$F$58*($Z64*4)+'LINEST VARS'!$E$58*($Z64*0.5)+'LINEST VARS'!$D$58*($Z64*12.73)+'LINEST VARS'!$C$58*(4*0.5)+'LINEST VARS'!$B$58*(4*12.73)+'LINEST VARS'!$A$58*(0.5*12.73)</f>
        <v>0.9436500000000001</v>
      </c>
      <c r="AN64" s="51">
        <f>'LINEST VARS'!$U$58+'LINEST VARS'!$T$58*($AN$56)+'LINEST VARS'!$S$58*($Z64)+'LINEST VARS'!$R$58*(4)+'LINEST VARS'!$Q$58*(0.5)+'LINEST VARS'!$P$58*(12.73)+'LINEST VARS'!$O$58*($AN$56^2)+'LINEST VARS'!$N$58*($Z64^2)+'LINEST VARS'!$M$58*(4^2)+'LINEST VARS'!$L$58*(0.5^2)+'LINEST VARS'!$K$58*(12.73^2)+'LINEST VARS'!$J$58*($AN$56*$Z64)+'LINEST VARS'!$I$58*($AN$56*4)+'LINEST VARS'!$H$58*($AN$56*0.5)+'LINEST VARS'!$G$58*($AN$56*12.73)+'LINEST VARS'!$F$58*($Z64*4)+'LINEST VARS'!$E$58*($Z64*0.5)+'LINEST VARS'!$D$58*($Z64*12.73)+'LINEST VARS'!$C$58*(4*0.5)+'LINEST VARS'!$B$58*(4*12.73)+'LINEST VARS'!$A$58*(0.5*12.73)</f>
        <v>0.94365000000000021</v>
      </c>
      <c r="AO64" s="51">
        <f>'LINEST VARS'!$U$58+'LINEST VARS'!$T$58*($AO$56)+'LINEST VARS'!$S$58*($Z64)+'LINEST VARS'!$R$58*(4)+'LINEST VARS'!$Q$58*(0.5)+'LINEST VARS'!$P$58*(12.73)+'LINEST VARS'!$O$58*($AO$56^2)+'LINEST VARS'!$N$58*($Z64^2)+'LINEST VARS'!$M$58*(4^2)+'LINEST VARS'!$L$58*(0.5^2)+'LINEST VARS'!$K$58*(12.73^2)+'LINEST VARS'!$J$58*($AO$56*$Z64)+'LINEST VARS'!$I$58*($AO$56*4)+'LINEST VARS'!$H$58*($AO$56*0.5)+'LINEST VARS'!$G$58*($AO$56*12.73)+'LINEST VARS'!$F$58*($Z64*4)+'LINEST VARS'!$E$58*($Z64*0.5)+'LINEST VARS'!$D$58*($Z64*12.73)+'LINEST VARS'!$C$58*(4*0.5)+'LINEST VARS'!$B$58*(4*12.73)+'LINEST VARS'!$A$58*(0.5*12.73)</f>
        <v>0.94365000000000021</v>
      </c>
      <c r="AP64" s="51">
        <f>'LINEST VARS'!$U$58+'LINEST VARS'!$T$58*($AP$56)+'LINEST VARS'!$S$58*($Z64)+'LINEST VARS'!$R$58*(4)+'LINEST VARS'!$Q$58*(0.5)+'LINEST VARS'!$P$58*(12.73)+'LINEST VARS'!$O$58*($AP$56^2)+'LINEST VARS'!$N$58*($Z64^2)+'LINEST VARS'!$M$58*(4^2)+'LINEST VARS'!$L$58*(0.5^2)+'LINEST VARS'!$K$58*(12.73^2)+'LINEST VARS'!$J$58*($AP$56*$Z64)+'LINEST VARS'!$I$58*($AP$56*4)+'LINEST VARS'!$H$58*($AP$56*0.5)+'LINEST VARS'!$G$58*($AP$56*12.73)+'LINEST VARS'!$F$58*($Z64*4)+'LINEST VARS'!$E$58*($Z64*0.5)+'LINEST VARS'!$D$58*($Z64*12.73)+'LINEST VARS'!$C$58*(4*0.5)+'LINEST VARS'!$B$58*(4*12.73)+'LINEST VARS'!$A$58*(0.5*12.73)</f>
        <v>0.94365000000000021</v>
      </c>
      <c r="AQ64" s="51">
        <f>'LINEST VARS'!$U$58+'LINEST VARS'!$T$58*($AQ$56)+'LINEST VARS'!$S$58*($Z64)+'LINEST VARS'!$R$58*(4)+'LINEST VARS'!$Q$58*(0.5)+'LINEST VARS'!$P$58*(12.73)+'LINEST VARS'!$O$58*($AQ$56^2)+'LINEST VARS'!$N$58*($Z64^2)+'LINEST VARS'!$M$58*(4^2)+'LINEST VARS'!$L$58*(0.5^2)+'LINEST VARS'!$K$58*(12.73^2)+'LINEST VARS'!$J$58*($AQ$56*$Z64)+'LINEST VARS'!$I$58*($AQ$56*4)+'LINEST VARS'!$H$58*($AQ$56*0.5)+'LINEST VARS'!$G$58*($AQ$56*12.73)+'LINEST VARS'!$F$58*($Z64*4)+'LINEST VARS'!$E$58*($Z64*0.5)+'LINEST VARS'!$D$58*($Z64*12.73)+'LINEST VARS'!$C$58*(4*0.5)+'LINEST VARS'!$B$58*(4*12.73)+'LINEST VARS'!$A$58*(0.5*12.73)</f>
        <v>0.94365000000000021</v>
      </c>
      <c r="AR64" s="51">
        <f>'LINEST VARS'!$U$58+'LINEST VARS'!$T$58*($AR$56)+'LINEST VARS'!$S$58*($Z64)+'LINEST VARS'!$R$58*(4)+'LINEST VARS'!$Q$58*(0.5)+'LINEST VARS'!$P$58*(12.73)+'LINEST VARS'!$O$58*($AR$56^2)+'LINEST VARS'!$N$58*($Z64^2)+'LINEST VARS'!$M$58*(4^2)+'LINEST VARS'!$L$58*(0.5^2)+'LINEST VARS'!$K$58*(12.73^2)+'LINEST VARS'!$J$58*($AR$56*$Z64)+'LINEST VARS'!$I$58*($AR$56*4)+'LINEST VARS'!$H$58*($AR$56*0.5)+'LINEST VARS'!$G$58*($AR$56*12.73)+'LINEST VARS'!$F$58*($Z64*4)+'LINEST VARS'!$E$58*($Z64*0.5)+'LINEST VARS'!$D$58*($Z64*12.73)+'LINEST VARS'!$C$58*(4*0.5)+'LINEST VARS'!$B$58*(4*12.73)+'LINEST VARS'!$A$58*(0.5*12.73)</f>
        <v>0.94365000000000021</v>
      </c>
      <c r="AS64" s="51">
        <f>'LINEST VARS'!$U$58+'LINEST VARS'!$T$58*($AS$56)+'LINEST VARS'!$S$58*($Z64)+'LINEST VARS'!$R$58*(4)+'LINEST VARS'!$Q$58*(0.5)+'LINEST VARS'!$P$58*(12.73)+'LINEST VARS'!$O$58*($AS$56^2)+'LINEST VARS'!$N$58*($Z64^2)+'LINEST VARS'!$M$58*(4^2)+'LINEST VARS'!$L$58*(0.5^2)+'LINEST VARS'!$K$58*(12.73^2)+'LINEST VARS'!$J$58*($AS$56*$Z64)+'LINEST VARS'!$I$58*($AS$56*4)+'LINEST VARS'!$H$58*($AS$56*0.5)+'LINEST VARS'!$G$58*($AS$56*12.73)+'LINEST VARS'!$F$58*($Z64*4)+'LINEST VARS'!$E$58*($Z64*0.5)+'LINEST VARS'!$D$58*($Z64*12.73)+'LINEST VARS'!$C$58*(4*0.5)+'LINEST VARS'!$B$58*(4*12.73)+'LINEST VARS'!$A$58*(0.5*12.73)</f>
        <v>0.94365000000000021</v>
      </c>
      <c r="AT64" s="51">
        <f>'LINEST VARS'!$U$58+'LINEST VARS'!$T$58*($AT$56)+'LINEST VARS'!$S$58*($Z64)+'LINEST VARS'!$R$58*(4)+'LINEST VARS'!$Q$58*(0.5)+'LINEST VARS'!$P$58*(12.73)+'LINEST VARS'!$O$58*($AT$56^2)+'LINEST VARS'!$N$58*($Z64^2)+'LINEST VARS'!$M$58*(4^2)+'LINEST VARS'!$L$58*(0.5^2)+'LINEST VARS'!$K$58*(12.73^2)+'LINEST VARS'!$J$58*($AT$56*$Z64)+'LINEST VARS'!$I$58*($AT$56*4)+'LINEST VARS'!$H$58*($AT$56*0.5)+'LINEST VARS'!$G$58*($AT$56*12.73)+'LINEST VARS'!$F$58*($Z64*4)+'LINEST VARS'!$E$58*($Z64*0.5)+'LINEST VARS'!$D$58*($Z64*12.73)+'LINEST VARS'!$C$58*(4*0.5)+'LINEST VARS'!$B$58*(4*12.73)+'LINEST VARS'!$A$58*(0.5*12.73)</f>
        <v>0.94365000000000021</v>
      </c>
      <c r="AU64" s="52">
        <f>'LINEST VARS'!$U$58+'LINEST VARS'!$T$58*($AU$56)+'LINEST VARS'!$S$58*($Z64)+'LINEST VARS'!$R$58*(4)+'LINEST VARS'!$Q$58*(0.5)+'LINEST VARS'!$P$58*(12.73)+'LINEST VARS'!$O$58*($AU$56^2)+'LINEST VARS'!$N$58*($Z64^2)+'LINEST VARS'!$M$58*(4^2)+'LINEST VARS'!$L$58*(0.5^2)+'LINEST VARS'!$K$58*(12.73^2)+'LINEST VARS'!$J$58*($AU$56*$Z64)+'LINEST VARS'!$I$58*($AU$56*4)+'LINEST VARS'!$H$58*($AU$56*0.5)+'LINEST VARS'!$G$58*($AU$56*12.73)+'LINEST VARS'!$F$58*($Z64*4)+'LINEST VARS'!$E$58*($Z64*0.5)+'LINEST VARS'!$D$58*($Z64*12.73)+'LINEST VARS'!$C$58*(4*0.5)+'LINEST VARS'!$B$58*(4*12.73)+'LINEST VARS'!$A$58*(0.5*12.73)</f>
        <v>0.9436500000000001</v>
      </c>
      <c r="AZ64" s="45">
        <v>0.35</v>
      </c>
      <c r="BA64" s="51">
        <f>'LINEST VARS'!$U$56+'LINEST VARS'!$T$56*(8)+'LINEST VARS'!$S$56*(8)+'LINEST VARS'!$R$56*($BA$56)+'LINEST VARS'!$Q$56*($AZ64)+'LINEST VARS'!$P$56*(12.73)+'LINEST VARS'!$O$56*(8^2)+'LINEST VARS'!$N$56*(8^2)+'LINEST VARS'!$M$56*($BA$56^2)+'LINEST VARS'!$L$56*($AZ64^2)+'LINEST VARS'!$K$56*(12.73^2)+'LINEST VARS'!$J$56*(8*8)+'LINEST VARS'!$I$56*(8*$BA$56)+'LINEST VARS'!$H$56*(8*$AZ64)+'LINEST VARS'!$G$56*(8*12.73)+'LINEST VARS'!$F$56*(8*$BA$56)+'LINEST VARS'!$E$56*(8*$AZ64)+'LINEST VARS'!$D$56*(8*12.73)+'LINEST VARS'!$C$56*($BA$56*$AZ64)+'LINEST VARS'!$B$56*($BA$56*12.73)+'LINEST VARS'!$A$56*($AZ64*12.73)</f>
        <v>2.8000000000000016</v>
      </c>
      <c r="BB64" s="51">
        <f>'LINEST VARS'!$U$56+'LINEST VARS'!$T$56*(8)+'LINEST VARS'!$S$56*(8)+'LINEST VARS'!$R$56*($BB$56)+'LINEST VARS'!$Q$56*($AZ64)+'LINEST VARS'!$P$56*(12.73)+'LINEST VARS'!$O$56*(8^2)+'LINEST VARS'!$N$56*(8^2)+'LINEST VARS'!$M$56*($BB$56^2)+'LINEST VARS'!$L$56*($AZ64^2)+'LINEST VARS'!$K$56*(12.73^2)+'LINEST VARS'!$J$56*(8*8)+'LINEST VARS'!$I$56*(8*$BB$56)+'LINEST VARS'!$H$56*(8*$AZ64)+'LINEST VARS'!$G$56*(8*12.73)+'LINEST VARS'!$F$56*(8*$BB$56)+'LINEST VARS'!$E$56*(8*$AZ64)+'LINEST VARS'!$D$56*(8*12.73)+'LINEST VARS'!$C$56*($BB$56*$AZ64)+'LINEST VARS'!$B$56*($BB$56*12.73)+'LINEST VARS'!$A$56*($AZ64*12.73)</f>
        <v>2.8184000000000018</v>
      </c>
      <c r="BC64" s="51">
        <f>'LINEST VARS'!$U$56+'LINEST VARS'!$T$56*(8)+'LINEST VARS'!$S$56*(8)+'LINEST VARS'!$R$56*($BC$56)+'LINEST VARS'!$Q$56*($AZ64)+'LINEST VARS'!$P$56*(12.73)+'LINEST VARS'!$O$56*(8^2)+'LINEST VARS'!$N$56*(8^2)+'LINEST VARS'!$M$56*($BC$56^2)+'LINEST VARS'!$L$56*($AZ64^2)+'LINEST VARS'!$K$56*(12.73^2)+'LINEST VARS'!$J$56*(8*8)+'LINEST VARS'!$I$56*(8*$BC$56)+'LINEST VARS'!$H$56*(8*$AZ64)+'LINEST VARS'!$G$56*(8*12.73)+'LINEST VARS'!$F$56*(8*$BC$56)+'LINEST VARS'!$E$56*(8*$AZ64)+'LINEST VARS'!$D$56*(8*12.73)+'LINEST VARS'!$C$56*($BC$56*$AZ64)+'LINEST VARS'!$B$56*($BC$56*12.73)+'LINEST VARS'!$A$56*($AZ64*12.73)</f>
        <v>2.8336000000000015</v>
      </c>
      <c r="BD64" s="51">
        <f>'LINEST VARS'!$U$56+'LINEST VARS'!$T$56*(8)+'LINEST VARS'!$S$56*(8)+'LINEST VARS'!$R$56*($BD$56)+'LINEST VARS'!$Q$56*($AZ64)+'LINEST VARS'!$P$56*(12.73)+'LINEST VARS'!$O$56*(8^2)+'LINEST VARS'!$N$56*(8^2)+'LINEST VARS'!$M$56*($BD$56^2)+'LINEST VARS'!$L$56*($AZ64^2)+'LINEST VARS'!$K$56*(12.73^2)+'LINEST VARS'!$J$56*(8*8)+'LINEST VARS'!$I$56*(8*$BD$56)+'LINEST VARS'!$H$56*(8*$AZ64)+'LINEST VARS'!$G$56*(8*12.73)+'LINEST VARS'!$F$56*(8*$BD$56)+'LINEST VARS'!$E$56*(8*$AZ64)+'LINEST VARS'!$D$56*(8*12.73)+'LINEST VARS'!$C$56*($BD$56*$AZ64)+'LINEST VARS'!$B$56*($BD$56*12.73)+'LINEST VARS'!$A$56*($AZ64*12.73)</f>
        <v>2.8456000000000015</v>
      </c>
      <c r="BE64" s="51">
        <f>'LINEST VARS'!$U$56+'LINEST VARS'!$T$56*(8)+'LINEST VARS'!$S$56*(8)+'LINEST VARS'!$R$56*($BE$56)+'LINEST VARS'!$Q$56*($AZ64)+'LINEST VARS'!$P$56*(12.73)+'LINEST VARS'!$O$56*(8^2)+'LINEST VARS'!$N$56*(8^2)+'LINEST VARS'!$M$56*($BE$56^2)+'LINEST VARS'!$L$56*($AZ64^2)+'LINEST VARS'!$K$56*(12.73^2)+'LINEST VARS'!$J$56*(8*8)+'LINEST VARS'!$I$56*(8*$BE$56)+'LINEST VARS'!$H$56*(8*$AZ64)+'LINEST VARS'!$G$56*(8*12.73)+'LINEST VARS'!$F$56*(8*$BE$56)+'LINEST VARS'!$E$56*(8*$AZ64)+'LINEST VARS'!$D$56*(8*12.73)+'LINEST VARS'!$C$56*($BE$56*$AZ64)+'LINEST VARS'!$B$56*($BE$56*12.73)+'LINEST VARS'!$A$56*($AZ64*12.73)</f>
        <v>2.8544000000000018</v>
      </c>
      <c r="BF64" s="51">
        <f>'LINEST VARS'!$U$56+'LINEST VARS'!$T$56*(8)+'LINEST VARS'!$S$56*(8)+'LINEST VARS'!$R$56*($BF$56)+'LINEST VARS'!$Q$56*($AZ64)+'LINEST VARS'!$P$56*(12.73)+'LINEST VARS'!$O$56*(8^2)+'LINEST VARS'!$N$56*(8^2)+'LINEST VARS'!$M$56*($BF$56^2)+'LINEST VARS'!$L$56*($AZ64^2)+'LINEST VARS'!$K$56*(12.73^2)+'LINEST VARS'!$J$56*(8*8)+'LINEST VARS'!$I$56*(8*$BF$56)+'LINEST VARS'!$H$56*(8*$AZ64)+'LINEST VARS'!$G$56*(8*12.73)+'LINEST VARS'!$F$56*(8*$BF$56)+'LINEST VARS'!$E$56*(8*$AZ64)+'LINEST VARS'!$D$56*(8*12.73)+'LINEST VARS'!$C$56*($BF$56*$AZ64)+'LINEST VARS'!$B$56*($BF$56*12.73)+'LINEST VARS'!$A$56*($AZ64*12.73)</f>
        <v>2.8600000000000017</v>
      </c>
      <c r="BG64" s="51">
        <f>'LINEST VARS'!$U$56+'LINEST VARS'!$T$56*(8)+'LINEST VARS'!$S$56*(8)+'LINEST VARS'!$R$56*($BG$56)+'LINEST VARS'!$Q$56*($AZ64)+'LINEST VARS'!$P$56*(12.73)+'LINEST VARS'!$O$56*(8^2)+'LINEST VARS'!$N$56*(8^2)+'LINEST VARS'!$M$56*($BG$56^2)+'LINEST VARS'!$L$56*($AZ64^2)+'LINEST VARS'!$K$56*(12.73^2)+'LINEST VARS'!$J$56*(8*8)+'LINEST VARS'!$I$56*(8*$BG$56)+'LINEST VARS'!$H$56*(8*$AZ64)+'LINEST VARS'!$G$56*(8*12.73)+'LINEST VARS'!$F$56*(8*$BG$56)+'LINEST VARS'!$E$56*(8*$AZ64)+'LINEST VARS'!$D$56*(8*12.73)+'LINEST VARS'!$C$56*($BG$56*$AZ64)+'LINEST VARS'!$B$56*($BG$56*12.73)+'LINEST VARS'!$A$56*($AZ64*12.73)</f>
        <v>2.8624000000000018</v>
      </c>
      <c r="BH64" s="51">
        <f>'LINEST VARS'!$U$56+'LINEST VARS'!$T$56*(8)+'LINEST VARS'!$S$56*(8)+'LINEST VARS'!$R$56*($BH$56)+'LINEST VARS'!$Q$56*($AZ64)+'LINEST VARS'!$P$56*(12.73)+'LINEST VARS'!$O$56*(8^2)+'LINEST VARS'!$N$56*(8^2)+'LINEST VARS'!$M$56*($BH$56^2)+'LINEST VARS'!$L$56*($AZ64^2)+'LINEST VARS'!$K$56*(12.73^2)+'LINEST VARS'!$J$56*(8*8)+'LINEST VARS'!$I$56*(8*$BH$56)+'LINEST VARS'!$H$56*(8*$AZ64)+'LINEST VARS'!$G$56*(8*12.73)+'LINEST VARS'!$F$56*(8*$BH$56)+'LINEST VARS'!$E$56*(8*$AZ64)+'LINEST VARS'!$D$56*(8*12.73)+'LINEST VARS'!$C$56*($BH$56*$AZ64)+'LINEST VARS'!$B$56*($BH$56*12.73)+'LINEST VARS'!$A$56*($AZ64*12.73)</f>
        <v>2.8616000000000015</v>
      </c>
      <c r="BI64" s="51">
        <f>'LINEST VARS'!$U$56+'LINEST VARS'!$T$56*(8)+'LINEST VARS'!$S$56*(8)+'LINEST VARS'!$R$56*($BI$56)+'LINEST VARS'!$Q$56*($AZ64)+'LINEST VARS'!$P$56*(12.73)+'LINEST VARS'!$O$56*(8^2)+'LINEST VARS'!$N$56*(8^2)+'LINEST VARS'!$M$56*($BI$56^2)+'LINEST VARS'!$L$56*($AZ64^2)+'LINEST VARS'!$K$56*(12.73^2)+'LINEST VARS'!$J$56*(8*8)+'LINEST VARS'!$I$56*(8*$BI$56)+'LINEST VARS'!$H$56*(8*$AZ64)+'LINEST VARS'!$G$56*(8*12.73)+'LINEST VARS'!$F$56*(8*$BI$56)+'LINEST VARS'!$E$56*(8*$AZ64)+'LINEST VARS'!$D$56*(8*12.73)+'LINEST VARS'!$C$56*($BI$56*$AZ64)+'LINEST VARS'!$B$56*($BI$56*12.73)+'LINEST VARS'!$A$56*($AZ64*12.73)</f>
        <v>2.8576000000000015</v>
      </c>
      <c r="BJ64" s="51">
        <f>'LINEST VARS'!$U$56+'LINEST VARS'!$T$56*(8)+'LINEST VARS'!$S$56*(8)+'LINEST VARS'!$R$56*($BJ$56)+'LINEST VARS'!$Q$56*($AZ64)+'LINEST VARS'!$P$56*(12.73)+'LINEST VARS'!$O$56*(8^2)+'LINEST VARS'!$N$56*(8^2)+'LINEST VARS'!$M$56*($BJ$56^2)+'LINEST VARS'!$L$56*($AZ64^2)+'LINEST VARS'!$K$56*(12.73^2)+'LINEST VARS'!$J$56*(8*8)+'LINEST VARS'!$I$56*(8*$BJ$56)+'LINEST VARS'!$H$56*(8*$AZ64)+'LINEST VARS'!$G$56*(8*12.73)+'LINEST VARS'!$F$56*(8*$BJ$56)+'LINEST VARS'!$E$56*(8*$AZ64)+'LINEST VARS'!$D$56*(8*12.73)+'LINEST VARS'!$C$56*($BJ$56*$AZ64)+'LINEST VARS'!$B$56*($BJ$56*12.73)+'LINEST VARS'!$A$56*($AZ64*12.73)</f>
        <v>2.8504000000000018</v>
      </c>
      <c r="BK64" s="51">
        <f>'LINEST VARS'!$U$56+'LINEST VARS'!$T$56*(8)+'LINEST VARS'!$S$56*(8)+'LINEST VARS'!$R$56*($BK$56)+'LINEST VARS'!$Q$56*($AZ64)+'LINEST VARS'!$P$56*(12.73)+'LINEST VARS'!$O$56*(8^2)+'LINEST VARS'!$N$56*(8^2)+'LINEST VARS'!$M$56*($BK$56^2)+'LINEST VARS'!$L$56*($AZ64^2)+'LINEST VARS'!$K$56*(12.73^2)+'LINEST VARS'!$J$56*(8*8)+'LINEST VARS'!$I$56*(8*$BK$56)+'LINEST VARS'!$H$56*(8*$AZ64)+'LINEST VARS'!$G$56*(8*12.73)+'LINEST VARS'!$F$56*(8*$BK$56)+'LINEST VARS'!$E$56*(8*$AZ64)+'LINEST VARS'!$D$56*(8*12.73)+'LINEST VARS'!$C$56*($BK$56*$AZ64)+'LINEST VARS'!$B$56*($BK$56*12.73)+'LINEST VARS'!$A$56*($AZ64*12.73)</f>
        <v>2.8400000000000016</v>
      </c>
      <c r="BL64" s="51">
        <f>'LINEST VARS'!$U$56+'LINEST VARS'!$T$56*(8)+'LINEST VARS'!$S$56*(8)+'LINEST VARS'!$R$56*($BL$56)+'LINEST VARS'!$Q$56*($AZ64)+'LINEST VARS'!$P$56*(12.73)+'LINEST VARS'!$O$56*(8^2)+'LINEST VARS'!$N$56*(8^2)+'LINEST VARS'!$M$56*($BL$56^2)+'LINEST VARS'!$L$56*($AZ64^2)+'LINEST VARS'!$K$56*(12.73^2)+'LINEST VARS'!$J$56*(8*8)+'LINEST VARS'!$I$56*(8*$BL$56)+'LINEST VARS'!$H$56*(8*$AZ64)+'LINEST VARS'!$G$56*(8*12.73)+'LINEST VARS'!$F$56*(8*$BL$56)+'LINEST VARS'!$E$56*(8*$AZ64)+'LINEST VARS'!$D$56*(8*12.73)+'LINEST VARS'!$C$56*($BL$56*$AZ64)+'LINEST VARS'!$B$56*($BL$56*12.73)+'LINEST VARS'!$A$56*($AZ64*12.73)</f>
        <v>2.8264000000000018</v>
      </c>
      <c r="BM64" s="51">
        <f>'LINEST VARS'!$U$56+'LINEST VARS'!$T$56*(8)+'LINEST VARS'!$S$56*(8)+'LINEST VARS'!$R$56*($BM$56)+'LINEST VARS'!$Q$56*($AZ64)+'LINEST VARS'!$P$56*(12.73)+'LINEST VARS'!$O$56*(8^2)+'LINEST VARS'!$N$56*(8^2)+'LINEST VARS'!$M$56*($BM$56^2)+'LINEST VARS'!$L$56*($AZ64^2)+'LINEST VARS'!$K$56*(12.73^2)+'LINEST VARS'!$J$56*(8*8)+'LINEST VARS'!$I$56*(8*$BM$56)+'LINEST VARS'!$H$56*(8*$AZ64)+'LINEST VARS'!$G$56*(8*12.73)+'LINEST VARS'!$F$56*(8*$BM$56)+'LINEST VARS'!$E$56*(8*$AZ64)+'LINEST VARS'!$D$56*(8*12.73)+'LINEST VARS'!$C$56*($BM$56*$AZ64)+'LINEST VARS'!$B$56*($BM$56*12.73)+'LINEST VARS'!$A$56*($AZ64*12.73)</f>
        <v>2.8096000000000014</v>
      </c>
      <c r="BN64" s="51">
        <f>'LINEST VARS'!$U$56+'LINEST VARS'!$T$56*(8)+'LINEST VARS'!$S$56*(8)+'LINEST VARS'!$R$56*($BN$56)+'LINEST VARS'!$Q$56*($AZ64)+'LINEST VARS'!$P$56*(12.73)+'LINEST VARS'!$O$56*(8^2)+'LINEST VARS'!$N$56*(8^2)+'LINEST VARS'!$M$56*($BN$56^2)+'LINEST VARS'!$L$56*($AZ64^2)+'LINEST VARS'!$K$56*(12.73^2)+'LINEST VARS'!$J$56*(8*8)+'LINEST VARS'!$I$56*(8*$BN$56)+'LINEST VARS'!$H$56*(8*$AZ64)+'LINEST VARS'!$G$56*(8*12.73)+'LINEST VARS'!$F$56*(8*$BN$56)+'LINEST VARS'!$E$56*(8*$AZ64)+'LINEST VARS'!$D$56*(8*12.73)+'LINEST VARS'!$C$56*($BN$56*$AZ64)+'LINEST VARS'!$B$56*($BN$56*12.73)+'LINEST VARS'!$A$56*($AZ64*12.73)</f>
        <v>2.7896000000000014</v>
      </c>
      <c r="BO64" s="51">
        <f>'LINEST VARS'!$U$56+'LINEST VARS'!$T$56*(8)+'LINEST VARS'!$S$56*(8)+'LINEST VARS'!$R$56*($BO$56)+'LINEST VARS'!$Q$56*($AZ64)+'LINEST VARS'!$P$56*(12.73)+'LINEST VARS'!$O$56*(8^2)+'LINEST VARS'!$N$56*(8^2)+'LINEST VARS'!$M$56*($BO$56^2)+'LINEST VARS'!$L$56*($AZ64^2)+'LINEST VARS'!$K$56*(12.73^2)+'LINEST VARS'!$J$56*(8*8)+'LINEST VARS'!$I$56*(8*$BO$56)+'LINEST VARS'!$H$56*(8*$AZ64)+'LINEST VARS'!$G$56*(8*12.73)+'LINEST VARS'!$F$56*(8*$BO$56)+'LINEST VARS'!$E$56*(8*$AZ64)+'LINEST VARS'!$D$56*(8*12.73)+'LINEST VARS'!$C$56*($BO$56*$AZ64)+'LINEST VARS'!$B$56*($BO$56*12.73)+'LINEST VARS'!$A$56*($AZ64*12.73)</f>
        <v>2.7664000000000017</v>
      </c>
      <c r="BP64" s="51">
        <f>'LINEST VARS'!$U$56+'LINEST VARS'!$T$56*(8)+'LINEST VARS'!$S$56*(8)+'LINEST VARS'!$R$56*($BP$56)+'LINEST VARS'!$Q$56*($AZ64)+'LINEST VARS'!$P$56*(12.73)+'LINEST VARS'!$O$56*(8^2)+'LINEST VARS'!$N$56*(8^2)+'LINEST VARS'!$M$56*($BP$56^2)+'LINEST VARS'!$L$56*($AZ64^2)+'LINEST VARS'!$K$56*(12.73^2)+'LINEST VARS'!$J$56*(8*8)+'LINEST VARS'!$I$56*(8*$BP$56)+'LINEST VARS'!$H$56*(8*$AZ64)+'LINEST VARS'!$G$56*(8*12.73)+'LINEST VARS'!$F$56*(8*$BP$56)+'LINEST VARS'!$E$56*(8*$AZ64)+'LINEST VARS'!$D$56*(8*12.73)+'LINEST VARS'!$C$56*($BP$56*$AZ64)+'LINEST VARS'!$B$56*($BP$56*12.73)+'LINEST VARS'!$A$56*($AZ64*12.73)</f>
        <v>2.7400000000000015</v>
      </c>
      <c r="BQ64" s="51">
        <f>'LINEST VARS'!$U$56+'LINEST VARS'!$T$56*(8)+'LINEST VARS'!$S$56*(8)+'LINEST VARS'!$R$56*($BQ$56)+'LINEST VARS'!$Q$56*($AZ64)+'LINEST VARS'!$P$56*(12.73)+'LINEST VARS'!$O$56*(8^2)+'LINEST VARS'!$N$56*(8^2)+'LINEST VARS'!$M$56*($BQ$56^2)+'LINEST VARS'!$L$56*($AZ64^2)+'LINEST VARS'!$K$56*(12.73^2)+'LINEST VARS'!$J$56*(8*8)+'LINEST VARS'!$I$56*(8*$BQ$56)+'LINEST VARS'!$H$56*(8*$AZ64)+'LINEST VARS'!$G$56*(8*12.73)+'LINEST VARS'!$F$56*(8*$BQ$56)+'LINEST VARS'!$E$56*(8*$AZ64)+'LINEST VARS'!$D$56*(8*12.73)+'LINEST VARS'!$C$56*($BQ$56*$AZ64)+'LINEST VARS'!$B$56*($BQ$56*12.73)+'LINEST VARS'!$A$56*($AZ64*12.73)</f>
        <v>2.7104000000000013</v>
      </c>
      <c r="BR64" s="51">
        <f>'LINEST VARS'!$U$56+'LINEST VARS'!$T$56*(8)+'LINEST VARS'!$S$56*(8)+'LINEST VARS'!$R$56*($BR$56)+'LINEST VARS'!$Q$56*($AZ64)+'LINEST VARS'!$P$56*(12.73)+'LINEST VARS'!$O$56*(8^2)+'LINEST VARS'!$N$56*(8^2)+'LINEST VARS'!$M$56*($BR$56^2)+'LINEST VARS'!$L$56*($AZ64^2)+'LINEST VARS'!$K$56*(12.73^2)+'LINEST VARS'!$J$56*(8*8)+'LINEST VARS'!$I$56*(8*$BR$56)+'LINEST VARS'!$H$56*(8*$AZ64)+'LINEST VARS'!$G$56*(8*12.73)+'LINEST VARS'!$F$56*(8*$BR$56)+'LINEST VARS'!$E$56*(8*$AZ64)+'LINEST VARS'!$D$56*(8*12.73)+'LINEST VARS'!$C$56*($BR$56*$AZ64)+'LINEST VARS'!$B$56*($BR$56*12.73)+'LINEST VARS'!$A$56*($AZ64*12.73)</f>
        <v>2.6776000000000013</v>
      </c>
      <c r="BS64" s="51">
        <f>'LINEST VARS'!$U$56+'LINEST VARS'!$T$56*(8)+'LINEST VARS'!$S$56*(8)+'LINEST VARS'!$R$56*($BS$56)+'LINEST VARS'!$Q$56*($AZ64)+'LINEST VARS'!$P$56*(12.73)+'LINEST VARS'!$O$56*(8^2)+'LINEST VARS'!$N$56*(8^2)+'LINEST VARS'!$M$56*($BS$56^2)+'LINEST VARS'!$L$56*($AZ64^2)+'LINEST VARS'!$K$56*(12.73^2)+'LINEST VARS'!$J$56*(8*8)+'LINEST VARS'!$I$56*(8*$BS$56)+'LINEST VARS'!$H$56*(8*$AZ64)+'LINEST VARS'!$G$56*(8*12.73)+'LINEST VARS'!$F$56*(8*$BS$56)+'LINEST VARS'!$E$56*(8*$AZ64)+'LINEST VARS'!$D$56*(8*12.73)+'LINEST VARS'!$C$56*($BS$56*$AZ64)+'LINEST VARS'!$B$56*($BS$56*12.73)+'LINEST VARS'!$A$56*($AZ64*12.73)</f>
        <v>2.6416000000000013</v>
      </c>
      <c r="BT64" s="51">
        <f>'LINEST VARS'!$U$56+'LINEST VARS'!$T$56*(8)+'LINEST VARS'!$S$56*(8)+'LINEST VARS'!$R$56*($BT$56)+'LINEST VARS'!$Q$56*($AZ64)+'LINEST VARS'!$P$56*(12.73)+'LINEST VARS'!$O$56*(8^2)+'LINEST VARS'!$N$56*(8^2)+'LINEST VARS'!$M$56*($BT$56^2)+'LINEST VARS'!$L$56*($AZ64^2)+'LINEST VARS'!$K$56*(12.73^2)+'LINEST VARS'!$J$56*(8*8)+'LINEST VARS'!$I$56*(8*$BT$56)+'LINEST VARS'!$H$56*(8*$AZ64)+'LINEST VARS'!$G$56*(8*12.73)+'LINEST VARS'!$F$56*(8*$BT$56)+'LINEST VARS'!$E$56*(8*$AZ64)+'LINEST VARS'!$D$56*(8*12.73)+'LINEST VARS'!$C$56*($BT$56*$AZ64)+'LINEST VARS'!$B$56*($BT$56*12.73)+'LINEST VARS'!$A$56*($AZ64*12.73)</f>
        <v>2.6024000000000016</v>
      </c>
      <c r="BU64" s="52">
        <f>'LINEST VARS'!$U$56+'LINEST VARS'!$T$56*(8)+'LINEST VARS'!$S$56*(8)+'LINEST VARS'!$R$56*($BU$56)+'LINEST VARS'!$Q$56*($AZ64)+'LINEST VARS'!$P$56*(12.73)+'LINEST VARS'!$O$56*(8^2)+'LINEST VARS'!$N$56*(8^2)+'LINEST VARS'!$M$56*($BU$56^2)+'LINEST VARS'!$L$56*($AZ64^2)+'LINEST VARS'!$K$56*(12.73^2)+'LINEST VARS'!$J$56*(8*8)+'LINEST VARS'!$I$56*(8*$BU$56)+'LINEST VARS'!$H$56*(8*$AZ64)+'LINEST VARS'!$G$56*(8*12.73)+'LINEST VARS'!$F$56*(8*$BU$56)+'LINEST VARS'!$E$56*(8*$AZ64)+'LINEST VARS'!$D$56*(8*12.73)+'LINEST VARS'!$C$56*($BU$56*$AZ64)+'LINEST VARS'!$B$56*($BU$56*12.73)+'LINEST VARS'!$A$56*($AZ64*12.73)</f>
        <v>2.5600000000000014</v>
      </c>
      <c r="BX64" s="45">
        <v>0.35</v>
      </c>
      <c r="BY64" s="51">
        <f>'LINEST VARS'!$U$58+'LINEST VARS'!$T$58*(8)+'LINEST VARS'!$S$58*(8)+'LINEST VARS'!$R$58*($BY$56)+'LINEST VARS'!$Q$58*($BX64)+'LINEST VARS'!$P$58*(12.73)+'LINEST VARS'!$O$58*(8^2)+'LINEST VARS'!$N$58*(8^2)+'LINEST VARS'!$M$58*($BY$56^2)+'LINEST VARS'!$L$58*($BX64^2)+'LINEST VARS'!$K$58*(12.73^2)+'LINEST VARS'!$J$58*(8*8)+'LINEST VARS'!$I$58*(8*$BY$56)+'LINEST VARS'!$H$58*(8*$BX64)+'LINEST VARS'!$G$58*(8*12.73)+'LINEST VARS'!$F$58*(8*$BY$56)+'LINEST VARS'!$E$58*(8*$BX64)+'LINEST VARS'!$D$58*(8*12.73)+'LINEST VARS'!$C$58*($BY$56*$BX64)+'LINEST VARS'!$B$58*($BY$56*12.73)+'LINEST VARS'!$A$58*($BX64*12.73)</f>
        <v>0.86365000000000036</v>
      </c>
      <c r="BZ64" s="51">
        <f>'LINEST VARS'!$U$58+'LINEST VARS'!$T$58*(8)+'LINEST VARS'!$S$58*(8)+'LINEST VARS'!$R$58*($BZ$56)+'LINEST VARS'!$Q$58*($BX64)+'LINEST VARS'!$P$58*(12.73)+'LINEST VARS'!$O$58*(8^2)+'LINEST VARS'!$N$58*(8^2)+'LINEST VARS'!$M$58*($BZ$56^2)+'LINEST VARS'!$L$58*($BX64^2)+'LINEST VARS'!$K$58*(12.73^2)+'LINEST VARS'!$J$58*(8*8)+'LINEST VARS'!$I$58*(8*$BZ$56)+'LINEST VARS'!$H$58*(8*$BX64)+'LINEST VARS'!$G$58*(8*12.73)+'LINEST VARS'!$F$58*(8*$BZ$56)+'LINEST VARS'!$E$58*(8*$BX64)+'LINEST VARS'!$D$58*(8*12.73)+'LINEST VARS'!$C$58*($BZ$56*$BX64)+'LINEST VARS'!$B$58*($BZ$56*12.73)+'LINEST VARS'!$A$58*($BX64*12.73)</f>
        <v>0.87165000000000037</v>
      </c>
      <c r="CA64" s="51">
        <f>'LINEST VARS'!$U$58+'LINEST VARS'!$T$58*(8)+'LINEST VARS'!$S$58*(8)+'LINEST VARS'!$R$58*($CA$56)+'LINEST VARS'!$Q$58*($BX64)+'LINEST VARS'!$P$58*(12.73)+'LINEST VARS'!$O$58*(8^2)+'LINEST VARS'!$N$58*(8^2)+'LINEST VARS'!$M$58*($CA$56^2)+'LINEST VARS'!$L$58*($BX64^2)+'LINEST VARS'!$K$58*(12.73^2)+'LINEST VARS'!$J$58*(8*8)+'LINEST VARS'!$I$58*(8*$CA$56)+'LINEST VARS'!$H$58*(8*$BX64)+'LINEST VARS'!$G$58*(8*12.73)+'LINEST VARS'!$F$58*(8*$CA$56)+'LINEST VARS'!$E$58*(8*$BX64)+'LINEST VARS'!$D$58*(8*12.73)+'LINEST VARS'!$C$58*($CA$56*$BX64)+'LINEST VARS'!$B$58*($CA$56*12.73)+'LINEST VARS'!$A$58*($BX64*12.73)</f>
        <v>0.87965000000000027</v>
      </c>
      <c r="CB64" s="51">
        <f>'LINEST VARS'!$U$58+'LINEST VARS'!$T$58*(8)+'LINEST VARS'!$S$58*(8)+'LINEST VARS'!$R$58*($CB$56)+'LINEST VARS'!$Q$58*($BX64)+'LINEST VARS'!$P$58*(12.73)+'LINEST VARS'!$O$58*(8^2)+'LINEST VARS'!$N$58*(8^2)+'LINEST VARS'!$M$58*($CB$56^2)+'LINEST VARS'!$L$58*($BX64^2)+'LINEST VARS'!$K$58*(12.73^2)+'LINEST VARS'!$J$58*(8*8)+'LINEST VARS'!$I$58*(8*$CB$56)+'LINEST VARS'!$H$58*(8*$BX64)+'LINEST VARS'!$G$58*(8*12.73)+'LINEST VARS'!$F$58*(8*$CB$56)+'LINEST VARS'!$E$58*(8*$BX64)+'LINEST VARS'!$D$58*(8*12.73)+'LINEST VARS'!$C$58*($CB$56*$BX64)+'LINEST VARS'!$B$58*($CB$56*12.73)+'LINEST VARS'!$A$58*($BX64*12.73)</f>
        <v>0.88765000000000027</v>
      </c>
      <c r="CC64" s="51">
        <f>'LINEST VARS'!$U$58+'LINEST VARS'!$T$58*(8)+'LINEST VARS'!$S$58*(8)+'LINEST VARS'!$R$58*($CC$56)+'LINEST VARS'!$Q$58*($BX64)+'LINEST VARS'!$P$58*(12.73)+'LINEST VARS'!$O$58*(8^2)+'LINEST VARS'!$N$58*(8^2)+'LINEST VARS'!$M$58*($CC$56^2)+'LINEST VARS'!$L$58*($BX64^2)+'LINEST VARS'!$K$58*(12.73^2)+'LINEST VARS'!$J$58*(8*8)+'LINEST VARS'!$I$58*(8*$CC$56)+'LINEST VARS'!$H$58*(8*$BX64)+'LINEST VARS'!$G$58*(8*12.73)+'LINEST VARS'!$F$58*(8*$CC$56)+'LINEST VARS'!$E$58*(8*$BX64)+'LINEST VARS'!$D$58*(8*12.73)+'LINEST VARS'!$C$58*($CC$56*$BX64)+'LINEST VARS'!$B$58*($CC$56*12.73)+'LINEST VARS'!$A$58*($BX64*12.73)</f>
        <v>0.89565000000000017</v>
      </c>
      <c r="CD64" s="51">
        <f>'LINEST VARS'!$U$58+'LINEST VARS'!$T$58*(8)+'LINEST VARS'!$S$58*(8)+'LINEST VARS'!$R$58*($CD$56)+'LINEST VARS'!$Q$58*($BX64)+'LINEST VARS'!$P$58*(12.73)+'LINEST VARS'!$O$58*(8^2)+'LINEST VARS'!$N$58*(8^2)+'LINEST VARS'!$M$58*($CD$56^2)+'LINEST VARS'!$L$58*($BX64^2)+'LINEST VARS'!$K$58*(12.73^2)+'LINEST VARS'!$J$58*(8*8)+'LINEST VARS'!$I$58*(8*$CD$56)+'LINEST VARS'!$H$58*(8*$BX64)+'LINEST VARS'!$G$58*(8*12.73)+'LINEST VARS'!$F$58*(8*$CD$56)+'LINEST VARS'!$E$58*(8*$BX64)+'LINEST VARS'!$D$58*(8*12.73)+'LINEST VARS'!$C$58*($CD$56*$BX64)+'LINEST VARS'!$B$58*($CD$56*12.73)+'LINEST VARS'!$A$58*($BX64*12.73)</f>
        <v>0.90365000000000029</v>
      </c>
      <c r="CE64" s="51">
        <f>'LINEST VARS'!$U$58+'LINEST VARS'!$T$58*(8)+'LINEST VARS'!$S$58*(8)+'LINEST VARS'!$R$58*($CE$56)+'LINEST VARS'!$Q$58*($BX64)+'LINEST VARS'!$P$58*(12.73)+'LINEST VARS'!$O$58*(8^2)+'LINEST VARS'!$N$58*(8^2)+'LINEST VARS'!$M$58*($CE$56^2)+'LINEST VARS'!$L$58*($BX64^2)+'LINEST VARS'!$K$58*(12.73^2)+'LINEST VARS'!$J$58*(8*8)+'LINEST VARS'!$I$58*(8*$CE$56)+'LINEST VARS'!$H$58*(8*$BX64)+'LINEST VARS'!$G$58*(8*12.73)+'LINEST VARS'!$F$58*(8*$CE$56)+'LINEST VARS'!$E$58*(8*$BX64)+'LINEST VARS'!$D$58*(8*12.73)+'LINEST VARS'!$C$58*($CE$56*$BX64)+'LINEST VARS'!$B$58*($CE$56*12.73)+'LINEST VARS'!$A$58*($BX64*12.73)</f>
        <v>0.91165000000000029</v>
      </c>
      <c r="CF64" s="51">
        <f>'LINEST VARS'!$U$58+'LINEST VARS'!$T$58*(8)+'LINEST VARS'!$S$58*(8)+'LINEST VARS'!$R$58*($CF$56)+'LINEST VARS'!$Q$58*($BX64)+'LINEST VARS'!$P$58*(12.73)+'LINEST VARS'!$O$58*(8^2)+'LINEST VARS'!$N$58*(8^2)+'LINEST VARS'!$M$58*($CF$56^2)+'LINEST VARS'!$L$58*($BX64^2)+'LINEST VARS'!$K$58*(12.73^2)+'LINEST VARS'!$J$58*(8*8)+'LINEST VARS'!$I$58*(8*$CF$56)+'LINEST VARS'!$H$58*(8*$BX64)+'LINEST VARS'!$G$58*(8*12.73)+'LINEST VARS'!$F$58*(8*$CF$56)+'LINEST VARS'!$E$58*(8*$BX64)+'LINEST VARS'!$D$58*(8*12.73)+'LINEST VARS'!$C$58*($CF$56*$BX64)+'LINEST VARS'!$B$58*($CF$56*12.73)+'LINEST VARS'!$A$58*($BX64*12.73)</f>
        <v>0.9196500000000003</v>
      </c>
      <c r="CG64" s="51">
        <f>'LINEST VARS'!$U$58+'LINEST VARS'!$T$58*(8)+'LINEST VARS'!$S$58*(8)+'LINEST VARS'!$R$58*($CG$56)+'LINEST VARS'!$Q$58*($BX64)+'LINEST VARS'!$P$58*(12.73)+'LINEST VARS'!$O$58*(8^2)+'LINEST VARS'!$N$58*(8^2)+'LINEST VARS'!$M$58*($CG$56^2)+'LINEST VARS'!$L$58*($BX64^2)+'LINEST VARS'!$K$58*(12.73^2)+'LINEST VARS'!$J$58*(8*8)+'LINEST VARS'!$I$58*(8*$CG$56)+'LINEST VARS'!$H$58*(8*$BX64)+'LINEST VARS'!$G$58*(8*12.73)+'LINEST VARS'!$F$58*(8*$CG$56)+'LINEST VARS'!$E$58*(8*$BX64)+'LINEST VARS'!$D$58*(8*12.73)+'LINEST VARS'!$C$58*($CG$56*$BX64)+'LINEST VARS'!$B$58*($CG$56*12.73)+'LINEST VARS'!$A$58*($BX64*12.73)</f>
        <v>0.92765000000000042</v>
      </c>
      <c r="CH64" s="51">
        <f>'LINEST VARS'!$U$58+'LINEST VARS'!$T$58*(8)+'LINEST VARS'!$S$58*(8)+'LINEST VARS'!$R$58*($CH$56)+'LINEST VARS'!$Q$58*($BX64)+'LINEST VARS'!$P$58*(12.73)+'LINEST VARS'!$O$58*(8^2)+'LINEST VARS'!$N$58*(8^2)+'LINEST VARS'!$M$58*($CH$56^2)+'LINEST VARS'!$L$58*($BX64^2)+'LINEST VARS'!$K$58*(12.73^2)+'LINEST VARS'!$J$58*(8*8)+'LINEST VARS'!$I$58*(8*$CH$56)+'LINEST VARS'!$H$58*(8*$BX64)+'LINEST VARS'!$G$58*(8*12.73)+'LINEST VARS'!$F$58*(8*$CH$56)+'LINEST VARS'!$E$58*(8*$BX64)+'LINEST VARS'!$D$58*(8*12.73)+'LINEST VARS'!$C$58*($CH$56*$BX64)+'LINEST VARS'!$B$58*($CH$56*12.73)+'LINEST VARS'!$A$58*($BX64*12.73)</f>
        <v>0.93565000000000031</v>
      </c>
      <c r="CI64" s="51">
        <f>'LINEST VARS'!$U$58+'LINEST VARS'!$T$58*(8)+'LINEST VARS'!$S$58*(8)+'LINEST VARS'!$R$58*($CI$56)+'LINEST VARS'!$Q$58*($BX64)+'LINEST VARS'!$P$58*(12.73)+'LINEST VARS'!$O$58*(8^2)+'LINEST VARS'!$N$58*(8^2)+'LINEST VARS'!$M$58*($CI$56^2)+'LINEST VARS'!$L$58*($BX64^2)+'LINEST VARS'!$K$58*(12.73^2)+'LINEST VARS'!$J$58*(8*8)+'LINEST VARS'!$I$58*(8*$CI$56)+'LINEST VARS'!$H$58*(8*$BX64)+'LINEST VARS'!$G$58*(8*12.73)+'LINEST VARS'!$F$58*(8*$CI$56)+'LINEST VARS'!$E$58*(8*$BX64)+'LINEST VARS'!$D$58*(8*12.73)+'LINEST VARS'!$C$58*($CI$56*$BX64)+'LINEST VARS'!$B$58*($CI$56*12.73)+'LINEST VARS'!$A$58*($BX64*12.73)</f>
        <v>0.94365000000000032</v>
      </c>
      <c r="CJ64" s="51">
        <f>'LINEST VARS'!$U$58+'LINEST VARS'!$T$58*(8)+'LINEST VARS'!$S$58*(8)+'LINEST VARS'!$R$58*($CJ$56)+'LINEST VARS'!$Q$58*($BX64)+'LINEST VARS'!$P$58*(12.73)+'LINEST VARS'!$O$58*(8^2)+'LINEST VARS'!$N$58*(8^2)+'LINEST VARS'!$M$58*($CJ$56^2)+'LINEST VARS'!$L$58*($BX64^2)+'LINEST VARS'!$K$58*(12.73^2)+'LINEST VARS'!$J$58*(8*8)+'LINEST VARS'!$I$58*(8*$CJ$56)+'LINEST VARS'!$H$58*(8*$BX64)+'LINEST VARS'!$G$58*(8*12.73)+'LINEST VARS'!$F$58*(8*$CJ$56)+'LINEST VARS'!$E$58*(8*$BX64)+'LINEST VARS'!$D$58*(8*12.73)+'LINEST VARS'!$C$58*($CJ$56*$BX64)+'LINEST VARS'!$B$58*($CJ$56*12.73)+'LINEST VARS'!$A$58*($BX64*12.73)</f>
        <v>0.95165000000000022</v>
      </c>
      <c r="CK64" s="51">
        <f>'LINEST VARS'!$U$58+'LINEST VARS'!$T$58*(8)+'LINEST VARS'!$S$58*(8)+'LINEST VARS'!$R$58*($CK$56)+'LINEST VARS'!$Q$58*($BX64)+'LINEST VARS'!$P$58*(12.73)+'LINEST VARS'!$O$58*(8^2)+'LINEST VARS'!$N$58*(8^2)+'LINEST VARS'!$M$58*($CK$56^2)+'LINEST VARS'!$L$58*($BX64^2)+'LINEST VARS'!$K$58*(12.73^2)+'LINEST VARS'!$J$58*(8*8)+'LINEST VARS'!$I$58*(8*$CK$56)+'LINEST VARS'!$H$58*(8*$BX64)+'LINEST VARS'!$G$58*(8*12.73)+'LINEST VARS'!$F$58*(8*$CK$56)+'LINEST VARS'!$E$58*(8*$BX64)+'LINEST VARS'!$D$58*(8*12.73)+'LINEST VARS'!$C$58*($CK$56*$BX64)+'LINEST VARS'!$B$58*($CK$56*12.73)+'LINEST VARS'!$A$58*($BX64*12.73)</f>
        <v>0.95965000000000023</v>
      </c>
      <c r="CL64" s="51">
        <f>'LINEST VARS'!$U$58+'LINEST VARS'!$T$58*(8)+'LINEST VARS'!$S$58*(8)+'LINEST VARS'!$R$58*($CL$56)+'LINEST VARS'!$Q$58*($BX64)+'LINEST VARS'!$P$58*(12.73)+'LINEST VARS'!$O$58*(8^2)+'LINEST VARS'!$N$58*(8^2)+'LINEST VARS'!$M$58*($CL$56^2)+'LINEST VARS'!$L$58*($BX64^2)+'LINEST VARS'!$K$58*(12.73^2)+'LINEST VARS'!$J$58*(8*8)+'LINEST VARS'!$I$58*(8*$CL$56)+'LINEST VARS'!$H$58*(8*$BX64)+'LINEST VARS'!$G$58*(8*12.73)+'LINEST VARS'!$F$58*(8*$CL$56)+'LINEST VARS'!$E$58*(8*$BX64)+'LINEST VARS'!$D$58*(8*12.73)+'LINEST VARS'!$C$58*($CL$56*$BX64)+'LINEST VARS'!$B$58*($CL$56*12.73)+'LINEST VARS'!$A$58*($BX64*12.73)</f>
        <v>0.96765000000000012</v>
      </c>
      <c r="CM64" s="51">
        <f>'LINEST VARS'!$U$58+'LINEST VARS'!$T$58*(8)+'LINEST VARS'!$S$58*(8)+'LINEST VARS'!$R$58*($CM$56)+'LINEST VARS'!$Q$58*($BX64)+'LINEST VARS'!$P$58*(12.73)+'LINEST VARS'!$O$58*(8^2)+'LINEST VARS'!$N$58*(8^2)+'LINEST VARS'!$M$58*($CM$56^2)+'LINEST VARS'!$L$58*($BX64^2)+'LINEST VARS'!$K$58*(12.73^2)+'LINEST VARS'!$J$58*(8*8)+'LINEST VARS'!$I$58*(8*$CM$56)+'LINEST VARS'!$H$58*(8*$BX64)+'LINEST VARS'!$G$58*(8*12.73)+'LINEST VARS'!$F$58*(8*$CM$56)+'LINEST VARS'!$E$58*(8*$BX64)+'LINEST VARS'!$D$58*(8*12.73)+'LINEST VARS'!$C$58*($CM$56*$BX64)+'LINEST VARS'!$B$58*($CM$56*12.73)+'LINEST VARS'!$A$58*($BX64*12.73)</f>
        <v>0.97565000000000024</v>
      </c>
      <c r="CN64" s="51">
        <f>'LINEST VARS'!$U$58+'LINEST VARS'!$T$58*(8)+'LINEST VARS'!$S$58*(8)+'LINEST VARS'!$R$58*($CN$56)+'LINEST VARS'!$Q$58*($BX64)+'LINEST VARS'!$P$58*(12.73)+'LINEST VARS'!$O$58*(8^2)+'LINEST VARS'!$N$58*(8^2)+'LINEST VARS'!$M$58*($CN$56^2)+'LINEST VARS'!$L$58*($BX64^2)+'LINEST VARS'!$K$58*(12.73^2)+'LINEST VARS'!$J$58*(8*8)+'LINEST VARS'!$I$58*(8*$CN$56)+'LINEST VARS'!$H$58*(8*$BX64)+'LINEST VARS'!$G$58*(8*12.73)+'LINEST VARS'!$F$58*(8*$CN$56)+'LINEST VARS'!$E$58*(8*$BX64)+'LINEST VARS'!$D$58*(8*12.73)+'LINEST VARS'!$C$58*($CN$56*$BX64)+'LINEST VARS'!$B$58*($CN$56*12.73)+'LINEST VARS'!$A$58*($BX64*12.73)</f>
        <v>0.98365000000000025</v>
      </c>
      <c r="CO64" s="51">
        <f>'LINEST VARS'!$U$58+'LINEST VARS'!$T$58*(8)+'LINEST VARS'!$S$58*(8)+'LINEST VARS'!$R$58*($CO$56)+'LINEST VARS'!$Q$58*($BX64)+'LINEST VARS'!$P$58*(12.73)+'LINEST VARS'!$O$58*(8^2)+'LINEST VARS'!$N$58*(8^2)+'LINEST VARS'!$M$58*($CO$56^2)+'LINEST VARS'!$L$58*($BX64^2)+'LINEST VARS'!$K$58*(12.73^2)+'LINEST VARS'!$J$58*(8*8)+'LINEST VARS'!$I$58*(8*$CO$56)+'LINEST VARS'!$H$58*(8*$BX64)+'LINEST VARS'!$G$58*(8*12.73)+'LINEST VARS'!$F$58*(8*$CO$56)+'LINEST VARS'!$E$58*(8*$BX64)+'LINEST VARS'!$D$58*(8*12.73)+'LINEST VARS'!$C$58*($CO$56*$BX64)+'LINEST VARS'!$B$58*($CO$56*12.73)+'LINEST VARS'!$A$58*($BX64*12.73)</f>
        <v>0.99165000000000036</v>
      </c>
      <c r="CP64" s="51">
        <f>'LINEST VARS'!$U$58+'LINEST VARS'!$T$58*(8)+'LINEST VARS'!$S$58*(8)+'LINEST VARS'!$R$58*($CP$56)+'LINEST VARS'!$Q$58*($BX64)+'LINEST VARS'!$P$58*(12.73)+'LINEST VARS'!$O$58*(8^2)+'LINEST VARS'!$N$58*(8^2)+'LINEST VARS'!$M$58*($CP$56^2)+'LINEST VARS'!$L$58*($BX64^2)+'LINEST VARS'!$K$58*(12.73^2)+'LINEST VARS'!$J$58*(8*8)+'LINEST VARS'!$I$58*(8*$CP$56)+'LINEST VARS'!$H$58*(8*$BX64)+'LINEST VARS'!$G$58*(8*12.73)+'LINEST VARS'!$F$58*(8*$CP$56)+'LINEST VARS'!$E$58*(8*$BX64)+'LINEST VARS'!$D$58*(8*12.73)+'LINEST VARS'!$C$58*($CP$56*$BX64)+'LINEST VARS'!$B$58*($CP$56*12.73)+'LINEST VARS'!$A$58*($BX64*12.73)</f>
        <v>0.99965000000000037</v>
      </c>
      <c r="CQ64" s="51">
        <f>'LINEST VARS'!$U$58+'LINEST VARS'!$T$58*(8)+'LINEST VARS'!$S$58*(8)+'LINEST VARS'!$R$58*($CQ$56)+'LINEST VARS'!$Q$58*($BX64)+'LINEST VARS'!$P$58*(12.73)+'LINEST VARS'!$O$58*(8^2)+'LINEST VARS'!$N$58*(8^2)+'LINEST VARS'!$M$58*($CQ$56^2)+'LINEST VARS'!$L$58*($BX64^2)+'LINEST VARS'!$K$58*(12.73^2)+'LINEST VARS'!$J$58*(8*8)+'LINEST VARS'!$I$58*(8*$CQ$56)+'LINEST VARS'!$H$58*(8*$BX64)+'LINEST VARS'!$G$58*(8*12.73)+'LINEST VARS'!$F$58*(8*$CQ$56)+'LINEST VARS'!$E$58*(8*$BX64)+'LINEST VARS'!$D$58*(8*12.73)+'LINEST VARS'!$C$58*($CQ$56*$BX64)+'LINEST VARS'!$B$58*($CQ$56*12.73)+'LINEST VARS'!$A$58*($BX64*12.73)</f>
        <v>1.0076500000000002</v>
      </c>
      <c r="CR64" s="51">
        <f>'LINEST VARS'!$U$58+'LINEST VARS'!$T$58*(8)+'LINEST VARS'!$S$58*(8)+'LINEST VARS'!$R$58*($CR$56)+'LINEST VARS'!$Q$58*($BX64)+'LINEST VARS'!$P$58*(12.73)+'LINEST VARS'!$O$58*(8^2)+'LINEST VARS'!$N$58*(8^2)+'LINEST VARS'!$M$58*($CR$56^2)+'LINEST VARS'!$L$58*($BX64^2)+'LINEST VARS'!$K$58*(12.73^2)+'LINEST VARS'!$J$58*(8*8)+'LINEST VARS'!$I$58*(8*$CR$56)+'LINEST VARS'!$H$58*(8*$BX64)+'LINEST VARS'!$G$58*(8*12.73)+'LINEST VARS'!$F$58*(8*$CR$56)+'LINEST VARS'!$E$58*(8*$BX64)+'LINEST VARS'!$D$58*(8*12.73)+'LINEST VARS'!$C$58*($CR$56*$BX64)+'LINEST VARS'!$B$58*($CR$56*12.73)+'LINEST VARS'!$A$58*($BX64*12.73)</f>
        <v>1.0156499999999999</v>
      </c>
      <c r="CS64" s="52">
        <f>'LINEST VARS'!$U$58+'LINEST VARS'!$T$58*(8)+'LINEST VARS'!$S$58*(8)+'LINEST VARS'!$R$58*($CS$56)+'LINEST VARS'!$Q$58*($BX64)+'LINEST VARS'!$P$58*(12.73)+'LINEST VARS'!$O$58*(8^2)+'LINEST VARS'!$N$58*(8^2)+'LINEST VARS'!$M$58*($CS$56^2)+'LINEST VARS'!$L$58*($BX64^2)+'LINEST VARS'!$K$58*(12.73^2)+'LINEST VARS'!$J$58*(8*8)+'LINEST VARS'!$I$58*(8*$CS$56)+'LINEST VARS'!$H$58*(8*$BX64)+'LINEST VARS'!$G$58*(8*12.73)+'LINEST VARS'!$F$58*(8*$CS$56)+'LINEST VARS'!$E$58*(8*$BX64)+'LINEST VARS'!$D$58*(8*12.73)+'LINEST VARS'!$C$58*($CS$56*$BX64)+'LINEST VARS'!$B$58*($CS$56*12.73)+'LINEST VARS'!$A$58*($BX64*12.73)</f>
        <v>1.0236500000000002</v>
      </c>
      <c r="CX64" s="45">
        <v>9.0965000000000007</v>
      </c>
      <c r="CY64" s="51">
        <f>'LINEST VARS'!$U$56+'LINEST VARS'!$T$56*(8)+'LINEST VARS'!$S$56*(8)+'LINEST VARS'!$R$56*($CY$56)+'LINEST VARS'!$Q$56*(0.5)+'LINEST VARS'!$P$56*($CX64)+'LINEST VARS'!$O$56*(8^2)+'LINEST VARS'!$N$56*(8^2)+'LINEST VARS'!$M$56*($CY$56^2)+'LINEST VARS'!$L$56*(0.5^2)+'LINEST VARS'!$K$56*($CX64^2)+'LINEST VARS'!$J$56*(8*8)+'LINEST VARS'!$I$56*(8*$CY$56)+'LINEST VARS'!$H$56*(8*0.5)+'LINEST VARS'!$G$56*(8*$CX64)+'LINEST VARS'!$F$56*(8*$CY$56)+'LINEST VARS'!$E$56*(8*0.5)+'LINEST VARS'!$D$56*(8*$CX64)+'LINEST VARS'!$C$56*($CY$56*0.5)+'LINEST VARS'!$B$56*($CY$56*$CX64)+'LINEST VARS'!$A$56*(0.5*$CX64)</f>
        <v>2.8000000000000007</v>
      </c>
      <c r="CZ64" s="51">
        <f>'LINEST VARS'!$U$56+'LINEST VARS'!$T$56*(8)+'LINEST VARS'!$S$56*(8)+'LINEST VARS'!$R$56*($CZ$56)+'LINEST VARS'!$Q$56*(0.5)+'LINEST VARS'!$P$56*($CX64)+'LINEST VARS'!$O$56*(8^2)+'LINEST VARS'!$N$56*(8^2)+'LINEST VARS'!$M$56*($CZ$56^2)+'LINEST VARS'!$L$56*(0.5^2)+'LINEST VARS'!$K$56*($CX64^2)+'LINEST VARS'!$J$56*(8*8)+'LINEST VARS'!$I$56*(8*$CZ$56)+'LINEST VARS'!$H$56*(8*0.5)+'LINEST VARS'!$G$56*(8*$CX64)+'LINEST VARS'!$F$56*(8*$CZ$56)+'LINEST VARS'!$E$56*(8*0.5)+'LINEST VARS'!$D$56*(8*$CX64)+'LINEST VARS'!$C$56*($CZ$56*0.5)+'LINEST VARS'!$B$56*($CZ$56*$CX64)+'LINEST VARS'!$A$56*(0.5*$CX64)</f>
        <v>2.8184000000000009</v>
      </c>
      <c r="DA64" s="51">
        <f>'LINEST VARS'!$U$56+'LINEST VARS'!$T$56*(8)+'LINEST VARS'!$S$56*(8)+'LINEST VARS'!$R$56*($DA$56)+'LINEST VARS'!$Q$56*(0.5)+'LINEST VARS'!$P$56*($CX64)+'LINEST VARS'!$O$56*(8^2)+'LINEST VARS'!$N$56*(8^2)+'LINEST VARS'!$M$56*($DA$56^2)+'LINEST VARS'!$L$56*(0.5^2)+'LINEST VARS'!$K$56*($CX64^2)+'LINEST VARS'!$J$56*(8*8)+'LINEST VARS'!$I$56*(8*$DA$56)+'LINEST VARS'!$H$56*(8*0.5)+'LINEST VARS'!$G$56*(8*$CX64)+'LINEST VARS'!$F$56*(8*$DA$56)+'LINEST VARS'!$E$56*(8*0.5)+'LINEST VARS'!$D$56*(8*$CX64)+'LINEST VARS'!$C$56*($DA$56*0.5)+'LINEST VARS'!$B$56*($DA$56*$CX64)+'LINEST VARS'!$A$56*(0.5*$CX64)</f>
        <v>2.8336000000000006</v>
      </c>
      <c r="DB64" s="51">
        <f>'LINEST VARS'!$U$56+'LINEST VARS'!$T$56*(8)+'LINEST VARS'!$S$56*(8)+'LINEST VARS'!$R$56*($DB$56)+'LINEST VARS'!$Q$56*(0.5)+'LINEST VARS'!$P$56*($CX64)+'LINEST VARS'!$O$56*(8^2)+'LINEST VARS'!$N$56*(8^2)+'LINEST VARS'!$M$56*($DB$56^2)+'LINEST VARS'!$L$56*(0.5^2)+'LINEST VARS'!$K$56*($CX64^2)+'LINEST VARS'!$J$56*(8*8)+'LINEST VARS'!$I$56*(8*$DB$56)+'LINEST VARS'!$H$56*(8*0.5)+'LINEST VARS'!$G$56*(8*$CX64)+'LINEST VARS'!$F$56*(8*$DB$56)+'LINEST VARS'!$E$56*(8*0.5)+'LINEST VARS'!$D$56*(8*$CX64)+'LINEST VARS'!$C$56*($DB$56*0.5)+'LINEST VARS'!$B$56*($DB$56*$CX64)+'LINEST VARS'!$A$56*(0.5*$CX64)</f>
        <v>2.8456000000000006</v>
      </c>
      <c r="DC64" s="51">
        <f>'LINEST VARS'!$U$56+'LINEST VARS'!$T$56*(8)+'LINEST VARS'!$S$56*(8)+'LINEST VARS'!$R$56*($DC$56)+'LINEST VARS'!$Q$56*(0.5)+'LINEST VARS'!$P$56*($CX64)+'LINEST VARS'!$O$56*(8^2)+'LINEST VARS'!$N$56*(8^2)+'LINEST VARS'!$M$56*($DC$56^2)+'LINEST VARS'!$L$56*(0.5^2)+'LINEST VARS'!$K$56*($CX64^2)+'LINEST VARS'!$J$56*(8*8)+'LINEST VARS'!$I$56*(8*$DC$56)+'LINEST VARS'!$H$56*(8*0.5)+'LINEST VARS'!$G$56*(8*$CX64)+'LINEST VARS'!$F$56*(8*$DC$56)+'LINEST VARS'!$E$56*(8*0.5)+'LINEST VARS'!$D$56*(8*$CX64)+'LINEST VARS'!$C$56*($DC$56*0.5)+'LINEST VARS'!$B$56*($DC$56*$CX64)+'LINEST VARS'!$A$56*(0.5*$CX64)</f>
        <v>2.8544000000000009</v>
      </c>
      <c r="DD64" s="51">
        <f>'LINEST VARS'!$U$56+'LINEST VARS'!$T$56*(8)+'LINEST VARS'!$S$56*(8)+'LINEST VARS'!$R$56*($DD$56)+'LINEST VARS'!$Q$56*(0.5)+'LINEST VARS'!$P$56*($CX64)+'LINEST VARS'!$O$56*(8^2)+'LINEST VARS'!$N$56*(8^2)+'LINEST VARS'!$M$56*($DD$56^2)+'LINEST VARS'!$L$56*(0.5^2)+'LINEST VARS'!$K$56*($CX64^2)+'LINEST VARS'!$J$56*(8*8)+'LINEST VARS'!$I$56*(8*$DD$56)+'LINEST VARS'!$H$56*(8*0.5)+'LINEST VARS'!$G$56*(8*$CX64)+'LINEST VARS'!$F$56*(8*$DD$56)+'LINEST VARS'!$E$56*(8*0.5)+'LINEST VARS'!$D$56*(8*$CX64)+'LINEST VARS'!$C$56*($DD$56*0.5)+'LINEST VARS'!$B$56*($DD$56*$CX64)+'LINEST VARS'!$A$56*(0.5*$CX64)</f>
        <v>2.8600000000000008</v>
      </c>
      <c r="DE64" s="51">
        <f>'LINEST VARS'!$U$56+'LINEST VARS'!$T$56*(8)+'LINEST VARS'!$S$56*(8)+'LINEST VARS'!$R$56*($DE$56)+'LINEST VARS'!$Q$56*(0.5)+'LINEST VARS'!$P$56*($CX64)+'LINEST VARS'!$O$56*(8^2)+'LINEST VARS'!$N$56*(8^2)+'LINEST VARS'!$M$56*($DE$56^2)+'LINEST VARS'!$L$56*(0.5^2)+'LINEST VARS'!$K$56*($CX64^2)+'LINEST VARS'!$J$56*(8*8)+'LINEST VARS'!$I$56*(8*$DE$56)+'LINEST VARS'!$H$56*(8*0.5)+'LINEST VARS'!$G$56*(8*$CX64)+'LINEST VARS'!$F$56*(8*$DE$56)+'LINEST VARS'!$E$56*(8*0.5)+'LINEST VARS'!$D$56*(8*$CX64)+'LINEST VARS'!$C$56*($DE$56*0.5)+'LINEST VARS'!$B$56*($DE$56*$CX64)+'LINEST VARS'!$A$56*(0.5*$CX64)</f>
        <v>2.8624000000000009</v>
      </c>
      <c r="DF64" s="51">
        <f>'LINEST VARS'!$U$56+'LINEST VARS'!$T$56*(8)+'LINEST VARS'!$S$56*(8)+'LINEST VARS'!$R$56*($DF$56)+'LINEST VARS'!$Q$56*(0.5)+'LINEST VARS'!$P$56*($CX64)+'LINEST VARS'!$O$56*(8^2)+'LINEST VARS'!$N$56*(8^2)+'LINEST VARS'!$M$56*($DF$56^2)+'LINEST VARS'!$L$56*(0.5^2)+'LINEST VARS'!$K$56*($CX64^2)+'LINEST VARS'!$J$56*(8*8)+'LINEST VARS'!$I$56*(8*$DF$56)+'LINEST VARS'!$H$56*(8*0.5)+'LINEST VARS'!$G$56*(8*$CX64)+'LINEST VARS'!$F$56*(8*$DF$56)+'LINEST VARS'!$E$56*(8*0.5)+'LINEST VARS'!$D$56*(8*$CX64)+'LINEST VARS'!$C$56*($DF$56*0.5)+'LINEST VARS'!$B$56*($DF$56*$CX64)+'LINEST VARS'!$A$56*(0.5*$CX64)</f>
        <v>2.8616000000000006</v>
      </c>
      <c r="DG64" s="51">
        <f>'LINEST VARS'!$U$56+'LINEST VARS'!$T$56*(8)+'LINEST VARS'!$S$56*(8)+'LINEST VARS'!$R$56*($DG$56)+'LINEST VARS'!$Q$56*(0.5)+'LINEST VARS'!$P$56*($CX64)+'LINEST VARS'!$O$56*(8^2)+'LINEST VARS'!$N$56*(8^2)+'LINEST VARS'!$M$56*($DG$56^2)+'LINEST VARS'!$L$56*(0.5^2)+'LINEST VARS'!$K$56*($CX64^2)+'LINEST VARS'!$J$56*(8*8)+'LINEST VARS'!$I$56*(8*$DG$56)+'LINEST VARS'!$H$56*(8*0.5)+'LINEST VARS'!$G$56*(8*$CX64)+'LINEST VARS'!$F$56*(8*$DG$56)+'LINEST VARS'!$E$56*(8*0.5)+'LINEST VARS'!$D$56*(8*$CX64)+'LINEST VARS'!$C$56*($DG$56*0.5)+'LINEST VARS'!$B$56*($DG$56*$CX64)+'LINEST VARS'!$A$56*(0.5*$CX64)</f>
        <v>2.8576000000000006</v>
      </c>
      <c r="DH64" s="51">
        <f>'LINEST VARS'!$U$56+'LINEST VARS'!$T$56*(8)+'LINEST VARS'!$S$56*(8)+'LINEST VARS'!$R$56*($DH$56)+'LINEST VARS'!$Q$56*(0.5)+'LINEST VARS'!$P$56*($CX64)+'LINEST VARS'!$O$56*(8^2)+'LINEST VARS'!$N$56*(8^2)+'LINEST VARS'!$M$56*($DH$56^2)+'LINEST VARS'!$L$56*(0.5^2)+'LINEST VARS'!$K$56*($CX64^2)+'LINEST VARS'!$J$56*(8*8)+'LINEST VARS'!$I$56*(8*$DH$56)+'LINEST VARS'!$H$56*(8*0.5)+'LINEST VARS'!$G$56*(8*$CX64)+'LINEST VARS'!$F$56*(8*$DH$56)+'LINEST VARS'!$E$56*(8*0.5)+'LINEST VARS'!$D$56*(8*$CX64)+'LINEST VARS'!$C$56*($DH$56*0.5)+'LINEST VARS'!$B$56*($DH$56*$CX64)+'LINEST VARS'!$A$56*(0.5*$CX64)</f>
        <v>2.8504000000000009</v>
      </c>
      <c r="DI64" s="51">
        <f>'LINEST VARS'!$U$56+'LINEST VARS'!$T$56*(8)+'LINEST VARS'!$S$56*(8)+'LINEST VARS'!$R$56*($DI$56)+'LINEST VARS'!$Q$56*(0.5)+'LINEST VARS'!$P$56*($CX64)+'LINEST VARS'!$O$56*(8^2)+'LINEST VARS'!$N$56*(8^2)+'LINEST VARS'!$M$56*($DI$56^2)+'LINEST VARS'!$L$56*(0.5^2)+'LINEST VARS'!$K$56*($CX64^2)+'LINEST VARS'!$J$56*(8*8)+'LINEST VARS'!$I$56*(8*$DI$56)+'LINEST VARS'!$H$56*(8*0.5)+'LINEST VARS'!$G$56*(8*$CX64)+'LINEST VARS'!$F$56*(8*$DI$56)+'LINEST VARS'!$E$56*(8*0.5)+'LINEST VARS'!$D$56*(8*$CX64)+'LINEST VARS'!$C$56*($DI$56*0.5)+'LINEST VARS'!$B$56*($DI$56*$CX64)+'LINEST VARS'!$A$56*(0.5*$CX64)</f>
        <v>2.8400000000000007</v>
      </c>
      <c r="DJ64" s="51">
        <f>'LINEST VARS'!$U$56+'LINEST VARS'!$T$56*(8)+'LINEST VARS'!$S$56*(8)+'LINEST VARS'!$R$56*($DJ$56)+'LINEST VARS'!$Q$56*(0.5)+'LINEST VARS'!$P$56*($CX64)+'LINEST VARS'!$O$56*(8^2)+'LINEST VARS'!$N$56*(8^2)+'LINEST VARS'!$M$56*($DJ$56^2)+'LINEST VARS'!$L$56*(0.5^2)+'LINEST VARS'!$K$56*($CX64^2)+'LINEST VARS'!$J$56*(8*8)+'LINEST VARS'!$I$56*(8*$DJ$56)+'LINEST VARS'!$H$56*(8*0.5)+'LINEST VARS'!$G$56*(8*$CX64)+'LINEST VARS'!$F$56*(8*$DJ$56)+'LINEST VARS'!$E$56*(8*0.5)+'LINEST VARS'!$D$56*(8*$CX64)+'LINEST VARS'!$C$56*($DJ$56*0.5)+'LINEST VARS'!$B$56*($DJ$56*$CX64)+'LINEST VARS'!$A$56*(0.5*$CX64)</f>
        <v>2.8264000000000009</v>
      </c>
      <c r="DK64" s="51">
        <f>'LINEST VARS'!$U$56+'LINEST VARS'!$T$56*(8)+'LINEST VARS'!$S$56*(8)+'LINEST VARS'!$R$56*($DK$56)+'LINEST VARS'!$Q$56*(0.5)+'LINEST VARS'!$P$56*($CX64)+'LINEST VARS'!$O$56*(8^2)+'LINEST VARS'!$N$56*(8^2)+'LINEST VARS'!$M$56*($DK$56^2)+'LINEST VARS'!$L$56*(0.5^2)+'LINEST VARS'!$K$56*($CX64^2)+'LINEST VARS'!$J$56*(8*8)+'LINEST VARS'!$I$56*(8*$DK$56)+'LINEST VARS'!$H$56*(8*0.5)+'LINEST VARS'!$G$56*(8*$CX64)+'LINEST VARS'!$F$56*(8*$DK$56)+'LINEST VARS'!$E$56*(8*0.5)+'LINEST VARS'!$D$56*(8*$CX64)+'LINEST VARS'!$C$56*($DK$56*0.5)+'LINEST VARS'!$B$56*($DK$56*$CX64)+'LINEST VARS'!$A$56*(0.5*$CX64)</f>
        <v>2.8096000000000005</v>
      </c>
      <c r="DL64" s="51">
        <f>'LINEST VARS'!$U$56+'LINEST VARS'!$T$56*(8)+'LINEST VARS'!$S$56*(8)+'LINEST VARS'!$R$56*($DL$56)+'LINEST VARS'!$Q$56*(0.5)+'LINEST VARS'!$P$56*($CX64)+'LINEST VARS'!$O$56*(8^2)+'LINEST VARS'!$N$56*(8^2)+'LINEST VARS'!$M$56*($DL$56^2)+'LINEST VARS'!$L$56*(0.5^2)+'LINEST VARS'!$K$56*($CX64^2)+'LINEST VARS'!$J$56*(8*8)+'LINEST VARS'!$I$56*(8*$DL$56)+'LINEST VARS'!$H$56*(8*0.5)+'LINEST VARS'!$G$56*(8*$CX64)+'LINEST VARS'!$F$56*(8*$DL$56)+'LINEST VARS'!$E$56*(8*0.5)+'LINEST VARS'!$D$56*(8*$CX64)+'LINEST VARS'!$C$56*($DL$56*0.5)+'LINEST VARS'!$B$56*($DL$56*$CX64)+'LINEST VARS'!$A$56*(0.5*$CX64)</f>
        <v>2.7896000000000005</v>
      </c>
      <c r="DM64" s="51">
        <f>'LINEST VARS'!$U$56+'LINEST VARS'!$T$56*(8)+'LINEST VARS'!$S$56*(8)+'LINEST VARS'!$R$56*($DM$56)+'LINEST VARS'!$Q$56*(0.5)+'LINEST VARS'!$P$56*($CX64)+'LINEST VARS'!$O$56*(8^2)+'LINEST VARS'!$N$56*(8^2)+'LINEST VARS'!$M$56*($DM$56^2)+'LINEST VARS'!$L$56*(0.5^2)+'LINEST VARS'!$K$56*($CX64^2)+'LINEST VARS'!$J$56*(8*8)+'LINEST VARS'!$I$56*(8*$DM$56)+'LINEST VARS'!$H$56*(8*0.5)+'LINEST VARS'!$G$56*(8*$CX64)+'LINEST VARS'!$F$56*(8*$DM$56)+'LINEST VARS'!$E$56*(8*0.5)+'LINEST VARS'!$D$56*(8*$CX64)+'LINEST VARS'!$C$56*($DM$56*0.5)+'LINEST VARS'!$B$56*($DM$56*$CX64)+'LINEST VARS'!$A$56*(0.5*$CX64)</f>
        <v>2.7664000000000009</v>
      </c>
      <c r="DN64" s="51">
        <f>'LINEST VARS'!$U$56+'LINEST VARS'!$T$56*(8)+'LINEST VARS'!$S$56*(8)+'LINEST VARS'!$R$56*($DN$56)+'LINEST VARS'!$Q$56*(0.5)+'LINEST VARS'!$P$56*($CX64)+'LINEST VARS'!$O$56*(8^2)+'LINEST VARS'!$N$56*(8^2)+'LINEST VARS'!$M$56*($DN$56^2)+'LINEST VARS'!$L$56*(0.5^2)+'LINEST VARS'!$K$56*($CX64^2)+'LINEST VARS'!$J$56*(8*8)+'LINEST VARS'!$I$56*(8*$DN$56)+'LINEST VARS'!$H$56*(8*0.5)+'LINEST VARS'!$G$56*(8*$CX64)+'LINEST VARS'!$F$56*(8*$DN$56)+'LINEST VARS'!$E$56*(8*0.5)+'LINEST VARS'!$D$56*(8*$CX64)+'LINEST VARS'!$C$56*($DN$56*0.5)+'LINEST VARS'!$B$56*($DN$56*$CX64)+'LINEST VARS'!$A$56*(0.5*$CX64)</f>
        <v>2.7400000000000007</v>
      </c>
      <c r="DO64" s="51">
        <f>'LINEST VARS'!$U$56+'LINEST VARS'!$T$56*(8)+'LINEST VARS'!$S$56*(8)+'LINEST VARS'!$R$56*($DO$56)+'LINEST VARS'!$Q$56*(0.5)+'LINEST VARS'!$P$56*($CX64)+'LINEST VARS'!$O$56*(8^2)+'LINEST VARS'!$N$56*(8^2)+'LINEST VARS'!$M$56*($DO$56^2)+'LINEST VARS'!$L$56*(0.5^2)+'LINEST VARS'!$K$56*($CX64^2)+'LINEST VARS'!$J$56*(8*8)+'LINEST VARS'!$I$56*(8*$DO$56)+'LINEST VARS'!$H$56*(8*0.5)+'LINEST VARS'!$G$56*(8*$CX64)+'LINEST VARS'!$F$56*(8*$DO$56)+'LINEST VARS'!$E$56*(8*0.5)+'LINEST VARS'!$D$56*(8*$CX64)+'LINEST VARS'!$C$56*($DO$56*0.5)+'LINEST VARS'!$B$56*($DO$56*$CX64)+'LINEST VARS'!$A$56*(0.5*$CX64)</f>
        <v>2.7104000000000004</v>
      </c>
      <c r="DP64" s="51">
        <f>'LINEST VARS'!$U$56+'LINEST VARS'!$T$56*(8)+'LINEST VARS'!$S$56*(8)+'LINEST VARS'!$R$56*($DP$56)+'LINEST VARS'!$Q$56*(0.5)+'LINEST VARS'!$P$56*($CX64)+'LINEST VARS'!$O$56*(8^2)+'LINEST VARS'!$N$56*(8^2)+'LINEST VARS'!$M$56*($DP$56^2)+'LINEST VARS'!$L$56*(0.5^2)+'LINEST VARS'!$K$56*($CX64^2)+'LINEST VARS'!$J$56*(8*8)+'LINEST VARS'!$I$56*(8*$DP$56)+'LINEST VARS'!$H$56*(8*0.5)+'LINEST VARS'!$G$56*(8*$CX64)+'LINEST VARS'!$F$56*(8*$DP$56)+'LINEST VARS'!$E$56*(8*0.5)+'LINEST VARS'!$D$56*(8*$CX64)+'LINEST VARS'!$C$56*($DP$56*0.5)+'LINEST VARS'!$B$56*($DP$56*$CX64)+'LINEST VARS'!$A$56*(0.5*$CX64)</f>
        <v>2.6776000000000004</v>
      </c>
      <c r="DQ64" s="51">
        <f>'LINEST VARS'!$U$56+'LINEST VARS'!$T$56*(8)+'LINEST VARS'!$S$56*(8)+'LINEST VARS'!$R$56*($DQ$56)+'LINEST VARS'!$Q$56*(0.5)+'LINEST VARS'!$P$56*($CX64)+'LINEST VARS'!$O$56*(8^2)+'LINEST VARS'!$N$56*(8^2)+'LINEST VARS'!$M$56*($DQ$56^2)+'LINEST VARS'!$L$56*(0.5^2)+'LINEST VARS'!$K$56*($CX64^2)+'LINEST VARS'!$J$56*(8*8)+'LINEST VARS'!$I$56*(8*$DQ$56)+'LINEST VARS'!$H$56*(8*0.5)+'LINEST VARS'!$G$56*(8*$CX64)+'LINEST VARS'!$F$56*(8*$DQ$56)+'LINEST VARS'!$E$56*(8*0.5)+'LINEST VARS'!$D$56*(8*$CX64)+'LINEST VARS'!$C$56*($DQ$56*0.5)+'LINEST VARS'!$B$56*($DQ$56*$CX64)+'LINEST VARS'!$A$56*(0.5*$CX64)</f>
        <v>2.6416000000000004</v>
      </c>
      <c r="DR64" s="51">
        <f>'LINEST VARS'!$U$56+'LINEST VARS'!$T$56*(8)+'LINEST VARS'!$S$56*(8)+'LINEST VARS'!$R$56*($DR$56)+'LINEST VARS'!$Q$56*(0.5)+'LINEST VARS'!$P$56*($CX64)+'LINEST VARS'!$O$56*(8^2)+'LINEST VARS'!$N$56*(8^2)+'LINEST VARS'!$M$56*($DR$56^2)+'LINEST VARS'!$L$56*(0.5^2)+'LINEST VARS'!$K$56*($CX64^2)+'LINEST VARS'!$J$56*(8*8)+'LINEST VARS'!$I$56*(8*$DR$56)+'LINEST VARS'!$H$56*(8*0.5)+'LINEST VARS'!$G$56*(8*$CX64)+'LINEST VARS'!$F$56*(8*$DR$56)+'LINEST VARS'!$E$56*(8*0.5)+'LINEST VARS'!$D$56*(8*$CX64)+'LINEST VARS'!$C$56*($DR$56*0.5)+'LINEST VARS'!$B$56*($DR$56*$CX64)+'LINEST VARS'!$A$56*(0.5*$CX64)</f>
        <v>2.6024000000000007</v>
      </c>
      <c r="DS64" s="52">
        <f>'LINEST VARS'!$U$56+'LINEST VARS'!$T$56*(8)+'LINEST VARS'!$S$56*(8)+'LINEST VARS'!$R$56*($DS$56)+'LINEST VARS'!$Q$56*(0.5)+'LINEST VARS'!$P$56*($CX64)+'LINEST VARS'!$O$56*(8^2)+'LINEST VARS'!$N$56*(8^2)+'LINEST VARS'!$M$56*($DS$56^2)+'LINEST VARS'!$L$56*(0.5^2)+'LINEST VARS'!$K$56*($CX64^2)+'LINEST VARS'!$J$56*(8*8)+'LINEST VARS'!$I$56*(8*$DS$56)+'LINEST VARS'!$H$56*(8*0.5)+'LINEST VARS'!$G$56*(8*$CX64)+'LINEST VARS'!$F$56*(8*$DS$56)+'LINEST VARS'!$E$56*(8*0.5)+'LINEST VARS'!$D$56*(8*$CX64)+'LINEST VARS'!$C$56*($DS$56*0.5)+'LINEST VARS'!$B$56*($DS$56*$CX64)+'LINEST VARS'!$A$56*(0.5*$CX64)</f>
        <v>2.5600000000000005</v>
      </c>
      <c r="DV64" s="45">
        <v>9.0965000000000007</v>
      </c>
      <c r="DW64" s="51">
        <f>'LINEST VARS'!$U$58+'LINEST VARS'!$T$58*(8)+'LINEST VARS'!$S$58*(8)+'LINEST VARS'!$R$58*($DW$56)+'LINEST VARS'!$Q$58*(0.5)+'LINEST VARS'!$P$58*($DV64)+'LINEST VARS'!$O$58*(8^2)+'LINEST VARS'!$N$58*(8^2)+'LINEST VARS'!$M$58*($DW$56^2)+'LINEST VARS'!$L$58*(0.5^2)+'LINEST VARS'!$K$58*($DV64^2)+'LINEST VARS'!$J$58*(8*8)+'LINEST VARS'!$I$58*(8*$DW$56)+'LINEST VARS'!$H$58*(8*0.5)+'LINEST VARS'!$G$58*(8*$DV64)+'LINEST VARS'!$F$58*(8*$DW$56)+'LINEST VARS'!$E$58*(8*0.5)+'LINEST VARS'!$D$58*(8*$DV64)+'LINEST VARS'!$C$58*($DW$56*0.5)+'LINEST VARS'!$B$58*($DW$56*$DV64)+'LINEST VARS'!$A$58*(0.5*$DV64)</f>
        <v>0.84548250000000036</v>
      </c>
      <c r="DX64" s="51">
        <f>'LINEST VARS'!$U$58+'LINEST VARS'!$T$58*(8)+'LINEST VARS'!$S$58*(8)+'LINEST VARS'!$R$58*($DX$56)+'LINEST VARS'!$Q$58*(0.5)+'LINEST VARS'!$P$58*($DV64)+'LINEST VARS'!$O$58*(8^2)+'LINEST VARS'!$N$58*(8^2)+'LINEST VARS'!$M$58*($DX$56^2)+'LINEST VARS'!$L$58*(0.5^2)+'LINEST VARS'!$K$58*($DV64^2)+'LINEST VARS'!$J$58*(8*8)+'LINEST VARS'!$I$58*(8*$DX$56)+'LINEST VARS'!$H$58*(8*0.5)+'LINEST VARS'!$G$58*(8*$DV64)+'LINEST VARS'!$F$58*(8*$DX$56)+'LINEST VARS'!$E$58*(8*0.5)+'LINEST VARS'!$D$58*(8*$DV64)+'LINEST VARS'!$C$58*($DX$56*0.5)+'LINEST VARS'!$B$58*($DX$56*$DV64)+'LINEST VARS'!$A$58*(0.5*$DV64)</f>
        <v>0.85348250000000037</v>
      </c>
      <c r="DY64" s="51">
        <f>'LINEST VARS'!$U$58+'LINEST VARS'!$T$58*(8)+'LINEST VARS'!$S$58*(8)+'LINEST VARS'!$R$58*($DY$56)+'LINEST VARS'!$Q$58*(0.5)+'LINEST VARS'!$P$58*($DV64)+'LINEST VARS'!$O$58*(8^2)+'LINEST VARS'!$N$58*(8^2)+'LINEST VARS'!$M$58*($DY$56^2)+'LINEST VARS'!$L$58*(0.5^2)+'LINEST VARS'!$K$58*($DV64^2)+'LINEST VARS'!$J$58*(8*8)+'LINEST VARS'!$I$58*(8*$DY$56)+'LINEST VARS'!$H$58*(8*0.5)+'LINEST VARS'!$G$58*(8*$DV64)+'LINEST VARS'!$F$58*(8*$DY$56)+'LINEST VARS'!$E$58*(8*0.5)+'LINEST VARS'!$D$58*(8*$DV64)+'LINEST VARS'!$C$58*($DY$56*0.5)+'LINEST VARS'!$B$58*($DY$56*$DV64)+'LINEST VARS'!$A$58*(0.5*$DV64)</f>
        <v>0.86148250000000026</v>
      </c>
      <c r="DZ64" s="51">
        <f>'LINEST VARS'!$U$58+'LINEST VARS'!$T$58*(8)+'LINEST VARS'!$S$58*(8)+'LINEST VARS'!$R$58*($DZ$56)+'LINEST VARS'!$Q$58*(0.5)+'LINEST VARS'!$P$58*($DV64)+'LINEST VARS'!$O$58*(8^2)+'LINEST VARS'!$N$58*(8^2)+'LINEST VARS'!$M$58*($DZ$56^2)+'LINEST VARS'!$L$58*(0.5^2)+'LINEST VARS'!$K$58*($DV64^2)+'LINEST VARS'!$J$58*(8*8)+'LINEST VARS'!$I$58*(8*$DZ$56)+'LINEST VARS'!$H$58*(8*0.5)+'LINEST VARS'!$G$58*(8*$DV64)+'LINEST VARS'!$F$58*(8*$DZ$56)+'LINEST VARS'!$E$58*(8*0.5)+'LINEST VARS'!$D$58*(8*$DV64)+'LINEST VARS'!$C$58*($DZ$56*0.5)+'LINEST VARS'!$B$58*($DZ$56*$DV64)+'LINEST VARS'!$A$58*(0.5*$DV64)</f>
        <v>0.86948250000000027</v>
      </c>
      <c r="EA64" s="51">
        <f>'LINEST VARS'!$U$58+'LINEST VARS'!$T$58*(8)+'LINEST VARS'!$S$58*(8)+'LINEST VARS'!$R$58*($EA$56)+'LINEST VARS'!$Q$58*(0.5)+'LINEST VARS'!$P$58*($DV64)+'LINEST VARS'!$O$58*(8^2)+'LINEST VARS'!$N$58*(8^2)+'LINEST VARS'!$M$58*($EA$56^2)+'LINEST VARS'!$L$58*(0.5^2)+'LINEST VARS'!$K$58*($DV64^2)+'LINEST VARS'!$J$58*(8*8)+'LINEST VARS'!$I$58*(8*$EA$56)+'LINEST VARS'!$H$58*(8*0.5)+'LINEST VARS'!$G$58*(8*$DV64)+'LINEST VARS'!$F$58*(8*$EA$56)+'LINEST VARS'!$E$58*(8*0.5)+'LINEST VARS'!$D$58*(8*$DV64)+'LINEST VARS'!$C$58*($EA$56*0.5)+'LINEST VARS'!$B$58*($EA$56*$DV64)+'LINEST VARS'!$A$58*(0.5*$DV64)</f>
        <v>0.87748250000000017</v>
      </c>
      <c r="EB64" s="51">
        <f>'LINEST VARS'!$U$58+'LINEST VARS'!$T$58*(8)+'LINEST VARS'!$S$58*(8)+'LINEST VARS'!$R$58*($EB$56)+'LINEST VARS'!$Q$58*(0.5)+'LINEST VARS'!$P$58*($DV64)+'LINEST VARS'!$O$58*(8^2)+'LINEST VARS'!$N$58*(8^2)+'LINEST VARS'!$M$58*($EB$56^2)+'LINEST VARS'!$L$58*(0.5^2)+'LINEST VARS'!$K$58*($DV64^2)+'LINEST VARS'!$J$58*(8*8)+'LINEST VARS'!$I$58*(8*$EB$56)+'LINEST VARS'!$H$58*(8*0.5)+'LINEST VARS'!$G$58*(8*$DV64)+'LINEST VARS'!$F$58*(8*$EB$56)+'LINEST VARS'!$E$58*(8*0.5)+'LINEST VARS'!$D$58*(8*$DV64)+'LINEST VARS'!$C$58*($EB$56*0.5)+'LINEST VARS'!$B$58*($EB$56*$DV64)+'LINEST VARS'!$A$58*(0.5*$DV64)</f>
        <v>0.88548250000000028</v>
      </c>
      <c r="EC64" s="51">
        <f>'LINEST VARS'!$U$58+'LINEST VARS'!$T$58*(8)+'LINEST VARS'!$S$58*(8)+'LINEST VARS'!$R$58*($EC$56)+'LINEST VARS'!$Q$58*(0.5)+'LINEST VARS'!$P$58*($DV64)+'LINEST VARS'!$O$58*(8^2)+'LINEST VARS'!$N$58*(8^2)+'LINEST VARS'!$M$58*($EC$56^2)+'LINEST VARS'!$L$58*(0.5^2)+'LINEST VARS'!$K$58*($DV64^2)+'LINEST VARS'!$J$58*(8*8)+'LINEST VARS'!$I$58*(8*$EC$56)+'LINEST VARS'!$H$58*(8*0.5)+'LINEST VARS'!$G$58*(8*$DV64)+'LINEST VARS'!$F$58*(8*$EC$56)+'LINEST VARS'!$E$58*(8*0.5)+'LINEST VARS'!$D$58*(8*$DV64)+'LINEST VARS'!$C$58*($EC$56*0.5)+'LINEST VARS'!$B$58*($EC$56*$DV64)+'LINEST VARS'!$A$58*(0.5*$DV64)</f>
        <v>0.89348250000000029</v>
      </c>
      <c r="ED64" s="51">
        <f>'LINEST VARS'!$U$58+'LINEST VARS'!$T$58*(8)+'LINEST VARS'!$S$58*(8)+'LINEST VARS'!$R$58*($ED$56)+'LINEST VARS'!$Q$58*(0.5)+'LINEST VARS'!$P$58*($DV64)+'LINEST VARS'!$O$58*(8^2)+'LINEST VARS'!$N$58*(8^2)+'LINEST VARS'!$M$58*($ED$56^2)+'LINEST VARS'!$L$58*(0.5^2)+'LINEST VARS'!$K$58*($DV64^2)+'LINEST VARS'!$J$58*(8*8)+'LINEST VARS'!$I$58*(8*$ED$56)+'LINEST VARS'!$H$58*(8*0.5)+'LINEST VARS'!$G$58*(8*$DV64)+'LINEST VARS'!$F$58*(8*$ED$56)+'LINEST VARS'!$E$58*(8*0.5)+'LINEST VARS'!$D$58*(8*$DV64)+'LINEST VARS'!$C$58*($ED$56*0.5)+'LINEST VARS'!$B$58*($ED$56*$DV64)+'LINEST VARS'!$A$58*(0.5*$DV64)</f>
        <v>0.9014825000000003</v>
      </c>
      <c r="EE64" s="51">
        <f>'LINEST VARS'!$U$58+'LINEST VARS'!$T$58*(8)+'LINEST VARS'!$S$58*(8)+'LINEST VARS'!$R$58*($EE$56)+'LINEST VARS'!$Q$58*(0.5)+'LINEST VARS'!$P$58*($DV64)+'LINEST VARS'!$O$58*(8^2)+'LINEST VARS'!$N$58*(8^2)+'LINEST VARS'!$M$58*($EE$56^2)+'LINEST VARS'!$L$58*(0.5^2)+'LINEST VARS'!$K$58*($DV64^2)+'LINEST VARS'!$J$58*(8*8)+'LINEST VARS'!$I$58*(8*$EE$56)+'LINEST VARS'!$H$58*(8*0.5)+'LINEST VARS'!$G$58*(8*$DV64)+'LINEST VARS'!$F$58*(8*$EE$56)+'LINEST VARS'!$E$58*(8*0.5)+'LINEST VARS'!$D$58*(8*$DV64)+'LINEST VARS'!$C$58*($EE$56*0.5)+'LINEST VARS'!$B$58*($EE$56*$DV64)+'LINEST VARS'!$A$58*(0.5*$DV64)</f>
        <v>0.90948250000000042</v>
      </c>
      <c r="EF64" s="51">
        <f>'LINEST VARS'!$U$58+'LINEST VARS'!$T$58*(8)+'LINEST VARS'!$S$58*(8)+'LINEST VARS'!$R$58*($EF$56)+'LINEST VARS'!$Q$58*(0.5)+'LINEST VARS'!$P$58*($DV64)+'LINEST VARS'!$O$58*(8^2)+'LINEST VARS'!$N$58*(8^2)+'LINEST VARS'!$M$58*($EF$56^2)+'LINEST VARS'!$L$58*(0.5^2)+'LINEST VARS'!$K$58*($DV64^2)+'LINEST VARS'!$J$58*(8*8)+'LINEST VARS'!$I$58*(8*$EF$56)+'LINEST VARS'!$H$58*(8*0.5)+'LINEST VARS'!$G$58*(8*$DV64)+'LINEST VARS'!$F$58*(8*$EF$56)+'LINEST VARS'!$E$58*(8*0.5)+'LINEST VARS'!$D$58*(8*$DV64)+'LINEST VARS'!$C$58*($EF$56*0.5)+'LINEST VARS'!$B$58*($EF$56*$DV64)+'LINEST VARS'!$A$58*(0.5*$DV64)</f>
        <v>0.91748250000000031</v>
      </c>
      <c r="EG64" s="51">
        <f>'LINEST VARS'!$U$58+'LINEST VARS'!$T$58*(8)+'LINEST VARS'!$S$58*(8)+'LINEST VARS'!$R$58*($EG$56)+'LINEST VARS'!$Q$58*(0.5)+'LINEST VARS'!$P$58*($DV64)+'LINEST VARS'!$O$58*(8^2)+'LINEST VARS'!$N$58*(8^2)+'LINEST VARS'!$M$58*($EG$56^2)+'LINEST VARS'!$L$58*(0.5^2)+'LINEST VARS'!$K$58*($DV64^2)+'LINEST VARS'!$J$58*(8*8)+'LINEST VARS'!$I$58*(8*$EG$56)+'LINEST VARS'!$H$58*(8*0.5)+'LINEST VARS'!$G$58*(8*$DV64)+'LINEST VARS'!$F$58*(8*$EG$56)+'LINEST VARS'!$E$58*(8*0.5)+'LINEST VARS'!$D$58*(8*$DV64)+'LINEST VARS'!$C$58*($EG$56*0.5)+'LINEST VARS'!$B$58*($EG$56*$DV64)+'LINEST VARS'!$A$58*(0.5*$DV64)</f>
        <v>0.92548250000000032</v>
      </c>
      <c r="EH64" s="51">
        <f>'LINEST VARS'!$U$58+'LINEST VARS'!$T$58*(8)+'LINEST VARS'!$S$58*(8)+'LINEST VARS'!$R$58*($EH$56)+'LINEST VARS'!$Q$58*(0.5)+'LINEST VARS'!$P$58*($DV64)+'LINEST VARS'!$O$58*(8^2)+'LINEST VARS'!$N$58*(8^2)+'LINEST VARS'!$M$58*($EH$56^2)+'LINEST VARS'!$L$58*(0.5^2)+'LINEST VARS'!$K$58*($DV64^2)+'LINEST VARS'!$J$58*(8*8)+'LINEST VARS'!$I$58*(8*$EH$56)+'LINEST VARS'!$H$58*(8*0.5)+'LINEST VARS'!$G$58*(8*$DV64)+'LINEST VARS'!$F$58*(8*$EH$56)+'LINEST VARS'!$E$58*(8*0.5)+'LINEST VARS'!$D$58*(8*$DV64)+'LINEST VARS'!$C$58*($EH$56*0.5)+'LINEST VARS'!$B$58*($EH$56*$DV64)+'LINEST VARS'!$A$58*(0.5*$DV64)</f>
        <v>0.93348250000000021</v>
      </c>
      <c r="EI64" s="51">
        <f>'LINEST VARS'!$U$58+'LINEST VARS'!$T$58*(8)+'LINEST VARS'!$S$58*(8)+'LINEST VARS'!$R$58*($EI$56)+'LINEST VARS'!$Q$58*(0.5)+'LINEST VARS'!$P$58*($DV64)+'LINEST VARS'!$O$58*(8^2)+'LINEST VARS'!$N$58*(8^2)+'LINEST VARS'!$M$58*($EI$56^2)+'LINEST VARS'!$L$58*(0.5^2)+'LINEST VARS'!$K$58*($DV64^2)+'LINEST VARS'!$J$58*(8*8)+'LINEST VARS'!$I$58*(8*$EI$56)+'LINEST VARS'!$H$58*(8*0.5)+'LINEST VARS'!$G$58*(8*$DV64)+'LINEST VARS'!$F$58*(8*$EI$56)+'LINEST VARS'!$E$58*(8*0.5)+'LINEST VARS'!$D$58*(8*$DV64)+'LINEST VARS'!$C$58*($EI$56*0.5)+'LINEST VARS'!$B$58*($EI$56*$DV64)+'LINEST VARS'!$A$58*(0.5*$DV64)</f>
        <v>0.94148250000000022</v>
      </c>
      <c r="EJ64" s="51">
        <f>'LINEST VARS'!$U$58+'LINEST VARS'!$T$58*(8)+'LINEST VARS'!$S$58*(8)+'LINEST VARS'!$R$58*($EJ$56)+'LINEST VARS'!$Q$58*(0.5)+'LINEST VARS'!$P$58*($DV64)+'LINEST VARS'!$O$58*(8^2)+'LINEST VARS'!$N$58*(8^2)+'LINEST VARS'!$M$58*($EJ$56^2)+'LINEST VARS'!$L$58*(0.5^2)+'LINEST VARS'!$K$58*($DV64^2)+'LINEST VARS'!$J$58*(8*8)+'LINEST VARS'!$I$58*(8*$EJ$56)+'LINEST VARS'!$H$58*(8*0.5)+'LINEST VARS'!$G$58*(8*$DV64)+'LINEST VARS'!$F$58*(8*$EJ$56)+'LINEST VARS'!$E$58*(8*0.5)+'LINEST VARS'!$D$58*(8*$DV64)+'LINEST VARS'!$C$58*($EJ$56*0.5)+'LINEST VARS'!$B$58*($EJ$56*$DV64)+'LINEST VARS'!$A$58*(0.5*$DV64)</f>
        <v>0.94948250000000012</v>
      </c>
      <c r="EK64" s="51">
        <f>'LINEST VARS'!$U$58+'LINEST VARS'!$T$58*(8)+'LINEST VARS'!$S$58*(8)+'LINEST VARS'!$R$58*($EK$56)+'LINEST VARS'!$Q$58*(0.5)+'LINEST VARS'!$P$58*($DV64)+'LINEST VARS'!$O$58*(8^2)+'LINEST VARS'!$N$58*(8^2)+'LINEST VARS'!$M$58*($EK$56^2)+'LINEST VARS'!$L$58*(0.5^2)+'LINEST VARS'!$K$58*($DV64^2)+'LINEST VARS'!$J$58*(8*8)+'LINEST VARS'!$I$58*(8*$EK$56)+'LINEST VARS'!$H$58*(8*0.5)+'LINEST VARS'!$G$58*(8*$DV64)+'LINEST VARS'!$F$58*(8*$EK$56)+'LINEST VARS'!$E$58*(8*0.5)+'LINEST VARS'!$D$58*(8*$DV64)+'LINEST VARS'!$C$58*($EK$56*0.5)+'LINEST VARS'!$B$58*($EK$56*$DV64)+'LINEST VARS'!$A$58*(0.5*$DV64)</f>
        <v>0.95748250000000024</v>
      </c>
      <c r="EL64" s="51">
        <f>'LINEST VARS'!$U$58+'LINEST VARS'!$T$58*(8)+'LINEST VARS'!$S$58*(8)+'LINEST VARS'!$R$58*($EL$56)+'LINEST VARS'!$Q$58*(0.5)+'LINEST VARS'!$P$58*($DV64)+'LINEST VARS'!$O$58*(8^2)+'LINEST VARS'!$N$58*(8^2)+'LINEST VARS'!$M$58*($EL$56^2)+'LINEST VARS'!$L$58*(0.5^2)+'LINEST VARS'!$K$58*($DV64^2)+'LINEST VARS'!$J$58*(8*8)+'LINEST VARS'!$I$58*(8*$EL$56)+'LINEST VARS'!$H$58*(8*0.5)+'LINEST VARS'!$G$58*(8*$DV64)+'LINEST VARS'!$F$58*(8*$EL$56)+'LINEST VARS'!$E$58*(8*0.5)+'LINEST VARS'!$D$58*(8*$DV64)+'LINEST VARS'!$C$58*($EL$56*0.5)+'LINEST VARS'!$B$58*($EL$56*$DV64)+'LINEST VARS'!$A$58*(0.5*$DV64)</f>
        <v>0.96548250000000024</v>
      </c>
      <c r="EM64" s="51">
        <f>'LINEST VARS'!$U$58+'LINEST VARS'!$T$58*(8)+'LINEST VARS'!$S$58*(8)+'LINEST VARS'!$R$58*($EM$56)+'LINEST VARS'!$Q$58*(0.5)+'LINEST VARS'!$P$58*($DV64)+'LINEST VARS'!$O$58*(8^2)+'LINEST VARS'!$N$58*(8^2)+'LINEST VARS'!$M$58*($EM$56^2)+'LINEST VARS'!$L$58*(0.5^2)+'LINEST VARS'!$K$58*($DV64^2)+'LINEST VARS'!$J$58*(8*8)+'LINEST VARS'!$I$58*(8*$EM$56)+'LINEST VARS'!$H$58*(8*0.5)+'LINEST VARS'!$G$58*(8*$DV64)+'LINEST VARS'!$F$58*(8*$EM$56)+'LINEST VARS'!$E$58*(8*0.5)+'LINEST VARS'!$D$58*(8*$DV64)+'LINEST VARS'!$C$58*($EM$56*0.5)+'LINEST VARS'!$B$58*($EM$56*$DV64)+'LINEST VARS'!$A$58*(0.5*$DV64)</f>
        <v>0.97348250000000036</v>
      </c>
      <c r="EN64" s="51">
        <f>'LINEST VARS'!$U$58+'LINEST VARS'!$T$58*(8)+'LINEST VARS'!$S$58*(8)+'LINEST VARS'!$R$58*($EN$56)+'LINEST VARS'!$Q$58*(0.5)+'LINEST VARS'!$P$58*($DV64)+'LINEST VARS'!$O$58*(8^2)+'LINEST VARS'!$N$58*(8^2)+'LINEST VARS'!$M$58*($EN$56^2)+'LINEST VARS'!$L$58*(0.5^2)+'LINEST VARS'!$K$58*($DV64^2)+'LINEST VARS'!$J$58*(8*8)+'LINEST VARS'!$I$58*(8*$EN$56)+'LINEST VARS'!$H$58*(8*0.5)+'LINEST VARS'!$G$58*(8*$DV64)+'LINEST VARS'!$F$58*(8*$EN$56)+'LINEST VARS'!$E$58*(8*0.5)+'LINEST VARS'!$D$58*(8*$DV64)+'LINEST VARS'!$C$58*($EN$56*0.5)+'LINEST VARS'!$B$58*($EN$56*$DV64)+'LINEST VARS'!$A$58*(0.5*$DV64)</f>
        <v>0.98148250000000037</v>
      </c>
      <c r="EO64" s="51">
        <f>'LINEST VARS'!$U$58+'LINEST VARS'!$T$58*(8)+'LINEST VARS'!$S$58*(8)+'LINEST VARS'!$R$58*($EO$56)+'LINEST VARS'!$Q$58*(0.5)+'LINEST VARS'!$P$58*($DV64)+'LINEST VARS'!$O$58*(8^2)+'LINEST VARS'!$N$58*(8^2)+'LINEST VARS'!$M$58*($EO$56^2)+'LINEST VARS'!$L$58*(0.5^2)+'LINEST VARS'!$K$58*($DV64^2)+'LINEST VARS'!$J$58*(8*8)+'LINEST VARS'!$I$58*(8*$EO$56)+'LINEST VARS'!$H$58*(8*0.5)+'LINEST VARS'!$G$58*(8*$DV64)+'LINEST VARS'!$F$58*(8*$EO$56)+'LINEST VARS'!$E$58*(8*0.5)+'LINEST VARS'!$D$58*(8*$DV64)+'LINEST VARS'!$C$58*($EO$56*0.5)+'LINEST VARS'!$B$58*($EO$56*$DV64)+'LINEST VARS'!$A$58*(0.5*$DV64)</f>
        <v>0.98948250000000038</v>
      </c>
      <c r="EP64" s="51">
        <f>'LINEST VARS'!$U$58+'LINEST VARS'!$T$58*(8)+'LINEST VARS'!$S$58*(8)+'LINEST VARS'!$R$58*($EP$56)+'LINEST VARS'!$Q$58*(0.5)+'LINEST VARS'!$P$58*($DV64)+'LINEST VARS'!$O$58*(8^2)+'LINEST VARS'!$N$58*(8^2)+'LINEST VARS'!$M$58*($EP$56^2)+'LINEST VARS'!$L$58*(0.5^2)+'LINEST VARS'!$K$58*($DV64^2)+'LINEST VARS'!$J$58*(8*8)+'LINEST VARS'!$I$58*(8*$EP$56)+'LINEST VARS'!$H$58*(8*0.5)+'LINEST VARS'!$G$58*(8*$DV64)+'LINEST VARS'!$F$58*(8*$EP$56)+'LINEST VARS'!$E$58*(8*0.5)+'LINEST VARS'!$D$58*(8*$DV64)+'LINEST VARS'!$C$58*($EP$56*0.5)+'LINEST VARS'!$B$58*($EP$56*$DV64)+'LINEST VARS'!$A$58*(0.5*$DV64)</f>
        <v>0.99748250000000027</v>
      </c>
      <c r="EQ64" s="52">
        <f>'LINEST VARS'!$U$58+'LINEST VARS'!$T$58*(8)+'LINEST VARS'!$S$58*(8)+'LINEST VARS'!$R$58*($EQ$56)+'LINEST VARS'!$Q$58*(0.5)+'LINEST VARS'!$P$58*($DV64)+'LINEST VARS'!$O$58*(8^2)+'LINEST VARS'!$N$58*(8^2)+'LINEST VARS'!$M$58*($EQ$56^2)+'LINEST VARS'!$L$58*(0.5^2)+'LINEST VARS'!$K$58*($DV64^2)+'LINEST VARS'!$J$58*(8*8)+'LINEST VARS'!$I$58*(8*$EQ$56)+'LINEST VARS'!$H$58*(8*0.5)+'LINEST VARS'!$G$58*(8*$DV64)+'LINEST VARS'!$F$58*(8*$EQ$56)+'LINEST VARS'!$E$58*(8*0.5)+'LINEST VARS'!$D$58*(8*$DV64)+'LINEST VARS'!$C$58*($EQ$56*0.5)+'LINEST VARS'!$B$58*($EQ$56*$DV64)+'LINEST VARS'!$A$58*(0.5*$DV64)</f>
        <v>1.0054825000000003</v>
      </c>
    </row>
    <row r="65" spans="2:147" ht="15" customHeight="1" x14ac:dyDescent="0.25">
      <c r="B65" s="45">
        <v>7.88</v>
      </c>
      <c r="C65" s="51">
        <f>'LINEST VARS'!$U$56+'LINEST VARS'!$T$56*($C$56)+'LINEST VARS'!$S$56*($B65)+'LINEST VARS'!$R$56*(4)+'LINEST VARS'!$Q$56*(0.5)+'LINEST VARS'!$P$56*(12.73)+'LINEST VARS'!$O$56*($C$56^2)+'LINEST VARS'!$N$56*($B65^2)+'LINEST VARS'!$M$56*(4^2)+'LINEST VARS'!$L$56*(0.5^2)+'LINEST VARS'!$K$56*(12.73^2)+'LINEST VARS'!$J$56*($C$56*$B65)+'LINEST VARS'!$I$56*($C$56*4)+'LINEST VARS'!$H$56*($C$56*0.5)+'LINEST VARS'!$G$56*($C$56*12.73)+'LINEST VARS'!$F$56*($B65*4)+'LINEST VARS'!$E$56*($B65*0.5)+'LINEST VARS'!$D$56*($B65*12.73)+'LINEST VARS'!$C$56*(4*0.5)+'LINEST VARS'!$B$56*(4*12.73)+'LINEST VARS'!$A$56*(0.5*12.73)</f>
        <v>2.8400000000000012</v>
      </c>
      <c r="D65" s="51">
        <f>'LINEST VARS'!$U$56+'LINEST VARS'!$T$56*($D$56)+'LINEST VARS'!$S$56*($B65)+'LINEST VARS'!$R$56*(4)+'LINEST VARS'!$Q$56*(0.5)+'LINEST VARS'!$P$56*(12.73)+'LINEST VARS'!$O$56*($D$56^2)+'LINEST VARS'!$N$56*($B65^2)+'LINEST VARS'!$M$56*(4^2)+'LINEST VARS'!$L$56*(0.5^2)+'LINEST VARS'!$K$56*(12.73^2)+'LINEST VARS'!$J$56*($D$56*$B65)+'LINEST VARS'!$I$56*($D$56*4)+'LINEST VARS'!$H$56*($D$56*0.5)+'LINEST VARS'!$G$56*($D$56*12.73)+'LINEST VARS'!$F$56*($B65*4)+'LINEST VARS'!$E$56*($B65*0.5)+'LINEST VARS'!$D$56*($B65*12.73)+'LINEST VARS'!$C$56*(4*0.5)+'LINEST VARS'!$B$56*(4*12.73)+'LINEST VARS'!$A$56*(0.5*12.73)</f>
        <v>2.8400000000000012</v>
      </c>
      <c r="E65" s="51">
        <f>'LINEST VARS'!$U$56+'LINEST VARS'!$T$56*($E$56)+'LINEST VARS'!$S$56*($B65)+'LINEST VARS'!$R$56*(4)+'LINEST VARS'!$Q$56*(0.5)+'LINEST VARS'!$P$56*(12.73)+'LINEST VARS'!$O$56*($E$56^2)+'LINEST VARS'!$N$56*($B65^2)+'LINEST VARS'!$M$56*(4^2)+'LINEST VARS'!$L$56*(0.5^2)+'LINEST VARS'!$K$56*(12.73^2)+'LINEST VARS'!$J$56*($E$56*$B65)+'LINEST VARS'!$I$56*($E$56*4)+'LINEST VARS'!$H$56*($E$56*0.5)+'LINEST VARS'!$G$56*($E$56*12.73)+'LINEST VARS'!$F$56*($B65*4)+'LINEST VARS'!$E$56*($B65*0.5)+'LINEST VARS'!$D$56*($B65*12.73)+'LINEST VARS'!$C$56*(4*0.5)+'LINEST VARS'!$B$56*(4*12.73)+'LINEST VARS'!$A$56*(0.5*12.73)</f>
        <v>2.8400000000000012</v>
      </c>
      <c r="F65" s="51">
        <f>'LINEST VARS'!$U$56+'LINEST VARS'!$T$56*($F$56)+'LINEST VARS'!$S$56*($B65)+'LINEST VARS'!$R$56*(4)+'LINEST VARS'!$Q$56*(0.5)+'LINEST VARS'!$P$56*(12.73)+'LINEST VARS'!$O$56*($F$56^2)+'LINEST VARS'!$N$56*($B65^2)+'LINEST VARS'!$M$56*(4^2)+'LINEST VARS'!$L$56*(0.5^2)+'LINEST VARS'!$K$56*(12.73^2)+'LINEST VARS'!$J$56*($F$56*$B65)+'LINEST VARS'!$I$56*($F$56*4)+'LINEST VARS'!$H$56*($F$56*0.5)+'LINEST VARS'!$G$56*($F$56*12.73)+'LINEST VARS'!$F$56*($B65*4)+'LINEST VARS'!$E$56*($B65*0.5)+'LINEST VARS'!$D$56*($B65*12.73)+'LINEST VARS'!$C$56*(4*0.5)+'LINEST VARS'!$B$56*(4*12.73)+'LINEST VARS'!$A$56*(0.5*12.73)</f>
        <v>2.8400000000000012</v>
      </c>
      <c r="G65" s="51">
        <f>'LINEST VARS'!$U$56+'LINEST VARS'!$T$56*($G$56)+'LINEST VARS'!$S$56*($B65)+'LINEST VARS'!$R$56*(4)+'LINEST VARS'!$Q$56*(0.5)+'LINEST VARS'!$P$56*(12.73)+'LINEST VARS'!$O$56*($G$56^2)+'LINEST VARS'!$N$56*($B65^2)+'LINEST VARS'!$M$56*(4^2)+'LINEST VARS'!$L$56*(0.5^2)+'LINEST VARS'!$K$56*(12.73^2)+'LINEST VARS'!$J$56*($G$56*$B65)+'LINEST VARS'!$I$56*($G$56*4)+'LINEST VARS'!$H$56*($G$56*0.5)+'LINEST VARS'!$G$56*($G$56*12.73)+'LINEST VARS'!$F$56*($B65*4)+'LINEST VARS'!$E$56*($B65*0.5)+'LINEST VARS'!$D$56*($B65*12.73)+'LINEST VARS'!$C$56*(4*0.5)+'LINEST VARS'!$B$56*(4*12.73)+'LINEST VARS'!$A$56*(0.5*12.73)</f>
        <v>2.8400000000000012</v>
      </c>
      <c r="H65" s="51">
        <f>'LINEST VARS'!$U$56+'LINEST VARS'!$T$56*($H$56)+'LINEST VARS'!$S$56*($B65)+'LINEST VARS'!$R$56*(4)+'LINEST VARS'!$Q$56*(0.5)+'LINEST VARS'!$P$56*(12.73)+'LINEST VARS'!$O$56*($H$56^2)+'LINEST VARS'!$N$56*($B65^2)+'LINEST VARS'!$M$56*(4^2)+'LINEST VARS'!$L$56*(0.5^2)+'LINEST VARS'!$K$56*(12.73^2)+'LINEST VARS'!$J$56*($H$56*$B65)+'LINEST VARS'!$I$56*($H$56*4)+'LINEST VARS'!$H$56*($H$56*0.5)+'LINEST VARS'!$G$56*($H$56*12.73)+'LINEST VARS'!$F$56*($B65*4)+'LINEST VARS'!$E$56*($B65*0.5)+'LINEST VARS'!$D$56*($B65*12.73)+'LINEST VARS'!$C$56*(4*0.5)+'LINEST VARS'!$B$56*(4*12.73)+'LINEST VARS'!$A$56*(0.5*12.73)</f>
        <v>2.8400000000000012</v>
      </c>
      <c r="I65" s="51">
        <f>'LINEST VARS'!$U$56+'LINEST VARS'!$T$56*($I$56)+'LINEST VARS'!$S$56*($B65)+'LINEST VARS'!$R$56*(4)+'LINEST VARS'!$Q$56*(0.5)+'LINEST VARS'!$P$56*(12.73)+'LINEST VARS'!$O$56*($I$56^2)+'LINEST VARS'!$N$56*($B65^2)+'LINEST VARS'!$M$56*(4^2)+'LINEST VARS'!$L$56*(0.5^2)+'LINEST VARS'!$K$56*(12.73^2)+'LINEST VARS'!$J$56*($I$56*$B65)+'LINEST VARS'!$I$56*($I$56*4)+'LINEST VARS'!$H$56*($I$56*0.5)+'LINEST VARS'!$G$56*($I$56*12.73)+'LINEST VARS'!$F$56*($B65*4)+'LINEST VARS'!$E$56*($B65*0.5)+'LINEST VARS'!$D$56*($B65*12.73)+'LINEST VARS'!$C$56*(4*0.5)+'LINEST VARS'!$B$56*(4*12.73)+'LINEST VARS'!$A$56*(0.5*12.73)</f>
        <v>2.8400000000000012</v>
      </c>
      <c r="J65" s="51">
        <f>'LINEST VARS'!$U$56+'LINEST VARS'!$T$56*($J$56)+'LINEST VARS'!$S$56*($B65)+'LINEST VARS'!$R$56*(4)+'LINEST VARS'!$Q$56*(0.5)+'LINEST VARS'!$P$56*(12.73)+'LINEST VARS'!$O$56*($J$56^2)+'LINEST VARS'!$N$56*($B65^2)+'LINEST VARS'!$M$56*(4^2)+'LINEST VARS'!$L$56*(0.5^2)+'LINEST VARS'!$K$56*(12.73^2)+'LINEST VARS'!$J$56*($J$56*$B65)+'LINEST VARS'!$I$56*($J$56*4)+'LINEST VARS'!$H$56*($J$56*0.5)+'LINEST VARS'!$G$56*($J$56*12.73)+'LINEST VARS'!$F$56*($B65*4)+'LINEST VARS'!$E$56*($B65*0.5)+'LINEST VARS'!$D$56*($B65*12.73)+'LINEST VARS'!$C$56*(4*0.5)+'LINEST VARS'!$B$56*(4*12.73)+'LINEST VARS'!$A$56*(0.5*12.73)</f>
        <v>2.8400000000000012</v>
      </c>
      <c r="K65" s="51">
        <f>'LINEST VARS'!$U$56+'LINEST VARS'!$T$56*($K$56)+'LINEST VARS'!$S$56*($B65)+'LINEST VARS'!$R$56*(4)+'LINEST VARS'!$Q$56*(0.5)+'LINEST VARS'!$P$56*(12.73)+'LINEST VARS'!$O$56*($K$56^2)+'LINEST VARS'!$N$56*($B65^2)+'LINEST VARS'!$M$56*(4^2)+'LINEST VARS'!$L$56*(0.5^2)+'LINEST VARS'!$K$56*(12.73^2)+'LINEST VARS'!$J$56*($K$56*$B65)+'LINEST VARS'!$I$56*($K$56*4)+'LINEST VARS'!$H$56*($K$56*0.5)+'LINEST VARS'!$G$56*($K$56*12.73)+'LINEST VARS'!$F$56*($B65*4)+'LINEST VARS'!$E$56*($B65*0.5)+'LINEST VARS'!$D$56*($B65*12.73)+'LINEST VARS'!$C$56*(4*0.5)+'LINEST VARS'!$B$56*(4*12.73)+'LINEST VARS'!$A$56*(0.5*12.73)</f>
        <v>2.8400000000000007</v>
      </c>
      <c r="L65" s="51">
        <f>'LINEST VARS'!$U$56+'LINEST VARS'!$T$56*($L$56)+'LINEST VARS'!$S$56*($B65)+'LINEST VARS'!$R$56*(4)+'LINEST VARS'!$Q$56*(0.5)+'LINEST VARS'!$P$56*(12.73)+'LINEST VARS'!$O$56*($L$56^2)+'LINEST VARS'!$N$56*($B65^2)+'LINEST VARS'!$M$56*(4^2)+'LINEST VARS'!$L$56*(0.5^2)+'LINEST VARS'!$K$56*(12.73^2)+'LINEST VARS'!$J$56*($L$56*$B65)+'LINEST VARS'!$I$56*($L$56*4)+'LINEST VARS'!$H$56*($L$56*0.5)+'LINEST VARS'!$G$56*($L$56*12.73)+'LINEST VARS'!$F$56*($B65*4)+'LINEST VARS'!$E$56*($B65*0.5)+'LINEST VARS'!$D$56*($B65*12.73)+'LINEST VARS'!$C$56*(4*0.5)+'LINEST VARS'!$B$56*(4*12.73)+'LINEST VARS'!$A$56*(0.5*12.73)</f>
        <v>2.8400000000000007</v>
      </c>
      <c r="M65" s="51">
        <f>'LINEST VARS'!$U$56+'LINEST VARS'!$T$56*($M$56)+'LINEST VARS'!$S$56*($B65)+'LINEST VARS'!$R$56*(4)+'LINEST VARS'!$Q$56*(0.5)+'LINEST VARS'!$P$56*(12.73)+'LINEST VARS'!$O$56*($M$56^2)+'LINEST VARS'!$N$56*($B65^2)+'LINEST VARS'!$M$56*(4^2)+'LINEST VARS'!$L$56*(0.5^2)+'LINEST VARS'!$K$56*(12.73^2)+'LINEST VARS'!$J$56*($M$56*$B65)+'LINEST VARS'!$I$56*($M$56*4)+'LINEST VARS'!$H$56*($M$56*0.5)+'LINEST VARS'!$G$56*($M$56*12.73)+'LINEST VARS'!$F$56*($B65*4)+'LINEST VARS'!$E$56*($B65*0.5)+'LINEST VARS'!$D$56*($B65*12.73)+'LINEST VARS'!$C$56*(4*0.5)+'LINEST VARS'!$B$56*(4*12.73)+'LINEST VARS'!$A$56*(0.5*12.73)</f>
        <v>2.8400000000000007</v>
      </c>
      <c r="N65" s="51">
        <f>'LINEST VARS'!$U$56+'LINEST VARS'!$T$56*($N$56)+'LINEST VARS'!$S$56*($B65)+'LINEST VARS'!$R$56*(4)+'LINEST VARS'!$Q$56*(0.5)+'LINEST VARS'!$P$56*(12.73)+'LINEST VARS'!$O$56*($N$56^2)+'LINEST VARS'!$N$56*($B65^2)+'LINEST VARS'!$M$56*(4^2)+'LINEST VARS'!$L$56*(0.5^2)+'LINEST VARS'!$K$56*(12.73^2)+'LINEST VARS'!$J$56*($N$56*$B65)+'LINEST VARS'!$I$56*($N$56*4)+'LINEST VARS'!$H$56*($N$56*0.5)+'LINEST VARS'!$G$56*($N$56*12.73)+'LINEST VARS'!$F$56*($B65*4)+'LINEST VARS'!$E$56*($B65*0.5)+'LINEST VARS'!$D$56*($B65*12.73)+'LINEST VARS'!$C$56*(4*0.5)+'LINEST VARS'!$B$56*(4*12.73)+'LINEST VARS'!$A$56*(0.5*12.73)</f>
        <v>2.8400000000000007</v>
      </c>
      <c r="O65" s="51">
        <f>'LINEST VARS'!$U$56+'LINEST VARS'!$T$56*($O$56)+'LINEST VARS'!$S$56*($B65)+'LINEST VARS'!$R$56*(4)+'LINEST VARS'!$Q$56*(0.5)+'LINEST VARS'!$P$56*(12.73)+'LINEST VARS'!$O$56*($O$56^2)+'LINEST VARS'!$N$56*($B65^2)+'LINEST VARS'!$M$56*(4^2)+'LINEST VARS'!$L$56*(0.5^2)+'LINEST VARS'!$K$56*(12.73^2)+'LINEST VARS'!$J$56*($O$56*$B65)+'LINEST VARS'!$I$56*($O$56*4)+'LINEST VARS'!$H$56*($O$56*0.5)+'LINEST VARS'!$G$56*($O$56*12.73)+'LINEST VARS'!$F$56*($B65*4)+'LINEST VARS'!$E$56*($B65*0.5)+'LINEST VARS'!$D$56*($B65*12.73)+'LINEST VARS'!$C$56*(4*0.5)+'LINEST VARS'!$B$56*(4*12.73)+'LINEST VARS'!$A$56*(0.5*12.73)</f>
        <v>2.8400000000000007</v>
      </c>
      <c r="P65" s="51">
        <f>'LINEST VARS'!$U$56+'LINEST VARS'!$T$56*($P$56)+'LINEST VARS'!$S$56*($B65)+'LINEST VARS'!$R$56*(4)+'LINEST VARS'!$Q$56*(0.5)+'LINEST VARS'!$P$56*(12.73)+'LINEST VARS'!$O$56*($P$56^2)+'LINEST VARS'!$N$56*($B65^2)+'LINEST VARS'!$M$56*(4^2)+'LINEST VARS'!$L$56*(0.5^2)+'LINEST VARS'!$K$56*(12.73^2)+'LINEST VARS'!$J$56*($P$56*$B65)+'LINEST VARS'!$I$56*($P$56*4)+'LINEST VARS'!$H$56*($P$56*0.5)+'LINEST VARS'!$G$56*($P$56*12.73)+'LINEST VARS'!$F$56*($B65*4)+'LINEST VARS'!$E$56*($B65*0.5)+'LINEST VARS'!$D$56*($B65*12.73)+'LINEST VARS'!$C$56*(4*0.5)+'LINEST VARS'!$B$56*(4*12.73)+'LINEST VARS'!$A$56*(0.5*12.73)</f>
        <v>2.8400000000000007</v>
      </c>
      <c r="Q65" s="51">
        <f>'LINEST VARS'!$U$56+'LINEST VARS'!$T$56*($Q$56)+'LINEST VARS'!$S$56*($B65)+'LINEST VARS'!$R$56*(4)+'LINEST VARS'!$Q$56*(0.5)+'LINEST VARS'!$P$56*(12.73)+'LINEST VARS'!$O$56*($Q$56^2)+'LINEST VARS'!$N$56*($B65^2)+'LINEST VARS'!$M$56*(4^2)+'LINEST VARS'!$L$56*(0.5^2)+'LINEST VARS'!$K$56*(12.73^2)+'LINEST VARS'!$J$56*($Q$56*$B65)+'LINEST VARS'!$I$56*($Q$56*4)+'LINEST VARS'!$H$56*($Q$56*0.5)+'LINEST VARS'!$G$56*($Q$56*12.73)+'LINEST VARS'!$F$56*($B65*4)+'LINEST VARS'!$E$56*($B65*0.5)+'LINEST VARS'!$D$56*($B65*12.73)+'LINEST VARS'!$C$56*(4*0.5)+'LINEST VARS'!$B$56*(4*12.73)+'LINEST VARS'!$A$56*(0.5*12.73)</f>
        <v>2.8400000000000007</v>
      </c>
      <c r="R65" s="51">
        <f>'LINEST VARS'!$U$56+'LINEST VARS'!$T$56*($R$56)+'LINEST VARS'!$S$56*($B65)+'LINEST VARS'!$R$56*(4)+'LINEST VARS'!$Q$56*(0.5)+'LINEST VARS'!$P$56*(12.73)+'LINEST VARS'!$O$56*($R$56^2)+'LINEST VARS'!$N$56*($B65^2)+'LINEST VARS'!$M$56*(4^2)+'LINEST VARS'!$L$56*(0.5^2)+'LINEST VARS'!$K$56*(12.73^2)+'LINEST VARS'!$J$56*($R$56*$B65)+'LINEST VARS'!$I$56*($R$56*4)+'LINEST VARS'!$H$56*($R$56*0.5)+'LINEST VARS'!$G$56*($R$56*12.73)+'LINEST VARS'!$F$56*($B65*4)+'LINEST VARS'!$E$56*($B65*0.5)+'LINEST VARS'!$D$56*($B65*12.73)+'LINEST VARS'!$C$56*(4*0.5)+'LINEST VARS'!$B$56*(4*12.73)+'LINEST VARS'!$A$56*(0.5*12.73)</f>
        <v>2.8400000000000007</v>
      </c>
      <c r="S65" s="51">
        <f>'LINEST VARS'!$U$56+'LINEST VARS'!$T$56*($S$56)+'LINEST VARS'!$S$56*($B65)+'LINEST VARS'!$R$56*(4)+'LINEST VARS'!$Q$56*(0.5)+'LINEST VARS'!$P$56*(12.73)+'LINEST VARS'!$O$56*($S$56^2)+'LINEST VARS'!$N$56*($B65^2)+'LINEST VARS'!$M$56*(4^2)+'LINEST VARS'!$L$56*(0.5^2)+'LINEST VARS'!$K$56*(12.73^2)+'LINEST VARS'!$J$56*($S$56*$B65)+'LINEST VARS'!$I$56*($S$56*4)+'LINEST VARS'!$H$56*($S$56*0.5)+'LINEST VARS'!$G$56*($S$56*12.73)+'LINEST VARS'!$F$56*($B65*4)+'LINEST VARS'!$E$56*($B65*0.5)+'LINEST VARS'!$D$56*($B65*12.73)+'LINEST VARS'!$C$56*(4*0.5)+'LINEST VARS'!$B$56*(4*12.73)+'LINEST VARS'!$A$56*(0.5*12.73)</f>
        <v>2.8400000000000007</v>
      </c>
      <c r="T65" s="51">
        <f>'LINEST VARS'!$U$56+'LINEST VARS'!$T$56*($T$56)+'LINEST VARS'!$S$56*($B65)+'LINEST VARS'!$R$56*(4)+'LINEST VARS'!$Q$56*(0.5)+'LINEST VARS'!$P$56*(12.73)+'LINEST VARS'!$O$56*($T$56^2)+'LINEST VARS'!$N$56*($B65^2)+'LINEST VARS'!$M$56*(4^2)+'LINEST VARS'!$L$56*(0.5^2)+'LINEST VARS'!$K$56*(12.73^2)+'LINEST VARS'!$J$56*($T$56*$B65)+'LINEST VARS'!$I$56*($T$56*4)+'LINEST VARS'!$H$56*($T$56*0.5)+'LINEST VARS'!$G$56*($T$56*12.73)+'LINEST VARS'!$F$56*($B65*4)+'LINEST VARS'!$E$56*($B65*0.5)+'LINEST VARS'!$D$56*($B65*12.73)+'LINEST VARS'!$C$56*(4*0.5)+'LINEST VARS'!$B$56*(4*12.73)+'LINEST VARS'!$A$56*(0.5*12.73)</f>
        <v>2.8400000000000007</v>
      </c>
      <c r="U65" s="51">
        <f>'LINEST VARS'!$U$56+'LINEST VARS'!$T$56*($U$56)+'LINEST VARS'!$S$56*($B65)+'LINEST VARS'!$R$56*(4)+'LINEST VARS'!$Q$56*(0.5)+'LINEST VARS'!$P$56*(12.73)+'LINEST VARS'!$O$56*($U$56^2)+'LINEST VARS'!$N$56*($B65^2)+'LINEST VARS'!$M$56*(4^2)+'LINEST VARS'!$L$56*(0.5^2)+'LINEST VARS'!$K$56*(12.73^2)+'LINEST VARS'!$J$56*($U$56*$B65)+'LINEST VARS'!$I$56*($U$56*4)+'LINEST VARS'!$H$56*($U$56*0.5)+'LINEST VARS'!$G$56*($U$56*12.73)+'LINEST VARS'!$F$56*($B65*4)+'LINEST VARS'!$E$56*($B65*0.5)+'LINEST VARS'!$D$56*($B65*12.73)+'LINEST VARS'!$C$56*(4*0.5)+'LINEST VARS'!$B$56*(4*12.73)+'LINEST VARS'!$A$56*(0.5*12.73)</f>
        <v>2.8400000000000007</v>
      </c>
      <c r="V65" s="51">
        <f>'LINEST VARS'!$U$56+'LINEST VARS'!$T$56*($V$56)+'LINEST VARS'!$S$56*($B65)+'LINEST VARS'!$R$56*(4)+'LINEST VARS'!$Q$56*(0.5)+'LINEST VARS'!$P$56*(12.73)+'LINEST VARS'!$O$56*($V$56^2)+'LINEST VARS'!$N$56*($B65^2)+'LINEST VARS'!$M$56*(4^2)+'LINEST VARS'!$L$56*(0.5^2)+'LINEST VARS'!$K$56*(12.73^2)+'LINEST VARS'!$J$56*($V$56*$B65)+'LINEST VARS'!$I$56*($V$56*4)+'LINEST VARS'!$H$56*($V$56*0.5)+'LINEST VARS'!$G$56*($V$56*12.73)+'LINEST VARS'!$F$56*($B65*4)+'LINEST VARS'!$E$56*($B65*0.5)+'LINEST VARS'!$D$56*($B65*12.73)+'LINEST VARS'!$C$56*(4*0.5)+'LINEST VARS'!$B$56*(4*12.73)+'LINEST VARS'!$A$56*(0.5*12.73)</f>
        <v>2.8400000000000007</v>
      </c>
      <c r="W65" s="52">
        <f>'LINEST VARS'!$U$56+'LINEST VARS'!$T$56*($W$56)+'LINEST VARS'!$S$56*($B65)+'LINEST VARS'!$R$56*(4)+'LINEST VARS'!$Q$56*(0.5)+'LINEST VARS'!$P$56*(12.73)+'LINEST VARS'!$O$56*($W$56^2)+'LINEST VARS'!$N$56*($B65^2)+'LINEST VARS'!$M$56*(4^2)+'LINEST VARS'!$L$56*(0.5^2)+'LINEST VARS'!$K$56*(12.73^2)+'LINEST VARS'!$J$56*($W$56*$B65)+'LINEST VARS'!$I$56*($W$56*4)+'LINEST VARS'!$H$56*($W$56*0.5)+'LINEST VARS'!$G$56*($W$56*12.73)+'LINEST VARS'!$F$56*($B65*4)+'LINEST VARS'!$E$56*($B65*0.5)+'LINEST VARS'!$D$56*($B65*12.73)+'LINEST VARS'!$C$56*(4*0.5)+'LINEST VARS'!$B$56*(4*12.73)+'LINEST VARS'!$A$56*(0.5*12.73)</f>
        <v>2.8400000000000007</v>
      </c>
      <c r="Z65" s="45">
        <v>7.88</v>
      </c>
      <c r="AA65" s="51">
        <f>'LINEST VARS'!$U$58+'LINEST VARS'!$T$58*($AA$56)+'LINEST VARS'!$S$58*($Z65)+'LINEST VARS'!$R$58*(4)+'LINEST VARS'!$Q$58*(0.5)+'LINEST VARS'!$P$58*(12.73)+'LINEST VARS'!$O$58*($AA$56^2)+'LINEST VARS'!$N$58*($Z65^2)+'LINEST VARS'!$M$58*(4^2)+'LINEST VARS'!$L$58*(0.5^2)+'LINEST VARS'!$K$58*(12.73^2)+'LINEST VARS'!$J$58*($AA$56*$Z65)+'LINEST VARS'!$I$58*($AA$56*4)+'LINEST VARS'!$H$58*($AA$56*0.5)+'LINEST VARS'!$G$58*($AA$56*12.73)+'LINEST VARS'!$F$58*($Z65*4)+'LINEST VARS'!$E$58*($Z65*0.5)+'LINEST VARS'!$D$58*($Z65*12.73)+'LINEST VARS'!$C$58*(4*0.5)+'LINEST VARS'!$B$58*(4*12.73)+'LINEST VARS'!$A$58*(0.5*12.73)</f>
        <v>0.94365000000000021</v>
      </c>
      <c r="AB65" s="51">
        <f>'LINEST VARS'!$U$58+'LINEST VARS'!$T$58*($AB$56)+'LINEST VARS'!$S$58*($Z65)+'LINEST VARS'!$R$58*(4)+'LINEST VARS'!$Q$58*(0.5)+'LINEST VARS'!$P$58*(12.73)+'LINEST VARS'!$O$58*($AB$56^2)+'LINEST VARS'!$N$58*($Z65^2)+'LINEST VARS'!$M$58*(4^2)+'LINEST VARS'!$L$58*(0.5^2)+'LINEST VARS'!$K$58*(12.73^2)+'LINEST VARS'!$J$58*($AB$56*$Z65)+'LINEST VARS'!$I$58*($AB$56*4)+'LINEST VARS'!$H$58*($AB$56*0.5)+'LINEST VARS'!$G$58*($AB$56*12.73)+'LINEST VARS'!$F$58*($Z65*4)+'LINEST VARS'!$E$58*($Z65*0.5)+'LINEST VARS'!$D$58*($Z65*12.73)+'LINEST VARS'!$C$58*(4*0.5)+'LINEST VARS'!$B$58*(4*12.73)+'LINEST VARS'!$A$58*(0.5*12.73)</f>
        <v>0.94365000000000021</v>
      </c>
      <c r="AC65" s="51">
        <f>'LINEST VARS'!$U$58+'LINEST VARS'!$T$58*($AC$56)+'LINEST VARS'!$S$58*($Z65)+'LINEST VARS'!$R$58*(4)+'LINEST VARS'!$Q$58*(0.5)+'LINEST VARS'!$P$58*(12.73)+'LINEST VARS'!$O$58*($AC$56^2)+'LINEST VARS'!$N$58*($Z65^2)+'LINEST VARS'!$M$58*(4^2)+'LINEST VARS'!$L$58*(0.5^2)+'LINEST VARS'!$K$58*(12.73^2)+'LINEST VARS'!$J$58*($AC$56*$Z65)+'LINEST VARS'!$I$58*($AC$56*4)+'LINEST VARS'!$H$58*($AC$56*0.5)+'LINEST VARS'!$G$58*($AC$56*12.73)+'LINEST VARS'!$F$58*($Z65*4)+'LINEST VARS'!$E$58*($Z65*0.5)+'LINEST VARS'!$D$58*($Z65*12.73)+'LINEST VARS'!$C$58*(4*0.5)+'LINEST VARS'!$B$58*(4*12.73)+'LINEST VARS'!$A$58*(0.5*12.73)</f>
        <v>0.94365000000000032</v>
      </c>
      <c r="AD65" s="51">
        <f>'LINEST VARS'!$U$58+'LINEST VARS'!$T$58*($AD$56)+'LINEST VARS'!$S$58*($Z65)+'LINEST VARS'!$R$58*(4)+'LINEST VARS'!$Q$58*(0.5)+'LINEST VARS'!$P$58*(12.73)+'LINEST VARS'!$O$58*($AD$56^2)+'LINEST VARS'!$N$58*($Z65^2)+'LINEST VARS'!$M$58*(4^2)+'LINEST VARS'!$L$58*(0.5^2)+'LINEST VARS'!$K$58*(12.73^2)+'LINEST VARS'!$J$58*($AD$56*$Z65)+'LINEST VARS'!$I$58*($AD$56*4)+'LINEST VARS'!$H$58*($AD$56*0.5)+'LINEST VARS'!$G$58*($AD$56*12.73)+'LINEST VARS'!$F$58*($Z65*4)+'LINEST VARS'!$E$58*($Z65*0.5)+'LINEST VARS'!$D$58*($Z65*12.73)+'LINEST VARS'!$C$58*(4*0.5)+'LINEST VARS'!$B$58*(4*12.73)+'LINEST VARS'!$A$58*(0.5*12.73)</f>
        <v>0.94365000000000032</v>
      </c>
      <c r="AE65" s="51">
        <f>'LINEST VARS'!$U$58+'LINEST VARS'!$T$58*($AE$56)+'LINEST VARS'!$S$58*($Z65)+'LINEST VARS'!$R$58*(4)+'LINEST VARS'!$Q$58*(0.5)+'LINEST VARS'!$P$58*(12.73)+'LINEST VARS'!$O$58*($AE$56^2)+'LINEST VARS'!$N$58*($Z65^2)+'LINEST VARS'!$M$58*(4^2)+'LINEST VARS'!$L$58*(0.5^2)+'LINEST VARS'!$K$58*(12.73^2)+'LINEST VARS'!$J$58*($AE$56*$Z65)+'LINEST VARS'!$I$58*($AE$56*4)+'LINEST VARS'!$H$58*($AE$56*0.5)+'LINEST VARS'!$G$58*($AE$56*12.73)+'LINEST VARS'!$F$58*($Z65*4)+'LINEST VARS'!$E$58*($Z65*0.5)+'LINEST VARS'!$D$58*($Z65*12.73)+'LINEST VARS'!$C$58*(4*0.5)+'LINEST VARS'!$B$58*(4*12.73)+'LINEST VARS'!$A$58*(0.5*12.73)</f>
        <v>0.94365000000000032</v>
      </c>
      <c r="AF65" s="51">
        <f>'LINEST VARS'!$U$58+'LINEST VARS'!$T$58*($AF$56)+'LINEST VARS'!$S$58*($Z65)+'LINEST VARS'!$R$58*(4)+'LINEST VARS'!$Q$58*(0.5)+'LINEST VARS'!$P$58*(12.73)+'LINEST VARS'!$O$58*($AF$56^2)+'LINEST VARS'!$N$58*($Z65^2)+'LINEST VARS'!$M$58*(4^2)+'LINEST VARS'!$L$58*(0.5^2)+'LINEST VARS'!$K$58*(12.73^2)+'LINEST VARS'!$J$58*($AF$56*$Z65)+'LINEST VARS'!$I$58*($AF$56*4)+'LINEST VARS'!$H$58*($AF$56*0.5)+'LINEST VARS'!$G$58*($AF$56*12.73)+'LINEST VARS'!$F$58*($Z65*4)+'LINEST VARS'!$E$58*($Z65*0.5)+'LINEST VARS'!$D$58*($Z65*12.73)+'LINEST VARS'!$C$58*(4*0.5)+'LINEST VARS'!$B$58*(4*12.73)+'LINEST VARS'!$A$58*(0.5*12.73)</f>
        <v>0.94365000000000032</v>
      </c>
      <c r="AG65" s="51">
        <f>'LINEST VARS'!$U$58+'LINEST VARS'!$T$58*($AG$56)+'LINEST VARS'!$S$58*($Z65)+'LINEST VARS'!$R$58*(4)+'LINEST VARS'!$Q$58*(0.5)+'LINEST VARS'!$P$58*(12.73)+'LINEST VARS'!$O$58*($AG$56^2)+'LINEST VARS'!$N$58*($Z65^2)+'LINEST VARS'!$M$58*(4^2)+'LINEST VARS'!$L$58*(0.5^2)+'LINEST VARS'!$K$58*(12.73^2)+'LINEST VARS'!$J$58*($AG$56*$Z65)+'LINEST VARS'!$I$58*($AG$56*4)+'LINEST VARS'!$H$58*($AG$56*0.5)+'LINEST VARS'!$G$58*($AG$56*12.73)+'LINEST VARS'!$F$58*($Z65*4)+'LINEST VARS'!$E$58*($Z65*0.5)+'LINEST VARS'!$D$58*($Z65*12.73)+'LINEST VARS'!$C$58*(4*0.5)+'LINEST VARS'!$B$58*(4*12.73)+'LINEST VARS'!$A$58*(0.5*12.73)</f>
        <v>0.94365000000000032</v>
      </c>
      <c r="AH65" s="51">
        <f>'LINEST VARS'!$U$58+'LINEST VARS'!$T$58*($AH$56)+'LINEST VARS'!$S$58*($Z65)+'LINEST VARS'!$R$58*(4)+'LINEST VARS'!$Q$58*(0.5)+'LINEST VARS'!$P$58*(12.73)+'LINEST VARS'!$O$58*($AH$56^2)+'LINEST VARS'!$N$58*($Z65^2)+'LINEST VARS'!$M$58*(4^2)+'LINEST VARS'!$L$58*(0.5^2)+'LINEST VARS'!$K$58*(12.73^2)+'LINEST VARS'!$J$58*($AH$56*$Z65)+'LINEST VARS'!$I$58*($AH$56*4)+'LINEST VARS'!$H$58*($AH$56*0.5)+'LINEST VARS'!$G$58*($AH$56*12.73)+'LINEST VARS'!$F$58*($Z65*4)+'LINEST VARS'!$E$58*($Z65*0.5)+'LINEST VARS'!$D$58*($Z65*12.73)+'LINEST VARS'!$C$58*(4*0.5)+'LINEST VARS'!$B$58*(4*12.73)+'LINEST VARS'!$A$58*(0.5*12.73)</f>
        <v>0.94365000000000032</v>
      </c>
      <c r="AI65" s="51">
        <f>'LINEST VARS'!$U$58+'LINEST VARS'!$T$58*($AI$56)+'LINEST VARS'!$S$58*($Z65)+'LINEST VARS'!$R$58*(4)+'LINEST VARS'!$Q$58*(0.5)+'LINEST VARS'!$P$58*(12.73)+'LINEST VARS'!$O$58*($AI$56^2)+'LINEST VARS'!$N$58*($Z65^2)+'LINEST VARS'!$M$58*(4^2)+'LINEST VARS'!$L$58*(0.5^2)+'LINEST VARS'!$K$58*(12.73^2)+'LINEST VARS'!$J$58*($AI$56*$Z65)+'LINEST VARS'!$I$58*($AI$56*4)+'LINEST VARS'!$H$58*($AI$56*0.5)+'LINEST VARS'!$G$58*($AI$56*12.73)+'LINEST VARS'!$F$58*($Z65*4)+'LINEST VARS'!$E$58*($Z65*0.5)+'LINEST VARS'!$D$58*($Z65*12.73)+'LINEST VARS'!$C$58*(4*0.5)+'LINEST VARS'!$B$58*(4*12.73)+'LINEST VARS'!$A$58*(0.5*12.73)</f>
        <v>0.94365000000000021</v>
      </c>
      <c r="AJ65" s="51">
        <f>'LINEST VARS'!$U$58+'LINEST VARS'!$T$58*($AJ$56)+'LINEST VARS'!$S$58*($Z65)+'LINEST VARS'!$R$58*(4)+'LINEST VARS'!$Q$58*(0.5)+'LINEST VARS'!$P$58*(12.73)+'LINEST VARS'!$O$58*($AJ$56^2)+'LINEST VARS'!$N$58*($Z65^2)+'LINEST VARS'!$M$58*(4^2)+'LINEST VARS'!$L$58*(0.5^2)+'LINEST VARS'!$K$58*(12.73^2)+'LINEST VARS'!$J$58*($AJ$56*$Z65)+'LINEST VARS'!$I$58*($AJ$56*4)+'LINEST VARS'!$H$58*($AJ$56*0.5)+'LINEST VARS'!$G$58*($AJ$56*12.73)+'LINEST VARS'!$F$58*($Z65*4)+'LINEST VARS'!$E$58*($Z65*0.5)+'LINEST VARS'!$D$58*($Z65*12.73)+'LINEST VARS'!$C$58*(4*0.5)+'LINEST VARS'!$B$58*(4*12.73)+'LINEST VARS'!$A$58*(0.5*12.73)</f>
        <v>0.94365000000000021</v>
      </c>
      <c r="AK65" s="51">
        <f>'LINEST VARS'!$U$58+'LINEST VARS'!$T$58*($AK$56)+'LINEST VARS'!$S$58*($Z65)+'LINEST VARS'!$R$58*(4)+'LINEST VARS'!$Q$58*(0.5)+'LINEST VARS'!$P$58*(12.73)+'LINEST VARS'!$O$58*($AK$56^2)+'LINEST VARS'!$N$58*($Z65^2)+'LINEST VARS'!$M$58*(4^2)+'LINEST VARS'!$L$58*(0.5^2)+'LINEST VARS'!$K$58*(12.73^2)+'LINEST VARS'!$J$58*($AK$56*$Z65)+'LINEST VARS'!$I$58*($AK$56*4)+'LINEST VARS'!$H$58*($AK$56*0.5)+'LINEST VARS'!$G$58*($AK$56*12.73)+'LINEST VARS'!$F$58*($Z65*4)+'LINEST VARS'!$E$58*($Z65*0.5)+'LINEST VARS'!$D$58*($Z65*12.73)+'LINEST VARS'!$C$58*(4*0.5)+'LINEST VARS'!$B$58*(4*12.73)+'LINEST VARS'!$A$58*(0.5*12.73)</f>
        <v>0.94365000000000021</v>
      </c>
      <c r="AL65" s="51">
        <f>'LINEST VARS'!$U$58+'LINEST VARS'!$T$58*($AL$56)+'LINEST VARS'!$S$58*($Z65)+'LINEST VARS'!$R$58*(4)+'LINEST VARS'!$Q$58*(0.5)+'LINEST VARS'!$P$58*(12.73)+'LINEST VARS'!$O$58*($AL$56^2)+'LINEST VARS'!$N$58*($Z65^2)+'LINEST VARS'!$M$58*(4^2)+'LINEST VARS'!$L$58*(0.5^2)+'LINEST VARS'!$K$58*(12.73^2)+'LINEST VARS'!$J$58*($AL$56*$Z65)+'LINEST VARS'!$I$58*($AL$56*4)+'LINEST VARS'!$H$58*($AL$56*0.5)+'LINEST VARS'!$G$58*($AL$56*12.73)+'LINEST VARS'!$F$58*($Z65*4)+'LINEST VARS'!$E$58*($Z65*0.5)+'LINEST VARS'!$D$58*($Z65*12.73)+'LINEST VARS'!$C$58*(4*0.5)+'LINEST VARS'!$B$58*(4*12.73)+'LINEST VARS'!$A$58*(0.5*12.73)</f>
        <v>0.94365000000000021</v>
      </c>
      <c r="AM65" s="51">
        <f>'LINEST VARS'!$U$58+'LINEST VARS'!$T$58*($AM$56)+'LINEST VARS'!$S$58*($Z65)+'LINEST VARS'!$R$58*(4)+'LINEST VARS'!$Q$58*(0.5)+'LINEST VARS'!$P$58*(12.73)+'LINEST VARS'!$O$58*($AM$56^2)+'LINEST VARS'!$N$58*($Z65^2)+'LINEST VARS'!$M$58*(4^2)+'LINEST VARS'!$L$58*(0.5^2)+'LINEST VARS'!$K$58*(12.73^2)+'LINEST VARS'!$J$58*($AM$56*$Z65)+'LINEST VARS'!$I$58*($AM$56*4)+'LINEST VARS'!$H$58*($AM$56*0.5)+'LINEST VARS'!$G$58*($AM$56*12.73)+'LINEST VARS'!$F$58*($Z65*4)+'LINEST VARS'!$E$58*($Z65*0.5)+'LINEST VARS'!$D$58*($Z65*12.73)+'LINEST VARS'!$C$58*(4*0.5)+'LINEST VARS'!$B$58*(4*12.73)+'LINEST VARS'!$A$58*(0.5*12.73)</f>
        <v>0.94365000000000021</v>
      </c>
      <c r="AN65" s="51">
        <f>'LINEST VARS'!$U$58+'LINEST VARS'!$T$58*($AN$56)+'LINEST VARS'!$S$58*($Z65)+'LINEST VARS'!$R$58*(4)+'LINEST VARS'!$Q$58*(0.5)+'LINEST VARS'!$P$58*(12.73)+'LINEST VARS'!$O$58*($AN$56^2)+'LINEST VARS'!$N$58*($Z65^2)+'LINEST VARS'!$M$58*(4^2)+'LINEST VARS'!$L$58*(0.5^2)+'LINEST VARS'!$K$58*(12.73^2)+'LINEST VARS'!$J$58*($AN$56*$Z65)+'LINEST VARS'!$I$58*($AN$56*4)+'LINEST VARS'!$H$58*($AN$56*0.5)+'LINEST VARS'!$G$58*($AN$56*12.73)+'LINEST VARS'!$F$58*($Z65*4)+'LINEST VARS'!$E$58*($Z65*0.5)+'LINEST VARS'!$D$58*($Z65*12.73)+'LINEST VARS'!$C$58*(4*0.5)+'LINEST VARS'!$B$58*(4*12.73)+'LINEST VARS'!$A$58*(0.5*12.73)</f>
        <v>0.94365000000000021</v>
      </c>
      <c r="AO65" s="51">
        <f>'LINEST VARS'!$U$58+'LINEST VARS'!$T$58*($AO$56)+'LINEST VARS'!$S$58*($Z65)+'LINEST VARS'!$R$58*(4)+'LINEST VARS'!$Q$58*(0.5)+'LINEST VARS'!$P$58*(12.73)+'LINEST VARS'!$O$58*($AO$56^2)+'LINEST VARS'!$N$58*($Z65^2)+'LINEST VARS'!$M$58*(4^2)+'LINEST VARS'!$L$58*(0.5^2)+'LINEST VARS'!$K$58*(12.73^2)+'LINEST VARS'!$J$58*($AO$56*$Z65)+'LINEST VARS'!$I$58*($AO$56*4)+'LINEST VARS'!$H$58*($AO$56*0.5)+'LINEST VARS'!$G$58*($AO$56*12.73)+'LINEST VARS'!$F$58*($Z65*4)+'LINEST VARS'!$E$58*($Z65*0.5)+'LINEST VARS'!$D$58*($Z65*12.73)+'LINEST VARS'!$C$58*(4*0.5)+'LINEST VARS'!$B$58*(4*12.73)+'LINEST VARS'!$A$58*(0.5*12.73)</f>
        <v>0.94365000000000021</v>
      </c>
      <c r="AP65" s="51">
        <f>'LINEST VARS'!$U$58+'LINEST VARS'!$T$58*($AP$56)+'LINEST VARS'!$S$58*($Z65)+'LINEST VARS'!$R$58*(4)+'LINEST VARS'!$Q$58*(0.5)+'LINEST VARS'!$P$58*(12.73)+'LINEST VARS'!$O$58*($AP$56^2)+'LINEST VARS'!$N$58*($Z65^2)+'LINEST VARS'!$M$58*(4^2)+'LINEST VARS'!$L$58*(0.5^2)+'LINEST VARS'!$K$58*(12.73^2)+'LINEST VARS'!$J$58*($AP$56*$Z65)+'LINEST VARS'!$I$58*($AP$56*4)+'LINEST VARS'!$H$58*($AP$56*0.5)+'LINEST VARS'!$G$58*($AP$56*12.73)+'LINEST VARS'!$F$58*($Z65*4)+'LINEST VARS'!$E$58*($Z65*0.5)+'LINEST VARS'!$D$58*($Z65*12.73)+'LINEST VARS'!$C$58*(4*0.5)+'LINEST VARS'!$B$58*(4*12.73)+'LINEST VARS'!$A$58*(0.5*12.73)</f>
        <v>0.94365000000000021</v>
      </c>
      <c r="AQ65" s="51">
        <f>'LINEST VARS'!$U$58+'LINEST VARS'!$T$58*($AQ$56)+'LINEST VARS'!$S$58*($Z65)+'LINEST VARS'!$R$58*(4)+'LINEST VARS'!$Q$58*(0.5)+'LINEST VARS'!$P$58*(12.73)+'LINEST VARS'!$O$58*($AQ$56^2)+'LINEST VARS'!$N$58*($Z65^2)+'LINEST VARS'!$M$58*(4^2)+'LINEST VARS'!$L$58*(0.5^2)+'LINEST VARS'!$K$58*(12.73^2)+'LINEST VARS'!$J$58*($AQ$56*$Z65)+'LINEST VARS'!$I$58*($AQ$56*4)+'LINEST VARS'!$H$58*($AQ$56*0.5)+'LINEST VARS'!$G$58*($AQ$56*12.73)+'LINEST VARS'!$F$58*($Z65*4)+'LINEST VARS'!$E$58*($Z65*0.5)+'LINEST VARS'!$D$58*($Z65*12.73)+'LINEST VARS'!$C$58*(4*0.5)+'LINEST VARS'!$B$58*(4*12.73)+'LINEST VARS'!$A$58*(0.5*12.73)</f>
        <v>0.94365000000000021</v>
      </c>
      <c r="AR65" s="51">
        <f>'LINEST VARS'!$U$58+'LINEST VARS'!$T$58*($AR$56)+'LINEST VARS'!$S$58*($Z65)+'LINEST VARS'!$R$58*(4)+'LINEST VARS'!$Q$58*(0.5)+'LINEST VARS'!$P$58*(12.73)+'LINEST VARS'!$O$58*($AR$56^2)+'LINEST VARS'!$N$58*($Z65^2)+'LINEST VARS'!$M$58*(4^2)+'LINEST VARS'!$L$58*(0.5^2)+'LINEST VARS'!$K$58*(12.73^2)+'LINEST VARS'!$J$58*($AR$56*$Z65)+'LINEST VARS'!$I$58*($AR$56*4)+'LINEST VARS'!$H$58*($AR$56*0.5)+'LINEST VARS'!$G$58*($AR$56*12.73)+'LINEST VARS'!$F$58*($Z65*4)+'LINEST VARS'!$E$58*($Z65*0.5)+'LINEST VARS'!$D$58*($Z65*12.73)+'LINEST VARS'!$C$58*(4*0.5)+'LINEST VARS'!$B$58*(4*12.73)+'LINEST VARS'!$A$58*(0.5*12.73)</f>
        <v>0.94365000000000021</v>
      </c>
      <c r="AS65" s="51">
        <f>'LINEST VARS'!$U$58+'LINEST VARS'!$T$58*($AS$56)+'LINEST VARS'!$S$58*($Z65)+'LINEST VARS'!$R$58*(4)+'LINEST VARS'!$Q$58*(0.5)+'LINEST VARS'!$P$58*(12.73)+'LINEST VARS'!$O$58*($AS$56^2)+'LINEST VARS'!$N$58*($Z65^2)+'LINEST VARS'!$M$58*(4^2)+'LINEST VARS'!$L$58*(0.5^2)+'LINEST VARS'!$K$58*(12.73^2)+'LINEST VARS'!$J$58*($AS$56*$Z65)+'LINEST VARS'!$I$58*($AS$56*4)+'LINEST VARS'!$H$58*($AS$56*0.5)+'LINEST VARS'!$G$58*($AS$56*12.73)+'LINEST VARS'!$F$58*($Z65*4)+'LINEST VARS'!$E$58*($Z65*0.5)+'LINEST VARS'!$D$58*($Z65*12.73)+'LINEST VARS'!$C$58*(4*0.5)+'LINEST VARS'!$B$58*(4*12.73)+'LINEST VARS'!$A$58*(0.5*12.73)</f>
        <v>0.94365000000000021</v>
      </c>
      <c r="AT65" s="51">
        <f>'LINEST VARS'!$U$58+'LINEST VARS'!$T$58*($AT$56)+'LINEST VARS'!$S$58*($Z65)+'LINEST VARS'!$R$58*(4)+'LINEST VARS'!$Q$58*(0.5)+'LINEST VARS'!$P$58*(12.73)+'LINEST VARS'!$O$58*($AT$56^2)+'LINEST VARS'!$N$58*($Z65^2)+'LINEST VARS'!$M$58*(4^2)+'LINEST VARS'!$L$58*(0.5^2)+'LINEST VARS'!$K$58*(12.73^2)+'LINEST VARS'!$J$58*($AT$56*$Z65)+'LINEST VARS'!$I$58*($AT$56*4)+'LINEST VARS'!$H$58*($AT$56*0.5)+'LINEST VARS'!$G$58*($AT$56*12.73)+'LINEST VARS'!$F$58*($Z65*4)+'LINEST VARS'!$E$58*($Z65*0.5)+'LINEST VARS'!$D$58*($Z65*12.73)+'LINEST VARS'!$C$58*(4*0.5)+'LINEST VARS'!$B$58*(4*12.73)+'LINEST VARS'!$A$58*(0.5*12.73)</f>
        <v>0.94365000000000021</v>
      </c>
      <c r="AU65" s="52">
        <f>'LINEST VARS'!$U$58+'LINEST VARS'!$T$58*($AU$56)+'LINEST VARS'!$S$58*($Z65)+'LINEST VARS'!$R$58*(4)+'LINEST VARS'!$Q$58*(0.5)+'LINEST VARS'!$P$58*(12.73)+'LINEST VARS'!$O$58*($AU$56^2)+'LINEST VARS'!$N$58*($Z65^2)+'LINEST VARS'!$M$58*(4^2)+'LINEST VARS'!$L$58*(0.5^2)+'LINEST VARS'!$K$58*(12.73^2)+'LINEST VARS'!$J$58*($AU$56*$Z65)+'LINEST VARS'!$I$58*($AU$56*4)+'LINEST VARS'!$H$58*($AU$56*0.5)+'LINEST VARS'!$G$58*($AU$56*12.73)+'LINEST VARS'!$F$58*($Z65*4)+'LINEST VARS'!$E$58*($Z65*0.5)+'LINEST VARS'!$D$58*($Z65*12.73)+'LINEST VARS'!$C$58*(4*0.5)+'LINEST VARS'!$B$58*(4*12.73)+'LINEST VARS'!$A$58*(0.5*12.73)</f>
        <v>0.9436500000000001</v>
      </c>
      <c r="AZ65" s="45">
        <v>0.4</v>
      </c>
      <c r="BA65" s="51">
        <f>'LINEST VARS'!$U$56+'LINEST VARS'!$T$56*(8)+'LINEST VARS'!$S$56*(8)+'LINEST VARS'!$R$56*($BA$56)+'LINEST VARS'!$Q$56*($AZ65)+'LINEST VARS'!$P$56*(12.73)+'LINEST VARS'!$O$56*(8^2)+'LINEST VARS'!$N$56*(8^2)+'LINEST VARS'!$M$56*($BA$56^2)+'LINEST VARS'!$L$56*($AZ65^2)+'LINEST VARS'!$K$56*(12.73^2)+'LINEST VARS'!$J$56*(8*8)+'LINEST VARS'!$I$56*(8*$BA$56)+'LINEST VARS'!$H$56*(8*$AZ65)+'LINEST VARS'!$G$56*(8*12.73)+'LINEST VARS'!$F$56*(8*$BA$56)+'LINEST VARS'!$E$56*(8*$AZ65)+'LINEST VARS'!$D$56*(8*12.73)+'LINEST VARS'!$C$56*($BA$56*$AZ65)+'LINEST VARS'!$B$56*($BA$56*12.73)+'LINEST VARS'!$A$56*($AZ65*12.73)</f>
        <v>2.8000000000000016</v>
      </c>
      <c r="BB65" s="51">
        <f>'LINEST VARS'!$U$56+'LINEST VARS'!$T$56*(8)+'LINEST VARS'!$S$56*(8)+'LINEST VARS'!$R$56*($BB$56)+'LINEST VARS'!$Q$56*($AZ65)+'LINEST VARS'!$P$56*(12.73)+'LINEST VARS'!$O$56*(8^2)+'LINEST VARS'!$N$56*(8^2)+'LINEST VARS'!$M$56*($BB$56^2)+'LINEST VARS'!$L$56*($AZ65^2)+'LINEST VARS'!$K$56*(12.73^2)+'LINEST VARS'!$J$56*(8*8)+'LINEST VARS'!$I$56*(8*$BB$56)+'LINEST VARS'!$H$56*(8*$AZ65)+'LINEST VARS'!$G$56*(8*12.73)+'LINEST VARS'!$F$56*(8*$BB$56)+'LINEST VARS'!$E$56*(8*$AZ65)+'LINEST VARS'!$D$56*(8*12.73)+'LINEST VARS'!$C$56*($BB$56*$AZ65)+'LINEST VARS'!$B$56*($BB$56*12.73)+'LINEST VARS'!$A$56*($AZ65*12.73)</f>
        <v>2.8184000000000018</v>
      </c>
      <c r="BC65" s="51">
        <f>'LINEST VARS'!$U$56+'LINEST VARS'!$T$56*(8)+'LINEST VARS'!$S$56*(8)+'LINEST VARS'!$R$56*($BC$56)+'LINEST VARS'!$Q$56*($AZ65)+'LINEST VARS'!$P$56*(12.73)+'LINEST VARS'!$O$56*(8^2)+'LINEST VARS'!$N$56*(8^2)+'LINEST VARS'!$M$56*($BC$56^2)+'LINEST VARS'!$L$56*($AZ65^2)+'LINEST VARS'!$K$56*(12.73^2)+'LINEST VARS'!$J$56*(8*8)+'LINEST VARS'!$I$56*(8*$BC$56)+'LINEST VARS'!$H$56*(8*$AZ65)+'LINEST VARS'!$G$56*(8*12.73)+'LINEST VARS'!$F$56*(8*$BC$56)+'LINEST VARS'!$E$56*(8*$AZ65)+'LINEST VARS'!$D$56*(8*12.73)+'LINEST VARS'!$C$56*($BC$56*$AZ65)+'LINEST VARS'!$B$56*($BC$56*12.73)+'LINEST VARS'!$A$56*($AZ65*12.73)</f>
        <v>2.8336000000000015</v>
      </c>
      <c r="BD65" s="51">
        <f>'LINEST VARS'!$U$56+'LINEST VARS'!$T$56*(8)+'LINEST VARS'!$S$56*(8)+'LINEST VARS'!$R$56*($BD$56)+'LINEST VARS'!$Q$56*($AZ65)+'LINEST VARS'!$P$56*(12.73)+'LINEST VARS'!$O$56*(8^2)+'LINEST VARS'!$N$56*(8^2)+'LINEST VARS'!$M$56*($BD$56^2)+'LINEST VARS'!$L$56*($AZ65^2)+'LINEST VARS'!$K$56*(12.73^2)+'LINEST VARS'!$J$56*(8*8)+'LINEST VARS'!$I$56*(8*$BD$56)+'LINEST VARS'!$H$56*(8*$AZ65)+'LINEST VARS'!$G$56*(8*12.73)+'LINEST VARS'!$F$56*(8*$BD$56)+'LINEST VARS'!$E$56*(8*$AZ65)+'LINEST VARS'!$D$56*(8*12.73)+'LINEST VARS'!$C$56*($BD$56*$AZ65)+'LINEST VARS'!$B$56*($BD$56*12.73)+'LINEST VARS'!$A$56*($AZ65*12.73)</f>
        <v>2.8456000000000015</v>
      </c>
      <c r="BE65" s="51">
        <f>'LINEST VARS'!$U$56+'LINEST VARS'!$T$56*(8)+'LINEST VARS'!$S$56*(8)+'LINEST VARS'!$R$56*($BE$56)+'LINEST VARS'!$Q$56*($AZ65)+'LINEST VARS'!$P$56*(12.73)+'LINEST VARS'!$O$56*(8^2)+'LINEST VARS'!$N$56*(8^2)+'LINEST VARS'!$M$56*($BE$56^2)+'LINEST VARS'!$L$56*($AZ65^2)+'LINEST VARS'!$K$56*(12.73^2)+'LINEST VARS'!$J$56*(8*8)+'LINEST VARS'!$I$56*(8*$BE$56)+'LINEST VARS'!$H$56*(8*$AZ65)+'LINEST VARS'!$G$56*(8*12.73)+'LINEST VARS'!$F$56*(8*$BE$56)+'LINEST VARS'!$E$56*(8*$AZ65)+'LINEST VARS'!$D$56*(8*12.73)+'LINEST VARS'!$C$56*($BE$56*$AZ65)+'LINEST VARS'!$B$56*($BE$56*12.73)+'LINEST VARS'!$A$56*($AZ65*12.73)</f>
        <v>2.8544000000000018</v>
      </c>
      <c r="BF65" s="51">
        <f>'LINEST VARS'!$U$56+'LINEST VARS'!$T$56*(8)+'LINEST VARS'!$S$56*(8)+'LINEST VARS'!$R$56*($BF$56)+'LINEST VARS'!$Q$56*($AZ65)+'LINEST VARS'!$P$56*(12.73)+'LINEST VARS'!$O$56*(8^2)+'LINEST VARS'!$N$56*(8^2)+'LINEST VARS'!$M$56*($BF$56^2)+'LINEST VARS'!$L$56*($AZ65^2)+'LINEST VARS'!$K$56*(12.73^2)+'LINEST VARS'!$J$56*(8*8)+'LINEST VARS'!$I$56*(8*$BF$56)+'LINEST VARS'!$H$56*(8*$AZ65)+'LINEST VARS'!$G$56*(8*12.73)+'LINEST VARS'!$F$56*(8*$BF$56)+'LINEST VARS'!$E$56*(8*$AZ65)+'LINEST VARS'!$D$56*(8*12.73)+'LINEST VARS'!$C$56*($BF$56*$AZ65)+'LINEST VARS'!$B$56*($BF$56*12.73)+'LINEST VARS'!$A$56*($AZ65*12.73)</f>
        <v>2.8600000000000017</v>
      </c>
      <c r="BG65" s="51">
        <f>'LINEST VARS'!$U$56+'LINEST VARS'!$T$56*(8)+'LINEST VARS'!$S$56*(8)+'LINEST VARS'!$R$56*($BG$56)+'LINEST VARS'!$Q$56*($AZ65)+'LINEST VARS'!$P$56*(12.73)+'LINEST VARS'!$O$56*(8^2)+'LINEST VARS'!$N$56*(8^2)+'LINEST VARS'!$M$56*($BG$56^2)+'LINEST VARS'!$L$56*($AZ65^2)+'LINEST VARS'!$K$56*(12.73^2)+'LINEST VARS'!$J$56*(8*8)+'LINEST VARS'!$I$56*(8*$BG$56)+'LINEST VARS'!$H$56*(8*$AZ65)+'LINEST VARS'!$G$56*(8*12.73)+'LINEST VARS'!$F$56*(8*$BG$56)+'LINEST VARS'!$E$56*(8*$AZ65)+'LINEST VARS'!$D$56*(8*12.73)+'LINEST VARS'!$C$56*($BG$56*$AZ65)+'LINEST VARS'!$B$56*($BG$56*12.73)+'LINEST VARS'!$A$56*($AZ65*12.73)</f>
        <v>2.8624000000000018</v>
      </c>
      <c r="BH65" s="51">
        <f>'LINEST VARS'!$U$56+'LINEST VARS'!$T$56*(8)+'LINEST VARS'!$S$56*(8)+'LINEST VARS'!$R$56*($BH$56)+'LINEST VARS'!$Q$56*($AZ65)+'LINEST VARS'!$P$56*(12.73)+'LINEST VARS'!$O$56*(8^2)+'LINEST VARS'!$N$56*(8^2)+'LINEST VARS'!$M$56*($BH$56^2)+'LINEST VARS'!$L$56*($AZ65^2)+'LINEST VARS'!$K$56*(12.73^2)+'LINEST VARS'!$J$56*(8*8)+'LINEST VARS'!$I$56*(8*$BH$56)+'LINEST VARS'!$H$56*(8*$AZ65)+'LINEST VARS'!$G$56*(8*12.73)+'LINEST VARS'!$F$56*(8*$BH$56)+'LINEST VARS'!$E$56*(8*$AZ65)+'LINEST VARS'!$D$56*(8*12.73)+'LINEST VARS'!$C$56*($BH$56*$AZ65)+'LINEST VARS'!$B$56*($BH$56*12.73)+'LINEST VARS'!$A$56*($AZ65*12.73)</f>
        <v>2.8616000000000015</v>
      </c>
      <c r="BI65" s="51">
        <f>'LINEST VARS'!$U$56+'LINEST VARS'!$T$56*(8)+'LINEST VARS'!$S$56*(8)+'LINEST VARS'!$R$56*($BI$56)+'LINEST VARS'!$Q$56*($AZ65)+'LINEST VARS'!$P$56*(12.73)+'LINEST VARS'!$O$56*(8^2)+'LINEST VARS'!$N$56*(8^2)+'LINEST VARS'!$M$56*($BI$56^2)+'LINEST VARS'!$L$56*($AZ65^2)+'LINEST VARS'!$K$56*(12.73^2)+'LINEST VARS'!$J$56*(8*8)+'LINEST VARS'!$I$56*(8*$BI$56)+'LINEST VARS'!$H$56*(8*$AZ65)+'LINEST VARS'!$G$56*(8*12.73)+'LINEST VARS'!$F$56*(8*$BI$56)+'LINEST VARS'!$E$56*(8*$AZ65)+'LINEST VARS'!$D$56*(8*12.73)+'LINEST VARS'!$C$56*($BI$56*$AZ65)+'LINEST VARS'!$B$56*($BI$56*12.73)+'LINEST VARS'!$A$56*($AZ65*12.73)</f>
        <v>2.8576000000000015</v>
      </c>
      <c r="BJ65" s="51">
        <f>'LINEST VARS'!$U$56+'LINEST VARS'!$T$56*(8)+'LINEST VARS'!$S$56*(8)+'LINEST VARS'!$R$56*($BJ$56)+'LINEST VARS'!$Q$56*($AZ65)+'LINEST VARS'!$P$56*(12.73)+'LINEST VARS'!$O$56*(8^2)+'LINEST VARS'!$N$56*(8^2)+'LINEST VARS'!$M$56*($BJ$56^2)+'LINEST VARS'!$L$56*($AZ65^2)+'LINEST VARS'!$K$56*(12.73^2)+'LINEST VARS'!$J$56*(8*8)+'LINEST VARS'!$I$56*(8*$BJ$56)+'LINEST VARS'!$H$56*(8*$AZ65)+'LINEST VARS'!$G$56*(8*12.73)+'LINEST VARS'!$F$56*(8*$BJ$56)+'LINEST VARS'!$E$56*(8*$AZ65)+'LINEST VARS'!$D$56*(8*12.73)+'LINEST VARS'!$C$56*($BJ$56*$AZ65)+'LINEST VARS'!$B$56*($BJ$56*12.73)+'LINEST VARS'!$A$56*($AZ65*12.73)</f>
        <v>2.8504000000000018</v>
      </c>
      <c r="BK65" s="51">
        <f>'LINEST VARS'!$U$56+'LINEST VARS'!$T$56*(8)+'LINEST VARS'!$S$56*(8)+'LINEST VARS'!$R$56*($BK$56)+'LINEST VARS'!$Q$56*($AZ65)+'LINEST VARS'!$P$56*(12.73)+'LINEST VARS'!$O$56*(8^2)+'LINEST VARS'!$N$56*(8^2)+'LINEST VARS'!$M$56*($BK$56^2)+'LINEST VARS'!$L$56*($AZ65^2)+'LINEST VARS'!$K$56*(12.73^2)+'LINEST VARS'!$J$56*(8*8)+'LINEST VARS'!$I$56*(8*$BK$56)+'LINEST VARS'!$H$56*(8*$AZ65)+'LINEST VARS'!$G$56*(8*12.73)+'LINEST VARS'!$F$56*(8*$BK$56)+'LINEST VARS'!$E$56*(8*$AZ65)+'LINEST VARS'!$D$56*(8*12.73)+'LINEST VARS'!$C$56*($BK$56*$AZ65)+'LINEST VARS'!$B$56*($BK$56*12.73)+'LINEST VARS'!$A$56*($AZ65*12.73)</f>
        <v>2.8400000000000016</v>
      </c>
      <c r="BL65" s="51">
        <f>'LINEST VARS'!$U$56+'LINEST VARS'!$T$56*(8)+'LINEST VARS'!$S$56*(8)+'LINEST VARS'!$R$56*($BL$56)+'LINEST VARS'!$Q$56*($AZ65)+'LINEST VARS'!$P$56*(12.73)+'LINEST VARS'!$O$56*(8^2)+'LINEST VARS'!$N$56*(8^2)+'LINEST VARS'!$M$56*($BL$56^2)+'LINEST VARS'!$L$56*($AZ65^2)+'LINEST VARS'!$K$56*(12.73^2)+'LINEST VARS'!$J$56*(8*8)+'LINEST VARS'!$I$56*(8*$BL$56)+'LINEST VARS'!$H$56*(8*$AZ65)+'LINEST VARS'!$G$56*(8*12.73)+'LINEST VARS'!$F$56*(8*$BL$56)+'LINEST VARS'!$E$56*(8*$AZ65)+'LINEST VARS'!$D$56*(8*12.73)+'LINEST VARS'!$C$56*($BL$56*$AZ65)+'LINEST VARS'!$B$56*($BL$56*12.73)+'LINEST VARS'!$A$56*($AZ65*12.73)</f>
        <v>2.8264000000000018</v>
      </c>
      <c r="BM65" s="51">
        <f>'LINEST VARS'!$U$56+'LINEST VARS'!$T$56*(8)+'LINEST VARS'!$S$56*(8)+'LINEST VARS'!$R$56*($BM$56)+'LINEST VARS'!$Q$56*($AZ65)+'LINEST VARS'!$P$56*(12.73)+'LINEST VARS'!$O$56*(8^2)+'LINEST VARS'!$N$56*(8^2)+'LINEST VARS'!$M$56*($BM$56^2)+'LINEST VARS'!$L$56*($AZ65^2)+'LINEST VARS'!$K$56*(12.73^2)+'LINEST VARS'!$J$56*(8*8)+'LINEST VARS'!$I$56*(8*$BM$56)+'LINEST VARS'!$H$56*(8*$AZ65)+'LINEST VARS'!$G$56*(8*12.73)+'LINEST VARS'!$F$56*(8*$BM$56)+'LINEST VARS'!$E$56*(8*$AZ65)+'LINEST VARS'!$D$56*(8*12.73)+'LINEST VARS'!$C$56*($BM$56*$AZ65)+'LINEST VARS'!$B$56*($BM$56*12.73)+'LINEST VARS'!$A$56*($AZ65*12.73)</f>
        <v>2.8096000000000014</v>
      </c>
      <c r="BN65" s="51">
        <f>'LINEST VARS'!$U$56+'LINEST VARS'!$T$56*(8)+'LINEST VARS'!$S$56*(8)+'LINEST VARS'!$R$56*($BN$56)+'LINEST VARS'!$Q$56*($AZ65)+'LINEST VARS'!$P$56*(12.73)+'LINEST VARS'!$O$56*(8^2)+'LINEST VARS'!$N$56*(8^2)+'LINEST VARS'!$M$56*($BN$56^2)+'LINEST VARS'!$L$56*($AZ65^2)+'LINEST VARS'!$K$56*(12.73^2)+'LINEST VARS'!$J$56*(8*8)+'LINEST VARS'!$I$56*(8*$BN$56)+'LINEST VARS'!$H$56*(8*$AZ65)+'LINEST VARS'!$G$56*(8*12.73)+'LINEST VARS'!$F$56*(8*$BN$56)+'LINEST VARS'!$E$56*(8*$AZ65)+'LINEST VARS'!$D$56*(8*12.73)+'LINEST VARS'!$C$56*($BN$56*$AZ65)+'LINEST VARS'!$B$56*($BN$56*12.73)+'LINEST VARS'!$A$56*($AZ65*12.73)</f>
        <v>2.7896000000000014</v>
      </c>
      <c r="BO65" s="51">
        <f>'LINEST VARS'!$U$56+'LINEST VARS'!$T$56*(8)+'LINEST VARS'!$S$56*(8)+'LINEST VARS'!$R$56*($BO$56)+'LINEST VARS'!$Q$56*($AZ65)+'LINEST VARS'!$P$56*(12.73)+'LINEST VARS'!$O$56*(8^2)+'LINEST VARS'!$N$56*(8^2)+'LINEST VARS'!$M$56*($BO$56^2)+'LINEST VARS'!$L$56*($AZ65^2)+'LINEST VARS'!$K$56*(12.73^2)+'LINEST VARS'!$J$56*(8*8)+'LINEST VARS'!$I$56*(8*$BO$56)+'LINEST VARS'!$H$56*(8*$AZ65)+'LINEST VARS'!$G$56*(8*12.73)+'LINEST VARS'!$F$56*(8*$BO$56)+'LINEST VARS'!$E$56*(8*$AZ65)+'LINEST VARS'!$D$56*(8*12.73)+'LINEST VARS'!$C$56*($BO$56*$AZ65)+'LINEST VARS'!$B$56*($BO$56*12.73)+'LINEST VARS'!$A$56*($AZ65*12.73)</f>
        <v>2.7664000000000017</v>
      </c>
      <c r="BP65" s="51">
        <f>'LINEST VARS'!$U$56+'LINEST VARS'!$T$56*(8)+'LINEST VARS'!$S$56*(8)+'LINEST VARS'!$R$56*($BP$56)+'LINEST VARS'!$Q$56*($AZ65)+'LINEST VARS'!$P$56*(12.73)+'LINEST VARS'!$O$56*(8^2)+'LINEST VARS'!$N$56*(8^2)+'LINEST VARS'!$M$56*($BP$56^2)+'LINEST VARS'!$L$56*($AZ65^2)+'LINEST VARS'!$K$56*(12.73^2)+'LINEST VARS'!$J$56*(8*8)+'LINEST VARS'!$I$56*(8*$BP$56)+'LINEST VARS'!$H$56*(8*$AZ65)+'LINEST VARS'!$G$56*(8*12.73)+'LINEST VARS'!$F$56*(8*$BP$56)+'LINEST VARS'!$E$56*(8*$AZ65)+'LINEST VARS'!$D$56*(8*12.73)+'LINEST VARS'!$C$56*($BP$56*$AZ65)+'LINEST VARS'!$B$56*($BP$56*12.73)+'LINEST VARS'!$A$56*($AZ65*12.73)</f>
        <v>2.7400000000000015</v>
      </c>
      <c r="BQ65" s="51">
        <f>'LINEST VARS'!$U$56+'LINEST VARS'!$T$56*(8)+'LINEST VARS'!$S$56*(8)+'LINEST VARS'!$R$56*($BQ$56)+'LINEST VARS'!$Q$56*($AZ65)+'LINEST VARS'!$P$56*(12.73)+'LINEST VARS'!$O$56*(8^2)+'LINEST VARS'!$N$56*(8^2)+'LINEST VARS'!$M$56*($BQ$56^2)+'LINEST VARS'!$L$56*($AZ65^2)+'LINEST VARS'!$K$56*(12.73^2)+'LINEST VARS'!$J$56*(8*8)+'LINEST VARS'!$I$56*(8*$BQ$56)+'LINEST VARS'!$H$56*(8*$AZ65)+'LINEST VARS'!$G$56*(8*12.73)+'LINEST VARS'!$F$56*(8*$BQ$56)+'LINEST VARS'!$E$56*(8*$AZ65)+'LINEST VARS'!$D$56*(8*12.73)+'LINEST VARS'!$C$56*($BQ$56*$AZ65)+'LINEST VARS'!$B$56*($BQ$56*12.73)+'LINEST VARS'!$A$56*($AZ65*12.73)</f>
        <v>2.7104000000000013</v>
      </c>
      <c r="BR65" s="51">
        <f>'LINEST VARS'!$U$56+'LINEST VARS'!$T$56*(8)+'LINEST VARS'!$S$56*(8)+'LINEST VARS'!$R$56*($BR$56)+'LINEST VARS'!$Q$56*($AZ65)+'LINEST VARS'!$P$56*(12.73)+'LINEST VARS'!$O$56*(8^2)+'LINEST VARS'!$N$56*(8^2)+'LINEST VARS'!$M$56*($BR$56^2)+'LINEST VARS'!$L$56*($AZ65^2)+'LINEST VARS'!$K$56*(12.73^2)+'LINEST VARS'!$J$56*(8*8)+'LINEST VARS'!$I$56*(8*$BR$56)+'LINEST VARS'!$H$56*(8*$AZ65)+'LINEST VARS'!$G$56*(8*12.73)+'LINEST VARS'!$F$56*(8*$BR$56)+'LINEST VARS'!$E$56*(8*$AZ65)+'LINEST VARS'!$D$56*(8*12.73)+'LINEST VARS'!$C$56*($BR$56*$AZ65)+'LINEST VARS'!$B$56*($BR$56*12.73)+'LINEST VARS'!$A$56*($AZ65*12.73)</f>
        <v>2.6776000000000013</v>
      </c>
      <c r="BS65" s="51">
        <f>'LINEST VARS'!$U$56+'LINEST VARS'!$T$56*(8)+'LINEST VARS'!$S$56*(8)+'LINEST VARS'!$R$56*($BS$56)+'LINEST VARS'!$Q$56*($AZ65)+'LINEST VARS'!$P$56*(12.73)+'LINEST VARS'!$O$56*(8^2)+'LINEST VARS'!$N$56*(8^2)+'LINEST VARS'!$M$56*($BS$56^2)+'LINEST VARS'!$L$56*($AZ65^2)+'LINEST VARS'!$K$56*(12.73^2)+'LINEST VARS'!$J$56*(8*8)+'LINEST VARS'!$I$56*(8*$BS$56)+'LINEST VARS'!$H$56*(8*$AZ65)+'LINEST VARS'!$G$56*(8*12.73)+'LINEST VARS'!$F$56*(8*$BS$56)+'LINEST VARS'!$E$56*(8*$AZ65)+'LINEST VARS'!$D$56*(8*12.73)+'LINEST VARS'!$C$56*($BS$56*$AZ65)+'LINEST VARS'!$B$56*($BS$56*12.73)+'LINEST VARS'!$A$56*($AZ65*12.73)</f>
        <v>2.6416000000000013</v>
      </c>
      <c r="BT65" s="51">
        <f>'LINEST VARS'!$U$56+'LINEST VARS'!$T$56*(8)+'LINEST VARS'!$S$56*(8)+'LINEST VARS'!$R$56*($BT$56)+'LINEST VARS'!$Q$56*($AZ65)+'LINEST VARS'!$P$56*(12.73)+'LINEST VARS'!$O$56*(8^2)+'LINEST VARS'!$N$56*(8^2)+'LINEST VARS'!$M$56*($BT$56^2)+'LINEST VARS'!$L$56*($AZ65^2)+'LINEST VARS'!$K$56*(12.73^2)+'LINEST VARS'!$J$56*(8*8)+'LINEST VARS'!$I$56*(8*$BT$56)+'LINEST VARS'!$H$56*(8*$AZ65)+'LINEST VARS'!$G$56*(8*12.73)+'LINEST VARS'!$F$56*(8*$BT$56)+'LINEST VARS'!$E$56*(8*$AZ65)+'LINEST VARS'!$D$56*(8*12.73)+'LINEST VARS'!$C$56*($BT$56*$AZ65)+'LINEST VARS'!$B$56*($BT$56*12.73)+'LINEST VARS'!$A$56*($AZ65*12.73)</f>
        <v>2.6024000000000016</v>
      </c>
      <c r="BU65" s="52">
        <f>'LINEST VARS'!$U$56+'LINEST VARS'!$T$56*(8)+'LINEST VARS'!$S$56*(8)+'LINEST VARS'!$R$56*($BU$56)+'LINEST VARS'!$Q$56*($AZ65)+'LINEST VARS'!$P$56*(12.73)+'LINEST VARS'!$O$56*(8^2)+'LINEST VARS'!$N$56*(8^2)+'LINEST VARS'!$M$56*($BU$56^2)+'LINEST VARS'!$L$56*($AZ65^2)+'LINEST VARS'!$K$56*(12.73^2)+'LINEST VARS'!$J$56*(8*8)+'LINEST VARS'!$I$56*(8*$BU$56)+'LINEST VARS'!$H$56*(8*$AZ65)+'LINEST VARS'!$G$56*(8*12.73)+'LINEST VARS'!$F$56*(8*$BU$56)+'LINEST VARS'!$E$56*(8*$AZ65)+'LINEST VARS'!$D$56*(8*12.73)+'LINEST VARS'!$C$56*($BU$56*$AZ65)+'LINEST VARS'!$B$56*($BU$56*12.73)+'LINEST VARS'!$A$56*($AZ65*12.73)</f>
        <v>2.5600000000000014</v>
      </c>
      <c r="BX65" s="45">
        <v>0.4</v>
      </c>
      <c r="BY65" s="51">
        <f>'LINEST VARS'!$U$58+'LINEST VARS'!$T$58*(8)+'LINEST VARS'!$S$58*(8)+'LINEST VARS'!$R$58*($BY$56)+'LINEST VARS'!$Q$58*($BX65)+'LINEST VARS'!$P$58*(12.73)+'LINEST VARS'!$O$58*(8^2)+'LINEST VARS'!$N$58*(8^2)+'LINEST VARS'!$M$58*($BY$56^2)+'LINEST VARS'!$L$58*($BX65^2)+'LINEST VARS'!$K$58*(12.73^2)+'LINEST VARS'!$J$58*(8*8)+'LINEST VARS'!$I$58*(8*$BY$56)+'LINEST VARS'!$H$58*(8*$BX65)+'LINEST VARS'!$G$58*(8*12.73)+'LINEST VARS'!$F$58*(8*$BY$56)+'LINEST VARS'!$E$58*(8*$BX65)+'LINEST VARS'!$D$58*(8*12.73)+'LINEST VARS'!$C$58*($BY$56*$BX65)+'LINEST VARS'!$B$58*($BY$56*12.73)+'LINEST VARS'!$A$58*($BX65*12.73)</f>
        <v>0.86365000000000036</v>
      </c>
      <c r="BZ65" s="51">
        <f>'LINEST VARS'!$U$58+'LINEST VARS'!$T$58*(8)+'LINEST VARS'!$S$58*(8)+'LINEST VARS'!$R$58*($BZ$56)+'LINEST VARS'!$Q$58*($BX65)+'LINEST VARS'!$P$58*(12.73)+'LINEST VARS'!$O$58*(8^2)+'LINEST VARS'!$N$58*(8^2)+'LINEST VARS'!$M$58*($BZ$56^2)+'LINEST VARS'!$L$58*($BX65^2)+'LINEST VARS'!$K$58*(12.73^2)+'LINEST VARS'!$J$58*(8*8)+'LINEST VARS'!$I$58*(8*$BZ$56)+'LINEST VARS'!$H$58*(8*$BX65)+'LINEST VARS'!$G$58*(8*12.73)+'LINEST VARS'!$F$58*(8*$BZ$56)+'LINEST VARS'!$E$58*(8*$BX65)+'LINEST VARS'!$D$58*(8*12.73)+'LINEST VARS'!$C$58*($BZ$56*$BX65)+'LINEST VARS'!$B$58*($BZ$56*12.73)+'LINEST VARS'!$A$58*($BX65*12.73)</f>
        <v>0.87165000000000037</v>
      </c>
      <c r="CA65" s="51">
        <f>'LINEST VARS'!$U$58+'LINEST VARS'!$T$58*(8)+'LINEST VARS'!$S$58*(8)+'LINEST VARS'!$R$58*($CA$56)+'LINEST VARS'!$Q$58*($BX65)+'LINEST VARS'!$P$58*(12.73)+'LINEST VARS'!$O$58*(8^2)+'LINEST VARS'!$N$58*(8^2)+'LINEST VARS'!$M$58*($CA$56^2)+'LINEST VARS'!$L$58*($BX65^2)+'LINEST VARS'!$K$58*(12.73^2)+'LINEST VARS'!$J$58*(8*8)+'LINEST VARS'!$I$58*(8*$CA$56)+'LINEST VARS'!$H$58*(8*$BX65)+'LINEST VARS'!$G$58*(8*12.73)+'LINEST VARS'!$F$58*(8*$CA$56)+'LINEST VARS'!$E$58*(8*$BX65)+'LINEST VARS'!$D$58*(8*12.73)+'LINEST VARS'!$C$58*($CA$56*$BX65)+'LINEST VARS'!$B$58*($CA$56*12.73)+'LINEST VARS'!$A$58*($BX65*12.73)</f>
        <v>0.87965000000000027</v>
      </c>
      <c r="CB65" s="51">
        <f>'LINEST VARS'!$U$58+'LINEST VARS'!$T$58*(8)+'LINEST VARS'!$S$58*(8)+'LINEST VARS'!$R$58*($CB$56)+'LINEST VARS'!$Q$58*($BX65)+'LINEST VARS'!$P$58*(12.73)+'LINEST VARS'!$O$58*(8^2)+'LINEST VARS'!$N$58*(8^2)+'LINEST VARS'!$M$58*($CB$56^2)+'LINEST VARS'!$L$58*($BX65^2)+'LINEST VARS'!$K$58*(12.73^2)+'LINEST VARS'!$J$58*(8*8)+'LINEST VARS'!$I$58*(8*$CB$56)+'LINEST VARS'!$H$58*(8*$BX65)+'LINEST VARS'!$G$58*(8*12.73)+'LINEST VARS'!$F$58*(8*$CB$56)+'LINEST VARS'!$E$58*(8*$BX65)+'LINEST VARS'!$D$58*(8*12.73)+'LINEST VARS'!$C$58*($CB$56*$BX65)+'LINEST VARS'!$B$58*($CB$56*12.73)+'LINEST VARS'!$A$58*($BX65*12.73)</f>
        <v>0.88765000000000027</v>
      </c>
      <c r="CC65" s="51">
        <f>'LINEST VARS'!$U$58+'LINEST VARS'!$T$58*(8)+'LINEST VARS'!$S$58*(8)+'LINEST VARS'!$R$58*($CC$56)+'LINEST VARS'!$Q$58*($BX65)+'LINEST VARS'!$P$58*(12.73)+'LINEST VARS'!$O$58*(8^2)+'LINEST VARS'!$N$58*(8^2)+'LINEST VARS'!$M$58*($CC$56^2)+'LINEST VARS'!$L$58*($BX65^2)+'LINEST VARS'!$K$58*(12.73^2)+'LINEST VARS'!$J$58*(8*8)+'LINEST VARS'!$I$58*(8*$CC$56)+'LINEST VARS'!$H$58*(8*$BX65)+'LINEST VARS'!$G$58*(8*12.73)+'LINEST VARS'!$F$58*(8*$CC$56)+'LINEST VARS'!$E$58*(8*$BX65)+'LINEST VARS'!$D$58*(8*12.73)+'LINEST VARS'!$C$58*($CC$56*$BX65)+'LINEST VARS'!$B$58*($CC$56*12.73)+'LINEST VARS'!$A$58*($BX65*12.73)</f>
        <v>0.89565000000000017</v>
      </c>
      <c r="CD65" s="51">
        <f>'LINEST VARS'!$U$58+'LINEST VARS'!$T$58*(8)+'LINEST VARS'!$S$58*(8)+'LINEST VARS'!$R$58*($CD$56)+'LINEST VARS'!$Q$58*($BX65)+'LINEST VARS'!$P$58*(12.73)+'LINEST VARS'!$O$58*(8^2)+'LINEST VARS'!$N$58*(8^2)+'LINEST VARS'!$M$58*($CD$56^2)+'LINEST VARS'!$L$58*($BX65^2)+'LINEST VARS'!$K$58*(12.73^2)+'LINEST VARS'!$J$58*(8*8)+'LINEST VARS'!$I$58*(8*$CD$56)+'LINEST VARS'!$H$58*(8*$BX65)+'LINEST VARS'!$G$58*(8*12.73)+'LINEST VARS'!$F$58*(8*$CD$56)+'LINEST VARS'!$E$58*(8*$BX65)+'LINEST VARS'!$D$58*(8*12.73)+'LINEST VARS'!$C$58*($CD$56*$BX65)+'LINEST VARS'!$B$58*($CD$56*12.73)+'LINEST VARS'!$A$58*($BX65*12.73)</f>
        <v>0.90365000000000029</v>
      </c>
      <c r="CE65" s="51">
        <f>'LINEST VARS'!$U$58+'LINEST VARS'!$T$58*(8)+'LINEST VARS'!$S$58*(8)+'LINEST VARS'!$R$58*($CE$56)+'LINEST VARS'!$Q$58*($BX65)+'LINEST VARS'!$P$58*(12.73)+'LINEST VARS'!$O$58*(8^2)+'LINEST VARS'!$N$58*(8^2)+'LINEST VARS'!$M$58*($CE$56^2)+'LINEST VARS'!$L$58*($BX65^2)+'LINEST VARS'!$K$58*(12.73^2)+'LINEST VARS'!$J$58*(8*8)+'LINEST VARS'!$I$58*(8*$CE$56)+'LINEST VARS'!$H$58*(8*$BX65)+'LINEST VARS'!$G$58*(8*12.73)+'LINEST VARS'!$F$58*(8*$CE$56)+'LINEST VARS'!$E$58*(8*$BX65)+'LINEST VARS'!$D$58*(8*12.73)+'LINEST VARS'!$C$58*($CE$56*$BX65)+'LINEST VARS'!$B$58*($CE$56*12.73)+'LINEST VARS'!$A$58*($BX65*12.73)</f>
        <v>0.91165000000000029</v>
      </c>
      <c r="CF65" s="51">
        <f>'LINEST VARS'!$U$58+'LINEST VARS'!$T$58*(8)+'LINEST VARS'!$S$58*(8)+'LINEST VARS'!$R$58*($CF$56)+'LINEST VARS'!$Q$58*($BX65)+'LINEST VARS'!$P$58*(12.73)+'LINEST VARS'!$O$58*(8^2)+'LINEST VARS'!$N$58*(8^2)+'LINEST VARS'!$M$58*($CF$56^2)+'LINEST VARS'!$L$58*($BX65^2)+'LINEST VARS'!$K$58*(12.73^2)+'LINEST VARS'!$J$58*(8*8)+'LINEST VARS'!$I$58*(8*$CF$56)+'LINEST VARS'!$H$58*(8*$BX65)+'LINEST VARS'!$G$58*(8*12.73)+'LINEST VARS'!$F$58*(8*$CF$56)+'LINEST VARS'!$E$58*(8*$BX65)+'LINEST VARS'!$D$58*(8*12.73)+'LINEST VARS'!$C$58*($CF$56*$BX65)+'LINEST VARS'!$B$58*($CF$56*12.73)+'LINEST VARS'!$A$58*($BX65*12.73)</f>
        <v>0.9196500000000003</v>
      </c>
      <c r="CG65" s="51">
        <f>'LINEST VARS'!$U$58+'LINEST VARS'!$T$58*(8)+'LINEST VARS'!$S$58*(8)+'LINEST VARS'!$R$58*($CG$56)+'LINEST VARS'!$Q$58*($BX65)+'LINEST VARS'!$P$58*(12.73)+'LINEST VARS'!$O$58*(8^2)+'LINEST VARS'!$N$58*(8^2)+'LINEST VARS'!$M$58*($CG$56^2)+'LINEST VARS'!$L$58*($BX65^2)+'LINEST VARS'!$K$58*(12.73^2)+'LINEST VARS'!$J$58*(8*8)+'LINEST VARS'!$I$58*(8*$CG$56)+'LINEST VARS'!$H$58*(8*$BX65)+'LINEST VARS'!$G$58*(8*12.73)+'LINEST VARS'!$F$58*(8*$CG$56)+'LINEST VARS'!$E$58*(8*$BX65)+'LINEST VARS'!$D$58*(8*12.73)+'LINEST VARS'!$C$58*($CG$56*$BX65)+'LINEST VARS'!$B$58*($CG$56*12.73)+'LINEST VARS'!$A$58*($BX65*12.73)</f>
        <v>0.92765000000000042</v>
      </c>
      <c r="CH65" s="51">
        <f>'LINEST VARS'!$U$58+'LINEST VARS'!$T$58*(8)+'LINEST VARS'!$S$58*(8)+'LINEST VARS'!$R$58*($CH$56)+'LINEST VARS'!$Q$58*($BX65)+'LINEST VARS'!$P$58*(12.73)+'LINEST VARS'!$O$58*(8^2)+'LINEST VARS'!$N$58*(8^2)+'LINEST VARS'!$M$58*($CH$56^2)+'LINEST VARS'!$L$58*($BX65^2)+'LINEST VARS'!$K$58*(12.73^2)+'LINEST VARS'!$J$58*(8*8)+'LINEST VARS'!$I$58*(8*$CH$56)+'LINEST VARS'!$H$58*(8*$BX65)+'LINEST VARS'!$G$58*(8*12.73)+'LINEST VARS'!$F$58*(8*$CH$56)+'LINEST VARS'!$E$58*(8*$BX65)+'LINEST VARS'!$D$58*(8*12.73)+'LINEST VARS'!$C$58*($CH$56*$BX65)+'LINEST VARS'!$B$58*($CH$56*12.73)+'LINEST VARS'!$A$58*($BX65*12.73)</f>
        <v>0.93565000000000031</v>
      </c>
      <c r="CI65" s="51">
        <f>'LINEST VARS'!$U$58+'LINEST VARS'!$T$58*(8)+'LINEST VARS'!$S$58*(8)+'LINEST VARS'!$R$58*($CI$56)+'LINEST VARS'!$Q$58*($BX65)+'LINEST VARS'!$P$58*(12.73)+'LINEST VARS'!$O$58*(8^2)+'LINEST VARS'!$N$58*(8^2)+'LINEST VARS'!$M$58*($CI$56^2)+'LINEST VARS'!$L$58*($BX65^2)+'LINEST VARS'!$K$58*(12.73^2)+'LINEST VARS'!$J$58*(8*8)+'LINEST VARS'!$I$58*(8*$CI$56)+'LINEST VARS'!$H$58*(8*$BX65)+'LINEST VARS'!$G$58*(8*12.73)+'LINEST VARS'!$F$58*(8*$CI$56)+'LINEST VARS'!$E$58*(8*$BX65)+'LINEST VARS'!$D$58*(8*12.73)+'LINEST VARS'!$C$58*($CI$56*$BX65)+'LINEST VARS'!$B$58*($CI$56*12.73)+'LINEST VARS'!$A$58*($BX65*12.73)</f>
        <v>0.94365000000000032</v>
      </c>
      <c r="CJ65" s="51">
        <f>'LINEST VARS'!$U$58+'LINEST VARS'!$T$58*(8)+'LINEST VARS'!$S$58*(8)+'LINEST VARS'!$R$58*($CJ$56)+'LINEST VARS'!$Q$58*($BX65)+'LINEST VARS'!$P$58*(12.73)+'LINEST VARS'!$O$58*(8^2)+'LINEST VARS'!$N$58*(8^2)+'LINEST VARS'!$M$58*($CJ$56^2)+'LINEST VARS'!$L$58*($BX65^2)+'LINEST VARS'!$K$58*(12.73^2)+'LINEST VARS'!$J$58*(8*8)+'LINEST VARS'!$I$58*(8*$CJ$56)+'LINEST VARS'!$H$58*(8*$BX65)+'LINEST VARS'!$G$58*(8*12.73)+'LINEST VARS'!$F$58*(8*$CJ$56)+'LINEST VARS'!$E$58*(8*$BX65)+'LINEST VARS'!$D$58*(8*12.73)+'LINEST VARS'!$C$58*($CJ$56*$BX65)+'LINEST VARS'!$B$58*($CJ$56*12.73)+'LINEST VARS'!$A$58*($BX65*12.73)</f>
        <v>0.95165000000000022</v>
      </c>
      <c r="CK65" s="51">
        <f>'LINEST VARS'!$U$58+'LINEST VARS'!$T$58*(8)+'LINEST VARS'!$S$58*(8)+'LINEST VARS'!$R$58*($CK$56)+'LINEST VARS'!$Q$58*($BX65)+'LINEST VARS'!$P$58*(12.73)+'LINEST VARS'!$O$58*(8^2)+'LINEST VARS'!$N$58*(8^2)+'LINEST VARS'!$M$58*($CK$56^2)+'LINEST VARS'!$L$58*($BX65^2)+'LINEST VARS'!$K$58*(12.73^2)+'LINEST VARS'!$J$58*(8*8)+'LINEST VARS'!$I$58*(8*$CK$56)+'LINEST VARS'!$H$58*(8*$BX65)+'LINEST VARS'!$G$58*(8*12.73)+'LINEST VARS'!$F$58*(8*$CK$56)+'LINEST VARS'!$E$58*(8*$BX65)+'LINEST VARS'!$D$58*(8*12.73)+'LINEST VARS'!$C$58*($CK$56*$BX65)+'LINEST VARS'!$B$58*($CK$56*12.73)+'LINEST VARS'!$A$58*($BX65*12.73)</f>
        <v>0.95965000000000023</v>
      </c>
      <c r="CL65" s="51">
        <f>'LINEST VARS'!$U$58+'LINEST VARS'!$T$58*(8)+'LINEST VARS'!$S$58*(8)+'LINEST VARS'!$R$58*($CL$56)+'LINEST VARS'!$Q$58*($BX65)+'LINEST VARS'!$P$58*(12.73)+'LINEST VARS'!$O$58*(8^2)+'LINEST VARS'!$N$58*(8^2)+'LINEST VARS'!$M$58*($CL$56^2)+'LINEST VARS'!$L$58*($BX65^2)+'LINEST VARS'!$K$58*(12.73^2)+'LINEST VARS'!$J$58*(8*8)+'LINEST VARS'!$I$58*(8*$CL$56)+'LINEST VARS'!$H$58*(8*$BX65)+'LINEST VARS'!$G$58*(8*12.73)+'LINEST VARS'!$F$58*(8*$CL$56)+'LINEST VARS'!$E$58*(8*$BX65)+'LINEST VARS'!$D$58*(8*12.73)+'LINEST VARS'!$C$58*($CL$56*$BX65)+'LINEST VARS'!$B$58*($CL$56*12.73)+'LINEST VARS'!$A$58*($BX65*12.73)</f>
        <v>0.96765000000000012</v>
      </c>
      <c r="CM65" s="51">
        <f>'LINEST VARS'!$U$58+'LINEST VARS'!$T$58*(8)+'LINEST VARS'!$S$58*(8)+'LINEST VARS'!$R$58*($CM$56)+'LINEST VARS'!$Q$58*($BX65)+'LINEST VARS'!$P$58*(12.73)+'LINEST VARS'!$O$58*(8^2)+'LINEST VARS'!$N$58*(8^2)+'LINEST VARS'!$M$58*($CM$56^2)+'LINEST VARS'!$L$58*($BX65^2)+'LINEST VARS'!$K$58*(12.73^2)+'LINEST VARS'!$J$58*(8*8)+'LINEST VARS'!$I$58*(8*$CM$56)+'LINEST VARS'!$H$58*(8*$BX65)+'LINEST VARS'!$G$58*(8*12.73)+'LINEST VARS'!$F$58*(8*$CM$56)+'LINEST VARS'!$E$58*(8*$BX65)+'LINEST VARS'!$D$58*(8*12.73)+'LINEST VARS'!$C$58*($CM$56*$BX65)+'LINEST VARS'!$B$58*($CM$56*12.73)+'LINEST VARS'!$A$58*($BX65*12.73)</f>
        <v>0.97565000000000024</v>
      </c>
      <c r="CN65" s="51">
        <f>'LINEST VARS'!$U$58+'LINEST VARS'!$T$58*(8)+'LINEST VARS'!$S$58*(8)+'LINEST VARS'!$R$58*($CN$56)+'LINEST VARS'!$Q$58*($BX65)+'LINEST VARS'!$P$58*(12.73)+'LINEST VARS'!$O$58*(8^2)+'LINEST VARS'!$N$58*(8^2)+'LINEST VARS'!$M$58*($CN$56^2)+'LINEST VARS'!$L$58*($BX65^2)+'LINEST VARS'!$K$58*(12.73^2)+'LINEST VARS'!$J$58*(8*8)+'LINEST VARS'!$I$58*(8*$CN$56)+'LINEST VARS'!$H$58*(8*$BX65)+'LINEST VARS'!$G$58*(8*12.73)+'LINEST VARS'!$F$58*(8*$CN$56)+'LINEST VARS'!$E$58*(8*$BX65)+'LINEST VARS'!$D$58*(8*12.73)+'LINEST VARS'!$C$58*($CN$56*$BX65)+'LINEST VARS'!$B$58*($CN$56*12.73)+'LINEST VARS'!$A$58*($BX65*12.73)</f>
        <v>0.98365000000000025</v>
      </c>
      <c r="CO65" s="51">
        <f>'LINEST VARS'!$U$58+'LINEST VARS'!$T$58*(8)+'LINEST VARS'!$S$58*(8)+'LINEST VARS'!$R$58*($CO$56)+'LINEST VARS'!$Q$58*($BX65)+'LINEST VARS'!$P$58*(12.73)+'LINEST VARS'!$O$58*(8^2)+'LINEST VARS'!$N$58*(8^2)+'LINEST VARS'!$M$58*($CO$56^2)+'LINEST VARS'!$L$58*($BX65^2)+'LINEST VARS'!$K$58*(12.73^2)+'LINEST VARS'!$J$58*(8*8)+'LINEST VARS'!$I$58*(8*$CO$56)+'LINEST VARS'!$H$58*(8*$BX65)+'LINEST VARS'!$G$58*(8*12.73)+'LINEST VARS'!$F$58*(8*$CO$56)+'LINEST VARS'!$E$58*(8*$BX65)+'LINEST VARS'!$D$58*(8*12.73)+'LINEST VARS'!$C$58*($CO$56*$BX65)+'LINEST VARS'!$B$58*($CO$56*12.73)+'LINEST VARS'!$A$58*($BX65*12.73)</f>
        <v>0.99165000000000036</v>
      </c>
      <c r="CP65" s="51">
        <f>'LINEST VARS'!$U$58+'LINEST VARS'!$T$58*(8)+'LINEST VARS'!$S$58*(8)+'LINEST VARS'!$R$58*($CP$56)+'LINEST VARS'!$Q$58*($BX65)+'LINEST VARS'!$P$58*(12.73)+'LINEST VARS'!$O$58*(8^2)+'LINEST VARS'!$N$58*(8^2)+'LINEST VARS'!$M$58*($CP$56^2)+'LINEST VARS'!$L$58*($BX65^2)+'LINEST VARS'!$K$58*(12.73^2)+'LINEST VARS'!$J$58*(8*8)+'LINEST VARS'!$I$58*(8*$CP$56)+'LINEST VARS'!$H$58*(8*$BX65)+'LINEST VARS'!$G$58*(8*12.73)+'LINEST VARS'!$F$58*(8*$CP$56)+'LINEST VARS'!$E$58*(8*$BX65)+'LINEST VARS'!$D$58*(8*12.73)+'LINEST VARS'!$C$58*($CP$56*$BX65)+'LINEST VARS'!$B$58*($CP$56*12.73)+'LINEST VARS'!$A$58*($BX65*12.73)</f>
        <v>0.99965000000000037</v>
      </c>
      <c r="CQ65" s="51">
        <f>'LINEST VARS'!$U$58+'LINEST VARS'!$T$58*(8)+'LINEST VARS'!$S$58*(8)+'LINEST VARS'!$R$58*($CQ$56)+'LINEST VARS'!$Q$58*($BX65)+'LINEST VARS'!$P$58*(12.73)+'LINEST VARS'!$O$58*(8^2)+'LINEST VARS'!$N$58*(8^2)+'LINEST VARS'!$M$58*($CQ$56^2)+'LINEST VARS'!$L$58*($BX65^2)+'LINEST VARS'!$K$58*(12.73^2)+'LINEST VARS'!$J$58*(8*8)+'LINEST VARS'!$I$58*(8*$CQ$56)+'LINEST VARS'!$H$58*(8*$BX65)+'LINEST VARS'!$G$58*(8*12.73)+'LINEST VARS'!$F$58*(8*$CQ$56)+'LINEST VARS'!$E$58*(8*$BX65)+'LINEST VARS'!$D$58*(8*12.73)+'LINEST VARS'!$C$58*($CQ$56*$BX65)+'LINEST VARS'!$B$58*($CQ$56*12.73)+'LINEST VARS'!$A$58*($BX65*12.73)</f>
        <v>1.0076500000000002</v>
      </c>
      <c r="CR65" s="51">
        <f>'LINEST VARS'!$U$58+'LINEST VARS'!$T$58*(8)+'LINEST VARS'!$S$58*(8)+'LINEST VARS'!$R$58*($CR$56)+'LINEST VARS'!$Q$58*($BX65)+'LINEST VARS'!$P$58*(12.73)+'LINEST VARS'!$O$58*(8^2)+'LINEST VARS'!$N$58*(8^2)+'LINEST VARS'!$M$58*($CR$56^2)+'LINEST VARS'!$L$58*($BX65^2)+'LINEST VARS'!$K$58*(12.73^2)+'LINEST VARS'!$J$58*(8*8)+'LINEST VARS'!$I$58*(8*$CR$56)+'LINEST VARS'!$H$58*(8*$BX65)+'LINEST VARS'!$G$58*(8*12.73)+'LINEST VARS'!$F$58*(8*$CR$56)+'LINEST VARS'!$E$58*(8*$BX65)+'LINEST VARS'!$D$58*(8*12.73)+'LINEST VARS'!$C$58*($CR$56*$BX65)+'LINEST VARS'!$B$58*($CR$56*12.73)+'LINEST VARS'!$A$58*($BX65*12.73)</f>
        <v>1.0156499999999999</v>
      </c>
      <c r="CS65" s="52">
        <f>'LINEST VARS'!$U$58+'LINEST VARS'!$T$58*(8)+'LINEST VARS'!$S$58*(8)+'LINEST VARS'!$R$58*($CS$56)+'LINEST VARS'!$Q$58*($BX65)+'LINEST VARS'!$P$58*(12.73)+'LINEST VARS'!$O$58*(8^2)+'LINEST VARS'!$N$58*(8^2)+'LINEST VARS'!$M$58*($CS$56^2)+'LINEST VARS'!$L$58*($BX65^2)+'LINEST VARS'!$K$58*(12.73^2)+'LINEST VARS'!$J$58*(8*8)+'LINEST VARS'!$I$58*(8*$CS$56)+'LINEST VARS'!$H$58*(8*$BX65)+'LINEST VARS'!$G$58*(8*12.73)+'LINEST VARS'!$F$58*(8*$CS$56)+'LINEST VARS'!$E$58*(8*$BX65)+'LINEST VARS'!$D$58*(8*12.73)+'LINEST VARS'!$C$58*($CS$56*$BX65)+'LINEST VARS'!$B$58*($CS$56*12.73)+'LINEST VARS'!$A$58*($BX65*12.73)</f>
        <v>1.0236500000000002</v>
      </c>
      <c r="CX65" s="45">
        <v>10.396000000000001</v>
      </c>
      <c r="CY65" s="51">
        <f>'LINEST VARS'!$U$56+'LINEST VARS'!$T$56*(8)+'LINEST VARS'!$S$56*(8)+'LINEST VARS'!$R$56*($CY$56)+'LINEST VARS'!$Q$56*(0.5)+'LINEST VARS'!$P$56*($CX65)+'LINEST VARS'!$O$56*(8^2)+'LINEST VARS'!$N$56*(8^2)+'LINEST VARS'!$M$56*($CY$56^2)+'LINEST VARS'!$L$56*(0.5^2)+'LINEST VARS'!$K$56*($CX65^2)+'LINEST VARS'!$J$56*(8*8)+'LINEST VARS'!$I$56*(8*$CY$56)+'LINEST VARS'!$H$56*(8*0.5)+'LINEST VARS'!$G$56*(8*$CX65)+'LINEST VARS'!$F$56*(8*$CY$56)+'LINEST VARS'!$E$56*(8*0.5)+'LINEST VARS'!$D$56*(8*$CX65)+'LINEST VARS'!$C$56*($CY$56*0.5)+'LINEST VARS'!$B$56*($CY$56*$CX65)+'LINEST VARS'!$A$56*(0.5*$CX65)</f>
        <v>2.8000000000000007</v>
      </c>
      <c r="CZ65" s="51">
        <f>'LINEST VARS'!$U$56+'LINEST VARS'!$T$56*(8)+'LINEST VARS'!$S$56*(8)+'LINEST VARS'!$R$56*($CZ$56)+'LINEST VARS'!$Q$56*(0.5)+'LINEST VARS'!$P$56*($CX65)+'LINEST VARS'!$O$56*(8^2)+'LINEST VARS'!$N$56*(8^2)+'LINEST VARS'!$M$56*($CZ$56^2)+'LINEST VARS'!$L$56*(0.5^2)+'LINEST VARS'!$K$56*($CX65^2)+'LINEST VARS'!$J$56*(8*8)+'LINEST VARS'!$I$56*(8*$CZ$56)+'LINEST VARS'!$H$56*(8*0.5)+'LINEST VARS'!$G$56*(8*$CX65)+'LINEST VARS'!$F$56*(8*$CZ$56)+'LINEST VARS'!$E$56*(8*0.5)+'LINEST VARS'!$D$56*(8*$CX65)+'LINEST VARS'!$C$56*($CZ$56*0.5)+'LINEST VARS'!$B$56*($CZ$56*$CX65)+'LINEST VARS'!$A$56*(0.5*$CX65)</f>
        <v>2.8184000000000009</v>
      </c>
      <c r="DA65" s="51">
        <f>'LINEST VARS'!$U$56+'LINEST VARS'!$T$56*(8)+'LINEST VARS'!$S$56*(8)+'LINEST VARS'!$R$56*($DA$56)+'LINEST VARS'!$Q$56*(0.5)+'LINEST VARS'!$P$56*($CX65)+'LINEST VARS'!$O$56*(8^2)+'LINEST VARS'!$N$56*(8^2)+'LINEST VARS'!$M$56*($DA$56^2)+'LINEST VARS'!$L$56*(0.5^2)+'LINEST VARS'!$K$56*($CX65^2)+'LINEST VARS'!$J$56*(8*8)+'LINEST VARS'!$I$56*(8*$DA$56)+'LINEST VARS'!$H$56*(8*0.5)+'LINEST VARS'!$G$56*(8*$CX65)+'LINEST VARS'!$F$56*(8*$DA$56)+'LINEST VARS'!$E$56*(8*0.5)+'LINEST VARS'!$D$56*(8*$CX65)+'LINEST VARS'!$C$56*($DA$56*0.5)+'LINEST VARS'!$B$56*($DA$56*$CX65)+'LINEST VARS'!$A$56*(0.5*$CX65)</f>
        <v>2.8336000000000006</v>
      </c>
      <c r="DB65" s="51">
        <f>'LINEST VARS'!$U$56+'LINEST VARS'!$T$56*(8)+'LINEST VARS'!$S$56*(8)+'LINEST VARS'!$R$56*($DB$56)+'LINEST VARS'!$Q$56*(0.5)+'LINEST VARS'!$P$56*($CX65)+'LINEST VARS'!$O$56*(8^2)+'LINEST VARS'!$N$56*(8^2)+'LINEST VARS'!$M$56*($DB$56^2)+'LINEST VARS'!$L$56*(0.5^2)+'LINEST VARS'!$K$56*($CX65^2)+'LINEST VARS'!$J$56*(8*8)+'LINEST VARS'!$I$56*(8*$DB$56)+'LINEST VARS'!$H$56*(8*0.5)+'LINEST VARS'!$G$56*(8*$CX65)+'LINEST VARS'!$F$56*(8*$DB$56)+'LINEST VARS'!$E$56*(8*0.5)+'LINEST VARS'!$D$56*(8*$CX65)+'LINEST VARS'!$C$56*($DB$56*0.5)+'LINEST VARS'!$B$56*($DB$56*$CX65)+'LINEST VARS'!$A$56*(0.5*$CX65)</f>
        <v>2.8456000000000006</v>
      </c>
      <c r="DC65" s="51">
        <f>'LINEST VARS'!$U$56+'LINEST VARS'!$T$56*(8)+'LINEST VARS'!$S$56*(8)+'LINEST VARS'!$R$56*($DC$56)+'LINEST VARS'!$Q$56*(0.5)+'LINEST VARS'!$P$56*($CX65)+'LINEST VARS'!$O$56*(8^2)+'LINEST VARS'!$N$56*(8^2)+'LINEST VARS'!$M$56*($DC$56^2)+'LINEST VARS'!$L$56*(0.5^2)+'LINEST VARS'!$K$56*($CX65^2)+'LINEST VARS'!$J$56*(8*8)+'LINEST VARS'!$I$56*(8*$DC$56)+'LINEST VARS'!$H$56*(8*0.5)+'LINEST VARS'!$G$56*(8*$CX65)+'LINEST VARS'!$F$56*(8*$DC$56)+'LINEST VARS'!$E$56*(8*0.5)+'LINEST VARS'!$D$56*(8*$CX65)+'LINEST VARS'!$C$56*($DC$56*0.5)+'LINEST VARS'!$B$56*($DC$56*$CX65)+'LINEST VARS'!$A$56*(0.5*$CX65)</f>
        <v>2.8544000000000009</v>
      </c>
      <c r="DD65" s="51">
        <f>'LINEST VARS'!$U$56+'LINEST VARS'!$T$56*(8)+'LINEST VARS'!$S$56*(8)+'LINEST VARS'!$R$56*($DD$56)+'LINEST VARS'!$Q$56*(0.5)+'LINEST VARS'!$P$56*($CX65)+'LINEST VARS'!$O$56*(8^2)+'LINEST VARS'!$N$56*(8^2)+'LINEST VARS'!$M$56*($DD$56^2)+'LINEST VARS'!$L$56*(0.5^2)+'LINEST VARS'!$K$56*($CX65^2)+'LINEST VARS'!$J$56*(8*8)+'LINEST VARS'!$I$56*(8*$DD$56)+'LINEST VARS'!$H$56*(8*0.5)+'LINEST VARS'!$G$56*(8*$CX65)+'LINEST VARS'!$F$56*(8*$DD$56)+'LINEST VARS'!$E$56*(8*0.5)+'LINEST VARS'!$D$56*(8*$CX65)+'LINEST VARS'!$C$56*($DD$56*0.5)+'LINEST VARS'!$B$56*($DD$56*$CX65)+'LINEST VARS'!$A$56*(0.5*$CX65)</f>
        <v>2.8600000000000008</v>
      </c>
      <c r="DE65" s="51">
        <f>'LINEST VARS'!$U$56+'LINEST VARS'!$T$56*(8)+'LINEST VARS'!$S$56*(8)+'LINEST VARS'!$R$56*($DE$56)+'LINEST VARS'!$Q$56*(0.5)+'LINEST VARS'!$P$56*($CX65)+'LINEST VARS'!$O$56*(8^2)+'LINEST VARS'!$N$56*(8^2)+'LINEST VARS'!$M$56*($DE$56^2)+'LINEST VARS'!$L$56*(0.5^2)+'LINEST VARS'!$K$56*($CX65^2)+'LINEST VARS'!$J$56*(8*8)+'LINEST VARS'!$I$56*(8*$DE$56)+'LINEST VARS'!$H$56*(8*0.5)+'LINEST VARS'!$G$56*(8*$CX65)+'LINEST VARS'!$F$56*(8*$DE$56)+'LINEST VARS'!$E$56*(8*0.5)+'LINEST VARS'!$D$56*(8*$CX65)+'LINEST VARS'!$C$56*($DE$56*0.5)+'LINEST VARS'!$B$56*($DE$56*$CX65)+'LINEST VARS'!$A$56*(0.5*$CX65)</f>
        <v>2.8624000000000009</v>
      </c>
      <c r="DF65" s="51">
        <f>'LINEST VARS'!$U$56+'LINEST VARS'!$T$56*(8)+'LINEST VARS'!$S$56*(8)+'LINEST VARS'!$R$56*($DF$56)+'LINEST VARS'!$Q$56*(0.5)+'LINEST VARS'!$P$56*($CX65)+'LINEST VARS'!$O$56*(8^2)+'LINEST VARS'!$N$56*(8^2)+'LINEST VARS'!$M$56*($DF$56^2)+'LINEST VARS'!$L$56*(0.5^2)+'LINEST VARS'!$K$56*($CX65^2)+'LINEST VARS'!$J$56*(8*8)+'LINEST VARS'!$I$56*(8*$DF$56)+'LINEST VARS'!$H$56*(8*0.5)+'LINEST VARS'!$G$56*(8*$CX65)+'LINEST VARS'!$F$56*(8*$DF$56)+'LINEST VARS'!$E$56*(8*0.5)+'LINEST VARS'!$D$56*(8*$CX65)+'LINEST VARS'!$C$56*($DF$56*0.5)+'LINEST VARS'!$B$56*($DF$56*$CX65)+'LINEST VARS'!$A$56*(0.5*$CX65)</f>
        <v>2.8616000000000006</v>
      </c>
      <c r="DG65" s="51">
        <f>'LINEST VARS'!$U$56+'LINEST VARS'!$T$56*(8)+'LINEST VARS'!$S$56*(8)+'LINEST VARS'!$R$56*($DG$56)+'LINEST VARS'!$Q$56*(0.5)+'LINEST VARS'!$P$56*($CX65)+'LINEST VARS'!$O$56*(8^2)+'LINEST VARS'!$N$56*(8^2)+'LINEST VARS'!$M$56*($DG$56^2)+'LINEST VARS'!$L$56*(0.5^2)+'LINEST VARS'!$K$56*($CX65^2)+'LINEST VARS'!$J$56*(8*8)+'LINEST VARS'!$I$56*(8*$DG$56)+'LINEST VARS'!$H$56*(8*0.5)+'LINEST VARS'!$G$56*(8*$CX65)+'LINEST VARS'!$F$56*(8*$DG$56)+'LINEST VARS'!$E$56*(8*0.5)+'LINEST VARS'!$D$56*(8*$CX65)+'LINEST VARS'!$C$56*($DG$56*0.5)+'LINEST VARS'!$B$56*($DG$56*$CX65)+'LINEST VARS'!$A$56*(0.5*$CX65)</f>
        <v>2.8576000000000006</v>
      </c>
      <c r="DH65" s="51">
        <f>'LINEST VARS'!$U$56+'LINEST VARS'!$T$56*(8)+'LINEST VARS'!$S$56*(8)+'LINEST VARS'!$R$56*($DH$56)+'LINEST VARS'!$Q$56*(0.5)+'LINEST VARS'!$P$56*($CX65)+'LINEST VARS'!$O$56*(8^2)+'LINEST VARS'!$N$56*(8^2)+'LINEST VARS'!$M$56*($DH$56^2)+'LINEST VARS'!$L$56*(0.5^2)+'LINEST VARS'!$K$56*($CX65^2)+'LINEST VARS'!$J$56*(8*8)+'LINEST VARS'!$I$56*(8*$DH$56)+'LINEST VARS'!$H$56*(8*0.5)+'LINEST VARS'!$G$56*(8*$CX65)+'LINEST VARS'!$F$56*(8*$DH$56)+'LINEST VARS'!$E$56*(8*0.5)+'LINEST VARS'!$D$56*(8*$CX65)+'LINEST VARS'!$C$56*($DH$56*0.5)+'LINEST VARS'!$B$56*($DH$56*$CX65)+'LINEST VARS'!$A$56*(0.5*$CX65)</f>
        <v>2.8504000000000009</v>
      </c>
      <c r="DI65" s="51">
        <f>'LINEST VARS'!$U$56+'LINEST VARS'!$T$56*(8)+'LINEST VARS'!$S$56*(8)+'LINEST VARS'!$R$56*($DI$56)+'LINEST VARS'!$Q$56*(0.5)+'LINEST VARS'!$P$56*($CX65)+'LINEST VARS'!$O$56*(8^2)+'LINEST VARS'!$N$56*(8^2)+'LINEST VARS'!$M$56*($DI$56^2)+'LINEST VARS'!$L$56*(0.5^2)+'LINEST VARS'!$K$56*($CX65^2)+'LINEST VARS'!$J$56*(8*8)+'LINEST VARS'!$I$56*(8*$DI$56)+'LINEST VARS'!$H$56*(8*0.5)+'LINEST VARS'!$G$56*(8*$CX65)+'LINEST VARS'!$F$56*(8*$DI$56)+'LINEST VARS'!$E$56*(8*0.5)+'LINEST VARS'!$D$56*(8*$CX65)+'LINEST VARS'!$C$56*($DI$56*0.5)+'LINEST VARS'!$B$56*($DI$56*$CX65)+'LINEST VARS'!$A$56*(0.5*$CX65)</f>
        <v>2.8400000000000007</v>
      </c>
      <c r="DJ65" s="51">
        <f>'LINEST VARS'!$U$56+'LINEST VARS'!$T$56*(8)+'LINEST VARS'!$S$56*(8)+'LINEST VARS'!$R$56*($DJ$56)+'LINEST VARS'!$Q$56*(0.5)+'LINEST VARS'!$P$56*($CX65)+'LINEST VARS'!$O$56*(8^2)+'LINEST VARS'!$N$56*(8^2)+'LINEST VARS'!$M$56*($DJ$56^2)+'LINEST VARS'!$L$56*(0.5^2)+'LINEST VARS'!$K$56*($CX65^2)+'LINEST VARS'!$J$56*(8*8)+'LINEST VARS'!$I$56*(8*$DJ$56)+'LINEST VARS'!$H$56*(8*0.5)+'LINEST VARS'!$G$56*(8*$CX65)+'LINEST VARS'!$F$56*(8*$DJ$56)+'LINEST VARS'!$E$56*(8*0.5)+'LINEST VARS'!$D$56*(8*$CX65)+'LINEST VARS'!$C$56*($DJ$56*0.5)+'LINEST VARS'!$B$56*($DJ$56*$CX65)+'LINEST VARS'!$A$56*(0.5*$CX65)</f>
        <v>2.8264000000000009</v>
      </c>
      <c r="DK65" s="51">
        <f>'LINEST VARS'!$U$56+'LINEST VARS'!$T$56*(8)+'LINEST VARS'!$S$56*(8)+'LINEST VARS'!$R$56*($DK$56)+'LINEST VARS'!$Q$56*(0.5)+'LINEST VARS'!$P$56*($CX65)+'LINEST VARS'!$O$56*(8^2)+'LINEST VARS'!$N$56*(8^2)+'LINEST VARS'!$M$56*($DK$56^2)+'LINEST VARS'!$L$56*(0.5^2)+'LINEST VARS'!$K$56*($CX65^2)+'LINEST VARS'!$J$56*(8*8)+'LINEST VARS'!$I$56*(8*$DK$56)+'LINEST VARS'!$H$56*(8*0.5)+'LINEST VARS'!$G$56*(8*$CX65)+'LINEST VARS'!$F$56*(8*$DK$56)+'LINEST VARS'!$E$56*(8*0.5)+'LINEST VARS'!$D$56*(8*$CX65)+'LINEST VARS'!$C$56*($DK$56*0.5)+'LINEST VARS'!$B$56*($DK$56*$CX65)+'LINEST VARS'!$A$56*(0.5*$CX65)</f>
        <v>2.8096000000000005</v>
      </c>
      <c r="DL65" s="51">
        <f>'LINEST VARS'!$U$56+'LINEST VARS'!$T$56*(8)+'LINEST VARS'!$S$56*(8)+'LINEST VARS'!$R$56*($DL$56)+'LINEST VARS'!$Q$56*(0.5)+'LINEST VARS'!$P$56*($CX65)+'LINEST VARS'!$O$56*(8^2)+'LINEST VARS'!$N$56*(8^2)+'LINEST VARS'!$M$56*($DL$56^2)+'LINEST VARS'!$L$56*(0.5^2)+'LINEST VARS'!$K$56*($CX65^2)+'LINEST VARS'!$J$56*(8*8)+'LINEST VARS'!$I$56*(8*$DL$56)+'LINEST VARS'!$H$56*(8*0.5)+'LINEST VARS'!$G$56*(8*$CX65)+'LINEST VARS'!$F$56*(8*$DL$56)+'LINEST VARS'!$E$56*(8*0.5)+'LINEST VARS'!$D$56*(8*$CX65)+'LINEST VARS'!$C$56*($DL$56*0.5)+'LINEST VARS'!$B$56*($DL$56*$CX65)+'LINEST VARS'!$A$56*(0.5*$CX65)</f>
        <v>2.7896000000000005</v>
      </c>
      <c r="DM65" s="51">
        <f>'LINEST VARS'!$U$56+'LINEST VARS'!$T$56*(8)+'LINEST VARS'!$S$56*(8)+'LINEST VARS'!$R$56*($DM$56)+'LINEST VARS'!$Q$56*(0.5)+'LINEST VARS'!$P$56*($CX65)+'LINEST VARS'!$O$56*(8^2)+'LINEST VARS'!$N$56*(8^2)+'LINEST VARS'!$M$56*($DM$56^2)+'LINEST VARS'!$L$56*(0.5^2)+'LINEST VARS'!$K$56*($CX65^2)+'LINEST VARS'!$J$56*(8*8)+'LINEST VARS'!$I$56*(8*$DM$56)+'LINEST VARS'!$H$56*(8*0.5)+'LINEST VARS'!$G$56*(8*$CX65)+'LINEST VARS'!$F$56*(8*$DM$56)+'LINEST VARS'!$E$56*(8*0.5)+'LINEST VARS'!$D$56*(8*$CX65)+'LINEST VARS'!$C$56*($DM$56*0.5)+'LINEST VARS'!$B$56*($DM$56*$CX65)+'LINEST VARS'!$A$56*(0.5*$CX65)</f>
        <v>2.7664000000000009</v>
      </c>
      <c r="DN65" s="51">
        <f>'LINEST VARS'!$U$56+'LINEST VARS'!$T$56*(8)+'LINEST VARS'!$S$56*(8)+'LINEST VARS'!$R$56*($DN$56)+'LINEST VARS'!$Q$56*(0.5)+'LINEST VARS'!$P$56*($CX65)+'LINEST VARS'!$O$56*(8^2)+'LINEST VARS'!$N$56*(8^2)+'LINEST VARS'!$M$56*($DN$56^2)+'LINEST VARS'!$L$56*(0.5^2)+'LINEST VARS'!$K$56*($CX65^2)+'LINEST VARS'!$J$56*(8*8)+'LINEST VARS'!$I$56*(8*$DN$56)+'LINEST VARS'!$H$56*(8*0.5)+'LINEST VARS'!$G$56*(8*$CX65)+'LINEST VARS'!$F$56*(8*$DN$56)+'LINEST VARS'!$E$56*(8*0.5)+'LINEST VARS'!$D$56*(8*$CX65)+'LINEST VARS'!$C$56*($DN$56*0.5)+'LINEST VARS'!$B$56*($DN$56*$CX65)+'LINEST VARS'!$A$56*(0.5*$CX65)</f>
        <v>2.7400000000000007</v>
      </c>
      <c r="DO65" s="51">
        <f>'LINEST VARS'!$U$56+'LINEST VARS'!$T$56*(8)+'LINEST VARS'!$S$56*(8)+'LINEST VARS'!$R$56*($DO$56)+'LINEST VARS'!$Q$56*(0.5)+'LINEST VARS'!$P$56*($CX65)+'LINEST VARS'!$O$56*(8^2)+'LINEST VARS'!$N$56*(8^2)+'LINEST VARS'!$M$56*($DO$56^2)+'LINEST VARS'!$L$56*(0.5^2)+'LINEST VARS'!$K$56*($CX65^2)+'LINEST VARS'!$J$56*(8*8)+'LINEST VARS'!$I$56*(8*$DO$56)+'LINEST VARS'!$H$56*(8*0.5)+'LINEST VARS'!$G$56*(8*$CX65)+'LINEST VARS'!$F$56*(8*$DO$56)+'LINEST VARS'!$E$56*(8*0.5)+'LINEST VARS'!$D$56*(8*$CX65)+'LINEST VARS'!$C$56*($DO$56*0.5)+'LINEST VARS'!$B$56*($DO$56*$CX65)+'LINEST VARS'!$A$56*(0.5*$CX65)</f>
        <v>2.7104000000000004</v>
      </c>
      <c r="DP65" s="51">
        <f>'LINEST VARS'!$U$56+'LINEST VARS'!$T$56*(8)+'LINEST VARS'!$S$56*(8)+'LINEST VARS'!$R$56*($DP$56)+'LINEST VARS'!$Q$56*(0.5)+'LINEST VARS'!$P$56*($CX65)+'LINEST VARS'!$O$56*(8^2)+'LINEST VARS'!$N$56*(8^2)+'LINEST VARS'!$M$56*($DP$56^2)+'LINEST VARS'!$L$56*(0.5^2)+'LINEST VARS'!$K$56*($CX65^2)+'LINEST VARS'!$J$56*(8*8)+'LINEST VARS'!$I$56*(8*$DP$56)+'LINEST VARS'!$H$56*(8*0.5)+'LINEST VARS'!$G$56*(8*$CX65)+'LINEST VARS'!$F$56*(8*$DP$56)+'LINEST VARS'!$E$56*(8*0.5)+'LINEST VARS'!$D$56*(8*$CX65)+'LINEST VARS'!$C$56*($DP$56*0.5)+'LINEST VARS'!$B$56*($DP$56*$CX65)+'LINEST VARS'!$A$56*(0.5*$CX65)</f>
        <v>2.6776000000000004</v>
      </c>
      <c r="DQ65" s="51">
        <f>'LINEST VARS'!$U$56+'LINEST VARS'!$T$56*(8)+'LINEST VARS'!$S$56*(8)+'LINEST VARS'!$R$56*($DQ$56)+'LINEST VARS'!$Q$56*(0.5)+'LINEST VARS'!$P$56*($CX65)+'LINEST VARS'!$O$56*(8^2)+'LINEST VARS'!$N$56*(8^2)+'LINEST VARS'!$M$56*($DQ$56^2)+'LINEST VARS'!$L$56*(0.5^2)+'LINEST VARS'!$K$56*($CX65^2)+'LINEST VARS'!$J$56*(8*8)+'LINEST VARS'!$I$56*(8*$DQ$56)+'LINEST VARS'!$H$56*(8*0.5)+'LINEST VARS'!$G$56*(8*$CX65)+'LINEST VARS'!$F$56*(8*$DQ$56)+'LINEST VARS'!$E$56*(8*0.5)+'LINEST VARS'!$D$56*(8*$CX65)+'LINEST VARS'!$C$56*($DQ$56*0.5)+'LINEST VARS'!$B$56*($DQ$56*$CX65)+'LINEST VARS'!$A$56*(0.5*$CX65)</f>
        <v>2.6416000000000004</v>
      </c>
      <c r="DR65" s="51">
        <f>'LINEST VARS'!$U$56+'LINEST VARS'!$T$56*(8)+'LINEST VARS'!$S$56*(8)+'LINEST VARS'!$R$56*($DR$56)+'LINEST VARS'!$Q$56*(0.5)+'LINEST VARS'!$P$56*($CX65)+'LINEST VARS'!$O$56*(8^2)+'LINEST VARS'!$N$56*(8^2)+'LINEST VARS'!$M$56*($DR$56^2)+'LINEST VARS'!$L$56*(0.5^2)+'LINEST VARS'!$K$56*($CX65^2)+'LINEST VARS'!$J$56*(8*8)+'LINEST VARS'!$I$56*(8*$DR$56)+'LINEST VARS'!$H$56*(8*0.5)+'LINEST VARS'!$G$56*(8*$CX65)+'LINEST VARS'!$F$56*(8*$DR$56)+'LINEST VARS'!$E$56*(8*0.5)+'LINEST VARS'!$D$56*(8*$CX65)+'LINEST VARS'!$C$56*($DR$56*0.5)+'LINEST VARS'!$B$56*($DR$56*$CX65)+'LINEST VARS'!$A$56*(0.5*$CX65)</f>
        <v>2.6024000000000007</v>
      </c>
      <c r="DS65" s="52">
        <f>'LINEST VARS'!$U$56+'LINEST VARS'!$T$56*(8)+'LINEST VARS'!$S$56*(8)+'LINEST VARS'!$R$56*($DS$56)+'LINEST VARS'!$Q$56*(0.5)+'LINEST VARS'!$P$56*($CX65)+'LINEST VARS'!$O$56*(8^2)+'LINEST VARS'!$N$56*(8^2)+'LINEST VARS'!$M$56*($DS$56^2)+'LINEST VARS'!$L$56*(0.5^2)+'LINEST VARS'!$K$56*($CX65^2)+'LINEST VARS'!$J$56*(8*8)+'LINEST VARS'!$I$56*(8*$DS$56)+'LINEST VARS'!$H$56*(8*0.5)+'LINEST VARS'!$G$56*(8*$CX65)+'LINEST VARS'!$F$56*(8*$DS$56)+'LINEST VARS'!$E$56*(8*0.5)+'LINEST VARS'!$D$56*(8*$CX65)+'LINEST VARS'!$C$56*($DS$56*0.5)+'LINEST VARS'!$B$56*($DS$56*$CX65)+'LINEST VARS'!$A$56*(0.5*$CX65)</f>
        <v>2.5600000000000005</v>
      </c>
      <c r="DV65" s="45">
        <v>10.396000000000001</v>
      </c>
      <c r="DW65" s="51">
        <f>'LINEST VARS'!$U$58+'LINEST VARS'!$T$58*(8)+'LINEST VARS'!$S$58*(8)+'LINEST VARS'!$R$58*($DW$56)+'LINEST VARS'!$Q$58*(0.5)+'LINEST VARS'!$P$58*($DV65)+'LINEST VARS'!$O$58*(8^2)+'LINEST VARS'!$N$58*(8^2)+'LINEST VARS'!$M$58*($DW$56^2)+'LINEST VARS'!$L$58*(0.5^2)+'LINEST VARS'!$K$58*($DV65^2)+'LINEST VARS'!$J$58*(8*8)+'LINEST VARS'!$I$58*(8*$DW$56)+'LINEST VARS'!$H$58*(8*0.5)+'LINEST VARS'!$G$58*(8*$DV65)+'LINEST VARS'!$F$58*(8*$DW$56)+'LINEST VARS'!$E$58*(8*0.5)+'LINEST VARS'!$D$58*(8*$DV65)+'LINEST VARS'!$C$58*($DW$56*0.5)+'LINEST VARS'!$B$58*($DW$56*$DV65)+'LINEST VARS'!$A$58*(0.5*$DV65)</f>
        <v>0.85198000000000029</v>
      </c>
      <c r="DX65" s="51">
        <f>'LINEST VARS'!$U$58+'LINEST VARS'!$T$58*(8)+'LINEST VARS'!$S$58*(8)+'LINEST VARS'!$R$58*($DX$56)+'LINEST VARS'!$Q$58*(0.5)+'LINEST VARS'!$P$58*($DV65)+'LINEST VARS'!$O$58*(8^2)+'LINEST VARS'!$N$58*(8^2)+'LINEST VARS'!$M$58*($DX$56^2)+'LINEST VARS'!$L$58*(0.5^2)+'LINEST VARS'!$K$58*($DV65^2)+'LINEST VARS'!$J$58*(8*8)+'LINEST VARS'!$I$58*(8*$DX$56)+'LINEST VARS'!$H$58*(8*0.5)+'LINEST VARS'!$G$58*(8*$DV65)+'LINEST VARS'!$F$58*(8*$DX$56)+'LINEST VARS'!$E$58*(8*0.5)+'LINEST VARS'!$D$58*(8*$DV65)+'LINEST VARS'!$C$58*($DX$56*0.5)+'LINEST VARS'!$B$58*($DX$56*$DV65)+'LINEST VARS'!$A$58*(0.5*$DV65)</f>
        <v>0.8599800000000003</v>
      </c>
      <c r="DY65" s="51">
        <f>'LINEST VARS'!$U$58+'LINEST VARS'!$T$58*(8)+'LINEST VARS'!$S$58*(8)+'LINEST VARS'!$R$58*($DY$56)+'LINEST VARS'!$Q$58*(0.5)+'LINEST VARS'!$P$58*($DV65)+'LINEST VARS'!$O$58*(8^2)+'LINEST VARS'!$N$58*(8^2)+'LINEST VARS'!$M$58*($DY$56^2)+'LINEST VARS'!$L$58*(0.5^2)+'LINEST VARS'!$K$58*($DV65^2)+'LINEST VARS'!$J$58*(8*8)+'LINEST VARS'!$I$58*(8*$DY$56)+'LINEST VARS'!$H$58*(8*0.5)+'LINEST VARS'!$G$58*(8*$DV65)+'LINEST VARS'!$F$58*(8*$DY$56)+'LINEST VARS'!$E$58*(8*0.5)+'LINEST VARS'!$D$58*(8*$DV65)+'LINEST VARS'!$C$58*($DY$56*0.5)+'LINEST VARS'!$B$58*($DY$56*$DV65)+'LINEST VARS'!$A$58*(0.5*$DV65)</f>
        <v>0.8679800000000002</v>
      </c>
      <c r="DZ65" s="51">
        <f>'LINEST VARS'!$U$58+'LINEST VARS'!$T$58*(8)+'LINEST VARS'!$S$58*(8)+'LINEST VARS'!$R$58*($DZ$56)+'LINEST VARS'!$Q$58*(0.5)+'LINEST VARS'!$P$58*($DV65)+'LINEST VARS'!$O$58*(8^2)+'LINEST VARS'!$N$58*(8^2)+'LINEST VARS'!$M$58*($DZ$56^2)+'LINEST VARS'!$L$58*(0.5^2)+'LINEST VARS'!$K$58*($DV65^2)+'LINEST VARS'!$J$58*(8*8)+'LINEST VARS'!$I$58*(8*$DZ$56)+'LINEST VARS'!$H$58*(8*0.5)+'LINEST VARS'!$G$58*(8*$DV65)+'LINEST VARS'!$F$58*(8*$DZ$56)+'LINEST VARS'!$E$58*(8*0.5)+'LINEST VARS'!$D$58*(8*$DV65)+'LINEST VARS'!$C$58*($DZ$56*0.5)+'LINEST VARS'!$B$58*($DZ$56*$DV65)+'LINEST VARS'!$A$58*(0.5*$DV65)</f>
        <v>0.8759800000000002</v>
      </c>
      <c r="EA65" s="51">
        <f>'LINEST VARS'!$U$58+'LINEST VARS'!$T$58*(8)+'LINEST VARS'!$S$58*(8)+'LINEST VARS'!$R$58*($EA$56)+'LINEST VARS'!$Q$58*(0.5)+'LINEST VARS'!$P$58*($DV65)+'LINEST VARS'!$O$58*(8^2)+'LINEST VARS'!$N$58*(8^2)+'LINEST VARS'!$M$58*($EA$56^2)+'LINEST VARS'!$L$58*(0.5^2)+'LINEST VARS'!$K$58*($DV65^2)+'LINEST VARS'!$J$58*(8*8)+'LINEST VARS'!$I$58*(8*$EA$56)+'LINEST VARS'!$H$58*(8*0.5)+'LINEST VARS'!$G$58*(8*$DV65)+'LINEST VARS'!$F$58*(8*$EA$56)+'LINEST VARS'!$E$58*(8*0.5)+'LINEST VARS'!$D$58*(8*$DV65)+'LINEST VARS'!$C$58*($EA$56*0.5)+'LINEST VARS'!$B$58*($EA$56*$DV65)+'LINEST VARS'!$A$58*(0.5*$DV65)</f>
        <v>0.8839800000000001</v>
      </c>
      <c r="EB65" s="51">
        <f>'LINEST VARS'!$U$58+'LINEST VARS'!$T$58*(8)+'LINEST VARS'!$S$58*(8)+'LINEST VARS'!$R$58*($EB$56)+'LINEST VARS'!$Q$58*(0.5)+'LINEST VARS'!$P$58*($DV65)+'LINEST VARS'!$O$58*(8^2)+'LINEST VARS'!$N$58*(8^2)+'LINEST VARS'!$M$58*($EB$56^2)+'LINEST VARS'!$L$58*(0.5^2)+'LINEST VARS'!$K$58*($DV65^2)+'LINEST VARS'!$J$58*(8*8)+'LINEST VARS'!$I$58*(8*$EB$56)+'LINEST VARS'!$H$58*(8*0.5)+'LINEST VARS'!$G$58*(8*$DV65)+'LINEST VARS'!$F$58*(8*$EB$56)+'LINEST VARS'!$E$58*(8*0.5)+'LINEST VARS'!$D$58*(8*$DV65)+'LINEST VARS'!$C$58*($EB$56*0.5)+'LINEST VARS'!$B$58*($EB$56*$DV65)+'LINEST VARS'!$A$58*(0.5*$DV65)</f>
        <v>0.89198000000000022</v>
      </c>
      <c r="EC65" s="51">
        <f>'LINEST VARS'!$U$58+'LINEST VARS'!$T$58*(8)+'LINEST VARS'!$S$58*(8)+'LINEST VARS'!$R$58*($EC$56)+'LINEST VARS'!$Q$58*(0.5)+'LINEST VARS'!$P$58*($DV65)+'LINEST VARS'!$O$58*(8^2)+'LINEST VARS'!$N$58*(8^2)+'LINEST VARS'!$M$58*($EC$56^2)+'LINEST VARS'!$L$58*(0.5^2)+'LINEST VARS'!$K$58*($DV65^2)+'LINEST VARS'!$J$58*(8*8)+'LINEST VARS'!$I$58*(8*$EC$56)+'LINEST VARS'!$H$58*(8*0.5)+'LINEST VARS'!$G$58*(8*$DV65)+'LINEST VARS'!$F$58*(8*$EC$56)+'LINEST VARS'!$E$58*(8*0.5)+'LINEST VARS'!$D$58*(8*$DV65)+'LINEST VARS'!$C$58*($EC$56*0.5)+'LINEST VARS'!$B$58*($EC$56*$DV65)+'LINEST VARS'!$A$58*(0.5*$DV65)</f>
        <v>0.89998000000000022</v>
      </c>
      <c r="ED65" s="51">
        <f>'LINEST VARS'!$U$58+'LINEST VARS'!$T$58*(8)+'LINEST VARS'!$S$58*(8)+'LINEST VARS'!$R$58*($ED$56)+'LINEST VARS'!$Q$58*(0.5)+'LINEST VARS'!$P$58*($DV65)+'LINEST VARS'!$O$58*(8^2)+'LINEST VARS'!$N$58*(8^2)+'LINEST VARS'!$M$58*($ED$56^2)+'LINEST VARS'!$L$58*(0.5^2)+'LINEST VARS'!$K$58*($DV65^2)+'LINEST VARS'!$J$58*(8*8)+'LINEST VARS'!$I$58*(8*$ED$56)+'LINEST VARS'!$H$58*(8*0.5)+'LINEST VARS'!$G$58*(8*$DV65)+'LINEST VARS'!$F$58*(8*$ED$56)+'LINEST VARS'!$E$58*(8*0.5)+'LINEST VARS'!$D$58*(8*$DV65)+'LINEST VARS'!$C$58*($ED$56*0.5)+'LINEST VARS'!$B$58*($ED$56*$DV65)+'LINEST VARS'!$A$58*(0.5*$DV65)</f>
        <v>0.90798000000000023</v>
      </c>
      <c r="EE65" s="51">
        <f>'LINEST VARS'!$U$58+'LINEST VARS'!$T$58*(8)+'LINEST VARS'!$S$58*(8)+'LINEST VARS'!$R$58*($EE$56)+'LINEST VARS'!$Q$58*(0.5)+'LINEST VARS'!$P$58*($DV65)+'LINEST VARS'!$O$58*(8^2)+'LINEST VARS'!$N$58*(8^2)+'LINEST VARS'!$M$58*($EE$56^2)+'LINEST VARS'!$L$58*(0.5^2)+'LINEST VARS'!$K$58*($DV65^2)+'LINEST VARS'!$J$58*(8*8)+'LINEST VARS'!$I$58*(8*$EE$56)+'LINEST VARS'!$H$58*(8*0.5)+'LINEST VARS'!$G$58*(8*$DV65)+'LINEST VARS'!$F$58*(8*$EE$56)+'LINEST VARS'!$E$58*(8*0.5)+'LINEST VARS'!$D$58*(8*$DV65)+'LINEST VARS'!$C$58*($EE$56*0.5)+'LINEST VARS'!$B$58*($EE$56*$DV65)+'LINEST VARS'!$A$58*(0.5*$DV65)</f>
        <v>0.91598000000000035</v>
      </c>
      <c r="EF65" s="51">
        <f>'LINEST VARS'!$U$58+'LINEST VARS'!$T$58*(8)+'LINEST VARS'!$S$58*(8)+'LINEST VARS'!$R$58*($EF$56)+'LINEST VARS'!$Q$58*(0.5)+'LINEST VARS'!$P$58*($DV65)+'LINEST VARS'!$O$58*(8^2)+'LINEST VARS'!$N$58*(8^2)+'LINEST VARS'!$M$58*($EF$56^2)+'LINEST VARS'!$L$58*(0.5^2)+'LINEST VARS'!$K$58*($DV65^2)+'LINEST VARS'!$J$58*(8*8)+'LINEST VARS'!$I$58*(8*$EF$56)+'LINEST VARS'!$H$58*(8*0.5)+'LINEST VARS'!$G$58*(8*$DV65)+'LINEST VARS'!$F$58*(8*$EF$56)+'LINEST VARS'!$E$58*(8*0.5)+'LINEST VARS'!$D$58*(8*$DV65)+'LINEST VARS'!$C$58*($EF$56*0.5)+'LINEST VARS'!$B$58*($EF$56*$DV65)+'LINEST VARS'!$A$58*(0.5*$DV65)</f>
        <v>0.92398000000000025</v>
      </c>
      <c r="EG65" s="51">
        <f>'LINEST VARS'!$U$58+'LINEST VARS'!$T$58*(8)+'LINEST VARS'!$S$58*(8)+'LINEST VARS'!$R$58*($EG$56)+'LINEST VARS'!$Q$58*(0.5)+'LINEST VARS'!$P$58*($DV65)+'LINEST VARS'!$O$58*(8^2)+'LINEST VARS'!$N$58*(8^2)+'LINEST VARS'!$M$58*($EG$56^2)+'LINEST VARS'!$L$58*(0.5^2)+'LINEST VARS'!$K$58*($DV65^2)+'LINEST VARS'!$J$58*(8*8)+'LINEST VARS'!$I$58*(8*$EG$56)+'LINEST VARS'!$H$58*(8*0.5)+'LINEST VARS'!$G$58*(8*$DV65)+'LINEST VARS'!$F$58*(8*$EG$56)+'LINEST VARS'!$E$58*(8*0.5)+'LINEST VARS'!$D$58*(8*$DV65)+'LINEST VARS'!$C$58*($EG$56*0.5)+'LINEST VARS'!$B$58*($EG$56*$DV65)+'LINEST VARS'!$A$58*(0.5*$DV65)</f>
        <v>0.93198000000000025</v>
      </c>
      <c r="EH65" s="51">
        <f>'LINEST VARS'!$U$58+'LINEST VARS'!$T$58*(8)+'LINEST VARS'!$S$58*(8)+'LINEST VARS'!$R$58*($EH$56)+'LINEST VARS'!$Q$58*(0.5)+'LINEST VARS'!$P$58*($DV65)+'LINEST VARS'!$O$58*(8^2)+'LINEST VARS'!$N$58*(8^2)+'LINEST VARS'!$M$58*($EH$56^2)+'LINEST VARS'!$L$58*(0.5^2)+'LINEST VARS'!$K$58*($DV65^2)+'LINEST VARS'!$J$58*(8*8)+'LINEST VARS'!$I$58*(8*$EH$56)+'LINEST VARS'!$H$58*(8*0.5)+'LINEST VARS'!$G$58*(8*$DV65)+'LINEST VARS'!$F$58*(8*$EH$56)+'LINEST VARS'!$E$58*(8*0.5)+'LINEST VARS'!$D$58*(8*$DV65)+'LINEST VARS'!$C$58*($EH$56*0.5)+'LINEST VARS'!$B$58*($EH$56*$DV65)+'LINEST VARS'!$A$58*(0.5*$DV65)</f>
        <v>0.93998000000000015</v>
      </c>
      <c r="EI65" s="51">
        <f>'LINEST VARS'!$U$58+'LINEST VARS'!$T$58*(8)+'LINEST VARS'!$S$58*(8)+'LINEST VARS'!$R$58*($EI$56)+'LINEST VARS'!$Q$58*(0.5)+'LINEST VARS'!$P$58*($DV65)+'LINEST VARS'!$O$58*(8^2)+'LINEST VARS'!$N$58*(8^2)+'LINEST VARS'!$M$58*($EI$56^2)+'LINEST VARS'!$L$58*(0.5^2)+'LINEST VARS'!$K$58*($DV65^2)+'LINEST VARS'!$J$58*(8*8)+'LINEST VARS'!$I$58*(8*$EI$56)+'LINEST VARS'!$H$58*(8*0.5)+'LINEST VARS'!$G$58*(8*$DV65)+'LINEST VARS'!$F$58*(8*$EI$56)+'LINEST VARS'!$E$58*(8*0.5)+'LINEST VARS'!$D$58*(8*$DV65)+'LINEST VARS'!$C$58*($EI$56*0.5)+'LINEST VARS'!$B$58*($EI$56*$DV65)+'LINEST VARS'!$A$58*(0.5*$DV65)</f>
        <v>0.94798000000000016</v>
      </c>
      <c r="EJ65" s="51">
        <f>'LINEST VARS'!$U$58+'LINEST VARS'!$T$58*(8)+'LINEST VARS'!$S$58*(8)+'LINEST VARS'!$R$58*($EJ$56)+'LINEST VARS'!$Q$58*(0.5)+'LINEST VARS'!$P$58*($DV65)+'LINEST VARS'!$O$58*(8^2)+'LINEST VARS'!$N$58*(8^2)+'LINEST VARS'!$M$58*($EJ$56^2)+'LINEST VARS'!$L$58*(0.5^2)+'LINEST VARS'!$K$58*($DV65^2)+'LINEST VARS'!$J$58*(8*8)+'LINEST VARS'!$I$58*(8*$EJ$56)+'LINEST VARS'!$H$58*(8*0.5)+'LINEST VARS'!$G$58*(8*$DV65)+'LINEST VARS'!$F$58*(8*$EJ$56)+'LINEST VARS'!$E$58*(8*0.5)+'LINEST VARS'!$D$58*(8*$DV65)+'LINEST VARS'!$C$58*($EJ$56*0.5)+'LINEST VARS'!$B$58*($EJ$56*$DV65)+'LINEST VARS'!$A$58*(0.5*$DV65)</f>
        <v>0.95598000000000005</v>
      </c>
      <c r="EK65" s="51">
        <f>'LINEST VARS'!$U$58+'LINEST VARS'!$T$58*(8)+'LINEST VARS'!$S$58*(8)+'LINEST VARS'!$R$58*($EK$56)+'LINEST VARS'!$Q$58*(0.5)+'LINEST VARS'!$P$58*($DV65)+'LINEST VARS'!$O$58*(8^2)+'LINEST VARS'!$N$58*(8^2)+'LINEST VARS'!$M$58*($EK$56^2)+'LINEST VARS'!$L$58*(0.5^2)+'LINEST VARS'!$K$58*($DV65^2)+'LINEST VARS'!$J$58*(8*8)+'LINEST VARS'!$I$58*(8*$EK$56)+'LINEST VARS'!$H$58*(8*0.5)+'LINEST VARS'!$G$58*(8*$DV65)+'LINEST VARS'!$F$58*(8*$EK$56)+'LINEST VARS'!$E$58*(8*0.5)+'LINEST VARS'!$D$58*(8*$DV65)+'LINEST VARS'!$C$58*($EK$56*0.5)+'LINEST VARS'!$B$58*($EK$56*$DV65)+'LINEST VARS'!$A$58*(0.5*$DV65)</f>
        <v>0.96398000000000017</v>
      </c>
      <c r="EL65" s="51">
        <f>'LINEST VARS'!$U$58+'LINEST VARS'!$T$58*(8)+'LINEST VARS'!$S$58*(8)+'LINEST VARS'!$R$58*($EL$56)+'LINEST VARS'!$Q$58*(0.5)+'LINEST VARS'!$P$58*($DV65)+'LINEST VARS'!$O$58*(8^2)+'LINEST VARS'!$N$58*(8^2)+'LINEST VARS'!$M$58*($EL$56^2)+'LINEST VARS'!$L$58*(0.5^2)+'LINEST VARS'!$K$58*($DV65^2)+'LINEST VARS'!$J$58*(8*8)+'LINEST VARS'!$I$58*(8*$EL$56)+'LINEST VARS'!$H$58*(8*0.5)+'LINEST VARS'!$G$58*(8*$DV65)+'LINEST VARS'!$F$58*(8*$EL$56)+'LINEST VARS'!$E$58*(8*0.5)+'LINEST VARS'!$D$58*(8*$DV65)+'LINEST VARS'!$C$58*($EL$56*0.5)+'LINEST VARS'!$B$58*($EL$56*$DV65)+'LINEST VARS'!$A$58*(0.5*$DV65)</f>
        <v>0.97198000000000018</v>
      </c>
      <c r="EM65" s="51">
        <f>'LINEST VARS'!$U$58+'LINEST VARS'!$T$58*(8)+'LINEST VARS'!$S$58*(8)+'LINEST VARS'!$R$58*($EM$56)+'LINEST VARS'!$Q$58*(0.5)+'LINEST VARS'!$P$58*($DV65)+'LINEST VARS'!$O$58*(8^2)+'LINEST VARS'!$N$58*(8^2)+'LINEST VARS'!$M$58*($EM$56^2)+'LINEST VARS'!$L$58*(0.5^2)+'LINEST VARS'!$K$58*($DV65^2)+'LINEST VARS'!$J$58*(8*8)+'LINEST VARS'!$I$58*(8*$EM$56)+'LINEST VARS'!$H$58*(8*0.5)+'LINEST VARS'!$G$58*(8*$DV65)+'LINEST VARS'!$F$58*(8*$EM$56)+'LINEST VARS'!$E$58*(8*0.5)+'LINEST VARS'!$D$58*(8*$DV65)+'LINEST VARS'!$C$58*($EM$56*0.5)+'LINEST VARS'!$B$58*($EM$56*$DV65)+'LINEST VARS'!$A$58*(0.5*$DV65)</f>
        <v>0.9799800000000003</v>
      </c>
      <c r="EN65" s="51">
        <f>'LINEST VARS'!$U$58+'LINEST VARS'!$T$58*(8)+'LINEST VARS'!$S$58*(8)+'LINEST VARS'!$R$58*($EN$56)+'LINEST VARS'!$Q$58*(0.5)+'LINEST VARS'!$P$58*($DV65)+'LINEST VARS'!$O$58*(8^2)+'LINEST VARS'!$N$58*(8^2)+'LINEST VARS'!$M$58*($EN$56^2)+'LINEST VARS'!$L$58*(0.5^2)+'LINEST VARS'!$K$58*($DV65^2)+'LINEST VARS'!$J$58*(8*8)+'LINEST VARS'!$I$58*(8*$EN$56)+'LINEST VARS'!$H$58*(8*0.5)+'LINEST VARS'!$G$58*(8*$DV65)+'LINEST VARS'!$F$58*(8*$EN$56)+'LINEST VARS'!$E$58*(8*0.5)+'LINEST VARS'!$D$58*(8*$DV65)+'LINEST VARS'!$C$58*($EN$56*0.5)+'LINEST VARS'!$B$58*($EN$56*$DV65)+'LINEST VARS'!$A$58*(0.5*$DV65)</f>
        <v>0.9879800000000003</v>
      </c>
      <c r="EO65" s="51">
        <f>'LINEST VARS'!$U$58+'LINEST VARS'!$T$58*(8)+'LINEST VARS'!$S$58*(8)+'LINEST VARS'!$R$58*($EO$56)+'LINEST VARS'!$Q$58*(0.5)+'LINEST VARS'!$P$58*($DV65)+'LINEST VARS'!$O$58*(8^2)+'LINEST VARS'!$N$58*(8^2)+'LINEST VARS'!$M$58*($EO$56^2)+'LINEST VARS'!$L$58*(0.5^2)+'LINEST VARS'!$K$58*($DV65^2)+'LINEST VARS'!$J$58*(8*8)+'LINEST VARS'!$I$58*(8*$EO$56)+'LINEST VARS'!$H$58*(8*0.5)+'LINEST VARS'!$G$58*(8*$DV65)+'LINEST VARS'!$F$58*(8*$EO$56)+'LINEST VARS'!$E$58*(8*0.5)+'LINEST VARS'!$D$58*(8*$DV65)+'LINEST VARS'!$C$58*($EO$56*0.5)+'LINEST VARS'!$B$58*($EO$56*$DV65)+'LINEST VARS'!$A$58*(0.5*$DV65)</f>
        <v>0.99598000000000031</v>
      </c>
      <c r="EP65" s="51">
        <f>'LINEST VARS'!$U$58+'LINEST VARS'!$T$58*(8)+'LINEST VARS'!$S$58*(8)+'LINEST VARS'!$R$58*($EP$56)+'LINEST VARS'!$Q$58*(0.5)+'LINEST VARS'!$P$58*($DV65)+'LINEST VARS'!$O$58*(8^2)+'LINEST VARS'!$N$58*(8^2)+'LINEST VARS'!$M$58*($EP$56^2)+'LINEST VARS'!$L$58*(0.5^2)+'LINEST VARS'!$K$58*($DV65^2)+'LINEST VARS'!$J$58*(8*8)+'LINEST VARS'!$I$58*(8*$EP$56)+'LINEST VARS'!$H$58*(8*0.5)+'LINEST VARS'!$G$58*(8*$DV65)+'LINEST VARS'!$F$58*(8*$EP$56)+'LINEST VARS'!$E$58*(8*0.5)+'LINEST VARS'!$D$58*(8*$DV65)+'LINEST VARS'!$C$58*($EP$56*0.5)+'LINEST VARS'!$B$58*($EP$56*$DV65)+'LINEST VARS'!$A$58*(0.5*$DV65)</f>
        <v>1.0039800000000001</v>
      </c>
      <c r="EQ65" s="52">
        <f>'LINEST VARS'!$U$58+'LINEST VARS'!$T$58*(8)+'LINEST VARS'!$S$58*(8)+'LINEST VARS'!$R$58*($EQ$56)+'LINEST VARS'!$Q$58*(0.5)+'LINEST VARS'!$P$58*($DV65)+'LINEST VARS'!$O$58*(8^2)+'LINEST VARS'!$N$58*(8^2)+'LINEST VARS'!$M$58*($EQ$56^2)+'LINEST VARS'!$L$58*(0.5^2)+'LINEST VARS'!$K$58*($DV65^2)+'LINEST VARS'!$J$58*(8*8)+'LINEST VARS'!$I$58*(8*$EQ$56)+'LINEST VARS'!$H$58*(8*0.5)+'LINEST VARS'!$G$58*(8*$DV65)+'LINEST VARS'!$F$58*(8*$EQ$56)+'LINEST VARS'!$E$58*(8*0.5)+'LINEST VARS'!$D$58*(8*$DV65)+'LINEST VARS'!$C$58*($EQ$56*0.5)+'LINEST VARS'!$B$58*($EQ$56*$DV65)+'LINEST VARS'!$A$58*(0.5*$DV65)</f>
        <v>1.0119800000000003</v>
      </c>
    </row>
    <row r="66" spans="2:147" ht="15" customHeight="1" x14ac:dyDescent="0.25">
      <c r="B66" s="45">
        <v>7.94</v>
      </c>
      <c r="C66" s="51">
        <f>'LINEST VARS'!$U$56+'LINEST VARS'!$T$56*($C$56)+'LINEST VARS'!$S$56*($B66)+'LINEST VARS'!$R$56*(4)+'LINEST VARS'!$Q$56*(0.5)+'LINEST VARS'!$P$56*(12.73)+'LINEST VARS'!$O$56*($C$56^2)+'LINEST VARS'!$N$56*($B66^2)+'LINEST VARS'!$M$56*(4^2)+'LINEST VARS'!$L$56*(0.5^2)+'LINEST VARS'!$K$56*(12.73^2)+'LINEST VARS'!$J$56*($C$56*$B66)+'LINEST VARS'!$I$56*($C$56*4)+'LINEST VARS'!$H$56*($C$56*0.5)+'LINEST VARS'!$G$56*($C$56*12.73)+'LINEST VARS'!$F$56*($B66*4)+'LINEST VARS'!$E$56*($B66*0.5)+'LINEST VARS'!$D$56*($B66*12.73)+'LINEST VARS'!$C$56*(4*0.5)+'LINEST VARS'!$B$56*(4*12.73)+'LINEST VARS'!$A$56*(0.5*12.73)</f>
        <v>2.8400000000000012</v>
      </c>
      <c r="D66" s="51">
        <f>'LINEST VARS'!$U$56+'LINEST VARS'!$T$56*($D$56)+'LINEST VARS'!$S$56*($B66)+'LINEST VARS'!$R$56*(4)+'LINEST VARS'!$Q$56*(0.5)+'LINEST VARS'!$P$56*(12.73)+'LINEST VARS'!$O$56*($D$56^2)+'LINEST VARS'!$N$56*($B66^2)+'LINEST VARS'!$M$56*(4^2)+'LINEST VARS'!$L$56*(0.5^2)+'LINEST VARS'!$K$56*(12.73^2)+'LINEST VARS'!$J$56*($D$56*$B66)+'LINEST VARS'!$I$56*($D$56*4)+'LINEST VARS'!$H$56*($D$56*0.5)+'LINEST VARS'!$G$56*($D$56*12.73)+'LINEST VARS'!$F$56*($B66*4)+'LINEST VARS'!$E$56*($B66*0.5)+'LINEST VARS'!$D$56*($B66*12.73)+'LINEST VARS'!$C$56*(4*0.5)+'LINEST VARS'!$B$56*(4*12.73)+'LINEST VARS'!$A$56*(0.5*12.73)</f>
        <v>2.8400000000000012</v>
      </c>
      <c r="E66" s="51">
        <f>'LINEST VARS'!$U$56+'LINEST VARS'!$T$56*($E$56)+'LINEST VARS'!$S$56*($B66)+'LINEST VARS'!$R$56*(4)+'LINEST VARS'!$Q$56*(0.5)+'LINEST VARS'!$P$56*(12.73)+'LINEST VARS'!$O$56*($E$56^2)+'LINEST VARS'!$N$56*($B66^2)+'LINEST VARS'!$M$56*(4^2)+'LINEST VARS'!$L$56*(0.5^2)+'LINEST VARS'!$K$56*(12.73^2)+'LINEST VARS'!$J$56*($E$56*$B66)+'LINEST VARS'!$I$56*($E$56*4)+'LINEST VARS'!$H$56*($E$56*0.5)+'LINEST VARS'!$G$56*($E$56*12.73)+'LINEST VARS'!$F$56*($B66*4)+'LINEST VARS'!$E$56*($B66*0.5)+'LINEST VARS'!$D$56*($B66*12.73)+'LINEST VARS'!$C$56*(4*0.5)+'LINEST VARS'!$B$56*(4*12.73)+'LINEST VARS'!$A$56*(0.5*12.73)</f>
        <v>2.8400000000000012</v>
      </c>
      <c r="F66" s="51">
        <f>'LINEST VARS'!$U$56+'LINEST VARS'!$T$56*($F$56)+'LINEST VARS'!$S$56*($B66)+'LINEST VARS'!$R$56*(4)+'LINEST VARS'!$Q$56*(0.5)+'LINEST VARS'!$P$56*(12.73)+'LINEST VARS'!$O$56*($F$56^2)+'LINEST VARS'!$N$56*($B66^2)+'LINEST VARS'!$M$56*(4^2)+'LINEST VARS'!$L$56*(0.5^2)+'LINEST VARS'!$K$56*(12.73^2)+'LINEST VARS'!$J$56*($F$56*$B66)+'LINEST VARS'!$I$56*($F$56*4)+'LINEST VARS'!$H$56*($F$56*0.5)+'LINEST VARS'!$G$56*($F$56*12.73)+'LINEST VARS'!$F$56*($B66*4)+'LINEST VARS'!$E$56*($B66*0.5)+'LINEST VARS'!$D$56*($B66*12.73)+'LINEST VARS'!$C$56*(4*0.5)+'LINEST VARS'!$B$56*(4*12.73)+'LINEST VARS'!$A$56*(0.5*12.73)</f>
        <v>2.8400000000000012</v>
      </c>
      <c r="G66" s="51">
        <f>'LINEST VARS'!$U$56+'LINEST VARS'!$T$56*($G$56)+'LINEST VARS'!$S$56*($B66)+'LINEST VARS'!$R$56*(4)+'LINEST VARS'!$Q$56*(0.5)+'LINEST VARS'!$P$56*(12.73)+'LINEST VARS'!$O$56*($G$56^2)+'LINEST VARS'!$N$56*($B66^2)+'LINEST VARS'!$M$56*(4^2)+'LINEST VARS'!$L$56*(0.5^2)+'LINEST VARS'!$K$56*(12.73^2)+'LINEST VARS'!$J$56*($G$56*$B66)+'LINEST VARS'!$I$56*($G$56*4)+'LINEST VARS'!$H$56*($G$56*0.5)+'LINEST VARS'!$G$56*($G$56*12.73)+'LINEST VARS'!$F$56*($B66*4)+'LINEST VARS'!$E$56*($B66*0.5)+'LINEST VARS'!$D$56*($B66*12.73)+'LINEST VARS'!$C$56*(4*0.5)+'LINEST VARS'!$B$56*(4*12.73)+'LINEST VARS'!$A$56*(0.5*12.73)</f>
        <v>2.8400000000000012</v>
      </c>
      <c r="H66" s="51">
        <f>'LINEST VARS'!$U$56+'LINEST VARS'!$T$56*($H$56)+'LINEST VARS'!$S$56*($B66)+'LINEST VARS'!$R$56*(4)+'LINEST VARS'!$Q$56*(0.5)+'LINEST VARS'!$P$56*(12.73)+'LINEST VARS'!$O$56*($H$56^2)+'LINEST VARS'!$N$56*($B66^2)+'LINEST VARS'!$M$56*(4^2)+'LINEST VARS'!$L$56*(0.5^2)+'LINEST VARS'!$K$56*(12.73^2)+'LINEST VARS'!$J$56*($H$56*$B66)+'LINEST VARS'!$I$56*($H$56*4)+'LINEST VARS'!$H$56*($H$56*0.5)+'LINEST VARS'!$G$56*($H$56*12.73)+'LINEST VARS'!$F$56*($B66*4)+'LINEST VARS'!$E$56*($B66*0.5)+'LINEST VARS'!$D$56*($B66*12.73)+'LINEST VARS'!$C$56*(4*0.5)+'LINEST VARS'!$B$56*(4*12.73)+'LINEST VARS'!$A$56*(0.5*12.73)</f>
        <v>2.8400000000000012</v>
      </c>
      <c r="I66" s="51">
        <f>'LINEST VARS'!$U$56+'LINEST VARS'!$T$56*($I$56)+'LINEST VARS'!$S$56*($B66)+'LINEST VARS'!$R$56*(4)+'LINEST VARS'!$Q$56*(0.5)+'LINEST VARS'!$P$56*(12.73)+'LINEST VARS'!$O$56*($I$56^2)+'LINEST VARS'!$N$56*($B66^2)+'LINEST VARS'!$M$56*(4^2)+'LINEST VARS'!$L$56*(0.5^2)+'LINEST VARS'!$K$56*(12.73^2)+'LINEST VARS'!$J$56*($I$56*$B66)+'LINEST VARS'!$I$56*($I$56*4)+'LINEST VARS'!$H$56*($I$56*0.5)+'LINEST VARS'!$G$56*($I$56*12.73)+'LINEST VARS'!$F$56*($B66*4)+'LINEST VARS'!$E$56*($B66*0.5)+'LINEST VARS'!$D$56*($B66*12.73)+'LINEST VARS'!$C$56*(4*0.5)+'LINEST VARS'!$B$56*(4*12.73)+'LINEST VARS'!$A$56*(0.5*12.73)</f>
        <v>2.8400000000000012</v>
      </c>
      <c r="J66" s="51">
        <f>'LINEST VARS'!$U$56+'LINEST VARS'!$T$56*($J$56)+'LINEST VARS'!$S$56*($B66)+'LINEST VARS'!$R$56*(4)+'LINEST VARS'!$Q$56*(0.5)+'LINEST VARS'!$P$56*(12.73)+'LINEST VARS'!$O$56*($J$56^2)+'LINEST VARS'!$N$56*($B66^2)+'LINEST VARS'!$M$56*(4^2)+'LINEST VARS'!$L$56*(0.5^2)+'LINEST VARS'!$K$56*(12.73^2)+'LINEST VARS'!$J$56*($J$56*$B66)+'LINEST VARS'!$I$56*($J$56*4)+'LINEST VARS'!$H$56*($J$56*0.5)+'LINEST VARS'!$G$56*($J$56*12.73)+'LINEST VARS'!$F$56*($B66*4)+'LINEST VARS'!$E$56*($B66*0.5)+'LINEST VARS'!$D$56*($B66*12.73)+'LINEST VARS'!$C$56*(4*0.5)+'LINEST VARS'!$B$56*(4*12.73)+'LINEST VARS'!$A$56*(0.5*12.73)</f>
        <v>2.8400000000000012</v>
      </c>
      <c r="K66" s="51">
        <f>'LINEST VARS'!$U$56+'LINEST VARS'!$T$56*($K$56)+'LINEST VARS'!$S$56*($B66)+'LINEST VARS'!$R$56*(4)+'LINEST VARS'!$Q$56*(0.5)+'LINEST VARS'!$P$56*(12.73)+'LINEST VARS'!$O$56*($K$56^2)+'LINEST VARS'!$N$56*($B66^2)+'LINEST VARS'!$M$56*(4^2)+'LINEST VARS'!$L$56*(0.5^2)+'LINEST VARS'!$K$56*(12.73^2)+'LINEST VARS'!$J$56*($K$56*$B66)+'LINEST VARS'!$I$56*($K$56*4)+'LINEST VARS'!$H$56*($K$56*0.5)+'LINEST VARS'!$G$56*($K$56*12.73)+'LINEST VARS'!$F$56*($B66*4)+'LINEST VARS'!$E$56*($B66*0.5)+'LINEST VARS'!$D$56*($B66*12.73)+'LINEST VARS'!$C$56*(4*0.5)+'LINEST VARS'!$B$56*(4*12.73)+'LINEST VARS'!$A$56*(0.5*12.73)</f>
        <v>2.8400000000000007</v>
      </c>
      <c r="L66" s="51">
        <f>'LINEST VARS'!$U$56+'LINEST VARS'!$T$56*($L$56)+'LINEST VARS'!$S$56*($B66)+'LINEST VARS'!$R$56*(4)+'LINEST VARS'!$Q$56*(0.5)+'LINEST VARS'!$P$56*(12.73)+'LINEST VARS'!$O$56*($L$56^2)+'LINEST VARS'!$N$56*($B66^2)+'LINEST VARS'!$M$56*(4^2)+'LINEST VARS'!$L$56*(0.5^2)+'LINEST VARS'!$K$56*(12.73^2)+'LINEST VARS'!$J$56*($L$56*$B66)+'LINEST VARS'!$I$56*($L$56*4)+'LINEST VARS'!$H$56*($L$56*0.5)+'LINEST VARS'!$G$56*($L$56*12.73)+'LINEST VARS'!$F$56*($B66*4)+'LINEST VARS'!$E$56*($B66*0.5)+'LINEST VARS'!$D$56*($B66*12.73)+'LINEST VARS'!$C$56*(4*0.5)+'LINEST VARS'!$B$56*(4*12.73)+'LINEST VARS'!$A$56*(0.5*12.73)</f>
        <v>2.8400000000000007</v>
      </c>
      <c r="M66" s="51">
        <f>'LINEST VARS'!$U$56+'LINEST VARS'!$T$56*($M$56)+'LINEST VARS'!$S$56*($B66)+'LINEST VARS'!$R$56*(4)+'LINEST VARS'!$Q$56*(0.5)+'LINEST VARS'!$P$56*(12.73)+'LINEST VARS'!$O$56*($M$56^2)+'LINEST VARS'!$N$56*($B66^2)+'LINEST VARS'!$M$56*(4^2)+'LINEST VARS'!$L$56*(0.5^2)+'LINEST VARS'!$K$56*(12.73^2)+'LINEST VARS'!$J$56*($M$56*$B66)+'LINEST VARS'!$I$56*($M$56*4)+'LINEST VARS'!$H$56*($M$56*0.5)+'LINEST VARS'!$G$56*($M$56*12.73)+'LINEST VARS'!$F$56*($B66*4)+'LINEST VARS'!$E$56*($B66*0.5)+'LINEST VARS'!$D$56*($B66*12.73)+'LINEST VARS'!$C$56*(4*0.5)+'LINEST VARS'!$B$56*(4*12.73)+'LINEST VARS'!$A$56*(0.5*12.73)</f>
        <v>2.8400000000000007</v>
      </c>
      <c r="N66" s="51">
        <f>'LINEST VARS'!$U$56+'LINEST VARS'!$T$56*($N$56)+'LINEST VARS'!$S$56*($B66)+'LINEST VARS'!$R$56*(4)+'LINEST VARS'!$Q$56*(0.5)+'LINEST VARS'!$P$56*(12.73)+'LINEST VARS'!$O$56*($N$56^2)+'LINEST VARS'!$N$56*($B66^2)+'LINEST VARS'!$M$56*(4^2)+'LINEST VARS'!$L$56*(0.5^2)+'LINEST VARS'!$K$56*(12.73^2)+'LINEST VARS'!$J$56*($N$56*$B66)+'LINEST VARS'!$I$56*($N$56*4)+'LINEST VARS'!$H$56*($N$56*0.5)+'LINEST VARS'!$G$56*($N$56*12.73)+'LINEST VARS'!$F$56*($B66*4)+'LINEST VARS'!$E$56*($B66*0.5)+'LINEST VARS'!$D$56*($B66*12.73)+'LINEST VARS'!$C$56*(4*0.5)+'LINEST VARS'!$B$56*(4*12.73)+'LINEST VARS'!$A$56*(0.5*12.73)</f>
        <v>2.8400000000000007</v>
      </c>
      <c r="O66" s="51">
        <f>'LINEST VARS'!$U$56+'LINEST VARS'!$T$56*($O$56)+'LINEST VARS'!$S$56*($B66)+'LINEST VARS'!$R$56*(4)+'LINEST VARS'!$Q$56*(0.5)+'LINEST VARS'!$P$56*(12.73)+'LINEST VARS'!$O$56*($O$56^2)+'LINEST VARS'!$N$56*($B66^2)+'LINEST VARS'!$M$56*(4^2)+'LINEST VARS'!$L$56*(0.5^2)+'LINEST VARS'!$K$56*(12.73^2)+'LINEST VARS'!$J$56*($O$56*$B66)+'LINEST VARS'!$I$56*($O$56*4)+'LINEST VARS'!$H$56*($O$56*0.5)+'LINEST VARS'!$G$56*($O$56*12.73)+'LINEST VARS'!$F$56*($B66*4)+'LINEST VARS'!$E$56*($B66*0.5)+'LINEST VARS'!$D$56*($B66*12.73)+'LINEST VARS'!$C$56*(4*0.5)+'LINEST VARS'!$B$56*(4*12.73)+'LINEST VARS'!$A$56*(0.5*12.73)</f>
        <v>2.8400000000000007</v>
      </c>
      <c r="P66" s="51">
        <f>'LINEST VARS'!$U$56+'LINEST VARS'!$T$56*($P$56)+'LINEST VARS'!$S$56*($B66)+'LINEST VARS'!$R$56*(4)+'LINEST VARS'!$Q$56*(0.5)+'LINEST VARS'!$P$56*(12.73)+'LINEST VARS'!$O$56*($P$56^2)+'LINEST VARS'!$N$56*($B66^2)+'LINEST VARS'!$M$56*(4^2)+'LINEST VARS'!$L$56*(0.5^2)+'LINEST VARS'!$K$56*(12.73^2)+'LINEST VARS'!$J$56*($P$56*$B66)+'LINEST VARS'!$I$56*($P$56*4)+'LINEST VARS'!$H$56*($P$56*0.5)+'LINEST VARS'!$G$56*($P$56*12.73)+'LINEST VARS'!$F$56*($B66*4)+'LINEST VARS'!$E$56*($B66*0.5)+'LINEST VARS'!$D$56*($B66*12.73)+'LINEST VARS'!$C$56*(4*0.5)+'LINEST VARS'!$B$56*(4*12.73)+'LINEST VARS'!$A$56*(0.5*12.73)</f>
        <v>2.8400000000000007</v>
      </c>
      <c r="Q66" s="51">
        <f>'LINEST VARS'!$U$56+'LINEST VARS'!$T$56*($Q$56)+'LINEST VARS'!$S$56*($B66)+'LINEST VARS'!$R$56*(4)+'LINEST VARS'!$Q$56*(0.5)+'LINEST VARS'!$P$56*(12.73)+'LINEST VARS'!$O$56*($Q$56^2)+'LINEST VARS'!$N$56*($B66^2)+'LINEST VARS'!$M$56*(4^2)+'LINEST VARS'!$L$56*(0.5^2)+'LINEST VARS'!$K$56*(12.73^2)+'LINEST VARS'!$J$56*($Q$56*$B66)+'LINEST VARS'!$I$56*($Q$56*4)+'LINEST VARS'!$H$56*($Q$56*0.5)+'LINEST VARS'!$G$56*($Q$56*12.73)+'LINEST VARS'!$F$56*($B66*4)+'LINEST VARS'!$E$56*($B66*0.5)+'LINEST VARS'!$D$56*($B66*12.73)+'LINEST VARS'!$C$56*(4*0.5)+'LINEST VARS'!$B$56*(4*12.73)+'LINEST VARS'!$A$56*(0.5*12.73)</f>
        <v>2.8400000000000007</v>
      </c>
      <c r="R66" s="51">
        <f>'LINEST VARS'!$U$56+'LINEST VARS'!$T$56*($R$56)+'LINEST VARS'!$S$56*($B66)+'LINEST VARS'!$R$56*(4)+'LINEST VARS'!$Q$56*(0.5)+'LINEST VARS'!$P$56*(12.73)+'LINEST VARS'!$O$56*($R$56^2)+'LINEST VARS'!$N$56*($B66^2)+'LINEST VARS'!$M$56*(4^2)+'LINEST VARS'!$L$56*(0.5^2)+'LINEST VARS'!$K$56*(12.73^2)+'LINEST VARS'!$J$56*($R$56*$B66)+'LINEST VARS'!$I$56*($R$56*4)+'LINEST VARS'!$H$56*($R$56*0.5)+'LINEST VARS'!$G$56*($R$56*12.73)+'LINEST VARS'!$F$56*($B66*4)+'LINEST VARS'!$E$56*($B66*0.5)+'LINEST VARS'!$D$56*($B66*12.73)+'LINEST VARS'!$C$56*(4*0.5)+'LINEST VARS'!$B$56*(4*12.73)+'LINEST VARS'!$A$56*(0.5*12.73)</f>
        <v>2.8400000000000007</v>
      </c>
      <c r="S66" s="51">
        <f>'LINEST VARS'!$U$56+'LINEST VARS'!$T$56*($S$56)+'LINEST VARS'!$S$56*($B66)+'LINEST VARS'!$R$56*(4)+'LINEST VARS'!$Q$56*(0.5)+'LINEST VARS'!$P$56*(12.73)+'LINEST VARS'!$O$56*($S$56^2)+'LINEST VARS'!$N$56*($B66^2)+'LINEST VARS'!$M$56*(4^2)+'LINEST VARS'!$L$56*(0.5^2)+'LINEST VARS'!$K$56*(12.73^2)+'LINEST VARS'!$J$56*($S$56*$B66)+'LINEST VARS'!$I$56*($S$56*4)+'LINEST VARS'!$H$56*($S$56*0.5)+'LINEST VARS'!$G$56*($S$56*12.73)+'LINEST VARS'!$F$56*($B66*4)+'LINEST VARS'!$E$56*($B66*0.5)+'LINEST VARS'!$D$56*($B66*12.73)+'LINEST VARS'!$C$56*(4*0.5)+'LINEST VARS'!$B$56*(4*12.73)+'LINEST VARS'!$A$56*(0.5*12.73)</f>
        <v>2.8400000000000007</v>
      </c>
      <c r="T66" s="51">
        <f>'LINEST VARS'!$U$56+'LINEST VARS'!$T$56*($T$56)+'LINEST VARS'!$S$56*($B66)+'LINEST VARS'!$R$56*(4)+'LINEST VARS'!$Q$56*(0.5)+'LINEST VARS'!$P$56*(12.73)+'LINEST VARS'!$O$56*($T$56^2)+'LINEST VARS'!$N$56*($B66^2)+'LINEST VARS'!$M$56*(4^2)+'LINEST VARS'!$L$56*(0.5^2)+'LINEST VARS'!$K$56*(12.73^2)+'LINEST VARS'!$J$56*($T$56*$B66)+'LINEST VARS'!$I$56*($T$56*4)+'LINEST VARS'!$H$56*($T$56*0.5)+'LINEST VARS'!$G$56*($T$56*12.73)+'LINEST VARS'!$F$56*($B66*4)+'LINEST VARS'!$E$56*($B66*0.5)+'LINEST VARS'!$D$56*($B66*12.73)+'LINEST VARS'!$C$56*(4*0.5)+'LINEST VARS'!$B$56*(4*12.73)+'LINEST VARS'!$A$56*(0.5*12.73)</f>
        <v>2.8400000000000007</v>
      </c>
      <c r="U66" s="51">
        <f>'LINEST VARS'!$U$56+'LINEST VARS'!$T$56*($U$56)+'LINEST VARS'!$S$56*($B66)+'LINEST VARS'!$R$56*(4)+'LINEST VARS'!$Q$56*(0.5)+'LINEST VARS'!$P$56*(12.73)+'LINEST VARS'!$O$56*($U$56^2)+'LINEST VARS'!$N$56*($B66^2)+'LINEST VARS'!$M$56*(4^2)+'LINEST VARS'!$L$56*(0.5^2)+'LINEST VARS'!$K$56*(12.73^2)+'LINEST VARS'!$J$56*($U$56*$B66)+'LINEST VARS'!$I$56*($U$56*4)+'LINEST VARS'!$H$56*($U$56*0.5)+'LINEST VARS'!$G$56*($U$56*12.73)+'LINEST VARS'!$F$56*($B66*4)+'LINEST VARS'!$E$56*($B66*0.5)+'LINEST VARS'!$D$56*($B66*12.73)+'LINEST VARS'!$C$56*(4*0.5)+'LINEST VARS'!$B$56*(4*12.73)+'LINEST VARS'!$A$56*(0.5*12.73)</f>
        <v>2.8400000000000007</v>
      </c>
      <c r="V66" s="51">
        <f>'LINEST VARS'!$U$56+'LINEST VARS'!$T$56*($V$56)+'LINEST VARS'!$S$56*($B66)+'LINEST VARS'!$R$56*(4)+'LINEST VARS'!$Q$56*(0.5)+'LINEST VARS'!$P$56*(12.73)+'LINEST VARS'!$O$56*($V$56^2)+'LINEST VARS'!$N$56*($B66^2)+'LINEST VARS'!$M$56*(4^2)+'LINEST VARS'!$L$56*(0.5^2)+'LINEST VARS'!$K$56*(12.73^2)+'LINEST VARS'!$J$56*($V$56*$B66)+'LINEST VARS'!$I$56*($V$56*4)+'LINEST VARS'!$H$56*($V$56*0.5)+'LINEST VARS'!$G$56*($V$56*12.73)+'LINEST VARS'!$F$56*($B66*4)+'LINEST VARS'!$E$56*($B66*0.5)+'LINEST VARS'!$D$56*($B66*12.73)+'LINEST VARS'!$C$56*(4*0.5)+'LINEST VARS'!$B$56*(4*12.73)+'LINEST VARS'!$A$56*(0.5*12.73)</f>
        <v>2.8400000000000007</v>
      </c>
      <c r="W66" s="52">
        <f>'LINEST VARS'!$U$56+'LINEST VARS'!$T$56*($W$56)+'LINEST VARS'!$S$56*($B66)+'LINEST VARS'!$R$56*(4)+'LINEST VARS'!$Q$56*(0.5)+'LINEST VARS'!$P$56*(12.73)+'LINEST VARS'!$O$56*($W$56^2)+'LINEST VARS'!$N$56*($B66^2)+'LINEST VARS'!$M$56*(4^2)+'LINEST VARS'!$L$56*(0.5^2)+'LINEST VARS'!$K$56*(12.73^2)+'LINEST VARS'!$J$56*($W$56*$B66)+'LINEST VARS'!$I$56*($W$56*4)+'LINEST VARS'!$H$56*($W$56*0.5)+'LINEST VARS'!$G$56*($W$56*12.73)+'LINEST VARS'!$F$56*($B66*4)+'LINEST VARS'!$E$56*($B66*0.5)+'LINEST VARS'!$D$56*($B66*12.73)+'LINEST VARS'!$C$56*(4*0.5)+'LINEST VARS'!$B$56*(4*12.73)+'LINEST VARS'!$A$56*(0.5*12.73)</f>
        <v>2.8400000000000007</v>
      </c>
      <c r="Z66" s="45">
        <v>7.94</v>
      </c>
      <c r="AA66" s="51">
        <f>'LINEST VARS'!$U$58+'LINEST VARS'!$T$58*($AA$56)+'LINEST VARS'!$S$58*($Z66)+'LINEST VARS'!$R$58*(4)+'LINEST VARS'!$Q$58*(0.5)+'LINEST VARS'!$P$58*(12.73)+'LINEST VARS'!$O$58*($AA$56^2)+'LINEST VARS'!$N$58*($Z66^2)+'LINEST VARS'!$M$58*(4^2)+'LINEST VARS'!$L$58*(0.5^2)+'LINEST VARS'!$K$58*(12.73^2)+'LINEST VARS'!$J$58*($AA$56*$Z66)+'LINEST VARS'!$I$58*($AA$56*4)+'LINEST VARS'!$H$58*($AA$56*0.5)+'LINEST VARS'!$G$58*($AA$56*12.73)+'LINEST VARS'!$F$58*($Z66*4)+'LINEST VARS'!$E$58*($Z66*0.5)+'LINEST VARS'!$D$58*($Z66*12.73)+'LINEST VARS'!$C$58*(4*0.5)+'LINEST VARS'!$B$58*(4*12.73)+'LINEST VARS'!$A$58*(0.5*12.73)</f>
        <v>0.94365000000000021</v>
      </c>
      <c r="AB66" s="51">
        <f>'LINEST VARS'!$U$58+'LINEST VARS'!$T$58*($AB$56)+'LINEST VARS'!$S$58*($Z66)+'LINEST VARS'!$R$58*(4)+'LINEST VARS'!$Q$58*(0.5)+'LINEST VARS'!$P$58*(12.73)+'LINEST VARS'!$O$58*($AB$56^2)+'LINEST VARS'!$N$58*($Z66^2)+'LINEST VARS'!$M$58*(4^2)+'LINEST VARS'!$L$58*(0.5^2)+'LINEST VARS'!$K$58*(12.73^2)+'LINEST VARS'!$J$58*($AB$56*$Z66)+'LINEST VARS'!$I$58*($AB$56*4)+'LINEST VARS'!$H$58*($AB$56*0.5)+'LINEST VARS'!$G$58*($AB$56*12.73)+'LINEST VARS'!$F$58*($Z66*4)+'LINEST VARS'!$E$58*($Z66*0.5)+'LINEST VARS'!$D$58*($Z66*12.73)+'LINEST VARS'!$C$58*(4*0.5)+'LINEST VARS'!$B$58*(4*12.73)+'LINEST VARS'!$A$58*(0.5*12.73)</f>
        <v>0.94365000000000032</v>
      </c>
      <c r="AC66" s="51">
        <f>'LINEST VARS'!$U$58+'LINEST VARS'!$T$58*($AC$56)+'LINEST VARS'!$S$58*($Z66)+'LINEST VARS'!$R$58*(4)+'LINEST VARS'!$Q$58*(0.5)+'LINEST VARS'!$P$58*(12.73)+'LINEST VARS'!$O$58*($AC$56^2)+'LINEST VARS'!$N$58*($Z66^2)+'LINEST VARS'!$M$58*(4^2)+'LINEST VARS'!$L$58*(0.5^2)+'LINEST VARS'!$K$58*(12.73^2)+'LINEST VARS'!$J$58*($AC$56*$Z66)+'LINEST VARS'!$I$58*($AC$56*4)+'LINEST VARS'!$H$58*($AC$56*0.5)+'LINEST VARS'!$G$58*($AC$56*12.73)+'LINEST VARS'!$F$58*($Z66*4)+'LINEST VARS'!$E$58*($Z66*0.5)+'LINEST VARS'!$D$58*($Z66*12.73)+'LINEST VARS'!$C$58*(4*0.5)+'LINEST VARS'!$B$58*(4*12.73)+'LINEST VARS'!$A$58*(0.5*12.73)</f>
        <v>0.94365000000000032</v>
      </c>
      <c r="AD66" s="51">
        <f>'LINEST VARS'!$U$58+'LINEST VARS'!$T$58*($AD$56)+'LINEST VARS'!$S$58*($Z66)+'LINEST VARS'!$R$58*(4)+'LINEST VARS'!$Q$58*(0.5)+'LINEST VARS'!$P$58*(12.73)+'LINEST VARS'!$O$58*($AD$56^2)+'LINEST VARS'!$N$58*($Z66^2)+'LINEST VARS'!$M$58*(4^2)+'LINEST VARS'!$L$58*(0.5^2)+'LINEST VARS'!$K$58*(12.73^2)+'LINEST VARS'!$J$58*($AD$56*$Z66)+'LINEST VARS'!$I$58*($AD$56*4)+'LINEST VARS'!$H$58*($AD$56*0.5)+'LINEST VARS'!$G$58*($AD$56*12.73)+'LINEST VARS'!$F$58*($Z66*4)+'LINEST VARS'!$E$58*($Z66*0.5)+'LINEST VARS'!$D$58*($Z66*12.73)+'LINEST VARS'!$C$58*(4*0.5)+'LINEST VARS'!$B$58*(4*12.73)+'LINEST VARS'!$A$58*(0.5*12.73)</f>
        <v>0.94365000000000032</v>
      </c>
      <c r="AE66" s="51">
        <f>'LINEST VARS'!$U$58+'LINEST VARS'!$T$58*($AE$56)+'LINEST VARS'!$S$58*($Z66)+'LINEST VARS'!$R$58*(4)+'LINEST VARS'!$Q$58*(0.5)+'LINEST VARS'!$P$58*(12.73)+'LINEST VARS'!$O$58*($AE$56^2)+'LINEST VARS'!$N$58*($Z66^2)+'LINEST VARS'!$M$58*(4^2)+'LINEST VARS'!$L$58*(0.5^2)+'LINEST VARS'!$K$58*(12.73^2)+'LINEST VARS'!$J$58*($AE$56*$Z66)+'LINEST VARS'!$I$58*($AE$56*4)+'LINEST VARS'!$H$58*($AE$56*0.5)+'LINEST VARS'!$G$58*($AE$56*12.73)+'LINEST VARS'!$F$58*($Z66*4)+'LINEST VARS'!$E$58*($Z66*0.5)+'LINEST VARS'!$D$58*($Z66*12.73)+'LINEST VARS'!$C$58*(4*0.5)+'LINEST VARS'!$B$58*(4*12.73)+'LINEST VARS'!$A$58*(0.5*12.73)</f>
        <v>0.94365000000000032</v>
      </c>
      <c r="AF66" s="51">
        <f>'LINEST VARS'!$U$58+'LINEST VARS'!$T$58*($AF$56)+'LINEST VARS'!$S$58*($Z66)+'LINEST VARS'!$R$58*(4)+'LINEST VARS'!$Q$58*(0.5)+'LINEST VARS'!$P$58*(12.73)+'LINEST VARS'!$O$58*($AF$56^2)+'LINEST VARS'!$N$58*($Z66^2)+'LINEST VARS'!$M$58*(4^2)+'LINEST VARS'!$L$58*(0.5^2)+'LINEST VARS'!$K$58*(12.73^2)+'LINEST VARS'!$J$58*($AF$56*$Z66)+'LINEST VARS'!$I$58*($AF$56*4)+'LINEST VARS'!$H$58*($AF$56*0.5)+'LINEST VARS'!$G$58*($AF$56*12.73)+'LINEST VARS'!$F$58*($Z66*4)+'LINEST VARS'!$E$58*($Z66*0.5)+'LINEST VARS'!$D$58*($Z66*12.73)+'LINEST VARS'!$C$58*(4*0.5)+'LINEST VARS'!$B$58*(4*12.73)+'LINEST VARS'!$A$58*(0.5*12.73)</f>
        <v>0.94365000000000032</v>
      </c>
      <c r="AG66" s="51">
        <f>'LINEST VARS'!$U$58+'LINEST VARS'!$T$58*($AG$56)+'LINEST VARS'!$S$58*($Z66)+'LINEST VARS'!$R$58*(4)+'LINEST VARS'!$Q$58*(0.5)+'LINEST VARS'!$P$58*(12.73)+'LINEST VARS'!$O$58*($AG$56^2)+'LINEST VARS'!$N$58*($Z66^2)+'LINEST VARS'!$M$58*(4^2)+'LINEST VARS'!$L$58*(0.5^2)+'LINEST VARS'!$K$58*(12.73^2)+'LINEST VARS'!$J$58*($AG$56*$Z66)+'LINEST VARS'!$I$58*($AG$56*4)+'LINEST VARS'!$H$58*($AG$56*0.5)+'LINEST VARS'!$G$58*($AG$56*12.73)+'LINEST VARS'!$F$58*($Z66*4)+'LINEST VARS'!$E$58*($Z66*0.5)+'LINEST VARS'!$D$58*($Z66*12.73)+'LINEST VARS'!$C$58*(4*0.5)+'LINEST VARS'!$B$58*(4*12.73)+'LINEST VARS'!$A$58*(0.5*12.73)</f>
        <v>0.94365000000000032</v>
      </c>
      <c r="AH66" s="51">
        <f>'LINEST VARS'!$U$58+'LINEST VARS'!$T$58*($AH$56)+'LINEST VARS'!$S$58*($Z66)+'LINEST VARS'!$R$58*(4)+'LINEST VARS'!$Q$58*(0.5)+'LINEST VARS'!$P$58*(12.73)+'LINEST VARS'!$O$58*($AH$56^2)+'LINEST VARS'!$N$58*($Z66^2)+'LINEST VARS'!$M$58*(4^2)+'LINEST VARS'!$L$58*(0.5^2)+'LINEST VARS'!$K$58*(12.73^2)+'LINEST VARS'!$J$58*($AH$56*$Z66)+'LINEST VARS'!$I$58*($AH$56*4)+'LINEST VARS'!$H$58*($AH$56*0.5)+'LINEST VARS'!$G$58*($AH$56*12.73)+'LINEST VARS'!$F$58*($Z66*4)+'LINEST VARS'!$E$58*($Z66*0.5)+'LINEST VARS'!$D$58*($Z66*12.73)+'LINEST VARS'!$C$58*(4*0.5)+'LINEST VARS'!$B$58*(4*12.73)+'LINEST VARS'!$A$58*(0.5*12.73)</f>
        <v>0.94365000000000032</v>
      </c>
      <c r="AI66" s="51">
        <f>'LINEST VARS'!$U$58+'LINEST VARS'!$T$58*($AI$56)+'LINEST VARS'!$S$58*($Z66)+'LINEST VARS'!$R$58*(4)+'LINEST VARS'!$Q$58*(0.5)+'LINEST VARS'!$P$58*(12.73)+'LINEST VARS'!$O$58*($AI$56^2)+'LINEST VARS'!$N$58*($Z66^2)+'LINEST VARS'!$M$58*(4^2)+'LINEST VARS'!$L$58*(0.5^2)+'LINEST VARS'!$K$58*(12.73^2)+'LINEST VARS'!$J$58*($AI$56*$Z66)+'LINEST VARS'!$I$58*($AI$56*4)+'LINEST VARS'!$H$58*($AI$56*0.5)+'LINEST VARS'!$G$58*($AI$56*12.73)+'LINEST VARS'!$F$58*($Z66*4)+'LINEST VARS'!$E$58*($Z66*0.5)+'LINEST VARS'!$D$58*($Z66*12.73)+'LINEST VARS'!$C$58*(4*0.5)+'LINEST VARS'!$B$58*(4*12.73)+'LINEST VARS'!$A$58*(0.5*12.73)</f>
        <v>0.94365000000000021</v>
      </c>
      <c r="AJ66" s="51">
        <f>'LINEST VARS'!$U$58+'LINEST VARS'!$T$58*($AJ$56)+'LINEST VARS'!$S$58*($Z66)+'LINEST VARS'!$R$58*(4)+'LINEST VARS'!$Q$58*(0.5)+'LINEST VARS'!$P$58*(12.73)+'LINEST VARS'!$O$58*($AJ$56^2)+'LINEST VARS'!$N$58*($Z66^2)+'LINEST VARS'!$M$58*(4^2)+'LINEST VARS'!$L$58*(0.5^2)+'LINEST VARS'!$K$58*(12.73^2)+'LINEST VARS'!$J$58*($AJ$56*$Z66)+'LINEST VARS'!$I$58*($AJ$56*4)+'LINEST VARS'!$H$58*($AJ$56*0.5)+'LINEST VARS'!$G$58*($AJ$56*12.73)+'LINEST VARS'!$F$58*($Z66*4)+'LINEST VARS'!$E$58*($Z66*0.5)+'LINEST VARS'!$D$58*($Z66*12.73)+'LINEST VARS'!$C$58*(4*0.5)+'LINEST VARS'!$B$58*(4*12.73)+'LINEST VARS'!$A$58*(0.5*12.73)</f>
        <v>0.94365000000000021</v>
      </c>
      <c r="AK66" s="51">
        <f>'LINEST VARS'!$U$58+'LINEST VARS'!$T$58*($AK$56)+'LINEST VARS'!$S$58*($Z66)+'LINEST VARS'!$R$58*(4)+'LINEST VARS'!$Q$58*(0.5)+'LINEST VARS'!$P$58*(12.73)+'LINEST VARS'!$O$58*($AK$56^2)+'LINEST VARS'!$N$58*($Z66^2)+'LINEST VARS'!$M$58*(4^2)+'LINEST VARS'!$L$58*(0.5^2)+'LINEST VARS'!$K$58*(12.73^2)+'LINEST VARS'!$J$58*($AK$56*$Z66)+'LINEST VARS'!$I$58*($AK$56*4)+'LINEST VARS'!$H$58*($AK$56*0.5)+'LINEST VARS'!$G$58*($AK$56*12.73)+'LINEST VARS'!$F$58*($Z66*4)+'LINEST VARS'!$E$58*($Z66*0.5)+'LINEST VARS'!$D$58*($Z66*12.73)+'LINEST VARS'!$C$58*(4*0.5)+'LINEST VARS'!$B$58*(4*12.73)+'LINEST VARS'!$A$58*(0.5*12.73)</f>
        <v>0.94365000000000032</v>
      </c>
      <c r="AL66" s="51">
        <f>'LINEST VARS'!$U$58+'LINEST VARS'!$T$58*($AL$56)+'LINEST VARS'!$S$58*($Z66)+'LINEST VARS'!$R$58*(4)+'LINEST VARS'!$Q$58*(0.5)+'LINEST VARS'!$P$58*(12.73)+'LINEST VARS'!$O$58*($AL$56^2)+'LINEST VARS'!$N$58*($Z66^2)+'LINEST VARS'!$M$58*(4^2)+'LINEST VARS'!$L$58*(0.5^2)+'LINEST VARS'!$K$58*(12.73^2)+'LINEST VARS'!$J$58*($AL$56*$Z66)+'LINEST VARS'!$I$58*($AL$56*4)+'LINEST VARS'!$H$58*($AL$56*0.5)+'LINEST VARS'!$G$58*($AL$56*12.73)+'LINEST VARS'!$F$58*($Z66*4)+'LINEST VARS'!$E$58*($Z66*0.5)+'LINEST VARS'!$D$58*($Z66*12.73)+'LINEST VARS'!$C$58*(4*0.5)+'LINEST VARS'!$B$58*(4*12.73)+'LINEST VARS'!$A$58*(0.5*12.73)</f>
        <v>0.94365000000000032</v>
      </c>
      <c r="AM66" s="51">
        <f>'LINEST VARS'!$U$58+'LINEST VARS'!$T$58*($AM$56)+'LINEST VARS'!$S$58*($Z66)+'LINEST VARS'!$R$58*(4)+'LINEST VARS'!$Q$58*(0.5)+'LINEST VARS'!$P$58*(12.73)+'LINEST VARS'!$O$58*($AM$56^2)+'LINEST VARS'!$N$58*($Z66^2)+'LINEST VARS'!$M$58*(4^2)+'LINEST VARS'!$L$58*(0.5^2)+'LINEST VARS'!$K$58*(12.73^2)+'LINEST VARS'!$J$58*($AM$56*$Z66)+'LINEST VARS'!$I$58*($AM$56*4)+'LINEST VARS'!$H$58*($AM$56*0.5)+'LINEST VARS'!$G$58*($AM$56*12.73)+'LINEST VARS'!$F$58*($Z66*4)+'LINEST VARS'!$E$58*($Z66*0.5)+'LINEST VARS'!$D$58*($Z66*12.73)+'LINEST VARS'!$C$58*(4*0.5)+'LINEST VARS'!$B$58*(4*12.73)+'LINEST VARS'!$A$58*(0.5*12.73)</f>
        <v>0.94365000000000021</v>
      </c>
      <c r="AN66" s="51">
        <f>'LINEST VARS'!$U$58+'LINEST VARS'!$T$58*($AN$56)+'LINEST VARS'!$S$58*($Z66)+'LINEST VARS'!$R$58*(4)+'LINEST VARS'!$Q$58*(0.5)+'LINEST VARS'!$P$58*(12.73)+'LINEST VARS'!$O$58*($AN$56^2)+'LINEST VARS'!$N$58*($Z66^2)+'LINEST VARS'!$M$58*(4^2)+'LINEST VARS'!$L$58*(0.5^2)+'LINEST VARS'!$K$58*(12.73^2)+'LINEST VARS'!$J$58*($AN$56*$Z66)+'LINEST VARS'!$I$58*($AN$56*4)+'LINEST VARS'!$H$58*($AN$56*0.5)+'LINEST VARS'!$G$58*($AN$56*12.73)+'LINEST VARS'!$F$58*($Z66*4)+'LINEST VARS'!$E$58*($Z66*0.5)+'LINEST VARS'!$D$58*($Z66*12.73)+'LINEST VARS'!$C$58*(4*0.5)+'LINEST VARS'!$B$58*(4*12.73)+'LINEST VARS'!$A$58*(0.5*12.73)</f>
        <v>0.94365000000000021</v>
      </c>
      <c r="AO66" s="51">
        <f>'LINEST VARS'!$U$58+'LINEST VARS'!$T$58*($AO$56)+'LINEST VARS'!$S$58*($Z66)+'LINEST VARS'!$R$58*(4)+'LINEST VARS'!$Q$58*(0.5)+'LINEST VARS'!$P$58*(12.73)+'LINEST VARS'!$O$58*($AO$56^2)+'LINEST VARS'!$N$58*($Z66^2)+'LINEST VARS'!$M$58*(4^2)+'LINEST VARS'!$L$58*(0.5^2)+'LINEST VARS'!$K$58*(12.73^2)+'LINEST VARS'!$J$58*($AO$56*$Z66)+'LINEST VARS'!$I$58*($AO$56*4)+'LINEST VARS'!$H$58*($AO$56*0.5)+'LINEST VARS'!$G$58*($AO$56*12.73)+'LINEST VARS'!$F$58*($Z66*4)+'LINEST VARS'!$E$58*($Z66*0.5)+'LINEST VARS'!$D$58*($Z66*12.73)+'LINEST VARS'!$C$58*(4*0.5)+'LINEST VARS'!$B$58*(4*12.73)+'LINEST VARS'!$A$58*(0.5*12.73)</f>
        <v>0.94365000000000021</v>
      </c>
      <c r="AP66" s="51">
        <f>'LINEST VARS'!$U$58+'LINEST VARS'!$T$58*($AP$56)+'LINEST VARS'!$S$58*($Z66)+'LINEST VARS'!$R$58*(4)+'LINEST VARS'!$Q$58*(0.5)+'LINEST VARS'!$P$58*(12.73)+'LINEST VARS'!$O$58*($AP$56^2)+'LINEST VARS'!$N$58*($Z66^2)+'LINEST VARS'!$M$58*(4^2)+'LINEST VARS'!$L$58*(0.5^2)+'LINEST VARS'!$K$58*(12.73^2)+'LINEST VARS'!$J$58*($AP$56*$Z66)+'LINEST VARS'!$I$58*($AP$56*4)+'LINEST VARS'!$H$58*($AP$56*0.5)+'LINEST VARS'!$G$58*($AP$56*12.73)+'LINEST VARS'!$F$58*($Z66*4)+'LINEST VARS'!$E$58*($Z66*0.5)+'LINEST VARS'!$D$58*($Z66*12.73)+'LINEST VARS'!$C$58*(4*0.5)+'LINEST VARS'!$B$58*(4*12.73)+'LINEST VARS'!$A$58*(0.5*12.73)</f>
        <v>0.94365000000000021</v>
      </c>
      <c r="AQ66" s="51">
        <f>'LINEST VARS'!$U$58+'LINEST VARS'!$T$58*($AQ$56)+'LINEST VARS'!$S$58*($Z66)+'LINEST VARS'!$R$58*(4)+'LINEST VARS'!$Q$58*(0.5)+'LINEST VARS'!$P$58*(12.73)+'LINEST VARS'!$O$58*($AQ$56^2)+'LINEST VARS'!$N$58*($Z66^2)+'LINEST VARS'!$M$58*(4^2)+'LINEST VARS'!$L$58*(0.5^2)+'LINEST VARS'!$K$58*(12.73^2)+'LINEST VARS'!$J$58*($AQ$56*$Z66)+'LINEST VARS'!$I$58*($AQ$56*4)+'LINEST VARS'!$H$58*($AQ$56*0.5)+'LINEST VARS'!$G$58*($AQ$56*12.73)+'LINEST VARS'!$F$58*($Z66*4)+'LINEST VARS'!$E$58*($Z66*0.5)+'LINEST VARS'!$D$58*($Z66*12.73)+'LINEST VARS'!$C$58*(4*0.5)+'LINEST VARS'!$B$58*(4*12.73)+'LINEST VARS'!$A$58*(0.5*12.73)</f>
        <v>0.94365000000000021</v>
      </c>
      <c r="AR66" s="51">
        <f>'LINEST VARS'!$U$58+'LINEST VARS'!$T$58*($AR$56)+'LINEST VARS'!$S$58*($Z66)+'LINEST VARS'!$R$58*(4)+'LINEST VARS'!$Q$58*(0.5)+'LINEST VARS'!$P$58*(12.73)+'LINEST VARS'!$O$58*($AR$56^2)+'LINEST VARS'!$N$58*($Z66^2)+'LINEST VARS'!$M$58*(4^2)+'LINEST VARS'!$L$58*(0.5^2)+'LINEST VARS'!$K$58*(12.73^2)+'LINEST VARS'!$J$58*($AR$56*$Z66)+'LINEST VARS'!$I$58*($AR$56*4)+'LINEST VARS'!$H$58*($AR$56*0.5)+'LINEST VARS'!$G$58*($AR$56*12.73)+'LINEST VARS'!$F$58*($Z66*4)+'LINEST VARS'!$E$58*($Z66*0.5)+'LINEST VARS'!$D$58*($Z66*12.73)+'LINEST VARS'!$C$58*(4*0.5)+'LINEST VARS'!$B$58*(4*12.73)+'LINEST VARS'!$A$58*(0.5*12.73)</f>
        <v>0.94365000000000021</v>
      </c>
      <c r="AS66" s="51">
        <f>'LINEST VARS'!$U$58+'LINEST VARS'!$T$58*($AS$56)+'LINEST VARS'!$S$58*($Z66)+'LINEST VARS'!$R$58*(4)+'LINEST VARS'!$Q$58*(0.5)+'LINEST VARS'!$P$58*(12.73)+'LINEST VARS'!$O$58*($AS$56^2)+'LINEST VARS'!$N$58*($Z66^2)+'LINEST VARS'!$M$58*(4^2)+'LINEST VARS'!$L$58*(0.5^2)+'LINEST VARS'!$K$58*(12.73^2)+'LINEST VARS'!$J$58*($AS$56*$Z66)+'LINEST VARS'!$I$58*($AS$56*4)+'LINEST VARS'!$H$58*($AS$56*0.5)+'LINEST VARS'!$G$58*($AS$56*12.73)+'LINEST VARS'!$F$58*($Z66*4)+'LINEST VARS'!$E$58*($Z66*0.5)+'LINEST VARS'!$D$58*($Z66*12.73)+'LINEST VARS'!$C$58*(4*0.5)+'LINEST VARS'!$B$58*(4*12.73)+'LINEST VARS'!$A$58*(0.5*12.73)</f>
        <v>0.94365000000000021</v>
      </c>
      <c r="AT66" s="51">
        <f>'LINEST VARS'!$U$58+'LINEST VARS'!$T$58*($AT$56)+'LINEST VARS'!$S$58*($Z66)+'LINEST VARS'!$R$58*(4)+'LINEST VARS'!$Q$58*(0.5)+'LINEST VARS'!$P$58*(12.73)+'LINEST VARS'!$O$58*($AT$56^2)+'LINEST VARS'!$N$58*($Z66^2)+'LINEST VARS'!$M$58*(4^2)+'LINEST VARS'!$L$58*(0.5^2)+'LINEST VARS'!$K$58*(12.73^2)+'LINEST VARS'!$J$58*($AT$56*$Z66)+'LINEST VARS'!$I$58*($AT$56*4)+'LINEST VARS'!$H$58*($AT$56*0.5)+'LINEST VARS'!$G$58*($AT$56*12.73)+'LINEST VARS'!$F$58*($Z66*4)+'LINEST VARS'!$E$58*($Z66*0.5)+'LINEST VARS'!$D$58*($Z66*12.73)+'LINEST VARS'!$C$58*(4*0.5)+'LINEST VARS'!$B$58*(4*12.73)+'LINEST VARS'!$A$58*(0.5*12.73)</f>
        <v>0.94365000000000021</v>
      </c>
      <c r="AU66" s="52">
        <f>'LINEST VARS'!$U$58+'LINEST VARS'!$T$58*($AU$56)+'LINEST VARS'!$S$58*($Z66)+'LINEST VARS'!$R$58*(4)+'LINEST VARS'!$Q$58*(0.5)+'LINEST VARS'!$P$58*(12.73)+'LINEST VARS'!$O$58*($AU$56^2)+'LINEST VARS'!$N$58*($Z66^2)+'LINEST VARS'!$M$58*(4^2)+'LINEST VARS'!$L$58*(0.5^2)+'LINEST VARS'!$K$58*(12.73^2)+'LINEST VARS'!$J$58*($AU$56*$Z66)+'LINEST VARS'!$I$58*($AU$56*4)+'LINEST VARS'!$H$58*($AU$56*0.5)+'LINEST VARS'!$G$58*($AU$56*12.73)+'LINEST VARS'!$F$58*($Z66*4)+'LINEST VARS'!$E$58*($Z66*0.5)+'LINEST VARS'!$D$58*($Z66*12.73)+'LINEST VARS'!$C$58*(4*0.5)+'LINEST VARS'!$B$58*(4*12.73)+'LINEST VARS'!$A$58*(0.5*12.73)</f>
        <v>0.94365000000000021</v>
      </c>
      <c r="AZ66" s="45">
        <v>0.45</v>
      </c>
      <c r="BA66" s="51">
        <f>'LINEST VARS'!$U$56+'LINEST VARS'!$T$56*(8)+'LINEST VARS'!$S$56*(8)+'LINEST VARS'!$R$56*($BA$56)+'LINEST VARS'!$Q$56*($AZ66)+'LINEST VARS'!$P$56*(12.73)+'LINEST VARS'!$O$56*(8^2)+'LINEST VARS'!$N$56*(8^2)+'LINEST VARS'!$M$56*($BA$56^2)+'LINEST VARS'!$L$56*($AZ66^2)+'LINEST VARS'!$K$56*(12.73^2)+'LINEST VARS'!$J$56*(8*8)+'LINEST VARS'!$I$56*(8*$BA$56)+'LINEST VARS'!$H$56*(8*$AZ66)+'LINEST VARS'!$G$56*(8*12.73)+'LINEST VARS'!$F$56*(8*$BA$56)+'LINEST VARS'!$E$56*(8*$AZ66)+'LINEST VARS'!$D$56*(8*12.73)+'LINEST VARS'!$C$56*($BA$56*$AZ66)+'LINEST VARS'!$B$56*($BA$56*12.73)+'LINEST VARS'!$A$56*($AZ66*12.73)</f>
        <v>2.8000000000000012</v>
      </c>
      <c r="BB66" s="51">
        <f>'LINEST VARS'!$U$56+'LINEST VARS'!$T$56*(8)+'LINEST VARS'!$S$56*(8)+'LINEST VARS'!$R$56*($BB$56)+'LINEST VARS'!$Q$56*($AZ66)+'LINEST VARS'!$P$56*(12.73)+'LINEST VARS'!$O$56*(8^2)+'LINEST VARS'!$N$56*(8^2)+'LINEST VARS'!$M$56*($BB$56^2)+'LINEST VARS'!$L$56*($AZ66^2)+'LINEST VARS'!$K$56*(12.73^2)+'LINEST VARS'!$J$56*(8*8)+'LINEST VARS'!$I$56*(8*$BB$56)+'LINEST VARS'!$H$56*(8*$AZ66)+'LINEST VARS'!$G$56*(8*12.73)+'LINEST VARS'!$F$56*(8*$BB$56)+'LINEST VARS'!$E$56*(8*$AZ66)+'LINEST VARS'!$D$56*(8*12.73)+'LINEST VARS'!$C$56*($BB$56*$AZ66)+'LINEST VARS'!$B$56*($BB$56*12.73)+'LINEST VARS'!$A$56*($AZ66*12.73)</f>
        <v>2.8184000000000013</v>
      </c>
      <c r="BC66" s="51">
        <f>'LINEST VARS'!$U$56+'LINEST VARS'!$T$56*(8)+'LINEST VARS'!$S$56*(8)+'LINEST VARS'!$R$56*($BC$56)+'LINEST VARS'!$Q$56*($AZ66)+'LINEST VARS'!$P$56*(12.73)+'LINEST VARS'!$O$56*(8^2)+'LINEST VARS'!$N$56*(8^2)+'LINEST VARS'!$M$56*($BC$56^2)+'LINEST VARS'!$L$56*($AZ66^2)+'LINEST VARS'!$K$56*(12.73^2)+'LINEST VARS'!$J$56*(8*8)+'LINEST VARS'!$I$56*(8*$BC$56)+'LINEST VARS'!$H$56*(8*$AZ66)+'LINEST VARS'!$G$56*(8*12.73)+'LINEST VARS'!$F$56*(8*$BC$56)+'LINEST VARS'!$E$56*(8*$AZ66)+'LINEST VARS'!$D$56*(8*12.73)+'LINEST VARS'!$C$56*($BC$56*$AZ66)+'LINEST VARS'!$B$56*($BC$56*12.73)+'LINEST VARS'!$A$56*($AZ66*12.73)</f>
        <v>2.833600000000001</v>
      </c>
      <c r="BD66" s="51">
        <f>'LINEST VARS'!$U$56+'LINEST VARS'!$T$56*(8)+'LINEST VARS'!$S$56*(8)+'LINEST VARS'!$R$56*($BD$56)+'LINEST VARS'!$Q$56*($AZ66)+'LINEST VARS'!$P$56*(12.73)+'LINEST VARS'!$O$56*(8^2)+'LINEST VARS'!$N$56*(8^2)+'LINEST VARS'!$M$56*($BD$56^2)+'LINEST VARS'!$L$56*($AZ66^2)+'LINEST VARS'!$K$56*(12.73^2)+'LINEST VARS'!$J$56*(8*8)+'LINEST VARS'!$I$56*(8*$BD$56)+'LINEST VARS'!$H$56*(8*$AZ66)+'LINEST VARS'!$G$56*(8*12.73)+'LINEST VARS'!$F$56*(8*$BD$56)+'LINEST VARS'!$E$56*(8*$AZ66)+'LINEST VARS'!$D$56*(8*12.73)+'LINEST VARS'!$C$56*($BD$56*$AZ66)+'LINEST VARS'!$B$56*($BD$56*12.73)+'LINEST VARS'!$A$56*($AZ66*12.73)</f>
        <v>2.845600000000001</v>
      </c>
      <c r="BE66" s="51">
        <f>'LINEST VARS'!$U$56+'LINEST VARS'!$T$56*(8)+'LINEST VARS'!$S$56*(8)+'LINEST VARS'!$R$56*($BE$56)+'LINEST VARS'!$Q$56*($AZ66)+'LINEST VARS'!$P$56*(12.73)+'LINEST VARS'!$O$56*(8^2)+'LINEST VARS'!$N$56*(8^2)+'LINEST VARS'!$M$56*($BE$56^2)+'LINEST VARS'!$L$56*($AZ66^2)+'LINEST VARS'!$K$56*(12.73^2)+'LINEST VARS'!$J$56*(8*8)+'LINEST VARS'!$I$56*(8*$BE$56)+'LINEST VARS'!$H$56*(8*$AZ66)+'LINEST VARS'!$G$56*(8*12.73)+'LINEST VARS'!$F$56*(8*$BE$56)+'LINEST VARS'!$E$56*(8*$AZ66)+'LINEST VARS'!$D$56*(8*12.73)+'LINEST VARS'!$C$56*($BE$56*$AZ66)+'LINEST VARS'!$B$56*($BE$56*12.73)+'LINEST VARS'!$A$56*($AZ66*12.73)</f>
        <v>2.8544000000000014</v>
      </c>
      <c r="BF66" s="51">
        <f>'LINEST VARS'!$U$56+'LINEST VARS'!$T$56*(8)+'LINEST VARS'!$S$56*(8)+'LINEST VARS'!$R$56*($BF$56)+'LINEST VARS'!$Q$56*($AZ66)+'LINEST VARS'!$P$56*(12.73)+'LINEST VARS'!$O$56*(8^2)+'LINEST VARS'!$N$56*(8^2)+'LINEST VARS'!$M$56*($BF$56^2)+'LINEST VARS'!$L$56*($AZ66^2)+'LINEST VARS'!$K$56*(12.73^2)+'LINEST VARS'!$J$56*(8*8)+'LINEST VARS'!$I$56*(8*$BF$56)+'LINEST VARS'!$H$56*(8*$AZ66)+'LINEST VARS'!$G$56*(8*12.73)+'LINEST VARS'!$F$56*(8*$BF$56)+'LINEST VARS'!$E$56*(8*$AZ66)+'LINEST VARS'!$D$56*(8*12.73)+'LINEST VARS'!$C$56*($BF$56*$AZ66)+'LINEST VARS'!$B$56*($BF$56*12.73)+'LINEST VARS'!$A$56*($AZ66*12.73)</f>
        <v>2.8600000000000012</v>
      </c>
      <c r="BG66" s="51">
        <f>'LINEST VARS'!$U$56+'LINEST VARS'!$T$56*(8)+'LINEST VARS'!$S$56*(8)+'LINEST VARS'!$R$56*($BG$56)+'LINEST VARS'!$Q$56*($AZ66)+'LINEST VARS'!$P$56*(12.73)+'LINEST VARS'!$O$56*(8^2)+'LINEST VARS'!$N$56*(8^2)+'LINEST VARS'!$M$56*($BG$56^2)+'LINEST VARS'!$L$56*($AZ66^2)+'LINEST VARS'!$K$56*(12.73^2)+'LINEST VARS'!$J$56*(8*8)+'LINEST VARS'!$I$56*(8*$BG$56)+'LINEST VARS'!$H$56*(8*$AZ66)+'LINEST VARS'!$G$56*(8*12.73)+'LINEST VARS'!$F$56*(8*$BG$56)+'LINEST VARS'!$E$56*(8*$AZ66)+'LINEST VARS'!$D$56*(8*12.73)+'LINEST VARS'!$C$56*($BG$56*$AZ66)+'LINEST VARS'!$B$56*($BG$56*12.73)+'LINEST VARS'!$A$56*($AZ66*12.73)</f>
        <v>2.8624000000000014</v>
      </c>
      <c r="BH66" s="51">
        <f>'LINEST VARS'!$U$56+'LINEST VARS'!$T$56*(8)+'LINEST VARS'!$S$56*(8)+'LINEST VARS'!$R$56*($BH$56)+'LINEST VARS'!$Q$56*($AZ66)+'LINEST VARS'!$P$56*(12.73)+'LINEST VARS'!$O$56*(8^2)+'LINEST VARS'!$N$56*(8^2)+'LINEST VARS'!$M$56*($BH$56^2)+'LINEST VARS'!$L$56*($AZ66^2)+'LINEST VARS'!$K$56*(12.73^2)+'LINEST VARS'!$J$56*(8*8)+'LINEST VARS'!$I$56*(8*$BH$56)+'LINEST VARS'!$H$56*(8*$AZ66)+'LINEST VARS'!$G$56*(8*12.73)+'LINEST VARS'!$F$56*(8*$BH$56)+'LINEST VARS'!$E$56*(8*$AZ66)+'LINEST VARS'!$D$56*(8*12.73)+'LINEST VARS'!$C$56*($BH$56*$AZ66)+'LINEST VARS'!$B$56*($BH$56*12.73)+'LINEST VARS'!$A$56*($AZ66*12.73)</f>
        <v>2.861600000000001</v>
      </c>
      <c r="BI66" s="51">
        <f>'LINEST VARS'!$U$56+'LINEST VARS'!$T$56*(8)+'LINEST VARS'!$S$56*(8)+'LINEST VARS'!$R$56*($BI$56)+'LINEST VARS'!$Q$56*($AZ66)+'LINEST VARS'!$P$56*(12.73)+'LINEST VARS'!$O$56*(8^2)+'LINEST VARS'!$N$56*(8^2)+'LINEST VARS'!$M$56*($BI$56^2)+'LINEST VARS'!$L$56*($AZ66^2)+'LINEST VARS'!$K$56*(12.73^2)+'LINEST VARS'!$J$56*(8*8)+'LINEST VARS'!$I$56*(8*$BI$56)+'LINEST VARS'!$H$56*(8*$AZ66)+'LINEST VARS'!$G$56*(8*12.73)+'LINEST VARS'!$F$56*(8*$BI$56)+'LINEST VARS'!$E$56*(8*$AZ66)+'LINEST VARS'!$D$56*(8*12.73)+'LINEST VARS'!$C$56*($BI$56*$AZ66)+'LINEST VARS'!$B$56*($BI$56*12.73)+'LINEST VARS'!$A$56*($AZ66*12.73)</f>
        <v>2.857600000000001</v>
      </c>
      <c r="BJ66" s="51">
        <f>'LINEST VARS'!$U$56+'LINEST VARS'!$T$56*(8)+'LINEST VARS'!$S$56*(8)+'LINEST VARS'!$R$56*($BJ$56)+'LINEST VARS'!$Q$56*($AZ66)+'LINEST VARS'!$P$56*(12.73)+'LINEST VARS'!$O$56*(8^2)+'LINEST VARS'!$N$56*(8^2)+'LINEST VARS'!$M$56*($BJ$56^2)+'LINEST VARS'!$L$56*($AZ66^2)+'LINEST VARS'!$K$56*(12.73^2)+'LINEST VARS'!$J$56*(8*8)+'LINEST VARS'!$I$56*(8*$BJ$56)+'LINEST VARS'!$H$56*(8*$AZ66)+'LINEST VARS'!$G$56*(8*12.73)+'LINEST VARS'!$F$56*(8*$BJ$56)+'LINEST VARS'!$E$56*(8*$AZ66)+'LINEST VARS'!$D$56*(8*12.73)+'LINEST VARS'!$C$56*($BJ$56*$AZ66)+'LINEST VARS'!$B$56*($BJ$56*12.73)+'LINEST VARS'!$A$56*($AZ66*12.73)</f>
        <v>2.8504000000000014</v>
      </c>
      <c r="BK66" s="51">
        <f>'LINEST VARS'!$U$56+'LINEST VARS'!$T$56*(8)+'LINEST VARS'!$S$56*(8)+'LINEST VARS'!$R$56*($BK$56)+'LINEST VARS'!$Q$56*($AZ66)+'LINEST VARS'!$P$56*(12.73)+'LINEST VARS'!$O$56*(8^2)+'LINEST VARS'!$N$56*(8^2)+'LINEST VARS'!$M$56*($BK$56^2)+'LINEST VARS'!$L$56*($AZ66^2)+'LINEST VARS'!$K$56*(12.73^2)+'LINEST VARS'!$J$56*(8*8)+'LINEST VARS'!$I$56*(8*$BK$56)+'LINEST VARS'!$H$56*(8*$AZ66)+'LINEST VARS'!$G$56*(8*12.73)+'LINEST VARS'!$F$56*(8*$BK$56)+'LINEST VARS'!$E$56*(8*$AZ66)+'LINEST VARS'!$D$56*(8*12.73)+'LINEST VARS'!$C$56*($BK$56*$AZ66)+'LINEST VARS'!$B$56*($BK$56*12.73)+'LINEST VARS'!$A$56*($AZ66*12.73)</f>
        <v>2.8400000000000012</v>
      </c>
      <c r="BL66" s="51">
        <f>'LINEST VARS'!$U$56+'LINEST VARS'!$T$56*(8)+'LINEST VARS'!$S$56*(8)+'LINEST VARS'!$R$56*($BL$56)+'LINEST VARS'!$Q$56*($AZ66)+'LINEST VARS'!$P$56*(12.73)+'LINEST VARS'!$O$56*(8^2)+'LINEST VARS'!$N$56*(8^2)+'LINEST VARS'!$M$56*($BL$56^2)+'LINEST VARS'!$L$56*($AZ66^2)+'LINEST VARS'!$K$56*(12.73^2)+'LINEST VARS'!$J$56*(8*8)+'LINEST VARS'!$I$56*(8*$BL$56)+'LINEST VARS'!$H$56*(8*$AZ66)+'LINEST VARS'!$G$56*(8*12.73)+'LINEST VARS'!$F$56*(8*$BL$56)+'LINEST VARS'!$E$56*(8*$AZ66)+'LINEST VARS'!$D$56*(8*12.73)+'LINEST VARS'!$C$56*($BL$56*$AZ66)+'LINEST VARS'!$B$56*($BL$56*12.73)+'LINEST VARS'!$A$56*($AZ66*12.73)</f>
        <v>2.8264000000000014</v>
      </c>
      <c r="BM66" s="51">
        <f>'LINEST VARS'!$U$56+'LINEST VARS'!$T$56*(8)+'LINEST VARS'!$S$56*(8)+'LINEST VARS'!$R$56*($BM$56)+'LINEST VARS'!$Q$56*($AZ66)+'LINEST VARS'!$P$56*(12.73)+'LINEST VARS'!$O$56*(8^2)+'LINEST VARS'!$N$56*(8^2)+'LINEST VARS'!$M$56*($BM$56^2)+'LINEST VARS'!$L$56*($AZ66^2)+'LINEST VARS'!$K$56*(12.73^2)+'LINEST VARS'!$J$56*(8*8)+'LINEST VARS'!$I$56*(8*$BM$56)+'LINEST VARS'!$H$56*(8*$AZ66)+'LINEST VARS'!$G$56*(8*12.73)+'LINEST VARS'!$F$56*(8*$BM$56)+'LINEST VARS'!$E$56*(8*$AZ66)+'LINEST VARS'!$D$56*(8*12.73)+'LINEST VARS'!$C$56*($BM$56*$AZ66)+'LINEST VARS'!$B$56*($BM$56*12.73)+'LINEST VARS'!$A$56*($AZ66*12.73)</f>
        <v>2.809600000000001</v>
      </c>
      <c r="BN66" s="51">
        <f>'LINEST VARS'!$U$56+'LINEST VARS'!$T$56*(8)+'LINEST VARS'!$S$56*(8)+'LINEST VARS'!$R$56*($BN$56)+'LINEST VARS'!$Q$56*($AZ66)+'LINEST VARS'!$P$56*(12.73)+'LINEST VARS'!$O$56*(8^2)+'LINEST VARS'!$N$56*(8^2)+'LINEST VARS'!$M$56*($BN$56^2)+'LINEST VARS'!$L$56*($AZ66^2)+'LINEST VARS'!$K$56*(12.73^2)+'LINEST VARS'!$J$56*(8*8)+'LINEST VARS'!$I$56*(8*$BN$56)+'LINEST VARS'!$H$56*(8*$AZ66)+'LINEST VARS'!$G$56*(8*12.73)+'LINEST VARS'!$F$56*(8*$BN$56)+'LINEST VARS'!$E$56*(8*$AZ66)+'LINEST VARS'!$D$56*(8*12.73)+'LINEST VARS'!$C$56*($BN$56*$AZ66)+'LINEST VARS'!$B$56*($BN$56*12.73)+'LINEST VARS'!$A$56*($AZ66*12.73)</f>
        <v>2.789600000000001</v>
      </c>
      <c r="BO66" s="51">
        <f>'LINEST VARS'!$U$56+'LINEST VARS'!$T$56*(8)+'LINEST VARS'!$S$56*(8)+'LINEST VARS'!$R$56*($BO$56)+'LINEST VARS'!$Q$56*($AZ66)+'LINEST VARS'!$P$56*(12.73)+'LINEST VARS'!$O$56*(8^2)+'LINEST VARS'!$N$56*(8^2)+'LINEST VARS'!$M$56*($BO$56^2)+'LINEST VARS'!$L$56*($AZ66^2)+'LINEST VARS'!$K$56*(12.73^2)+'LINEST VARS'!$J$56*(8*8)+'LINEST VARS'!$I$56*(8*$BO$56)+'LINEST VARS'!$H$56*(8*$AZ66)+'LINEST VARS'!$G$56*(8*12.73)+'LINEST VARS'!$F$56*(8*$BO$56)+'LINEST VARS'!$E$56*(8*$AZ66)+'LINEST VARS'!$D$56*(8*12.73)+'LINEST VARS'!$C$56*($BO$56*$AZ66)+'LINEST VARS'!$B$56*($BO$56*12.73)+'LINEST VARS'!$A$56*($AZ66*12.73)</f>
        <v>2.7664000000000013</v>
      </c>
      <c r="BP66" s="51">
        <f>'LINEST VARS'!$U$56+'LINEST VARS'!$T$56*(8)+'LINEST VARS'!$S$56*(8)+'LINEST VARS'!$R$56*($BP$56)+'LINEST VARS'!$Q$56*($AZ66)+'LINEST VARS'!$P$56*(12.73)+'LINEST VARS'!$O$56*(8^2)+'LINEST VARS'!$N$56*(8^2)+'LINEST VARS'!$M$56*($BP$56^2)+'LINEST VARS'!$L$56*($AZ66^2)+'LINEST VARS'!$K$56*(12.73^2)+'LINEST VARS'!$J$56*(8*8)+'LINEST VARS'!$I$56*(8*$BP$56)+'LINEST VARS'!$H$56*(8*$AZ66)+'LINEST VARS'!$G$56*(8*12.73)+'LINEST VARS'!$F$56*(8*$BP$56)+'LINEST VARS'!$E$56*(8*$AZ66)+'LINEST VARS'!$D$56*(8*12.73)+'LINEST VARS'!$C$56*($BP$56*$AZ66)+'LINEST VARS'!$B$56*($BP$56*12.73)+'LINEST VARS'!$A$56*($AZ66*12.73)</f>
        <v>2.7400000000000011</v>
      </c>
      <c r="BQ66" s="51">
        <f>'LINEST VARS'!$U$56+'LINEST VARS'!$T$56*(8)+'LINEST VARS'!$S$56*(8)+'LINEST VARS'!$R$56*($BQ$56)+'LINEST VARS'!$Q$56*($AZ66)+'LINEST VARS'!$P$56*(12.73)+'LINEST VARS'!$O$56*(8^2)+'LINEST VARS'!$N$56*(8^2)+'LINEST VARS'!$M$56*($BQ$56^2)+'LINEST VARS'!$L$56*($AZ66^2)+'LINEST VARS'!$K$56*(12.73^2)+'LINEST VARS'!$J$56*(8*8)+'LINEST VARS'!$I$56*(8*$BQ$56)+'LINEST VARS'!$H$56*(8*$AZ66)+'LINEST VARS'!$G$56*(8*12.73)+'LINEST VARS'!$F$56*(8*$BQ$56)+'LINEST VARS'!$E$56*(8*$AZ66)+'LINEST VARS'!$D$56*(8*12.73)+'LINEST VARS'!$C$56*($BQ$56*$AZ66)+'LINEST VARS'!$B$56*($BQ$56*12.73)+'LINEST VARS'!$A$56*($AZ66*12.73)</f>
        <v>2.7104000000000008</v>
      </c>
      <c r="BR66" s="51">
        <f>'LINEST VARS'!$U$56+'LINEST VARS'!$T$56*(8)+'LINEST VARS'!$S$56*(8)+'LINEST VARS'!$R$56*($BR$56)+'LINEST VARS'!$Q$56*($AZ66)+'LINEST VARS'!$P$56*(12.73)+'LINEST VARS'!$O$56*(8^2)+'LINEST VARS'!$N$56*(8^2)+'LINEST VARS'!$M$56*($BR$56^2)+'LINEST VARS'!$L$56*($AZ66^2)+'LINEST VARS'!$K$56*(12.73^2)+'LINEST VARS'!$J$56*(8*8)+'LINEST VARS'!$I$56*(8*$BR$56)+'LINEST VARS'!$H$56*(8*$AZ66)+'LINEST VARS'!$G$56*(8*12.73)+'LINEST VARS'!$F$56*(8*$BR$56)+'LINEST VARS'!$E$56*(8*$AZ66)+'LINEST VARS'!$D$56*(8*12.73)+'LINEST VARS'!$C$56*($BR$56*$AZ66)+'LINEST VARS'!$B$56*($BR$56*12.73)+'LINEST VARS'!$A$56*($AZ66*12.73)</f>
        <v>2.6776000000000009</v>
      </c>
      <c r="BS66" s="51">
        <f>'LINEST VARS'!$U$56+'LINEST VARS'!$T$56*(8)+'LINEST VARS'!$S$56*(8)+'LINEST VARS'!$R$56*($BS$56)+'LINEST VARS'!$Q$56*($AZ66)+'LINEST VARS'!$P$56*(12.73)+'LINEST VARS'!$O$56*(8^2)+'LINEST VARS'!$N$56*(8^2)+'LINEST VARS'!$M$56*($BS$56^2)+'LINEST VARS'!$L$56*($AZ66^2)+'LINEST VARS'!$K$56*(12.73^2)+'LINEST VARS'!$J$56*(8*8)+'LINEST VARS'!$I$56*(8*$BS$56)+'LINEST VARS'!$H$56*(8*$AZ66)+'LINEST VARS'!$G$56*(8*12.73)+'LINEST VARS'!$F$56*(8*$BS$56)+'LINEST VARS'!$E$56*(8*$AZ66)+'LINEST VARS'!$D$56*(8*12.73)+'LINEST VARS'!$C$56*($BS$56*$AZ66)+'LINEST VARS'!$B$56*($BS$56*12.73)+'LINEST VARS'!$A$56*($AZ66*12.73)</f>
        <v>2.6416000000000008</v>
      </c>
      <c r="BT66" s="51">
        <f>'LINEST VARS'!$U$56+'LINEST VARS'!$T$56*(8)+'LINEST VARS'!$S$56*(8)+'LINEST VARS'!$R$56*($BT$56)+'LINEST VARS'!$Q$56*($AZ66)+'LINEST VARS'!$P$56*(12.73)+'LINEST VARS'!$O$56*(8^2)+'LINEST VARS'!$N$56*(8^2)+'LINEST VARS'!$M$56*($BT$56^2)+'LINEST VARS'!$L$56*($AZ66^2)+'LINEST VARS'!$K$56*(12.73^2)+'LINEST VARS'!$J$56*(8*8)+'LINEST VARS'!$I$56*(8*$BT$56)+'LINEST VARS'!$H$56*(8*$AZ66)+'LINEST VARS'!$G$56*(8*12.73)+'LINEST VARS'!$F$56*(8*$BT$56)+'LINEST VARS'!$E$56*(8*$AZ66)+'LINEST VARS'!$D$56*(8*12.73)+'LINEST VARS'!$C$56*($BT$56*$AZ66)+'LINEST VARS'!$B$56*($BT$56*12.73)+'LINEST VARS'!$A$56*($AZ66*12.73)</f>
        <v>2.6024000000000012</v>
      </c>
      <c r="BU66" s="52">
        <f>'LINEST VARS'!$U$56+'LINEST VARS'!$T$56*(8)+'LINEST VARS'!$S$56*(8)+'LINEST VARS'!$R$56*($BU$56)+'LINEST VARS'!$Q$56*($AZ66)+'LINEST VARS'!$P$56*(12.73)+'LINEST VARS'!$O$56*(8^2)+'LINEST VARS'!$N$56*(8^2)+'LINEST VARS'!$M$56*($BU$56^2)+'LINEST VARS'!$L$56*($AZ66^2)+'LINEST VARS'!$K$56*(12.73^2)+'LINEST VARS'!$J$56*(8*8)+'LINEST VARS'!$I$56*(8*$BU$56)+'LINEST VARS'!$H$56*(8*$AZ66)+'LINEST VARS'!$G$56*(8*12.73)+'LINEST VARS'!$F$56*(8*$BU$56)+'LINEST VARS'!$E$56*(8*$AZ66)+'LINEST VARS'!$D$56*(8*12.73)+'LINEST VARS'!$C$56*($BU$56*$AZ66)+'LINEST VARS'!$B$56*($BU$56*12.73)+'LINEST VARS'!$A$56*($AZ66*12.73)</f>
        <v>2.5600000000000009</v>
      </c>
      <c r="BX66" s="45">
        <v>0.45</v>
      </c>
      <c r="BY66" s="51">
        <f>'LINEST VARS'!$U$58+'LINEST VARS'!$T$58*(8)+'LINEST VARS'!$S$58*(8)+'LINEST VARS'!$R$58*($BY$56)+'LINEST VARS'!$Q$58*($BX66)+'LINEST VARS'!$P$58*(12.73)+'LINEST VARS'!$O$58*(8^2)+'LINEST VARS'!$N$58*(8^2)+'LINEST VARS'!$M$58*($BY$56^2)+'LINEST VARS'!$L$58*($BX66^2)+'LINEST VARS'!$K$58*(12.73^2)+'LINEST VARS'!$J$58*(8*8)+'LINEST VARS'!$I$58*(8*$BY$56)+'LINEST VARS'!$H$58*(8*$BX66)+'LINEST VARS'!$G$58*(8*12.73)+'LINEST VARS'!$F$58*(8*$BY$56)+'LINEST VARS'!$E$58*(8*$BX66)+'LINEST VARS'!$D$58*(8*12.73)+'LINEST VARS'!$C$58*($BY$56*$BX66)+'LINEST VARS'!$B$58*($BY$56*12.73)+'LINEST VARS'!$A$58*($BX66*12.73)</f>
        <v>0.86365000000000036</v>
      </c>
      <c r="BZ66" s="51">
        <f>'LINEST VARS'!$U$58+'LINEST VARS'!$T$58*(8)+'LINEST VARS'!$S$58*(8)+'LINEST VARS'!$R$58*($BZ$56)+'LINEST VARS'!$Q$58*($BX66)+'LINEST VARS'!$P$58*(12.73)+'LINEST VARS'!$O$58*(8^2)+'LINEST VARS'!$N$58*(8^2)+'LINEST VARS'!$M$58*($BZ$56^2)+'LINEST VARS'!$L$58*($BX66^2)+'LINEST VARS'!$K$58*(12.73^2)+'LINEST VARS'!$J$58*(8*8)+'LINEST VARS'!$I$58*(8*$BZ$56)+'LINEST VARS'!$H$58*(8*$BX66)+'LINEST VARS'!$G$58*(8*12.73)+'LINEST VARS'!$F$58*(8*$BZ$56)+'LINEST VARS'!$E$58*(8*$BX66)+'LINEST VARS'!$D$58*(8*12.73)+'LINEST VARS'!$C$58*($BZ$56*$BX66)+'LINEST VARS'!$B$58*($BZ$56*12.73)+'LINEST VARS'!$A$58*($BX66*12.73)</f>
        <v>0.87165000000000037</v>
      </c>
      <c r="CA66" s="51">
        <f>'LINEST VARS'!$U$58+'LINEST VARS'!$T$58*(8)+'LINEST VARS'!$S$58*(8)+'LINEST VARS'!$R$58*($CA$56)+'LINEST VARS'!$Q$58*($BX66)+'LINEST VARS'!$P$58*(12.73)+'LINEST VARS'!$O$58*(8^2)+'LINEST VARS'!$N$58*(8^2)+'LINEST VARS'!$M$58*($CA$56^2)+'LINEST VARS'!$L$58*($BX66^2)+'LINEST VARS'!$K$58*(12.73^2)+'LINEST VARS'!$J$58*(8*8)+'LINEST VARS'!$I$58*(8*$CA$56)+'LINEST VARS'!$H$58*(8*$BX66)+'LINEST VARS'!$G$58*(8*12.73)+'LINEST VARS'!$F$58*(8*$CA$56)+'LINEST VARS'!$E$58*(8*$BX66)+'LINEST VARS'!$D$58*(8*12.73)+'LINEST VARS'!$C$58*($CA$56*$BX66)+'LINEST VARS'!$B$58*($CA$56*12.73)+'LINEST VARS'!$A$58*($BX66*12.73)</f>
        <v>0.87965000000000027</v>
      </c>
      <c r="CB66" s="51">
        <f>'LINEST VARS'!$U$58+'LINEST VARS'!$T$58*(8)+'LINEST VARS'!$S$58*(8)+'LINEST VARS'!$R$58*($CB$56)+'LINEST VARS'!$Q$58*($BX66)+'LINEST VARS'!$P$58*(12.73)+'LINEST VARS'!$O$58*(8^2)+'LINEST VARS'!$N$58*(8^2)+'LINEST VARS'!$M$58*($CB$56^2)+'LINEST VARS'!$L$58*($BX66^2)+'LINEST VARS'!$K$58*(12.73^2)+'LINEST VARS'!$J$58*(8*8)+'LINEST VARS'!$I$58*(8*$CB$56)+'LINEST VARS'!$H$58*(8*$BX66)+'LINEST VARS'!$G$58*(8*12.73)+'LINEST VARS'!$F$58*(8*$CB$56)+'LINEST VARS'!$E$58*(8*$BX66)+'LINEST VARS'!$D$58*(8*12.73)+'LINEST VARS'!$C$58*($CB$56*$BX66)+'LINEST VARS'!$B$58*($CB$56*12.73)+'LINEST VARS'!$A$58*($BX66*12.73)</f>
        <v>0.88765000000000027</v>
      </c>
      <c r="CC66" s="51">
        <f>'LINEST VARS'!$U$58+'LINEST VARS'!$T$58*(8)+'LINEST VARS'!$S$58*(8)+'LINEST VARS'!$R$58*($CC$56)+'LINEST VARS'!$Q$58*($BX66)+'LINEST VARS'!$P$58*(12.73)+'LINEST VARS'!$O$58*(8^2)+'LINEST VARS'!$N$58*(8^2)+'LINEST VARS'!$M$58*($CC$56^2)+'LINEST VARS'!$L$58*($BX66^2)+'LINEST VARS'!$K$58*(12.73^2)+'LINEST VARS'!$J$58*(8*8)+'LINEST VARS'!$I$58*(8*$CC$56)+'LINEST VARS'!$H$58*(8*$BX66)+'LINEST VARS'!$G$58*(8*12.73)+'LINEST VARS'!$F$58*(8*$CC$56)+'LINEST VARS'!$E$58*(8*$BX66)+'LINEST VARS'!$D$58*(8*12.73)+'LINEST VARS'!$C$58*($CC$56*$BX66)+'LINEST VARS'!$B$58*($CC$56*12.73)+'LINEST VARS'!$A$58*($BX66*12.73)</f>
        <v>0.89565000000000017</v>
      </c>
      <c r="CD66" s="51">
        <f>'LINEST VARS'!$U$58+'LINEST VARS'!$T$58*(8)+'LINEST VARS'!$S$58*(8)+'LINEST VARS'!$R$58*($CD$56)+'LINEST VARS'!$Q$58*($BX66)+'LINEST VARS'!$P$58*(12.73)+'LINEST VARS'!$O$58*(8^2)+'LINEST VARS'!$N$58*(8^2)+'LINEST VARS'!$M$58*($CD$56^2)+'LINEST VARS'!$L$58*($BX66^2)+'LINEST VARS'!$K$58*(12.73^2)+'LINEST VARS'!$J$58*(8*8)+'LINEST VARS'!$I$58*(8*$CD$56)+'LINEST VARS'!$H$58*(8*$BX66)+'LINEST VARS'!$G$58*(8*12.73)+'LINEST VARS'!$F$58*(8*$CD$56)+'LINEST VARS'!$E$58*(8*$BX66)+'LINEST VARS'!$D$58*(8*12.73)+'LINEST VARS'!$C$58*($CD$56*$BX66)+'LINEST VARS'!$B$58*($CD$56*12.73)+'LINEST VARS'!$A$58*($BX66*12.73)</f>
        <v>0.90365000000000029</v>
      </c>
      <c r="CE66" s="51">
        <f>'LINEST VARS'!$U$58+'LINEST VARS'!$T$58*(8)+'LINEST VARS'!$S$58*(8)+'LINEST VARS'!$R$58*($CE$56)+'LINEST VARS'!$Q$58*($BX66)+'LINEST VARS'!$P$58*(12.73)+'LINEST VARS'!$O$58*(8^2)+'LINEST VARS'!$N$58*(8^2)+'LINEST VARS'!$M$58*($CE$56^2)+'LINEST VARS'!$L$58*($BX66^2)+'LINEST VARS'!$K$58*(12.73^2)+'LINEST VARS'!$J$58*(8*8)+'LINEST VARS'!$I$58*(8*$CE$56)+'LINEST VARS'!$H$58*(8*$BX66)+'LINEST VARS'!$G$58*(8*12.73)+'LINEST VARS'!$F$58*(8*$CE$56)+'LINEST VARS'!$E$58*(8*$BX66)+'LINEST VARS'!$D$58*(8*12.73)+'LINEST VARS'!$C$58*($CE$56*$BX66)+'LINEST VARS'!$B$58*($CE$56*12.73)+'LINEST VARS'!$A$58*($BX66*12.73)</f>
        <v>0.91165000000000029</v>
      </c>
      <c r="CF66" s="51">
        <f>'LINEST VARS'!$U$58+'LINEST VARS'!$T$58*(8)+'LINEST VARS'!$S$58*(8)+'LINEST VARS'!$R$58*($CF$56)+'LINEST VARS'!$Q$58*($BX66)+'LINEST VARS'!$P$58*(12.73)+'LINEST VARS'!$O$58*(8^2)+'LINEST VARS'!$N$58*(8^2)+'LINEST VARS'!$M$58*($CF$56^2)+'LINEST VARS'!$L$58*($BX66^2)+'LINEST VARS'!$K$58*(12.73^2)+'LINEST VARS'!$J$58*(8*8)+'LINEST VARS'!$I$58*(8*$CF$56)+'LINEST VARS'!$H$58*(8*$BX66)+'LINEST VARS'!$G$58*(8*12.73)+'LINEST VARS'!$F$58*(8*$CF$56)+'LINEST VARS'!$E$58*(8*$BX66)+'LINEST VARS'!$D$58*(8*12.73)+'LINEST VARS'!$C$58*($CF$56*$BX66)+'LINEST VARS'!$B$58*($CF$56*12.73)+'LINEST VARS'!$A$58*($BX66*12.73)</f>
        <v>0.9196500000000003</v>
      </c>
      <c r="CG66" s="51">
        <f>'LINEST VARS'!$U$58+'LINEST VARS'!$T$58*(8)+'LINEST VARS'!$S$58*(8)+'LINEST VARS'!$R$58*($CG$56)+'LINEST VARS'!$Q$58*($BX66)+'LINEST VARS'!$P$58*(12.73)+'LINEST VARS'!$O$58*(8^2)+'LINEST VARS'!$N$58*(8^2)+'LINEST VARS'!$M$58*($CG$56^2)+'LINEST VARS'!$L$58*($BX66^2)+'LINEST VARS'!$K$58*(12.73^2)+'LINEST VARS'!$J$58*(8*8)+'LINEST VARS'!$I$58*(8*$CG$56)+'LINEST VARS'!$H$58*(8*$BX66)+'LINEST VARS'!$G$58*(8*12.73)+'LINEST VARS'!$F$58*(8*$CG$56)+'LINEST VARS'!$E$58*(8*$BX66)+'LINEST VARS'!$D$58*(8*12.73)+'LINEST VARS'!$C$58*($CG$56*$BX66)+'LINEST VARS'!$B$58*($CG$56*12.73)+'LINEST VARS'!$A$58*($BX66*12.73)</f>
        <v>0.92765000000000042</v>
      </c>
      <c r="CH66" s="51">
        <f>'LINEST VARS'!$U$58+'LINEST VARS'!$T$58*(8)+'LINEST VARS'!$S$58*(8)+'LINEST VARS'!$R$58*($CH$56)+'LINEST VARS'!$Q$58*($BX66)+'LINEST VARS'!$P$58*(12.73)+'LINEST VARS'!$O$58*(8^2)+'LINEST VARS'!$N$58*(8^2)+'LINEST VARS'!$M$58*($CH$56^2)+'LINEST VARS'!$L$58*($BX66^2)+'LINEST VARS'!$K$58*(12.73^2)+'LINEST VARS'!$J$58*(8*8)+'LINEST VARS'!$I$58*(8*$CH$56)+'LINEST VARS'!$H$58*(8*$BX66)+'LINEST VARS'!$G$58*(8*12.73)+'LINEST VARS'!$F$58*(8*$CH$56)+'LINEST VARS'!$E$58*(8*$BX66)+'LINEST VARS'!$D$58*(8*12.73)+'LINEST VARS'!$C$58*($CH$56*$BX66)+'LINEST VARS'!$B$58*($CH$56*12.73)+'LINEST VARS'!$A$58*($BX66*12.73)</f>
        <v>0.93565000000000031</v>
      </c>
      <c r="CI66" s="51">
        <f>'LINEST VARS'!$U$58+'LINEST VARS'!$T$58*(8)+'LINEST VARS'!$S$58*(8)+'LINEST VARS'!$R$58*($CI$56)+'LINEST VARS'!$Q$58*($BX66)+'LINEST VARS'!$P$58*(12.73)+'LINEST VARS'!$O$58*(8^2)+'LINEST VARS'!$N$58*(8^2)+'LINEST VARS'!$M$58*($CI$56^2)+'LINEST VARS'!$L$58*($BX66^2)+'LINEST VARS'!$K$58*(12.73^2)+'LINEST VARS'!$J$58*(8*8)+'LINEST VARS'!$I$58*(8*$CI$56)+'LINEST VARS'!$H$58*(8*$BX66)+'LINEST VARS'!$G$58*(8*12.73)+'LINEST VARS'!$F$58*(8*$CI$56)+'LINEST VARS'!$E$58*(8*$BX66)+'LINEST VARS'!$D$58*(8*12.73)+'LINEST VARS'!$C$58*($CI$56*$BX66)+'LINEST VARS'!$B$58*($CI$56*12.73)+'LINEST VARS'!$A$58*($BX66*12.73)</f>
        <v>0.94365000000000032</v>
      </c>
      <c r="CJ66" s="51">
        <f>'LINEST VARS'!$U$58+'LINEST VARS'!$T$58*(8)+'LINEST VARS'!$S$58*(8)+'LINEST VARS'!$R$58*($CJ$56)+'LINEST VARS'!$Q$58*($BX66)+'LINEST VARS'!$P$58*(12.73)+'LINEST VARS'!$O$58*(8^2)+'LINEST VARS'!$N$58*(8^2)+'LINEST VARS'!$M$58*($CJ$56^2)+'LINEST VARS'!$L$58*($BX66^2)+'LINEST VARS'!$K$58*(12.73^2)+'LINEST VARS'!$J$58*(8*8)+'LINEST VARS'!$I$58*(8*$CJ$56)+'LINEST VARS'!$H$58*(8*$BX66)+'LINEST VARS'!$G$58*(8*12.73)+'LINEST VARS'!$F$58*(8*$CJ$56)+'LINEST VARS'!$E$58*(8*$BX66)+'LINEST VARS'!$D$58*(8*12.73)+'LINEST VARS'!$C$58*($CJ$56*$BX66)+'LINEST VARS'!$B$58*($CJ$56*12.73)+'LINEST VARS'!$A$58*($BX66*12.73)</f>
        <v>0.95165000000000022</v>
      </c>
      <c r="CK66" s="51">
        <f>'LINEST VARS'!$U$58+'LINEST VARS'!$T$58*(8)+'LINEST VARS'!$S$58*(8)+'LINEST VARS'!$R$58*($CK$56)+'LINEST VARS'!$Q$58*($BX66)+'LINEST VARS'!$P$58*(12.73)+'LINEST VARS'!$O$58*(8^2)+'LINEST VARS'!$N$58*(8^2)+'LINEST VARS'!$M$58*($CK$56^2)+'LINEST VARS'!$L$58*($BX66^2)+'LINEST VARS'!$K$58*(12.73^2)+'LINEST VARS'!$J$58*(8*8)+'LINEST VARS'!$I$58*(8*$CK$56)+'LINEST VARS'!$H$58*(8*$BX66)+'LINEST VARS'!$G$58*(8*12.73)+'LINEST VARS'!$F$58*(8*$CK$56)+'LINEST VARS'!$E$58*(8*$BX66)+'LINEST VARS'!$D$58*(8*12.73)+'LINEST VARS'!$C$58*($CK$56*$BX66)+'LINEST VARS'!$B$58*($CK$56*12.73)+'LINEST VARS'!$A$58*($BX66*12.73)</f>
        <v>0.95965000000000023</v>
      </c>
      <c r="CL66" s="51">
        <f>'LINEST VARS'!$U$58+'LINEST VARS'!$T$58*(8)+'LINEST VARS'!$S$58*(8)+'LINEST VARS'!$R$58*($CL$56)+'LINEST VARS'!$Q$58*($BX66)+'LINEST VARS'!$P$58*(12.73)+'LINEST VARS'!$O$58*(8^2)+'LINEST VARS'!$N$58*(8^2)+'LINEST VARS'!$M$58*($CL$56^2)+'LINEST VARS'!$L$58*($BX66^2)+'LINEST VARS'!$K$58*(12.73^2)+'LINEST VARS'!$J$58*(8*8)+'LINEST VARS'!$I$58*(8*$CL$56)+'LINEST VARS'!$H$58*(8*$BX66)+'LINEST VARS'!$G$58*(8*12.73)+'LINEST VARS'!$F$58*(8*$CL$56)+'LINEST VARS'!$E$58*(8*$BX66)+'LINEST VARS'!$D$58*(8*12.73)+'LINEST VARS'!$C$58*($CL$56*$BX66)+'LINEST VARS'!$B$58*($CL$56*12.73)+'LINEST VARS'!$A$58*($BX66*12.73)</f>
        <v>0.96765000000000012</v>
      </c>
      <c r="CM66" s="51">
        <f>'LINEST VARS'!$U$58+'LINEST VARS'!$T$58*(8)+'LINEST VARS'!$S$58*(8)+'LINEST VARS'!$R$58*($CM$56)+'LINEST VARS'!$Q$58*($BX66)+'LINEST VARS'!$P$58*(12.73)+'LINEST VARS'!$O$58*(8^2)+'LINEST VARS'!$N$58*(8^2)+'LINEST VARS'!$M$58*($CM$56^2)+'LINEST VARS'!$L$58*($BX66^2)+'LINEST VARS'!$K$58*(12.73^2)+'LINEST VARS'!$J$58*(8*8)+'LINEST VARS'!$I$58*(8*$CM$56)+'LINEST VARS'!$H$58*(8*$BX66)+'LINEST VARS'!$G$58*(8*12.73)+'LINEST VARS'!$F$58*(8*$CM$56)+'LINEST VARS'!$E$58*(8*$BX66)+'LINEST VARS'!$D$58*(8*12.73)+'LINEST VARS'!$C$58*($CM$56*$BX66)+'LINEST VARS'!$B$58*($CM$56*12.73)+'LINEST VARS'!$A$58*($BX66*12.73)</f>
        <v>0.97565000000000024</v>
      </c>
      <c r="CN66" s="51">
        <f>'LINEST VARS'!$U$58+'LINEST VARS'!$T$58*(8)+'LINEST VARS'!$S$58*(8)+'LINEST VARS'!$R$58*($CN$56)+'LINEST VARS'!$Q$58*($BX66)+'LINEST VARS'!$P$58*(12.73)+'LINEST VARS'!$O$58*(8^2)+'LINEST VARS'!$N$58*(8^2)+'LINEST VARS'!$M$58*($CN$56^2)+'LINEST VARS'!$L$58*($BX66^2)+'LINEST VARS'!$K$58*(12.73^2)+'LINEST VARS'!$J$58*(8*8)+'LINEST VARS'!$I$58*(8*$CN$56)+'LINEST VARS'!$H$58*(8*$BX66)+'LINEST VARS'!$G$58*(8*12.73)+'LINEST VARS'!$F$58*(8*$CN$56)+'LINEST VARS'!$E$58*(8*$BX66)+'LINEST VARS'!$D$58*(8*12.73)+'LINEST VARS'!$C$58*($CN$56*$BX66)+'LINEST VARS'!$B$58*($CN$56*12.73)+'LINEST VARS'!$A$58*($BX66*12.73)</f>
        <v>0.98365000000000025</v>
      </c>
      <c r="CO66" s="51">
        <f>'LINEST VARS'!$U$58+'LINEST VARS'!$T$58*(8)+'LINEST VARS'!$S$58*(8)+'LINEST VARS'!$R$58*($CO$56)+'LINEST VARS'!$Q$58*($BX66)+'LINEST VARS'!$P$58*(12.73)+'LINEST VARS'!$O$58*(8^2)+'LINEST VARS'!$N$58*(8^2)+'LINEST VARS'!$M$58*($CO$56^2)+'LINEST VARS'!$L$58*($BX66^2)+'LINEST VARS'!$K$58*(12.73^2)+'LINEST VARS'!$J$58*(8*8)+'LINEST VARS'!$I$58*(8*$CO$56)+'LINEST VARS'!$H$58*(8*$BX66)+'LINEST VARS'!$G$58*(8*12.73)+'LINEST VARS'!$F$58*(8*$CO$56)+'LINEST VARS'!$E$58*(8*$BX66)+'LINEST VARS'!$D$58*(8*12.73)+'LINEST VARS'!$C$58*($CO$56*$BX66)+'LINEST VARS'!$B$58*($CO$56*12.73)+'LINEST VARS'!$A$58*($BX66*12.73)</f>
        <v>0.99165000000000036</v>
      </c>
      <c r="CP66" s="51">
        <f>'LINEST VARS'!$U$58+'LINEST VARS'!$T$58*(8)+'LINEST VARS'!$S$58*(8)+'LINEST VARS'!$R$58*($CP$56)+'LINEST VARS'!$Q$58*($BX66)+'LINEST VARS'!$P$58*(12.73)+'LINEST VARS'!$O$58*(8^2)+'LINEST VARS'!$N$58*(8^2)+'LINEST VARS'!$M$58*($CP$56^2)+'LINEST VARS'!$L$58*($BX66^2)+'LINEST VARS'!$K$58*(12.73^2)+'LINEST VARS'!$J$58*(8*8)+'LINEST VARS'!$I$58*(8*$CP$56)+'LINEST VARS'!$H$58*(8*$BX66)+'LINEST VARS'!$G$58*(8*12.73)+'LINEST VARS'!$F$58*(8*$CP$56)+'LINEST VARS'!$E$58*(8*$BX66)+'LINEST VARS'!$D$58*(8*12.73)+'LINEST VARS'!$C$58*($CP$56*$BX66)+'LINEST VARS'!$B$58*($CP$56*12.73)+'LINEST VARS'!$A$58*($BX66*12.73)</f>
        <v>0.99965000000000037</v>
      </c>
      <c r="CQ66" s="51">
        <f>'LINEST VARS'!$U$58+'LINEST VARS'!$T$58*(8)+'LINEST VARS'!$S$58*(8)+'LINEST VARS'!$R$58*($CQ$56)+'LINEST VARS'!$Q$58*($BX66)+'LINEST VARS'!$P$58*(12.73)+'LINEST VARS'!$O$58*(8^2)+'LINEST VARS'!$N$58*(8^2)+'LINEST VARS'!$M$58*($CQ$56^2)+'LINEST VARS'!$L$58*($BX66^2)+'LINEST VARS'!$K$58*(12.73^2)+'LINEST VARS'!$J$58*(8*8)+'LINEST VARS'!$I$58*(8*$CQ$56)+'LINEST VARS'!$H$58*(8*$BX66)+'LINEST VARS'!$G$58*(8*12.73)+'LINEST VARS'!$F$58*(8*$CQ$56)+'LINEST VARS'!$E$58*(8*$BX66)+'LINEST VARS'!$D$58*(8*12.73)+'LINEST VARS'!$C$58*($CQ$56*$BX66)+'LINEST VARS'!$B$58*($CQ$56*12.73)+'LINEST VARS'!$A$58*($BX66*12.73)</f>
        <v>1.0076500000000002</v>
      </c>
      <c r="CR66" s="51">
        <f>'LINEST VARS'!$U$58+'LINEST VARS'!$T$58*(8)+'LINEST VARS'!$S$58*(8)+'LINEST VARS'!$R$58*($CR$56)+'LINEST VARS'!$Q$58*($BX66)+'LINEST VARS'!$P$58*(12.73)+'LINEST VARS'!$O$58*(8^2)+'LINEST VARS'!$N$58*(8^2)+'LINEST VARS'!$M$58*($CR$56^2)+'LINEST VARS'!$L$58*($BX66^2)+'LINEST VARS'!$K$58*(12.73^2)+'LINEST VARS'!$J$58*(8*8)+'LINEST VARS'!$I$58*(8*$CR$56)+'LINEST VARS'!$H$58*(8*$BX66)+'LINEST VARS'!$G$58*(8*12.73)+'LINEST VARS'!$F$58*(8*$CR$56)+'LINEST VARS'!$E$58*(8*$BX66)+'LINEST VARS'!$D$58*(8*12.73)+'LINEST VARS'!$C$58*($CR$56*$BX66)+'LINEST VARS'!$B$58*($CR$56*12.73)+'LINEST VARS'!$A$58*($BX66*12.73)</f>
        <v>1.0156499999999999</v>
      </c>
      <c r="CS66" s="52">
        <f>'LINEST VARS'!$U$58+'LINEST VARS'!$T$58*(8)+'LINEST VARS'!$S$58*(8)+'LINEST VARS'!$R$58*($CS$56)+'LINEST VARS'!$Q$58*($BX66)+'LINEST VARS'!$P$58*(12.73)+'LINEST VARS'!$O$58*(8^2)+'LINEST VARS'!$N$58*(8^2)+'LINEST VARS'!$M$58*($CS$56^2)+'LINEST VARS'!$L$58*($BX66^2)+'LINEST VARS'!$K$58*(12.73^2)+'LINEST VARS'!$J$58*(8*8)+'LINEST VARS'!$I$58*(8*$CS$56)+'LINEST VARS'!$H$58*(8*$BX66)+'LINEST VARS'!$G$58*(8*12.73)+'LINEST VARS'!$F$58*(8*$CS$56)+'LINEST VARS'!$E$58*(8*$BX66)+'LINEST VARS'!$D$58*(8*12.73)+'LINEST VARS'!$C$58*($CS$56*$BX66)+'LINEST VARS'!$B$58*($CS$56*12.73)+'LINEST VARS'!$A$58*($BX66*12.73)</f>
        <v>1.0236500000000002</v>
      </c>
      <c r="CX66" s="45">
        <v>11.695499999999999</v>
      </c>
      <c r="CY66" s="51">
        <f>'LINEST VARS'!$U$56+'LINEST VARS'!$T$56*(8)+'LINEST VARS'!$S$56*(8)+'LINEST VARS'!$R$56*($CY$56)+'LINEST VARS'!$Q$56*(0.5)+'LINEST VARS'!$P$56*($CX66)+'LINEST VARS'!$O$56*(8^2)+'LINEST VARS'!$N$56*(8^2)+'LINEST VARS'!$M$56*($CY$56^2)+'LINEST VARS'!$L$56*(0.5^2)+'LINEST VARS'!$K$56*($CX66^2)+'LINEST VARS'!$J$56*(8*8)+'LINEST VARS'!$I$56*(8*$CY$56)+'LINEST VARS'!$H$56*(8*0.5)+'LINEST VARS'!$G$56*(8*$CX66)+'LINEST VARS'!$F$56*(8*$CY$56)+'LINEST VARS'!$E$56*(8*0.5)+'LINEST VARS'!$D$56*(8*$CX66)+'LINEST VARS'!$C$56*($CY$56*0.5)+'LINEST VARS'!$B$56*($CY$56*$CX66)+'LINEST VARS'!$A$56*(0.5*$CX66)</f>
        <v>2.8000000000000007</v>
      </c>
      <c r="CZ66" s="51">
        <f>'LINEST VARS'!$U$56+'LINEST VARS'!$T$56*(8)+'LINEST VARS'!$S$56*(8)+'LINEST VARS'!$R$56*($CZ$56)+'LINEST VARS'!$Q$56*(0.5)+'LINEST VARS'!$P$56*($CX66)+'LINEST VARS'!$O$56*(8^2)+'LINEST VARS'!$N$56*(8^2)+'LINEST VARS'!$M$56*($CZ$56^2)+'LINEST VARS'!$L$56*(0.5^2)+'LINEST VARS'!$K$56*($CX66^2)+'LINEST VARS'!$J$56*(8*8)+'LINEST VARS'!$I$56*(8*$CZ$56)+'LINEST VARS'!$H$56*(8*0.5)+'LINEST VARS'!$G$56*(8*$CX66)+'LINEST VARS'!$F$56*(8*$CZ$56)+'LINEST VARS'!$E$56*(8*0.5)+'LINEST VARS'!$D$56*(8*$CX66)+'LINEST VARS'!$C$56*($CZ$56*0.5)+'LINEST VARS'!$B$56*($CZ$56*$CX66)+'LINEST VARS'!$A$56*(0.5*$CX66)</f>
        <v>2.8184000000000009</v>
      </c>
      <c r="DA66" s="51">
        <f>'LINEST VARS'!$U$56+'LINEST VARS'!$T$56*(8)+'LINEST VARS'!$S$56*(8)+'LINEST VARS'!$R$56*($DA$56)+'LINEST VARS'!$Q$56*(0.5)+'LINEST VARS'!$P$56*($CX66)+'LINEST VARS'!$O$56*(8^2)+'LINEST VARS'!$N$56*(8^2)+'LINEST VARS'!$M$56*($DA$56^2)+'LINEST VARS'!$L$56*(0.5^2)+'LINEST VARS'!$K$56*($CX66^2)+'LINEST VARS'!$J$56*(8*8)+'LINEST VARS'!$I$56*(8*$DA$56)+'LINEST VARS'!$H$56*(8*0.5)+'LINEST VARS'!$G$56*(8*$CX66)+'LINEST VARS'!$F$56*(8*$DA$56)+'LINEST VARS'!$E$56*(8*0.5)+'LINEST VARS'!$D$56*(8*$CX66)+'LINEST VARS'!$C$56*($DA$56*0.5)+'LINEST VARS'!$B$56*($DA$56*$CX66)+'LINEST VARS'!$A$56*(0.5*$CX66)</f>
        <v>2.8336000000000006</v>
      </c>
      <c r="DB66" s="51">
        <f>'LINEST VARS'!$U$56+'LINEST VARS'!$T$56*(8)+'LINEST VARS'!$S$56*(8)+'LINEST VARS'!$R$56*($DB$56)+'LINEST VARS'!$Q$56*(0.5)+'LINEST VARS'!$P$56*($CX66)+'LINEST VARS'!$O$56*(8^2)+'LINEST VARS'!$N$56*(8^2)+'LINEST VARS'!$M$56*($DB$56^2)+'LINEST VARS'!$L$56*(0.5^2)+'LINEST VARS'!$K$56*($CX66^2)+'LINEST VARS'!$J$56*(8*8)+'LINEST VARS'!$I$56*(8*$DB$56)+'LINEST VARS'!$H$56*(8*0.5)+'LINEST VARS'!$G$56*(8*$CX66)+'LINEST VARS'!$F$56*(8*$DB$56)+'LINEST VARS'!$E$56*(8*0.5)+'LINEST VARS'!$D$56*(8*$CX66)+'LINEST VARS'!$C$56*($DB$56*0.5)+'LINEST VARS'!$B$56*($DB$56*$CX66)+'LINEST VARS'!$A$56*(0.5*$CX66)</f>
        <v>2.8456000000000006</v>
      </c>
      <c r="DC66" s="51">
        <f>'LINEST VARS'!$U$56+'LINEST VARS'!$T$56*(8)+'LINEST VARS'!$S$56*(8)+'LINEST VARS'!$R$56*($DC$56)+'LINEST VARS'!$Q$56*(0.5)+'LINEST VARS'!$P$56*($CX66)+'LINEST VARS'!$O$56*(8^2)+'LINEST VARS'!$N$56*(8^2)+'LINEST VARS'!$M$56*($DC$56^2)+'LINEST VARS'!$L$56*(0.5^2)+'LINEST VARS'!$K$56*($CX66^2)+'LINEST VARS'!$J$56*(8*8)+'LINEST VARS'!$I$56*(8*$DC$56)+'LINEST VARS'!$H$56*(8*0.5)+'LINEST VARS'!$G$56*(8*$CX66)+'LINEST VARS'!$F$56*(8*$DC$56)+'LINEST VARS'!$E$56*(8*0.5)+'LINEST VARS'!$D$56*(8*$CX66)+'LINEST VARS'!$C$56*($DC$56*0.5)+'LINEST VARS'!$B$56*($DC$56*$CX66)+'LINEST VARS'!$A$56*(0.5*$CX66)</f>
        <v>2.8544000000000009</v>
      </c>
      <c r="DD66" s="51">
        <f>'LINEST VARS'!$U$56+'LINEST VARS'!$T$56*(8)+'LINEST VARS'!$S$56*(8)+'LINEST VARS'!$R$56*($DD$56)+'LINEST VARS'!$Q$56*(0.5)+'LINEST VARS'!$P$56*($CX66)+'LINEST VARS'!$O$56*(8^2)+'LINEST VARS'!$N$56*(8^2)+'LINEST VARS'!$M$56*($DD$56^2)+'LINEST VARS'!$L$56*(0.5^2)+'LINEST VARS'!$K$56*($CX66^2)+'LINEST VARS'!$J$56*(8*8)+'LINEST VARS'!$I$56*(8*$DD$56)+'LINEST VARS'!$H$56*(8*0.5)+'LINEST VARS'!$G$56*(8*$CX66)+'LINEST VARS'!$F$56*(8*$DD$56)+'LINEST VARS'!$E$56*(8*0.5)+'LINEST VARS'!$D$56*(8*$CX66)+'LINEST VARS'!$C$56*($DD$56*0.5)+'LINEST VARS'!$B$56*($DD$56*$CX66)+'LINEST VARS'!$A$56*(0.5*$CX66)</f>
        <v>2.8600000000000008</v>
      </c>
      <c r="DE66" s="51">
        <f>'LINEST VARS'!$U$56+'LINEST VARS'!$T$56*(8)+'LINEST VARS'!$S$56*(8)+'LINEST VARS'!$R$56*($DE$56)+'LINEST VARS'!$Q$56*(0.5)+'LINEST VARS'!$P$56*($CX66)+'LINEST VARS'!$O$56*(8^2)+'LINEST VARS'!$N$56*(8^2)+'LINEST VARS'!$M$56*($DE$56^2)+'LINEST VARS'!$L$56*(0.5^2)+'LINEST VARS'!$K$56*($CX66^2)+'LINEST VARS'!$J$56*(8*8)+'LINEST VARS'!$I$56*(8*$DE$56)+'LINEST VARS'!$H$56*(8*0.5)+'LINEST VARS'!$G$56*(8*$CX66)+'LINEST VARS'!$F$56*(8*$DE$56)+'LINEST VARS'!$E$56*(8*0.5)+'LINEST VARS'!$D$56*(8*$CX66)+'LINEST VARS'!$C$56*($DE$56*0.5)+'LINEST VARS'!$B$56*($DE$56*$CX66)+'LINEST VARS'!$A$56*(0.5*$CX66)</f>
        <v>2.8624000000000009</v>
      </c>
      <c r="DF66" s="51">
        <f>'LINEST VARS'!$U$56+'LINEST VARS'!$T$56*(8)+'LINEST VARS'!$S$56*(8)+'LINEST VARS'!$R$56*($DF$56)+'LINEST VARS'!$Q$56*(0.5)+'LINEST VARS'!$P$56*($CX66)+'LINEST VARS'!$O$56*(8^2)+'LINEST VARS'!$N$56*(8^2)+'LINEST VARS'!$M$56*($DF$56^2)+'LINEST VARS'!$L$56*(0.5^2)+'LINEST VARS'!$K$56*($CX66^2)+'LINEST VARS'!$J$56*(8*8)+'LINEST VARS'!$I$56*(8*$DF$56)+'LINEST VARS'!$H$56*(8*0.5)+'LINEST VARS'!$G$56*(8*$CX66)+'LINEST VARS'!$F$56*(8*$DF$56)+'LINEST VARS'!$E$56*(8*0.5)+'LINEST VARS'!$D$56*(8*$CX66)+'LINEST VARS'!$C$56*($DF$56*0.5)+'LINEST VARS'!$B$56*($DF$56*$CX66)+'LINEST VARS'!$A$56*(0.5*$CX66)</f>
        <v>2.8616000000000006</v>
      </c>
      <c r="DG66" s="51">
        <f>'LINEST VARS'!$U$56+'LINEST VARS'!$T$56*(8)+'LINEST VARS'!$S$56*(8)+'LINEST VARS'!$R$56*($DG$56)+'LINEST VARS'!$Q$56*(0.5)+'LINEST VARS'!$P$56*($CX66)+'LINEST VARS'!$O$56*(8^2)+'LINEST VARS'!$N$56*(8^2)+'LINEST VARS'!$M$56*($DG$56^2)+'LINEST VARS'!$L$56*(0.5^2)+'LINEST VARS'!$K$56*($CX66^2)+'LINEST VARS'!$J$56*(8*8)+'LINEST VARS'!$I$56*(8*$DG$56)+'LINEST VARS'!$H$56*(8*0.5)+'LINEST VARS'!$G$56*(8*$CX66)+'LINEST VARS'!$F$56*(8*$DG$56)+'LINEST VARS'!$E$56*(8*0.5)+'LINEST VARS'!$D$56*(8*$CX66)+'LINEST VARS'!$C$56*($DG$56*0.5)+'LINEST VARS'!$B$56*($DG$56*$CX66)+'LINEST VARS'!$A$56*(0.5*$CX66)</f>
        <v>2.8576000000000006</v>
      </c>
      <c r="DH66" s="51">
        <f>'LINEST VARS'!$U$56+'LINEST VARS'!$T$56*(8)+'LINEST VARS'!$S$56*(8)+'LINEST VARS'!$R$56*($DH$56)+'LINEST VARS'!$Q$56*(0.5)+'LINEST VARS'!$P$56*($CX66)+'LINEST VARS'!$O$56*(8^2)+'LINEST VARS'!$N$56*(8^2)+'LINEST VARS'!$M$56*($DH$56^2)+'LINEST VARS'!$L$56*(0.5^2)+'LINEST VARS'!$K$56*($CX66^2)+'LINEST VARS'!$J$56*(8*8)+'LINEST VARS'!$I$56*(8*$DH$56)+'LINEST VARS'!$H$56*(8*0.5)+'LINEST VARS'!$G$56*(8*$CX66)+'LINEST VARS'!$F$56*(8*$DH$56)+'LINEST VARS'!$E$56*(8*0.5)+'LINEST VARS'!$D$56*(8*$CX66)+'LINEST VARS'!$C$56*($DH$56*0.5)+'LINEST VARS'!$B$56*($DH$56*$CX66)+'LINEST VARS'!$A$56*(0.5*$CX66)</f>
        <v>2.8504000000000009</v>
      </c>
      <c r="DI66" s="51">
        <f>'LINEST VARS'!$U$56+'LINEST VARS'!$T$56*(8)+'LINEST VARS'!$S$56*(8)+'LINEST VARS'!$R$56*($DI$56)+'LINEST VARS'!$Q$56*(0.5)+'LINEST VARS'!$P$56*($CX66)+'LINEST VARS'!$O$56*(8^2)+'LINEST VARS'!$N$56*(8^2)+'LINEST VARS'!$M$56*($DI$56^2)+'LINEST VARS'!$L$56*(0.5^2)+'LINEST VARS'!$K$56*($CX66^2)+'LINEST VARS'!$J$56*(8*8)+'LINEST VARS'!$I$56*(8*$DI$56)+'LINEST VARS'!$H$56*(8*0.5)+'LINEST VARS'!$G$56*(8*$CX66)+'LINEST VARS'!$F$56*(8*$DI$56)+'LINEST VARS'!$E$56*(8*0.5)+'LINEST VARS'!$D$56*(8*$CX66)+'LINEST VARS'!$C$56*($DI$56*0.5)+'LINEST VARS'!$B$56*($DI$56*$CX66)+'LINEST VARS'!$A$56*(0.5*$CX66)</f>
        <v>2.8400000000000007</v>
      </c>
      <c r="DJ66" s="51">
        <f>'LINEST VARS'!$U$56+'LINEST VARS'!$T$56*(8)+'LINEST VARS'!$S$56*(8)+'LINEST VARS'!$R$56*($DJ$56)+'LINEST VARS'!$Q$56*(0.5)+'LINEST VARS'!$P$56*($CX66)+'LINEST VARS'!$O$56*(8^2)+'LINEST VARS'!$N$56*(8^2)+'LINEST VARS'!$M$56*($DJ$56^2)+'LINEST VARS'!$L$56*(0.5^2)+'LINEST VARS'!$K$56*($CX66^2)+'LINEST VARS'!$J$56*(8*8)+'LINEST VARS'!$I$56*(8*$DJ$56)+'LINEST VARS'!$H$56*(8*0.5)+'LINEST VARS'!$G$56*(8*$CX66)+'LINEST VARS'!$F$56*(8*$DJ$56)+'LINEST VARS'!$E$56*(8*0.5)+'LINEST VARS'!$D$56*(8*$CX66)+'LINEST VARS'!$C$56*($DJ$56*0.5)+'LINEST VARS'!$B$56*($DJ$56*$CX66)+'LINEST VARS'!$A$56*(0.5*$CX66)</f>
        <v>2.8264000000000009</v>
      </c>
      <c r="DK66" s="51">
        <f>'LINEST VARS'!$U$56+'LINEST VARS'!$T$56*(8)+'LINEST VARS'!$S$56*(8)+'LINEST VARS'!$R$56*($DK$56)+'LINEST VARS'!$Q$56*(0.5)+'LINEST VARS'!$P$56*($CX66)+'LINEST VARS'!$O$56*(8^2)+'LINEST VARS'!$N$56*(8^2)+'LINEST VARS'!$M$56*($DK$56^2)+'LINEST VARS'!$L$56*(0.5^2)+'LINEST VARS'!$K$56*($CX66^2)+'LINEST VARS'!$J$56*(8*8)+'LINEST VARS'!$I$56*(8*$DK$56)+'LINEST VARS'!$H$56*(8*0.5)+'LINEST VARS'!$G$56*(8*$CX66)+'LINEST VARS'!$F$56*(8*$DK$56)+'LINEST VARS'!$E$56*(8*0.5)+'LINEST VARS'!$D$56*(8*$CX66)+'LINEST VARS'!$C$56*($DK$56*0.5)+'LINEST VARS'!$B$56*($DK$56*$CX66)+'LINEST VARS'!$A$56*(0.5*$CX66)</f>
        <v>2.8096000000000005</v>
      </c>
      <c r="DL66" s="51">
        <f>'LINEST VARS'!$U$56+'LINEST VARS'!$T$56*(8)+'LINEST VARS'!$S$56*(8)+'LINEST VARS'!$R$56*($DL$56)+'LINEST VARS'!$Q$56*(0.5)+'LINEST VARS'!$P$56*($CX66)+'LINEST VARS'!$O$56*(8^2)+'LINEST VARS'!$N$56*(8^2)+'LINEST VARS'!$M$56*($DL$56^2)+'LINEST VARS'!$L$56*(0.5^2)+'LINEST VARS'!$K$56*($CX66^2)+'LINEST VARS'!$J$56*(8*8)+'LINEST VARS'!$I$56*(8*$DL$56)+'LINEST VARS'!$H$56*(8*0.5)+'LINEST VARS'!$G$56*(8*$CX66)+'LINEST VARS'!$F$56*(8*$DL$56)+'LINEST VARS'!$E$56*(8*0.5)+'LINEST VARS'!$D$56*(8*$CX66)+'LINEST VARS'!$C$56*($DL$56*0.5)+'LINEST VARS'!$B$56*($DL$56*$CX66)+'LINEST VARS'!$A$56*(0.5*$CX66)</f>
        <v>2.7896000000000005</v>
      </c>
      <c r="DM66" s="51">
        <f>'LINEST VARS'!$U$56+'LINEST VARS'!$T$56*(8)+'LINEST VARS'!$S$56*(8)+'LINEST VARS'!$R$56*($DM$56)+'LINEST VARS'!$Q$56*(0.5)+'LINEST VARS'!$P$56*($CX66)+'LINEST VARS'!$O$56*(8^2)+'LINEST VARS'!$N$56*(8^2)+'LINEST VARS'!$M$56*($DM$56^2)+'LINEST VARS'!$L$56*(0.5^2)+'LINEST VARS'!$K$56*($CX66^2)+'LINEST VARS'!$J$56*(8*8)+'LINEST VARS'!$I$56*(8*$DM$56)+'LINEST VARS'!$H$56*(8*0.5)+'LINEST VARS'!$G$56*(8*$CX66)+'LINEST VARS'!$F$56*(8*$DM$56)+'LINEST VARS'!$E$56*(8*0.5)+'LINEST VARS'!$D$56*(8*$CX66)+'LINEST VARS'!$C$56*($DM$56*0.5)+'LINEST VARS'!$B$56*($DM$56*$CX66)+'LINEST VARS'!$A$56*(0.5*$CX66)</f>
        <v>2.7664000000000009</v>
      </c>
      <c r="DN66" s="51">
        <f>'LINEST VARS'!$U$56+'LINEST VARS'!$T$56*(8)+'LINEST VARS'!$S$56*(8)+'LINEST VARS'!$R$56*($DN$56)+'LINEST VARS'!$Q$56*(0.5)+'LINEST VARS'!$P$56*($CX66)+'LINEST VARS'!$O$56*(8^2)+'LINEST VARS'!$N$56*(8^2)+'LINEST VARS'!$M$56*($DN$56^2)+'LINEST VARS'!$L$56*(0.5^2)+'LINEST VARS'!$K$56*($CX66^2)+'LINEST VARS'!$J$56*(8*8)+'LINEST VARS'!$I$56*(8*$DN$56)+'LINEST VARS'!$H$56*(8*0.5)+'LINEST VARS'!$G$56*(8*$CX66)+'LINEST VARS'!$F$56*(8*$DN$56)+'LINEST VARS'!$E$56*(8*0.5)+'LINEST VARS'!$D$56*(8*$CX66)+'LINEST VARS'!$C$56*($DN$56*0.5)+'LINEST VARS'!$B$56*($DN$56*$CX66)+'LINEST VARS'!$A$56*(0.5*$CX66)</f>
        <v>2.7400000000000007</v>
      </c>
      <c r="DO66" s="51">
        <f>'LINEST VARS'!$U$56+'LINEST VARS'!$T$56*(8)+'LINEST VARS'!$S$56*(8)+'LINEST VARS'!$R$56*($DO$56)+'LINEST VARS'!$Q$56*(0.5)+'LINEST VARS'!$P$56*($CX66)+'LINEST VARS'!$O$56*(8^2)+'LINEST VARS'!$N$56*(8^2)+'LINEST VARS'!$M$56*($DO$56^2)+'LINEST VARS'!$L$56*(0.5^2)+'LINEST VARS'!$K$56*($CX66^2)+'LINEST VARS'!$J$56*(8*8)+'LINEST VARS'!$I$56*(8*$DO$56)+'LINEST VARS'!$H$56*(8*0.5)+'LINEST VARS'!$G$56*(8*$CX66)+'LINEST VARS'!$F$56*(8*$DO$56)+'LINEST VARS'!$E$56*(8*0.5)+'LINEST VARS'!$D$56*(8*$CX66)+'LINEST VARS'!$C$56*($DO$56*0.5)+'LINEST VARS'!$B$56*($DO$56*$CX66)+'LINEST VARS'!$A$56*(0.5*$CX66)</f>
        <v>2.7104000000000004</v>
      </c>
      <c r="DP66" s="51">
        <f>'LINEST VARS'!$U$56+'LINEST VARS'!$T$56*(8)+'LINEST VARS'!$S$56*(8)+'LINEST VARS'!$R$56*($DP$56)+'LINEST VARS'!$Q$56*(0.5)+'LINEST VARS'!$P$56*($CX66)+'LINEST VARS'!$O$56*(8^2)+'LINEST VARS'!$N$56*(8^2)+'LINEST VARS'!$M$56*($DP$56^2)+'LINEST VARS'!$L$56*(0.5^2)+'LINEST VARS'!$K$56*($CX66^2)+'LINEST VARS'!$J$56*(8*8)+'LINEST VARS'!$I$56*(8*$DP$56)+'LINEST VARS'!$H$56*(8*0.5)+'LINEST VARS'!$G$56*(8*$CX66)+'LINEST VARS'!$F$56*(8*$DP$56)+'LINEST VARS'!$E$56*(8*0.5)+'LINEST VARS'!$D$56*(8*$CX66)+'LINEST VARS'!$C$56*($DP$56*0.5)+'LINEST VARS'!$B$56*($DP$56*$CX66)+'LINEST VARS'!$A$56*(0.5*$CX66)</f>
        <v>2.6776000000000004</v>
      </c>
      <c r="DQ66" s="51">
        <f>'LINEST VARS'!$U$56+'LINEST VARS'!$T$56*(8)+'LINEST VARS'!$S$56*(8)+'LINEST VARS'!$R$56*($DQ$56)+'LINEST VARS'!$Q$56*(0.5)+'LINEST VARS'!$P$56*($CX66)+'LINEST VARS'!$O$56*(8^2)+'LINEST VARS'!$N$56*(8^2)+'LINEST VARS'!$M$56*($DQ$56^2)+'LINEST VARS'!$L$56*(0.5^2)+'LINEST VARS'!$K$56*($CX66^2)+'LINEST VARS'!$J$56*(8*8)+'LINEST VARS'!$I$56*(8*$DQ$56)+'LINEST VARS'!$H$56*(8*0.5)+'LINEST VARS'!$G$56*(8*$CX66)+'LINEST VARS'!$F$56*(8*$DQ$56)+'LINEST VARS'!$E$56*(8*0.5)+'LINEST VARS'!$D$56*(8*$CX66)+'LINEST VARS'!$C$56*($DQ$56*0.5)+'LINEST VARS'!$B$56*($DQ$56*$CX66)+'LINEST VARS'!$A$56*(0.5*$CX66)</f>
        <v>2.6416000000000004</v>
      </c>
      <c r="DR66" s="51">
        <f>'LINEST VARS'!$U$56+'LINEST VARS'!$T$56*(8)+'LINEST VARS'!$S$56*(8)+'LINEST VARS'!$R$56*($DR$56)+'LINEST VARS'!$Q$56*(0.5)+'LINEST VARS'!$P$56*($CX66)+'LINEST VARS'!$O$56*(8^2)+'LINEST VARS'!$N$56*(8^2)+'LINEST VARS'!$M$56*($DR$56^2)+'LINEST VARS'!$L$56*(0.5^2)+'LINEST VARS'!$K$56*($CX66^2)+'LINEST VARS'!$J$56*(8*8)+'LINEST VARS'!$I$56*(8*$DR$56)+'LINEST VARS'!$H$56*(8*0.5)+'LINEST VARS'!$G$56*(8*$CX66)+'LINEST VARS'!$F$56*(8*$DR$56)+'LINEST VARS'!$E$56*(8*0.5)+'LINEST VARS'!$D$56*(8*$CX66)+'LINEST VARS'!$C$56*($DR$56*0.5)+'LINEST VARS'!$B$56*($DR$56*$CX66)+'LINEST VARS'!$A$56*(0.5*$CX66)</f>
        <v>2.6024000000000007</v>
      </c>
      <c r="DS66" s="52">
        <f>'LINEST VARS'!$U$56+'LINEST VARS'!$T$56*(8)+'LINEST VARS'!$S$56*(8)+'LINEST VARS'!$R$56*($DS$56)+'LINEST VARS'!$Q$56*(0.5)+'LINEST VARS'!$P$56*($CX66)+'LINEST VARS'!$O$56*(8^2)+'LINEST VARS'!$N$56*(8^2)+'LINEST VARS'!$M$56*($DS$56^2)+'LINEST VARS'!$L$56*(0.5^2)+'LINEST VARS'!$K$56*($CX66^2)+'LINEST VARS'!$J$56*(8*8)+'LINEST VARS'!$I$56*(8*$DS$56)+'LINEST VARS'!$H$56*(8*0.5)+'LINEST VARS'!$G$56*(8*$CX66)+'LINEST VARS'!$F$56*(8*$DS$56)+'LINEST VARS'!$E$56*(8*0.5)+'LINEST VARS'!$D$56*(8*$CX66)+'LINEST VARS'!$C$56*($DS$56*0.5)+'LINEST VARS'!$B$56*($DS$56*$CX66)+'LINEST VARS'!$A$56*(0.5*$CX66)</f>
        <v>2.5600000000000005</v>
      </c>
      <c r="DV66" s="45">
        <v>11.695499999999999</v>
      </c>
      <c r="DW66" s="51">
        <f>'LINEST VARS'!$U$58+'LINEST VARS'!$T$58*(8)+'LINEST VARS'!$S$58*(8)+'LINEST VARS'!$R$58*($DW$56)+'LINEST VARS'!$Q$58*(0.5)+'LINEST VARS'!$P$58*($DV66)+'LINEST VARS'!$O$58*(8^2)+'LINEST VARS'!$N$58*(8^2)+'LINEST VARS'!$M$58*($DW$56^2)+'LINEST VARS'!$L$58*(0.5^2)+'LINEST VARS'!$K$58*($DV66^2)+'LINEST VARS'!$J$58*(8*8)+'LINEST VARS'!$I$58*(8*$DW$56)+'LINEST VARS'!$H$58*(8*0.5)+'LINEST VARS'!$G$58*(8*$DV66)+'LINEST VARS'!$F$58*(8*$DW$56)+'LINEST VARS'!$E$58*(8*0.5)+'LINEST VARS'!$D$58*(8*$DV66)+'LINEST VARS'!$C$58*($DW$56*0.5)+'LINEST VARS'!$B$58*($DW$56*$DV66)+'LINEST VARS'!$A$58*(0.5*$DV66)</f>
        <v>0.85847750000000034</v>
      </c>
      <c r="DX66" s="51">
        <f>'LINEST VARS'!$U$58+'LINEST VARS'!$T$58*(8)+'LINEST VARS'!$S$58*(8)+'LINEST VARS'!$R$58*($DX$56)+'LINEST VARS'!$Q$58*(0.5)+'LINEST VARS'!$P$58*($DV66)+'LINEST VARS'!$O$58*(8^2)+'LINEST VARS'!$N$58*(8^2)+'LINEST VARS'!$M$58*($DX$56^2)+'LINEST VARS'!$L$58*(0.5^2)+'LINEST VARS'!$K$58*($DV66^2)+'LINEST VARS'!$J$58*(8*8)+'LINEST VARS'!$I$58*(8*$DX$56)+'LINEST VARS'!$H$58*(8*0.5)+'LINEST VARS'!$G$58*(8*$DV66)+'LINEST VARS'!$F$58*(8*$DX$56)+'LINEST VARS'!$E$58*(8*0.5)+'LINEST VARS'!$D$58*(8*$DV66)+'LINEST VARS'!$C$58*($DX$56*0.5)+'LINEST VARS'!$B$58*($DX$56*$DV66)+'LINEST VARS'!$A$58*(0.5*$DV66)</f>
        <v>0.86647750000000034</v>
      </c>
      <c r="DY66" s="51">
        <f>'LINEST VARS'!$U$58+'LINEST VARS'!$T$58*(8)+'LINEST VARS'!$S$58*(8)+'LINEST VARS'!$R$58*($DY$56)+'LINEST VARS'!$Q$58*(0.5)+'LINEST VARS'!$P$58*($DV66)+'LINEST VARS'!$O$58*(8^2)+'LINEST VARS'!$N$58*(8^2)+'LINEST VARS'!$M$58*($DY$56^2)+'LINEST VARS'!$L$58*(0.5^2)+'LINEST VARS'!$K$58*($DV66^2)+'LINEST VARS'!$J$58*(8*8)+'LINEST VARS'!$I$58*(8*$DY$56)+'LINEST VARS'!$H$58*(8*0.5)+'LINEST VARS'!$G$58*(8*$DV66)+'LINEST VARS'!$F$58*(8*$DY$56)+'LINEST VARS'!$E$58*(8*0.5)+'LINEST VARS'!$D$58*(8*$DV66)+'LINEST VARS'!$C$58*($DY$56*0.5)+'LINEST VARS'!$B$58*($DY$56*$DV66)+'LINEST VARS'!$A$58*(0.5*$DV66)</f>
        <v>0.87447750000000024</v>
      </c>
      <c r="DZ66" s="51">
        <f>'LINEST VARS'!$U$58+'LINEST VARS'!$T$58*(8)+'LINEST VARS'!$S$58*(8)+'LINEST VARS'!$R$58*($DZ$56)+'LINEST VARS'!$Q$58*(0.5)+'LINEST VARS'!$P$58*($DV66)+'LINEST VARS'!$O$58*(8^2)+'LINEST VARS'!$N$58*(8^2)+'LINEST VARS'!$M$58*($DZ$56^2)+'LINEST VARS'!$L$58*(0.5^2)+'LINEST VARS'!$K$58*($DV66^2)+'LINEST VARS'!$J$58*(8*8)+'LINEST VARS'!$I$58*(8*$DZ$56)+'LINEST VARS'!$H$58*(8*0.5)+'LINEST VARS'!$G$58*(8*$DV66)+'LINEST VARS'!$F$58*(8*$DZ$56)+'LINEST VARS'!$E$58*(8*0.5)+'LINEST VARS'!$D$58*(8*$DV66)+'LINEST VARS'!$C$58*($DZ$56*0.5)+'LINEST VARS'!$B$58*($DZ$56*$DV66)+'LINEST VARS'!$A$58*(0.5*$DV66)</f>
        <v>0.88247750000000025</v>
      </c>
      <c r="EA66" s="51">
        <f>'LINEST VARS'!$U$58+'LINEST VARS'!$T$58*(8)+'LINEST VARS'!$S$58*(8)+'LINEST VARS'!$R$58*($EA$56)+'LINEST VARS'!$Q$58*(0.5)+'LINEST VARS'!$P$58*($DV66)+'LINEST VARS'!$O$58*(8^2)+'LINEST VARS'!$N$58*(8^2)+'LINEST VARS'!$M$58*($EA$56^2)+'LINEST VARS'!$L$58*(0.5^2)+'LINEST VARS'!$K$58*($DV66^2)+'LINEST VARS'!$J$58*(8*8)+'LINEST VARS'!$I$58*(8*$EA$56)+'LINEST VARS'!$H$58*(8*0.5)+'LINEST VARS'!$G$58*(8*$DV66)+'LINEST VARS'!$F$58*(8*$EA$56)+'LINEST VARS'!$E$58*(8*0.5)+'LINEST VARS'!$D$58*(8*$DV66)+'LINEST VARS'!$C$58*($EA$56*0.5)+'LINEST VARS'!$B$58*($EA$56*$DV66)+'LINEST VARS'!$A$58*(0.5*$DV66)</f>
        <v>0.89047750000000014</v>
      </c>
      <c r="EB66" s="51">
        <f>'LINEST VARS'!$U$58+'LINEST VARS'!$T$58*(8)+'LINEST VARS'!$S$58*(8)+'LINEST VARS'!$R$58*($EB$56)+'LINEST VARS'!$Q$58*(0.5)+'LINEST VARS'!$P$58*($DV66)+'LINEST VARS'!$O$58*(8^2)+'LINEST VARS'!$N$58*(8^2)+'LINEST VARS'!$M$58*($EB$56^2)+'LINEST VARS'!$L$58*(0.5^2)+'LINEST VARS'!$K$58*($DV66^2)+'LINEST VARS'!$J$58*(8*8)+'LINEST VARS'!$I$58*(8*$EB$56)+'LINEST VARS'!$H$58*(8*0.5)+'LINEST VARS'!$G$58*(8*$DV66)+'LINEST VARS'!$F$58*(8*$EB$56)+'LINEST VARS'!$E$58*(8*0.5)+'LINEST VARS'!$D$58*(8*$DV66)+'LINEST VARS'!$C$58*($EB$56*0.5)+'LINEST VARS'!$B$58*($EB$56*$DV66)+'LINEST VARS'!$A$58*(0.5*$DV66)</f>
        <v>0.89847750000000026</v>
      </c>
      <c r="EC66" s="51">
        <f>'LINEST VARS'!$U$58+'LINEST VARS'!$T$58*(8)+'LINEST VARS'!$S$58*(8)+'LINEST VARS'!$R$58*($EC$56)+'LINEST VARS'!$Q$58*(0.5)+'LINEST VARS'!$P$58*($DV66)+'LINEST VARS'!$O$58*(8^2)+'LINEST VARS'!$N$58*(8^2)+'LINEST VARS'!$M$58*($EC$56^2)+'LINEST VARS'!$L$58*(0.5^2)+'LINEST VARS'!$K$58*($DV66^2)+'LINEST VARS'!$J$58*(8*8)+'LINEST VARS'!$I$58*(8*$EC$56)+'LINEST VARS'!$H$58*(8*0.5)+'LINEST VARS'!$G$58*(8*$DV66)+'LINEST VARS'!$F$58*(8*$EC$56)+'LINEST VARS'!$E$58*(8*0.5)+'LINEST VARS'!$D$58*(8*$DV66)+'LINEST VARS'!$C$58*($EC$56*0.5)+'LINEST VARS'!$B$58*($EC$56*$DV66)+'LINEST VARS'!$A$58*(0.5*$DV66)</f>
        <v>0.90647750000000027</v>
      </c>
      <c r="ED66" s="51">
        <f>'LINEST VARS'!$U$58+'LINEST VARS'!$T$58*(8)+'LINEST VARS'!$S$58*(8)+'LINEST VARS'!$R$58*($ED$56)+'LINEST VARS'!$Q$58*(0.5)+'LINEST VARS'!$P$58*($DV66)+'LINEST VARS'!$O$58*(8^2)+'LINEST VARS'!$N$58*(8^2)+'LINEST VARS'!$M$58*($ED$56^2)+'LINEST VARS'!$L$58*(0.5^2)+'LINEST VARS'!$K$58*($DV66^2)+'LINEST VARS'!$J$58*(8*8)+'LINEST VARS'!$I$58*(8*$ED$56)+'LINEST VARS'!$H$58*(8*0.5)+'LINEST VARS'!$G$58*(8*$DV66)+'LINEST VARS'!$F$58*(8*$ED$56)+'LINEST VARS'!$E$58*(8*0.5)+'LINEST VARS'!$D$58*(8*$DV66)+'LINEST VARS'!$C$58*($ED$56*0.5)+'LINEST VARS'!$B$58*($ED$56*$DV66)+'LINEST VARS'!$A$58*(0.5*$DV66)</f>
        <v>0.91447750000000028</v>
      </c>
      <c r="EE66" s="51">
        <f>'LINEST VARS'!$U$58+'LINEST VARS'!$T$58*(8)+'LINEST VARS'!$S$58*(8)+'LINEST VARS'!$R$58*($EE$56)+'LINEST VARS'!$Q$58*(0.5)+'LINEST VARS'!$P$58*($DV66)+'LINEST VARS'!$O$58*(8^2)+'LINEST VARS'!$N$58*(8^2)+'LINEST VARS'!$M$58*($EE$56^2)+'LINEST VARS'!$L$58*(0.5^2)+'LINEST VARS'!$K$58*($DV66^2)+'LINEST VARS'!$J$58*(8*8)+'LINEST VARS'!$I$58*(8*$EE$56)+'LINEST VARS'!$H$58*(8*0.5)+'LINEST VARS'!$G$58*(8*$DV66)+'LINEST VARS'!$F$58*(8*$EE$56)+'LINEST VARS'!$E$58*(8*0.5)+'LINEST VARS'!$D$58*(8*$DV66)+'LINEST VARS'!$C$58*($EE$56*0.5)+'LINEST VARS'!$B$58*($EE$56*$DV66)+'LINEST VARS'!$A$58*(0.5*$DV66)</f>
        <v>0.92247750000000039</v>
      </c>
      <c r="EF66" s="51">
        <f>'LINEST VARS'!$U$58+'LINEST VARS'!$T$58*(8)+'LINEST VARS'!$S$58*(8)+'LINEST VARS'!$R$58*($EF$56)+'LINEST VARS'!$Q$58*(0.5)+'LINEST VARS'!$P$58*($DV66)+'LINEST VARS'!$O$58*(8^2)+'LINEST VARS'!$N$58*(8^2)+'LINEST VARS'!$M$58*($EF$56^2)+'LINEST VARS'!$L$58*(0.5^2)+'LINEST VARS'!$K$58*($DV66^2)+'LINEST VARS'!$J$58*(8*8)+'LINEST VARS'!$I$58*(8*$EF$56)+'LINEST VARS'!$H$58*(8*0.5)+'LINEST VARS'!$G$58*(8*$DV66)+'LINEST VARS'!$F$58*(8*$EF$56)+'LINEST VARS'!$E$58*(8*0.5)+'LINEST VARS'!$D$58*(8*$DV66)+'LINEST VARS'!$C$58*($EF$56*0.5)+'LINEST VARS'!$B$58*($EF$56*$DV66)+'LINEST VARS'!$A$58*(0.5*$DV66)</f>
        <v>0.93047750000000029</v>
      </c>
      <c r="EG66" s="51">
        <f>'LINEST VARS'!$U$58+'LINEST VARS'!$T$58*(8)+'LINEST VARS'!$S$58*(8)+'LINEST VARS'!$R$58*($EG$56)+'LINEST VARS'!$Q$58*(0.5)+'LINEST VARS'!$P$58*($DV66)+'LINEST VARS'!$O$58*(8^2)+'LINEST VARS'!$N$58*(8^2)+'LINEST VARS'!$M$58*($EG$56^2)+'LINEST VARS'!$L$58*(0.5^2)+'LINEST VARS'!$K$58*($DV66^2)+'LINEST VARS'!$J$58*(8*8)+'LINEST VARS'!$I$58*(8*$EG$56)+'LINEST VARS'!$H$58*(8*0.5)+'LINEST VARS'!$G$58*(8*$DV66)+'LINEST VARS'!$F$58*(8*$EG$56)+'LINEST VARS'!$E$58*(8*0.5)+'LINEST VARS'!$D$58*(8*$DV66)+'LINEST VARS'!$C$58*($EG$56*0.5)+'LINEST VARS'!$B$58*($EG$56*$DV66)+'LINEST VARS'!$A$58*(0.5*$DV66)</f>
        <v>0.9384775000000003</v>
      </c>
      <c r="EH66" s="51">
        <f>'LINEST VARS'!$U$58+'LINEST VARS'!$T$58*(8)+'LINEST VARS'!$S$58*(8)+'LINEST VARS'!$R$58*($EH$56)+'LINEST VARS'!$Q$58*(0.5)+'LINEST VARS'!$P$58*($DV66)+'LINEST VARS'!$O$58*(8^2)+'LINEST VARS'!$N$58*(8^2)+'LINEST VARS'!$M$58*($EH$56^2)+'LINEST VARS'!$L$58*(0.5^2)+'LINEST VARS'!$K$58*($DV66^2)+'LINEST VARS'!$J$58*(8*8)+'LINEST VARS'!$I$58*(8*$EH$56)+'LINEST VARS'!$H$58*(8*0.5)+'LINEST VARS'!$G$58*(8*$DV66)+'LINEST VARS'!$F$58*(8*$EH$56)+'LINEST VARS'!$E$58*(8*0.5)+'LINEST VARS'!$D$58*(8*$DV66)+'LINEST VARS'!$C$58*($EH$56*0.5)+'LINEST VARS'!$B$58*($EH$56*$DV66)+'LINEST VARS'!$A$58*(0.5*$DV66)</f>
        <v>0.94647750000000019</v>
      </c>
      <c r="EI66" s="51">
        <f>'LINEST VARS'!$U$58+'LINEST VARS'!$T$58*(8)+'LINEST VARS'!$S$58*(8)+'LINEST VARS'!$R$58*($EI$56)+'LINEST VARS'!$Q$58*(0.5)+'LINEST VARS'!$P$58*($DV66)+'LINEST VARS'!$O$58*(8^2)+'LINEST VARS'!$N$58*(8^2)+'LINEST VARS'!$M$58*($EI$56^2)+'LINEST VARS'!$L$58*(0.5^2)+'LINEST VARS'!$K$58*($DV66^2)+'LINEST VARS'!$J$58*(8*8)+'LINEST VARS'!$I$58*(8*$EI$56)+'LINEST VARS'!$H$58*(8*0.5)+'LINEST VARS'!$G$58*(8*$DV66)+'LINEST VARS'!$F$58*(8*$EI$56)+'LINEST VARS'!$E$58*(8*0.5)+'LINEST VARS'!$D$58*(8*$DV66)+'LINEST VARS'!$C$58*($EI$56*0.5)+'LINEST VARS'!$B$58*($EI$56*$DV66)+'LINEST VARS'!$A$58*(0.5*$DV66)</f>
        <v>0.9544775000000002</v>
      </c>
      <c r="EJ66" s="51">
        <f>'LINEST VARS'!$U$58+'LINEST VARS'!$T$58*(8)+'LINEST VARS'!$S$58*(8)+'LINEST VARS'!$R$58*($EJ$56)+'LINEST VARS'!$Q$58*(0.5)+'LINEST VARS'!$P$58*($DV66)+'LINEST VARS'!$O$58*(8^2)+'LINEST VARS'!$N$58*(8^2)+'LINEST VARS'!$M$58*($EJ$56^2)+'LINEST VARS'!$L$58*(0.5^2)+'LINEST VARS'!$K$58*($DV66^2)+'LINEST VARS'!$J$58*(8*8)+'LINEST VARS'!$I$58*(8*$EJ$56)+'LINEST VARS'!$H$58*(8*0.5)+'LINEST VARS'!$G$58*(8*$DV66)+'LINEST VARS'!$F$58*(8*$EJ$56)+'LINEST VARS'!$E$58*(8*0.5)+'LINEST VARS'!$D$58*(8*$DV66)+'LINEST VARS'!$C$58*($EJ$56*0.5)+'LINEST VARS'!$B$58*($EJ$56*$DV66)+'LINEST VARS'!$A$58*(0.5*$DV66)</f>
        <v>0.9624775000000001</v>
      </c>
      <c r="EK66" s="51">
        <f>'LINEST VARS'!$U$58+'LINEST VARS'!$T$58*(8)+'LINEST VARS'!$S$58*(8)+'LINEST VARS'!$R$58*($EK$56)+'LINEST VARS'!$Q$58*(0.5)+'LINEST VARS'!$P$58*($DV66)+'LINEST VARS'!$O$58*(8^2)+'LINEST VARS'!$N$58*(8^2)+'LINEST VARS'!$M$58*($EK$56^2)+'LINEST VARS'!$L$58*(0.5^2)+'LINEST VARS'!$K$58*($DV66^2)+'LINEST VARS'!$J$58*(8*8)+'LINEST VARS'!$I$58*(8*$EK$56)+'LINEST VARS'!$H$58*(8*0.5)+'LINEST VARS'!$G$58*(8*$DV66)+'LINEST VARS'!$F$58*(8*$EK$56)+'LINEST VARS'!$E$58*(8*0.5)+'LINEST VARS'!$D$58*(8*$DV66)+'LINEST VARS'!$C$58*($EK$56*0.5)+'LINEST VARS'!$B$58*($EK$56*$DV66)+'LINEST VARS'!$A$58*(0.5*$DV66)</f>
        <v>0.97047750000000021</v>
      </c>
      <c r="EL66" s="51">
        <f>'LINEST VARS'!$U$58+'LINEST VARS'!$T$58*(8)+'LINEST VARS'!$S$58*(8)+'LINEST VARS'!$R$58*($EL$56)+'LINEST VARS'!$Q$58*(0.5)+'LINEST VARS'!$P$58*($DV66)+'LINEST VARS'!$O$58*(8^2)+'LINEST VARS'!$N$58*(8^2)+'LINEST VARS'!$M$58*($EL$56^2)+'LINEST VARS'!$L$58*(0.5^2)+'LINEST VARS'!$K$58*($DV66^2)+'LINEST VARS'!$J$58*(8*8)+'LINEST VARS'!$I$58*(8*$EL$56)+'LINEST VARS'!$H$58*(8*0.5)+'LINEST VARS'!$G$58*(8*$DV66)+'LINEST VARS'!$F$58*(8*$EL$56)+'LINEST VARS'!$E$58*(8*0.5)+'LINEST VARS'!$D$58*(8*$DV66)+'LINEST VARS'!$C$58*($EL$56*0.5)+'LINEST VARS'!$B$58*($EL$56*$DV66)+'LINEST VARS'!$A$58*(0.5*$DV66)</f>
        <v>0.97847750000000022</v>
      </c>
      <c r="EM66" s="51">
        <f>'LINEST VARS'!$U$58+'LINEST VARS'!$T$58*(8)+'LINEST VARS'!$S$58*(8)+'LINEST VARS'!$R$58*($EM$56)+'LINEST VARS'!$Q$58*(0.5)+'LINEST VARS'!$P$58*($DV66)+'LINEST VARS'!$O$58*(8^2)+'LINEST VARS'!$N$58*(8^2)+'LINEST VARS'!$M$58*($EM$56^2)+'LINEST VARS'!$L$58*(0.5^2)+'LINEST VARS'!$K$58*($DV66^2)+'LINEST VARS'!$J$58*(8*8)+'LINEST VARS'!$I$58*(8*$EM$56)+'LINEST VARS'!$H$58*(8*0.5)+'LINEST VARS'!$G$58*(8*$DV66)+'LINEST VARS'!$F$58*(8*$EM$56)+'LINEST VARS'!$E$58*(8*0.5)+'LINEST VARS'!$D$58*(8*$DV66)+'LINEST VARS'!$C$58*($EM$56*0.5)+'LINEST VARS'!$B$58*($EM$56*$DV66)+'LINEST VARS'!$A$58*(0.5*$DV66)</f>
        <v>0.98647750000000034</v>
      </c>
      <c r="EN66" s="51">
        <f>'LINEST VARS'!$U$58+'LINEST VARS'!$T$58*(8)+'LINEST VARS'!$S$58*(8)+'LINEST VARS'!$R$58*($EN$56)+'LINEST VARS'!$Q$58*(0.5)+'LINEST VARS'!$P$58*($DV66)+'LINEST VARS'!$O$58*(8^2)+'LINEST VARS'!$N$58*(8^2)+'LINEST VARS'!$M$58*($EN$56^2)+'LINEST VARS'!$L$58*(0.5^2)+'LINEST VARS'!$K$58*($DV66^2)+'LINEST VARS'!$J$58*(8*8)+'LINEST VARS'!$I$58*(8*$EN$56)+'LINEST VARS'!$H$58*(8*0.5)+'LINEST VARS'!$G$58*(8*$DV66)+'LINEST VARS'!$F$58*(8*$EN$56)+'LINEST VARS'!$E$58*(8*0.5)+'LINEST VARS'!$D$58*(8*$DV66)+'LINEST VARS'!$C$58*($EN$56*0.5)+'LINEST VARS'!$B$58*($EN$56*$DV66)+'LINEST VARS'!$A$58*(0.5*$DV66)</f>
        <v>0.99447750000000035</v>
      </c>
      <c r="EO66" s="51">
        <f>'LINEST VARS'!$U$58+'LINEST VARS'!$T$58*(8)+'LINEST VARS'!$S$58*(8)+'LINEST VARS'!$R$58*($EO$56)+'LINEST VARS'!$Q$58*(0.5)+'LINEST VARS'!$P$58*($DV66)+'LINEST VARS'!$O$58*(8^2)+'LINEST VARS'!$N$58*(8^2)+'LINEST VARS'!$M$58*($EO$56^2)+'LINEST VARS'!$L$58*(0.5^2)+'LINEST VARS'!$K$58*($DV66^2)+'LINEST VARS'!$J$58*(8*8)+'LINEST VARS'!$I$58*(8*$EO$56)+'LINEST VARS'!$H$58*(8*0.5)+'LINEST VARS'!$G$58*(8*$DV66)+'LINEST VARS'!$F$58*(8*$EO$56)+'LINEST VARS'!$E$58*(8*0.5)+'LINEST VARS'!$D$58*(8*$DV66)+'LINEST VARS'!$C$58*($EO$56*0.5)+'LINEST VARS'!$B$58*($EO$56*$DV66)+'LINEST VARS'!$A$58*(0.5*$DV66)</f>
        <v>1.0024775000000001</v>
      </c>
      <c r="EP66" s="51">
        <f>'LINEST VARS'!$U$58+'LINEST VARS'!$T$58*(8)+'LINEST VARS'!$S$58*(8)+'LINEST VARS'!$R$58*($EP$56)+'LINEST VARS'!$Q$58*(0.5)+'LINEST VARS'!$P$58*($DV66)+'LINEST VARS'!$O$58*(8^2)+'LINEST VARS'!$N$58*(8^2)+'LINEST VARS'!$M$58*($EP$56^2)+'LINEST VARS'!$L$58*(0.5^2)+'LINEST VARS'!$K$58*($DV66^2)+'LINEST VARS'!$J$58*(8*8)+'LINEST VARS'!$I$58*(8*$EP$56)+'LINEST VARS'!$H$58*(8*0.5)+'LINEST VARS'!$G$58*(8*$DV66)+'LINEST VARS'!$F$58*(8*$EP$56)+'LINEST VARS'!$E$58*(8*0.5)+'LINEST VARS'!$D$58*(8*$DV66)+'LINEST VARS'!$C$58*($EP$56*0.5)+'LINEST VARS'!$B$58*($EP$56*$DV66)+'LINEST VARS'!$A$58*(0.5*$DV66)</f>
        <v>1.0104775000000001</v>
      </c>
      <c r="EQ66" s="52">
        <f>'LINEST VARS'!$U$58+'LINEST VARS'!$T$58*(8)+'LINEST VARS'!$S$58*(8)+'LINEST VARS'!$R$58*($EQ$56)+'LINEST VARS'!$Q$58*(0.5)+'LINEST VARS'!$P$58*($DV66)+'LINEST VARS'!$O$58*(8^2)+'LINEST VARS'!$N$58*(8^2)+'LINEST VARS'!$M$58*($EQ$56^2)+'LINEST VARS'!$L$58*(0.5^2)+'LINEST VARS'!$K$58*($DV66^2)+'LINEST VARS'!$J$58*(8*8)+'LINEST VARS'!$I$58*(8*$EQ$56)+'LINEST VARS'!$H$58*(8*0.5)+'LINEST VARS'!$G$58*(8*$DV66)+'LINEST VARS'!$F$58*(8*$EQ$56)+'LINEST VARS'!$E$58*(8*0.5)+'LINEST VARS'!$D$58*(8*$DV66)+'LINEST VARS'!$C$58*($EQ$56*0.5)+'LINEST VARS'!$B$58*($EQ$56*$DV66)+'LINEST VARS'!$A$58*(0.5*$DV66)</f>
        <v>1.0184775000000004</v>
      </c>
    </row>
    <row r="67" spans="2:147" ht="15" customHeight="1" x14ac:dyDescent="0.25">
      <c r="B67" s="45">
        <v>8</v>
      </c>
      <c r="C67" s="51">
        <f>'LINEST VARS'!$U$56+'LINEST VARS'!$T$56*($C$56)+'LINEST VARS'!$S$56*($B67)+'LINEST VARS'!$R$56*(4)+'LINEST VARS'!$Q$56*(0.5)+'LINEST VARS'!$P$56*(12.73)+'LINEST VARS'!$O$56*($C$56^2)+'LINEST VARS'!$N$56*($B67^2)+'LINEST VARS'!$M$56*(4^2)+'LINEST VARS'!$L$56*(0.5^2)+'LINEST VARS'!$K$56*(12.73^2)+'LINEST VARS'!$J$56*($C$56*$B67)+'LINEST VARS'!$I$56*($C$56*4)+'LINEST VARS'!$H$56*($C$56*0.5)+'LINEST VARS'!$G$56*($C$56*12.73)+'LINEST VARS'!$F$56*($B67*4)+'LINEST VARS'!$E$56*($B67*0.5)+'LINEST VARS'!$D$56*($B67*12.73)+'LINEST VARS'!$C$56*(4*0.5)+'LINEST VARS'!$B$56*(4*12.73)+'LINEST VARS'!$A$56*(0.5*12.73)</f>
        <v>2.8400000000000012</v>
      </c>
      <c r="D67" s="51">
        <f>'LINEST VARS'!$U$56+'LINEST VARS'!$T$56*($D$56)+'LINEST VARS'!$S$56*($B67)+'LINEST VARS'!$R$56*(4)+'LINEST VARS'!$Q$56*(0.5)+'LINEST VARS'!$P$56*(12.73)+'LINEST VARS'!$O$56*($D$56^2)+'LINEST VARS'!$N$56*($B67^2)+'LINEST VARS'!$M$56*(4^2)+'LINEST VARS'!$L$56*(0.5^2)+'LINEST VARS'!$K$56*(12.73^2)+'LINEST VARS'!$J$56*($D$56*$B67)+'LINEST VARS'!$I$56*($D$56*4)+'LINEST VARS'!$H$56*($D$56*0.5)+'LINEST VARS'!$G$56*($D$56*12.73)+'LINEST VARS'!$F$56*($B67*4)+'LINEST VARS'!$E$56*($B67*0.5)+'LINEST VARS'!$D$56*($B67*12.73)+'LINEST VARS'!$C$56*(4*0.5)+'LINEST VARS'!$B$56*(4*12.73)+'LINEST VARS'!$A$56*(0.5*12.73)</f>
        <v>2.8400000000000012</v>
      </c>
      <c r="E67" s="51">
        <f>'LINEST VARS'!$U$56+'LINEST VARS'!$T$56*($E$56)+'LINEST VARS'!$S$56*($B67)+'LINEST VARS'!$R$56*(4)+'LINEST VARS'!$Q$56*(0.5)+'LINEST VARS'!$P$56*(12.73)+'LINEST VARS'!$O$56*($E$56^2)+'LINEST VARS'!$N$56*($B67^2)+'LINEST VARS'!$M$56*(4^2)+'LINEST VARS'!$L$56*(0.5^2)+'LINEST VARS'!$K$56*(12.73^2)+'LINEST VARS'!$J$56*($E$56*$B67)+'LINEST VARS'!$I$56*($E$56*4)+'LINEST VARS'!$H$56*($E$56*0.5)+'LINEST VARS'!$G$56*($E$56*12.73)+'LINEST VARS'!$F$56*($B67*4)+'LINEST VARS'!$E$56*($B67*0.5)+'LINEST VARS'!$D$56*($B67*12.73)+'LINEST VARS'!$C$56*(4*0.5)+'LINEST VARS'!$B$56*(4*12.73)+'LINEST VARS'!$A$56*(0.5*12.73)</f>
        <v>2.8400000000000012</v>
      </c>
      <c r="F67" s="51">
        <f>'LINEST VARS'!$U$56+'LINEST VARS'!$T$56*($F$56)+'LINEST VARS'!$S$56*($B67)+'LINEST VARS'!$R$56*(4)+'LINEST VARS'!$Q$56*(0.5)+'LINEST VARS'!$P$56*(12.73)+'LINEST VARS'!$O$56*($F$56^2)+'LINEST VARS'!$N$56*($B67^2)+'LINEST VARS'!$M$56*(4^2)+'LINEST VARS'!$L$56*(0.5^2)+'LINEST VARS'!$K$56*(12.73^2)+'LINEST VARS'!$J$56*($F$56*$B67)+'LINEST VARS'!$I$56*($F$56*4)+'LINEST VARS'!$H$56*($F$56*0.5)+'LINEST VARS'!$G$56*($F$56*12.73)+'LINEST VARS'!$F$56*($B67*4)+'LINEST VARS'!$E$56*($B67*0.5)+'LINEST VARS'!$D$56*($B67*12.73)+'LINEST VARS'!$C$56*(4*0.5)+'LINEST VARS'!$B$56*(4*12.73)+'LINEST VARS'!$A$56*(0.5*12.73)</f>
        <v>2.8400000000000012</v>
      </c>
      <c r="G67" s="51">
        <f>'LINEST VARS'!$U$56+'LINEST VARS'!$T$56*($G$56)+'LINEST VARS'!$S$56*($B67)+'LINEST VARS'!$R$56*(4)+'LINEST VARS'!$Q$56*(0.5)+'LINEST VARS'!$P$56*(12.73)+'LINEST VARS'!$O$56*($G$56^2)+'LINEST VARS'!$N$56*($B67^2)+'LINEST VARS'!$M$56*(4^2)+'LINEST VARS'!$L$56*(0.5^2)+'LINEST VARS'!$K$56*(12.73^2)+'LINEST VARS'!$J$56*($G$56*$B67)+'LINEST VARS'!$I$56*($G$56*4)+'LINEST VARS'!$H$56*($G$56*0.5)+'LINEST VARS'!$G$56*($G$56*12.73)+'LINEST VARS'!$F$56*($B67*4)+'LINEST VARS'!$E$56*($B67*0.5)+'LINEST VARS'!$D$56*($B67*12.73)+'LINEST VARS'!$C$56*(4*0.5)+'LINEST VARS'!$B$56*(4*12.73)+'LINEST VARS'!$A$56*(0.5*12.73)</f>
        <v>2.8400000000000012</v>
      </c>
      <c r="H67" s="51">
        <f>'LINEST VARS'!$U$56+'LINEST VARS'!$T$56*($H$56)+'LINEST VARS'!$S$56*($B67)+'LINEST VARS'!$R$56*(4)+'LINEST VARS'!$Q$56*(0.5)+'LINEST VARS'!$P$56*(12.73)+'LINEST VARS'!$O$56*($H$56^2)+'LINEST VARS'!$N$56*($B67^2)+'LINEST VARS'!$M$56*(4^2)+'LINEST VARS'!$L$56*(0.5^2)+'LINEST VARS'!$K$56*(12.73^2)+'LINEST VARS'!$J$56*($H$56*$B67)+'LINEST VARS'!$I$56*($H$56*4)+'LINEST VARS'!$H$56*($H$56*0.5)+'LINEST VARS'!$G$56*($H$56*12.73)+'LINEST VARS'!$F$56*($B67*4)+'LINEST VARS'!$E$56*($B67*0.5)+'LINEST VARS'!$D$56*($B67*12.73)+'LINEST VARS'!$C$56*(4*0.5)+'LINEST VARS'!$B$56*(4*12.73)+'LINEST VARS'!$A$56*(0.5*12.73)</f>
        <v>2.8400000000000012</v>
      </c>
      <c r="I67" s="51">
        <f>'LINEST VARS'!$U$56+'LINEST VARS'!$T$56*($I$56)+'LINEST VARS'!$S$56*($B67)+'LINEST VARS'!$R$56*(4)+'LINEST VARS'!$Q$56*(0.5)+'LINEST VARS'!$P$56*(12.73)+'LINEST VARS'!$O$56*($I$56^2)+'LINEST VARS'!$N$56*($B67^2)+'LINEST VARS'!$M$56*(4^2)+'LINEST VARS'!$L$56*(0.5^2)+'LINEST VARS'!$K$56*(12.73^2)+'LINEST VARS'!$J$56*($I$56*$B67)+'LINEST VARS'!$I$56*($I$56*4)+'LINEST VARS'!$H$56*($I$56*0.5)+'LINEST VARS'!$G$56*($I$56*12.73)+'LINEST VARS'!$F$56*($B67*4)+'LINEST VARS'!$E$56*($B67*0.5)+'LINEST VARS'!$D$56*($B67*12.73)+'LINEST VARS'!$C$56*(4*0.5)+'LINEST VARS'!$B$56*(4*12.73)+'LINEST VARS'!$A$56*(0.5*12.73)</f>
        <v>2.8400000000000012</v>
      </c>
      <c r="J67" s="51">
        <f>'LINEST VARS'!$U$56+'LINEST VARS'!$T$56*($J$56)+'LINEST VARS'!$S$56*($B67)+'LINEST VARS'!$R$56*(4)+'LINEST VARS'!$Q$56*(0.5)+'LINEST VARS'!$P$56*(12.73)+'LINEST VARS'!$O$56*($J$56^2)+'LINEST VARS'!$N$56*($B67^2)+'LINEST VARS'!$M$56*(4^2)+'LINEST VARS'!$L$56*(0.5^2)+'LINEST VARS'!$K$56*(12.73^2)+'LINEST VARS'!$J$56*($J$56*$B67)+'LINEST VARS'!$I$56*($J$56*4)+'LINEST VARS'!$H$56*($J$56*0.5)+'LINEST VARS'!$G$56*($J$56*12.73)+'LINEST VARS'!$F$56*($B67*4)+'LINEST VARS'!$E$56*($B67*0.5)+'LINEST VARS'!$D$56*($B67*12.73)+'LINEST VARS'!$C$56*(4*0.5)+'LINEST VARS'!$B$56*(4*12.73)+'LINEST VARS'!$A$56*(0.5*12.73)</f>
        <v>2.8400000000000012</v>
      </c>
      <c r="K67" s="51">
        <f>'LINEST VARS'!$U$56+'LINEST VARS'!$T$56*($K$56)+'LINEST VARS'!$S$56*($B67)+'LINEST VARS'!$R$56*(4)+'LINEST VARS'!$Q$56*(0.5)+'LINEST VARS'!$P$56*(12.73)+'LINEST VARS'!$O$56*($K$56^2)+'LINEST VARS'!$N$56*($B67^2)+'LINEST VARS'!$M$56*(4^2)+'LINEST VARS'!$L$56*(0.5^2)+'LINEST VARS'!$K$56*(12.73^2)+'LINEST VARS'!$J$56*($K$56*$B67)+'LINEST VARS'!$I$56*($K$56*4)+'LINEST VARS'!$H$56*($K$56*0.5)+'LINEST VARS'!$G$56*($K$56*12.73)+'LINEST VARS'!$F$56*($B67*4)+'LINEST VARS'!$E$56*($B67*0.5)+'LINEST VARS'!$D$56*($B67*12.73)+'LINEST VARS'!$C$56*(4*0.5)+'LINEST VARS'!$B$56*(4*12.73)+'LINEST VARS'!$A$56*(0.5*12.73)</f>
        <v>2.8400000000000007</v>
      </c>
      <c r="L67" s="51">
        <f>'LINEST VARS'!$U$56+'LINEST VARS'!$T$56*($L$56)+'LINEST VARS'!$S$56*($B67)+'LINEST VARS'!$R$56*(4)+'LINEST VARS'!$Q$56*(0.5)+'LINEST VARS'!$P$56*(12.73)+'LINEST VARS'!$O$56*($L$56^2)+'LINEST VARS'!$N$56*($B67^2)+'LINEST VARS'!$M$56*(4^2)+'LINEST VARS'!$L$56*(0.5^2)+'LINEST VARS'!$K$56*(12.73^2)+'LINEST VARS'!$J$56*($L$56*$B67)+'LINEST VARS'!$I$56*($L$56*4)+'LINEST VARS'!$H$56*($L$56*0.5)+'LINEST VARS'!$G$56*($L$56*12.73)+'LINEST VARS'!$F$56*($B67*4)+'LINEST VARS'!$E$56*($B67*0.5)+'LINEST VARS'!$D$56*($B67*12.73)+'LINEST VARS'!$C$56*(4*0.5)+'LINEST VARS'!$B$56*(4*12.73)+'LINEST VARS'!$A$56*(0.5*12.73)</f>
        <v>2.8400000000000007</v>
      </c>
      <c r="M67" s="51">
        <f>'LINEST VARS'!$U$56+'LINEST VARS'!$T$56*($M$56)+'LINEST VARS'!$S$56*($B67)+'LINEST VARS'!$R$56*(4)+'LINEST VARS'!$Q$56*(0.5)+'LINEST VARS'!$P$56*(12.73)+'LINEST VARS'!$O$56*($M$56^2)+'LINEST VARS'!$N$56*($B67^2)+'LINEST VARS'!$M$56*(4^2)+'LINEST VARS'!$L$56*(0.5^2)+'LINEST VARS'!$K$56*(12.73^2)+'LINEST VARS'!$J$56*($M$56*$B67)+'LINEST VARS'!$I$56*($M$56*4)+'LINEST VARS'!$H$56*($M$56*0.5)+'LINEST VARS'!$G$56*($M$56*12.73)+'LINEST VARS'!$F$56*($B67*4)+'LINEST VARS'!$E$56*($B67*0.5)+'LINEST VARS'!$D$56*($B67*12.73)+'LINEST VARS'!$C$56*(4*0.5)+'LINEST VARS'!$B$56*(4*12.73)+'LINEST VARS'!$A$56*(0.5*12.73)</f>
        <v>2.8400000000000007</v>
      </c>
      <c r="N67" s="51">
        <f>'LINEST VARS'!$U$56+'LINEST VARS'!$T$56*($N$56)+'LINEST VARS'!$S$56*($B67)+'LINEST VARS'!$R$56*(4)+'LINEST VARS'!$Q$56*(0.5)+'LINEST VARS'!$P$56*(12.73)+'LINEST VARS'!$O$56*($N$56^2)+'LINEST VARS'!$N$56*($B67^2)+'LINEST VARS'!$M$56*(4^2)+'LINEST VARS'!$L$56*(0.5^2)+'LINEST VARS'!$K$56*(12.73^2)+'LINEST VARS'!$J$56*($N$56*$B67)+'LINEST VARS'!$I$56*($N$56*4)+'LINEST VARS'!$H$56*($N$56*0.5)+'LINEST VARS'!$G$56*($N$56*12.73)+'LINEST VARS'!$F$56*($B67*4)+'LINEST VARS'!$E$56*($B67*0.5)+'LINEST VARS'!$D$56*($B67*12.73)+'LINEST VARS'!$C$56*(4*0.5)+'LINEST VARS'!$B$56*(4*12.73)+'LINEST VARS'!$A$56*(0.5*12.73)</f>
        <v>2.8400000000000007</v>
      </c>
      <c r="O67" s="51">
        <f>'LINEST VARS'!$U$56+'LINEST VARS'!$T$56*($O$56)+'LINEST VARS'!$S$56*($B67)+'LINEST VARS'!$R$56*(4)+'LINEST VARS'!$Q$56*(0.5)+'LINEST VARS'!$P$56*(12.73)+'LINEST VARS'!$O$56*($O$56^2)+'LINEST VARS'!$N$56*($B67^2)+'LINEST VARS'!$M$56*(4^2)+'LINEST VARS'!$L$56*(0.5^2)+'LINEST VARS'!$K$56*(12.73^2)+'LINEST VARS'!$J$56*($O$56*$B67)+'LINEST VARS'!$I$56*($O$56*4)+'LINEST VARS'!$H$56*($O$56*0.5)+'LINEST VARS'!$G$56*($O$56*12.73)+'LINEST VARS'!$F$56*($B67*4)+'LINEST VARS'!$E$56*($B67*0.5)+'LINEST VARS'!$D$56*($B67*12.73)+'LINEST VARS'!$C$56*(4*0.5)+'LINEST VARS'!$B$56*(4*12.73)+'LINEST VARS'!$A$56*(0.5*12.73)</f>
        <v>2.8400000000000007</v>
      </c>
      <c r="P67" s="51">
        <f>'LINEST VARS'!$U$56+'LINEST VARS'!$T$56*($P$56)+'LINEST VARS'!$S$56*($B67)+'LINEST VARS'!$R$56*(4)+'LINEST VARS'!$Q$56*(0.5)+'LINEST VARS'!$P$56*(12.73)+'LINEST VARS'!$O$56*($P$56^2)+'LINEST VARS'!$N$56*($B67^2)+'LINEST VARS'!$M$56*(4^2)+'LINEST VARS'!$L$56*(0.5^2)+'LINEST VARS'!$K$56*(12.73^2)+'LINEST VARS'!$J$56*($P$56*$B67)+'LINEST VARS'!$I$56*($P$56*4)+'LINEST VARS'!$H$56*($P$56*0.5)+'LINEST VARS'!$G$56*($P$56*12.73)+'LINEST VARS'!$F$56*($B67*4)+'LINEST VARS'!$E$56*($B67*0.5)+'LINEST VARS'!$D$56*($B67*12.73)+'LINEST VARS'!$C$56*(4*0.5)+'LINEST VARS'!$B$56*(4*12.73)+'LINEST VARS'!$A$56*(0.5*12.73)</f>
        <v>2.8400000000000007</v>
      </c>
      <c r="Q67" s="51">
        <f>'LINEST VARS'!$U$56+'LINEST VARS'!$T$56*($Q$56)+'LINEST VARS'!$S$56*($B67)+'LINEST VARS'!$R$56*(4)+'LINEST VARS'!$Q$56*(0.5)+'LINEST VARS'!$P$56*(12.73)+'LINEST VARS'!$O$56*($Q$56^2)+'LINEST VARS'!$N$56*($B67^2)+'LINEST VARS'!$M$56*(4^2)+'LINEST VARS'!$L$56*(0.5^2)+'LINEST VARS'!$K$56*(12.73^2)+'LINEST VARS'!$J$56*($Q$56*$B67)+'LINEST VARS'!$I$56*($Q$56*4)+'LINEST VARS'!$H$56*($Q$56*0.5)+'LINEST VARS'!$G$56*($Q$56*12.73)+'LINEST VARS'!$F$56*($B67*4)+'LINEST VARS'!$E$56*($B67*0.5)+'LINEST VARS'!$D$56*($B67*12.73)+'LINEST VARS'!$C$56*(4*0.5)+'LINEST VARS'!$B$56*(4*12.73)+'LINEST VARS'!$A$56*(0.5*12.73)</f>
        <v>2.8400000000000007</v>
      </c>
      <c r="R67" s="51">
        <f>'LINEST VARS'!$U$56+'LINEST VARS'!$T$56*($R$56)+'LINEST VARS'!$S$56*($B67)+'LINEST VARS'!$R$56*(4)+'LINEST VARS'!$Q$56*(0.5)+'LINEST VARS'!$P$56*(12.73)+'LINEST VARS'!$O$56*($R$56^2)+'LINEST VARS'!$N$56*($B67^2)+'LINEST VARS'!$M$56*(4^2)+'LINEST VARS'!$L$56*(0.5^2)+'LINEST VARS'!$K$56*(12.73^2)+'LINEST VARS'!$J$56*($R$56*$B67)+'LINEST VARS'!$I$56*($R$56*4)+'LINEST VARS'!$H$56*($R$56*0.5)+'LINEST VARS'!$G$56*($R$56*12.73)+'LINEST VARS'!$F$56*($B67*4)+'LINEST VARS'!$E$56*($B67*0.5)+'LINEST VARS'!$D$56*($B67*12.73)+'LINEST VARS'!$C$56*(4*0.5)+'LINEST VARS'!$B$56*(4*12.73)+'LINEST VARS'!$A$56*(0.5*12.73)</f>
        <v>2.8400000000000007</v>
      </c>
      <c r="S67" s="51">
        <f>'LINEST VARS'!$U$56+'LINEST VARS'!$T$56*($S$56)+'LINEST VARS'!$S$56*($B67)+'LINEST VARS'!$R$56*(4)+'LINEST VARS'!$Q$56*(0.5)+'LINEST VARS'!$P$56*(12.73)+'LINEST VARS'!$O$56*($S$56^2)+'LINEST VARS'!$N$56*($B67^2)+'LINEST VARS'!$M$56*(4^2)+'LINEST VARS'!$L$56*(0.5^2)+'LINEST VARS'!$K$56*(12.73^2)+'LINEST VARS'!$J$56*($S$56*$B67)+'LINEST VARS'!$I$56*($S$56*4)+'LINEST VARS'!$H$56*($S$56*0.5)+'LINEST VARS'!$G$56*($S$56*12.73)+'LINEST VARS'!$F$56*($B67*4)+'LINEST VARS'!$E$56*($B67*0.5)+'LINEST VARS'!$D$56*($B67*12.73)+'LINEST VARS'!$C$56*(4*0.5)+'LINEST VARS'!$B$56*(4*12.73)+'LINEST VARS'!$A$56*(0.5*12.73)</f>
        <v>2.8400000000000007</v>
      </c>
      <c r="T67" s="51">
        <f>'LINEST VARS'!$U$56+'LINEST VARS'!$T$56*($T$56)+'LINEST VARS'!$S$56*($B67)+'LINEST VARS'!$R$56*(4)+'LINEST VARS'!$Q$56*(0.5)+'LINEST VARS'!$P$56*(12.73)+'LINEST VARS'!$O$56*($T$56^2)+'LINEST VARS'!$N$56*($B67^2)+'LINEST VARS'!$M$56*(4^2)+'LINEST VARS'!$L$56*(0.5^2)+'LINEST VARS'!$K$56*(12.73^2)+'LINEST VARS'!$J$56*($T$56*$B67)+'LINEST VARS'!$I$56*($T$56*4)+'LINEST VARS'!$H$56*($T$56*0.5)+'LINEST VARS'!$G$56*($T$56*12.73)+'LINEST VARS'!$F$56*($B67*4)+'LINEST VARS'!$E$56*($B67*0.5)+'LINEST VARS'!$D$56*($B67*12.73)+'LINEST VARS'!$C$56*(4*0.5)+'LINEST VARS'!$B$56*(4*12.73)+'LINEST VARS'!$A$56*(0.5*12.73)</f>
        <v>2.8400000000000007</v>
      </c>
      <c r="U67" s="51">
        <f>'LINEST VARS'!$U$56+'LINEST VARS'!$T$56*($U$56)+'LINEST VARS'!$S$56*($B67)+'LINEST VARS'!$R$56*(4)+'LINEST VARS'!$Q$56*(0.5)+'LINEST VARS'!$P$56*(12.73)+'LINEST VARS'!$O$56*($U$56^2)+'LINEST VARS'!$N$56*($B67^2)+'LINEST VARS'!$M$56*(4^2)+'LINEST VARS'!$L$56*(0.5^2)+'LINEST VARS'!$K$56*(12.73^2)+'LINEST VARS'!$J$56*($U$56*$B67)+'LINEST VARS'!$I$56*($U$56*4)+'LINEST VARS'!$H$56*($U$56*0.5)+'LINEST VARS'!$G$56*($U$56*12.73)+'LINEST VARS'!$F$56*($B67*4)+'LINEST VARS'!$E$56*($B67*0.5)+'LINEST VARS'!$D$56*($B67*12.73)+'LINEST VARS'!$C$56*(4*0.5)+'LINEST VARS'!$B$56*(4*12.73)+'LINEST VARS'!$A$56*(0.5*12.73)</f>
        <v>2.8400000000000007</v>
      </c>
      <c r="V67" s="51">
        <f>'LINEST VARS'!$U$56+'LINEST VARS'!$T$56*($V$56)+'LINEST VARS'!$S$56*($B67)+'LINEST VARS'!$R$56*(4)+'LINEST VARS'!$Q$56*(0.5)+'LINEST VARS'!$P$56*(12.73)+'LINEST VARS'!$O$56*($V$56^2)+'LINEST VARS'!$N$56*($B67^2)+'LINEST VARS'!$M$56*(4^2)+'LINEST VARS'!$L$56*(0.5^2)+'LINEST VARS'!$K$56*(12.73^2)+'LINEST VARS'!$J$56*($V$56*$B67)+'LINEST VARS'!$I$56*($V$56*4)+'LINEST VARS'!$H$56*($V$56*0.5)+'LINEST VARS'!$G$56*($V$56*12.73)+'LINEST VARS'!$F$56*($B67*4)+'LINEST VARS'!$E$56*($B67*0.5)+'LINEST VARS'!$D$56*($B67*12.73)+'LINEST VARS'!$C$56*(4*0.5)+'LINEST VARS'!$B$56*(4*12.73)+'LINEST VARS'!$A$56*(0.5*12.73)</f>
        <v>2.8400000000000007</v>
      </c>
      <c r="W67" s="52">
        <f>'LINEST VARS'!$U$56+'LINEST VARS'!$T$56*($W$56)+'LINEST VARS'!$S$56*($B67)+'LINEST VARS'!$R$56*(4)+'LINEST VARS'!$Q$56*(0.5)+'LINEST VARS'!$P$56*(12.73)+'LINEST VARS'!$O$56*($W$56^2)+'LINEST VARS'!$N$56*($B67^2)+'LINEST VARS'!$M$56*(4^2)+'LINEST VARS'!$L$56*(0.5^2)+'LINEST VARS'!$K$56*(12.73^2)+'LINEST VARS'!$J$56*($W$56*$B67)+'LINEST VARS'!$I$56*($W$56*4)+'LINEST VARS'!$H$56*($W$56*0.5)+'LINEST VARS'!$G$56*($W$56*12.73)+'LINEST VARS'!$F$56*($B67*4)+'LINEST VARS'!$E$56*($B67*0.5)+'LINEST VARS'!$D$56*($B67*12.73)+'LINEST VARS'!$C$56*(4*0.5)+'LINEST VARS'!$B$56*(4*12.73)+'LINEST VARS'!$A$56*(0.5*12.73)</f>
        <v>2.8400000000000012</v>
      </c>
      <c r="Z67" s="45">
        <v>8</v>
      </c>
      <c r="AA67" s="51">
        <f>'LINEST VARS'!$U$58+'LINEST VARS'!$T$58*($AA$56)+'LINEST VARS'!$S$58*($Z67)+'LINEST VARS'!$R$58*(4)+'LINEST VARS'!$Q$58*(0.5)+'LINEST VARS'!$P$58*(12.73)+'LINEST VARS'!$O$58*($AA$56^2)+'LINEST VARS'!$N$58*($Z67^2)+'LINEST VARS'!$M$58*(4^2)+'LINEST VARS'!$L$58*(0.5^2)+'LINEST VARS'!$K$58*(12.73^2)+'LINEST VARS'!$J$58*($AA$56*$Z67)+'LINEST VARS'!$I$58*($AA$56*4)+'LINEST VARS'!$H$58*($AA$56*0.5)+'LINEST VARS'!$G$58*($AA$56*12.73)+'LINEST VARS'!$F$58*($Z67*4)+'LINEST VARS'!$E$58*($Z67*0.5)+'LINEST VARS'!$D$58*($Z67*12.73)+'LINEST VARS'!$C$58*(4*0.5)+'LINEST VARS'!$B$58*(4*12.73)+'LINEST VARS'!$A$58*(0.5*12.73)</f>
        <v>0.94365000000000032</v>
      </c>
      <c r="AB67" s="51">
        <f>'LINEST VARS'!$U$58+'LINEST VARS'!$T$58*($AB$56)+'LINEST VARS'!$S$58*($Z67)+'LINEST VARS'!$R$58*(4)+'LINEST VARS'!$Q$58*(0.5)+'LINEST VARS'!$P$58*(12.73)+'LINEST VARS'!$O$58*($AB$56^2)+'LINEST VARS'!$N$58*($Z67^2)+'LINEST VARS'!$M$58*(4^2)+'LINEST VARS'!$L$58*(0.5^2)+'LINEST VARS'!$K$58*(12.73^2)+'LINEST VARS'!$J$58*($AB$56*$Z67)+'LINEST VARS'!$I$58*($AB$56*4)+'LINEST VARS'!$H$58*($AB$56*0.5)+'LINEST VARS'!$G$58*($AB$56*12.73)+'LINEST VARS'!$F$58*($Z67*4)+'LINEST VARS'!$E$58*($Z67*0.5)+'LINEST VARS'!$D$58*($Z67*12.73)+'LINEST VARS'!$C$58*(4*0.5)+'LINEST VARS'!$B$58*(4*12.73)+'LINEST VARS'!$A$58*(0.5*12.73)</f>
        <v>0.94365000000000032</v>
      </c>
      <c r="AC67" s="51">
        <f>'LINEST VARS'!$U$58+'LINEST VARS'!$T$58*($AC$56)+'LINEST VARS'!$S$58*($Z67)+'LINEST VARS'!$R$58*(4)+'LINEST VARS'!$Q$58*(0.5)+'LINEST VARS'!$P$58*(12.73)+'LINEST VARS'!$O$58*($AC$56^2)+'LINEST VARS'!$N$58*($Z67^2)+'LINEST VARS'!$M$58*(4^2)+'LINEST VARS'!$L$58*(0.5^2)+'LINEST VARS'!$K$58*(12.73^2)+'LINEST VARS'!$J$58*($AC$56*$Z67)+'LINEST VARS'!$I$58*($AC$56*4)+'LINEST VARS'!$H$58*($AC$56*0.5)+'LINEST VARS'!$G$58*($AC$56*12.73)+'LINEST VARS'!$F$58*($Z67*4)+'LINEST VARS'!$E$58*($Z67*0.5)+'LINEST VARS'!$D$58*($Z67*12.73)+'LINEST VARS'!$C$58*(4*0.5)+'LINEST VARS'!$B$58*(4*12.73)+'LINEST VARS'!$A$58*(0.5*12.73)</f>
        <v>0.94365000000000032</v>
      </c>
      <c r="AD67" s="51">
        <f>'LINEST VARS'!$U$58+'LINEST VARS'!$T$58*($AD$56)+'LINEST VARS'!$S$58*($Z67)+'LINEST VARS'!$R$58*(4)+'LINEST VARS'!$Q$58*(0.5)+'LINEST VARS'!$P$58*(12.73)+'LINEST VARS'!$O$58*($AD$56^2)+'LINEST VARS'!$N$58*($Z67^2)+'LINEST VARS'!$M$58*(4^2)+'LINEST VARS'!$L$58*(0.5^2)+'LINEST VARS'!$K$58*(12.73^2)+'LINEST VARS'!$J$58*($AD$56*$Z67)+'LINEST VARS'!$I$58*($AD$56*4)+'LINEST VARS'!$H$58*($AD$56*0.5)+'LINEST VARS'!$G$58*($AD$56*12.73)+'LINEST VARS'!$F$58*($Z67*4)+'LINEST VARS'!$E$58*($Z67*0.5)+'LINEST VARS'!$D$58*($Z67*12.73)+'LINEST VARS'!$C$58*(4*0.5)+'LINEST VARS'!$B$58*(4*12.73)+'LINEST VARS'!$A$58*(0.5*12.73)</f>
        <v>0.94365000000000032</v>
      </c>
      <c r="AE67" s="51">
        <f>'LINEST VARS'!$U$58+'LINEST VARS'!$T$58*($AE$56)+'LINEST VARS'!$S$58*($Z67)+'LINEST VARS'!$R$58*(4)+'LINEST VARS'!$Q$58*(0.5)+'LINEST VARS'!$P$58*(12.73)+'LINEST VARS'!$O$58*($AE$56^2)+'LINEST VARS'!$N$58*($Z67^2)+'LINEST VARS'!$M$58*(4^2)+'LINEST VARS'!$L$58*(0.5^2)+'LINEST VARS'!$K$58*(12.73^2)+'LINEST VARS'!$J$58*($AE$56*$Z67)+'LINEST VARS'!$I$58*($AE$56*4)+'LINEST VARS'!$H$58*($AE$56*0.5)+'LINEST VARS'!$G$58*($AE$56*12.73)+'LINEST VARS'!$F$58*($Z67*4)+'LINEST VARS'!$E$58*($Z67*0.5)+'LINEST VARS'!$D$58*($Z67*12.73)+'LINEST VARS'!$C$58*(4*0.5)+'LINEST VARS'!$B$58*(4*12.73)+'LINEST VARS'!$A$58*(0.5*12.73)</f>
        <v>0.94365000000000032</v>
      </c>
      <c r="AF67" s="51">
        <f>'LINEST VARS'!$U$58+'LINEST VARS'!$T$58*($AF$56)+'LINEST VARS'!$S$58*($Z67)+'LINEST VARS'!$R$58*(4)+'LINEST VARS'!$Q$58*(0.5)+'LINEST VARS'!$P$58*(12.73)+'LINEST VARS'!$O$58*($AF$56^2)+'LINEST VARS'!$N$58*($Z67^2)+'LINEST VARS'!$M$58*(4^2)+'LINEST VARS'!$L$58*(0.5^2)+'LINEST VARS'!$K$58*(12.73^2)+'LINEST VARS'!$J$58*($AF$56*$Z67)+'LINEST VARS'!$I$58*($AF$56*4)+'LINEST VARS'!$H$58*($AF$56*0.5)+'LINEST VARS'!$G$58*($AF$56*12.73)+'LINEST VARS'!$F$58*($Z67*4)+'LINEST VARS'!$E$58*($Z67*0.5)+'LINEST VARS'!$D$58*($Z67*12.73)+'LINEST VARS'!$C$58*(4*0.5)+'LINEST VARS'!$B$58*(4*12.73)+'LINEST VARS'!$A$58*(0.5*12.73)</f>
        <v>0.94365000000000032</v>
      </c>
      <c r="AG67" s="51">
        <f>'LINEST VARS'!$U$58+'LINEST VARS'!$T$58*($AG$56)+'LINEST VARS'!$S$58*($Z67)+'LINEST VARS'!$R$58*(4)+'LINEST VARS'!$Q$58*(0.5)+'LINEST VARS'!$P$58*(12.73)+'LINEST VARS'!$O$58*($AG$56^2)+'LINEST VARS'!$N$58*($Z67^2)+'LINEST VARS'!$M$58*(4^2)+'LINEST VARS'!$L$58*(0.5^2)+'LINEST VARS'!$K$58*(12.73^2)+'LINEST VARS'!$J$58*($AG$56*$Z67)+'LINEST VARS'!$I$58*($AG$56*4)+'LINEST VARS'!$H$58*($AG$56*0.5)+'LINEST VARS'!$G$58*($AG$56*12.73)+'LINEST VARS'!$F$58*($Z67*4)+'LINEST VARS'!$E$58*($Z67*0.5)+'LINEST VARS'!$D$58*($Z67*12.73)+'LINEST VARS'!$C$58*(4*0.5)+'LINEST VARS'!$B$58*(4*12.73)+'LINEST VARS'!$A$58*(0.5*12.73)</f>
        <v>0.94365000000000032</v>
      </c>
      <c r="AH67" s="51">
        <f>'LINEST VARS'!$U$58+'LINEST VARS'!$T$58*($AH$56)+'LINEST VARS'!$S$58*($Z67)+'LINEST VARS'!$R$58*(4)+'LINEST VARS'!$Q$58*(0.5)+'LINEST VARS'!$P$58*(12.73)+'LINEST VARS'!$O$58*($AH$56^2)+'LINEST VARS'!$N$58*($Z67^2)+'LINEST VARS'!$M$58*(4^2)+'LINEST VARS'!$L$58*(0.5^2)+'LINEST VARS'!$K$58*(12.73^2)+'LINEST VARS'!$J$58*($AH$56*$Z67)+'LINEST VARS'!$I$58*($AH$56*4)+'LINEST VARS'!$H$58*($AH$56*0.5)+'LINEST VARS'!$G$58*($AH$56*12.73)+'LINEST VARS'!$F$58*($Z67*4)+'LINEST VARS'!$E$58*($Z67*0.5)+'LINEST VARS'!$D$58*($Z67*12.73)+'LINEST VARS'!$C$58*(4*0.5)+'LINEST VARS'!$B$58*(4*12.73)+'LINEST VARS'!$A$58*(0.5*12.73)</f>
        <v>0.94365000000000032</v>
      </c>
      <c r="AI67" s="51">
        <f>'LINEST VARS'!$U$58+'LINEST VARS'!$T$58*($AI$56)+'LINEST VARS'!$S$58*($Z67)+'LINEST VARS'!$R$58*(4)+'LINEST VARS'!$Q$58*(0.5)+'LINEST VARS'!$P$58*(12.73)+'LINEST VARS'!$O$58*($AI$56^2)+'LINEST VARS'!$N$58*($Z67^2)+'LINEST VARS'!$M$58*(4^2)+'LINEST VARS'!$L$58*(0.5^2)+'LINEST VARS'!$K$58*(12.73^2)+'LINEST VARS'!$J$58*($AI$56*$Z67)+'LINEST VARS'!$I$58*($AI$56*4)+'LINEST VARS'!$H$58*($AI$56*0.5)+'LINEST VARS'!$G$58*($AI$56*12.73)+'LINEST VARS'!$F$58*($Z67*4)+'LINEST VARS'!$E$58*($Z67*0.5)+'LINEST VARS'!$D$58*($Z67*12.73)+'LINEST VARS'!$C$58*(4*0.5)+'LINEST VARS'!$B$58*(4*12.73)+'LINEST VARS'!$A$58*(0.5*12.73)</f>
        <v>0.94365000000000021</v>
      </c>
      <c r="AJ67" s="51">
        <f>'LINEST VARS'!$U$58+'LINEST VARS'!$T$58*($AJ$56)+'LINEST VARS'!$S$58*($Z67)+'LINEST VARS'!$R$58*(4)+'LINEST VARS'!$Q$58*(0.5)+'LINEST VARS'!$P$58*(12.73)+'LINEST VARS'!$O$58*($AJ$56^2)+'LINEST VARS'!$N$58*($Z67^2)+'LINEST VARS'!$M$58*(4^2)+'LINEST VARS'!$L$58*(0.5^2)+'LINEST VARS'!$K$58*(12.73^2)+'LINEST VARS'!$J$58*($AJ$56*$Z67)+'LINEST VARS'!$I$58*($AJ$56*4)+'LINEST VARS'!$H$58*($AJ$56*0.5)+'LINEST VARS'!$G$58*($AJ$56*12.73)+'LINEST VARS'!$F$58*($Z67*4)+'LINEST VARS'!$E$58*($Z67*0.5)+'LINEST VARS'!$D$58*($Z67*12.73)+'LINEST VARS'!$C$58*(4*0.5)+'LINEST VARS'!$B$58*(4*12.73)+'LINEST VARS'!$A$58*(0.5*12.73)</f>
        <v>0.94365000000000032</v>
      </c>
      <c r="AK67" s="51">
        <f>'LINEST VARS'!$U$58+'LINEST VARS'!$T$58*($AK$56)+'LINEST VARS'!$S$58*($Z67)+'LINEST VARS'!$R$58*(4)+'LINEST VARS'!$Q$58*(0.5)+'LINEST VARS'!$P$58*(12.73)+'LINEST VARS'!$O$58*($AK$56^2)+'LINEST VARS'!$N$58*($Z67^2)+'LINEST VARS'!$M$58*(4^2)+'LINEST VARS'!$L$58*(0.5^2)+'LINEST VARS'!$K$58*(12.73^2)+'LINEST VARS'!$J$58*($AK$56*$Z67)+'LINEST VARS'!$I$58*($AK$56*4)+'LINEST VARS'!$H$58*($AK$56*0.5)+'LINEST VARS'!$G$58*($AK$56*12.73)+'LINEST VARS'!$F$58*($Z67*4)+'LINEST VARS'!$E$58*($Z67*0.5)+'LINEST VARS'!$D$58*($Z67*12.73)+'LINEST VARS'!$C$58*(4*0.5)+'LINEST VARS'!$B$58*(4*12.73)+'LINEST VARS'!$A$58*(0.5*12.73)</f>
        <v>0.94365000000000032</v>
      </c>
      <c r="AL67" s="51">
        <f>'LINEST VARS'!$U$58+'LINEST VARS'!$T$58*($AL$56)+'LINEST VARS'!$S$58*($Z67)+'LINEST VARS'!$R$58*(4)+'LINEST VARS'!$Q$58*(0.5)+'LINEST VARS'!$P$58*(12.73)+'LINEST VARS'!$O$58*($AL$56^2)+'LINEST VARS'!$N$58*($Z67^2)+'LINEST VARS'!$M$58*(4^2)+'LINEST VARS'!$L$58*(0.5^2)+'LINEST VARS'!$K$58*(12.73^2)+'LINEST VARS'!$J$58*($AL$56*$Z67)+'LINEST VARS'!$I$58*($AL$56*4)+'LINEST VARS'!$H$58*($AL$56*0.5)+'LINEST VARS'!$G$58*($AL$56*12.73)+'LINEST VARS'!$F$58*($Z67*4)+'LINEST VARS'!$E$58*($Z67*0.5)+'LINEST VARS'!$D$58*($Z67*12.73)+'LINEST VARS'!$C$58*(4*0.5)+'LINEST VARS'!$B$58*(4*12.73)+'LINEST VARS'!$A$58*(0.5*12.73)</f>
        <v>0.94365000000000032</v>
      </c>
      <c r="AM67" s="51">
        <f>'LINEST VARS'!$U$58+'LINEST VARS'!$T$58*($AM$56)+'LINEST VARS'!$S$58*($Z67)+'LINEST VARS'!$R$58*(4)+'LINEST VARS'!$Q$58*(0.5)+'LINEST VARS'!$P$58*(12.73)+'LINEST VARS'!$O$58*($AM$56^2)+'LINEST VARS'!$N$58*($Z67^2)+'LINEST VARS'!$M$58*(4^2)+'LINEST VARS'!$L$58*(0.5^2)+'LINEST VARS'!$K$58*(12.73^2)+'LINEST VARS'!$J$58*($AM$56*$Z67)+'LINEST VARS'!$I$58*($AM$56*4)+'LINEST VARS'!$H$58*($AM$56*0.5)+'LINEST VARS'!$G$58*($AM$56*12.73)+'LINEST VARS'!$F$58*($Z67*4)+'LINEST VARS'!$E$58*($Z67*0.5)+'LINEST VARS'!$D$58*($Z67*12.73)+'LINEST VARS'!$C$58*(4*0.5)+'LINEST VARS'!$B$58*(4*12.73)+'LINEST VARS'!$A$58*(0.5*12.73)</f>
        <v>0.94365000000000021</v>
      </c>
      <c r="AN67" s="51">
        <f>'LINEST VARS'!$U$58+'LINEST VARS'!$T$58*($AN$56)+'LINEST VARS'!$S$58*($Z67)+'LINEST VARS'!$R$58*(4)+'LINEST VARS'!$Q$58*(0.5)+'LINEST VARS'!$P$58*(12.73)+'LINEST VARS'!$O$58*($AN$56^2)+'LINEST VARS'!$N$58*($Z67^2)+'LINEST VARS'!$M$58*(4^2)+'LINEST VARS'!$L$58*(0.5^2)+'LINEST VARS'!$K$58*(12.73^2)+'LINEST VARS'!$J$58*($AN$56*$Z67)+'LINEST VARS'!$I$58*($AN$56*4)+'LINEST VARS'!$H$58*($AN$56*0.5)+'LINEST VARS'!$G$58*($AN$56*12.73)+'LINEST VARS'!$F$58*($Z67*4)+'LINEST VARS'!$E$58*($Z67*0.5)+'LINEST VARS'!$D$58*($Z67*12.73)+'LINEST VARS'!$C$58*(4*0.5)+'LINEST VARS'!$B$58*(4*12.73)+'LINEST VARS'!$A$58*(0.5*12.73)</f>
        <v>0.94365000000000021</v>
      </c>
      <c r="AO67" s="51">
        <f>'LINEST VARS'!$U$58+'LINEST VARS'!$T$58*($AO$56)+'LINEST VARS'!$S$58*($Z67)+'LINEST VARS'!$R$58*(4)+'LINEST VARS'!$Q$58*(0.5)+'LINEST VARS'!$P$58*(12.73)+'LINEST VARS'!$O$58*($AO$56^2)+'LINEST VARS'!$N$58*($Z67^2)+'LINEST VARS'!$M$58*(4^2)+'LINEST VARS'!$L$58*(0.5^2)+'LINEST VARS'!$K$58*(12.73^2)+'LINEST VARS'!$J$58*($AO$56*$Z67)+'LINEST VARS'!$I$58*($AO$56*4)+'LINEST VARS'!$H$58*($AO$56*0.5)+'LINEST VARS'!$G$58*($AO$56*12.73)+'LINEST VARS'!$F$58*($Z67*4)+'LINEST VARS'!$E$58*($Z67*0.5)+'LINEST VARS'!$D$58*($Z67*12.73)+'LINEST VARS'!$C$58*(4*0.5)+'LINEST VARS'!$B$58*(4*12.73)+'LINEST VARS'!$A$58*(0.5*12.73)</f>
        <v>0.94365000000000021</v>
      </c>
      <c r="AP67" s="51">
        <f>'LINEST VARS'!$U$58+'LINEST VARS'!$T$58*($AP$56)+'LINEST VARS'!$S$58*($Z67)+'LINEST VARS'!$R$58*(4)+'LINEST VARS'!$Q$58*(0.5)+'LINEST VARS'!$P$58*(12.73)+'LINEST VARS'!$O$58*($AP$56^2)+'LINEST VARS'!$N$58*($Z67^2)+'LINEST VARS'!$M$58*(4^2)+'LINEST VARS'!$L$58*(0.5^2)+'LINEST VARS'!$K$58*(12.73^2)+'LINEST VARS'!$J$58*($AP$56*$Z67)+'LINEST VARS'!$I$58*($AP$56*4)+'LINEST VARS'!$H$58*($AP$56*0.5)+'LINEST VARS'!$G$58*($AP$56*12.73)+'LINEST VARS'!$F$58*($Z67*4)+'LINEST VARS'!$E$58*($Z67*0.5)+'LINEST VARS'!$D$58*($Z67*12.73)+'LINEST VARS'!$C$58*(4*0.5)+'LINEST VARS'!$B$58*(4*12.73)+'LINEST VARS'!$A$58*(0.5*12.73)</f>
        <v>0.94365000000000021</v>
      </c>
      <c r="AQ67" s="51">
        <f>'LINEST VARS'!$U$58+'LINEST VARS'!$T$58*($AQ$56)+'LINEST VARS'!$S$58*($Z67)+'LINEST VARS'!$R$58*(4)+'LINEST VARS'!$Q$58*(0.5)+'LINEST VARS'!$P$58*(12.73)+'LINEST VARS'!$O$58*($AQ$56^2)+'LINEST VARS'!$N$58*($Z67^2)+'LINEST VARS'!$M$58*(4^2)+'LINEST VARS'!$L$58*(0.5^2)+'LINEST VARS'!$K$58*(12.73^2)+'LINEST VARS'!$J$58*($AQ$56*$Z67)+'LINEST VARS'!$I$58*($AQ$56*4)+'LINEST VARS'!$H$58*($AQ$56*0.5)+'LINEST VARS'!$G$58*($AQ$56*12.73)+'LINEST VARS'!$F$58*($Z67*4)+'LINEST VARS'!$E$58*($Z67*0.5)+'LINEST VARS'!$D$58*($Z67*12.73)+'LINEST VARS'!$C$58*(4*0.5)+'LINEST VARS'!$B$58*(4*12.73)+'LINEST VARS'!$A$58*(0.5*12.73)</f>
        <v>0.94365000000000021</v>
      </c>
      <c r="AR67" s="51">
        <f>'LINEST VARS'!$U$58+'LINEST VARS'!$T$58*($AR$56)+'LINEST VARS'!$S$58*($Z67)+'LINEST VARS'!$R$58*(4)+'LINEST VARS'!$Q$58*(0.5)+'LINEST VARS'!$P$58*(12.73)+'LINEST VARS'!$O$58*($AR$56^2)+'LINEST VARS'!$N$58*($Z67^2)+'LINEST VARS'!$M$58*(4^2)+'LINEST VARS'!$L$58*(0.5^2)+'LINEST VARS'!$K$58*(12.73^2)+'LINEST VARS'!$J$58*($AR$56*$Z67)+'LINEST VARS'!$I$58*($AR$56*4)+'LINEST VARS'!$H$58*($AR$56*0.5)+'LINEST VARS'!$G$58*($AR$56*12.73)+'LINEST VARS'!$F$58*($Z67*4)+'LINEST VARS'!$E$58*($Z67*0.5)+'LINEST VARS'!$D$58*($Z67*12.73)+'LINEST VARS'!$C$58*(4*0.5)+'LINEST VARS'!$B$58*(4*12.73)+'LINEST VARS'!$A$58*(0.5*12.73)</f>
        <v>0.94365000000000021</v>
      </c>
      <c r="AS67" s="51">
        <f>'LINEST VARS'!$U$58+'LINEST VARS'!$T$58*($AS$56)+'LINEST VARS'!$S$58*($Z67)+'LINEST VARS'!$R$58*(4)+'LINEST VARS'!$Q$58*(0.5)+'LINEST VARS'!$P$58*(12.73)+'LINEST VARS'!$O$58*($AS$56^2)+'LINEST VARS'!$N$58*($Z67^2)+'LINEST VARS'!$M$58*(4^2)+'LINEST VARS'!$L$58*(0.5^2)+'LINEST VARS'!$K$58*(12.73^2)+'LINEST VARS'!$J$58*($AS$56*$Z67)+'LINEST VARS'!$I$58*($AS$56*4)+'LINEST VARS'!$H$58*($AS$56*0.5)+'LINEST VARS'!$G$58*($AS$56*12.73)+'LINEST VARS'!$F$58*($Z67*4)+'LINEST VARS'!$E$58*($Z67*0.5)+'LINEST VARS'!$D$58*($Z67*12.73)+'LINEST VARS'!$C$58*(4*0.5)+'LINEST VARS'!$B$58*(4*12.73)+'LINEST VARS'!$A$58*(0.5*12.73)</f>
        <v>0.94365000000000021</v>
      </c>
      <c r="AT67" s="51">
        <f>'LINEST VARS'!$U$58+'LINEST VARS'!$T$58*($AT$56)+'LINEST VARS'!$S$58*($Z67)+'LINEST VARS'!$R$58*(4)+'LINEST VARS'!$Q$58*(0.5)+'LINEST VARS'!$P$58*(12.73)+'LINEST VARS'!$O$58*($AT$56^2)+'LINEST VARS'!$N$58*($Z67^2)+'LINEST VARS'!$M$58*(4^2)+'LINEST VARS'!$L$58*(0.5^2)+'LINEST VARS'!$K$58*(12.73^2)+'LINEST VARS'!$J$58*($AT$56*$Z67)+'LINEST VARS'!$I$58*($AT$56*4)+'LINEST VARS'!$H$58*($AT$56*0.5)+'LINEST VARS'!$G$58*($AT$56*12.73)+'LINEST VARS'!$F$58*($Z67*4)+'LINEST VARS'!$E$58*($Z67*0.5)+'LINEST VARS'!$D$58*($Z67*12.73)+'LINEST VARS'!$C$58*(4*0.5)+'LINEST VARS'!$B$58*(4*12.73)+'LINEST VARS'!$A$58*(0.5*12.73)</f>
        <v>0.94365000000000032</v>
      </c>
      <c r="AU67" s="52">
        <f>'LINEST VARS'!$U$58+'LINEST VARS'!$T$58*($AU$56)+'LINEST VARS'!$S$58*($Z67)+'LINEST VARS'!$R$58*(4)+'LINEST VARS'!$Q$58*(0.5)+'LINEST VARS'!$P$58*(12.73)+'LINEST VARS'!$O$58*($AU$56^2)+'LINEST VARS'!$N$58*($Z67^2)+'LINEST VARS'!$M$58*(4^2)+'LINEST VARS'!$L$58*(0.5^2)+'LINEST VARS'!$K$58*(12.73^2)+'LINEST VARS'!$J$58*($AU$56*$Z67)+'LINEST VARS'!$I$58*($AU$56*4)+'LINEST VARS'!$H$58*($AU$56*0.5)+'LINEST VARS'!$G$58*($AU$56*12.73)+'LINEST VARS'!$F$58*($Z67*4)+'LINEST VARS'!$E$58*($Z67*0.5)+'LINEST VARS'!$D$58*($Z67*12.73)+'LINEST VARS'!$C$58*(4*0.5)+'LINEST VARS'!$B$58*(4*12.73)+'LINEST VARS'!$A$58*(0.5*12.73)</f>
        <v>0.94365000000000021</v>
      </c>
      <c r="AZ67" s="45">
        <v>0.5</v>
      </c>
      <c r="BA67" s="51">
        <f>'LINEST VARS'!$U$56+'LINEST VARS'!$T$56*(8)+'LINEST VARS'!$S$56*(8)+'LINEST VARS'!$R$56*($BA$56)+'LINEST VARS'!$Q$56*($AZ67)+'LINEST VARS'!$P$56*(12.73)+'LINEST VARS'!$O$56*(8^2)+'LINEST VARS'!$N$56*(8^2)+'LINEST VARS'!$M$56*($BA$56^2)+'LINEST VARS'!$L$56*($AZ67^2)+'LINEST VARS'!$K$56*(12.73^2)+'LINEST VARS'!$J$56*(8*8)+'LINEST VARS'!$I$56*(8*$BA$56)+'LINEST VARS'!$H$56*(8*$AZ67)+'LINEST VARS'!$G$56*(8*12.73)+'LINEST VARS'!$F$56*(8*$BA$56)+'LINEST VARS'!$E$56*(8*$AZ67)+'LINEST VARS'!$D$56*(8*12.73)+'LINEST VARS'!$C$56*($BA$56*$AZ67)+'LINEST VARS'!$B$56*($BA$56*12.73)+'LINEST VARS'!$A$56*($AZ67*12.73)</f>
        <v>2.8000000000000007</v>
      </c>
      <c r="BB67" s="51">
        <f>'LINEST VARS'!$U$56+'LINEST VARS'!$T$56*(8)+'LINEST VARS'!$S$56*(8)+'LINEST VARS'!$R$56*($BB$56)+'LINEST VARS'!$Q$56*($AZ67)+'LINEST VARS'!$P$56*(12.73)+'LINEST VARS'!$O$56*(8^2)+'LINEST VARS'!$N$56*(8^2)+'LINEST VARS'!$M$56*($BB$56^2)+'LINEST VARS'!$L$56*($AZ67^2)+'LINEST VARS'!$K$56*(12.73^2)+'LINEST VARS'!$J$56*(8*8)+'LINEST VARS'!$I$56*(8*$BB$56)+'LINEST VARS'!$H$56*(8*$AZ67)+'LINEST VARS'!$G$56*(8*12.73)+'LINEST VARS'!$F$56*(8*$BB$56)+'LINEST VARS'!$E$56*(8*$AZ67)+'LINEST VARS'!$D$56*(8*12.73)+'LINEST VARS'!$C$56*($BB$56*$AZ67)+'LINEST VARS'!$B$56*($BB$56*12.73)+'LINEST VARS'!$A$56*($AZ67*12.73)</f>
        <v>2.8184000000000009</v>
      </c>
      <c r="BC67" s="51">
        <f>'LINEST VARS'!$U$56+'LINEST VARS'!$T$56*(8)+'LINEST VARS'!$S$56*(8)+'LINEST VARS'!$R$56*($BC$56)+'LINEST VARS'!$Q$56*($AZ67)+'LINEST VARS'!$P$56*(12.73)+'LINEST VARS'!$O$56*(8^2)+'LINEST VARS'!$N$56*(8^2)+'LINEST VARS'!$M$56*($BC$56^2)+'LINEST VARS'!$L$56*($AZ67^2)+'LINEST VARS'!$K$56*(12.73^2)+'LINEST VARS'!$J$56*(8*8)+'LINEST VARS'!$I$56*(8*$BC$56)+'LINEST VARS'!$H$56*(8*$AZ67)+'LINEST VARS'!$G$56*(8*12.73)+'LINEST VARS'!$F$56*(8*$BC$56)+'LINEST VARS'!$E$56*(8*$AZ67)+'LINEST VARS'!$D$56*(8*12.73)+'LINEST VARS'!$C$56*($BC$56*$AZ67)+'LINEST VARS'!$B$56*($BC$56*12.73)+'LINEST VARS'!$A$56*($AZ67*12.73)</f>
        <v>2.8336000000000006</v>
      </c>
      <c r="BD67" s="51">
        <f>'LINEST VARS'!$U$56+'LINEST VARS'!$T$56*(8)+'LINEST VARS'!$S$56*(8)+'LINEST VARS'!$R$56*($BD$56)+'LINEST VARS'!$Q$56*($AZ67)+'LINEST VARS'!$P$56*(12.73)+'LINEST VARS'!$O$56*(8^2)+'LINEST VARS'!$N$56*(8^2)+'LINEST VARS'!$M$56*($BD$56^2)+'LINEST VARS'!$L$56*($AZ67^2)+'LINEST VARS'!$K$56*(12.73^2)+'LINEST VARS'!$J$56*(8*8)+'LINEST VARS'!$I$56*(8*$BD$56)+'LINEST VARS'!$H$56*(8*$AZ67)+'LINEST VARS'!$G$56*(8*12.73)+'LINEST VARS'!$F$56*(8*$BD$56)+'LINEST VARS'!$E$56*(8*$AZ67)+'LINEST VARS'!$D$56*(8*12.73)+'LINEST VARS'!$C$56*($BD$56*$AZ67)+'LINEST VARS'!$B$56*($BD$56*12.73)+'LINEST VARS'!$A$56*($AZ67*12.73)</f>
        <v>2.8456000000000006</v>
      </c>
      <c r="BE67" s="51">
        <f>'LINEST VARS'!$U$56+'LINEST VARS'!$T$56*(8)+'LINEST VARS'!$S$56*(8)+'LINEST VARS'!$R$56*($BE$56)+'LINEST VARS'!$Q$56*($AZ67)+'LINEST VARS'!$P$56*(12.73)+'LINEST VARS'!$O$56*(8^2)+'LINEST VARS'!$N$56*(8^2)+'LINEST VARS'!$M$56*($BE$56^2)+'LINEST VARS'!$L$56*($AZ67^2)+'LINEST VARS'!$K$56*(12.73^2)+'LINEST VARS'!$J$56*(8*8)+'LINEST VARS'!$I$56*(8*$BE$56)+'LINEST VARS'!$H$56*(8*$AZ67)+'LINEST VARS'!$G$56*(8*12.73)+'LINEST VARS'!$F$56*(8*$BE$56)+'LINEST VARS'!$E$56*(8*$AZ67)+'LINEST VARS'!$D$56*(8*12.73)+'LINEST VARS'!$C$56*($BE$56*$AZ67)+'LINEST VARS'!$B$56*($BE$56*12.73)+'LINEST VARS'!$A$56*($AZ67*12.73)</f>
        <v>2.8544000000000009</v>
      </c>
      <c r="BF67" s="51">
        <f>'LINEST VARS'!$U$56+'LINEST VARS'!$T$56*(8)+'LINEST VARS'!$S$56*(8)+'LINEST VARS'!$R$56*($BF$56)+'LINEST VARS'!$Q$56*($AZ67)+'LINEST VARS'!$P$56*(12.73)+'LINEST VARS'!$O$56*(8^2)+'LINEST VARS'!$N$56*(8^2)+'LINEST VARS'!$M$56*($BF$56^2)+'LINEST VARS'!$L$56*($AZ67^2)+'LINEST VARS'!$K$56*(12.73^2)+'LINEST VARS'!$J$56*(8*8)+'LINEST VARS'!$I$56*(8*$BF$56)+'LINEST VARS'!$H$56*(8*$AZ67)+'LINEST VARS'!$G$56*(8*12.73)+'LINEST VARS'!$F$56*(8*$BF$56)+'LINEST VARS'!$E$56*(8*$AZ67)+'LINEST VARS'!$D$56*(8*12.73)+'LINEST VARS'!$C$56*($BF$56*$AZ67)+'LINEST VARS'!$B$56*($BF$56*12.73)+'LINEST VARS'!$A$56*($AZ67*12.73)</f>
        <v>2.8600000000000008</v>
      </c>
      <c r="BG67" s="51">
        <f>'LINEST VARS'!$U$56+'LINEST VARS'!$T$56*(8)+'LINEST VARS'!$S$56*(8)+'LINEST VARS'!$R$56*($BG$56)+'LINEST VARS'!$Q$56*($AZ67)+'LINEST VARS'!$P$56*(12.73)+'LINEST VARS'!$O$56*(8^2)+'LINEST VARS'!$N$56*(8^2)+'LINEST VARS'!$M$56*($BG$56^2)+'LINEST VARS'!$L$56*($AZ67^2)+'LINEST VARS'!$K$56*(12.73^2)+'LINEST VARS'!$J$56*(8*8)+'LINEST VARS'!$I$56*(8*$BG$56)+'LINEST VARS'!$H$56*(8*$AZ67)+'LINEST VARS'!$G$56*(8*12.73)+'LINEST VARS'!$F$56*(8*$BG$56)+'LINEST VARS'!$E$56*(8*$AZ67)+'LINEST VARS'!$D$56*(8*12.73)+'LINEST VARS'!$C$56*($BG$56*$AZ67)+'LINEST VARS'!$B$56*($BG$56*12.73)+'LINEST VARS'!$A$56*($AZ67*12.73)</f>
        <v>2.8624000000000009</v>
      </c>
      <c r="BH67" s="51">
        <f>'LINEST VARS'!$U$56+'LINEST VARS'!$T$56*(8)+'LINEST VARS'!$S$56*(8)+'LINEST VARS'!$R$56*($BH$56)+'LINEST VARS'!$Q$56*($AZ67)+'LINEST VARS'!$P$56*(12.73)+'LINEST VARS'!$O$56*(8^2)+'LINEST VARS'!$N$56*(8^2)+'LINEST VARS'!$M$56*($BH$56^2)+'LINEST VARS'!$L$56*($AZ67^2)+'LINEST VARS'!$K$56*(12.73^2)+'LINEST VARS'!$J$56*(8*8)+'LINEST VARS'!$I$56*(8*$BH$56)+'LINEST VARS'!$H$56*(8*$AZ67)+'LINEST VARS'!$G$56*(8*12.73)+'LINEST VARS'!$F$56*(8*$BH$56)+'LINEST VARS'!$E$56*(8*$AZ67)+'LINEST VARS'!$D$56*(8*12.73)+'LINEST VARS'!$C$56*($BH$56*$AZ67)+'LINEST VARS'!$B$56*($BH$56*12.73)+'LINEST VARS'!$A$56*($AZ67*12.73)</f>
        <v>2.8616000000000006</v>
      </c>
      <c r="BI67" s="51">
        <f>'LINEST VARS'!$U$56+'LINEST VARS'!$T$56*(8)+'LINEST VARS'!$S$56*(8)+'LINEST VARS'!$R$56*($BI$56)+'LINEST VARS'!$Q$56*($AZ67)+'LINEST VARS'!$P$56*(12.73)+'LINEST VARS'!$O$56*(8^2)+'LINEST VARS'!$N$56*(8^2)+'LINEST VARS'!$M$56*($BI$56^2)+'LINEST VARS'!$L$56*($AZ67^2)+'LINEST VARS'!$K$56*(12.73^2)+'LINEST VARS'!$J$56*(8*8)+'LINEST VARS'!$I$56*(8*$BI$56)+'LINEST VARS'!$H$56*(8*$AZ67)+'LINEST VARS'!$G$56*(8*12.73)+'LINEST VARS'!$F$56*(8*$BI$56)+'LINEST VARS'!$E$56*(8*$AZ67)+'LINEST VARS'!$D$56*(8*12.73)+'LINEST VARS'!$C$56*($BI$56*$AZ67)+'LINEST VARS'!$B$56*($BI$56*12.73)+'LINEST VARS'!$A$56*($AZ67*12.73)</f>
        <v>2.8576000000000006</v>
      </c>
      <c r="BJ67" s="51">
        <f>'LINEST VARS'!$U$56+'LINEST VARS'!$T$56*(8)+'LINEST VARS'!$S$56*(8)+'LINEST VARS'!$R$56*($BJ$56)+'LINEST VARS'!$Q$56*($AZ67)+'LINEST VARS'!$P$56*(12.73)+'LINEST VARS'!$O$56*(8^2)+'LINEST VARS'!$N$56*(8^2)+'LINEST VARS'!$M$56*($BJ$56^2)+'LINEST VARS'!$L$56*($AZ67^2)+'LINEST VARS'!$K$56*(12.73^2)+'LINEST VARS'!$J$56*(8*8)+'LINEST VARS'!$I$56*(8*$BJ$56)+'LINEST VARS'!$H$56*(8*$AZ67)+'LINEST VARS'!$G$56*(8*12.73)+'LINEST VARS'!$F$56*(8*$BJ$56)+'LINEST VARS'!$E$56*(8*$AZ67)+'LINEST VARS'!$D$56*(8*12.73)+'LINEST VARS'!$C$56*($BJ$56*$AZ67)+'LINEST VARS'!$B$56*($BJ$56*12.73)+'LINEST VARS'!$A$56*($AZ67*12.73)</f>
        <v>2.8504000000000009</v>
      </c>
      <c r="BK67" s="51">
        <f>'LINEST VARS'!$U$56+'LINEST VARS'!$T$56*(8)+'LINEST VARS'!$S$56*(8)+'LINEST VARS'!$R$56*($BK$56)+'LINEST VARS'!$Q$56*($AZ67)+'LINEST VARS'!$P$56*(12.73)+'LINEST VARS'!$O$56*(8^2)+'LINEST VARS'!$N$56*(8^2)+'LINEST VARS'!$M$56*($BK$56^2)+'LINEST VARS'!$L$56*($AZ67^2)+'LINEST VARS'!$K$56*(12.73^2)+'LINEST VARS'!$J$56*(8*8)+'LINEST VARS'!$I$56*(8*$BK$56)+'LINEST VARS'!$H$56*(8*$AZ67)+'LINEST VARS'!$G$56*(8*12.73)+'LINEST VARS'!$F$56*(8*$BK$56)+'LINEST VARS'!$E$56*(8*$AZ67)+'LINEST VARS'!$D$56*(8*12.73)+'LINEST VARS'!$C$56*($BK$56*$AZ67)+'LINEST VARS'!$B$56*($BK$56*12.73)+'LINEST VARS'!$A$56*($AZ67*12.73)</f>
        <v>2.8400000000000007</v>
      </c>
      <c r="BL67" s="51">
        <f>'LINEST VARS'!$U$56+'LINEST VARS'!$T$56*(8)+'LINEST VARS'!$S$56*(8)+'LINEST VARS'!$R$56*($BL$56)+'LINEST VARS'!$Q$56*($AZ67)+'LINEST VARS'!$P$56*(12.73)+'LINEST VARS'!$O$56*(8^2)+'LINEST VARS'!$N$56*(8^2)+'LINEST VARS'!$M$56*($BL$56^2)+'LINEST VARS'!$L$56*($AZ67^2)+'LINEST VARS'!$K$56*(12.73^2)+'LINEST VARS'!$J$56*(8*8)+'LINEST VARS'!$I$56*(8*$BL$56)+'LINEST VARS'!$H$56*(8*$AZ67)+'LINEST VARS'!$G$56*(8*12.73)+'LINEST VARS'!$F$56*(8*$BL$56)+'LINEST VARS'!$E$56*(8*$AZ67)+'LINEST VARS'!$D$56*(8*12.73)+'LINEST VARS'!$C$56*($BL$56*$AZ67)+'LINEST VARS'!$B$56*($BL$56*12.73)+'LINEST VARS'!$A$56*($AZ67*12.73)</f>
        <v>2.8264000000000009</v>
      </c>
      <c r="BM67" s="51">
        <f>'LINEST VARS'!$U$56+'LINEST VARS'!$T$56*(8)+'LINEST VARS'!$S$56*(8)+'LINEST VARS'!$R$56*($BM$56)+'LINEST VARS'!$Q$56*($AZ67)+'LINEST VARS'!$P$56*(12.73)+'LINEST VARS'!$O$56*(8^2)+'LINEST VARS'!$N$56*(8^2)+'LINEST VARS'!$M$56*($BM$56^2)+'LINEST VARS'!$L$56*($AZ67^2)+'LINEST VARS'!$K$56*(12.73^2)+'LINEST VARS'!$J$56*(8*8)+'LINEST VARS'!$I$56*(8*$BM$56)+'LINEST VARS'!$H$56*(8*$AZ67)+'LINEST VARS'!$G$56*(8*12.73)+'LINEST VARS'!$F$56*(8*$BM$56)+'LINEST VARS'!$E$56*(8*$AZ67)+'LINEST VARS'!$D$56*(8*12.73)+'LINEST VARS'!$C$56*($BM$56*$AZ67)+'LINEST VARS'!$B$56*($BM$56*12.73)+'LINEST VARS'!$A$56*($AZ67*12.73)</f>
        <v>2.8096000000000005</v>
      </c>
      <c r="BN67" s="51">
        <f>'LINEST VARS'!$U$56+'LINEST VARS'!$T$56*(8)+'LINEST VARS'!$S$56*(8)+'LINEST VARS'!$R$56*($BN$56)+'LINEST VARS'!$Q$56*($AZ67)+'LINEST VARS'!$P$56*(12.73)+'LINEST VARS'!$O$56*(8^2)+'LINEST VARS'!$N$56*(8^2)+'LINEST VARS'!$M$56*($BN$56^2)+'LINEST VARS'!$L$56*($AZ67^2)+'LINEST VARS'!$K$56*(12.73^2)+'LINEST VARS'!$J$56*(8*8)+'LINEST VARS'!$I$56*(8*$BN$56)+'LINEST VARS'!$H$56*(8*$AZ67)+'LINEST VARS'!$G$56*(8*12.73)+'LINEST VARS'!$F$56*(8*$BN$56)+'LINEST VARS'!$E$56*(8*$AZ67)+'LINEST VARS'!$D$56*(8*12.73)+'LINEST VARS'!$C$56*($BN$56*$AZ67)+'LINEST VARS'!$B$56*($BN$56*12.73)+'LINEST VARS'!$A$56*($AZ67*12.73)</f>
        <v>2.7896000000000005</v>
      </c>
      <c r="BO67" s="51">
        <f>'LINEST VARS'!$U$56+'LINEST VARS'!$T$56*(8)+'LINEST VARS'!$S$56*(8)+'LINEST VARS'!$R$56*($BO$56)+'LINEST VARS'!$Q$56*($AZ67)+'LINEST VARS'!$P$56*(12.73)+'LINEST VARS'!$O$56*(8^2)+'LINEST VARS'!$N$56*(8^2)+'LINEST VARS'!$M$56*($BO$56^2)+'LINEST VARS'!$L$56*($AZ67^2)+'LINEST VARS'!$K$56*(12.73^2)+'LINEST VARS'!$J$56*(8*8)+'LINEST VARS'!$I$56*(8*$BO$56)+'LINEST VARS'!$H$56*(8*$AZ67)+'LINEST VARS'!$G$56*(8*12.73)+'LINEST VARS'!$F$56*(8*$BO$56)+'LINEST VARS'!$E$56*(8*$AZ67)+'LINEST VARS'!$D$56*(8*12.73)+'LINEST VARS'!$C$56*($BO$56*$AZ67)+'LINEST VARS'!$B$56*($BO$56*12.73)+'LINEST VARS'!$A$56*($AZ67*12.73)</f>
        <v>2.7664000000000009</v>
      </c>
      <c r="BP67" s="51">
        <f>'LINEST VARS'!$U$56+'LINEST VARS'!$T$56*(8)+'LINEST VARS'!$S$56*(8)+'LINEST VARS'!$R$56*($BP$56)+'LINEST VARS'!$Q$56*($AZ67)+'LINEST VARS'!$P$56*(12.73)+'LINEST VARS'!$O$56*(8^2)+'LINEST VARS'!$N$56*(8^2)+'LINEST VARS'!$M$56*($BP$56^2)+'LINEST VARS'!$L$56*($AZ67^2)+'LINEST VARS'!$K$56*(12.73^2)+'LINEST VARS'!$J$56*(8*8)+'LINEST VARS'!$I$56*(8*$BP$56)+'LINEST VARS'!$H$56*(8*$AZ67)+'LINEST VARS'!$G$56*(8*12.73)+'LINEST VARS'!$F$56*(8*$BP$56)+'LINEST VARS'!$E$56*(8*$AZ67)+'LINEST VARS'!$D$56*(8*12.73)+'LINEST VARS'!$C$56*($BP$56*$AZ67)+'LINEST VARS'!$B$56*($BP$56*12.73)+'LINEST VARS'!$A$56*($AZ67*12.73)</f>
        <v>2.7400000000000007</v>
      </c>
      <c r="BQ67" s="51">
        <f>'LINEST VARS'!$U$56+'LINEST VARS'!$T$56*(8)+'LINEST VARS'!$S$56*(8)+'LINEST VARS'!$R$56*($BQ$56)+'LINEST VARS'!$Q$56*($AZ67)+'LINEST VARS'!$P$56*(12.73)+'LINEST VARS'!$O$56*(8^2)+'LINEST VARS'!$N$56*(8^2)+'LINEST VARS'!$M$56*($BQ$56^2)+'LINEST VARS'!$L$56*($AZ67^2)+'LINEST VARS'!$K$56*(12.73^2)+'LINEST VARS'!$J$56*(8*8)+'LINEST VARS'!$I$56*(8*$BQ$56)+'LINEST VARS'!$H$56*(8*$AZ67)+'LINEST VARS'!$G$56*(8*12.73)+'LINEST VARS'!$F$56*(8*$BQ$56)+'LINEST VARS'!$E$56*(8*$AZ67)+'LINEST VARS'!$D$56*(8*12.73)+'LINEST VARS'!$C$56*($BQ$56*$AZ67)+'LINEST VARS'!$B$56*($BQ$56*12.73)+'LINEST VARS'!$A$56*($AZ67*12.73)</f>
        <v>2.7104000000000004</v>
      </c>
      <c r="BR67" s="51">
        <f>'LINEST VARS'!$U$56+'LINEST VARS'!$T$56*(8)+'LINEST VARS'!$S$56*(8)+'LINEST VARS'!$R$56*($BR$56)+'LINEST VARS'!$Q$56*($AZ67)+'LINEST VARS'!$P$56*(12.73)+'LINEST VARS'!$O$56*(8^2)+'LINEST VARS'!$N$56*(8^2)+'LINEST VARS'!$M$56*($BR$56^2)+'LINEST VARS'!$L$56*($AZ67^2)+'LINEST VARS'!$K$56*(12.73^2)+'LINEST VARS'!$J$56*(8*8)+'LINEST VARS'!$I$56*(8*$BR$56)+'LINEST VARS'!$H$56*(8*$AZ67)+'LINEST VARS'!$G$56*(8*12.73)+'LINEST VARS'!$F$56*(8*$BR$56)+'LINEST VARS'!$E$56*(8*$AZ67)+'LINEST VARS'!$D$56*(8*12.73)+'LINEST VARS'!$C$56*($BR$56*$AZ67)+'LINEST VARS'!$B$56*($BR$56*12.73)+'LINEST VARS'!$A$56*($AZ67*12.73)</f>
        <v>2.6776000000000004</v>
      </c>
      <c r="BS67" s="51">
        <f>'LINEST VARS'!$U$56+'LINEST VARS'!$T$56*(8)+'LINEST VARS'!$S$56*(8)+'LINEST VARS'!$R$56*($BS$56)+'LINEST VARS'!$Q$56*($AZ67)+'LINEST VARS'!$P$56*(12.73)+'LINEST VARS'!$O$56*(8^2)+'LINEST VARS'!$N$56*(8^2)+'LINEST VARS'!$M$56*($BS$56^2)+'LINEST VARS'!$L$56*($AZ67^2)+'LINEST VARS'!$K$56*(12.73^2)+'LINEST VARS'!$J$56*(8*8)+'LINEST VARS'!$I$56*(8*$BS$56)+'LINEST VARS'!$H$56*(8*$AZ67)+'LINEST VARS'!$G$56*(8*12.73)+'LINEST VARS'!$F$56*(8*$BS$56)+'LINEST VARS'!$E$56*(8*$AZ67)+'LINEST VARS'!$D$56*(8*12.73)+'LINEST VARS'!$C$56*($BS$56*$AZ67)+'LINEST VARS'!$B$56*($BS$56*12.73)+'LINEST VARS'!$A$56*($AZ67*12.73)</f>
        <v>2.6416000000000004</v>
      </c>
      <c r="BT67" s="51">
        <f>'LINEST VARS'!$U$56+'LINEST VARS'!$T$56*(8)+'LINEST VARS'!$S$56*(8)+'LINEST VARS'!$R$56*($BT$56)+'LINEST VARS'!$Q$56*($AZ67)+'LINEST VARS'!$P$56*(12.73)+'LINEST VARS'!$O$56*(8^2)+'LINEST VARS'!$N$56*(8^2)+'LINEST VARS'!$M$56*($BT$56^2)+'LINEST VARS'!$L$56*($AZ67^2)+'LINEST VARS'!$K$56*(12.73^2)+'LINEST VARS'!$J$56*(8*8)+'LINEST VARS'!$I$56*(8*$BT$56)+'LINEST VARS'!$H$56*(8*$AZ67)+'LINEST VARS'!$G$56*(8*12.73)+'LINEST VARS'!$F$56*(8*$BT$56)+'LINEST VARS'!$E$56*(8*$AZ67)+'LINEST VARS'!$D$56*(8*12.73)+'LINEST VARS'!$C$56*($BT$56*$AZ67)+'LINEST VARS'!$B$56*($BT$56*12.73)+'LINEST VARS'!$A$56*($AZ67*12.73)</f>
        <v>2.6024000000000007</v>
      </c>
      <c r="BU67" s="52">
        <f>'LINEST VARS'!$U$56+'LINEST VARS'!$T$56*(8)+'LINEST VARS'!$S$56*(8)+'LINEST VARS'!$R$56*($BU$56)+'LINEST VARS'!$Q$56*($AZ67)+'LINEST VARS'!$P$56*(12.73)+'LINEST VARS'!$O$56*(8^2)+'LINEST VARS'!$N$56*(8^2)+'LINEST VARS'!$M$56*($BU$56^2)+'LINEST VARS'!$L$56*($AZ67^2)+'LINEST VARS'!$K$56*(12.73^2)+'LINEST VARS'!$J$56*(8*8)+'LINEST VARS'!$I$56*(8*$BU$56)+'LINEST VARS'!$H$56*(8*$AZ67)+'LINEST VARS'!$G$56*(8*12.73)+'LINEST VARS'!$F$56*(8*$BU$56)+'LINEST VARS'!$E$56*(8*$AZ67)+'LINEST VARS'!$D$56*(8*12.73)+'LINEST VARS'!$C$56*($BU$56*$AZ67)+'LINEST VARS'!$B$56*($BU$56*12.73)+'LINEST VARS'!$A$56*($AZ67*12.73)</f>
        <v>2.5600000000000005</v>
      </c>
      <c r="BX67" s="45">
        <v>0.5</v>
      </c>
      <c r="BY67" s="51">
        <f>'LINEST VARS'!$U$58+'LINEST VARS'!$T$58*(8)+'LINEST VARS'!$S$58*(8)+'LINEST VARS'!$R$58*($BY$56)+'LINEST VARS'!$Q$58*($BX67)+'LINEST VARS'!$P$58*(12.73)+'LINEST VARS'!$O$58*(8^2)+'LINEST VARS'!$N$58*(8^2)+'LINEST VARS'!$M$58*($BY$56^2)+'LINEST VARS'!$L$58*($BX67^2)+'LINEST VARS'!$K$58*(12.73^2)+'LINEST VARS'!$J$58*(8*8)+'LINEST VARS'!$I$58*(8*$BY$56)+'LINEST VARS'!$H$58*(8*$BX67)+'LINEST VARS'!$G$58*(8*12.73)+'LINEST VARS'!$F$58*(8*$BY$56)+'LINEST VARS'!$E$58*(8*$BX67)+'LINEST VARS'!$D$58*(8*12.73)+'LINEST VARS'!$C$58*($BY$56*$BX67)+'LINEST VARS'!$B$58*($BY$56*12.73)+'LINEST VARS'!$A$58*($BX67*12.73)</f>
        <v>0.86365000000000036</v>
      </c>
      <c r="BZ67" s="51">
        <f>'LINEST VARS'!$U$58+'LINEST VARS'!$T$58*(8)+'LINEST VARS'!$S$58*(8)+'LINEST VARS'!$R$58*($BZ$56)+'LINEST VARS'!$Q$58*($BX67)+'LINEST VARS'!$P$58*(12.73)+'LINEST VARS'!$O$58*(8^2)+'LINEST VARS'!$N$58*(8^2)+'LINEST VARS'!$M$58*($BZ$56^2)+'LINEST VARS'!$L$58*($BX67^2)+'LINEST VARS'!$K$58*(12.73^2)+'LINEST VARS'!$J$58*(8*8)+'LINEST VARS'!$I$58*(8*$BZ$56)+'LINEST VARS'!$H$58*(8*$BX67)+'LINEST VARS'!$G$58*(8*12.73)+'LINEST VARS'!$F$58*(8*$BZ$56)+'LINEST VARS'!$E$58*(8*$BX67)+'LINEST VARS'!$D$58*(8*12.73)+'LINEST VARS'!$C$58*($BZ$56*$BX67)+'LINEST VARS'!$B$58*($BZ$56*12.73)+'LINEST VARS'!$A$58*($BX67*12.73)</f>
        <v>0.87165000000000037</v>
      </c>
      <c r="CA67" s="51">
        <f>'LINEST VARS'!$U$58+'LINEST VARS'!$T$58*(8)+'LINEST VARS'!$S$58*(8)+'LINEST VARS'!$R$58*($CA$56)+'LINEST VARS'!$Q$58*($BX67)+'LINEST VARS'!$P$58*(12.73)+'LINEST VARS'!$O$58*(8^2)+'LINEST VARS'!$N$58*(8^2)+'LINEST VARS'!$M$58*($CA$56^2)+'LINEST VARS'!$L$58*($BX67^2)+'LINEST VARS'!$K$58*(12.73^2)+'LINEST VARS'!$J$58*(8*8)+'LINEST VARS'!$I$58*(8*$CA$56)+'LINEST VARS'!$H$58*(8*$BX67)+'LINEST VARS'!$G$58*(8*12.73)+'LINEST VARS'!$F$58*(8*$CA$56)+'LINEST VARS'!$E$58*(8*$BX67)+'LINEST VARS'!$D$58*(8*12.73)+'LINEST VARS'!$C$58*($CA$56*$BX67)+'LINEST VARS'!$B$58*($CA$56*12.73)+'LINEST VARS'!$A$58*($BX67*12.73)</f>
        <v>0.87965000000000027</v>
      </c>
      <c r="CB67" s="51">
        <f>'LINEST VARS'!$U$58+'LINEST VARS'!$T$58*(8)+'LINEST VARS'!$S$58*(8)+'LINEST VARS'!$R$58*($CB$56)+'LINEST VARS'!$Q$58*($BX67)+'LINEST VARS'!$P$58*(12.73)+'LINEST VARS'!$O$58*(8^2)+'LINEST VARS'!$N$58*(8^2)+'LINEST VARS'!$M$58*($CB$56^2)+'LINEST VARS'!$L$58*($BX67^2)+'LINEST VARS'!$K$58*(12.73^2)+'LINEST VARS'!$J$58*(8*8)+'LINEST VARS'!$I$58*(8*$CB$56)+'LINEST VARS'!$H$58*(8*$BX67)+'LINEST VARS'!$G$58*(8*12.73)+'LINEST VARS'!$F$58*(8*$CB$56)+'LINEST VARS'!$E$58*(8*$BX67)+'LINEST VARS'!$D$58*(8*12.73)+'LINEST VARS'!$C$58*($CB$56*$BX67)+'LINEST VARS'!$B$58*($CB$56*12.73)+'LINEST VARS'!$A$58*($BX67*12.73)</f>
        <v>0.88765000000000027</v>
      </c>
      <c r="CC67" s="51">
        <f>'LINEST VARS'!$U$58+'LINEST VARS'!$T$58*(8)+'LINEST VARS'!$S$58*(8)+'LINEST VARS'!$R$58*($CC$56)+'LINEST VARS'!$Q$58*($BX67)+'LINEST VARS'!$P$58*(12.73)+'LINEST VARS'!$O$58*(8^2)+'LINEST VARS'!$N$58*(8^2)+'LINEST VARS'!$M$58*($CC$56^2)+'LINEST VARS'!$L$58*($BX67^2)+'LINEST VARS'!$K$58*(12.73^2)+'LINEST VARS'!$J$58*(8*8)+'LINEST VARS'!$I$58*(8*$CC$56)+'LINEST VARS'!$H$58*(8*$BX67)+'LINEST VARS'!$G$58*(8*12.73)+'LINEST VARS'!$F$58*(8*$CC$56)+'LINEST VARS'!$E$58*(8*$BX67)+'LINEST VARS'!$D$58*(8*12.73)+'LINEST VARS'!$C$58*($CC$56*$BX67)+'LINEST VARS'!$B$58*($CC$56*12.73)+'LINEST VARS'!$A$58*($BX67*12.73)</f>
        <v>0.89565000000000017</v>
      </c>
      <c r="CD67" s="51">
        <f>'LINEST VARS'!$U$58+'LINEST VARS'!$T$58*(8)+'LINEST VARS'!$S$58*(8)+'LINEST VARS'!$R$58*($CD$56)+'LINEST VARS'!$Q$58*($BX67)+'LINEST VARS'!$P$58*(12.73)+'LINEST VARS'!$O$58*(8^2)+'LINEST VARS'!$N$58*(8^2)+'LINEST VARS'!$M$58*($CD$56^2)+'LINEST VARS'!$L$58*($BX67^2)+'LINEST VARS'!$K$58*(12.73^2)+'LINEST VARS'!$J$58*(8*8)+'LINEST VARS'!$I$58*(8*$CD$56)+'LINEST VARS'!$H$58*(8*$BX67)+'LINEST VARS'!$G$58*(8*12.73)+'LINEST VARS'!$F$58*(8*$CD$56)+'LINEST VARS'!$E$58*(8*$BX67)+'LINEST VARS'!$D$58*(8*12.73)+'LINEST VARS'!$C$58*($CD$56*$BX67)+'LINEST VARS'!$B$58*($CD$56*12.73)+'LINEST VARS'!$A$58*($BX67*12.73)</f>
        <v>0.90365000000000029</v>
      </c>
      <c r="CE67" s="51">
        <f>'LINEST VARS'!$U$58+'LINEST VARS'!$T$58*(8)+'LINEST VARS'!$S$58*(8)+'LINEST VARS'!$R$58*($CE$56)+'LINEST VARS'!$Q$58*($BX67)+'LINEST VARS'!$P$58*(12.73)+'LINEST VARS'!$O$58*(8^2)+'LINEST VARS'!$N$58*(8^2)+'LINEST VARS'!$M$58*($CE$56^2)+'LINEST VARS'!$L$58*($BX67^2)+'LINEST VARS'!$K$58*(12.73^2)+'LINEST VARS'!$J$58*(8*8)+'LINEST VARS'!$I$58*(8*$CE$56)+'LINEST VARS'!$H$58*(8*$BX67)+'LINEST VARS'!$G$58*(8*12.73)+'LINEST VARS'!$F$58*(8*$CE$56)+'LINEST VARS'!$E$58*(8*$BX67)+'LINEST VARS'!$D$58*(8*12.73)+'LINEST VARS'!$C$58*($CE$56*$BX67)+'LINEST VARS'!$B$58*($CE$56*12.73)+'LINEST VARS'!$A$58*($BX67*12.73)</f>
        <v>0.91165000000000029</v>
      </c>
      <c r="CF67" s="51">
        <f>'LINEST VARS'!$U$58+'LINEST VARS'!$T$58*(8)+'LINEST VARS'!$S$58*(8)+'LINEST VARS'!$R$58*($CF$56)+'LINEST VARS'!$Q$58*($BX67)+'LINEST VARS'!$P$58*(12.73)+'LINEST VARS'!$O$58*(8^2)+'LINEST VARS'!$N$58*(8^2)+'LINEST VARS'!$M$58*($CF$56^2)+'LINEST VARS'!$L$58*($BX67^2)+'LINEST VARS'!$K$58*(12.73^2)+'LINEST VARS'!$J$58*(8*8)+'LINEST VARS'!$I$58*(8*$CF$56)+'LINEST VARS'!$H$58*(8*$BX67)+'LINEST VARS'!$G$58*(8*12.73)+'LINEST VARS'!$F$58*(8*$CF$56)+'LINEST VARS'!$E$58*(8*$BX67)+'LINEST VARS'!$D$58*(8*12.73)+'LINEST VARS'!$C$58*($CF$56*$BX67)+'LINEST VARS'!$B$58*($CF$56*12.73)+'LINEST VARS'!$A$58*($BX67*12.73)</f>
        <v>0.9196500000000003</v>
      </c>
      <c r="CG67" s="51">
        <f>'LINEST VARS'!$U$58+'LINEST VARS'!$T$58*(8)+'LINEST VARS'!$S$58*(8)+'LINEST VARS'!$R$58*($CG$56)+'LINEST VARS'!$Q$58*($BX67)+'LINEST VARS'!$P$58*(12.73)+'LINEST VARS'!$O$58*(8^2)+'LINEST VARS'!$N$58*(8^2)+'LINEST VARS'!$M$58*($CG$56^2)+'LINEST VARS'!$L$58*($BX67^2)+'LINEST VARS'!$K$58*(12.73^2)+'LINEST VARS'!$J$58*(8*8)+'LINEST VARS'!$I$58*(8*$CG$56)+'LINEST VARS'!$H$58*(8*$BX67)+'LINEST VARS'!$G$58*(8*12.73)+'LINEST VARS'!$F$58*(8*$CG$56)+'LINEST VARS'!$E$58*(8*$BX67)+'LINEST VARS'!$D$58*(8*12.73)+'LINEST VARS'!$C$58*($CG$56*$BX67)+'LINEST VARS'!$B$58*($CG$56*12.73)+'LINEST VARS'!$A$58*($BX67*12.73)</f>
        <v>0.92765000000000042</v>
      </c>
      <c r="CH67" s="51">
        <f>'LINEST VARS'!$U$58+'LINEST VARS'!$T$58*(8)+'LINEST VARS'!$S$58*(8)+'LINEST VARS'!$R$58*($CH$56)+'LINEST VARS'!$Q$58*($BX67)+'LINEST VARS'!$P$58*(12.73)+'LINEST VARS'!$O$58*(8^2)+'LINEST VARS'!$N$58*(8^2)+'LINEST VARS'!$M$58*($CH$56^2)+'LINEST VARS'!$L$58*($BX67^2)+'LINEST VARS'!$K$58*(12.73^2)+'LINEST VARS'!$J$58*(8*8)+'LINEST VARS'!$I$58*(8*$CH$56)+'LINEST VARS'!$H$58*(8*$BX67)+'LINEST VARS'!$G$58*(8*12.73)+'LINEST VARS'!$F$58*(8*$CH$56)+'LINEST VARS'!$E$58*(8*$BX67)+'LINEST VARS'!$D$58*(8*12.73)+'LINEST VARS'!$C$58*($CH$56*$BX67)+'LINEST VARS'!$B$58*($CH$56*12.73)+'LINEST VARS'!$A$58*($BX67*12.73)</f>
        <v>0.93565000000000031</v>
      </c>
      <c r="CI67" s="51">
        <f>'LINEST VARS'!$U$58+'LINEST VARS'!$T$58*(8)+'LINEST VARS'!$S$58*(8)+'LINEST VARS'!$R$58*($CI$56)+'LINEST VARS'!$Q$58*($BX67)+'LINEST VARS'!$P$58*(12.73)+'LINEST VARS'!$O$58*(8^2)+'LINEST VARS'!$N$58*(8^2)+'LINEST VARS'!$M$58*($CI$56^2)+'LINEST VARS'!$L$58*($BX67^2)+'LINEST VARS'!$K$58*(12.73^2)+'LINEST VARS'!$J$58*(8*8)+'LINEST VARS'!$I$58*(8*$CI$56)+'LINEST VARS'!$H$58*(8*$BX67)+'LINEST VARS'!$G$58*(8*12.73)+'LINEST VARS'!$F$58*(8*$CI$56)+'LINEST VARS'!$E$58*(8*$BX67)+'LINEST VARS'!$D$58*(8*12.73)+'LINEST VARS'!$C$58*($CI$56*$BX67)+'LINEST VARS'!$B$58*($CI$56*12.73)+'LINEST VARS'!$A$58*($BX67*12.73)</f>
        <v>0.94365000000000032</v>
      </c>
      <c r="CJ67" s="51">
        <f>'LINEST VARS'!$U$58+'LINEST VARS'!$T$58*(8)+'LINEST VARS'!$S$58*(8)+'LINEST VARS'!$R$58*($CJ$56)+'LINEST VARS'!$Q$58*($BX67)+'LINEST VARS'!$P$58*(12.73)+'LINEST VARS'!$O$58*(8^2)+'LINEST VARS'!$N$58*(8^2)+'LINEST VARS'!$M$58*($CJ$56^2)+'LINEST VARS'!$L$58*($BX67^2)+'LINEST VARS'!$K$58*(12.73^2)+'LINEST VARS'!$J$58*(8*8)+'LINEST VARS'!$I$58*(8*$CJ$56)+'LINEST VARS'!$H$58*(8*$BX67)+'LINEST VARS'!$G$58*(8*12.73)+'LINEST VARS'!$F$58*(8*$CJ$56)+'LINEST VARS'!$E$58*(8*$BX67)+'LINEST VARS'!$D$58*(8*12.73)+'LINEST VARS'!$C$58*($CJ$56*$BX67)+'LINEST VARS'!$B$58*($CJ$56*12.73)+'LINEST VARS'!$A$58*($BX67*12.73)</f>
        <v>0.95165000000000022</v>
      </c>
      <c r="CK67" s="51">
        <f>'LINEST VARS'!$U$58+'LINEST VARS'!$T$58*(8)+'LINEST VARS'!$S$58*(8)+'LINEST VARS'!$R$58*($CK$56)+'LINEST VARS'!$Q$58*($BX67)+'LINEST VARS'!$P$58*(12.73)+'LINEST VARS'!$O$58*(8^2)+'LINEST VARS'!$N$58*(8^2)+'LINEST VARS'!$M$58*($CK$56^2)+'LINEST VARS'!$L$58*($BX67^2)+'LINEST VARS'!$K$58*(12.73^2)+'LINEST VARS'!$J$58*(8*8)+'LINEST VARS'!$I$58*(8*$CK$56)+'LINEST VARS'!$H$58*(8*$BX67)+'LINEST VARS'!$G$58*(8*12.73)+'LINEST VARS'!$F$58*(8*$CK$56)+'LINEST VARS'!$E$58*(8*$BX67)+'LINEST VARS'!$D$58*(8*12.73)+'LINEST VARS'!$C$58*($CK$56*$BX67)+'LINEST VARS'!$B$58*($CK$56*12.73)+'LINEST VARS'!$A$58*($BX67*12.73)</f>
        <v>0.95965000000000023</v>
      </c>
      <c r="CL67" s="51">
        <f>'LINEST VARS'!$U$58+'LINEST VARS'!$T$58*(8)+'LINEST VARS'!$S$58*(8)+'LINEST VARS'!$R$58*($CL$56)+'LINEST VARS'!$Q$58*($BX67)+'LINEST VARS'!$P$58*(12.73)+'LINEST VARS'!$O$58*(8^2)+'LINEST VARS'!$N$58*(8^2)+'LINEST VARS'!$M$58*($CL$56^2)+'LINEST VARS'!$L$58*($BX67^2)+'LINEST VARS'!$K$58*(12.73^2)+'LINEST VARS'!$J$58*(8*8)+'LINEST VARS'!$I$58*(8*$CL$56)+'LINEST VARS'!$H$58*(8*$BX67)+'LINEST VARS'!$G$58*(8*12.73)+'LINEST VARS'!$F$58*(8*$CL$56)+'LINEST VARS'!$E$58*(8*$BX67)+'LINEST VARS'!$D$58*(8*12.73)+'LINEST VARS'!$C$58*($CL$56*$BX67)+'LINEST VARS'!$B$58*($CL$56*12.73)+'LINEST VARS'!$A$58*($BX67*12.73)</f>
        <v>0.96765000000000012</v>
      </c>
      <c r="CM67" s="51">
        <f>'LINEST VARS'!$U$58+'LINEST VARS'!$T$58*(8)+'LINEST VARS'!$S$58*(8)+'LINEST VARS'!$R$58*($CM$56)+'LINEST VARS'!$Q$58*($BX67)+'LINEST VARS'!$P$58*(12.73)+'LINEST VARS'!$O$58*(8^2)+'LINEST VARS'!$N$58*(8^2)+'LINEST VARS'!$M$58*($CM$56^2)+'LINEST VARS'!$L$58*($BX67^2)+'LINEST VARS'!$K$58*(12.73^2)+'LINEST VARS'!$J$58*(8*8)+'LINEST VARS'!$I$58*(8*$CM$56)+'LINEST VARS'!$H$58*(8*$BX67)+'LINEST VARS'!$G$58*(8*12.73)+'LINEST VARS'!$F$58*(8*$CM$56)+'LINEST VARS'!$E$58*(8*$BX67)+'LINEST VARS'!$D$58*(8*12.73)+'LINEST VARS'!$C$58*($CM$56*$BX67)+'LINEST VARS'!$B$58*($CM$56*12.73)+'LINEST VARS'!$A$58*($BX67*12.73)</f>
        <v>0.97565000000000024</v>
      </c>
      <c r="CN67" s="51">
        <f>'LINEST VARS'!$U$58+'LINEST VARS'!$T$58*(8)+'LINEST VARS'!$S$58*(8)+'LINEST VARS'!$R$58*($CN$56)+'LINEST VARS'!$Q$58*($BX67)+'LINEST VARS'!$P$58*(12.73)+'LINEST VARS'!$O$58*(8^2)+'LINEST VARS'!$N$58*(8^2)+'LINEST VARS'!$M$58*($CN$56^2)+'LINEST VARS'!$L$58*($BX67^2)+'LINEST VARS'!$K$58*(12.73^2)+'LINEST VARS'!$J$58*(8*8)+'LINEST VARS'!$I$58*(8*$CN$56)+'LINEST VARS'!$H$58*(8*$BX67)+'LINEST VARS'!$G$58*(8*12.73)+'LINEST VARS'!$F$58*(8*$CN$56)+'LINEST VARS'!$E$58*(8*$BX67)+'LINEST VARS'!$D$58*(8*12.73)+'LINEST VARS'!$C$58*($CN$56*$BX67)+'LINEST VARS'!$B$58*($CN$56*12.73)+'LINEST VARS'!$A$58*($BX67*12.73)</f>
        <v>0.98365000000000025</v>
      </c>
      <c r="CO67" s="51">
        <f>'LINEST VARS'!$U$58+'LINEST VARS'!$T$58*(8)+'LINEST VARS'!$S$58*(8)+'LINEST VARS'!$R$58*($CO$56)+'LINEST VARS'!$Q$58*($BX67)+'LINEST VARS'!$P$58*(12.73)+'LINEST VARS'!$O$58*(8^2)+'LINEST VARS'!$N$58*(8^2)+'LINEST VARS'!$M$58*($CO$56^2)+'LINEST VARS'!$L$58*($BX67^2)+'LINEST VARS'!$K$58*(12.73^2)+'LINEST VARS'!$J$58*(8*8)+'LINEST VARS'!$I$58*(8*$CO$56)+'LINEST VARS'!$H$58*(8*$BX67)+'LINEST VARS'!$G$58*(8*12.73)+'LINEST VARS'!$F$58*(8*$CO$56)+'LINEST VARS'!$E$58*(8*$BX67)+'LINEST VARS'!$D$58*(8*12.73)+'LINEST VARS'!$C$58*($CO$56*$BX67)+'LINEST VARS'!$B$58*($CO$56*12.73)+'LINEST VARS'!$A$58*($BX67*12.73)</f>
        <v>0.99165000000000036</v>
      </c>
      <c r="CP67" s="51">
        <f>'LINEST VARS'!$U$58+'LINEST VARS'!$T$58*(8)+'LINEST VARS'!$S$58*(8)+'LINEST VARS'!$R$58*($CP$56)+'LINEST VARS'!$Q$58*($BX67)+'LINEST VARS'!$P$58*(12.73)+'LINEST VARS'!$O$58*(8^2)+'LINEST VARS'!$N$58*(8^2)+'LINEST VARS'!$M$58*($CP$56^2)+'LINEST VARS'!$L$58*($BX67^2)+'LINEST VARS'!$K$58*(12.73^2)+'LINEST VARS'!$J$58*(8*8)+'LINEST VARS'!$I$58*(8*$CP$56)+'LINEST VARS'!$H$58*(8*$BX67)+'LINEST VARS'!$G$58*(8*12.73)+'LINEST VARS'!$F$58*(8*$CP$56)+'LINEST VARS'!$E$58*(8*$BX67)+'LINEST VARS'!$D$58*(8*12.73)+'LINEST VARS'!$C$58*($CP$56*$BX67)+'LINEST VARS'!$B$58*($CP$56*12.73)+'LINEST VARS'!$A$58*($BX67*12.73)</f>
        <v>0.99965000000000037</v>
      </c>
      <c r="CQ67" s="51">
        <f>'LINEST VARS'!$U$58+'LINEST VARS'!$T$58*(8)+'LINEST VARS'!$S$58*(8)+'LINEST VARS'!$R$58*($CQ$56)+'LINEST VARS'!$Q$58*($BX67)+'LINEST VARS'!$P$58*(12.73)+'LINEST VARS'!$O$58*(8^2)+'LINEST VARS'!$N$58*(8^2)+'LINEST VARS'!$M$58*($CQ$56^2)+'LINEST VARS'!$L$58*($BX67^2)+'LINEST VARS'!$K$58*(12.73^2)+'LINEST VARS'!$J$58*(8*8)+'LINEST VARS'!$I$58*(8*$CQ$56)+'LINEST VARS'!$H$58*(8*$BX67)+'LINEST VARS'!$G$58*(8*12.73)+'LINEST VARS'!$F$58*(8*$CQ$56)+'LINEST VARS'!$E$58*(8*$BX67)+'LINEST VARS'!$D$58*(8*12.73)+'LINEST VARS'!$C$58*($CQ$56*$BX67)+'LINEST VARS'!$B$58*($CQ$56*12.73)+'LINEST VARS'!$A$58*($BX67*12.73)</f>
        <v>1.0076500000000002</v>
      </c>
      <c r="CR67" s="51">
        <f>'LINEST VARS'!$U$58+'LINEST VARS'!$T$58*(8)+'LINEST VARS'!$S$58*(8)+'LINEST VARS'!$R$58*($CR$56)+'LINEST VARS'!$Q$58*($BX67)+'LINEST VARS'!$P$58*(12.73)+'LINEST VARS'!$O$58*(8^2)+'LINEST VARS'!$N$58*(8^2)+'LINEST VARS'!$M$58*($CR$56^2)+'LINEST VARS'!$L$58*($BX67^2)+'LINEST VARS'!$K$58*(12.73^2)+'LINEST VARS'!$J$58*(8*8)+'LINEST VARS'!$I$58*(8*$CR$56)+'LINEST VARS'!$H$58*(8*$BX67)+'LINEST VARS'!$G$58*(8*12.73)+'LINEST VARS'!$F$58*(8*$CR$56)+'LINEST VARS'!$E$58*(8*$BX67)+'LINEST VARS'!$D$58*(8*12.73)+'LINEST VARS'!$C$58*($CR$56*$BX67)+'LINEST VARS'!$B$58*($CR$56*12.73)+'LINEST VARS'!$A$58*($BX67*12.73)</f>
        <v>1.0156499999999999</v>
      </c>
      <c r="CS67" s="52">
        <f>'LINEST VARS'!$U$58+'LINEST VARS'!$T$58*(8)+'LINEST VARS'!$S$58*(8)+'LINEST VARS'!$R$58*($CS$56)+'LINEST VARS'!$Q$58*($BX67)+'LINEST VARS'!$P$58*(12.73)+'LINEST VARS'!$O$58*(8^2)+'LINEST VARS'!$N$58*(8^2)+'LINEST VARS'!$M$58*($CS$56^2)+'LINEST VARS'!$L$58*($BX67^2)+'LINEST VARS'!$K$58*(12.73^2)+'LINEST VARS'!$J$58*(8*8)+'LINEST VARS'!$I$58*(8*$CS$56)+'LINEST VARS'!$H$58*(8*$BX67)+'LINEST VARS'!$G$58*(8*12.73)+'LINEST VARS'!$F$58*(8*$CS$56)+'LINEST VARS'!$E$58*(8*$BX67)+'LINEST VARS'!$D$58*(8*12.73)+'LINEST VARS'!$C$58*($CS$56*$BX67)+'LINEST VARS'!$B$58*($CS$56*12.73)+'LINEST VARS'!$A$58*($BX67*12.73)</f>
        <v>1.0236500000000002</v>
      </c>
      <c r="CX67" s="45">
        <v>12.994999999999999</v>
      </c>
      <c r="CY67" s="51">
        <f>'LINEST VARS'!$U$56+'LINEST VARS'!$T$56*(8)+'LINEST VARS'!$S$56*(8)+'LINEST VARS'!$R$56*($CY$56)+'LINEST VARS'!$Q$56*(0.5)+'LINEST VARS'!$P$56*($CX67)+'LINEST VARS'!$O$56*(8^2)+'LINEST VARS'!$N$56*(8^2)+'LINEST VARS'!$M$56*($CY$56^2)+'LINEST VARS'!$L$56*(0.5^2)+'LINEST VARS'!$K$56*($CX67^2)+'LINEST VARS'!$J$56*(8*8)+'LINEST VARS'!$I$56*(8*$CY$56)+'LINEST VARS'!$H$56*(8*0.5)+'LINEST VARS'!$G$56*(8*$CX67)+'LINEST VARS'!$F$56*(8*$CY$56)+'LINEST VARS'!$E$56*(8*0.5)+'LINEST VARS'!$D$56*(8*$CX67)+'LINEST VARS'!$C$56*($CY$56*0.5)+'LINEST VARS'!$B$56*($CY$56*$CX67)+'LINEST VARS'!$A$56*(0.5*$CX67)</f>
        <v>2.8000000000000007</v>
      </c>
      <c r="CZ67" s="51">
        <f>'LINEST VARS'!$U$56+'LINEST VARS'!$T$56*(8)+'LINEST VARS'!$S$56*(8)+'LINEST VARS'!$R$56*($CZ$56)+'LINEST VARS'!$Q$56*(0.5)+'LINEST VARS'!$P$56*($CX67)+'LINEST VARS'!$O$56*(8^2)+'LINEST VARS'!$N$56*(8^2)+'LINEST VARS'!$M$56*($CZ$56^2)+'LINEST VARS'!$L$56*(0.5^2)+'LINEST VARS'!$K$56*($CX67^2)+'LINEST VARS'!$J$56*(8*8)+'LINEST VARS'!$I$56*(8*$CZ$56)+'LINEST VARS'!$H$56*(8*0.5)+'LINEST VARS'!$G$56*(8*$CX67)+'LINEST VARS'!$F$56*(8*$CZ$56)+'LINEST VARS'!$E$56*(8*0.5)+'LINEST VARS'!$D$56*(8*$CX67)+'LINEST VARS'!$C$56*($CZ$56*0.5)+'LINEST VARS'!$B$56*($CZ$56*$CX67)+'LINEST VARS'!$A$56*(0.5*$CX67)</f>
        <v>2.8184000000000009</v>
      </c>
      <c r="DA67" s="51">
        <f>'LINEST VARS'!$U$56+'LINEST VARS'!$T$56*(8)+'LINEST VARS'!$S$56*(8)+'LINEST VARS'!$R$56*($DA$56)+'LINEST VARS'!$Q$56*(0.5)+'LINEST VARS'!$P$56*($CX67)+'LINEST VARS'!$O$56*(8^2)+'LINEST VARS'!$N$56*(8^2)+'LINEST VARS'!$M$56*($DA$56^2)+'LINEST VARS'!$L$56*(0.5^2)+'LINEST VARS'!$K$56*($CX67^2)+'LINEST VARS'!$J$56*(8*8)+'LINEST VARS'!$I$56*(8*$DA$56)+'LINEST VARS'!$H$56*(8*0.5)+'LINEST VARS'!$G$56*(8*$CX67)+'LINEST VARS'!$F$56*(8*$DA$56)+'LINEST VARS'!$E$56*(8*0.5)+'LINEST VARS'!$D$56*(8*$CX67)+'LINEST VARS'!$C$56*($DA$56*0.5)+'LINEST VARS'!$B$56*($DA$56*$CX67)+'LINEST VARS'!$A$56*(0.5*$CX67)</f>
        <v>2.8336000000000006</v>
      </c>
      <c r="DB67" s="51">
        <f>'LINEST VARS'!$U$56+'LINEST VARS'!$T$56*(8)+'LINEST VARS'!$S$56*(8)+'LINEST VARS'!$R$56*($DB$56)+'LINEST VARS'!$Q$56*(0.5)+'LINEST VARS'!$P$56*($CX67)+'LINEST VARS'!$O$56*(8^2)+'LINEST VARS'!$N$56*(8^2)+'LINEST VARS'!$M$56*($DB$56^2)+'LINEST VARS'!$L$56*(0.5^2)+'LINEST VARS'!$K$56*($CX67^2)+'LINEST VARS'!$J$56*(8*8)+'LINEST VARS'!$I$56*(8*$DB$56)+'LINEST VARS'!$H$56*(8*0.5)+'LINEST VARS'!$G$56*(8*$CX67)+'LINEST VARS'!$F$56*(8*$DB$56)+'LINEST VARS'!$E$56*(8*0.5)+'LINEST VARS'!$D$56*(8*$CX67)+'LINEST VARS'!$C$56*($DB$56*0.5)+'LINEST VARS'!$B$56*($DB$56*$CX67)+'LINEST VARS'!$A$56*(0.5*$CX67)</f>
        <v>2.8456000000000006</v>
      </c>
      <c r="DC67" s="51">
        <f>'LINEST VARS'!$U$56+'LINEST VARS'!$T$56*(8)+'LINEST VARS'!$S$56*(8)+'LINEST VARS'!$R$56*($DC$56)+'LINEST VARS'!$Q$56*(0.5)+'LINEST VARS'!$P$56*($CX67)+'LINEST VARS'!$O$56*(8^2)+'LINEST VARS'!$N$56*(8^2)+'LINEST VARS'!$M$56*($DC$56^2)+'LINEST VARS'!$L$56*(0.5^2)+'LINEST VARS'!$K$56*($CX67^2)+'LINEST VARS'!$J$56*(8*8)+'LINEST VARS'!$I$56*(8*$DC$56)+'LINEST VARS'!$H$56*(8*0.5)+'LINEST VARS'!$G$56*(8*$CX67)+'LINEST VARS'!$F$56*(8*$DC$56)+'LINEST VARS'!$E$56*(8*0.5)+'LINEST VARS'!$D$56*(8*$CX67)+'LINEST VARS'!$C$56*($DC$56*0.5)+'LINEST VARS'!$B$56*($DC$56*$CX67)+'LINEST VARS'!$A$56*(0.5*$CX67)</f>
        <v>2.8544000000000009</v>
      </c>
      <c r="DD67" s="51">
        <f>'LINEST VARS'!$U$56+'LINEST VARS'!$T$56*(8)+'LINEST VARS'!$S$56*(8)+'LINEST VARS'!$R$56*($DD$56)+'LINEST VARS'!$Q$56*(0.5)+'LINEST VARS'!$P$56*($CX67)+'LINEST VARS'!$O$56*(8^2)+'LINEST VARS'!$N$56*(8^2)+'LINEST VARS'!$M$56*($DD$56^2)+'LINEST VARS'!$L$56*(0.5^2)+'LINEST VARS'!$K$56*($CX67^2)+'LINEST VARS'!$J$56*(8*8)+'LINEST VARS'!$I$56*(8*$DD$56)+'LINEST VARS'!$H$56*(8*0.5)+'LINEST VARS'!$G$56*(8*$CX67)+'LINEST VARS'!$F$56*(8*$DD$56)+'LINEST VARS'!$E$56*(8*0.5)+'LINEST VARS'!$D$56*(8*$CX67)+'LINEST VARS'!$C$56*($DD$56*0.5)+'LINEST VARS'!$B$56*($DD$56*$CX67)+'LINEST VARS'!$A$56*(0.5*$CX67)</f>
        <v>2.8600000000000008</v>
      </c>
      <c r="DE67" s="51">
        <f>'LINEST VARS'!$U$56+'LINEST VARS'!$T$56*(8)+'LINEST VARS'!$S$56*(8)+'LINEST VARS'!$R$56*($DE$56)+'LINEST VARS'!$Q$56*(0.5)+'LINEST VARS'!$P$56*($CX67)+'LINEST VARS'!$O$56*(8^2)+'LINEST VARS'!$N$56*(8^2)+'LINEST VARS'!$M$56*($DE$56^2)+'LINEST VARS'!$L$56*(0.5^2)+'LINEST VARS'!$K$56*($CX67^2)+'LINEST VARS'!$J$56*(8*8)+'LINEST VARS'!$I$56*(8*$DE$56)+'LINEST VARS'!$H$56*(8*0.5)+'LINEST VARS'!$G$56*(8*$CX67)+'LINEST VARS'!$F$56*(8*$DE$56)+'LINEST VARS'!$E$56*(8*0.5)+'LINEST VARS'!$D$56*(8*$CX67)+'LINEST VARS'!$C$56*($DE$56*0.5)+'LINEST VARS'!$B$56*($DE$56*$CX67)+'LINEST VARS'!$A$56*(0.5*$CX67)</f>
        <v>2.8624000000000009</v>
      </c>
      <c r="DF67" s="51">
        <f>'LINEST VARS'!$U$56+'LINEST VARS'!$T$56*(8)+'LINEST VARS'!$S$56*(8)+'LINEST VARS'!$R$56*($DF$56)+'LINEST VARS'!$Q$56*(0.5)+'LINEST VARS'!$P$56*($CX67)+'LINEST VARS'!$O$56*(8^2)+'LINEST VARS'!$N$56*(8^2)+'LINEST VARS'!$M$56*($DF$56^2)+'LINEST VARS'!$L$56*(0.5^2)+'LINEST VARS'!$K$56*($CX67^2)+'LINEST VARS'!$J$56*(8*8)+'LINEST VARS'!$I$56*(8*$DF$56)+'LINEST VARS'!$H$56*(8*0.5)+'LINEST VARS'!$G$56*(8*$CX67)+'LINEST VARS'!$F$56*(8*$DF$56)+'LINEST VARS'!$E$56*(8*0.5)+'LINEST VARS'!$D$56*(8*$CX67)+'LINEST VARS'!$C$56*($DF$56*0.5)+'LINEST VARS'!$B$56*($DF$56*$CX67)+'LINEST VARS'!$A$56*(0.5*$CX67)</f>
        <v>2.8616000000000006</v>
      </c>
      <c r="DG67" s="51">
        <f>'LINEST VARS'!$U$56+'LINEST VARS'!$T$56*(8)+'LINEST VARS'!$S$56*(8)+'LINEST VARS'!$R$56*($DG$56)+'LINEST VARS'!$Q$56*(0.5)+'LINEST VARS'!$P$56*($CX67)+'LINEST VARS'!$O$56*(8^2)+'LINEST VARS'!$N$56*(8^2)+'LINEST VARS'!$M$56*($DG$56^2)+'LINEST VARS'!$L$56*(0.5^2)+'LINEST VARS'!$K$56*($CX67^2)+'LINEST VARS'!$J$56*(8*8)+'LINEST VARS'!$I$56*(8*$DG$56)+'LINEST VARS'!$H$56*(8*0.5)+'LINEST VARS'!$G$56*(8*$CX67)+'LINEST VARS'!$F$56*(8*$DG$56)+'LINEST VARS'!$E$56*(8*0.5)+'LINEST VARS'!$D$56*(8*$CX67)+'LINEST VARS'!$C$56*($DG$56*0.5)+'LINEST VARS'!$B$56*($DG$56*$CX67)+'LINEST VARS'!$A$56*(0.5*$CX67)</f>
        <v>2.8576000000000006</v>
      </c>
      <c r="DH67" s="51">
        <f>'LINEST VARS'!$U$56+'LINEST VARS'!$T$56*(8)+'LINEST VARS'!$S$56*(8)+'LINEST VARS'!$R$56*($DH$56)+'LINEST VARS'!$Q$56*(0.5)+'LINEST VARS'!$P$56*($CX67)+'LINEST VARS'!$O$56*(8^2)+'LINEST VARS'!$N$56*(8^2)+'LINEST VARS'!$M$56*($DH$56^2)+'LINEST VARS'!$L$56*(0.5^2)+'LINEST VARS'!$K$56*($CX67^2)+'LINEST VARS'!$J$56*(8*8)+'LINEST VARS'!$I$56*(8*$DH$56)+'LINEST VARS'!$H$56*(8*0.5)+'LINEST VARS'!$G$56*(8*$CX67)+'LINEST VARS'!$F$56*(8*$DH$56)+'LINEST VARS'!$E$56*(8*0.5)+'LINEST VARS'!$D$56*(8*$CX67)+'LINEST VARS'!$C$56*($DH$56*0.5)+'LINEST VARS'!$B$56*($DH$56*$CX67)+'LINEST VARS'!$A$56*(0.5*$CX67)</f>
        <v>2.8504000000000009</v>
      </c>
      <c r="DI67" s="51">
        <f>'LINEST VARS'!$U$56+'LINEST VARS'!$T$56*(8)+'LINEST VARS'!$S$56*(8)+'LINEST VARS'!$R$56*($DI$56)+'LINEST VARS'!$Q$56*(0.5)+'LINEST VARS'!$P$56*($CX67)+'LINEST VARS'!$O$56*(8^2)+'LINEST VARS'!$N$56*(8^2)+'LINEST VARS'!$M$56*($DI$56^2)+'LINEST VARS'!$L$56*(0.5^2)+'LINEST VARS'!$K$56*($CX67^2)+'LINEST VARS'!$J$56*(8*8)+'LINEST VARS'!$I$56*(8*$DI$56)+'LINEST VARS'!$H$56*(8*0.5)+'LINEST VARS'!$G$56*(8*$CX67)+'LINEST VARS'!$F$56*(8*$DI$56)+'LINEST VARS'!$E$56*(8*0.5)+'LINEST VARS'!$D$56*(8*$CX67)+'LINEST VARS'!$C$56*($DI$56*0.5)+'LINEST VARS'!$B$56*($DI$56*$CX67)+'LINEST VARS'!$A$56*(0.5*$CX67)</f>
        <v>2.8400000000000007</v>
      </c>
      <c r="DJ67" s="51">
        <f>'LINEST VARS'!$U$56+'LINEST VARS'!$T$56*(8)+'LINEST VARS'!$S$56*(8)+'LINEST VARS'!$R$56*($DJ$56)+'LINEST VARS'!$Q$56*(0.5)+'LINEST VARS'!$P$56*($CX67)+'LINEST VARS'!$O$56*(8^2)+'LINEST VARS'!$N$56*(8^2)+'LINEST VARS'!$M$56*($DJ$56^2)+'LINEST VARS'!$L$56*(0.5^2)+'LINEST VARS'!$K$56*($CX67^2)+'LINEST VARS'!$J$56*(8*8)+'LINEST VARS'!$I$56*(8*$DJ$56)+'LINEST VARS'!$H$56*(8*0.5)+'LINEST VARS'!$G$56*(8*$CX67)+'LINEST VARS'!$F$56*(8*$DJ$56)+'LINEST VARS'!$E$56*(8*0.5)+'LINEST VARS'!$D$56*(8*$CX67)+'LINEST VARS'!$C$56*($DJ$56*0.5)+'LINEST VARS'!$B$56*($DJ$56*$CX67)+'LINEST VARS'!$A$56*(0.5*$CX67)</f>
        <v>2.8264000000000009</v>
      </c>
      <c r="DK67" s="51">
        <f>'LINEST VARS'!$U$56+'LINEST VARS'!$T$56*(8)+'LINEST VARS'!$S$56*(8)+'LINEST VARS'!$R$56*($DK$56)+'LINEST VARS'!$Q$56*(0.5)+'LINEST VARS'!$P$56*($CX67)+'LINEST VARS'!$O$56*(8^2)+'LINEST VARS'!$N$56*(8^2)+'LINEST VARS'!$M$56*($DK$56^2)+'LINEST VARS'!$L$56*(0.5^2)+'LINEST VARS'!$K$56*($CX67^2)+'LINEST VARS'!$J$56*(8*8)+'LINEST VARS'!$I$56*(8*$DK$56)+'LINEST VARS'!$H$56*(8*0.5)+'LINEST VARS'!$G$56*(8*$CX67)+'LINEST VARS'!$F$56*(8*$DK$56)+'LINEST VARS'!$E$56*(8*0.5)+'LINEST VARS'!$D$56*(8*$CX67)+'LINEST VARS'!$C$56*($DK$56*0.5)+'LINEST VARS'!$B$56*($DK$56*$CX67)+'LINEST VARS'!$A$56*(0.5*$CX67)</f>
        <v>2.8096000000000005</v>
      </c>
      <c r="DL67" s="51">
        <f>'LINEST VARS'!$U$56+'LINEST VARS'!$T$56*(8)+'LINEST VARS'!$S$56*(8)+'LINEST VARS'!$R$56*($DL$56)+'LINEST VARS'!$Q$56*(0.5)+'LINEST VARS'!$P$56*($CX67)+'LINEST VARS'!$O$56*(8^2)+'LINEST VARS'!$N$56*(8^2)+'LINEST VARS'!$M$56*($DL$56^2)+'LINEST VARS'!$L$56*(0.5^2)+'LINEST VARS'!$K$56*($CX67^2)+'LINEST VARS'!$J$56*(8*8)+'LINEST VARS'!$I$56*(8*$DL$56)+'LINEST VARS'!$H$56*(8*0.5)+'LINEST VARS'!$G$56*(8*$CX67)+'LINEST VARS'!$F$56*(8*$DL$56)+'LINEST VARS'!$E$56*(8*0.5)+'LINEST VARS'!$D$56*(8*$CX67)+'LINEST VARS'!$C$56*($DL$56*0.5)+'LINEST VARS'!$B$56*($DL$56*$CX67)+'LINEST VARS'!$A$56*(0.5*$CX67)</f>
        <v>2.7896000000000005</v>
      </c>
      <c r="DM67" s="51">
        <f>'LINEST VARS'!$U$56+'LINEST VARS'!$T$56*(8)+'LINEST VARS'!$S$56*(8)+'LINEST VARS'!$R$56*($DM$56)+'LINEST VARS'!$Q$56*(0.5)+'LINEST VARS'!$P$56*($CX67)+'LINEST VARS'!$O$56*(8^2)+'LINEST VARS'!$N$56*(8^2)+'LINEST VARS'!$M$56*($DM$56^2)+'LINEST VARS'!$L$56*(0.5^2)+'LINEST VARS'!$K$56*($CX67^2)+'LINEST VARS'!$J$56*(8*8)+'LINEST VARS'!$I$56*(8*$DM$56)+'LINEST VARS'!$H$56*(8*0.5)+'LINEST VARS'!$G$56*(8*$CX67)+'LINEST VARS'!$F$56*(8*$DM$56)+'LINEST VARS'!$E$56*(8*0.5)+'LINEST VARS'!$D$56*(8*$CX67)+'LINEST VARS'!$C$56*($DM$56*0.5)+'LINEST VARS'!$B$56*($DM$56*$CX67)+'LINEST VARS'!$A$56*(0.5*$CX67)</f>
        <v>2.7664000000000009</v>
      </c>
      <c r="DN67" s="51">
        <f>'LINEST VARS'!$U$56+'LINEST VARS'!$T$56*(8)+'LINEST VARS'!$S$56*(8)+'LINEST VARS'!$R$56*($DN$56)+'LINEST VARS'!$Q$56*(0.5)+'LINEST VARS'!$P$56*($CX67)+'LINEST VARS'!$O$56*(8^2)+'LINEST VARS'!$N$56*(8^2)+'LINEST VARS'!$M$56*($DN$56^2)+'LINEST VARS'!$L$56*(0.5^2)+'LINEST VARS'!$K$56*($CX67^2)+'LINEST VARS'!$J$56*(8*8)+'LINEST VARS'!$I$56*(8*$DN$56)+'LINEST VARS'!$H$56*(8*0.5)+'LINEST VARS'!$G$56*(8*$CX67)+'LINEST VARS'!$F$56*(8*$DN$56)+'LINEST VARS'!$E$56*(8*0.5)+'LINEST VARS'!$D$56*(8*$CX67)+'LINEST VARS'!$C$56*($DN$56*0.5)+'LINEST VARS'!$B$56*($DN$56*$CX67)+'LINEST VARS'!$A$56*(0.5*$CX67)</f>
        <v>2.7400000000000007</v>
      </c>
      <c r="DO67" s="51">
        <f>'LINEST VARS'!$U$56+'LINEST VARS'!$T$56*(8)+'LINEST VARS'!$S$56*(8)+'LINEST VARS'!$R$56*($DO$56)+'LINEST VARS'!$Q$56*(0.5)+'LINEST VARS'!$P$56*($CX67)+'LINEST VARS'!$O$56*(8^2)+'LINEST VARS'!$N$56*(8^2)+'LINEST VARS'!$M$56*($DO$56^2)+'LINEST VARS'!$L$56*(0.5^2)+'LINEST VARS'!$K$56*($CX67^2)+'LINEST VARS'!$J$56*(8*8)+'LINEST VARS'!$I$56*(8*$DO$56)+'LINEST VARS'!$H$56*(8*0.5)+'LINEST VARS'!$G$56*(8*$CX67)+'LINEST VARS'!$F$56*(8*$DO$56)+'LINEST VARS'!$E$56*(8*0.5)+'LINEST VARS'!$D$56*(8*$CX67)+'LINEST VARS'!$C$56*($DO$56*0.5)+'LINEST VARS'!$B$56*($DO$56*$CX67)+'LINEST VARS'!$A$56*(0.5*$CX67)</f>
        <v>2.7104000000000004</v>
      </c>
      <c r="DP67" s="51">
        <f>'LINEST VARS'!$U$56+'LINEST VARS'!$T$56*(8)+'LINEST VARS'!$S$56*(8)+'LINEST VARS'!$R$56*($DP$56)+'LINEST VARS'!$Q$56*(0.5)+'LINEST VARS'!$P$56*($CX67)+'LINEST VARS'!$O$56*(8^2)+'LINEST VARS'!$N$56*(8^2)+'LINEST VARS'!$M$56*($DP$56^2)+'LINEST VARS'!$L$56*(0.5^2)+'LINEST VARS'!$K$56*($CX67^2)+'LINEST VARS'!$J$56*(8*8)+'LINEST VARS'!$I$56*(8*$DP$56)+'LINEST VARS'!$H$56*(8*0.5)+'LINEST VARS'!$G$56*(8*$CX67)+'LINEST VARS'!$F$56*(8*$DP$56)+'LINEST VARS'!$E$56*(8*0.5)+'LINEST VARS'!$D$56*(8*$CX67)+'LINEST VARS'!$C$56*($DP$56*0.5)+'LINEST VARS'!$B$56*($DP$56*$CX67)+'LINEST VARS'!$A$56*(0.5*$CX67)</f>
        <v>2.6776000000000004</v>
      </c>
      <c r="DQ67" s="51">
        <f>'LINEST VARS'!$U$56+'LINEST VARS'!$T$56*(8)+'LINEST VARS'!$S$56*(8)+'LINEST VARS'!$R$56*($DQ$56)+'LINEST VARS'!$Q$56*(0.5)+'LINEST VARS'!$P$56*($CX67)+'LINEST VARS'!$O$56*(8^2)+'LINEST VARS'!$N$56*(8^2)+'LINEST VARS'!$M$56*($DQ$56^2)+'LINEST VARS'!$L$56*(0.5^2)+'LINEST VARS'!$K$56*($CX67^2)+'LINEST VARS'!$J$56*(8*8)+'LINEST VARS'!$I$56*(8*$DQ$56)+'LINEST VARS'!$H$56*(8*0.5)+'LINEST VARS'!$G$56*(8*$CX67)+'LINEST VARS'!$F$56*(8*$DQ$56)+'LINEST VARS'!$E$56*(8*0.5)+'LINEST VARS'!$D$56*(8*$CX67)+'LINEST VARS'!$C$56*($DQ$56*0.5)+'LINEST VARS'!$B$56*($DQ$56*$CX67)+'LINEST VARS'!$A$56*(0.5*$CX67)</f>
        <v>2.6416000000000004</v>
      </c>
      <c r="DR67" s="51">
        <f>'LINEST VARS'!$U$56+'LINEST VARS'!$T$56*(8)+'LINEST VARS'!$S$56*(8)+'LINEST VARS'!$R$56*($DR$56)+'LINEST VARS'!$Q$56*(0.5)+'LINEST VARS'!$P$56*($CX67)+'LINEST VARS'!$O$56*(8^2)+'LINEST VARS'!$N$56*(8^2)+'LINEST VARS'!$M$56*($DR$56^2)+'LINEST VARS'!$L$56*(0.5^2)+'LINEST VARS'!$K$56*($CX67^2)+'LINEST VARS'!$J$56*(8*8)+'LINEST VARS'!$I$56*(8*$DR$56)+'LINEST VARS'!$H$56*(8*0.5)+'LINEST VARS'!$G$56*(8*$CX67)+'LINEST VARS'!$F$56*(8*$DR$56)+'LINEST VARS'!$E$56*(8*0.5)+'LINEST VARS'!$D$56*(8*$CX67)+'LINEST VARS'!$C$56*($DR$56*0.5)+'LINEST VARS'!$B$56*($DR$56*$CX67)+'LINEST VARS'!$A$56*(0.5*$CX67)</f>
        <v>2.6024000000000007</v>
      </c>
      <c r="DS67" s="52">
        <f>'LINEST VARS'!$U$56+'LINEST VARS'!$T$56*(8)+'LINEST VARS'!$S$56*(8)+'LINEST VARS'!$R$56*($DS$56)+'LINEST VARS'!$Q$56*(0.5)+'LINEST VARS'!$P$56*($CX67)+'LINEST VARS'!$O$56*(8^2)+'LINEST VARS'!$N$56*(8^2)+'LINEST VARS'!$M$56*($DS$56^2)+'LINEST VARS'!$L$56*(0.5^2)+'LINEST VARS'!$K$56*($CX67^2)+'LINEST VARS'!$J$56*(8*8)+'LINEST VARS'!$I$56*(8*$DS$56)+'LINEST VARS'!$H$56*(8*0.5)+'LINEST VARS'!$G$56*(8*$CX67)+'LINEST VARS'!$F$56*(8*$DS$56)+'LINEST VARS'!$E$56*(8*0.5)+'LINEST VARS'!$D$56*(8*$CX67)+'LINEST VARS'!$C$56*($DS$56*0.5)+'LINEST VARS'!$B$56*($DS$56*$CX67)+'LINEST VARS'!$A$56*(0.5*$CX67)</f>
        <v>2.5600000000000005</v>
      </c>
      <c r="DV67" s="45">
        <v>12.994999999999999</v>
      </c>
      <c r="DW67" s="51">
        <f>'LINEST VARS'!$U$58+'LINEST VARS'!$T$58*(8)+'LINEST VARS'!$S$58*(8)+'LINEST VARS'!$R$58*($DW$56)+'LINEST VARS'!$Q$58*(0.5)+'LINEST VARS'!$P$58*($DV67)+'LINEST VARS'!$O$58*(8^2)+'LINEST VARS'!$N$58*(8^2)+'LINEST VARS'!$M$58*($DW$56^2)+'LINEST VARS'!$L$58*(0.5^2)+'LINEST VARS'!$K$58*($DV67^2)+'LINEST VARS'!$J$58*(8*8)+'LINEST VARS'!$I$58*(8*$DW$56)+'LINEST VARS'!$H$58*(8*0.5)+'LINEST VARS'!$G$58*(8*$DV67)+'LINEST VARS'!$F$58*(8*$DW$56)+'LINEST VARS'!$E$58*(8*0.5)+'LINEST VARS'!$D$58*(8*$DV67)+'LINEST VARS'!$C$58*($DW$56*0.5)+'LINEST VARS'!$B$58*($DW$56*$DV67)+'LINEST VARS'!$A$58*(0.5*$DV67)</f>
        <v>0.86497500000000038</v>
      </c>
      <c r="DX67" s="51">
        <f>'LINEST VARS'!$U$58+'LINEST VARS'!$T$58*(8)+'LINEST VARS'!$S$58*(8)+'LINEST VARS'!$R$58*($DX$56)+'LINEST VARS'!$Q$58*(0.5)+'LINEST VARS'!$P$58*($DV67)+'LINEST VARS'!$O$58*(8^2)+'LINEST VARS'!$N$58*(8^2)+'LINEST VARS'!$M$58*($DX$56^2)+'LINEST VARS'!$L$58*(0.5^2)+'LINEST VARS'!$K$58*($DV67^2)+'LINEST VARS'!$J$58*(8*8)+'LINEST VARS'!$I$58*(8*$DX$56)+'LINEST VARS'!$H$58*(8*0.5)+'LINEST VARS'!$G$58*(8*$DV67)+'LINEST VARS'!$F$58*(8*$DX$56)+'LINEST VARS'!$E$58*(8*0.5)+'LINEST VARS'!$D$58*(8*$DV67)+'LINEST VARS'!$C$58*($DX$56*0.5)+'LINEST VARS'!$B$58*($DX$56*$DV67)+'LINEST VARS'!$A$58*(0.5*$DV67)</f>
        <v>0.87297500000000039</v>
      </c>
      <c r="DY67" s="51">
        <f>'LINEST VARS'!$U$58+'LINEST VARS'!$T$58*(8)+'LINEST VARS'!$S$58*(8)+'LINEST VARS'!$R$58*($DY$56)+'LINEST VARS'!$Q$58*(0.5)+'LINEST VARS'!$P$58*($DV67)+'LINEST VARS'!$O$58*(8^2)+'LINEST VARS'!$N$58*(8^2)+'LINEST VARS'!$M$58*($DY$56^2)+'LINEST VARS'!$L$58*(0.5^2)+'LINEST VARS'!$K$58*($DV67^2)+'LINEST VARS'!$J$58*(8*8)+'LINEST VARS'!$I$58*(8*$DY$56)+'LINEST VARS'!$H$58*(8*0.5)+'LINEST VARS'!$G$58*(8*$DV67)+'LINEST VARS'!$F$58*(8*$DY$56)+'LINEST VARS'!$E$58*(8*0.5)+'LINEST VARS'!$D$58*(8*$DV67)+'LINEST VARS'!$C$58*($DY$56*0.5)+'LINEST VARS'!$B$58*($DY$56*$DV67)+'LINEST VARS'!$A$58*(0.5*$DV67)</f>
        <v>0.88097500000000029</v>
      </c>
      <c r="DZ67" s="51">
        <f>'LINEST VARS'!$U$58+'LINEST VARS'!$T$58*(8)+'LINEST VARS'!$S$58*(8)+'LINEST VARS'!$R$58*($DZ$56)+'LINEST VARS'!$Q$58*(0.5)+'LINEST VARS'!$P$58*($DV67)+'LINEST VARS'!$O$58*(8^2)+'LINEST VARS'!$N$58*(8^2)+'LINEST VARS'!$M$58*($DZ$56^2)+'LINEST VARS'!$L$58*(0.5^2)+'LINEST VARS'!$K$58*($DV67^2)+'LINEST VARS'!$J$58*(8*8)+'LINEST VARS'!$I$58*(8*$DZ$56)+'LINEST VARS'!$H$58*(8*0.5)+'LINEST VARS'!$G$58*(8*$DV67)+'LINEST VARS'!$F$58*(8*$DZ$56)+'LINEST VARS'!$E$58*(8*0.5)+'LINEST VARS'!$D$58*(8*$DV67)+'LINEST VARS'!$C$58*($DZ$56*0.5)+'LINEST VARS'!$B$58*($DZ$56*$DV67)+'LINEST VARS'!$A$58*(0.5*$DV67)</f>
        <v>0.88897500000000029</v>
      </c>
      <c r="EA67" s="51">
        <f>'LINEST VARS'!$U$58+'LINEST VARS'!$T$58*(8)+'LINEST VARS'!$S$58*(8)+'LINEST VARS'!$R$58*($EA$56)+'LINEST VARS'!$Q$58*(0.5)+'LINEST VARS'!$P$58*($DV67)+'LINEST VARS'!$O$58*(8^2)+'LINEST VARS'!$N$58*(8^2)+'LINEST VARS'!$M$58*($EA$56^2)+'LINEST VARS'!$L$58*(0.5^2)+'LINEST VARS'!$K$58*($DV67^2)+'LINEST VARS'!$J$58*(8*8)+'LINEST VARS'!$I$58*(8*$EA$56)+'LINEST VARS'!$H$58*(8*0.5)+'LINEST VARS'!$G$58*(8*$DV67)+'LINEST VARS'!$F$58*(8*$EA$56)+'LINEST VARS'!$E$58*(8*0.5)+'LINEST VARS'!$D$58*(8*$DV67)+'LINEST VARS'!$C$58*($EA$56*0.5)+'LINEST VARS'!$B$58*($EA$56*$DV67)+'LINEST VARS'!$A$58*(0.5*$DV67)</f>
        <v>0.89697500000000019</v>
      </c>
      <c r="EB67" s="51">
        <f>'LINEST VARS'!$U$58+'LINEST VARS'!$T$58*(8)+'LINEST VARS'!$S$58*(8)+'LINEST VARS'!$R$58*($EB$56)+'LINEST VARS'!$Q$58*(0.5)+'LINEST VARS'!$P$58*($DV67)+'LINEST VARS'!$O$58*(8^2)+'LINEST VARS'!$N$58*(8^2)+'LINEST VARS'!$M$58*($EB$56^2)+'LINEST VARS'!$L$58*(0.5^2)+'LINEST VARS'!$K$58*($DV67^2)+'LINEST VARS'!$J$58*(8*8)+'LINEST VARS'!$I$58*(8*$EB$56)+'LINEST VARS'!$H$58*(8*0.5)+'LINEST VARS'!$G$58*(8*$DV67)+'LINEST VARS'!$F$58*(8*$EB$56)+'LINEST VARS'!$E$58*(8*0.5)+'LINEST VARS'!$D$58*(8*$DV67)+'LINEST VARS'!$C$58*($EB$56*0.5)+'LINEST VARS'!$B$58*($EB$56*$DV67)+'LINEST VARS'!$A$58*(0.5*$DV67)</f>
        <v>0.90497500000000031</v>
      </c>
      <c r="EC67" s="51">
        <f>'LINEST VARS'!$U$58+'LINEST VARS'!$T$58*(8)+'LINEST VARS'!$S$58*(8)+'LINEST VARS'!$R$58*($EC$56)+'LINEST VARS'!$Q$58*(0.5)+'LINEST VARS'!$P$58*($DV67)+'LINEST VARS'!$O$58*(8^2)+'LINEST VARS'!$N$58*(8^2)+'LINEST VARS'!$M$58*($EC$56^2)+'LINEST VARS'!$L$58*(0.5^2)+'LINEST VARS'!$K$58*($DV67^2)+'LINEST VARS'!$J$58*(8*8)+'LINEST VARS'!$I$58*(8*$EC$56)+'LINEST VARS'!$H$58*(8*0.5)+'LINEST VARS'!$G$58*(8*$DV67)+'LINEST VARS'!$F$58*(8*$EC$56)+'LINEST VARS'!$E$58*(8*0.5)+'LINEST VARS'!$D$58*(8*$DV67)+'LINEST VARS'!$C$58*($EC$56*0.5)+'LINEST VARS'!$B$58*($EC$56*$DV67)+'LINEST VARS'!$A$58*(0.5*$DV67)</f>
        <v>0.91297500000000031</v>
      </c>
      <c r="ED67" s="51">
        <f>'LINEST VARS'!$U$58+'LINEST VARS'!$T$58*(8)+'LINEST VARS'!$S$58*(8)+'LINEST VARS'!$R$58*($ED$56)+'LINEST VARS'!$Q$58*(0.5)+'LINEST VARS'!$P$58*($DV67)+'LINEST VARS'!$O$58*(8^2)+'LINEST VARS'!$N$58*(8^2)+'LINEST VARS'!$M$58*($ED$56^2)+'LINEST VARS'!$L$58*(0.5^2)+'LINEST VARS'!$K$58*($DV67^2)+'LINEST VARS'!$J$58*(8*8)+'LINEST VARS'!$I$58*(8*$ED$56)+'LINEST VARS'!$H$58*(8*0.5)+'LINEST VARS'!$G$58*(8*$DV67)+'LINEST VARS'!$F$58*(8*$ED$56)+'LINEST VARS'!$E$58*(8*0.5)+'LINEST VARS'!$D$58*(8*$DV67)+'LINEST VARS'!$C$58*($ED$56*0.5)+'LINEST VARS'!$B$58*($ED$56*$DV67)+'LINEST VARS'!$A$58*(0.5*$DV67)</f>
        <v>0.92097500000000032</v>
      </c>
      <c r="EE67" s="51">
        <f>'LINEST VARS'!$U$58+'LINEST VARS'!$T$58*(8)+'LINEST VARS'!$S$58*(8)+'LINEST VARS'!$R$58*($EE$56)+'LINEST VARS'!$Q$58*(0.5)+'LINEST VARS'!$P$58*($DV67)+'LINEST VARS'!$O$58*(8^2)+'LINEST VARS'!$N$58*(8^2)+'LINEST VARS'!$M$58*($EE$56^2)+'LINEST VARS'!$L$58*(0.5^2)+'LINEST VARS'!$K$58*($DV67^2)+'LINEST VARS'!$J$58*(8*8)+'LINEST VARS'!$I$58*(8*$EE$56)+'LINEST VARS'!$H$58*(8*0.5)+'LINEST VARS'!$G$58*(8*$DV67)+'LINEST VARS'!$F$58*(8*$EE$56)+'LINEST VARS'!$E$58*(8*0.5)+'LINEST VARS'!$D$58*(8*$DV67)+'LINEST VARS'!$C$58*($EE$56*0.5)+'LINEST VARS'!$B$58*($EE$56*$DV67)+'LINEST VARS'!$A$58*(0.5*$DV67)</f>
        <v>0.92897500000000044</v>
      </c>
      <c r="EF67" s="51">
        <f>'LINEST VARS'!$U$58+'LINEST VARS'!$T$58*(8)+'LINEST VARS'!$S$58*(8)+'LINEST VARS'!$R$58*($EF$56)+'LINEST VARS'!$Q$58*(0.5)+'LINEST VARS'!$P$58*($DV67)+'LINEST VARS'!$O$58*(8^2)+'LINEST VARS'!$N$58*(8^2)+'LINEST VARS'!$M$58*($EF$56^2)+'LINEST VARS'!$L$58*(0.5^2)+'LINEST VARS'!$K$58*($DV67^2)+'LINEST VARS'!$J$58*(8*8)+'LINEST VARS'!$I$58*(8*$EF$56)+'LINEST VARS'!$H$58*(8*0.5)+'LINEST VARS'!$G$58*(8*$DV67)+'LINEST VARS'!$F$58*(8*$EF$56)+'LINEST VARS'!$E$58*(8*0.5)+'LINEST VARS'!$D$58*(8*$DV67)+'LINEST VARS'!$C$58*($EF$56*0.5)+'LINEST VARS'!$B$58*($EF$56*$DV67)+'LINEST VARS'!$A$58*(0.5*$DV67)</f>
        <v>0.93697500000000034</v>
      </c>
      <c r="EG67" s="51">
        <f>'LINEST VARS'!$U$58+'LINEST VARS'!$T$58*(8)+'LINEST VARS'!$S$58*(8)+'LINEST VARS'!$R$58*($EG$56)+'LINEST VARS'!$Q$58*(0.5)+'LINEST VARS'!$P$58*($DV67)+'LINEST VARS'!$O$58*(8^2)+'LINEST VARS'!$N$58*(8^2)+'LINEST VARS'!$M$58*($EG$56^2)+'LINEST VARS'!$L$58*(0.5^2)+'LINEST VARS'!$K$58*($DV67^2)+'LINEST VARS'!$J$58*(8*8)+'LINEST VARS'!$I$58*(8*$EG$56)+'LINEST VARS'!$H$58*(8*0.5)+'LINEST VARS'!$G$58*(8*$DV67)+'LINEST VARS'!$F$58*(8*$EG$56)+'LINEST VARS'!$E$58*(8*0.5)+'LINEST VARS'!$D$58*(8*$DV67)+'LINEST VARS'!$C$58*($EG$56*0.5)+'LINEST VARS'!$B$58*($EG$56*$DV67)+'LINEST VARS'!$A$58*(0.5*$DV67)</f>
        <v>0.94497500000000034</v>
      </c>
      <c r="EH67" s="51">
        <f>'LINEST VARS'!$U$58+'LINEST VARS'!$T$58*(8)+'LINEST VARS'!$S$58*(8)+'LINEST VARS'!$R$58*($EH$56)+'LINEST VARS'!$Q$58*(0.5)+'LINEST VARS'!$P$58*($DV67)+'LINEST VARS'!$O$58*(8^2)+'LINEST VARS'!$N$58*(8^2)+'LINEST VARS'!$M$58*($EH$56^2)+'LINEST VARS'!$L$58*(0.5^2)+'LINEST VARS'!$K$58*($DV67^2)+'LINEST VARS'!$J$58*(8*8)+'LINEST VARS'!$I$58*(8*$EH$56)+'LINEST VARS'!$H$58*(8*0.5)+'LINEST VARS'!$G$58*(8*$DV67)+'LINEST VARS'!$F$58*(8*$EH$56)+'LINEST VARS'!$E$58*(8*0.5)+'LINEST VARS'!$D$58*(8*$DV67)+'LINEST VARS'!$C$58*($EH$56*0.5)+'LINEST VARS'!$B$58*($EH$56*$DV67)+'LINEST VARS'!$A$58*(0.5*$DV67)</f>
        <v>0.95297500000000024</v>
      </c>
      <c r="EI67" s="51">
        <f>'LINEST VARS'!$U$58+'LINEST VARS'!$T$58*(8)+'LINEST VARS'!$S$58*(8)+'LINEST VARS'!$R$58*($EI$56)+'LINEST VARS'!$Q$58*(0.5)+'LINEST VARS'!$P$58*($DV67)+'LINEST VARS'!$O$58*(8^2)+'LINEST VARS'!$N$58*(8^2)+'LINEST VARS'!$M$58*($EI$56^2)+'LINEST VARS'!$L$58*(0.5^2)+'LINEST VARS'!$K$58*($DV67^2)+'LINEST VARS'!$J$58*(8*8)+'LINEST VARS'!$I$58*(8*$EI$56)+'LINEST VARS'!$H$58*(8*0.5)+'LINEST VARS'!$G$58*(8*$DV67)+'LINEST VARS'!$F$58*(8*$EI$56)+'LINEST VARS'!$E$58*(8*0.5)+'LINEST VARS'!$D$58*(8*$DV67)+'LINEST VARS'!$C$58*($EI$56*0.5)+'LINEST VARS'!$B$58*($EI$56*$DV67)+'LINEST VARS'!$A$58*(0.5*$DV67)</f>
        <v>0.96097500000000025</v>
      </c>
      <c r="EJ67" s="51">
        <f>'LINEST VARS'!$U$58+'LINEST VARS'!$T$58*(8)+'LINEST VARS'!$S$58*(8)+'LINEST VARS'!$R$58*($EJ$56)+'LINEST VARS'!$Q$58*(0.5)+'LINEST VARS'!$P$58*($DV67)+'LINEST VARS'!$O$58*(8^2)+'LINEST VARS'!$N$58*(8^2)+'LINEST VARS'!$M$58*($EJ$56^2)+'LINEST VARS'!$L$58*(0.5^2)+'LINEST VARS'!$K$58*($DV67^2)+'LINEST VARS'!$J$58*(8*8)+'LINEST VARS'!$I$58*(8*$EJ$56)+'LINEST VARS'!$H$58*(8*0.5)+'LINEST VARS'!$G$58*(8*$DV67)+'LINEST VARS'!$F$58*(8*$EJ$56)+'LINEST VARS'!$E$58*(8*0.5)+'LINEST VARS'!$D$58*(8*$DV67)+'LINEST VARS'!$C$58*($EJ$56*0.5)+'LINEST VARS'!$B$58*($EJ$56*$DV67)+'LINEST VARS'!$A$58*(0.5*$DV67)</f>
        <v>0.96897500000000014</v>
      </c>
      <c r="EK67" s="51">
        <f>'LINEST VARS'!$U$58+'LINEST VARS'!$T$58*(8)+'LINEST VARS'!$S$58*(8)+'LINEST VARS'!$R$58*($EK$56)+'LINEST VARS'!$Q$58*(0.5)+'LINEST VARS'!$P$58*($DV67)+'LINEST VARS'!$O$58*(8^2)+'LINEST VARS'!$N$58*(8^2)+'LINEST VARS'!$M$58*($EK$56^2)+'LINEST VARS'!$L$58*(0.5^2)+'LINEST VARS'!$K$58*($DV67^2)+'LINEST VARS'!$J$58*(8*8)+'LINEST VARS'!$I$58*(8*$EK$56)+'LINEST VARS'!$H$58*(8*0.5)+'LINEST VARS'!$G$58*(8*$DV67)+'LINEST VARS'!$F$58*(8*$EK$56)+'LINEST VARS'!$E$58*(8*0.5)+'LINEST VARS'!$D$58*(8*$DV67)+'LINEST VARS'!$C$58*($EK$56*0.5)+'LINEST VARS'!$B$58*($EK$56*$DV67)+'LINEST VARS'!$A$58*(0.5*$DV67)</f>
        <v>0.97697500000000026</v>
      </c>
      <c r="EL67" s="51">
        <f>'LINEST VARS'!$U$58+'LINEST VARS'!$T$58*(8)+'LINEST VARS'!$S$58*(8)+'LINEST VARS'!$R$58*($EL$56)+'LINEST VARS'!$Q$58*(0.5)+'LINEST VARS'!$P$58*($DV67)+'LINEST VARS'!$O$58*(8^2)+'LINEST VARS'!$N$58*(8^2)+'LINEST VARS'!$M$58*($EL$56^2)+'LINEST VARS'!$L$58*(0.5^2)+'LINEST VARS'!$K$58*($DV67^2)+'LINEST VARS'!$J$58*(8*8)+'LINEST VARS'!$I$58*(8*$EL$56)+'LINEST VARS'!$H$58*(8*0.5)+'LINEST VARS'!$G$58*(8*$DV67)+'LINEST VARS'!$F$58*(8*$EL$56)+'LINEST VARS'!$E$58*(8*0.5)+'LINEST VARS'!$D$58*(8*$DV67)+'LINEST VARS'!$C$58*($EL$56*0.5)+'LINEST VARS'!$B$58*($EL$56*$DV67)+'LINEST VARS'!$A$58*(0.5*$DV67)</f>
        <v>0.98497500000000027</v>
      </c>
      <c r="EM67" s="51">
        <f>'LINEST VARS'!$U$58+'LINEST VARS'!$T$58*(8)+'LINEST VARS'!$S$58*(8)+'LINEST VARS'!$R$58*($EM$56)+'LINEST VARS'!$Q$58*(0.5)+'LINEST VARS'!$P$58*($DV67)+'LINEST VARS'!$O$58*(8^2)+'LINEST VARS'!$N$58*(8^2)+'LINEST VARS'!$M$58*($EM$56^2)+'LINEST VARS'!$L$58*(0.5^2)+'LINEST VARS'!$K$58*($DV67^2)+'LINEST VARS'!$J$58*(8*8)+'LINEST VARS'!$I$58*(8*$EM$56)+'LINEST VARS'!$H$58*(8*0.5)+'LINEST VARS'!$G$58*(8*$DV67)+'LINEST VARS'!$F$58*(8*$EM$56)+'LINEST VARS'!$E$58*(8*0.5)+'LINEST VARS'!$D$58*(8*$DV67)+'LINEST VARS'!$C$58*($EM$56*0.5)+'LINEST VARS'!$B$58*($EM$56*$DV67)+'LINEST VARS'!$A$58*(0.5*$DV67)</f>
        <v>0.99297500000000039</v>
      </c>
      <c r="EN67" s="51">
        <f>'LINEST VARS'!$U$58+'LINEST VARS'!$T$58*(8)+'LINEST VARS'!$S$58*(8)+'LINEST VARS'!$R$58*($EN$56)+'LINEST VARS'!$Q$58*(0.5)+'LINEST VARS'!$P$58*($DV67)+'LINEST VARS'!$O$58*(8^2)+'LINEST VARS'!$N$58*(8^2)+'LINEST VARS'!$M$58*($EN$56^2)+'LINEST VARS'!$L$58*(0.5^2)+'LINEST VARS'!$K$58*($DV67^2)+'LINEST VARS'!$J$58*(8*8)+'LINEST VARS'!$I$58*(8*$EN$56)+'LINEST VARS'!$H$58*(8*0.5)+'LINEST VARS'!$G$58*(8*$DV67)+'LINEST VARS'!$F$58*(8*$EN$56)+'LINEST VARS'!$E$58*(8*0.5)+'LINEST VARS'!$D$58*(8*$DV67)+'LINEST VARS'!$C$58*($EN$56*0.5)+'LINEST VARS'!$B$58*($EN$56*$DV67)+'LINEST VARS'!$A$58*(0.5*$DV67)</f>
        <v>1.0009750000000002</v>
      </c>
      <c r="EO67" s="51">
        <f>'LINEST VARS'!$U$58+'LINEST VARS'!$T$58*(8)+'LINEST VARS'!$S$58*(8)+'LINEST VARS'!$R$58*($EO$56)+'LINEST VARS'!$Q$58*(0.5)+'LINEST VARS'!$P$58*($DV67)+'LINEST VARS'!$O$58*(8^2)+'LINEST VARS'!$N$58*(8^2)+'LINEST VARS'!$M$58*($EO$56^2)+'LINEST VARS'!$L$58*(0.5^2)+'LINEST VARS'!$K$58*($DV67^2)+'LINEST VARS'!$J$58*(8*8)+'LINEST VARS'!$I$58*(8*$EO$56)+'LINEST VARS'!$H$58*(8*0.5)+'LINEST VARS'!$G$58*(8*$DV67)+'LINEST VARS'!$F$58*(8*$EO$56)+'LINEST VARS'!$E$58*(8*0.5)+'LINEST VARS'!$D$58*(8*$DV67)+'LINEST VARS'!$C$58*($EO$56*0.5)+'LINEST VARS'!$B$58*($EO$56*$DV67)+'LINEST VARS'!$A$58*(0.5*$DV67)</f>
        <v>1.0089750000000002</v>
      </c>
      <c r="EP67" s="51">
        <f>'LINEST VARS'!$U$58+'LINEST VARS'!$T$58*(8)+'LINEST VARS'!$S$58*(8)+'LINEST VARS'!$R$58*($EP$56)+'LINEST VARS'!$Q$58*(0.5)+'LINEST VARS'!$P$58*($DV67)+'LINEST VARS'!$O$58*(8^2)+'LINEST VARS'!$N$58*(8^2)+'LINEST VARS'!$M$58*($EP$56^2)+'LINEST VARS'!$L$58*(0.5^2)+'LINEST VARS'!$K$58*($DV67^2)+'LINEST VARS'!$J$58*(8*8)+'LINEST VARS'!$I$58*(8*$EP$56)+'LINEST VARS'!$H$58*(8*0.5)+'LINEST VARS'!$G$58*(8*$DV67)+'LINEST VARS'!$F$58*(8*$EP$56)+'LINEST VARS'!$E$58*(8*0.5)+'LINEST VARS'!$D$58*(8*$DV67)+'LINEST VARS'!$C$58*($EP$56*0.5)+'LINEST VARS'!$B$58*($EP$56*$DV67)+'LINEST VARS'!$A$58*(0.5*$DV67)</f>
        <v>1.016975</v>
      </c>
      <c r="EQ67" s="52">
        <f>'LINEST VARS'!$U$58+'LINEST VARS'!$T$58*(8)+'LINEST VARS'!$S$58*(8)+'LINEST VARS'!$R$58*($EQ$56)+'LINEST VARS'!$Q$58*(0.5)+'LINEST VARS'!$P$58*($DV67)+'LINEST VARS'!$O$58*(8^2)+'LINEST VARS'!$N$58*(8^2)+'LINEST VARS'!$M$58*($EQ$56^2)+'LINEST VARS'!$L$58*(0.5^2)+'LINEST VARS'!$K$58*($DV67^2)+'LINEST VARS'!$J$58*(8*8)+'LINEST VARS'!$I$58*(8*$EQ$56)+'LINEST VARS'!$H$58*(8*0.5)+'LINEST VARS'!$G$58*(8*$DV67)+'LINEST VARS'!$F$58*(8*$EQ$56)+'LINEST VARS'!$E$58*(8*0.5)+'LINEST VARS'!$D$58*(8*$DV67)+'LINEST VARS'!$C$58*($EQ$56*0.5)+'LINEST VARS'!$B$58*($EQ$56*$DV67)+'LINEST VARS'!$A$58*(0.5*$DV67)</f>
        <v>1.0249750000000002</v>
      </c>
    </row>
    <row r="68" spans="2:147" ht="15" customHeight="1" x14ac:dyDescent="0.25">
      <c r="B68" s="45">
        <v>8.06</v>
      </c>
      <c r="C68" s="51">
        <f>'LINEST VARS'!$U$56+'LINEST VARS'!$T$56*($C$56)+'LINEST VARS'!$S$56*($B68)+'LINEST VARS'!$R$56*(4)+'LINEST VARS'!$Q$56*(0.5)+'LINEST VARS'!$P$56*(12.73)+'LINEST VARS'!$O$56*($C$56^2)+'LINEST VARS'!$N$56*($B68^2)+'LINEST VARS'!$M$56*(4^2)+'LINEST VARS'!$L$56*(0.5^2)+'LINEST VARS'!$K$56*(12.73^2)+'LINEST VARS'!$J$56*($C$56*$B68)+'LINEST VARS'!$I$56*($C$56*4)+'LINEST VARS'!$H$56*($C$56*0.5)+'LINEST VARS'!$G$56*($C$56*12.73)+'LINEST VARS'!$F$56*($B68*4)+'LINEST VARS'!$E$56*($B68*0.5)+'LINEST VARS'!$D$56*($B68*12.73)+'LINEST VARS'!$C$56*(4*0.5)+'LINEST VARS'!$B$56*(4*12.73)+'LINEST VARS'!$A$56*(0.5*12.73)</f>
        <v>2.8400000000000012</v>
      </c>
      <c r="D68" s="51">
        <f>'LINEST VARS'!$U$56+'LINEST VARS'!$T$56*($D$56)+'LINEST VARS'!$S$56*($B68)+'LINEST VARS'!$R$56*(4)+'LINEST VARS'!$Q$56*(0.5)+'LINEST VARS'!$P$56*(12.73)+'LINEST VARS'!$O$56*($D$56^2)+'LINEST VARS'!$N$56*($B68^2)+'LINEST VARS'!$M$56*(4^2)+'LINEST VARS'!$L$56*(0.5^2)+'LINEST VARS'!$K$56*(12.73^2)+'LINEST VARS'!$J$56*($D$56*$B68)+'LINEST VARS'!$I$56*($D$56*4)+'LINEST VARS'!$H$56*($D$56*0.5)+'LINEST VARS'!$G$56*($D$56*12.73)+'LINEST VARS'!$F$56*($B68*4)+'LINEST VARS'!$E$56*($B68*0.5)+'LINEST VARS'!$D$56*($B68*12.73)+'LINEST VARS'!$C$56*(4*0.5)+'LINEST VARS'!$B$56*(4*12.73)+'LINEST VARS'!$A$56*(0.5*12.73)</f>
        <v>2.8400000000000012</v>
      </c>
      <c r="E68" s="51">
        <f>'LINEST VARS'!$U$56+'LINEST VARS'!$T$56*($E$56)+'LINEST VARS'!$S$56*($B68)+'LINEST VARS'!$R$56*(4)+'LINEST VARS'!$Q$56*(0.5)+'LINEST VARS'!$P$56*(12.73)+'LINEST VARS'!$O$56*($E$56^2)+'LINEST VARS'!$N$56*($B68^2)+'LINEST VARS'!$M$56*(4^2)+'LINEST VARS'!$L$56*(0.5^2)+'LINEST VARS'!$K$56*(12.73^2)+'LINEST VARS'!$J$56*($E$56*$B68)+'LINEST VARS'!$I$56*($E$56*4)+'LINEST VARS'!$H$56*($E$56*0.5)+'LINEST VARS'!$G$56*($E$56*12.73)+'LINEST VARS'!$F$56*($B68*4)+'LINEST VARS'!$E$56*($B68*0.5)+'LINEST VARS'!$D$56*($B68*12.73)+'LINEST VARS'!$C$56*(4*0.5)+'LINEST VARS'!$B$56*(4*12.73)+'LINEST VARS'!$A$56*(0.5*12.73)</f>
        <v>2.8400000000000012</v>
      </c>
      <c r="F68" s="51">
        <f>'LINEST VARS'!$U$56+'LINEST VARS'!$T$56*($F$56)+'LINEST VARS'!$S$56*($B68)+'LINEST VARS'!$R$56*(4)+'LINEST VARS'!$Q$56*(0.5)+'LINEST VARS'!$P$56*(12.73)+'LINEST VARS'!$O$56*($F$56^2)+'LINEST VARS'!$N$56*($B68^2)+'LINEST VARS'!$M$56*(4^2)+'LINEST VARS'!$L$56*(0.5^2)+'LINEST VARS'!$K$56*(12.73^2)+'LINEST VARS'!$J$56*($F$56*$B68)+'LINEST VARS'!$I$56*($F$56*4)+'LINEST VARS'!$H$56*($F$56*0.5)+'LINEST VARS'!$G$56*($F$56*12.73)+'LINEST VARS'!$F$56*($B68*4)+'LINEST VARS'!$E$56*($B68*0.5)+'LINEST VARS'!$D$56*($B68*12.73)+'LINEST VARS'!$C$56*(4*0.5)+'LINEST VARS'!$B$56*(4*12.73)+'LINEST VARS'!$A$56*(0.5*12.73)</f>
        <v>2.8400000000000012</v>
      </c>
      <c r="G68" s="51">
        <f>'LINEST VARS'!$U$56+'LINEST VARS'!$T$56*($G$56)+'LINEST VARS'!$S$56*($B68)+'LINEST VARS'!$R$56*(4)+'LINEST VARS'!$Q$56*(0.5)+'LINEST VARS'!$P$56*(12.73)+'LINEST VARS'!$O$56*($G$56^2)+'LINEST VARS'!$N$56*($B68^2)+'LINEST VARS'!$M$56*(4^2)+'LINEST VARS'!$L$56*(0.5^2)+'LINEST VARS'!$K$56*(12.73^2)+'LINEST VARS'!$J$56*($G$56*$B68)+'LINEST VARS'!$I$56*($G$56*4)+'LINEST VARS'!$H$56*($G$56*0.5)+'LINEST VARS'!$G$56*($G$56*12.73)+'LINEST VARS'!$F$56*($B68*4)+'LINEST VARS'!$E$56*($B68*0.5)+'LINEST VARS'!$D$56*($B68*12.73)+'LINEST VARS'!$C$56*(4*0.5)+'LINEST VARS'!$B$56*(4*12.73)+'LINEST VARS'!$A$56*(0.5*12.73)</f>
        <v>2.8400000000000012</v>
      </c>
      <c r="H68" s="51">
        <f>'LINEST VARS'!$U$56+'LINEST VARS'!$T$56*($H$56)+'LINEST VARS'!$S$56*($B68)+'LINEST VARS'!$R$56*(4)+'LINEST VARS'!$Q$56*(0.5)+'LINEST VARS'!$P$56*(12.73)+'LINEST VARS'!$O$56*($H$56^2)+'LINEST VARS'!$N$56*($B68^2)+'LINEST VARS'!$M$56*(4^2)+'LINEST VARS'!$L$56*(0.5^2)+'LINEST VARS'!$K$56*(12.73^2)+'LINEST VARS'!$J$56*($H$56*$B68)+'LINEST VARS'!$I$56*($H$56*4)+'LINEST VARS'!$H$56*($H$56*0.5)+'LINEST VARS'!$G$56*($H$56*12.73)+'LINEST VARS'!$F$56*($B68*4)+'LINEST VARS'!$E$56*($B68*0.5)+'LINEST VARS'!$D$56*($B68*12.73)+'LINEST VARS'!$C$56*(4*0.5)+'LINEST VARS'!$B$56*(4*12.73)+'LINEST VARS'!$A$56*(0.5*12.73)</f>
        <v>2.8400000000000012</v>
      </c>
      <c r="I68" s="51">
        <f>'LINEST VARS'!$U$56+'LINEST VARS'!$T$56*($I$56)+'LINEST VARS'!$S$56*($B68)+'LINEST VARS'!$R$56*(4)+'LINEST VARS'!$Q$56*(0.5)+'LINEST VARS'!$P$56*(12.73)+'LINEST VARS'!$O$56*($I$56^2)+'LINEST VARS'!$N$56*($B68^2)+'LINEST VARS'!$M$56*(4^2)+'LINEST VARS'!$L$56*(0.5^2)+'LINEST VARS'!$K$56*(12.73^2)+'LINEST VARS'!$J$56*($I$56*$B68)+'LINEST VARS'!$I$56*($I$56*4)+'LINEST VARS'!$H$56*($I$56*0.5)+'LINEST VARS'!$G$56*($I$56*12.73)+'LINEST VARS'!$F$56*($B68*4)+'LINEST VARS'!$E$56*($B68*0.5)+'LINEST VARS'!$D$56*($B68*12.73)+'LINEST VARS'!$C$56*(4*0.5)+'LINEST VARS'!$B$56*(4*12.73)+'LINEST VARS'!$A$56*(0.5*12.73)</f>
        <v>2.8400000000000012</v>
      </c>
      <c r="J68" s="51">
        <f>'LINEST VARS'!$U$56+'LINEST VARS'!$T$56*($J$56)+'LINEST VARS'!$S$56*($B68)+'LINEST VARS'!$R$56*(4)+'LINEST VARS'!$Q$56*(0.5)+'LINEST VARS'!$P$56*(12.73)+'LINEST VARS'!$O$56*($J$56^2)+'LINEST VARS'!$N$56*($B68^2)+'LINEST VARS'!$M$56*(4^2)+'LINEST VARS'!$L$56*(0.5^2)+'LINEST VARS'!$K$56*(12.73^2)+'LINEST VARS'!$J$56*($J$56*$B68)+'LINEST VARS'!$I$56*($J$56*4)+'LINEST VARS'!$H$56*($J$56*0.5)+'LINEST VARS'!$G$56*($J$56*12.73)+'LINEST VARS'!$F$56*($B68*4)+'LINEST VARS'!$E$56*($B68*0.5)+'LINEST VARS'!$D$56*($B68*12.73)+'LINEST VARS'!$C$56*(4*0.5)+'LINEST VARS'!$B$56*(4*12.73)+'LINEST VARS'!$A$56*(0.5*12.73)</f>
        <v>2.8400000000000012</v>
      </c>
      <c r="K68" s="51">
        <f>'LINEST VARS'!$U$56+'LINEST VARS'!$T$56*($K$56)+'LINEST VARS'!$S$56*($B68)+'LINEST VARS'!$R$56*(4)+'LINEST VARS'!$Q$56*(0.5)+'LINEST VARS'!$P$56*(12.73)+'LINEST VARS'!$O$56*($K$56^2)+'LINEST VARS'!$N$56*($B68^2)+'LINEST VARS'!$M$56*(4^2)+'LINEST VARS'!$L$56*(0.5^2)+'LINEST VARS'!$K$56*(12.73^2)+'LINEST VARS'!$J$56*($K$56*$B68)+'LINEST VARS'!$I$56*($K$56*4)+'LINEST VARS'!$H$56*($K$56*0.5)+'LINEST VARS'!$G$56*($K$56*12.73)+'LINEST VARS'!$F$56*($B68*4)+'LINEST VARS'!$E$56*($B68*0.5)+'LINEST VARS'!$D$56*($B68*12.73)+'LINEST VARS'!$C$56*(4*0.5)+'LINEST VARS'!$B$56*(4*12.73)+'LINEST VARS'!$A$56*(0.5*12.73)</f>
        <v>2.8400000000000007</v>
      </c>
      <c r="L68" s="51">
        <f>'LINEST VARS'!$U$56+'LINEST VARS'!$T$56*($L$56)+'LINEST VARS'!$S$56*($B68)+'LINEST VARS'!$R$56*(4)+'LINEST VARS'!$Q$56*(0.5)+'LINEST VARS'!$P$56*(12.73)+'LINEST VARS'!$O$56*($L$56^2)+'LINEST VARS'!$N$56*($B68^2)+'LINEST VARS'!$M$56*(4^2)+'LINEST VARS'!$L$56*(0.5^2)+'LINEST VARS'!$K$56*(12.73^2)+'LINEST VARS'!$J$56*($L$56*$B68)+'LINEST VARS'!$I$56*($L$56*4)+'LINEST VARS'!$H$56*($L$56*0.5)+'LINEST VARS'!$G$56*($L$56*12.73)+'LINEST VARS'!$F$56*($B68*4)+'LINEST VARS'!$E$56*($B68*0.5)+'LINEST VARS'!$D$56*($B68*12.73)+'LINEST VARS'!$C$56*(4*0.5)+'LINEST VARS'!$B$56*(4*12.73)+'LINEST VARS'!$A$56*(0.5*12.73)</f>
        <v>2.8400000000000007</v>
      </c>
      <c r="M68" s="51">
        <f>'LINEST VARS'!$U$56+'LINEST VARS'!$T$56*($M$56)+'LINEST VARS'!$S$56*($B68)+'LINEST VARS'!$R$56*(4)+'LINEST VARS'!$Q$56*(0.5)+'LINEST VARS'!$P$56*(12.73)+'LINEST VARS'!$O$56*($M$56^2)+'LINEST VARS'!$N$56*($B68^2)+'LINEST VARS'!$M$56*(4^2)+'LINEST VARS'!$L$56*(0.5^2)+'LINEST VARS'!$K$56*(12.73^2)+'LINEST VARS'!$J$56*($M$56*$B68)+'LINEST VARS'!$I$56*($M$56*4)+'LINEST VARS'!$H$56*($M$56*0.5)+'LINEST VARS'!$G$56*($M$56*12.73)+'LINEST VARS'!$F$56*($B68*4)+'LINEST VARS'!$E$56*($B68*0.5)+'LINEST VARS'!$D$56*($B68*12.73)+'LINEST VARS'!$C$56*(4*0.5)+'LINEST VARS'!$B$56*(4*12.73)+'LINEST VARS'!$A$56*(0.5*12.73)</f>
        <v>2.8400000000000007</v>
      </c>
      <c r="N68" s="51">
        <f>'LINEST VARS'!$U$56+'LINEST VARS'!$T$56*($N$56)+'LINEST VARS'!$S$56*($B68)+'LINEST VARS'!$R$56*(4)+'LINEST VARS'!$Q$56*(0.5)+'LINEST VARS'!$P$56*(12.73)+'LINEST VARS'!$O$56*($N$56^2)+'LINEST VARS'!$N$56*($B68^2)+'LINEST VARS'!$M$56*(4^2)+'LINEST VARS'!$L$56*(0.5^2)+'LINEST VARS'!$K$56*(12.73^2)+'LINEST VARS'!$J$56*($N$56*$B68)+'LINEST VARS'!$I$56*($N$56*4)+'LINEST VARS'!$H$56*($N$56*0.5)+'LINEST VARS'!$G$56*($N$56*12.73)+'LINEST VARS'!$F$56*($B68*4)+'LINEST VARS'!$E$56*($B68*0.5)+'LINEST VARS'!$D$56*($B68*12.73)+'LINEST VARS'!$C$56*(4*0.5)+'LINEST VARS'!$B$56*(4*12.73)+'LINEST VARS'!$A$56*(0.5*12.73)</f>
        <v>2.8400000000000007</v>
      </c>
      <c r="O68" s="51">
        <f>'LINEST VARS'!$U$56+'LINEST VARS'!$T$56*($O$56)+'LINEST VARS'!$S$56*($B68)+'LINEST VARS'!$R$56*(4)+'LINEST VARS'!$Q$56*(0.5)+'LINEST VARS'!$P$56*(12.73)+'LINEST VARS'!$O$56*($O$56^2)+'LINEST VARS'!$N$56*($B68^2)+'LINEST VARS'!$M$56*(4^2)+'LINEST VARS'!$L$56*(0.5^2)+'LINEST VARS'!$K$56*(12.73^2)+'LINEST VARS'!$J$56*($O$56*$B68)+'LINEST VARS'!$I$56*($O$56*4)+'LINEST VARS'!$H$56*($O$56*0.5)+'LINEST VARS'!$G$56*($O$56*12.73)+'LINEST VARS'!$F$56*($B68*4)+'LINEST VARS'!$E$56*($B68*0.5)+'LINEST VARS'!$D$56*($B68*12.73)+'LINEST VARS'!$C$56*(4*0.5)+'LINEST VARS'!$B$56*(4*12.73)+'LINEST VARS'!$A$56*(0.5*12.73)</f>
        <v>2.8400000000000007</v>
      </c>
      <c r="P68" s="51">
        <f>'LINEST VARS'!$U$56+'LINEST VARS'!$T$56*($P$56)+'LINEST VARS'!$S$56*($B68)+'LINEST VARS'!$R$56*(4)+'LINEST VARS'!$Q$56*(0.5)+'LINEST VARS'!$P$56*(12.73)+'LINEST VARS'!$O$56*($P$56^2)+'LINEST VARS'!$N$56*($B68^2)+'LINEST VARS'!$M$56*(4^2)+'LINEST VARS'!$L$56*(0.5^2)+'LINEST VARS'!$K$56*(12.73^2)+'LINEST VARS'!$J$56*($P$56*$B68)+'LINEST VARS'!$I$56*($P$56*4)+'LINEST VARS'!$H$56*($P$56*0.5)+'LINEST VARS'!$G$56*($P$56*12.73)+'LINEST VARS'!$F$56*($B68*4)+'LINEST VARS'!$E$56*($B68*0.5)+'LINEST VARS'!$D$56*($B68*12.73)+'LINEST VARS'!$C$56*(4*0.5)+'LINEST VARS'!$B$56*(4*12.73)+'LINEST VARS'!$A$56*(0.5*12.73)</f>
        <v>2.8400000000000007</v>
      </c>
      <c r="Q68" s="51">
        <f>'LINEST VARS'!$U$56+'LINEST VARS'!$T$56*($Q$56)+'LINEST VARS'!$S$56*($B68)+'LINEST VARS'!$R$56*(4)+'LINEST VARS'!$Q$56*(0.5)+'LINEST VARS'!$P$56*(12.73)+'LINEST VARS'!$O$56*($Q$56^2)+'LINEST VARS'!$N$56*($B68^2)+'LINEST VARS'!$M$56*(4^2)+'LINEST VARS'!$L$56*(0.5^2)+'LINEST VARS'!$K$56*(12.73^2)+'LINEST VARS'!$J$56*($Q$56*$B68)+'LINEST VARS'!$I$56*($Q$56*4)+'LINEST VARS'!$H$56*($Q$56*0.5)+'LINEST VARS'!$G$56*($Q$56*12.73)+'LINEST VARS'!$F$56*($B68*4)+'LINEST VARS'!$E$56*($B68*0.5)+'LINEST VARS'!$D$56*($B68*12.73)+'LINEST VARS'!$C$56*(4*0.5)+'LINEST VARS'!$B$56*(4*12.73)+'LINEST VARS'!$A$56*(0.5*12.73)</f>
        <v>2.8400000000000007</v>
      </c>
      <c r="R68" s="51">
        <f>'LINEST VARS'!$U$56+'LINEST VARS'!$T$56*($R$56)+'LINEST VARS'!$S$56*($B68)+'LINEST VARS'!$R$56*(4)+'LINEST VARS'!$Q$56*(0.5)+'LINEST VARS'!$P$56*(12.73)+'LINEST VARS'!$O$56*($R$56^2)+'LINEST VARS'!$N$56*($B68^2)+'LINEST VARS'!$M$56*(4^2)+'LINEST VARS'!$L$56*(0.5^2)+'LINEST VARS'!$K$56*(12.73^2)+'LINEST VARS'!$J$56*($R$56*$B68)+'LINEST VARS'!$I$56*($R$56*4)+'LINEST VARS'!$H$56*($R$56*0.5)+'LINEST VARS'!$G$56*($R$56*12.73)+'LINEST VARS'!$F$56*($B68*4)+'LINEST VARS'!$E$56*($B68*0.5)+'LINEST VARS'!$D$56*($B68*12.73)+'LINEST VARS'!$C$56*(4*0.5)+'LINEST VARS'!$B$56*(4*12.73)+'LINEST VARS'!$A$56*(0.5*12.73)</f>
        <v>2.8400000000000007</v>
      </c>
      <c r="S68" s="51">
        <f>'LINEST VARS'!$U$56+'LINEST VARS'!$T$56*($S$56)+'LINEST VARS'!$S$56*($B68)+'LINEST VARS'!$R$56*(4)+'LINEST VARS'!$Q$56*(0.5)+'LINEST VARS'!$P$56*(12.73)+'LINEST VARS'!$O$56*($S$56^2)+'LINEST VARS'!$N$56*($B68^2)+'LINEST VARS'!$M$56*(4^2)+'LINEST VARS'!$L$56*(0.5^2)+'LINEST VARS'!$K$56*(12.73^2)+'LINEST VARS'!$J$56*($S$56*$B68)+'LINEST VARS'!$I$56*($S$56*4)+'LINEST VARS'!$H$56*($S$56*0.5)+'LINEST VARS'!$G$56*($S$56*12.73)+'LINEST VARS'!$F$56*($B68*4)+'LINEST VARS'!$E$56*($B68*0.5)+'LINEST VARS'!$D$56*($B68*12.73)+'LINEST VARS'!$C$56*(4*0.5)+'LINEST VARS'!$B$56*(4*12.73)+'LINEST VARS'!$A$56*(0.5*12.73)</f>
        <v>2.8400000000000007</v>
      </c>
      <c r="T68" s="51">
        <f>'LINEST VARS'!$U$56+'LINEST VARS'!$T$56*($T$56)+'LINEST VARS'!$S$56*($B68)+'LINEST VARS'!$R$56*(4)+'LINEST VARS'!$Q$56*(0.5)+'LINEST VARS'!$P$56*(12.73)+'LINEST VARS'!$O$56*($T$56^2)+'LINEST VARS'!$N$56*($B68^2)+'LINEST VARS'!$M$56*(4^2)+'LINEST VARS'!$L$56*(0.5^2)+'LINEST VARS'!$K$56*(12.73^2)+'LINEST VARS'!$J$56*($T$56*$B68)+'LINEST VARS'!$I$56*($T$56*4)+'LINEST VARS'!$H$56*($T$56*0.5)+'LINEST VARS'!$G$56*($T$56*12.73)+'LINEST VARS'!$F$56*($B68*4)+'LINEST VARS'!$E$56*($B68*0.5)+'LINEST VARS'!$D$56*($B68*12.73)+'LINEST VARS'!$C$56*(4*0.5)+'LINEST VARS'!$B$56*(4*12.73)+'LINEST VARS'!$A$56*(0.5*12.73)</f>
        <v>2.8400000000000007</v>
      </c>
      <c r="U68" s="51">
        <f>'LINEST VARS'!$U$56+'LINEST VARS'!$T$56*($U$56)+'LINEST VARS'!$S$56*($B68)+'LINEST VARS'!$R$56*(4)+'LINEST VARS'!$Q$56*(0.5)+'LINEST VARS'!$P$56*(12.73)+'LINEST VARS'!$O$56*($U$56^2)+'LINEST VARS'!$N$56*($B68^2)+'LINEST VARS'!$M$56*(4^2)+'LINEST VARS'!$L$56*(0.5^2)+'LINEST VARS'!$K$56*(12.73^2)+'LINEST VARS'!$J$56*($U$56*$B68)+'LINEST VARS'!$I$56*($U$56*4)+'LINEST VARS'!$H$56*($U$56*0.5)+'LINEST VARS'!$G$56*($U$56*12.73)+'LINEST VARS'!$F$56*($B68*4)+'LINEST VARS'!$E$56*($B68*0.5)+'LINEST VARS'!$D$56*($B68*12.73)+'LINEST VARS'!$C$56*(4*0.5)+'LINEST VARS'!$B$56*(4*12.73)+'LINEST VARS'!$A$56*(0.5*12.73)</f>
        <v>2.8400000000000007</v>
      </c>
      <c r="V68" s="51">
        <f>'LINEST VARS'!$U$56+'LINEST VARS'!$T$56*($V$56)+'LINEST VARS'!$S$56*($B68)+'LINEST VARS'!$R$56*(4)+'LINEST VARS'!$Q$56*(0.5)+'LINEST VARS'!$P$56*(12.73)+'LINEST VARS'!$O$56*($V$56^2)+'LINEST VARS'!$N$56*($B68^2)+'LINEST VARS'!$M$56*(4^2)+'LINEST VARS'!$L$56*(0.5^2)+'LINEST VARS'!$K$56*(12.73^2)+'LINEST VARS'!$J$56*($V$56*$B68)+'LINEST VARS'!$I$56*($V$56*4)+'LINEST VARS'!$H$56*($V$56*0.5)+'LINEST VARS'!$G$56*($V$56*12.73)+'LINEST VARS'!$F$56*($B68*4)+'LINEST VARS'!$E$56*($B68*0.5)+'LINEST VARS'!$D$56*($B68*12.73)+'LINEST VARS'!$C$56*(4*0.5)+'LINEST VARS'!$B$56*(4*12.73)+'LINEST VARS'!$A$56*(0.5*12.73)</f>
        <v>2.8400000000000012</v>
      </c>
      <c r="W68" s="52">
        <f>'LINEST VARS'!$U$56+'LINEST VARS'!$T$56*($W$56)+'LINEST VARS'!$S$56*($B68)+'LINEST VARS'!$R$56*(4)+'LINEST VARS'!$Q$56*(0.5)+'LINEST VARS'!$P$56*(12.73)+'LINEST VARS'!$O$56*($W$56^2)+'LINEST VARS'!$N$56*($B68^2)+'LINEST VARS'!$M$56*(4^2)+'LINEST VARS'!$L$56*(0.5^2)+'LINEST VARS'!$K$56*(12.73^2)+'LINEST VARS'!$J$56*($W$56*$B68)+'LINEST VARS'!$I$56*($W$56*4)+'LINEST VARS'!$H$56*($W$56*0.5)+'LINEST VARS'!$G$56*($W$56*12.73)+'LINEST VARS'!$F$56*($B68*4)+'LINEST VARS'!$E$56*($B68*0.5)+'LINEST VARS'!$D$56*($B68*12.73)+'LINEST VARS'!$C$56*(4*0.5)+'LINEST VARS'!$B$56*(4*12.73)+'LINEST VARS'!$A$56*(0.5*12.73)</f>
        <v>2.8400000000000012</v>
      </c>
      <c r="Z68" s="45">
        <v>8.06</v>
      </c>
      <c r="AA68" s="51">
        <f>'LINEST VARS'!$U$58+'LINEST VARS'!$T$58*($AA$56)+'LINEST VARS'!$S$58*($Z68)+'LINEST VARS'!$R$58*(4)+'LINEST VARS'!$Q$58*(0.5)+'LINEST VARS'!$P$58*(12.73)+'LINEST VARS'!$O$58*($AA$56^2)+'LINEST VARS'!$N$58*($Z68^2)+'LINEST VARS'!$M$58*(4^2)+'LINEST VARS'!$L$58*(0.5^2)+'LINEST VARS'!$K$58*(12.73^2)+'LINEST VARS'!$J$58*($AA$56*$Z68)+'LINEST VARS'!$I$58*($AA$56*4)+'LINEST VARS'!$H$58*($AA$56*0.5)+'LINEST VARS'!$G$58*($AA$56*12.73)+'LINEST VARS'!$F$58*($Z68*4)+'LINEST VARS'!$E$58*($Z68*0.5)+'LINEST VARS'!$D$58*($Z68*12.73)+'LINEST VARS'!$C$58*(4*0.5)+'LINEST VARS'!$B$58*(4*12.73)+'LINEST VARS'!$A$58*(0.5*12.73)</f>
        <v>0.94365000000000032</v>
      </c>
      <c r="AB68" s="51">
        <f>'LINEST VARS'!$U$58+'LINEST VARS'!$T$58*($AB$56)+'LINEST VARS'!$S$58*($Z68)+'LINEST VARS'!$R$58*(4)+'LINEST VARS'!$Q$58*(0.5)+'LINEST VARS'!$P$58*(12.73)+'LINEST VARS'!$O$58*($AB$56^2)+'LINEST VARS'!$N$58*($Z68^2)+'LINEST VARS'!$M$58*(4^2)+'LINEST VARS'!$L$58*(0.5^2)+'LINEST VARS'!$K$58*(12.73^2)+'LINEST VARS'!$J$58*($AB$56*$Z68)+'LINEST VARS'!$I$58*($AB$56*4)+'LINEST VARS'!$H$58*($AB$56*0.5)+'LINEST VARS'!$G$58*($AB$56*12.73)+'LINEST VARS'!$F$58*($Z68*4)+'LINEST VARS'!$E$58*($Z68*0.5)+'LINEST VARS'!$D$58*($Z68*12.73)+'LINEST VARS'!$C$58*(4*0.5)+'LINEST VARS'!$B$58*(4*12.73)+'LINEST VARS'!$A$58*(0.5*12.73)</f>
        <v>0.94365000000000032</v>
      </c>
      <c r="AC68" s="51">
        <f>'LINEST VARS'!$U$58+'LINEST VARS'!$T$58*($AC$56)+'LINEST VARS'!$S$58*($Z68)+'LINEST VARS'!$R$58*(4)+'LINEST VARS'!$Q$58*(0.5)+'LINEST VARS'!$P$58*(12.73)+'LINEST VARS'!$O$58*($AC$56^2)+'LINEST VARS'!$N$58*($Z68^2)+'LINEST VARS'!$M$58*(4^2)+'LINEST VARS'!$L$58*(0.5^2)+'LINEST VARS'!$K$58*(12.73^2)+'LINEST VARS'!$J$58*($AC$56*$Z68)+'LINEST VARS'!$I$58*($AC$56*4)+'LINEST VARS'!$H$58*($AC$56*0.5)+'LINEST VARS'!$G$58*($AC$56*12.73)+'LINEST VARS'!$F$58*($Z68*4)+'LINEST VARS'!$E$58*($Z68*0.5)+'LINEST VARS'!$D$58*($Z68*12.73)+'LINEST VARS'!$C$58*(4*0.5)+'LINEST VARS'!$B$58*(4*12.73)+'LINEST VARS'!$A$58*(0.5*12.73)</f>
        <v>0.94365000000000032</v>
      </c>
      <c r="AD68" s="51">
        <f>'LINEST VARS'!$U$58+'LINEST VARS'!$T$58*($AD$56)+'LINEST VARS'!$S$58*($Z68)+'LINEST VARS'!$R$58*(4)+'LINEST VARS'!$Q$58*(0.5)+'LINEST VARS'!$P$58*(12.73)+'LINEST VARS'!$O$58*($AD$56^2)+'LINEST VARS'!$N$58*($Z68^2)+'LINEST VARS'!$M$58*(4^2)+'LINEST VARS'!$L$58*(0.5^2)+'LINEST VARS'!$K$58*(12.73^2)+'LINEST VARS'!$J$58*($AD$56*$Z68)+'LINEST VARS'!$I$58*($AD$56*4)+'LINEST VARS'!$H$58*($AD$56*0.5)+'LINEST VARS'!$G$58*($AD$56*12.73)+'LINEST VARS'!$F$58*($Z68*4)+'LINEST VARS'!$E$58*($Z68*0.5)+'LINEST VARS'!$D$58*($Z68*12.73)+'LINEST VARS'!$C$58*(4*0.5)+'LINEST VARS'!$B$58*(4*12.73)+'LINEST VARS'!$A$58*(0.5*12.73)</f>
        <v>0.94365000000000032</v>
      </c>
      <c r="AE68" s="51">
        <f>'LINEST VARS'!$U$58+'LINEST VARS'!$T$58*($AE$56)+'LINEST VARS'!$S$58*($Z68)+'LINEST VARS'!$R$58*(4)+'LINEST VARS'!$Q$58*(0.5)+'LINEST VARS'!$P$58*(12.73)+'LINEST VARS'!$O$58*($AE$56^2)+'LINEST VARS'!$N$58*($Z68^2)+'LINEST VARS'!$M$58*(4^2)+'LINEST VARS'!$L$58*(0.5^2)+'LINEST VARS'!$K$58*(12.73^2)+'LINEST VARS'!$J$58*($AE$56*$Z68)+'LINEST VARS'!$I$58*($AE$56*4)+'LINEST VARS'!$H$58*($AE$56*0.5)+'LINEST VARS'!$G$58*($AE$56*12.73)+'LINEST VARS'!$F$58*($Z68*4)+'LINEST VARS'!$E$58*($Z68*0.5)+'LINEST VARS'!$D$58*($Z68*12.73)+'LINEST VARS'!$C$58*(4*0.5)+'LINEST VARS'!$B$58*(4*12.73)+'LINEST VARS'!$A$58*(0.5*12.73)</f>
        <v>0.94365000000000032</v>
      </c>
      <c r="AF68" s="51">
        <f>'LINEST VARS'!$U$58+'LINEST VARS'!$T$58*($AF$56)+'LINEST VARS'!$S$58*($Z68)+'LINEST VARS'!$R$58*(4)+'LINEST VARS'!$Q$58*(0.5)+'LINEST VARS'!$P$58*(12.73)+'LINEST VARS'!$O$58*($AF$56^2)+'LINEST VARS'!$N$58*($Z68^2)+'LINEST VARS'!$M$58*(4^2)+'LINEST VARS'!$L$58*(0.5^2)+'LINEST VARS'!$K$58*(12.73^2)+'LINEST VARS'!$J$58*($AF$56*$Z68)+'LINEST VARS'!$I$58*($AF$56*4)+'LINEST VARS'!$H$58*($AF$56*0.5)+'LINEST VARS'!$G$58*($AF$56*12.73)+'LINEST VARS'!$F$58*($Z68*4)+'LINEST VARS'!$E$58*($Z68*0.5)+'LINEST VARS'!$D$58*($Z68*12.73)+'LINEST VARS'!$C$58*(4*0.5)+'LINEST VARS'!$B$58*(4*12.73)+'LINEST VARS'!$A$58*(0.5*12.73)</f>
        <v>0.94365000000000032</v>
      </c>
      <c r="AG68" s="51">
        <f>'LINEST VARS'!$U$58+'LINEST VARS'!$T$58*($AG$56)+'LINEST VARS'!$S$58*($Z68)+'LINEST VARS'!$R$58*(4)+'LINEST VARS'!$Q$58*(0.5)+'LINEST VARS'!$P$58*(12.73)+'LINEST VARS'!$O$58*($AG$56^2)+'LINEST VARS'!$N$58*($Z68^2)+'LINEST VARS'!$M$58*(4^2)+'LINEST VARS'!$L$58*(0.5^2)+'LINEST VARS'!$K$58*(12.73^2)+'LINEST VARS'!$J$58*($AG$56*$Z68)+'LINEST VARS'!$I$58*($AG$56*4)+'LINEST VARS'!$H$58*($AG$56*0.5)+'LINEST VARS'!$G$58*($AG$56*12.73)+'LINEST VARS'!$F$58*($Z68*4)+'LINEST VARS'!$E$58*($Z68*0.5)+'LINEST VARS'!$D$58*($Z68*12.73)+'LINEST VARS'!$C$58*(4*0.5)+'LINEST VARS'!$B$58*(4*12.73)+'LINEST VARS'!$A$58*(0.5*12.73)</f>
        <v>0.94365000000000032</v>
      </c>
      <c r="AH68" s="51">
        <f>'LINEST VARS'!$U$58+'LINEST VARS'!$T$58*($AH$56)+'LINEST VARS'!$S$58*($Z68)+'LINEST VARS'!$R$58*(4)+'LINEST VARS'!$Q$58*(0.5)+'LINEST VARS'!$P$58*(12.73)+'LINEST VARS'!$O$58*($AH$56^2)+'LINEST VARS'!$N$58*($Z68^2)+'LINEST VARS'!$M$58*(4^2)+'LINEST VARS'!$L$58*(0.5^2)+'LINEST VARS'!$K$58*(12.73^2)+'LINEST VARS'!$J$58*($AH$56*$Z68)+'LINEST VARS'!$I$58*($AH$56*4)+'LINEST VARS'!$H$58*($AH$56*0.5)+'LINEST VARS'!$G$58*($AH$56*12.73)+'LINEST VARS'!$F$58*($Z68*4)+'LINEST VARS'!$E$58*($Z68*0.5)+'LINEST VARS'!$D$58*($Z68*12.73)+'LINEST VARS'!$C$58*(4*0.5)+'LINEST VARS'!$B$58*(4*12.73)+'LINEST VARS'!$A$58*(0.5*12.73)</f>
        <v>0.94365000000000032</v>
      </c>
      <c r="AI68" s="51">
        <f>'LINEST VARS'!$U$58+'LINEST VARS'!$T$58*($AI$56)+'LINEST VARS'!$S$58*($Z68)+'LINEST VARS'!$R$58*(4)+'LINEST VARS'!$Q$58*(0.5)+'LINEST VARS'!$P$58*(12.73)+'LINEST VARS'!$O$58*($AI$56^2)+'LINEST VARS'!$N$58*($Z68^2)+'LINEST VARS'!$M$58*(4^2)+'LINEST VARS'!$L$58*(0.5^2)+'LINEST VARS'!$K$58*(12.73^2)+'LINEST VARS'!$J$58*($AI$56*$Z68)+'LINEST VARS'!$I$58*($AI$56*4)+'LINEST VARS'!$H$58*($AI$56*0.5)+'LINEST VARS'!$G$58*($AI$56*12.73)+'LINEST VARS'!$F$58*($Z68*4)+'LINEST VARS'!$E$58*($Z68*0.5)+'LINEST VARS'!$D$58*($Z68*12.73)+'LINEST VARS'!$C$58*(4*0.5)+'LINEST VARS'!$B$58*(4*12.73)+'LINEST VARS'!$A$58*(0.5*12.73)</f>
        <v>0.94365000000000021</v>
      </c>
      <c r="AJ68" s="51">
        <f>'LINEST VARS'!$U$58+'LINEST VARS'!$T$58*($AJ$56)+'LINEST VARS'!$S$58*($Z68)+'LINEST VARS'!$R$58*(4)+'LINEST VARS'!$Q$58*(0.5)+'LINEST VARS'!$P$58*(12.73)+'LINEST VARS'!$O$58*($AJ$56^2)+'LINEST VARS'!$N$58*($Z68^2)+'LINEST VARS'!$M$58*(4^2)+'LINEST VARS'!$L$58*(0.5^2)+'LINEST VARS'!$K$58*(12.73^2)+'LINEST VARS'!$J$58*($AJ$56*$Z68)+'LINEST VARS'!$I$58*($AJ$56*4)+'LINEST VARS'!$H$58*($AJ$56*0.5)+'LINEST VARS'!$G$58*($AJ$56*12.73)+'LINEST VARS'!$F$58*($Z68*4)+'LINEST VARS'!$E$58*($Z68*0.5)+'LINEST VARS'!$D$58*($Z68*12.73)+'LINEST VARS'!$C$58*(4*0.5)+'LINEST VARS'!$B$58*(4*12.73)+'LINEST VARS'!$A$58*(0.5*12.73)</f>
        <v>0.94365000000000032</v>
      </c>
      <c r="AK68" s="51">
        <f>'LINEST VARS'!$U$58+'LINEST VARS'!$T$58*($AK$56)+'LINEST VARS'!$S$58*($Z68)+'LINEST VARS'!$R$58*(4)+'LINEST VARS'!$Q$58*(0.5)+'LINEST VARS'!$P$58*(12.73)+'LINEST VARS'!$O$58*($AK$56^2)+'LINEST VARS'!$N$58*($Z68^2)+'LINEST VARS'!$M$58*(4^2)+'LINEST VARS'!$L$58*(0.5^2)+'LINEST VARS'!$K$58*(12.73^2)+'LINEST VARS'!$J$58*($AK$56*$Z68)+'LINEST VARS'!$I$58*($AK$56*4)+'LINEST VARS'!$H$58*($AK$56*0.5)+'LINEST VARS'!$G$58*($AK$56*12.73)+'LINEST VARS'!$F$58*($Z68*4)+'LINEST VARS'!$E$58*($Z68*0.5)+'LINEST VARS'!$D$58*($Z68*12.73)+'LINEST VARS'!$C$58*(4*0.5)+'LINEST VARS'!$B$58*(4*12.73)+'LINEST VARS'!$A$58*(0.5*12.73)</f>
        <v>0.94365000000000032</v>
      </c>
      <c r="AL68" s="51">
        <f>'LINEST VARS'!$U$58+'LINEST VARS'!$T$58*($AL$56)+'LINEST VARS'!$S$58*($Z68)+'LINEST VARS'!$R$58*(4)+'LINEST VARS'!$Q$58*(0.5)+'LINEST VARS'!$P$58*(12.73)+'LINEST VARS'!$O$58*($AL$56^2)+'LINEST VARS'!$N$58*($Z68^2)+'LINEST VARS'!$M$58*(4^2)+'LINEST VARS'!$L$58*(0.5^2)+'LINEST VARS'!$K$58*(12.73^2)+'LINEST VARS'!$J$58*($AL$56*$Z68)+'LINEST VARS'!$I$58*($AL$56*4)+'LINEST VARS'!$H$58*($AL$56*0.5)+'LINEST VARS'!$G$58*($AL$56*12.73)+'LINEST VARS'!$F$58*($Z68*4)+'LINEST VARS'!$E$58*($Z68*0.5)+'LINEST VARS'!$D$58*($Z68*12.73)+'LINEST VARS'!$C$58*(4*0.5)+'LINEST VARS'!$B$58*(4*12.73)+'LINEST VARS'!$A$58*(0.5*12.73)</f>
        <v>0.94365000000000032</v>
      </c>
      <c r="AM68" s="51">
        <f>'LINEST VARS'!$U$58+'LINEST VARS'!$T$58*($AM$56)+'LINEST VARS'!$S$58*($Z68)+'LINEST VARS'!$R$58*(4)+'LINEST VARS'!$Q$58*(0.5)+'LINEST VARS'!$P$58*(12.73)+'LINEST VARS'!$O$58*($AM$56^2)+'LINEST VARS'!$N$58*($Z68^2)+'LINEST VARS'!$M$58*(4^2)+'LINEST VARS'!$L$58*(0.5^2)+'LINEST VARS'!$K$58*(12.73^2)+'LINEST VARS'!$J$58*($AM$56*$Z68)+'LINEST VARS'!$I$58*($AM$56*4)+'LINEST VARS'!$H$58*($AM$56*0.5)+'LINEST VARS'!$G$58*($AM$56*12.73)+'LINEST VARS'!$F$58*($Z68*4)+'LINEST VARS'!$E$58*($Z68*0.5)+'LINEST VARS'!$D$58*($Z68*12.73)+'LINEST VARS'!$C$58*(4*0.5)+'LINEST VARS'!$B$58*(4*12.73)+'LINEST VARS'!$A$58*(0.5*12.73)</f>
        <v>0.94365000000000021</v>
      </c>
      <c r="AN68" s="51">
        <f>'LINEST VARS'!$U$58+'LINEST VARS'!$T$58*($AN$56)+'LINEST VARS'!$S$58*($Z68)+'LINEST VARS'!$R$58*(4)+'LINEST VARS'!$Q$58*(0.5)+'LINEST VARS'!$P$58*(12.73)+'LINEST VARS'!$O$58*($AN$56^2)+'LINEST VARS'!$N$58*($Z68^2)+'LINEST VARS'!$M$58*(4^2)+'LINEST VARS'!$L$58*(0.5^2)+'LINEST VARS'!$K$58*(12.73^2)+'LINEST VARS'!$J$58*($AN$56*$Z68)+'LINEST VARS'!$I$58*($AN$56*4)+'LINEST VARS'!$H$58*($AN$56*0.5)+'LINEST VARS'!$G$58*($AN$56*12.73)+'LINEST VARS'!$F$58*($Z68*4)+'LINEST VARS'!$E$58*($Z68*0.5)+'LINEST VARS'!$D$58*($Z68*12.73)+'LINEST VARS'!$C$58*(4*0.5)+'LINEST VARS'!$B$58*(4*12.73)+'LINEST VARS'!$A$58*(0.5*12.73)</f>
        <v>0.94365000000000021</v>
      </c>
      <c r="AO68" s="51">
        <f>'LINEST VARS'!$U$58+'LINEST VARS'!$T$58*($AO$56)+'LINEST VARS'!$S$58*($Z68)+'LINEST VARS'!$R$58*(4)+'LINEST VARS'!$Q$58*(0.5)+'LINEST VARS'!$P$58*(12.73)+'LINEST VARS'!$O$58*($AO$56^2)+'LINEST VARS'!$N$58*($Z68^2)+'LINEST VARS'!$M$58*(4^2)+'LINEST VARS'!$L$58*(0.5^2)+'LINEST VARS'!$K$58*(12.73^2)+'LINEST VARS'!$J$58*($AO$56*$Z68)+'LINEST VARS'!$I$58*($AO$56*4)+'LINEST VARS'!$H$58*($AO$56*0.5)+'LINEST VARS'!$G$58*($AO$56*12.73)+'LINEST VARS'!$F$58*($Z68*4)+'LINEST VARS'!$E$58*($Z68*0.5)+'LINEST VARS'!$D$58*($Z68*12.73)+'LINEST VARS'!$C$58*(4*0.5)+'LINEST VARS'!$B$58*(4*12.73)+'LINEST VARS'!$A$58*(0.5*12.73)</f>
        <v>0.94365000000000021</v>
      </c>
      <c r="AP68" s="51">
        <f>'LINEST VARS'!$U$58+'LINEST VARS'!$T$58*($AP$56)+'LINEST VARS'!$S$58*($Z68)+'LINEST VARS'!$R$58*(4)+'LINEST VARS'!$Q$58*(0.5)+'LINEST VARS'!$P$58*(12.73)+'LINEST VARS'!$O$58*($AP$56^2)+'LINEST VARS'!$N$58*($Z68^2)+'LINEST VARS'!$M$58*(4^2)+'LINEST VARS'!$L$58*(0.5^2)+'LINEST VARS'!$K$58*(12.73^2)+'LINEST VARS'!$J$58*($AP$56*$Z68)+'LINEST VARS'!$I$58*($AP$56*4)+'LINEST VARS'!$H$58*($AP$56*0.5)+'LINEST VARS'!$G$58*($AP$56*12.73)+'LINEST VARS'!$F$58*($Z68*4)+'LINEST VARS'!$E$58*($Z68*0.5)+'LINEST VARS'!$D$58*($Z68*12.73)+'LINEST VARS'!$C$58*(4*0.5)+'LINEST VARS'!$B$58*(4*12.73)+'LINEST VARS'!$A$58*(0.5*12.73)</f>
        <v>0.94365000000000021</v>
      </c>
      <c r="AQ68" s="51">
        <f>'LINEST VARS'!$U$58+'LINEST VARS'!$T$58*($AQ$56)+'LINEST VARS'!$S$58*($Z68)+'LINEST VARS'!$R$58*(4)+'LINEST VARS'!$Q$58*(0.5)+'LINEST VARS'!$P$58*(12.73)+'LINEST VARS'!$O$58*($AQ$56^2)+'LINEST VARS'!$N$58*($Z68^2)+'LINEST VARS'!$M$58*(4^2)+'LINEST VARS'!$L$58*(0.5^2)+'LINEST VARS'!$K$58*(12.73^2)+'LINEST VARS'!$J$58*($AQ$56*$Z68)+'LINEST VARS'!$I$58*($AQ$56*4)+'LINEST VARS'!$H$58*($AQ$56*0.5)+'LINEST VARS'!$G$58*($AQ$56*12.73)+'LINEST VARS'!$F$58*($Z68*4)+'LINEST VARS'!$E$58*($Z68*0.5)+'LINEST VARS'!$D$58*($Z68*12.73)+'LINEST VARS'!$C$58*(4*0.5)+'LINEST VARS'!$B$58*(4*12.73)+'LINEST VARS'!$A$58*(0.5*12.73)</f>
        <v>0.94365000000000021</v>
      </c>
      <c r="AR68" s="51">
        <f>'LINEST VARS'!$U$58+'LINEST VARS'!$T$58*($AR$56)+'LINEST VARS'!$S$58*($Z68)+'LINEST VARS'!$R$58*(4)+'LINEST VARS'!$Q$58*(0.5)+'LINEST VARS'!$P$58*(12.73)+'LINEST VARS'!$O$58*($AR$56^2)+'LINEST VARS'!$N$58*($Z68^2)+'LINEST VARS'!$M$58*(4^2)+'LINEST VARS'!$L$58*(0.5^2)+'LINEST VARS'!$K$58*(12.73^2)+'LINEST VARS'!$J$58*($AR$56*$Z68)+'LINEST VARS'!$I$58*($AR$56*4)+'LINEST VARS'!$H$58*($AR$56*0.5)+'LINEST VARS'!$G$58*($AR$56*12.73)+'LINEST VARS'!$F$58*($Z68*4)+'LINEST VARS'!$E$58*($Z68*0.5)+'LINEST VARS'!$D$58*($Z68*12.73)+'LINEST VARS'!$C$58*(4*0.5)+'LINEST VARS'!$B$58*(4*12.73)+'LINEST VARS'!$A$58*(0.5*12.73)</f>
        <v>0.94365000000000021</v>
      </c>
      <c r="AS68" s="51">
        <f>'LINEST VARS'!$U$58+'LINEST VARS'!$T$58*($AS$56)+'LINEST VARS'!$S$58*($Z68)+'LINEST VARS'!$R$58*(4)+'LINEST VARS'!$Q$58*(0.5)+'LINEST VARS'!$P$58*(12.73)+'LINEST VARS'!$O$58*($AS$56^2)+'LINEST VARS'!$N$58*($Z68^2)+'LINEST VARS'!$M$58*(4^2)+'LINEST VARS'!$L$58*(0.5^2)+'LINEST VARS'!$K$58*(12.73^2)+'LINEST VARS'!$J$58*($AS$56*$Z68)+'LINEST VARS'!$I$58*($AS$56*4)+'LINEST VARS'!$H$58*($AS$56*0.5)+'LINEST VARS'!$G$58*($AS$56*12.73)+'LINEST VARS'!$F$58*($Z68*4)+'LINEST VARS'!$E$58*($Z68*0.5)+'LINEST VARS'!$D$58*($Z68*12.73)+'LINEST VARS'!$C$58*(4*0.5)+'LINEST VARS'!$B$58*(4*12.73)+'LINEST VARS'!$A$58*(0.5*12.73)</f>
        <v>0.94365000000000032</v>
      </c>
      <c r="AT68" s="51">
        <f>'LINEST VARS'!$U$58+'LINEST VARS'!$T$58*($AT$56)+'LINEST VARS'!$S$58*($Z68)+'LINEST VARS'!$R$58*(4)+'LINEST VARS'!$Q$58*(0.5)+'LINEST VARS'!$P$58*(12.73)+'LINEST VARS'!$O$58*($AT$56^2)+'LINEST VARS'!$N$58*($Z68^2)+'LINEST VARS'!$M$58*(4^2)+'LINEST VARS'!$L$58*(0.5^2)+'LINEST VARS'!$K$58*(12.73^2)+'LINEST VARS'!$J$58*($AT$56*$Z68)+'LINEST VARS'!$I$58*($AT$56*4)+'LINEST VARS'!$H$58*($AT$56*0.5)+'LINEST VARS'!$G$58*($AT$56*12.73)+'LINEST VARS'!$F$58*($Z68*4)+'LINEST VARS'!$E$58*($Z68*0.5)+'LINEST VARS'!$D$58*($Z68*12.73)+'LINEST VARS'!$C$58*(4*0.5)+'LINEST VARS'!$B$58*(4*12.73)+'LINEST VARS'!$A$58*(0.5*12.73)</f>
        <v>0.94365000000000032</v>
      </c>
      <c r="AU68" s="52">
        <f>'LINEST VARS'!$U$58+'LINEST VARS'!$T$58*($AU$56)+'LINEST VARS'!$S$58*($Z68)+'LINEST VARS'!$R$58*(4)+'LINEST VARS'!$Q$58*(0.5)+'LINEST VARS'!$P$58*(12.73)+'LINEST VARS'!$O$58*($AU$56^2)+'LINEST VARS'!$N$58*($Z68^2)+'LINEST VARS'!$M$58*(4^2)+'LINEST VARS'!$L$58*(0.5^2)+'LINEST VARS'!$K$58*(12.73^2)+'LINEST VARS'!$J$58*($AU$56*$Z68)+'LINEST VARS'!$I$58*($AU$56*4)+'LINEST VARS'!$H$58*($AU$56*0.5)+'LINEST VARS'!$G$58*($AU$56*12.73)+'LINEST VARS'!$F$58*($Z68*4)+'LINEST VARS'!$E$58*($Z68*0.5)+'LINEST VARS'!$D$58*($Z68*12.73)+'LINEST VARS'!$C$58*(4*0.5)+'LINEST VARS'!$B$58*(4*12.73)+'LINEST VARS'!$A$58*(0.5*12.73)</f>
        <v>0.94365000000000021</v>
      </c>
      <c r="AZ68" s="45">
        <v>0.55000000000000004</v>
      </c>
      <c r="BA68" s="51">
        <f>'LINEST VARS'!$U$56+'LINEST VARS'!$T$56*(8)+'LINEST VARS'!$S$56*(8)+'LINEST VARS'!$R$56*($BA$56)+'LINEST VARS'!$Q$56*($AZ68)+'LINEST VARS'!$P$56*(12.73)+'LINEST VARS'!$O$56*(8^2)+'LINEST VARS'!$N$56*(8^2)+'LINEST VARS'!$M$56*($BA$56^2)+'LINEST VARS'!$L$56*($AZ68^2)+'LINEST VARS'!$K$56*(12.73^2)+'LINEST VARS'!$J$56*(8*8)+'LINEST VARS'!$I$56*(8*$BA$56)+'LINEST VARS'!$H$56*(8*$AZ68)+'LINEST VARS'!$G$56*(8*12.73)+'LINEST VARS'!$F$56*(8*$BA$56)+'LINEST VARS'!$E$56*(8*$AZ68)+'LINEST VARS'!$D$56*(8*12.73)+'LINEST VARS'!$C$56*($BA$56*$AZ68)+'LINEST VARS'!$B$56*($BA$56*12.73)+'LINEST VARS'!$A$56*($AZ68*12.73)</f>
        <v>2.8000000000000007</v>
      </c>
      <c r="BB68" s="51">
        <f>'LINEST VARS'!$U$56+'LINEST VARS'!$T$56*(8)+'LINEST VARS'!$S$56*(8)+'LINEST VARS'!$R$56*($BB$56)+'LINEST VARS'!$Q$56*($AZ68)+'LINEST VARS'!$P$56*(12.73)+'LINEST VARS'!$O$56*(8^2)+'LINEST VARS'!$N$56*(8^2)+'LINEST VARS'!$M$56*($BB$56^2)+'LINEST VARS'!$L$56*($AZ68^2)+'LINEST VARS'!$K$56*(12.73^2)+'LINEST VARS'!$J$56*(8*8)+'LINEST VARS'!$I$56*(8*$BB$56)+'LINEST VARS'!$H$56*(8*$AZ68)+'LINEST VARS'!$G$56*(8*12.73)+'LINEST VARS'!$F$56*(8*$BB$56)+'LINEST VARS'!$E$56*(8*$AZ68)+'LINEST VARS'!$D$56*(8*12.73)+'LINEST VARS'!$C$56*($BB$56*$AZ68)+'LINEST VARS'!$B$56*($BB$56*12.73)+'LINEST VARS'!$A$56*($AZ68*12.73)</f>
        <v>2.8184000000000009</v>
      </c>
      <c r="BC68" s="51">
        <f>'LINEST VARS'!$U$56+'LINEST VARS'!$T$56*(8)+'LINEST VARS'!$S$56*(8)+'LINEST VARS'!$R$56*($BC$56)+'LINEST VARS'!$Q$56*($AZ68)+'LINEST VARS'!$P$56*(12.73)+'LINEST VARS'!$O$56*(8^2)+'LINEST VARS'!$N$56*(8^2)+'LINEST VARS'!$M$56*($BC$56^2)+'LINEST VARS'!$L$56*($AZ68^2)+'LINEST VARS'!$K$56*(12.73^2)+'LINEST VARS'!$J$56*(8*8)+'LINEST VARS'!$I$56*(8*$BC$56)+'LINEST VARS'!$H$56*(8*$AZ68)+'LINEST VARS'!$G$56*(8*12.73)+'LINEST VARS'!$F$56*(8*$BC$56)+'LINEST VARS'!$E$56*(8*$AZ68)+'LINEST VARS'!$D$56*(8*12.73)+'LINEST VARS'!$C$56*($BC$56*$AZ68)+'LINEST VARS'!$B$56*($BC$56*12.73)+'LINEST VARS'!$A$56*($AZ68*12.73)</f>
        <v>2.8336000000000006</v>
      </c>
      <c r="BD68" s="51">
        <f>'LINEST VARS'!$U$56+'LINEST VARS'!$T$56*(8)+'LINEST VARS'!$S$56*(8)+'LINEST VARS'!$R$56*($BD$56)+'LINEST VARS'!$Q$56*($AZ68)+'LINEST VARS'!$P$56*(12.73)+'LINEST VARS'!$O$56*(8^2)+'LINEST VARS'!$N$56*(8^2)+'LINEST VARS'!$M$56*($BD$56^2)+'LINEST VARS'!$L$56*($AZ68^2)+'LINEST VARS'!$K$56*(12.73^2)+'LINEST VARS'!$J$56*(8*8)+'LINEST VARS'!$I$56*(8*$BD$56)+'LINEST VARS'!$H$56*(8*$AZ68)+'LINEST VARS'!$G$56*(8*12.73)+'LINEST VARS'!$F$56*(8*$BD$56)+'LINEST VARS'!$E$56*(8*$AZ68)+'LINEST VARS'!$D$56*(8*12.73)+'LINEST VARS'!$C$56*($BD$56*$AZ68)+'LINEST VARS'!$B$56*($BD$56*12.73)+'LINEST VARS'!$A$56*($AZ68*12.73)</f>
        <v>2.8456000000000006</v>
      </c>
      <c r="BE68" s="51">
        <f>'LINEST VARS'!$U$56+'LINEST VARS'!$T$56*(8)+'LINEST VARS'!$S$56*(8)+'LINEST VARS'!$R$56*($BE$56)+'LINEST VARS'!$Q$56*($AZ68)+'LINEST VARS'!$P$56*(12.73)+'LINEST VARS'!$O$56*(8^2)+'LINEST VARS'!$N$56*(8^2)+'LINEST VARS'!$M$56*($BE$56^2)+'LINEST VARS'!$L$56*($AZ68^2)+'LINEST VARS'!$K$56*(12.73^2)+'LINEST VARS'!$J$56*(8*8)+'LINEST VARS'!$I$56*(8*$BE$56)+'LINEST VARS'!$H$56*(8*$AZ68)+'LINEST VARS'!$G$56*(8*12.73)+'LINEST VARS'!$F$56*(8*$BE$56)+'LINEST VARS'!$E$56*(8*$AZ68)+'LINEST VARS'!$D$56*(8*12.73)+'LINEST VARS'!$C$56*($BE$56*$AZ68)+'LINEST VARS'!$B$56*($BE$56*12.73)+'LINEST VARS'!$A$56*($AZ68*12.73)</f>
        <v>2.8544000000000009</v>
      </c>
      <c r="BF68" s="51">
        <f>'LINEST VARS'!$U$56+'LINEST VARS'!$T$56*(8)+'LINEST VARS'!$S$56*(8)+'LINEST VARS'!$R$56*($BF$56)+'LINEST VARS'!$Q$56*($AZ68)+'LINEST VARS'!$P$56*(12.73)+'LINEST VARS'!$O$56*(8^2)+'LINEST VARS'!$N$56*(8^2)+'LINEST VARS'!$M$56*($BF$56^2)+'LINEST VARS'!$L$56*($AZ68^2)+'LINEST VARS'!$K$56*(12.73^2)+'LINEST VARS'!$J$56*(8*8)+'LINEST VARS'!$I$56*(8*$BF$56)+'LINEST VARS'!$H$56*(8*$AZ68)+'LINEST VARS'!$G$56*(8*12.73)+'LINEST VARS'!$F$56*(8*$BF$56)+'LINEST VARS'!$E$56*(8*$AZ68)+'LINEST VARS'!$D$56*(8*12.73)+'LINEST VARS'!$C$56*($BF$56*$AZ68)+'LINEST VARS'!$B$56*($BF$56*12.73)+'LINEST VARS'!$A$56*($AZ68*12.73)</f>
        <v>2.8600000000000008</v>
      </c>
      <c r="BG68" s="51">
        <f>'LINEST VARS'!$U$56+'LINEST VARS'!$T$56*(8)+'LINEST VARS'!$S$56*(8)+'LINEST VARS'!$R$56*($BG$56)+'LINEST VARS'!$Q$56*($AZ68)+'LINEST VARS'!$P$56*(12.73)+'LINEST VARS'!$O$56*(8^2)+'LINEST VARS'!$N$56*(8^2)+'LINEST VARS'!$M$56*($BG$56^2)+'LINEST VARS'!$L$56*($AZ68^2)+'LINEST VARS'!$K$56*(12.73^2)+'LINEST VARS'!$J$56*(8*8)+'LINEST VARS'!$I$56*(8*$BG$56)+'LINEST VARS'!$H$56*(8*$AZ68)+'LINEST VARS'!$G$56*(8*12.73)+'LINEST VARS'!$F$56*(8*$BG$56)+'LINEST VARS'!$E$56*(8*$AZ68)+'LINEST VARS'!$D$56*(8*12.73)+'LINEST VARS'!$C$56*($BG$56*$AZ68)+'LINEST VARS'!$B$56*($BG$56*12.73)+'LINEST VARS'!$A$56*($AZ68*12.73)</f>
        <v>2.8624000000000009</v>
      </c>
      <c r="BH68" s="51">
        <f>'LINEST VARS'!$U$56+'LINEST VARS'!$T$56*(8)+'LINEST VARS'!$S$56*(8)+'LINEST VARS'!$R$56*($BH$56)+'LINEST VARS'!$Q$56*($AZ68)+'LINEST VARS'!$P$56*(12.73)+'LINEST VARS'!$O$56*(8^2)+'LINEST VARS'!$N$56*(8^2)+'LINEST VARS'!$M$56*($BH$56^2)+'LINEST VARS'!$L$56*($AZ68^2)+'LINEST VARS'!$K$56*(12.73^2)+'LINEST VARS'!$J$56*(8*8)+'LINEST VARS'!$I$56*(8*$BH$56)+'LINEST VARS'!$H$56*(8*$AZ68)+'LINEST VARS'!$G$56*(8*12.73)+'LINEST VARS'!$F$56*(8*$BH$56)+'LINEST VARS'!$E$56*(8*$AZ68)+'LINEST VARS'!$D$56*(8*12.73)+'LINEST VARS'!$C$56*($BH$56*$AZ68)+'LINEST VARS'!$B$56*($BH$56*12.73)+'LINEST VARS'!$A$56*($AZ68*12.73)</f>
        <v>2.8616000000000006</v>
      </c>
      <c r="BI68" s="51">
        <f>'LINEST VARS'!$U$56+'LINEST VARS'!$T$56*(8)+'LINEST VARS'!$S$56*(8)+'LINEST VARS'!$R$56*($BI$56)+'LINEST VARS'!$Q$56*($AZ68)+'LINEST VARS'!$P$56*(12.73)+'LINEST VARS'!$O$56*(8^2)+'LINEST VARS'!$N$56*(8^2)+'LINEST VARS'!$M$56*($BI$56^2)+'LINEST VARS'!$L$56*($AZ68^2)+'LINEST VARS'!$K$56*(12.73^2)+'LINEST VARS'!$J$56*(8*8)+'LINEST VARS'!$I$56*(8*$BI$56)+'LINEST VARS'!$H$56*(8*$AZ68)+'LINEST VARS'!$G$56*(8*12.73)+'LINEST VARS'!$F$56*(8*$BI$56)+'LINEST VARS'!$E$56*(8*$AZ68)+'LINEST VARS'!$D$56*(8*12.73)+'LINEST VARS'!$C$56*($BI$56*$AZ68)+'LINEST VARS'!$B$56*($BI$56*12.73)+'LINEST VARS'!$A$56*($AZ68*12.73)</f>
        <v>2.8576000000000006</v>
      </c>
      <c r="BJ68" s="51">
        <f>'LINEST VARS'!$U$56+'LINEST VARS'!$T$56*(8)+'LINEST VARS'!$S$56*(8)+'LINEST VARS'!$R$56*($BJ$56)+'LINEST VARS'!$Q$56*($AZ68)+'LINEST VARS'!$P$56*(12.73)+'LINEST VARS'!$O$56*(8^2)+'LINEST VARS'!$N$56*(8^2)+'LINEST VARS'!$M$56*($BJ$56^2)+'LINEST VARS'!$L$56*($AZ68^2)+'LINEST VARS'!$K$56*(12.73^2)+'LINEST VARS'!$J$56*(8*8)+'LINEST VARS'!$I$56*(8*$BJ$56)+'LINEST VARS'!$H$56*(8*$AZ68)+'LINEST VARS'!$G$56*(8*12.73)+'LINEST VARS'!$F$56*(8*$BJ$56)+'LINEST VARS'!$E$56*(8*$AZ68)+'LINEST VARS'!$D$56*(8*12.73)+'LINEST VARS'!$C$56*($BJ$56*$AZ68)+'LINEST VARS'!$B$56*($BJ$56*12.73)+'LINEST VARS'!$A$56*($AZ68*12.73)</f>
        <v>2.8504000000000009</v>
      </c>
      <c r="BK68" s="51">
        <f>'LINEST VARS'!$U$56+'LINEST VARS'!$T$56*(8)+'LINEST VARS'!$S$56*(8)+'LINEST VARS'!$R$56*($BK$56)+'LINEST VARS'!$Q$56*($AZ68)+'LINEST VARS'!$P$56*(12.73)+'LINEST VARS'!$O$56*(8^2)+'LINEST VARS'!$N$56*(8^2)+'LINEST VARS'!$M$56*($BK$56^2)+'LINEST VARS'!$L$56*($AZ68^2)+'LINEST VARS'!$K$56*(12.73^2)+'LINEST VARS'!$J$56*(8*8)+'LINEST VARS'!$I$56*(8*$BK$56)+'LINEST VARS'!$H$56*(8*$AZ68)+'LINEST VARS'!$G$56*(8*12.73)+'LINEST VARS'!$F$56*(8*$BK$56)+'LINEST VARS'!$E$56*(8*$AZ68)+'LINEST VARS'!$D$56*(8*12.73)+'LINEST VARS'!$C$56*($BK$56*$AZ68)+'LINEST VARS'!$B$56*($BK$56*12.73)+'LINEST VARS'!$A$56*($AZ68*12.73)</f>
        <v>2.8400000000000007</v>
      </c>
      <c r="BL68" s="51">
        <f>'LINEST VARS'!$U$56+'LINEST VARS'!$T$56*(8)+'LINEST VARS'!$S$56*(8)+'LINEST VARS'!$R$56*($BL$56)+'LINEST VARS'!$Q$56*($AZ68)+'LINEST VARS'!$P$56*(12.73)+'LINEST VARS'!$O$56*(8^2)+'LINEST VARS'!$N$56*(8^2)+'LINEST VARS'!$M$56*($BL$56^2)+'LINEST VARS'!$L$56*($AZ68^2)+'LINEST VARS'!$K$56*(12.73^2)+'LINEST VARS'!$J$56*(8*8)+'LINEST VARS'!$I$56*(8*$BL$56)+'LINEST VARS'!$H$56*(8*$AZ68)+'LINEST VARS'!$G$56*(8*12.73)+'LINEST VARS'!$F$56*(8*$BL$56)+'LINEST VARS'!$E$56*(8*$AZ68)+'LINEST VARS'!$D$56*(8*12.73)+'LINEST VARS'!$C$56*($BL$56*$AZ68)+'LINEST VARS'!$B$56*($BL$56*12.73)+'LINEST VARS'!$A$56*($AZ68*12.73)</f>
        <v>2.8264000000000009</v>
      </c>
      <c r="BM68" s="51">
        <f>'LINEST VARS'!$U$56+'LINEST VARS'!$T$56*(8)+'LINEST VARS'!$S$56*(8)+'LINEST VARS'!$R$56*($BM$56)+'LINEST VARS'!$Q$56*($AZ68)+'LINEST VARS'!$P$56*(12.73)+'LINEST VARS'!$O$56*(8^2)+'LINEST VARS'!$N$56*(8^2)+'LINEST VARS'!$M$56*($BM$56^2)+'LINEST VARS'!$L$56*($AZ68^2)+'LINEST VARS'!$K$56*(12.73^2)+'LINEST VARS'!$J$56*(8*8)+'LINEST VARS'!$I$56*(8*$BM$56)+'LINEST VARS'!$H$56*(8*$AZ68)+'LINEST VARS'!$G$56*(8*12.73)+'LINEST VARS'!$F$56*(8*$BM$56)+'LINEST VARS'!$E$56*(8*$AZ68)+'LINEST VARS'!$D$56*(8*12.73)+'LINEST VARS'!$C$56*($BM$56*$AZ68)+'LINEST VARS'!$B$56*($BM$56*12.73)+'LINEST VARS'!$A$56*($AZ68*12.73)</f>
        <v>2.8096000000000005</v>
      </c>
      <c r="BN68" s="51">
        <f>'LINEST VARS'!$U$56+'LINEST VARS'!$T$56*(8)+'LINEST VARS'!$S$56*(8)+'LINEST VARS'!$R$56*($BN$56)+'LINEST VARS'!$Q$56*($AZ68)+'LINEST VARS'!$P$56*(12.73)+'LINEST VARS'!$O$56*(8^2)+'LINEST VARS'!$N$56*(8^2)+'LINEST VARS'!$M$56*($BN$56^2)+'LINEST VARS'!$L$56*($AZ68^2)+'LINEST VARS'!$K$56*(12.73^2)+'LINEST VARS'!$J$56*(8*8)+'LINEST VARS'!$I$56*(8*$BN$56)+'LINEST VARS'!$H$56*(8*$AZ68)+'LINEST VARS'!$G$56*(8*12.73)+'LINEST VARS'!$F$56*(8*$BN$56)+'LINEST VARS'!$E$56*(8*$AZ68)+'LINEST VARS'!$D$56*(8*12.73)+'LINEST VARS'!$C$56*($BN$56*$AZ68)+'LINEST VARS'!$B$56*($BN$56*12.73)+'LINEST VARS'!$A$56*($AZ68*12.73)</f>
        <v>2.7896000000000005</v>
      </c>
      <c r="BO68" s="51">
        <f>'LINEST VARS'!$U$56+'LINEST VARS'!$T$56*(8)+'LINEST VARS'!$S$56*(8)+'LINEST VARS'!$R$56*($BO$56)+'LINEST VARS'!$Q$56*($AZ68)+'LINEST VARS'!$P$56*(12.73)+'LINEST VARS'!$O$56*(8^2)+'LINEST VARS'!$N$56*(8^2)+'LINEST VARS'!$M$56*($BO$56^2)+'LINEST VARS'!$L$56*($AZ68^2)+'LINEST VARS'!$K$56*(12.73^2)+'LINEST VARS'!$J$56*(8*8)+'LINEST VARS'!$I$56*(8*$BO$56)+'LINEST VARS'!$H$56*(8*$AZ68)+'LINEST VARS'!$G$56*(8*12.73)+'LINEST VARS'!$F$56*(8*$BO$56)+'LINEST VARS'!$E$56*(8*$AZ68)+'LINEST VARS'!$D$56*(8*12.73)+'LINEST VARS'!$C$56*($BO$56*$AZ68)+'LINEST VARS'!$B$56*($BO$56*12.73)+'LINEST VARS'!$A$56*($AZ68*12.73)</f>
        <v>2.7664000000000009</v>
      </c>
      <c r="BP68" s="51">
        <f>'LINEST VARS'!$U$56+'LINEST VARS'!$T$56*(8)+'LINEST VARS'!$S$56*(8)+'LINEST VARS'!$R$56*($BP$56)+'LINEST VARS'!$Q$56*($AZ68)+'LINEST VARS'!$P$56*(12.73)+'LINEST VARS'!$O$56*(8^2)+'LINEST VARS'!$N$56*(8^2)+'LINEST VARS'!$M$56*($BP$56^2)+'LINEST VARS'!$L$56*($AZ68^2)+'LINEST VARS'!$K$56*(12.73^2)+'LINEST VARS'!$J$56*(8*8)+'LINEST VARS'!$I$56*(8*$BP$56)+'LINEST VARS'!$H$56*(8*$AZ68)+'LINEST VARS'!$G$56*(8*12.73)+'LINEST VARS'!$F$56*(8*$BP$56)+'LINEST VARS'!$E$56*(8*$AZ68)+'LINEST VARS'!$D$56*(8*12.73)+'LINEST VARS'!$C$56*($BP$56*$AZ68)+'LINEST VARS'!$B$56*($BP$56*12.73)+'LINEST VARS'!$A$56*($AZ68*12.73)</f>
        <v>2.7400000000000007</v>
      </c>
      <c r="BQ68" s="51">
        <f>'LINEST VARS'!$U$56+'LINEST VARS'!$T$56*(8)+'LINEST VARS'!$S$56*(8)+'LINEST VARS'!$R$56*($BQ$56)+'LINEST VARS'!$Q$56*($AZ68)+'LINEST VARS'!$P$56*(12.73)+'LINEST VARS'!$O$56*(8^2)+'LINEST VARS'!$N$56*(8^2)+'LINEST VARS'!$M$56*($BQ$56^2)+'LINEST VARS'!$L$56*($AZ68^2)+'LINEST VARS'!$K$56*(12.73^2)+'LINEST VARS'!$J$56*(8*8)+'LINEST VARS'!$I$56*(8*$BQ$56)+'LINEST VARS'!$H$56*(8*$AZ68)+'LINEST VARS'!$G$56*(8*12.73)+'LINEST VARS'!$F$56*(8*$BQ$56)+'LINEST VARS'!$E$56*(8*$AZ68)+'LINEST VARS'!$D$56*(8*12.73)+'LINEST VARS'!$C$56*($BQ$56*$AZ68)+'LINEST VARS'!$B$56*($BQ$56*12.73)+'LINEST VARS'!$A$56*($AZ68*12.73)</f>
        <v>2.7104000000000004</v>
      </c>
      <c r="BR68" s="51">
        <f>'LINEST VARS'!$U$56+'LINEST VARS'!$T$56*(8)+'LINEST VARS'!$S$56*(8)+'LINEST VARS'!$R$56*($BR$56)+'LINEST VARS'!$Q$56*($AZ68)+'LINEST VARS'!$P$56*(12.73)+'LINEST VARS'!$O$56*(8^2)+'LINEST VARS'!$N$56*(8^2)+'LINEST VARS'!$M$56*($BR$56^2)+'LINEST VARS'!$L$56*($AZ68^2)+'LINEST VARS'!$K$56*(12.73^2)+'LINEST VARS'!$J$56*(8*8)+'LINEST VARS'!$I$56*(8*$BR$56)+'LINEST VARS'!$H$56*(8*$AZ68)+'LINEST VARS'!$G$56*(8*12.73)+'LINEST VARS'!$F$56*(8*$BR$56)+'LINEST VARS'!$E$56*(8*$AZ68)+'LINEST VARS'!$D$56*(8*12.73)+'LINEST VARS'!$C$56*($BR$56*$AZ68)+'LINEST VARS'!$B$56*($BR$56*12.73)+'LINEST VARS'!$A$56*($AZ68*12.73)</f>
        <v>2.6776000000000004</v>
      </c>
      <c r="BS68" s="51">
        <f>'LINEST VARS'!$U$56+'LINEST VARS'!$T$56*(8)+'LINEST VARS'!$S$56*(8)+'LINEST VARS'!$R$56*($BS$56)+'LINEST VARS'!$Q$56*($AZ68)+'LINEST VARS'!$P$56*(12.73)+'LINEST VARS'!$O$56*(8^2)+'LINEST VARS'!$N$56*(8^2)+'LINEST VARS'!$M$56*($BS$56^2)+'LINEST VARS'!$L$56*($AZ68^2)+'LINEST VARS'!$K$56*(12.73^2)+'LINEST VARS'!$J$56*(8*8)+'LINEST VARS'!$I$56*(8*$BS$56)+'LINEST VARS'!$H$56*(8*$AZ68)+'LINEST VARS'!$G$56*(8*12.73)+'LINEST VARS'!$F$56*(8*$BS$56)+'LINEST VARS'!$E$56*(8*$AZ68)+'LINEST VARS'!$D$56*(8*12.73)+'LINEST VARS'!$C$56*($BS$56*$AZ68)+'LINEST VARS'!$B$56*($BS$56*12.73)+'LINEST VARS'!$A$56*($AZ68*12.73)</f>
        <v>2.6416000000000004</v>
      </c>
      <c r="BT68" s="51">
        <f>'LINEST VARS'!$U$56+'LINEST VARS'!$T$56*(8)+'LINEST VARS'!$S$56*(8)+'LINEST VARS'!$R$56*($BT$56)+'LINEST VARS'!$Q$56*($AZ68)+'LINEST VARS'!$P$56*(12.73)+'LINEST VARS'!$O$56*(8^2)+'LINEST VARS'!$N$56*(8^2)+'LINEST VARS'!$M$56*($BT$56^2)+'LINEST VARS'!$L$56*($AZ68^2)+'LINEST VARS'!$K$56*(12.73^2)+'LINEST VARS'!$J$56*(8*8)+'LINEST VARS'!$I$56*(8*$BT$56)+'LINEST VARS'!$H$56*(8*$AZ68)+'LINEST VARS'!$G$56*(8*12.73)+'LINEST VARS'!$F$56*(8*$BT$56)+'LINEST VARS'!$E$56*(8*$AZ68)+'LINEST VARS'!$D$56*(8*12.73)+'LINEST VARS'!$C$56*($BT$56*$AZ68)+'LINEST VARS'!$B$56*($BT$56*12.73)+'LINEST VARS'!$A$56*($AZ68*12.73)</f>
        <v>2.6024000000000007</v>
      </c>
      <c r="BU68" s="52">
        <f>'LINEST VARS'!$U$56+'LINEST VARS'!$T$56*(8)+'LINEST VARS'!$S$56*(8)+'LINEST VARS'!$R$56*($BU$56)+'LINEST VARS'!$Q$56*($AZ68)+'LINEST VARS'!$P$56*(12.73)+'LINEST VARS'!$O$56*(8^2)+'LINEST VARS'!$N$56*(8^2)+'LINEST VARS'!$M$56*($BU$56^2)+'LINEST VARS'!$L$56*($AZ68^2)+'LINEST VARS'!$K$56*(12.73^2)+'LINEST VARS'!$J$56*(8*8)+'LINEST VARS'!$I$56*(8*$BU$56)+'LINEST VARS'!$H$56*(8*$AZ68)+'LINEST VARS'!$G$56*(8*12.73)+'LINEST VARS'!$F$56*(8*$BU$56)+'LINEST VARS'!$E$56*(8*$AZ68)+'LINEST VARS'!$D$56*(8*12.73)+'LINEST VARS'!$C$56*($BU$56*$AZ68)+'LINEST VARS'!$B$56*($BU$56*12.73)+'LINEST VARS'!$A$56*($AZ68*12.73)</f>
        <v>2.5600000000000005</v>
      </c>
      <c r="BX68" s="45">
        <v>0.55000000000000004</v>
      </c>
      <c r="BY68" s="51">
        <f>'LINEST VARS'!$U$58+'LINEST VARS'!$T$58*(8)+'LINEST VARS'!$S$58*(8)+'LINEST VARS'!$R$58*($BY$56)+'LINEST VARS'!$Q$58*($BX68)+'LINEST VARS'!$P$58*(12.73)+'LINEST VARS'!$O$58*(8^2)+'LINEST VARS'!$N$58*(8^2)+'LINEST VARS'!$M$58*($BY$56^2)+'LINEST VARS'!$L$58*($BX68^2)+'LINEST VARS'!$K$58*(12.73^2)+'LINEST VARS'!$J$58*(8*8)+'LINEST VARS'!$I$58*(8*$BY$56)+'LINEST VARS'!$H$58*(8*$BX68)+'LINEST VARS'!$G$58*(8*12.73)+'LINEST VARS'!$F$58*(8*$BY$56)+'LINEST VARS'!$E$58*(8*$BX68)+'LINEST VARS'!$D$58*(8*12.73)+'LINEST VARS'!$C$58*($BY$56*$BX68)+'LINEST VARS'!$B$58*($BY$56*12.73)+'LINEST VARS'!$A$58*($BX68*12.73)</f>
        <v>0.86365000000000036</v>
      </c>
      <c r="BZ68" s="51">
        <f>'LINEST VARS'!$U$58+'LINEST VARS'!$T$58*(8)+'LINEST VARS'!$S$58*(8)+'LINEST VARS'!$R$58*($BZ$56)+'LINEST VARS'!$Q$58*($BX68)+'LINEST VARS'!$P$58*(12.73)+'LINEST VARS'!$O$58*(8^2)+'LINEST VARS'!$N$58*(8^2)+'LINEST VARS'!$M$58*($BZ$56^2)+'LINEST VARS'!$L$58*($BX68^2)+'LINEST VARS'!$K$58*(12.73^2)+'LINEST VARS'!$J$58*(8*8)+'LINEST VARS'!$I$58*(8*$BZ$56)+'LINEST VARS'!$H$58*(8*$BX68)+'LINEST VARS'!$G$58*(8*12.73)+'LINEST VARS'!$F$58*(8*$BZ$56)+'LINEST VARS'!$E$58*(8*$BX68)+'LINEST VARS'!$D$58*(8*12.73)+'LINEST VARS'!$C$58*($BZ$56*$BX68)+'LINEST VARS'!$B$58*($BZ$56*12.73)+'LINEST VARS'!$A$58*($BX68*12.73)</f>
        <v>0.87165000000000037</v>
      </c>
      <c r="CA68" s="51">
        <f>'LINEST VARS'!$U$58+'LINEST VARS'!$T$58*(8)+'LINEST VARS'!$S$58*(8)+'LINEST VARS'!$R$58*($CA$56)+'LINEST VARS'!$Q$58*($BX68)+'LINEST VARS'!$P$58*(12.73)+'LINEST VARS'!$O$58*(8^2)+'LINEST VARS'!$N$58*(8^2)+'LINEST VARS'!$M$58*($CA$56^2)+'LINEST VARS'!$L$58*($BX68^2)+'LINEST VARS'!$K$58*(12.73^2)+'LINEST VARS'!$J$58*(8*8)+'LINEST VARS'!$I$58*(8*$CA$56)+'LINEST VARS'!$H$58*(8*$BX68)+'LINEST VARS'!$G$58*(8*12.73)+'LINEST VARS'!$F$58*(8*$CA$56)+'LINEST VARS'!$E$58*(8*$BX68)+'LINEST VARS'!$D$58*(8*12.73)+'LINEST VARS'!$C$58*($CA$56*$BX68)+'LINEST VARS'!$B$58*($CA$56*12.73)+'LINEST VARS'!$A$58*($BX68*12.73)</f>
        <v>0.87965000000000027</v>
      </c>
      <c r="CB68" s="51">
        <f>'LINEST VARS'!$U$58+'LINEST VARS'!$T$58*(8)+'LINEST VARS'!$S$58*(8)+'LINEST VARS'!$R$58*($CB$56)+'LINEST VARS'!$Q$58*($BX68)+'LINEST VARS'!$P$58*(12.73)+'LINEST VARS'!$O$58*(8^2)+'LINEST VARS'!$N$58*(8^2)+'LINEST VARS'!$M$58*($CB$56^2)+'LINEST VARS'!$L$58*($BX68^2)+'LINEST VARS'!$K$58*(12.73^2)+'LINEST VARS'!$J$58*(8*8)+'LINEST VARS'!$I$58*(8*$CB$56)+'LINEST VARS'!$H$58*(8*$BX68)+'LINEST VARS'!$G$58*(8*12.73)+'LINEST VARS'!$F$58*(8*$CB$56)+'LINEST VARS'!$E$58*(8*$BX68)+'LINEST VARS'!$D$58*(8*12.73)+'LINEST VARS'!$C$58*($CB$56*$BX68)+'LINEST VARS'!$B$58*($CB$56*12.73)+'LINEST VARS'!$A$58*($BX68*12.73)</f>
        <v>0.88765000000000027</v>
      </c>
      <c r="CC68" s="51">
        <f>'LINEST VARS'!$U$58+'LINEST VARS'!$T$58*(8)+'LINEST VARS'!$S$58*(8)+'LINEST VARS'!$R$58*($CC$56)+'LINEST VARS'!$Q$58*($BX68)+'LINEST VARS'!$P$58*(12.73)+'LINEST VARS'!$O$58*(8^2)+'LINEST VARS'!$N$58*(8^2)+'LINEST VARS'!$M$58*($CC$56^2)+'LINEST VARS'!$L$58*($BX68^2)+'LINEST VARS'!$K$58*(12.73^2)+'LINEST VARS'!$J$58*(8*8)+'LINEST VARS'!$I$58*(8*$CC$56)+'LINEST VARS'!$H$58*(8*$BX68)+'LINEST VARS'!$G$58*(8*12.73)+'LINEST VARS'!$F$58*(8*$CC$56)+'LINEST VARS'!$E$58*(8*$BX68)+'LINEST VARS'!$D$58*(8*12.73)+'LINEST VARS'!$C$58*($CC$56*$BX68)+'LINEST VARS'!$B$58*($CC$56*12.73)+'LINEST VARS'!$A$58*($BX68*12.73)</f>
        <v>0.89565000000000017</v>
      </c>
      <c r="CD68" s="51">
        <f>'LINEST VARS'!$U$58+'LINEST VARS'!$T$58*(8)+'LINEST VARS'!$S$58*(8)+'LINEST VARS'!$R$58*($CD$56)+'LINEST VARS'!$Q$58*($BX68)+'LINEST VARS'!$P$58*(12.73)+'LINEST VARS'!$O$58*(8^2)+'LINEST VARS'!$N$58*(8^2)+'LINEST VARS'!$M$58*($CD$56^2)+'LINEST VARS'!$L$58*($BX68^2)+'LINEST VARS'!$K$58*(12.73^2)+'LINEST VARS'!$J$58*(8*8)+'LINEST VARS'!$I$58*(8*$CD$56)+'LINEST VARS'!$H$58*(8*$BX68)+'LINEST VARS'!$G$58*(8*12.73)+'LINEST VARS'!$F$58*(8*$CD$56)+'LINEST VARS'!$E$58*(8*$BX68)+'LINEST VARS'!$D$58*(8*12.73)+'LINEST VARS'!$C$58*($CD$56*$BX68)+'LINEST VARS'!$B$58*($CD$56*12.73)+'LINEST VARS'!$A$58*($BX68*12.73)</f>
        <v>0.90365000000000029</v>
      </c>
      <c r="CE68" s="51">
        <f>'LINEST VARS'!$U$58+'LINEST VARS'!$T$58*(8)+'LINEST VARS'!$S$58*(8)+'LINEST VARS'!$R$58*($CE$56)+'LINEST VARS'!$Q$58*($BX68)+'LINEST VARS'!$P$58*(12.73)+'LINEST VARS'!$O$58*(8^2)+'LINEST VARS'!$N$58*(8^2)+'LINEST VARS'!$M$58*($CE$56^2)+'LINEST VARS'!$L$58*($BX68^2)+'LINEST VARS'!$K$58*(12.73^2)+'LINEST VARS'!$J$58*(8*8)+'LINEST VARS'!$I$58*(8*$CE$56)+'LINEST VARS'!$H$58*(8*$BX68)+'LINEST VARS'!$G$58*(8*12.73)+'LINEST VARS'!$F$58*(8*$CE$56)+'LINEST VARS'!$E$58*(8*$BX68)+'LINEST VARS'!$D$58*(8*12.73)+'LINEST VARS'!$C$58*($CE$56*$BX68)+'LINEST VARS'!$B$58*($CE$56*12.73)+'LINEST VARS'!$A$58*($BX68*12.73)</f>
        <v>0.91165000000000029</v>
      </c>
      <c r="CF68" s="51">
        <f>'LINEST VARS'!$U$58+'LINEST VARS'!$T$58*(8)+'LINEST VARS'!$S$58*(8)+'LINEST VARS'!$R$58*($CF$56)+'LINEST VARS'!$Q$58*($BX68)+'LINEST VARS'!$P$58*(12.73)+'LINEST VARS'!$O$58*(8^2)+'LINEST VARS'!$N$58*(8^2)+'LINEST VARS'!$M$58*($CF$56^2)+'LINEST VARS'!$L$58*($BX68^2)+'LINEST VARS'!$K$58*(12.73^2)+'LINEST VARS'!$J$58*(8*8)+'LINEST VARS'!$I$58*(8*$CF$56)+'LINEST VARS'!$H$58*(8*$BX68)+'LINEST VARS'!$G$58*(8*12.73)+'LINEST VARS'!$F$58*(8*$CF$56)+'LINEST VARS'!$E$58*(8*$BX68)+'LINEST VARS'!$D$58*(8*12.73)+'LINEST VARS'!$C$58*($CF$56*$BX68)+'LINEST VARS'!$B$58*($CF$56*12.73)+'LINEST VARS'!$A$58*($BX68*12.73)</f>
        <v>0.9196500000000003</v>
      </c>
      <c r="CG68" s="51">
        <f>'LINEST VARS'!$U$58+'LINEST VARS'!$T$58*(8)+'LINEST VARS'!$S$58*(8)+'LINEST VARS'!$R$58*($CG$56)+'LINEST VARS'!$Q$58*($BX68)+'LINEST VARS'!$P$58*(12.73)+'LINEST VARS'!$O$58*(8^2)+'LINEST VARS'!$N$58*(8^2)+'LINEST VARS'!$M$58*($CG$56^2)+'LINEST VARS'!$L$58*($BX68^2)+'LINEST VARS'!$K$58*(12.73^2)+'LINEST VARS'!$J$58*(8*8)+'LINEST VARS'!$I$58*(8*$CG$56)+'LINEST VARS'!$H$58*(8*$BX68)+'LINEST VARS'!$G$58*(8*12.73)+'LINEST VARS'!$F$58*(8*$CG$56)+'LINEST VARS'!$E$58*(8*$BX68)+'LINEST VARS'!$D$58*(8*12.73)+'LINEST VARS'!$C$58*($CG$56*$BX68)+'LINEST VARS'!$B$58*($CG$56*12.73)+'LINEST VARS'!$A$58*($BX68*12.73)</f>
        <v>0.92765000000000042</v>
      </c>
      <c r="CH68" s="51">
        <f>'LINEST VARS'!$U$58+'LINEST VARS'!$T$58*(8)+'LINEST VARS'!$S$58*(8)+'LINEST VARS'!$R$58*($CH$56)+'LINEST VARS'!$Q$58*($BX68)+'LINEST VARS'!$P$58*(12.73)+'LINEST VARS'!$O$58*(8^2)+'LINEST VARS'!$N$58*(8^2)+'LINEST VARS'!$M$58*($CH$56^2)+'LINEST VARS'!$L$58*($BX68^2)+'LINEST VARS'!$K$58*(12.73^2)+'LINEST VARS'!$J$58*(8*8)+'LINEST VARS'!$I$58*(8*$CH$56)+'LINEST VARS'!$H$58*(8*$BX68)+'LINEST VARS'!$G$58*(8*12.73)+'LINEST VARS'!$F$58*(8*$CH$56)+'LINEST VARS'!$E$58*(8*$BX68)+'LINEST VARS'!$D$58*(8*12.73)+'LINEST VARS'!$C$58*($CH$56*$BX68)+'LINEST VARS'!$B$58*($CH$56*12.73)+'LINEST VARS'!$A$58*($BX68*12.73)</f>
        <v>0.93565000000000031</v>
      </c>
      <c r="CI68" s="51">
        <f>'LINEST VARS'!$U$58+'LINEST VARS'!$T$58*(8)+'LINEST VARS'!$S$58*(8)+'LINEST VARS'!$R$58*($CI$56)+'LINEST VARS'!$Q$58*($BX68)+'LINEST VARS'!$P$58*(12.73)+'LINEST VARS'!$O$58*(8^2)+'LINEST VARS'!$N$58*(8^2)+'LINEST VARS'!$M$58*($CI$56^2)+'LINEST VARS'!$L$58*($BX68^2)+'LINEST VARS'!$K$58*(12.73^2)+'LINEST VARS'!$J$58*(8*8)+'LINEST VARS'!$I$58*(8*$CI$56)+'LINEST VARS'!$H$58*(8*$BX68)+'LINEST VARS'!$G$58*(8*12.73)+'LINEST VARS'!$F$58*(8*$CI$56)+'LINEST VARS'!$E$58*(8*$BX68)+'LINEST VARS'!$D$58*(8*12.73)+'LINEST VARS'!$C$58*($CI$56*$BX68)+'LINEST VARS'!$B$58*($CI$56*12.73)+'LINEST VARS'!$A$58*($BX68*12.73)</f>
        <v>0.94365000000000032</v>
      </c>
      <c r="CJ68" s="51">
        <f>'LINEST VARS'!$U$58+'LINEST VARS'!$T$58*(8)+'LINEST VARS'!$S$58*(8)+'LINEST VARS'!$R$58*($CJ$56)+'LINEST VARS'!$Q$58*($BX68)+'LINEST VARS'!$P$58*(12.73)+'LINEST VARS'!$O$58*(8^2)+'LINEST VARS'!$N$58*(8^2)+'LINEST VARS'!$M$58*($CJ$56^2)+'LINEST VARS'!$L$58*($BX68^2)+'LINEST VARS'!$K$58*(12.73^2)+'LINEST VARS'!$J$58*(8*8)+'LINEST VARS'!$I$58*(8*$CJ$56)+'LINEST VARS'!$H$58*(8*$BX68)+'LINEST VARS'!$G$58*(8*12.73)+'LINEST VARS'!$F$58*(8*$CJ$56)+'LINEST VARS'!$E$58*(8*$BX68)+'LINEST VARS'!$D$58*(8*12.73)+'LINEST VARS'!$C$58*($CJ$56*$BX68)+'LINEST VARS'!$B$58*($CJ$56*12.73)+'LINEST VARS'!$A$58*($BX68*12.73)</f>
        <v>0.95165000000000022</v>
      </c>
      <c r="CK68" s="51">
        <f>'LINEST VARS'!$U$58+'LINEST VARS'!$T$58*(8)+'LINEST VARS'!$S$58*(8)+'LINEST VARS'!$R$58*($CK$56)+'LINEST VARS'!$Q$58*($BX68)+'LINEST VARS'!$P$58*(12.73)+'LINEST VARS'!$O$58*(8^2)+'LINEST VARS'!$N$58*(8^2)+'LINEST VARS'!$M$58*($CK$56^2)+'LINEST VARS'!$L$58*($BX68^2)+'LINEST VARS'!$K$58*(12.73^2)+'LINEST VARS'!$J$58*(8*8)+'LINEST VARS'!$I$58*(8*$CK$56)+'LINEST VARS'!$H$58*(8*$BX68)+'LINEST VARS'!$G$58*(8*12.73)+'LINEST VARS'!$F$58*(8*$CK$56)+'LINEST VARS'!$E$58*(8*$BX68)+'LINEST VARS'!$D$58*(8*12.73)+'LINEST VARS'!$C$58*($CK$56*$BX68)+'LINEST VARS'!$B$58*($CK$56*12.73)+'LINEST VARS'!$A$58*($BX68*12.73)</f>
        <v>0.95965000000000023</v>
      </c>
      <c r="CL68" s="51">
        <f>'LINEST VARS'!$U$58+'LINEST VARS'!$T$58*(8)+'LINEST VARS'!$S$58*(8)+'LINEST VARS'!$R$58*($CL$56)+'LINEST VARS'!$Q$58*($BX68)+'LINEST VARS'!$P$58*(12.73)+'LINEST VARS'!$O$58*(8^2)+'LINEST VARS'!$N$58*(8^2)+'LINEST VARS'!$M$58*($CL$56^2)+'LINEST VARS'!$L$58*($BX68^2)+'LINEST VARS'!$K$58*(12.73^2)+'LINEST VARS'!$J$58*(8*8)+'LINEST VARS'!$I$58*(8*$CL$56)+'LINEST VARS'!$H$58*(8*$BX68)+'LINEST VARS'!$G$58*(8*12.73)+'LINEST VARS'!$F$58*(8*$CL$56)+'LINEST VARS'!$E$58*(8*$BX68)+'LINEST VARS'!$D$58*(8*12.73)+'LINEST VARS'!$C$58*($CL$56*$BX68)+'LINEST VARS'!$B$58*($CL$56*12.73)+'LINEST VARS'!$A$58*($BX68*12.73)</f>
        <v>0.96765000000000012</v>
      </c>
      <c r="CM68" s="51">
        <f>'LINEST VARS'!$U$58+'LINEST VARS'!$T$58*(8)+'LINEST VARS'!$S$58*(8)+'LINEST VARS'!$R$58*($CM$56)+'LINEST VARS'!$Q$58*($BX68)+'LINEST VARS'!$P$58*(12.73)+'LINEST VARS'!$O$58*(8^2)+'LINEST VARS'!$N$58*(8^2)+'LINEST VARS'!$M$58*($CM$56^2)+'LINEST VARS'!$L$58*($BX68^2)+'LINEST VARS'!$K$58*(12.73^2)+'LINEST VARS'!$J$58*(8*8)+'LINEST VARS'!$I$58*(8*$CM$56)+'LINEST VARS'!$H$58*(8*$BX68)+'LINEST VARS'!$G$58*(8*12.73)+'LINEST VARS'!$F$58*(8*$CM$56)+'LINEST VARS'!$E$58*(8*$BX68)+'LINEST VARS'!$D$58*(8*12.73)+'LINEST VARS'!$C$58*($CM$56*$BX68)+'LINEST VARS'!$B$58*($CM$56*12.73)+'LINEST VARS'!$A$58*($BX68*12.73)</f>
        <v>0.97565000000000024</v>
      </c>
      <c r="CN68" s="51">
        <f>'LINEST VARS'!$U$58+'LINEST VARS'!$T$58*(8)+'LINEST VARS'!$S$58*(8)+'LINEST VARS'!$R$58*($CN$56)+'LINEST VARS'!$Q$58*($BX68)+'LINEST VARS'!$P$58*(12.73)+'LINEST VARS'!$O$58*(8^2)+'LINEST VARS'!$N$58*(8^2)+'LINEST VARS'!$M$58*($CN$56^2)+'LINEST VARS'!$L$58*($BX68^2)+'LINEST VARS'!$K$58*(12.73^2)+'LINEST VARS'!$J$58*(8*8)+'LINEST VARS'!$I$58*(8*$CN$56)+'LINEST VARS'!$H$58*(8*$BX68)+'LINEST VARS'!$G$58*(8*12.73)+'LINEST VARS'!$F$58*(8*$CN$56)+'LINEST VARS'!$E$58*(8*$BX68)+'LINEST VARS'!$D$58*(8*12.73)+'LINEST VARS'!$C$58*($CN$56*$BX68)+'LINEST VARS'!$B$58*($CN$56*12.73)+'LINEST VARS'!$A$58*($BX68*12.73)</f>
        <v>0.98365000000000025</v>
      </c>
      <c r="CO68" s="51">
        <f>'LINEST VARS'!$U$58+'LINEST VARS'!$T$58*(8)+'LINEST VARS'!$S$58*(8)+'LINEST VARS'!$R$58*($CO$56)+'LINEST VARS'!$Q$58*($BX68)+'LINEST VARS'!$P$58*(12.73)+'LINEST VARS'!$O$58*(8^2)+'LINEST VARS'!$N$58*(8^2)+'LINEST VARS'!$M$58*($CO$56^2)+'LINEST VARS'!$L$58*($BX68^2)+'LINEST VARS'!$K$58*(12.73^2)+'LINEST VARS'!$J$58*(8*8)+'LINEST VARS'!$I$58*(8*$CO$56)+'LINEST VARS'!$H$58*(8*$BX68)+'LINEST VARS'!$G$58*(8*12.73)+'LINEST VARS'!$F$58*(8*$CO$56)+'LINEST VARS'!$E$58*(8*$BX68)+'LINEST VARS'!$D$58*(8*12.73)+'LINEST VARS'!$C$58*($CO$56*$BX68)+'LINEST VARS'!$B$58*($CO$56*12.73)+'LINEST VARS'!$A$58*($BX68*12.73)</f>
        <v>0.99165000000000036</v>
      </c>
      <c r="CP68" s="51">
        <f>'LINEST VARS'!$U$58+'LINEST VARS'!$T$58*(8)+'LINEST VARS'!$S$58*(8)+'LINEST VARS'!$R$58*($CP$56)+'LINEST VARS'!$Q$58*($BX68)+'LINEST VARS'!$P$58*(12.73)+'LINEST VARS'!$O$58*(8^2)+'LINEST VARS'!$N$58*(8^2)+'LINEST VARS'!$M$58*($CP$56^2)+'LINEST VARS'!$L$58*($BX68^2)+'LINEST VARS'!$K$58*(12.73^2)+'LINEST VARS'!$J$58*(8*8)+'LINEST VARS'!$I$58*(8*$CP$56)+'LINEST VARS'!$H$58*(8*$BX68)+'LINEST VARS'!$G$58*(8*12.73)+'LINEST VARS'!$F$58*(8*$CP$56)+'LINEST VARS'!$E$58*(8*$BX68)+'LINEST VARS'!$D$58*(8*12.73)+'LINEST VARS'!$C$58*($CP$56*$BX68)+'LINEST VARS'!$B$58*($CP$56*12.73)+'LINEST VARS'!$A$58*($BX68*12.73)</f>
        <v>0.99965000000000037</v>
      </c>
      <c r="CQ68" s="51">
        <f>'LINEST VARS'!$U$58+'LINEST VARS'!$T$58*(8)+'LINEST VARS'!$S$58*(8)+'LINEST VARS'!$R$58*($CQ$56)+'LINEST VARS'!$Q$58*($BX68)+'LINEST VARS'!$P$58*(12.73)+'LINEST VARS'!$O$58*(8^2)+'LINEST VARS'!$N$58*(8^2)+'LINEST VARS'!$M$58*($CQ$56^2)+'LINEST VARS'!$L$58*($BX68^2)+'LINEST VARS'!$K$58*(12.73^2)+'LINEST VARS'!$J$58*(8*8)+'LINEST VARS'!$I$58*(8*$CQ$56)+'LINEST VARS'!$H$58*(8*$BX68)+'LINEST VARS'!$G$58*(8*12.73)+'LINEST VARS'!$F$58*(8*$CQ$56)+'LINEST VARS'!$E$58*(8*$BX68)+'LINEST VARS'!$D$58*(8*12.73)+'LINEST VARS'!$C$58*($CQ$56*$BX68)+'LINEST VARS'!$B$58*($CQ$56*12.73)+'LINEST VARS'!$A$58*($BX68*12.73)</f>
        <v>1.0076500000000002</v>
      </c>
      <c r="CR68" s="51">
        <f>'LINEST VARS'!$U$58+'LINEST VARS'!$T$58*(8)+'LINEST VARS'!$S$58*(8)+'LINEST VARS'!$R$58*($CR$56)+'LINEST VARS'!$Q$58*($BX68)+'LINEST VARS'!$P$58*(12.73)+'LINEST VARS'!$O$58*(8^2)+'LINEST VARS'!$N$58*(8^2)+'LINEST VARS'!$M$58*($CR$56^2)+'LINEST VARS'!$L$58*($BX68^2)+'LINEST VARS'!$K$58*(12.73^2)+'LINEST VARS'!$J$58*(8*8)+'LINEST VARS'!$I$58*(8*$CR$56)+'LINEST VARS'!$H$58*(8*$BX68)+'LINEST VARS'!$G$58*(8*12.73)+'LINEST VARS'!$F$58*(8*$CR$56)+'LINEST VARS'!$E$58*(8*$BX68)+'LINEST VARS'!$D$58*(8*12.73)+'LINEST VARS'!$C$58*($CR$56*$BX68)+'LINEST VARS'!$B$58*($CR$56*12.73)+'LINEST VARS'!$A$58*($BX68*12.73)</f>
        <v>1.0156499999999999</v>
      </c>
      <c r="CS68" s="52">
        <f>'LINEST VARS'!$U$58+'LINEST VARS'!$T$58*(8)+'LINEST VARS'!$S$58*(8)+'LINEST VARS'!$R$58*($CS$56)+'LINEST VARS'!$Q$58*($BX68)+'LINEST VARS'!$P$58*(12.73)+'LINEST VARS'!$O$58*(8^2)+'LINEST VARS'!$N$58*(8^2)+'LINEST VARS'!$M$58*($CS$56^2)+'LINEST VARS'!$L$58*($BX68^2)+'LINEST VARS'!$K$58*(12.73^2)+'LINEST VARS'!$J$58*(8*8)+'LINEST VARS'!$I$58*(8*$CS$56)+'LINEST VARS'!$H$58*(8*$BX68)+'LINEST VARS'!$G$58*(8*12.73)+'LINEST VARS'!$F$58*(8*$CS$56)+'LINEST VARS'!$E$58*(8*$BX68)+'LINEST VARS'!$D$58*(8*12.73)+'LINEST VARS'!$C$58*($CS$56*$BX68)+'LINEST VARS'!$B$58*($CS$56*12.73)+'LINEST VARS'!$A$58*($BX68*12.73)</f>
        <v>1.0236500000000002</v>
      </c>
      <c r="CX68" s="45">
        <v>14.294499999999999</v>
      </c>
      <c r="CY68" s="51">
        <f>'LINEST VARS'!$U$56+'LINEST VARS'!$T$56*(8)+'LINEST VARS'!$S$56*(8)+'LINEST VARS'!$R$56*($CY$56)+'LINEST VARS'!$Q$56*(0.5)+'LINEST VARS'!$P$56*($CX68)+'LINEST VARS'!$O$56*(8^2)+'LINEST VARS'!$N$56*(8^2)+'LINEST VARS'!$M$56*($CY$56^2)+'LINEST VARS'!$L$56*(0.5^2)+'LINEST VARS'!$K$56*($CX68^2)+'LINEST VARS'!$J$56*(8*8)+'LINEST VARS'!$I$56*(8*$CY$56)+'LINEST VARS'!$H$56*(8*0.5)+'LINEST VARS'!$G$56*(8*$CX68)+'LINEST VARS'!$F$56*(8*$CY$56)+'LINEST VARS'!$E$56*(8*0.5)+'LINEST VARS'!$D$56*(8*$CX68)+'LINEST VARS'!$C$56*($CY$56*0.5)+'LINEST VARS'!$B$56*($CY$56*$CX68)+'LINEST VARS'!$A$56*(0.5*$CX68)</f>
        <v>2.8000000000000007</v>
      </c>
      <c r="CZ68" s="51">
        <f>'LINEST VARS'!$U$56+'LINEST VARS'!$T$56*(8)+'LINEST VARS'!$S$56*(8)+'LINEST VARS'!$R$56*($CZ$56)+'LINEST VARS'!$Q$56*(0.5)+'LINEST VARS'!$P$56*($CX68)+'LINEST VARS'!$O$56*(8^2)+'LINEST VARS'!$N$56*(8^2)+'LINEST VARS'!$M$56*($CZ$56^2)+'LINEST VARS'!$L$56*(0.5^2)+'LINEST VARS'!$K$56*($CX68^2)+'LINEST VARS'!$J$56*(8*8)+'LINEST VARS'!$I$56*(8*$CZ$56)+'LINEST VARS'!$H$56*(8*0.5)+'LINEST VARS'!$G$56*(8*$CX68)+'LINEST VARS'!$F$56*(8*$CZ$56)+'LINEST VARS'!$E$56*(8*0.5)+'LINEST VARS'!$D$56*(8*$CX68)+'LINEST VARS'!$C$56*($CZ$56*0.5)+'LINEST VARS'!$B$56*($CZ$56*$CX68)+'LINEST VARS'!$A$56*(0.5*$CX68)</f>
        <v>2.8184000000000009</v>
      </c>
      <c r="DA68" s="51">
        <f>'LINEST VARS'!$U$56+'LINEST VARS'!$T$56*(8)+'LINEST VARS'!$S$56*(8)+'LINEST VARS'!$R$56*($DA$56)+'LINEST VARS'!$Q$56*(0.5)+'LINEST VARS'!$P$56*($CX68)+'LINEST VARS'!$O$56*(8^2)+'LINEST VARS'!$N$56*(8^2)+'LINEST VARS'!$M$56*($DA$56^2)+'LINEST VARS'!$L$56*(0.5^2)+'LINEST VARS'!$K$56*($CX68^2)+'LINEST VARS'!$J$56*(8*8)+'LINEST VARS'!$I$56*(8*$DA$56)+'LINEST VARS'!$H$56*(8*0.5)+'LINEST VARS'!$G$56*(8*$CX68)+'LINEST VARS'!$F$56*(8*$DA$56)+'LINEST VARS'!$E$56*(8*0.5)+'LINEST VARS'!$D$56*(8*$CX68)+'LINEST VARS'!$C$56*($DA$56*0.5)+'LINEST VARS'!$B$56*($DA$56*$CX68)+'LINEST VARS'!$A$56*(0.5*$CX68)</f>
        <v>2.8336000000000006</v>
      </c>
      <c r="DB68" s="51">
        <f>'LINEST VARS'!$U$56+'LINEST VARS'!$T$56*(8)+'LINEST VARS'!$S$56*(8)+'LINEST VARS'!$R$56*($DB$56)+'LINEST VARS'!$Q$56*(0.5)+'LINEST VARS'!$P$56*($CX68)+'LINEST VARS'!$O$56*(8^2)+'LINEST VARS'!$N$56*(8^2)+'LINEST VARS'!$M$56*($DB$56^2)+'LINEST VARS'!$L$56*(0.5^2)+'LINEST VARS'!$K$56*($CX68^2)+'LINEST VARS'!$J$56*(8*8)+'LINEST VARS'!$I$56*(8*$DB$56)+'LINEST VARS'!$H$56*(8*0.5)+'LINEST VARS'!$G$56*(8*$CX68)+'LINEST VARS'!$F$56*(8*$DB$56)+'LINEST VARS'!$E$56*(8*0.5)+'LINEST VARS'!$D$56*(8*$CX68)+'LINEST VARS'!$C$56*($DB$56*0.5)+'LINEST VARS'!$B$56*($DB$56*$CX68)+'LINEST VARS'!$A$56*(0.5*$CX68)</f>
        <v>2.8456000000000006</v>
      </c>
      <c r="DC68" s="51">
        <f>'LINEST VARS'!$U$56+'LINEST VARS'!$T$56*(8)+'LINEST VARS'!$S$56*(8)+'LINEST VARS'!$R$56*($DC$56)+'LINEST VARS'!$Q$56*(0.5)+'LINEST VARS'!$P$56*($CX68)+'LINEST VARS'!$O$56*(8^2)+'LINEST VARS'!$N$56*(8^2)+'LINEST VARS'!$M$56*($DC$56^2)+'LINEST VARS'!$L$56*(0.5^2)+'LINEST VARS'!$K$56*($CX68^2)+'LINEST VARS'!$J$56*(8*8)+'LINEST VARS'!$I$56*(8*$DC$56)+'LINEST VARS'!$H$56*(8*0.5)+'LINEST VARS'!$G$56*(8*$CX68)+'LINEST VARS'!$F$56*(8*$DC$56)+'LINEST VARS'!$E$56*(8*0.5)+'LINEST VARS'!$D$56*(8*$CX68)+'LINEST VARS'!$C$56*($DC$56*0.5)+'LINEST VARS'!$B$56*($DC$56*$CX68)+'LINEST VARS'!$A$56*(0.5*$CX68)</f>
        <v>2.8544000000000009</v>
      </c>
      <c r="DD68" s="51">
        <f>'LINEST VARS'!$U$56+'LINEST VARS'!$T$56*(8)+'LINEST VARS'!$S$56*(8)+'LINEST VARS'!$R$56*($DD$56)+'LINEST VARS'!$Q$56*(0.5)+'LINEST VARS'!$P$56*($CX68)+'LINEST VARS'!$O$56*(8^2)+'LINEST VARS'!$N$56*(8^2)+'LINEST VARS'!$M$56*($DD$56^2)+'LINEST VARS'!$L$56*(0.5^2)+'LINEST VARS'!$K$56*($CX68^2)+'LINEST VARS'!$J$56*(8*8)+'LINEST VARS'!$I$56*(8*$DD$56)+'LINEST VARS'!$H$56*(8*0.5)+'LINEST VARS'!$G$56*(8*$CX68)+'LINEST VARS'!$F$56*(8*$DD$56)+'LINEST VARS'!$E$56*(8*0.5)+'LINEST VARS'!$D$56*(8*$CX68)+'LINEST VARS'!$C$56*($DD$56*0.5)+'LINEST VARS'!$B$56*($DD$56*$CX68)+'LINEST VARS'!$A$56*(0.5*$CX68)</f>
        <v>2.8600000000000008</v>
      </c>
      <c r="DE68" s="51">
        <f>'LINEST VARS'!$U$56+'LINEST VARS'!$T$56*(8)+'LINEST VARS'!$S$56*(8)+'LINEST VARS'!$R$56*($DE$56)+'LINEST VARS'!$Q$56*(0.5)+'LINEST VARS'!$P$56*($CX68)+'LINEST VARS'!$O$56*(8^2)+'LINEST VARS'!$N$56*(8^2)+'LINEST VARS'!$M$56*($DE$56^2)+'LINEST VARS'!$L$56*(0.5^2)+'LINEST VARS'!$K$56*($CX68^2)+'LINEST VARS'!$J$56*(8*8)+'LINEST VARS'!$I$56*(8*$DE$56)+'LINEST VARS'!$H$56*(8*0.5)+'LINEST VARS'!$G$56*(8*$CX68)+'LINEST VARS'!$F$56*(8*$DE$56)+'LINEST VARS'!$E$56*(8*0.5)+'LINEST VARS'!$D$56*(8*$CX68)+'LINEST VARS'!$C$56*($DE$56*0.5)+'LINEST VARS'!$B$56*($DE$56*$CX68)+'LINEST VARS'!$A$56*(0.5*$CX68)</f>
        <v>2.8624000000000009</v>
      </c>
      <c r="DF68" s="51">
        <f>'LINEST VARS'!$U$56+'LINEST VARS'!$T$56*(8)+'LINEST VARS'!$S$56*(8)+'LINEST VARS'!$R$56*($DF$56)+'LINEST VARS'!$Q$56*(0.5)+'LINEST VARS'!$P$56*($CX68)+'LINEST VARS'!$O$56*(8^2)+'LINEST VARS'!$N$56*(8^2)+'LINEST VARS'!$M$56*($DF$56^2)+'LINEST VARS'!$L$56*(0.5^2)+'LINEST VARS'!$K$56*($CX68^2)+'LINEST VARS'!$J$56*(8*8)+'LINEST VARS'!$I$56*(8*$DF$56)+'LINEST VARS'!$H$56*(8*0.5)+'LINEST VARS'!$G$56*(8*$CX68)+'LINEST VARS'!$F$56*(8*$DF$56)+'LINEST VARS'!$E$56*(8*0.5)+'LINEST VARS'!$D$56*(8*$CX68)+'LINEST VARS'!$C$56*($DF$56*0.5)+'LINEST VARS'!$B$56*($DF$56*$CX68)+'LINEST VARS'!$A$56*(0.5*$CX68)</f>
        <v>2.8616000000000006</v>
      </c>
      <c r="DG68" s="51">
        <f>'LINEST VARS'!$U$56+'LINEST VARS'!$T$56*(8)+'LINEST VARS'!$S$56*(8)+'LINEST VARS'!$R$56*($DG$56)+'LINEST VARS'!$Q$56*(0.5)+'LINEST VARS'!$P$56*($CX68)+'LINEST VARS'!$O$56*(8^2)+'LINEST VARS'!$N$56*(8^2)+'LINEST VARS'!$M$56*($DG$56^2)+'LINEST VARS'!$L$56*(0.5^2)+'LINEST VARS'!$K$56*($CX68^2)+'LINEST VARS'!$J$56*(8*8)+'LINEST VARS'!$I$56*(8*$DG$56)+'LINEST VARS'!$H$56*(8*0.5)+'LINEST VARS'!$G$56*(8*$CX68)+'LINEST VARS'!$F$56*(8*$DG$56)+'LINEST VARS'!$E$56*(8*0.5)+'LINEST VARS'!$D$56*(8*$CX68)+'LINEST VARS'!$C$56*($DG$56*0.5)+'LINEST VARS'!$B$56*($DG$56*$CX68)+'LINEST VARS'!$A$56*(0.5*$CX68)</f>
        <v>2.8576000000000006</v>
      </c>
      <c r="DH68" s="51">
        <f>'LINEST VARS'!$U$56+'LINEST VARS'!$T$56*(8)+'LINEST VARS'!$S$56*(8)+'LINEST VARS'!$R$56*($DH$56)+'LINEST VARS'!$Q$56*(0.5)+'LINEST VARS'!$P$56*($CX68)+'LINEST VARS'!$O$56*(8^2)+'LINEST VARS'!$N$56*(8^2)+'LINEST VARS'!$M$56*($DH$56^2)+'LINEST VARS'!$L$56*(0.5^2)+'LINEST VARS'!$K$56*($CX68^2)+'LINEST VARS'!$J$56*(8*8)+'LINEST VARS'!$I$56*(8*$DH$56)+'LINEST VARS'!$H$56*(8*0.5)+'LINEST VARS'!$G$56*(8*$CX68)+'LINEST VARS'!$F$56*(8*$DH$56)+'LINEST VARS'!$E$56*(8*0.5)+'LINEST VARS'!$D$56*(8*$CX68)+'LINEST VARS'!$C$56*($DH$56*0.5)+'LINEST VARS'!$B$56*($DH$56*$CX68)+'LINEST VARS'!$A$56*(0.5*$CX68)</f>
        <v>2.8504000000000009</v>
      </c>
      <c r="DI68" s="51">
        <f>'LINEST VARS'!$U$56+'LINEST VARS'!$T$56*(8)+'LINEST VARS'!$S$56*(8)+'LINEST VARS'!$R$56*($DI$56)+'LINEST VARS'!$Q$56*(0.5)+'LINEST VARS'!$P$56*($CX68)+'LINEST VARS'!$O$56*(8^2)+'LINEST VARS'!$N$56*(8^2)+'LINEST VARS'!$M$56*($DI$56^2)+'LINEST VARS'!$L$56*(0.5^2)+'LINEST VARS'!$K$56*($CX68^2)+'LINEST VARS'!$J$56*(8*8)+'LINEST VARS'!$I$56*(8*$DI$56)+'LINEST VARS'!$H$56*(8*0.5)+'LINEST VARS'!$G$56*(8*$CX68)+'LINEST VARS'!$F$56*(8*$DI$56)+'LINEST VARS'!$E$56*(8*0.5)+'LINEST VARS'!$D$56*(8*$CX68)+'LINEST VARS'!$C$56*($DI$56*0.5)+'LINEST VARS'!$B$56*($DI$56*$CX68)+'LINEST VARS'!$A$56*(0.5*$CX68)</f>
        <v>2.8400000000000007</v>
      </c>
      <c r="DJ68" s="51">
        <f>'LINEST VARS'!$U$56+'LINEST VARS'!$T$56*(8)+'LINEST VARS'!$S$56*(8)+'LINEST VARS'!$R$56*($DJ$56)+'LINEST VARS'!$Q$56*(0.5)+'LINEST VARS'!$P$56*($CX68)+'LINEST VARS'!$O$56*(8^2)+'LINEST VARS'!$N$56*(8^2)+'LINEST VARS'!$M$56*($DJ$56^2)+'LINEST VARS'!$L$56*(0.5^2)+'LINEST VARS'!$K$56*($CX68^2)+'LINEST VARS'!$J$56*(8*8)+'LINEST VARS'!$I$56*(8*$DJ$56)+'LINEST VARS'!$H$56*(8*0.5)+'LINEST VARS'!$G$56*(8*$CX68)+'LINEST VARS'!$F$56*(8*$DJ$56)+'LINEST VARS'!$E$56*(8*0.5)+'LINEST VARS'!$D$56*(8*$CX68)+'LINEST VARS'!$C$56*($DJ$56*0.5)+'LINEST VARS'!$B$56*($DJ$56*$CX68)+'LINEST VARS'!$A$56*(0.5*$CX68)</f>
        <v>2.8264000000000009</v>
      </c>
      <c r="DK68" s="51">
        <f>'LINEST VARS'!$U$56+'LINEST VARS'!$T$56*(8)+'LINEST VARS'!$S$56*(8)+'LINEST VARS'!$R$56*($DK$56)+'LINEST VARS'!$Q$56*(0.5)+'LINEST VARS'!$P$56*($CX68)+'LINEST VARS'!$O$56*(8^2)+'LINEST VARS'!$N$56*(8^2)+'LINEST VARS'!$M$56*($DK$56^2)+'LINEST VARS'!$L$56*(0.5^2)+'LINEST VARS'!$K$56*($CX68^2)+'LINEST VARS'!$J$56*(8*8)+'LINEST VARS'!$I$56*(8*$DK$56)+'LINEST VARS'!$H$56*(8*0.5)+'LINEST VARS'!$G$56*(8*$CX68)+'LINEST VARS'!$F$56*(8*$DK$56)+'LINEST VARS'!$E$56*(8*0.5)+'LINEST VARS'!$D$56*(8*$CX68)+'LINEST VARS'!$C$56*($DK$56*0.5)+'LINEST VARS'!$B$56*($DK$56*$CX68)+'LINEST VARS'!$A$56*(0.5*$CX68)</f>
        <v>2.8096000000000005</v>
      </c>
      <c r="DL68" s="51">
        <f>'LINEST VARS'!$U$56+'LINEST VARS'!$T$56*(8)+'LINEST VARS'!$S$56*(8)+'LINEST VARS'!$R$56*($DL$56)+'LINEST VARS'!$Q$56*(0.5)+'LINEST VARS'!$P$56*($CX68)+'LINEST VARS'!$O$56*(8^2)+'LINEST VARS'!$N$56*(8^2)+'LINEST VARS'!$M$56*($DL$56^2)+'LINEST VARS'!$L$56*(0.5^2)+'LINEST VARS'!$K$56*($CX68^2)+'LINEST VARS'!$J$56*(8*8)+'LINEST VARS'!$I$56*(8*$DL$56)+'LINEST VARS'!$H$56*(8*0.5)+'LINEST VARS'!$G$56*(8*$CX68)+'LINEST VARS'!$F$56*(8*$DL$56)+'LINEST VARS'!$E$56*(8*0.5)+'LINEST VARS'!$D$56*(8*$CX68)+'LINEST VARS'!$C$56*($DL$56*0.5)+'LINEST VARS'!$B$56*($DL$56*$CX68)+'LINEST VARS'!$A$56*(0.5*$CX68)</f>
        <v>2.7896000000000005</v>
      </c>
      <c r="DM68" s="51">
        <f>'LINEST VARS'!$U$56+'LINEST VARS'!$T$56*(8)+'LINEST VARS'!$S$56*(8)+'LINEST VARS'!$R$56*($DM$56)+'LINEST VARS'!$Q$56*(0.5)+'LINEST VARS'!$P$56*($CX68)+'LINEST VARS'!$O$56*(8^2)+'LINEST VARS'!$N$56*(8^2)+'LINEST VARS'!$M$56*($DM$56^2)+'LINEST VARS'!$L$56*(0.5^2)+'LINEST VARS'!$K$56*($CX68^2)+'LINEST VARS'!$J$56*(8*8)+'LINEST VARS'!$I$56*(8*$DM$56)+'LINEST VARS'!$H$56*(8*0.5)+'LINEST VARS'!$G$56*(8*$CX68)+'LINEST VARS'!$F$56*(8*$DM$56)+'LINEST VARS'!$E$56*(8*0.5)+'LINEST VARS'!$D$56*(8*$CX68)+'LINEST VARS'!$C$56*($DM$56*0.5)+'LINEST VARS'!$B$56*($DM$56*$CX68)+'LINEST VARS'!$A$56*(0.5*$CX68)</f>
        <v>2.7664000000000009</v>
      </c>
      <c r="DN68" s="51">
        <f>'LINEST VARS'!$U$56+'LINEST VARS'!$T$56*(8)+'LINEST VARS'!$S$56*(8)+'LINEST VARS'!$R$56*($DN$56)+'LINEST VARS'!$Q$56*(0.5)+'LINEST VARS'!$P$56*($CX68)+'LINEST VARS'!$O$56*(8^2)+'LINEST VARS'!$N$56*(8^2)+'LINEST VARS'!$M$56*($DN$56^2)+'LINEST VARS'!$L$56*(0.5^2)+'LINEST VARS'!$K$56*($CX68^2)+'LINEST VARS'!$J$56*(8*8)+'LINEST VARS'!$I$56*(8*$DN$56)+'LINEST VARS'!$H$56*(8*0.5)+'LINEST VARS'!$G$56*(8*$CX68)+'LINEST VARS'!$F$56*(8*$DN$56)+'LINEST VARS'!$E$56*(8*0.5)+'LINEST VARS'!$D$56*(8*$CX68)+'LINEST VARS'!$C$56*($DN$56*0.5)+'LINEST VARS'!$B$56*($DN$56*$CX68)+'LINEST VARS'!$A$56*(0.5*$CX68)</f>
        <v>2.7400000000000007</v>
      </c>
      <c r="DO68" s="51">
        <f>'LINEST VARS'!$U$56+'LINEST VARS'!$T$56*(8)+'LINEST VARS'!$S$56*(8)+'LINEST VARS'!$R$56*($DO$56)+'LINEST VARS'!$Q$56*(0.5)+'LINEST VARS'!$P$56*($CX68)+'LINEST VARS'!$O$56*(8^2)+'LINEST VARS'!$N$56*(8^2)+'LINEST VARS'!$M$56*($DO$56^2)+'LINEST VARS'!$L$56*(0.5^2)+'LINEST VARS'!$K$56*($CX68^2)+'LINEST VARS'!$J$56*(8*8)+'LINEST VARS'!$I$56*(8*$DO$56)+'LINEST VARS'!$H$56*(8*0.5)+'LINEST VARS'!$G$56*(8*$CX68)+'LINEST VARS'!$F$56*(8*$DO$56)+'LINEST VARS'!$E$56*(8*0.5)+'LINEST VARS'!$D$56*(8*$CX68)+'LINEST VARS'!$C$56*($DO$56*0.5)+'LINEST VARS'!$B$56*($DO$56*$CX68)+'LINEST VARS'!$A$56*(0.5*$CX68)</f>
        <v>2.7104000000000004</v>
      </c>
      <c r="DP68" s="51">
        <f>'LINEST VARS'!$U$56+'LINEST VARS'!$T$56*(8)+'LINEST VARS'!$S$56*(8)+'LINEST VARS'!$R$56*($DP$56)+'LINEST VARS'!$Q$56*(0.5)+'LINEST VARS'!$P$56*($CX68)+'LINEST VARS'!$O$56*(8^2)+'LINEST VARS'!$N$56*(8^2)+'LINEST VARS'!$M$56*($DP$56^2)+'LINEST VARS'!$L$56*(0.5^2)+'LINEST VARS'!$K$56*($CX68^2)+'LINEST VARS'!$J$56*(8*8)+'LINEST VARS'!$I$56*(8*$DP$56)+'LINEST VARS'!$H$56*(8*0.5)+'LINEST VARS'!$G$56*(8*$CX68)+'LINEST VARS'!$F$56*(8*$DP$56)+'LINEST VARS'!$E$56*(8*0.5)+'LINEST VARS'!$D$56*(8*$CX68)+'LINEST VARS'!$C$56*($DP$56*0.5)+'LINEST VARS'!$B$56*($DP$56*$CX68)+'LINEST VARS'!$A$56*(0.5*$CX68)</f>
        <v>2.6776000000000004</v>
      </c>
      <c r="DQ68" s="51">
        <f>'LINEST VARS'!$U$56+'LINEST VARS'!$T$56*(8)+'LINEST VARS'!$S$56*(8)+'LINEST VARS'!$R$56*($DQ$56)+'LINEST VARS'!$Q$56*(0.5)+'LINEST VARS'!$P$56*($CX68)+'LINEST VARS'!$O$56*(8^2)+'LINEST VARS'!$N$56*(8^2)+'LINEST VARS'!$M$56*($DQ$56^2)+'LINEST VARS'!$L$56*(0.5^2)+'LINEST VARS'!$K$56*($CX68^2)+'LINEST VARS'!$J$56*(8*8)+'LINEST VARS'!$I$56*(8*$DQ$56)+'LINEST VARS'!$H$56*(8*0.5)+'LINEST VARS'!$G$56*(8*$CX68)+'LINEST VARS'!$F$56*(8*$DQ$56)+'LINEST VARS'!$E$56*(8*0.5)+'LINEST VARS'!$D$56*(8*$CX68)+'LINEST VARS'!$C$56*($DQ$56*0.5)+'LINEST VARS'!$B$56*($DQ$56*$CX68)+'LINEST VARS'!$A$56*(0.5*$CX68)</f>
        <v>2.6416000000000004</v>
      </c>
      <c r="DR68" s="51">
        <f>'LINEST VARS'!$U$56+'LINEST VARS'!$T$56*(8)+'LINEST VARS'!$S$56*(8)+'LINEST VARS'!$R$56*($DR$56)+'LINEST VARS'!$Q$56*(0.5)+'LINEST VARS'!$P$56*($CX68)+'LINEST VARS'!$O$56*(8^2)+'LINEST VARS'!$N$56*(8^2)+'LINEST VARS'!$M$56*($DR$56^2)+'LINEST VARS'!$L$56*(0.5^2)+'LINEST VARS'!$K$56*($CX68^2)+'LINEST VARS'!$J$56*(8*8)+'LINEST VARS'!$I$56*(8*$DR$56)+'LINEST VARS'!$H$56*(8*0.5)+'LINEST VARS'!$G$56*(8*$CX68)+'LINEST VARS'!$F$56*(8*$DR$56)+'LINEST VARS'!$E$56*(8*0.5)+'LINEST VARS'!$D$56*(8*$CX68)+'LINEST VARS'!$C$56*($DR$56*0.5)+'LINEST VARS'!$B$56*($DR$56*$CX68)+'LINEST VARS'!$A$56*(0.5*$CX68)</f>
        <v>2.6024000000000007</v>
      </c>
      <c r="DS68" s="52">
        <f>'LINEST VARS'!$U$56+'LINEST VARS'!$T$56*(8)+'LINEST VARS'!$S$56*(8)+'LINEST VARS'!$R$56*($DS$56)+'LINEST VARS'!$Q$56*(0.5)+'LINEST VARS'!$P$56*($CX68)+'LINEST VARS'!$O$56*(8^2)+'LINEST VARS'!$N$56*(8^2)+'LINEST VARS'!$M$56*($DS$56^2)+'LINEST VARS'!$L$56*(0.5^2)+'LINEST VARS'!$K$56*($CX68^2)+'LINEST VARS'!$J$56*(8*8)+'LINEST VARS'!$I$56*(8*$DS$56)+'LINEST VARS'!$H$56*(8*0.5)+'LINEST VARS'!$G$56*(8*$CX68)+'LINEST VARS'!$F$56*(8*$DS$56)+'LINEST VARS'!$E$56*(8*0.5)+'LINEST VARS'!$D$56*(8*$CX68)+'LINEST VARS'!$C$56*($DS$56*0.5)+'LINEST VARS'!$B$56*($DS$56*$CX68)+'LINEST VARS'!$A$56*(0.5*$CX68)</f>
        <v>2.5600000000000005</v>
      </c>
      <c r="DV68" s="45">
        <v>14.294499999999999</v>
      </c>
      <c r="DW68" s="51">
        <f>'LINEST VARS'!$U$58+'LINEST VARS'!$T$58*(8)+'LINEST VARS'!$S$58*(8)+'LINEST VARS'!$R$58*($DW$56)+'LINEST VARS'!$Q$58*(0.5)+'LINEST VARS'!$P$58*($DV68)+'LINEST VARS'!$O$58*(8^2)+'LINEST VARS'!$N$58*(8^2)+'LINEST VARS'!$M$58*($DW$56^2)+'LINEST VARS'!$L$58*(0.5^2)+'LINEST VARS'!$K$58*($DV68^2)+'LINEST VARS'!$J$58*(8*8)+'LINEST VARS'!$I$58*(8*$DW$56)+'LINEST VARS'!$H$58*(8*0.5)+'LINEST VARS'!$G$58*(8*$DV68)+'LINEST VARS'!$F$58*(8*$DW$56)+'LINEST VARS'!$E$58*(8*0.5)+'LINEST VARS'!$D$58*(8*$DV68)+'LINEST VARS'!$C$58*($DW$56*0.5)+'LINEST VARS'!$B$58*($DW$56*$DV68)+'LINEST VARS'!$A$58*(0.5*$DV68)</f>
        <v>0.87147250000000032</v>
      </c>
      <c r="DX68" s="51">
        <f>'LINEST VARS'!$U$58+'LINEST VARS'!$T$58*(8)+'LINEST VARS'!$S$58*(8)+'LINEST VARS'!$R$58*($DX$56)+'LINEST VARS'!$Q$58*(0.5)+'LINEST VARS'!$P$58*($DV68)+'LINEST VARS'!$O$58*(8^2)+'LINEST VARS'!$N$58*(8^2)+'LINEST VARS'!$M$58*($DX$56^2)+'LINEST VARS'!$L$58*(0.5^2)+'LINEST VARS'!$K$58*($DV68^2)+'LINEST VARS'!$J$58*(8*8)+'LINEST VARS'!$I$58*(8*$DX$56)+'LINEST VARS'!$H$58*(8*0.5)+'LINEST VARS'!$G$58*(8*$DV68)+'LINEST VARS'!$F$58*(8*$DX$56)+'LINEST VARS'!$E$58*(8*0.5)+'LINEST VARS'!$D$58*(8*$DV68)+'LINEST VARS'!$C$58*($DX$56*0.5)+'LINEST VARS'!$B$58*($DX$56*$DV68)+'LINEST VARS'!$A$58*(0.5*$DV68)</f>
        <v>0.87947250000000032</v>
      </c>
      <c r="DY68" s="51">
        <f>'LINEST VARS'!$U$58+'LINEST VARS'!$T$58*(8)+'LINEST VARS'!$S$58*(8)+'LINEST VARS'!$R$58*($DY$56)+'LINEST VARS'!$Q$58*(0.5)+'LINEST VARS'!$P$58*($DV68)+'LINEST VARS'!$O$58*(8^2)+'LINEST VARS'!$N$58*(8^2)+'LINEST VARS'!$M$58*($DY$56^2)+'LINEST VARS'!$L$58*(0.5^2)+'LINEST VARS'!$K$58*($DV68^2)+'LINEST VARS'!$J$58*(8*8)+'LINEST VARS'!$I$58*(8*$DY$56)+'LINEST VARS'!$H$58*(8*0.5)+'LINEST VARS'!$G$58*(8*$DV68)+'LINEST VARS'!$F$58*(8*$DY$56)+'LINEST VARS'!$E$58*(8*0.5)+'LINEST VARS'!$D$58*(8*$DV68)+'LINEST VARS'!$C$58*($DY$56*0.5)+'LINEST VARS'!$B$58*($DY$56*$DV68)+'LINEST VARS'!$A$58*(0.5*$DV68)</f>
        <v>0.88747250000000022</v>
      </c>
      <c r="DZ68" s="51">
        <f>'LINEST VARS'!$U$58+'LINEST VARS'!$T$58*(8)+'LINEST VARS'!$S$58*(8)+'LINEST VARS'!$R$58*($DZ$56)+'LINEST VARS'!$Q$58*(0.5)+'LINEST VARS'!$P$58*($DV68)+'LINEST VARS'!$O$58*(8^2)+'LINEST VARS'!$N$58*(8^2)+'LINEST VARS'!$M$58*($DZ$56^2)+'LINEST VARS'!$L$58*(0.5^2)+'LINEST VARS'!$K$58*($DV68^2)+'LINEST VARS'!$J$58*(8*8)+'LINEST VARS'!$I$58*(8*$DZ$56)+'LINEST VARS'!$H$58*(8*0.5)+'LINEST VARS'!$G$58*(8*$DV68)+'LINEST VARS'!$F$58*(8*$DZ$56)+'LINEST VARS'!$E$58*(8*0.5)+'LINEST VARS'!$D$58*(8*$DV68)+'LINEST VARS'!$C$58*($DZ$56*0.5)+'LINEST VARS'!$B$58*($DZ$56*$DV68)+'LINEST VARS'!$A$58*(0.5*$DV68)</f>
        <v>0.89547250000000023</v>
      </c>
      <c r="EA68" s="51">
        <f>'LINEST VARS'!$U$58+'LINEST VARS'!$T$58*(8)+'LINEST VARS'!$S$58*(8)+'LINEST VARS'!$R$58*($EA$56)+'LINEST VARS'!$Q$58*(0.5)+'LINEST VARS'!$P$58*($DV68)+'LINEST VARS'!$O$58*(8^2)+'LINEST VARS'!$N$58*(8^2)+'LINEST VARS'!$M$58*($EA$56^2)+'LINEST VARS'!$L$58*(0.5^2)+'LINEST VARS'!$K$58*($DV68^2)+'LINEST VARS'!$J$58*(8*8)+'LINEST VARS'!$I$58*(8*$EA$56)+'LINEST VARS'!$H$58*(8*0.5)+'LINEST VARS'!$G$58*(8*$DV68)+'LINEST VARS'!$F$58*(8*$EA$56)+'LINEST VARS'!$E$58*(8*0.5)+'LINEST VARS'!$D$58*(8*$DV68)+'LINEST VARS'!$C$58*($EA$56*0.5)+'LINEST VARS'!$B$58*($EA$56*$DV68)+'LINEST VARS'!$A$58*(0.5*$DV68)</f>
        <v>0.90347250000000012</v>
      </c>
      <c r="EB68" s="51">
        <f>'LINEST VARS'!$U$58+'LINEST VARS'!$T$58*(8)+'LINEST VARS'!$S$58*(8)+'LINEST VARS'!$R$58*($EB$56)+'LINEST VARS'!$Q$58*(0.5)+'LINEST VARS'!$P$58*($DV68)+'LINEST VARS'!$O$58*(8^2)+'LINEST VARS'!$N$58*(8^2)+'LINEST VARS'!$M$58*($EB$56^2)+'LINEST VARS'!$L$58*(0.5^2)+'LINEST VARS'!$K$58*($DV68^2)+'LINEST VARS'!$J$58*(8*8)+'LINEST VARS'!$I$58*(8*$EB$56)+'LINEST VARS'!$H$58*(8*0.5)+'LINEST VARS'!$G$58*(8*$DV68)+'LINEST VARS'!$F$58*(8*$EB$56)+'LINEST VARS'!$E$58*(8*0.5)+'LINEST VARS'!$D$58*(8*$DV68)+'LINEST VARS'!$C$58*($EB$56*0.5)+'LINEST VARS'!$B$58*($EB$56*$DV68)+'LINEST VARS'!$A$58*(0.5*$DV68)</f>
        <v>0.91147250000000024</v>
      </c>
      <c r="EC68" s="51">
        <f>'LINEST VARS'!$U$58+'LINEST VARS'!$T$58*(8)+'LINEST VARS'!$S$58*(8)+'LINEST VARS'!$R$58*($EC$56)+'LINEST VARS'!$Q$58*(0.5)+'LINEST VARS'!$P$58*($DV68)+'LINEST VARS'!$O$58*(8^2)+'LINEST VARS'!$N$58*(8^2)+'LINEST VARS'!$M$58*($EC$56^2)+'LINEST VARS'!$L$58*(0.5^2)+'LINEST VARS'!$K$58*($DV68^2)+'LINEST VARS'!$J$58*(8*8)+'LINEST VARS'!$I$58*(8*$EC$56)+'LINEST VARS'!$H$58*(8*0.5)+'LINEST VARS'!$G$58*(8*$DV68)+'LINEST VARS'!$F$58*(8*$EC$56)+'LINEST VARS'!$E$58*(8*0.5)+'LINEST VARS'!$D$58*(8*$DV68)+'LINEST VARS'!$C$58*($EC$56*0.5)+'LINEST VARS'!$B$58*($EC$56*$DV68)+'LINEST VARS'!$A$58*(0.5*$DV68)</f>
        <v>0.91947250000000025</v>
      </c>
      <c r="ED68" s="51">
        <f>'LINEST VARS'!$U$58+'LINEST VARS'!$T$58*(8)+'LINEST VARS'!$S$58*(8)+'LINEST VARS'!$R$58*($ED$56)+'LINEST VARS'!$Q$58*(0.5)+'LINEST VARS'!$P$58*($DV68)+'LINEST VARS'!$O$58*(8^2)+'LINEST VARS'!$N$58*(8^2)+'LINEST VARS'!$M$58*($ED$56^2)+'LINEST VARS'!$L$58*(0.5^2)+'LINEST VARS'!$K$58*($DV68^2)+'LINEST VARS'!$J$58*(8*8)+'LINEST VARS'!$I$58*(8*$ED$56)+'LINEST VARS'!$H$58*(8*0.5)+'LINEST VARS'!$G$58*(8*$DV68)+'LINEST VARS'!$F$58*(8*$ED$56)+'LINEST VARS'!$E$58*(8*0.5)+'LINEST VARS'!$D$58*(8*$DV68)+'LINEST VARS'!$C$58*($ED$56*0.5)+'LINEST VARS'!$B$58*($ED$56*$DV68)+'LINEST VARS'!$A$58*(0.5*$DV68)</f>
        <v>0.92747250000000026</v>
      </c>
      <c r="EE68" s="51">
        <f>'LINEST VARS'!$U$58+'LINEST VARS'!$T$58*(8)+'LINEST VARS'!$S$58*(8)+'LINEST VARS'!$R$58*($EE$56)+'LINEST VARS'!$Q$58*(0.5)+'LINEST VARS'!$P$58*($DV68)+'LINEST VARS'!$O$58*(8^2)+'LINEST VARS'!$N$58*(8^2)+'LINEST VARS'!$M$58*($EE$56^2)+'LINEST VARS'!$L$58*(0.5^2)+'LINEST VARS'!$K$58*($DV68^2)+'LINEST VARS'!$J$58*(8*8)+'LINEST VARS'!$I$58*(8*$EE$56)+'LINEST VARS'!$H$58*(8*0.5)+'LINEST VARS'!$G$58*(8*$DV68)+'LINEST VARS'!$F$58*(8*$EE$56)+'LINEST VARS'!$E$58*(8*0.5)+'LINEST VARS'!$D$58*(8*$DV68)+'LINEST VARS'!$C$58*($EE$56*0.5)+'LINEST VARS'!$B$58*($EE$56*$DV68)+'LINEST VARS'!$A$58*(0.5*$DV68)</f>
        <v>0.93547250000000037</v>
      </c>
      <c r="EF68" s="51">
        <f>'LINEST VARS'!$U$58+'LINEST VARS'!$T$58*(8)+'LINEST VARS'!$S$58*(8)+'LINEST VARS'!$R$58*($EF$56)+'LINEST VARS'!$Q$58*(0.5)+'LINEST VARS'!$P$58*($DV68)+'LINEST VARS'!$O$58*(8^2)+'LINEST VARS'!$N$58*(8^2)+'LINEST VARS'!$M$58*($EF$56^2)+'LINEST VARS'!$L$58*(0.5^2)+'LINEST VARS'!$K$58*($DV68^2)+'LINEST VARS'!$J$58*(8*8)+'LINEST VARS'!$I$58*(8*$EF$56)+'LINEST VARS'!$H$58*(8*0.5)+'LINEST VARS'!$G$58*(8*$DV68)+'LINEST VARS'!$F$58*(8*$EF$56)+'LINEST VARS'!$E$58*(8*0.5)+'LINEST VARS'!$D$58*(8*$DV68)+'LINEST VARS'!$C$58*($EF$56*0.5)+'LINEST VARS'!$B$58*($EF$56*$DV68)+'LINEST VARS'!$A$58*(0.5*$DV68)</f>
        <v>0.94347250000000027</v>
      </c>
      <c r="EG68" s="51">
        <f>'LINEST VARS'!$U$58+'LINEST VARS'!$T$58*(8)+'LINEST VARS'!$S$58*(8)+'LINEST VARS'!$R$58*($EG$56)+'LINEST VARS'!$Q$58*(0.5)+'LINEST VARS'!$P$58*($DV68)+'LINEST VARS'!$O$58*(8^2)+'LINEST VARS'!$N$58*(8^2)+'LINEST VARS'!$M$58*($EG$56^2)+'LINEST VARS'!$L$58*(0.5^2)+'LINEST VARS'!$K$58*($DV68^2)+'LINEST VARS'!$J$58*(8*8)+'LINEST VARS'!$I$58*(8*$EG$56)+'LINEST VARS'!$H$58*(8*0.5)+'LINEST VARS'!$G$58*(8*$DV68)+'LINEST VARS'!$F$58*(8*$EG$56)+'LINEST VARS'!$E$58*(8*0.5)+'LINEST VARS'!$D$58*(8*$DV68)+'LINEST VARS'!$C$58*($EG$56*0.5)+'LINEST VARS'!$B$58*($EG$56*$DV68)+'LINEST VARS'!$A$58*(0.5*$DV68)</f>
        <v>0.95147250000000028</v>
      </c>
      <c r="EH68" s="51">
        <f>'LINEST VARS'!$U$58+'LINEST VARS'!$T$58*(8)+'LINEST VARS'!$S$58*(8)+'LINEST VARS'!$R$58*($EH$56)+'LINEST VARS'!$Q$58*(0.5)+'LINEST VARS'!$P$58*($DV68)+'LINEST VARS'!$O$58*(8^2)+'LINEST VARS'!$N$58*(8^2)+'LINEST VARS'!$M$58*($EH$56^2)+'LINEST VARS'!$L$58*(0.5^2)+'LINEST VARS'!$K$58*($DV68^2)+'LINEST VARS'!$J$58*(8*8)+'LINEST VARS'!$I$58*(8*$EH$56)+'LINEST VARS'!$H$58*(8*0.5)+'LINEST VARS'!$G$58*(8*$DV68)+'LINEST VARS'!$F$58*(8*$EH$56)+'LINEST VARS'!$E$58*(8*0.5)+'LINEST VARS'!$D$58*(8*$DV68)+'LINEST VARS'!$C$58*($EH$56*0.5)+'LINEST VARS'!$B$58*($EH$56*$DV68)+'LINEST VARS'!$A$58*(0.5*$DV68)</f>
        <v>0.95947250000000017</v>
      </c>
      <c r="EI68" s="51">
        <f>'LINEST VARS'!$U$58+'LINEST VARS'!$T$58*(8)+'LINEST VARS'!$S$58*(8)+'LINEST VARS'!$R$58*($EI$56)+'LINEST VARS'!$Q$58*(0.5)+'LINEST VARS'!$P$58*($DV68)+'LINEST VARS'!$O$58*(8^2)+'LINEST VARS'!$N$58*(8^2)+'LINEST VARS'!$M$58*($EI$56^2)+'LINEST VARS'!$L$58*(0.5^2)+'LINEST VARS'!$K$58*($DV68^2)+'LINEST VARS'!$J$58*(8*8)+'LINEST VARS'!$I$58*(8*$EI$56)+'LINEST VARS'!$H$58*(8*0.5)+'LINEST VARS'!$G$58*(8*$DV68)+'LINEST VARS'!$F$58*(8*$EI$56)+'LINEST VARS'!$E$58*(8*0.5)+'LINEST VARS'!$D$58*(8*$DV68)+'LINEST VARS'!$C$58*($EI$56*0.5)+'LINEST VARS'!$B$58*($EI$56*$DV68)+'LINEST VARS'!$A$58*(0.5*$DV68)</f>
        <v>0.96747250000000018</v>
      </c>
      <c r="EJ68" s="51">
        <f>'LINEST VARS'!$U$58+'LINEST VARS'!$T$58*(8)+'LINEST VARS'!$S$58*(8)+'LINEST VARS'!$R$58*($EJ$56)+'LINEST VARS'!$Q$58*(0.5)+'LINEST VARS'!$P$58*($DV68)+'LINEST VARS'!$O$58*(8^2)+'LINEST VARS'!$N$58*(8^2)+'LINEST VARS'!$M$58*($EJ$56^2)+'LINEST VARS'!$L$58*(0.5^2)+'LINEST VARS'!$K$58*($DV68^2)+'LINEST VARS'!$J$58*(8*8)+'LINEST VARS'!$I$58*(8*$EJ$56)+'LINEST VARS'!$H$58*(8*0.5)+'LINEST VARS'!$G$58*(8*$DV68)+'LINEST VARS'!$F$58*(8*$EJ$56)+'LINEST VARS'!$E$58*(8*0.5)+'LINEST VARS'!$D$58*(8*$DV68)+'LINEST VARS'!$C$58*($EJ$56*0.5)+'LINEST VARS'!$B$58*($EJ$56*$DV68)+'LINEST VARS'!$A$58*(0.5*$DV68)</f>
        <v>0.97547250000000008</v>
      </c>
      <c r="EK68" s="51">
        <f>'LINEST VARS'!$U$58+'LINEST VARS'!$T$58*(8)+'LINEST VARS'!$S$58*(8)+'LINEST VARS'!$R$58*($EK$56)+'LINEST VARS'!$Q$58*(0.5)+'LINEST VARS'!$P$58*($DV68)+'LINEST VARS'!$O$58*(8^2)+'LINEST VARS'!$N$58*(8^2)+'LINEST VARS'!$M$58*($EK$56^2)+'LINEST VARS'!$L$58*(0.5^2)+'LINEST VARS'!$K$58*($DV68^2)+'LINEST VARS'!$J$58*(8*8)+'LINEST VARS'!$I$58*(8*$EK$56)+'LINEST VARS'!$H$58*(8*0.5)+'LINEST VARS'!$G$58*(8*$DV68)+'LINEST VARS'!$F$58*(8*$EK$56)+'LINEST VARS'!$E$58*(8*0.5)+'LINEST VARS'!$D$58*(8*$DV68)+'LINEST VARS'!$C$58*($EK$56*0.5)+'LINEST VARS'!$B$58*($EK$56*$DV68)+'LINEST VARS'!$A$58*(0.5*$DV68)</f>
        <v>0.98347250000000019</v>
      </c>
      <c r="EL68" s="51">
        <f>'LINEST VARS'!$U$58+'LINEST VARS'!$T$58*(8)+'LINEST VARS'!$S$58*(8)+'LINEST VARS'!$R$58*($EL$56)+'LINEST VARS'!$Q$58*(0.5)+'LINEST VARS'!$P$58*($DV68)+'LINEST VARS'!$O$58*(8^2)+'LINEST VARS'!$N$58*(8^2)+'LINEST VARS'!$M$58*($EL$56^2)+'LINEST VARS'!$L$58*(0.5^2)+'LINEST VARS'!$K$58*($DV68^2)+'LINEST VARS'!$J$58*(8*8)+'LINEST VARS'!$I$58*(8*$EL$56)+'LINEST VARS'!$H$58*(8*0.5)+'LINEST VARS'!$G$58*(8*$DV68)+'LINEST VARS'!$F$58*(8*$EL$56)+'LINEST VARS'!$E$58*(8*0.5)+'LINEST VARS'!$D$58*(8*$DV68)+'LINEST VARS'!$C$58*($EL$56*0.5)+'LINEST VARS'!$B$58*($EL$56*$DV68)+'LINEST VARS'!$A$58*(0.5*$DV68)</f>
        <v>0.9914725000000002</v>
      </c>
      <c r="EM68" s="51">
        <f>'LINEST VARS'!$U$58+'LINEST VARS'!$T$58*(8)+'LINEST VARS'!$S$58*(8)+'LINEST VARS'!$R$58*($EM$56)+'LINEST VARS'!$Q$58*(0.5)+'LINEST VARS'!$P$58*($DV68)+'LINEST VARS'!$O$58*(8^2)+'LINEST VARS'!$N$58*(8^2)+'LINEST VARS'!$M$58*($EM$56^2)+'LINEST VARS'!$L$58*(0.5^2)+'LINEST VARS'!$K$58*($DV68^2)+'LINEST VARS'!$J$58*(8*8)+'LINEST VARS'!$I$58*(8*$EM$56)+'LINEST VARS'!$H$58*(8*0.5)+'LINEST VARS'!$G$58*(8*$DV68)+'LINEST VARS'!$F$58*(8*$EM$56)+'LINEST VARS'!$E$58*(8*0.5)+'LINEST VARS'!$D$58*(8*$DV68)+'LINEST VARS'!$C$58*($EM$56*0.5)+'LINEST VARS'!$B$58*($EM$56*$DV68)+'LINEST VARS'!$A$58*(0.5*$DV68)</f>
        <v>0.99947250000000032</v>
      </c>
      <c r="EN68" s="51">
        <f>'LINEST VARS'!$U$58+'LINEST VARS'!$T$58*(8)+'LINEST VARS'!$S$58*(8)+'LINEST VARS'!$R$58*($EN$56)+'LINEST VARS'!$Q$58*(0.5)+'LINEST VARS'!$P$58*($DV68)+'LINEST VARS'!$O$58*(8^2)+'LINEST VARS'!$N$58*(8^2)+'LINEST VARS'!$M$58*($EN$56^2)+'LINEST VARS'!$L$58*(0.5^2)+'LINEST VARS'!$K$58*($DV68^2)+'LINEST VARS'!$J$58*(8*8)+'LINEST VARS'!$I$58*(8*$EN$56)+'LINEST VARS'!$H$58*(8*0.5)+'LINEST VARS'!$G$58*(8*$DV68)+'LINEST VARS'!$F$58*(8*$EN$56)+'LINEST VARS'!$E$58*(8*0.5)+'LINEST VARS'!$D$58*(8*$DV68)+'LINEST VARS'!$C$58*($EN$56*0.5)+'LINEST VARS'!$B$58*($EN$56*$DV68)+'LINEST VARS'!$A$58*(0.5*$DV68)</f>
        <v>1.0074725000000002</v>
      </c>
      <c r="EO68" s="51">
        <f>'LINEST VARS'!$U$58+'LINEST VARS'!$T$58*(8)+'LINEST VARS'!$S$58*(8)+'LINEST VARS'!$R$58*($EO$56)+'LINEST VARS'!$Q$58*(0.5)+'LINEST VARS'!$P$58*($DV68)+'LINEST VARS'!$O$58*(8^2)+'LINEST VARS'!$N$58*(8^2)+'LINEST VARS'!$M$58*($EO$56^2)+'LINEST VARS'!$L$58*(0.5^2)+'LINEST VARS'!$K$58*($DV68^2)+'LINEST VARS'!$J$58*(8*8)+'LINEST VARS'!$I$58*(8*$EO$56)+'LINEST VARS'!$H$58*(8*0.5)+'LINEST VARS'!$G$58*(8*$DV68)+'LINEST VARS'!$F$58*(8*$EO$56)+'LINEST VARS'!$E$58*(8*0.5)+'LINEST VARS'!$D$58*(8*$DV68)+'LINEST VARS'!$C$58*($EO$56*0.5)+'LINEST VARS'!$B$58*($EO$56*$DV68)+'LINEST VARS'!$A$58*(0.5*$DV68)</f>
        <v>1.0154725000000002</v>
      </c>
      <c r="EP68" s="51">
        <f>'LINEST VARS'!$U$58+'LINEST VARS'!$T$58*(8)+'LINEST VARS'!$S$58*(8)+'LINEST VARS'!$R$58*($EP$56)+'LINEST VARS'!$Q$58*(0.5)+'LINEST VARS'!$P$58*($DV68)+'LINEST VARS'!$O$58*(8^2)+'LINEST VARS'!$N$58*(8^2)+'LINEST VARS'!$M$58*($EP$56^2)+'LINEST VARS'!$L$58*(0.5^2)+'LINEST VARS'!$K$58*($DV68^2)+'LINEST VARS'!$J$58*(8*8)+'LINEST VARS'!$I$58*(8*$EP$56)+'LINEST VARS'!$H$58*(8*0.5)+'LINEST VARS'!$G$58*(8*$DV68)+'LINEST VARS'!$F$58*(8*$EP$56)+'LINEST VARS'!$E$58*(8*0.5)+'LINEST VARS'!$D$58*(8*$DV68)+'LINEST VARS'!$C$58*($EP$56*0.5)+'LINEST VARS'!$B$58*($EP$56*$DV68)+'LINEST VARS'!$A$58*(0.5*$DV68)</f>
        <v>1.0234725</v>
      </c>
      <c r="EQ68" s="52">
        <f>'LINEST VARS'!$U$58+'LINEST VARS'!$T$58*(8)+'LINEST VARS'!$S$58*(8)+'LINEST VARS'!$R$58*($EQ$56)+'LINEST VARS'!$Q$58*(0.5)+'LINEST VARS'!$P$58*($DV68)+'LINEST VARS'!$O$58*(8^2)+'LINEST VARS'!$N$58*(8^2)+'LINEST VARS'!$M$58*($EQ$56^2)+'LINEST VARS'!$L$58*(0.5^2)+'LINEST VARS'!$K$58*($DV68^2)+'LINEST VARS'!$J$58*(8*8)+'LINEST VARS'!$I$58*(8*$EQ$56)+'LINEST VARS'!$H$58*(8*0.5)+'LINEST VARS'!$G$58*(8*$DV68)+'LINEST VARS'!$F$58*(8*$EQ$56)+'LINEST VARS'!$E$58*(8*0.5)+'LINEST VARS'!$D$58*(8*$DV68)+'LINEST VARS'!$C$58*($EQ$56*0.5)+'LINEST VARS'!$B$58*($EQ$56*$DV68)+'LINEST VARS'!$A$58*(0.5*$DV68)</f>
        <v>1.0314725000000002</v>
      </c>
    </row>
    <row r="69" spans="2:147" ht="15" customHeight="1" x14ac:dyDescent="0.25">
      <c r="B69" s="45">
        <v>8.1199999999999992</v>
      </c>
      <c r="C69" s="51">
        <f>'LINEST VARS'!$U$56+'LINEST VARS'!$T$56*($C$56)+'LINEST VARS'!$S$56*($B69)+'LINEST VARS'!$R$56*(4)+'LINEST VARS'!$Q$56*(0.5)+'LINEST VARS'!$P$56*(12.73)+'LINEST VARS'!$O$56*($C$56^2)+'LINEST VARS'!$N$56*($B69^2)+'LINEST VARS'!$M$56*(4^2)+'LINEST VARS'!$L$56*(0.5^2)+'LINEST VARS'!$K$56*(12.73^2)+'LINEST VARS'!$J$56*($C$56*$B69)+'LINEST VARS'!$I$56*($C$56*4)+'LINEST VARS'!$H$56*($C$56*0.5)+'LINEST VARS'!$G$56*($C$56*12.73)+'LINEST VARS'!$F$56*($B69*4)+'LINEST VARS'!$E$56*($B69*0.5)+'LINEST VARS'!$D$56*($B69*12.73)+'LINEST VARS'!$C$56*(4*0.5)+'LINEST VARS'!$B$56*(4*12.73)+'LINEST VARS'!$A$56*(0.5*12.73)</f>
        <v>2.8400000000000012</v>
      </c>
      <c r="D69" s="51">
        <f>'LINEST VARS'!$U$56+'LINEST VARS'!$T$56*($D$56)+'LINEST VARS'!$S$56*($B69)+'LINEST VARS'!$R$56*(4)+'LINEST VARS'!$Q$56*(0.5)+'LINEST VARS'!$P$56*(12.73)+'LINEST VARS'!$O$56*($D$56^2)+'LINEST VARS'!$N$56*($B69^2)+'LINEST VARS'!$M$56*(4^2)+'LINEST VARS'!$L$56*(0.5^2)+'LINEST VARS'!$K$56*(12.73^2)+'LINEST VARS'!$J$56*($D$56*$B69)+'LINEST VARS'!$I$56*($D$56*4)+'LINEST VARS'!$H$56*($D$56*0.5)+'LINEST VARS'!$G$56*($D$56*12.73)+'LINEST VARS'!$F$56*($B69*4)+'LINEST VARS'!$E$56*($B69*0.5)+'LINEST VARS'!$D$56*($B69*12.73)+'LINEST VARS'!$C$56*(4*0.5)+'LINEST VARS'!$B$56*(4*12.73)+'LINEST VARS'!$A$56*(0.5*12.73)</f>
        <v>2.8400000000000012</v>
      </c>
      <c r="E69" s="51">
        <f>'LINEST VARS'!$U$56+'LINEST VARS'!$T$56*($E$56)+'LINEST VARS'!$S$56*($B69)+'LINEST VARS'!$R$56*(4)+'LINEST VARS'!$Q$56*(0.5)+'LINEST VARS'!$P$56*(12.73)+'LINEST VARS'!$O$56*($E$56^2)+'LINEST VARS'!$N$56*($B69^2)+'LINEST VARS'!$M$56*(4^2)+'LINEST VARS'!$L$56*(0.5^2)+'LINEST VARS'!$K$56*(12.73^2)+'LINEST VARS'!$J$56*($E$56*$B69)+'LINEST VARS'!$I$56*($E$56*4)+'LINEST VARS'!$H$56*($E$56*0.5)+'LINEST VARS'!$G$56*($E$56*12.73)+'LINEST VARS'!$F$56*($B69*4)+'LINEST VARS'!$E$56*($B69*0.5)+'LINEST VARS'!$D$56*($B69*12.73)+'LINEST VARS'!$C$56*(4*0.5)+'LINEST VARS'!$B$56*(4*12.73)+'LINEST VARS'!$A$56*(0.5*12.73)</f>
        <v>2.8400000000000012</v>
      </c>
      <c r="F69" s="51">
        <f>'LINEST VARS'!$U$56+'LINEST VARS'!$T$56*($F$56)+'LINEST VARS'!$S$56*($B69)+'LINEST VARS'!$R$56*(4)+'LINEST VARS'!$Q$56*(0.5)+'LINEST VARS'!$P$56*(12.73)+'LINEST VARS'!$O$56*($F$56^2)+'LINEST VARS'!$N$56*($B69^2)+'LINEST VARS'!$M$56*(4^2)+'LINEST VARS'!$L$56*(0.5^2)+'LINEST VARS'!$K$56*(12.73^2)+'LINEST VARS'!$J$56*($F$56*$B69)+'LINEST VARS'!$I$56*($F$56*4)+'LINEST VARS'!$H$56*($F$56*0.5)+'LINEST VARS'!$G$56*($F$56*12.73)+'LINEST VARS'!$F$56*($B69*4)+'LINEST VARS'!$E$56*($B69*0.5)+'LINEST VARS'!$D$56*($B69*12.73)+'LINEST VARS'!$C$56*(4*0.5)+'LINEST VARS'!$B$56*(4*12.73)+'LINEST VARS'!$A$56*(0.5*12.73)</f>
        <v>2.8400000000000012</v>
      </c>
      <c r="G69" s="51">
        <f>'LINEST VARS'!$U$56+'LINEST VARS'!$T$56*($G$56)+'LINEST VARS'!$S$56*($B69)+'LINEST VARS'!$R$56*(4)+'LINEST VARS'!$Q$56*(0.5)+'LINEST VARS'!$P$56*(12.73)+'LINEST VARS'!$O$56*($G$56^2)+'LINEST VARS'!$N$56*($B69^2)+'LINEST VARS'!$M$56*(4^2)+'LINEST VARS'!$L$56*(0.5^2)+'LINEST VARS'!$K$56*(12.73^2)+'LINEST VARS'!$J$56*($G$56*$B69)+'LINEST VARS'!$I$56*($G$56*4)+'LINEST VARS'!$H$56*($G$56*0.5)+'LINEST VARS'!$G$56*($G$56*12.73)+'LINEST VARS'!$F$56*($B69*4)+'LINEST VARS'!$E$56*($B69*0.5)+'LINEST VARS'!$D$56*($B69*12.73)+'LINEST VARS'!$C$56*(4*0.5)+'LINEST VARS'!$B$56*(4*12.73)+'LINEST VARS'!$A$56*(0.5*12.73)</f>
        <v>2.8400000000000012</v>
      </c>
      <c r="H69" s="51">
        <f>'LINEST VARS'!$U$56+'LINEST VARS'!$T$56*($H$56)+'LINEST VARS'!$S$56*($B69)+'LINEST VARS'!$R$56*(4)+'LINEST VARS'!$Q$56*(0.5)+'LINEST VARS'!$P$56*(12.73)+'LINEST VARS'!$O$56*($H$56^2)+'LINEST VARS'!$N$56*($B69^2)+'LINEST VARS'!$M$56*(4^2)+'LINEST VARS'!$L$56*(0.5^2)+'LINEST VARS'!$K$56*(12.73^2)+'LINEST VARS'!$J$56*($H$56*$B69)+'LINEST VARS'!$I$56*($H$56*4)+'LINEST VARS'!$H$56*($H$56*0.5)+'LINEST VARS'!$G$56*($H$56*12.73)+'LINEST VARS'!$F$56*($B69*4)+'LINEST VARS'!$E$56*($B69*0.5)+'LINEST VARS'!$D$56*($B69*12.73)+'LINEST VARS'!$C$56*(4*0.5)+'LINEST VARS'!$B$56*(4*12.73)+'LINEST VARS'!$A$56*(0.5*12.73)</f>
        <v>2.8400000000000012</v>
      </c>
      <c r="I69" s="51">
        <f>'LINEST VARS'!$U$56+'LINEST VARS'!$T$56*($I$56)+'LINEST VARS'!$S$56*($B69)+'LINEST VARS'!$R$56*(4)+'LINEST VARS'!$Q$56*(0.5)+'LINEST VARS'!$P$56*(12.73)+'LINEST VARS'!$O$56*($I$56^2)+'LINEST VARS'!$N$56*($B69^2)+'LINEST VARS'!$M$56*(4^2)+'LINEST VARS'!$L$56*(0.5^2)+'LINEST VARS'!$K$56*(12.73^2)+'LINEST VARS'!$J$56*($I$56*$B69)+'LINEST VARS'!$I$56*($I$56*4)+'LINEST VARS'!$H$56*($I$56*0.5)+'LINEST VARS'!$G$56*($I$56*12.73)+'LINEST VARS'!$F$56*($B69*4)+'LINEST VARS'!$E$56*($B69*0.5)+'LINEST VARS'!$D$56*($B69*12.73)+'LINEST VARS'!$C$56*(4*0.5)+'LINEST VARS'!$B$56*(4*12.73)+'LINEST VARS'!$A$56*(0.5*12.73)</f>
        <v>2.8400000000000012</v>
      </c>
      <c r="J69" s="51">
        <f>'LINEST VARS'!$U$56+'LINEST VARS'!$T$56*($J$56)+'LINEST VARS'!$S$56*($B69)+'LINEST VARS'!$R$56*(4)+'LINEST VARS'!$Q$56*(0.5)+'LINEST VARS'!$P$56*(12.73)+'LINEST VARS'!$O$56*($J$56^2)+'LINEST VARS'!$N$56*($B69^2)+'LINEST VARS'!$M$56*(4^2)+'LINEST VARS'!$L$56*(0.5^2)+'LINEST VARS'!$K$56*(12.73^2)+'LINEST VARS'!$J$56*($J$56*$B69)+'LINEST VARS'!$I$56*($J$56*4)+'LINEST VARS'!$H$56*($J$56*0.5)+'LINEST VARS'!$G$56*($J$56*12.73)+'LINEST VARS'!$F$56*($B69*4)+'LINEST VARS'!$E$56*($B69*0.5)+'LINEST VARS'!$D$56*($B69*12.73)+'LINEST VARS'!$C$56*(4*0.5)+'LINEST VARS'!$B$56*(4*12.73)+'LINEST VARS'!$A$56*(0.5*12.73)</f>
        <v>2.8400000000000012</v>
      </c>
      <c r="K69" s="51">
        <f>'LINEST VARS'!$U$56+'LINEST VARS'!$T$56*($K$56)+'LINEST VARS'!$S$56*($B69)+'LINEST VARS'!$R$56*(4)+'LINEST VARS'!$Q$56*(0.5)+'LINEST VARS'!$P$56*(12.73)+'LINEST VARS'!$O$56*($K$56^2)+'LINEST VARS'!$N$56*($B69^2)+'LINEST VARS'!$M$56*(4^2)+'LINEST VARS'!$L$56*(0.5^2)+'LINEST VARS'!$K$56*(12.73^2)+'LINEST VARS'!$J$56*($K$56*$B69)+'LINEST VARS'!$I$56*($K$56*4)+'LINEST VARS'!$H$56*($K$56*0.5)+'LINEST VARS'!$G$56*($K$56*12.73)+'LINEST VARS'!$F$56*($B69*4)+'LINEST VARS'!$E$56*($B69*0.5)+'LINEST VARS'!$D$56*($B69*12.73)+'LINEST VARS'!$C$56*(4*0.5)+'LINEST VARS'!$B$56*(4*12.73)+'LINEST VARS'!$A$56*(0.5*12.73)</f>
        <v>2.8400000000000007</v>
      </c>
      <c r="L69" s="51">
        <f>'LINEST VARS'!$U$56+'LINEST VARS'!$T$56*($L$56)+'LINEST VARS'!$S$56*($B69)+'LINEST VARS'!$R$56*(4)+'LINEST VARS'!$Q$56*(0.5)+'LINEST VARS'!$P$56*(12.73)+'LINEST VARS'!$O$56*($L$56^2)+'LINEST VARS'!$N$56*($B69^2)+'LINEST VARS'!$M$56*(4^2)+'LINEST VARS'!$L$56*(0.5^2)+'LINEST VARS'!$K$56*(12.73^2)+'LINEST VARS'!$J$56*($L$56*$B69)+'LINEST VARS'!$I$56*($L$56*4)+'LINEST VARS'!$H$56*($L$56*0.5)+'LINEST VARS'!$G$56*($L$56*12.73)+'LINEST VARS'!$F$56*($B69*4)+'LINEST VARS'!$E$56*($B69*0.5)+'LINEST VARS'!$D$56*($B69*12.73)+'LINEST VARS'!$C$56*(4*0.5)+'LINEST VARS'!$B$56*(4*12.73)+'LINEST VARS'!$A$56*(0.5*12.73)</f>
        <v>2.8400000000000007</v>
      </c>
      <c r="M69" s="51">
        <f>'LINEST VARS'!$U$56+'LINEST VARS'!$T$56*($M$56)+'LINEST VARS'!$S$56*($B69)+'LINEST VARS'!$R$56*(4)+'LINEST VARS'!$Q$56*(0.5)+'LINEST VARS'!$P$56*(12.73)+'LINEST VARS'!$O$56*($M$56^2)+'LINEST VARS'!$N$56*($B69^2)+'LINEST VARS'!$M$56*(4^2)+'LINEST VARS'!$L$56*(0.5^2)+'LINEST VARS'!$K$56*(12.73^2)+'LINEST VARS'!$J$56*($M$56*$B69)+'LINEST VARS'!$I$56*($M$56*4)+'LINEST VARS'!$H$56*($M$56*0.5)+'LINEST VARS'!$G$56*($M$56*12.73)+'LINEST VARS'!$F$56*($B69*4)+'LINEST VARS'!$E$56*($B69*0.5)+'LINEST VARS'!$D$56*($B69*12.73)+'LINEST VARS'!$C$56*(4*0.5)+'LINEST VARS'!$B$56*(4*12.73)+'LINEST VARS'!$A$56*(0.5*12.73)</f>
        <v>2.8400000000000007</v>
      </c>
      <c r="N69" s="51">
        <f>'LINEST VARS'!$U$56+'LINEST VARS'!$T$56*($N$56)+'LINEST VARS'!$S$56*($B69)+'LINEST VARS'!$R$56*(4)+'LINEST VARS'!$Q$56*(0.5)+'LINEST VARS'!$P$56*(12.73)+'LINEST VARS'!$O$56*($N$56^2)+'LINEST VARS'!$N$56*($B69^2)+'LINEST VARS'!$M$56*(4^2)+'LINEST VARS'!$L$56*(0.5^2)+'LINEST VARS'!$K$56*(12.73^2)+'LINEST VARS'!$J$56*($N$56*$B69)+'LINEST VARS'!$I$56*($N$56*4)+'LINEST VARS'!$H$56*($N$56*0.5)+'LINEST VARS'!$G$56*($N$56*12.73)+'LINEST VARS'!$F$56*($B69*4)+'LINEST VARS'!$E$56*($B69*0.5)+'LINEST VARS'!$D$56*($B69*12.73)+'LINEST VARS'!$C$56*(4*0.5)+'LINEST VARS'!$B$56*(4*12.73)+'LINEST VARS'!$A$56*(0.5*12.73)</f>
        <v>2.8400000000000007</v>
      </c>
      <c r="O69" s="51">
        <f>'LINEST VARS'!$U$56+'LINEST VARS'!$T$56*($O$56)+'LINEST VARS'!$S$56*($B69)+'LINEST VARS'!$R$56*(4)+'LINEST VARS'!$Q$56*(0.5)+'LINEST VARS'!$P$56*(12.73)+'LINEST VARS'!$O$56*($O$56^2)+'LINEST VARS'!$N$56*($B69^2)+'LINEST VARS'!$M$56*(4^2)+'LINEST VARS'!$L$56*(0.5^2)+'LINEST VARS'!$K$56*(12.73^2)+'LINEST VARS'!$J$56*($O$56*$B69)+'LINEST VARS'!$I$56*($O$56*4)+'LINEST VARS'!$H$56*($O$56*0.5)+'LINEST VARS'!$G$56*($O$56*12.73)+'LINEST VARS'!$F$56*($B69*4)+'LINEST VARS'!$E$56*($B69*0.5)+'LINEST VARS'!$D$56*($B69*12.73)+'LINEST VARS'!$C$56*(4*0.5)+'LINEST VARS'!$B$56*(4*12.73)+'LINEST VARS'!$A$56*(0.5*12.73)</f>
        <v>2.8400000000000007</v>
      </c>
      <c r="P69" s="51">
        <f>'LINEST VARS'!$U$56+'LINEST VARS'!$T$56*($P$56)+'LINEST VARS'!$S$56*($B69)+'LINEST VARS'!$R$56*(4)+'LINEST VARS'!$Q$56*(0.5)+'LINEST VARS'!$P$56*(12.73)+'LINEST VARS'!$O$56*($P$56^2)+'LINEST VARS'!$N$56*($B69^2)+'LINEST VARS'!$M$56*(4^2)+'LINEST VARS'!$L$56*(0.5^2)+'LINEST VARS'!$K$56*(12.73^2)+'LINEST VARS'!$J$56*($P$56*$B69)+'LINEST VARS'!$I$56*($P$56*4)+'LINEST VARS'!$H$56*($P$56*0.5)+'LINEST VARS'!$G$56*($P$56*12.73)+'LINEST VARS'!$F$56*($B69*4)+'LINEST VARS'!$E$56*($B69*0.5)+'LINEST VARS'!$D$56*($B69*12.73)+'LINEST VARS'!$C$56*(4*0.5)+'LINEST VARS'!$B$56*(4*12.73)+'LINEST VARS'!$A$56*(0.5*12.73)</f>
        <v>2.8400000000000007</v>
      </c>
      <c r="Q69" s="51">
        <f>'LINEST VARS'!$U$56+'LINEST VARS'!$T$56*($Q$56)+'LINEST VARS'!$S$56*($B69)+'LINEST VARS'!$R$56*(4)+'LINEST VARS'!$Q$56*(0.5)+'LINEST VARS'!$P$56*(12.73)+'LINEST VARS'!$O$56*($Q$56^2)+'LINEST VARS'!$N$56*($B69^2)+'LINEST VARS'!$M$56*(4^2)+'LINEST VARS'!$L$56*(0.5^2)+'LINEST VARS'!$K$56*(12.73^2)+'LINEST VARS'!$J$56*($Q$56*$B69)+'LINEST VARS'!$I$56*($Q$56*4)+'LINEST VARS'!$H$56*($Q$56*0.5)+'LINEST VARS'!$G$56*($Q$56*12.73)+'LINEST VARS'!$F$56*($B69*4)+'LINEST VARS'!$E$56*($B69*0.5)+'LINEST VARS'!$D$56*($B69*12.73)+'LINEST VARS'!$C$56*(4*0.5)+'LINEST VARS'!$B$56*(4*12.73)+'LINEST VARS'!$A$56*(0.5*12.73)</f>
        <v>2.8400000000000007</v>
      </c>
      <c r="R69" s="51">
        <f>'LINEST VARS'!$U$56+'LINEST VARS'!$T$56*($R$56)+'LINEST VARS'!$S$56*($B69)+'LINEST VARS'!$R$56*(4)+'LINEST VARS'!$Q$56*(0.5)+'LINEST VARS'!$P$56*(12.73)+'LINEST VARS'!$O$56*($R$56^2)+'LINEST VARS'!$N$56*($B69^2)+'LINEST VARS'!$M$56*(4^2)+'LINEST VARS'!$L$56*(0.5^2)+'LINEST VARS'!$K$56*(12.73^2)+'LINEST VARS'!$J$56*($R$56*$B69)+'LINEST VARS'!$I$56*($R$56*4)+'LINEST VARS'!$H$56*($R$56*0.5)+'LINEST VARS'!$G$56*($R$56*12.73)+'LINEST VARS'!$F$56*($B69*4)+'LINEST VARS'!$E$56*($B69*0.5)+'LINEST VARS'!$D$56*($B69*12.73)+'LINEST VARS'!$C$56*(4*0.5)+'LINEST VARS'!$B$56*(4*12.73)+'LINEST VARS'!$A$56*(0.5*12.73)</f>
        <v>2.8400000000000007</v>
      </c>
      <c r="S69" s="51">
        <f>'LINEST VARS'!$U$56+'LINEST VARS'!$T$56*($S$56)+'LINEST VARS'!$S$56*($B69)+'LINEST VARS'!$R$56*(4)+'LINEST VARS'!$Q$56*(0.5)+'LINEST VARS'!$P$56*(12.73)+'LINEST VARS'!$O$56*($S$56^2)+'LINEST VARS'!$N$56*($B69^2)+'LINEST VARS'!$M$56*(4^2)+'LINEST VARS'!$L$56*(0.5^2)+'LINEST VARS'!$K$56*(12.73^2)+'LINEST VARS'!$J$56*($S$56*$B69)+'LINEST VARS'!$I$56*($S$56*4)+'LINEST VARS'!$H$56*($S$56*0.5)+'LINEST VARS'!$G$56*($S$56*12.73)+'LINEST VARS'!$F$56*($B69*4)+'LINEST VARS'!$E$56*($B69*0.5)+'LINEST VARS'!$D$56*($B69*12.73)+'LINEST VARS'!$C$56*(4*0.5)+'LINEST VARS'!$B$56*(4*12.73)+'LINEST VARS'!$A$56*(0.5*12.73)</f>
        <v>2.8400000000000007</v>
      </c>
      <c r="T69" s="51">
        <f>'LINEST VARS'!$U$56+'LINEST VARS'!$T$56*($T$56)+'LINEST VARS'!$S$56*($B69)+'LINEST VARS'!$R$56*(4)+'LINEST VARS'!$Q$56*(0.5)+'LINEST VARS'!$P$56*(12.73)+'LINEST VARS'!$O$56*($T$56^2)+'LINEST VARS'!$N$56*($B69^2)+'LINEST VARS'!$M$56*(4^2)+'LINEST VARS'!$L$56*(0.5^2)+'LINEST VARS'!$K$56*(12.73^2)+'LINEST VARS'!$J$56*($T$56*$B69)+'LINEST VARS'!$I$56*($T$56*4)+'LINEST VARS'!$H$56*($T$56*0.5)+'LINEST VARS'!$G$56*($T$56*12.73)+'LINEST VARS'!$F$56*($B69*4)+'LINEST VARS'!$E$56*($B69*0.5)+'LINEST VARS'!$D$56*($B69*12.73)+'LINEST VARS'!$C$56*(4*0.5)+'LINEST VARS'!$B$56*(4*12.73)+'LINEST VARS'!$A$56*(0.5*12.73)</f>
        <v>2.8400000000000007</v>
      </c>
      <c r="U69" s="51">
        <f>'LINEST VARS'!$U$56+'LINEST VARS'!$T$56*($U$56)+'LINEST VARS'!$S$56*($B69)+'LINEST VARS'!$R$56*(4)+'LINEST VARS'!$Q$56*(0.5)+'LINEST VARS'!$P$56*(12.73)+'LINEST VARS'!$O$56*($U$56^2)+'LINEST VARS'!$N$56*($B69^2)+'LINEST VARS'!$M$56*(4^2)+'LINEST VARS'!$L$56*(0.5^2)+'LINEST VARS'!$K$56*(12.73^2)+'LINEST VARS'!$J$56*($U$56*$B69)+'LINEST VARS'!$I$56*($U$56*4)+'LINEST VARS'!$H$56*($U$56*0.5)+'LINEST VARS'!$G$56*($U$56*12.73)+'LINEST VARS'!$F$56*($B69*4)+'LINEST VARS'!$E$56*($B69*0.5)+'LINEST VARS'!$D$56*($B69*12.73)+'LINEST VARS'!$C$56*(4*0.5)+'LINEST VARS'!$B$56*(4*12.73)+'LINEST VARS'!$A$56*(0.5*12.73)</f>
        <v>2.8400000000000012</v>
      </c>
      <c r="V69" s="51">
        <f>'LINEST VARS'!$U$56+'LINEST VARS'!$T$56*($V$56)+'LINEST VARS'!$S$56*($B69)+'LINEST VARS'!$R$56*(4)+'LINEST VARS'!$Q$56*(0.5)+'LINEST VARS'!$P$56*(12.73)+'LINEST VARS'!$O$56*($V$56^2)+'LINEST VARS'!$N$56*($B69^2)+'LINEST VARS'!$M$56*(4^2)+'LINEST VARS'!$L$56*(0.5^2)+'LINEST VARS'!$K$56*(12.73^2)+'LINEST VARS'!$J$56*($V$56*$B69)+'LINEST VARS'!$I$56*($V$56*4)+'LINEST VARS'!$H$56*($V$56*0.5)+'LINEST VARS'!$G$56*($V$56*12.73)+'LINEST VARS'!$F$56*($B69*4)+'LINEST VARS'!$E$56*($B69*0.5)+'LINEST VARS'!$D$56*($B69*12.73)+'LINEST VARS'!$C$56*(4*0.5)+'LINEST VARS'!$B$56*(4*12.73)+'LINEST VARS'!$A$56*(0.5*12.73)</f>
        <v>2.8400000000000012</v>
      </c>
      <c r="W69" s="52">
        <f>'LINEST VARS'!$U$56+'LINEST VARS'!$T$56*($W$56)+'LINEST VARS'!$S$56*($B69)+'LINEST VARS'!$R$56*(4)+'LINEST VARS'!$Q$56*(0.5)+'LINEST VARS'!$P$56*(12.73)+'LINEST VARS'!$O$56*($W$56^2)+'LINEST VARS'!$N$56*($B69^2)+'LINEST VARS'!$M$56*(4^2)+'LINEST VARS'!$L$56*(0.5^2)+'LINEST VARS'!$K$56*(12.73^2)+'LINEST VARS'!$J$56*($W$56*$B69)+'LINEST VARS'!$I$56*($W$56*4)+'LINEST VARS'!$H$56*($W$56*0.5)+'LINEST VARS'!$G$56*($W$56*12.73)+'LINEST VARS'!$F$56*($B69*4)+'LINEST VARS'!$E$56*($B69*0.5)+'LINEST VARS'!$D$56*($B69*12.73)+'LINEST VARS'!$C$56*(4*0.5)+'LINEST VARS'!$B$56*(4*12.73)+'LINEST VARS'!$A$56*(0.5*12.73)</f>
        <v>2.8400000000000012</v>
      </c>
      <c r="Z69" s="45">
        <v>8.1199999999999992</v>
      </c>
      <c r="AA69" s="51">
        <f>'LINEST VARS'!$U$58+'LINEST VARS'!$T$58*($AA$56)+'LINEST VARS'!$S$58*($Z69)+'LINEST VARS'!$R$58*(4)+'LINEST VARS'!$Q$58*(0.5)+'LINEST VARS'!$P$58*(12.73)+'LINEST VARS'!$O$58*($AA$56^2)+'LINEST VARS'!$N$58*($Z69^2)+'LINEST VARS'!$M$58*(4^2)+'LINEST VARS'!$L$58*(0.5^2)+'LINEST VARS'!$K$58*(12.73^2)+'LINEST VARS'!$J$58*($AA$56*$Z69)+'LINEST VARS'!$I$58*($AA$56*4)+'LINEST VARS'!$H$58*($AA$56*0.5)+'LINEST VARS'!$G$58*($AA$56*12.73)+'LINEST VARS'!$F$58*($Z69*4)+'LINEST VARS'!$E$58*($Z69*0.5)+'LINEST VARS'!$D$58*($Z69*12.73)+'LINEST VARS'!$C$58*(4*0.5)+'LINEST VARS'!$B$58*(4*12.73)+'LINEST VARS'!$A$58*(0.5*12.73)</f>
        <v>0.94365000000000032</v>
      </c>
      <c r="AB69" s="51">
        <f>'LINEST VARS'!$U$58+'LINEST VARS'!$T$58*($AB$56)+'LINEST VARS'!$S$58*($Z69)+'LINEST VARS'!$R$58*(4)+'LINEST VARS'!$Q$58*(0.5)+'LINEST VARS'!$P$58*(12.73)+'LINEST VARS'!$O$58*($AB$56^2)+'LINEST VARS'!$N$58*($Z69^2)+'LINEST VARS'!$M$58*(4^2)+'LINEST VARS'!$L$58*(0.5^2)+'LINEST VARS'!$K$58*(12.73^2)+'LINEST VARS'!$J$58*($AB$56*$Z69)+'LINEST VARS'!$I$58*($AB$56*4)+'LINEST VARS'!$H$58*($AB$56*0.5)+'LINEST VARS'!$G$58*($AB$56*12.73)+'LINEST VARS'!$F$58*($Z69*4)+'LINEST VARS'!$E$58*($Z69*0.5)+'LINEST VARS'!$D$58*($Z69*12.73)+'LINEST VARS'!$C$58*(4*0.5)+'LINEST VARS'!$B$58*(4*12.73)+'LINEST VARS'!$A$58*(0.5*12.73)</f>
        <v>0.94365000000000032</v>
      </c>
      <c r="AC69" s="51">
        <f>'LINEST VARS'!$U$58+'LINEST VARS'!$T$58*($AC$56)+'LINEST VARS'!$S$58*($Z69)+'LINEST VARS'!$R$58*(4)+'LINEST VARS'!$Q$58*(0.5)+'LINEST VARS'!$P$58*(12.73)+'LINEST VARS'!$O$58*($AC$56^2)+'LINEST VARS'!$N$58*($Z69^2)+'LINEST VARS'!$M$58*(4^2)+'LINEST VARS'!$L$58*(0.5^2)+'LINEST VARS'!$K$58*(12.73^2)+'LINEST VARS'!$J$58*($AC$56*$Z69)+'LINEST VARS'!$I$58*($AC$56*4)+'LINEST VARS'!$H$58*($AC$56*0.5)+'LINEST VARS'!$G$58*($AC$56*12.73)+'LINEST VARS'!$F$58*($Z69*4)+'LINEST VARS'!$E$58*($Z69*0.5)+'LINEST VARS'!$D$58*($Z69*12.73)+'LINEST VARS'!$C$58*(4*0.5)+'LINEST VARS'!$B$58*(4*12.73)+'LINEST VARS'!$A$58*(0.5*12.73)</f>
        <v>0.94365000000000032</v>
      </c>
      <c r="AD69" s="51">
        <f>'LINEST VARS'!$U$58+'LINEST VARS'!$T$58*($AD$56)+'LINEST VARS'!$S$58*($Z69)+'LINEST VARS'!$R$58*(4)+'LINEST VARS'!$Q$58*(0.5)+'LINEST VARS'!$P$58*(12.73)+'LINEST VARS'!$O$58*($AD$56^2)+'LINEST VARS'!$N$58*($Z69^2)+'LINEST VARS'!$M$58*(4^2)+'LINEST VARS'!$L$58*(0.5^2)+'LINEST VARS'!$K$58*(12.73^2)+'LINEST VARS'!$J$58*($AD$56*$Z69)+'LINEST VARS'!$I$58*($AD$56*4)+'LINEST VARS'!$H$58*($AD$56*0.5)+'LINEST VARS'!$G$58*($AD$56*12.73)+'LINEST VARS'!$F$58*($Z69*4)+'LINEST VARS'!$E$58*($Z69*0.5)+'LINEST VARS'!$D$58*($Z69*12.73)+'LINEST VARS'!$C$58*(4*0.5)+'LINEST VARS'!$B$58*(4*12.73)+'LINEST VARS'!$A$58*(0.5*12.73)</f>
        <v>0.94365000000000032</v>
      </c>
      <c r="AE69" s="51">
        <f>'LINEST VARS'!$U$58+'LINEST VARS'!$T$58*($AE$56)+'LINEST VARS'!$S$58*($Z69)+'LINEST VARS'!$R$58*(4)+'LINEST VARS'!$Q$58*(0.5)+'LINEST VARS'!$P$58*(12.73)+'LINEST VARS'!$O$58*($AE$56^2)+'LINEST VARS'!$N$58*($Z69^2)+'LINEST VARS'!$M$58*(4^2)+'LINEST VARS'!$L$58*(0.5^2)+'LINEST VARS'!$K$58*(12.73^2)+'LINEST VARS'!$J$58*($AE$56*$Z69)+'LINEST VARS'!$I$58*($AE$56*4)+'LINEST VARS'!$H$58*($AE$56*0.5)+'LINEST VARS'!$G$58*($AE$56*12.73)+'LINEST VARS'!$F$58*($Z69*4)+'LINEST VARS'!$E$58*($Z69*0.5)+'LINEST VARS'!$D$58*($Z69*12.73)+'LINEST VARS'!$C$58*(4*0.5)+'LINEST VARS'!$B$58*(4*12.73)+'LINEST VARS'!$A$58*(0.5*12.73)</f>
        <v>0.94365000000000032</v>
      </c>
      <c r="AF69" s="51">
        <f>'LINEST VARS'!$U$58+'LINEST VARS'!$T$58*($AF$56)+'LINEST VARS'!$S$58*($Z69)+'LINEST VARS'!$R$58*(4)+'LINEST VARS'!$Q$58*(0.5)+'LINEST VARS'!$P$58*(12.73)+'LINEST VARS'!$O$58*($AF$56^2)+'LINEST VARS'!$N$58*($Z69^2)+'LINEST VARS'!$M$58*(4^2)+'LINEST VARS'!$L$58*(0.5^2)+'LINEST VARS'!$K$58*(12.73^2)+'LINEST VARS'!$J$58*($AF$56*$Z69)+'LINEST VARS'!$I$58*($AF$56*4)+'LINEST VARS'!$H$58*($AF$56*0.5)+'LINEST VARS'!$G$58*($AF$56*12.73)+'LINEST VARS'!$F$58*($Z69*4)+'LINEST VARS'!$E$58*($Z69*0.5)+'LINEST VARS'!$D$58*($Z69*12.73)+'LINEST VARS'!$C$58*(4*0.5)+'LINEST VARS'!$B$58*(4*12.73)+'LINEST VARS'!$A$58*(0.5*12.73)</f>
        <v>0.94365000000000032</v>
      </c>
      <c r="AG69" s="51">
        <f>'LINEST VARS'!$U$58+'LINEST VARS'!$T$58*($AG$56)+'LINEST VARS'!$S$58*($Z69)+'LINEST VARS'!$R$58*(4)+'LINEST VARS'!$Q$58*(0.5)+'LINEST VARS'!$P$58*(12.73)+'LINEST VARS'!$O$58*($AG$56^2)+'LINEST VARS'!$N$58*($Z69^2)+'LINEST VARS'!$M$58*(4^2)+'LINEST VARS'!$L$58*(0.5^2)+'LINEST VARS'!$K$58*(12.73^2)+'LINEST VARS'!$J$58*($AG$56*$Z69)+'LINEST VARS'!$I$58*($AG$56*4)+'LINEST VARS'!$H$58*($AG$56*0.5)+'LINEST VARS'!$G$58*($AG$56*12.73)+'LINEST VARS'!$F$58*($Z69*4)+'LINEST VARS'!$E$58*($Z69*0.5)+'LINEST VARS'!$D$58*($Z69*12.73)+'LINEST VARS'!$C$58*(4*0.5)+'LINEST VARS'!$B$58*(4*12.73)+'LINEST VARS'!$A$58*(0.5*12.73)</f>
        <v>0.94365000000000032</v>
      </c>
      <c r="AH69" s="51">
        <f>'LINEST VARS'!$U$58+'LINEST VARS'!$T$58*($AH$56)+'LINEST VARS'!$S$58*($Z69)+'LINEST VARS'!$R$58*(4)+'LINEST VARS'!$Q$58*(0.5)+'LINEST VARS'!$P$58*(12.73)+'LINEST VARS'!$O$58*($AH$56^2)+'LINEST VARS'!$N$58*($Z69^2)+'LINEST VARS'!$M$58*(4^2)+'LINEST VARS'!$L$58*(0.5^2)+'LINEST VARS'!$K$58*(12.73^2)+'LINEST VARS'!$J$58*($AH$56*$Z69)+'LINEST VARS'!$I$58*($AH$56*4)+'LINEST VARS'!$H$58*($AH$56*0.5)+'LINEST VARS'!$G$58*($AH$56*12.73)+'LINEST VARS'!$F$58*($Z69*4)+'LINEST VARS'!$E$58*($Z69*0.5)+'LINEST VARS'!$D$58*($Z69*12.73)+'LINEST VARS'!$C$58*(4*0.5)+'LINEST VARS'!$B$58*(4*12.73)+'LINEST VARS'!$A$58*(0.5*12.73)</f>
        <v>0.94365000000000032</v>
      </c>
      <c r="AI69" s="51">
        <f>'LINEST VARS'!$U$58+'LINEST VARS'!$T$58*($AI$56)+'LINEST VARS'!$S$58*($Z69)+'LINEST VARS'!$R$58*(4)+'LINEST VARS'!$Q$58*(0.5)+'LINEST VARS'!$P$58*(12.73)+'LINEST VARS'!$O$58*($AI$56^2)+'LINEST VARS'!$N$58*($Z69^2)+'LINEST VARS'!$M$58*(4^2)+'LINEST VARS'!$L$58*(0.5^2)+'LINEST VARS'!$K$58*(12.73^2)+'LINEST VARS'!$J$58*($AI$56*$Z69)+'LINEST VARS'!$I$58*($AI$56*4)+'LINEST VARS'!$H$58*($AI$56*0.5)+'LINEST VARS'!$G$58*($AI$56*12.73)+'LINEST VARS'!$F$58*($Z69*4)+'LINEST VARS'!$E$58*($Z69*0.5)+'LINEST VARS'!$D$58*($Z69*12.73)+'LINEST VARS'!$C$58*(4*0.5)+'LINEST VARS'!$B$58*(4*12.73)+'LINEST VARS'!$A$58*(0.5*12.73)</f>
        <v>0.94365000000000032</v>
      </c>
      <c r="AJ69" s="51">
        <f>'LINEST VARS'!$U$58+'LINEST VARS'!$T$58*($AJ$56)+'LINEST VARS'!$S$58*($Z69)+'LINEST VARS'!$R$58*(4)+'LINEST VARS'!$Q$58*(0.5)+'LINEST VARS'!$P$58*(12.73)+'LINEST VARS'!$O$58*($AJ$56^2)+'LINEST VARS'!$N$58*($Z69^2)+'LINEST VARS'!$M$58*(4^2)+'LINEST VARS'!$L$58*(0.5^2)+'LINEST VARS'!$K$58*(12.73^2)+'LINEST VARS'!$J$58*($AJ$56*$Z69)+'LINEST VARS'!$I$58*($AJ$56*4)+'LINEST VARS'!$H$58*($AJ$56*0.5)+'LINEST VARS'!$G$58*($AJ$56*12.73)+'LINEST VARS'!$F$58*($Z69*4)+'LINEST VARS'!$E$58*($Z69*0.5)+'LINEST VARS'!$D$58*($Z69*12.73)+'LINEST VARS'!$C$58*(4*0.5)+'LINEST VARS'!$B$58*(4*12.73)+'LINEST VARS'!$A$58*(0.5*12.73)</f>
        <v>0.94365000000000032</v>
      </c>
      <c r="AK69" s="51">
        <f>'LINEST VARS'!$U$58+'LINEST VARS'!$T$58*($AK$56)+'LINEST VARS'!$S$58*($Z69)+'LINEST VARS'!$R$58*(4)+'LINEST VARS'!$Q$58*(0.5)+'LINEST VARS'!$P$58*(12.73)+'LINEST VARS'!$O$58*($AK$56^2)+'LINEST VARS'!$N$58*($Z69^2)+'LINEST VARS'!$M$58*(4^2)+'LINEST VARS'!$L$58*(0.5^2)+'LINEST VARS'!$K$58*(12.73^2)+'LINEST VARS'!$J$58*($AK$56*$Z69)+'LINEST VARS'!$I$58*($AK$56*4)+'LINEST VARS'!$H$58*($AK$56*0.5)+'LINEST VARS'!$G$58*($AK$56*12.73)+'LINEST VARS'!$F$58*($Z69*4)+'LINEST VARS'!$E$58*($Z69*0.5)+'LINEST VARS'!$D$58*($Z69*12.73)+'LINEST VARS'!$C$58*(4*0.5)+'LINEST VARS'!$B$58*(4*12.73)+'LINEST VARS'!$A$58*(0.5*12.73)</f>
        <v>0.94365000000000032</v>
      </c>
      <c r="AL69" s="51">
        <f>'LINEST VARS'!$U$58+'LINEST VARS'!$T$58*($AL$56)+'LINEST VARS'!$S$58*($Z69)+'LINEST VARS'!$R$58*(4)+'LINEST VARS'!$Q$58*(0.5)+'LINEST VARS'!$P$58*(12.73)+'LINEST VARS'!$O$58*($AL$56^2)+'LINEST VARS'!$N$58*($Z69^2)+'LINEST VARS'!$M$58*(4^2)+'LINEST VARS'!$L$58*(0.5^2)+'LINEST VARS'!$K$58*(12.73^2)+'LINEST VARS'!$J$58*($AL$56*$Z69)+'LINEST VARS'!$I$58*($AL$56*4)+'LINEST VARS'!$H$58*($AL$56*0.5)+'LINEST VARS'!$G$58*($AL$56*12.73)+'LINEST VARS'!$F$58*($Z69*4)+'LINEST VARS'!$E$58*($Z69*0.5)+'LINEST VARS'!$D$58*($Z69*12.73)+'LINEST VARS'!$C$58*(4*0.5)+'LINEST VARS'!$B$58*(4*12.73)+'LINEST VARS'!$A$58*(0.5*12.73)</f>
        <v>0.94365000000000032</v>
      </c>
      <c r="AM69" s="51">
        <f>'LINEST VARS'!$U$58+'LINEST VARS'!$T$58*($AM$56)+'LINEST VARS'!$S$58*($Z69)+'LINEST VARS'!$R$58*(4)+'LINEST VARS'!$Q$58*(0.5)+'LINEST VARS'!$P$58*(12.73)+'LINEST VARS'!$O$58*($AM$56^2)+'LINEST VARS'!$N$58*($Z69^2)+'LINEST VARS'!$M$58*(4^2)+'LINEST VARS'!$L$58*(0.5^2)+'LINEST VARS'!$K$58*(12.73^2)+'LINEST VARS'!$J$58*($AM$56*$Z69)+'LINEST VARS'!$I$58*($AM$56*4)+'LINEST VARS'!$H$58*($AM$56*0.5)+'LINEST VARS'!$G$58*($AM$56*12.73)+'LINEST VARS'!$F$58*($Z69*4)+'LINEST VARS'!$E$58*($Z69*0.5)+'LINEST VARS'!$D$58*($Z69*12.73)+'LINEST VARS'!$C$58*(4*0.5)+'LINEST VARS'!$B$58*(4*12.73)+'LINEST VARS'!$A$58*(0.5*12.73)</f>
        <v>0.94365000000000021</v>
      </c>
      <c r="AN69" s="51">
        <f>'LINEST VARS'!$U$58+'LINEST VARS'!$T$58*($AN$56)+'LINEST VARS'!$S$58*($Z69)+'LINEST VARS'!$R$58*(4)+'LINEST VARS'!$Q$58*(0.5)+'LINEST VARS'!$P$58*(12.73)+'LINEST VARS'!$O$58*($AN$56^2)+'LINEST VARS'!$N$58*($Z69^2)+'LINEST VARS'!$M$58*(4^2)+'LINEST VARS'!$L$58*(0.5^2)+'LINEST VARS'!$K$58*(12.73^2)+'LINEST VARS'!$J$58*($AN$56*$Z69)+'LINEST VARS'!$I$58*($AN$56*4)+'LINEST VARS'!$H$58*($AN$56*0.5)+'LINEST VARS'!$G$58*($AN$56*12.73)+'LINEST VARS'!$F$58*($Z69*4)+'LINEST VARS'!$E$58*($Z69*0.5)+'LINEST VARS'!$D$58*($Z69*12.73)+'LINEST VARS'!$C$58*(4*0.5)+'LINEST VARS'!$B$58*(4*12.73)+'LINEST VARS'!$A$58*(0.5*12.73)</f>
        <v>0.94365000000000021</v>
      </c>
      <c r="AO69" s="51">
        <f>'LINEST VARS'!$U$58+'LINEST VARS'!$T$58*($AO$56)+'LINEST VARS'!$S$58*($Z69)+'LINEST VARS'!$R$58*(4)+'LINEST VARS'!$Q$58*(0.5)+'LINEST VARS'!$P$58*(12.73)+'LINEST VARS'!$O$58*($AO$56^2)+'LINEST VARS'!$N$58*($Z69^2)+'LINEST VARS'!$M$58*(4^2)+'LINEST VARS'!$L$58*(0.5^2)+'LINEST VARS'!$K$58*(12.73^2)+'LINEST VARS'!$J$58*($AO$56*$Z69)+'LINEST VARS'!$I$58*($AO$56*4)+'LINEST VARS'!$H$58*($AO$56*0.5)+'LINEST VARS'!$G$58*($AO$56*12.73)+'LINEST VARS'!$F$58*($Z69*4)+'LINEST VARS'!$E$58*($Z69*0.5)+'LINEST VARS'!$D$58*($Z69*12.73)+'LINEST VARS'!$C$58*(4*0.5)+'LINEST VARS'!$B$58*(4*12.73)+'LINEST VARS'!$A$58*(0.5*12.73)</f>
        <v>0.94365000000000021</v>
      </c>
      <c r="AP69" s="51">
        <f>'LINEST VARS'!$U$58+'LINEST VARS'!$T$58*($AP$56)+'LINEST VARS'!$S$58*($Z69)+'LINEST VARS'!$R$58*(4)+'LINEST VARS'!$Q$58*(0.5)+'LINEST VARS'!$P$58*(12.73)+'LINEST VARS'!$O$58*($AP$56^2)+'LINEST VARS'!$N$58*($Z69^2)+'LINEST VARS'!$M$58*(4^2)+'LINEST VARS'!$L$58*(0.5^2)+'LINEST VARS'!$K$58*(12.73^2)+'LINEST VARS'!$J$58*($AP$56*$Z69)+'LINEST VARS'!$I$58*($AP$56*4)+'LINEST VARS'!$H$58*($AP$56*0.5)+'LINEST VARS'!$G$58*($AP$56*12.73)+'LINEST VARS'!$F$58*($Z69*4)+'LINEST VARS'!$E$58*($Z69*0.5)+'LINEST VARS'!$D$58*($Z69*12.73)+'LINEST VARS'!$C$58*(4*0.5)+'LINEST VARS'!$B$58*(4*12.73)+'LINEST VARS'!$A$58*(0.5*12.73)</f>
        <v>0.94365000000000021</v>
      </c>
      <c r="AQ69" s="51">
        <f>'LINEST VARS'!$U$58+'LINEST VARS'!$T$58*($AQ$56)+'LINEST VARS'!$S$58*($Z69)+'LINEST VARS'!$R$58*(4)+'LINEST VARS'!$Q$58*(0.5)+'LINEST VARS'!$P$58*(12.73)+'LINEST VARS'!$O$58*($AQ$56^2)+'LINEST VARS'!$N$58*($Z69^2)+'LINEST VARS'!$M$58*(4^2)+'LINEST VARS'!$L$58*(0.5^2)+'LINEST VARS'!$K$58*(12.73^2)+'LINEST VARS'!$J$58*($AQ$56*$Z69)+'LINEST VARS'!$I$58*($AQ$56*4)+'LINEST VARS'!$H$58*($AQ$56*0.5)+'LINEST VARS'!$G$58*($AQ$56*12.73)+'LINEST VARS'!$F$58*($Z69*4)+'LINEST VARS'!$E$58*($Z69*0.5)+'LINEST VARS'!$D$58*($Z69*12.73)+'LINEST VARS'!$C$58*(4*0.5)+'LINEST VARS'!$B$58*(4*12.73)+'LINEST VARS'!$A$58*(0.5*12.73)</f>
        <v>0.94365000000000021</v>
      </c>
      <c r="AR69" s="51">
        <f>'LINEST VARS'!$U$58+'LINEST VARS'!$T$58*($AR$56)+'LINEST VARS'!$S$58*($Z69)+'LINEST VARS'!$R$58*(4)+'LINEST VARS'!$Q$58*(0.5)+'LINEST VARS'!$P$58*(12.73)+'LINEST VARS'!$O$58*($AR$56^2)+'LINEST VARS'!$N$58*($Z69^2)+'LINEST VARS'!$M$58*(4^2)+'LINEST VARS'!$L$58*(0.5^2)+'LINEST VARS'!$K$58*(12.73^2)+'LINEST VARS'!$J$58*($AR$56*$Z69)+'LINEST VARS'!$I$58*($AR$56*4)+'LINEST VARS'!$H$58*($AR$56*0.5)+'LINEST VARS'!$G$58*($AR$56*12.73)+'LINEST VARS'!$F$58*($Z69*4)+'LINEST VARS'!$E$58*($Z69*0.5)+'LINEST VARS'!$D$58*($Z69*12.73)+'LINEST VARS'!$C$58*(4*0.5)+'LINEST VARS'!$B$58*(4*12.73)+'LINEST VARS'!$A$58*(0.5*12.73)</f>
        <v>0.94365000000000032</v>
      </c>
      <c r="AS69" s="51">
        <f>'LINEST VARS'!$U$58+'LINEST VARS'!$T$58*($AS$56)+'LINEST VARS'!$S$58*($Z69)+'LINEST VARS'!$R$58*(4)+'LINEST VARS'!$Q$58*(0.5)+'LINEST VARS'!$P$58*(12.73)+'LINEST VARS'!$O$58*($AS$56^2)+'LINEST VARS'!$N$58*($Z69^2)+'LINEST VARS'!$M$58*(4^2)+'LINEST VARS'!$L$58*(0.5^2)+'LINEST VARS'!$K$58*(12.73^2)+'LINEST VARS'!$J$58*($AS$56*$Z69)+'LINEST VARS'!$I$58*($AS$56*4)+'LINEST VARS'!$H$58*($AS$56*0.5)+'LINEST VARS'!$G$58*($AS$56*12.73)+'LINEST VARS'!$F$58*($Z69*4)+'LINEST VARS'!$E$58*($Z69*0.5)+'LINEST VARS'!$D$58*($Z69*12.73)+'LINEST VARS'!$C$58*(4*0.5)+'LINEST VARS'!$B$58*(4*12.73)+'LINEST VARS'!$A$58*(0.5*12.73)</f>
        <v>0.94365000000000032</v>
      </c>
      <c r="AT69" s="51">
        <f>'LINEST VARS'!$U$58+'LINEST VARS'!$T$58*($AT$56)+'LINEST VARS'!$S$58*($Z69)+'LINEST VARS'!$R$58*(4)+'LINEST VARS'!$Q$58*(0.5)+'LINEST VARS'!$P$58*(12.73)+'LINEST VARS'!$O$58*($AT$56^2)+'LINEST VARS'!$N$58*($Z69^2)+'LINEST VARS'!$M$58*(4^2)+'LINEST VARS'!$L$58*(0.5^2)+'LINEST VARS'!$K$58*(12.73^2)+'LINEST VARS'!$J$58*($AT$56*$Z69)+'LINEST VARS'!$I$58*($AT$56*4)+'LINEST VARS'!$H$58*($AT$56*0.5)+'LINEST VARS'!$G$58*($AT$56*12.73)+'LINEST VARS'!$F$58*($Z69*4)+'LINEST VARS'!$E$58*($Z69*0.5)+'LINEST VARS'!$D$58*($Z69*12.73)+'LINEST VARS'!$C$58*(4*0.5)+'LINEST VARS'!$B$58*(4*12.73)+'LINEST VARS'!$A$58*(0.5*12.73)</f>
        <v>0.94365000000000032</v>
      </c>
      <c r="AU69" s="52">
        <f>'LINEST VARS'!$U$58+'LINEST VARS'!$T$58*($AU$56)+'LINEST VARS'!$S$58*($Z69)+'LINEST VARS'!$R$58*(4)+'LINEST VARS'!$Q$58*(0.5)+'LINEST VARS'!$P$58*(12.73)+'LINEST VARS'!$O$58*($AU$56^2)+'LINEST VARS'!$N$58*($Z69^2)+'LINEST VARS'!$M$58*(4^2)+'LINEST VARS'!$L$58*(0.5^2)+'LINEST VARS'!$K$58*(12.73^2)+'LINEST VARS'!$J$58*($AU$56*$Z69)+'LINEST VARS'!$I$58*($AU$56*4)+'LINEST VARS'!$H$58*($AU$56*0.5)+'LINEST VARS'!$G$58*($AU$56*12.73)+'LINEST VARS'!$F$58*($Z69*4)+'LINEST VARS'!$E$58*($Z69*0.5)+'LINEST VARS'!$D$58*($Z69*12.73)+'LINEST VARS'!$C$58*(4*0.5)+'LINEST VARS'!$B$58*(4*12.73)+'LINEST VARS'!$A$58*(0.5*12.73)</f>
        <v>0.94365000000000021</v>
      </c>
      <c r="AZ69" s="45">
        <v>0.6</v>
      </c>
      <c r="BA69" s="51">
        <f>'LINEST VARS'!$U$56+'LINEST VARS'!$T$56*(8)+'LINEST VARS'!$S$56*(8)+'LINEST VARS'!$R$56*($BA$56)+'LINEST VARS'!$Q$56*($AZ69)+'LINEST VARS'!$P$56*(12.73)+'LINEST VARS'!$O$56*(8^2)+'LINEST VARS'!$N$56*(8^2)+'LINEST VARS'!$M$56*($BA$56^2)+'LINEST VARS'!$L$56*($AZ69^2)+'LINEST VARS'!$K$56*(12.73^2)+'LINEST VARS'!$J$56*(8*8)+'LINEST VARS'!$I$56*(8*$BA$56)+'LINEST VARS'!$H$56*(8*$AZ69)+'LINEST VARS'!$G$56*(8*12.73)+'LINEST VARS'!$F$56*(8*$BA$56)+'LINEST VARS'!$E$56*(8*$AZ69)+'LINEST VARS'!$D$56*(8*12.73)+'LINEST VARS'!$C$56*($BA$56*$AZ69)+'LINEST VARS'!$B$56*($BA$56*12.73)+'LINEST VARS'!$A$56*($AZ69*12.73)</f>
        <v>2.8000000000000007</v>
      </c>
      <c r="BB69" s="51">
        <f>'LINEST VARS'!$U$56+'LINEST VARS'!$T$56*(8)+'LINEST VARS'!$S$56*(8)+'LINEST VARS'!$R$56*($BB$56)+'LINEST VARS'!$Q$56*($AZ69)+'LINEST VARS'!$P$56*(12.73)+'LINEST VARS'!$O$56*(8^2)+'LINEST VARS'!$N$56*(8^2)+'LINEST VARS'!$M$56*($BB$56^2)+'LINEST VARS'!$L$56*($AZ69^2)+'LINEST VARS'!$K$56*(12.73^2)+'LINEST VARS'!$J$56*(8*8)+'LINEST VARS'!$I$56*(8*$BB$56)+'LINEST VARS'!$H$56*(8*$AZ69)+'LINEST VARS'!$G$56*(8*12.73)+'LINEST VARS'!$F$56*(8*$BB$56)+'LINEST VARS'!$E$56*(8*$AZ69)+'LINEST VARS'!$D$56*(8*12.73)+'LINEST VARS'!$C$56*($BB$56*$AZ69)+'LINEST VARS'!$B$56*($BB$56*12.73)+'LINEST VARS'!$A$56*($AZ69*12.73)</f>
        <v>2.8184000000000009</v>
      </c>
      <c r="BC69" s="51">
        <f>'LINEST VARS'!$U$56+'LINEST VARS'!$T$56*(8)+'LINEST VARS'!$S$56*(8)+'LINEST VARS'!$R$56*($BC$56)+'LINEST VARS'!$Q$56*($AZ69)+'LINEST VARS'!$P$56*(12.73)+'LINEST VARS'!$O$56*(8^2)+'LINEST VARS'!$N$56*(8^2)+'LINEST VARS'!$M$56*($BC$56^2)+'LINEST VARS'!$L$56*($AZ69^2)+'LINEST VARS'!$K$56*(12.73^2)+'LINEST VARS'!$J$56*(8*8)+'LINEST VARS'!$I$56*(8*$BC$56)+'LINEST VARS'!$H$56*(8*$AZ69)+'LINEST VARS'!$G$56*(8*12.73)+'LINEST VARS'!$F$56*(8*$BC$56)+'LINEST VARS'!$E$56*(8*$AZ69)+'LINEST VARS'!$D$56*(8*12.73)+'LINEST VARS'!$C$56*($BC$56*$AZ69)+'LINEST VARS'!$B$56*($BC$56*12.73)+'LINEST VARS'!$A$56*($AZ69*12.73)</f>
        <v>2.8336000000000006</v>
      </c>
      <c r="BD69" s="51">
        <f>'LINEST VARS'!$U$56+'LINEST VARS'!$T$56*(8)+'LINEST VARS'!$S$56*(8)+'LINEST VARS'!$R$56*($BD$56)+'LINEST VARS'!$Q$56*($AZ69)+'LINEST VARS'!$P$56*(12.73)+'LINEST VARS'!$O$56*(8^2)+'LINEST VARS'!$N$56*(8^2)+'LINEST VARS'!$M$56*($BD$56^2)+'LINEST VARS'!$L$56*($AZ69^2)+'LINEST VARS'!$K$56*(12.73^2)+'LINEST VARS'!$J$56*(8*8)+'LINEST VARS'!$I$56*(8*$BD$56)+'LINEST VARS'!$H$56*(8*$AZ69)+'LINEST VARS'!$G$56*(8*12.73)+'LINEST VARS'!$F$56*(8*$BD$56)+'LINEST VARS'!$E$56*(8*$AZ69)+'LINEST VARS'!$D$56*(8*12.73)+'LINEST VARS'!$C$56*($BD$56*$AZ69)+'LINEST VARS'!$B$56*($BD$56*12.73)+'LINEST VARS'!$A$56*($AZ69*12.73)</f>
        <v>2.8456000000000006</v>
      </c>
      <c r="BE69" s="51">
        <f>'LINEST VARS'!$U$56+'LINEST VARS'!$T$56*(8)+'LINEST VARS'!$S$56*(8)+'LINEST VARS'!$R$56*($BE$56)+'LINEST VARS'!$Q$56*($AZ69)+'LINEST VARS'!$P$56*(12.73)+'LINEST VARS'!$O$56*(8^2)+'LINEST VARS'!$N$56*(8^2)+'LINEST VARS'!$M$56*($BE$56^2)+'LINEST VARS'!$L$56*($AZ69^2)+'LINEST VARS'!$K$56*(12.73^2)+'LINEST VARS'!$J$56*(8*8)+'LINEST VARS'!$I$56*(8*$BE$56)+'LINEST VARS'!$H$56*(8*$AZ69)+'LINEST VARS'!$G$56*(8*12.73)+'LINEST VARS'!$F$56*(8*$BE$56)+'LINEST VARS'!$E$56*(8*$AZ69)+'LINEST VARS'!$D$56*(8*12.73)+'LINEST VARS'!$C$56*($BE$56*$AZ69)+'LINEST VARS'!$B$56*($BE$56*12.73)+'LINEST VARS'!$A$56*($AZ69*12.73)</f>
        <v>2.8544000000000009</v>
      </c>
      <c r="BF69" s="51">
        <f>'LINEST VARS'!$U$56+'LINEST VARS'!$T$56*(8)+'LINEST VARS'!$S$56*(8)+'LINEST VARS'!$R$56*($BF$56)+'LINEST VARS'!$Q$56*($AZ69)+'LINEST VARS'!$P$56*(12.73)+'LINEST VARS'!$O$56*(8^2)+'LINEST VARS'!$N$56*(8^2)+'LINEST VARS'!$M$56*($BF$56^2)+'LINEST VARS'!$L$56*($AZ69^2)+'LINEST VARS'!$K$56*(12.73^2)+'LINEST VARS'!$J$56*(8*8)+'LINEST VARS'!$I$56*(8*$BF$56)+'LINEST VARS'!$H$56*(8*$AZ69)+'LINEST VARS'!$G$56*(8*12.73)+'LINEST VARS'!$F$56*(8*$BF$56)+'LINEST VARS'!$E$56*(8*$AZ69)+'LINEST VARS'!$D$56*(8*12.73)+'LINEST VARS'!$C$56*($BF$56*$AZ69)+'LINEST VARS'!$B$56*($BF$56*12.73)+'LINEST VARS'!$A$56*($AZ69*12.73)</f>
        <v>2.8600000000000008</v>
      </c>
      <c r="BG69" s="51">
        <f>'LINEST VARS'!$U$56+'LINEST VARS'!$T$56*(8)+'LINEST VARS'!$S$56*(8)+'LINEST VARS'!$R$56*($BG$56)+'LINEST VARS'!$Q$56*($AZ69)+'LINEST VARS'!$P$56*(12.73)+'LINEST VARS'!$O$56*(8^2)+'LINEST VARS'!$N$56*(8^2)+'LINEST VARS'!$M$56*($BG$56^2)+'LINEST VARS'!$L$56*($AZ69^2)+'LINEST VARS'!$K$56*(12.73^2)+'LINEST VARS'!$J$56*(8*8)+'LINEST VARS'!$I$56*(8*$BG$56)+'LINEST VARS'!$H$56*(8*$AZ69)+'LINEST VARS'!$G$56*(8*12.73)+'LINEST VARS'!$F$56*(8*$BG$56)+'LINEST VARS'!$E$56*(8*$AZ69)+'LINEST VARS'!$D$56*(8*12.73)+'LINEST VARS'!$C$56*($BG$56*$AZ69)+'LINEST VARS'!$B$56*($BG$56*12.73)+'LINEST VARS'!$A$56*($AZ69*12.73)</f>
        <v>2.8624000000000009</v>
      </c>
      <c r="BH69" s="51">
        <f>'LINEST VARS'!$U$56+'LINEST VARS'!$T$56*(8)+'LINEST VARS'!$S$56*(8)+'LINEST VARS'!$R$56*($BH$56)+'LINEST VARS'!$Q$56*($AZ69)+'LINEST VARS'!$P$56*(12.73)+'LINEST VARS'!$O$56*(8^2)+'LINEST VARS'!$N$56*(8^2)+'LINEST VARS'!$M$56*($BH$56^2)+'LINEST VARS'!$L$56*($AZ69^2)+'LINEST VARS'!$K$56*(12.73^2)+'LINEST VARS'!$J$56*(8*8)+'LINEST VARS'!$I$56*(8*$BH$56)+'LINEST VARS'!$H$56*(8*$AZ69)+'LINEST VARS'!$G$56*(8*12.73)+'LINEST VARS'!$F$56*(8*$BH$56)+'LINEST VARS'!$E$56*(8*$AZ69)+'LINEST VARS'!$D$56*(8*12.73)+'LINEST VARS'!$C$56*($BH$56*$AZ69)+'LINEST VARS'!$B$56*($BH$56*12.73)+'LINEST VARS'!$A$56*($AZ69*12.73)</f>
        <v>2.8616000000000006</v>
      </c>
      <c r="BI69" s="51">
        <f>'LINEST VARS'!$U$56+'LINEST VARS'!$T$56*(8)+'LINEST VARS'!$S$56*(8)+'LINEST VARS'!$R$56*($BI$56)+'LINEST VARS'!$Q$56*($AZ69)+'LINEST VARS'!$P$56*(12.73)+'LINEST VARS'!$O$56*(8^2)+'LINEST VARS'!$N$56*(8^2)+'LINEST VARS'!$M$56*($BI$56^2)+'LINEST VARS'!$L$56*($AZ69^2)+'LINEST VARS'!$K$56*(12.73^2)+'LINEST VARS'!$J$56*(8*8)+'LINEST VARS'!$I$56*(8*$BI$56)+'LINEST VARS'!$H$56*(8*$AZ69)+'LINEST VARS'!$G$56*(8*12.73)+'LINEST VARS'!$F$56*(8*$BI$56)+'LINEST VARS'!$E$56*(8*$AZ69)+'LINEST VARS'!$D$56*(8*12.73)+'LINEST VARS'!$C$56*($BI$56*$AZ69)+'LINEST VARS'!$B$56*($BI$56*12.73)+'LINEST VARS'!$A$56*($AZ69*12.73)</f>
        <v>2.8576000000000006</v>
      </c>
      <c r="BJ69" s="51">
        <f>'LINEST VARS'!$U$56+'LINEST VARS'!$T$56*(8)+'LINEST VARS'!$S$56*(8)+'LINEST VARS'!$R$56*($BJ$56)+'LINEST VARS'!$Q$56*($AZ69)+'LINEST VARS'!$P$56*(12.73)+'LINEST VARS'!$O$56*(8^2)+'LINEST VARS'!$N$56*(8^2)+'LINEST VARS'!$M$56*($BJ$56^2)+'LINEST VARS'!$L$56*($AZ69^2)+'LINEST VARS'!$K$56*(12.73^2)+'LINEST VARS'!$J$56*(8*8)+'LINEST VARS'!$I$56*(8*$BJ$56)+'LINEST VARS'!$H$56*(8*$AZ69)+'LINEST VARS'!$G$56*(8*12.73)+'LINEST VARS'!$F$56*(8*$BJ$56)+'LINEST VARS'!$E$56*(8*$AZ69)+'LINEST VARS'!$D$56*(8*12.73)+'LINEST VARS'!$C$56*($BJ$56*$AZ69)+'LINEST VARS'!$B$56*($BJ$56*12.73)+'LINEST VARS'!$A$56*($AZ69*12.73)</f>
        <v>2.8504000000000009</v>
      </c>
      <c r="BK69" s="51">
        <f>'LINEST VARS'!$U$56+'LINEST VARS'!$T$56*(8)+'LINEST VARS'!$S$56*(8)+'LINEST VARS'!$R$56*($BK$56)+'LINEST VARS'!$Q$56*($AZ69)+'LINEST VARS'!$P$56*(12.73)+'LINEST VARS'!$O$56*(8^2)+'LINEST VARS'!$N$56*(8^2)+'LINEST VARS'!$M$56*($BK$56^2)+'LINEST VARS'!$L$56*($AZ69^2)+'LINEST VARS'!$K$56*(12.73^2)+'LINEST VARS'!$J$56*(8*8)+'LINEST VARS'!$I$56*(8*$BK$56)+'LINEST VARS'!$H$56*(8*$AZ69)+'LINEST VARS'!$G$56*(8*12.73)+'LINEST VARS'!$F$56*(8*$BK$56)+'LINEST VARS'!$E$56*(8*$AZ69)+'LINEST VARS'!$D$56*(8*12.73)+'LINEST VARS'!$C$56*($BK$56*$AZ69)+'LINEST VARS'!$B$56*($BK$56*12.73)+'LINEST VARS'!$A$56*($AZ69*12.73)</f>
        <v>2.8400000000000007</v>
      </c>
      <c r="BL69" s="51">
        <f>'LINEST VARS'!$U$56+'LINEST VARS'!$T$56*(8)+'LINEST VARS'!$S$56*(8)+'LINEST VARS'!$R$56*($BL$56)+'LINEST VARS'!$Q$56*($AZ69)+'LINEST VARS'!$P$56*(12.73)+'LINEST VARS'!$O$56*(8^2)+'LINEST VARS'!$N$56*(8^2)+'LINEST VARS'!$M$56*($BL$56^2)+'LINEST VARS'!$L$56*($AZ69^2)+'LINEST VARS'!$K$56*(12.73^2)+'LINEST VARS'!$J$56*(8*8)+'LINEST VARS'!$I$56*(8*$BL$56)+'LINEST VARS'!$H$56*(8*$AZ69)+'LINEST VARS'!$G$56*(8*12.73)+'LINEST VARS'!$F$56*(8*$BL$56)+'LINEST VARS'!$E$56*(8*$AZ69)+'LINEST VARS'!$D$56*(8*12.73)+'LINEST VARS'!$C$56*($BL$56*$AZ69)+'LINEST VARS'!$B$56*($BL$56*12.73)+'LINEST VARS'!$A$56*($AZ69*12.73)</f>
        <v>2.8264000000000009</v>
      </c>
      <c r="BM69" s="51">
        <f>'LINEST VARS'!$U$56+'LINEST VARS'!$T$56*(8)+'LINEST VARS'!$S$56*(8)+'LINEST VARS'!$R$56*($BM$56)+'LINEST VARS'!$Q$56*($AZ69)+'LINEST VARS'!$P$56*(12.73)+'LINEST VARS'!$O$56*(8^2)+'LINEST VARS'!$N$56*(8^2)+'LINEST VARS'!$M$56*($BM$56^2)+'LINEST VARS'!$L$56*($AZ69^2)+'LINEST VARS'!$K$56*(12.73^2)+'LINEST VARS'!$J$56*(8*8)+'LINEST VARS'!$I$56*(8*$BM$56)+'LINEST VARS'!$H$56*(8*$AZ69)+'LINEST VARS'!$G$56*(8*12.73)+'LINEST VARS'!$F$56*(8*$BM$56)+'LINEST VARS'!$E$56*(8*$AZ69)+'LINEST VARS'!$D$56*(8*12.73)+'LINEST VARS'!$C$56*($BM$56*$AZ69)+'LINEST VARS'!$B$56*($BM$56*12.73)+'LINEST VARS'!$A$56*($AZ69*12.73)</f>
        <v>2.8096000000000005</v>
      </c>
      <c r="BN69" s="51">
        <f>'LINEST VARS'!$U$56+'LINEST VARS'!$T$56*(8)+'LINEST VARS'!$S$56*(8)+'LINEST VARS'!$R$56*($BN$56)+'LINEST VARS'!$Q$56*($AZ69)+'LINEST VARS'!$P$56*(12.73)+'LINEST VARS'!$O$56*(8^2)+'LINEST VARS'!$N$56*(8^2)+'LINEST VARS'!$M$56*($BN$56^2)+'LINEST VARS'!$L$56*($AZ69^2)+'LINEST VARS'!$K$56*(12.73^2)+'LINEST VARS'!$J$56*(8*8)+'LINEST VARS'!$I$56*(8*$BN$56)+'LINEST VARS'!$H$56*(8*$AZ69)+'LINEST VARS'!$G$56*(8*12.73)+'LINEST VARS'!$F$56*(8*$BN$56)+'LINEST VARS'!$E$56*(8*$AZ69)+'LINEST VARS'!$D$56*(8*12.73)+'LINEST VARS'!$C$56*($BN$56*$AZ69)+'LINEST VARS'!$B$56*($BN$56*12.73)+'LINEST VARS'!$A$56*($AZ69*12.73)</f>
        <v>2.7896000000000005</v>
      </c>
      <c r="BO69" s="51">
        <f>'LINEST VARS'!$U$56+'LINEST VARS'!$T$56*(8)+'LINEST VARS'!$S$56*(8)+'LINEST VARS'!$R$56*($BO$56)+'LINEST VARS'!$Q$56*($AZ69)+'LINEST VARS'!$P$56*(12.73)+'LINEST VARS'!$O$56*(8^2)+'LINEST VARS'!$N$56*(8^2)+'LINEST VARS'!$M$56*($BO$56^2)+'LINEST VARS'!$L$56*($AZ69^2)+'LINEST VARS'!$K$56*(12.73^2)+'LINEST VARS'!$J$56*(8*8)+'LINEST VARS'!$I$56*(8*$BO$56)+'LINEST VARS'!$H$56*(8*$AZ69)+'LINEST VARS'!$G$56*(8*12.73)+'LINEST VARS'!$F$56*(8*$BO$56)+'LINEST VARS'!$E$56*(8*$AZ69)+'LINEST VARS'!$D$56*(8*12.73)+'LINEST VARS'!$C$56*($BO$56*$AZ69)+'LINEST VARS'!$B$56*($BO$56*12.73)+'LINEST VARS'!$A$56*($AZ69*12.73)</f>
        <v>2.7664000000000009</v>
      </c>
      <c r="BP69" s="51">
        <f>'LINEST VARS'!$U$56+'LINEST VARS'!$T$56*(8)+'LINEST VARS'!$S$56*(8)+'LINEST VARS'!$R$56*($BP$56)+'LINEST VARS'!$Q$56*($AZ69)+'LINEST VARS'!$P$56*(12.73)+'LINEST VARS'!$O$56*(8^2)+'LINEST VARS'!$N$56*(8^2)+'LINEST VARS'!$M$56*($BP$56^2)+'LINEST VARS'!$L$56*($AZ69^2)+'LINEST VARS'!$K$56*(12.73^2)+'LINEST VARS'!$J$56*(8*8)+'LINEST VARS'!$I$56*(8*$BP$56)+'LINEST VARS'!$H$56*(8*$AZ69)+'LINEST VARS'!$G$56*(8*12.73)+'LINEST VARS'!$F$56*(8*$BP$56)+'LINEST VARS'!$E$56*(8*$AZ69)+'LINEST VARS'!$D$56*(8*12.73)+'LINEST VARS'!$C$56*($BP$56*$AZ69)+'LINEST VARS'!$B$56*($BP$56*12.73)+'LINEST VARS'!$A$56*($AZ69*12.73)</f>
        <v>2.7400000000000007</v>
      </c>
      <c r="BQ69" s="51">
        <f>'LINEST VARS'!$U$56+'LINEST VARS'!$T$56*(8)+'LINEST VARS'!$S$56*(8)+'LINEST VARS'!$R$56*($BQ$56)+'LINEST VARS'!$Q$56*($AZ69)+'LINEST VARS'!$P$56*(12.73)+'LINEST VARS'!$O$56*(8^2)+'LINEST VARS'!$N$56*(8^2)+'LINEST VARS'!$M$56*($BQ$56^2)+'LINEST VARS'!$L$56*($AZ69^2)+'LINEST VARS'!$K$56*(12.73^2)+'LINEST VARS'!$J$56*(8*8)+'LINEST VARS'!$I$56*(8*$BQ$56)+'LINEST VARS'!$H$56*(8*$AZ69)+'LINEST VARS'!$G$56*(8*12.73)+'LINEST VARS'!$F$56*(8*$BQ$56)+'LINEST VARS'!$E$56*(8*$AZ69)+'LINEST VARS'!$D$56*(8*12.73)+'LINEST VARS'!$C$56*($BQ$56*$AZ69)+'LINEST VARS'!$B$56*($BQ$56*12.73)+'LINEST VARS'!$A$56*($AZ69*12.73)</f>
        <v>2.7104000000000004</v>
      </c>
      <c r="BR69" s="51">
        <f>'LINEST VARS'!$U$56+'LINEST VARS'!$T$56*(8)+'LINEST VARS'!$S$56*(8)+'LINEST VARS'!$R$56*($BR$56)+'LINEST VARS'!$Q$56*($AZ69)+'LINEST VARS'!$P$56*(12.73)+'LINEST VARS'!$O$56*(8^2)+'LINEST VARS'!$N$56*(8^2)+'LINEST VARS'!$M$56*($BR$56^2)+'LINEST VARS'!$L$56*($AZ69^2)+'LINEST VARS'!$K$56*(12.73^2)+'LINEST VARS'!$J$56*(8*8)+'LINEST VARS'!$I$56*(8*$BR$56)+'LINEST VARS'!$H$56*(8*$AZ69)+'LINEST VARS'!$G$56*(8*12.73)+'LINEST VARS'!$F$56*(8*$BR$56)+'LINEST VARS'!$E$56*(8*$AZ69)+'LINEST VARS'!$D$56*(8*12.73)+'LINEST VARS'!$C$56*($BR$56*$AZ69)+'LINEST VARS'!$B$56*($BR$56*12.73)+'LINEST VARS'!$A$56*($AZ69*12.73)</f>
        <v>2.6776000000000004</v>
      </c>
      <c r="BS69" s="51">
        <f>'LINEST VARS'!$U$56+'LINEST VARS'!$T$56*(8)+'LINEST VARS'!$S$56*(8)+'LINEST VARS'!$R$56*($BS$56)+'LINEST VARS'!$Q$56*($AZ69)+'LINEST VARS'!$P$56*(12.73)+'LINEST VARS'!$O$56*(8^2)+'LINEST VARS'!$N$56*(8^2)+'LINEST VARS'!$M$56*($BS$56^2)+'LINEST VARS'!$L$56*($AZ69^2)+'LINEST VARS'!$K$56*(12.73^2)+'LINEST VARS'!$J$56*(8*8)+'LINEST VARS'!$I$56*(8*$BS$56)+'LINEST VARS'!$H$56*(8*$AZ69)+'LINEST VARS'!$G$56*(8*12.73)+'LINEST VARS'!$F$56*(8*$BS$56)+'LINEST VARS'!$E$56*(8*$AZ69)+'LINEST VARS'!$D$56*(8*12.73)+'LINEST VARS'!$C$56*($BS$56*$AZ69)+'LINEST VARS'!$B$56*($BS$56*12.73)+'LINEST VARS'!$A$56*($AZ69*12.73)</f>
        <v>2.6416000000000004</v>
      </c>
      <c r="BT69" s="51">
        <f>'LINEST VARS'!$U$56+'LINEST VARS'!$T$56*(8)+'LINEST VARS'!$S$56*(8)+'LINEST VARS'!$R$56*($BT$56)+'LINEST VARS'!$Q$56*($AZ69)+'LINEST VARS'!$P$56*(12.73)+'LINEST VARS'!$O$56*(8^2)+'LINEST VARS'!$N$56*(8^2)+'LINEST VARS'!$M$56*($BT$56^2)+'LINEST VARS'!$L$56*($AZ69^2)+'LINEST VARS'!$K$56*(12.73^2)+'LINEST VARS'!$J$56*(8*8)+'LINEST VARS'!$I$56*(8*$BT$56)+'LINEST VARS'!$H$56*(8*$AZ69)+'LINEST VARS'!$G$56*(8*12.73)+'LINEST VARS'!$F$56*(8*$BT$56)+'LINEST VARS'!$E$56*(8*$AZ69)+'LINEST VARS'!$D$56*(8*12.73)+'LINEST VARS'!$C$56*($BT$56*$AZ69)+'LINEST VARS'!$B$56*($BT$56*12.73)+'LINEST VARS'!$A$56*($AZ69*12.73)</f>
        <v>2.6024000000000007</v>
      </c>
      <c r="BU69" s="52">
        <f>'LINEST VARS'!$U$56+'LINEST VARS'!$T$56*(8)+'LINEST VARS'!$S$56*(8)+'LINEST VARS'!$R$56*($BU$56)+'LINEST VARS'!$Q$56*($AZ69)+'LINEST VARS'!$P$56*(12.73)+'LINEST VARS'!$O$56*(8^2)+'LINEST VARS'!$N$56*(8^2)+'LINEST VARS'!$M$56*($BU$56^2)+'LINEST VARS'!$L$56*($AZ69^2)+'LINEST VARS'!$K$56*(12.73^2)+'LINEST VARS'!$J$56*(8*8)+'LINEST VARS'!$I$56*(8*$BU$56)+'LINEST VARS'!$H$56*(8*$AZ69)+'LINEST VARS'!$G$56*(8*12.73)+'LINEST VARS'!$F$56*(8*$BU$56)+'LINEST VARS'!$E$56*(8*$AZ69)+'LINEST VARS'!$D$56*(8*12.73)+'LINEST VARS'!$C$56*($BU$56*$AZ69)+'LINEST VARS'!$B$56*($BU$56*12.73)+'LINEST VARS'!$A$56*($AZ69*12.73)</f>
        <v>2.5600000000000005</v>
      </c>
      <c r="BX69" s="45">
        <v>0.6</v>
      </c>
      <c r="BY69" s="51">
        <f>'LINEST VARS'!$U$58+'LINEST VARS'!$T$58*(8)+'LINEST VARS'!$S$58*(8)+'LINEST VARS'!$R$58*($BY$56)+'LINEST VARS'!$Q$58*($BX69)+'LINEST VARS'!$P$58*(12.73)+'LINEST VARS'!$O$58*(8^2)+'LINEST VARS'!$N$58*(8^2)+'LINEST VARS'!$M$58*($BY$56^2)+'LINEST VARS'!$L$58*($BX69^2)+'LINEST VARS'!$K$58*(12.73^2)+'LINEST VARS'!$J$58*(8*8)+'LINEST VARS'!$I$58*(8*$BY$56)+'LINEST VARS'!$H$58*(8*$BX69)+'LINEST VARS'!$G$58*(8*12.73)+'LINEST VARS'!$F$58*(8*$BY$56)+'LINEST VARS'!$E$58*(8*$BX69)+'LINEST VARS'!$D$58*(8*12.73)+'LINEST VARS'!$C$58*($BY$56*$BX69)+'LINEST VARS'!$B$58*($BY$56*12.73)+'LINEST VARS'!$A$58*($BX69*12.73)</f>
        <v>0.86365000000000036</v>
      </c>
      <c r="BZ69" s="51">
        <f>'LINEST VARS'!$U$58+'LINEST VARS'!$T$58*(8)+'LINEST VARS'!$S$58*(8)+'LINEST VARS'!$R$58*($BZ$56)+'LINEST VARS'!$Q$58*($BX69)+'LINEST VARS'!$P$58*(12.73)+'LINEST VARS'!$O$58*(8^2)+'LINEST VARS'!$N$58*(8^2)+'LINEST VARS'!$M$58*($BZ$56^2)+'LINEST VARS'!$L$58*($BX69^2)+'LINEST VARS'!$K$58*(12.73^2)+'LINEST VARS'!$J$58*(8*8)+'LINEST VARS'!$I$58*(8*$BZ$56)+'LINEST VARS'!$H$58*(8*$BX69)+'LINEST VARS'!$G$58*(8*12.73)+'LINEST VARS'!$F$58*(8*$BZ$56)+'LINEST VARS'!$E$58*(8*$BX69)+'LINEST VARS'!$D$58*(8*12.73)+'LINEST VARS'!$C$58*($BZ$56*$BX69)+'LINEST VARS'!$B$58*($BZ$56*12.73)+'LINEST VARS'!$A$58*($BX69*12.73)</f>
        <v>0.87165000000000037</v>
      </c>
      <c r="CA69" s="51">
        <f>'LINEST VARS'!$U$58+'LINEST VARS'!$T$58*(8)+'LINEST VARS'!$S$58*(8)+'LINEST VARS'!$R$58*($CA$56)+'LINEST VARS'!$Q$58*($BX69)+'LINEST VARS'!$P$58*(12.73)+'LINEST VARS'!$O$58*(8^2)+'LINEST VARS'!$N$58*(8^2)+'LINEST VARS'!$M$58*($CA$56^2)+'LINEST VARS'!$L$58*($BX69^2)+'LINEST VARS'!$K$58*(12.73^2)+'LINEST VARS'!$J$58*(8*8)+'LINEST VARS'!$I$58*(8*$CA$56)+'LINEST VARS'!$H$58*(8*$BX69)+'LINEST VARS'!$G$58*(8*12.73)+'LINEST VARS'!$F$58*(8*$CA$56)+'LINEST VARS'!$E$58*(8*$BX69)+'LINEST VARS'!$D$58*(8*12.73)+'LINEST VARS'!$C$58*($CA$56*$BX69)+'LINEST VARS'!$B$58*($CA$56*12.73)+'LINEST VARS'!$A$58*($BX69*12.73)</f>
        <v>0.87965000000000027</v>
      </c>
      <c r="CB69" s="51">
        <f>'LINEST VARS'!$U$58+'LINEST VARS'!$T$58*(8)+'LINEST VARS'!$S$58*(8)+'LINEST VARS'!$R$58*($CB$56)+'LINEST VARS'!$Q$58*($BX69)+'LINEST VARS'!$P$58*(12.73)+'LINEST VARS'!$O$58*(8^2)+'LINEST VARS'!$N$58*(8^2)+'LINEST VARS'!$M$58*($CB$56^2)+'LINEST VARS'!$L$58*($BX69^2)+'LINEST VARS'!$K$58*(12.73^2)+'LINEST VARS'!$J$58*(8*8)+'LINEST VARS'!$I$58*(8*$CB$56)+'LINEST VARS'!$H$58*(8*$BX69)+'LINEST VARS'!$G$58*(8*12.73)+'LINEST VARS'!$F$58*(8*$CB$56)+'LINEST VARS'!$E$58*(8*$BX69)+'LINEST VARS'!$D$58*(8*12.73)+'LINEST VARS'!$C$58*($CB$56*$BX69)+'LINEST VARS'!$B$58*($CB$56*12.73)+'LINEST VARS'!$A$58*($BX69*12.73)</f>
        <v>0.88765000000000027</v>
      </c>
      <c r="CC69" s="51">
        <f>'LINEST VARS'!$U$58+'LINEST VARS'!$T$58*(8)+'LINEST VARS'!$S$58*(8)+'LINEST VARS'!$R$58*($CC$56)+'LINEST VARS'!$Q$58*($BX69)+'LINEST VARS'!$P$58*(12.73)+'LINEST VARS'!$O$58*(8^2)+'LINEST VARS'!$N$58*(8^2)+'LINEST VARS'!$M$58*($CC$56^2)+'LINEST VARS'!$L$58*($BX69^2)+'LINEST VARS'!$K$58*(12.73^2)+'LINEST VARS'!$J$58*(8*8)+'LINEST VARS'!$I$58*(8*$CC$56)+'LINEST VARS'!$H$58*(8*$BX69)+'LINEST VARS'!$G$58*(8*12.73)+'LINEST VARS'!$F$58*(8*$CC$56)+'LINEST VARS'!$E$58*(8*$BX69)+'LINEST VARS'!$D$58*(8*12.73)+'LINEST VARS'!$C$58*($CC$56*$BX69)+'LINEST VARS'!$B$58*($CC$56*12.73)+'LINEST VARS'!$A$58*($BX69*12.73)</f>
        <v>0.89565000000000017</v>
      </c>
      <c r="CD69" s="51">
        <f>'LINEST VARS'!$U$58+'LINEST VARS'!$T$58*(8)+'LINEST VARS'!$S$58*(8)+'LINEST VARS'!$R$58*($CD$56)+'LINEST VARS'!$Q$58*($BX69)+'LINEST VARS'!$P$58*(12.73)+'LINEST VARS'!$O$58*(8^2)+'LINEST VARS'!$N$58*(8^2)+'LINEST VARS'!$M$58*($CD$56^2)+'LINEST VARS'!$L$58*($BX69^2)+'LINEST VARS'!$K$58*(12.73^2)+'LINEST VARS'!$J$58*(8*8)+'LINEST VARS'!$I$58*(8*$CD$56)+'LINEST VARS'!$H$58*(8*$BX69)+'LINEST VARS'!$G$58*(8*12.73)+'LINEST VARS'!$F$58*(8*$CD$56)+'LINEST VARS'!$E$58*(8*$BX69)+'LINEST VARS'!$D$58*(8*12.73)+'LINEST VARS'!$C$58*($CD$56*$BX69)+'LINEST VARS'!$B$58*($CD$56*12.73)+'LINEST VARS'!$A$58*($BX69*12.73)</f>
        <v>0.90365000000000029</v>
      </c>
      <c r="CE69" s="51">
        <f>'LINEST VARS'!$U$58+'LINEST VARS'!$T$58*(8)+'LINEST VARS'!$S$58*(8)+'LINEST VARS'!$R$58*($CE$56)+'LINEST VARS'!$Q$58*($BX69)+'LINEST VARS'!$P$58*(12.73)+'LINEST VARS'!$O$58*(8^2)+'LINEST VARS'!$N$58*(8^2)+'LINEST VARS'!$M$58*($CE$56^2)+'LINEST VARS'!$L$58*($BX69^2)+'LINEST VARS'!$K$58*(12.73^2)+'LINEST VARS'!$J$58*(8*8)+'LINEST VARS'!$I$58*(8*$CE$56)+'LINEST VARS'!$H$58*(8*$BX69)+'LINEST VARS'!$G$58*(8*12.73)+'LINEST VARS'!$F$58*(8*$CE$56)+'LINEST VARS'!$E$58*(8*$BX69)+'LINEST VARS'!$D$58*(8*12.73)+'LINEST VARS'!$C$58*($CE$56*$BX69)+'LINEST VARS'!$B$58*($CE$56*12.73)+'LINEST VARS'!$A$58*($BX69*12.73)</f>
        <v>0.91165000000000029</v>
      </c>
      <c r="CF69" s="51">
        <f>'LINEST VARS'!$U$58+'LINEST VARS'!$T$58*(8)+'LINEST VARS'!$S$58*(8)+'LINEST VARS'!$R$58*($CF$56)+'LINEST VARS'!$Q$58*($BX69)+'LINEST VARS'!$P$58*(12.73)+'LINEST VARS'!$O$58*(8^2)+'LINEST VARS'!$N$58*(8^2)+'LINEST VARS'!$M$58*($CF$56^2)+'LINEST VARS'!$L$58*($BX69^2)+'LINEST VARS'!$K$58*(12.73^2)+'LINEST VARS'!$J$58*(8*8)+'LINEST VARS'!$I$58*(8*$CF$56)+'LINEST VARS'!$H$58*(8*$BX69)+'LINEST VARS'!$G$58*(8*12.73)+'LINEST VARS'!$F$58*(8*$CF$56)+'LINEST VARS'!$E$58*(8*$BX69)+'LINEST VARS'!$D$58*(8*12.73)+'LINEST VARS'!$C$58*($CF$56*$BX69)+'LINEST VARS'!$B$58*($CF$56*12.73)+'LINEST VARS'!$A$58*($BX69*12.73)</f>
        <v>0.9196500000000003</v>
      </c>
      <c r="CG69" s="51">
        <f>'LINEST VARS'!$U$58+'LINEST VARS'!$T$58*(8)+'LINEST VARS'!$S$58*(8)+'LINEST VARS'!$R$58*($CG$56)+'LINEST VARS'!$Q$58*($BX69)+'LINEST VARS'!$P$58*(12.73)+'LINEST VARS'!$O$58*(8^2)+'LINEST VARS'!$N$58*(8^2)+'LINEST VARS'!$M$58*($CG$56^2)+'LINEST VARS'!$L$58*($BX69^2)+'LINEST VARS'!$K$58*(12.73^2)+'LINEST VARS'!$J$58*(8*8)+'LINEST VARS'!$I$58*(8*$CG$56)+'LINEST VARS'!$H$58*(8*$BX69)+'LINEST VARS'!$G$58*(8*12.73)+'LINEST VARS'!$F$58*(8*$CG$56)+'LINEST VARS'!$E$58*(8*$BX69)+'LINEST VARS'!$D$58*(8*12.73)+'LINEST VARS'!$C$58*($CG$56*$BX69)+'LINEST VARS'!$B$58*($CG$56*12.73)+'LINEST VARS'!$A$58*($BX69*12.73)</f>
        <v>0.92765000000000042</v>
      </c>
      <c r="CH69" s="51">
        <f>'LINEST VARS'!$U$58+'LINEST VARS'!$T$58*(8)+'LINEST VARS'!$S$58*(8)+'LINEST VARS'!$R$58*($CH$56)+'LINEST VARS'!$Q$58*($BX69)+'LINEST VARS'!$P$58*(12.73)+'LINEST VARS'!$O$58*(8^2)+'LINEST VARS'!$N$58*(8^2)+'LINEST VARS'!$M$58*($CH$56^2)+'LINEST VARS'!$L$58*($BX69^2)+'LINEST VARS'!$K$58*(12.73^2)+'LINEST VARS'!$J$58*(8*8)+'LINEST VARS'!$I$58*(8*$CH$56)+'LINEST VARS'!$H$58*(8*$BX69)+'LINEST VARS'!$G$58*(8*12.73)+'LINEST VARS'!$F$58*(8*$CH$56)+'LINEST VARS'!$E$58*(8*$BX69)+'LINEST VARS'!$D$58*(8*12.73)+'LINEST VARS'!$C$58*($CH$56*$BX69)+'LINEST VARS'!$B$58*($CH$56*12.73)+'LINEST VARS'!$A$58*($BX69*12.73)</f>
        <v>0.93565000000000031</v>
      </c>
      <c r="CI69" s="51">
        <f>'LINEST VARS'!$U$58+'LINEST VARS'!$T$58*(8)+'LINEST VARS'!$S$58*(8)+'LINEST VARS'!$R$58*($CI$56)+'LINEST VARS'!$Q$58*($BX69)+'LINEST VARS'!$P$58*(12.73)+'LINEST VARS'!$O$58*(8^2)+'LINEST VARS'!$N$58*(8^2)+'LINEST VARS'!$M$58*($CI$56^2)+'LINEST VARS'!$L$58*($BX69^2)+'LINEST VARS'!$K$58*(12.73^2)+'LINEST VARS'!$J$58*(8*8)+'LINEST VARS'!$I$58*(8*$CI$56)+'LINEST VARS'!$H$58*(8*$BX69)+'LINEST VARS'!$G$58*(8*12.73)+'LINEST VARS'!$F$58*(8*$CI$56)+'LINEST VARS'!$E$58*(8*$BX69)+'LINEST VARS'!$D$58*(8*12.73)+'LINEST VARS'!$C$58*($CI$56*$BX69)+'LINEST VARS'!$B$58*($CI$56*12.73)+'LINEST VARS'!$A$58*($BX69*12.73)</f>
        <v>0.94365000000000032</v>
      </c>
      <c r="CJ69" s="51">
        <f>'LINEST VARS'!$U$58+'LINEST VARS'!$T$58*(8)+'LINEST VARS'!$S$58*(8)+'LINEST VARS'!$R$58*($CJ$56)+'LINEST VARS'!$Q$58*($BX69)+'LINEST VARS'!$P$58*(12.73)+'LINEST VARS'!$O$58*(8^2)+'LINEST VARS'!$N$58*(8^2)+'LINEST VARS'!$M$58*($CJ$56^2)+'LINEST VARS'!$L$58*($BX69^2)+'LINEST VARS'!$K$58*(12.73^2)+'LINEST VARS'!$J$58*(8*8)+'LINEST VARS'!$I$58*(8*$CJ$56)+'LINEST VARS'!$H$58*(8*$BX69)+'LINEST VARS'!$G$58*(8*12.73)+'LINEST VARS'!$F$58*(8*$CJ$56)+'LINEST VARS'!$E$58*(8*$BX69)+'LINEST VARS'!$D$58*(8*12.73)+'LINEST VARS'!$C$58*($CJ$56*$BX69)+'LINEST VARS'!$B$58*($CJ$56*12.73)+'LINEST VARS'!$A$58*($BX69*12.73)</f>
        <v>0.95165000000000022</v>
      </c>
      <c r="CK69" s="51">
        <f>'LINEST VARS'!$U$58+'LINEST VARS'!$T$58*(8)+'LINEST VARS'!$S$58*(8)+'LINEST VARS'!$R$58*($CK$56)+'LINEST VARS'!$Q$58*($BX69)+'LINEST VARS'!$P$58*(12.73)+'LINEST VARS'!$O$58*(8^2)+'LINEST VARS'!$N$58*(8^2)+'LINEST VARS'!$M$58*($CK$56^2)+'LINEST VARS'!$L$58*($BX69^2)+'LINEST VARS'!$K$58*(12.73^2)+'LINEST VARS'!$J$58*(8*8)+'LINEST VARS'!$I$58*(8*$CK$56)+'LINEST VARS'!$H$58*(8*$BX69)+'LINEST VARS'!$G$58*(8*12.73)+'LINEST VARS'!$F$58*(8*$CK$56)+'LINEST VARS'!$E$58*(8*$BX69)+'LINEST VARS'!$D$58*(8*12.73)+'LINEST VARS'!$C$58*($CK$56*$BX69)+'LINEST VARS'!$B$58*($CK$56*12.73)+'LINEST VARS'!$A$58*($BX69*12.73)</f>
        <v>0.95965000000000023</v>
      </c>
      <c r="CL69" s="51">
        <f>'LINEST VARS'!$U$58+'LINEST VARS'!$T$58*(8)+'LINEST VARS'!$S$58*(8)+'LINEST VARS'!$R$58*($CL$56)+'LINEST VARS'!$Q$58*($BX69)+'LINEST VARS'!$P$58*(12.73)+'LINEST VARS'!$O$58*(8^2)+'LINEST VARS'!$N$58*(8^2)+'LINEST VARS'!$M$58*($CL$56^2)+'LINEST VARS'!$L$58*($BX69^2)+'LINEST VARS'!$K$58*(12.73^2)+'LINEST VARS'!$J$58*(8*8)+'LINEST VARS'!$I$58*(8*$CL$56)+'LINEST VARS'!$H$58*(8*$BX69)+'LINEST VARS'!$G$58*(8*12.73)+'LINEST VARS'!$F$58*(8*$CL$56)+'LINEST VARS'!$E$58*(8*$BX69)+'LINEST VARS'!$D$58*(8*12.73)+'LINEST VARS'!$C$58*($CL$56*$BX69)+'LINEST VARS'!$B$58*($CL$56*12.73)+'LINEST VARS'!$A$58*($BX69*12.73)</f>
        <v>0.96765000000000012</v>
      </c>
      <c r="CM69" s="51">
        <f>'LINEST VARS'!$U$58+'LINEST VARS'!$T$58*(8)+'LINEST VARS'!$S$58*(8)+'LINEST VARS'!$R$58*($CM$56)+'LINEST VARS'!$Q$58*($BX69)+'LINEST VARS'!$P$58*(12.73)+'LINEST VARS'!$O$58*(8^2)+'LINEST VARS'!$N$58*(8^2)+'LINEST VARS'!$M$58*($CM$56^2)+'LINEST VARS'!$L$58*($BX69^2)+'LINEST VARS'!$K$58*(12.73^2)+'LINEST VARS'!$J$58*(8*8)+'LINEST VARS'!$I$58*(8*$CM$56)+'LINEST VARS'!$H$58*(8*$BX69)+'LINEST VARS'!$G$58*(8*12.73)+'LINEST VARS'!$F$58*(8*$CM$56)+'LINEST VARS'!$E$58*(8*$BX69)+'LINEST VARS'!$D$58*(8*12.73)+'LINEST VARS'!$C$58*($CM$56*$BX69)+'LINEST VARS'!$B$58*($CM$56*12.73)+'LINEST VARS'!$A$58*($BX69*12.73)</f>
        <v>0.97565000000000024</v>
      </c>
      <c r="CN69" s="51">
        <f>'LINEST VARS'!$U$58+'LINEST VARS'!$T$58*(8)+'LINEST VARS'!$S$58*(8)+'LINEST VARS'!$R$58*($CN$56)+'LINEST VARS'!$Q$58*($BX69)+'LINEST VARS'!$P$58*(12.73)+'LINEST VARS'!$O$58*(8^2)+'LINEST VARS'!$N$58*(8^2)+'LINEST VARS'!$M$58*($CN$56^2)+'LINEST VARS'!$L$58*($BX69^2)+'LINEST VARS'!$K$58*(12.73^2)+'LINEST VARS'!$J$58*(8*8)+'LINEST VARS'!$I$58*(8*$CN$56)+'LINEST VARS'!$H$58*(8*$BX69)+'LINEST VARS'!$G$58*(8*12.73)+'LINEST VARS'!$F$58*(8*$CN$56)+'LINEST VARS'!$E$58*(8*$BX69)+'LINEST VARS'!$D$58*(8*12.73)+'LINEST VARS'!$C$58*($CN$56*$BX69)+'LINEST VARS'!$B$58*($CN$56*12.73)+'LINEST VARS'!$A$58*($BX69*12.73)</f>
        <v>0.98365000000000025</v>
      </c>
      <c r="CO69" s="51">
        <f>'LINEST VARS'!$U$58+'LINEST VARS'!$T$58*(8)+'LINEST VARS'!$S$58*(8)+'LINEST VARS'!$R$58*($CO$56)+'LINEST VARS'!$Q$58*($BX69)+'LINEST VARS'!$P$58*(12.73)+'LINEST VARS'!$O$58*(8^2)+'LINEST VARS'!$N$58*(8^2)+'LINEST VARS'!$M$58*($CO$56^2)+'LINEST VARS'!$L$58*($BX69^2)+'LINEST VARS'!$K$58*(12.73^2)+'LINEST VARS'!$J$58*(8*8)+'LINEST VARS'!$I$58*(8*$CO$56)+'LINEST VARS'!$H$58*(8*$BX69)+'LINEST VARS'!$G$58*(8*12.73)+'LINEST VARS'!$F$58*(8*$CO$56)+'LINEST VARS'!$E$58*(8*$BX69)+'LINEST VARS'!$D$58*(8*12.73)+'LINEST VARS'!$C$58*($CO$56*$BX69)+'LINEST VARS'!$B$58*($CO$56*12.73)+'LINEST VARS'!$A$58*($BX69*12.73)</f>
        <v>0.99165000000000036</v>
      </c>
      <c r="CP69" s="51">
        <f>'LINEST VARS'!$U$58+'LINEST VARS'!$T$58*(8)+'LINEST VARS'!$S$58*(8)+'LINEST VARS'!$R$58*($CP$56)+'LINEST VARS'!$Q$58*($BX69)+'LINEST VARS'!$P$58*(12.73)+'LINEST VARS'!$O$58*(8^2)+'LINEST VARS'!$N$58*(8^2)+'LINEST VARS'!$M$58*($CP$56^2)+'LINEST VARS'!$L$58*($BX69^2)+'LINEST VARS'!$K$58*(12.73^2)+'LINEST VARS'!$J$58*(8*8)+'LINEST VARS'!$I$58*(8*$CP$56)+'LINEST VARS'!$H$58*(8*$BX69)+'LINEST VARS'!$G$58*(8*12.73)+'LINEST VARS'!$F$58*(8*$CP$56)+'LINEST VARS'!$E$58*(8*$BX69)+'LINEST VARS'!$D$58*(8*12.73)+'LINEST VARS'!$C$58*($CP$56*$BX69)+'LINEST VARS'!$B$58*($CP$56*12.73)+'LINEST VARS'!$A$58*($BX69*12.73)</f>
        <v>0.99965000000000037</v>
      </c>
      <c r="CQ69" s="51">
        <f>'LINEST VARS'!$U$58+'LINEST VARS'!$T$58*(8)+'LINEST VARS'!$S$58*(8)+'LINEST VARS'!$R$58*($CQ$56)+'LINEST VARS'!$Q$58*($BX69)+'LINEST VARS'!$P$58*(12.73)+'LINEST VARS'!$O$58*(8^2)+'LINEST VARS'!$N$58*(8^2)+'LINEST VARS'!$M$58*($CQ$56^2)+'LINEST VARS'!$L$58*($BX69^2)+'LINEST VARS'!$K$58*(12.73^2)+'LINEST VARS'!$J$58*(8*8)+'LINEST VARS'!$I$58*(8*$CQ$56)+'LINEST VARS'!$H$58*(8*$BX69)+'LINEST VARS'!$G$58*(8*12.73)+'LINEST VARS'!$F$58*(8*$CQ$56)+'LINEST VARS'!$E$58*(8*$BX69)+'LINEST VARS'!$D$58*(8*12.73)+'LINEST VARS'!$C$58*($CQ$56*$BX69)+'LINEST VARS'!$B$58*($CQ$56*12.73)+'LINEST VARS'!$A$58*($BX69*12.73)</f>
        <v>1.0076500000000002</v>
      </c>
      <c r="CR69" s="51">
        <f>'LINEST VARS'!$U$58+'LINEST VARS'!$T$58*(8)+'LINEST VARS'!$S$58*(8)+'LINEST VARS'!$R$58*($CR$56)+'LINEST VARS'!$Q$58*($BX69)+'LINEST VARS'!$P$58*(12.73)+'LINEST VARS'!$O$58*(8^2)+'LINEST VARS'!$N$58*(8^2)+'LINEST VARS'!$M$58*($CR$56^2)+'LINEST VARS'!$L$58*($BX69^2)+'LINEST VARS'!$K$58*(12.73^2)+'LINEST VARS'!$J$58*(8*8)+'LINEST VARS'!$I$58*(8*$CR$56)+'LINEST VARS'!$H$58*(8*$BX69)+'LINEST VARS'!$G$58*(8*12.73)+'LINEST VARS'!$F$58*(8*$CR$56)+'LINEST VARS'!$E$58*(8*$BX69)+'LINEST VARS'!$D$58*(8*12.73)+'LINEST VARS'!$C$58*($CR$56*$BX69)+'LINEST VARS'!$B$58*($CR$56*12.73)+'LINEST VARS'!$A$58*($BX69*12.73)</f>
        <v>1.0156499999999999</v>
      </c>
      <c r="CS69" s="52">
        <f>'LINEST VARS'!$U$58+'LINEST VARS'!$T$58*(8)+'LINEST VARS'!$S$58*(8)+'LINEST VARS'!$R$58*($CS$56)+'LINEST VARS'!$Q$58*($BX69)+'LINEST VARS'!$P$58*(12.73)+'LINEST VARS'!$O$58*(8^2)+'LINEST VARS'!$N$58*(8^2)+'LINEST VARS'!$M$58*($CS$56^2)+'LINEST VARS'!$L$58*($BX69^2)+'LINEST VARS'!$K$58*(12.73^2)+'LINEST VARS'!$J$58*(8*8)+'LINEST VARS'!$I$58*(8*$CS$56)+'LINEST VARS'!$H$58*(8*$BX69)+'LINEST VARS'!$G$58*(8*12.73)+'LINEST VARS'!$F$58*(8*$CS$56)+'LINEST VARS'!$E$58*(8*$BX69)+'LINEST VARS'!$D$58*(8*12.73)+'LINEST VARS'!$C$58*($CS$56*$BX69)+'LINEST VARS'!$B$58*($CS$56*12.73)+'LINEST VARS'!$A$58*($BX69*12.73)</f>
        <v>1.0236500000000002</v>
      </c>
      <c r="CX69" s="45">
        <v>15.593999999999999</v>
      </c>
      <c r="CY69" s="51">
        <f>'LINEST VARS'!$U$56+'LINEST VARS'!$T$56*(8)+'LINEST VARS'!$S$56*(8)+'LINEST VARS'!$R$56*($CY$56)+'LINEST VARS'!$Q$56*(0.5)+'LINEST VARS'!$P$56*($CX69)+'LINEST VARS'!$O$56*(8^2)+'LINEST VARS'!$N$56*(8^2)+'LINEST VARS'!$M$56*($CY$56^2)+'LINEST VARS'!$L$56*(0.5^2)+'LINEST VARS'!$K$56*($CX69^2)+'LINEST VARS'!$J$56*(8*8)+'LINEST VARS'!$I$56*(8*$CY$56)+'LINEST VARS'!$H$56*(8*0.5)+'LINEST VARS'!$G$56*(8*$CX69)+'LINEST VARS'!$F$56*(8*$CY$56)+'LINEST VARS'!$E$56*(8*0.5)+'LINEST VARS'!$D$56*(8*$CX69)+'LINEST VARS'!$C$56*($CY$56*0.5)+'LINEST VARS'!$B$56*($CY$56*$CX69)+'LINEST VARS'!$A$56*(0.5*$CX69)</f>
        <v>2.8000000000000007</v>
      </c>
      <c r="CZ69" s="51">
        <f>'LINEST VARS'!$U$56+'LINEST VARS'!$T$56*(8)+'LINEST VARS'!$S$56*(8)+'LINEST VARS'!$R$56*($CZ$56)+'LINEST VARS'!$Q$56*(0.5)+'LINEST VARS'!$P$56*($CX69)+'LINEST VARS'!$O$56*(8^2)+'LINEST VARS'!$N$56*(8^2)+'LINEST VARS'!$M$56*($CZ$56^2)+'LINEST VARS'!$L$56*(0.5^2)+'LINEST VARS'!$K$56*($CX69^2)+'LINEST VARS'!$J$56*(8*8)+'LINEST VARS'!$I$56*(8*$CZ$56)+'LINEST VARS'!$H$56*(8*0.5)+'LINEST VARS'!$G$56*(8*$CX69)+'LINEST VARS'!$F$56*(8*$CZ$56)+'LINEST VARS'!$E$56*(8*0.5)+'LINEST VARS'!$D$56*(8*$CX69)+'LINEST VARS'!$C$56*($CZ$56*0.5)+'LINEST VARS'!$B$56*($CZ$56*$CX69)+'LINEST VARS'!$A$56*(0.5*$CX69)</f>
        <v>2.8184000000000009</v>
      </c>
      <c r="DA69" s="51">
        <f>'LINEST VARS'!$U$56+'LINEST VARS'!$T$56*(8)+'LINEST VARS'!$S$56*(8)+'LINEST VARS'!$R$56*($DA$56)+'LINEST VARS'!$Q$56*(0.5)+'LINEST VARS'!$P$56*($CX69)+'LINEST VARS'!$O$56*(8^2)+'LINEST VARS'!$N$56*(8^2)+'LINEST VARS'!$M$56*($DA$56^2)+'LINEST VARS'!$L$56*(0.5^2)+'LINEST VARS'!$K$56*($CX69^2)+'LINEST VARS'!$J$56*(8*8)+'LINEST VARS'!$I$56*(8*$DA$56)+'LINEST VARS'!$H$56*(8*0.5)+'LINEST VARS'!$G$56*(8*$CX69)+'LINEST VARS'!$F$56*(8*$DA$56)+'LINEST VARS'!$E$56*(8*0.5)+'LINEST VARS'!$D$56*(8*$CX69)+'LINEST VARS'!$C$56*($DA$56*0.5)+'LINEST VARS'!$B$56*($DA$56*$CX69)+'LINEST VARS'!$A$56*(0.5*$CX69)</f>
        <v>2.8336000000000006</v>
      </c>
      <c r="DB69" s="51">
        <f>'LINEST VARS'!$U$56+'LINEST VARS'!$T$56*(8)+'LINEST VARS'!$S$56*(8)+'LINEST VARS'!$R$56*($DB$56)+'LINEST VARS'!$Q$56*(0.5)+'LINEST VARS'!$P$56*($CX69)+'LINEST VARS'!$O$56*(8^2)+'LINEST VARS'!$N$56*(8^2)+'LINEST VARS'!$M$56*($DB$56^2)+'LINEST VARS'!$L$56*(0.5^2)+'LINEST VARS'!$K$56*($CX69^2)+'LINEST VARS'!$J$56*(8*8)+'LINEST VARS'!$I$56*(8*$DB$56)+'LINEST VARS'!$H$56*(8*0.5)+'LINEST VARS'!$G$56*(8*$CX69)+'LINEST VARS'!$F$56*(8*$DB$56)+'LINEST VARS'!$E$56*(8*0.5)+'LINEST VARS'!$D$56*(8*$CX69)+'LINEST VARS'!$C$56*($DB$56*0.5)+'LINEST VARS'!$B$56*($DB$56*$CX69)+'LINEST VARS'!$A$56*(0.5*$CX69)</f>
        <v>2.8456000000000006</v>
      </c>
      <c r="DC69" s="51">
        <f>'LINEST VARS'!$U$56+'LINEST VARS'!$T$56*(8)+'LINEST VARS'!$S$56*(8)+'LINEST VARS'!$R$56*($DC$56)+'LINEST VARS'!$Q$56*(0.5)+'LINEST VARS'!$P$56*($CX69)+'LINEST VARS'!$O$56*(8^2)+'LINEST VARS'!$N$56*(8^2)+'LINEST VARS'!$M$56*($DC$56^2)+'LINEST VARS'!$L$56*(0.5^2)+'LINEST VARS'!$K$56*($CX69^2)+'LINEST VARS'!$J$56*(8*8)+'LINEST VARS'!$I$56*(8*$DC$56)+'LINEST VARS'!$H$56*(8*0.5)+'LINEST VARS'!$G$56*(8*$CX69)+'LINEST VARS'!$F$56*(8*$DC$56)+'LINEST VARS'!$E$56*(8*0.5)+'LINEST VARS'!$D$56*(8*$CX69)+'LINEST VARS'!$C$56*($DC$56*0.5)+'LINEST VARS'!$B$56*($DC$56*$CX69)+'LINEST VARS'!$A$56*(0.5*$CX69)</f>
        <v>2.8544000000000009</v>
      </c>
      <c r="DD69" s="51">
        <f>'LINEST VARS'!$U$56+'LINEST VARS'!$T$56*(8)+'LINEST VARS'!$S$56*(8)+'LINEST VARS'!$R$56*($DD$56)+'LINEST VARS'!$Q$56*(0.5)+'LINEST VARS'!$P$56*($CX69)+'LINEST VARS'!$O$56*(8^2)+'LINEST VARS'!$N$56*(8^2)+'LINEST VARS'!$M$56*($DD$56^2)+'LINEST VARS'!$L$56*(0.5^2)+'LINEST VARS'!$K$56*($CX69^2)+'LINEST VARS'!$J$56*(8*8)+'LINEST VARS'!$I$56*(8*$DD$56)+'LINEST VARS'!$H$56*(8*0.5)+'LINEST VARS'!$G$56*(8*$CX69)+'LINEST VARS'!$F$56*(8*$DD$56)+'LINEST VARS'!$E$56*(8*0.5)+'LINEST VARS'!$D$56*(8*$CX69)+'LINEST VARS'!$C$56*($DD$56*0.5)+'LINEST VARS'!$B$56*($DD$56*$CX69)+'LINEST VARS'!$A$56*(0.5*$CX69)</f>
        <v>2.8600000000000008</v>
      </c>
      <c r="DE69" s="51">
        <f>'LINEST VARS'!$U$56+'LINEST VARS'!$T$56*(8)+'LINEST VARS'!$S$56*(8)+'LINEST VARS'!$R$56*($DE$56)+'LINEST VARS'!$Q$56*(0.5)+'LINEST VARS'!$P$56*($CX69)+'LINEST VARS'!$O$56*(8^2)+'LINEST VARS'!$N$56*(8^2)+'LINEST VARS'!$M$56*($DE$56^2)+'LINEST VARS'!$L$56*(0.5^2)+'LINEST VARS'!$K$56*($CX69^2)+'LINEST VARS'!$J$56*(8*8)+'LINEST VARS'!$I$56*(8*$DE$56)+'LINEST VARS'!$H$56*(8*0.5)+'LINEST VARS'!$G$56*(8*$CX69)+'LINEST VARS'!$F$56*(8*$DE$56)+'LINEST VARS'!$E$56*(8*0.5)+'LINEST VARS'!$D$56*(8*$CX69)+'LINEST VARS'!$C$56*($DE$56*0.5)+'LINEST VARS'!$B$56*($DE$56*$CX69)+'LINEST VARS'!$A$56*(0.5*$CX69)</f>
        <v>2.8624000000000009</v>
      </c>
      <c r="DF69" s="51">
        <f>'LINEST VARS'!$U$56+'LINEST VARS'!$T$56*(8)+'LINEST VARS'!$S$56*(8)+'LINEST VARS'!$R$56*($DF$56)+'LINEST VARS'!$Q$56*(0.5)+'LINEST VARS'!$P$56*($CX69)+'LINEST VARS'!$O$56*(8^2)+'LINEST VARS'!$N$56*(8^2)+'LINEST VARS'!$M$56*($DF$56^2)+'LINEST VARS'!$L$56*(0.5^2)+'LINEST VARS'!$K$56*($CX69^2)+'LINEST VARS'!$J$56*(8*8)+'LINEST VARS'!$I$56*(8*$DF$56)+'LINEST VARS'!$H$56*(8*0.5)+'LINEST VARS'!$G$56*(8*$CX69)+'LINEST VARS'!$F$56*(8*$DF$56)+'LINEST VARS'!$E$56*(8*0.5)+'LINEST VARS'!$D$56*(8*$CX69)+'LINEST VARS'!$C$56*($DF$56*0.5)+'LINEST VARS'!$B$56*($DF$56*$CX69)+'LINEST VARS'!$A$56*(0.5*$CX69)</f>
        <v>2.8616000000000006</v>
      </c>
      <c r="DG69" s="51">
        <f>'LINEST VARS'!$U$56+'LINEST VARS'!$T$56*(8)+'LINEST VARS'!$S$56*(8)+'LINEST VARS'!$R$56*($DG$56)+'LINEST VARS'!$Q$56*(0.5)+'LINEST VARS'!$P$56*($CX69)+'LINEST VARS'!$O$56*(8^2)+'LINEST VARS'!$N$56*(8^2)+'LINEST VARS'!$M$56*($DG$56^2)+'LINEST VARS'!$L$56*(0.5^2)+'LINEST VARS'!$K$56*($CX69^2)+'LINEST VARS'!$J$56*(8*8)+'LINEST VARS'!$I$56*(8*$DG$56)+'LINEST VARS'!$H$56*(8*0.5)+'LINEST VARS'!$G$56*(8*$CX69)+'LINEST VARS'!$F$56*(8*$DG$56)+'LINEST VARS'!$E$56*(8*0.5)+'LINEST VARS'!$D$56*(8*$CX69)+'LINEST VARS'!$C$56*($DG$56*0.5)+'LINEST VARS'!$B$56*($DG$56*$CX69)+'LINEST VARS'!$A$56*(0.5*$CX69)</f>
        <v>2.8576000000000006</v>
      </c>
      <c r="DH69" s="51">
        <f>'LINEST VARS'!$U$56+'LINEST VARS'!$T$56*(8)+'LINEST VARS'!$S$56*(8)+'LINEST VARS'!$R$56*($DH$56)+'LINEST VARS'!$Q$56*(0.5)+'LINEST VARS'!$P$56*($CX69)+'LINEST VARS'!$O$56*(8^2)+'LINEST VARS'!$N$56*(8^2)+'LINEST VARS'!$M$56*($DH$56^2)+'LINEST VARS'!$L$56*(0.5^2)+'LINEST VARS'!$K$56*($CX69^2)+'LINEST VARS'!$J$56*(8*8)+'LINEST VARS'!$I$56*(8*$DH$56)+'LINEST VARS'!$H$56*(8*0.5)+'LINEST VARS'!$G$56*(8*$CX69)+'LINEST VARS'!$F$56*(8*$DH$56)+'LINEST VARS'!$E$56*(8*0.5)+'LINEST VARS'!$D$56*(8*$CX69)+'LINEST VARS'!$C$56*($DH$56*0.5)+'LINEST VARS'!$B$56*($DH$56*$CX69)+'LINEST VARS'!$A$56*(0.5*$CX69)</f>
        <v>2.8504000000000009</v>
      </c>
      <c r="DI69" s="51">
        <f>'LINEST VARS'!$U$56+'LINEST VARS'!$T$56*(8)+'LINEST VARS'!$S$56*(8)+'LINEST VARS'!$R$56*($DI$56)+'LINEST VARS'!$Q$56*(0.5)+'LINEST VARS'!$P$56*($CX69)+'LINEST VARS'!$O$56*(8^2)+'LINEST VARS'!$N$56*(8^2)+'LINEST VARS'!$M$56*($DI$56^2)+'LINEST VARS'!$L$56*(0.5^2)+'LINEST VARS'!$K$56*($CX69^2)+'LINEST VARS'!$J$56*(8*8)+'LINEST VARS'!$I$56*(8*$DI$56)+'LINEST VARS'!$H$56*(8*0.5)+'LINEST VARS'!$G$56*(8*$CX69)+'LINEST VARS'!$F$56*(8*$DI$56)+'LINEST VARS'!$E$56*(8*0.5)+'LINEST VARS'!$D$56*(8*$CX69)+'LINEST VARS'!$C$56*($DI$56*0.5)+'LINEST VARS'!$B$56*($DI$56*$CX69)+'LINEST VARS'!$A$56*(0.5*$CX69)</f>
        <v>2.8400000000000007</v>
      </c>
      <c r="DJ69" s="51">
        <f>'LINEST VARS'!$U$56+'LINEST VARS'!$T$56*(8)+'LINEST VARS'!$S$56*(8)+'LINEST VARS'!$R$56*($DJ$56)+'LINEST VARS'!$Q$56*(0.5)+'LINEST VARS'!$P$56*($CX69)+'LINEST VARS'!$O$56*(8^2)+'LINEST VARS'!$N$56*(8^2)+'LINEST VARS'!$M$56*($DJ$56^2)+'LINEST VARS'!$L$56*(0.5^2)+'LINEST VARS'!$K$56*($CX69^2)+'LINEST VARS'!$J$56*(8*8)+'LINEST VARS'!$I$56*(8*$DJ$56)+'LINEST VARS'!$H$56*(8*0.5)+'LINEST VARS'!$G$56*(8*$CX69)+'LINEST VARS'!$F$56*(8*$DJ$56)+'LINEST VARS'!$E$56*(8*0.5)+'LINEST VARS'!$D$56*(8*$CX69)+'LINEST VARS'!$C$56*($DJ$56*0.5)+'LINEST VARS'!$B$56*($DJ$56*$CX69)+'LINEST VARS'!$A$56*(0.5*$CX69)</f>
        <v>2.8264000000000009</v>
      </c>
      <c r="DK69" s="51">
        <f>'LINEST VARS'!$U$56+'LINEST VARS'!$T$56*(8)+'LINEST VARS'!$S$56*(8)+'LINEST VARS'!$R$56*($DK$56)+'LINEST VARS'!$Q$56*(0.5)+'LINEST VARS'!$P$56*($CX69)+'LINEST VARS'!$O$56*(8^2)+'LINEST VARS'!$N$56*(8^2)+'LINEST VARS'!$M$56*($DK$56^2)+'LINEST VARS'!$L$56*(0.5^2)+'LINEST VARS'!$K$56*($CX69^2)+'LINEST VARS'!$J$56*(8*8)+'LINEST VARS'!$I$56*(8*$DK$56)+'LINEST VARS'!$H$56*(8*0.5)+'LINEST VARS'!$G$56*(8*$CX69)+'LINEST VARS'!$F$56*(8*$DK$56)+'LINEST VARS'!$E$56*(8*0.5)+'LINEST VARS'!$D$56*(8*$CX69)+'LINEST VARS'!$C$56*($DK$56*0.5)+'LINEST VARS'!$B$56*($DK$56*$CX69)+'LINEST VARS'!$A$56*(0.5*$CX69)</f>
        <v>2.8096000000000005</v>
      </c>
      <c r="DL69" s="51">
        <f>'LINEST VARS'!$U$56+'LINEST VARS'!$T$56*(8)+'LINEST VARS'!$S$56*(8)+'LINEST VARS'!$R$56*($DL$56)+'LINEST VARS'!$Q$56*(0.5)+'LINEST VARS'!$P$56*($CX69)+'LINEST VARS'!$O$56*(8^2)+'LINEST VARS'!$N$56*(8^2)+'LINEST VARS'!$M$56*($DL$56^2)+'LINEST VARS'!$L$56*(0.5^2)+'LINEST VARS'!$K$56*($CX69^2)+'LINEST VARS'!$J$56*(8*8)+'LINEST VARS'!$I$56*(8*$DL$56)+'LINEST VARS'!$H$56*(8*0.5)+'LINEST VARS'!$G$56*(8*$CX69)+'LINEST VARS'!$F$56*(8*$DL$56)+'LINEST VARS'!$E$56*(8*0.5)+'LINEST VARS'!$D$56*(8*$CX69)+'LINEST VARS'!$C$56*($DL$56*0.5)+'LINEST VARS'!$B$56*($DL$56*$CX69)+'LINEST VARS'!$A$56*(0.5*$CX69)</f>
        <v>2.7896000000000005</v>
      </c>
      <c r="DM69" s="51">
        <f>'LINEST VARS'!$U$56+'LINEST VARS'!$T$56*(8)+'LINEST VARS'!$S$56*(8)+'LINEST VARS'!$R$56*($DM$56)+'LINEST VARS'!$Q$56*(0.5)+'LINEST VARS'!$P$56*($CX69)+'LINEST VARS'!$O$56*(8^2)+'LINEST VARS'!$N$56*(8^2)+'LINEST VARS'!$M$56*($DM$56^2)+'LINEST VARS'!$L$56*(0.5^2)+'LINEST VARS'!$K$56*($CX69^2)+'LINEST VARS'!$J$56*(8*8)+'LINEST VARS'!$I$56*(8*$DM$56)+'LINEST VARS'!$H$56*(8*0.5)+'LINEST VARS'!$G$56*(8*$CX69)+'LINEST VARS'!$F$56*(8*$DM$56)+'LINEST VARS'!$E$56*(8*0.5)+'LINEST VARS'!$D$56*(8*$CX69)+'LINEST VARS'!$C$56*($DM$56*0.5)+'LINEST VARS'!$B$56*($DM$56*$CX69)+'LINEST VARS'!$A$56*(0.5*$CX69)</f>
        <v>2.7664000000000009</v>
      </c>
      <c r="DN69" s="51">
        <f>'LINEST VARS'!$U$56+'LINEST VARS'!$T$56*(8)+'LINEST VARS'!$S$56*(8)+'LINEST VARS'!$R$56*($DN$56)+'LINEST VARS'!$Q$56*(0.5)+'LINEST VARS'!$P$56*($CX69)+'LINEST VARS'!$O$56*(8^2)+'LINEST VARS'!$N$56*(8^2)+'LINEST VARS'!$M$56*($DN$56^2)+'LINEST VARS'!$L$56*(0.5^2)+'LINEST VARS'!$K$56*($CX69^2)+'LINEST VARS'!$J$56*(8*8)+'LINEST VARS'!$I$56*(8*$DN$56)+'LINEST VARS'!$H$56*(8*0.5)+'LINEST VARS'!$G$56*(8*$CX69)+'LINEST VARS'!$F$56*(8*$DN$56)+'LINEST VARS'!$E$56*(8*0.5)+'LINEST VARS'!$D$56*(8*$CX69)+'LINEST VARS'!$C$56*($DN$56*0.5)+'LINEST VARS'!$B$56*($DN$56*$CX69)+'LINEST VARS'!$A$56*(0.5*$CX69)</f>
        <v>2.7400000000000007</v>
      </c>
      <c r="DO69" s="51">
        <f>'LINEST VARS'!$U$56+'LINEST VARS'!$T$56*(8)+'LINEST VARS'!$S$56*(8)+'LINEST VARS'!$R$56*($DO$56)+'LINEST VARS'!$Q$56*(0.5)+'LINEST VARS'!$P$56*($CX69)+'LINEST VARS'!$O$56*(8^2)+'LINEST VARS'!$N$56*(8^2)+'LINEST VARS'!$M$56*($DO$56^2)+'LINEST VARS'!$L$56*(0.5^2)+'LINEST VARS'!$K$56*($CX69^2)+'LINEST VARS'!$J$56*(8*8)+'LINEST VARS'!$I$56*(8*$DO$56)+'LINEST VARS'!$H$56*(8*0.5)+'LINEST VARS'!$G$56*(8*$CX69)+'LINEST VARS'!$F$56*(8*$DO$56)+'LINEST VARS'!$E$56*(8*0.5)+'LINEST VARS'!$D$56*(8*$CX69)+'LINEST VARS'!$C$56*($DO$56*0.5)+'LINEST VARS'!$B$56*($DO$56*$CX69)+'LINEST VARS'!$A$56*(0.5*$CX69)</f>
        <v>2.7104000000000004</v>
      </c>
      <c r="DP69" s="51">
        <f>'LINEST VARS'!$U$56+'LINEST VARS'!$T$56*(8)+'LINEST VARS'!$S$56*(8)+'LINEST VARS'!$R$56*($DP$56)+'LINEST VARS'!$Q$56*(0.5)+'LINEST VARS'!$P$56*($CX69)+'LINEST VARS'!$O$56*(8^2)+'LINEST VARS'!$N$56*(8^2)+'LINEST VARS'!$M$56*($DP$56^2)+'LINEST VARS'!$L$56*(0.5^2)+'LINEST VARS'!$K$56*($CX69^2)+'LINEST VARS'!$J$56*(8*8)+'LINEST VARS'!$I$56*(8*$DP$56)+'LINEST VARS'!$H$56*(8*0.5)+'LINEST VARS'!$G$56*(8*$CX69)+'LINEST VARS'!$F$56*(8*$DP$56)+'LINEST VARS'!$E$56*(8*0.5)+'LINEST VARS'!$D$56*(8*$CX69)+'LINEST VARS'!$C$56*($DP$56*0.5)+'LINEST VARS'!$B$56*($DP$56*$CX69)+'LINEST VARS'!$A$56*(0.5*$CX69)</f>
        <v>2.6776000000000004</v>
      </c>
      <c r="DQ69" s="51">
        <f>'LINEST VARS'!$U$56+'LINEST VARS'!$T$56*(8)+'LINEST VARS'!$S$56*(8)+'LINEST VARS'!$R$56*($DQ$56)+'LINEST VARS'!$Q$56*(0.5)+'LINEST VARS'!$P$56*($CX69)+'LINEST VARS'!$O$56*(8^2)+'LINEST VARS'!$N$56*(8^2)+'LINEST VARS'!$M$56*($DQ$56^2)+'LINEST VARS'!$L$56*(0.5^2)+'LINEST VARS'!$K$56*($CX69^2)+'LINEST VARS'!$J$56*(8*8)+'LINEST VARS'!$I$56*(8*$DQ$56)+'LINEST VARS'!$H$56*(8*0.5)+'LINEST VARS'!$G$56*(8*$CX69)+'LINEST VARS'!$F$56*(8*$DQ$56)+'LINEST VARS'!$E$56*(8*0.5)+'LINEST VARS'!$D$56*(8*$CX69)+'LINEST VARS'!$C$56*($DQ$56*0.5)+'LINEST VARS'!$B$56*($DQ$56*$CX69)+'LINEST VARS'!$A$56*(0.5*$CX69)</f>
        <v>2.6416000000000004</v>
      </c>
      <c r="DR69" s="51">
        <f>'LINEST VARS'!$U$56+'LINEST VARS'!$T$56*(8)+'LINEST VARS'!$S$56*(8)+'LINEST VARS'!$R$56*($DR$56)+'LINEST VARS'!$Q$56*(0.5)+'LINEST VARS'!$P$56*($CX69)+'LINEST VARS'!$O$56*(8^2)+'LINEST VARS'!$N$56*(8^2)+'LINEST VARS'!$M$56*($DR$56^2)+'LINEST VARS'!$L$56*(0.5^2)+'LINEST VARS'!$K$56*($CX69^2)+'LINEST VARS'!$J$56*(8*8)+'LINEST VARS'!$I$56*(8*$DR$56)+'LINEST VARS'!$H$56*(8*0.5)+'LINEST VARS'!$G$56*(8*$CX69)+'LINEST VARS'!$F$56*(8*$DR$56)+'LINEST VARS'!$E$56*(8*0.5)+'LINEST VARS'!$D$56*(8*$CX69)+'LINEST VARS'!$C$56*($DR$56*0.5)+'LINEST VARS'!$B$56*($DR$56*$CX69)+'LINEST VARS'!$A$56*(0.5*$CX69)</f>
        <v>2.6024000000000007</v>
      </c>
      <c r="DS69" s="52">
        <f>'LINEST VARS'!$U$56+'LINEST VARS'!$T$56*(8)+'LINEST VARS'!$S$56*(8)+'LINEST VARS'!$R$56*($DS$56)+'LINEST VARS'!$Q$56*(0.5)+'LINEST VARS'!$P$56*($CX69)+'LINEST VARS'!$O$56*(8^2)+'LINEST VARS'!$N$56*(8^2)+'LINEST VARS'!$M$56*($DS$56^2)+'LINEST VARS'!$L$56*(0.5^2)+'LINEST VARS'!$K$56*($CX69^2)+'LINEST VARS'!$J$56*(8*8)+'LINEST VARS'!$I$56*(8*$DS$56)+'LINEST VARS'!$H$56*(8*0.5)+'LINEST VARS'!$G$56*(8*$CX69)+'LINEST VARS'!$F$56*(8*$DS$56)+'LINEST VARS'!$E$56*(8*0.5)+'LINEST VARS'!$D$56*(8*$CX69)+'LINEST VARS'!$C$56*($DS$56*0.5)+'LINEST VARS'!$B$56*($DS$56*$CX69)+'LINEST VARS'!$A$56*(0.5*$CX69)</f>
        <v>2.56</v>
      </c>
      <c r="DV69" s="45">
        <v>15.593999999999999</v>
      </c>
      <c r="DW69" s="51">
        <f>'LINEST VARS'!$U$58+'LINEST VARS'!$T$58*(8)+'LINEST VARS'!$S$58*(8)+'LINEST VARS'!$R$58*($DW$56)+'LINEST VARS'!$Q$58*(0.5)+'LINEST VARS'!$P$58*($DV69)+'LINEST VARS'!$O$58*(8^2)+'LINEST VARS'!$N$58*(8^2)+'LINEST VARS'!$M$58*($DW$56^2)+'LINEST VARS'!$L$58*(0.5^2)+'LINEST VARS'!$K$58*($DV69^2)+'LINEST VARS'!$J$58*(8*8)+'LINEST VARS'!$I$58*(8*$DW$56)+'LINEST VARS'!$H$58*(8*0.5)+'LINEST VARS'!$G$58*(8*$DV69)+'LINEST VARS'!$F$58*(8*$DW$56)+'LINEST VARS'!$E$58*(8*0.5)+'LINEST VARS'!$D$58*(8*$DV69)+'LINEST VARS'!$C$58*($DW$56*0.5)+'LINEST VARS'!$B$58*($DW$56*$DV69)+'LINEST VARS'!$A$58*(0.5*$DV69)</f>
        <v>0.87797000000000036</v>
      </c>
      <c r="DX69" s="51">
        <f>'LINEST VARS'!$U$58+'LINEST VARS'!$T$58*(8)+'LINEST VARS'!$S$58*(8)+'LINEST VARS'!$R$58*($DX$56)+'LINEST VARS'!$Q$58*(0.5)+'LINEST VARS'!$P$58*($DV69)+'LINEST VARS'!$O$58*(8^2)+'LINEST VARS'!$N$58*(8^2)+'LINEST VARS'!$M$58*($DX$56^2)+'LINEST VARS'!$L$58*(0.5^2)+'LINEST VARS'!$K$58*($DV69^2)+'LINEST VARS'!$J$58*(8*8)+'LINEST VARS'!$I$58*(8*$DX$56)+'LINEST VARS'!$H$58*(8*0.5)+'LINEST VARS'!$G$58*(8*$DV69)+'LINEST VARS'!$F$58*(8*$DX$56)+'LINEST VARS'!$E$58*(8*0.5)+'LINEST VARS'!$D$58*(8*$DV69)+'LINEST VARS'!$C$58*($DX$56*0.5)+'LINEST VARS'!$B$58*($DX$56*$DV69)+'LINEST VARS'!$A$58*(0.5*$DV69)</f>
        <v>0.88597000000000037</v>
      </c>
      <c r="DY69" s="51">
        <f>'LINEST VARS'!$U$58+'LINEST VARS'!$T$58*(8)+'LINEST VARS'!$S$58*(8)+'LINEST VARS'!$R$58*($DY$56)+'LINEST VARS'!$Q$58*(0.5)+'LINEST VARS'!$P$58*($DV69)+'LINEST VARS'!$O$58*(8^2)+'LINEST VARS'!$N$58*(8^2)+'LINEST VARS'!$M$58*($DY$56^2)+'LINEST VARS'!$L$58*(0.5^2)+'LINEST VARS'!$K$58*($DV69^2)+'LINEST VARS'!$J$58*(8*8)+'LINEST VARS'!$I$58*(8*$DY$56)+'LINEST VARS'!$H$58*(8*0.5)+'LINEST VARS'!$G$58*(8*$DV69)+'LINEST VARS'!$F$58*(8*$DY$56)+'LINEST VARS'!$E$58*(8*0.5)+'LINEST VARS'!$D$58*(8*$DV69)+'LINEST VARS'!$C$58*($DY$56*0.5)+'LINEST VARS'!$B$58*($DY$56*$DV69)+'LINEST VARS'!$A$58*(0.5*$DV69)</f>
        <v>0.89397000000000026</v>
      </c>
      <c r="DZ69" s="51">
        <f>'LINEST VARS'!$U$58+'LINEST VARS'!$T$58*(8)+'LINEST VARS'!$S$58*(8)+'LINEST VARS'!$R$58*($DZ$56)+'LINEST VARS'!$Q$58*(0.5)+'LINEST VARS'!$P$58*($DV69)+'LINEST VARS'!$O$58*(8^2)+'LINEST VARS'!$N$58*(8^2)+'LINEST VARS'!$M$58*($DZ$56^2)+'LINEST VARS'!$L$58*(0.5^2)+'LINEST VARS'!$K$58*($DV69^2)+'LINEST VARS'!$J$58*(8*8)+'LINEST VARS'!$I$58*(8*$DZ$56)+'LINEST VARS'!$H$58*(8*0.5)+'LINEST VARS'!$G$58*(8*$DV69)+'LINEST VARS'!$F$58*(8*$DZ$56)+'LINEST VARS'!$E$58*(8*0.5)+'LINEST VARS'!$D$58*(8*$DV69)+'LINEST VARS'!$C$58*($DZ$56*0.5)+'LINEST VARS'!$B$58*($DZ$56*$DV69)+'LINEST VARS'!$A$58*(0.5*$DV69)</f>
        <v>0.90197000000000027</v>
      </c>
      <c r="EA69" s="51">
        <f>'LINEST VARS'!$U$58+'LINEST VARS'!$T$58*(8)+'LINEST VARS'!$S$58*(8)+'LINEST VARS'!$R$58*($EA$56)+'LINEST VARS'!$Q$58*(0.5)+'LINEST VARS'!$P$58*($DV69)+'LINEST VARS'!$O$58*(8^2)+'LINEST VARS'!$N$58*(8^2)+'LINEST VARS'!$M$58*($EA$56^2)+'LINEST VARS'!$L$58*(0.5^2)+'LINEST VARS'!$K$58*($DV69^2)+'LINEST VARS'!$J$58*(8*8)+'LINEST VARS'!$I$58*(8*$EA$56)+'LINEST VARS'!$H$58*(8*0.5)+'LINEST VARS'!$G$58*(8*$DV69)+'LINEST VARS'!$F$58*(8*$EA$56)+'LINEST VARS'!$E$58*(8*0.5)+'LINEST VARS'!$D$58*(8*$DV69)+'LINEST VARS'!$C$58*($EA$56*0.5)+'LINEST VARS'!$B$58*($EA$56*$DV69)+'LINEST VARS'!$A$58*(0.5*$DV69)</f>
        <v>0.90997000000000017</v>
      </c>
      <c r="EB69" s="51">
        <f>'LINEST VARS'!$U$58+'LINEST VARS'!$T$58*(8)+'LINEST VARS'!$S$58*(8)+'LINEST VARS'!$R$58*($EB$56)+'LINEST VARS'!$Q$58*(0.5)+'LINEST VARS'!$P$58*($DV69)+'LINEST VARS'!$O$58*(8^2)+'LINEST VARS'!$N$58*(8^2)+'LINEST VARS'!$M$58*($EB$56^2)+'LINEST VARS'!$L$58*(0.5^2)+'LINEST VARS'!$K$58*($DV69^2)+'LINEST VARS'!$J$58*(8*8)+'LINEST VARS'!$I$58*(8*$EB$56)+'LINEST VARS'!$H$58*(8*0.5)+'LINEST VARS'!$G$58*(8*$DV69)+'LINEST VARS'!$F$58*(8*$EB$56)+'LINEST VARS'!$E$58*(8*0.5)+'LINEST VARS'!$D$58*(8*$DV69)+'LINEST VARS'!$C$58*($EB$56*0.5)+'LINEST VARS'!$B$58*($EB$56*$DV69)+'LINEST VARS'!$A$58*(0.5*$DV69)</f>
        <v>0.91797000000000029</v>
      </c>
      <c r="EC69" s="51">
        <f>'LINEST VARS'!$U$58+'LINEST VARS'!$T$58*(8)+'LINEST VARS'!$S$58*(8)+'LINEST VARS'!$R$58*($EC$56)+'LINEST VARS'!$Q$58*(0.5)+'LINEST VARS'!$P$58*($DV69)+'LINEST VARS'!$O$58*(8^2)+'LINEST VARS'!$N$58*(8^2)+'LINEST VARS'!$M$58*($EC$56^2)+'LINEST VARS'!$L$58*(0.5^2)+'LINEST VARS'!$K$58*($DV69^2)+'LINEST VARS'!$J$58*(8*8)+'LINEST VARS'!$I$58*(8*$EC$56)+'LINEST VARS'!$H$58*(8*0.5)+'LINEST VARS'!$G$58*(8*$DV69)+'LINEST VARS'!$F$58*(8*$EC$56)+'LINEST VARS'!$E$58*(8*0.5)+'LINEST VARS'!$D$58*(8*$DV69)+'LINEST VARS'!$C$58*($EC$56*0.5)+'LINEST VARS'!$B$58*($EC$56*$DV69)+'LINEST VARS'!$A$58*(0.5*$DV69)</f>
        <v>0.92597000000000029</v>
      </c>
      <c r="ED69" s="51">
        <f>'LINEST VARS'!$U$58+'LINEST VARS'!$T$58*(8)+'LINEST VARS'!$S$58*(8)+'LINEST VARS'!$R$58*($ED$56)+'LINEST VARS'!$Q$58*(0.5)+'LINEST VARS'!$P$58*($DV69)+'LINEST VARS'!$O$58*(8^2)+'LINEST VARS'!$N$58*(8^2)+'LINEST VARS'!$M$58*($ED$56^2)+'LINEST VARS'!$L$58*(0.5^2)+'LINEST VARS'!$K$58*($DV69^2)+'LINEST VARS'!$J$58*(8*8)+'LINEST VARS'!$I$58*(8*$ED$56)+'LINEST VARS'!$H$58*(8*0.5)+'LINEST VARS'!$G$58*(8*$DV69)+'LINEST VARS'!$F$58*(8*$ED$56)+'LINEST VARS'!$E$58*(8*0.5)+'LINEST VARS'!$D$58*(8*$DV69)+'LINEST VARS'!$C$58*($ED$56*0.5)+'LINEST VARS'!$B$58*($ED$56*$DV69)+'LINEST VARS'!$A$58*(0.5*$DV69)</f>
        <v>0.9339700000000003</v>
      </c>
      <c r="EE69" s="51">
        <f>'LINEST VARS'!$U$58+'LINEST VARS'!$T$58*(8)+'LINEST VARS'!$S$58*(8)+'LINEST VARS'!$R$58*($EE$56)+'LINEST VARS'!$Q$58*(0.5)+'LINEST VARS'!$P$58*($DV69)+'LINEST VARS'!$O$58*(8^2)+'LINEST VARS'!$N$58*(8^2)+'LINEST VARS'!$M$58*($EE$56^2)+'LINEST VARS'!$L$58*(0.5^2)+'LINEST VARS'!$K$58*($DV69^2)+'LINEST VARS'!$J$58*(8*8)+'LINEST VARS'!$I$58*(8*$EE$56)+'LINEST VARS'!$H$58*(8*0.5)+'LINEST VARS'!$G$58*(8*$DV69)+'LINEST VARS'!$F$58*(8*$EE$56)+'LINEST VARS'!$E$58*(8*0.5)+'LINEST VARS'!$D$58*(8*$DV69)+'LINEST VARS'!$C$58*($EE$56*0.5)+'LINEST VARS'!$B$58*($EE$56*$DV69)+'LINEST VARS'!$A$58*(0.5*$DV69)</f>
        <v>0.94197000000000042</v>
      </c>
      <c r="EF69" s="51">
        <f>'LINEST VARS'!$U$58+'LINEST VARS'!$T$58*(8)+'LINEST VARS'!$S$58*(8)+'LINEST VARS'!$R$58*($EF$56)+'LINEST VARS'!$Q$58*(0.5)+'LINEST VARS'!$P$58*($DV69)+'LINEST VARS'!$O$58*(8^2)+'LINEST VARS'!$N$58*(8^2)+'LINEST VARS'!$M$58*($EF$56^2)+'LINEST VARS'!$L$58*(0.5^2)+'LINEST VARS'!$K$58*($DV69^2)+'LINEST VARS'!$J$58*(8*8)+'LINEST VARS'!$I$58*(8*$EF$56)+'LINEST VARS'!$H$58*(8*0.5)+'LINEST VARS'!$G$58*(8*$DV69)+'LINEST VARS'!$F$58*(8*$EF$56)+'LINEST VARS'!$E$58*(8*0.5)+'LINEST VARS'!$D$58*(8*$DV69)+'LINEST VARS'!$C$58*($EF$56*0.5)+'LINEST VARS'!$B$58*($EF$56*$DV69)+'LINEST VARS'!$A$58*(0.5*$DV69)</f>
        <v>0.94997000000000031</v>
      </c>
      <c r="EG69" s="51">
        <f>'LINEST VARS'!$U$58+'LINEST VARS'!$T$58*(8)+'LINEST VARS'!$S$58*(8)+'LINEST VARS'!$R$58*($EG$56)+'LINEST VARS'!$Q$58*(0.5)+'LINEST VARS'!$P$58*($DV69)+'LINEST VARS'!$O$58*(8^2)+'LINEST VARS'!$N$58*(8^2)+'LINEST VARS'!$M$58*($EG$56^2)+'LINEST VARS'!$L$58*(0.5^2)+'LINEST VARS'!$K$58*($DV69^2)+'LINEST VARS'!$J$58*(8*8)+'LINEST VARS'!$I$58*(8*$EG$56)+'LINEST VARS'!$H$58*(8*0.5)+'LINEST VARS'!$G$58*(8*$DV69)+'LINEST VARS'!$F$58*(8*$EG$56)+'LINEST VARS'!$E$58*(8*0.5)+'LINEST VARS'!$D$58*(8*$DV69)+'LINEST VARS'!$C$58*($EG$56*0.5)+'LINEST VARS'!$B$58*($EG$56*$DV69)+'LINEST VARS'!$A$58*(0.5*$DV69)</f>
        <v>0.95797000000000032</v>
      </c>
      <c r="EH69" s="51">
        <f>'LINEST VARS'!$U$58+'LINEST VARS'!$T$58*(8)+'LINEST VARS'!$S$58*(8)+'LINEST VARS'!$R$58*($EH$56)+'LINEST VARS'!$Q$58*(0.5)+'LINEST VARS'!$P$58*($DV69)+'LINEST VARS'!$O$58*(8^2)+'LINEST VARS'!$N$58*(8^2)+'LINEST VARS'!$M$58*($EH$56^2)+'LINEST VARS'!$L$58*(0.5^2)+'LINEST VARS'!$K$58*($DV69^2)+'LINEST VARS'!$J$58*(8*8)+'LINEST VARS'!$I$58*(8*$EH$56)+'LINEST VARS'!$H$58*(8*0.5)+'LINEST VARS'!$G$58*(8*$DV69)+'LINEST VARS'!$F$58*(8*$EH$56)+'LINEST VARS'!$E$58*(8*0.5)+'LINEST VARS'!$D$58*(8*$DV69)+'LINEST VARS'!$C$58*($EH$56*0.5)+'LINEST VARS'!$B$58*($EH$56*$DV69)+'LINEST VARS'!$A$58*(0.5*$DV69)</f>
        <v>0.96597000000000022</v>
      </c>
      <c r="EI69" s="51">
        <f>'LINEST VARS'!$U$58+'LINEST VARS'!$T$58*(8)+'LINEST VARS'!$S$58*(8)+'LINEST VARS'!$R$58*($EI$56)+'LINEST VARS'!$Q$58*(0.5)+'LINEST VARS'!$P$58*($DV69)+'LINEST VARS'!$O$58*(8^2)+'LINEST VARS'!$N$58*(8^2)+'LINEST VARS'!$M$58*($EI$56^2)+'LINEST VARS'!$L$58*(0.5^2)+'LINEST VARS'!$K$58*($DV69^2)+'LINEST VARS'!$J$58*(8*8)+'LINEST VARS'!$I$58*(8*$EI$56)+'LINEST VARS'!$H$58*(8*0.5)+'LINEST VARS'!$G$58*(8*$DV69)+'LINEST VARS'!$F$58*(8*$EI$56)+'LINEST VARS'!$E$58*(8*0.5)+'LINEST VARS'!$D$58*(8*$DV69)+'LINEST VARS'!$C$58*($EI$56*0.5)+'LINEST VARS'!$B$58*($EI$56*$DV69)+'LINEST VARS'!$A$58*(0.5*$DV69)</f>
        <v>0.97397000000000022</v>
      </c>
      <c r="EJ69" s="51">
        <f>'LINEST VARS'!$U$58+'LINEST VARS'!$T$58*(8)+'LINEST VARS'!$S$58*(8)+'LINEST VARS'!$R$58*($EJ$56)+'LINEST VARS'!$Q$58*(0.5)+'LINEST VARS'!$P$58*($DV69)+'LINEST VARS'!$O$58*(8^2)+'LINEST VARS'!$N$58*(8^2)+'LINEST VARS'!$M$58*($EJ$56^2)+'LINEST VARS'!$L$58*(0.5^2)+'LINEST VARS'!$K$58*($DV69^2)+'LINEST VARS'!$J$58*(8*8)+'LINEST VARS'!$I$58*(8*$EJ$56)+'LINEST VARS'!$H$58*(8*0.5)+'LINEST VARS'!$G$58*(8*$DV69)+'LINEST VARS'!$F$58*(8*$EJ$56)+'LINEST VARS'!$E$58*(8*0.5)+'LINEST VARS'!$D$58*(8*$DV69)+'LINEST VARS'!$C$58*($EJ$56*0.5)+'LINEST VARS'!$B$58*($EJ$56*$DV69)+'LINEST VARS'!$A$58*(0.5*$DV69)</f>
        <v>0.98197000000000012</v>
      </c>
      <c r="EK69" s="51">
        <f>'LINEST VARS'!$U$58+'LINEST VARS'!$T$58*(8)+'LINEST VARS'!$S$58*(8)+'LINEST VARS'!$R$58*($EK$56)+'LINEST VARS'!$Q$58*(0.5)+'LINEST VARS'!$P$58*($DV69)+'LINEST VARS'!$O$58*(8^2)+'LINEST VARS'!$N$58*(8^2)+'LINEST VARS'!$M$58*($EK$56^2)+'LINEST VARS'!$L$58*(0.5^2)+'LINEST VARS'!$K$58*($DV69^2)+'LINEST VARS'!$J$58*(8*8)+'LINEST VARS'!$I$58*(8*$EK$56)+'LINEST VARS'!$H$58*(8*0.5)+'LINEST VARS'!$G$58*(8*$DV69)+'LINEST VARS'!$F$58*(8*$EK$56)+'LINEST VARS'!$E$58*(8*0.5)+'LINEST VARS'!$D$58*(8*$DV69)+'LINEST VARS'!$C$58*($EK$56*0.5)+'LINEST VARS'!$B$58*($EK$56*$DV69)+'LINEST VARS'!$A$58*(0.5*$DV69)</f>
        <v>0.98997000000000024</v>
      </c>
      <c r="EL69" s="51">
        <f>'LINEST VARS'!$U$58+'LINEST VARS'!$T$58*(8)+'LINEST VARS'!$S$58*(8)+'LINEST VARS'!$R$58*($EL$56)+'LINEST VARS'!$Q$58*(0.5)+'LINEST VARS'!$P$58*($DV69)+'LINEST VARS'!$O$58*(8^2)+'LINEST VARS'!$N$58*(8^2)+'LINEST VARS'!$M$58*($EL$56^2)+'LINEST VARS'!$L$58*(0.5^2)+'LINEST VARS'!$K$58*($DV69^2)+'LINEST VARS'!$J$58*(8*8)+'LINEST VARS'!$I$58*(8*$EL$56)+'LINEST VARS'!$H$58*(8*0.5)+'LINEST VARS'!$G$58*(8*$DV69)+'LINEST VARS'!$F$58*(8*$EL$56)+'LINEST VARS'!$E$58*(8*0.5)+'LINEST VARS'!$D$58*(8*$DV69)+'LINEST VARS'!$C$58*($EL$56*0.5)+'LINEST VARS'!$B$58*($EL$56*$DV69)+'LINEST VARS'!$A$58*(0.5*$DV69)</f>
        <v>0.99797000000000025</v>
      </c>
      <c r="EM69" s="51">
        <f>'LINEST VARS'!$U$58+'LINEST VARS'!$T$58*(8)+'LINEST VARS'!$S$58*(8)+'LINEST VARS'!$R$58*($EM$56)+'LINEST VARS'!$Q$58*(0.5)+'LINEST VARS'!$P$58*($DV69)+'LINEST VARS'!$O$58*(8^2)+'LINEST VARS'!$N$58*(8^2)+'LINEST VARS'!$M$58*($EM$56^2)+'LINEST VARS'!$L$58*(0.5^2)+'LINEST VARS'!$K$58*($DV69^2)+'LINEST VARS'!$J$58*(8*8)+'LINEST VARS'!$I$58*(8*$EM$56)+'LINEST VARS'!$H$58*(8*0.5)+'LINEST VARS'!$G$58*(8*$DV69)+'LINEST VARS'!$F$58*(8*$EM$56)+'LINEST VARS'!$E$58*(8*0.5)+'LINEST VARS'!$D$58*(8*$DV69)+'LINEST VARS'!$C$58*($EM$56*0.5)+'LINEST VARS'!$B$58*($EM$56*$DV69)+'LINEST VARS'!$A$58*(0.5*$DV69)</f>
        <v>1.0059700000000003</v>
      </c>
      <c r="EN69" s="51">
        <f>'LINEST VARS'!$U$58+'LINEST VARS'!$T$58*(8)+'LINEST VARS'!$S$58*(8)+'LINEST VARS'!$R$58*($EN$56)+'LINEST VARS'!$Q$58*(0.5)+'LINEST VARS'!$P$58*($DV69)+'LINEST VARS'!$O$58*(8^2)+'LINEST VARS'!$N$58*(8^2)+'LINEST VARS'!$M$58*($EN$56^2)+'LINEST VARS'!$L$58*(0.5^2)+'LINEST VARS'!$K$58*($DV69^2)+'LINEST VARS'!$J$58*(8*8)+'LINEST VARS'!$I$58*(8*$EN$56)+'LINEST VARS'!$H$58*(8*0.5)+'LINEST VARS'!$G$58*(8*$DV69)+'LINEST VARS'!$F$58*(8*$EN$56)+'LINEST VARS'!$E$58*(8*0.5)+'LINEST VARS'!$D$58*(8*$DV69)+'LINEST VARS'!$C$58*($EN$56*0.5)+'LINEST VARS'!$B$58*($EN$56*$DV69)+'LINEST VARS'!$A$58*(0.5*$DV69)</f>
        <v>1.0139700000000003</v>
      </c>
      <c r="EO69" s="51">
        <f>'LINEST VARS'!$U$58+'LINEST VARS'!$T$58*(8)+'LINEST VARS'!$S$58*(8)+'LINEST VARS'!$R$58*($EO$56)+'LINEST VARS'!$Q$58*(0.5)+'LINEST VARS'!$P$58*($DV69)+'LINEST VARS'!$O$58*(8^2)+'LINEST VARS'!$N$58*(8^2)+'LINEST VARS'!$M$58*($EO$56^2)+'LINEST VARS'!$L$58*(0.5^2)+'LINEST VARS'!$K$58*($DV69^2)+'LINEST VARS'!$J$58*(8*8)+'LINEST VARS'!$I$58*(8*$EO$56)+'LINEST VARS'!$H$58*(8*0.5)+'LINEST VARS'!$G$58*(8*$DV69)+'LINEST VARS'!$F$58*(8*$EO$56)+'LINEST VARS'!$E$58*(8*0.5)+'LINEST VARS'!$D$58*(8*$DV69)+'LINEST VARS'!$C$58*($EO$56*0.5)+'LINEST VARS'!$B$58*($EO$56*$DV69)+'LINEST VARS'!$A$58*(0.5*$DV69)</f>
        <v>1.0219700000000003</v>
      </c>
      <c r="EP69" s="51">
        <f>'LINEST VARS'!$U$58+'LINEST VARS'!$T$58*(8)+'LINEST VARS'!$S$58*(8)+'LINEST VARS'!$R$58*($EP$56)+'LINEST VARS'!$Q$58*(0.5)+'LINEST VARS'!$P$58*($DV69)+'LINEST VARS'!$O$58*(8^2)+'LINEST VARS'!$N$58*(8^2)+'LINEST VARS'!$M$58*($EP$56^2)+'LINEST VARS'!$L$58*(0.5^2)+'LINEST VARS'!$K$58*($DV69^2)+'LINEST VARS'!$J$58*(8*8)+'LINEST VARS'!$I$58*(8*$EP$56)+'LINEST VARS'!$H$58*(8*0.5)+'LINEST VARS'!$G$58*(8*$DV69)+'LINEST VARS'!$F$58*(8*$EP$56)+'LINEST VARS'!$E$58*(8*0.5)+'LINEST VARS'!$D$58*(8*$DV69)+'LINEST VARS'!$C$58*($EP$56*0.5)+'LINEST VARS'!$B$58*($EP$56*$DV69)+'LINEST VARS'!$A$58*(0.5*$DV69)</f>
        <v>1.0299700000000001</v>
      </c>
      <c r="EQ69" s="52">
        <f>'LINEST VARS'!$U$58+'LINEST VARS'!$T$58*(8)+'LINEST VARS'!$S$58*(8)+'LINEST VARS'!$R$58*($EQ$56)+'LINEST VARS'!$Q$58*(0.5)+'LINEST VARS'!$P$58*($DV69)+'LINEST VARS'!$O$58*(8^2)+'LINEST VARS'!$N$58*(8^2)+'LINEST VARS'!$M$58*($EQ$56^2)+'LINEST VARS'!$L$58*(0.5^2)+'LINEST VARS'!$K$58*($DV69^2)+'LINEST VARS'!$J$58*(8*8)+'LINEST VARS'!$I$58*(8*$EQ$56)+'LINEST VARS'!$H$58*(8*0.5)+'LINEST VARS'!$G$58*(8*$DV69)+'LINEST VARS'!$F$58*(8*$EQ$56)+'LINEST VARS'!$E$58*(8*0.5)+'LINEST VARS'!$D$58*(8*$DV69)+'LINEST VARS'!$C$58*($EQ$56*0.5)+'LINEST VARS'!$B$58*($EQ$56*$DV69)+'LINEST VARS'!$A$58*(0.5*$DV69)</f>
        <v>1.0379700000000003</v>
      </c>
    </row>
    <row r="70" spans="2:147" ht="15" customHeight="1" x14ac:dyDescent="0.25">
      <c r="B70" s="45">
        <v>8.18</v>
      </c>
      <c r="C70" s="51">
        <f>'LINEST VARS'!$U$56+'LINEST VARS'!$T$56*($C$56)+'LINEST VARS'!$S$56*($B70)+'LINEST VARS'!$R$56*(4)+'LINEST VARS'!$Q$56*(0.5)+'LINEST VARS'!$P$56*(12.73)+'LINEST VARS'!$O$56*($C$56^2)+'LINEST VARS'!$N$56*($B70^2)+'LINEST VARS'!$M$56*(4^2)+'LINEST VARS'!$L$56*(0.5^2)+'LINEST VARS'!$K$56*(12.73^2)+'LINEST VARS'!$J$56*($C$56*$B70)+'LINEST VARS'!$I$56*($C$56*4)+'LINEST VARS'!$H$56*($C$56*0.5)+'LINEST VARS'!$G$56*($C$56*12.73)+'LINEST VARS'!$F$56*($B70*4)+'LINEST VARS'!$E$56*($B70*0.5)+'LINEST VARS'!$D$56*($B70*12.73)+'LINEST VARS'!$C$56*(4*0.5)+'LINEST VARS'!$B$56*(4*12.73)+'LINEST VARS'!$A$56*(0.5*12.73)</f>
        <v>2.8400000000000012</v>
      </c>
      <c r="D70" s="51">
        <f>'LINEST VARS'!$U$56+'LINEST VARS'!$T$56*($D$56)+'LINEST VARS'!$S$56*($B70)+'LINEST VARS'!$R$56*(4)+'LINEST VARS'!$Q$56*(0.5)+'LINEST VARS'!$P$56*(12.73)+'LINEST VARS'!$O$56*($D$56^2)+'LINEST VARS'!$N$56*($B70^2)+'LINEST VARS'!$M$56*(4^2)+'LINEST VARS'!$L$56*(0.5^2)+'LINEST VARS'!$K$56*(12.73^2)+'LINEST VARS'!$J$56*($D$56*$B70)+'LINEST VARS'!$I$56*($D$56*4)+'LINEST VARS'!$H$56*($D$56*0.5)+'LINEST VARS'!$G$56*($D$56*12.73)+'LINEST VARS'!$F$56*($B70*4)+'LINEST VARS'!$E$56*($B70*0.5)+'LINEST VARS'!$D$56*($B70*12.73)+'LINEST VARS'!$C$56*(4*0.5)+'LINEST VARS'!$B$56*(4*12.73)+'LINEST VARS'!$A$56*(0.5*12.73)</f>
        <v>2.8400000000000012</v>
      </c>
      <c r="E70" s="51">
        <f>'LINEST VARS'!$U$56+'LINEST VARS'!$T$56*($E$56)+'LINEST VARS'!$S$56*($B70)+'LINEST VARS'!$R$56*(4)+'LINEST VARS'!$Q$56*(0.5)+'LINEST VARS'!$P$56*(12.73)+'LINEST VARS'!$O$56*($E$56^2)+'LINEST VARS'!$N$56*($B70^2)+'LINEST VARS'!$M$56*(4^2)+'LINEST VARS'!$L$56*(0.5^2)+'LINEST VARS'!$K$56*(12.73^2)+'LINEST VARS'!$J$56*($E$56*$B70)+'LINEST VARS'!$I$56*($E$56*4)+'LINEST VARS'!$H$56*($E$56*0.5)+'LINEST VARS'!$G$56*($E$56*12.73)+'LINEST VARS'!$F$56*($B70*4)+'LINEST VARS'!$E$56*($B70*0.5)+'LINEST VARS'!$D$56*($B70*12.73)+'LINEST VARS'!$C$56*(4*0.5)+'LINEST VARS'!$B$56*(4*12.73)+'LINEST VARS'!$A$56*(0.5*12.73)</f>
        <v>2.8400000000000012</v>
      </c>
      <c r="F70" s="51">
        <f>'LINEST VARS'!$U$56+'LINEST VARS'!$T$56*($F$56)+'LINEST VARS'!$S$56*($B70)+'LINEST VARS'!$R$56*(4)+'LINEST VARS'!$Q$56*(0.5)+'LINEST VARS'!$P$56*(12.73)+'LINEST VARS'!$O$56*($F$56^2)+'LINEST VARS'!$N$56*($B70^2)+'LINEST VARS'!$M$56*(4^2)+'LINEST VARS'!$L$56*(0.5^2)+'LINEST VARS'!$K$56*(12.73^2)+'LINEST VARS'!$J$56*($F$56*$B70)+'LINEST VARS'!$I$56*($F$56*4)+'LINEST VARS'!$H$56*($F$56*0.5)+'LINEST VARS'!$G$56*($F$56*12.73)+'LINEST VARS'!$F$56*($B70*4)+'LINEST VARS'!$E$56*($B70*0.5)+'LINEST VARS'!$D$56*($B70*12.73)+'LINEST VARS'!$C$56*(4*0.5)+'LINEST VARS'!$B$56*(4*12.73)+'LINEST VARS'!$A$56*(0.5*12.73)</f>
        <v>2.8400000000000012</v>
      </c>
      <c r="G70" s="51">
        <f>'LINEST VARS'!$U$56+'LINEST VARS'!$T$56*($G$56)+'LINEST VARS'!$S$56*($B70)+'LINEST VARS'!$R$56*(4)+'LINEST VARS'!$Q$56*(0.5)+'LINEST VARS'!$P$56*(12.73)+'LINEST VARS'!$O$56*($G$56^2)+'LINEST VARS'!$N$56*($B70^2)+'LINEST VARS'!$M$56*(4^2)+'LINEST VARS'!$L$56*(0.5^2)+'LINEST VARS'!$K$56*(12.73^2)+'LINEST VARS'!$J$56*($G$56*$B70)+'LINEST VARS'!$I$56*($G$56*4)+'LINEST VARS'!$H$56*($G$56*0.5)+'LINEST VARS'!$G$56*($G$56*12.73)+'LINEST VARS'!$F$56*($B70*4)+'LINEST VARS'!$E$56*($B70*0.5)+'LINEST VARS'!$D$56*($B70*12.73)+'LINEST VARS'!$C$56*(4*0.5)+'LINEST VARS'!$B$56*(4*12.73)+'LINEST VARS'!$A$56*(0.5*12.73)</f>
        <v>2.8400000000000012</v>
      </c>
      <c r="H70" s="51">
        <f>'LINEST VARS'!$U$56+'LINEST VARS'!$T$56*($H$56)+'LINEST VARS'!$S$56*($B70)+'LINEST VARS'!$R$56*(4)+'LINEST VARS'!$Q$56*(0.5)+'LINEST VARS'!$P$56*(12.73)+'LINEST VARS'!$O$56*($H$56^2)+'LINEST VARS'!$N$56*($B70^2)+'LINEST VARS'!$M$56*(4^2)+'LINEST VARS'!$L$56*(0.5^2)+'LINEST VARS'!$K$56*(12.73^2)+'LINEST VARS'!$J$56*($H$56*$B70)+'LINEST VARS'!$I$56*($H$56*4)+'LINEST VARS'!$H$56*($H$56*0.5)+'LINEST VARS'!$G$56*($H$56*12.73)+'LINEST VARS'!$F$56*($B70*4)+'LINEST VARS'!$E$56*($B70*0.5)+'LINEST VARS'!$D$56*($B70*12.73)+'LINEST VARS'!$C$56*(4*0.5)+'LINEST VARS'!$B$56*(4*12.73)+'LINEST VARS'!$A$56*(0.5*12.73)</f>
        <v>2.8400000000000012</v>
      </c>
      <c r="I70" s="51">
        <f>'LINEST VARS'!$U$56+'LINEST VARS'!$T$56*($I$56)+'LINEST VARS'!$S$56*($B70)+'LINEST VARS'!$R$56*(4)+'LINEST VARS'!$Q$56*(0.5)+'LINEST VARS'!$P$56*(12.73)+'LINEST VARS'!$O$56*($I$56^2)+'LINEST VARS'!$N$56*($B70^2)+'LINEST VARS'!$M$56*(4^2)+'LINEST VARS'!$L$56*(0.5^2)+'LINEST VARS'!$K$56*(12.73^2)+'LINEST VARS'!$J$56*($I$56*$B70)+'LINEST VARS'!$I$56*($I$56*4)+'LINEST VARS'!$H$56*($I$56*0.5)+'LINEST VARS'!$G$56*($I$56*12.73)+'LINEST VARS'!$F$56*($B70*4)+'LINEST VARS'!$E$56*($B70*0.5)+'LINEST VARS'!$D$56*($B70*12.73)+'LINEST VARS'!$C$56*(4*0.5)+'LINEST VARS'!$B$56*(4*12.73)+'LINEST VARS'!$A$56*(0.5*12.73)</f>
        <v>2.8400000000000012</v>
      </c>
      <c r="J70" s="51">
        <f>'LINEST VARS'!$U$56+'LINEST VARS'!$T$56*($J$56)+'LINEST VARS'!$S$56*($B70)+'LINEST VARS'!$R$56*(4)+'LINEST VARS'!$Q$56*(0.5)+'LINEST VARS'!$P$56*(12.73)+'LINEST VARS'!$O$56*($J$56^2)+'LINEST VARS'!$N$56*($B70^2)+'LINEST VARS'!$M$56*(4^2)+'LINEST VARS'!$L$56*(0.5^2)+'LINEST VARS'!$K$56*(12.73^2)+'LINEST VARS'!$J$56*($J$56*$B70)+'LINEST VARS'!$I$56*($J$56*4)+'LINEST VARS'!$H$56*($J$56*0.5)+'LINEST VARS'!$G$56*($J$56*12.73)+'LINEST VARS'!$F$56*($B70*4)+'LINEST VARS'!$E$56*($B70*0.5)+'LINEST VARS'!$D$56*($B70*12.73)+'LINEST VARS'!$C$56*(4*0.5)+'LINEST VARS'!$B$56*(4*12.73)+'LINEST VARS'!$A$56*(0.5*12.73)</f>
        <v>2.8400000000000012</v>
      </c>
      <c r="K70" s="51">
        <f>'LINEST VARS'!$U$56+'LINEST VARS'!$T$56*($K$56)+'LINEST VARS'!$S$56*($B70)+'LINEST VARS'!$R$56*(4)+'LINEST VARS'!$Q$56*(0.5)+'LINEST VARS'!$P$56*(12.73)+'LINEST VARS'!$O$56*($K$56^2)+'LINEST VARS'!$N$56*($B70^2)+'LINEST VARS'!$M$56*(4^2)+'LINEST VARS'!$L$56*(0.5^2)+'LINEST VARS'!$K$56*(12.73^2)+'LINEST VARS'!$J$56*($K$56*$B70)+'LINEST VARS'!$I$56*($K$56*4)+'LINEST VARS'!$H$56*($K$56*0.5)+'LINEST VARS'!$G$56*($K$56*12.73)+'LINEST VARS'!$F$56*($B70*4)+'LINEST VARS'!$E$56*($B70*0.5)+'LINEST VARS'!$D$56*($B70*12.73)+'LINEST VARS'!$C$56*(4*0.5)+'LINEST VARS'!$B$56*(4*12.73)+'LINEST VARS'!$A$56*(0.5*12.73)</f>
        <v>2.8400000000000007</v>
      </c>
      <c r="L70" s="51">
        <f>'LINEST VARS'!$U$56+'LINEST VARS'!$T$56*($L$56)+'LINEST VARS'!$S$56*($B70)+'LINEST VARS'!$R$56*(4)+'LINEST VARS'!$Q$56*(0.5)+'LINEST VARS'!$P$56*(12.73)+'LINEST VARS'!$O$56*($L$56^2)+'LINEST VARS'!$N$56*($B70^2)+'LINEST VARS'!$M$56*(4^2)+'LINEST VARS'!$L$56*(0.5^2)+'LINEST VARS'!$K$56*(12.73^2)+'LINEST VARS'!$J$56*($L$56*$B70)+'LINEST VARS'!$I$56*($L$56*4)+'LINEST VARS'!$H$56*($L$56*0.5)+'LINEST VARS'!$G$56*($L$56*12.73)+'LINEST VARS'!$F$56*($B70*4)+'LINEST VARS'!$E$56*($B70*0.5)+'LINEST VARS'!$D$56*($B70*12.73)+'LINEST VARS'!$C$56*(4*0.5)+'LINEST VARS'!$B$56*(4*12.73)+'LINEST VARS'!$A$56*(0.5*12.73)</f>
        <v>2.8400000000000007</v>
      </c>
      <c r="M70" s="51">
        <f>'LINEST VARS'!$U$56+'LINEST VARS'!$T$56*($M$56)+'LINEST VARS'!$S$56*($B70)+'LINEST VARS'!$R$56*(4)+'LINEST VARS'!$Q$56*(0.5)+'LINEST VARS'!$P$56*(12.73)+'LINEST VARS'!$O$56*($M$56^2)+'LINEST VARS'!$N$56*($B70^2)+'LINEST VARS'!$M$56*(4^2)+'LINEST VARS'!$L$56*(0.5^2)+'LINEST VARS'!$K$56*(12.73^2)+'LINEST VARS'!$J$56*($M$56*$B70)+'LINEST VARS'!$I$56*($M$56*4)+'LINEST VARS'!$H$56*($M$56*0.5)+'LINEST VARS'!$G$56*($M$56*12.73)+'LINEST VARS'!$F$56*($B70*4)+'LINEST VARS'!$E$56*($B70*0.5)+'LINEST VARS'!$D$56*($B70*12.73)+'LINEST VARS'!$C$56*(4*0.5)+'LINEST VARS'!$B$56*(4*12.73)+'LINEST VARS'!$A$56*(0.5*12.73)</f>
        <v>2.8400000000000007</v>
      </c>
      <c r="N70" s="51">
        <f>'LINEST VARS'!$U$56+'LINEST VARS'!$T$56*($N$56)+'LINEST VARS'!$S$56*($B70)+'LINEST VARS'!$R$56*(4)+'LINEST VARS'!$Q$56*(0.5)+'LINEST VARS'!$P$56*(12.73)+'LINEST VARS'!$O$56*($N$56^2)+'LINEST VARS'!$N$56*($B70^2)+'LINEST VARS'!$M$56*(4^2)+'LINEST VARS'!$L$56*(0.5^2)+'LINEST VARS'!$K$56*(12.73^2)+'LINEST VARS'!$J$56*($N$56*$B70)+'LINEST VARS'!$I$56*($N$56*4)+'LINEST VARS'!$H$56*($N$56*0.5)+'LINEST VARS'!$G$56*($N$56*12.73)+'LINEST VARS'!$F$56*($B70*4)+'LINEST VARS'!$E$56*($B70*0.5)+'LINEST VARS'!$D$56*($B70*12.73)+'LINEST VARS'!$C$56*(4*0.5)+'LINEST VARS'!$B$56*(4*12.73)+'LINEST VARS'!$A$56*(0.5*12.73)</f>
        <v>2.8400000000000007</v>
      </c>
      <c r="O70" s="51">
        <f>'LINEST VARS'!$U$56+'LINEST VARS'!$T$56*($O$56)+'LINEST VARS'!$S$56*($B70)+'LINEST VARS'!$R$56*(4)+'LINEST VARS'!$Q$56*(0.5)+'LINEST VARS'!$P$56*(12.73)+'LINEST VARS'!$O$56*($O$56^2)+'LINEST VARS'!$N$56*($B70^2)+'LINEST VARS'!$M$56*(4^2)+'LINEST VARS'!$L$56*(0.5^2)+'LINEST VARS'!$K$56*(12.73^2)+'LINEST VARS'!$J$56*($O$56*$B70)+'LINEST VARS'!$I$56*($O$56*4)+'LINEST VARS'!$H$56*($O$56*0.5)+'LINEST VARS'!$G$56*($O$56*12.73)+'LINEST VARS'!$F$56*($B70*4)+'LINEST VARS'!$E$56*($B70*0.5)+'LINEST VARS'!$D$56*($B70*12.73)+'LINEST VARS'!$C$56*(4*0.5)+'LINEST VARS'!$B$56*(4*12.73)+'LINEST VARS'!$A$56*(0.5*12.73)</f>
        <v>2.8400000000000007</v>
      </c>
      <c r="P70" s="51">
        <f>'LINEST VARS'!$U$56+'LINEST VARS'!$T$56*($P$56)+'LINEST VARS'!$S$56*($B70)+'LINEST VARS'!$R$56*(4)+'LINEST VARS'!$Q$56*(0.5)+'LINEST VARS'!$P$56*(12.73)+'LINEST VARS'!$O$56*($P$56^2)+'LINEST VARS'!$N$56*($B70^2)+'LINEST VARS'!$M$56*(4^2)+'LINEST VARS'!$L$56*(0.5^2)+'LINEST VARS'!$K$56*(12.73^2)+'LINEST VARS'!$J$56*($P$56*$B70)+'LINEST VARS'!$I$56*($P$56*4)+'LINEST VARS'!$H$56*($P$56*0.5)+'LINEST VARS'!$G$56*($P$56*12.73)+'LINEST VARS'!$F$56*($B70*4)+'LINEST VARS'!$E$56*($B70*0.5)+'LINEST VARS'!$D$56*($B70*12.73)+'LINEST VARS'!$C$56*(4*0.5)+'LINEST VARS'!$B$56*(4*12.73)+'LINEST VARS'!$A$56*(0.5*12.73)</f>
        <v>2.8400000000000007</v>
      </c>
      <c r="Q70" s="51">
        <f>'LINEST VARS'!$U$56+'LINEST VARS'!$T$56*($Q$56)+'LINEST VARS'!$S$56*($B70)+'LINEST VARS'!$R$56*(4)+'LINEST VARS'!$Q$56*(0.5)+'LINEST VARS'!$P$56*(12.73)+'LINEST VARS'!$O$56*($Q$56^2)+'LINEST VARS'!$N$56*($B70^2)+'LINEST VARS'!$M$56*(4^2)+'LINEST VARS'!$L$56*(0.5^2)+'LINEST VARS'!$K$56*(12.73^2)+'LINEST VARS'!$J$56*($Q$56*$B70)+'LINEST VARS'!$I$56*($Q$56*4)+'LINEST VARS'!$H$56*($Q$56*0.5)+'LINEST VARS'!$G$56*($Q$56*12.73)+'LINEST VARS'!$F$56*($B70*4)+'LINEST VARS'!$E$56*($B70*0.5)+'LINEST VARS'!$D$56*($B70*12.73)+'LINEST VARS'!$C$56*(4*0.5)+'LINEST VARS'!$B$56*(4*12.73)+'LINEST VARS'!$A$56*(0.5*12.73)</f>
        <v>2.8400000000000007</v>
      </c>
      <c r="R70" s="51">
        <f>'LINEST VARS'!$U$56+'LINEST VARS'!$T$56*($R$56)+'LINEST VARS'!$S$56*($B70)+'LINEST VARS'!$R$56*(4)+'LINEST VARS'!$Q$56*(0.5)+'LINEST VARS'!$P$56*(12.73)+'LINEST VARS'!$O$56*($R$56^2)+'LINEST VARS'!$N$56*($B70^2)+'LINEST VARS'!$M$56*(4^2)+'LINEST VARS'!$L$56*(0.5^2)+'LINEST VARS'!$K$56*(12.73^2)+'LINEST VARS'!$J$56*($R$56*$B70)+'LINEST VARS'!$I$56*($R$56*4)+'LINEST VARS'!$H$56*($R$56*0.5)+'LINEST VARS'!$G$56*($R$56*12.73)+'LINEST VARS'!$F$56*($B70*4)+'LINEST VARS'!$E$56*($B70*0.5)+'LINEST VARS'!$D$56*($B70*12.73)+'LINEST VARS'!$C$56*(4*0.5)+'LINEST VARS'!$B$56*(4*12.73)+'LINEST VARS'!$A$56*(0.5*12.73)</f>
        <v>2.8400000000000007</v>
      </c>
      <c r="S70" s="51">
        <f>'LINEST VARS'!$U$56+'LINEST VARS'!$T$56*($S$56)+'LINEST VARS'!$S$56*($B70)+'LINEST VARS'!$R$56*(4)+'LINEST VARS'!$Q$56*(0.5)+'LINEST VARS'!$P$56*(12.73)+'LINEST VARS'!$O$56*($S$56^2)+'LINEST VARS'!$N$56*($B70^2)+'LINEST VARS'!$M$56*(4^2)+'LINEST VARS'!$L$56*(0.5^2)+'LINEST VARS'!$K$56*(12.73^2)+'LINEST VARS'!$J$56*($S$56*$B70)+'LINEST VARS'!$I$56*($S$56*4)+'LINEST VARS'!$H$56*($S$56*0.5)+'LINEST VARS'!$G$56*($S$56*12.73)+'LINEST VARS'!$F$56*($B70*4)+'LINEST VARS'!$E$56*($B70*0.5)+'LINEST VARS'!$D$56*($B70*12.73)+'LINEST VARS'!$C$56*(4*0.5)+'LINEST VARS'!$B$56*(4*12.73)+'LINEST VARS'!$A$56*(0.5*12.73)</f>
        <v>2.8400000000000007</v>
      </c>
      <c r="T70" s="51">
        <f>'LINEST VARS'!$U$56+'LINEST VARS'!$T$56*($T$56)+'LINEST VARS'!$S$56*($B70)+'LINEST VARS'!$R$56*(4)+'LINEST VARS'!$Q$56*(0.5)+'LINEST VARS'!$P$56*(12.73)+'LINEST VARS'!$O$56*($T$56^2)+'LINEST VARS'!$N$56*($B70^2)+'LINEST VARS'!$M$56*(4^2)+'LINEST VARS'!$L$56*(0.5^2)+'LINEST VARS'!$K$56*(12.73^2)+'LINEST VARS'!$J$56*($T$56*$B70)+'LINEST VARS'!$I$56*($T$56*4)+'LINEST VARS'!$H$56*($T$56*0.5)+'LINEST VARS'!$G$56*($T$56*12.73)+'LINEST VARS'!$F$56*($B70*4)+'LINEST VARS'!$E$56*($B70*0.5)+'LINEST VARS'!$D$56*($B70*12.73)+'LINEST VARS'!$C$56*(4*0.5)+'LINEST VARS'!$B$56*(4*12.73)+'LINEST VARS'!$A$56*(0.5*12.73)</f>
        <v>2.8400000000000012</v>
      </c>
      <c r="U70" s="51">
        <f>'LINEST VARS'!$U$56+'LINEST VARS'!$T$56*($U$56)+'LINEST VARS'!$S$56*($B70)+'LINEST VARS'!$R$56*(4)+'LINEST VARS'!$Q$56*(0.5)+'LINEST VARS'!$P$56*(12.73)+'LINEST VARS'!$O$56*($U$56^2)+'LINEST VARS'!$N$56*($B70^2)+'LINEST VARS'!$M$56*(4^2)+'LINEST VARS'!$L$56*(0.5^2)+'LINEST VARS'!$K$56*(12.73^2)+'LINEST VARS'!$J$56*($U$56*$B70)+'LINEST VARS'!$I$56*($U$56*4)+'LINEST VARS'!$H$56*($U$56*0.5)+'LINEST VARS'!$G$56*($U$56*12.73)+'LINEST VARS'!$F$56*($B70*4)+'LINEST VARS'!$E$56*($B70*0.5)+'LINEST VARS'!$D$56*($B70*12.73)+'LINEST VARS'!$C$56*(4*0.5)+'LINEST VARS'!$B$56*(4*12.73)+'LINEST VARS'!$A$56*(0.5*12.73)</f>
        <v>2.8400000000000012</v>
      </c>
      <c r="V70" s="51">
        <f>'LINEST VARS'!$U$56+'LINEST VARS'!$T$56*($V$56)+'LINEST VARS'!$S$56*($B70)+'LINEST VARS'!$R$56*(4)+'LINEST VARS'!$Q$56*(0.5)+'LINEST VARS'!$P$56*(12.73)+'LINEST VARS'!$O$56*($V$56^2)+'LINEST VARS'!$N$56*($B70^2)+'LINEST VARS'!$M$56*(4^2)+'LINEST VARS'!$L$56*(0.5^2)+'LINEST VARS'!$K$56*(12.73^2)+'LINEST VARS'!$J$56*($V$56*$B70)+'LINEST VARS'!$I$56*($V$56*4)+'LINEST VARS'!$H$56*($V$56*0.5)+'LINEST VARS'!$G$56*($V$56*12.73)+'LINEST VARS'!$F$56*($B70*4)+'LINEST VARS'!$E$56*($B70*0.5)+'LINEST VARS'!$D$56*($B70*12.73)+'LINEST VARS'!$C$56*(4*0.5)+'LINEST VARS'!$B$56*(4*12.73)+'LINEST VARS'!$A$56*(0.5*12.73)</f>
        <v>2.8400000000000012</v>
      </c>
      <c r="W70" s="52">
        <f>'LINEST VARS'!$U$56+'LINEST VARS'!$T$56*($W$56)+'LINEST VARS'!$S$56*($B70)+'LINEST VARS'!$R$56*(4)+'LINEST VARS'!$Q$56*(0.5)+'LINEST VARS'!$P$56*(12.73)+'LINEST VARS'!$O$56*($W$56^2)+'LINEST VARS'!$N$56*($B70^2)+'LINEST VARS'!$M$56*(4^2)+'LINEST VARS'!$L$56*(0.5^2)+'LINEST VARS'!$K$56*(12.73^2)+'LINEST VARS'!$J$56*($W$56*$B70)+'LINEST VARS'!$I$56*($W$56*4)+'LINEST VARS'!$H$56*($W$56*0.5)+'LINEST VARS'!$G$56*($W$56*12.73)+'LINEST VARS'!$F$56*($B70*4)+'LINEST VARS'!$E$56*($B70*0.5)+'LINEST VARS'!$D$56*($B70*12.73)+'LINEST VARS'!$C$56*(4*0.5)+'LINEST VARS'!$B$56*(4*12.73)+'LINEST VARS'!$A$56*(0.5*12.73)</f>
        <v>2.8400000000000012</v>
      </c>
      <c r="Z70" s="45">
        <v>8.18</v>
      </c>
      <c r="AA70" s="51">
        <f>'LINEST VARS'!$U$58+'LINEST VARS'!$T$58*($AA$56)+'LINEST VARS'!$S$58*($Z70)+'LINEST VARS'!$R$58*(4)+'LINEST VARS'!$Q$58*(0.5)+'LINEST VARS'!$P$58*(12.73)+'LINEST VARS'!$O$58*($AA$56^2)+'LINEST VARS'!$N$58*($Z70^2)+'LINEST VARS'!$M$58*(4^2)+'LINEST VARS'!$L$58*(0.5^2)+'LINEST VARS'!$K$58*(12.73^2)+'LINEST VARS'!$J$58*($AA$56*$Z70)+'LINEST VARS'!$I$58*($AA$56*4)+'LINEST VARS'!$H$58*($AA$56*0.5)+'LINEST VARS'!$G$58*($AA$56*12.73)+'LINEST VARS'!$F$58*($Z70*4)+'LINEST VARS'!$E$58*($Z70*0.5)+'LINEST VARS'!$D$58*($Z70*12.73)+'LINEST VARS'!$C$58*(4*0.5)+'LINEST VARS'!$B$58*(4*12.73)+'LINEST VARS'!$A$58*(0.5*12.73)</f>
        <v>0.94365000000000032</v>
      </c>
      <c r="AB70" s="51">
        <f>'LINEST VARS'!$U$58+'LINEST VARS'!$T$58*($AB$56)+'LINEST VARS'!$S$58*($Z70)+'LINEST VARS'!$R$58*(4)+'LINEST VARS'!$Q$58*(0.5)+'LINEST VARS'!$P$58*(12.73)+'LINEST VARS'!$O$58*($AB$56^2)+'LINEST VARS'!$N$58*($Z70^2)+'LINEST VARS'!$M$58*(4^2)+'LINEST VARS'!$L$58*(0.5^2)+'LINEST VARS'!$K$58*(12.73^2)+'LINEST VARS'!$J$58*($AB$56*$Z70)+'LINEST VARS'!$I$58*($AB$56*4)+'LINEST VARS'!$H$58*($AB$56*0.5)+'LINEST VARS'!$G$58*($AB$56*12.73)+'LINEST VARS'!$F$58*($Z70*4)+'LINEST VARS'!$E$58*($Z70*0.5)+'LINEST VARS'!$D$58*($Z70*12.73)+'LINEST VARS'!$C$58*(4*0.5)+'LINEST VARS'!$B$58*(4*12.73)+'LINEST VARS'!$A$58*(0.5*12.73)</f>
        <v>0.94365000000000032</v>
      </c>
      <c r="AC70" s="51">
        <f>'LINEST VARS'!$U$58+'LINEST VARS'!$T$58*($AC$56)+'LINEST VARS'!$S$58*($Z70)+'LINEST VARS'!$R$58*(4)+'LINEST VARS'!$Q$58*(0.5)+'LINEST VARS'!$P$58*(12.73)+'LINEST VARS'!$O$58*($AC$56^2)+'LINEST VARS'!$N$58*($Z70^2)+'LINEST VARS'!$M$58*(4^2)+'LINEST VARS'!$L$58*(0.5^2)+'LINEST VARS'!$K$58*(12.73^2)+'LINEST VARS'!$J$58*($AC$56*$Z70)+'LINEST VARS'!$I$58*($AC$56*4)+'LINEST VARS'!$H$58*($AC$56*0.5)+'LINEST VARS'!$G$58*($AC$56*12.73)+'LINEST VARS'!$F$58*($Z70*4)+'LINEST VARS'!$E$58*($Z70*0.5)+'LINEST VARS'!$D$58*($Z70*12.73)+'LINEST VARS'!$C$58*(4*0.5)+'LINEST VARS'!$B$58*(4*12.73)+'LINEST VARS'!$A$58*(0.5*12.73)</f>
        <v>0.94365000000000032</v>
      </c>
      <c r="AD70" s="51">
        <f>'LINEST VARS'!$U$58+'LINEST VARS'!$T$58*($AD$56)+'LINEST VARS'!$S$58*($Z70)+'LINEST VARS'!$R$58*(4)+'LINEST VARS'!$Q$58*(0.5)+'LINEST VARS'!$P$58*(12.73)+'LINEST VARS'!$O$58*($AD$56^2)+'LINEST VARS'!$N$58*($Z70^2)+'LINEST VARS'!$M$58*(4^2)+'LINEST VARS'!$L$58*(0.5^2)+'LINEST VARS'!$K$58*(12.73^2)+'LINEST VARS'!$J$58*($AD$56*$Z70)+'LINEST VARS'!$I$58*($AD$56*4)+'LINEST VARS'!$H$58*($AD$56*0.5)+'LINEST VARS'!$G$58*($AD$56*12.73)+'LINEST VARS'!$F$58*($Z70*4)+'LINEST VARS'!$E$58*($Z70*0.5)+'LINEST VARS'!$D$58*($Z70*12.73)+'LINEST VARS'!$C$58*(4*0.5)+'LINEST VARS'!$B$58*(4*12.73)+'LINEST VARS'!$A$58*(0.5*12.73)</f>
        <v>0.94365000000000032</v>
      </c>
      <c r="AE70" s="51">
        <f>'LINEST VARS'!$U$58+'LINEST VARS'!$T$58*($AE$56)+'LINEST VARS'!$S$58*($Z70)+'LINEST VARS'!$R$58*(4)+'LINEST VARS'!$Q$58*(0.5)+'LINEST VARS'!$P$58*(12.73)+'LINEST VARS'!$O$58*($AE$56^2)+'LINEST VARS'!$N$58*($Z70^2)+'LINEST VARS'!$M$58*(4^2)+'LINEST VARS'!$L$58*(0.5^2)+'LINEST VARS'!$K$58*(12.73^2)+'LINEST VARS'!$J$58*($AE$56*$Z70)+'LINEST VARS'!$I$58*($AE$56*4)+'LINEST VARS'!$H$58*($AE$56*0.5)+'LINEST VARS'!$G$58*($AE$56*12.73)+'LINEST VARS'!$F$58*($Z70*4)+'LINEST VARS'!$E$58*($Z70*0.5)+'LINEST VARS'!$D$58*($Z70*12.73)+'LINEST VARS'!$C$58*(4*0.5)+'LINEST VARS'!$B$58*(4*12.73)+'LINEST VARS'!$A$58*(0.5*12.73)</f>
        <v>0.94365000000000032</v>
      </c>
      <c r="AF70" s="51">
        <f>'LINEST VARS'!$U$58+'LINEST VARS'!$T$58*($AF$56)+'LINEST VARS'!$S$58*($Z70)+'LINEST VARS'!$R$58*(4)+'LINEST VARS'!$Q$58*(0.5)+'LINEST VARS'!$P$58*(12.73)+'LINEST VARS'!$O$58*($AF$56^2)+'LINEST VARS'!$N$58*($Z70^2)+'LINEST VARS'!$M$58*(4^2)+'LINEST VARS'!$L$58*(0.5^2)+'LINEST VARS'!$K$58*(12.73^2)+'LINEST VARS'!$J$58*($AF$56*$Z70)+'LINEST VARS'!$I$58*($AF$56*4)+'LINEST VARS'!$H$58*($AF$56*0.5)+'LINEST VARS'!$G$58*($AF$56*12.73)+'LINEST VARS'!$F$58*($Z70*4)+'LINEST VARS'!$E$58*($Z70*0.5)+'LINEST VARS'!$D$58*($Z70*12.73)+'LINEST VARS'!$C$58*(4*0.5)+'LINEST VARS'!$B$58*(4*12.73)+'LINEST VARS'!$A$58*(0.5*12.73)</f>
        <v>0.94365000000000032</v>
      </c>
      <c r="AG70" s="51">
        <f>'LINEST VARS'!$U$58+'LINEST VARS'!$T$58*($AG$56)+'LINEST VARS'!$S$58*($Z70)+'LINEST VARS'!$R$58*(4)+'LINEST VARS'!$Q$58*(0.5)+'LINEST VARS'!$P$58*(12.73)+'LINEST VARS'!$O$58*($AG$56^2)+'LINEST VARS'!$N$58*($Z70^2)+'LINEST VARS'!$M$58*(4^2)+'LINEST VARS'!$L$58*(0.5^2)+'LINEST VARS'!$K$58*(12.73^2)+'LINEST VARS'!$J$58*($AG$56*$Z70)+'LINEST VARS'!$I$58*($AG$56*4)+'LINEST VARS'!$H$58*($AG$56*0.5)+'LINEST VARS'!$G$58*($AG$56*12.73)+'LINEST VARS'!$F$58*($Z70*4)+'LINEST VARS'!$E$58*($Z70*0.5)+'LINEST VARS'!$D$58*($Z70*12.73)+'LINEST VARS'!$C$58*(4*0.5)+'LINEST VARS'!$B$58*(4*12.73)+'LINEST VARS'!$A$58*(0.5*12.73)</f>
        <v>0.94365000000000032</v>
      </c>
      <c r="AH70" s="51">
        <f>'LINEST VARS'!$U$58+'LINEST VARS'!$T$58*($AH$56)+'LINEST VARS'!$S$58*($Z70)+'LINEST VARS'!$R$58*(4)+'LINEST VARS'!$Q$58*(0.5)+'LINEST VARS'!$P$58*(12.73)+'LINEST VARS'!$O$58*($AH$56^2)+'LINEST VARS'!$N$58*($Z70^2)+'LINEST VARS'!$M$58*(4^2)+'LINEST VARS'!$L$58*(0.5^2)+'LINEST VARS'!$K$58*(12.73^2)+'LINEST VARS'!$J$58*($AH$56*$Z70)+'LINEST VARS'!$I$58*($AH$56*4)+'LINEST VARS'!$H$58*($AH$56*0.5)+'LINEST VARS'!$G$58*($AH$56*12.73)+'LINEST VARS'!$F$58*($Z70*4)+'LINEST VARS'!$E$58*($Z70*0.5)+'LINEST VARS'!$D$58*($Z70*12.73)+'LINEST VARS'!$C$58*(4*0.5)+'LINEST VARS'!$B$58*(4*12.73)+'LINEST VARS'!$A$58*(0.5*12.73)</f>
        <v>0.94365000000000043</v>
      </c>
      <c r="AI70" s="51">
        <f>'LINEST VARS'!$U$58+'LINEST VARS'!$T$58*($AI$56)+'LINEST VARS'!$S$58*($Z70)+'LINEST VARS'!$R$58*(4)+'LINEST VARS'!$Q$58*(0.5)+'LINEST VARS'!$P$58*(12.73)+'LINEST VARS'!$O$58*($AI$56^2)+'LINEST VARS'!$N$58*($Z70^2)+'LINEST VARS'!$M$58*(4^2)+'LINEST VARS'!$L$58*(0.5^2)+'LINEST VARS'!$K$58*(12.73^2)+'LINEST VARS'!$J$58*($AI$56*$Z70)+'LINEST VARS'!$I$58*($AI$56*4)+'LINEST VARS'!$H$58*($AI$56*0.5)+'LINEST VARS'!$G$58*($AI$56*12.73)+'LINEST VARS'!$F$58*($Z70*4)+'LINEST VARS'!$E$58*($Z70*0.5)+'LINEST VARS'!$D$58*($Z70*12.73)+'LINEST VARS'!$C$58*(4*0.5)+'LINEST VARS'!$B$58*(4*12.73)+'LINEST VARS'!$A$58*(0.5*12.73)</f>
        <v>0.94365000000000032</v>
      </c>
      <c r="AJ70" s="51">
        <f>'LINEST VARS'!$U$58+'LINEST VARS'!$T$58*($AJ$56)+'LINEST VARS'!$S$58*($Z70)+'LINEST VARS'!$R$58*(4)+'LINEST VARS'!$Q$58*(0.5)+'LINEST VARS'!$P$58*(12.73)+'LINEST VARS'!$O$58*($AJ$56^2)+'LINEST VARS'!$N$58*($Z70^2)+'LINEST VARS'!$M$58*(4^2)+'LINEST VARS'!$L$58*(0.5^2)+'LINEST VARS'!$K$58*(12.73^2)+'LINEST VARS'!$J$58*($AJ$56*$Z70)+'LINEST VARS'!$I$58*($AJ$56*4)+'LINEST VARS'!$H$58*($AJ$56*0.5)+'LINEST VARS'!$G$58*($AJ$56*12.73)+'LINEST VARS'!$F$58*($Z70*4)+'LINEST VARS'!$E$58*($Z70*0.5)+'LINEST VARS'!$D$58*($Z70*12.73)+'LINEST VARS'!$C$58*(4*0.5)+'LINEST VARS'!$B$58*(4*12.73)+'LINEST VARS'!$A$58*(0.5*12.73)</f>
        <v>0.94365000000000032</v>
      </c>
      <c r="AK70" s="51">
        <f>'LINEST VARS'!$U$58+'LINEST VARS'!$T$58*($AK$56)+'LINEST VARS'!$S$58*($Z70)+'LINEST VARS'!$R$58*(4)+'LINEST VARS'!$Q$58*(0.5)+'LINEST VARS'!$P$58*(12.73)+'LINEST VARS'!$O$58*($AK$56^2)+'LINEST VARS'!$N$58*($Z70^2)+'LINEST VARS'!$M$58*(4^2)+'LINEST VARS'!$L$58*(0.5^2)+'LINEST VARS'!$K$58*(12.73^2)+'LINEST VARS'!$J$58*($AK$56*$Z70)+'LINEST VARS'!$I$58*($AK$56*4)+'LINEST VARS'!$H$58*($AK$56*0.5)+'LINEST VARS'!$G$58*($AK$56*12.73)+'LINEST VARS'!$F$58*($Z70*4)+'LINEST VARS'!$E$58*($Z70*0.5)+'LINEST VARS'!$D$58*($Z70*12.73)+'LINEST VARS'!$C$58*(4*0.5)+'LINEST VARS'!$B$58*(4*12.73)+'LINEST VARS'!$A$58*(0.5*12.73)</f>
        <v>0.94365000000000032</v>
      </c>
      <c r="AL70" s="51">
        <f>'LINEST VARS'!$U$58+'LINEST VARS'!$T$58*($AL$56)+'LINEST VARS'!$S$58*($Z70)+'LINEST VARS'!$R$58*(4)+'LINEST VARS'!$Q$58*(0.5)+'LINEST VARS'!$P$58*(12.73)+'LINEST VARS'!$O$58*($AL$56^2)+'LINEST VARS'!$N$58*($Z70^2)+'LINEST VARS'!$M$58*(4^2)+'LINEST VARS'!$L$58*(0.5^2)+'LINEST VARS'!$K$58*(12.73^2)+'LINEST VARS'!$J$58*($AL$56*$Z70)+'LINEST VARS'!$I$58*($AL$56*4)+'LINEST VARS'!$H$58*($AL$56*0.5)+'LINEST VARS'!$G$58*($AL$56*12.73)+'LINEST VARS'!$F$58*($Z70*4)+'LINEST VARS'!$E$58*($Z70*0.5)+'LINEST VARS'!$D$58*($Z70*12.73)+'LINEST VARS'!$C$58*(4*0.5)+'LINEST VARS'!$B$58*(4*12.73)+'LINEST VARS'!$A$58*(0.5*12.73)</f>
        <v>0.94365000000000032</v>
      </c>
      <c r="AM70" s="51">
        <f>'LINEST VARS'!$U$58+'LINEST VARS'!$T$58*($AM$56)+'LINEST VARS'!$S$58*($Z70)+'LINEST VARS'!$R$58*(4)+'LINEST VARS'!$Q$58*(0.5)+'LINEST VARS'!$P$58*(12.73)+'LINEST VARS'!$O$58*($AM$56^2)+'LINEST VARS'!$N$58*($Z70^2)+'LINEST VARS'!$M$58*(4^2)+'LINEST VARS'!$L$58*(0.5^2)+'LINEST VARS'!$K$58*(12.73^2)+'LINEST VARS'!$J$58*($AM$56*$Z70)+'LINEST VARS'!$I$58*($AM$56*4)+'LINEST VARS'!$H$58*($AM$56*0.5)+'LINEST VARS'!$G$58*($AM$56*12.73)+'LINEST VARS'!$F$58*($Z70*4)+'LINEST VARS'!$E$58*($Z70*0.5)+'LINEST VARS'!$D$58*($Z70*12.73)+'LINEST VARS'!$C$58*(4*0.5)+'LINEST VARS'!$B$58*(4*12.73)+'LINEST VARS'!$A$58*(0.5*12.73)</f>
        <v>0.94365000000000021</v>
      </c>
      <c r="AN70" s="51">
        <f>'LINEST VARS'!$U$58+'LINEST VARS'!$T$58*($AN$56)+'LINEST VARS'!$S$58*($Z70)+'LINEST VARS'!$R$58*(4)+'LINEST VARS'!$Q$58*(0.5)+'LINEST VARS'!$P$58*(12.73)+'LINEST VARS'!$O$58*($AN$56^2)+'LINEST VARS'!$N$58*($Z70^2)+'LINEST VARS'!$M$58*(4^2)+'LINEST VARS'!$L$58*(0.5^2)+'LINEST VARS'!$K$58*(12.73^2)+'LINEST VARS'!$J$58*($AN$56*$Z70)+'LINEST VARS'!$I$58*($AN$56*4)+'LINEST VARS'!$H$58*($AN$56*0.5)+'LINEST VARS'!$G$58*($AN$56*12.73)+'LINEST VARS'!$F$58*($Z70*4)+'LINEST VARS'!$E$58*($Z70*0.5)+'LINEST VARS'!$D$58*($Z70*12.73)+'LINEST VARS'!$C$58*(4*0.5)+'LINEST VARS'!$B$58*(4*12.73)+'LINEST VARS'!$A$58*(0.5*12.73)</f>
        <v>0.94365000000000021</v>
      </c>
      <c r="AO70" s="51">
        <f>'LINEST VARS'!$U$58+'LINEST VARS'!$T$58*($AO$56)+'LINEST VARS'!$S$58*($Z70)+'LINEST VARS'!$R$58*(4)+'LINEST VARS'!$Q$58*(0.5)+'LINEST VARS'!$P$58*(12.73)+'LINEST VARS'!$O$58*($AO$56^2)+'LINEST VARS'!$N$58*($Z70^2)+'LINEST VARS'!$M$58*(4^2)+'LINEST VARS'!$L$58*(0.5^2)+'LINEST VARS'!$K$58*(12.73^2)+'LINEST VARS'!$J$58*($AO$56*$Z70)+'LINEST VARS'!$I$58*($AO$56*4)+'LINEST VARS'!$H$58*($AO$56*0.5)+'LINEST VARS'!$G$58*($AO$56*12.73)+'LINEST VARS'!$F$58*($Z70*4)+'LINEST VARS'!$E$58*($Z70*0.5)+'LINEST VARS'!$D$58*($Z70*12.73)+'LINEST VARS'!$C$58*(4*0.5)+'LINEST VARS'!$B$58*(4*12.73)+'LINEST VARS'!$A$58*(0.5*12.73)</f>
        <v>0.94365000000000021</v>
      </c>
      <c r="AP70" s="51">
        <f>'LINEST VARS'!$U$58+'LINEST VARS'!$T$58*($AP$56)+'LINEST VARS'!$S$58*($Z70)+'LINEST VARS'!$R$58*(4)+'LINEST VARS'!$Q$58*(0.5)+'LINEST VARS'!$P$58*(12.73)+'LINEST VARS'!$O$58*($AP$56^2)+'LINEST VARS'!$N$58*($Z70^2)+'LINEST VARS'!$M$58*(4^2)+'LINEST VARS'!$L$58*(0.5^2)+'LINEST VARS'!$K$58*(12.73^2)+'LINEST VARS'!$J$58*($AP$56*$Z70)+'LINEST VARS'!$I$58*($AP$56*4)+'LINEST VARS'!$H$58*($AP$56*0.5)+'LINEST VARS'!$G$58*($AP$56*12.73)+'LINEST VARS'!$F$58*($Z70*4)+'LINEST VARS'!$E$58*($Z70*0.5)+'LINEST VARS'!$D$58*($Z70*12.73)+'LINEST VARS'!$C$58*(4*0.5)+'LINEST VARS'!$B$58*(4*12.73)+'LINEST VARS'!$A$58*(0.5*12.73)</f>
        <v>0.94365000000000021</v>
      </c>
      <c r="AQ70" s="51">
        <f>'LINEST VARS'!$U$58+'LINEST VARS'!$T$58*($AQ$56)+'LINEST VARS'!$S$58*($Z70)+'LINEST VARS'!$R$58*(4)+'LINEST VARS'!$Q$58*(0.5)+'LINEST VARS'!$P$58*(12.73)+'LINEST VARS'!$O$58*($AQ$56^2)+'LINEST VARS'!$N$58*($Z70^2)+'LINEST VARS'!$M$58*(4^2)+'LINEST VARS'!$L$58*(0.5^2)+'LINEST VARS'!$K$58*(12.73^2)+'LINEST VARS'!$J$58*($AQ$56*$Z70)+'LINEST VARS'!$I$58*($AQ$56*4)+'LINEST VARS'!$H$58*($AQ$56*0.5)+'LINEST VARS'!$G$58*($AQ$56*12.73)+'LINEST VARS'!$F$58*($Z70*4)+'LINEST VARS'!$E$58*($Z70*0.5)+'LINEST VARS'!$D$58*($Z70*12.73)+'LINEST VARS'!$C$58*(4*0.5)+'LINEST VARS'!$B$58*(4*12.73)+'LINEST VARS'!$A$58*(0.5*12.73)</f>
        <v>0.94365000000000032</v>
      </c>
      <c r="AR70" s="51">
        <f>'LINEST VARS'!$U$58+'LINEST VARS'!$T$58*($AR$56)+'LINEST VARS'!$S$58*($Z70)+'LINEST VARS'!$R$58*(4)+'LINEST VARS'!$Q$58*(0.5)+'LINEST VARS'!$P$58*(12.73)+'LINEST VARS'!$O$58*($AR$56^2)+'LINEST VARS'!$N$58*($Z70^2)+'LINEST VARS'!$M$58*(4^2)+'LINEST VARS'!$L$58*(0.5^2)+'LINEST VARS'!$K$58*(12.73^2)+'LINEST VARS'!$J$58*($AR$56*$Z70)+'LINEST VARS'!$I$58*($AR$56*4)+'LINEST VARS'!$H$58*($AR$56*0.5)+'LINEST VARS'!$G$58*($AR$56*12.73)+'LINEST VARS'!$F$58*($Z70*4)+'LINEST VARS'!$E$58*($Z70*0.5)+'LINEST VARS'!$D$58*($Z70*12.73)+'LINEST VARS'!$C$58*(4*0.5)+'LINEST VARS'!$B$58*(4*12.73)+'LINEST VARS'!$A$58*(0.5*12.73)</f>
        <v>0.94365000000000032</v>
      </c>
      <c r="AS70" s="51">
        <f>'LINEST VARS'!$U$58+'LINEST VARS'!$T$58*($AS$56)+'LINEST VARS'!$S$58*($Z70)+'LINEST VARS'!$R$58*(4)+'LINEST VARS'!$Q$58*(0.5)+'LINEST VARS'!$P$58*(12.73)+'LINEST VARS'!$O$58*($AS$56^2)+'LINEST VARS'!$N$58*($Z70^2)+'LINEST VARS'!$M$58*(4^2)+'LINEST VARS'!$L$58*(0.5^2)+'LINEST VARS'!$K$58*(12.73^2)+'LINEST VARS'!$J$58*($AS$56*$Z70)+'LINEST VARS'!$I$58*($AS$56*4)+'LINEST VARS'!$H$58*($AS$56*0.5)+'LINEST VARS'!$G$58*($AS$56*12.73)+'LINEST VARS'!$F$58*($Z70*4)+'LINEST VARS'!$E$58*($Z70*0.5)+'LINEST VARS'!$D$58*($Z70*12.73)+'LINEST VARS'!$C$58*(4*0.5)+'LINEST VARS'!$B$58*(4*12.73)+'LINEST VARS'!$A$58*(0.5*12.73)</f>
        <v>0.94365000000000032</v>
      </c>
      <c r="AT70" s="51">
        <f>'LINEST VARS'!$U$58+'LINEST VARS'!$T$58*($AT$56)+'LINEST VARS'!$S$58*($Z70)+'LINEST VARS'!$R$58*(4)+'LINEST VARS'!$Q$58*(0.5)+'LINEST VARS'!$P$58*(12.73)+'LINEST VARS'!$O$58*($AT$56^2)+'LINEST VARS'!$N$58*($Z70^2)+'LINEST VARS'!$M$58*(4^2)+'LINEST VARS'!$L$58*(0.5^2)+'LINEST VARS'!$K$58*(12.73^2)+'LINEST VARS'!$J$58*($AT$56*$Z70)+'LINEST VARS'!$I$58*($AT$56*4)+'LINEST VARS'!$H$58*($AT$56*0.5)+'LINEST VARS'!$G$58*($AT$56*12.73)+'LINEST VARS'!$F$58*($Z70*4)+'LINEST VARS'!$E$58*($Z70*0.5)+'LINEST VARS'!$D$58*($Z70*12.73)+'LINEST VARS'!$C$58*(4*0.5)+'LINEST VARS'!$B$58*(4*12.73)+'LINEST VARS'!$A$58*(0.5*12.73)</f>
        <v>0.94365000000000032</v>
      </c>
      <c r="AU70" s="52">
        <f>'LINEST VARS'!$U$58+'LINEST VARS'!$T$58*($AU$56)+'LINEST VARS'!$S$58*($Z70)+'LINEST VARS'!$R$58*(4)+'LINEST VARS'!$Q$58*(0.5)+'LINEST VARS'!$P$58*(12.73)+'LINEST VARS'!$O$58*($AU$56^2)+'LINEST VARS'!$N$58*($Z70^2)+'LINEST VARS'!$M$58*(4^2)+'LINEST VARS'!$L$58*(0.5^2)+'LINEST VARS'!$K$58*(12.73^2)+'LINEST VARS'!$J$58*($AU$56*$Z70)+'LINEST VARS'!$I$58*($AU$56*4)+'LINEST VARS'!$H$58*($AU$56*0.5)+'LINEST VARS'!$G$58*($AU$56*12.73)+'LINEST VARS'!$F$58*($Z70*4)+'LINEST VARS'!$E$58*($Z70*0.5)+'LINEST VARS'!$D$58*($Z70*12.73)+'LINEST VARS'!$C$58*(4*0.5)+'LINEST VARS'!$B$58*(4*12.73)+'LINEST VARS'!$A$58*(0.5*12.73)</f>
        <v>0.94365000000000021</v>
      </c>
      <c r="AZ70" s="45">
        <v>0.65</v>
      </c>
      <c r="BA70" s="51">
        <f>'LINEST VARS'!$U$56+'LINEST VARS'!$T$56*(8)+'LINEST VARS'!$S$56*(8)+'LINEST VARS'!$R$56*($BA$56)+'LINEST VARS'!$Q$56*($AZ70)+'LINEST VARS'!$P$56*(12.73)+'LINEST VARS'!$O$56*(8^2)+'LINEST VARS'!$N$56*(8^2)+'LINEST VARS'!$M$56*($BA$56^2)+'LINEST VARS'!$L$56*($AZ70^2)+'LINEST VARS'!$K$56*(12.73^2)+'LINEST VARS'!$J$56*(8*8)+'LINEST VARS'!$I$56*(8*$BA$56)+'LINEST VARS'!$H$56*(8*$AZ70)+'LINEST VARS'!$G$56*(8*12.73)+'LINEST VARS'!$F$56*(8*$BA$56)+'LINEST VARS'!$E$56*(8*$AZ70)+'LINEST VARS'!$D$56*(8*12.73)+'LINEST VARS'!$C$56*($BA$56*$AZ70)+'LINEST VARS'!$B$56*($BA$56*12.73)+'LINEST VARS'!$A$56*($AZ70*12.73)</f>
        <v>2.8000000000000012</v>
      </c>
      <c r="BB70" s="51">
        <f>'LINEST VARS'!$U$56+'LINEST VARS'!$T$56*(8)+'LINEST VARS'!$S$56*(8)+'LINEST VARS'!$R$56*($BB$56)+'LINEST VARS'!$Q$56*($AZ70)+'LINEST VARS'!$P$56*(12.73)+'LINEST VARS'!$O$56*(8^2)+'LINEST VARS'!$N$56*(8^2)+'LINEST VARS'!$M$56*($BB$56^2)+'LINEST VARS'!$L$56*($AZ70^2)+'LINEST VARS'!$K$56*(12.73^2)+'LINEST VARS'!$J$56*(8*8)+'LINEST VARS'!$I$56*(8*$BB$56)+'LINEST VARS'!$H$56*(8*$AZ70)+'LINEST VARS'!$G$56*(8*12.73)+'LINEST VARS'!$F$56*(8*$BB$56)+'LINEST VARS'!$E$56*(8*$AZ70)+'LINEST VARS'!$D$56*(8*12.73)+'LINEST VARS'!$C$56*($BB$56*$AZ70)+'LINEST VARS'!$B$56*($BB$56*12.73)+'LINEST VARS'!$A$56*($AZ70*12.73)</f>
        <v>2.8184000000000013</v>
      </c>
      <c r="BC70" s="51">
        <f>'LINEST VARS'!$U$56+'LINEST VARS'!$T$56*(8)+'LINEST VARS'!$S$56*(8)+'LINEST VARS'!$R$56*($BC$56)+'LINEST VARS'!$Q$56*($AZ70)+'LINEST VARS'!$P$56*(12.73)+'LINEST VARS'!$O$56*(8^2)+'LINEST VARS'!$N$56*(8^2)+'LINEST VARS'!$M$56*($BC$56^2)+'LINEST VARS'!$L$56*($AZ70^2)+'LINEST VARS'!$K$56*(12.73^2)+'LINEST VARS'!$J$56*(8*8)+'LINEST VARS'!$I$56*(8*$BC$56)+'LINEST VARS'!$H$56*(8*$AZ70)+'LINEST VARS'!$G$56*(8*12.73)+'LINEST VARS'!$F$56*(8*$BC$56)+'LINEST VARS'!$E$56*(8*$AZ70)+'LINEST VARS'!$D$56*(8*12.73)+'LINEST VARS'!$C$56*($BC$56*$AZ70)+'LINEST VARS'!$B$56*($BC$56*12.73)+'LINEST VARS'!$A$56*($AZ70*12.73)</f>
        <v>2.833600000000001</v>
      </c>
      <c r="BD70" s="51">
        <f>'LINEST VARS'!$U$56+'LINEST VARS'!$T$56*(8)+'LINEST VARS'!$S$56*(8)+'LINEST VARS'!$R$56*($BD$56)+'LINEST VARS'!$Q$56*($AZ70)+'LINEST VARS'!$P$56*(12.73)+'LINEST VARS'!$O$56*(8^2)+'LINEST VARS'!$N$56*(8^2)+'LINEST VARS'!$M$56*($BD$56^2)+'LINEST VARS'!$L$56*($AZ70^2)+'LINEST VARS'!$K$56*(12.73^2)+'LINEST VARS'!$J$56*(8*8)+'LINEST VARS'!$I$56*(8*$BD$56)+'LINEST VARS'!$H$56*(8*$AZ70)+'LINEST VARS'!$G$56*(8*12.73)+'LINEST VARS'!$F$56*(8*$BD$56)+'LINEST VARS'!$E$56*(8*$AZ70)+'LINEST VARS'!$D$56*(8*12.73)+'LINEST VARS'!$C$56*($BD$56*$AZ70)+'LINEST VARS'!$B$56*($BD$56*12.73)+'LINEST VARS'!$A$56*($AZ70*12.73)</f>
        <v>2.845600000000001</v>
      </c>
      <c r="BE70" s="51">
        <f>'LINEST VARS'!$U$56+'LINEST VARS'!$T$56*(8)+'LINEST VARS'!$S$56*(8)+'LINEST VARS'!$R$56*($BE$56)+'LINEST VARS'!$Q$56*($AZ70)+'LINEST VARS'!$P$56*(12.73)+'LINEST VARS'!$O$56*(8^2)+'LINEST VARS'!$N$56*(8^2)+'LINEST VARS'!$M$56*($BE$56^2)+'LINEST VARS'!$L$56*($AZ70^2)+'LINEST VARS'!$K$56*(12.73^2)+'LINEST VARS'!$J$56*(8*8)+'LINEST VARS'!$I$56*(8*$BE$56)+'LINEST VARS'!$H$56*(8*$AZ70)+'LINEST VARS'!$G$56*(8*12.73)+'LINEST VARS'!$F$56*(8*$BE$56)+'LINEST VARS'!$E$56*(8*$AZ70)+'LINEST VARS'!$D$56*(8*12.73)+'LINEST VARS'!$C$56*($BE$56*$AZ70)+'LINEST VARS'!$B$56*($BE$56*12.73)+'LINEST VARS'!$A$56*($AZ70*12.73)</f>
        <v>2.8544000000000014</v>
      </c>
      <c r="BF70" s="51">
        <f>'LINEST VARS'!$U$56+'LINEST VARS'!$T$56*(8)+'LINEST VARS'!$S$56*(8)+'LINEST VARS'!$R$56*($BF$56)+'LINEST VARS'!$Q$56*($AZ70)+'LINEST VARS'!$P$56*(12.73)+'LINEST VARS'!$O$56*(8^2)+'LINEST VARS'!$N$56*(8^2)+'LINEST VARS'!$M$56*($BF$56^2)+'LINEST VARS'!$L$56*($AZ70^2)+'LINEST VARS'!$K$56*(12.73^2)+'LINEST VARS'!$J$56*(8*8)+'LINEST VARS'!$I$56*(8*$BF$56)+'LINEST VARS'!$H$56*(8*$AZ70)+'LINEST VARS'!$G$56*(8*12.73)+'LINEST VARS'!$F$56*(8*$BF$56)+'LINEST VARS'!$E$56*(8*$AZ70)+'LINEST VARS'!$D$56*(8*12.73)+'LINEST VARS'!$C$56*($BF$56*$AZ70)+'LINEST VARS'!$B$56*($BF$56*12.73)+'LINEST VARS'!$A$56*($AZ70*12.73)</f>
        <v>2.8600000000000012</v>
      </c>
      <c r="BG70" s="51">
        <f>'LINEST VARS'!$U$56+'LINEST VARS'!$T$56*(8)+'LINEST VARS'!$S$56*(8)+'LINEST VARS'!$R$56*($BG$56)+'LINEST VARS'!$Q$56*($AZ70)+'LINEST VARS'!$P$56*(12.73)+'LINEST VARS'!$O$56*(8^2)+'LINEST VARS'!$N$56*(8^2)+'LINEST VARS'!$M$56*($BG$56^2)+'LINEST VARS'!$L$56*($AZ70^2)+'LINEST VARS'!$K$56*(12.73^2)+'LINEST VARS'!$J$56*(8*8)+'LINEST VARS'!$I$56*(8*$BG$56)+'LINEST VARS'!$H$56*(8*$AZ70)+'LINEST VARS'!$G$56*(8*12.73)+'LINEST VARS'!$F$56*(8*$BG$56)+'LINEST VARS'!$E$56*(8*$AZ70)+'LINEST VARS'!$D$56*(8*12.73)+'LINEST VARS'!$C$56*($BG$56*$AZ70)+'LINEST VARS'!$B$56*($BG$56*12.73)+'LINEST VARS'!$A$56*($AZ70*12.73)</f>
        <v>2.8624000000000014</v>
      </c>
      <c r="BH70" s="51">
        <f>'LINEST VARS'!$U$56+'LINEST VARS'!$T$56*(8)+'LINEST VARS'!$S$56*(8)+'LINEST VARS'!$R$56*($BH$56)+'LINEST VARS'!$Q$56*($AZ70)+'LINEST VARS'!$P$56*(12.73)+'LINEST VARS'!$O$56*(8^2)+'LINEST VARS'!$N$56*(8^2)+'LINEST VARS'!$M$56*($BH$56^2)+'LINEST VARS'!$L$56*($AZ70^2)+'LINEST VARS'!$K$56*(12.73^2)+'LINEST VARS'!$J$56*(8*8)+'LINEST VARS'!$I$56*(8*$BH$56)+'LINEST VARS'!$H$56*(8*$AZ70)+'LINEST VARS'!$G$56*(8*12.73)+'LINEST VARS'!$F$56*(8*$BH$56)+'LINEST VARS'!$E$56*(8*$AZ70)+'LINEST VARS'!$D$56*(8*12.73)+'LINEST VARS'!$C$56*($BH$56*$AZ70)+'LINEST VARS'!$B$56*($BH$56*12.73)+'LINEST VARS'!$A$56*($AZ70*12.73)</f>
        <v>2.861600000000001</v>
      </c>
      <c r="BI70" s="51">
        <f>'LINEST VARS'!$U$56+'LINEST VARS'!$T$56*(8)+'LINEST VARS'!$S$56*(8)+'LINEST VARS'!$R$56*($BI$56)+'LINEST VARS'!$Q$56*($AZ70)+'LINEST VARS'!$P$56*(12.73)+'LINEST VARS'!$O$56*(8^2)+'LINEST VARS'!$N$56*(8^2)+'LINEST VARS'!$M$56*($BI$56^2)+'LINEST VARS'!$L$56*($AZ70^2)+'LINEST VARS'!$K$56*(12.73^2)+'LINEST VARS'!$J$56*(8*8)+'LINEST VARS'!$I$56*(8*$BI$56)+'LINEST VARS'!$H$56*(8*$AZ70)+'LINEST VARS'!$G$56*(8*12.73)+'LINEST VARS'!$F$56*(8*$BI$56)+'LINEST VARS'!$E$56*(8*$AZ70)+'LINEST VARS'!$D$56*(8*12.73)+'LINEST VARS'!$C$56*($BI$56*$AZ70)+'LINEST VARS'!$B$56*($BI$56*12.73)+'LINEST VARS'!$A$56*($AZ70*12.73)</f>
        <v>2.857600000000001</v>
      </c>
      <c r="BJ70" s="51">
        <f>'LINEST VARS'!$U$56+'LINEST VARS'!$T$56*(8)+'LINEST VARS'!$S$56*(8)+'LINEST VARS'!$R$56*($BJ$56)+'LINEST VARS'!$Q$56*($AZ70)+'LINEST VARS'!$P$56*(12.73)+'LINEST VARS'!$O$56*(8^2)+'LINEST VARS'!$N$56*(8^2)+'LINEST VARS'!$M$56*($BJ$56^2)+'LINEST VARS'!$L$56*($AZ70^2)+'LINEST VARS'!$K$56*(12.73^2)+'LINEST VARS'!$J$56*(8*8)+'LINEST VARS'!$I$56*(8*$BJ$56)+'LINEST VARS'!$H$56*(8*$AZ70)+'LINEST VARS'!$G$56*(8*12.73)+'LINEST VARS'!$F$56*(8*$BJ$56)+'LINEST VARS'!$E$56*(8*$AZ70)+'LINEST VARS'!$D$56*(8*12.73)+'LINEST VARS'!$C$56*($BJ$56*$AZ70)+'LINEST VARS'!$B$56*($BJ$56*12.73)+'LINEST VARS'!$A$56*($AZ70*12.73)</f>
        <v>2.8504000000000014</v>
      </c>
      <c r="BK70" s="51">
        <f>'LINEST VARS'!$U$56+'LINEST VARS'!$T$56*(8)+'LINEST VARS'!$S$56*(8)+'LINEST VARS'!$R$56*($BK$56)+'LINEST VARS'!$Q$56*($AZ70)+'LINEST VARS'!$P$56*(12.73)+'LINEST VARS'!$O$56*(8^2)+'LINEST VARS'!$N$56*(8^2)+'LINEST VARS'!$M$56*($BK$56^2)+'LINEST VARS'!$L$56*($AZ70^2)+'LINEST VARS'!$K$56*(12.73^2)+'LINEST VARS'!$J$56*(8*8)+'LINEST VARS'!$I$56*(8*$BK$56)+'LINEST VARS'!$H$56*(8*$AZ70)+'LINEST VARS'!$G$56*(8*12.73)+'LINEST VARS'!$F$56*(8*$BK$56)+'LINEST VARS'!$E$56*(8*$AZ70)+'LINEST VARS'!$D$56*(8*12.73)+'LINEST VARS'!$C$56*($BK$56*$AZ70)+'LINEST VARS'!$B$56*($BK$56*12.73)+'LINEST VARS'!$A$56*($AZ70*12.73)</f>
        <v>2.8400000000000012</v>
      </c>
      <c r="BL70" s="51">
        <f>'LINEST VARS'!$U$56+'LINEST VARS'!$T$56*(8)+'LINEST VARS'!$S$56*(8)+'LINEST VARS'!$R$56*($BL$56)+'LINEST VARS'!$Q$56*($AZ70)+'LINEST VARS'!$P$56*(12.73)+'LINEST VARS'!$O$56*(8^2)+'LINEST VARS'!$N$56*(8^2)+'LINEST VARS'!$M$56*($BL$56^2)+'LINEST VARS'!$L$56*($AZ70^2)+'LINEST VARS'!$K$56*(12.73^2)+'LINEST VARS'!$J$56*(8*8)+'LINEST VARS'!$I$56*(8*$BL$56)+'LINEST VARS'!$H$56*(8*$AZ70)+'LINEST VARS'!$G$56*(8*12.73)+'LINEST VARS'!$F$56*(8*$BL$56)+'LINEST VARS'!$E$56*(8*$AZ70)+'LINEST VARS'!$D$56*(8*12.73)+'LINEST VARS'!$C$56*($BL$56*$AZ70)+'LINEST VARS'!$B$56*($BL$56*12.73)+'LINEST VARS'!$A$56*($AZ70*12.73)</f>
        <v>2.8264000000000014</v>
      </c>
      <c r="BM70" s="51">
        <f>'LINEST VARS'!$U$56+'LINEST VARS'!$T$56*(8)+'LINEST VARS'!$S$56*(8)+'LINEST VARS'!$R$56*($BM$56)+'LINEST VARS'!$Q$56*($AZ70)+'LINEST VARS'!$P$56*(12.73)+'LINEST VARS'!$O$56*(8^2)+'LINEST VARS'!$N$56*(8^2)+'LINEST VARS'!$M$56*($BM$56^2)+'LINEST VARS'!$L$56*($AZ70^2)+'LINEST VARS'!$K$56*(12.73^2)+'LINEST VARS'!$J$56*(8*8)+'LINEST VARS'!$I$56*(8*$BM$56)+'LINEST VARS'!$H$56*(8*$AZ70)+'LINEST VARS'!$G$56*(8*12.73)+'LINEST VARS'!$F$56*(8*$BM$56)+'LINEST VARS'!$E$56*(8*$AZ70)+'LINEST VARS'!$D$56*(8*12.73)+'LINEST VARS'!$C$56*($BM$56*$AZ70)+'LINEST VARS'!$B$56*($BM$56*12.73)+'LINEST VARS'!$A$56*($AZ70*12.73)</f>
        <v>2.809600000000001</v>
      </c>
      <c r="BN70" s="51">
        <f>'LINEST VARS'!$U$56+'LINEST VARS'!$T$56*(8)+'LINEST VARS'!$S$56*(8)+'LINEST VARS'!$R$56*($BN$56)+'LINEST VARS'!$Q$56*($AZ70)+'LINEST VARS'!$P$56*(12.73)+'LINEST VARS'!$O$56*(8^2)+'LINEST VARS'!$N$56*(8^2)+'LINEST VARS'!$M$56*($BN$56^2)+'LINEST VARS'!$L$56*($AZ70^2)+'LINEST VARS'!$K$56*(12.73^2)+'LINEST VARS'!$J$56*(8*8)+'LINEST VARS'!$I$56*(8*$BN$56)+'LINEST VARS'!$H$56*(8*$AZ70)+'LINEST VARS'!$G$56*(8*12.73)+'LINEST VARS'!$F$56*(8*$BN$56)+'LINEST VARS'!$E$56*(8*$AZ70)+'LINEST VARS'!$D$56*(8*12.73)+'LINEST VARS'!$C$56*($BN$56*$AZ70)+'LINEST VARS'!$B$56*($BN$56*12.73)+'LINEST VARS'!$A$56*($AZ70*12.73)</f>
        <v>2.789600000000001</v>
      </c>
      <c r="BO70" s="51">
        <f>'LINEST VARS'!$U$56+'LINEST VARS'!$T$56*(8)+'LINEST VARS'!$S$56*(8)+'LINEST VARS'!$R$56*($BO$56)+'LINEST VARS'!$Q$56*($AZ70)+'LINEST VARS'!$P$56*(12.73)+'LINEST VARS'!$O$56*(8^2)+'LINEST VARS'!$N$56*(8^2)+'LINEST VARS'!$M$56*($BO$56^2)+'LINEST VARS'!$L$56*($AZ70^2)+'LINEST VARS'!$K$56*(12.73^2)+'LINEST VARS'!$J$56*(8*8)+'LINEST VARS'!$I$56*(8*$BO$56)+'LINEST VARS'!$H$56*(8*$AZ70)+'LINEST VARS'!$G$56*(8*12.73)+'LINEST VARS'!$F$56*(8*$BO$56)+'LINEST VARS'!$E$56*(8*$AZ70)+'LINEST VARS'!$D$56*(8*12.73)+'LINEST VARS'!$C$56*($BO$56*$AZ70)+'LINEST VARS'!$B$56*($BO$56*12.73)+'LINEST VARS'!$A$56*($AZ70*12.73)</f>
        <v>2.7664000000000013</v>
      </c>
      <c r="BP70" s="51">
        <f>'LINEST VARS'!$U$56+'LINEST VARS'!$T$56*(8)+'LINEST VARS'!$S$56*(8)+'LINEST VARS'!$R$56*($BP$56)+'LINEST VARS'!$Q$56*($AZ70)+'LINEST VARS'!$P$56*(12.73)+'LINEST VARS'!$O$56*(8^2)+'LINEST VARS'!$N$56*(8^2)+'LINEST VARS'!$M$56*($BP$56^2)+'LINEST VARS'!$L$56*($AZ70^2)+'LINEST VARS'!$K$56*(12.73^2)+'LINEST VARS'!$J$56*(8*8)+'LINEST VARS'!$I$56*(8*$BP$56)+'LINEST VARS'!$H$56*(8*$AZ70)+'LINEST VARS'!$G$56*(8*12.73)+'LINEST VARS'!$F$56*(8*$BP$56)+'LINEST VARS'!$E$56*(8*$AZ70)+'LINEST VARS'!$D$56*(8*12.73)+'LINEST VARS'!$C$56*($BP$56*$AZ70)+'LINEST VARS'!$B$56*($BP$56*12.73)+'LINEST VARS'!$A$56*($AZ70*12.73)</f>
        <v>2.7400000000000011</v>
      </c>
      <c r="BQ70" s="51">
        <f>'LINEST VARS'!$U$56+'LINEST VARS'!$T$56*(8)+'LINEST VARS'!$S$56*(8)+'LINEST VARS'!$R$56*($BQ$56)+'LINEST VARS'!$Q$56*($AZ70)+'LINEST VARS'!$P$56*(12.73)+'LINEST VARS'!$O$56*(8^2)+'LINEST VARS'!$N$56*(8^2)+'LINEST VARS'!$M$56*($BQ$56^2)+'LINEST VARS'!$L$56*($AZ70^2)+'LINEST VARS'!$K$56*(12.73^2)+'LINEST VARS'!$J$56*(8*8)+'LINEST VARS'!$I$56*(8*$BQ$56)+'LINEST VARS'!$H$56*(8*$AZ70)+'LINEST VARS'!$G$56*(8*12.73)+'LINEST VARS'!$F$56*(8*$BQ$56)+'LINEST VARS'!$E$56*(8*$AZ70)+'LINEST VARS'!$D$56*(8*12.73)+'LINEST VARS'!$C$56*($BQ$56*$AZ70)+'LINEST VARS'!$B$56*($BQ$56*12.73)+'LINEST VARS'!$A$56*($AZ70*12.73)</f>
        <v>2.7104000000000008</v>
      </c>
      <c r="BR70" s="51">
        <f>'LINEST VARS'!$U$56+'LINEST VARS'!$T$56*(8)+'LINEST VARS'!$S$56*(8)+'LINEST VARS'!$R$56*($BR$56)+'LINEST VARS'!$Q$56*($AZ70)+'LINEST VARS'!$P$56*(12.73)+'LINEST VARS'!$O$56*(8^2)+'LINEST VARS'!$N$56*(8^2)+'LINEST VARS'!$M$56*($BR$56^2)+'LINEST VARS'!$L$56*($AZ70^2)+'LINEST VARS'!$K$56*(12.73^2)+'LINEST VARS'!$J$56*(8*8)+'LINEST VARS'!$I$56*(8*$BR$56)+'LINEST VARS'!$H$56*(8*$AZ70)+'LINEST VARS'!$G$56*(8*12.73)+'LINEST VARS'!$F$56*(8*$BR$56)+'LINEST VARS'!$E$56*(8*$AZ70)+'LINEST VARS'!$D$56*(8*12.73)+'LINEST VARS'!$C$56*($BR$56*$AZ70)+'LINEST VARS'!$B$56*($BR$56*12.73)+'LINEST VARS'!$A$56*($AZ70*12.73)</f>
        <v>2.6776000000000013</v>
      </c>
      <c r="BS70" s="51">
        <f>'LINEST VARS'!$U$56+'LINEST VARS'!$T$56*(8)+'LINEST VARS'!$S$56*(8)+'LINEST VARS'!$R$56*($BS$56)+'LINEST VARS'!$Q$56*($AZ70)+'LINEST VARS'!$P$56*(12.73)+'LINEST VARS'!$O$56*(8^2)+'LINEST VARS'!$N$56*(8^2)+'LINEST VARS'!$M$56*($BS$56^2)+'LINEST VARS'!$L$56*($AZ70^2)+'LINEST VARS'!$K$56*(12.73^2)+'LINEST VARS'!$J$56*(8*8)+'LINEST VARS'!$I$56*(8*$BS$56)+'LINEST VARS'!$H$56*(8*$AZ70)+'LINEST VARS'!$G$56*(8*12.73)+'LINEST VARS'!$F$56*(8*$BS$56)+'LINEST VARS'!$E$56*(8*$AZ70)+'LINEST VARS'!$D$56*(8*12.73)+'LINEST VARS'!$C$56*($BS$56*$AZ70)+'LINEST VARS'!$B$56*($BS$56*12.73)+'LINEST VARS'!$A$56*($AZ70*12.73)</f>
        <v>2.6416000000000008</v>
      </c>
      <c r="BT70" s="51">
        <f>'LINEST VARS'!$U$56+'LINEST VARS'!$T$56*(8)+'LINEST VARS'!$S$56*(8)+'LINEST VARS'!$R$56*($BT$56)+'LINEST VARS'!$Q$56*($AZ70)+'LINEST VARS'!$P$56*(12.73)+'LINEST VARS'!$O$56*(8^2)+'LINEST VARS'!$N$56*(8^2)+'LINEST VARS'!$M$56*($BT$56^2)+'LINEST VARS'!$L$56*($AZ70^2)+'LINEST VARS'!$K$56*(12.73^2)+'LINEST VARS'!$J$56*(8*8)+'LINEST VARS'!$I$56*(8*$BT$56)+'LINEST VARS'!$H$56*(8*$AZ70)+'LINEST VARS'!$G$56*(8*12.73)+'LINEST VARS'!$F$56*(8*$BT$56)+'LINEST VARS'!$E$56*(8*$AZ70)+'LINEST VARS'!$D$56*(8*12.73)+'LINEST VARS'!$C$56*($BT$56*$AZ70)+'LINEST VARS'!$B$56*($BT$56*12.73)+'LINEST VARS'!$A$56*($AZ70*12.73)</f>
        <v>2.6024000000000012</v>
      </c>
      <c r="BU70" s="52">
        <f>'LINEST VARS'!$U$56+'LINEST VARS'!$T$56*(8)+'LINEST VARS'!$S$56*(8)+'LINEST VARS'!$R$56*($BU$56)+'LINEST VARS'!$Q$56*($AZ70)+'LINEST VARS'!$P$56*(12.73)+'LINEST VARS'!$O$56*(8^2)+'LINEST VARS'!$N$56*(8^2)+'LINEST VARS'!$M$56*($BU$56^2)+'LINEST VARS'!$L$56*($AZ70^2)+'LINEST VARS'!$K$56*(12.73^2)+'LINEST VARS'!$J$56*(8*8)+'LINEST VARS'!$I$56*(8*$BU$56)+'LINEST VARS'!$H$56*(8*$AZ70)+'LINEST VARS'!$G$56*(8*12.73)+'LINEST VARS'!$F$56*(8*$BU$56)+'LINEST VARS'!$E$56*(8*$AZ70)+'LINEST VARS'!$D$56*(8*12.73)+'LINEST VARS'!$C$56*($BU$56*$AZ70)+'LINEST VARS'!$B$56*($BU$56*12.73)+'LINEST VARS'!$A$56*($AZ70*12.73)</f>
        <v>2.5600000000000009</v>
      </c>
      <c r="BX70" s="45">
        <v>0.65</v>
      </c>
      <c r="BY70" s="51">
        <f>'LINEST VARS'!$U$58+'LINEST VARS'!$T$58*(8)+'LINEST VARS'!$S$58*(8)+'LINEST VARS'!$R$58*($BY$56)+'LINEST VARS'!$Q$58*($BX70)+'LINEST VARS'!$P$58*(12.73)+'LINEST VARS'!$O$58*(8^2)+'LINEST VARS'!$N$58*(8^2)+'LINEST VARS'!$M$58*($BY$56^2)+'LINEST VARS'!$L$58*($BX70^2)+'LINEST VARS'!$K$58*(12.73^2)+'LINEST VARS'!$J$58*(8*8)+'LINEST VARS'!$I$58*(8*$BY$56)+'LINEST VARS'!$H$58*(8*$BX70)+'LINEST VARS'!$G$58*(8*12.73)+'LINEST VARS'!$F$58*(8*$BY$56)+'LINEST VARS'!$E$58*(8*$BX70)+'LINEST VARS'!$D$58*(8*12.73)+'LINEST VARS'!$C$58*($BY$56*$BX70)+'LINEST VARS'!$B$58*($BY$56*12.73)+'LINEST VARS'!$A$58*($BX70*12.73)</f>
        <v>0.86365000000000036</v>
      </c>
      <c r="BZ70" s="51">
        <f>'LINEST VARS'!$U$58+'LINEST VARS'!$T$58*(8)+'LINEST VARS'!$S$58*(8)+'LINEST VARS'!$R$58*($BZ$56)+'LINEST VARS'!$Q$58*($BX70)+'LINEST VARS'!$P$58*(12.73)+'LINEST VARS'!$O$58*(8^2)+'LINEST VARS'!$N$58*(8^2)+'LINEST VARS'!$M$58*($BZ$56^2)+'LINEST VARS'!$L$58*($BX70^2)+'LINEST VARS'!$K$58*(12.73^2)+'LINEST VARS'!$J$58*(8*8)+'LINEST VARS'!$I$58*(8*$BZ$56)+'LINEST VARS'!$H$58*(8*$BX70)+'LINEST VARS'!$G$58*(8*12.73)+'LINEST VARS'!$F$58*(8*$BZ$56)+'LINEST VARS'!$E$58*(8*$BX70)+'LINEST VARS'!$D$58*(8*12.73)+'LINEST VARS'!$C$58*($BZ$56*$BX70)+'LINEST VARS'!$B$58*($BZ$56*12.73)+'LINEST VARS'!$A$58*($BX70*12.73)</f>
        <v>0.87165000000000037</v>
      </c>
      <c r="CA70" s="51">
        <f>'LINEST VARS'!$U$58+'LINEST VARS'!$T$58*(8)+'LINEST VARS'!$S$58*(8)+'LINEST VARS'!$R$58*($CA$56)+'LINEST VARS'!$Q$58*($BX70)+'LINEST VARS'!$P$58*(12.73)+'LINEST VARS'!$O$58*(8^2)+'LINEST VARS'!$N$58*(8^2)+'LINEST VARS'!$M$58*($CA$56^2)+'LINEST VARS'!$L$58*($BX70^2)+'LINEST VARS'!$K$58*(12.73^2)+'LINEST VARS'!$J$58*(8*8)+'LINEST VARS'!$I$58*(8*$CA$56)+'LINEST VARS'!$H$58*(8*$BX70)+'LINEST VARS'!$G$58*(8*12.73)+'LINEST VARS'!$F$58*(8*$CA$56)+'LINEST VARS'!$E$58*(8*$BX70)+'LINEST VARS'!$D$58*(8*12.73)+'LINEST VARS'!$C$58*($CA$56*$BX70)+'LINEST VARS'!$B$58*($CA$56*12.73)+'LINEST VARS'!$A$58*($BX70*12.73)</f>
        <v>0.87965000000000027</v>
      </c>
      <c r="CB70" s="51">
        <f>'LINEST VARS'!$U$58+'LINEST VARS'!$T$58*(8)+'LINEST VARS'!$S$58*(8)+'LINEST VARS'!$R$58*($CB$56)+'LINEST VARS'!$Q$58*($BX70)+'LINEST VARS'!$P$58*(12.73)+'LINEST VARS'!$O$58*(8^2)+'LINEST VARS'!$N$58*(8^2)+'LINEST VARS'!$M$58*($CB$56^2)+'LINEST VARS'!$L$58*($BX70^2)+'LINEST VARS'!$K$58*(12.73^2)+'LINEST VARS'!$J$58*(8*8)+'LINEST VARS'!$I$58*(8*$CB$56)+'LINEST VARS'!$H$58*(8*$BX70)+'LINEST VARS'!$G$58*(8*12.73)+'LINEST VARS'!$F$58*(8*$CB$56)+'LINEST VARS'!$E$58*(8*$BX70)+'LINEST VARS'!$D$58*(8*12.73)+'LINEST VARS'!$C$58*($CB$56*$BX70)+'LINEST VARS'!$B$58*($CB$56*12.73)+'LINEST VARS'!$A$58*($BX70*12.73)</f>
        <v>0.88765000000000027</v>
      </c>
      <c r="CC70" s="51">
        <f>'LINEST VARS'!$U$58+'LINEST VARS'!$T$58*(8)+'LINEST VARS'!$S$58*(8)+'LINEST VARS'!$R$58*($CC$56)+'LINEST VARS'!$Q$58*($BX70)+'LINEST VARS'!$P$58*(12.73)+'LINEST VARS'!$O$58*(8^2)+'LINEST VARS'!$N$58*(8^2)+'LINEST VARS'!$M$58*($CC$56^2)+'LINEST VARS'!$L$58*($BX70^2)+'LINEST VARS'!$K$58*(12.73^2)+'LINEST VARS'!$J$58*(8*8)+'LINEST VARS'!$I$58*(8*$CC$56)+'LINEST VARS'!$H$58*(8*$BX70)+'LINEST VARS'!$G$58*(8*12.73)+'LINEST VARS'!$F$58*(8*$CC$56)+'LINEST VARS'!$E$58*(8*$BX70)+'LINEST VARS'!$D$58*(8*12.73)+'LINEST VARS'!$C$58*($CC$56*$BX70)+'LINEST VARS'!$B$58*($CC$56*12.73)+'LINEST VARS'!$A$58*($BX70*12.73)</f>
        <v>0.89565000000000017</v>
      </c>
      <c r="CD70" s="51">
        <f>'LINEST VARS'!$U$58+'LINEST VARS'!$T$58*(8)+'LINEST VARS'!$S$58*(8)+'LINEST VARS'!$R$58*($CD$56)+'LINEST VARS'!$Q$58*($BX70)+'LINEST VARS'!$P$58*(12.73)+'LINEST VARS'!$O$58*(8^2)+'LINEST VARS'!$N$58*(8^2)+'LINEST VARS'!$M$58*($CD$56^2)+'LINEST VARS'!$L$58*($BX70^2)+'LINEST VARS'!$K$58*(12.73^2)+'LINEST VARS'!$J$58*(8*8)+'LINEST VARS'!$I$58*(8*$CD$56)+'LINEST VARS'!$H$58*(8*$BX70)+'LINEST VARS'!$G$58*(8*12.73)+'LINEST VARS'!$F$58*(8*$CD$56)+'LINEST VARS'!$E$58*(8*$BX70)+'LINEST VARS'!$D$58*(8*12.73)+'LINEST VARS'!$C$58*($CD$56*$BX70)+'LINEST VARS'!$B$58*($CD$56*12.73)+'LINEST VARS'!$A$58*($BX70*12.73)</f>
        <v>0.90365000000000029</v>
      </c>
      <c r="CE70" s="51">
        <f>'LINEST VARS'!$U$58+'LINEST VARS'!$T$58*(8)+'LINEST VARS'!$S$58*(8)+'LINEST VARS'!$R$58*($CE$56)+'LINEST VARS'!$Q$58*($BX70)+'LINEST VARS'!$P$58*(12.73)+'LINEST VARS'!$O$58*(8^2)+'LINEST VARS'!$N$58*(8^2)+'LINEST VARS'!$M$58*($CE$56^2)+'LINEST VARS'!$L$58*($BX70^2)+'LINEST VARS'!$K$58*(12.73^2)+'LINEST VARS'!$J$58*(8*8)+'LINEST VARS'!$I$58*(8*$CE$56)+'LINEST VARS'!$H$58*(8*$BX70)+'LINEST VARS'!$G$58*(8*12.73)+'LINEST VARS'!$F$58*(8*$CE$56)+'LINEST VARS'!$E$58*(8*$BX70)+'LINEST VARS'!$D$58*(8*12.73)+'LINEST VARS'!$C$58*($CE$56*$BX70)+'LINEST VARS'!$B$58*($CE$56*12.73)+'LINEST VARS'!$A$58*($BX70*12.73)</f>
        <v>0.91165000000000029</v>
      </c>
      <c r="CF70" s="51">
        <f>'LINEST VARS'!$U$58+'LINEST VARS'!$T$58*(8)+'LINEST VARS'!$S$58*(8)+'LINEST VARS'!$R$58*($CF$56)+'LINEST VARS'!$Q$58*($BX70)+'LINEST VARS'!$P$58*(12.73)+'LINEST VARS'!$O$58*(8^2)+'LINEST VARS'!$N$58*(8^2)+'LINEST VARS'!$M$58*($CF$56^2)+'LINEST VARS'!$L$58*($BX70^2)+'LINEST VARS'!$K$58*(12.73^2)+'LINEST VARS'!$J$58*(8*8)+'LINEST VARS'!$I$58*(8*$CF$56)+'LINEST VARS'!$H$58*(8*$BX70)+'LINEST VARS'!$G$58*(8*12.73)+'LINEST VARS'!$F$58*(8*$CF$56)+'LINEST VARS'!$E$58*(8*$BX70)+'LINEST VARS'!$D$58*(8*12.73)+'LINEST VARS'!$C$58*($CF$56*$BX70)+'LINEST VARS'!$B$58*($CF$56*12.73)+'LINEST VARS'!$A$58*($BX70*12.73)</f>
        <v>0.9196500000000003</v>
      </c>
      <c r="CG70" s="51">
        <f>'LINEST VARS'!$U$58+'LINEST VARS'!$T$58*(8)+'LINEST VARS'!$S$58*(8)+'LINEST VARS'!$R$58*($CG$56)+'LINEST VARS'!$Q$58*($BX70)+'LINEST VARS'!$P$58*(12.73)+'LINEST VARS'!$O$58*(8^2)+'LINEST VARS'!$N$58*(8^2)+'LINEST VARS'!$M$58*($CG$56^2)+'LINEST VARS'!$L$58*($BX70^2)+'LINEST VARS'!$K$58*(12.73^2)+'LINEST VARS'!$J$58*(8*8)+'LINEST VARS'!$I$58*(8*$CG$56)+'LINEST VARS'!$H$58*(8*$BX70)+'LINEST VARS'!$G$58*(8*12.73)+'LINEST VARS'!$F$58*(8*$CG$56)+'LINEST VARS'!$E$58*(8*$BX70)+'LINEST VARS'!$D$58*(8*12.73)+'LINEST VARS'!$C$58*($CG$56*$BX70)+'LINEST VARS'!$B$58*($CG$56*12.73)+'LINEST VARS'!$A$58*($BX70*12.73)</f>
        <v>0.92765000000000042</v>
      </c>
      <c r="CH70" s="51">
        <f>'LINEST VARS'!$U$58+'LINEST VARS'!$T$58*(8)+'LINEST VARS'!$S$58*(8)+'LINEST VARS'!$R$58*($CH$56)+'LINEST VARS'!$Q$58*($BX70)+'LINEST VARS'!$P$58*(12.73)+'LINEST VARS'!$O$58*(8^2)+'LINEST VARS'!$N$58*(8^2)+'LINEST VARS'!$M$58*($CH$56^2)+'LINEST VARS'!$L$58*($BX70^2)+'LINEST VARS'!$K$58*(12.73^2)+'LINEST VARS'!$J$58*(8*8)+'LINEST VARS'!$I$58*(8*$CH$56)+'LINEST VARS'!$H$58*(8*$BX70)+'LINEST VARS'!$G$58*(8*12.73)+'LINEST VARS'!$F$58*(8*$CH$56)+'LINEST VARS'!$E$58*(8*$BX70)+'LINEST VARS'!$D$58*(8*12.73)+'LINEST VARS'!$C$58*($CH$56*$BX70)+'LINEST VARS'!$B$58*($CH$56*12.73)+'LINEST VARS'!$A$58*($BX70*12.73)</f>
        <v>0.93565000000000031</v>
      </c>
      <c r="CI70" s="51">
        <f>'LINEST VARS'!$U$58+'LINEST VARS'!$T$58*(8)+'LINEST VARS'!$S$58*(8)+'LINEST VARS'!$R$58*($CI$56)+'LINEST VARS'!$Q$58*($BX70)+'LINEST VARS'!$P$58*(12.73)+'LINEST VARS'!$O$58*(8^2)+'LINEST VARS'!$N$58*(8^2)+'LINEST VARS'!$M$58*($CI$56^2)+'LINEST VARS'!$L$58*($BX70^2)+'LINEST VARS'!$K$58*(12.73^2)+'LINEST VARS'!$J$58*(8*8)+'LINEST VARS'!$I$58*(8*$CI$56)+'LINEST VARS'!$H$58*(8*$BX70)+'LINEST VARS'!$G$58*(8*12.73)+'LINEST VARS'!$F$58*(8*$CI$56)+'LINEST VARS'!$E$58*(8*$BX70)+'LINEST VARS'!$D$58*(8*12.73)+'LINEST VARS'!$C$58*($CI$56*$BX70)+'LINEST VARS'!$B$58*($CI$56*12.73)+'LINEST VARS'!$A$58*($BX70*12.73)</f>
        <v>0.94365000000000032</v>
      </c>
      <c r="CJ70" s="51">
        <f>'LINEST VARS'!$U$58+'LINEST VARS'!$T$58*(8)+'LINEST VARS'!$S$58*(8)+'LINEST VARS'!$R$58*($CJ$56)+'LINEST VARS'!$Q$58*($BX70)+'LINEST VARS'!$P$58*(12.73)+'LINEST VARS'!$O$58*(8^2)+'LINEST VARS'!$N$58*(8^2)+'LINEST VARS'!$M$58*($CJ$56^2)+'LINEST VARS'!$L$58*($BX70^2)+'LINEST VARS'!$K$58*(12.73^2)+'LINEST VARS'!$J$58*(8*8)+'LINEST VARS'!$I$58*(8*$CJ$56)+'LINEST VARS'!$H$58*(8*$BX70)+'LINEST VARS'!$G$58*(8*12.73)+'LINEST VARS'!$F$58*(8*$CJ$56)+'LINEST VARS'!$E$58*(8*$BX70)+'LINEST VARS'!$D$58*(8*12.73)+'LINEST VARS'!$C$58*($CJ$56*$BX70)+'LINEST VARS'!$B$58*($CJ$56*12.73)+'LINEST VARS'!$A$58*($BX70*12.73)</f>
        <v>0.95165000000000022</v>
      </c>
      <c r="CK70" s="51">
        <f>'LINEST VARS'!$U$58+'LINEST VARS'!$T$58*(8)+'LINEST VARS'!$S$58*(8)+'LINEST VARS'!$R$58*($CK$56)+'LINEST VARS'!$Q$58*($BX70)+'LINEST VARS'!$P$58*(12.73)+'LINEST VARS'!$O$58*(8^2)+'LINEST VARS'!$N$58*(8^2)+'LINEST VARS'!$M$58*($CK$56^2)+'LINEST VARS'!$L$58*($BX70^2)+'LINEST VARS'!$K$58*(12.73^2)+'LINEST VARS'!$J$58*(8*8)+'LINEST VARS'!$I$58*(8*$CK$56)+'LINEST VARS'!$H$58*(8*$BX70)+'LINEST VARS'!$G$58*(8*12.73)+'LINEST VARS'!$F$58*(8*$CK$56)+'LINEST VARS'!$E$58*(8*$BX70)+'LINEST VARS'!$D$58*(8*12.73)+'LINEST VARS'!$C$58*($CK$56*$BX70)+'LINEST VARS'!$B$58*($CK$56*12.73)+'LINEST VARS'!$A$58*($BX70*12.73)</f>
        <v>0.95965000000000023</v>
      </c>
      <c r="CL70" s="51">
        <f>'LINEST VARS'!$U$58+'LINEST VARS'!$T$58*(8)+'LINEST VARS'!$S$58*(8)+'LINEST VARS'!$R$58*($CL$56)+'LINEST VARS'!$Q$58*($BX70)+'LINEST VARS'!$P$58*(12.73)+'LINEST VARS'!$O$58*(8^2)+'LINEST VARS'!$N$58*(8^2)+'LINEST VARS'!$M$58*($CL$56^2)+'LINEST VARS'!$L$58*($BX70^2)+'LINEST VARS'!$K$58*(12.73^2)+'LINEST VARS'!$J$58*(8*8)+'LINEST VARS'!$I$58*(8*$CL$56)+'LINEST VARS'!$H$58*(8*$BX70)+'LINEST VARS'!$G$58*(8*12.73)+'LINEST VARS'!$F$58*(8*$CL$56)+'LINEST VARS'!$E$58*(8*$BX70)+'LINEST VARS'!$D$58*(8*12.73)+'LINEST VARS'!$C$58*($CL$56*$BX70)+'LINEST VARS'!$B$58*($CL$56*12.73)+'LINEST VARS'!$A$58*($BX70*12.73)</f>
        <v>0.96765000000000012</v>
      </c>
      <c r="CM70" s="51">
        <f>'LINEST VARS'!$U$58+'LINEST VARS'!$T$58*(8)+'LINEST VARS'!$S$58*(8)+'LINEST VARS'!$R$58*($CM$56)+'LINEST VARS'!$Q$58*($BX70)+'LINEST VARS'!$P$58*(12.73)+'LINEST VARS'!$O$58*(8^2)+'LINEST VARS'!$N$58*(8^2)+'LINEST VARS'!$M$58*($CM$56^2)+'LINEST VARS'!$L$58*($BX70^2)+'LINEST VARS'!$K$58*(12.73^2)+'LINEST VARS'!$J$58*(8*8)+'LINEST VARS'!$I$58*(8*$CM$56)+'LINEST VARS'!$H$58*(8*$BX70)+'LINEST VARS'!$G$58*(8*12.73)+'LINEST VARS'!$F$58*(8*$CM$56)+'LINEST VARS'!$E$58*(8*$BX70)+'LINEST VARS'!$D$58*(8*12.73)+'LINEST VARS'!$C$58*($CM$56*$BX70)+'LINEST VARS'!$B$58*($CM$56*12.73)+'LINEST VARS'!$A$58*($BX70*12.73)</f>
        <v>0.97565000000000024</v>
      </c>
      <c r="CN70" s="51">
        <f>'LINEST VARS'!$U$58+'LINEST VARS'!$T$58*(8)+'LINEST VARS'!$S$58*(8)+'LINEST VARS'!$R$58*($CN$56)+'LINEST VARS'!$Q$58*($BX70)+'LINEST VARS'!$P$58*(12.73)+'LINEST VARS'!$O$58*(8^2)+'LINEST VARS'!$N$58*(8^2)+'LINEST VARS'!$M$58*($CN$56^2)+'LINEST VARS'!$L$58*($BX70^2)+'LINEST VARS'!$K$58*(12.73^2)+'LINEST VARS'!$J$58*(8*8)+'LINEST VARS'!$I$58*(8*$CN$56)+'LINEST VARS'!$H$58*(8*$BX70)+'LINEST VARS'!$G$58*(8*12.73)+'LINEST VARS'!$F$58*(8*$CN$56)+'LINEST VARS'!$E$58*(8*$BX70)+'LINEST VARS'!$D$58*(8*12.73)+'LINEST VARS'!$C$58*($CN$56*$BX70)+'LINEST VARS'!$B$58*($CN$56*12.73)+'LINEST VARS'!$A$58*($BX70*12.73)</f>
        <v>0.98365000000000025</v>
      </c>
      <c r="CO70" s="51">
        <f>'LINEST VARS'!$U$58+'LINEST VARS'!$T$58*(8)+'LINEST VARS'!$S$58*(8)+'LINEST VARS'!$R$58*($CO$56)+'LINEST VARS'!$Q$58*($BX70)+'LINEST VARS'!$P$58*(12.73)+'LINEST VARS'!$O$58*(8^2)+'LINEST VARS'!$N$58*(8^2)+'LINEST VARS'!$M$58*($CO$56^2)+'LINEST VARS'!$L$58*($BX70^2)+'LINEST VARS'!$K$58*(12.73^2)+'LINEST VARS'!$J$58*(8*8)+'LINEST VARS'!$I$58*(8*$CO$56)+'LINEST VARS'!$H$58*(8*$BX70)+'LINEST VARS'!$G$58*(8*12.73)+'LINEST VARS'!$F$58*(8*$CO$56)+'LINEST VARS'!$E$58*(8*$BX70)+'LINEST VARS'!$D$58*(8*12.73)+'LINEST VARS'!$C$58*($CO$56*$BX70)+'LINEST VARS'!$B$58*($CO$56*12.73)+'LINEST VARS'!$A$58*($BX70*12.73)</f>
        <v>0.99165000000000036</v>
      </c>
      <c r="CP70" s="51">
        <f>'LINEST VARS'!$U$58+'LINEST VARS'!$T$58*(8)+'LINEST VARS'!$S$58*(8)+'LINEST VARS'!$R$58*($CP$56)+'LINEST VARS'!$Q$58*($BX70)+'LINEST VARS'!$P$58*(12.73)+'LINEST VARS'!$O$58*(8^2)+'LINEST VARS'!$N$58*(8^2)+'LINEST VARS'!$M$58*($CP$56^2)+'LINEST VARS'!$L$58*($BX70^2)+'LINEST VARS'!$K$58*(12.73^2)+'LINEST VARS'!$J$58*(8*8)+'LINEST VARS'!$I$58*(8*$CP$56)+'LINEST VARS'!$H$58*(8*$BX70)+'LINEST VARS'!$G$58*(8*12.73)+'LINEST VARS'!$F$58*(8*$CP$56)+'LINEST VARS'!$E$58*(8*$BX70)+'LINEST VARS'!$D$58*(8*12.73)+'LINEST VARS'!$C$58*($CP$56*$BX70)+'LINEST VARS'!$B$58*($CP$56*12.73)+'LINEST VARS'!$A$58*($BX70*12.73)</f>
        <v>0.99965000000000037</v>
      </c>
      <c r="CQ70" s="51">
        <f>'LINEST VARS'!$U$58+'LINEST VARS'!$T$58*(8)+'LINEST VARS'!$S$58*(8)+'LINEST VARS'!$R$58*($CQ$56)+'LINEST VARS'!$Q$58*($BX70)+'LINEST VARS'!$P$58*(12.73)+'LINEST VARS'!$O$58*(8^2)+'LINEST VARS'!$N$58*(8^2)+'LINEST VARS'!$M$58*($CQ$56^2)+'LINEST VARS'!$L$58*($BX70^2)+'LINEST VARS'!$K$58*(12.73^2)+'LINEST VARS'!$J$58*(8*8)+'LINEST VARS'!$I$58*(8*$CQ$56)+'LINEST VARS'!$H$58*(8*$BX70)+'LINEST VARS'!$G$58*(8*12.73)+'LINEST VARS'!$F$58*(8*$CQ$56)+'LINEST VARS'!$E$58*(8*$BX70)+'LINEST VARS'!$D$58*(8*12.73)+'LINEST VARS'!$C$58*($CQ$56*$BX70)+'LINEST VARS'!$B$58*($CQ$56*12.73)+'LINEST VARS'!$A$58*($BX70*12.73)</f>
        <v>1.0076500000000002</v>
      </c>
      <c r="CR70" s="51">
        <f>'LINEST VARS'!$U$58+'LINEST VARS'!$T$58*(8)+'LINEST VARS'!$S$58*(8)+'LINEST VARS'!$R$58*($CR$56)+'LINEST VARS'!$Q$58*($BX70)+'LINEST VARS'!$P$58*(12.73)+'LINEST VARS'!$O$58*(8^2)+'LINEST VARS'!$N$58*(8^2)+'LINEST VARS'!$M$58*($CR$56^2)+'LINEST VARS'!$L$58*($BX70^2)+'LINEST VARS'!$K$58*(12.73^2)+'LINEST VARS'!$J$58*(8*8)+'LINEST VARS'!$I$58*(8*$CR$56)+'LINEST VARS'!$H$58*(8*$BX70)+'LINEST VARS'!$G$58*(8*12.73)+'LINEST VARS'!$F$58*(8*$CR$56)+'LINEST VARS'!$E$58*(8*$BX70)+'LINEST VARS'!$D$58*(8*12.73)+'LINEST VARS'!$C$58*($CR$56*$BX70)+'LINEST VARS'!$B$58*($CR$56*12.73)+'LINEST VARS'!$A$58*($BX70*12.73)</f>
        <v>1.0156499999999999</v>
      </c>
      <c r="CS70" s="52">
        <f>'LINEST VARS'!$U$58+'LINEST VARS'!$T$58*(8)+'LINEST VARS'!$S$58*(8)+'LINEST VARS'!$R$58*($CS$56)+'LINEST VARS'!$Q$58*($BX70)+'LINEST VARS'!$P$58*(12.73)+'LINEST VARS'!$O$58*(8^2)+'LINEST VARS'!$N$58*(8^2)+'LINEST VARS'!$M$58*($CS$56^2)+'LINEST VARS'!$L$58*($BX70^2)+'LINEST VARS'!$K$58*(12.73^2)+'LINEST VARS'!$J$58*(8*8)+'LINEST VARS'!$I$58*(8*$CS$56)+'LINEST VARS'!$H$58*(8*$BX70)+'LINEST VARS'!$G$58*(8*12.73)+'LINEST VARS'!$F$58*(8*$CS$56)+'LINEST VARS'!$E$58*(8*$BX70)+'LINEST VARS'!$D$58*(8*12.73)+'LINEST VARS'!$C$58*($CS$56*$BX70)+'LINEST VARS'!$B$58*($CS$56*12.73)+'LINEST VARS'!$A$58*($BX70*12.73)</f>
        <v>1.0236500000000002</v>
      </c>
      <c r="CX70" s="45">
        <v>16.8935</v>
      </c>
      <c r="CY70" s="51">
        <f>'LINEST VARS'!$U$56+'LINEST VARS'!$T$56*(8)+'LINEST VARS'!$S$56*(8)+'LINEST VARS'!$R$56*($CY$56)+'LINEST VARS'!$Q$56*(0.5)+'LINEST VARS'!$P$56*($CX70)+'LINEST VARS'!$O$56*(8^2)+'LINEST VARS'!$N$56*(8^2)+'LINEST VARS'!$M$56*($CY$56^2)+'LINEST VARS'!$L$56*(0.5^2)+'LINEST VARS'!$K$56*($CX70^2)+'LINEST VARS'!$J$56*(8*8)+'LINEST VARS'!$I$56*(8*$CY$56)+'LINEST VARS'!$H$56*(8*0.5)+'LINEST VARS'!$G$56*(8*$CX70)+'LINEST VARS'!$F$56*(8*$CY$56)+'LINEST VARS'!$E$56*(8*0.5)+'LINEST VARS'!$D$56*(8*$CX70)+'LINEST VARS'!$C$56*($CY$56*0.5)+'LINEST VARS'!$B$56*($CY$56*$CX70)+'LINEST VARS'!$A$56*(0.5*$CX70)</f>
        <v>2.8000000000000007</v>
      </c>
      <c r="CZ70" s="51">
        <f>'LINEST VARS'!$U$56+'LINEST VARS'!$T$56*(8)+'LINEST VARS'!$S$56*(8)+'LINEST VARS'!$R$56*($CZ$56)+'LINEST VARS'!$Q$56*(0.5)+'LINEST VARS'!$P$56*($CX70)+'LINEST VARS'!$O$56*(8^2)+'LINEST VARS'!$N$56*(8^2)+'LINEST VARS'!$M$56*($CZ$56^2)+'LINEST VARS'!$L$56*(0.5^2)+'LINEST VARS'!$K$56*($CX70^2)+'LINEST VARS'!$J$56*(8*8)+'LINEST VARS'!$I$56*(8*$CZ$56)+'LINEST VARS'!$H$56*(8*0.5)+'LINEST VARS'!$G$56*(8*$CX70)+'LINEST VARS'!$F$56*(8*$CZ$56)+'LINEST VARS'!$E$56*(8*0.5)+'LINEST VARS'!$D$56*(8*$CX70)+'LINEST VARS'!$C$56*($CZ$56*0.5)+'LINEST VARS'!$B$56*($CZ$56*$CX70)+'LINEST VARS'!$A$56*(0.5*$CX70)</f>
        <v>2.8184000000000009</v>
      </c>
      <c r="DA70" s="51">
        <f>'LINEST VARS'!$U$56+'LINEST VARS'!$T$56*(8)+'LINEST VARS'!$S$56*(8)+'LINEST VARS'!$R$56*($DA$56)+'LINEST VARS'!$Q$56*(0.5)+'LINEST VARS'!$P$56*($CX70)+'LINEST VARS'!$O$56*(8^2)+'LINEST VARS'!$N$56*(8^2)+'LINEST VARS'!$M$56*($DA$56^2)+'LINEST VARS'!$L$56*(0.5^2)+'LINEST VARS'!$K$56*($CX70^2)+'LINEST VARS'!$J$56*(8*8)+'LINEST VARS'!$I$56*(8*$DA$56)+'LINEST VARS'!$H$56*(8*0.5)+'LINEST VARS'!$G$56*(8*$CX70)+'LINEST VARS'!$F$56*(8*$DA$56)+'LINEST VARS'!$E$56*(8*0.5)+'LINEST VARS'!$D$56*(8*$CX70)+'LINEST VARS'!$C$56*($DA$56*0.5)+'LINEST VARS'!$B$56*($DA$56*$CX70)+'LINEST VARS'!$A$56*(0.5*$CX70)</f>
        <v>2.8336000000000006</v>
      </c>
      <c r="DB70" s="51">
        <f>'LINEST VARS'!$U$56+'LINEST VARS'!$T$56*(8)+'LINEST VARS'!$S$56*(8)+'LINEST VARS'!$R$56*($DB$56)+'LINEST VARS'!$Q$56*(0.5)+'LINEST VARS'!$P$56*($CX70)+'LINEST VARS'!$O$56*(8^2)+'LINEST VARS'!$N$56*(8^2)+'LINEST VARS'!$M$56*($DB$56^2)+'LINEST VARS'!$L$56*(0.5^2)+'LINEST VARS'!$K$56*($CX70^2)+'LINEST VARS'!$J$56*(8*8)+'LINEST VARS'!$I$56*(8*$DB$56)+'LINEST VARS'!$H$56*(8*0.5)+'LINEST VARS'!$G$56*(8*$CX70)+'LINEST VARS'!$F$56*(8*$DB$56)+'LINEST VARS'!$E$56*(8*0.5)+'LINEST VARS'!$D$56*(8*$CX70)+'LINEST VARS'!$C$56*($DB$56*0.5)+'LINEST VARS'!$B$56*($DB$56*$CX70)+'LINEST VARS'!$A$56*(0.5*$CX70)</f>
        <v>2.8456000000000006</v>
      </c>
      <c r="DC70" s="51">
        <f>'LINEST VARS'!$U$56+'LINEST VARS'!$T$56*(8)+'LINEST VARS'!$S$56*(8)+'LINEST VARS'!$R$56*($DC$56)+'LINEST VARS'!$Q$56*(0.5)+'LINEST VARS'!$P$56*($CX70)+'LINEST VARS'!$O$56*(8^2)+'LINEST VARS'!$N$56*(8^2)+'LINEST VARS'!$M$56*($DC$56^2)+'LINEST VARS'!$L$56*(0.5^2)+'LINEST VARS'!$K$56*($CX70^2)+'LINEST VARS'!$J$56*(8*8)+'LINEST VARS'!$I$56*(8*$DC$56)+'LINEST VARS'!$H$56*(8*0.5)+'LINEST VARS'!$G$56*(8*$CX70)+'LINEST VARS'!$F$56*(8*$DC$56)+'LINEST VARS'!$E$56*(8*0.5)+'LINEST VARS'!$D$56*(8*$CX70)+'LINEST VARS'!$C$56*($DC$56*0.5)+'LINEST VARS'!$B$56*($DC$56*$CX70)+'LINEST VARS'!$A$56*(0.5*$CX70)</f>
        <v>2.8544000000000009</v>
      </c>
      <c r="DD70" s="51">
        <f>'LINEST VARS'!$U$56+'LINEST VARS'!$T$56*(8)+'LINEST VARS'!$S$56*(8)+'LINEST VARS'!$R$56*($DD$56)+'LINEST VARS'!$Q$56*(0.5)+'LINEST VARS'!$P$56*($CX70)+'LINEST VARS'!$O$56*(8^2)+'LINEST VARS'!$N$56*(8^2)+'LINEST VARS'!$M$56*($DD$56^2)+'LINEST VARS'!$L$56*(0.5^2)+'LINEST VARS'!$K$56*($CX70^2)+'LINEST VARS'!$J$56*(8*8)+'LINEST VARS'!$I$56*(8*$DD$56)+'LINEST VARS'!$H$56*(8*0.5)+'LINEST VARS'!$G$56*(8*$CX70)+'LINEST VARS'!$F$56*(8*$DD$56)+'LINEST VARS'!$E$56*(8*0.5)+'LINEST VARS'!$D$56*(8*$CX70)+'LINEST VARS'!$C$56*($DD$56*0.5)+'LINEST VARS'!$B$56*($DD$56*$CX70)+'LINEST VARS'!$A$56*(0.5*$CX70)</f>
        <v>2.8600000000000008</v>
      </c>
      <c r="DE70" s="51">
        <f>'LINEST VARS'!$U$56+'LINEST VARS'!$T$56*(8)+'LINEST VARS'!$S$56*(8)+'LINEST VARS'!$R$56*($DE$56)+'LINEST VARS'!$Q$56*(0.5)+'LINEST VARS'!$P$56*($CX70)+'LINEST VARS'!$O$56*(8^2)+'LINEST VARS'!$N$56*(8^2)+'LINEST VARS'!$M$56*($DE$56^2)+'LINEST VARS'!$L$56*(0.5^2)+'LINEST VARS'!$K$56*($CX70^2)+'LINEST VARS'!$J$56*(8*8)+'LINEST VARS'!$I$56*(8*$DE$56)+'LINEST VARS'!$H$56*(8*0.5)+'LINEST VARS'!$G$56*(8*$CX70)+'LINEST VARS'!$F$56*(8*$DE$56)+'LINEST VARS'!$E$56*(8*0.5)+'LINEST VARS'!$D$56*(8*$CX70)+'LINEST VARS'!$C$56*($DE$56*0.5)+'LINEST VARS'!$B$56*($DE$56*$CX70)+'LINEST VARS'!$A$56*(0.5*$CX70)</f>
        <v>2.8624000000000009</v>
      </c>
      <c r="DF70" s="51">
        <f>'LINEST VARS'!$U$56+'LINEST VARS'!$T$56*(8)+'LINEST VARS'!$S$56*(8)+'LINEST VARS'!$R$56*($DF$56)+'LINEST VARS'!$Q$56*(0.5)+'LINEST VARS'!$P$56*($CX70)+'LINEST VARS'!$O$56*(8^2)+'LINEST VARS'!$N$56*(8^2)+'LINEST VARS'!$M$56*($DF$56^2)+'LINEST VARS'!$L$56*(0.5^2)+'LINEST VARS'!$K$56*($CX70^2)+'LINEST VARS'!$J$56*(8*8)+'LINEST VARS'!$I$56*(8*$DF$56)+'LINEST VARS'!$H$56*(8*0.5)+'LINEST VARS'!$G$56*(8*$CX70)+'LINEST VARS'!$F$56*(8*$DF$56)+'LINEST VARS'!$E$56*(8*0.5)+'LINEST VARS'!$D$56*(8*$CX70)+'LINEST VARS'!$C$56*($DF$56*0.5)+'LINEST VARS'!$B$56*($DF$56*$CX70)+'LINEST VARS'!$A$56*(0.5*$CX70)</f>
        <v>2.8616000000000006</v>
      </c>
      <c r="DG70" s="51">
        <f>'LINEST VARS'!$U$56+'LINEST VARS'!$T$56*(8)+'LINEST VARS'!$S$56*(8)+'LINEST VARS'!$R$56*($DG$56)+'LINEST VARS'!$Q$56*(0.5)+'LINEST VARS'!$P$56*($CX70)+'LINEST VARS'!$O$56*(8^2)+'LINEST VARS'!$N$56*(8^2)+'LINEST VARS'!$M$56*($DG$56^2)+'LINEST VARS'!$L$56*(0.5^2)+'LINEST VARS'!$K$56*($CX70^2)+'LINEST VARS'!$J$56*(8*8)+'LINEST VARS'!$I$56*(8*$DG$56)+'LINEST VARS'!$H$56*(8*0.5)+'LINEST VARS'!$G$56*(8*$CX70)+'LINEST VARS'!$F$56*(8*$DG$56)+'LINEST VARS'!$E$56*(8*0.5)+'LINEST VARS'!$D$56*(8*$CX70)+'LINEST VARS'!$C$56*($DG$56*0.5)+'LINEST VARS'!$B$56*($DG$56*$CX70)+'LINEST VARS'!$A$56*(0.5*$CX70)</f>
        <v>2.8576000000000006</v>
      </c>
      <c r="DH70" s="51">
        <f>'LINEST VARS'!$U$56+'LINEST VARS'!$T$56*(8)+'LINEST VARS'!$S$56*(8)+'LINEST VARS'!$R$56*($DH$56)+'LINEST VARS'!$Q$56*(0.5)+'LINEST VARS'!$P$56*($CX70)+'LINEST VARS'!$O$56*(8^2)+'LINEST VARS'!$N$56*(8^2)+'LINEST VARS'!$M$56*($DH$56^2)+'LINEST VARS'!$L$56*(0.5^2)+'LINEST VARS'!$K$56*($CX70^2)+'LINEST VARS'!$J$56*(8*8)+'LINEST VARS'!$I$56*(8*$DH$56)+'LINEST VARS'!$H$56*(8*0.5)+'LINEST VARS'!$G$56*(8*$CX70)+'LINEST VARS'!$F$56*(8*$DH$56)+'LINEST VARS'!$E$56*(8*0.5)+'LINEST VARS'!$D$56*(8*$CX70)+'LINEST VARS'!$C$56*($DH$56*0.5)+'LINEST VARS'!$B$56*($DH$56*$CX70)+'LINEST VARS'!$A$56*(0.5*$CX70)</f>
        <v>2.8504000000000009</v>
      </c>
      <c r="DI70" s="51">
        <f>'LINEST VARS'!$U$56+'LINEST VARS'!$T$56*(8)+'LINEST VARS'!$S$56*(8)+'LINEST VARS'!$R$56*($DI$56)+'LINEST VARS'!$Q$56*(0.5)+'LINEST VARS'!$P$56*($CX70)+'LINEST VARS'!$O$56*(8^2)+'LINEST VARS'!$N$56*(8^2)+'LINEST VARS'!$M$56*($DI$56^2)+'LINEST VARS'!$L$56*(0.5^2)+'LINEST VARS'!$K$56*($CX70^2)+'LINEST VARS'!$J$56*(8*8)+'LINEST VARS'!$I$56*(8*$DI$56)+'LINEST VARS'!$H$56*(8*0.5)+'LINEST VARS'!$G$56*(8*$CX70)+'LINEST VARS'!$F$56*(8*$DI$56)+'LINEST VARS'!$E$56*(8*0.5)+'LINEST VARS'!$D$56*(8*$CX70)+'LINEST VARS'!$C$56*($DI$56*0.5)+'LINEST VARS'!$B$56*($DI$56*$CX70)+'LINEST VARS'!$A$56*(0.5*$CX70)</f>
        <v>2.8400000000000007</v>
      </c>
      <c r="DJ70" s="51">
        <f>'LINEST VARS'!$U$56+'LINEST VARS'!$T$56*(8)+'LINEST VARS'!$S$56*(8)+'LINEST VARS'!$R$56*($DJ$56)+'LINEST VARS'!$Q$56*(0.5)+'LINEST VARS'!$P$56*($CX70)+'LINEST VARS'!$O$56*(8^2)+'LINEST VARS'!$N$56*(8^2)+'LINEST VARS'!$M$56*($DJ$56^2)+'LINEST VARS'!$L$56*(0.5^2)+'LINEST VARS'!$K$56*($CX70^2)+'LINEST VARS'!$J$56*(8*8)+'LINEST VARS'!$I$56*(8*$DJ$56)+'LINEST VARS'!$H$56*(8*0.5)+'LINEST VARS'!$G$56*(8*$CX70)+'LINEST VARS'!$F$56*(8*$DJ$56)+'LINEST VARS'!$E$56*(8*0.5)+'LINEST VARS'!$D$56*(8*$CX70)+'LINEST VARS'!$C$56*($DJ$56*0.5)+'LINEST VARS'!$B$56*($DJ$56*$CX70)+'LINEST VARS'!$A$56*(0.5*$CX70)</f>
        <v>2.8264000000000009</v>
      </c>
      <c r="DK70" s="51">
        <f>'LINEST VARS'!$U$56+'LINEST VARS'!$T$56*(8)+'LINEST VARS'!$S$56*(8)+'LINEST VARS'!$R$56*($DK$56)+'LINEST VARS'!$Q$56*(0.5)+'LINEST VARS'!$P$56*($CX70)+'LINEST VARS'!$O$56*(8^2)+'LINEST VARS'!$N$56*(8^2)+'LINEST VARS'!$M$56*($DK$56^2)+'LINEST VARS'!$L$56*(0.5^2)+'LINEST VARS'!$K$56*($CX70^2)+'LINEST VARS'!$J$56*(8*8)+'LINEST VARS'!$I$56*(8*$DK$56)+'LINEST VARS'!$H$56*(8*0.5)+'LINEST VARS'!$G$56*(8*$CX70)+'LINEST VARS'!$F$56*(8*$DK$56)+'LINEST VARS'!$E$56*(8*0.5)+'LINEST VARS'!$D$56*(8*$CX70)+'LINEST VARS'!$C$56*($DK$56*0.5)+'LINEST VARS'!$B$56*($DK$56*$CX70)+'LINEST VARS'!$A$56*(0.5*$CX70)</f>
        <v>2.8096000000000005</v>
      </c>
      <c r="DL70" s="51">
        <f>'LINEST VARS'!$U$56+'LINEST VARS'!$T$56*(8)+'LINEST VARS'!$S$56*(8)+'LINEST VARS'!$R$56*($DL$56)+'LINEST VARS'!$Q$56*(0.5)+'LINEST VARS'!$P$56*($CX70)+'LINEST VARS'!$O$56*(8^2)+'LINEST VARS'!$N$56*(8^2)+'LINEST VARS'!$M$56*($DL$56^2)+'LINEST VARS'!$L$56*(0.5^2)+'LINEST VARS'!$K$56*($CX70^2)+'LINEST VARS'!$J$56*(8*8)+'LINEST VARS'!$I$56*(8*$DL$56)+'LINEST VARS'!$H$56*(8*0.5)+'LINEST VARS'!$G$56*(8*$CX70)+'LINEST VARS'!$F$56*(8*$DL$56)+'LINEST VARS'!$E$56*(8*0.5)+'LINEST VARS'!$D$56*(8*$CX70)+'LINEST VARS'!$C$56*($DL$56*0.5)+'LINEST VARS'!$B$56*($DL$56*$CX70)+'LINEST VARS'!$A$56*(0.5*$CX70)</f>
        <v>2.7896000000000005</v>
      </c>
      <c r="DM70" s="51">
        <f>'LINEST VARS'!$U$56+'LINEST VARS'!$T$56*(8)+'LINEST VARS'!$S$56*(8)+'LINEST VARS'!$R$56*($DM$56)+'LINEST VARS'!$Q$56*(0.5)+'LINEST VARS'!$P$56*($CX70)+'LINEST VARS'!$O$56*(8^2)+'LINEST VARS'!$N$56*(8^2)+'LINEST VARS'!$M$56*($DM$56^2)+'LINEST VARS'!$L$56*(0.5^2)+'LINEST VARS'!$K$56*($CX70^2)+'LINEST VARS'!$J$56*(8*8)+'LINEST VARS'!$I$56*(8*$DM$56)+'LINEST VARS'!$H$56*(8*0.5)+'LINEST VARS'!$G$56*(8*$CX70)+'LINEST VARS'!$F$56*(8*$DM$56)+'LINEST VARS'!$E$56*(8*0.5)+'LINEST VARS'!$D$56*(8*$CX70)+'LINEST VARS'!$C$56*($DM$56*0.5)+'LINEST VARS'!$B$56*($DM$56*$CX70)+'LINEST VARS'!$A$56*(0.5*$CX70)</f>
        <v>2.7664000000000009</v>
      </c>
      <c r="DN70" s="51">
        <f>'LINEST VARS'!$U$56+'LINEST VARS'!$T$56*(8)+'LINEST VARS'!$S$56*(8)+'LINEST VARS'!$R$56*($DN$56)+'LINEST VARS'!$Q$56*(0.5)+'LINEST VARS'!$P$56*($CX70)+'LINEST VARS'!$O$56*(8^2)+'LINEST VARS'!$N$56*(8^2)+'LINEST VARS'!$M$56*($DN$56^2)+'LINEST VARS'!$L$56*(0.5^2)+'LINEST VARS'!$K$56*($CX70^2)+'LINEST VARS'!$J$56*(8*8)+'LINEST VARS'!$I$56*(8*$DN$56)+'LINEST VARS'!$H$56*(8*0.5)+'LINEST VARS'!$G$56*(8*$CX70)+'LINEST VARS'!$F$56*(8*$DN$56)+'LINEST VARS'!$E$56*(8*0.5)+'LINEST VARS'!$D$56*(8*$CX70)+'LINEST VARS'!$C$56*($DN$56*0.5)+'LINEST VARS'!$B$56*($DN$56*$CX70)+'LINEST VARS'!$A$56*(0.5*$CX70)</f>
        <v>2.7400000000000007</v>
      </c>
      <c r="DO70" s="51">
        <f>'LINEST VARS'!$U$56+'LINEST VARS'!$T$56*(8)+'LINEST VARS'!$S$56*(8)+'LINEST VARS'!$R$56*($DO$56)+'LINEST VARS'!$Q$56*(0.5)+'LINEST VARS'!$P$56*($CX70)+'LINEST VARS'!$O$56*(8^2)+'LINEST VARS'!$N$56*(8^2)+'LINEST VARS'!$M$56*($DO$56^2)+'LINEST VARS'!$L$56*(0.5^2)+'LINEST VARS'!$K$56*($CX70^2)+'LINEST VARS'!$J$56*(8*8)+'LINEST VARS'!$I$56*(8*$DO$56)+'LINEST VARS'!$H$56*(8*0.5)+'LINEST VARS'!$G$56*(8*$CX70)+'LINEST VARS'!$F$56*(8*$DO$56)+'LINEST VARS'!$E$56*(8*0.5)+'LINEST VARS'!$D$56*(8*$CX70)+'LINEST VARS'!$C$56*($DO$56*0.5)+'LINEST VARS'!$B$56*($DO$56*$CX70)+'LINEST VARS'!$A$56*(0.5*$CX70)</f>
        <v>2.7104000000000004</v>
      </c>
      <c r="DP70" s="51">
        <f>'LINEST VARS'!$U$56+'LINEST VARS'!$T$56*(8)+'LINEST VARS'!$S$56*(8)+'LINEST VARS'!$R$56*($DP$56)+'LINEST VARS'!$Q$56*(0.5)+'LINEST VARS'!$P$56*($CX70)+'LINEST VARS'!$O$56*(8^2)+'LINEST VARS'!$N$56*(8^2)+'LINEST VARS'!$M$56*($DP$56^2)+'LINEST VARS'!$L$56*(0.5^2)+'LINEST VARS'!$K$56*($CX70^2)+'LINEST VARS'!$J$56*(8*8)+'LINEST VARS'!$I$56*(8*$DP$56)+'LINEST VARS'!$H$56*(8*0.5)+'LINEST VARS'!$G$56*(8*$CX70)+'LINEST VARS'!$F$56*(8*$DP$56)+'LINEST VARS'!$E$56*(8*0.5)+'LINEST VARS'!$D$56*(8*$CX70)+'LINEST VARS'!$C$56*($DP$56*0.5)+'LINEST VARS'!$B$56*($DP$56*$CX70)+'LINEST VARS'!$A$56*(0.5*$CX70)</f>
        <v>2.6776000000000004</v>
      </c>
      <c r="DQ70" s="51">
        <f>'LINEST VARS'!$U$56+'LINEST VARS'!$T$56*(8)+'LINEST VARS'!$S$56*(8)+'LINEST VARS'!$R$56*($DQ$56)+'LINEST VARS'!$Q$56*(0.5)+'LINEST VARS'!$P$56*($CX70)+'LINEST VARS'!$O$56*(8^2)+'LINEST VARS'!$N$56*(8^2)+'LINEST VARS'!$M$56*($DQ$56^2)+'LINEST VARS'!$L$56*(0.5^2)+'LINEST VARS'!$K$56*($CX70^2)+'LINEST VARS'!$J$56*(8*8)+'LINEST VARS'!$I$56*(8*$DQ$56)+'LINEST VARS'!$H$56*(8*0.5)+'LINEST VARS'!$G$56*(8*$CX70)+'LINEST VARS'!$F$56*(8*$DQ$56)+'LINEST VARS'!$E$56*(8*0.5)+'LINEST VARS'!$D$56*(8*$CX70)+'LINEST VARS'!$C$56*($DQ$56*0.5)+'LINEST VARS'!$B$56*($DQ$56*$CX70)+'LINEST VARS'!$A$56*(0.5*$CX70)</f>
        <v>2.6416000000000004</v>
      </c>
      <c r="DR70" s="51">
        <f>'LINEST VARS'!$U$56+'LINEST VARS'!$T$56*(8)+'LINEST VARS'!$S$56*(8)+'LINEST VARS'!$R$56*($DR$56)+'LINEST VARS'!$Q$56*(0.5)+'LINEST VARS'!$P$56*($CX70)+'LINEST VARS'!$O$56*(8^2)+'LINEST VARS'!$N$56*(8^2)+'LINEST VARS'!$M$56*($DR$56^2)+'LINEST VARS'!$L$56*(0.5^2)+'LINEST VARS'!$K$56*($CX70^2)+'LINEST VARS'!$J$56*(8*8)+'LINEST VARS'!$I$56*(8*$DR$56)+'LINEST VARS'!$H$56*(8*0.5)+'LINEST VARS'!$G$56*(8*$CX70)+'LINEST VARS'!$F$56*(8*$DR$56)+'LINEST VARS'!$E$56*(8*0.5)+'LINEST VARS'!$D$56*(8*$CX70)+'LINEST VARS'!$C$56*($DR$56*0.5)+'LINEST VARS'!$B$56*($DR$56*$CX70)+'LINEST VARS'!$A$56*(0.5*$CX70)</f>
        <v>2.6024000000000003</v>
      </c>
      <c r="DS70" s="52">
        <f>'LINEST VARS'!$U$56+'LINEST VARS'!$T$56*(8)+'LINEST VARS'!$S$56*(8)+'LINEST VARS'!$R$56*($DS$56)+'LINEST VARS'!$Q$56*(0.5)+'LINEST VARS'!$P$56*($CX70)+'LINEST VARS'!$O$56*(8^2)+'LINEST VARS'!$N$56*(8^2)+'LINEST VARS'!$M$56*($DS$56^2)+'LINEST VARS'!$L$56*(0.5^2)+'LINEST VARS'!$K$56*($CX70^2)+'LINEST VARS'!$J$56*(8*8)+'LINEST VARS'!$I$56*(8*$DS$56)+'LINEST VARS'!$H$56*(8*0.5)+'LINEST VARS'!$G$56*(8*$CX70)+'LINEST VARS'!$F$56*(8*$DS$56)+'LINEST VARS'!$E$56*(8*0.5)+'LINEST VARS'!$D$56*(8*$CX70)+'LINEST VARS'!$C$56*($DS$56*0.5)+'LINEST VARS'!$B$56*($DS$56*$CX70)+'LINEST VARS'!$A$56*(0.5*$CX70)</f>
        <v>2.56</v>
      </c>
      <c r="DV70" s="45">
        <v>16.8935</v>
      </c>
      <c r="DW70" s="51">
        <f>'LINEST VARS'!$U$58+'LINEST VARS'!$T$58*(8)+'LINEST VARS'!$S$58*(8)+'LINEST VARS'!$R$58*($DW$56)+'LINEST VARS'!$Q$58*(0.5)+'LINEST VARS'!$P$58*($DV70)+'LINEST VARS'!$O$58*(8^2)+'LINEST VARS'!$N$58*(8^2)+'LINEST VARS'!$M$58*($DW$56^2)+'LINEST VARS'!$L$58*(0.5^2)+'LINEST VARS'!$K$58*($DV70^2)+'LINEST VARS'!$J$58*(8*8)+'LINEST VARS'!$I$58*(8*$DW$56)+'LINEST VARS'!$H$58*(8*0.5)+'LINEST VARS'!$G$58*(8*$DV70)+'LINEST VARS'!$F$58*(8*$DW$56)+'LINEST VARS'!$E$58*(8*0.5)+'LINEST VARS'!$D$58*(8*$DV70)+'LINEST VARS'!$C$58*($DW$56*0.5)+'LINEST VARS'!$B$58*($DW$56*$DV70)+'LINEST VARS'!$A$58*(0.5*$DV70)</f>
        <v>0.88446750000000041</v>
      </c>
      <c r="DX70" s="51">
        <f>'LINEST VARS'!$U$58+'LINEST VARS'!$T$58*(8)+'LINEST VARS'!$S$58*(8)+'LINEST VARS'!$R$58*($DX$56)+'LINEST VARS'!$Q$58*(0.5)+'LINEST VARS'!$P$58*($DV70)+'LINEST VARS'!$O$58*(8^2)+'LINEST VARS'!$N$58*(8^2)+'LINEST VARS'!$M$58*($DX$56^2)+'LINEST VARS'!$L$58*(0.5^2)+'LINEST VARS'!$K$58*($DV70^2)+'LINEST VARS'!$J$58*(8*8)+'LINEST VARS'!$I$58*(8*$DX$56)+'LINEST VARS'!$H$58*(8*0.5)+'LINEST VARS'!$G$58*(8*$DV70)+'LINEST VARS'!$F$58*(8*$DX$56)+'LINEST VARS'!$E$58*(8*0.5)+'LINEST VARS'!$D$58*(8*$DV70)+'LINEST VARS'!$C$58*($DX$56*0.5)+'LINEST VARS'!$B$58*($DX$56*$DV70)+'LINEST VARS'!$A$58*(0.5*$DV70)</f>
        <v>0.89246750000000041</v>
      </c>
      <c r="DY70" s="51">
        <f>'LINEST VARS'!$U$58+'LINEST VARS'!$T$58*(8)+'LINEST VARS'!$S$58*(8)+'LINEST VARS'!$R$58*($DY$56)+'LINEST VARS'!$Q$58*(0.5)+'LINEST VARS'!$P$58*($DV70)+'LINEST VARS'!$O$58*(8^2)+'LINEST VARS'!$N$58*(8^2)+'LINEST VARS'!$M$58*($DY$56^2)+'LINEST VARS'!$L$58*(0.5^2)+'LINEST VARS'!$K$58*($DV70^2)+'LINEST VARS'!$J$58*(8*8)+'LINEST VARS'!$I$58*(8*$DY$56)+'LINEST VARS'!$H$58*(8*0.5)+'LINEST VARS'!$G$58*(8*$DV70)+'LINEST VARS'!$F$58*(8*$DY$56)+'LINEST VARS'!$E$58*(8*0.5)+'LINEST VARS'!$D$58*(8*$DV70)+'LINEST VARS'!$C$58*($DY$56*0.5)+'LINEST VARS'!$B$58*($DY$56*$DV70)+'LINEST VARS'!$A$58*(0.5*$DV70)</f>
        <v>0.90046750000000031</v>
      </c>
      <c r="DZ70" s="51">
        <f>'LINEST VARS'!$U$58+'LINEST VARS'!$T$58*(8)+'LINEST VARS'!$S$58*(8)+'LINEST VARS'!$R$58*($DZ$56)+'LINEST VARS'!$Q$58*(0.5)+'LINEST VARS'!$P$58*($DV70)+'LINEST VARS'!$O$58*(8^2)+'LINEST VARS'!$N$58*(8^2)+'LINEST VARS'!$M$58*($DZ$56^2)+'LINEST VARS'!$L$58*(0.5^2)+'LINEST VARS'!$K$58*($DV70^2)+'LINEST VARS'!$J$58*(8*8)+'LINEST VARS'!$I$58*(8*$DZ$56)+'LINEST VARS'!$H$58*(8*0.5)+'LINEST VARS'!$G$58*(8*$DV70)+'LINEST VARS'!$F$58*(8*$DZ$56)+'LINEST VARS'!$E$58*(8*0.5)+'LINEST VARS'!$D$58*(8*$DV70)+'LINEST VARS'!$C$58*($DZ$56*0.5)+'LINEST VARS'!$B$58*($DZ$56*$DV70)+'LINEST VARS'!$A$58*(0.5*$DV70)</f>
        <v>0.90846750000000032</v>
      </c>
      <c r="EA70" s="51">
        <f>'LINEST VARS'!$U$58+'LINEST VARS'!$T$58*(8)+'LINEST VARS'!$S$58*(8)+'LINEST VARS'!$R$58*($EA$56)+'LINEST VARS'!$Q$58*(0.5)+'LINEST VARS'!$P$58*($DV70)+'LINEST VARS'!$O$58*(8^2)+'LINEST VARS'!$N$58*(8^2)+'LINEST VARS'!$M$58*($EA$56^2)+'LINEST VARS'!$L$58*(0.5^2)+'LINEST VARS'!$K$58*($DV70^2)+'LINEST VARS'!$J$58*(8*8)+'LINEST VARS'!$I$58*(8*$EA$56)+'LINEST VARS'!$H$58*(8*0.5)+'LINEST VARS'!$G$58*(8*$DV70)+'LINEST VARS'!$F$58*(8*$EA$56)+'LINEST VARS'!$E$58*(8*0.5)+'LINEST VARS'!$D$58*(8*$DV70)+'LINEST VARS'!$C$58*($EA$56*0.5)+'LINEST VARS'!$B$58*($EA$56*$DV70)+'LINEST VARS'!$A$58*(0.5*$DV70)</f>
        <v>0.91646750000000021</v>
      </c>
      <c r="EB70" s="51">
        <f>'LINEST VARS'!$U$58+'LINEST VARS'!$T$58*(8)+'LINEST VARS'!$S$58*(8)+'LINEST VARS'!$R$58*($EB$56)+'LINEST VARS'!$Q$58*(0.5)+'LINEST VARS'!$P$58*($DV70)+'LINEST VARS'!$O$58*(8^2)+'LINEST VARS'!$N$58*(8^2)+'LINEST VARS'!$M$58*($EB$56^2)+'LINEST VARS'!$L$58*(0.5^2)+'LINEST VARS'!$K$58*($DV70^2)+'LINEST VARS'!$J$58*(8*8)+'LINEST VARS'!$I$58*(8*$EB$56)+'LINEST VARS'!$H$58*(8*0.5)+'LINEST VARS'!$G$58*(8*$DV70)+'LINEST VARS'!$F$58*(8*$EB$56)+'LINEST VARS'!$E$58*(8*0.5)+'LINEST VARS'!$D$58*(8*$DV70)+'LINEST VARS'!$C$58*($EB$56*0.5)+'LINEST VARS'!$B$58*($EB$56*$DV70)+'LINEST VARS'!$A$58*(0.5*$DV70)</f>
        <v>0.92446750000000033</v>
      </c>
      <c r="EC70" s="51">
        <f>'LINEST VARS'!$U$58+'LINEST VARS'!$T$58*(8)+'LINEST VARS'!$S$58*(8)+'LINEST VARS'!$R$58*($EC$56)+'LINEST VARS'!$Q$58*(0.5)+'LINEST VARS'!$P$58*($DV70)+'LINEST VARS'!$O$58*(8^2)+'LINEST VARS'!$N$58*(8^2)+'LINEST VARS'!$M$58*($EC$56^2)+'LINEST VARS'!$L$58*(0.5^2)+'LINEST VARS'!$K$58*($DV70^2)+'LINEST VARS'!$J$58*(8*8)+'LINEST VARS'!$I$58*(8*$EC$56)+'LINEST VARS'!$H$58*(8*0.5)+'LINEST VARS'!$G$58*(8*$DV70)+'LINEST VARS'!$F$58*(8*$EC$56)+'LINEST VARS'!$E$58*(8*0.5)+'LINEST VARS'!$D$58*(8*$DV70)+'LINEST VARS'!$C$58*($EC$56*0.5)+'LINEST VARS'!$B$58*($EC$56*$DV70)+'LINEST VARS'!$A$58*(0.5*$DV70)</f>
        <v>0.93246750000000034</v>
      </c>
      <c r="ED70" s="51">
        <f>'LINEST VARS'!$U$58+'LINEST VARS'!$T$58*(8)+'LINEST VARS'!$S$58*(8)+'LINEST VARS'!$R$58*($ED$56)+'LINEST VARS'!$Q$58*(0.5)+'LINEST VARS'!$P$58*($DV70)+'LINEST VARS'!$O$58*(8^2)+'LINEST VARS'!$N$58*(8^2)+'LINEST VARS'!$M$58*($ED$56^2)+'LINEST VARS'!$L$58*(0.5^2)+'LINEST VARS'!$K$58*($DV70^2)+'LINEST VARS'!$J$58*(8*8)+'LINEST VARS'!$I$58*(8*$ED$56)+'LINEST VARS'!$H$58*(8*0.5)+'LINEST VARS'!$G$58*(8*$DV70)+'LINEST VARS'!$F$58*(8*$ED$56)+'LINEST VARS'!$E$58*(8*0.5)+'LINEST VARS'!$D$58*(8*$DV70)+'LINEST VARS'!$C$58*($ED$56*0.5)+'LINEST VARS'!$B$58*($ED$56*$DV70)+'LINEST VARS'!$A$58*(0.5*$DV70)</f>
        <v>0.94046750000000034</v>
      </c>
      <c r="EE70" s="51">
        <f>'LINEST VARS'!$U$58+'LINEST VARS'!$T$58*(8)+'LINEST VARS'!$S$58*(8)+'LINEST VARS'!$R$58*($EE$56)+'LINEST VARS'!$Q$58*(0.5)+'LINEST VARS'!$P$58*($DV70)+'LINEST VARS'!$O$58*(8^2)+'LINEST VARS'!$N$58*(8^2)+'LINEST VARS'!$M$58*($EE$56^2)+'LINEST VARS'!$L$58*(0.5^2)+'LINEST VARS'!$K$58*($DV70^2)+'LINEST VARS'!$J$58*(8*8)+'LINEST VARS'!$I$58*(8*$EE$56)+'LINEST VARS'!$H$58*(8*0.5)+'LINEST VARS'!$G$58*(8*$DV70)+'LINEST VARS'!$F$58*(8*$EE$56)+'LINEST VARS'!$E$58*(8*0.5)+'LINEST VARS'!$D$58*(8*$DV70)+'LINEST VARS'!$C$58*($EE$56*0.5)+'LINEST VARS'!$B$58*($EE$56*$DV70)+'LINEST VARS'!$A$58*(0.5*$DV70)</f>
        <v>0.94846750000000046</v>
      </c>
      <c r="EF70" s="51">
        <f>'LINEST VARS'!$U$58+'LINEST VARS'!$T$58*(8)+'LINEST VARS'!$S$58*(8)+'LINEST VARS'!$R$58*($EF$56)+'LINEST VARS'!$Q$58*(0.5)+'LINEST VARS'!$P$58*($DV70)+'LINEST VARS'!$O$58*(8^2)+'LINEST VARS'!$N$58*(8^2)+'LINEST VARS'!$M$58*($EF$56^2)+'LINEST VARS'!$L$58*(0.5^2)+'LINEST VARS'!$K$58*($DV70^2)+'LINEST VARS'!$J$58*(8*8)+'LINEST VARS'!$I$58*(8*$EF$56)+'LINEST VARS'!$H$58*(8*0.5)+'LINEST VARS'!$G$58*(8*$DV70)+'LINEST VARS'!$F$58*(8*$EF$56)+'LINEST VARS'!$E$58*(8*0.5)+'LINEST VARS'!$D$58*(8*$DV70)+'LINEST VARS'!$C$58*($EF$56*0.5)+'LINEST VARS'!$B$58*($EF$56*$DV70)+'LINEST VARS'!$A$58*(0.5*$DV70)</f>
        <v>0.95646750000000036</v>
      </c>
      <c r="EG70" s="51">
        <f>'LINEST VARS'!$U$58+'LINEST VARS'!$T$58*(8)+'LINEST VARS'!$S$58*(8)+'LINEST VARS'!$R$58*($EG$56)+'LINEST VARS'!$Q$58*(0.5)+'LINEST VARS'!$P$58*($DV70)+'LINEST VARS'!$O$58*(8^2)+'LINEST VARS'!$N$58*(8^2)+'LINEST VARS'!$M$58*($EG$56^2)+'LINEST VARS'!$L$58*(0.5^2)+'LINEST VARS'!$K$58*($DV70^2)+'LINEST VARS'!$J$58*(8*8)+'LINEST VARS'!$I$58*(8*$EG$56)+'LINEST VARS'!$H$58*(8*0.5)+'LINEST VARS'!$G$58*(8*$DV70)+'LINEST VARS'!$F$58*(8*$EG$56)+'LINEST VARS'!$E$58*(8*0.5)+'LINEST VARS'!$D$58*(8*$DV70)+'LINEST VARS'!$C$58*($EG$56*0.5)+'LINEST VARS'!$B$58*($EG$56*$DV70)+'LINEST VARS'!$A$58*(0.5*$DV70)</f>
        <v>0.96446750000000037</v>
      </c>
      <c r="EH70" s="51">
        <f>'LINEST VARS'!$U$58+'LINEST VARS'!$T$58*(8)+'LINEST VARS'!$S$58*(8)+'LINEST VARS'!$R$58*($EH$56)+'LINEST VARS'!$Q$58*(0.5)+'LINEST VARS'!$P$58*($DV70)+'LINEST VARS'!$O$58*(8^2)+'LINEST VARS'!$N$58*(8^2)+'LINEST VARS'!$M$58*($EH$56^2)+'LINEST VARS'!$L$58*(0.5^2)+'LINEST VARS'!$K$58*($DV70^2)+'LINEST VARS'!$J$58*(8*8)+'LINEST VARS'!$I$58*(8*$EH$56)+'LINEST VARS'!$H$58*(8*0.5)+'LINEST VARS'!$G$58*(8*$DV70)+'LINEST VARS'!$F$58*(8*$EH$56)+'LINEST VARS'!$E$58*(8*0.5)+'LINEST VARS'!$D$58*(8*$DV70)+'LINEST VARS'!$C$58*($EH$56*0.5)+'LINEST VARS'!$B$58*($EH$56*$DV70)+'LINEST VARS'!$A$58*(0.5*$DV70)</f>
        <v>0.97246750000000026</v>
      </c>
      <c r="EI70" s="51">
        <f>'LINEST VARS'!$U$58+'LINEST VARS'!$T$58*(8)+'LINEST VARS'!$S$58*(8)+'LINEST VARS'!$R$58*($EI$56)+'LINEST VARS'!$Q$58*(0.5)+'LINEST VARS'!$P$58*($DV70)+'LINEST VARS'!$O$58*(8^2)+'LINEST VARS'!$N$58*(8^2)+'LINEST VARS'!$M$58*($EI$56^2)+'LINEST VARS'!$L$58*(0.5^2)+'LINEST VARS'!$K$58*($DV70^2)+'LINEST VARS'!$J$58*(8*8)+'LINEST VARS'!$I$58*(8*$EI$56)+'LINEST VARS'!$H$58*(8*0.5)+'LINEST VARS'!$G$58*(8*$DV70)+'LINEST VARS'!$F$58*(8*$EI$56)+'LINEST VARS'!$E$58*(8*0.5)+'LINEST VARS'!$D$58*(8*$DV70)+'LINEST VARS'!$C$58*($EI$56*0.5)+'LINEST VARS'!$B$58*($EI$56*$DV70)+'LINEST VARS'!$A$58*(0.5*$DV70)</f>
        <v>0.98046750000000027</v>
      </c>
      <c r="EJ70" s="51">
        <f>'LINEST VARS'!$U$58+'LINEST VARS'!$T$58*(8)+'LINEST VARS'!$S$58*(8)+'LINEST VARS'!$R$58*($EJ$56)+'LINEST VARS'!$Q$58*(0.5)+'LINEST VARS'!$P$58*($DV70)+'LINEST VARS'!$O$58*(8^2)+'LINEST VARS'!$N$58*(8^2)+'LINEST VARS'!$M$58*($EJ$56^2)+'LINEST VARS'!$L$58*(0.5^2)+'LINEST VARS'!$K$58*($DV70^2)+'LINEST VARS'!$J$58*(8*8)+'LINEST VARS'!$I$58*(8*$EJ$56)+'LINEST VARS'!$H$58*(8*0.5)+'LINEST VARS'!$G$58*(8*$DV70)+'LINEST VARS'!$F$58*(8*$EJ$56)+'LINEST VARS'!$E$58*(8*0.5)+'LINEST VARS'!$D$58*(8*$DV70)+'LINEST VARS'!$C$58*($EJ$56*0.5)+'LINEST VARS'!$B$58*($EJ$56*$DV70)+'LINEST VARS'!$A$58*(0.5*$DV70)</f>
        <v>0.98846750000000017</v>
      </c>
      <c r="EK70" s="51">
        <f>'LINEST VARS'!$U$58+'LINEST VARS'!$T$58*(8)+'LINEST VARS'!$S$58*(8)+'LINEST VARS'!$R$58*($EK$56)+'LINEST VARS'!$Q$58*(0.5)+'LINEST VARS'!$P$58*($DV70)+'LINEST VARS'!$O$58*(8^2)+'LINEST VARS'!$N$58*(8^2)+'LINEST VARS'!$M$58*($EK$56^2)+'LINEST VARS'!$L$58*(0.5^2)+'LINEST VARS'!$K$58*($DV70^2)+'LINEST VARS'!$J$58*(8*8)+'LINEST VARS'!$I$58*(8*$EK$56)+'LINEST VARS'!$H$58*(8*0.5)+'LINEST VARS'!$G$58*(8*$DV70)+'LINEST VARS'!$F$58*(8*$EK$56)+'LINEST VARS'!$E$58*(8*0.5)+'LINEST VARS'!$D$58*(8*$DV70)+'LINEST VARS'!$C$58*($EK$56*0.5)+'LINEST VARS'!$B$58*($EK$56*$DV70)+'LINEST VARS'!$A$58*(0.5*$DV70)</f>
        <v>0.99646750000000028</v>
      </c>
      <c r="EL70" s="51">
        <f>'LINEST VARS'!$U$58+'LINEST VARS'!$T$58*(8)+'LINEST VARS'!$S$58*(8)+'LINEST VARS'!$R$58*($EL$56)+'LINEST VARS'!$Q$58*(0.5)+'LINEST VARS'!$P$58*($DV70)+'LINEST VARS'!$O$58*(8^2)+'LINEST VARS'!$N$58*(8^2)+'LINEST VARS'!$M$58*($EL$56^2)+'LINEST VARS'!$L$58*(0.5^2)+'LINEST VARS'!$K$58*($DV70^2)+'LINEST VARS'!$J$58*(8*8)+'LINEST VARS'!$I$58*(8*$EL$56)+'LINEST VARS'!$H$58*(8*0.5)+'LINEST VARS'!$G$58*(8*$DV70)+'LINEST VARS'!$F$58*(8*$EL$56)+'LINEST VARS'!$E$58*(8*0.5)+'LINEST VARS'!$D$58*(8*$DV70)+'LINEST VARS'!$C$58*($EL$56*0.5)+'LINEST VARS'!$B$58*($EL$56*$DV70)+'LINEST VARS'!$A$58*(0.5*$DV70)</f>
        <v>1.0044675000000003</v>
      </c>
      <c r="EM70" s="51">
        <f>'LINEST VARS'!$U$58+'LINEST VARS'!$T$58*(8)+'LINEST VARS'!$S$58*(8)+'LINEST VARS'!$R$58*($EM$56)+'LINEST VARS'!$Q$58*(0.5)+'LINEST VARS'!$P$58*($DV70)+'LINEST VARS'!$O$58*(8^2)+'LINEST VARS'!$N$58*(8^2)+'LINEST VARS'!$M$58*($EM$56^2)+'LINEST VARS'!$L$58*(0.5^2)+'LINEST VARS'!$K$58*($DV70^2)+'LINEST VARS'!$J$58*(8*8)+'LINEST VARS'!$I$58*(8*$EM$56)+'LINEST VARS'!$H$58*(8*0.5)+'LINEST VARS'!$G$58*(8*$DV70)+'LINEST VARS'!$F$58*(8*$EM$56)+'LINEST VARS'!$E$58*(8*0.5)+'LINEST VARS'!$D$58*(8*$DV70)+'LINEST VARS'!$C$58*($EM$56*0.5)+'LINEST VARS'!$B$58*($EM$56*$DV70)+'LINEST VARS'!$A$58*(0.5*$DV70)</f>
        <v>1.0124675000000003</v>
      </c>
      <c r="EN70" s="51">
        <f>'LINEST VARS'!$U$58+'LINEST VARS'!$T$58*(8)+'LINEST VARS'!$S$58*(8)+'LINEST VARS'!$R$58*($EN$56)+'LINEST VARS'!$Q$58*(0.5)+'LINEST VARS'!$P$58*($DV70)+'LINEST VARS'!$O$58*(8^2)+'LINEST VARS'!$N$58*(8^2)+'LINEST VARS'!$M$58*($EN$56^2)+'LINEST VARS'!$L$58*(0.5^2)+'LINEST VARS'!$K$58*($DV70^2)+'LINEST VARS'!$J$58*(8*8)+'LINEST VARS'!$I$58*(8*$EN$56)+'LINEST VARS'!$H$58*(8*0.5)+'LINEST VARS'!$G$58*(8*$DV70)+'LINEST VARS'!$F$58*(8*$EN$56)+'LINEST VARS'!$E$58*(8*0.5)+'LINEST VARS'!$D$58*(8*$DV70)+'LINEST VARS'!$C$58*($EN$56*0.5)+'LINEST VARS'!$B$58*($EN$56*$DV70)+'LINEST VARS'!$A$58*(0.5*$DV70)</f>
        <v>1.0204675000000003</v>
      </c>
      <c r="EO70" s="51">
        <f>'LINEST VARS'!$U$58+'LINEST VARS'!$T$58*(8)+'LINEST VARS'!$S$58*(8)+'LINEST VARS'!$R$58*($EO$56)+'LINEST VARS'!$Q$58*(0.5)+'LINEST VARS'!$P$58*($DV70)+'LINEST VARS'!$O$58*(8^2)+'LINEST VARS'!$N$58*(8^2)+'LINEST VARS'!$M$58*($EO$56^2)+'LINEST VARS'!$L$58*(0.5^2)+'LINEST VARS'!$K$58*($DV70^2)+'LINEST VARS'!$J$58*(8*8)+'LINEST VARS'!$I$58*(8*$EO$56)+'LINEST VARS'!$H$58*(8*0.5)+'LINEST VARS'!$G$58*(8*$DV70)+'LINEST VARS'!$F$58*(8*$EO$56)+'LINEST VARS'!$E$58*(8*0.5)+'LINEST VARS'!$D$58*(8*$DV70)+'LINEST VARS'!$C$58*($EO$56*0.5)+'LINEST VARS'!$B$58*($EO$56*$DV70)+'LINEST VARS'!$A$58*(0.5*$DV70)</f>
        <v>1.0284675000000001</v>
      </c>
      <c r="EP70" s="51">
        <f>'LINEST VARS'!$U$58+'LINEST VARS'!$T$58*(8)+'LINEST VARS'!$S$58*(8)+'LINEST VARS'!$R$58*($EP$56)+'LINEST VARS'!$Q$58*(0.5)+'LINEST VARS'!$P$58*($DV70)+'LINEST VARS'!$O$58*(8^2)+'LINEST VARS'!$N$58*(8^2)+'LINEST VARS'!$M$58*($EP$56^2)+'LINEST VARS'!$L$58*(0.5^2)+'LINEST VARS'!$K$58*($DV70^2)+'LINEST VARS'!$J$58*(8*8)+'LINEST VARS'!$I$58*(8*$EP$56)+'LINEST VARS'!$H$58*(8*0.5)+'LINEST VARS'!$G$58*(8*$DV70)+'LINEST VARS'!$F$58*(8*$EP$56)+'LINEST VARS'!$E$58*(8*0.5)+'LINEST VARS'!$D$58*(8*$DV70)+'LINEST VARS'!$C$58*($EP$56*0.5)+'LINEST VARS'!$B$58*($EP$56*$DV70)+'LINEST VARS'!$A$58*(0.5*$DV70)</f>
        <v>1.0364675000000001</v>
      </c>
      <c r="EQ70" s="52">
        <f>'LINEST VARS'!$U$58+'LINEST VARS'!$T$58*(8)+'LINEST VARS'!$S$58*(8)+'LINEST VARS'!$R$58*($EQ$56)+'LINEST VARS'!$Q$58*(0.5)+'LINEST VARS'!$P$58*($DV70)+'LINEST VARS'!$O$58*(8^2)+'LINEST VARS'!$N$58*(8^2)+'LINEST VARS'!$M$58*($EQ$56^2)+'LINEST VARS'!$L$58*(0.5^2)+'LINEST VARS'!$K$58*($DV70^2)+'LINEST VARS'!$J$58*(8*8)+'LINEST VARS'!$I$58*(8*$EQ$56)+'LINEST VARS'!$H$58*(8*0.5)+'LINEST VARS'!$G$58*(8*$DV70)+'LINEST VARS'!$F$58*(8*$EQ$56)+'LINEST VARS'!$E$58*(8*0.5)+'LINEST VARS'!$D$58*(8*$DV70)+'LINEST VARS'!$C$58*($EQ$56*0.5)+'LINEST VARS'!$B$58*($EQ$56*$DV70)+'LINEST VARS'!$A$58*(0.5*$DV70)</f>
        <v>1.0444675000000003</v>
      </c>
    </row>
    <row r="71" spans="2:147" ht="15" customHeight="1" x14ac:dyDescent="0.25">
      <c r="B71" s="45">
        <v>8.24</v>
      </c>
      <c r="C71" s="51">
        <f>'LINEST VARS'!$U$56+'LINEST VARS'!$T$56*($C$56)+'LINEST VARS'!$S$56*($B71)+'LINEST VARS'!$R$56*(4)+'LINEST VARS'!$Q$56*(0.5)+'LINEST VARS'!$P$56*(12.73)+'LINEST VARS'!$O$56*($C$56^2)+'LINEST VARS'!$N$56*($B71^2)+'LINEST VARS'!$M$56*(4^2)+'LINEST VARS'!$L$56*(0.5^2)+'LINEST VARS'!$K$56*(12.73^2)+'LINEST VARS'!$J$56*($C$56*$B71)+'LINEST VARS'!$I$56*($C$56*4)+'LINEST VARS'!$H$56*($C$56*0.5)+'LINEST VARS'!$G$56*($C$56*12.73)+'LINEST VARS'!$F$56*($B71*4)+'LINEST VARS'!$E$56*($B71*0.5)+'LINEST VARS'!$D$56*($B71*12.73)+'LINEST VARS'!$C$56*(4*0.5)+'LINEST VARS'!$B$56*(4*12.73)+'LINEST VARS'!$A$56*(0.5*12.73)</f>
        <v>2.8400000000000012</v>
      </c>
      <c r="D71" s="51">
        <f>'LINEST VARS'!$U$56+'LINEST VARS'!$T$56*($D$56)+'LINEST VARS'!$S$56*($B71)+'LINEST VARS'!$R$56*(4)+'LINEST VARS'!$Q$56*(0.5)+'LINEST VARS'!$P$56*(12.73)+'LINEST VARS'!$O$56*($D$56^2)+'LINEST VARS'!$N$56*($B71^2)+'LINEST VARS'!$M$56*(4^2)+'LINEST VARS'!$L$56*(0.5^2)+'LINEST VARS'!$K$56*(12.73^2)+'LINEST VARS'!$J$56*($D$56*$B71)+'LINEST VARS'!$I$56*($D$56*4)+'LINEST VARS'!$H$56*($D$56*0.5)+'LINEST VARS'!$G$56*($D$56*12.73)+'LINEST VARS'!$F$56*($B71*4)+'LINEST VARS'!$E$56*($B71*0.5)+'LINEST VARS'!$D$56*($B71*12.73)+'LINEST VARS'!$C$56*(4*0.5)+'LINEST VARS'!$B$56*(4*12.73)+'LINEST VARS'!$A$56*(0.5*12.73)</f>
        <v>2.8400000000000012</v>
      </c>
      <c r="E71" s="51">
        <f>'LINEST VARS'!$U$56+'LINEST VARS'!$T$56*($E$56)+'LINEST VARS'!$S$56*($B71)+'LINEST VARS'!$R$56*(4)+'LINEST VARS'!$Q$56*(0.5)+'LINEST VARS'!$P$56*(12.73)+'LINEST VARS'!$O$56*($E$56^2)+'LINEST VARS'!$N$56*($B71^2)+'LINEST VARS'!$M$56*(4^2)+'LINEST VARS'!$L$56*(0.5^2)+'LINEST VARS'!$K$56*(12.73^2)+'LINEST VARS'!$J$56*($E$56*$B71)+'LINEST VARS'!$I$56*($E$56*4)+'LINEST VARS'!$H$56*($E$56*0.5)+'LINEST VARS'!$G$56*($E$56*12.73)+'LINEST VARS'!$F$56*($B71*4)+'LINEST VARS'!$E$56*($B71*0.5)+'LINEST VARS'!$D$56*($B71*12.73)+'LINEST VARS'!$C$56*(4*0.5)+'LINEST VARS'!$B$56*(4*12.73)+'LINEST VARS'!$A$56*(0.5*12.73)</f>
        <v>2.8400000000000012</v>
      </c>
      <c r="F71" s="51">
        <f>'LINEST VARS'!$U$56+'LINEST VARS'!$T$56*($F$56)+'LINEST VARS'!$S$56*($B71)+'LINEST VARS'!$R$56*(4)+'LINEST VARS'!$Q$56*(0.5)+'LINEST VARS'!$P$56*(12.73)+'LINEST VARS'!$O$56*($F$56^2)+'LINEST VARS'!$N$56*($B71^2)+'LINEST VARS'!$M$56*(4^2)+'LINEST VARS'!$L$56*(0.5^2)+'LINEST VARS'!$K$56*(12.73^2)+'LINEST VARS'!$J$56*($F$56*$B71)+'LINEST VARS'!$I$56*($F$56*4)+'LINEST VARS'!$H$56*($F$56*0.5)+'LINEST VARS'!$G$56*($F$56*12.73)+'LINEST VARS'!$F$56*($B71*4)+'LINEST VARS'!$E$56*($B71*0.5)+'LINEST VARS'!$D$56*($B71*12.73)+'LINEST VARS'!$C$56*(4*0.5)+'LINEST VARS'!$B$56*(4*12.73)+'LINEST VARS'!$A$56*(0.5*12.73)</f>
        <v>2.8400000000000012</v>
      </c>
      <c r="G71" s="51">
        <f>'LINEST VARS'!$U$56+'LINEST VARS'!$T$56*($G$56)+'LINEST VARS'!$S$56*($B71)+'LINEST VARS'!$R$56*(4)+'LINEST VARS'!$Q$56*(0.5)+'LINEST VARS'!$P$56*(12.73)+'LINEST VARS'!$O$56*($G$56^2)+'LINEST VARS'!$N$56*($B71^2)+'LINEST VARS'!$M$56*(4^2)+'LINEST VARS'!$L$56*(0.5^2)+'LINEST VARS'!$K$56*(12.73^2)+'LINEST VARS'!$J$56*($G$56*$B71)+'LINEST VARS'!$I$56*($G$56*4)+'LINEST VARS'!$H$56*($G$56*0.5)+'LINEST VARS'!$G$56*($G$56*12.73)+'LINEST VARS'!$F$56*($B71*4)+'LINEST VARS'!$E$56*($B71*0.5)+'LINEST VARS'!$D$56*($B71*12.73)+'LINEST VARS'!$C$56*(4*0.5)+'LINEST VARS'!$B$56*(4*12.73)+'LINEST VARS'!$A$56*(0.5*12.73)</f>
        <v>2.8400000000000012</v>
      </c>
      <c r="H71" s="51">
        <f>'LINEST VARS'!$U$56+'LINEST VARS'!$T$56*($H$56)+'LINEST VARS'!$S$56*($B71)+'LINEST VARS'!$R$56*(4)+'LINEST VARS'!$Q$56*(0.5)+'LINEST VARS'!$P$56*(12.73)+'LINEST VARS'!$O$56*($H$56^2)+'LINEST VARS'!$N$56*($B71^2)+'LINEST VARS'!$M$56*(4^2)+'LINEST VARS'!$L$56*(0.5^2)+'LINEST VARS'!$K$56*(12.73^2)+'LINEST VARS'!$J$56*($H$56*$B71)+'LINEST VARS'!$I$56*($H$56*4)+'LINEST VARS'!$H$56*($H$56*0.5)+'LINEST VARS'!$G$56*($H$56*12.73)+'LINEST VARS'!$F$56*($B71*4)+'LINEST VARS'!$E$56*($B71*0.5)+'LINEST VARS'!$D$56*($B71*12.73)+'LINEST VARS'!$C$56*(4*0.5)+'LINEST VARS'!$B$56*(4*12.73)+'LINEST VARS'!$A$56*(0.5*12.73)</f>
        <v>2.8400000000000012</v>
      </c>
      <c r="I71" s="51">
        <f>'LINEST VARS'!$U$56+'LINEST VARS'!$T$56*($I$56)+'LINEST VARS'!$S$56*($B71)+'LINEST VARS'!$R$56*(4)+'LINEST VARS'!$Q$56*(0.5)+'LINEST VARS'!$P$56*(12.73)+'LINEST VARS'!$O$56*($I$56^2)+'LINEST VARS'!$N$56*($B71^2)+'LINEST VARS'!$M$56*(4^2)+'LINEST VARS'!$L$56*(0.5^2)+'LINEST VARS'!$K$56*(12.73^2)+'LINEST VARS'!$J$56*($I$56*$B71)+'LINEST VARS'!$I$56*($I$56*4)+'LINEST VARS'!$H$56*($I$56*0.5)+'LINEST VARS'!$G$56*($I$56*12.73)+'LINEST VARS'!$F$56*($B71*4)+'LINEST VARS'!$E$56*($B71*0.5)+'LINEST VARS'!$D$56*($B71*12.73)+'LINEST VARS'!$C$56*(4*0.5)+'LINEST VARS'!$B$56*(4*12.73)+'LINEST VARS'!$A$56*(0.5*12.73)</f>
        <v>2.8400000000000012</v>
      </c>
      <c r="J71" s="51">
        <f>'LINEST VARS'!$U$56+'LINEST VARS'!$T$56*($J$56)+'LINEST VARS'!$S$56*($B71)+'LINEST VARS'!$R$56*(4)+'LINEST VARS'!$Q$56*(0.5)+'LINEST VARS'!$P$56*(12.73)+'LINEST VARS'!$O$56*($J$56^2)+'LINEST VARS'!$N$56*($B71^2)+'LINEST VARS'!$M$56*(4^2)+'LINEST VARS'!$L$56*(0.5^2)+'LINEST VARS'!$K$56*(12.73^2)+'LINEST VARS'!$J$56*($J$56*$B71)+'LINEST VARS'!$I$56*($J$56*4)+'LINEST VARS'!$H$56*($J$56*0.5)+'LINEST VARS'!$G$56*($J$56*12.73)+'LINEST VARS'!$F$56*($B71*4)+'LINEST VARS'!$E$56*($B71*0.5)+'LINEST VARS'!$D$56*($B71*12.73)+'LINEST VARS'!$C$56*(4*0.5)+'LINEST VARS'!$B$56*(4*12.73)+'LINEST VARS'!$A$56*(0.5*12.73)</f>
        <v>2.8400000000000012</v>
      </c>
      <c r="K71" s="51">
        <f>'LINEST VARS'!$U$56+'LINEST VARS'!$T$56*($K$56)+'LINEST VARS'!$S$56*($B71)+'LINEST VARS'!$R$56*(4)+'LINEST VARS'!$Q$56*(0.5)+'LINEST VARS'!$P$56*(12.73)+'LINEST VARS'!$O$56*($K$56^2)+'LINEST VARS'!$N$56*($B71^2)+'LINEST VARS'!$M$56*(4^2)+'LINEST VARS'!$L$56*(0.5^2)+'LINEST VARS'!$K$56*(12.73^2)+'LINEST VARS'!$J$56*($K$56*$B71)+'LINEST VARS'!$I$56*($K$56*4)+'LINEST VARS'!$H$56*($K$56*0.5)+'LINEST VARS'!$G$56*($K$56*12.73)+'LINEST VARS'!$F$56*($B71*4)+'LINEST VARS'!$E$56*($B71*0.5)+'LINEST VARS'!$D$56*($B71*12.73)+'LINEST VARS'!$C$56*(4*0.5)+'LINEST VARS'!$B$56*(4*12.73)+'LINEST VARS'!$A$56*(0.5*12.73)</f>
        <v>2.8400000000000007</v>
      </c>
      <c r="L71" s="51">
        <f>'LINEST VARS'!$U$56+'LINEST VARS'!$T$56*($L$56)+'LINEST VARS'!$S$56*($B71)+'LINEST VARS'!$R$56*(4)+'LINEST VARS'!$Q$56*(0.5)+'LINEST VARS'!$P$56*(12.73)+'LINEST VARS'!$O$56*($L$56^2)+'LINEST VARS'!$N$56*($B71^2)+'LINEST VARS'!$M$56*(4^2)+'LINEST VARS'!$L$56*(0.5^2)+'LINEST VARS'!$K$56*(12.73^2)+'LINEST VARS'!$J$56*($L$56*$B71)+'LINEST VARS'!$I$56*($L$56*4)+'LINEST VARS'!$H$56*($L$56*0.5)+'LINEST VARS'!$G$56*($L$56*12.73)+'LINEST VARS'!$F$56*($B71*4)+'LINEST VARS'!$E$56*($B71*0.5)+'LINEST VARS'!$D$56*($B71*12.73)+'LINEST VARS'!$C$56*(4*0.5)+'LINEST VARS'!$B$56*(4*12.73)+'LINEST VARS'!$A$56*(0.5*12.73)</f>
        <v>2.8400000000000007</v>
      </c>
      <c r="M71" s="51">
        <f>'LINEST VARS'!$U$56+'LINEST VARS'!$T$56*($M$56)+'LINEST VARS'!$S$56*($B71)+'LINEST VARS'!$R$56*(4)+'LINEST VARS'!$Q$56*(0.5)+'LINEST VARS'!$P$56*(12.73)+'LINEST VARS'!$O$56*($M$56^2)+'LINEST VARS'!$N$56*($B71^2)+'LINEST VARS'!$M$56*(4^2)+'LINEST VARS'!$L$56*(0.5^2)+'LINEST VARS'!$K$56*(12.73^2)+'LINEST VARS'!$J$56*($M$56*$B71)+'LINEST VARS'!$I$56*($M$56*4)+'LINEST VARS'!$H$56*($M$56*0.5)+'LINEST VARS'!$G$56*($M$56*12.73)+'LINEST VARS'!$F$56*($B71*4)+'LINEST VARS'!$E$56*($B71*0.5)+'LINEST VARS'!$D$56*($B71*12.73)+'LINEST VARS'!$C$56*(4*0.5)+'LINEST VARS'!$B$56*(4*12.73)+'LINEST VARS'!$A$56*(0.5*12.73)</f>
        <v>2.8400000000000007</v>
      </c>
      <c r="N71" s="51">
        <f>'LINEST VARS'!$U$56+'LINEST VARS'!$T$56*($N$56)+'LINEST VARS'!$S$56*($B71)+'LINEST VARS'!$R$56*(4)+'LINEST VARS'!$Q$56*(0.5)+'LINEST VARS'!$P$56*(12.73)+'LINEST VARS'!$O$56*($N$56^2)+'LINEST VARS'!$N$56*($B71^2)+'LINEST VARS'!$M$56*(4^2)+'LINEST VARS'!$L$56*(0.5^2)+'LINEST VARS'!$K$56*(12.73^2)+'LINEST VARS'!$J$56*($N$56*$B71)+'LINEST VARS'!$I$56*($N$56*4)+'LINEST VARS'!$H$56*($N$56*0.5)+'LINEST VARS'!$G$56*($N$56*12.73)+'LINEST VARS'!$F$56*($B71*4)+'LINEST VARS'!$E$56*($B71*0.5)+'LINEST VARS'!$D$56*($B71*12.73)+'LINEST VARS'!$C$56*(4*0.5)+'LINEST VARS'!$B$56*(4*12.73)+'LINEST VARS'!$A$56*(0.5*12.73)</f>
        <v>2.8400000000000007</v>
      </c>
      <c r="O71" s="51">
        <f>'LINEST VARS'!$U$56+'LINEST VARS'!$T$56*($O$56)+'LINEST VARS'!$S$56*($B71)+'LINEST VARS'!$R$56*(4)+'LINEST VARS'!$Q$56*(0.5)+'LINEST VARS'!$P$56*(12.73)+'LINEST VARS'!$O$56*($O$56^2)+'LINEST VARS'!$N$56*($B71^2)+'LINEST VARS'!$M$56*(4^2)+'LINEST VARS'!$L$56*(0.5^2)+'LINEST VARS'!$K$56*(12.73^2)+'LINEST VARS'!$J$56*($O$56*$B71)+'LINEST VARS'!$I$56*($O$56*4)+'LINEST VARS'!$H$56*($O$56*0.5)+'LINEST VARS'!$G$56*($O$56*12.73)+'LINEST VARS'!$F$56*($B71*4)+'LINEST VARS'!$E$56*($B71*0.5)+'LINEST VARS'!$D$56*($B71*12.73)+'LINEST VARS'!$C$56*(4*0.5)+'LINEST VARS'!$B$56*(4*12.73)+'LINEST VARS'!$A$56*(0.5*12.73)</f>
        <v>2.8400000000000007</v>
      </c>
      <c r="P71" s="51">
        <f>'LINEST VARS'!$U$56+'LINEST VARS'!$T$56*($P$56)+'LINEST VARS'!$S$56*($B71)+'LINEST VARS'!$R$56*(4)+'LINEST VARS'!$Q$56*(0.5)+'LINEST VARS'!$P$56*(12.73)+'LINEST VARS'!$O$56*($P$56^2)+'LINEST VARS'!$N$56*($B71^2)+'LINEST VARS'!$M$56*(4^2)+'LINEST VARS'!$L$56*(0.5^2)+'LINEST VARS'!$K$56*(12.73^2)+'LINEST VARS'!$J$56*($P$56*$B71)+'LINEST VARS'!$I$56*($P$56*4)+'LINEST VARS'!$H$56*($P$56*0.5)+'LINEST VARS'!$G$56*($P$56*12.73)+'LINEST VARS'!$F$56*($B71*4)+'LINEST VARS'!$E$56*($B71*0.5)+'LINEST VARS'!$D$56*($B71*12.73)+'LINEST VARS'!$C$56*(4*0.5)+'LINEST VARS'!$B$56*(4*12.73)+'LINEST VARS'!$A$56*(0.5*12.73)</f>
        <v>2.8400000000000007</v>
      </c>
      <c r="Q71" s="51">
        <f>'LINEST VARS'!$U$56+'LINEST VARS'!$T$56*($Q$56)+'LINEST VARS'!$S$56*($B71)+'LINEST VARS'!$R$56*(4)+'LINEST VARS'!$Q$56*(0.5)+'LINEST VARS'!$P$56*(12.73)+'LINEST VARS'!$O$56*($Q$56^2)+'LINEST VARS'!$N$56*($B71^2)+'LINEST VARS'!$M$56*(4^2)+'LINEST VARS'!$L$56*(0.5^2)+'LINEST VARS'!$K$56*(12.73^2)+'LINEST VARS'!$J$56*($Q$56*$B71)+'LINEST VARS'!$I$56*($Q$56*4)+'LINEST VARS'!$H$56*($Q$56*0.5)+'LINEST VARS'!$G$56*($Q$56*12.73)+'LINEST VARS'!$F$56*($B71*4)+'LINEST VARS'!$E$56*($B71*0.5)+'LINEST VARS'!$D$56*($B71*12.73)+'LINEST VARS'!$C$56*(4*0.5)+'LINEST VARS'!$B$56*(4*12.73)+'LINEST VARS'!$A$56*(0.5*12.73)</f>
        <v>2.8400000000000007</v>
      </c>
      <c r="R71" s="51">
        <f>'LINEST VARS'!$U$56+'LINEST VARS'!$T$56*($R$56)+'LINEST VARS'!$S$56*($B71)+'LINEST VARS'!$R$56*(4)+'LINEST VARS'!$Q$56*(0.5)+'LINEST VARS'!$P$56*(12.73)+'LINEST VARS'!$O$56*($R$56^2)+'LINEST VARS'!$N$56*($B71^2)+'LINEST VARS'!$M$56*(4^2)+'LINEST VARS'!$L$56*(0.5^2)+'LINEST VARS'!$K$56*(12.73^2)+'LINEST VARS'!$J$56*($R$56*$B71)+'LINEST VARS'!$I$56*($R$56*4)+'LINEST VARS'!$H$56*($R$56*0.5)+'LINEST VARS'!$G$56*($R$56*12.73)+'LINEST VARS'!$F$56*($B71*4)+'LINEST VARS'!$E$56*($B71*0.5)+'LINEST VARS'!$D$56*($B71*12.73)+'LINEST VARS'!$C$56*(4*0.5)+'LINEST VARS'!$B$56*(4*12.73)+'LINEST VARS'!$A$56*(0.5*12.73)</f>
        <v>2.8400000000000007</v>
      </c>
      <c r="S71" s="51">
        <f>'LINEST VARS'!$U$56+'LINEST VARS'!$T$56*($S$56)+'LINEST VARS'!$S$56*($B71)+'LINEST VARS'!$R$56*(4)+'LINEST VARS'!$Q$56*(0.5)+'LINEST VARS'!$P$56*(12.73)+'LINEST VARS'!$O$56*($S$56^2)+'LINEST VARS'!$N$56*($B71^2)+'LINEST VARS'!$M$56*(4^2)+'LINEST VARS'!$L$56*(0.5^2)+'LINEST VARS'!$K$56*(12.73^2)+'LINEST VARS'!$J$56*($S$56*$B71)+'LINEST VARS'!$I$56*($S$56*4)+'LINEST VARS'!$H$56*($S$56*0.5)+'LINEST VARS'!$G$56*($S$56*12.73)+'LINEST VARS'!$F$56*($B71*4)+'LINEST VARS'!$E$56*($B71*0.5)+'LINEST VARS'!$D$56*($B71*12.73)+'LINEST VARS'!$C$56*(4*0.5)+'LINEST VARS'!$B$56*(4*12.73)+'LINEST VARS'!$A$56*(0.5*12.73)</f>
        <v>2.8400000000000012</v>
      </c>
      <c r="T71" s="51">
        <f>'LINEST VARS'!$U$56+'LINEST VARS'!$T$56*($T$56)+'LINEST VARS'!$S$56*($B71)+'LINEST VARS'!$R$56*(4)+'LINEST VARS'!$Q$56*(0.5)+'LINEST VARS'!$P$56*(12.73)+'LINEST VARS'!$O$56*($T$56^2)+'LINEST VARS'!$N$56*($B71^2)+'LINEST VARS'!$M$56*(4^2)+'LINEST VARS'!$L$56*(0.5^2)+'LINEST VARS'!$K$56*(12.73^2)+'LINEST VARS'!$J$56*($T$56*$B71)+'LINEST VARS'!$I$56*($T$56*4)+'LINEST VARS'!$H$56*($T$56*0.5)+'LINEST VARS'!$G$56*($T$56*12.73)+'LINEST VARS'!$F$56*($B71*4)+'LINEST VARS'!$E$56*($B71*0.5)+'LINEST VARS'!$D$56*($B71*12.73)+'LINEST VARS'!$C$56*(4*0.5)+'LINEST VARS'!$B$56*(4*12.73)+'LINEST VARS'!$A$56*(0.5*12.73)</f>
        <v>2.8400000000000012</v>
      </c>
      <c r="U71" s="51">
        <f>'LINEST VARS'!$U$56+'LINEST VARS'!$T$56*($U$56)+'LINEST VARS'!$S$56*($B71)+'LINEST VARS'!$R$56*(4)+'LINEST VARS'!$Q$56*(0.5)+'LINEST VARS'!$P$56*(12.73)+'LINEST VARS'!$O$56*($U$56^2)+'LINEST VARS'!$N$56*($B71^2)+'LINEST VARS'!$M$56*(4^2)+'LINEST VARS'!$L$56*(0.5^2)+'LINEST VARS'!$K$56*(12.73^2)+'LINEST VARS'!$J$56*($U$56*$B71)+'LINEST VARS'!$I$56*($U$56*4)+'LINEST VARS'!$H$56*($U$56*0.5)+'LINEST VARS'!$G$56*($U$56*12.73)+'LINEST VARS'!$F$56*($B71*4)+'LINEST VARS'!$E$56*($B71*0.5)+'LINEST VARS'!$D$56*($B71*12.73)+'LINEST VARS'!$C$56*(4*0.5)+'LINEST VARS'!$B$56*(4*12.73)+'LINEST VARS'!$A$56*(0.5*12.73)</f>
        <v>2.8400000000000012</v>
      </c>
      <c r="V71" s="51">
        <f>'LINEST VARS'!$U$56+'LINEST VARS'!$T$56*($V$56)+'LINEST VARS'!$S$56*($B71)+'LINEST VARS'!$R$56*(4)+'LINEST VARS'!$Q$56*(0.5)+'LINEST VARS'!$P$56*(12.73)+'LINEST VARS'!$O$56*($V$56^2)+'LINEST VARS'!$N$56*($B71^2)+'LINEST VARS'!$M$56*(4^2)+'LINEST VARS'!$L$56*(0.5^2)+'LINEST VARS'!$K$56*(12.73^2)+'LINEST VARS'!$J$56*($V$56*$B71)+'LINEST VARS'!$I$56*($V$56*4)+'LINEST VARS'!$H$56*($V$56*0.5)+'LINEST VARS'!$G$56*($V$56*12.73)+'LINEST VARS'!$F$56*($B71*4)+'LINEST VARS'!$E$56*($B71*0.5)+'LINEST VARS'!$D$56*($B71*12.73)+'LINEST VARS'!$C$56*(4*0.5)+'LINEST VARS'!$B$56*(4*12.73)+'LINEST VARS'!$A$56*(0.5*12.73)</f>
        <v>2.8400000000000012</v>
      </c>
      <c r="W71" s="52">
        <f>'LINEST VARS'!$U$56+'LINEST VARS'!$T$56*($W$56)+'LINEST VARS'!$S$56*($B71)+'LINEST VARS'!$R$56*(4)+'LINEST VARS'!$Q$56*(0.5)+'LINEST VARS'!$P$56*(12.73)+'LINEST VARS'!$O$56*($W$56^2)+'LINEST VARS'!$N$56*($B71^2)+'LINEST VARS'!$M$56*(4^2)+'LINEST VARS'!$L$56*(0.5^2)+'LINEST VARS'!$K$56*(12.73^2)+'LINEST VARS'!$J$56*($W$56*$B71)+'LINEST VARS'!$I$56*($W$56*4)+'LINEST VARS'!$H$56*($W$56*0.5)+'LINEST VARS'!$G$56*($W$56*12.73)+'LINEST VARS'!$F$56*($B71*4)+'LINEST VARS'!$E$56*($B71*0.5)+'LINEST VARS'!$D$56*($B71*12.73)+'LINEST VARS'!$C$56*(4*0.5)+'LINEST VARS'!$B$56*(4*12.73)+'LINEST VARS'!$A$56*(0.5*12.73)</f>
        <v>2.8400000000000012</v>
      </c>
      <c r="Z71" s="45">
        <v>8.24</v>
      </c>
      <c r="AA71" s="51">
        <f>'LINEST VARS'!$U$58+'LINEST VARS'!$T$58*($AA$56)+'LINEST VARS'!$S$58*($Z71)+'LINEST VARS'!$R$58*(4)+'LINEST VARS'!$Q$58*(0.5)+'LINEST VARS'!$P$58*(12.73)+'LINEST VARS'!$O$58*($AA$56^2)+'LINEST VARS'!$N$58*($Z71^2)+'LINEST VARS'!$M$58*(4^2)+'LINEST VARS'!$L$58*(0.5^2)+'LINEST VARS'!$K$58*(12.73^2)+'LINEST VARS'!$J$58*($AA$56*$Z71)+'LINEST VARS'!$I$58*($AA$56*4)+'LINEST VARS'!$H$58*($AA$56*0.5)+'LINEST VARS'!$G$58*($AA$56*12.73)+'LINEST VARS'!$F$58*($Z71*4)+'LINEST VARS'!$E$58*($Z71*0.5)+'LINEST VARS'!$D$58*($Z71*12.73)+'LINEST VARS'!$C$58*(4*0.5)+'LINEST VARS'!$B$58*(4*12.73)+'LINEST VARS'!$A$58*(0.5*12.73)</f>
        <v>0.94365000000000032</v>
      </c>
      <c r="AB71" s="51">
        <f>'LINEST VARS'!$U$58+'LINEST VARS'!$T$58*($AB$56)+'LINEST VARS'!$S$58*($Z71)+'LINEST VARS'!$R$58*(4)+'LINEST VARS'!$Q$58*(0.5)+'LINEST VARS'!$P$58*(12.73)+'LINEST VARS'!$O$58*($AB$56^2)+'LINEST VARS'!$N$58*($Z71^2)+'LINEST VARS'!$M$58*(4^2)+'LINEST VARS'!$L$58*(0.5^2)+'LINEST VARS'!$K$58*(12.73^2)+'LINEST VARS'!$J$58*($AB$56*$Z71)+'LINEST VARS'!$I$58*($AB$56*4)+'LINEST VARS'!$H$58*($AB$56*0.5)+'LINEST VARS'!$G$58*($AB$56*12.73)+'LINEST VARS'!$F$58*($Z71*4)+'LINEST VARS'!$E$58*($Z71*0.5)+'LINEST VARS'!$D$58*($Z71*12.73)+'LINEST VARS'!$C$58*(4*0.5)+'LINEST VARS'!$B$58*(4*12.73)+'LINEST VARS'!$A$58*(0.5*12.73)</f>
        <v>0.94365000000000032</v>
      </c>
      <c r="AC71" s="51">
        <f>'LINEST VARS'!$U$58+'LINEST VARS'!$T$58*($AC$56)+'LINEST VARS'!$S$58*($Z71)+'LINEST VARS'!$R$58*(4)+'LINEST VARS'!$Q$58*(0.5)+'LINEST VARS'!$P$58*(12.73)+'LINEST VARS'!$O$58*($AC$56^2)+'LINEST VARS'!$N$58*($Z71^2)+'LINEST VARS'!$M$58*(4^2)+'LINEST VARS'!$L$58*(0.5^2)+'LINEST VARS'!$K$58*(12.73^2)+'LINEST VARS'!$J$58*($AC$56*$Z71)+'LINEST VARS'!$I$58*($AC$56*4)+'LINEST VARS'!$H$58*($AC$56*0.5)+'LINEST VARS'!$G$58*($AC$56*12.73)+'LINEST VARS'!$F$58*($Z71*4)+'LINEST VARS'!$E$58*($Z71*0.5)+'LINEST VARS'!$D$58*($Z71*12.73)+'LINEST VARS'!$C$58*(4*0.5)+'LINEST VARS'!$B$58*(4*12.73)+'LINEST VARS'!$A$58*(0.5*12.73)</f>
        <v>0.94365000000000032</v>
      </c>
      <c r="AD71" s="51">
        <f>'LINEST VARS'!$U$58+'LINEST VARS'!$T$58*($AD$56)+'LINEST VARS'!$S$58*($Z71)+'LINEST VARS'!$R$58*(4)+'LINEST VARS'!$Q$58*(0.5)+'LINEST VARS'!$P$58*(12.73)+'LINEST VARS'!$O$58*($AD$56^2)+'LINEST VARS'!$N$58*($Z71^2)+'LINEST VARS'!$M$58*(4^2)+'LINEST VARS'!$L$58*(0.5^2)+'LINEST VARS'!$K$58*(12.73^2)+'LINEST VARS'!$J$58*($AD$56*$Z71)+'LINEST VARS'!$I$58*($AD$56*4)+'LINEST VARS'!$H$58*($AD$56*0.5)+'LINEST VARS'!$G$58*($AD$56*12.73)+'LINEST VARS'!$F$58*($Z71*4)+'LINEST VARS'!$E$58*($Z71*0.5)+'LINEST VARS'!$D$58*($Z71*12.73)+'LINEST VARS'!$C$58*(4*0.5)+'LINEST VARS'!$B$58*(4*12.73)+'LINEST VARS'!$A$58*(0.5*12.73)</f>
        <v>0.94365000000000032</v>
      </c>
      <c r="AE71" s="51">
        <f>'LINEST VARS'!$U$58+'LINEST VARS'!$T$58*($AE$56)+'LINEST VARS'!$S$58*($Z71)+'LINEST VARS'!$R$58*(4)+'LINEST VARS'!$Q$58*(0.5)+'LINEST VARS'!$P$58*(12.73)+'LINEST VARS'!$O$58*($AE$56^2)+'LINEST VARS'!$N$58*($Z71^2)+'LINEST VARS'!$M$58*(4^2)+'LINEST VARS'!$L$58*(0.5^2)+'LINEST VARS'!$K$58*(12.73^2)+'LINEST VARS'!$J$58*($AE$56*$Z71)+'LINEST VARS'!$I$58*($AE$56*4)+'LINEST VARS'!$H$58*($AE$56*0.5)+'LINEST VARS'!$G$58*($AE$56*12.73)+'LINEST VARS'!$F$58*($Z71*4)+'LINEST VARS'!$E$58*($Z71*0.5)+'LINEST VARS'!$D$58*($Z71*12.73)+'LINEST VARS'!$C$58*(4*0.5)+'LINEST VARS'!$B$58*(4*12.73)+'LINEST VARS'!$A$58*(0.5*12.73)</f>
        <v>0.94365000000000032</v>
      </c>
      <c r="AF71" s="51">
        <f>'LINEST VARS'!$U$58+'LINEST VARS'!$T$58*($AF$56)+'LINEST VARS'!$S$58*($Z71)+'LINEST VARS'!$R$58*(4)+'LINEST VARS'!$Q$58*(0.5)+'LINEST VARS'!$P$58*(12.73)+'LINEST VARS'!$O$58*($AF$56^2)+'LINEST VARS'!$N$58*($Z71^2)+'LINEST VARS'!$M$58*(4^2)+'LINEST VARS'!$L$58*(0.5^2)+'LINEST VARS'!$K$58*(12.73^2)+'LINEST VARS'!$J$58*($AF$56*$Z71)+'LINEST VARS'!$I$58*($AF$56*4)+'LINEST VARS'!$H$58*($AF$56*0.5)+'LINEST VARS'!$G$58*($AF$56*12.73)+'LINEST VARS'!$F$58*($Z71*4)+'LINEST VARS'!$E$58*($Z71*0.5)+'LINEST VARS'!$D$58*($Z71*12.73)+'LINEST VARS'!$C$58*(4*0.5)+'LINEST VARS'!$B$58*(4*12.73)+'LINEST VARS'!$A$58*(0.5*12.73)</f>
        <v>0.94365000000000032</v>
      </c>
      <c r="AG71" s="51">
        <f>'LINEST VARS'!$U$58+'LINEST VARS'!$T$58*($AG$56)+'LINEST VARS'!$S$58*($Z71)+'LINEST VARS'!$R$58*(4)+'LINEST VARS'!$Q$58*(0.5)+'LINEST VARS'!$P$58*(12.73)+'LINEST VARS'!$O$58*($AG$56^2)+'LINEST VARS'!$N$58*($Z71^2)+'LINEST VARS'!$M$58*(4^2)+'LINEST VARS'!$L$58*(0.5^2)+'LINEST VARS'!$K$58*(12.73^2)+'LINEST VARS'!$J$58*($AG$56*$Z71)+'LINEST VARS'!$I$58*($AG$56*4)+'LINEST VARS'!$H$58*($AG$56*0.5)+'LINEST VARS'!$G$58*($AG$56*12.73)+'LINEST VARS'!$F$58*($Z71*4)+'LINEST VARS'!$E$58*($Z71*0.5)+'LINEST VARS'!$D$58*($Z71*12.73)+'LINEST VARS'!$C$58*(4*0.5)+'LINEST VARS'!$B$58*(4*12.73)+'LINEST VARS'!$A$58*(0.5*12.73)</f>
        <v>0.94365000000000043</v>
      </c>
      <c r="AH71" s="51">
        <f>'LINEST VARS'!$U$58+'LINEST VARS'!$T$58*($AH$56)+'LINEST VARS'!$S$58*($Z71)+'LINEST VARS'!$R$58*(4)+'LINEST VARS'!$Q$58*(0.5)+'LINEST VARS'!$P$58*(12.73)+'LINEST VARS'!$O$58*($AH$56^2)+'LINEST VARS'!$N$58*($Z71^2)+'LINEST VARS'!$M$58*(4^2)+'LINEST VARS'!$L$58*(0.5^2)+'LINEST VARS'!$K$58*(12.73^2)+'LINEST VARS'!$J$58*($AH$56*$Z71)+'LINEST VARS'!$I$58*($AH$56*4)+'LINEST VARS'!$H$58*($AH$56*0.5)+'LINEST VARS'!$G$58*($AH$56*12.73)+'LINEST VARS'!$F$58*($Z71*4)+'LINEST VARS'!$E$58*($Z71*0.5)+'LINEST VARS'!$D$58*($Z71*12.73)+'LINEST VARS'!$C$58*(4*0.5)+'LINEST VARS'!$B$58*(4*12.73)+'LINEST VARS'!$A$58*(0.5*12.73)</f>
        <v>0.94365000000000043</v>
      </c>
      <c r="AI71" s="51">
        <f>'LINEST VARS'!$U$58+'LINEST VARS'!$T$58*($AI$56)+'LINEST VARS'!$S$58*($Z71)+'LINEST VARS'!$R$58*(4)+'LINEST VARS'!$Q$58*(0.5)+'LINEST VARS'!$P$58*(12.73)+'LINEST VARS'!$O$58*($AI$56^2)+'LINEST VARS'!$N$58*($Z71^2)+'LINEST VARS'!$M$58*(4^2)+'LINEST VARS'!$L$58*(0.5^2)+'LINEST VARS'!$K$58*(12.73^2)+'LINEST VARS'!$J$58*($AI$56*$Z71)+'LINEST VARS'!$I$58*($AI$56*4)+'LINEST VARS'!$H$58*($AI$56*0.5)+'LINEST VARS'!$G$58*($AI$56*12.73)+'LINEST VARS'!$F$58*($Z71*4)+'LINEST VARS'!$E$58*($Z71*0.5)+'LINEST VARS'!$D$58*($Z71*12.73)+'LINEST VARS'!$C$58*(4*0.5)+'LINEST VARS'!$B$58*(4*12.73)+'LINEST VARS'!$A$58*(0.5*12.73)</f>
        <v>0.94365000000000032</v>
      </c>
      <c r="AJ71" s="51">
        <f>'LINEST VARS'!$U$58+'LINEST VARS'!$T$58*($AJ$56)+'LINEST VARS'!$S$58*($Z71)+'LINEST VARS'!$R$58*(4)+'LINEST VARS'!$Q$58*(0.5)+'LINEST VARS'!$P$58*(12.73)+'LINEST VARS'!$O$58*($AJ$56^2)+'LINEST VARS'!$N$58*($Z71^2)+'LINEST VARS'!$M$58*(4^2)+'LINEST VARS'!$L$58*(0.5^2)+'LINEST VARS'!$K$58*(12.73^2)+'LINEST VARS'!$J$58*($AJ$56*$Z71)+'LINEST VARS'!$I$58*($AJ$56*4)+'LINEST VARS'!$H$58*($AJ$56*0.5)+'LINEST VARS'!$G$58*($AJ$56*12.73)+'LINEST VARS'!$F$58*($Z71*4)+'LINEST VARS'!$E$58*($Z71*0.5)+'LINEST VARS'!$D$58*($Z71*12.73)+'LINEST VARS'!$C$58*(4*0.5)+'LINEST VARS'!$B$58*(4*12.73)+'LINEST VARS'!$A$58*(0.5*12.73)</f>
        <v>0.94365000000000032</v>
      </c>
      <c r="AK71" s="51">
        <f>'LINEST VARS'!$U$58+'LINEST VARS'!$T$58*($AK$56)+'LINEST VARS'!$S$58*($Z71)+'LINEST VARS'!$R$58*(4)+'LINEST VARS'!$Q$58*(0.5)+'LINEST VARS'!$P$58*(12.73)+'LINEST VARS'!$O$58*($AK$56^2)+'LINEST VARS'!$N$58*($Z71^2)+'LINEST VARS'!$M$58*(4^2)+'LINEST VARS'!$L$58*(0.5^2)+'LINEST VARS'!$K$58*(12.73^2)+'LINEST VARS'!$J$58*($AK$56*$Z71)+'LINEST VARS'!$I$58*($AK$56*4)+'LINEST VARS'!$H$58*($AK$56*0.5)+'LINEST VARS'!$G$58*($AK$56*12.73)+'LINEST VARS'!$F$58*($Z71*4)+'LINEST VARS'!$E$58*($Z71*0.5)+'LINEST VARS'!$D$58*($Z71*12.73)+'LINEST VARS'!$C$58*(4*0.5)+'LINEST VARS'!$B$58*(4*12.73)+'LINEST VARS'!$A$58*(0.5*12.73)</f>
        <v>0.94365000000000032</v>
      </c>
      <c r="AL71" s="51">
        <f>'LINEST VARS'!$U$58+'LINEST VARS'!$T$58*($AL$56)+'LINEST VARS'!$S$58*($Z71)+'LINEST VARS'!$R$58*(4)+'LINEST VARS'!$Q$58*(0.5)+'LINEST VARS'!$P$58*(12.73)+'LINEST VARS'!$O$58*($AL$56^2)+'LINEST VARS'!$N$58*($Z71^2)+'LINEST VARS'!$M$58*(4^2)+'LINEST VARS'!$L$58*(0.5^2)+'LINEST VARS'!$K$58*(12.73^2)+'LINEST VARS'!$J$58*($AL$56*$Z71)+'LINEST VARS'!$I$58*($AL$56*4)+'LINEST VARS'!$H$58*($AL$56*0.5)+'LINEST VARS'!$G$58*($AL$56*12.73)+'LINEST VARS'!$F$58*($Z71*4)+'LINEST VARS'!$E$58*($Z71*0.5)+'LINEST VARS'!$D$58*($Z71*12.73)+'LINEST VARS'!$C$58*(4*0.5)+'LINEST VARS'!$B$58*(4*12.73)+'LINEST VARS'!$A$58*(0.5*12.73)</f>
        <v>0.94365000000000032</v>
      </c>
      <c r="AM71" s="51">
        <f>'LINEST VARS'!$U$58+'LINEST VARS'!$T$58*($AM$56)+'LINEST VARS'!$S$58*($Z71)+'LINEST VARS'!$R$58*(4)+'LINEST VARS'!$Q$58*(0.5)+'LINEST VARS'!$P$58*(12.73)+'LINEST VARS'!$O$58*($AM$56^2)+'LINEST VARS'!$N$58*($Z71^2)+'LINEST VARS'!$M$58*(4^2)+'LINEST VARS'!$L$58*(0.5^2)+'LINEST VARS'!$K$58*(12.73^2)+'LINEST VARS'!$J$58*($AM$56*$Z71)+'LINEST VARS'!$I$58*($AM$56*4)+'LINEST VARS'!$H$58*($AM$56*0.5)+'LINEST VARS'!$G$58*($AM$56*12.73)+'LINEST VARS'!$F$58*($Z71*4)+'LINEST VARS'!$E$58*($Z71*0.5)+'LINEST VARS'!$D$58*($Z71*12.73)+'LINEST VARS'!$C$58*(4*0.5)+'LINEST VARS'!$B$58*(4*12.73)+'LINEST VARS'!$A$58*(0.5*12.73)</f>
        <v>0.94365000000000021</v>
      </c>
      <c r="AN71" s="51">
        <f>'LINEST VARS'!$U$58+'LINEST VARS'!$T$58*($AN$56)+'LINEST VARS'!$S$58*($Z71)+'LINEST VARS'!$R$58*(4)+'LINEST VARS'!$Q$58*(0.5)+'LINEST VARS'!$P$58*(12.73)+'LINEST VARS'!$O$58*($AN$56^2)+'LINEST VARS'!$N$58*($Z71^2)+'LINEST VARS'!$M$58*(4^2)+'LINEST VARS'!$L$58*(0.5^2)+'LINEST VARS'!$K$58*(12.73^2)+'LINEST VARS'!$J$58*($AN$56*$Z71)+'LINEST VARS'!$I$58*($AN$56*4)+'LINEST VARS'!$H$58*($AN$56*0.5)+'LINEST VARS'!$G$58*($AN$56*12.73)+'LINEST VARS'!$F$58*($Z71*4)+'LINEST VARS'!$E$58*($Z71*0.5)+'LINEST VARS'!$D$58*($Z71*12.73)+'LINEST VARS'!$C$58*(4*0.5)+'LINEST VARS'!$B$58*(4*12.73)+'LINEST VARS'!$A$58*(0.5*12.73)</f>
        <v>0.94365000000000021</v>
      </c>
      <c r="AO71" s="51">
        <f>'LINEST VARS'!$U$58+'LINEST VARS'!$T$58*($AO$56)+'LINEST VARS'!$S$58*($Z71)+'LINEST VARS'!$R$58*(4)+'LINEST VARS'!$Q$58*(0.5)+'LINEST VARS'!$P$58*(12.73)+'LINEST VARS'!$O$58*($AO$56^2)+'LINEST VARS'!$N$58*($Z71^2)+'LINEST VARS'!$M$58*(4^2)+'LINEST VARS'!$L$58*(0.5^2)+'LINEST VARS'!$K$58*(12.73^2)+'LINEST VARS'!$J$58*($AO$56*$Z71)+'LINEST VARS'!$I$58*($AO$56*4)+'LINEST VARS'!$H$58*($AO$56*0.5)+'LINEST VARS'!$G$58*($AO$56*12.73)+'LINEST VARS'!$F$58*($Z71*4)+'LINEST VARS'!$E$58*($Z71*0.5)+'LINEST VARS'!$D$58*($Z71*12.73)+'LINEST VARS'!$C$58*(4*0.5)+'LINEST VARS'!$B$58*(4*12.73)+'LINEST VARS'!$A$58*(0.5*12.73)</f>
        <v>0.94365000000000032</v>
      </c>
      <c r="AP71" s="51">
        <f>'LINEST VARS'!$U$58+'LINEST VARS'!$T$58*($AP$56)+'LINEST VARS'!$S$58*($Z71)+'LINEST VARS'!$R$58*(4)+'LINEST VARS'!$Q$58*(0.5)+'LINEST VARS'!$P$58*(12.73)+'LINEST VARS'!$O$58*($AP$56^2)+'LINEST VARS'!$N$58*($Z71^2)+'LINEST VARS'!$M$58*(4^2)+'LINEST VARS'!$L$58*(0.5^2)+'LINEST VARS'!$K$58*(12.73^2)+'LINEST VARS'!$J$58*($AP$56*$Z71)+'LINEST VARS'!$I$58*($AP$56*4)+'LINEST VARS'!$H$58*($AP$56*0.5)+'LINEST VARS'!$G$58*($AP$56*12.73)+'LINEST VARS'!$F$58*($Z71*4)+'LINEST VARS'!$E$58*($Z71*0.5)+'LINEST VARS'!$D$58*($Z71*12.73)+'LINEST VARS'!$C$58*(4*0.5)+'LINEST VARS'!$B$58*(4*12.73)+'LINEST VARS'!$A$58*(0.5*12.73)</f>
        <v>0.94365000000000032</v>
      </c>
      <c r="AQ71" s="51">
        <f>'LINEST VARS'!$U$58+'LINEST VARS'!$T$58*($AQ$56)+'LINEST VARS'!$S$58*($Z71)+'LINEST VARS'!$R$58*(4)+'LINEST VARS'!$Q$58*(0.5)+'LINEST VARS'!$P$58*(12.73)+'LINEST VARS'!$O$58*($AQ$56^2)+'LINEST VARS'!$N$58*($Z71^2)+'LINEST VARS'!$M$58*(4^2)+'LINEST VARS'!$L$58*(0.5^2)+'LINEST VARS'!$K$58*(12.73^2)+'LINEST VARS'!$J$58*($AQ$56*$Z71)+'LINEST VARS'!$I$58*($AQ$56*4)+'LINEST VARS'!$H$58*($AQ$56*0.5)+'LINEST VARS'!$G$58*($AQ$56*12.73)+'LINEST VARS'!$F$58*($Z71*4)+'LINEST VARS'!$E$58*($Z71*0.5)+'LINEST VARS'!$D$58*($Z71*12.73)+'LINEST VARS'!$C$58*(4*0.5)+'LINEST VARS'!$B$58*(4*12.73)+'LINEST VARS'!$A$58*(0.5*12.73)</f>
        <v>0.94365000000000032</v>
      </c>
      <c r="AR71" s="51">
        <f>'LINEST VARS'!$U$58+'LINEST VARS'!$T$58*($AR$56)+'LINEST VARS'!$S$58*($Z71)+'LINEST VARS'!$R$58*(4)+'LINEST VARS'!$Q$58*(0.5)+'LINEST VARS'!$P$58*(12.73)+'LINEST VARS'!$O$58*($AR$56^2)+'LINEST VARS'!$N$58*($Z71^2)+'LINEST VARS'!$M$58*(4^2)+'LINEST VARS'!$L$58*(0.5^2)+'LINEST VARS'!$K$58*(12.73^2)+'LINEST VARS'!$J$58*($AR$56*$Z71)+'LINEST VARS'!$I$58*($AR$56*4)+'LINEST VARS'!$H$58*($AR$56*0.5)+'LINEST VARS'!$G$58*($AR$56*12.73)+'LINEST VARS'!$F$58*($Z71*4)+'LINEST VARS'!$E$58*($Z71*0.5)+'LINEST VARS'!$D$58*($Z71*12.73)+'LINEST VARS'!$C$58*(4*0.5)+'LINEST VARS'!$B$58*(4*12.73)+'LINEST VARS'!$A$58*(0.5*12.73)</f>
        <v>0.94365000000000032</v>
      </c>
      <c r="AS71" s="51">
        <f>'LINEST VARS'!$U$58+'LINEST VARS'!$T$58*($AS$56)+'LINEST VARS'!$S$58*($Z71)+'LINEST VARS'!$R$58*(4)+'LINEST VARS'!$Q$58*(0.5)+'LINEST VARS'!$P$58*(12.73)+'LINEST VARS'!$O$58*($AS$56^2)+'LINEST VARS'!$N$58*($Z71^2)+'LINEST VARS'!$M$58*(4^2)+'LINEST VARS'!$L$58*(0.5^2)+'LINEST VARS'!$K$58*(12.73^2)+'LINEST VARS'!$J$58*($AS$56*$Z71)+'LINEST VARS'!$I$58*($AS$56*4)+'LINEST VARS'!$H$58*($AS$56*0.5)+'LINEST VARS'!$G$58*($AS$56*12.73)+'LINEST VARS'!$F$58*($Z71*4)+'LINEST VARS'!$E$58*($Z71*0.5)+'LINEST VARS'!$D$58*($Z71*12.73)+'LINEST VARS'!$C$58*(4*0.5)+'LINEST VARS'!$B$58*(4*12.73)+'LINEST VARS'!$A$58*(0.5*12.73)</f>
        <v>0.94365000000000032</v>
      </c>
      <c r="AT71" s="51">
        <f>'LINEST VARS'!$U$58+'LINEST VARS'!$T$58*($AT$56)+'LINEST VARS'!$S$58*($Z71)+'LINEST VARS'!$R$58*(4)+'LINEST VARS'!$Q$58*(0.5)+'LINEST VARS'!$P$58*(12.73)+'LINEST VARS'!$O$58*($AT$56^2)+'LINEST VARS'!$N$58*($Z71^2)+'LINEST VARS'!$M$58*(4^2)+'LINEST VARS'!$L$58*(0.5^2)+'LINEST VARS'!$K$58*(12.73^2)+'LINEST VARS'!$J$58*($AT$56*$Z71)+'LINEST VARS'!$I$58*($AT$56*4)+'LINEST VARS'!$H$58*($AT$56*0.5)+'LINEST VARS'!$G$58*($AT$56*12.73)+'LINEST VARS'!$F$58*($Z71*4)+'LINEST VARS'!$E$58*($Z71*0.5)+'LINEST VARS'!$D$58*($Z71*12.73)+'LINEST VARS'!$C$58*(4*0.5)+'LINEST VARS'!$B$58*(4*12.73)+'LINEST VARS'!$A$58*(0.5*12.73)</f>
        <v>0.94365000000000032</v>
      </c>
      <c r="AU71" s="52">
        <f>'LINEST VARS'!$U$58+'LINEST VARS'!$T$58*($AU$56)+'LINEST VARS'!$S$58*($Z71)+'LINEST VARS'!$R$58*(4)+'LINEST VARS'!$Q$58*(0.5)+'LINEST VARS'!$P$58*(12.73)+'LINEST VARS'!$O$58*($AU$56^2)+'LINEST VARS'!$N$58*($Z71^2)+'LINEST VARS'!$M$58*(4^2)+'LINEST VARS'!$L$58*(0.5^2)+'LINEST VARS'!$K$58*(12.73^2)+'LINEST VARS'!$J$58*($AU$56*$Z71)+'LINEST VARS'!$I$58*($AU$56*4)+'LINEST VARS'!$H$58*($AU$56*0.5)+'LINEST VARS'!$G$58*($AU$56*12.73)+'LINEST VARS'!$F$58*($Z71*4)+'LINEST VARS'!$E$58*($Z71*0.5)+'LINEST VARS'!$D$58*($Z71*12.73)+'LINEST VARS'!$C$58*(4*0.5)+'LINEST VARS'!$B$58*(4*12.73)+'LINEST VARS'!$A$58*(0.5*12.73)</f>
        <v>0.94365000000000021</v>
      </c>
      <c r="AZ71" s="45">
        <v>0.7</v>
      </c>
      <c r="BA71" s="51">
        <f>'LINEST VARS'!$U$56+'LINEST VARS'!$T$56*(8)+'LINEST VARS'!$S$56*(8)+'LINEST VARS'!$R$56*($BA$56)+'LINEST VARS'!$Q$56*($AZ71)+'LINEST VARS'!$P$56*(12.73)+'LINEST VARS'!$O$56*(8^2)+'LINEST VARS'!$N$56*(8^2)+'LINEST VARS'!$M$56*($BA$56^2)+'LINEST VARS'!$L$56*($AZ71^2)+'LINEST VARS'!$K$56*(12.73^2)+'LINEST VARS'!$J$56*(8*8)+'LINEST VARS'!$I$56*(8*$BA$56)+'LINEST VARS'!$H$56*(8*$AZ71)+'LINEST VARS'!$G$56*(8*12.73)+'LINEST VARS'!$F$56*(8*$BA$56)+'LINEST VARS'!$E$56*(8*$AZ71)+'LINEST VARS'!$D$56*(8*12.73)+'LINEST VARS'!$C$56*($BA$56*$AZ71)+'LINEST VARS'!$B$56*($BA$56*12.73)+'LINEST VARS'!$A$56*($AZ71*12.73)</f>
        <v>2.8000000000000012</v>
      </c>
      <c r="BB71" s="51">
        <f>'LINEST VARS'!$U$56+'LINEST VARS'!$T$56*(8)+'LINEST VARS'!$S$56*(8)+'LINEST VARS'!$R$56*($BB$56)+'LINEST VARS'!$Q$56*($AZ71)+'LINEST VARS'!$P$56*(12.73)+'LINEST VARS'!$O$56*(8^2)+'LINEST VARS'!$N$56*(8^2)+'LINEST VARS'!$M$56*($BB$56^2)+'LINEST VARS'!$L$56*($AZ71^2)+'LINEST VARS'!$K$56*(12.73^2)+'LINEST VARS'!$J$56*(8*8)+'LINEST VARS'!$I$56*(8*$BB$56)+'LINEST VARS'!$H$56*(8*$AZ71)+'LINEST VARS'!$G$56*(8*12.73)+'LINEST VARS'!$F$56*(8*$BB$56)+'LINEST VARS'!$E$56*(8*$AZ71)+'LINEST VARS'!$D$56*(8*12.73)+'LINEST VARS'!$C$56*($BB$56*$AZ71)+'LINEST VARS'!$B$56*($BB$56*12.73)+'LINEST VARS'!$A$56*($AZ71*12.73)</f>
        <v>2.8184000000000013</v>
      </c>
      <c r="BC71" s="51">
        <f>'LINEST VARS'!$U$56+'LINEST VARS'!$T$56*(8)+'LINEST VARS'!$S$56*(8)+'LINEST VARS'!$R$56*($BC$56)+'LINEST VARS'!$Q$56*($AZ71)+'LINEST VARS'!$P$56*(12.73)+'LINEST VARS'!$O$56*(8^2)+'LINEST VARS'!$N$56*(8^2)+'LINEST VARS'!$M$56*($BC$56^2)+'LINEST VARS'!$L$56*($AZ71^2)+'LINEST VARS'!$K$56*(12.73^2)+'LINEST VARS'!$J$56*(8*8)+'LINEST VARS'!$I$56*(8*$BC$56)+'LINEST VARS'!$H$56*(8*$AZ71)+'LINEST VARS'!$G$56*(8*12.73)+'LINEST VARS'!$F$56*(8*$BC$56)+'LINEST VARS'!$E$56*(8*$AZ71)+'LINEST VARS'!$D$56*(8*12.73)+'LINEST VARS'!$C$56*($BC$56*$AZ71)+'LINEST VARS'!$B$56*($BC$56*12.73)+'LINEST VARS'!$A$56*($AZ71*12.73)</f>
        <v>2.833600000000001</v>
      </c>
      <c r="BD71" s="51">
        <f>'LINEST VARS'!$U$56+'LINEST VARS'!$T$56*(8)+'LINEST VARS'!$S$56*(8)+'LINEST VARS'!$R$56*($BD$56)+'LINEST VARS'!$Q$56*($AZ71)+'LINEST VARS'!$P$56*(12.73)+'LINEST VARS'!$O$56*(8^2)+'LINEST VARS'!$N$56*(8^2)+'LINEST VARS'!$M$56*($BD$56^2)+'LINEST VARS'!$L$56*($AZ71^2)+'LINEST VARS'!$K$56*(12.73^2)+'LINEST VARS'!$J$56*(8*8)+'LINEST VARS'!$I$56*(8*$BD$56)+'LINEST VARS'!$H$56*(8*$AZ71)+'LINEST VARS'!$G$56*(8*12.73)+'LINEST VARS'!$F$56*(8*$BD$56)+'LINEST VARS'!$E$56*(8*$AZ71)+'LINEST VARS'!$D$56*(8*12.73)+'LINEST VARS'!$C$56*($BD$56*$AZ71)+'LINEST VARS'!$B$56*($BD$56*12.73)+'LINEST VARS'!$A$56*($AZ71*12.73)</f>
        <v>2.845600000000001</v>
      </c>
      <c r="BE71" s="51">
        <f>'LINEST VARS'!$U$56+'LINEST VARS'!$T$56*(8)+'LINEST VARS'!$S$56*(8)+'LINEST VARS'!$R$56*($BE$56)+'LINEST VARS'!$Q$56*($AZ71)+'LINEST VARS'!$P$56*(12.73)+'LINEST VARS'!$O$56*(8^2)+'LINEST VARS'!$N$56*(8^2)+'LINEST VARS'!$M$56*($BE$56^2)+'LINEST VARS'!$L$56*($AZ71^2)+'LINEST VARS'!$K$56*(12.73^2)+'LINEST VARS'!$J$56*(8*8)+'LINEST VARS'!$I$56*(8*$BE$56)+'LINEST VARS'!$H$56*(8*$AZ71)+'LINEST VARS'!$G$56*(8*12.73)+'LINEST VARS'!$F$56*(8*$BE$56)+'LINEST VARS'!$E$56*(8*$AZ71)+'LINEST VARS'!$D$56*(8*12.73)+'LINEST VARS'!$C$56*($BE$56*$AZ71)+'LINEST VARS'!$B$56*($BE$56*12.73)+'LINEST VARS'!$A$56*($AZ71*12.73)</f>
        <v>2.8544000000000014</v>
      </c>
      <c r="BF71" s="51">
        <f>'LINEST VARS'!$U$56+'LINEST VARS'!$T$56*(8)+'LINEST VARS'!$S$56*(8)+'LINEST VARS'!$R$56*($BF$56)+'LINEST VARS'!$Q$56*($AZ71)+'LINEST VARS'!$P$56*(12.73)+'LINEST VARS'!$O$56*(8^2)+'LINEST VARS'!$N$56*(8^2)+'LINEST VARS'!$M$56*($BF$56^2)+'LINEST VARS'!$L$56*($AZ71^2)+'LINEST VARS'!$K$56*(12.73^2)+'LINEST VARS'!$J$56*(8*8)+'LINEST VARS'!$I$56*(8*$BF$56)+'LINEST VARS'!$H$56*(8*$AZ71)+'LINEST VARS'!$G$56*(8*12.73)+'LINEST VARS'!$F$56*(8*$BF$56)+'LINEST VARS'!$E$56*(8*$AZ71)+'LINEST VARS'!$D$56*(8*12.73)+'LINEST VARS'!$C$56*($BF$56*$AZ71)+'LINEST VARS'!$B$56*($BF$56*12.73)+'LINEST VARS'!$A$56*($AZ71*12.73)</f>
        <v>2.8600000000000012</v>
      </c>
      <c r="BG71" s="51">
        <f>'LINEST VARS'!$U$56+'LINEST VARS'!$T$56*(8)+'LINEST VARS'!$S$56*(8)+'LINEST VARS'!$R$56*($BG$56)+'LINEST VARS'!$Q$56*($AZ71)+'LINEST VARS'!$P$56*(12.73)+'LINEST VARS'!$O$56*(8^2)+'LINEST VARS'!$N$56*(8^2)+'LINEST VARS'!$M$56*($BG$56^2)+'LINEST VARS'!$L$56*($AZ71^2)+'LINEST VARS'!$K$56*(12.73^2)+'LINEST VARS'!$J$56*(8*8)+'LINEST VARS'!$I$56*(8*$BG$56)+'LINEST VARS'!$H$56*(8*$AZ71)+'LINEST VARS'!$G$56*(8*12.73)+'LINEST VARS'!$F$56*(8*$BG$56)+'LINEST VARS'!$E$56*(8*$AZ71)+'LINEST VARS'!$D$56*(8*12.73)+'LINEST VARS'!$C$56*($BG$56*$AZ71)+'LINEST VARS'!$B$56*($BG$56*12.73)+'LINEST VARS'!$A$56*($AZ71*12.73)</f>
        <v>2.8624000000000014</v>
      </c>
      <c r="BH71" s="51">
        <f>'LINEST VARS'!$U$56+'LINEST VARS'!$T$56*(8)+'LINEST VARS'!$S$56*(8)+'LINEST VARS'!$R$56*($BH$56)+'LINEST VARS'!$Q$56*($AZ71)+'LINEST VARS'!$P$56*(12.73)+'LINEST VARS'!$O$56*(8^2)+'LINEST VARS'!$N$56*(8^2)+'LINEST VARS'!$M$56*($BH$56^2)+'LINEST VARS'!$L$56*($AZ71^2)+'LINEST VARS'!$K$56*(12.73^2)+'LINEST VARS'!$J$56*(8*8)+'LINEST VARS'!$I$56*(8*$BH$56)+'LINEST VARS'!$H$56*(8*$AZ71)+'LINEST VARS'!$G$56*(8*12.73)+'LINEST VARS'!$F$56*(8*$BH$56)+'LINEST VARS'!$E$56*(8*$AZ71)+'LINEST VARS'!$D$56*(8*12.73)+'LINEST VARS'!$C$56*($BH$56*$AZ71)+'LINEST VARS'!$B$56*($BH$56*12.73)+'LINEST VARS'!$A$56*($AZ71*12.73)</f>
        <v>2.861600000000001</v>
      </c>
      <c r="BI71" s="51">
        <f>'LINEST VARS'!$U$56+'LINEST VARS'!$T$56*(8)+'LINEST VARS'!$S$56*(8)+'LINEST VARS'!$R$56*($BI$56)+'LINEST VARS'!$Q$56*($AZ71)+'LINEST VARS'!$P$56*(12.73)+'LINEST VARS'!$O$56*(8^2)+'LINEST VARS'!$N$56*(8^2)+'LINEST VARS'!$M$56*($BI$56^2)+'LINEST VARS'!$L$56*($AZ71^2)+'LINEST VARS'!$K$56*(12.73^2)+'LINEST VARS'!$J$56*(8*8)+'LINEST VARS'!$I$56*(8*$BI$56)+'LINEST VARS'!$H$56*(8*$AZ71)+'LINEST VARS'!$G$56*(8*12.73)+'LINEST VARS'!$F$56*(8*$BI$56)+'LINEST VARS'!$E$56*(8*$AZ71)+'LINEST VARS'!$D$56*(8*12.73)+'LINEST VARS'!$C$56*($BI$56*$AZ71)+'LINEST VARS'!$B$56*($BI$56*12.73)+'LINEST VARS'!$A$56*($AZ71*12.73)</f>
        <v>2.857600000000001</v>
      </c>
      <c r="BJ71" s="51">
        <f>'LINEST VARS'!$U$56+'LINEST VARS'!$T$56*(8)+'LINEST VARS'!$S$56*(8)+'LINEST VARS'!$R$56*($BJ$56)+'LINEST VARS'!$Q$56*($AZ71)+'LINEST VARS'!$P$56*(12.73)+'LINEST VARS'!$O$56*(8^2)+'LINEST VARS'!$N$56*(8^2)+'LINEST VARS'!$M$56*($BJ$56^2)+'LINEST VARS'!$L$56*($AZ71^2)+'LINEST VARS'!$K$56*(12.73^2)+'LINEST VARS'!$J$56*(8*8)+'LINEST VARS'!$I$56*(8*$BJ$56)+'LINEST VARS'!$H$56*(8*$AZ71)+'LINEST VARS'!$G$56*(8*12.73)+'LINEST VARS'!$F$56*(8*$BJ$56)+'LINEST VARS'!$E$56*(8*$AZ71)+'LINEST VARS'!$D$56*(8*12.73)+'LINEST VARS'!$C$56*($BJ$56*$AZ71)+'LINEST VARS'!$B$56*($BJ$56*12.73)+'LINEST VARS'!$A$56*($AZ71*12.73)</f>
        <v>2.8504000000000014</v>
      </c>
      <c r="BK71" s="51">
        <f>'LINEST VARS'!$U$56+'LINEST VARS'!$T$56*(8)+'LINEST VARS'!$S$56*(8)+'LINEST VARS'!$R$56*($BK$56)+'LINEST VARS'!$Q$56*($AZ71)+'LINEST VARS'!$P$56*(12.73)+'LINEST VARS'!$O$56*(8^2)+'LINEST VARS'!$N$56*(8^2)+'LINEST VARS'!$M$56*($BK$56^2)+'LINEST VARS'!$L$56*($AZ71^2)+'LINEST VARS'!$K$56*(12.73^2)+'LINEST VARS'!$J$56*(8*8)+'LINEST VARS'!$I$56*(8*$BK$56)+'LINEST VARS'!$H$56*(8*$AZ71)+'LINEST VARS'!$G$56*(8*12.73)+'LINEST VARS'!$F$56*(8*$BK$56)+'LINEST VARS'!$E$56*(8*$AZ71)+'LINEST VARS'!$D$56*(8*12.73)+'LINEST VARS'!$C$56*($BK$56*$AZ71)+'LINEST VARS'!$B$56*($BK$56*12.73)+'LINEST VARS'!$A$56*($AZ71*12.73)</f>
        <v>2.8400000000000012</v>
      </c>
      <c r="BL71" s="51">
        <f>'LINEST VARS'!$U$56+'LINEST VARS'!$T$56*(8)+'LINEST VARS'!$S$56*(8)+'LINEST VARS'!$R$56*($BL$56)+'LINEST VARS'!$Q$56*($AZ71)+'LINEST VARS'!$P$56*(12.73)+'LINEST VARS'!$O$56*(8^2)+'LINEST VARS'!$N$56*(8^2)+'LINEST VARS'!$M$56*($BL$56^2)+'LINEST VARS'!$L$56*($AZ71^2)+'LINEST VARS'!$K$56*(12.73^2)+'LINEST VARS'!$J$56*(8*8)+'LINEST VARS'!$I$56*(8*$BL$56)+'LINEST VARS'!$H$56*(8*$AZ71)+'LINEST VARS'!$G$56*(8*12.73)+'LINEST VARS'!$F$56*(8*$BL$56)+'LINEST VARS'!$E$56*(8*$AZ71)+'LINEST VARS'!$D$56*(8*12.73)+'LINEST VARS'!$C$56*($BL$56*$AZ71)+'LINEST VARS'!$B$56*($BL$56*12.73)+'LINEST VARS'!$A$56*($AZ71*12.73)</f>
        <v>2.8264000000000014</v>
      </c>
      <c r="BM71" s="51">
        <f>'LINEST VARS'!$U$56+'LINEST VARS'!$T$56*(8)+'LINEST VARS'!$S$56*(8)+'LINEST VARS'!$R$56*($BM$56)+'LINEST VARS'!$Q$56*($AZ71)+'LINEST VARS'!$P$56*(12.73)+'LINEST VARS'!$O$56*(8^2)+'LINEST VARS'!$N$56*(8^2)+'LINEST VARS'!$M$56*($BM$56^2)+'LINEST VARS'!$L$56*($AZ71^2)+'LINEST VARS'!$K$56*(12.73^2)+'LINEST VARS'!$J$56*(8*8)+'LINEST VARS'!$I$56*(8*$BM$56)+'LINEST VARS'!$H$56*(8*$AZ71)+'LINEST VARS'!$G$56*(8*12.73)+'LINEST VARS'!$F$56*(8*$BM$56)+'LINEST VARS'!$E$56*(8*$AZ71)+'LINEST VARS'!$D$56*(8*12.73)+'LINEST VARS'!$C$56*($BM$56*$AZ71)+'LINEST VARS'!$B$56*($BM$56*12.73)+'LINEST VARS'!$A$56*($AZ71*12.73)</f>
        <v>2.809600000000001</v>
      </c>
      <c r="BN71" s="51">
        <f>'LINEST VARS'!$U$56+'LINEST VARS'!$T$56*(8)+'LINEST VARS'!$S$56*(8)+'LINEST VARS'!$R$56*($BN$56)+'LINEST VARS'!$Q$56*($AZ71)+'LINEST VARS'!$P$56*(12.73)+'LINEST VARS'!$O$56*(8^2)+'LINEST VARS'!$N$56*(8^2)+'LINEST VARS'!$M$56*($BN$56^2)+'LINEST VARS'!$L$56*($AZ71^2)+'LINEST VARS'!$K$56*(12.73^2)+'LINEST VARS'!$J$56*(8*8)+'LINEST VARS'!$I$56*(8*$BN$56)+'LINEST VARS'!$H$56*(8*$AZ71)+'LINEST VARS'!$G$56*(8*12.73)+'LINEST VARS'!$F$56*(8*$BN$56)+'LINEST VARS'!$E$56*(8*$AZ71)+'LINEST VARS'!$D$56*(8*12.73)+'LINEST VARS'!$C$56*($BN$56*$AZ71)+'LINEST VARS'!$B$56*($BN$56*12.73)+'LINEST VARS'!$A$56*($AZ71*12.73)</f>
        <v>2.789600000000001</v>
      </c>
      <c r="BO71" s="51">
        <f>'LINEST VARS'!$U$56+'LINEST VARS'!$T$56*(8)+'LINEST VARS'!$S$56*(8)+'LINEST VARS'!$R$56*($BO$56)+'LINEST VARS'!$Q$56*($AZ71)+'LINEST VARS'!$P$56*(12.73)+'LINEST VARS'!$O$56*(8^2)+'LINEST VARS'!$N$56*(8^2)+'LINEST VARS'!$M$56*($BO$56^2)+'LINEST VARS'!$L$56*($AZ71^2)+'LINEST VARS'!$K$56*(12.73^2)+'LINEST VARS'!$J$56*(8*8)+'LINEST VARS'!$I$56*(8*$BO$56)+'LINEST VARS'!$H$56*(8*$AZ71)+'LINEST VARS'!$G$56*(8*12.73)+'LINEST VARS'!$F$56*(8*$BO$56)+'LINEST VARS'!$E$56*(8*$AZ71)+'LINEST VARS'!$D$56*(8*12.73)+'LINEST VARS'!$C$56*($BO$56*$AZ71)+'LINEST VARS'!$B$56*($BO$56*12.73)+'LINEST VARS'!$A$56*($AZ71*12.73)</f>
        <v>2.7664000000000013</v>
      </c>
      <c r="BP71" s="51">
        <f>'LINEST VARS'!$U$56+'LINEST VARS'!$T$56*(8)+'LINEST VARS'!$S$56*(8)+'LINEST VARS'!$R$56*($BP$56)+'LINEST VARS'!$Q$56*($AZ71)+'LINEST VARS'!$P$56*(12.73)+'LINEST VARS'!$O$56*(8^2)+'LINEST VARS'!$N$56*(8^2)+'LINEST VARS'!$M$56*($BP$56^2)+'LINEST VARS'!$L$56*($AZ71^2)+'LINEST VARS'!$K$56*(12.73^2)+'LINEST VARS'!$J$56*(8*8)+'LINEST VARS'!$I$56*(8*$BP$56)+'LINEST VARS'!$H$56*(8*$AZ71)+'LINEST VARS'!$G$56*(8*12.73)+'LINEST VARS'!$F$56*(8*$BP$56)+'LINEST VARS'!$E$56*(8*$AZ71)+'LINEST VARS'!$D$56*(8*12.73)+'LINEST VARS'!$C$56*($BP$56*$AZ71)+'LINEST VARS'!$B$56*($BP$56*12.73)+'LINEST VARS'!$A$56*($AZ71*12.73)</f>
        <v>2.7400000000000011</v>
      </c>
      <c r="BQ71" s="51">
        <f>'LINEST VARS'!$U$56+'LINEST VARS'!$T$56*(8)+'LINEST VARS'!$S$56*(8)+'LINEST VARS'!$R$56*($BQ$56)+'LINEST VARS'!$Q$56*($AZ71)+'LINEST VARS'!$P$56*(12.73)+'LINEST VARS'!$O$56*(8^2)+'LINEST VARS'!$N$56*(8^2)+'LINEST VARS'!$M$56*($BQ$56^2)+'LINEST VARS'!$L$56*($AZ71^2)+'LINEST VARS'!$K$56*(12.73^2)+'LINEST VARS'!$J$56*(8*8)+'LINEST VARS'!$I$56*(8*$BQ$56)+'LINEST VARS'!$H$56*(8*$AZ71)+'LINEST VARS'!$G$56*(8*12.73)+'LINEST VARS'!$F$56*(8*$BQ$56)+'LINEST VARS'!$E$56*(8*$AZ71)+'LINEST VARS'!$D$56*(8*12.73)+'LINEST VARS'!$C$56*($BQ$56*$AZ71)+'LINEST VARS'!$B$56*($BQ$56*12.73)+'LINEST VARS'!$A$56*($AZ71*12.73)</f>
        <v>2.7104000000000008</v>
      </c>
      <c r="BR71" s="51">
        <f>'LINEST VARS'!$U$56+'LINEST VARS'!$T$56*(8)+'LINEST VARS'!$S$56*(8)+'LINEST VARS'!$R$56*($BR$56)+'LINEST VARS'!$Q$56*($AZ71)+'LINEST VARS'!$P$56*(12.73)+'LINEST VARS'!$O$56*(8^2)+'LINEST VARS'!$N$56*(8^2)+'LINEST VARS'!$M$56*($BR$56^2)+'LINEST VARS'!$L$56*($AZ71^2)+'LINEST VARS'!$K$56*(12.73^2)+'LINEST VARS'!$J$56*(8*8)+'LINEST VARS'!$I$56*(8*$BR$56)+'LINEST VARS'!$H$56*(8*$AZ71)+'LINEST VARS'!$G$56*(8*12.73)+'LINEST VARS'!$F$56*(8*$BR$56)+'LINEST VARS'!$E$56*(8*$AZ71)+'LINEST VARS'!$D$56*(8*12.73)+'LINEST VARS'!$C$56*($BR$56*$AZ71)+'LINEST VARS'!$B$56*($BR$56*12.73)+'LINEST VARS'!$A$56*($AZ71*12.73)</f>
        <v>2.6776000000000013</v>
      </c>
      <c r="BS71" s="51">
        <f>'LINEST VARS'!$U$56+'LINEST VARS'!$T$56*(8)+'LINEST VARS'!$S$56*(8)+'LINEST VARS'!$R$56*($BS$56)+'LINEST VARS'!$Q$56*($AZ71)+'LINEST VARS'!$P$56*(12.73)+'LINEST VARS'!$O$56*(8^2)+'LINEST VARS'!$N$56*(8^2)+'LINEST VARS'!$M$56*($BS$56^2)+'LINEST VARS'!$L$56*($AZ71^2)+'LINEST VARS'!$K$56*(12.73^2)+'LINEST VARS'!$J$56*(8*8)+'LINEST VARS'!$I$56*(8*$BS$56)+'LINEST VARS'!$H$56*(8*$AZ71)+'LINEST VARS'!$G$56*(8*12.73)+'LINEST VARS'!$F$56*(8*$BS$56)+'LINEST VARS'!$E$56*(8*$AZ71)+'LINEST VARS'!$D$56*(8*12.73)+'LINEST VARS'!$C$56*($BS$56*$AZ71)+'LINEST VARS'!$B$56*($BS$56*12.73)+'LINEST VARS'!$A$56*($AZ71*12.73)</f>
        <v>2.6416000000000008</v>
      </c>
      <c r="BT71" s="51">
        <f>'LINEST VARS'!$U$56+'LINEST VARS'!$T$56*(8)+'LINEST VARS'!$S$56*(8)+'LINEST VARS'!$R$56*($BT$56)+'LINEST VARS'!$Q$56*($AZ71)+'LINEST VARS'!$P$56*(12.73)+'LINEST VARS'!$O$56*(8^2)+'LINEST VARS'!$N$56*(8^2)+'LINEST VARS'!$M$56*($BT$56^2)+'LINEST VARS'!$L$56*($AZ71^2)+'LINEST VARS'!$K$56*(12.73^2)+'LINEST VARS'!$J$56*(8*8)+'LINEST VARS'!$I$56*(8*$BT$56)+'LINEST VARS'!$H$56*(8*$AZ71)+'LINEST VARS'!$G$56*(8*12.73)+'LINEST VARS'!$F$56*(8*$BT$56)+'LINEST VARS'!$E$56*(8*$AZ71)+'LINEST VARS'!$D$56*(8*12.73)+'LINEST VARS'!$C$56*($BT$56*$AZ71)+'LINEST VARS'!$B$56*($BT$56*12.73)+'LINEST VARS'!$A$56*($AZ71*12.73)</f>
        <v>2.6024000000000012</v>
      </c>
      <c r="BU71" s="52">
        <f>'LINEST VARS'!$U$56+'LINEST VARS'!$T$56*(8)+'LINEST VARS'!$S$56*(8)+'LINEST VARS'!$R$56*($BU$56)+'LINEST VARS'!$Q$56*($AZ71)+'LINEST VARS'!$P$56*(12.73)+'LINEST VARS'!$O$56*(8^2)+'LINEST VARS'!$N$56*(8^2)+'LINEST VARS'!$M$56*($BU$56^2)+'LINEST VARS'!$L$56*($AZ71^2)+'LINEST VARS'!$K$56*(12.73^2)+'LINEST VARS'!$J$56*(8*8)+'LINEST VARS'!$I$56*(8*$BU$56)+'LINEST VARS'!$H$56*(8*$AZ71)+'LINEST VARS'!$G$56*(8*12.73)+'LINEST VARS'!$F$56*(8*$BU$56)+'LINEST VARS'!$E$56*(8*$AZ71)+'LINEST VARS'!$D$56*(8*12.73)+'LINEST VARS'!$C$56*($BU$56*$AZ71)+'LINEST VARS'!$B$56*($BU$56*12.73)+'LINEST VARS'!$A$56*($AZ71*12.73)</f>
        <v>2.5600000000000009</v>
      </c>
      <c r="BX71" s="45">
        <v>0.7</v>
      </c>
      <c r="BY71" s="51">
        <f>'LINEST VARS'!$U$58+'LINEST VARS'!$T$58*(8)+'LINEST VARS'!$S$58*(8)+'LINEST VARS'!$R$58*($BY$56)+'LINEST VARS'!$Q$58*($BX71)+'LINEST VARS'!$P$58*(12.73)+'LINEST VARS'!$O$58*(8^2)+'LINEST VARS'!$N$58*(8^2)+'LINEST VARS'!$M$58*($BY$56^2)+'LINEST VARS'!$L$58*($BX71^2)+'LINEST VARS'!$K$58*(12.73^2)+'LINEST VARS'!$J$58*(8*8)+'LINEST VARS'!$I$58*(8*$BY$56)+'LINEST VARS'!$H$58*(8*$BX71)+'LINEST VARS'!$G$58*(8*12.73)+'LINEST VARS'!$F$58*(8*$BY$56)+'LINEST VARS'!$E$58*(8*$BX71)+'LINEST VARS'!$D$58*(8*12.73)+'LINEST VARS'!$C$58*($BY$56*$BX71)+'LINEST VARS'!$B$58*($BY$56*12.73)+'LINEST VARS'!$A$58*($BX71*12.73)</f>
        <v>0.86365000000000036</v>
      </c>
      <c r="BZ71" s="51">
        <f>'LINEST VARS'!$U$58+'LINEST VARS'!$T$58*(8)+'LINEST VARS'!$S$58*(8)+'LINEST VARS'!$R$58*($BZ$56)+'LINEST VARS'!$Q$58*($BX71)+'LINEST VARS'!$P$58*(12.73)+'LINEST VARS'!$O$58*(8^2)+'LINEST VARS'!$N$58*(8^2)+'LINEST VARS'!$M$58*($BZ$56^2)+'LINEST VARS'!$L$58*($BX71^2)+'LINEST VARS'!$K$58*(12.73^2)+'LINEST VARS'!$J$58*(8*8)+'LINEST VARS'!$I$58*(8*$BZ$56)+'LINEST VARS'!$H$58*(8*$BX71)+'LINEST VARS'!$G$58*(8*12.73)+'LINEST VARS'!$F$58*(8*$BZ$56)+'LINEST VARS'!$E$58*(8*$BX71)+'LINEST VARS'!$D$58*(8*12.73)+'LINEST VARS'!$C$58*($BZ$56*$BX71)+'LINEST VARS'!$B$58*($BZ$56*12.73)+'LINEST VARS'!$A$58*($BX71*12.73)</f>
        <v>0.87165000000000037</v>
      </c>
      <c r="CA71" s="51">
        <f>'LINEST VARS'!$U$58+'LINEST VARS'!$T$58*(8)+'LINEST VARS'!$S$58*(8)+'LINEST VARS'!$R$58*($CA$56)+'LINEST VARS'!$Q$58*($BX71)+'LINEST VARS'!$P$58*(12.73)+'LINEST VARS'!$O$58*(8^2)+'LINEST VARS'!$N$58*(8^2)+'LINEST VARS'!$M$58*($CA$56^2)+'LINEST VARS'!$L$58*($BX71^2)+'LINEST VARS'!$K$58*(12.73^2)+'LINEST VARS'!$J$58*(8*8)+'LINEST VARS'!$I$58*(8*$CA$56)+'LINEST VARS'!$H$58*(8*$BX71)+'LINEST VARS'!$G$58*(8*12.73)+'LINEST VARS'!$F$58*(8*$CA$56)+'LINEST VARS'!$E$58*(8*$BX71)+'LINEST VARS'!$D$58*(8*12.73)+'LINEST VARS'!$C$58*($CA$56*$BX71)+'LINEST VARS'!$B$58*($CA$56*12.73)+'LINEST VARS'!$A$58*($BX71*12.73)</f>
        <v>0.87965000000000027</v>
      </c>
      <c r="CB71" s="51">
        <f>'LINEST VARS'!$U$58+'LINEST VARS'!$T$58*(8)+'LINEST VARS'!$S$58*(8)+'LINEST VARS'!$R$58*($CB$56)+'LINEST VARS'!$Q$58*($BX71)+'LINEST VARS'!$P$58*(12.73)+'LINEST VARS'!$O$58*(8^2)+'LINEST VARS'!$N$58*(8^2)+'LINEST VARS'!$M$58*($CB$56^2)+'LINEST VARS'!$L$58*($BX71^2)+'LINEST VARS'!$K$58*(12.73^2)+'LINEST VARS'!$J$58*(8*8)+'LINEST VARS'!$I$58*(8*$CB$56)+'LINEST VARS'!$H$58*(8*$BX71)+'LINEST VARS'!$G$58*(8*12.73)+'LINEST VARS'!$F$58*(8*$CB$56)+'LINEST VARS'!$E$58*(8*$BX71)+'LINEST VARS'!$D$58*(8*12.73)+'LINEST VARS'!$C$58*($CB$56*$BX71)+'LINEST VARS'!$B$58*($CB$56*12.73)+'LINEST VARS'!$A$58*($BX71*12.73)</f>
        <v>0.88765000000000027</v>
      </c>
      <c r="CC71" s="51">
        <f>'LINEST VARS'!$U$58+'LINEST VARS'!$T$58*(8)+'LINEST VARS'!$S$58*(8)+'LINEST VARS'!$R$58*($CC$56)+'LINEST VARS'!$Q$58*($BX71)+'LINEST VARS'!$P$58*(12.73)+'LINEST VARS'!$O$58*(8^2)+'LINEST VARS'!$N$58*(8^2)+'LINEST VARS'!$M$58*($CC$56^2)+'LINEST VARS'!$L$58*($BX71^2)+'LINEST VARS'!$K$58*(12.73^2)+'LINEST VARS'!$J$58*(8*8)+'LINEST VARS'!$I$58*(8*$CC$56)+'LINEST VARS'!$H$58*(8*$BX71)+'LINEST VARS'!$G$58*(8*12.73)+'LINEST VARS'!$F$58*(8*$CC$56)+'LINEST VARS'!$E$58*(8*$BX71)+'LINEST VARS'!$D$58*(8*12.73)+'LINEST VARS'!$C$58*($CC$56*$BX71)+'LINEST VARS'!$B$58*($CC$56*12.73)+'LINEST VARS'!$A$58*($BX71*12.73)</f>
        <v>0.89565000000000017</v>
      </c>
      <c r="CD71" s="51">
        <f>'LINEST VARS'!$U$58+'LINEST VARS'!$T$58*(8)+'LINEST VARS'!$S$58*(8)+'LINEST VARS'!$R$58*($CD$56)+'LINEST VARS'!$Q$58*($BX71)+'LINEST VARS'!$P$58*(12.73)+'LINEST VARS'!$O$58*(8^2)+'LINEST VARS'!$N$58*(8^2)+'LINEST VARS'!$M$58*($CD$56^2)+'LINEST VARS'!$L$58*($BX71^2)+'LINEST VARS'!$K$58*(12.73^2)+'LINEST VARS'!$J$58*(8*8)+'LINEST VARS'!$I$58*(8*$CD$56)+'LINEST VARS'!$H$58*(8*$BX71)+'LINEST VARS'!$G$58*(8*12.73)+'LINEST VARS'!$F$58*(8*$CD$56)+'LINEST VARS'!$E$58*(8*$BX71)+'LINEST VARS'!$D$58*(8*12.73)+'LINEST VARS'!$C$58*($CD$56*$BX71)+'LINEST VARS'!$B$58*($CD$56*12.73)+'LINEST VARS'!$A$58*($BX71*12.73)</f>
        <v>0.90365000000000029</v>
      </c>
      <c r="CE71" s="51">
        <f>'LINEST VARS'!$U$58+'LINEST VARS'!$T$58*(8)+'LINEST VARS'!$S$58*(8)+'LINEST VARS'!$R$58*($CE$56)+'LINEST VARS'!$Q$58*($BX71)+'LINEST VARS'!$P$58*(12.73)+'LINEST VARS'!$O$58*(8^2)+'LINEST VARS'!$N$58*(8^2)+'LINEST VARS'!$M$58*($CE$56^2)+'LINEST VARS'!$L$58*($BX71^2)+'LINEST VARS'!$K$58*(12.73^2)+'LINEST VARS'!$J$58*(8*8)+'LINEST VARS'!$I$58*(8*$CE$56)+'LINEST VARS'!$H$58*(8*$BX71)+'LINEST VARS'!$G$58*(8*12.73)+'LINEST VARS'!$F$58*(8*$CE$56)+'LINEST VARS'!$E$58*(8*$BX71)+'LINEST VARS'!$D$58*(8*12.73)+'LINEST VARS'!$C$58*($CE$56*$BX71)+'LINEST VARS'!$B$58*($CE$56*12.73)+'LINEST VARS'!$A$58*($BX71*12.73)</f>
        <v>0.91165000000000029</v>
      </c>
      <c r="CF71" s="51">
        <f>'LINEST VARS'!$U$58+'LINEST VARS'!$T$58*(8)+'LINEST VARS'!$S$58*(8)+'LINEST VARS'!$R$58*($CF$56)+'LINEST VARS'!$Q$58*($BX71)+'LINEST VARS'!$P$58*(12.73)+'LINEST VARS'!$O$58*(8^2)+'LINEST VARS'!$N$58*(8^2)+'LINEST VARS'!$M$58*($CF$56^2)+'LINEST VARS'!$L$58*($BX71^2)+'LINEST VARS'!$K$58*(12.73^2)+'LINEST VARS'!$J$58*(8*8)+'LINEST VARS'!$I$58*(8*$CF$56)+'LINEST VARS'!$H$58*(8*$BX71)+'LINEST VARS'!$G$58*(8*12.73)+'LINEST VARS'!$F$58*(8*$CF$56)+'LINEST VARS'!$E$58*(8*$BX71)+'LINEST VARS'!$D$58*(8*12.73)+'LINEST VARS'!$C$58*($CF$56*$BX71)+'LINEST VARS'!$B$58*($CF$56*12.73)+'LINEST VARS'!$A$58*($BX71*12.73)</f>
        <v>0.9196500000000003</v>
      </c>
      <c r="CG71" s="51">
        <f>'LINEST VARS'!$U$58+'LINEST VARS'!$T$58*(8)+'LINEST VARS'!$S$58*(8)+'LINEST VARS'!$R$58*($CG$56)+'LINEST VARS'!$Q$58*($BX71)+'LINEST VARS'!$P$58*(12.73)+'LINEST VARS'!$O$58*(8^2)+'LINEST VARS'!$N$58*(8^2)+'LINEST VARS'!$M$58*($CG$56^2)+'LINEST VARS'!$L$58*($BX71^2)+'LINEST VARS'!$K$58*(12.73^2)+'LINEST VARS'!$J$58*(8*8)+'LINEST VARS'!$I$58*(8*$CG$56)+'LINEST VARS'!$H$58*(8*$BX71)+'LINEST VARS'!$G$58*(8*12.73)+'LINEST VARS'!$F$58*(8*$CG$56)+'LINEST VARS'!$E$58*(8*$BX71)+'LINEST VARS'!$D$58*(8*12.73)+'LINEST VARS'!$C$58*($CG$56*$BX71)+'LINEST VARS'!$B$58*($CG$56*12.73)+'LINEST VARS'!$A$58*($BX71*12.73)</f>
        <v>0.92765000000000042</v>
      </c>
      <c r="CH71" s="51">
        <f>'LINEST VARS'!$U$58+'LINEST VARS'!$T$58*(8)+'LINEST VARS'!$S$58*(8)+'LINEST VARS'!$R$58*($CH$56)+'LINEST VARS'!$Q$58*($BX71)+'LINEST VARS'!$P$58*(12.73)+'LINEST VARS'!$O$58*(8^2)+'LINEST VARS'!$N$58*(8^2)+'LINEST VARS'!$M$58*($CH$56^2)+'LINEST VARS'!$L$58*($BX71^2)+'LINEST VARS'!$K$58*(12.73^2)+'LINEST VARS'!$J$58*(8*8)+'LINEST VARS'!$I$58*(8*$CH$56)+'LINEST VARS'!$H$58*(8*$BX71)+'LINEST VARS'!$G$58*(8*12.73)+'LINEST VARS'!$F$58*(8*$CH$56)+'LINEST VARS'!$E$58*(8*$BX71)+'LINEST VARS'!$D$58*(8*12.73)+'LINEST VARS'!$C$58*($CH$56*$BX71)+'LINEST VARS'!$B$58*($CH$56*12.73)+'LINEST VARS'!$A$58*($BX71*12.73)</f>
        <v>0.93565000000000031</v>
      </c>
      <c r="CI71" s="51">
        <f>'LINEST VARS'!$U$58+'LINEST VARS'!$T$58*(8)+'LINEST VARS'!$S$58*(8)+'LINEST VARS'!$R$58*($CI$56)+'LINEST VARS'!$Q$58*($BX71)+'LINEST VARS'!$P$58*(12.73)+'LINEST VARS'!$O$58*(8^2)+'LINEST VARS'!$N$58*(8^2)+'LINEST VARS'!$M$58*($CI$56^2)+'LINEST VARS'!$L$58*($BX71^2)+'LINEST VARS'!$K$58*(12.73^2)+'LINEST VARS'!$J$58*(8*8)+'LINEST VARS'!$I$58*(8*$CI$56)+'LINEST VARS'!$H$58*(8*$BX71)+'LINEST VARS'!$G$58*(8*12.73)+'LINEST VARS'!$F$58*(8*$CI$56)+'LINEST VARS'!$E$58*(8*$BX71)+'LINEST VARS'!$D$58*(8*12.73)+'LINEST VARS'!$C$58*($CI$56*$BX71)+'LINEST VARS'!$B$58*($CI$56*12.73)+'LINEST VARS'!$A$58*($BX71*12.73)</f>
        <v>0.94365000000000032</v>
      </c>
      <c r="CJ71" s="51">
        <f>'LINEST VARS'!$U$58+'LINEST VARS'!$T$58*(8)+'LINEST VARS'!$S$58*(8)+'LINEST VARS'!$R$58*($CJ$56)+'LINEST VARS'!$Q$58*($BX71)+'LINEST VARS'!$P$58*(12.73)+'LINEST VARS'!$O$58*(8^2)+'LINEST VARS'!$N$58*(8^2)+'LINEST VARS'!$M$58*($CJ$56^2)+'LINEST VARS'!$L$58*($BX71^2)+'LINEST VARS'!$K$58*(12.73^2)+'LINEST VARS'!$J$58*(8*8)+'LINEST VARS'!$I$58*(8*$CJ$56)+'LINEST VARS'!$H$58*(8*$BX71)+'LINEST VARS'!$G$58*(8*12.73)+'LINEST VARS'!$F$58*(8*$CJ$56)+'LINEST VARS'!$E$58*(8*$BX71)+'LINEST VARS'!$D$58*(8*12.73)+'LINEST VARS'!$C$58*($CJ$56*$BX71)+'LINEST VARS'!$B$58*($CJ$56*12.73)+'LINEST VARS'!$A$58*($BX71*12.73)</f>
        <v>0.95165000000000022</v>
      </c>
      <c r="CK71" s="51">
        <f>'LINEST VARS'!$U$58+'LINEST VARS'!$T$58*(8)+'LINEST VARS'!$S$58*(8)+'LINEST VARS'!$R$58*($CK$56)+'LINEST VARS'!$Q$58*($BX71)+'LINEST VARS'!$P$58*(12.73)+'LINEST VARS'!$O$58*(8^2)+'LINEST VARS'!$N$58*(8^2)+'LINEST VARS'!$M$58*($CK$56^2)+'LINEST VARS'!$L$58*($BX71^2)+'LINEST VARS'!$K$58*(12.73^2)+'LINEST VARS'!$J$58*(8*8)+'LINEST VARS'!$I$58*(8*$CK$56)+'LINEST VARS'!$H$58*(8*$BX71)+'LINEST VARS'!$G$58*(8*12.73)+'LINEST VARS'!$F$58*(8*$CK$56)+'LINEST VARS'!$E$58*(8*$BX71)+'LINEST VARS'!$D$58*(8*12.73)+'LINEST VARS'!$C$58*($CK$56*$BX71)+'LINEST VARS'!$B$58*($CK$56*12.73)+'LINEST VARS'!$A$58*($BX71*12.73)</f>
        <v>0.95965000000000023</v>
      </c>
      <c r="CL71" s="51">
        <f>'LINEST VARS'!$U$58+'LINEST VARS'!$T$58*(8)+'LINEST VARS'!$S$58*(8)+'LINEST VARS'!$R$58*($CL$56)+'LINEST VARS'!$Q$58*($BX71)+'LINEST VARS'!$P$58*(12.73)+'LINEST VARS'!$O$58*(8^2)+'LINEST VARS'!$N$58*(8^2)+'LINEST VARS'!$M$58*($CL$56^2)+'LINEST VARS'!$L$58*($BX71^2)+'LINEST VARS'!$K$58*(12.73^2)+'LINEST VARS'!$J$58*(8*8)+'LINEST VARS'!$I$58*(8*$CL$56)+'LINEST VARS'!$H$58*(8*$BX71)+'LINEST VARS'!$G$58*(8*12.73)+'LINEST VARS'!$F$58*(8*$CL$56)+'LINEST VARS'!$E$58*(8*$BX71)+'LINEST VARS'!$D$58*(8*12.73)+'LINEST VARS'!$C$58*($CL$56*$BX71)+'LINEST VARS'!$B$58*($CL$56*12.73)+'LINEST VARS'!$A$58*($BX71*12.73)</f>
        <v>0.96765000000000012</v>
      </c>
      <c r="CM71" s="51">
        <f>'LINEST VARS'!$U$58+'LINEST VARS'!$T$58*(8)+'LINEST VARS'!$S$58*(8)+'LINEST VARS'!$R$58*($CM$56)+'LINEST VARS'!$Q$58*($BX71)+'LINEST VARS'!$P$58*(12.73)+'LINEST VARS'!$O$58*(8^2)+'LINEST VARS'!$N$58*(8^2)+'LINEST VARS'!$M$58*($CM$56^2)+'LINEST VARS'!$L$58*($BX71^2)+'LINEST VARS'!$K$58*(12.73^2)+'LINEST VARS'!$J$58*(8*8)+'LINEST VARS'!$I$58*(8*$CM$56)+'LINEST VARS'!$H$58*(8*$BX71)+'LINEST VARS'!$G$58*(8*12.73)+'LINEST VARS'!$F$58*(8*$CM$56)+'LINEST VARS'!$E$58*(8*$BX71)+'LINEST VARS'!$D$58*(8*12.73)+'LINEST VARS'!$C$58*($CM$56*$BX71)+'LINEST VARS'!$B$58*($CM$56*12.73)+'LINEST VARS'!$A$58*($BX71*12.73)</f>
        <v>0.97565000000000024</v>
      </c>
      <c r="CN71" s="51">
        <f>'LINEST VARS'!$U$58+'LINEST VARS'!$T$58*(8)+'LINEST VARS'!$S$58*(8)+'LINEST VARS'!$R$58*($CN$56)+'LINEST VARS'!$Q$58*($BX71)+'LINEST VARS'!$P$58*(12.73)+'LINEST VARS'!$O$58*(8^2)+'LINEST VARS'!$N$58*(8^2)+'LINEST VARS'!$M$58*($CN$56^2)+'LINEST VARS'!$L$58*($BX71^2)+'LINEST VARS'!$K$58*(12.73^2)+'LINEST VARS'!$J$58*(8*8)+'LINEST VARS'!$I$58*(8*$CN$56)+'LINEST VARS'!$H$58*(8*$BX71)+'LINEST VARS'!$G$58*(8*12.73)+'LINEST VARS'!$F$58*(8*$CN$56)+'LINEST VARS'!$E$58*(8*$BX71)+'LINEST VARS'!$D$58*(8*12.73)+'LINEST VARS'!$C$58*($CN$56*$BX71)+'LINEST VARS'!$B$58*($CN$56*12.73)+'LINEST VARS'!$A$58*($BX71*12.73)</f>
        <v>0.98365000000000025</v>
      </c>
      <c r="CO71" s="51">
        <f>'LINEST VARS'!$U$58+'LINEST VARS'!$T$58*(8)+'LINEST VARS'!$S$58*(8)+'LINEST VARS'!$R$58*($CO$56)+'LINEST VARS'!$Q$58*($BX71)+'LINEST VARS'!$P$58*(12.73)+'LINEST VARS'!$O$58*(8^2)+'LINEST VARS'!$N$58*(8^2)+'LINEST VARS'!$M$58*($CO$56^2)+'LINEST VARS'!$L$58*($BX71^2)+'LINEST VARS'!$K$58*(12.73^2)+'LINEST VARS'!$J$58*(8*8)+'LINEST VARS'!$I$58*(8*$CO$56)+'LINEST VARS'!$H$58*(8*$BX71)+'LINEST VARS'!$G$58*(8*12.73)+'LINEST VARS'!$F$58*(8*$CO$56)+'LINEST VARS'!$E$58*(8*$BX71)+'LINEST VARS'!$D$58*(8*12.73)+'LINEST VARS'!$C$58*($CO$56*$BX71)+'LINEST VARS'!$B$58*($CO$56*12.73)+'LINEST VARS'!$A$58*($BX71*12.73)</f>
        <v>0.99165000000000036</v>
      </c>
      <c r="CP71" s="51">
        <f>'LINEST VARS'!$U$58+'LINEST VARS'!$T$58*(8)+'LINEST VARS'!$S$58*(8)+'LINEST VARS'!$R$58*($CP$56)+'LINEST VARS'!$Q$58*($BX71)+'LINEST VARS'!$P$58*(12.73)+'LINEST VARS'!$O$58*(8^2)+'LINEST VARS'!$N$58*(8^2)+'LINEST VARS'!$M$58*($CP$56^2)+'LINEST VARS'!$L$58*($BX71^2)+'LINEST VARS'!$K$58*(12.73^2)+'LINEST VARS'!$J$58*(8*8)+'LINEST VARS'!$I$58*(8*$CP$56)+'LINEST VARS'!$H$58*(8*$BX71)+'LINEST VARS'!$G$58*(8*12.73)+'LINEST VARS'!$F$58*(8*$CP$56)+'LINEST VARS'!$E$58*(8*$BX71)+'LINEST VARS'!$D$58*(8*12.73)+'LINEST VARS'!$C$58*($CP$56*$BX71)+'LINEST VARS'!$B$58*($CP$56*12.73)+'LINEST VARS'!$A$58*($BX71*12.73)</f>
        <v>0.99965000000000037</v>
      </c>
      <c r="CQ71" s="51">
        <f>'LINEST VARS'!$U$58+'LINEST VARS'!$T$58*(8)+'LINEST VARS'!$S$58*(8)+'LINEST VARS'!$R$58*($CQ$56)+'LINEST VARS'!$Q$58*($BX71)+'LINEST VARS'!$P$58*(12.73)+'LINEST VARS'!$O$58*(8^2)+'LINEST VARS'!$N$58*(8^2)+'LINEST VARS'!$M$58*($CQ$56^2)+'LINEST VARS'!$L$58*($BX71^2)+'LINEST VARS'!$K$58*(12.73^2)+'LINEST VARS'!$J$58*(8*8)+'LINEST VARS'!$I$58*(8*$CQ$56)+'LINEST VARS'!$H$58*(8*$BX71)+'LINEST VARS'!$G$58*(8*12.73)+'LINEST VARS'!$F$58*(8*$CQ$56)+'LINEST VARS'!$E$58*(8*$BX71)+'LINEST VARS'!$D$58*(8*12.73)+'LINEST VARS'!$C$58*($CQ$56*$BX71)+'LINEST VARS'!$B$58*($CQ$56*12.73)+'LINEST VARS'!$A$58*($BX71*12.73)</f>
        <v>1.0076500000000002</v>
      </c>
      <c r="CR71" s="51">
        <f>'LINEST VARS'!$U$58+'LINEST VARS'!$T$58*(8)+'LINEST VARS'!$S$58*(8)+'LINEST VARS'!$R$58*($CR$56)+'LINEST VARS'!$Q$58*($BX71)+'LINEST VARS'!$P$58*(12.73)+'LINEST VARS'!$O$58*(8^2)+'LINEST VARS'!$N$58*(8^2)+'LINEST VARS'!$M$58*($CR$56^2)+'LINEST VARS'!$L$58*($BX71^2)+'LINEST VARS'!$K$58*(12.73^2)+'LINEST VARS'!$J$58*(8*8)+'LINEST VARS'!$I$58*(8*$CR$56)+'LINEST VARS'!$H$58*(8*$BX71)+'LINEST VARS'!$G$58*(8*12.73)+'LINEST VARS'!$F$58*(8*$CR$56)+'LINEST VARS'!$E$58*(8*$BX71)+'LINEST VARS'!$D$58*(8*12.73)+'LINEST VARS'!$C$58*($CR$56*$BX71)+'LINEST VARS'!$B$58*($CR$56*12.73)+'LINEST VARS'!$A$58*($BX71*12.73)</f>
        <v>1.0156499999999999</v>
      </c>
      <c r="CS71" s="52">
        <f>'LINEST VARS'!$U$58+'LINEST VARS'!$T$58*(8)+'LINEST VARS'!$S$58*(8)+'LINEST VARS'!$R$58*($CS$56)+'LINEST VARS'!$Q$58*($BX71)+'LINEST VARS'!$P$58*(12.73)+'LINEST VARS'!$O$58*(8^2)+'LINEST VARS'!$N$58*(8^2)+'LINEST VARS'!$M$58*($CS$56^2)+'LINEST VARS'!$L$58*($BX71^2)+'LINEST VARS'!$K$58*(12.73^2)+'LINEST VARS'!$J$58*(8*8)+'LINEST VARS'!$I$58*(8*$CS$56)+'LINEST VARS'!$H$58*(8*$BX71)+'LINEST VARS'!$G$58*(8*12.73)+'LINEST VARS'!$F$58*(8*$CS$56)+'LINEST VARS'!$E$58*(8*$BX71)+'LINEST VARS'!$D$58*(8*12.73)+'LINEST VARS'!$C$58*($CS$56*$BX71)+'LINEST VARS'!$B$58*($CS$56*12.73)+'LINEST VARS'!$A$58*($BX71*12.73)</f>
        <v>1.0236500000000002</v>
      </c>
      <c r="CX71" s="45">
        <v>18.193000000000001</v>
      </c>
      <c r="CY71" s="51">
        <f>'LINEST VARS'!$U$56+'LINEST VARS'!$T$56*(8)+'LINEST VARS'!$S$56*(8)+'LINEST VARS'!$R$56*($CY$56)+'LINEST VARS'!$Q$56*(0.5)+'LINEST VARS'!$P$56*($CX71)+'LINEST VARS'!$O$56*(8^2)+'LINEST VARS'!$N$56*(8^2)+'LINEST VARS'!$M$56*($CY$56^2)+'LINEST VARS'!$L$56*(0.5^2)+'LINEST VARS'!$K$56*($CX71^2)+'LINEST VARS'!$J$56*(8*8)+'LINEST VARS'!$I$56*(8*$CY$56)+'LINEST VARS'!$H$56*(8*0.5)+'LINEST VARS'!$G$56*(8*$CX71)+'LINEST VARS'!$F$56*(8*$CY$56)+'LINEST VARS'!$E$56*(8*0.5)+'LINEST VARS'!$D$56*(8*$CX71)+'LINEST VARS'!$C$56*($CY$56*0.5)+'LINEST VARS'!$B$56*($CY$56*$CX71)+'LINEST VARS'!$A$56*(0.5*$CX71)</f>
        <v>2.8000000000000007</v>
      </c>
      <c r="CZ71" s="51">
        <f>'LINEST VARS'!$U$56+'LINEST VARS'!$T$56*(8)+'LINEST VARS'!$S$56*(8)+'LINEST VARS'!$R$56*($CZ$56)+'LINEST VARS'!$Q$56*(0.5)+'LINEST VARS'!$P$56*($CX71)+'LINEST VARS'!$O$56*(8^2)+'LINEST VARS'!$N$56*(8^2)+'LINEST VARS'!$M$56*($CZ$56^2)+'LINEST VARS'!$L$56*(0.5^2)+'LINEST VARS'!$K$56*($CX71^2)+'LINEST VARS'!$J$56*(8*8)+'LINEST VARS'!$I$56*(8*$CZ$56)+'LINEST VARS'!$H$56*(8*0.5)+'LINEST VARS'!$G$56*(8*$CX71)+'LINEST VARS'!$F$56*(8*$CZ$56)+'LINEST VARS'!$E$56*(8*0.5)+'LINEST VARS'!$D$56*(8*$CX71)+'LINEST VARS'!$C$56*($CZ$56*0.5)+'LINEST VARS'!$B$56*($CZ$56*$CX71)+'LINEST VARS'!$A$56*(0.5*$CX71)</f>
        <v>2.8184000000000009</v>
      </c>
      <c r="DA71" s="51">
        <f>'LINEST VARS'!$U$56+'LINEST VARS'!$T$56*(8)+'LINEST VARS'!$S$56*(8)+'LINEST VARS'!$R$56*($DA$56)+'LINEST VARS'!$Q$56*(0.5)+'LINEST VARS'!$P$56*($CX71)+'LINEST VARS'!$O$56*(8^2)+'LINEST VARS'!$N$56*(8^2)+'LINEST VARS'!$M$56*($DA$56^2)+'LINEST VARS'!$L$56*(0.5^2)+'LINEST VARS'!$K$56*($CX71^2)+'LINEST VARS'!$J$56*(8*8)+'LINEST VARS'!$I$56*(8*$DA$56)+'LINEST VARS'!$H$56*(8*0.5)+'LINEST VARS'!$G$56*(8*$CX71)+'LINEST VARS'!$F$56*(8*$DA$56)+'LINEST VARS'!$E$56*(8*0.5)+'LINEST VARS'!$D$56*(8*$CX71)+'LINEST VARS'!$C$56*($DA$56*0.5)+'LINEST VARS'!$B$56*($DA$56*$CX71)+'LINEST VARS'!$A$56*(0.5*$CX71)</f>
        <v>2.8336000000000006</v>
      </c>
      <c r="DB71" s="51">
        <f>'LINEST VARS'!$U$56+'LINEST VARS'!$T$56*(8)+'LINEST VARS'!$S$56*(8)+'LINEST VARS'!$R$56*($DB$56)+'LINEST VARS'!$Q$56*(0.5)+'LINEST VARS'!$P$56*($CX71)+'LINEST VARS'!$O$56*(8^2)+'LINEST VARS'!$N$56*(8^2)+'LINEST VARS'!$M$56*($DB$56^2)+'LINEST VARS'!$L$56*(0.5^2)+'LINEST VARS'!$K$56*($CX71^2)+'LINEST VARS'!$J$56*(8*8)+'LINEST VARS'!$I$56*(8*$DB$56)+'LINEST VARS'!$H$56*(8*0.5)+'LINEST VARS'!$G$56*(8*$CX71)+'LINEST VARS'!$F$56*(8*$DB$56)+'LINEST VARS'!$E$56*(8*0.5)+'LINEST VARS'!$D$56*(8*$CX71)+'LINEST VARS'!$C$56*($DB$56*0.5)+'LINEST VARS'!$B$56*($DB$56*$CX71)+'LINEST VARS'!$A$56*(0.5*$CX71)</f>
        <v>2.8456000000000006</v>
      </c>
      <c r="DC71" s="51">
        <f>'LINEST VARS'!$U$56+'LINEST VARS'!$T$56*(8)+'LINEST VARS'!$S$56*(8)+'LINEST VARS'!$R$56*($DC$56)+'LINEST VARS'!$Q$56*(0.5)+'LINEST VARS'!$P$56*($CX71)+'LINEST VARS'!$O$56*(8^2)+'LINEST VARS'!$N$56*(8^2)+'LINEST VARS'!$M$56*($DC$56^2)+'LINEST VARS'!$L$56*(0.5^2)+'LINEST VARS'!$K$56*($CX71^2)+'LINEST VARS'!$J$56*(8*8)+'LINEST VARS'!$I$56*(8*$DC$56)+'LINEST VARS'!$H$56*(8*0.5)+'LINEST VARS'!$G$56*(8*$CX71)+'LINEST VARS'!$F$56*(8*$DC$56)+'LINEST VARS'!$E$56*(8*0.5)+'LINEST VARS'!$D$56*(8*$CX71)+'LINEST VARS'!$C$56*($DC$56*0.5)+'LINEST VARS'!$B$56*($DC$56*$CX71)+'LINEST VARS'!$A$56*(0.5*$CX71)</f>
        <v>2.8544000000000009</v>
      </c>
      <c r="DD71" s="51">
        <f>'LINEST VARS'!$U$56+'LINEST VARS'!$T$56*(8)+'LINEST VARS'!$S$56*(8)+'LINEST VARS'!$R$56*($DD$56)+'LINEST VARS'!$Q$56*(0.5)+'LINEST VARS'!$P$56*($CX71)+'LINEST VARS'!$O$56*(8^2)+'LINEST VARS'!$N$56*(8^2)+'LINEST VARS'!$M$56*($DD$56^2)+'LINEST VARS'!$L$56*(0.5^2)+'LINEST VARS'!$K$56*($CX71^2)+'LINEST VARS'!$J$56*(8*8)+'LINEST VARS'!$I$56*(8*$DD$56)+'LINEST VARS'!$H$56*(8*0.5)+'LINEST VARS'!$G$56*(8*$CX71)+'LINEST VARS'!$F$56*(8*$DD$56)+'LINEST VARS'!$E$56*(8*0.5)+'LINEST VARS'!$D$56*(8*$CX71)+'LINEST VARS'!$C$56*($DD$56*0.5)+'LINEST VARS'!$B$56*($DD$56*$CX71)+'LINEST VARS'!$A$56*(0.5*$CX71)</f>
        <v>2.8600000000000008</v>
      </c>
      <c r="DE71" s="51">
        <f>'LINEST VARS'!$U$56+'LINEST VARS'!$T$56*(8)+'LINEST VARS'!$S$56*(8)+'LINEST VARS'!$R$56*($DE$56)+'LINEST VARS'!$Q$56*(0.5)+'LINEST VARS'!$P$56*($CX71)+'LINEST VARS'!$O$56*(8^2)+'LINEST VARS'!$N$56*(8^2)+'LINEST VARS'!$M$56*($DE$56^2)+'LINEST VARS'!$L$56*(0.5^2)+'LINEST VARS'!$K$56*($CX71^2)+'LINEST VARS'!$J$56*(8*8)+'LINEST VARS'!$I$56*(8*$DE$56)+'LINEST VARS'!$H$56*(8*0.5)+'LINEST VARS'!$G$56*(8*$CX71)+'LINEST VARS'!$F$56*(8*$DE$56)+'LINEST VARS'!$E$56*(8*0.5)+'LINEST VARS'!$D$56*(8*$CX71)+'LINEST VARS'!$C$56*($DE$56*0.5)+'LINEST VARS'!$B$56*($DE$56*$CX71)+'LINEST VARS'!$A$56*(0.5*$CX71)</f>
        <v>2.8624000000000009</v>
      </c>
      <c r="DF71" s="51">
        <f>'LINEST VARS'!$U$56+'LINEST VARS'!$T$56*(8)+'LINEST VARS'!$S$56*(8)+'LINEST VARS'!$R$56*($DF$56)+'LINEST VARS'!$Q$56*(0.5)+'LINEST VARS'!$P$56*($CX71)+'LINEST VARS'!$O$56*(8^2)+'LINEST VARS'!$N$56*(8^2)+'LINEST VARS'!$M$56*($DF$56^2)+'LINEST VARS'!$L$56*(0.5^2)+'LINEST VARS'!$K$56*($CX71^2)+'LINEST VARS'!$J$56*(8*8)+'LINEST VARS'!$I$56*(8*$DF$56)+'LINEST VARS'!$H$56*(8*0.5)+'LINEST VARS'!$G$56*(8*$CX71)+'LINEST VARS'!$F$56*(8*$DF$56)+'LINEST VARS'!$E$56*(8*0.5)+'LINEST VARS'!$D$56*(8*$CX71)+'LINEST VARS'!$C$56*($DF$56*0.5)+'LINEST VARS'!$B$56*($DF$56*$CX71)+'LINEST VARS'!$A$56*(0.5*$CX71)</f>
        <v>2.8616000000000006</v>
      </c>
      <c r="DG71" s="51">
        <f>'LINEST VARS'!$U$56+'LINEST VARS'!$T$56*(8)+'LINEST VARS'!$S$56*(8)+'LINEST VARS'!$R$56*($DG$56)+'LINEST VARS'!$Q$56*(0.5)+'LINEST VARS'!$P$56*($CX71)+'LINEST VARS'!$O$56*(8^2)+'LINEST VARS'!$N$56*(8^2)+'LINEST VARS'!$M$56*($DG$56^2)+'LINEST VARS'!$L$56*(0.5^2)+'LINEST VARS'!$K$56*($CX71^2)+'LINEST VARS'!$J$56*(8*8)+'LINEST VARS'!$I$56*(8*$DG$56)+'LINEST VARS'!$H$56*(8*0.5)+'LINEST VARS'!$G$56*(8*$CX71)+'LINEST VARS'!$F$56*(8*$DG$56)+'LINEST VARS'!$E$56*(8*0.5)+'LINEST VARS'!$D$56*(8*$CX71)+'LINEST VARS'!$C$56*($DG$56*0.5)+'LINEST VARS'!$B$56*($DG$56*$CX71)+'LINEST VARS'!$A$56*(0.5*$CX71)</f>
        <v>2.8576000000000006</v>
      </c>
      <c r="DH71" s="51">
        <f>'LINEST VARS'!$U$56+'LINEST VARS'!$T$56*(8)+'LINEST VARS'!$S$56*(8)+'LINEST VARS'!$R$56*($DH$56)+'LINEST VARS'!$Q$56*(0.5)+'LINEST VARS'!$P$56*($CX71)+'LINEST VARS'!$O$56*(8^2)+'LINEST VARS'!$N$56*(8^2)+'LINEST VARS'!$M$56*($DH$56^2)+'LINEST VARS'!$L$56*(0.5^2)+'LINEST VARS'!$K$56*($CX71^2)+'LINEST VARS'!$J$56*(8*8)+'LINEST VARS'!$I$56*(8*$DH$56)+'LINEST VARS'!$H$56*(8*0.5)+'LINEST VARS'!$G$56*(8*$CX71)+'LINEST VARS'!$F$56*(8*$DH$56)+'LINEST VARS'!$E$56*(8*0.5)+'LINEST VARS'!$D$56*(8*$CX71)+'LINEST VARS'!$C$56*($DH$56*0.5)+'LINEST VARS'!$B$56*($DH$56*$CX71)+'LINEST VARS'!$A$56*(0.5*$CX71)</f>
        <v>2.8504000000000009</v>
      </c>
      <c r="DI71" s="51">
        <f>'LINEST VARS'!$U$56+'LINEST VARS'!$T$56*(8)+'LINEST VARS'!$S$56*(8)+'LINEST VARS'!$R$56*($DI$56)+'LINEST VARS'!$Q$56*(0.5)+'LINEST VARS'!$P$56*($CX71)+'LINEST VARS'!$O$56*(8^2)+'LINEST VARS'!$N$56*(8^2)+'LINEST VARS'!$M$56*($DI$56^2)+'LINEST VARS'!$L$56*(0.5^2)+'LINEST VARS'!$K$56*($CX71^2)+'LINEST VARS'!$J$56*(8*8)+'LINEST VARS'!$I$56*(8*$DI$56)+'LINEST VARS'!$H$56*(8*0.5)+'LINEST VARS'!$G$56*(8*$CX71)+'LINEST VARS'!$F$56*(8*$DI$56)+'LINEST VARS'!$E$56*(8*0.5)+'LINEST VARS'!$D$56*(8*$CX71)+'LINEST VARS'!$C$56*($DI$56*0.5)+'LINEST VARS'!$B$56*($DI$56*$CX71)+'LINEST VARS'!$A$56*(0.5*$CX71)</f>
        <v>2.8400000000000007</v>
      </c>
      <c r="DJ71" s="51">
        <f>'LINEST VARS'!$U$56+'LINEST VARS'!$T$56*(8)+'LINEST VARS'!$S$56*(8)+'LINEST VARS'!$R$56*($DJ$56)+'LINEST VARS'!$Q$56*(0.5)+'LINEST VARS'!$P$56*($CX71)+'LINEST VARS'!$O$56*(8^2)+'LINEST VARS'!$N$56*(8^2)+'LINEST VARS'!$M$56*($DJ$56^2)+'LINEST VARS'!$L$56*(0.5^2)+'LINEST VARS'!$K$56*($CX71^2)+'LINEST VARS'!$J$56*(8*8)+'LINEST VARS'!$I$56*(8*$DJ$56)+'LINEST VARS'!$H$56*(8*0.5)+'LINEST VARS'!$G$56*(8*$CX71)+'LINEST VARS'!$F$56*(8*$DJ$56)+'LINEST VARS'!$E$56*(8*0.5)+'LINEST VARS'!$D$56*(8*$CX71)+'LINEST VARS'!$C$56*($DJ$56*0.5)+'LINEST VARS'!$B$56*($DJ$56*$CX71)+'LINEST VARS'!$A$56*(0.5*$CX71)</f>
        <v>2.8264000000000009</v>
      </c>
      <c r="DK71" s="51">
        <f>'LINEST VARS'!$U$56+'LINEST VARS'!$T$56*(8)+'LINEST VARS'!$S$56*(8)+'LINEST VARS'!$R$56*($DK$56)+'LINEST VARS'!$Q$56*(0.5)+'LINEST VARS'!$P$56*($CX71)+'LINEST VARS'!$O$56*(8^2)+'LINEST VARS'!$N$56*(8^2)+'LINEST VARS'!$M$56*($DK$56^2)+'LINEST VARS'!$L$56*(0.5^2)+'LINEST VARS'!$K$56*($CX71^2)+'LINEST VARS'!$J$56*(8*8)+'LINEST VARS'!$I$56*(8*$DK$56)+'LINEST VARS'!$H$56*(8*0.5)+'LINEST VARS'!$G$56*(8*$CX71)+'LINEST VARS'!$F$56*(8*$DK$56)+'LINEST VARS'!$E$56*(8*0.5)+'LINEST VARS'!$D$56*(8*$CX71)+'LINEST VARS'!$C$56*($DK$56*0.5)+'LINEST VARS'!$B$56*($DK$56*$CX71)+'LINEST VARS'!$A$56*(0.5*$CX71)</f>
        <v>2.8096000000000005</v>
      </c>
      <c r="DL71" s="51">
        <f>'LINEST VARS'!$U$56+'LINEST VARS'!$T$56*(8)+'LINEST VARS'!$S$56*(8)+'LINEST VARS'!$R$56*($DL$56)+'LINEST VARS'!$Q$56*(0.5)+'LINEST VARS'!$P$56*($CX71)+'LINEST VARS'!$O$56*(8^2)+'LINEST VARS'!$N$56*(8^2)+'LINEST VARS'!$M$56*($DL$56^2)+'LINEST VARS'!$L$56*(0.5^2)+'LINEST VARS'!$K$56*($CX71^2)+'LINEST VARS'!$J$56*(8*8)+'LINEST VARS'!$I$56*(8*$DL$56)+'LINEST VARS'!$H$56*(8*0.5)+'LINEST VARS'!$G$56*(8*$CX71)+'LINEST VARS'!$F$56*(8*$DL$56)+'LINEST VARS'!$E$56*(8*0.5)+'LINEST VARS'!$D$56*(8*$CX71)+'LINEST VARS'!$C$56*($DL$56*0.5)+'LINEST VARS'!$B$56*($DL$56*$CX71)+'LINEST VARS'!$A$56*(0.5*$CX71)</f>
        <v>2.7896000000000005</v>
      </c>
      <c r="DM71" s="51">
        <f>'LINEST VARS'!$U$56+'LINEST VARS'!$T$56*(8)+'LINEST VARS'!$S$56*(8)+'LINEST VARS'!$R$56*($DM$56)+'LINEST VARS'!$Q$56*(0.5)+'LINEST VARS'!$P$56*($CX71)+'LINEST VARS'!$O$56*(8^2)+'LINEST VARS'!$N$56*(8^2)+'LINEST VARS'!$M$56*($DM$56^2)+'LINEST VARS'!$L$56*(0.5^2)+'LINEST VARS'!$K$56*($CX71^2)+'LINEST VARS'!$J$56*(8*8)+'LINEST VARS'!$I$56*(8*$DM$56)+'LINEST VARS'!$H$56*(8*0.5)+'LINEST VARS'!$G$56*(8*$CX71)+'LINEST VARS'!$F$56*(8*$DM$56)+'LINEST VARS'!$E$56*(8*0.5)+'LINEST VARS'!$D$56*(8*$CX71)+'LINEST VARS'!$C$56*($DM$56*0.5)+'LINEST VARS'!$B$56*($DM$56*$CX71)+'LINEST VARS'!$A$56*(0.5*$CX71)</f>
        <v>2.7664000000000009</v>
      </c>
      <c r="DN71" s="51">
        <f>'LINEST VARS'!$U$56+'LINEST VARS'!$T$56*(8)+'LINEST VARS'!$S$56*(8)+'LINEST VARS'!$R$56*($DN$56)+'LINEST VARS'!$Q$56*(0.5)+'LINEST VARS'!$P$56*($CX71)+'LINEST VARS'!$O$56*(8^2)+'LINEST VARS'!$N$56*(8^2)+'LINEST VARS'!$M$56*($DN$56^2)+'LINEST VARS'!$L$56*(0.5^2)+'LINEST VARS'!$K$56*($CX71^2)+'LINEST VARS'!$J$56*(8*8)+'LINEST VARS'!$I$56*(8*$DN$56)+'LINEST VARS'!$H$56*(8*0.5)+'LINEST VARS'!$G$56*(8*$CX71)+'LINEST VARS'!$F$56*(8*$DN$56)+'LINEST VARS'!$E$56*(8*0.5)+'LINEST VARS'!$D$56*(8*$CX71)+'LINEST VARS'!$C$56*($DN$56*0.5)+'LINEST VARS'!$B$56*($DN$56*$CX71)+'LINEST VARS'!$A$56*(0.5*$CX71)</f>
        <v>2.7400000000000007</v>
      </c>
      <c r="DO71" s="51">
        <f>'LINEST VARS'!$U$56+'LINEST VARS'!$T$56*(8)+'LINEST VARS'!$S$56*(8)+'LINEST VARS'!$R$56*($DO$56)+'LINEST VARS'!$Q$56*(0.5)+'LINEST VARS'!$P$56*($CX71)+'LINEST VARS'!$O$56*(8^2)+'LINEST VARS'!$N$56*(8^2)+'LINEST VARS'!$M$56*($DO$56^2)+'LINEST VARS'!$L$56*(0.5^2)+'LINEST VARS'!$K$56*($CX71^2)+'LINEST VARS'!$J$56*(8*8)+'LINEST VARS'!$I$56*(8*$DO$56)+'LINEST VARS'!$H$56*(8*0.5)+'LINEST VARS'!$G$56*(8*$CX71)+'LINEST VARS'!$F$56*(8*$DO$56)+'LINEST VARS'!$E$56*(8*0.5)+'LINEST VARS'!$D$56*(8*$CX71)+'LINEST VARS'!$C$56*($DO$56*0.5)+'LINEST VARS'!$B$56*($DO$56*$CX71)+'LINEST VARS'!$A$56*(0.5*$CX71)</f>
        <v>2.7104000000000004</v>
      </c>
      <c r="DP71" s="51">
        <f>'LINEST VARS'!$U$56+'LINEST VARS'!$T$56*(8)+'LINEST VARS'!$S$56*(8)+'LINEST VARS'!$R$56*($DP$56)+'LINEST VARS'!$Q$56*(0.5)+'LINEST VARS'!$P$56*($CX71)+'LINEST VARS'!$O$56*(8^2)+'LINEST VARS'!$N$56*(8^2)+'LINEST VARS'!$M$56*($DP$56^2)+'LINEST VARS'!$L$56*(0.5^2)+'LINEST VARS'!$K$56*($CX71^2)+'LINEST VARS'!$J$56*(8*8)+'LINEST VARS'!$I$56*(8*$DP$56)+'LINEST VARS'!$H$56*(8*0.5)+'LINEST VARS'!$G$56*(8*$CX71)+'LINEST VARS'!$F$56*(8*$DP$56)+'LINEST VARS'!$E$56*(8*0.5)+'LINEST VARS'!$D$56*(8*$CX71)+'LINEST VARS'!$C$56*($DP$56*0.5)+'LINEST VARS'!$B$56*($DP$56*$CX71)+'LINEST VARS'!$A$56*(0.5*$CX71)</f>
        <v>2.6776</v>
      </c>
      <c r="DQ71" s="51">
        <f>'LINEST VARS'!$U$56+'LINEST VARS'!$T$56*(8)+'LINEST VARS'!$S$56*(8)+'LINEST VARS'!$R$56*($DQ$56)+'LINEST VARS'!$Q$56*(0.5)+'LINEST VARS'!$P$56*($CX71)+'LINEST VARS'!$O$56*(8^2)+'LINEST VARS'!$N$56*(8^2)+'LINEST VARS'!$M$56*($DQ$56^2)+'LINEST VARS'!$L$56*(0.5^2)+'LINEST VARS'!$K$56*($CX71^2)+'LINEST VARS'!$J$56*(8*8)+'LINEST VARS'!$I$56*(8*$DQ$56)+'LINEST VARS'!$H$56*(8*0.5)+'LINEST VARS'!$G$56*(8*$CX71)+'LINEST VARS'!$F$56*(8*$DQ$56)+'LINEST VARS'!$E$56*(8*0.5)+'LINEST VARS'!$D$56*(8*$CX71)+'LINEST VARS'!$C$56*($DQ$56*0.5)+'LINEST VARS'!$B$56*($DQ$56*$CX71)+'LINEST VARS'!$A$56*(0.5*$CX71)</f>
        <v>2.6415999999999999</v>
      </c>
      <c r="DR71" s="51">
        <f>'LINEST VARS'!$U$56+'LINEST VARS'!$T$56*(8)+'LINEST VARS'!$S$56*(8)+'LINEST VARS'!$R$56*($DR$56)+'LINEST VARS'!$Q$56*(0.5)+'LINEST VARS'!$P$56*($CX71)+'LINEST VARS'!$O$56*(8^2)+'LINEST VARS'!$N$56*(8^2)+'LINEST VARS'!$M$56*($DR$56^2)+'LINEST VARS'!$L$56*(0.5^2)+'LINEST VARS'!$K$56*($CX71^2)+'LINEST VARS'!$J$56*(8*8)+'LINEST VARS'!$I$56*(8*$DR$56)+'LINEST VARS'!$H$56*(8*0.5)+'LINEST VARS'!$G$56*(8*$CX71)+'LINEST VARS'!$F$56*(8*$DR$56)+'LINEST VARS'!$E$56*(8*0.5)+'LINEST VARS'!$D$56*(8*$CX71)+'LINEST VARS'!$C$56*($DR$56*0.5)+'LINEST VARS'!$B$56*($DR$56*$CX71)+'LINEST VARS'!$A$56*(0.5*$CX71)</f>
        <v>2.6024000000000003</v>
      </c>
      <c r="DS71" s="52">
        <f>'LINEST VARS'!$U$56+'LINEST VARS'!$T$56*(8)+'LINEST VARS'!$S$56*(8)+'LINEST VARS'!$R$56*($DS$56)+'LINEST VARS'!$Q$56*(0.5)+'LINEST VARS'!$P$56*($CX71)+'LINEST VARS'!$O$56*(8^2)+'LINEST VARS'!$N$56*(8^2)+'LINEST VARS'!$M$56*($DS$56^2)+'LINEST VARS'!$L$56*(0.5^2)+'LINEST VARS'!$K$56*($CX71^2)+'LINEST VARS'!$J$56*(8*8)+'LINEST VARS'!$I$56*(8*$DS$56)+'LINEST VARS'!$H$56*(8*0.5)+'LINEST VARS'!$G$56*(8*$CX71)+'LINEST VARS'!$F$56*(8*$DS$56)+'LINEST VARS'!$E$56*(8*0.5)+'LINEST VARS'!$D$56*(8*$CX71)+'LINEST VARS'!$C$56*($DS$56*0.5)+'LINEST VARS'!$B$56*($DS$56*$CX71)+'LINEST VARS'!$A$56*(0.5*$CX71)</f>
        <v>2.56</v>
      </c>
      <c r="DV71" s="45">
        <v>18.193000000000001</v>
      </c>
      <c r="DW71" s="51">
        <f>'LINEST VARS'!$U$58+'LINEST VARS'!$T$58*(8)+'LINEST VARS'!$S$58*(8)+'LINEST VARS'!$R$58*($DW$56)+'LINEST VARS'!$Q$58*(0.5)+'LINEST VARS'!$P$58*($DV71)+'LINEST VARS'!$O$58*(8^2)+'LINEST VARS'!$N$58*(8^2)+'LINEST VARS'!$M$58*($DW$56^2)+'LINEST VARS'!$L$58*(0.5^2)+'LINEST VARS'!$K$58*($DV71^2)+'LINEST VARS'!$J$58*(8*8)+'LINEST VARS'!$I$58*(8*$DW$56)+'LINEST VARS'!$H$58*(8*0.5)+'LINEST VARS'!$G$58*(8*$DV71)+'LINEST VARS'!$F$58*(8*$DW$56)+'LINEST VARS'!$E$58*(8*0.5)+'LINEST VARS'!$D$58*(8*$DV71)+'LINEST VARS'!$C$58*($DW$56*0.5)+'LINEST VARS'!$B$58*($DW$56*$DV71)+'LINEST VARS'!$A$58*(0.5*$DV71)</f>
        <v>0.89096500000000034</v>
      </c>
      <c r="DX71" s="51">
        <f>'LINEST VARS'!$U$58+'LINEST VARS'!$T$58*(8)+'LINEST VARS'!$S$58*(8)+'LINEST VARS'!$R$58*($DX$56)+'LINEST VARS'!$Q$58*(0.5)+'LINEST VARS'!$P$58*($DV71)+'LINEST VARS'!$O$58*(8^2)+'LINEST VARS'!$N$58*(8^2)+'LINEST VARS'!$M$58*($DX$56^2)+'LINEST VARS'!$L$58*(0.5^2)+'LINEST VARS'!$K$58*($DV71^2)+'LINEST VARS'!$J$58*(8*8)+'LINEST VARS'!$I$58*(8*$DX$56)+'LINEST VARS'!$H$58*(8*0.5)+'LINEST VARS'!$G$58*(8*$DV71)+'LINEST VARS'!$F$58*(8*$DX$56)+'LINEST VARS'!$E$58*(8*0.5)+'LINEST VARS'!$D$58*(8*$DV71)+'LINEST VARS'!$C$58*($DX$56*0.5)+'LINEST VARS'!$B$58*($DX$56*$DV71)+'LINEST VARS'!$A$58*(0.5*$DV71)</f>
        <v>0.89896500000000035</v>
      </c>
      <c r="DY71" s="51">
        <f>'LINEST VARS'!$U$58+'LINEST VARS'!$T$58*(8)+'LINEST VARS'!$S$58*(8)+'LINEST VARS'!$R$58*($DY$56)+'LINEST VARS'!$Q$58*(0.5)+'LINEST VARS'!$P$58*($DV71)+'LINEST VARS'!$O$58*(8^2)+'LINEST VARS'!$N$58*(8^2)+'LINEST VARS'!$M$58*($DY$56^2)+'LINEST VARS'!$L$58*(0.5^2)+'LINEST VARS'!$K$58*($DV71^2)+'LINEST VARS'!$J$58*(8*8)+'LINEST VARS'!$I$58*(8*$DY$56)+'LINEST VARS'!$H$58*(8*0.5)+'LINEST VARS'!$G$58*(8*$DV71)+'LINEST VARS'!$F$58*(8*$DY$56)+'LINEST VARS'!$E$58*(8*0.5)+'LINEST VARS'!$D$58*(8*$DV71)+'LINEST VARS'!$C$58*($DY$56*0.5)+'LINEST VARS'!$B$58*($DY$56*$DV71)+'LINEST VARS'!$A$58*(0.5*$DV71)</f>
        <v>0.90696500000000035</v>
      </c>
      <c r="DZ71" s="51">
        <f>'LINEST VARS'!$U$58+'LINEST VARS'!$T$58*(8)+'LINEST VARS'!$S$58*(8)+'LINEST VARS'!$R$58*($DZ$56)+'LINEST VARS'!$Q$58*(0.5)+'LINEST VARS'!$P$58*($DV71)+'LINEST VARS'!$O$58*(8^2)+'LINEST VARS'!$N$58*(8^2)+'LINEST VARS'!$M$58*($DZ$56^2)+'LINEST VARS'!$L$58*(0.5^2)+'LINEST VARS'!$K$58*($DV71^2)+'LINEST VARS'!$J$58*(8*8)+'LINEST VARS'!$I$58*(8*$DZ$56)+'LINEST VARS'!$H$58*(8*0.5)+'LINEST VARS'!$G$58*(8*$DV71)+'LINEST VARS'!$F$58*(8*$DZ$56)+'LINEST VARS'!$E$58*(8*0.5)+'LINEST VARS'!$D$58*(8*$DV71)+'LINEST VARS'!$C$58*($DZ$56*0.5)+'LINEST VARS'!$B$58*($DZ$56*$DV71)+'LINEST VARS'!$A$58*(0.5*$DV71)</f>
        <v>0.91496500000000036</v>
      </c>
      <c r="EA71" s="51">
        <f>'LINEST VARS'!$U$58+'LINEST VARS'!$T$58*(8)+'LINEST VARS'!$S$58*(8)+'LINEST VARS'!$R$58*($EA$56)+'LINEST VARS'!$Q$58*(0.5)+'LINEST VARS'!$P$58*($DV71)+'LINEST VARS'!$O$58*(8^2)+'LINEST VARS'!$N$58*(8^2)+'LINEST VARS'!$M$58*($EA$56^2)+'LINEST VARS'!$L$58*(0.5^2)+'LINEST VARS'!$K$58*($DV71^2)+'LINEST VARS'!$J$58*(8*8)+'LINEST VARS'!$I$58*(8*$EA$56)+'LINEST VARS'!$H$58*(8*0.5)+'LINEST VARS'!$G$58*(8*$DV71)+'LINEST VARS'!$F$58*(8*$EA$56)+'LINEST VARS'!$E$58*(8*0.5)+'LINEST VARS'!$D$58*(8*$DV71)+'LINEST VARS'!$C$58*($EA$56*0.5)+'LINEST VARS'!$B$58*($EA$56*$DV71)+'LINEST VARS'!$A$58*(0.5*$DV71)</f>
        <v>0.92296500000000015</v>
      </c>
      <c r="EB71" s="51">
        <f>'LINEST VARS'!$U$58+'LINEST VARS'!$T$58*(8)+'LINEST VARS'!$S$58*(8)+'LINEST VARS'!$R$58*($EB$56)+'LINEST VARS'!$Q$58*(0.5)+'LINEST VARS'!$P$58*($DV71)+'LINEST VARS'!$O$58*(8^2)+'LINEST VARS'!$N$58*(8^2)+'LINEST VARS'!$M$58*($EB$56^2)+'LINEST VARS'!$L$58*(0.5^2)+'LINEST VARS'!$K$58*($DV71^2)+'LINEST VARS'!$J$58*(8*8)+'LINEST VARS'!$I$58*(8*$EB$56)+'LINEST VARS'!$H$58*(8*0.5)+'LINEST VARS'!$G$58*(8*$DV71)+'LINEST VARS'!$F$58*(8*$EB$56)+'LINEST VARS'!$E$58*(8*0.5)+'LINEST VARS'!$D$58*(8*$DV71)+'LINEST VARS'!$C$58*($EB$56*0.5)+'LINEST VARS'!$B$58*($EB$56*$DV71)+'LINEST VARS'!$A$58*(0.5*$DV71)</f>
        <v>0.93096500000000026</v>
      </c>
      <c r="EC71" s="51">
        <f>'LINEST VARS'!$U$58+'LINEST VARS'!$T$58*(8)+'LINEST VARS'!$S$58*(8)+'LINEST VARS'!$R$58*($EC$56)+'LINEST VARS'!$Q$58*(0.5)+'LINEST VARS'!$P$58*($DV71)+'LINEST VARS'!$O$58*(8^2)+'LINEST VARS'!$N$58*(8^2)+'LINEST VARS'!$M$58*($EC$56^2)+'LINEST VARS'!$L$58*(0.5^2)+'LINEST VARS'!$K$58*($DV71^2)+'LINEST VARS'!$J$58*(8*8)+'LINEST VARS'!$I$58*(8*$EC$56)+'LINEST VARS'!$H$58*(8*0.5)+'LINEST VARS'!$G$58*(8*$DV71)+'LINEST VARS'!$F$58*(8*$EC$56)+'LINEST VARS'!$E$58*(8*0.5)+'LINEST VARS'!$D$58*(8*$DV71)+'LINEST VARS'!$C$58*($EC$56*0.5)+'LINEST VARS'!$B$58*($EC$56*$DV71)+'LINEST VARS'!$A$58*(0.5*$DV71)</f>
        <v>0.93896500000000038</v>
      </c>
      <c r="ED71" s="51">
        <f>'LINEST VARS'!$U$58+'LINEST VARS'!$T$58*(8)+'LINEST VARS'!$S$58*(8)+'LINEST VARS'!$R$58*($ED$56)+'LINEST VARS'!$Q$58*(0.5)+'LINEST VARS'!$P$58*($DV71)+'LINEST VARS'!$O$58*(8^2)+'LINEST VARS'!$N$58*(8^2)+'LINEST VARS'!$M$58*($ED$56^2)+'LINEST VARS'!$L$58*(0.5^2)+'LINEST VARS'!$K$58*($DV71^2)+'LINEST VARS'!$J$58*(8*8)+'LINEST VARS'!$I$58*(8*$ED$56)+'LINEST VARS'!$H$58*(8*0.5)+'LINEST VARS'!$G$58*(8*$DV71)+'LINEST VARS'!$F$58*(8*$ED$56)+'LINEST VARS'!$E$58*(8*0.5)+'LINEST VARS'!$D$58*(8*$DV71)+'LINEST VARS'!$C$58*($ED$56*0.5)+'LINEST VARS'!$B$58*($ED$56*$DV71)+'LINEST VARS'!$A$58*(0.5*$DV71)</f>
        <v>0.94696500000000039</v>
      </c>
      <c r="EE71" s="51">
        <f>'LINEST VARS'!$U$58+'LINEST VARS'!$T$58*(8)+'LINEST VARS'!$S$58*(8)+'LINEST VARS'!$R$58*($EE$56)+'LINEST VARS'!$Q$58*(0.5)+'LINEST VARS'!$P$58*($DV71)+'LINEST VARS'!$O$58*(8^2)+'LINEST VARS'!$N$58*(8^2)+'LINEST VARS'!$M$58*($EE$56^2)+'LINEST VARS'!$L$58*(0.5^2)+'LINEST VARS'!$K$58*($DV71^2)+'LINEST VARS'!$J$58*(8*8)+'LINEST VARS'!$I$58*(8*$EE$56)+'LINEST VARS'!$H$58*(8*0.5)+'LINEST VARS'!$G$58*(8*$DV71)+'LINEST VARS'!$F$58*(8*$EE$56)+'LINEST VARS'!$E$58*(8*0.5)+'LINEST VARS'!$D$58*(8*$DV71)+'LINEST VARS'!$C$58*($EE$56*0.5)+'LINEST VARS'!$B$58*($EE$56*$DV71)+'LINEST VARS'!$A$58*(0.5*$DV71)</f>
        <v>0.95496500000000051</v>
      </c>
      <c r="EF71" s="51">
        <f>'LINEST VARS'!$U$58+'LINEST VARS'!$T$58*(8)+'LINEST VARS'!$S$58*(8)+'LINEST VARS'!$R$58*($EF$56)+'LINEST VARS'!$Q$58*(0.5)+'LINEST VARS'!$P$58*($DV71)+'LINEST VARS'!$O$58*(8^2)+'LINEST VARS'!$N$58*(8^2)+'LINEST VARS'!$M$58*($EF$56^2)+'LINEST VARS'!$L$58*(0.5^2)+'LINEST VARS'!$K$58*($DV71^2)+'LINEST VARS'!$J$58*(8*8)+'LINEST VARS'!$I$58*(8*$EF$56)+'LINEST VARS'!$H$58*(8*0.5)+'LINEST VARS'!$G$58*(8*$DV71)+'LINEST VARS'!$F$58*(8*$EF$56)+'LINEST VARS'!$E$58*(8*0.5)+'LINEST VARS'!$D$58*(8*$DV71)+'LINEST VARS'!$C$58*($EF$56*0.5)+'LINEST VARS'!$B$58*($EF$56*$DV71)+'LINEST VARS'!$A$58*(0.5*$DV71)</f>
        <v>0.96296500000000029</v>
      </c>
      <c r="EG71" s="51">
        <f>'LINEST VARS'!$U$58+'LINEST VARS'!$T$58*(8)+'LINEST VARS'!$S$58*(8)+'LINEST VARS'!$R$58*($EG$56)+'LINEST VARS'!$Q$58*(0.5)+'LINEST VARS'!$P$58*($DV71)+'LINEST VARS'!$O$58*(8^2)+'LINEST VARS'!$N$58*(8^2)+'LINEST VARS'!$M$58*($EG$56^2)+'LINEST VARS'!$L$58*(0.5^2)+'LINEST VARS'!$K$58*($DV71^2)+'LINEST VARS'!$J$58*(8*8)+'LINEST VARS'!$I$58*(8*$EG$56)+'LINEST VARS'!$H$58*(8*0.5)+'LINEST VARS'!$G$58*(8*$DV71)+'LINEST VARS'!$F$58*(8*$EG$56)+'LINEST VARS'!$E$58*(8*0.5)+'LINEST VARS'!$D$58*(8*$DV71)+'LINEST VARS'!$C$58*($EG$56*0.5)+'LINEST VARS'!$B$58*($EG$56*$DV71)+'LINEST VARS'!$A$58*(0.5*$DV71)</f>
        <v>0.9709650000000003</v>
      </c>
      <c r="EH71" s="51">
        <f>'LINEST VARS'!$U$58+'LINEST VARS'!$T$58*(8)+'LINEST VARS'!$S$58*(8)+'LINEST VARS'!$R$58*($EH$56)+'LINEST VARS'!$Q$58*(0.5)+'LINEST VARS'!$P$58*($DV71)+'LINEST VARS'!$O$58*(8^2)+'LINEST VARS'!$N$58*(8^2)+'LINEST VARS'!$M$58*($EH$56^2)+'LINEST VARS'!$L$58*(0.5^2)+'LINEST VARS'!$K$58*($DV71^2)+'LINEST VARS'!$J$58*(8*8)+'LINEST VARS'!$I$58*(8*$EH$56)+'LINEST VARS'!$H$58*(8*0.5)+'LINEST VARS'!$G$58*(8*$DV71)+'LINEST VARS'!$F$58*(8*$EH$56)+'LINEST VARS'!$E$58*(8*0.5)+'LINEST VARS'!$D$58*(8*$DV71)+'LINEST VARS'!$C$58*($EH$56*0.5)+'LINEST VARS'!$B$58*($EH$56*$DV71)+'LINEST VARS'!$A$58*(0.5*$DV71)</f>
        <v>0.97896500000000031</v>
      </c>
      <c r="EI71" s="51">
        <f>'LINEST VARS'!$U$58+'LINEST VARS'!$T$58*(8)+'LINEST VARS'!$S$58*(8)+'LINEST VARS'!$R$58*($EI$56)+'LINEST VARS'!$Q$58*(0.5)+'LINEST VARS'!$P$58*($DV71)+'LINEST VARS'!$O$58*(8^2)+'LINEST VARS'!$N$58*(8^2)+'LINEST VARS'!$M$58*($EI$56^2)+'LINEST VARS'!$L$58*(0.5^2)+'LINEST VARS'!$K$58*($DV71^2)+'LINEST VARS'!$J$58*(8*8)+'LINEST VARS'!$I$58*(8*$EI$56)+'LINEST VARS'!$H$58*(8*0.5)+'LINEST VARS'!$G$58*(8*$DV71)+'LINEST VARS'!$F$58*(8*$EI$56)+'LINEST VARS'!$E$58*(8*0.5)+'LINEST VARS'!$D$58*(8*$DV71)+'LINEST VARS'!$C$58*($EI$56*0.5)+'LINEST VARS'!$B$58*($EI$56*$DV71)+'LINEST VARS'!$A$58*(0.5*$DV71)</f>
        <v>0.98696500000000031</v>
      </c>
      <c r="EJ71" s="51">
        <f>'LINEST VARS'!$U$58+'LINEST VARS'!$T$58*(8)+'LINEST VARS'!$S$58*(8)+'LINEST VARS'!$R$58*($EJ$56)+'LINEST VARS'!$Q$58*(0.5)+'LINEST VARS'!$P$58*($DV71)+'LINEST VARS'!$O$58*(8^2)+'LINEST VARS'!$N$58*(8^2)+'LINEST VARS'!$M$58*($EJ$56^2)+'LINEST VARS'!$L$58*(0.5^2)+'LINEST VARS'!$K$58*($DV71^2)+'LINEST VARS'!$J$58*(8*8)+'LINEST VARS'!$I$58*(8*$EJ$56)+'LINEST VARS'!$H$58*(8*0.5)+'LINEST VARS'!$G$58*(8*$DV71)+'LINEST VARS'!$F$58*(8*$EJ$56)+'LINEST VARS'!$E$58*(8*0.5)+'LINEST VARS'!$D$58*(8*$DV71)+'LINEST VARS'!$C$58*($EJ$56*0.5)+'LINEST VARS'!$B$58*($EJ$56*$DV71)+'LINEST VARS'!$A$58*(0.5*$DV71)</f>
        <v>0.9949650000000001</v>
      </c>
      <c r="EK71" s="51">
        <f>'LINEST VARS'!$U$58+'LINEST VARS'!$T$58*(8)+'LINEST VARS'!$S$58*(8)+'LINEST VARS'!$R$58*($EK$56)+'LINEST VARS'!$Q$58*(0.5)+'LINEST VARS'!$P$58*($DV71)+'LINEST VARS'!$O$58*(8^2)+'LINEST VARS'!$N$58*(8^2)+'LINEST VARS'!$M$58*($EK$56^2)+'LINEST VARS'!$L$58*(0.5^2)+'LINEST VARS'!$K$58*($DV71^2)+'LINEST VARS'!$J$58*(8*8)+'LINEST VARS'!$I$58*(8*$EK$56)+'LINEST VARS'!$H$58*(8*0.5)+'LINEST VARS'!$G$58*(8*$DV71)+'LINEST VARS'!$F$58*(8*$EK$56)+'LINEST VARS'!$E$58*(8*0.5)+'LINEST VARS'!$D$58*(8*$DV71)+'LINEST VARS'!$C$58*($EK$56*0.5)+'LINEST VARS'!$B$58*($EK$56*$DV71)+'LINEST VARS'!$A$58*(0.5*$DV71)</f>
        <v>1.0029650000000003</v>
      </c>
      <c r="EL71" s="51">
        <f>'LINEST VARS'!$U$58+'LINEST VARS'!$T$58*(8)+'LINEST VARS'!$S$58*(8)+'LINEST VARS'!$R$58*($EL$56)+'LINEST VARS'!$Q$58*(0.5)+'LINEST VARS'!$P$58*($DV71)+'LINEST VARS'!$O$58*(8^2)+'LINEST VARS'!$N$58*(8^2)+'LINEST VARS'!$M$58*($EL$56^2)+'LINEST VARS'!$L$58*(0.5^2)+'LINEST VARS'!$K$58*($DV71^2)+'LINEST VARS'!$J$58*(8*8)+'LINEST VARS'!$I$58*(8*$EL$56)+'LINEST VARS'!$H$58*(8*0.5)+'LINEST VARS'!$G$58*(8*$DV71)+'LINEST VARS'!$F$58*(8*$EL$56)+'LINEST VARS'!$E$58*(8*0.5)+'LINEST VARS'!$D$58*(8*$DV71)+'LINEST VARS'!$C$58*($EL$56*0.5)+'LINEST VARS'!$B$58*($EL$56*$DV71)+'LINEST VARS'!$A$58*(0.5*$DV71)</f>
        <v>1.0109650000000003</v>
      </c>
      <c r="EM71" s="51">
        <f>'LINEST VARS'!$U$58+'LINEST VARS'!$T$58*(8)+'LINEST VARS'!$S$58*(8)+'LINEST VARS'!$R$58*($EM$56)+'LINEST VARS'!$Q$58*(0.5)+'LINEST VARS'!$P$58*($DV71)+'LINEST VARS'!$O$58*(8^2)+'LINEST VARS'!$N$58*(8^2)+'LINEST VARS'!$M$58*($EM$56^2)+'LINEST VARS'!$L$58*(0.5^2)+'LINEST VARS'!$K$58*($DV71^2)+'LINEST VARS'!$J$58*(8*8)+'LINEST VARS'!$I$58*(8*$EM$56)+'LINEST VARS'!$H$58*(8*0.5)+'LINEST VARS'!$G$58*(8*$DV71)+'LINEST VARS'!$F$58*(8*$EM$56)+'LINEST VARS'!$E$58*(8*0.5)+'LINEST VARS'!$D$58*(8*$DV71)+'LINEST VARS'!$C$58*($EM$56*0.5)+'LINEST VARS'!$B$58*($EM$56*$DV71)+'LINEST VARS'!$A$58*(0.5*$DV71)</f>
        <v>1.0189650000000003</v>
      </c>
      <c r="EN71" s="51">
        <f>'LINEST VARS'!$U$58+'LINEST VARS'!$T$58*(8)+'LINEST VARS'!$S$58*(8)+'LINEST VARS'!$R$58*($EN$56)+'LINEST VARS'!$Q$58*(0.5)+'LINEST VARS'!$P$58*($DV71)+'LINEST VARS'!$O$58*(8^2)+'LINEST VARS'!$N$58*(8^2)+'LINEST VARS'!$M$58*($EN$56^2)+'LINEST VARS'!$L$58*(0.5^2)+'LINEST VARS'!$K$58*($DV71^2)+'LINEST VARS'!$J$58*(8*8)+'LINEST VARS'!$I$58*(8*$EN$56)+'LINEST VARS'!$H$58*(8*0.5)+'LINEST VARS'!$G$58*(8*$DV71)+'LINEST VARS'!$F$58*(8*$EN$56)+'LINEST VARS'!$E$58*(8*0.5)+'LINEST VARS'!$D$58*(8*$DV71)+'LINEST VARS'!$C$58*($EN$56*0.5)+'LINEST VARS'!$B$58*($EN$56*$DV71)+'LINEST VARS'!$A$58*(0.5*$DV71)</f>
        <v>1.0269650000000003</v>
      </c>
      <c r="EO71" s="51">
        <f>'LINEST VARS'!$U$58+'LINEST VARS'!$T$58*(8)+'LINEST VARS'!$S$58*(8)+'LINEST VARS'!$R$58*($EO$56)+'LINEST VARS'!$Q$58*(0.5)+'LINEST VARS'!$P$58*($DV71)+'LINEST VARS'!$O$58*(8^2)+'LINEST VARS'!$N$58*(8^2)+'LINEST VARS'!$M$58*($EO$56^2)+'LINEST VARS'!$L$58*(0.5^2)+'LINEST VARS'!$K$58*($DV71^2)+'LINEST VARS'!$J$58*(8*8)+'LINEST VARS'!$I$58*(8*$EO$56)+'LINEST VARS'!$H$58*(8*0.5)+'LINEST VARS'!$G$58*(8*$DV71)+'LINEST VARS'!$F$58*(8*$EO$56)+'LINEST VARS'!$E$58*(8*0.5)+'LINEST VARS'!$D$58*(8*$DV71)+'LINEST VARS'!$C$58*($EO$56*0.5)+'LINEST VARS'!$B$58*($EO$56*$DV71)+'LINEST VARS'!$A$58*(0.5*$DV71)</f>
        <v>1.0349650000000001</v>
      </c>
      <c r="EP71" s="51">
        <f>'LINEST VARS'!$U$58+'LINEST VARS'!$T$58*(8)+'LINEST VARS'!$S$58*(8)+'LINEST VARS'!$R$58*($EP$56)+'LINEST VARS'!$Q$58*(0.5)+'LINEST VARS'!$P$58*($DV71)+'LINEST VARS'!$O$58*(8^2)+'LINEST VARS'!$N$58*(8^2)+'LINEST VARS'!$M$58*($EP$56^2)+'LINEST VARS'!$L$58*(0.5^2)+'LINEST VARS'!$K$58*($DV71^2)+'LINEST VARS'!$J$58*(8*8)+'LINEST VARS'!$I$58*(8*$EP$56)+'LINEST VARS'!$H$58*(8*0.5)+'LINEST VARS'!$G$58*(8*$DV71)+'LINEST VARS'!$F$58*(8*$EP$56)+'LINEST VARS'!$E$58*(8*0.5)+'LINEST VARS'!$D$58*(8*$DV71)+'LINEST VARS'!$C$58*($EP$56*0.5)+'LINEST VARS'!$B$58*($EP$56*$DV71)+'LINEST VARS'!$A$58*(0.5*$DV71)</f>
        <v>1.0429650000000001</v>
      </c>
      <c r="EQ71" s="52">
        <f>'LINEST VARS'!$U$58+'LINEST VARS'!$T$58*(8)+'LINEST VARS'!$S$58*(8)+'LINEST VARS'!$R$58*($EQ$56)+'LINEST VARS'!$Q$58*(0.5)+'LINEST VARS'!$P$58*($DV71)+'LINEST VARS'!$O$58*(8^2)+'LINEST VARS'!$N$58*(8^2)+'LINEST VARS'!$M$58*($EQ$56^2)+'LINEST VARS'!$L$58*(0.5^2)+'LINEST VARS'!$K$58*($DV71^2)+'LINEST VARS'!$J$58*(8*8)+'LINEST VARS'!$I$58*(8*$EQ$56)+'LINEST VARS'!$H$58*(8*0.5)+'LINEST VARS'!$G$58*(8*$DV71)+'LINEST VARS'!$F$58*(8*$EQ$56)+'LINEST VARS'!$E$58*(8*0.5)+'LINEST VARS'!$D$58*(8*$DV71)+'LINEST VARS'!$C$58*($EQ$56*0.5)+'LINEST VARS'!$B$58*($EQ$56*$DV71)+'LINEST VARS'!$A$58*(0.5*$DV71)</f>
        <v>1.0509650000000004</v>
      </c>
    </row>
    <row r="72" spans="2:147" ht="15" customHeight="1" x14ac:dyDescent="0.25">
      <c r="B72" s="45">
        <v>8.3000000000000007</v>
      </c>
      <c r="C72" s="51">
        <f>'LINEST VARS'!$U$56+'LINEST VARS'!$T$56*($C$56)+'LINEST VARS'!$S$56*($B72)+'LINEST VARS'!$R$56*(4)+'LINEST VARS'!$Q$56*(0.5)+'LINEST VARS'!$P$56*(12.73)+'LINEST VARS'!$O$56*($C$56^2)+'LINEST VARS'!$N$56*($B72^2)+'LINEST VARS'!$M$56*(4^2)+'LINEST VARS'!$L$56*(0.5^2)+'LINEST VARS'!$K$56*(12.73^2)+'LINEST VARS'!$J$56*($C$56*$B72)+'LINEST VARS'!$I$56*($C$56*4)+'LINEST VARS'!$H$56*($C$56*0.5)+'LINEST VARS'!$G$56*($C$56*12.73)+'LINEST VARS'!$F$56*($B72*4)+'LINEST VARS'!$E$56*($B72*0.5)+'LINEST VARS'!$D$56*($B72*12.73)+'LINEST VARS'!$C$56*(4*0.5)+'LINEST VARS'!$B$56*(4*12.73)+'LINEST VARS'!$A$56*(0.5*12.73)</f>
        <v>2.8400000000000012</v>
      </c>
      <c r="D72" s="51">
        <f>'LINEST VARS'!$U$56+'LINEST VARS'!$T$56*($D$56)+'LINEST VARS'!$S$56*($B72)+'LINEST VARS'!$R$56*(4)+'LINEST VARS'!$Q$56*(0.5)+'LINEST VARS'!$P$56*(12.73)+'LINEST VARS'!$O$56*($D$56^2)+'LINEST VARS'!$N$56*($B72^2)+'LINEST VARS'!$M$56*(4^2)+'LINEST VARS'!$L$56*(0.5^2)+'LINEST VARS'!$K$56*(12.73^2)+'LINEST VARS'!$J$56*($D$56*$B72)+'LINEST VARS'!$I$56*($D$56*4)+'LINEST VARS'!$H$56*($D$56*0.5)+'LINEST VARS'!$G$56*($D$56*12.73)+'LINEST VARS'!$F$56*($B72*4)+'LINEST VARS'!$E$56*($B72*0.5)+'LINEST VARS'!$D$56*($B72*12.73)+'LINEST VARS'!$C$56*(4*0.5)+'LINEST VARS'!$B$56*(4*12.73)+'LINEST VARS'!$A$56*(0.5*12.73)</f>
        <v>2.8400000000000012</v>
      </c>
      <c r="E72" s="51">
        <f>'LINEST VARS'!$U$56+'LINEST VARS'!$T$56*($E$56)+'LINEST VARS'!$S$56*($B72)+'LINEST VARS'!$R$56*(4)+'LINEST VARS'!$Q$56*(0.5)+'LINEST VARS'!$P$56*(12.73)+'LINEST VARS'!$O$56*($E$56^2)+'LINEST VARS'!$N$56*($B72^2)+'LINEST VARS'!$M$56*(4^2)+'LINEST VARS'!$L$56*(0.5^2)+'LINEST VARS'!$K$56*(12.73^2)+'LINEST VARS'!$J$56*($E$56*$B72)+'LINEST VARS'!$I$56*($E$56*4)+'LINEST VARS'!$H$56*($E$56*0.5)+'LINEST VARS'!$G$56*($E$56*12.73)+'LINEST VARS'!$F$56*($B72*4)+'LINEST VARS'!$E$56*($B72*0.5)+'LINEST VARS'!$D$56*($B72*12.73)+'LINEST VARS'!$C$56*(4*0.5)+'LINEST VARS'!$B$56*(4*12.73)+'LINEST VARS'!$A$56*(0.5*12.73)</f>
        <v>2.8400000000000012</v>
      </c>
      <c r="F72" s="51">
        <f>'LINEST VARS'!$U$56+'LINEST VARS'!$T$56*($F$56)+'LINEST VARS'!$S$56*($B72)+'LINEST VARS'!$R$56*(4)+'LINEST VARS'!$Q$56*(0.5)+'LINEST VARS'!$P$56*(12.73)+'LINEST VARS'!$O$56*($F$56^2)+'LINEST VARS'!$N$56*($B72^2)+'LINEST VARS'!$M$56*(4^2)+'LINEST VARS'!$L$56*(0.5^2)+'LINEST VARS'!$K$56*(12.73^2)+'LINEST VARS'!$J$56*($F$56*$B72)+'LINEST VARS'!$I$56*($F$56*4)+'LINEST VARS'!$H$56*($F$56*0.5)+'LINEST VARS'!$G$56*($F$56*12.73)+'LINEST VARS'!$F$56*($B72*4)+'LINEST VARS'!$E$56*($B72*0.5)+'LINEST VARS'!$D$56*($B72*12.73)+'LINEST VARS'!$C$56*(4*0.5)+'LINEST VARS'!$B$56*(4*12.73)+'LINEST VARS'!$A$56*(0.5*12.73)</f>
        <v>2.8400000000000012</v>
      </c>
      <c r="G72" s="51">
        <f>'LINEST VARS'!$U$56+'LINEST VARS'!$T$56*($G$56)+'LINEST VARS'!$S$56*($B72)+'LINEST VARS'!$R$56*(4)+'LINEST VARS'!$Q$56*(0.5)+'LINEST VARS'!$P$56*(12.73)+'LINEST VARS'!$O$56*($G$56^2)+'LINEST VARS'!$N$56*($B72^2)+'LINEST VARS'!$M$56*(4^2)+'LINEST VARS'!$L$56*(0.5^2)+'LINEST VARS'!$K$56*(12.73^2)+'LINEST VARS'!$J$56*($G$56*$B72)+'LINEST VARS'!$I$56*($G$56*4)+'LINEST VARS'!$H$56*($G$56*0.5)+'LINEST VARS'!$G$56*($G$56*12.73)+'LINEST VARS'!$F$56*($B72*4)+'LINEST VARS'!$E$56*($B72*0.5)+'LINEST VARS'!$D$56*($B72*12.73)+'LINEST VARS'!$C$56*(4*0.5)+'LINEST VARS'!$B$56*(4*12.73)+'LINEST VARS'!$A$56*(0.5*12.73)</f>
        <v>2.8400000000000012</v>
      </c>
      <c r="H72" s="51">
        <f>'LINEST VARS'!$U$56+'LINEST VARS'!$T$56*($H$56)+'LINEST VARS'!$S$56*($B72)+'LINEST VARS'!$R$56*(4)+'LINEST VARS'!$Q$56*(0.5)+'LINEST VARS'!$P$56*(12.73)+'LINEST VARS'!$O$56*($H$56^2)+'LINEST VARS'!$N$56*($B72^2)+'LINEST VARS'!$M$56*(4^2)+'LINEST VARS'!$L$56*(0.5^2)+'LINEST VARS'!$K$56*(12.73^2)+'LINEST VARS'!$J$56*($H$56*$B72)+'LINEST VARS'!$I$56*($H$56*4)+'LINEST VARS'!$H$56*($H$56*0.5)+'LINEST VARS'!$G$56*($H$56*12.73)+'LINEST VARS'!$F$56*($B72*4)+'LINEST VARS'!$E$56*($B72*0.5)+'LINEST VARS'!$D$56*($B72*12.73)+'LINEST VARS'!$C$56*(4*0.5)+'LINEST VARS'!$B$56*(4*12.73)+'LINEST VARS'!$A$56*(0.5*12.73)</f>
        <v>2.8400000000000012</v>
      </c>
      <c r="I72" s="51">
        <f>'LINEST VARS'!$U$56+'LINEST VARS'!$T$56*($I$56)+'LINEST VARS'!$S$56*($B72)+'LINEST VARS'!$R$56*(4)+'LINEST VARS'!$Q$56*(0.5)+'LINEST VARS'!$P$56*(12.73)+'LINEST VARS'!$O$56*($I$56^2)+'LINEST VARS'!$N$56*($B72^2)+'LINEST VARS'!$M$56*(4^2)+'LINEST VARS'!$L$56*(0.5^2)+'LINEST VARS'!$K$56*(12.73^2)+'LINEST VARS'!$J$56*($I$56*$B72)+'LINEST VARS'!$I$56*($I$56*4)+'LINEST VARS'!$H$56*($I$56*0.5)+'LINEST VARS'!$G$56*($I$56*12.73)+'LINEST VARS'!$F$56*($B72*4)+'LINEST VARS'!$E$56*($B72*0.5)+'LINEST VARS'!$D$56*($B72*12.73)+'LINEST VARS'!$C$56*(4*0.5)+'LINEST VARS'!$B$56*(4*12.73)+'LINEST VARS'!$A$56*(0.5*12.73)</f>
        <v>2.8400000000000012</v>
      </c>
      <c r="J72" s="51">
        <f>'LINEST VARS'!$U$56+'LINEST VARS'!$T$56*($J$56)+'LINEST VARS'!$S$56*($B72)+'LINEST VARS'!$R$56*(4)+'LINEST VARS'!$Q$56*(0.5)+'LINEST VARS'!$P$56*(12.73)+'LINEST VARS'!$O$56*($J$56^2)+'LINEST VARS'!$N$56*($B72^2)+'LINEST VARS'!$M$56*(4^2)+'LINEST VARS'!$L$56*(0.5^2)+'LINEST VARS'!$K$56*(12.73^2)+'LINEST VARS'!$J$56*($J$56*$B72)+'LINEST VARS'!$I$56*($J$56*4)+'LINEST VARS'!$H$56*($J$56*0.5)+'LINEST VARS'!$G$56*($J$56*12.73)+'LINEST VARS'!$F$56*($B72*4)+'LINEST VARS'!$E$56*($B72*0.5)+'LINEST VARS'!$D$56*($B72*12.73)+'LINEST VARS'!$C$56*(4*0.5)+'LINEST VARS'!$B$56*(4*12.73)+'LINEST VARS'!$A$56*(0.5*12.73)</f>
        <v>2.8400000000000012</v>
      </c>
      <c r="K72" s="51">
        <f>'LINEST VARS'!$U$56+'LINEST VARS'!$T$56*($K$56)+'LINEST VARS'!$S$56*($B72)+'LINEST VARS'!$R$56*(4)+'LINEST VARS'!$Q$56*(0.5)+'LINEST VARS'!$P$56*(12.73)+'LINEST VARS'!$O$56*($K$56^2)+'LINEST VARS'!$N$56*($B72^2)+'LINEST VARS'!$M$56*(4^2)+'LINEST VARS'!$L$56*(0.5^2)+'LINEST VARS'!$K$56*(12.73^2)+'LINEST VARS'!$J$56*($K$56*$B72)+'LINEST VARS'!$I$56*($K$56*4)+'LINEST VARS'!$H$56*($K$56*0.5)+'LINEST VARS'!$G$56*($K$56*12.73)+'LINEST VARS'!$F$56*($B72*4)+'LINEST VARS'!$E$56*($B72*0.5)+'LINEST VARS'!$D$56*($B72*12.73)+'LINEST VARS'!$C$56*(4*0.5)+'LINEST VARS'!$B$56*(4*12.73)+'LINEST VARS'!$A$56*(0.5*12.73)</f>
        <v>2.8400000000000007</v>
      </c>
      <c r="L72" s="51">
        <f>'LINEST VARS'!$U$56+'LINEST VARS'!$T$56*($L$56)+'LINEST VARS'!$S$56*($B72)+'LINEST VARS'!$R$56*(4)+'LINEST VARS'!$Q$56*(0.5)+'LINEST VARS'!$P$56*(12.73)+'LINEST VARS'!$O$56*($L$56^2)+'LINEST VARS'!$N$56*($B72^2)+'LINEST VARS'!$M$56*(4^2)+'LINEST VARS'!$L$56*(0.5^2)+'LINEST VARS'!$K$56*(12.73^2)+'LINEST VARS'!$J$56*($L$56*$B72)+'LINEST VARS'!$I$56*($L$56*4)+'LINEST VARS'!$H$56*($L$56*0.5)+'LINEST VARS'!$G$56*($L$56*12.73)+'LINEST VARS'!$F$56*($B72*4)+'LINEST VARS'!$E$56*($B72*0.5)+'LINEST VARS'!$D$56*($B72*12.73)+'LINEST VARS'!$C$56*(4*0.5)+'LINEST VARS'!$B$56*(4*12.73)+'LINEST VARS'!$A$56*(0.5*12.73)</f>
        <v>2.8400000000000007</v>
      </c>
      <c r="M72" s="51">
        <f>'LINEST VARS'!$U$56+'LINEST VARS'!$T$56*($M$56)+'LINEST VARS'!$S$56*($B72)+'LINEST VARS'!$R$56*(4)+'LINEST VARS'!$Q$56*(0.5)+'LINEST VARS'!$P$56*(12.73)+'LINEST VARS'!$O$56*($M$56^2)+'LINEST VARS'!$N$56*($B72^2)+'LINEST VARS'!$M$56*(4^2)+'LINEST VARS'!$L$56*(0.5^2)+'LINEST VARS'!$K$56*(12.73^2)+'LINEST VARS'!$J$56*($M$56*$B72)+'LINEST VARS'!$I$56*($M$56*4)+'LINEST VARS'!$H$56*($M$56*0.5)+'LINEST VARS'!$G$56*($M$56*12.73)+'LINEST VARS'!$F$56*($B72*4)+'LINEST VARS'!$E$56*($B72*0.5)+'LINEST VARS'!$D$56*($B72*12.73)+'LINEST VARS'!$C$56*(4*0.5)+'LINEST VARS'!$B$56*(4*12.73)+'LINEST VARS'!$A$56*(0.5*12.73)</f>
        <v>2.8400000000000007</v>
      </c>
      <c r="N72" s="51">
        <f>'LINEST VARS'!$U$56+'LINEST VARS'!$T$56*($N$56)+'LINEST VARS'!$S$56*($B72)+'LINEST VARS'!$R$56*(4)+'LINEST VARS'!$Q$56*(0.5)+'LINEST VARS'!$P$56*(12.73)+'LINEST VARS'!$O$56*($N$56^2)+'LINEST VARS'!$N$56*($B72^2)+'LINEST VARS'!$M$56*(4^2)+'LINEST VARS'!$L$56*(0.5^2)+'LINEST VARS'!$K$56*(12.73^2)+'LINEST VARS'!$J$56*($N$56*$B72)+'LINEST VARS'!$I$56*($N$56*4)+'LINEST VARS'!$H$56*($N$56*0.5)+'LINEST VARS'!$G$56*($N$56*12.73)+'LINEST VARS'!$F$56*($B72*4)+'LINEST VARS'!$E$56*($B72*0.5)+'LINEST VARS'!$D$56*($B72*12.73)+'LINEST VARS'!$C$56*(4*0.5)+'LINEST VARS'!$B$56*(4*12.73)+'LINEST VARS'!$A$56*(0.5*12.73)</f>
        <v>2.8400000000000007</v>
      </c>
      <c r="O72" s="51">
        <f>'LINEST VARS'!$U$56+'LINEST VARS'!$T$56*($O$56)+'LINEST VARS'!$S$56*($B72)+'LINEST VARS'!$R$56*(4)+'LINEST VARS'!$Q$56*(0.5)+'LINEST VARS'!$P$56*(12.73)+'LINEST VARS'!$O$56*($O$56^2)+'LINEST VARS'!$N$56*($B72^2)+'LINEST VARS'!$M$56*(4^2)+'LINEST VARS'!$L$56*(0.5^2)+'LINEST VARS'!$K$56*(12.73^2)+'LINEST VARS'!$J$56*($O$56*$B72)+'LINEST VARS'!$I$56*($O$56*4)+'LINEST VARS'!$H$56*($O$56*0.5)+'LINEST VARS'!$G$56*($O$56*12.73)+'LINEST VARS'!$F$56*($B72*4)+'LINEST VARS'!$E$56*($B72*0.5)+'LINEST VARS'!$D$56*($B72*12.73)+'LINEST VARS'!$C$56*(4*0.5)+'LINEST VARS'!$B$56*(4*12.73)+'LINEST VARS'!$A$56*(0.5*12.73)</f>
        <v>2.8400000000000007</v>
      </c>
      <c r="P72" s="51">
        <f>'LINEST VARS'!$U$56+'LINEST VARS'!$T$56*($P$56)+'LINEST VARS'!$S$56*($B72)+'LINEST VARS'!$R$56*(4)+'LINEST VARS'!$Q$56*(0.5)+'LINEST VARS'!$P$56*(12.73)+'LINEST VARS'!$O$56*($P$56^2)+'LINEST VARS'!$N$56*($B72^2)+'LINEST VARS'!$M$56*(4^2)+'LINEST VARS'!$L$56*(0.5^2)+'LINEST VARS'!$K$56*(12.73^2)+'LINEST VARS'!$J$56*($P$56*$B72)+'LINEST VARS'!$I$56*($P$56*4)+'LINEST VARS'!$H$56*($P$56*0.5)+'LINEST VARS'!$G$56*($P$56*12.73)+'LINEST VARS'!$F$56*($B72*4)+'LINEST VARS'!$E$56*($B72*0.5)+'LINEST VARS'!$D$56*($B72*12.73)+'LINEST VARS'!$C$56*(4*0.5)+'LINEST VARS'!$B$56*(4*12.73)+'LINEST VARS'!$A$56*(0.5*12.73)</f>
        <v>2.8400000000000007</v>
      </c>
      <c r="Q72" s="51">
        <f>'LINEST VARS'!$U$56+'LINEST VARS'!$T$56*($Q$56)+'LINEST VARS'!$S$56*($B72)+'LINEST VARS'!$R$56*(4)+'LINEST VARS'!$Q$56*(0.5)+'LINEST VARS'!$P$56*(12.73)+'LINEST VARS'!$O$56*($Q$56^2)+'LINEST VARS'!$N$56*($B72^2)+'LINEST VARS'!$M$56*(4^2)+'LINEST VARS'!$L$56*(0.5^2)+'LINEST VARS'!$K$56*(12.73^2)+'LINEST VARS'!$J$56*($Q$56*$B72)+'LINEST VARS'!$I$56*($Q$56*4)+'LINEST VARS'!$H$56*($Q$56*0.5)+'LINEST VARS'!$G$56*($Q$56*12.73)+'LINEST VARS'!$F$56*($B72*4)+'LINEST VARS'!$E$56*($B72*0.5)+'LINEST VARS'!$D$56*($B72*12.73)+'LINEST VARS'!$C$56*(4*0.5)+'LINEST VARS'!$B$56*(4*12.73)+'LINEST VARS'!$A$56*(0.5*12.73)</f>
        <v>2.8400000000000007</v>
      </c>
      <c r="R72" s="51">
        <f>'LINEST VARS'!$U$56+'LINEST VARS'!$T$56*($R$56)+'LINEST VARS'!$S$56*($B72)+'LINEST VARS'!$R$56*(4)+'LINEST VARS'!$Q$56*(0.5)+'LINEST VARS'!$P$56*(12.73)+'LINEST VARS'!$O$56*($R$56^2)+'LINEST VARS'!$N$56*($B72^2)+'LINEST VARS'!$M$56*(4^2)+'LINEST VARS'!$L$56*(0.5^2)+'LINEST VARS'!$K$56*(12.73^2)+'LINEST VARS'!$J$56*($R$56*$B72)+'LINEST VARS'!$I$56*($R$56*4)+'LINEST VARS'!$H$56*($R$56*0.5)+'LINEST VARS'!$G$56*($R$56*12.73)+'LINEST VARS'!$F$56*($B72*4)+'LINEST VARS'!$E$56*($B72*0.5)+'LINEST VARS'!$D$56*($B72*12.73)+'LINEST VARS'!$C$56*(4*0.5)+'LINEST VARS'!$B$56*(4*12.73)+'LINEST VARS'!$A$56*(0.5*12.73)</f>
        <v>2.8400000000000012</v>
      </c>
      <c r="S72" s="51">
        <f>'LINEST VARS'!$U$56+'LINEST VARS'!$T$56*($S$56)+'LINEST VARS'!$S$56*($B72)+'LINEST VARS'!$R$56*(4)+'LINEST VARS'!$Q$56*(0.5)+'LINEST VARS'!$P$56*(12.73)+'LINEST VARS'!$O$56*($S$56^2)+'LINEST VARS'!$N$56*($B72^2)+'LINEST VARS'!$M$56*(4^2)+'LINEST VARS'!$L$56*(0.5^2)+'LINEST VARS'!$K$56*(12.73^2)+'LINEST VARS'!$J$56*($S$56*$B72)+'LINEST VARS'!$I$56*($S$56*4)+'LINEST VARS'!$H$56*($S$56*0.5)+'LINEST VARS'!$G$56*($S$56*12.73)+'LINEST VARS'!$F$56*($B72*4)+'LINEST VARS'!$E$56*($B72*0.5)+'LINEST VARS'!$D$56*($B72*12.73)+'LINEST VARS'!$C$56*(4*0.5)+'LINEST VARS'!$B$56*(4*12.73)+'LINEST VARS'!$A$56*(0.5*12.73)</f>
        <v>2.8400000000000012</v>
      </c>
      <c r="T72" s="51">
        <f>'LINEST VARS'!$U$56+'LINEST VARS'!$T$56*($T$56)+'LINEST VARS'!$S$56*($B72)+'LINEST VARS'!$R$56*(4)+'LINEST VARS'!$Q$56*(0.5)+'LINEST VARS'!$P$56*(12.73)+'LINEST VARS'!$O$56*($T$56^2)+'LINEST VARS'!$N$56*($B72^2)+'LINEST VARS'!$M$56*(4^2)+'LINEST VARS'!$L$56*(0.5^2)+'LINEST VARS'!$K$56*(12.73^2)+'LINEST VARS'!$J$56*($T$56*$B72)+'LINEST VARS'!$I$56*($T$56*4)+'LINEST VARS'!$H$56*($T$56*0.5)+'LINEST VARS'!$G$56*($T$56*12.73)+'LINEST VARS'!$F$56*($B72*4)+'LINEST VARS'!$E$56*($B72*0.5)+'LINEST VARS'!$D$56*($B72*12.73)+'LINEST VARS'!$C$56*(4*0.5)+'LINEST VARS'!$B$56*(4*12.73)+'LINEST VARS'!$A$56*(0.5*12.73)</f>
        <v>2.8400000000000012</v>
      </c>
      <c r="U72" s="51">
        <f>'LINEST VARS'!$U$56+'LINEST VARS'!$T$56*($U$56)+'LINEST VARS'!$S$56*($B72)+'LINEST VARS'!$R$56*(4)+'LINEST VARS'!$Q$56*(0.5)+'LINEST VARS'!$P$56*(12.73)+'LINEST VARS'!$O$56*($U$56^2)+'LINEST VARS'!$N$56*($B72^2)+'LINEST VARS'!$M$56*(4^2)+'LINEST VARS'!$L$56*(0.5^2)+'LINEST VARS'!$K$56*(12.73^2)+'LINEST VARS'!$J$56*($U$56*$B72)+'LINEST VARS'!$I$56*($U$56*4)+'LINEST VARS'!$H$56*($U$56*0.5)+'LINEST VARS'!$G$56*($U$56*12.73)+'LINEST VARS'!$F$56*($B72*4)+'LINEST VARS'!$E$56*($B72*0.5)+'LINEST VARS'!$D$56*($B72*12.73)+'LINEST VARS'!$C$56*(4*0.5)+'LINEST VARS'!$B$56*(4*12.73)+'LINEST VARS'!$A$56*(0.5*12.73)</f>
        <v>2.8400000000000012</v>
      </c>
      <c r="V72" s="51">
        <f>'LINEST VARS'!$U$56+'LINEST VARS'!$T$56*($V$56)+'LINEST VARS'!$S$56*($B72)+'LINEST VARS'!$R$56*(4)+'LINEST VARS'!$Q$56*(0.5)+'LINEST VARS'!$P$56*(12.73)+'LINEST VARS'!$O$56*($V$56^2)+'LINEST VARS'!$N$56*($B72^2)+'LINEST VARS'!$M$56*(4^2)+'LINEST VARS'!$L$56*(0.5^2)+'LINEST VARS'!$K$56*(12.73^2)+'LINEST VARS'!$J$56*($V$56*$B72)+'LINEST VARS'!$I$56*($V$56*4)+'LINEST VARS'!$H$56*($V$56*0.5)+'LINEST VARS'!$G$56*($V$56*12.73)+'LINEST VARS'!$F$56*($B72*4)+'LINEST VARS'!$E$56*($B72*0.5)+'LINEST VARS'!$D$56*($B72*12.73)+'LINEST VARS'!$C$56*(4*0.5)+'LINEST VARS'!$B$56*(4*12.73)+'LINEST VARS'!$A$56*(0.5*12.73)</f>
        <v>2.8400000000000012</v>
      </c>
      <c r="W72" s="52">
        <f>'LINEST VARS'!$U$56+'LINEST VARS'!$T$56*($W$56)+'LINEST VARS'!$S$56*($B72)+'LINEST VARS'!$R$56*(4)+'LINEST VARS'!$Q$56*(0.5)+'LINEST VARS'!$P$56*(12.73)+'LINEST VARS'!$O$56*($W$56^2)+'LINEST VARS'!$N$56*($B72^2)+'LINEST VARS'!$M$56*(4^2)+'LINEST VARS'!$L$56*(0.5^2)+'LINEST VARS'!$K$56*(12.73^2)+'LINEST VARS'!$J$56*($W$56*$B72)+'LINEST VARS'!$I$56*($W$56*4)+'LINEST VARS'!$H$56*($W$56*0.5)+'LINEST VARS'!$G$56*($W$56*12.73)+'LINEST VARS'!$F$56*($B72*4)+'LINEST VARS'!$E$56*($B72*0.5)+'LINEST VARS'!$D$56*($B72*12.73)+'LINEST VARS'!$C$56*(4*0.5)+'LINEST VARS'!$B$56*(4*12.73)+'LINEST VARS'!$A$56*(0.5*12.73)</f>
        <v>2.8400000000000012</v>
      </c>
      <c r="Z72" s="45">
        <v>8.3000000000000007</v>
      </c>
      <c r="AA72" s="51">
        <f>'LINEST VARS'!$U$58+'LINEST VARS'!$T$58*($AA$56)+'LINEST VARS'!$S$58*($Z72)+'LINEST VARS'!$R$58*(4)+'LINEST VARS'!$Q$58*(0.5)+'LINEST VARS'!$P$58*(12.73)+'LINEST VARS'!$O$58*($AA$56^2)+'LINEST VARS'!$N$58*($Z72^2)+'LINEST VARS'!$M$58*(4^2)+'LINEST VARS'!$L$58*(0.5^2)+'LINEST VARS'!$K$58*(12.73^2)+'LINEST VARS'!$J$58*($AA$56*$Z72)+'LINEST VARS'!$I$58*($AA$56*4)+'LINEST VARS'!$H$58*($AA$56*0.5)+'LINEST VARS'!$G$58*($AA$56*12.73)+'LINEST VARS'!$F$58*($Z72*4)+'LINEST VARS'!$E$58*($Z72*0.5)+'LINEST VARS'!$D$58*($Z72*12.73)+'LINEST VARS'!$C$58*(4*0.5)+'LINEST VARS'!$B$58*(4*12.73)+'LINEST VARS'!$A$58*(0.5*12.73)</f>
        <v>0.94365000000000032</v>
      </c>
      <c r="AB72" s="51">
        <f>'LINEST VARS'!$U$58+'LINEST VARS'!$T$58*($AB$56)+'LINEST VARS'!$S$58*($Z72)+'LINEST VARS'!$R$58*(4)+'LINEST VARS'!$Q$58*(0.5)+'LINEST VARS'!$P$58*(12.73)+'LINEST VARS'!$O$58*($AB$56^2)+'LINEST VARS'!$N$58*($Z72^2)+'LINEST VARS'!$M$58*(4^2)+'LINEST VARS'!$L$58*(0.5^2)+'LINEST VARS'!$K$58*(12.73^2)+'LINEST VARS'!$J$58*($AB$56*$Z72)+'LINEST VARS'!$I$58*($AB$56*4)+'LINEST VARS'!$H$58*($AB$56*0.5)+'LINEST VARS'!$G$58*($AB$56*12.73)+'LINEST VARS'!$F$58*($Z72*4)+'LINEST VARS'!$E$58*($Z72*0.5)+'LINEST VARS'!$D$58*($Z72*12.73)+'LINEST VARS'!$C$58*(4*0.5)+'LINEST VARS'!$B$58*(4*12.73)+'LINEST VARS'!$A$58*(0.5*12.73)</f>
        <v>0.94365000000000032</v>
      </c>
      <c r="AC72" s="51">
        <f>'LINEST VARS'!$U$58+'LINEST VARS'!$T$58*($AC$56)+'LINEST VARS'!$S$58*($Z72)+'LINEST VARS'!$R$58*(4)+'LINEST VARS'!$Q$58*(0.5)+'LINEST VARS'!$P$58*(12.73)+'LINEST VARS'!$O$58*($AC$56^2)+'LINEST VARS'!$N$58*($Z72^2)+'LINEST VARS'!$M$58*(4^2)+'LINEST VARS'!$L$58*(0.5^2)+'LINEST VARS'!$K$58*(12.73^2)+'LINEST VARS'!$J$58*($AC$56*$Z72)+'LINEST VARS'!$I$58*($AC$56*4)+'LINEST VARS'!$H$58*($AC$56*0.5)+'LINEST VARS'!$G$58*($AC$56*12.73)+'LINEST VARS'!$F$58*($Z72*4)+'LINEST VARS'!$E$58*($Z72*0.5)+'LINEST VARS'!$D$58*($Z72*12.73)+'LINEST VARS'!$C$58*(4*0.5)+'LINEST VARS'!$B$58*(4*12.73)+'LINEST VARS'!$A$58*(0.5*12.73)</f>
        <v>0.94365000000000032</v>
      </c>
      <c r="AD72" s="51">
        <f>'LINEST VARS'!$U$58+'LINEST VARS'!$T$58*($AD$56)+'LINEST VARS'!$S$58*($Z72)+'LINEST VARS'!$R$58*(4)+'LINEST VARS'!$Q$58*(0.5)+'LINEST VARS'!$P$58*(12.73)+'LINEST VARS'!$O$58*($AD$56^2)+'LINEST VARS'!$N$58*($Z72^2)+'LINEST VARS'!$M$58*(4^2)+'LINEST VARS'!$L$58*(0.5^2)+'LINEST VARS'!$K$58*(12.73^2)+'LINEST VARS'!$J$58*($AD$56*$Z72)+'LINEST VARS'!$I$58*($AD$56*4)+'LINEST VARS'!$H$58*($AD$56*0.5)+'LINEST VARS'!$G$58*($AD$56*12.73)+'LINEST VARS'!$F$58*($Z72*4)+'LINEST VARS'!$E$58*($Z72*0.5)+'LINEST VARS'!$D$58*($Z72*12.73)+'LINEST VARS'!$C$58*(4*0.5)+'LINEST VARS'!$B$58*(4*12.73)+'LINEST VARS'!$A$58*(0.5*12.73)</f>
        <v>0.94365000000000032</v>
      </c>
      <c r="AE72" s="51">
        <f>'LINEST VARS'!$U$58+'LINEST VARS'!$T$58*($AE$56)+'LINEST VARS'!$S$58*($Z72)+'LINEST VARS'!$R$58*(4)+'LINEST VARS'!$Q$58*(0.5)+'LINEST VARS'!$P$58*(12.73)+'LINEST VARS'!$O$58*($AE$56^2)+'LINEST VARS'!$N$58*($Z72^2)+'LINEST VARS'!$M$58*(4^2)+'LINEST VARS'!$L$58*(0.5^2)+'LINEST VARS'!$K$58*(12.73^2)+'LINEST VARS'!$J$58*($AE$56*$Z72)+'LINEST VARS'!$I$58*($AE$56*4)+'LINEST VARS'!$H$58*($AE$56*0.5)+'LINEST VARS'!$G$58*($AE$56*12.73)+'LINEST VARS'!$F$58*($Z72*4)+'LINEST VARS'!$E$58*($Z72*0.5)+'LINEST VARS'!$D$58*($Z72*12.73)+'LINEST VARS'!$C$58*(4*0.5)+'LINEST VARS'!$B$58*(4*12.73)+'LINEST VARS'!$A$58*(0.5*12.73)</f>
        <v>0.94365000000000032</v>
      </c>
      <c r="AF72" s="51">
        <f>'LINEST VARS'!$U$58+'LINEST VARS'!$T$58*($AF$56)+'LINEST VARS'!$S$58*($Z72)+'LINEST VARS'!$R$58*(4)+'LINEST VARS'!$Q$58*(0.5)+'LINEST VARS'!$P$58*(12.73)+'LINEST VARS'!$O$58*($AF$56^2)+'LINEST VARS'!$N$58*($Z72^2)+'LINEST VARS'!$M$58*(4^2)+'LINEST VARS'!$L$58*(0.5^2)+'LINEST VARS'!$K$58*(12.73^2)+'LINEST VARS'!$J$58*($AF$56*$Z72)+'LINEST VARS'!$I$58*($AF$56*4)+'LINEST VARS'!$H$58*($AF$56*0.5)+'LINEST VARS'!$G$58*($AF$56*12.73)+'LINEST VARS'!$F$58*($Z72*4)+'LINEST VARS'!$E$58*($Z72*0.5)+'LINEST VARS'!$D$58*($Z72*12.73)+'LINEST VARS'!$C$58*(4*0.5)+'LINEST VARS'!$B$58*(4*12.73)+'LINEST VARS'!$A$58*(0.5*12.73)</f>
        <v>0.94365000000000043</v>
      </c>
      <c r="AG72" s="51">
        <f>'LINEST VARS'!$U$58+'LINEST VARS'!$T$58*($AG$56)+'LINEST VARS'!$S$58*($Z72)+'LINEST VARS'!$R$58*(4)+'LINEST VARS'!$Q$58*(0.5)+'LINEST VARS'!$P$58*(12.73)+'LINEST VARS'!$O$58*($AG$56^2)+'LINEST VARS'!$N$58*($Z72^2)+'LINEST VARS'!$M$58*(4^2)+'LINEST VARS'!$L$58*(0.5^2)+'LINEST VARS'!$K$58*(12.73^2)+'LINEST VARS'!$J$58*($AG$56*$Z72)+'LINEST VARS'!$I$58*($AG$56*4)+'LINEST VARS'!$H$58*($AG$56*0.5)+'LINEST VARS'!$G$58*($AG$56*12.73)+'LINEST VARS'!$F$58*($Z72*4)+'LINEST VARS'!$E$58*($Z72*0.5)+'LINEST VARS'!$D$58*($Z72*12.73)+'LINEST VARS'!$C$58*(4*0.5)+'LINEST VARS'!$B$58*(4*12.73)+'LINEST VARS'!$A$58*(0.5*12.73)</f>
        <v>0.94365000000000043</v>
      </c>
      <c r="AH72" s="51">
        <f>'LINEST VARS'!$U$58+'LINEST VARS'!$T$58*($AH$56)+'LINEST VARS'!$S$58*($Z72)+'LINEST VARS'!$R$58*(4)+'LINEST VARS'!$Q$58*(0.5)+'LINEST VARS'!$P$58*(12.73)+'LINEST VARS'!$O$58*($AH$56^2)+'LINEST VARS'!$N$58*($Z72^2)+'LINEST VARS'!$M$58*(4^2)+'LINEST VARS'!$L$58*(0.5^2)+'LINEST VARS'!$K$58*(12.73^2)+'LINEST VARS'!$J$58*($AH$56*$Z72)+'LINEST VARS'!$I$58*($AH$56*4)+'LINEST VARS'!$H$58*($AH$56*0.5)+'LINEST VARS'!$G$58*($AH$56*12.73)+'LINEST VARS'!$F$58*($Z72*4)+'LINEST VARS'!$E$58*($Z72*0.5)+'LINEST VARS'!$D$58*($Z72*12.73)+'LINEST VARS'!$C$58*(4*0.5)+'LINEST VARS'!$B$58*(4*12.73)+'LINEST VARS'!$A$58*(0.5*12.73)</f>
        <v>0.94365000000000043</v>
      </c>
      <c r="AI72" s="51">
        <f>'LINEST VARS'!$U$58+'LINEST VARS'!$T$58*($AI$56)+'LINEST VARS'!$S$58*($Z72)+'LINEST VARS'!$R$58*(4)+'LINEST VARS'!$Q$58*(0.5)+'LINEST VARS'!$P$58*(12.73)+'LINEST VARS'!$O$58*($AI$56^2)+'LINEST VARS'!$N$58*($Z72^2)+'LINEST VARS'!$M$58*(4^2)+'LINEST VARS'!$L$58*(0.5^2)+'LINEST VARS'!$K$58*(12.73^2)+'LINEST VARS'!$J$58*($AI$56*$Z72)+'LINEST VARS'!$I$58*($AI$56*4)+'LINEST VARS'!$H$58*($AI$56*0.5)+'LINEST VARS'!$G$58*($AI$56*12.73)+'LINEST VARS'!$F$58*($Z72*4)+'LINEST VARS'!$E$58*($Z72*0.5)+'LINEST VARS'!$D$58*($Z72*12.73)+'LINEST VARS'!$C$58*(4*0.5)+'LINEST VARS'!$B$58*(4*12.73)+'LINEST VARS'!$A$58*(0.5*12.73)</f>
        <v>0.94365000000000032</v>
      </c>
      <c r="AJ72" s="51">
        <f>'LINEST VARS'!$U$58+'LINEST VARS'!$T$58*($AJ$56)+'LINEST VARS'!$S$58*($Z72)+'LINEST VARS'!$R$58*(4)+'LINEST VARS'!$Q$58*(0.5)+'LINEST VARS'!$P$58*(12.73)+'LINEST VARS'!$O$58*($AJ$56^2)+'LINEST VARS'!$N$58*($Z72^2)+'LINEST VARS'!$M$58*(4^2)+'LINEST VARS'!$L$58*(0.5^2)+'LINEST VARS'!$K$58*(12.73^2)+'LINEST VARS'!$J$58*($AJ$56*$Z72)+'LINEST VARS'!$I$58*($AJ$56*4)+'LINEST VARS'!$H$58*($AJ$56*0.5)+'LINEST VARS'!$G$58*($AJ$56*12.73)+'LINEST VARS'!$F$58*($Z72*4)+'LINEST VARS'!$E$58*($Z72*0.5)+'LINEST VARS'!$D$58*($Z72*12.73)+'LINEST VARS'!$C$58*(4*0.5)+'LINEST VARS'!$B$58*(4*12.73)+'LINEST VARS'!$A$58*(0.5*12.73)</f>
        <v>0.94365000000000032</v>
      </c>
      <c r="AK72" s="51">
        <f>'LINEST VARS'!$U$58+'LINEST VARS'!$T$58*($AK$56)+'LINEST VARS'!$S$58*($Z72)+'LINEST VARS'!$R$58*(4)+'LINEST VARS'!$Q$58*(0.5)+'LINEST VARS'!$P$58*(12.73)+'LINEST VARS'!$O$58*($AK$56^2)+'LINEST VARS'!$N$58*($Z72^2)+'LINEST VARS'!$M$58*(4^2)+'LINEST VARS'!$L$58*(0.5^2)+'LINEST VARS'!$K$58*(12.73^2)+'LINEST VARS'!$J$58*($AK$56*$Z72)+'LINEST VARS'!$I$58*($AK$56*4)+'LINEST VARS'!$H$58*($AK$56*0.5)+'LINEST VARS'!$G$58*($AK$56*12.73)+'LINEST VARS'!$F$58*($Z72*4)+'LINEST VARS'!$E$58*($Z72*0.5)+'LINEST VARS'!$D$58*($Z72*12.73)+'LINEST VARS'!$C$58*(4*0.5)+'LINEST VARS'!$B$58*(4*12.73)+'LINEST VARS'!$A$58*(0.5*12.73)</f>
        <v>0.94365000000000032</v>
      </c>
      <c r="AL72" s="51">
        <f>'LINEST VARS'!$U$58+'LINEST VARS'!$T$58*($AL$56)+'LINEST VARS'!$S$58*($Z72)+'LINEST VARS'!$R$58*(4)+'LINEST VARS'!$Q$58*(0.5)+'LINEST VARS'!$P$58*(12.73)+'LINEST VARS'!$O$58*($AL$56^2)+'LINEST VARS'!$N$58*($Z72^2)+'LINEST VARS'!$M$58*(4^2)+'LINEST VARS'!$L$58*(0.5^2)+'LINEST VARS'!$K$58*(12.73^2)+'LINEST VARS'!$J$58*($AL$56*$Z72)+'LINEST VARS'!$I$58*($AL$56*4)+'LINEST VARS'!$H$58*($AL$56*0.5)+'LINEST VARS'!$G$58*($AL$56*12.73)+'LINEST VARS'!$F$58*($Z72*4)+'LINEST VARS'!$E$58*($Z72*0.5)+'LINEST VARS'!$D$58*($Z72*12.73)+'LINEST VARS'!$C$58*(4*0.5)+'LINEST VARS'!$B$58*(4*12.73)+'LINEST VARS'!$A$58*(0.5*12.73)</f>
        <v>0.94365000000000032</v>
      </c>
      <c r="AM72" s="51">
        <f>'LINEST VARS'!$U$58+'LINEST VARS'!$T$58*($AM$56)+'LINEST VARS'!$S$58*($Z72)+'LINEST VARS'!$R$58*(4)+'LINEST VARS'!$Q$58*(0.5)+'LINEST VARS'!$P$58*(12.73)+'LINEST VARS'!$O$58*($AM$56^2)+'LINEST VARS'!$N$58*($Z72^2)+'LINEST VARS'!$M$58*(4^2)+'LINEST VARS'!$L$58*(0.5^2)+'LINEST VARS'!$K$58*(12.73^2)+'LINEST VARS'!$J$58*($AM$56*$Z72)+'LINEST VARS'!$I$58*($AM$56*4)+'LINEST VARS'!$H$58*($AM$56*0.5)+'LINEST VARS'!$G$58*($AM$56*12.73)+'LINEST VARS'!$F$58*($Z72*4)+'LINEST VARS'!$E$58*($Z72*0.5)+'LINEST VARS'!$D$58*($Z72*12.73)+'LINEST VARS'!$C$58*(4*0.5)+'LINEST VARS'!$B$58*(4*12.73)+'LINEST VARS'!$A$58*(0.5*12.73)</f>
        <v>0.94365000000000021</v>
      </c>
      <c r="AN72" s="51">
        <f>'LINEST VARS'!$U$58+'LINEST VARS'!$T$58*($AN$56)+'LINEST VARS'!$S$58*($Z72)+'LINEST VARS'!$R$58*(4)+'LINEST VARS'!$Q$58*(0.5)+'LINEST VARS'!$P$58*(12.73)+'LINEST VARS'!$O$58*($AN$56^2)+'LINEST VARS'!$N$58*($Z72^2)+'LINEST VARS'!$M$58*(4^2)+'LINEST VARS'!$L$58*(0.5^2)+'LINEST VARS'!$K$58*(12.73^2)+'LINEST VARS'!$J$58*($AN$56*$Z72)+'LINEST VARS'!$I$58*($AN$56*4)+'LINEST VARS'!$H$58*($AN$56*0.5)+'LINEST VARS'!$G$58*($AN$56*12.73)+'LINEST VARS'!$F$58*($Z72*4)+'LINEST VARS'!$E$58*($Z72*0.5)+'LINEST VARS'!$D$58*($Z72*12.73)+'LINEST VARS'!$C$58*(4*0.5)+'LINEST VARS'!$B$58*(4*12.73)+'LINEST VARS'!$A$58*(0.5*12.73)</f>
        <v>0.94365000000000021</v>
      </c>
      <c r="AO72" s="51">
        <f>'LINEST VARS'!$U$58+'LINEST VARS'!$T$58*($AO$56)+'LINEST VARS'!$S$58*($Z72)+'LINEST VARS'!$R$58*(4)+'LINEST VARS'!$Q$58*(0.5)+'LINEST VARS'!$P$58*(12.73)+'LINEST VARS'!$O$58*($AO$56^2)+'LINEST VARS'!$N$58*($Z72^2)+'LINEST VARS'!$M$58*(4^2)+'LINEST VARS'!$L$58*(0.5^2)+'LINEST VARS'!$K$58*(12.73^2)+'LINEST VARS'!$J$58*($AO$56*$Z72)+'LINEST VARS'!$I$58*($AO$56*4)+'LINEST VARS'!$H$58*($AO$56*0.5)+'LINEST VARS'!$G$58*($AO$56*12.73)+'LINEST VARS'!$F$58*($Z72*4)+'LINEST VARS'!$E$58*($Z72*0.5)+'LINEST VARS'!$D$58*($Z72*12.73)+'LINEST VARS'!$C$58*(4*0.5)+'LINEST VARS'!$B$58*(4*12.73)+'LINEST VARS'!$A$58*(0.5*12.73)</f>
        <v>0.94365000000000032</v>
      </c>
      <c r="AP72" s="51">
        <f>'LINEST VARS'!$U$58+'LINEST VARS'!$T$58*($AP$56)+'LINEST VARS'!$S$58*($Z72)+'LINEST VARS'!$R$58*(4)+'LINEST VARS'!$Q$58*(0.5)+'LINEST VARS'!$P$58*(12.73)+'LINEST VARS'!$O$58*($AP$56^2)+'LINEST VARS'!$N$58*($Z72^2)+'LINEST VARS'!$M$58*(4^2)+'LINEST VARS'!$L$58*(0.5^2)+'LINEST VARS'!$K$58*(12.73^2)+'LINEST VARS'!$J$58*($AP$56*$Z72)+'LINEST VARS'!$I$58*($AP$56*4)+'LINEST VARS'!$H$58*($AP$56*0.5)+'LINEST VARS'!$G$58*($AP$56*12.73)+'LINEST VARS'!$F$58*($Z72*4)+'LINEST VARS'!$E$58*($Z72*0.5)+'LINEST VARS'!$D$58*($Z72*12.73)+'LINEST VARS'!$C$58*(4*0.5)+'LINEST VARS'!$B$58*(4*12.73)+'LINEST VARS'!$A$58*(0.5*12.73)</f>
        <v>0.94365000000000032</v>
      </c>
      <c r="AQ72" s="51">
        <f>'LINEST VARS'!$U$58+'LINEST VARS'!$T$58*($AQ$56)+'LINEST VARS'!$S$58*($Z72)+'LINEST VARS'!$R$58*(4)+'LINEST VARS'!$Q$58*(0.5)+'LINEST VARS'!$P$58*(12.73)+'LINEST VARS'!$O$58*($AQ$56^2)+'LINEST VARS'!$N$58*($Z72^2)+'LINEST VARS'!$M$58*(4^2)+'LINEST VARS'!$L$58*(0.5^2)+'LINEST VARS'!$K$58*(12.73^2)+'LINEST VARS'!$J$58*($AQ$56*$Z72)+'LINEST VARS'!$I$58*($AQ$56*4)+'LINEST VARS'!$H$58*($AQ$56*0.5)+'LINEST VARS'!$G$58*($AQ$56*12.73)+'LINEST VARS'!$F$58*($Z72*4)+'LINEST VARS'!$E$58*($Z72*0.5)+'LINEST VARS'!$D$58*($Z72*12.73)+'LINEST VARS'!$C$58*(4*0.5)+'LINEST VARS'!$B$58*(4*12.73)+'LINEST VARS'!$A$58*(0.5*12.73)</f>
        <v>0.94365000000000032</v>
      </c>
      <c r="AR72" s="51">
        <f>'LINEST VARS'!$U$58+'LINEST VARS'!$T$58*($AR$56)+'LINEST VARS'!$S$58*($Z72)+'LINEST VARS'!$R$58*(4)+'LINEST VARS'!$Q$58*(0.5)+'LINEST VARS'!$P$58*(12.73)+'LINEST VARS'!$O$58*($AR$56^2)+'LINEST VARS'!$N$58*($Z72^2)+'LINEST VARS'!$M$58*(4^2)+'LINEST VARS'!$L$58*(0.5^2)+'LINEST VARS'!$K$58*(12.73^2)+'LINEST VARS'!$J$58*($AR$56*$Z72)+'LINEST VARS'!$I$58*($AR$56*4)+'LINEST VARS'!$H$58*($AR$56*0.5)+'LINEST VARS'!$G$58*($AR$56*12.73)+'LINEST VARS'!$F$58*($Z72*4)+'LINEST VARS'!$E$58*($Z72*0.5)+'LINEST VARS'!$D$58*($Z72*12.73)+'LINEST VARS'!$C$58*(4*0.5)+'LINEST VARS'!$B$58*(4*12.73)+'LINEST VARS'!$A$58*(0.5*12.73)</f>
        <v>0.94365000000000032</v>
      </c>
      <c r="AS72" s="51">
        <f>'LINEST VARS'!$U$58+'LINEST VARS'!$T$58*($AS$56)+'LINEST VARS'!$S$58*($Z72)+'LINEST VARS'!$R$58*(4)+'LINEST VARS'!$Q$58*(0.5)+'LINEST VARS'!$P$58*(12.73)+'LINEST VARS'!$O$58*($AS$56^2)+'LINEST VARS'!$N$58*($Z72^2)+'LINEST VARS'!$M$58*(4^2)+'LINEST VARS'!$L$58*(0.5^2)+'LINEST VARS'!$K$58*(12.73^2)+'LINEST VARS'!$J$58*($AS$56*$Z72)+'LINEST VARS'!$I$58*($AS$56*4)+'LINEST VARS'!$H$58*($AS$56*0.5)+'LINEST VARS'!$G$58*($AS$56*12.73)+'LINEST VARS'!$F$58*($Z72*4)+'LINEST VARS'!$E$58*($Z72*0.5)+'LINEST VARS'!$D$58*($Z72*12.73)+'LINEST VARS'!$C$58*(4*0.5)+'LINEST VARS'!$B$58*(4*12.73)+'LINEST VARS'!$A$58*(0.5*12.73)</f>
        <v>0.94365000000000032</v>
      </c>
      <c r="AT72" s="51">
        <f>'LINEST VARS'!$U$58+'LINEST VARS'!$T$58*($AT$56)+'LINEST VARS'!$S$58*($Z72)+'LINEST VARS'!$R$58*(4)+'LINEST VARS'!$Q$58*(0.5)+'LINEST VARS'!$P$58*(12.73)+'LINEST VARS'!$O$58*($AT$56^2)+'LINEST VARS'!$N$58*($Z72^2)+'LINEST VARS'!$M$58*(4^2)+'LINEST VARS'!$L$58*(0.5^2)+'LINEST VARS'!$K$58*(12.73^2)+'LINEST VARS'!$J$58*($AT$56*$Z72)+'LINEST VARS'!$I$58*($AT$56*4)+'LINEST VARS'!$H$58*($AT$56*0.5)+'LINEST VARS'!$G$58*($AT$56*12.73)+'LINEST VARS'!$F$58*($Z72*4)+'LINEST VARS'!$E$58*($Z72*0.5)+'LINEST VARS'!$D$58*($Z72*12.73)+'LINEST VARS'!$C$58*(4*0.5)+'LINEST VARS'!$B$58*(4*12.73)+'LINEST VARS'!$A$58*(0.5*12.73)</f>
        <v>0.94365000000000032</v>
      </c>
      <c r="AU72" s="52">
        <f>'LINEST VARS'!$U$58+'LINEST VARS'!$T$58*($AU$56)+'LINEST VARS'!$S$58*($Z72)+'LINEST VARS'!$R$58*(4)+'LINEST VARS'!$Q$58*(0.5)+'LINEST VARS'!$P$58*(12.73)+'LINEST VARS'!$O$58*($AU$56^2)+'LINEST VARS'!$N$58*($Z72^2)+'LINEST VARS'!$M$58*(4^2)+'LINEST VARS'!$L$58*(0.5^2)+'LINEST VARS'!$K$58*(12.73^2)+'LINEST VARS'!$J$58*($AU$56*$Z72)+'LINEST VARS'!$I$58*($AU$56*4)+'LINEST VARS'!$H$58*($AU$56*0.5)+'LINEST VARS'!$G$58*($AU$56*12.73)+'LINEST VARS'!$F$58*($Z72*4)+'LINEST VARS'!$E$58*($Z72*0.5)+'LINEST VARS'!$D$58*($Z72*12.73)+'LINEST VARS'!$C$58*(4*0.5)+'LINEST VARS'!$B$58*(4*12.73)+'LINEST VARS'!$A$58*(0.5*12.73)</f>
        <v>0.94365000000000021</v>
      </c>
      <c r="AZ72" s="45">
        <v>0.75</v>
      </c>
      <c r="BA72" s="51">
        <f>'LINEST VARS'!$U$56+'LINEST VARS'!$T$56*(8)+'LINEST VARS'!$S$56*(8)+'LINEST VARS'!$R$56*($BA$56)+'LINEST VARS'!$Q$56*($AZ72)+'LINEST VARS'!$P$56*(12.73)+'LINEST VARS'!$O$56*(8^2)+'LINEST VARS'!$N$56*(8^2)+'LINEST VARS'!$M$56*($BA$56^2)+'LINEST VARS'!$L$56*($AZ72^2)+'LINEST VARS'!$K$56*(12.73^2)+'LINEST VARS'!$J$56*(8*8)+'LINEST VARS'!$I$56*(8*$BA$56)+'LINEST VARS'!$H$56*(8*$AZ72)+'LINEST VARS'!$G$56*(8*12.73)+'LINEST VARS'!$F$56*(8*$BA$56)+'LINEST VARS'!$E$56*(8*$AZ72)+'LINEST VARS'!$D$56*(8*12.73)+'LINEST VARS'!$C$56*($BA$56*$AZ72)+'LINEST VARS'!$B$56*($BA$56*12.73)+'LINEST VARS'!$A$56*($AZ72*12.73)</f>
        <v>2.8000000000000012</v>
      </c>
      <c r="BB72" s="51">
        <f>'LINEST VARS'!$U$56+'LINEST VARS'!$T$56*(8)+'LINEST VARS'!$S$56*(8)+'LINEST VARS'!$R$56*($BB$56)+'LINEST VARS'!$Q$56*($AZ72)+'LINEST VARS'!$P$56*(12.73)+'LINEST VARS'!$O$56*(8^2)+'LINEST VARS'!$N$56*(8^2)+'LINEST VARS'!$M$56*($BB$56^2)+'LINEST VARS'!$L$56*($AZ72^2)+'LINEST VARS'!$K$56*(12.73^2)+'LINEST VARS'!$J$56*(8*8)+'LINEST VARS'!$I$56*(8*$BB$56)+'LINEST VARS'!$H$56*(8*$AZ72)+'LINEST VARS'!$G$56*(8*12.73)+'LINEST VARS'!$F$56*(8*$BB$56)+'LINEST VARS'!$E$56*(8*$AZ72)+'LINEST VARS'!$D$56*(8*12.73)+'LINEST VARS'!$C$56*($BB$56*$AZ72)+'LINEST VARS'!$B$56*($BB$56*12.73)+'LINEST VARS'!$A$56*($AZ72*12.73)</f>
        <v>2.8184000000000013</v>
      </c>
      <c r="BC72" s="51">
        <f>'LINEST VARS'!$U$56+'LINEST VARS'!$T$56*(8)+'LINEST VARS'!$S$56*(8)+'LINEST VARS'!$R$56*($BC$56)+'LINEST VARS'!$Q$56*($AZ72)+'LINEST VARS'!$P$56*(12.73)+'LINEST VARS'!$O$56*(8^2)+'LINEST VARS'!$N$56*(8^2)+'LINEST VARS'!$M$56*($BC$56^2)+'LINEST VARS'!$L$56*($AZ72^2)+'LINEST VARS'!$K$56*(12.73^2)+'LINEST VARS'!$J$56*(8*8)+'LINEST VARS'!$I$56*(8*$BC$56)+'LINEST VARS'!$H$56*(8*$AZ72)+'LINEST VARS'!$G$56*(8*12.73)+'LINEST VARS'!$F$56*(8*$BC$56)+'LINEST VARS'!$E$56*(8*$AZ72)+'LINEST VARS'!$D$56*(8*12.73)+'LINEST VARS'!$C$56*($BC$56*$AZ72)+'LINEST VARS'!$B$56*($BC$56*12.73)+'LINEST VARS'!$A$56*($AZ72*12.73)</f>
        <v>2.833600000000001</v>
      </c>
      <c r="BD72" s="51">
        <f>'LINEST VARS'!$U$56+'LINEST VARS'!$T$56*(8)+'LINEST VARS'!$S$56*(8)+'LINEST VARS'!$R$56*($BD$56)+'LINEST VARS'!$Q$56*($AZ72)+'LINEST VARS'!$P$56*(12.73)+'LINEST VARS'!$O$56*(8^2)+'LINEST VARS'!$N$56*(8^2)+'LINEST VARS'!$M$56*($BD$56^2)+'LINEST VARS'!$L$56*($AZ72^2)+'LINEST VARS'!$K$56*(12.73^2)+'LINEST VARS'!$J$56*(8*8)+'LINEST VARS'!$I$56*(8*$BD$56)+'LINEST VARS'!$H$56*(8*$AZ72)+'LINEST VARS'!$G$56*(8*12.73)+'LINEST VARS'!$F$56*(8*$BD$56)+'LINEST VARS'!$E$56*(8*$AZ72)+'LINEST VARS'!$D$56*(8*12.73)+'LINEST VARS'!$C$56*($BD$56*$AZ72)+'LINEST VARS'!$B$56*($BD$56*12.73)+'LINEST VARS'!$A$56*($AZ72*12.73)</f>
        <v>2.845600000000001</v>
      </c>
      <c r="BE72" s="51">
        <f>'LINEST VARS'!$U$56+'LINEST VARS'!$T$56*(8)+'LINEST VARS'!$S$56*(8)+'LINEST VARS'!$R$56*($BE$56)+'LINEST VARS'!$Q$56*($AZ72)+'LINEST VARS'!$P$56*(12.73)+'LINEST VARS'!$O$56*(8^2)+'LINEST VARS'!$N$56*(8^2)+'LINEST VARS'!$M$56*($BE$56^2)+'LINEST VARS'!$L$56*($AZ72^2)+'LINEST VARS'!$K$56*(12.73^2)+'LINEST VARS'!$J$56*(8*8)+'LINEST VARS'!$I$56*(8*$BE$56)+'LINEST VARS'!$H$56*(8*$AZ72)+'LINEST VARS'!$G$56*(8*12.73)+'LINEST VARS'!$F$56*(8*$BE$56)+'LINEST VARS'!$E$56*(8*$AZ72)+'LINEST VARS'!$D$56*(8*12.73)+'LINEST VARS'!$C$56*($BE$56*$AZ72)+'LINEST VARS'!$B$56*($BE$56*12.73)+'LINEST VARS'!$A$56*($AZ72*12.73)</f>
        <v>2.8544000000000014</v>
      </c>
      <c r="BF72" s="51">
        <f>'LINEST VARS'!$U$56+'LINEST VARS'!$T$56*(8)+'LINEST VARS'!$S$56*(8)+'LINEST VARS'!$R$56*($BF$56)+'LINEST VARS'!$Q$56*($AZ72)+'LINEST VARS'!$P$56*(12.73)+'LINEST VARS'!$O$56*(8^2)+'LINEST VARS'!$N$56*(8^2)+'LINEST VARS'!$M$56*($BF$56^2)+'LINEST VARS'!$L$56*($AZ72^2)+'LINEST VARS'!$K$56*(12.73^2)+'LINEST VARS'!$J$56*(8*8)+'LINEST VARS'!$I$56*(8*$BF$56)+'LINEST VARS'!$H$56*(8*$AZ72)+'LINEST VARS'!$G$56*(8*12.73)+'LINEST VARS'!$F$56*(8*$BF$56)+'LINEST VARS'!$E$56*(8*$AZ72)+'LINEST VARS'!$D$56*(8*12.73)+'LINEST VARS'!$C$56*($BF$56*$AZ72)+'LINEST VARS'!$B$56*($BF$56*12.73)+'LINEST VARS'!$A$56*($AZ72*12.73)</f>
        <v>2.8600000000000012</v>
      </c>
      <c r="BG72" s="51">
        <f>'LINEST VARS'!$U$56+'LINEST VARS'!$T$56*(8)+'LINEST VARS'!$S$56*(8)+'LINEST VARS'!$R$56*($BG$56)+'LINEST VARS'!$Q$56*($AZ72)+'LINEST VARS'!$P$56*(12.73)+'LINEST VARS'!$O$56*(8^2)+'LINEST VARS'!$N$56*(8^2)+'LINEST VARS'!$M$56*($BG$56^2)+'LINEST VARS'!$L$56*($AZ72^2)+'LINEST VARS'!$K$56*(12.73^2)+'LINEST VARS'!$J$56*(8*8)+'LINEST VARS'!$I$56*(8*$BG$56)+'LINEST VARS'!$H$56*(8*$AZ72)+'LINEST VARS'!$G$56*(8*12.73)+'LINEST VARS'!$F$56*(8*$BG$56)+'LINEST VARS'!$E$56*(8*$AZ72)+'LINEST VARS'!$D$56*(8*12.73)+'LINEST VARS'!$C$56*($BG$56*$AZ72)+'LINEST VARS'!$B$56*($BG$56*12.73)+'LINEST VARS'!$A$56*($AZ72*12.73)</f>
        <v>2.8624000000000014</v>
      </c>
      <c r="BH72" s="51">
        <f>'LINEST VARS'!$U$56+'LINEST VARS'!$T$56*(8)+'LINEST VARS'!$S$56*(8)+'LINEST VARS'!$R$56*($BH$56)+'LINEST VARS'!$Q$56*($AZ72)+'LINEST VARS'!$P$56*(12.73)+'LINEST VARS'!$O$56*(8^2)+'LINEST VARS'!$N$56*(8^2)+'LINEST VARS'!$M$56*($BH$56^2)+'LINEST VARS'!$L$56*($AZ72^2)+'LINEST VARS'!$K$56*(12.73^2)+'LINEST VARS'!$J$56*(8*8)+'LINEST VARS'!$I$56*(8*$BH$56)+'LINEST VARS'!$H$56*(8*$AZ72)+'LINEST VARS'!$G$56*(8*12.73)+'LINEST VARS'!$F$56*(8*$BH$56)+'LINEST VARS'!$E$56*(8*$AZ72)+'LINEST VARS'!$D$56*(8*12.73)+'LINEST VARS'!$C$56*($BH$56*$AZ72)+'LINEST VARS'!$B$56*($BH$56*12.73)+'LINEST VARS'!$A$56*($AZ72*12.73)</f>
        <v>2.861600000000001</v>
      </c>
      <c r="BI72" s="51">
        <f>'LINEST VARS'!$U$56+'LINEST VARS'!$T$56*(8)+'LINEST VARS'!$S$56*(8)+'LINEST VARS'!$R$56*($BI$56)+'LINEST VARS'!$Q$56*($AZ72)+'LINEST VARS'!$P$56*(12.73)+'LINEST VARS'!$O$56*(8^2)+'LINEST VARS'!$N$56*(8^2)+'LINEST VARS'!$M$56*($BI$56^2)+'LINEST VARS'!$L$56*($AZ72^2)+'LINEST VARS'!$K$56*(12.73^2)+'LINEST VARS'!$J$56*(8*8)+'LINEST VARS'!$I$56*(8*$BI$56)+'LINEST VARS'!$H$56*(8*$AZ72)+'LINEST VARS'!$G$56*(8*12.73)+'LINEST VARS'!$F$56*(8*$BI$56)+'LINEST VARS'!$E$56*(8*$AZ72)+'LINEST VARS'!$D$56*(8*12.73)+'LINEST VARS'!$C$56*($BI$56*$AZ72)+'LINEST VARS'!$B$56*($BI$56*12.73)+'LINEST VARS'!$A$56*($AZ72*12.73)</f>
        <v>2.857600000000001</v>
      </c>
      <c r="BJ72" s="51">
        <f>'LINEST VARS'!$U$56+'LINEST VARS'!$T$56*(8)+'LINEST VARS'!$S$56*(8)+'LINEST VARS'!$R$56*($BJ$56)+'LINEST VARS'!$Q$56*($AZ72)+'LINEST VARS'!$P$56*(12.73)+'LINEST VARS'!$O$56*(8^2)+'LINEST VARS'!$N$56*(8^2)+'LINEST VARS'!$M$56*($BJ$56^2)+'LINEST VARS'!$L$56*($AZ72^2)+'LINEST VARS'!$K$56*(12.73^2)+'LINEST VARS'!$J$56*(8*8)+'LINEST VARS'!$I$56*(8*$BJ$56)+'LINEST VARS'!$H$56*(8*$AZ72)+'LINEST VARS'!$G$56*(8*12.73)+'LINEST VARS'!$F$56*(8*$BJ$56)+'LINEST VARS'!$E$56*(8*$AZ72)+'LINEST VARS'!$D$56*(8*12.73)+'LINEST VARS'!$C$56*($BJ$56*$AZ72)+'LINEST VARS'!$B$56*($BJ$56*12.73)+'LINEST VARS'!$A$56*($AZ72*12.73)</f>
        <v>2.8504000000000014</v>
      </c>
      <c r="BK72" s="51">
        <f>'LINEST VARS'!$U$56+'LINEST VARS'!$T$56*(8)+'LINEST VARS'!$S$56*(8)+'LINEST VARS'!$R$56*($BK$56)+'LINEST VARS'!$Q$56*($AZ72)+'LINEST VARS'!$P$56*(12.73)+'LINEST VARS'!$O$56*(8^2)+'LINEST VARS'!$N$56*(8^2)+'LINEST VARS'!$M$56*($BK$56^2)+'LINEST VARS'!$L$56*($AZ72^2)+'LINEST VARS'!$K$56*(12.73^2)+'LINEST VARS'!$J$56*(8*8)+'LINEST VARS'!$I$56*(8*$BK$56)+'LINEST VARS'!$H$56*(8*$AZ72)+'LINEST VARS'!$G$56*(8*12.73)+'LINEST VARS'!$F$56*(8*$BK$56)+'LINEST VARS'!$E$56*(8*$AZ72)+'LINEST VARS'!$D$56*(8*12.73)+'LINEST VARS'!$C$56*($BK$56*$AZ72)+'LINEST VARS'!$B$56*($BK$56*12.73)+'LINEST VARS'!$A$56*($AZ72*12.73)</f>
        <v>2.8400000000000012</v>
      </c>
      <c r="BL72" s="51">
        <f>'LINEST VARS'!$U$56+'LINEST VARS'!$T$56*(8)+'LINEST VARS'!$S$56*(8)+'LINEST VARS'!$R$56*($BL$56)+'LINEST VARS'!$Q$56*($AZ72)+'LINEST VARS'!$P$56*(12.73)+'LINEST VARS'!$O$56*(8^2)+'LINEST VARS'!$N$56*(8^2)+'LINEST VARS'!$M$56*($BL$56^2)+'LINEST VARS'!$L$56*($AZ72^2)+'LINEST VARS'!$K$56*(12.73^2)+'LINEST VARS'!$J$56*(8*8)+'LINEST VARS'!$I$56*(8*$BL$56)+'LINEST VARS'!$H$56*(8*$AZ72)+'LINEST VARS'!$G$56*(8*12.73)+'LINEST VARS'!$F$56*(8*$BL$56)+'LINEST VARS'!$E$56*(8*$AZ72)+'LINEST VARS'!$D$56*(8*12.73)+'LINEST VARS'!$C$56*($BL$56*$AZ72)+'LINEST VARS'!$B$56*($BL$56*12.73)+'LINEST VARS'!$A$56*($AZ72*12.73)</f>
        <v>2.8264000000000014</v>
      </c>
      <c r="BM72" s="51">
        <f>'LINEST VARS'!$U$56+'LINEST VARS'!$T$56*(8)+'LINEST VARS'!$S$56*(8)+'LINEST VARS'!$R$56*($BM$56)+'LINEST VARS'!$Q$56*($AZ72)+'LINEST VARS'!$P$56*(12.73)+'LINEST VARS'!$O$56*(8^2)+'LINEST VARS'!$N$56*(8^2)+'LINEST VARS'!$M$56*($BM$56^2)+'LINEST VARS'!$L$56*($AZ72^2)+'LINEST VARS'!$K$56*(12.73^2)+'LINEST VARS'!$J$56*(8*8)+'LINEST VARS'!$I$56*(8*$BM$56)+'LINEST VARS'!$H$56*(8*$AZ72)+'LINEST VARS'!$G$56*(8*12.73)+'LINEST VARS'!$F$56*(8*$BM$56)+'LINEST VARS'!$E$56*(8*$AZ72)+'LINEST VARS'!$D$56*(8*12.73)+'LINEST VARS'!$C$56*($BM$56*$AZ72)+'LINEST VARS'!$B$56*($BM$56*12.73)+'LINEST VARS'!$A$56*($AZ72*12.73)</f>
        <v>2.809600000000001</v>
      </c>
      <c r="BN72" s="51">
        <f>'LINEST VARS'!$U$56+'LINEST VARS'!$T$56*(8)+'LINEST VARS'!$S$56*(8)+'LINEST VARS'!$R$56*($BN$56)+'LINEST VARS'!$Q$56*($AZ72)+'LINEST VARS'!$P$56*(12.73)+'LINEST VARS'!$O$56*(8^2)+'LINEST VARS'!$N$56*(8^2)+'LINEST VARS'!$M$56*($BN$56^2)+'LINEST VARS'!$L$56*($AZ72^2)+'LINEST VARS'!$K$56*(12.73^2)+'LINEST VARS'!$J$56*(8*8)+'LINEST VARS'!$I$56*(8*$BN$56)+'LINEST VARS'!$H$56*(8*$AZ72)+'LINEST VARS'!$G$56*(8*12.73)+'LINEST VARS'!$F$56*(8*$BN$56)+'LINEST VARS'!$E$56*(8*$AZ72)+'LINEST VARS'!$D$56*(8*12.73)+'LINEST VARS'!$C$56*($BN$56*$AZ72)+'LINEST VARS'!$B$56*($BN$56*12.73)+'LINEST VARS'!$A$56*($AZ72*12.73)</f>
        <v>2.789600000000001</v>
      </c>
      <c r="BO72" s="51">
        <f>'LINEST VARS'!$U$56+'LINEST VARS'!$T$56*(8)+'LINEST VARS'!$S$56*(8)+'LINEST VARS'!$R$56*($BO$56)+'LINEST VARS'!$Q$56*($AZ72)+'LINEST VARS'!$P$56*(12.73)+'LINEST VARS'!$O$56*(8^2)+'LINEST VARS'!$N$56*(8^2)+'LINEST VARS'!$M$56*($BO$56^2)+'LINEST VARS'!$L$56*($AZ72^2)+'LINEST VARS'!$K$56*(12.73^2)+'LINEST VARS'!$J$56*(8*8)+'LINEST VARS'!$I$56*(8*$BO$56)+'LINEST VARS'!$H$56*(8*$AZ72)+'LINEST VARS'!$G$56*(8*12.73)+'LINEST VARS'!$F$56*(8*$BO$56)+'LINEST VARS'!$E$56*(8*$AZ72)+'LINEST VARS'!$D$56*(8*12.73)+'LINEST VARS'!$C$56*($BO$56*$AZ72)+'LINEST VARS'!$B$56*($BO$56*12.73)+'LINEST VARS'!$A$56*($AZ72*12.73)</f>
        <v>2.7664000000000013</v>
      </c>
      <c r="BP72" s="51">
        <f>'LINEST VARS'!$U$56+'LINEST VARS'!$T$56*(8)+'LINEST VARS'!$S$56*(8)+'LINEST VARS'!$R$56*($BP$56)+'LINEST VARS'!$Q$56*($AZ72)+'LINEST VARS'!$P$56*(12.73)+'LINEST VARS'!$O$56*(8^2)+'LINEST VARS'!$N$56*(8^2)+'LINEST VARS'!$M$56*($BP$56^2)+'LINEST VARS'!$L$56*($AZ72^2)+'LINEST VARS'!$K$56*(12.73^2)+'LINEST VARS'!$J$56*(8*8)+'LINEST VARS'!$I$56*(8*$BP$56)+'LINEST VARS'!$H$56*(8*$AZ72)+'LINEST VARS'!$G$56*(8*12.73)+'LINEST VARS'!$F$56*(8*$BP$56)+'LINEST VARS'!$E$56*(8*$AZ72)+'LINEST VARS'!$D$56*(8*12.73)+'LINEST VARS'!$C$56*($BP$56*$AZ72)+'LINEST VARS'!$B$56*($BP$56*12.73)+'LINEST VARS'!$A$56*($AZ72*12.73)</f>
        <v>2.7400000000000011</v>
      </c>
      <c r="BQ72" s="51">
        <f>'LINEST VARS'!$U$56+'LINEST VARS'!$T$56*(8)+'LINEST VARS'!$S$56*(8)+'LINEST VARS'!$R$56*($BQ$56)+'LINEST VARS'!$Q$56*($AZ72)+'LINEST VARS'!$P$56*(12.73)+'LINEST VARS'!$O$56*(8^2)+'LINEST VARS'!$N$56*(8^2)+'LINEST VARS'!$M$56*($BQ$56^2)+'LINEST VARS'!$L$56*($AZ72^2)+'LINEST VARS'!$K$56*(12.73^2)+'LINEST VARS'!$J$56*(8*8)+'LINEST VARS'!$I$56*(8*$BQ$56)+'LINEST VARS'!$H$56*(8*$AZ72)+'LINEST VARS'!$G$56*(8*12.73)+'LINEST VARS'!$F$56*(8*$BQ$56)+'LINEST VARS'!$E$56*(8*$AZ72)+'LINEST VARS'!$D$56*(8*12.73)+'LINEST VARS'!$C$56*($BQ$56*$AZ72)+'LINEST VARS'!$B$56*($BQ$56*12.73)+'LINEST VARS'!$A$56*($AZ72*12.73)</f>
        <v>2.7104000000000008</v>
      </c>
      <c r="BR72" s="51">
        <f>'LINEST VARS'!$U$56+'LINEST VARS'!$T$56*(8)+'LINEST VARS'!$S$56*(8)+'LINEST VARS'!$R$56*($BR$56)+'LINEST VARS'!$Q$56*($AZ72)+'LINEST VARS'!$P$56*(12.73)+'LINEST VARS'!$O$56*(8^2)+'LINEST VARS'!$N$56*(8^2)+'LINEST VARS'!$M$56*($BR$56^2)+'LINEST VARS'!$L$56*($AZ72^2)+'LINEST VARS'!$K$56*(12.73^2)+'LINEST VARS'!$J$56*(8*8)+'LINEST VARS'!$I$56*(8*$BR$56)+'LINEST VARS'!$H$56*(8*$AZ72)+'LINEST VARS'!$G$56*(8*12.73)+'LINEST VARS'!$F$56*(8*$BR$56)+'LINEST VARS'!$E$56*(8*$AZ72)+'LINEST VARS'!$D$56*(8*12.73)+'LINEST VARS'!$C$56*($BR$56*$AZ72)+'LINEST VARS'!$B$56*($BR$56*12.73)+'LINEST VARS'!$A$56*($AZ72*12.73)</f>
        <v>2.6776000000000013</v>
      </c>
      <c r="BS72" s="51">
        <f>'LINEST VARS'!$U$56+'LINEST VARS'!$T$56*(8)+'LINEST VARS'!$S$56*(8)+'LINEST VARS'!$R$56*($BS$56)+'LINEST VARS'!$Q$56*($AZ72)+'LINEST VARS'!$P$56*(12.73)+'LINEST VARS'!$O$56*(8^2)+'LINEST VARS'!$N$56*(8^2)+'LINEST VARS'!$M$56*($BS$56^2)+'LINEST VARS'!$L$56*($AZ72^2)+'LINEST VARS'!$K$56*(12.73^2)+'LINEST VARS'!$J$56*(8*8)+'LINEST VARS'!$I$56*(8*$BS$56)+'LINEST VARS'!$H$56*(8*$AZ72)+'LINEST VARS'!$G$56*(8*12.73)+'LINEST VARS'!$F$56*(8*$BS$56)+'LINEST VARS'!$E$56*(8*$AZ72)+'LINEST VARS'!$D$56*(8*12.73)+'LINEST VARS'!$C$56*($BS$56*$AZ72)+'LINEST VARS'!$B$56*($BS$56*12.73)+'LINEST VARS'!$A$56*($AZ72*12.73)</f>
        <v>2.6416000000000008</v>
      </c>
      <c r="BT72" s="51">
        <f>'LINEST VARS'!$U$56+'LINEST VARS'!$T$56*(8)+'LINEST VARS'!$S$56*(8)+'LINEST VARS'!$R$56*($BT$56)+'LINEST VARS'!$Q$56*($AZ72)+'LINEST VARS'!$P$56*(12.73)+'LINEST VARS'!$O$56*(8^2)+'LINEST VARS'!$N$56*(8^2)+'LINEST VARS'!$M$56*($BT$56^2)+'LINEST VARS'!$L$56*($AZ72^2)+'LINEST VARS'!$K$56*(12.73^2)+'LINEST VARS'!$J$56*(8*8)+'LINEST VARS'!$I$56*(8*$BT$56)+'LINEST VARS'!$H$56*(8*$AZ72)+'LINEST VARS'!$G$56*(8*12.73)+'LINEST VARS'!$F$56*(8*$BT$56)+'LINEST VARS'!$E$56*(8*$AZ72)+'LINEST VARS'!$D$56*(8*12.73)+'LINEST VARS'!$C$56*($BT$56*$AZ72)+'LINEST VARS'!$B$56*($BT$56*12.73)+'LINEST VARS'!$A$56*($AZ72*12.73)</f>
        <v>2.6024000000000012</v>
      </c>
      <c r="BU72" s="52">
        <f>'LINEST VARS'!$U$56+'LINEST VARS'!$T$56*(8)+'LINEST VARS'!$S$56*(8)+'LINEST VARS'!$R$56*($BU$56)+'LINEST VARS'!$Q$56*($AZ72)+'LINEST VARS'!$P$56*(12.73)+'LINEST VARS'!$O$56*(8^2)+'LINEST VARS'!$N$56*(8^2)+'LINEST VARS'!$M$56*($BU$56^2)+'LINEST VARS'!$L$56*($AZ72^2)+'LINEST VARS'!$K$56*(12.73^2)+'LINEST VARS'!$J$56*(8*8)+'LINEST VARS'!$I$56*(8*$BU$56)+'LINEST VARS'!$H$56*(8*$AZ72)+'LINEST VARS'!$G$56*(8*12.73)+'LINEST VARS'!$F$56*(8*$BU$56)+'LINEST VARS'!$E$56*(8*$AZ72)+'LINEST VARS'!$D$56*(8*12.73)+'LINEST VARS'!$C$56*($BU$56*$AZ72)+'LINEST VARS'!$B$56*($BU$56*12.73)+'LINEST VARS'!$A$56*($AZ72*12.73)</f>
        <v>2.5600000000000009</v>
      </c>
      <c r="BX72" s="45">
        <v>0.75</v>
      </c>
      <c r="BY72" s="51">
        <f>'LINEST VARS'!$U$58+'LINEST VARS'!$T$58*(8)+'LINEST VARS'!$S$58*(8)+'LINEST VARS'!$R$58*($BY$56)+'LINEST VARS'!$Q$58*($BX72)+'LINEST VARS'!$P$58*(12.73)+'LINEST VARS'!$O$58*(8^2)+'LINEST VARS'!$N$58*(8^2)+'LINEST VARS'!$M$58*($BY$56^2)+'LINEST VARS'!$L$58*($BX72^2)+'LINEST VARS'!$K$58*(12.73^2)+'LINEST VARS'!$J$58*(8*8)+'LINEST VARS'!$I$58*(8*$BY$56)+'LINEST VARS'!$H$58*(8*$BX72)+'LINEST VARS'!$G$58*(8*12.73)+'LINEST VARS'!$F$58*(8*$BY$56)+'LINEST VARS'!$E$58*(8*$BX72)+'LINEST VARS'!$D$58*(8*12.73)+'LINEST VARS'!$C$58*($BY$56*$BX72)+'LINEST VARS'!$B$58*($BY$56*12.73)+'LINEST VARS'!$A$58*($BX72*12.73)</f>
        <v>0.86365000000000036</v>
      </c>
      <c r="BZ72" s="51">
        <f>'LINEST VARS'!$U$58+'LINEST VARS'!$T$58*(8)+'LINEST VARS'!$S$58*(8)+'LINEST VARS'!$R$58*($BZ$56)+'LINEST VARS'!$Q$58*($BX72)+'LINEST VARS'!$P$58*(12.73)+'LINEST VARS'!$O$58*(8^2)+'LINEST VARS'!$N$58*(8^2)+'LINEST VARS'!$M$58*($BZ$56^2)+'LINEST VARS'!$L$58*($BX72^2)+'LINEST VARS'!$K$58*(12.73^2)+'LINEST VARS'!$J$58*(8*8)+'LINEST VARS'!$I$58*(8*$BZ$56)+'LINEST VARS'!$H$58*(8*$BX72)+'LINEST VARS'!$G$58*(8*12.73)+'LINEST VARS'!$F$58*(8*$BZ$56)+'LINEST VARS'!$E$58*(8*$BX72)+'LINEST VARS'!$D$58*(8*12.73)+'LINEST VARS'!$C$58*($BZ$56*$BX72)+'LINEST VARS'!$B$58*($BZ$56*12.73)+'LINEST VARS'!$A$58*($BX72*12.73)</f>
        <v>0.87165000000000037</v>
      </c>
      <c r="CA72" s="51">
        <f>'LINEST VARS'!$U$58+'LINEST VARS'!$T$58*(8)+'LINEST VARS'!$S$58*(8)+'LINEST VARS'!$R$58*($CA$56)+'LINEST VARS'!$Q$58*($BX72)+'LINEST VARS'!$P$58*(12.73)+'LINEST VARS'!$O$58*(8^2)+'LINEST VARS'!$N$58*(8^2)+'LINEST VARS'!$M$58*($CA$56^2)+'LINEST VARS'!$L$58*($BX72^2)+'LINEST VARS'!$K$58*(12.73^2)+'LINEST VARS'!$J$58*(8*8)+'LINEST VARS'!$I$58*(8*$CA$56)+'LINEST VARS'!$H$58*(8*$BX72)+'LINEST VARS'!$G$58*(8*12.73)+'LINEST VARS'!$F$58*(8*$CA$56)+'LINEST VARS'!$E$58*(8*$BX72)+'LINEST VARS'!$D$58*(8*12.73)+'LINEST VARS'!$C$58*($CA$56*$BX72)+'LINEST VARS'!$B$58*($CA$56*12.73)+'LINEST VARS'!$A$58*($BX72*12.73)</f>
        <v>0.87965000000000027</v>
      </c>
      <c r="CB72" s="51">
        <f>'LINEST VARS'!$U$58+'LINEST VARS'!$T$58*(8)+'LINEST VARS'!$S$58*(8)+'LINEST VARS'!$R$58*($CB$56)+'LINEST VARS'!$Q$58*($BX72)+'LINEST VARS'!$P$58*(12.73)+'LINEST VARS'!$O$58*(8^2)+'LINEST VARS'!$N$58*(8^2)+'LINEST VARS'!$M$58*($CB$56^2)+'LINEST VARS'!$L$58*($BX72^2)+'LINEST VARS'!$K$58*(12.73^2)+'LINEST VARS'!$J$58*(8*8)+'LINEST VARS'!$I$58*(8*$CB$56)+'LINEST VARS'!$H$58*(8*$BX72)+'LINEST VARS'!$G$58*(8*12.73)+'LINEST VARS'!$F$58*(8*$CB$56)+'LINEST VARS'!$E$58*(8*$BX72)+'LINEST VARS'!$D$58*(8*12.73)+'LINEST VARS'!$C$58*($CB$56*$BX72)+'LINEST VARS'!$B$58*($CB$56*12.73)+'LINEST VARS'!$A$58*($BX72*12.73)</f>
        <v>0.88765000000000027</v>
      </c>
      <c r="CC72" s="51">
        <f>'LINEST VARS'!$U$58+'LINEST VARS'!$T$58*(8)+'LINEST VARS'!$S$58*(8)+'LINEST VARS'!$R$58*($CC$56)+'LINEST VARS'!$Q$58*($BX72)+'LINEST VARS'!$P$58*(12.73)+'LINEST VARS'!$O$58*(8^2)+'LINEST VARS'!$N$58*(8^2)+'LINEST VARS'!$M$58*($CC$56^2)+'LINEST VARS'!$L$58*($BX72^2)+'LINEST VARS'!$K$58*(12.73^2)+'LINEST VARS'!$J$58*(8*8)+'LINEST VARS'!$I$58*(8*$CC$56)+'LINEST VARS'!$H$58*(8*$BX72)+'LINEST VARS'!$G$58*(8*12.73)+'LINEST VARS'!$F$58*(8*$CC$56)+'LINEST VARS'!$E$58*(8*$BX72)+'LINEST VARS'!$D$58*(8*12.73)+'LINEST VARS'!$C$58*($CC$56*$BX72)+'LINEST VARS'!$B$58*($CC$56*12.73)+'LINEST VARS'!$A$58*($BX72*12.73)</f>
        <v>0.89565000000000017</v>
      </c>
      <c r="CD72" s="51">
        <f>'LINEST VARS'!$U$58+'LINEST VARS'!$T$58*(8)+'LINEST VARS'!$S$58*(8)+'LINEST VARS'!$R$58*($CD$56)+'LINEST VARS'!$Q$58*($BX72)+'LINEST VARS'!$P$58*(12.73)+'LINEST VARS'!$O$58*(8^2)+'LINEST VARS'!$N$58*(8^2)+'LINEST VARS'!$M$58*($CD$56^2)+'LINEST VARS'!$L$58*($BX72^2)+'LINEST VARS'!$K$58*(12.73^2)+'LINEST VARS'!$J$58*(8*8)+'LINEST VARS'!$I$58*(8*$CD$56)+'LINEST VARS'!$H$58*(8*$BX72)+'LINEST VARS'!$G$58*(8*12.73)+'LINEST VARS'!$F$58*(8*$CD$56)+'LINEST VARS'!$E$58*(8*$BX72)+'LINEST VARS'!$D$58*(8*12.73)+'LINEST VARS'!$C$58*($CD$56*$BX72)+'LINEST VARS'!$B$58*($CD$56*12.73)+'LINEST VARS'!$A$58*($BX72*12.73)</f>
        <v>0.90365000000000029</v>
      </c>
      <c r="CE72" s="51">
        <f>'LINEST VARS'!$U$58+'LINEST VARS'!$T$58*(8)+'LINEST VARS'!$S$58*(8)+'LINEST VARS'!$R$58*($CE$56)+'LINEST VARS'!$Q$58*($BX72)+'LINEST VARS'!$P$58*(12.73)+'LINEST VARS'!$O$58*(8^2)+'LINEST VARS'!$N$58*(8^2)+'LINEST VARS'!$M$58*($CE$56^2)+'LINEST VARS'!$L$58*($BX72^2)+'LINEST VARS'!$K$58*(12.73^2)+'LINEST VARS'!$J$58*(8*8)+'LINEST VARS'!$I$58*(8*$CE$56)+'LINEST VARS'!$H$58*(8*$BX72)+'LINEST VARS'!$G$58*(8*12.73)+'LINEST VARS'!$F$58*(8*$CE$56)+'LINEST VARS'!$E$58*(8*$BX72)+'LINEST VARS'!$D$58*(8*12.73)+'LINEST VARS'!$C$58*($CE$56*$BX72)+'LINEST VARS'!$B$58*($CE$56*12.73)+'LINEST VARS'!$A$58*($BX72*12.73)</f>
        <v>0.91165000000000029</v>
      </c>
      <c r="CF72" s="51">
        <f>'LINEST VARS'!$U$58+'LINEST VARS'!$T$58*(8)+'LINEST VARS'!$S$58*(8)+'LINEST VARS'!$R$58*($CF$56)+'LINEST VARS'!$Q$58*($BX72)+'LINEST VARS'!$P$58*(12.73)+'LINEST VARS'!$O$58*(8^2)+'LINEST VARS'!$N$58*(8^2)+'LINEST VARS'!$M$58*($CF$56^2)+'LINEST VARS'!$L$58*($BX72^2)+'LINEST VARS'!$K$58*(12.73^2)+'LINEST VARS'!$J$58*(8*8)+'LINEST VARS'!$I$58*(8*$CF$56)+'LINEST VARS'!$H$58*(8*$BX72)+'LINEST VARS'!$G$58*(8*12.73)+'LINEST VARS'!$F$58*(8*$CF$56)+'LINEST VARS'!$E$58*(8*$BX72)+'LINEST VARS'!$D$58*(8*12.73)+'LINEST VARS'!$C$58*($CF$56*$BX72)+'LINEST VARS'!$B$58*($CF$56*12.73)+'LINEST VARS'!$A$58*($BX72*12.73)</f>
        <v>0.9196500000000003</v>
      </c>
      <c r="CG72" s="51">
        <f>'LINEST VARS'!$U$58+'LINEST VARS'!$T$58*(8)+'LINEST VARS'!$S$58*(8)+'LINEST VARS'!$R$58*($CG$56)+'LINEST VARS'!$Q$58*($BX72)+'LINEST VARS'!$P$58*(12.73)+'LINEST VARS'!$O$58*(8^2)+'LINEST VARS'!$N$58*(8^2)+'LINEST VARS'!$M$58*($CG$56^2)+'LINEST VARS'!$L$58*($BX72^2)+'LINEST VARS'!$K$58*(12.73^2)+'LINEST VARS'!$J$58*(8*8)+'LINEST VARS'!$I$58*(8*$CG$56)+'LINEST VARS'!$H$58*(8*$BX72)+'LINEST VARS'!$G$58*(8*12.73)+'LINEST VARS'!$F$58*(8*$CG$56)+'LINEST VARS'!$E$58*(8*$BX72)+'LINEST VARS'!$D$58*(8*12.73)+'LINEST VARS'!$C$58*($CG$56*$BX72)+'LINEST VARS'!$B$58*($CG$56*12.73)+'LINEST VARS'!$A$58*($BX72*12.73)</f>
        <v>0.92765000000000042</v>
      </c>
      <c r="CH72" s="51">
        <f>'LINEST VARS'!$U$58+'LINEST VARS'!$T$58*(8)+'LINEST VARS'!$S$58*(8)+'LINEST VARS'!$R$58*($CH$56)+'LINEST VARS'!$Q$58*($BX72)+'LINEST VARS'!$P$58*(12.73)+'LINEST VARS'!$O$58*(8^2)+'LINEST VARS'!$N$58*(8^2)+'LINEST VARS'!$M$58*($CH$56^2)+'LINEST VARS'!$L$58*($BX72^2)+'LINEST VARS'!$K$58*(12.73^2)+'LINEST VARS'!$J$58*(8*8)+'LINEST VARS'!$I$58*(8*$CH$56)+'LINEST VARS'!$H$58*(8*$BX72)+'LINEST VARS'!$G$58*(8*12.73)+'LINEST VARS'!$F$58*(8*$CH$56)+'LINEST VARS'!$E$58*(8*$BX72)+'LINEST VARS'!$D$58*(8*12.73)+'LINEST VARS'!$C$58*($CH$56*$BX72)+'LINEST VARS'!$B$58*($CH$56*12.73)+'LINEST VARS'!$A$58*($BX72*12.73)</f>
        <v>0.93565000000000031</v>
      </c>
      <c r="CI72" s="51">
        <f>'LINEST VARS'!$U$58+'LINEST VARS'!$T$58*(8)+'LINEST VARS'!$S$58*(8)+'LINEST VARS'!$R$58*($CI$56)+'LINEST VARS'!$Q$58*($BX72)+'LINEST VARS'!$P$58*(12.73)+'LINEST VARS'!$O$58*(8^2)+'LINEST VARS'!$N$58*(8^2)+'LINEST VARS'!$M$58*($CI$56^2)+'LINEST VARS'!$L$58*($BX72^2)+'LINEST VARS'!$K$58*(12.73^2)+'LINEST VARS'!$J$58*(8*8)+'LINEST VARS'!$I$58*(8*$CI$56)+'LINEST VARS'!$H$58*(8*$BX72)+'LINEST VARS'!$G$58*(8*12.73)+'LINEST VARS'!$F$58*(8*$CI$56)+'LINEST VARS'!$E$58*(8*$BX72)+'LINEST VARS'!$D$58*(8*12.73)+'LINEST VARS'!$C$58*($CI$56*$BX72)+'LINEST VARS'!$B$58*($CI$56*12.73)+'LINEST VARS'!$A$58*($BX72*12.73)</f>
        <v>0.94365000000000032</v>
      </c>
      <c r="CJ72" s="51">
        <f>'LINEST VARS'!$U$58+'LINEST VARS'!$T$58*(8)+'LINEST VARS'!$S$58*(8)+'LINEST VARS'!$R$58*($CJ$56)+'LINEST VARS'!$Q$58*($BX72)+'LINEST VARS'!$P$58*(12.73)+'LINEST VARS'!$O$58*(8^2)+'LINEST VARS'!$N$58*(8^2)+'LINEST VARS'!$M$58*($CJ$56^2)+'LINEST VARS'!$L$58*($BX72^2)+'LINEST VARS'!$K$58*(12.73^2)+'LINEST VARS'!$J$58*(8*8)+'LINEST VARS'!$I$58*(8*$CJ$56)+'LINEST VARS'!$H$58*(8*$BX72)+'LINEST VARS'!$G$58*(8*12.73)+'LINEST VARS'!$F$58*(8*$CJ$56)+'LINEST VARS'!$E$58*(8*$BX72)+'LINEST VARS'!$D$58*(8*12.73)+'LINEST VARS'!$C$58*($CJ$56*$BX72)+'LINEST VARS'!$B$58*($CJ$56*12.73)+'LINEST VARS'!$A$58*($BX72*12.73)</f>
        <v>0.95165000000000022</v>
      </c>
      <c r="CK72" s="51">
        <f>'LINEST VARS'!$U$58+'LINEST VARS'!$T$58*(8)+'LINEST VARS'!$S$58*(8)+'LINEST VARS'!$R$58*($CK$56)+'LINEST VARS'!$Q$58*($BX72)+'LINEST VARS'!$P$58*(12.73)+'LINEST VARS'!$O$58*(8^2)+'LINEST VARS'!$N$58*(8^2)+'LINEST VARS'!$M$58*($CK$56^2)+'LINEST VARS'!$L$58*($BX72^2)+'LINEST VARS'!$K$58*(12.73^2)+'LINEST VARS'!$J$58*(8*8)+'LINEST VARS'!$I$58*(8*$CK$56)+'LINEST VARS'!$H$58*(8*$BX72)+'LINEST VARS'!$G$58*(8*12.73)+'LINEST VARS'!$F$58*(8*$CK$56)+'LINEST VARS'!$E$58*(8*$BX72)+'LINEST VARS'!$D$58*(8*12.73)+'LINEST VARS'!$C$58*($CK$56*$BX72)+'LINEST VARS'!$B$58*($CK$56*12.73)+'LINEST VARS'!$A$58*($BX72*12.73)</f>
        <v>0.95965000000000023</v>
      </c>
      <c r="CL72" s="51">
        <f>'LINEST VARS'!$U$58+'LINEST VARS'!$T$58*(8)+'LINEST VARS'!$S$58*(8)+'LINEST VARS'!$R$58*($CL$56)+'LINEST VARS'!$Q$58*($BX72)+'LINEST VARS'!$P$58*(12.73)+'LINEST VARS'!$O$58*(8^2)+'LINEST VARS'!$N$58*(8^2)+'LINEST VARS'!$M$58*($CL$56^2)+'LINEST VARS'!$L$58*($BX72^2)+'LINEST VARS'!$K$58*(12.73^2)+'LINEST VARS'!$J$58*(8*8)+'LINEST VARS'!$I$58*(8*$CL$56)+'LINEST VARS'!$H$58*(8*$BX72)+'LINEST VARS'!$G$58*(8*12.73)+'LINEST VARS'!$F$58*(8*$CL$56)+'LINEST VARS'!$E$58*(8*$BX72)+'LINEST VARS'!$D$58*(8*12.73)+'LINEST VARS'!$C$58*($CL$56*$BX72)+'LINEST VARS'!$B$58*($CL$56*12.73)+'LINEST VARS'!$A$58*($BX72*12.73)</f>
        <v>0.96765000000000012</v>
      </c>
      <c r="CM72" s="51">
        <f>'LINEST VARS'!$U$58+'LINEST VARS'!$T$58*(8)+'LINEST VARS'!$S$58*(8)+'LINEST VARS'!$R$58*($CM$56)+'LINEST VARS'!$Q$58*($BX72)+'LINEST VARS'!$P$58*(12.73)+'LINEST VARS'!$O$58*(8^2)+'LINEST VARS'!$N$58*(8^2)+'LINEST VARS'!$M$58*($CM$56^2)+'LINEST VARS'!$L$58*($BX72^2)+'LINEST VARS'!$K$58*(12.73^2)+'LINEST VARS'!$J$58*(8*8)+'LINEST VARS'!$I$58*(8*$CM$56)+'LINEST VARS'!$H$58*(8*$BX72)+'LINEST VARS'!$G$58*(8*12.73)+'LINEST VARS'!$F$58*(8*$CM$56)+'LINEST VARS'!$E$58*(8*$BX72)+'LINEST VARS'!$D$58*(8*12.73)+'LINEST VARS'!$C$58*($CM$56*$BX72)+'LINEST VARS'!$B$58*($CM$56*12.73)+'LINEST VARS'!$A$58*($BX72*12.73)</f>
        <v>0.97565000000000024</v>
      </c>
      <c r="CN72" s="51">
        <f>'LINEST VARS'!$U$58+'LINEST VARS'!$T$58*(8)+'LINEST VARS'!$S$58*(8)+'LINEST VARS'!$R$58*($CN$56)+'LINEST VARS'!$Q$58*($BX72)+'LINEST VARS'!$P$58*(12.73)+'LINEST VARS'!$O$58*(8^2)+'LINEST VARS'!$N$58*(8^2)+'LINEST VARS'!$M$58*($CN$56^2)+'LINEST VARS'!$L$58*($BX72^2)+'LINEST VARS'!$K$58*(12.73^2)+'LINEST VARS'!$J$58*(8*8)+'LINEST VARS'!$I$58*(8*$CN$56)+'LINEST VARS'!$H$58*(8*$BX72)+'LINEST VARS'!$G$58*(8*12.73)+'LINEST VARS'!$F$58*(8*$CN$56)+'LINEST VARS'!$E$58*(8*$BX72)+'LINEST VARS'!$D$58*(8*12.73)+'LINEST VARS'!$C$58*($CN$56*$BX72)+'LINEST VARS'!$B$58*($CN$56*12.73)+'LINEST VARS'!$A$58*($BX72*12.73)</f>
        <v>0.98365000000000025</v>
      </c>
      <c r="CO72" s="51">
        <f>'LINEST VARS'!$U$58+'LINEST VARS'!$T$58*(8)+'LINEST VARS'!$S$58*(8)+'LINEST VARS'!$R$58*($CO$56)+'LINEST VARS'!$Q$58*($BX72)+'LINEST VARS'!$P$58*(12.73)+'LINEST VARS'!$O$58*(8^2)+'LINEST VARS'!$N$58*(8^2)+'LINEST VARS'!$M$58*($CO$56^2)+'LINEST VARS'!$L$58*($BX72^2)+'LINEST VARS'!$K$58*(12.73^2)+'LINEST VARS'!$J$58*(8*8)+'LINEST VARS'!$I$58*(8*$CO$56)+'LINEST VARS'!$H$58*(8*$BX72)+'LINEST VARS'!$G$58*(8*12.73)+'LINEST VARS'!$F$58*(8*$CO$56)+'LINEST VARS'!$E$58*(8*$BX72)+'LINEST VARS'!$D$58*(8*12.73)+'LINEST VARS'!$C$58*($CO$56*$BX72)+'LINEST VARS'!$B$58*($CO$56*12.73)+'LINEST VARS'!$A$58*($BX72*12.73)</f>
        <v>0.99165000000000036</v>
      </c>
      <c r="CP72" s="51">
        <f>'LINEST VARS'!$U$58+'LINEST VARS'!$T$58*(8)+'LINEST VARS'!$S$58*(8)+'LINEST VARS'!$R$58*($CP$56)+'LINEST VARS'!$Q$58*($BX72)+'LINEST VARS'!$P$58*(12.73)+'LINEST VARS'!$O$58*(8^2)+'LINEST VARS'!$N$58*(8^2)+'LINEST VARS'!$M$58*($CP$56^2)+'LINEST VARS'!$L$58*($BX72^2)+'LINEST VARS'!$K$58*(12.73^2)+'LINEST VARS'!$J$58*(8*8)+'LINEST VARS'!$I$58*(8*$CP$56)+'LINEST VARS'!$H$58*(8*$BX72)+'LINEST VARS'!$G$58*(8*12.73)+'LINEST VARS'!$F$58*(8*$CP$56)+'LINEST VARS'!$E$58*(8*$BX72)+'LINEST VARS'!$D$58*(8*12.73)+'LINEST VARS'!$C$58*($CP$56*$BX72)+'LINEST VARS'!$B$58*($CP$56*12.73)+'LINEST VARS'!$A$58*($BX72*12.73)</f>
        <v>0.99965000000000037</v>
      </c>
      <c r="CQ72" s="51">
        <f>'LINEST VARS'!$U$58+'LINEST VARS'!$T$58*(8)+'LINEST VARS'!$S$58*(8)+'LINEST VARS'!$R$58*($CQ$56)+'LINEST VARS'!$Q$58*($BX72)+'LINEST VARS'!$P$58*(12.73)+'LINEST VARS'!$O$58*(8^2)+'LINEST VARS'!$N$58*(8^2)+'LINEST VARS'!$M$58*($CQ$56^2)+'LINEST VARS'!$L$58*($BX72^2)+'LINEST VARS'!$K$58*(12.73^2)+'LINEST VARS'!$J$58*(8*8)+'LINEST VARS'!$I$58*(8*$CQ$56)+'LINEST VARS'!$H$58*(8*$BX72)+'LINEST VARS'!$G$58*(8*12.73)+'LINEST VARS'!$F$58*(8*$CQ$56)+'LINEST VARS'!$E$58*(8*$BX72)+'LINEST VARS'!$D$58*(8*12.73)+'LINEST VARS'!$C$58*($CQ$56*$BX72)+'LINEST VARS'!$B$58*($CQ$56*12.73)+'LINEST VARS'!$A$58*($BX72*12.73)</f>
        <v>1.0076500000000002</v>
      </c>
      <c r="CR72" s="51">
        <f>'LINEST VARS'!$U$58+'LINEST VARS'!$T$58*(8)+'LINEST VARS'!$S$58*(8)+'LINEST VARS'!$R$58*($CR$56)+'LINEST VARS'!$Q$58*($BX72)+'LINEST VARS'!$P$58*(12.73)+'LINEST VARS'!$O$58*(8^2)+'LINEST VARS'!$N$58*(8^2)+'LINEST VARS'!$M$58*($CR$56^2)+'LINEST VARS'!$L$58*($BX72^2)+'LINEST VARS'!$K$58*(12.73^2)+'LINEST VARS'!$J$58*(8*8)+'LINEST VARS'!$I$58*(8*$CR$56)+'LINEST VARS'!$H$58*(8*$BX72)+'LINEST VARS'!$G$58*(8*12.73)+'LINEST VARS'!$F$58*(8*$CR$56)+'LINEST VARS'!$E$58*(8*$BX72)+'LINEST VARS'!$D$58*(8*12.73)+'LINEST VARS'!$C$58*($CR$56*$BX72)+'LINEST VARS'!$B$58*($CR$56*12.73)+'LINEST VARS'!$A$58*($BX72*12.73)</f>
        <v>1.0156499999999999</v>
      </c>
      <c r="CS72" s="52">
        <f>'LINEST VARS'!$U$58+'LINEST VARS'!$T$58*(8)+'LINEST VARS'!$S$58*(8)+'LINEST VARS'!$R$58*($CS$56)+'LINEST VARS'!$Q$58*($BX72)+'LINEST VARS'!$P$58*(12.73)+'LINEST VARS'!$O$58*(8^2)+'LINEST VARS'!$N$58*(8^2)+'LINEST VARS'!$M$58*($CS$56^2)+'LINEST VARS'!$L$58*($BX72^2)+'LINEST VARS'!$K$58*(12.73^2)+'LINEST VARS'!$J$58*(8*8)+'LINEST VARS'!$I$58*(8*$CS$56)+'LINEST VARS'!$H$58*(8*$BX72)+'LINEST VARS'!$G$58*(8*12.73)+'LINEST VARS'!$F$58*(8*$CS$56)+'LINEST VARS'!$E$58*(8*$BX72)+'LINEST VARS'!$D$58*(8*12.73)+'LINEST VARS'!$C$58*($CS$56*$BX72)+'LINEST VARS'!$B$58*($CS$56*12.73)+'LINEST VARS'!$A$58*($BX72*12.73)</f>
        <v>1.0236500000000002</v>
      </c>
      <c r="CX72" s="45">
        <v>19.4925</v>
      </c>
      <c r="CY72" s="51">
        <f>'LINEST VARS'!$U$56+'LINEST VARS'!$T$56*(8)+'LINEST VARS'!$S$56*(8)+'LINEST VARS'!$R$56*($CY$56)+'LINEST VARS'!$Q$56*(0.5)+'LINEST VARS'!$P$56*($CX72)+'LINEST VARS'!$O$56*(8^2)+'LINEST VARS'!$N$56*(8^2)+'LINEST VARS'!$M$56*($CY$56^2)+'LINEST VARS'!$L$56*(0.5^2)+'LINEST VARS'!$K$56*($CX72^2)+'LINEST VARS'!$J$56*(8*8)+'LINEST VARS'!$I$56*(8*$CY$56)+'LINEST VARS'!$H$56*(8*0.5)+'LINEST VARS'!$G$56*(8*$CX72)+'LINEST VARS'!$F$56*(8*$CY$56)+'LINEST VARS'!$E$56*(8*0.5)+'LINEST VARS'!$D$56*(8*$CX72)+'LINEST VARS'!$C$56*($CY$56*0.5)+'LINEST VARS'!$B$56*($CY$56*$CX72)+'LINEST VARS'!$A$56*(0.5*$CX72)</f>
        <v>2.8000000000000007</v>
      </c>
      <c r="CZ72" s="51">
        <f>'LINEST VARS'!$U$56+'LINEST VARS'!$T$56*(8)+'LINEST VARS'!$S$56*(8)+'LINEST VARS'!$R$56*($CZ$56)+'LINEST VARS'!$Q$56*(0.5)+'LINEST VARS'!$P$56*($CX72)+'LINEST VARS'!$O$56*(8^2)+'LINEST VARS'!$N$56*(8^2)+'LINEST VARS'!$M$56*($CZ$56^2)+'LINEST VARS'!$L$56*(0.5^2)+'LINEST VARS'!$K$56*($CX72^2)+'LINEST VARS'!$J$56*(8*8)+'LINEST VARS'!$I$56*(8*$CZ$56)+'LINEST VARS'!$H$56*(8*0.5)+'LINEST VARS'!$G$56*(8*$CX72)+'LINEST VARS'!$F$56*(8*$CZ$56)+'LINEST VARS'!$E$56*(8*0.5)+'LINEST VARS'!$D$56*(8*$CX72)+'LINEST VARS'!$C$56*($CZ$56*0.5)+'LINEST VARS'!$B$56*($CZ$56*$CX72)+'LINEST VARS'!$A$56*(0.5*$CX72)</f>
        <v>2.8184000000000009</v>
      </c>
      <c r="DA72" s="51">
        <f>'LINEST VARS'!$U$56+'LINEST VARS'!$T$56*(8)+'LINEST VARS'!$S$56*(8)+'LINEST VARS'!$R$56*($DA$56)+'LINEST VARS'!$Q$56*(0.5)+'LINEST VARS'!$P$56*($CX72)+'LINEST VARS'!$O$56*(8^2)+'LINEST VARS'!$N$56*(8^2)+'LINEST VARS'!$M$56*($DA$56^2)+'LINEST VARS'!$L$56*(0.5^2)+'LINEST VARS'!$K$56*($CX72^2)+'LINEST VARS'!$J$56*(8*8)+'LINEST VARS'!$I$56*(8*$DA$56)+'LINEST VARS'!$H$56*(8*0.5)+'LINEST VARS'!$G$56*(8*$CX72)+'LINEST VARS'!$F$56*(8*$DA$56)+'LINEST VARS'!$E$56*(8*0.5)+'LINEST VARS'!$D$56*(8*$CX72)+'LINEST VARS'!$C$56*($DA$56*0.5)+'LINEST VARS'!$B$56*($DA$56*$CX72)+'LINEST VARS'!$A$56*(0.5*$CX72)</f>
        <v>2.8336000000000006</v>
      </c>
      <c r="DB72" s="51">
        <f>'LINEST VARS'!$U$56+'LINEST VARS'!$T$56*(8)+'LINEST VARS'!$S$56*(8)+'LINEST VARS'!$R$56*($DB$56)+'LINEST VARS'!$Q$56*(0.5)+'LINEST VARS'!$P$56*($CX72)+'LINEST VARS'!$O$56*(8^2)+'LINEST VARS'!$N$56*(8^2)+'LINEST VARS'!$M$56*($DB$56^2)+'LINEST VARS'!$L$56*(0.5^2)+'LINEST VARS'!$K$56*($CX72^2)+'LINEST VARS'!$J$56*(8*8)+'LINEST VARS'!$I$56*(8*$DB$56)+'LINEST VARS'!$H$56*(8*0.5)+'LINEST VARS'!$G$56*(8*$CX72)+'LINEST VARS'!$F$56*(8*$DB$56)+'LINEST VARS'!$E$56*(8*0.5)+'LINEST VARS'!$D$56*(8*$CX72)+'LINEST VARS'!$C$56*($DB$56*0.5)+'LINEST VARS'!$B$56*($DB$56*$CX72)+'LINEST VARS'!$A$56*(0.5*$CX72)</f>
        <v>2.8456000000000006</v>
      </c>
      <c r="DC72" s="51">
        <f>'LINEST VARS'!$U$56+'LINEST VARS'!$T$56*(8)+'LINEST VARS'!$S$56*(8)+'LINEST VARS'!$R$56*($DC$56)+'LINEST VARS'!$Q$56*(0.5)+'LINEST VARS'!$P$56*($CX72)+'LINEST VARS'!$O$56*(8^2)+'LINEST VARS'!$N$56*(8^2)+'LINEST VARS'!$M$56*($DC$56^2)+'LINEST VARS'!$L$56*(0.5^2)+'LINEST VARS'!$K$56*($CX72^2)+'LINEST VARS'!$J$56*(8*8)+'LINEST VARS'!$I$56*(8*$DC$56)+'LINEST VARS'!$H$56*(8*0.5)+'LINEST VARS'!$G$56*(8*$CX72)+'LINEST VARS'!$F$56*(8*$DC$56)+'LINEST VARS'!$E$56*(8*0.5)+'LINEST VARS'!$D$56*(8*$CX72)+'LINEST VARS'!$C$56*($DC$56*0.5)+'LINEST VARS'!$B$56*($DC$56*$CX72)+'LINEST VARS'!$A$56*(0.5*$CX72)</f>
        <v>2.8544000000000009</v>
      </c>
      <c r="DD72" s="51">
        <f>'LINEST VARS'!$U$56+'LINEST VARS'!$T$56*(8)+'LINEST VARS'!$S$56*(8)+'LINEST VARS'!$R$56*($DD$56)+'LINEST VARS'!$Q$56*(0.5)+'LINEST VARS'!$P$56*($CX72)+'LINEST VARS'!$O$56*(8^2)+'LINEST VARS'!$N$56*(8^2)+'LINEST VARS'!$M$56*($DD$56^2)+'LINEST VARS'!$L$56*(0.5^2)+'LINEST VARS'!$K$56*($CX72^2)+'LINEST VARS'!$J$56*(8*8)+'LINEST VARS'!$I$56*(8*$DD$56)+'LINEST VARS'!$H$56*(8*0.5)+'LINEST VARS'!$G$56*(8*$CX72)+'LINEST VARS'!$F$56*(8*$DD$56)+'LINEST VARS'!$E$56*(8*0.5)+'LINEST VARS'!$D$56*(8*$CX72)+'LINEST VARS'!$C$56*($DD$56*0.5)+'LINEST VARS'!$B$56*($DD$56*$CX72)+'LINEST VARS'!$A$56*(0.5*$CX72)</f>
        <v>2.8600000000000008</v>
      </c>
      <c r="DE72" s="51">
        <f>'LINEST VARS'!$U$56+'LINEST VARS'!$T$56*(8)+'LINEST VARS'!$S$56*(8)+'LINEST VARS'!$R$56*($DE$56)+'LINEST VARS'!$Q$56*(0.5)+'LINEST VARS'!$P$56*($CX72)+'LINEST VARS'!$O$56*(8^2)+'LINEST VARS'!$N$56*(8^2)+'LINEST VARS'!$M$56*($DE$56^2)+'LINEST VARS'!$L$56*(0.5^2)+'LINEST VARS'!$K$56*($CX72^2)+'LINEST VARS'!$J$56*(8*8)+'LINEST VARS'!$I$56*(8*$DE$56)+'LINEST VARS'!$H$56*(8*0.5)+'LINEST VARS'!$G$56*(8*$CX72)+'LINEST VARS'!$F$56*(8*$DE$56)+'LINEST VARS'!$E$56*(8*0.5)+'LINEST VARS'!$D$56*(8*$CX72)+'LINEST VARS'!$C$56*($DE$56*0.5)+'LINEST VARS'!$B$56*($DE$56*$CX72)+'LINEST VARS'!$A$56*(0.5*$CX72)</f>
        <v>2.8624000000000009</v>
      </c>
      <c r="DF72" s="51">
        <f>'LINEST VARS'!$U$56+'LINEST VARS'!$T$56*(8)+'LINEST VARS'!$S$56*(8)+'LINEST VARS'!$R$56*($DF$56)+'LINEST VARS'!$Q$56*(0.5)+'LINEST VARS'!$P$56*($CX72)+'LINEST VARS'!$O$56*(8^2)+'LINEST VARS'!$N$56*(8^2)+'LINEST VARS'!$M$56*($DF$56^2)+'LINEST VARS'!$L$56*(0.5^2)+'LINEST VARS'!$K$56*($CX72^2)+'LINEST VARS'!$J$56*(8*8)+'LINEST VARS'!$I$56*(8*$DF$56)+'LINEST VARS'!$H$56*(8*0.5)+'LINEST VARS'!$G$56*(8*$CX72)+'LINEST VARS'!$F$56*(8*$DF$56)+'LINEST VARS'!$E$56*(8*0.5)+'LINEST VARS'!$D$56*(8*$CX72)+'LINEST VARS'!$C$56*($DF$56*0.5)+'LINEST VARS'!$B$56*($DF$56*$CX72)+'LINEST VARS'!$A$56*(0.5*$CX72)</f>
        <v>2.8616000000000006</v>
      </c>
      <c r="DG72" s="51">
        <f>'LINEST VARS'!$U$56+'LINEST VARS'!$T$56*(8)+'LINEST VARS'!$S$56*(8)+'LINEST VARS'!$R$56*($DG$56)+'LINEST VARS'!$Q$56*(0.5)+'LINEST VARS'!$P$56*($CX72)+'LINEST VARS'!$O$56*(8^2)+'LINEST VARS'!$N$56*(8^2)+'LINEST VARS'!$M$56*($DG$56^2)+'LINEST VARS'!$L$56*(0.5^2)+'LINEST VARS'!$K$56*($CX72^2)+'LINEST VARS'!$J$56*(8*8)+'LINEST VARS'!$I$56*(8*$DG$56)+'LINEST VARS'!$H$56*(8*0.5)+'LINEST VARS'!$G$56*(8*$CX72)+'LINEST VARS'!$F$56*(8*$DG$56)+'LINEST VARS'!$E$56*(8*0.5)+'LINEST VARS'!$D$56*(8*$CX72)+'LINEST VARS'!$C$56*($DG$56*0.5)+'LINEST VARS'!$B$56*($DG$56*$CX72)+'LINEST VARS'!$A$56*(0.5*$CX72)</f>
        <v>2.8576000000000006</v>
      </c>
      <c r="DH72" s="51">
        <f>'LINEST VARS'!$U$56+'LINEST VARS'!$T$56*(8)+'LINEST VARS'!$S$56*(8)+'LINEST VARS'!$R$56*($DH$56)+'LINEST VARS'!$Q$56*(0.5)+'LINEST VARS'!$P$56*($CX72)+'LINEST VARS'!$O$56*(8^2)+'LINEST VARS'!$N$56*(8^2)+'LINEST VARS'!$M$56*($DH$56^2)+'LINEST VARS'!$L$56*(0.5^2)+'LINEST VARS'!$K$56*($CX72^2)+'LINEST VARS'!$J$56*(8*8)+'LINEST VARS'!$I$56*(8*$DH$56)+'LINEST VARS'!$H$56*(8*0.5)+'LINEST VARS'!$G$56*(8*$CX72)+'LINEST VARS'!$F$56*(8*$DH$56)+'LINEST VARS'!$E$56*(8*0.5)+'LINEST VARS'!$D$56*(8*$CX72)+'LINEST VARS'!$C$56*($DH$56*0.5)+'LINEST VARS'!$B$56*($DH$56*$CX72)+'LINEST VARS'!$A$56*(0.5*$CX72)</f>
        <v>2.8504000000000009</v>
      </c>
      <c r="DI72" s="51">
        <f>'LINEST VARS'!$U$56+'LINEST VARS'!$T$56*(8)+'LINEST VARS'!$S$56*(8)+'LINEST VARS'!$R$56*($DI$56)+'LINEST VARS'!$Q$56*(0.5)+'LINEST VARS'!$P$56*($CX72)+'LINEST VARS'!$O$56*(8^2)+'LINEST VARS'!$N$56*(8^2)+'LINEST VARS'!$M$56*($DI$56^2)+'LINEST VARS'!$L$56*(0.5^2)+'LINEST VARS'!$K$56*($CX72^2)+'LINEST VARS'!$J$56*(8*8)+'LINEST VARS'!$I$56*(8*$DI$56)+'LINEST VARS'!$H$56*(8*0.5)+'LINEST VARS'!$G$56*(8*$CX72)+'LINEST VARS'!$F$56*(8*$DI$56)+'LINEST VARS'!$E$56*(8*0.5)+'LINEST VARS'!$D$56*(8*$CX72)+'LINEST VARS'!$C$56*($DI$56*0.5)+'LINEST VARS'!$B$56*($DI$56*$CX72)+'LINEST VARS'!$A$56*(0.5*$CX72)</f>
        <v>2.8400000000000007</v>
      </c>
      <c r="DJ72" s="51">
        <f>'LINEST VARS'!$U$56+'LINEST VARS'!$T$56*(8)+'LINEST VARS'!$S$56*(8)+'LINEST VARS'!$R$56*($DJ$56)+'LINEST VARS'!$Q$56*(0.5)+'LINEST VARS'!$P$56*($CX72)+'LINEST VARS'!$O$56*(8^2)+'LINEST VARS'!$N$56*(8^2)+'LINEST VARS'!$M$56*($DJ$56^2)+'LINEST VARS'!$L$56*(0.5^2)+'LINEST VARS'!$K$56*($CX72^2)+'LINEST VARS'!$J$56*(8*8)+'LINEST VARS'!$I$56*(8*$DJ$56)+'LINEST VARS'!$H$56*(8*0.5)+'LINEST VARS'!$G$56*(8*$CX72)+'LINEST VARS'!$F$56*(8*$DJ$56)+'LINEST VARS'!$E$56*(8*0.5)+'LINEST VARS'!$D$56*(8*$CX72)+'LINEST VARS'!$C$56*($DJ$56*0.5)+'LINEST VARS'!$B$56*($DJ$56*$CX72)+'LINEST VARS'!$A$56*(0.5*$CX72)</f>
        <v>2.8264000000000009</v>
      </c>
      <c r="DK72" s="51">
        <f>'LINEST VARS'!$U$56+'LINEST VARS'!$T$56*(8)+'LINEST VARS'!$S$56*(8)+'LINEST VARS'!$R$56*($DK$56)+'LINEST VARS'!$Q$56*(0.5)+'LINEST VARS'!$P$56*($CX72)+'LINEST VARS'!$O$56*(8^2)+'LINEST VARS'!$N$56*(8^2)+'LINEST VARS'!$M$56*($DK$56^2)+'LINEST VARS'!$L$56*(0.5^2)+'LINEST VARS'!$K$56*($CX72^2)+'LINEST VARS'!$J$56*(8*8)+'LINEST VARS'!$I$56*(8*$DK$56)+'LINEST VARS'!$H$56*(8*0.5)+'LINEST VARS'!$G$56*(8*$CX72)+'LINEST VARS'!$F$56*(8*$DK$56)+'LINEST VARS'!$E$56*(8*0.5)+'LINEST VARS'!$D$56*(8*$CX72)+'LINEST VARS'!$C$56*($DK$56*0.5)+'LINEST VARS'!$B$56*($DK$56*$CX72)+'LINEST VARS'!$A$56*(0.5*$CX72)</f>
        <v>2.8096000000000005</v>
      </c>
      <c r="DL72" s="51">
        <f>'LINEST VARS'!$U$56+'LINEST VARS'!$T$56*(8)+'LINEST VARS'!$S$56*(8)+'LINEST VARS'!$R$56*($DL$56)+'LINEST VARS'!$Q$56*(0.5)+'LINEST VARS'!$P$56*($CX72)+'LINEST VARS'!$O$56*(8^2)+'LINEST VARS'!$N$56*(8^2)+'LINEST VARS'!$M$56*($DL$56^2)+'LINEST VARS'!$L$56*(0.5^2)+'LINEST VARS'!$K$56*($CX72^2)+'LINEST VARS'!$J$56*(8*8)+'LINEST VARS'!$I$56*(8*$DL$56)+'LINEST VARS'!$H$56*(8*0.5)+'LINEST VARS'!$G$56*(8*$CX72)+'LINEST VARS'!$F$56*(8*$DL$56)+'LINEST VARS'!$E$56*(8*0.5)+'LINEST VARS'!$D$56*(8*$CX72)+'LINEST VARS'!$C$56*($DL$56*0.5)+'LINEST VARS'!$B$56*($DL$56*$CX72)+'LINEST VARS'!$A$56*(0.5*$CX72)</f>
        <v>2.7896000000000005</v>
      </c>
      <c r="DM72" s="51">
        <f>'LINEST VARS'!$U$56+'LINEST VARS'!$T$56*(8)+'LINEST VARS'!$S$56*(8)+'LINEST VARS'!$R$56*($DM$56)+'LINEST VARS'!$Q$56*(0.5)+'LINEST VARS'!$P$56*($CX72)+'LINEST VARS'!$O$56*(8^2)+'LINEST VARS'!$N$56*(8^2)+'LINEST VARS'!$M$56*($DM$56^2)+'LINEST VARS'!$L$56*(0.5^2)+'LINEST VARS'!$K$56*($CX72^2)+'LINEST VARS'!$J$56*(8*8)+'LINEST VARS'!$I$56*(8*$DM$56)+'LINEST VARS'!$H$56*(8*0.5)+'LINEST VARS'!$G$56*(8*$CX72)+'LINEST VARS'!$F$56*(8*$DM$56)+'LINEST VARS'!$E$56*(8*0.5)+'LINEST VARS'!$D$56*(8*$CX72)+'LINEST VARS'!$C$56*($DM$56*0.5)+'LINEST VARS'!$B$56*($DM$56*$CX72)+'LINEST VARS'!$A$56*(0.5*$CX72)</f>
        <v>2.7664000000000009</v>
      </c>
      <c r="DN72" s="51">
        <f>'LINEST VARS'!$U$56+'LINEST VARS'!$T$56*(8)+'LINEST VARS'!$S$56*(8)+'LINEST VARS'!$R$56*($DN$56)+'LINEST VARS'!$Q$56*(0.5)+'LINEST VARS'!$P$56*($CX72)+'LINEST VARS'!$O$56*(8^2)+'LINEST VARS'!$N$56*(8^2)+'LINEST VARS'!$M$56*($DN$56^2)+'LINEST VARS'!$L$56*(0.5^2)+'LINEST VARS'!$K$56*($CX72^2)+'LINEST VARS'!$J$56*(8*8)+'LINEST VARS'!$I$56*(8*$DN$56)+'LINEST VARS'!$H$56*(8*0.5)+'LINEST VARS'!$G$56*(8*$CX72)+'LINEST VARS'!$F$56*(8*$DN$56)+'LINEST VARS'!$E$56*(8*0.5)+'LINEST VARS'!$D$56*(8*$CX72)+'LINEST VARS'!$C$56*($DN$56*0.5)+'LINEST VARS'!$B$56*($DN$56*$CX72)+'LINEST VARS'!$A$56*(0.5*$CX72)</f>
        <v>2.7400000000000007</v>
      </c>
      <c r="DO72" s="51">
        <f>'LINEST VARS'!$U$56+'LINEST VARS'!$T$56*(8)+'LINEST VARS'!$S$56*(8)+'LINEST VARS'!$R$56*($DO$56)+'LINEST VARS'!$Q$56*(0.5)+'LINEST VARS'!$P$56*($CX72)+'LINEST VARS'!$O$56*(8^2)+'LINEST VARS'!$N$56*(8^2)+'LINEST VARS'!$M$56*($DO$56^2)+'LINEST VARS'!$L$56*(0.5^2)+'LINEST VARS'!$K$56*($CX72^2)+'LINEST VARS'!$J$56*(8*8)+'LINEST VARS'!$I$56*(8*$DO$56)+'LINEST VARS'!$H$56*(8*0.5)+'LINEST VARS'!$G$56*(8*$CX72)+'LINEST VARS'!$F$56*(8*$DO$56)+'LINEST VARS'!$E$56*(8*0.5)+'LINEST VARS'!$D$56*(8*$CX72)+'LINEST VARS'!$C$56*($DO$56*0.5)+'LINEST VARS'!$B$56*($DO$56*$CX72)+'LINEST VARS'!$A$56*(0.5*$CX72)</f>
        <v>2.7103999999999999</v>
      </c>
      <c r="DP72" s="51">
        <f>'LINEST VARS'!$U$56+'LINEST VARS'!$T$56*(8)+'LINEST VARS'!$S$56*(8)+'LINEST VARS'!$R$56*($DP$56)+'LINEST VARS'!$Q$56*(0.5)+'LINEST VARS'!$P$56*($CX72)+'LINEST VARS'!$O$56*(8^2)+'LINEST VARS'!$N$56*(8^2)+'LINEST VARS'!$M$56*($DP$56^2)+'LINEST VARS'!$L$56*(0.5^2)+'LINEST VARS'!$K$56*($CX72^2)+'LINEST VARS'!$J$56*(8*8)+'LINEST VARS'!$I$56*(8*$DP$56)+'LINEST VARS'!$H$56*(8*0.5)+'LINEST VARS'!$G$56*(8*$CX72)+'LINEST VARS'!$F$56*(8*$DP$56)+'LINEST VARS'!$E$56*(8*0.5)+'LINEST VARS'!$D$56*(8*$CX72)+'LINEST VARS'!$C$56*($DP$56*0.5)+'LINEST VARS'!$B$56*($DP$56*$CX72)+'LINEST VARS'!$A$56*(0.5*$CX72)</f>
        <v>2.6776</v>
      </c>
      <c r="DQ72" s="51">
        <f>'LINEST VARS'!$U$56+'LINEST VARS'!$T$56*(8)+'LINEST VARS'!$S$56*(8)+'LINEST VARS'!$R$56*($DQ$56)+'LINEST VARS'!$Q$56*(0.5)+'LINEST VARS'!$P$56*($CX72)+'LINEST VARS'!$O$56*(8^2)+'LINEST VARS'!$N$56*(8^2)+'LINEST VARS'!$M$56*($DQ$56^2)+'LINEST VARS'!$L$56*(0.5^2)+'LINEST VARS'!$K$56*($CX72^2)+'LINEST VARS'!$J$56*(8*8)+'LINEST VARS'!$I$56*(8*$DQ$56)+'LINEST VARS'!$H$56*(8*0.5)+'LINEST VARS'!$G$56*(8*$CX72)+'LINEST VARS'!$F$56*(8*$DQ$56)+'LINEST VARS'!$E$56*(8*0.5)+'LINEST VARS'!$D$56*(8*$CX72)+'LINEST VARS'!$C$56*($DQ$56*0.5)+'LINEST VARS'!$B$56*($DQ$56*$CX72)+'LINEST VARS'!$A$56*(0.5*$CX72)</f>
        <v>2.6415999999999999</v>
      </c>
      <c r="DR72" s="51">
        <f>'LINEST VARS'!$U$56+'LINEST VARS'!$T$56*(8)+'LINEST VARS'!$S$56*(8)+'LINEST VARS'!$R$56*($DR$56)+'LINEST VARS'!$Q$56*(0.5)+'LINEST VARS'!$P$56*($CX72)+'LINEST VARS'!$O$56*(8^2)+'LINEST VARS'!$N$56*(8^2)+'LINEST VARS'!$M$56*($DR$56^2)+'LINEST VARS'!$L$56*(0.5^2)+'LINEST VARS'!$K$56*($CX72^2)+'LINEST VARS'!$J$56*(8*8)+'LINEST VARS'!$I$56*(8*$DR$56)+'LINEST VARS'!$H$56*(8*0.5)+'LINEST VARS'!$G$56*(8*$CX72)+'LINEST VARS'!$F$56*(8*$DR$56)+'LINEST VARS'!$E$56*(8*0.5)+'LINEST VARS'!$D$56*(8*$CX72)+'LINEST VARS'!$C$56*($DR$56*0.5)+'LINEST VARS'!$B$56*($DR$56*$CX72)+'LINEST VARS'!$A$56*(0.5*$CX72)</f>
        <v>2.6024000000000003</v>
      </c>
      <c r="DS72" s="52">
        <f>'LINEST VARS'!$U$56+'LINEST VARS'!$T$56*(8)+'LINEST VARS'!$S$56*(8)+'LINEST VARS'!$R$56*($DS$56)+'LINEST VARS'!$Q$56*(0.5)+'LINEST VARS'!$P$56*($CX72)+'LINEST VARS'!$O$56*(8^2)+'LINEST VARS'!$N$56*(8^2)+'LINEST VARS'!$M$56*($DS$56^2)+'LINEST VARS'!$L$56*(0.5^2)+'LINEST VARS'!$K$56*($CX72^2)+'LINEST VARS'!$J$56*(8*8)+'LINEST VARS'!$I$56*(8*$DS$56)+'LINEST VARS'!$H$56*(8*0.5)+'LINEST VARS'!$G$56*(8*$CX72)+'LINEST VARS'!$F$56*(8*$DS$56)+'LINEST VARS'!$E$56*(8*0.5)+'LINEST VARS'!$D$56*(8*$CX72)+'LINEST VARS'!$C$56*($DS$56*0.5)+'LINEST VARS'!$B$56*($DS$56*$CX72)+'LINEST VARS'!$A$56*(0.5*$CX72)</f>
        <v>2.56</v>
      </c>
      <c r="DV72" s="45">
        <v>19.4925</v>
      </c>
      <c r="DW72" s="51">
        <f>'LINEST VARS'!$U$58+'LINEST VARS'!$T$58*(8)+'LINEST VARS'!$S$58*(8)+'LINEST VARS'!$R$58*($DW$56)+'LINEST VARS'!$Q$58*(0.5)+'LINEST VARS'!$P$58*($DV72)+'LINEST VARS'!$O$58*(8^2)+'LINEST VARS'!$N$58*(8^2)+'LINEST VARS'!$M$58*($DW$56^2)+'LINEST VARS'!$L$58*(0.5^2)+'LINEST VARS'!$K$58*($DV72^2)+'LINEST VARS'!$J$58*(8*8)+'LINEST VARS'!$I$58*(8*$DW$56)+'LINEST VARS'!$H$58*(8*0.5)+'LINEST VARS'!$G$58*(8*$DV72)+'LINEST VARS'!$F$58*(8*$DW$56)+'LINEST VARS'!$E$58*(8*0.5)+'LINEST VARS'!$D$58*(8*$DV72)+'LINEST VARS'!$C$58*($DW$56*0.5)+'LINEST VARS'!$B$58*($DW$56*$DV72)+'LINEST VARS'!$A$58*(0.5*$DV72)</f>
        <v>0.89746250000000038</v>
      </c>
      <c r="DX72" s="51">
        <f>'LINEST VARS'!$U$58+'LINEST VARS'!$T$58*(8)+'LINEST VARS'!$S$58*(8)+'LINEST VARS'!$R$58*($DX$56)+'LINEST VARS'!$Q$58*(0.5)+'LINEST VARS'!$P$58*($DV72)+'LINEST VARS'!$O$58*(8^2)+'LINEST VARS'!$N$58*(8^2)+'LINEST VARS'!$M$58*($DX$56^2)+'LINEST VARS'!$L$58*(0.5^2)+'LINEST VARS'!$K$58*($DV72^2)+'LINEST VARS'!$J$58*(8*8)+'LINEST VARS'!$I$58*(8*$DX$56)+'LINEST VARS'!$H$58*(8*0.5)+'LINEST VARS'!$G$58*(8*$DV72)+'LINEST VARS'!$F$58*(8*$DX$56)+'LINEST VARS'!$E$58*(8*0.5)+'LINEST VARS'!$D$58*(8*$DV72)+'LINEST VARS'!$C$58*($DX$56*0.5)+'LINEST VARS'!$B$58*($DX$56*$DV72)+'LINEST VARS'!$A$58*(0.5*$DV72)</f>
        <v>0.90546250000000039</v>
      </c>
      <c r="DY72" s="51">
        <f>'LINEST VARS'!$U$58+'LINEST VARS'!$T$58*(8)+'LINEST VARS'!$S$58*(8)+'LINEST VARS'!$R$58*($DY$56)+'LINEST VARS'!$Q$58*(0.5)+'LINEST VARS'!$P$58*($DV72)+'LINEST VARS'!$O$58*(8^2)+'LINEST VARS'!$N$58*(8^2)+'LINEST VARS'!$M$58*($DY$56^2)+'LINEST VARS'!$L$58*(0.5^2)+'LINEST VARS'!$K$58*($DV72^2)+'LINEST VARS'!$J$58*(8*8)+'LINEST VARS'!$I$58*(8*$DY$56)+'LINEST VARS'!$H$58*(8*0.5)+'LINEST VARS'!$G$58*(8*$DV72)+'LINEST VARS'!$F$58*(8*$DY$56)+'LINEST VARS'!$E$58*(8*0.5)+'LINEST VARS'!$D$58*(8*$DV72)+'LINEST VARS'!$C$58*($DY$56*0.5)+'LINEST VARS'!$B$58*($DY$56*$DV72)+'LINEST VARS'!$A$58*(0.5*$DV72)</f>
        <v>0.91346250000000029</v>
      </c>
      <c r="DZ72" s="51">
        <f>'LINEST VARS'!$U$58+'LINEST VARS'!$T$58*(8)+'LINEST VARS'!$S$58*(8)+'LINEST VARS'!$R$58*($DZ$56)+'LINEST VARS'!$Q$58*(0.5)+'LINEST VARS'!$P$58*($DV72)+'LINEST VARS'!$O$58*(8^2)+'LINEST VARS'!$N$58*(8^2)+'LINEST VARS'!$M$58*($DZ$56^2)+'LINEST VARS'!$L$58*(0.5^2)+'LINEST VARS'!$K$58*($DV72^2)+'LINEST VARS'!$J$58*(8*8)+'LINEST VARS'!$I$58*(8*$DZ$56)+'LINEST VARS'!$H$58*(8*0.5)+'LINEST VARS'!$G$58*(8*$DV72)+'LINEST VARS'!$F$58*(8*$DZ$56)+'LINEST VARS'!$E$58*(8*0.5)+'LINEST VARS'!$D$58*(8*$DV72)+'LINEST VARS'!$C$58*($DZ$56*0.5)+'LINEST VARS'!$B$58*($DZ$56*$DV72)+'LINEST VARS'!$A$58*(0.5*$DV72)</f>
        <v>0.9214625000000003</v>
      </c>
      <c r="EA72" s="51">
        <f>'LINEST VARS'!$U$58+'LINEST VARS'!$T$58*(8)+'LINEST VARS'!$S$58*(8)+'LINEST VARS'!$R$58*($EA$56)+'LINEST VARS'!$Q$58*(0.5)+'LINEST VARS'!$P$58*($DV72)+'LINEST VARS'!$O$58*(8^2)+'LINEST VARS'!$N$58*(8^2)+'LINEST VARS'!$M$58*($EA$56^2)+'LINEST VARS'!$L$58*(0.5^2)+'LINEST VARS'!$K$58*($DV72^2)+'LINEST VARS'!$J$58*(8*8)+'LINEST VARS'!$I$58*(8*$EA$56)+'LINEST VARS'!$H$58*(8*0.5)+'LINEST VARS'!$G$58*(8*$DV72)+'LINEST VARS'!$F$58*(8*$EA$56)+'LINEST VARS'!$E$58*(8*0.5)+'LINEST VARS'!$D$58*(8*$DV72)+'LINEST VARS'!$C$58*($EA$56*0.5)+'LINEST VARS'!$B$58*($EA$56*$DV72)+'LINEST VARS'!$A$58*(0.5*$DV72)</f>
        <v>0.92946250000000019</v>
      </c>
      <c r="EB72" s="51">
        <f>'LINEST VARS'!$U$58+'LINEST VARS'!$T$58*(8)+'LINEST VARS'!$S$58*(8)+'LINEST VARS'!$R$58*($EB$56)+'LINEST VARS'!$Q$58*(0.5)+'LINEST VARS'!$P$58*($DV72)+'LINEST VARS'!$O$58*(8^2)+'LINEST VARS'!$N$58*(8^2)+'LINEST VARS'!$M$58*($EB$56^2)+'LINEST VARS'!$L$58*(0.5^2)+'LINEST VARS'!$K$58*($DV72^2)+'LINEST VARS'!$J$58*(8*8)+'LINEST VARS'!$I$58*(8*$EB$56)+'LINEST VARS'!$H$58*(8*0.5)+'LINEST VARS'!$G$58*(8*$DV72)+'LINEST VARS'!$F$58*(8*$EB$56)+'LINEST VARS'!$E$58*(8*0.5)+'LINEST VARS'!$D$58*(8*$DV72)+'LINEST VARS'!$C$58*($EB$56*0.5)+'LINEST VARS'!$B$58*($EB$56*$DV72)+'LINEST VARS'!$A$58*(0.5*$DV72)</f>
        <v>0.93746250000000031</v>
      </c>
      <c r="EC72" s="51">
        <f>'LINEST VARS'!$U$58+'LINEST VARS'!$T$58*(8)+'LINEST VARS'!$S$58*(8)+'LINEST VARS'!$R$58*($EC$56)+'LINEST VARS'!$Q$58*(0.5)+'LINEST VARS'!$P$58*($DV72)+'LINEST VARS'!$O$58*(8^2)+'LINEST VARS'!$N$58*(8^2)+'LINEST VARS'!$M$58*($EC$56^2)+'LINEST VARS'!$L$58*(0.5^2)+'LINEST VARS'!$K$58*($DV72^2)+'LINEST VARS'!$J$58*(8*8)+'LINEST VARS'!$I$58*(8*$EC$56)+'LINEST VARS'!$H$58*(8*0.5)+'LINEST VARS'!$G$58*(8*$DV72)+'LINEST VARS'!$F$58*(8*$EC$56)+'LINEST VARS'!$E$58*(8*0.5)+'LINEST VARS'!$D$58*(8*$DV72)+'LINEST VARS'!$C$58*($EC$56*0.5)+'LINEST VARS'!$B$58*($EC$56*$DV72)+'LINEST VARS'!$A$58*(0.5*$DV72)</f>
        <v>0.94546250000000032</v>
      </c>
      <c r="ED72" s="51">
        <f>'LINEST VARS'!$U$58+'LINEST VARS'!$T$58*(8)+'LINEST VARS'!$S$58*(8)+'LINEST VARS'!$R$58*($ED$56)+'LINEST VARS'!$Q$58*(0.5)+'LINEST VARS'!$P$58*($DV72)+'LINEST VARS'!$O$58*(8^2)+'LINEST VARS'!$N$58*(8^2)+'LINEST VARS'!$M$58*($ED$56^2)+'LINEST VARS'!$L$58*(0.5^2)+'LINEST VARS'!$K$58*($DV72^2)+'LINEST VARS'!$J$58*(8*8)+'LINEST VARS'!$I$58*(8*$ED$56)+'LINEST VARS'!$H$58*(8*0.5)+'LINEST VARS'!$G$58*(8*$DV72)+'LINEST VARS'!$F$58*(8*$ED$56)+'LINEST VARS'!$E$58*(8*0.5)+'LINEST VARS'!$D$58*(8*$DV72)+'LINEST VARS'!$C$58*($ED$56*0.5)+'LINEST VARS'!$B$58*($ED$56*$DV72)+'LINEST VARS'!$A$58*(0.5*$DV72)</f>
        <v>0.95346250000000032</v>
      </c>
      <c r="EE72" s="51">
        <f>'LINEST VARS'!$U$58+'LINEST VARS'!$T$58*(8)+'LINEST VARS'!$S$58*(8)+'LINEST VARS'!$R$58*($EE$56)+'LINEST VARS'!$Q$58*(0.5)+'LINEST VARS'!$P$58*($DV72)+'LINEST VARS'!$O$58*(8^2)+'LINEST VARS'!$N$58*(8^2)+'LINEST VARS'!$M$58*($EE$56^2)+'LINEST VARS'!$L$58*(0.5^2)+'LINEST VARS'!$K$58*($DV72^2)+'LINEST VARS'!$J$58*(8*8)+'LINEST VARS'!$I$58*(8*$EE$56)+'LINEST VARS'!$H$58*(8*0.5)+'LINEST VARS'!$G$58*(8*$DV72)+'LINEST VARS'!$F$58*(8*$EE$56)+'LINEST VARS'!$E$58*(8*0.5)+'LINEST VARS'!$D$58*(8*$DV72)+'LINEST VARS'!$C$58*($EE$56*0.5)+'LINEST VARS'!$B$58*($EE$56*$DV72)+'LINEST VARS'!$A$58*(0.5*$DV72)</f>
        <v>0.96146250000000044</v>
      </c>
      <c r="EF72" s="51">
        <f>'LINEST VARS'!$U$58+'LINEST VARS'!$T$58*(8)+'LINEST VARS'!$S$58*(8)+'LINEST VARS'!$R$58*($EF$56)+'LINEST VARS'!$Q$58*(0.5)+'LINEST VARS'!$P$58*($DV72)+'LINEST VARS'!$O$58*(8^2)+'LINEST VARS'!$N$58*(8^2)+'LINEST VARS'!$M$58*($EF$56^2)+'LINEST VARS'!$L$58*(0.5^2)+'LINEST VARS'!$K$58*($DV72^2)+'LINEST VARS'!$J$58*(8*8)+'LINEST VARS'!$I$58*(8*$EF$56)+'LINEST VARS'!$H$58*(8*0.5)+'LINEST VARS'!$G$58*(8*$DV72)+'LINEST VARS'!$F$58*(8*$EF$56)+'LINEST VARS'!$E$58*(8*0.5)+'LINEST VARS'!$D$58*(8*$DV72)+'LINEST VARS'!$C$58*($EF$56*0.5)+'LINEST VARS'!$B$58*($EF$56*$DV72)+'LINEST VARS'!$A$58*(0.5*$DV72)</f>
        <v>0.96946250000000034</v>
      </c>
      <c r="EG72" s="51">
        <f>'LINEST VARS'!$U$58+'LINEST VARS'!$T$58*(8)+'LINEST VARS'!$S$58*(8)+'LINEST VARS'!$R$58*($EG$56)+'LINEST VARS'!$Q$58*(0.5)+'LINEST VARS'!$P$58*($DV72)+'LINEST VARS'!$O$58*(8^2)+'LINEST VARS'!$N$58*(8^2)+'LINEST VARS'!$M$58*($EG$56^2)+'LINEST VARS'!$L$58*(0.5^2)+'LINEST VARS'!$K$58*($DV72^2)+'LINEST VARS'!$J$58*(8*8)+'LINEST VARS'!$I$58*(8*$EG$56)+'LINEST VARS'!$H$58*(8*0.5)+'LINEST VARS'!$G$58*(8*$DV72)+'LINEST VARS'!$F$58*(8*$EG$56)+'LINEST VARS'!$E$58*(8*0.5)+'LINEST VARS'!$D$58*(8*$DV72)+'LINEST VARS'!$C$58*($EG$56*0.5)+'LINEST VARS'!$B$58*($EG$56*$DV72)+'LINEST VARS'!$A$58*(0.5*$DV72)</f>
        <v>0.97746250000000034</v>
      </c>
      <c r="EH72" s="51">
        <f>'LINEST VARS'!$U$58+'LINEST VARS'!$T$58*(8)+'LINEST VARS'!$S$58*(8)+'LINEST VARS'!$R$58*($EH$56)+'LINEST VARS'!$Q$58*(0.5)+'LINEST VARS'!$P$58*($DV72)+'LINEST VARS'!$O$58*(8^2)+'LINEST VARS'!$N$58*(8^2)+'LINEST VARS'!$M$58*($EH$56^2)+'LINEST VARS'!$L$58*(0.5^2)+'LINEST VARS'!$K$58*($DV72^2)+'LINEST VARS'!$J$58*(8*8)+'LINEST VARS'!$I$58*(8*$EH$56)+'LINEST VARS'!$H$58*(8*0.5)+'LINEST VARS'!$G$58*(8*$DV72)+'LINEST VARS'!$F$58*(8*$EH$56)+'LINEST VARS'!$E$58*(8*0.5)+'LINEST VARS'!$D$58*(8*$DV72)+'LINEST VARS'!$C$58*($EH$56*0.5)+'LINEST VARS'!$B$58*($EH$56*$DV72)+'LINEST VARS'!$A$58*(0.5*$DV72)</f>
        <v>0.98546250000000024</v>
      </c>
      <c r="EI72" s="51">
        <f>'LINEST VARS'!$U$58+'LINEST VARS'!$T$58*(8)+'LINEST VARS'!$S$58*(8)+'LINEST VARS'!$R$58*($EI$56)+'LINEST VARS'!$Q$58*(0.5)+'LINEST VARS'!$P$58*($DV72)+'LINEST VARS'!$O$58*(8^2)+'LINEST VARS'!$N$58*(8^2)+'LINEST VARS'!$M$58*($EI$56^2)+'LINEST VARS'!$L$58*(0.5^2)+'LINEST VARS'!$K$58*($DV72^2)+'LINEST VARS'!$J$58*(8*8)+'LINEST VARS'!$I$58*(8*$EI$56)+'LINEST VARS'!$H$58*(8*0.5)+'LINEST VARS'!$G$58*(8*$DV72)+'LINEST VARS'!$F$58*(8*$EI$56)+'LINEST VARS'!$E$58*(8*0.5)+'LINEST VARS'!$D$58*(8*$DV72)+'LINEST VARS'!$C$58*($EI$56*0.5)+'LINEST VARS'!$B$58*($EI$56*$DV72)+'LINEST VARS'!$A$58*(0.5*$DV72)</f>
        <v>0.99346250000000025</v>
      </c>
      <c r="EJ72" s="51">
        <f>'LINEST VARS'!$U$58+'LINEST VARS'!$T$58*(8)+'LINEST VARS'!$S$58*(8)+'LINEST VARS'!$R$58*($EJ$56)+'LINEST VARS'!$Q$58*(0.5)+'LINEST VARS'!$P$58*($DV72)+'LINEST VARS'!$O$58*(8^2)+'LINEST VARS'!$N$58*(8^2)+'LINEST VARS'!$M$58*($EJ$56^2)+'LINEST VARS'!$L$58*(0.5^2)+'LINEST VARS'!$K$58*($DV72^2)+'LINEST VARS'!$J$58*(8*8)+'LINEST VARS'!$I$58*(8*$EJ$56)+'LINEST VARS'!$H$58*(8*0.5)+'LINEST VARS'!$G$58*(8*$DV72)+'LINEST VARS'!$F$58*(8*$EJ$56)+'LINEST VARS'!$E$58*(8*0.5)+'LINEST VARS'!$D$58*(8*$DV72)+'LINEST VARS'!$C$58*($EJ$56*0.5)+'LINEST VARS'!$B$58*($EJ$56*$DV72)+'LINEST VARS'!$A$58*(0.5*$DV72)</f>
        <v>1.0014625000000004</v>
      </c>
      <c r="EK72" s="51">
        <f>'LINEST VARS'!$U$58+'LINEST VARS'!$T$58*(8)+'LINEST VARS'!$S$58*(8)+'LINEST VARS'!$R$58*($EK$56)+'LINEST VARS'!$Q$58*(0.5)+'LINEST VARS'!$P$58*($DV72)+'LINEST VARS'!$O$58*(8^2)+'LINEST VARS'!$N$58*(8^2)+'LINEST VARS'!$M$58*($EK$56^2)+'LINEST VARS'!$L$58*(0.5^2)+'LINEST VARS'!$K$58*($DV72^2)+'LINEST VARS'!$J$58*(8*8)+'LINEST VARS'!$I$58*(8*$EK$56)+'LINEST VARS'!$H$58*(8*0.5)+'LINEST VARS'!$G$58*(8*$DV72)+'LINEST VARS'!$F$58*(8*$EK$56)+'LINEST VARS'!$E$58*(8*0.5)+'LINEST VARS'!$D$58*(8*$DV72)+'LINEST VARS'!$C$58*($EK$56*0.5)+'LINEST VARS'!$B$58*($EK$56*$DV72)+'LINEST VARS'!$A$58*(0.5*$DV72)</f>
        <v>1.0094625000000004</v>
      </c>
      <c r="EL72" s="51">
        <f>'LINEST VARS'!$U$58+'LINEST VARS'!$T$58*(8)+'LINEST VARS'!$S$58*(8)+'LINEST VARS'!$R$58*($EL$56)+'LINEST VARS'!$Q$58*(0.5)+'LINEST VARS'!$P$58*($DV72)+'LINEST VARS'!$O$58*(8^2)+'LINEST VARS'!$N$58*(8^2)+'LINEST VARS'!$M$58*($EL$56^2)+'LINEST VARS'!$L$58*(0.5^2)+'LINEST VARS'!$K$58*($DV72^2)+'LINEST VARS'!$J$58*(8*8)+'LINEST VARS'!$I$58*(8*$EL$56)+'LINEST VARS'!$H$58*(8*0.5)+'LINEST VARS'!$G$58*(8*$DV72)+'LINEST VARS'!$F$58*(8*$EL$56)+'LINEST VARS'!$E$58*(8*0.5)+'LINEST VARS'!$D$58*(8*$DV72)+'LINEST VARS'!$C$58*($EL$56*0.5)+'LINEST VARS'!$B$58*($EL$56*$DV72)+'LINEST VARS'!$A$58*(0.5*$DV72)</f>
        <v>1.0174625000000004</v>
      </c>
      <c r="EM72" s="51">
        <f>'LINEST VARS'!$U$58+'LINEST VARS'!$T$58*(8)+'LINEST VARS'!$S$58*(8)+'LINEST VARS'!$R$58*($EM$56)+'LINEST VARS'!$Q$58*(0.5)+'LINEST VARS'!$P$58*($DV72)+'LINEST VARS'!$O$58*(8^2)+'LINEST VARS'!$N$58*(8^2)+'LINEST VARS'!$M$58*($EM$56^2)+'LINEST VARS'!$L$58*(0.5^2)+'LINEST VARS'!$K$58*($DV72^2)+'LINEST VARS'!$J$58*(8*8)+'LINEST VARS'!$I$58*(8*$EM$56)+'LINEST VARS'!$H$58*(8*0.5)+'LINEST VARS'!$G$58*(8*$DV72)+'LINEST VARS'!$F$58*(8*$EM$56)+'LINEST VARS'!$E$58*(8*0.5)+'LINEST VARS'!$D$58*(8*$DV72)+'LINEST VARS'!$C$58*($EM$56*0.5)+'LINEST VARS'!$B$58*($EM$56*$DV72)+'LINEST VARS'!$A$58*(0.5*$DV72)</f>
        <v>1.0254625000000004</v>
      </c>
      <c r="EN72" s="51">
        <f>'LINEST VARS'!$U$58+'LINEST VARS'!$T$58*(8)+'LINEST VARS'!$S$58*(8)+'LINEST VARS'!$R$58*($EN$56)+'LINEST VARS'!$Q$58*(0.5)+'LINEST VARS'!$P$58*($DV72)+'LINEST VARS'!$O$58*(8^2)+'LINEST VARS'!$N$58*(8^2)+'LINEST VARS'!$M$58*($EN$56^2)+'LINEST VARS'!$L$58*(0.5^2)+'LINEST VARS'!$K$58*($DV72^2)+'LINEST VARS'!$J$58*(8*8)+'LINEST VARS'!$I$58*(8*$EN$56)+'LINEST VARS'!$H$58*(8*0.5)+'LINEST VARS'!$G$58*(8*$DV72)+'LINEST VARS'!$F$58*(8*$EN$56)+'LINEST VARS'!$E$58*(8*0.5)+'LINEST VARS'!$D$58*(8*$DV72)+'LINEST VARS'!$C$58*($EN$56*0.5)+'LINEST VARS'!$B$58*($EN$56*$DV72)+'LINEST VARS'!$A$58*(0.5*$DV72)</f>
        <v>1.0334625000000004</v>
      </c>
      <c r="EO72" s="51">
        <f>'LINEST VARS'!$U$58+'LINEST VARS'!$T$58*(8)+'LINEST VARS'!$S$58*(8)+'LINEST VARS'!$R$58*($EO$56)+'LINEST VARS'!$Q$58*(0.5)+'LINEST VARS'!$P$58*($DV72)+'LINEST VARS'!$O$58*(8^2)+'LINEST VARS'!$N$58*(8^2)+'LINEST VARS'!$M$58*($EO$56^2)+'LINEST VARS'!$L$58*(0.5^2)+'LINEST VARS'!$K$58*($DV72^2)+'LINEST VARS'!$J$58*(8*8)+'LINEST VARS'!$I$58*(8*$EO$56)+'LINEST VARS'!$H$58*(8*0.5)+'LINEST VARS'!$G$58*(8*$DV72)+'LINEST VARS'!$F$58*(8*$EO$56)+'LINEST VARS'!$E$58*(8*0.5)+'LINEST VARS'!$D$58*(8*$DV72)+'LINEST VARS'!$C$58*($EO$56*0.5)+'LINEST VARS'!$B$58*($EO$56*$DV72)+'LINEST VARS'!$A$58*(0.5*$DV72)</f>
        <v>1.0414625000000002</v>
      </c>
      <c r="EP72" s="51">
        <f>'LINEST VARS'!$U$58+'LINEST VARS'!$T$58*(8)+'LINEST VARS'!$S$58*(8)+'LINEST VARS'!$R$58*($EP$56)+'LINEST VARS'!$Q$58*(0.5)+'LINEST VARS'!$P$58*($DV72)+'LINEST VARS'!$O$58*(8^2)+'LINEST VARS'!$N$58*(8^2)+'LINEST VARS'!$M$58*($EP$56^2)+'LINEST VARS'!$L$58*(0.5^2)+'LINEST VARS'!$K$58*($DV72^2)+'LINEST VARS'!$J$58*(8*8)+'LINEST VARS'!$I$58*(8*$EP$56)+'LINEST VARS'!$H$58*(8*0.5)+'LINEST VARS'!$G$58*(8*$DV72)+'LINEST VARS'!$F$58*(8*$EP$56)+'LINEST VARS'!$E$58*(8*0.5)+'LINEST VARS'!$D$58*(8*$DV72)+'LINEST VARS'!$C$58*($EP$56*0.5)+'LINEST VARS'!$B$58*($EP$56*$DV72)+'LINEST VARS'!$A$58*(0.5*$DV72)</f>
        <v>1.0494625000000002</v>
      </c>
      <c r="EQ72" s="52">
        <f>'LINEST VARS'!$U$58+'LINEST VARS'!$T$58*(8)+'LINEST VARS'!$S$58*(8)+'LINEST VARS'!$R$58*($EQ$56)+'LINEST VARS'!$Q$58*(0.5)+'LINEST VARS'!$P$58*($DV72)+'LINEST VARS'!$O$58*(8^2)+'LINEST VARS'!$N$58*(8^2)+'LINEST VARS'!$M$58*($EQ$56^2)+'LINEST VARS'!$L$58*(0.5^2)+'LINEST VARS'!$K$58*($DV72^2)+'LINEST VARS'!$J$58*(8*8)+'LINEST VARS'!$I$58*(8*$EQ$56)+'LINEST VARS'!$H$58*(8*0.5)+'LINEST VARS'!$G$58*(8*$DV72)+'LINEST VARS'!$F$58*(8*$EQ$56)+'LINEST VARS'!$E$58*(8*0.5)+'LINEST VARS'!$D$58*(8*$DV72)+'LINEST VARS'!$C$58*($EQ$56*0.5)+'LINEST VARS'!$B$58*($EQ$56*$DV72)+'LINEST VARS'!$A$58*(0.5*$DV72)</f>
        <v>1.0574625000000004</v>
      </c>
    </row>
    <row r="73" spans="2:147" ht="15" customHeight="1" x14ac:dyDescent="0.25">
      <c r="B73" s="45">
        <v>8.36</v>
      </c>
      <c r="C73" s="51">
        <f>'LINEST VARS'!$U$56+'LINEST VARS'!$T$56*($C$56)+'LINEST VARS'!$S$56*($B73)+'LINEST VARS'!$R$56*(4)+'LINEST VARS'!$Q$56*(0.5)+'LINEST VARS'!$P$56*(12.73)+'LINEST VARS'!$O$56*($C$56^2)+'LINEST VARS'!$N$56*($B73^2)+'LINEST VARS'!$M$56*(4^2)+'LINEST VARS'!$L$56*(0.5^2)+'LINEST VARS'!$K$56*(12.73^2)+'LINEST VARS'!$J$56*($C$56*$B73)+'LINEST VARS'!$I$56*($C$56*4)+'LINEST VARS'!$H$56*($C$56*0.5)+'LINEST VARS'!$G$56*($C$56*12.73)+'LINEST VARS'!$F$56*($B73*4)+'LINEST VARS'!$E$56*($B73*0.5)+'LINEST VARS'!$D$56*($B73*12.73)+'LINEST VARS'!$C$56*(4*0.5)+'LINEST VARS'!$B$56*(4*12.73)+'LINEST VARS'!$A$56*(0.5*12.73)</f>
        <v>2.8400000000000012</v>
      </c>
      <c r="D73" s="51">
        <f>'LINEST VARS'!$U$56+'LINEST VARS'!$T$56*($D$56)+'LINEST VARS'!$S$56*($B73)+'LINEST VARS'!$R$56*(4)+'LINEST VARS'!$Q$56*(0.5)+'LINEST VARS'!$P$56*(12.73)+'LINEST VARS'!$O$56*($D$56^2)+'LINEST VARS'!$N$56*($B73^2)+'LINEST VARS'!$M$56*(4^2)+'LINEST VARS'!$L$56*(0.5^2)+'LINEST VARS'!$K$56*(12.73^2)+'LINEST VARS'!$J$56*($D$56*$B73)+'LINEST VARS'!$I$56*($D$56*4)+'LINEST VARS'!$H$56*($D$56*0.5)+'LINEST VARS'!$G$56*($D$56*12.73)+'LINEST VARS'!$F$56*($B73*4)+'LINEST VARS'!$E$56*($B73*0.5)+'LINEST VARS'!$D$56*($B73*12.73)+'LINEST VARS'!$C$56*(4*0.5)+'LINEST VARS'!$B$56*(4*12.73)+'LINEST VARS'!$A$56*(0.5*12.73)</f>
        <v>2.8400000000000012</v>
      </c>
      <c r="E73" s="51">
        <f>'LINEST VARS'!$U$56+'LINEST VARS'!$T$56*($E$56)+'LINEST VARS'!$S$56*($B73)+'LINEST VARS'!$R$56*(4)+'LINEST VARS'!$Q$56*(0.5)+'LINEST VARS'!$P$56*(12.73)+'LINEST VARS'!$O$56*($E$56^2)+'LINEST VARS'!$N$56*($B73^2)+'LINEST VARS'!$M$56*(4^2)+'LINEST VARS'!$L$56*(0.5^2)+'LINEST VARS'!$K$56*(12.73^2)+'LINEST VARS'!$J$56*($E$56*$B73)+'LINEST VARS'!$I$56*($E$56*4)+'LINEST VARS'!$H$56*($E$56*0.5)+'LINEST VARS'!$G$56*($E$56*12.73)+'LINEST VARS'!$F$56*($B73*4)+'LINEST VARS'!$E$56*($B73*0.5)+'LINEST VARS'!$D$56*($B73*12.73)+'LINEST VARS'!$C$56*(4*0.5)+'LINEST VARS'!$B$56*(4*12.73)+'LINEST VARS'!$A$56*(0.5*12.73)</f>
        <v>2.8400000000000012</v>
      </c>
      <c r="F73" s="51">
        <f>'LINEST VARS'!$U$56+'LINEST VARS'!$T$56*($F$56)+'LINEST VARS'!$S$56*($B73)+'LINEST VARS'!$R$56*(4)+'LINEST VARS'!$Q$56*(0.5)+'LINEST VARS'!$P$56*(12.73)+'LINEST VARS'!$O$56*($F$56^2)+'LINEST VARS'!$N$56*($B73^2)+'LINEST VARS'!$M$56*(4^2)+'LINEST VARS'!$L$56*(0.5^2)+'LINEST VARS'!$K$56*(12.73^2)+'LINEST VARS'!$J$56*($F$56*$B73)+'LINEST VARS'!$I$56*($F$56*4)+'LINEST VARS'!$H$56*($F$56*0.5)+'LINEST VARS'!$G$56*($F$56*12.73)+'LINEST VARS'!$F$56*($B73*4)+'LINEST VARS'!$E$56*($B73*0.5)+'LINEST VARS'!$D$56*($B73*12.73)+'LINEST VARS'!$C$56*(4*0.5)+'LINEST VARS'!$B$56*(4*12.73)+'LINEST VARS'!$A$56*(0.5*12.73)</f>
        <v>2.8400000000000012</v>
      </c>
      <c r="G73" s="51">
        <f>'LINEST VARS'!$U$56+'LINEST VARS'!$T$56*($G$56)+'LINEST VARS'!$S$56*($B73)+'LINEST VARS'!$R$56*(4)+'LINEST VARS'!$Q$56*(0.5)+'LINEST VARS'!$P$56*(12.73)+'LINEST VARS'!$O$56*($G$56^2)+'LINEST VARS'!$N$56*($B73^2)+'LINEST VARS'!$M$56*(4^2)+'LINEST VARS'!$L$56*(0.5^2)+'LINEST VARS'!$K$56*(12.73^2)+'LINEST VARS'!$J$56*($G$56*$B73)+'LINEST VARS'!$I$56*($G$56*4)+'LINEST VARS'!$H$56*($G$56*0.5)+'LINEST VARS'!$G$56*($G$56*12.73)+'LINEST VARS'!$F$56*($B73*4)+'LINEST VARS'!$E$56*($B73*0.5)+'LINEST VARS'!$D$56*($B73*12.73)+'LINEST VARS'!$C$56*(4*0.5)+'LINEST VARS'!$B$56*(4*12.73)+'LINEST VARS'!$A$56*(0.5*12.73)</f>
        <v>2.8400000000000012</v>
      </c>
      <c r="H73" s="51">
        <f>'LINEST VARS'!$U$56+'LINEST VARS'!$T$56*($H$56)+'LINEST VARS'!$S$56*($B73)+'LINEST VARS'!$R$56*(4)+'LINEST VARS'!$Q$56*(0.5)+'LINEST VARS'!$P$56*(12.73)+'LINEST VARS'!$O$56*($H$56^2)+'LINEST VARS'!$N$56*($B73^2)+'LINEST VARS'!$M$56*(4^2)+'LINEST VARS'!$L$56*(0.5^2)+'LINEST VARS'!$K$56*(12.73^2)+'LINEST VARS'!$J$56*($H$56*$B73)+'LINEST VARS'!$I$56*($H$56*4)+'LINEST VARS'!$H$56*($H$56*0.5)+'LINEST VARS'!$G$56*($H$56*12.73)+'LINEST VARS'!$F$56*($B73*4)+'LINEST VARS'!$E$56*($B73*0.5)+'LINEST VARS'!$D$56*($B73*12.73)+'LINEST VARS'!$C$56*(4*0.5)+'LINEST VARS'!$B$56*(4*12.73)+'LINEST VARS'!$A$56*(0.5*12.73)</f>
        <v>2.8400000000000012</v>
      </c>
      <c r="I73" s="51">
        <f>'LINEST VARS'!$U$56+'LINEST VARS'!$T$56*($I$56)+'LINEST VARS'!$S$56*($B73)+'LINEST VARS'!$R$56*(4)+'LINEST VARS'!$Q$56*(0.5)+'LINEST VARS'!$P$56*(12.73)+'LINEST VARS'!$O$56*($I$56^2)+'LINEST VARS'!$N$56*($B73^2)+'LINEST VARS'!$M$56*(4^2)+'LINEST VARS'!$L$56*(0.5^2)+'LINEST VARS'!$K$56*(12.73^2)+'LINEST VARS'!$J$56*($I$56*$B73)+'LINEST VARS'!$I$56*($I$56*4)+'LINEST VARS'!$H$56*($I$56*0.5)+'LINEST VARS'!$G$56*($I$56*12.73)+'LINEST VARS'!$F$56*($B73*4)+'LINEST VARS'!$E$56*($B73*0.5)+'LINEST VARS'!$D$56*($B73*12.73)+'LINEST VARS'!$C$56*(4*0.5)+'LINEST VARS'!$B$56*(4*12.73)+'LINEST VARS'!$A$56*(0.5*12.73)</f>
        <v>2.8400000000000012</v>
      </c>
      <c r="J73" s="51">
        <f>'LINEST VARS'!$U$56+'LINEST VARS'!$T$56*($J$56)+'LINEST VARS'!$S$56*($B73)+'LINEST VARS'!$R$56*(4)+'LINEST VARS'!$Q$56*(0.5)+'LINEST VARS'!$P$56*(12.73)+'LINEST VARS'!$O$56*($J$56^2)+'LINEST VARS'!$N$56*($B73^2)+'LINEST VARS'!$M$56*(4^2)+'LINEST VARS'!$L$56*(0.5^2)+'LINEST VARS'!$K$56*(12.73^2)+'LINEST VARS'!$J$56*($J$56*$B73)+'LINEST VARS'!$I$56*($J$56*4)+'LINEST VARS'!$H$56*($J$56*0.5)+'LINEST VARS'!$G$56*($J$56*12.73)+'LINEST VARS'!$F$56*($B73*4)+'LINEST VARS'!$E$56*($B73*0.5)+'LINEST VARS'!$D$56*($B73*12.73)+'LINEST VARS'!$C$56*(4*0.5)+'LINEST VARS'!$B$56*(4*12.73)+'LINEST VARS'!$A$56*(0.5*12.73)</f>
        <v>2.8400000000000012</v>
      </c>
      <c r="K73" s="51">
        <f>'LINEST VARS'!$U$56+'LINEST VARS'!$T$56*($K$56)+'LINEST VARS'!$S$56*($B73)+'LINEST VARS'!$R$56*(4)+'LINEST VARS'!$Q$56*(0.5)+'LINEST VARS'!$P$56*(12.73)+'LINEST VARS'!$O$56*($K$56^2)+'LINEST VARS'!$N$56*($B73^2)+'LINEST VARS'!$M$56*(4^2)+'LINEST VARS'!$L$56*(0.5^2)+'LINEST VARS'!$K$56*(12.73^2)+'LINEST VARS'!$J$56*($K$56*$B73)+'LINEST VARS'!$I$56*($K$56*4)+'LINEST VARS'!$H$56*($K$56*0.5)+'LINEST VARS'!$G$56*($K$56*12.73)+'LINEST VARS'!$F$56*($B73*4)+'LINEST VARS'!$E$56*($B73*0.5)+'LINEST VARS'!$D$56*($B73*12.73)+'LINEST VARS'!$C$56*(4*0.5)+'LINEST VARS'!$B$56*(4*12.73)+'LINEST VARS'!$A$56*(0.5*12.73)</f>
        <v>2.8400000000000007</v>
      </c>
      <c r="L73" s="51">
        <f>'LINEST VARS'!$U$56+'LINEST VARS'!$T$56*($L$56)+'LINEST VARS'!$S$56*($B73)+'LINEST VARS'!$R$56*(4)+'LINEST VARS'!$Q$56*(0.5)+'LINEST VARS'!$P$56*(12.73)+'LINEST VARS'!$O$56*($L$56^2)+'LINEST VARS'!$N$56*($B73^2)+'LINEST VARS'!$M$56*(4^2)+'LINEST VARS'!$L$56*(0.5^2)+'LINEST VARS'!$K$56*(12.73^2)+'LINEST VARS'!$J$56*($L$56*$B73)+'LINEST VARS'!$I$56*($L$56*4)+'LINEST VARS'!$H$56*($L$56*0.5)+'LINEST VARS'!$G$56*($L$56*12.73)+'LINEST VARS'!$F$56*($B73*4)+'LINEST VARS'!$E$56*($B73*0.5)+'LINEST VARS'!$D$56*($B73*12.73)+'LINEST VARS'!$C$56*(4*0.5)+'LINEST VARS'!$B$56*(4*12.73)+'LINEST VARS'!$A$56*(0.5*12.73)</f>
        <v>2.8400000000000007</v>
      </c>
      <c r="M73" s="51">
        <f>'LINEST VARS'!$U$56+'LINEST VARS'!$T$56*($M$56)+'LINEST VARS'!$S$56*($B73)+'LINEST VARS'!$R$56*(4)+'LINEST VARS'!$Q$56*(0.5)+'LINEST VARS'!$P$56*(12.73)+'LINEST VARS'!$O$56*($M$56^2)+'LINEST VARS'!$N$56*($B73^2)+'LINEST VARS'!$M$56*(4^2)+'LINEST VARS'!$L$56*(0.5^2)+'LINEST VARS'!$K$56*(12.73^2)+'LINEST VARS'!$J$56*($M$56*$B73)+'LINEST VARS'!$I$56*($M$56*4)+'LINEST VARS'!$H$56*($M$56*0.5)+'LINEST VARS'!$G$56*($M$56*12.73)+'LINEST VARS'!$F$56*($B73*4)+'LINEST VARS'!$E$56*($B73*0.5)+'LINEST VARS'!$D$56*($B73*12.73)+'LINEST VARS'!$C$56*(4*0.5)+'LINEST VARS'!$B$56*(4*12.73)+'LINEST VARS'!$A$56*(0.5*12.73)</f>
        <v>2.8400000000000007</v>
      </c>
      <c r="N73" s="51">
        <f>'LINEST VARS'!$U$56+'LINEST VARS'!$T$56*($N$56)+'LINEST VARS'!$S$56*($B73)+'LINEST VARS'!$R$56*(4)+'LINEST VARS'!$Q$56*(0.5)+'LINEST VARS'!$P$56*(12.73)+'LINEST VARS'!$O$56*($N$56^2)+'LINEST VARS'!$N$56*($B73^2)+'LINEST VARS'!$M$56*(4^2)+'LINEST VARS'!$L$56*(0.5^2)+'LINEST VARS'!$K$56*(12.73^2)+'LINEST VARS'!$J$56*($N$56*$B73)+'LINEST VARS'!$I$56*($N$56*4)+'LINEST VARS'!$H$56*($N$56*0.5)+'LINEST VARS'!$G$56*($N$56*12.73)+'LINEST VARS'!$F$56*($B73*4)+'LINEST VARS'!$E$56*($B73*0.5)+'LINEST VARS'!$D$56*($B73*12.73)+'LINEST VARS'!$C$56*(4*0.5)+'LINEST VARS'!$B$56*(4*12.73)+'LINEST VARS'!$A$56*(0.5*12.73)</f>
        <v>2.8400000000000007</v>
      </c>
      <c r="O73" s="51">
        <f>'LINEST VARS'!$U$56+'LINEST VARS'!$T$56*($O$56)+'LINEST VARS'!$S$56*($B73)+'LINEST VARS'!$R$56*(4)+'LINEST VARS'!$Q$56*(0.5)+'LINEST VARS'!$P$56*(12.73)+'LINEST VARS'!$O$56*($O$56^2)+'LINEST VARS'!$N$56*($B73^2)+'LINEST VARS'!$M$56*(4^2)+'LINEST VARS'!$L$56*(0.5^2)+'LINEST VARS'!$K$56*(12.73^2)+'LINEST VARS'!$J$56*($O$56*$B73)+'LINEST VARS'!$I$56*($O$56*4)+'LINEST VARS'!$H$56*($O$56*0.5)+'LINEST VARS'!$G$56*($O$56*12.73)+'LINEST VARS'!$F$56*($B73*4)+'LINEST VARS'!$E$56*($B73*0.5)+'LINEST VARS'!$D$56*($B73*12.73)+'LINEST VARS'!$C$56*(4*0.5)+'LINEST VARS'!$B$56*(4*12.73)+'LINEST VARS'!$A$56*(0.5*12.73)</f>
        <v>2.8400000000000007</v>
      </c>
      <c r="P73" s="51">
        <f>'LINEST VARS'!$U$56+'LINEST VARS'!$T$56*($P$56)+'LINEST VARS'!$S$56*($B73)+'LINEST VARS'!$R$56*(4)+'LINEST VARS'!$Q$56*(0.5)+'LINEST VARS'!$P$56*(12.73)+'LINEST VARS'!$O$56*($P$56^2)+'LINEST VARS'!$N$56*($B73^2)+'LINEST VARS'!$M$56*(4^2)+'LINEST VARS'!$L$56*(0.5^2)+'LINEST VARS'!$K$56*(12.73^2)+'LINEST VARS'!$J$56*($P$56*$B73)+'LINEST VARS'!$I$56*($P$56*4)+'LINEST VARS'!$H$56*($P$56*0.5)+'LINEST VARS'!$G$56*($P$56*12.73)+'LINEST VARS'!$F$56*($B73*4)+'LINEST VARS'!$E$56*($B73*0.5)+'LINEST VARS'!$D$56*($B73*12.73)+'LINEST VARS'!$C$56*(4*0.5)+'LINEST VARS'!$B$56*(4*12.73)+'LINEST VARS'!$A$56*(0.5*12.73)</f>
        <v>2.8400000000000007</v>
      </c>
      <c r="Q73" s="51">
        <f>'LINEST VARS'!$U$56+'LINEST VARS'!$T$56*($Q$56)+'LINEST VARS'!$S$56*($B73)+'LINEST VARS'!$R$56*(4)+'LINEST VARS'!$Q$56*(0.5)+'LINEST VARS'!$P$56*(12.73)+'LINEST VARS'!$O$56*($Q$56^2)+'LINEST VARS'!$N$56*($B73^2)+'LINEST VARS'!$M$56*(4^2)+'LINEST VARS'!$L$56*(0.5^2)+'LINEST VARS'!$K$56*(12.73^2)+'LINEST VARS'!$J$56*($Q$56*$B73)+'LINEST VARS'!$I$56*($Q$56*4)+'LINEST VARS'!$H$56*($Q$56*0.5)+'LINEST VARS'!$G$56*($Q$56*12.73)+'LINEST VARS'!$F$56*($B73*4)+'LINEST VARS'!$E$56*($B73*0.5)+'LINEST VARS'!$D$56*($B73*12.73)+'LINEST VARS'!$C$56*(4*0.5)+'LINEST VARS'!$B$56*(4*12.73)+'LINEST VARS'!$A$56*(0.5*12.73)</f>
        <v>2.8400000000000012</v>
      </c>
      <c r="R73" s="51">
        <f>'LINEST VARS'!$U$56+'LINEST VARS'!$T$56*($R$56)+'LINEST VARS'!$S$56*($B73)+'LINEST VARS'!$R$56*(4)+'LINEST VARS'!$Q$56*(0.5)+'LINEST VARS'!$P$56*(12.73)+'LINEST VARS'!$O$56*($R$56^2)+'LINEST VARS'!$N$56*($B73^2)+'LINEST VARS'!$M$56*(4^2)+'LINEST VARS'!$L$56*(0.5^2)+'LINEST VARS'!$K$56*(12.73^2)+'LINEST VARS'!$J$56*($R$56*$B73)+'LINEST VARS'!$I$56*($R$56*4)+'LINEST VARS'!$H$56*($R$56*0.5)+'LINEST VARS'!$G$56*($R$56*12.73)+'LINEST VARS'!$F$56*($B73*4)+'LINEST VARS'!$E$56*($B73*0.5)+'LINEST VARS'!$D$56*($B73*12.73)+'LINEST VARS'!$C$56*(4*0.5)+'LINEST VARS'!$B$56*(4*12.73)+'LINEST VARS'!$A$56*(0.5*12.73)</f>
        <v>2.8400000000000012</v>
      </c>
      <c r="S73" s="51">
        <f>'LINEST VARS'!$U$56+'LINEST VARS'!$T$56*($S$56)+'LINEST VARS'!$S$56*($B73)+'LINEST VARS'!$R$56*(4)+'LINEST VARS'!$Q$56*(0.5)+'LINEST VARS'!$P$56*(12.73)+'LINEST VARS'!$O$56*($S$56^2)+'LINEST VARS'!$N$56*($B73^2)+'LINEST VARS'!$M$56*(4^2)+'LINEST VARS'!$L$56*(0.5^2)+'LINEST VARS'!$K$56*(12.73^2)+'LINEST VARS'!$J$56*($S$56*$B73)+'LINEST VARS'!$I$56*($S$56*4)+'LINEST VARS'!$H$56*($S$56*0.5)+'LINEST VARS'!$G$56*($S$56*12.73)+'LINEST VARS'!$F$56*($B73*4)+'LINEST VARS'!$E$56*($B73*0.5)+'LINEST VARS'!$D$56*($B73*12.73)+'LINEST VARS'!$C$56*(4*0.5)+'LINEST VARS'!$B$56*(4*12.73)+'LINEST VARS'!$A$56*(0.5*12.73)</f>
        <v>2.8400000000000012</v>
      </c>
      <c r="T73" s="51">
        <f>'LINEST VARS'!$U$56+'LINEST VARS'!$T$56*($T$56)+'LINEST VARS'!$S$56*($B73)+'LINEST VARS'!$R$56*(4)+'LINEST VARS'!$Q$56*(0.5)+'LINEST VARS'!$P$56*(12.73)+'LINEST VARS'!$O$56*($T$56^2)+'LINEST VARS'!$N$56*($B73^2)+'LINEST VARS'!$M$56*(4^2)+'LINEST VARS'!$L$56*(0.5^2)+'LINEST VARS'!$K$56*(12.73^2)+'LINEST VARS'!$J$56*($T$56*$B73)+'LINEST VARS'!$I$56*($T$56*4)+'LINEST VARS'!$H$56*($T$56*0.5)+'LINEST VARS'!$G$56*($T$56*12.73)+'LINEST VARS'!$F$56*($B73*4)+'LINEST VARS'!$E$56*($B73*0.5)+'LINEST VARS'!$D$56*($B73*12.73)+'LINEST VARS'!$C$56*(4*0.5)+'LINEST VARS'!$B$56*(4*12.73)+'LINEST VARS'!$A$56*(0.5*12.73)</f>
        <v>2.8400000000000012</v>
      </c>
      <c r="U73" s="51">
        <f>'LINEST VARS'!$U$56+'LINEST VARS'!$T$56*($U$56)+'LINEST VARS'!$S$56*($B73)+'LINEST VARS'!$R$56*(4)+'LINEST VARS'!$Q$56*(0.5)+'LINEST VARS'!$P$56*(12.73)+'LINEST VARS'!$O$56*($U$56^2)+'LINEST VARS'!$N$56*($B73^2)+'LINEST VARS'!$M$56*(4^2)+'LINEST VARS'!$L$56*(0.5^2)+'LINEST VARS'!$K$56*(12.73^2)+'LINEST VARS'!$J$56*($U$56*$B73)+'LINEST VARS'!$I$56*($U$56*4)+'LINEST VARS'!$H$56*($U$56*0.5)+'LINEST VARS'!$G$56*($U$56*12.73)+'LINEST VARS'!$F$56*($B73*4)+'LINEST VARS'!$E$56*($B73*0.5)+'LINEST VARS'!$D$56*($B73*12.73)+'LINEST VARS'!$C$56*(4*0.5)+'LINEST VARS'!$B$56*(4*12.73)+'LINEST VARS'!$A$56*(0.5*12.73)</f>
        <v>2.8400000000000012</v>
      </c>
      <c r="V73" s="51">
        <f>'LINEST VARS'!$U$56+'LINEST VARS'!$T$56*($V$56)+'LINEST VARS'!$S$56*($B73)+'LINEST VARS'!$R$56*(4)+'LINEST VARS'!$Q$56*(0.5)+'LINEST VARS'!$P$56*(12.73)+'LINEST VARS'!$O$56*($V$56^2)+'LINEST VARS'!$N$56*($B73^2)+'LINEST VARS'!$M$56*(4^2)+'LINEST VARS'!$L$56*(0.5^2)+'LINEST VARS'!$K$56*(12.73^2)+'LINEST VARS'!$J$56*($V$56*$B73)+'LINEST VARS'!$I$56*($V$56*4)+'LINEST VARS'!$H$56*($V$56*0.5)+'LINEST VARS'!$G$56*($V$56*12.73)+'LINEST VARS'!$F$56*($B73*4)+'LINEST VARS'!$E$56*($B73*0.5)+'LINEST VARS'!$D$56*($B73*12.73)+'LINEST VARS'!$C$56*(4*0.5)+'LINEST VARS'!$B$56*(4*12.73)+'LINEST VARS'!$A$56*(0.5*12.73)</f>
        <v>2.8400000000000012</v>
      </c>
      <c r="W73" s="52">
        <f>'LINEST VARS'!$U$56+'LINEST VARS'!$T$56*($W$56)+'LINEST VARS'!$S$56*($B73)+'LINEST VARS'!$R$56*(4)+'LINEST VARS'!$Q$56*(0.5)+'LINEST VARS'!$P$56*(12.73)+'LINEST VARS'!$O$56*($W$56^2)+'LINEST VARS'!$N$56*($B73^2)+'LINEST VARS'!$M$56*(4^2)+'LINEST VARS'!$L$56*(0.5^2)+'LINEST VARS'!$K$56*(12.73^2)+'LINEST VARS'!$J$56*($W$56*$B73)+'LINEST VARS'!$I$56*($W$56*4)+'LINEST VARS'!$H$56*($W$56*0.5)+'LINEST VARS'!$G$56*($W$56*12.73)+'LINEST VARS'!$F$56*($B73*4)+'LINEST VARS'!$E$56*($B73*0.5)+'LINEST VARS'!$D$56*($B73*12.73)+'LINEST VARS'!$C$56*(4*0.5)+'LINEST VARS'!$B$56*(4*12.73)+'LINEST VARS'!$A$56*(0.5*12.73)</f>
        <v>2.8400000000000012</v>
      </c>
      <c r="Z73" s="45">
        <v>8.36</v>
      </c>
      <c r="AA73" s="51">
        <f>'LINEST VARS'!$U$58+'LINEST VARS'!$T$58*($AA$56)+'LINEST VARS'!$S$58*($Z73)+'LINEST VARS'!$R$58*(4)+'LINEST VARS'!$Q$58*(0.5)+'LINEST VARS'!$P$58*(12.73)+'LINEST VARS'!$O$58*($AA$56^2)+'LINEST VARS'!$N$58*($Z73^2)+'LINEST VARS'!$M$58*(4^2)+'LINEST VARS'!$L$58*(0.5^2)+'LINEST VARS'!$K$58*(12.73^2)+'LINEST VARS'!$J$58*($AA$56*$Z73)+'LINEST VARS'!$I$58*($AA$56*4)+'LINEST VARS'!$H$58*($AA$56*0.5)+'LINEST VARS'!$G$58*($AA$56*12.73)+'LINEST VARS'!$F$58*($Z73*4)+'LINEST VARS'!$E$58*($Z73*0.5)+'LINEST VARS'!$D$58*($Z73*12.73)+'LINEST VARS'!$C$58*(4*0.5)+'LINEST VARS'!$B$58*(4*12.73)+'LINEST VARS'!$A$58*(0.5*12.73)</f>
        <v>0.9436500000000001</v>
      </c>
      <c r="AB73" s="51">
        <f>'LINEST VARS'!$U$58+'LINEST VARS'!$T$58*($AB$56)+'LINEST VARS'!$S$58*($Z73)+'LINEST VARS'!$R$58*(4)+'LINEST VARS'!$Q$58*(0.5)+'LINEST VARS'!$P$58*(12.73)+'LINEST VARS'!$O$58*($AB$56^2)+'LINEST VARS'!$N$58*($Z73^2)+'LINEST VARS'!$M$58*(4^2)+'LINEST VARS'!$L$58*(0.5^2)+'LINEST VARS'!$K$58*(12.73^2)+'LINEST VARS'!$J$58*($AB$56*$Z73)+'LINEST VARS'!$I$58*($AB$56*4)+'LINEST VARS'!$H$58*($AB$56*0.5)+'LINEST VARS'!$G$58*($AB$56*12.73)+'LINEST VARS'!$F$58*($Z73*4)+'LINEST VARS'!$E$58*($Z73*0.5)+'LINEST VARS'!$D$58*($Z73*12.73)+'LINEST VARS'!$C$58*(4*0.5)+'LINEST VARS'!$B$58*(4*12.73)+'LINEST VARS'!$A$58*(0.5*12.73)</f>
        <v>0.9436500000000001</v>
      </c>
      <c r="AC73" s="51">
        <f>'LINEST VARS'!$U$58+'LINEST VARS'!$T$58*($AC$56)+'LINEST VARS'!$S$58*($Z73)+'LINEST VARS'!$R$58*(4)+'LINEST VARS'!$Q$58*(0.5)+'LINEST VARS'!$P$58*(12.73)+'LINEST VARS'!$O$58*($AC$56^2)+'LINEST VARS'!$N$58*($Z73^2)+'LINEST VARS'!$M$58*(4^2)+'LINEST VARS'!$L$58*(0.5^2)+'LINEST VARS'!$K$58*(12.73^2)+'LINEST VARS'!$J$58*($AC$56*$Z73)+'LINEST VARS'!$I$58*($AC$56*4)+'LINEST VARS'!$H$58*($AC$56*0.5)+'LINEST VARS'!$G$58*($AC$56*12.73)+'LINEST VARS'!$F$58*($Z73*4)+'LINEST VARS'!$E$58*($Z73*0.5)+'LINEST VARS'!$D$58*($Z73*12.73)+'LINEST VARS'!$C$58*(4*0.5)+'LINEST VARS'!$B$58*(4*12.73)+'LINEST VARS'!$A$58*(0.5*12.73)</f>
        <v>0.9436500000000001</v>
      </c>
      <c r="AD73" s="51">
        <f>'LINEST VARS'!$U$58+'LINEST VARS'!$T$58*($AD$56)+'LINEST VARS'!$S$58*($Z73)+'LINEST VARS'!$R$58*(4)+'LINEST VARS'!$Q$58*(0.5)+'LINEST VARS'!$P$58*(12.73)+'LINEST VARS'!$O$58*($AD$56^2)+'LINEST VARS'!$N$58*($Z73^2)+'LINEST VARS'!$M$58*(4^2)+'LINEST VARS'!$L$58*(0.5^2)+'LINEST VARS'!$K$58*(12.73^2)+'LINEST VARS'!$J$58*($AD$56*$Z73)+'LINEST VARS'!$I$58*($AD$56*4)+'LINEST VARS'!$H$58*($AD$56*0.5)+'LINEST VARS'!$G$58*($AD$56*12.73)+'LINEST VARS'!$F$58*($Z73*4)+'LINEST VARS'!$E$58*($Z73*0.5)+'LINEST VARS'!$D$58*($Z73*12.73)+'LINEST VARS'!$C$58*(4*0.5)+'LINEST VARS'!$B$58*(4*12.73)+'LINEST VARS'!$A$58*(0.5*12.73)</f>
        <v>0.9436500000000001</v>
      </c>
      <c r="AE73" s="51">
        <f>'LINEST VARS'!$U$58+'LINEST VARS'!$T$58*($AE$56)+'LINEST VARS'!$S$58*($Z73)+'LINEST VARS'!$R$58*(4)+'LINEST VARS'!$Q$58*(0.5)+'LINEST VARS'!$P$58*(12.73)+'LINEST VARS'!$O$58*($AE$56^2)+'LINEST VARS'!$N$58*($Z73^2)+'LINEST VARS'!$M$58*(4^2)+'LINEST VARS'!$L$58*(0.5^2)+'LINEST VARS'!$K$58*(12.73^2)+'LINEST VARS'!$J$58*($AE$56*$Z73)+'LINEST VARS'!$I$58*($AE$56*4)+'LINEST VARS'!$H$58*($AE$56*0.5)+'LINEST VARS'!$G$58*($AE$56*12.73)+'LINEST VARS'!$F$58*($Z73*4)+'LINEST VARS'!$E$58*($Z73*0.5)+'LINEST VARS'!$D$58*($Z73*12.73)+'LINEST VARS'!$C$58*(4*0.5)+'LINEST VARS'!$B$58*(4*12.73)+'LINEST VARS'!$A$58*(0.5*12.73)</f>
        <v>0.94365000000000021</v>
      </c>
      <c r="AF73" s="51">
        <f>'LINEST VARS'!$U$58+'LINEST VARS'!$T$58*($AF$56)+'LINEST VARS'!$S$58*($Z73)+'LINEST VARS'!$R$58*(4)+'LINEST VARS'!$Q$58*(0.5)+'LINEST VARS'!$P$58*(12.73)+'LINEST VARS'!$O$58*($AF$56^2)+'LINEST VARS'!$N$58*($Z73^2)+'LINEST VARS'!$M$58*(4^2)+'LINEST VARS'!$L$58*(0.5^2)+'LINEST VARS'!$K$58*(12.73^2)+'LINEST VARS'!$J$58*($AF$56*$Z73)+'LINEST VARS'!$I$58*($AF$56*4)+'LINEST VARS'!$H$58*($AF$56*0.5)+'LINEST VARS'!$G$58*($AF$56*12.73)+'LINEST VARS'!$F$58*($Z73*4)+'LINEST VARS'!$E$58*($Z73*0.5)+'LINEST VARS'!$D$58*($Z73*12.73)+'LINEST VARS'!$C$58*(4*0.5)+'LINEST VARS'!$B$58*(4*12.73)+'LINEST VARS'!$A$58*(0.5*12.73)</f>
        <v>0.94365000000000021</v>
      </c>
      <c r="AG73" s="51">
        <f>'LINEST VARS'!$U$58+'LINEST VARS'!$T$58*($AG$56)+'LINEST VARS'!$S$58*($Z73)+'LINEST VARS'!$R$58*(4)+'LINEST VARS'!$Q$58*(0.5)+'LINEST VARS'!$P$58*(12.73)+'LINEST VARS'!$O$58*($AG$56^2)+'LINEST VARS'!$N$58*($Z73^2)+'LINEST VARS'!$M$58*(4^2)+'LINEST VARS'!$L$58*(0.5^2)+'LINEST VARS'!$K$58*(12.73^2)+'LINEST VARS'!$J$58*($AG$56*$Z73)+'LINEST VARS'!$I$58*($AG$56*4)+'LINEST VARS'!$H$58*($AG$56*0.5)+'LINEST VARS'!$G$58*($AG$56*12.73)+'LINEST VARS'!$F$58*($Z73*4)+'LINEST VARS'!$E$58*($Z73*0.5)+'LINEST VARS'!$D$58*($Z73*12.73)+'LINEST VARS'!$C$58*(4*0.5)+'LINEST VARS'!$B$58*(4*12.73)+'LINEST VARS'!$A$58*(0.5*12.73)</f>
        <v>0.94365000000000021</v>
      </c>
      <c r="AH73" s="51">
        <f>'LINEST VARS'!$U$58+'LINEST VARS'!$T$58*($AH$56)+'LINEST VARS'!$S$58*($Z73)+'LINEST VARS'!$R$58*(4)+'LINEST VARS'!$Q$58*(0.5)+'LINEST VARS'!$P$58*(12.73)+'LINEST VARS'!$O$58*($AH$56^2)+'LINEST VARS'!$N$58*($Z73^2)+'LINEST VARS'!$M$58*(4^2)+'LINEST VARS'!$L$58*(0.5^2)+'LINEST VARS'!$K$58*(12.73^2)+'LINEST VARS'!$J$58*($AH$56*$Z73)+'LINEST VARS'!$I$58*($AH$56*4)+'LINEST VARS'!$H$58*($AH$56*0.5)+'LINEST VARS'!$G$58*($AH$56*12.73)+'LINEST VARS'!$F$58*($Z73*4)+'LINEST VARS'!$E$58*($Z73*0.5)+'LINEST VARS'!$D$58*($Z73*12.73)+'LINEST VARS'!$C$58*(4*0.5)+'LINEST VARS'!$B$58*(4*12.73)+'LINEST VARS'!$A$58*(0.5*12.73)</f>
        <v>0.94365000000000021</v>
      </c>
      <c r="AI73" s="51">
        <f>'LINEST VARS'!$U$58+'LINEST VARS'!$T$58*($AI$56)+'LINEST VARS'!$S$58*($Z73)+'LINEST VARS'!$R$58*(4)+'LINEST VARS'!$Q$58*(0.5)+'LINEST VARS'!$P$58*(12.73)+'LINEST VARS'!$O$58*($AI$56^2)+'LINEST VARS'!$N$58*($Z73^2)+'LINEST VARS'!$M$58*(4^2)+'LINEST VARS'!$L$58*(0.5^2)+'LINEST VARS'!$K$58*(12.73^2)+'LINEST VARS'!$J$58*($AI$56*$Z73)+'LINEST VARS'!$I$58*($AI$56*4)+'LINEST VARS'!$H$58*($AI$56*0.5)+'LINEST VARS'!$G$58*($AI$56*12.73)+'LINEST VARS'!$F$58*($Z73*4)+'LINEST VARS'!$E$58*($Z73*0.5)+'LINEST VARS'!$D$58*($Z73*12.73)+'LINEST VARS'!$C$58*(4*0.5)+'LINEST VARS'!$B$58*(4*12.73)+'LINEST VARS'!$A$58*(0.5*12.73)</f>
        <v>0.9436500000000001</v>
      </c>
      <c r="AJ73" s="51">
        <f>'LINEST VARS'!$U$58+'LINEST VARS'!$T$58*($AJ$56)+'LINEST VARS'!$S$58*($Z73)+'LINEST VARS'!$R$58*(4)+'LINEST VARS'!$Q$58*(0.5)+'LINEST VARS'!$P$58*(12.73)+'LINEST VARS'!$O$58*($AJ$56^2)+'LINEST VARS'!$N$58*($Z73^2)+'LINEST VARS'!$M$58*(4^2)+'LINEST VARS'!$L$58*(0.5^2)+'LINEST VARS'!$K$58*(12.73^2)+'LINEST VARS'!$J$58*($AJ$56*$Z73)+'LINEST VARS'!$I$58*($AJ$56*4)+'LINEST VARS'!$H$58*($AJ$56*0.5)+'LINEST VARS'!$G$58*($AJ$56*12.73)+'LINEST VARS'!$F$58*($Z73*4)+'LINEST VARS'!$E$58*($Z73*0.5)+'LINEST VARS'!$D$58*($Z73*12.73)+'LINEST VARS'!$C$58*(4*0.5)+'LINEST VARS'!$B$58*(4*12.73)+'LINEST VARS'!$A$58*(0.5*12.73)</f>
        <v>0.9436500000000001</v>
      </c>
      <c r="AK73" s="51">
        <f>'LINEST VARS'!$U$58+'LINEST VARS'!$T$58*($AK$56)+'LINEST VARS'!$S$58*($Z73)+'LINEST VARS'!$R$58*(4)+'LINEST VARS'!$Q$58*(0.5)+'LINEST VARS'!$P$58*(12.73)+'LINEST VARS'!$O$58*($AK$56^2)+'LINEST VARS'!$N$58*($Z73^2)+'LINEST VARS'!$M$58*(4^2)+'LINEST VARS'!$L$58*(0.5^2)+'LINEST VARS'!$K$58*(12.73^2)+'LINEST VARS'!$J$58*($AK$56*$Z73)+'LINEST VARS'!$I$58*($AK$56*4)+'LINEST VARS'!$H$58*($AK$56*0.5)+'LINEST VARS'!$G$58*($AK$56*12.73)+'LINEST VARS'!$F$58*($Z73*4)+'LINEST VARS'!$E$58*($Z73*0.5)+'LINEST VARS'!$D$58*($Z73*12.73)+'LINEST VARS'!$C$58*(4*0.5)+'LINEST VARS'!$B$58*(4*12.73)+'LINEST VARS'!$A$58*(0.5*12.73)</f>
        <v>0.9436500000000001</v>
      </c>
      <c r="AL73" s="51">
        <f>'LINEST VARS'!$U$58+'LINEST VARS'!$T$58*($AL$56)+'LINEST VARS'!$S$58*($Z73)+'LINEST VARS'!$R$58*(4)+'LINEST VARS'!$Q$58*(0.5)+'LINEST VARS'!$P$58*(12.73)+'LINEST VARS'!$O$58*($AL$56^2)+'LINEST VARS'!$N$58*($Z73^2)+'LINEST VARS'!$M$58*(4^2)+'LINEST VARS'!$L$58*(0.5^2)+'LINEST VARS'!$K$58*(12.73^2)+'LINEST VARS'!$J$58*($AL$56*$Z73)+'LINEST VARS'!$I$58*($AL$56*4)+'LINEST VARS'!$H$58*($AL$56*0.5)+'LINEST VARS'!$G$58*($AL$56*12.73)+'LINEST VARS'!$F$58*($Z73*4)+'LINEST VARS'!$E$58*($Z73*0.5)+'LINEST VARS'!$D$58*($Z73*12.73)+'LINEST VARS'!$C$58*(4*0.5)+'LINEST VARS'!$B$58*(4*12.73)+'LINEST VARS'!$A$58*(0.5*12.73)</f>
        <v>0.9436500000000001</v>
      </c>
      <c r="AM73" s="51">
        <f>'LINEST VARS'!$U$58+'LINEST VARS'!$T$58*($AM$56)+'LINEST VARS'!$S$58*($Z73)+'LINEST VARS'!$R$58*(4)+'LINEST VARS'!$Q$58*(0.5)+'LINEST VARS'!$P$58*(12.73)+'LINEST VARS'!$O$58*($AM$56^2)+'LINEST VARS'!$N$58*($Z73^2)+'LINEST VARS'!$M$58*(4^2)+'LINEST VARS'!$L$58*(0.5^2)+'LINEST VARS'!$K$58*(12.73^2)+'LINEST VARS'!$J$58*($AM$56*$Z73)+'LINEST VARS'!$I$58*($AM$56*4)+'LINEST VARS'!$H$58*($AM$56*0.5)+'LINEST VARS'!$G$58*($AM$56*12.73)+'LINEST VARS'!$F$58*($Z73*4)+'LINEST VARS'!$E$58*($Z73*0.5)+'LINEST VARS'!$D$58*($Z73*12.73)+'LINEST VARS'!$C$58*(4*0.5)+'LINEST VARS'!$B$58*(4*12.73)+'LINEST VARS'!$A$58*(0.5*12.73)</f>
        <v>0.94364999999999999</v>
      </c>
      <c r="AN73" s="51">
        <f>'LINEST VARS'!$U$58+'LINEST VARS'!$T$58*($AN$56)+'LINEST VARS'!$S$58*($Z73)+'LINEST VARS'!$R$58*(4)+'LINEST VARS'!$Q$58*(0.5)+'LINEST VARS'!$P$58*(12.73)+'LINEST VARS'!$O$58*($AN$56^2)+'LINEST VARS'!$N$58*($Z73^2)+'LINEST VARS'!$M$58*(4^2)+'LINEST VARS'!$L$58*(0.5^2)+'LINEST VARS'!$K$58*(12.73^2)+'LINEST VARS'!$J$58*($AN$56*$Z73)+'LINEST VARS'!$I$58*($AN$56*4)+'LINEST VARS'!$H$58*($AN$56*0.5)+'LINEST VARS'!$G$58*($AN$56*12.73)+'LINEST VARS'!$F$58*($Z73*4)+'LINEST VARS'!$E$58*($Z73*0.5)+'LINEST VARS'!$D$58*($Z73*12.73)+'LINEST VARS'!$C$58*(4*0.5)+'LINEST VARS'!$B$58*(4*12.73)+'LINEST VARS'!$A$58*(0.5*12.73)</f>
        <v>0.9436500000000001</v>
      </c>
      <c r="AO73" s="51">
        <f>'LINEST VARS'!$U$58+'LINEST VARS'!$T$58*($AO$56)+'LINEST VARS'!$S$58*($Z73)+'LINEST VARS'!$R$58*(4)+'LINEST VARS'!$Q$58*(0.5)+'LINEST VARS'!$P$58*(12.73)+'LINEST VARS'!$O$58*($AO$56^2)+'LINEST VARS'!$N$58*($Z73^2)+'LINEST VARS'!$M$58*(4^2)+'LINEST VARS'!$L$58*(0.5^2)+'LINEST VARS'!$K$58*(12.73^2)+'LINEST VARS'!$J$58*($AO$56*$Z73)+'LINEST VARS'!$I$58*($AO$56*4)+'LINEST VARS'!$H$58*($AO$56*0.5)+'LINEST VARS'!$G$58*($AO$56*12.73)+'LINEST VARS'!$F$58*($Z73*4)+'LINEST VARS'!$E$58*($Z73*0.5)+'LINEST VARS'!$D$58*($Z73*12.73)+'LINEST VARS'!$C$58*(4*0.5)+'LINEST VARS'!$B$58*(4*12.73)+'LINEST VARS'!$A$58*(0.5*12.73)</f>
        <v>0.9436500000000001</v>
      </c>
      <c r="AP73" s="51">
        <f>'LINEST VARS'!$U$58+'LINEST VARS'!$T$58*($AP$56)+'LINEST VARS'!$S$58*($Z73)+'LINEST VARS'!$R$58*(4)+'LINEST VARS'!$Q$58*(0.5)+'LINEST VARS'!$P$58*(12.73)+'LINEST VARS'!$O$58*($AP$56^2)+'LINEST VARS'!$N$58*($Z73^2)+'LINEST VARS'!$M$58*(4^2)+'LINEST VARS'!$L$58*(0.5^2)+'LINEST VARS'!$K$58*(12.73^2)+'LINEST VARS'!$J$58*($AP$56*$Z73)+'LINEST VARS'!$I$58*($AP$56*4)+'LINEST VARS'!$H$58*($AP$56*0.5)+'LINEST VARS'!$G$58*($AP$56*12.73)+'LINEST VARS'!$F$58*($Z73*4)+'LINEST VARS'!$E$58*($Z73*0.5)+'LINEST VARS'!$D$58*($Z73*12.73)+'LINEST VARS'!$C$58*(4*0.5)+'LINEST VARS'!$B$58*(4*12.73)+'LINEST VARS'!$A$58*(0.5*12.73)</f>
        <v>0.9436500000000001</v>
      </c>
      <c r="AQ73" s="51">
        <f>'LINEST VARS'!$U$58+'LINEST VARS'!$T$58*($AQ$56)+'LINEST VARS'!$S$58*($Z73)+'LINEST VARS'!$R$58*(4)+'LINEST VARS'!$Q$58*(0.5)+'LINEST VARS'!$P$58*(12.73)+'LINEST VARS'!$O$58*($AQ$56^2)+'LINEST VARS'!$N$58*($Z73^2)+'LINEST VARS'!$M$58*(4^2)+'LINEST VARS'!$L$58*(0.5^2)+'LINEST VARS'!$K$58*(12.73^2)+'LINEST VARS'!$J$58*($AQ$56*$Z73)+'LINEST VARS'!$I$58*($AQ$56*4)+'LINEST VARS'!$H$58*($AQ$56*0.5)+'LINEST VARS'!$G$58*($AQ$56*12.73)+'LINEST VARS'!$F$58*($Z73*4)+'LINEST VARS'!$E$58*($Z73*0.5)+'LINEST VARS'!$D$58*($Z73*12.73)+'LINEST VARS'!$C$58*(4*0.5)+'LINEST VARS'!$B$58*(4*12.73)+'LINEST VARS'!$A$58*(0.5*12.73)</f>
        <v>0.9436500000000001</v>
      </c>
      <c r="AR73" s="51">
        <f>'LINEST VARS'!$U$58+'LINEST VARS'!$T$58*($AR$56)+'LINEST VARS'!$S$58*($Z73)+'LINEST VARS'!$R$58*(4)+'LINEST VARS'!$Q$58*(0.5)+'LINEST VARS'!$P$58*(12.73)+'LINEST VARS'!$O$58*($AR$56^2)+'LINEST VARS'!$N$58*($Z73^2)+'LINEST VARS'!$M$58*(4^2)+'LINEST VARS'!$L$58*(0.5^2)+'LINEST VARS'!$K$58*(12.73^2)+'LINEST VARS'!$J$58*($AR$56*$Z73)+'LINEST VARS'!$I$58*($AR$56*4)+'LINEST VARS'!$H$58*($AR$56*0.5)+'LINEST VARS'!$G$58*($AR$56*12.73)+'LINEST VARS'!$F$58*($Z73*4)+'LINEST VARS'!$E$58*($Z73*0.5)+'LINEST VARS'!$D$58*($Z73*12.73)+'LINEST VARS'!$C$58*(4*0.5)+'LINEST VARS'!$B$58*(4*12.73)+'LINEST VARS'!$A$58*(0.5*12.73)</f>
        <v>0.9436500000000001</v>
      </c>
      <c r="AS73" s="51">
        <f>'LINEST VARS'!$U$58+'LINEST VARS'!$T$58*($AS$56)+'LINEST VARS'!$S$58*($Z73)+'LINEST VARS'!$R$58*(4)+'LINEST VARS'!$Q$58*(0.5)+'LINEST VARS'!$P$58*(12.73)+'LINEST VARS'!$O$58*($AS$56^2)+'LINEST VARS'!$N$58*($Z73^2)+'LINEST VARS'!$M$58*(4^2)+'LINEST VARS'!$L$58*(0.5^2)+'LINEST VARS'!$K$58*(12.73^2)+'LINEST VARS'!$J$58*($AS$56*$Z73)+'LINEST VARS'!$I$58*($AS$56*4)+'LINEST VARS'!$H$58*($AS$56*0.5)+'LINEST VARS'!$G$58*($AS$56*12.73)+'LINEST VARS'!$F$58*($Z73*4)+'LINEST VARS'!$E$58*($Z73*0.5)+'LINEST VARS'!$D$58*($Z73*12.73)+'LINEST VARS'!$C$58*(4*0.5)+'LINEST VARS'!$B$58*(4*12.73)+'LINEST VARS'!$A$58*(0.5*12.73)</f>
        <v>0.9436500000000001</v>
      </c>
      <c r="AT73" s="51">
        <f>'LINEST VARS'!$U$58+'LINEST VARS'!$T$58*($AT$56)+'LINEST VARS'!$S$58*($Z73)+'LINEST VARS'!$R$58*(4)+'LINEST VARS'!$Q$58*(0.5)+'LINEST VARS'!$P$58*(12.73)+'LINEST VARS'!$O$58*($AT$56^2)+'LINEST VARS'!$N$58*($Z73^2)+'LINEST VARS'!$M$58*(4^2)+'LINEST VARS'!$L$58*(0.5^2)+'LINEST VARS'!$K$58*(12.73^2)+'LINEST VARS'!$J$58*($AT$56*$Z73)+'LINEST VARS'!$I$58*($AT$56*4)+'LINEST VARS'!$H$58*($AT$56*0.5)+'LINEST VARS'!$G$58*($AT$56*12.73)+'LINEST VARS'!$F$58*($Z73*4)+'LINEST VARS'!$E$58*($Z73*0.5)+'LINEST VARS'!$D$58*($Z73*12.73)+'LINEST VARS'!$C$58*(4*0.5)+'LINEST VARS'!$B$58*(4*12.73)+'LINEST VARS'!$A$58*(0.5*12.73)</f>
        <v>0.9436500000000001</v>
      </c>
      <c r="AU73" s="52">
        <f>'LINEST VARS'!$U$58+'LINEST VARS'!$T$58*($AU$56)+'LINEST VARS'!$S$58*($Z73)+'LINEST VARS'!$R$58*(4)+'LINEST VARS'!$Q$58*(0.5)+'LINEST VARS'!$P$58*(12.73)+'LINEST VARS'!$O$58*($AU$56^2)+'LINEST VARS'!$N$58*($Z73^2)+'LINEST VARS'!$M$58*(4^2)+'LINEST VARS'!$L$58*(0.5^2)+'LINEST VARS'!$K$58*(12.73^2)+'LINEST VARS'!$J$58*($AU$56*$Z73)+'LINEST VARS'!$I$58*($AU$56*4)+'LINEST VARS'!$H$58*($AU$56*0.5)+'LINEST VARS'!$G$58*($AU$56*12.73)+'LINEST VARS'!$F$58*($Z73*4)+'LINEST VARS'!$E$58*($Z73*0.5)+'LINEST VARS'!$D$58*($Z73*12.73)+'LINEST VARS'!$C$58*(4*0.5)+'LINEST VARS'!$B$58*(4*12.73)+'LINEST VARS'!$A$58*(0.5*12.73)</f>
        <v>0.94364999999999999</v>
      </c>
      <c r="AZ73" s="45">
        <v>0.8</v>
      </c>
      <c r="BA73" s="51">
        <f>'LINEST VARS'!$U$56+'LINEST VARS'!$T$56*(8)+'LINEST VARS'!$S$56*(8)+'LINEST VARS'!$R$56*($BA$56)+'LINEST VARS'!$Q$56*($AZ73)+'LINEST VARS'!$P$56*(12.73)+'LINEST VARS'!$O$56*(8^2)+'LINEST VARS'!$N$56*(8^2)+'LINEST VARS'!$M$56*($BA$56^2)+'LINEST VARS'!$L$56*($AZ73^2)+'LINEST VARS'!$K$56*(12.73^2)+'LINEST VARS'!$J$56*(8*8)+'LINEST VARS'!$I$56*(8*$BA$56)+'LINEST VARS'!$H$56*(8*$AZ73)+'LINEST VARS'!$G$56*(8*12.73)+'LINEST VARS'!$F$56*(8*$BA$56)+'LINEST VARS'!$E$56*(8*$AZ73)+'LINEST VARS'!$D$56*(8*12.73)+'LINEST VARS'!$C$56*($BA$56*$AZ73)+'LINEST VARS'!$B$56*($BA$56*12.73)+'LINEST VARS'!$A$56*($AZ73*12.73)</f>
        <v>2.8000000000000012</v>
      </c>
      <c r="BB73" s="51">
        <f>'LINEST VARS'!$U$56+'LINEST VARS'!$T$56*(8)+'LINEST VARS'!$S$56*(8)+'LINEST VARS'!$R$56*($BB$56)+'LINEST VARS'!$Q$56*($AZ73)+'LINEST VARS'!$P$56*(12.73)+'LINEST VARS'!$O$56*(8^2)+'LINEST VARS'!$N$56*(8^2)+'LINEST VARS'!$M$56*($BB$56^2)+'LINEST VARS'!$L$56*($AZ73^2)+'LINEST VARS'!$K$56*(12.73^2)+'LINEST VARS'!$J$56*(8*8)+'LINEST VARS'!$I$56*(8*$BB$56)+'LINEST VARS'!$H$56*(8*$AZ73)+'LINEST VARS'!$G$56*(8*12.73)+'LINEST VARS'!$F$56*(8*$BB$56)+'LINEST VARS'!$E$56*(8*$AZ73)+'LINEST VARS'!$D$56*(8*12.73)+'LINEST VARS'!$C$56*($BB$56*$AZ73)+'LINEST VARS'!$B$56*($BB$56*12.73)+'LINEST VARS'!$A$56*($AZ73*12.73)</f>
        <v>2.8184000000000013</v>
      </c>
      <c r="BC73" s="51">
        <f>'LINEST VARS'!$U$56+'LINEST VARS'!$T$56*(8)+'LINEST VARS'!$S$56*(8)+'LINEST VARS'!$R$56*($BC$56)+'LINEST VARS'!$Q$56*($AZ73)+'LINEST VARS'!$P$56*(12.73)+'LINEST VARS'!$O$56*(8^2)+'LINEST VARS'!$N$56*(8^2)+'LINEST VARS'!$M$56*($BC$56^2)+'LINEST VARS'!$L$56*($AZ73^2)+'LINEST VARS'!$K$56*(12.73^2)+'LINEST VARS'!$J$56*(8*8)+'LINEST VARS'!$I$56*(8*$BC$56)+'LINEST VARS'!$H$56*(8*$AZ73)+'LINEST VARS'!$G$56*(8*12.73)+'LINEST VARS'!$F$56*(8*$BC$56)+'LINEST VARS'!$E$56*(8*$AZ73)+'LINEST VARS'!$D$56*(8*12.73)+'LINEST VARS'!$C$56*($BC$56*$AZ73)+'LINEST VARS'!$B$56*($BC$56*12.73)+'LINEST VARS'!$A$56*($AZ73*12.73)</f>
        <v>2.833600000000001</v>
      </c>
      <c r="BD73" s="51">
        <f>'LINEST VARS'!$U$56+'LINEST VARS'!$T$56*(8)+'LINEST VARS'!$S$56*(8)+'LINEST VARS'!$R$56*($BD$56)+'LINEST VARS'!$Q$56*($AZ73)+'LINEST VARS'!$P$56*(12.73)+'LINEST VARS'!$O$56*(8^2)+'LINEST VARS'!$N$56*(8^2)+'LINEST VARS'!$M$56*($BD$56^2)+'LINEST VARS'!$L$56*($AZ73^2)+'LINEST VARS'!$K$56*(12.73^2)+'LINEST VARS'!$J$56*(8*8)+'LINEST VARS'!$I$56*(8*$BD$56)+'LINEST VARS'!$H$56*(8*$AZ73)+'LINEST VARS'!$G$56*(8*12.73)+'LINEST VARS'!$F$56*(8*$BD$56)+'LINEST VARS'!$E$56*(8*$AZ73)+'LINEST VARS'!$D$56*(8*12.73)+'LINEST VARS'!$C$56*($BD$56*$AZ73)+'LINEST VARS'!$B$56*($BD$56*12.73)+'LINEST VARS'!$A$56*($AZ73*12.73)</f>
        <v>2.845600000000001</v>
      </c>
      <c r="BE73" s="51">
        <f>'LINEST VARS'!$U$56+'LINEST VARS'!$T$56*(8)+'LINEST VARS'!$S$56*(8)+'LINEST VARS'!$R$56*($BE$56)+'LINEST VARS'!$Q$56*($AZ73)+'LINEST VARS'!$P$56*(12.73)+'LINEST VARS'!$O$56*(8^2)+'LINEST VARS'!$N$56*(8^2)+'LINEST VARS'!$M$56*($BE$56^2)+'LINEST VARS'!$L$56*($AZ73^2)+'LINEST VARS'!$K$56*(12.73^2)+'LINEST VARS'!$J$56*(8*8)+'LINEST VARS'!$I$56*(8*$BE$56)+'LINEST VARS'!$H$56*(8*$AZ73)+'LINEST VARS'!$G$56*(8*12.73)+'LINEST VARS'!$F$56*(8*$BE$56)+'LINEST VARS'!$E$56*(8*$AZ73)+'LINEST VARS'!$D$56*(8*12.73)+'LINEST VARS'!$C$56*($BE$56*$AZ73)+'LINEST VARS'!$B$56*($BE$56*12.73)+'LINEST VARS'!$A$56*($AZ73*12.73)</f>
        <v>2.8544000000000014</v>
      </c>
      <c r="BF73" s="51">
        <f>'LINEST VARS'!$U$56+'LINEST VARS'!$T$56*(8)+'LINEST VARS'!$S$56*(8)+'LINEST VARS'!$R$56*($BF$56)+'LINEST VARS'!$Q$56*($AZ73)+'LINEST VARS'!$P$56*(12.73)+'LINEST VARS'!$O$56*(8^2)+'LINEST VARS'!$N$56*(8^2)+'LINEST VARS'!$M$56*($BF$56^2)+'LINEST VARS'!$L$56*($AZ73^2)+'LINEST VARS'!$K$56*(12.73^2)+'LINEST VARS'!$J$56*(8*8)+'LINEST VARS'!$I$56*(8*$BF$56)+'LINEST VARS'!$H$56*(8*$AZ73)+'LINEST VARS'!$G$56*(8*12.73)+'LINEST VARS'!$F$56*(8*$BF$56)+'LINEST VARS'!$E$56*(8*$AZ73)+'LINEST VARS'!$D$56*(8*12.73)+'LINEST VARS'!$C$56*($BF$56*$AZ73)+'LINEST VARS'!$B$56*($BF$56*12.73)+'LINEST VARS'!$A$56*($AZ73*12.73)</f>
        <v>2.8600000000000012</v>
      </c>
      <c r="BG73" s="51">
        <f>'LINEST VARS'!$U$56+'LINEST VARS'!$T$56*(8)+'LINEST VARS'!$S$56*(8)+'LINEST VARS'!$R$56*($BG$56)+'LINEST VARS'!$Q$56*($AZ73)+'LINEST VARS'!$P$56*(12.73)+'LINEST VARS'!$O$56*(8^2)+'LINEST VARS'!$N$56*(8^2)+'LINEST VARS'!$M$56*($BG$56^2)+'LINEST VARS'!$L$56*($AZ73^2)+'LINEST VARS'!$K$56*(12.73^2)+'LINEST VARS'!$J$56*(8*8)+'LINEST VARS'!$I$56*(8*$BG$56)+'LINEST VARS'!$H$56*(8*$AZ73)+'LINEST VARS'!$G$56*(8*12.73)+'LINEST VARS'!$F$56*(8*$BG$56)+'LINEST VARS'!$E$56*(8*$AZ73)+'LINEST VARS'!$D$56*(8*12.73)+'LINEST VARS'!$C$56*($BG$56*$AZ73)+'LINEST VARS'!$B$56*($BG$56*12.73)+'LINEST VARS'!$A$56*($AZ73*12.73)</f>
        <v>2.8624000000000014</v>
      </c>
      <c r="BH73" s="51">
        <f>'LINEST VARS'!$U$56+'LINEST VARS'!$T$56*(8)+'LINEST VARS'!$S$56*(8)+'LINEST VARS'!$R$56*($BH$56)+'LINEST VARS'!$Q$56*($AZ73)+'LINEST VARS'!$P$56*(12.73)+'LINEST VARS'!$O$56*(8^2)+'LINEST VARS'!$N$56*(8^2)+'LINEST VARS'!$M$56*($BH$56^2)+'LINEST VARS'!$L$56*($AZ73^2)+'LINEST VARS'!$K$56*(12.73^2)+'LINEST VARS'!$J$56*(8*8)+'LINEST VARS'!$I$56*(8*$BH$56)+'LINEST VARS'!$H$56*(8*$AZ73)+'LINEST VARS'!$G$56*(8*12.73)+'LINEST VARS'!$F$56*(8*$BH$56)+'LINEST VARS'!$E$56*(8*$AZ73)+'LINEST VARS'!$D$56*(8*12.73)+'LINEST VARS'!$C$56*($BH$56*$AZ73)+'LINEST VARS'!$B$56*($BH$56*12.73)+'LINEST VARS'!$A$56*($AZ73*12.73)</f>
        <v>2.861600000000001</v>
      </c>
      <c r="BI73" s="51">
        <f>'LINEST VARS'!$U$56+'LINEST VARS'!$T$56*(8)+'LINEST VARS'!$S$56*(8)+'LINEST VARS'!$R$56*($BI$56)+'LINEST VARS'!$Q$56*($AZ73)+'LINEST VARS'!$P$56*(12.73)+'LINEST VARS'!$O$56*(8^2)+'LINEST VARS'!$N$56*(8^2)+'LINEST VARS'!$M$56*($BI$56^2)+'LINEST VARS'!$L$56*($AZ73^2)+'LINEST VARS'!$K$56*(12.73^2)+'LINEST VARS'!$J$56*(8*8)+'LINEST VARS'!$I$56*(8*$BI$56)+'LINEST VARS'!$H$56*(8*$AZ73)+'LINEST VARS'!$G$56*(8*12.73)+'LINEST VARS'!$F$56*(8*$BI$56)+'LINEST VARS'!$E$56*(8*$AZ73)+'LINEST VARS'!$D$56*(8*12.73)+'LINEST VARS'!$C$56*($BI$56*$AZ73)+'LINEST VARS'!$B$56*($BI$56*12.73)+'LINEST VARS'!$A$56*($AZ73*12.73)</f>
        <v>2.857600000000001</v>
      </c>
      <c r="BJ73" s="51">
        <f>'LINEST VARS'!$U$56+'LINEST VARS'!$T$56*(8)+'LINEST VARS'!$S$56*(8)+'LINEST VARS'!$R$56*($BJ$56)+'LINEST VARS'!$Q$56*($AZ73)+'LINEST VARS'!$P$56*(12.73)+'LINEST VARS'!$O$56*(8^2)+'LINEST VARS'!$N$56*(8^2)+'LINEST VARS'!$M$56*($BJ$56^2)+'LINEST VARS'!$L$56*($AZ73^2)+'LINEST VARS'!$K$56*(12.73^2)+'LINEST VARS'!$J$56*(8*8)+'LINEST VARS'!$I$56*(8*$BJ$56)+'LINEST VARS'!$H$56*(8*$AZ73)+'LINEST VARS'!$G$56*(8*12.73)+'LINEST VARS'!$F$56*(8*$BJ$56)+'LINEST VARS'!$E$56*(8*$AZ73)+'LINEST VARS'!$D$56*(8*12.73)+'LINEST VARS'!$C$56*($BJ$56*$AZ73)+'LINEST VARS'!$B$56*($BJ$56*12.73)+'LINEST VARS'!$A$56*($AZ73*12.73)</f>
        <v>2.8504000000000014</v>
      </c>
      <c r="BK73" s="51">
        <f>'LINEST VARS'!$U$56+'LINEST VARS'!$T$56*(8)+'LINEST VARS'!$S$56*(8)+'LINEST VARS'!$R$56*($BK$56)+'LINEST VARS'!$Q$56*($AZ73)+'LINEST VARS'!$P$56*(12.73)+'LINEST VARS'!$O$56*(8^2)+'LINEST VARS'!$N$56*(8^2)+'LINEST VARS'!$M$56*($BK$56^2)+'LINEST VARS'!$L$56*($AZ73^2)+'LINEST VARS'!$K$56*(12.73^2)+'LINEST VARS'!$J$56*(8*8)+'LINEST VARS'!$I$56*(8*$BK$56)+'LINEST VARS'!$H$56*(8*$AZ73)+'LINEST VARS'!$G$56*(8*12.73)+'LINEST VARS'!$F$56*(8*$BK$56)+'LINEST VARS'!$E$56*(8*$AZ73)+'LINEST VARS'!$D$56*(8*12.73)+'LINEST VARS'!$C$56*($BK$56*$AZ73)+'LINEST VARS'!$B$56*($BK$56*12.73)+'LINEST VARS'!$A$56*($AZ73*12.73)</f>
        <v>2.8400000000000012</v>
      </c>
      <c r="BL73" s="51">
        <f>'LINEST VARS'!$U$56+'LINEST VARS'!$T$56*(8)+'LINEST VARS'!$S$56*(8)+'LINEST VARS'!$R$56*($BL$56)+'LINEST VARS'!$Q$56*($AZ73)+'LINEST VARS'!$P$56*(12.73)+'LINEST VARS'!$O$56*(8^2)+'LINEST VARS'!$N$56*(8^2)+'LINEST VARS'!$M$56*($BL$56^2)+'LINEST VARS'!$L$56*($AZ73^2)+'LINEST VARS'!$K$56*(12.73^2)+'LINEST VARS'!$J$56*(8*8)+'LINEST VARS'!$I$56*(8*$BL$56)+'LINEST VARS'!$H$56*(8*$AZ73)+'LINEST VARS'!$G$56*(8*12.73)+'LINEST VARS'!$F$56*(8*$BL$56)+'LINEST VARS'!$E$56*(8*$AZ73)+'LINEST VARS'!$D$56*(8*12.73)+'LINEST VARS'!$C$56*($BL$56*$AZ73)+'LINEST VARS'!$B$56*($BL$56*12.73)+'LINEST VARS'!$A$56*($AZ73*12.73)</f>
        <v>2.8264000000000014</v>
      </c>
      <c r="BM73" s="51">
        <f>'LINEST VARS'!$U$56+'LINEST VARS'!$T$56*(8)+'LINEST VARS'!$S$56*(8)+'LINEST VARS'!$R$56*($BM$56)+'LINEST VARS'!$Q$56*($AZ73)+'LINEST VARS'!$P$56*(12.73)+'LINEST VARS'!$O$56*(8^2)+'LINEST VARS'!$N$56*(8^2)+'LINEST VARS'!$M$56*($BM$56^2)+'LINEST VARS'!$L$56*($AZ73^2)+'LINEST VARS'!$K$56*(12.73^2)+'LINEST VARS'!$J$56*(8*8)+'LINEST VARS'!$I$56*(8*$BM$56)+'LINEST VARS'!$H$56*(8*$AZ73)+'LINEST VARS'!$G$56*(8*12.73)+'LINEST VARS'!$F$56*(8*$BM$56)+'LINEST VARS'!$E$56*(8*$AZ73)+'LINEST VARS'!$D$56*(8*12.73)+'LINEST VARS'!$C$56*($BM$56*$AZ73)+'LINEST VARS'!$B$56*($BM$56*12.73)+'LINEST VARS'!$A$56*($AZ73*12.73)</f>
        <v>2.809600000000001</v>
      </c>
      <c r="BN73" s="51">
        <f>'LINEST VARS'!$U$56+'LINEST VARS'!$T$56*(8)+'LINEST VARS'!$S$56*(8)+'LINEST VARS'!$R$56*($BN$56)+'LINEST VARS'!$Q$56*($AZ73)+'LINEST VARS'!$P$56*(12.73)+'LINEST VARS'!$O$56*(8^2)+'LINEST VARS'!$N$56*(8^2)+'LINEST VARS'!$M$56*($BN$56^2)+'LINEST VARS'!$L$56*($AZ73^2)+'LINEST VARS'!$K$56*(12.73^2)+'LINEST VARS'!$J$56*(8*8)+'LINEST VARS'!$I$56*(8*$BN$56)+'LINEST VARS'!$H$56*(8*$AZ73)+'LINEST VARS'!$G$56*(8*12.73)+'LINEST VARS'!$F$56*(8*$BN$56)+'LINEST VARS'!$E$56*(8*$AZ73)+'LINEST VARS'!$D$56*(8*12.73)+'LINEST VARS'!$C$56*($BN$56*$AZ73)+'LINEST VARS'!$B$56*($BN$56*12.73)+'LINEST VARS'!$A$56*($AZ73*12.73)</f>
        <v>2.789600000000001</v>
      </c>
      <c r="BO73" s="51">
        <f>'LINEST VARS'!$U$56+'LINEST VARS'!$T$56*(8)+'LINEST VARS'!$S$56*(8)+'LINEST VARS'!$R$56*($BO$56)+'LINEST VARS'!$Q$56*($AZ73)+'LINEST VARS'!$P$56*(12.73)+'LINEST VARS'!$O$56*(8^2)+'LINEST VARS'!$N$56*(8^2)+'LINEST VARS'!$M$56*($BO$56^2)+'LINEST VARS'!$L$56*($AZ73^2)+'LINEST VARS'!$K$56*(12.73^2)+'LINEST VARS'!$J$56*(8*8)+'LINEST VARS'!$I$56*(8*$BO$56)+'LINEST VARS'!$H$56*(8*$AZ73)+'LINEST VARS'!$G$56*(8*12.73)+'LINEST VARS'!$F$56*(8*$BO$56)+'LINEST VARS'!$E$56*(8*$AZ73)+'LINEST VARS'!$D$56*(8*12.73)+'LINEST VARS'!$C$56*($BO$56*$AZ73)+'LINEST VARS'!$B$56*($BO$56*12.73)+'LINEST VARS'!$A$56*($AZ73*12.73)</f>
        <v>2.7664000000000013</v>
      </c>
      <c r="BP73" s="51">
        <f>'LINEST VARS'!$U$56+'LINEST VARS'!$T$56*(8)+'LINEST VARS'!$S$56*(8)+'LINEST VARS'!$R$56*($BP$56)+'LINEST VARS'!$Q$56*($AZ73)+'LINEST VARS'!$P$56*(12.73)+'LINEST VARS'!$O$56*(8^2)+'LINEST VARS'!$N$56*(8^2)+'LINEST VARS'!$M$56*($BP$56^2)+'LINEST VARS'!$L$56*($AZ73^2)+'LINEST VARS'!$K$56*(12.73^2)+'LINEST VARS'!$J$56*(8*8)+'LINEST VARS'!$I$56*(8*$BP$56)+'LINEST VARS'!$H$56*(8*$AZ73)+'LINEST VARS'!$G$56*(8*12.73)+'LINEST VARS'!$F$56*(8*$BP$56)+'LINEST VARS'!$E$56*(8*$AZ73)+'LINEST VARS'!$D$56*(8*12.73)+'LINEST VARS'!$C$56*($BP$56*$AZ73)+'LINEST VARS'!$B$56*($BP$56*12.73)+'LINEST VARS'!$A$56*($AZ73*12.73)</f>
        <v>2.7400000000000011</v>
      </c>
      <c r="BQ73" s="51">
        <f>'LINEST VARS'!$U$56+'LINEST VARS'!$T$56*(8)+'LINEST VARS'!$S$56*(8)+'LINEST VARS'!$R$56*($BQ$56)+'LINEST VARS'!$Q$56*($AZ73)+'LINEST VARS'!$P$56*(12.73)+'LINEST VARS'!$O$56*(8^2)+'LINEST VARS'!$N$56*(8^2)+'LINEST VARS'!$M$56*($BQ$56^2)+'LINEST VARS'!$L$56*($AZ73^2)+'LINEST VARS'!$K$56*(12.73^2)+'LINEST VARS'!$J$56*(8*8)+'LINEST VARS'!$I$56*(8*$BQ$56)+'LINEST VARS'!$H$56*(8*$AZ73)+'LINEST VARS'!$G$56*(8*12.73)+'LINEST VARS'!$F$56*(8*$BQ$56)+'LINEST VARS'!$E$56*(8*$AZ73)+'LINEST VARS'!$D$56*(8*12.73)+'LINEST VARS'!$C$56*($BQ$56*$AZ73)+'LINEST VARS'!$B$56*($BQ$56*12.73)+'LINEST VARS'!$A$56*($AZ73*12.73)</f>
        <v>2.7104000000000008</v>
      </c>
      <c r="BR73" s="51">
        <f>'LINEST VARS'!$U$56+'LINEST VARS'!$T$56*(8)+'LINEST VARS'!$S$56*(8)+'LINEST VARS'!$R$56*($BR$56)+'LINEST VARS'!$Q$56*($AZ73)+'LINEST VARS'!$P$56*(12.73)+'LINEST VARS'!$O$56*(8^2)+'LINEST VARS'!$N$56*(8^2)+'LINEST VARS'!$M$56*($BR$56^2)+'LINEST VARS'!$L$56*($AZ73^2)+'LINEST VARS'!$K$56*(12.73^2)+'LINEST VARS'!$J$56*(8*8)+'LINEST VARS'!$I$56*(8*$BR$56)+'LINEST VARS'!$H$56*(8*$AZ73)+'LINEST VARS'!$G$56*(8*12.73)+'LINEST VARS'!$F$56*(8*$BR$56)+'LINEST VARS'!$E$56*(8*$AZ73)+'LINEST VARS'!$D$56*(8*12.73)+'LINEST VARS'!$C$56*($BR$56*$AZ73)+'LINEST VARS'!$B$56*($BR$56*12.73)+'LINEST VARS'!$A$56*($AZ73*12.73)</f>
        <v>2.6776000000000013</v>
      </c>
      <c r="BS73" s="51">
        <f>'LINEST VARS'!$U$56+'LINEST VARS'!$T$56*(8)+'LINEST VARS'!$S$56*(8)+'LINEST VARS'!$R$56*($BS$56)+'LINEST VARS'!$Q$56*($AZ73)+'LINEST VARS'!$P$56*(12.73)+'LINEST VARS'!$O$56*(8^2)+'LINEST VARS'!$N$56*(8^2)+'LINEST VARS'!$M$56*($BS$56^2)+'LINEST VARS'!$L$56*($AZ73^2)+'LINEST VARS'!$K$56*(12.73^2)+'LINEST VARS'!$J$56*(8*8)+'LINEST VARS'!$I$56*(8*$BS$56)+'LINEST VARS'!$H$56*(8*$AZ73)+'LINEST VARS'!$G$56*(8*12.73)+'LINEST VARS'!$F$56*(8*$BS$56)+'LINEST VARS'!$E$56*(8*$AZ73)+'LINEST VARS'!$D$56*(8*12.73)+'LINEST VARS'!$C$56*($BS$56*$AZ73)+'LINEST VARS'!$B$56*($BS$56*12.73)+'LINEST VARS'!$A$56*($AZ73*12.73)</f>
        <v>2.6416000000000008</v>
      </c>
      <c r="BT73" s="51">
        <f>'LINEST VARS'!$U$56+'LINEST VARS'!$T$56*(8)+'LINEST VARS'!$S$56*(8)+'LINEST VARS'!$R$56*($BT$56)+'LINEST VARS'!$Q$56*($AZ73)+'LINEST VARS'!$P$56*(12.73)+'LINEST VARS'!$O$56*(8^2)+'LINEST VARS'!$N$56*(8^2)+'LINEST VARS'!$M$56*($BT$56^2)+'LINEST VARS'!$L$56*($AZ73^2)+'LINEST VARS'!$K$56*(12.73^2)+'LINEST VARS'!$J$56*(8*8)+'LINEST VARS'!$I$56*(8*$BT$56)+'LINEST VARS'!$H$56*(8*$AZ73)+'LINEST VARS'!$G$56*(8*12.73)+'LINEST VARS'!$F$56*(8*$BT$56)+'LINEST VARS'!$E$56*(8*$AZ73)+'LINEST VARS'!$D$56*(8*12.73)+'LINEST VARS'!$C$56*($BT$56*$AZ73)+'LINEST VARS'!$B$56*($BT$56*12.73)+'LINEST VARS'!$A$56*($AZ73*12.73)</f>
        <v>2.6024000000000012</v>
      </c>
      <c r="BU73" s="52">
        <f>'LINEST VARS'!$U$56+'LINEST VARS'!$T$56*(8)+'LINEST VARS'!$S$56*(8)+'LINEST VARS'!$R$56*($BU$56)+'LINEST VARS'!$Q$56*($AZ73)+'LINEST VARS'!$P$56*(12.73)+'LINEST VARS'!$O$56*(8^2)+'LINEST VARS'!$N$56*(8^2)+'LINEST VARS'!$M$56*($BU$56^2)+'LINEST VARS'!$L$56*($AZ73^2)+'LINEST VARS'!$K$56*(12.73^2)+'LINEST VARS'!$J$56*(8*8)+'LINEST VARS'!$I$56*(8*$BU$56)+'LINEST VARS'!$H$56*(8*$AZ73)+'LINEST VARS'!$G$56*(8*12.73)+'LINEST VARS'!$F$56*(8*$BU$56)+'LINEST VARS'!$E$56*(8*$AZ73)+'LINEST VARS'!$D$56*(8*12.73)+'LINEST VARS'!$C$56*($BU$56*$AZ73)+'LINEST VARS'!$B$56*($BU$56*12.73)+'LINEST VARS'!$A$56*($AZ73*12.73)</f>
        <v>2.5600000000000009</v>
      </c>
      <c r="BX73" s="45">
        <v>0.8</v>
      </c>
      <c r="BY73" s="51">
        <f>'LINEST VARS'!$U$58+'LINEST VARS'!$T$58*(8)+'LINEST VARS'!$S$58*(8)+'LINEST VARS'!$R$58*($BY$56)+'LINEST VARS'!$Q$58*($BX73)+'LINEST VARS'!$P$58*(12.73)+'LINEST VARS'!$O$58*(8^2)+'LINEST VARS'!$N$58*(8^2)+'LINEST VARS'!$M$58*($BY$56^2)+'LINEST VARS'!$L$58*($BX73^2)+'LINEST VARS'!$K$58*(12.73^2)+'LINEST VARS'!$J$58*(8*8)+'LINEST VARS'!$I$58*(8*$BY$56)+'LINEST VARS'!$H$58*(8*$BX73)+'LINEST VARS'!$G$58*(8*12.73)+'LINEST VARS'!$F$58*(8*$BY$56)+'LINEST VARS'!$E$58*(8*$BX73)+'LINEST VARS'!$D$58*(8*12.73)+'LINEST VARS'!$C$58*($BY$56*$BX73)+'LINEST VARS'!$B$58*($BY$56*12.73)+'LINEST VARS'!$A$58*($BX73*12.73)</f>
        <v>0.86365000000000036</v>
      </c>
      <c r="BZ73" s="51">
        <f>'LINEST VARS'!$U$58+'LINEST VARS'!$T$58*(8)+'LINEST VARS'!$S$58*(8)+'LINEST VARS'!$R$58*($BZ$56)+'LINEST VARS'!$Q$58*($BX73)+'LINEST VARS'!$P$58*(12.73)+'LINEST VARS'!$O$58*(8^2)+'LINEST VARS'!$N$58*(8^2)+'LINEST VARS'!$M$58*($BZ$56^2)+'LINEST VARS'!$L$58*($BX73^2)+'LINEST VARS'!$K$58*(12.73^2)+'LINEST VARS'!$J$58*(8*8)+'LINEST VARS'!$I$58*(8*$BZ$56)+'LINEST VARS'!$H$58*(8*$BX73)+'LINEST VARS'!$G$58*(8*12.73)+'LINEST VARS'!$F$58*(8*$BZ$56)+'LINEST VARS'!$E$58*(8*$BX73)+'LINEST VARS'!$D$58*(8*12.73)+'LINEST VARS'!$C$58*($BZ$56*$BX73)+'LINEST VARS'!$B$58*($BZ$56*12.73)+'LINEST VARS'!$A$58*($BX73*12.73)</f>
        <v>0.87165000000000037</v>
      </c>
      <c r="CA73" s="51">
        <f>'LINEST VARS'!$U$58+'LINEST VARS'!$T$58*(8)+'LINEST VARS'!$S$58*(8)+'LINEST VARS'!$R$58*($CA$56)+'LINEST VARS'!$Q$58*($BX73)+'LINEST VARS'!$P$58*(12.73)+'LINEST VARS'!$O$58*(8^2)+'LINEST VARS'!$N$58*(8^2)+'LINEST VARS'!$M$58*($CA$56^2)+'LINEST VARS'!$L$58*($BX73^2)+'LINEST VARS'!$K$58*(12.73^2)+'LINEST VARS'!$J$58*(8*8)+'LINEST VARS'!$I$58*(8*$CA$56)+'LINEST VARS'!$H$58*(8*$BX73)+'LINEST VARS'!$G$58*(8*12.73)+'LINEST VARS'!$F$58*(8*$CA$56)+'LINEST VARS'!$E$58*(8*$BX73)+'LINEST VARS'!$D$58*(8*12.73)+'LINEST VARS'!$C$58*($CA$56*$BX73)+'LINEST VARS'!$B$58*($CA$56*12.73)+'LINEST VARS'!$A$58*($BX73*12.73)</f>
        <v>0.87965000000000027</v>
      </c>
      <c r="CB73" s="51">
        <f>'LINEST VARS'!$U$58+'LINEST VARS'!$T$58*(8)+'LINEST VARS'!$S$58*(8)+'LINEST VARS'!$R$58*($CB$56)+'LINEST VARS'!$Q$58*($BX73)+'LINEST VARS'!$P$58*(12.73)+'LINEST VARS'!$O$58*(8^2)+'LINEST VARS'!$N$58*(8^2)+'LINEST VARS'!$M$58*($CB$56^2)+'LINEST VARS'!$L$58*($BX73^2)+'LINEST VARS'!$K$58*(12.73^2)+'LINEST VARS'!$J$58*(8*8)+'LINEST VARS'!$I$58*(8*$CB$56)+'LINEST VARS'!$H$58*(8*$BX73)+'LINEST VARS'!$G$58*(8*12.73)+'LINEST VARS'!$F$58*(8*$CB$56)+'LINEST VARS'!$E$58*(8*$BX73)+'LINEST VARS'!$D$58*(8*12.73)+'LINEST VARS'!$C$58*($CB$56*$BX73)+'LINEST VARS'!$B$58*($CB$56*12.73)+'LINEST VARS'!$A$58*($BX73*12.73)</f>
        <v>0.88765000000000027</v>
      </c>
      <c r="CC73" s="51">
        <f>'LINEST VARS'!$U$58+'LINEST VARS'!$T$58*(8)+'LINEST VARS'!$S$58*(8)+'LINEST VARS'!$R$58*($CC$56)+'LINEST VARS'!$Q$58*($BX73)+'LINEST VARS'!$P$58*(12.73)+'LINEST VARS'!$O$58*(8^2)+'LINEST VARS'!$N$58*(8^2)+'LINEST VARS'!$M$58*($CC$56^2)+'LINEST VARS'!$L$58*($BX73^2)+'LINEST VARS'!$K$58*(12.73^2)+'LINEST VARS'!$J$58*(8*8)+'LINEST VARS'!$I$58*(8*$CC$56)+'LINEST VARS'!$H$58*(8*$BX73)+'LINEST VARS'!$G$58*(8*12.73)+'LINEST VARS'!$F$58*(8*$CC$56)+'LINEST VARS'!$E$58*(8*$BX73)+'LINEST VARS'!$D$58*(8*12.73)+'LINEST VARS'!$C$58*($CC$56*$BX73)+'LINEST VARS'!$B$58*($CC$56*12.73)+'LINEST VARS'!$A$58*($BX73*12.73)</f>
        <v>0.89565000000000017</v>
      </c>
      <c r="CD73" s="51">
        <f>'LINEST VARS'!$U$58+'LINEST VARS'!$T$58*(8)+'LINEST VARS'!$S$58*(8)+'LINEST VARS'!$R$58*($CD$56)+'LINEST VARS'!$Q$58*($BX73)+'LINEST VARS'!$P$58*(12.73)+'LINEST VARS'!$O$58*(8^2)+'LINEST VARS'!$N$58*(8^2)+'LINEST VARS'!$M$58*($CD$56^2)+'LINEST VARS'!$L$58*($BX73^2)+'LINEST VARS'!$K$58*(12.73^2)+'LINEST VARS'!$J$58*(8*8)+'LINEST VARS'!$I$58*(8*$CD$56)+'LINEST VARS'!$H$58*(8*$BX73)+'LINEST VARS'!$G$58*(8*12.73)+'LINEST VARS'!$F$58*(8*$CD$56)+'LINEST VARS'!$E$58*(8*$BX73)+'LINEST VARS'!$D$58*(8*12.73)+'LINEST VARS'!$C$58*($CD$56*$BX73)+'LINEST VARS'!$B$58*($CD$56*12.73)+'LINEST VARS'!$A$58*($BX73*12.73)</f>
        <v>0.90365000000000029</v>
      </c>
      <c r="CE73" s="51">
        <f>'LINEST VARS'!$U$58+'LINEST VARS'!$T$58*(8)+'LINEST VARS'!$S$58*(8)+'LINEST VARS'!$R$58*($CE$56)+'LINEST VARS'!$Q$58*($BX73)+'LINEST VARS'!$P$58*(12.73)+'LINEST VARS'!$O$58*(8^2)+'LINEST VARS'!$N$58*(8^2)+'LINEST VARS'!$M$58*($CE$56^2)+'LINEST VARS'!$L$58*($BX73^2)+'LINEST VARS'!$K$58*(12.73^2)+'LINEST VARS'!$J$58*(8*8)+'LINEST VARS'!$I$58*(8*$CE$56)+'LINEST VARS'!$H$58*(8*$BX73)+'LINEST VARS'!$G$58*(8*12.73)+'LINEST VARS'!$F$58*(8*$CE$56)+'LINEST VARS'!$E$58*(8*$BX73)+'LINEST VARS'!$D$58*(8*12.73)+'LINEST VARS'!$C$58*($CE$56*$BX73)+'LINEST VARS'!$B$58*($CE$56*12.73)+'LINEST VARS'!$A$58*($BX73*12.73)</f>
        <v>0.91165000000000029</v>
      </c>
      <c r="CF73" s="51">
        <f>'LINEST VARS'!$U$58+'LINEST VARS'!$T$58*(8)+'LINEST VARS'!$S$58*(8)+'LINEST VARS'!$R$58*($CF$56)+'LINEST VARS'!$Q$58*($BX73)+'LINEST VARS'!$P$58*(12.73)+'LINEST VARS'!$O$58*(8^2)+'LINEST VARS'!$N$58*(8^2)+'LINEST VARS'!$M$58*($CF$56^2)+'LINEST VARS'!$L$58*($BX73^2)+'LINEST VARS'!$K$58*(12.73^2)+'LINEST VARS'!$J$58*(8*8)+'LINEST VARS'!$I$58*(8*$CF$56)+'LINEST VARS'!$H$58*(8*$BX73)+'LINEST VARS'!$G$58*(8*12.73)+'LINEST VARS'!$F$58*(8*$CF$56)+'LINEST VARS'!$E$58*(8*$BX73)+'LINEST VARS'!$D$58*(8*12.73)+'LINEST VARS'!$C$58*($CF$56*$BX73)+'LINEST VARS'!$B$58*($CF$56*12.73)+'LINEST VARS'!$A$58*($BX73*12.73)</f>
        <v>0.9196500000000003</v>
      </c>
      <c r="CG73" s="51">
        <f>'LINEST VARS'!$U$58+'LINEST VARS'!$T$58*(8)+'LINEST VARS'!$S$58*(8)+'LINEST VARS'!$R$58*($CG$56)+'LINEST VARS'!$Q$58*($BX73)+'LINEST VARS'!$P$58*(12.73)+'LINEST VARS'!$O$58*(8^2)+'LINEST VARS'!$N$58*(8^2)+'LINEST VARS'!$M$58*($CG$56^2)+'LINEST VARS'!$L$58*($BX73^2)+'LINEST VARS'!$K$58*(12.73^2)+'LINEST VARS'!$J$58*(8*8)+'LINEST VARS'!$I$58*(8*$CG$56)+'LINEST VARS'!$H$58*(8*$BX73)+'LINEST VARS'!$G$58*(8*12.73)+'LINEST VARS'!$F$58*(8*$CG$56)+'LINEST VARS'!$E$58*(8*$BX73)+'LINEST VARS'!$D$58*(8*12.73)+'LINEST VARS'!$C$58*($CG$56*$BX73)+'LINEST VARS'!$B$58*($CG$56*12.73)+'LINEST VARS'!$A$58*($BX73*12.73)</f>
        <v>0.92765000000000042</v>
      </c>
      <c r="CH73" s="51">
        <f>'LINEST VARS'!$U$58+'LINEST VARS'!$T$58*(8)+'LINEST VARS'!$S$58*(8)+'LINEST VARS'!$R$58*($CH$56)+'LINEST VARS'!$Q$58*($BX73)+'LINEST VARS'!$P$58*(12.73)+'LINEST VARS'!$O$58*(8^2)+'LINEST VARS'!$N$58*(8^2)+'LINEST VARS'!$M$58*($CH$56^2)+'LINEST VARS'!$L$58*($BX73^2)+'LINEST VARS'!$K$58*(12.73^2)+'LINEST VARS'!$J$58*(8*8)+'LINEST VARS'!$I$58*(8*$CH$56)+'LINEST VARS'!$H$58*(8*$BX73)+'LINEST VARS'!$G$58*(8*12.73)+'LINEST VARS'!$F$58*(8*$CH$56)+'LINEST VARS'!$E$58*(8*$BX73)+'LINEST VARS'!$D$58*(8*12.73)+'LINEST VARS'!$C$58*($CH$56*$BX73)+'LINEST VARS'!$B$58*($CH$56*12.73)+'LINEST VARS'!$A$58*($BX73*12.73)</f>
        <v>0.93565000000000031</v>
      </c>
      <c r="CI73" s="51">
        <f>'LINEST VARS'!$U$58+'LINEST VARS'!$T$58*(8)+'LINEST VARS'!$S$58*(8)+'LINEST VARS'!$R$58*($CI$56)+'LINEST VARS'!$Q$58*($BX73)+'LINEST VARS'!$P$58*(12.73)+'LINEST VARS'!$O$58*(8^2)+'LINEST VARS'!$N$58*(8^2)+'LINEST VARS'!$M$58*($CI$56^2)+'LINEST VARS'!$L$58*($BX73^2)+'LINEST VARS'!$K$58*(12.73^2)+'LINEST VARS'!$J$58*(8*8)+'LINEST VARS'!$I$58*(8*$CI$56)+'LINEST VARS'!$H$58*(8*$BX73)+'LINEST VARS'!$G$58*(8*12.73)+'LINEST VARS'!$F$58*(8*$CI$56)+'LINEST VARS'!$E$58*(8*$BX73)+'LINEST VARS'!$D$58*(8*12.73)+'LINEST VARS'!$C$58*($CI$56*$BX73)+'LINEST VARS'!$B$58*($CI$56*12.73)+'LINEST VARS'!$A$58*($BX73*12.73)</f>
        <v>0.94365000000000032</v>
      </c>
      <c r="CJ73" s="51">
        <f>'LINEST VARS'!$U$58+'LINEST VARS'!$T$58*(8)+'LINEST VARS'!$S$58*(8)+'LINEST VARS'!$R$58*($CJ$56)+'LINEST VARS'!$Q$58*($BX73)+'LINEST VARS'!$P$58*(12.73)+'LINEST VARS'!$O$58*(8^2)+'LINEST VARS'!$N$58*(8^2)+'LINEST VARS'!$M$58*($CJ$56^2)+'LINEST VARS'!$L$58*($BX73^2)+'LINEST VARS'!$K$58*(12.73^2)+'LINEST VARS'!$J$58*(8*8)+'LINEST VARS'!$I$58*(8*$CJ$56)+'LINEST VARS'!$H$58*(8*$BX73)+'LINEST VARS'!$G$58*(8*12.73)+'LINEST VARS'!$F$58*(8*$CJ$56)+'LINEST VARS'!$E$58*(8*$BX73)+'LINEST VARS'!$D$58*(8*12.73)+'LINEST VARS'!$C$58*($CJ$56*$BX73)+'LINEST VARS'!$B$58*($CJ$56*12.73)+'LINEST VARS'!$A$58*($BX73*12.73)</f>
        <v>0.95165000000000022</v>
      </c>
      <c r="CK73" s="51">
        <f>'LINEST VARS'!$U$58+'LINEST VARS'!$T$58*(8)+'LINEST VARS'!$S$58*(8)+'LINEST VARS'!$R$58*($CK$56)+'LINEST VARS'!$Q$58*($BX73)+'LINEST VARS'!$P$58*(12.73)+'LINEST VARS'!$O$58*(8^2)+'LINEST VARS'!$N$58*(8^2)+'LINEST VARS'!$M$58*($CK$56^2)+'LINEST VARS'!$L$58*($BX73^2)+'LINEST VARS'!$K$58*(12.73^2)+'LINEST VARS'!$J$58*(8*8)+'LINEST VARS'!$I$58*(8*$CK$56)+'LINEST VARS'!$H$58*(8*$BX73)+'LINEST VARS'!$G$58*(8*12.73)+'LINEST VARS'!$F$58*(8*$CK$56)+'LINEST VARS'!$E$58*(8*$BX73)+'LINEST VARS'!$D$58*(8*12.73)+'LINEST VARS'!$C$58*($CK$56*$BX73)+'LINEST VARS'!$B$58*($CK$56*12.73)+'LINEST VARS'!$A$58*($BX73*12.73)</f>
        <v>0.95965000000000023</v>
      </c>
      <c r="CL73" s="51">
        <f>'LINEST VARS'!$U$58+'LINEST VARS'!$T$58*(8)+'LINEST VARS'!$S$58*(8)+'LINEST VARS'!$R$58*($CL$56)+'LINEST VARS'!$Q$58*($BX73)+'LINEST VARS'!$P$58*(12.73)+'LINEST VARS'!$O$58*(8^2)+'LINEST VARS'!$N$58*(8^2)+'LINEST VARS'!$M$58*($CL$56^2)+'LINEST VARS'!$L$58*($BX73^2)+'LINEST VARS'!$K$58*(12.73^2)+'LINEST VARS'!$J$58*(8*8)+'LINEST VARS'!$I$58*(8*$CL$56)+'LINEST VARS'!$H$58*(8*$BX73)+'LINEST VARS'!$G$58*(8*12.73)+'LINEST VARS'!$F$58*(8*$CL$56)+'LINEST VARS'!$E$58*(8*$BX73)+'LINEST VARS'!$D$58*(8*12.73)+'LINEST VARS'!$C$58*($CL$56*$BX73)+'LINEST VARS'!$B$58*($CL$56*12.73)+'LINEST VARS'!$A$58*($BX73*12.73)</f>
        <v>0.96765000000000012</v>
      </c>
      <c r="CM73" s="51">
        <f>'LINEST VARS'!$U$58+'LINEST VARS'!$T$58*(8)+'LINEST VARS'!$S$58*(8)+'LINEST VARS'!$R$58*($CM$56)+'LINEST VARS'!$Q$58*($BX73)+'LINEST VARS'!$P$58*(12.73)+'LINEST VARS'!$O$58*(8^2)+'LINEST VARS'!$N$58*(8^2)+'LINEST VARS'!$M$58*($CM$56^2)+'LINEST VARS'!$L$58*($BX73^2)+'LINEST VARS'!$K$58*(12.73^2)+'LINEST VARS'!$J$58*(8*8)+'LINEST VARS'!$I$58*(8*$CM$56)+'LINEST VARS'!$H$58*(8*$BX73)+'LINEST VARS'!$G$58*(8*12.73)+'LINEST VARS'!$F$58*(8*$CM$56)+'LINEST VARS'!$E$58*(8*$BX73)+'LINEST VARS'!$D$58*(8*12.73)+'LINEST VARS'!$C$58*($CM$56*$BX73)+'LINEST VARS'!$B$58*($CM$56*12.73)+'LINEST VARS'!$A$58*($BX73*12.73)</f>
        <v>0.97565000000000024</v>
      </c>
      <c r="CN73" s="51">
        <f>'LINEST VARS'!$U$58+'LINEST VARS'!$T$58*(8)+'LINEST VARS'!$S$58*(8)+'LINEST VARS'!$R$58*($CN$56)+'LINEST VARS'!$Q$58*($BX73)+'LINEST VARS'!$P$58*(12.73)+'LINEST VARS'!$O$58*(8^2)+'LINEST VARS'!$N$58*(8^2)+'LINEST VARS'!$M$58*($CN$56^2)+'LINEST VARS'!$L$58*($BX73^2)+'LINEST VARS'!$K$58*(12.73^2)+'LINEST VARS'!$J$58*(8*8)+'LINEST VARS'!$I$58*(8*$CN$56)+'LINEST VARS'!$H$58*(8*$BX73)+'LINEST VARS'!$G$58*(8*12.73)+'LINEST VARS'!$F$58*(8*$CN$56)+'LINEST VARS'!$E$58*(8*$BX73)+'LINEST VARS'!$D$58*(8*12.73)+'LINEST VARS'!$C$58*($CN$56*$BX73)+'LINEST VARS'!$B$58*($CN$56*12.73)+'LINEST VARS'!$A$58*($BX73*12.73)</f>
        <v>0.98365000000000025</v>
      </c>
      <c r="CO73" s="51">
        <f>'LINEST VARS'!$U$58+'LINEST VARS'!$T$58*(8)+'LINEST VARS'!$S$58*(8)+'LINEST VARS'!$R$58*($CO$56)+'LINEST VARS'!$Q$58*($BX73)+'LINEST VARS'!$P$58*(12.73)+'LINEST VARS'!$O$58*(8^2)+'LINEST VARS'!$N$58*(8^2)+'LINEST VARS'!$M$58*($CO$56^2)+'LINEST VARS'!$L$58*($BX73^2)+'LINEST VARS'!$K$58*(12.73^2)+'LINEST VARS'!$J$58*(8*8)+'LINEST VARS'!$I$58*(8*$CO$56)+'LINEST VARS'!$H$58*(8*$BX73)+'LINEST VARS'!$G$58*(8*12.73)+'LINEST VARS'!$F$58*(8*$CO$56)+'LINEST VARS'!$E$58*(8*$BX73)+'LINEST VARS'!$D$58*(8*12.73)+'LINEST VARS'!$C$58*($CO$56*$BX73)+'LINEST VARS'!$B$58*($CO$56*12.73)+'LINEST VARS'!$A$58*($BX73*12.73)</f>
        <v>0.99165000000000036</v>
      </c>
      <c r="CP73" s="51">
        <f>'LINEST VARS'!$U$58+'LINEST VARS'!$T$58*(8)+'LINEST VARS'!$S$58*(8)+'LINEST VARS'!$R$58*($CP$56)+'LINEST VARS'!$Q$58*($BX73)+'LINEST VARS'!$P$58*(12.73)+'LINEST VARS'!$O$58*(8^2)+'LINEST VARS'!$N$58*(8^2)+'LINEST VARS'!$M$58*($CP$56^2)+'LINEST VARS'!$L$58*($BX73^2)+'LINEST VARS'!$K$58*(12.73^2)+'LINEST VARS'!$J$58*(8*8)+'LINEST VARS'!$I$58*(8*$CP$56)+'LINEST VARS'!$H$58*(8*$BX73)+'LINEST VARS'!$G$58*(8*12.73)+'LINEST VARS'!$F$58*(8*$CP$56)+'LINEST VARS'!$E$58*(8*$BX73)+'LINEST VARS'!$D$58*(8*12.73)+'LINEST VARS'!$C$58*($CP$56*$BX73)+'LINEST VARS'!$B$58*($CP$56*12.73)+'LINEST VARS'!$A$58*($BX73*12.73)</f>
        <v>0.99965000000000037</v>
      </c>
      <c r="CQ73" s="51">
        <f>'LINEST VARS'!$U$58+'LINEST VARS'!$T$58*(8)+'LINEST VARS'!$S$58*(8)+'LINEST VARS'!$R$58*($CQ$56)+'LINEST VARS'!$Q$58*($BX73)+'LINEST VARS'!$P$58*(12.73)+'LINEST VARS'!$O$58*(8^2)+'LINEST VARS'!$N$58*(8^2)+'LINEST VARS'!$M$58*($CQ$56^2)+'LINEST VARS'!$L$58*($BX73^2)+'LINEST VARS'!$K$58*(12.73^2)+'LINEST VARS'!$J$58*(8*8)+'LINEST VARS'!$I$58*(8*$CQ$56)+'LINEST VARS'!$H$58*(8*$BX73)+'LINEST VARS'!$G$58*(8*12.73)+'LINEST VARS'!$F$58*(8*$CQ$56)+'LINEST VARS'!$E$58*(8*$BX73)+'LINEST VARS'!$D$58*(8*12.73)+'LINEST VARS'!$C$58*($CQ$56*$BX73)+'LINEST VARS'!$B$58*($CQ$56*12.73)+'LINEST VARS'!$A$58*($BX73*12.73)</f>
        <v>1.0076500000000002</v>
      </c>
      <c r="CR73" s="51">
        <f>'LINEST VARS'!$U$58+'LINEST VARS'!$T$58*(8)+'LINEST VARS'!$S$58*(8)+'LINEST VARS'!$R$58*($CR$56)+'LINEST VARS'!$Q$58*($BX73)+'LINEST VARS'!$P$58*(12.73)+'LINEST VARS'!$O$58*(8^2)+'LINEST VARS'!$N$58*(8^2)+'LINEST VARS'!$M$58*($CR$56^2)+'LINEST VARS'!$L$58*($BX73^2)+'LINEST VARS'!$K$58*(12.73^2)+'LINEST VARS'!$J$58*(8*8)+'LINEST VARS'!$I$58*(8*$CR$56)+'LINEST VARS'!$H$58*(8*$BX73)+'LINEST VARS'!$G$58*(8*12.73)+'LINEST VARS'!$F$58*(8*$CR$56)+'LINEST VARS'!$E$58*(8*$BX73)+'LINEST VARS'!$D$58*(8*12.73)+'LINEST VARS'!$C$58*($CR$56*$BX73)+'LINEST VARS'!$B$58*($CR$56*12.73)+'LINEST VARS'!$A$58*($BX73*12.73)</f>
        <v>1.0156499999999999</v>
      </c>
      <c r="CS73" s="52">
        <f>'LINEST VARS'!$U$58+'LINEST VARS'!$T$58*(8)+'LINEST VARS'!$S$58*(8)+'LINEST VARS'!$R$58*($CS$56)+'LINEST VARS'!$Q$58*($BX73)+'LINEST VARS'!$P$58*(12.73)+'LINEST VARS'!$O$58*(8^2)+'LINEST VARS'!$N$58*(8^2)+'LINEST VARS'!$M$58*($CS$56^2)+'LINEST VARS'!$L$58*($BX73^2)+'LINEST VARS'!$K$58*(12.73^2)+'LINEST VARS'!$J$58*(8*8)+'LINEST VARS'!$I$58*(8*$CS$56)+'LINEST VARS'!$H$58*(8*$BX73)+'LINEST VARS'!$G$58*(8*12.73)+'LINEST VARS'!$F$58*(8*$CS$56)+'LINEST VARS'!$E$58*(8*$BX73)+'LINEST VARS'!$D$58*(8*12.73)+'LINEST VARS'!$C$58*($CS$56*$BX73)+'LINEST VARS'!$B$58*($CS$56*12.73)+'LINEST VARS'!$A$58*($BX73*12.73)</f>
        <v>1.0236500000000002</v>
      </c>
      <c r="CX73" s="45">
        <v>20.792000000000002</v>
      </c>
      <c r="CY73" s="51">
        <f>'LINEST VARS'!$U$56+'LINEST VARS'!$T$56*(8)+'LINEST VARS'!$S$56*(8)+'LINEST VARS'!$R$56*($CY$56)+'LINEST VARS'!$Q$56*(0.5)+'LINEST VARS'!$P$56*($CX73)+'LINEST VARS'!$O$56*(8^2)+'LINEST VARS'!$N$56*(8^2)+'LINEST VARS'!$M$56*($CY$56^2)+'LINEST VARS'!$L$56*(0.5^2)+'LINEST VARS'!$K$56*($CX73^2)+'LINEST VARS'!$J$56*(8*8)+'LINEST VARS'!$I$56*(8*$CY$56)+'LINEST VARS'!$H$56*(8*0.5)+'LINEST VARS'!$G$56*(8*$CX73)+'LINEST VARS'!$F$56*(8*$CY$56)+'LINEST VARS'!$E$56*(8*0.5)+'LINEST VARS'!$D$56*(8*$CX73)+'LINEST VARS'!$C$56*($CY$56*0.5)+'LINEST VARS'!$B$56*($CY$56*$CX73)+'LINEST VARS'!$A$56*(0.5*$CX73)</f>
        <v>2.8000000000000007</v>
      </c>
      <c r="CZ73" s="51">
        <f>'LINEST VARS'!$U$56+'LINEST VARS'!$T$56*(8)+'LINEST VARS'!$S$56*(8)+'LINEST VARS'!$R$56*($CZ$56)+'LINEST VARS'!$Q$56*(0.5)+'LINEST VARS'!$P$56*($CX73)+'LINEST VARS'!$O$56*(8^2)+'LINEST VARS'!$N$56*(8^2)+'LINEST VARS'!$M$56*($CZ$56^2)+'LINEST VARS'!$L$56*(0.5^2)+'LINEST VARS'!$K$56*($CX73^2)+'LINEST VARS'!$J$56*(8*8)+'LINEST VARS'!$I$56*(8*$CZ$56)+'LINEST VARS'!$H$56*(8*0.5)+'LINEST VARS'!$G$56*(8*$CX73)+'LINEST VARS'!$F$56*(8*$CZ$56)+'LINEST VARS'!$E$56*(8*0.5)+'LINEST VARS'!$D$56*(8*$CX73)+'LINEST VARS'!$C$56*($CZ$56*0.5)+'LINEST VARS'!$B$56*($CZ$56*$CX73)+'LINEST VARS'!$A$56*(0.5*$CX73)</f>
        <v>2.8184000000000009</v>
      </c>
      <c r="DA73" s="51">
        <f>'LINEST VARS'!$U$56+'LINEST VARS'!$T$56*(8)+'LINEST VARS'!$S$56*(8)+'LINEST VARS'!$R$56*($DA$56)+'LINEST VARS'!$Q$56*(0.5)+'LINEST VARS'!$P$56*($CX73)+'LINEST VARS'!$O$56*(8^2)+'LINEST VARS'!$N$56*(8^2)+'LINEST VARS'!$M$56*($DA$56^2)+'LINEST VARS'!$L$56*(0.5^2)+'LINEST VARS'!$K$56*($CX73^2)+'LINEST VARS'!$J$56*(8*8)+'LINEST VARS'!$I$56*(8*$DA$56)+'LINEST VARS'!$H$56*(8*0.5)+'LINEST VARS'!$G$56*(8*$CX73)+'LINEST VARS'!$F$56*(8*$DA$56)+'LINEST VARS'!$E$56*(8*0.5)+'LINEST VARS'!$D$56*(8*$CX73)+'LINEST VARS'!$C$56*($DA$56*0.5)+'LINEST VARS'!$B$56*($DA$56*$CX73)+'LINEST VARS'!$A$56*(0.5*$CX73)</f>
        <v>2.8336000000000006</v>
      </c>
      <c r="DB73" s="51">
        <f>'LINEST VARS'!$U$56+'LINEST VARS'!$T$56*(8)+'LINEST VARS'!$S$56*(8)+'LINEST VARS'!$R$56*($DB$56)+'LINEST VARS'!$Q$56*(0.5)+'LINEST VARS'!$P$56*($CX73)+'LINEST VARS'!$O$56*(8^2)+'LINEST VARS'!$N$56*(8^2)+'LINEST VARS'!$M$56*($DB$56^2)+'LINEST VARS'!$L$56*(0.5^2)+'LINEST VARS'!$K$56*($CX73^2)+'LINEST VARS'!$J$56*(8*8)+'LINEST VARS'!$I$56*(8*$DB$56)+'LINEST VARS'!$H$56*(8*0.5)+'LINEST VARS'!$G$56*(8*$CX73)+'LINEST VARS'!$F$56*(8*$DB$56)+'LINEST VARS'!$E$56*(8*0.5)+'LINEST VARS'!$D$56*(8*$CX73)+'LINEST VARS'!$C$56*($DB$56*0.5)+'LINEST VARS'!$B$56*($DB$56*$CX73)+'LINEST VARS'!$A$56*(0.5*$CX73)</f>
        <v>2.8456000000000006</v>
      </c>
      <c r="DC73" s="51">
        <f>'LINEST VARS'!$U$56+'LINEST VARS'!$T$56*(8)+'LINEST VARS'!$S$56*(8)+'LINEST VARS'!$R$56*($DC$56)+'LINEST VARS'!$Q$56*(0.5)+'LINEST VARS'!$P$56*($CX73)+'LINEST VARS'!$O$56*(8^2)+'LINEST VARS'!$N$56*(8^2)+'LINEST VARS'!$M$56*($DC$56^2)+'LINEST VARS'!$L$56*(0.5^2)+'LINEST VARS'!$K$56*($CX73^2)+'LINEST VARS'!$J$56*(8*8)+'LINEST VARS'!$I$56*(8*$DC$56)+'LINEST VARS'!$H$56*(8*0.5)+'LINEST VARS'!$G$56*(8*$CX73)+'LINEST VARS'!$F$56*(8*$DC$56)+'LINEST VARS'!$E$56*(8*0.5)+'LINEST VARS'!$D$56*(8*$CX73)+'LINEST VARS'!$C$56*($DC$56*0.5)+'LINEST VARS'!$B$56*($DC$56*$CX73)+'LINEST VARS'!$A$56*(0.5*$CX73)</f>
        <v>2.8544000000000009</v>
      </c>
      <c r="DD73" s="51">
        <f>'LINEST VARS'!$U$56+'LINEST VARS'!$T$56*(8)+'LINEST VARS'!$S$56*(8)+'LINEST VARS'!$R$56*($DD$56)+'LINEST VARS'!$Q$56*(0.5)+'LINEST VARS'!$P$56*($CX73)+'LINEST VARS'!$O$56*(8^2)+'LINEST VARS'!$N$56*(8^2)+'LINEST VARS'!$M$56*($DD$56^2)+'LINEST VARS'!$L$56*(0.5^2)+'LINEST VARS'!$K$56*($CX73^2)+'LINEST VARS'!$J$56*(8*8)+'LINEST VARS'!$I$56*(8*$DD$56)+'LINEST VARS'!$H$56*(8*0.5)+'LINEST VARS'!$G$56*(8*$CX73)+'LINEST VARS'!$F$56*(8*$DD$56)+'LINEST VARS'!$E$56*(8*0.5)+'LINEST VARS'!$D$56*(8*$CX73)+'LINEST VARS'!$C$56*($DD$56*0.5)+'LINEST VARS'!$B$56*($DD$56*$CX73)+'LINEST VARS'!$A$56*(0.5*$CX73)</f>
        <v>2.8600000000000008</v>
      </c>
      <c r="DE73" s="51">
        <f>'LINEST VARS'!$U$56+'LINEST VARS'!$T$56*(8)+'LINEST VARS'!$S$56*(8)+'LINEST VARS'!$R$56*($DE$56)+'LINEST VARS'!$Q$56*(0.5)+'LINEST VARS'!$P$56*($CX73)+'LINEST VARS'!$O$56*(8^2)+'LINEST VARS'!$N$56*(8^2)+'LINEST VARS'!$M$56*($DE$56^2)+'LINEST VARS'!$L$56*(0.5^2)+'LINEST VARS'!$K$56*($CX73^2)+'LINEST VARS'!$J$56*(8*8)+'LINEST VARS'!$I$56*(8*$DE$56)+'LINEST VARS'!$H$56*(8*0.5)+'LINEST VARS'!$G$56*(8*$CX73)+'LINEST VARS'!$F$56*(8*$DE$56)+'LINEST VARS'!$E$56*(8*0.5)+'LINEST VARS'!$D$56*(8*$CX73)+'LINEST VARS'!$C$56*($DE$56*0.5)+'LINEST VARS'!$B$56*($DE$56*$CX73)+'LINEST VARS'!$A$56*(0.5*$CX73)</f>
        <v>2.8624000000000009</v>
      </c>
      <c r="DF73" s="51">
        <f>'LINEST VARS'!$U$56+'LINEST VARS'!$T$56*(8)+'LINEST VARS'!$S$56*(8)+'LINEST VARS'!$R$56*($DF$56)+'LINEST VARS'!$Q$56*(0.5)+'LINEST VARS'!$P$56*($CX73)+'LINEST VARS'!$O$56*(8^2)+'LINEST VARS'!$N$56*(8^2)+'LINEST VARS'!$M$56*($DF$56^2)+'LINEST VARS'!$L$56*(0.5^2)+'LINEST VARS'!$K$56*($CX73^2)+'LINEST VARS'!$J$56*(8*8)+'LINEST VARS'!$I$56*(8*$DF$56)+'LINEST VARS'!$H$56*(8*0.5)+'LINEST VARS'!$G$56*(8*$CX73)+'LINEST VARS'!$F$56*(8*$DF$56)+'LINEST VARS'!$E$56*(8*0.5)+'LINEST VARS'!$D$56*(8*$CX73)+'LINEST VARS'!$C$56*($DF$56*0.5)+'LINEST VARS'!$B$56*($DF$56*$CX73)+'LINEST VARS'!$A$56*(0.5*$CX73)</f>
        <v>2.8616000000000006</v>
      </c>
      <c r="DG73" s="51">
        <f>'LINEST VARS'!$U$56+'LINEST VARS'!$T$56*(8)+'LINEST VARS'!$S$56*(8)+'LINEST VARS'!$R$56*($DG$56)+'LINEST VARS'!$Q$56*(0.5)+'LINEST VARS'!$P$56*($CX73)+'LINEST VARS'!$O$56*(8^2)+'LINEST VARS'!$N$56*(8^2)+'LINEST VARS'!$M$56*($DG$56^2)+'LINEST VARS'!$L$56*(0.5^2)+'LINEST VARS'!$K$56*($CX73^2)+'LINEST VARS'!$J$56*(8*8)+'LINEST VARS'!$I$56*(8*$DG$56)+'LINEST VARS'!$H$56*(8*0.5)+'LINEST VARS'!$G$56*(8*$CX73)+'LINEST VARS'!$F$56*(8*$DG$56)+'LINEST VARS'!$E$56*(8*0.5)+'LINEST VARS'!$D$56*(8*$CX73)+'LINEST VARS'!$C$56*($DG$56*0.5)+'LINEST VARS'!$B$56*($DG$56*$CX73)+'LINEST VARS'!$A$56*(0.5*$CX73)</f>
        <v>2.8576000000000006</v>
      </c>
      <c r="DH73" s="51">
        <f>'LINEST VARS'!$U$56+'LINEST VARS'!$T$56*(8)+'LINEST VARS'!$S$56*(8)+'LINEST VARS'!$R$56*($DH$56)+'LINEST VARS'!$Q$56*(0.5)+'LINEST VARS'!$P$56*($CX73)+'LINEST VARS'!$O$56*(8^2)+'LINEST VARS'!$N$56*(8^2)+'LINEST VARS'!$M$56*($DH$56^2)+'LINEST VARS'!$L$56*(0.5^2)+'LINEST VARS'!$K$56*($CX73^2)+'LINEST VARS'!$J$56*(8*8)+'LINEST VARS'!$I$56*(8*$DH$56)+'LINEST VARS'!$H$56*(8*0.5)+'LINEST VARS'!$G$56*(8*$CX73)+'LINEST VARS'!$F$56*(8*$DH$56)+'LINEST VARS'!$E$56*(8*0.5)+'LINEST VARS'!$D$56*(8*$CX73)+'LINEST VARS'!$C$56*($DH$56*0.5)+'LINEST VARS'!$B$56*($DH$56*$CX73)+'LINEST VARS'!$A$56*(0.5*$CX73)</f>
        <v>2.8504000000000009</v>
      </c>
      <c r="DI73" s="51">
        <f>'LINEST VARS'!$U$56+'LINEST VARS'!$T$56*(8)+'LINEST VARS'!$S$56*(8)+'LINEST VARS'!$R$56*($DI$56)+'LINEST VARS'!$Q$56*(0.5)+'LINEST VARS'!$P$56*($CX73)+'LINEST VARS'!$O$56*(8^2)+'LINEST VARS'!$N$56*(8^2)+'LINEST VARS'!$M$56*($DI$56^2)+'LINEST VARS'!$L$56*(0.5^2)+'LINEST VARS'!$K$56*($CX73^2)+'LINEST VARS'!$J$56*(8*8)+'LINEST VARS'!$I$56*(8*$DI$56)+'LINEST VARS'!$H$56*(8*0.5)+'LINEST VARS'!$G$56*(8*$CX73)+'LINEST VARS'!$F$56*(8*$DI$56)+'LINEST VARS'!$E$56*(8*0.5)+'LINEST VARS'!$D$56*(8*$CX73)+'LINEST VARS'!$C$56*($DI$56*0.5)+'LINEST VARS'!$B$56*($DI$56*$CX73)+'LINEST VARS'!$A$56*(0.5*$CX73)</f>
        <v>2.8400000000000007</v>
      </c>
      <c r="DJ73" s="51">
        <f>'LINEST VARS'!$U$56+'LINEST VARS'!$T$56*(8)+'LINEST VARS'!$S$56*(8)+'LINEST VARS'!$R$56*($DJ$56)+'LINEST VARS'!$Q$56*(0.5)+'LINEST VARS'!$P$56*($CX73)+'LINEST VARS'!$O$56*(8^2)+'LINEST VARS'!$N$56*(8^2)+'LINEST VARS'!$M$56*($DJ$56^2)+'LINEST VARS'!$L$56*(0.5^2)+'LINEST VARS'!$K$56*($CX73^2)+'LINEST VARS'!$J$56*(8*8)+'LINEST VARS'!$I$56*(8*$DJ$56)+'LINEST VARS'!$H$56*(8*0.5)+'LINEST VARS'!$G$56*(8*$CX73)+'LINEST VARS'!$F$56*(8*$DJ$56)+'LINEST VARS'!$E$56*(8*0.5)+'LINEST VARS'!$D$56*(8*$CX73)+'LINEST VARS'!$C$56*($DJ$56*0.5)+'LINEST VARS'!$B$56*($DJ$56*$CX73)+'LINEST VARS'!$A$56*(0.5*$CX73)</f>
        <v>2.8264000000000009</v>
      </c>
      <c r="DK73" s="51">
        <f>'LINEST VARS'!$U$56+'LINEST VARS'!$T$56*(8)+'LINEST VARS'!$S$56*(8)+'LINEST VARS'!$R$56*($DK$56)+'LINEST VARS'!$Q$56*(0.5)+'LINEST VARS'!$P$56*($CX73)+'LINEST VARS'!$O$56*(8^2)+'LINEST VARS'!$N$56*(8^2)+'LINEST VARS'!$M$56*($DK$56^2)+'LINEST VARS'!$L$56*(0.5^2)+'LINEST VARS'!$K$56*($CX73^2)+'LINEST VARS'!$J$56*(8*8)+'LINEST VARS'!$I$56*(8*$DK$56)+'LINEST VARS'!$H$56*(8*0.5)+'LINEST VARS'!$G$56*(8*$CX73)+'LINEST VARS'!$F$56*(8*$DK$56)+'LINEST VARS'!$E$56*(8*0.5)+'LINEST VARS'!$D$56*(8*$CX73)+'LINEST VARS'!$C$56*($DK$56*0.5)+'LINEST VARS'!$B$56*($DK$56*$CX73)+'LINEST VARS'!$A$56*(0.5*$CX73)</f>
        <v>2.8096000000000005</v>
      </c>
      <c r="DL73" s="51">
        <f>'LINEST VARS'!$U$56+'LINEST VARS'!$T$56*(8)+'LINEST VARS'!$S$56*(8)+'LINEST VARS'!$R$56*($DL$56)+'LINEST VARS'!$Q$56*(0.5)+'LINEST VARS'!$P$56*($CX73)+'LINEST VARS'!$O$56*(8^2)+'LINEST VARS'!$N$56*(8^2)+'LINEST VARS'!$M$56*($DL$56^2)+'LINEST VARS'!$L$56*(0.5^2)+'LINEST VARS'!$K$56*($CX73^2)+'LINEST VARS'!$J$56*(8*8)+'LINEST VARS'!$I$56*(8*$DL$56)+'LINEST VARS'!$H$56*(8*0.5)+'LINEST VARS'!$G$56*(8*$CX73)+'LINEST VARS'!$F$56*(8*$DL$56)+'LINEST VARS'!$E$56*(8*0.5)+'LINEST VARS'!$D$56*(8*$CX73)+'LINEST VARS'!$C$56*($DL$56*0.5)+'LINEST VARS'!$B$56*($DL$56*$CX73)+'LINEST VARS'!$A$56*(0.5*$CX73)</f>
        <v>2.7896000000000005</v>
      </c>
      <c r="DM73" s="51">
        <f>'LINEST VARS'!$U$56+'LINEST VARS'!$T$56*(8)+'LINEST VARS'!$S$56*(8)+'LINEST VARS'!$R$56*($DM$56)+'LINEST VARS'!$Q$56*(0.5)+'LINEST VARS'!$P$56*($CX73)+'LINEST VARS'!$O$56*(8^2)+'LINEST VARS'!$N$56*(8^2)+'LINEST VARS'!$M$56*($DM$56^2)+'LINEST VARS'!$L$56*(0.5^2)+'LINEST VARS'!$K$56*($CX73^2)+'LINEST VARS'!$J$56*(8*8)+'LINEST VARS'!$I$56*(8*$DM$56)+'LINEST VARS'!$H$56*(8*0.5)+'LINEST VARS'!$G$56*(8*$CX73)+'LINEST VARS'!$F$56*(8*$DM$56)+'LINEST VARS'!$E$56*(8*0.5)+'LINEST VARS'!$D$56*(8*$CX73)+'LINEST VARS'!$C$56*($DM$56*0.5)+'LINEST VARS'!$B$56*($DM$56*$CX73)+'LINEST VARS'!$A$56*(0.5*$CX73)</f>
        <v>2.7664000000000009</v>
      </c>
      <c r="DN73" s="51">
        <f>'LINEST VARS'!$U$56+'LINEST VARS'!$T$56*(8)+'LINEST VARS'!$S$56*(8)+'LINEST VARS'!$R$56*($DN$56)+'LINEST VARS'!$Q$56*(0.5)+'LINEST VARS'!$P$56*($CX73)+'LINEST VARS'!$O$56*(8^2)+'LINEST VARS'!$N$56*(8^2)+'LINEST VARS'!$M$56*($DN$56^2)+'LINEST VARS'!$L$56*(0.5^2)+'LINEST VARS'!$K$56*($CX73^2)+'LINEST VARS'!$J$56*(8*8)+'LINEST VARS'!$I$56*(8*$DN$56)+'LINEST VARS'!$H$56*(8*0.5)+'LINEST VARS'!$G$56*(8*$CX73)+'LINEST VARS'!$F$56*(8*$DN$56)+'LINEST VARS'!$E$56*(8*0.5)+'LINEST VARS'!$D$56*(8*$CX73)+'LINEST VARS'!$C$56*($DN$56*0.5)+'LINEST VARS'!$B$56*($DN$56*$CX73)+'LINEST VARS'!$A$56*(0.5*$CX73)</f>
        <v>2.74</v>
      </c>
      <c r="DO73" s="51">
        <f>'LINEST VARS'!$U$56+'LINEST VARS'!$T$56*(8)+'LINEST VARS'!$S$56*(8)+'LINEST VARS'!$R$56*($DO$56)+'LINEST VARS'!$Q$56*(0.5)+'LINEST VARS'!$P$56*($CX73)+'LINEST VARS'!$O$56*(8^2)+'LINEST VARS'!$N$56*(8^2)+'LINEST VARS'!$M$56*($DO$56^2)+'LINEST VARS'!$L$56*(0.5^2)+'LINEST VARS'!$K$56*($CX73^2)+'LINEST VARS'!$J$56*(8*8)+'LINEST VARS'!$I$56*(8*$DO$56)+'LINEST VARS'!$H$56*(8*0.5)+'LINEST VARS'!$G$56*(8*$CX73)+'LINEST VARS'!$F$56*(8*$DO$56)+'LINEST VARS'!$E$56*(8*0.5)+'LINEST VARS'!$D$56*(8*$CX73)+'LINEST VARS'!$C$56*($DO$56*0.5)+'LINEST VARS'!$B$56*($DO$56*$CX73)+'LINEST VARS'!$A$56*(0.5*$CX73)</f>
        <v>2.7103999999999999</v>
      </c>
      <c r="DP73" s="51">
        <f>'LINEST VARS'!$U$56+'LINEST VARS'!$T$56*(8)+'LINEST VARS'!$S$56*(8)+'LINEST VARS'!$R$56*($DP$56)+'LINEST VARS'!$Q$56*(0.5)+'LINEST VARS'!$P$56*($CX73)+'LINEST VARS'!$O$56*(8^2)+'LINEST VARS'!$N$56*(8^2)+'LINEST VARS'!$M$56*($DP$56^2)+'LINEST VARS'!$L$56*(0.5^2)+'LINEST VARS'!$K$56*($CX73^2)+'LINEST VARS'!$J$56*(8*8)+'LINEST VARS'!$I$56*(8*$DP$56)+'LINEST VARS'!$H$56*(8*0.5)+'LINEST VARS'!$G$56*(8*$CX73)+'LINEST VARS'!$F$56*(8*$DP$56)+'LINEST VARS'!$E$56*(8*0.5)+'LINEST VARS'!$D$56*(8*$CX73)+'LINEST VARS'!$C$56*($DP$56*0.5)+'LINEST VARS'!$B$56*($DP$56*$CX73)+'LINEST VARS'!$A$56*(0.5*$CX73)</f>
        <v>2.6776</v>
      </c>
      <c r="DQ73" s="51">
        <f>'LINEST VARS'!$U$56+'LINEST VARS'!$T$56*(8)+'LINEST VARS'!$S$56*(8)+'LINEST VARS'!$R$56*($DQ$56)+'LINEST VARS'!$Q$56*(0.5)+'LINEST VARS'!$P$56*($CX73)+'LINEST VARS'!$O$56*(8^2)+'LINEST VARS'!$N$56*(8^2)+'LINEST VARS'!$M$56*($DQ$56^2)+'LINEST VARS'!$L$56*(0.5^2)+'LINEST VARS'!$K$56*($CX73^2)+'LINEST VARS'!$J$56*(8*8)+'LINEST VARS'!$I$56*(8*$DQ$56)+'LINEST VARS'!$H$56*(8*0.5)+'LINEST VARS'!$G$56*(8*$CX73)+'LINEST VARS'!$F$56*(8*$DQ$56)+'LINEST VARS'!$E$56*(8*0.5)+'LINEST VARS'!$D$56*(8*$CX73)+'LINEST VARS'!$C$56*($DQ$56*0.5)+'LINEST VARS'!$B$56*($DQ$56*$CX73)+'LINEST VARS'!$A$56*(0.5*$CX73)</f>
        <v>2.6415999999999999</v>
      </c>
      <c r="DR73" s="51">
        <f>'LINEST VARS'!$U$56+'LINEST VARS'!$T$56*(8)+'LINEST VARS'!$S$56*(8)+'LINEST VARS'!$R$56*($DR$56)+'LINEST VARS'!$Q$56*(0.5)+'LINEST VARS'!$P$56*($CX73)+'LINEST VARS'!$O$56*(8^2)+'LINEST VARS'!$N$56*(8^2)+'LINEST VARS'!$M$56*($DR$56^2)+'LINEST VARS'!$L$56*(0.5^2)+'LINEST VARS'!$K$56*($CX73^2)+'LINEST VARS'!$J$56*(8*8)+'LINEST VARS'!$I$56*(8*$DR$56)+'LINEST VARS'!$H$56*(8*0.5)+'LINEST VARS'!$G$56*(8*$CX73)+'LINEST VARS'!$F$56*(8*$DR$56)+'LINEST VARS'!$E$56*(8*0.5)+'LINEST VARS'!$D$56*(8*$CX73)+'LINEST VARS'!$C$56*($DR$56*0.5)+'LINEST VARS'!$B$56*($DR$56*$CX73)+'LINEST VARS'!$A$56*(0.5*$CX73)</f>
        <v>2.6024000000000003</v>
      </c>
      <c r="DS73" s="52">
        <f>'LINEST VARS'!$U$56+'LINEST VARS'!$T$56*(8)+'LINEST VARS'!$S$56*(8)+'LINEST VARS'!$R$56*($DS$56)+'LINEST VARS'!$Q$56*(0.5)+'LINEST VARS'!$P$56*($CX73)+'LINEST VARS'!$O$56*(8^2)+'LINEST VARS'!$N$56*(8^2)+'LINEST VARS'!$M$56*($DS$56^2)+'LINEST VARS'!$L$56*(0.5^2)+'LINEST VARS'!$K$56*($CX73^2)+'LINEST VARS'!$J$56*(8*8)+'LINEST VARS'!$I$56*(8*$DS$56)+'LINEST VARS'!$H$56*(8*0.5)+'LINEST VARS'!$G$56*(8*$CX73)+'LINEST VARS'!$F$56*(8*$DS$56)+'LINEST VARS'!$E$56*(8*0.5)+'LINEST VARS'!$D$56*(8*$CX73)+'LINEST VARS'!$C$56*($DS$56*0.5)+'LINEST VARS'!$B$56*($DS$56*$CX73)+'LINEST VARS'!$A$56*(0.5*$CX73)</f>
        <v>2.56</v>
      </c>
      <c r="DV73" s="45">
        <v>20.792000000000002</v>
      </c>
      <c r="DW73" s="51">
        <f>'LINEST VARS'!$U$58+'LINEST VARS'!$T$58*(8)+'LINEST VARS'!$S$58*(8)+'LINEST VARS'!$R$58*($DW$56)+'LINEST VARS'!$Q$58*(0.5)+'LINEST VARS'!$P$58*($DV73)+'LINEST VARS'!$O$58*(8^2)+'LINEST VARS'!$N$58*(8^2)+'LINEST VARS'!$M$58*($DW$56^2)+'LINEST VARS'!$L$58*(0.5^2)+'LINEST VARS'!$K$58*($DV73^2)+'LINEST VARS'!$J$58*(8*8)+'LINEST VARS'!$I$58*(8*$DW$56)+'LINEST VARS'!$H$58*(8*0.5)+'LINEST VARS'!$G$58*(8*$DV73)+'LINEST VARS'!$F$58*(8*$DW$56)+'LINEST VARS'!$E$58*(8*0.5)+'LINEST VARS'!$D$58*(8*$DV73)+'LINEST VARS'!$C$58*($DW$56*0.5)+'LINEST VARS'!$B$58*($DW$56*$DV73)+'LINEST VARS'!$A$58*(0.5*$DV73)</f>
        <v>0.90396000000000043</v>
      </c>
      <c r="DX73" s="51">
        <f>'LINEST VARS'!$U$58+'LINEST VARS'!$T$58*(8)+'LINEST VARS'!$S$58*(8)+'LINEST VARS'!$R$58*($DX$56)+'LINEST VARS'!$Q$58*(0.5)+'LINEST VARS'!$P$58*($DV73)+'LINEST VARS'!$O$58*(8^2)+'LINEST VARS'!$N$58*(8^2)+'LINEST VARS'!$M$58*($DX$56^2)+'LINEST VARS'!$L$58*(0.5^2)+'LINEST VARS'!$K$58*($DV73^2)+'LINEST VARS'!$J$58*(8*8)+'LINEST VARS'!$I$58*(8*$DX$56)+'LINEST VARS'!$H$58*(8*0.5)+'LINEST VARS'!$G$58*(8*$DV73)+'LINEST VARS'!$F$58*(8*$DX$56)+'LINEST VARS'!$E$58*(8*0.5)+'LINEST VARS'!$D$58*(8*$DV73)+'LINEST VARS'!$C$58*($DX$56*0.5)+'LINEST VARS'!$B$58*($DX$56*$DV73)+'LINEST VARS'!$A$58*(0.5*$DV73)</f>
        <v>0.91196000000000044</v>
      </c>
      <c r="DY73" s="51">
        <f>'LINEST VARS'!$U$58+'LINEST VARS'!$T$58*(8)+'LINEST VARS'!$S$58*(8)+'LINEST VARS'!$R$58*($DY$56)+'LINEST VARS'!$Q$58*(0.5)+'LINEST VARS'!$P$58*($DV73)+'LINEST VARS'!$O$58*(8^2)+'LINEST VARS'!$N$58*(8^2)+'LINEST VARS'!$M$58*($DY$56^2)+'LINEST VARS'!$L$58*(0.5^2)+'LINEST VARS'!$K$58*($DV73^2)+'LINEST VARS'!$J$58*(8*8)+'LINEST VARS'!$I$58*(8*$DY$56)+'LINEST VARS'!$H$58*(8*0.5)+'LINEST VARS'!$G$58*(8*$DV73)+'LINEST VARS'!$F$58*(8*$DY$56)+'LINEST VARS'!$E$58*(8*0.5)+'LINEST VARS'!$D$58*(8*$DV73)+'LINEST VARS'!$C$58*($DY$56*0.5)+'LINEST VARS'!$B$58*($DY$56*$DV73)+'LINEST VARS'!$A$58*(0.5*$DV73)</f>
        <v>0.91996000000000033</v>
      </c>
      <c r="DZ73" s="51">
        <f>'LINEST VARS'!$U$58+'LINEST VARS'!$T$58*(8)+'LINEST VARS'!$S$58*(8)+'LINEST VARS'!$R$58*($DZ$56)+'LINEST VARS'!$Q$58*(0.5)+'LINEST VARS'!$P$58*($DV73)+'LINEST VARS'!$O$58*(8^2)+'LINEST VARS'!$N$58*(8^2)+'LINEST VARS'!$M$58*($DZ$56^2)+'LINEST VARS'!$L$58*(0.5^2)+'LINEST VARS'!$K$58*($DV73^2)+'LINEST VARS'!$J$58*(8*8)+'LINEST VARS'!$I$58*(8*$DZ$56)+'LINEST VARS'!$H$58*(8*0.5)+'LINEST VARS'!$G$58*(8*$DV73)+'LINEST VARS'!$F$58*(8*$DZ$56)+'LINEST VARS'!$E$58*(8*0.5)+'LINEST VARS'!$D$58*(8*$DV73)+'LINEST VARS'!$C$58*($DZ$56*0.5)+'LINEST VARS'!$B$58*($DZ$56*$DV73)+'LINEST VARS'!$A$58*(0.5*$DV73)</f>
        <v>0.92796000000000034</v>
      </c>
      <c r="EA73" s="51">
        <f>'LINEST VARS'!$U$58+'LINEST VARS'!$T$58*(8)+'LINEST VARS'!$S$58*(8)+'LINEST VARS'!$R$58*($EA$56)+'LINEST VARS'!$Q$58*(0.5)+'LINEST VARS'!$P$58*($DV73)+'LINEST VARS'!$O$58*(8^2)+'LINEST VARS'!$N$58*(8^2)+'LINEST VARS'!$M$58*($EA$56^2)+'LINEST VARS'!$L$58*(0.5^2)+'LINEST VARS'!$K$58*($DV73^2)+'LINEST VARS'!$J$58*(8*8)+'LINEST VARS'!$I$58*(8*$EA$56)+'LINEST VARS'!$H$58*(8*0.5)+'LINEST VARS'!$G$58*(8*$DV73)+'LINEST VARS'!$F$58*(8*$EA$56)+'LINEST VARS'!$E$58*(8*0.5)+'LINEST VARS'!$D$58*(8*$DV73)+'LINEST VARS'!$C$58*($EA$56*0.5)+'LINEST VARS'!$B$58*($EA$56*$DV73)+'LINEST VARS'!$A$58*(0.5*$DV73)</f>
        <v>0.93596000000000024</v>
      </c>
      <c r="EB73" s="51">
        <f>'LINEST VARS'!$U$58+'LINEST VARS'!$T$58*(8)+'LINEST VARS'!$S$58*(8)+'LINEST VARS'!$R$58*($EB$56)+'LINEST VARS'!$Q$58*(0.5)+'LINEST VARS'!$P$58*($DV73)+'LINEST VARS'!$O$58*(8^2)+'LINEST VARS'!$N$58*(8^2)+'LINEST VARS'!$M$58*($EB$56^2)+'LINEST VARS'!$L$58*(0.5^2)+'LINEST VARS'!$K$58*($DV73^2)+'LINEST VARS'!$J$58*(8*8)+'LINEST VARS'!$I$58*(8*$EB$56)+'LINEST VARS'!$H$58*(8*0.5)+'LINEST VARS'!$G$58*(8*$DV73)+'LINEST VARS'!$F$58*(8*$EB$56)+'LINEST VARS'!$E$58*(8*0.5)+'LINEST VARS'!$D$58*(8*$DV73)+'LINEST VARS'!$C$58*($EB$56*0.5)+'LINEST VARS'!$B$58*($EB$56*$DV73)+'LINEST VARS'!$A$58*(0.5*$DV73)</f>
        <v>0.94396000000000035</v>
      </c>
      <c r="EC73" s="51">
        <f>'LINEST VARS'!$U$58+'LINEST VARS'!$T$58*(8)+'LINEST VARS'!$S$58*(8)+'LINEST VARS'!$R$58*($EC$56)+'LINEST VARS'!$Q$58*(0.5)+'LINEST VARS'!$P$58*($DV73)+'LINEST VARS'!$O$58*(8^2)+'LINEST VARS'!$N$58*(8^2)+'LINEST VARS'!$M$58*($EC$56^2)+'LINEST VARS'!$L$58*(0.5^2)+'LINEST VARS'!$K$58*($DV73^2)+'LINEST VARS'!$J$58*(8*8)+'LINEST VARS'!$I$58*(8*$EC$56)+'LINEST VARS'!$H$58*(8*0.5)+'LINEST VARS'!$G$58*(8*$DV73)+'LINEST VARS'!$F$58*(8*$EC$56)+'LINEST VARS'!$E$58*(8*0.5)+'LINEST VARS'!$D$58*(8*$DV73)+'LINEST VARS'!$C$58*($EC$56*0.5)+'LINEST VARS'!$B$58*($EC$56*$DV73)+'LINEST VARS'!$A$58*(0.5*$DV73)</f>
        <v>0.95196000000000036</v>
      </c>
      <c r="ED73" s="51">
        <f>'LINEST VARS'!$U$58+'LINEST VARS'!$T$58*(8)+'LINEST VARS'!$S$58*(8)+'LINEST VARS'!$R$58*($ED$56)+'LINEST VARS'!$Q$58*(0.5)+'LINEST VARS'!$P$58*($DV73)+'LINEST VARS'!$O$58*(8^2)+'LINEST VARS'!$N$58*(8^2)+'LINEST VARS'!$M$58*($ED$56^2)+'LINEST VARS'!$L$58*(0.5^2)+'LINEST VARS'!$K$58*($DV73^2)+'LINEST VARS'!$J$58*(8*8)+'LINEST VARS'!$I$58*(8*$ED$56)+'LINEST VARS'!$H$58*(8*0.5)+'LINEST VARS'!$G$58*(8*$DV73)+'LINEST VARS'!$F$58*(8*$ED$56)+'LINEST VARS'!$E$58*(8*0.5)+'LINEST VARS'!$D$58*(8*$DV73)+'LINEST VARS'!$C$58*($ED$56*0.5)+'LINEST VARS'!$B$58*($ED$56*$DV73)+'LINEST VARS'!$A$58*(0.5*$DV73)</f>
        <v>0.95996000000000037</v>
      </c>
      <c r="EE73" s="51">
        <f>'LINEST VARS'!$U$58+'LINEST VARS'!$T$58*(8)+'LINEST VARS'!$S$58*(8)+'LINEST VARS'!$R$58*($EE$56)+'LINEST VARS'!$Q$58*(0.5)+'LINEST VARS'!$P$58*($DV73)+'LINEST VARS'!$O$58*(8^2)+'LINEST VARS'!$N$58*(8^2)+'LINEST VARS'!$M$58*($EE$56^2)+'LINEST VARS'!$L$58*(0.5^2)+'LINEST VARS'!$K$58*($DV73^2)+'LINEST VARS'!$J$58*(8*8)+'LINEST VARS'!$I$58*(8*$EE$56)+'LINEST VARS'!$H$58*(8*0.5)+'LINEST VARS'!$G$58*(8*$DV73)+'LINEST VARS'!$F$58*(8*$EE$56)+'LINEST VARS'!$E$58*(8*0.5)+'LINEST VARS'!$D$58*(8*$DV73)+'LINEST VARS'!$C$58*($EE$56*0.5)+'LINEST VARS'!$B$58*($EE$56*$DV73)+'LINEST VARS'!$A$58*(0.5*$DV73)</f>
        <v>0.96796000000000049</v>
      </c>
      <c r="EF73" s="51">
        <f>'LINEST VARS'!$U$58+'LINEST VARS'!$T$58*(8)+'LINEST VARS'!$S$58*(8)+'LINEST VARS'!$R$58*($EF$56)+'LINEST VARS'!$Q$58*(0.5)+'LINEST VARS'!$P$58*($DV73)+'LINEST VARS'!$O$58*(8^2)+'LINEST VARS'!$N$58*(8^2)+'LINEST VARS'!$M$58*($EF$56^2)+'LINEST VARS'!$L$58*(0.5^2)+'LINEST VARS'!$K$58*($DV73^2)+'LINEST VARS'!$J$58*(8*8)+'LINEST VARS'!$I$58*(8*$EF$56)+'LINEST VARS'!$H$58*(8*0.5)+'LINEST VARS'!$G$58*(8*$DV73)+'LINEST VARS'!$F$58*(8*$EF$56)+'LINEST VARS'!$E$58*(8*0.5)+'LINEST VARS'!$D$58*(8*$DV73)+'LINEST VARS'!$C$58*($EF$56*0.5)+'LINEST VARS'!$B$58*($EF$56*$DV73)+'LINEST VARS'!$A$58*(0.5*$DV73)</f>
        <v>0.97596000000000038</v>
      </c>
      <c r="EG73" s="51">
        <f>'LINEST VARS'!$U$58+'LINEST VARS'!$T$58*(8)+'LINEST VARS'!$S$58*(8)+'LINEST VARS'!$R$58*($EG$56)+'LINEST VARS'!$Q$58*(0.5)+'LINEST VARS'!$P$58*($DV73)+'LINEST VARS'!$O$58*(8^2)+'LINEST VARS'!$N$58*(8^2)+'LINEST VARS'!$M$58*($EG$56^2)+'LINEST VARS'!$L$58*(0.5^2)+'LINEST VARS'!$K$58*($DV73^2)+'LINEST VARS'!$J$58*(8*8)+'LINEST VARS'!$I$58*(8*$EG$56)+'LINEST VARS'!$H$58*(8*0.5)+'LINEST VARS'!$G$58*(8*$DV73)+'LINEST VARS'!$F$58*(8*$EG$56)+'LINEST VARS'!$E$58*(8*0.5)+'LINEST VARS'!$D$58*(8*$DV73)+'LINEST VARS'!$C$58*($EG$56*0.5)+'LINEST VARS'!$B$58*($EG$56*$DV73)+'LINEST VARS'!$A$58*(0.5*$DV73)</f>
        <v>0.98396000000000039</v>
      </c>
      <c r="EH73" s="51">
        <f>'LINEST VARS'!$U$58+'LINEST VARS'!$T$58*(8)+'LINEST VARS'!$S$58*(8)+'LINEST VARS'!$R$58*($EH$56)+'LINEST VARS'!$Q$58*(0.5)+'LINEST VARS'!$P$58*($DV73)+'LINEST VARS'!$O$58*(8^2)+'LINEST VARS'!$N$58*(8^2)+'LINEST VARS'!$M$58*($EH$56^2)+'LINEST VARS'!$L$58*(0.5^2)+'LINEST VARS'!$K$58*($DV73^2)+'LINEST VARS'!$J$58*(8*8)+'LINEST VARS'!$I$58*(8*$EH$56)+'LINEST VARS'!$H$58*(8*0.5)+'LINEST VARS'!$G$58*(8*$DV73)+'LINEST VARS'!$F$58*(8*$EH$56)+'LINEST VARS'!$E$58*(8*0.5)+'LINEST VARS'!$D$58*(8*$DV73)+'LINEST VARS'!$C$58*($EH$56*0.5)+'LINEST VARS'!$B$58*($EH$56*$DV73)+'LINEST VARS'!$A$58*(0.5*$DV73)</f>
        <v>0.99196000000000029</v>
      </c>
      <c r="EI73" s="51">
        <f>'LINEST VARS'!$U$58+'LINEST VARS'!$T$58*(8)+'LINEST VARS'!$S$58*(8)+'LINEST VARS'!$R$58*($EI$56)+'LINEST VARS'!$Q$58*(0.5)+'LINEST VARS'!$P$58*($DV73)+'LINEST VARS'!$O$58*(8^2)+'LINEST VARS'!$N$58*(8^2)+'LINEST VARS'!$M$58*($EI$56^2)+'LINEST VARS'!$L$58*(0.5^2)+'LINEST VARS'!$K$58*($DV73^2)+'LINEST VARS'!$J$58*(8*8)+'LINEST VARS'!$I$58*(8*$EI$56)+'LINEST VARS'!$H$58*(8*0.5)+'LINEST VARS'!$G$58*(8*$DV73)+'LINEST VARS'!$F$58*(8*$EI$56)+'LINEST VARS'!$E$58*(8*0.5)+'LINEST VARS'!$D$58*(8*$DV73)+'LINEST VARS'!$C$58*($EI$56*0.5)+'LINEST VARS'!$B$58*($EI$56*$DV73)+'LINEST VARS'!$A$58*(0.5*$DV73)</f>
        <v>0.99996000000000029</v>
      </c>
      <c r="EJ73" s="51">
        <f>'LINEST VARS'!$U$58+'LINEST VARS'!$T$58*(8)+'LINEST VARS'!$S$58*(8)+'LINEST VARS'!$R$58*($EJ$56)+'LINEST VARS'!$Q$58*(0.5)+'LINEST VARS'!$P$58*($DV73)+'LINEST VARS'!$O$58*(8^2)+'LINEST VARS'!$N$58*(8^2)+'LINEST VARS'!$M$58*($EJ$56^2)+'LINEST VARS'!$L$58*(0.5^2)+'LINEST VARS'!$K$58*($DV73^2)+'LINEST VARS'!$J$58*(8*8)+'LINEST VARS'!$I$58*(8*$EJ$56)+'LINEST VARS'!$H$58*(8*0.5)+'LINEST VARS'!$G$58*(8*$DV73)+'LINEST VARS'!$F$58*(8*$EJ$56)+'LINEST VARS'!$E$58*(8*0.5)+'LINEST VARS'!$D$58*(8*$DV73)+'LINEST VARS'!$C$58*($EJ$56*0.5)+'LINEST VARS'!$B$58*($EJ$56*$DV73)+'LINEST VARS'!$A$58*(0.5*$DV73)</f>
        <v>1.0079600000000004</v>
      </c>
      <c r="EK73" s="51">
        <f>'LINEST VARS'!$U$58+'LINEST VARS'!$T$58*(8)+'LINEST VARS'!$S$58*(8)+'LINEST VARS'!$R$58*($EK$56)+'LINEST VARS'!$Q$58*(0.5)+'LINEST VARS'!$P$58*($DV73)+'LINEST VARS'!$O$58*(8^2)+'LINEST VARS'!$N$58*(8^2)+'LINEST VARS'!$M$58*($EK$56^2)+'LINEST VARS'!$L$58*(0.5^2)+'LINEST VARS'!$K$58*($DV73^2)+'LINEST VARS'!$J$58*(8*8)+'LINEST VARS'!$I$58*(8*$EK$56)+'LINEST VARS'!$H$58*(8*0.5)+'LINEST VARS'!$G$58*(8*$DV73)+'LINEST VARS'!$F$58*(8*$EK$56)+'LINEST VARS'!$E$58*(8*0.5)+'LINEST VARS'!$D$58*(8*$DV73)+'LINEST VARS'!$C$58*($EK$56*0.5)+'LINEST VARS'!$B$58*($EK$56*$DV73)+'LINEST VARS'!$A$58*(0.5*$DV73)</f>
        <v>1.0159600000000004</v>
      </c>
      <c r="EL73" s="51">
        <f>'LINEST VARS'!$U$58+'LINEST VARS'!$T$58*(8)+'LINEST VARS'!$S$58*(8)+'LINEST VARS'!$R$58*($EL$56)+'LINEST VARS'!$Q$58*(0.5)+'LINEST VARS'!$P$58*($DV73)+'LINEST VARS'!$O$58*(8^2)+'LINEST VARS'!$N$58*(8^2)+'LINEST VARS'!$M$58*($EL$56^2)+'LINEST VARS'!$L$58*(0.5^2)+'LINEST VARS'!$K$58*($DV73^2)+'LINEST VARS'!$J$58*(8*8)+'LINEST VARS'!$I$58*(8*$EL$56)+'LINEST VARS'!$H$58*(8*0.5)+'LINEST VARS'!$G$58*(8*$DV73)+'LINEST VARS'!$F$58*(8*$EL$56)+'LINEST VARS'!$E$58*(8*0.5)+'LINEST VARS'!$D$58*(8*$DV73)+'LINEST VARS'!$C$58*($EL$56*0.5)+'LINEST VARS'!$B$58*($EL$56*$DV73)+'LINEST VARS'!$A$58*(0.5*$DV73)</f>
        <v>1.0239600000000002</v>
      </c>
      <c r="EM73" s="51">
        <f>'LINEST VARS'!$U$58+'LINEST VARS'!$T$58*(8)+'LINEST VARS'!$S$58*(8)+'LINEST VARS'!$R$58*($EM$56)+'LINEST VARS'!$Q$58*(0.5)+'LINEST VARS'!$P$58*($DV73)+'LINEST VARS'!$O$58*(8^2)+'LINEST VARS'!$N$58*(8^2)+'LINEST VARS'!$M$58*($EM$56^2)+'LINEST VARS'!$L$58*(0.5^2)+'LINEST VARS'!$K$58*($DV73^2)+'LINEST VARS'!$J$58*(8*8)+'LINEST VARS'!$I$58*(8*$EM$56)+'LINEST VARS'!$H$58*(8*0.5)+'LINEST VARS'!$G$58*(8*$DV73)+'LINEST VARS'!$F$58*(8*$EM$56)+'LINEST VARS'!$E$58*(8*0.5)+'LINEST VARS'!$D$58*(8*$DV73)+'LINEST VARS'!$C$58*($EM$56*0.5)+'LINEST VARS'!$B$58*($EM$56*$DV73)+'LINEST VARS'!$A$58*(0.5*$DV73)</f>
        <v>1.0319600000000002</v>
      </c>
      <c r="EN73" s="51">
        <f>'LINEST VARS'!$U$58+'LINEST VARS'!$T$58*(8)+'LINEST VARS'!$S$58*(8)+'LINEST VARS'!$R$58*($EN$56)+'LINEST VARS'!$Q$58*(0.5)+'LINEST VARS'!$P$58*($DV73)+'LINEST VARS'!$O$58*(8^2)+'LINEST VARS'!$N$58*(8^2)+'LINEST VARS'!$M$58*($EN$56^2)+'LINEST VARS'!$L$58*(0.5^2)+'LINEST VARS'!$K$58*($DV73^2)+'LINEST VARS'!$J$58*(8*8)+'LINEST VARS'!$I$58*(8*$EN$56)+'LINEST VARS'!$H$58*(8*0.5)+'LINEST VARS'!$G$58*(8*$DV73)+'LINEST VARS'!$F$58*(8*$EN$56)+'LINEST VARS'!$E$58*(8*0.5)+'LINEST VARS'!$D$58*(8*$DV73)+'LINEST VARS'!$C$58*($EN$56*0.5)+'LINEST VARS'!$B$58*($EN$56*$DV73)+'LINEST VARS'!$A$58*(0.5*$DV73)</f>
        <v>1.0399600000000002</v>
      </c>
      <c r="EO73" s="51">
        <f>'LINEST VARS'!$U$58+'LINEST VARS'!$T$58*(8)+'LINEST VARS'!$S$58*(8)+'LINEST VARS'!$R$58*($EO$56)+'LINEST VARS'!$Q$58*(0.5)+'LINEST VARS'!$P$58*($DV73)+'LINEST VARS'!$O$58*(8^2)+'LINEST VARS'!$N$58*(8^2)+'LINEST VARS'!$M$58*($EO$56^2)+'LINEST VARS'!$L$58*(0.5^2)+'LINEST VARS'!$K$58*($DV73^2)+'LINEST VARS'!$J$58*(8*8)+'LINEST VARS'!$I$58*(8*$EO$56)+'LINEST VARS'!$H$58*(8*0.5)+'LINEST VARS'!$G$58*(8*$DV73)+'LINEST VARS'!$F$58*(8*$EO$56)+'LINEST VARS'!$E$58*(8*0.5)+'LINEST VARS'!$D$58*(8*$DV73)+'LINEST VARS'!$C$58*($EO$56*0.5)+'LINEST VARS'!$B$58*($EO$56*$DV73)+'LINEST VARS'!$A$58*(0.5*$DV73)</f>
        <v>1.0479600000000002</v>
      </c>
      <c r="EP73" s="51">
        <f>'LINEST VARS'!$U$58+'LINEST VARS'!$T$58*(8)+'LINEST VARS'!$S$58*(8)+'LINEST VARS'!$R$58*($EP$56)+'LINEST VARS'!$Q$58*(0.5)+'LINEST VARS'!$P$58*($DV73)+'LINEST VARS'!$O$58*(8^2)+'LINEST VARS'!$N$58*(8^2)+'LINEST VARS'!$M$58*($EP$56^2)+'LINEST VARS'!$L$58*(0.5^2)+'LINEST VARS'!$K$58*($DV73^2)+'LINEST VARS'!$J$58*(8*8)+'LINEST VARS'!$I$58*(8*$EP$56)+'LINEST VARS'!$H$58*(8*0.5)+'LINEST VARS'!$G$58*(8*$DV73)+'LINEST VARS'!$F$58*(8*$EP$56)+'LINEST VARS'!$E$58*(8*0.5)+'LINEST VARS'!$D$58*(8*$DV73)+'LINEST VARS'!$C$58*($EP$56*0.5)+'LINEST VARS'!$B$58*($EP$56*$DV73)+'LINEST VARS'!$A$58*(0.5*$DV73)</f>
        <v>1.05596</v>
      </c>
      <c r="EQ73" s="52">
        <f>'LINEST VARS'!$U$58+'LINEST VARS'!$T$58*(8)+'LINEST VARS'!$S$58*(8)+'LINEST VARS'!$R$58*($EQ$56)+'LINEST VARS'!$Q$58*(0.5)+'LINEST VARS'!$P$58*($DV73)+'LINEST VARS'!$O$58*(8^2)+'LINEST VARS'!$N$58*(8^2)+'LINEST VARS'!$M$58*($EQ$56^2)+'LINEST VARS'!$L$58*(0.5^2)+'LINEST VARS'!$K$58*($DV73^2)+'LINEST VARS'!$J$58*(8*8)+'LINEST VARS'!$I$58*(8*$EQ$56)+'LINEST VARS'!$H$58*(8*0.5)+'LINEST VARS'!$G$58*(8*$DV73)+'LINEST VARS'!$F$58*(8*$EQ$56)+'LINEST VARS'!$E$58*(8*0.5)+'LINEST VARS'!$D$58*(8*$DV73)+'LINEST VARS'!$C$58*($EQ$56*0.5)+'LINEST VARS'!$B$58*($EQ$56*$DV73)+'LINEST VARS'!$A$58*(0.5*$DV73)</f>
        <v>1.0639600000000002</v>
      </c>
    </row>
    <row r="74" spans="2:147" ht="15" customHeight="1" x14ac:dyDescent="0.25">
      <c r="B74" s="45">
        <v>8.42</v>
      </c>
      <c r="C74" s="51">
        <f>'LINEST VARS'!$U$56+'LINEST VARS'!$T$56*($C$56)+'LINEST VARS'!$S$56*($B74)+'LINEST VARS'!$R$56*(4)+'LINEST VARS'!$Q$56*(0.5)+'LINEST VARS'!$P$56*(12.73)+'LINEST VARS'!$O$56*($C$56^2)+'LINEST VARS'!$N$56*($B74^2)+'LINEST VARS'!$M$56*(4^2)+'LINEST VARS'!$L$56*(0.5^2)+'LINEST VARS'!$K$56*(12.73^2)+'LINEST VARS'!$J$56*($C$56*$B74)+'LINEST VARS'!$I$56*($C$56*4)+'LINEST VARS'!$H$56*($C$56*0.5)+'LINEST VARS'!$G$56*($C$56*12.73)+'LINEST VARS'!$F$56*($B74*4)+'LINEST VARS'!$E$56*($B74*0.5)+'LINEST VARS'!$D$56*($B74*12.73)+'LINEST VARS'!$C$56*(4*0.5)+'LINEST VARS'!$B$56*(4*12.73)+'LINEST VARS'!$A$56*(0.5*12.73)</f>
        <v>2.8400000000000012</v>
      </c>
      <c r="D74" s="51">
        <f>'LINEST VARS'!$U$56+'LINEST VARS'!$T$56*($D$56)+'LINEST VARS'!$S$56*($B74)+'LINEST VARS'!$R$56*(4)+'LINEST VARS'!$Q$56*(0.5)+'LINEST VARS'!$P$56*(12.73)+'LINEST VARS'!$O$56*($D$56^2)+'LINEST VARS'!$N$56*($B74^2)+'LINEST VARS'!$M$56*(4^2)+'LINEST VARS'!$L$56*(0.5^2)+'LINEST VARS'!$K$56*(12.73^2)+'LINEST VARS'!$J$56*($D$56*$B74)+'LINEST VARS'!$I$56*($D$56*4)+'LINEST VARS'!$H$56*($D$56*0.5)+'LINEST VARS'!$G$56*($D$56*12.73)+'LINEST VARS'!$F$56*($B74*4)+'LINEST VARS'!$E$56*($B74*0.5)+'LINEST VARS'!$D$56*($B74*12.73)+'LINEST VARS'!$C$56*(4*0.5)+'LINEST VARS'!$B$56*(4*12.73)+'LINEST VARS'!$A$56*(0.5*12.73)</f>
        <v>2.8400000000000012</v>
      </c>
      <c r="E74" s="51">
        <f>'LINEST VARS'!$U$56+'LINEST VARS'!$T$56*($E$56)+'LINEST VARS'!$S$56*($B74)+'LINEST VARS'!$R$56*(4)+'LINEST VARS'!$Q$56*(0.5)+'LINEST VARS'!$P$56*(12.73)+'LINEST VARS'!$O$56*($E$56^2)+'LINEST VARS'!$N$56*($B74^2)+'LINEST VARS'!$M$56*(4^2)+'LINEST VARS'!$L$56*(0.5^2)+'LINEST VARS'!$K$56*(12.73^2)+'LINEST VARS'!$J$56*($E$56*$B74)+'LINEST VARS'!$I$56*($E$56*4)+'LINEST VARS'!$H$56*($E$56*0.5)+'LINEST VARS'!$G$56*($E$56*12.73)+'LINEST VARS'!$F$56*($B74*4)+'LINEST VARS'!$E$56*($B74*0.5)+'LINEST VARS'!$D$56*($B74*12.73)+'LINEST VARS'!$C$56*(4*0.5)+'LINEST VARS'!$B$56*(4*12.73)+'LINEST VARS'!$A$56*(0.5*12.73)</f>
        <v>2.8400000000000012</v>
      </c>
      <c r="F74" s="51">
        <f>'LINEST VARS'!$U$56+'LINEST VARS'!$T$56*($F$56)+'LINEST VARS'!$S$56*($B74)+'LINEST VARS'!$R$56*(4)+'LINEST VARS'!$Q$56*(0.5)+'LINEST VARS'!$P$56*(12.73)+'LINEST VARS'!$O$56*($F$56^2)+'LINEST VARS'!$N$56*($B74^2)+'LINEST VARS'!$M$56*(4^2)+'LINEST VARS'!$L$56*(0.5^2)+'LINEST VARS'!$K$56*(12.73^2)+'LINEST VARS'!$J$56*($F$56*$B74)+'LINEST VARS'!$I$56*($F$56*4)+'LINEST VARS'!$H$56*($F$56*0.5)+'LINEST VARS'!$G$56*($F$56*12.73)+'LINEST VARS'!$F$56*($B74*4)+'LINEST VARS'!$E$56*($B74*0.5)+'LINEST VARS'!$D$56*($B74*12.73)+'LINEST VARS'!$C$56*(4*0.5)+'LINEST VARS'!$B$56*(4*12.73)+'LINEST VARS'!$A$56*(0.5*12.73)</f>
        <v>2.8400000000000012</v>
      </c>
      <c r="G74" s="51">
        <f>'LINEST VARS'!$U$56+'LINEST VARS'!$T$56*($G$56)+'LINEST VARS'!$S$56*($B74)+'LINEST VARS'!$R$56*(4)+'LINEST VARS'!$Q$56*(0.5)+'LINEST VARS'!$P$56*(12.73)+'LINEST VARS'!$O$56*($G$56^2)+'LINEST VARS'!$N$56*($B74^2)+'LINEST VARS'!$M$56*(4^2)+'LINEST VARS'!$L$56*(0.5^2)+'LINEST VARS'!$K$56*(12.73^2)+'LINEST VARS'!$J$56*($G$56*$B74)+'LINEST VARS'!$I$56*($G$56*4)+'LINEST VARS'!$H$56*($G$56*0.5)+'LINEST VARS'!$G$56*($G$56*12.73)+'LINEST VARS'!$F$56*($B74*4)+'LINEST VARS'!$E$56*($B74*0.5)+'LINEST VARS'!$D$56*($B74*12.73)+'LINEST VARS'!$C$56*(4*0.5)+'LINEST VARS'!$B$56*(4*12.73)+'LINEST VARS'!$A$56*(0.5*12.73)</f>
        <v>2.8400000000000012</v>
      </c>
      <c r="H74" s="51">
        <f>'LINEST VARS'!$U$56+'LINEST VARS'!$T$56*($H$56)+'LINEST VARS'!$S$56*($B74)+'LINEST VARS'!$R$56*(4)+'LINEST VARS'!$Q$56*(0.5)+'LINEST VARS'!$P$56*(12.73)+'LINEST VARS'!$O$56*($H$56^2)+'LINEST VARS'!$N$56*($B74^2)+'LINEST VARS'!$M$56*(4^2)+'LINEST VARS'!$L$56*(0.5^2)+'LINEST VARS'!$K$56*(12.73^2)+'LINEST VARS'!$J$56*($H$56*$B74)+'LINEST VARS'!$I$56*($H$56*4)+'LINEST VARS'!$H$56*($H$56*0.5)+'LINEST VARS'!$G$56*($H$56*12.73)+'LINEST VARS'!$F$56*($B74*4)+'LINEST VARS'!$E$56*($B74*0.5)+'LINEST VARS'!$D$56*($B74*12.73)+'LINEST VARS'!$C$56*(4*0.5)+'LINEST VARS'!$B$56*(4*12.73)+'LINEST VARS'!$A$56*(0.5*12.73)</f>
        <v>2.8400000000000012</v>
      </c>
      <c r="I74" s="51">
        <f>'LINEST VARS'!$U$56+'LINEST VARS'!$T$56*($I$56)+'LINEST VARS'!$S$56*($B74)+'LINEST VARS'!$R$56*(4)+'LINEST VARS'!$Q$56*(0.5)+'LINEST VARS'!$P$56*(12.73)+'LINEST VARS'!$O$56*($I$56^2)+'LINEST VARS'!$N$56*($B74^2)+'LINEST VARS'!$M$56*(4^2)+'LINEST VARS'!$L$56*(0.5^2)+'LINEST VARS'!$K$56*(12.73^2)+'LINEST VARS'!$J$56*($I$56*$B74)+'LINEST VARS'!$I$56*($I$56*4)+'LINEST VARS'!$H$56*($I$56*0.5)+'LINEST VARS'!$G$56*($I$56*12.73)+'LINEST VARS'!$F$56*($B74*4)+'LINEST VARS'!$E$56*($B74*0.5)+'LINEST VARS'!$D$56*($B74*12.73)+'LINEST VARS'!$C$56*(4*0.5)+'LINEST VARS'!$B$56*(4*12.73)+'LINEST VARS'!$A$56*(0.5*12.73)</f>
        <v>2.8400000000000012</v>
      </c>
      <c r="J74" s="51">
        <f>'LINEST VARS'!$U$56+'LINEST VARS'!$T$56*($J$56)+'LINEST VARS'!$S$56*($B74)+'LINEST VARS'!$R$56*(4)+'LINEST VARS'!$Q$56*(0.5)+'LINEST VARS'!$P$56*(12.73)+'LINEST VARS'!$O$56*($J$56^2)+'LINEST VARS'!$N$56*($B74^2)+'LINEST VARS'!$M$56*(4^2)+'LINEST VARS'!$L$56*(0.5^2)+'LINEST VARS'!$K$56*(12.73^2)+'LINEST VARS'!$J$56*($J$56*$B74)+'LINEST VARS'!$I$56*($J$56*4)+'LINEST VARS'!$H$56*($J$56*0.5)+'LINEST VARS'!$G$56*($J$56*12.73)+'LINEST VARS'!$F$56*($B74*4)+'LINEST VARS'!$E$56*($B74*0.5)+'LINEST VARS'!$D$56*($B74*12.73)+'LINEST VARS'!$C$56*(4*0.5)+'LINEST VARS'!$B$56*(4*12.73)+'LINEST VARS'!$A$56*(0.5*12.73)</f>
        <v>2.8400000000000012</v>
      </c>
      <c r="K74" s="51">
        <f>'LINEST VARS'!$U$56+'LINEST VARS'!$T$56*($K$56)+'LINEST VARS'!$S$56*($B74)+'LINEST VARS'!$R$56*(4)+'LINEST VARS'!$Q$56*(0.5)+'LINEST VARS'!$P$56*(12.73)+'LINEST VARS'!$O$56*($K$56^2)+'LINEST VARS'!$N$56*($B74^2)+'LINEST VARS'!$M$56*(4^2)+'LINEST VARS'!$L$56*(0.5^2)+'LINEST VARS'!$K$56*(12.73^2)+'LINEST VARS'!$J$56*($K$56*$B74)+'LINEST VARS'!$I$56*($K$56*4)+'LINEST VARS'!$H$56*($K$56*0.5)+'LINEST VARS'!$G$56*($K$56*12.73)+'LINEST VARS'!$F$56*($B74*4)+'LINEST VARS'!$E$56*($B74*0.5)+'LINEST VARS'!$D$56*($B74*12.73)+'LINEST VARS'!$C$56*(4*0.5)+'LINEST VARS'!$B$56*(4*12.73)+'LINEST VARS'!$A$56*(0.5*12.73)</f>
        <v>2.8400000000000007</v>
      </c>
      <c r="L74" s="51">
        <f>'LINEST VARS'!$U$56+'LINEST VARS'!$T$56*($L$56)+'LINEST VARS'!$S$56*($B74)+'LINEST VARS'!$R$56*(4)+'LINEST VARS'!$Q$56*(0.5)+'LINEST VARS'!$P$56*(12.73)+'LINEST VARS'!$O$56*($L$56^2)+'LINEST VARS'!$N$56*($B74^2)+'LINEST VARS'!$M$56*(4^2)+'LINEST VARS'!$L$56*(0.5^2)+'LINEST VARS'!$K$56*(12.73^2)+'LINEST VARS'!$J$56*($L$56*$B74)+'LINEST VARS'!$I$56*($L$56*4)+'LINEST VARS'!$H$56*($L$56*0.5)+'LINEST VARS'!$G$56*($L$56*12.73)+'LINEST VARS'!$F$56*($B74*4)+'LINEST VARS'!$E$56*($B74*0.5)+'LINEST VARS'!$D$56*($B74*12.73)+'LINEST VARS'!$C$56*(4*0.5)+'LINEST VARS'!$B$56*(4*12.73)+'LINEST VARS'!$A$56*(0.5*12.73)</f>
        <v>2.8400000000000007</v>
      </c>
      <c r="M74" s="51">
        <f>'LINEST VARS'!$U$56+'LINEST VARS'!$T$56*($M$56)+'LINEST VARS'!$S$56*($B74)+'LINEST VARS'!$R$56*(4)+'LINEST VARS'!$Q$56*(0.5)+'LINEST VARS'!$P$56*(12.73)+'LINEST VARS'!$O$56*($M$56^2)+'LINEST VARS'!$N$56*($B74^2)+'LINEST VARS'!$M$56*(4^2)+'LINEST VARS'!$L$56*(0.5^2)+'LINEST VARS'!$K$56*(12.73^2)+'LINEST VARS'!$J$56*($M$56*$B74)+'LINEST VARS'!$I$56*($M$56*4)+'LINEST VARS'!$H$56*($M$56*0.5)+'LINEST VARS'!$G$56*($M$56*12.73)+'LINEST VARS'!$F$56*($B74*4)+'LINEST VARS'!$E$56*($B74*0.5)+'LINEST VARS'!$D$56*($B74*12.73)+'LINEST VARS'!$C$56*(4*0.5)+'LINEST VARS'!$B$56*(4*12.73)+'LINEST VARS'!$A$56*(0.5*12.73)</f>
        <v>2.8400000000000007</v>
      </c>
      <c r="N74" s="51">
        <f>'LINEST VARS'!$U$56+'LINEST VARS'!$T$56*($N$56)+'LINEST VARS'!$S$56*($B74)+'LINEST VARS'!$R$56*(4)+'LINEST VARS'!$Q$56*(0.5)+'LINEST VARS'!$P$56*(12.73)+'LINEST VARS'!$O$56*($N$56^2)+'LINEST VARS'!$N$56*($B74^2)+'LINEST VARS'!$M$56*(4^2)+'LINEST VARS'!$L$56*(0.5^2)+'LINEST VARS'!$K$56*(12.73^2)+'LINEST VARS'!$J$56*($N$56*$B74)+'LINEST VARS'!$I$56*($N$56*4)+'LINEST VARS'!$H$56*($N$56*0.5)+'LINEST VARS'!$G$56*($N$56*12.73)+'LINEST VARS'!$F$56*($B74*4)+'LINEST VARS'!$E$56*($B74*0.5)+'LINEST VARS'!$D$56*($B74*12.73)+'LINEST VARS'!$C$56*(4*0.5)+'LINEST VARS'!$B$56*(4*12.73)+'LINEST VARS'!$A$56*(0.5*12.73)</f>
        <v>2.8400000000000007</v>
      </c>
      <c r="O74" s="51">
        <f>'LINEST VARS'!$U$56+'LINEST VARS'!$T$56*($O$56)+'LINEST VARS'!$S$56*($B74)+'LINEST VARS'!$R$56*(4)+'LINEST VARS'!$Q$56*(0.5)+'LINEST VARS'!$P$56*(12.73)+'LINEST VARS'!$O$56*($O$56^2)+'LINEST VARS'!$N$56*($B74^2)+'LINEST VARS'!$M$56*(4^2)+'LINEST VARS'!$L$56*(0.5^2)+'LINEST VARS'!$K$56*(12.73^2)+'LINEST VARS'!$J$56*($O$56*$B74)+'LINEST VARS'!$I$56*($O$56*4)+'LINEST VARS'!$H$56*($O$56*0.5)+'LINEST VARS'!$G$56*($O$56*12.73)+'LINEST VARS'!$F$56*($B74*4)+'LINEST VARS'!$E$56*($B74*0.5)+'LINEST VARS'!$D$56*($B74*12.73)+'LINEST VARS'!$C$56*(4*0.5)+'LINEST VARS'!$B$56*(4*12.73)+'LINEST VARS'!$A$56*(0.5*12.73)</f>
        <v>2.8400000000000007</v>
      </c>
      <c r="P74" s="51">
        <f>'LINEST VARS'!$U$56+'LINEST VARS'!$T$56*($P$56)+'LINEST VARS'!$S$56*($B74)+'LINEST VARS'!$R$56*(4)+'LINEST VARS'!$Q$56*(0.5)+'LINEST VARS'!$P$56*(12.73)+'LINEST VARS'!$O$56*($P$56^2)+'LINEST VARS'!$N$56*($B74^2)+'LINEST VARS'!$M$56*(4^2)+'LINEST VARS'!$L$56*(0.5^2)+'LINEST VARS'!$K$56*(12.73^2)+'LINEST VARS'!$J$56*($P$56*$B74)+'LINEST VARS'!$I$56*($P$56*4)+'LINEST VARS'!$H$56*($P$56*0.5)+'LINEST VARS'!$G$56*($P$56*12.73)+'LINEST VARS'!$F$56*($B74*4)+'LINEST VARS'!$E$56*($B74*0.5)+'LINEST VARS'!$D$56*($B74*12.73)+'LINEST VARS'!$C$56*(4*0.5)+'LINEST VARS'!$B$56*(4*12.73)+'LINEST VARS'!$A$56*(0.5*12.73)</f>
        <v>2.8400000000000012</v>
      </c>
      <c r="Q74" s="51">
        <f>'LINEST VARS'!$U$56+'LINEST VARS'!$T$56*($Q$56)+'LINEST VARS'!$S$56*($B74)+'LINEST VARS'!$R$56*(4)+'LINEST VARS'!$Q$56*(0.5)+'LINEST VARS'!$P$56*(12.73)+'LINEST VARS'!$O$56*($Q$56^2)+'LINEST VARS'!$N$56*($B74^2)+'LINEST VARS'!$M$56*(4^2)+'LINEST VARS'!$L$56*(0.5^2)+'LINEST VARS'!$K$56*(12.73^2)+'LINEST VARS'!$J$56*($Q$56*$B74)+'LINEST VARS'!$I$56*($Q$56*4)+'LINEST VARS'!$H$56*($Q$56*0.5)+'LINEST VARS'!$G$56*($Q$56*12.73)+'LINEST VARS'!$F$56*($B74*4)+'LINEST VARS'!$E$56*($B74*0.5)+'LINEST VARS'!$D$56*($B74*12.73)+'LINEST VARS'!$C$56*(4*0.5)+'LINEST VARS'!$B$56*(4*12.73)+'LINEST VARS'!$A$56*(0.5*12.73)</f>
        <v>2.8400000000000012</v>
      </c>
      <c r="R74" s="51">
        <f>'LINEST VARS'!$U$56+'LINEST VARS'!$T$56*($R$56)+'LINEST VARS'!$S$56*($B74)+'LINEST VARS'!$R$56*(4)+'LINEST VARS'!$Q$56*(0.5)+'LINEST VARS'!$P$56*(12.73)+'LINEST VARS'!$O$56*($R$56^2)+'LINEST VARS'!$N$56*($B74^2)+'LINEST VARS'!$M$56*(4^2)+'LINEST VARS'!$L$56*(0.5^2)+'LINEST VARS'!$K$56*(12.73^2)+'LINEST VARS'!$J$56*($R$56*$B74)+'LINEST VARS'!$I$56*($R$56*4)+'LINEST VARS'!$H$56*($R$56*0.5)+'LINEST VARS'!$G$56*($R$56*12.73)+'LINEST VARS'!$F$56*($B74*4)+'LINEST VARS'!$E$56*($B74*0.5)+'LINEST VARS'!$D$56*($B74*12.73)+'LINEST VARS'!$C$56*(4*0.5)+'LINEST VARS'!$B$56*(4*12.73)+'LINEST VARS'!$A$56*(0.5*12.73)</f>
        <v>2.8400000000000012</v>
      </c>
      <c r="S74" s="51">
        <f>'LINEST VARS'!$U$56+'LINEST VARS'!$T$56*($S$56)+'LINEST VARS'!$S$56*($B74)+'LINEST VARS'!$R$56*(4)+'LINEST VARS'!$Q$56*(0.5)+'LINEST VARS'!$P$56*(12.73)+'LINEST VARS'!$O$56*($S$56^2)+'LINEST VARS'!$N$56*($B74^2)+'LINEST VARS'!$M$56*(4^2)+'LINEST VARS'!$L$56*(0.5^2)+'LINEST VARS'!$K$56*(12.73^2)+'LINEST VARS'!$J$56*($S$56*$B74)+'LINEST VARS'!$I$56*($S$56*4)+'LINEST VARS'!$H$56*($S$56*0.5)+'LINEST VARS'!$G$56*($S$56*12.73)+'LINEST VARS'!$F$56*($B74*4)+'LINEST VARS'!$E$56*($B74*0.5)+'LINEST VARS'!$D$56*($B74*12.73)+'LINEST VARS'!$C$56*(4*0.5)+'LINEST VARS'!$B$56*(4*12.73)+'LINEST VARS'!$A$56*(0.5*12.73)</f>
        <v>2.8400000000000012</v>
      </c>
      <c r="T74" s="51">
        <f>'LINEST VARS'!$U$56+'LINEST VARS'!$T$56*($T$56)+'LINEST VARS'!$S$56*($B74)+'LINEST VARS'!$R$56*(4)+'LINEST VARS'!$Q$56*(0.5)+'LINEST VARS'!$P$56*(12.73)+'LINEST VARS'!$O$56*($T$56^2)+'LINEST VARS'!$N$56*($B74^2)+'LINEST VARS'!$M$56*(4^2)+'LINEST VARS'!$L$56*(0.5^2)+'LINEST VARS'!$K$56*(12.73^2)+'LINEST VARS'!$J$56*($T$56*$B74)+'LINEST VARS'!$I$56*($T$56*4)+'LINEST VARS'!$H$56*($T$56*0.5)+'LINEST VARS'!$G$56*($T$56*12.73)+'LINEST VARS'!$F$56*($B74*4)+'LINEST VARS'!$E$56*($B74*0.5)+'LINEST VARS'!$D$56*($B74*12.73)+'LINEST VARS'!$C$56*(4*0.5)+'LINEST VARS'!$B$56*(4*12.73)+'LINEST VARS'!$A$56*(0.5*12.73)</f>
        <v>2.8400000000000012</v>
      </c>
      <c r="U74" s="51">
        <f>'LINEST VARS'!$U$56+'LINEST VARS'!$T$56*($U$56)+'LINEST VARS'!$S$56*($B74)+'LINEST VARS'!$R$56*(4)+'LINEST VARS'!$Q$56*(0.5)+'LINEST VARS'!$P$56*(12.73)+'LINEST VARS'!$O$56*($U$56^2)+'LINEST VARS'!$N$56*($B74^2)+'LINEST VARS'!$M$56*(4^2)+'LINEST VARS'!$L$56*(0.5^2)+'LINEST VARS'!$K$56*(12.73^2)+'LINEST VARS'!$J$56*($U$56*$B74)+'LINEST VARS'!$I$56*($U$56*4)+'LINEST VARS'!$H$56*($U$56*0.5)+'LINEST VARS'!$G$56*($U$56*12.73)+'LINEST VARS'!$F$56*($B74*4)+'LINEST VARS'!$E$56*($B74*0.5)+'LINEST VARS'!$D$56*($B74*12.73)+'LINEST VARS'!$C$56*(4*0.5)+'LINEST VARS'!$B$56*(4*12.73)+'LINEST VARS'!$A$56*(0.5*12.73)</f>
        <v>2.8400000000000012</v>
      </c>
      <c r="V74" s="51">
        <f>'LINEST VARS'!$U$56+'LINEST VARS'!$T$56*($V$56)+'LINEST VARS'!$S$56*($B74)+'LINEST VARS'!$R$56*(4)+'LINEST VARS'!$Q$56*(0.5)+'LINEST VARS'!$P$56*(12.73)+'LINEST VARS'!$O$56*($V$56^2)+'LINEST VARS'!$N$56*($B74^2)+'LINEST VARS'!$M$56*(4^2)+'LINEST VARS'!$L$56*(0.5^2)+'LINEST VARS'!$K$56*(12.73^2)+'LINEST VARS'!$J$56*($V$56*$B74)+'LINEST VARS'!$I$56*($V$56*4)+'LINEST VARS'!$H$56*($V$56*0.5)+'LINEST VARS'!$G$56*($V$56*12.73)+'LINEST VARS'!$F$56*($B74*4)+'LINEST VARS'!$E$56*($B74*0.5)+'LINEST VARS'!$D$56*($B74*12.73)+'LINEST VARS'!$C$56*(4*0.5)+'LINEST VARS'!$B$56*(4*12.73)+'LINEST VARS'!$A$56*(0.5*12.73)</f>
        <v>2.8400000000000012</v>
      </c>
      <c r="W74" s="52">
        <f>'LINEST VARS'!$U$56+'LINEST VARS'!$T$56*($W$56)+'LINEST VARS'!$S$56*($B74)+'LINEST VARS'!$R$56*(4)+'LINEST VARS'!$Q$56*(0.5)+'LINEST VARS'!$P$56*(12.73)+'LINEST VARS'!$O$56*($W$56^2)+'LINEST VARS'!$N$56*($B74^2)+'LINEST VARS'!$M$56*(4^2)+'LINEST VARS'!$L$56*(0.5^2)+'LINEST VARS'!$K$56*(12.73^2)+'LINEST VARS'!$J$56*($W$56*$B74)+'LINEST VARS'!$I$56*($W$56*4)+'LINEST VARS'!$H$56*($W$56*0.5)+'LINEST VARS'!$G$56*($W$56*12.73)+'LINEST VARS'!$F$56*($B74*4)+'LINEST VARS'!$E$56*($B74*0.5)+'LINEST VARS'!$D$56*($B74*12.73)+'LINEST VARS'!$C$56*(4*0.5)+'LINEST VARS'!$B$56*(4*12.73)+'LINEST VARS'!$A$56*(0.5*12.73)</f>
        <v>2.8400000000000012</v>
      </c>
      <c r="Z74" s="45">
        <v>8.42</v>
      </c>
      <c r="AA74" s="51">
        <f>'LINEST VARS'!$U$58+'LINEST VARS'!$T$58*($AA$56)+'LINEST VARS'!$S$58*($Z74)+'LINEST VARS'!$R$58*(4)+'LINEST VARS'!$Q$58*(0.5)+'LINEST VARS'!$P$58*(12.73)+'LINEST VARS'!$O$58*($AA$56^2)+'LINEST VARS'!$N$58*($Z74^2)+'LINEST VARS'!$M$58*(4^2)+'LINEST VARS'!$L$58*(0.5^2)+'LINEST VARS'!$K$58*(12.73^2)+'LINEST VARS'!$J$58*($AA$56*$Z74)+'LINEST VARS'!$I$58*($AA$56*4)+'LINEST VARS'!$H$58*($AA$56*0.5)+'LINEST VARS'!$G$58*($AA$56*12.73)+'LINEST VARS'!$F$58*($Z74*4)+'LINEST VARS'!$E$58*($Z74*0.5)+'LINEST VARS'!$D$58*($Z74*12.73)+'LINEST VARS'!$C$58*(4*0.5)+'LINEST VARS'!$B$58*(4*12.73)+'LINEST VARS'!$A$58*(0.5*12.73)</f>
        <v>0.9436500000000001</v>
      </c>
      <c r="AB74" s="51">
        <f>'LINEST VARS'!$U$58+'LINEST VARS'!$T$58*($AB$56)+'LINEST VARS'!$S$58*($Z74)+'LINEST VARS'!$R$58*(4)+'LINEST VARS'!$Q$58*(0.5)+'LINEST VARS'!$P$58*(12.73)+'LINEST VARS'!$O$58*($AB$56^2)+'LINEST VARS'!$N$58*($Z74^2)+'LINEST VARS'!$M$58*(4^2)+'LINEST VARS'!$L$58*(0.5^2)+'LINEST VARS'!$K$58*(12.73^2)+'LINEST VARS'!$J$58*($AB$56*$Z74)+'LINEST VARS'!$I$58*($AB$56*4)+'LINEST VARS'!$H$58*($AB$56*0.5)+'LINEST VARS'!$G$58*($AB$56*12.73)+'LINEST VARS'!$F$58*($Z74*4)+'LINEST VARS'!$E$58*($Z74*0.5)+'LINEST VARS'!$D$58*($Z74*12.73)+'LINEST VARS'!$C$58*(4*0.5)+'LINEST VARS'!$B$58*(4*12.73)+'LINEST VARS'!$A$58*(0.5*12.73)</f>
        <v>0.9436500000000001</v>
      </c>
      <c r="AC74" s="51">
        <f>'LINEST VARS'!$U$58+'LINEST VARS'!$T$58*($AC$56)+'LINEST VARS'!$S$58*($Z74)+'LINEST VARS'!$R$58*(4)+'LINEST VARS'!$Q$58*(0.5)+'LINEST VARS'!$P$58*(12.73)+'LINEST VARS'!$O$58*($AC$56^2)+'LINEST VARS'!$N$58*($Z74^2)+'LINEST VARS'!$M$58*(4^2)+'LINEST VARS'!$L$58*(0.5^2)+'LINEST VARS'!$K$58*(12.73^2)+'LINEST VARS'!$J$58*($AC$56*$Z74)+'LINEST VARS'!$I$58*($AC$56*4)+'LINEST VARS'!$H$58*($AC$56*0.5)+'LINEST VARS'!$G$58*($AC$56*12.73)+'LINEST VARS'!$F$58*($Z74*4)+'LINEST VARS'!$E$58*($Z74*0.5)+'LINEST VARS'!$D$58*($Z74*12.73)+'LINEST VARS'!$C$58*(4*0.5)+'LINEST VARS'!$B$58*(4*12.73)+'LINEST VARS'!$A$58*(0.5*12.73)</f>
        <v>0.9436500000000001</v>
      </c>
      <c r="AD74" s="51">
        <f>'LINEST VARS'!$U$58+'LINEST VARS'!$T$58*($AD$56)+'LINEST VARS'!$S$58*($Z74)+'LINEST VARS'!$R$58*(4)+'LINEST VARS'!$Q$58*(0.5)+'LINEST VARS'!$P$58*(12.73)+'LINEST VARS'!$O$58*($AD$56^2)+'LINEST VARS'!$N$58*($Z74^2)+'LINEST VARS'!$M$58*(4^2)+'LINEST VARS'!$L$58*(0.5^2)+'LINEST VARS'!$K$58*(12.73^2)+'LINEST VARS'!$J$58*($AD$56*$Z74)+'LINEST VARS'!$I$58*($AD$56*4)+'LINEST VARS'!$H$58*($AD$56*0.5)+'LINEST VARS'!$G$58*($AD$56*12.73)+'LINEST VARS'!$F$58*($Z74*4)+'LINEST VARS'!$E$58*($Z74*0.5)+'LINEST VARS'!$D$58*($Z74*12.73)+'LINEST VARS'!$C$58*(4*0.5)+'LINEST VARS'!$B$58*(4*12.73)+'LINEST VARS'!$A$58*(0.5*12.73)</f>
        <v>0.94365000000000021</v>
      </c>
      <c r="AE74" s="51">
        <f>'LINEST VARS'!$U$58+'LINEST VARS'!$T$58*($AE$56)+'LINEST VARS'!$S$58*($Z74)+'LINEST VARS'!$R$58*(4)+'LINEST VARS'!$Q$58*(0.5)+'LINEST VARS'!$P$58*(12.73)+'LINEST VARS'!$O$58*($AE$56^2)+'LINEST VARS'!$N$58*($Z74^2)+'LINEST VARS'!$M$58*(4^2)+'LINEST VARS'!$L$58*(0.5^2)+'LINEST VARS'!$K$58*(12.73^2)+'LINEST VARS'!$J$58*($AE$56*$Z74)+'LINEST VARS'!$I$58*($AE$56*4)+'LINEST VARS'!$H$58*($AE$56*0.5)+'LINEST VARS'!$G$58*($AE$56*12.73)+'LINEST VARS'!$F$58*($Z74*4)+'LINEST VARS'!$E$58*($Z74*0.5)+'LINEST VARS'!$D$58*($Z74*12.73)+'LINEST VARS'!$C$58*(4*0.5)+'LINEST VARS'!$B$58*(4*12.73)+'LINEST VARS'!$A$58*(0.5*12.73)</f>
        <v>0.94365000000000021</v>
      </c>
      <c r="AF74" s="51">
        <f>'LINEST VARS'!$U$58+'LINEST VARS'!$T$58*($AF$56)+'LINEST VARS'!$S$58*($Z74)+'LINEST VARS'!$R$58*(4)+'LINEST VARS'!$Q$58*(0.5)+'LINEST VARS'!$P$58*(12.73)+'LINEST VARS'!$O$58*($AF$56^2)+'LINEST VARS'!$N$58*($Z74^2)+'LINEST VARS'!$M$58*(4^2)+'LINEST VARS'!$L$58*(0.5^2)+'LINEST VARS'!$K$58*(12.73^2)+'LINEST VARS'!$J$58*($AF$56*$Z74)+'LINEST VARS'!$I$58*($AF$56*4)+'LINEST VARS'!$H$58*($AF$56*0.5)+'LINEST VARS'!$G$58*($AF$56*12.73)+'LINEST VARS'!$F$58*($Z74*4)+'LINEST VARS'!$E$58*($Z74*0.5)+'LINEST VARS'!$D$58*($Z74*12.73)+'LINEST VARS'!$C$58*(4*0.5)+'LINEST VARS'!$B$58*(4*12.73)+'LINEST VARS'!$A$58*(0.5*12.73)</f>
        <v>0.94365000000000021</v>
      </c>
      <c r="AG74" s="51">
        <f>'LINEST VARS'!$U$58+'LINEST VARS'!$T$58*($AG$56)+'LINEST VARS'!$S$58*($Z74)+'LINEST VARS'!$R$58*(4)+'LINEST VARS'!$Q$58*(0.5)+'LINEST VARS'!$P$58*(12.73)+'LINEST VARS'!$O$58*($AG$56^2)+'LINEST VARS'!$N$58*($Z74^2)+'LINEST VARS'!$M$58*(4^2)+'LINEST VARS'!$L$58*(0.5^2)+'LINEST VARS'!$K$58*(12.73^2)+'LINEST VARS'!$J$58*($AG$56*$Z74)+'LINEST VARS'!$I$58*($AG$56*4)+'LINEST VARS'!$H$58*($AG$56*0.5)+'LINEST VARS'!$G$58*($AG$56*12.73)+'LINEST VARS'!$F$58*($Z74*4)+'LINEST VARS'!$E$58*($Z74*0.5)+'LINEST VARS'!$D$58*($Z74*12.73)+'LINEST VARS'!$C$58*(4*0.5)+'LINEST VARS'!$B$58*(4*12.73)+'LINEST VARS'!$A$58*(0.5*12.73)</f>
        <v>0.94365000000000021</v>
      </c>
      <c r="AH74" s="51">
        <f>'LINEST VARS'!$U$58+'LINEST VARS'!$T$58*($AH$56)+'LINEST VARS'!$S$58*($Z74)+'LINEST VARS'!$R$58*(4)+'LINEST VARS'!$Q$58*(0.5)+'LINEST VARS'!$P$58*(12.73)+'LINEST VARS'!$O$58*($AH$56^2)+'LINEST VARS'!$N$58*($Z74^2)+'LINEST VARS'!$M$58*(4^2)+'LINEST VARS'!$L$58*(0.5^2)+'LINEST VARS'!$K$58*(12.73^2)+'LINEST VARS'!$J$58*($AH$56*$Z74)+'LINEST VARS'!$I$58*($AH$56*4)+'LINEST VARS'!$H$58*($AH$56*0.5)+'LINEST VARS'!$G$58*($AH$56*12.73)+'LINEST VARS'!$F$58*($Z74*4)+'LINEST VARS'!$E$58*($Z74*0.5)+'LINEST VARS'!$D$58*($Z74*12.73)+'LINEST VARS'!$C$58*(4*0.5)+'LINEST VARS'!$B$58*(4*12.73)+'LINEST VARS'!$A$58*(0.5*12.73)</f>
        <v>0.94365000000000021</v>
      </c>
      <c r="AI74" s="51">
        <f>'LINEST VARS'!$U$58+'LINEST VARS'!$T$58*($AI$56)+'LINEST VARS'!$S$58*($Z74)+'LINEST VARS'!$R$58*(4)+'LINEST VARS'!$Q$58*(0.5)+'LINEST VARS'!$P$58*(12.73)+'LINEST VARS'!$O$58*($AI$56^2)+'LINEST VARS'!$N$58*($Z74^2)+'LINEST VARS'!$M$58*(4^2)+'LINEST VARS'!$L$58*(0.5^2)+'LINEST VARS'!$K$58*(12.73^2)+'LINEST VARS'!$J$58*($AI$56*$Z74)+'LINEST VARS'!$I$58*($AI$56*4)+'LINEST VARS'!$H$58*($AI$56*0.5)+'LINEST VARS'!$G$58*($AI$56*12.73)+'LINEST VARS'!$F$58*($Z74*4)+'LINEST VARS'!$E$58*($Z74*0.5)+'LINEST VARS'!$D$58*($Z74*12.73)+'LINEST VARS'!$C$58*(4*0.5)+'LINEST VARS'!$B$58*(4*12.73)+'LINEST VARS'!$A$58*(0.5*12.73)</f>
        <v>0.9436500000000001</v>
      </c>
      <c r="AJ74" s="51">
        <f>'LINEST VARS'!$U$58+'LINEST VARS'!$T$58*($AJ$56)+'LINEST VARS'!$S$58*($Z74)+'LINEST VARS'!$R$58*(4)+'LINEST VARS'!$Q$58*(0.5)+'LINEST VARS'!$P$58*(12.73)+'LINEST VARS'!$O$58*($AJ$56^2)+'LINEST VARS'!$N$58*($Z74^2)+'LINEST VARS'!$M$58*(4^2)+'LINEST VARS'!$L$58*(0.5^2)+'LINEST VARS'!$K$58*(12.73^2)+'LINEST VARS'!$J$58*($AJ$56*$Z74)+'LINEST VARS'!$I$58*($AJ$56*4)+'LINEST VARS'!$H$58*($AJ$56*0.5)+'LINEST VARS'!$G$58*($AJ$56*12.73)+'LINEST VARS'!$F$58*($Z74*4)+'LINEST VARS'!$E$58*($Z74*0.5)+'LINEST VARS'!$D$58*($Z74*12.73)+'LINEST VARS'!$C$58*(4*0.5)+'LINEST VARS'!$B$58*(4*12.73)+'LINEST VARS'!$A$58*(0.5*12.73)</f>
        <v>0.9436500000000001</v>
      </c>
      <c r="AK74" s="51">
        <f>'LINEST VARS'!$U$58+'LINEST VARS'!$T$58*($AK$56)+'LINEST VARS'!$S$58*($Z74)+'LINEST VARS'!$R$58*(4)+'LINEST VARS'!$Q$58*(0.5)+'LINEST VARS'!$P$58*(12.73)+'LINEST VARS'!$O$58*($AK$56^2)+'LINEST VARS'!$N$58*($Z74^2)+'LINEST VARS'!$M$58*(4^2)+'LINEST VARS'!$L$58*(0.5^2)+'LINEST VARS'!$K$58*(12.73^2)+'LINEST VARS'!$J$58*($AK$56*$Z74)+'LINEST VARS'!$I$58*($AK$56*4)+'LINEST VARS'!$H$58*($AK$56*0.5)+'LINEST VARS'!$G$58*($AK$56*12.73)+'LINEST VARS'!$F$58*($Z74*4)+'LINEST VARS'!$E$58*($Z74*0.5)+'LINEST VARS'!$D$58*($Z74*12.73)+'LINEST VARS'!$C$58*(4*0.5)+'LINEST VARS'!$B$58*(4*12.73)+'LINEST VARS'!$A$58*(0.5*12.73)</f>
        <v>0.9436500000000001</v>
      </c>
      <c r="AL74" s="51">
        <f>'LINEST VARS'!$U$58+'LINEST VARS'!$T$58*($AL$56)+'LINEST VARS'!$S$58*($Z74)+'LINEST VARS'!$R$58*(4)+'LINEST VARS'!$Q$58*(0.5)+'LINEST VARS'!$P$58*(12.73)+'LINEST VARS'!$O$58*($AL$56^2)+'LINEST VARS'!$N$58*($Z74^2)+'LINEST VARS'!$M$58*(4^2)+'LINEST VARS'!$L$58*(0.5^2)+'LINEST VARS'!$K$58*(12.73^2)+'LINEST VARS'!$J$58*($AL$56*$Z74)+'LINEST VARS'!$I$58*($AL$56*4)+'LINEST VARS'!$H$58*($AL$56*0.5)+'LINEST VARS'!$G$58*($AL$56*12.73)+'LINEST VARS'!$F$58*($Z74*4)+'LINEST VARS'!$E$58*($Z74*0.5)+'LINEST VARS'!$D$58*($Z74*12.73)+'LINEST VARS'!$C$58*(4*0.5)+'LINEST VARS'!$B$58*(4*12.73)+'LINEST VARS'!$A$58*(0.5*12.73)</f>
        <v>0.9436500000000001</v>
      </c>
      <c r="AM74" s="51">
        <f>'LINEST VARS'!$U$58+'LINEST VARS'!$T$58*($AM$56)+'LINEST VARS'!$S$58*($Z74)+'LINEST VARS'!$R$58*(4)+'LINEST VARS'!$Q$58*(0.5)+'LINEST VARS'!$P$58*(12.73)+'LINEST VARS'!$O$58*($AM$56^2)+'LINEST VARS'!$N$58*($Z74^2)+'LINEST VARS'!$M$58*(4^2)+'LINEST VARS'!$L$58*(0.5^2)+'LINEST VARS'!$K$58*(12.73^2)+'LINEST VARS'!$J$58*($AM$56*$Z74)+'LINEST VARS'!$I$58*($AM$56*4)+'LINEST VARS'!$H$58*($AM$56*0.5)+'LINEST VARS'!$G$58*($AM$56*12.73)+'LINEST VARS'!$F$58*($Z74*4)+'LINEST VARS'!$E$58*($Z74*0.5)+'LINEST VARS'!$D$58*($Z74*12.73)+'LINEST VARS'!$C$58*(4*0.5)+'LINEST VARS'!$B$58*(4*12.73)+'LINEST VARS'!$A$58*(0.5*12.73)</f>
        <v>0.9436500000000001</v>
      </c>
      <c r="AN74" s="51">
        <f>'LINEST VARS'!$U$58+'LINEST VARS'!$T$58*($AN$56)+'LINEST VARS'!$S$58*($Z74)+'LINEST VARS'!$R$58*(4)+'LINEST VARS'!$Q$58*(0.5)+'LINEST VARS'!$P$58*(12.73)+'LINEST VARS'!$O$58*($AN$56^2)+'LINEST VARS'!$N$58*($Z74^2)+'LINEST VARS'!$M$58*(4^2)+'LINEST VARS'!$L$58*(0.5^2)+'LINEST VARS'!$K$58*(12.73^2)+'LINEST VARS'!$J$58*($AN$56*$Z74)+'LINEST VARS'!$I$58*($AN$56*4)+'LINEST VARS'!$H$58*($AN$56*0.5)+'LINEST VARS'!$G$58*($AN$56*12.73)+'LINEST VARS'!$F$58*($Z74*4)+'LINEST VARS'!$E$58*($Z74*0.5)+'LINEST VARS'!$D$58*($Z74*12.73)+'LINEST VARS'!$C$58*(4*0.5)+'LINEST VARS'!$B$58*(4*12.73)+'LINEST VARS'!$A$58*(0.5*12.73)</f>
        <v>0.9436500000000001</v>
      </c>
      <c r="AO74" s="51">
        <f>'LINEST VARS'!$U$58+'LINEST VARS'!$T$58*($AO$56)+'LINEST VARS'!$S$58*($Z74)+'LINEST VARS'!$R$58*(4)+'LINEST VARS'!$Q$58*(0.5)+'LINEST VARS'!$P$58*(12.73)+'LINEST VARS'!$O$58*($AO$56^2)+'LINEST VARS'!$N$58*($Z74^2)+'LINEST VARS'!$M$58*(4^2)+'LINEST VARS'!$L$58*(0.5^2)+'LINEST VARS'!$K$58*(12.73^2)+'LINEST VARS'!$J$58*($AO$56*$Z74)+'LINEST VARS'!$I$58*($AO$56*4)+'LINEST VARS'!$H$58*($AO$56*0.5)+'LINEST VARS'!$G$58*($AO$56*12.73)+'LINEST VARS'!$F$58*($Z74*4)+'LINEST VARS'!$E$58*($Z74*0.5)+'LINEST VARS'!$D$58*($Z74*12.73)+'LINEST VARS'!$C$58*(4*0.5)+'LINEST VARS'!$B$58*(4*12.73)+'LINEST VARS'!$A$58*(0.5*12.73)</f>
        <v>0.9436500000000001</v>
      </c>
      <c r="AP74" s="51">
        <f>'LINEST VARS'!$U$58+'LINEST VARS'!$T$58*($AP$56)+'LINEST VARS'!$S$58*($Z74)+'LINEST VARS'!$R$58*(4)+'LINEST VARS'!$Q$58*(0.5)+'LINEST VARS'!$P$58*(12.73)+'LINEST VARS'!$O$58*($AP$56^2)+'LINEST VARS'!$N$58*($Z74^2)+'LINEST VARS'!$M$58*(4^2)+'LINEST VARS'!$L$58*(0.5^2)+'LINEST VARS'!$K$58*(12.73^2)+'LINEST VARS'!$J$58*($AP$56*$Z74)+'LINEST VARS'!$I$58*($AP$56*4)+'LINEST VARS'!$H$58*($AP$56*0.5)+'LINEST VARS'!$G$58*($AP$56*12.73)+'LINEST VARS'!$F$58*($Z74*4)+'LINEST VARS'!$E$58*($Z74*0.5)+'LINEST VARS'!$D$58*($Z74*12.73)+'LINEST VARS'!$C$58*(4*0.5)+'LINEST VARS'!$B$58*(4*12.73)+'LINEST VARS'!$A$58*(0.5*12.73)</f>
        <v>0.9436500000000001</v>
      </c>
      <c r="AQ74" s="51">
        <f>'LINEST VARS'!$U$58+'LINEST VARS'!$T$58*($AQ$56)+'LINEST VARS'!$S$58*($Z74)+'LINEST VARS'!$R$58*(4)+'LINEST VARS'!$Q$58*(0.5)+'LINEST VARS'!$P$58*(12.73)+'LINEST VARS'!$O$58*($AQ$56^2)+'LINEST VARS'!$N$58*($Z74^2)+'LINEST VARS'!$M$58*(4^2)+'LINEST VARS'!$L$58*(0.5^2)+'LINEST VARS'!$K$58*(12.73^2)+'LINEST VARS'!$J$58*($AQ$56*$Z74)+'LINEST VARS'!$I$58*($AQ$56*4)+'LINEST VARS'!$H$58*($AQ$56*0.5)+'LINEST VARS'!$G$58*($AQ$56*12.73)+'LINEST VARS'!$F$58*($Z74*4)+'LINEST VARS'!$E$58*($Z74*0.5)+'LINEST VARS'!$D$58*($Z74*12.73)+'LINEST VARS'!$C$58*(4*0.5)+'LINEST VARS'!$B$58*(4*12.73)+'LINEST VARS'!$A$58*(0.5*12.73)</f>
        <v>0.9436500000000001</v>
      </c>
      <c r="AR74" s="51">
        <f>'LINEST VARS'!$U$58+'LINEST VARS'!$T$58*($AR$56)+'LINEST VARS'!$S$58*($Z74)+'LINEST VARS'!$R$58*(4)+'LINEST VARS'!$Q$58*(0.5)+'LINEST VARS'!$P$58*(12.73)+'LINEST VARS'!$O$58*($AR$56^2)+'LINEST VARS'!$N$58*($Z74^2)+'LINEST VARS'!$M$58*(4^2)+'LINEST VARS'!$L$58*(0.5^2)+'LINEST VARS'!$K$58*(12.73^2)+'LINEST VARS'!$J$58*($AR$56*$Z74)+'LINEST VARS'!$I$58*($AR$56*4)+'LINEST VARS'!$H$58*($AR$56*0.5)+'LINEST VARS'!$G$58*($AR$56*12.73)+'LINEST VARS'!$F$58*($Z74*4)+'LINEST VARS'!$E$58*($Z74*0.5)+'LINEST VARS'!$D$58*($Z74*12.73)+'LINEST VARS'!$C$58*(4*0.5)+'LINEST VARS'!$B$58*(4*12.73)+'LINEST VARS'!$A$58*(0.5*12.73)</f>
        <v>0.9436500000000001</v>
      </c>
      <c r="AS74" s="51">
        <f>'LINEST VARS'!$U$58+'LINEST VARS'!$T$58*($AS$56)+'LINEST VARS'!$S$58*($Z74)+'LINEST VARS'!$R$58*(4)+'LINEST VARS'!$Q$58*(0.5)+'LINEST VARS'!$P$58*(12.73)+'LINEST VARS'!$O$58*($AS$56^2)+'LINEST VARS'!$N$58*($Z74^2)+'LINEST VARS'!$M$58*(4^2)+'LINEST VARS'!$L$58*(0.5^2)+'LINEST VARS'!$K$58*(12.73^2)+'LINEST VARS'!$J$58*($AS$56*$Z74)+'LINEST VARS'!$I$58*($AS$56*4)+'LINEST VARS'!$H$58*($AS$56*0.5)+'LINEST VARS'!$G$58*($AS$56*12.73)+'LINEST VARS'!$F$58*($Z74*4)+'LINEST VARS'!$E$58*($Z74*0.5)+'LINEST VARS'!$D$58*($Z74*12.73)+'LINEST VARS'!$C$58*(4*0.5)+'LINEST VARS'!$B$58*(4*12.73)+'LINEST VARS'!$A$58*(0.5*12.73)</f>
        <v>0.9436500000000001</v>
      </c>
      <c r="AT74" s="51">
        <f>'LINEST VARS'!$U$58+'LINEST VARS'!$T$58*($AT$56)+'LINEST VARS'!$S$58*($Z74)+'LINEST VARS'!$R$58*(4)+'LINEST VARS'!$Q$58*(0.5)+'LINEST VARS'!$P$58*(12.73)+'LINEST VARS'!$O$58*($AT$56^2)+'LINEST VARS'!$N$58*($Z74^2)+'LINEST VARS'!$M$58*(4^2)+'LINEST VARS'!$L$58*(0.5^2)+'LINEST VARS'!$K$58*(12.73^2)+'LINEST VARS'!$J$58*($AT$56*$Z74)+'LINEST VARS'!$I$58*($AT$56*4)+'LINEST VARS'!$H$58*($AT$56*0.5)+'LINEST VARS'!$G$58*($AT$56*12.73)+'LINEST VARS'!$F$58*($Z74*4)+'LINEST VARS'!$E$58*($Z74*0.5)+'LINEST VARS'!$D$58*($Z74*12.73)+'LINEST VARS'!$C$58*(4*0.5)+'LINEST VARS'!$B$58*(4*12.73)+'LINEST VARS'!$A$58*(0.5*12.73)</f>
        <v>0.9436500000000001</v>
      </c>
      <c r="AU74" s="52">
        <f>'LINEST VARS'!$U$58+'LINEST VARS'!$T$58*($AU$56)+'LINEST VARS'!$S$58*($Z74)+'LINEST VARS'!$R$58*(4)+'LINEST VARS'!$Q$58*(0.5)+'LINEST VARS'!$P$58*(12.73)+'LINEST VARS'!$O$58*($AU$56^2)+'LINEST VARS'!$N$58*($Z74^2)+'LINEST VARS'!$M$58*(4^2)+'LINEST VARS'!$L$58*(0.5^2)+'LINEST VARS'!$K$58*(12.73^2)+'LINEST VARS'!$J$58*($AU$56*$Z74)+'LINEST VARS'!$I$58*($AU$56*4)+'LINEST VARS'!$H$58*($AU$56*0.5)+'LINEST VARS'!$G$58*($AU$56*12.73)+'LINEST VARS'!$F$58*($Z74*4)+'LINEST VARS'!$E$58*($Z74*0.5)+'LINEST VARS'!$D$58*($Z74*12.73)+'LINEST VARS'!$C$58*(4*0.5)+'LINEST VARS'!$B$58*(4*12.73)+'LINEST VARS'!$A$58*(0.5*12.73)</f>
        <v>0.9436500000000001</v>
      </c>
      <c r="AZ74" s="45">
        <v>0.85</v>
      </c>
      <c r="BA74" s="51">
        <f>'LINEST VARS'!$U$56+'LINEST VARS'!$T$56*(8)+'LINEST VARS'!$S$56*(8)+'LINEST VARS'!$R$56*($BA$56)+'LINEST VARS'!$Q$56*($AZ74)+'LINEST VARS'!$P$56*(12.73)+'LINEST VARS'!$O$56*(8^2)+'LINEST VARS'!$N$56*(8^2)+'LINEST VARS'!$M$56*($BA$56^2)+'LINEST VARS'!$L$56*($AZ74^2)+'LINEST VARS'!$K$56*(12.73^2)+'LINEST VARS'!$J$56*(8*8)+'LINEST VARS'!$I$56*(8*$BA$56)+'LINEST VARS'!$H$56*(8*$AZ74)+'LINEST VARS'!$G$56*(8*12.73)+'LINEST VARS'!$F$56*(8*$BA$56)+'LINEST VARS'!$E$56*(8*$AZ74)+'LINEST VARS'!$D$56*(8*12.73)+'LINEST VARS'!$C$56*($BA$56*$AZ74)+'LINEST VARS'!$B$56*($BA$56*12.73)+'LINEST VARS'!$A$56*($AZ74*12.73)</f>
        <v>2.8000000000000012</v>
      </c>
      <c r="BB74" s="51">
        <f>'LINEST VARS'!$U$56+'LINEST VARS'!$T$56*(8)+'LINEST VARS'!$S$56*(8)+'LINEST VARS'!$R$56*($BB$56)+'LINEST VARS'!$Q$56*($AZ74)+'LINEST VARS'!$P$56*(12.73)+'LINEST VARS'!$O$56*(8^2)+'LINEST VARS'!$N$56*(8^2)+'LINEST VARS'!$M$56*($BB$56^2)+'LINEST VARS'!$L$56*($AZ74^2)+'LINEST VARS'!$K$56*(12.73^2)+'LINEST VARS'!$J$56*(8*8)+'LINEST VARS'!$I$56*(8*$BB$56)+'LINEST VARS'!$H$56*(8*$AZ74)+'LINEST VARS'!$G$56*(8*12.73)+'LINEST VARS'!$F$56*(8*$BB$56)+'LINEST VARS'!$E$56*(8*$AZ74)+'LINEST VARS'!$D$56*(8*12.73)+'LINEST VARS'!$C$56*($BB$56*$AZ74)+'LINEST VARS'!$B$56*($BB$56*12.73)+'LINEST VARS'!$A$56*($AZ74*12.73)</f>
        <v>2.8184000000000013</v>
      </c>
      <c r="BC74" s="51">
        <f>'LINEST VARS'!$U$56+'LINEST VARS'!$T$56*(8)+'LINEST VARS'!$S$56*(8)+'LINEST VARS'!$R$56*($BC$56)+'LINEST VARS'!$Q$56*($AZ74)+'LINEST VARS'!$P$56*(12.73)+'LINEST VARS'!$O$56*(8^2)+'LINEST VARS'!$N$56*(8^2)+'LINEST VARS'!$M$56*($BC$56^2)+'LINEST VARS'!$L$56*($AZ74^2)+'LINEST VARS'!$K$56*(12.73^2)+'LINEST VARS'!$J$56*(8*8)+'LINEST VARS'!$I$56*(8*$BC$56)+'LINEST VARS'!$H$56*(8*$AZ74)+'LINEST VARS'!$G$56*(8*12.73)+'LINEST VARS'!$F$56*(8*$BC$56)+'LINEST VARS'!$E$56*(8*$AZ74)+'LINEST VARS'!$D$56*(8*12.73)+'LINEST VARS'!$C$56*($BC$56*$AZ74)+'LINEST VARS'!$B$56*($BC$56*12.73)+'LINEST VARS'!$A$56*($AZ74*12.73)</f>
        <v>2.833600000000001</v>
      </c>
      <c r="BD74" s="51">
        <f>'LINEST VARS'!$U$56+'LINEST VARS'!$T$56*(8)+'LINEST VARS'!$S$56*(8)+'LINEST VARS'!$R$56*($BD$56)+'LINEST VARS'!$Q$56*($AZ74)+'LINEST VARS'!$P$56*(12.73)+'LINEST VARS'!$O$56*(8^2)+'LINEST VARS'!$N$56*(8^2)+'LINEST VARS'!$M$56*($BD$56^2)+'LINEST VARS'!$L$56*($AZ74^2)+'LINEST VARS'!$K$56*(12.73^2)+'LINEST VARS'!$J$56*(8*8)+'LINEST VARS'!$I$56*(8*$BD$56)+'LINEST VARS'!$H$56*(8*$AZ74)+'LINEST VARS'!$G$56*(8*12.73)+'LINEST VARS'!$F$56*(8*$BD$56)+'LINEST VARS'!$E$56*(8*$AZ74)+'LINEST VARS'!$D$56*(8*12.73)+'LINEST VARS'!$C$56*($BD$56*$AZ74)+'LINEST VARS'!$B$56*($BD$56*12.73)+'LINEST VARS'!$A$56*($AZ74*12.73)</f>
        <v>2.845600000000001</v>
      </c>
      <c r="BE74" s="51">
        <f>'LINEST VARS'!$U$56+'LINEST VARS'!$T$56*(8)+'LINEST VARS'!$S$56*(8)+'LINEST VARS'!$R$56*($BE$56)+'LINEST VARS'!$Q$56*($AZ74)+'LINEST VARS'!$P$56*(12.73)+'LINEST VARS'!$O$56*(8^2)+'LINEST VARS'!$N$56*(8^2)+'LINEST VARS'!$M$56*($BE$56^2)+'LINEST VARS'!$L$56*($AZ74^2)+'LINEST VARS'!$K$56*(12.73^2)+'LINEST VARS'!$J$56*(8*8)+'LINEST VARS'!$I$56*(8*$BE$56)+'LINEST VARS'!$H$56*(8*$AZ74)+'LINEST VARS'!$G$56*(8*12.73)+'LINEST VARS'!$F$56*(8*$BE$56)+'LINEST VARS'!$E$56*(8*$AZ74)+'LINEST VARS'!$D$56*(8*12.73)+'LINEST VARS'!$C$56*($BE$56*$AZ74)+'LINEST VARS'!$B$56*($BE$56*12.73)+'LINEST VARS'!$A$56*($AZ74*12.73)</f>
        <v>2.8544000000000014</v>
      </c>
      <c r="BF74" s="51">
        <f>'LINEST VARS'!$U$56+'LINEST VARS'!$T$56*(8)+'LINEST VARS'!$S$56*(8)+'LINEST VARS'!$R$56*($BF$56)+'LINEST VARS'!$Q$56*($AZ74)+'LINEST VARS'!$P$56*(12.73)+'LINEST VARS'!$O$56*(8^2)+'LINEST VARS'!$N$56*(8^2)+'LINEST VARS'!$M$56*($BF$56^2)+'LINEST VARS'!$L$56*($AZ74^2)+'LINEST VARS'!$K$56*(12.73^2)+'LINEST VARS'!$J$56*(8*8)+'LINEST VARS'!$I$56*(8*$BF$56)+'LINEST VARS'!$H$56*(8*$AZ74)+'LINEST VARS'!$G$56*(8*12.73)+'LINEST VARS'!$F$56*(8*$BF$56)+'LINEST VARS'!$E$56*(8*$AZ74)+'LINEST VARS'!$D$56*(8*12.73)+'LINEST VARS'!$C$56*($BF$56*$AZ74)+'LINEST VARS'!$B$56*($BF$56*12.73)+'LINEST VARS'!$A$56*($AZ74*12.73)</f>
        <v>2.8600000000000012</v>
      </c>
      <c r="BG74" s="51">
        <f>'LINEST VARS'!$U$56+'LINEST VARS'!$T$56*(8)+'LINEST VARS'!$S$56*(8)+'LINEST VARS'!$R$56*($BG$56)+'LINEST VARS'!$Q$56*($AZ74)+'LINEST VARS'!$P$56*(12.73)+'LINEST VARS'!$O$56*(8^2)+'LINEST VARS'!$N$56*(8^2)+'LINEST VARS'!$M$56*($BG$56^2)+'LINEST VARS'!$L$56*($AZ74^2)+'LINEST VARS'!$K$56*(12.73^2)+'LINEST VARS'!$J$56*(8*8)+'LINEST VARS'!$I$56*(8*$BG$56)+'LINEST VARS'!$H$56*(8*$AZ74)+'LINEST VARS'!$G$56*(8*12.73)+'LINEST VARS'!$F$56*(8*$BG$56)+'LINEST VARS'!$E$56*(8*$AZ74)+'LINEST VARS'!$D$56*(8*12.73)+'LINEST VARS'!$C$56*($BG$56*$AZ74)+'LINEST VARS'!$B$56*($BG$56*12.73)+'LINEST VARS'!$A$56*($AZ74*12.73)</f>
        <v>2.8624000000000014</v>
      </c>
      <c r="BH74" s="51">
        <f>'LINEST VARS'!$U$56+'LINEST VARS'!$T$56*(8)+'LINEST VARS'!$S$56*(8)+'LINEST VARS'!$R$56*($BH$56)+'LINEST VARS'!$Q$56*($AZ74)+'LINEST VARS'!$P$56*(12.73)+'LINEST VARS'!$O$56*(8^2)+'LINEST VARS'!$N$56*(8^2)+'LINEST VARS'!$M$56*($BH$56^2)+'LINEST VARS'!$L$56*($AZ74^2)+'LINEST VARS'!$K$56*(12.73^2)+'LINEST VARS'!$J$56*(8*8)+'LINEST VARS'!$I$56*(8*$BH$56)+'LINEST VARS'!$H$56*(8*$AZ74)+'LINEST VARS'!$G$56*(8*12.73)+'LINEST VARS'!$F$56*(8*$BH$56)+'LINEST VARS'!$E$56*(8*$AZ74)+'LINEST VARS'!$D$56*(8*12.73)+'LINEST VARS'!$C$56*($BH$56*$AZ74)+'LINEST VARS'!$B$56*($BH$56*12.73)+'LINEST VARS'!$A$56*($AZ74*12.73)</f>
        <v>2.861600000000001</v>
      </c>
      <c r="BI74" s="51">
        <f>'LINEST VARS'!$U$56+'LINEST VARS'!$T$56*(8)+'LINEST VARS'!$S$56*(8)+'LINEST VARS'!$R$56*($BI$56)+'LINEST VARS'!$Q$56*($AZ74)+'LINEST VARS'!$P$56*(12.73)+'LINEST VARS'!$O$56*(8^2)+'LINEST VARS'!$N$56*(8^2)+'LINEST VARS'!$M$56*($BI$56^2)+'LINEST VARS'!$L$56*($AZ74^2)+'LINEST VARS'!$K$56*(12.73^2)+'LINEST VARS'!$J$56*(8*8)+'LINEST VARS'!$I$56*(8*$BI$56)+'LINEST VARS'!$H$56*(8*$AZ74)+'LINEST VARS'!$G$56*(8*12.73)+'LINEST VARS'!$F$56*(8*$BI$56)+'LINEST VARS'!$E$56*(8*$AZ74)+'LINEST VARS'!$D$56*(8*12.73)+'LINEST VARS'!$C$56*($BI$56*$AZ74)+'LINEST VARS'!$B$56*($BI$56*12.73)+'LINEST VARS'!$A$56*($AZ74*12.73)</f>
        <v>2.857600000000001</v>
      </c>
      <c r="BJ74" s="51">
        <f>'LINEST VARS'!$U$56+'LINEST VARS'!$T$56*(8)+'LINEST VARS'!$S$56*(8)+'LINEST VARS'!$R$56*($BJ$56)+'LINEST VARS'!$Q$56*($AZ74)+'LINEST VARS'!$P$56*(12.73)+'LINEST VARS'!$O$56*(8^2)+'LINEST VARS'!$N$56*(8^2)+'LINEST VARS'!$M$56*($BJ$56^2)+'LINEST VARS'!$L$56*($AZ74^2)+'LINEST VARS'!$K$56*(12.73^2)+'LINEST VARS'!$J$56*(8*8)+'LINEST VARS'!$I$56*(8*$BJ$56)+'LINEST VARS'!$H$56*(8*$AZ74)+'LINEST VARS'!$G$56*(8*12.73)+'LINEST VARS'!$F$56*(8*$BJ$56)+'LINEST VARS'!$E$56*(8*$AZ74)+'LINEST VARS'!$D$56*(8*12.73)+'LINEST VARS'!$C$56*($BJ$56*$AZ74)+'LINEST VARS'!$B$56*($BJ$56*12.73)+'LINEST VARS'!$A$56*($AZ74*12.73)</f>
        <v>2.8504000000000014</v>
      </c>
      <c r="BK74" s="51">
        <f>'LINEST VARS'!$U$56+'LINEST VARS'!$T$56*(8)+'LINEST VARS'!$S$56*(8)+'LINEST VARS'!$R$56*($BK$56)+'LINEST VARS'!$Q$56*($AZ74)+'LINEST VARS'!$P$56*(12.73)+'LINEST VARS'!$O$56*(8^2)+'LINEST VARS'!$N$56*(8^2)+'LINEST VARS'!$M$56*($BK$56^2)+'LINEST VARS'!$L$56*($AZ74^2)+'LINEST VARS'!$K$56*(12.73^2)+'LINEST VARS'!$J$56*(8*8)+'LINEST VARS'!$I$56*(8*$BK$56)+'LINEST VARS'!$H$56*(8*$AZ74)+'LINEST VARS'!$G$56*(8*12.73)+'LINEST VARS'!$F$56*(8*$BK$56)+'LINEST VARS'!$E$56*(8*$AZ74)+'LINEST VARS'!$D$56*(8*12.73)+'LINEST VARS'!$C$56*($BK$56*$AZ74)+'LINEST VARS'!$B$56*($BK$56*12.73)+'LINEST VARS'!$A$56*($AZ74*12.73)</f>
        <v>2.8400000000000012</v>
      </c>
      <c r="BL74" s="51">
        <f>'LINEST VARS'!$U$56+'LINEST VARS'!$T$56*(8)+'LINEST VARS'!$S$56*(8)+'LINEST VARS'!$R$56*($BL$56)+'LINEST VARS'!$Q$56*($AZ74)+'LINEST VARS'!$P$56*(12.73)+'LINEST VARS'!$O$56*(8^2)+'LINEST VARS'!$N$56*(8^2)+'LINEST VARS'!$M$56*($BL$56^2)+'LINEST VARS'!$L$56*($AZ74^2)+'LINEST VARS'!$K$56*(12.73^2)+'LINEST VARS'!$J$56*(8*8)+'LINEST VARS'!$I$56*(8*$BL$56)+'LINEST VARS'!$H$56*(8*$AZ74)+'LINEST VARS'!$G$56*(8*12.73)+'LINEST VARS'!$F$56*(8*$BL$56)+'LINEST VARS'!$E$56*(8*$AZ74)+'LINEST VARS'!$D$56*(8*12.73)+'LINEST VARS'!$C$56*($BL$56*$AZ74)+'LINEST VARS'!$B$56*($BL$56*12.73)+'LINEST VARS'!$A$56*($AZ74*12.73)</f>
        <v>2.8264000000000014</v>
      </c>
      <c r="BM74" s="51">
        <f>'LINEST VARS'!$U$56+'LINEST VARS'!$T$56*(8)+'LINEST VARS'!$S$56*(8)+'LINEST VARS'!$R$56*($BM$56)+'LINEST VARS'!$Q$56*($AZ74)+'LINEST VARS'!$P$56*(12.73)+'LINEST VARS'!$O$56*(8^2)+'LINEST VARS'!$N$56*(8^2)+'LINEST VARS'!$M$56*($BM$56^2)+'LINEST VARS'!$L$56*($AZ74^2)+'LINEST VARS'!$K$56*(12.73^2)+'LINEST VARS'!$J$56*(8*8)+'LINEST VARS'!$I$56*(8*$BM$56)+'LINEST VARS'!$H$56*(8*$AZ74)+'LINEST VARS'!$G$56*(8*12.73)+'LINEST VARS'!$F$56*(8*$BM$56)+'LINEST VARS'!$E$56*(8*$AZ74)+'LINEST VARS'!$D$56*(8*12.73)+'LINEST VARS'!$C$56*($BM$56*$AZ74)+'LINEST VARS'!$B$56*($BM$56*12.73)+'LINEST VARS'!$A$56*($AZ74*12.73)</f>
        <v>2.809600000000001</v>
      </c>
      <c r="BN74" s="51">
        <f>'LINEST VARS'!$U$56+'LINEST VARS'!$T$56*(8)+'LINEST VARS'!$S$56*(8)+'LINEST VARS'!$R$56*($BN$56)+'LINEST VARS'!$Q$56*($AZ74)+'LINEST VARS'!$P$56*(12.73)+'LINEST VARS'!$O$56*(8^2)+'LINEST VARS'!$N$56*(8^2)+'LINEST VARS'!$M$56*($BN$56^2)+'LINEST VARS'!$L$56*($AZ74^2)+'LINEST VARS'!$K$56*(12.73^2)+'LINEST VARS'!$J$56*(8*8)+'LINEST VARS'!$I$56*(8*$BN$56)+'LINEST VARS'!$H$56*(8*$AZ74)+'LINEST VARS'!$G$56*(8*12.73)+'LINEST VARS'!$F$56*(8*$BN$56)+'LINEST VARS'!$E$56*(8*$AZ74)+'LINEST VARS'!$D$56*(8*12.73)+'LINEST VARS'!$C$56*($BN$56*$AZ74)+'LINEST VARS'!$B$56*($BN$56*12.73)+'LINEST VARS'!$A$56*($AZ74*12.73)</f>
        <v>2.789600000000001</v>
      </c>
      <c r="BO74" s="51">
        <f>'LINEST VARS'!$U$56+'LINEST VARS'!$T$56*(8)+'LINEST VARS'!$S$56*(8)+'LINEST VARS'!$R$56*($BO$56)+'LINEST VARS'!$Q$56*($AZ74)+'LINEST VARS'!$P$56*(12.73)+'LINEST VARS'!$O$56*(8^2)+'LINEST VARS'!$N$56*(8^2)+'LINEST VARS'!$M$56*($BO$56^2)+'LINEST VARS'!$L$56*($AZ74^2)+'LINEST VARS'!$K$56*(12.73^2)+'LINEST VARS'!$J$56*(8*8)+'LINEST VARS'!$I$56*(8*$BO$56)+'LINEST VARS'!$H$56*(8*$AZ74)+'LINEST VARS'!$G$56*(8*12.73)+'LINEST VARS'!$F$56*(8*$BO$56)+'LINEST VARS'!$E$56*(8*$AZ74)+'LINEST VARS'!$D$56*(8*12.73)+'LINEST VARS'!$C$56*($BO$56*$AZ74)+'LINEST VARS'!$B$56*($BO$56*12.73)+'LINEST VARS'!$A$56*($AZ74*12.73)</f>
        <v>2.7664000000000013</v>
      </c>
      <c r="BP74" s="51">
        <f>'LINEST VARS'!$U$56+'LINEST VARS'!$T$56*(8)+'LINEST VARS'!$S$56*(8)+'LINEST VARS'!$R$56*($BP$56)+'LINEST VARS'!$Q$56*($AZ74)+'LINEST VARS'!$P$56*(12.73)+'LINEST VARS'!$O$56*(8^2)+'LINEST VARS'!$N$56*(8^2)+'LINEST VARS'!$M$56*($BP$56^2)+'LINEST VARS'!$L$56*($AZ74^2)+'LINEST VARS'!$K$56*(12.73^2)+'LINEST VARS'!$J$56*(8*8)+'LINEST VARS'!$I$56*(8*$BP$56)+'LINEST VARS'!$H$56*(8*$AZ74)+'LINEST VARS'!$G$56*(8*12.73)+'LINEST VARS'!$F$56*(8*$BP$56)+'LINEST VARS'!$E$56*(8*$AZ74)+'LINEST VARS'!$D$56*(8*12.73)+'LINEST VARS'!$C$56*($BP$56*$AZ74)+'LINEST VARS'!$B$56*($BP$56*12.73)+'LINEST VARS'!$A$56*($AZ74*12.73)</f>
        <v>2.7400000000000011</v>
      </c>
      <c r="BQ74" s="51">
        <f>'LINEST VARS'!$U$56+'LINEST VARS'!$T$56*(8)+'LINEST VARS'!$S$56*(8)+'LINEST VARS'!$R$56*($BQ$56)+'LINEST VARS'!$Q$56*($AZ74)+'LINEST VARS'!$P$56*(12.73)+'LINEST VARS'!$O$56*(8^2)+'LINEST VARS'!$N$56*(8^2)+'LINEST VARS'!$M$56*($BQ$56^2)+'LINEST VARS'!$L$56*($AZ74^2)+'LINEST VARS'!$K$56*(12.73^2)+'LINEST VARS'!$J$56*(8*8)+'LINEST VARS'!$I$56*(8*$BQ$56)+'LINEST VARS'!$H$56*(8*$AZ74)+'LINEST VARS'!$G$56*(8*12.73)+'LINEST VARS'!$F$56*(8*$BQ$56)+'LINEST VARS'!$E$56*(8*$AZ74)+'LINEST VARS'!$D$56*(8*12.73)+'LINEST VARS'!$C$56*($BQ$56*$AZ74)+'LINEST VARS'!$B$56*($BQ$56*12.73)+'LINEST VARS'!$A$56*($AZ74*12.73)</f>
        <v>2.7104000000000008</v>
      </c>
      <c r="BR74" s="51">
        <f>'LINEST VARS'!$U$56+'LINEST VARS'!$T$56*(8)+'LINEST VARS'!$S$56*(8)+'LINEST VARS'!$R$56*($BR$56)+'LINEST VARS'!$Q$56*($AZ74)+'LINEST VARS'!$P$56*(12.73)+'LINEST VARS'!$O$56*(8^2)+'LINEST VARS'!$N$56*(8^2)+'LINEST VARS'!$M$56*($BR$56^2)+'LINEST VARS'!$L$56*($AZ74^2)+'LINEST VARS'!$K$56*(12.73^2)+'LINEST VARS'!$J$56*(8*8)+'LINEST VARS'!$I$56*(8*$BR$56)+'LINEST VARS'!$H$56*(8*$AZ74)+'LINEST VARS'!$G$56*(8*12.73)+'LINEST VARS'!$F$56*(8*$BR$56)+'LINEST VARS'!$E$56*(8*$AZ74)+'LINEST VARS'!$D$56*(8*12.73)+'LINEST VARS'!$C$56*($BR$56*$AZ74)+'LINEST VARS'!$B$56*($BR$56*12.73)+'LINEST VARS'!$A$56*($AZ74*12.73)</f>
        <v>2.6776000000000013</v>
      </c>
      <c r="BS74" s="51">
        <f>'LINEST VARS'!$U$56+'LINEST VARS'!$T$56*(8)+'LINEST VARS'!$S$56*(8)+'LINEST VARS'!$R$56*($BS$56)+'LINEST VARS'!$Q$56*($AZ74)+'LINEST VARS'!$P$56*(12.73)+'LINEST VARS'!$O$56*(8^2)+'LINEST VARS'!$N$56*(8^2)+'LINEST VARS'!$M$56*($BS$56^2)+'LINEST VARS'!$L$56*($AZ74^2)+'LINEST VARS'!$K$56*(12.73^2)+'LINEST VARS'!$J$56*(8*8)+'LINEST VARS'!$I$56*(8*$BS$56)+'LINEST VARS'!$H$56*(8*$AZ74)+'LINEST VARS'!$G$56*(8*12.73)+'LINEST VARS'!$F$56*(8*$BS$56)+'LINEST VARS'!$E$56*(8*$AZ74)+'LINEST VARS'!$D$56*(8*12.73)+'LINEST VARS'!$C$56*($BS$56*$AZ74)+'LINEST VARS'!$B$56*($BS$56*12.73)+'LINEST VARS'!$A$56*($AZ74*12.73)</f>
        <v>2.6416000000000008</v>
      </c>
      <c r="BT74" s="51">
        <f>'LINEST VARS'!$U$56+'LINEST VARS'!$T$56*(8)+'LINEST VARS'!$S$56*(8)+'LINEST VARS'!$R$56*($BT$56)+'LINEST VARS'!$Q$56*($AZ74)+'LINEST VARS'!$P$56*(12.73)+'LINEST VARS'!$O$56*(8^2)+'LINEST VARS'!$N$56*(8^2)+'LINEST VARS'!$M$56*($BT$56^2)+'LINEST VARS'!$L$56*($AZ74^2)+'LINEST VARS'!$K$56*(12.73^2)+'LINEST VARS'!$J$56*(8*8)+'LINEST VARS'!$I$56*(8*$BT$56)+'LINEST VARS'!$H$56*(8*$AZ74)+'LINEST VARS'!$G$56*(8*12.73)+'LINEST VARS'!$F$56*(8*$BT$56)+'LINEST VARS'!$E$56*(8*$AZ74)+'LINEST VARS'!$D$56*(8*12.73)+'LINEST VARS'!$C$56*($BT$56*$AZ74)+'LINEST VARS'!$B$56*($BT$56*12.73)+'LINEST VARS'!$A$56*($AZ74*12.73)</f>
        <v>2.6024000000000012</v>
      </c>
      <c r="BU74" s="52">
        <f>'LINEST VARS'!$U$56+'LINEST VARS'!$T$56*(8)+'LINEST VARS'!$S$56*(8)+'LINEST VARS'!$R$56*($BU$56)+'LINEST VARS'!$Q$56*($AZ74)+'LINEST VARS'!$P$56*(12.73)+'LINEST VARS'!$O$56*(8^2)+'LINEST VARS'!$N$56*(8^2)+'LINEST VARS'!$M$56*($BU$56^2)+'LINEST VARS'!$L$56*($AZ74^2)+'LINEST VARS'!$K$56*(12.73^2)+'LINEST VARS'!$J$56*(8*8)+'LINEST VARS'!$I$56*(8*$BU$56)+'LINEST VARS'!$H$56*(8*$AZ74)+'LINEST VARS'!$G$56*(8*12.73)+'LINEST VARS'!$F$56*(8*$BU$56)+'LINEST VARS'!$E$56*(8*$AZ74)+'LINEST VARS'!$D$56*(8*12.73)+'LINEST VARS'!$C$56*($BU$56*$AZ74)+'LINEST VARS'!$B$56*($BU$56*12.73)+'LINEST VARS'!$A$56*($AZ74*12.73)</f>
        <v>2.5600000000000009</v>
      </c>
      <c r="BX74" s="45">
        <v>0.85</v>
      </c>
      <c r="BY74" s="51">
        <f>'LINEST VARS'!$U$58+'LINEST VARS'!$T$58*(8)+'LINEST VARS'!$S$58*(8)+'LINEST VARS'!$R$58*($BY$56)+'LINEST VARS'!$Q$58*($BX74)+'LINEST VARS'!$P$58*(12.73)+'LINEST VARS'!$O$58*(8^2)+'LINEST VARS'!$N$58*(8^2)+'LINEST VARS'!$M$58*($BY$56^2)+'LINEST VARS'!$L$58*($BX74^2)+'LINEST VARS'!$K$58*(12.73^2)+'LINEST VARS'!$J$58*(8*8)+'LINEST VARS'!$I$58*(8*$BY$56)+'LINEST VARS'!$H$58*(8*$BX74)+'LINEST VARS'!$G$58*(8*12.73)+'LINEST VARS'!$F$58*(8*$BY$56)+'LINEST VARS'!$E$58*(8*$BX74)+'LINEST VARS'!$D$58*(8*12.73)+'LINEST VARS'!$C$58*($BY$56*$BX74)+'LINEST VARS'!$B$58*($BY$56*12.73)+'LINEST VARS'!$A$58*($BX74*12.73)</f>
        <v>0.86365000000000036</v>
      </c>
      <c r="BZ74" s="51">
        <f>'LINEST VARS'!$U$58+'LINEST VARS'!$T$58*(8)+'LINEST VARS'!$S$58*(8)+'LINEST VARS'!$R$58*($BZ$56)+'LINEST VARS'!$Q$58*($BX74)+'LINEST VARS'!$P$58*(12.73)+'LINEST VARS'!$O$58*(8^2)+'LINEST VARS'!$N$58*(8^2)+'LINEST VARS'!$M$58*($BZ$56^2)+'LINEST VARS'!$L$58*($BX74^2)+'LINEST VARS'!$K$58*(12.73^2)+'LINEST VARS'!$J$58*(8*8)+'LINEST VARS'!$I$58*(8*$BZ$56)+'LINEST VARS'!$H$58*(8*$BX74)+'LINEST VARS'!$G$58*(8*12.73)+'LINEST VARS'!$F$58*(8*$BZ$56)+'LINEST VARS'!$E$58*(8*$BX74)+'LINEST VARS'!$D$58*(8*12.73)+'LINEST VARS'!$C$58*($BZ$56*$BX74)+'LINEST VARS'!$B$58*($BZ$56*12.73)+'LINEST VARS'!$A$58*($BX74*12.73)</f>
        <v>0.87165000000000037</v>
      </c>
      <c r="CA74" s="51">
        <f>'LINEST VARS'!$U$58+'LINEST VARS'!$T$58*(8)+'LINEST VARS'!$S$58*(8)+'LINEST VARS'!$R$58*($CA$56)+'LINEST VARS'!$Q$58*($BX74)+'LINEST VARS'!$P$58*(12.73)+'LINEST VARS'!$O$58*(8^2)+'LINEST VARS'!$N$58*(8^2)+'LINEST VARS'!$M$58*($CA$56^2)+'LINEST VARS'!$L$58*($BX74^2)+'LINEST VARS'!$K$58*(12.73^2)+'LINEST VARS'!$J$58*(8*8)+'LINEST VARS'!$I$58*(8*$CA$56)+'LINEST VARS'!$H$58*(8*$BX74)+'LINEST VARS'!$G$58*(8*12.73)+'LINEST VARS'!$F$58*(8*$CA$56)+'LINEST VARS'!$E$58*(8*$BX74)+'LINEST VARS'!$D$58*(8*12.73)+'LINEST VARS'!$C$58*($CA$56*$BX74)+'LINEST VARS'!$B$58*($CA$56*12.73)+'LINEST VARS'!$A$58*($BX74*12.73)</f>
        <v>0.87965000000000027</v>
      </c>
      <c r="CB74" s="51">
        <f>'LINEST VARS'!$U$58+'LINEST VARS'!$T$58*(8)+'LINEST VARS'!$S$58*(8)+'LINEST VARS'!$R$58*($CB$56)+'LINEST VARS'!$Q$58*($BX74)+'LINEST VARS'!$P$58*(12.73)+'LINEST VARS'!$O$58*(8^2)+'LINEST VARS'!$N$58*(8^2)+'LINEST VARS'!$M$58*($CB$56^2)+'LINEST VARS'!$L$58*($BX74^2)+'LINEST VARS'!$K$58*(12.73^2)+'LINEST VARS'!$J$58*(8*8)+'LINEST VARS'!$I$58*(8*$CB$56)+'LINEST VARS'!$H$58*(8*$BX74)+'LINEST VARS'!$G$58*(8*12.73)+'LINEST VARS'!$F$58*(8*$CB$56)+'LINEST VARS'!$E$58*(8*$BX74)+'LINEST VARS'!$D$58*(8*12.73)+'LINEST VARS'!$C$58*($CB$56*$BX74)+'LINEST VARS'!$B$58*($CB$56*12.73)+'LINEST VARS'!$A$58*($BX74*12.73)</f>
        <v>0.88765000000000027</v>
      </c>
      <c r="CC74" s="51">
        <f>'LINEST VARS'!$U$58+'LINEST VARS'!$T$58*(8)+'LINEST VARS'!$S$58*(8)+'LINEST VARS'!$R$58*($CC$56)+'LINEST VARS'!$Q$58*($BX74)+'LINEST VARS'!$P$58*(12.73)+'LINEST VARS'!$O$58*(8^2)+'LINEST VARS'!$N$58*(8^2)+'LINEST VARS'!$M$58*($CC$56^2)+'LINEST VARS'!$L$58*($BX74^2)+'LINEST VARS'!$K$58*(12.73^2)+'LINEST VARS'!$J$58*(8*8)+'LINEST VARS'!$I$58*(8*$CC$56)+'LINEST VARS'!$H$58*(8*$BX74)+'LINEST VARS'!$G$58*(8*12.73)+'LINEST VARS'!$F$58*(8*$CC$56)+'LINEST VARS'!$E$58*(8*$BX74)+'LINEST VARS'!$D$58*(8*12.73)+'LINEST VARS'!$C$58*($CC$56*$BX74)+'LINEST VARS'!$B$58*($CC$56*12.73)+'LINEST VARS'!$A$58*($BX74*12.73)</f>
        <v>0.89565000000000017</v>
      </c>
      <c r="CD74" s="51">
        <f>'LINEST VARS'!$U$58+'LINEST VARS'!$T$58*(8)+'LINEST VARS'!$S$58*(8)+'LINEST VARS'!$R$58*($CD$56)+'LINEST VARS'!$Q$58*($BX74)+'LINEST VARS'!$P$58*(12.73)+'LINEST VARS'!$O$58*(8^2)+'LINEST VARS'!$N$58*(8^2)+'LINEST VARS'!$M$58*($CD$56^2)+'LINEST VARS'!$L$58*($BX74^2)+'LINEST VARS'!$K$58*(12.73^2)+'LINEST VARS'!$J$58*(8*8)+'LINEST VARS'!$I$58*(8*$CD$56)+'LINEST VARS'!$H$58*(8*$BX74)+'LINEST VARS'!$G$58*(8*12.73)+'LINEST VARS'!$F$58*(8*$CD$56)+'LINEST VARS'!$E$58*(8*$BX74)+'LINEST VARS'!$D$58*(8*12.73)+'LINEST VARS'!$C$58*($CD$56*$BX74)+'LINEST VARS'!$B$58*($CD$56*12.73)+'LINEST VARS'!$A$58*($BX74*12.73)</f>
        <v>0.90365000000000029</v>
      </c>
      <c r="CE74" s="51">
        <f>'LINEST VARS'!$U$58+'LINEST VARS'!$T$58*(8)+'LINEST VARS'!$S$58*(8)+'LINEST VARS'!$R$58*($CE$56)+'LINEST VARS'!$Q$58*($BX74)+'LINEST VARS'!$P$58*(12.73)+'LINEST VARS'!$O$58*(8^2)+'LINEST VARS'!$N$58*(8^2)+'LINEST VARS'!$M$58*($CE$56^2)+'LINEST VARS'!$L$58*($BX74^2)+'LINEST VARS'!$K$58*(12.73^2)+'LINEST VARS'!$J$58*(8*8)+'LINEST VARS'!$I$58*(8*$CE$56)+'LINEST VARS'!$H$58*(8*$BX74)+'LINEST VARS'!$G$58*(8*12.73)+'LINEST VARS'!$F$58*(8*$CE$56)+'LINEST VARS'!$E$58*(8*$BX74)+'LINEST VARS'!$D$58*(8*12.73)+'LINEST VARS'!$C$58*($CE$56*$BX74)+'LINEST VARS'!$B$58*($CE$56*12.73)+'LINEST VARS'!$A$58*($BX74*12.73)</f>
        <v>0.91165000000000029</v>
      </c>
      <c r="CF74" s="51">
        <f>'LINEST VARS'!$U$58+'LINEST VARS'!$T$58*(8)+'LINEST VARS'!$S$58*(8)+'LINEST VARS'!$R$58*($CF$56)+'LINEST VARS'!$Q$58*($BX74)+'LINEST VARS'!$P$58*(12.73)+'LINEST VARS'!$O$58*(8^2)+'LINEST VARS'!$N$58*(8^2)+'LINEST VARS'!$M$58*($CF$56^2)+'LINEST VARS'!$L$58*($BX74^2)+'LINEST VARS'!$K$58*(12.73^2)+'LINEST VARS'!$J$58*(8*8)+'LINEST VARS'!$I$58*(8*$CF$56)+'LINEST VARS'!$H$58*(8*$BX74)+'LINEST VARS'!$G$58*(8*12.73)+'LINEST VARS'!$F$58*(8*$CF$56)+'LINEST VARS'!$E$58*(8*$BX74)+'LINEST VARS'!$D$58*(8*12.73)+'LINEST VARS'!$C$58*($CF$56*$BX74)+'LINEST VARS'!$B$58*($CF$56*12.73)+'LINEST VARS'!$A$58*($BX74*12.73)</f>
        <v>0.9196500000000003</v>
      </c>
      <c r="CG74" s="51">
        <f>'LINEST VARS'!$U$58+'LINEST VARS'!$T$58*(8)+'LINEST VARS'!$S$58*(8)+'LINEST VARS'!$R$58*($CG$56)+'LINEST VARS'!$Q$58*($BX74)+'LINEST VARS'!$P$58*(12.73)+'LINEST VARS'!$O$58*(8^2)+'LINEST VARS'!$N$58*(8^2)+'LINEST VARS'!$M$58*($CG$56^2)+'LINEST VARS'!$L$58*($BX74^2)+'LINEST VARS'!$K$58*(12.73^2)+'LINEST VARS'!$J$58*(8*8)+'LINEST VARS'!$I$58*(8*$CG$56)+'LINEST VARS'!$H$58*(8*$BX74)+'LINEST VARS'!$G$58*(8*12.73)+'LINEST VARS'!$F$58*(8*$CG$56)+'LINEST VARS'!$E$58*(8*$BX74)+'LINEST VARS'!$D$58*(8*12.73)+'LINEST VARS'!$C$58*($CG$56*$BX74)+'LINEST VARS'!$B$58*($CG$56*12.73)+'LINEST VARS'!$A$58*($BX74*12.73)</f>
        <v>0.92765000000000042</v>
      </c>
      <c r="CH74" s="51">
        <f>'LINEST VARS'!$U$58+'LINEST VARS'!$T$58*(8)+'LINEST VARS'!$S$58*(8)+'LINEST VARS'!$R$58*($CH$56)+'LINEST VARS'!$Q$58*($BX74)+'LINEST VARS'!$P$58*(12.73)+'LINEST VARS'!$O$58*(8^2)+'LINEST VARS'!$N$58*(8^2)+'LINEST VARS'!$M$58*($CH$56^2)+'LINEST VARS'!$L$58*($BX74^2)+'LINEST VARS'!$K$58*(12.73^2)+'LINEST VARS'!$J$58*(8*8)+'LINEST VARS'!$I$58*(8*$CH$56)+'LINEST VARS'!$H$58*(8*$BX74)+'LINEST VARS'!$G$58*(8*12.73)+'LINEST VARS'!$F$58*(8*$CH$56)+'LINEST VARS'!$E$58*(8*$BX74)+'LINEST VARS'!$D$58*(8*12.73)+'LINEST VARS'!$C$58*($CH$56*$BX74)+'LINEST VARS'!$B$58*($CH$56*12.73)+'LINEST VARS'!$A$58*($BX74*12.73)</f>
        <v>0.93565000000000031</v>
      </c>
      <c r="CI74" s="51">
        <f>'LINEST VARS'!$U$58+'LINEST VARS'!$T$58*(8)+'LINEST VARS'!$S$58*(8)+'LINEST VARS'!$R$58*($CI$56)+'LINEST VARS'!$Q$58*($BX74)+'LINEST VARS'!$P$58*(12.73)+'LINEST VARS'!$O$58*(8^2)+'LINEST VARS'!$N$58*(8^2)+'LINEST VARS'!$M$58*($CI$56^2)+'LINEST VARS'!$L$58*($BX74^2)+'LINEST VARS'!$K$58*(12.73^2)+'LINEST VARS'!$J$58*(8*8)+'LINEST VARS'!$I$58*(8*$CI$56)+'LINEST VARS'!$H$58*(8*$BX74)+'LINEST VARS'!$G$58*(8*12.73)+'LINEST VARS'!$F$58*(8*$CI$56)+'LINEST VARS'!$E$58*(8*$BX74)+'LINEST VARS'!$D$58*(8*12.73)+'LINEST VARS'!$C$58*($CI$56*$BX74)+'LINEST VARS'!$B$58*($CI$56*12.73)+'LINEST VARS'!$A$58*($BX74*12.73)</f>
        <v>0.94365000000000032</v>
      </c>
      <c r="CJ74" s="51">
        <f>'LINEST VARS'!$U$58+'LINEST VARS'!$T$58*(8)+'LINEST VARS'!$S$58*(8)+'LINEST VARS'!$R$58*($CJ$56)+'LINEST VARS'!$Q$58*($BX74)+'LINEST VARS'!$P$58*(12.73)+'LINEST VARS'!$O$58*(8^2)+'LINEST VARS'!$N$58*(8^2)+'LINEST VARS'!$M$58*($CJ$56^2)+'LINEST VARS'!$L$58*($BX74^2)+'LINEST VARS'!$K$58*(12.73^2)+'LINEST VARS'!$J$58*(8*8)+'LINEST VARS'!$I$58*(8*$CJ$56)+'LINEST VARS'!$H$58*(8*$BX74)+'LINEST VARS'!$G$58*(8*12.73)+'LINEST VARS'!$F$58*(8*$CJ$56)+'LINEST VARS'!$E$58*(8*$BX74)+'LINEST VARS'!$D$58*(8*12.73)+'LINEST VARS'!$C$58*($CJ$56*$BX74)+'LINEST VARS'!$B$58*($CJ$56*12.73)+'LINEST VARS'!$A$58*($BX74*12.73)</f>
        <v>0.95165000000000022</v>
      </c>
      <c r="CK74" s="51">
        <f>'LINEST VARS'!$U$58+'LINEST VARS'!$T$58*(8)+'LINEST VARS'!$S$58*(8)+'LINEST VARS'!$R$58*($CK$56)+'LINEST VARS'!$Q$58*($BX74)+'LINEST VARS'!$P$58*(12.73)+'LINEST VARS'!$O$58*(8^2)+'LINEST VARS'!$N$58*(8^2)+'LINEST VARS'!$M$58*($CK$56^2)+'LINEST VARS'!$L$58*($BX74^2)+'LINEST VARS'!$K$58*(12.73^2)+'LINEST VARS'!$J$58*(8*8)+'LINEST VARS'!$I$58*(8*$CK$56)+'LINEST VARS'!$H$58*(8*$BX74)+'LINEST VARS'!$G$58*(8*12.73)+'LINEST VARS'!$F$58*(8*$CK$56)+'LINEST VARS'!$E$58*(8*$BX74)+'LINEST VARS'!$D$58*(8*12.73)+'LINEST VARS'!$C$58*($CK$56*$BX74)+'LINEST VARS'!$B$58*($CK$56*12.73)+'LINEST VARS'!$A$58*($BX74*12.73)</f>
        <v>0.95965000000000023</v>
      </c>
      <c r="CL74" s="51">
        <f>'LINEST VARS'!$U$58+'LINEST VARS'!$T$58*(8)+'LINEST VARS'!$S$58*(8)+'LINEST VARS'!$R$58*($CL$56)+'LINEST VARS'!$Q$58*($BX74)+'LINEST VARS'!$P$58*(12.73)+'LINEST VARS'!$O$58*(8^2)+'LINEST VARS'!$N$58*(8^2)+'LINEST VARS'!$M$58*($CL$56^2)+'LINEST VARS'!$L$58*($BX74^2)+'LINEST VARS'!$K$58*(12.73^2)+'LINEST VARS'!$J$58*(8*8)+'LINEST VARS'!$I$58*(8*$CL$56)+'LINEST VARS'!$H$58*(8*$BX74)+'LINEST VARS'!$G$58*(8*12.73)+'LINEST VARS'!$F$58*(8*$CL$56)+'LINEST VARS'!$E$58*(8*$BX74)+'LINEST VARS'!$D$58*(8*12.73)+'LINEST VARS'!$C$58*($CL$56*$BX74)+'LINEST VARS'!$B$58*($CL$56*12.73)+'LINEST VARS'!$A$58*($BX74*12.73)</f>
        <v>0.96765000000000012</v>
      </c>
      <c r="CM74" s="51">
        <f>'LINEST VARS'!$U$58+'LINEST VARS'!$T$58*(8)+'LINEST VARS'!$S$58*(8)+'LINEST VARS'!$R$58*($CM$56)+'LINEST VARS'!$Q$58*($BX74)+'LINEST VARS'!$P$58*(12.73)+'LINEST VARS'!$O$58*(8^2)+'LINEST VARS'!$N$58*(8^2)+'LINEST VARS'!$M$58*($CM$56^2)+'LINEST VARS'!$L$58*($BX74^2)+'LINEST VARS'!$K$58*(12.73^2)+'LINEST VARS'!$J$58*(8*8)+'LINEST VARS'!$I$58*(8*$CM$56)+'LINEST VARS'!$H$58*(8*$BX74)+'LINEST VARS'!$G$58*(8*12.73)+'LINEST VARS'!$F$58*(8*$CM$56)+'LINEST VARS'!$E$58*(8*$BX74)+'LINEST VARS'!$D$58*(8*12.73)+'LINEST VARS'!$C$58*($CM$56*$BX74)+'LINEST VARS'!$B$58*($CM$56*12.73)+'LINEST VARS'!$A$58*($BX74*12.73)</f>
        <v>0.97565000000000024</v>
      </c>
      <c r="CN74" s="51">
        <f>'LINEST VARS'!$U$58+'LINEST VARS'!$T$58*(8)+'LINEST VARS'!$S$58*(8)+'LINEST VARS'!$R$58*($CN$56)+'LINEST VARS'!$Q$58*($BX74)+'LINEST VARS'!$P$58*(12.73)+'LINEST VARS'!$O$58*(8^2)+'LINEST VARS'!$N$58*(8^2)+'LINEST VARS'!$M$58*($CN$56^2)+'LINEST VARS'!$L$58*($BX74^2)+'LINEST VARS'!$K$58*(12.73^2)+'LINEST VARS'!$J$58*(8*8)+'LINEST VARS'!$I$58*(8*$CN$56)+'LINEST VARS'!$H$58*(8*$BX74)+'LINEST VARS'!$G$58*(8*12.73)+'LINEST VARS'!$F$58*(8*$CN$56)+'LINEST VARS'!$E$58*(8*$BX74)+'LINEST VARS'!$D$58*(8*12.73)+'LINEST VARS'!$C$58*($CN$56*$BX74)+'LINEST VARS'!$B$58*($CN$56*12.73)+'LINEST VARS'!$A$58*($BX74*12.73)</f>
        <v>0.98365000000000025</v>
      </c>
      <c r="CO74" s="51">
        <f>'LINEST VARS'!$U$58+'LINEST VARS'!$T$58*(8)+'LINEST VARS'!$S$58*(8)+'LINEST VARS'!$R$58*($CO$56)+'LINEST VARS'!$Q$58*($BX74)+'LINEST VARS'!$P$58*(12.73)+'LINEST VARS'!$O$58*(8^2)+'LINEST VARS'!$N$58*(8^2)+'LINEST VARS'!$M$58*($CO$56^2)+'LINEST VARS'!$L$58*($BX74^2)+'LINEST VARS'!$K$58*(12.73^2)+'LINEST VARS'!$J$58*(8*8)+'LINEST VARS'!$I$58*(8*$CO$56)+'LINEST VARS'!$H$58*(8*$BX74)+'LINEST VARS'!$G$58*(8*12.73)+'LINEST VARS'!$F$58*(8*$CO$56)+'LINEST VARS'!$E$58*(8*$BX74)+'LINEST VARS'!$D$58*(8*12.73)+'LINEST VARS'!$C$58*($CO$56*$BX74)+'LINEST VARS'!$B$58*($CO$56*12.73)+'LINEST VARS'!$A$58*($BX74*12.73)</f>
        <v>0.99165000000000036</v>
      </c>
      <c r="CP74" s="51">
        <f>'LINEST VARS'!$U$58+'LINEST VARS'!$T$58*(8)+'LINEST VARS'!$S$58*(8)+'LINEST VARS'!$R$58*($CP$56)+'LINEST VARS'!$Q$58*($BX74)+'LINEST VARS'!$P$58*(12.73)+'LINEST VARS'!$O$58*(8^2)+'LINEST VARS'!$N$58*(8^2)+'LINEST VARS'!$M$58*($CP$56^2)+'LINEST VARS'!$L$58*($BX74^2)+'LINEST VARS'!$K$58*(12.73^2)+'LINEST VARS'!$J$58*(8*8)+'LINEST VARS'!$I$58*(8*$CP$56)+'LINEST VARS'!$H$58*(8*$BX74)+'LINEST VARS'!$G$58*(8*12.73)+'LINEST VARS'!$F$58*(8*$CP$56)+'LINEST VARS'!$E$58*(8*$BX74)+'LINEST VARS'!$D$58*(8*12.73)+'LINEST VARS'!$C$58*($CP$56*$BX74)+'LINEST VARS'!$B$58*($CP$56*12.73)+'LINEST VARS'!$A$58*($BX74*12.73)</f>
        <v>0.99965000000000037</v>
      </c>
      <c r="CQ74" s="51">
        <f>'LINEST VARS'!$U$58+'LINEST VARS'!$T$58*(8)+'LINEST VARS'!$S$58*(8)+'LINEST VARS'!$R$58*($CQ$56)+'LINEST VARS'!$Q$58*($BX74)+'LINEST VARS'!$P$58*(12.73)+'LINEST VARS'!$O$58*(8^2)+'LINEST VARS'!$N$58*(8^2)+'LINEST VARS'!$M$58*($CQ$56^2)+'LINEST VARS'!$L$58*($BX74^2)+'LINEST VARS'!$K$58*(12.73^2)+'LINEST VARS'!$J$58*(8*8)+'LINEST VARS'!$I$58*(8*$CQ$56)+'LINEST VARS'!$H$58*(8*$BX74)+'LINEST VARS'!$G$58*(8*12.73)+'LINEST VARS'!$F$58*(8*$CQ$56)+'LINEST VARS'!$E$58*(8*$BX74)+'LINEST VARS'!$D$58*(8*12.73)+'LINEST VARS'!$C$58*($CQ$56*$BX74)+'LINEST VARS'!$B$58*($CQ$56*12.73)+'LINEST VARS'!$A$58*($BX74*12.73)</f>
        <v>1.0076500000000002</v>
      </c>
      <c r="CR74" s="51">
        <f>'LINEST VARS'!$U$58+'LINEST VARS'!$T$58*(8)+'LINEST VARS'!$S$58*(8)+'LINEST VARS'!$R$58*($CR$56)+'LINEST VARS'!$Q$58*($BX74)+'LINEST VARS'!$P$58*(12.73)+'LINEST VARS'!$O$58*(8^2)+'LINEST VARS'!$N$58*(8^2)+'LINEST VARS'!$M$58*($CR$56^2)+'LINEST VARS'!$L$58*($BX74^2)+'LINEST VARS'!$K$58*(12.73^2)+'LINEST VARS'!$J$58*(8*8)+'LINEST VARS'!$I$58*(8*$CR$56)+'LINEST VARS'!$H$58*(8*$BX74)+'LINEST VARS'!$G$58*(8*12.73)+'LINEST VARS'!$F$58*(8*$CR$56)+'LINEST VARS'!$E$58*(8*$BX74)+'LINEST VARS'!$D$58*(8*12.73)+'LINEST VARS'!$C$58*($CR$56*$BX74)+'LINEST VARS'!$B$58*($CR$56*12.73)+'LINEST VARS'!$A$58*($BX74*12.73)</f>
        <v>1.0156499999999999</v>
      </c>
      <c r="CS74" s="52">
        <f>'LINEST VARS'!$U$58+'LINEST VARS'!$T$58*(8)+'LINEST VARS'!$S$58*(8)+'LINEST VARS'!$R$58*($CS$56)+'LINEST VARS'!$Q$58*($BX74)+'LINEST VARS'!$P$58*(12.73)+'LINEST VARS'!$O$58*(8^2)+'LINEST VARS'!$N$58*(8^2)+'LINEST VARS'!$M$58*($CS$56^2)+'LINEST VARS'!$L$58*($BX74^2)+'LINEST VARS'!$K$58*(12.73^2)+'LINEST VARS'!$J$58*(8*8)+'LINEST VARS'!$I$58*(8*$CS$56)+'LINEST VARS'!$H$58*(8*$BX74)+'LINEST VARS'!$G$58*(8*12.73)+'LINEST VARS'!$F$58*(8*$CS$56)+'LINEST VARS'!$E$58*(8*$BX74)+'LINEST VARS'!$D$58*(8*12.73)+'LINEST VARS'!$C$58*($CS$56*$BX74)+'LINEST VARS'!$B$58*($CS$56*12.73)+'LINEST VARS'!$A$58*($BX74*12.73)</f>
        <v>1.0236500000000002</v>
      </c>
      <c r="CX74" s="45">
        <v>22.0915</v>
      </c>
      <c r="CY74" s="51">
        <f>'LINEST VARS'!$U$56+'LINEST VARS'!$T$56*(8)+'LINEST VARS'!$S$56*(8)+'LINEST VARS'!$R$56*($CY$56)+'LINEST VARS'!$Q$56*(0.5)+'LINEST VARS'!$P$56*($CX74)+'LINEST VARS'!$O$56*(8^2)+'LINEST VARS'!$N$56*(8^2)+'LINEST VARS'!$M$56*($CY$56^2)+'LINEST VARS'!$L$56*(0.5^2)+'LINEST VARS'!$K$56*($CX74^2)+'LINEST VARS'!$J$56*(8*8)+'LINEST VARS'!$I$56*(8*$CY$56)+'LINEST VARS'!$H$56*(8*0.5)+'LINEST VARS'!$G$56*(8*$CX74)+'LINEST VARS'!$F$56*(8*$CY$56)+'LINEST VARS'!$E$56*(8*0.5)+'LINEST VARS'!$D$56*(8*$CX74)+'LINEST VARS'!$C$56*($CY$56*0.5)+'LINEST VARS'!$B$56*($CY$56*$CX74)+'LINEST VARS'!$A$56*(0.5*$CX74)</f>
        <v>2.8000000000000007</v>
      </c>
      <c r="CZ74" s="51">
        <f>'LINEST VARS'!$U$56+'LINEST VARS'!$T$56*(8)+'LINEST VARS'!$S$56*(8)+'LINEST VARS'!$R$56*($CZ$56)+'LINEST VARS'!$Q$56*(0.5)+'LINEST VARS'!$P$56*($CX74)+'LINEST VARS'!$O$56*(8^2)+'LINEST VARS'!$N$56*(8^2)+'LINEST VARS'!$M$56*($CZ$56^2)+'LINEST VARS'!$L$56*(0.5^2)+'LINEST VARS'!$K$56*($CX74^2)+'LINEST VARS'!$J$56*(8*8)+'LINEST VARS'!$I$56*(8*$CZ$56)+'LINEST VARS'!$H$56*(8*0.5)+'LINEST VARS'!$G$56*(8*$CX74)+'LINEST VARS'!$F$56*(8*$CZ$56)+'LINEST VARS'!$E$56*(8*0.5)+'LINEST VARS'!$D$56*(8*$CX74)+'LINEST VARS'!$C$56*($CZ$56*0.5)+'LINEST VARS'!$B$56*($CZ$56*$CX74)+'LINEST VARS'!$A$56*(0.5*$CX74)</f>
        <v>2.8184000000000009</v>
      </c>
      <c r="DA74" s="51">
        <f>'LINEST VARS'!$U$56+'LINEST VARS'!$T$56*(8)+'LINEST VARS'!$S$56*(8)+'LINEST VARS'!$R$56*($DA$56)+'LINEST VARS'!$Q$56*(0.5)+'LINEST VARS'!$P$56*($CX74)+'LINEST VARS'!$O$56*(8^2)+'LINEST VARS'!$N$56*(8^2)+'LINEST VARS'!$M$56*($DA$56^2)+'LINEST VARS'!$L$56*(0.5^2)+'LINEST VARS'!$K$56*($CX74^2)+'LINEST VARS'!$J$56*(8*8)+'LINEST VARS'!$I$56*(8*$DA$56)+'LINEST VARS'!$H$56*(8*0.5)+'LINEST VARS'!$G$56*(8*$CX74)+'LINEST VARS'!$F$56*(8*$DA$56)+'LINEST VARS'!$E$56*(8*0.5)+'LINEST VARS'!$D$56*(8*$CX74)+'LINEST VARS'!$C$56*($DA$56*0.5)+'LINEST VARS'!$B$56*($DA$56*$CX74)+'LINEST VARS'!$A$56*(0.5*$CX74)</f>
        <v>2.8336000000000006</v>
      </c>
      <c r="DB74" s="51">
        <f>'LINEST VARS'!$U$56+'LINEST VARS'!$T$56*(8)+'LINEST VARS'!$S$56*(8)+'LINEST VARS'!$R$56*($DB$56)+'LINEST VARS'!$Q$56*(0.5)+'LINEST VARS'!$P$56*($CX74)+'LINEST VARS'!$O$56*(8^2)+'LINEST VARS'!$N$56*(8^2)+'LINEST VARS'!$M$56*($DB$56^2)+'LINEST VARS'!$L$56*(0.5^2)+'LINEST VARS'!$K$56*($CX74^2)+'LINEST VARS'!$J$56*(8*8)+'LINEST VARS'!$I$56*(8*$DB$56)+'LINEST VARS'!$H$56*(8*0.5)+'LINEST VARS'!$G$56*(8*$CX74)+'LINEST VARS'!$F$56*(8*$DB$56)+'LINEST VARS'!$E$56*(8*0.5)+'LINEST VARS'!$D$56*(8*$CX74)+'LINEST VARS'!$C$56*($DB$56*0.5)+'LINEST VARS'!$B$56*($DB$56*$CX74)+'LINEST VARS'!$A$56*(0.5*$CX74)</f>
        <v>2.8456000000000006</v>
      </c>
      <c r="DC74" s="51">
        <f>'LINEST VARS'!$U$56+'LINEST VARS'!$T$56*(8)+'LINEST VARS'!$S$56*(8)+'LINEST VARS'!$R$56*($DC$56)+'LINEST VARS'!$Q$56*(0.5)+'LINEST VARS'!$P$56*($CX74)+'LINEST VARS'!$O$56*(8^2)+'LINEST VARS'!$N$56*(8^2)+'LINEST VARS'!$M$56*($DC$56^2)+'LINEST VARS'!$L$56*(0.5^2)+'LINEST VARS'!$K$56*($CX74^2)+'LINEST VARS'!$J$56*(8*8)+'LINEST VARS'!$I$56*(8*$DC$56)+'LINEST VARS'!$H$56*(8*0.5)+'LINEST VARS'!$G$56*(8*$CX74)+'LINEST VARS'!$F$56*(8*$DC$56)+'LINEST VARS'!$E$56*(8*0.5)+'LINEST VARS'!$D$56*(8*$CX74)+'LINEST VARS'!$C$56*($DC$56*0.5)+'LINEST VARS'!$B$56*($DC$56*$CX74)+'LINEST VARS'!$A$56*(0.5*$CX74)</f>
        <v>2.8544000000000009</v>
      </c>
      <c r="DD74" s="51">
        <f>'LINEST VARS'!$U$56+'LINEST VARS'!$T$56*(8)+'LINEST VARS'!$S$56*(8)+'LINEST VARS'!$R$56*($DD$56)+'LINEST VARS'!$Q$56*(0.5)+'LINEST VARS'!$P$56*($CX74)+'LINEST VARS'!$O$56*(8^2)+'LINEST VARS'!$N$56*(8^2)+'LINEST VARS'!$M$56*($DD$56^2)+'LINEST VARS'!$L$56*(0.5^2)+'LINEST VARS'!$K$56*($CX74^2)+'LINEST VARS'!$J$56*(8*8)+'LINEST VARS'!$I$56*(8*$DD$56)+'LINEST VARS'!$H$56*(8*0.5)+'LINEST VARS'!$G$56*(8*$CX74)+'LINEST VARS'!$F$56*(8*$DD$56)+'LINEST VARS'!$E$56*(8*0.5)+'LINEST VARS'!$D$56*(8*$CX74)+'LINEST VARS'!$C$56*($DD$56*0.5)+'LINEST VARS'!$B$56*($DD$56*$CX74)+'LINEST VARS'!$A$56*(0.5*$CX74)</f>
        <v>2.8600000000000008</v>
      </c>
      <c r="DE74" s="51">
        <f>'LINEST VARS'!$U$56+'LINEST VARS'!$T$56*(8)+'LINEST VARS'!$S$56*(8)+'LINEST VARS'!$R$56*($DE$56)+'LINEST VARS'!$Q$56*(0.5)+'LINEST VARS'!$P$56*($CX74)+'LINEST VARS'!$O$56*(8^2)+'LINEST VARS'!$N$56*(8^2)+'LINEST VARS'!$M$56*($DE$56^2)+'LINEST VARS'!$L$56*(0.5^2)+'LINEST VARS'!$K$56*($CX74^2)+'LINEST VARS'!$J$56*(8*8)+'LINEST VARS'!$I$56*(8*$DE$56)+'LINEST VARS'!$H$56*(8*0.5)+'LINEST VARS'!$G$56*(8*$CX74)+'LINEST VARS'!$F$56*(8*$DE$56)+'LINEST VARS'!$E$56*(8*0.5)+'LINEST VARS'!$D$56*(8*$CX74)+'LINEST VARS'!$C$56*($DE$56*0.5)+'LINEST VARS'!$B$56*($DE$56*$CX74)+'LINEST VARS'!$A$56*(0.5*$CX74)</f>
        <v>2.8624000000000009</v>
      </c>
      <c r="DF74" s="51">
        <f>'LINEST VARS'!$U$56+'LINEST VARS'!$T$56*(8)+'LINEST VARS'!$S$56*(8)+'LINEST VARS'!$R$56*($DF$56)+'LINEST VARS'!$Q$56*(0.5)+'LINEST VARS'!$P$56*($CX74)+'LINEST VARS'!$O$56*(8^2)+'LINEST VARS'!$N$56*(8^2)+'LINEST VARS'!$M$56*($DF$56^2)+'LINEST VARS'!$L$56*(0.5^2)+'LINEST VARS'!$K$56*($CX74^2)+'LINEST VARS'!$J$56*(8*8)+'LINEST VARS'!$I$56*(8*$DF$56)+'LINEST VARS'!$H$56*(8*0.5)+'LINEST VARS'!$G$56*(8*$CX74)+'LINEST VARS'!$F$56*(8*$DF$56)+'LINEST VARS'!$E$56*(8*0.5)+'LINEST VARS'!$D$56*(8*$CX74)+'LINEST VARS'!$C$56*($DF$56*0.5)+'LINEST VARS'!$B$56*($DF$56*$CX74)+'LINEST VARS'!$A$56*(0.5*$CX74)</f>
        <v>2.8616000000000006</v>
      </c>
      <c r="DG74" s="51">
        <f>'LINEST VARS'!$U$56+'LINEST VARS'!$T$56*(8)+'LINEST VARS'!$S$56*(8)+'LINEST VARS'!$R$56*($DG$56)+'LINEST VARS'!$Q$56*(0.5)+'LINEST VARS'!$P$56*($CX74)+'LINEST VARS'!$O$56*(8^2)+'LINEST VARS'!$N$56*(8^2)+'LINEST VARS'!$M$56*($DG$56^2)+'LINEST VARS'!$L$56*(0.5^2)+'LINEST VARS'!$K$56*($CX74^2)+'LINEST VARS'!$J$56*(8*8)+'LINEST VARS'!$I$56*(8*$DG$56)+'LINEST VARS'!$H$56*(8*0.5)+'LINEST VARS'!$G$56*(8*$CX74)+'LINEST VARS'!$F$56*(8*$DG$56)+'LINEST VARS'!$E$56*(8*0.5)+'LINEST VARS'!$D$56*(8*$CX74)+'LINEST VARS'!$C$56*($DG$56*0.5)+'LINEST VARS'!$B$56*($DG$56*$CX74)+'LINEST VARS'!$A$56*(0.5*$CX74)</f>
        <v>2.8576000000000006</v>
      </c>
      <c r="DH74" s="51">
        <f>'LINEST VARS'!$U$56+'LINEST VARS'!$T$56*(8)+'LINEST VARS'!$S$56*(8)+'LINEST VARS'!$R$56*($DH$56)+'LINEST VARS'!$Q$56*(0.5)+'LINEST VARS'!$P$56*($CX74)+'LINEST VARS'!$O$56*(8^2)+'LINEST VARS'!$N$56*(8^2)+'LINEST VARS'!$M$56*($DH$56^2)+'LINEST VARS'!$L$56*(0.5^2)+'LINEST VARS'!$K$56*($CX74^2)+'LINEST VARS'!$J$56*(8*8)+'LINEST VARS'!$I$56*(8*$DH$56)+'LINEST VARS'!$H$56*(8*0.5)+'LINEST VARS'!$G$56*(8*$CX74)+'LINEST VARS'!$F$56*(8*$DH$56)+'LINEST VARS'!$E$56*(8*0.5)+'LINEST VARS'!$D$56*(8*$CX74)+'LINEST VARS'!$C$56*($DH$56*0.5)+'LINEST VARS'!$B$56*($DH$56*$CX74)+'LINEST VARS'!$A$56*(0.5*$CX74)</f>
        <v>2.8504000000000009</v>
      </c>
      <c r="DI74" s="51">
        <f>'LINEST VARS'!$U$56+'LINEST VARS'!$T$56*(8)+'LINEST VARS'!$S$56*(8)+'LINEST VARS'!$R$56*($DI$56)+'LINEST VARS'!$Q$56*(0.5)+'LINEST VARS'!$P$56*($CX74)+'LINEST VARS'!$O$56*(8^2)+'LINEST VARS'!$N$56*(8^2)+'LINEST VARS'!$M$56*($DI$56^2)+'LINEST VARS'!$L$56*(0.5^2)+'LINEST VARS'!$K$56*($CX74^2)+'LINEST VARS'!$J$56*(8*8)+'LINEST VARS'!$I$56*(8*$DI$56)+'LINEST VARS'!$H$56*(8*0.5)+'LINEST VARS'!$G$56*(8*$CX74)+'LINEST VARS'!$F$56*(8*$DI$56)+'LINEST VARS'!$E$56*(8*0.5)+'LINEST VARS'!$D$56*(8*$CX74)+'LINEST VARS'!$C$56*($DI$56*0.5)+'LINEST VARS'!$B$56*($DI$56*$CX74)+'LINEST VARS'!$A$56*(0.5*$CX74)</f>
        <v>2.8400000000000007</v>
      </c>
      <c r="DJ74" s="51">
        <f>'LINEST VARS'!$U$56+'LINEST VARS'!$T$56*(8)+'LINEST VARS'!$S$56*(8)+'LINEST VARS'!$R$56*($DJ$56)+'LINEST VARS'!$Q$56*(0.5)+'LINEST VARS'!$P$56*($CX74)+'LINEST VARS'!$O$56*(8^2)+'LINEST VARS'!$N$56*(8^2)+'LINEST VARS'!$M$56*($DJ$56^2)+'LINEST VARS'!$L$56*(0.5^2)+'LINEST VARS'!$K$56*($CX74^2)+'LINEST VARS'!$J$56*(8*8)+'LINEST VARS'!$I$56*(8*$DJ$56)+'LINEST VARS'!$H$56*(8*0.5)+'LINEST VARS'!$G$56*(8*$CX74)+'LINEST VARS'!$F$56*(8*$DJ$56)+'LINEST VARS'!$E$56*(8*0.5)+'LINEST VARS'!$D$56*(8*$CX74)+'LINEST VARS'!$C$56*($DJ$56*0.5)+'LINEST VARS'!$B$56*($DJ$56*$CX74)+'LINEST VARS'!$A$56*(0.5*$CX74)</f>
        <v>2.8264000000000009</v>
      </c>
      <c r="DK74" s="51">
        <f>'LINEST VARS'!$U$56+'LINEST VARS'!$T$56*(8)+'LINEST VARS'!$S$56*(8)+'LINEST VARS'!$R$56*($DK$56)+'LINEST VARS'!$Q$56*(0.5)+'LINEST VARS'!$P$56*($CX74)+'LINEST VARS'!$O$56*(8^2)+'LINEST VARS'!$N$56*(8^2)+'LINEST VARS'!$M$56*($DK$56^2)+'LINEST VARS'!$L$56*(0.5^2)+'LINEST VARS'!$K$56*($CX74^2)+'LINEST VARS'!$J$56*(8*8)+'LINEST VARS'!$I$56*(8*$DK$56)+'LINEST VARS'!$H$56*(8*0.5)+'LINEST VARS'!$G$56*(8*$CX74)+'LINEST VARS'!$F$56*(8*$DK$56)+'LINEST VARS'!$E$56*(8*0.5)+'LINEST VARS'!$D$56*(8*$CX74)+'LINEST VARS'!$C$56*($DK$56*0.5)+'LINEST VARS'!$B$56*($DK$56*$CX74)+'LINEST VARS'!$A$56*(0.5*$CX74)</f>
        <v>2.8096000000000005</v>
      </c>
      <c r="DL74" s="51">
        <f>'LINEST VARS'!$U$56+'LINEST VARS'!$T$56*(8)+'LINEST VARS'!$S$56*(8)+'LINEST VARS'!$R$56*($DL$56)+'LINEST VARS'!$Q$56*(0.5)+'LINEST VARS'!$P$56*($CX74)+'LINEST VARS'!$O$56*(8^2)+'LINEST VARS'!$N$56*(8^2)+'LINEST VARS'!$M$56*($DL$56^2)+'LINEST VARS'!$L$56*(0.5^2)+'LINEST VARS'!$K$56*($CX74^2)+'LINEST VARS'!$J$56*(8*8)+'LINEST VARS'!$I$56*(8*$DL$56)+'LINEST VARS'!$H$56*(8*0.5)+'LINEST VARS'!$G$56*(8*$CX74)+'LINEST VARS'!$F$56*(8*$DL$56)+'LINEST VARS'!$E$56*(8*0.5)+'LINEST VARS'!$D$56*(8*$CX74)+'LINEST VARS'!$C$56*($DL$56*0.5)+'LINEST VARS'!$B$56*($DL$56*$CX74)+'LINEST VARS'!$A$56*(0.5*$CX74)</f>
        <v>2.7896000000000005</v>
      </c>
      <c r="DM74" s="51">
        <f>'LINEST VARS'!$U$56+'LINEST VARS'!$T$56*(8)+'LINEST VARS'!$S$56*(8)+'LINEST VARS'!$R$56*($DM$56)+'LINEST VARS'!$Q$56*(0.5)+'LINEST VARS'!$P$56*($CX74)+'LINEST VARS'!$O$56*(8^2)+'LINEST VARS'!$N$56*(8^2)+'LINEST VARS'!$M$56*($DM$56^2)+'LINEST VARS'!$L$56*(0.5^2)+'LINEST VARS'!$K$56*($CX74^2)+'LINEST VARS'!$J$56*(8*8)+'LINEST VARS'!$I$56*(8*$DM$56)+'LINEST VARS'!$H$56*(8*0.5)+'LINEST VARS'!$G$56*(8*$CX74)+'LINEST VARS'!$F$56*(8*$DM$56)+'LINEST VARS'!$E$56*(8*0.5)+'LINEST VARS'!$D$56*(8*$CX74)+'LINEST VARS'!$C$56*($DM$56*0.5)+'LINEST VARS'!$B$56*($DM$56*$CX74)+'LINEST VARS'!$A$56*(0.5*$CX74)</f>
        <v>2.7664000000000004</v>
      </c>
      <c r="DN74" s="51">
        <f>'LINEST VARS'!$U$56+'LINEST VARS'!$T$56*(8)+'LINEST VARS'!$S$56*(8)+'LINEST VARS'!$R$56*($DN$56)+'LINEST VARS'!$Q$56*(0.5)+'LINEST VARS'!$P$56*($CX74)+'LINEST VARS'!$O$56*(8^2)+'LINEST VARS'!$N$56*(8^2)+'LINEST VARS'!$M$56*($DN$56^2)+'LINEST VARS'!$L$56*(0.5^2)+'LINEST VARS'!$K$56*($CX74^2)+'LINEST VARS'!$J$56*(8*8)+'LINEST VARS'!$I$56*(8*$DN$56)+'LINEST VARS'!$H$56*(8*0.5)+'LINEST VARS'!$G$56*(8*$CX74)+'LINEST VARS'!$F$56*(8*$DN$56)+'LINEST VARS'!$E$56*(8*0.5)+'LINEST VARS'!$D$56*(8*$CX74)+'LINEST VARS'!$C$56*($DN$56*0.5)+'LINEST VARS'!$B$56*($DN$56*$CX74)+'LINEST VARS'!$A$56*(0.5*$CX74)</f>
        <v>2.74</v>
      </c>
      <c r="DO74" s="51">
        <f>'LINEST VARS'!$U$56+'LINEST VARS'!$T$56*(8)+'LINEST VARS'!$S$56*(8)+'LINEST VARS'!$R$56*($DO$56)+'LINEST VARS'!$Q$56*(0.5)+'LINEST VARS'!$P$56*($CX74)+'LINEST VARS'!$O$56*(8^2)+'LINEST VARS'!$N$56*(8^2)+'LINEST VARS'!$M$56*($DO$56^2)+'LINEST VARS'!$L$56*(0.5^2)+'LINEST VARS'!$K$56*($CX74^2)+'LINEST VARS'!$J$56*(8*8)+'LINEST VARS'!$I$56*(8*$DO$56)+'LINEST VARS'!$H$56*(8*0.5)+'LINEST VARS'!$G$56*(8*$CX74)+'LINEST VARS'!$F$56*(8*$DO$56)+'LINEST VARS'!$E$56*(8*0.5)+'LINEST VARS'!$D$56*(8*$CX74)+'LINEST VARS'!$C$56*($DO$56*0.5)+'LINEST VARS'!$B$56*($DO$56*$CX74)+'LINEST VARS'!$A$56*(0.5*$CX74)</f>
        <v>2.7103999999999999</v>
      </c>
      <c r="DP74" s="51">
        <f>'LINEST VARS'!$U$56+'LINEST VARS'!$T$56*(8)+'LINEST VARS'!$S$56*(8)+'LINEST VARS'!$R$56*($DP$56)+'LINEST VARS'!$Q$56*(0.5)+'LINEST VARS'!$P$56*($CX74)+'LINEST VARS'!$O$56*(8^2)+'LINEST VARS'!$N$56*(8^2)+'LINEST VARS'!$M$56*($DP$56^2)+'LINEST VARS'!$L$56*(0.5^2)+'LINEST VARS'!$K$56*($CX74^2)+'LINEST VARS'!$J$56*(8*8)+'LINEST VARS'!$I$56*(8*$DP$56)+'LINEST VARS'!$H$56*(8*0.5)+'LINEST VARS'!$G$56*(8*$CX74)+'LINEST VARS'!$F$56*(8*$DP$56)+'LINEST VARS'!$E$56*(8*0.5)+'LINEST VARS'!$D$56*(8*$CX74)+'LINEST VARS'!$C$56*($DP$56*0.5)+'LINEST VARS'!$B$56*($DP$56*$CX74)+'LINEST VARS'!$A$56*(0.5*$CX74)</f>
        <v>2.6776</v>
      </c>
      <c r="DQ74" s="51">
        <f>'LINEST VARS'!$U$56+'LINEST VARS'!$T$56*(8)+'LINEST VARS'!$S$56*(8)+'LINEST VARS'!$R$56*($DQ$56)+'LINEST VARS'!$Q$56*(0.5)+'LINEST VARS'!$P$56*($CX74)+'LINEST VARS'!$O$56*(8^2)+'LINEST VARS'!$N$56*(8^2)+'LINEST VARS'!$M$56*($DQ$56^2)+'LINEST VARS'!$L$56*(0.5^2)+'LINEST VARS'!$K$56*($CX74^2)+'LINEST VARS'!$J$56*(8*8)+'LINEST VARS'!$I$56*(8*$DQ$56)+'LINEST VARS'!$H$56*(8*0.5)+'LINEST VARS'!$G$56*(8*$CX74)+'LINEST VARS'!$F$56*(8*$DQ$56)+'LINEST VARS'!$E$56*(8*0.5)+'LINEST VARS'!$D$56*(8*$CX74)+'LINEST VARS'!$C$56*($DQ$56*0.5)+'LINEST VARS'!$B$56*($DQ$56*$CX74)+'LINEST VARS'!$A$56*(0.5*$CX74)</f>
        <v>2.6415999999999999</v>
      </c>
      <c r="DR74" s="51">
        <f>'LINEST VARS'!$U$56+'LINEST VARS'!$T$56*(8)+'LINEST VARS'!$S$56*(8)+'LINEST VARS'!$R$56*($DR$56)+'LINEST VARS'!$Q$56*(0.5)+'LINEST VARS'!$P$56*($CX74)+'LINEST VARS'!$O$56*(8^2)+'LINEST VARS'!$N$56*(8^2)+'LINEST VARS'!$M$56*($DR$56^2)+'LINEST VARS'!$L$56*(0.5^2)+'LINEST VARS'!$K$56*($CX74^2)+'LINEST VARS'!$J$56*(8*8)+'LINEST VARS'!$I$56*(8*$DR$56)+'LINEST VARS'!$H$56*(8*0.5)+'LINEST VARS'!$G$56*(8*$CX74)+'LINEST VARS'!$F$56*(8*$DR$56)+'LINEST VARS'!$E$56*(8*0.5)+'LINEST VARS'!$D$56*(8*$CX74)+'LINEST VARS'!$C$56*($DR$56*0.5)+'LINEST VARS'!$B$56*($DR$56*$CX74)+'LINEST VARS'!$A$56*(0.5*$CX74)</f>
        <v>2.6024000000000003</v>
      </c>
      <c r="DS74" s="52">
        <f>'LINEST VARS'!$U$56+'LINEST VARS'!$T$56*(8)+'LINEST VARS'!$S$56*(8)+'LINEST VARS'!$R$56*($DS$56)+'LINEST VARS'!$Q$56*(0.5)+'LINEST VARS'!$P$56*($CX74)+'LINEST VARS'!$O$56*(8^2)+'LINEST VARS'!$N$56*(8^2)+'LINEST VARS'!$M$56*($DS$56^2)+'LINEST VARS'!$L$56*(0.5^2)+'LINEST VARS'!$K$56*($CX74^2)+'LINEST VARS'!$J$56*(8*8)+'LINEST VARS'!$I$56*(8*$DS$56)+'LINEST VARS'!$H$56*(8*0.5)+'LINEST VARS'!$G$56*(8*$CX74)+'LINEST VARS'!$F$56*(8*$DS$56)+'LINEST VARS'!$E$56*(8*0.5)+'LINEST VARS'!$D$56*(8*$CX74)+'LINEST VARS'!$C$56*($DS$56*0.5)+'LINEST VARS'!$B$56*($DS$56*$CX74)+'LINEST VARS'!$A$56*(0.5*$CX74)</f>
        <v>2.56</v>
      </c>
      <c r="DV74" s="45">
        <v>22.0915</v>
      </c>
      <c r="DW74" s="51">
        <f>'LINEST VARS'!$U$58+'LINEST VARS'!$T$58*(8)+'LINEST VARS'!$S$58*(8)+'LINEST VARS'!$R$58*($DW$56)+'LINEST VARS'!$Q$58*(0.5)+'LINEST VARS'!$P$58*($DV74)+'LINEST VARS'!$O$58*(8^2)+'LINEST VARS'!$N$58*(8^2)+'LINEST VARS'!$M$58*($DW$56^2)+'LINEST VARS'!$L$58*(0.5^2)+'LINEST VARS'!$K$58*($DV74^2)+'LINEST VARS'!$J$58*(8*8)+'LINEST VARS'!$I$58*(8*$DW$56)+'LINEST VARS'!$H$58*(8*0.5)+'LINEST VARS'!$G$58*(8*$DV74)+'LINEST VARS'!$F$58*(8*$DW$56)+'LINEST VARS'!$E$58*(8*0.5)+'LINEST VARS'!$D$58*(8*$DV74)+'LINEST VARS'!$C$58*($DW$56*0.5)+'LINEST VARS'!$B$58*($DW$56*$DV74)+'LINEST VARS'!$A$58*(0.5*$DV74)</f>
        <v>0.91045750000000036</v>
      </c>
      <c r="DX74" s="51">
        <f>'LINEST VARS'!$U$58+'LINEST VARS'!$T$58*(8)+'LINEST VARS'!$S$58*(8)+'LINEST VARS'!$R$58*($DX$56)+'LINEST VARS'!$Q$58*(0.5)+'LINEST VARS'!$P$58*($DV74)+'LINEST VARS'!$O$58*(8^2)+'LINEST VARS'!$N$58*(8^2)+'LINEST VARS'!$M$58*($DX$56^2)+'LINEST VARS'!$L$58*(0.5^2)+'LINEST VARS'!$K$58*($DV74^2)+'LINEST VARS'!$J$58*(8*8)+'LINEST VARS'!$I$58*(8*$DX$56)+'LINEST VARS'!$H$58*(8*0.5)+'LINEST VARS'!$G$58*(8*$DV74)+'LINEST VARS'!$F$58*(8*$DX$56)+'LINEST VARS'!$E$58*(8*0.5)+'LINEST VARS'!$D$58*(8*$DV74)+'LINEST VARS'!$C$58*($DX$56*0.5)+'LINEST VARS'!$B$58*($DX$56*$DV74)+'LINEST VARS'!$A$58*(0.5*$DV74)</f>
        <v>0.91845750000000037</v>
      </c>
      <c r="DY74" s="51">
        <f>'LINEST VARS'!$U$58+'LINEST VARS'!$T$58*(8)+'LINEST VARS'!$S$58*(8)+'LINEST VARS'!$R$58*($DY$56)+'LINEST VARS'!$Q$58*(0.5)+'LINEST VARS'!$P$58*($DV74)+'LINEST VARS'!$O$58*(8^2)+'LINEST VARS'!$N$58*(8^2)+'LINEST VARS'!$M$58*($DY$56^2)+'LINEST VARS'!$L$58*(0.5^2)+'LINEST VARS'!$K$58*($DV74^2)+'LINEST VARS'!$J$58*(8*8)+'LINEST VARS'!$I$58*(8*$DY$56)+'LINEST VARS'!$H$58*(8*0.5)+'LINEST VARS'!$G$58*(8*$DV74)+'LINEST VARS'!$F$58*(8*$DY$56)+'LINEST VARS'!$E$58*(8*0.5)+'LINEST VARS'!$D$58*(8*$DV74)+'LINEST VARS'!$C$58*($DY$56*0.5)+'LINEST VARS'!$B$58*($DY$56*$DV74)+'LINEST VARS'!$A$58*(0.5*$DV74)</f>
        <v>0.92645750000000016</v>
      </c>
      <c r="DZ74" s="51">
        <f>'LINEST VARS'!$U$58+'LINEST VARS'!$T$58*(8)+'LINEST VARS'!$S$58*(8)+'LINEST VARS'!$R$58*($DZ$56)+'LINEST VARS'!$Q$58*(0.5)+'LINEST VARS'!$P$58*($DV74)+'LINEST VARS'!$O$58*(8^2)+'LINEST VARS'!$N$58*(8^2)+'LINEST VARS'!$M$58*($DZ$56^2)+'LINEST VARS'!$L$58*(0.5^2)+'LINEST VARS'!$K$58*($DV74^2)+'LINEST VARS'!$J$58*(8*8)+'LINEST VARS'!$I$58*(8*$DZ$56)+'LINEST VARS'!$H$58*(8*0.5)+'LINEST VARS'!$G$58*(8*$DV74)+'LINEST VARS'!$F$58*(8*$DZ$56)+'LINEST VARS'!$E$58*(8*0.5)+'LINEST VARS'!$D$58*(8*$DV74)+'LINEST VARS'!$C$58*($DZ$56*0.5)+'LINEST VARS'!$B$58*($DZ$56*$DV74)+'LINEST VARS'!$A$58*(0.5*$DV74)</f>
        <v>0.93445750000000016</v>
      </c>
      <c r="EA74" s="51">
        <f>'LINEST VARS'!$U$58+'LINEST VARS'!$T$58*(8)+'LINEST VARS'!$S$58*(8)+'LINEST VARS'!$R$58*($EA$56)+'LINEST VARS'!$Q$58*(0.5)+'LINEST VARS'!$P$58*($DV74)+'LINEST VARS'!$O$58*(8^2)+'LINEST VARS'!$N$58*(8^2)+'LINEST VARS'!$M$58*($EA$56^2)+'LINEST VARS'!$L$58*(0.5^2)+'LINEST VARS'!$K$58*($DV74^2)+'LINEST VARS'!$J$58*(8*8)+'LINEST VARS'!$I$58*(8*$EA$56)+'LINEST VARS'!$H$58*(8*0.5)+'LINEST VARS'!$G$58*(8*$DV74)+'LINEST VARS'!$F$58*(8*$EA$56)+'LINEST VARS'!$E$58*(8*0.5)+'LINEST VARS'!$D$58*(8*$DV74)+'LINEST VARS'!$C$58*($EA$56*0.5)+'LINEST VARS'!$B$58*($EA$56*$DV74)+'LINEST VARS'!$A$58*(0.5*$DV74)</f>
        <v>0.94245750000000017</v>
      </c>
      <c r="EB74" s="51">
        <f>'LINEST VARS'!$U$58+'LINEST VARS'!$T$58*(8)+'LINEST VARS'!$S$58*(8)+'LINEST VARS'!$R$58*($EB$56)+'LINEST VARS'!$Q$58*(0.5)+'LINEST VARS'!$P$58*($DV74)+'LINEST VARS'!$O$58*(8^2)+'LINEST VARS'!$N$58*(8^2)+'LINEST VARS'!$M$58*($EB$56^2)+'LINEST VARS'!$L$58*(0.5^2)+'LINEST VARS'!$K$58*($DV74^2)+'LINEST VARS'!$J$58*(8*8)+'LINEST VARS'!$I$58*(8*$EB$56)+'LINEST VARS'!$H$58*(8*0.5)+'LINEST VARS'!$G$58*(8*$DV74)+'LINEST VARS'!$F$58*(8*$EB$56)+'LINEST VARS'!$E$58*(8*0.5)+'LINEST VARS'!$D$58*(8*$DV74)+'LINEST VARS'!$C$58*($EB$56*0.5)+'LINEST VARS'!$B$58*($EB$56*$DV74)+'LINEST VARS'!$A$58*(0.5*$DV74)</f>
        <v>0.95045750000000029</v>
      </c>
      <c r="EC74" s="51">
        <f>'LINEST VARS'!$U$58+'LINEST VARS'!$T$58*(8)+'LINEST VARS'!$S$58*(8)+'LINEST VARS'!$R$58*($EC$56)+'LINEST VARS'!$Q$58*(0.5)+'LINEST VARS'!$P$58*($DV74)+'LINEST VARS'!$O$58*(8^2)+'LINEST VARS'!$N$58*(8^2)+'LINEST VARS'!$M$58*($EC$56^2)+'LINEST VARS'!$L$58*(0.5^2)+'LINEST VARS'!$K$58*($DV74^2)+'LINEST VARS'!$J$58*(8*8)+'LINEST VARS'!$I$58*(8*$EC$56)+'LINEST VARS'!$H$58*(8*0.5)+'LINEST VARS'!$G$58*(8*$DV74)+'LINEST VARS'!$F$58*(8*$EC$56)+'LINEST VARS'!$E$58*(8*0.5)+'LINEST VARS'!$D$58*(8*$DV74)+'LINEST VARS'!$C$58*($EC$56*0.5)+'LINEST VARS'!$B$58*($EC$56*$DV74)+'LINEST VARS'!$A$58*(0.5*$DV74)</f>
        <v>0.95845750000000018</v>
      </c>
      <c r="ED74" s="51">
        <f>'LINEST VARS'!$U$58+'LINEST VARS'!$T$58*(8)+'LINEST VARS'!$S$58*(8)+'LINEST VARS'!$R$58*($ED$56)+'LINEST VARS'!$Q$58*(0.5)+'LINEST VARS'!$P$58*($DV74)+'LINEST VARS'!$O$58*(8^2)+'LINEST VARS'!$N$58*(8^2)+'LINEST VARS'!$M$58*($ED$56^2)+'LINEST VARS'!$L$58*(0.5^2)+'LINEST VARS'!$K$58*($DV74^2)+'LINEST VARS'!$J$58*(8*8)+'LINEST VARS'!$I$58*(8*$ED$56)+'LINEST VARS'!$H$58*(8*0.5)+'LINEST VARS'!$G$58*(8*$DV74)+'LINEST VARS'!$F$58*(8*$ED$56)+'LINEST VARS'!$E$58*(8*0.5)+'LINEST VARS'!$D$58*(8*$DV74)+'LINEST VARS'!$C$58*($ED$56*0.5)+'LINEST VARS'!$B$58*($ED$56*$DV74)+'LINEST VARS'!$A$58*(0.5*$DV74)</f>
        <v>0.96645750000000019</v>
      </c>
      <c r="EE74" s="51">
        <f>'LINEST VARS'!$U$58+'LINEST VARS'!$T$58*(8)+'LINEST VARS'!$S$58*(8)+'LINEST VARS'!$R$58*($EE$56)+'LINEST VARS'!$Q$58*(0.5)+'LINEST VARS'!$P$58*($DV74)+'LINEST VARS'!$O$58*(8^2)+'LINEST VARS'!$N$58*(8^2)+'LINEST VARS'!$M$58*($EE$56^2)+'LINEST VARS'!$L$58*(0.5^2)+'LINEST VARS'!$K$58*($DV74^2)+'LINEST VARS'!$J$58*(8*8)+'LINEST VARS'!$I$58*(8*$EE$56)+'LINEST VARS'!$H$58*(8*0.5)+'LINEST VARS'!$G$58*(8*$DV74)+'LINEST VARS'!$F$58*(8*$EE$56)+'LINEST VARS'!$E$58*(8*0.5)+'LINEST VARS'!$D$58*(8*$DV74)+'LINEST VARS'!$C$58*($EE$56*0.5)+'LINEST VARS'!$B$58*($EE$56*$DV74)+'LINEST VARS'!$A$58*(0.5*$DV74)</f>
        <v>0.97445750000000031</v>
      </c>
      <c r="EF74" s="51">
        <f>'LINEST VARS'!$U$58+'LINEST VARS'!$T$58*(8)+'LINEST VARS'!$S$58*(8)+'LINEST VARS'!$R$58*($EF$56)+'LINEST VARS'!$Q$58*(0.5)+'LINEST VARS'!$P$58*($DV74)+'LINEST VARS'!$O$58*(8^2)+'LINEST VARS'!$N$58*(8^2)+'LINEST VARS'!$M$58*($EF$56^2)+'LINEST VARS'!$L$58*(0.5^2)+'LINEST VARS'!$K$58*($DV74^2)+'LINEST VARS'!$J$58*(8*8)+'LINEST VARS'!$I$58*(8*$EF$56)+'LINEST VARS'!$H$58*(8*0.5)+'LINEST VARS'!$G$58*(8*$DV74)+'LINEST VARS'!$F$58*(8*$EF$56)+'LINEST VARS'!$E$58*(8*0.5)+'LINEST VARS'!$D$58*(8*$DV74)+'LINEST VARS'!$C$58*($EF$56*0.5)+'LINEST VARS'!$B$58*($EF$56*$DV74)+'LINEST VARS'!$A$58*(0.5*$DV74)</f>
        <v>0.98245750000000032</v>
      </c>
      <c r="EG74" s="51">
        <f>'LINEST VARS'!$U$58+'LINEST VARS'!$T$58*(8)+'LINEST VARS'!$S$58*(8)+'LINEST VARS'!$R$58*($EG$56)+'LINEST VARS'!$Q$58*(0.5)+'LINEST VARS'!$P$58*($DV74)+'LINEST VARS'!$O$58*(8^2)+'LINEST VARS'!$N$58*(8^2)+'LINEST VARS'!$M$58*($EG$56^2)+'LINEST VARS'!$L$58*(0.5^2)+'LINEST VARS'!$K$58*($DV74^2)+'LINEST VARS'!$J$58*(8*8)+'LINEST VARS'!$I$58*(8*$EG$56)+'LINEST VARS'!$H$58*(8*0.5)+'LINEST VARS'!$G$58*(8*$DV74)+'LINEST VARS'!$F$58*(8*$EG$56)+'LINEST VARS'!$E$58*(8*0.5)+'LINEST VARS'!$D$58*(8*$DV74)+'LINEST VARS'!$C$58*($EG$56*0.5)+'LINEST VARS'!$B$58*($EG$56*$DV74)+'LINEST VARS'!$A$58*(0.5*$DV74)</f>
        <v>0.99045750000000032</v>
      </c>
      <c r="EH74" s="51">
        <f>'LINEST VARS'!$U$58+'LINEST VARS'!$T$58*(8)+'LINEST VARS'!$S$58*(8)+'LINEST VARS'!$R$58*($EH$56)+'LINEST VARS'!$Q$58*(0.5)+'LINEST VARS'!$P$58*($DV74)+'LINEST VARS'!$O$58*(8^2)+'LINEST VARS'!$N$58*(8^2)+'LINEST VARS'!$M$58*($EH$56^2)+'LINEST VARS'!$L$58*(0.5^2)+'LINEST VARS'!$K$58*($DV74^2)+'LINEST VARS'!$J$58*(8*8)+'LINEST VARS'!$I$58*(8*$EH$56)+'LINEST VARS'!$H$58*(8*0.5)+'LINEST VARS'!$G$58*(8*$DV74)+'LINEST VARS'!$F$58*(8*$EH$56)+'LINEST VARS'!$E$58*(8*0.5)+'LINEST VARS'!$D$58*(8*$DV74)+'LINEST VARS'!$C$58*($EH$56*0.5)+'LINEST VARS'!$B$58*($EH$56*$DV74)+'LINEST VARS'!$A$58*(0.5*$DV74)</f>
        <v>0.99845750000000011</v>
      </c>
      <c r="EI74" s="51">
        <f>'LINEST VARS'!$U$58+'LINEST VARS'!$T$58*(8)+'LINEST VARS'!$S$58*(8)+'LINEST VARS'!$R$58*($EI$56)+'LINEST VARS'!$Q$58*(0.5)+'LINEST VARS'!$P$58*($DV74)+'LINEST VARS'!$O$58*(8^2)+'LINEST VARS'!$N$58*(8^2)+'LINEST VARS'!$M$58*($EI$56^2)+'LINEST VARS'!$L$58*(0.5^2)+'LINEST VARS'!$K$58*($DV74^2)+'LINEST VARS'!$J$58*(8*8)+'LINEST VARS'!$I$58*(8*$EI$56)+'LINEST VARS'!$H$58*(8*0.5)+'LINEST VARS'!$G$58*(8*$DV74)+'LINEST VARS'!$F$58*(8*$EI$56)+'LINEST VARS'!$E$58*(8*0.5)+'LINEST VARS'!$D$58*(8*$DV74)+'LINEST VARS'!$C$58*($EI$56*0.5)+'LINEST VARS'!$B$58*($EI$56*$DV74)+'LINEST VARS'!$A$58*(0.5*$DV74)</f>
        <v>1.0064575000000004</v>
      </c>
      <c r="EJ74" s="51">
        <f>'LINEST VARS'!$U$58+'LINEST VARS'!$T$58*(8)+'LINEST VARS'!$S$58*(8)+'LINEST VARS'!$R$58*($EJ$56)+'LINEST VARS'!$Q$58*(0.5)+'LINEST VARS'!$P$58*($DV74)+'LINEST VARS'!$O$58*(8^2)+'LINEST VARS'!$N$58*(8^2)+'LINEST VARS'!$M$58*($EJ$56^2)+'LINEST VARS'!$L$58*(0.5^2)+'LINEST VARS'!$K$58*($DV74^2)+'LINEST VARS'!$J$58*(8*8)+'LINEST VARS'!$I$58*(8*$EJ$56)+'LINEST VARS'!$H$58*(8*0.5)+'LINEST VARS'!$G$58*(8*$DV74)+'LINEST VARS'!$F$58*(8*$EJ$56)+'LINEST VARS'!$E$58*(8*0.5)+'LINEST VARS'!$D$58*(8*$DV74)+'LINEST VARS'!$C$58*($EJ$56*0.5)+'LINEST VARS'!$B$58*($EJ$56*$DV74)+'LINEST VARS'!$A$58*(0.5*$DV74)</f>
        <v>1.0144575000000005</v>
      </c>
      <c r="EK74" s="51">
        <f>'LINEST VARS'!$U$58+'LINEST VARS'!$T$58*(8)+'LINEST VARS'!$S$58*(8)+'LINEST VARS'!$R$58*($EK$56)+'LINEST VARS'!$Q$58*(0.5)+'LINEST VARS'!$P$58*($DV74)+'LINEST VARS'!$O$58*(8^2)+'LINEST VARS'!$N$58*(8^2)+'LINEST VARS'!$M$58*($EK$56^2)+'LINEST VARS'!$L$58*(0.5^2)+'LINEST VARS'!$K$58*($DV74^2)+'LINEST VARS'!$J$58*(8*8)+'LINEST VARS'!$I$58*(8*$EK$56)+'LINEST VARS'!$H$58*(8*0.5)+'LINEST VARS'!$G$58*(8*$DV74)+'LINEST VARS'!$F$58*(8*$EK$56)+'LINEST VARS'!$E$58*(8*0.5)+'LINEST VARS'!$D$58*(8*$DV74)+'LINEST VARS'!$C$58*($EK$56*0.5)+'LINEST VARS'!$B$58*($EK$56*$DV74)+'LINEST VARS'!$A$58*(0.5*$DV74)</f>
        <v>1.0224575000000005</v>
      </c>
      <c r="EL74" s="51">
        <f>'LINEST VARS'!$U$58+'LINEST VARS'!$T$58*(8)+'LINEST VARS'!$S$58*(8)+'LINEST VARS'!$R$58*($EL$56)+'LINEST VARS'!$Q$58*(0.5)+'LINEST VARS'!$P$58*($DV74)+'LINEST VARS'!$O$58*(8^2)+'LINEST VARS'!$N$58*(8^2)+'LINEST VARS'!$M$58*($EL$56^2)+'LINEST VARS'!$L$58*(0.5^2)+'LINEST VARS'!$K$58*($DV74^2)+'LINEST VARS'!$J$58*(8*8)+'LINEST VARS'!$I$58*(8*$EL$56)+'LINEST VARS'!$H$58*(8*0.5)+'LINEST VARS'!$G$58*(8*$DV74)+'LINEST VARS'!$F$58*(8*$EL$56)+'LINEST VARS'!$E$58*(8*0.5)+'LINEST VARS'!$D$58*(8*$DV74)+'LINEST VARS'!$C$58*($EL$56*0.5)+'LINEST VARS'!$B$58*($EL$56*$DV74)+'LINEST VARS'!$A$58*(0.5*$DV74)</f>
        <v>1.0304575000000002</v>
      </c>
      <c r="EM74" s="51">
        <f>'LINEST VARS'!$U$58+'LINEST VARS'!$T$58*(8)+'LINEST VARS'!$S$58*(8)+'LINEST VARS'!$R$58*($EM$56)+'LINEST VARS'!$Q$58*(0.5)+'LINEST VARS'!$P$58*($DV74)+'LINEST VARS'!$O$58*(8^2)+'LINEST VARS'!$N$58*(8^2)+'LINEST VARS'!$M$58*($EM$56^2)+'LINEST VARS'!$L$58*(0.5^2)+'LINEST VARS'!$K$58*($DV74^2)+'LINEST VARS'!$J$58*(8*8)+'LINEST VARS'!$I$58*(8*$EM$56)+'LINEST VARS'!$H$58*(8*0.5)+'LINEST VARS'!$G$58*(8*$DV74)+'LINEST VARS'!$F$58*(8*$EM$56)+'LINEST VARS'!$E$58*(8*0.5)+'LINEST VARS'!$D$58*(8*$DV74)+'LINEST VARS'!$C$58*($EM$56*0.5)+'LINEST VARS'!$B$58*($EM$56*$DV74)+'LINEST VARS'!$A$58*(0.5*$DV74)</f>
        <v>1.0384575000000003</v>
      </c>
      <c r="EN74" s="51">
        <f>'LINEST VARS'!$U$58+'LINEST VARS'!$T$58*(8)+'LINEST VARS'!$S$58*(8)+'LINEST VARS'!$R$58*($EN$56)+'LINEST VARS'!$Q$58*(0.5)+'LINEST VARS'!$P$58*($DV74)+'LINEST VARS'!$O$58*(8^2)+'LINEST VARS'!$N$58*(8^2)+'LINEST VARS'!$M$58*($EN$56^2)+'LINEST VARS'!$L$58*(0.5^2)+'LINEST VARS'!$K$58*($DV74^2)+'LINEST VARS'!$J$58*(8*8)+'LINEST VARS'!$I$58*(8*$EN$56)+'LINEST VARS'!$H$58*(8*0.5)+'LINEST VARS'!$G$58*(8*$DV74)+'LINEST VARS'!$F$58*(8*$EN$56)+'LINEST VARS'!$E$58*(8*0.5)+'LINEST VARS'!$D$58*(8*$DV74)+'LINEST VARS'!$C$58*($EN$56*0.5)+'LINEST VARS'!$B$58*($EN$56*$DV74)+'LINEST VARS'!$A$58*(0.5*$DV74)</f>
        <v>1.0464575000000003</v>
      </c>
      <c r="EO74" s="51">
        <f>'LINEST VARS'!$U$58+'LINEST VARS'!$T$58*(8)+'LINEST VARS'!$S$58*(8)+'LINEST VARS'!$R$58*($EO$56)+'LINEST VARS'!$Q$58*(0.5)+'LINEST VARS'!$P$58*($DV74)+'LINEST VARS'!$O$58*(8^2)+'LINEST VARS'!$N$58*(8^2)+'LINEST VARS'!$M$58*($EO$56^2)+'LINEST VARS'!$L$58*(0.5^2)+'LINEST VARS'!$K$58*($DV74^2)+'LINEST VARS'!$J$58*(8*8)+'LINEST VARS'!$I$58*(8*$EO$56)+'LINEST VARS'!$H$58*(8*0.5)+'LINEST VARS'!$G$58*(8*$DV74)+'LINEST VARS'!$F$58*(8*$EO$56)+'LINEST VARS'!$E$58*(8*0.5)+'LINEST VARS'!$D$58*(8*$DV74)+'LINEST VARS'!$C$58*($EO$56*0.5)+'LINEST VARS'!$B$58*($EO$56*$DV74)+'LINEST VARS'!$A$58*(0.5*$DV74)</f>
        <v>1.0544575000000003</v>
      </c>
      <c r="EP74" s="51">
        <f>'LINEST VARS'!$U$58+'LINEST VARS'!$T$58*(8)+'LINEST VARS'!$S$58*(8)+'LINEST VARS'!$R$58*($EP$56)+'LINEST VARS'!$Q$58*(0.5)+'LINEST VARS'!$P$58*($DV74)+'LINEST VARS'!$O$58*(8^2)+'LINEST VARS'!$N$58*(8^2)+'LINEST VARS'!$M$58*($EP$56^2)+'LINEST VARS'!$L$58*(0.5^2)+'LINEST VARS'!$K$58*($DV74^2)+'LINEST VARS'!$J$58*(8*8)+'LINEST VARS'!$I$58*(8*$EP$56)+'LINEST VARS'!$H$58*(8*0.5)+'LINEST VARS'!$G$58*(8*$DV74)+'LINEST VARS'!$F$58*(8*$EP$56)+'LINEST VARS'!$E$58*(8*0.5)+'LINEST VARS'!$D$58*(8*$DV74)+'LINEST VARS'!$C$58*($EP$56*0.5)+'LINEST VARS'!$B$58*($EP$56*$DV74)+'LINEST VARS'!$A$58*(0.5*$DV74)</f>
        <v>1.0624575000000001</v>
      </c>
      <c r="EQ74" s="52">
        <f>'LINEST VARS'!$U$58+'LINEST VARS'!$T$58*(8)+'LINEST VARS'!$S$58*(8)+'LINEST VARS'!$R$58*($EQ$56)+'LINEST VARS'!$Q$58*(0.5)+'LINEST VARS'!$P$58*($DV74)+'LINEST VARS'!$O$58*(8^2)+'LINEST VARS'!$N$58*(8^2)+'LINEST VARS'!$M$58*($EQ$56^2)+'LINEST VARS'!$L$58*(0.5^2)+'LINEST VARS'!$K$58*($DV74^2)+'LINEST VARS'!$J$58*(8*8)+'LINEST VARS'!$I$58*(8*$EQ$56)+'LINEST VARS'!$H$58*(8*0.5)+'LINEST VARS'!$G$58*(8*$DV74)+'LINEST VARS'!$F$58*(8*$EQ$56)+'LINEST VARS'!$E$58*(8*0.5)+'LINEST VARS'!$D$58*(8*$DV74)+'LINEST VARS'!$C$58*($EQ$56*0.5)+'LINEST VARS'!$B$58*($EQ$56*$DV74)+'LINEST VARS'!$A$58*(0.5*$DV74)</f>
        <v>1.0704575000000003</v>
      </c>
    </row>
    <row r="75" spans="2:147" ht="15" customHeight="1" x14ac:dyDescent="0.25">
      <c r="B75" s="45">
        <v>8.48</v>
      </c>
      <c r="C75" s="51">
        <f>'LINEST VARS'!$U$56+'LINEST VARS'!$T$56*($C$56)+'LINEST VARS'!$S$56*($B75)+'LINEST VARS'!$R$56*(4)+'LINEST VARS'!$Q$56*(0.5)+'LINEST VARS'!$P$56*(12.73)+'LINEST VARS'!$O$56*($C$56^2)+'LINEST VARS'!$N$56*($B75^2)+'LINEST VARS'!$M$56*(4^2)+'LINEST VARS'!$L$56*(0.5^2)+'LINEST VARS'!$K$56*(12.73^2)+'LINEST VARS'!$J$56*($C$56*$B75)+'LINEST VARS'!$I$56*($C$56*4)+'LINEST VARS'!$H$56*($C$56*0.5)+'LINEST VARS'!$G$56*($C$56*12.73)+'LINEST VARS'!$F$56*($B75*4)+'LINEST VARS'!$E$56*($B75*0.5)+'LINEST VARS'!$D$56*($B75*12.73)+'LINEST VARS'!$C$56*(4*0.5)+'LINEST VARS'!$B$56*(4*12.73)+'LINEST VARS'!$A$56*(0.5*12.73)</f>
        <v>2.8400000000000012</v>
      </c>
      <c r="D75" s="51">
        <f>'LINEST VARS'!$U$56+'LINEST VARS'!$T$56*($D$56)+'LINEST VARS'!$S$56*($B75)+'LINEST VARS'!$R$56*(4)+'LINEST VARS'!$Q$56*(0.5)+'LINEST VARS'!$P$56*(12.73)+'LINEST VARS'!$O$56*($D$56^2)+'LINEST VARS'!$N$56*($B75^2)+'LINEST VARS'!$M$56*(4^2)+'LINEST VARS'!$L$56*(0.5^2)+'LINEST VARS'!$K$56*(12.73^2)+'LINEST VARS'!$J$56*($D$56*$B75)+'LINEST VARS'!$I$56*($D$56*4)+'LINEST VARS'!$H$56*($D$56*0.5)+'LINEST VARS'!$G$56*($D$56*12.73)+'LINEST VARS'!$F$56*($B75*4)+'LINEST VARS'!$E$56*($B75*0.5)+'LINEST VARS'!$D$56*($B75*12.73)+'LINEST VARS'!$C$56*(4*0.5)+'LINEST VARS'!$B$56*(4*12.73)+'LINEST VARS'!$A$56*(0.5*12.73)</f>
        <v>2.8400000000000012</v>
      </c>
      <c r="E75" s="51">
        <f>'LINEST VARS'!$U$56+'LINEST VARS'!$T$56*($E$56)+'LINEST VARS'!$S$56*($B75)+'LINEST VARS'!$R$56*(4)+'LINEST VARS'!$Q$56*(0.5)+'LINEST VARS'!$P$56*(12.73)+'LINEST VARS'!$O$56*($E$56^2)+'LINEST VARS'!$N$56*($B75^2)+'LINEST VARS'!$M$56*(4^2)+'LINEST VARS'!$L$56*(0.5^2)+'LINEST VARS'!$K$56*(12.73^2)+'LINEST VARS'!$J$56*($E$56*$B75)+'LINEST VARS'!$I$56*($E$56*4)+'LINEST VARS'!$H$56*($E$56*0.5)+'LINEST VARS'!$G$56*($E$56*12.73)+'LINEST VARS'!$F$56*($B75*4)+'LINEST VARS'!$E$56*($B75*0.5)+'LINEST VARS'!$D$56*($B75*12.73)+'LINEST VARS'!$C$56*(4*0.5)+'LINEST VARS'!$B$56*(4*12.73)+'LINEST VARS'!$A$56*(0.5*12.73)</f>
        <v>2.8400000000000012</v>
      </c>
      <c r="F75" s="51">
        <f>'LINEST VARS'!$U$56+'LINEST VARS'!$T$56*($F$56)+'LINEST VARS'!$S$56*($B75)+'LINEST VARS'!$R$56*(4)+'LINEST VARS'!$Q$56*(0.5)+'LINEST VARS'!$P$56*(12.73)+'LINEST VARS'!$O$56*($F$56^2)+'LINEST VARS'!$N$56*($B75^2)+'LINEST VARS'!$M$56*(4^2)+'LINEST VARS'!$L$56*(0.5^2)+'LINEST VARS'!$K$56*(12.73^2)+'LINEST VARS'!$J$56*($F$56*$B75)+'LINEST VARS'!$I$56*($F$56*4)+'LINEST VARS'!$H$56*($F$56*0.5)+'LINEST VARS'!$G$56*($F$56*12.73)+'LINEST VARS'!$F$56*($B75*4)+'LINEST VARS'!$E$56*($B75*0.5)+'LINEST VARS'!$D$56*($B75*12.73)+'LINEST VARS'!$C$56*(4*0.5)+'LINEST VARS'!$B$56*(4*12.73)+'LINEST VARS'!$A$56*(0.5*12.73)</f>
        <v>2.8400000000000012</v>
      </c>
      <c r="G75" s="51">
        <f>'LINEST VARS'!$U$56+'LINEST VARS'!$T$56*($G$56)+'LINEST VARS'!$S$56*($B75)+'LINEST VARS'!$R$56*(4)+'LINEST VARS'!$Q$56*(0.5)+'LINEST VARS'!$P$56*(12.73)+'LINEST VARS'!$O$56*($G$56^2)+'LINEST VARS'!$N$56*($B75^2)+'LINEST VARS'!$M$56*(4^2)+'LINEST VARS'!$L$56*(0.5^2)+'LINEST VARS'!$K$56*(12.73^2)+'LINEST VARS'!$J$56*($G$56*$B75)+'LINEST VARS'!$I$56*($G$56*4)+'LINEST VARS'!$H$56*($G$56*0.5)+'LINEST VARS'!$G$56*($G$56*12.73)+'LINEST VARS'!$F$56*($B75*4)+'LINEST VARS'!$E$56*($B75*0.5)+'LINEST VARS'!$D$56*($B75*12.73)+'LINEST VARS'!$C$56*(4*0.5)+'LINEST VARS'!$B$56*(4*12.73)+'LINEST VARS'!$A$56*(0.5*12.73)</f>
        <v>2.8400000000000012</v>
      </c>
      <c r="H75" s="51">
        <f>'LINEST VARS'!$U$56+'LINEST VARS'!$T$56*($H$56)+'LINEST VARS'!$S$56*($B75)+'LINEST VARS'!$R$56*(4)+'LINEST VARS'!$Q$56*(0.5)+'LINEST VARS'!$P$56*(12.73)+'LINEST VARS'!$O$56*($H$56^2)+'LINEST VARS'!$N$56*($B75^2)+'LINEST VARS'!$M$56*(4^2)+'LINEST VARS'!$L$56*(0.5^2)+'LINEST VARS'!$K$56*(12.73^2)+'LINEST VARS'!$J$56*($H$56*$B75)+'LINEST VARS'!$I$56*($H$56*4)+'LINEST VARS'!$H$56*($H$56*0.5)+'LINEST VARS'!$G$56*($H$56*12.73)+'LINEST VARS'!$F$56*($B75*4)+'LINEST VARS'!$E$56*($B75*0.5)+'LINEST VARS'!$D$56*($B75*12.73)+'LINEST VARS'!$C$56*(4*0.5)+'LINEST VARS'!$B$56*(4*12.73)+'LINEST VARS'!$A$56*(0.5*12.73)</f>
        <v>2.8400000000000012</v>
      </c>
      <c r="I75" s="51">
        <f>'LINEST VARS'!$U$56+'LINEST VARS'!$T$56*($I$56)+'LINEST VARS'!$S$56*($B75)+'LINEST VARS'!$R$56*(4)+'LINEST VARS'!$Q$56*(0.5)+'LINEST VARS'!$P$56*(12.73)+'LINEST VARS'!$O$56*($I$56^2)+'LINEST VARS'!$N$56*($B75^2)+'LINEST VARS'!$M$56*(4^2)+'LINEST VARS'!$L$56*(0.5^2)+'LINEST VARS'!$K$56*(12.73^2)+'LINEST VARS'!$J$56*($I$56*$B75)+'LINEST VARS'!$I$56*($I$56*4)+'LINEST VARS'!$H$56*($I$56*0.5)+'LINEST VARS'!$G$56*($I$56*12.73)+'LINEST VARS'!$F$56*($B75*4)+'LINEST VARS'!$E$56*($B75*0.5)+'LINEST VARS'!$D$56*($B75*12.73)+'LINEST VARS'!$C$56*(4*0.5)+'LINEST VARS'!$B$56*(4*12.73)+'LINEST VARS'!$A$56*(0.5*12.73)</f>
        <v>2.8400000000000012</v>
      </c>
      <c r="J75" s="51">
        <f>'LINEST VARS'!$U$56+'LINEST VARS'!$T$56*($J$56)+'LINEST VARS'!$S$56*($B75)+'LINEST VARS'!$R$56*(4)+'LINEST VARS'!$Q$56*(0.5)+'LINEST VARS'!$P$56*(12.73)+'LINEST VARS'!$O$56*($J$56^2)+'LINEST VARS'!$N$56*($B75^2)+'LINEST VARS'!$M$56*(4^2)+'LINEST VARS'!$L$56*(0.5^2)+'LINEST VARS'!$K$56*(12.73^2)+'LINEST VARS'!$J$56*($J$56*$B75)+'LINEST VARS'!$I$56*($J$56*4)+'LINEST VARS'!$H$56*($J$56*0.5)+'LINEST VARS'!$G$56*($J$56*12.73)+'LINEST VARS'!$F$56*($B75*4)+'LINEST VARS'!$E$56*($B75*0.5)+'LINEST VARS'!$D$56*($B75*12.73)+'LINEST VARS'!$C$56*(4*0.5)+'LINEST VARS'!$B$56*(4*12.73)+'LINEST VARS'!$A$56*(0.5*12.73)</f>
        <v>2.8400000000000012</v>
      </c>
      <c r="K75" s="51">
        <f>'LINEST VARS'!$U$56+'LINEST VARS'!$T$56*($K$56)+'LINEST VARS'!$S$56*($B75)+'LINEST VARS'!$R$56*(4)+'LINEST VARS'!$Q$56*(0.5)+'LINEST VARS'!$P$56*(12.73)+'LINEST VARS'!$O$56*($K$56^2)+'LINEST VARS'!$N$56*($B75^2)+'LINEST VARS'!$M$56*(4^2)+'LINEST VARS'!$L$56*(0.5^2)+'LINEST VARS'!$K$56*(12.73^2)+'LINEST VARS'!$J$56*($K$56*$B75)+'LINEST VARS'!$I$56*($K$56*4)+'LINEST VARS'!$H$56*($K$56*0.5)+'LINEST VARS'!$G$56*($K$56*12.73)+'LINEST VARS'!$F$56*($B75*4)+'LINEST VARS'!$E$56*($B75*0.5)+'LINEST VARS'!$D$56*($B75*12.73)+'LINEST VARS'!$C$56*(4*0.5)+'LINEST VARS'!$B$56*(4*12.73)+'LINEST VARS'!$A$56*(0.5*12.73)</f>
        <v>2.8400000000000007</v>
      </c>
      <c r="L75" s="51">
        <f>'LINEST VARS'!$U$56+'LINEST VARS'!$T$56*($L$56)+'LINEST VARS'!$S$56*($B75)+'LINEST VARS'!$R$56*(4)+'LINEST VARS'!$Q$56*(0.5)+'LINEST VARS'!$P$56*(12.73)+'LINEST VARS'!$O$56*($L$56^2)+'LINEST VARS'!$N$56*($B75^2)+'LINEST VARS'!$M$56*(4^2)+'LINEST VARS'!$L$56*(0.5^2)+'LINEST VARS'!$K$56*(12.73^2)+'LINEST VARS'!$J$56*($L$56*$B75)+'LINEST VARS'!$I$56*($L$56*4)+'LINEST VARS'!$H$56*($L$56*0.5)+'LINEST VARS'!$G$56*($L$56*12.73)+'LINEST VARS'!$F$56*($B75*4)+'LINEST VARS'!$E$56*($B75*0.5)+'LINEST VARS'!$D$56*($B75*12.73)+'LINEST VARS'!$C$56*(4*0.5)+'LINEST VARS'!$B$56*(4*12.73)+'LINEST VARS'!$A$56*(0.5*12.73)</f>
        <v>2.8400000000000007</v>
      </c>
      <c r="M75" s="51">
        <f>'LINEST VARS'!$U$56+'LINEST VARS'!$T$56*($M$56)+'LINEST VARS'!$S$56*($B75)+'LINEST VARS'!$R$56*(4)+'LINEST VARS'!$Q$56*(0.5)+'LINEST VARS'!$P$56*(12.73)+'LINEST VARS'!$O$56*($M$56^2)+'LINEST VARS'!$N$56*($B75^2)+'LINEST VARS'!$M$56*(4^2)+'LINEST VARS'!$L$56*(0.5^2)+'LINEST VARS'!$K$56*(12.73^2)+'LINEST VARS'!$J$56*($M$56*$B75)+'LINEST VARS'!$I$56*($M$56*4)+'LINEST VARS'!$H$56*($M$56*0.5)+'LINEST VARS'!$G$56*($M$56*12.73)+'LINEST VARS'!$F$56*($B75*4)+'LINEST VARS'!$E$56*($B75*0.5)+'LINEST VARS'!$D$56*($B75*12.73)+'LINEST VARS'!$C$56*(4*0.5)+'LINEST VARS'!$B$56*(4*12.73)+'LINEST VARS'!$A$56*(0.5*12.73)</f>
        <v>2.8400000000000007</v>
      </c>
      <c r="N75" s="51">
        <f>'LINEST VARS'!$U$56+'LINEST VARS'!$T$56*($N$56)+'LINEST VARS'!$S$56*($B75)+'LINEST VARS'!$R$56*(4)+'LINEST VARS'!$Q$56*(0.5)+'LINEST VARS'!$P$56*(12.73)+'LINEST VARS'!$O$56*($N$56^2)+'LINEST VARS'!$N$56*($B75^2)+'LINEST VARS'!$M$56*(4^2)+'LINEST VARS'!$L$56*(0.5^2)+'LINEST VARS'!$K$56*(12.73^2)+'LINEST VARS'!$J$56*($N$56*$B75)+'LINEST VARS'!$I$56*($N$56*4)+'LINEST VARS'!$H$56*($N$56*0.5)+'LINEST VARS'!$G$56*($N$56*12.73)+'LINEST VARS'!$F$56*($B75*4)+'LINEST VARS'!$E$56*($B75*0.5)+'LINEST VARS'!$D$56*($B75*12.73)+'LINEST VARS'!$C$56*(4*0.5)+'LINEST VARS'!$B$56*(4*12.73)+'LINEST VARS'!$A$56*(0.5*12.73)</f>
        <v>2.8400000000000007</v>
      </c>
      <c r="O75" s="51">
        <f>'LINEST VARS'!$U$56+'LINEST VARS'!$T$56*($O$56)+'LINEST VARS'!$S$56*($B75)+'LINEST VARS'!$R$56*(4)+'LINEST VARS'!$Q$56*(0.5)+'LINEST VARS'!$P$56*(12.73)+'LINEST VARS'!$O$56*($O$56^2)+'LINEST VARS'!$N$56*($B75^2)+'LINEST VARS'!$M$56*(4^2)+'LINEST VARS'!$L$56*(0.5^2)+'LINEST VARS'!$K$56*(12.73^2)+'LINEST VARS'!$J$56*($O$56*$B75)+'LINEST VARS'!$I$56*($O$56*4)+'LINEST VARS'!$H$56*($O$56*0.5)+'LINEST VARS'!$G$56*($O$56*12.73)+'LINEST VARS'!$F$56*($B75*4)+'LINEST VARS'!$E$56*($B75*0.5)+'LINEST VARS'!$D$56*($B75*12.73)+'LINEST VARS'!$C$56*(4*0.5)+'LINEST VARS'!$B$56*(4*12.73)+'LINEST VARS'!$A$56*(0.5*12.73)</f>
        <v>2.8400000000000012</v>
      </c>
      <c r="P75" s="51">
        <f>'LINEST VARS'!$U$56+'LINEST VARS'!$T$56*($P$56)+'LINEST VARS'!$S$56*($B75)+'LINEST VARS'!$R$56*(4)+'LINEST VARS'!$Q$56*(0.5)+'LINEST VARS'!$P$56*(12.73)+'LINEST VARS'!$O$56*($P$56^2)+'LINEST VARS'!$N$56*($B75^2)+'LINEST VARS'!$M$56*(4^2)+'LINEST VARS'!$L$56*(0.5^2)+'LINEST VARS'!$K$56*(12.73^2)+'LINEST VARS'!$J$56*($P$56*$B75)+'LINEST VARS'!$I$56*($P$56*4)+'LINEST VARS'!$H$56*($P$56*0.5)+'LINEST VARS'!$G$56*($P$56*12.73)+'LINEST VARS'!$F$56*($B75*4)+'LINEST VARS'!$E$56*($B75*0.5)+'LINEST VARS'!$D$56*($B75*12.73)+'LINEST VARS'!$C$56*(4*0.5)+'LINEST VARS'!$B$56*(4*12.73)+'LINEST VARS'!$A$56*(0.5*12.73)</f>
        <v>2.8400000000000012</v>
      </c>
      <c r="Q75" s="51">
        <f>'LINEST VARS'!$U$56+'LINEST VARS'!$T$56*($Q$56)+'LINEST VARS'!$S$56*($B75)+'LINEST VARS'!$R$56*(4)+'LINEST VARS'!$Q$56*(0.5)+'LINEST VARS'!$P$56*(12.73)+'LINEST VARS'!$O$56*($Q$56^2)+'LINEST VARS'!$N$56*($B75^2)+'LINEST VARS'!$M$56*(4^2)+'LINEST VARS'!$L$56*(0.5^2)+'LINEST VARS'!$K$56*(12.73^2)+'LINEST VARS'!$J$56*($Q$56*$B75)+'LINEST VARS'!$I$56*($Q$56*4)+'LINEST VARS'!$H$56*($Q$56*0.5)+'LINEST VARS'!$G$56*($Q$56*12.73)+'LINEST VARS'!$F$56*($B75*4)+'LINEST VARS'!$E$56*($B75*0.5)+'LINEST VARS'!$D$56*($B75*12.73)+'LINEST VARS'!$C$56*(4*0.5)+'LINEST VARS'!$B$56*(4*12.73)+'LINEST VARS'!$A$56*(0.5*12.73)</f>
        <v>2.8400000000000012</v>
      </c>
      <c r="R75" s="51">
        <f>'LINEST VARS'!$U$56+'LINEST VARS'!$T$56*($R$56)+'LINEST VARS'!$S$56*($B75)+'LINEST VARS'!$R$56*(4)+'LINEST VARS'!$Q$56*(0.5)+'LINEST VARS'!$P$56*(12.73)+'LINEST VARS'!$O$56*($R$56^2)+'LINEST VARS'!$N$56*($B75^2)+'LINEST VARS'!$M$56*(4^2)+'LINEST VARS'!$L$56*(0.5^2)+'LINEST VARS'!$K$56*(12.73^2)+'LINEST VARS'!$J$56*($R$56*$B75)+'LINEST VARS'!$I$56*($R$56*4)+'LINEST VARS'!$H$56*($R$56*0.5)+'LINEST VARS'!$G$56*($R$56*12.73)+'LINEST VARS'!$F$56*($B75*4)+'LINEST VARS'!$E$56*($B75*0.5)+'LINEST VARS'!$D$56*($B75*12.73)+'LINEST VARS'!$C$56*(4*0.5)+'LINEST VARS'!$B$56*(4*12.73)+'LINEST VARS'!$A$56*(0.5*12.73)</f>
        <v>2.8400000000000012</v>
      </c>
      <c r="S75" s="51">
        <f>'LINEST VARS'!$U$56+'LINEST VARS'!$T$56*($S$56)+'LINEST VARS'!$S$56*($B75)+'LINEST VARS'!$R$56*(4)+'LINEST VARS'!$Q$56*(0.5)+'LINEST VARS'!$P$56*(12.73)+'LINEST VARS'!$O$56*($S$56^2)+'LINEST VARS'!$N$56*($B75^2)+'LINEST VARS'!$M$56*(4^2)+'LINEST VARS'!$L$56*(0.5^2)+'LINEST VARS'!$K$56*(12.73^2)+'LINEST VARS'!$J$56*($S$56*$B75)+'LINEST VARS'!$I$56*($S$56*4)+'LINEST VARS'!$H$56*($S$56*0.5)+'LINEST VARS'!$G$56*($S$56*12.73)+'LINEST VARS'!$F$56*($B75*4)+'LINEST VARS'!$E$56*($B75*0.5)+'LINEST VARS'!$D$56*($B75*12.73)+'LINEST VARS'!$C$56*(4*0.5)+'LINEST VARS'!$B$56*(4*12.73)+'LINEST VARS'!$A$56*(0.5*12.73)</f>
        <v>2.8400000000000012</v>
      </c>
      <c r="T75" s="51">
        <f>'LINEST VARS'!$U$56+'LINEST VARS'!$T$56*($T$56)+'LINEST VARS'!$S$56*($B75)+'LINEST VARS'!$R$56*(4)+'LINEST VARS'!$Q$56*(0.5)+'LINEST VARS'!$P$56*(12.73)+'LINEST VARS'!$O$56*($T$56^2)+'LINEST VARS'!$N$56*($B75^2)+'LINEST VARS'!$M$56*(4^2)+'LINEST VARS'!$L$56*(0.5^2)+'LINEST VARS'!$K$56*(12.73^2)+'LINEST VARS'!$J$56*($T$56*$B75)+'LINEST VARS'!$I$56*($T$56*4)+'LINEST VARS'!$H$56*($T$56*0.5)+'LINEST VARS'!$G$56*($T$56*12.73)+'LINEST VARS'!$F$56*($B75*4)+'LINEST VARS'!$E$56*($B75*0.5)+'LINEST VARS'!$D$56*($B75*12.73)+'LINEST VARS'!$C$56*(4*0.5)+'LINEST VARS'!$B$56*(4*12.73)+'LINEST VARS'!$A$56*(0.5*12.73)</f>
        <v>2.8400000000000012</v>
      </c>
      <c r="U75" s="51">
        <f>'LINEST VARS'!$U$56+'LINEST VARS'!$T$56*($U$56)+'LINEST VARS'!$S$56*($B75)+'LINEST VARS'!$R$56*(4)+'LINEST VARS'!$Q$56*(0.5)+'LINEST VARS'!$P$56*(12.73)+'LINEST VARS'!$O$56*($U$56^2)+'LINEST VARS'!$N$56*($B75^2)+'LINEST VARS'!$M$56*(4^2)+'LINEST VARS'!$L$56*(0.5^2)+'LINEST VARS'!$K$56*(12.73^2)+'LINEST VARS'!$J$56*($U$56*$B75)+'LINEST VARS'!$I$56*($U$56*4)+'LINEST VARS'!$H$56*($U$56*0.5)+'LINEST VARS'!$G$56*($U$56*12.73)+'LINEST VARS'!$F$56*($B75*4)+'LINEST VARS'!$E$56*($B75*0.5)+'LINEST VARS'!$D$56*($B75*12.73)+'LINEST VARS'!$C$56*(4*0.5)+'LINEST VARS'!$B$56*(4*12.73)+'LINEST VARS'!$A$56*(0.5*12.73)</f>
        <v>2.8400000000000012</v>
      </c>
      <c r="V75" s="51">
        <f>'LINEST VARS'!$U$56+'LINEST VARS'!$T$56*($V$56)+'LINEST VARS'!$S$56*($B75)+'LINEST VARS'!$R$56*(4)+'LINEST VARS'!$Q$56*(0.5)+'LINEST VARS'!$P$56*(12.73)+'LINEST VARS'!$O$56*($V$56^2)+'LINEST VARS'!$N$56*($B75^2)+'LINEST VARS'!$M$56*(4^2)+'LINEST VARS'!$L$56*(0.5^2)+'LINEST VARS'!$K$56*(12.73^2)+'LINEST VARS'!$J$56*($V$56*$B75)+'LINEST VARS'!$I$56*($V$56*4)+'LINEST VARS'!$H$56*($V$56*0.5)+'LINEST VARS'!$G$56*($V$56*12.73)+'LINEST VARS'!$F$56*($B75*4)+'LINEST VARS'!$E$56*($B75*0.5)+'LINEST VARS'!$D$56*($B75*12.73)+'LINEST VARS'!$C$56*(4*0.5)+'LINEST VARS'!$B$56*(4*12.73)+'LINEST VARS'!$A$56*(0.5*12.73)</f>
        <v>2.8400000000000012</v>
      </c>
      <c r="W75" s="52">
        <f>'LINEST VARS'!$U$56+'LINEST VARS'!$T$56*($W$56)+'LINEST VARS'!$S$56*($B75)+'LINEST VARS'!$R$56*(4)+'LINEST VARS'!$Q$56*(0.5)+'LINEST VARS'!$P$56*(12.73)+'LINEST VARS'!$O$56*($W$56^2)+'LINEST VARS'!$N$56*($B75^2)+'LINEST VARS'!$M$56*(4^2)+'LINEST VARS'!$L$56*(0.5^2)+'LINEST VARS'!$K$56*(12.73^2)+'LINEST VARS'!$J$56*($W$56*$B75)+'LINEST VARS'!$I$56*($W$56*4)+'LINEST VARS'!$H$56*($W$56*0.5)+'LINEST VARS'!$G$56*($W$56*12.73)+'LINEST VARS'!$F$56*($B75*4)+'LINEST VARS'!$E$56*($B75*0.5)+'LINEST VARS'!$D$56*($B75*12.73)+'LINEST VARS'!$C$56*(4*0.5)+'LINEST VARS'!$B$56*(4*12.73)+'LINEST VARS'!$A$56*(0.5*12.73)</f>
        <v>2.8400000000000012</v>
      </c>
      <c r="Z75" s="45">
        <v>8.48</v>
      </c>
      <c r="AA75" s="51">
        <f>'LINEST VARS'!$U$58+'LINEST VARS'!$T$58*($AA$56)+'LINEST VARS'!$S$58*($Z75)+'LINEST VARS'!$R$58*(4)+'LINEST VARS'!$Q$58*(0.5)+'LINEST VARS'!$P$58*(12.73)+'LINEST VARS'!$O$58*($AA$56^2)+'LINEST VARS'!$N$58*($Z75^2)+'LINEST VARS'!$M$58*(4^2)+'LINEST VARS'!$L$58*(0.5^2)+'LINEST VARS'!$K$58*(12.73^2)+'LINEST VARS'!$J$58*($AA$56*$Z75)+'LINEST VARS'!$I$58*($AA$56*4)+'LINEST VARS'!$H$58*($AA$56*0.5)+'LINEST VARS'!$G$58*($AA$56*12.73)+'LINEST VARS'!$F$58*($Z75*4)+'LINEST VARS'!$E$58*($Z75*0.5)+'LINEST VARS'!$D$58*($Z75*12.73)+'LINEST VARS'!$C$58*(4*0.5)+'LINEST VARS'!$B$58*(4*12.73)+'LINEST VARS'!$A$58*(0.5*12.73)</f>
        <v>0.9436500000000001</v>
      </c>
      <c r="AB75" s="51">
        <f>'LINEST VARS'!$U$58+'LINEST VARS'!$T$58*($AB$56)+'LINEST VARS'!$S$58*($Z75)+'LINEST VARS'!$R$58*(4)+'LINEST VARS'!$Q$58*(0.5)+'LINEST VARS'!$P$58*(12.73)+'LINEST VARS'!$O$58*($AB$56^2)+'LINEST VARS'!$N$58*($Z75^2)+'LINEST VARS'!$M$58*(4^2)+'LINEST VARS'!$L$58*(0.5^2)+'LINEST VARS'!$K$58*(12.73^2)+'LINEST VARS'!$J$58*($AB$56*$Z75)+'LINEST VARS'!$I$58*($AB$56*4)+'LINEST VARS'!$H$58*($AB$56*0.5)+'LINEST VARS'!$G$58*($AB$56*12.73)+'LINEST VARS'!$F$58*($Z75*4)+'LINEST VARS'!$E$58*($Z75*0.5)+'LINEST VARS'!$D$58*($Z75*12.73)+'LINEST VARS'!$C$58*(4*0.5)+'LINEST VARS'!$B$58*(4*12.73)+'LINEST VARS'!$A$58*(0.5*12.73)</f>
        <v>0.9436500000000001</v>
      </c>
      <c r="AC75" s="51">
        <f>'LINEST VARS'!$U$58+'LINEST VARS'!$T$58*($AC$56)+'LINEST VARS'!$S$58*($Z75)+'LINEST VARS'!$R$58*(4)+'LINEST VARS'!$Q$58*(0.5)+'LINEST VARS'!$P$58*(12.73)+'LINEST VARS'!$O$58*($AC$56^2)+'LINEST VARS'!$N$58*($Z75^2)+'LINEST VARS'!$M$58*(4^2)+'LINEST VARS'!$L$58*(0.5^2)+'LINEST VARS'!$K$58*(12.73^2)+'LINEST VARS'!$J$58*($AC$56*$Z75)+'LINEST VARS'!$I$58*($AC$56*4)+'LINEST VARS'!$H$58*($AC$56*0.5)+'LINEST VARS'!$G$58*($AC$56*12.73)+'LINEST VARS'!$F$58*($Z75*4)+'LINEST VARS'!$E$58*($Z75*0.5)+'LINEST VARS'!$D$58*($Z75*12.73)+'LINEST VARS'!$C$58*(4*0.5)+'LINEST VARS'!$B$58*(4*12.73)+'LINEST VARS'!$A$58*(0.5*12.73)</f>
        <v>0.94365000000000021</v>
      </c>
      <c r="AD75" s="51">
        <f>'LINEST VARS'!$U$58+'LINEST VARS'!$T$58*($AD$56)+'LINEST VARS'!$S$58*($Z75)+'LINEST VARS'!$R$58*(4)+'LINEST VARS'!$Q$58*(0.5)+'LINEST VARS'!$P$58*(12.73)+'LINEST VARS'!$O$58*($AD$56^2)+'LINEST VARS'!$N$58*($Z75^2)+'LINEST VARS'!$M$58*(4^2)+'LINEST VARS'!$L$58*(0.5^2)+'LINEST VARS'!$K$58*(12.73^2)+'LINEST VARS'!$J$58*($AD$56*$Z75)+'LINEST VARS'!$I$58*($AD$56*4)+'LINEST VARS'!$H$58*($AD$56*0.5)+'LINEST VARS'!$G$58*($AD$56*12.73)+'LINEST VARS'!$F$58*($Z75*4)+'LINEST VARS'!$E$58*($Z75*0.5)+'LINEST VARS'!$D$58*($Z75*12.73)+'LINEST VARS'!$C$58*(4*0.5)+'LINEST VARS'!$B$58*(4*12.73)+'LINEST VARS'!$A$58*(0.5*12.73)</f>
        <v>0.94365000000000021</v>
      </c>
      <c r="AE75" s="51">
        <f>'LINEST VARS'!$U$58+'LINEST VARS'!$T$58*($AE$56)+'LINEST VARS'!$S$58*($Z75)+'LINEST VARS'!$R$58*(4)+'LINEST VARS'!$Q$58*(0.5)+'LINEST VARS'!$P$58*(12.73)+'LINEST VARS'!$O$58*($AE$56^2)+'LINEST VARS'!$N$58*($Z75^2)+'LINEST VARS'!$M$58*(4^2)+'LINEST VARS'!$L$58*(0.5^2)+'LINEST VARS'!$K$58*(12.73^2)+'LINEST VARS'!$J$58*($AE$56*$Z75)+'LINEST VARS'!$I$58*($AE$56*4)+'LINEST VARS'!$H$58*($AE$56*0.5)+'LINEST VARS'!$G$58*($AE$56*12.73)+'LINEST VARS'!$F$58*($Z75*4)+'LINEST VARS'!$E$58*($Z75*0.5)+'LINEST VARS'!$D$58*($Z75*12.73)+'LINEST VARS'!$C$58*(4*0.5)+'LINEST VARS'!$B$58*(4*12.73)+'LINEST VARS'!$A$58*(0.5*12.73)</f>
        <v>0.94365000000000021</v>
      </c>
      <c r="AF75" s="51">
        <f>'LINEST VARS'!$U$58+'LINEST VARS'!$T$58*($AF$56)+'LINEST VARS'!$S$58*($Z75)+'LINEST VARS'!$R$58*(4)+'LINEST VARS'!$Q$58*(0.5)+'LINEST VARS'!$P$58*(12.73)+'LINEST VARS'!$O$58*($AF$56^2)+'LINEST VARS'!$N$58*($Z75^2)+'LINEST VARS'!$M$58*(4^2)+'LINEST VARS'!$L$58*(0.5^2)+'LINEST VARS'!$K$58*(12.73^2)+'LINEST VARS'!$J$58*($AF$56*$Z75)+'LINEST VARS'!$I$58*($AF$56*4)+'LINEST VARS'!$H$58*($AF$56*0.5)+'LINEST VARS'!$G$58*($AF$56*12.73)+'LINEST VARS'!$F$58*($Z75*4)+'LINEST VARS'!$E$58*($Z75*0.5)+'LINEST VARS'!$D$58*($Z75*12.73)+'LINEST VARS'!$C$58*(4*0.5)+'LINEST VARS'!$B$58*(4*12.73)+'LINEST VARS'!$A$58*(0.5*12.73)</f>
        <v>0.94365000000000021</v>
      </c>
      <c r="AG75" s="51">
        <f>'LINEST VARS'!$U$58+'LINEST VARS'!$T$58*($AG$56)+'LINEST VARS'!$S$58*($Z75)+'LINEST VARS'!$R$58*(4)+'LINEST VARS'!$Q$58*(0.5)+'LINEST VARS'!$P$58*(12.73)+'LINEST VARS'!$O$58*($AG$56^2)+'LINEST VARS'!$N$58*($Z75^2)+'LINEST VARS'!$M$58*(4^2)+'LINEST VARS'!$L$58*(0.5^2)+'LINEST VARS'!$K$58*(12.73^2)+'LINEST VARS'!$J$58*($AG$56*$Z75)+'LINEST VARS'!$I$58*($AG$56*4)+'LINEST VARS'!$H$58*($AG$56*0.5)+'LINEST VARS'!$G$58*($AG$56*12.73)+'LINEST VARS'!$F$58*($Z75*4)+'LINEST VARS'!$E$58*($Z75*0.5)+'LINEST VARS'!$D$58*($Z75*12.73)+'LINEST VARS'!$C$58*(4*0.5)+'LINEST VARS'!$B$58*(4*12.73)+'LINEST VARS'!$A$58*(0.5*12.73)</f>
        <v>0.94365000000000021</v>
      </c>
      <c r="AH75" s="51">
        <f>'LINEST VARS'!$U$58+'LINEST VARS'!$T$58*($AH$56)+'LINEST VARS'!$S$58*($Z75)+'LINEST VARS'!$R$58*(4)+'LINEST VARS'!$Q$58*(0.5)+'LINEST VARS'!$P$58*(12.73)+'LINEST VARS'!$O$58*($AH$56^2)+'LINEST VARS'!$N$58*($Z75^2)+'LINEST VARS'!$M$58*(4^2)+'LINEST VARS'!$L$58*(0.5^2)+'LINEST VARS'!$K$58*(12.73^2)+'LINEST VARS'!$J$58*($AH$56*$Z75)+'LINEST VARS'!$I$58*($AH$56*4)+'LINEST VARS'!$H$58*($AH$56*0.5)+'LINEST VARS'!$G$58*($AH$56*12.73)+'LINEST VARS'!$F$58*($Z75*4)+'LINEST VARS'!$E$58*($Z75*0.5)+'LINEST VARS'!$D$58*($Z75*12.73)+'LINEST VARS'!$C$58*(4*0.5)+'LINEST VARS'!$B$58*(4*12.73)+'LINEST VARS'!$A$58*(0.5*12.73)</f>
        <v>0.94365000000000021</v>
      </c>
      <c r="AI75" s="51">
        <f>'LINEST VARS'!$U$58+'LINEST VARS'!$T$58*($AI$56)+'LINEST VARS'!$S$58*($Z75)+'LINEST VARS'!$R$58*(4)+'LINEST VARS'!$Q$58*(0.5)+'LINEST VARS'!$P$58*(12.73)+'LINEST VARS'!$O$58*($AI$56^2)+'LINEST VARS'!$N$58*($Z75^2)+'LINEST VARS'!$M$58*(4^2)+'LINEST VARS'!$L$58*(0.5^2)+'LINEST VARS'!$K$58*(12.73^2)+'LINEST VARS'!$J$58*($AI$56*$Z75)+'LINEST VARS'!$I$58*($AI$56*4)+'LINEST VARS'!$H$58*($AI$56*0.5)+'LINEST VARS'!$G$58*($AI$56*12.73)+'LINEST VARS'!$F$58*($Z75*4)+'LINEST VARS'!$E$58*($Z75*0.5)+'LINEST VARS'!$D$58*($Z75*12.73)+'LINEST VARS'!$C$58*(4*0.5)+'LINEST VARS'!$B$58*(4*12.73)+'LINEST VARS'!$A$58*(0.5*12.73)</f>
        <v>0.9436500000000001</v>
      </c>
      <c r="AJ75" s="51">
        <f>'LINEST VARS'!$U$58+'LINEST VARS'!$T$58*($AJ$56)+'LINEST VARS'!$S$58*($Z75)+'LINEST VARS'!$R$58*(4)+'LINEST VARS'!$Q$58*(0.5)+'LINEST VARS'!$P$58*(12.73)+'LINEST VARS'!$O$58*($AJ$56^2)+'LINEST VARS'!$N$58*($Z75^2)+'LINEST VARS'!$M$58*(4^2)+'LINEST VARS'!$L$58*(0.5^2)+'LINEST VARS'!$K$58*(12.73^2)+'LINEST VARS'!$J$58*($AJ$56*$Z75)+'LINEST VARS'!$I$58*($AJ$56*4)+'LINEST VARS'!$H$58*($AJ$56*0.5)+'LINEST VARS'!$G$58*($AJ$56*12.73)+'LINEST VARS'!$F$58*($Z75*4)+'LINEST VARS'!$E$58*($Z75*0.5)+'LINEST VARS'!$D$58*($Z75*12.73)+'LINEST VARS'!$C$58*(4*0.5)+'LINEST VARS'!$B$58*(4*12.73)+'LINEST VARS'!$A$58*(0.5*12.73)</f>
        <v>0.9436500000000001</v>
      </c>
      <c r="AK75" s="51">
        <f>'LINEST VARS'!$U$58+'LINEST VARS'!$T$58*($AK$56)+'LINEST VARS'!$S$58*($Z75)+'LINEST VARS'!$R$58*(4)+'LINEST VARS'!$Q$58*(0.5)+'LINEST VARS'!$P$58*(12.73)+'LINEST VARS'!$O$58*($AK$56^2)+'LINEST VARS'!$N$58*($Z75^2)+'LINEST VARS'!$M$58*(4^2)+'LINEST VARS'!$L$58*(0.5^2)+'LINEST VARS'!$K$58*(12.73^2)+'LINEST VARS'!$J$58*($AK$56*$Z75)+'LINEST VARS'!$I$58*($AK$56*4)+'LINEST VARS'!$H$58*($AK$56*0.5)+'LINEST VARS'!$G$58*($AK$56*12.73)+'LINEST VARS'!$F$58*($Z75*4)+'LINEST VARS'!$E$58*($Z75*0.5)+'LINEST VARS'!$D$58*($Z75*12.73)+'LINEST VARS'!$C$58*(4*0.5)+'LINEST VARS'!$B$58*(4*12.73)+'LINEST VARS'!$A$58*(0.5*12.73)</f>
        <v>0.9436500000000001</v>
      </c>
      <c r="AL75" s="51">
        <f>'LINEST VARS'!$U$58+'LINEST VARS'!$T$58*($AL$56)+'LINEST VARS'!$S$58*($Z75)+'LINEST VARS'!$R$58*(4)+'LINEST VARS'!$Q$58*(0.5)+'LINEST VARS'!$P$58*(12.73)+'LINEST VARS'!$O$58*($AL$56^2)+'LINEST VARS'!$N$58*($Z75^2)+'LINEST VARS'!$M$58*(4^2)+'LINEST VARS'!$L$58*(0.5^2)+'LINEST VARS'!$K$58*(12.73^2)+'LINEST VARS'!$J$58*($AL$56*$Z75)+'LINEST VARS'!$I$58*($AL$56*4)+'LINEST VARS'!$H$58*($AL$56*0.5)+'LINEST VARS'!$G$58*($AL$56*12.73)+'LINEST VARS'!$F$58*($Z75*4)+'LINEST VARS'!$E$58*($Z75*0.5)+'LINEST VARS'!$D$58*($Z75*12.73)+'LINEST VARS'!$C$58*(4*0.5)+'LINEST VARS'!$B$58*(4*12.73)+'LINEST VARS'!$A$58*(0.5*12.73)</f>
        <v>0.94365000000000021</v>
      </c>
      <c r="AM75" s="51">
        <f>'LINEST VARS'!$U$58+'LINEST VARS'!$T$58*($AM$56)+'LINEST VARS'!$S$58*($Z75)+'LINEST VARS'!$R$58*(4)+'LINEST VARS'!$Q$58*(0.5)+'LINEST VARS'!$P$58*(12.73)+'LINEST VARS'!$O$58*($AM$56^2)+'LINEST VARS'!$N$58*($Z75^2)+'LINEST VARS'!$M$58*(4^2)+'LINEST VARS'!$L$58*(0.5^2)+'LINEST VARS'!$K$58*(12.73^2)+'LINEST VARS'!$J$58*($AM$56*$Z75)+'LINEST VARS'!$I$58*($AM$56*4)+'LINEST VARS'!$H$58*($AM$56*0.5)+'LINEST VARS'!$G$58*($AM$56*12.73)+'LINEST VARS'!$F$58*($Z75*4)+'LINEST VARS'!$E$58*($Z75*0.5)+'LINEST VARS'!$D$58*($Z75*12.73)+'LINEST VARS'!$C$58*(4*0.5)+'LINEST VARS'!$B$58*(4*12.73)+'LINEST VARS'!$A$58*(0.5*12.73)</f>
        <v>0.9436500000000001</v>
      </c>
      <c r="AN75" s="51">
        <f>'LINEST VARS'!$U$58+'LINEST VARS'!$T$58*($AN$56)+'LINEST VARS'!$S$58*($Z75)+'LINEST VARS'!$R$58*(4)+'LINEST VARS'!$Q$58*(0.5)+'LINEST VARS'!$P$58*(12.73)+'LINEST VARS'!$O$58*($AN$56^2)+'LINEST VARS'!$N$58*($Z75^2)+'LINEST VARS'!$M$58*(4^2)+'LINEST VARS'!$L$58*(0.5^2)+'LINEST VARS'!$K$58*(12.73^2)+'LINEST VARS'!$J$58*($AN$56*$Z75)+'LINEST VARS'!$I$58*($AN$56*4)+'LINEST VARS'!$H$58*($AN$56*0.5)+'LINEST VARS'!$G$58*($AN$56*12.73)+'LINEST VARS'!$F$58*($Z75*4)+'LINEST VARS'!$E$58*($Z75*0.5)+'LINEST VARS'!$D$58*($Z75*12.73)+'LINEST VARS'!$C$58*(4*0.5)+'LINEST VARS'!$B$58*(4*12.73)+'LINEST VARS'!$A$58*(0.5*12.73)</f>
        <v>0.9436500000000001</v>
      </c>
      <c r="AO75" s="51">
        <f>'LINEST VARS'!$U$58+'LINEST VARS'!$T$58*($AO$56)+'LINEST VARS'!$S$58*($Z75)+'LINEST VARS'!$R$58*(4)+'LINEST VARS'!$Q$58*(0.5)+'LINEST VARS'!$P$58*(12.73)+'LINEST VARS'!$O$58*($AO$56^2)+'LINEST VARS'!$N$58*($Z75^2)+'LINEST VARS'!$M$58*(4^2)+'LINEST VARS'!$L$58*(0.5^2)+'LINEST VARS'!$K$58*(12.73^2)+'LINEST VARS'!$J$58*($AO$56*$Z75)+'LINEST VARS'!$I$58*($AO$56*4)+'LINEST VARS'!$H$58*($AO$56*0.5)+'LINEST VARS'!$G$58*($AO$56*12.73)+'LINEST VARS'!$F$58*($Z75*4)+'LINEST VARS'!$E$58*($Z75*0.5)+'LINEST VARS'!$D$58*($Z75*12.73)+'LINEST VARS'!$C$58*(4*0.5)+'LINEST VARS'!$B$58*(4*12.73)+'LINEST VARS'!$A$58*(0.5*12.73)</f>
        <v>0.9436500000000001</v>
      </c>
      <c r="AP75" s="51">
        <f>'LINEST VARS'!$U$58+'LINEST VARS'!$T$58*($AP$56)+'LINEST VARS'!$S$58*($Z75)+'LINEST VARS'!$R$58*(4)+'LINEST VARS'!$Q$58*(0.5)+'LINEST VARS'!$P$58*(12.73)+'LINEST VARS'!$O$58*($AP$56^2)+'LINEST VARS'!$N$58*($Z75^2)+'LINEST VARS'!$M$58*(4^2)+'LINEST VARS'!$L$58*(0.5^2)+'LINEST VARS'!$K$58*(12.73^2)+'LINEST VARS'!$J$58*($AP$56*$Z75)+'LINEST VARS'!$I$58*($AP$56*4)+'LINEST VARS'!$H$58*($AP$56*0.5)+'LINEST VARS'!$G$58*($AP$56*12.73)+'LINEST VARS'!$F$58*($Z75*4)+'LINEST VARS'!$E$58*($Z75*0.5)+'LINEST VARS'!$D$58*($Z75*12.73)+'LINEST VARS'!$C$58*(4*0.5)+'LINEST VARS'!$B$58*(4*12.73)+'LINEST VARS'!$A$58*(0.5*12.73)</f>
        <v>0.9436500000000001</v>
      </c>
      <c r="AQ75" s="51">
        <f>'LINEST VARS'!$U$58+'LINEST VARS'!$T$58*($AQ$56)+'LINEST VARS'!$S$58*($Z75)+'LINEST VARS'!$R$58*(4)+'LINEST VARS'!$Q$58*(0.5)+'LINEST VARS'!$P$58*(12.73)+'LINEST VARS'!$O$58*($AQ$56^2)+'LINEST VARS'!$N$58*($Z75^2)+'LINEST VARS'!$M$58*(4^2)+'LINEST VARS'!$L$58*(0.5^2)+'LINEST VARS'!$K$58*(12.73^2)+'LINEST VARS'!$J$58*($AQ$56*$Z75)+'LINEST VARS'!$I$58*($AQ$56*4)+'LINEST VARS'!$H$58*($AQ$56*0.5)+'LINEST VARS'!$G$58*($AQ$56*12.73)+'LINEST VARS'!$F$58*($Z75*4)+'LINEST VARS'!$E$58*($Z75*0.5)+'LINEST VARS'!$D$58*($Z75*12.73)+'LINEST VARS'!$C$58*(4*0.5)+'LINEST VARS'!$B$58*(4*12.73)+'LINEST VARS'!$A$58*(0.5*12.73)</f>
        <v>0.9436500000000001</v>
      </c>
      <c r="AR75" s="51">
        <f>'LINEST VARS'!$U$58+'LINEST VARS'!$T$58*($AR$56)+'LINEST VARS'!$S$58*($Z75)+'LINEST VARS'!$R$58*(4)+'LINEST VARS'!$Q$58*(0.5)+'LINEST VARS'!$P$58*(12.73)+'LINEST VARS'!$O$58*($AR$56^2)+'LINEST VARS'!$N$58*($Z75^2)+'LINEST VARS'!$M$58*(4^2)+'LINEST VARS'!$L$58*(0.5^2)+'LINEST VARS'!$K$58*(12.73^2)+'LINEST VARS'!$J$58*($AR$56*$Z75)+'LINEST VARS'!$I$58*($AR$56*4)+'LINEST VARS'!$H$58*($AR$56*0.5)+'LINEST VARS'!$G$58*($AR$56*12.73)+'LINEST VARS'!$F$58*($Z75*4)+'LINEST VARS'!$E$58*($Z75*0.5)+'LINEST VARS'!$D$58*($Z75*12.73)+'LINEST VARS'!$C$58*(4*0.5)+'LINEST VARS'!$B$58*(4*12.73)+'LINEST VARS'!$A$58*(0.5*12.73)</f>
        <v>0.9436500000000001</v>
      </c>
      <c r="AS75" s="51">
        <f>'LINEST VARS'!$U$58+'LINEST VARS'!$T$58*($AS$56)+'LINEST VARS'!$S$58*($Z75)+'LINEST VARS'!$R$58*(4)+'LINEST VARS'!$Q$58*(0.5)+'LINEST VARS'!$P$58*(12.73)+'LINEST VARS'!$O$58*($AS$56^2)+'LINEST VARS'!$N$58*($Z75^2)+'LINEST VARS'!$M$58*(4^2)+'LINEST VARS'!$L$58*(0.5^2)+'LINEST VARS'!$K$58*(12.73^2)+'LINEST VARS'!$J$58*($AS$56*$Z75)+'LINEST VARS'!$I$58*($AS$56*4)+'LINEST VARS'!$H$58*($AS$56*0.5)+'LINEST VARS'!$G$58*($AS$56*12.73)+'LINEST VARS'!$F$58*($Z75*4)+'LINEST VARS'!$E$58*($Z75*0.5)+'LINEST VARS'!$D$58*($Z75*12.73)+'LINEST VARS'!$C$58*(4*0.5)+'LINEST VARS'!$B$58*(4*12.73)+'LINEST VARS'!$A$58*(0.5*12.73)</f>
        <v>0.9436500000000001</v>
      </c>
      <c r="AT75" s="51">
        <f>'LINEST VARS'!$U$58+'LINEST VARS'!$T$58*($AT$56)+'LINEST VARS'!$S$58*($Z75)+'LINEST VARS'!$R$58*(4)+'LINEST VARS'!$Q$58*(0.5)+'LINEST VARS'!$P$58*(12.73)+'LINEST VARS'!$O$58*($AT$56^2)+'LINEST VARS'!$N$58*($Z75^2)+'LINEST VARS'!$M$58*(4^2)+'LINEST VARS'!$L$58*(0.5^2)+'LINEST VARS'!$K$58*(12.73^2)+'LINEST VARS'!$J$58*($AT$56*$Z75)+'LINEST VARS'!$I$58*($AT$56*4)+'LINEST VARS'!$H$58*($AT$56*0.5)+'LINEST VARS'!$G$58*($AT$56*12.73)+'LINEST VARS'!$F$58*($Z75*4)+'LINEST VARS'!$E$58*($Z75*0.5)+'LINEST VARS'!$D$58*($Z75*12.73)+'LINEST VARS'!$C$58*(4*0.5)+'LINEST VARS'!$B$58*(4*12.73)+'LINEST VARS'!$A$58*(0.5*12.73)</f>
        <v>0.94365000000000021</v>
      </c>
      <c r="AU75" s="52">
        <f>'LINEST VARS'!$U$58+'LINEST VARS'!$T$58*($AU$56)+'LINEST VARS'!$S$58*($Z75)+'LINEST VARS'!$R$58*(4)+'LINEST VARS'!$Q$58*(0.5)+'LINEST VARS'!$P$58*(12.73)+'LINEST VARS'!$O$58*($AU$56^2)+'LINEST VARS'!$N$58*($Z75^2)+'LINEST VARS'!$M$58*(4^2)+'LINEST VARS'!$L$58*(0.5^2)+'LINEST VARS'!$K$58*(12.73^2)+'LINEST VARS'!$J$58*($AU$56*$Z75)+'LINEST VARS'!$I$58*($AU$56*4)+'LINEST VARS'!$H$58*($AU$56*0.5)+'LINEST VARS'!$G$58*($AU$56*12.73)+'LINEST VARS'!$F$58*($Z75*4)+'LINEST VARS'!$E$58*($Z75*0.5)+'LINEST VARS'!$D$58*($Z75*12.73)+'LINEST VARS'!$C$58*(4*0.5)+'LINEST VARS'!$B$58*(4*12.73)+'LINEST VARS'!$A$58*(0.5*12.73)</f>
        <v>0.9436500000000001</v>
      </c>
      <c r="AZ75" s="45">
        <v>0.9</v>
      </c>
      <c r="BA75" s="51">
        <f>'LINEST VARS'!$U$56+'LINEST VARS'!$T$56*(8)+'LINEST VARS'!$S$56*(8)+'LINEST VARS'!$R$56*($BA$56)+'LINEST VARS'!$Q$56*($AZ75)+'LINEST VARS'!$P$56*(12.73)+'LINEST VARS'!$O$56*(8^2)+'LINEST VARS'!$N$56*(8^2)+'LINEST VARS'!$M$56*($BA$56^2)+'LINEST VARS'!$L$56*($AZ75^2)+'LINEST VARS'!$K$56*(12.73^2)+'LINEST VARS'!$J$56*(8*8)+'LINEST VARS'!$I$56*(8*$BA$56)+'LINEST VARS'!$H$56*(8*$AZ75)+'LINEST VARS'!$G$56*(8*12.73)+'LINEST VARS'!$F$56*(8*$BA$56)+'LINEST VARS'!$E$56*(8*$AZ75)+'LINEST VARS'!$D$56*(8*12.73)+'LINEST VARS'!$C$56*($BA$56*$AZ75)+'LINEST VARS'!$B$56*($BA$56*12.73)+'LINEST VARS'!$A$56*($AZ75*12.73)</f>
        <v>2.8000000000000012</v>
      </c>
      <c r="BB75" s="51">
        <f>'LINEST VARS'!$U$56+'LINEST VARS'!$T$56*(8)+'LINEST VARS'!$S$56*(8)+'LINEST VARS'!$R$56*($BB$56)+'LINEST VARS'!$Q$56*($AZ75)+'LINEST VARS'!$P$56*(12.73)+'LINEST VARS'!$O$56*(8^2)+'LINEST VARS'!$N$56*(8^2)+'LINEST VARS'!$M$56*($BB$56^2)+'LINEST VARS'!$L$56*($AZ75^2)+'LINEST VARS'!$K$56*(12.73^2)+'LINEST VARS'!$J$56*(8*8)+'LINEST VARS'!$I$56*(8*$BB$56)+'LINEST VARS'!$H$56*(8*$AZ75)+'LINEST VARS'!$G$56*(8*12.73)+'LINEST VARS'!$F$56*(8*$BB$56)+'LINEST VARS'!$E$56*(8*$AZ75)+'LINEST VARS'!$D$56*(8*12.73)+'LINEST VARS'!$C$56*($BB$56*$AZ75)+'LINEST VARS'!$B$56*($BB$56*12.73)+'LINEST VARS'!$A$56*($AZ75*12.73)</f>
        <v>2.8184000000000013</v>
      </c>
      <c r="BC75" s="51">
        <f>'LINEST VARS'!$U$56+'LINEST VARS'!$T$56*(8)+'LINEST VARS'!$S$56*(8)+'LINEST VARS'!$R$56*($BC$56)+'LINEST VARS'!$Q$56*($AZ75)+'LINEST VARS'!$P$56*(12.73)+'LINEST VARS'!$O$56*(8^2)+'LINEST VARS'!$N$56*(8^2)+'LINEST VARS'!$M$56*($BC$56^2)+'LINEST VARS'!$L$56*($AZ75^2)+'LINEST VARS'!$K$56*(12.73^2)+'LINEST VARS'!$J$56*(8*8)+'LINEST VARS'!$I$56*(8*$BC$56)+'LINEST VARS'!$H$56*(8*$AZ75)+'LINEST VARS'!$G$56*(8*12.73)+'LINEST VARS'!$F$56*(8*$BC$56)+'LINEST VARS'!$E$56*(8*$AZ75)+'LINEST VARS'!$D$56*(8*12.73)+'LINEST VARS'!$C$56*($BC$56*$AZ75)+'LINEST VARS'!$B$56*($BC$56*12.73)+'LINEST VARS'!$A$56*($AZ75*12.73)</f>
        <v>2.833600000000001</v>
      </c>
      <c r="BD75" s="51">
        <f>'LINEST VARS'!$U$56+'LINEST VARS'!$T$56*(8)+'LINEST VARS'!$S$56*(8)+'LINEST VARS'!$R$56*($BD$56)+'LINEST VARS'!$Q$56*($AZ75)+'LINEST VARS'!$P$56*(12.73)+'LINEST VARS'!$O$56*(8^2)+'LINEST VARS'!$N$56*(8^2)+'LINEST VARS'!$M$56*($BD$56^2)+'LINEST VARS'!$L$56*($AZ75^2)+'LINEST VARS'!$K$56*(12.73^2)+'LINEST VARS'!$J$56*(8*8)+'LINEST VARS'!$I$56*(8*$BD$56)+'LINEST VARS'!$H$56*(8*$AZ75)+'LINEST VARS'!$G$56*(8*12.73)+'LINEST VARS'!$F$56*(8*$BD$56)+'LINEST VARS'!$E$56*(8*$AZ75)+'LINEST VARS'!$D$56*(8*12.73)+'LINEST VARS'!$C$56*($BD$56*$AZ75)+'LINEST VARS'!$B$56*($BD$56*12.73)+'LINEST VARS'!$A$56*($AZ75*12.73)</f>
        <v>2.845600000000001</v>
      </c>
      <c r="BE75" s="51">
        <f>'LINEST VARS'!$U$56+'LINEST VARS'!$T$56*(8)+'LINEST VARS'!$S$56*(8)+'LINEST VARS'!$R$56*($BE$56)+'LINEST VARS'!$Q$56*($AZ75)+'LINEST VARS'!$P$56*(12.73)+'LINEST VARS'!$O$56*(8^2)+'LINEST VARS'!$N$56*(8^2)+'LINEST VARS'!$M$56*($BE$56^2)+'LINEST VARS'!$L$56*($AZ75^2)+'LINEST VARS'!$K$56*(12.73^2)+'LINEST VARS'!$J$56*(8*8)+'LINEST VARS'!$I$56*(8*$BE$56)+'LINEST VARS'!$H$56*(8*$AZ75)+'LINEST VARS'!$G$56*(8*12.73)+'LINEST VARS'!$F$56*(8*$BE$56)+'LINEST VARS'!$E$56*(8*$AZ75)+'LINEST VARS'!$D$56*(8*12.73)+'LINEST VARS'!$C$56*($BE$56*$AZ75)+'LINEST VARS'!$B$56*($BE$56*12.73)+'LINEST VARS'!$A$56*($AZ75*12.73)</f>
        <v>2.8544000000000014</v>
      </c>
      <c r="BF75" s="51">
        <f>'LINEST VARS'!$U$56+'LINEST VARS'!$T$56*(8)+'LINEST VARS'!$S$56*(8)+'LINEST VARS'!$R$56*($BF$56)+'LINEST VARS'!$Q$56*($AZ75)+'LINEST VARS'!$P$56*(12.73)+'LINEST VARS'!$O$56*(8^2)+'LINEST VARS'!$N$56*(8^2)+'LINEST VARS'!$M$56*($BF$56^2)+'LINEST VARS'!$L$56*($AZ75^2)+'LINEST VARS'!$K$56*(12.73^2)+'LINEST VARS'!$J$56*(8*8)+'LINEST VARS'!$I$56*(8*$BF$56)+'LINEST VARS'!$H$56*(8*$AZ75)+'LINEST VARS'!$G$56*(8*12.73)+'LINEST VARS'!$F$56*(8*$BF$56)+'LINEST VARS'!$E$56*(8*$AZ75)+'LINEST VARS'!$D$56*(8*12.73)+'LINEST VARS'!$C$56*($BF$56*$AZ75)+'LINEST VARS'!$B$56*($BF$56*12.73)+'LINEST VARS'!$A$56*($AZ75*12.73)</f>
        <v>2.8600000000000012</v>
      </c>
      <c r="BG75" s="51">
        <f>'LINEST VARS'!$U$56+'LINEST VARS'!$T$56*(8)+'LINEST VARS'!$S$56*(8)+'LINEST VARS'!$R$56*($BG$56)+'LINEST VARS'!$Q$56*($AZ75)+'LINEST VARS'!$P$56*(12.73)+'LINEST VARS'!$O$56*(8^2)+'LINEST VARS'!$N$56*(8^2)+'LINEST VARS'!$M$56*($BG$56^2)+'LINEST VARS'!$L$56*($AZ75^2)+'LINEST VARS'!$K$56*(12.73^2)+'LINEST VARS'!$J$56*(8*8)+'LINEST VARS'!$I$56*(8*$BG$56)+'LINEST VARS'!$H$56*(8*$AZ75)+'LINEST VARS'!$G$56*(8*12.73)+'LINEST VARS'!$F$56*(8*$BG$56)+'LINEST VARS'!$E$56*(8*$AZ75)+'LINEST VARS'!$D$56*(8*12.73)+'LINEST VARS'!$C$56*($BG$56*$AZ75)+'LINEST VARS'!$B$56*($BG$56*12.73)+'LINEST VARS'!$A$56*($AZ75*12.73)</f>
        <v>2.8624000000000014</v>
      </c>
      <c r="BH75" s="51">
        <f>'LINEST VARS'!$U$56+'LINEST VARS'!$T$56*(8)+'LINEST VARS'!$S$56*(8)+'LINEST VARS'!$R$56*($BH$56)+'LINEST VARS'!$Q$56*($AZ75)+'LINEST VARS'!$P$56*(12.73)+'LINEST VARS'!$O$56*(8^2)+'LINEST VARS'!$N$56*(8^2)+'LINEST VARS'!$M$56*($BH$56^2)+'LINEST VARS'!$L$56*($AZ75^2)+'LINEST VARS'!$K$56*(12.73^2)+'LINEST VARS'!$J$56*(8*8)+'LINEST VARS'!$I$56*(8*$BH$56)+'LINEST VARS'!$H$56*(8*$AZ75)+'LINEST VARS'!$G$56*(8*12.73)+'LINEST VARS'!$F$56*(8*$BH$56)+'LINEST VARS'!$E$56*(8*$AZ75)+'LINEST VARS'!$D$56*(8*12.73)+'LINEST VARS'!$C$56*($BH$56*$AZ75)+'LINEST VARS'!$B$56*($BH$56*12.73)+'LINEST VARS'!$A$56*($AZ75*12.73)</f>
        <v>2.861600000000001</v>
      </c>
      <c r="BI75" s="51">
        <f>'LINEST VARS'!$U$56+'LINEST VARS'!$T$56*(8)+'LINEST VARS'!$S$56*(8)+'LINEST VARS'!$R$56*($BI$56)+'LINEST VARS'!$Q$56*($AZ75)+'LINEST VARS'!$P$56*(12.73)+'LINEST VARS'!$O$56*(8^2)+'LINEST VARS'!$N$56*(8^2)+'LINEST VARS'!$M$56*($BI$56^2)+'LINEST VARS'!$L$56*($AZ75^2)+'LINEST VARS'!$K$56*(12.73^2)+'LINEST VARS'!$J$56*(8*8)+'LINEST VARS'!$I$56*(8*$BI$56)+'LINEST VARS'!$H$56*(8*$AZ75)+'LINEST VARS'!$G$56*(8*12.73)+'LINEST VARS'!$F$56*(8*$BI$56)+'LINEST VARS'!$E$56*(8*$AZ75)+'LINEST VARS'!$D$56*(8*12.73)+'LINEST VARS'!$C$56*($BI$56*$AZ75)+'LINEST VARS'!$B$56*($BI$56*12.73)+'LINEST VARS'!$A$56*($AZ75*12.73)</f>
        <v>2.857600000000001</v>
      </c>
      <c r="BJ75" s="51">
        <f>'LINEST VARS'!$U$56+'LINEST VARS'!$T$56*(8)+'LINEST VARS'!$S$56*(8)+'LINEST VARS'!$R$56*($BJ$56)+'LINEST VARS'!$Q$56*($AZ75)+'LINEST VARS'!$P$56*(12.73)+'LINEST VARS'!$O$56*(8^2)+'LINEST VARS'!$N$56*(8^2)+'LINEST VARS'!$M$56*($BJ$56^2)+'LINEST VARS'!$L$56*($AZ75^2)+'LINEST VARS'!$K$56*(12.73^2)+'LINEST VARS'!$J$56*(8*8)+'LINEST VARS'!$I$56*(8*$BJ$56)+'LINEST VARS'!$H$56*(8*$AZ75)+'LINEST VARS'!$G$56*(8*12.73)+'LINEST VARS'!$F$56*(8*$BJ$56)+'LINEST VARS'!$E$56*(8*$AZ75)+'LINEST VARS'!$D$56*(8*12.73)+'LINEST VARS'!$C$56*($BJ$56*$AZ75)+'LINEST VARS'!$B$56*($BJ$56*12.73)+'LINEST VARS'!$A$56*($AZ75*12.73)</f>
        <v>2.8504000000000014</v>
      </c>
      <c r="BK75" s="51">
        <f>'LINEST VARS'!$U$56+'LINEST VARS'!$T$56*(8)+'LINEST VARS'!$S$56*(8)+'LINEST VARS'!$R$56*($BK$56)+'LINEST VARS'!$Q$56*($AZ75)+'LINEST VARS'!$P$56*(12.73)+'LINEST VARS'!$O$56*(8^2)+'LINEST VARS'!$N$56*(8^2)+'LINEST VARS'!$M$56*($BK$56^2)+'LINEST VARS'!$L$56*($AZ75^2)+'LINEST VARS'!$K$56*(12.73^2)+'LINEST VARS'!$J$56*(8*8)+'LINEST VARS'!$I$56*(8*$BK$56)+'LINEST VARS'!$H$56*(8*$AZ75)+'LINEST VARS'!$G$56*(8*12.73)+'LINEST VARS'!$F$56*(8*$BK$56)+'LINEST VARS'!$E$56*(8*$AZ75)+'LINEST VARS'!$D$56*(8*12.73)+'LINEST VARS'!$C$56*($BK$56*$AZ75)+'LINEST VARS'!$B$56*($BK$56*12.73)+'LINEST VARS'!$A$56*($AZ75*12.73)</f>
        <v>2.8400000000000012</v>
      </c>
      <c r="BL75" s="51">
        <f>'LINEST VARS'!$U$56+'LINEST VARS'!$T$56*(8)+'LINEST VARS'!$S$56*(8)+'LINEST VARS'!$R$56*($BL$56)+'LINEST VARS'!$Q$56*($AZ75)+'LINEST VARS'!$P$56*(12.73)+'LINEST VARS'!$O$56*(8^2)+'LINEST VARS'!$N$56*(8^2)+'LINEST VARS'!$M$56*($BL$56^2)+'LINEST VARS'!$L$56*($AZ75^2)+'LINEST VARS'!$K$56*(12.73^2)+'LINEST VARS'!$J$56*(8*8)+'LINEST VARS'!$I$56*(8*$BL$56)+'LINEST VARS'!$H$56*(8*$AZ75)+'LINEST VARS'!$G$56*(8*12.73)+'LINEST VARS'!$F$56*(8*$BL$56)+'LINEST VARS'!$E$56*(8*$AZ75)+'LINEST VARS'!$D$56*(8*12.73)+'LINEST VARS'!$C$56*($BL$56*$AZ75)+'LINEST VARS'!$B$56*($BL$56*12.73)+'LINEST VARS'!$A$56*($AZ75*12.73)</f>
        <v>2.8264000000000014</v>
      </c>
      <c r="BM75" s="51">
        <f>'LINEST VARS'!$U$56+'LINEST VARS'!$T$56*(8)+'LINEST VARS'!$S$56*(8)+'LINEST VARS'!$R$56*($BM$56)+'LINEST VARS'!$Q$56*($AZ75)+'LINEST VARS'!$P$56*(12.73)+'LINEST VARS'!$O$56*(8^2)+'LINEST VARS'!$N$56*(8^2)+'LINEST VARS'!$M$56*($BM$56^2)+'LINEST VARS'!$L$56*($AZ75^2)+'LINEST VARS'!$K$56*(12.73^2)+'LINEST VARS'!$J$56*(8*8)+'LINEST VARS'!$I$56*(8*$BM$56)+'LINEST VARS'!$H$56*(8*$AZ75)+'LINEST VARS'!$G$56*(8*12.73)+'LINEST VARS'!$F$56*(8*$BM$56)+'LINEST VARS'!$E$56*(8*$AZ75)+'LINEST VARS'!$D$56*(8*12.73)+'LINEST VARS'!$C$56*($BM$56*$AZ75)+'LINEST VARS'!$B$56*($BM$56*12.73)+'LINEST VARS'!$A$56*($AZ75*12.73)</f>
        <v>2.809600000000001</v>
      </c>
      <c r="BN75" s="51">
        <f>'LINEST VARS'!$U$56+'LINEST VARS'!$T$56*(8)+'LINEST VARS'!$S$56*(8)+'LINEST VARS'!$R$56*($BN$56)+'LINEST VARS'!$Q$56*($AZ75)+'LINEST VARS'!$P$56*(12.73)+'LINEST VARS'!$O$56*(8^2)+'LINEST VARS'!$N$56*(8^2)+'LINEST VARS'!$M$56*($BN$56^2)+'LINEST VARS'!$L$56*($AZ75^2)+'LINEST VARS'!$K$56*(12.73^2)+'LINEST VARS'!$J$56*(8*8)+'LINEST VARS'!$I$56*(8*$BN$56)+'LINEST VARS'!$H$56*(8*$AZ75)+'LINEST VARS'!$G$56*(8*12.73)+'LINEST VARS'!$F$56*(8*$BN$56)+'LINEST VARS'!$E$56*(8*$AZ75)+'LINEST VARS'!$D$56*(8*12.73)+'LINEST VARS'!$C$56*($BN$56*$AZ75)+'LINEST VARS'!$B$56*($BN$56*12.73)+'LINEST VARS'!$A$56*($AZ75*12.73)</f>
        <v>2.789600000000001</v>
      </c>
      <c r="BO75" s="51">
        <f>'LINEST VARS'!$U$56+'LINEST VARS'!$T$56*(8)+'LINEST VARS'!$S$56*(8)+'LINEST VARS'!$R$56*($BO$56)+'LINEST VARS'!$Q$56*($AZ75)+'LINEST VARS'!$P$56*(12.73)+'LINEST VARS'!$O$56*(8^2)+'LINEST VARS'!$N$56*(8^2)+'LINEST VARS'!$M$56*($BO$56^2)+'LINEST VARS'!$L$56*($AZ75^2)+'LINEST VARS'!$K$56*(12.73^2)+'LINEST VARS'!$J$56*(8*8)+'LINEST VARS'!$I$56*(8*$BO$56)+'LINEST VARS'!$H$56*(8*$AZ75)+'LINEST VARS'!$G$56*(8*12.73)+'LINEST VARS'!$F$56*(8*$BO$56)+'LINEST VARS'!$E$56*(8*$AZ75)+'LINEST VARS'!$D$56*(8*12.73)+'LINEST VARS'!$C$56*($BO$56*$AZ75)+'LINEST VARS'!$B$56*($BO$56*12.73)+'LINEST VARS'!$A$56*($AZ75*12.73)</f>
        <v>2.7664000000000013</v>
      </c>
      <c r="BP75" s="51">
        <f>'LINEST VARS'!$U$56+'LINEST VARS'!$T$56*(8)+'LINEST VARS'!$S$56*(8)+'LINEST VARS'!$R$56*($BP$56)+'LINEST VARS'!$Q$56*($AZ75)+'LINEST VARS'!$P$56*(12.73)+'LINEST VARS'!$O$56*(8^2)+'LINEST VARS'!$N$56*(8^2)+'LINEST VARS'!$M$56*($BP$56^2)+'LINEST VARS'!$L$56*($AZ75^2)+'LINEST VARS'!$K$56*(12.73^2)+'LINEST VARS'!$J$56*(8*8)+'LINEST VARS'!$I$56*(8*$BP$56)+'LINEST VARS'!$H$56*(8*$AZ75)+'LINEST VARS'!$G$56*(8*12.73)+'LINEST VARS'!$F$56*(8*$BP$56)+'LINEST VARS'!$E$56*(8*$AZ75)+'LINEST VARS'!$D$56*(8*12.73)+'LINEST VARS'!$C$56*($BP$56*$AZ75)+'LINEST VARS'!$B$56*($BP$56*12.73)+'LINEST VARS'!$A$56*($AZ75*12.73)</f>
        <v>2.7400000000000011</v>
      </c>
      <c r="BQ75" s="51">
        <f>'LINEST VARS'!$U$56+'LINEST VARS'!$T$56*(8)+'LINEST VARS'!$S$56*(8)+'LINEST VARS'!$R$56*($BQ$56)+'LINEST VARS'!$Q$56*($AZ75)+'LINEST VARS'!$P$56*(12.73)+'LINEST VARS'!$O$56*(8^2)+'LINEST VARS'!$N$56*(8^2)+'LINEST VARS'!$M$56*($BQ$56^2)+'LINEST VARS'!$L$56*($AZ75^2)+'LINEST VARS'!$K$56*(12.73^2)+'LINEST VARS'!$J$56*(8*8)+'LINEST VARS'!$I$56*(8*$BQ$56)+'LINEST VARS'!$H$56*(8*$AZ75)+'LINEST VARS'!$G$56*(8*12.73)+'LINEST VARS'!$F$56*(8*$BQ$56)+'LINEST VARS'!$E$56*(8*$AZ75)+'LINEST VARS'!$D$56*(8*12.73)+'LINEST VARS'!$C$56*($BQ$56*$AZ75)+'LINEST VARS'!$B$56*($BQ$56*12.73)+'LINEST VARS'!$A$56*($AZ75*12.73)</f>
        <v>2.7104000000000008</v>
      </c>
      <c r="BR75" s="51">
        <f>'LINEST VARS'!$U$56+'LINEST VARS'!$T$56*(8)+'LINEST VARS'!$S$56*(8)+'LINEST VARS'!$R$56*($BR$56)+'LINEST VARS'!$Q$56*($AZ75)+'LINEST VARS'!$P$56*(12.73)+'LINEST VARS'!$O$56*(8^2)+'LINEST VARS'!$N$56*(8^2)+'LINEST VARS'!$M$56*($BR$56^2)+'LINEST VARS'!$L$56*($AZ75^2)+'LINEST VARS'!$K$56*(12.73^2)+'LINEST VARS'!$J$56*(8*8)+'LINEST VARS'!$I$56*(8*$BR$56)+'LINEST VARS'!$H$56*(8*$AZ75)+'LINEST VARS'!$G$56*(8*12.73)+'LINEST VARS'!$F$56*(8*$BR$56)+'LINEST VARS'!$E$56*(8*$AZ75)+'LINEST VARS'!$D$56*(8*12.73)+'LINEST VARS'!$C$56*($BR$56*$AZ75)+'LINEST VARS'!$B$56*($BR$56*12.73)+'LINEST VARS'!$A$56*($AZ75*12.73)</f>
        <v>2.6776000000000013</v>
      </c>
      <c r="BS75" s="51">
        <f>'LINEST VARS'!$U$56+'LINEST VARS'!$T$56*(8)+'LINEST VARS'!$S$56*(8)+'LINEST VARS'!$R$56*($BS$56)+'LINEST VARS'!$Q$56*($AZ75)+'LINEST VARS'!$P$56*(12.73)+'LINEST VARS'!$O$56*(8^2)+'LINEST VARS'!$N$56*(8^2)+'LINEST VARS'!$M$56*($BS$56^2)+'LINEST VARS'!$L$56*($AZ75^2)+'LINEST VARS'!$K$56*(12.73^2)+'LINEST VARS'!$J$56*(8*8)+'LINEST VARS'!$I$56*(8*$BS$56)+'LINEST VARS'!$H$56*(8*$AZ75)+'LINEST VARS'!$G$56*(8*12.73)+'LINEST VARS'!$F$56*(8*$BS$56)+'LINEST VARS'!$E$56*(8*$AZ75)+'LINEST VARS'!$D$56*(8*12.73)+'LINEST VARS'!$C$56*($BS$56*$AZ75)+'LINEST VARS'!$B$56*($BS$56*12.73)+'LINEST VARS'!$A$56*($AZ75*12.73)</f>
        <v>2.6416000000000008</v>
      </c>
      <c r="BT75" s="51">
        <f>'LINEST VARS'!$U$56+'LINEST VARS'!$T$56*(8)+'LINEST VARS'!$S$56*(8)+'LINEST VARS'!$R$56*($BT$56)+'LINEST VARS'!$Q$56*($AZ75)+'LINEST VARS'!$P$56*(12.73)+'LINEST VARS'!$O$56*(8^2)+'LINEST VARS'!$N$56*(8^2)+'LINEST VARS'!$M$56*($BT$56^2)+'LINEST VARS'!$L$56*($AZ75^2)+'LINEST VARS'!$K$56*(12.73^2)+'LINEST VARS'!$J$56*(8*8)+'LINEST VARS'!$I$56*(8*$BT$56)+'LINEST VARS'!$H$56*(8*$AZ75)+'LINEST VARS'!$G$56*(8*12.73)+'LINEST VARS'!$F$56*(8*$BT$56)+'LINEST VARS'!$E$56*(8*$AZ75)+'LINEST VARS'!$D$56*(8*12.73)+'LINEST VARS'!$C$56*($BT$56*$AZ75)+'LINEST VARS'!$B$56*($BT$56*12.73)+'LINEST VARS'!$A$56*($AZ75*12.73)</f>
        <v>2.6024000000000012</v>
      </c>
      <c r="BU75" s="52">
        <f>'LINEST VARS'!$U$56+'LINEST VARS'!$T$56*(8)+'LINEST VARS'!$S$56*(8)+'LINEST VARS'!$R$56*($BU$56)+'LINEST VARS'!$Q$56*($AZ75)+'LINEST VARS'!$P$56*(12.73)+'LINEST VARS'!$O$56*(8^2)+'LINEST VARS'!$N$56*(8^2)+'LINEST VARS'!$M$56*($BU$56^2)+'LINEST VARS'!$L$56*($AZ75^2)+'LINEST VARS'!$K$56*(12.73^2)+'LINEST VARS'!$J$56*(8*8)+'LINEST VARS'!$I$56*(8*$BU$56)+'LINEST VARS'!$H$56*(8*$AZ75)+'LINEST VARS'!$G$56*(8*12.73)+'LINEST VARS'!$F$56*(8*$BU$56)+'LINEST VARS'!$E$56*(8*$AZ75)+'LINEST VARS'!$D$56*(8*12.73)+'LINEST VARS'!$C$56*($BU$56*$AZ75)+'LINEST VARS'!$B$56*($BU$56*12.73)+'LINEST VARS'!$A$56*($AZ75*12.73)</f>
        <v>2.5600000000000009</v>
      </c>
      <c r="BX75" s="45">
        <v>0.9</v>
      </c>
      <c r="BY75" s="51">
        <f>'LINEST VARS'!$U$58+'LINEST VARS'!$T$58*(8)+'LINEST VARS'!$S$58*(8)+'LINEST VARS'!$R$58*($BY$56)+'LINEST VARS'!$Q$58*($BX75)+'LINEST VARS'!$P$58*(12.73)+'LINEST VARS'!$O$58*(8^2)+'LINEST VARS'!$N$58*(8^2)+'LINEST VARS'!$M$58*($BY$56^2)+'LINEST VARS'!$L$58*($BX75^2)+'LINEST VARS'!$K$58*(12.73^2)+'LINEST VARS'!$J$58*(8*8)+'LINEST VARS'!$I$58*(8*$BY$56)+'LINEST VARS'!$H$58*(8*$BX75)+'LINEST VARS'!$G$58*(8*12.73)+'LINEST VARS'!$F$58*(8*$BY$56)+'LINEST VARS'!$E$58*(8*$BX75)+'LINEST VARS'!$D$58*(8*12.73)+'LINEST VARS'!$C$58*($BY$56*$BX75)+'LINEST VARS'!$B$58*($BY$56*12.73)+'LINEST VARS'!$A$58*($BX75*12.73)</f>
        <v>0.86365000000000036</v>
      </c>
      <c r="BZ75" s="51">
        <f>'LINEST VARS'!$U$58+'LINEST VARS'!$T$58*(8)+'LINEST VARS'!$S$58*(8)+'LINEST VARS'!$R$58*($BZ$56)+'LINEST VARS'!$Q$58*($BX75)+'LINEST VARS'!$P$58*(12.73)+'LINEST VARS'!$O$58*(8^2)+'LINEST VARS'!$N$58*(8^2)+'LINEST VARS'!$M$58*($BZ$56^2)+'LINEST VARS'!$L$58*($BX75^2)+'LINEST VARS'!$K$58*(12.73^2)+'LINEST VARS'!$J$58*(8*8)+'LINEST VARS'!$I$58*(8*$BZ$56)+'LINEST VARS'!$H$58*(8*$BX75)+'LINEST VARS'!$G$58*(8*12.73)+'LINEST VARS'!$F$58*(8*$BZ$56)+'LINEST VARS'!$E$58*(8*$BX75)+'LINEST VARS'!$D$58*(8*12.73)+'LINEST VARS'!$C$58*($BZ$56*$BX75)+'LINEST VARS'!$B$58*($BZ$56*12.73)+'LINEST VARS'!$A$58*($BX75*12.73)</f>
        <v>0.87165000000000037</v>
      </c>
      <c r="CA75" s="51">
        <f>'LINEST VARS'!$U$58+'LINEST VARS'!$T$58*(8)+'LINEST VARS'!$S$58*(8)+'LINEST VARS'!$R$58*($CA$56)+'LINEST VARS'!$Q$58*($BX75)+'LINEST VARS'!$P$58*(12.73)+'LINEST VARS'!$O$58*(8^2)+'LINEST VARS'!$N$58*(8^2)+'LINEST VARS'!$M$58*($CA$56^2)+'LINEST VARS'!$L$58*($BX75^2)+'LINEST VARS'!$K$58*(12.73^2)+'LINEST VARS'!$J$58*(8*8)+'LINEST VARS'!$I$58*(8*$CA$56)+'LINEST VARS'!$H$58*(8*$BX75)+'LINEST VARS'!$G$58*(8*12.73)+'LINEST VARS'!$F$58*(8*$CA$56)+'LINEST VARS'!$E$58*(8*$BX75)+'LINEST VARS'!$D$58*(8*12.73)+'LINEST VARS'!$C$58*($CA$56*$BX75)+'LINEST VARS'!$B$58*($CA$56*12.73)+'LINEST VARS'!$A$58*($BX75*12.73)</f>
        <v>0.87965000000000027</v>
      </c>
      <c r="CB75" s="51">
        <f>'LINEST VARS'!$U$58+'LINEST VARS'!$T$58*(8)+'LINEST VARS'!$S$58*(8)+'LINEST VARS'!$R$58*($CB$56)+'LINEST VARS'!$Q$58*($BX75)+'LINEST VARS'!$P$58*(12.73)+'LINEST VARS'!$O$58*(8^2)+'LINEST VARS'!$N$58*(8^2)+'LINEST VARS'!$M$58*($CB$56^2)+'LINEST VARS'!$L$58*($BX75^2)+'LINEST VARS'!$K$58*(12.73^2)+'LINEST VARS'!$J$58*(8*8)+'LINEST VARS'!$I$58*(8*$CB$56)+'LINEST VARS'!$H$58*(8*$BX75)+'LINEST VARS'!$G$58*(8*12.73)+'LINEST VARS'!$F$58*(8*$CB$56)+'LINEST VARS'!$E$58*(8*$BX75)+'LINEST VARS'!$D$58*(8*12.73)+'LINEST VARS'!$C$58*($CB$56*$BX75)+'LINEST VARS'!$B$58*($CB$56*12.73)+'LINEST VARS'!$A$58*($BX75*12.73)</f>
        <v>0.88765000000000027</v>
      </c>
      <c r="CC75" s="51">
        <f>'LINEST VARS'!$U$58+'LINEST VARS'!$T$58*(8)+'LINEST VARS'!$S$58*(8)+'LINEST VARS'!$R$58*($CC$56)+'LINEST VARS'!$Q$58*($BX75)+'LINEST VARS'!$P$58*(12.73)+'LINEST VARS'!$O$58*(8^2)+'LINEST VARS'!$N$58*(8^2)+'LINEST VARS'!$M$58*($CC$56^2)+'LINEST VARS'!$L$58*($BX75^2)+'LINEST VARS'!$K$58*(12.73^2)+'LINEST VARS'!$J$58*(8*8)+'LINEST VARS'!$I$58*(8*$CC$56)+'LINEST VARS'!$H$58*(8*$BX75)+'LINEST VARS'!$G$58*(8*12.73)+'LINEST VARS'!$F$58*(8*$CC$56)+'LINEST VARS'!$E$58*(8*$BX75)+'LINEST VARS'!$D$58*(8*12.73)+'LINEST VARS'!$C$58*($CC$56*$BX75)+'LINEST VARS'!$B$58*($CC$56*12.73)+'LINEST VARS'!$A$58*($BX75*12.73)</f>
        <v>0.89565000000000017</v>
      </c>
      <c r="CD75" s="51">
        <f>'LINEST VARS'!$U$58+'LINEST VARS'!$T$58*(8)+'LINEST VARS'!$S$58*(8)+'LINEST VARS'!$R$58*($CD$56)+'LINEST VARS'!$Q$58*($BX75)+'LINEST VARS'!$P$58*(12.73)+'LINEST VARS'!$O$58*(8^2)+'LINEST VARS'!$N$58*(8^2)+'LINEST VARS'!$M$58*($CD$56^2)+'LINEST VARS'!$L$58*($BX75^2)+'LINEST VARS'!$K$58*(12.73^2)+'LINEST VARS'!$J$58*(8*8)+'LINEST VARS'!$I$58*(8*$CD$56)+'LINEST VARS'!$H$58*(8*$BX75)+'LINEST VARS'!$G$58*(8*12.73)+'LINEST VARS'!$F$58*(8*$CD$56)+'LINEST VARS'!$E$58*(8*$BX75)+'LINEST VARS'!$D$58*(8*12.73)+'LINEST VARS'!$C$58*($CD$56*$BX75)+'LINEST VARS'!$B$58*($CD$56*12.73)+'LINEST VARS'!$A$58*($BX75*12.73)</f>
        <v>0.90365000000000029</v>
      </c>
      <c r="CE75" s="51">
        <f>'LINEST VARS'!$U$58+'LINEST VARS'!$T$58*(8)+'LINEST VARS'!$S$58*(8)+'LINEST VARS'!$R$58*($CE$56)+'LINEST VARS'!$Q$58*($BX75)+'LINEST VARS'!$P$58*(12.73)+'LINEST VARS'!$O$58*(8^2)+'LINEST VARS'!$N$58*(8^2)+'LINEST VARS'!$M$58*($CE$56^2)+'LINEST VARS'!$L$58*($BX75^2)+'LINEST VARS'!$K$58*(12.73^2)+'LINEST VARS'!$J$58*(8*8)+'LINEST VARS'!$I$58*(8*$CE$56)+'LINEST VARS'!$H$58*(8*$BX75)+'LINEST VARS'!$G$58*(8*12.73)+'LINEST VARS'!$F$58*(8*$CE$56)+'LINEST VARS'!$E$58*(8*$BX75)+'LINEST VARS'!$D$58*(8*12.73)+'LINEST VARS'!$C$58*($CE$56*$BX75)+'LINEST VARS'!$B$58*($CE$56*12.73)+'LINEST VARS'!$A$58*($BX75*12.73)</f>
        <v>0.91165000000000029</v>
      </c>
      <c r="CF75" s="51">
        <f>'LINEST VARS'!$U$58+'LINEST VARS'!$T$58*(8)+'LINEST VARS'!$S$58*(8)+'LINEST VARS'!$R$58*($CF$56)+'LINEST VARS'!$Q$58*($BX75)+'LINEST VARS'!$P$58*(12.73)+'LINEST VARS'!$O$58*(8^2)+'LINEST VARS'!$N$58*(8^2)+'LINEST VARS'!$M$58*($CF$56^2)+'LINEST VARS'!$L$58*($BX75^2)+'LINEST VARS'!$K$58*(12.73^2)+'LINEST VARS'!$J$58*(8*8)+'LINEST VARS'!$I$58*(8*$CF$56)+'LINEST VARS'!$H$58*(8*$BX75)+'LINEST VARS'!$G$58*(8*12.73)+'LINEST VARS'!$F$58*(8*$CF$56)+'LINEST VARS'!$E$58*(8*$BX75)+'LINEST VARS'!$D$58*(8*12.73)+'LINEST VARS'!$C$58*($CF$56*$BX75)+'LINEST VARS'!$B$58*($CF$56*12.73)+'LINEST VARS'!$A$58*($BX75*12.73)</f>
        <v>0.9196500000000003</v>
      </c>
      <c r="CG75" s="51">
        <f>'LINEST VARS'!$U$58+'LINEST VARS'!$T$58*(8)+'LINEST VARS'!$S$58*(8)+'LINEST VARS'!$R$58*($CG$56)+'LINEST VARS'!$Q$58*($BX75)+'LINEST VARS'!$P$58*(12.73)+'LINEST VARS'!$O$58*(8^2)+'LINEST VARS'!$N$58*(8^2)+'LINEST VARS'!$M$58*($CG$56^2)+'LINEST VARS'!$L$58*($BX75^2)+'LINEST VARS'!$K$58*(12.73^2)+'LINEST VARS'!$J$58*(8*8)+'LINEST VARS'!$I$58*(8*$CG$56)+'LINEST VARS'!$H$58*(8*$BX75)+'LINEST VARS'!$G$58*(8*12.73)+'LINEST VARS'!$F$58*(8*$CG$56)+'LINEST VARS'!$E$58*(8*$BX75)+'LINEST VARS'!$D$58*(8*12.73)+'LINEST VARS'!$C$58*($CG$56*$BX75)+'LINEST VARS'!$B$58*($CG$56*12.73)+'LINEST VARS'!$A$58*($BX75*12.73)</f>
        <v>0.92765000000000042</v>
      </c>
      <c r="CH75" s="51">
        <f>'LINEST VARS'!$U$58+'LINEST VARS'!$T$58*(8)+'LINEST VARS'!$S$58*(8)+'LINEST VARS'!$R$58*($CH$56)+'LINEST VARS'!$Q$58*($BX75)+'LINEST VARS'!$P$58*(12.73)+'LINEST VARS'!$O$58*(8^2)+'LINEST VARS'!$N$58*(8^2)+'LINEST VARS'!$M$58*($CH$56^2)+'LINEST VARS'!$L$58*($BX75^2)+'LINEST VARS'!$K$58*(12.73^2)+'LINEST VARS'!$J$58*(8*8)+'LINEST VARS'!$I$58*(8*$CH$56)+'LINEST VARS'!$H$58*(8*$BX75)+'LINEST VARS'!$G$58*(8*12.73)+'LINEST VARS'!$F$58*(8*$CH$56)+'LINEST VARS'!$E$58*(8*$BX75)+'LINEST VARS'!$D$58*(8*12.73)+'LINEST VARS'!$C$58*($CH$56*$BX75)+'LINEST VARS'!$B$58*($CH$56*12.73)+'LINEST VARS'!$A$58*($BX75*12.73)</f>
        <v>0.93565000000000031</v>
      </c>
      <c r="CI75" s="51">
        <f>'LINEST VARS'!$U$58+'LINEST VARS'!$T$58*(8)+'LINEST VARS'!$S$58*(8)+'LINEST VARS'!$R$58*($CI$56)+'LINEST VARS'!$Q$58*($BX75)+'LINEST VARS'!$P$58*(12.73)+'LINEST VARS'!$O$58*(8^2)+'LINEST VARS'!$N$58*(8^2)+'LINEST VARS'!$M$58*($CI$56^2)+'LINEST VARS'!$L$58*($BX75^2)+'LINEST VARS'!$K$58*(12.73^2)+'LINEST VARS'!$J$58*(8*8)+'LINEST VARS'!$I$58*(8*$CI$56)+'LINEST VARS'!$H$58*(8*$BX75)+'LINEST VARS'!$G$58*(8*12.73)+'LINEST VARS'!$F$58*(8*$CI$56)+'LINEST VARS'!$E$58*(8*$BX75)+'LINEST VARS'!$D$58*(8*12.73)+'LINEST VARS'!$C$58*($CI$56*$BX75)+'LINEST VARS'!$B$58*($CI$56*12.73)+'LINEST VARS'!$A$58*($BX75*12.73)</f>
        <v>0.94365000000000032</v>
      </c>
      <c r="CJ75" s="51">
        <f>'LINEST VARS'!$U$58+'LINEST VARS'!$T$58*(8)+'LINEST VARS'!$S$58*(8)+'LINEST VARS'!$R$58*($CJ$56)+'LINEST VARS'!$Q$58*($BX75)+'LINEST VARS'!$P$58*(12.73)+'LINEST VARS'!$O$58*(8^2)+'LINEST VARS'!$N$58*(8^2)+'LINEST VARS'!$M$58*($CJ$56^2)+'LINEST VARS'!$L$58*($BX75^2)+'LINEST VARS'!$K$58*(12.73^2)+'LINEST VARS'!$J$58*(8*8)+'LINEST VARS'!$I$58*(8*$CJ$56)+'LINEST VARS'!$H$58*(8*$BX75)+'LINEST VARS'!$G$58*(8*12.73)+'LINEST VARS'!$F$58*(8*$CJ$56)+'LINEST VARS'!$E$58*(8*$BX75)+'LINEST VARS'!$D$58*(8*12.73)+'LINEST VARS'!$C$58*($CJ$56*$BX75)+'LINEST VARS'!$B$58*($CJ$56*12.73)+'LINEST VARS'!$A$58*($BX75*12.73)</f>
        <v>0.95165000000000022</v>
      </c>
      <c r="CK75" s="51">
        <f>'LINEST VARS'!$U$58+'LINEST VARS'!$T$58*(8)+'LINEST VARS'!$S$58*(8)+'LINEST VARS'!$R$58*($CK$56)+'LINEST VARS'!$Q$58*($BX75)+'LINEST VARS'!$P$58*(12.73)+'LINEST VARS'!$O$58*(8^2)+'LINEST VARS'!$N$58*(8^2)+'LINEST VARS'!$M$58*($CK$56^2)+'LINEST VARS'!$L$58*($BX75^2)+'LINEST VARS'!$K$58*(12.73^2)+'LINEST VARS'!$J$58*(8*8)+'LINEST VARS'!$I$58*(8*$CK$56)+'LINEST VARS'!$H$58*(8*$BX75)+'LINEST VARS'!$G$58*(8*12.73)+'LINEST VARS'!$F$58*(8*$CK$56)+'LINEST VARS'!$E$58*(8*$BX75)+'LINEST VARS'!$D$58*(8*12.73)+'LINEST VARS'!$C$58*($CK$56*$BX75)+'LINEST VARS'!$B$58*($CK$56*12.73)+'LINEST VARS'!$A$58*($BX75*12.73)</f>
        <v>0.95965000000000023</v>
      </c>
      <c r="CL75" s="51">
        <f>'LINEST VARS'!$U$58+'LINEST VARS'!$T$58*(8)+'LINEST VARS'!$S$58*(8)+'LINEST VARS'!$R$58*($CL$56)+'LINEST VARS'!$Q$58*($BX75)+'LINEST VARS'!$P$58*(12.73)+'LINEST VARS'!$O$58*(8^2)+'LINEST VARS'!$N$58*(8^2)+'LINEST VARS'!$M$58*($CL$56^2)+'LINEST VARS'!$L$58*($BX75^2)+'LINEST VARS'!$K$58*(12.73^2)+'LINEST VARS'!$J$58*(8*8)+'LINEST VARS'!$I$58*(8*$CL$56)+'LINEST VARS'!$H$58*(8*$BX75)+'LINEST VARS'!$G$58*(8*12.73)+'LINEST VARS'!$F$58*(8*$CL$56)+'LINEST VARS'!$E$58*(8*$BX75)+'LINEST VARS'!$D$58*(8*12.73)+'LINEST VARS'!$C$58*($CL$56*$BX75)+'LINEST VARS'!$B$58*($CL$56*12.73)+'LINEST VARS'!$A$58*($BX75*12.73)</f>
        <v>0.96765000000000012</v>
      </c>
      <c r="CM75" s="51">
        <f>'LINEST VARS'!$U$58+'LINEST VARS'!$T$58*(8)+'LINEST VARS'!$S$58*(8)+'LINEST VARS'!$R$58*($CM$56)+'LINEST VARS'!$Q$58*($BX75)+'LINEST VARS'!$P$58*(12.73)+'LINEST VARS'!$O$58*(8^2)+'LINEST VARS'!$N$58*(8^2)+'LINEST VARS'!$M$58*($CM$56^2)+'LINEST VARS'!$L$58*($BX75^2)+'LINEST VARS'!$K$58*(12.73^2)+'LINEST VARS'!$J$58*(8*8)+'LINEST VARS'!$I$58*(8*$CM$56)+'LINEST VARS'!$H$58*(8*$BX75)+'LINEST VARS'!$G$58*(8*12.73)+'LINEST VARS'!$F$58*(8*$CM$56)+'LINEST VARS'!$E$58*(8*$BX75)+'LINEST VARS'!$D$58*(8*12.73)+'LINEST VARS'!$C$58*($CM$56*$BX75)+'LINEST VARS'!$B$58*($CM$56*12.73)+'LINEST VARS'!$A$58*($BX75*12.73)</f>
        <v>0.97565000000000024</v>
      </c>
      <c r="CN75" s="51">
        <f>'LINEST VARS'!$U$58+'LINEST VARS'!$T$58*(8)+'LINEST VARS'!$S$58*(8)+'LINEST VARS'!$R$58*($CN$56)+'LINEST VARS'!$Q$58*($BX75)+'LINEST VARS'!$P$58*(12.73)+'LINEST VARS'!$O$58*(8^2)+'LINEST VARS'!$N$58*(8^2)+'LINEST VARS'!$M$58*($CN$56^2)+'LINEST VARS'!$L$58*($BX75^2)+'LINEST VARS'!$K$58*(12.73^2)+'LINEST VARS'!$J$58*(8*8)+'LINEST VARS'!$I$58*(8*$CN$56)+'LINEST VARS'!$H$58*(8*$BX75)+'LINEST VARS'!$G$58*(8*12.73)+'LINEST VARS'!$F$58*(8*$CN$56)+'LINEST VARS'!$E$58*(8*$BX75)+'LINEST VARS'!$D$58*(8*12.73)+'LINEST VARS'!$C$58*($CN$56*$BX75)+'LINEST VARS'!$B$58*($CN$56*12.73)+'LINEST VARS'!$A$58*($BX75*12.73)</f>
        <v>0.98365000000000025</v>
      </c>
      <c r="CO75" s="51">
        <f>'LINEST VARS'!$U$58+'LINEST VARS'!$T$58*(8)+'LINEST VARS'!$S$58*(8)+'LINEST VARS'!$R$58*($CO$56)+'LINEST VARS'!$Q$58*($BX75)+'LINEST VARS'!$P$58*(12.73)+'LINEST VARS'!$O$58*(8^2)+'LINEST VARS'!$N$58*(8^2)+'LINEST VARS'!$M$58*($CO$56^2)+'LINEST VARS'!$L$58*($BX75^2)+'LINEST VARS'!$K$58*(12.73^2)+'LINEST VARS'!$J$58*(8*8)+'LINEST VARS'!$I$58*(8*$CO$56)+'LINEST VARS'!$H$58*(8*$BX75)+'LINEST VARS'!$G$58*(8*12.73)+'LINEST VARS'!$F$58*(8*$CO$56)+'LINEST VARS'!$E$58*(8*$BX75)+'LINEST VARS'!$D$58*(8*12.73)+'LINEST VARS'!$C$58*($CO$56*$BX75)+'LINEST VARS'!$B$58*($CO$56*12.73)+'LINEST VARS'!$A$58*($BX75*12.73)</f>
        <v>0.99165000000000036</v>
      </c>
      <c r="CP75" s="51">
        <f>'LINEST VARS'!$U$58+'LINEST VARS'!$T$58*(8)+'LINEST VARS'!$S$58*(8)+'LINEST VARS'!$R$58*($CP$56)+'LINEST VARS'!$Q$58*($BX75)+'LINEST VARS'!$P$58*(12.73)+'LINEST VARS'!$O$58*(8^2)+'LINEST VARS'!$N$58*(8^2)+'LINEST VARS'!$M$58*($CP$56^2)+'LINEST VARS'!$L$58*($BX75^2)+'LINEST VARS'!$K$58*(12.73^2)+'LINEST VARS'!$J$58*(8*8)+'LINEST VARS'!$I$58*(8*$CP$56)+'LINEST VARS'!$H$58*(8*$BX75)+'LINEST VARS'!$G$58*(8*12.73)+'LINEST VARS'!$F$58*(8*$CP$56)+'LINEST VARS'!$E$58*(8*$BX75)+'LINEST VARS'!$D$58*(8*12.73)+'LINEST VARS'!$C$58*($CP$56*$BX75)+'LINEST VARS'!$B$58*($CP$56*12.73)+'LINEST VARS'!$A$58*($BX75*12.73)</f>
        <v>0.99965000000000037</v>
      </c>
      <c r="CQ75" s="51">
        <f>'LINEST VARS'!$U$58+'LINEST VARS'!$T$58*(8)+'LINEST VARS'!$S$58*(8)+'LINEST VARS'!$R$58*($CQ$56)+'LINEST VARS'!$Q$58*($BX75)+'LINEST VARS'!$P$58*(12.73)+'LINEST VARS'!$O$58*(8^2)+'LINEST VARS'!$N$58*(8^2)+'LINEST VARS'!$M$58*($CQ$56^2)+'LINEST VARS'!$L$58*($BX75^2)+'LINEST VARS'!$K$58*(12.73^2)+'LINEST VARS'!$J$58*(8*8)+'LINEST VARS'!$I$58*(8*$CQ$56)+'LINEST VARS'!$H$58*(8*$BX75)+'LINEST VARS'!$G$58*(8*12.73)+'LINEST VARS'!$F$58*(8*$CQ$56)+'LINEST VARS'!$E$58*(8*$BX75)+'LINEST VARS'!$D$58*(8*12.73)+'LINEST VARS'!$C$58*($CQ$56*$BX75)+'LINEST VARS'!$B$58*($CQ$56*12.73)+'LINEST VARS'!$A$58*($BX75*12.73)</f>
        <v>1.0076500000000002</v>
      </c>
      <c r="CR75" s="51">
        <f>'LINEST VARS'!$U$58+'LINEST VARS'!$T$58*(8)+'LINEST VARS'!$S$58*(8)+'LINEST VARS'!$R$58*($CR$56)+'LINEST VARS'!$Q$58*($BX75)+'LINEST VARS'!$P$58*(12.73)+'LINEST VARS'!$O$58*(8^2)+'LINEST VARS'!$N$58*(8^2)+'LINEST VARS'!$M$58*($CR$56^2)+'LINEST VARS'!$L$58*($BX75^2)+'LINEST VARS'!$K$58*(12.73^2)+'LINEST VARS'!$J$58*(8*8)+'LINEST VARS'!$I$58*(8*$CR$56)+'LINEST VARS'!$H$58*(8*$BX75)+'LINEST VARS'!$G$58*(8*12.73)+'LINEST VARS'!$F$58*(8*$CR$56)+'LINEST VARS'!$E$58*(8*$BX75)+'LINEST VARS'!$D$58*(8*12.73)+'LINEST VARS'!$C$58*($CR$56*$BX75)+'LINEST VARS'!$B$58*($CR$56*12.73)+'LINEST VARS'!$A$58*($BX75*12.73)</f>
        <v>1.0156499999999999</v>
      </c>
      <c r="CS75" s="52">
        <f>'LINEST VARS'!$U$58+'LINEST VARS'!$T$58*(8)+'LINEST VARS'!$S$58*(8)+'LINEST VARS'!$R$58*($CS$56)+'LINEST VARS'!$Q$58*($BX75)+'LINEST VARS'!$P$58*(12.73)+'LINEST VARS'!$O$58*(8^2)+'LINEST VARS'!$N$58*(8^2)+'LINEST VARS'!$M$58*($CS$56^2)+'LINEST VARS'!$L$58*($BX75^2)+'LINEST VARS'!$K$58*(12.73^2)+'LINEST VARS'!$J$58*(8*8)+'LINEST VARS'!$I$58*(8*$CS$56)+'LINEST VARS'!$H$58*(8*$BX75)+'LINEST VARS'!$G$58*(8*12.73)+'LINEST VARS'!$F$58*(8*$CS$56)+'LINEST VARS'!$E$58*(8*$BX75)+'LINEST VARS'!$D$58*(8*12.73)+'LINEST VARS'!$C$58*($CS$56*$BX75)+'LINEST VARS'!$B$58*($CS$56*12.73)+'LINEST VARS'!$A$58*($BX75*12.73)</f>
        <v>1.0236500000000002</v>
      </c>
      <c r="CX75" s="45">
        <v>23.390999999999998</v>
      </c>
      <c r="CY75" s="51">
        <f>'LINEST VARS'!$U$56+'LINEST VARS'!$T$56*(8)+'LINEST VARS'!$S$56*(8)+'LINEST VARS'!$R$56*($CY$56)+'LINEST VARS'!$Q$56*(0.5)+'LINEST VARS'!$P$56*($CX75)+'LINEST VARS'!$O$56*(8^2)+'LINEST VARS'!$N$56*(8^2)+'LINEST VARS'!$M$56*($CY$56^2)+'LINEST VARS'!$L$56*(0.5^2)+'LINEST VARS'!$K$56*($CX75^2)+'LINEST VARS'!$J$56*(8*8)+'LINEST VARS'!$I$56*(8*$CY$56)+'LINEST VARS'!$H$56*(8*0.5)+'LINEST VARS'!$G$56*(8*$CX75)+'LINEST VARS'!$F$56*(8*$CY$56)+'LINEST VARS'!$E$56*(8*0.5)+'LINEST VARS'!$D$56*(8*$CX75)+'LINEST VARS'!$C$56*($CY$56*0.5)+'LINEST VARS'!$B$56*($CY$56*$CX75)+'LINEST VARS'!$A$56*(0.5*$CX75)</f>
        <v>2.8000000000000012</v>
      </c>
      <c r="CZ75" s="51">
        <f>'LINEST VARS'!$U$56+'LINEST VARS'!$T$56*(8)+'LINEST VARS'!$S$56*(8)+'LINEST VARS'!$R$56*($CZ$56)+'LINEST VARS'!$Q$56*(0.5)+'LINEST VARS'!$P$56*($CX75)+'LINEST VARS'!$O$56*(8^2)+'LINEST VARS'!$N$56*(8^2)+'LINEST VARS'!$M$56*($CZ$56^2)+'LINEST VARS'!$L$56*(0.5^2)+'LINEST VARS'!$K$56*($CX75^2)+'LINEST VARS'!$J$56*(8*8)+'LINEST VARS'!$I$56*(8*$CZ$56)+'LINEST VARS'!$H$56*(8*0.5)+'LINEST VARS'!$G$56*(8*$CX75)+'LINEST VARS'!$F$56*(8*$CZ$56)+'LINEST VARS'!$E$56*(8*0.5)+'LINEST VARS'!$D$56*(8*$CX75)+'LINEST VARS'!$C$56*($CZ$56*0.5)+'LINEST VARS'!$B$56*($CZ$56*$CX75)+'LINEST VARS'!$A$56*(0.5*$CX75)</f>
        <v>2.8184000000000013</v>
      </c>
      <c r="DA75" s="51">
        <f>'LINEST VARS'!$U$56+'LINEST VARS'!$T$56*(8)+'LINEST VARS'!$S$56*(8)+'LINEST VARS'!$R$56*($DA$56)+'LINEST VARS'!$Q$56*(0.5)+'LINEST VARS'!$P$56*($CX75)+'LINEST VARS'!$O$56*(8^2)+'LINEST VARS'!$N$56*(8^2)+'LINEST VARS'!$M$56*($DA$56^2)+'LINEST VARS'!$L$56*(0.5^2)+'LINEST VARS'!$K$56*($CX75^2)+'LINEST VARS'!$J$56*(8*8)+'LINEST VARS'!$I$56*(8*$DA$56)+'LINEST VARS'!$H$56*(8*0.5)+'LINEST VARS'!$G$56*(8*$CX75)+'LINEST VARS'!$F$56*(8*$DA$56)+'LINEST VARS'!$E$56*(8*0.5)+'LINEST VARS'!$D$56*(8*$CX75)+'LINEST VARS'!$C$56*($DA$56*0.5)+'LINEST VARS'!$B$56*($DA$56*$CX75)+'LINEST VARS'!$A$56*(0.5*$CX75)</f>
        <v>2.833600000000001</v>
      </c>
      <c r="DB75" s="51">
        <f>'LINEST VARS'!$U$56+'LINEST VARS'!$T$56*(8)+'LINEST VARS'!$S$56*(8)+'LINEST VARS'!$R$56*($DB$56)+'LINEST VARS'!$Q$56*(0.5)+'LINEST VARS'!$P$56*($CX75)+'LINEST VARS'!$O$56*(8^2)+'LINEST VARS'!$N$56*(8^2)+'LINEST VARS'!$M$56*($DB$56^2)+'LINEST VARS'!$L$56*(0.5^2)+'LINEST VARS'!$K$56*($CX75^2)+'LINEST VARS'!$J$56*(8*8)+'LINEST VARS'!$I$56*(8*$DB$56)+'LINEST VARS'!$H$56*(8*0.5)+'LINEST VARS'!$G$56*(8*$CX75)+'LINEST VARS'!$F$56*(8*$DB$56)+'LINEST VARS'!$E$56*(8*0.5)+'LINEST VARS'!$D$56*(8*$CX75)+'LINEST VARS'!$C$56*($DB$56*0.5)+'LINEST VARS'!$B$56*($DB$56*$CX75)+'LINEST VARS'!$A$56*(0.5*$CX75)</f>
        <v>2.845600000000001</v>
      </c>
      <c r="DC75" s="51">
        <f>'LINEST VARS'!$U$56+'LINEST VARS'!$T$56*(8)+'LINEST VARS'!$S$56*(8)+'LINEST VARS'!$R$56*($DC$56)+'LINEST VARS'!$Q$56*(0.5)+'LINEST VARS'!$P$56*($CX75)+'LINEST VARS'!$O$56*(8^2)+'LINEST VARS'!$N$56*(8^2)+'LINEST VARS'!$M$56*($DC$56^2)+'LINEST VARS'!$L$56*(0.5^2)+'LINEST VARS'!$K$56*($CX75^2)+'LINEST VARS'!$J$56*(8*8)+'LINEST VARS'!$I$56*(8*$DC$56)+'LINEST VARS'!$H$56*(8*0.5)+'LINEST VARS'!$G$56*(8*$CX75)+'LINEST VARS'!$F$56*(8*$DC$56)+'LINEST VARS'!$E$56*(8*0.5)+'LINEST VARS'!$D$56*(8*$CX75)+'LINEST VARS'!$C$56*($DC$56*0.5)+'LINEST VARS'!$B$56*($DC$56*$CX75)+'LINEST VARS'!$A$56*(0.5*$CX75)</f>
        <v>2.8544000000000014</v>
      </c>
      <c r="DD75" s="51">
        <f>'LINEST VARS'!$U$56+'LINEST VARS'!$T$56*(8)+'LINEST VARS'!$S$56*(8)+'LINEST VARS'!$R$56*($DD$56)+'LINEST VARS'!$Q$56*(0.5)+'LINEST VARS'!$P$56*($CX75)+'LINEST VARS'!$O$56*(8^2)+'LINEST VARS'!$N$56*(8^2)+'LINEST VARS'!$M$56*($DD$56^2)+'LINEST VARS'!$L$56*(0.5^2)+'LINEST VARS'!$K$56*($CX75^2)+'LINEST VARS'!$J$56*(8*8)+'LINEST VARS'!$I$56*(8*$DD$56)+'LINEST VARS'!$H$56*(8*0.5)+'LINEST VARS'!$G$56*(8*$CX75)+'LINEST VARS'!$F$56*(8*$DD$56)+'LINEST VARS'!$E$56*(8*0.5)+'LINEST VARS'!$D$56*(8*$CX75)+'LINEST VARS'!$C$56*($DD$56*0.5)+'LINEST VARS'!$B$56*($DD$56*$CX75)+'LINEST VARS'!$A$56*(0.5*$CX75)</f>
        <v>2.8600000000000012</v>
      </c>
      <c r="DE75" s="51">
        <f>'LINEST VARS'!$U$56+'LINEST VARS'!$T$56*(8)+'LINEST VARS'!$S$56*(8)+'LINEST VARS'!$R$56*($DE$56)+'LINEST VARS'!$Q$56*(0.5)+'LINEST VARS'!$P$56*($CX75)+'LINEST VARS'!$O$56*(8^2)+'LINEST VARS'!$N$56*(8^2)+'LINEST VARS'!$M$56*($DE$56^2)+'LINEST VARS'!$L$56*(0.5^2)+'LINEST VARS'!$K$56*($CX75^2)+'LINEST VARS'!$J$56*(8*8)+'LINEST VARS'!$I$56*(8*$DE$56)+'LINEST VARS'!$H$56*(8*0.5)+'LINEST VARS'!$G$56*(8*$CX75)+'LINEST VARS'!$F$56*(8*$DE$56)+'LINEST VARS'!$E$56*(8*0.5)+'LINEST VARS'!$D$56*(8*$CX75)+'LINEST VARS'!$C$56*($DE$56*0.5)+'LINEST VARS'!$B$56*($DE$56*$CX75)+'LINEST VARS'!$A$56*(0.5*$CX75)</f>
        <v>2.8624000000000014</v>
      </c>
      <c r="DF75" s="51">
        <f>'LINEST VARS'!$U$56+'LINEST VARS'!$T$56*(8)+'LINEST VARS'!$S$56*(8)+'LINEST VARS'!$R$56*($DF$56)+'LINEST VARS'!$Q$56*(0.5)+'LINEST VARS'!$P$56*($CX75)+'LINEST VARS'!$O$56*(8^2)+'LINEST VARS'!$N$56*(8^2)+'LINEST VARS'!$M$56*($DF$56^2)+'LINEST VARS'!$L$56*(0.5^2)+'LINEST VARS'!$K$56*($CX75^2)+'LINEST VARS'!$J$56*(8*8)+'LINEST VARS'!$I$56*(8*$DF$56)+'LINEST VARS'!$H$56*(8*0.5)+'LINEST VARS'!$G$56*(8*$CX75)+'LINEST VARS'!$F$56*(8*$DF$56)+'LINEST VARS'!$E$56*(8*0.5)+'LINEST VARS'!$D$56*(8*$CX75)+'LINEST VARS'!$C$56*($DF$56*0.5)+'LINEST VARS'!$B$56*($DF$56*$CX75)+'LINEST VARS'!$A$56*(0.5*$CX75)</f>
        <v>2.861600000000001</v>
      </c>
      <c r="DG75" s="51">
        <f>'LINEST VARS'!$U$56+'LINEST VARS'!$T$56*(8)+'LINEST VARS'!$S$56*(8)+'LINEST VARS'!$R$56*($DG$56)+'LINEST VARS'!$Q$56*(0.5)+'LINEST VARS'!$P$56*($CX75)+'LINEST VARS'!$O$56*(8^2)+'LINEST VARS'!$N$56*(8^2)+'LINEST VARS'!$M$56*($DG$56^2)+'LINEST VARS'!$L$56*(0.5^2)+'LINEST VARS'!$K$56*($CX75^2)+'LINEST VARS'!$J$56*(8*8)+'LINEST VARS'!$I$56*(8*$DG$56)+'LINEST VARS'!$H$56*(8*0.5)+'LINEST VARS'!$G$56*(8*$CX75)+'LINEST VARS'!$F$56*(8*$DG$56)+'LINEST VARS'!$E$56*(8*0.5)+'LINEST VARS'!$D$56*(8*$CX75)+'LINEST VARS'!$C$56*($DG$56*0.5)+'LINEST VARS'!$B$56*($DG$56*$CX75)+'LINEST VARS'!$A$56*(0.5*$CX75)</f>
        <v>2.857600000000001</v>
      </c>
      <c r="DH75" s="51">
        <f>'LINEST VARS'!$U$56+'LINEST VARS'!$T$56*(8)+'LINEST VARS'!$S$56*(8)+'LINEST VARS'!$R$56*($DH$56)+'LINEST VARS'!$Q$56*(0.5)+'LINEST VARS'!$P$56*($CX75)+'LINEST VARS'!$O$56*(8^2)+'LINEST VARS'!$N$56*(8^2)+'LINEST VARS'!$M$56*($DH$56^2)+'LINEST VARS'!$L$56*(0.5^2)+'LINEST VARS'!$K$56*($CX75^2)+'LINEST VARS'!$J$56*(8*8)+'LINEST VARS'!$I$56*(8*$DH$56)+'LINEST VARS'!$H$56*(8*0.5)+'LINEST VARS'!$G$56*(8*$CX75)+'LINEST VARS'!$F$56*(8*$DH$56)+'LINEST VARS'!$E$56*(8*0.5)+'LINEST VARS'!$D$56*(8*$CX75)+'LINEST VARS'!$C$56*($DH$56*0.5)+'LINEST VARS'!$B$56*($DH$56*$CX75)+'LINEST VARS'!$A$56*(0.5*$CX75)</f>
        <v>2.8504000000000014</v>
      </c>
      <c r="DI75" s="51">
        <f>'LINEST VARS'!$U$56+'LINEST VARS'!$T$56*(8)+'LINEST VARS'!$S$56*(8)+'LINEST VARS'!$R$56*($DI$56)+'LINEST VARS'!$Q$56*(0.5)+'LINEST VARS'!$P$56*($CX75)+'LINEST VARS'!$O$56*(8^2)+'LINEST VARS'!$N$56*(8^2)+'LINEST VARS'!$M$56*($DI$56^2)+'LINEST VARS'!$L$56*(0.5^2)+'LINEST VARS'!$K$56*($CX75^2)+'LINEST VARS'!$J$56*(8*8)+'LINEST VARS'!$I$56*(8*$DI$56)+'LINEST VARS'!$H$56*(8*0.5)+'LINEST VARS'!$G$56*(8*$CX75)+'LINEST VARS'!$F$56*(8*$DI$56)+'LINEST VARS'!$E$56*(8*0.5)+'LINEST VARS'!$D$56*(8*$CX75)+'LINEST VARS'!$C$56*($DI$56*0.5)+'LINEST VARS'!$B$56*($DI$56*$CX75)+'LINEST VARS'!$A$56*(0.5*$CX75)</f>
        <v>2.8400000000000012</v>
      </c>
      <c r="DJ75" s="51">
        <f>'LINEST VARS'!$U$56+'LINEST VARS'!$T$56*(8)+'LINEST VARS'!$S$56*(8)+'LINEST VARS'!$R$56*($DJ$56)+'LINEST VARS'!$Q$56*(0.5)+'LINEST VARS'!$P$56*($CX75)+'LINEST VARS'!$O$56*(8^2)+'LINEST VARS'!$N$56*(8^2)+'LINEST VARS'!$M$56*($DJ$56^2)+'LINEST VARS'!$L$56*(0.5^2)+'LINEST VARS'!$K$56*($CX75^2)+'LINEST VARS'!$J$56*(8*8)+'LINEST VARS'!$I$56*(8*$DJ$56)+'LINEST VARS'!$H$56*(8*0.5)+'LINEST VARS'!$G$56*(8*$CX75)+'LINEST VARS'!$F$56*(8*$DJ$56)+'LINEST VARS'!$E$56*(8*0.5)+'LINEST VARS'!$D$56*(8*$CX75)+'LINEST VARS'!$C$56*($DJ$56*0.5)+'LINEST VARS'!$B$56*($DJ$56*$CX75)+'LINEST VARS'!$A$56*(0.5*$CX75)</f>
        <v>2.8264000000000014</v>
      </c>
      <c r="DK75" s="51">
        <f>'LINEST VARS'!$U$56+'LINEST VARS'!$T$56*(8)+'LINEST VARS'!$S$56*(8)+'LINEST VARS'!$R$56*($DK$56)+'LINEST VARS'!$Q$56*(0.5)+'LINEST VARS'!$P$56*($CX75)+'LINEST VARS'!$O$56*(8^2)+'LINEST VARS'!$N$56*(8^2)+'LINEST VARS'!$M$56*($DK$56^2)+'LINEST VARS'!$L$56*(0.5^2)+'LINEST VARS'!$K$56*($CX75^2)+'LINEST VARS'!$J$56*(8*8)+'LINEST VARS'!$I$56*(8*$DK$56)+'LINEST VARS'!$H$56*(8*0.5)+'LINEST VARS'!$G$56*(8*$CX75)+'LINEST VARS'!$F$56*(8*$DK$56)+'LINEST VARS'!$E$56*(8*0.5)+'LINEST VARS'!$D$56*(8*$CX75)+'LINEST VARS'!$C$56*($DK$56*0.5)+'LINEST VARS'!$B$56*($DK$56*$CX75)+'LINEST VARS'!$A$56*(0.5*$CX75)</f>
        <v>2.809600000000001</v>
      </c>
      <c r="DL75" s="51">
        <f>'LINEST VARS'!$U$56+'LINEST VARS'!$T$56*(8)+'LINEST VARS'!$S$56*(8)+'LINEST VARS'!$R$56*($DL$56)+'LINEST VARS'!$Q$56*(0.5)+'LINEST VARS'!$P$56*($CX75)+'LINEST VARS'!$O$56*(8^2)+'LINEST VARS'!$N$56*(8^2)+'LINEST VARS'!$M$56*($DL$56^2)+'LINEST VARS'!$L$56*(0.5^2)+'LINEST VARS'!$K$56*($CX75^2)+'LINEST VARS'!$J$56*(8*8)+'LINEST VARS'!$I$56*(8*$DL$56)+'LINEST VARS'!$H$56*(8*0.5)+'LINEST VARS'!$G$56*(8*$CX75)+'LINEST VARS'!$F$56*(8*$DL$56)+'LINEST VARS'!$E$56*(8*0.5)+'LINEST VARS'!$D$56*(8*$CX75)+'LINEST VARS'!$C$56*($DL$56*0.5)+'LINEST VARS'!$B$56*($DL$56*$CX75)+'LINEST VARS'!$A$56*(0.5*$CX75)</f>
        <v>2.789600000000001</v>
      </c>
      <c r="DM75" s="51">
        <f>'LINEST VARS'!$U$56+'LINEST VARS'!$T$56*(8)+'LINEST VARS'!$S$56*(8)+'LINEST VARS'!$R$56*($DM$56)+'LINEST VARS'!$Q$56*(0.5)+'LINEST VARS'!$P$56*($CX75)+'LINEST VARS'!$O$56*(8^2)+'LINEST VARS'!$N$56*(8^2)+'LINEST VARS'!$M$56*($DM$56^2)+'LINEST VARS'!$L$56*(0.5^2)+'LINEST VARS'!$K$56*($CX75^2)+'LINEST VARS'!$J$56*(8*8)+'LINEST VARS'!$I$56*(8*$DM$56)+'LINEST VARS'!$H$56*(8*0.5)+'LINEST VARS'!$G$56*(8*$CX75)+'LINEST VARS'!$F$56*(8*$DM$56)+'LINEST VARS'!$E$56*(8*0.5)+'LINEST VARS'!$D$56*(8*$CX75)+'LINEST VARS'!$C$56*($DM$56*0.5)+'LINEST VARS'!$B$56*($DM$56*$CX75)+'LINEST VARS'!$A$56*(0.5*$CX75)</f>
        <v>2.7664000000000009</v>
      </c>
      <c r="DN75" s="51">
        <f>'LINEST VARS'!$U$56+'LINEST VARS'!$T$56*(8)+'LINEST VARS'!$S$56*(8)+'LINEST VARS'!$R$56*($DN$56)+'LINEST VARS'!$Q$56*(0.5)+'LINEST VARS'!$P$56*($CX75)+'LINEST VARS'!$O$56*(8^2)+'LINEST VARS'!$N$56*(8^2)+'LINEST VARS'!$M$56*($DN$56^2)+'LINEST VARS'!$L$56*(0.5^2)+'LINEST VARS'!$K$56*($CX75^2)+'LINEST VARS'!$J$56*(8*8)+'LINEST VARS'!$I$56*(8*$DN$56)+'LINEST VARS'!$H$56*(8*0.5)+'LINEST VARS'!$G$56*(8*$CX75)+'LINEST VARS'!$F$56*(8*$DN$56)+'LINEST VARS'!$E$56*(8*0.5)+'LINEST VARS'!$D$56*(8*$CX75)+'LINEST VARS'!$C$56*($DN$56*0.5)+'LINEST VARS'!$B$56*($DN$56*$CX75)+'LINEST VARS'!$A$56*(0.5*$CX75)</f>
        <v>2.7400000000000007</v>
      </c>
      <c r="DO75" s="51">
        <f>'LINEST VARS'!$U$56+'LINEST VARS'!$T$56*(8)+'LINEST VARS'!$S$56*(8)+'LINEST VARS'!$R$56*($DO$56)+'LINEST VARS'!$Q$56*(0.5)+'LINEST VARS'!$P$56*($CX75)+'LINEST VARS'!$O$56*(8^2)+'LINEST VARS'!$N$56*(8^2)+'LINEST VARS'!$M$56*($DO$56^2)+'LINEST VARS'!$L$56*(0.5^2)+'LINEST VARS'!$K$56*($CX75^2)+'LINEST VARS'!$J$56*(8*8)+'LINEST VARS'!$I$56*(8*$DO$56)+'LINEST VARS'!$H$56*(8*0.5)+'LINEST VARS'!$G$56*(8*$CX75)+'LINEST VARS'!$F$56*(8*$DO$56)+'LINEST VARS'!$E$56*(8*0.5)+'LINEST VARS'!$D$56*(8*$CX75)+'LINEST VARS'!$C$56*($DO$56*0.5)+'LINEST VARS'!$B$56*($DO$56*$CX75)+'LINEST VARS'!$A$56*(0.5*$CX75)</f>
        <v>2.7104000000000004</v>
      </c>
      <c r="DP75" s="51">
        <f>'LINEST VARS'!$U$56+'LINEST VARS'!$T$56*(8)+'LINEST VARS'!$S$56*(8)+'LINEST VARS'!$R$56*($DP$56)+'LINEST VARS'!$Q$56*(0.5)+'LINEST VARS'!$P$56*($CX75)+'LINEST VARS'!$O$56*(8^2)+'LINEST VARS'!$N$56*(8^2)+'LINEST VARS'!$M$56*($DP$56^2)+'LINEST VARS'!$L$56*(0.5^2)+'LINEST VARS'!$K$56*($CX75^2)+'LINEST VARS'!$J$56*(8*8)+'LINEST VARS'!$I$56*(8*$DP$56)+'LINEST VARS'!$H$56*(8*0.5)+'LINEST VARS'!$G$56*(8*$CX75)+'LINEST VARS'!$F$56*(8*$DP$56)+'LINEST VARS'!$E$56*(8*0.5)+'LINEST VARS'!$D$56*(8*$CX75)+'LINEST VARS'!$C$56*($DP$56*0.5)+'LINEST VARS'!$B$56*($DP$56*$CX75)+'LINEST VARS'!$A$56*(0.5*$CX75)</f>
        <v>2.6776000000000004</v>
      </c>
      <c r="DQ75" s="51">
        <f>'LINEST VARS'!$U$56+'LINEST VARS'!$T$56*(8)+'LINEST VARS'!$S$56*(8)+'LINEST VARS'!$R$56*($DQ$56)+'LINEST VARS'!$Q$56*(0.5)+'LINEST VARS'!$P$56*($CX75)+'LINEST VARS'!$O$56*(8^2)+'LINEST VARS'!$N$56*(8^2)+'LINEST VARS'!$M$56*($DQ$56^2)+'LINEST VARS'!$L$56*(0.5^2)+'LINEST VARS'!$K$56*($CX75^2)+'LINEST VARS'!$J$56*(8*8)+'LINEST VARS'!$I$56*(8*$DQ$56)+'LINEST VARS'!$H$56*(8*0.5)+'LINEST VARS'!$G$56*(8*$CX75)+'LINEST VARS'!$F$56*(8*$DQ$56)+'LINEST VARS'!$E$56*(8*0.5)+'LINEST VARS'!$D$56*(8*$CX75)+'LINEST VARS'!$C$56*($DQ$56*0.5)+'LINEST VARS'!$B$56*($DQ$56*$CX75)+'LINEST VARS'!$A$56*(0.5*$CX75)</f>
        <v>2.6416000000000004</v>
      </c>
      <c r="DR75" s="51">
        <f>'LINEST VARS'!$U$56+'LINEST VARS'!$T$56*(8)+'LINEST VARS'!$S$56*(8)+'LINEST VARS'!$R$56*($DR$56)+'LINEST VARS'!$Q$56*(0.5)+'LINEST VARS'!$P$56*($CX75)+'LINEST VARS'!$O$56*(8^2)+'LINEST VARS'!$N$56*(8^2)+'LINEST VARS'!$M$56*($DR$56^2)+'LINEST VARS'!$L$56*(0.5^2)+'LINEST VARS'!$K$56*($CX75^2)+'LINEST VARS'!$J$56*(8*8)+'LINEST VARS'!$I$56*(8*$DR$56)+'LINEST VARS'!$H$56*(8*0.5)+'LINEST VARS'!$G$56*(8*$CX75)+'LINEST VARS'!$F$56*(8*$DR$56)+'LINEST VARS'!$E$56*(8*0.5)+'LINEST VARS'!$D$56*(8*$CX75)+'LINEST VARS'!$C$56*($DR$56*0.5)+'LINEST VARS'!$B$56*($DR$56*$CX75)+'LINEST VARS'!$A$56*(0.5*$CX75)</f>
        <v>2.6024000000000007</v>
      </c>
      <c r="DS75" s="52">
        <f>'LINEST VARS'!$U$56+'LINEST VARS'!$T$56*(8)+'LINEST VARS'!$S$56*(8)+'LINEST VARS'!$R$56*($DS$56)+'LINEST VARS'!$Q$56*(0.5)+'LINEST VARS'!$P$56*($CX75)+'LINEST VARS'!$O$56*(8^2)+'LINEST VARS'!$N$56*(8^2)+'LINEST VARS'!$M$56*($DS$56^2)+'LINEST VARS'!$L$56*(0.5^2)+'LINEST VARS'!$K$56*($CX75^2)+'LINEST VARS'!$J$56*(8*8)+'LINEST VARS'!$I$56*(8*$DS$56)+'LINEST VARS'!$H$56*(8*0.5)+'LINEST VARS'!$G$56*(8*$CX75)+'LINEST VARS'!$F$56*(8*$DS$56)+'LINEST VARS'!$E$56*(8*0.5)+'LINEST VARS'!$D$56*(8*$CX75)+'LINEST VARS'!$C$56*($DS$56*0.5)+'LINEST VARS'!$B$56*($DS$56*$CX75)+'LINEST VARS'!$A$56*(0.5*$CX75)</f>
        <v>2.5600000000000005</v>
      </c>
      <c r="DV75" s="45">
        <v>23.390999999999998</v>
      </c>
      <c r="DW75" s="51">
        <f>'LINEST VARS'!$U$58+'LINEST VARS'!$T$58*(8)+'LINEST VARS'!$S$58*(8)+'LINEST VARS'!$R$58*($DW$56)+'LINEST VARS'!$Q$58*(0.5)+'LINEST VARS'!$P$58*($DV75)+'LINEST VARS'!$O$58*(8^2)+'LINEST VARS'!$N$58*(8^2)+'LINEST VARS'!$M$58*($DW$56^2)+'LINEST VARS'!$L$58*(0.5^2)+'LINEST VARS'!$K$58*($DV75^2)+'LINEST VARS'!$J$58*(8*8)+'LINEST VARS'!$I$58*(8*$DW$56)+'LINEST VARS'!$H$58*(8*0.5)+'LINEST VARS'!$G$58*(8*$DV75)+'LINEST VARS'!$F$58*(8*$DW$56)+'LINEST VARS'!$E$58*(8*0.5)+'LINEST VARS'!$D$58*(8*$DV75)+'LINEST VARS'!$C$58*($DW$56*0.5)+'LINEST VARS'!$B$58*($DW$56*$DV75)+'LINEST VARS'!$A$58*(0.5*$DV75)</f>
        <v>0.9169550000000003</v>
      </c>
      <c r="DX75" s="51">
        <f>'LINEST VARS'!$U$58+'LINEST VARS'!$T$58*(8)+'LINEST VARS'!$S$58*(8)+'LINEST VARS'!$R$58*($DX$56)+'LINEST VARS'!$Q$58*(0.5)+'LINEST VARS'!$P$58*($DV75)+'LINEST VARS'!$O$58*(8^2)+'LINEST VARS'!$N$58*(8^2)+'LINEST VARS'!$M$58*($DX$56^2)+'LINEST VARS'!$L$58*(0.5^2)+'LINEST VARS'!$K$58*($DV75^2)+'LINEST VARS'!$J$58*(8*8)+'LINEST VARS'!$I$58*(8*$DX$56)+'LINEST VARS'!$H$58*(8*0.5)+'LINEST VARS'!$G$58*(8*$DV75)+'LINEST VARS'!$F$58*(8*$DX$56)+'LINEST VARS'!$E$58*(8*0.5)+'LINEST VARS'!$D$58*(8*$DV75)+'LINEST VARS'!$C$58*($DX$56*0.5)+'LINEST VARS'!$B$58*($DX$56*$DV75)+'LINEST VARS'!$A$58*(0.5*$DV75)</f>
        <v>0.9249550000000003</v>
      </c>
      <c r="DY75" s="51">
        <f>'LINEST VARS'!$U$58+'LINEST VARS'!$T$58*(8)+'LINEST VARS'!$S$58*(8)+'LINEST VARS'!$R$58*($DY$56)+'LINEST VARS'!$Q$58*(0.5)+'LINEST VARS'!$P$58*($DV75)+'LINEST VARS'!$O$58*(8^2)+'LINEST VARS'!$N$58*(8^2)+'LINEST VARS'!$M$58*($DY$56^2)+'LINEST VARS'!$L$58*(0.5^2)+'LINEST VARS'!$K$58*($DV75^2)+'LINEST VARS'!$J$58*(8*8)+'LINEST VARS'!$I$58*(8*$DY$56)+'LINEST VARS'!$H$58*(8*0.5)+'LINEST VARS'!$G$58*(8*$DV75)+'LINEST VARS'!$F$58*(8*$DY$56)+'LINEST VARS'!$E$58*(8*0.5)+'LINEST VARS'!$D$58*(8*$DV75)+'LINEST VARS'!$C$58*($DY$56*0.5)+'LINEST VARS'!$B$58*($DY$56*$DV75)+'LINEST VARS'!$A$58*(0.5*$DV75)</f>
        <v>0.9329550000000002</v>
      </c>
      <c r="DZ75" s="51">
        <f>'LINEST VARS'!$U$58+'LINEST VARS'!$T$58*(8)+'LINEST VARS'!$S$58*(8)+'LINEST VARS'!$R$58*($DZ$56)+'LINEST VARS'!$Q$58*(0.5)+'LINEST VARS'!$P$58*($DV75)+'LINEST VARS'!$O$58*(8^2)+'LINEST VARS'!$N$58*(8^2)+'LINEST VARS'!$M$58*($DZ$56^2)+'LINEST VARS'!$L$58*(0.5^2)+'LINEST VARS'!$K$58*($DV75^2)+'LINEST VARS'!$J$58*(8*8)+'LINEST VARS'!$I$58*(8*$DZ$56)+'LINEST VARS'!$H$58*(8*0.5)+'LINEST VARS'!$G$58*(8*$DV75)+'LINEST VARS'!$F$58*(8*$DZ$56)+'LINEST VARS'!$E$58*(8*0.5)+'LINEST VARS'!$D$58*(8*$DV75)+'LINEST VARS'!$C$58*($DZ$56*0.5)+'LINEST VARS'!$B$58*($DZ$56*$DV75)+'LINEST VARS'!$A$58*(0.5*$DV75)</f>
        <v>0.94095500000000021</v>
      </c>
      <c r="EA75" s="51">
        <f>'LINEST VARS'!$U$58+'LINEST VARS'!$T$58*(8)+'LINEST VARS'!$S$58*(8)+'LINEST VARS'!$R$58*($EA$56)+'LINEST VARS'!$Q$58*(0.5)+'LINEST VARS'!$P$58*($DV75)+'LINEST VARS'!$O$58*(8^2)+'LINEST VARS'!$N$58*(8^2)+'LINEST VARS'!$M$58*($EA$56^2)+'LINEST VARS'!$L$58*(0.5^2)+'LINEST VARS'!$K$58*($DV75^2)+'LINEST VARS'!$J$58*(8*8)+'LINEST VARS'!$I$58*(8*$EA$56)+'LINEST VARS'!$H$58*(8*0.5)+'LINEST VARS'!$G$58*(8*$DV75)+'LINEST VARS'!$F$58*(8*$EA$56)+'LINEST VARS'!$E$58*(8*0.5)+'LINEST VARS'!$D$58*(8*$DV75)+'LINEST VARS'!$C$58*($EA$56*0.5)+'LINEST VARS'!$B$58*($EA$56*$DV75)+'LINEST VARS'!$A$58*(0.5*$DV75)</f>
        <v>0.9489550000000001</v>
      </c>
      <c r="EB75" s="51">
        <f>'LINEST VARS'!$U$58+'LINEST VARS'!$T$58*(8)+'LINEST VARS'!$S$58*(8)+'LINEST VARS'!$R$58*($EB$56)+'LINEST VARS'!$Q$58*(0.5)+'LINEST VARS'!$P$58*($DV75)+'LINEST VARS'!$O$58*(8^2)+'LINEST VARS'!$N$58*(8^2)+'LINEST VARS'!$M$58*($EB$56^2)+'LINEST VARS'!$L$58*(0.5^2)+'LINEST VARS'!$K$58*($DV75^2)+'LINEST VARS'!$J$58*(8*8)+'LINEST VARS'!$I$58*(8*$EB$56)+'LINEST VARS'!$H$58*(8*0.5)+'LINEST VARS'!$G$58*(8*$DV75)+'LINEST VARS'!$F$58*(8*$EB$56)+'LINEST VARS'!$E$58*(8*0.5)+'LINEST VARS'!$D$58*(8*$DV75)+'LINEST VARS'!$C$58*($EB$56*0.5)+'LINEST VARS'!$B$58*($EB$56*$DV75)+'LINEST VARS'!$A$58*(0.5*$DV75)</f>
        <v>0.95695500000000022</v>
      </c>
      <c r="EC75" s="51">
        <f>'LINEST VARS'!$U$58+'LINEST VARS'!$T$58*(8)+'LINEST VARS'!$S$58*(8)+'LINEST VARS'!$R$58*($EC$56)+'LINEST VARS'!$Q$58*(0.5)+'LINEST VARS'!$P$58*($DV75)+'LINEST VARS'!$O$58*(8^2)+'LINEST VARS'!$N$58*(8^2)+'LINEST VARS'!$M$58*($EC$56^2)+'LINEST VARS'!$L$58*(0.5^2)+'LINEST VARS'!$K$58*($DV75^2)+'LINEST VARS'!$J$58*(8*8)+'LINEST VARS'!$I$58*(8*$EC$56)+'LINEST VARS'!$H$58*(8*0.5)+'LINEST VARS'!$G$58*(8*$DV75)+'LINEST VARS'!$F$58*(8*$EC$56)+'LINEST VARS'!$E$58*(8*0.5)+'LINEST VARS'!$D$58*(8*$DV75)+'LINEST VARS'!$C$58*($EC$56*0.5)+'LINEST VARS'!$B$58*($EC$56*$DV75)+'LINEST VARS'!$A$58*(0.5*$DV75)</f>
        <v>0.96495500000000023</v>
      </c>
      <c r="ED75" s="51">
        <f>'LINEST VARS'!$U$58+'LINEST VARS'!$T$58*(8)+'LINEST VARS'!$S$58*(8)+'LINEST VARS'!$R$58*($ED$56)+'LINEST VARS'!$Q$58*(0.5)+'LINEST VARS'!$P$58*($DV75)+'LINEST VARS'!$O$58*(8^2)+'LINEST VARS'!$N$58*(8^2)+'LINEST VARS'!$M$58*($ED$56^2)+'LINEST VARS'!$L$58*(0.5^2)+'LINEST VARS'!$K$58*($DV75^2)+'LINEST VARS'!$J$58*(8*8)+'LINEST VARS'!$I$58*(8*$ED$56)+'LINEST VARS'!$H$58*(8*0.5)+'LINEST VARS'!$G$58*(8*$DV75)+'LINEST VARS'!$F$58*(8*$ED$56)+'LINEST VARS'!$E$58*(8*0.5)+'LINEST VARS'!$D$58*(8*$DV75)+'LINEST VARS'!$C$58*($ED$56*0.5)+'LINEST VARS'!$B$58*($ED$56*$DV75)+'LINEST VARS'!$A$58*(0.5*$DV75)</f>
        <v>0.97295500000000024</v>
      </c>
      <c r="EE75" s="51">
        <f>'LINEST VARS'!$U$58+'LINEST VARS'!$T$58*(8)+'LINEST VARS'!$S$58*(8)+'LINEST VARS'!$R$58*($EE$56)+'LINEST VARS'!$Q$58*(0.5)+'LINEST VARS'!$P$58*($DV75)+'LINEST VARS'!$O$58*(8^2)+'LINEST VARS'!$N$58*(8^2)+'LINEST VARS'!$M$58*($EE$56^2)+'LINEST VARS'!$L$58*(0.5^2)+'LINEST VARS'!$K$58*($DV75^2)+'LINEST VARS'!$J$58*(8*8)+'LINEST VARS'!$I$58*(8*$EE$56)+'LINEST VARS'!$H$58*(8*0.5)+'LINEST VARS'!$G$58*(8*$DV75)+'LINEST VARS'!$F$58*(8*$EE$56)+'LINEST VARS'!$E$58*(8*0.5)+'LINEST VARS'!$D$58*(8*$DV75)+'LINEST VARS'!$C$58*($EE$56*0.5)+'LINEST VARS'!$B$58*($EE$56*$DV75)+'LINEST VARS'!$A$58*(0.5*$DV75)</f>
        <v>0.98095500000000035</v>
      </c>
      <c r="EF75" s="51">
        <f>'LINEST VARS'!$U$58+'LINEST VARS'!$T$58*(8)+'LINEST VARS'!$S$58*(8)+'LINEST VARS'!$R$58*($EF$56)+'LINEST VARS'!$Q$58*(0.5)+'LINEST VARS'!$P$58*($DV75)+'LINEST VARS'!$O$58*(8^2)+'LINEST VARS'!$N$58*(8^2)+'LINEST VARS'!$M$58*($EF$56^2)+'LINEST VARS'!$L$58*(0.5^2)+'LINEST VARS'!$K$58*($DV75^2)+'LINEST VARS'!$J$58*(8*8)+'LINEST VARS'!$I$58*(8*$EF$56)+'LINEST VARS'!$H$58*(8*0.5)+'LINEST VARS'!$G$58*(8*$DV75)+'LINEST VARS'!$F$58*(8*$EF$56)+'LINEST VARS'!$E$58*(8*0.5)+'LINEST VARS'!$D$58*(8*$DV75)+'LINEST VARS'!$C$58*($EF$56*0.5)+'LINEST VARS'!$B$58*($EF$56*$DV75)+'LINEST VARS'!$A$58*(0.5*$DV75)</f>
        <v>0.98895500000000025</v>
      </c>
      <c r="EG75" s="51">
        <f>'LINEST VARS'!$U$58+'LINEST VARS'!$T$58*(8)+'LINEST VARS'!$S$58*(8)+'LINEST VARS'!$R$58*($EG$56)+'LINEST VARS'!$Q$58*(0.5)+'LINEST VARS'!$P$58*($DV75)+'LINEST VARS'!$O$58*(8^2)+'LINEST VARS'!$N$58*(8^2)+'LINEST VARS'!$M$58*($EG$56^2)+'LINEST VARS'!$L$58*(0.5^2)+'LINEST VARS'!$K$58*($DV75^2)+'LINEST VARS'!$J$58*(8*8)+'LINEST VARS'!$I$58*(8*$EG$56)+'LINEST VARS'!$H$58*(8*0.5)+'LINEST VARS'!$G$58*(8*$DV75)+'LINEST VARS'!$F$58*(8*$EG$56)+'LINEST VARS'!$E$58*(8*0.5)+'LINEST VARS'!$D$58*(8*$DV75)+'LINEST VARS'!$C$58*($EG$56*0.5)+'LINEST VARS'!$B$58*($EG$56*$DV75)+'LINEST VARS'!$A$58*(0.5*$DV75)</f>
        <v>0.99695500000000026</v>
      </c>
      <c r="EH75" s="51">
        <f>'LINEST VARS'!$U$58+'LINEST VARS'!$T$58*(8)+'LINEST VARS'!$S$58*(8)+'LINEST VARS'!$R$58*($EH$56)+'LINEST VARS'!$Q$58*(0.5)+'LINEST VARS'!$P$58*($DV75)+'LINEST VARS'!$O$58*(8^2)+'LINEST VARS'!$N$58*(8^2)+'LINEST VARS'!$M$58*($EH$56^2)+'LINEST VARS'!$L$58*(0.5^2)+'LINEST VARS'!$K$58*($DV75^2)+'LINEST VARS'!$J$58*(8*8)+'LINEST VARS'!$I$58*(8*$EH$56)+'LINEST VARS'!$H$58*(8*0.5)+'LINEST VARS'!$G$58*(8*$DV75)+'LINEST VARS'!$F$58*(8*$EH$56)+'LINEST VARS'!$E$58*(8*0.5)+'LINEST VARS'!$D$58*(8*$DV75)+'LINEST VARS'!$C$58*($EH$56*0.5)+'LINEST VARS'!$B$58*($EH$56*$DV75)+'LINEST VARS'!$A$58*(0.5*$DV75)</f>
        <v>1.0049550000000005</v>
      </c>
      <c r="EI75" s="51">
        <f>'LINEST VARS'!$U$58+'LINEST VARS'!$T$58*(8)+'LINEST VARS'!$S$58*(8)+'LINEST VARS'!$R$58*($EI$56)+'LINEST VARS'!$Q$58*(0.5)+'LINEST VARS'!$P$58*($DV75)+'LINEST VARS'!$O$58*(8^2)+'LINEST VARS'!$N$58*(8^2)+'LINEST VARS'!$M$58*($EI$56^2)+'LINEST VARS'!$L$58*(0.5^2)+'LINEST VARS'!$K$58*($DV75^2)+'LINEST VARS'!$J$58*(8*8)+'LINEST VARS'!$I$58*(8*$EI$56)+'LINEST VARS'!$H$58*(8*0.5)+'LINEST VARS'!$G$58*(8*$DV75)+'LINEST VARS'!$F$58*(8*$EI$56)+'LINEST VARS'!$E$58*(8*0.5)+'LINEST VARS'!$D$58*(8*$DV75)+'LINEST VARS'!$C$58*($EI$56*0.5)+'LINEST VARS'!$B$58*($EI$56*$DV75)+'LINEST VARS'!$A$58*(0.5*$DV75)</f>
        <v>1.0129550000000005</v>
      </c>
      <c r="EJ75" s="51">
        <f>'LINEST VARS'!$U$58+'LINEST VARS'!$T$58*(8)+'LINEST VARS'!$S$58*(8)+'LINEST VARS'!$R$58*($EJ$56)+'LINEST VARS'!$Q$58*(0.5)+'LINEST VARS'!$P$58*($DV75)+'LINEST VARS'!$O$58*(8^2)+'LINEST VARS'!$N$58*(8^2)+'LINEST VARS'!$M$58*($EJ$56^2)+'LINEST VARS'!$L$58*(0.5^2)+'LINEST VARS'!$K$58*($DV75^2)+'LINEST VARS'!$J$58*(8*8)+'LINEST VARS'!$I$58*(8*$EJ$56)+'LINEST VARS'!$H$58*(8*0.5)+'LINEST VARS'!$G$58*(8*$DV75)+'LINEST VARS'!$F$58*(8*$EJ$56)+'LINEST VARS'!$E$58*(8*0.5)+'LINEST VARS'!$D$58*(8*$DV75)+'LINEST VARS'!$C$58*($EJ$56*0.5)+'LINEST VARS'!$B$58*($EJ$56*$DV75)+'LINEST VARS'!$A$58*(0.5*$DV75)</f>
        <v>1.0209550000000005</v>
      </c>
      <c r="EK75" s="51">
        <f>'LINEST VARS'!$U$58+'LINEST VARS'!$T$58*(8)+'LINEST VARS'!$S$58*(8)+'LINEST VARS'!$R$58*($EK$56)+'LINEST VARS'!$Q$58*(0.5)+'LINEST VARS'!$P$58*($DV75)+'LINEST VARS'!$O$58*(8^2)+'LINEST VARS'!$N$58*(8^2)+'LINEST VARS'!$M$58*($EK$56^2)+'LINEST VARS'!$L$58*(0.5^2)+'LINEST VARS'!$K$58*($DV75^2)+'LINEST VARS'!$J$58*(8*8)+'LINEST VARS'!$I$58*(8*$EK$56)+'LINEST VARS'!$H$58*(8*0.5)+'LINEST VARS'!$G$58*(8*$DV75)+'LINEST VARS'!$F$58*(8*$EK$56)+'LINEST VARS'!$E$58*(8*0.5)+'LINEST VARS'!$D$58*(8*$DV75)+'LINEST VARS'!$C$58*($EK$56*0.5)+'LINEST VARS'!$B$58*($EK$56*$DV75)+'LINEST VARS'!$A$58*(0.5*$DV75)</f>
        <v>1.0289550000000005</v>
      </c>
      <c r="EL75" s="51">
        <f>'LINEST VARS'!$U$58+'LINEST VARS'!$T$58*(8)+'LINEST VARS'!$S$58*(8)+'LINEST VARS'!$R$58*($EL$56)+'LINEST VARS'!$Q$58*(0.5)+'LINEST VARS'!$P$58*($DV75)+'LINEST VARS'!$O$58*(8^2)+'LINEST VARS'!$N$58*(8^2)+'LINEST VARS'!$M$58*($EL$56^2)+'LINEST VARS'!$L$58*(0.5^2)+'LINEST VARS'!$K$58*($DV75^2)+'LINEST VARS'!$J$58*(8*8)+'LINEST VARS'!$I$58*(8*$EL$56)+'LINEST VARS'!$H$58*(8*0.5)+'LINEST VARS'!$G$58*(8*$DV75)+'LINEST VARS'!$F$58*(8*$EL$56)+'LINEST VARS'!$E$58*(8*0.5)+'LINEST VARS'!$D$58*(8*$DV75)+'LINEST VARS'!$C$58*($EL$56*0.5)+'LINEST VARS'!$B$58*($EL$56*$DV75)+'LINEST VARS'!$A$58*(0.5*$DV75)</f>
        <v>1.0369550000000003</v>
      </c>
      <c r="EM75" s="51">
        <f>'LINEST VARS'!$U$58+'LINEST VARS'!$T$58*(8)+'LINEST VARS'!$S$58*(8)+'LINEST VARS'!$R$58*($EM$56)+'LINEST VARS'!$Q$58*(0.5)+'LINEST VARS'!$P$58*($DV75)+'LINEST VARS'!$O$58*(8^2)+'LINEST VARS'!$N$58*(8^2)+'LINEST VARS'!$M$58*($EM$56^2)+'LINEST VARS'!$L$58*(0.5^2)+'LINEST VARS'!$K$58*($DV75^2)+'LINEST VARS'!$J$58*(8*8)+'LINEST VARS'!$I$58*(8*$EM$56)+'LINEST VARS'!$H$58*(8*0.5)+'LINEST VARS'!$G$58*(8*$DV75)+'LINEST VARS'!$F$58*(8*$EM$56)+'LINEST VARS'!$E$58*(8*0.5)+'LINEST VARS'!$D$58*(8*$DV75)+'LINEST VARS'!$C$58*($EM$56*0.5)+'LINEST VARS'!$B$58*($EM$56*$DV75)+'LINEST VARS'!$A$58*(0.5*$DV75)</f>
        <v>1.0449550000000003</v>
      </c>
      <c r="EN75" s="51">
        <f>'LINEST VARS'!$U$58+'LINEST VARS'!$T$58*(8)+'LINEST VARS'!$S$58*(8)+'LINEST VARS'!$R$58*($EN$56)+'LINEST VARS'!$Q$58*(0.5)+'LINEST VARS'!$P$58*($DV75)+'LINEST VARS'!$O$58*(8^2)+'LINEST VARS'!$N$58*(8^2)+'LINEST VARS'!$M$58*($EN$56^2)+'LINEST VARS'!$L$58*(0.5^2)+'LINEST VARS'!$K$58*($DV75^2)+'LINEST VARS'!$J$58*(8*8)+'LINEST VARS'!$I$58*(8*$EN$56)+'LINEST VARS'!$H$58*(8*0.5)+'LINEST VARS'!$G$58*(8*$DV75)+'LINEST VARS'!$F$58*(8*$EN$56)+'LINEST VARS'!$E$58*(8*0.5)+'LINEST VARS'!$D$58*(8*$DV75)+'LINEST VARS'!$C$58*($EN$56*0.5)+'LINEST VARS'!$B$58*($EN$56*$DV75)+'LINEST VARS'!$A$58*(0.5*$DV75)</f>
        <v>1.0529550000000003</v>
      </c>
      <c r="EO75" s="51">
        <f>'LINEST VARS'!$U$58+'LINEST VARS'!$T$58*(8)+'LINEST VARS'!$S$58*(8)+'LINEST VARS'!$R$58*($EO$56)+'LINEST VARS'!$Q$58*(0.5)+'LINEST VARS'!$P$58*($DV75)+'LINEST VARS'!$O$58*(8^2)+'LINEST VARS'!$N$58*(8^2)+'LINEST VARS'!$M$58*($EO$56^2)+'LINEST VARS'!$L$58*(0.5^2)+'LINEST VARS'!$K$58*($DV75^2)+'LINEST VARS'!$J$58*(8*8)+'LINEST VARS'!$I$58*(8*$EO$56)+'LINEST VARS'!$H$58*(8*0.5)+'LINEST VARS'!$G$58*(8*$DV75)+'LINEST VARS'!$F$58*(8*$EO$56)+'LINEST VARS'!$E$58*(8*0.5)+'LINEST VARS'!$D$58*(8*$DV75)+'LINEST VARS'!$C$58*($EO$56*0.5)+'LINEST VARS'!$B$58*($EO$56*$DV75)+'LINEST VARS'!$A$58*(0.5*$DV75)</f>
        <v>1.0609550000000003</v>
      </c>
      <c r="EP75" s="51">
        <f>'LINEST VARS'!$U$58+'LINEST VARS'!$T$58*(8)+'LINEST VARS'!$S$58*(8)+'LINEST VARS'!$R$58*($EP$56)+'LINEST VARS'!$Q$58*(0.5)+'LINEST VARS'!$P$58*($DV75)+'LINEST VARS'!$O$58*(8^2)+'LINEST VARS'!$N$58*(8^2)+'LINEST VARS'!$M$58*($EP$56^2)+'LINEST VARS'!$L$58*(0.5^2)+'LINEST VARS'!$K$58*($DV75^2)+'LINEST VARS'!$J$58*(8*8)+'LINEST VARS'!$I$58*(8*$EP$56)+'LINEST VARS'!$H$58*(8*0.5)+'LINEST VARS'!$G$58*(8*$DV75)+'LINEST VARS'!$F$58*(8*$EP$56)+'LINEST VARS'!$E$58*(8*0.5)+'LINEST VARS'!$D$58*(8*$DV75)+'LINEST VARS'!$C$58*($EP$56*0.5)+'LINEST VARS'!$B$58*($EP$56*$DV75)+'LINEST VARS'!$A$58*(0.5*$DV75)</f>
        <v>1.0689550000000001</v>
      </c>
      <c r="EQ75" s="52">
        <f>'LINEST VARS'!$U$58+'LINEST VARS'!$T$58*(8)+'LINEST VARS'!$S$58*(8)+'LINEST VARS'!$R$58*($EQ$56)+'LINEST VARS'!$Q$58*(0.5)+'LINEST VARS'!$P$58*($DV75)+'LINEST VARS'!$O$58*(8^2)+'LINEST VARS'!$N$58*(8^2)+'LINEST VARS'!$M$58*($EQ$56^2)+'LINEST VARS'!$L$58*(0.5^2)+'LINEST VARS'!$K$58*($DV75^2)+'LINEST VARS'!$J$58*(8*8)+'LINEST VARS'!$I$58*(8*$EQ$56)+'LINEST VARS'!$H$58*(8*0.5)+'LINEST VARS'!$G$58*(8*$DV75)+'LINEST VARS'!$F$58*(8*$EQ$56)+'LINEST VARS'!$E$58*(8*0.5)+'LINEST VARS'!$D$58*(8*$DV75)+'LINEST VARS'!$C$58*($EQ$56*0.5)+'LINEST VARS'!$B$58*($EQ$56*$DV75)+'LINEST VARS'!$A$58*(0.5*$DV75)</f>
        <v>1.0769550000000003</v>
      </c>
    </row>
    <row r="76" spans="2:147" ht="15" customHeight="1" x14ac:dyDescent="0.25">
      <c r="B76" s="45">
        <v>8.5399999999999991</v>
      </c>
      <c r="C76" s="51">
        <f>'LINEST VARS'!$U$56+'LINEST VARS'!$T$56*($C$56)+'LINEST VARS'!$S$56*($B76)+'LINEST VARS'!$R$56*(4)+'LINEST VARS'!$Q$56*(0.5)+'LINEST VARS'!$P$56*(12.73)+'LINEST VARS'!$O$56*($C$56^2)+'LINEST VARS'!$N$56*($B76^2)+'LINEST VARS'!$M$56*(4^2)+'LINEST VARS'!$L$56*(0.5^2)+'LINEST VARS'!$K$56*(12.73^2)+'LINEST VARS'!$J$56*($C$56*$B76)+'LINEST VARS'!$I$56*($C$56*4)+'LINEST VARS'!$H$56*($C$56*0.5)+'LINEST VARS'!$G$56*($C$56*12.73)+'LINEST VARS'!$F$56*($B76*4)+'LINEST VARS'!$E$56*($B76*0.5)+'LINEST VARS'!$D$56*($B76*12.73)+'LINEST VARS'!$C$56*(4*0.5)+'LINEST VARS'!$B$56*(4*12.73)+'LINEST VARS'!$A$56*(0.5*12.73)</f>
        <v>2.8400000000000012</v>
      </c>
      <c r="D76" s="51">
        <f>'LINEST VARS'!$U$56+'LINEST VARS'!$T$56*($D$56)+'LINEST VARS'!$S$56*($B76)+'LINEST VARS'!$R$56*(4)+'LINEST VARS'!$Q$56*(0.5)+'LINEST VARS'!$P$56*(12.73)+'LINEST VARS'!$O$56*($D$56^2)+'LINEST VARS'!$N$56*($B76^2)+'LINEST VARS'!$M$56*(4^2)+'LINEST VARS'!$L$56*(0.5^2)+'LINEST VARS'!$K$56*(12.73^2)+'LINEST VARS'!$J$56*($D$56*$B76)+'LINEST VARS'!$I$56*($D$56*4)+'LINEST VARS'!$H$56*($D$56*0.5)+'LINEST VARS'!$G$56*($D$56*12.73)+'LINEST VARS'!$F$56*($B76*4)+'LINEST VARS'!$E$56*($B76*0.5)+'LINEST VARS'!$D$56*($B76*12.73)+'LINEST VARS'!$C$56*(4*0.5)+'LINEST VARS'!$B$56*(4*12.73)+'LINEST VARS'!$A$56*(0.5*12.73)</f>
        <v>2.8400000000000012</v>
      </c>
      <c r="E76" s="51">
        <f>'LINEST VARS'!$U$56+'LINEST VARS'!$T$56*($E$56)+'LINEST VARS'!$S$56*($B76)+'LINEST VARS'!$R$56*(4)+'LINEST VARS'!$Q$56*(0.5)+'LINEST VARS'!$P$56*(12.73)+'LINEST VARS'!$O$56*($E$56^2)+'LINEST VARS'!$N$56*($B76^2)+'LINEST VARS'!$M$56*(4^2)+'LINEST VARS'!$L$56*(0.5^2)+'LINEST VARS'!$K$56*(12.73^2)+'LINEST VARS'!$J$56*($E$56*$B76)+'LINEST VARS'!$I$56*($E$56*4)+'LINEST VARS'!$H$56*($E$56*0.5)+'LINEST VARS'!$G$56*($E$56*12.73)+'LINEST VARS'!$F$56*($B76*4)+'LINEST VARS'!$E$56*($B76*0.5)+'LINEST VARS'!$D$56*($B76*12.73)+'LINEST VARS'!$C$56*(4*0.5)+'LINEST VARS'!$B$56*(4*12.73)+'LINEST VARS'!$A$56*(0.5*12.73)</f>
        <v>2.8400000000000012</v>
      </c>
      <c r="F76" s="51">
        <f>'LINEST VARS'!$U$56+'LINEST VARS'!$T$56*($F$56)+'LINEST VARS'!$S$56*($B76)+'LINEST VARS'!$R$56*(4)+'LINEST VARS'!$Q$56*(0.5)+'LINEST VARS'!$P$56*(12.73)+'LINEST VARS'!$O$56*($F$56^2)+'LINEST VARS'!$N$56*($B76^2)+'LINEST VARS'!$M$56*(4^2)+'LINEST VARS'!$L$56*(0.5^2)+'LINEST VARS'!$K$56*(12.73^2)+'LINEST VARS'!$J$56*($F$56*$B76)+'LINEST VARS'!$I$56*($F$56*4)+'LINEST VARS'!$H$56*($F$56*0.5)+'LINEST VARS'!$G$56*($F$56*12.73)+'LINEST VARS'!$F$56*($B76*4)+'LINEST VARS'!$E$56*($B76*0.5)+'LINEST VARS'!$D$56*($B76*12.73)+'LINEST VARS'!$C$56*(4*0.5)+'LINEST VARS'!$B$56*(4*12.73)+'LINEST VARS'!$A$56*(0.5*12.73)</f>
        <v>2.8400000000000012</v>
      </c>
      <c r="G76" s="51">
        <f>'LINEST VARS'!$U$56+'LINEST VARS'!$T$56*($G$56)+'LINEST VARS'!$S$56*($B76)+'LINEST VARS'!$R$56*(4)+'LINEST VARS'!$Q$56*(0.5)+'LINEST VARS'!$P$56*(12.73)+'LINEST VARS'!$O$56*($G$56^2)+'LINEST VARS'!$N$56*($B76^2)+'LINEST VARS'!$M$56*(4^2)+'LINEST VARS'!$L$56*(0.5^2)+'LINEST VARS'!$K$56*(12.73^2)+'LINEST VARS'!$J$56*($G$56*$B76)+'LINEST VARS'!$I$56*($G$56*4)+'LINEST VARS'!$H$56*($G$56*0.5)+'LINEST VARS'!$G$56*($G$56*12.73)+'LINEST VARS'!$F$56*($B76*4)+'LINEST VARS'!$E$56*($B76*0.5)+'LINEST VARS'!$D$56*($B76*12.73)+'LINEST VARS'!$C$56*(4*0.5)+'LINEST VARS'!$B$56*(4*12.73)+'LINEST VARS'!$A$56*(0.5*12.73)</f>
        <v>2.8400000000000012</v>
      </c>
      <c r="H76" s="51">
        <f>'LINEST VARS'!$U$56+'LINEST VARS'!$T$56*($H$56)+'LINEST VARS'!$S$56*($B76)+'LINEST VARS'!$R$56*(4)+'LINEST VARS'!$Q$56*(0.5)+'LINEST VARS'!$P$56*(12.73)+'LINEST VARS'!$O$56*($H$56^2)+'LINEST VARS'!$N$56*($B76^2)+'LINEST VARS'!$M$56*(4^2)+'LINEST VARS'!$L$56*(0.5^2)+'LINEST VARS'!$K$56*(12.73^2)+'LINEST VARS'!$J$56*($H$56*$B76)+'LINEST VARS'!$I$56*($H$56*4)+'LINEST VARS'!$H$56*($H$56*0.5)+'LINEST VARS'!$G$56*($H$56*12.73)+'LINEST VARS'!$F$56*($B76*4)+'LINEST VARS'!$E$56*($B76*0.5)+'LINEST VARS'!$D$56*($B76*12.73)+'LINEST VARS'!$C$56*(4*0.5)+'LINEST VARS'!$B$56*(4*12.73)+'LINEST VARS'!$A$56*(0.5*12.73)</f>
        <v>2.8400000000000012</v>
      </c>
      <c r="I76" s="51">
        <f>'LINEST VARS'!$U$56+'LINEST VARS'!$T$56*($I$56)+'LINEST VARS'!$S$56*($B76)+'LINEST VARS'!$R$56*(4)+'LINEST VARS'!$Q$56*(0.5)+'LINEST VARS'!$P$56*(12.73)+'LINEST VARS'!$O$56*($I$56^2)+'LINEST VARS'!$N$56*($B76^2)+'LINEST VARS'!$M$56*(4^2)+'LINEST VARS'!$L$56*(0.5^2)+'LINEST VARS'!$K$56*(12.73^2)+'LINEST VARS'!$J$56*($I$56*$B76)+'LINEST VARS'!$I$56*($I$56*4)+'LINEST VARS'!$H$56*($I$56*0.5)+'LINEST VARS'!$G$56*($I$56*12.73)+'LINEST VARS'!$F$56*($B76*4)+'LINEST VARS'!$E$56*($B76*0.5)+'LINEST VARS'!$D$56*($B76*12.73)+'LINEST VARS'!$C$56*(4*0.5)+'LINEST VARS'!$B$56*(4*12.73)+'LINEST VARS'!$A$56*(0.5*12.73)</f>
        <v>2.8400000000000012</v>
      </c>
      <c r="J76" s="51">
        <f>'LINEST VARS'!$U$56+'LINEST VARS'!$T$56*($J$56)+'LINEST VARS'!$S$56*($B76)+'LINEST VARS'!$R$56*(4)+'LINEST VARS'!$Q$56*(0.5)+'LINEST VARS'!$P$56*(12.73)+'LINEST VARS'!$O$56*($J$56^2)+'LINEST VARS'!$N$56*($B76^2)+'LINEST VARS'!$M$56*(4^2)+'LINEST VARS'!$L$56*(0.5^2)+'LINEST VARS'!$K$56*(12.73^2)+'LINEST VARS'!$J$56*($J$56*$B76)+'LINEST VARS'!$I$56*($J$56*4)+'LINEST VARS'!$H$56*($J$56*0.5)+'LINEST VARS'!$G$56*($J$56*12.73)+'LINEST VARS'!$F$56*($B76*4)+'LINEST VARS'!$E$56*($B76*0.5)+'LINEST VARS'!$D$56*($B76*12.73)+'LINEST VARS'!$C$56*(4*0.5)+'LINEST VARS'!$B$56*(4*12.73)+'LINEST VARS'!$A$56*(0.5*12.73)</f>
        <v>2.8400000000000012</v>
      </c>
      <c r="K76" s="51">
        <f>'LINEST VARS'!$U$56+'LINEST VARS'!$T$56*($K$56)+'LINEST VARS'!$S$56*($B76)+'LINEST VARS'!$R$56*(4)+'LINEST VARS'!$Q$56*(0.5)+'LINEST VARS'!$P$56*(12.73)+'LINEST VARS'!$O$56*($K$56^2)+'LINEST VARS'!$N$56*($B76^2)+'LINEST VARS'!$M$56*(4^2)+'LINEST VARS'!$L$56*(0.5^2)+'LINEST VARS'!$K$56*(12.73^2)+'LINEST VARS'!$J$56*($K$56*$B76)+'LINEST VARS'!$I$56*($K$56*4)+'LINEST VARS'!$H$56*($K$56*0.5)+'LINEST VARS'!$G$56*($K$56*12.73)+'LINEST VARS'!$F$56*($B76*4)+'LINEST VARS'!$E$56*($B76*0.5)+'LINEST VARS'!$D$56*($B76*12.73)+'LINEST VARS'!$C$56*(4*0.5)+'LINEST VARS'!$B$56*(4*12.73)+'LINEST VARS'!$A$56*(0.5*12.73)</f>
        <v>2.8400000000000007</v>
      </c>
      <c r="L76" s="51">
        <f>'LINEST VARS'!$U$56+'LINEST VARS'!$T$56*($L$56)+'LINEST VARS'!$S$56*($B76)+'LINEST VARS'!$R$56*(4)+'LINEST VARS'!$Q$56*(0.5)+'LINEST VARS'!$P$56*(12.73)+'LINEST VARS'!$O$56*($L$56^2)+'LINEST VARS'!$N$56*($B76^2)+'LINEST VARS'!$M$56*(4^2)+'LINEST VARS'!$L$56*(0.5^2)+'LINEST VARS'!$K$56*(12.73^2)+'LINEST VARS'!$J$56*($L$56*$B76)+'LINEST VARS'!$I$56*($L$56*4)+'LINEST VARS'!$H$56*($L$56*0.5)+'LINEST VARS'!$G$56*($L$56*12.73)+'LINEST VARS'!$F$56*($B76*4)+'LINEST VARS'!$E$56*($B76*0.5)+'LINEST VARS'!$D$56*($B76*12.73)+'LINEST VARS'!$C$56*(4*0.5)+'LINEST VARS'!$B$56*(4*12.73)+'LINEST VARS'!$A$56*(0.5*12.73)</f>
        <v>2.8400000000000007</v>
      </c>
      <c r="M76" s="51">
        <f>'LINEST VARS'!$U$56+'LINEST VARS'!$T$56*($M$56)+'LINEST VARS'!$S$56*($B76)+'LINEST VARS'!$R$56*(4)+'LINEST VARS'!$Q$56*(0.5)+'LINEST VARS'!$P$56*(12.73)+'LINEST VARS'!$O$56*($M$56^2)+'LINEST VARS'!$N$56*($B76^2)+'LINEST VARS'!$M$56*(4^2)+'LINEST VARS'!$L$56*(0.5^2)+'LINEST VARS'!$K$56*(12.73^2)+'LINEST VARS'!$J$56*($M$56*$B76)+'LINEST VARS'!$I$56*($M$56*4)+'LINEST VARS'!$H$56*($M$56*0.5)+'LINEST VARS'!$G$56*($M$56*12.73)+'LINEST VARS'!$F$56*($B76*4)+'LINEST VARS'!$E$56*($B76*0.5)+'LINEST VARS'!$D$56*($B76*12.73)+'LINEST VARS'!$C$56*(4*0.5)+'LINEST VARS'!$B$56*(4*12.73)+'LINEST VARS'!$A$56*(0.5*12.73)</f>
        <v>2.8400000000000007</v>
      </c>
      <c r="N76" s="51">
        <f>'LINEST VARS'!$U$56+'LINEST VARS'!$T$56*($N$56)+'LINEST VARS'!$S$56*($B76)+'LINEST VARS'!$R$56*(4)+'LINEST VARS'!$Q$56*(0.5)+'LINEST VARS'!$P$56*(12.73)+'LINEST VARS'!$O$56*($N$56^2)+'LINEST VARS'!$N$56*($B76^2)+'LINEST VARS'!$M$56*(4^2)+'LINEST VARS'!$L$56*(0.5^2)+'LINEST VARS'!$K$56*(12.73^2)+'LINEST VARS'!$J$56*($N$56*$B76)+'LINEST VARS'!$I$56*($N$56*4)+'LINEST VARS'!$H$56*($N$56*0.5)+'LINEST VARS'!$G$56*($N$56*12.73)+'LINEST VARS'!$F$56*($B76*4)+'LINEST VARS'!$E$56*($B76*0.5)+'LINEST VARS'!$D$56*($B76*12.73)+'LINEST VARS'!$C$56*(4*0.5)+'LINEST VARS'!$B$56*(4*12.73)+'LINEST VARS'!$A$56*(0.5*12.73)</f>
        <v>2.8400000000000012</v>
      </c>
      <c r="O76" s="51">
        <f>'LINEST VARS'!$U$56+'LINEST VARS'!$T$56*($O$56)+'LINEST VARS'!$S$56*($B76)+'LINEST VARS'!$R$56*(4)+'LINEST VARS'!$Q$56*(0.5)+'LINEST VARS'!$P$56*(12.73)+'LINEST VARS'!$O$56*($O$56^2)+'LINEST VARS'!$N$56*($B76^2)+'LINEST VARS'!$M$56*(4^2)+'LINEST VARS'!$L$56*(0.5^2)+'LINEST VARS'!$K$56*(12.73^2)+'LINEST VARS'!$J$56*($O$56*$B76)+'LINEST VARS'!$I$56*($O$56*4)+'LINEST VARS'!$H$56*($O$56*0.5)+'LINEST VARS'!$G$56*($O$56*12.73)+'LINEST VARS'!$F$56*($B76*4)+'LINEST VARS'!$E$56*($B76*0.5)+'LINEST VARS'!$D$56*($B76*12.73)+'LINEST VARS'!$C$56*(4*0.5)+'LINEST VARS'!$B$56*(4*12.73)+'LINEST VARS'!$A$56*(0.5*12.73)</f>
        <v>2.8400000000000012</v>
      </c>
      <c r="P76" s="51">
        <f>'LINEST VARS'!$U$56+'LINEST VARS'!$T$56*($P$56)+'LINEST VARS'!$S$56*($B76)+'LINEST VARS'!$R$56*(4)+'LINEST VARS'!$Q$56*(0.5)+'LINEST VARS'!$P$56*(12.73)+'LINEST VARS'!$O$56*($P$56^2)+'LINEST VARS'!$N$56*($B76^2)+'LINEST VARS'!$M$56*(4^2)+'LINEST VARS'!$L$56*(0.5^2)+'LINEST VARS'!$K$56*(12.73^2)+'LINEST VARS'!$J$56*($P$56*$B76)+'LINEST VARS'!$I$56*($P$56*4)+'LINEST VARS'!$H$56*($P$56*0.5)+'LINEST VARS'!$G$56*($P$56*12.73)+'LINEST VARS'!$F$56*($B76*4)+'LINEST VARS'!$E$56*($B76*0.5)+'LINEST VARS'!$D$56*($B76*12.73)+'LINEST VARS'!$C$56*(4*0.5)+'LINEST VARS'!$B$56*(4*12.73)+'LINEST VARS'!$A$56*(0.5*12.73)</f>
        <v>2.8400000000000012</v>
      </c>
      <c r="Q76" s="51">
        <f>'LINEST VARS'!$U$56+'LINEST VARS'!$T$56*($Q$56)+'LINEST VARS'!$S$56*($B76)+'LINEST VARS'!$R$56*(4)+'LINEST VARS'!$Q$56*(0.5)+'LINEST VARS'!$P$56*(12.73)+'LINEST VARS'!$O$56*($Q$56^2)+'LINEST VARS'!$N$56*($B76^2)+'LINEST VARS'!$M$56*(4^2)+'LINEST VARS'!$L$56*(0.5^2)+'LINEST VARS'!$K$56*(12.73^2)+'LINEST VARS'!$J$56*($Q$56*$B76)+'LINEST VARS'!$I$56*($Q$56*4)+'LINEST VARS'!$H$56*($Q$56*0.5)+'LINEST VARS'!$G$56*($Q$56*12.73)+'LINEST VARS'!$F$56*($B76*4)+'LINEST VARS'!$E$56*($B76*0.5)+'LINEST VARS'!$D$56*($B76*12.73)+'LINEST VARS'!$C$56*(4*0.5)+'LINEST VARS'!$B$56*(4*12.73)+'LINEST VARS'!$A$56*(0.5*12.73)</f>
        <v>2.8400000000000012</v>
      </c>
      <c r="R76" s="51">
        <f>'LINEST VARS'!$U$56+'LINEST VARS'!$T$56*($R$56)+'LINEST VARS'!$S$56*($B76)+'LINEST VARS'!$R$56*(4)+'LINEST VARS'!$Q$56*(0.5)+'LINEST VARS'!$P$56*(12.73)+'LINEST VARS'!$O$56*($R$56^2)+'LINEST VARS'!$N$56*($B76^2)+'LINEST VARS'!$M$56*(4^2)+'LINEST VARS'!$L$56*(0.5^2)+'LINEST VARS'!$K$56*(12.73^2)+'LINEST VARS'!$J$56*($R$56*$B76)+'LINEST VARS'!$I$56*($R$56*4)+'LINEST VARS'!$H$56*($R$56*0.5)+'LINEST VARS'!$G$56*($R$56*12.73)+'LINEST VARS'!$F$56*($B76*4)+'LINEST VARS'!$E$56*($B76*0.5)+'LINEST VARS'!$D$56*($B76*12.73)+'LINEST VARS'!$C$56*(4*0.5)+'LINEST VARS'!$B$56*(4*12.73)+'LINEST VARS'!$A$56*(0.5*12.73)</f>
        <v>2.8400000000000012</v>
      </c>
      <c r="S76" s="51">
        <f>'LINEST VARS'!$U$56+'LINEST VARS'!$T$56*($S$56)+'LINEST VARS'!$S$56*($B76)+'LINEST VARS'!$R$56*(4)+'LINEST VARS'!$Q$56*(0.5)+'LINEST VARS'!$P$56*(12.73)+'LINEST VARS'!$O$56*($S$56^2)+'LINEST VARS'!$N$56*($B76^2)+'LINEST VARS'!$M$56*(4^2)+'LINEST VARS'!$L$56*(0.5^2)+'LINEST VARS'!$K$56*(12.73^2)+'LINEST VARS'!$J$56*($S$56*$B76)+'LINEST VARS'!$I$56*($S$56*4)+'LINEST VARS'!$H$56*($S$56*0.5)+'LINEST VARS'!$G$56*($S$56*12.73)+'LINEST VARS'!$F$56*($B76*4)+'LINEST VARS'!$E$56*($B76*0.5)+'LINEST VARS'!$D$56*($B76*12.73)+'LINEST VARS'!$C$56*(4*0.5)+'LINEST VARS'!$B$56*(4*12.73)+'LINEST VARS'!$A$56*(0.5*12.73)</f>
        <v>2.8400000000000012</v>
      </c>
      <c r="T76" s="51">
        <f>'LINEST VARS'!$U$56+'LINEST VARS'!$T$56*($T$56)+'LINEST VARS'!$S$56*($B76)+'LINEST VARS'!$R$56*(4)+'LINEST VARS'!$Q$56*(0.5)+'LINEST VARS'!$P$56*(12.73)+'LINEST VARS'!$O$56*($T$56^2)+'LINEST VARS'!$N$56*($B76^2)+'LINEST VARS'!$M$56*(4^2)+'LINEST VARS'!$L$56*(0.5^2)+'LINEST VARS'!$K$56*(12.73^2)+'LINEST VARS'!$J$56*($T$56*$B76)+'LINEST VARS'!$I$56*($T$56*4)+'LINEST VARS'!$H$56*($T$56*0.5)+'LINEST VARS'!$G$56*($T$56*12.73)+'LINEST VARS'!$F$56*($B76*4)+'LINEST VARS'!$E$56*($B76*0.5)+'LINEST VARS'!$D$56*($B76*12.73)+'LINEST VARS'!$C$56*(4*0.5)+'LINEST VARS'!$B$56*(4*12.73)+'LINEST VARS'!$A$56*(0.5*12.73)</f>
        <v>2.8400000000000012</v>
      </c>
      <c r="U76" s="51">
        <f>'LINEST VARS'!$U$56+'LINEST VARS'!$T$56*($U$56)+'LINEST VARS'!$S$56*($B76)+'LINEST VARS'!$R$56*(4)+'LINEST VARS'!$Q$56*(0.5)+'LINEST VARS'!$P$56*(12.73)+'LINEST VARS'!$O$56*($U$56^2)+'LINEST VARS'!$N$56*($B76^2)+'LINEST VARS'!$M$56*(4^2)+'LINEST VARS'!$L$56*(0.5^2)+'LINEST VARS'!$K$56*(12.73^2)+'LINEST VARS'!$J$56*($U$56*$B76)+'LINEST VARS'!$I$56*($U$56*4)+'LINEST VARS'!$H$56*($U$56*0.5)+'LINEST VARS'!$G$56*($U$56*12.73)+'LINEST VARS'!$F$56*($B76*4)+'LINEST VARS'!$E$56*($B76*0.5)+'LINEST VARS'!$D$56*($B76*12.73)+'LINEST VARS'!$C$56*(4*0.5)+'LINEST VARS'!$B$56*(4*12.73)+'LINEST VARS'!$A$56*(0.5*12.73)</f>
        <v>2.8400000000000012</v>
      </c>
      <c r="V76" s="51">
        <f>'LINEST VARS'!$U$56+'LINEST VARS'!$T$56*($V$56)+'LINEST VARS'!$S$56*($B76)+'LINEST VARS'!$R$56*(4)+'LINEST VARS'!$Q$56*(0.5)+'LINEST VARS'!$P$56*(12.73)+'LINEST VARS'!$O$56*($V$56^2)+'LINEST VARS'!$N$56*($B76^2)+'LINEST VARS'!$M$56*(4^2)+'LINEST VARS'!$L$56*(0.5^2)+'LINEST VARS'!$K$56*(12.73^2)+'LINEST VARS'!$J$56*($V$56*$B76)+'LINEST VARS'!$I$56*($V$56*4)+'LINEST VARS'!$H$56*($V$56*0.5)+'LINEST VARS'!$G$56*($V$56*12.73)+'LINEST VARS'!$F$56*($B76*4)+'LINEST VARS'!$E$56*($B76*0.5)+'LINEST VARS'!$D$56*($B76*12.73)+'LINEST VARS'!$C$56*(4*0.5)+'LINEST VARS'!$B$56*(4*12.73)+'LINEST VARS'!$A$56*(0.5*12.73)</f>
        <v>2.8400000000000012</v>
      </c>
      <c r="W76" s="52">
        <f>'LINEST VARS'!$U$56+'LINEST VARS'!$T$56*($W$56)+'LINEST VARS'!$S$56*($B76)+'LINEST VARS'!$R$56*(4)+'LINEST VARS'!$Q$56*(0.5)+'LINEST VARS'!$P$56*(12.73)+'LINEST VARS'!$O$56*($W$56^2)+'LINEST VARS'!$N$56*($B76^2)+'LINEST VARS'!$M$56*(4^2)+'LINEST VARS'!$L$56*(0.5^2)+'LINEST VARS'!$K$56*(12.73^2)+'LINEST VARS'!$J$56*($W$56*$B76)+'LINEST VARS'!$I$56*($W$56*4)+'LINEST VARS'!$H$56*($W$56*0.5)+'LINEST VARS'!$G$56*($W$56*12.73)+'LINEST VARS'!$F$56*($B76*4)+'LINEST VARS'!$E$56*($B76*0.5)+'LINEST VARS'!$D$56*($B76*12.73)+'LINEST VARS'!$C$56*(4*0.5)+'LINEST VARS'!$B$56*(4*12.73)+'LINEST VARS'!$A$56*(0.5*12.73)</f>
        <v>2.8400000000000012</v>
      </c>
      <c r="Z76" s="45">
        <v>8.5399999999999991</v>
      </c>
      <c r="AA76" s="51">
        <f>'LINEST VARS'!$U$58+'LINEST VARS'!$T$58*($AA$56)+'LINEST VARS'!$S$58*($Z76)+'LINEST VARS'!$R$58*(4)+'LINEST VARS'!$Q$58*(0.5)+'LINEST VARS'!$P$58*(12.73)+'LINEST VARS'!$O$58*($AA$56^2)+'LINEST VARS'!$N$58*($Z76^2)+'LINEST VARS'!$M$58*(4^2)+'LINEST VARS'!$L$58*(0.5^2)+'LINEST VARS'!$K$58*(12.73^2)+'LINEST VARS'!$J$58*($AA$56*$Z76)+'LINEST VARS'!$I$58*($AA$56*4)+'LINEST VARS'!$H$58*($AA$56*0.5)+'LINEST VARS'!$G$58*($AA$56*12.73)+'LINEST VARS'!$F$58*($Z76*4)+'LINEST VARS'!$E$58*($Z76*0.5)+'LINEST VARS'!$D$58*($Z76*12.73)+'LINEST VARS'!$C$58*(4*0.5)+'LINEST VARS'!$B$58*(4*12.73)+'LINEST VARS'!$A$58*(0.5*12.73)</f>
        <v>0.9436500000000001</v>
      </c>
      <c r="AB76" s="51">
        <f>'LINEST VARS'!$U$58+'LINEST VARS'!$T$58*($AB$56)+'LINEST VARS'!$S$58*($Z76)+'LINEST VARS'!$R$58*(4)+'LINEST VARS'!$Q$58*(0.5)+'LINEST VARS'!$P$58*(12.73)+'LINEST VARS'!$O$58*($AB$56^2)+'LINEST VARS'!$N$58*($Z76^2)+'LINEST VARS'!$M$58*(4^2)+'LINEST VARS'!$L$58*(0.5^2)+'LINEST VARS'!$K$58*(12.73^2)+'LINEST VARS'!$J$58*($AB$56*$Z76)+'LINEST VARS'!$I$58*($AB$56*4)+'LINEST VARS'!$H$58*($AB$56*0.5)+'LINEST VARS'!$G$58*($AB$56*12.73)+'LINEST VARS'!$F$58*($Z76*4)+'LINEST VARS'!$E$58*($Z76*0.5)+'LINEST VARS'!$D$58*($Z76*12.73)+'LINEST VARS'!$C$58*(4*0.5)+'LINEST VARS'!$B$58*(4*12.73)+'LINEST VARS'!$A$58*(0.5*12.73)</f>
        <v>0.94365000000000021</v>
      </c>
      <c r="AC76" s="51">
        <f>'LINEST VARS'!$U$58+'LINEST VARS'!$T$58*($AC$56)+'LINEST VARS'!$S$58*($Z76)+'LINEST VARS'!$R$58*(4)+'LINEST VARS'!$Q$58*(0.5)+'LINEST VARS'!$P$58*(12.73)+'LINEST VARS'!$O$58*($AC$56^2)+'LINEST VARS'!$N$58*($Z76^2)+'LINEST VARS'!$M$58*(4^2)+'LINEST VARS'!$L$58*(0.5^2)+'LINEST VARS'!$K$58*(12.73^2)+'LINEST VARS'!$J$58*($AC$56*$Z76)+'LINEST VARS'!$I$58*($AC$56*4)+'LINEST VARS'!$H$58*($AC$56*0.5)+'LINEST VARS'!$G$58*($AC$56*12.73)+'LINEST VARS'!$F$58*($Z76*4)+'LINEST VARS'!$E$58*($Z76*0.5)+'LINEST VARS'!$D$58*($Z76*12.73)+'LINEST VARS'!$C$58*(4*0.5)+'LINEST VARS'!$B$58*(4*12.73)+'LINEST VARS'!$A$58*(0.5*12.73)</f>
        <v>0.94365000000000021</v>
      </c>
      <c r="AD76" s="51">
        <f>'LINEST VARS'!$U$58+'LINEST VARS'!$T$58*($AD$56)+'LINEST VARS'!$S$58*($Z76)+'LINEST VARS'!$R$58*(4)+'LINEST VARS'!$Q$58*(0.5)+'LINEST VARS'!$P$58*(12.73)+'LINEST VARS'!$O$58*($AD$56^2)+'LINEST VARS'!$N$58*($Z76^2)+'LINEST VARS'!$M$58*(4^2)+'LINEST VARS'!$L$58*(0.5^2)+'LINEST VARS'!$K$58*(12.73^2)+'LINEST VARS'!$J$58*($AD$56*$Z76)+'LINEST VARS'!$I$58*($AD$56*4)+'LINEST VARS'!$H$58*($AD$56*0.5)+'LINEST VARS'!$G$58*($AD$56*12.73)+'LINEST VARS'!$F$58*($Z76*4)+'LINEST VARS'!$E$58*($Z76*0.5)+'LINEST VARS'!$D$58*($Z76*12.73)+'LINEST VARS'!$C$58*(4*0.5)+'LINEST VARS'!$B$58*(4*12.73)+'LINEST VARS'!$A$58*(0.5*12.73)</f>
        <v>0.94365000000000021</v>
      </c>
      <c r="AE76" s="51">
        <f>'LINEST VARS'!$U$58+'LINEST VARS'!$T$58*($AE$56)+'LINEST VARS'!$S$58*($Z76)+'LINEST VARS'!$R$58*(4)+'LINEST VARS'!$Q$58*(0.5)+'LINEST VARS'!$P$58*(12.73)+'LINEST VARS'!$O$58*($AE$56^2)+'LINEST VARS'!$N$58*($Z76^2)+'LINEST VARS'!$M$58*(4^2)+'LINEST VARS'!$L$58*(0.5^2)+'LINEST VARS'!$K$58*(12.73^2)+'LINEST VARS'!$J$58*($AE$56*$Z76)+'LINEST VARS'!$I$58*($AE$56*4)+'LINEST VARS'!$H$58*($AE$56*0.5)+'LINEST VARS'!$G$58*($AE$56*12.73)+'LINEST VARS'!$F$58*($Z76*4)+'LINEST VARS'!$E$58*($Z76*0.5)+'LINEST VARS'!$D$58*($Z76*12.73)+'LINEST VARS'!$C$58*(4*0.5)+'LINEST VARS'!$B$58*(4*12.73)+'LINEST VARS'!$A$58*(0.5*12.73)</f>
        <v>0.94365000000000021</v>
      </c>
      <c r="AF76" s="51">
        <f>'LINEST VARS'!$U$58+'LINEST VARS'!$T$58*($AF$56)+'LINEST VARS'!$S$58*($Z76)+'LINEST VARS'!$R$58*(4)+'LINEST VARS'!$Q$58*(0.5)+'LINEST VARS'!$P$58*(12.73)+'LINEST VARS'!$O$58*($AF$56^2)+'LINEST VARS'!$N$58*($Z76^2)+'LINEST VARS'!$M$58*(4^2)+'LINEST VARS'!$L$58*(0.5^2)+'LINEST VARS'!$K$58*(12.73^2)+'LINEST VARS'!$J$58*($AF$56*$Z76)+'LINEST VARS'!$I$58*($AF$56*4)+'LINEST VARS'!$H$58*($AF$56*0.5)+'LINEST VARS'!$G$58*($AF$56*12.73)+'LINEST VARS'!$F$58*($Z76*4)+'LINEST VARS'!$E$58*($Z76*0.5)+'LINEST VARS'!$D$58*($Z76*12.73)+'LINEST VARS'!$C$58*(4*0.5)+'LINEST VARS'!$B$58*(4*12.73)+'LINEST VARS'!$A$58*(0.5*12.73)</f>
        <v>0.94365000000000021</v>
      </c>
      <c r="AG76" s="51">
        <f>'LINEST VARS'!$U$58+'LINEST VARS'!$T$58*($AG$56)+'LINEST VARS'!$S$58*($Z76)+'LINEST VARS'!$R$58*(4)+'LINEST VARS'!$Q$58*(0.5)+'LINEST VARS'!$P$58*(12.73)+'LINEST VARS'!$O$58*($AG$56^2)+'LINEST VARS'!$N$58*($Z76^2)+'LINEST VARS'!$M$58*(4^2)+'LINEST VARS'!$L$58*(0.5^2)+'LINEST VARS'!$K$58*(12.73^2)+'LINEST VARS'!$J$58*($AG$56*$Z76)+'LINEST VARS'!$I$58*($AG$56*4)+'LINEST VARS'!$H$58*($AG$56*0.5)+'LINEST VARS'!$G$58*($AG$56*12.73)+'LINEST VARS'!$F$58*($Z76*4)+'LINEST VARS'!$E$58*($Z76*0.5)+'LINEST VARS'!$D$58*($Z76*12.73)+'LINEST VARS'!$C$58*(4*0.5)+'LINEST VARS'!$B$58*(4*12.73)+'LINEST VARS'!$A$58*(0.5*12.73)</f>
        <v>0.94365000000000021</v>
      </c>
      <c r="AH76" s="51">
        <f>'LINEST VARS'!$U$58+'LINEST VARS'!$T$58*($AH$56)+'LINEST VARS'!$S$58*($Z76)+'LINEST VARS'!$R$58*(4)+'LINEST VARS'!$Q$58*(0.5)+'LINEST VARS'!$P$58*(12.73)+'LINEST VARS'!$O$58*($AH$56^2)+'LINEST VARS'!$N$58*($Z76^2)+'LINEST VARS'!$M$58*(4^2)+'LINEST VARS'!$L$58*(0.5^2)+'LINEST VARS'!$K$58*(12.73^2)+'LINEST VARS'!$J$58*($AH$56*$Z76)+'LINEST VARS'!$I$58*($AH$56*4)+'LINEST VARS'!$H$58*($AH$56*0.5)+'LINEST VARS'!$G$58*($AH$56*12.73)+'LINEST VARS'!$F$58*($Z76*4)+'LINEST VARS'!$E$58*($Z76*0.5)+'LINEST VARS'!$D$58*($Z76*12.73)+'LINEST VARS'!$C$58*(4*0.5)+'LINEST VARS'!$B$58*(4*12.73)+'LINEST VARS'!$A$58*(0.5*12.73)</f>
        <v>0.94365000000000021</v>
      </c>
      <c r="AI76" s="51">
        <f>'LINEST VARS'!$U$58+'LINEST VARS'!$T$58*($AI$56)+'LINEST VARS'!$S$58*($Z76)+'LINEST VARS'!$R$58*(4)+'LINEST VARS'!$Q$58*(0.5)+'LINEST VARS'!$P$58*(12.73)+'LINEST VARS'!$O$58*($AI$56^2)+'LINEST VARS'!$N$58*($Z76^2)+'LINEST VARS'!$M$58*(4^2)+'LINEST VARS'!$L$58*(0.5^2)+'LINEST VARS'!$K$58*(12.73^2)+'LINEST VARS'!$J$58*($AI$56*$Z76)+'LINEST VARS'!$I$58*($AI$56*4)+'LINEST VARS'!$H$58*($AI$56*0.5)+'LINEST VARS'!$G$58*($AI$56*12.73)+'LINEST VARS'!$F$58*($Z76*4)+'LINEST VARS'!$E$58*($Z76*0.5)+'LINEST VARS'!$D$58*($Z76*12.73)+'LINEST VARS'!$C$58*(4*0.5)+'LINEST VARS'!$B$58*(4*12.73)+'LINEST VARS'!$A$58*(0.5*12.73)</f>
        <v>0.9436500000000001</v>
      </c>
      <c r="AJ76" s="51">
        <f>'LINEST VARS'!$U$58+'LINEST VARS'!$T$58*($AJ$56)+'LINEST VARS'!$S$58*($Z76)+'LINEST VARS'!$R$58*(4)+'LINEST VARS'!$Q$58*(0.5)+'LINEST VARS'!$P$58*(12.73)+'LINEST VARS'!$O$58*($AJ$56^2)+'LINEST VARS'!$N$58*($Z76^2)+'LINEST VARS'!$M$58*(4^2)+'LINEST VARS'!$L$58*(0.5^2)+'LINEST VARS'!$K$58*(12.73^2)+'LINEST VARS'!$J$58*($AJ$56*$Z76)+'LINEST VARS'!$I$58*($AJ$56*4)+'LINEST VARS'!$H$58*($AJ$56*0.5)+'LINEST VARS'!$G$58*($AJ$56*12.73)+'LINEST VARS'!$F$58*($Z76*4)+'LINEST VARS'!$E$58*($Z76*0.5)+'LINEST VARS'!$D$58*($Z76*12.73)+'LINEST VARS'!$C$58*(4*0.5)+'LINEST VARS'!$B$58*(4*12.73)+'LINEST VARS'!$A$58*(0.5*12.73)</f>
        <v>0.9436500000000001</v>
      </c>
      <c r="AK76" s="51">
        <f>'LINEST VARS'!$U$58+'LINEST VARS'!$T$58*($AK$56)+'LINEST VARS'!$S$58*($Z76)+'LINEST VARS'!$R$58*(4)+'LINEST VARS'!$Q$58*(0.5)+'LINEST VARS'!$P$58*(12.73)+'LINEST VARS'!$O$58*($AK$56^2)+'LINEST VARS'!$N$58*($Z76^2)+'LINEST VARS'!$M$58*(4^2)+'LINEST VARS'!$L$58*(0.5^2)+'LINEST VARS'!$K$58*(12.73^2)+'LINEST VARS'!$J$58*($AK$56*$Z76)+'LINEST VARS'!$I$58*($AK$56*4)+'LINEST VARS'!$H$58*($AK$56*0.5)+'LINEST VARS'!$G$58*($AK$56*12.73)+'LINEST VARS'!$F$58*($Z76*4)+'LINEST VARS'!$E$58*($Z76*0.5)+'LINEST VARS'!$D$58*($Z76*12.73)+'LINEST VARS'!$C$58*(4*0.5)+'LINEST VARS'!$B$58*(4*12.73)+'LINEST VARS'!$A$58*(0.5*12.73)</f>
        <v>0.94365000000000021</v>
      </c>
      <c r="AL76" s="51">
        <f>'LINEST VARS'!$U$58+'LINEST VARS'!$T$58*($AL$56)+'LINEST VARS'!$S$58*($Z76)+'LINEST VARS'!$R$58*(4)+'LINEST VARS'!$Q$58*(0.5)+'LINEST VARS'!$P$58*(12.73)+'LINEST VARS'!$O$58*($AL$56^2)+'LINEST VARS'!$N$58*($Z76^2)+'LINEST VARS'!$M$58*(4^2)+'LINEST VARS'!$L$58*(0.5^2)+'LINEST VARS'!$K$58*(12.73^2)+'LINEST VARS'!$J$58*($AL$56*$Z76)+'LINEST VARS'!$I$58*($AL$56*4)+'LINEST VARS'!$H$58*($AL$56*0.5)+'LINEST VARS'!$G$58*($AL$56*12.73)+'LINEST VARS'!$F$58*($Z76*4)+'LINEST VARS'!$E$58*($Z76*0.5)+'LINEST VARS'!$D$58*($Z76*12.73)+'LINEST VARS'!$C$58*(4*0.5)+'LINEST VARS'!$B$58*(4*12.73)+'LINEST VARS'!$A$58*(0.5*12.73)</f>
        <v>0.94365000000000021</v>
      </c>
      <c r="AM76" s="51">
        <f>'LINEST VARS'!$U$58+'LINEST VARS'!$T$58*($AM$56)+'LINEST VARS'!$S$58*($Z76)+'LINEST VARS'!$R$58*(4)+'LINEST VARS'!$Q$58*(0.5)+'LINEST VARS'!$P$58*(12.73)+'LINEST VARS'!$O$58*($AM$56^2)+'LINEST VARS'!$N$58*($Z76^2)+'LINEST VARS'!$M$58*(4^2)+'LINEST VARS'!$L$58*(0.5^2)+'LINEST VARS'!$K$58*(12.73^2)+'LINEST VARS'!$J$58*($AM$56*$Z76)+'LINEST VARS'!$I$58*($AM$56*4)+'LINEST VARS'!$H$58*($AM$56*0.5)+'LINEST VARS'!$G$58*($AM$56*12.73)+'LINEST VARS'!$F$58*($Z76*4)+'LINEST VARS'!$E$58*($Z76*0.5)+'LINEST VARS'!$D$58*($Z76*12.73)+'LINEST VARS'!$C$58*(4*0.5)+'LINEST VARS'!$B$58*(4*12.73)+'LINEST VARS'!$A$58*(0.5*12.73)</f>
        <v>0.9436500000000001</v>
      </c>
      <c r="AN76" s="51">
        <f>'LINEST VARS'!$U$58+'LINEST VARS'!$T$58*($AN$56)+'LINEST VARS'!$S$58*($Z76)+'LINEST VARS'!$R$58*(4)+'LINEST VARS'!$Q$58*(0.5)+'LINEST VARS'!$P$58*(12.73)+'LINEST VARS'!$O$58*($AN$56^2)+'LINEST VARS'!$N$58*($Z76^2)+'LINEST VARS'!$M$58*(4^2)+'LINEST VARS'!$L$58*(0.5^2)+'LINEST VARS'!$K$58*(12.73^2)+'LINEST VARS'!$J$58*($AN$56*$Z76)+'LINEST VARS'!$I$58*($AN$56*4)+'LINEST VARS'!$H$58*($AN$56*0.5)+'LINEST VARS'!$G$58*($AN$56*12.73)+'LINEST VARS'!$F$58*($Z76*4)+'LINEST VARS'!$E$58*($Z76*0.5)+'LINEST VARS'!$D$58*($Z76*12.73)+'LINEST VARS'!$C$58*(4*0.5)+'LINEST VARS'!$B$58*(4*12.73)+'LINEST VARS'!$A$58*(0.5*12.73)</f>
        <v>0.9436500000000001</v>
      </c>
      <c r="AO76" s="51">
        <f>'LINEST VARS'!$U$58+'LINEST VARS'!$T$58*($AO$56)+'LINEST VARS'!$S$58*($Z76)+'LINEST VARS'!$R$58*(4)+'LINEST VARS'!$Q$58*(0.5)+'LINEST VARS'!$P$58*(12.73)+'LINEST VARS'!$O$58*($AO$56^2)+'LINEST VARS'!$N$58*($Z76^2)+'LINEST VARS'!$M$58*(4^2)+'LINEST VARS'!$L$58*(0.5^2)+'LINEST VARS'!$K$58*(12.73^2)+'LINEST VARS'!$J$58*($AO$56*$Z76)+'LINEST VARS'!$I$58*($AO$56*4)+'LINEST VARS'!$H$58*($AO$56*0.5)+'LINEST VARS'!$G$58*($AO$56*12.73)+'LINEST VARS'!$F$58*($Z76*4)+'LINEST VARS'!$E$58*($Z76*0.5)+'LINEST VARS'!$D$58*($Z76*12.73)+'LINEST VARS'!$C$58*(4*0.5)+'LINEST VARS'!$B$58*(4*12.73)+'LINEST VARS'!$A$58*(0.5*12.73)</f>
        <v>0.9436500000000001</v>
      </c>
      <c r="AP76" s="51">
        <f>'LINEST VARS'!$U$58+'LINEST VARS'!$T$58*($AP$56)+'LINEST VARS'!$S$58*($Z76)+'LINEST VARS'!$R$58*(4)+'LINEST VARS'!$Q$58*(0.5)+'LINEST VARS'!$P$58*(12.73)+'LINEST VARS'!$O$58*($AP$56^2)+'LINEST VARS'!$N$58*($Z76^2)+'LINEST VARS'!$M$58*(4^2)+'LINEST VARS'!$L$58*(0.5^2)+'LINEST VARS'!$K$58*(12.73^2)+'LINEST VARS'!$J$58*($AP$56*$Z76)+'LINEST VARS'!$I$58*($AP$56*4)+'LINEST VARS'!$H$58*($AP$56*0.5)+'LINEST VARS'!$G$58*($AP$56*12.73)+'LINEST VARS'!$F$58*($Z76*4)+'LINEST VARS'!$E$58*($Z76*0.5)+'LINEST VARS'!$D$58*($Z76*12.73)+'LINEST VARS'!$C$58*(4*0.5)+'LINEST VARS'!$B$58*(4*12.73)+'LINEST VARS'!$A$58*(0.5*12.73)</f>
        <v>0.9436500000000001</v>
      </c>
      <c r="AQ76" s="51">
        <f>'LINEST VARS'!$U$58+'LINEST VARS'!$T$58*($AQ$56)+'LINEST VARS'!$S$58*($Z76)+'LINEST VARS'!$R$58*(4)+'LINEST VARS'!$Q$58*(0.5)+'LINEST VARS'!$P$58*(12.73)+'LINEST VARS'!$O$58*($AQ$56^2)+'LINEST VARS'!$N$58*($Z76^2)+'LINEST VARS'!$M$58*(4^2)+'LINEST VARS'!$L$58*(0.5^2)+'LINEST VARS'!$K$58*(12.73^2)+'LINEST VARS'!$J$58*($AQ$56*$Z76)+'LINEST VARS'!$I$58*($AQ$56*4)+'LINEST VARS'!$H$58*($AQ$56*0.5)+'LINEST VARS'!$G$58*($AQ$56*12.73)+'LINEST VARS'!$F$58*($Z76*4)+'LINEST VARS'!$E$58*($Z76*0.5)+'LINEST VARS'!$D$58*($Z76*12.73)+'LINEST VARS'!$C$58*(4*0.5)+'LINEST VARS'!$B$58*(4*12.73)+'LINEST VARS'!$A$58*(0.5*12.73)</f>
        <v>0.9436500000000001</v>
      </c>
      <c r="AR76" s="51">
        <f>'LINEST VARS'!$U$58+'LINEST VARS'!$T$58*($AR$56)+'LINEST VARS'!$S$58*($Z76)+'LINEST VARS'!$R$58*(4)+'LINEST VARS'!$Q$58*(0.5)+'LINEST VARS'!$P$58*(12.73)+'LINEST VARS'!$O$58*($AR$56^2)+'LINEST VARS'!$N$58*($Z76^2)+'LINEST VARS'!$M$58*(4^2)+'LINEST VARS'!$L$58*(0.5^2)+'LINEST VARS'!$K$58*(12.73^2)+'LINEST VARS'!$J$58*($AR$56*$Z76)+'LINEST VARS'!$I$58*($AR$56*4)+'LINEST VARS'!$H$58*($AR$56*0.5)+'LINEST VARS'!$G$58*($AR$56*12.73)+'LINEST VARS'!$F$58*($Z76*4)+'LINEST VARS'!$E$58*($Z76*0.5)+'LINEST VARS'!$D$58*($Z76*12.73)+'LINEST VARS'!$C$58*(4*0.5)+'LINEST VARS'!$B$58*(4*12.73)+'LINEST VARS'!$A$58*(0.5*12.73)</f>
        <v>0.9436500000000001</v>
      </c>
      <c r="AS76" s="51">
        <f>'LINEST VARS'!$U$58+'LINEST VARS'!$T$58*($AS$56)+'LINEST VARS'!$S$58*($Z76)+'LINEST VARS'!$R$58*(4)+'LINEST VARS'!$Q$58*(0.5)+'LINEST VARS'!$P$58*(12.73)+'LINEST VARS'!$O$58*($AS$56^2)+'LINEST VARS'!$N$58*($Z76^2)+'LINEST VARS'!$M$58*(4^2)+'LINEST VARS'!$L$58*(0.5^2)+'LINEST VARS'!$K$58*(12.73^2)+'LINEST VARS'!$J$58*($AS$56*$Z76)+'LINEST VARS'!$I$58*($AS$56*4)+'LINEST VARS'!$H$58*($AS$56*0.5)+'LINEST VARS'!$G$58*($AS$56*12.73)+'LINEST VARS'!$F$58*($Z76*4)+'LINEST VARS'!$E$58*($Z76*0.5)+'LINEST VARS'!$D$58*($Z76*12.73)+'LINEST VARS'!$C$58*(4*0.5)+'LINEST VARS'!$B$58*(4*12.73)+'LINEST VARS'!$A$58*(0.5*12.73)</f>
        <v>0.94365000000000021</v>
      </c>
      <c r="AT76" s="51">
        <f>'LINEST VARS'!$U$58+'LINEST VARS'!$T$58*($AT$56)+'LINEST VARS'!$S$58*($Z76)+'LINEST VARS'!$R$58*(4)+'LINEST VARS'!$Q$58*(0.5)+'LINEST VARS'!$P$58*(12.73)+'LINEST VARS'!$O$58*($AT$56^2)+'LINEST VARS'!$N$58*($Z76^2)+'LINEST VARS'!$M$58*(4^2)+'LINEST VARS'!$L$58*(0.5^2)+'LINEST VARS'!$K$58*(12.73^2)+'LINEST VARS'!$J$58*($AT$56*$Z76)+'LINEST VARS'!$I$58*($AT$56*4)+'LINEST VARS'!$H$58*($AT$56*0.5)+'LINEST VARS'!$G$58*($AT$56*12.73)+'LINEST VARS'!$F$58*($Z76*4)+'LINEST VARS'!$E$58*($Z76*0.5)+'LINEST VARS'!$D$58*($Z76*12.73)+'LINEST VARS'!$C$58*(4*0.5)+'LINEST VARS'!$B$58*(4*12.73)+'LINEST VARS'!$A$58*(0.5*12.73)</f>
        <v>0.94365000000000021</v>
      </c>
      <c r="AU76" s="52">
        <f>'LINEST VARS'!$U$58+'LINEST VARS'!$T$58*($AU$56)+'LINEST VARS'!$S$58*($Z76)+'LINEST VARS'!$R$58*(4)+'LINEST VARS'!$Q$58*(0.5)+'LINEST VARS'!$P$58*(12.73)+'LINEST VARS'!$O$58*($AU$56^2)+'LINEST VARS'!$N$58*($Z76^2)+'LINEST VARS'!$M$58*(4^2)+'LINEST VARS'!$L$58*(0.5^2)+'LINEST VARS'!$K$58*(12.73^2)+'LINEST VARS'!$J$58*($AU$56*$Z76)+'LINEST VARS'!$I$58*($AU$56*4)+'LINEST VARS'!$H$58*($AU$56*0.5)+'LINEST VARS'!$G$58*($AU$56*12.73)+'LINEST VARS'!$F$58*($Z76*4)+'LINEST VARS'!$E$58*($Z76*0.5)+'LINEST VARS'!$D$58*($Z76*12.73)+'LINEST VARS'!$C$58*(4*0.5)+'LINEST VARS'!$B$58*(4*12.73)+'LINEST VARS'!$A$58*(0.5*12.73)</f>
        <v>0.9436500000000001</v>
      </c>
      <c r="AZ76" s="45">
        <v>0.95</v>
      </c>
      <c r="BA76" s="51">
        <f>'LINEST VARS'!$U$56+'LINEST VARS'!$T$56*(8)+'LINEST VARS'!$S$56*(8)+'LINEST VARS'!$R$56*($BA$56)+'LINEST VARS'!$Q$56*($AZ76)+'LINEST VARS'!$P$56*(12.73)+'LINEST VARS'!$O$56*(8^2)+'LINEST VARS'!$N$56*(8^2)+'LINEST VARS'!$M$56*($BA$56^2)+'LINEST VARS'!$L$56*($AZ76^2)+'LINEST VARS'!$K$56*(12.73^2)+'LINEST VARS'!$J$56*(8*8)+'LINEST VARS'!$I$56*(8*$BA$56)+'LINEST VARS'!$H$56*(8*$AZ76)+'LINEST VARS'!$G$56*(8*12.73)+'LINEST VARS'!$F$56*(8*$BA$56)+'LINEST VARS'!$E$56*(8*$AZ76)+'LINEST VARS'!$D$56*(8*12.73)+'LINEST VARS'!$C$56*($BA$56*$AZ76)+'LINEST VARS'!$B$56*($BA$56*12.73)+'LINEST VARS'!$A$56*($AZ76*12.73)</f>
        <v>2.8000000000000012</v>
      </c>
      <c r="BB76" s="51">
        <f>'LINEST VARS'!$U$56+'LINEST VARS'!$T$56*(8)+'LINEST VARS'!$S$56*(8)+'LINEST VARS'!$R$56*($BB$56)+'LINEST VARS'!$Q$56*($AZ76)+'LINEST VARS'!$P$56*(12.73)+'LINEST VARS'!$O$56*(8^2)+'LINEST VARS'!$N$56*(8^2)+'LINEST VARS'!$M$56*($BB$56^2)+'LINEST VARS'!$L$56*($AZ76^2)+'LINEST VARS'!$K$56*(12.73^2)+'LINEST VARS'!$J$56*(8*8)+'LINEST VARS'!$I$56*(8*$BB$56)+'LINEST VARS'!$H$56*(8*$AZ76)+'LINEST VARS'!$G$56*(8*12.73)+'LINEST VARS'!$F$56*(8*$BB$56)+'LINEST VARS'!$E$56*(8*$AZ76)+'LINEST VARS'!$D$56*(8*12.73)+'LINEST VARS'!$C$56*($BB$56*$AZ76)+'LINEST VARS'!$B$56*($BB$56*12.73)+'LINEST VARS'!$A$56*($AZ76*12.73)</f>
        <v>2.8184000000000013</v>
      </c>
      <c r="BC76" s="51">
        <f>'LINEST VARS'!$U$56+'LINEST VARS'!$T$56*(8)+'LINEST VARS'!$S$56*(8)+'LINEST VARS'!$R$56*($BC$56)+'LINEST VARS'!$Q$56*($AZ76)+'LINEST VARS'!$P$56*(12.73)+'LINEST VARS'!$O$56*(8^2)+'LINEST VARS'!$N$56*(8^2)+'LINEST VARS'!$M$56*($BC$56^2)+'LINEST VARS'!$L$56*($AZ76^2)+'LINEST VARS'!$K$56*(12.73^2)+'LINEST VARS'!$J$56*(8*8)+'LINEST VARS'!$I$56*(8*$BC$56)+'LINEST VARS'!$H$56*(8*$AZ76)+'LINEST VARS'!$G$56*(8*12.73)+'LINEST VARS'!$F$56*(8*$BC$56)+'LINEST VARS'!$E$56*(8*$AZ76)+'LINEST VARS'!$D$56*(8*12.73)+'LINEST VARS'!$C$56*($BC$56*$AZ76)+'LINEST VARS'!$B$56*($BC$56*12.73)+'LINEST VARS'!$A$56*($AZ76*12.73)</f>
        <v>2.833600000000001</v>
      </c>
      <c r="BD76" s="51">
        <f>'LINEST VARS'!$U$56+'LINEST VARS'!$T$56*(8)+'LINEST VARS'!$S$56*(8)+'LINEST VARS'!$R$56*($BD$56)+'LINEST VARS'!$Q$56*($AZ76)+'LINEST VARS'!$P$56*(12.73)+'LINEST VARS'!$O$56*(8^2)+'LINEST VARS'!$N$56*(8^2)+'LINEST VARS'!$M$56*($BD$56^2)+'LINEST VARS'!$L$56*($AZ76^2)+'LINEST VARS'!$K$56*(12.73^2)+'LINEST VARS'!$J$56*(8*8)+'LINEST VARS'!$I$56*(8*$BD$56)+'LINEST VARS'!$H$56*(8*$AZ76)+'LINEST VARS'!$G$56*(8*12.73)+'LINEST VARS'!$F$56*(8*$BD$56)+'LINEST VARS'!$E$56*(8*$AZ76)+'LINEST VARS'!$D$56*(8*12.73)+'LINEST VARS'!$C$56*($BD$56*$AZ76)+'LINEST VARS'!$B$56*($BD$56*12.73)+'LINEST VARS'!$A$56*($AZ76*12.73)</f>
        <v>2.845600000000001</v>
      </c>
      <c r="BE76" s="51">
        <f>'LINEST VARS'!$U$56+'LINEST VARS'!$T$56*(8)+'LINEST VARS'!$S$56*(8)+'LINEST VARS'!$R$56*($BE$56)+'LINEST VARS'!$Q$56*($AZ76)+'LINEST VARS'!$P$56*(12.73)+'LINEST VARS'!$O$56*(8^2)+'LINEST VARS'!$N$56*(8^2)+'LINEST VARS'!$M$56*($BE$56^2)+'LINEST VARS'!$L$56*($AZ76^2)+'LINEST VARS'!$K$56*(12.73^2)+'LINEST VARS'!$J$56*(8*8)+'LINEST VARS'!$I$56*(8*$BE$56)+'LINEST VARS'!$H$56*(8*$AZ76)+'LINEST VARS'!$G$56*(8*12.73)+'LINEST VARS'!$F$56*(8*$BE$56)+'LINEST VARS'!$E$56*(8*$AZ76)+'LINEST VARS'!$D$56*(8*12.73)+'LINEST VARS'!$C$56*($BE$56*$AZ76)+'LINEST VARS'!$B$56*($BE$56*12.73)+'LINEST VARS'!$A$56*($AZ76*12.73)</f>
        <v>2.8544000000000014</v>
      </c>
      <c r="BF76" s="51">
        <f>'LINEST VARS'!$U$56+'LINEST VARS'!$T$56*(8)+'LINEST VARS'!$S$56*(8)+'LINEST VARS'!$R$56*($BF$56)+'LINEST VARS'!$Q$56*($AZ76)+'LINEST VARS'!$P$56*(12.73)+'LINEST VARS'!$O$56*(8^2)+'LINEST VARS'!$N$56*(8^2)+'LINEST VARS'!$M$56*($BF$56^2)+'LINEST VARS'!$L$56*($AZ76^2)+'LINEST VARS'!$K$56*(12.73^2)+'LINEST VARS'!$J$56*(8*8)+'LINEST VARS'!$I$56*(8*$BF$56)+'LINEST VARS'!$H$56*(8*$AZ76)+'LINEST VARS'!$G$56*(8*12.73)+'LINEST VARS'!$F$56*(8*$BF$56)+'LINEST VARS'!$E$56*(8*$AZ76)+'LINEST VARS'!$D$56*(8*12.73)+'LINEST VARS'!$C$56*($BF$56*$AZ76)+'LINEST VARS'!$B$56*($BF$56*12.73)+'LINEST VARS'!$A$56*($AZ76*12.73)</f>
        <v>2.8600000000000012</v>
      </c>
      <c r="BG76" s="51">
        <f>'LINEST VARS'!$U$56+'LINEST VARS'!$T$56*(8)+'LINEST VARS'!$S$56*(8)+'LINEST VARS'!$R$56*($BG$56)+'LINEST VARS'!$Q$56*($AZ76)+'LINEST VARS'!$P$56*(12.73)+'LINEST VARS'!$O$56*(8^2)+'LINEST VARS'!$N$56*(8^2)+'LINEST VARS'!$M$56*($BG$56^2)+'LINEST VARS'!$L$56*($AZ76^2)+'LINEST VARS'!$K$56*(12.73^2)+'LINEST VARS'!$J$56*(8*8)+'LINEST VARS'!$I$56*(8*$BG$56)+'LINEST VARS'!$H$56*(8*$AZ76)+'LINEST VARS'!$G$56*(8*12.73)+'LINEST VARS'!$F$56*(8*$BG$56)+'LINEST VARS'!$E$56*(8*$AZ76)+'LINEST VARS'!$D$56*(8*12.73)+'LINEST VARS'!$C$56*($BG$56*$AZ76)+'LINEST VARS'!$B$56*($BG$56*12.73)+'LINEST VARS'!$A$56*($AZ76*12.73)</f>
        <v>2.8624000000000014</v>
      </c>
      <c r="BH76" s="51">
        <f>'LINEST VARS'!$U$56+'LINEST VARS'!$T$56*(8)+'LINEST VARS'!$S$56*(8)+'LINEST VARS'!$R$56*($BH$56)+'LINEST VARS'!$Q$56*($AZ76)+'LINEST VARS'!$P$56*(12.73)+'LINEST VARS'!$O$56*(8^2)+'LINEST VARS'!$N$56*(8^2)+'LINEST VARS'!$M$56*($BH$56^2)+'LINEST VARS'!$L$56*($AZ76^2)+'LINEST VARS'!$K$56*(12.73^2)+'LINEST VARS'!$J$56*(8*8)+'LINEST VARS'!$I$56*(8*$BH$56)+'LINEST VARS'!$H$56*(8*$AZ76)+'LINEST VARS'!$G$56*(8*12.73)+'LINEST VARS'!$F$56*(8*$BH$56)+'LINEST VARS'!$E$56*(8*$AZ76)+'LINEST VARS'!$D$56*(8*12.73)+'LINEST VARS'!$C$56*($BH$56*$AZ76)+'LINEST VARS'!$B$56*($BH$56*12.73)+'LINEST VARS'!$A$56*($AZ76*12.73)</f>
        <v>2.861600000000001</v>
      </c>
      <c r="BI76" s="51">
        <f>'LINEST VARS'!$U$56+'LINEST VARS'!$T$56*(8)+'LINEST VARS'!$S$56*(8)+'LINEST VARS'!$R$56*($BI$56)+'LINEST VARS'!$Q$56*($AZ76)+'LINEST VARS'!$P$56*(12.73)+'LINEST VARS'!$O$56*(8^2)+'LINEST VARS'!$N$56*(8^2)+'LINEST VARS'!$M$56*($BI$56^2)+'LINEST VARS'!$L$56*($AZ76^2)+'LINEST VARS'!$K$56*(12.73^2)+'LINEST VARS'!$J$56*(8*8)+'LINEST VARS'!$I$56*(8*$BI$56)+'LINEST VARS'!$H$56*(8*$AZ76)+'LINEST VARS'!$G$56*(8*12.73)+'LINEST VARS'!$F$56*(8*$BI$56)+'LINEST VARS'!$E$56*(8*$AZ76)+'LINEST VARS'!$D$56*(8*12.73)+'LINEST VARS'!$C$56*($BI$56*$AZ76)+'LINEST VARS'!$B$56*($BI$56*12.73)+'LINEST VARS'!$A$56*($AZ76*12.73)</f>
        <v>2.857600000000001</v>
      </c>
      <c r="BJ76" s="51">
        <f>'LINEST VARS'!$U$56+'LINEST VARS'!$T$56*(8)+'LINEST VARS'!$S$56*(8)+'LINEST VARS'!$R$56*($BJ$56)+'LINEST VARS'!$Q$56*($AZ76)+'LINEST VARS'!$P$56*(12.73)+'LINEST VARS'!$O$56*(8^2)+'LINEST VARS'!$N$56*(8^2)+'LINEST VARS'!$M$56*($BJ$56^2)+'LINEST VARS'!$L$56*($AZ76^2)+'LINEST VARS'!$K$56*(12.73^2)+'LINEST VARS'!$J$56*(8*8)+'LINEST VARS'!$I$56*(8*$BJ$56)+'LINEST VARS'!$H$56*(8*$AZ76)+'LINEST VARS'!$G$56*(8*12.73)+'LINEST VARS'!$F$56*(8*$BJ$56)+'LINEST VARS'!$E$56*(8*$AZ76)+'LINEST VARS'!$D$56*(8*12.73)+'LINEST VARS'!$C$56*($BJ$56*$AZ76)+'LINEST VARS'!$B$56*($BJ$56*12.73)+'LINEST VARS'!$A$56*($AZ76*12.73)</f>
        <v>2.8504000000000014</v>
      </c>
      <c r="BK76" s="51">
        <f>'LINEST VARS'!$U$56+'LINEST VARS'!$T$56*(8)+'LINEST VARS'!$S$56*(8)+'LINEST VARS'!$R$56*($BK$56)+'LINEST VARS'!$Q$56*($AZ76)+'LINEST VARS'!$P$56*(12.73)+'LINEST VARS'!$O$56*(8^2)+'LINEST VARS'!$N$56*(8^2)+'LINEST VARS'!$M$56*($BK$56^2)+'LINEST VARS'!$L$56*($AZ76^2)+'LINEST VARS'!$K$56*(12.73^2)+'LINEST VARS'!$J$56*(8*8)+'LINEST VARS'!$I$56*(8*$BK$56)+'LINEST VARS'!$H$56*(8*$AZ76)+'LINEST VARS'!$G$56*(8*12.73)+'LINEST VARS'!$F$56*(8*$BK$56)+'LINEST VARS'!$E$56*(8*$AZ76)+'LINEST VARS'!$D$56*(8*12.73)+'LINEST VARS'!$C$56*($BK$56*$AZ76)+'LINEST VARS'!$B$56*($BK$56*12.73)+'LINEST VARS'!$A$56*($AZ76*12.73)</f>
        <v>2.8400000000000012</v>
      </c>
      <c r="BL76" s="51">
        <f>'LINEST VARS'!$U$56+'LINEST VARS'!$T$56*(8)+'LINEST VARS'!$S$56*(8)+'LINEST VARS'!$R$56*($BL$56)+'LINEST VARS'!$Q$56*($AZ76)+'LINEST VARS'!$P$56*(12.73)+'LINEST VARS'!$O$56*(8^2)+'LINEST VARS'!$N$56*(8^2)+'LINEST VARS'!$M$56*($BL$56^2)+'LINEST VARS'!$L$56*($AZ76^2)+'LINEST VARS'!$K$56*(12.73^2)+'LINEST VARS'!$J$56*(8*8)+'LINEST VARS'!$I$56*(8*$BL$56)+'LINEST VARS'!$H$56*(8*$AZ76)+'LINEST VARS'!$G$56*(8*12.73)+'LINEST VARS'!$F$56*(8*$BL$56)+'LINEST VARS'!$E$56*(8*$AZ76)+'LINEST VARS'!$D$56*(8*12.73)+'LINEST VARS'!$C$56*($BL$56*$AZ76)+'LINEST VARS'!$B$56*($BL$56*12.73)+'LINEST VARS'!$A$56*($AZ76*12.73)</f>
        <v>2.8264000000000014</v>
      </c>
      <c r="BM76" s="51">
        <f>'LINEST VARS'!$U$56+'LINEST VARS'!$T$56*(8)+'LINEST VARS'!$S$56*(8)+'LINEST VARS'!$R$56*($BM$56)+'LINEST VARS'!$Q$56*($AZ76)+'LINEST VARS'!$P$56*(12.73)+'LINEST VARS'!$O$56*(8^2)+'LINEST VARS'!$N$56*(8^2)+'LINEST VARS'!$M$56*($BM$56^2)+'LINEST VARS'!$L$56*($AZ76^2)+'LINEST VARS'!$K$56*(12.73^2)+'LINEST VARS'!$J$56*(8*8)+'LINEST VARS'!$I$56*(8*$BM$56)+'LINEST VARS'!$H$56*(8*$AZ76)+'LINEST VARS'!$G$56*(8*12.73)+'LINEST VARS'!$F$56*(8*$BM$56)+'LINEST VARS'!$E$56*(8*$AZ76)+'LINEST VARS'!$D$56*(8*12.73)+'LINEST VARS'!$C$56*($BM$56*$AZ76)+'LINEST VARS'!$B$56*($BM$56*12.73)+'LINEST VARS'!$A$56*($AZ76*12.73)</f>
        <v>2.809600000000001</v>
      </c>
      <c r="BN76" s="51">
        <f>'LINEST VARS'!$U$56+'LINEST VARS'!$T$56*(8)+'LINEST VARS'!$S$56*(8)+'LINEST VARS'!$R$56*($BN$56)+'LINEST VARS'!$Q$56*($AZ76)+'LINEST VARS'!$P$56*(12.73)+'LINEST VARS'!$O$56*(8^2)+'LINEST VARS'!$N$56*(8^2)+'LINEST VARS'!$M$56*($BN$56^2)+'LINEST VARS'!$L$56*($AZ76^2)+'LINEST VARS'!$K$56*(12.73^2)+'LINEST VARS'!$J$56*(8*8)+'LINEST VARS'!$I$56*(8*$BN$56)+'LINEST VARS'!$H$56*(8*$AZ76)+'LINEST VARS'!$G$56*(8*12.73)+'LINEST VARS'!$F$56*(8*$BN$56)+'LINEST VARS'!$E$56*(8*$AZ76)+'LINEST VARS'!$D$56*(8*12.73)+'LINEST VARS'!$C$56*($BN$56*$AZ76)+'LINEST VARS'!$B$56*($BN$56*12.73)+'LINEST VARS'!$A$56*($AZ76*12.73)</f>
        <v>2.789600000000001</v>
      </c>
      <c r="BO76" s="51">
        <f>'LINEST VARS'!$U$56+'LINEST VARS'!$T$56*(8)+'LINEST VARS'!$S$56*(8)+'LINEST VARS'!$R$56*($BO$56)+'LINEST VARS'!$Q$56*($AZ76)+'LINEST VARS'!$P$56*(12.73)+'LINEST VARS'!$O$56*(8^2)+'LINEST VARS'!$N$56*(8^2)+'LINEST VARS'!$M$56*($BO$56^2)+'LINEST VARS'!$L$56*($AZ76^2)+'LINEST VARS'!$K$56*(12.73^2)+'LINEST VARS'!$J$56*(8*8)+'LINEST VARS'!$I$56*(8*$BO$56)+'LINEST VARS'!$H$56*(8*$AZ76)+'LINEST VARS'!$G$56*(8*12.73)+'LINEST VARS'!$F$56*(8*$BO$56)+'LINEST VARS'!$E$56*(8*$AZ76)+'LINEST VARS'!$D$56*(8*12.73)+'LINEST VARS'!$C$56*($BO$56*$AZ76)+'LINEST VARS'!$B$56*($BO$56*12.73)+'LINEST VARS'!$A$56*($AZ76*12.73)</f>
        <v>2.7664000000000013</v>
      </c>
      <c r="BP76" s="51">
        <f>'LINEST VARS'!$U$56+'LINEST VARS'!$T$56*(8)+'LINEST VARS'!$S$56*(8)+'LINEST VARS'!$R$56*($BP$56)+'LINEST VARS'!$Q$56*($AZ76)+'LINEST VARS'!$P$56*(12.73)+'LINEST VARS'!$O$56*(8^2)+'LINEST VARS'!$N$56*(8^2)+'LINEST VARS'!$M$56*($BP$56^2)+'LINEST VARS'!$L$56*($AZ76^2)+'LINEST VARS'!$K$56*(12.73^2)+'LINEST VARS'!$J$56*(8*8)+'LINEST VARS'!$I$56*(8*$BP$56)+'LINEST VARS'!$H$56*(8*$AZ76)+'LINEST VARS'!$G$56*(8*12.73)+'LINEST VARS'!$F$56*(8*$BP$56)+'LINEST VARS'!$E$56*(8*$AZ76)+'LINEST VARS'!$D$56*(8*12.73)+'LINEST VARS'!$C$56*($BP$56*$AZ76)+'LINEST VARS'!$B$56*($BP$56*12.73)+'LINEST VARS'!$A$56*($AZ76*12.73)</f>
        <v>2.7400000000000011</v>
      </c>
      <c r="BQ76" s="51">
        <f>'LINEST VARS'!$U$56+'LINEST VARS'!$T$56*(8)+'LINEST VARS'!$S$56*(8)+'LINEST VARS'!$R$56*($BQ$56)+'LINEST VARS'!$Q$56*($AZ76)+'LINEST VARS'!$P$56*(12.73)+'LINEST VARS'!$O$56*(8^2)+'LINEST VARS'!$N$56*(8^2)+'LINEST VARS'!$M$56*($BQ$56^2)+'LINEST VARS'!$L$56*($AZ76^2)+'LINEST VARS'!$K$56*(12.73^2)+'LINEST VARS'!$J$56*(8*8)+'LINEST VARS'!$I$56*(8*$BQ$56)+'LINEST VARS'!$H$56*(8*$AZ76)+'LINEST VARS'!$G$56*(8*12.73)+'LINEST VARS'!$F$56*(8*$BQ$56)+'LINEST VARS'!$E$56*(8*$AZ76)+'LINEST VARS'!$D$56*(8*12.73)+'LINEST VARS'!$C$56*($BQ$56*$AZ76)+'LINEST VARS'!$B$56*($BQ$56*12.73)+'LINEST VARS'!$A$56*($AZ76*12.73)</f>
        <v>2.7104000000000008</v>
      </c>
      <c r="BR76" s="51">
        <f>'LINEST VARS'!$U$56+'LINEST VARS'!$T$56*(8)+'LINEST VARS'!$S$56*(8)+'LINEST VARS'!$R$56*($BR$56)+'LINEST VARS'!$Q$56*($AZ76)+'LINEST VARS'!$P$56*(12.73)+'LINEST VARS'!$O$56*(8^2)+'LINEST VARS'!$N$56*(8^2)+'LINEST VARS'!$M$56*($BR$56^2)+'LINEST VARS'!$L$56*($AZ76^2)+'LINEST VARS'!$K$56*(12.73^2)+'LINEST VARS'!$J$56*(8*8)+'LINEST VARS'!$I$56*(8*$BR$56)+'LINEST VARS'!$H$56*(8*$AZ76)+'LINEST VARS'!$G$56*(8*12.73)+'LINEST VARS'!$F$56*(8*$BR$56)+'LINEST VARS'!$E$56*(8*$AZ76)+'LINEST VARS'!$D$56*(8*12.73)+'LINEST VARS'!$C$56*($BR$56*$AZ76)+'LINEST VARS'!$B$56*($BR$56*12.73)+'LINEST VARS'!$A$56*($AZ76*12.73)</f>
        <v>2.6776000000000013</v>
      </c>
      <c r="BS76" s="51">
        <f>'LINEST VARS'!$U$56+'LINEST VARS'!$T$56*(8)+'LINEST VARS'!$S$56*(8)+'LINEST VARS'!$R$56*($BS$56)+'LINEST VARS'!$Q$56*($AZ76)+'LINEST VARS'!$P$56*(12.73)+'LINEST VARS'!$O$56*(8^2)+'LINEST VARS'!$N$56*(8^2)+'LINEST VARS'!$M$56*($BS$56^2)+'LINEST VARS'!$L$56*($AZ76^2)+'LINEST VARS'!$K$56*(12.73^2)+'LINEST VARS'!$J$56*(8*8)+'LINEST VARS'!$I$56*(8*$BS$56)+'LINEST VARS'!$H$56*(8*$AZ76)+'LINEST VARS'!$G$56*(8*12.73)+'LINEST VARS'!$F$56*(8*$BS$56)+'LINEST VARS'!$E$56*(8*$AZ76)+'LINEST VARS'!$D$56*(8*12.73)+'LINEST VARS'!$C$56*($BS$56*$AZ76)+'LINEST VARS'!$B$56*($BS$56*12.73)+'LINEST VARS'!$A$56*($AZ76*12.73)</f>
        <v>2.6416000000000008</v>
      </c>
      <c r="BT76" s="51">
        <f>'LINEST VARS'!$U$56+'LINEST VARS'!$T$56*(8)+'LINEST VARS'!$S$56*(8)+'LINEST VARS'!$R$56*($BT$56)+'LINEST VARS'!$Q$56*($AZ76)+'LINEST VARS'!$P$56*(12.73)+'LINEST VARS'!$O$56*(8^2)+'LINEST VARS'!$N$56*(8^2)+'LINEST VARS'!$M$56*($BT$56^2)+'LINEST VARS'!$L$56*($AZ76^2)+'LINEST VARS'!$K$56*(12.73^2)+'LINEST VARS'!$J$56*(8*8)+'LINEST VARS'!$I$56*(8*$BT$56)+'LINEST VARS'!$H$56*(8*$AZ76)+'LINEST VARS'!$G$56*(8*12.73)+'LINEST VARS'!$F$56*(8*$BT$56)+'LINEST VARS'!$E$56*(8*$AZ76)+'LINEST VARS'!$D$56*(8*12.73)+'LINEST VARS'!$C$56*($BT$56*$AZ76)+'LINEST VARS'!$B$56*($BT$56*12.73)+'LINEST VARS'!$A$56*($AZ76*12.73)</f>
        <v>2.6024000000000012</v>
      </c>
      <c r="BU76" s="52">
        <f>'LINEST VARS'!$U$56+'LINEST VARS'!$T$56*(8)+'LINEST VARS'!$S$56*(8)+'LINEST VARS'!$R$56*($BU$56)+'LINEST VARS'!$Q$56*($AZ76)+'LINEST VARS'!$P$56*(12.73)+'LINEST VARS'!$O$56*(8^2)+'LINEST VARS'!$N$56*(8^2)+'LINEST VARS'!$M$56*($BU$56^2)+'LINEST VARS'!$L$56*($AZ76^2)+'LINEST VARS'!$K$56*(12.73^2)+'LINEST VARS'!$J$56*(8*8)+'LINEST VARS'!$I$56*(8*$BU$56)+'LINEST VARS'!$H$56*(8*$AZ76)+'LINEST VARS'!$G$56*(8*12.73)+'LINEST VARS'!$F$56*(8*$BU$56)+'LINEST VARS'!$E$56*(8*$AZ76)+'LINEST VARS'!$D$56*(8*12.73)+'LINEST VARS'!$C$56*($BU$56*$AZ76)+'LINEST VARS'!$B$56*($BU$56*12.73)+'LINEST VARS'!$A$56*($AZ76*12.73)</f>
        <v>2.5600000000000009</v>
      </c>
      <c r="BX76" s="45">
        <v>0.95</v>
      </c>
      <c r="BY76" s="51">
        <f>'LINEST VARS'!$U$58+'LINEST VARS'!$T$58*(8)+'LINEST VARS'!$S$58*(8)+'LINEST VARS'!$R$58*($BY$56)+'LINEST VARS'!$Q$58*($BX76)+'LINEST VARS'!$P$58*(12.73)+'LINEST VARS'!$O$58*(8^2)+'LINEST VARS'!$N$58*(8^2)+'LINEST VARS'!$M$58*($BY$56^2)+'LINEST VARS'!$L$58*($BX76^2)+'LINEST VARS'!$K$58*(12.73^2)+'LINEST VARS'!$J$58*(8*8)+'LINEST VARS'!$I$58*(8*$BY$56)+'LINEST VARS'!$H$58*(8*$BX76)+'LINEST VARS'!$G$58*(8*12.73)+'LINEST VARS'!$F$58*(8*$BY$56)+'LINEST VARS'!$E$58*(8*$BX76)+'LINEST VARS'!$D$58*(8*12.73)+'LINEST VARS'!$C$58*($BY$56*$BX76)+'LINEST VARS'!$B$58*($BY$56*12.73)+'LINEST VARS'!$A$58*($BX76*12.73)</f>
        <v>0.86365000000000036</v>
      </c>
      <c r="BZ76" s="51">
        <f>'LINEST VARS'!$U$58+'LINEST VARS'!$T$58*(8)+'LINEST VARS'!$S$58*(8)+'LINEST VARS'!$R$58*($BZ$56)+'LINEST VARS'!$Q$58*($BX76)+'LINEST VARS'!$P$58*(12.73)+'LINEST VARS'!$O$58*(8^2)+'LINEST VARS'!$N$58*(8^2)+'LINEST VARS'!$M$58*($BZ$56^2)+'LINEST VARS'!$L$58*($BX76^2)+'LINEST VARS'!$K$58*(12.73^2)+'LINEST VARS'!$J$58*(8*8)+'LINEST VARS'!$I$58*(8*$BZ$56)+'LINEST VARS'!$H$58*(8*$BX76)+'LINEST VARS'!$G$58*(8*12.73)+'LINEST VARS'!$F$58*(8*$BZ$56)+'LINEST VARS'!$E$58*(8*$BX76)+'LINEST VARS'!$D$58*(8*12.73)+'LINEST VARS'!$C$58*($BZ$56*$BX76)+'LINEST VARS'!$B$58*($BZ$56*12.73)+'LINEST VARS'!$A$58*($BX76*12.73)</f>
        <v>0.87165000000000037</v>
      </c>
      <c r="CA76" s="51">
        <f>'LINEST VARS'!$U$58+'LINEST VARS'!$T$58*(8)+'LINEST VARS'!$S$58*(8)+'LINEST VARS'!$R$58*($CA$56)+'LINEST VARS'!$Q$58*($BX76)+'LINEST VARS'!$P$58*(12.73)+'LINEST VARS'!$O$58*(8^2)+'LINEST VARS'!$N$58*(8^2)+'LINEST VARS'!$M$58*($CA$56^2)+'LINEST VARS'!$L$58*($BX76^2)+'LINEST VARS'!$K$58*(12.73^2)+'LINEST VARS'!$J$58*(8*8)+'LINEST VARS'!$I$58*(8*$CA$56)+'LINEST VARS'!$H$58*(8*$BX76)+'LINEST VARS'!$G$58*(8*12.73)+'LINEST VARS'!$F$58*(8*$CA$56)+'LINEST VARS'!$E$58*(8*$BX76)+'LINEST VARS'!$D$58*(8*12.73)+'LINEST VARS'!$C$58*($CA$56*$BX76)+'LINEST VARS'!$B$58*($CA$56*12.73)+'LINEST VARS'!$A$58*($BX76*12.73)</f>
        <v>0.87965000000000027</v>
      </c>
      <c r="CB76" s="51">
        <f>'LINEST VARS'!$U$58+'LINEST VARS'!$T$58*(8)+'LINEST VARS'!$S$58*(8)+'LINEST VARS'!$R$58*($CB$56)+'LINEST VARS'!$Q$58*($BX76)+'LINEST VARS'!$P$58*(12.73)+'LINEST VARS'!$O$58*(8^2)+'LINEST VARS'!$N$58*(8^2)+'LINEST VARS'!$M$58*($CB$56^2)+'LINEST VARS'!$L$58*($BX76^2)+'LINEST VARS'!$K$58*(12.73^2)+'LINEST VARS'!$J$58*(8*8)+'LINEST VARS'!$I$58*(8*$CB$56)+'LINEST VARS'!$H$58*(8*$BX76)+'LINEST VARS'!$G$58*(8*12.73)+'LINEST VARS'!$F$58*(8*$CB$56)+'LINEST VARS'!$E$58*(8*$BX76)+'LINEST VARS'!$D$58*(8*12.73)+'LINEST VARS'!$C$58*($CB$56*$BX76)+'LINEST VARS'!$B$58*($CB$56*12.73)+'LINEST VARS'!$A$58*($BX76*12.73)</f>
        <v>0.88765000000000027</v>
      </c>
      <c r="CC76" s="51">
        <f>'LINEST VARS'!$U$58+'LINEST VARS'!$T$58*(8)+'LINEST VARS'!$S$58*(8)+'LINEST VARS'!$R$58*($CC$56)+'LINEST VARS'!$Q$58*($BX76)+'LINEST VARS'!$P$58*(12.73)+'LINEST VARS'!$O$58*(8^2)+'LINEST VARS'!$N$58*(8^2)+'LINEST VARS'!$M$58*($CC$56^2)+'LINEST VARS'!$L$58*($BX76^2)+'LINEST VARS'!$K$58*(12.73^2)+'LINEST VARS'!$J$58*(8*8)+'LINEST VARS'!$I$58*(8*$CC$56)+'LINEST VARS'!$H$58*(8*$BX76)+'LINEST VARS'!$G$58*(8*12.73)+'LINEST VARS'!$F$58*(8*$CC$56)+'LINEST VARS'!$E$58*(8*$BX76)+'LINEST VARS'!$D$58*(8*12.73)+'LINEST VARS'!$C$58*($CC$56*$BX76)+'LINEST VARS'!$B$58*($CC$56*12.73)+'LINEST VARS'!$A$58*($BX76*12.73)</f>
        <v>0.89565000000000017</v>
      </c>
      <c r="CD76" s="51">
        <f>'LINEST VARS'!$U$58+'LINEST VARS'!$T$58*(8)+'LINEST VARS'!$S$58*(8)+'LINEST VARS'!$R$58*($CD$56)+'LINEST VARS'!$Q$58*($BX76)+'LINEST VARS'!$P$58*(12.73)+'LINEST VARS'!$O$58*(8^2)+'LINEST VARS'!$N$58*(8^2)+'LINEST VARS'!$M$58*($CD$56^2)+'LINEST VARS'!$L$58*($BX76^2)+'LINEST VARS'!$K$58*(12.73^2)+'LINEST VARS'!$J$58*(8*8)+'LINEST VARS'!$I$58*(8*$CD$56)+'LINEST VARS'!$H$58*(8*$BX76)+'LINEST VARS'!$G$58*(8*12.73)+'LINEST VARS'!$F$58*(8*$CD$56)+'LINEST VARS'!$E$58*(8*$BX76)+'LINEST VARS'!$D$58*(8*12.73)+'LINEST VARS'!$C$58*($CD$56*$BX76)+'LINEST VARS'!$B$58*($CD$56*12.73)+'LINEST VARS'!$A$58*($BX76*12.73)</f>
        <v>0.90365000000000029</v>
      </c>
      <c r="CE76" s="51">
        <f>'LINEST VARS'!$U$58+'LINEST VARS'!$T$58*(8)+'LINEST VARS'!$S$58*(8)+'LINEST VARS'!$R$58*($CE$56)+'LINEST VARS'!$Q$58*($BX76)+'LINEST VARS'!$P$58*(12.73)+'LINEST VARS'!$O$58*(8^2)+'LINEST VARS'!$N$58*(8^2)+'LINEST VARS'!$M$58*($CE$56^2)+'LINEST VARS'!$L$58*($BX76^2)+'LINEST VARS'!$K$58*(12.73^2)+'LINEST VARS'!$J$58*(8*8)+'LINEST VARS'!$I$58*(8*$CE$56)+'LINEST VARS'!$H$58*(8*$BX76)+'LINEST VARS'!$G$58*(8*12.73)+'LINEST VARS'!$F$58*(8*$CE$56)+'LINEST VARS'!$E$58*(8*$BX76)+'LINEST VARS'!$D$58*(8*12.73)+'LINEST VARS'!$C$58*($CE$56*$BX76)+'LINEST VARS'!$B$58*($CE$56*12.73)+'LINEST VARS'!$A$58*($BX76*12.73)</f>
        <v>0.91165000000000029</v>
      </c>
      <c r="CF76" s="51">
        <f>'LINEST VARS'!$U$58+'LINEST VARS'!$T$58*(8)+'LINEST VARS'!$S$58*(8)+'LINEST VARS'!$R$58*($CF$56)+'LINEST VARS'!$Q$58*($BX76)+'LINEST VARS'!$P$58*(12.73)+'LINEST VARS'!$O$58*(8^2)+'LINEST VARS'!$N$58*(8^2)+'LINEST VARS'!$M$58*($CF$56^2)+'LINEST VARS'!$L$58*($BX76^2)+'LINEST VARS'!$K$58*(12.73^2)+'LINEST VARS'!$J$58*(8*8)+'LINEST VARS'!$I$58*(8*$CF$56)+'LINEST VARS'!$H$58*(8*$BX76)+'LINEST VARS'!$G$58*(8*12.73)+'LINEST VARS'!$F$58*(8*$CF$56)+'LINEST VARS'!$E$58*(8*$BX76)+'LINEST VARS'!$D$58*(8*12.73)+'LINEST VARS'!$C$58*($CF$56*$BX76)+'LINEST VARS'!$B$58*($CF$56*12.73)+'LINEST VARS'!$A$58*($BX76*12.73)</f>
        <v>0.9196500000000003</v>
      </c>
      <c r="CG76" s="51">
        <f>'LINEST VARS'!$U$58+'LINEST VARS'!$T$58*(8)+'LINEST VARS'!$S$58*(8)+'LINEST VARS'!$R$58*($CG$56)+'LINEST VARS'!$Q$58*($BX76)+'LINEST VARS'!$P$58*(12.73)+'LINEST VARS'!$O$58*(8^2)+'LINEST VARS'!$N$58*(8^2)+'LINEST VARS'!$M$58*($CG$56^2)+'LINEST VARS'!$L$58*($BX76^2)+'LINEST VARS'!$K$58*(12.73^2)+'LINEST VARS'!$J$58*(8*8)+'LINEST VARS'!$I$58*(8*$CG$56)+'LINEST VARS'!$H$58*(8*$BX76)+'LINEST VARS'!$G$58*(8*12.73)+'LINEST VARS'!$F$58*(8*$CG$56)+'LINEST VARS'!$E$58*(8*$BX76)+'LINEST VARS'!$D$58*(8*12.73)+'LINEST VARS'!$C$58*($CG$56*$BX76)+'LINEST VARS'!$B$58*($CG$56*12.73)+'LINEST VARS'!$A$58*($BX76*12.73)</f>
        <v>0.92765000000000042</v>
      </c>
      <c r="CH76" s="51">
        <f>'LINEST VARS'!$U$58+'LINEST VARS'!$T$58*(8)+'LINEST VARS'!$S$58*(8)+'LINEST VARS'!$R$58*($CH$56)+'LINEST VARS'!$Q$58*($BX76)+'LINEST VARS'!$P$58*(12.73)+'LINEST VARS'!$O$58*(8^2)+'LINEST VARS'!$N$58*(8^2)+'LINEST VARS'!$M$58*($CH$56^2)+'LINEST VARS'!$L$58*($BX76^2)+'LINEST VARS'!$K$58*(12.73^2)+'LINEST VARS'!$J$58*(8*8)+'LINEST VARS'!$I$58*(8*$CH$56)+'LINEST VARS'!$H$58*(8*$BX76)+'LINEST VARS'!$G$58*(8*12.73)+'LINEST VARS'!$F$58*(8*$CH$56)+'LINEST VARS'!$E$58*(8*$BX76)+'LINEST VARS'!$D$58*(8*12.73)+'LINEST VARS'!$C$58*($CH$56*$BX76)+'LINEST VARS'!$B$58*($CH$56*12.73)+'LINEST VARS'!$A$58*($BX76*12.73)</f>
        <v>0.93565000000000031</v>
      </c>
      <c r="CI76" s="51">
        <f>'LINEST VARS'!$U$58+'LINEST VARS'!$T$58*(8)+'LINEST VARS'!$S$58*(8)+'LINEST VARS'!$R$58*($CI$56)+'LINEST VARS'!$Q$58*($BX76)+'LINEST VARS'!$P$58*(12.73)+'LINEST VARS'!$O$58*(8^2)+'LINEST VARS'!$N$58*(8^2)+'LINEST VARS'!$M$58*($CI$56^2)+'LINEST VARS'!$L$58*($BX76^2)+'LINEST VARS'!$K$58*(12.73^2)+'LINEST VARS'!$J$58*(8*8)+'LINEST VARS'!$I$58*(8*$CI$56)+'LINEST VARS'!$H$58*(8*$BX76)+'LINEST VARS'!$G$58*(8*12.73)+'LINEST VARS'!$F$58*(8*$CI$56)+'LINEST VARS'!$E$58*(8*$BX76)+'LINEST VARS'!$D$58*(8*12.73)+'LINEST VARS'!$C$58*($CI$56*$BX76)+'LINEST VARS'!$B$58*($CI$56*12.73)+'LINEST VARS'!$A$58*($BX76*12.73)</f>
        <v>0.94365000000000032</v>
      </c>
      <c r="CJ76" s="51">
        <f>'LINEST VARS'!$U$58+'LINEST VARS'!$T$58*(8)+'LINEST VARS'!$S$58*(8)+'LINEST VARS'!$R$58*($CJ$56)+'LINEST VARS'!$Q$58*($BX76)+'LINEST VARS'!$P$58*(12.73)+'LINEST VARS'!$O$58*(8^2)+'LINEST VARS'!$N$58*(8^2)+'LINEST VARS'!$M$58*($CJ$56^2)+'LINEST VARS'!$L$58*($BX76^2)+'LINEST VARS'!$K$58*(12.73^2)+'LINEST VARS'!$J$58*(8*8)+'LINEST VARS'!$I$58*(8*$CJ$56)+'LINEST VARS'!$H$58*(8*$BX76)+'LINEST VARS'!$G$58*(8*12.73)+'LINEST VARS'!$F$58*(8*$CJ$56)+'LINEST VARS'!$E$58*(8*$BX76)+'LINEST VARS'!$D$58*(8*12.73)+'LINEST VARS'!$C$58*($CJ$56*$BX76)+'LINEST VARS'!$B$58*($CJ$56*12.73)+'LINEST VARS'!$A$58*($BX76*12.73)</f>
        <v>0.95165000000000022</v>
      </c>
      <c r="CK76" s="51">
        <f>'LINEST VARS'!$U$58+'LINEST VARS'!$T$58*(8)+'LINEST VARS'!$S$58*(8)+'LINEST VARS'!$R$58*($CK$56)+'LINEST VARS'!$Q$58*($BX76)+'LINEST VARS'!$P$58*(12.73)+'LINEST VARS'!$O$58*(8^2)+'LINEST VARS'!$N$58*(8^2)+'LINEST VARS'!$M$58*($CK$56^2)+'LINEST VARS'!$L$58*($BX76^2)+'LINEST VARS'!$K$58*(12.73^2)+'LINEST VARS'!$J$58*(8*8)+'LINEST VARS'!$I$58*(8*$CK$56)+'LINEST VARS'!$H$58*(8*$BX76)+'LINEST VARS'!$G$58*(8*12.73)+'LINEST VARS'!$F$58*(8*$CK$56)+'LINEST VARS'!$E$58*(8*$BX76)+'LINEST VARS'!$D$58*(8*12.73)+'LINEST VARS'!$C$58*($CK$56*$BX76)+'LINEST VARS'!$B$58*($CK$56*12.73)+'LINEST VARS'!$A$58*($BX76*12.73)</f>
        <v>0.95965000000000023</v>
      </c>
      <c r="CL76" s="51">
        <f>'LINEST VARS'!$U$58+'LINEST VARS'!$T$58*(8)+'LINEST VARS'!$S$58*(8)+'LINEST VARS'!$R$58*($CL$56)+'LINEST VARS'!$Q$58*($BX76)+'LINEST VARS'!$P$58*(12.73)+'LINEST VARS'!$O$58*(8^2)+'LINEST VARS'!$N$58*(8^2)+'LINEST VARS'!$M$58*($CL$56^2)+'LINEST VARS'!$L$58*($BX76^2)+'LINEST VARS'!$K$58*(12.73^2)+'LINEST VARS'!$J$58*(8*8)+'LINEST VARS'!$I$58*(8*$CL$56)+'LINEST VARS'!$H$58*(8*$BX76)+'LINEST VARS'!$G$58*(8*12.73)+'LINEST VARS'!$F$58*(8*$CL$56)+'LINEST VARS'!$E$58*(8*$BX76)+'LINEST VARS'!$D$58*(8*12.73)+'LINEST VARS'!$C$58*($CL$56*$BX76)+'LINEST VARS'!$B$58*($CL$56*12.73)+'LINEST VARS'!$A$58*($BX76*12.73)</f>
        <v>0.96765000000000012</v>
      </c>
      <c r="CM76" s="51">
        <f>'LINEST VARS'!$U$58+'LINEST VARS'!$T$58*(8)+'LINEST VARS'!$S$58*(8)+'LINEST VARS'!$R$58*($CM$56)+'LINEST VARS'!$Q$58*($BX76)+'LINEST VARS'!$P$58*(12.73)+'LINEST VARS'!$O$58*(8^2)+'LINEST VARS'!$N$58*(8^2)+'LINEST VARS'!$M$58*($CM$56^2)+'LINEST VARS'!$L$58*($BX76^2)+'LINEST VARS'!$K$58*(12.73^2)+'LINEST VARS'!$J$58*(8*8)+'LINEST VARS'!$I$58*(8*$CM$56)+'LINEST VARS'!$H$58*(8*$BX76)+'LINEST VARS'!$G$58*(8*12.73)+'LINEST VARS'!$F$58*(8*$CM$56)+'LINEST VARS'!$E$58*(8*$BX76)+'LINEST VARS'!$D$58*(8*12.73)+'LINEST VARS'!$C$58*($CM$56*$BX76)+'LINEST VARS'!$B$58*($CM$56*12.73)+'LINEST VARS'!$A$58*($BX76*12.73)</f>
        <v>0.97565000000000024</v>
      </c>
      <c r="CN76" s="51">
        <f>'LINEST VARS'!$U$58+'LINEST VARS'!$T$58*(8)+'LINEST VARS'!$S$58*(8)+'LINEST VARS'!$R$58*($CN$56)+'LINEST VARS'!$Q$58*($BX76)+'LINEST VARS'!$P$58*(12.73)+'LINEST VARS'!$O$58*(8^2)+'LINEST VARS'!$N$58*(8^2)+'LINEST VARS'!$M$58*($CN$56^2)+'LINEST VARS'!$L$58*($BX76^2)+'LINEST VARS'!$K$58*(12.73^2)+'LINEST VARS'!$J$58*(8*8)+'LINEST VARS'!$I$58*(8*$CN$56)+'LINEST VARS'!$H$58*(8*$BX76)+'LINEST VARS'!$G$58*(8*12.73)+'LINEST VARS'!$F$58*(8*$CN$56)+'LINEST VARS'!$E$58*(8*$BX76)+'LINEST VARS'!$D$58*(8*12.73)+'LINEST VARS'!$C$58*($CN$56*$BX76)+'LINEST VARS'!$B$58*($CN$56*12.73)+'LINEST VARS'!$A$58*($BX76*12.73)</f>
        <v>0.98365000000000025</v>
      </c>
      <c r="CO76" s="51">
        <f>'LINEST VARS'!$U$58+'LINEST VARS'!$T$58*(8)+'LINEST VARS'!$S$58*(8)+'LINEST VARS'!$R$58*($CO$56)+'LINEST VARS'!$Q$58*($BX76)+'LINEST VARS'!$P$58*(12.73)+'LINEST VARS'!$O$58*(8^2)+'LINEST VARS'!$N$58*(8^2)+'LINEST VARS'!$M$58*($CO$56^2)+'LINEST VARS'!$L$58*($BX76^2)+'LINEST VARS'!$K$58*(12.73^2)+'LINEST VARS'!$J$58*(8*8)+'LINEST VARS'!$I$58*(8*$CO$56)+'LINEST VARS'!$H$58*(8*$BX76)+'LINEST VARS'!$G$58*(8*12.73)+'LINEST VARS'!$F$58*(8*$CO$56)+'LINEST VARS'!$E$58*(8*$BX76)+'LINEST VARS'!$D$58*(8*12.73)+'LINEST VARS'!$C$58*($CO$56*$BX76)+'LINEST VARS'!$B$58*($CO$56*12.73)+'LINEST VARS'!$A$58*($BX76*12.73)</f>
        <v>0.99165000000000036</v>
      </c>
      <c r="CP76" s="51">
        <f>'LINEST VARS'!$U$58+'LINEST VARS'!$T$58*(8)+'LINEST VARS'!$S$58*(8)+'LINEST VARS'!$R$58*($CP$56)+'LINEST VARS'!$Q$58*($BX76)+'LINEST VARS'!$P$58*(12.73)+'LINEST VARS'!$O$58*(8^2)+'LINEST VARS'!$N$58*(8^2)+'LINEST VARS'!$M$58*($CP$56^2)+'LINEST VARS'!$L$58*($BX76^2)+'LINEST VARS'!$K$58*(12.73^2)+'LINEST VARS'!$J$58*(8*8)+'LINEST VARS'!$I$58*(8*$CP$56)+'LINEST VARS'!$H$58*(8*$BX76)+'LINEST VARS'!$G$58*(8*12.73)+'LINEST VARS'!$F$58*(8*$CP$56)+'LINEST VARS'!$E$58*(8*$BX76)+'LINEST VARS'!$D$58*(8*12.73)+'LINEST VARS'!$C$58*($CP$56*$BX76)+'LINEST VARS'!$B$58*($CP$56*12.73)+'LINEST VARS'!$A$58*($BX76*12.73)</f>
        <v>0.99965000000000037</v>
      </c>
      <c r="CQ76" s="51">
        <f>'LINEST VARS'!$U$58+'LINEST VARS'!$T$58*(8)+'LINEST VARS'!$S$58*(8)+'LINEST VARS'!$R$58*($CQ$56)+'LINEST VARS'!$Q$58*($BX76)+'LINEST VARS'!$P$58*(12.73)+'LINEST VARS'!$O$58*(8^2)+'LINEST VARS'!$N$58*(8^2)+'LINEST VARS'!$M$58*($CQ$56^2)+'LINEST VARS'!$L$58*($BX76^2)+'LINEST VARS'!$K$58*(12.73^2)+'LINEST VARS'!$J$58*(8*8)+'LINEST VARS'!$I$58*(8*$CQ$56)+'LINEST VARS'!$H$58*(8*$BX76)+'LINEST VARS'!$G$58*(8*12.73)+'LINEST VARS'!$F$58*(8*$CQ$56)+'LINEST VARS'!$E$58*(8*$BX76)+'LINEST VARS'!$D$58*(8*12.73)+'LINEST VARS'!$C$58*($CQ$56*$BX76)+'LINEST VARS'!$B$58*($CQ$56*12.73)+'LINEST VARS'!$A$58*($BX76*12.73)</f>
        <v>1.0076500000000002</v>
      </c>
      <c r="CR76" s="51">
        <f>'LINEST VARS'!$U$58+'LINEST VARS'!$T$58*(8)+'LINEST VARS'!$S$58*(8)+'LINEST VARS'!$R$58*($CR$56)+'LINEST VARS'!$Q$58*($BX76)+'LINEST VARS'!$P$58*(12.73)+'LINEST VARS'!$O$58*(8^2)+'LINEST VARS'!$N$58*(8^2)+'LINEST VARS'!$M$58*($CR$56^2)+'LINEST VARS'!$L$58*($BX76^2)+'LINEST VARS'!$K$58*(12.73^2)+'LINEST VARS'!$J$58*(8*8)+'LINEST VARS'!$I$58*(8*$CR$56)+'LINEST VARS'!$H$58*(8*$BX76)+'LINEST VARS'!$G$58*(8*12.73)+'LINEST VARS'!$F$58*(8*$CR$56)+'LINEST VARS'!$E$58*(8*$BX76)+'LINEST VARS'!$D$58*(8*12.73)+'LINEST VARS'!$C$58*($CR$56*$BX76)+'LINEST VARS'!$B$58*($CR$56*12.73)+'LINEST VARS'!$A$58*($BX76*12.73)</f>
        <v>1.0156499999999999</v>
      </c>
      <c r="CS76" s="52">
        <f>'LINEST VARS'!$U$58+'LINEST VARS'!$T$58*(8)+'LINEST VARS'!$S$58*(8)+'LINEST VARS'!$R$58*($CS$56)+'LINEST VARS'!$Q$58*($BX76)+'LINEST VARS'!$P$58*(12.73)+'LINEST VARS'!$O$58*(8^2)+'LINEST VARS'!$N$58*(8^2)+'LINEST VARS'!$M$58*($CS$56^2)+'LINEST VARS'!$L$58*($BX76^2)+'LINEST VARS'!$K$58*(12.73^2)+'LINEST VARS'!$J$58*(8*8)+'LINEST VARS'!$I$58*(8*$CS$56)+'LINEST VARS'!$H$58*(8*$BX76)+'LINEST VARS'!$G$58*(8*12.73)+'LINEST VARS'!$F$58*(8*$CS$56)+'LINEST VARS'!$E$58*(8*$BX76)+'LINEST VARS'!$D$58*(8*12.73)+'LINEST VARS'!$C$58*($CS$56*$BX76)+'LINEST VARS'!$B$58*($CS$56*12.73)+'LINEST VARS'!$A$58*($BX76*12.73)</f>
        <v>1.0236500000000002</v>
      </c>
      <c r="CX76" s="45">
        <v>24.6905</v>
      </c>
      <c r="CY76" s="51">
        <f>'LINEST VARS'!$U$56+'LINEST VARS'!$T$56*(8)+'LINEST VARS'!$S$56*(8)+'LINEST VARS'!$R$56*($CY$56)+'LINEST VARS'!$Q$56*(0.5)+'LINEST VARS'!$P$56*($CX76)+'LINEST VARS'!$O$56*(8^2)+'LINEST VARS'!$N$56*(8^2)+'LINEST VARS'!$M$56*($CY$56^2)+'LINEST VARS'!$L$56*(0.5^2)+'LINEST VARS'!$K$56*($CX76^2)+'LINEST VARS'!$J$56*(8*8)+'LINEST VARS'!$I$56*(8*$CY$56)+'LINEST VARS'!$H$56*(8*0.5)+'LINEST VARS'!$G$56*(8*$CX76)+'LINEST VARS'!$F$56*(8*$CY$56)+'LINEST VARS'!$E$56*(8*0.5)+'LINEST VARS'!$D$56*(8*$CX76)+'LINEST VARS'!$C$56*($CY$56*0.5)+'LINEST VARS'!$B$56*($CY$56*$CX76)+'LINEST VARS'!$A$56*(0.5*$CX76)</f>
        <v>2.8000000000000012</v>
      </c>
      <c r="CZ76" s="51">
        <f>'LINEST VARS'!$U$56+'LINEST VARS'!$T$56*(8)+'LINEST VARS'!$S$56*(8)+'LINEST VARS'!$R$56*($CZ$56)+'LINEST VARS'!$Q$56*(0.5)+'LINEST VARS'!$P$56*($CX76)+'LINEST VARS'!$O$56*(8^2)+'LINEST VARS'!$N$56*(8^2)+'LINEST VARS'!$M$56*($CZ$56^2)+'LINEST VARS'!$L$56*(0.5^2)+'LINEST VARS'!$K$56*($CX76^2)+'LINEST VARS'!$J$56*(8*8)+'LINEST VARS'!$I$56*(8*$CZ$56)+'LINEST VARS'!$H$56*(8*0.5)+'LINEST VARS'!$G$56*(8*$CX76)+'LINEST VARS'!$F$56*(8*$CZ$56)+'LINEST VARS'!$E$56*(8*0.5)+'LINEST VARS'!$D$56*(8*$CX76)+'LINEST VARS'!$C$56*($CZ$56*0.5)+'LINEST VARS'!$B$56*($CZ$56*$CX76)+'LINEST VARS'!$A$56*(0.5*$CX76)</f>
        <v>2.8184000000000013</v>
      </c>
      <c r="DA76" s="51">
        <f>'LINEST VARS'!$U$56+'LINEST VARS'!$T$56*(8)+'LINEST VARS'!$S$56*(8)+'LINEST VARS'!$R$56*($DA$56)+'LINEST VARS'!$Q$56*(0.5)+'LINEST VARS'!$P$56*($CX76)+'LINEST VARS'!$O$56*(8^2)+'LINEST VARS'!$N$56*(8^2)+'LINEST VARS'!$M$56*($DA$56^2)+'LINEST VARS'!$L$56*(0.5^2)+'LINEST VARS'!$K$56*($CX76^2)+'LINEST VARS'!$J$56*(8*8)+'LINEST VARS'!$I$56*(8*$DA$56)+'LINEST VARS'!$H$56*(8*0.5)+'LINEST VARS'!$G$56*(8*$CX76)+'LINEST VARS'!$F$56*(8*$DA$56)+'LINEST VARS'!$E$56*(8*0.5)+'LINEST VARS'!$D$56*(8*$CX76)+'LINEST VARS'!$C$56*($DA$56*0.5)+'LINEST VARS'!$B$56*($DA$56*$CX76)+'LINEST VARS'!$A$56*(0.5*$CX76)</f>
        <v>2.833600000000001</v>
      </c>
      <c r="DB76" s="51">
        <f>'LINEST VARS'!$U$56+'LINEST VARS'!$T$56*(8)+'LINEST VARS'!$S$56*(8)+'LINEST VARS'!$R$56*($DB$56)+'LINEST VARS'!$Q$56*(0.5)+'LINEST VARS'!$P$56*($CX76)+'LINEST VARS'!$O$56*(8^2)+'LINEST VARS'!$N$56*(8^2)+'LINEST VARS'!$M$56*($DB$56^2)+'LINEST VARS'!$L$56*(0.5^2)+'LINEST VARS'!$K$56*($CX76^2)+'LINEST VARS'!$J$56*(8*8)+'LINEST VARS'!$I$56*(8*$DB$56)+'LINEST VARS'!$H$56*(8*0.5)+'LINEST VARS'!$G$56*(8*$CX76)+'LINEST VARS'!$F$56*(8*$DB$56)+'LINEST VARS'!$E$56*(8*0.5)+'LINEST VARS'!$D$56*(8*$CX76)+'LINEST VARS'!$C$56*($DB$56*0.5)+'LINEST VARS'!$B$56*($DB$56*$CX76)+'LINEST VARS'!$A$56*(0.5*$CX76)</f>
        <v>2.845600000000001</v>
      </c>
      <c r="DC76" s="51">
        <f>'LINEST VARS'!$U$56+'LINEST VARS'!$T$56*(8)+'LINEST VARS'!$S$56*(8)+'LINEST VARS'!$R$56*($DC$56)+'LINEST VARS'!$Q$56*(0.5)+'LINEST VARS'!$P$56*($CX76)+'LINEST VARS'!$O$56*(8^2)+'LINEST VARS'!$N$56*(8^2)+'LINEST VARS'!$M$56*($DC$56^2)+'LINEST VARS'!$L$56*(0.5^2)+'LINEST VARS'!$K$56*($CX76^2)+'LINEST VARS'!$J$56*(8*8)+'LINEST VARS'!$I$56*(8*$DC$56)+'LINEST VARS'!$H$56*(8*0.5)+'LINEST VARS'!$G$56*(8*$CX76)+'LINEST VARS'!$F$56*(8*$DC$56)+'LINEST VARS'!$E$56*(8*0.5)+'LINEST VARS'!$D$56*(8*$CX76)+'LINEST VARS'!$C$56*($DC$56*0.5)+'LINEST VARS'!$B$56*($DC$56*$CX76)+'LINEST VARS'!$A$56*(0.5*$CX76)</f>
        <v>2.8544000000000014</v>
      </c>
      <c r="DD76" s="51">
        <f>'LINEST VARS'!$U$56+'LINEST VARS'!$T$56*(8)+'LINEST VARS'!$S$56*(8)+'LINEST VARS'!$R$56*($DD$56)+'LINEST VARS'!$Q$56*(0.5)+'LINEST VARS'!$P$56*($CX76)+'LINEST VARS'!$O$56*(8^2)+'LINEST VARS'!$N$56*(8^2)+'LINEST VARS'!$M$56*($DD$56^2)+'LINEST VARS'!$L$56*(0.5^2)+'LINEST VARS'!$K$56*($CX76^2)+'LINEST VARS'!$J$56*(8*8)+'LINEST VARS'!$I$56*(8*$DD$56)+'LINEST VARS'!$H$56*(8*0.5)+'LINEST VARS'!$G$56*(8*$CX76)+'LINEST VARS'!$F$56*(8*$DD$56)+'LINEST VARS'!$E$56*(8*0.5)+'LINEST VARS'!$D$56*(8*$CX76)+'LINEST VARS'!$C$56*($DD$56*0.5)+'LINEST VARS'!$B$56*($DD$56*$CX76)+'LINEST VARS'!$A$56*(0.5*$CX76)</f>
        <v>2.8600000000000012</v>
      </c>
      <c r="DE76" s="51">
        <f>'LINEST VARS'!$U$56+'LINEST VARS'!$T$56*(8)+'LINEST VARS'!$S$56*(8)+'LINEST VARS'!$R$56*($DE$56)+'LINEST VARS'!$Q$56*(0.5)+'LINEST VARS'!$P$56*($CX76)+'LINEST VARS'!$O$56*(8^2)+'LINEST VARS'!$N$56*(8^2)+'LINEST VARS'!$M$56*($DE$56^2)+'LINEST VARS'!$L$56*(0.5^2)+'LINEST VARS'!$K$56*($CX76^2)+'LINEST VARS'!$J$56*(8*8)+'LINEST VARS'!$I$56*(8*$DE$56)+'LINEST VARS'!$H$56*(8*0.5)+'LINEST VARS'!$G$56*(8*$CX76)+'LINEST VARS'!$F$56*(8*$DE$56)+'LINEST VARS'!$E$56*(8*0.5)+'LINEST VARS'!$D$56*(8*$CX76)+'LINEST VARS'!$C$56*($DE$56*0.5)+'LINEST VARS'!$B$56*($DE$56*$CX76)+'LINEST VARS'!$A$56*(0.5*$CX76)</f>
        <v>2.8624000000000014</v>
      </c>
      <c r="DF76" s="51">
        <f>'LINEST VARS'!$U$56+'LINEST VARS'!$T$56*(8)+'LINEST VARS'!$S$56*(8)+'LINEST VARS'!$R$56*($DF$56)+'LINEST VARS'!$Q$56*(0.5)+'LINEST VARS'!$P$56*($CX76)+'LINEST VARS'!$O$56*(8^2)+'LINEST VARS'!$N$56*(8^2)+'LINEST VARS'!$M$56*($DF$56^2)+'LINEST VARS'!$L$56*(0.5^2)+'LINEST VARS'!$K$56*($CX76^2)+'LINEST VARS'!$J$56*(8*8)+'LINEST VARS'!$I$56*(8*$DF$56)+'LINEST VARS'!$H$56*(8*0.5)+'LINEST VARS'!$G$56*(8*$CX76)+'LINEST VARS'!$F$56*(8*$DF$56)+'LINEST VARS'!$E$56*(8*0.5)+'LINEST VARS'!$D$56*(8*$CX76)+'LINEST VARS'!$C$56*($DF$56*0.5)+'LINEST VARS'!$B$56*($DF$56*$CX76)+'LINEST VARS'!$A$56*(0.5*$CX76)</f>
        <v>2.861600000000001</v>
      </c>
      <c r="DG76" s="51">
        <f>'LINEST VARS'!$U$56+'LINEST VARS'!$T$56*(8)+'LINEST VARS'!$S$56*(8)+'LINEST VARS'!$R$56*($DG$56)+'LINEST VARS'!$Q$56*(0.5)+'LINEST VARS'!$P$56*($CX76)+'LINEST VARS'!$O$56*(8^2)+'LINEST VARS'!$N$56*(8^2)+'LINEST VARS'!$M$56*($DG$56^2)+'LINEST VARS'!$L$56*(0.5^2)+'LINEST VARS'!$K$56*($CX76^2)+'LINEST VARS'!$J$56*(8*8)+'LINEST VARS'!$I$56*(8*$DG$56)+'LINEST VARS'!$H$56*(8*0.5)+'LINEST VARS'!$G$56*(8*$CX76)+'LINEST VARS'!$F$56*(8*$DG$56)+'LINEST VARS'!$E$56*(8*0.5)+'LINEST VARS'!$D$56*(8*$CX76)+'LINEST VARS'!$C$56*($DG$56*0.5)+'LINEST VARS'!$B$56*($DG$56*$CX76)+'LINEST VARS'!$A$56*(0.5*$CX76)</f>
        <v>2.857600000000001</v>
      </c>
      <c r="DH76" s="51">
        <f>'LINEST VARS'!$U$56+'LINEST VARS'!$T$56*(8)+'LINEST VARS'!$S$56*(8)+'LINEST VARS'!$R$56*($DH$56)+'LINEST VARS'!$Q$56*(0.5)+'LINEST VARS'!$P$56*($CX76)+'LINEST VARS'!$O$56*(8^2)+'LINEST VARS'!$N$56*(8^2)+'LINEST VARS'!$M$56*($DH$56^2)+'LINEST VARS'!$L$56*(0.5^2)+'LINEST VARS'!$K$56*($CX76^2)+'LINEST VARS'!$J$56*(8*8)+'LINEST VARS'!$I$56*(8*$DH$56)+'LINEST VARS'!$H$56*(8*0.5)+'LINEST VARS'!$G$56*(8*$CX76)+'LINEST VARS'!$F$56*(8*$DH$56)+'LINEST VARS'!$E$56*(8*0.5)+'LINEST VARS'!$D$56*(8*$CX76)+'LINEST VARS'!$C$56*($DH$56*0.5)+'LINEST VARS'!$B$56*($DH$56*$CX76)+'LINEST VARS'!$A$56*(0.5*$CX76)</f>
        <v>2.8504000000000014</v>
      </c>
      <c r="DI76" s="51">
        <f>'LINEST VARS'!$U$56+'LINEST VARS'!$T$56*(8)+'LINEST VARS'!$S$56*(8)+'LINEST VARS'!$R$56*($DI$56)+'LINEST VARS'!$Q$56*(0.5)+'LINEST VARS'!$P$56*($CX76)+'LINEST VARS'!$O$56*(8^2)+'LINEST VARS'!$N$56*(8^2)+'LINEST VARS'!$M$56*($DI$56^2)+'LINEST VARS'!$L$56*(0.5^2)+'LINEST VARS'!$K$56*($CX76^2)+'LINEST VARS'!$J$56*(8*8)+'LINEST VARS'!$I$56*(8*$DI$56)+'LINEST VARS'!$H$56*(8*0.5)+'LINEST VARS'!$G$56*(8*$CX76)+'LINEST VARS'!$F$56*(8*$DI$56)+'LINEST VARS'!$E$56*(8*0.5)+'LINEST VARS'!$D$56*(8*$CX76)+'LINEST VARS'!$C$56*($DI$56*0.5)+'LINEST VARS'!$B$56*($DI$56*$CX76)+'LINEST VARS'!$A$56*(0.5*$CX76)</f>
        <v>2.8400000000000012</v>
      </c>
      <c r="DJ76" s="51">
        <f>'LINEST VARS'!$U$56+'LINEST VARS'!$T$56*(8)+'LINEST VARS'!$S$56*(8)+'LINEST VARS'!$R$56*($DJ$56)+'LINEST VARS'!$Q$56*(0.5)+'LINEST VARS'!$P$56*($CX76)+'LINEST VARS'!$O$56*(8^2)+'LINEST VARS'!$N$56*(8^2)+'LINEST VARS'!$M$56*($DJ$56^2)+'LINEST VARS'!$L$56*(0.5^2)+'LINEST VARS'!$K$56*($CX76^2)+'LINEST VARS'!$J$56*(8*8)+'LINEST VARS'!$I$56*(8*$DJ$56)+'LINEST VARS'!$H$56*(8*0.5)+'LINEST VARS'!$G$56*(8*$CX76)+'LINEST VARS'!$F$56*(8*$DJ$56)+'LINEST VARS'!$E$56*(8*0.5)+'LINEST VARS'!$D$56*(8*$CX76)+'LINEST VARS'!$C$56*($DJ$56*0.5)+'LINEST VARS'!$B$56*($DJ$56*$CX76)+'LINEST VARS'!$A$56*(0.5*$CX76)</f>
        <v>2.8264000000000014</v>
      </c>
      <c r="DK76" s="51">
        <f>'LINEST VARS'!$U$56+'LINEST VARS'!$T$56*(8)+'LINEST VARS'!$S$56*(8)+'LINEST VARS'!$R$56*($DK$56)+'LINEST VARS'!$Q$56*(0.5)+'LINEST VARS'!$P$56*($CX76)+'LINEST VARS'!$O$56*(8^2)+'LINEST VARS'!$N$56*(8^2)+'LINEST VARS'!$M$56*($DK$56^2)+'LINEST VARS'!$L$56*(0.5^2)+'LINEST VARS'!$K$56*($CX76^2)+'LINEST VARS'!$J$56*(8*8)+'LINEST VARS'!$I$56*(8*$DK$56)+'LINEST VARS'!$H$56*(8*0.5)+'LINEST VARS'!$G$56*(8*$CX76)+'LINEST VARS'!$F$56*(8*$DK$56)+'LINEST VARS'!$E$56*(8*0.5)+'LINEST VARS'!$D$56*(8*$CX76)+'LINEST VARS'!$C$56*($DK$56*0.5)+'LINEST VARS'!$B$56*($DK$56*$CX76)+'LINEST VARS'!$A$56*(0.5*$CX76)</f>
        <v>2.809600000000001</v>
      </c>
      <c r="DL76" s="51">
        <f>'LINEST VARS'!$U$56+'LINEST VARS'!$T$56*(8)+'LINEST VARS'!$S$56*(8)+'LINEST VARS'!$R$56*($DL$56)+'LINEST VARS'!$Q$56*(0.5)+'LINEST VARS'!$P$56*($CX76)+'LINEST VARS'!$O$56*(8^2)+'LINEST VARS'!$N$56*(8^2)+'LINEST VARS'!$M$56*($DL$56^2)+'LINEST VARS'!$L$56*(0.5^2)+'LINEST VARS'!$K$56*($CX76^2)+'LINEST VARS'!$J$56*(8*8)+'LINEST VARS'!$I$56*(8*$DL$56)+'LINEST VARS'!$H$56*(8*0.5)+'LINEST VARS'!$G$56*(8*$CX76)+'LINEST VARS'!$F$56*(8*$DL$56)+'LINEST VARS'!$E$56*(8*0.5)+'LINEST VARS'!$D$56*(8*$CX76)+'LINEST VARS'!$C$56*($DL$56*0.5)+'LINEST VARS'!$B$56*($DL$56*$CX76)+'LINEST VARS'!$A$56*(0.5*$CX76)</f>
        <v>2.7896000000000005</v>
      </c>
      <c r="DM76" s="51">
        <f>'LINEST VARS'!$U$56+'LINEST VARS'!$T$56*(8)+'LINEST VARS'!$S$56*(8)+'LINEST VARS'!$R$56*($DM$56)+'LINEST VARS'!$Q$56*(0.5)+'LINEST VARS'!$P$56*($CX76)+'LINEST VARS'!$O$56*(8^2)+'LINEST VARS'!$N$56*(8^2)+'LINEST VARS'!$M$56*($DM$56^2)+'LINEST VARS'!$L$56*(0.5^2)+'LINEST VARS'!$K$56*($CX76^2)+'LINEST VARS'!$J$56*(8*8)+'LINEST VARS'!$I$56*(8*$DM$56)+'LINEST VARS'!$H$56*(8*0.5)+'LINEST VARS'!$G$56*(8*$CX76)+'LINEST VARS'!$F$56*(8*$DM$56)+'LINEST VARS'!$E$56*(8*0.5)+'LINEST VARS'!$D$56*(8*$CX76)+'LINEST VARS'!$C$56*($DM$56*0.5)+'LINEST VARS'!$B$56*($DM$56*$CX76)+'LINEST VARS'!$A$56*(0.5*$CX76)</f>
        <v>2.7664000000000009</v>
      </c>
      <c r="DN76" s="51">
        <f>'LINEST VARS'!$U$56+'LINEST VARS'!$T$56*(8)+'LINEST VARS'!$S$56*(8)+'LINEST VARS'!$R$56*($DN$56)+'LINEST VARS'!$Q$56*(0.5)+'LINEST VARS'!$P$56*($CX76)+'LINEST VARS'!$O$56*(8^2)+'LINEST VARS'!$N$56*(8^2)+'LINEST VARS'!$M$56*($DN$56^2)+'LINEST VARS'!$L$56*(0.5^2)+'LINEST VARS'!$K$56*($CX76^2)+'LINEST VARS'!$J$56*(8*8)+'LINEST VARS'!$I$56*(8*$DN$56)+'LINEST VARS'!$H$56*(8*0.5)+'LINEST VARS'!$G$56*(8*$CX76)+'LINEST VARS'!$F$56*(8*$DN$56)+'LINEST VARS'!$E$56*(8*0.5)+'LINEST VARS'!$D$56*(8*$CX76)+'LINEST VARS'!$C$56*($DN$56*0.5)+'LINEST VARS'!$B$56*($DN$56*$CX76)+'LINEST VARS'!$A$56*(0.5*$CX76)</f>
        <v>2.7400000000000007</v>
      </c>
      <c r="DO76" s="51">
        <f>'LINEST VARS'!$U$56+'LINEST VARS'!$T$56*(8)+'LINEST VARS'!$S$56*(8)+'LINEST VARS'!$R$56*($DO$56)+'LINEST VARS'!$Q$56*(0.5)+'LINEST VARS'!$P$56*($CX76)+'LINEST VARS'!$O$56*(8^2)+'LINEST VARS'!$N$56*(8^2)+'LINEST VARS'!$M$56*($DO$56^2)+'LINEST VARS'!$L$56*(0.5^2)+'LINEST VARS'!$K$56*($CX76^2)+'LINEST VARS'!$J$56*(8*8)+'LINEST VARS'!$I$56*(8*$DO$56)+'LINEST VARS'!$H$56*(8*0.5)+'LINEST VARS'!$G$56*(8*$CX76)+'LINEST VARS'!$F$56*(8*$DO$56)+'LINEST VARS'!$E$56*(8*0.5)+'LINEST VARS'!$D$56*(8*$CX76)+'LINEST VARS'!$C$56*($DO$56*0.5)+'LINEST VARS'!$B$56*($DO$56*$CX76)+'LINEST VARS'!$A$56*(0.5*$CX76)</f>
        <v>2.7104000000000004</v>
      </c>
      <c r="DP76" s="51">
        <f>'LINEST VARS'!$U$56+'LINEST VARS'!$T$56*(8)+'LINEST VARS'!$S$56*(8)+'LINEST VARS'!$R$56*($DP$56)+'LINEST VARS'!$Q$56*(0.5)+'LINEST VARS'!$P$56*($CX76)+'LINEST VARS'!$O$56*(8^2)+'LINEST VARS'!$N$56*(8^2)+'LINEST VARS'!$M$56*($DP$56^2)+'LINEST VARS'!$L$56*(0.5^2)+'LINEST VARS'!$K$56*($CX76^2)+'LINEST VARS'!$J$56*(8*8)+'LINEST VARS'!$I$56*(8*$DP$56)+'LINEST VARS'!$H$56*(8*0.5)+'LINEST VARS'!$G$56*(8*$CX76)+'LINEST VARS'!$F$56*(8*$DP$56)+'LINEST VARS'!$E$56*(8*0.5)+'LINEST VARS'!$D$56*(8*$CX76)+'LINEST VARS'!$C$56*($DP$56*0.5)+'LINEST VARS'!$B$56*($DP$56*$CX76)+'LINEST VARS'!$A$56*(0.5*$CX76)</f>
        <v>2.6776000000000004</v>
      </c>
      <c r="DQ76" s="51">
        <f>'LINEST VARS'!$U$56+'LINEST VARS'!$T$56*(8)+'LINEST VARS'!$S$56*(8)+'LINEST VARS'!$R$56*($DQ$56)+'LINEST VARS'!$Q$56*(0.5)+'LINEST VARS'!$P$56*($CX76)+'LINEST VARS'!$O$56*(8^2)+'LINEST VARS'!$N$56*(8^2)+'LINEST VARS'!$M$56*($DQ$56^2)+'LINEST VARS'!$L$56*(0.5^2)+'LINEST VARS'!$K$56*($CX76^2)+'LINEST VARS'!$J$56*(8*8)+'LINEST VARS'!$I$56*(8*$DQ$56)+'LINEST VARS'!$H$56*(8*0.5)+'LINEST VARS'!$G$56*(8*$CX76)+'LINEST VARS'!$F$56*(8*$DQ$56)+'LINEST VARS'!$E$56*(8*0.5)+'LINEST VARS'!$D$56*(8*$CX76)+'LINEST VARS'!$C$56*($DQ$56*0.5)+'LINEST VARS'!$B$56*($DQ$56*$CX76)+'LINEST VARS'!$A$56*(0.5*$CX76)</f>
        <v>2.6416000000000004</v>
      </c>
      <c r="DR76" s="51">
        <f>'LINEST VARS'!$U$56+'LINEST VARS'!$T$56*(8)+'LINEST VARS'!$S$56*(8)+'LINEST VARS'!$R$56*($DR$56)+'LINEST VARS'!$Q$56*(0.5)+'LINEST VARS'!$P$56*($CX76)+'LINEST VARS'!$O$56*(8^2)+'LINEST VARS'!$N$56*(8^2)+'LINEST VARS'!$M$56*($DR$56^2)+'LINEST VARS'!$L$56*(0.5^2)+'LINEST VARS'!$K$56*($CX76^2)+'LINEST VARS'!$J$56*(8*8)+'LINEST VARS'!$I$56*(8*$DR$56)+'LINEST VARS'!$H$56*(8*0.5)+'LINEST VARS'!$G$56*(8*$CX76)+'LINEST VARS'!$F$56*(8*$DR$56)+'LINEST VARS'!$E$56*(8*0.5)+'LINEST VARS'!$D$56*(8*$CX76)+'LINEST VARS'!$C$56*($DR$56*0.5)+'LINEST VARS'!$B$56*($DR$56*$CX76)+'LINEST VARS'!$A$56*(0.5*$CX76)</f>
        <v>2.6024000000000007</v>
      </c>
      <c r="DS76" s="52">
        <f>'LINEST VARS'!$U$56+'LINEST VARS'!$T$56*(8)+'LINEST VARS'!$S$56*(8)+'LINEST VARS'!$R$56*($DS$56)+'LINEST VARS'!$Q$56*(0.5)+'LINEST VARS'!$P$56*($CX76)+'LINEST VARS'!$O$56*(8^2)+'LINEST VARS'!$N$56*(8^2)+'LINEST VARS'!$M$56*($DS$56^2)+'LINEST VARS'!$L$56*(0.5^2)+'LINEST VARS'!$K$56*($CX76^2)+'LINEST VARS'!$J$56*(8*8)+'LINEST VARS'!$I$56*(8*$DS$56)+'LINEST VARS'!$H$56*(8*0.5)+'LINEST VARS'!$G$56*(8*$CX76)+'LINEST VARS'!$F$56*(8*$DS$56)+'LINEST VARS'!$E$56*(8*0.5)+'LINEST VARS'!$D$56*(8*$CX76)+'LINEST VARS'!$C$56*($DS$56*0.5)+'LINEST VARS'!$B$56*($DS$56*$CX76)+'LINEST VARS'!$A$56*(0.5*$CX76)</f>
        <v>2.5600000000000005</v>
      </c>
      <c r="DV76" s="45">
        <v>24.6905</v>
      </c>
      <c r="DW76" s="51">
        <f>'LINEST VARS'!$U$58+'LINEST VARS'!$T$58*(8)+'LINEST VARS'!$S$58*(8)+'LINEST VARS'!$R$58*($DW$56)+'LINEST VARS'!$Q$58*(0.5)+'LINEST VARS'!$P$58*($DV76)+'LINEST VARS'!$O$58*(8^2)+'LINEST VARS'!$N$58*(8^2)+'LINEST VARS'!$M$58*($DW$56^2)+'LINEST VARS'!$L$58*(0.5^2)+'LINEST VARS'!$K$58*($DV76^2)+'LINEST VARS'!$J$58*(8*8)+'LINEST VARS'!$I$58*(8*$DW$56)+'LINEST VARS'!$H$58*(8*0.5)+'LINEST VARS'!$G$58*(8*$DV76)+'LINEST VARS'!$F$58*(8*$DW$56)+'LINEST VARS'!$E$58*(8*0.5)+'LINEST VARS'!$D$58*(8*$DV76)+'LINEST VARS'!$C$58*($DW$56*0.5)+'LINEST VARS'!$B$58*($DW$56*$DV76)+'LINEST VARS'!$A$58*(0.5*$DV76)</f>
        <v>0.92345250000000034</v>
      </c>
      <c r="DX76" s="51">
        <f>'LINEST VARS'!$U$58+'LINEST VARS'!$T$58*(8)+'LINEST VARS'!$S$58*(8)+'LINEST VARS'!$R$58*($DX$56)+'LINEST VARS'!$Q$58*(0.5)+'LINEST VARS'!$P$58*($DV76)+'LINEST VARS'!$O$58*(8^2)+'LINEST VARS'!$N$58*(8^2)+'LINEST VARS'!$M$58*($DX$56^2)+'LINEST VARS'!$L$58*(0.5^2)+'LINEST VARS'!$K$58*($DV76^2)+'LINEST VARS'!$J$58*(8*8)+'LINEST VARS'!$I$58*(8*$DX$56)+'LINEST VARS'!$H$58*(8*0.5)+'LINEST VARS'!$G$58*(8*$DV76)+'LINEST VARS'!$F$58*(8*$DX$56)+'LINEST VARS'!$E$58*(8*0.5)+'LINEST VARS'!$D$58*(8*$DV76)+'LINEST VARS'!$C$58*($DX$56*0.5)+'LINEST VARS'!$B$58*($DX$56*$DV76)+'LINEST VARS'!$A$58*(0.5*$DV76)</f>
        <v>0.93145250000000035</v>
      </c>
      <c r="DY76" s="51">
        <f>'LINEST VARS'!$U$58+'LINEST VARS'!$T$58*(8)+'LINEST VARS'!$S$58*(8)+'LINEST VARS'!$R$58*($DY$56)+'LINEST VARS'!$Q$58*(0.5)+'LINEST VARS'!$P$58*($DV76)+'LINEST VARS'!$O$58*(8^2)+'LINEST VARS'!$N$58*(8^2)+'LINEST VARS'!$M$58*($DY$56^2)+'LINEST VARS'!$L$58*(0.5^2)+'LINEST VARS'!$K$58*($DV76^2)+'LINEST VARS'!$J$58*(8*8)+'LINEST VARS'!$I$58*(8*$DY$56)+'LINEST VARS'!$H$58*(8*0.5)+'LINEST VARS'!$G$58*(8*$DV76)+'LINEST VARS'!$F$58*(8*$DY$56)+'LINEST VARS'!$E$58*(8*0.5)+'LINEST VARS'!$D$58*(8*$DV76)+'LINEST VARS'!$C$58*($DY$56*0.5)+'LINEST VARS'!$B$58*($DY$56*$DV76)+'LINEST VARS'!$A$58*(0.5*$DV76)</f>
        <v>0.93945250000000025</v>
      </c>
      <c r="DZ76" s="51">
        <f>'LINEST VARS'!$U$58+'LINEST VARS'!$T$58*(8)+'LINEST VARS'!$S$58*(8)+'LINEST VARS'!$R$58*($DZ$56)+'LINEST VARS'!$Q$58*(0.5)+'LINEST VARS'!$P$58*($DV76)+'LINEST VARS'!$O$58*(8^2)+'LINEST VARS'!$N$58*(8^2)+'LINEST VARS'!$M$58*($DZ$56^2)+'LINEST VARS'!$L$58*(0.5^2)+'LINEST VARS'!$K$58*($DV76^2)+'LINEST VARS'!$J$58*(8*8)+'LINEST VARS'!$I$58*(8*$DZ$56)+'LINEST VARS'!$H$58*(8*0.5)+'LINEST VARS'!$G$58*(8*$DV76)+'LINEST VARS'!$F$58*(8*$DZ$56)+'LINEST VARS'!$E$58*(8*0.5)+'LINEST VARS'!$D$58*(8*$DV76)+'LINEST VARS'!$C$58*($DZ$56*0.5)+'LINEST VARS'!$B$58*($DZ$56*$DV76)+'LINEST VARS'!$A$58*(0.5*$DV76)</f>
        <v>0.94745250000000025</v>
      </c>
      <c r="EA76" s="51">
        <f>'LINEST VARS'!$U$58+'LINEST VARS'!$T$58*(8)+'LINEST VARS'!$S$58*(8)+'LINEST VARS'!$R$58*($EA$56)+'LINEST VARS'!$Q$58*(0.5)+'LINEST VARS'!$P$58*($DV76)+'LINEST VARS'!$O$58*(8^2)+'LINEST VARS'!$N$58*(8^2)+'LINEST VARS'!$M$58*($EA$56^2)+'LINEST VARS'!$L$58*(0.5^2)+'LINEST VARS'!$K$58*($DV76^2)+'LINEST VARS'!$J$58*(8*8)+'LINEST VARS'!$I$58*(8*$EA$56)+'LINEST VARS'!$H$58*(8*0.5)+'LINEST VARS'!$G$58*(8*$DV76)+'LINEST VARS'!$F$58*(8*$EA$56)+'LINEST VARS'!$E$58*(8*0.5)+'LINEST VARS'!$D$58*(8*$DV76)+'LINEST VARS'!$C$58*($EA$56*0.5)+'LINEST VARS'!$B$58*($EA$56*$DV76)+'LINEST VARS'!$A$58*(0.5*$DV76)</f>
        <v>0.95545250000000015</v>
      </c>
      <c r="EB76" s="51">
        <f>'LINEST VARS'!$U$58+'LINEST VARS'!$T$58*(8)+'LINEST VARS'!$S$58*(8)+'LINEST VARS'!$R$58*($EB$56)+'LINEST VARS'!$Q$58*(0.5)+'LINEST VARS'!$P$58*($DV76)+'LINEST VARS'!$O$58*(8^2)+'LINEST VARS'!$N$58*(8^2)+'LINEST VARS'!$M$58*($EB$56^2)+'LINEST VARS'!$L$58*(0.5^2)+'LINEST VARS'!$K$58*($DV76^2)+'LINEST VARS'!$J$58*(8*8)+'LINEST VARS'!$I$58*(8*$EB$56)+'LINEST VARS'!$H$58*(8*0.5)+'LINEST VARS'!$G$58*(8*$DV76)+'LINEST VARS'!$F$58*(8*$EB$56)+'LINEST VARS'!$E$58*(8*0.5)+'LINEST VARS'!$D$58*(8*$DV76)+'LINEST VARS'!$C$58*($EB$56*0.5)+'LINEST VARS'!$B$58*($EB$56*$DV76)+'LINEST VARS'!$A$58*(0.5*$DV76)</f>
        <v>0.96345250000000027</v>
      </c>
      <c r="EC76" s="51">
        <f>'LINEST VARS'!$U$58+'LINEST VARS'!$T$58*(8)+'LINEST VARS'!$S$58*(8)+'LINEST VARS'!$R$58*($EC$56)+'LINEST VARS'!$Q$58*(0.5)+'LINEST VARS'!$P$58*($DV76)+'LINEST VARS'!$O$58*(8^2)+'LINEST VARS'!$N$58*(8^2)+'LINEST VARS'!$M$58*($EC$56^2)+'LINEST VARS'!$L$58*(0.5^2)+'LINEST VARS'!$K$58*($DV76^2)+'LINEST VARS'!$J$58*(8*8)+'LINEST VARS'!$I$58*(8*$EC$56)+'LINEST VARS'!$H$58*(8*0.5)+'LINEST VARS'!$G$58*(8*$DV76)+'LINEST VARS'!$F$58*(8*$EC$56)+'LINEST VARS'!$E$58*(8*0.5)+'LINEST VARS'!$D$58*(8*$DV76)+'LINEST VARS'!$C$58*($EC$56*0.5)+'LINEST VARS'!$B$58*($EC$56*$DV76)+'LINEST VARS'!$A$58*(0.5*$DV76)</f>
        <v>0.97145250000000027</v>
      </c>
      <c r="ED76" s="51">
        <f>'LINEST VARS'!$U$58+'LINEST VARS'!$T$58*(8)+'LINEST VARS'!$S$58*(8)+'LINEST VARS'!$R$58*($ED$56)+'LINEST VARS'!$Q$58*(0.5)+'LINEST VARS'!$P$58*($DV76)+'LINEST VARS'!$O$58*(8^2)+'LINEST VARS'!$N$58*(8^2)+'LINEST VARS'!$M$58*($ED$56^2)+'LINEST VARS'!$L$58*(0.5^2)+'LINEST VARS'!$K$58*($DV76^2)+'LINEST VARS'!$J$58*(8*8)+'LINEST VARS'!$I$58*(8*$ED$56)+'LINEST VARS'!$H$58*(8*0.5)+'LINEST VARS'!$G$58*(8*$DV76)+'LINEST VARS'!$F$58*(8*$ED$56)+'LINEST VARS'!$E$58*(8*0.5)+'LINEST VARS'!$D$58*(8*$DV76)+'LINEST VARS'!$C$58*($ED$56*0.5)+'LINEST VARS'!$B$58*($ED$56*$DV76)+'LINEST VARS'!$A$58*(0.5*$DV76)</f>
        <v>0.97945250000000028</v>
      </c>
      <c r="EE76" s="51">
        <f>'LINEST VARS'!$U$58+'LINEST VARS'!$T$58*(8)+'LINEST VARS'!$S$58*(8)+'LINEST VARS'!$R$58*($EE$56)+'LINEST VARS'!$Q$58*(0.5)+'LINEST VARS'!$P$58*($DV76)+'LINEST VARS'!$O$58*(8^2)+'LINEST VARS'!$N$58*(8^2)+'LINEST VARS'!$M$58*($EE$56^2)+'LINEST VARS'!$L$58*(0.5^2)+'LINEST VARS'!$K$58*($DV76^2)+'LINEST VARS'!$J$58*(8*8)+'LINEST VARS'!$I$58*(8*$EE$56)+'LINEST VARS'!$H$58*(8*0.5)+'LINEST VARS'!$G$58*(8*$DV76)+'LINEST VARS'!$F$58*(8*$EE$56)+'LINEST VARS'!$E$58*(8*0.5)+'LINEST VARS'!$D$58*(8*$DV76)+'LINEST VARS'!$C$58*($EE$56*0.5)+'LINEST VARS'!$B$58*($EE$56*$DV76)+'LINEST VARS'!$A$58*(0.5*$DV76)</f>
        <v>0.9874525000000004</v>
      </c>
      <c r="EF76" s="51">
        <f>'LINEST VARS'!$U$58+'LINEST VARS'!$T$58*(8)+'LINEST VARS'!$S$58*(8)+'LINEST VARS'!$R$58*($EF$56)+'LINEST VARS'!$Q$58*(0.5)+'LINEST VARS'!$P$58*($DV76)+'LINEST VARS'!$O$58*(8^2)+'LINEST VARS'!$N$58*(8^2)+'LINEST VARS'!$M$58*($EF$56^2)+'LINEST VARS'!$L$58*(0.5^2)+'LINEST VARS'!$K$58*($DV76^2)+'LINEST VARS'!$J$58*(8*8)+'LINEST VARS'!$I$58*(8*$EF$56)+'LINEST VARS'!$H$58*(8*0.5)+'LINEST VARS'!$G$58*(8*$DV76)+'LINEST VARS'!$F$58*(8*$EF$56)+'LINEST VARS'!$E$58*(8*0.5)+'LINEST VARS'!$D$58*(8*$DV76)+'LINEST VARS'!$C$58*($EF$56*0.5)+'LINEST VARS'!$B$58*($EF$56*$DV76)+'LINEST VARS'!$A$58*(0.5*$DV76)</f>
        <v>0.9954525000000003</v>
      </c>
      <c r="EG76" s="51">
        <f>'LINEST VARS'!$U$58+'LINEST VARS'!$T$58*(8)+'LINEST VARS'!$S$58*(8)+'LINEST VARS'!$R$58*($EG$56)+'LINEST VARS'!$Q$58*(0.5)+'LINEST VARS'!$P$58*($DV76)+'LINEST VARS'!$O$58*(8^2)+'LINEST VARS'!$N$58*(8^2)+'LINEST VARS'!$M$58*($EG$56^2)+'LINEST VARS'!$L$58*(0.5^2)+'LINEST VARS'!$K$58*($DV76^2)+'LINEST VARS'!$J$58*(8*8)+'LINEST VARS'!$I$58*(8*$EG$56)+'LINEST VARS'!$H$58*(8*0.5)+'LINEST VARS'!$G$58*(8*$DV76)+'LINEST VARS'!$F$58*(8*$EG$56)+'LINEST VARS'!$E$58*(8*0.5)+'LINEST VARS'!$D$58*(8*$DV76)+'LINEST VARS'!$C$58*($EG$56*0.5)+'LINEST VARS'!$B$58*($EG$56*$DV76)+'LINEST VARS'!$A$58*(0.5*$DV76)</f>
        <v>1.0034525000000001</v>
      </c>
      <c r="EH76" s="51">
        <f>'LINEST VARS'!$U$58+'LINEST VARS'!$T$58*(8)+'LINEST VARS'!$S$58*(8)+'LINEST VARS'!$R$58*($EH$56)+'LINEST VARS'!$Q$58*(0.5)+'LINEST VARS'!$P$58*($DV76)+'LINEST VARS'!$O$58*(8^2)+'LINEST VARS'!$N$58*(8^2)+'LINEST VARS'!$M$58*($EH$56^2)+'LINEST VARS'!$L$58*(0.5^2)+'LINEST VARS'!$K$58*($DV76^2)+'LINEST VARS'!$J$58*(8*8)+'LINEST VARS'!$I$58*(8*$EH$56)+'LINEST VARS'!$H$58*(8*0.5)+'LINEST VARS'!$G$58*(8*$DV76)+'LINEST VARS'!$F$58*(8*$EH$56)+'LINEST VARS'!$E$58*(8*0.5)+'LINEST VARS'!$D$58*(8*$DV76)+'LINEST VARS'!$C$58*($EH$56*0.5)+'LINEST VARS'!$B$58*($EH$56*$DV76)+'LINEST VARS'!$A$58*(0.5*$DV76)</f>
        <v>1.0114525000000005</v>
      </c>
      <c r="EI76" s="51">
        <f>'LINEST VARS'!$U$58+'LINEST VARS'!$T$58*(8)+'LINEST VARS'!$S$58*(8)+'LINEST VARS'!$R$58*($EI$56)+'LINEST VARS'!$Q$58*(0.5)+'LINEST VARS'!$P$58*($DV76)+'LINEST VARS'!$O$58*(8^2)+'LINEST VARS'!$N$58*(8^2)+'LINEST VARS'!$M$58*($EI$56^2)+'LINEST VARS'!$L$58*(0.5^2)+'LINEST VARS'!$K$58*($DV76^2)+'LINEST VARS'!$J$58*(8*8)+'LINEST VARS'!$I$58*(8*$EI$56)+'LINEST VARS'!$H$58*(8*0.5)+'LINEST VARS'!$G$58*(8*$DV76)+'LINEST VARS'!$F$58*(8*$EI$56)+'LINEST VARS'!$E$58*(8*0.5)+'LINEST VARS'!$D$58*(8*$DV76)+'LINEST VARS'!$C$58*($EI$56*0.5)+'LINEST VARS'!$B$58*($EI$56*$DV76)+'LINEST VARS'!$A$58*(0.5*$DV76)</f>
        <v>1.0194525000000005</v>
      </c>
      <c r="EJ76" s="51">
        <f>'LINEST VARS'!$U$58+'LINEST VARS'!$T$58*(8)+'LINEST VARS'!$S$58*(8)+'LINEST VARS'!$R$58*($EJ$56)+'LINEST VARS'!$Q$58*(0.5)+'LINEST VARS'!$P$58*($DV76)+'LINEST VARS'!$O$58*(8^2)+'LINEST VARS'!$N$58*(8^2)+'LINEST VARS'!$M$58*($EJ$56^2)+'LINEST VARS'!$L$58*(0.5^2)+'LINEST VARS'!$K$58*($DV76^2)+'LINEST VARS'!$J$58*(8*8)+'LINEST VARS'!$I$58*(8*$EJ$56)+'LINEST VARS'!$H$58*(8*0.5)+'LINEST VARS'!$G$58*(8*$DV76)+'LINEST VARS'!$F$58*(8*$EJ$56)+'LINEST VARS'!$E$58*(8*0.5)+'LINEST VARS'!$D$58*(8*$DV76)+'LINEST VARS'!$C$58*($EJ$56*0.5)+'LINEST VARS'!$B$58*($EJ$56*$DV76)+'LINEST VARS'!$A$58*(0.5*$DV76)</f>
        <v>1.0274525000000003</v>
      </c>
      <c r="EK76" s="51">
        <f>'LINEST VARS'!$U$58+'LINEST VARS'!$T$58*(8)+'LINEST VARS'!$S$58*(8)+'LINEST VARS'!$R$58*($EK$56)+'LINEST VARS'!$Q$58*(0.5)+'LINEST VARS'!$P$58*($DV76)+'LINEST VARS'!$O$58*(8^2)+'LINEST VARS'!$N$58*(8^2)+'LINEST VARS'!$M$58*($EK$56^2)+'LINEST VARS'!$L$58*(0.5^2)+'LINEST VARS'!$K$58*($DV76^2)+'LINEST VARS'!$J$58*(8*8)+'LINEST VARS'!$I$58*(8*$EK$56)+'LINEST VARS'!$H$58*(8*0.5)+'LINEST VARS'!$G$58*(8*$DV76)+'LINEST VARS'!$F$58*(8*$EK$56)+'LINEST VARS'!$E$58*(8*0.5)+'LINEST VARS'!$D$58*(8*$DV76)+'LINEST VARS'!$C$58*($EK$56*0.5)+'LINEST VARS'!$B$58*($EK$56*$DV76)+'LINEST VARS'!$A$58*(0.5*$DV76)</f>
        <v>1.0354525000000003</v>
      </c>
      <c r="EL76" s="51">
        <f>'LINEST VARS'!$U$58+'LINEST VARS'!$T$58*(8)+'LINEST VARS'!$S$58*(8)+'LINEST VARS'!$R$58*($EL$56)+'LINEST VARS'!$Q$58*(0.5)+'LINEST VARS'!$P$58*($DV76)+'LINEST VARS'!$O$58*(8^2)+'LINEST VARS'!$N$58*(8^2)+'LINEST VARS'!$M$58*($EL$56^2)+'LINEST VARS'!$L$58*(0.5^2)+'LINEST VARS'!$K$58*($DV76^2)+'LINEST VARS'!$J$58*(8*8)+'LINEST VARS'!$I$58*(8*$EL$56)+'LINEST VARS'!$H$58*(8*0.5)+'LINEST VARS'!$G$58*(8*$DV76)+'LINEST VARS'!$F$58*(8*$EL$56)+'LINEST VARS'!$E$58*(8*0.5)+'LINEST VARS'!$D$58*(8*$DV76)+'LINEST VARS'!$C$58*($EL$56*0.5)+'LINEST VARS'!$B$58*($EL$56*$DV76)+'LINEST VARS'!$A$58*(0.5*$DV76)</f>
        <v>1.0434525000000003</v>
      </c>
      <c r="EM76" s="51">
        <f>'LINEST VARS'!$U$58+'LINEST VARS'!$T$58*(8)+'LINEST VARS'!$S$58*(8)+'LINEST VARS'!$R$58*($EM$56)+'LINEST VARS'!$Q$58*(0.5)+'LINEST VARS'!$P$58*($DV76)+'LINEST VARS'!$O$58*(8^2)+'LINEST VARS'!$N$58*(8^2)+'LINEST VARS'!$M$58*($EM$56^2)+'LINEST VARS'!$L$58*(0.5^2)+'LINEST VARS'!$K$58*($DV76^2)+'LINEST VARS'!$J$58*(8*8)+'LINEST VARS'!$I$58*(8*$EM$56)+'LINEST VARS'!$H$58*(8*0.5)+'LINEST VARS'!$G$58*(8*$DV76)+'LINEST VARS'!$F$58*(8*$EM$56)+'LINEST VARS'!$E$58*(8*0.5)+'LINEST VARS'!$D$58*(8*$DV76)+'LINEST VARS'!$C$58*($EM$56*0.5)+'LINEST VARS'!$B$58*($EM$56*$DV76)+'LINEST VARS'!$A$58*(0.5*$DV76)</f>
        <v>1.0514525000000003</v>
      </c>
      <c r="EN76" s="51">
        <f>'LINEST VARS'!$U$58+'LINEST VARS'!$T$58*(8)+'LINEST VARS'!$S$58*(8)+'LINEST VARS'!$R$58*($EN$56)+'LINEST VARS'!$Q$58*(0.5)+'LINEST VARS'!$P$58*($DV76)+'LINEST VARS'!$O$58*(8^2)+'LINEST VARS'!$N$58*(8^2)+'LINEST VARS'!$M$58*($EN$56^2)+'LINEST VARS'!$L$58*(0.5^2)+'LINEST VARS'!$K$58*($DV76^2)+'LINEST VARS'!$J$58*(8*8)+'LINEST VARS'!$I$58*(8*$EN$56)+'LINEST VARS'!$H$58*(8*0.5)+'LINEST VARS'!$G$58*(8*$DV76)+'LINEST VARS'!$F$58*(8*$EN$56)+'LINEST VARS'!$E$58*(8*0.5)+'LINEST VARS'!$D$58*(8*$DV76)+'LINEST VARS'!$C$58*($EN$56*0.5)+'LINEST VARS'!$B$58*($EN$56*$DV76)+'LINEST VARS'!$A$58*(0.5*$DV76)</f>
        <v>1.0594525000000004</v>
      </c>
      <c r="EO76" s="51">
        <f>'LINEST VARS'!$U$58+'LINEST VARS'!$T$58*(8)+'LINEST VARS'!$S$58*(8)+'LINEST VARS'!$R$58*($EO$56)+'LINEST VARS'!$Q$58*(0.5)+'LINEST VARS'!$P$58*($DV76)+'LINEST VARS'!$O$58*(8^2)+'LINEST VARS'!$N$58*(8^2)+'LINEST VARS'!$M$58*($EO$56^2)+'LINEST VARS'!$L$58*(0.5^2)+'LINEST VARS'!$K$58*($DV76^2)+'LINEST VARS'!$J$58*(8*8)+'LINEST VARS'!$I$58*(8*$EO$56)+'LINEST VARS'!$H$58*(8*0.5)+'LINEST VARS'!$G$58*(8*$DV76)+'LINEST VARS'!$F$58*(8*$EO$56)+'LINEST VARS'!$E$58*(8*0.5)+'LINEST VARS'!$D$58*(8*$DV76)+'LINEST VARS'!$C$58*($EO$56*0.5)+'LINEST VARS'!$B$58*($EO$56*$DV76)+'LINEST VARS'!$A$58*(0.5*$DV76)</f>
        <v>1.0674525000000001</v>
      </c>
      <c r="EP76" s="51">
        <f>'LINEST VARS'!$U$58+'LINEST VARS'!$T$58*(8)+'LINEST VARS'!$S$58*(8)+'LINEST VARS'!$R$58*($EP$56)+'LINEST VARS'!$Q$58*(0.5)+'LINEST VARS'!$P$58*($DV76)+'LINEST VARS'!$O$58*(8^2)+'LINEST VARS'!$N$58*(8^2)+'LINEST VARS'!$M$58*($EP$56^2)+'LINEST VARS'!$L$58*(0.5^2)+'LINEST VARS'!$K$58*($DV76^2)+'LINEST VARS'!$J$58*(8*8)+'LINEST VARS'!$I$58*(8*$EP$56)+'LINEST VARS'!$H$58*(8*0.5)+'LINEST VARS'!$G$58*(8*$DV76)+'LINEST VARS'!$F$58*(8*$EP$56)+'LINEST VARS'!$E$58*(8*0.5)+'LINEST VARS'!$D$58*(8*$DV76)+'LINEST VARS'!$C$58*($EP$56*0.5)+'LINEST VARS'!$B$58*($EP$56*$DV76)+'LINEST VARS'!$A$58*(0.5*$DV76)</f>
        <v>1.0754525000000001</v>
      </c>
      <c r="EQ76" s="52">
        <f>'LINEST VARS'!$U$58+'LINEST VARS'!$T$58*(8)+'LINEST VARS'!$S$58*(8)+'LINEST VARS'!$R$58*($EQ$56)+'LINEST VARS'!$Q$58*(0.5)+'LINEST VARS'!$P$58*($DV76)+'LINEST VARS'!$O$58*(8^2)+'LINEST VARS'!$N$58*(8^2)+'LINEST VARS'!$M$58*($EQ$56^2)+'LINEST VARS'!$L$58*(0.5^2)+'LINEST VARS'!$K$58*($DV76^2)+'LINEST VARS'!$J$58*(8*8)+'LINEST VARS'!$I$58*(8*$EQ$56)+'LINEST VARS'!$H$58*(8*0.5)+'LINEST VARS'!$G$58*(8*$DV76)+'LINEST VARS'!$F$58*(8*$EQ$56)+'LINEST VARS'!$E$58*(8*0.5)+'LINEST VARS'!$D$58*(8*$DV76)+'LINEST VARS'!$C$58*($EQ$56*0.5)+'LINEST VARS'!$B$58*($EQ$56*$DV76)+'LINEST VARS'!$A$58*(0.5*$DV76)</f>
        <v>1.0834525000000004</v>
      </c>
    </row>
    <row r="77" spans="2:147" ht="15" customHeight="1" thickBot="1" x14ac:dyDescent="0.3">
      <c r="B77" s="48">
        <v>8.6</v>
      </c>
      <c r="C77" s="53">
        <f>'LINEST VARS'!$U$56+'LINEST VARS'!$T$56*($C$56)+'LINEST VARS'!$S$56*($B77)+'LINEST VARS'!$R$56*(4)+'LINEST VARS'!$Q$56*(0.5)+'LINEST VARS'!$P$56*(12.73)+'LINEST VARS'!$O$56*($C$56^2)+'LINEST VARS'!$N$56*($B77^2)+'LINEST VARS'!$M$56*(4^2)+'LINEST VARS'!$L$56*(0.5^2)+'LINEST VARS'!$K$56*(12.73^2)+'LINEST VARS'!$J$56*($C$56*$B77)+'LINEST VARS'!$I$56*($C$56*4)+'LINEST VARS'!$H$56*($C$56*0.5)+'LINEST VARS'!$G$56*($C$56*12.73)+'LINEST VARS'!$F$56*($B77*4)+'LINEST VARS'!$E$56*($B77*0.5)+'LINEST VARS'!$D$56*($B77*12.73)+'LINEST VARS'!$C$56*(4*0.5)+'LINEST VARS'!$B$56*(4*12.73)+'LINEST VARS'!$A$56*(0.5*12.73)</f>
        <v>2.8400000000000012</v>
      </c>
      <c r="D77" s="53">
        <f>'LINEST VARS'!$U$56+'LINEST VARS'!$T$56*($D$56)+'LINEST VARS'!$S$56*($B77)+'LINEST VARS'!$R$56*(4)+'LINEST VARS'!$Q$56*(0.5)+'LINEST VARS'!$P$56*(12.73)+'LINEST VARS'!$O$56*($D$56^2)+'LINEST VARS'!$N$56*($B77^2)+'LINEST VARS'!$M$56*(4^2)+'LINEST VARS'!$L$56*(0.5^2)+'LINEST VARS'!$K$56*(12.73^2)+'LINEST VARS'!$J$56*($D$56*$B77)+'LINEST VARS'!$I$56*($D$56*4)+'LINEST VARS'!$H$56*($D$56*0.5)+'LINEST VARS'!$G$56*($D$56*12.73)+'LINEST VARS'!$F$56*($B77*4)+'LINEST VARS'!$E$56*($B77*0.5)+'LINEST VARS'!$D$56*($B77*12.73)+'LINEST VARS'!$C$56*(4*0.5)+'LINEST VARS'!$B$56*(4*12.73)+'LINEST VARS'!$A$56*(0.5*12.73)</f>
        <v>2.8400000000000012</v>
      </c>
      <c r="E77" s="53">
        <f>'LINEST VARS'!$U$56+'LINEST VARS'!$T$56*($E$56)+'LINEST VARS'!$S$56*($B77)+'LINEST VARS'!$R$56*(4)+'LINEST VARS'!$Q$56*(0.5)+'LINEST VARS'!$P$56*(12.73)+'LINEST VARS'!$O$56*($E$56^2)+'LINEST VARS'!$N$56*($B77^2)+'LINEST VARS'!$M$56*(4^2)+'LINEST VARS'!$L$56*(0.5^2)+'LINEST VARS'!$K$56*(12.73^2)+'LINEST VARS'!$J$56*($E$56*$B77)+'LINEST VARS'!$I$56*($E$56*4)+'LINEST VARS'!$H$56*($E$56*0.5)+'LINEST VARS'!$G$56*($E$56*12.73)+'LINEST VARS'!$F$56*($B77*4)+'LINEST VARS'!$E$56*($B77*0.5)+'LINEST VARS'!$D$56*($B77*12.73)+'LINEST VARS'!$C$56*(4*0.5)+'LINEST VARS'!$B$56*(4*12.73)+'LINEST VARS'!$A$56*(0.5*12.73)</f>
        <v>2.8400000000000012</v>
      </c>
      <c r="F77" s="53">
        <f>'LINEST VARS'!$U$56+'LINEST VARS'!$T$56*($F$56)+'LINEST VARS'!$S$56*($B77)+'LINEST VARS'!$R$56*(4)+'LINEST VARS'!$Q$56*(0.5)+'LINEST VARS'!$P$56*(12.73)+'LINEST VARS'!$O$56*($F$56^2)+'LINEST VARS'!$N$56*($B77^2)+'LINEST VARS'!$M$56*(4^2)+'LINEST VARS'!$L$56*(0.5^2)+'LINEST VARS'!$K$56*(12.73^2)+'LINEST VARS'!$J$56*($F$56*$B77)+'LINEST VARS'!$I$56*($F$56*4)+'LINEST VARS'!$H$56*($F$56*0.5)+'LINEST VARS'!$G$56*($F$56*12.73)+'LINEST VARS'!$F$56*($B77*4)+'LINEST VARS'!$E$56*($B77*0.5)+'LINEST VARS'!$D$56*($B77*12.73)+'LINEST VARS'!$C$56*(4*0.5)+'LINEST VARS'!$B$56*(4*12.73)+'LINEST VARS'!$A$56*(0.5*12.73)</f>
        <v>2.8400000000000012</v>
      </c>
      <c r="G77" s="53">
        <f>'LINEST VARS'!$U$56+'LINEST VARS'!$T$56*($G$56)+'LINEST VARS'!$S$56*($B77)+'LINEST VARS'!$R$56*(4)+'LINEST VARS'!$Q$56*(0.5)+'LINEST VARS'!$P$56*(12.73)+'LINEST VARS'!$O$56*($G$56^2)+'LINEST VARS'!$N$56*($B77^2)+'LINEST VARS'!$M$56*(4^2)+'LINEST VARS'!$L$56*(0.5^2)+'LINEST VARS'!$K$56*(12.73^2)+'LINEST VARS'!$J$56*($G$56*$B77)+'LINEST VARS'!$I$56*($G$56*4)+'LINEST VARS'!$H$56*($G$56*0.5)+'LINEST VARS'!$G$56*($G$56*12.73)+'LINEST VARS'!$F$56*($B77*4)+'LINEST VARS'!$E$56*($B77*0.5)+'LINEST VARS'!$D$56*($B77*12.73)+'LINEST VARS'!$C$56*(4*0.5)+'LINEST VARS'!$B$56*(4*12.73)+'LINEST VARS'!$A$56*(0.5*12.73)</f>
        <v>2.8400000000000012</v>
      </c>
      <c r="H77" s="53">
        <f>'LINEST VARS'!$U$56+'LINEST VARS'!$T$56*($H$56)+'LINEST VARS'!$S$56*($B77)+'LINEST VARS'!$R$56*(4)+'LINEST VARS'!$Q$56*(0.5)+'LINEST VARS'!$P$56*(12.73)+'LINEST VARS'!$O$56*($H$56^2)+'LINEST VARS'!$N$56*($B77^2)+'LINEST VARS'!$M$56*(4^2)+'LINEST VARS'!$L$56*(0.5^2)+'LINEST VARS'!$K$56*(12.73^2)+'LINEST VARS'!$J$56*($H$56*$B77)+'LINEST VARS'!$I$56*($H$56*4)+'LINEST VARS'!$H$56*($H$56*0.5)+'LINEST VARS'!$G$56*($H$56*12.73)+'LINEST VARS'!$F$56*($B77*4)+'LINEST VARS'!$E$56*($B77*0.5)+'LINEST VARS'!$D$56*($B77*12.73)+'LINEST VARS'!$C$56*(4*0.5)+'LINEST VARS'!$B$56*(4*12.73)+'LINEST VARS'!$A$56*(0.5*12.73)</f>
        <v>2.8400000000000012</v>
      </c>
      <c r="I77" s="53">
        <f>'LINEST VARS'!$U$56+'LINEST VARS'!$T$56*($I$56)+'LINEST VARS'!$S$56*($B77)+'LINEST VARS'!$R$56*(4)+'LINEST VARS'!$Q$56*(0.5)+'LINEST VARS'!$P$56*(12.73)+'LINEST VARS'!$O$56*($I$56^2)+'LINEST VARS'!$N$56*($B77^2)+'LINEST VARS'!$M$56*(4^2)+'LINEST VARS'!$L$56*(0.5^2)+'LINEST VARS'!$K$56*(12.73^2)+'LINEST VARS'!$J$56*($I$56*$B77)+'LINEST VARS'!$I$56*($I$56*4)+'LINEST VARS'!$H$56*($I$56*0.5)+'LINEST VARS'!$G$56*($I$56*12.73)+'LINEST VARS'!$F$56*($B77*4)+'LINEST VARS'!$E$56*($B77*0.5)+'LINEST VARS'!$D$56*($B77*12.73)+'LINEST VARS'!$C$56*(4*0.5)+'LINEST VARS'!$B$56*(4*12.73)+'LINEST VARS'!$A$56*(0.5*12.73)</f>
        <v>2.8400000000000012</v>
      </c>
      <c r="J77" s="53">
        <f>'LINEST VARS'!$U$56+'LINEST VARS'!$T$56*($J$56)+'LINEST VARS'!$S$56*($B77)+'LINEST VARS'!$R$56*(4)+'LINEST VARS'!$Q$56*(0.5)+'LINEST VARS'!$P$56*(12.73)+'LINEST VARS'!$O$56*($J$56^2)+'LINEST VARS'!$N$56*($B77^2)+'LINEST VARS'!$M$56*(4^2)+'LINEST VARS'!$L$56*(0.5^2)+'LINEST VARS'!$K$56*(12.73^2)+'LINEST VARS'!$J$56*($J$56*$B77)+'LINEST VARS'!$I$56*($J$56*4)+'LINEST VARS'!$H$56*($J$56*0.5)+'LINEST VARS'!$G$56*($J$56*12.73)+'LINEST VARS'!$F$56*($B77*4)+'LINEST VARS'!$E$56*($B77*0.5)+'LINEST VARS'!$D$56*($B77*12.73)+'LINEST VARS'!$C$56*(4*0.5)+'LINEST VARS'!$B$56*(4*12.73)+'LINEST VARS'!$A$56*(0.5*12.73)</f>
        <v>2.8400000000000012</v>
      </c>
      <c r="K77" s="53">
        <f>'LINEST VARS'!$U$56+'LINEST VARS'!$T$56*($K$56)+'LINEST VARS'!$S$56*($B77)+'LINEST VARS'!$R$56*(4)+'LINEST VARS'!$Q$56*(0.5)+'LINEST VARS'!$P$56*(12.73)+'LINEST VARS'!$O$56*($K$56^2)+'LINEST VARS'!$N$56*($B77^2)+'LINEST VARS'!$M$56*(4^2)+'LINEST VARS'!$L$56*(0.5^2)+'LINEST VARS'!$K$56*(12.73^2)+'LINEST VARS'!$J$56*($K$56*$B77)+'LINEST VARS'!$I$56*($K$56*4)+'LINEST VARS'!$H$56*($K$56*0.5)+'LINEST VARS'!$G$56*($K$56*12.73)+'LINEST VARS'!$F$56*($B77*4)+'LINEST VARS'!$E$56*($B77*0.5)+'LINEST VARS'!$D$56*($B77*12.73)+'LINEST VARS'!$C$56*(4*0.5)+'LINEST VARS'!$B$56*(4*12.73)+'LINEST VARS'!$A$56*(0.5*12.73)</f>
        <v>2.8400000000000007</v>
      </c>
      <c r="L77" s="53">
        <f>'LINEST VARS'!$U$56+'LINEST VARS'!$T$56*($L$56)+'LINEST VARS'!$S$56*($B77)+'LINEST VARS'!$R$56*(4)+'LINEST VARS'!$Q$56*(0.5)+'LINEST VARS'!$P$56*(12.73)+'LINEST VARS'!$O$56*($L$56^2)+'LINEST VARS'!$N$56*($B77^2)+'LINEST VARS'!$M$56*(4^2)+'LINEST VARS'!$L$56*(0.5^2)+'LINEST VARS'!$K$56*(12.73^2)+'LINEST VARS'!$J$56*($L$56*$B77)+'LINEST VARS'!$I$56*($L$56*4)+'LINEST VARS'!$H$56*($L$56*0.5)+'LINEST VARS'!$G$56*($L$56*12.73)+'LINEST VARS'!$F$56*($B77*4)+'LINEST VARS'!$E$56*($B77*0.5)+'LINEST VARS'!$D$56*($B77*12.73)+'LINEST VARS'!$C$56*(4*0.5)+'LINEST VARS'!$B$56*(4*12.73)+'LINEST VARS'!$A$56*(0.5*12.73)</f>
        <v>2.8400000000000007</v>
      </c>
      <c r="M77" s="53">
        <f>'LINEST VARS'!$U$56+'LINEST VARS'!$T$56*($M$56)+'LINEST VARS'!$S$56*($B77)+'LINEST VARS'!$R$56*(4)+'LINEST VARS'!$Q$56*(0.5)+'LINEST VARS'!$P$56*(12.73)+'LINEST VARS'!$O$56*($M$56^2)+'LINEST VARS'!$N$56*($B77^2)+'LINEST VARS'!$M$56*(4^2)+'LINEST VARS'!$L$56*(0.5^2)+'LINEST VARS'!$K$56*(12.73^2)+'LINEST VARS'!$J$56*($M$56*$B77)+'LINEST VARS'!$I$56*($M$56*4)+'LINEST VARS'!$H$56*($M$56*0.5)+'LINEST VARS'!$G$56*($M$56*12.73)+'LINEST VARS'!$F$56*($B77*4)+'LINEST VARS'!$E$56*($B77*0.5)+'LINEST VARS'!$D$56*($B77*12.73)+'LINEST VARS'!$C$56*(4*0.5)+'LINEST VARS'!$B$56*(4*12.73)+'LINEST VARS'!$A$56*(0.5*12.73)</f>
        <v>2.8400000000000012</v>
      </c>
      <c r="N77" s="53">
        <f>'LINEST VARS'!$U$56+'LINEST VARS'!$T$56*($N$56)+'LINEST VARS'!$S$56*($B77)+'LINEST VARS'!$R$56*(4)+'LINEST VARS'!$Q$56*(0.5)+'LINEST VARS'!$P$56*(12.73)+'LINEST VARS'!$O$56*($N$56^2)+'LINEST VARS'!$N$56*($B77^2)+'LINEST VARS'!$M$56*(4^2)+'LINEST VARS'!$L$56*(0.5^2)+'LINEST VARS'!$K$56*(12.73^2)+'LINEST VARS'!$J$56*($N$56*$B77)+'LINEST VARS'!$I$56*($N$56*4)+'LINEST VARS'!$H$56*($N$56*0.5)+'LINEST VARS'!$G$56*($N$56*12.73)+'LINEST VARS'!$F$56*($B77*4)+'LINEST VARS'!$E$56*($B77*0.5)+'LINEST VARS'!$D$56*($B77*12.73)+'LINEST VARS'!$C$56*(4*0.5)+'LINEST VARS'!$B$56*(4*12.73)+'LINEST VARS'!$A$56*(0.5*12.73)</f>
        <v>2.8400000000000012</v>
      </c>
      <c r="O77" s="53">
        <f>'LINEST VARS'!$U$56+'LINEST VARS'!$T$56*($O$56)+'LINEST VARS'!$S$56*($B77)+'LINEST VARS'!$R$56*(4)+'LINEST VARS'!$Q$56*(0.5)+'LINEST VARS'!$P$56*(12.73)+'LINEST VARS'!$O$56*($O$56^2)+'LINEST VARS'!$N$56*($B77^2)+'LINEST VARS'!$M$56*(4^2)+'LINEST VARS'!$L$56*(0.5^2)+'LINEST VARS'!$K$56*(12.73^2)+'LINEST VARS'!$J$56*($O$56*$B77)+'LINEST VARS'!$I$56*($O$56*4)+'LINEST VARS'!$H$56*($O$56*0.5)+'LINEST VARS'!$G$56*($O$56*12.73)+'LINEST VARS'!$F$56*($B77*4)+'LINEST VARS'!$E$56*($B77*0.5)+'LINEST VARS'!$D$56*($B77*12.73)+'LINEST VARS'!$C$56*(4*0.5)+'LINEST VARS'!$B$56*(4*12.73)+'LINEST VARS'!$A$56*(0.5*12.73)</f>
        <v>2.8400000000000012</v>
      </c>
      <c r="P77" s="53">
        <f>'LINEST VARS'!$U$56+'LINEST VARS'!$T$56*($P$56)+'LINEST VARS'!$S$56*($B77)+'LINEST VARS'!$R$56*(4)+'LINEST VARS'!$Q$56*(0.5)+'LINEST VARS'!$P$56*(12.73)+'LINEST VARS'!$O$56*($P$56^2)+'LINEST VARS'!$N$56*($B77^2)+'LINEST VARS'!$M$56*(4^2)+'LINEST VARS'!$L$56*(0.5^2)+'LINEST VARS'!$K$56*(12.73^2)+'LINEST VARS'!$J$56*($P$56*$B77)+'LINEST VARS'!$I$56*($P$56*4)+'LINEST VARS'!$H$56*($P$56*0.5)+'LINEST VARS'!$G$56*($P$56*12.73)+'LINEST VARS'!$F$56*($B77*4)+'LINEST VARS'!$E$56*($B77*0.5)+'LINEST VARS'!$D$56*($B77*12.73)+'LINEST VARS'!$C$56*(4*0.5)+'LINEST VARS'!$B$56*(4*12.73)+'LINEST VARS'!$A$56*(0.5*12.73)</f>
        <v>2.8400000000000012</v>
      </c>
      <c r="Q77" s="53">
        <f>'LINEST VARS'!$U$56+'LINEST VARS'!$T$56*($Q$56)+'LINEST VARS'!$S$56*($B77)+'LINEST VARS'!$R$56*(4)+'LINEST VARS'!$Q$56*(0.5)+'LINEST VARS'!$P$56*(12.73)+'LINEST VARS'!$O$56*($Q$56^2)+'LINEST VARS'!$N$56*($B77^2)+'LINEST VARS'!$M$56*(4^2)+'LINEST VARS'!$L$56*(0.5^2)+'LINEST VARS'!$K$56*(12.73^2)+'LINEST VARS'!$J$56*($Q$56*$B77)+'LINEST VARS'!$I$56*($Q$56*4)+'LINEST VARS'!$H$56*($Q$56*0.5)+'LINEST VARS'!$G$56*($Q$56*12.73)+'LINEST VARS'!$F$56*($B77*4)+'LINEST VARS'!$E$56*($B77*0.5)+'LINEST VARS'!$D$56*($B77*12.73)+'LINEST VARS'!$C$56*(4*0.5)+'LINEST VARS'!$B$56*(4*12.73)+'LINEST VARS'!$A$56*(0.5*12.73)</f>
        <v>2.8400000000000012</v>
      </c>
      <c r="R77" s="53">
        <f>'LINEST VARS'!$U$56+'LINEST VARS'!$T$56*($R$56)+'LINEST VARS'!$S$56*($B77)+'LINEST VARS'!$R$56*(4)+'LINEST VARS'!$Q$56*(0.5)+'LINEST VARS'!$P$56*(12.73)+'LINEST VARS'!$O$56*($R$56^2)+'LINEST VARS'!$N$56*($B77^2)+'LINEST VARS'!$M$56*(4^2)+'LINEST VARS'!$L$56*(0.5^2)+'LINEST VARS'!$K$56*(12.73^2)+'LINEST VARS'!$J$56*($R$56*$B77)+'LINEST VARS'!$I$56*($R$56*4)+'LINEST VARS'!$H$56*($R$56*0.5)+'LINEST VARS'!$G$56*($R$56*12.73)+'LINEST VARS'!$F$56*($B77*4)+'LINEST VARS'!$E$56*($B77*0.5)+'LINEST VARS'!$D$56*($B77*12.73)+'LINEST VARS'!$C$56*(4*0.5)+'LINEST VARS'!$B$56*(4*12.73)+'LINEST VARS'!$A$56*(0.5*12.73)</f>
        <v>2.8400000000000012</v>
      </c>
      <c r="S77" s="53">
        <f>'LINEST VARS'!$U$56+'LINEST VARS'!$T$56*($S$56)+'LINEST VARS'!$S$56*($B77)+'LINEST VARS'!$R$56*(4)+'LINEST VARS'!$Q$56*(0.5)+'LINEST VARS'!$P$56*(12.73)+'LINEST VARS'!$O$56*($S$56^2)+'LINEST VARS'!$N$56*($B77^2)+'LINEST VARS'!$M$56*(4^2)+'LINEST VARS'!$L$56*(0.5^2)+'LINEST VARS'!$K$56*(12.73^2)+'LINEST VARS'!$J$56*($S$56*$B77)+'LINEST VARS'!$I$56*($S$56*4)+'LINEST VARS'!$H$56*($S$56*0.5)+'LINEST VARS'!$G$56*($S$56*12.73)+'LINEST VARS'!$F$56*($B77*4)+'LINEST VARS'!$E$56*($B77*0.5)+'LINEST VARS'!$D$56*($B77*12.73)+'LINEST VARS'!$C$56*(4*0.5)+'LINEST VARS'!$B$56*(4*12.73)+'LINEST VARS'!$A$56*(0.5*12.73)</f>
        <v>2.8400000000000012</v>
      </c>
      <c r="T77" s="53">
        <f>'LINEST VARS'!$U$56+'LINEST VARS'!$T$56*($T$56)+'LINEST VARS'!$S$56*($B77)+'LINEST VARS'!$R$56*(4)+'LINEST VARS'!$Q$56*(0.5)+'LINEST VARS'!$P$56*(12.73)+'LINEST VARS'!$O$56*($T$56^2)+'LINEST VARS'!$N$56*($B77^2)+'LINEST VARS'!$M$56*(4^2)+'LINEST VARS'!$L$56*(0.5^2)+'LINEST VARS'!$K$56*(12.73^2)+'LINEST VARS'!$J$56*($T$56*$B77)+'LINEST VARS'!$I$56*($T$56*4)+'LINEST VARS'!$H$56*($T$56*0.5)+'LINEST VARS'!$G$56*($T$56*12.73)+'LINEST VARS'!$F$56*($B77*4)+'LINEST VARS'!$E$56*($B77*0.5)+'LINEST VARS'!$D$56*($B77*12.73)+'LINEST VARS'!$C$56*(4*0.5)+'LINEST VARS'!$B$56*(4*12.73)+'LINEST VARS'!$A$56*(0.5*12.73)</f>
        <v>2.8400000000000012</v>
      </c>
      <c r="U77" s="53">
        <f>'LINEST VARS'!$U$56+'LINEST VARS'!$T$56*($U$56)+'LINEST VARS'!$S$56*($B77)+'LINEST VARS'!$R$56*(4)+'LINEST VARS'!$Q$56*(0.5)+'LINEST VARS'!$P$56*(12.73)+'LINEST VARS'!$O$56*($U$56^2)+'LINEST VARS'!$N$56*($B77^2)+'LINEST VARS'!$M$56*(4^2)+'LINEST VARS'!$L$56*(0.5^2)+'LINEST VARS'!$K$56*(12.73^2)+'LINEST VARS'!$J$56*($U$56*$B77)+'LINEST VARS'!$I$56*($U$56*4)+'LINEST VARS'!$H$56*($U$56*0.5)+'LINEST VARS'!$G$56*($U$56*12.73)+'LINEST VARS'!$F$56*($B77*4)+'LINEST VARS'!$E$56*($B77*0.5)+'LINEST VARS'!$D$56*($B77*12.73)+'LINEST VARS'!$C$56*(4*0.5)+'LINEST VARS'!$B$56*(4*12.73)+'LINEST VARS'!$A$56*(0.5*12.73)</f>
        <v>2.8400000000000012</v>
      </c>
      <c r="V77" s="53">
        <f>'LINEST VARS'!$U$56+'LINEST VARS'!$T$56*($V$56)+'LINEST VARS'!$S$56*($B77)+'LINEST VARS'!$R$56*(4)+'LINEST VARS'!$Q$56*(0.5)+'LINEST VARS'!$P$56*(12.73)+'LINEST VARS'!$O$56*($V$56^2)+'LINEST VARS'!$N$56*($B77^2)+'LINEST VARS'!$M$56*(4^2)+'LINEST VARS'!$L$56*(0.5^2)+'LINEST VARS'!$K$56*(12.73^2)+'LINEST VARS'!$J$56*($V$56*$B77)+'LINEST VARS'!$I$56*($V$56*4)+'LINEST VARS'!$H$56*($V$56*0.5)+'LINEST VARS'!$G$56*($V$56*12.73)+'LINEST VARS'!$F$56*($B77*4)+'LINEST VARS'!$E$56*($B77*0.5)+'LINEST VARS'!$D$56*($B77*12.73)+'LINEST VARS'!$C$56*(4*0.5)+'LINEST VARS'!$B$56*(4*12.73)+'LINEST VARS'!$A$56*(0.5*12.73)</f>
        <v>2.8400000000000012</v>
      </c>
      <c r="W77" s="54">
        <f>'LINEST VARS'!$U$56+'LINEST VARS'!$T$56*($W$56)+'LINEST VARS'!$S$56*($B77)+'LINEST VARS'!$R$56*(4)+'LINEST VARS'!$Q$56*(0.5)+'LINEST VARS'!$P$56*(12.73)+'LINEST VARS'!$O$56*($W$56^2)+'LINEST VARS'!$N$56*($B77^2)+'LINEST VARS'!$M$56*(4^2)+'LINEST VARS'!$L$56*(0.5^2)+'LINEST VARS'!$K$56*(12.73^2)+'LINEST VARS'!$J$56*($W$56*$B77)+'LINEST VARS'!$I$56*($W$56*4)+'LINEST VARS'!$H$56*($W$56*0.5)+'LINEST VARS'!$G$56*($W$56*12.73)+'LINEST VARS'!$F$56*($B77*4)+'LINEST VARS'!$E$56*($B77*0.5)+'LINEST VARS'!$D$56*($B77*12.73)+'LINEST VARS'!$C$56*(4*0.5)+'LINEST VARS'!$B$56*(4*12.73)+'LINEST VARS'!$A$56*(0.5*12.73)</f>
        <v>2.8400000000000012</v>
      </c>
      <c r="Z77" s="48">
        <v>8.6</v>
      </c>
      <c r="AA77" s="53">
        <f>'LINEST VARS'!$U$58+'LINEST VARS'!$T$58*($AA$56)+'LINEST VARS'!$S$58*($Z77)+'LINEST VARS'!$R$58*(4)+'LINEST VARS'!$Q$58*(0.5)+'LINEST VARS'!$P$58*(12.73)+'LINEST VARS'!$O$58*($AA$56^2)+'LINEST VARS'!$N$58*($Z77^2)+'LINEST VARS'!$M$58*(4^2)+'LINEST VARS'!$L$58*(0.5^2)+'LINEST VARS'!$K$58*(12.73^2)+'LINEST VARS'!$J$58*($AA$56*$Z77)+'LINEST VARS'!$I$58*($AA$56*4)+'LINEST VARS'!$H$58*($AA$56*0.5)+'LINEST VARS'!$G$58*($AA$56*12.73)+'LINEST VARS'!$F$58*($Z77*4)+'LINEST VARS'!$E$58*($Z77*0.5)+'LINEST VARS'!$D$58*($Z77*12.73)+'LINEST VARS'!$C$58*(4*0.5)+'LINEST VARS'!$B$58*(4*12.73)+'LINEST VARS'!$A$58*(0.5*12.73)</f>
        <v>0.94365000000000021</v>
      </c>
      <c r="AB77" s="53">
        <f>'LINEST VARS'!$U$58+'LINEST VARS'!$T$58*($AB$56)+'LINEST VARS'!$S$58*($Z77)+'LINEST VARS'!$R$58*(4)+'LINEST VARS'!$Q$58*(0.5)+'LINEST VARS'!$P$58*(12.73)+'LINEST VARS'!$O$58*($AB$56^2)+'LINEST VARS'!$N$58*($Z77^2)+'LINEST VARS'!$M$58*(4^2)+'LINEST VARS'!$L$58*(0.5^2)+'LINEST VARS'!$K$58*(12.73^2)+'LINEST VARS'!$J$58*($AB$56*$Z77)+'LINEST VARS'!$I$58*($AB$56*4)+'LINEST VARS'!$H$58*($AB$56*0.5)+'LINEST VARS'!$G$58*($AB$56*12.73)+'LINEST VARS'!$F$58*($Z77*4)+'LINEST VARS'!$E$58*($Z77*0.5)+'LINEST VARS'!$D$58*($Z77*12.73)+'LINEST VARS'!$C$58*(4*0.5)+'LINEST VARS'!$B$58*(4*12.73)+'LINEST VARS'!$A$58*(0.5*12.73)</f>
        <v>0.94365000000000021</v>
      </c>
      <c r="AC77" s="53">
        <f>'LINEST VARS'!$U$58+'LINEST VARS'!$T$58*($AC$56)+'LINEST VARS'!$S$58*($Z77)+'LINEST VARS'!$R$58*(4)+'LINEST VARS'!$Q$58*(0.5)+'LINEST VARS'!$P$58*(12.73)+'LINEST VARS'!$O$58*($AC$56^2)+'LINEST VARS'!$N$58*($Z77^2)+'LINEST VARS'!$M$58*(4^2)+'LINEST VARS'!$L$58*(0.5^2)+'LINEST VARS'!$K$58*(12.73^2)+'LINEST VARS'!$J$58*($AC$56*$Z77)+'LINEST VARS'!$I$58*($AC$56*4)+'LINEST VARS'!$H$58*($AC$56*0.5)+'LINEST VARS'!$G$58*($AC$56*12.73)+'LINEST VARS'!$F$58*($Z77*4)+'LINEST VARS'!$E$58*($Z77*0.5)+'LINEST VARS'!$D$58*($Z77*12.73)+'LINEST VARS'!$C$58*(4*0.5)+'LINEST VARS'!$B$58*(4*12.73)+'LINEST VARS'!$A$58*(0.5*12.73)</f>
        <v>0.94365000000000021</v>
      </c>
      <c r="AD77" s="53">
        <f>'LINEST VARS'!$U$58+'LINEST VARS'!$T$58*($AD$56)+'LINEST VARS'!$S$58*($Z77)+'LINEST VARS'!$R$58*(4)+'LINEST VARS'!$Q$58*(0.5)+'LINEST VARS'!$P$58*(12.73)+'LINEST VARS'!$O$58*($AD$56^2)+'LINEST VARS'!$N$58*($Z77^2)+'LINEST VARS'!$M$58*(4^2)+'LINEST VARS'!$L$58*(0.5^2)+'LINEST VARS'!$K$58*(12.73^2)+'LINEST VARS'!$J$58*($AD$56*$Z77)+'LINEST VARS'!$I$58*($AD$56*4)+'LINEST VARS'!$H$58*($AD$56*0.5)+'LINEST VARS'!$G$58*($AD$56*12.73)+'LINEST VARS'!$F$58*($Z77*4)+'LINEST VARS'!$E$58*($Z77*0.5)+'LINEST VARS'!$D$58*($Z77*12.73)+'LINEST VARS'!$C$58*(4*0.5)+'LINEST VARS'!$B$58*(4*12.73)+'LINEST VARS'!$A$58*(0.5*12.73)</f>
        <v>0.94365000000000021</v>
      </c>
      <c r="AE77" s="53">
        <f>'LINEST VARS'!$U$58+'LINEST VARS'!$T$58*($AE$56)+'LINEST VARS'!$S$58*($Z77)+'LINEST VARS'!$R$58*(4)+'LINEST VARS'!$Q$58*(0.5)+'LINEST VARS'!$P$58*(12.73)+'LINEST VARS'!$O$58*($AE$56^2)+'LINEST VARS'!$N$58*($Z77^2)+'LINEST VARS'!$M$58*(4^2)+'LINEST VARS'!$L$58*(0.5^2)+'LINEST VARS'!$K$58*(12.73^2)+'LINEST VARS'!$J$58*($AE$56*$Z77)+'LINEST VARS'!$I$58*($AE$56*4)+'LINEST VARS'!$H$58*($AE$56*0.5)+'LINEST VARS'!$G$58*($AE$56*12.73)+'LINEST VARS'!$F$58*($Z77*4)+'LINEST VARS'!$E$58*($Z77*0.5)+'LINEST VARS'!$D$58*($Z77*12.73)+'LINEST VARS'!$C$58*(4*0.5)+'LINEST VARS'!$B$58*(4*12.73)+'LINEST VARS'!$A$58*(0.5*12.73)</f>
        <v>0.94365000000000021</v>
      </c>
      <c r="AF77" s="53">
        <f>'LINEST VARS'!$U$58+'LINEST VARS'!$T$58*($AF$56)+'LINEST VARS'!$S$58*($Z77)+'LINEST VARS'!$R$58*(4)+'LINEST VARS'!$Q$58*(0.5)+'LINEST VARS'!$P$58*(12.73)+'LINEST VARS'!$O$58*($AF$56^2)+'LINEST VARS'!$N$58*($Z77^2)+'LINEST VARS'!$M$58*(4^2)+'LINEST VARS'!$L$58*(0.5^2)+'LINEST VARS'!$K$58*(12.73^2)+'LINEST VARS'!$J$58*($AF$56*$Z77)+'LINEST VARS'!$I$58*($AF$56*4)+'LINEST VARS'!$H$58*($AF$56*0.5)+'LINEST VARS'!$G$58*($AF$56*12.73)+'LINEST VARS'!$F$58*($Z77*4)+'LINEST VARS'!$E$58*($Z77*0.5)+'LINEST VARS'!$D$58*($Z77*12.73)+'LINEST VARS'!$C$58*(4*0.5)+'LINEST VARS'!$B$58*(4*12.73)+'LINEST VARS'!$A$58*(0.5*12.73)</f>
        <v>0.94365000000000021</v>
      </c>
      <c r="AG77" s="53">
        <f>'LINEST VARS'!$U$58+'LINEST VARS'!$T$58*($AG$56)+'LINEST VARS'!$S$58*($Z77)+'LINEST VARS'!$R$58*(4)+'LINEST VARS'!$Q$58*(0.5)+'LINEST VARS'!$P$58*(12.73)+'LINEST VARS'!$O$58*($AG$56^2)+'LINEST VARS'!$N$58*($Z77^2)+'LINEST VARS'!$M$58*(4^2)+'LINEST VARS'!$L$58*(0.5^2)+'LINEST VARS'!$K$58*(12.73^2)+'LINEST VARS'!$J$58*($AG$56*$Z77)+'LINEST VARS'!$I$58*($AG$56*4)+'LINEST VARS'!$H$58*($AG$56*0.5)+'LINEST VARS'!$G$58*($AG$56*12.73)+'LINEST VARS'!$F$58*($Z77*4)+'LINEST VARS'!$E$58*($Z77*0.5)+'LINEST VARS'!$D$58*($Z77*12.73)+'LINEST VARS'!$C$58*(4*0.5)+'LINEST VARS'!$B$58*(4*12.73)+'LINEST VARS'!$A$58*(0.5*12.73)</f>
        <v>0.94365000000000021</v>
      </c>
      <c r="AH77" s="53">
        <f>'LINEST VARS'!$U$58+'LINEST VARS'!$T$58*($AH$56)+'LINEST VARS'!$S$58*($Z77)+'LINEST VARS'!$R$58*(4)+'LINEST VARS'!$Q$58*(0.5)+'LINEST VARS'!$P$58*(12.73)+'LINEST VARS'!$O$58*($AH$56^2)+'LINEST VARS'!$N$58*($Z77^2)+'LINEST VARS'!$M$58*(4^2)+'LINEST VARS'!$L$58*(0.5^2)+'LINEST VARS'!$K$58*(12.73^2)+'LINEST VARS'!$J$58*($AH$56*$Z77)+'LINEST VARS'!$I$58*($AH$56*4)+'LINEST VARS'!$H$58*($AH$56*0.5)+'LINEST VARS'!$G$58*($AH$56*12.73)+'LINEST VARS'!$F$58*($Z77*4)+'LINEST VARS'!$E$58*($Z77*0.5)+'LINEST VARS'!$D$58*($Z77*12.73)+'LINEST VARS'!$C$58*(4*0.5)+'LINEST VARS'!$B$58*(4*12.73)+'LINEST VARS'!$A$58*(0.5*12.73)</f>
        <v>0.94365000000000021</v>
      </c>
      <c r="AI77" s="53">
        <f>'LINEST VARS'!$U$58+'LINEST VARS'!$T$58*($AI$56)+'LINEST VARS'!$S$58*($Z77)+'LINEST VARS'!$R$58*(4)+'LINEST VARS'!$Q$58*(0.5)+'LINEST VARS'!$P$58*(12.73)+'LINEST VARS'!$O$58*($AI$56^2)+'LINEST VARS'!$N$58*($Z77^2)+'LINEST VARS'!$M$58*(4^2)+'LINEST VARS'!$L$58*(0.5^2)+'LINEST VARS'!$K$58*(12.73^2)+'LINEST VARS'!$J$58*($AI$56*$Z77)+'LINEST VARS'!$I$58*($AI$56*4)+'LINEST VARS'!$H$58*($AI$56*0.5)+'LINEST VARS'!$G$58*($AI$56*12.73)+'LINEST VARS'!$F$58*($Z77*4)+'LINEST VARS'!$E$58*($Z77*0.5)+'LINEST VARS'!$D$58*($Z77*12.73)+'LINEST VARS'!$C$58*(4*0.5)+'LINEST VARS'!$B$58*(4*12.73)+'LINEST VARS'!$A$58*(0.5*12.73)</f>
        <v>0.9436500000000001</v>
      </c>
      <c r="AJ77" s="53">
        <f>'LINEST VARS'!$U$58+'LINEST VARS'!$T$58*($AJ$56)+'LINEST VARS'!$S$58*($Z77)+'LINEST VARS'!$R$58*(4)+'LINEST VARS'!$Q$58*(0.5)+'LINEST VARS'!$P$58*(12.73)+'LINEST VARS'!$O$58*($AJ$56^2)+'LINEST VARS'!$N$58*($Z77^2)+'LINEST VARS'!$M$58*(4^2)+'LINEST VARS'!$L$58*(0.5^2)+'LINEST VARS'!$K$58*(12.73^2)+'LINEST VARS'!$J$58*($AJ$56*$Z77)+'LINEST VARS'!$I$58*($AJ$56*4)+'LINEST VARS'!$H$58*($AJ$56*0.5)+'LINEST VARS'!$G$58*($AJ$56*12.73)+'LINEST VARS'!$F$58*($Z77*4)+'LINEST VARS'!$E$58*($Z77*0.5)+'LINEST VARS'!$D$58*($Z77*12.73)+'LINEST VARS'!$C$58*(4*0.5)+'LINEST VARS'!$B$58*(4*12.73)+'LINEST VARS'!$A$58*(0.5*12.73)</f>
        <v>0.94365000000000021</v>
      </c>
      <c r="AK77" s="53">
        <f>'LINEST VARS'!$U$58+'LINEST VARS'!$T$58*($AK$56)+'LINEST VARS'!$S$58*($Z77)+'LINEST VARS'!$R$58*(4)+'LINEST VARS'!$Q$58*(0.5)+'LINEST VARS'!$P$58*(12.73)+'LINEST VARS'!$O$58*($AK$56^2)+'LINEST VARS'!$N$58*($Z77^2)+'LINEST VARS'!$M$58*(4^2)+'LINEST VARS'!$L$58*(0.5^2)+'LINEST VARS'!$K$58*(12.73^2)+'LINEST VARS'!$J$58*($AK$56*$Z77)+'LINEST VARS'!$I$58*($AK$56*4)+'LINEST VARS'!$H$58*($AK$56*0.5)+'LINEST VARS'!$G$58*($AK$56*12.73)+'LINEST VARS'!$F$58*($Z77*4)+'LINEST VARS'!$E$58*($Z77*0.5)+'LINEST VARS'!$D$58*($Z77*12.73)+'LINEST VARS'!$C$58*(4*0.5)+'LINEST VARS'!$B$58*(4*12.73)+'LINEST VARS'!$A$58*(0.5*12.73)</f>
        <v>0.94365000000000021</v>
      </c>
      <c r="AL77" s="53">
        <f>'LINEST VARS'!$U$58+'LINEST VARS'!$T$58*($AL$56)+'LINEST VARS'!$S$58*($Z77)+'LINEST VARS'!$R$58*(4)+'LINEST VARS'!$Q$58*(0.5)+'LINEST VARS'!$P$58*(12.73)+'LINEST VARS'!$O$58*($AL$56^2)+'LINEST VARS'!$N$58*($Z77^2)+'LINEST VARS'!$M$58*(4^2)+'LINEST VARS'!$L$58*(0.5^2)+'LINEST VARS'!$K$58*(12.73^2)+'LINEST VARS'!$J$58*($AL$56*$Z77)+'LINEST VARS'!$I$58*($AL$56*4)+'LINEST VARS'!$H$58*($AL$56*0.5)+'LINEST VARS'!$G$58*($AL$56*12.73)+'LINEST VARS'!$F$58*($Z77*4)+'LINEST VARS'!$E$58*($Z77*0.5)+'LINEST VARS'!$D$58*($Z77*12.73)+'LINEST VARS'!$C$58*(4*0.5)+'LINEST VARS'!$B$58*(4*12.73)+'LINEST VARS'!$A$58*(0.5*12.73)</f>
        <v>0.94365000000000021</v>
      </c>
      <c r="AM77" s="53">
        <f>'LINEST VARS'!$U$58+'LINEST VARS'!$T$58*($AM$56)+'LINEST VARS'!$S$58*($Z77)+'LINEST VARS'!$R$58*(4)+'LINEST VARS'!$Q$58*(0.5)+'LINEST VARS'!$P$58*(12.73)+'LINEST VARS'!$O$58*($AM$56^2)+'LINEST VARS'!$N$58*($Z77^2)+'LINEST VARS'!$M$58*(4^2)+'LINEST VARS'!$L$58*(0.5^2)+'LINEST VARS'!$K$58*(12.73^2)+'LINEST VARS'!$J$58*($AM$56*$Z77)+'LINEST VARS'!$I$58*($AM$56*4)+'LINEST VARS'!$H$58*($AM$56*0.5)+'LINEST VARS'!$G$58*($AM$56*12.73)+'LINEST VARS'!$F$58*($Z77*4)+'LINEST VARS'!$E$58*($Z77*0.5)+'LINEST VARS'!$D$58*($Z77*12.73)+'LINEST VARS'!$C$58*(4*0.5)+'LINEST VARS'!$B$58*(4*12.73)+'LINEST VARS'!$A$58*(0.5*12.73)</f>
        <v>0.9436500000000001</v>
      </c>
      <c r="AN77" s="53">
        <f>'LINEST VARS'!$U$58+'LINEST VARS'!$T$58*($AN$56)+'LINEST VARS'!$S$58*($Z77)+'LINEST VARS'!$R$58*(4)+'LINEST VARS'!$Q$58*(0.5)+'LINEST VARS'!$P$58*(12.73)+'LINEST VARS'!$O$58*($AN$56^2)+'LINEST VARS'!$N$58*($Z77^2)+'LINEST VARS'!$M$58*(4^2)+'LINEST VARS'!$L$58*(0.5^2)+'LINEST VARS'!$K$58*(12.73^2)+'LINEST VARS'!$J$58*($AN$56*$Z77)+'LINEST VARS'!$I$58*($AN$56*4)+'LINEST VARS'!$H$58*($AN$56*0.5)+'LINEST VARS'!$G$58*($AN$56*12.73)+'LINEST VARS'!$F$58*($Z77*4)+'LINEST VARS'!$E$58*($Z77*0.5)+'LINEST VARS'!$D$58*($Z77*12.73)+'LINEST VARS'!$C$58*(4*0.5)+'LINEST VARS'!$B$58*(4*12.73)+'LINEST VARS'!$A$58*(0.5*12.73)</f>
        <v>0.9436500000000001</v>
      </c>
      <c r="AO77" s="53">
        <f>'LINEST VARS'!$U$58+'LINEST VARS'!$T$58*($AO$56)+'LINEST VARS'!$S$58*($Z77)+'LINEST VARS'!$R$58*(4)+'LINEST VARS'!$Q$58*(0.5)+'LINEST VARS'!$P$58*(12.73)+'LINEST VARS'!$O$58*($AO$56^2)+'LINEST VARS'!$N$58*($Z77^2)+'LINEST VARS'!$M$58*(4^2)+'LINEST VARS'!$L$58*(0.5^2)+'LINEST VARS'!$K$58*(12.73^2)+'LINEST VARS'!$J$58*($AO$56*$Z77)+'LINEST VARS'!$I$58*($AO$56*4)+'LINEST VARS'!$H$58*($AO$56*0.5)+'LINEST VARS'!$G$58*($AO$56*12.73)+'LINEST VARS'!$F$58*($Z77*4)+'LINEST VARS'!$E$58*($Z77*0.5)+'LINEST VARS'!$D$58*($Z77*12.73)+'LINEST VARS'!$C$58*(4*0.5)+'LINEST VARS'!$B$58*(4*12.73)+'LINEST VARS'!$A$58*(0.5*12.73)</f>
        <v>0.9436500000000001</v>
      </c>
      <c r="AP77" s="53">
        <f>'LINEST VARS'!$U$58+'LINEST VARS'!$T$58*($AP$56)+'LINEST VARS'!$S$58*($Z77)+'LINEST VARS'!$R$58*(4)+'LINEST VARS'!$Q$58*(0.5)+'LINEST VARS'!$P$58*(12.73)+'LINEST VARS'!$O$58*($AP$56^2)+'LINEST VARS'!$N$58*($Z77^2)+'LINEST VARS'!$M$58*(4^2)+'LINEST VARS'!$L$58*(0.5^2)+'LINEST VARS'!$K$58*(12.73^2)+'LINEST VARS'!$J$58*($AP$56*$Z77)+'LINEST VARS'!$I$58*($AP$56*4)+'LINEST VARS'!$H$58*($AP$56*0.5)+'LINEST VARS'!$G$58*($AP$56*12.73)+'LINEST VARS'!$F$58*($Z77*4)+'LINEST VARS'!$E$58*($Z77*0.5)+'LINEST VARS'!$D$58*($Z77*12.73)+'LINEST VARS'!$C$58*(4*0.5)+'LINEST VARS'!$B$58*(4*12.73)+'LINEST VARS'!$A$58*(0.5*12.73)</f>
        <v>0.9436500000000001</v>
      </c>
      <c r="AQ77" s="53">
        <f>'LINEST VARS'!$U$58+'LINEST VARS'!$T$58*($AQ$56)+'LINEST VARS'!$S$58*($Z77)+'LINEST VARS'!$R$58*(4)+'LINEST VARS'!$Q$58*(0.5)+'LINEST VARS'!$P$58*(12.73)+'LINEST VARS'!$O$58*($AQ$56^2)+'LINEST VARS'!$N$58*($Z77^2)+'LINEST VARS'!$M$58*(4^2)+'LINEST VARS'!$L$58*(0.5^2)+'LINEST VARS'!$K$58*(12.73^2)+'LINEST VARS'!$J$58*($AQ$56*$Z77)+'LINEST VARS'!$I$58*($AQ$56*4)+'LINEST VARS'!$H$58*($AQ$56*0.5)+'LINEST VARS'!$G$58*($AQ$56*12.73)+'LINEST VARS'!$F$58*($Z77*4)+'LINEST VARS'!$E$58*($Z77*0.5)+'LINEST VARS'!$D$58*($Z77*12.73)+'LINEST VARS'!$C$58*(4*0.5)+'LINEST VARS'!$B$58*(4*12.73)+'LINEST VARS'!$A$58*(0.5*12.73)</f>
        <v>0.9436500000000001</v>
      </c>
      <c r="AR77" s="53">
        <f>'LINEST VARS'!$U$58+'LINEST VARS'!$T$58*($AR$56)+'LINEST VARS'!$S$58*($Z77)+'LINEST VARS'!$R$58*(4)+'LINEST VARS'!$Q$58*(0.5)+'LINEST VARS'!$P$58*(12.73)+'LINEST VARS'!$O$58*($AR$56^2)+'LINEST VARS'!$N$58*($Z77^2)+'LINEST VARS'!$M$58*(4^2)+'LINEST VARS'!$L$58*(0.5^2)+'LINEST VARS'!$K$58*(12.73^2)+'LINEST VARS'!$J$58*($AR$56*$Z77)+'LINEST VARS'!$I$58*($AR$56*4)+'LINEST VARS'!$H$58*($AR$56*0.5)+'LINEST VARS'!$G$58*($AR$56*12.73)+'LINEST VARS'!$F$58*($Z77*4)+'LINEST VARS'!$E$58*($Z77*0.5)+'LINEST VARS'!$D$58*($Z77*12.73)+'LINEST VARS'!$C$58*(4*0.5)+'LINEST VARS'!$B$58*(4*12.73)+'LINEST VARS'!$A$58*(0.5*12.73)</f>
        <v>0.94365000000000021</v>
      </c>
      <c r="AS77" s="53">
        <f>'LINEST VARS'!$U$58+'LINEST VARS'!$T$58*($AS$56)+'LINEST VARS'!$S$58*($Z77)+'LINEST VARS'!$R$58*(4)+'LINEST VARS'!$Q$58*(0.5)+'LINEST VARS'!$P$58*(12.73)+'LINEST VARS'!$O$58*($AS$56^2)+'LINEST VARS'!$N$58*($Z77^2)+'LINEST VARS'!$M$58*(4^2)+'LINEST VARS'!$L$58*(0.5^2)+'LINEST VARS'!$K$58*(12.73^2)+'LINEST VARS'!$J$58*($AS$56*$Z77)+'LINEST VARS'!$I$58*($AS$56*4)+'LINEST VARS'!$H$58*($AS$56*0.5)+'LINEST VARS'!$G$58*($AS$56*12.73)+'LINEST VARS'!$F$58*($Z77*4)+'LINEST VARS'!$E$58*($Z77*0.5)+'LINEST VARS'!$D$58*($Z77*12.73)+'LINEST VARS'!$C$58*(4*0.5)+'LINEST VARS'!$B$58*(4*12.73)+'LINEST VARS'!$A$58*(0.5*12.73)</f>
        <v>0.94365000000000021</v>
      </c>
      <c r="AT77" s="53">
        <f>'LINEST VARS'!$U$58+'LINEST VARS'!$T$58*($AT$56)+'LINEST VARS'!$S$58*($Z77)+'LINEST VARS'!$R$58*(4)+'LINEST VARS'!$Q$58*(0.5)+'LINEST VARS'!$P$58*(12.73)+'LINEST VARS'!$O$58*($AT$56^2)+'LINEST VARS'!$N$58*($Z77^2)+'LINEST VARS'!$M$58*(4^2)+'LINEST VARS'!$L$58*(0.5^2)+'LINEST VARS'!$K$58*(12.73^2)+'LINEST VARS'!$J$58*($AT$56*$Z77)+'LINEST VARS'!$I$58*($AT$56*4)+'LINEST VARS'!$H$58*($AT$56*0.5)+'LINEST VARS'!$G$58*($AT$56*12.73)+'LINEST VARS'!$F$58*($Z77*4)+'LINEST VARS'!$E$58*($Z77*0.5)+'LINEST VARS'!$D$58*($Z77*12.73)+'LINEST VARS'!$C$58*(4*0.5)+'LINEST VARS'!$B$58*(4*12.73)+'LINEST VARS'!$A$58*(0.5*12.73)</f>
        <v>0.94365000000000021</v>
      </c>
      <c r="AU77" s="54">
        <f>'LINEST VARS'!$U$58+'LINEST VARS'!$T$58*($AU$56)+'LINEST VARS'!$S$58*($Z77)+'LINEST VARS'!$R$58*(4)+'LINEST VARS'!$Q$58*(0.5)+'LINEST VARS'!$P$58*(12.73)+'LINEST VARS'!$O$58*($AU$56^2)+'LINEST VARS'!$N$58*($Z77^2)+'LINEST VARS'!$M$58*(4^2)+'LINEST VARS'!$L$58*(0.5^2)+'LINEST VARS'!$K$58*(12.73^2)+'LINEST VARS'!$J$58*($AU$56*$Z77)+'LINEST VARS'!$I$58*($AU$56*4)+'LINEST VARS'!$H$58*($AU$56*0.5)+'LINEST VARS'!$G$58*($AU$56*12.73)+'LINEST VARS'!$F$58*($Z77*4)+'LINEST VARS'!$E$58*($Z77*0.5)+'LINEST VARS'!$D$58*($Z77*12.73)+'LINEST VARS'!$C$58*(4*0.5)+'LINEST VARS'!$B$58*(4*12.73)+'LINEST VARS'!$A$58*(0.5*12.73)</f>
        <v>0.9436500000000001</v>
      </c>
      <c r="AZ77" s="48">
        <v>1</v>
      </c>
      <c r="BA77" s="53">
        <f>'LINEST VARS'!$U$56+'LINEST VARS'!$T$56*(8)+'LINEST VARS'!$S$56*(8)+'LINEST VARS'!$R$56*($BA$56)+'LINEST VARS'!$Q$56*($AZ77)+'LINEST VARS'!$P$56*(12.73)+'LINEST VARS'!$O$56*(8^2)+'LINEST VARS'!$N$56*(8^2)+'LINEST VARS'!$M$56*($BA$56^2)+'LINEST VARS'!$L$56*($AZ77^2)+'LINEST VARS'!$K$56*(12.73^2)+'LINEST VARS'!$J$56*(8*8)+'LINEST VARS'!$I$56*(8*$BA$56)+'LINEST VARS'!$H$56*(8*$AZ77)+'LINEST VARS'!$G$56*(8*12.73)+'LINEST VARS'!$F$56*(8*$BA$56)+'LINEST VARS'!$E$56*(8*$AZ77)+'LINEST VARS'!$D$56*(8*12.73)+'LINEST VARS'!$C$56*($BA$56*$AZ77)+'LINEST VARS'!$B$56*($BA$56*12.73)+'LINEST VARS'!$A$56*($AZ77*12.73)</f>
        <v>2.8000000000000012</v>
      </c>
      <c r="BB77" s="53">
        <f>'LINEST VARS'!$U$56+'LINEST VARS'!$T$56*(8)+'LINEST VARS'!$S$56*(8)+'LINEST VARS'!$R$56*($BB$56)+'LINEST VARS'!$Q$56*($AZ77)+'LINEST VARS'!$P$56*(12.73)+'LINEST VARS'!$O$56*(8^2)+'LINEST VARS'!$N$56*(8^2)+'LINEST VARS'!$M$56*($BB$56^2)+'LINEST VARS'!$L$56*($AZ77^2)+'LINEST VARS'!$K$56*(12.73^2)+'LINEST VARS'!$J$56*(8*8)+'LINEST VARS'!$I$56*(8*$BB$56)+'LINEST VARS'!$H$56*(8*$AZ77)+'LINEST VARS'!$G$56*(8*12.73)+'LINEST VARS'!$F$56*(8*$BB$56)+'LINEST VARS'!$E$56*(8*$AZ77)+'LINEST VARS'!$D$56*(8*12.73)+'LINEST VARS'!$C$56*($BB$56*$AZ77)+'LINEST VARS'!$B$56*($BB$56*12.73)+'LINEST VARS'!$A$56*($AZ77*12.73)</f>
        <v>2.8184000000000013</v>
      </c>
      <c r="BC77" s="53">
        <f>'LINEST VARS'!$U$56+'LINEST VARS'!$T$56*(8)+'LINEST VARS'!$S$56*(8)+'LINEST VARS'!$R$56*($BC$56)+'LINEST VARS'!$Q$56*($AZ77)+'LINEST VARS'!$P$56*(12.73)+'LINEST VARS'!$O$56*(8^2)+'LINEST VARS'!$N$56*(8^2)+'LINEST VARS'!$M$56*($BC$56^2)+'LINEST VARS'!$L$56*($AZ77^2)+'LINEST VARS'!$K$56*(12.73^2)+'LINEST VARS'!$J$56*(8*8)+'LINEST VARS'!$I$56*(8*$BC$56)+'LINEST VARS'!$H$56*(8*$AZ77)+'LINEST VARS'!$G$56*(8*12.73)+'LINEST VARS'!$F$56*(8*$BC$56)+'LINEST VARS'!$E$56*(8*$AZ77)+'LINEST VARS'!$D$56*(8*12.73)+'LINEST VARS'!$C$56*($BC$56*$AZ77)+'LINEST VARS'!$B$56*($BC$56*12.73)+'LINEST VARS'!$A$56*($AZ77*12.73)</f>
        <v>2.833600000000001</v>
      </c>
      <c r="BD77" s="53">
        <f>'LINEST VARS'!$U$56+'LINEST VARS'!$T$56*(8)+'LINEST VARS'!$S$56*(8)+'LINEST VARS'!$R$56*($BD$56)+'LINEST VARS'!$Q$56*($AZ77)+'LINEST VARS'!$P$56*(12.73)+'LINEST VARS'!$O$56*(8^2)+'LINEST VARS'!$N$56*(8^2)+'LINEST VARS'!$M$56*($BD$56^2)+'LINEST VARS'!$L$56*($AZ77^2)+'LINEST VARS'!$K$56*(12.73^2)+'LINEST VARS'!$J$56*(8*8)+'LINEST VARS'!$I$56*(8*$BD$56)+'LINEST VARS'!$H$56*(8*$AZ77)+'LINEST VARS'!$G$56*(8*12.73)+'LINEST VARS'!$F$56*(8*$BD$56)+'LINEST VARS'!$E$56*(8*$AZ77)+'LINEST VARS'!$D$56*(8*12.73)+'LINEST VARS'!$C$56*($BD$56*$AZ77)+'LINEST VARS'!$B$56*($BD$56*12.73)+'LINEST VARS'!$A$56*($AZ77*12.73)</f>
        <v>2.845600000000001</v>
      </c>
      <c r="BE77" s="53">
        <f>'LINEST VARS'!$U$56+'LINEST VARS'!$T$56*(8)+'LINEST VARS'!$S$56*(8)+'LINEST VARS'!$R$56*($BE$56)+'LINEST VARS'!$Q$56*($AZ77)+'LINEST VARS'!$P$56*(12.73)+'LINEST VARS'!$O$56*(8^2)+'LINEST VARS'!$N$56*(8^2)+'LINEST VARS'!$M$56*($BE$56^2)+'LINEST VARS'!$L$56*($AZ77^2)+'LINEST VARS'!$K$56*(12.73^2)+'LINEST VARS'!$J$56*(8*8)+'LINEST VARS'!$I$56*(8*$BE$56)+'LINEST VARS'!$H$56*(8*$AZ77)+'LINEST VARS'!$G$56*(8*12.73)+'LINEST VARS'!$F$56*(8*$BE$56)+'LINEST VARS'!$E$56*(8*$AZ77)+'LINEST VARS'!$D$56*(8*12.73)+'LINEST VARS'!$C$56*($BE$56*$AZ77)+'LINEST VARS'!$B$56*($BE$56*12.73)+'LINEST VARS'!$A$56*($AZ77*12.73)</f>
        <v>2.8544000000000014</v>
      </c>
      <c r="BF77" s="53">
        <f>'LINEST VARS'!$U$56+'LINEST VARS'!$T$56*(8)+'LINEST VARS'!$S$56*(8)+'LINEST VARS'!$R$56*($BF$56)+'LINEST VARS'!$Q$56*($AZ77)+'LINEST VARS'!$P$56*(12.73)+'LINEST VARS'!$O$56*(8^2)+'LINEST VARS'!$N$56*(8^2)+'LINEST VARS'!$M$56*($BF$56^2)+'LINEST VARS'!$L$56*($AZ77^2)+'LINEST VARS'!$K$56*(12.73^2)+'LINEST VARS'!$J$56*(8*8)+'LINEST VARS'!$I$56*(8*$BF$56)+'LINEST VARS'!$H$56*(8*$AZ77)+'LINEST VARS'!$G$56*(8*12.73)+'LINEST VARS'!$F$56*(8*$BF$56)+'LINEST VARS'!$E$56*(8*$AZ77)+'LINEST VARS'!$D$56*(8*12.73)+'LINEST VARS'!$C$56*($BF$56*$AZ77)+'LINEST VARS'!$B$56*($BF$56*12.73)+'LINEST VARS'!$A$56*($AZ77*12.73)</f>
        <v>2.8600000000000012</v>
      </c>
      <c r="BG77" s="53">
        <f>'LINEST VARS'!$U$56+'LINEST VARS'!$T$56*(8)+'LINEST VARS'!$S$56*(8)+'LINEST VARS'!$R$56*($BG$56)+'LINEST VARS'!$Q$56*($AZ77)+'LINEST VARS'!$P$56*(12.73)+'LINEST VARS'!$O$56*(8^2)+'LINEST VARS'!$N$56*(8^2)+'LINEST VARS'!$M$56*($BG$56^2)+'LINEST VARS'!$L$56*($AZ77^2)+'LINEST VARS'!$K$56*(12.73^2)+'LINEST VARS'!$J$56*(8*8)+'LINEST VARS'!$I$56*(8*$BG$56)+'LINEST VARS'!$H$56*(8*$AZ77)+'LINEST VARS'!$G$56*(8*12.73)+'LINEST VARS'!$F$56*(8*$BG$56)+'LINEST VARS'!$E$56*(8*$AZ77)+'LINEST VARS'!$D$56*(8*12.73)+'LINEST VARS'!$C$56*($BG$56*$AZ77)+'LINEST VARS'!$B$56*($BG$56*12.73)+'LINEST VARS'!$A$56*($AZ77*12.73)</f>
        <v>2.8624000000000014</v>
      </c>
      <c r="BH77" s="53">
        <f>'LINEST VARS'!$U$56+'LINEST VARS'!$T$56*(8)+'LINEST VARS'!$S$56*(8)+'LINEST VARS'!$R$56*($BH$56)+'LINEST VARS'!$Q$56*($AZ77)+'LINEST VARS'!$P$56*(12.73)+'LINEST VARS'!$O$56*(8^2)+'LINEST VARS'!$N$56*(8^2)+'LINEST VARS'!$M$56*($BH$56^2)+'LINEST VARS'!$L$56*($AZ77^2)+'LINEST VARS'!$K$56*(12.73^2)+'LINEST VARS'!$J$56*(8*8)+'LINEST VARS'!$I$56*(8*$BH$56)+'LINEST VARS'!$H$56*(8*$AZ77)+'LINEST VARS'!$G$56*(8*12.73)+'LINEST VARS'!$F$56*(8*$BH$56)+'LINEST VARS'!$E$56*(8*$AZ77)+'LINEST VARS'!$D$56*(8*12.73)+'LINEST VARS'!$C$56*($BH$56*$AZ77)+'LINEST VARS'!$B$56*($BH$56*12.73)+'LINEST VARS'!$A$56*($AZ77*12.73)</f>
        <v>2.861600000000001</v>
      </c>
      <c r="BI77" s="53">
        <f>'LINEST VARS'!$U$56+'LINEST VARS'!$T$56*(8)+'LINEST VARS'!$S$56*(8)+'LINEST VARS'!$R$56*($BI$56)+'LINEST VARS'!$Q$56*($AZ77)+'LINEST VARS'!$P$56*(12.73)+'LINEST VARS'!$O$56*(8^2)+'LINEST VARS'!$N$56*(8^2)+'LINEST VARS'!$M$56*($BI$56^2)+'LINEST VARS'!$L$56*($AZ77^2)+'LINEST VARS'!$K$56*(12.73^2)+'LINEST VARS'!$J$56*(8*8)+'LINEST VARS'!$I$56*(8*$BI$56)+'LINEST VARS'!$H$56*(8*$AZ77)+'LINEST VARS'!$G$56*(8*12.73)+'LINEST VARS'!$F$56*(8*$BI$56)+'LINEST VARS'!$E$56*(8*$AZ77)+'LINEST VARS'!$D$56*(8*12.73)+'LINEST VARS'!$C$56*($BI$56*$AZ77)+'LINEST VARS'!$B$56*($BI$56*12.73)+'LINEST VARS'!$A$56*($AZ77*12.73)</f>
        <v>2.857600000000001</v>
      </c>
      <c r="BJ77" s="53">
        <f>'LINEST VARS'!$U$56+'LINEST VARS'!$T$56*(8)+'LINEST VARS'!$S$56*(8)+'LINEST VARS'!$R$56*($BJ$56)+'LINEST VARS'!$Q$56*($AZ77)+'LINEST VARS'!$P$56*(12.73)+'LINEST VARS'!$O$56*(8^2)+'LINEST VARS'!$N$56*(8^2)+'LINEST VARS'!$M$56*($BJ$56^2)+'LINEST VARS'!$L$56*($AZ77^2)+'LINEST VARS'!$K$56*(12.73^2)+'LINEST VARS'!$J$56*(8*8)+'LINEST VARS'!$I$56*(8*$BJ$56)+'LINEST VARS'!$H$56*(8*$AZ77)+'LINEST VARS'!$G$56*(8*12.73)+'LINEST VARS'!$F$56*(8*$BJ$56)+'LINEST VARS'!$E$56*(8*$AZ77)+'LINEST VARS'!$D$56*(8*12.73)+'LINEST VARS'!$C$56*($BJ$56*$AZ77)+'LINEST VARS'!$B$56*($BJ$56*12.73)+'LINEST VARS'!$A$56*($AZ77*12.73)</f>
        <v>2.8504000000000014</v>
      </c>
      <c r="BK77" s="53">
        <f>'LINEST VARS'!$U$56+'LINEST VARS'!$T$56*(8)+'LINEST VARS'!$S$56*(8)+'LINEST VARS'!$R$56*($BK$56)+'LINEST VARS'!$Q$56*($AZ77)+'LINEST VARS'!$P$56*(12.73)+'LINEST VARS'!$O$56*(8^2)+'LINEST VARS'!$N$56*(8^2)+'LINEST VARS'!$M$56*($BK$56^2)+'LINEST VARS'!$L$56*($AZ77^2)+'LINEST VARS'!$K$56*(12.73^2)+'LINEST VARS'!$J$56*(8*8)+'LINEST VARS'!$I$56*(8*$BK$56)+'LINEST VARS'!$H$56*(8*$AZ77)+'LINEST VARS'!$G$56*(8*12.73)+'LINEST VARS'!$F$56*(8*$BK$56)+'LINEST VARS'!$E$56*(8*$AZ77)+'LINEST VARS'!$D$56*(8*12.73)+'LINEST VARS'!$C$56*($BK$56*$AZ77)+'LINEST VARS'!$B$56*($BK$56*12.73)+'LINEST VARS'!$A$56*($AZ77*12.73)</f>
        <v>2.8400000000000012</v>
      </c>
      <c r="BL77" s="53">
        <f>'LINEST VARS'!$U$56+'LINEST VARS'!$T$56*(8)+'LINEST VARS'!$S$56*(8)+'LINEST VARS'!$R$56*($BL$56)+'LINEST VARS'!$Q$56*($AZ77)+'LINEST VARS'!$P$56*(12.73)+'LINEST VARS'!$O$56*(8^2)+'LINEST VARS'!$N$56*(8^2)+'LINEST VARS'!$M$56*($BL$56^2)+'LINEST VARS'!$L$56*($AZ77^2)+'LINEST VARS'!$K$56*(12.73^2)+'LINEST VARS'!$J$56*(8*8)+'LINEST VARS'!$I$56*(8*$BL$56)+'LINEST VARS'!$H$56*(8*$AZ77)+'LINEST VARS'!$G$56*(8*12.73)+'LINEST VARS'!$F$56*(8*$BL$56)+'LINEST VARS'!$E$56*(8*$AZ77)+'LINEST VARS'!$D$56*(8*12.73)+'LINEST VARS'!$C$56*($BL$56*$AZ77)+'LINEST VARS'!$B$56*($BL$56*12.73)+'LINEST VARS'!$A$56*($AZ77*12.73)</f>
        <v>2.8264000000000014</v>
      </c>
      <c r="BM77" s="53">
        <f>'LINEST VARS'!$U$56+'LINEST VARS'!$T$56*(8)+'LINEST VARS'!$S$56*(8)+'LINEST VARS'!$R$56*($BM$56)+'LINEST VARS'!$Q$56*($AZ77)+'LINEST VARS'!$P$56*(12.73)+'LINEST VARS'!$O$56*(8^2)+'LINEST VARS'!$N$56*(8^2)+'LINEST VARS'!$M$56*($BM$56^2)+'LINEST VARS'!$L$56*($AZ77^2)+'LINEST VARS'!$K$56*(12.73^2)+'LINEST VARS'!$J$56*(8*8)+'LINEST VARS'!$I$56*(8*$BM$56)+'LINEST VARS'!$H$56*(8*$AZ77)+'LINEST VARS'!$G$56*(8*12.73)+'LINEST VARS'!$F$56*(8*$BM$56)+'LINEST VARS'!$E$56*(8*$AZ77)+'LINEST VARS'!$D$56*(8*12.73)+'LINEST VARS'!$C$56*($BM$56*$AZ77)+'LINEST VARS'!$B$56*($BM$56*12.73)+'LINEST VARS'!$A$56*($AZ77*12.73)</f>
        <v>2.809600000000001</v>
      </c>
      <c r="BN77" s="53">
        <f>'LINEST VARS'!$U$56+'LINEST VARS'!$T$56*(8)+'LINEST VARS'!$S$56*(8)+'LINEST VARS'!$R$56*($BN$56)+'LINEST VARS'!$Q$56*($AZ77)+'LINEST VARS'!$P$56*(12.73)+'LINEST VARS'!$O$56*(8^2)+'LINEST VARS'!$N$56*(8^2)+'LINEST VARS'!$M$56*($BN$56^2)+'LINEST VARS'!$L$56*($AZ77^2)+'LINEST VARS'!$K$56*(12.73^2)+'LINEST VARS'!$J$56*(8*8)+'LINEST VARS'!$I$56*(8*$BN$56)+'LINEST VARS'!$H$56*(8*$AZ77)+'LINEST VARS'!$G$56*(8*12.73)+'LINEST VARS'!$F$56*(8*$BN$56)+'LINEST VARS'!$E$56*(8*$AZ77)+'LINEST VARS'!$D$56*(8*12.73)+'LINEST VARS'!$C$56*($BN$56*$AZ77)+'LINEST VARS'!$B$56*($BN$56*12.73)+'LINEST VARS'!$A$56*($AZ77*12.73)</f>
        <v>2.789600000000001</v>
      </c>
      <c r="BO77" s="53">
        <f>'LINEST VARS'!$U$56+'LINEST VARS'!$T$56*(8)+'LINEST VARS'!$S$56*(8)+'LINEST VARS'!$R$56*($BO$56)+'LINEST VARS'!$Q$56*($AZ77)+'LINEST VARS'!$P$56*(12.73)+'LINEST VARS'!$O$56*(8^2)+'LINEST VARS'!$N$56*(8^2)+'LINEST VARS'!$M$56*($BO$56^2)+'LINEST VARS'!$L$56*($AZ77^2)+'LINEST VARS'!$K$56*(12.73^2)+'LINEST VARS'!$J$56*(8*8)+'LINEST VARS'!$I$56*(8*$BO$56)+'LINEST VARS'!$H$56*(8*$AZ77)+'LINEST VARS'!$G$56*(8*12.73)+'LINEST VARS'!$F$56*(8*$BO$56)+'LINEST VARS'!$E$56*(8*$AZ77)+'LINEST VARS'!$D$56*(8*12.73)+'LINEST VARS'!$C$56*($BO$56*$AZ77)+'LINEST VARS'!$B$56*($BO$56*12.73)+'LINEST VARS'!$A$56*($AZ77*12.73)</f>
        <v>2.7664000000000013</v>
      </c>
      <c r="BP77" s="53">
        <f>'LINEST VARS'!$U$56+'LINEST VARS'!$T$56*(8)+'LINEST VARS'!$S$56*(8)+'LINEST VARS'!$R$56*($BP$56)+'LINEST VARS'!$Q$56*($AZ77)+'LINEST VARS'!$P$56*(12.73)+'LINEST VARS'!$O$56*(8^2)+'LINEST VARS'!$N$56*(8^2)+'LINEST VARS'!$M$56*($BP$56^2)+'LINEST VARS'!$L$56*($AZ77^2)+'LINEST VARS'!$K$56*(12.73^2)+'LINEST VARS'!$J$56*(8*8)+'LINEST VARS'!$I$56*(8*$BP$56)+'LINEST VARS'!$H$56*(8*$AZ77)+'LINEST VARS'!$G$56*(8*12.73)+'LINEST VARS'!$F$56*(8*$BP$56)+'LINEST VARS'!$E$56*(8*$AZ77)+'LINEST VARS'!$D$56*(8*12.73)+'LINEST VARS'!$C$56*($BP$56*$AZ77)+'LINEST VARS'!$B$56*($BP$56*12.73)+'LINEST VARS'!$A$56*($AZ77*12.73)</f>
        <v>2.7400000000000011</v>
      </c>
      <c r="BQ77" s="53">
        <f>'LINEST VARS'!$U$56+'LINEST VARS'!$T$56*(8)+'LINEST VARS'!$S$56*(8)+'LINEST VARS'!$R$56*($BQ$56)+'LINEST VARS'!$Q$56*($AZ77)+'LINEST VARS'!$P$56*(12.73)+'LINEST VARS'!$O$56*(8^2)+'LINEST VARS'!$N$56*(8^2)+'LINEST VARS'!$M$56*($BQ$56^2)+'LINEST VARS'!$L$56*($AZ77^2)+'LINEST VARS'!$K$56*(12.73^2)+'LINEST VARS'!$J$56*(8*8)+'LINEST VARS'!$I$56*(8*$BQ$56)+'LINEST VARS'!$H$56*(8*$AZ77)+'LINEST VARS'!$G$56*(8*12.73)+'LINEST VARS'!$F$56*(8*$BQ$56)+'LINEST VARS'!$E$56*(8*$AZ77)+'LINEST VARS'!$D$56*(8*12.73)+'LINEST VARS'!$C$56*($BQ$56*$AZ77)+'LINEST VARS'!$B$56*($BQ$56*12.73)+'LINEST VARS'!$A$56*($AZ77*12.73)</f>
        <v>2.7104000000000008</v>
      </c>
      <c r="BR77" s="53">
        <f>'LINEST VARS'!$U$56+'LINEST VARS'!$T$56*(8)+'LINEST VARS'!$S$56*(8)+'LINEST VARS'!$R$56*($BR$56)+'LINEST VARS'!$Q$56*($AZ77)+'LINEST VARS'!$P$56*(12.73)+'LINEST VARS'!$O$56*(8^2)+'LINEST VARS'!$N$56*(8^2)+'LINEST VARS'!$M$56*($BR$56^2)+'LINEST VARS'!$L$56*($AZ77^2)+'LINEST VARS'!$K$56*(12.73^2)+'LINEST VARS'!$J$56*(8*8)+'LINEST VARS'!$I$56*(8*$BR$56)+'LINEST VARS'!$H$56*(8*$AZ77)+'LINEST VARS'!$G$56*(8*12.73)+'LINEST VARS'!$F$56*(8*$BR$56)+'LINEST VARS'!$E$56*(8*$AZ77)+'LINEST VARS'!$D$56*(8*12.73)+'LINEST VARS'!$C$56*($BR$56*$AZ77)+'LINEST VARS'!$B$56*($BR$56*12.73)+'LINEST VARS'!$A$56*($AZ77*12.73)</f>
        <v>2.6776000000000013</v>
      </c>
      <c r="BS77" s="53">
        <f>'LINEST VARS'!$U$56+'LINEST VARS'!$T$56*(8)+'LINEST VARS'!$S$56*(8)+'LINEST VARS'!$R$56*($BS$56)+'LINEST VARS'!$Q$56*($AZ77)+'LINEST VARS'!$P$56*(12.73)+'LINEST VARS'!$O$56*(8^2)+'LINEST VARS'!$N$56*(8^2)+'LINEST VARS'!$M$56*($BS$56^2)+'LINEST VARS'!$L$56*($AZ77^2)+'LINEST VARS'!$K$56*(12.73^2)+'LINEST VARS'!$J$56*(8*8)+'LINEST VARS'!$I$56*(8*$BS$56)+'LINEST VARS'!$H$56*(8*$AZ77)+'LINEST VARS'!$G$56*(8*12.73)+'LINEST VARS'!$F$56*(8*$BS$56)+'LINEST VARS'!$E$56*(8*$AZ77)+'LINEST VARS'!$D$56*(8*12.73)+'LINEST VARS'!$C$56*($BS$56*$AZ77)+'LINEST VARS'!$B$56*($BS$56*12.73)+'LINEST VARS'!$A$56*($AZ77*12.73)</f>
        <v>2.6416000000000008</v>
      </c>
      <c r="BT77" s="53">
        <f>'LINEST VARS'!$U$56+'LINEST VARS'!$T$56*(8)+'LINEST VARS'!$S$56*(8)+'LINEST VARS'!$R$56*($BT$56)+'LINEST VARS'!$Q$56*($AZ77)+'LINEST VARS'!$P$56*(12.73)+'LINEST VARS'!$O$56*(8^2)+'LINEST VARS'!$N$56*(8^2)+'LINEST VARS'!$M$56*($BT$56^2)+'LINEST VARS'!$L$56*($AZ77^2)+'LINEST VARS'!$K$56*(12.73^2)+'LINEST VARS'!$J$56*(8*8)+'LINEST VARS'!$I$56*(8*$BT$56)+'LINEST VARS'!$H$56*(8*$AZ77)+'LINEST VARS'!$G$56*(8*12.73)+'LINEST VARS'!$F$56*(8*$BT$56)+'LINEST VARS'!$E$56*(8*$AZ77)+'LINEST VARS'!$D$56*(8*12.73)+'LINEST VARS'!$C$56*($BT$56*$AZ77)+'LINEST VARS'!$B$56*($BT$56*12.73)+'LINEST VARS'!$A$56*($AZ77*12.73)</f>
        <v>2.6024000000000012</v>
      </c>
      <c r="BU77" s="54">
        <f>'LINEST VARS'!$U$56+'LINEST VARS'!$T$56*(8)+'LINEST VARS'!$S$56*(8)+'LINEST VARS'!$R$56*($BU$56)+'LINEST VARS'!$Q$56*($AZ77)+'LINEST VARS'!$P$56*(12.73)+'LINEST VARS'!$O$56*(8^2)+'LINEST VARS'!$N$56*(8^2)+'LINEST VARS'!$M$56*($BU$56^2)+'LINEST VARS'!$L$56*($AZ77^2)+'LINEST VARS'!$K$56*(12.73^2)+'LINEST VARS'!$J$56*(8*8)+'LINEST VARS'!$I$56*(8*$BU$56)+'LINEST VARS'!$H$56*(8*$AZ77)+'LINEST VARS'!$G$56*(8*12.73)+'LINEST VARS'!$F$56*(8*$BU$56)+'LINEST VARS'!$E$56*(8*$AZ77)+'LINEST VARS'!$D$56*(8*12.73)+'LINEST VARS'!$C$56*($BU$56*$AZ77)+'LINEST VARS'!$B$56*($BU$56*12.73)+'LINEST VARS'!$A$56*($AZ77*12.73)</f>
        <v>2.5600000000000009</v>
      </c>
      <c r="BX77" s="48">
        <v>1</v>
      </c>
      <c r="BY77" s="53">
        <f>'LINEST VARS'!$U$58+'LINEST VARS'!$T$58*(8)+'LINEST VARS'!$S$58*(8)+'LINEST VARS'!$R$58*($BY$56)+'LINEST VARS'!$Q$58*($BX77)+'LINEST VARS'!$P$58*(12.73)+'LINEST VARS'!$O$58*(8^2)+'LINEST VARS'!$N$58*(8^2)+'LINEST VARS'!$M$58*($BY$56^2)+'LINEST VARS'!$L$58*($BX77^2)+'LINEST VARS'!$K$58*(12.73^2)+'LINEST VARS'!$J$58*(8*8)+'LINEST VARS'!$I$58*(8*$BY$56)+'LINEST VARS'!$H$58*(8*$BX77)+'LINEST VARS'!$G$58*(8*12.73)+'LINEST VARS'!$F$58*(8*$BY$56)+'LINEST VARS'!$E$58*(8*$BX77)+'LINEST VARS'!$D$58*(8*12.73)+'LINEST VARS'!$C$58*($BY$56*$BX77)+'LINEST VARS'!$B$58*($BY$56*12.73)+'LINEST VARS'!$A$58*($BX77*12.73)</f>
        <v>0.86365000000000036</v>
      </c>
      <c r="BZ77" s="53">
        <f>'LINEST VARS'!$U$58+'LINEST VARS'!$T$58*(8)+'LINEST VARS'!$S$58*(8)+'LINEST VARS'!$R$58*($BZ$56)+'LINEST VARS'!$Q$58*($BX77)+'LINEST VARS'!$P$58*(12.73)+'LINEST VARS'!$O$58*(8^2)+'LINEST VARS'!$N$58*(8^2)+'LINEST VARS'!$M$58*($BZ$56^2)+'LINEST VARS'!$L$58*($BX77^2)+'LINEST VARS'!$K$58*(12.73^2)+'LINEST VARS'!$J$58*(8*8)+'LINEST VARS'!$I$58*(8*$BZ$56)+'LINEST VARS'!$H$58*(8*$BX77)+'LINEST VARS'!$G$58*(8*12.73)+'LINEST VARS'!$F$58*(8*$BZ$56)+'LINEST VARS'!$E$58*(8*$BX77)+'LINEST VARS'!$D$58*(8*12.73)+'LINEST VARS'!$C$58*($BZ$56*$BX77)+'LINEST VARS'!$B$58*($BZ$56*12.73)+'LINEST VARS'!$A$58*($BX77*12.73)</f>
        <v>0.87165000000000037</v>
      </c>
      <c r="CA77" s="53">
        <f>'LINEST VARS'!$U$58+'LINEST VARS'!$T$58*(8)+'LINEST VARS'!$S$58*(8)+'LINEST VARS'!$R$58*($CA$56)+'LINEST VARS'!$Q$58*($BX77)+'LINEST VARS'!$P$58*(12.73)+'LINEST VARS'!$O$58*(8^2)+'LINEST VARS'!$N$58*(8^2)+'LINEST VARS'!$M$58*($CA$56^2)+'LINEST VARS'!$L$58*($BX77^2)+'LINEST VARS'!$K$58*(12.73^2)+'LINEST VARS'!$J$58*(8*8)+'LINEST VARS'!$I$58*(8*$CA$56)+'LINEST VARS'!$H$58*(8*$BX77)+'LINEST VARS'!$G$58*(8*12.73)+'LINEST VARS'!$F$58*(8*$CA$56)+'LINEST VARS'!$E$58*(8*$BX77)+'LINEST VARS'!$D$58*(8*12.73)+'LINEST VARS'!$C$58*($CA$56*$BX77)+'LINEST VARS'!$B$58*($CA$56*12.73)+'LINEST VARS'!$A$58*($BX77*12.73)</f>
        <v>0.87965000000000027</v>
      </c>
      <c r="CB77" s="53">
        <f>'LINEST VARS'!$U$58+'LINEST VARS'!$T$58*(8)+'LINEST VARS'!$S$58*(8)+'LINEST VARS'!$R$58*($CB$56)+'LINEST VARS'!$Q$58*($BX77)+'LINEST VARS'!$P$58*(12.73)+'LINEST VARS'!$O$58*(8^2)+'LINEST VARS'!$N$58*(8^2)+'LINEST VARS'!$M$58*($CB$56^2)+'LINEST VARS'!$L$58*($BX77^2)+'LINEST VARS'!$K$58*(12.73^2)+'LINEST VARS'!$J$58*(8*8)+'LINEST VARS'!$I$58*(8*$CB$56)+'LINEST VARS'!$H$58*(8*$BX77)+'LINEST VARS'!$G$58*(8*12.73)+'LINEST VARS'!$F$58*(8*$CB$56)+'LINEST VARS'!$E$58*(8*$BX77)+'LINEST VARS'!$D$58*(8*12.73)+'LINEST VARS'!$C$58*($CB$56*$BX77)+'LINEST VARS'!$B$58*($CB$56*12.73)+'LINEST VARS'!$A$58*($BX77*12.73)</f>
        <v>0.88765000000000027</v>
      </c>
      <c r="CC77" s="53">
        <f>'LINEST VARS'!$U$58+'LINEST VARS'!$T$58*(8)+'LINEST VARS'!$S$58*(8)+'LINEST VARS'!$R$58*($CC$56)+'LINEST VARS'!$Q$58*($BX77)+'LINEST VARS'!$P$58*(12.73)+'LINEST VARS'!$O$58*(8^2)+'LINEST VARS'!$N$58*(8^2)+'LINEST VARS'!$M$58*($CC$56^2)+'LINEST VARS'!$L$58*($BX77^2)+'LINEST VARS'!$K$58*(12.73^2)+'LINEST VARS'!$J$58*(8*8)+'LINEST VARS'!$I$58*(8*$CC$56)+'LINEST VARS'!$H$58*(8*$BX77)+'LINEST VARS'!$G$58*(8*12.73)+'LINEST VARS'!$F$58*(8*$CC$56)+'LINEST VARS'!$E$58*(8*$BX77)+'LINEST VARS'!$D$58*(8*12.73)+'LINEST VARS'!$C$58*($CC$56*$BX77)+'LINEST VARS'!$B$58*($CC$56*12.73)+'LINEST VARS'!$A$58*($BX77*12.73)</f>
        <v>0.89565000000000017</v>
      </c>
      <c r="CD77" s="53">
        <f>'LINEST VARS'!$U$58+'LINEST VARS'!$T$58*(8)+'LINEST VARS'!$S$58*(8)+'LINEST VARS'!$R$58*($CD$56)+'LINEST VARS'!$Q$58*($BX77)+'LINEST VARS'!$P$58*(12.73)+'LINEST VARS'!$O$58*(8^2)+'LINEST VARS'!$N$58*(8^2)+'LINEST VARS'!$M$58*($CD$56^2)+'LINEST VARS'!$L$58*($BX77^2)+'LINEST VARS'!$K$58*(12.73^2)+'LINEST VARS'!$J$58*(8*8)+'LINEST VARS'!$I$58*(8*$CD$56)+'LINEST VARS'!$H$58*(8*$BX77)+'LINEST VARS'!$G$58*(8*12.73)+'LINEST VARS'!$F$58*(8*$CD$56)+'LINEST VARS'!$E$58*(8*$BX77)+'LINEST VARS'!$D$58*(8*12.73)+'LINEST VARS'!$C$58*($CD$56*$BX77)+'LINEST VARS'!$B$58*($CD$56*12.73)+'LINEST VARS'!$A$58*($BX77*12.73)</f>
        <v>0.90365000000000029</v>
      </c>
      <c r="CE77" s="53">
        <f>'LINEST VARS'!$U$58+'LINEST VARS'!$T$58*(8)+'LINEST VARS'!$S$58*(8)+'LINEST VARS'!$R$58*($CE$56)+'LINEST VARS'!$Q$58*($BX77)+'LINEST VARS'!$P$58*(12.73)+'LINEST VARS'!$O$58*(8^2)+'LINEST VARS'!$N$58*(8^2)+'LINEST VARS'!$M$58*($CE$56^2)+'LINEST VARS'!$L$58*($BX77^2)+'LINEST VARS'!$K$58*(12.73^2)+'LINEST VARS'!$J$58*(8*8)+'LINEST VARS'!$I$58*(8*$CE$56)+'LINEST VARS'!$H$58*(8*$BX77)+'LINEST VARS'!$G$58*(8*12.73)+'LINEST VARS'!$F$58*(8*$CE$56)+'LINEST VARS'!$E$58*(8*$BX77)+'LINEST VARS'!$D$58*(8*12.73)+'LINEST VARS'!$C$58*($CE$56*$BX77)+'LINEST VARS'!$B$58*($CE$56*12.73)+'LINEST VARS'!$A$58*($BX77*12.73)</f>
        <v>0.91165000000000029</v>
      </c>
      <c r="CF77" s="53">
        <f>'LINEST VARS'!$U$58+'LINEST VARS'!$T$58*(8)+'LINEST VARS'!$S$58*(8)+'LINEST VARS'!$R$58*($CF$56)+'LINEST VARS'!$Q$58*($BX77)+'LINEST VARS'!$P$58*(12.73)+'LINEST VARS'!$O$58*(8^2)+'LINEST VARS'!$N$58*(8^2)+'LINEST VARS'!$M$58*($CF$56^2)+'LINEST VARS'!$L$58*($BX77^2)+'LINEST VARS'!$K$58*(12.73^2)+'LINEST VARS'!$J$58*(8*8)+'LINEST VARS'!$I$58*(8*$CF$56)+'LINEST VARS'!$H$58*(8*$BX77)+'LINEST VARS'!$G$58*(8*12.73)+'LINEST VARS'!$F$58*(8*$CF$56)+'LINEST VARS'!$E$58*(8*$BX77)+'LINEST VARS'!$D$58*(8*12.73)+'LINEST VARS'!$C$58*($CF$56*$BX77)+'LINEST VARS'!$B$58*($CF$56*12.73)+'LINEST VARS'!$A$58*($BX77*12.73)</f>
        <v>0.9196500000000003</v>
      </c>
      <c r="CG77" s="53">
        <f>'LINEST VARS'!$U$58+'LINEST VARS'!$T$58*(8)+'LINEST VARS'!$S$58*(8)+'LINEST VARS'!$R$58*($CG$56)+'LINEST VARS'!$Q$58*($BX77)+'LINEST VARS'!$P$58*(12.73)+'LINEST VARS'!$O$58*(8^2)+'LINEST VARS'!$N$58*(8^2)+'LINEST VARS'!$M$58*($CG$56^2)+'LINEST VARS'!$L$58*($BX77^2)+'LINEST VARS'!$K$58*(12.73^2)+'LINEST VARS'!$J$58*(8*8)+'LINEST VARS'!$I$58*(8*$CG$56)+'LINEST VARS'!$H$58*(8*$BX77)+'LINEST VARS'!$G$58*(8*12.73)+'LINEST VARS'!$F$58*(8*$CG$56)+'LINEST VARS'!$E$58*(8*$BX77)+'LINEST VARS'!$D$58*(8*12.73)+'LINEST VARS'!$C$58*($CG$56*$BX77)+'LINEST VARS'!$B$58*($CG$56*12.73)+'LINEST VARS'!$A$58*($BX77*12.73)</f>
        <v>0.92765000000000042</v>
      </c>
      <c r="CH77" s="53">
        <f>'LINEST VARS'!$U$58+'LINEST VARS'!$T$58*(8)+'LINEST VARS'!$S$58*(8)+'LINEST VARS'!$R$58*($CH$56)+'LINEST VARS'!$Q$58*($BX77)+'LINEST VARS'!$P$58*(12.73)+'LINEST VARS'!$O$58*(8^2)+'LINEST VARS'!$N$58*(8^2)+'LINEST VARS'!$M$58*($CH$56^2)+'LINEST VARS'!$L$58*($BX77^2)+'LINEST VARS'!$K$58*(12.73^2)+'LINEST VARS'!$J$58*(8*8)+'LINEST VARS'!$I$58*(8*$CH$56)+'LINEST VARS'!$H$58*(8*$BX77)+'LINEST VARS'!$G$58*(8*12.73)+'LINEST VARS'!$F$58*(8*$CH$56)+'LINEST VARS'!$E$58*(8*$BX77)+'LINEST VARS'!$D$58*(8*12.73)+'LINEST VARS'!$C$58*($CH$56*$BX77)+'LINEST VARS'!$B$58*($CH$56*12.73)+'LINEST VARS'!$A$58*($BX77*12.73)</f>
        <v>0.93565000000000031</v>
      </c>
      <c r="CI77" s="53">
        <f>'LINEST VARS'!$U$58+'LINEST VARS'!$T$58*(8)+'LINEST VARS'!$S$58*(8)+'LINEST VARS'!$R$58*($CI$56)+'LINEST VARS'!$Q$58*($BX77)+'LINEST VARS'!$P$58*(12.73)+'LINEST VARS'!$O$58*(8^2)+'LINEST VARS'!$N$58*(8^2)+'LINEST VARS'!$M$58*($CI$56^2)+'LINEST VARS'!$L$58*($BX77^2)+'LINEST VARS'!$K$58*(12.73^2)+'LINEST VARS'!$J$58*(8*8)+'LINEST VARS'!$I$58*(8*$CI$56)+'LINEST VARS'!$H$58*(8*$BX77)+'LINEST VARS'!$G$58*(8*12.73)+'LINEST VARS'!$F$58*(8*$CI$56)+'LINEST VARS'!$E$58*(8*$BX77)+'LINEST VARS'!$D$58*(8*12.73)+'LINEST VARS'!$C$58*($CI$56*$BX77)+'LINEST VARS'!$B$58*($CI$56*12.73)+'LINEST VARS'!$A$58*($BX77*12.73)</f>
        <v>0.94365000000000032</v>
      </c>
      <c r="CJ77" s="53">
        <f>'LINEST VARS'!$U$58+'LINEST VARS'!$T$58*(8)+'LINEST VARS'!$S$58*(8)+'LINEST VARS'!$R$58*($CJ$56)+'LINEST VARS'!$Q$58*($BX77)+'LINEST VARS'!$P$58*(12.73)+'LINEST VARS'!$O$58*(8^2)+'LINEST VARS'!$N$58*(8^2)+'LINEST VARS'!$M$58*($CJ$56^2)+'LINEST VARS'!$L$58*($BX77^2)+'LINEST VARS'!$K$58*(12.73^2)+'LINEST VARS'!$J$58*(8*8)+'LINEST VARS'!$I$58*(8*$CJ$56)+'LINEST VARS'!$H$58*(8*$BX77)+'LINEST VARS'!$G$58*(8*12.73)+'LINEST VARS'!$F$58*(8*$CJ$56)+'LINEST VARS'!$E$58*(8*$BX77)+'LINEST VARS'!$D$58*(8*12.73)+'LINEST VARS'!$C$58*($CJ$56*$BX77)+'LINEST VARS'!$B$58*($CJ$56*12.73)+'LINEST VARS'!$A$58*($BX77*12.73)</f>
        <v>0.95165000000000022</v>
      </c>
      <c r="CK77" s="53">
        <f>'LINEST VARS'!$U$58+'LINEST VARS'!$T$58*(8)+'LINEST VARS'!$S$58*(8)+'LINEST VARS'!$R$58*($CK$56)+'LINEST VARS'!$Q$58*($BX77)+'LINEST VARS'!$P$58*(12.73)+'LINEST VARS'!$O$58*(8^2)+'LINEST VARS'!$N$58*(8^2)+'LINEST VARS'!$M$58*($CK$56^2)+'LINEST VARS'!$L$58*($BX77^2)+'LINEST VARS'!$K$58*(12.73^2)+'LINEST VARS'!$J$58*(8*8)+'LINEST VARS'!$I$58*(8*$CK$56)+'LINEST VARS'!$H$58*(8*$BX77)+'LINEST VARS'!$G$58*(8*12.73)+'LINEST VARS'!$F$58*(8*$CK$56)+'LINEST VARS'!$E$58*(8*$BX77)+'LINEST VARS'!$D$58*(8*12.73)+'LINEST VARS'!$C$58*($CK$56*$BX77)+'LINEST VARS'!$B$58*($CK$56*12.73)+'LINEST VARS'!$A$58*($BX77*12.73)</f>
        <v>0.95965000000000023</v>
      </c>
      <c r="CL77" s="53">
        <f>'LINEST VARS'!$U$58+'LINEST VARS'!$T$58*(8)+'LINEST VARS'!$S$58*(8)+'LINEST VARS'!$R$58*($CL$56)+'LINEST VARS'!$Q$58*($BX77)+'LINEST VARS'!$P$58*(12.73)+'LINEST VARS'!$O$58*(8^2)+'LINEST VARS'!$N$58*(8^2)+'LINEST VARS'!$M$58*($CL$56^2)+'LINEST VARS'!$L$58*($BX77^2)+'LINEST VARS'!$K$58*(12.73^2)+'LINEST VARS'!$J$58*(8*8)+'LINEST VARS'!$I$58*(8*$CL$56)+'LINEST VARS'!$H$58*(8*$BX77)+'LINEST VARS'!$G$58*(8*12.73)+'LINEST VARS'!$F$58*(8*$CL$56)+'LINEST VARS'!$E$58*(8*$BX77)+'LINEST VARS'!$D$58*(8*12.73)+'LINEST VARS'!$C$58*($CL$56*$BX77)+'LINEST VARS'!$B$58*($CL$56*12.73)+'LINEST VARS'!$A$58*($BX77*12.73)</f>
        <v>0.96765000000000012</v>
      </c>
      <c r="CM77" s="53">
        <f>'LINEST VARS'!$U$58+'LINEST VARS'!$T$58*(8)+'LINEST VARS'!$S$58*(8)+'LINEST VARS'!$R$58*($CM$56)+'LINEST VARS'!$Q$58*($BX77)+'LINEST VARS'!$P$58*(12.73)+'LINEST VARS'!$O$58*(8^2)+'LINEST VARS'!$N$58*(8^2)+'LINEST VARS'!$M$58*($CM$56^2)+'LINEST VARS'!$L$58*($BX77^2)+'LINEST VARS'!$K$58*(12.73^2)+'LINEST VARS'!$J$58*(8*8)+'LINEST VARS'!$I$58*(8*$CM$56)+'LINEST VARS'!$H$58*(8*$BX77)+'LINEST VARS'!$G$58*(8*12.73)+'LINEST VARS'!$F$58*(8*$CM$56)+'LINEST VARS'!$E$58*(8*$BX77)+'LINEST VARS'!$D$58*(8*12.73)+'LINEST VARS'!$C$58*($CM$56*$BX77)+'LINEST VARS'!$B$58*($CM$56*12.73)+'LINEST VARS'!$A$58*($BX77*12.73)</f>
        <v>0.97565000000000024</v>
      </c>
      <c r="CN77" s="53">
        <f>'LINEST VARS'!$U$58+'LINEST VARS'!$T$58*(8)+'LINEST VARS'!$S$58*(8)+'LINEST VARS'!$R$58*($CN$56)+'LINEST VARS'!$Q$58*($BX77)+'LINEST VARS'!$P$58*(12.73)+'LINEST VARS'!$O$58*(8^2)+'LINEST VARS'!$N$58*(8^2)+'LINEST VARS'!$M$58*($CN$56^2)+'LINEST VARS'!$L$58*($BX77^2)+'LINEST VARS'!$K$58*(12.73^2)+'LINEST VARS'!$J$58*(8*8)+'LINEST VARS'!$I$58*(8*$CN$56)+'LINEST VARS'!$H$58*(8*$BX77)+'LINEST VARS'!$G$58*(8*12.73)+'LINEST VARS'!$F$58*(8*$CN$56)+'LINEST VARS'!$E$58*(8*$BX77)+'LINEST VARS'!$D$58*(8*12.73)+'LINEST VARS'!$C$58*($CN$56*$BX77)+'LINEST VARS'!$B$58*($CN$56*12.73)+'LINEST VARS'!$A$58*($BX77*12.73)</f>
        <v>0.98365000000000025</v>
      </c>
      <c r="CO77" s="53">
        <f>'LINEST VARS'!$U$58+'LINEST VARS'!$T$58*(8)+'LINEST VARS'!$S$58*(8)+'LINEST VARS'!$R$58*($CO$56)+'LINEST VARS'!$Q$58*($BX77)+'LINEST VARS'!$P$58*(12.73)+'LINEST VARS'!$O$58*(8^2)+'LINEST VARS'!$N$58*(8^2)+'LINEST VARS'!$M$58*($CO$56^2)+'LINEST VARS'!$L$58*($BX77^2)+'LINEST VARS'!$K$58*(12.73^2)+'LINEST VARS'!$J$58*(8*8)+'LINEST VARS'!$I$58*(8*$CO$56)+'LINEST VARS'!$H$58*(8*$BX77)+'LINEST VARS'!$G$58*(8*12.73)+'LINEST VARS'!$F$58*(8*$CO$56)+'LINEST VARS'!$E$58*(8*$BX77)+'LINEST VARS'!$D$58*(8*12.73)+'LINEST VARS'!$C$58*($CO$56*$BX77)+'LINEST VARS'!$B$58*($CO$56*12.73)+'LINEST VARS'!$A$58*($BX77*12.73)</f>
        <v>0.99165000000000036</v>
      </c>
      <c r="CP77" s="53">
        <f>'LINEST VARS'!$U$58+'LINEST VARS'!$T$58*(8)+'LINEST VARS'!$S$58*(8)+'LINEST VARS'!$R$58*($CP$56)+'LINEST VARS'!$Q$58*($BX77)+'LINEST VARS'!$P$58*(12.73)+'LINEST VARS'!$O$58*(8^2)+'LINEST VARS'!$N$58*(8^2)+'LINEST VARS'!$M$58*($CP$56^2)+'LINEST VARS'!$L$58*($BX77^2)+'LINEST VARS'!$K$58*(12.73^2)+'LINEST VARS'!$J$58*(8*8)+'LINEST VARS'!$I$58*(8*$CP$56)+'LINEST VARS'!$H$58*(8*$BX77)+'LINEST VARS'!$G$58*(8*12.73)+'LINEST VARS'!$F$58*(8*$CP$56)+'LINEST VARS'!$E$58*(8*$BX77)+'LINEST VARS'!$D$58*(8*12.73)+'LINEST VARS'!$C$58*($CP$56*$BX77)+'LINEST VARS'!$B$58*($CP$56*12.73)+'LINEST VARS'!$A$58*($BX77*12.73)</f>
        <v>0.99965000000000037</v>
      </c>
      <c r="CQ77" s="53">
        <f>'LINEST VARS'!$U$58+'LINEST VARS'!$T$58*(8)+'LINEST VARS'!$S$58*(8)+'LINEST VARS'!$R$58*($CQ$56)+'LINEST VARS'!$Q$58*($BX77)+'LINEST VARS'!$P$58*(12.73)+'LINEST VARS'!$O$58*(8^2)+'LINEST VARS'!$N$58*(8^2)+'LINEST VARS'!$M$58*($CQ$56^2)+'LINEST VARS'!$L$58*($BX77^2)+'LINEST VARS'!$K$58*(12.73^2)+'LINEST VARS'!$J$58*(8*8)+'LINEST VARS'!$I$58*(8*$CQ$56)+'LINEST VARS'!$H$58*(8*$BX77)+'LINEST VARS'!$G$58*(8*12.73)+'LINEST VARS'!$F$58*(8*$CQ$56)+'LINEST VARS'!$E$58*(8*$BX77)+'LINEST VARS'!$D$58*(8*12.73)+'LINEST VARS'!$C$58*($CQ$56*$BX77)+'LINEST VARS'!$B$58*($CQ$56*12.73)+'LINEST VARS'!$A$58*($BX77*12.73)</f>
        <v>1.0076500000000002</v>
      </c>
      <c r="CR77" s="53">
        <f>'LINEST VARS'!$U$58+'LINEST VARS'!$T$58*(8)+'LINEST VARS'!$S$58*(8)+'LINEST VARS'!$R$58*($CR$56)+'LINEST VARS'!$Q$58*($BX77)+'LINEST VARS'!$P$58*(12.73)+'LINEST VARS'!$O$58*(8^2)+'LINEST VARS'!$N$58*(8^2)+'LINEST VARS'!$M$58*($CR$56^2)+'LINEST VARS'!$L$58*($BX77^2)+'LINEST VARS'!$K$58*(12.73^2)+'LINEST VARS'!$J$58*(8*8)+'LINEST VARS'!$I$58*(8*$CR$56)+'LINEST VARS'!$H$58*(8*$BX77)+'LINEST VARS'!$G$58*(8*12.73)+'LINEST VARS'!$F$58*(8*$CR$56)+'LINEST VARS'!$E$58*(8*$BX77)+'LINEST VARS'!$D$58*(8*12.73)+'LINEST VARS'!$C$58*($CR$56*$BX77)+'LINEST VARS'!$B$58*($CR$56*12.73)+'LINEST VARS'!$A$58*($BX77*12.73)</f>
        <v>1.0156499999999999</v>
      </c>
      <c r="CS77" s="54">
        <f>'LINEST VARS'!$U$58+'LINEST VARS'!$T$58*(8)+'LINEST VARS'!$S$58*(8)+'LINEST VARS'!$R$58*($CS$56)+'LINEST VARS'!$Q$58*($BX77)+'LINEST VARS'!$P$58*(12.73)+'LINEST VARS'!$O$58*(8^2)+'LINEST VARS'!$N$58*(8^2)+'LINEST VARS'!$M$58*($CS$56^2)+'LINEST VARS'!$L$58*($BX77^2)+'LINEST VARS'!$K$58*(12.73^2)+'LINEST VARS'!$J$58*(8*8)+'LINEST VARS'!$I$58*(8*$CS$56)+'LINEST VARS'!$H$58*(8*$BX77)+'LINEST VARS'!$G$58*(8*12.73)+'LINEST VARS'!$F$58*(8*$CS$56)+'LINEST VARS'!$E$58*(8*$BX77)+'LINEST VARS'!$D$58*(8*12.73)+'LINEST VARS'!$C$58*($CS$56*$BX77)+'LINEST VARS'!$B$58*($CS$56*12.73)+'LINEST VARS'!$A$58*($BX77*12.73)</f>
        <v>1.0236500000000002</v>
      </c>
      <c r="CX77" s="48">
        <v>25.99</v>
      </c>
      <c r="CY77" s="53">
        <f>'LINEST VARS'!$U$56+'LINEST VARS'!$T$56*(8)+'LINEST VARS'!$S$56*(8)+'LINEST VARS'!$R$56*($CY$56)+'LINEST VARS'!$Q$56*(0.5)+'LINEST VARS'!$P$56*($CX77)+'LINEST VARS'!$O$56*(8^2)+'LINEST VARS'!$N$56*(8^2)+'LINEST VARS'!$M$56*($CY$56^2)+'LINEST VARS'!$L$56*(0.5^2)+'LINEST VARS'!$K$56*($CX77^2)+'LINEST VARS'!$J$56*(8*8)+'LINEST VARS'!$I$56*(8*$CY$56)+'LINEST VARS'!$H$56*(8*0.5)+'LINEST VARS'!$G$56*(8*$CX77)+'LINEST VARS'!$F$56*(8*$CY$56)+'LINEST VARS'!$E$56*(8*0.5)+'LINEST VARS'!$D$56*(8*$CX77)+'LINEST VARS'!$C$56*($CY$56*0.5)+'LINEST VARS'!$B$56*($CY$56*$CX77)+'LINEST VARS'!$A$56*(0.5*$CX77)</f>
        <v>2.8000000000000012</v>
      </c>
      <c r="CZ77" s="53">
        <f>'LINEST VARS'!$U$56+'LINEST VARS'!$T$56*(8)+'LINEST VARS'!$S$56*(8)+'LINEST VARS'!$R$56*($CZ$56)+'LINEST VARS'!$Q$56*(0.5)+'LINEST VARS'!$P$56*($CX77)+'LINEST VARS'!$O$56*(8^2)+'LINEST VARS'!$N$56*(8^2)+'LINEST VARS'!$M$56*($CZ$56^2)+'LINEST VARS'!$L$56*(0.5^2)+'LINEST VARS'!$K$56*($CX77^2)+'LINEST VARS'!$J$56*(8*8)+'LINEST VARS'!$I$56*(8*$CZ$56)+'LINEST VARS'!$H$56*(8*0.5)+'LINEST VARS'!$G$56*(8*$CX77)+'LINEST VARS'!$F$56*(8*$CZ$56)+'LINEST VARS'!$E$56*(8*0.5)+'LINEST VARS'!$D$56*(8*$CX77)+'LINEST VARS'!$C$56*($CZ$56*0.5)+'LINEST VARS'!$B$56*($CZ$56*$CX77)+'LINEST VARS'!$A$56*(0.5*$CX77)</f>
        <v>2.8184000000000013</v>
      </c>
      <c r="DA77" s="53">
        <f>'LINEST VARS'!$U$56+'LINEST VARS'!$T$56*(8)+'LINEST VARS'!$S$56*(8)+'LINEST VARS'!$R$56*($DA$56)+'LINEST VARS'!$Q$56*(0.5)+'LINEST VARS'!$P$56*($CX77)+'LINEST VARS'!$O$56*(8^2)+'LINEST VARS'!$N$56*(8^2)+'LINEST VARS'!$M$56*($DA$56^2)+'LINEST VARS'!$L$56*(0.5^2)+'LINEST VARS'!$K$56*($CX77^2)+'LINEST VARS'!$J$56*(8*8)+'LINEST VARS'!$I$56*(8*$DA$56)+'LINEST VARS'!$H$56*(8*0.5)+'LINEST VARS'!$G$56*(8*$CX77)+'LINEST VARS'!$F$56*(8*$DA$56)+'LINEST VARS'!$E$56*(8*0.5)+'LINEST VARS'!$D$56*(8*$CX77)+'LINEST VARS'!$C$56*($DA$56*0.5)+'LINEST VARS'!$B$56*($DA$56*$CX77)+'LINEST VARS'!$A$56*(0.5*$CX77)</f>
        <v>2.833600000000001</v>
      </c>
      <c r="DB77" s="53">
        <f>'LINEST VARS'!$U$56+'LINEST VARS'!$T$56*(8)+'LINEST VARS'!$S$56*(8)+'LINEST VARS'!$R$56*($DB$56)+'LINEST VARS'!$Q$56*(0.5)+'LINEST VARS'!$P$56*($CX77)+'LINEST VARS'!$O$56*(8^2)+'LINEST VARS'!$N$56*(8^2)+'LINEST VARS'!$M$56*($DB$56^2)+'LINEST VARS'!$L$56*(0.5^2)+'LINEST VARS'!$K$56*($CX77^2)+'LINEST VARS'!$J$56*(8*8)+'LINEST VARS'!$I$56*(8*$DB$56)+'LINEST VARS'!$H$56*(8*0.5)+'LINEST VARS'!$G$56*(8*$CX77)+'LINEST VARS'!$F$56*(8*$DB$56)+'LINEST VARS'!$E$56*(8*0.5)+'LINEST VARS'!$D$56*(8*$CX77)+'LINEST VARS'!$C$56*($DB$56*0.5)+'LINEST VARS'!$B$56*($DB$56*$CX77)+'LINEST VARS'!$A$56*(0.5*$CX77)</f>
        <v>2.845600000000001</v>
      </c>
      <c r="DC77" s="53">
        <f>'LINEST VARS'!$U$56+'LINEST VARS'!$T$56*(8)+'LINEST VARS'!$S$56*(8)+'LINEST VARS'!$R$56*($DC$56)+'LINEST VARS'!$Q$56*(0.5)+'LINEST VARS'!$P$56*($CX77)+'LINEST VARS'!$O$56*(8^2)+'LINEST VARS'!$N$56*(8^2)+'LINEST VARS'!$M$56*($DC$56^2)+'LINEST VARS'!$L$56*(0.5^2)+'LINEST VARS'!$K$56*($CX77^2)+'LINEST VARS'!$J$56*(8*8)+'LINEST VARS'!$I$56*(8*$DC$56)+'LINEST VARS'!$H$56*(8*0.5)+'LINEST VARS'!$G$56*(8*$CX77)+'LINEST VARS'!$F$56*(8*$DC$56)+'LINEST VARS'!$E$56*(8*0.5)+'LINEST VARS'!$D$56*(8*$CX77)+'LINEST VARS'!$C$56*($DC$56*0.5)+'LINEST VARS'!$B$56*($DC$56*$CX77)+'LINEST VARS'!$A$56*(0.5*$CX77)</f>
        <v>2.8544000000000014</v>
      </c>
      <c r="DD77" s="53">
        <f>'LINEST VARS'!$U$56+'LINEST VARS'!$T$56*(8)+'LINEST VARS'!$S$56*(8)+'LINEST VARS'!$R$56*($DD$56)+'LINEST VARS'!$Q$56*(0.5)+'LINEST VARS'!$P$56*($CX77)+'LINEST VARS'!$O$56*(8^2)+'LINEST VARS'!$N$56*(8^2)+'LINEST VARS'!$M$56*($DD$56^2)+'LINEST VARS'!$L$56*(0.5^2)+'LINEST VARS'!$K$56*($CX77^2)+'LINEST VARS'!$J$56*(8*8)+'LINEST VARS'!$I$56*(8*$DD$56)+'LINEST VARS'!$H$56*(8*0.5)+'LINEST VARS'!$G$56*(8*$CX77)+'LINEST VARS'!$F$56*(8*$DD$56)+'LINEST VARS'!$E$56*(8*0.5)+'LINEST VARS'!$D$56*(8*$CX77)+'LINEST VARS'!$C$56*($DD$56*0.5)+'LINEST VARS'!$B$56*($DD$56*$CX77)+'LINEST VARS'!$A$56*(0.5*$CX77)</f>
        <v>2.8600000000000012</v>
      </c>
      <c r="DE77" s="53">
        <f>'LINEST VARS'!$U$56+'LINEST VARS'!$T$56*(8)+'LINEST VARS'!$S$56*(8)+'LINEST VARS'!$R$56*($DE$56)+'LINEST VARS'!$Q$56*(0.5)+'LINEST VARS'!$P$56*($CX77)+'LINEST VARS'!$O$56*(8^2)+'LINEST VARS'!$N$56*(8^2)+'LINEST VARS'!$M$56*($DE$56^2)+'LINEST VARS'!$L$56*(0.5^2)+'LINEST VARS'!$K$56*($CX77^2)+'LINEST VARS'!$J$56*(8*8)+'LINEST VARS'!$I$56*(8*$DE$56)+'LINEST VARS'!$H$56*(8*0.5)+'LINEST VARS'!$G$56*(8*$CX77)+'LINEST VARS'!$F$56*(8*$DE$56)+'LINEST VARS'!$E$56*(8*0.5)+'LINEST VARS'!$D$56*(8*$CX77)+'LINEST VARS'!$C$56*($DE$56*0.5)+'LINEST VARS'!$B$56*($DE$56*$CX77)+'LINEST VARS'!$A$56*(0.5*$CX77)</f>
        <v>2.8624000000000014</v>
      </c>
      <c r="DF77" s="53">
        <f>'LINEST VARS'!$U$56+'LINEST VARS'!$T$56*(8)+'LINEST VARS'!$S$56*(8)+'LINEST VARS'!$R$56*($DF$56)+'LINEST VARS'!$Q$56*(0.5)+'LINEST VARS'!$P$56*($CX77)+'LINEST VARS'!$O$56*(8^2)+'LINEST VARS'!$N$56*(8^2)+'LINEST VARS'!$M$56*($DF$56^2)+'LINEST VARS'!$L$56*(0.5^2)+'LINEST VARS'!$K$56*($CX77^2)+'LINEST VARS'!$J$56*(8*8)+'LINEST VARS'!$I$56*(8*$DF$56)+'LINEST VARS'!$H$56*(8*0.5)+'LINEST VARS'!$G$56*(8*$CX77)+'LINEST VARS'!$F$56*(8*$DF$56)+'LINEST VARS'!$E$56*(8*0.5)+'LINEST VARS'!$D$56*(8*$CX77)+'LINEST VARS'!$C$56*($DF$56*0.5)+'LINEST VARS'!$B$56*($DF$56*$CX77)+'LINEST VARS'!$A$56*(0.5*$CX77)</f>
        <v>2.861600000000001</v>
      </c>
      <c r="DG77" s="53">
        <f>'LINEST VARS'!$U$56+'LINEST VARS'!$T$56*(8)+'LINEST VARS'!$S$56*(8)+'LINEST VARS'!$R$56*($DG$56)+'LINEST VARS'!$Q$56*(0.5)+'LINEST VARS'!$P$56*($CX77)+'LINEST VARS'!$O$56*(8^2)+'LINEST VARS'!$N$56*(8^2)+'LINEST VARS'!$M$56*($DG$56^2)+'LINEST VARS'!$L$56*(0.5^2)+'LINEST VARS'!$K$56*($CX77^2)+'LINEST VARS'!$J$56*(8*8)+'LINEST VARS'!$I$56*(8*$DG$56)+'LINEST VARS'!$H$56*(8*0.5)+'LINEST VARS'!$G$56*(8*$CX77)+'LINEST VARS'!$F$56*(8*$DG$56)+'LINEST VARS'!$E$56*(8*0.5)+'LINEST VARS'!$D$56*(8*$CX77)+'LINEST VARS'!$C$56*($DG$56*0.5)+'LINEST VARS'!$B$56*($DG$56*$CX77)+'LINEST VARS'!$A$56*(0.5*$CX77)</f>
        <v>2.857600000000001</v>
      </c>
      <c r="DH77" s="53">
        <f>'LINEST VARS'!$U$56+'LINEST VARS'!$T$56*(8)+'LINEST VARS'!$S$56*(8)+'LINEST VARS'!$R$56*($DH$56)+'LINEST VARS'!$Q$56*(0.5)+'LINEST VARS'!$P$56*($CX77)+'LINEST VARS'!$O$56*(8^2)+'LINEST VARS'!$N$56*(8^2)+'LINEST VARS'!$M$56*($DH$56^2)+'LINEST VARS'!$L$56*(0.5^2)+'LINEST VARS'!$K$56*($CX77^2)+'LINEST VARS'!$J$56*(8*8)+'LINEST VARS'!$I$56*(8*$DH$56)+'LINEST VARS'!$H$56*(8*0.5)+'LINEST VARS'!$G$56*(8*$CX77)+'LINEST VARS'!$F$56*(8*$DH$56)+'LINEST VARS'!$E$56*(8*0.5)+'LINEST VARS'!$D$56*(8*$CX77)+'LINEST VARS'!$C$56*($DH$56*0.5)+'LINEST VARS'!$B$56*($DH$56*$CX77)+'LINEST VARS'!$A$56*(0.5*$CX77)</f>
        <v>2.8504000000000014</v>
      </c>
      <c r="DI77" s="53">
        <f>'LINEST VARS'!$U$56+'LINEST VARS'!$T$56*(8)+'LINEST VARS'!$S$56*(8)+'LINEST VARS'!$R$56*($DI$56)+'LINEST VARS'!$Q$56*(0.5)+'LINEST VARS'!$P$56*($CX77)+'LINEST VARS'!$O$56*(8^2)+'LINEST VARS'!$N$56*(8^2)+'LINEST VARS'!$M$56*($DI$56^2)+'LINEST VARS'!$L$56*(0.5^2)+'LINEST VARS'!$K$56*($CX77^2)+'LINEST VARS'!$J$56*(8*8)+'LINEST VARS'!$I$56*(8*$DI$56)+'LINEST VARS'!$H$56*(8*0.5)+'LINEST VARS'!$G$56*(8*$CX77)+'LINEST VARS'!$F$56*(8*$DI$56)+'LINEST VARS'!$E$56*(8*0.5)+'LINEST VARS'!$D$56*(8*$CX77)+'LINEST VARS'!$C$56*($DI$56*0.5)+'LINEST VARS'!$B$56*($DI$56*$CX77)+'LINEST VARS'!$A$56*(0.5*$CX77)</f>
        <v>2.8400000000000012</v>
      </c>
      <c r="DJ77" s="53">
        <f>'LINEST VARS'!$U$56+'LINEST VARS'!$T$56*(8)+'LINEST VARS'!$S$56*(8)+'LINEST VARS'!$R$56*($DJ$56)+'LINEST VARS'!$Q$56*(0.5)+'LINEST VARS'!$P$56*($CX77)+'LINEST VARS'!$O$56*(8^2)+'LINEST VARS'!$N$56*(8^2)+'LINEST VARS'!$M$56*($DJ$56^2)+'LINEST VARS'!$L$56*(0.5^2)+'LINEST VARS'!$K$56*($CX77^2)+'LINEST VARS'!$J$56*(8*8)+'LINEST VARS'!$I$56*(8*$DJ$56)+'LINEST VARS'!$H$56*(8*0.5)+'LINEST VARS'!$G$56*(8*$CX77)+'LINEST VARS'!$F$56*(8*$DJ$56)+'LINEST VARS'!$E$56*(8*0.5)+'LINEST VARS'!$D$56*(8*$CX77)+'LINEST VARS'!$C$56*($DJ$56*0.5)+'LINEST VARS'!$B$56*($DJ$56*$CX77)+'LINEST VARS'!$A$56*(0.5*$CX77)</f>
        <v>2.8264000000000014</v>
      </c>
      <c r="DK77" s="53">
        <f>'LINEST VARS'!$U$56+'LINEST VARS'!$T$56*(8)+'LINEST VARS'!$S$56*(8)+'LINEST VARS'!$R$56*($DK$56)+'LINEST VARS'!$Q$56*(0.5)+'LINEST VARS'!$P$56*($CX77)+'LINEST VARS'!$O$56*(8^2)+'LINEST VARS'!$N$56*(8^2)+'LINEST VARS'!$M$56*($DK$56^2)+'LINEST VARS'!$L$56*(0.5^2)+'LINEST VARS'!$K$56*($CX77^2)+'LINEST VARS'!$J$56*(8*8)+'LINEST VARS'!$I$56*(8*$DK$56)+'LINEST VARS'!$H$56*(8*0.5)+'LINEST VARS'!$G$56*(8*$CX77)+'LINEST VARS'!$F$56*(8*$DK$56)+'LINEST VARS'!$E$56*(8*0.5)+'LINEST VARS'!$D$56*(8*$CX77)+'LINEST VARS'!$C$56*($DK$56*0.5)+'LINEST VARS'!$B$56*($DK$56*$CX77)+'LINEST VARS'!$A$56*(0.5*$CX77)</f>
        <v>2.8096000000000005</v>
      </c>
      <c r="DL77" s="53">
        <f>'LINEST VARS'!$U$56+'LINEST VARS'!$T$56*(8)+'LINEST VARS'!$S$56*(8)+'LINEST VARS'!$R$56*($DL$56)+'LINEST VARS'!$Q$56*(0.5)+'LINEST VARS'!$P$56*($CX77)+'LINEST VARS'!$O$56*(8^2)+'LINEST VARS'!$N$56*(8^2)+'LINEST VARS'!$M$56*($DL$56^2)+'LINEST VARS'!$L$56*(0.5^2)+'LINEST VARS'!$K$56*($CX77^2)+'LINEST VARS'!$J$56*(8*8)+'LINEST VARS'!$I$56*(8*$DL$56)+'LINEST VARS'!$H$56*(8*0.5)+'LINEST VARS'!$G$56*(8*$CX77)+'LINEST VARS'!$F$56*(8*$DL$56)+'LINEST VARS'!$E$56*(8*0.5)+'LINEST VARS'!$D$56*(8*$CX77)+'LINEST VARS'!$C$56*($DL$56*0.5)+'LINEST VARS'!$B$56*($DL$56*$CX77)+'LINEST VARS'!$A$56*(0.5*$CX77)</f>
        <v>2.7896000000000005</v>
      </c>
      <c r="DM77" s="53">
        <f>'LINEST VARS'!$U$56+'LINEST VARS'!$T$56*(8)+'LINEST VARS'!$S$56*(8)+'LINEST VARS'!$R$56*($DM$56)+'LINEST VARS'!$Q$56*(0.5)+'LINEST VARS'!$P$56*($CX77)+'LINEST VARS'!$O$56*(8^2)+'LINEST VARS'!$N$56*(8^2)+'LINEST VARS'!$M$56*($DM$56^2)+'LINEST VARS'!$L$56*(0.5^2)+'LINEST VARS'!$K$56*($CX77^2)+'LINEST VARS'!$J$56*(8*8)+'LINEST VARS'!$I$56*(8*$DM$56)+'LINEST VARS'!$H$56*(8*0.5)+'LINEST VARS'!$G$56*(8*$CX77)+'LINEST VARS'!$F$56*(8*$DM$56)+'LINEST VARS'!$E$56*(8*0.5)+'LINEST VARS'!$D$56*(8*$CX77)+'LINEST VARS'!$C$56*($DM$56*0.5)+'LINEST VARS'!$B$56*($DM$56*$CX77)+'LINEST VARS'!$A$56*(0.5*$CX77)</f>
        <v>2.7664000000000009</v>
      </c>
      <c r="DN77" s="53">
        <f>'LINEST VARS'!$U$56+'LINEST VARS'!$T$56*(8)+'LINEST VARS'!$S$56*(8)+'LINEST VARS'!$R$56*($DN$56)+'LINEST VARS'!$Q$56*(0.5)+'LINEST VARS'!$P$56*($CX77)+'LINEST VARS'!$O$56*(8^2)+'LINEST VARS'!$N$56*(8^2)+'LINEST VARS'!$M$56*($DN$56^2)+'LINEST VARS'!$L$56*(0.5^2)+'LINEST VARS'!$K$56*($CX77^2)+'LINEST VARS'!$J$56*(8*8)+'LINEST VARS'!$I$56*(8*$DN$56)+'LINEST VARS'!$H$56*(8*0.5)+'LINEST VARS'!$G$56*(8*$CX77)+'LINEST VARS'!$F$56*(8*$DN$56)+'LINEST VARS'!$E$56*(8*0.5)+'LINEST VARS'!$D$56*(8*$CX77)+'LINEST VARS'!$C$56*($DN$56*0.5)+'LINEST VARS'!$B$56*($DN$56*$CX77)+'LINEST VARS'!$A$56*(0.5*$CX77)</f>
        <v>2.7400000000000007</v>
      </c>
      <c r="DO77" s="53">
        <f>'LINEST VARS'!$U$56+'LINEST VARS'!$T$56*(8)+'LINEST VARS'!$S$56*(8)+'LINEST VARS'!$R$56*($DO$56)+'LINEST VARS'!$Q$56*(0.5)+'LINEST VARS'!$P$56*($CX77)+'LINEST VARS'!$O$56*(8^2)+'LINEST VARS'!$N$56*(8^2)+'LINEST VARS'!$M$56*($DO$56^2)+'LINEST VARS'!$L$56*(0.5^2)+'LINEST VARS'!$K$56*($CX77^2)+'LINEST VARS'!$J$56*(8*8)+'LINEST VARS'!$I$56*(8*$DO$56)+'LINEST VARS'!$H$56*(8*0.5)+'LINEST VARS'!$G$56*(8*$CX77)+'LINEST VARS'!$F$56*(8*$DO$56)+'LINEST VARS'!$E$56*(8*0.5)+'LINEST VARS'!$D$56*(8*$CX77)+'LINEST VARS'!$C$56*($DO$56*0.5)+'LINEST VARS'!$B$56*($DO$56*$CX77)+'LINEST VARS'!$A$56*(0.5*$CX77)</f>
        <v>2.7104000000000004</v>
      </c>
      <c r="DP77" s="53">
        <f>'LINEST VARS'!$U$56+'LINEST VARS'!$T$56*(8)+'LINEST VARS'!$S$56*(8)+'LINEST VARS'!$R$56*($DP$56)+'LINEST VARS'!$Q$56*(0.5)+'LINEST VARS'!$P$56*($CX77)+'LINEST VARS'!$O$56*(8^2)+'LINEST VARS'!$N$56*(8^2)+'LINEST VARS'!$M$56*($DP$56^2)+'LINEST VARS'!$L$56*(0.5^2)+'LINEST VARS'!$K$56*($CX77^2)+'LINEST VARS'!$J$56*(8*8)+'LINEST VARS'!$I$56*(8*$DP$56)+'LINEST VARS'!$H$56*(8*0.5)+'LINEST VARS'!$G$56*(8*$CX77)+'LINEST VARS'!$F$56*(8*$DP$56)+'LINEST VARS'!$E$56*(8*0.5)+'LINEST VARS'!$D$56*(8*$CX77)+'LINEST VARS'!$C$56*($DP$56*0.5)+'LINEST VARS'!$B$56*($DP$56*$CX77)+'LINEST VARS'!$A$56*(0.5*$CX77)</f>
        <v>2.6776000000000004</v>
      </c>
      <c r="DQ77" s="53">
        <f>'LINEST VARS'!$U$56+'LINEST VARS'!$T$56*(8)+'LINEST VARS'!$S$56*(8)+'LINEST VARS'!$R$56*($DQ$56)+'LINEST VARS'!$Q$56*(0.5)+'LINEST VARS'!$P$56*($CX77)+'LINEST VARS'!$O$56*(8^2)+'LINEST VARS'!$N$56*(8^2)+'LINEST VARS'!$M$56*($DQ$56^2)+'LINEST VARS'!$L$56*(0.5^2)+'LINEST VARS'!$K$56*($CX77^2)+'LINEST VARS'!$J$56*(8*8)+'LINEST VARS'!$I$56*(8*$DQ$56)+'LINEST VARS'!$H$56*(8*0.5)+'LINEST VARS'!$G$56*(8*$CX77)+'LINEST VARS'!$F$56*(8*$DQ$56)+'LINEST VARS'!$E$56*(8*0.5)+'LINEST VARS'!$D$56*(8*$CX77)+'LINEST VARS'!$C$56*($DQ$56*0.5)+'LINEST VARS'!$B$56*($DQ$56*$CX77)+'LINEST VARS'!$A$56*(0.5*$CX77)</f>
        <v>2.6416000000000004</v>
      </c>
      <c r="DR77" s="53">
        <f>'LINEST VARS'!$U$56+'LINEST VARS'!$T$56*(8)+'LINEST VARS'!$S$56*(8)+'LINEST VARS'!$R$56*($DR$56)+'LINEST VARS'!$Q$56*(0.5)+'LINEST VARS'!$P$56*($CX77)+'LINEST VARS'!$O$56*(8^2)+'LINEST VARS'!$N$56*(8^2)+'LINEST VARS'!$M$56*($DR$56^2)+'LINEST VARS'!$L$56*(0.5^2)+'LINEST VARS'!$K$56*($CX77^2)+'LINEST VARS'!$J$56*(8*8)+'LINEST VARS'!$I$56*(8*$DR$56)+'LINEST VARS'!$H$56*(8*0.5)+'LINEST VARS'!$G$56*(8*$CX77)+'LINEST VARS'!$F$56*(8*$DR$56)+'LINEST VARS'!$E$56*(8*0.5)+'LINEST VARS'!$D$56*(8*$CX77)+'LINEST VARS'!$C$56*($DR$56*0.5)+'LINEST VARS'!$B$56*($DR$56*$CX77)+'LINEST VARS'!$A$56*(0.5*$CX77)</f>
        <v>2.6024000000000007</v>
      </c>
      <c r="DS77" s="54">
        <f>'LINEST VARS'!$U$56+'LINEST VARS'!$T$56*(8)+'LINEST VARS'!$S$56*(8)+'LINEST VARS'!$R$56*($DS$56)+'LINEST VARS'!$Q$56*(0.5)+'LINEST VARS'!$P$56*($CX77)+'LINEST VARS'!$O$56*(8^2)+'LINEST VARS'!$N$56*(8^2)+'LINEST VARS'!$M$56*($DS$56^2)+'LINEST VARS'!$L$56*(0.5^2)+'LINEST VARS'!$K$56*($CX77^2)+'LINEST VARS'!$J$56*(8*8)+'LINEST VARS'!$I$56*(8*$DS$56)+'LINEST VARS'!$H$56*(8*0.5)+'LINEST VARS'!$G$56*(8*$CX77)+'LINEST VARS'!$F$56*(8*$DS$56)+'LINEST VARS'!$E$56*(8*0.5)+'LINEST VARS'!$D$56*(8*$CX77)+'LINEST VARS'!$C$56*($DS$56*0.5)+'LINEST VARS'!$B$56*($DS$56*$CX77)+'LINEST VARS'!$A$56*(0.5*$CX77)</f>
        <v>2.5600000000000005</v>
      </c>
      <c r="DV77" s="48">
        <v>25.99</v>
      </c>
      <c r="DW77" s="53">
        <f>'LINEST VARS'!$U$58+'LINEST VARS'!$T$58*(8)+'LINEST VARS'!$S$58*(8)+'LINEST VARS'!$R$58*($DW$56)+'LINEST VARS'!$Q$58*(0.5)+'LINEST VARS'!$P$58*($DV77)+'LINEST VARS'!$O$58*(8^2)+'LINEST VARS'!$N$58*(8^2)+'LINEST VARS'!$M$58*($DW$56^2)+'LINEST VARS'!$L$58*(0.5^2)+'LINEST VARS'!$K$58*($DV77^2)+'LINEST VARS'!$J$58*(8*8)+'LINEST VARS'!$I$58*(8*$DW$56)+'LINEST VARS'!$H$58*(8*0.5)+'LINEST VARS'!$G$58*(8*$DV77)+'LINEST VARS'!$F$58*(8*$DW$56)+'LINEST VARS'!$E$58*(8*0.5)+'LINEST VARS'!$D$58*(8*$DV77)+'LINEST VARS'!$C$58*($DW$56*0.5)+'LINEST VARS'!$B$58*($DW$56*$DV77)+'LINEST VARS'!$A$58*(0.5*$DV77)</f>
        <v>0.92995000000000028</v>
      </c>
      <c r="DX77" s="53">
        <f>'LINEST VARS'!$U$58+'LINEST VARS'!$T$58*(8)+'LINEST VARS'!$S$58*(8)+'LINEST VARS'!$R$58*($DX$56)+'LINEST VARS'!$Q$58*(0.5)+'LINEST VARS'!$P$58*($DV77)+'LINEST VARS'!$O$58*(8^2)+'LINEST VARS'!$N$58*(8^2)+'LINEST VARS'!$M$58*($DX$56^2)+'LINEST VARS'!$L$58*(0.5^2)+'LINEST VARS'!$K$58*($DV77^2)+'LINEST VARS'!$J$58*(8*8)+'LINEST VARS'!$I$58*(8*$DX$56)+'LINEST VARS'!$H$58*(8*0.5)+'LINEST VARS'!$G$58*(8*$DV77)+'LINEST VARS'!$F$58*(8*$DX$56)+'LINEST VARS'!$E$58*(8*0.5)+'LINEST VARS'!$D$58*(8*$DV77)+'LINEST VARS'!$C$58*($DX$56*0.5)+'LINEST VARS'!$B$58*($DX$56*$DV77)+'LINEST VARS'!$A$58*(0.5*$DV77)</f>
        <v>0.93795000000000028</v>
      </c>
      <c r="DY77" s="53">
        <f>'LINEST VARS'!$U$58+'LINEST VARS'!$T$58*(8)+'LINEST VARS'!$S$58*(8)+'LINEST VARS'!$R$58*($DY$56)+'LINEST VARS'!$Q$58*(0.5)+'LINEST VARS'!$P$58*($DV77)+'LINEST VARS'!$O$58*(8^2)+'LINEST VARS'!$N$58*(8^2)+'LINEST VARS'!$M$58*($DY$56^2)+'LINEST VARS'!$L$58*(0.5^2)+'LINEST VARS'!$K$58*($DV77^2)+'LINEST VARS'!$J$58*(8*8)+'LINEST VARS'!$I$58*(8*$DY$56)+'LINEST VARS'!$H$58*(8*0.5)+'LINEST VARS'!$G$58*(8*$DV77)+'LINEST VARS'!$F$58*(8*$DY$56)+'LINEST VARS'!$E$58*(8*0.5)+'LINEST VARS'!$D$58*(8*$DV77)+'LINEST VARS'!$C$58*($DY$56*0.5)+'LINEST VARS'!$B$58*($DY$56*$DV77)+'LINEST VARS'!$A$58*(0.5*$DV77)</f>
        <v>0.94595000000000029</v>
      </c>
      <c r="DZ77" s="53">
        <f>'LINEST VARS'!$U$58+'LINEST VARS'!$T$58*(8)+'LINEST VARS'!$S$58*(8)+'LINEST VARS'!$R$58*($DZ$56)+'LINEST VARS'!$Q$58*(0.5)+'LINEST VARS'!$P$58*($DV77)+'LINEST VARS'!$O$58*(8^2)+'LINEST VARS'!$N$58*(8^2)+'LINEST VARS'!$M$58*($DZ$56^2)+'LINEST VARS'!$L$58*(0.5^2)+'LINEST VARS'!$K$58*($DV77^2)+'LINEST VARS'!$J$58*(8*8)+'LINEST VARS'!$I$58*(8*$DZ$56)+'LINEST VARS'!$H$58*(8*0.5)+'LINEST VARS'!$G$58*(8*$DV77)+'LINEST VARS'!$F$58*(8*$DZ$56)+'LINEST VARS'!$E$58*(8*0.5)+'LINEST VARS'!$D$58*(8*$DV77)+'LINEST VARS'!$C$58*($DZ$56*0.5)+'LINEST VARS'!$B$58*($DZ$56*$DV77)+'LINEST VARS'!$A$58*(0.5*$DV77)</f>
        <v>0.9539500000000003</v>
      </c>
      <c r="EA77" s="53">
        <f>'LINEST VARS'!$U$58+'LINEST VARS'!$T$58*(8)+'LINEST VARS'!$S$58*(8)+'LINEST VARS'!$R$58*($EA$56)+'LINEST VARS'!$Q$58*(0.5)+'LINEST VARS'!$P$58*($DV77)+'LINEST VARS'!$O$58*(8^2)+'LINEST VARS'!$N$58*(8^2)+'LINEST VARS'!$M$58*($EA$56^2)+'LINEST VARS'!$L$58*(0.5^2)+'LINEST VARS'!$K$58*($DV77^2)+'LINEST VARS'!$J$58*(8*8)+'LINEST VARS'!$I$58*(8*$EA$56)+'LINEST VARS'!$H$58*(8*0.5)+'LINEST VARS'!$G$58*(8*$DV77)+'LINEST VARS'!$F$58*(8*$EA$56)+'LINEST VARS'!$E$58*(8*0.5)+'LINEST VARS'!$D$58*(8*$DV77)+'LINEST VARS'!$C$58*($EA$56*0.5)+'LINEST VARS'!$B$58*($EA$56*$DV77)+'LINEST VARS'!$A$58*(0.5*$DV77)</f>
        <v>0.96195000000000008</v>
      </c>
      <c r="EB77" s="53">
        <f>'LINEST VARS'!$U$58+'LINEST VARS'!$T$58*(8)+'LINEST VARS'!$S$58*(8)+'LINEST VARS'!$R$58*($EB$56)+'LINEST VARS'!$Q$58*(0.5)+'LINEST VARS'!$P$58*($DV77)+'LINEST VARS'!$O$58*(8^2)+'LINEST VARS'!$N$58*(8^2)+'LINEST VARS'!$M$58*($EB$56^2)+'LINEST VARS'!$L$58*(0.5^2)+'LINEST VARS'!$K$58*($DV77^2)+'LINEST VARS'!$J$58*(8*8)+'LINEST VARS'!$I$58*(8*$EB$56)+'LINEST VARS'!$H$58*(8*0.5)+'LINEST VARS'!$G$58*(8*$DV77)+'LINEST VARS'!$F$58*(8*$EB$56)+'LINEST VARS'!$E$58*(8*0.5)+'LINEST VARS'!$D$58*(8*$DV77)+'LINEST VARS'!$C$58*($EB$56*0.5)+'LINEST VARS'!$B$58*($EB$56*$DV77)+'LINEST VARS'!$A$58*(0.5*$DV77)</f>
        <v>0.9699500000000002</v>
      </c>
      <c r="EC77" s="53">
        <f>'LINEST VARS'!$U$58+'LINEST VARS'!$T$58*(8)+'LINEST VARS'!$S$58*(8)+'LINEST VARS'!$R$58*($EC$56)+'LINEST VARS'!$Q$58*(0.5)+'LINEST VARS'!$P$58*($DV77)+'LINEST VARS'!$O$58*(8^2)+'LINEST VARS'!$N$58*(8^2)+'LINEST VARS'!$M$58*($EC$56^2)+'LINEST VARS'!$L$58*(0.5^2)+'LINEST VARS'!$K$58*($DV77^2)+'LINEST VARS'!$J$58*(8*8)+'LINEST VARS'!$I$58*(8*$EC$56)+'LINEST VARS'!$H$58*(8*0.5)+'LINEST VARS'!$G$58*(8*$DV77)+'LINEST VARS'!$F$58*(8*$EC$56)+'LINEST VARS'!$E$58*(8*0.5)+'LINEST VARS'!$D$58*(8*$DV77)+'LINEST VARS'!$C$58*($EC$56*0.5)+'LINEST VARS'!$B$58*($EC$56*$DV77)+'LINEST VARS'!$A$58*(0.5*$DV77)</f>
        <v>0.97795000000000032</v>
      </c>
      <c r="ED77" s="53">
        <f>'LINEST VARS'!$U$58+'LINEST VARS'!$T$58*(8)+'LINEST VARS'!$S$58*(8)+'LINEST VARS'!$R$58*($ED$56)+'LINEST VARS'!$Q$58*(0.5)+'LINEST VARS'!$P$58*($DV77)+'LINEST VARS'!$O$58*(8^2)+'LINEST VARS'!$N$58*(8^2)+'LINEST VARS'!$M$58*($ED$56^2)+'LINEST VARS'!$L$58*(0.5^2)+'LINEST VARS'!$K$58*($DV77^2)+'LINEST VARS'!$J$58*(8*8)+'LINEST VARS'!$I$58*(8*$ED$56)+'LINEST VARS'!$H$58*(8*0.5)+'LINEST VARS'!$G$58*(8*$DV77)+'LINEST VARS'!$F$58*(8*$ED$56)+'LINEST VARS'!$E$58*(8*0.5)+'LINEST VARS'!$D$58*(8*$DV77)+'LINEST VARS'!$C$58*($ED$56*0.5)+'LINEST VARS'!$B$58*($ED$56*$DV77)+'LINEST VARS'!$A$58*(0.5*$DV77)</f>
        <v>0.98595000000000033</v>
      </c>
      <c r="EE77" s="53">
        <f>'LINEST VARS'!$U$58+'LINEST VARS'!$T$58*(8)+'LINEST VARS'!$S$58*(8)+'LINEST VARS'!$R$58*($EE$56)+'LINEST VARS'!$Q$58*(0.5)+'LINEST VARS'!$P$58*($DV77)+'LINEST VARS'!$O$58*(8^2)+'LINEST VARS'!$N$58*(8^2)+'LINEST VARS'!$M$58*($EE$56^2)+'LINEST VARS'!$L$58*(0.5^2)+'LINEST VARS'!$K$58*($DV77^2)+'LINEST VARS'!$J$58*(8*8)+'LINEST VARS'!$I$58*(8*$EE$56)+'LINEST VARS'!$H$58*(8*0.5)+'LINEST VARS'!$G$58*(8*$DV77)+'LINEST VARS'!$F$58*(8*$EE$56)+'LINEST VARS'!$E$58*(8*0.5)+'LINEST VARS'!$D$58*(8*$DV77)+'LINEST VARS'!$C$58*($EE$56*0.5)+'LINEST VARS'!$B$58*($EE$56*$DV77)+'LINEST VARS'!$A$58*(0.5*$DV77)</f>
        <v>0.99395000000000044</v>
      </c>
      <c r="EF77" s="53">
        <f>'LINEST VARS'!$U$58+'LINEST VARS'!$T$58*(8)+'LINEST VARS'!$S$58*(8)+'LINEST VARS'!$R$58*($EF$56)+'LINEST VARS'!$Q$58*(0.5)+'LINEST VARS'!$P$58*($DV77)+'LINEST VARS'!$O$58*(8^2)+'LINEST VARS'!$N$58*(8^2)+'LINEST VARS'!$M$58*($EF$56^2)+'LINEST VARS'!$L$58*(0.5^2)+'LINEST VARS'!$K$58*($DV77^2)+'LINEST VARS'!$J$58*(8*8)+'LINEST VARS'!$I$58*(8*$EF$56)+'LINEST VARS'!$H$58*(8*0.5)+'LINEST VARS'!$G$58*(8*$DV77)+'LINEST VARS'!$F$58*(8*$EF$56)+'LINEST VARS'!$E$58*(8*0.5)+'LINEST VARS'!$D$58*(8*$DV77)+'LINEST VARS'!$C$58*($EF$56*0.5)+'LINEST VARS'!$B$58*($EF$56*$DV77)+'LINEST VARS'!$A$58*(0.5*$DV77)</f>
        <v>1.0019499999999999</v>
      </c>
      <c r="EG77" s="53">
        <f>'LINEST VARS'!$U$58+'LINEST VARS'!$T$58*(8)+'LINEST VARS'!$S$58*(8)+'LINEST VARS'!$R$58*($EG$56)+'LINEST VARS'!$Q$58*(0.5)+'LINEST VARS'!$P$58*($DV77)+'LINEST VARS'!$O$58*(8^2)+'LINEST VARS'!$N$58*(8^2)+'LINEST VARS'!$M$58*($EG$56^2)+'LINEST VARS'!$L$58*(0.5^2)+'LINEST VARS'!$K$58*($DV77^2)+'LINEST VARS'!$J$58*(8*8)+'LINEST VARS'!$I$58*(8*$EG$56)+'LINEST VARS'!$H$58*(8*0.5)+'LINEST VARS'!$G$58*(8*$DV77)+'LINEST VARS'!$F$58*(8*$EG$56)+'LINEST VARS'!$E$58*(8*0.5)+'LINEST VARS'!$D$58*(8*$DV77)+'LINEST VARS'!$C$58*($EG$56*0.5)+'LINEST VARS'!$B$58*($EG$56*$DV77)+'LINEST VARS'!$A$58*(0.5*$DV77)</f>
        <v>1.0099500000000001</v>
      </c>
      <c r="EH77" s="53">
        <f>'LINEST VARS'!$U$58+'LINEST VARS'!$T$58*(8)+'LINEST VARS'!$S$58*(8)+'LINEST VARS'!$R$58*($EH$56)+'LINEST VARS'!$Q$58*(0.5)+'LINEST VARS'!$P$58*($DV77)+'LINEST VARS'!$O$58*(8^2)+'LINEST VARS'!$N$58*(8^2)+'LINEST VARS'!$M$58*($EH$56^2)+'LINEST VARS'!$L$58*(0.5^2)+'LINEST VARS'!$K$58*($DV77^2)+'LINEST VARS'!$J$58*(8*8)+'LINEST VARS'!$I$58*(8*$EH$56)+'LINEST VARS'!$H$58*(8*0.5)+'LINEST VARS'!$G$58*(8*$DV77)+'LINEST VARS'!$F$58*(8*$EH$56)+'LINEST VARS'!$E$58*(8*0.5)+'LINEST VARS'!$D$58*(8*$DV77)+'LINEST VARS'!$C$58*($EH$56*0.5)+'LINEST VARS'!$B$58*($EH$56*$DV77)+'LINEST VARS'!$A$58*(0.5*$DV77)</f>
        <v>1.0179500000000006</v>
      </c>
      <c r="EI77" s="53">
        <f>'LINEST VARS'!$U$58+'LINEST VARS'!$T$58*(8)+'LINEST VARS'!$S$58*(8)+'LINEST VARS'!$R$58*($EI$56)+'LINEST VARS'!$Q$58*(0.5)+'LINEST VARS'!$P$58*($DV77)+'LINEST VARS'!$O$58*(8^2)+'LINEST VARS'!$N$58*(8^2)+'LINEST VARS'!$M$58*($EI$56^2)+'LINEST VARS'!$L$58*(0.5^2)+'LINEST VARS'!$K$58*($DV77^2)+'LINEST VARS'!$J$58*(8*8)+'LINEST VARS'!$I$58*(8*$EI$56)+'LINEST VARS'!$H$58*(8*0.5)+'LINEST VARS'!$G$58*(8*$DV77)+'LINEST VARS'!$F$58*(8*$EI$56)+'LINEST VARS'!$E$58*(8*0.5)+'LINEST VARS'!$D$58*(8*$DV77)+'LINEST VARS'!$C$58*($EI$56*0.5)+'LINEST VARS'!$B$58*($EI$56*$DV77)+'LINEST VARS'!$A$58*(0.5*$DV77)</f>
        <v>1.0259500000000006</v>
      </c>
      <c r="EJ77" s="53">
        <f>'LINEST VARS'!$U$58+'LINEST VARS'!$T$58*(8)+'LINEST VARS'!$S$58*(8)+'LINEST VARS'!$R$58*($EJ$56)+'LINEST VARS'!$Q$58*(0.5)+'LINEST VARS'!$P$58*($DV77)+'LINEST VARS'!$O$58*(8^2)+'LINEST VARS'!$N$58*(8^2)+'LINEST VARS'!$M$58*($EJ$56^2)+'LINEST VARS'!$L$58*(0.5^2)+'LINEST VARS'!$K$58*($DV77^2)+'LINEST VARS'!$J$58*(8*8)+'LINEST VARS'!$I$58*(8*$EJ$56)+'LINEST VARS'!$H$58*(8*0.5)+'LINEST VARS'!$G$58*(8*$DV77)+'LINEST VARS'!$F$58*(8*$EJ$56)+'LINEST VARS'!$E$58*(8*0.5)+'LINEST VARS'!$D$58*(8*$DV77)+'LINEST VARS'!$C$58*($EJ$56*0.5)+'LINEST VARS'!$B$58*($EJ$56*$DV77)+'LINEST VARS'!$A$58*(0.5*$DV77)</f>
        <v>1.0339500000000004</v>
      </c>
      <c r="EK77" s="53">
        <f>'LINEST VARS'!$U$58+'LINEST VARS'!$T$58*(8)+'LINEST VARS'!$S$58*(8)+'LINEST VARS'!$R$58*($EK$56)+'LINEST VARS'!$Q$58*(0.5)+'LINEST VARS'!$P$58*($DV77)+'LINEST VARS'!$O$58*(8^2)+'LINEST VARS'!$N$58*(8^2)+'LINEST VARS'!$M$58*($EK$56^2)+'LINEST VARS'!$L$58*(0.5^2)+'LINEST VARS'!$K$58*($DV77^2)+'LINEST VARS'!$J$58*(8*8)+'LINEST VARS'!$I$58*(8*$EK$56)+'LINEST VARS'!$H$58*(8*0.5)+'LINEST VARS'!$G$58*(8*$DV77)+'LINEST VARS'!$F$58*(8*$EK$56)+'LINEST VARS'!$E$58*(8*0.5)+'LINEST VARS'!$D$58*(8*$DV77)+'LINEST VARS'!$C$58*($EK$56*0.5)+'LINEST VARS'!$B$58*($EK$56*$DV77)+'LINEST VARS'!$A$58*(0.5*$DV77)</f>
        <v>1.0419500000000004</v>
      </c>
      <c r="EL77" s="53">
        <f>'LINEST VARS'!$U$58+'LINEST VARS'!$T$58*(8)+'LINEST VARS'!$S$58*(8)+'LINEST VARS'!$R$58*($EL$56)+'LINEST VARS'!$Q$58*(0.5)+'LINEST VARS'!$P$58*($DV77)+'LINEST VARS'!$O$58*(8^2)+'LINEST VARS'!$N$58*(8^2)+'LINEST VARS'!$M$58*($EL$56^2)+'LINEST VARS'!$L$58*(0.5^2)+'LINEST VARS'!$K$58*($DV77^2)+'LINEST VARS'!$J$58*(8*8)+'LINEST VARS'!$I$58*(8*$EL$56)+'LINEST VARS'!$H$58*(8*0.5)+'LINEST VARS'!$G$58*(8*$DV77)+'LINEST VARS'!$F$58*(8*$EL$56)+'LINEST VARS'!$E$58*(8*0.5)+'LINEST VARS'!$D$58*(8*$DV77)+'LINEST VARS'!$C$58*($EL$56*0.5)+'LINEST VARS'!$B$58*($EL$56*$DV77)+'LINEST VARS'!$A$58*(0.5*$DV77)</f>
        <v>1.0499500000000004</v>
      </c>
      <c r="EM77" s="53">
        <f>'LINEST VARS'!$U$58+'LINEST VARS'!$T$58*(8)+'LINEST VARS'!$S$58*(8)+'LINEST VARS'!$R$58*($EM$56)+'LINEST VARS'!$Q$58*(0.5)+'LINEST VARS'!$P$58*($DV77)+'LINEST VARS'!$O$58*(8^2)+'LINEST VARS'!$N$58*(8^2)+'LINEST VARS'!$M$58*($EM$56^2)+'LINEST VARS'!$L$58*(0.5^2)+'LINEST VARS'!$K$58*($DV77^2)+'LINEST VARS'!$J$58*(8*8)+'LINEST VARS'!$I$58*(8*$EM$56)+'LINEST VARS'!$H$58*(8*0.5)+'LINEST VARS'!$G$58*(8*$DV77)+'LINEST VARS'!$F$58*(8*$EM$56)+'LINEST VARS'!$E$58*(8*0.5)+'LINEST VARS'!$D$58*(8*$DV77)+'LINEST VARS'!$C$58*($EM$56*0.5)+'LINEST VARS'!$B$58*($EM$56*$DV77)+'LINEST VARS'!$A$58*(0.5*$DV77)</f>
        <v>1.0579500000000004</v>
      </c>
      <c r="EN77" s="53">
        <f>'LINEST VARS'!$U$58+'LINEST VARS'!$T$58*(8)+'LINEST VARS'!$S$58*(8)+'LINEST VARS'!$R$58*($EN$56)+'LINEST VARS'!$Q$58*(0.5)+'LINEST VARS'!$P$58*($DV77)+'LINEST VARS'!$O$58*(8^2)+'LINEST VARS'!$N$58*(8^2)+'LINEST VARS'!$M$58*($EN$56^2)+'LINEST VARS'!$L$58*(0.5^2)+'LINEST VARS'!$K$58*($DV77^2)+'LINEST VARS'!$J$58*(8*8)+'LINEST VARS'!$I$58*(8*$EN$56)+'LINEST VARS'!$H$58*(8*0.5)+'LINEST VARS'!$G$58*(8*$DV77)+'LINEST VARS'!$F$58*(8*$EN$56)+'LINEST VARS'!$E$58*(8*0.5)+'LINEST VARS'!$D$58*(8*$DV77)+'LINEST VARS'!$C$58*($EN$56*0.5)+'LINEST VARS'!$B$58*($EN$56*$DV77)+'LINEST VARS'!$A$58*(0.5*$DV77)</f>
        <v>1.0659500000000004</v>
      </c>
      <c r="EO77" s="53">
        <f>'LINEST VARS'!$U$58+'LINEST VARS'!$T$58*(8)+'LINEST VARS'!$S$58*(8)+'LINEST VARS'!$R$58*($EO$56)+'LINEST VARS'!$Q$58*(0.5)+'LINEST VARS'!$P$58*($DV77)+'LINEST VARS'!$O$58*(8^2)+'LINEST VARS'!$N$58*(8^2)+'LINEST VARS'!$M$58*($EO$56^2)+'LINEST VARS'!$L$58*(0.5^2)+'LINEST VARS'!$K$58*($DV77^2)+'LINEST VARS'!$J$58*(8*8)+'LINEST VARS'!$I$58*(8*$EO$56)+'LINEST VARS'!$H$58*(8*0.5)+'LINEST VARS'!$G$58*(8*$DV77)+'LINEST VARS'!$F$58*(8*$EO$56)+'LINEST VARS'!$E$58*(8*0.5)+'LINEST VARS'!$D$58*(8*$DV77)+'LINEST VARS'!$C$58*($EO$56*0.5)+'LINEST VARS'!$B$58*($EO$56*$DV77)+'LINEST VARS'!$A$58*(0.5*$DV77)</f>
        <v>1.0739500000000002</v>
      </c>
      <c r="EP77" s="53">
        <f>'LINEST VARS'!$U$58+'LINEST VARS'!$T$58*(8)+'LINEST VARS'!$S$58*(8)+'LINEST VARS'!$R$58*($EP$56)+'LINEST VARS'!$Q$58*(0.5)+'LINEST VARS'!$P$58*($DV77)+'LINEST VARS'!$O$58*(8^2)+'LINEST VARS'!$N$58*(8^2)+'LINEST VARS'!$M$58*($EP$56^2)+'LINEST VARS'!$L$58*(0.5^2)+'LINEST VARS'!$K$58*($DV77^2)+'LINEST VARS'!$J$58*(8*8)+'LINEST VARS'!$I$58*(8*$EP$56)+'LINEST VARS'!$H$58*(8*0.5)+'LINEST VARS'!$G$58*(8*$DV77)+'LINEST VARS'!$F$58*(8*$EP$56)+'LINEST VARS'!$E$58*(8*0.5)+'LINEST VARS'!$D$58*(8*$DV77)+'LINEST VARS'!$C$58*($EP$56*0.5)+'LINEST VARS'!$B$58*($EP$56*$DV77)+'LINEST VARS'!$A$58*(0.5*$DV77)</f>
        <v>1.0819500000000002</v>
      </c>
      <c r="EQ77" s="54">
        <f>'LINEST VARS'!$U$58+'LINEST VARS'!$T$58*(8)+'LINEST VARS'!$S$58*(8)+'LINEST VARS'!$R$58*($EQ$56)+'LINEST VARS'!$Q$58*(0.5)+'LINEST VARS'!$P$58*($DV77)+'LINEST VARS'!$O$58*(8^2)+'LINEST VARS'!$N$58*(8^2)+'LINEST VARS'!$M$58*($EQ$56^2)+'LINEST VARS'!$L$58*(0.5^2)+'LINEST VARS'!$K$58*($DV77^2)+'LINEST VARS'!$J$58*(8*8)+'LINEST VARS'!$I$58*(8*$EQ$56)+'LINEST VARS'!$H$58*(8*0.5)+'LINEST VARS'!$G$58*(8*$DV77)+'LINEST VARS'!$F$58*(8*$EQ$56)+'LINEST VARS'!$E$58*(8*0.5)+'LINEST VARS'!$D$58*(8*$DV77)+'LINEST VARS'!$C$58*($EQ$56*0.5)+'LINEST VARS'!$B$58*($EQ$56*$DV77)+'LINEST VARS'!$A$58*(0.5*$DV77)</f>
        <v>1.0899500000000004</v>
      </c>
    </row>
    <row r="78" spans="2:147" ht="15" customHeight="1" x14ac:dyDescent="0.25"/>
    <row r="79" spans="2:147" ht="15" customHeight="1" thickBot="1" x14ac:dyDescent="0.3">
      <c r="B79" s="59" t="s">
        <v>10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Z79" s="59" t="s">
        <v>11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Z79" s="59" t="s">
        <v>24</v>
      </c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X79" s="59" t="s">
        <v>25</v>
      </c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X79" s="59" t="s">
        <v>38</v>
      </c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V79" s="59" t="s">
        <v>39</v>
      </c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</row>
    <row r="80" spans="2:147" ht="15" customHeight="1" x14ac:dyDescent="0.25">
      <c r="B80" s="42" t="s">
        <v>5</v>
      </c>
      <c r="C80" s="43">
        <v>7.4</v>
      </c>
      <c r="D80" s="43">
        <v>7.46</v>
      </c>
      <c r="E80" s="43">
        <v>7.52</v>
      </c>
      <c r="F80" s="43">
        <v>7.58</v>
      </c>
      <c r="G80" s="43">
        <v>7.64</v>
      </c>
      <c r="H80" s="43">
        <v>7.7</v>
      </c>
      <c r="I80" s="43">
        <v>7.76</v>
      </c>
      <c r="J80" s="43">
        <v>7.82</v>
      </c>
      <c r="K80" s="43">
        <v>7.88</v>
      </c>
      <c r="L80" s="43">
        <v>7.94</v>
      </c>
      <c r="M80" s="43">
        <v>8</v>
      </c>
      <c r="N80" s="43">
        <v>8.06</v>
      </c>
      <c r="O80" s="43">
        <v>8.1199999999999992</v>
      </c>
      <c r="P80" s="43">
        <v>8.18</v>
      </c>
      <c r="Q80" s="43">
        <v>8.24</v>
      </c>
      <c r="R80" s="43">
        <v>8.3000000000000007</v>
      </c>
      <c r="S80" s="43">
        <v>8.36</v>
      </c>
      <c r="T80" s="43">
        <v>8.42</v>
      </c>
      <c r="U80" s="43">
        <v>8.48</v>
      </c>
      <c r="V80" s="43">
        <v>8.5399999999999991</v>
      </c>
      <c r="W80" s="44">
        <v>8.6</v>
      </c>
      <c r="Z80" s="42" t="s">
        <v>5</v>
      </c>
      <c r="AA80" s="43">
        <v>7.4</v>
      </c>
      <c r="AB80" s="43">
        <v>7.46</v>
      </c>
      <c r="AC80" s="43">
        <v>7.52</v>
      </c>
      <c r="AD80" s="43">
        <v>7.58</v>
      </c>
      <c r="AE80" s="43">
        <v>7.64</v>
      </c>
      <c r="AF80" s="43">
        <v>7.7</v>
      </c>
      <c r="AG80" s="43">
        <v>7.76</v>
      </c>
      <c r="AH80" s="43">
        <v>7.82</v>
      </c>
      <c r="AI80" s="43">
        <v>7.88</v>
      </c>
      <c r="AJ80" s="43">
        <v>7.94</v>
      </c>
      <c r="AK80" s="43">
        <v>8</v>
      </c>
      <c r="AL80" s="43">
        <v>8.06</v>
      </c>
      <c r="AM80" s="43">
        <v>8.1199999999999992</v>
      </c>
      <c r="AN80" s="43">
        <v>8.18</v>
      </c>
      <c r="AO80" s="43">
        <v>8.24</v>
      </c>
      <c r="AP80" s="43">
        <v>8.3000000000000007</v>
      </c>
      <c r="AQ80" s="43">
        <v>8.36</v>
      </c>
      <c r="AR80" s="43">
        <v>8.42</v>
      </c>
      <c r="AS80" s="43">
        <v>8.48</v>
      </c>
      <c r="AT80" s="43">
        <v>8.5399999999999991</v>
      </c>
      <c r="AU80" s="44">
        <v>8.6</v>
      </c>
      <c r="AZ80" s="42" t="s">
        <v>19</v>
      </c>
      <c r="BA80" s="43">
        <v>0</v>
      </c>
      <c r="BB80" s="43">
        <v>0.4</v>
      </c>
      <c r="BC80" s="43">
        <v>0.8</v>
      </c>
      <c r="BD80" s="43">
        <v>1.2</v>
      </c>
      <c r="BE80" s="43">
        <v>1.6</v>
      </c>
      <c r="BF80" s="43">
        <v>2</v>
      </c>
      <c r="BG80" s="43">
        <v>2.4</v>
      </c>
      <c r="BH80" s="43">
        <v>2.8</v>
      </c>
      <c r="BI80" s="43">
        <v>3.2</v>
      </c>
      <c r="BJ80" s="43">
        <v>3.6</v>
      </c>
      <c r="BK80" s="43">
        <v>4</v>
      </c>
      <c r="BL80" s="43">
        <v>4.4000000000000004</v>
      </c>
      <c r="BM80" s="43">
        <v>4.8</v>
      </c>
      <c r="BN80" s="43">
        <v>5.2</v>
      </c>
      <c r="BO80" s="43">
        <v>5.6</v>
      </c>
      <c r="BP80" s="43">
        <v>6</v>
      </c>
      <c r="BQ80" s="43">
        <v>6.4</v>
      </c>
      <c r="BR80" s="43">
        <v>6.8</v>
      </c>
      <c r="BS80" s="43">
        <v>7.2</v>
      </c>
      <c r="BT80" s="43">
        <v>7.6</v>
      </c>
      <c r="BU80" s="44">
        <v>8</v>
      </c>
      <c r="BX80" s="42" t="s">
        <v>19</v>
      </c>
      <c r="BY80" s="43">
        <v>0</v>
      </c>
      <c r="BZ80" s="43">
        <v>0.4</v>
      </c>
      <c r="CA80" s="43">
        <v>0.8</v>
      </c>
      <c r="CB80" s="43">
        <v>1.2</v>
      </c>
      <c r="CC80" s="43">
        <v>1.6</v>
      </c>
      <c r="CD80" s="43">
        <v>2</v>
      </c>
      <c r="CE80" s="43">
        <v>2.4</v>
      </c>
      <c r="CF80" s="43">
        <v>2.8</v>
      </c>
      <c r="CG80" s="43">
        <v>3.2</v>
      </c>
      <c r="CH80" s="43">
        <v>3.6</v>
      </c>
      <c r="CI80" s="43">
        <v>4</v>
      </c>
      <c r="CJ80" s="43">
        <v>4.4000000000000004</v>
      </c>
      <c r="CK80" s="43">
        <v>4.8</v>
      </c>
      <c r="CL80" s="43">
        <v>5.2</v>
      </c>
      <c r="CM80" s="43">
        <v>5.6</v>
      </c>
      <c r="CN80" s="43">
        <v>6</v>
      </c>
      <c r="CO80" s="43">
        <v>6.4</v>
      </c>
      <c r="CP80" s="43">
        <v>6.8</v>
      </c>
      <c r="CQ80" s="43">
        <v>7.2</v>
      </c>
      <c r="CR80" s="43">
        <v>7.6</v>
      </c>
      <c r="CS80" s="44">
        <v>8</v>
      </c>
      <c r="CX80" s="42" t="s">
        <v>33</v>
      </c>
      <c r="CY80" s="43">
        <v>0</v>
      </c>
      <c r="CZ80" s="43">
        <v>0.4</v>
      </c>
      <c r="DA80" s="43">
        <v>0.8</v>
      </c>
      <c r="DB80" s="43">
        <v>1.2</v>
      </c>
      <c r="DC80" s="43">
        <v>1.6</v>
      </c>
      <c r="DD80" s="43">
        <v>2</v>
      </c>
      <c r="DE80" s="43">
        <v>2.4</v>
      </c>
      <c r="DF80" s="43">
        <v>2.8</v>
      </c>
      <c r="DG80" s="43">
        <v>3.2</v>
      </c>
      <c r="DH80" s="43">
        <v>3.6</v>
      </c>
      <c r="DI80" s="43">
        <v>4</v>
      </c>
      <c r="DJ80" s="43">
        <v>4.4000000000000004</v>
      </c>
      <c r="DK80" s="43">
        <v>4.8</v>
      </c>
      <c r="DL80" s="43">
        <v>5.2</v>
      </c>
      <c r="DM80" s="43">
        <v>5.6</v>
      </c>
      <c r="DN80" s="43">
        <v>6</v>
      </c>
      <c r="DO80" s="43">
        <v>6.4</v>
      </c>
      <c r="DP80" s="43">
        <v>6.8</v>
      </c>
      <c r="DQ80" s="43">
        <v>7.2</v>
      </c>
      <c r="DR80" s="43">
        <v>7.6</v>
      </c>
      <c r="DS80" s="44">
        <v>8</v>
      </c>
      <c r="DV80" s="42" t="s">
        <v>33</v>
      </c>
      <c r="DW80" s="43">
        <v>0</v>
      </c>
      <c r="DX80" s="43">
        <v>0.4</v>
      </c>
      <c r="DY80" s="43">
        <v>0.8</v>
      </c>
      <c r="DZ80" s="43">
        <v>1.2</v>
      </c>
      <c r="EA80" s="43">
        <v>1.6</v>
      </c>
      <c r="EB80" s="43">
        <v>2</v>
      </c>
      <c r="EC80" s="43">
        <v>2.4</v>
      </c>
      <c r="ED80" s="43">
        <v>2.8</v>
      </c>
      <c r="EE80" s="43">
        <v>3.2</v>
      </c>
      <c r="EF80" s="43">
        <v>3.6</v>
      </c>
      <c r="EG80" s="43">
        <v>4</v>
      </c>
      <c r="EH80" s="43">
        <v>4.4000000000000004</v>
      </c>
      <c r="EI80" s="43">
        <v>4.8</v>
      </c>
      <c r="EJ80" s="43">
        <v>5.2</v>
      </c>
      <c r="EK80" s="43">
        <v>5.6</v>
      </c>
      <c r="EL80" s="43">
        <v>6</v>
      </c>
      <c r="EM80" s="43">
        <v>6.4</v>
      </c>
      <c r="EN80" s="43">
        <v>6.8</v>
      </c>
      <c r="EO80" s="43">
        <v>7.2</v>
      </c>
      <c r="EP80" s="43">
        <v>7.6</v>
      </c>
      <c r="EQ80" s="44">
        <v>8</v>
      </c>
    </row>
    <row r="81" spans="2:147" ht="15" customHeight="1" x14ac:dyDescent="0.25">
      <c r="B81" s="45">
        <v>7.4</v>
      </c>
      <c r="C81" s="46">
        <f>'LINEST VARS'!$U$60+'LINEST VARS'!$T$60*($C$80)+'LINEST VARS'!$S$60*($B81)+'LINEST VARS'!$R$60*(4)+'LINEST VARS'!$Q$60*(0.5)+'LINEST VARS'!$P$60*(12.73)+'LINEST VARS'!$O$60*($C$80^2)+'LINEST VARS'!$N$60*($B81^2)+'LINEST VARS'!$M$60*(4^2)+'LINEST VARS'!$L$60*(0.5^2)+'LINEST VARS'!$K$60*(12.73^2)+'LINEST VARS'!$J$60*($C$80*$B81)+'LINEST VARS'!$I$60*($C$80*4)+'LINEST VARS'!$H$60*($C$80*0.5)+'LINEST VARS'!$G$60*($C$80*12.73)+'LINEST VARS'!$F$60*($B81*4)+'LINEST VARS'!$E$60*($B81*0.5)+'LINEST VARS'!$D$60*($B81*12.73)+'LINEST VARS'!$C$60*(4*0.5)+'LINEST VARS'!$B$60*(4*12.73)+'LINEST VARS'!$A$60*(0.5*12.73)</f>
        <v>40.460000000000015</v>
      </c>
      <c r="D81" s="46">
        <f>'LINEST VARS'!$U$60+'LINEST VARS'!$T$60*($D$80)+'LINEST VARS'!$S$60*($B81)+'LINEST VARS'!$R$60*(4)+'LINEST VARS'!$Q$60*(0.5)+'LINEST VARS'!$P$60*(12.73)+'LINEST VARS'!$O$60*($D$80^2)+'LINEST VARS'!$N$60*($B81^2)+'LINEST VARS'!$M$60*(4^2)+'LINEST VARS'!$L$60*(0.5^2)+'LINEST VARS'!$K$60*(12.73^2)+'LINEST VARS'!$J$60*($D$80*$B81)+'LINEST VARS'!$I$60*($D$80*4)+'LINEST VARS'!$H$60*($D$80*0.5)+'LINEST VARS'!$G$60*($D$80*12.73)+'LINEST VARS'!$F$60*($B81*4)+'LINEST VARS'!$E$60*($B81*0.5)+'LINEST VARS'!$D$60*($B81*12.73)+'LINEST VARS'!$C$60*(4*0.5)+'LINEST VARS'!$B$60*(4*12.73)+'LINEST VARS'!$A$60*(0.5*12.73)</f>
        <v>40.460000000000008</v>
      </c>
      <c r="E81" s="46">
        <f>'LINEST VARS'!$U$60+'LINEST VARS'!$T$60*($E$80)+'LINEST VARS'!$S$60*($B81)+'LINEST VARS'!$R$60*(4)+'LINEST VARS'!$Q$60*(0.5)+'LINEST VARS'!$P$60*(12.73)+'LINEST VARS'!$O$60*($E$80^2)+'LINEST VARS'!$N$60*($B81^2)+'LINEST VARS'!$M$60*(4^2)+'LINEST VARS'!$L$60*(0.5^2)+'LINEST VARS'!$K$60*(12.73^2)+'LINEST VARS'!$J$60*($E$80*$B81)+'LINEST VARS'!$I$60*($E$80*4)+'LINEST VARS'!$H$60*($E$80*0.5)+'LINEST VARS'!$G$60*($E$80*12.73)+'LINEST VARS'!$F$60*($B81*4)+'LINEST VARS'!$E$60*($B81*0.5)+'LINEST VARS'!$D$60*($B81*12.73)+'LINEST VARS'!$C$60*(4*0.5)+'LINEST VARS'!$B$60*(4*12.73)+'LINEST VARS'!$A$60*(0.5*12.73)</f>
        <v>40.46</v>
      </c>
      <c r="F81" s="46">
        <f>'LINEST VARS'!$U$60+'LINEST VARS'!$T$60*($F$80)+'LINEST VARS'!$S$60*($B81)+'LINEST VARS'!$R$60*(4)+'LINEST VARS'!$Q$60*(0.5)+'LINEST VARS'!$P$60*(12.73)+'LINEST VARS'!$O$60*($F$80^2)+'LINEST VARS'!$N$60*($B81^2)+'LINEST VARS'!$M$60*(4^2)+'LINEST VARS'!$L$60*(0.5^2)+'LINEST VARS'!$K$60*(12.73^2)+'LINEST VARS'!$J$60*($F$80*$B81)+'LINEST VARS'!$I$60*($F$80*4)+'LINEST VARS'!$H$60*($F$80*0.5)+'LINEST VARS'!$G$60*($F$80*12.73)+'LINEST VARS'!$F$60*($B81*4)+'LINEST VARS'!$E$60*($B81*0.5)+'LINEST VARS'!$D$60*($B81*12.73)+'LINEST VARS'!$C$60*(4*0.5)+'LINEST VARS'!$B$60*(4*12.73)+'LINEST VARS'!$A$60*(0.5*12.73)</f>
        <v>40.46</v>
      </c>
      <c r="G81" s="46">
        <f>'LINEST VARS'!$U$60+'LINEST VARS'!$T$60*($G$80)+'LINEST VARS'!$S$60*($B81)+'LINEST VARS'!$R$60*(4)+'LINEST VARS'!$Q$60*(0.5)+'LINEST VARS'!$P$60*(12.73)+'LINEST VARS'!$O$60*($G$80^2)+'LINEST VARS'!$N$60*($B81^2)+'LINEST VARS'!$M$60*(4^2)+'LINEST VARS'!$L$60*(0.5^2)+'LINEST VARS'!$K$60*(12.73^2)+'LINEST VARS'!$J$60*($G$80*$B81)+'LINEST VARS'!$I$60*($G$80*4)+'LINEST VARS'!$H$60*($G$80*0.5)+'LINEST VARS'!$G$60*($G$80*12.73)+'LINEST VARS'!$F$60*($B81*4)+'LINEST VARS'!$E$60*($B81*0.5)+'LINEST VARS'!$D$60*($B81*12.73)+'LINEST VARS'!$C$60*(4*0.5)+'LINEST VARS'!$B$60*(4*12.73)+'LINEST VARS'!$A$60*(0.5*12.73)</f>
        <v>40.46</v>
      </c>
      <c r="H81" s="46">
        <f>'LINEST VARS'!$U$60+'LINEST VARS'!$T$60*($H$80)+'LINEST VARS'!$S$60*($B81)+'LINEST VARS'!$R$60*(4)+'LINEST VARS'!$Q$60*(0.5)+'LINEST VARS'!$P$60*(12.73)+'LINEST VARS'!$O$60*($H$80^2)+'LINEST VARS'!$N$60*($B81^2)+'LINEST VARS'!$M$60*(4^2)+'LINEST VARS'!$L$60*(0.5^2)+'LINEST VARS'!$K$60*(12.73^2)+'LINEST VARS'!$J$60*($H$80*$B81)+'LINEST VARS'!$I$60*($H$80*4)+'LINEST VARS'!$H$60*($H$80*0.5)+'LINEST VARS'!$G$60*($H$80*12.73)+'LINEST VARS'!$F$60*($B81*4)+'LINEST VARS'!$E$60*($B81*0.5)+'LINEST VARS'!$D$60*($B81*12.73)+'LINEST VARS'!$C$60*(4*0.5)+'LINEST VARS'!$B$60*(4*12.73)+'LINEST VARS'!$A$60*(0.5*12.73)</f>
        <v>40.46</v>
      </c>
      <c r="I81" s="46">
        <f>'LINEST VARS'!$U$60+'LINEST VARS'!$T$60*($I$80)+'LINEST VARS'!$S$60*($B81)+'LINEST VARS'!$R$60*(4)+'LINEST VARS'!$Q$60*(0.5)+'LINEST VARS'!$P$60*(12.73)+'LINEST VARS'!$O$60*($I$80^2)+'LINEST VARS'!$N$60*($B81^2)+'LINEST VARS'!$M$60*(4^2)+'LINEST VARS'!$L$60*(0.5^2)+'LINEST VARS'!$K$60*(12.73^2)+'LINEST VARS'!$J$60*($I$80*$B81)+'LINEST VARS'!$I$60*($I$80*4)+'LINEST VARS'!$H$60*($I$80*0.5)+'LINEST VARS'!$G$60*($I$80*12.73)+'LINEST VARS'!$F$60*($B81*4)+'LINEST VARS'!$E$60*($B81*0.5)+'LINEST VARS'!$D$60*($B81*12.73)+'LINEST VARS'!$C$60*(4*0.5)+'LINEST VARS'!$B$60*(4*12.73)+'LINEST VARS'!$A$60*(0.5*12.73)</f>
        <v>40.460000000000008</v>
      </c>
      <c r="J81" s="46">
        <f>'LINEST VARS'!$U$60+'LINEST VARS'!$T$60*($J$80)+'LINEST VARS'!$S$60*($B81)+'LINEST VARS'!$R$60*(4)+'LINEST VARS'!$Q$60*(0.5)+'LINEST VARS'!$P$60*(12.73)+'LINEST VARS'!$O$60*($J$80^2)+'LINEST VARS'!$N$60*($B81^2)+'LINEST VARS'!$M$60*(4^2)+'LINEST VARS'!$L$60*(0.5^2)+'LINEST VARS'!$K$60*(12.73^2)+'LINEST VARS'!$J$60*($J$80*$B81)+'LINEST VARS'!$I$60*($J$80*4)+'LINEST VARS'!$H$60*($J$80*0.5)+'LINEST VARS'!$G$60*($J$80*12.73)+'LINEST VARS'!$F$60*($B81*4)+'LINEST VARS'!$E$60*($B81*0.5)+'LINEST VARS'!$D$60*($B81*12.73)+'LINEST VARS'!$C$60*(4*0.5)+'LINEST VARS'!$B$60*(4*12.73)+'LINEST VARS'!$A$60*(0.5*12.73)</f>
        <v>40.460000000000008</v>
      </c>
      <c r="K81" s="46">
        <f>'LINEST VARS'!$U$60+'LINEST VARS'!$T$60*($K$80)+'LINEST VARS'!$S$60*($B81)+'LINEST VARS'!$R$60*(4)+'LINEST VARS'!$Q$60*(0.5)+'LINEST VARS'!$P$60*(12.73)+'LINEST VARS'!$O$60*($K$80^2)+'LINEST VARS'!$N$60*($B81^2)+'LINEST VARS'!$M$60*(4^2)+'LINEST VARS'!$L$60*(0.5^2)+'LINEST VARS'!$K$60*(12.73^2)+'LINEST VARS'!$J$60*($K$80*$B81)+'LINEST VARS'!$I$60*($K$80*4)+'LINEST VARS'!$H$60*($K$80*0.5)+'LINEST VARS'!$G$60*($K$80*12.73)+'LINEST VARS'!$F$60*($B81*4)+'LINEST VARS'!$E$60*($B81*0.5)+'LINEST VARS'!$D$60*($B81*12.73)+'LINEST VARS'!$C$60*(4*0.5)+'LINEST VARS'!$B$60*(4*12.73)+'LINEST VARS'!$A$60*(0.5*12.73)</f>
        <v>40.460000000000008</v>
      </c>
      <c r="L81" s="46">
        <f>'LINEST VARS'!$U$60+'LINEST VARS'!$T$60*($L$80)+'LINEST VARS'!$S$60*($B81)+'LINEST VARS'!$R$60*(4)+'LINEST VARS'!$Q$60*(0.5)+'LINEST VARS'!$P$60*(12.73)+'LINEST VARS'!$O$60*($L$80^2)+'LINEST VARS'!$N$60*($B81^2)+'LINEST VARS'!$M$60*(4^2)+'LINEST VARS'!$L$60*(0.5^2)+'LINEST VARS'!$K$60*(12.73^2)+'LINEST VARS'!$J$60*($L$80*$B81)+'LINEST VARS'!$I$60*($L$80*4)+'LINEST VARS'!$H$60*($L$80*0.5)+'LINEST VARS'!$G$60*($L$80*12.73)+'LINEST VARS'!$F$60*($B81*4)+'LINEST VARS'!$E$60*($B81*0.5)+'LINEST VARS'!$D$60*($B81*12.73)+'LINEST VARS'!$C$60*(4*0.5)+'LINEST VARS'!$B$60*(4*12.73)+'LINEST VARS'!$A$60*(0.5*12.73)</f>
        <v>40.460000000000008</v>
      </c>
      <c r="M81" s="46">
        <f>'LINEST VARS'!$U$60+'LINEST VARS'!$T$60*($M$80)+'LINEST VARS'!$S$60*($B81)+'LINEST VARS'!$R$60*(4)+'LINEST VARS'!$Q$60*(0.5)+'LINEST VARS'!$P$60*(12.73)+'LINEST VARS'!$O$60*($M$80^2)+'LINEST VARS'!$N$60*($B81^2)+'LINEST VARS'!$M$60*(4^2)+'LINEST VARS'!$L$60*(0.5^2)+'LINEST VARS'!$K$60*(12.73^2)+'LINEST VARS'!$J$60*($M$80*$B81)+'LINEST VARS'!$I$60*($M$80*4)+'LINEST VARS'!$H$60*($M$80*0.5)+'LINEST VARS'!$G$60*($M$80*12.73)+'LINEST VARS'!$F$60*($B81*4)+'LINEST VARS'!$E$60*($B81*0.5)+'LINEST VARS'!$D$60*($B81*12.73)+'LINEST VARS'!$C$60*(4*0.5)+'LINEST VARS'!$B$60*(4*12.73)+'LINEST VARS'!$A$60*(0.5*12.73)</f>
        <v>40.460000000000008</v>
      </c>
      <c r="N81" s="46">
        <f>'LINEST VARS'!$U$60+'LINEST VARS'!$T$60*($N$80)+'LINEST VARS'!$S$60*($B81)+'LINEST VARS'!$R$60*(4)+'LINEST VARS'!$Q$60*(0.5)+'LINEST VARS'!$P$60*(12.73)+'LINEST VARS'!$O$60*($N$80^2)+'LINEST VARS'!$N$60*($B81^2)+'LINEST VARS'!$M$60*(4^2)+'LINEST VARS'!$L$60*(0.5^2)+'LINEST VARS'!$K$60*(12.73^2)+'LINEST VARS'!$J$60*($N$80*$B81)+'LINEST VARS'!$I$60*($N$80*4)+'LINEST VARS'!$H$60*($N$80*0.5)+'LINEST VARS'!$G$60*($N$80*12.73)+'LINEST VARS'!$F$60*($B81*4)+'LINEST VARS'!$E$60*($B81*0.5)+'LINEST VARS'!$D$60*($B81*12.73)+'LINEST VARS'!$C$60*(4*0.5)+'LINEST VARS'!$B$60*(4*12.73)+'LINEST VARS'!$A$60*(0.5*12.73)</f>
        <v>40.460000000000008</v>
      </c>
      <c r="O81" s="46">
        <f>'LINEST VARS'!$U$60+'LINEST VARS'!$T$60*($O$80)+'LINEST VARS'!$S$60*($B81)+'LINEST VARS'!$R$60*(4)+'LINEST VARS'!$Q$60*(0.5)+'LINEST VARS'!$P$60*(12.73)+'LINEST VARS'!$O$60*($O$80^2)+'LINEST VARS'!$N$60*($B81^2)+'LINEST VARS'!$M$60*(4^2)+'LINEST VARS'!$L$60*(0.5^2)+'LINEST VARS'!$K$60*(12.73^2)+'LINEST VARS'!$J$60*($O$80*$B81)+'LINEST VARS'!$I$60*($O$80*4)+'LINEST VARS'!$H$60*($O$80*0.5)+'LINEST VARS'!$G$60*($O$80*12.73)+'LINEST VARS'!$F$60*($B81*4)+'LINEST VARS'!$E$60*($B81*0.5)+'LINEST VARS'!$D$60*($B81*12.73)+'LINEST VARS'!$C$60*(4*0.5)+'LINEST VARS'!$B$60*(4*12.73)+'LINEST VARS'!$A$60*(0.5*12.73)</f>
        <v>40.460000000000015</v>
      </c>
      <c r="P81" s="46">
        <f>'LINEST VARS'!$U$60+'LINEST VARS'!$T$60*($P$80)+'LINEST VARS'!$S$60*($B81)+'LINEST VARS'!$R$60*(4)+'LINEST VARS'!$Q$60*(0.5)+'LINEST VARS'!$P$60*(12.73)+'LINEST VARS'!$O$60*($P$80^2)+'LINEST VARS'!$N$60*($B81^2)+'LINEST VARS'!$M$60*(4^2)+'LINEST VARS'!$L$60*(0.5^2)+'LINEST VARS'!$K$60*(12.73^2)+'LINEST VARS'!$J$60*($P$80*$B81)+'LINEST VARS'!$I$60*($P$80*4)+'LINEST VARS'!$H$60*($P$80*0.5)+'LINEST VARS'!$G$60*($P$80*12.73)+'LINEST VARS'!$F$60*($B81*4)+'LINEST VARS'!$E$60*($B81*0.5)+'LINEST VARS'!$D$60*($B81*12.73)+'LINEST VARS'!$C$60*(4*0.5)+'LINEST VARS'!$B$60*(4*12.73)+'LINEST VARS'!$A$60*(0.5*12.73)</f>
        <v>40.460000000000015</v>
      </c>
      <c r="Q81" s="46">
        <f>'LINEST VARS'!$U$60+'LINEST VARS'!$T$60*($Q$80)+'LINEST VARS'!$S$60*($B81)+'LINEST VARS'!$R$60*(4)+'LINEST VARS'!$Q$60*(0.5)+'LINEST VARS'!$P$60*(12.73)+'LINEST VARS'!$O$60*($Q$80^2)+'LINEST VARS'!$N$60*($B81^2)+'LINEST VARS'!$M$60*(4^2)+'LINEST VARS'!$L$60*(0.5^2)+'LINEST VARS'!$K$60*(12.73^2)+'LINEST VARS'!$J$60*($Q$80*$B81)+'LINEST VARS'!$I$60*($Q$80*4)+'LINEST VARS'!$H$60*($Q$80*0.5)+'LINEST VARS'!$G$60*($Q$80*12.73)+'LINEST VARS'!$F$60*($B81*4)+'LINEST VARS'!$E$60*($B81*0.5)+'LINEST VARS'!$D$60*($B81*12.73)+'LINEST VARS'!$C$60*(4*0.5)+'LINEST VARS'!$B$60*(4*12.73)+'LINEST VARS'!$A$60*(0.5*12.73)</f>
        <v>40.460000000000015</v>
      </c>
      <c r="R81" s="46">
        <f>'LINEST VARS'!$U$60+'LINEST VARS'!$T$60*($R$80)+'LINEST VARS'!$S$60*($B81)+'LINEST VARS'!$R$60*(4)+'LINEST VARS'!$Q$60*(0.5)+'LINEST VARS'!$P$60*(12.73)+'LINEST VARS'!$O$60*($R$80^2)+'LINEST VARS'!$N$60*($B81^2)+'LINEST VARS'!$M$60*(4^2)+'LINEST VARS'!$L$60*(0.5^2)+'LINEST VARS'!$K$60*(12.73^2)+'LINEST VARS'!$J$60*($R$80*$B81)+'LINEST VARS'!$I$60*($R$80*4)+'LINEST VARS'!$H$60*($R$80*0.5)+'LINEST VARS'!$G$60*($R$80*12.73)+'LINEST VARS'!$F$60*($B81*4)+'LINEST VARS'!$E$60*($B81*0.5)+'LINEST VARS'!$D$60*($B81*12.73)+'LINEST VARS'!$C$60*(4*0.5)+'LINEST VARS'!$B$60*(4*12.73)+'LINEST VARS'!$A$60*(0.5*12.73)</f>
        <v>40.460000000000015</v>
      </c>
      <c r="S81" s="46">
        <f>'LINEST VARS'!$U$60+'LINEST VARS'!$T$60*($S$80)+'LINEST VARS'!$S$60*($B81)+'LINEST VARS'!$R$60*(4)+'LINEST VARS'!$Q$60*(0.5)+'LINEST VARS'!$P$60*(12.73)+'LINEST VARS'!$O$60*($S$80^2)+'LINEST VARS'!$N$60*($B81^2)+'LINEST VARS'!$M$60*(4^2)+'LINEST VARS'!$L$60*(0.5^2)+'LINEST VARS'!$K$60*(12.73^2)+'LINEST VARS'!$J$60*($S$80*$B81)+'LINEST VARS'!$I$60*($S$80*4)+'LINEST VARS'!$H$60*($S$80*0.5)+'LINEST VARS'!$G$60*($S$80*12.73)+'LINEST VARS'!$F$60*($B81*4)+'LINEST VARS'!$E$60*($B81*0.5)+'LINEST VARS'!$D$60*($B81*12.73)+'LINEST VARS'!$C$60*(4*0.5)+'LINEST VARS'!$B$60*(4*12.73)+'LINEST VARS'!$A$60*(0.5*12.73)</f>
        <v>40.460000000000015</v>
      </c>
      <c r="T81" s="46">
        <f>'LINEST VARS'!$U$60+'LINEST VARS'!$T$60*($T$80)+'LINEST VARS'!$S$60*($B81)+'LINEST VARS'!$R$60*(4)+'LINEST VARS'!$Q$60*(0.5)+'LINEST VARS'!$P$60*(12.73)+'LINEST VARS'!$O$60*($T$80^2)+'LINEST VARS'!$N$60*($B81^2)+'LINEST VARS'!$M$60*(4^2)+'LINEST VARS'!$L$60*(0.5^2)+'LINEST VARS'!$K$60*(12.73^2)+'LINEST VARS'!$J$60*($T$80*$B81)+'LINEST VARS'!$I$60*($T$80*4)+'LINEST VARS'!$H$60*($T$80*0.5)+'LINEST VARS'!$G$60*($T$80*12.73)+'LINEST VARS'!$F$60*($B81*4)+'LINEST VARS'!$E$60*($B81*0.5)+'LINEST VARS'!$D$60*($B81*12.73)+'LINEST VARS'!$C$60*(4*0.5)+'LINEST VARS'!$B$60*(4*12.73)+'LINEST VARS'!$A$60*(0.5*12.73)</f>
        <v>40.460000000000015</v>
      </c>
      <c r="U81" s="46">
        <f>'LINEST VARS'!$U$60+'LINEST VARS'!$T$60*($U$80)+'LINEST VARS'!$S$60*($B81)+'LINEST VARS'!$R$60*(4)+'LINEST VARS'!$Q$60*(0.5)+'LINEST VARS'!$P$60*(12.73)+'LINEST VARS'!$O$60*($U$80^2)+'LINEST VARS'!$N$60*($B81^2)+'LINEST VARS'!$M$60*(4^2)+'LINEST VARS'!$L$60*(0.5^2)+'LINEST VARS'!$K$60*(12.73^2)+'LINEST VARS'!$J$60*($U$80*$B81)+'LINEST VARS'!$I$60*($U$80*4)+'LINEST VARS'!$H$60*($U$80*0.5)+'LINEST VARS'!$G$60*($U$80*12.73)+'LINEST VARS'!$F$60*($B81*4)+'LINEST VARS'!$E$60*($B81*0.5)+'LINEST VARS'!$D$60*($B81*12.73)+'LINEST VARS'!$C$60*(4*0.5)+'LINEST VARS'!$B$60*(4*12.73)+'LINEST VARS'!$A$60*(0.5*12.73)</f>
        <v>40.460000000000022</v>
      </c>
      <c r="V81" s="46">
        <f>'LINEST VARS'!$U$60+'LINEST VARS'!$T$60*($V$80)+'LINEST VARS'!$S$60*($B81)+'LINEST VARS'!$R$60*(4)+'LINEST VARS'!$Q$60*(0.5)+'LINEST VARS'!$P$60*(12.73)+'LINEST VARS'!$O$60*($V$80^2)+'LINEST VARS'!$N$60*($B81^2)+'LINEST VARS'!$M$60*(4^2)+'LINEST VARS'!$L$60*(0.5^2)+'LINEST VARS'!$K$60*(12.73^2)+'LINEST VARS'!$J$60*($V$80*$B81)+'LINEST VARS'!$I$60*($V$80*4)+'LINEST VARS'!$H$60*($V$80*0.5)+'LINEST VARS'!$G$60*($V$80*12.73)+'LINEST VARS'!$F$60*($B81*4)+'LINEST VARS'!$E$60*($B81*0.5)+'LINEST VARS'!$D$60*($B81*12.73)+'LINEST VARS'!$C$60*(4*0.5)+'LINEST VARS'!$B$60*(4*12.73)+'LINEST VARS'!$A$60*(0.5*12.73)</f>
        <v>40.460000000000008</v>
      </c>
      <c r="W81" s="47">
        <f>'LINEST VARS'!$U$60+'LINEST VARS'!$T$60*($W$80)+'LINEST VARS'!$S$60*($B81)+'LINEST VARS'!$R$60*(4)+'LINEST VARS'!$Q$60*(0.5)+'LINEST VARS'!$P$60*(12.73)+'LINEST VARS'!$O$60*($W$80^2)+'LINEST VARS'!$N$60*($B81^2)+'LINEST VARS'!$M$60*(4^2)+'LINEST VARS'!$L$60*(0.5^2)+'LINEST VARS'!$K$60*(12.73^2)+'LINEST VARS'!$J$60*($W$80*$B81)+'LINEST VARS'!$I$60*($W$80*4)+'LINEST VARS'!$H$60*($W$80*0.5)+'LINEST VARS'!$G$60*($W$80*12.73)+'LINEST VARS'!$F$60*($B81*4)+'LINEST VARS'!$E$60*($B81*0.5)+'LINEST VARS'!$D$60*($B81*12.73)+'LINEST VARS'!$C$60*(4*0.5)+'LINEST VARS'!$B$60*(4*12.73)+'LINEST VARS'!$A$60*(0.5*12.73)</f>
        <v>40.460000000000008</v>
      </c>
      <c r="Z81" s="45">
        <v>7.4</v>
      </c>
      <c r="AA81" s="55">
        <f>'LINEST VARS'!$U$62+'LINEST VARS'!$T$62*($AA$80)+'LINEST VARS'!$S$62*($Z81)+'LINEST VARS'!$R$62*(4)+'LINEST VARS'!$Q$62*(0.5)+'LINEST VARS'!$P$62*(12.73)+'LINEST VARS'!$O$62*($AA$80^2)+'LINEST VARS'!$N$62*($Z81^2)+'LINEST VARS'!$M$62*(4^2)+'LINEST VARS'!$L$62*(0.5^2)+'LINEST VARS'!$K$62*(12.73^2)+'LINEST VARS'!$J$62*($AA$80*$Z81)+'LINEST VARS'!$I$62*($AA$80*4)+'LINEST VARS'!$H$62*($AA$80*0.5)+'LINEST VARS'!$G$62*($AA$80*12.73)+'LINEST VARS'!$F$62*($Z81*4)+'LINEST VARS'!$E$62*($Z81*0.5)+'LINEST VARS'!$D$62*($Z81*12.73)+'LINEST VARS'!$C$62*(4*0.5)+'LINEST VARS'!$B$62*(4*12.73)+'LINEST VARS'!$A$62*(0.5*12.73)</f>
        <v>269.5</v>
      </c>
      <c r="AB81" s="55">
        <f>'LINEST VARS'!$U$62+'LINEST VARS'!$T$62*($AB$80)+'LINEST VARS'!$S$62*($Z81)+'LINEST VARS'!$R$62*(4)+'LINEST VARS'!$Q$62*(0.5)+'LINEST VARS'!$P$62*(12.73)+'LINEST VARS'!$O$62*($AB$80^2)+'LINEST VARS'!$N$62*($Z81^2)+'LINEST VARS'!$M$62*(4^2)+'LINEST VARS'!$L$62*(0.5^2)+'LINEST VARS'!$K$62*(12.73^2)+'LINEST VARS'!$J$62*($AB$80*$Z81)+'LINEST VARS'!$I$62*($AB$80*4)+'LINEST VARS'!$H$62*($AB$80*0.5)+'LINEST VARS'!$G$62*($AB$80*12.73)+'LINEST VARS'!$F$62*($Z81*4)+'LINEST VARS'!$E$62*($Z81*0.5)+'LINEST VARS'!$D$62*($Z81*12.73)+'LINEST VARS'!$C$62*(4*0.5)+'LINEST VARS'!$B$62*(4*12.73)+'LINEST VARS'!$A$62*(0.5*12.73)</f>
        <v>269.50000000000006</v>
      </c>
      <c r="AC81" s="55">
        <f>'LINEST VARS'!$U$62+'LINEST VARS'!$T$62*($AC$80)+'LINEST VARS'!$S$62*($Z81)+'LINEST VARS'!$R$62*(4)+'LINEST VARS'!$Q$62*(0.5)+'LINEST VARS'!$P$62*(12.73)+'LINEST VARS'!$O$62*($AC$80^2)+'LINEST VARS'!$N$62*($Z81^2)+'LINEST VARS'!$M$62*(4^2)+'LINEST VARS'!$L$62*(0.5^2)+'LINEST VARS'!$K$62*(12.73^2)+'LINEST VARS'!$J$62*($AC$80*$Z81)+'LINEST VARS'!$I$62*($AC$80*4)+'LINEST VARS'!$H$62*($AC$80*0.5)+'LINEST VARS'!$G$62*($AC$80*12.73)+'LINEST VARS'!$F$62*($Z81*4)+'LINEST VARS'!$E$62*($Z81*0.5)+'LINEST VARS'!$D$62*($Z81*12.73)+'LINEST VARS'!$C$62*(4*0.5)+'LINEST VARS'!$B$62*(4*12.73)+'LINEST VARS'!$A$62*(0.5*12.73)</f>
        <v>269.5</v>
      </c>
      <c r="AD81" s="55">
        <f>'LINEST VARS'!$U$62+'LINEST VARS'!$T$62*($AD$80)+'LINEST VARS'!$S$62*($Z81)+'LINEST VARS'!$R$62*(4)+'LINEST VARS'!$Q$62*(0.5)+'LINEST VARS'!$P$62*(12.73)+'LINEST VARS'!$O$62*($AD$80^2)+'LINEST VARS'!$N$62*($Z81^2)+'LINEST VARS'!$M$62*(4^2)+'LINEST VARS'!$L$62*(0.5^2)+'LINEST VARS'!$K$62*(12.73^2)+'LINEST VARS'!$J$62*($AD$80*$Z81)+'LINEST VARS'!$I$62*($AD$80*4)+'LINEST VARS'!$H$62*($AD$80*0.5)+'LINEST VARS'!$G$62*($AD$80*12.73)+'LINEST VARS'!$F$62*($Z81*4)+'LINEST VARS'!$E$62*($Z81*0.5)+'LINEST VARS'!$D$62*($Z81*12.73)+'LINEST VARS'!$C$62*(4*0.5)+'LINEST VARS'!$B$62*(4*12.73)+'LINEST VARS'!$A$62*(0.5*12.73)</f>
        <v>269.50000000000006</v>
      </c>
      <c r="AE81" s="55">
        <f>'LINEST VARS'!$U$62+'LINEST VARS'!$T$62*($AE$80)+'LINEST VARS'!$S$62*($Z81)+'LINEST VARS'!$R$62*(4)+'LINEST VARS'!$Q$62*(0.5)+'LINEST VARS'!$P$62*(12.73)+'LINEST VARS'!$O$62*($AE$80^2)+'LINEST VARS'!$N$62*($Z81^2)+'LINEST VARS'!$M$62*(4^2)+'LINEST VARS'!$L$62*(0.5^2)+'LINEST VARS'!$K$62*(12.73^2)+'LINEST VARS'!$J$62*($AE$80*$Z81)+'LINEST VARS'!$I$62*($AE$80*4)+'LINEST VARS'!$H$62*($AE$80*0.5)+'LINEST VARS'!$G$62*($AE$80*12.73)+'LINEST VARS'!$F$62*($Z81*4)+'LINEST VARS'!$E$62*($Z81*0.5)+'LINEST VARS'!$D$62*($Z81*12.73)+'LINEST VARS'!$C$62*(4*0.5)+'LINEST VARS'!$B$62*(4*12.73)+'LINEST VARS'!$A$62*(0.5*12.73)</f>
        <v>269.5</v>
      </c>
      <c r="AF81" s="55">
        <f>'LINEST VARS'!$U$62+'LINEST VARS'!$T$62*($AF$80)+'LINEST VARS'!$S$62*($Z81)+'LINEST VARS'!$R$62*(4)+'LINEST VARS'!$Q$62*(0.5)+'LINEST VARS'!$P$62*(12.73)+'LINEST VARS'!$O$62*($AF$80^2)+'LINEST VARS'!$N$62*($Z81^2)+'LINEST VARS'!$M$62*(4^2)+'LINEST VARS'!$L$62*(0.5^2)+'LINEST VARS'!$K$62*(12.73^2)+'LINEST VARS'!$J$62*($AF$80*$Z81)+'LINEST VARS'!$I$62*($AF$80*4)+'LINEST VARS'!$H$62*($AF$80*0.5)+'LINEST VARS'!$G$62*($AF$80*12.73)+'LINEST VARS'!$F$62*($Z81*4)+'LINEST VARS'!$E$62*($Z81*0.5)+'LINEST VARS'!$D$62*($Z81*12.73)+'LINEST VARS'!$C$62*(4*0.5)+'LINEST VARS'!$B$62*(4*12.73)+'LINEST VARS'!$A$62*(0.5*12.73)</f>
        <v>269.49999999999994</v>
      </c>
      <c r="AG81" s="55">
        <f>'LINEST VARS'!$U$62+'LINEST VARS'!$T$62*($AG$80)+'LINEST VARS'!$S$62*($Z81)+'LINEST VARS'!$R$62*(4)+'LINEST VARS'!$Q$62*(0.5)+'LINEST VARS'!$P$62*(12.73)+'LINEST VARS'!$O$62*($AG$80^2)+'LINEST VARS'!$N$62*($Z81^2)+'LINEST VARS'!$M$62*(4^2)+'LINEST VARS'!$L$62*(0.5^2)+'LINEST VARS'!$K$62*(12.73^2)+'LINEST VARS'!$J$62*($AG$80*$Z81)+'LINEST VARS'!$I$62*($AG$80*4)+'LINEST VARS'!$H$62*($AG$80*0.5)+'LINEST VARS'!$G$62*($AG$80*12.73)+'LINEST VARS'!$F$62*($Z81*4)+'LINEST VARS'!$E$62*($Z81*0.5)+'LINEST VARS'!$D$62*($Z81*12.73)+'LINEST VARS'!$C$62*(4*0.5)+'LINEST VARS'!$B$62*(4*12.73)+'LINEST VARS'!$A$62*(0.5*12.73)</f>
        <v>269.50000000000006</v>
      </c>
      <c r="AH81" s="55">
        <f>'LINEST VARS'!$U$62+'LINEST VARS'!$T$62*($AH$80)+'LINEST VARS'!$S$62*($Z81)+'LINEST VARS'!$R$62*(4)+'LINEST VARS'!$Q$62*(0.5)+'LINEST VARS'!$P$62*(12.73)+'LINEST VARS'!$O$62*($AH$80^2)+'LINEST VARS'!$N$62*($Z81^2)+'LINEST VARS'!$M$62*(4^2)+'LINEST VARS'!$L$62*(0.5^2)+'LINEST VARS'!$K$62*(12.73^2)+'LINEST VARS'!$J$62*($AH$80*$Z81)+'LINEST VARS'!$I$62*($AH$80*4)+'LINEST VARS'!$H$62*($AH$80*0.5)+'LINEST VARS'!$G$62*($AH$80*12.73)+'LINEST VARS'!$F$62*($Z81*4)+'LINEST VARS'!$E$62*($Z81*0.5)+'LINEST VARS'!$D$62*($Z81*12.73)+'LINEST VARS'!$C$62*(4*0.5)+'LINEST VARS'!$B$62*(4*12.73)+'LINEST VARS'!$A$62*(0.5*12.73)</f>
        <v>269.5</v>
      </c>
      <c r="AI81" s="55">
        <f>'LINEST VARS'!$U$62+'LINEST VARS'!$T$62*($AI$80)+'LINEST VARS'!$S$62*($Z81)+'LINEST VARS'!$R$62*(4)+'LINEST VARS'!$Q$62*(0.5)+'LINEST VARS'!$P$62*(12.73)+'LINEST VARS'!$O$62*($AI$80^2)+'LINEST VARS'!$N$62*($Z81^2)+'LINEST VARS'!$M$62*(4^2)+'LINEST VARS'!$L$62*(0.5^2)+'LINEST VARS'!$K$62*(12.73^2)+'LINEST VARS'!$J$62*($AI$80*$Z81)+'LINEST VARS'!$I$62*($AI$80*4)+'LINEST VARS'!$H$62*($AI$80*0.5)+'LINEST VARS'!$G$62*($AI$80*12.73)+'LINEST VARS'!$F$62*($Z81*4)+'LINEST VARS'!$E$62*($Z81*0.5)+'LINEST VARS'!$D$62*($Z81*12.73)+'LINEST VARS'!$C$62*(4*0.5)+'LINEST VARS'!$B$62*(4*12.73)+'LINEST VARS'!$A$62*(0.5*12.73)</f>
        <v>269.5</v>
      </c>
      <c r="AJ81" s="55">
        <f>'LINEST VARS'!$U$62+'LINEST VARS'!$T$62*($AJ$80)+'LINEST VARS'!$S$62*($Z81)+'LINEST VARS'!$R$62*(4)+'LINEST VARS'!$Q$62*(0.5)+'LINEST VARS'!$P$62*(12.73)+'LINEST VARS'!$O$62*($AJ$80^2)+'LINEST VARS'!$N$62*($Z81^2)+'LINEST VARS'!$M$62*(4^2)+'LINEST VARS'!$L$62*(0.5^2)+'LINEST VARS'!$K$62*(12.73^2)+'LINEST VARS'!$J$62*($AJ$80*$Z81)+'LINEST VARS'!$I$62*($AJ$80*4)+'LINEST VARS'!$H$62*($AJ$80*0.5)+'LINEST VARS'!$G$62*($AJ$80*12.73)+'LINEST VARS'!$F$62*($Z81*4)+'LINEST VARS'!$E$62*($Z81*0.5)+'LINEST VARS'!$D$62*($Z81*12.73)+'LINEST VARS'!$C$62*(4*0.5)+'LINEST VARS'!$B$62*(4*12.73)+'LINEST VARS'!$A$62*(0.5*12.73)</f>
        <v>269.5</v>
      </c>
      <c r="AK81" s="55">
        <f>'LINEST VARS'!$U$62+'LINEST VARS'!$T$62*($AK$80)+'LINEST VARS'!$S$62*($Z81)+'LINEST VARS'!$R$62*(4)+'LINEST VARS'!$Q$62*(0.5)+'LINEST VARS'!$P$62*(12.73)+'LINEST VARS'!$O$62*($AK$80^2)+'LINEST VARS'!$N$62*($Z81^2)+'LINEST VARS'!$M$62*(4^2)+'LINEST VARS'!$L$62*(0.5^2)+'LINEST VARS'!$K$62*(12.73^2)+'LINEST VARS'!$J$62*($AK$80*$Z81)+'LINEST VARS'!$I$62*($AK$80*4)+'LINEST VARS'!$H$62*($AK$80*0.5)+'LINEST VARS'!$G$62*($AK$80*12.73)+'LINEST VARS'!$F$62*($Z81*4)+'LINEST VARS'!$E$62*($Z81*0.5)+'LINEST VARS'!$D$62*($Z81*12.73)+'LINEST VARS'!$C$62*(4*0.5)+'LINEST VARS'!$B$62*(4*12.73)+'LINEST VARS'!$A$62*(0.5*12.73)</f>
        <v>269.5</v>
      </c>
      <c r="AL81" s="55">
        <f>'LINEST VARS'!$U$62+'LINEST VARS'!$T$62*($AL$80)+'LINEST VARS'!$S$62*($Z81)+'LINEST VARS'!$R$62*(4)+'LINEST VARS'!$Q$62*(0.5)+'LINEST VARS'!$P$62*(12.73)+'LINEST VARS'!$O$62*($AL$80^2)+'LINEST VARS'!$N$62*($Z81^2)+'LINEST VARS'!$M$62*(4^2)+'LINEST VARS'!$L$62*(0.5^2)+'LINEST VARS'!$K$62*(12.73^2)+'LINEST VARS'!$J$62*($AL$80*$Z81)+'LINEST VARS'!$I$62*($AL$80*4)+'LINEST VARS'!$H$62*($AL$80*0.5)+'LINEST VARS'!$G$62*($AL$80*12.73)+'LINEST VARS'!$F$62*($Z81*4)+'LINEST VARS'!$E$62*($Z81*0.5)+'LINEST VARS'!$D$62*($Z81*12.73)+'LINEST VARS'!$C$62*(4*0.5)+'LINEST VARS'!$B$62*(4*12.73)+'LINEST VARS'!$A$62*(0.5*12.73)</f>
        <v>269.5</v>
      </c>
      <c r="AM81" s="55">
        <f>'LINEST VARS'!$U$62+'LINEST VARS'!$T$62*($AM$80)+'LINEST VARS'!$S$62*($Z81)+'LINEST VARS'!$R$62*(4)+'LINEST VARS'!$Q$62*(0.5)+'LINEST VARS'!$P$62*(12.73)+'LINEST VARS'!$O$62*($AM$80^2)+'LINEST VARS'!$N$62*($Z81^2)+'LINEST VARS'!$M$62*(4^2)+'LINEST VARS'!$L$62*(0.5^2)+'LINEST VARS'!$K$62*(12.73^2)+'LINEST VARS'!$J$62*($AM$80*$Z81)+'LINEST VARS'!$I$62*($AM$80*4)+'LINEST VARS'!$H$62*($AM$80*0.5)+'LINEST VARS'!$G$62*($AM$80*12.73)+'LINEST VARS'!$F$62*($Z81*4)+'LINEST VARS'!$E$62*($Z81*0.5)+'LINEST VARS'!$D$62*($Z81*12.73)+'LINEST VARS'!$C$62*(4*0.5)+'LINEST VARS'!$B$62*(4*12.73)+'LINEST VARS'!$A$62*(0.5*12.73)</f>
        <v>269.5</v>
      </c>
      <c r="AN81" s="55">
        <f>'LINEST VARS'!$U$62+'LINEST VARS'!$T$62*($AN$80)+'LINEST VARS'!$S$62*($Z81)+'LINEST VARS'!$R$62*(4)+'LINEST VARS'!$Q$62*(0.5)+'LINEST VARS'!$P$62*(12.73)+'LINEST VARS'!$O$62*($AN$80^2)+'LINEST VARS'!$N$62*($Z81^2)+'LINEST VARS'!$M$62*(4^2)+'LINEST VARS'!$L$62*(0.5^2)+'LINEST VARS'!$K$62*(12.73^2)+'LINEST VARS'!$J$62*($AN$80*$Z81)+'LINEST VARS'!$I$62*($AN$80*4)+'LINEST VARS'!$H$62*($AN$80*0.5)+'LINEST VARS'!$G$62*($AN$80*12.73)+'LINEST VARS'!$F$62*($Z81*4)+'LINEST VARS'!$E$62*($Z81*0.5)+'LINEST VARS'!$D$62*($Z81*12.73)+'LINEST VARS'!$C$62*(4*0.5)+'LINEST VARS'!$B$62*(4*12.73)+'LINEST VARS'!$A$62*(0.5*12.73)</f>
        <v>269.5</v>
      </c>
      <c r="AO81" s="55">
        <f>'LINEST VARS'!$U$62+'LINEST VARS'!$T$62*($AO$80)+'LINEST VARS'!$S$62*($Z81)+'LINEST VARS'!$R$62*(4)+'LINEST VARS'!$Q$62*(0.5)+'LINEST VARS'!$P$62*(12.73)+'LINEST VARS'!$O$62*($AO$80^2)+'LINEST VARS'!$N$62*($Z81^2)+'LINEST VARS'!$M$62*(4^2)+'LINEST VARS'!$L$62*(0.5^2)+'LINEST VARS'!$K$62*(12.73^2)+'LINEST VARS'!$J$62*($AO$80*$Z81)+'LINEST VARS'!$I$62*($AO$80*4)+'LINEST VARS'!$H$62*($AO$80*0.5)+'LINEST VARS'!$G$62*($AO$80*12.73)+'LINEST VARS'!$F$62*($Z81*4)+'LINEST VARS'!$E$62*($Z81*0.5)+'LINEST VARS'!$D$62*($Z81*12.73)+'LINEST VARS'!$C$62*(4*0.5)+'LINEST VARS'!$B$62*(4*12.73)+'LINEST VARS'!$A$62*(0.5*12.73)</f>
        <v>269.5</v>
      </c>
      <c r="AP81" s="55">
        <f>'LINEST VARS'!$U$62+'LINEST VARS'!$T$62*($AP$80)+'LINEST VARS'!$S$62*($Z81)+'LINEST VARS'!$R$62*(4)+'LINEST VARS'!$Q$62*(0.5)+'LINEST VARS'!$P$62*(12.73)+'LINEST VARS'!$O$62*($AP$80^2)+'LINEST VARS'!$N$62*($Z81^2)+'LINEST VARS'!$M$62*(4^2)+'LINEST VARS'!$L$62*(0.5^2)+'LINEST VARS'!$K$62*(12.73^2)+'LINEST VARS'!$J$62*($AP$80*$Z81)+'LINEST VARS'!$I$62*($AP$80*4)+'LINEST VARS'!$H$62*($AP$80*0.5)+'LINEST VARS'!$G$62*($AP$80*12.73)+'LINEST VARS'!$F$62*($Z81*4)+'LINEST VARS'!$E$62*($Z81*0.5)+'LINEST VARS'!$D$62*($Z81*12.73)+'LINEST VARS'!$C$62*(4*0.5)+'LINEST VARS'!$B$62*(4*12.73)+'LINEST VARS'!$A$62*(0.5*12.73)</f>
        <v>269.5</v>
      </c>
      <c r="AQ81" s="55">
        <f>'LINEST VARS'!$U$62+'LINEST VARS'!$T$62*($AQ$80)+'LINEST VARS'!$S$62*($Z81)+'LINEST VARS'!$R$62*(4)+'LINEST VARS'!$Q$62*(0.5)+'LINEST VARS'!$P$62*(12.73)+'LINEST VARS'!$O$62*($AQ$80^2)+'LINEST VARS'!$N$62*($Z81^2)+'LINEST VARS'!$M$62*(4^2)+'LINEST VARS'!$L$62*(0.5^2)+'LINEST VARS'!$K$62*(12.73^2)+'LINEST VARS'!$J$62*($AQ$80*$Z81)+'LINEST VARS'!$I$62*($AQ$80*4)+'LINEST VARS'!$H$62*($AQ$80*0.5)+'LINEST VARS'!$G$62*($AQ$80*12.73)+'LINEST VARS'!$F$62*($Z81*4)+'LINEST VARS'!$E$62*($Z81*0.5)+'LINEST VARS'!$D$62*($Z81*12.73)+'LINEST VARS'!$C$62*(4*0.5)+'LINEST VARS'!$B$62*(4*12.73)+'LINEST VARS'!$A$62*(0.5*12.73)</f>
        <v>269.49999999999994</v>
      </c>
      <c r="AR81" s="55">
        <f>'LINEST VARS'!$U$62+'LINEST VARS'!$T$62*($AR$80)+'LINEST VARS'!$S$62*($Z81)+'LINEST VARS'!$R$62*(4)+'LINEST VARS'!$Q$62*(0.5)+'LINEST VARS'!$P$62*(12.73)+'LINEST VARS'!$O$62*($AR$80^2)+'LINEST VARS'!$N$62*($Z81^2)+'LINEST VARS'!$M$62*(4^2)+'LINEST VARS'!$L$62*(0.5^2)+'LINEST VARS'!$K$62*(12.73^2)+'LINEST VARS'!$J$62*($AR$80*$Z81)+'LINEST VARS'!$I$62*($AR$80*4)+'LINEST VARS'!$H$62*($AR$80*0.5)+'LINEST VARS'!$G$62*($AR$80*12.73)+'LINEST VARS'!$F$62*($Z81*4)+'LINEST VARS'!$E$62*($Z81*0.5)+'LINEST VARS'!$D$62*($Z81*12.73)+'LINEST VARS'!$C$62*(4*0.5)+'LINEST VARS'!$B$62*(4*12.73)+'LINEST VARS'!$A$62*(0.5*12.73)</f>
        <v>269.50000000000006</v>
      </c>
      <c r="AS81" s="55">
        <f>'LINEST VARS'!$U$62+'LINEST VARS'!$T$62*($AS$80)+'LINEST VARS'!$S$62*($Z81)+'LINEST VARS'!$R$62*(4)+'LINEST VARS'!$Q$62*(0.5)+'LINEST VARS'!$P$62*(12.73)+'LINEST VARS'!$O$62*($AS$80^2)+'LINEST VARS'!$N$62*($Z81^2)+'LINEST VARS'!$M$62*(4^2)+'LINEST VARS'!$L$62*(0.5^2)+'LINEST VARS'!$K$62*(12.73^2)+'LINEST VARS'!$J$62*($AS$80*$Z81)+'LINEST VARS'!$I$62*($AS$80*4)+'LINEST VARS'!$H$62*($AS$80*0.5)+'LINEST VARS'!$G$62*($AS$80*12.73)+'LINEST VARS'!$F$62*($Z81*4)+'LINEST VARS'!$E$62*($Z81*0.5)+'LINEST VARS'!$D$62*($Z81*12.73)+'LINEST VARS'!$C$62*(4*0.5)+'LINEST VARS'!$B$62*(4*12.73)+'LINEST VARS'!$A$62*(0.5*12.73)</f>
        <v>269.5</v>
      </c>
      <c r="AT81" s="55">
        <f>'LINEST VARS'!$U$62+'LINEST VARS'!$T$62*($AT$80)+'LINEST VARS'!$S$62*($Z81)+'LINEST VARS'!$R$62*(4)+'LINEST VARS'!$Q$62*(0.5)+'LINEST VARS'!$P$62*(12.73)+'LINEST VARS'!$O$62*($AT$80^2)+'LINEST VARS'!$N$62*($Z81^2)+'LINEST VARS'!$M$62*(4^2)+'LINEST VARS'!$L$62*(0.5^2)+'LINEST VARS'!$K$62*(12.73^2)+'LINEST VARS'!$J$62*($AT$80*$Z81)+'LINEST VARS'!$I$62*($AT$80*4)+'LINEST VARS'!$H$62*($AT$80*0.5)+'LINEST VARS'!$G$62*($AT$80*12.73)+'LINEST VARS'!$F$62*($Z81*4)+'LINEST VARS'!$E$62*($Z81*0.5)+'LINEST VARS'!$D$62*($Z81*12.73)+'LINEST VARS'!$C$62*(4*0.5)+'LINEST VARS'!$B$62*(4*12.73)+'LINEST VARS'!$A$62*(0.5*12.73)</f>
        <v>269.5</v>
      </c>
      <c r="AU81" s="56">
        <f>'LINEST VARS'!$U$62+'LINEST VARS'!$T$62*($AU$80)+'LINEST VARS'!$S$62*($Z81)+'LINEST VARS'!$R$62*(4)+'LINEST VARS'!$Q$62*(0.5)+'LINEST VARS'!$P$62*(12.73)+'LINEST VARS'!$O$62*($AU$80^2)+'LINEST VARS'!$N$62*($Z81^2)+'LINEST VARS'!$M$62*(4^2)+'LINEST VARS'!$L$62*(0.5^2)+'LINEST VARS'!$K$62*(12.73^2)+'LINEST VARS'!$J$62*($AU$80*$Z81)+'LINEST VARS'!$I$62*($AU$80*4)+'LINEST VARS'!$H$62*($AU$80*0.5)+'LINEST VARS'!$G$62*($AU$80*12.73)+'LINEST VARS'!$F$62*($Z81*4)+'LINEST VARS'!$E$62*($Z81*0.5)+'LINEST VARS'!$D$62*($Z81*12.73)+'LINEST VARS'!$C$62*(4*0.5)+'LINEST VARS'!$B$62*(4*12.73)+'LINEST VARS'!$A$62*(0.5*12.73)</f>
        <v>269.50000000000006</v>
      </c>
      <c r="AZ81" s="45">
        <v>0</v>
      </c>
      <c r="BA81" s="46">
        <f>'LINEST VARS'!$U$60+'LINEST VARS'!$T$60*(8)+'LINEST VARS'!$S$60*(8)+'LINEST VARS'!$R$60*($BA$80)+'LINEST VARS'!$Q$60*($AZ81)+'LINEST VARS'!$P$60*(12.73)+'LINEST VARS'!$O$60*(8^2)+'LINEST VARS'!$N$60*(8^2)+'LINEST VARS'!$M$60*($BA$80^2)+'LINEST VARS'!$L$60*($AZ81^2)+'LINEST VARS'!$K$60*(12.73^2)+'LINEST VARS'!$J$60*(8*8)+'LINEST VARS'!$I$60*(8*$BA$80)+'LINEST VARS'!$H$60*(8*$AZ81)+'LINEST VARS'!$G$60*(8*12.73)+'LINEST VARS'!$F$60*(8*$BA$80)+'LINEST VARS'!$E$60*(8*$AZ81)+'LINEST VARS'!$D$60*(8*12.73)+'LINEST VARS'!$C$60*($BA$80*$AZ81)+'LINEST VARS'!$B$60*($BA$80*12.73)+'LINEST VARS'!$A$60*($AZ81*12.73)</f>
        <v>40.46</v>
      </c>
      <c r="BB81" s="46">
        <f>'LINEST VARS'!$U$60+'LINEST VARS'!$T$60*(8)+'LINEST VARS'!$S$60*(8)+'LINEST VARS'!$R$60*($BB$80)+'LINEST VARS'!$Q$60*($AZ81)+'LINEST VARS'!$P$60*(12.73)+'LINEST VARS'!$O$60*(8^2)+'LINEST VARS'!$N$60*(8^2)+'LINEST VARS'!$M$60*($BB$80^2)+'LINEST VARS'!$L$60*($AZ81^2)+'LINEST VARS'!$K$60*(12.73^2)+'LINEST VARS'!$J$60*(8*8)+'LINEST VARS'!$I$60*(8*$BB$80)+'LINEST VARS'!$H$60*(8*$AZ81)+'LINEST VARS'!$G$60*(8*12.73)+'LINEST VARS'!$F$60*(8*$BB$80)+'LINEST VARS'!$E$60*(8*$AZ81)+'LINEST VARS'!$D$60*(8*12.73)+'LINEST VARS'!$C$60*($BB$80*$AZ81)+'LINEST VARS'!$B$60*($BB$80*12.73)+'LINEST VARS'!$A$60*($AZ81*12.73)</f>
        <v>40.460000000000008</v>
      </c>
      <c r="BC81" s="46">
        <f>'LINEST VARS'!$U$60+'LINEST VARS'!$T$60*(8)+'LINEST VARS'!$S$60*(8)+'LINEST VARS'!$R$60*($BC$80)+'LINEST VARS'!$Q$60*($AZ81)+'LINEST VARS'!$P$60*(12.73)+'LINEST VARS'!$O$60*(8^2)+'LINEST VARS'!$N$60*(8^2)+'LINEST VARS'!$M$60*($BC$80^2)+'LINEST VARS'!$L$60*($AZ81^2)+'LINEST VARS'!$K$60*(12.73^2)+'LINEST VARS'!$J$60*(8*8)+'LINEST VARS'!$I$60*(8*$BC$80)+'LINEST VARS'!$H$60*(8*$AZ81)+'LINEST VARS'!$G$60*(8*12.73)+'LINEST VARS'!$F$60*(8*$BC$80)+'LINEST VARS'!$E$60*(8*$AZ81)+'LINEST VARS'!$D$60*(8*12.73)+'LINEST VARS'!$C$60*($BC$80*$AZ81)+'LINEST VARS'!$B$60*($BC$80*12.73)+'LINEST VARS'!$A$60*($AZ81*12.73)</f>
        <v>40.460000000000008</v>
      </c>
      <c r="BD81" s="46">
        <f>'LINEST VARS'!$U$60+'LINEST VARS'!$T$60*(8)+'LINEST VARS'!$S$60*(8)+'LINEST VARS'!$R$60*($BD$80)+'LINEST VARS'!$Q$60*($AZ81)+'LINEST VARS'!$P$60*(12.73)+'LINEST VARS'!$O$60*(8^2)+'LINEST VARS'!$N$60*(8^2)+'LINEST VARS'!$M$60*($BD$80^2)+'LINEST VARS'!$L$60*($AZ81^2)+'LINEST VARS'!$K$60*(12.73^2)+'LINEST VARS'!$J$60*(8*8)+'LINEST VARS'!$I$60*(8*$BD$80)+'LINEST VARS'!$H$60*(8*$AZ81)+'LINEST VARS'!$G$60*(8*12.73)+'LINEST VARS'!$F$60*(8*$BD$80)+'LINEST VARS'!$E$60*(8*$AZ81)+'LINEST VARS'!$D$60*(8*12.73)+'LINEST VARS'!$C$60*($BD$80*$AZ81)+'LINEST VARS'!$B$60*($BD$80*12.73)+'LINEST VARS'!$A$60*($AZ81*12.73)</f>
        <v>40.460000000000008</v>
      </c>
      <c r="BE81" s="46">
        <f>'LINEST VARS'!$U$60+'LINEST VARS'!$T$60*(8)+'LINEST VARS'!$S$60*(8)+'LINEST VARS'!$R$60*($BE$80)+'LINEST VARS'!$Q$60*($AZ81)+'LINEST VARS'!$P$60*(12.73)+'LINEST VARS'!$O$60*(8^2)+'LINEST VARS'!$N$60*(8^2)+'LINEST VARS'!$M$60*($BE$80^2)+'LINEST VARS'!$L$60*($AZ81^2)+'LINEST VARS'!$K$60*(12.73^2)+'LINEST VARS'!$J$60*(8*8)+'LINEST VARS'!$I$60*(8*$BE$80)+'LINEST VARS'!$H$60*(8*$AZ81)+'LINEST VARS'!$G$60*(8*12.73)+'LINEST VARS'!$F$60*(8*$BE$80)+'LINEST VARS'!$E$60*(8*$AZ81)+'LINEST VARS'!$D$60*(8*12.73)+'LINEST VARS'!$C$60*($BE$80*$AZ81)+'LINEST VARS'!$B$60*($BE$80*12.73)+'LINEST VARS'!$A$60*($AZ81*12.73)</f>
        <v>40.460000000000008</v>
      </c>
      <c r="BF81" s="46">
        <f>'LINEST VARS'!$U$60+'LINEST VARS'!$T$60*(8)+'LINEST VARS'!$S$60*(8)+'LINEST VARS'!$R$60*($BF$80)+'LINEST VARS'!$Q$60*($AZ81)+'LINEST VARS'!$P$60*(12.73)+'LINEST VARS'!$O$60*(8^2)+'LINEST VARS'!$N$60*(8^2)+'LINEST VARS'!$M$60*($BF$80^2)+'LINEST VARS'!$L$60*($AZ81^2)+'LINEST VARS'!$K$60*(12.73^2)+'LINEST VARS'!$J$60*(8*8)+'LINEST VARS'!$I$60*(8*$BF$80)+'LINEST VARS'!$H$60*(8*$AZ81)+'LINEST VARS'!$G$60*(8*12.73)+'LINEST VARS'!$F$60*(8*$BF$80)+'LINEST VARS'!$E$60*(8*$AZ81)+'LINEST VARS'!$D$60*(8*12.73)+'LINEST VARS'!$C$60*($BF$80*$AZ81)+'LINEST VARS'!$B$60*($BF$80*12.73)+'LINEST VARS'!$A$60*($AZ81*12.73)</f>
        <v>40.46</v>
      </c>
      <c r="BG81" s="46">
        <f>'LINEST VARS'!$U$60+'LINEST VARS'!$T$60*(8)+'LINEST VARS'!$S$60*(8)+'LINEST VARS'!$R$60*($BG$80)+'LINEST VARS'!$Q$60*($AZ81)+'LINEST VARS'!$P$60*(12.73)+'LINEST VARS'!$O$60*(8^2)+'LINEST VARS'!$N$60*(8^2)+'LINEST VARS'!$M$60*($BG$80^2)+'LINEST VARS'!$L$60*($AZ81^2)+'LINEST VARS'!$K$60*(12.73^2)+'LINEST VARS'!$J$60*(8*8)+'LINEST VARS'!$I$60*(8*$BG$80)+'LINEST VARS'!$H$60*(8*$AZ81)+'LINEST VARS'!$G$60*(8*12.73)+'LINEST VARS'!$F$60*(8*$BG$80)+'LINEST VARS'!$E$60*(8*$AZ81)+'LINEST VARS'!$D$60*(8*12.73)+'LINEST VARS'!$C$60*($BG$80*$AZ81)+'LINEST VARS'!$B$60*($BG$80*12.73)+'LINEST VARS'!$A$60*($AZ81*12.73)</f>
        <v>40.46</v>
      </c>
      <c r="BH81" s="46">
        <f>'LINEST VARS'!$U$60+'LINEST VARS'!$T$60*(8)+'LINEST VARS'!$S$60*(8)+'LINEST VARS'!$R$60*($BH$80)+'LINEST VARS'!$Q$60*($AZ81)+'LINEST VARS'!$P$60*(12.73)+'LINEST VARS'!$O$60*(8^2)+'LINEST VARS'!$N$60*(8^2)+'LINEST VARS'!$M$60*($BH$80^2)+'LINEST VARS'!$L$60*($AZ81^2)+'LINEST VARS'!$K$60*(12.73^2)+'LINEST VARS'!$J$60*(8*8)+'LINEST VARS'!$I$60*(8*$BH$80)+'LINEST VARS'!$H$60*(8*$AZ81)+'LINEST VARS'!$G$60*(8*12.73)+'LINEST VARS'!$F$60*(8*$BH$80)+'LINEST VARS'!$E$60*(8*$AZ81)+'LINEST VARS'!$D$60*(8*12.73)+'LINEST VARS'!$C$60*($BH$80*$AZ81)+'LINEST VARS'!$B$60*($BH$80*12.73)+'LINEST VARS'!$A$60*($AZ81*12.73)</f>
        <v>40.46</v>
      </c>
      <c r="BI81" s="46">
        <f>'LINEST VARS'!$U$60+'LINEST VARS'!$T$60*(8)+'LINEST VARS'!$S$60*(8)+'LINEST VARS'!$R$60*($BI$80)+'LINEST VARS'!$Q$60*($AZ81)+'LINEST VARS'!$P$60*(12.73)+'LINEST VARS'!$O$60*(8^2)+'LINEST VARS'!$N$60*(8^2)+'LINEST VARS'!$M$60*($BI$80^2)+'LINEST VARS'!$L$60*($AZ81^2)+'LINEST VARS'!$K$60*(12.73^2)+'LINEST VARS'!$J$60*(8*8)+'LINEST VARS'!$I$60*(8*$BI$80)+'LINEST VARS'!$H$60*(8*$AZ81)+'LINEST VARS'!$G$60*(8*12.73)+'LINEST VARS'!$F$60*(8*$BI$80)+'LINEST VARS'!$E$60*(8*$AZ81)+'LINEST VARS'!$D$60*(8*12.73)+'LINEST VARS'!$C$60*($BI$80*$AZ81)+'LINEST VARS'!$B$60*($BI$80*12.73)+'LINEST VARS'!$A$60*($AZ81*12.73)</f>
        <v>40.460000000000008</v>
      </c>
      <c r="BJ81" s="46">
        <f>'LINEST VARS'!$U$60+'LINEST VARS'!$T$60*(8)+'LINEST VARS'!$S$60*(8)+'LINEST VARS'!$R$60*($BJ$80)+'LINEST VARS'!$Q$60*($AZ81)+'LINEST VARS'!$P$60*(12.73)+'LINEST VARS'!$O$60*(8^2)+'LINEST VARS'!$N$60*(8^2)+'LINEST VARS'!$M$60*($BJ$80^2)+'LINEST VARS'!$L$60*($AZ81^2)+'LINEST VARS'!$K$60*(12.73^2)+'LINEST VARS'!$J$60*(8*8)+'LINEST VARS'!$I$60*(8*$BJ$80)+'LINEST VARS'!$H$60*(8*$AZ81)+'LINEST VARS'!$G$60*(8*12.73)+'LINEST VARS'!$F$60*(8*$BJ$80)+'LINEST VARS'!$E$60*(8*$AZ81)+'LINEST VARS'!$D$60*(8*12.73)+'LINEST VARS'!$C$60*($BJ$80*$AZ81)+'LINEST VARS'!$B$60*($BJ$80*12.73)+'LINEST VARS'!$A$60*($AZ81*12.73)</f>
        <v>40.460000000000008</v>
      </c>
      <c r="BK81" s="46">
        <f>'LINEST VARS'!$U$60+'LINEST VARS'!$T$60*(8)+'LINEST VARS'!$S$60*(8)+'LINEST VARS'!$R$60*($BK$80)+'LINEST VARS'!$Q$60*($AZ81)+'LINEST VARS'!$P$60*(12.73)+'LINEST VARS'!$O$60*(8^2)+'LINEST VARS'!$N$60*(8^2)+'LINEST VARS'!$M$60*($BK$80^2)+'LINEST VARS'!$L$60*($AZ81^2)+'LINEST VARS'!$K$60*(12.73^2)+'LINEST VARS'!$J$60*(8*8)+'LINEST VARS'!$I$60*(8*$BK$80)+'LINEST VARS'!$H$60*(8*$AZ81)+'LINEST VARS'!$G$60*(8*12.73)+'LINEST VARS'!$F$60*(8*$BK$80)+'LINEST VARS'!$E$60*(8*$AZ81)+'LINEST VARS'!$D$60*(8*12.73)+'LINEST VARS'!$C$60*($BK$80*$AZ81)+'LINEST VARS'!$B$60*($BK$80*12.73)+'LINEST VARS'!$A$60*($AZ81*12.73)</f>
        <v>40.460000000000008</v>
      </c>
      <c r="BL81" s="46">
        <f>'LINEST VARS'!$U$60+'LINEST VARS'!$T$60*(8)+'LINEST VARS'!$S$60*(8)+'LINEST VARS'!$R$60*($BL$80)+'LINEST VARS'!$Q$60*($AZ81)+'LINEST VARS'!$P$60*(12.73)+'LINEST VARS'!$O$60*(8^2)+'LINEST VARS'!$N$60*(8^2)+'LINEST VARS'!$M$60*($BL$80^2)+'LINEST VARS'!$L$60*($AZ81^2)+'LINEST VARS'!$K$60*(12.73^2)+'LINEST VARS'!$J$60*(8*8)+'LINEST VARS'!$I$60*(8*$BL$80)+'LINEST VARS'!$H$60*(8*$AZ81)+'LINEST VARS'!$G$60*(8*12.73)+'LINEST VARS'!$F$60*(8*$BL$80)+'LINEST VARS'!$E$60*(8*$AZ81)+'LINEST VARS'!$D$60*(8*12.73)+'LINEST VARS'!$C$60*($BL$80*$AZ81)+'LINEST VARS'!$B$60*($BL$80*12.73)+'LINEST VARS'!$A$60*($AZ81*12.73)</f>
        <v>40.460000000000008</v>
      </c>
      <c r="BM81" s="46">
        <f>'LINEST VARS'!$U$60+'LINEST VARS'!$T$60*(8)+'LINEST VARS'!$S$60*(8)+'LINEST VARS'!$R$60*($BM$80)+'LINEST VARS'!$Q$60*($AZ81)+'LINEST VARS'!$P$60*(12.73)+'LINEST VARS'!$O$60*(8^2)+'LINEST VARS'!$N$60*(8^2)+'LINEST VARS'!$M$60*($BM$80^2)+'LINEST VARS'!$L$60*($AZ81^2)+'LINEST VARS'!$K$60*(12.73^2)+'LINEST VARS'!$J$60*(8*8)+'LINEST VARS'!$I$60*(8*$BM$80)+'LINEST VARS'!$H$60*(8*$AZ81)+'LINEST VARS'!$G$60*(8*12.73)+'LINEST VARS'!$F$60*(8*$BM$80)+'LINEST VARS'!$E$60*(8*$AZ81)+'LINEST VARS'!$D$60*(8*12.73)+'LINEST VARS'!$C$60*($BM$80*$AZ81)+'LINEST VARS'!$B$60*($BM$80*12.73)+'LINEST VARS'!$A$60*($AZ81*12.73)</f>
        <v>40.460000000000008</v>
      </c>
      <c r="BN81" s="46">
        <f>'LINEST VARS'!$U$60+'LINEST VARS'!$T$60*(8)+'LINEST VARS'!$S$60*(8)+'LINEST VARS'!$R$60*($BN$80)+'LINEST VARS'!$Q$60*($AZ81)+'LINEST VARS'!$P$60*(12.73)+'LINEST VARS'!$O$60*(8^2)+'LINEST VARS'!$N$60*(8^2)+'LINEST VARS'!$M$60*($BN$80^2)+'LINEST VARS'!$L$60*($AZ81^2)+'LINEST VARS'!$K$60*(12.73^2)+'LINEST VARS'!$J$60*(8*8)+'LINEST VARS'!$I$60*(8*$BN$80)+'LINEST VARS'!$H$60*(8*$AZ81)+'LINEST VARS'!$G$60*(8*12.73)+'LINEST VARS'!$F$60*(8*$BN$80)+'LINEST VARS'!$E$60*(8*$AZ81)+'LINEST VARS'!$D$60*(8*12.73)+'LINEST VARS'!$C$60*($BN$80*$AZ81)+'LINEST VARS'!$B$60*($BN$80*12.73)+'LINEST VARS'!$A$60*($AZ81*12.73)</f>
        <v>40.46</v>
      </c>
      <c r="BO81" s="46">
        <f>'LINEST VARS'!$U$60+'LINEST VARS'!$T$60*(8)+'LINEST VARS'!$S$60*(8)+'LINEST VARS'!$R$60*($BO$80)+'LINEST VARS'!$Q$60*($AZ81)+'LINEST VARS'!$P$60*(12.73)+'LINEST VARS'!$O$60*(8^2)+'LINEST VARS'!$N$60*(8^2)+'LINEST VARS'!$M$60*($BO$80^2)+'LINEST VARS'!$L$60*($AZ81^2)+'LINEST VARS'!$K$60*(12.73^2)+'LINEST VARS'!$J$60*(8*8)+'LINEST VARS'!$I$60*(8*$BO$80)+'LINEST VARS'!$H$60*(8*$AZ81)+'LINEST VARS'!$G$60*(8*12.73)+'LINEST VARS'!$F$60*(8*$BO$80)+'LINEST VARS'!$E$60*(8*$AZ81)+'LINEST VARS'!$D$60*(8*12.73)+'LINEST VARS'!$C$60*($BO$80*$AZ81)+'LINEST VARS'!$B$60*($BO$80*12.73)+'LINEST VARS'!$A$60*($AZ81*12.73)</f>
        <v>40.46</v>
      </c>
      <c r="BP81" s="46">
        <f>'LINEST VARS'!$U$60+'LINEST VARS'!$T$60*(8)+'LINEST VARS'!$S$60*(8)+'LINEST VARS'!$R$60*($BP$80)+'LINEST VARS'!$Q$60*($AZ81)+'LINEST VARS'!$P$60*(12.73)+'LINEST VARS'!$O$60*(8^2)+'LINEST VARS'!$N$60*(8^2)+'LINEST VARS'!$M$60*($BP$80^2)+'LINEST VARS'!$L$60*($AZ81^2)+'LINEST VARS'!$K$60*(12.73^2)+'LINEST VARS'!$J$60*(8*8)+'LINEST VARS'!$I$60*(8*$BP$80)+'LINEST VARS'!$H$60*(8*$AZ81)+'LINEST VARS'!$G$60*(8*12.73)+'LINEST VARS'!$F$60*(8*$BP$80)+'LINEST VARS'!$E$60*(8*$AZ81)+'LINEST VARS'!$D$60*(8*12.73)+'LINEST VARS'!$C$60*($BP$80*$AZ81)+'LINEST VARS'!$B$60*($BP$80*12.73)+'LINEST VARS'!$A$60*($AZ81*12.73)</f>
        <v>40.460000000000008</v>
      </c>
      <c r="BQ81" s="46">
        <f>'LINEST VARS'!$U$60+'LINEST VARS'!$T$60*(8)+'LINEST VARS'!$S$60*(8)+'LINEST VARS'!$R$60*($BQ$80)+'LINEST VARS'!$Q$60*($AZ81)+'LINEST VARS'!$P$60*(12.73)+'LINEST VARS'!$O$60*(8^2)+'LINEST VARS'!$N$60*(8^2)+'LINEST VARS'!$M$60*($BQ$80^2)+'LINEST VARS'!$L$60*($AZ81^2)+'LINEST VARS'!$K$60*(12.73^2)+'LINEST VARS'!$J$60*(8*8)+'LINEST VARS'!$I$60*(8*$BQ$80)+'LINEST VARS'!$H$60*(8*$AZ81)+'LINEST VARS'!$G$60*(8*12.73)+'LINEST VARS'!$F$60*(8*$BQ$80)+'LINEST VARS'!$E$60*(8*$AZ81)+'LINEST VARS'!$D$60*(8*12.73)+'LINEST VARS'!$C$60*($BQ$80*$AZ81)+'LINEST VARS'!$B$60*($BQ$80*12.73)+'LINEST VARS'!$A$60*($AZ81*12.73)</f>
        <v>40.460000000000008</v>
      </c>
      <c r="BR81" s="46">
        <f>'LINEST VARS'!$U$60+'LINEST VARS'!$T$60*(8)+'LINEST VARS'!$S$60*(8)+'LINEST VARS'!$R$60*($BR$80)+'LINEST VARS'!$Q$60*($AZ81)+'LINEST VARS'!$P$60*(12.73)+'LINEST VARS'!$O$60*(8^2)+'LINEST VARS'!$N$60*(8^2)+'LINEST VARS'!$M$60*($BR$80^2)+'LINEST VARS'!$L$60*($AZ81^2)+'LINEST VARS'!$K$60*(12.73^2)+'LINEST VARS'!$J$60*(8*8)+'LINEST VARS'!$I$60*(8*$BR$80)+'LINEST VARS'!$H$60*(8*$AZ81)+'LINEST VARS'!$G$60*(8*12.73)+'LINEST VARS'!$F$60*(8*$BR$80)+'LINEST VARS'!$E$60*(8*$AZ81)+'LINEST VARS'!$D$60*(8*12.73)+'LINEST VARS'!$C$60*($BR$80*$AZ81)+'LINEST VARS'!$B$60*($BR$80*12.73)+'LINEST VARS'!$A$60*($AZ81*12.73)</f>
        <v>40.460000000000008</v>
      </c>
      <c r="BS81" s="46">
        <f>'LINEST VARS'!$U$60+'LINEST VARS'!$T$60*(8)+'LINEST VARS'!$S$60*(8)+'LINEST VARS'!$R$60*($BS$80)+'LINEST VARS'!$Q$60*($AZ81)+'LINEST VARS'!$P$60*(12.73)+'LINEST VARS'!$O$60*(8^2)+'LINEST VARS'!$N$60*(8^2)+'LINEST VARS'!$M$60*($BS$80^2)+'LINEST VARS'!$L$60*($AZ81^2)+'LINEST VARS'!$K$60*(12.73^2)+'LINEST VARS'!$J$60*(8*8)+'LINEST VARS'!$I$60*(8*$BS$80)+'LINEST VARS'!$H$60*(8*$AZ81)+'LINEST VARS'!$G$60*(8*12.73)+'LINEST VARS'!$F$60*(8*$BS$80)+'LINEST VARS'!$E$60*(8*$AZ81)+'LINEST VARS'!$D$60*(8*12.73)+'LINEST VARS'!$C$60*($BS$80*$AZ81)+'LINEST VARS'!$B$60*($BS$80*12.73)+'LINEST VARS'!$A$60*($AZ81*12.73)</f>
        <v>40.460000000000008</v>
      </c>
      <c r="BT81" s="46">
        <f>'LINEST VARS'!$U$60+'LINEST VARS'!$T$60*(8)+'LINEST VARS'!$S$60*(8)+'LINEST VARS'!$R$60*($BT$80)+'LINEST VARS'!$Q$60*($AZ81)+'LINEST VARS'!$P$60*(12.73)+'LINEST VARS'!$O$60*(8^2)+'LINEST VARS'!$N$60*(8^2)+'LINEST VARS'!$M$60*($BT$80^2)+'LINEST VARS'!$L$60*($AZ81^2)+'LINEST VARS'!$K$60*(12.73^2)+'LINEST VARS'!$J$60*(8*8)+'LINEST VARS'!$I$60*(8*$BT$80)+'LINEST VARS'!$H$60*(8*$AZ81)+'LINEST VARS'!$G$60*(8*12.73)+'LINEST VARS'!$F$60*(8*$BT$80)+'LINEST VARS'!$E$60*(8*$AZ81)+'LINEST VARS'!$D$60*(8*12.73)+'LINEST VARS'!$C$60*($BT$80*$AZ81)+'LINEST VARS'!$B$60*($BT$80*12.73)+'LINEST VARS'!$A$60*($AZ81*12.73)</f>
        <v>40.460000000000008</v>
      </c>
      <c r="BU81" s="47">
        <f>'LINEST VARS'!$U$60+'LINEST VARS'!$T$60*(8)+'LINEST VARS'!$S$60*(8)+'LINEST VARS'!$R$60*($BU$80)+'LINEST VARS'!$Q$60*($AZ81)+'LINEST VARS'!$P$60*(12.73)+'LINEST VARS'!$O$60*(8^2)+'LINEST VARS'!$N$60*(8^2)+'LINEST VARS'!$M$60*($BU$80^2)+'LINEST VARS'!$L$60*($AZ81^2)+'LINEST VARS'!$K$60*(12.73^2)+'LINEST VARS'!$J$60*(8*8)+'LINEST VARS'!$I$60*(8*$BU$80)+'LINEST VARS'!$H$60*(8*$AZ81)+'LINEST VARS'!$G$60*(8*12.73)+'LINEST VARS'!$F$60*(8*$BU$80)+'LINEST VARS'!$E$60*(8*$AZ81)+'LINEST VARS'!$D$60*(8*12.73)+'LINEST VARS'!$C$60*($BU$80*$AZ81)+'LINEST VARS'!$B$60*($BU$80*12.73)+'LINEST VARS'!$A$60*($AZ81*12.73)</f>
        <v>40.460000000000008</v>
      </c>
      <c r="BX81" s="45">
        <v>0</v>
      </c>
      <c r="BY81" s="55">
        <f>'LINEST VARS'!$U$62+'LINEST VARS'!$T$62*(8)+'LINEST VARS'!$S$62*(8)+'LINEST VARS'!$R$62*($BY$80)+'LINEST VARS'!$Q$62*($BX81)+'LINEST VARS'!$P$62*(12.73)+'LINEST VARS'!$O$62*(8^2)+'LINEST VARS'!$N$62*(8^2)+'LINEST VARS'!$M$62*($BY$80^2)+'LINEST VARS'!$L$62*($BX81^2)+'LINEST VARS'!$K$62*(12.73^2)+'LINEST VARS'!$J$62*(8*8)+'LINEST VARS'!$I$62*(8*$BY$80)+'LINEST VARS'!$H$62*(8*$BX81)+'LINEST VARS'!$G$62*(8*12.73)+'LINEST VARS'!$F$62*(8*$BY$80)+'LINEST VARS'!$E$62*(8*$BX81)+'LINEST VARS'!$D$62*(8*12.73)+'LINEST VARS'!$C$62*($BY$80*$BX81)+'LINEST VARS'!$B$62*($BY$80*12.73)+'LINEST VARS'!$A$62*($BX81*12.73)</f>
        <v>349.99999999999989</v>
      </c>
      <c r="BZ81" s="55">
        <f>'LINEST VARS'!$U$62+'LINEST VARS'!$T$62*(8)+'LINEST VARS'!$S$62*(8)+'LINEST VARS'!$R$62*($BZ$80)+'LINEST VARS'!$Q$62*($BX81)+'LINEST VARS'!$P$62*(12.73)+'LINEST VARS'!$O$62*(8^2)+'LINEST VARS'!$N$62*(8^2)+'LINEST VARS'!$M$62*($BZ$80^2)+'LINEST VARS'!$L$62*($BX81^2)+'LINEST VARS'!$K$62*(12.73^2)+'LINEST VARS'!$J$62*(8*8)+'LINEST VARS'!$I$62*(8*$BZ$80)+'LINEST VARS'!$H$62*(8*$BX81)+'LINEST VARS'!$G$62*(8*12.73)+'LINEST VARS'!$F$62*(8*$BZ$80)+'LINEST VARS'!$E$62*(8*$BX81)+'LINEST VARS'!$D$62*(8*12.73)+'LINEST VARS'!$C$62*($BZ$80*$BX81)+'LINEST VARS'!$B$62*($BZ$80*12.73)+'LINEST VARS'!$A$62*($BX81*12.73)</f>
        <v>349.19999999999993</v>
      </c>
      <c r="CA81" s="55">
        <f>'LINEST VARS'!$U$62+'LINEST VARS'!$T$62*(8)+'LINEST VARS'!$S$62*(8)+'LINEST VARS'!$R$62*($CA$80)+'LINEST VARS'!$Q$62*($BX81)+'LINEST VARS'!$P$62*(12.73)+'LINEST VARS'!$O$62*(8^2)+'LINEST VARS'!$N$62*(8^2)+'LINEST VARS'!$M$62*($CA$80^2)+'LINEST VARS'!$L$62*($BX81^2)+'LINEST VARS'!$K$62*(12.73^2)+'LINEST VARS'!$J$62*(8*8)+'LINEST VARS'!$I$62*(8*$CA$80)+'LINEST VARS'!$H$62*(8*$BX81)+'LINEST VARS'!$G$62*(8*12.73)+'LINEST VARS'!$F$62*(8*$CA$80)+'LINEST VARS'!$E$62*(8*$BX81)+'LINEST VARS'!$D$62*(8*12.73)+'LINEST VARS'!$C$62*($CA$80*$BX81)+'LINEST VARS'!$B$62*($CA$80*12.73)+'LINEST VARS'!$A$62*($BX81*12.73)</f>
        <v>346.79999999999984</v>
      </c>
      <c r="CB81" s="55">
        <f>'LINEST VARS'!$U$62+'LINEST VARS'!$T$62*(8)+'LINEST VARS'!$S$62*(8)+'LINEST VARS'!$R$62*($CB$80)+'LINEST VARS'!$Q$62*($BX81)+'LINEST VARS'!$P$62*(12.73)+'LINEST VARS'!$O$62*(8^2)+'LINEST VARS'!$N$62*(8^2)+'LINEST VARS'!$M$62*($CB$80^2)+'LINEST VARS'!$L$62*($BX81^2)+'LINEST VARS'!$K$62*(12.73^2)+'LINEST VARS'!$J$62*(8*8)+'LINEST VARS'!$I$62*(8*$CB$80)+'LINEST VARS'!$H$62*(8*$BX81)+'LINEST VARS'!$G$62*(8*12.73)+'LINEST VARS'!$F$62*(8*$CB$80)+'LINEST VARS'!$E$62*(8*$BX81)+'LINEST VARS'!$D$62*(8*12.73)+'LINEST VARS'!$C$62*($CB$80*$BX81)+'LINEST VARS'!$B$62*($CB$80*12.73)+'LINEST VARS'!$A$62*($BX81*12.73)</f>
        <v>342.7999999999999</v>
      </c>
      <c r="CC81" s="55">
        <f>'LINEST VARS'!$U$62+'LINEST VARS'!$T$62*(8)+'LINEST VARS'!$S$62*(8)+'LINEST VARS'!$R$62*($CC$80)+'LINEST VARS'!$Q$62*($BX81)+'LINEST VARS'!$P$62*(12.73)+'LINEST VARS'!$O$62*(8^2)+'LINEST VARS'!$N$62*(8^2)+'LINEST VARS'!$M$62*($CC$80^2)+'LINEST VARS'!$L$62*($BX81^2)+'LINEST VARS'!$K$62*(12.73^2)+'LINEST VARS'!$J$62*(8*8)+'LINEST VARS'!$I$62*(8*$CC$80)+'LINEST VARS'!$H$62*(8*$BX81)+'LINEST VARS'!$G$62*(8*12.73)+'LINEST VARS'!$F$62*(8*$CC$80)+'LINEST VARS'!$E$62*(8*$BX81)+'LINEST VARS'!$D$62*(8*12.73)+'LINEST VARS'!$C$62*($CC$80*$BX81)+'LINEST VARS'!$B$62*($CC$80*12.73)+'LINEST VARS'!$A$62*($BX81*12.73)</f>
        <v>337.19999999999993</v>
      </c>
      <c r="CD81" s="55">
        <f>'LINEST VARS'!$U$62+'LINEST VARS'!$T$62*(8)+'LINEST VARS'!$S$62*(8)+'LINEST VARS'!$R$62*($CD$80)+'LINEST VARS'!$Q$62*($BX81)+'LINEST VARS'!$P$62*(12.73)+'LINEST VARS'!$O$62*(8^2)+'LINEST VARS'!$N$62*(8^2)+'LINEST VARS'!$M$62*($CD$80^2)+'LINEST VARS'!$L$62*($BX81^2)+'LINEST VARS'!$K$62*(12.73^2)+'LINEST VARS'!$J$62*(8*8)+'LINEST VARS'!$I$62*(8*$CD$80)+'LINEST VARS'!$H$62*(8*$BX81)+'LINEST VARS'!$G$62*(8*12.73)+'LINEST VARS'!$F$62*(8*$CD$80)+'LINEST VARS'!$E$62*(8*$BX81)+'LINEST VARS'!$D$62*(8*12.73)+'LINEST VARS'!$C$62*($CD$80*$BX81)+'LINEST VARS'!$B$62*($CD$80*12.73)+'LINEST VARS'!$A$62*($BX81*12.73)</f>
        <v>330</v>
      </c>
      <c r="CE81" s="55">
        <f>'LINEST VARS'!$U$62+'LINEST VARS'!$T$62*(8)+'LINEST VARS'!$S$62*(8)+'LINEST VARS'!$R$62*($CE$80)+'LINEST VARS'!$Q$62*($BX81)+'LINEST VARS'!$P$62*(12.73)+'LINEST VARS'!$O$62*(8^2)+'LINEST VARS'!$N$62*(8^2)+'LINEST VARS'!$M$62*($CE$80^2)+'LINEST VARS'!$L$62*($BX81^2)+'LINEST VARS'!$K$62*(12.73^2)+'LINEST VARS'!$J$62*(8*8)+'LINEST VARS'!$I$62*(8*$CE$80)+'LINEST VARS'!$H$62*(8*$BX81)+'LINEST VARS'!$G$62*(8*12.73)+'LINEST VARS'!$F$62*(8*$CE$80)+'LINEST VARS'!$E$62*(8*$BX81)+'LINEST VARS'!$D$62*(8*12.73)+'LINEST VARS'!$C$62*($CE$80*$BX81)+'LINEST VARS'!$B$62*($CE$80*12.73)+'LINEST VARS'!$A$62*($BX81*12.73)</f>
        <v>321.19999999999993</v>
      </c>
      <c r="CF81" s="55">
        <f>'LINEST VARS'!$U$62+'LINEST VARS'!$T$62*(8)+'LINEST VARS'!$S$62*(8)+'LINEST VARS'!$R$62*($CF$80)+'LINEST VARS'!$Q$62*($BX81)+'LINEST VARS'!$P$62*(12.73)+'LINEST VARS'!$O$62*(8^2)+'LINEST VARS'!$N$62*(8^2)+'LINEST VARS'!$M$62*($CF$80^2)+'LINEST VARS'!$L$62*($BX81^2)+'LINEST VARS'!$K$62*(12.73^2)+'LINEST VARS'!$J$62*(8*8)+'LINEST VARS'!$I$62*(8*$CF$80)+'LINEST VARS'!$H$62*(8*$BX81)+'LINEST VARS'!$G$62*(8*12.73)+'LINEST VARS'!$F$62*(8*$CF$80)+'LINEST VARS'!$E$62*(8*$BX81)+'LINEST VARS'!$D$62*(8*12.73)+'LINEST VARS'!$C$62*($CF$80*$BX81)+'LINEST VARS'!$B$62*($CF$80*12.73)+'LINEST VARS'!$A$62*($BX81*12.73)</f>
        <v>310.79999999999995</v>
      </c>
      <c r="CG81" s="55">
        <f>'LINEST VARS'!$U$62+'LINEST VARS'!$T$62*(8)+'LINEST VARS'!$S$62*(8)+'LINEST VARS'!$R$62*($CG$80)+'LINEST VARS'!$Q$62*($BX81)+'LINEST VARS'!$P$62*(12.73)+'LINEST VARS'!$O$62*(8^2)+'LINEST VARS'!$N$62*(8^2)+'LINEST VARS'!$M$62*($CG$80^2)+'LINEST VARS'!$L$62*($BX81^2)+'LINEST VARS'!$K$62*(12.73^2)+'LINEST VARS'!$J$62*(8*8)+'LINEST VARS'!$I$62*(8*$CG$80)+'LINEST VARS'!$H$62*(8*$BX81)+'LINEST VARS'!$G$62*(8*12.73)+'LINEST VARS'!$F$62*(8*$CG$80)+'LINEST VARS'!$E$62*(8*$BX81)+'LINEST VARS'!$D$62*(8*12.73)+'LINEST VARS'!$C$62*($CG$80*$BX81)+'LINEST VARS'!$B$62*($CG$80*12.73)+'LINEST VARS'!$A$62*($BX81*12.73)</f>
        <v>298.79999999999995</v>
      </c>
      <c r="CH81" s="55">
        <f>'LINEST VARS'!$U$62+'LINEST VARS'!$T$62*(8)+'LINEST VARS'!$S$62*(8)+'LINEST VARS'!$R$62*($CH$80)+'LINEST VARS'!$Q$62*($BX81)+'LINEST VARS'!$P$62*(12.73)+'LINEST VARS'!$O$62*(8^2)+'LINEST VARS'!$N$62*(8^2)+'LINEST VARS'!$M$62*($CH$80^2)+'LINEST VARS'!$L$62*($BX81^2)+'LINEST VARS'!$K$62*(12.73^2)+'LINEST VARS'!$J$62*(8*8)+'LINEST VARS'!$I$62*(8*$CH$80)+'LINEST VARS'!$H$62*(8*$BX81)+'LINEST VARS'!$G$62*(8*12.73)+'LINEST VARS'!$F$62*(8*$CH$80)+'LINEST VARS'!$E$62*(8*$BX81)+'LINEST VARS'!$D$62*(8*12.73)+'LINEST VARS'!$C$62*($CH$80*$BX81)+'LINEST VARS'!$B$62*($CH$80*12.73)+'LINEST VARS'!$A$62*($BX81*12.73)</f>
        <v>285.19999999999993</v>
      </c>
      <c r="CI81" s="55">
        <f>'LINEST VARS'!$U$62+'LINEST VARS'!$T$62*(8)+'LINEST VARS'!$S$62*(8)+'LINEST VARS'!$R$62*($CI$80)+'LINEST VARS'!$Q$62*($BX81)+'LINEST VARS'!$P$62*(12.73)+'LINEST VARS'!$O$62*(8^2)+'LINEST VARS'!$N$62*(8^2)+'LINEST VARS'!$M$62*($CI$80^2)+'LINEST VARS'!$L$62*($BX81^2)+'LINEST VARS'!$K$62*(12.73^2)+'LINEST VARS'!$J$62*(8*8)+'LINEST VARS'!$I$62*(8*$CI$80)+'LINEST VARS'!$H$62*(8*$BX81)+'LINEST VARS'!$G$62*(8*12.73)+'LINEST VARS'!$F$62*(8*$CI$80)+'LINEST VARS'!$E$62*(8*$BX81)+'LINEST VARS'!$D$62*(8*12.73)+'LINEST VARS'!$C$62*($CI$80*$BX81)+'LINEST VARS'!$B$62*($CI$80*12.73)+'LINEST VARS'!$A$62*($BX81*12.73)</f>
        <v>269.99999999999994</v>
      </c>
      <c r="CJ81" s="55">
        <f>'LINEST VARS'!$U$62+'LINEST VARS'!$T$62*(8)+'LINEST VARS'!$S$62*(8)+'LINEST VARS'!$R$62*($CJ$80)+'LINEST VARS'!$Q$62*($BX81)+'LINEST VARS'!$P$62*(12.73)+'LINEST VARS'!$O$62*(8^2)+'LINEST VARS'!$N$62*(8^2)+'LINEST VARS'!$M$62*($CJ$80^2)+'LINEST VARS'!$L$62*($BX81^2)+'LINEST VARS'!$K$62*(12.73^2)+'LINEST VARS'!$J$62*(8*8)+'LINEST VARS'!$I$62*(8*$CJ$80)+'LINEST VARS'!$H$62*(8*$BX81)+'LINEST VARS'!$G$62*(8*12.73)+'LINEST VARS'!$F$62*(8*$CJ$80)+'LINEST VARS'!$E$62*(8*$BX81)+'LINEST VARS'!$D$62*(8*12.73)+'LINEST VARS'!$C$62*($CJ$80*$BX81)+'LINEST VARS'!$B$62*($CJ$80*12.73)+'LINEST VARS'!$A$62*($BX81*12.73)</f>
        <v>253.20000000000005</v>
      </c>
      <c r="CK81" s="55">
        <f>'LINEST VARS'!$U$62+'LINEST VARS'!$T$62*(8)+'LINEST VARS'!$S$62*(8)+'LINEST VARS'!$R$62*($CK$80)+'LINEST VARS'!$Q$62*($BX81)+'LINEST VARS'!$P$62*(12.73)+'LINEST VARS'!$O$62*(8^2)+'LINEST VARS'!$N$62*(8^2)+'LINEST VARS'!$M$62*($CK$80^2)+'LINEST VARS'!$L$62*($BX81^2)+'LINEST VARS'!$K$62*(12.73^2)+'LINEST VARS'!$J$62*(8*8)+'LINEST VARS'!$I$62*(8*$CK$80)+'LINEST VARS'!$H$62*(8*$BX81)+'LINEST VARS'!$G$62*(8*12.73)+'LINEST VARS'!$F$62*(8*$CK$80)+'LINEST VARS'!$E$62*(8*$BX81)+'LINEST VARS'!$D$62*(8*12.73)+'LINEST VARS'!$C$62*($CK$80*$BX81)+'LINEST VARS'!$B$62*($CK$80*12.73)+'LINEST VARS'!$A$62*($BX81*12.73)</f>
        <v>234.8000000000001</v>
      </c>
      <c r="CL81" s="55">
        <f>'LINEST VARS'!$U$62+'LINEST VARS'!$T$62*(8)+'LINEST VARS'!$S$62*(8)+'LINEST VARS'!$R$62*($CL$80)+'LINEST VARS'!$Q$62*($BX81)+'LINEST VARS'!$P$62*(12.73)+'LINEST VARS'!$O$62*(8^2)+'LINEST VARS'!$N$62*(8^2)+'LINEST VARS'!$M$62*($CL$80^2)+'LINEST VARS'!$L$62*($BX81^2)+'LINEST VARS'!$K$62*(12.73^2)+'LINEST VARS'!$J$62*(8*8)+'LINEST VARS'!$I$62*(8*$CL$80)+'LINEST VARS'!$H$62*(8*$BX81)+'LINEST VARS'!$G$62*(8*12.73)+'LINEST VARS'!$F$62*(8*$CL$80)+'LINEST VARS'!$E$62*(8*$BX81)+'LINEST VARS'!$D$62*(8*12.73)+'LINEST VARS'!$C$62*($CL$80*$BX81)+'LINEST VARS'!$B$62*($CL$80*12.73)+'LINEST VARS'!$A$62*($BX81*12.73)</f>
        <v>214.80000000000004</v>
      </c>
      <c r="CM81" s="55">
        <f>'LINEST VARS'!$U$62+'LINEST VARS'!$T$62*(8)+'LINEST VARS'!$S$62*(8)+'LINEST VARS'!$R$62*($CM$80)+'LINEST VARS'!$Q$62*($BX81)+'LINEST VARS'!$P$62*(12.73)+'LINEST VARS'!$O$62*(8^2)+'LINEST VARS'!$N$62*(8^2)+'LINEST VARS'!$M$62*($CM$80^2)+'LINEST VARS'!$L$62*($BX81^2)+'LINEST VARS'!$K$62*(12.73^2)+'LINEST VARS'!$J$62*(8*8)+'LINEST VARS'!$I$62*(8*$CM$80)+'LINEST VARS'!$H$62*(8*$BX81)+'LINEST VARS'!$G$62*(8*12.73)+'LINEST VARS'!$F$62*(8*$CM$80)+'LINEST VARS'!$E$62*(8*$BX81)+'LINEST VARS'!$D$62*(8*12.73)+'LINEST VARS'!$C$62*($CM$80*$BX81)+'LINEST VARS'!$B$62*($CM$80*12.73)+'LINEST VARS'!$A$62*($BX81*12.73)</f>
        <v>193.20000000000013</v>
      </c>
      <c r="CN81" s="55">
        <f>'LINEST VARS'!$U$62+'LINEST VARS'!$T$62*(8)+'LINEST VARS'!$S$62*(8)+'LINEST VARS'!$R$62*($CN$80)+'LINEST VARS'!$Q$62*($BX81)+'LINEST VARS'!$P$62*(12.73)+'LINEST VARS'!$O$62*(8^2)+'LINEST VARS'!$N$62*(8^2)+'LINEST VARS'!$M$62*($CN$80^2)+'LINEST VARS'!$L$62*($BX81^2)+'LINEST VARS'!$K$62*(12.73^2)+'LINEST VARS'!$J$62*(8*8)+'LINEST VARS'!$I$62*(8*$CN$80)+'LINEST VARS'!$H$62*(8*$BX81)+'LINEST VARS'!$G$62*(8*12.73)+'LINEST VARS'!$F$62*(8*$CN$80)+'LINEST VARS'!$E$62*(8*$BX81)+'LINEST VARS'!$D$62*(8*12.73)+'LINEST VARS'!$C$62*($CN$80*$BX81)+'LINEST VARS'!$B$62*($CN$80*12.73)+'LINEST VARS'!$A$62*($BX81*12.73)</f>
        <v>170.00000000000011</v>
      </c>
      <c r="CO81" s="55">
        <f>'LINEST VARS'!$U$62+'LINEST VARS'!$T$62*(8)+'LINEST VARS'!$S$62*(8)+'LINEST VARS'!$R$62*($CO$80)+'LINEST VARS'!$Q$62*($BX81)+'LINEST VARS'!$P$62*(12.73)+'LINEST VARS'!$O$62*(8^2)+'LINEST VARS'!$N$62*(8^2)+'LINEST VARS'!$M$62*($CO$80^2)+'LINEST VARS'!$L$62*($BX81^2)+'LINEST VARS'!$K$62*(12.73^2)+'LINEST VARS'!$J$62*(8*8)+'LINEST VARS'!$I$62*(8*$CO$80)+'LINEST VARS'!$H$62*(8*$BX81)+'LINEST VARS'!$G$62*(8*12.73)+'LINEST VARS'!$F$62*(8*$CO$80)+'LINEST VARS'!$E$62*(8*$BX81)+'LINEST VARS'!$D$62*(8*12.73)+'LINEST VARS'!$C$62*($CO$80*$BX81)+'LINEST VARS'!$B$62*($CO$80*12.73)+'LINEST VARS'!$A$62*($BX81*12.73)</f>
        <v>145.20000000000013</v>
      </c>
      <c r="CP81" s="55">
        <f>'LINEST VARS'!$U$62+'LINEST VARS'!$T$62*(8)+'LINEST VARS'!$S$62*(8)+'LINEST VARS'!$R$62*($CP$80)+'LINEST VARS'!$Q$62*($BX81)+'LINEST VARS'!$P$62*(12.73)+'LINEST VARS'!$O$62*(8^2)+'LINEST VARS'!$N$62*(8^2)+'LINEST VARS'!$M$62*($CP$80^2)+'LINEST VARS'!$L$62*($BX81^2)+'LINEST VARS'!$K$62*(12.73^2)+'LINEST VARS'!$J$62*(8*8)+'LINEST VARS'!$I$62*(8*$CP$80)+'LINEST VARS'!$H$62*(8*$BX81)+'LINEST VARS'!$G$62*(8*12.73)+'LINEST VARS'!$F$62*(8*$CP$80)+'LINEST VARS'!$E$62*(8*$BX81)+'LINEST VARS'!$D$62*(8*12.73)+'LINEST VARS'!$C$62*($CP$80*$BX81)+'LINEST VARS'!$B$62*($CP$80*12.73)+'LINEST VARS'!$A$62*($BX81*12.73)</f>
        <v>118.80000000000014</v>
      </c>
      <c r="CQ81" s="55">
        <f>'LINEST VARS'!$U$62+'LINEST VARS'!$T$62*(8)+'LINEST VARS'!$S$62*(8)+'LINEST VARS'!$R$62*($CQ$80)+'LINEST VARS'!$Q$62*($BX81)+'LINEST VARS'!$P$62*(12.73)+'LINEST VARS'!$O$62*(8^2)+'LINEST VARS'!$N$62*(8^2)+'LINEST VARS'!$M$62*($CQ$80^2)+'LINEST VARS'!$L$62*($BX81^2)+'LINEST VARS'!$K$62*(12.73^2)+'LINEST VARS'!$J$62*(8*8)+'LINEST VARS'!$I$62*(8*$CQ$80)+'LINEST VARS'!$H$62*(8*$BX81)+'LINEST VARS'!$G$62*(8*12.73)+'LINEST VARS'!$F$62*(8*$CQ$80)+'LINEST VARS'!$E$62*(8*$BX81)+'LINEST VARS'!$D$62*(8*12.73)+'LINEST VARS'!$C$62*($CQ$80*$BX81)+'LINEST VARS'!$B$62*($CQ$80*12.73)+'LINEST VARS'!$A$62*($BX81*12.73)</f>
        <v>90.800000000000139</v>
      </c>
      <c r="CR81" s="55">
        <f>'LINEST VARS'!$U$62+'LINEST VARS'!$T$62*(8)+'LINEST VARS'!$S$62*(8)+'LINEST VARS'!$R$62*($CR$80)+'LINEST VARS'!$Q$62*($BX81)+'LINEST VARS'!$P$62*(12.73)+'LINEST VARS'!$O$62*(8^2)+'LINEST VARS'!$N$62*(8^2)+'LINEST VARS'!$M$62*($CR$80^2)+'LINEST VARS'!$L$62*($BX81^2)+'LINEST VARS'!$K$62*(12.73^2)+'LINEST VARS'!$J$62*(8*8)+'LINEST VARS'!$I$62*(8*$CR$80)+'LINEST VARS'!$H$62*(8*$BX81)+'LINEST VARS'!$G$62*(8*12.73)+'LINEST VARS'!$F$62*(8*$CR$80)+'LINEST VARS'!$E$62*(8*$BX81)+'LINEST VARS'!$D$62*(8*12.73)+'LINEST VARS'!$C$62*($CR$80*$BX81)+'LINEST VARS'!$B$62*($CR$80*12.73)+'LINEST VARS'!$A$62*($BX81*12.73)</f>
        <v>61.200000000000188</v>
      </c>
      <c r="CS81" s="56">
        <f>'LINEST VARS'!$U$62+'LINEST VARS'!$T$62*(8)+'LINEST VARS'!$S$62*(8)+'LINEST VARS'!$R$62*($CS$80)+'LINEST VARS'!$Q$62*($BX81)+'LINEST VARS'!$P$62*(12.73)+'LINEST VARS'!$O$62*(8^2)+'LINEST VARS'!$N$62*(8^2)+'LINEST VARS'!$M$62*($CS$80^2)+'LINEST VARS'!$L$62*($BX81^2)+'LINEST VARS'!$K$62*(12.73^2)+'LINEST VARS'!$J$62*(8*8)+'LINEST VARS'!$I$62*(8*$CS$80)+'LINEST VARS'!$H$62*(8*$BX81)+'LINEST VARS'!$G$62*(8*12.73)+'LINEST VARS'!$F$62*(8*$CS$80)+'LINEST VARS'!$E$62*(8*$BX81)+'LINEST VARS'!$D$62*(8*12.73)+'LINEST VARS'!$C$62*($CS$80*$BX81)+'LINEST VARS'!$B$62*($CS$80*12.73)+'LINEST VARS'!$A$62*($BX81*12.73)</f>
        <v>30.00000000000022</v>
      </c>
      <c r="CX81" s="45">
        <v>0</v>
      </c>
      <c r="CY81" s="46">
        <f>'LINEST VARS'!$U$60+'LINEST VARS'!$T$60*(8)+'LINEST VARS'!$S$60*(8)+'LINEST VARS'!$R$60*($CY$80)+'LINEST VARS'!$Q$60*(0.5)+'LINEST VARS'!$P$60*($CX81)+'LINEST VARS'!$O$60*(8^2)+'LINEST VARS'!$N$60*(8^2)+'LINEST VARS'!$M$60*($CY$80^2)+'LINEST VARS'!$L$60*(0.5^2)+'LINEST VARS'!$K$60*($CX81^2)+'LINEST VARS'!$J$60*(8*8)+'LINEST VARS'!$I$60*(8*$CY$80)+'LINEST VARS'!$H$60*(8*0.5)+'LINEST VARS'!$G$60*(8*$CX81)+'LINEST VARS'!$F$60*(8*$CY$80)+'LINEST VARS'!$E$60*(8*0.5)+'LINEST VARS'!$D$60*(8*$CX81)+'LINEST VARS'!$C$60*($CY$80*0.5)+'LINEST VARS'!$B$60*($CY$80*$CX81)+'LINEST VARS'!$A$60*(0.5*$CX81)</f>
        <v>15.000000000000012</v>
      </c>
      <c r="CZ81" s="46">
        <f>'LINEST VARS'!$U$60+'LINEST VARS'!$T$60*(8)+'LINEST VARS'!$S$60*(8)+'LINEST VARS'!$R$60*($CZ$80)+'LINEST VARS'!$Q$60*(0.5)+'LINEST VARS'!$P$60*($CX81)+'LINEST VARS'!$O$60*(8^2)+'LINEST VARS'!$N$60*(8^2)+'LINEST VARS'!$M$60*($CZ$80^2)+'LINEST VARS'!$L$60*(0.5^2)+'LINEST VARS'!$K$60*($CX81^2)+'LINEST VARS'!$J$60*(8*8)+'LINEST VARS'!$I$60*(8*$CZ$80)+'LINEST VARS'!$H$60*(8*0.5)+'LINEST VARS'!$G$60*(8*$CX81)+'LINEST VARS'!$F$60*(8*$CZ$80)+'LINEST VARS'!$E$60*(8*0.5)+'LINEST VARS'!$D$60*(8*$CX81)+'LINEST VARS'!$C$60*($CZ$80*0.5)+'LINEST VARS'!$B$60*($CZ$80*$CX81)+'LINEST VARS'!$A$60*(0.5*$CX81)</f>
        <v>15.000000000000012</v>
      </c>
      <c r="DA81" s="46">
        <f>'LINEST VARS'!$U$60+'LINEST VARS'!$T$60*(8)+'LINEST VARS'!$S$60*(8)+'LINEST VARS'!$R$60*($DA$80)+'LINEST VARS'!$Q$60*(0.5)+'LINEST VARS'!$P$60*($CX81)+'LINEST VARS'!$O$60*(8^2)+'LINEST VARS'!$N$60*(8^2)+'LINEST VARS'!$M$60*($DA$80^2)+'LINEST VARS'!$L$60*(0.5^2)+'LINEST VARS'!$K$60*($CX81^2)+'LINEST VARS'!$J$60*(8*8)+'LINEST VARS'!$I$60*(8*$DA$80)+'LINEST VARS'!$H$60*(8*0.5)+'LINEST VARS'!$G$60*(8*$CX81)+'LINEST VARS'!$F$60*(8*$DA$80)+'LINEST VARS'!$E$60*(8*0.5)+'LINEST VARS'!$D$60*(8*$CX81)+'LINEST VARS'!$C$60*($DA$80*0.5)+'LINEST VARS'!$B$60*($DA$80*$CX81)+'LINEST VARS'!$A$60*(0.5*$CX81)</f>
        <v>15.000000000000012</v>
      </c>
      <c r="DB81" s="46">
        <f>'LINEST VARS'!$U$60+'LINEST VARS'!$T$60*(8)+'LINEST VARS'!$S$60*(8)+'LINEST VARS'!$R$60*($DB$80)+'LINEST VARS'!$Q$60*(0.5)+'LINEST VARS'!$P$60*($CX81)+'LINEST VARS'!$O$60*(8^2)+'LINEST VARS'!$N$60*(8^2)+'LINEST VARS'!$M$60*($DB$80^2)+'LINEST VARS'!$L$60*(0.5^2)+'LINEST VARS'!$K$60*($CX81^2)+'LINEST VARS'!$J$60*(8*8)+'LINEST VARS'!$I$60*(8*$DB$80)+'LINEST VARS'!$H$60*(8*0.5)+'LINEST VARS'!$G$60*(8*$CX81)+'LINEST VARS'!$F$60*(8*$DB$80)+'LINEST VARS'!$E$60*(8*0.5)+'LINEST VARS'!$D$60*(8*$CX81)+'LINEST VARS'!$C$60*($DB$80*0.5)+'LINEST VARS'!$B$60*($DB$80*$CX81)+'LINEST VARS'!$A$60*(0.5*$CX81)</f>
        <v>15.000000000000012</v>
      </c>
      <c r="DC81" s="46">
        <f>'LINEST VARS'!$U$60+'LINEST VARS'!$T$60*(8)+'LINEST VARS'!$S$60*(8)+'LINEST VARS'!$R$60*($DC$80)+'LINEST VARS'!$Q$60*(0.5)+'LINEST VARS'!$P$60*($CX81)+'LINEST VARS'!$O$60*(8^2)+'LINEST VARS'!$N$60*(8^2)+'LINEST VARS'!$M$60*($DC$80^2)+'LINEST VARS'!$L$60*(0.5^2)+'LINEST VARS'!$K$60*($CX81^2)+'LINEST VARS'!$J$60*(8*8)+'LINEST VARS'!$I$60*(8*$DC$80)+'LINEST VARS'!$H$60*(8*0.5)+'LINEST VARS'!$G$60*(8*$CX81)+'LINEST VARS'!$F$60*(8*$DC$80)+'LINEST VARS'!$E$60*(8*0.5)+'LINEST VARS'!$D$60*(8*$CX81)+'LINEST VARS'!$C$60*($DC$80*0.5)+'LINEST VARS'!$B$60*($DC$80*$CX81)+'LINEST VARS'!$A$60*(0.5*$CX81)</f>
        <v>15.000000000000012</v>
      </c>
      <c r="DD81" s="46">
        <f>'LINEST VARS'!$U$60+'LINEST VARS'!$T$60*(8)+'LINEST VARS'!$S$60*(8)+'LINEST VARS'!$R$60*($DD$80)+'LINEST VARS'!$Q$60*(0.5)+'LINEST VARS'!$P$60*($CX81)+'LINEST VARS'!$O$60*(8^2)+'LINEST VARS'!$N$60*(8^2)+'LINEST VARS'!$M$60*($DD$80^2)+'LINEST VARS'!$L$60*(0.5^2)+'LINEST VARS'!$K$60*($CX81^2)+'LINEST VARS'!$J$60*(8*8)+'LINEST VARS'!$I$60*(8*$DD$80)+'LINEST VARS'!$H$60*(8*0.5)+'LINEST VARS'!$G$60*(8*$CX81)+'LINEST VARS'!$F$60*(8*$DD$80)+'LINEST VARS'!$E$60*(8*0.5)+'LINEST VARS'!$D$60*(8*$CX81)+'LINEST VARS'!$C$60*($DD$80*0.5)+'LINEST VARS'!$B$60*($DD$80*$CX81)+'LINEST VARS'!$A$60*(0.5*$CX81)</f>
        <v>15.000000000000014</v>
      </c>
      <c r="DE81" s="46">
        <f>'LINEST VARS'!$U$60+'LINEST VARS'!$T$60*(8)+'LINEST VARS'!$S$60*(8)+'LINEST VARS'!$R$60*($DE$80)+'LINEST VARS'!$Q$60*(0.5)+'LINEST VARS'!$P$60*($CX81)+'LINEST VARS'!$O$60*(8^2)+'LINEST VARS'!$N$60*(8^2)+'LINEST VARS'!$M$60*($DE$80^2)+'LINEST VARS'!$L$60*(0.5^2)+'LINEST VARS'!$K$60*($CX81^2)+'LINEST VARS'!$J$60*(8*8)+'LINEST VARS'!$I$60*(8*$DE$80)+'LINEST VARS'!$H$60*(8*0.5)+'LINEST VARS'!$G$60*(8*$CX81)+'LINEST VARS'!$F$60*(8*$DE$80)+'LINEST VARS'!$E$60*(8*0.5)+'LINEST VARS'!$D$60*(8*$CX81)+'LINEST VARS'!$C$60*($DE$80*0.5)+'LINEST VARS'!$B$60*($DE$80*$CX81)+'LINEST VARS'!$A$60*(0.5*$CX81)</f>
        <v>15.000000000000014</v>
      </c>
      <c r="DF81" s="46">
        <f>'LINEST VARS'!$U$60+'LINEST VARS'!$T$60*(8)+'LINEST VARS'!$S$60*(8)+'LINEST VARS'!$R$60*($DF$80)+'LINEST VARS'!$Q$60*(0.5)+'LINEST VARS'!$P$60*($CX81)+'LINEST VARS'!$O$60*(8^2)+'LINEST VARS'!$N$60*(8^2)+'LINEST VARS'!$M$60*($DF$80^2)+'LINEST VARS'!$L$60*(0.5^2)+'LINEST VARS'!$K$60*($CX81^2)+'LINEST VARS'!$J$60*(8*8)+'LINEST VARS'!$I$60*(8*$DF$80)+'LINEST VARS'!$H$60*(8*0.5)+'LINEST VARS'!$G$60*(8*$CX81)+'LINEST VARS'!$F$60*(8*$DF$80)+'LINEST VARS'!$E$60*(8*0.5)+'LINEST VARS'!$D$60*(8*$CX81)+'LINEST VARS'!$C$60*($DF$80*0.5)+'LINEST VARS'!$B$60*($DF$80*$CX81)+'LINEST VARS'!$A$60*(0.5*$CX81)</f>
        <v>15.000000000000014</v>
      </c>
      <c r="DG81" s="46">
        <f>'LINEST VARS'!$U$60+'LINEST VARS'!$T$60*(8)+'LINEST VARS'!$S$60*(8)+'LINEST VARS'!$R$60*($DG$80)+'LINEST VARS'!$Q$60*(0.5)+'LINEST VARS'!$P$60*($CX81)+'LINEST VARS'!$O$60*(8^2)+'LINEST VARS'!$N$60*(8^2)+'LINEST VARS'!$M$60*($DG$80^2)+'LINEST VARS'!$L$60*(0.5^2)+'LINEST VARS'!$K$60*($CX81^2)+'LINEST VARS'!$J$60*(8*8)+'LINEST VARS'!$I$60*(8*$DG$80)+'LINEST VARS'!$H$60*(8*0.5)+'LINEST VARS'!$G$60*(8*$CX81)+'LINEST VARS'!$F$60*(8*$DG$80)+'LINEST VARS'!$E$60*(8*0.5)+'LINEST VARS'!$D$60*(8*$CX81)+'LINEST VARS'!$C$60*($DG$80*0.5)+'LINEST VARS'!$B$60*($DG$80*$CX81)+'LINEST VARS'!$A$60*(0.5*$CX81)</f>
        <v>15.000000000000014</v>
      </c>
      <c r="DH81" s="46">
        <f>'LINEST VARS'!$U$60+'LINEST VARS'!$T$60*(8)+'LINEST VARS'!$S$60*(8)+'LINEST VARS'!$R$60*($DH$80)+'LINEST VARS'!$Q$60*(0.5)+'LINEST VARS'!$P$60*($CX81)+'LINEST VARS'!$O$60*(8^2)+'LINEST VARS'!$N$60*(8^2)+'LINEST VARS'!$M$60*($DH$80^2)+'LINEST VARS'!$L$60*(0.5^2)+'LINEST VARS'!$K$60*($CX81^2)+'LINEST VARS'!$J$60*(8*8)+'LINEST VARS'!$I$60*(8*$DH$80)+'LINEST VARS'!$H$60*(8*0.5)+'LINEST VARS'!$G$60*(8*$CX81)+'LINEST VARS'!$F$60*(8*$DH$80)+'LINEST VARS'!$E$60*(8*0.5)+'LINEST VARS'!$D$60*(8*$CX81)+'LINEST VARS'!$C$60*($DH$80*0.5)+'LINEST VARS'!$B$60*($DH$80*$CX81)+'LINEST VARS'!$A$60*(0.5*$CX81)</f>
        <v>15.000000000000012</v>
      </c>
      <c r="DI81" s="46">
        <f>'LINEST VARS'!$U$60+'LINEST VARS'!$T$60*(8)+'LINEST VARS'!$S$60*(8)+'LINEST VARS'!$R$60*($DI$80)+'LINEST VARS'!$Q$60*(0.5)+'LINEST VARS'!$P$60*($CX81)+'LINEST VARS'!$O$60*(8^2)+'LINEST VARS'!$N$60*(8^2)+'LINEST VARS'!$M$60*($DI$80^2)+'LINEST VARS'!$L$60*(0.5^2)+'LINEST VARS'!$K$60*($CX81^2)+'LINEST VARS'!$J$60*(8*8)+'LINEST VARS'!$I$60*(8*$DI$80)+'LINEST VARS'!$H$60*(8*0.5)+'LINEST VARS'!$G$60*(8*$CX81)+'LINEST VARS'!$F$60*(8*$DI$80)+'LINEST VARS'!$E$60*(8*0.5)+'LINEST VARS'!$D$60*(8*$CX81)+'LINEST VARS'!$C$60*($DI$80*0.5)+'LINEST VARS'!$B$60*($DI$80*$CX81)+'LINEST VARS'!$A$60*(0.5*$CX81)</f>
        <v>15.000000000000011</v>
      </c>
      <c r="DJ81" s="46">
        <f>'LINEST VARS'!$U$60+'LINEST VARS'!$T$60*(8)+'LINEST VARS'!$S$60*(8)+'LINEST VARS'!$R$60*($DJ$80)+'LINEST VARS'!$Q$60*(0.5)+'LINEST VARS'!$P$60*($CX81)+'LINEST VARS'!$O$60*(8^2)+'LINEST VARS'!$N$60*(8^2)+'LINEST VARS'!$M$60*($DJ$80^2)+'LINEST VARS'!$L$60*(0.5^2)+'LINEST VARS'!$K$60*($CX81^2)+'LINEST VARS'!$J$60*(8*8)+'LINEST VARS'!$I$60*(8*$DJ$80)+'LINEST VARS'!$H$60*(8*0.5)+'LINEST VARS'!$G$60*(8*$CX81)+'LINEST VARS'!$F$60*(8*$DJ$80)+'LINEST VARS'!$E$60*(8*0.5)+'LINEST VARS'!$D$60*(8*$CX81)+'LINEST VARS'!$C$60*($DJ$80*0.5)+'LINEST VARS'!$B$60*($DJ$80*$CX81)+'LINEST VARS'!$A$60*(0.5*$CX81)</f>
        <v>15.000000000000012</v>
      </c>
      <c r="DK81" s="46">
        <f>'LINEST VARS'!$U$60+'LINEST VARS'!$T$60*(8)+'LINEST VARS'!$S$60*(8)+'LINEST VARS'!$R$60*($DK$80)+'LINEST VARS'!$Q$60*(0.5)+'LINEST VARS'!$P$60*($CX81)+'LINEST VARS'!$O$60*(8^2)+'LINEST VARS'!$N$60*(8^2)+'LINEST VARS'!$M$60*($DK$80^2)+'LINEST VARS'!$L$60*(0.5^2)+'LINEST VARS'!$K$60*($CX81^2)+'LINEST VARS'!$J$60*(8*8)+'LINEST VARS'!$I$60*(8*$DK$80)+'LINEST VARS'!$H$60*(8*0.5)+'LINEST VARS'!$G$60*(8*$CX81)+'LINEST VARS'!$F$60*(8*$DK$80)+'LINEST VARS'!$E$60*(8*0.5)+'LINEST VARS'!$D$60*(8*$CX81)+'LINEST VARS'!$C$60*($DK$80*0.5)+'LINEST VARS'!$B$60*($DK$80*$CX81)+'LINEST VARS'!$A$60*(0.5*$CX81)</f>
        <v>15.000000000000011</v>
      </c>
      <c r="DL81" s="46">
        <f>'LINEST VARS'!$U$60+'LINEST VARS'!$T$60*(8)+'LINEST VARS'!$S$60*(8)+'LINEST VARS'!$R$60*($DL$80)+'LINEST VARS'!$Q$60*(0.5)+'LINEST VARS'!$P$60*($CX81)+'LINEST VARS'!$O$60*(8^2)+'LINEST VARS'!$N$60*(8^2)+'LINEST VARS'!$M$60*($DL$80^2)+'LINEST VARS'!$L$60*(0.5^2)+'LINEST VARS'!$K$60*($CX81^2)+'LINEST VARS'!$J$60*(8*8)+'LINEST VARS'!$I$60*(8*$DL$80)+'LINEST VARS'!$H$60*(8*0.5)+'LINEST VARS'!$G$60*(8*$CX81)+'LINEST VARS'!$F$60*(8*$DL$80)+'LINEST VARS'!$E$60*(8*0.5)+'LINEST VARS'!$D$60*(8*$CX81)+'LINEST VARS'!$C$60*($DL$80*0.5)+'LINEST VARS'!$B$60*($DL$80*$CX81)+'LINEST VARS'!$A$60*(0.5*$CX81)</f>
        <v>15.000000000000012</v>
      </c>
      <c r="DM81" s="46">
        <f>'LINEST VARS'!$U$60+'LINEST VARS'!$T$60*(8)+'LINEST VARS'!$S$60*(8)+'LINEST VARS'!$R$60*($DM$80)+'LINEST VARS'!$Q$60*(0.5)+'LINEST VARS'!$P$60*($CX81)+'LINEST VARS'!$O$60*(8^2)+'LINEST VARS'!$N$60*(8^2)+'LINEST VARS'!$M$60*($DM$80^2)+'LINEST VARS'!$L$60*(0.5^2)+'LINEST VARS'!$K$60*($CX81^2)+'LINEST VARS'!$J$60*(8*8)+'LINEST VARS'!$I$60*(8*$DM$80)+'LINEST VARS'!$H$60*(8*0.5)+'LINEST VARS'!$G$60*(8*$CX81)+'LINEST VARS'!$F$60*(8*$DM$80)+'LINEST VARS'!$E$60*(8*0.5)+'LINEST VARS'!$D$60*(8*$CX81)+'LINEST VARS'!$C$60*($DM$80*0.5)+'LINEST VARS'!$B$60*($DM$80*$CX81)+'LINEST VARS'!$A$60*(0.5*$CX81)</f>
        <v>15.000000000000014</v>
      </c>
      <c r="DN81" s="46">
        <f>'LINEST VARS'!$U$60+'LINEST VARS'!$T$60*(8)+'LINEST VARS'!$S$60*(8)+'LINEST VARS'!$R$60*($DN$80)+'LINEST VARS'!$Q$60*(0.5)+'LINEST VARS'!$P$60*($CX81)+'LINEST VARS'!$O$60*(8^2)+'LINEST VARS'!$N$60*(8^2)+'LINEST VARS'!$M$60*($DN$80^2)+'LINEST VARS'!$L$60*(0.5^2)+'LINEST VARS'!$K$60*($CX81^2)+'LINEST VARS'!$J$60*(8*8)+'LINEST VARS'!$I$60*(8*$DN$80)+'LINEST VARS'!$H$60*(8*0.5)+'LINEST VARS'!$G$60*(8*$CX81)+'LINEST VARS'!$F$60*(8*$DN$80)+'LINEST VARS'!$E$60*(8*0.5)+'LINEST VARS'!$D$60*(8*$CX81)+'LINEST VARS'!$C$60*($DN$80*0.5)+'LINEST VARS'!$B$60*($DN$80*$CX81)+'LINEST VARS'!$A$60*(0.5*$CX81)</f>
        <v>15.000000000000014</v>
      </c>
      <c r="DO81" s="46">
        <f>'LINEST VARS'!$U$60+'LINEST VARS'!$T$60*(8)+'LINEST VARS'!$S$60*(8)+'LINEST VARS'!$R$60*($DO$80)+'LINEST VARS'!$Q$60*(0.5)+'LINEST VARS'!$P$60*($CX81)+'LINEST VARS'!$O$60*(8^2)+'LINEST VARS'!$N$60*(8^2)+'LINEST VARS'!$M$60*($DO$80^2)+'LINEST VARS'!$L$60*(0.5^2)+'LINEST VARS'!$K$60*($CX81^2)+'LINEST VARS'!$J$60*(8*8)+'LINEST VARS'!$I$60*(8*$DO$80)+'LINEST VARS'!$H$60*(8*0.5)+'LINEST VARS'!$G$60*(8*$CX81)+'LINEST VARS'!$F$60*(8*$DO$80)+'LINEST VARS'!$E$60*(8*0.5)+'LINEST VARS'!$D$60*(8*$CX81)+'LINEST VARS'!$C$60*($DO$80*0.5)+'LINEST VARS'!$B$60*($DO$80*$CX81)+'LINEST VARS'!$A$60*(0.5*$CX81)</f>
        <v>15.000000000000014</v>
      </c>
      <c r="DP81" s="46">
        <f>'LINEST VARS'!$U$60+'LINEST VARS'!$T$60*(8)+'LINEST VARS'!$S$60*(8)+'LINEST VARS'!$R$60*($DP$80)+'LINEST VARS'!$Q$60*(0.5)+'LINEST VARS'!$P$60*($CX81)+'LINEST VARS'!$O$60*(8^2)+'LINEST VARS'!$N$60*(8^2)+'LINEST VARS'!$M$60*($DP$80^2)+'LINEST VARS'!$L$60*(0.5^2)+'LINEST VARS'!$K$60*($CX81^2)+'LINEST VARS'!$J$60*(8*8)+'LINEST VARS'!$I$60*(8*$DP$80)+'LINEST VARS'!$H$60*(8*0.5)+'LINEST VARS'!$G$60*(8*$CX81)+'LINEST VARS'!$F$60*(8*$DP$80)+'LINEST VARS'!$E$60*(8*0.5)+'LINEST VARS'!$D$60*(8*$CX81)+'LINEST VARS'!$C$60*($DP$80*0.5)+'LINEST VARS'!$B$60*($DP$80*$CX81)+'LINEST VARS'!$A$60*(0.5*$CX81)</f>
        <v>15.000000000000014</v>
      </c>
      <c r="DQ81" s="46">
        <f>'LINEST VARS'!$U$60+'LINEST VARS'!$T$60*(8)+'LINEST VARS'!$S$60*(8)+'LINEST VARS'!$R$60*($DQ$80)+'LINEST VARS'!$Q$60*(0.5)+'LINEST VARS'!$P$60*($CX81)+'LINEST VARS'!$O$60*(8^2)+'LINEST VARS'!$N$60*(8^2)+'LINEST VARS'!$M$60*($DQ$80^2)+'LINEST VARS'!$L$60*(0.5^2)+'LINEST VARS'!$K$60*($CX81^2)+'LINEST VARS'!$J$60*(8*8)+'LINEST VARS'!$I$60*(8*$DQ$80)+'LINEST VARS'!$H$60*(8*0.5)+'LINEST VARS'!$G$60*(8*$CX81)+'LINEST VARS'!$F$60*(8*$DQ$80)+'LINEST VARS'!$E$60*(8*0.5)+'LINEST VARS'!$D$60*(8*$CX81)+'LINEST VARS'!$C$60*($DQ$80*0.5)+'LINEST VARS'!$B$60*($DQ$80*$CX81)+'LINEST VARS'!$A$60*(0.5*$CX81)</f>
        <v>15.000000000000014</v>
      </c>
      <c r="DR81" s="46">
        <f>'LINEST VARS'!$U$60+'LINEST VARS'!$T$60*(8)+'LINEST VARS'!$S$60*(8)+'LINEST VARS'!$R$60*($DR$80)+'LINEST VARS'!$Q$60*(0.5)+'LINEST VARS'!$P$60*($CX81)+'LINEST VARS'!$O$60*(8^2)+'LINEST VARS'!$N$60*(8^2)+'LINEST VARS'!$M$60*($DR$80^2)+'LINEST VARS'!$L$60*(0.5^2)+'LINEST VARS'!$K$60*($CX81^2)+'LINEST VARS'!$J$60*(8*8)+'LINEST VARS'!$I$60*(8*$DR$80)+'LINEST VARS'!$H$60*(8*0.5)+'LINEST VARS'!$G$60*(8*$CX81)+'LINEST VARS'!$F$60*(8*$DR$80)+'LINEST VARS'!$E$60*(8*0.5)+'LINEST VARS'!$D$60*(8*$CX81)+'LINEST VARS'!$C$60*($DR$80*0.5)+'LINEST VARS'!$B$60*($DR$80*$CX81)+'LINEST VARS'!$A$60*(0.5*$CX81)</f>
        <v>15.000000000000012</v>
      </c>
      <c r="DS81" s="47">
        <f>'LINEST VARS'!$U$60+'LINEST VARS'!$T$60*(8)+'LINEST VARS'!$S$60*(8)+'LINEST VARS'!$R$60*($DS$80)+'LINEST VARS'!$Q$60*(0.5)+'LINEST VARS'!$P$60*($CX81)+'LINEST VARS'!$O$60*(8^2)+'LINEST VARS'!$N$60*(8^2)+'LINEST VARS'!$M$60*($DS$80^2)+'LINEST VARS'!$L$60*(0.5^2)+'LINEST VARS'!$K$60*($CX81^2)+'LINEST VARS'!$J$60*(8*8)+'LINEST VARS'!$I$60*(8*$DS$80)+'LINEST VARS'!$H$60*(8*0.5)+'LINEST VARS'!$G$60*(8*$CX81)+'LINEST VARS'!$F$60*(8*$DS$80)+'LINEST VARS'!$E$60*(8*0.5)+'LINEST VARS'!$D$60*(8*$CX81)+'LINEST VARS'!$C$60*($DS$80*0.5)+'LINEST VARS'!$B$60*($DS$80*$CX81)+'LINEST VARS'!$A$60*(0.5*$CX81)</f>
        <v>15.000000000000014</v>
      </c>
      <c r="DV81" s="45">
        <v>0</v>
      </c>
      <c r="DW81" s="55">
        <f>'LINEST VARS'!$U$62+'LINEST VARS'!$T$62*(8)+'LINEST VARS'!$S$62*(8)+'LINEST VARS'!$R$62*($DW$80)+'LINEST VARS'!$Q$62*(0.5)+'LINEST VARS'!$P$62*($DV81)+'LINEST VARS'!$O$62*(8^2)+'LINEST VARS'!$N$62*(8^2)+'LINEST VARS'!$M$62*($DW$80^2)+'LINEST VARS'!$L$62*(0.5^2)+'LINEST VARS'!$K$62*($DV81^2)+'LINEST VARS'!$J$62*(8*8)+'LINEST VARS'!$I$62*(8*$DW$80)+'LINEST VARS'!$H$62*(8*0.5)+'LINEST VARS'!$G$62*(8*$DV81)+'LINEST VARS'!$F$62*(8*$DW$80)+'LINEST VARS'!$E$62*(8*0.5)+'LINEST VARS'!$D$62*(8*$DV81)+'LINEST VARS'!$C$62*($DW$80*0.5)+'LINEST VARS'!$B$62*($DW$80*$DV81)+'LINEST VARS'!$A$62*(0.5*$DV81)</f>
        <v>349.49999999999983</v>
      </c>
      <c r="DX81" s="55">
        <f>'LINEST VARS'!$U$62+'LINEST VARS'!$T$62*(8)+'LINEST VARS'!$S$62*(8)+'LINEST VARS'!$R$62*($DX$80)+'LINEST VARS'!$Q$62*(0.5)+'LINEST VARS'!$P$62*($DV81)+'LINEST VARS'!$O$62*(8^2)+'LINEST VARS'!$N$62*(8^2)+'LINEST VARS'!$M$62*($DX$80^2)+'LINEST VARS'!$L$62*(0.5^2)+'LINEST VARS'!$K$62*($DV81^2)+'LINEST VARS'!$J$62*(8*8)+'LINEST VARS'!$I$62*(8*$DX$80)+'LINEST VARS'!$H$62*(8*0.5)+'LINEST VARS'!$G$62*(8*$DV81)+'LINEST VARS'!$F$62*(8*$DX$80)+'LINEST VARS'!$E$62*(8*0.5)+'LINEST VARS'!$D$62*(8*$DV81)+'LINEST VARS'!$C$62*($DX$80*0.5)+'LINEST VARS'!$B$62*($DX$80*$DV81)+'LINEST VARS'!$A$62*(0.5*$DV81)</f>
        <v>348.69999999999987</v>
      </c>
      <c r="DY81" s="55">
        <f>'LINEST VARS'!$U$62+'LINEST VARS'!$T$62*(8)+'LINEST VARS'!$S$62*(8)+'LINEST VARS'!$R$62*($DY$80)+'LINEST VARS'!$Q$62*(0.5)+'LINEST VARS'!$P$62*($DV81)+'LINEST VARS'!$O$62*(8^2)+'LINEST VARS'!$N$62*(8^2)+'LINEST VARS'!$M$62*($DY$80^2)+'LINEST VARS'!$L$62*(0.5^2)+'LINEST VARS'!$K$62*($DV81^2)+'LINEST VARS'!$J$62*(8*8)+'LINEST VARS'!$I$62*(8*$DY$80)+'LINEST VARS'!$H$62*(8*0.5)+'LINEST VARS'!$G$62*(8*$DV81)+'LINEST VARS'!$F$62*(8*$DY$80)+'LINEST VARS'!$E$62*(8*0.5)+'LINEST VARS'!$D$62*(8*$DV81)+'LINEST VARS'!$C$62*($DY$80*0.5)+'LINEST VARS'!$B$62*($DY$80*$DV81)+'LINEST VARS'!$A$62*(0.5*$DV81)</f>
        <v>346.29999999999978</v>
      </c>
      <c r="DZ81" s="55">
        <f>'LINEST VARS'!$U$62+'LINEST VARS'!$T$62*(8)+'LINEST VARS'!$S$62*(8)+'LINEST VARS'!$R$62*($DZ$80)+'LINEST VARS'!$Q$62*(0.5)+'LINEST VARS'!$P$62*($DV81)+'LINEST VARS'!$O$62*(8^2)+'LINEST VARS'!$N$62*(8^2)+'LINEST VARS'!$M$62*($DZ$80^2)+'LINEST VARS'!$L$62*(0.5^2)+'LINEST VARS'!$K$62*($DV81^2)+'LINEST VARS'!$J$62*(8*8)+'LINEST VARS'!$I$62*(8*$DZ$80)+'LINEST VARS'!$H$62*(8*0.5)+'LINEST VARS'!$G$62*(8*$DV81)+'LINEST VARS'!$F$62*(8*$DZ$80)+'LINEST VARS'!$E$62*(8*0.5)+'LINEST VARS'!$D$62*(8*$DV81)+'LINEST VARS'!$C$62*($DZ$80*0.5)+'LINEST VARS'!$B$62*($DZ$80*$DV81)+'LINEST VARS'!$A$62*(0.5*$DV81)</f>
        <v>342.29999999999984</v>
      </c>
      <c r="EA81" s="55">
        <f>'LINEST VARS'!$U$62+'LINEST VARS'!$T$62*(8)+'LINEST VARS'!$S$62*(8)+'LINEST VARS'!$R$62*($EA$80)+'LINEST VARS'!$Q$62*(0.5)+'LINEST VARS'!$P$62*($DV81)+'LINEST VARS'!$O$62*(8^2)+'LINEST VARS'!$N$62*(8^2)+'LINEST VARS'!$M$62*($EA$80^2)+'LINEST VARS'!$L$62*(0.5^2)+'LINEST VARS'!$K$62*($DV81^2)+'LINEST VARS'!$J$62*(8*8)+'LINEST VARS'!$I$62*(8*$EA$80)+'LINEST VARS'!$H$62*(8*0.5)+'LINEST VARS'!$G$62*(8*$DV81)+'LINEST VARS'!$F$62*(8*$EA$80)+'LINEST VARS'!$E$62*(8*0.5)+'LINEST VARS'!$D$62*(8*$DV81)+'LINEST VARS'!$C$62*($EA$80*0.5)+'LINEST VARS'!$B$62*($EA$80*$DV81)+'LINEST VARS'!$A$62*(0.5*$DV81)</f>
        <v>336.69999999999987</v>
      </c>
      <c r="EB81" s="55">
        <f>'LINEST VARS'!$U$62+'LINEST VARS'!$T$62*(8)+'LINEST VARS'!$S$62*(8)+'LINEST VARS'!$R$62*($EB$80)+'LINEST VARS'!$Q$62*(0.5)+'LINEST VARS'!$P$62*($DV81)+'LINEST VARS'!$O$62*(8^2)+'LINEST VARS'!$N$62*(8^2)+'LINEST VARS'!$M$62*($EB$80^2)+'LINEST VARS'!$L$62*(0.5^2)+'LINEST VARS'!$K$62*($DV81^2)+'LINEST VARS'!$J$62*(8*8)+'LINEST VARS'!$I$62*(8*$EB$80)+'LINEST VARS'!$H$62*(8*0.5)+'LINEST VARS'!$G$62*(8*$DV81)+'LINEST VARS'!$F$62*(8*$EB$80)+'LINEST VARS'!$E$62*(8*0.5)+'LINEST VARS'!$D$62*(8*$DV81)+'LINEST VARS'!$C$62*($EB$80*0.5)+'LINEST VARS'!$B$62*($EB$80*$DV81)+'LINEST VARS'!$A$62*(0.5*$DV81)</f>
        <v>329.49999999999994</v>
      </c>
      <c r="EC81" s="55">
        <f>'LINEST VARS'!$U$62+'LINEST VARS'!$T$62*(8)+'LINEST VARS'!$S$62*(8)+'LINEST VARS'!$R$62*($EC$80)+'LINEST VARS'!$Q$62*(0.5)+'LINEST VARS'!$P$62*($DV81)+'LINEST VARS'!$O$62*(8^2)+'LINEST VARS'!$N$62*(8^2)+'LINEST VARS'!$M$62*($EC$80^2)+'LINEST VARS'!$L$62*(0.5^2)+'LINEST VARS'!$K$62*($DV81^2)+'LINEST VARS'!$J$62*(8*8)+'LINEST VARS'!$I$62*(8*$EC$80)+'LINEST VARS'!$H$62*(8*0.5)+'LINEST VARS'!$G$62*(8*$DV81)+'LINEST VARS'!$F$62*(8*$EC$80)+'LINEST VARS'!$E$62*(8*0.5)+'LINEST VARS'!$D$62*(8*$DV81)+'LINEST VARS'!$C$62*($EC$80*0.5)+'LINEST VARS'!$B$62*($EC$80*$DV81)+'LINEST VARS'!$A$62*(0.5*$DV81)</f>
        <v>320.69999999999987</v>
      </c>
      <c r="ED81" s="55">
        <f>'LINEST VARS'!$U$62+'LINEST VARS'!$T$62*(8)+'LINEST VARS'!$S$62*(8)+'LINEST VARS'!$R$62*($ED$80)+'LINEST VARS'!$Q$62*(0.5)+'LINEST VARS'!$P$62*($DV81)+'LINEST VARS'!$O$62*(8^2)+'LINEST VARS'!$N$62*(8^2)+'LINEST VARS'!$M$62*($ED$80^2)+'LINEST VARS'!$L$62*(0.5^2)+'LINEST VARS'!$K$62*($DV81^2)+'LINEST VARS'!$J$62*(8*8)+'LINEST VARS'!$I$62*(8*$ED$80)+'LINEST VARS'!$H$62*(8*0.5)+'LINEST VARS'!$G$62*(8*$DV81)+'LINEST VARS'!$F$62*(8*$ED$80)+'LINEST VARS'!$E$62*(8*0.5)+'LINEST VARS'!$D$62*(8*$DV81)+'LINEST VARS'!$C$62*($ED$80*0.5)+'LINEST VARS'!$B$62*($ED$80*$DV81)+'LINEST VARS'!$A$62*(0.5*$DV81)</f>
        <v>310.2999999999999</v>
      </c>
      <c r="EE81" s="55">
        <f>'LINEST VARS'!$U$62+'LINEST VARS'!$T$62*(8)+'LINEST VARS'!$S$62*(8)+'LINEST VARS'!$R$62*($EE$80)+'LINEST VARS'!$Q$62*(0.5)+'LINEST VARS'!$P$62*($DV81)+'LINEST VARS'!$O$62*(8^2)+'LINEST VARS'!$N$62*(8^2)+'LINEST VARS'!$M$62*($EE$80^2)+'LINEST VARS'!$L$62*(0.5^2)+'LINEST VARS'!$K$62*($DV81^2)+'LINEST VARS'!$J$62*(8*8)+'LINEST VARS'!$I$62*(8*$EE$80)+'LINEST VARS'!$H$62*(8*0.5)+'LINEST VARS'!$G$62*(8*$DV81)+'LINEST VARS'!$F$62*(8*$EE$80)+'LINEST VARS'!$E$62*(8*0.5)+'LINEST VARS'!$D$62*(8*$DV81)+'LINEST VARS'!$C$62*($EE$80*0.5)+'LINEST VARS'!$B$62*($EE$80*$DV81)+'LINEST VARS'!$A$62*(0.5*$DV81)</f>
        <v>298.29999999999995</v>
      </c>
      <c r="EF81" s="55">
        <f>'LINEST VARS'!$U$62+'LINEST VARS'!$T$62*(8)+'LINEST VARS'!$S$62*(8)+'LINEST VARS'!$R$62*($EF$80)+'LINEST VARS'!$Q$62*(0.5)+'LINEST VARS'!$P$62*($DV81)+'LINEST VARS'!$O$62*(8^2)+'LINEST VARS'!$N$62*(8^2)+'LINEST VARS'!$M$62*($EF$80^2)+'LINEST VARS'!$L$62*(0.5^2)+'LINEST VARS'!$K$62*($DV81^2)+'LINEST VARS'!$J$62*(8*8)+'LINEST VARS'!$I$62*(8*$EF$80)+'LINEST VARS'!$H$62*(8*0.5)+'LINEST VARS'!$G$62*(8*$DV81)+'LINEST VARS'!$F$62*(8*$EF$80)+'LINEST VARS'!$E$62*(8*0.5)+'LINEST VARS'!$D$62*(8*$DV81)+'LINEST VARS'!$C$62*($EF$80*0.5)+'LINEST VARS'!$B$62*($EF$80*$DV81)+'LINEST VARS'!$A$62*(0.5*$DV81)</f>
        <v>284.69999999999993</v>
      </c>
      <c r="EG81" s="55">
        <f>'LINEST VARS'!$U$62+'LINEST VARS'!$T$62*(8)+'LINEST VARS'!$S$62*(8)+'LINEST VARS'!$R$62*($EG$80)+'LINEST VARS'!$Q$62*(0.5)+'LINEST VARS'!$P$62*($DV81)+'LINEST VARS'!$O$62*(8^2)+'LINEST VARS'!$N$62*(8^2)+'LINEST VARS'!$M$62*($EG$80^2)+'LINEST VARS'!$L$62*(0.5^2)+'LINEST VARS'!$K$62*($DV81^2)+'LINEST VARS'!$J$62*(8*8)+'LINEST VARS'!$I$62*(8*$EG$80)+'LINEST VARS'!$H$62*(8*0.5)+'LINEST VARS'!$G$62*(8*$DV81)+'LINEST VARS'!$F$62*(8*$EG$80)+'LINEST VARS'!$E$62*(8*0.5)+'LINEST VARS'!$D$62*(8*$DV81)+'LINEST VARS'!$C$62*($EG$80*0.5)+'LINEST VARS'!$B$62*($EG$80*$DV81)+'LINEST VARS'!$A$62*(0.5*$DV81)</f>
        <v>269.49999999999994</v>
      </c>
      <c r="EH81" s="55">
        <f>'LINEST VARS'!$U$62+'LINEST VARS'!$T$62*(8)+'LINEST VARS'!$S$62*(8)+'LINEST VARS'!$R$62*($EH$80)+'LINEST VARS'!$Q$62*(0.5)+'LINEST VARS'!$P$62*($DV81)+'LINEST VARS'!$O$62*(8^2)+'LINEST VARS'!$N$62*(8^2)+'LINEST VARS'!$M$62*($EH$80^2)+'LINEST VARS'!$L$62*(0.5^2)+'LINEST VARS'!$K$62*($DV81^2)+'LINEST VARS'!$J$62*(8*8)+'LINEST VARS'!$I$62*(8*$EH$80)+'LINEST VARS'!$H$62*(8*0.5)+'LINEST VARS'!$G$62*(8*$DV81)+'LINEST VARS'!$F$62*(8*$EH$80)+'LINEST VARS'!$E$62*(8*0.5)+'LINEST VARS'!$D$62*(8*$DV81)+'LINEST VARS'!$C$62*($EH$80*0.5)+'LINEST VARS'!$B$62*($EH$80*$DV81)+'LINEST VARS'!$A$62*(0.5*$DV81)</f>
        <v>252.7</v>
      </c>
      <c r="EI81" s="55">
        <f>'LINEST VARS'!$U$62+'LINEST VARS'!$T$62*(8)+'LINEST VARS'!$S$62*(8)+'LINEST VARS'!$R$62*($EI$80)+'LINEST VARS'!$Q$62*(0.5)+'LINEST VARS'!$P$62*($DV81)+'LINEST VARS'!$O$62*(8^2)+'LINEST VARS'!$N$62*(8^2)+'LINEST VARS'!$M$62*($EI$80^2)+'LINEST VARS'!$L$62*(0.5^2)+'LINEST VARS'!$K$62*($DV81^2)+'LINEST VARS'!$J$62*(8*8)+'LINEST VARS'!$I$62*(8*$EI$80)+'LINEST VARS'!$H$62*(8*0.5)+'LINEST VARS'!$G$62*(8*$DV81)+'LINEST VARS'!$F$62*(8*$EI$80)+'LINEST VARS'!$E$62*(8*0.5)+'LINEST VARS'!$D$62*(8*$DV81)+'LINEST VARS'!$C$62*($EI$80*0.5)+'LINEST VARS'!$B$62*($EI$80*$DV81)+'LINEST VARS'!$A$62*(0.5*$DV81)</f>
        <v>234.30000000000004</v>
      </c>
      <c r="EJ81" s="55">
        <f>'LINEST VARS'!$U$62+'LINEST VARS'!$T$62*(8)+'LINEST VARS'!$S$62*(8)+'LINEST VARS'!$R$62*($EJ$80)+'LINEST VARS'!$Q$62*(0.5)+'LINEST VARS'!$P$62*($DV81)+'LINEST VARS'!$O$62*(8^2)+'LINEST VARS'!$N$62*(8^2)+'LINEST VARS'!$M$62*($EJ$80^2)+'LINEST VARS'!$L$62*(0.5^2)+'LINEST VARS'!$K$62*($DV81^2)+'LINEST VARS'!$J$62*(8*8)+'LINEST VARS'!$I$62*(8*$EJ$80)+'LINEST VARS'!$H$62*(8*0.5)+'LINEST VARS'!$G$62*(8*$DV81)+'LINEST VARS'!$F$62*(8*$EJ$80)+'LINEST VARS'!$E$62*(8*0.5)+'LINEST VARS'!$D$62*(8*$DV81)+'LINEST VARS'!$C$62*($EJ$80*0.5)+'LINEST VARS'!$B$62*($EJ$80*$DV81)+'LINEST VARS'!$A$62*(0.5*$DV81)</f>
        <v>214.29999999999998</v>
      </c>
      <c r="EK81" s="55">
        <f>'LINEST VARS'!$U$62+'LINEST VARS'!$T$62*(8)+'LINEST VARS'!$S$62*(8)+'LINEST VARS'!$R$62*($EK$80)+'LINEST VARS'!$Q$62*(0.5)+'LINEST VARS'!$P$62*($DV81)+'LINEST VARS'!$O$62*(8^2)+'LINEST VARS'!$N$62*(8^2)+'LINEST VARS'!$M$62*($EK$80^2)+'LINEST VARS'!$L$62*(0.5^2)+'LINEST VARS'!$K$62*($DV81^2)+'LINEST VARS'!$J$62*(8*8)+'LINEST VARS'!$I$62*(8*$EK$80)+'LINEST VARS'!$H$62*(8*0.5)+'LINEST VARS'!$G$62*(8*$DV81)+'LINEST VARS'!$F$62*(8*$EK$80)+'LINEST VARS'!$E$62*(8*0.5)+'LINEST VARS'!$D$62*(8*$DV81)+'LINEST VARS'!$C$62*($EK$80*0.5)+'LINEST VARS'!$B$62*($EK$80*$DV81)+'LINEST VARS'!$A$62*(0.5*$DV81)</f>
        <v>192.70000000000007</v>
      </c>
      <c r="EL81" s="55">
        <f>'LINEST VARS'!$U$62+'LINEST VARS'!$T$62*(8)+'LINEST VARS'!$S$62*(8)+'LINEST VARS'!$R$62*($EL$80)+'LINEST VARS'!$Q$62*(0.5)+'LINEST VARS'!$P$62*($DV81)+'LINEST VARS'!$O$62*(8^2)+'LINEST VARS'!$N$62*(8^2)+'LINEST VARS'!$M$62*($EL$80^2)+'LINEST VARS'!$L$62*(0.5^2)+'LINEST VARS'!$K$62*($DV81^2)+'LINEST VARS'!$J$62*(8*8)+'LINEST VARS'!$I$62*(8*$EL$80)+'LINEST VARS'!$H$62*(8*0.5)+'LINEST VARS'!$G$62*(8*$DV81)+'LINEST VARS'!$F$62*(8*$EL$80)+'LINEST VARS'!$E$62*(8*0.5)+'LINEST VARS'!$D$62*(8*$DV81)+'LINEST VARS'!$C$62*($EL$80*0.5)+'LINEST VARS'!$B$62*($EL$80*$DV81)+'LINEST VARS'!$A$62*(0.5*$DV81)</f>
        <v>169.50000000000006</v>
      </c>
      <c r="EM81" s="55">
        <f>'LINEST VARS'!$U$62+'LINEST VARS'!$T$62*(8)+'LINEST VARS'!$S$62*(8)+'LINEST VARS'!$R$62*($EM$80)+'LINEST VARS'!$Q$62*(0.5)+'LINEST VARS'!$P$62*($DV81)+'LINEST VARS'!$O$62*(8^2)+'LINEST VARS'!$N$62*(8^2)+'LINEST VARS'!$M$62*($EM$80^2)+'LINEST VARS'!$L$62*(0.5^2)+'LINEST VARS'!$K$62*($DV81^2)+'LINEST VARS'!$J$62*(8*8)+'LINEST VARS'!$I$62*(8*$EM$80)+'LINEST VARS'!$H$62*(8*0.5)+'LINEST VARS'!$G$62*(8*$DV81)+'LINEST VARS'!$F$62*(8*$EM$80)+'LINEST VARS'!$E$62*(8*0.5)+'LINEST VARS'!$D$62*(8*$DV81)+'LINEST VARS'!$C$62*($EM$80*0.5)+'LINEST VARS'!$B$62*($EM$80*$DV81)+'LINEST VARS'!$A$62*(0.5*$DV81)</f>
        <v>144.70000000000005</v>
      </c>
      <c r="EN81" s="55">
        <f>'LINEST VARS'!$U$62+'LINEST VARS'!$T$62*(8)+'LINEST VARS'!$S$62*(8)+'LINEST VARS'!$R$62*($EN$80)+'LINEST VARS'!$Q$62*(0.5)+'LINEST VARS'!$P$62*($DV81)+'LINEST VARS'!$O$62*(8^2)+'LINEST VARS'!$N$62*(8^2)+'LINEST VARS'!$M$62*($EN$80^2)+'LINEST VARS'!$L$62*(0.5^2)+'LINEST VARS'!$K$62*($DV81^2)+'LINEST VARS'!$J$62*(8*8)+'LINEST VARS'!$I$62*(8*$EN$80)+'LINEST VARS'!$H$62*(8*0.5)+'LINEST VARS'!$G$62*(8*$DV81)+'LINEST VARS'!$F$62*(8*$EN$80)+'LINEST VARS'!$E$62*(8*0.5)+'LINEST VARS'!$D$62*(8*$DV81)+'LINEST VARS'!$C$62*($EN$80*0.5)+'LINEST VARS'!$B$62*($EN$80*$DV81)+'LINEST VARS'!$A$62*(0.5*$DV81)</f>
        <v>118.30000000000008</v>
      </c>
      <c r="EO81" s="55">
        <f>'LINEST VARS'!$U$62+'LINEST VARS'!$T$62*(8)+'LINEST VARS'!$S$62*(8)+'LINEST VARS'!$R$62*($EO$80)+'LINEST VARS'!$Q$62*(0.5)+'LINEST VARS'!$P$62*($DV81)+'LINEST VARS'!$O$62*(8^2)+'LINEST VARS'!$N$62*(8^2)+'LINEST VARS'!$M$62*($EO$80^2)+'LINEST VARS'!$L$62*(0.5^2)+'LINEST VARS'!$K$62*($DV81^2)+'LINEST VARS'!$J$62*(8*8)+'LINEST VARS'!$I$62*(8*$EO$80)+'LINEST VARS'!$H$62*(8*0.5)+'LINEST VARS'!$G$62*(8*$DV81)+'LINEST VARS'!$F$62*(8*$EO$80)+'LINEST VARS'!$E$62*(8*0.5)+'LINEST VARS'!$D$62*(8*$DV81)+'LINEST VARS'!$C$62*($EO$80*0.5)+'LINEST VARS'!$B$62*($EO$80*$DV81)+'LINEST VARS'!$A$62*(0.5*$DV81)</f>
        <v>90.300000000000082</v>
      </c>
      <c r="EP81" s="55">
        <f>'LINEST VARS'!$U$62+'LINEST VARS'!$T$62*(8)+'LINEST VARS'!$S$62*(8)+'LINEST VARS'!$R$62*($EP$80)+'LINEST VARS'!$Q$62*(0.5)+'LINEST VARS'!$P$62*($DV81)+'LINEST VARS'!$O$62*(8^2)+'LINEST VARS'!$N$62*(8^2)+'LINEST VARS'!$M$62*($EP$80^2)+'LINEST VARS'!$L$62*(0.5^2)+'LINEST VARS'!$K$62*($DV81^2)+'LINEST VARS'!$J$62*(8*8)+'LINEST VARS'!$I$62*(8*$EP$80)+'LINEST VARS'!$H$62*(8*0.5)+'LINEST VARS'!$G$62*(8*$DV81)+'LINEST VARS'!$F$62*(8*$EP$80)+'LINEST VARS'!$E$62*(8*0.5)+'LINEST VARS'!$D$62*(8*$DV81)+'LINEST VARS'!$C$62*($EP$80*0.5)+'LINEST VARS'!$B$62*($EP$80*$DV81)+'LINEST VARS'!$A$62*(0.5*$DV81)</f>
        <v>60.700000000000138</v>
      </c>
      <c r="EQ81" s="56">
        <f>'LINEST VARS'!$U$62+'LINEST VARS'!$T$62*(8)+'LINEST VARS'!$S$62*(8)+'LINEST VARS'!$R$62*($EQ$80)+'LINEST VARS'!$Q$62*(0.5)+'LINEST VARS'!$P$62*($DV81)+'LINEST VARS'!$O$62*(8^2)+'LINEST VARS'!$N$62*(8^2)+'LINEST VARS'!$M$62*($EQ$80^2)+'LINEST VARS'!$L$62*(0.5^2)+'LINEST VARS'!$K$62*($DV81^2)+'LINEST VARS'!$J$62*(8*8)+'LINEST VARS'!$I$62*(8*$EQ$80)+'LINEST VARS'!$H$62*(8*0.5)+'LINEST VARS'!$G$62*(8*$DV81)+'LINEST VARS'!$F$62*(8*$EQ$80)+'LINEST VARS'!$E$62*(8*0.5)+'LINEST VARS'!$D$62*(8*$DV81)+'LINEST VARS'!$C$62*($EQ$80*0.5)+'LINEST VARS'!$B$62*($EQ$80*$DV81)+'LINEST VARS'!$A$62*(0.5*$DV81)</f>
        <v>29.500000000000181</v>
      </c>
    </row>
    <row r="82" spans="2:147" ht="15" customHeight="1" x14ac:dyDescent="0.25">
      <c r="B82" s="45">
        <v>7.46</v>
      </c>
      <c r="C82" s="46">
        <f>'LINEST VARS'!$U$60+'LINEST VARS'!$T$60*($C$80)+'LINEST VARS'!$S$60*($B82)+'LINEST VARS'!$R$60*(4)+'LINEST VARS'!$Q$60*(0.5)+'LINEST VARS'!$P$60*(12.73)+'LINEST VARS'!$O$60*($C$80^2)+'LINEST VARS'!$N$60*($B82^2)+'LINEST VARS'!$M$60*(4^2)+'LINEST VARS'!$L$60*(0.5^2)+'LINEST VARS'!$K$60*(12.73^2)+'LINEST VARS'!$J$60*($C$80*$B82)+'LINEST VARS'!$I$60*($C$80*4)+'LINEST VARS'!$H$60*($C$80*0.5)+'LINEST VARS'!$G$60*($C$80*12.73)+'LINEST VARS'!$F$60*($B82*4)+'LINEST VARS'!$E$60*($B82*0.5)+'LINEST VARS'!$D$60*($B82*12.73)+'LINEST VARS'!$C$60*(4*0.5)+'LINEST VARS'!$B$60*(4*12.73)+'LINEST VARS'!$A$60*(0.5*12.73)</f>
        <v>40.460000000000015</v>
      </c>
      <c r="D82" s="46">
        <f>'LINEST VARS'!$U$60+'LINEST VARS'!$T$60*($D$80)+'LINEST VARS'!$S$60*($B82)+'LINEST VARS'!$R$60*(4)+'LINEST VARS'!$Q$60*(0.5)+'LINEST VARS'!$P$60*(12.73)+'LINEST VARS'!$O$60*($D$80^2)+'LINEST VARS'!$N$60*($B82^2)+'LINEST VARS'!$M$60*(4^2)+'LINEST VARS'!$L$60*(0.5^2)+'LINEST VARS'!$K$60*(12.73^2)+'LINEST VARS'!$J$60*($D$80*$B82)+'LINEST VARS'!$I$60*($D$80*4)+'LINEST VARS'!$H$60*($D$80*0.5)+'LINEST VARS'!$G$60*($D$80*12.73)+'LINEST VARS'!$F$60*($B82*4)+'LINEST VARS'!$E$60*($B82*0.5)+'LINEST VARS'!$D$60*($B82*12.73)+'LINEST VARS'!$C$60*(4*0.5)+'LINEST VARS'!$B$60*(4*12.73)+'LINEST VARS'!$A$60*(0.5*12.73)</f>
        <v>40.460000000000008</v>
      </c>
      <c r="E82" s="46">
        <f>'LINEST VARS'!$U$60+'LINEST VARS'!$T$60*($E$80)+'LINEST VARS'!$S$60*($B82)+'LINEST VARS'!$R$60*(4)+'LINEST VARS'!$Q$60*(0.5)+'LINEST VARS'!$P$60*(12.73)+'LINEST VARS'!$O$60*($E$80^2)+'LINEST VARS'!$N$60*($B82^2)+'LINEST VARS'!$M$60*(4^2)+'LINEST VARS'!$L$60*(0.5^2)+'LINEST VARS'!$K$60*(12.73^2)+'LINEST VARS'!$J$60*($E$80*$B82)+'LINEST VARS'!$I$60*($E$80*4)+'LINEST VARS'!$H$60*($E$80*0.5)+'LINEST VARS'!$G$60*($E$80*12.73)+'LINEST VARS'!$F$60*($B82*4)+'LINEST VARS'!$E$60*($B82*0.5)+'LINEST VARS'!$D$60*($B82*12.73)+'LINEST VARS'!$C$60*(4*0.5)+'LINEST VARS'!$B$60*(4*12.73)+'LINEST VARS'!$A$60*(0.5*12.73)</f>
        <v>40.460000000000008</v>
      </c>
      <c r="F82" s="46">
        <f>'LINEST VARS'!$U$60+'LINEST VARS'!$T$60*($F$80)+'LINEST VARS'!$S$60*($B82)+'LINEST VARS'!$R$60*(4)+'LINEST VARS'!$Q$60*(0.5)+'LINEST VARS'!$P$60*(12.73)+'LINEST VARS'!$O$60*($F$80^2)+'LINEST VARS'!$N$60*($B82^2)+'LINEST VARS'!$M$60*(4^2)+'LINEST VARS'!$L$60*(0.5^2)+'LINEST VARS'!$K$60*(12.73^2)+'LINEST VARS'!$J$60*($F$80*$B82)+'LINEST VARS'!$I$60*($F$80*4)+'LINEST VARS'!$H$60*($F$80*0.5)+'LINEST VARS'!$G$60*($F$80*12.73)+'LINEST VARS'!$F$60*($B82*4)+'LINEST VARS'!$E$60*($B82*0.5)+'LINEST VARS'!$D$60*($B82*12.73)+'LINEST VARS'!$C$60*(4*0.5)+'LINEST VARS'!$B$60*(4*12.73)+'LINEST VARS'!$A$60*(0.5*12.73)</f>
        <v>40.460000000000008</v>
      </c>
      <c r="G82" s="46">
        <f>'LINEST VARS'!$U$60+'LINEST VARS'!$T$60*($G$80)+'LINEST VARS'!$S$60*($B82)+'LINEST VARS'!$R$60*(4)+'LINEST VARS'!$Q$60*(0.5)+'LINEST VARS'!$P$60*(12.73)+'LINEST VARS'!$O$60*($G$80^2)+'LINEST VARS'!$N$60*($B82^2)+'LINEST VARS'!$M$60*(4^2)+'LINEST VARS'!$L$60*(0.5^2)+'LINEST VARS'!$K$60*(12.73^2)+'LINEST VARS'!$J$60*($G$80*$B82)+'LINEST VARS'!$I$60*($G$80*4)+'LINEST VARS'!$H$60*($G$80*0.5)+'LINEST VARS'!$G$60*($G$80*12.73)+'LINEST VARS'!$F$60*($B82*4)+'LINEST VARS'!$E$60*($B82*0.5)+'LINEST VARS'!$D$60*($B82*12.73)+'LINEST VARS'!$C$60*(4*0.5)+'LINEST VARS'!$B$60*(4*12.73)+'LINEST VARS'!$A$60*(0.5*12.73)</f>
        <v>40.46</v>
      </c>
      <c r="H82" s="46">
        <f>'LINEST VARS'!$U$60+'LINEST VARS'!$T$60*($H$80)+'LINEST VARS'!$S$60*($B82)+'LINEST VARS'!$R$60*(4)+'LINEST VARS'!$Q$60*(0.5)+'LINEST VARS'!$P$60*(12.73)+'LINEST VARS'!$O$60*($H$80^2)+'LINEST VARS'!$N$60*($B82^2)+'LINEST VARS'!$M$60*(4^2)+'LINEST VARS'!$L$60*(0.5^2)+'LINEST VARS'!$K$60*(12.73^2)+'LINEST VARS'!$J$60*($H$80*$B82)+'LINEST VARS'!$I$60*($H$80*4)+'LINEST VARS'!$H$60*($H$80*0.5)+'LINEST VARS'!$G$60*($H$80*12.73)+'LINEST VARS'!$F$60*($B82*4)+'LINEST VARS'!$E$60*($B82*0.5)+'LINEST VARS'!$D$60*($B82*12.73)+'LINEST VARS'!$C$60*(4*0.5)+'LINEST VARS'!$B$60*(4*12.73)+'LINEST VARS'!$A$60*(0.5*12.73)</f>
        <v>40.46</v>
      </c>
      <c r="I82" s="46">
        <f>'LINEST VARS'!$U$60+'LINEST VARS'!$T$60*($I$80)+'LINEST VARS'!$S$60*($B82)+'LINEST VARS'!$R$60*(4)+'LINEST VARS'!$Q$60*(0.5)+'LINEST VARS'!$P$60*(12.73)+'LINEST VARS'!$O$60*($I$80^2)+'LINEST VARS'!$N$60*($B82^2)+'LINEST VARS'!$M$60*(4^2)+'LINEST VARS'!$L$60*(0.5^2)+'LINEST VARS'!$K$60*(12.73^2)+'LINEST VARS'!$J$60*($I$80*$B82)+'LINEST VARS'!$I$60*($I$80*4)+'LINEST VARS'!$H$60*($I$80*0.5)+'LINEST VARS'!$G$60*($I$80*12.73)+'LINEST VARS'!$F$60*($B82*4)+'LINEST VARS'!$E$60*($B82*0.5)+'LINEST VARS'!$D$60*($B82*12.73)+'LINEST VARS'!$C$60*(4*0.5)+'LINEST VARS'!$B$60*(4*12.73)+'LINEST VARS'!$A$60*(0.5*12.73)</f>
        <v>40.460000000000008</v>
      </c>
      <c r="J82" s="46">
        <f>'LINEST VARS'!$U$60+'LINEST VARS'!$T$60*($J$80)+'LINEST VARS'!$S$60*($B82)+'LINEST VARS'!$R$60*(4)+'LINEST VARS'!$Q$60*(0.5)+'LINEST VARS'!$P$60*(12.73)+'LINEST VARS'!$O$60*($J$80^2)+'LINEST VARS'!$N$60*($B82^2)+'LINEST VARS'!$M$60*(4^2)+'LINEST VARS'!$L$60*(0.5^2)+'LINEST VARS'!$K$60*(12.73^2)+'LINEST VARS'!$J$60*($J$80*$B82)+'LINEST VARS'!$I$60*($J$80*4)+'LINEST VARS'!$H$60*($J$80*0.5)+'LINEST VARS'!$G$60*($J$80*12.73)+'LINEST VARS'!$F$60*($B82*4)+'LINEST VARS'!$E$60*($B82*0.5)+'LINEST VARS'!$D$60*($B82*12.73)+'LINEST VARS'!$C$60*(4*0.5)+'LINEST VARS'!$B$60*(4*12.73)+'LINEST VARS'!$A$60*(0.5*12.73)</f>
        <v>40.460000000000008</v>
      </c>
      <c r="K82" s="46">
        <f>'LINEST VARS'!$U$60+'LINEST VARS'!$T$60*($K$80)+'LINEST VARS'!$S$60*($B82)+'LINEST VARS'!$R$60*(4)+'LINEST VARS'!$Q$60*(0.5)+'LINEST VARS'!$P$60*(12.73)+'LINEST VARS'!$O$60*($K$80^2)+'LINEST VARS'!$N$60*($B82^2)+'LINEST VARS'!$M$60*(4^2)+'LINEST VARS'!$L$60*(0.5^2)+'LINEST VARS'!$K$60*(12.73^2)+'LINEST VARS'!$J$60*($K$80*$B82)+'LINEST VARS'!$I$60*($K$80*4)+'LINEST VARS'!$H$60*($K$80*0.5)+'LINEST VARS'!$G$60*($K$80*12.73)+'LINEST VARS'!$F$60*($B82*4)+'LINEST VARS'!$E$60*($B82*0.5)+'LINEST VARS'!$D$60*($B82*12.73)+'LINEST VARS'!$C$60*(4*0.5)+'LINEST VARS'!$B$60*(4*12.73)+'LINEST VARS'!$A$60*(0.5*12.73)</f>
        <v>40.460000000000008</v>
      </c>
      <c r="L82" s="46">
        <f>'LINEST VARS'!$U$60+'LINEST VARS'!$T$60*($L$80)+'LINEST VARS'!$S$60*($B82)+'LINEST VARS'!$R$60*(4)+'LINEST VARS'!$Q$60*(0.5)+'LINEST VARS'!$P$60*(12.73)+'LINEST VARS'!$O$60*($L$80^2)+'LINEST VARS'!$N$60*($B82^2)+'LINEST VARS'!$M$60*(4^2)+'LINEST VARS'!$L$60*(0.5^2)+'LINEST VARS'!$K$60*(12.73^2)+'LINEST VARS'!$J$60*($L$80*$B82)+'LINEST VARS'!$I$60*($L$80*4)+'LINEST VARS'!$H$60*($L$80*0.5)+'LINEST VARS'!$G$60*($L$80*12.73)+'LINEST VARS'!$F$60*($B82*4)+'LINEST VARS'!$E$60*($B82*0.5)+'LINEST VARS'!$D$60*($B82*12.73)+'LINEST VARS'!$C$60*(4*0.5)+'LINEST VARS'!$B$60*(4*12.73)+'LINEST VARS'!$A$60*(0.5*12.73)</f>
        <v>40.460000000000008</v>
      </c>
      <c r="M82" s="46">
        <f>'LINEST VARS'!$U$60+'LINEST VARS'!$T$60*($M$80)+'LINEST VARS'!$S$60*($B82)+'LINEST VARS'!$R$60*(4)+'LINEST VARS'!$Q$60*(0.5)+'LINEST VARS'!$P$60*(12.73)+'LINEST VARS'!$O$60*($M$80^2)+'LINEST VARS'!$N$60*($B82^2)+'LINEST VARS'!$M$60*(4^2)+'LINEST VARS'!$L$60*(0.5^2)+'LINEST VARS'!$K$60*(12.73^2)+'LINEST VARS'!$J$60*($M$80*$B82)+'LINEST VARS'!$I$60*($M$80*4)+'LINEST VARS'!$H$60*($M$80*0.5)+'LINEST VARS'!$G$60*($M$80*12.73)+'LINEST VARS'!$F$60*($B82*4)+'LINEST VARS'!$E$60*($B82*0.5)+'LINEST VARS'!$D$60*($B82*12.73)+'LINEST VARS'!$C$60*(4*0.5)+'LINEST VARS'!$B$60*(4*12.73)+'LINEST VARS'!$A$60*(0.5*12.73)</f>
        <v>40.460000000000008</v>
      </c>
      <c r="N82" s="46">
        <f>'LINEST VARS'!$U$60+'LINEST VARS'!$T$60*($N$80)+'LINEST VARS'!$S$60*($B82)+'LINEST VARS'!$R$60*(4)+'LINEST VARS'!$Q$60*(0.5)+'LINEST VARS'!$P$60*(12.73)+'LINEST VARS'!$O$60*($N$80^2)+'LINEST VARS'!$N$60*($B82^2)+'LINEST VARS'!$M$60*(4^2)+'LINEST VARS'!$L$60*(0.5^2)+'LINEST VARS'!$K$60*(12.73^2)+'LINEST VARS'!$J$60*($N$80*$B82)+'LINEST VARS'!$I$60*($N$80*4)+'LINEST VARS'!$H$60*($N$80*0.5)+'LINEST VARS'!$G$60*($N$80*12.73)+'LINEST VARS'!$F$60*($B82*4)+'LINEST VARS'!$E$60*($B82*0.5)+'LINEST VARS'!$D$60*($B82*12.73)+'LINEST VARS'!$C$60*(4*0.5)+'LINEST VARS'!$B$60*(4*12.73)+'LINEST VARS'!$A$60*(0.5*12.73)</f>
        <v>40.460000000000008</v>
      </c>
      <c r="O82" s="46">
        <f>'LINEST VARS'!$U$60+'LINEST VARS'!$T$60*($O$80)+'LINEST VARS'!$S$60*($B82)+'LINEST VARS'!$R$60*(4)+'LINEST VARS'!$Q$60*(0.5)+'LINEST VARS'!$P$60*(12.73)+'LINEST VARS'!$O$60*($O$80^2)+'LINEST VARS'!$N$60*($B82^2)+'LINEST VARS'!$M$60*(4^2)+'LINEST VARS'!$L$60*(0.5^2)+'LINEST VARS'!$K$60*(12.73^2)+'LINEST VARS'!$J$60*($O$80*$B82)+'LINEST VARS'!$I$60*($O$80*4)+'LINEST VARS'!$H$60*($O$80*0.5)+'LINEST VARS'!$G$60*($O$80*12.73)+'LINEST VARS'!$F$60*($B82*4)+'LINEST VARS'!$E$60*($B82*0.5)+'LINEST VARS'!$D$60*($B82*12.73)+'LINEST VARS'!$C$60*(4*0.5)+'LINEST VARS'!$B$60*(4*12.73)+'LINEST VARS'!$A$60*(0.5*12.73)</f>
        <v>40.460000000000015</v>
      </c>
      <c r="P82" s="46">
        <f>'LINEST VARS'!$U$60+'LINEST VARS'!$T$60*($P$80)+'LINEST VARS'!$S$60*($B82)+'LINEST VARS'!$R$60*(4)+'LINEST VARS'!$Q$60*(0.5)+'LINEST VARS'!$P$60*(12.73)+'LINEST VARS'!$O$60*($P$80^2)+'LINEST VARS'!$N$60*($B82^2)+'LINEST VARS'!$M$60*(4^2)+'LINEST VARS'!$L$60*(0.5^2)+'LINEST VARS'!$K$60*(12.73^2)+'LINEST VARS'!$J$60*($P$80*$B82)+'LINEST VARS'!$I$60*($P$80*4)+'LINEST VARS'!$H$60*($P$80*0.5)+'LINEST VARS'!$G$60*($P$80*12.73)+'LINEST VARS'!$F$60*($B82*4)+'LINEST VARS'!$E$60*($B82*0.5)+'LINEST VARS'!$D$60*($B82*12.73)+'LINEST VARS'!$C$60*(4*0.5)+'LINEST VARS'!$B$60*(4*12.73)+'LINEST VARS'!$A$60*(0.5*12.73)</f>
        <v>40.460000000000015</v>
      </c>
      <c r="Q82" s="46">
        <f>'LINEST VARS'!$U$60+'LINEST VARS'!$T$60*($Q$80)+'LINEST VARS'!$S$60*($B82)+'LINEST VARS'!$R$60*(4)+'LINEST VARS'!$Q$60*(0.5)+'LINEST VARS'!$P$60*(12.73)+'LINEST VARS'!$O$60*($Q$80^2)+'LINEST VARS'!$N$60*($B82^2)+'LINEST VARS'!$M$60*(4^2)+'LINEST VARS'!$L$60*(0.5^2)+'LINEST VARS'!$K$60*(12.73^2)+'LINEST VARS'!$J$60*($Q$80*$B82)+'LINEST VARS'!$I$60*($Q$80*4)+'LINEST VARS'!$H$60*($Q$80*0.5)+'LINEST VARS'!$G$60*($Q$80*12.73)+'LINEST VARS'!$F$60*($B82*4)+'LINEST VARS'!$E$60*($B82*0.5)+'LINEST VARS'!$D$60*($B82*12.73)+'LINEST VARS'!$C$60*(4*0.5)+'LINEST VARS'!$B$60*(4*12.73)+'LINEST VARS'!$A$60*(0.5*12.73)</f>
        <v>40.460000000000015</v>
      </c>
      <c r="R82" s="46">
        <f>'LINEST VARS'!$U$60+'LINEST VARS'!$T$60*($R$80)+'LINEST VARS'!$S$60*($B82)+'LINEST VARS'!$R$60*(4)+'LINEST VARS'!$Q$60*(0.5)+'LINEST VARS'!$P$60*(12.73)+'LINEST VARS'!$O$60*($R$80^2)+'LINEST VARS'!$N$60*($B82^2)+'LINEST VARS'!$M$60*(4^2)+'LINEST VARS'!$L$60*(0.5^2)+'LINEST VARS'!$K$60*(12.73^2)+'LINEST VARS'!$J$60*($R$80*$B82)+'LINEST VARS'!$I$60*($R$80*4)+'LINEST VARS'!$H$60*($R$80*0.5)+'LINEST VARS'!$G$60*($R$80*12.73)+'LINEST VARS'!$F$60*($B82*4)+'LINEST VARS'!$E$60*($B82*0.5)+'LINEST VARS'!$D$60*($B82*12.73)+'LINEST VARS'!$C$60*(4*0.5)+'LINEST VARS'!$B$60*(4*12.73)+'LINEST VARS'!$A$60*(0.5*12.73)</f>
        <v>40.460000000000015</v>
      </c>
      <c r="S82" s="46">
        <f>'LINEST VARS'!$U$60+'LINEST VARS'!$T$60*($S$80)+'LINEST VARS'!$S$60*($B82)+'LINEST VARS'!$R$60*(4)+'LINEST VARS'!$Q$60*(0.5)+'LINEST VARS'!$P$60*(12.73)+'LINEST VARS'!$O$60*($S$80^2)+'LINEST VARS'!$N$60*($B82^2)+'LINEST VARS'!$M$60*(4^2)+'LINEST VARS'!$L$60*(0.5^2)+'LINEST VARS'!$K$60*(12.73^2)+'LINEST VARS'!$J$60*($S$80*$B82)+'LINEST VARS'!$I$60*($S$80*4)+'LINEST VARS'!$H$60*($S$80*0.5)+'LINEST VARS'!$G$60*($S$80*12.73)+'LINEST VARS'!$F$60*($B82*4)+'LINEST VARS'!$E$60*($B82*0.5)+'LINEST VARS'!$D$60*($B82*12.73)+'LINEST VARS'!$C$60*(4*0.5)+'LINEST VARS'!$B$60*(4*12.73)+'LINEST VARS'!$A$60*(0.5*12.73)</f>
        <v>40.460000000000015</v>
      </c>
      <c r="T82" s="46">
        <f>'LINEST VARS'!$U$60+'LINEST VARS'!$T$60*($T$80)+'LINEST VARS'!$S$60*($B82)+'LINEST VARS'!$R$60*(4)+'LINEST VARS'!$Q$60*(0.5)+'LINEST VARS'!$P$60*(12.73)+'LINEST VARS'!$O$60*($T$80^2)+'LINEST VARS'!$N$60*($B82^2)+'LINEST VARS'!$M$60*(4^2)+'LINEST VARS'!$L$60*(0.5^2)+'LINEST VARS'!$K$60*(12.73^2)+'LINEST VARS'!$J$60*($T$80*$B82)+'LINEST VARS'!$I$60*($T$80*4)+'LINEST VARS'!$H$60*($T$80*0.5)+'LINEST VARS'!$G$60*($T$80*12.73)+'LINEST VARS'!$F$60*($B82*4)+'LINEST VARS'!$E$60*($B82*0.5)+'LINEST VARS'!$D$60*($B82*12.73)+'LINEST VARS'!$C$60*(4*0.5)+'LINEST VARS'!$B$60*(4*12.73)+'LINEST VARS'!$A$60*(0.5*12.73)</f>
        <v>40.460000000000015</v>
      </c>
      <c r="U82" s="46">
        <f>'LINEST VARS'!$U$60+'LINEST VARS'!$T$60*($U$80)+'LINEST VARS'!$S$60*($B82)+'LINEST VARS'!$R$60*(4)+'LINEST VARS'!$Q$60*(0.5)+'LINEST VARS'!$P$60*(12.73)+'LINEST VARS'!$O$60*($U$80^2)+'LINEST VARS'!$N$60*($B82^2)+'LINEST VARS'!$M$60*(4^2)+'LINEST VARS'!$L$60*(0.5^2)+'LINEST VARS'!$K$60*(12.73^2)+'LINEST VARS'!$J$60*($U$80*$B82)+'LINEST VARS'!$I$60*($U$80*4)+'LINEST VARS'!$H$60*($U$80*0.5)+'LINEST VARS'!$G$60*($U$80*12.73)+'LINEST VARS'!$F$60*($B82*4)+'LINEST VARS'!$E$60*($B82*0.5)+'LINEST VARS'!$D$60*($B82*12.73)+'LINEST VARS'!$C$60*(4*0.5)+'LINEST VARS'!$B$60*(4*12.73)+'LINEST VARS'!$A$60*(0.5*12.73)</f>
        <v>40.460000000000015</v>
      </c>
      <c r="V82" s="46">
        <f>'LINEST VARS'!$U$60+'LINEST VARS'!$T$60*($V$80)+'LINEST VARS'!$S$60*($B82)+'LINEST VARS'!$R$60*(4)+'LINEST VARS'!$Q$60*(0.5)+'LINEST VARS'!$P$60*(12.73)+'LINEST VARS'!$O$60*($V$80^2)+'LINEST VARS'!$N$60*($B82^2)+'LINEST VARS'!$M$60*(4^2)+'LINEST VARS'!$L$60*(0.5^2)+'LINEST VARS'!$K$60*(12.73^2)+'LINEST VARS'!$J$60*($V$80*$B82)+'LINEST VARS'!$I$60*($V$80*4)+'LINEST VARS'!$H$60*($V$80*0.5)+'LINEST VARS'!$G$60*($V$80*12.73)+'LINEST VARS'!$F$60*($B82*4)+'LINEST VARS'!$E$60*($B82*0.5)+'LINEST VARS'!$D$60*($B82*12.73)+'LINEST VARS'!$C$60*(4*0.5)+'LINEST VARS'!$B$60*(4*12.73)+'LINEST VARS'!$A$60*(0.5*12.73)</f>
        <v>40.460000000000015</v>
      </c>
      <c r="W82" s="47">
        <f>'LINEST VARS'!$U$60+'LINEST VARS'!$T$60*($W$80)+'LINEST VARS'!$S$60*($B82)+'LINEST VARS'!$R$60*(4)+'LINEST VARS'!$Q$60*(0.5)+'LINEST VARS'!$P$60*(12.73)+'LINEST VARS'!$O$60*($W$80^2)+'LINEST VARS'!$N$60*($B82^2)+'LINEST VARS'!$M$60*(4^2)+'LINEST VARS'!$L$60*(0.5^2)+'LINEST VARS'!$K$60*(12.73^2)+'LINEST VARS'!$J$60*($W$80*$B82)+'LINEST VARS'!$I$60*($W$80*4)+'LINEST VARS'!$H$60*($W$80*0.5)+'LINEST VARS'!$G$60*($W$80*12.73)+'LINEST VARS'!$F$60*($B82*4)+'LINEST VARS'!$E$60*($B82*0.5)+'LINEST VARS'!$D$60*($B82*12.73)+'LINEST VARS'!$C$60*(4*0.5)+'LINEST VARS'!$B$60*(4*12.73)+'LINEST VARS'!$A$60*(0.5*12.73)</f>
        <v>40.460000000000015</v>
      </c>
      <c r="Z82" s="45">
        <v>7.46</v>
      </c>
      <c r="AA82" s="55">
        <f>'LINEST VARS'!$U$62+'LINEST VARS'!$T$62*($AA$80)+'LINEST VARS'!$S$62*($Z82)+'LINEST VARS'!$R$62*(4)+'LINEST VARS'!$Q$62*(0.5)+'LINEST VARS'!$P$62*(12.73)+'LINEST VARS'!$O$62*($AA$80^2)+'LINEST VARS'!$N$62*($Z82^2)+'LINEST VARS'!$M$62*(4^2)+'LINEST VARS'!$L$62*(0.5^2)+'LINEST VARS'!$K$62*(12.73^2)+'LINEST VARS'!$J$62*($AA$80*$Z82)+'LINEST VARS'!$I$62*($AA$80*4)+'LINEST VARS'!$H$62*($AA$80*0.5)+'LINEST VARS'!$G$62*($AA$80*12.73)+'LINEST VARS'!$F$62*($Z82*4)+'LINEST VARS'!$E$62*($Z82*0.5)+'LINEST VARS'!$D$62*($Z82*12.73)+'LINEST VARS'!$C$62*(4*0.5)+'LINEST VARS'!$B$62*(4*12.73)+'LINEST VARS'!$A$62*(0.5*12.73)</f>
        <v>269.5</v>
      </c>
      <c r="AB82" s="55">
        <f>'LINEST VARS'!$U$62+'LINEST VARS'!$T$62*($AB$80)+'LINEST VARS'!$S$62*($Z82)+'LINEST VARS'!$R$62*(4)+'LINEST VARS'!$Q$62*(0.5)+'LINEST VARS'!$P$62*(12.73)+'LINEST VARS'!$O$62*($AB$80^2)+'LINEST VARS'!$N$62*($Z82^2)+'LINEST VARS'!$M$62*(4^2)+'LINEST VARS'!$L$62*(0.5^2)+'LINEST VARS'!$K$62*(12.73^2)+'LINEST VARS'!$J$62*($AB$80*$Z82)+'LINEST VARS'!$I$62*($AB$80*4)+'LINEST VARS'!$H$62*($AB$80*0.5)+'LINEST VARS'!$G$62*($AB$80*12.73)+'LINEST VARS'!$F$62*($Z82*4)+'LINEST VARS'!$E$62*($Z82*0.5)+'LINEST VARS'!$D$62*($Z82*12.73)+'LINEST VARS'!$C$62*(4*0.5)+'LINEST VARS'!$B$62*(4*12.73)+'LINEST VARS'!$A$62*(0.5*12.73)</f>
        <v>269.5</v>
      </c>
      <c r="AC82" s="55">
        <f>'LINEST VARS'!$U$62+'LINEST VARS'!$T$62*($AC$80)+'LINEST VARS'!$S$62*($Z82)+'LINEST VARS'!$R$62*(4)+'LINEST VARS'!$Q$62*(0.5)+'LINEST VARS'!$P$62*(12.73)+'LINEST VARS'!$O$62*($AC$80^2)+'LINEST VARS'!$N$62*($Z82^2)+'LINEST VARS'!$M$62*(4^2)+'LINEST VARS'!$L$62*(0.5^2)+'LINEST VARS'!$K$62*(12.73^2)+'LINEST VARS'!$J$62*($AC$80*$Z82)+'LINEST VARS'!$I$62*($AC$80*4)+'LINEST VARS'!$H$62*($AC$80*0.5)+'LINEST VARS'!$G$62*($AC$80*12.73)+'LINEST VARS'!$F$62*($Z82*4)+'LINEST VARS'!$E$62*($Z82*0.5)+'LINEST VARS'!$D$62*($Z82*12.73)+'LINEST VARS'!$C$62*(4*0.5)+'LINEST VARS'!$B$62*(4*12.73)+'LINEST VARS'!$A$62*(0.5*12.73)</f>
        <v>269.49999999999994</v>
      </c>
      <c r="AD82" s="55">
        <f>'LINEST VARS'!$U$62+'LINEST VARS'!$T$62*($AD$80)+'LINEST VARS'!$S$62*($Z82)+'LINEST VARS'!$R$62*(4)+'LINEST VARS'!$Q$62*(0.5)+'LINEST VARS'!$P$62*(12.73)+'LINEST VARS'!$O$62*($AD$80^2)+'LINEST VARS'!$N$62*($Z82^2)+'LINEST VARS'!$M$62*(4^2)+'LINEST VARS'!$L$62*(0.5^2)+'LINEST VARS'!$K$62*(12.73^2)+'LINEST VARS'!$J$62*($AD$80*$Z82)+'LINEST VARS'!$I$62*($AD$80*4)+'LINEST VARS'!$H$62*($AD$80*0.5)+'LINEST VARS'!$G$62*($AD$80*12.73)+'LINEST VARS'!$F$62*($Z82*4)+'LINEST VARS'!$E$62*($Z82*0.5)+'LINEST VARS'!$D$62*($Z82*12.73)+'LINEST VARS'!$C$62*(4*0.5)+'LINEST VARS'!$B$62*(4*12.73)+'LINEST VARS'!$A$62*(0.5*12.73)</f>
        <v>269.5</v>
      </c>
      <c r="AE82" s="55">
        <f>'LINEST VARS'!$U$62+'LINEST VARS'!$T$62*($AE$80)+'LINEST VARS'!$S$62*($Z82)+'LINEST VARS'!$R$62*(4)+'LINEST VARS'!$Q$62*(0.5)+'LINEST VARS'!$P$62*(12.73)+'LINEST VARS'!$O$62*($AE$80^2)+'LINEST VARS'!$N$62*($Z82^2)+'LINEST VARS'!$M$62*(4^2)+'LINEST VARS'!$L$62*(0.5^2)+'LINEST VARS'!$K$62*(12.73^2)+'LINEST VARS'!$J$62*($AE$80*$Z82)+'LINEST VARS'!$I$62*($AE$80*4)+'LINEST VARS'!$H$62*($AE$80*0.5)+'LINEST VARS'!$G$62*($AE$80*12.73)+'LINEST VARS'!$F$62*($Z82*4)+'LINEST VARS'!$E$62*($Z82*0.5)+'LINEST VARS'!$D$62*($Z82*12.73)+'LINEST VARS'!$C$62*(4*0.5)+'LINEST VARS'!$B$62*(4*12.73)+'LINEST VARS'!$A$62*(0.5*12.73)</f>
        <v>269.49999999999994</v>
      </c>
      <c r="AF82" s="55">
        <f>'LINEST VARS'!$U$62+'LINEST VARS'!$T$62*($AF$80)+'LINEST VARS'!$S$62*($Z82)+'LINEST VARS'!$R$62*(4)+'LINEST VARS'!$Q$62*(0.5)+'LINEST VARS'!$P$62*(12.73)+'LINEST VARS'!$O$62*($AF$80^2)+'LINEST VARS'!$N$62*($Z82^2)+'LINEST VARS'!$M$62*(4^2)+'LINEST VARS'!$L$62*(0.5^2)+'LINEST VARS'!$K$62*(12.73^2)+'LINEST VARS'!$J$62*($AF$80*$Z82)+'LINEST VARS'!$I$62*($AF$80*4)+'LINEST VARS'!$H$62*($AF$80*0.5)+'LINEST VARS'!$G$62*($AF$80*12.73)+'LINEST VARS'!$F$62*($Z82*4)+'LINEST VARS'!$E$62*($Z82*0.5)+'LINEST VARS'!$D$62*($Z82*12.73)+'LINEST VARS'!$C$62*(4*0.5)+'LINEST VARS'!$B$62*(4*12.73)+'LINEST VARS'!$A$62*(0.5*12.73)</f>
        <v>269.49999999999994</v>
      </c>
      <c r="AG82" s="55">
        <f>'LINEST VARS'!$U$62+'LINEST VARS'!$T$62*($AG$80)+'LINEST VARS'!$S$62*($Z82)+'LINEST VARS'!$R$62*(4)+'LINEST VARS'!$Q$62*(0.5)+'LINEST VARS'!$P$62*(12.73)+'LINEST VARS'!$O$62*($AG$80^2)+'LINEST VARS'!$N$62*($Z82^2)+'LINEST VARS'!$M$62*(4^2)+'LINEST VARS'!$L$62*(0.5^2)+'LINEST VARS'!$K$62*(12.73^2)+'LINEST VARS'!$J$62*($AG$80*$Z82)+'LINEST VARS'!$I$62*($AG$80*4)+'LINEST VARS'!$H$62*($AG$80*0.5)+'LINEST VARS'!$G$62*($AG$80*12.73)+'LINEST VARS'!$F$62*($Z82*4)+'LINEST VARS'!$E$62*($Z82*0.5)+'LINEST VARS'!$D$62*($Z82*12.73)+'LINEST VARS'!$C$62*(4*0.5)+'LINEST VARS'!$B$62*(4*12.73)+'LINEST VARS'!$A$62*(0.5*12.73)</f>
        <v>269.5</v>
      </c>
      <c r="AH82" s="55">
        <f>'LINEST VARS'!$U$62+'LINEST VARS'!$T$62*($AH$80)+'LINEST VARS'!$S$62*($Z82)+'LINEST VARS'!$R$62*(4)+'LINEST VARS'!$Q$62*(0.5)+'LINEST VARS'!$P$62*(12.73)+'LINEST VARS'!$O$62*($AH$80^2)+'LINEST VARS'!$N$62*($Z82^2)+'LINEST VARS'!$M$62*(4^2)+'LINEST VARS'!$L$62*(0.5^2)+'LINEST VARS'!$K$62*(12.73^2)+'LINEST VARS'!$J$62*($AH$80*$Z82)+'LINEST VARS'!$I$62*($AH$80*4)+'LINEST VARS'!$H$62*($AH$80*0.5)+'LINEST VARS'!$G$62*($AH$80*12.73)+'LINEST VARS'!$F$62*($Z82*4)+'LINEST VARS'!$E$62*($Z82*0.5)+'LINEST VARS'!$D$62*($Z82*12.73)+'LINEST VARS'!$C$62*(4*0.5)+'LINEST VARS'!$B$62*(4*12.73)+'LINEST VARS'!$A$62*(0.5*12.73)</f>
        <v>269.49999999999994</v>
      </c>
      <c r="AI82" s="55">
        <f>'LINEST VARS'!$U$62+'LINEST VARS'!$T$62*($AI$80)+'LINEST VARS'!$S$62*($Z82)+'LINEST VARS'!$R$62*(4)+'LINEST VARS'!$Q$62*(0.5)+'LINEST VARS'!$P$62*(12.73)+'LINEST VARS'!$O$62*($AI$80^2)+'LINEST VARS'!$N$62*($Z82^2)+'LINEST VARS'!$M$62*(4^2)+'LINEST VARS'!$L$62*(0.5^2)+'LINEST VARS'!$K$62*(12.73^2)+'LINEST VARS'!$J$62*($AI$80*$Z82)+'LINEST VARS'!$I$62*($AI$80*4)+'LINEST VARS'!$H$62*($AI$80*0.5)+'LINEST VARS'!$G$62*($AI$80*12.73)+'LINEST VARS'!$F$62*($Z82*4)+'LINEST VARS'!$E$62*($Z82*0.5)+'LINEST VARS'!$D$62*($Z82*12.73)+'LINEST VARS'!$C$62*(4*0.5)+'LINEST VARS'!$B$62*(4*12.73)+'LINEST VARS'!$A$62*(0.5*12.73)</f>
        <v>269.49999999999994</v>
      </c>
      <c r="AJ82" s="55">
        <f>'LINEST VARS'!$U$62+'LINEST VARS'!$T$62*($AJ$80)+'LINEST VARS'!$S$62*($Z82)+'LINEST VARS'!$R$62*(4)+'LINEST VARS'!$Q$62*(0.5)+'LINEST VARS'!$P$62*(12.73)+'LINEST VARS'!$O$62*($AJ$80^2)+'LINEST VARS'!$N$62*($Z82^2)+'LINEST VARS'!$M$62*(4^2)+'LINEST VARS'!$L$62*(0.5^2)+'LINEST VARS'!$K$62*(12.73^2)+'LINEST VARS'!$J$62*($AJ$80*$Z82)+'LINEST VARS'!$I$62*($AJ$80*4)+'LINEST VARS'!$H$62*($AJ$80*0.5)+'LINEST VARS'!$G$62*($AJ$80*12.73)+'LINEST VARS'!$F$62*($Z82*4)+'LINEST VARS'!$E$62*($Z82*0.5)+'LINEST VARS'!$D$62*($Z82*12.73)+'LINEST VARS'!$C$62*(4*0.5)+'LINEST VARS'!$B$62*(4*12.73)+'LINEST VARS'!$A$62*(0.5*12.73)</f>
        <v>269.49999999999994</v>
      </c>
      <c r="AK82" s="55">
        <f>'LINEST VARS'!$U$62+'LINEST VARS'!$T$62*($AK$80)+'LINEST VARS'!$S$62*($Z82)+'LINEST VARS'!$R$62*(4)+'LINEST VARS'!$Q$62*(0.5)+'LINEST VARS'!$P$62*(12.73)+'LINEST VARS'!$O$62*($AK$80^2)+'LINEST VARS'!$N$62*($Z82^2)+'LINEST VARS'!$M$62*(4^2)+'LINEST VARS'!$L$62*(0.5^2)+'LINEST VARS'!$K$62*(12.73^2)+'LINEST VARS'!$J$62*($AK$80*$Z82)+'LINEST VARS'!$I$62*($AK$80*4)+'LINEST VARS'!$H$62*($AK$80*0.5)+'LINEST VARS'!$G$62*($AK$80*12.73)+'LINEST VARS'!$F$62*($Z82*4)+'LINEST VARS'!$E$62*($Z82*0.5)+'LINEST VARS'!$D$62*($Z82*12.73)+'LINEST VARS'!$C$62*(4*0.5)+'LINEST VARS'!$B$62*(4*12.73)+'LINEST VARS'!$A$62*(0.5*12.73)</f>
        <v>269.5</v>
      </c>
      <c r="AL82" s="55">
        <f>'LINEST VARS'!$U$62+'LINEST VARS'!$T$62*($AL$80)+'LINEST VARS'!$S$62*($Z82)+'LINEST VARS'!$R$62*(4)+'LINEST VARS'!$Q$62*(0.5)+'LINEST VARS'!$P$62*(12.73)+'LINEST VARS'!$O$62*($AL$80^2)+'LINEST VARS'!$N$62*($Z82^2)+'LINEST VARS'!$M$62*(4^2)+'LINEST VARS'!$L$62*(0.5^2)+'LINEST VARS'!$K$62*(12.73^2)+'LINEST VARS'!$J$62*($AL$80*$Z82)+'LINEST VARS'!$I$62*($AL$80*4)+'LINEST VARS'!$H$62*($AL$80*0.5)+'LINEST VARS'!$G$62*($AL$80*12.73)+'LINEST VARS'!$F$62*($Z82*4)+'LINEST VARS'!$E$62*($Z82*0.5)+'LINEST VARS'!$D$62*($Z82*12.73)+'LINEST VARS'!$C$62*(4*0.5)+'LINEST VARS'!$B$62*(4*12.73)+'LINEST VARS'!$A$62*(0.5*12.73)</f>
        <v>269.49999999999994</v>
      </c>
      <c r="AM82" s="55">
        <f>'LINEST VARS'!$U$62+'LINEST VARS'!$T$62*($AM$80)+'LINEST VARS'!$S$62*($Z82)+'LINEST VARS'!$R$62*(4)+'LINEST VARS'!$Q$62*(0.5)+'LINEST VARS'!$P$62*(12.73)+'LINEST VARS'!$O$62*($AM$80^2)+'LINEST VARS'!$N$62*($Z82^2)+'LINEST VARS'!$M$62*(4^2)+'LINEST VARS'!$L$62*(0.5^2)+'LINEST VARS'!$K$62*(12.73^2)+'LINEST VARS'!$J$62*($AM$80*$Z82)+'LINEST VARS'!$I$62*($AM$80*4)+'LINEST VARS'!$H$62*($AM$80*0.5)+'LINEST VARS'!$G$62*($AM$80*12.73)+'LINEST VARS'!$F$62*($Z82*4)+'LINEST VARS'!$E$62*($Z82*0.5)+'LINEST VARS'!$D$62*($Z82*12.73)+'LINEST VARS'!$C$62*(4*0.5)+'LINEST VARS'!$B$62*(4*12.73)+'LINEST VARS'!$A$62*(0.5*12.73)</f>
        <v>269.49999999999994</v>
      </c>
      <c r="AN82" s="55">
        <f>'LINEST VARS'!$U$62+'LINEST VARS'!$T$62*($AN$80)+'LINEST VARS'!$S$62*($Z82)+'LINEST VARS'!$R$62*(4)+'LINEST VARS'!$Q$62*(0.5)+'LINEST VARS'!$P$62*(12.73)+'LINEST VARS'!$O$62*($AN$80^2)+'LINEST VARS'!$N$62*($Z82^2)+'LINEST VARS'!$M$62*(4^2)+'LINEST VARS'!$L$62*(0.5^2)+'LINEST VARS'!$K$62*(12.73^2)+'LINEST VARS'!$J$62*($AN$80*$Z82)+'LINEST VARS'!$I$62*($AN$80*4)+'LINEST VARS'!$H$62*($AN$80*0.5)+'LINEST VARS'!$G$62*($AN$80*12.73)+'LINEST VARS'!$F$62*($Z82*4)+'LINEST VARS'!$E$62*($Z82*0.5)+'LINEST VARS'!$D$62*($Z82*12.73)+'LINEST VARS'!$C$62*(4*0.5)+'LINEST VARS'!$B$62*(4*12.73)+'LINEST VARS'!$A$62*(0.5*12.73)</f>
        <v>269.49999999999994</v>
      </c>
      <c r="AO82" s="55">
        <f>'LINEST VARS'!$U$62+'LINEST VARS'!$T$62*($AO$80)+'LINEST VARS'!$S$62*($Z82)+'LINEST VARS'!$R$62*(4)+'LINEST VARS'!$Q$62*(0.5)+'LINEST VARS'!$P$62*(12.73)+'LINEST VARS'!$O$62*($AO$80^2)+'LINEST VARS'!$N$62*($Z82^2)+'LINEST VARS'!$M$62*(4^2)+'LINEST VARS'!$L$62*(0.5^2)+'LINEST VARS'!$K$62*(12.73^2)+'LINEST VARS'!$J$62*($AO$80*$Z82)+'LINEST VARS'!$I$62*($AO$80*4)+'LINEST VARS'!$H$62*($AO$80*0.5)+'LINEST VARS'!$G$62*($AO$80*12.73)+'LINEST VARS'!$F$62*($Z82*4)+'LINEST VARS'!$E$62*($Z82*0.5)+'LINEST VARS'!$D$62*($Z82*12.73)+'LINEST VARS'!$C$62*(4*0.5)+'LINEST VARS'!$B$62*(4*12.73)+'LINEST VARS'!$A$62*(0.5*12.73)</f>
        <v>269.49999999999994</v>
      </c>
      <c r="AP82" s="55">
        <f>'LINEST VARS'!$U$62+'LINEST VARS'!$T$62*($AP$80)+'LINEST VARS'!$S$62*($Z82)+'LINEST VARS'!$R$62*(4)+'LINEST VARS'!$Q$62*(0.5)+'LINEST VARS'!$P$62*(12.73)+'LINEST VARS'!$O$62*($AP$80^2)+'LINEST VARS'!$N$62*($Z82^2)+'LINEST VARS'!$M$62*(4^2)+'LINEST VARS'!$L$62*(0.5^2)+'LINEST VARS'!$K$62*(12.73^2)+'LINEST VARS'!$J$62*($AP$80*$Z82)+'LINEST VARS'!$I$62*($AP$80*4)+'LINEST VARS'!$H$62*($AP$80*0.5)+'LINEST VARS'!$G$62*($AP$80*12.73)+'LINEST VARS'!$F$62*($Z82*4)+'LINEST VARS'!$E$62*($Z82*0.5)+'LINEST VARS'!$D$62*($Z82*12.73)+'LINEST VARS'!$C$62*(4*0.5)+'LINEST VARS'!$B$62*(4*12.73)+'LINEST VARS'!$A$62*(0.5*12.73)</f>
        <v>269.49999999999994</v>
      </c>
      <c r="AQ82" s="55">
        <f>'LINEST VARS'!$U$62+'LINEST VARS'!$T$62*($AQ$80)+'LINEST VARS'!$S$62*($Z82)+'LINEST VARS'!$R$62*(4)+'LINEST VARS'!$Q$62*(0.5)+'LINEST VARS'!$P$62*(12.73)+'LINEST VARS'!$O$62*($AQ$80^2)+'LINEST VARS'!$N$62*($Z82^2)+'LINEST VARS'!$M$62*(4^2)+'LINEST VARS'!$L$62*(0.5^2)+'LINEST VARS'!$K$62*(12.73^2)+'LINEST VARS'!$J$62*($AQ$80*$Z82)+'LINEST VARS'!$I$62*($AQ$80*4)+'LINEST VARS'!$H$62*($AQ$80*0.5)+'LINEST VARS'!$G$62*($AQ$80*12.73)+'LINEST VARS'!$F$62*($Z82*4)+'LINEST VARS'!$E$62*($Z82*0.5)+'LINEST VARS'!$D$62*($Z82*12.73)+'LINEST VARS'!$C$62*(4*0.5)+'LINEST VARS'!$B$62*(4*12.73)+'LINEST VARS'!$A$62*(0.5*12.73)</f>
        <v>269.49999999999994</v>
      </c>
      <c r="AR82" s="55">
        <f>'LINEST VARS'!$U$62+'LINEST VARS'!$T$62*($AR$80)+'LINEST VARS'!$S$62*($Z82)+'LINEST VARS'!$R$62*(4)+'LINEST VARS'!$Q$62*(0.5)+'LINEST VARS'!$P$62*(12.73)+'LINEST VARS'!$O$62*($AR$80^2)+'LINEST VARS'!$N$62*($Z82^2)+'LINEST VARS'!$M$62*(4^2)+'LINEST VARS'!$L$62*(0.5^2)+'LINEST VARS'!$K$62*(12.73^2)+'LINEST VARS'!$J$62*($AR$80*$Z82)+'LINEST VARS'!$I$62*($AR$80*4)+'LINEST VARS'!$H$62*($AR$80*0.5)+'LINEST VARS'!$G$62*($AR$80*12.73)+'LINEST VARS'!$F$62*($Z82*4)+'LINEST VARS'!$E$62*($Z82*0.5)+'LINEST VARS'!$D$62*($Z82*12.73)+'LINEST VARS'!$C$62*(4*0.5)+'LINEST VARS'!$B$62*(4*12.73)+'LINEST VARS'!$A$62*(0.5*12.73)</f>
        <v>269.5</v>
      </c>
      <c r="AS82" s="55">
        <f>'LINEST VARS'!$U$62+'LINEST VARS'!$T$62*($AS$80)+'LINEST VARS'!$S$62*($Z82)+'LINEST VARS'!$R$62*(4)+'LINEST VARS'!$Q$62*(0.5)+'LINEST VARS'!$P$62*(12.73)+'LINEST VARS'!$O$62*($AS$80^2)+'LINEST VARS'!$N$62*($Z82^2)+'LINEST VARS'!$M$62*(4^2)+'LINEST VARS'!$L$62*(0.5^2)+'LINEST VARS'!$K$62*(12.73^2)+'LINEST VARS'!$J$62*($AS$80*$Z82)+'LINEST VARS'!$I$62*($AS$80*4)+'LINEST VARS'!$H$62*($AS$80*0.5)+'LINEST VARS'!$G$62*($AS$80*12.73)+'LINEST VARS'!$F$62*($Z82*4)+'LINEST VARS'!$E$62*($Z82*0.5)+'LINEST VARS'!$D$62*($Z82*12.73)+'LINEST VARS'!$C$62*(4*0.5)+'LINEST VARS'!$B$62*(4*12.73)+'LINEST VARS'!$A$62*(0.5*12.73)</f>
        <v>269.49999999999994</v>
      </c>
      <c r="AT82" s="55">
        <f>'LINEST VARS'!$U$62+'LINEST VARS'!$T$62*($AT$80)+'LINEST VARS'!$S$62*($Z82)+'LINEST VARS'!$R$62*(4)+'LINEST VARS'!$Q$62*(0.5)+'LINEST VARS'!$P$62*(12.73)+'LINEST VARS'!$O$62*($AT$80^2)+'LINEST VARS'!$N$62*($Z82^2)+'LINEST VARS'!$M$62*(4^2)+'LINEST VARS'!$L$62*(0.5^2)+'LINEST VARS'!$K$62*(12.73^2)+'LINEST VARS'!$J$62*($AT$80*$Z82)+'LINEST VARS'!$I$62*($AT$80*4)+'LINEST VARS'!$H$62*($AT$80*0.5)+'LINEST VARS'!$G$62*($AT$80*12.73)+'LINEST VARS'!$F$62*($Z82*4)+'LINEST VARS'!$E$62*($Z82*0.5)+'LINEST VARS'!$D$62*($Z82*12.73)+'LINEST VARS'!$C$62*(4*0.5)+'LINEST VARS'!$B$62*(4*12.73)+'LINEST VARS'!$A$62*(0.5*12.73)</f>
        <v>269.49999999999994</v>
      </c>
      <c r="AU82" s="56">
        <f>'LINEST VARS'!$U$62+'LINEST VARS'!$T$62*($AU$80)+'LINEST VARS'!$S$62*($Z82)+'LINEST VARS'!$R$62*(4)+'LINEST VARS'!$Q$62*(0.5)+'LINEST VARS'!$P$62*(12.73)+'LINEST VARS'!$O$62*($AU$80^2)+'LINEST VARS'!$N$62*($Z82^2)+'LINEST VARS'!$M$62*(4^2)+'LINEST VARS'!$L$62*(0.5^2)+'LINEST VARS'!$K$62*(12.73^2)+'LINEST VARS'!$J$62*($AU$80*$Z82)+'LINEST VARS'!$I$62*($AU$80*4)+'LINEST VARS'!$H$62*($AU$80*0.5)+'LINEST VARS'!$G$62*($AU$80*12.73)+'LINEST VARS'!$F$62*($Z82*4)+'LINEST VARS'!$E$62*($Z82*0.5)+'LINEST VARS'!$D$62*($Z82*12.73)+'LINEST VARS'!$C$62*(4*0.5)+'LINEST VARS'!$B$62*(4*12.73)+'LINEST VARS'!$A$62*(0.5*12.73)</f>
        <v>269.5</v>
      </c>
      <c r="AZ82" s="45">
        <v>0.05</v>
      </c>
      <c r="BA82" s="46">
        <f>'LINEST VARS'!$U$60+'LINEST VARS'!$T$60*(8)+'LINEST VARS'!$S$60*(8)+'LINEST VARS'!$R$60*($BA$80)+'LINEST VARS'!$Q$60*($AZ82)+'LINEST VARS'!$P$60*(12.73)+'LINEST VARS'!$O$60*(8^2)+'LINEST VARS'!$N$60*(8^2)+'LINEST VARS'!$M$60*($BA$80^2)+'LINEST VARS'!$L$60*($AZ82^2)+'LINEST VARS'!$K$60*(12.73^2)+'LINEST VARS'!$J$60*(8*8)+'LINEST VARS'!$I$60*(8*$BA$80)+'LINEST VARS'!$H$60*(8*$AZ82)+'LINEST VARS'!$G$60*(8*12.73)+'LINEST VARS'!$F$60*(8*$BA$80)+'LINEST VARS'!$E$60*(8*$AZ82)+'LINEST VARS'!$D$60*(8*12.73)+'LINEST VARS'!$C$60*($BA$80*$AZ82)+'LINEST VARS'!$B$60*($BA$80*12.73)+'LINEST VARS'!$A$60*($AZ82*12.73)</f>
        <v>40.460000000000008</v>
      </c>
      <c r="BB82" s="46">
        <f>'LINEST VARS'!$U$60+'LINEST VARS'!$T$60*(8)+'LINEST VARS'!$S$60*(8)+'LINEST VARS'!$R$60*($BB$80)+'LINEST VARS'!$Q$60*($AZ82)+'LINEST VARS'!$P$60*(12.73)+'LINEST VARS'!$O$60*(8^2)+'LINEST VARS'!$N$60*(8^2)+'LINEST VARS'!$M$60*($BB$80^2)+'LINEST VARS'!$L$60*($AZ82^2)+'LINEST VARS'!$K$60*(12.73^2)+'LINEST VARS'!$J$60*(8*8)+'LINEST VARS'!$I$60*(8*$BB$80)+'LINEST VARS'!$H$60*(8*$AZ82)+'LINEST VARS'!$G$60*(8*12.73)+'LINEST VARS'!$F$60*(8*$BB$80)+'LINEST VARS'!$E$60*(8*$AZ82)+'LINEST VARS'!$D$60*(8*12.73)+'LINEST VARS'!$C$60*($BB$80*$AZ82)+'LINEST VARS'!$B$60*($BB$80*12.73)+'LINEST VARS'!$A$60*($AZ82*12.73)</f>
        <v>40.460000000000008</v>
      </c>
      <c r="BC82" s="46">
        <f>'LINEST VARS'!$U$60+'LINEST VARS'!$T$60*(8)+'LINEST VARS'!$S$60*(8)+'LINEST VARS'!$R$60*($BC$80)+'LINEST VARS'!$Q$60*($AZ82)+'LINEST VARS'!$P$60*(12.73)+'LINEST VARS'!$O$60*(8^2)+'LINEST VARS'!$N$60*(8^2)+'LINEST VARS'!$M$60*($BC$80^2)+'LINEST VARS'!$L$60*($AZ82^2)+'LINEST VARS'!$K$60*(12.73^2)+'LINEST VARS'!$J$60*(8*8)+'LINEST VARS'!$I$60*(8*$BC$80)+'LINEST VARS'!$H$60*(8*$AZ82)+'LINEST VARS'!$G$60*(8*12.73)+'LINEST VARS'!$F$60*(8*$BC$80)+'LINEST VARS'!$E$60*(8*$AZ82)+'LINEST VARS'!$D$60*(8*12.73)+'LINEST VARS'!$C$60*($BC$80*$AZ82)+'LINEST VARS'!$B$60*($BC$80*12.73)+'LINEST VARS'!$A$60*($AZ82*12.73)</f>
        <v>40.460000000000015</v>
      </c>
      <c r="BD82" s="46">
        <f>'LINEST VARS'!$U$60+'LINEST VARS'!$T$60*(8)+'LINEST VARS'!$S$60*(8)+'LINEST VARS'!$R$60*($BD$80)+'LINEST VARS'!$Q$60*($AZ82)+'LINEST VARS'!$P$60*(12.73)+'LINEST VARS'!$O$60*(8^2)+'LINEST VARS'!$N$60*(8^2)+'LINEST VARS'!$M$60*($BD$80^2)+'LINEST VARS'!$L$60*($AZ82^2)+'LINEST VARS'!$K$60*(12.73^2)+'LINEST VARS'!$J$60*(8*8)+'LINEST VARS'!$I$60*(8*$BD$80)+'LINEST VARS'!$H$60*(8*$AZ82)+'LINEST VARS'!$G$60*(8*12.73)+'LINEST VARS'!$F$60*(8*$BD$80)+'LINEST VARS'!$E$60*(8*$AZ82)+'LINEST VARS'!$D$60*(8*12.73)+'LINEST VARS'!$C$60*($BD$80*$AZ82)+'LINEST VARS'!$B$60*($BD$80*12.73)+'LINEST VARS'!$A$60*($AZ82*12.73)</f>
        <v>40.460000000000015</v>
      </c>
      <c r="BE82" s="46">
        <f>'LINEST VARS'!$U$60+'LINEST VARS'!$T$60*(8)+'LINEST VARS'!$S$60*(8)+'LINEST VARS'!$R$60*($BE$80)+'LINEST VARS'!$Q$60*($AZ82)+'LINEST VARS'!$P$60*(12.73)+'LINEST VARS'!$O$60*(8^2)+'LINEST VARS'!$N$60*(8^2)+'LINEST VARS'!$M$60*($BE$80^2)+'LINEST VARS'!$L$60*($AZ82^2)+'LINEST VARS'!$K$60*(12.73^2)+'LINEST VARS'!$J$60*(8*8)+'LINEST VARS'!$I$60*(8*$BE$80)+'LINEST VARS'!$H$60*(8*$AZ82)+'LINEST VARS'!$G$60*(8*12.73)+'LINEST VARS'!$F$60*(8*$BE$80)+'LINEST VARS'!$E$60*(8*$AZ82)+'LINEST VARS'!$D$60*(8*12.73)+'LINEST VARS'!$C$60*($BE$80*$AZ82)+'LINEST VARS'!$B$60*($BE$80*12.73)+'LINEST VARS'!$A$60*($AZ82*12.73)</f>
        <v>40.460000000000008</v>
      </c>
      <c r="BF82" s="46">
        <f>'LINEST VARS'!$U$60+'LINEST VARS'!$T$60*(8)+'LINEST VARS'!$S$60*(8)+'LINEST VARS'!$R$60*($BF$80)+'LINEST VARS'!$Q$60*($AZ82)+'LINEST VARS'!$P$60*(12.73)+'LINEST VARS'!$O$60*(8^2)+'LINEST VARS'!$N$60*(8^2)+'LINEST VARS'!$M$60*($BF$80^2)+'LINEST VARS'!$L$60*($AZ82^2)+'LINEST VARS'!$K$60*(12.73^2)+'LINEST VARS'!$J$60*(8*8)+'LINEST VARS'!$I$60*(8*$BF$80)+'LINEST VARS'!$H$60*(8*$AZ82)+'LINEST VARS'!$G$60*(8*12.73)+'LINEST VARS'!$F$60*(8*$BF$80)+'LINEST VARS'!$E$60*(8*$AZ82)+'LINEST VARS'!$D$60*(8*12.73)+'LINEST VARS'!$C$60*($BF$80*$AZ82)+'LINEST VARS'!$B$60*($BF$80*12.73)+'LINEST VARS'!$A$60*($AZ82*12.73)</f>
        <v>40.46</v>
      </c>
      <c r="BG82" s="46">
        <f>'LINEST VARS'!$U$60+'LINEST VARS'!$T$60*(8)+'LINEST VARS'!$S$60*(8)+'LINEST VARS'!$R$60*($BG$80)+'LINEST VARS'!$Q$60*($AZ82)+'LINEST VARS'!$P$60*(12.73)+'LINEST VARS'!$O$60*(8^2)+'LINEST VARS'!$N$60*(8^2)+'LINEST VARS'!$M$60*($BG$80^2)+'LINEST VARS'!$L$60*($AZ82^2)+'LINEST VARS'!$K$60*(12.73^2)+'LINEST VARS'!$J$60*(8*8)+'LINEST VARS'!$I$60*(8*$BG$80)+'LINEST VARS'!$H$60*(8*$AZ82)+'LINEST VARS'!$G$60*(8*12.73)+'LINEST VARS'!$F$60*(8*$BG$80)+'LINEST VARS'!$E$60*(8*$AZ82)+'LINEST VARS'!$D$60*(8*12.73)+'LINEST VARS'!$C$60*($BG$80*$AZ82)+'LINEST VARS'!$B$60*($BG$80*12.73)+'LINEST VARS'!$A$60*($AZ82*12.73)</f>
        <v>40.460000000000008</v>
      </c>
      <c r="BH82" s="46">
        <f>'LINEST VARS'!$U$60+'LINEST VARS'!$T$60*(8)+'LINEST VARS'!$S$60*(8)+'LINEST VARS'!$R$60*($BH$80)+'LINEST VARS'!$Q$60*($AZ82)+'LINEST VARS'!$P$60*(12.73)+'LINEST VARS'!$O$60*(8^2)+'LINEST VARS'!$N$60*(8^2)+'LINEST VARS'!$M$60*($BH$80^2)+'LINEST VARS'!$L$60*($AZ82^2)+'LINEST VARS'!$K$60*(12.73^2)+'LINEST VARS'!$J$60*(8*8)+'LINEST VARS'!$I$60*(8*$BH$80)+'LINEST VARS'!$H$60*(8*$AZ82)+'LINEST VARS'!$G$60*(8*12.73)+'LINEST VARS'!$F$60*(8*$BH$80)+'LINEST VARS'!$E$60*(8*$AZ82)+'LINEST VARS'!$D$60*(8*12.73)+'LINEST VARS'!$C$60*($BH$80*$AZ82)+'LINEST VARS'!$B$60*($BH$80*12.73)+'LINEST VARS'!$A$60*($AZ82*12.73)</f>
        <v>40.460000000000008</v>
      </c>
      <c r="BI82" s="46">
        <f>'LINEST VARS'!$U$60+'LINEST VARS'!$T$60*(8)+'LINEST VARS'!$S$60*(8)+'LINEST VARS'!$R$60*($BI$80)+'LINEST VARS'!$Q$60*($AZ82)+'LINEST VARS'!$P$60*(12.73)+'LINEST VARS'!$O$60*(8^2)+'LINEST VARS'!$N$60*(8^2)+'LINEST VARS'!$M$60*($BI$80^2)+'LINEST VARS'!$L$60*($AZ82^2)+'LINEST VARS'!$K$60*(12.73^2)+'LINEST VARS'!$J$60*(8*8)+'LINEST VARS'!$I$60*(8*$BI$80)+'LINEST VARS'!$H$60*(8*$AZ82)+'LINEST VARS'!$G$60*(8*12.73)+'LINEST VARS'!$F$60*(8*$BI$80)+'LINEST VARS'!$E$60*(8*$AZ82)+'LINEST VARS'!$D$60*(8*12.73)+'LINEST VARS'!$C$60*($BI$80*$AZ82)+'LINEST VARS'!$B$60*($BI$80*12.73)+'LINEST VARS'!$A$60*($AZ82*12.73)</f>
        <v>40.460000000000008</v>
      </c>
      <c r="BJ82" s="46">
        <f>'LINEST VARS'!$U$60+'LINEST VARS'!$T$60*(8)+'LINEST VARS'!$S$60*(8)+'LINEST VARS'!$R$60*($BJ$80)+'LINEST VARS'!$Q$60*($AZ82)+'LINEST VARS'!$P$60*(12.73)+'LINEST VARS'!$O$60*(8^2)+'LINEST VARS'!$N$60*(8^2)+'LINEST VARS'!$M$60*($BJ$80^2)+'LINEST VARS'!$L$60*($AZ82^2)+'LINEST VARS'!$K$60*(12.73^2)+'LINEST VARS'!$J$60*(8*8)+'LINEST VARS'!$I$60*(8*$BJ$80)+'LINEST VARS'!$H$60*(8*$AZ82)+'LINEST VARS'!$G$60*(8*12.73)+'LINEST VARS'!$F$60*(8*$BJ$80)+'LINEST VARS'!$E$60*(8*$AZ82)+'LINEST VARS'!$D$60*(8*12.73)+'LINEST VARS'!$C$60*($BJ$80*$AZ82)+'LINEST VARS'!$B$60*($BJ$80*12.73)+'LINEST VARS'!$A$60*($AZ82*12.73)</f>
        <v>40.460000000000015</v>
      </c>
      <c r="BK82" s="46">
        <f>'LINEST VARS'!$U$60+'LINEST VARS'!$T$60*(8)+'LINEST VARS'!$S$60*(8)+'LINEST VARS'!$R$60*($BK$80)+'LINEST VARS'!$Q$60*($AZ82)+'LINEST VARS'!$P$60*(12.73)+'LINEST VARS'!$O$60*(8^2)+'LINEST VARS'!$N$60*(8^2)+'LINEST VARS'!$M$60*($BK$80^2)+'LINEST VARS'!$L$60*($AZ82^2)+'LINEST VARS'!$K$60*(12.73^2)+'LINEST VARS'!$J$60*(8*8)+'LINEST VARS'!$I$60*(8*$BK$80)+'LINEST VARS'!$H$60*(8*$AZ82)+'LINEST VARS'!$G$60*(8*12.73)+'LINEST VARS'!$F$60*(8*$BK$80)+'LINEST VARS'!$E$60*(8*$AZ82)+'LINEST VARS'!$D$60*(8*12.73)+'LINEST VARS'!$C$60*($BK$80*$AZ82)+'LINEST VARS'!$B$60*($BK$80*12.73)+'LINEST VARS'!$A$60*($AZ82*12.73)</f>
        <v>40.460000000000015</v>
      </c>
      <c r="BL82" s="46">
        <f>'LINEST VARS'!$U$60+'LINEST VARS'!$T$60*(8)+'LINEST VARS'!$S$60*(8)+'LINEST VARS'!$R$60*($BL$80)+'LINEST VARS'!$Q$60*($AZ82)+'LINEST VARS'!$P$60*(12.73)+'LINEST VARS'!$O$60*(8^2)+'LINEST VARS'!$N$60*(8^2)+'LINEST VARS'!$M$60*($BL$80^2)+'LINEST VARS'!$L$60*($AZ82^2)+'LINEST VARS'!$K$60*(12.73^2)+'LINEST VARS'!$J$60*(8*8)+'LINEST VARS'!$I$60*(8*$BL$80)+'LINEST VARS'!$H$60*(8*$AZ82)+'LINEST VARS'!$G$60*(8*12.73)+'LINEST VARS'!$F$60*(8*$BL$80)+'LINEST VARS'!$E$60*(8*$AZ82)+'LINEST VARS'!$D$60*(8*12.73)+'LINEST VARS'!$C$60*($BL$80*$AZ82)+'LINEST VARS'!$B$60*($BL$80*12.73)+'LINEST VARS'!$A$60*($AZ82*12.73)</f>
        <v>40.460000000000008</v>
      </c>
      <c r="BM82" s="46">
        <f>'LINEST VARS'!$U$60+'LINEST VARS'!$T$60*(8)+'LINEST VARS'!$S$60*(8)+'LINEST VARS'!$R$60*($BM$80)+'LINEST VARS'!$Q$60*($AZ82)+'LINEST VARS'!$P$60*(12.73)+'LINEST VARS'!$O$60*(8^2)+'LINEST VARS'!$N$60*(8^2)+'LINEST VARS'!$M$60*($BM$80^2)+'LINEST VARS'!$L$60*($AZ82^2)+'LINEST VARS'!$K$60*(12.73^2)+'LINEST VARS'!$J$60*(8*8)+'LINEST VARS'!$I$60*(8*$BM$80)+'LINEST VARS'!$H$60*(8*$AZ82)+'LINEST VARS'!$G$60*(8*12.73)+'LINEST VARS'!$F$60*(8*$BM$80)+'LINEST VARS'!$E$60*(8*$AZ82)+'LINEST VARS'!$D$60*(8*12.73)+'LINEST VARS'!$C$60*($BM$80*$AZ82)+'LINEST VARS'!$B$60*($BM$80*12.73)+'LINEST VARS'!$A$60*($AZ82*12.73)</f>
        <v>40.460000000000008</v>
      </c>
      <c r="BN82" s="46">
        <f>'LINEST VARS'!$U$60+'LINEST VARS'!$T$60*(8)+'LINEST VARS'!$S$60*(8)+'LINEST VARS'!$R$60*($BN$80)+'LINEST VARS'!$Q$60*($AZ82)+'LINEST VARS'!$P$60*(12.73)+'LINEST VARS'!$O$60*(8^2)+'LINEST VARS'!$N$60*(8^2)+'LINEST VARS'!$M$60*($BN$80^2)+'LINEST VARS'!$L$60*($AZ82^2)+'LINEST VARS'!$K$60*(12.73^2)+'LINEST VARS'!$J$60*(8*8)+'LINEST VARS'!$I$60*(8*$BN$80)+'LINEST VARS'!$H$60*(8*$AZ82)+'LINEST VARS'!$G$60*(8*12.73)+'LINEST VARS'!$F$60*(8*$BN$80)+'LINEST VARS'!$E$60*(8*$AZ82)+'LINEST VARS'!$D$60*(8*12.73)+'LINEST VARS'!$C$60*($BN$80*$AZ82)+'LINEST VARS'!$B$60*($BN$80*12.73)+'LINEST VARS'!$A$60*($AZ82*12.73)</f>
        <v>40.46</v>
      </c>
      <c r="BO82" s="46">
        <f>'LINEST VARS'!$U$60+'LINEST VARS'!$T$60*(8)+'LINEST VARS'!$S$60*(8)+'LINEST VARS'!$R$60*($BO$80)+'LINEST VARS'!$Q$60*($AZ82)+'LINEST VARS'!$P$60*(12.73)+'LINEST VARS'!$O$60*(8^2)+'LINEST VARS'!$N$60*(8^2)+'LINEST VARS'!$M$60*($BO$80^2)+'LINEST VARS'!$L$60*($AZ82^2)+'LINEST VARS'!$K$60*(12.73^2)+'LINEST VARS'!$J$60*(8*8)+'LINEST VARS'!$I$60*(8*$BO$80)+'LINEST VARS'!$H$60*(8*$AZ82)+'LINEST VARS'!$G$60*(8*12.73)+'LINEST VARS'!$F$60*(8*$BO$80)+'LINEST VARS'!$E$60*(8*$AZ82)+'LINEST VARS'!$D$60*(8*12.73)+'LINEST VARS'!$C$60*($BO$80*$AZ82)+'LINEST VARS'!$B$60*($BO$80*12.73)+'LINEST VARS'!$A$60*($AZ82*12.73)</f>
        <v>40.460000000000008</v>
      </c>
      <c r="BP82" s="46">
        <f>'LINEST VARS'!$U$60+'LINEST VARS'!$T$60*(8)+'LINEST VARS'!$S$60*(8)+'LINEST VARS'!$R$60*($BP$80)+'LINEST VARS'!$Q$60*($AZ82)+'LINEST VARS'!$P$60*(12.73)+'LINEST VARS'!$O$60*(8^2)+'LINEST VARS'!$N$60*(8^2)+'LINEST VARS'!$M$60*($BP$80^2)+'LINEST VARS'!$L$60*($AZ82^2)+'LINEST VARS'!$K$60*(12.73^2)+'LINEST VARS'!$J$60*(8*8)+'LINEST VARS'!$I$60*(8*$BP$80)+'LINEST VARS'!$H$60*(8*$AZ82)+'LINEST VARS'!$G$60*(8*12.73)+'LINEST VARS'!$F$60*(8*$BP$80)+'LINEST VARS'!$E$60*(8*$AZ82)+'LINEST VARS'!$D$60*(8*12.73)+'LINEST VARS'!$C$60*($BP$80*$AZ82)+'LINEST VARS'!$B$60*($BP$80*12.73)+'LINEST VARS'!$A$60*($AZ82*12.73)</f>
        <v>40.460000000000008</v>
      </c>
      <c r="BQ82" s="46">
        <f>'LINEST VARS'!$U$60+'LINEST VARS'!$T$60*(8)+'LINEST VARS'!$S$60*(8)+'LINEST VARS'!$R$60*($BQ$80)+'LINEST VARS'!$Q$60*($AZ82)+'LINEST VARS'!$P$60*(12.73)+'LINEST VARS'!$O$60*(8^2)+'LINEST VARS'!$N$60*(8^2)+'LINEST VARS'!$M$60*($BQ$80^2)+'LINEST VARS'!$L$60*($AZ82^2)+'LINEST VARS'!$K$60*(12.73^2)+'LINEST VARS'!$J$60*(8*8)+'LINEST VARS'!$I$60*(8*$BQ$80)+'LINEST VARS'!$H$60*(8*$AZ82)+'LINEST VARS'!$G$60*(8*12.73)+'LINEST VARS'!$F$60*(8*$BQ$80)+'LINEST VARS'!$E$60*(8*$AZ82)+'LINEST VARS'!$D$60*(8*12.73)+'LINEST VARS'!$C$60*($BQ$80*$AZ82)+'LINEST VARS'!$B$60*($BQ$80*12.73)+'LINEST VARS'!$A$60*($AZ82*12.73)</f>
        <v>40.460000000000015</v>
      </c>
      <c r="BR82" s="46">
        <f>'LINEST VARS'!$U$60+'LINEST VARS'!$T$60*(8)+'LINEST VARS'!$S$60*(8)+'LINEST VARS'!$R$60*($BR$80)+'LINEST VARS'!$Q$60*($AZ82)+'LINEST VARS'!$P$60*(12.73)+'LINEST VARS'!$O$60*(8^2)+'LINEST VARS'!$N$60*(8^2)+'LINEST VARS'!$M$60*($BR$80^2)+'LINEST VARS'!$L$60*($AZ82^2)+'LINEST VARS'!$K$60*(12.73^2)+'LINEST VARS'!$J$60*(8*8)+'LINEST VARS'!$I$60*(8*$BR$80)+'LINEST VARS'!$H$60*(8*$AZ82)+'LINEST VARS'!$G$60*(8*12.73)+'LINEST VARS'!$F$60*(8*$BR$80)+'LINEST VARS'!$E$60*(8*$AZ82)+'LINEST VARS'!$D$60*(8*12.73)+'LINEST VARS'!$C$60*($BR$80*$AZ82)+'LINEST VARS'!$B$60*($BR$80*12.73)+'LINEST VARS'!$A$60*($AZ82*12.73)</f>
        <v>40.460000000000015</v>
      </c>
      <c r="BS82" s="46">
        <f>'LINEST VARS'!$U$60+'LINEST VARS'!$T$60*(8)+'LINEST VARS'!$S$60*(8)+'LINEST VARS'!$R$60*($BS$80)+'LINEST VARS'!$Q$60*($AZ82)+'LINEST VARS'!$P$60*(12.73)+'LINEST VARS'!$O$60*(8^2)+'LINEST VARS'!$N$60*(8^2)+'LINEST VARS'!$M$60*($BS$80^2)+'LINEST VARS'!$L$60*($AZ82^2)+'LINEST VARS'!$K$60*(12.73^2)+'LINEST VARS'!$J$60*(8*8)+'LINEST VARS'!$I$60*(8*$BS$80)+'LINEST VARS'!$H$60*(8*$AZ82)+'LINEST VARS'!$G$60*(8*12.73)+'LINEST VARS'!$F$60*(8*$BS$80)+'LINEST VARS'!$E$60*(8*$AZ82)+'LINEST VARS'!$D$60*(8*12.73)+'LINEST VARS'!$C$60*($BS$80*$AZ82)+'LINEST VARS'!$B$60*($BS$80*12.73)+'LINEST VARS'!$A$60*($AZ82*12.73)</f>
        <v>40.460000000000008</v>
      </c>
      <c r="BT82" s="46">
        <f>'LINEST VARS'!$U$60+'LINEST VARS'!$T$60*(8)+'LINEST VARS'!$S$60*(8)+'LINEST VARS'!$R$60*($BT$80)+'LINEST VARS'!$Q$60*($AZ82)+'LINEST VARS'!$P$60*(12.73)+'LINEST VARS'!$O$60*(8^2)+'LINEST VARS'!$N$60*(8^2)+'LINEST VARS'!$M$60*($BT$80^2)+'LINEST VARS'!$L$60*($AZ82^2)+'LINEST VARS'!$K$60*(12.73^2)+'LINEST VARS'!$J$60*(8*8)+'LINEST VARS'!$I$60*(8*$BT$80)+'LINEST VARS'!$H$60*(8*$AZ82)+'LINEST VARS'!$G$60*(8*12.73)+'LINEST VARS'!$F$60*(8*$BT$80)+'LINEST VARS'!$E$60*(8*$AZ82)+'LINEST VARS'!$D$60*(8*12.73)+'LINEST VARS'!$C$60*($BT$80*$AZ82)+'LINEST VARS'!$B$60*($BT$80*12.73)+'LINEST VARS'!$A$60*($AZ82*12.73)</f>
        <v>40.460000000000008</v>
      </c>
      <c r="BU82" s="47">
        <f>'LINEST VARS'!$U$60+'LINEST VARS'!$T$60*(8)+'LINEST VARS'!$S$60*(8)+'LINEST VARS'!$R$60*($BU$80)+'LINEST VARS'!$Q$60*($AZ82)+'LINEST VARS'!$P$60*(12.73)+'LINEST VARS'!$O$60*(8^2)+'LINEST VARS'!$N$60*(8^2)+'LINEST VARS'!$M$60*($BU$80^2)+'LINEST VARS'!$L$60*($AZ82^2)+'LINEST VARS'!$K$60*(12.73^2)+'LINEST VARS'!$J$60*(8*8)+'LINEST VARS'!$I$60*(8*$BU$80)+'LINEST VARS'!$H$60*(8*$AZ82)+'LINEST VARS'!$G$60*(8*12.73)+'LINEST VARS'!$F$60*(8*$BU$80)+'LINEST VARS'!$E$60*(8*$AZ82)+'LINEST VARS'!$D$60*(8*12.73)+'LINEST VARS'!$C$60*($BU$80*$AZ82)+'LINEST VARS'!$B$60*($BU$80*12.73)+'LINEST VARS'!$A$60*($AZ82*12.73)</f>
        <v>40.460000000000008</v>
      </c>
      <c r="BX82" s="45">
        <v>0.05</v>
      </c>
      <c r="BY82" s="55">
        <f>'LINEST VARS'!$U$62+'LINEST VARS'!$T$62*(8)+'LINEST VARS'!$S$62*(8)+'LINEST VARS'!$R$62*($BY$80)+'LINEST VARS'!$Q$62*($BX82)+'LINEST VARS'!$P$62*(12.73)+'LINEST VARS'!$O$62*(8^2)+'LINEST VARS'!$N$62*(8^2)+'LINEST VARS'!$M$62*($BY$80^2)+'LINEST VARS'!$L$62*($BX82^2)+'LINEST VARS'!$K$62*(12.73^2)+'LINEST VARS'!$J$62*(8*8)+'LINEST VARS'!$I$62*(8*$BY$80)+'LINEST VARS'!$H$62*(8*$BX82)+'LINEST VARS'!$G$62*(8*12.73)+'LINEST VARS'!$F$62*(8*$BY$80)+'LINEST VARS'!$E$62*(8*$BX82)+'LINEST VARS'!$D$62*(8*12.73)+'LINEST VARS'!$C$62*($BY$80*$BX82)+'LINEST VARS'!$B$62*($BY$80*12.73)+'LINEST VARS'!$A$62*($BX82*12.73)</f>
        <v>349.99499999999983</v>
      </c>
      <c r="BZ82" s="55">
        <f>'LINEST VARS'!$U$62+'LINEST VARS'!$T$62*(8)+'LINEST VARS'!$S$62*(8)+'LINEST VARS'!$R$62*($BZ$80)+'LINEST VARS'!$Q$62*($BX82)+'LINEST VARS'!$P$62*(12.73)+'LINEST VARS'!$O$62*(8^2)+'LINEST VARS'!$N$62*(8^2)+'LINEST VARS'!$M$62*($BZ$80^2)+'LINEST VARS'!$L$62*($BX82^2)+'LINEST VARS'!$K$62*(12.73^2)+'LINEST VARS'!$J$62*(8*8)+'LINEST VARS'!$I$62*(8*$BZ$80)+'LINEST VARS'!$H$62*(8*$BX82)+'LINEST VARS'!$G$62*(8*12.73)+'LINEST VARS'!$F$62*(8*$BZ$80)+'LINEST VARS'!$E$62*(8*$BX82)+'LINEST VARS'!$D$62*(8*12.73)+'LINEST VARS'!$C$62*($BZ$80*$BX82)+'LINEST VARS'!$B$62*($BZ$80*12.73)+'LINEST VARS'!$A$62*($BX82*12.73)</f>
        <v>349.19499999999988</v>
      </c>
      <c r="CA82" s="55">
        <f>'LINEST VARS'!$U$62+'LINEST VARS'!$T$62*(8)+'LINEST VARS'!$S$62*(8)+'LINEST VARS'!$R$62*($CA$80)+'LINEST VARS'!$Q$62*($BX82)+'LINEST VARS'!$P$62*(12.73)+'LINEST VARS'!$O$62*(8^2)+'LINEST VARS'!$N$62*(8^2)+'LINEST VARS'!$M$62*($CA$80^2)+'LINEST VARS'!$L$62*($BX82^2)+'LINEST VARS'!$K$62*(12.73^2)+'LINEST VARS'!$J$62*(8*8)+'LINEST VARS'!$I$62*(8*$CA$80)+'LINEST VARS'!$H$62*(8*$BX82)+'LINEST VARS'!$G$62*(8*12.73)+'LINEST VARS'!$F$62*(8*$CA$80)+'LINEST VARS'!$E$62*(8*$BX82)+'LINEST VARS'!$D$62*(8*12.73)+'LINEST VARS'!$C$62*($CA$80*$BX82)+'LINEST VARS'!$B$62*($CA$80*12.73)+'LINEST VARS'!$A$62*($BX82*12.73)</f>
        <v>346.79499999999979</v>
      </c>
      <c r="CB82" s="55">
        <f>'LINEST VARS'!$U$62+'LINEST VARS'!$T$62*(8)+'LINEST VARS'!$S$62*(8)+'LINEST VARS'!$R$62*($CB$80)+'LINEST VARS'!$Q$62*($BX82)+'LINEST VARS'!$P$62*(12.73)+'LINEST VARS'!$O$62*(8^2)+'LINEST VARS'!$N$62*(8^2)+'LINEST VARS'!$M$62*($CB$80^2)+'LINEST VARS'!$L$62*($BX82^2)+'LINEST VARS'!$K$62*(12.73^2)+'LINEST VARS'!$J$62*(8*8)+'LINEST VARS'!$I$62*(8*$CB$80)+'LINEST VARS'!$H$62*(8*$BX82)+'LINEST VARS'!$G$62*(8*12.73)+'LINEST VARS'!$F$62*(8*$CB$80)+'LINEST VARS'!$E$62*(8*$BX82)+'LINEST VARS'!$D$62*(8*12.73)+'LINEST VARS'!$C$62*($CB$80*$BX82)+'LINEST VARS'!$B$62*($CB$80*12.73)+'LINEST VARS'!$A$62*($BX82*12.73)</f>
        <v>342.79499999999985</v>
      </c>
      <c r="CC82" s="55">
        <f>'LINEST VARS'!$U$62+'LINEST VARS'!$T$62*(8)+'LINEST VARS'!$S$62*(8)+'LINEST VARS'!$R$62*($CC$80)+'LINEST VARS'!$Q$62*($BX82)+'LINEST VARS'!$P$62*(12.73)+'LINEST VARS'!$O$62*(8^2)+'LINEST VARS'!$N$62*(8^2)+'LINEST VARS'!$M$62*($CC$80^2)+'LINEST VARS'!$L$62*($BX82^2)+'LINEST VARS'!$K$62*(12.73^2)+'LINEST VARS'!$J$62*(8*8)+'LINEST VARS'!$I$62*(8*$CC$80)+'LINEST VARS'!$H$62*(8*$BX82)+'LINEST VARS'!$G$62*(8*12.73)+'LINEST VARS'!$F$62*(8*$CC$80)+'LINEST VARS'!$E$62*(8*$BX82)+'LINEST VARS'!$D$62*(8*12.73)+'LINEST VARS'!$C$62*($CC$80*$BX82)+'LINEST VARS'!$B$62*($CC$80*12.73)+'LINEST VARS'!$A$62*($BX82*12.73)</f>
        <v>337.19499999999988</v>
      </c>
      <c r="CD82" s="55">
        <f>'LINEST VARS'!$U$62+'LINEST VARS'!$T$62*(8)+'LINEST VARS'!$S$62*(8)+'LINEST VARS'!$R$62*($CD$80)+'LINEST VARS'!$Q$62*($BX82)+'LINEST VARS'!$P$62*(12.73)+'LINEST VARS'!$O$62*(8^2)+'LINEST VARS'!$N$62*(8^2)+'LINEST VARS'!$M$62*($CD$80^2)+'LINEST VARS'!$L$62*($BX82^2)+'LINEST VARS'!$K$62*(12.73^2)+'LINEST VARS'!$J$62*(8*8)+'LINEST VARS'!$I$62*(8*$CD$80)+'LINEST VARS'!$H$62*(8*$BX82)+'LINEST VARS'!$G$62*(8*12.73)+'LINEST VARS'!$F$62*(8*$CD$80)+'LINEST VARS'!$E$62*(8*$BX82)+'LINEST VARS'!$D$62*(8*12.73)+'LINEST VARS'!$C$62*($CD$80*$BX82)+'LINEST VARS'!$B$62*($CD$80*12.73)+'LINEST VARS'!$A$62*($BX82*12.73)</f>
        <v>329.99499999999995</v>
      </c>
      <c r="CE82" s="55">
        <f>'LINEST VARS'!$U$62+'LINEST VARS'!$T$62*(8)+'LINEST VARS'!$S$62*(8)+'LINEST VARS'!$R$62*($CE$80)+'LINEST VARS'!$Q$62*($BX82)+'LINEST VARS'!$P$62*(12.73)+'LINEST VARS'!$O$62*(8^2)+'LINEST VARS'!$N$62*(8^2)+'LINEST VARS'!$M$62*($CE$80^2)+'LINEST VARS'!$L$62*($BX82^2)+'LINEST VARS'!$K$62*(12.73^2)+'LINEST VARS'!$J$62*(8*8)+'LINEST VARS'!$I$62*(8*$CE$80)+'LINEST VARS'!$H$62*(8*$BX82)+'LINEST VARS'!$G$62*(8*12.73)+'LINEST VARS'!$F$62*(8*$CE$80)+'LINEST VARS'!$E$62*(8*$BX82)+'LINEST VARS'!$D$62*(8*12.73)+'LINEST VARS'!$C$62*($CE$80*$BX82)+'LINEST VARS'!$B$62*($CE$80*12.73)+'LINEST VARS'!$A$62*($BX82*12.73)</f>
        <v>321.19499999999982</v>
      </c>
      <c r="CF82" s="55">
        <f>'LINEST VARS'!$U$62+'LINEST VARS'!$T$62*(8)+'LINEST VARS'!$S$62*(8)+'LINEST VARS'!$R$62*($CF$80)+'LINEST VARS'!$Q$62*($BX82)+'LINEST VARS'!$P$62*(12.73)+'LINEST VARS'!$O$62*(8^2)+'LINEST VARS'!$N$62*(8^2)+'LINEST VARS'!$M$62*($CF$80^2)+'LINEST VARS'!$L$62*($BX82^2)+'LINEST VARS'!$K$62*(12.73^2)+'LINEST VARS'!$J$62*(8*8)+'LINEST VARS'!$I$62*(8*$CF$80)+'LINEST VARS'!$H$62*(8*$BX82)+'LINEST VARS'!$G$62*(8*12.73)+'LINEST VARS'!$F$62*(8*$CF$80)+'LINEST VARS'!$E$62*(8*$BX82)+'LINEST VARS'!$D$62*(8*12.73)+'LINEST VARS'!$C$62*($CF$80*$BX82)+'LINEST VARS'!$B$62*($CF$80*12.73)+'LINEST VARS'!$A$62*($BX82*12.73)</f>
        <v>310.79499999999985</v>
      </c>
      <c r="CG82" s="55">
        <f>'LINEST VARS'!$U$62+'LINEST VARS'!$T$62*(8)+'LINEST VARS'!$S$62*(8)+'LINEST VARS'!$R$62*($CG$80)+'LINEST VARS'!$Q$62*($BX82)+'LINEST VARS'!$P$62*(12.73)+'LINEST VARS'!$O$62*(8^2)+'LINEST VARS'!$N$62*(8^2)+'LINEST VARS'!$M$62*($CG$80^2)+'LINEST VARS'!$L$62*($BX82^2)+'LINEST VARS'!$K$62*(12.73^2)+'LINEST VARS'!$J$62*(8*8)+'LINEST VARS'!$I$62*(8*$CG$80)+'LINEST VARS'!$H$62*(8*$BX82)+'LINEST VARS'!$G$62*(8*12.73)+'LINEST VARS'!$F$62*(8*$CG$80)+'LINEST VARS'!$E$62*(8*$BX82)+'LINEST VARS'!$D$62*(8*12.73)+'LINEST VARS'!$C$62*($CG$80*$BX82)+'LINEST VARS'!$B$62*($CG$80*12.73)+'LINEST VARS'!$A$62*($BX82*12.73)</f>
        <v>298.7949999999999</v>
      </c>
      <c r="CH82" s="55">
        <f>'LINEST VARS'!$U$62+'LINEST VARS'!$T$62*(8)+'LINEST VARS'!$S$62*(8)+'LINEST VARS'!$R$62*($CH$80)+'LINEST VARS'!$Q$62*($BX82)+'LINEST VARS'!$P$62*(12.73)+'LINEST VARS'!$O$62*(8^2)+'LINEST VARS'!$N$62*(8^2)+'LINEST VARS'!$M$62*($CH$80^2)+'LINEST VARS'!$L$62*($BX82^2)+'LINEST VARS'!$K$62*(12.73^2)+'LINEST VARS'!$J$62*(8*8)+'LINEST VARS'!$I$62*(8*$CH$80)+'LINEST VARS'!$H$62*(8*$BX82)+'LINEST VARS'!$G$62*(8*12.73)+'LINEST VARS'!$F$62*(8*$CH$80)+'LINEST VARS'!$E$62*(8*$BX82)+'LINEST VARS'!$D$62*(8*12.73)+'LINEST VARS'!$C$62*($CH$80*$BX82)+'LINEST VARS'!$B$62*($CH$80*12.73)+'LINEST VARS'!$A$62*($BX82*12.73)</f>
        <v>285.19499999999988</v>
      </c>
      <c r="CI82" s="55">
        <f>'LINEST VARS'!$U$62+'LINEST VARS'!$T$62*(8)+'LINEST VARS'!$S$62*(8)+'LINEST VARS'!$R$62*($CI$80)+'LINEST VARS'!$Q$62*($BX82)+'LINEST VARS'!$P$62*(12.73)+'LINEST VARS'!$O$62*(8^2)+'LINEST VARS'!$N$62*(8^2)+'LINEST VARS'!$M$62*($CI$80^2)+'LINEST VARS'!$L$62*($BX82^2)+'LINEST VARS'!$K$62*(12.73^2)+'LINEST VARS'!$J$62*(8*8)+'LINEST VARS'!$I$62*(8*$CI$80)+'LINEST VARS'!$H$62*(8*$BX82)+'LINEST VARS'!$G$62*(8*12.73)+'LINEST VARS'!$F$62*(8*$CI$80)+'LINEST VARS'!$E$62*(8*$BX82)+'LINEST VARS'!$D$62*(8*12.73)+'LINEST VARS'!$C$62*($CI$80*$BX82)+'LINEST VARS'!$B$62*($CI$80*12.73)+'LINEST VARS'!$A$62*($BX82*12.73)</f>
        <v>269.99499999999989</v>
      </c>
      <c r="CJ82" s="55">
        <f>'LINEST VARS'!$U$62+'LINEST VARS'!$T$62*(8)+'LINEST VARS'!$S$62*(8)+'LINEST VARS'!$R$62*($CJ$80)+'LINEST VARS'!$Q$62*($BX82)+'LINEST VARS'!$P$62*(12.73)+'LINEST VARS'!$O$62*(8^2)+'LINEST VARS'!$N$62*(8^2)+'LINEST VARS'!$M$62*($CJ$80^2)+'LINEST VARS'!$L$62*($BX82^2)+'LINEST VARS'!$K$62*(12.73^2)+'LINEST VARS'!$J$62*(8*8)+'LINEST VARS'!$I$62*(8*$CJ$80)+'LINEST VARS'!$H$62*(8*$BX82)+'LINEST VARS'!$G$62*(8*12.73)+'LINEST VARS'!$F$62*(8*$CJ$80)+'LINEST VARS'!$E$62*(8*$BX82)+'LINEST VARS'!$D$62*(8*12.73)+'LINEST VARS'!$C$62*($CJ$80*$BX82)+'LINEST VARS'!$B$62*($CJ$80*12.73)+'LINEST VARS'!$A$62*($BX82*12.73)</f>
        <v>253.19500000000005</v>
      </c>
      <c r="CK82" s="55">
        <f>'LINEST VARS'!$U$62+'LINEST VARS'!$T$62*(8)+'LINEST VARS'!$S$62*(8)+'LINEST VARS'!$R$62*($CK$80)+'LINEST VARS'!$Q$62*($BX82)+'LINEST VARS'!$P$62*(12.73)+'LINEST VARS'!$O$62*(8^2)+'LINEST VARS'!$N$62*(8^2)+'LINEST VARS'!$M$62*($CK$80^2)+'LINEST VARS'!$L$62*($BX82^2)+'LINEST VARS'!$K$62*(12.73^2)+'LINEST VARS'!$J$62*(8*8)+'LINEST VARS'!$I$62*(8*$CK$80)+'LINEST VARS'!$H$62*(8*$BX82)+'LINEST VARS'!$G$62*(8*12.73)+'LINEST VARS'!$F$62*(8*$CK$80)+'LINEST VARS'!$E$62*(8*$BX82)+'LINEST VARS'!$D$62*(8*12.73)+'LINEST VARS'!$C$62*($CK$80*$BX82)+'LINEST VARS'!$B$62*($CK$80*12.73)+'LINEST VARS'!$A$62*($BX82*12.73)</f>
        <v>234.7950000000001</v>
      </c>
      <c r="CL82" s="55">
        <f>'LINEST VARS'!$U$62+'LINEST VARS'!$T$62*(8)+'LINEST VARS'!$S$62*(8)+'LINEST VARS'!$R$62*($CL$80)+'LINEST VARS'!$Q$62*($BX82)+'LINEST VARS'!$P$62*(12.73)+'LINEST VARS'!$O$62*(8^2)+'LINEST VARS'!$N$62*(8^2)+'LINEST VARS'!$M$62*($CL$80^2)+'LINEST VARS'!$L$62*($BX82^2)+'LINEST VARS'!$K$62*(12.73^2)+'LINEST VARS'!$J$62*(8*8)+'LINEST VARS'!$I$62*(8*$CL$80)+'LINEST VARS'!$H$62*(8*$BX82)+'LINEST VARS'!$G$62*(8*12.73)+'LINEST VARS'!$F$62*(8*$CL$80)+'LINEST VARS'!$E$62*(8*$BX82)+'LINEST VARS'!$D$62*(8*12.73)+'LINEST VARS'!$C$62*($CL$80*$BX82)+'LINEST VARS'!$B$62*($CL$80*12.73)+'LINEST VARS'!$A$62*($BX82*12.73)</f>
        <v>214.79500000000004</v>
      </c>
      <c r="CM82" s="55">
        <f>'LINEST VARS'!$U$62+'LINEST VARS'!$T$62*(8)+'LINEST VARS'!$S$62*(8)+'LINEST VARS'!$R$62*($CM$80)+'LINEST VARS'!$Q$62*($BX82)+'LINEST VARS'!$P$62*(12.73)+'LINEST VARS'!$O$62*(8^2)+'LINEST VARS'!$N$62*(8^2)+'LINEST VARS'!$M$62*($CM$80^2)+'LINEST VARS'!$L$62*($BX82^2)+'LINEST VARS'!$K$62*(12.73^2)+'LINEST VARS'!$J$62*(8*8)+'LINEST VARS'!$I$62*(8*$CM$80)+'LINEST VARS'!$H$62*(8*$BX82)+'LINEST VARS'!$G$62*(8*12.73)+'LINEST VARS'!$F$62*(8*$CM$80)+'LINEST VARS'!$E$62*(8*$BX82)+'LINEST VARS'!$D$62*(8*12.73)+'LINEST VARS'!$C$62*($CM$80*$BX82)+'LINEST VARS'!$B$62*($CM$80*12.73)+'LINEST VARS'!$A$62*($BX82*12.73)</f>
        <v>193.19500000000014</v>
      </c>
      <c r="CN82" s="55">
        <f>'LINEST VARS'!$U$62+'LINEST VARS'!$T$62*(8)+'LINEST VARS'!$S$62*(8)+'LINEST VARS'!$R$62*($CN$80)+'LINEST VARS'!$Q$62*($BX82)+'LINEST VARS'!$P$62*(12.73)+'LINEST VARS'!$O$62*(8^2)+'LINEST VARS'!$N$62*(8^2)+'LINEST VARS'!$M$62*($CN$80^2)+'LINEST VARS'!$L$62*($BX82^2)+'LINEST VARS'!$K$62*(12.73^2)+'LINEST VARS'!$J$62*(8*8)+'LINEST VARS'!$I$62*(8*$CN$80)+'LINEST VARS'!$H$62*(8*$BX82)+'LINEST VARS'!$G$62*(8*12.73)+'LINEST VARS'!$F$62*(8*$CN$80)+'LINEST VARS'!$E$62*(8*$BX82)+'LINEST VARS'!$D$62*(8*12.73)+'LINEST VARS'!$C$62*($CN$80*$BX82)+'LINEST VARS'!$B$62*($CN$80*12.73)+'LINEST VARS'!$A$62*($BX82*12.73)</f>
        <v>169.99500000000012</v>
      </c>
      <c r="CO82" s="55">
        <f>'LINEST VARS'!$U$62+'LINEST VARS'!$T$62*(8)+'LINEST VARS'!$S$62*(8)+'LINEST VARS'!$R$62*($CO$80)+'LINEST VARS'!$Q$62*($BX82)+'LINEST VARS'!$P$62*(12.73)+'LINEST VARS'!$O$62*(8^2)+'LINEST VARS'!$N$62*(8^2)+'LINEST VARS'!$M$62*($CO$80^2)+'LINEST VARS'!$L$62*($BX82^2)+'LINEST VARS'!$K$62*(12.73^2)+'LINEST VARS'!$J$62*(8*8)+'LINEST VARS'!$I$62*(8*$CO$80)+'LINEST VARS'!$H$62*(8*$BX82)+'LINEST VARS'!$G$62*(8*12.73)+'LINEST VARS'!$F$62*(8*$CO$80)+'LINEST VARS'!$E$62*(8*$BX82)+'LINEST VARS'!$D$62*(8*12.73)+'LINEST VARS'!$C$62*($CO$80*$BX82)+'LINEST VARS'!$B$62*($CO$80*12.73)+'LINEST VARS'!$A$62*($BX82*12.73)</f>
        <v>145.19500000000014</v>
      </c>
      <c r="CP82" s="55">
        <f>'LINEST VARS'!$U$62+'LINEST VARS'!$T$62*(8)+'LINEST VARS'!$S$62*(8)+'LINEST VARS'!$R$62*($CP$80)+'LINEST VARS'!$Q$62*($BX82)+'LINEST VARS'!$P$62*(12.73)+'LINEST VARS'!$O$62*(8^2)+'LINEST VARS'!$N$62*(8^2)+'LINEST VARS'!$M$62*($CP$80^2)+'LINEST VARS'!$L$62*($BX82^2)+'LINEST VARS'!$K$62*(12.73^2)+'LINEST VARS'!$J$62*(8*8)+'LINEST VARS'!$I$62*(8*$CP$80)+'LINEST VARS'!$H$62*(8*$BX82)+'LINEST VARS'!$G$62*(8*12.73)+'LINEST VARS'!$F$62*(8*$CP$80)+'LINEST VARS'!$E$62*(8*$BX82)+'LINEST VARS'!$D$62*(8*12.73)+'LINEST VARS'!$C$62*($CP$80*$BX82)+'LINEST VARS'!$B$62*($CP$80*12.73)+'LINEST VARS'!$A$62*($BX82*12.73)</f>
        <v>118.79500000000012</v>
      </c>
      <c r="CQ82" s="55">
        <f>'LINEST VARS'!$U$62+'LINEST VARS'!$T$62*(8)+'LINEST VARS'!$S$62*(8)+'LINEST VARS'!$R$62*($CQ$80)+'LINEST VARS'!$Q$62*($BX82)+'LINEST VARS'!$P$62*(12.73)+'LINEST VARS'!$O$62*(8^2)+'LINEST VARS'!$N$62*(8^2)+'LINEST VARS'!$M$62*($CQ$80^2)+'LINEST VARS'!$L$62*($BX82^2)+'LINEST VARS'!$K$62*(12.73^2)+'LINEST VARS'!$J$62*(8*8)+'LINEST VARS'!$I$62*(8*$CQ$80)+'LINEST VARS'!$H$62*(8*$BX82)+'LINEST VARS'!$G$62*(8*12.73)+'LINEST VARS'!$F$62*(8*$CQ$80)+'LINEST VARS'!$E$62*(8*$BX82)+'LINEST VARS'!$D$62*(8*12.73)+'LINEST VARS'!$C$62*($CQ$80*$BX82)+'LINEST VARS'!$B$62*($CQ$80*12.73)+'LINEST VARS'!$A$62*($BX82*12.73)</f>
        <v>90.795000000000115</v>
      </c>
      <c r="CR82" s="55">
        <f>'LINEST VARS'!$U$62+'LINEST VARS'!$T$62*(8)+'LINEST VARS'!$S$62*(8)+'LINEST VARS'!$R$62*($CR$80)+'LINEST VARS'!$Q$62*($BX82)+'LINEST VARS'!$P$62*(12.73)+'LINEST VARS'!$O$62*(8^2)+'LINEST VARS'!$N$62*(8^2)+'LINEST VARS'!$M$62*($CR$80^2)+'LINEST VARS'!$L$62*($BX82^2)+'LINEST VARS'!$K$62*(12.73^2)+'LINEST VARS'!$J$62*(8*8)+'LINEST VARS'!$I$62*(8*$CR$80)+'LINEST VARS'!$H$62*(8*$BX82)+'LINEST VARS'!$G$62*(8*12.73)+'LINEST VARS'!$F$62*(8*$CR$80)+'LINEST VARS'!$E$62*(8*$BX82)+'LINEST VARS'!$D$62*(8*12.73)+'LINEST VARS'!$C$62*($CR$80*$BX82)+'LINEST VARS'!$B$62*($CR$80*12.73)+'LINEST VARS'!$A$62*($BX82*12.73)</f>
        <v>61.195000000000157</v>
      </c>
      <c r="CS82" s="56">
        <f>'LINEST VARS'!$U$62+'LINEST VARS'!$T$62*(8)+'LINEST VARS'!$S$62*(8)+'LINEST VARS'!$R$62*($CS$80)+'LINEST VARS'!$Q$62*($BX82)+'LINEST VARS'!$P$62*(12.73)+'LINEST VARS'!$O$62*(8^2)+'LINEST VARS'!$N$62*(8^2)+'LINEST VARS'!$M$62*($CS$80^2)+'LINEST VARS'!$L$62*($BX82^2)+'LINEST VARS'!$K$62*(12.73^2)+'LINEST VARS'!$J$62*(8*8)+'LINEST VARS'!$I$62*(8*$CS$80)+'LINEST VARS'!$H$62*(8*$BX82)+'LINEST VARS'!$G$62*(8*12.73)+'LINEST VARS'!$F$62*(8*$CS$80)+'LINEST VARS'!$E$62*(8*$BX82)+'LINEST VARS'!$D$62*(8*12.73)+'LINEST VARS'!$C$62*($CS$80*$BX82)+'LINEST VARS'!$B$62*($CS$80*12.73)+'LINEST VARS'!$A$62*($BX82*12.73)</f>
        <v>29.995000000000196</v>
      </c>
      <c r="CX82" s="45">
        <v>1.2995000000000001</v>
      </c>
      <c r="CY82" s="46">
        <f>'LINEST VARS'!$U$60+'LINEST VARS'!$T$60*(8)+'LINEST VARS'!$S$60*(8)+'LINEST VARS'!$R$60*($CY$80)+'LINEST VARS'!$Q$60*(0.5)+'LINEST VARS'!$P$60*($CX82)+'LINEST VARS'!$O$60*(8^2)+'LINEST VARS'!$N$60*(8^2)+'LINEST VARS'!$M$60*($CY$80^2)+'LINEST VARS'!$L$60*(0.5^2)+'LINEST VARS'!$K$60*($CX82^2)+'LINEST VARS'!$J$60*(8*8)+'LINEST VARS'!$I$60*(8*$CY$80)+'LINEST VARS'!$H$60*(8*0.5)+'LINEST VARS'!$G$60*(8*$CX82)+'LINEST VARS'!$F$60*(8*$CY$80)+'LINEST VARS'!$E$60*(8*0.5)+'LINEST VARS'!$D$60*(8*$CX82)+'LINEST VARS'!$C$60*($CY$80*0.5)+'LINEST VARS'!$B$60*($CY$80*$CX82)+'LINEST VARS'!$A$60*(0.5*$CX82)</f>
        <v>17.599000000000014</v>
      </c>
      <c r="CZ82" s="46">
        <f>'LINEST VARS'!$U$60+'LINEST VARS'!$T$60*(8)+'LINEST VARS'!$S$60*(8)+'LINEST VARS'!$R$60*($CZ$80)+'LINEST VARS'!$Q$60*(0.5)+'LINEST VARS'!$P$60*($CX82)+'LINEST VARS'!$O$60*(8^2)+'LINEST VARS'!$N$60*(8^2)+'LINEST VARS'!$M$60*($CZ$80^2)+'LINEST VARS'!$L$60*(0.5^2)+'LINEST VARS'!$K$60*($CX82^2)+'LINEST VARS'!$J$60*(8*8)+'LINEST VARS'!$I$60*(8*$CZ$80)+'LINEST VARS'!$H$60*(8*0.5)+'LINEST VARS'!$G$60*(8*$CX82)+'LINEST VARS'!$F$60*(8*$CZ$80)+'LINEST VARS'!$E$60*(8*0.5)+'LINEST VARS'!$D$60*(8*$CX82)+'LINEST VARS'!$C$60*($CZ$80*0.5)+'LINEST VARS'!$B$60*($CZ$80*$CX82)+'LINEST VARS'!$A$60*(0.5*$CX82)</f>
        <v>17.599000000000018</v>
      </c>
      <c r="DA82" s="46">
        <f>'LINEST VARS'!$U$60+'LINEST VARS'!$T$60*(8)+'LINEST VARS'!$S$60*(8)+'LINEST VARS'!$R$60*($DA$80)+'LINEST VARS'!$Q$60*(0.5)+'LINEST VARS'!$P$60*($CX82)+'LINEST VARS'!$O$60*(8^2)+'LINEST VARS'!$N$60*(8^2)+'LINEST VARS'!$M$60*($DA$80^2)+'LINEST VARS'!$L$60*(0.5^2)+'LINEST VARS'!$K$60*($CX82^2)+'LINEST VARS'!$J$60*(8*8)+'LINEST VARS'!$I$60*(8*$DA$80)+'LINEST VARS'!$H$60*(8*0.5)+'LINEST VARS'!$G$60*(8*$CX82)+'LINEST VARS'!$F$60*(8*$DA$80)+'LINEST VARS'!$E$60*(8*0.5)+'LINEST VARS'!$D$60*(8*$CX82)+'LINEST VARS'!$C$60*($DA$80*0.5)+'LINEST VARS'!$B$60*($DA$80*$CX82)+'LINEST VARS'!$A$60*(0.5*$CX82)</f>
        <v>17.599000000000018</v>
      </c>
      <c r="DB82" s="46">
        <f>'LINEST VARS'!$U$60+'LINEST VARS'!$T$60*(8)+'LINEST VARS'!$S$60*(8)+'LINEST VARS'!$R$60*($DB$80)+'LINEST VARS'!$Q$60*(0.5)+'LINEST VARS'!$P$60*($CX82)+'LINEST VARS'!$O$60*(8^2)+'LINEST VARS'!$N$60*(8^2)+'LINEST VARS'!$M$60*($DB$80^2)+'LINEST VARS'!$L$60*(0.5^2)+'LINEST VARS'!$K$60*($CX82^2)+'LINEST VARS'!$J$60*(8*8)+'LINEST VARS'!$I$60*(8*$DB$80)+'LINEST VARS'!$H$60*(8*0.5)+'LINEST VARS'!$G$60*(8*$CX82)+'LINEST VARS'!$F$60*(8*$DB$80)+'LINEST VARS'!$E$60*(8*0.5)+'LINEST VARS'!$D$60*(8*$CX82)+'LINEST VARS'!$C$60*($DB$80*0.5)+'LINEST VARS'!$B$60*($DB$80*$CX82)+'LINEST VARS'!$A$60*(0.5*$CX82)</f>
        <v>17.599000000000014</v>
      </c>
      <c r="DC82" s="46">
        <f>'LINEST VARS'!$U$60+'LINEST VARS'!$T$60*(8)+'LINEST VARS'!$S$60*(8)+'LINEST VARS'!$R$60*($DC$80)+'LINEST VARS'!$Q$60*(0.5)+'LINEST VARS'!$P$60*($CX82)+'LINEST VARS'!$O$60*(8^2)+'LINEST VARS'!$N$60*(8^2)+'LINEST VARS'!$M$60*($DC$80^2)+'LINEST VARS'!$L$60*(0.5^2)+'LINEST VARS'!$K$60*($CX82^2)+'LINEST VARS'!$J$60*(8*8)+'LINEST VARS'!$I$60*(8*$DC$80)+'LINEST VARS'!$H$60*(8*0.5)+'LINEST VARS'!$G$60*(8*$CX82)+'LINEST VARS'!$F$60*(8*$DC$80)+'LINEST VARS'!$E$60*(8*0.5)+'LINEST VARS'!$D$60*(8*$CX82)+'LINEST VARS'!$C$60*($DC$80*0.5)+'LINEST VARS'!$B$60*($DC$80*$CX82)+'LINEST VARS'!$A$60*(0.5*$CX82)</f>
        <v>17.599000000000014</v>
      </c>
      <c r="DD82" s="46">
        <f>'LINEST VARS'!$U$60+'LINEST VARS'!$T$60*(8)+'LINEST VARS'!$S$60*(8)+'LINEST VARS'!$R$60*($DD$80)+'LINEST VARS'!$Q$60*(0.5)+'LINEST VARS'!$P$60*($CX82)+'LINEST VARS'!$O$60*(8^2)+'LINEST VARS'!$N$60*(8^2)+'LINEST VARS'!$M$60*($DD$80^2)+'LINEST VARS'!$L$60*(0.5^2)+'LINEST VARS'!$K$60*($CX82^2)+'LINEST VARS'!$J$60*(8*8)+'LINEST VARS'!$I$60*(8*$DD$80)+'LINEST VARS'!$H$60*(8*0.5)+'LINEST VARS'!$G$60*(8*$CX82)+'LINEST VARS'!$F$60*(8*$DD$80)+'LINEST VARS'!$E$60*(8*0.5)+'LINEST VARS'!$D$60*(8*$CX82)+'LINEST VARS'!$C$60*($DD$80*0.5)+'LINEST VARS'!$B$60*($DD$80*$CX82)+'LINEST VARS'!$A$60*(0.5*$CX82)</f>
        <v>17.599000000000022</v>
      </c>
      <c r="DE82" s="46">
        <f>'LINEST VARS'!$U$60+'LINEST VARS'!$T$60*(8)+'LINEST VARS'!$S$60*(8)+'LINEST VARS'!$R$60*($DE$80)+'LINEST VARS'!$Q$60*(0.5)+'LINEST VARS'!$P$60*($CX82)+'LINEST VARS'!$O$60*(8^2)+'LINEST VARS'!$N$60*(8^2)+'LINEST VARS'!$M$60*($DE$80^2)+'LINEST VARS'!$L$60*(0.5^2)+'LINEST VARS'!$K$60*($CX82^2)+'LINEST VARS'!$J$60*(8*8)+'LINEST VARS'!$I$60*(8*$DE$80)+'LINEST VARS'!$H$60*(8*0.5)+'LINEST VARS'!$G$60*(8*$CX82)+'LINEST VARS'!$F$60*(8*$DE$80)+'LINEST VARS'!$E$60*(8*0.5)+'LINEST VARS'!$D$60*(8*$CX82)+'LINEST VARS'!$C$60*($DE$80*0.5)+'LINEST VARS'!$B$60*($DE$80*$CX82)+'LINEST VARS'!$A$60*(0.5*$CX82)</f>
        <v>17.599000000000018</v>
      </c>
      <c r="DF82" s="46">
        <f>'LINEST VARS'!$U$60+'LINEST VARS'!$T$60*(8)+'LINEST VARS'!$S$60*(8)+'LINEST VARS'!$R$60*($DF$80)+'LINEST VARS'!$Q$60*(0.5)+'LINEST VARS'!$P$60*($CX82)+'LINEST VARS'!$O$60*(8^2)+'LINEST VARS'!$N$60*(8^2)+'LINEST VARS'!$M$60*($DF$80^2)+'LINEST VARS'!$L$60*(0.5^2)+'LINEST VARS'!$K$60*($CX82^2)+'LINEST VARS'!$J$60*(8*8)+'LINEST VARS'!$I$60*(8*$DF$80)+'LINEST VARS'!$H$60*(8*0.5)+'LINEST VARS'!$G$60*(8*$CX82)+'LINEST VARS'!$F$60*(8*$DF$80)+'LINEST VARS'!$E$60*(8*0.5)+'LINEST VARS'!$D$60*(8*$CX82)+'LINEST VARS'!$C$60*($DF$80*0.5)+'LINEST VARS'!$B$60*($DF$80*$CX82)+'LINEST VARS'!$A$60*(0.5*$CX82)</f>
        <v>17.599000000000014</v>
      </c>
      <c r="DG82" s="46">
        <f>'LINEST VARS'!$U$60+'LINEST VARS'!$T$60*(8)+'LINEST VARS'!$S$60*(8)+'LINEST VARS'!$R$60*($DG$80)+'LINEST VARS'!$Q$60*(0.5)+'LINEST VARS'!$P$60*($CX82)+'LINEST VARS'!$O$60*(8^2)+'LINEST VARS'!$N$60*(8^2)+'LINEST VARS'!$M$60*($DG$80^2)+'LINEST VARS'!$L$60*(0.5^2)+'LINEST VARS'!$K$60*($CX82^2)+'LINEST VARS'!$J$60*(8*8)+'LINEST VARS'!$I$60*(8*$DG$80)+'LINEST VARS'!$H$60*(8*0.5)+'LINEST VARS'!$G$60*(8*$CX82)+'LINEST VARS'!$F$60*(8*$DG$80)+'LINEST VARS'!$E$60*(8*0.5)+'LINEST VARS'!$D$60*(8*$CX82)+'LINEST VARS'!$C$60*($DG$80*0.5)+'LINEST VARS'!$B$60*($DG$80*$CX82)+'LINEST VARS'!$A$60*(0.5*$CX82)</f>
        <v>17.599000000000018</v>
      </c>
      <c r="DH82" s="46">
        <f>'LINEST VARS'!$U$60+'LINEST VARS'!$T$60*(8)+'LINEST VARS'!$S$60*(8)+'LINEST VARS'!$R$60*($DH$80)+'LINEST VARS'!$Q$60*(0.5)+'LINEST VARS'!$P$60*($CX82)+'LINEST VARS'!$O$60*(8^2)+'LINEST VARS'!$N$60*(8^2)+'LINEST VARS'!$M$60*($DH$80^2)+'LINEST VARS'!$L$60*(0.5^2)+'LINEST VARS'!$K$60*($CX82^2)+'LINEST VARS'!$J$60*(8*8)+'LINEST VARS'!$I$60*(8*$DH$80)+'LINEST VARS'!$H$60*(8*0.5)+'LINEST VARS'!$G$60*(8*$CX82)+'LINEST VARS'!$F$60*(8*$DH$80)+'LINEST VARS'!$E$60*(8*0.5)+'LINEST VARS'!$D$60*(8*$CX82)+'LINEST VARS'!$C$60*($DH$80*0.5)+'LINEST VARS'!$B$60*($DH$80*$CX82)+'LINEST VARS'!$A$60*(0.5*$CX82)</f>
        <v>17.599000000000018</v>
      </c>
      <c r="DI82" s="46">
        <f>'LINEST VARS'!$U$60+'LINEST VARS'!$T$60*(8)+'LINEST VARS'!$S$60*(8)+'LINEST VARS'!$R$60*($DI$80)+'LINEST VARS'!$Q$60*(0.5)+'LINEST VARS'!$P$60*($CX82)+'LINEST VARS'!$O$60*(8^2)+'LINEST VARS'!$N$60*(8^2)+'LINEST VARS'!$M$60*($DI$80^2)+'LINEST VARS'!$L$60*(0.5^2)+'LINEST VARS'!$K$60*($CX82^2)+'LINEST VARS'!$J$60*(8*8)+'LINEST VARS'!$I$60*(8*$DI$80)+'LINEST VARS'!$H$60*(8*0.5)+'LINEST VARS'!$G$60*(8*$CX82)+'LINEST VARS'!$F$60*(8*$DI$80)+'LINEST VARS'!$E$60*(8*0.5)+'LINEST VARS'!$D$60*(8*$CX82)+'LINEST VARS'!$C$60*($DI$80*0.5)+'LINEST VARS'!$B$60*($DI$80*$CX82)+'LINEST VARS'!$A$60*(0.5*$CX82)</f>
        <v>17.599000000000018</v>
      </c>
      <c r="DJ82" s="46">
        <f>'LINEST VARS'!$U$60+'LINEST VARS'!$T$60*(8)+'LINEST VARS'!$S$60*(8)+'LINEST VARS'!$R$60*($DJ$80)+'LINEST VARS'!$Q$60*(0.5)+'LINEST VARS'!$P$60*($CX82)+'LINEST VARS'!$O$60*(8^2)+'LINEST VARS'!$N$60*(8^2)+'LINEST VARS'!$M$60*($DJ$80^2)+'LINEST VARS'!$L$60*(0.5^2)+'LINEST VARS'!$K$60*($CX82^2)+'LINEST VARS'!$J$60*(8*8)+'LINEST VARS'!$I$60*(8*$DJ$80)+'LINEST VARS'!$H$60*(8*0.5)+'LINEST VARS'!$G$60*(8*$CX82)+'LINEST VARS'!$F$60*(8*$DJ$80)+'LINEST VARS'!$E$60*(8*0.5)+'LINEST VARS'!$D$60*(8*$CX82)+'LINEST VARS'!$C$60*($DJ$80*0.5)+'LINEST VARS'!$B$60*($DJ$80*$CX82)+'LINEST VARS'!$A$60*(0.5*$CX82)</f>
        <v>17.599000000000014</v>
      </c>
      <c r="DK82" s="46">
        <f>'LINEST VARS'!$U$60+'LINEST VARS'!$T$60*(8)+'LINEST VARS'!$S$60*(8)+'LINEST VARS'!$R$60*($DK$80)+'LINEST VARS'!$Q$60*(0.5)+'LINEST VARS'!$P$60*($CX82)+'LINEST VARS'!$O$60*(8^2)+'LINEST VARS'!$N$60*(8^2)+'LINEST VARS'!$M$60*($DK$80^2)+'LINEST VARS'!$L$60*(0.5^2)+'LINEST VARS'!$K$60*($CX82^2)+'LINEST VARS'!$J$60*(8*8)+'LINEST VARS'!$I$60*(8*$DK$80)+'LINEST VARS'!$H$60*(8*0.5)+'LINEST VARS'!$G$60*(8*$CX82)+'LINEST VARS'!$F$60*(8*$DK$80)+'LINEST VARS'!$E$60*(8*0.5)+'LINEST VARS'!$D$60*(8*$CX82)+'LINEST VARS'!$C$60*($DK$80*0.5)+'LINEST VARS'!$B$60*($DK$80*$CX82)+'LINEST VARS'!$A$60*(0.5*$CX82)</f>
        <v>17.599000000000018</v>
      </c>
      <c r="DL82" s="46">
        <f>'LINEST VARS'!$U$60+'LINEST VARS'!$T$60*(8)+'LINEST VARS'!$S$60*(8)+'LINEST VARS'!$R$60*($DL$80)+'LINEST VARS'!$Q$60*(0.5)+'LINEST VARS'!$P$60*($CX82)+'LINEST VARS'!$O$60*(8^2)+'LINEST VARS'!$N$60*(8^2)+'LINEST VARS'!$M$60*($DL$80^2)+'LINEST VARS'!$L$60*(0.5^2)+'LINEST VARS'!$K$60*($CX82^2)+'LINEST VARS'!$J$60*(8*8)+'LINEST VARS'!$I$60*(8*$DL$80)+'LINEST VARS'!$H$60*(8*0.5)+'LINEST VARS'!$G$60*(8*$CX82)+'LINEST VARS'!$F$60*(8*$DL$80)+'LINEST VARS'!$E$60*(8*0.5)+'LINEST VARS'!$D$60*(8*$CX82)+'LINEST VARS'!$C$60*($DL$80*0.5)+'LINEST VARS'!$B$60*($DL$80*$CX82)+'LINEST VARS'!$A$60*(0.5*$CX82)</f>
        <v>17.599000000000018</v>
      </c>
      <c r="DM82" s="46">
        <f>'LINEST VARS'!$U$60+'LINEST VARS'!$T$60*(8)+'LINEST VARS'!$S$60*(8)+'LINEST VARS'!$R$60*($DM$80)+'LINEST VARS'!$Q$60*(0.5)+'LINEST VARS'!$P$60*($CX82)+'LINEST VARS'!$O$60*(8^2)+'LINEST VARS'!$N$60*(8^2)+'LINEST VARS'!$M$60*($DM$80^2)+'LINEST VARS'!$L$60*(0.5^2)+'LINEST VARS'!$K$60*($CX82^2)+'LINEST VARS'!$J$60*(8*8)+'LINEST VARS'!$I$60*(8*$DM$80)+'LINEST VARS'!$H$60*(8*0.5)+'LINEST VARS'!$G$60*(8*$CX82)+'LINEST VARS'!$F$60*(8*$DM$80)+'LINEST VARS'!$E$60*(8*0.5)+'LINEST VARS'!$D$60*(8*$CX82)+'LINEST VARS'!$C$60*($DM$80*0.5)+'LINEST VARS'!$B$60*($DM$80*$CX82)+'LINEST VARS'!$A$60*(0.5*$CX82)</f>
        <v>17.599000000000018</v>
      </c>
      <c r="DN82" s="46">
        <f>'LINEST VARS'!$U$60+'LINEST VARS'!$T$60*(8)+'LINEST VARS'!$S$60*(8)+'LINEST VARS'!$R$60*($DN$80)+'LINEST VARS'!$Q$60*(0.5)+'LINEST VARS'!$P$60*($CX82)+'LINEST VARS'!$O$60*(8^2)+'LINEST VARS'!$N$60*(8^2)+'LINEST VARS'!$M$60*($DN$80^2)+'LINEST VARS'!$L$60*(0.5^2)+'LINEST VARS'!$K$60*($CX82^2)+'LINEST VARS'!$J$60*(8*8)+'LINEST VARS'!$I$60*(8*$DN$80)+'LINEST VARS'!$H$60*(8*0.5)+'LINEST VARS'!$G$60*(8*$CX82)+'LINEST VARS'!$F$60*(8*$DN$80)+'LINEST VARS'!$E$60*(8*0.5)+'LINEST VARS'!$D$60*(8*$CX82)+'LINEST VARS'!$C$60*($DN$80*0.5)+'LINEST VARS'!$B$60*($DN$80*$CX82)+'LINEST VARS'!$A$60*(0.5*$CX82)</f>
        <v>17.599000000000022</v>
      </c>
      <c r="DO82" s="46">
        <f>'LINEST VARS'!$U$60+'LINEST VARS'!$T$60*(8)+'LINEST VARS'!$S$60*(8)+'LINEST VARS'!$R$60*($DO$80)+'LINEST VARS'!$Q$60*(0.5)+'LINEST VARS'!$P$60*($CX82)+'LINEST VARS'!$O$60*(8^2)+'LINEST VARS'!$N$60*(8^2)+'LINEST VARS'!$M$60*($DO$80^2)+'LINEST VARS'!$L$60*(0.5^2)+'LINEST VARS'!$K$60*($CX82^2)+'LINEST VARS'!$J$60*(8*8)+'LINEST VARS'!$I$60*(8*$DO$80)+'LINEST VARS'!$H$60*(8*0.5)+'LINEST VARS'!$G$60*(8*$CX82)+'LINEST VARS'!$F$60*(8*$DO$80)+'LINEST VARS'!$E$60*(8*0.5)+'LINEST VARS'!$D$60*(8*$CX82)+'LINEST VARS'!$C$60*($DO$80*0.5)+'LINEST VARS'!$B$60*($DO$80*$CX82)+'LINEST VARS'!$A$60*(0.5*$CX82)</f>
        <v>17.599000000000022</v>
      </c>
      <c r="DP82" s="46">
        <f>'LINEST VARS'!$U$60+'LINEST VARS'!$T$60*(8)+'LINEST VARS'!$S$60*(8)+'LINEST VARS'!$R$60*($DP$80)+'LINEST VARS'!$Q$60*(0.5)+'LINEST VARS'!$P$60*($CX82)+'LINEST VARS'!$O$60*(8^2)+'LINEST VARS'!$N$60*(8^2)+'LINEST VARS'!$M$60*($DP$80^2)+'LINEST VARS'!$L$60*(0.5^2)+'LINEST VARS'!$K$60*($CX82^2)+'LINEST VARS'!$J$60*(8*8)+'LINEST VARS'!$I$60*(8*$DP$80)+'LINEST VARS'!$H$60*(8*0.5)+'LINEST VARS'!$G$60*(8*$CX82)+'LINEST VARS'!$F$60*(8*$DP$80)+'LINEST VARS'!$E$60*(8*0.5)+'LINEST VARS'!$D$60*(8*$CX82)+'LINEST VARS'!$C$60*($DP$80*0.5)+'LINEST VARS'!$B$60*($DP$80*$CX82)+'LINEST VARS'!$A$60*(0.5*$CX82)</f>
        <v>17.599000000000018</v>
      </c>
      <c r="DQ82" s="46">
        <f>'LINEST VARS'!$U$60+'LINEST VARS'!$T$60*(8)+'LINEST VARS'!$S$60*(8)+'LINEST VARS'!$R$60*($DQ$80)+'LINEST VARS'!$Q$60*(0.5)+'LINEST VARS'!$P$60*($CX82)+'LINEST VARS'!$O$60*(8^2)+'LINEST VARS'!$N$60*(8^2)+'LINEST VARS'!$M$60*($DQ$80^2)+'LINEST VARS'!$L$60*(0.5^2)+'LINEST VARS'!$K$60*($CX82^2)+'LINEST VARS'!$J$60*(8*8)+'LINEST VARS'!$I$60*(8*$DQ$80)+'LINEST VARS'!$H$60*(8*0.5)+'LINEST VARS'!$G$60*(8*$CX82)+'LINEST VARS'!$F$60*(8*$DQ$80)+'LINEST VARS'!$E$60*(8*0.5)+'LINEST VARS'!$D$60*(8*$CX82)+'LINEST VARS'!$C$60*($DQ$80*0.5)+'LINEST VARS'!$B$60*($DQ$80*$CX82)+'LINEST VARS'!$A$60*(0.5*$CX82)</f>
        <v>17.599000000000014</v>
      </c>
      <c r="DR82" s="46">
        <f>'LINEST VARS'!$U$60+'LINEST VARS'!$T$60*(8)+'LINEST VARS'!$S$60*(8)+'LINEST VARS'!$R$60*($DR$80)+'LINEST VARS'!$Q$60*(0.5)+'LINEST VARS'!$P$60*($CX82)+'LINEST VARS'!$O$60*(8^2)+'LINEST VARS'!$N$60*(8^2)+'LINEST VARS'!$M$60*($DR$80^2)+'LINEST VARS'!$L$60*(0.5^2)+'LINEST VARS'!$K$60*($CX82^2)+'LINEST VARS'!$J$60*(8*8)+'LINEST VARS'!$I$60*(8*$DR$80)+'LINEST VARS'!$H$60*(8*0.5)+'LINEST VARS'!$G$60*(8*$CX82)+'LINEST VARS'!$F$60*(8*$DR$80)+'LINEST VARS'!$E$60*(8*0.5)+'LINEST VARS'!$D$60*(8*$CX82)+'LINEST VARS'!$C$60*($DR$80*0.5)+'LINEST VARS'!$B$60*($DR$80*$CX82)+'LINEST VARS'!$A$60*(0.5*$CX82)</f>
        <v>17.599000000000018</v>
      </c>
      <c r="DS82" s="47">
        <f>'LINEST VARS'!$U$60+'LINEST VARS'!$T$60*(8)+'LINEST VARS'!$S$60*(8)+'LINEST VARS'!$R$60*($DS$80)+'LINEST VARS'!$Q$60*(0.5)+'LINEST VARS'!$P$60*($CX82)+'LINEST VARS'!$O$60*(8^2)+'LINEST VARS'!$N$60*(8^2)+'LINEST VARS'!$M$60*($DS$80^2)+'LINEST VARS'!$L$60*(0.5^2)+'LINEST VARS'!$K$60*($CX82^2)+'LINEST VARS'!$J$60*(8*8)+'LINEST VARS'!$I$60*(8*$DS$80)+'LINEST VARS'!$H$60*(8*0.5)+'LINEST VARS'!$G$60*(8*$CX82)+'LINEST VARS'!$F$60*(8*$DS$80)+'LINEST VARS'!$E$60*(8*0.5)+'LINEST VARS'!$D$60*(8*$CX82)+'LINEST VARS'!$C$60*($DS$80*0.5)+'LINEST VARS'!$B$60*($DS$80*$CX82)+'LINEST VARS'!$A$60*(0.5*$CX82)</f>
        <v>17.599000000000014</v>
      </c>
      <c r="DV82" s="45">
        <v>1.2995000000000001</v>
      </c>
      <c r="DW82" s="55">
        <f>'LINEST VARS'!$U$62+'LINEST VARS'!$T$62*(8)+'LINEST VARS'!$S$62*(8)+'LINEST VARS'!$R$62*($DW$80)+'LINEST VARS'!$Q$62*(0.5)+'LINEST VARS'!$P$62*($DV82)+'LINEST VARS'!$O$62*(8^2)+'LINEST VARS'!$N$62*(8^2)+'LINEST VARS'!$M$62*($DW$80^2)+'LINEST VARS'!$L$62*(0.5^2)+'LINEST VARS'!$K$62*($DV82^2)+'LINEST VARS'!$J$62*(8*8)+'LINEST VARS'!$I$62*(8*$DW$80)+'LINEST VARS'!$H$62*(8*0.5)+'LINEST VARS'!$G$62*(8*$DV82)+'LINEST VARS'!$F$62*(8*$DW$80)+'LINEST VARS'!$E$62*(8*0.5)+'LINEST VARS'!$D$62*(8*$DV82)+'LINEST VARS'!$C$62*($DW$80*0.5)+'LINEST VARS'!$B$62*($DW$80*$DV82)+'LINEST VARS'!$A$62*(0.5*$DV82)</f>
        <v>349.49999999999983</v>
      </c>
      <c r="DX82" s="55">
        <f>'LINEST VARS'!$U$62+'LINEST VARS'!$T$62*(8)+'LINEST VARS'!$S$62*(8)+'LINEST VARS'!$R$62*($DX$80)+'LINEST VARS'!$Q$62*(0.5)+'LINEST VARS'!$P$62*($DV82)+'LINEST VARS'!$O$62*(8^2)+'LINEST VARS'!$N$62*(8^2)+'LINEST VARS'!$M$62*($DX$80^2)+'LINEST VARS'!$L$62*(0.5^2)+'LINEST VARS'!$K$62*($DV82^2)+'LINEST VARS'!$J$62*(8*8)+'LINEST VARS'!$I$62*(8*$DX$80)+'LINEST VARS'!$H$62*(8*0.5)+'LINEST VARS'!$G$62*(8*$DV82)+'LINEST VARS'!$F$62*(8*$DX$80)+'LINEST VARS'!$E$62*(8*0.5)+'LINEST VARS'!$D$62*(8*$DV82)+'LINEST VARS'!$C$62*($DX$80*0.5)+'LINEST VARS'!$B$62*($DX$80*$DV82)+'LINEST VARS'!$A$62*(0.5*$DV82)</f>
        <v>348.69999999999987</v>
      </c>
      <c r="DY82" s="55">
        <f>'LINEST VARS'!$U$62+'LINEST VARS'!$T$62*(8)+'LINEST VARS'!$S$62*(8)+'LINEST VARS'!$R$62*($DY$80)+'LINEST VARS'!$Q$62*(0.5)+'LINEST VARS'!$P$62*($DV82)+'LINEST VARS'!$O$62*(8^2)+'LINEST VARS'!$N$62*(8^2)+'LINEST VARS'!$M$62*($DY$80^2)+'LINEST VARS'!$L$62*(0.5^2)+'LINEST VARS'!$K$62*($DV82^2)+'LINEST VARS'!$J$62*(8*8)+'LINEST VARS'!$I$62*(8*$DY$80)+'LINEST VARS'!$H$62*(8*0.5)+'LINEST VARS'!$G$62*(8*$DV82)+'LINEST VARS'!$F$62*(8*$DY$80)+'LINEST VARS'!$E$62*(8*0.5)+'LINEST VARS'!$D$62*(8*$DV82)+'LINEST VARS'!$C$62*($DY$80*0.5)+'LINEST VARS'!$B$62*($DY$80*$DV82)+'LINEST VARS'!$A$62*(0.5*$DV82)</f>
        <v>346.29999999999978</v>
      </c>
      <c r="DZ82" s="55">
        <f>'LINEST VARS'!$U$62+'LINEST VARS'!$T$62*(8)+'LINEST VARS'!$S$62*(8)+'LINEST VARS'!$R$62*($DZ$80)+'LINEST VARS'!$Q$62*(0.5)+'LINEST VARS'!$P$62*($DV82)+'LINEST VARS'!$O$62*(8^2)+'LINEST VARS'!$N$62*(8^2)+'LINEST VARS'!$M$62*($DZ$80^2)+'LINEST VARS'!$L$62*(0.5^2)+'LINEST VARS'!$K$62*($DV82^2)+'LINEST VARS'!$J$62*(8*8)+'LINEST VARS'!$I$62*(8*$DZ$80)+'LINEST VARS'!$H$62*(8*0.5)+'LINEST VARS'!$G$62*(8*$DV82)+'LINEST VARS'!$F$62*(8*$DZ$80)+'LINEST VARS'!$E$62*(8*0.5)+'LINEST VARS'!$D$62*(8*$DV82)+'LINEST VARS'!$C$62*($DZ$80*0.5)+'LINEST VARS'!$B$62*($DZ$80*$DV82)+'LINEST VARS'!$A$62*(0.5*$DV82)</f>
        <v>342.29999999999984</v>
      </c>
      <c r="EA82" s="55">
        <f>'LINEST VARS'!$U$62+'LINEST VARS'!$T$62*(8)+'LINEST VARS'!$S$62*(8)+'LINEST VARS'!$R$62*($EA$80)+'LINEST VARS'!$Q$62*(0.5)+'LINEST VARS'!$P$62*($DV82)+'LINEST VARS'!$O$62*(8^2)+'LINEST VARS'!$N$62*(8^2)+'LINEST VARS'!$M$62*($EA$80^2)+'LINEST VARS'!$L$62*(0.5^2)+'LINEST VARS'!$K$62*($DV82^2)+'LINEST VARS'!$J$62*(8*8)+'LINEST VARS'!$I$62*(8*$EA$80)+'LINEST VARS'!$H$62*(8*0.5)+'LINEST VARS'!$G$62*(8*$DV82)+'LINEST VARS'!$F$62*(8*$EA$80)+'LINEST VARS'!$E$62*(8*0.5)+'LINEST VARS'!$D$62*(8*$DV82)+'LINEST VARS'!$C$62*($EA$80*0.5)+'LINEST VARS'!$B$62*($EA$80*$DV82)+'LINEST VARS'!$A$62*(0.5*$DV82)</f>
        <v>336.69999999999987</v>
      </c>
      <c r="EB82" s="55">
        <f>'LINEST VARS'!$U$62+'LINEST VARS'!$T$62*(8)+'LINEST VARS'!$S$62*(8)+'LINEST VARS'!$R$62*($EB$80)+'LINEST VARS'!$Q$62*(0.5)+'LINEST VARS'!$P$62*($DV82)+'LINEST VARS'!$O$62*(8^2)+'LINEST VARS'!$N$62*(8^2)+'LINEST VARS'!$M$62*($EB$80^2)+'LINEST VARS'!$L$62*(0.5^2)+'LINEST VARS'!$K$62*($DV82^2)+'LINEST VARS'!$J$62*(8*8)+'LINEST VARS'!$I$62*(8*$EB$80)+'LINEST VARS'!$H$62*(8*0.5)+'LINEST VARS'!$G$62*(8*$DV82)+'LINEST VARS'!$F$62*(8*$EB$80)+'LINEST VARS'!$E$62*(8*0.5)+'LINEST VARS'!$D$62*(8*$DV82)+'LINEST VARS'!$C$62*($EB$80*0.5)+'LINEST VARS'!$B$62*($EB$80*$DV82)+'LINEST VARS'!$A$62*(0.5*$DV82)</f>
        <v>329.49999999999994</v>
      </c>
      <c r="EC82" s="55">
        <f>'LINEST VARS'!$U$62+'LINEST VARS'!$T$62*(8)+'LINEST VARS'!$S$62*(8)+'LINEST VARS'!$R$62*($EC$80)+'LINEST VARS'!$Q$62*(0.5)+'LINEST VARS'!$P$62*($DV82)+'LINEST VARS'!$O$62*(8^2)+'LINEST VARS'!$N$62*(8^2)+'LINEST VARS'!$M$62*($EC$80^2)+'LINEST VARS'!$L$62*(0.5^2)+'LINEST VARS'!$K$62*($DV82^2)+'LINEST VARS'!$J$62*(8*8)+'LINEST VARS'!$I$62*(8*$EC$80)+'LINEST VARS'!$H$62*(8*0.5)+'LINEST VARS'!$G$62*(8*$DV82)+'LINEST VARS'!$F$62*(8*$EC$80)+'LINEST VARS'!$E$62*(8*0.5)+'LINEST VARS'!$D$62*(8*$DV82)+'LINEST VARS'!$C$62*($EC$80*0.5)+'LINEST VARS'!$B$62*($EC$80*$DV82)+'LINEST VARS'!$A$62*(0.5*$DV82)</f>
        <v>320.69999999999987</v>
      </c>
      <c r="ED82" s="55">
        <f>'LINEST VARS'!$U$62+'LINEST VARS'!$T$62*(8)+'LINEST VARS'!$S$62*(8)+'LINEST VARS'!$R$62*($ED$80)+'LINEST VARS'!$Q$62*(0.5)+'LINEST VARS'!$P$62*($DV82)+'LINEST VARS'!$O$62*(8^2)+'LINEST VARS'!$N$62*(8^2)+'LINEST VARS'!$M$62*($ED$80^2)+'LINEST VARS'!$L$62*(0.5^2)+'LINEST VARS'!$K$62*($DV82^2)+'LINEST VARS'!$J$62*(8*8)+'LINEST VARS'!$I$62*(8*$ED$80)+'LINEST VARS'!$H$62*(8*0.5)+'LINEST VARS'!$G$62*(8*$DV82)+'LINEST VARS'!$F$62*(8*$ED$80)+'LINEST VARS'!$E$62*(8*0.5)+'LINEST VARS'!$D$62*(8*$DV82)+'LINEST VARS'!$C$62*($ED$80*0.5)+'LINEST VARS'!$B$62*($ED$80*$DV82)+'LINEST VARS'!$A$62*(0.5*$DV82)</f>
        <v>310.2999999999999</v>
      </c>
      <c r="EE82" s="55">
        <f>'LINEST VARS'!$U$62+'LINEST VARS'!$T$62*(8)+'LINEST VARS'!$S$62*(8)+'LINEST VARS'!$R$62*($EE$80)+'LINEST VARS'!$Q$62*(0.5)+'LINEST VARS'!$P$62*($DV82)+'LINEST VARS'!$O$62*(8^2)+'LINEST VARS'!$N$62*(8^2)+'LINEST VARS'!$M$62*($EE$80^2)+'LINEST VARS'!$L$62*(0.5^2)+'LINEST VARS'!$K$62*($DV82^2)+'LINEST VARS'!$J$62*(8*8)+'LINEST VARS'!$I$62*(8*$EE$80)+'LINEST VARS'!$H$62*(8*0.5)+'LINEST VARS'!$G$62*(8*$DV82)+'LINEST VARS'!$F$62*(8*$EE$80)+'LINEST VARS'!$E$62*(8*0.5)+'LINEST VARS'!$D$62*(8*$DV82)+'LINEST VARS'!$C$62*($EE$80*0.5)+'LINEST VARS'!$B$62*($EE$80*$DV82)+'LINEST VARS'!$A$62*(0.5*$DV82)</f>
        <v>298.29999999999995</v>
      </c>
      <c r="EF82" s="55">
        <f>'LINEST VARS'!$U$62+'LINEST VARS'!$T$62*(8)+'LINEST VARS'!$S$62*(8)+'LINEST VARS'!$R$62*($EF$80)+'LINEST VARS'!$Q$62*(0.5)+'LINEST VARS'!$P$62*($DV82)+'LINEST VARS'!$O$62*(8^2)+'LINEST VARS'!$N$62*(8^2)+'LINEST VARS'!$M$62*($EF$80^2)+'LINEST VARS'!$L$62*(0.5^2)+'LINEST VARS'!$K$62*($DV82^2)+'LINEST VARS'!$J$62*(8*8)+'LINEST VARS'!$I$62*(8*$EF$80)+'LINEST VARS'!$H$62*(8*0.5)+'LINEST VARS'!$G$62*(8*$DV82)+'LINEST VARS'!$F$62*(8*$EF$80)+'LINEST VARS'!$E$62*(8*0.5)+'LINEST VARS'!$D$62*(8*$DV82)+'LINEST VARS'!$C$62*($EF$80*0.5)+'LINEST VARS'!$B$62*($EF$80*$DV82)+'LINEST VARS'!$A$62*(0.5*$DV82)</f>
        <v>284.69999999999993</v>
      </c>
      <c r="EG82" s="55">
        <f>'LINEST VARS'!$U$62+'LINEST VARS'!$T$62*(8)+'LINEST VARS'!$S$62*(8)+'LINEST VARS'!$R$62*($EG$80)+'LINEST VARS'!$Q$62*(0.5)+'LINEST VARS'!$P$62*($DV82)+'LINEST VARS'!$O$62*(8^2)+'LINEST VARS'!$N$62*(8^2)+'LINEST VARS'!$M$62*($EG$80^2)+'LINEST VARS'!$L$62*(0.5^2)+'LINEST VARS'!$K$62*($DV82^2)+'LINEST VARS'!$J$62*(8*8)+'LINEST VARS'!$I$62*(8*$EG$80)+'LINEST VARS'!$H$62*(8*0.5)+'LINEST VARS'!$G$62*(8*$DV82)+'LINEST VARS'!$F$62*(8*$EG$80)+'LINEST VARS'!$E$62*(8*0.5)+'LINEST VARS'!$D$62*(8*$DV82)+'LINEST VARS'!$C$62*($EG$80*0.5)+'LINEST VARS'!$B$62*($EG$80*$DV82)+'LINEST VARS'!$A$62*(0.5*$DV82)</f>
        <v>269.49999999999994</v>
      </c>
      <c r="EH82" s="55">
        <f>'LINEST VARS'!$U$62+'LINEST VARS'!$T$62*(8)+'LINEST VARS'!$S$62*(8)+'LINEST VARS'!$R$62*($EH$80)+'LINEST VARS'!$Q$62*(0.5)+'LINEST VARS'!$P$62*($DV82)+'LINEST VARS'!$O$62*(8^2)+'LINEST VARS'!$N$62*(8^2)+'LINEST VARS'!$M$62*($EH$80^2)+'LINEST VARS'!$L$62*(0.5^2)+'LINEST VARS'!$K$62*($DV82^2)+'LINEST VARS'!$J$62*(8*8)+'LINEST VARS'!$I$62*(8*$EH$80)+'LINEST VARS'!$H$62*(8*0.5)+'LINEST VARS'!$G$62*(8*$DV82)+'LINEST VARS'!$F$62*(8*$EH$80)+'LINEST VARS'!$E$62*(8*0.5)+'LINEST VARS'!$D$62*(8*$DV82)+'LINEST VARS'!$C$62*($EH$80*0.5)+'LINEST VARS'!$B$62*($EH$80*$DV82)+'LINEST VARS'!$A$62*(0.5*$DV82)</f>
        <v>252.7</v>
      </c>
      <c r="EI82" s="55">
        <f>'LINEST VARS'!$U$62+'LINEST VARS'!$T$62*(8)+'LINEST VARS'!$S$62*(8)+'LINEST VARS'!$R$62*($EI$80)+'LINEST VARS'!$Q$62*(0.5)+'LINEST VARS'!$P$62*($DV82)+'LINEST VARS'!$O$62*(8^2)+'LINEST VARS'!$N$62*(8^2)+'LINEST VARS'!$M$62*($EI$80^2)+'LINEST VARS'!$L$62*(0.5^2)+'LINEST VARS'!$K$62*($DV82^2)+'LINEST VARS'!$J$62*(8*8)+'LINEST VARS'!$I$62*(8*$EI$80)+'LINEST VARS'!$H$62*(8*0.5)+'LINEST VARS'!$G$62*(8*$DV82)+'LINEST VARS'!$F$62*(8*$EI$80)+'LINEST VARS'!$E$62*(8*0.5)+'LINEST VARS'!$D$62*(8*$DV82)+'LINEST VARS'!$C$62*($EI$80*0.5)+'LINEST VARS'!$B$62*($EI$80*$DV82)+'LINEST VARS'!$A$62*(0.5*$DV82)</f>
        <v>234.30000000000004</v>
      </c>
      <c r="EJ82" s="55">
        <f>'LINEST VARS'!$U$62+'LINEST VARS'!$T$62*(8)+'LINEST VARS'!$S$62*(8)+'LINEST VARS'!$R$62*($EJ$80)+'LINEST VARS'!$Q$62*(0.5)+'LINEST VARS'!$P$62*($DV82)+'LINEST VARS'!$O$62*(8^2)+'LINEST VARS'!$N$62*(8^2)+'LINEST VARS'!$M$62*($EJ$80^2)+'LINEST VARS'!$L$62*(0.5^2)+'LINEST VARS'!$K$62*($DV82^2)+'LINEST VARS'!$J$62*(8*8)+'LINEST VARS'!$I$62*(8*$EJ$80)+'LINEST VARS'!$H$62*(8*0.5)+'LINEST VARS'!$G$62*(8*$DV82)+'LINEST VARS'!$F$62*(8*$EJ$80)+'LINEST VARS'!$E$62*(8*0.5)+'LINEST VARS'!$D$62*(8*$DV82)+'LINEST VARS'!$C$62*($EJ$80*0.5)+'LINEST VARS'!$B$62*($EJ$80*$DV82)+'LINEST VARS'!$A$62*(0.5*$DV82)</f>
        <v>214.29999999999998</v>
      </c>
      <c r="EK82" s="55">
        <f>'LINEST VARS'!$U$62+'LINEST VARS'!$T$62*(8)+'LINEST VARS'!$S$62*(8)+'LINEST VARS'!$R$62*($EK$80)+'LINEST VARS'!$Q$62*(0.5)+'LINEST VARS'!$P$62*($DV82)+'LINEST VARS'!$O$62*(8^2)+'LINEST VARS'!$N$62*(8^2)+'LINEST VARS'!$M$62*($EK$80^2)+'LINEST VARS'!$L$62*(0.5^2)+'LINEST VARS'!$K$62*($DV82^2)+'LINEST VARS'!$J$62*(8*8)+'LINEST VARS'!$I$62*(8*$EK$80)+'LINEST VARS'!$H$62*(8*0.5)+'LINEST VARS'!$G$62*(8*$DV82)+'LINEST VARS'!$F$62*(8*$EK$80)+'LINEST VARS'!$E$62*(8*0.5)+'LINEST VARS'!$D$62*(8*$DV82)+'LINEST VARS'!$C$62*($EK$80*0.5)+'LINEST VARS'!$B$62*($EK$80*$DV82)+'LINEST VARS'!$A$62*(0.5*$DV82)</f>
        <v>192.70000000000007</v>
      </c>
      <c r="EL82" s="55">
        <f>'LINEST VARS'!$U$62+'LINEST VARS'!$T$62*(8)+'LINEST VARS'!$S$62*(8)+'LINEST VARS'!$R$62*($EL$80)+'LINEST VARS'!$Q$62*(0.5)+'LINEST VARS'!$P$62*($DV82)+'LINEST VARS'!$O$62*(8^2)+'LINEST VARS'!$N$62*(8^2)+'LINEST VARS'!$M$62*($EL$80^2)+'LINEST VARS'!$L$62*(0.5^2)+'LINEST VARS'!$K$62*($DV82^2)+'LINEST VARS'!$J$62*(8*8)+'LINEST VARS'!$I$62*(8*$EL$80)+'LINEST VARS'!$H$62*(8*0.5)+'LINEST VARS'!$G$62*(8*$DV82)+'LINEST VARS'!$F$62*(8*$EL$80)+'LINEST VARS'!$E$62*(8*0.5)+'LINEST VARS'!$D$62*(8*$DV82)+'LINEST VARS'!$C$62*($EL$80*0.5)+'LINEST VARS'!$B$62*($EL$80*$DV82)+'LINEST VARS'!$A$62*(0.5*$DV82)</f>
        <v>169.50000000000006</v>
      </c>
      <c r="EM82" s="55">
        <f>'LINEST VARS'!$U$62+'LINEST VARS'!$T$62*(8)+'LINEST VARS'!$S$62*(8)+'LINEST VARS'!$R$62*($EM$80)+'LINEST VARS'!$Q$62*(0.5)+'LINEST VARS'!$P$62*($DV82)+'LINEST VARS'!$O$62*(8^2)+'LINEST VARS'!$N$62*(8^2)+'LINEST VARS'!$M$62*($EM$80^2)+'LINEST VARS'!$L$62*(0.5^2)+'LINEST VARS'!$K$62*($DV82^2)+'LINEST VARS'!$J$62*(8*8)+'LINEST VARS'!$I$62*(8*$EM$80)+'LINEST VARS'!$H$62*(8*0.5)+'LINEST VARS'!$G$62*(8*$DV82)+'LINEST VARS'!$F$62*(8*$EM$80)+'LINEST VARS'!$E$62*(8*0.5)+'LINEST VARS'!$D$62*(8*$DV82)+'LINEST VARS'!$C$62*($EM$80*0.5)+'LINEST VARS'!$B$62*($EM$80*$DV82)+'LINEST VARS'!$A$62*(0.5*$DV82)</f>
        <v>144.70000000000005</v>
      </c>
      <c r="EN82" s="55">
        <f>'LINEST VARS'!$U$62+'LINEST VARS'!$T$62*(8)+'LINEST VARS'!$S$62*(8)+'LINEST VARS'!$R$62*($EN$80)+'LINEST VARS'!$Q$62*(0.5)+'LINEST VARS'!$P$62*($DV82)+'LINEST VARS'!$O$62*(8^2)+'LINEST VARS'!$N$62*(8^2)+'LINEST VARS'!$M$62*($EN$80^2)+'LINEST VARS'!$L$62*(0.5^2)+'LINEST VARS'!$K$62*($DV82^2)+'LINEST VARS'!$J$62*(8*8)+'LINEST VARS'!$I$62*(8*$EN$80)+'LINEST VARS'!$H$62*(8*0.5)+'LINEST VARS'!$G$62*(8*$DV82)+'LINEST VARS'!$F$62*(8*$EN$80)+'LINEST VARS'!$E$62*(8*0.5)+'LINEST VARS'!$D$62*(8*$DV82)+'LINEST VARS'!$C$62*($EN$80*0.5)+'LINEST VARS'!$B$62*($EN$80*$DV82)+'LINEST VARS'!$A$62*(0.5*$DV82)</f>
        <v>118.3000000000001</v>
      </c>
      <c r="EO82" s="55">
        <f>'LINEST VARS'!$U$62+'LINEST VARS'!$T$62*(8)+'LINEST VARS'!$S$62*(8)+'LINEST VARS'!$R$62*($EO$80)+'LINEST VARS'!$Q$62*(0.5)+'LINEST VARS'!$P$62*($DV82)+'LINEST VARS'!$O$62*(8^2)+'LINEST VARS'!$N$62*(8^2)+'LINEST VARS'!$M$62*($EO$80^2)+'LINEST VARS'!$L$62*(0.5^2)+'LINEST VARS'!$K$62*($DV82^2)+'LINEST VARS'!$J$62*(8*8)+'LINEST VARS'!$I$62*(8*$EO$80)+'LINEST VARS'!$H$62*(8*0.5)+'LINEST VARS'!$G$62*(8*$DV82)+'LINEST VARS'!$F$62*(8*$EO$80)+'LINEST VARS'!$E$62*(8*0.5)+'LINEST VARS'!$D$62*(8*$DV82)+'LINEST VARS'!$C$62*($EO$80*0.5)+'LINEST VARS'!$B$62*($EO$80*$DV82)+'LINEST VARS'!$A$62*(0.5*$DV82)</f>
        <v>90.300000000000082</v>
      </c>
      <c r="EP82" s="55">
        <f>'LINEST VARS'!$U$62+'LINEST VARS'!$T$62*(8)+'LINEST VARS'!$S$62*(8)+'LINEST VARS'!$R$62*($EP$80)+'LINEST VARS'!$Q$62*(0.5)+'LINEST VARS'!$P$62*($DV82)+'LINEST VARS'!$O$62*(8^2)+'LINEST VARS'!$N$62*(8^2)+'LINEST VARS'!$M$62*($EP$80^2)+'LINEST VARS'!$L$62*(0.5^2)+'LINEST VARS'!$K$62*($DV82^2)+'LINEST VARS'!$J$62*(8*8)+'LINEST VARS'!$I$62*(8*$EP$80)+'LINEST VARS'!$H$62*(8*0.5)+'LINEST VARS'!$G$62*(8*$DV82)+'LINEST VARS'!$F$62*(8*$EP$80)+'LINEST VARS'!$E$62*(8*0.5)+'LINEST VARS'!$D$62*(8*$DV82)+'LINEST VARS'!$C$62*($EP$80*0.5)+'LINEST VARS'!$B$62*($EP$80*$DV82)+'LINEST VARS'!$A$62*(0.5*$DV82)</f>
        <v>60.700000000000145</v>
      </c>
      <c r="EQ82" s="56">
        <f>'LINEST VARS'!$U$62+'LINEST VARS'!$T$62*(8)+'LINEST VARS'!$S$62*(8)+'LINEST VARS'!$R$62*($EQ$80)+'LINEST VARS'!$Q$62*(0.5)+'LINEST VARS'!$P$62*($DV82)+'LINEST VARS'!$O$62*(8^2)+'LINEST VARS'!$N$62*(8^2)+'LINEST VARS'!$M$62*($EQ$80^2)+'LINEST VARS'!$L$62*(0.5^2)+'LINEST VARS'!$K$62*($DV82^2)+'LINEST VARS'!$J$62*(8*8)+'LINEST VARS'!$I$62*(8*$EQ$80)+'LINEST VARS'!$H$62*(8*0.5)+'LINEST VARS'!$G$62*(8*$DV82)+'LINEST VARS'!$F$62*(8*$EQ$80)+'LINEST VARS'!$E$62*(8*0.5)+'LINEST VARS'!$D$62*(8*$DV82)+'LINEST VARS'!$C$62*($EQ$80*0.5)+'LINEST VARS'!$B$62*($EQ$80*$DV82)+'LINEST VARS'!$A$62*(0.5*$DV82)</f>
        <v>29.500000000000188</v>
      </c>
    </row>
    <row r="83" spans="2:147" ht="15" customHeight="1" x14ac:dyDescent="0.25">
      <c r="B83" s="45">
        <v>7.52</v>
      </c>
      <c r="C83" s="46">
        <f>'LINEST VARS'!$U$60+'LINEST VARS'!$T$60*($C$80)+'LINEST VARS'!$S$60*($B83)+'LINEST VARS'!$R$60*(4)+'LINEST VARS'!$Q$60*(0.5)+'LINEST VARS'!$P$60*(12.73)+'LINEST VARS'!$O$60*($C$80^2)+'LINEST VARS'!$N$60*($B83^2)+'LINEST VARS'!$M$60*(4^2)+'LINEST VARS'!$L$60*(0.5^2)+'LINEST VARS'!$K$60*(12.73^2)+'LINEST VARS'!$J$60*($C$80*$B83)+'LINEST VARS'!$I$60*($C$80*4)+'LINEST VARS'!$H$60*($C$80*0.5)+'LINEST VARS'!$G$60*($C$80*12.73)+'LINEST VARS'!$F$60*($B83*4)+'LINEST VARS'!$E$60*($B83*0.5)+'LINEST VARS'!$D$60*($B83*12.73)+'LINEST VARS'!$C$60*(4*0.5)+'LINEST VARS'!$B$60*(4*12.73)+'LINEST VARS'!$A$60*(0.5*12.73)</f>
        <v>40.460000000000008</v>
      </c>
      <c r="D83" s="46">
        <f>'LINEST VARS'!$U$60+'LINEST VARS'!$T$60*($D$80)+'LINEST VARS'!$S$60*($B83)+'LINEST VARS'!$R$60*(4)+'LINEST VARS'!$Q$60*(0.5)+'LINEST VARS'!$P$60*(12.73)+'LINEST VARS'!$O$60*($D$80^2)+'LINEST VARS'!$N$60*($B83^2)+'LINEST VARS'!$M$60*(4^2)+'LINEST VARS'!$L$60*(0.5^2)+'LINEST VARS'!$K$60*(12.73^2)+'LINEST VARS'!$J$60*($D$80*$B83)+'LINEST VARS'!$I$60*($D$80*4)+'LINEST VARS'!$H$60*($D$80*0.5)+'LINEST VARS'!$G$60*($D$80*12.73)+'LINEST VARS'!$F$60*($B83*4)+'LINEST VARS'!$E$60*($B83*0.5)+'LINEST VARS'!$D$60*($B83*12.73)+'LINEST VARS'!$C$60*(4*0.5)+'LINEST VARS'!$B$60*(4*12.73)+'LINEST VARS'!$A$60*(0.5*12.73)</f>
        <v>40.460000000000008</v>
      </c>
      <c r="E83" s="46">
        <f>'LINEST VARS'!$U$60+'LINEST VARS'!$T$60*($E$80)+'LINEST VARS'!$S$60*($B83)+'LINEST VARS'!$R$60*(4)+'LINEST VARS'!$Q$60*(0.5)+'LINEST VARS'!$P$60*(12.73)+'LINEST VARS'!$O$60*($E$80^2)+'LINEST VARS'!$N$60*($B83^2)+'LINEST VARS'!$M$60*(4^2)+'LINEST VARS'!$L$60*(0.5^2)+'LINEST VARS'!$K$60*(12.73^2)+'LINEST VARS'!$J$60*($E$80*$B83)+'LINEST VARS'!$I$60*($E$80*4)+'LINEST VARS'!$H$60*($E$80*0.5)+'LINEST VARS'!$G$60*($E$80*12.73)+'LINEST VARS'!$F$60*($B83*4)+'LINEST VARS'!$E$60*($B83*0.5)+'LINEST VARS'!$D$60*($B83*12.73)+'LINEST VARS'!$C$60*(4*0.5)+'LINEST VARS'!$B$60*(4*12.73)+'LINEST VARS'!$A$60*(0.5*12.73)</f>
        <v>40.460000000000008</v>
      </c>
      <c r="F83" s="46">
        <f>'LINEST VARS'!$U$60+'LINEST VARS'!$T$60*($F$80)+'LINEST VARS'!$S$60*($B83)+'LINEST VARS'!$R$60*(4)+'LINEST VARS'!$Q$60*(0.5)+'LINEST VARS'!$P$60*(12.73)+'LINEST VARS'!$O$60*($F$80^2)+'LINEST VARS'!$N$60*($B83^2)+'LINEST VARS'!$M$60*(4^2)+'LINEST VARS'!$L$60*(0.5^2)+'LINEST VARS'!$K$60*(12.73^2)+'LINEST VARS'!$J$60*($F$80*$B83)+'LINEST VARS'!$I$60*($F$80*4)+'LINEST VARS'!$H$60*($F$80*0.5)+'LINEST VARS'!$G$60*($F$80*12.73)+'LINEST VARS'!$F$60*($B83*4)+'LINEST VARS'!$E$60*($B83*0.5)+'LINEST VARS'!$D$60*($B83*12.73)+'LINEST VARS'!$C$60*(4*0.5)+'LINEST VARS'!$B$60*(4*12.73)+'LINEST VARS'!$A$60*(0.5*12.73)</f>
        <v>40.460000000000008</v>
      </c>
      <c r="G83" s="46">
        <f>'LINEST VARS'!$U$60+'LINEST VARS'!$T$60*($G$80)+'LINEST VARS'!$S$60*($B83)+'LINEST VARS'!$R$60*(4)+'LINEST VARS'!$Q$60*(0.5)+'LINEST VARS'!$P$60*(12.73)+'LINEST VARS'!$O$60*($G$80^2)+'LINEST VARS'!$N$60*($B83^2)+'LINEST VARS'!$M$60*(4^2)+'LINEST VARS'!$L$60*(0.5^2)+'LINEST VARS'!$K$60*(12.73^2)+'LINEST VARS'!$J$60*($G$80*$B83)+'LINEST VARS'!$I$60*($G$80*4)+'LINEST VARS'!$H$60*($G$80*0.5)+'LINEST VARS'!$G$60*($G$80*12.73)+'LINEST VARS'!$F$60*($B83*4)+'LINEST VARS'!$E$60*($B83*0.5)+'LINEST VARS'!$D$60*($B83*12.73)+'LINEST VARS'!$C$60*(4*0.5)+'LINEST VARS'!$B$60*(4*12.73)+'LINEST VARS'!$A$60*(0.5*12.73)</f>
        <v>40.460000000000008</v>
      </c>
      <c r="H83" s="46">
        <f>'LINEST VARS'!$U$60+'LINEST VARS'!$T$60*($H$80)+'LINEST VARS'!$S$60*($B83)+'LINEST VARS'!$R$60*(4)+'LINEST VARS'!$Q$60*(0.5)+'LINEST VARS'!$P$60*(12.73)+'LINEST VARS'!$O$60*($H$80^2)+'LINEST VARS'!$N$60*($B83^2)+'LINEST VARS'!$M$60*(4^2)+'LINEST VARS'!$L$60*(0.5^2)+'LINEST VARS'!$K$60*(12.73^2)+'LINEST VARS'!$J$60*($H$80*$B83)+'LINEST VARS'!$I$60*($H$80*4)+'LINEST VARS'!$H$60*($H$80*0.5)+'LINEST VARS'!$G$60*($H$80*12.73)+'LINEST VARS'!$F$60*($B83*4)+'LINEST VARS'!$E$60*($B83*0.5)+'LINEST VARS'!$D$60*($B83*12.73)+'LINEST VARS'!$C$60*(4*0.5)+'LINEST VARS'!$B$60*(4*12.73)+'LINEST VARS'!$A$60*(0.5*12.73)</f>
        <v>40.460000000000008</v>
      </c>
      <c r="I83" s="46">
        <f>'LINEST VARS'!$U$60+'LINEST VARS'!$T$60*($I$80)+'LINEST VARS'!$S$60*($B83)+'LINEST VARS'!$R$60*(4)+'LINEST VARS'!$Q$60*(0.5)+'LINEST VARS'!$P$60*(12.73)+'LINEST VARS'!$O$60*($I$80^2)+'LINEST VARS'!$N$60*($B83^2)+'LINEST VARS'!$M$60*(4^2)+'LINEST VARS'!$L$60*(0.5^2)+'LINEST VARS'!$K$60*(12.73^2)+'LINEST VARS'!$J$60*($I$80*$B83)+'LINEST VARS'!$I$60*($I$80*4)+'LINEST VARS'!$H$60*($I$80*0.5)+'LINEST VARS'!$G$60*($I$80*12.73)+'LINEST VARS'!$F$60*($B83*4)+'LINEST VARS'!$E$60*($B83*0.5)+'LINEST VARS'!$D$60*($B83*12.73)+'LINEST VARS'!$C$60*(4*0.5)+'LINEST VARS'!$B$60*(4*12.73)+'LINEST VARS'!$A$60*(0.5*12.73)</f>
        <v>40.460000000000015</v>
      </c>
      <c r="J83" s="46">
        <f>'LINEST VARS'!$U$60+'LINEST VARS'!$T$60*($J$80)+'LINEST VARS'!$S$60*($B83)+'LINEST VARS'!$R$60*(4)+'LINEST VARS'!$Q$60*(0.5)+'LINEST VARS'!$P$60*(12.73)+'LINEST VARS'!$O$60*($J$80^2)+'LINEST VARS'!$N$60*($B83^2)+'LINEST VARS'!$M$60*(4^2)+'LINEST VARS'!$L$60*(0.5^2)+'LINEST VARS'!$K$60*(12.73^2)+'LINEST VARS'!$J$60*($J$80*$B83)+'LINEST VARS'!$I$60*($J$80*4)+'LINEST VARS'!$H$60*($J$80*0.5)+'LINEST VARS'!$G$60*($J$80*12.73)+'LINEST VARS'!$F$60*($B83*4)+'LINEST VARS'!$E$60*($B83*0.5)+'LINEST VARS'!$D$60*($B83*12.73)+'LINEST VARS'!$C$60*(4*0.5)+'LINEST VARS'!$B$60*(4*12.73)+'LINEST VARS'!$A$60*(0.5*12.73)</f>
        <v>40.460000000000015</v>
      </c>
      <c r="K83" s="46">
        <f>'LINEST VARS'!$U$60+'LINEST VARS'!$T$60*($K$80)+'LINEST VARS'!$S$60*($B83)+'LINEST VARS'!$R$60*(4)+'LINEST VARS'!$Q$60*(0.5)+'LINEST VARS'!$P$60*(12.73)+'LINEST VARS'!$O$60*($K$80^2)+'LINEST VARS'!$N$60*($B83^2)+'LINEST VARS'!$M$60*(4^2)+'LINEST VARS'!$L$60*(0.5^2)+'LINEST VARS'!$K$60*(12.73^2)+'LINEST VARS'!$J$60*($K$80*$B83)+'LINEST VARS'!$I$60*($K$80*4)+'LINEST VARS'!$H$60*($K$80*0.5)+'LINEST VARS'!$G$60*($K$80*12.73)+'LINEST VARS'!$F$60*($B83*4)+'LINEST VARS'!$E$60*($B83*0.5)+'LINEST VARS'!$D$60*($B83*12.73)+'LINEST VARS'!$C$60*(4*0.5)+'LINEST VARS'!$B$60*(4*12.73)+'LINEST VARS'!$A$60*(0.5*12.73)</f>
        <v>40.460000000000008</v>
      </c>
      <c r="L83" s="46">
        <f>'LINEST VARS'!$U$60+'LINEST VARS'!$T$60*($L$80)+'LINEST VARS'!$S$60*($B83)+'LINEST VARS'!$R$60*(4)+'LINEST VARS'!$Q$60*(0.5)+'LINEST VARS'!$P$60*(12.73)+'LINEST VARS'!$O$60*($L$80^2)+'LINEST VARS'!$N$60*($B83^2)+'LINEST VARS'!$M$60*(4^2)+'LINEST VARS'!$L$60*(0.5^2)+'LINEST VARS'!$K$60*(12.73^2)+'LINEST VARS'!$J$60*($L$80*$B83)+'LINEST VARS'!$I$60*($L$80*4)+'LINEST VARS'!$H$60*($L$80*0.5)+'LINEST VARS'!$G$60*($L$80*12.73)+'LINEST VARS'!$F$60*($B83*4)+'LINEST VARS'!$E$60*($B83*0.5)+'LINEST VARS'!$D$60*($B83*12.73)+'LINEST VARS'!$C$60*(4*0.5)+'LINEST VARS'!$B$60*(4*12.73)+'LINEST VARS'!$A$60*(0.5*12.73)</f>
        <v>40.460000000000008</v>
      </c>
      <c r="M83" s="46">
        <f>'LINEST VARS'!$U$60+'LINEST VARS'!$T$60*($M$80)+'LINEST VARS'!$S$60*($B83)+'LINEST VARS'!$R$60*(4)+'LINEST VARS'!$Q$60*(0.5)+'LINEST VARS'!$P$60*(12.73)+'LINEST VARS'!$O$60*($M$80^2)+'LINEST VARS'!$N$60*($B83^2)+'LINEST VARS'!$M$60*(4^2)+'LINEST VARS'!$L$60*(0.5^2)+'LINEST VARS'!$K$60*(12.73^2)+'LINEST VARS'!$J$60*($M$80*$B83)+'LINEST VARS'!$I$60*($M$80*4)+'LINEST VARS'!$H$60*($M$80*0.5)+'LINEST VARS'!$G$60*($M$80*12.73)+'LINEST VARS'!$F$60*($B83*4)+'LINEST VARS'!$E$60*($B83*0.5)+'LINEST VARS'!$D$60*($B83*12.73)+'LINEST VARS'!$C$60*(4*0.5)+'LINEST VARS'!$B$60*(4*12.73)+'LINEST VARS'!$A$60*(0.5*12.73)</f>
        <v>40.460000000000008</v>
      </c>
      <c r="N83" s="46">
        <f>'LINEST VARS'!$U$60+'LINEST VARS'!$T$60*($N$80)+'LINEST VARS'!$S$60*($B83)+'LINEST VARS'!$R$60*(4)+'LINEST VARS'!$Q$60*(0.5)+'LINEST VARS'!$P$60*(12.73)+'LINEST VARS'!$O$60*($N$80^2)+'LINEST VARS'!$N$60*($B83^2)+'LINEST VARS'!$M$60*(4^2)+'LINEST VARS'!$L$60*(0.5^2)+'LINEST VARS'!$K$60*(12.73^2)+'LINEST VARS'!$J$60*($N$80*$B83)+'LINEST VARS'!$I$60*($N$80*4)+'LINEST VARS'!$H$60*($N$80*0.5)+'LINEST VARS'!$G$60*($N$80*12.73)+'LINEST VARS'!$F$60*($B83*4)+'LINEST VARS'!$E$60*($B83*0.5)+'LINEST VARS'!$D$60*($B83*12.73)+'LINEST VARS'!$C$60*(4*0.5)+'LINEST VARS'!$B$60*(4*12.73)+'LINEST VARS'!$A$60*(0.5*12.73)</f>
        <v>40.460000000000008</v>
      </c>
      <c r="O83" s="46">
        <f>'LINEST VARS'!$U$60+'LINEST VARS'!$T$60*($O$80)+'LINEST VARS'!$S$60*($B83)+'LINEST VARS'!$R$60*(4)+'LINEST VARS'!$Q$60*(0.5)+'LINEST VARS'!$P$60*(12.73)+'LINEST VARS'!$O$60*($O$80^2)+'LINEST VARS'!$N$60*($B83^2)+'LINEST VARS'!$M$60*(4^2)+'LINEST VARS'!$L$60*(0.5^2)+'LINEST VARS'!$K$60*(12.73^2)+'LINEST VARS'!$J$60*($O$80*$B83)+'LINEST VARS'!$I$60*($O$80*4)+'LINEST VARS'!$H$60*($O$80*0.5)+'LINEST VARS'!$G$60*($O$80*12.73)+'LINEST VARS'!$F$60*($B83*4)+'LINEST VARS'!$E$60*($B83*0.5)+'LINEST VARS'!$D$60*($B83*12.73)+'LINEST VARS'!$C$60*(4*0.5)+'LINEST VARS'!$B$60*(4*12.73)+'LINEST VARS'!$A$60*(0.5*12.73)</f>
        <v>40.460000000000015</v>
      </c>
      <c r="P83" s="46">
        <f>'LINEST VARS'!$U$60+'LINEST VARS'!$T$60*($P$80)+'LINEST VARS'!$S$60*($B83)+'LINEST VARS'!$R$60*(4)+'LINEST VARS'!$Q$60*(0.5)+'LINEST VARS'!$P$60*(12.73)+'LINEST VARS'!$O$60*($P$80^2)+'LINEST VARS'!$N$60*($B83^2)+'LINEST VARS'!$M$60*(4^2)+'LINEST VARS'!$L$60*(0.5^2)+'LINEST VARS'!$K$60*(12.73^2)+'LINEST VARS'!$J$60*($P$80*$B83)+'LINEST VARS'!$I$60*($P$80*4)+'LINEST VARS'!$H$60*($P$80*0.5)+'LINEST VARS'!$G$60*($P$80*12.73)+'LINEST VARS'!$F$60*($B83*4)+'LINEST VARS'!$E$60*($B83*0.5)+'LINEST VARS'!$D$60*($B83*12.73)+'LINEST VARS'!$C$60*(4*0.5)+'LINEST VARS'!$B$60*(4*12.73)+'LINEST VARS'!$A$60*(0.5*12.73)</f>
        <v>40.460000000000015</v>
      </c>
      <c r="Q83" s="46">
        <f>'LINEST VARS'!$U$60+'LINEST VARS'!$T$60*($Q$80)+'LINEST VARS'!$S$60*($B83)+'LINEST VARS'!$R$60*(4)+'LINEST VARS'!$Q$60*(0.5)+'LINEST VARS'!$P$60*(12.73)+'LINEST VARS'!$O$60*($Q$80^2)+'LINEST VARS'!$N$60*($B83^2)+'LINEST VARS'!$M$60*(4^2)+'LINEST VARS'!$L$60*(0.5^2)+'LINEST VARS'!$K$60*(12.73^2)+'LINEST VARS'!$J$60*($Q$80*$B83)+'LINEST VARS'!$I$60*($Q$80*4)+'LINEST VARS'!$H$60*($Q$80*0.5)+'LINEST VARS'!$G$60*($Q$80*12.73)+'LINEST VARS'!$F$60*($B83*4)+'LINEST VARS'!$E$60*($B83*0.5)+'LINEST VARS'!$D$60*($B83*12.73)+'LINEST VARS'!$C$60*(4*0.5)+'LINEST VARS'!$B$60*(4*12.73)+'LINEST VARS'!$A$60*(0.5*12.73)</f>
        <v>40.460000000000015</v>
      </c>
      <c r="R83" s="46">
        <f>'LINEST VARS'!$U$60+'LINEST VARS'!$T$60*($R$80)+'LINEST VARS'!$S$60*($B83)+'LINEST VARS'!$R$60*(4)+'LINEST VARS'!$Q$60*(0.5)+'LINEST VARS'!$P$60*(12.73)+'LINEST VARS'!$O$60*($R$80^2)+'LINEST VARS'!$N$60*($B83^2)+'LINEST VARS'!$M$60*(4^2)+'LINEST VARS'!$L$60*(0.5^2)+'LINEST VARS'!$K$60*(12.73^2)+'LINEST VARS'!$J$60*($R$80*$B83)+'LINEST VARS'!$I$60*($R$80*4)+'LINEST VARS'!$H$60*($R$80*0.5)+'LINEST VARS'!$G$60*($R$80*12.73)+'LINEST VARS'!$F$60*($B83*4)+'LINEST VARS'!$E$60*($B83*0.5)+'LINEST VARS'!$D$60*($B83*12.73)+'LINEST VARS'!$C$60*(4*0.5)+'LINEST VARS'!$B$60*(4*12.73)+'LINEST VARS'!$A$60*(0.5*12.73)</f>
        <v>40.460000000000015</v>
      </c>
      <c r="S83" s="46">
        <f>'LINEST VARS'!$U$60+'LINEST VARS'!$T$60*($S$80)+'LINEST VARS'!$S$60*($B83)+'LINEST VARS'!$R$60*(4)+'LINEST VARS'!$Q$60*(0.5)+'LINEST VARS'!$P$60*(12.73)+'LINEST VARS'!$O$60*($S$80^2)+'LINEST VARS'!$N$60*($B83^2)+'LINEST VARS'!$M$60*(4^2)+'LINEST VARS'!$L$60*(0.5^2)+'LINEST VARS'!$K$60*(12.73^2)+'LINEST VARS'!$J$60*($S$80*$B83)+'LINEST VARS'!$I$60*($S$80*4)+'LINEST VARS'!$H$60*($S$80*0.5)+'LINEST VARS'!$G$60*($S$80*12.73)+'LINEST VARS'!$F$60*($B83*4)+'LINEST VARS'!$E$60*($B83*0.5)+'LINEST VARS'!$D$60*($B83*12.73)+'LINEST VARS'!$C$60*(4*0.5)+'LINEST VARS'!$B$60*(4*12.73)+'LINEST VARS'!$A$60*(0.5*12.73)</f>
        <v>40.460000000000015</v>
      </c>
      <c r="T83" s="46">
        <f>'LINEST VARS'!$U$60+'LINEST VARS'!$T$60*($T$80)+'LINEST VARS'!$S$60*($B83)+'LINEST VARS'!$R$60*(4)+'LINEST VARS'!$Q$60*(0.5)+'LINEST VARS'!$P$60*(12.73)+'LINEST VARS'!$O$60*($T$80^2)+'LINEST VARS'!$N$60*($B83^2)+'LINEST VARS'!$M$60*(4^2)+'LINEST VARS'!$L$60*(0.5^2)+'LINEST VARS'!$K$60*(12.73^2)+'LINEST VARS'!$J$60*($T$80*$B83)+'LINEST VARS'!$I$60*($T$80*4)+'LINEST VARS'!$H$60*($T$80*0.5)+'LINEST VARS'!$G$60*($T$80*12.73)+'LINEST VARS'!$F$60*($B83*4)+'LINEST VARS'!$E$60*($B83*0.5)+'LINEST VARS'!$D$60*($B83*12.73)+'LINEST VARS'!$C$60*(4*0.5)+'LINEST VARS'!$B$60*(4*12.73)+'LINEST VARS'!$A$60*(0.5*12.73)</f>
        <v>40.460000000000008</v>
      </c>
      <c r="U83" s="46">
        <f>'LINEST VARS'!$U$60+'LINEST VARS'!$T$60*($U$80)+'LINEST VARS'!$S$60*($B83)+'LINEST VARS'!$R$60*(4)+'LINEST VARS'!$Q$60*(0.5)+'LINEST VARS'!$P$60*(12.73)+'LINEST VARS'!$O$60*($U$80^2)+'LINEST VARS'!$N$60*($B83^2)+'LINEST VARS'!$M$60*(4^2)+'LINEST VARS'!$L$60*(0.5^2)+'LINEST VARS'!$K$60*(12.73^2)+'LINEST VARS'!$J$60*($U$80*$B83)+'LINEST VARS'!$I$60*($U$80*4)+'LINEST VARS'!$H$60*($U$80*0.5)+'LINEST VARS'!$G$60*($U$80*12.73)+'LINEST VARS'!$F$60*($B83*4)+'LINEST VARS'!$E$60*($B83*0.5)+'LINEST VARS'!$D$60*($B83*12.73)+'LINEST VARS'!$C$60*(4*0.5)+'LINEST VARS'!$B$60*(4*12.73)+'LINEST VARS'!$A$60*(0.5*12.73)</f>
        <v>40.460000000000015</v>
      </c>
      <c r="V83" s="46">
        <f>'LINEST VARS'!$U$60+'LINEST VARS'!$T$60*($V$80)+'LINEST VARS'!$S$60*($B83)+'LINEST VARS'!$R$60*(4)+'LINEST VARS'!$Q$60*(0.5)+'LINEST VARS'!$P$60*(12.73)+'LINEST VARS'!$O$60*($V$80^2)+'LINEST VARS'!$N$60*($B83^2)+'LINEST VARS'!$M$60*(4^2)+'LINEST VARS'!$L$60*(0.5^2)+'LINEST VARS'!$K$60*(12.73^2)+'LINEST VARS'!$J$60*($V$80*$B83)+'LINEST VARS'!$I$60*($V$80*4)+'LINEST VARS'!$H$60*($V$80*0.5)+'LINEST VARS'!$G$60*($V$80*12.73)+'LINEST VARS'!$F$60*($B83*4)+'LINEST VARS'!$E$60*($B83*0.5)+'LINEST VARS'!$D$60*($B83*12.73)+'LINEST VARS'!$C$60*(4*0.5)+'LINEST VARS'!$B$60*(4*12.73)+'LINEST VARS'!$A$60*(0.5*12.73)</f>
        <v>40.460000000000015</v>
      </c>
      <c r="W83" s="47">
        <f>'LINEST VARS'!$U$60+'LINEST VARS'!$T$60*($W$80)+'LINEST VARS'!$S$60*($B83)+'LINEST VARS'!$R$60*(4)+'LINEST VARS'!$Q$60*(0.5)+'LINEST VARS'!$P$60*(12.73)+'LINEST VARS'!$O$60*($W$80^2)+'LINEST VARS'!$N$60*($B83^2)+'LINEST VARS'!$M$60*(4^2)+'LINEST VARS'!$L$60*(0.5^2)+'LINEST VARS'!$K$60*(12.73^2)+'LINEST VARS'!$J$60*($W$80*$B83)+'LINEST VARS'!$I$60*($W$80*4)+'LINEST VARS'!$H$60*($W$80*0.5)+'LINEST VARS'!$G$60*($W$80*12.73)+'LINEST VARS'!$F$60*($B83*4)+'LINEST VARS'!$E$60*($B83*0.5)+'LINEST VARS'!$D$60*($B83*12.73)+'LINEST VARS'!$C$60*(4*0.5)+'LINEST VARS'!$B$60*(4*12.73)+'LINEST VARS'!$A$60*(0.5*12.73)</f>
        <v>40.460000000000015</v>
      </c>
      <c r="Z83" s="45">
        <v>7.52</v>
      </c>
      <c r="AA83" s="55">
        <f>'LINEST VARS'!$U$62+'LINEST VARS'!$T$62*($AA$80)+'LINEST VARS'!$S$62*($Z83)+'LINEST VARS'!$R$62*(4)+'LINEST VARS'!$Q$62*(0.5)+'LINEST VARS'!$P$62*(12.73)+'LINEST VARS'!$O$62*($AA$80^2)+'LINEST VARS'!$N$62*($Z83^2)+'LINEST VARS'!$M$62*(4^2)+'LINEST VARS'!$L$62*(0.5^2)+'LINEST VARS'!$K$62*(12.73^2)+'LINEST VARS'!$J$62*($AA$80*$Z83)+'LINEST VARS'!$I$62*($AA$80*4)+'LINEST VARS'!$H$62*($AA$80*0.5)+'LINEST VARS'!$G$62*($AA$80*12.73)+'LINEST VARS'!$F$62*($Z83*4)+'LINEST VARS'!$E$62*($Z83*0.5)+'LINEST VARS'!$D$62*($Z83*12.73)+'LINEST VARS'!$C$62*(4*0.5)+'LINEST VARS'!$B$62*(4*12.73)+'LINEST VARS'!$A$62*(0.5*12.73)</f>
        <v>269.50000000000006</v>
      </c>
      <c r="AB83" s="55">
        <f>'LINEST VARS'!$U$62+'LINEST VARS'!$T$62*($AB$80)+'LINEST VARS'!$S$62*($Z83)+'LINEST VARS'!$R$62*(4)+'LINEST VARS'!$Q$62*(0.5)+'LINEST VARS'!$P$62*(12.73)+'LINEST VARS'!$O$62*($AB$80^2)+'LINEST VARS'!$N$62*($Z83^2)+'LINEST VARS'!$M$62*(4^2)+'LINEST VARS'!$L$62*(0.5^2)+'LINEST VARS'!$K$62*(12.73^2)+'LINEST VARS'!$J$62*($AB$80*$Z83)+'LINEST VARS'!$I$62*($AB$80*4)+'LINEST VARS'!$H$62*($AB$80*0.5)+'LINEST VARS'!$G$62*($AB$80*12.73)+'LINEST VARS'!$F$62*($Z83*4)+'LINEST VARS'!$E$62*($Z83*0.5)+'LINEST VARS'!$D$62*($Z83*12.73)+'LINEST VARS'!$C$62*(4*0.5)+'LINEST VARS'!$B$62*(4*12.73)+'LINEST VARS'!$A$62*(0.5*12.73)</f>
        <v>269.50000000000006</v>
      </c>
      <c r="AC83" s="55">
        <f>'LINEST VARS'!$U$62+'LINEST VARS'!$T$62*($AC$80)+'LINEST VARS'!$S$62*($Z83)+'LINEST VARS'!$R$62*(4)+'LINEST VARS'!$Q$62*(0.5)+'LINEST VARS'!$P$62*(12.73)+'LINEST VARS'!$O$62*($AC$80^2)+'LINEST VARS'!$N$62*($Z83^2)+'LINEST VARS'!$M$62*(4^2)+'LINEST VARS'!$L$62*(0.5^2)+'LINEST VARS'!$K$62*(12.73^2)+'LINEST VARS'!$J$62*($AC$80*$Z83)+'LINEST VARS'!$I$62*($AC$80*4)+'LINEST VARS'!$H$62*($AC$80*0.5)+'LINEST VARS'!$G$62*($AC$80*12.73)+'LINEST VARS'!$F$62*($Z83*4)+'LINEST VARS'!$E$62*($Z83*0.5)+'LINEST VARS'!$D$62*($Z83*12.73)+'LINEST VARS'!$C$62*(4*0.5)+'LINEST VARS'!$B$62*(4*12.73)+'LINEST VARS'!$A$62*(0.5*12.73)</f>
        <v>269.5</v>
      </c>
      <c r="AD83" s="55">
        <f>'LINEST VARS'!$U$62+'LINEST VARS'!$T$62*($AD$80)+'LINEST VARS'!$S$62*($Z83)+'LINEST VARS'!$R$62*(4)+'LINEST VARS'!$Q$62*(0.5)+'LINEST VARS'!$P$62*(12.73)+'LINEST VARS'!$O$62*($AD$80^2)+'LINEST VARS'!$N$62*($Z83^2)+'LINEST VARS'!$M$62*(4^2)+'LINEST VARS'!$L$62*(0.5^2)+'LINEST VARS'!$K$62*(12.73^2)+'LINEST VARS'!$J$62*($AD$80*$Z83)+'LINEST VARS'!$I$62*($AD$80*4)+'LINEST VARS'!$H$62*($AD$80*0.5)+'LINEST VARS'!$G$62*($AD$80*12.73)+'LINEST VARS'!$F$62*($Z83*4)+'LINEST VARS'!$E$62*($Z83*0.5)+'LINEST VARS'!$D$62*($Z83*12.73)+'LINEST VARS'!$C$62*(4*0.5)+'LINEST VARS'!$B$62*(4*12.73)+'LINEST VARS'!$A$62*(0.5*12.73)</f>
        <v>269.50000000000006</v>
      </c>
      <c r="AE83" s="55">
        <f>'LINEST VARS'!$U$62+'LINEST VARS'!$T$62*($AE$80)+'LINEST VARS'!$S$62*($Z83)+'LINEST VARS'!$R$62*(4)+'LINEST VARS'!$Q$62*(0.5)+'LINEST VARS'!$P$62*(12.73)+'LINEST VARS'!$O$62*($AE$80^2)+'LINEST VARS'!$N$62*($Z83^2)+'LINEST VARS'!$M$62*(4^2)+'LINEST VARS'!$L$62*(0.5^2)+'LINEST VARS'!$K$62*(12.73^2)+'LINEST VARS'!$J$62*($AE$80*$Z83)+'LINEST VARS'!$I$62*($AE$80*4)+'LINEST VARS'!$H$62*($AE$80*0.5)+'LINEST VARS'!$G$62*($AE$80*12.73)+'LINEST VARS'!$F$62*($Z83*4)+'LINEST VARS'!$E$62*($Z83*0.5)+'LINEST VARS'!$D$62*($Z83*12.73)+'LINEST VARS'!$C$62*(4*0.5)+'LINEST VARS'!$B$62*(4*12.73)+'LINEST VARS'!$A$62*(0.5*12.73)</f>
        <v>269.50000000000006</v>
      </c>
      <c r="AF83" s="55">
        <f>'LINEST VARS'!$U$62+'LINEST VARS'!$T$62*($AF$80)+'LINEST VARS'!$S$62*($Z83)+'LINEST VARS'!$R$62*(4)+'LINEST VARS'!$Q$62*(0.5)+'LINEST VARS'!$P$62*(12.73)+'LINEST VARS'!$O$62*($AF$80^2)+'LINEST VARS'!$N$62*($Z83^2)+'LINEST VARS'!$M$62*(4^2)+'LINEST VARS'!$L$62*(0.5^2)+'LINEST VARS'!$K$62*(12.73^2)+'LINEST VARS'!$J$62*($AF$80*$Z83)+'LINEST VARS'!$I$62*($AF$80*4)+'LINEST VARS'!$H$62*($AF$80*0.5)+'LINEST VARS'!$G$62*($AF$80*12.73)+'LINEST VARS'!$F$62*($Z83*4)+'LINEST VARS'!$E$62*($Z83*0.5)+'LINEST VARS'!$D$62*($Z83*12.73)+'LINEST VARS'!$C$62*(4*0.5)+'LINEST VARS'!$B$62*(4*12.73)+'LINEST VARS'!$A$62*(0.5*12.73)</f>
        <v>269.5</v>
      </c>
      <c r="AG83" s="55">
        <f>'LINEST VARS'!$U$62+'LINEST VARS'!$T$62*($AG$80)+'LINEST VARS'!$S$62*($Z83)+'LINEST VARS'!$R$62*(4)+'LINEST VARS'!$Q$62*(0.5)+'LINEST VARS'!$P$62*(12.73)+'LINEST VARS'!$O$62*($AG$80^2)+'LINEST VARS'!$N$62*($Z83^2)+'LINEST VARS'!$M$62*(4^2)+'LINEST VARS'!$L$62*(0.5^2)+'LINEST VARS'!$K$62*(12.73^2)+'LINEST VARS'!$J$62*($AG$80*$Z83)+'LINEST VARS'!$I$62*($AG$80*4)+'LINEST VARS'!$H$62*($AG$80*0.5)+'LINEST VARS'!$G$62*($AG$80*12.73)+'LINEST VARS'!$F$62*($Z83*4)+'LINEST VARS'!$E$62*($Z83*0.5)+'LINEST VARS'!$D$62*($Z83*12.73)+'LINEST VARS'!$C$62*(4*0.5)+'LINEST VARS'!$B$62*(4*12.73)+'LINEST VARS'!$A$62*(0.5*12.73)</f>
        <v>269.50000000000006</v>
      </c>
      <c r="AH83" s="55">
        <f>'LINEST VARS'!$U$62+'LINEST VARS'!$T$62*($AH$80)+'LINEST VARS'!$S$62*($Z83)+'LINEST VARS'!$R$62*(4)+'LINEST VARS'!$Q$62*(0.5)+'LINEST VARS'!$P$62*(12.73)+'LINEST VARS'!$O$62*($AH$80^2)+'LINEST VARS'!$N$62*($Z83^2)+'LINEST VARS'!$M$62*(4^2)+'LINEST VARS'!$L$62*(0.5^2)+'LINEST VARS'!$K$62*(12.73^2)+'LINEST VARS'!$J$62*($AH$80*$Z83)+'LINEST VARS'!$I$62*($AH$80*4)+'LINEST VARS'!$H$62*($AH$80*0.5)+'LINEST VARS'!$G$62*($AH$80*12.73)+'LINEST VARS'!$F$62*($Z83*4)+'LINEST VARS'!$E$62*($Z83*0.5)+'LINEST VARS'!$D$62*($Z83*12.73)+'LINEST VARS'!$C$62*(4*0.5)+'LINEST VARS'!$B$62*(4*12.73)+'LINEST VARS'!$A$62*(0.5*12.73)</f>
        <v>269.5</v>
      </c>
      <c r="AI83" s="55">
        <f>'LINEST VARS'!$U$62+'LINEST VARS'!$T$62*($AI$80)+'LINEST VARS'!$S$62*($Z83)+'LINEST VARS'!$R$62*(4)+'LINEST VARS'!$Q$62*(0.5)+'LINEST VARS'!$P$62*(12.73)+'LINEST VARS'!$O$62*($AI$80^2)+'LINEST VARS'!$N$62*($Z83^2)+'LINEST VARS'!$M$62*(4^2)+'LINEST VARS'!$L$62*(0.5^2)+'LINEST VARS'!$K$62*(12.73^2)+'LINEST VARS'!$J$62*($AI$80*$Z83)+'LINEST VARS'!$I$62*($AI$80*4)+'LINEST VARS'!$H$62*($AI$80*0.5)+'LINEST VARS'!$G$62*($AI$80*12.73)+'LINEST VARS'!$F$62*($Z83*4)+'LINEST VARS'!$E$62*($Z83*0.5)+'LINEST VARS'!$D$62*($Z83*12.73)+'LINEST VARS'!$C$62*(4*0.5)+'LINEST VARS'!$B$62*(4*12.73)+'LINEST VARS'!$A$62*(0.5*12.73)</f>
        <v>269.5</v>
      </c>
      <c r="AJ83" s="55">
        <f>'LINEST VARS'!$U$62+'LINEST VARS'!$T$62*($AJ$80)+'LINEST VARS'!$S$62*($Z83)+'LINEST VARS'!$R$62*(4)+'LINEST VARS'!$Q$62*(0.5)+'LINEST VARS'!$P$62*(12.73)+'LINEST VARS'!$O$62*($AJ$80^2)+'LINEST VARS'!$N$62*($Z83^2)+'LINEST VARS'!$M$62*(4^2)+'LINEST VARS'!$L$62*(0.5^2)+'LINEST VARS'!$K$62*(12.73^2)+'LINEST VARS'!$J$62*($AJ$80*$Z83)+'LINEST VARS'!$I$62*($AJ$80*4)+'LINEST VARS'!$H$62*($AJ$80*0.5)+'LINEST VARS'!$G$62*($AJ$80*12.73)+'LINEST VARS'!$F$62*($Z83*4)+'LINEST VARS'!$E$62*($Z83*0.5)+'LINEST VARS'!$D$62*($Z83*12.73)+'LINEST VARS'!$C$62*(4*0.5)+'LINEST VARS'!$B$62*(4*12.73)+'LINEST VARS'!$A$62*(0.5*12.73)</f>
        <v>269.50000000000006</v>
      </c>
      <c r="AK83" s="55">
        <f>'LINEST VARS'!$U$62+'LINEST VARS'!$T$62*($AK$80)+'LINEST VARS'!$S$62*($Z83)+'LINEST VARS'!$R$62*(4)+'LINEST VARS'!$Q$62*(0.5)+'LINEST VARS'!$P$62*(12.73)+'LINEST VARS'!$O$62*($AK$80^2)+'LINEST VARS'!$N$62*($Z83^2)+'LINEST VARS'!$M$62*(4^2)+'LINEST VARS'!$L$62*(0.5^2)+'LINEST VARS'!$K$62*(12.73^2)+'LINEST VARS'!$J$62*($AK$80*$Z83)+'LINEST VARS'!$I$62*($AK$80*4)+'LINEST VARS'!$H$62*($AK$80*0.5)+'LINEST VARS'!$G$62*($AK$80*12.73)+'LINEST VARS'!$F$62*($Z83*4)+'LINEST VARS'!$E$62*($Z83*0.5)+'LINEST VARS'!$D$62*($Z83*12.73)+'LINEST VARS'!$C$62*(4*0.5)+'LINEST VARS'!$B$62*(4*12.73)+'LINEST VARS'!$A$62*(0.5*12.73)</f>
        <v>269.50000000000006</v>
      </c>
      <c r="AL83" s="55">
        <f>'LINEST VARS'!$U$62+'LINEST VARS'!$T$62*($AL$80)+'LINEST VARS'!$S$62*($Z83)+'LINEST VARS'!$R$62*(4)+'LINEST VARS'!$Q$62*(0.5)+'LINEST VARS'!$P$62*(12.73)+'LINEST VARS'!$O$62*($AL$80^2)+'LINEST VARS'!$N$62*($Z83^2)+'LINEST VARS'!$M$62*(4^2)+'LINEST VARS'!$L$62*(0.5^2)+'LINEST VARS'!$K$62*(12.73^2)+'LINEST VARS'!$J$62*($AL$80*$Z83)+'LINEST VARS'!$I$62*($AL$80*4)+'LINEST VARS'!$H$62*($AL$80*0.5)+'LINEST VARS'!$G$62*($AL$80*12.73)+'LINEST VARS'!$F$62*($Z83*4)+'LINEST VARS'!$E$62*($Z83*0.5)+'LINEST VARS'!$D$62*($Z83*12.73)+'LINEST VARS'!$C$62*(4*0.5)+'LINEST VARS'!$B$62*(4*12.73)+'LINEST VARS'!$A$62*(0.5*12.73)</f>
        <v>269.5</v>
      </c>
      <c r="AM83" s="55">
        <f>'LINEST VARS'!$U$62+'LINEST VARS'!$T$62*($AM$80)+'LINEST VARS'!$S$62*($Z83)+'LINEST VARS'!$R$62*(4)+'LINEST VARS'!$Q$62*(0.5)+'LINEST VARS'!$P$62*(12.73)+'LINEST VARS'!$O$62*($AM$80^2)+'LINEST VARS'!$N$62*($Z83^2)+'LINEST VARS'!$M$62*(4^2)+'LINEST VARS'!$L$62*(0.5^2)+'LINEST VARS'!$K$62*(12.73^2)+'LINEST VARS'!$J$62*($AM$80*$Z83)+'LINEST VARS'!$I$62*($AM$80*4)+'LINEST VARS'!$H$62*($AM$80*0.5)+'LINEST VARS'!$G$62*($AM$80*12.73)+'LINEST VARS'!$F$62*($Z83*4)+'LINEST VARS'!$E$62*($Z83*0.5)+'LINEST VARS'!$D$62*($Z83*12.73)+'LINEST VARS'!$C$62*(4*0.5)+'LINEST VARS'!$B$62*(4*12.73)+'LINEST VARS'!$A$62*(0.5*12.73)</f>
        <v>269.5</v>
      </c>
      <c r="AN83" s="55">
        <f>'LINEST VARS'!$U$62+'LINEST VARS'!$T$62*($AN$80)+'LINEST VARS'!$S$62*($Z83)+'LINEST VARS'!$R$62*(4)+'LINEST VARS'!$Q$62*(0.5)+'LINEST VARS'!$P$62*(12.73)+'LINEST VARS'!$O$62*($AN$80^2)+'LINEST VARS'!$N$62*($Z83^2)+'LINEST VARS'!$M$62*(4^2)+'LINEST VARS'!$L$62*(0.5^2)+'LINEST VARS'!$K$62*(12.73^2)+'LINEST VARS'!$J$62*($AN$80*$Z83)+'LINEST VARS'!$I$62*($AN$80*4)+'LINEST VARS'!$H$62*($AN$80*0.5)+'LINEST VARS'!$G$62*($AN$80*12.73)+'LINEST VARS'!$F$62*($Z83*4)+'LINEST VARS'!$E$62*($Z83*0.5)+'LINEST VARS'!$D$62*($Z83*12.73)+'LINEST VARS'!$C$62*(4*0.5)+'LINEST VARS'!$B$62*(4*12.73)+'LINEST VARS'!$A$62*(0.5*12.73)</f>
        <v>269.5</v>
      </c>
      <c r="AO83" s="55">
        <f>'LINEST VARS'!$U$62+'LINEST VARS'!$T$62*($AO$80)+'LINEST VARS'!$S$62*($Z83)+'LINEST VARS'!$R$62*(4)+'LINEST VARS'!$Q$62*(0.5)+'LINEST VARS'!$P$62*(12.73)+'LINEST VARS'!$O$62*($AO$80^2)+'LINEST VARS'!$N$62*($Z83^2)+'LINEST VARS'!$M$62*(4^2)+'LINEST VARS'!$L$62*(0.5^2)+'LINEST VARS'!$K$62*(12.73^2)+'LINEST VARS'!$J$62*($AO$80*$Z83)+'LINEST VARS'!$I$62*($AO$80*4)+'LINEST VARS'!$H$62*($AO$80*0.5)+'LINEST VARS'!$G$62*($AO$80*12.73)+'LINEST VARS'!$F$62*($Z83*4)+'LINEST VARS'!$E$62*($Z83*0.5)+'LINEST VARS'!$D$62*($Z83*12.73)+'LINEST VARS'!$C$62*(4*0.5)+'LINEST VARS'!$B$62*(4*12.73)+'LINEST VARS'!$A$62*(0.5*12.73)</f>
        <v>269.50000000000006</v>
      </c>
      <c r="AP83" s="55">
        <f>'LINEST VARS'!$U$62+'LINEST VARS'!$T$62*($AP$80)+'LINEST VARS'!$S$62*($Z83)+'LINEST VARS'!$R$62*(4)+'LINEST VARS'!$Q$62*(0.5)+'LINEST VARS'!$P$62*(12.73)+'LINEST VARS'!$O$62*($AP$80^2)+'LINEST VARS'!$N$62*($Z83^2)+'LINEST VARS'!$M$62*(4^2)+'LINEST VARS'!$L$62*(0.5^2)+'LINEST VARS'!$K$62*(12.73^2)+'LINEST VARS'!$J$62*($AP$80*$Z83)+'LINEST VARS'!$I$62*($AP$80*4)+'LINEST VARS'!$H$62*($AP$80*0.5)+'LINEST VARS'!$G$62*($AP$80*12.73)+'LINEST VARS'!$F$62*($Z83*4)+'LINEST VARS'!$E$62*($Z83*0.5)+'LINEST VARS'!$D$62*($Z83*12.73)+'LINEST VARS'!$C$62*(4*0.5)+'LINEST VARS'!$B$62*(4*12.73)+'LINEST VARS'!$A$62*(0.5*12.73)</f>
        <v>269.50000000000006</v>
      </c>
      <c r="AQ83" s="55">
        <f>'LINEST VARS'!$U$62+'LINEST VARS'!$T$62*($AQ$80)+'LINEST VARS'!$S$62*($Z83)+'LINEST VARS'!$R$62*(4)+'LINEST VARS'!$Q$62*(0.5)+'LINEST VARS'!$P$62*(12.73)+'LINEST VARS'!$O$62*($AQ$80^2)+'LINEST VARS'!$N$62*($Z83^2)+'LINEST VARS'!$M$62*(4^2)+'LINEST VARS'!$L$62*(0.5^2)+'LINEST VARS'!$K$62*(12.73^2)+'LINEST VARS'!$J$62*($AQ$80*$Z83)+'LINEST VARS'!$I$62*($AQ$80*4)+'LINEST VARS'!$H$62*($AQ$80*0.5)+'LINEST VARS'!$G$62*($AQ$80*12.73)+'LINEST VARS'!$F$62*($Z83*4)+'LINEST VARS'!$E$62*($Z83*0.5)+'LINEST VARS'!$D$62*($Z83*12.73)+'LINEST VARS'!$C$62*(4*0.5)+'LINEST VARS'!$B$62*(4*12.73)+'LINEST VARS'!$A$62*(0.5*12.73)</f>
        <v>269.5</v>
      </c>
      <c r="AR83" s="55">
        <f>'LINEST VARS'!$U$62+'LINEST VARS'!$T$62*($AR$80)+'LINEST VARS'!$S$62*($Z83)+'LINEST VARS'!$R$62*(4)+'LINEST VARS'!$Q$62*(0.5)+'LINEST VARS'!$P$62*(12.73)+'LINEST VARS'!$O$62*($AR$80^2)+'LINEST VARS'!$N$62*($Z83^2)+'LINEST VARS'!$M$62*(4^2)+'LINEST VARS'!$L$62*(0.5^2)+'LINEST VARS'!$K$62*(12.73^2)+'LINEST VARS'!$J$62*($AR$80*$Z83)+'LINEST VARS'!$I$62*($AR$80*4)+'LINEST VARS'!$H$62*($AR$80*0.5)+'LINEST VARS'!$G$62*($AR$80*12.73)+'LINEST VARS'!$F$62*($Z83*4)+'LINEST VARS'!$E$62*($Z83*0.5)+'LINEST VARS'!$D$62*($Z83*12.73)+'LINEST VARS'!$C$62*(4*0.5)+'LINEST VARS'!$B$62*(4*12.73)+'LINEST VARS'!$A$62*(0.5*12.73)</f>
        <v>269.50000000000006</v>
      </c>
      <c r="AS83" s="55">
        <f>'LINEST VARS'!$U$62+'LINEST VARS'!$T$62*($AS$80)+'LINEST VARS'!$S$62*($Z83)+'LINEST VARS'!$R$62*(4)+'LINEST VARS'!$Q$62*(0.5)+'LINEST VARS'!$P$62*(12.73)+'LINEST VARS'!$O$62*($AS$80^2)+'LINEST VARS'!$N$62*($Z83^2)+'LINEST VARS'!$M$62*(4^2)+'LINEST VARS'!$L$62*(0.5^2)+'LINEST VARS'!$K$62*(12.73^2)+'LINEST VARS'!$J$62*($AS$80*$Z83)+'LINEST VARS'!$I$62*($AS$80*4)+'LINEST VARS'!$H$62*($AS$80*0.5)+'LINEST VARS'!$G$62*($AS$80*12.73)+'LINEST VARS'!$F$62*($Z83*4)+'LINEST VARS'!$E$62*($Z83*0.5)+'LINEST VARS'!$D$62*($Z83*12.73)+'LINEST VARS'!$C$62*(4*0.5)+'LINEST VARS'!$B$62*(4*12.73)+'LINEST VARS'!$A$62*(0.5*12.73)</f>
        <v>269.5</v>
      </c>
      <c r="AT83" s="55">
        <f>'LINEST VARS'!$U$62+'LINEST VARS'!$T$62*($AT$80)+'LINEST VARS'!$S$62*($Z83)+'LINEST VARS'!$R$62*(4)+'LINEST VARS'!$Q$62*(0.5)+'LINEST VARS'!$P$62*(12.73)+'LINEST VARS'!$O$62*($AT$80^2)+'LINEST VARS'!$N$62*($Z83^2)+'LINEST VARS'!$M$62*(4^2)+'LINEST VARS'!$L$62*(0.5^2)+'LINEST VARS'!$K$62*(12.73^2)+'LINEST VARS'!$J$62*($AT$80*$Z83)+'LINEST VARS'!$I$62*($AT$80*4)+'LINEST VARS'!$H$62*($AT$80*0.5)+'LINEST VARS'!$G$62*($AT$80*12.73)+'LINEST VARS'!$F$62*($Z83*4)+'LINEST VARS'!$E$62*($Z83*0.5)+'LINEST VARS'!$D$62*($Z83*12.73)+'LINEST VARS'!$C$62*(4*0.5)+'LINEST VARS'!$B$62*(4*12.73)+'LINEST VARS'!$A$62*(0.5*12.73)</f>
        <v>269.5</v>
      </c>
      <c r="AU83" s="56">
        <f>'LINEST VARS'!$U$62+'LINEST VARS'!$T$62*($AU$80)+'LINEST VARS'!$S$62*($Z83)+'LINEST VARS'!$R$62*(4)+'LINEST VARS'!$Q$62*(0.5)+'LINEST VARS'!$P$62*(12.73)+'LINEST VARS'!$O$62*($AU$80^2)+'LINEST VARS'!$N$62*($Z83^2)+'LINEST VARS'!$M$62*(4^2)+'LINEST VARS'!$L$62*(0.5^2)+'LINEST VARS'!$K$62*(12.73^2)+'LINEST VARS'!$J$62*($AU$80*$Z83)+'LINEST VARS'!$I$62*($AU$80*4)+'LINEST VARS'!$H$62*($AU$80*0.5)+'LINEST VARS'!$G$62*($AU$80*12.73)+'LINEST VARS'!$F$62*($Z83*4)+'LINEST VARS'!$E$62*($Z83*0.5)+'LINEST VARS'!$D$62*($Z83*12.73)+'LINEST VARS'!$C$62*(4*0.5)+'LINEST VARS'!$B$62*(4*12.73)+'LINEST VARS'!$A$62*(0.5*12.73)</f>
        <v>269.50000000000011</v>
      </c>
      <c r="AZ83" s="45">
        <v>0.1</v>
      </c>
      <c r="BA83" s="46">
        <f>'LINEST VARS'!$U$60+'LINEST VARS'!$T$60*(8)+'LINEST VARS'!$S$60*(8)+'LINEST VARS'!$R$60*($BA$80)+'LINEST VARS'!$Q$60*($AZ83)+'LINEST VARS'!$P$60*(12.73)+'LINEST VARS'!$O$60*(8^2)+'LINEST VARS'!$N$60*(8^2)+'LINEST VARS'!$M$60*($BA$80^2)+'LINEST VARS'!$L$60*($AZ83^2)+'LINEST VARS'!$K$60*(12.73^2)+'LINEST VARS'!$J$60*(8*8)+'LINEST VARS'!$I$60*(8*$BA$80)+'LINEST VARS'!$H$60*(8*$AZ83)+'LINEST VARS'!$G$60*(8*12.73)+'LINEST VARS'!$F$60*(8*$BA$80)+'LINEST VARS'!$E$60*(8*$AZ83)+'LINEST VARS'!$D$60*(8*12.73)+'LINEST VARS'!$C$60*($BA$80*$AZ83)+'LINEST VARS'!$B$60*($BA$80*12.73)+'LINEST VARS'!$A$60*($AZ83*12.73)</f>
        <v>40.460000000000015</v>
      </c>
      <c r="BB83" s="46">
        <f>'LINEST VARS'!$U$60+'LINEST VARS'!$T$60*(8)+'LINEST VARS'!$S$60*(8)+'LINEST VARS'!$R$60*($BB$80)+'LINEST VARS'!$Q$60*($AZ83)+'LINEST VARS'!$P$60*(12.73)+'LINEST VARS'!$O$60*(8^2)+'LINEST VARS'!$N$60*(8^2)+'LINEST VARS'!$M$60*($BB$80^2)+'LINEST VARS'!$L$60*($AZ83^2)+'LINEST VARS'!$K$60*(12.73^2)+'LINEST VARS'!$J$60*(8*8)+'LINEST VARS'!$I$60*(8*$BB$80)+'LINEST VARS'!$H$60*(8*$AZ83)+'LINEST VARS'!$G$60*(8*12.73)+'LINEST VARS'!$F$60*(8*$BB$80)+'LINEST VARS'!$E$60*(8*$AZ83)+'LINEST VARS'!$D$60*(8*12.73)+'LINEST VARS'!$C$60*($BB$80*$AZ83)+'LINEST VARS'!$B$60*($BB$80*12.73)+'LINEST VARS'!$A$60*($AZ83*12.73)</f>
        <v>40.460000000000015</v>
      </c>
      <c r="BC83" s="46">
        <f>'LINEST VARS'!$U$60+'LINEST VARS'!$T$60*(8)+'LINEST VARS'!$S$60*(8)+'LINEST VARS'!$R$60*($BC$80)+'LINEST VARS'!$Q$60*($AZ83)+'LINEST VARS'!$P$60*(12.73)+'LINEST VARS'!$O$60*(8^2)+'LINEST VARS'!$N$60*(8^2)+'LINEST VARS'!$M$60*($BC$80^2)+'LINEST VARS'!$L$60*($AZ83^2)+'LINEST VARS'!$K$60*(12.73^2)+'LINEST VARS'!$J$60*(8*8)+'LINEST VARS'!$I$60*(8*$BC$80)+'LINEST VARS'!$H$60*(8*$AZ83)+'LINEST VARS'!$G$60*(8*12.73)+'LINEST VARS'!$F$60*(8*$BC$80)+'LINEST VARS'!$E$60*(8*$AZ83)+'LINEST VARS'!$D$60*(8*12.73)+'LINEST VARS'!$C$60*($BC$80*$AZ83)+'LINEST VARS'!$B$60*($BC$80*12.73)+'LINEST VARS'!$A$60*($AZ83*12.73)</f>
        <v>40.460000000000015</v>
      </c>
      <c r="BD83" s="46">
        <f>'LINEST VARS'!$U$60+'LINEST VARS'!$T$60*(8)+'LINEST VARS'!$S$60*(8)+'LINEST VARS'!$R$60*($BD$80)+'LINEST VARS'!$Q$60*($AZ83)+'LINEST VARS'!$P$60*(12.73)+'LINEST VARS'!$O$60*(8^2)+'LINEST VARS'!$N$60*(8^2)+'LINEST VARS'!$M$60*($BD$80^2)+'LINEST VARS'!$L$60*($AZ83^2)+'LINEST VARS'!$K$60*(12.73^2)+'LINEST VARS'!$J$60*(8*8)+'LINEST VARS'!$I$60*(8*$BD$80)+'LINEST VARS'!$H$60*(8*$AZ83)+'LINEST VARS'!$G$60*(8*12.73)+'LINEST VARS'!$F$60*(8*$BD$80)+'LINEST VARS'!$E$60*(8*$AZ83)+'LINEST VARS'!$D$60*(8*12.73)+'LINEST VARS'!$C$60*($BD$80*$AZ83)+'LINEST VARS'!$B$60*($BD$80*12.73)+'LINEST VARS'!$A$60*($AZ83*12.73)</f>
        <v>40.460000000000015</v>
      </c>
      <c r="BE83" s="46">
        <f>'LINEST VARS'!$U$60+'LINEST VARS'!$T$60*(8)+'LINEST VARS'!$S$60*(8)+'LINEST VARS'!$R$60*($BE$80)+'LINEST VARS'!$Q$60*($AZ83)+'LINEST VARS'!$P$60*(12.73)+'LINEST VARS'!$O$60*(8^2)+'LINEST VARS'!$N$60*(8^2)+'LINEST VARS'!$M$60*($BE$80^2)+'LINEST VARS'!$L$60*($AZ83^2)+'LINEST VARS'!$K$60*(12.73^2)+'LINEST VARS'!$J$60*(8*8)+'LINEST VARS'!$I$60*(8*$BE$80)+'LINEST VARS'!$H$60*(8*$AZ83)+'LINEST VARS'!$G$60*(8*12.73)+'LINEST VARS'!$F$60*(8*$BE$80)+'LINEST VARS'!$E$60*(8*$AZ83)+'LINEST VARS'!$D$60*(8*12.73)+'LINEST VARS'!$C$60*($BE$80*$AZ83)+'LINEST VARS'!$B$60*($BE$80*12.73)+'LINEST VARS'!$A$60*($AZ83*12.73)</f>
        <v>40.460000000000008</v>
      </c>
      <c r="BF83" s="46">
        <f>'LINEST VARS'!$U$60+'LINEST VARS'!$T$60*(8)+'LINEST VARS'!$S$60*(8)+'LINEST VARS'!$R$60*($BF$80)+'LINEST VARS'!$Q$60*($AZ83)+'LINEST VARS'!$P$60*(12.73)+'LINEST VARS'!$O$60*(8^2)+'LINEST VARS'!$N$60*(8^2)+'LINEST VARS'!$M$60*($BF$80^2)+'LINEST VARS'!$L$60*($AZ83^2)+'LINEST VARS'!$K$60*(12.73^2)+'LINEST VARS'!$J$60*(8*8)+'LINEST VARS'!$I$60*(8*$BF$80)+'LINEST VARS'!$H$60*(8*$AZ83)+'LINEST VARS'!$G$60*(8*12.73)+'LINEST VARS'!$F$60*(8*$BF$80)+'LINEST VARS'!$E$60*(8*$AZ83)+'LINEST VARS'!$D$60*(8*12.73)+'LINEST VARS'!$C$60*($BF$80*$AZ83)+'LINEST VARS'!$B$60*($BF$80*12.73)+'LINEST VARS'!$A$60*($AZ83*12.73)</f>
        <v>40.460000000000008</v>
      </c>
      <c r="BG83" s="46">
        <f>'LINEST VARS'!$U$60+'LINEST VARS'!$T$60*(8)+'LINEST VARS'!$S$60*(8)+'LINEST VARS'!$R$60*($BG$80)+'LINEST VARS'!$Q$60*($AZ83)+'LINEST VARS'!$P$60*(12.73)+'LINEST VARS'!$O$60*(8^2)+'LINEST VARS'!$N$60*(8^2)+'LINEST VARS'!$M$60*($BG$80^2)+'LINEST VARS'!$L$60*($AZ83^2)+'LINEST VARS'!$K$60*(12.73^2)+'LINEST VARS'!$J$60*(8*8)+'LINEST VARS'!$I$60*(8*$BG$80)+'LINEST VARS'!$H$60*(8*$AZ83)+'LINEST VARS'!$G$60*(8*12.73)+'LINEST VARS'!$F$60*(8*$BG$80)+'LINEST VARS'!$E$60*(8*$AZ83)+'LINEST VARS'!$D$60*(8*12.73)+'LINEST VARS'!$C$60*($BG$80*$AZ83)+'LINEST VARS'!$B$60*($BG$80*12.73)+'LINEST VARS'!$A$60*($AZ83*12.73)</f>
        <v>40.460000000000008</v>
      </c>
      <c r="BH83" s="46">
        <f>'LINEST VARS'!$U$60+'LINEST VARS'!$T$60*(8)+'LINEST VARS'!$S$60*(8)+'LINEST VARS'!$R$60*($BH$80)+'LINEST VARS'!$Q$60*($AZ83)+'LINEST VARS'!$P$60*(12.73)+'LINEST VARS'!$O$60*(8^2)+'LINEST VARS'!$N$60*(8^2)+'LINEST VARS'!$M$60*($BH$80^2)+'LINEST VARS'!$L$60*($AZ83^2)+'LINEST VARS'!$K$60*(12.73^2)+'LINEST VARS'!$J$60*(8*8)+'LINEST VARS'!$I$60*(8*$BH$80)+'LINEST VARS'!$H$60*(8*$AZ83)+'LINEST VARS'!$G$60*(8*12.73)+'LINEST VARS'!$F$60*(8*$BH$80)+'LINEST VARS'!$E$60*(8*$AZ83)+'LINEST VARS'!$D$60*(8*12.73)+'LINEST VARS'!$C$60*($BH$80*$AZ83)+'LINEST VARS'!$B$60*($BH$80*12.73)+'LINEST VARS'!$A$60*($AZ83*12.73)</f>
        <v>40.460000000000015</v>
      </c>
      <c r="BI83" s="46">
        <f>'LINEST VARS'!$U$60+'LINEST VARS'!$T$60*(8)+'LINEST VARS'!$S$60*(8)+'LINEST VARS'!$R$60*($BI$80)+'LINEST VARS'!$Q$60*($AZ83)+'LINEST VARS'!$P$60*(12.73)+'LINEST VARS'!$O$60*(8^2)+'LINEST VARS'!$N$60*(8^2)+'LINEST VARS'!$M$60*($BI$80^2)+'LINEST VARS'!$L$60*($AZ83^2)+'LINEST VARS'!$K$60*(12.73^2)+'LINEST VARS'!$J$60*(8*8)+'LINEST VARS'!$I$60*(8*$BI$80)+'LINEST VARS'!$H$60*(8*$AZ83)+'LINEST VARS'!$G$60*(8*12.73)+'LINEST VARS'!$F$60*(8*$BI$80)+'LINEST VARS'!$E$60*(8*$AZ83)+'LINEST VARS'!$D$60*(8*12.73)+'LINEST VARS'!$C$60*($BI$80*$AZ83)+'LINEST VARS'!$B$60*($BI$80*12.73)+'LINEST VARS'!$A$60*($AZ83*12.73)</f>
        <v>40.460000000000015</v>
      </c>
      <c r="BJ83" s="46">
        <f>'LINEST VARS'!$U$60+'LINEST VARS'!$T$60*(8)+'LINEST VARS'!$S$60*(8)+'LINEST VARS'!$R$60*($BJ$80)+'LINEST VARS'!$Q$60*($AZ83)+'LINEST VARS'!$P$60*(12.73)+'LINEST VARS'!$O$60*(8^2)+'LINEST VARS'!$N$60*(8^2)+'LINEST VARS'!$M$60*($BJ$80^2)+'LINEST VARS'!$L$60*($AZ83^2)+'LINEST VARS'!$K$60*(12.73^2)+'LINEST VARS'!$J$60*(8*8)+'LINEST VARS'!$I$60*(8*$BJ$80)+'LINEST VARS'!$H$60*(8*$AZ83)+'LINEST VARS'!$G$60*(8*12.73)+'LINEST VARS'!$F$60*(8*$BJ$80)+'LINEST VARS'!$E$60*(8*$AZ83)+'LINEST VARS'!$D$60*(8*12.73)+'LINEST VARS'!$C$60*($BJ$80*$AZ83)+'LINEST VARS'!$B$60*($BJ$80*12.73)+'LINEST VARS'!$A$60*($AZ83*12.73)</f>
        <v>40.460000000000015</v>
      </c>
      <c r="BK83" s="46">
        <f>'LINEST VARS'!$U$60+'LINEST VARS'!$T$60*(8)+'LINEST VARS'!$S$60*(8)+'LINEST VARS'!$R$60*($BK$80)+'LINEST VARS'!$Q$60*($AZ83)+'LINEST VARS'!$P$60*(12.73)+'LINEST VARS'!$O$60*(8^2)+'LINEST VARS'!$N$60*(8^2)+'LINEST VARS'!$M$60*($BK$80^2)+'LINEST VARS'!$L$60*($AZ83^2)+'LINEST VARS'!$K$60*(12.73^2)+'LINEST VARS'!$J$60*(8*8)+'LINEST VARS'!$I$60*(8*$BK$80)+'LINEST VARS'!$H$60*(8*$AZ83)+'LINEST VARS'!$G$60*(8*12.73)+'LINEST VARS'!$F$60*(8*$BK$80)+'LINEST VARS'!$E$60*(8*$AZ83)+'LINEST VARS'!$D$60*(8*12.73)+'LINEST VARS'!$C$60*($BK$80*$AZ83)+'LINEST VARS'!$B$60*($BK$80*12.73)+'LINEST VARS'!$A$60*($AZ83*12.73)</f>
        <v>40.460000000000015</v>
      </c>
      <c r="BL83" s="46">
        <f>'LINEST VARS'!$U$60+'LINEST VARS'!$T$60*(8)+'LINEST VARS'!$S$60*(8)+'LINEST VARS'!$R$60*($BL$80)+'LINEST VARS'!$Q$60*($AZ83)+'LINEST VARS'!$P$60*(12.73)+'LINEST VARS'!$O$60*(8^2)+'LINEST VARS'!$N$60*(8^2)+'LINEST VARS'!$M$60*($BL$80^2)+'LINEST VARS'!$L$60*($AZ83^2)+'LINEST VARS'!$K$60*(12.73^2)+'LINEST VARS'!$J$60*(8*8)+'LINEST VARS'!$I$60*(8*$BL$80)+'LINEST VARS'!$H$60*(8*$AZ83)+'LINEST VARS'!$G$60*(8*12.73)+'LINEST VARS'!$F$60*(8*$BL$80)+'LINEST VARS'!$E$60*(8*$AZ83)+'LINEST VARS'!$D$60*(8*12.73)+'LINEST VARS'!$C$60*($BL$80*$AZ83)+'LINEST VARS'!$B$60*($BL$80*12.73)+'LINEST VARS'!$A$60*($AZ83*12.73)</f>
        <v>40.460000000000008</v>
      </c>
      <c r="BM83" s="46">
        <f>'LINEST VARS'!$U$60+'LINEST VARS'!$T$60*(8)+'LINEST VARS'!$S$60*(8)+'LINEST VARS'!$R$60*($BM$80)+'LINEST VARS'!$Q$60*($AZ83)+'LINEST VARS'!$P$60*(12.73)+'LINEST VARS'!$O$60*(8^2)+'LINEST VARS'!$N$60*(8^2)+'LINEST VARS'!$M$60*($BM$80^2)+'LINEST VARS'!$L$60*($AZ83^2)+'LINEST VARS'!$K$60*(12.73^2)+'LINEST VARS'!$J$60*(8*8)+'LINEST VARS'!$I$60*(8*$BM$80)+'LINEST VARS'!$H$60*(8*$AZ83)+'LINEST VARS'!$G$60*(8*12.73)+'LINEST VARS'!$F$60*(8*$BM$80)+'LINEST VARS'!$E$60*(8*$AZ83)+'LINEST VARS'!$D$60*(8*12.73)+'LINEST VARS'!$C$60*($BM$80*$AZ83)+'LINEST VARS'!$B$60*($BM$80*12.73)+'LINEST VARS'!$A$60*($AZ83*12.73)</f>
        <v>40.460000000000015</v>
      </c>
      <c r="BN83" s="46">
        <f>'LINEST VARS'!$U$60+'LINEST VARS'!$T$60*(8)+'LINEST VARS'!$S$60*(8)+'LINEST VARS'!$R$60*($BN$80)+'LINEST VARS'!$Q$60*($AZ83)+'LINEST VARS'!$P$60*(12.73)+'LINEST VARS'!$O$60*(8^2)+'LINEST VARS'!$N$60*(8^2)+'LINEST VARS'!$M$60*($BN$80^2)+'LINEST VARS'!$L$60*($AZ83^2)+'LINEST VARS'!$K$60*(12.73^2)+'LINEST VARS'!$J$60*(8*8)+'LINEST VARS'!$I$60*(8*$BN$80)+'LINEST VARS'!$H$60*(8*$AZ83)+'LINEST VARS'!$G$60*(8*12.73)+'LINEST VARS'!$F$60*(8*$BN$80)+'LINEST VARS'!$E$60*(8*$AZ83)+'LINEST VARS'!$D$60*(8*12.73)+'LINEST VARS'!$C$60*($BN$80*$AZ83)+'LINEST VARS'!$B$60*($BN$80*12.73)+'LINEST VARS'!$A$60*($AZ83*12.73)</f>
        <v>40.460000000000008</v>
      </c>
      <c r="BO83" s="46">
        <f>'LINEST VARS'!$U$60+'LINEST VARS'!$T$60*(8)+'LINEST VARS'!$S$60*(8)+'LINEST VARS'!$R$60*($BO$80)+'LINEST VARS'!$Q$60*($AZ83)+'LINEST VARS'!$P$60*(12.73)+'LINEST VARS'!$O$60*(8^2)+'LINEST VARS'!$N$60*(8^2)+'LINEST VARS'!$M$60*($BO$80^2)+'LINEST VARS'!$L$60*($AZ83^2)+'LINEST VARS'!$K$60*(12.73^2)+'LINEST VARS'!$J$60*(8*8)+'LINEST VARS'!$I$60*(8*$BO$80)+'LINEST VARS'!$H$60*(8*$AZ83)+'LINEST VARS'!$G$60*(8*12.73)+'LINEST VARS'!$F$60*(8*$BO$80)+'LINEST VARS'!$E$60*(8*$AZ83)+'LINEST VARS'!$D$60*(8*12.73)+'LINEST VARS'!$C$60*($BO$80*$AZ83)+'LINEST VARS'!$B$60*($BO$80*12.73)+'LINEST VARS'!$A$60*($AZ83*12.73)</f>
        <v>40.460000000000015</v>
      </c>
      <c r="BP83" s="46">
        <f>'LINEST VARS'!$U$60+'LINEST VARS'!$T$60*(8)+'LINEST VARS'!$S$60*(8)+'LINEST VARS'!$R$60*($BP$80)+'LINEST VARS'!$Q$60*($AZ83)+'LINEST VARS'!$P$60*(12.73)+'LINEST VARS'!$O$60*(8^2)+'LINEST VARS'!$N$60*(8^2)+'LINEST VARS'!$M$60*($BP$80^2)+'LINEST VARS'!$L$60*($AZ83^2)+'LINEST VARS'!$K$60*(12.73^2)+'LINEST VARS'!$J$60*(8*8)+'LINEST VARS'!$I$60*(8*$BP$80)+'LINEST VARS'!$H$60*(8*$AZ83)+'LINEST VARS'!$G$60*(8*12.73)+'LINEST VARS'!$F$60*(8*$BP$80)+'LINEST VARS'!$E$60*(8*$AZ83)+'LINEST VARS'!$D$60*(8*12.73)+'LINEST VARS'!$C$60*($BP$80*$AZ83)+'LINEST VARS'!$B$60*($BP$80*12.73)+'LINEST VARS'!$A$60*($AZ83*12.73)</f>
        <v>40.460000000000015</v>
      </c>
      <c r="BQ83" s="46">
        <f>'LINEST VARS'!$U$60+'LINEST VARS'!$T$60*(8)+'LINEST VARS'!$S$60*(8)+'LINEST VARS'!$R$60*($BQ$80)+'LINEST VARS'!$Q$60*($AZ83)+'LINEST VARS'!$P$60*(12.73)+'LINEST VARS'!$O$60*(8^2)+'LINEST VARS'!$N$60*(8^2)+'LINEST VARS'!$M$60*($BQ$80^2)+'LINEST VARS'!$L$60*($AZ83^2)+'LINEST VARS'!$K$60*(12.73^2)+'LINEST VARS'!$J$60*(8*8)+'LINEST VARS'!$I$60*(8*$BQ$80)+'LINEST VARS'!$H$60*(8*$AZ83)+'LINEST VARS'!$G$60*(8*12.73)+'LINEST VARS'!$F$60*(8*$BQ$80)+'LINEST VARS'!$E$60*(8*$AZ83)+'LINEST VARS'!$D$60*(8*12.73)+'LINEST VARS'!$C$60*($BQ$80*$AZ83)+'LINEST VARS'!$B$60*($BQ$80*12.73)+'LINEST VARS'!$A$60*($AZ83*12.73)</f>
        <v>40.460000000000015</v>
      </c>
      <c r="BR83" s="46">
        <f>'LINEST VARS'!$U$60+'LINEST VARS'!$T$60*(8)+'LINEST VARS'!$S$60*(8)+'LINEST VARS'!$R$60*($BR$80)+'LINEST VARS'!$Q$60*($AZ83)+'LINEST VARS'!$P$60*(12.73)+'LINEST VARS'!$O$60*(8^2)+'LINEST VARS'!$N$60*(8^2)+'LINEST VARS'!$M$60*($BR$80^2)+'LINEST VARS'!$L$60*($AZ83^2)+'LINEST VARS'!$K$60*(12.73^2)+'LINEST VARS'!$J$60*(8*8)+'LINEST VARS'!$I$60*(8*$BR$80)+'LINEST VARS'!$H$60*(8*$AZ83)+'LINEST VARS'!$G$60*(8*12.73)+'LINEST VARS'!$F$60*(8*$BR$80)+'LINEST VARS'!$E$60*(8*$AZ83)+'LINEST VARS'!$D$60*(8*12.73)+'LINEST VARS'!$C$60*($BR$80*$AZ83)+'LINEST VARS'!$B$60*($BR$80*12.73)+'LINEST VARS'!$A$60*($AZ83*12.73)</f>
        <v>40.460000000000015</v>
      </c>
      <c r="BS83" s="46">
        <f>'LINEST VARS'!$U$60+'LINEST VARS'!$T$60*(8)+'LINEST VARS'!$S$60*(8)+'LINEST VARS'!$R$60*($BS$80)+'LINEST VARS'!$Q$60*($AZ83)+'LINEST VARS'!$P$60*(12.73)+'LINEST VARS'!$O$60*(8^2)+'LINEST VARS'!$N$60*(8^2)+'LINEST VARS'!$M$60*($BS$80^2)+'LINEST VARS'!$L$60*($AZ83^2)+'LINEST VARS'!$K$60*(12.73^2)+'LINEST VARS'!$J$60*(8*8)+'LINEST VARS'!$I$60*(8*$BS$80)+'LINEST VARS'!$H$60*(8*$AZ83)+'LINEST VARS'!$G$60*(8*12.73)+'LINEST VARS'!$F$60*(8*$BS$80)+'LINEST VARS'!$E$60*(8*$AZ83)+'LINEST VARS'!$D$60*(8*12.73)+'LINEST VARS'!$C$60*($BS$80*$AZ83)+'LINEST VARS'!$B$60*($BS$80*12.73)+'LINEST VARS'!$A$60*($AZ83*12.73)</f>
        <v>40.460000000000008</v>
      </c>
      <c r="BT83" s="46">
        <f>'LINEST VARS'!$U$60+'LINEST VARS'!$T$60*(8)+'LINEST VARS'!$S$60*(8)+'LINEST VARS'!$R$60*($BT$80)+'LINEST VARS'!$Q$60*($AZ83)+'LINEST VARS'!$P$60*(12.73)+'LINEST VARS'!$O$60*(8^2)+'LINEST VARS'!$N$60*(8^2)+'LINEST VARS'!$M$60*($BT$80^2)+'LINEST VARS'!$L$60*($AZ83^2)+'LINEST VARS'!$K$60*(12.73^2)+'LINEST VARS'!$J$60*(8*8)+'LINEST VARS'!$I$60*(8*$BT$80)+'LINEST VARS'!$H$60*(8*$AZ83)+'LINEST VARS'!$G$60*(8*12.73)+'LINEST VARS'!$F$60*(8*$BT$80)+'LINEST VARS'!$E$60*(8*$AZ83)+'LINEST VARS'!$D$60*(8*12.73)+'LINEST VARS'!$C$60*($BT$80*$AZ83)+'LINEST VARS'!$B$60*($BT$80*12.73)+'LINEST VARS'!$A$60*($AZ83*12.73)</f>
        <v>40.460000000000015</v>
      </c>
      <c r="BU83" s="47">
        <f>'LINEST VARS'!$U$60+'LINEST VARS'!$T$60*(8)+'LINEST VARS'!$S$60*(8)+'LINEST VARS'!$R$60*($BU$80)+'LINEST VARS'!$Q$60*($AZ83)+'LINEST VARS'!$P$60*(12.73)+'LINEST VARS'!$O$60*(8^2)+'LINEST VARS'!$N$60*(8^2)+'LINEST VARS'!$M$60*($BU$80^2)+'LINEST VARS'!$L$60*($AZ83^2)+'LINEST VARS'!$K$60*(12.73^2)+'LINEST VARS'!$J$60*(8*8)+'LINEST VARS'!$I$60*(8*$BU$80)+'LINEST VARS'!$H$60*(8*$AZ83)+'LINEST VARS'!$G$60*(8*12.73)+'LINEST VARS'!$F$60*(8*$BU$80)+'LINEST VARS'!$E$60*(8*$AZ83)+'LINEST VARS'!$D$60*(8*12.73)+'LINEST VARS'!$C$60*($BU$80*$AZ83)+'LINEST VARS'!$B$60*($BU$80*12.73)+'LINEST VARS'!$A$60*($AZ83*12.73)</f>
        <v>40.460000000000015</v>
      </c>
      <c r="BX83" s="45">
        <v>0.1</v>
      </c>
      <c r="BY83" s="55">
        <f>'LINEST VARS'!$U$62+'LINEST VARS'!$T$62*(8)+'LINEST VARS'!$S$62*(8)+'LINEST VARS'!$R$62*($BY$80)+'LINEST VARS'!$Q$62*($BX83)+'LINEST VARS'!$P$62*(12.73)+'LINEST VARS'!$O$62*(8^2)+'LINEST VARS'!$N$62*(8^2)+'LINEST VARS'!$M$62*($BY$80^2)+'LINEST VARS'!$L$62*($BX83^2)+'LINEST VARS'!$K$62*(12.73^2)+'LINEST VARS'!$J$62*(8*8)+'LINEST VARS'!$I$62*(8*$BY$80)+'LINEST VARS'!$H$62*(8*$BX83)+'LINEST VARS'!$G$62*(8*12.73)+'LINEST VARS'!$F$62*(8*$BY$80)+'LINEST VARS'!$E$62*(8*$BX83)+'LINEST VARS'!$D$62*(8*12.73)+'LINEST VARS'!$C$62*($BY$80*$BX83)+'LINEST VARS'!$B$62*($BY$80*12.73)+'LINEST VARS'!$A$62*($BX83*12.73)</f>
        <v>349.97999999999996</v>
      </c>
      <c r="BZ83" s="55">
        <f>'LINEST VARS'!$U$62+'LINEST VARS'!$T$62*(8)+'LINEST VARS'!$S$62*(8)+'LINEST VARS'!$R$62*($BZ$80)+'LINEST VARS'!$Q$62*($BX83)+'LINEST VARS'!$P$62*(12.73)+'LINEST VARS'!$O$62*(8^2)+'LINEST VARS'!$N$62*(8^2)+'LINEST VARS'!$M$62*($BZ$80^2)+'LINEST VARS'!$L$62*($BX83^2)+'LINEST VARS'!$K$62*(12.73^2)+'LINEST VARS'!$J$62*(8*8)+'LINEST VARS'!$I$62*(8*$BZ$80)+'LINEST VARS'!$H$62*(8*$BX83)+'LINEST VARS'!$G$62*(8*12.73)+'LINEST VARS'!$F$62*(8*$BZ$80)+'LINEST VARS'!$E$62*(8*$BX83)+'LINEST VARS'!$D$62*(8*12.73)+'LINEST VARS'!$C$62*($BZ$80*$BX83)+'LINEST VARS'!$B$62*($BZ$80*12.73)+'LINEST VARS'!$A$62*($BX83*12.73)</f>
        <v>349.18</v>
      </c>
      <c r="CA83" s="55">
        <f>'LINEST VARS'!$U$62+'LINEST VARS'!$T$62*(8)+'LINEST VARS'!$S$62*(8)+'LINEST VARS'!$R$62*($CA$80)+'LINEST VARS'!$Q$62*($BX83)+'LINEST VARS'!$P$62*(12.73)+'LINEST VARS'!$O$62*(8^2)+'LINEST VARS'!$N$62*(8^2)+'LINEST VARS'!$M$62*($CA$80^2)+'LINEST VARS'!$L$62*($BX83^2)+'LINEST VARS'!$K$62*(12.73^2)+'LINEST VARS'!$J$62*(8*8)+'LINEST VARS'!$I$62*(8*$CA$80)+'LINEST VARS'!$H$62*(8*$BX83)+'LINEST VARS'!$G$62*(8*12.73)+'LINEST VARS'!$F$62*(8*$CA$80)+'LINEST VARS'!$E$62*(8*$BX83)+'LINEST VARS'!$D$62*(8*12.73)+'LINEST VARS'!$C$62*($CA$80*$BX83)+'LINEST VARS'!$B$62*($CA$80*12.73)+'LINEST VARS'!$A$62*($BX83*12.73)</f>
        <v>346.77999999999992</v>
      </c>
      <c r="CB83" s="55">
        <f>'LINEST VARS'!$U$62+'LINEST VARS'!$T$62*(8)+'LINEST VARS'!$S$62*(8)+'LINEST VARS'!$R$62*($CB$80)+'LINEST VARS'!$Q$62*($BX83)+'LINEST VARS'!$P$62*(12.73)+'LINEST VARS'!$O$62*(8^2)+'LINEST VARS'!$N$62*(8^2)+'LINEST VARS'!$M$62*($CB$80^2)+'LINEST VARS'!$L$62*($BX83^2)+'LINEST VARS'!$K$62*(12.73^2)+'LINEST VARS'!$J$62*(8*8)+'LINEST VARS'!$I$62*(8*$CB$80)+'LINEST VARS'!$H$62*(8*$BX83)+'LINEST VARS'!$G$62*(8*12.73)+'LINEST VARS'!$F$62*(8*$CB$80)+'LINEST VARS'!$E$62*(8*$BX83)+'LINEST VARS'!$D$62*(8*12.73)+'LINEST VARS'!$C$62*($CB$80*$BX83)+'LINEST VARS'!$B$62*($CB$80*12.73)+'LINEST VARS'!$A$62*($BX83*12.73)</f>
        <v>342.78</v>
      </c>
      <c r="CC83" s="55">
        <f>'LINEST VARS'!$U$62+'LINEST VARS'!$T$62*(8)+'LINEST VARS'!$S$62*(8)+'LINEST VARS'!$R$62*($CC$80)+'LINEST VARS'!$Q$62*($BX83)+'LINEST VARS'!$P$62*(12.73)+'LINEST VARS'!$O$62*(8^2)+'LINEST VARS'!$N$62*(8^2)+'LINEST VARS'!$M$62*($CC$80^2)+'LINEST VARS'!$L$62*($BX83^2)+'LINEST VARS'!$K$62*(12.73^2)+'LINEST VARS'!$J$62*(8*8)+'LINEST VARS'!$I$62*(8*$CC$80)+'LINEST VARS'!$H$62*(8*$BX83)+'LINEST VARS'!$G$62*(8*12.73)+'LINEST VARS'!$F$62*(8*$CC$80)+'LINEST VARS'!$E$62*(8*$BX83)+'LINEST VARS'!$D$62*(8*12.73)+'LINEST VARS'!$C$62*($CC$80*$BX83)+'LINEST VARS'!$B$62*($CC$80*12.73)+'LINEST VARS'!$A$62*($BX83*12.73)</f>
        <v>337.18</v>
      </c>
      <c r="CD83" s="55">
        <f>'LINEST VARS'!$U$62+'LINEST VARS'!$T$62*(8)+'LINEST VARS'!$S$62*(8)+'LINEST VARS'!$R$62*($CD$80)+'LINEST VARS'!$Q$62*($BX83)+'LINEST VARS'!$P$62*(12.73)+'LINEST VARS'!$O$62*(8^2)+'LINEST VARS'!$N$62*(8^2)+'LINEST VARS'!$M$62*($CD$80^2)+'LINEST VARS'!$L$62*($BX83^2)+'LINEST VARS'!$K$62*(12.73^2)+'LINEST VARS'!$J$62*(8*8)+'LINEST VARS'!$I$62*(8*$CD$80)+'LINEST VARS'!$H$62*(8*$BX83)+'LINEST VARS'!$G$62*(8*12.73)+'LINEST VARS'!$F$62*(8*$CD$80)+'LINEST VARS'!$E$62*(8*$BX83)+'LINEST VARS'!$D$62*(8*12.73)+'LINEST VARS'!$C$62*($CD$80*$BX83)+'LINEST VARS'!$B$62*($CD$80*12.73)+'LINEST VARS'!$A$62*($BX83*12.73)</f>
        <v>329.98000000000008</v>
      </c>
      <c r="CE83" s="55">
        <f>'LINEST VARS'!$U$62+'LINEST VARS'!$T$62*(8)+'LINEST VARS'!$S$62*(8)+'LINEST VARS'!$R$62*($CE$80)+'LINEST VARS'!$Q$62*($BX83)+'LINEST VARS'!$P$62*(12.73)+'LINEST VARS'!$O$62*(8^2)+'LINEST VARS'!$N$62*(8^2)+'LINEST VARS'!$M$62*($CE$80^2)+'LINEST VARS'!$L$62*($BX83^2)+'LINEST VARS'!$K$62*(12.73^2)+'LINEST VARS'!$J$62*(8*8)+'LINEST VARS'!$I$62*(8*$CE$80)+'LINEST VARS'!$H$62*(8*$BX83)+'LINEST VARS'!$G$62*(8*12.73)+'LINEST VARS'!$F$62*(8*$CE$80)+'LINEST VARS'!$E$62*(8*$BX83)+'LINEST VARS'!$D$62*(8*12.73)+'LINEST VARS'!$C$62*($CE$80*$BX83)+'LINEST VARS'!$B$62*($CE$80*12.73)+'LINEST VARS'!$A$62*($BX83*12.73)</f>
        <v>321.17999999999995</v>
      </c>
      <c r="CF83" s="55">
        <f>'LINEST VARS'!$U$62+'LINEST VARS'!$T$62*(8)+'LINEST VARS'!$S$62*(8)+'LINEST VARS'!$R$62*($CF$80)+'LINEST VARS'!$Q$62*($BX83)+'LINEST VARS'!$P$62*(12.73)+'LINEST VARS'!$O$62*(8^2)+'LINEST VARS'!$N$62*(8^2)+'LINEST VARS'!$M$62*($CF$80^2)+'LINEST VARS'!$L$62*($BX83^2)+'LINEST VARS'!$K$62*(12.73^2)+'LINEST VARS'!$J$62*(8*8)+'LINEST VARS'!$I$62*(8*$CF$80)+'LINEST VARS'!$H$62*(8*$BX83)+'LINEST VARS'!$G$62*(8*12.73)+'LINEST VARS'!$F$62*(8*$CF$80)+'LINEST VARS'!$E$62*(8*$BX83)+'LINEST VARS'!$D$62*(8*12.73)+'LINEST VARS'!$C$62*($CF$80*$BX83)+'LINEST VARS'!$B$62*($CF$80*12.73)+'LINEST VARS'!$A$62*($BX83*12.73)</f>
        <v>310.77999999999997</v>
      </c>
      <c r="CG83" s="55">
        <f>'LINEST VARS'!$U$62+'LINEST VARS'!$T$62*(8)+'LINEST VARS'!$S$62*(8)+'LINEST VARS'!$R$62*($CG$80)+'LINEST VARS'!$Q$62*($BX83)+'LINEST VARS'!$P$62*(12.73)+'LINEST VARS'!$O$62*(8^2)+'LINEST VARS'!$N$62*(8^2)+'LINEST VARS'!$M$62*($CG$80^2)+'LINEST VARS'!$L$62*($BX83^2)+'LINEST VARS'!$K$62*(12.73^2)+'LINEST VARS'!$J$62*(8*8)+'LINEST VARS'!$I$62*(8*$CG$80)+'LINEST VARS'!$H$62*(8*$BX83)+'LINEST VARS'!$G$62*(8*12.73)+'LINEST VARS'!$F$62*(8*$CG$80)+'LINEST VARS'!$E$62*(8*$BX83)+'LINEST VARS'!$D$62*(8*12.73)+'LINEST VARS'!$C$62*($CG$80*$BX83)+'LINEST VARS'!$B$62*($CG$80*12.73)+'LINEST VARS'!$A$62*($BX83*12.73)</f>
        <v>298.78000000000003</v>
      </c>
      <c r="CH83" s="55">
        <f>'LINEST VARS'!$U$62+'LINEST VARS'!$T$62*(8)+'LINEST VARS'!$S$62*(8)+'LINEST VARS'!$R$62*($CH$80)+'LINEST VARS'!$Q$62*($BX83)+'LINEST VARS'!$P$62*(12.73)+'LINEST VARS'!$O$62*(8^2)+'LINEST VARS'!$N$62*(8^2)+'LINEST VARS'!$M$62*($CH$80^2)+'LINEST VARS'!$L$62*($BX83^2)+'LINEST VARS'!$K$62*(12.73^2)+'LINEST VARS'!$J$62*(8*8)+'LINEST VARS'!$I$62*(8*$CH$80)+'LINEST VARS'!$H$62*(8*$BX83)+'LINEST VARS'!$G$62*(8*12.73)+'LINEST VARS'!$F$62*(8*$CH$80)+'LINEST VARS'!$E$62*(8*$BX83)+'LINEST VARS'!$D$62*(8*12.73)+'LINEST VARS'!$C$62*($CH$80*$BX83)+'LINEST VARS'!$B$62*($CH$80*12.73)+'LINEST VARS'!$A$62*($BX83*12.73)</f>
        <v>285.18</v>
      </c>
      <c r="CI83" s="55">
        <f>'LINEST VARS'!$U$62+'LINEST VARS'!$T$62*(8)+'LINEST VARS'!$S$62*(8)+'LINEST VARS'!$R$62*($CI$80)+'LINEST VARS'!$Q$62*($BX83)+'LINEST VARS'!$P$62*(12.73)+'LINEST VARS'!$O$62*(8^2)+'LINEST VARS'!$N$62*(8^2)+'LINEST VARS'!$M$62*($CI$80^2)+'LINEST VARS'!$L$62*($BX83^2)+'LINEST VARS'!$K$62*(12.73^2)+'LINEST VARS'!$J$62*(8*8)+'LINEST VARS'!$I$62*(8*$CI$80)+'LINEST VARS'!$H$62*(8*$BX83)+'LINEST VARS'!$G$62*(8*12.73)+'LINEST VARS'!$F$62*(8*$CI$80)+'LINEST VARS'!$E$62*(8*$BX83)+'LINEST VARS'!$D$62*(8*12.73)+'LINEST VARS'!$C$62*($CI$80*$BX83)+'LINEST VARS'!$B$62*($CI$80*12.73)+'LINEST VARS'!$A$62*($BX83*12.73)</f>
        <v>269.98</v>
      </c>
      <c r="CJ83" s="55">
        <f>'LINEST VARS'!$U$62+'LINEST VARS'!$T$62*(8)+'LINEST VARS'!$S$62*(8)+'LINEST VARS'!$R$62*($CJ$80)+'LINEST VARS'!$Q$62*($BX83)+'LINEST VARS'!$P$62*(12.73)+'LINEST VARS'!$O$62*(8^2)+'LINEST VARS'!$N$62*(8^2)+'LINEST VARS'!$M$62*($CJ$80^2)+'LINEST VARS'!$L$62*($BX83^2)+'LINEST VARS'!$K$62*(12.73^2)+'LINEST VARS'!$J$62*(8*8)+'LINEST VARS'!$I$62*(8*$CJ$80)+'LINEST VARS'!$H$62*(8*$BX83)+'LINEST VARS'!$G$62*(8*12.73)+'LINEST VARS'!$F$62*(8*$CJ$80)+'LINEST VARS'!$E$62*(8*$BX83)+'LINEST VARS'!$D$62*(8*12.73)+'LINEST VARS'!$C$62*($CJ$80*$BX83)+'LINEST VARS'!$B$62*($CJ$80*12.73)+'LINEST VARS'!$A$62*($BX83*12.73)</f>
        <v>253.18000000000004</v>
      </c>
      <c r="CK83" s="55">
        <f>'LINEST VARS'!$U$62+'LINEST VARS'!$T$62*(8)+'LINEST VARS'!$S$62*(8)+'LINEST VARS'!$R$62*($CK$80)+'LINEST VARS'!$Q$62*($BX83)+'LINEST VARS'!$P$62*(12.73)+'LINEST VARS'!$O$62*(8^2)+'LINEST VARS'!$N$62*(8^2)+'LINEST VARS'!$M$62*($CK$80^2)+'LINEST VARS'!$L$62*($BX83^2)+'LINEST VARS'!$K$62*(12.73^2)+'LINEST VARS'!$J$62*(8*8)+'LINEST VARS'!$I$62*(8*$CK$80)+'LINEST VARS'!$H$62*(8*$BX83)+'LINEST VARS'!$G$62*(8*12.73)+'LINEST VARS'!$F$62*(8*$CK$80)+'LINEST VARS'!$E$62*(8*$BX83)+'LINEST VARS'!$D$62*(8*12.73)+'LINEST VARS'!$C$62*($CK$80*$BX83)+'LINEST VARS'!$B$62*($CK$80*12.73)+'LINEST VARS'!$A$62*($BX83*12.73)</f>
        <v>234.78000000000009</v>
      </c>
      <c r="CL83" s="55">
        <f>'LINEST VARS'!$U$62+'LINEST VARS'!$T$62*(8)+'LINEST VARS'!$S$62*(8)+'LINEST VARS'!$R$62*($CL$80)+'LINEST VARS'!$Q$62*($BX83)+'LINEST VARS'!$P$62*(12.73)+'LINEST VARS'!$O$62*(8^2)+'LINEST VARS'!$N$62*(8^2)+'LINEST VARS'!$M$62*($CL$80^2)+'LINEST VARS'!$L$62*($BX83^2)+'LINEST VARS'!$K$62*(12.73^2)+'LINEST VARS'!$J$62*(8*8)+'LINEST VARS'!$I$62*(8*$CL$80)+'LINEST VARS'!$H$62*(8*$BX83)+'LINEST VARS'!$G$62*(8*12.73)+'LINEST VARS'!$F$62*(8*$CL$80)+'LINEST VARS'!$E$62*(8*$BX83)+'LINEST VARS'!$D$62*(8*12.73)+'LINEST VARS'!$C$62*($CL$80*$BX83)+'LINEST VARS'!$B$62*($CL$80*12.73)+'LINEST VARS'!$A$62*($BX83*12.73)</f>
        <v>214.78000000000003</v>
      </c>
      <c r="CM83" s="55">
        <f>'LINEST VARS'!$U$62+'LINEST VARS'!$T$62*(8)+'LINEST VARS'!$S$62*(8)+'LINEST VARS'!$R$62*($CM$80)+'LINEST VARS'!$Q$62*($BX83)+'LINEST VARS'!$P$62*(12.73)+'LINEST VARS'!$O$62*(8^2)+'LINEST VARS'!$N$62*(8^2)+'LINEST VARS'!$M$62*($CM$80^2)+'LINEST VARS'!$L$62*($BX83^2)+'LINEST VARS'!$K$62*(12.73^2)+'LINEST VARS'!$J$62*(8*8)+'LINEST VARS'!$I$62*(8*$CM$80)+'LINEST VARS'!$H$62*(8*$BX83)+'LINEST VARS'!$G$62*(8*12.73)+'LINEST VARS'!$F$62*(8*$CM$80)+'LINEST VARS'!$E$62*(8*$BX83)+'LINEST VARS'!$D$62*(8*12.73)+'LINEST VARS'!$C$62*($CM$80*$BX83)+'LINEST VARS'!$B$62*($CM$80*12.73)+'LINEST VARS'!$A$62*($BX83*12.73)</f>
        <v>193.18000000000012</v>
      </c>
      <c r="CN83" s="55">
        <f>'LINEST VARS'!$U$62+'LINEST VARS'!$T$62*(8)+'LINEST VARS'!$S$62*(8)+'LINEST VARS'!$R$62*($CN$80)+'LINEST VARS'!$Q$62*($BX83)+'LINEST VARS'!$P$62*(12.73)+'LINEST VARS'!$O$62*(8^2)+'LINEST VARS'!$N$62*(8^2)+'LINEST VARS'!$M$62*($CN$80^2)+'LINEST VARS'!$L$62*($BX83^2)+'LINEST VARS'!$K$62*(12.73^2)+'LINEST VARS'!$J$62*(8*8)+'LINEST VARS'!$I$62*(8*$CN$80)+'LINEST VARS'!$H$62*(8*$BX83)+'LINEST VARS'!$G$62*(8*12.73)+'LINEST VARS'!$F$62*(8*$CN$80)+'LINEST VARS'!$E$62*(8*$BX83)+'LINEST VARS'!$D$62*(8*12.73)+'LINEST VARS'!$C$62*($CN$80*$BX83)+'LINEST VARS'!$B$62*($CN$80*12.73)+'LINEST VARS'!$A$62*($BX83*12.73)</f>
        <v>169.9800000000001</v>
      </c>
      <c r="CO83" s="55">
        <f>'LINEST VARS'!$U$62+'LINEST VARS'!$T$62*(8)+'LINEST VARS'!$S$62*(8)+'LINEST VARS'!$R$62*($CO$80)+'LINEST VARS'!$Q$62*($BX83)+'LINEST VARS'!$P$62*(12.73)+'LINEST VARS'!$O$62*(8^2)+'LINEST VARS'!$N$62*(8^2)+'LINEST VARS'!$M$62*($CO$80^2)+'LINEST VARS'!$L$62*($BX83^2)+'LINEST VARS'!$K$62*(12.73^2)+'LINEST VARS'!$J$62*(8*8)+'LINEST VARS'!$I$62*(8*$CO$80)+'LINEST VARS'!$H$62*(8*$BX83)+'LINEST VARS'!$G$62*(8*12.73)+'LINEST VARS'!$F$62*(8*$CO$80)+'LINEST VARS'!$E$62*(8*$BX83)+'LINEST VARS'!$D$62*(8*12.73)+'LINEST VARS'!$C$62*($CO$80*$BX83)+'LINEST VARS'!$B$62*($CO$80*12.73)+'LINEST VARS'!$A$62*($BX83*12.73)</f>
        <v>145.18000000000012</v>
      </c>
      <c r="CP83" s="55">
        <f>'LINEST VARS'!$U$62+'LINEST VARS'!$T$62*(8)+'LINEST VARS'!$S$62*(8)+'LINEST VARS'!$R$62*($CP$80)+'LINEST VARS'!$Q$62*($BX83)+'LINEST VARS'!$P$62*(12.73)+'LINEST VARS'!$O$62*(8^2)+'LINEST VARS'!$N$62*(8^2)+'LINEST VARS'!$M$62*($CP$80^2)+'LINEST VARS'!$L$62*($BX83^2)+'LINEST VARS'!$K$62*(12.73^2)+'LINEST VARS'!$J$62*(8*8)+'LINEST VARS'!$I$62*(8*$CP$80)+'LINEST VARS'!$H$62*(8*$BX83)+'LINEST VARS'!$G$62*(8*12.73)+'LINEST VARS'!$F$62*(8*$CP$80)+'LINEST VARS'!$E$62*(8*$BX83)+'LINEST VARS'!$D$62*(8*12.73)+'LINEST VARS'!$C$62*($CP$80*$BX83)+'LINEST VARS'!$B$62*($CP$80*12.73)+'LINEST VARS'!$A$62*($BX83*12.73)</f>
        <v>118.78000000000014</v>
      </c>
      <c r="CQ83" s="55">
        <f>'LINEST VARS'!$U$62+'LINEST VARS'!$T$62*(8)+'LINEST VARS'!$S$62*(8)+'LINEST VARS'!$R$62*($CQ$80)+'LINEST VARS'!$Q$62*($BX83)+'LINEST VARS'!$P$62*(12.73)+'LINEST VARS'!$O$62*(8^2)+'LINEST VARS'!$N$62*(8^2)+'LINEST VARS'!$M$62*($CQ$80^2)+'LINEST VARS'!$L$62*($BX83^2)+'LINEST VARS'!$K$62*(12.73^2)+'LINEST VARS'!$J$62*(8*8)+'LINEST VARS'!$I$62*(8*$CQ$80)+'LINEST VARS'!$H$62*(8*$BX83)+'LINEST VARS'!$G$62*(8*12.73)+'LINEST VARS'!$F$62*(8*$CQ$80)+'LINEST VARS'!$E$62*(8*$BX83)+'LINEST VARS'!$D$62*(8*12.73)+'LINEST VARS'!$C$62*($CQ$80*$BX83)+'LINEST VARS'!$B$62*($CQ$80*12.73)+'LINEST VARS'!$A$62*($BX83*12.73)</f>
        <v>90.780000000000143</v>
      </c>
      <c r="CR83" s="55">
        <f>'LINEST VARS'!$U$62+'LINEST VARS'!$T$62*(8)+'LINEST VARS'!$S$62*(8)+'LINEST VARS'!$R$62*($CR$80)+'LINEST VARS'!$Q$62*($BX83)+'LINEST VARS'!$P$62*(12.73)+'LINEST VARS'!$O$62*(8^2)+'LINEST VARS'!$N$62*(8^2)+'LINEST VARS'!$M$62*($CR$80^2)+'LINEST VARS'!$L$62*($BX83^2)+'LINEST VARS'!$K$62*(12.73^2)+'LINEST VARS'!$J$62*(8*8)+'LINEST VARS'!$I$62*(8*$CR$80)+'LINEST VARS'!$H$62*(8*$BX83)+'LINEST VARS'!$G$62*(8*12.73)+'LINEST VARS'!$F$62*(8*$CR$80)+'LINEST VARS'!$E$62*(8*$BX83)+'LINEST VARS'!$D$62*(8*12.73)+'LINEST VARS'!$C$62*($CR$80*$BX83)+'LINEST VARS'!$B$62*($CR$80*12.73)+'LINEST VARS'!$A$62*($BX83*12.73)</f>
        <v>61.180000000000192</v>
      </c>
      <c r="CS83" s="56">
        <f>'LINEST VARS'!$U$62+'LINEST VARS'!$T$62*(8)+'LINEST VARS'!$S$62*(8)+'LINEST VARS'!$R$62*($CS$80)+'LINEST VARS'!$Q$62*($BX83)+'LINEST VARS'!$P$62*(12.73)+'LINEST VARS'!$O$62*(8^2)+'LINEST VARS'!$N$62*(8^2)+'LINEST VARS'!$M$62*($CS$80^2)+'LINEST VARS'!$L$62*($BX83^2)+'LINEST VARS'!$K$62*(12.73^2)+'LINEST VARS'!$J$62*(8*8)+'LINEST VARS'!$I$62*(8*$CS$80)+'LINEST VARS'!$H$62*(8*$BX83)+'LINEST VARS'!$G$62*(8*12.73)+'LINEST VARS'!$F$62*(8*$CS$80)+'LINEST VARS'!$E$62*(8*$BX83)+'LINEST VARS'!$D$62*(8*12.73)+'LINEST VARS'!$C$62*($CS$80*$BX83)+'LINEST VARS'!$B$62*($CS$80*12.73)+'LINEST VARS'!$A$62*($BX83*12.73)</f>
        <v>29.980000000000224</v>
      </c>
      <c r="CX83" s="45">
        <v>2.5990000000000002</v>
      </c>
      <c r="CY83" s="46">
        <f>'LINEST VARS'!$U$60+'LINEST VARS'!$T$60*(8)+'LINEST VARS'!$S$60*(8)+'LINEST VARS'!$R$60*($CY$80)+'LINEST VARS'!$Q$60*(0.5)+'LINEST VARS'!$P$60*($CX83)+'LINEST VARS'!$O$60*(8^2)+'LINEST VARS'!$N$60*(8^2)+'LINEST VARS'!$M$60*($CY$80^2)+'LINEST VARS'!$L$60*(0.5^2)+'LINEST VARS'!$K$60*($CX83^2)+'LINEST VARS'!$J$60*(8*8)+'LINEST VARS'!$I$60*(8*$CY$80)+'LINEST VARS'!$H$60*(8*0.5)+'LINEST VARS'!$G$60*(8*$CX83)+'LINEST VARS'!$F$60*(8*$CY$80)+'LINEST VARS'!$E$60*(8*0.5)+'LINEST VARS'!$D$60*(8*$CX83)+'LINEST VARS'!$C$60*($CY$80*0.5)+'LINEST VARS'!$B$60*($CY$80*$CX83)+'LINEST VARS'!$A$60*(0.5*$CX83)</f>
        <v>20.198000000000011</v>
      </c>
      <c r="CZ83" s="46">
        <f>'LINEST VARS'!$U$60+'LINEST VARS'!$T$60*(8)+'LINEST VARS'!$S$60*(8)+'LINEST VARS'!$R$60*($CZ$80)+'LINEST VARS'!$Q$60*(0.5)+'LINEST VARS'!$P$60*($CX83)+'LINEST VARS'!$O$60*(8^2)+'LINEST VARS'!$N$60*(8^2)+'LINEST VARS'!$M$60*($CZ$80^2)+'LINEST VARS'!$L$60*(0.5^2)+'LINEST VARS'!$K$60*($CX83^2)+'LINEST VARS'!$J$60*(8*8)+'LINEST VARS'!$I$60*(8*$CZ$80)+'LINEST VARS'!$H$60*(8*0.5)+'LINEST VARS'!$G$60*(8*$CX83)+'LINEST VARS'!$F$60*(8*$CZ$80)+'LINEST VARS'!$E$60*(8*0.5)+'LINEST VARS'!$D$60*(8*$CX83)+'LINEST VARS'!$C$60*($CZ$80*0.5)+'LINEST VARS'!$B$60*($CZ$80*$CX83)+'LINEST VARS'!$A$60*(0.5*$CX83)</f>
        <v>20.198000000000011</v>
      </c>
      <c r="DA83" s="46">
        <f>'LINEST VARS'!$U$60+'LINEST VARS'!$T$60*(8)+'LINEST VARS'!$S$60*(8)+'LINEST VARS'!$R$60*($DA$80)+'LINEST VARS'!$Q$60*(0.5)+'LINEST VARS'!$P$60*($CX83)+'LINEST VARS'!$O$60*(8^2)+'LINEST VARS'!$N$60*(8^2)+'LINEST VARS'!$M$60*($DA$80^2)+'LINEST VARS'!$L$60*(0.5^2)+'LINEST VARS'!$K$60*($CX83^2)+'LINEST VARS'!$J$60*(8*8)+'LINEST VARS'!$I$60*(8*$DA$80)+'LINEST VARS'!$H$60*(8*0.5)+'LINEST VARS'!$G$60*(8*$CX83)+'LINEST VARS'!$F$60*(8*$DA$80)+'LINEST VARS'!$E$60*(8*0.5)+'LINEST VARS'!$D$60*(8*$CX83)+'LINEST VARS'!$C$60*($DA$80*0.5)+'LINEST VARS'!$B$60*($DA$80*$CX83)+'LINEST VARS'!$A$60*(0.5*$CX83)</f>
        <v>20.198000000000011</v>
      </c>
      <c r="DB83" s="46">
        <f>'LINEST VARS'!$U$60+'LINEST VARS'!$T$60*(8)+'LINEST VARS'!$S$60*(8)+'LINEST VARS'!$R$60*($DB$80)+'LINEST VARS'!$Q$60*(0.5)+'LINEST VARS'!$P$60*($CX83)+'LINEST VARS'!$O$60*(8^2)+'LINEST VARS'!$N$60*(8^2)+'LINEST VARS'!$M$60*($DB$80^2)+'LINEST VARS'!$L$60*(0.5^2)+'LINEST VARS'!$K$60*($CX83^2)+'LINEST VARS'!$J$60*(8*8)+'LINEST VARS'!$I$60*(8*$DB$80)+'LINEST VARS'!$H$60*(8*0.5)+'LINEST VARS'!$G$60*(8*$CX83)+'LINEST VARS'!$F$60*(8*$DB$80)+'LINEST VARS'!$E$60*(8*0.5)+'LINEST VARS'!$D$60*(8*$CX83)+'LINEST VARS'!$C$60*($DB$80*0.5)+'LINEST VARS'!$B$60*($DB$80*$CX83)+'LINEST VARS'!$A$60*(0.5*$CX83)</f>
        <v>20.198000000000011</v>
      </c>
      <c r="DC83" s="46">
        <f>'LINEST VARS'!$U$60+'LINEST VARS'!$T$60*(8)+'LINEST VARS'!$S$60*(8)+'LINEST VARS'!$R$60*($DC$80)+'LINEST VARS'!$Q$60*(0.5)+'LINEST VARS'!$P$60*($CX83)+'LINEST VARS'!$O$60*(8^2)+'LINEST VARS'!$N$60*(8^2)+'LINEST VARS'!$M$60*($DC$80^2)+'LINEST VARS'!$L$60*(0.5^2)+'LINEST VARS'!$K$60*($CX83^2)+'LINEST VARS'!$J$60*(8*8)+'LINEST VARS'!$I$60*(8*$DC$80)+'LINEST VARS'!$H$60*(8*0.5)+'LINEST VARS'!$G$60*(8*$CX83)+'LINEST VARS'!$F$60*(8*$DC$80)+'LINEST VARS'!$E$60*(8*0.5)+'LINEST VARS'!$D$60*(8*$CX83)+'LINEST VARS'!$C$60*($DC$80*0.5)+'LINEST VARS'!$B$60*($DC$80*$CX83)+'LINEST VARS'!$A$60*(0.5*$CX83)</f>
        <v>20.198000000000011</v>
      </c>
      <c r="DD83" s="46">
        <f>'LINEST VARS'!$U$60+'LINEST VARS'!$T$60*(8)+'LINEST VARS'!$S$60*(8)+'LINEST VARS'!$R$60*($DD$80)+'LINEST VARS'!$Q$60*(0.5)+'LINEST VARS'!$P$60*($CX83)+'LINEST VARS'!$O$60*(8^2)+'LINEST VARS'!$N$60*(8^2)+'LINEST VARS'!$M$60*($DD$80^2)+'LINEST VARS'!$L$60*(0.5^2)+'LINEST VARS'!$K$60*($CX83^2)+'LINEST VARS'!$J$60*(8*8)+'LINEST VARS'!$I$60*(8*$DD$80)+'LINEST VARS'!$H$60*(8*0.5)+'LINEST VARS'!$G$60*(8*$CX83)+'LINEST VARS'!$F$60*(8*$DD$80)+'LINEST VARS'!$E$60*(8*0.5)+'LINEST VARS'!$D$60*(8*$CX83)+'LINEST VARS'!$C$60*($DD$80*0.5)+'LINEST VARS'!$B$60*($DD$80*$CX83)+'LINEST VARS'!$A$60*(0.5*$CX83)</f>
        <v>20.198000000000015</v>
      </c>
      <c r="DE83" s="46">
        <f>'LINEST VARS'!$U$60+'LINEST VARS'!$T$60*(8)+'LINEST VARS'!$S$60*(8)+'LINEST VARS'!$R$60*($DE$80)+'LINEST VARS'!$Q$60*(0.5)+'LINEST VARS'!$P$60*($CX83)+'LINEST VARS'!$O$60*(8^2)+'LINEST VARS'!$N$60*(8^2)+'LINEST VARS'!$M$60*($DE$80^2)+'LINEST VARS'!$L$60*(0.5^2)+'LINEST VARS'!$K$60*($CX83^2)+'LINEST VARS'!$J$60*(8*8)+'LINEST VARS'!$I$60*(8*$DE$80)+'LINEST VARS'!$H$60*(8*0.5)+'LINEST VARS'!$G$60*(8*$CX83)+'LINEST VARS'!$F$60*(8*$DE$80)+'LINEST VARS'!$E$60*(8*0.5)+'LINEST VARS'!$D$60*(8*$CX83)+'LINEST VARS'!$C$60*($DE$80*0.5)+'LINEST VARS'!$B$60*($DE$80*$CX83)+'LINEST VARS'!$A$60*(0.5*$CX83)</f>
        <v>20.198000000000015</v>
      </c>
      <c r="DF83" s="46">
        <f>'LINEST VARS'!$U$60+'LINEST VARS'!$T$60*(8)+'LINEST VARS'!$S$60*(8)+'LINEST VARS'!$R$60*($DF$80)+'LINEST VARS'!$Q$60*(0.5)+'LINEST VARS'!$P$60*($CX83)+'LINEST VARS'!$O$60*(8^2)+'LINEST VARS'!$N$60*(8^2)+'LINEST VARS'!$M$60*($DF$80^2)+'LINEST VARS'!$L$60*(0.5^2)+'LINEST VARS'!$K$60*($CX83^2)+'LINEST VARS'!$J$60*(8*8)+'LINEST VARS'!$I$60*(8*$DF$80)+'LINEST VARS'!$H$60*(8*0.5)+'LINEST VARS'!$G$60*(8*$CX83)+'LINEST VARS'!$F$60*(8*$DF$80)+'LINEST VARS'!$E$60*(8*0.5)+'LINEST VARS'!$D$60*(8*$CX83)+'LINEST VARS'!$C$60*($DF$80*0.5)+'LINEST VARS'!$B$60*($DF$80*$CX83)+'LINEST VARS'!$A$60*(0.5*$CX83)</f>
        <v>20.198000000000011</v>
      </c>
      <c r="DG83" s="46">
        <f>'LINEST VARS'!$U$60+'LINEST VARS'!$T$60*(8)+'LINEST VARS'!$S$60*(8)+'LINEST VARS'!$R$60*($DG$80)+'LINEST VARS'!$Q$60*(0.5)+'LINEST VARS'!$P$60*($CX83)+'LINEST VARS'!$O$60*(8^2)+'LINEST VARS'!$N$60*(8^2)+'LINEST VARS'!$M$60*($DG$80^2)+'LINEST VARS'!$L$60*(0.5^2)+'LINEST VARS'!$K$60*($CX83^2)+'LINEST VARS'!$J$60*(8*8)+'LINEST VARS'!$I$60*(8*$DG$80)+'LINEST VARS'!$H$60*(8*0.5)+'LINEST VARS'!$G$60*(8*$CX83)+'LINEST VARS'!$F$60*(8*$DG$80)+'LINEST VARS'!$E$60*(8*0.5)+'LINEST VARS'!$D$60*(8*$CX83)+'LINEST VARS'!$C$60*($DG$80*0.5)+'LINEST VARS'!$B$60*($DG$80*$CX83)+'LINEST VARS'!$A$60*(0.5*$CX83)</f>
        <v>20.198000000000011</v>
      </c>
      <c r="DH83" s="46">
        <f>'LINEST VARS'!$U$60+'LINEST VARS'!$T$60*(8)+'LINEST VARS'!$S$60*(8)+'LINEST VARS'!$R$60*($DH$80)+'LINEST VARS'!$Q$60*(0.5)+'LINEST VARS'!$P$60*($CX83)+'LINEST VARS'!$O$60*(8^2)+'LINEST VARS'!$N$60*(8^2)+'LINEST VARS'!$M$60*($DH$80^2)+'LINEST VARS'!$L$60*(0.5^2)+'LINEST VARS'!$K$60*($CX83^2)+'LINEST VARS'!$J$60*(8*8)+'LINEST VARS'!$I$60*(8*$DH$80)+'LINEST VARS'!$H$60*(8*0.5)+'LINEST VARS'!$G$60*(8*$CX83)+'LINEST VARS'!$F$60*(8*$DH$80)+'LINEST VARS'!$E$60*(8*0.5)+'LINEST VARS'!$D$60*(8*$CX83)+'LINEST VARS'!$C$60*($DH$80*0.5)+'LINEST VARS'!$B$60*($DH$80*$CX83)+'LINEST VARS'!$A$60*(0.5*$CX83)</f>
        <v>20.198000000000011</v>
      </c>
      <c r="DI83" s="46">
        <f>'LINEST VARS'!$U$60+'LINEST VARS'!$T$60*(8)+'LINEST VARS'!$S$60*(8)+'LINEST VARS'!$R$60*($DI$80)+'LINEST VARS'!$Q$60*(0.5)+'LINEST VARS'!$P$60*($CX83)+'LINEST VARS'!$O$60*(8^2)+'LINEST VARS'!$N$60*(8^2)+'LINEST VARS'!$M$60*($DI$80^2)+'LINEST VARS'!$L$60*(0.5^2)+'LINEST VARS'!$K$60*($CX83^2)+'LINEST VARS'!$J$60*(8*8)+'LINEST VARS'!$I$60*(8*$DI$80)+'LINEST VARS'!$H$60*(8*0.5)+'LINEST VARS'!$G$60*(8*$CX83)+'LINEST VARS'!$F$60*(8*$DI$80)+'LINEST VARS'!$E$60*(8*0.5)+'LINEST VARS'!$D$60*(8*$CX83)+'LINEST VARS'!$C$60*($DI$80*0.5)+'LINEST VARS'!$B$60*($DI$80*$CX83)+'LINEST VARS'!$A$60*(0.5*$CX83)</f>
        <v>20.198000000000015</v>
      </c>
      <c r="DJ83" s="46">
        <f>'LINEST VARS'!$U$60+'LINEST VARS'!$T$60*(8)+'LINEST VARS'!$S$60*(8)+'LINEST VARS'!$R$60*($DJ$80)+'LINEST VARS'!$Q$60*(0.5)+'LINEST VARS'!$P$60*($CX83)+'LINEST VARS'!$O$60*(8^2)+'LINEST VARS'!$N$60*(8^2)+'LINEST VARS'!$M$60*($DJ$80^2)+'LINEST VARS'!$L$60*(0.5^2)+'LINEST VARS'!$K$60*($CX83^2)+'LINEST VARS'!$J$60*(8*8)+'LINEST VARS'!$I$60*(8*$DJ$80)+'LINEST VARS'!$H$60*(8*0.5)+'LINEST VARS'!$G$60*(8*$CX83)+'LINEST VARS'!$F$60*(8*$DJ$80)+'LINEST VARS'!$E$60*(8*0.5)+'LINEST VARS'!$D$60*(8*$CX83)+'LINEST VARS'!$C$60*($DJ$80*0.5)+'LINEST VARS'!$B$60*($DJ$80*$CX83)+'LINEST VARS'!$A$60*(0.5*$CX83)</f>
        <v>20.198000000000011</v>
      </c>
      <c r="DK83" s="46">
        <f>'LINEST VARS'!$U$60+'LINEST VARS'!$T$60*(8)+'LINEST VARS'!$S$60*(8)+'LINEST VARS'!$R$60*($DK$80)+'LINEST VARS'!$Q$60*(0.5)+'LINEST VARS'!$P$60*($CX83)+'LINEST VARS'!$O$60*(8^2)+'LINEST VARS'!$N$60*(8^2)+'LINEST VARS'!$M$60*($DK$80^2)+'LINEST VARS'!$L$60*(0.5^2)+'LINEST VARS'!$K$60*($CX83^2)+'LINEST VARS'!$J$60*(8*8)+'LINEST VARS'!$I$60*(8*$DK$80)+'LINEST VARS'!$H$60*(8*0.5)+'LINEST VARS'!$G$60*(8*$CX83)+'LINEST VARS'!$F$60*(8*$DK$80)+'LINEST VARS'!$E$60*(8*0.5)+'LINEST VARS'!$D$60*(8*$CX83)+'LINEST VARS'!$C$60*($DK$80*0.5)+'LINEST VARS'!$B$60*($DK$80*$CX83)+'LINEST VARS'!$A$60*(0.5*$CX83)</f>
        <v>20.198000000000011</v>
      </c>
      <c r="DL83" s="46">
        <f>'LINEST VARS'!$U$60+'LINEST VARS'!$T$60*(8)+'LINEST VARS'!$S$60*(8)+'LINEST VARS'!$R$60*($DL$80)+'LINEST VARS'!$Q$60*(0.5)+'LINEST VARS'!$P$60*($CX83)+'LINEST VARS'!$O$60*(8^2)+'LINEST VARS'!$N$60*(8^2)+'LINEST VARS'!$M$60*($DL$80^2)+'LINEST VARS'!$L$60*(0.5^2)+'LINEST VARS'!$K$60*($CX83^2)+'LINEST VARS'!$J$60*(8*8)+'LINEST VARS'!$I$60*(8*$DL$80)+'LINEST VARS'!$H$60*(8*0.5)+'LINEST VARS'!$G$60*(8*$CX83)+'LINEST VARS'!$F$60*(8*$DL$80)+'LINEST VARS'!$E$60*(8*0.5)+'LINEST VARS'!$D$60*(8*$CX83)+'LINEST VARS'!$C$60*($DL$80*0.5)+'LINEST VARS'!$B$60*($DL$80*$CX83)+'LINEST VARS'!$A$60*(0.5*$CX83)</f>
        <v>20.198000000000011</v>
      </c>
      <c r="DM83" s="46">
        <f>'LINEST VARS'!$U$60+'LINEST VARS'!$T$60*(8)+'LINEST VARS'!$S$60*(8)+'LINEST VARS'!$R$60*($DM$80)+'LINEST VARS'!$Q$60*(0.5)+'LINEST VARS'!$P$60*($CX83)+'LINEST VARS'!$O$60*(8^2)+'LINEST VARS'!$N$60*(8^2)+'LINEST VARS'!$M$60*($DM$80^2)+'LINEST VARS'!$L$60*(0.5^2)+'LINEST VARS'!$K$60*($CX83^2)+'LINEST VARS'!$J$60*(8*8)+'LINEST VARS'!$I$60*(8*$DM$80)+'LINEST VARS'!$H$60*(8*0.5)+'LINEST VARS'!$G$60*(8*$CX83)+'LINEST VARS'!$F$60*(8*$DM$80)+'LINEST VARS'!$E$60*(8*0.5)+'LINEST VARS'!$D$60*(8*$CX83)+'LINEST VARS'!$C$60*($DM$80*0.5)+'LINEST VARS'!$B$60*($DM$80*$CX83)+'LINEST VARS'!$A$60*(0.5*$CX83)</f>
        <v>20.198000000000015</v>
      </c>
      <c r="DN83" s="46">
        <f>'LINEST VARS'!$U$60+'LINEST VARS'!$T$60*(8)+'LINEST VARS'!$S$60*(8)+'LINEST VARS'!$R$60*($DN$80)+'LINEST VARS'!$Q$60*(0.5)+'LINEST VARS'!$P$60*($CX83)+'LINEST VARS'!$O$60*(8^2)+'LINEST VARS'!$N$60*(8^2)+'LINEST VARS'!$M$60*($DN$80^2)+'LINEST VARS'!$L$60*(0.5^2)+'LINEST VARS'!$K$60*($CX83^2)+'LINEST VARS'!$J$60*(8*8)+'LINEST VARS'!$I$60*(8*$DN$80)+'LINEST VARS'!$H$60*(8*0.5)+'LINEST VARS'!$G$60*(8*$CX83)+'LINEST VARS'!$F$60*(8*$DN$80)+'LINEST VARS'!$E$60*(8*0.5)+'LINEST VARS'!$D$60*(8*$CX83)+'LINEST VARS'!$C$60*($DN$80*0.5)+'LINEST VARS'!$B$60*($DN$80*$CX83)+'LINEST VARS'!$A$60*(0.5*$CX83)</f>
        <v>20.198000000000015</v>
      </c>
      <c r="DO83" s="46">
        <f>'LINEST VARS'!$U$60+'LINEST VARS'!$T$60*(8)+'LINEST VARS'!$S$60*(8)+'LINEST VARS'!$R$60*($DO$80)+'LINEST VARS'!$Q$60*(0.5)+'LINEST VARS'!$P$60*($CX83)+'LINEST VARS'!$O$60*(8^2)+'LINEST VARS'!$N$60*(8^2)+'LINEST VARS'!$M$60*($DO$80^2)+'LINEST VARS'!$L$60*(0.5^2)+'LINEST VARS'!$K$60*($CX83^2)+'LINEST VARS'!$J$60*(8*8)+'LINEST VARS'!$I$60*(8*$DO$80)+'LINEST VARS'!$H$60*(8*0.5)+'LINEST VARS'!$G$60*(8*$CX83)+'LINEST VARS'!$F$60*(8*$DO$80)+'LINEST VARS'!$E$60*(8*0.5)+'LINEST VARS'!$D$60*(8*$CX83)+'LINEST VARS'!$C$60*($DO$80*0.5)+'LINEST VARS'!$B$60*($DO$80*$CX83)+'LINEST VARS'!$A$60*(0.5*$CX83)</f>
        <v>20.198000000000015</v>
      </c>
      <c r="DP83" s="46">
        <f>'LINEST VARS'!$U$60+'LINEST VARS'!$T$60*(8)+'LINEST VARS'!$S$60*(8)+'LINEST VARS'!$R$60*($DP$80)+'LINEST VARS'!$Q$60*(0.5)+'LINEST VARS'!$P$60*($CX83)+'LINEST VARS'!$O$60*(8^2)+'LINEST VARS'!$N$60*(8^2)+'LINEST VARS'!$M$60*($DP$80^2)+'LINEST VARS'!$L$60*(0.5^2)+'LINEST VARS'!$K$60*($CX83^2)+'LINEST VARS'!$J$60*(8*8)+'LINEST VARS'!$I$60*(8*$DP$80)+'LINEST VARS'!$H$60*(8*0.5)+'LINEST VARS'!$G$60*(8*$CX83)+'LINEST VARS'!$F$60*(8*$DP$80)+'LINEST VARS'!$E$60*(8*0.5)+'LINEST VARS'!$D$60*(8*$CX83)+'LINEST VARS'!$C$60*($DP$80*0.5)+'LINEST VARS'!$B$60*($DP$80*$CX83)+'LINEST VARS'!$A$60*(0.5*$CX83)</f>
        <v>20.198000000000015</v>
      </c>
      <c r="DQ83" s="46">
        <f>'LINEST VARS'!$U$60+'LINEST VARS'!$T$60*(8)+'LINEST VARS'!$S$60*(8)+'LINEST VARS'!$R$60*($DQ$80)+'LINEST VARS'!$Q$60*(0.5)+'LINEST VARS'!$P$60*($CX83)+'LINEST VARS'!$O$60*(8^2)+'LINEST VARS'!$N$60*(8^2)+'LINEST VARS'!$M$60*($DQ$80^2)+'LINEST VARS'!$L$60*(0.5^2)+'LINEST VARS'!$K$60*($CX83^2)+'LINEST VARS'!$J$60*(8*8)+'LINEST VARS'!$I$60*(8*$DQ$80)+'LINEST VARS'!$H$60*(8*0.5)+'LINEST VARS'!$G$60*(8*$CX83)+'LINEST VARS'!$F$60*(8*$DQ$80)+'LINEST VARS'!$E$60*(8*0.5)+'LINEST VARS'!$D$60*(8*$CX83)+'LINEST VARS'!$C$60*($DQ$80*0.5)+'LINEST VARS'!$B$60*($DQ$80*$CX83)+'LINEST VARS'!$A$60*(0.5*$CX83)</f>
        <v>20.198000000000011</v>
      </c>
      <c r="DR83" s="46">
        <f>'LINEST VARS'!$U$60+'LINEST VARS'!$T$60*(8)+'LINEST VARS'!$S$60*(8)+'LINEST VARS'!$R$60*($DR$80)+'LINEST VARS'!$Q$60*(0.5)+'LINEST VARS'!$P$60*($CX83)+'LINEST VARS'!$O$60*(8^2)+'LINEST VARS'!$N$60*(8^2)+'LINEST VARS'!$M$60*($DR$80^2)+'LINEST VARS'!$L$60*(0.5^2)+'LINEST VARS'!$K$60*($CX83^2)+'LINEST VARS'!$J$60*(8*8)+'LINEST VARS'!$I$60*(8*$DR$80)+'LINEST VARS'!$H$60*(8*0.5)+'LINEST VARS'!$G$60*(8*$CX83)+'LINEST VARS'!$F$60*(8*$DR$80)+'LINEST VARS'!$E$60*(8*0.5)+'LINEST VARS'!$D$60*(8*$CX83)+'LINEST VARS'!$C$60*($DR$80*0.5)+'LINEST VARS'!$B$60*($DR$80*$CX83)+'LINEST VARS'!$A$60*(0.5*$CX83)</f>
        <v>20.198000000000011</v>
      </c>
      <c r="DS83" s="47">
        <f>'LINEST VARS'!$U$60+'LINEST VARS'!$T$60*(8)+'LINEST VARS'!$S$60*(8)+'LINEST VARS'!$R$60*($DS$80)+'LINEST VARS'!$Q$60*(0.5)+'LINEST VARS'!$P$60*($CX83)+'LINEST VARS'!$O$60*(8^2)+'LINEST VARS'!$N$60*(8^2)+'LINEST VARS'!$M$60*($DS$80^2)+'LINEST VARS'!$L$60*(0.5^2)+'LINEST VARS'!$K$60*($CX83^2)+'LINEST VARS'!$J$60*(8*8)+'LINEST VARS'!$I$60*(8*$DS$80)+'LINEST VARS'!$H$60*(8*0.5)+'LINEST VARS'!$G$60*(8*$CX83)+'LINEST VARS'!$F$60*(8*$DS$80)+'LINEST VARS'!$E$60*(8*0.5)+'LINEST VARS'!$D$60*(8*$CX83)+'LINEST VARS'!$C$60*($DS$80*0.5)+'LINEST VARS'!$B$60*($DS$80*$CX83)+'LINEST VARS'!$A$60*(0.5*$CX83)</f>
        <v>20.198000000000008</v>
      </c>
      <c r="DV83" s="45">
        <v>2.5990000000000002</v>
      </c>
      <c r="DW83" s="55">
        <f>'LINEST VARS'!$U$62+'LINEST VARS'!$T$62*(8)+'LINEST VARS'!$S$62*(8)+'LINEST VARS'!$R$62*($DW$80)+'LINEST VARS'!$Q$62*(0.5)+'LINEST VARS'!$P$62*($DV83)+'LINEST VARS'!$O$62*(8^2)+'LINEST VARS'!$N$62*(8^2)+'LINEST VARS'!$M$62*($DW$80^2)+'LINEST VARS'!$L$62*(0.5^2)+'LINEST VARS'!$K$62*($DV83^2)+'LINEST VARS'!$J$62*(8*8)+'LINEST VARS'!$I$62*(8*$DW$80)+'LINEST VARS'!$H$62*(8*0.5)+'LINEST VARS'!$G$62*(8*$DV83)+'LINEST VARS'!$F$62*(8*$DW$80)+'LINEST VARS'!$E$62*(8*0.5)+'LINEST VARS'!$D$62*(8*$DV83)+'LINEST VARS'!$C$62*($DW$80*0.5)+'LINEST VARS'!$B$62*($DW$80*$DV83)+'LINEST VARS'!$A$62*(0.5*$DV83)</f>
        <v>349.49999999999983</v>
      </c>
      <c r="DX83" s="55">
        <f>'LINEST VARS'!$U$62+'LINEST VARS'!$T$62*(8)+'LINEST VARS'!$S$62*(8)+'LINEST VARS'!$R$62*($DX$80)+'LINEST VARS'!$Q$62*(0.5)+'LINEST VARS'!$P$62*($DV83)+'LINEST VARS'!$O$62*(8^2)+'LINEST VARS'!$N$62*(8^2)+'LINEST VARS'!$M$62*($DX$80^2)+'LINEST VARS'!$L$62*(0.5^2)+'LINEST VARS'!$K$62*($DV83^2)+'LINEST VARS'!$J$62*(8*8)+'LINEST VARS'!$I$62*(8*$DX$80)+'LINEST VARS'!$H$62*(8*0.5)+'LINEST VARS'!$G$62*(8*$DV83)+'LINEST VARS'!$F$62*(8*$DX$80)+'LINEST VARS'!$E$62*(8*0.5)+'LINEST VARS'!$D$62*(8*$DV83)+'LINEST VARS'!$C$62*($DX$80*0.5)+'LINEST VARS'!$B$62*($DX$80*$DV83)+'LINEST VARS'!$A$62*(0.5*$DV83)</f>
        <v>348.69999999999987</v>
      </c>
      <c r="DY83" s="55">
        <f>'LINEST VARS'!$U$62+'LINEST VARS'!$T$62*(8)+'LINEST VARS'!$S$62*(8)+'LINEST VARS'!$R$62*($DY$80)+'LINEST VARS'!$Q$62*(0.5)+'LINEST VARS'!$P$62*($DV83)+'LINEST VARS'!$O$62*(8^2)+'LINEST VARS'!$N$62*(8^2)+'LINEST VARS'!$M$62*($DY$80^2)+'LINEST VARS'!$L$62*(0.5^2)+'LINEST VARS'!$K$62*($DV83^2)+'LINEST VARS'!$J$62*(8*8)+'LINEST VARS'!$I$62*(8*$DY$80)+'LINEST VARS'!$H$62*(8*0.5)+'LINEST VARS'!$G$62*(8*$DV83)+'LINEST VARS'!$F$62*(8*$DY$80)+'LINEST VARS'!$E$62*(8*0.5)+'LINEST VARS'!$D$62*(8*$DV83)+'LINEST VARS'!$C$62*($DY$80*0.5)+'LINEST VARS'!$B$62*($DY$80*$DV83)+'LINEST VARS'!$A$62*(0.5*$DV83)</f>
        <v>346.29999999999978</v>
      </c>
      <c r="DZ83" s="55">
        <f>'LINEST VARS'!$U$62+'LINEST VARS'!$T$62*(8)+'LINEST VARS'!$S$62*(8)+'LINEST VARS'!$R$62*($DZ$80)+'LINEST VARS'!$Q$62*(0.5)+'LINEST VARS'!$P$62*($DV83)+'LINEST VARS'!$O$62*(8^2)+'LINEST VARS'!$N$62*(8^2)+'LINEST VARS'!$M$62*($DZ$80^2)+'LINEST VARS'!$L$62*(0.5^2)+'LINEST VARS'!$K$62*($DV83^2)+'LINEST VARS'!$J$62*(8*8)+'LINEST VARS'!$I$62*(8*$DZ$80)+'LINEST VARS'!$H$62*(8*0.5)+'LINEST VARS'!$G$62*(8*$DV83)+'LINEST VARS'!$F$62*(8*$DZ$80)+'LINEST VARS'!$E$62*(8*0.5)+'LINEST VARS'!$D$62*(8*$DV83)+'LINEST VARS'!$C$62*($DZ$80*0.5)+'LINEST VARS'!$B$62*($DZ$80*$DV83)+'LINEST VARS'!$A$62*(0.5*$DV83)</f>
        <v>342.29999999999984</v>
      </c>
      <c r="EA83" s="55">
        <f>'LINEST VARS'!$U$62+'LINEST VARS'!$T$62*(8)+'LINEST VARS'!$S$62*(8)+'LINEST VARS'!$R$62*($EA$80)+'LINEST VARS'!$Q$62*(0.5)+'LINEST VARS'!$P$62*($DV83)+'LINEST VARS'!$O$62*(8^2)+'LINEST VARS'!$N$62*(8^2)+'LINEST VARS'!$M$62*($EA$80^2)+'LINEST VARS'!$L$62*(0.5^2)+'LINEST VARS'!$K$62*($DV83^2)+'LINEST VARS'!$J$62*(8*8)+'LINEST VARS'!$I$62*(8*$EA$80)+'LINEST VARS'!$H$62*(8*0.5)+'LINEST VARS'!$G$62*(8*$DV83)+'LINEST VARS'!$F$62*(8*$EA$80)+'LINEST VARS'!$E$62*(8*0.5)+'LINEST VARS'!$D$62*(8*$DV83)+'LINEST VARS'!$C$62*($EA$80*0.5)+'LINEST VARS'!$B$62*($EA$80*$DV83)+'LINEST VARS'!$A$62*(0.5*$DV83)</f>
        <v>336.69999999999987</v>
      </c>
      <c r="EB83" s="55">
        <f>'LINEST VARS'!$U$62+'LINEST VARS'!$T$62*(8)+'LINEST VARS'!$S$62*(8)+'LINEST VARS'!$R$62*($EB$80)+'LINEST VARS'!$Q$62*(0.5)+'LINEST VARS'!$P$62*($DV83)+'LINEST VARS'!$O$62*(8^2)+'LINEST VARS'!$N$62*(8^2)+'LINEST VARS'!$M$62*($EB$80^2)+'LINEST VARS'!$L$62*(0.5^2)+'LINEST VARS'!$K$62*($DV83^2)+'LINEST VARS'!$J$62*(8*8)+'LINEST VARS'!$I$62*(8*$EB$80)+'LINEST VARS'!$H$62*(8*0.5)+'LINEST VARS'!$G$62*(8*$DV83)+'LINEST VARS'!$F$62*(8*$EB$80)+'LINEST VARS'!$E$62*(8*0.5)+'LINEST VARS'!$D$62*(8*$DV83)+'LINEST VARS'!$C$62*($EB$80*0.5)+'LINEST VARS'!$B$62*($EB$80*$DV83)+'LINEST VARS'!$A$62*(0.5*$DV83)</f>
        <v>329.49999999999994</v>
      </c>
      <c r="EC83" s="55">
        <f>'LINEST VARS'!$U$62+'LINEST VARS'!$T$62*(8)+'LINEST VARS'!$S$62*(8)+'LINEST VARS'!$R$62*($EC$80)+'LINEST VARS'!$Q$62*(0.5)+'LINEST VARS'!$P$62*($DV83)+'LINEST VARS'!$O$62*(8^2)+'LINEST VARS'!$N$62*(8^2)+'LINEST VARS'!$M$62*($EC$80^2)+'LINEST VARS'!$L$62*(0.5^2)+'LINEST VARS'!$K$62*($DV83^2)+'LINEST VARS'!$J$62*(8*8)+'LINEST VARS'!$I$62*(8*$EC$80)+'LINEST VARS'!$H$62*(8*0.5)+'LINEST VARS'!$G$62*(8*$DV83)+'LINEST VARS'!$F$62*(8*$EC$80)+'LINEST VARS'!$E$62*(8*0.5)+'LINEST VARS'!$D$62*(8*$DV83)+'LINEST VARS'!$C$62*($EC$80*0.5)+'LINEST VARS'!$B$62*($EC$80*$DV83)+'LINEST VARS'!$A$62*(0.5*$DV83)</f>
        <v>320.69999999999987</v>
      </c>
      <c r="ED83" s="55">
        <f>'LINEST VARS'!$U$62+'LINEST VARS'!$T$62*(8)+'LINEST VARS'!$S$62*(8)+'LINEST VARS'!$R$62*($ED$80)+'LINEST VARS'!$Q$62*(0.5)+'LINEST VARS'!$P$62*($DV83)+'LINEST VARS'!$O$62*(8^2)+'LINEST VARS'!$N$62*(8^2)+'LINEST VARS'!$M$62*($ED$80^2)+'LINEST VARS'!$L$62*(0.5^2)+'LINEST VARS'!$K$62*($DV83^2)+'LINEST VARS'!$J$62*(8*8)+'LINEST VARS'!$I$62*(8*$ED$80)+'LINEST VARS'!$H$62*(8*0.5)+'LINEST VARS'!$G$62*(8*$DV83)+'LINEST VARS'!$F$62*(8*$ED$80)+'LINEST VARS'!$E$62*(8*0.5)+'LINEST VARS'!$D$62*(8*$DV83)+'LINEST VARS'!$C$62*($ED$80*0.5)+'LINEST VARS'!$B$62*($ED$80*$DV83)+'LINEST VARS'!$A$62*(0.5*$DV83)</f>
        <v>310.2999999999999</v>
      </c>
      <c r="EE83" s="55">
        <f>'LINEST VARS'!$U$62+'LINEST VARS'!$T$62*(8)+'LINEST VARS'!$S$62*(8)+'LINEST VARS'!$R$62*($EE$80)+'LINEST VARS'!$Q$62*(0.5)+'LINEST VARS'!$P$62*($DV83)+'LINEST VARS'!$O$62*(8^2)+'LINEST VARS'!$N$62*(8^2)+'LINEST VARS'!$M$62*($EE$80^2)+'LINEST VARS'!$L$62*(0.5^2)+'LINEST VARS'!$K$62*($DV83^2)+'LINEST VARS'!$J$62*(8*8)+'LINEST VARS'!$I$62*(8*$EE$80)+'LINEST VARS'!$H$62*(8*0.5)+'LINEST VARS'!$G$62*(8*$DV83)+'LINEST VARS'!$F$62*(8*$EE$80)+'LINEST VARS'!$E$62*(8*0.5)+'LINEST VARS'!$D$62*(8*$DV83)+'LINEST VARS'!$C$62*($EE$80*0.5)+'LINEST VARS'!$B$62*($EE$80*$DV83)+'LINEST VARS'!$A$62*(0.5*$DV83)</f>
        <v>298.29999999999995</v>
      </c>
      <c r="EF83" s="55">
        <f>'LINEST VARS'!$U$62+'LINEST VARS'!$T$62*(8)+'LINEST VARS'!$S$62*(8)+'LINEST VARS'!$R$62*($EF$80)+'LINEST VARS'!$Q$62*(0.5)+'LINEST VARS'!$P$62*($DV83)+'LINEST VARS'!$O$62*(8^2)+'LINEST VARS'!$N$62*(8^2)+'LINEST VARS'!$M$62*($EF$80^2)+'LINEST VARS'!$L$62*(0.5^2)+'LINEST VARS'!$K$62*($DV83^2)+'LINEST VARS'!$J$62*(8*8)+'LINEST VARS'!$I$62*(8*$EF$80)+'LINEST VARS'!$H$62*(8*0.5)+'LINEST VARS'!$G$62*(8*$DV83)+'LINEST VARS'!$F$62*(8*$EF$80)+'LINEST VARS'!$E$62*(8*0.5)+'LINEST VARS'!$D$62*(8*$DV83)+'LINEST VARS'!$C$62*($EF$80*0.5)+'LINEST VARS'!$B$62*($EF$80*$DV83)+'LINEST VARS'!$A$62*(0.5*$DV83)</f>
        <v>284.69999999999993</v>
      </c>
      <c r="EG83" s="55">
        <f>'LINEST VARS'!$U$62+'LINEST VARS'!$T$62*(8)+'LINEST VARS'!$S$62*(8)+'LINEST VARS'!$R$62*($EG$80)+'LINEST VARS'!$Q$62*(0.5)+'LINEST VARS'!$P$62*($DV83)+'LINEST VARS'!$O$62*(8^2)+'LINEST VARS'!$N$62*(8^2)+'LINEST VARS'!$M$62*($EG$80^2)+'LINEST VARS'!$L$62*(0.5^2)+'LINEST VARS'!$K$62*($DV83^2)+'LINEST VARS'!$J$62*(8*8)+'LINEST VARS'!$I$62*(8*$EG$80)+'LINEST VARS'!$H$62*(8*0.5)+'LINEST VARS'!$G$62*(8*$DV83)+'LINEST VARS'!$F$62*(8*$EG$80)+'LINEST VARS'!$E$62*(8*0.5)+'LINEST VARS'!$D$62*(8*$DV83)+'LINEST VARS'!$C$62*($EG$80*0.5)+'LINEST VARS'!$B$62*($EG$80*$DV83)+'LINEST VARS'!$A$62*(0.5*$DV83)</f>
        <v>269.49999999999994</v>
      </c>
      <c r="EH83" s="55">
        <f>'LINEST VARS'!$U$62+'LINEST VARS'!$T$62*(8)+'LINEST VARS'!$S$62*(8)+'LINEST VARS'!$R$62*($EH$80)+'LINEST VARS'!$Q$62*(0.5)+'LINEST VARS'!$P$62*($DV83)+'LINEST VARS'!$O$62*(8^2)+'LINEST VARS'!$N$62*(8^2)+'LINEST VARS'!$M$62*($EH$80^2)+'LINEST VARS'!$L$62*(0.5^2)+'LINEST VARS'!$K$62*($DV83^2)+'LINEST VARS'!$J$62*(8*8)+'LINEST VARS'!$I$62*(8*$EH$80)+'LINEST VARS'!$H$62*(8*0.5)+'LINEST VARS'!$G$62*(8*$DV83)+'LINEST VARS'!$F$62*(8*$EH$80)+'LINEST VARS'!$E$62*(8*0.5)+'LINEST VARS'!$D$62*(8*$DV83)+'LINEST VARS'!$C$62*($EH$80*0.5)+'LINEST VARS'!$B$62*($EH$80*$DV83)+'LINEST VARS'!$A$62*(0.5*$DV83)</f>
        <v>252.70000000000002</v>
      </c>
      <c r="EI83" s="55">
        <f>'LINEST VARS'!$U$62+'LINEST VARS'!$T$62*(8)+'LINEST VARS'!$S$62*(8)+'LINEST VARS'!$R$62*($EI$80)+'LINEST VARS'!$Q$62*(0.5)+'LINEST VARS'!$P$62*($DV83)+'LINEST VARS'!$O$62*(8^2)+'LINEST VARS'!$N$62*(8^2)+'LINEST VARS'!$M$62*($EI$80^2)+'LINEST VARS'!$L$62*(0.5^2)+'LINEST VARS'!$K$62*($DV83^2)+'LINEST VARS'!$J$62*(8*8)+'LINEST VARS'!$I$62*(8*$EI$80)+'LINEST VARS'!$H$62*(8*0.5)+'LINEST VARS'!$G$62*(8*$DV83)+'LINEST VARS'!$F$62*(8*$EI$80)+'LINEST VARS'!$E$62*(8*0.5)+'LINEST VARS'!$D$62*(8*$DV83)+'LINEST VARS'!$C$62*($EI$80*0.5)+'LINEST VARS'!$B$62*($EI$80*$DV83)+'LINEST VARS'!$A$62*(0.5*$DV83)</f>
        <v>234.30000000000007</v>
      </c>
      <c r="EJ83" s="55">
        <f>'LINEST VARS'!$U$62+'LINEST VARS'!$T$62*(8)+'LINEST VARS'!$S$62*(8)+'LINEST VARS'!$R$62*($EJ$80)+'LINEST VARS'!$Q$62*(0.5)+'LINEST VARS'!$P$62*($DV83)+'LINEST VARS'!$O$62*(8^2)+'LINEST VARS'!$N$62*(8^2)+'LINEST VARS'!$M$62*($EJ$80^2)+'LINEST VARS'!$L$62*(0.5^2)+'LINEST VARS'!$K$62*($DV83^2)+'LINEST VARS'!$J$62*(8*8)+'LINEST VARS'!$I$62*(8*$EJ$80)+'LINEST VARS'!$H$62*(8*0.5)+'LINEST VARS'!$G$62*(8*$DV83)+'LINEST VARS'!$F$62*(8*$EJ$80)+'LINEST VARS'!$E$62*(8*0.5)+'LINEST VARS'!$D$62*(8*$DV83)+'LINEST VARS'!$C$62*($EJ$80*0.5)+'LINEST VARS'!$B$62*($EJ$80*$DV83)+'LINEST VARS'!$A$62*(0.5*$DV83)</f>
        <v>214.3</v>
      </c>
      <c r="EK83" s="55">
        <f>'LINEST VARS'!$U$62+'LINEST VARS'!$T$62*(8)+'LINEST VARS'!$S$62*(8)+'LINEST VARS'!$R$62*($EK$80)+'LINEST VARS'!$Q$62*(0.5)+'LINEST VARS'!$P$62*($DV83)+'LINEST VARS'!$O$62*(8^2)+'LINEST VARS'!$N$62*(8^2)+'LINEST VARS'!$M$62*($EK$80^2)+'LINEST VARS'!$L$62*(0.5^2)+'LINEST VARS'!$K$62*($DV83^2)+'LINEST VARS'!$J$62*(8*8)+'LINEST VARS'!$I$62*(8*$EK$80)+'LINEST VARS'!$H$62*(8*0.5)+'LINEST VARS'!$G$62*(8*$DV83)+'LINEST VARS'!$F$62*(8*$EK$80)+'LINEST VARS'!$E$62*(8*0.5)+'LINEST VARS'!$D$62*(8*$DV83)+'LINEST VARS'!$C$62*($EK$80*0.5)+'LINEST VARS'!$B$62*($EK$80*$DV83)+'LINEST VARS'!$A$62*(0.5*$DV83)</f>
        <v>192.7000000000001</v>
      </c>
      <c r="EL83" s="55">
        <f>'LINEST VARS'!$U$62+'LINEST VARS'!$T$62*(8)+'LINEST VARS'!$S$62*(8)+'LINEST VARS'!$R$62*($EL$80)+'LINEST VARS'!$Q$62*(0.5)+'LINEST VARS'!$P$62*($DV83)+'LINEST VARS'!$O$62*(8^2)+'LINEST VARS'!$N$62*(8^2)+'LINEST VARS'!$M$62*($EL$80^2)+'LINEST VARS'!$L$62*(0.5^2)+'LINEST VARS'!$K$62*($DV83^2)+'LINEST VARS'!$J$62*(8*8)+'LINEST VARS'!$I$62*(8*$EL$80)+'LINEST VARS'!$H$62*(8*0.5)+'LINEST VARS'!$G$62*(8*$DV83)+'LINEST VARS'!$F$62*(8*$EL$80)+'LINEST VARS'!$E$62*(8*0.5)+'LINEST VARS'!$D$62*(8*$DV83)+'LINEST VARS'!$C$62*($EL$80*0.5)+'LINEST VARS'!$B$62*($EL$80*$DV83)+'LINEST VARS'!$A$62*(0.5*$DV83)</f>
        <v>169.50000000000009</v>
      </c>
      <c r="EM83" s="55">
        <f>'LINEST VARS'!$U$62+'LINEST VARS'!$T$62*(8)+'LINEST VARS'!$S$62*(8)+'LINEST VARS'!$R$62*($EM$80)+'LINEST VARS'!$Q$62*(0.5)+'LINEST VARS'!$P$62*($DV83)+'LINEST VARS'!$O$62*(8^2)+'LINEST VARS'!$N$62*(8^2)+'LINEST VARS'!$M$62*($EM$80^2)+'LINEST VARS'!$L$62*(0.5^2)+'LINEST VARS'!$K$62*($DV83^2)+'LINEST VARS'!$J$62*(8*8)+'LINEST VARS'!$I$62*(8*$EM$80)+'LINEST VARS'!$H$62*(8*0.5)+'LINEST VARS'!$G$62*(8*$DV83)+'LINEST VARS'!$F$62*(8*$EM$80)+'LINEST VARS'!$E$62*(8*0.5)+'LINEST VARS'!$D$62*(8*$DV83)+'LINEST VARS'!$C$62*($EM$80*0.5)+'LINEST VARS'!$B$62*($EM$80*$DV83)+'LINEST VARS'!$A$62*(0.5*$DV83)</f>
        <v>144.70000000000007</v>
      </c>
      <c r="EN83" s="55">
        <f>'LINEST VARS'!$U$62+'LINEST VARS'!$T$62*(8)+'LINEST VARS'!$S$62*(8)+'LINEST VARS'!$R$62*($EN$80)+'LINEST VARS'!$Q$62*(0.5)+'LINEST VARS'!$P$62*($DV83)+'LINEST VARS'!$O$62*(8^2)+'LINEST VARS'!$N$62*(8^2)+'LINEST VARS'!$M$62*($EN$80^2)+'LINEST VARS'!$L$62*(0.5^2)+'LINEST VARS'!$K$62*($DV83^2)+'LINEST VARS'!$J$62*(8*8)+'LINEST VARS'!$I$62*(8*$EN$80)+'LINEST VARS'!$H$62*(8*0.5)+'LINEST VARS'!$G$62*(8*$DV83)+'LINEST VARS'!$F$62*(8*$EN$80)+'LINEST VARS'!$E$62*(8*0.5)+'LINEST VARS'!$D$62*(8*$DV83)+'LINEST VARS'!$C$62*($EN$80*0.5)+'LINEST VARS'!$B$62*($EN$80*$DV83)+'LINEST VARS'!$A$62*(0.5*$DV83)</f>
        <v>118.3000000000001</v>
      </c>
      <c r="EO83" s="55">
        <f>'LINEST VARS'!$U$62+'LINEST VARS'!$T$62*(8)+'LINEST VARS'!$S$62*(8)+'LINEST VARS'!$R$62*($EO$80)+'LINEST VARS'!$Q$62*(0.5)+'LINEST VARS'!$P$62*($DV83)+'LINEST VARS'!$O$62*(8^2)+'LINEST VARS'!$N$62*(8^2)+'LINEST VARS'!$M$62*($EO$80^2)+'LINEST VARS'!$L$62*(0.5^2)+'LINEST VARS'!$K$62*($DV83^2)+'LINEST VARS'!$J$62*(8*8)+'LINEST VARS'!$I$62*(8*$EO$80)+'LINEST VARS'!$H$62*(8*0.5)+'LINEST VARS'!$G$62*(8*$DV83)+'LINEST VARS'!$F$62*(8*$EO$80)+'LINEST VARS'!$E$62*(8*0.5)+'LINEST VARS'!$D$62*(8*$DV83)+'LINEST VARS'!$C$62*($EO$80*0.5)+'LINEST VARS'!$B$62*($EO$80*$DV83)+'LINEST VARS'!$A$62*(0.5*$DV83)</f>
        <v>90.300000000000097</v>
      </c>
      <c r="EP83" s="55">
        <f>'LINEST VARS'!$U$62+'LINEST VARS'!$T$62*(8)+'LINEST VARS'!$S$62*(8)+'LINEST VARS'!$R$62*($EP$80)+'LINEST VARS'!$Q$62*(0.5)+'LINEST VARS'!$P$62*($DV83)+'LINEST VARS'!$O$62*(8^2)+'LINEST VARS'!$N$62*(8^2)+'LINEST VARS'!$M$62*($EP$80^2)+'LINEST VARS'!$L$62*(0.5^2)+'LINEST VARS'!$K$62*($DV83^2)+'LINEST VARS'!$J$62*(8*8)+'LINEST VARS'!$I$62*(8*$EP$80)+'LINEST VARS'!$H$62*(8*0.5)+'LINEST VARS'!$G$62*(8*$DV83)+'LINEST VARS'!$F$62*(8*$EP$80)+'LINEST VARS'!$E$62*(8*0.5)+'LINEST VARS'!$D$62*(8*$DV83)+'LINEST VARS'!$C$62*($EP$80*0.5)+'LINEST VARS'!$B$62*($EP$80*$DV83)+'LINEST VARS'!$A$62*(0.5*$DV83)</f>
        <v>60.700000000000152</v>
      </c>
      <c r="EQ83" s="56">
        <f>'LINEST VARS'!$U$62+'LINEST VARS'!$T$62*(8)+'LINEST VARS'!$S$62*(8)+'LINEST VARS'!$R$62*($EQ$80)+'LINEST VARS'!$Q$62*(0.5)+'LINEST VARS'!$P$62*($DV83)+'LINEST VARS'!$O$62*(8^2)+'LINEST VARS'!$N$62*(8^2)+'LINEST VARS'!$M$62*($EQ$80^2)+'LINEST VARS'!$L$62*(0.5^2)+'LINEST VARS'!$K$62*($DV83^2)+'LINEST VARS'!$J$62*(8*8)+'LINEST VARS'!$I$62*(8*$EQ$80)+'LINEST VARS'!$H$62*(8*0.5)+'LINEST VARS'!$G$62*(8*$DV83)+'LINEST VARS'!$F$62*(8*$EQ$80)+'LINEST VARS'!$E$62*(8*0.5)+'LINEST VARS'!$D$62*(8*$DV83)+'LINEST VARS'!$C$62*($EQ$80*0.5)+'LINEST VARS'!$B$62*($EQ$80*$DV83)+'LINEST VARS'!$A$62*(0.5*$DV83)</f>
        <v>29.500000000000192</v>
      </c>
    </row>
    <row r="84" spans="2:147" ht="15" customHeight="1" x14ac:dyDescent="0.25">
      <c r="B84" s="45">
        <v>7.58</v>
      </c>
      <c r="C84" s="46">
        <f>'LINEST VARS'!$U$60+'LINEST VARS'!$T$60*($C$80)+'LINEST VARS'!$S$60*($B84)+'LINEST VARS'!$R$60*(4)+'LINEST VARS'!$Q$60*(0.5)+'LINEST VARS'!$P$60*(12.73)+'LINEST VARS'!$O$60*($C$80^2)+'LINEST VARS'!$N$60*($B84^2)+'LINEST VARS'!$M$60*(4^2)+'LINEST VARS'!$L$60*(0.5^2)+'LINEST VARS'!$K$60*(12.73^2)+'LINEST VARS'!$J$60*($C$80*$B84)+'LINEST VARS'!$I$60*($C$80*4)+'LINEST VARS'!$H$60*($C$80*0.5)+'LINEST VARS'!$G$60*($C$80*12.73)+'LINEST VARS'!$F$60*($B84*4)+'LINEST VARS'!$E$60*($B84*0.5)+'LINEST VARS'!$D$60*($B84*12.73)+'LINEST VARS'!$C$60*(4*0.5)+'LINEST VARS'!$B$60*(4*12.73)+'LINEST VARS'!$A$60*(0.5*12.73)</f>
        <v>40.460000000000008</v>
      </c>
      <c r="D84" s="46">
        <f>'LINEST VARS'!$U$60+'LINEST VARS'!$T$60*($D$80)+'LINEST VARS'!$S$60*($B84)+'LINEST VARS'!$R$60*(4)+'LINEST VARS'!$Q$60*(0.5)+'LINEST VARS'!$P$60*(12.73)+'LINEST VARS'!$O$60*($D$80^2)+'LINEST VARS'!$N$60*($B84^2)+'LINEST VARS'!$M$60*(4^2)+'LINEST VARS'!$L$60*(0.5^2)+'LINEST VARS'!$K$60*(12.73^2)+'LINEST VARS'!$J$60*($D$80*$B84)+'LINEST VARS'!$I$60*($D$80*4)+'LINEST VARS'!$H$60*($D$80*0.5)+'LINEST VARS'!$G$60*($D$80*12.73)+'LINEST VARS'!$F$60*($B84*4)+'LINEST VARS'!$E$60*($B84*0.5)+'LINEST VARS'!$D$60*($B84*12.73)+'LINEST VARS'!$C$60*(4*0.5)+'LINEST VARS'!$B$60*(4*12.73)+'LINEST VARS'!$A$60*(0.5*12.73)</f>
        <v>40.460000000000008</v>
      </c>
      <c r="E84" s="46">
        <f>'LINEST VARS'!$U$60+'LINEST VARS'!$T$60*($E$80)+'LINEST VARS'!$S$60*($B84)+'LINEST VARS'!$R$60*(4)+'LINEST VARS'!$Q$60*(0.5)+'LINEST VARS'!$P$60*(12.73)+'LINEST VARS'!$O$60*($E$80^2)+'LINEST VARS'!$N$60*($B84^2)+'LINEST VARS'!$M$60*(4^2)+'LINEST VARS'!$L$60*(0.5^2)+'LINEST VARS'!$K$60*(12.73^2)+'LINEST VARS'!$J$60*($E$80*$B84)+'LINEST VARS'!$I$60*($E$80*4)+'LINEST VARS'!$H$60*($E$80*0.5)+'LINEST VARS'!$G$60*($E$80*12.73)+'LINEST VARS'!$F$60*($B84*4)+'LINEST VARS'!$E$60*($B84*0.5)+'LINEST VARS'!$D$60*($B84*12.73)+'LINEST VARS'!$C$60*(4*0.5)+'LINEST VARS'!$B$60*(4*12.73)+'LINEST VARS'!$A$60*(0.5*12.73)</f>
        <v>40.460000000000008</v>
      </c>
      <c r="F84" s="46">
        <f>'LINEST VARS'!$U$60+'LINEST VARS'!$T$60*($F$80)+'LINEST VARS'!$S$60*($B84)+'LINEST VARS'!$R$60*(4)+'LINEST VARS'!$Q$60*(0.5)+'LINEST VARS'!$P$60*(12.73)+'LINEST VARS'!$O$60*($F$80^2)+'LINEST VARS'!$N$60*($B84^2)+'LINEST VARS'!$M$60*(4^2)+'LINEST VARS'!$L$60*(0.5^2)+'LINEST VARS'!$K$60*(12.73^2)+'LINEST VARS'!$J$60*($F$80*$B84)+'LINEST VARS'!$I$60*($F$80*4)+'LINEST VARS'!$H$60*($F$80*0.5)+'LINEST VARS'!$G$60*($F$80*12.73)+'LINEST VARS'!$F$60*($B84*4)+'LINEST VARS'!$E$60*($B84*0.5)+'LINEST VARS'!$D$60*($B84*12.73)+'LINEST VARS'!$C$60*(4*0.5)+'LINEST VARS'!$B$60*(4*12.73)+'LINEST VARS'!$A$60*(0.5*12.73)</f>
        <v>40.460000000000008</v>
      </c>
      <c r="G84" s="46">
        <f>'LINEST VARS'!$U$60+'LINEST VARS'!$T$60*($G$80)+'LINEST VARS'!$S$60*($B84)+'LINEST VARS'!$R$60*(4)+'LINEST VARS'!$Q$60*(0.5)+'LINEST VARS'!$P$60*(12.73)+'LINEST VARS'!$O$60*($G$80^2)+'LINEST VARS'!$N$60*($B84^2)+'LINEST VARS'!$M$60*(4^2)+'LINEST VARS'!$L$60*(0.5^2)+'LINEST VARS'!$K$60*(12.73^2)+'LINEST VARS'!$J$60*($G$80*$B84)+'LINEST VARS'!$I$60*($G$80*4)+'LINEST VARS'!$H$60*($G$80*0.5)+'LINEST VARS'!$G$60*($G$80*12.73)+'LINEST VARS'!$F$60*($B84*4)+'LINEST VARS'!$E$60*($B84*0.5)+'LINEST VARS'!$D$60*($B84*12.73)+'LINEST VARS'!$C$60*(4*0.5)+'LINEST VARS'!$B$60*(4*12.73)+'LINEST VARS'!$A$60*(0.5*12.73)</f>
        <v>40.460000000000008</v>
      </c>
      <c r="H84" s="46">
        <f>'LINEST VARS'!$U$60+'LINEST VARS'!$T$60*($H$80)+'LINEST VARS'!$S$60*($B84)+'LINEST VARS'!$R$60*(4)+'LINEST VARS'!$Q$60*(0.5)+'LINEST VARS'!$P$60*(12.73)+'LINEST VARS'!$O$60*($H$80^2)+'LINEST VARS'!$N$60*($B84^2)+'LINEST VARS'!$M$60*(4^2)+'LINEST VARS'!$L$60*(0.5^2)+'LINEST VARS'!$K$60*(12.73^2)+'LINEST VARS'!$J$60*($H$80*$B84)+'LINEST VARS'!$I$60*($H$80*4)+'LINEST VARS'!$H$60*($H$80*0.5)+'LINEST VARS'!$G$60*($H$80*12.73)+'LINEST VARS'!$F$60*($B84*4)+'LINEST VARS'!$E$60*($B84*0.5)+'LINEST VARS'!$D$60*($B84*12.73)+'LINEST VARS'!$C$60*(4*0.5)+'LINEST VARS'!$B$60*(4*12.73)+'LINEST VARS'!$A$60*(0.5*12.73)</f>
        <v>40.460000000000008</v>
      </c>
      <c r="I84" s="46">
        <f>'LINEST VARS'!$U$60+'LINEST VARS'!$T$60*($I$80)+'LINEST VARS'!$S$60*($B84)+'LINEST VARS'!$R$60*(4)+'LINEST VARS'!$Q$60*(0.5)+'LINEST VARS'!$P$60*(12.73)+'LINEST VARS'!$O$60*($I$80^2)+'LINEST VARS'!$N$60*($B84^2)+'LINEST VARS'!$M$60*(4^2)+'LINEST VARS'!$L$60*(0.5^2)+'LINEST VARS'!$K$60*(12.73^2)+'LINEST VARS'!$J$60*($I$80*$B84)+'LINEST VARS'!$I$60*($I$80*4)+'LINEST VARS'!$H$60*($I$80*0.5)+'LINEST VARS'!$G$60*($I$80*12.73)+'LINEST VARS'!$F$60*($B84*4)+'LINEST VARS'!$E$60*($B84*0.5)+'LINEST VARS'!$D$60*($B84*12.73)+'LINEST VARS'!$C$60*(4*0.5)+'LINEST VARS'!$B$60*(4*12.73)+'LINEST VARS'!$A$60*(0.5*12.73)</f>
        <v>40.460000000000015</v>
      </c>
      <c r="J84" s="46">
        <f>'LINEST VARS'!$U$60+'LINEST VARS'!$T$60*($J$80)+'LINEST VARS'!$S$60*($B84)+'LINEST VARS'!$R$60*(4)+'LINEST VARS'!$Q$60*(0.5)+'LINEST VARS'!$P$60*(12.73)+'LINEST VARS'!$O$60*($J$80^2)+'LINEST VARS'!$N$60*($B84^2)+'LINEST VARS'!$M$60*(4^2)+'LINEST VARS'!$L$60*(0.5^2)+'LINEST VARS'!$K$60*(12.73^2)+'LINEST VARS'!$J$60*($J$80*$B84)+'LINEST VARS'!$I$60*($J$80*4)+'LINEST VARS'!$H$60*($J$80*0.5)+'LINEST VARS'!$G$60*($J$80*12.73)+'LINEST VARS'!$F$60*($B84*4)+'LINEST VARS'!$E$60*($B84*0.5)+'LINEST VARS'!$D$60*($B84*12.73)+'LINEST VARS'!$C$60*(4*0.5)+'LINEST VARS'!$B$60*(4*12.73)+'LINEST VARS'!$A$60*(0.5*12.73)</f>
        <v>40.460000000000015</v>
      </c>
      <c r="K84" s="46">
        <f>'LINEST VARS'!$U$60+'LINEST VARS'!$T$60*($K$80)+'LINEST VARS'!$S$60*($B84)+'LINEST VARS'!$R$60*(4)+'LINEST VARS'!$Q$60*(0.5)+'LINEST VARS'!$P$60*(12.73)+'LINEST VARS'!$O$60*($K$80^2)+'LINEST VARS'!$N$60*($B84^2)+'LINEST VARS'!$M$60*(4^2)+'LINEST VARS'!$L$60*(0.5^2)+'LINEST VARS'!$K$60*(12.73^2)+'LINEST VARS'!$J$60*($K$80*$B84)+'LINEST VARS'!$I$60*($K$80*4)+'LINEST VARS'!$H$60*($K$80*0.5)+'LINEST VARS'!$G$60*($K$80*12.73)+'LINEST VARS'!$F$60*($B84*4)+'LINEST VARS'!$E$60*($B84*0.5)+'LINEST VARS'!$D$60*($B84*12.73)+'LINEST VARS'!$C$60*(4*0.5)+'LINEST VARS'!$B$60*(4*12.73)+'LINEST VARS'!$A$60*(0.5*12.73)</f>
        <v>40.460000000000008</v>
      </c>
      <c r="L84" s="46">
        <f>'LINEST VARS'!$U$60+'LINEST VARS'!$T$60*($L$80)+'LINEST VARS'!$S$60*($B84)+'LINEST VARS'!$R$60*(4)+'LINEST VARS'!$Q$60*(0.5)+'LINEST VARS'!$P$60*(12.73)+'LINEST VARS'!$O$60*($L$80^2)+'LINEST VARS'!$N$60*($B84^2)+'LINEST VARS'!$M$60*(4^2)+'LINEST VARS'!$L$60*(0.5^2)+'LINEST VARS'!$K$60*(12.73^2)+'LINEST VARS'!$J$60*($L$80*$B84)+'LINEST VARS'!$I$60*($L$80*4)+'LINEST VARS'!$H$60*($L$80*0.5)+'LINEST VARS'!$G$60*($L$80*12.73)+'LINEST VARS'!$F$60*($B84*4)+'LINEST VARS'!$E$60*($B84*0.5)+'LINEST VARS'!$D$60*($B84*12.73)+'LINEST VARS'!$C$60*(4*0.5)+'LINEST VARS'!$B$60*(4*12.73)+'LINEST VARS'!$A$60*(0.5*12.73)</f>
        <v>40.460000000000008</v>
      </c>
      <c r="M84" s="46">
        <f>'LINEST VARS'!$U$60+'LINEST VARS'!$T$60*($M$80)+'LINEST VARS'!$S$60*($B84)+'LINEST VARS'!$R$60*(4)+'LINEST VARS'!$Q$60*(0.5)+'LINEST VARS'!$P$60*(12.73)+'LINEST VARS'!$O$60*($M$80^2)+'LINEST VARS'!$N$60*($B84^2)+'LINEST VARS'!$M$60*(4^2)+'LINEST VARS'!$L$60*(0.5^2)+'LINEST VARS'!$K$60*(12.73^2)+'LINEST VARS'!$J$60*($M$80*$B84)+'LINEST VARS'!$I$60*($M$80*4)+'LINEST VARS'!$H$60*($M$80*0.5)+'LINEST VARS'!$G$60*($M$80*12.73)+'LINEST VARS'!$F$60*($B84*4)+'LINEST VARS'!$E$60*($B84*0.5)+'LINEST VARS'!$D$60*($B84*12.73)+'LINEST VARS'!$C$60*(4*0.5)+'LINEST VARS'!$B$60*(4*12.73)+'LINEST VARS'!$A$60*(0.5*12.73)</f>
        <v>40.460000000000008</v>
      </c>
      <c r="N84" s="46">
        <f>'LINEST VARS'!$U$60+'LINEST VARS'!$T$60*($N$80)+'LINEST VARS'!$S$60*($B84)+'LINEST VARS'!$R$60*(4)+'LINEST VARS'!$Q$60*(0.5)+'LINEST VARS'!$P$60*(12.73)+'LINEST VARS'!$O$60*($N$80^2)+'LINEST VARS'!$N$60*($B84^2)+'LINEST VARS'!$M$60*(4^2)+'LINEST VARS'!$L$60*(0.5^2)+'LINEST VARS'!$K$60*(12.73^2)+'LINEST VARS'!$J$60*($N$80*$B84)+'LINEST VARS'!$I$60*($N$80*4)+'LINEST VARS'!$H$60*($N$80*0.5)+'LINEST VARS'!$G$60*($N$80*12.73)+'LINEST VARS'!$F$60*($B84*4)+'LINEST VARS'!$E$60*($B84*0.5)+'LINEST VARS'!$D$60*($B84*12.73)+'LINEST VARS'!$C$60*(4*0.5)+'LINEST VARS'!$B$60*(4*12.73)+'LINEST VARS'!$A$60*(0.5*12.73)</f>
        <v>40.460000000000008</v>
      </c>
      <c r="O84" s="46">
        <f>'LINEST VARS'!$U$60+'LINEST VARS'!$T$60*($O$80)+'LINEST VARS'!$S$60*($B84)+'LINEST VARS'!$R$60*(4)+'LINEST VARS'!$Q$60*(0.5)+'LINEST VARS'!$P$60*(12.73)+'LINEST VARS'!$O$60*($O$80^2)+'LINEST VARS'!$N$60*($B84^2)+'LINEST VARS'!$M$60*(4^2)+'LINEST VARS'!$L$60*(0.5^2)+'LINEST VARS'!$K$60*(12.73^2)+'LINEST VARS'!$J$60*($O$80*$B84)+'LINEST VARS'!$I$60*($O$80*4)+'LINEST VARS'!$H$60*($O$80*0.5)+'LINEST VARS'!$G$60*($O$80*12.73)+'LINEST VARS'!$F$60*($B84*4)+'LINEST VARS'!$E$60*($B84*0.5)+'LINEST VARS'!$D$60*($B84*12.73)+'LINEST VARS'!$C$60*(4*0.5)+'LINEST VARS'!$B$60*(4*12.73)+'LINEST VARS'!$A$60*(0.5*12.73)</f>
        <v>40.460000000000015</v>
      </c>
      <c r="P84" s="46">
        <f>'LINEST VARS'!$U$60+'LINEST VARS'!$T$60*($P$80)+'LINEST VARS'!$S$60*($B84)+'LINEST VARS'!$R$60*(4)+'LINEST VARS'!$Q$60*(0.5)+'LINEST VARS'!$P$60*(12.73)+'LINEST VARS'!$O$60*($P$80^2)+'LINEST VARS'!$N$60*($B84^2)+'LINEST VARS'!$M$60*(4^2)+'LINEST VARS'!$L$60*(0.5^2)+'LINEST VARS'!$K$60*(12.73^2)+'LINEST VARS'!$J$60*($P$80*$B84)+'LINEST VARS'!$I$60*($P$80*4)+'LINEST VARS'!$H$60*($P$80*0.5)+'LINEST VARS'!$G$60*($P$80*12.73)+'LINEST VARS'!$F$60*($B84*4)+'LINEST VARS'!$E$60*($B84*0.5)+'LINEST VARS'!$D$60*($B84*12.73)+'LINEST VARS'!$C$60*(4*0.5)+'LINEST VARS'!$B$60*(4*12.73)+'LINEST VARS'!$A$60*(0.5*12.73)</f>
        <v>40.460000000000015</v>
      </c>
      <c r="Q84" s="46">
        <f>'LINEST VARS'!$U$60+'LINEST VARS'!$T$60*($Q$80)+'LINEST VARS'!$S$60*($B84)+'LINEST VARS'!$R$60*(4)+'LINEST VARS'!$Q$60*(0.5)+'LINEST VARS'!$P$60*(12.73)+'LINEST VARS'!$O$60*($Q$80^2)+'LINEST VARS'!$N$60*($B84^2)+'LINEST VARS'!$M$60*(4^2)+'LINEST VARS'!$L$60*(0.5^2)+'LINEST VARS'!$K$60*(12.73^2)+'LINEST VARS'!$J$60*($Q$80*$B84)+'LINEST VARS'!$I$60*($Q$80*4)+'LINEST VARS'!$H$60*($Q$80*0.5)+'LINEST VARS'!$G$60*($Q$80*12.73)+'LINEST VARS'!$F$60*($B84*4)+'LINEST VARS'!$E$60*($B84*0.5)+'LINEST VARS'!$D$60*($B84*12.73)+'LINEST VARS'!$C$60*(4*0.5)+'LINEST VARS'!$B$60*(4*12.73)+'LINEST VARS'!$A$60*(0.5*12.73)</f>
        <v>40.460000000000015</v>
      </c>
      <c r="R84" s="46">
        <f>'LINEST VARS'!$U$60+'LINEST VARS'!$T$60*($R$80)+'LINEST VARS'!$S$60*($B84)+'LINEST VARS'!$R$60*(4)+'LINEST VARS'!$Q$60*(0.5)+'LINEST VARS'!$P$60*(12.73)+'LINEST VARS'!$O$60*($R$80^2)+'LINEST VARS'!$N$60*($B84^2)+'LINEST VARS'!$M$60*(4^2)+'LINEST VARS'!$L$60*(0.5^2)+'LINEST VARS'!$K$60*(12.73^2)+'LINEST VARS'!$J$60*($R$80*$B84)+'LINEST VARS'!$I$60*($R$80*4)+'LINEST VARS'!$H$60*($R$80*0.5)+'LINEST VARS'!$G$60*($R$80*12.73)+'LINEST VARS'!$F$60*($B84*4)+'LINEST VARS'!$E$60*($B84*0.5)+'LINEST VARS'!$D$60*($B84*12.73)+'LINEST VARS'!$C$60*(4*0.5)+'LINEST VARS'!$B$60*(4*12.73)+'LINEST VARS'!$A$60*(0.5*12.73)</f>
        <v>40.460000000000008</v>
      </c>
      <c r="S84" s="46">
        <f>'LINEST VARS'!$U$60+'LINEST VARS'!$T$60*($S$80)+'LINEST VARS'!$S$60*($B84)+'LINEST VARS'!$R$60*(4)+'LINEST VARS'!$Q$60*(0.5)+'LINEST VARS'!$P$60*(12.73)+'LINEST VARS'!$O$60*($S$80^2)+'LINEST VARS'!$N$60*($B84^2)+'LINEST VARS'!$M$60*(4^2)+'LINEST VARS'!$L$60*(0.5^2)+'LINEST VARS'!$K$60*(12.73^2)+'LINEST VARS'!$J$60*($S$80*$B84)+'LINEST VARS'!$I$60*($S$80*4)+'LINEST VARS'!$H$60*($S$80*0.5)+'LINEST VARS'!$G$60*($S$80*12.73)+'LINEST VARS'!$F$60*($B84*4)+'LINEST VARS'!$E$60*($B84*0.5)+'LINEST VARS'!$D$60*($B84*12.73)+'LINEST VARS'!$C$60*(4*0.5)+'LINEST VARS'!$B$60*(4*12.73)+'LINEST VARS'!$A$60*(0.5*12.73)</f>
        <v>40.460000000000008</v>
      </c>
      <c r="T84" s="46">
        <f>'LINEST VARS'!$U$60+'LINEST VARS'!$T$60*($T$80)+'LINEST VARS'!$S$60*($B84)+'LINEST VARS'!$R$60*(4)+'LINEST VARS'!$Q$60*(0.5)+'LINEST VARS'!$P$60*(12.73)+'LINEST VARS'!$O$60*($T$80^2)+'LINEST VARS'!$N$60*($B84^2)+'LINEST VARS'!$M$60*(4^2)+'LINEST VARS'!$L$60*(0.5^2)+'LINEST VARS'!$K$60*(12.73^2)+'LINEST VARS'!$J$60*($T$80*$B84)+'LINEST VARS'!$I$60*($T$80*4)+'LINEST VARS'!$H$60*($T$80*0.5)+'LINEST VARS'!$G$60*($T$80*12.73)+'LINEST VARS'!$F$60*($B84*4)+'LINEST VARS'!$E$60*($B84*0.5)+'LINEST VARS'!$D$60*($B84*12.73)+'LINEST VARS'!$C$60*(4*0.5)+'LINEST VARS'!$B$60*(4*12.73)+'LINEST VARS'!$A$60*(0.5*12.73)</f>
        <v>40.460000000000008</v>
      </c>
      <c r="U84" s="46">
        <f>'LINEST VARS'!$U$60+'LINEST VARS'!$T$60*($U$80)+'LINEST VARS'!$S$60*($B84)+'LINEST VARS'!$R$60*(4)+'LINEST VARS'!$Q$60*(0.5)+'LINEST VARS'!$P$60*(12.73)+'LINEST VARS'!$O$60*($U$80^2)+'LINEST VARS'!$N$60*($B84^2)+'LINEST VARS'!$M$60*(4^2)+'LINEST VARS'!$L$60*(0.5^2)+'LINEST VARS'!$K$60*(12.73^2)+'LINEST VARS'!$J$60*($U$80*$B84)+'LINEST VARS'!$I$60*($U$80*4)+'LINEST VARS'!$H$60*($U$80*0.5)+'LINEST VARS'!$G$60*($U$80*12.73)+'LINEST VARS'!$F$60*($B84*4)+'LINEST VARS'!$E$60*($B84*0.5)+'LINEST VARS'!$D$60*($B84*12.73)+'LINEST VARS'!$C$60*(4*0.5)+'LINEST VARS'!$B$60*(4*12.73)+'LINEST VARS'!$A$60*(0.5*12.73)</f>
        <v>40.460000000000015</v>
      </c>
      <c r="V84" s="46">
        <f>'LINEST VARS'!$U$60+'LINEST VARS'!$T$60*($V$80)+'LINEST VARS'!$S$60*($B84)+'LINEST VARS'!$R$60*(4)+'LINEST VARS'!$Q$60*(0.5)+'LINEST VARS'!$P$60*(12.73)+'LINEST VARS'!$O$60*($V$80^2)+'LINEST VARS'!$N$60*($B84^2)+'LINEST VARS'!$M$60*(4^2)+'LINEST VARS'!$L$60*(0.5^2)+'LINEST VARS'!$K$60*(12.73^2)+'LINEST VARS'!$J$60*($V$80*$B84)+'LINEST VARS'!$I$60*($V$80*4)+'LINEST VARS'!$H$60*($V$80*0.5)+'LINEST VARS'!$G$60*($V$80*12.73)+'LINEST VARS'!$F$60*($B84*4)+'LINEST VARS'!$E$60*($B84*0.5)+'LINEST VARS'!$D$60*($B84*12.73)+'LINEST VARS'!$C$60*(4*0.5)+'LINEST VARS'!$B$60*(4*12.73)+'LINEST VARS'!$A$60*(0.5*12.73)</f>
        <v>40.460000000000015</v>
      </c>
      <c r="W84" s="47">
        <f>'LINEST VARS'!$U$60+'LINEST VARS'!$T$60*($W$80)+'LINEST VARS'!$S$60*($B84)+'LINEST VARS'!$R$60*(4)+'LINEST VARS'!$Q$60*(0.5)+'LINEST VARS'!$P$60*(12.73)+'LINEST VARS'!$O$60*($W$80^2)+'LINEST VARS'!$N$60*($B84^2)+'LINEST VARS'!$M$60*(4^2)+'LINEST VARS'!$L$60*(0.5^2)+'LINEST VARS'!$K$60*(12.73^2)+'LINEST VARS'!$J$60*($W$80*$B84)+'LINEST VARS'!$I$60*($W$80*4)+'LINEST VARS'!$H$60*($W$80*0.5)+'LINEST VARS'!$G$60*($W$80*12.73)+'LINEST VARS'!$F$60*($B84*4)+'LINEST VARS'!$E$60*($B84*0.5)+'LINEST VARS'!$D$60*($B84*12.73)+'LINEST VARS'!$C$60*(4*0.5)+'LINEST VARS'!$B$60*(4*12.73)+'LINEST VARS'!$A$60*(0.5*12.73)</f>
        <v>40.460000000000015</v>
      </c>
      <c r="Z84" s="45">
        <v>7.58</v>
      </c>
      <c r="AA84" s="55">
        <f>'LINEST VARS'!$U$62+'LINEST VARS'!$T$62*($AA$80)+'LINEST VARS'!$S$62*($Z84)+'LINEST VARS'!$R$62*(4)+'LINEST VARS'!$Q$62*(0.5)+'LINEST VARS'!$P$62*(12.73)+'LINEST VARS'!$O$62*($AA$80^2)+'LINEST VARS'!$N$62*($Z84^2)+'LINEST VARS'!$M$62*(4^2)+'LINEST VARS'!$L$62*(0.5^2)+'LINEST VARS'!$K$62*(12.73^2)+'LINEST VARS'!$J$62*($AA$80*$Z84)+'LINEST VARS'!$I$62*($AA$80*4)+'LINEST VARS'!$H$62*($AA$80*0.5)+'LINEST VARS'!$G$62*($AA$80*12.73)+'LINEST VARS'!$F$62*($Z84*4)+'LINEST VARS'!$E$62*($Z84*0.5)+'LINEST VARS'!$D$62*($Z84*12.73)+'LINEST VARS'!$C$62*(4*0.5)+'LINEST VARS'!$B$62*(4*12.73)+'LINEST VARS'!$A$62*(0.5*12.73)</f>
        <v>269.5</v>
      </c>
      <c r="AB84" s="55">
        <f>'LINEST VARS'!$U$62+'LINEST VARS'!$T$62*($AB$80)+'LINEST VARS'!$S$62*($Z84)+'LINEST VARS'!$R$62*(4)+'LINEST VARS'!$Q$62*(0.5)+'LINEST VARS'!$P$62*(12.73)+'LINEST VARS'!$O$62*($AB$80^2)+'LINEST VARS'!$N$62*($Z84^2)+'LINEST VARS'!$M$62*(4^2)+'LINEST VARS'!$L$62*(0.5^2)+'LINEST VARS'!$K$62*(12.73^2)+'LINEST VARS'!$J$62*($AB$80*$Z84)+'LINEST VARS'!$I$62*($AB$80*4)+'LINEST VARS'!$H$62*($AB$80*0.5)+'LINEST VARS'!$G$62*($AB$80*12.73)+'LINEST VARS'!$F$62*($Z84*4)+'LINEST VARS'!$E$62*($Z84*0.5)+'LINEST VARS'!$D$62*($Z84*12.73)+'LINEST VARS'!$C$62*(4*0.5)+'LINEST VARS'!$B$62*(4*12.73)+'LINEST VARS'!$A$62*(0.5*12.73)</f>
        <v>269.5</v>
      </c>
      <c r="AC84" s="55">
        <f>'LINEST VARS'!$U$62+'LINEST VARS'!$T$62*($AC$80)+'LINEST VARS'!$S$62*($Z84)+'LINEST VARS'!$R$62*(4)+'LINEST VARS'!$Q$62*(0.5)+'LINEST VARS'!$P$62*(12.73)+'LINEST VARS'!$O$62*($AC$80^2)+'LINEST VARS'!$N$62*($Z84^2)+'LINEST VARS'!$M$62*(4^2)+'LINEST VARS'!$L$62*(0.5^2)+'LINEST VARS'!$K$62*(12.73^2)+'LINEST VARS'!$J$62*($AC$80*$Z84)+'LINEST VARS'!$I$62*($AC$80*4)+'LINEST VARS'!$H$62*($AC$80*0.5)+'LINEST VARS'!$G$62*($AC$80*12.73)+'LINEST VARS'!$F$62*($Z84*4)+'LINEST VARS'!$E$62*($Z84*0.5)+'LINEST VARS'!$D$62*($Z84*12.73)+'LINEST VARS'!$C$62*(4*0.5)+'LINEST VARS'!$B$62*(4*12.73)+'LINEST VARS'!$A$62*(0.5*12.73)</f>
        <v>269.49999999999994</v>
      </c>
      <c r="AD84" s="55">
        <f>'LINEST VARS'!$U$62+'LINEST VARS'!$T$62*($AD$80)+'LINEST VARS'!$S$62*($Z84)+'LINEST VARS'!$R$62*(4)+'LINEST VARS'!$Q$62*(0.5)+'LINEST VARS'!$P$62*(12.73)+'LINEST VARS'!$O$62*($AD$80^2)+'LINEST VARS'!$N$62*($Z84^2)+'LINEST VARS'!$M$62*(4^2)+'LINEST VARS'!$L$62*(0.5^2)+'LINEST VARS'!$K$62*(12.73^2)+'LINEST VARS'!$J$62*($AD$80*$Z84)+'LINEST VARS'!$I$62*($AD$80*4)+'LINEST VARS'!$H$62*($AD$80*0.5)+'LINEST VARS'!$G$62*($AD$80*12.73)+'LINEST VARS'!$F$62*($Z84*4)+'LINEST VARS'!$E$62*($Z84*0.5)+'LINEST VARS'!$D$62*($Z84*12.73)+'LINEST VARS'!$C$62*(4*0.5)+'LINEST VARS'!$B$62*(4*12.73)+'LINEST VARS'!$A$62*(0.5*12.73)</f>
        <v>269.50000000000006</v>
      </c>
      <c r="AE84" s="55">
        <f>'LINEST VARS'!$U$62+'LINEST VARS'!$T$62*($AE$80)+'LINEST VARS'!$S$62*($Z84)+'LINEST VARS'!$R$62*(4)+'LINEST VARS'!$Q$62*(0.5)+'LINEST VARS'!$P$62*(12.73)+'LINEST VARS'!$O$62*($AE$80^2)+'LINEST VARS'!$N$62*($Z84^2)+'LINEST VARS'!$M$62*(4^2)+'LINEST VARS'!$L$62*(0.5^2)+'LINEST VARS'!$K$62*(12.73^2)+'LINEST VARS'!$J$62*($AE$80*$Z84)+'LINEST VARS'!$I$62*($AE$80*4)+'LINEST VARS'!$H$62*($AE$80*0.5)+'LINEST VARS'!$G$62*($AE$80*12.73)+'LINEST VARS'!$F$62*($Z84*4)+'LINEST VARS'!$E$62*($Z84*0.5)+'LINEST VARS'!$D$62*($Z84*12.73)+'LINEST VARS'!$C$62*(4*0.5)+'LINEST VARS'!$B$62*(4*12.73)+'LINEST VARS'!$A$62*(0.5*12.73)</f>
        <v>269.5</v>
      </c>
      <c r="AF84" s="55">
        <f>'LINEST VARS'!$U$62+'LINEST VARS'!$T$62*($AF$80)+'LINEST VARS'!$S$62*($Z84)+'LINEST VARS'!$R$62*(4)+'LINEST VARS'!$Q$62*(0.5)+'LINEST VARS'!$P$62*(12.73)+'LINEST VARS'!$O$62*($AF$80^2)+'LINEST VARS'!$N$62*($Z84^2)+'LINEST VARS'!$M$62*(4^2)+'LINEST VARS'!$L$62*(0.5^2)+'LINEST VARS'!$K$62*(12.73^2)+'LINEST VARS'!$J$62*($AF$80*$Z84)+'LINEST VARS'!$I$62*($AF$80*4)+'LINEST VARS'!$H$62*($AF$80*0.5)+'LINEST VARS'!$G$62*($AF$80*12.73)+'LINEST VARS'!$F$62*($Z84*4)+'LINEST VARS'!$E$62*($Z84*0.5)+'LINEST VARS'!$D$62*($Z84*12.73)+'LINEST VARS'!$C$62*(4*0.5)+'LINEST VARS'!$B$62*(4*12.73)+'LINEST VARS'!$A$62*(0.5*12.73)</f>
        <v>269.49999999999994</v>
      </c>
      <c r="AG84" s="55">
        <f>'LINEST VARS'!$U$62+'LINEST VARS'!$T$62*($AG$80)+'LINEST VARS'!$S$62*($Z84)+'LINEST VARS'!$R$62*(4)+'LINEST VARS'!$Q$62*(0.5)+'LINEST VARS'!$P$62*(12.73)+'LINEST VARS'!$O$62*($AG$80^2)+'LINEST VARS'!$N$62*($Z84^2)+'LINEST VARS'!$M$62*(4^2)+'LINEST VARS'!$L$62*(0.5^2)+'LINEST VARS'!$K$62*(12.73^2)+'LINEST VARS'!$J$62*($AG$80*$Z84)+'LINEST VARS'!$I$62*($AG$80*4)+'LINEST VARS'!$H$62*($AG$80*0.5)+'LINEST VARS'!$G$62*($AG$80*12.73)+'LINEST VARS'!$F$62*($Z84*4)+'LINEST VARS'!$E$62*($Z84*0.5)+'LINEST VARS'!$D$62*($Z84*12.73)+'LINEST VARS'!$C$62*(4*0.5)+'LINEST VARS'!$B$62*(4*12.73)+'LINEST VARS'!$A$62*(0.5*12.73)</f>
        <v>269.5</v>
      </c>
      <c r="AH84" s="55">
        <f>'LINEST VARS'!$U$62+'LINEST VARS'!$T$62*($AH$80)+'LINEST VARS'!$S$62*($Z84)+'LINEST VARS'!$R$62*(4)+'LINEST VARS'!$Q$62*(0.5)+'LINEST VARS'!$P$62*(12.73)+'LINEST VARS'!$O$62*($AH$80^2)+'LINEST VARS'!$N$62*($Z84^2)+'LINEST VARS'!$M$62*(4^2)+'LINEST VARS'!$L$62*(0.5^2)+'LINEST VARS'!$K$62*(12.73^2)+'LINEST VARS'!$J$62*($AH$80*$Z84)+'LINEST VARS'!$I$62*($AH$80*4)+'LINEST VARS'!$H$62*($AH$80*0.5)+'LINEST VARS'!$G$62*($AH$80*12.73)+'LINEST VARS'!$F$62*($Z84*4)+'LINEST VARS'!$E$62*($Z84*0.5)+'LINEST VARS'!$D$62*($Z84*12.73)+'LINEST VARS'!$C$62*(4*0.5)+'LINEST VARS'!$B$62*(4*12.73)+'LINEST VARS'!$A$62*(0.5*12.73)</f>
        <v>269.49999999999994</v>
      </c>
      <c r="AI84" s="55">
        <f>'LINEST VARS'!$U$62+'LINEST VARS'!$T$62*($AI$80)+'LINEST VARS'!$S$62*($Z84)+'LINEST VARS'!$R$62*(4)+'LINEST VARS'!$Q$62*(0.5)+'LINEST VARS'!$P$62*(12.73)+'LINEST VARS'!$O$62*($AI$80^2)+'LINEST VARS'!$N$62*($Z84^2)+'LINEST VARS'!$M$62*(4^2)+'LINEST VARS'!$L$62*(0.5^2)+'LINEST VARS'!$K$62*(12.73^2)+'LINEST VARS'!$J$62*($AI$80*$Z84)+'LINEST VARS'!$I$62*($AI$80*4)+'LINEST VARS'!$H$62*($AI$80*0.5)+'LINEST VARS'!$G$62*($AI$80*12.73)+'LINEST VARS'!$F$62*($Z84*4)+'LINEST VARS'!$E$62*($Z84*0.5)+'LINEST VARS'!$D$62*($Z84*12.73)+'LINEST VARS'!$C$62*(4*0.5)+'LINEST VARS'!$B$62*(4*12.73)+'LINEST VARS'!$A$62*(0.5*12.73)</f>
        <v>269.5</v>
      </c>
      <c r="AJ84" s="55">
        <f>'LINEST VARS'!$U$62+'LINEST VARS'!$T$62*($AJ$80)+'LINEST VARS'!$S$62*($Z84)+'LINEST VARS'!$R$62*(4)+'LINEST VARS'!$Q$62*(0.5)+'LINEST VARS'!$P$62*(12.73)+'LINEST VARS'!$O$62*($AJ$80^2)+'LINEST VARS'!$N$62*($Z84^2)+'LINEST VARS'!$M$62*(4^2)+'LINEST VARS'!$L$62*(0.5^2)+'LINEST VARS'!$K$62*(12.73^2)+'LINEST VARS'!$J$62*($AJ$80*$Z84)+'LINEST VARS'!$I$62*($AJ$80*4)+'LINEST VARS'!$H$62*($AJ$80*0.5)+'LINEST VARS'!$G$62*($AJ$80*12.73)+'LINEST VARS'!$F$62*($Z84*4)+'LINEST VARS'!$E$62*($Z84*0.5)+'LINEST VARS'!$D$62*($Z84*12.73)+'LINEST VARS'!$C$62*(4*0.5)+'LINEST VARS'!$B$62*(4*12.73)+'LINEST VARS'!$A$62*(0.5*12.73)</f>
        <v>269.5</v>
      </c>
      <c r="AK84" s="55">
        <f>'LINEST VARS'!$U$62+'LINEST VARS'!$T$62*($AK$80)+'LINEST VARS'!$S$62*($Z84)+'LINEST VARS'!$R$62*(4)+'LINEST VARS'!$Q$62*(0.5)+'LINEST VARS'!$P$62*(12.73)+'LINEST VARS'!$O$62*($AK$80^2)+'LINEST VARS'!$N$62*($Z84^2)+'LINEST VARS'!$M$62*(4^2)+'LINEST VARS'!$L$62*(0.5^2)+'LINEST VARS'!$K$62*(12.73^2)+'LINEST VARS'!$J$62*($AK$80*$Z84)+'LINEST VARS'!$I$62*($AK$80*4)+'LINEST VARS'!$H$62*($AK$80*0.5)+'LINEST VARS'!$G$62*($AK$80*12.73)+'LINEST VARS'!$F$62*($Z84*4)+'LINEST VARS'!$E$62*($Z84*0.5)+'LINEST VARS'!$D$62*($Z84*12.73)+'LINEST VARS'!$C$62*(4*0.5)+'LINEST VARS'!$B$62*(4*12.73)+'LINEST VARS'!$A$62*(0.5*12.73)</f>
        <v>269.5</v>
      </c>
      <c r="AL84" s="55">
        <f>'LINEST VARS'!$U$62+'LINEST VARS'!$T$62*($AL$80)+'LINEST VARS'!$S$62*($Z84)+'LINEST VARS'!$R$62*(4)+'LINEST VARS'!$Q$62*(0.5)+'LINEST VARS'!$P$62*(12.73)+'LINEST VARS'!$O$62*($AL$80^2)+'LINEST VARS'!$N$62*($Z84^2)+'LINEST VARS'!$M$62*(4^2)+'LINEST VARS'!$L$62*(0.5^2)+'LINEST VARS'!$K$62*(12.73^2)+'LINEST VARS'!$J$62*($AL$80*$Z84)+'LINEST VARS'!$I$62*($AL$80*4)+'LINEST VARS'!$H$62*($AL$80*0.5)+'LINEST VARS'!$G$62*($AL$80*12.73)+'LINEST VARS'!$F$62*($Z84*4)+'LINEST VARS'!$E$62*($Z84*0.5)+'LINEST VARS'!$D$62*($Z84*12.73)+'LINEST VARS'!$C$62*(4*0.5)+'LINEST VARS'!$B$62*(4*12.73)+'LINEST VARS'!$A$62*(0.5*12.73)</f>
        <v>269.49999999999994</v>
      </c>
      <c r="AM84" s="55">
        <f>'LINEST VARS'!$U$62+'LINEST VARS'!$T$62*($AM$80)+'LINEST VARS'!$S$62*($Z84)+'LINEST VARS'!$R$62*(4)+'LINEST VARS'!$Q$62*(0.5)+'LINEST VARS'!$P$62*(12.73)+'LINEST VARS'!$O$62*($AM$80^2)+'LINEST VARS'!$N$62*($Z84^2)+'LINEST VARS'!$M$62*(4^2)+'LINEST VARS'!$L$62*(0.5^2)+'LINEST VARS'!$K$62*(12.73^2)+'LINEST VARS'!$J$62*($AM$80*$Z84)+'LINEST VARS'!$I$62*($AM$80*4)+'LINEST VARS'!$H$62*($AM$80*0.5)+'LINEST VARS'!$G$62*($AM$80*12.73)+'LINEST VARS'!$F$62*($Z84*4)+'LINEST VARS'!$E$62*($Z84*0.5)+'LINEST VARS'!$D$62*($Z84*12.73)+'LINEST VARS'!$C$62*(4*0.5)+'LINEST VARS'!$B$62*(4*12.73)+'LINEST VARS'!$A$62*(0.5*12.73)</f>
        <v>269.49999999999994</v>
      </c>
      <c r="AN84" s="55">
        <f>'LINEST VARS'!$U$62+'LINEST VARS'!$T$62*($AN$80)+'LINEST VARS'!$S$62*($Z84)+'LINEST VARS'!$R$62*(4)+'LINEST VARS'!$Q$62*(0.5)+'LINEST VARS'!$P$62*(12.73)+'LINEST VARS'!$O$62*($AN$80^2)+'LINEST VARS'!$N$62*($Z84^2)+'LINEST VARS'!$M$62*(4^2)+'LINEST VARS'!$L$62*(0.5^2)+'LINEST VARS'!$K$62*(12.73^2)+'LINEST VARS'!$J$62*($AN$80*$Z84)+'LINEST VARS'!$I$62*($AN$80*4)+'LINEST VARS'!$H$62*($AN$80*0.5)+'LINEST VARS'!$G$62*($AN$80*12.73)+'LINEST VARS'!$F$62*($Z84*4)+'LINEST VARS'!$E$62*($Z84*0.5)+'LINEST VARS'!$D$62*($Z84*12.73)+'LINEST VARS'!$C$62*(4*0.5)+'LINEST VARS'!$B$62*(4*12.73)+'LINEST VARS'!$A$62*(0.5*12.73)</f>
        <v>269.5</v>
      </c>
      <c r="AO84" s="55">
        <f>'LINEST VARS'!$U$62+'LINEST VARS'!$T$62*($AO$80)+'LINEST VARS'!$S$62*($Z84)+'LINEST VARS'!$R$62*(4)+'LINEST VARS'!$Q$62*(0.5)+'LINEST VARS'!$P$62*(12.73)+'LINEST VARS'!$O$62*($AO$80^2)+'LINEST VARS'!$N$62*($Z84^2)+'LINEST VARS'!$M$62*(4^2)+'LINEST VARS'!$L$62*(0.5^2)+'LINEST VARS'!$K$62*(12.73^2)+'LINEST VARS'!$J$62*($AO$80*$Z84)+'LINEST VARS'!$I$62*($AO$80*4)+'LINEST VARS'!$H$62*($AO$80*0.5)+'LINEST VARS'!$G$62*($AO$80*12.73)+'LINEST VARS'!$F$62*($Z84*4)+'LINEST VARS'!$E$62*($Z84*0.5)+'LINEST VARS'!$D$62*($Z84*12.73)+'LINEST VARS'!$C$62*(4*0.5)+'LINEST VARS'!$B$62*(4*12.73)+'LINEST VARS'!$A$62*(0.5*12.73)</f>
        <v>269.5</v>
      </c>
      <c r="AP84" s="55">
        <f>'LINEST VARS'!$U$62+'LINEST VARS'!$T$62*($AP$80)+'LINEST VARS'!$S$62*($Z84)+'LINEST VARS'!$R$62*(4)+'LINEST VARS'!$Q$62*(0.5)+'LINEST VARS'!$P$62*(12.73)+'LINEST VARS'!$O$62*($AP$80^2)+'LINEST VARS'!$N$62*($Z84^2)+'LINEST VARS'!$M$62*(4^2)+'LINEST VARS'!$L$62*(0.5^2)+'LINEST VARS'!$K$62*(12.73^2)+'LINEST VARS'!$J$62*($AP$80*$Z84)+'LINEST VARS'!$I$62*($AP$80*4)+'LINEST VARS'!$H$62*($AP$80*0.5)+'LINEST VARS'!$G$62*($AP$80*12.73)+'LINEST VARS'!$F$62*($Z84*4)+'LINEST VARS'!$E$62*($Z84*0.5)+'LINEST VARS'!$D$62*($Z84*12.73)+'LINEST VARS'!$C$62*(4*0.5)+'LINEST VARS'!$B$62*(4*12.73)+'LINEST VARS'!$A$62*(0.5*12.73)</f>
        <v>269.5</v>
      </c>
      <c r="AQ84" s="55">
        <f>'LINEST VARS'!$U$62+'LINEST VARS'!$T$62*($AQ$80)+'LINEST VARS'!$S$62*($Z84)+'LINEST VARS'!$R$62*(4)+'LINEST VARS'!$Q$62*(0.5)+'LINEST VARS'!$P$62*(12.73)+'LINEST VARS'!$O$62*($AQ$80^2)+'LINEST VARS'!$N$62*($Z84^2)+'LINEST VARS'!$M$62*(4^2)+'LINEST VARS'!$L$62*(0.5^2)+'LINEST VARS'!$K$62*(12.73^2)+'LINEST VARS'!$J$62*($AQ$80*$Z84)+'LINEST VARS'!$I$62*($AQ$80*4)+'LINEST VARS'!$H$62*($AQ$80*0.5)+'LINEST VARS'!$G$62*($AQ$80*12.73)+'LINEST VARS'!$F$62*($Z84*4)+'LINEST VARS'!$E$62*($Z84*0.5)+'LINEST VARS'!$D$62*($Z84*12.73)+'LINEST VARS'!$C$62*(4*0.5)+'LINEST VARS'!$B$62*(4*12.73)+'LINEST VARS'!$A$62*(0.5*12.73)</f>
        <v>269.49999999999994</v>
      </c>
      <c r="AR84" s="55">
        <f>'LINEST VARS'!$U$62+'LINEST VARS'!$T$62*($AR$80)+'LINEST VARS'!$S$62*($Z84)+'LINEST VARS'!$R$62*(4)+'LINEST VARS'!$Q$62*(0.5)+'LINEST VARS'!$P$62*(12.73)+'LINEST VARS'!$O$62*($AR$80^2)+'LINEST VARS'!$N$62*($Z84^2)+'LINEST VARS'!$M$62*(4^2)+'LINEST VARS'!$L$62*(0.5^2)+'LINEST VARS'!$K$62*(12.73^2)+'LINEST VARS'!$J$62*($AR$80*$Z84)+'LINEST VARS'!$I$62*($AR$80*4)+'LINEST VARS'!$H$62*($AR$80*0.5)+'LINEST VARS'!$G$62*($AR$80*12.73)+'LINEST VARS'!$F$62*($Z84*4)+'LINEST VARS'!$E$62*($Z84*0.5)+'LINEST VARS'!$D$62*($Z84*12.73)+'LINEST VARS'!$C$62*(4*0.5)+'LINEST VARS'!$B$62*(4*12.73)+'LINEST VARS'!$A$62*(0.5*12.73)</f>
        <v>269.5</v>
      </c>
      <c r="AS84" s="55">
        <f>'LINEST VARS'!$U$62+'LINEST VARS'!$T$62*($AS$80)+'LINEST VARS'!$S$62*($Z84)+'LINEST VARS'!$R$62*(4)+'LINEST VARS'!$Q$62*(0.5)+'LINEST VARS'!$P$62*(12.73)+'LINEST VARS'!$O$62*($AS$80^2)+'LINEST VARS'!$N$62*($Z84^2)+'LINEST VARS'!$M$62*(4^2)+'LINEST VARS'!$L$62*(0.5^2)+'LINEST VARS'!$K$62*(12.73^2)+'LINEST VARS'!$J$62*($AS$80*$Z84)+'LINEST VARS'!$I$62*($AS$80*4)+'LINEST VARS'!$H$62*($AS$80*0.5)+'LINEST VARS'!$G$62*($AS$80*12.73)+'LINEST VARS'!$F$62*($Z84*4)+'LINEST VARS'!$E$62*($Z84*0.5)+'LINEST VARS'!$D$62*($Z84*12.73)+'LINEST VARS'!$C$62*(4*0.5)+'LINEST VARS'!$B$62*(4*12.73)+'LINEST VARS'!$A$62*(0.5*12.73)</f>
        <v>269.49999999999994</v>
      </c>
      <c r="AT84" s="55">
        <f>'LINEST VARS'!$U$62+'LINEST VARS'!$T$62*($AT$80)+'LINEST VARS'!$S$62*($Z84)+'LINEST VARS'!$R$62*(4)+'LINEST VARS'!$Q$62*(0.5)+'LINEST VARS'!$P$62*(12.73)+'LINEST VARS'!$O$62*($AT$80^2)+'LINEST VARS'!$N$62*($Z84^2)+'LINEST VARS'!$M$62*(4^2)+'LINEST VARS'!$L$62*(0.5^2)+'LINEST VARS'!$K$62*(12.73^2)+'LINEST VARS'!$J$62*($AT$80*$Z84)+'LINEST VARS'!$I$62*($AT$80*4)+'LINEST VARS'!$H$62*($AT$80*0.5)+'LINEST VARS'!$G$62*($AT$80*12.73)+'LINEST VARS'!$F$62*($Z84*4)+'LINEST VARS'!$E$62*($Z84*0.5)+'LINEST VARS'!$D$62*($Z84*12.73)+'LINEST VARS'!$C$62*(4*0.5)+'LINEST VARS'!$B$62*(4*12.73)+'LINEST VARS'!$A$62*(0.5*12.73)</f>
        <v>269.5</v>
      </c>
      <c r="AU84" s="56">
        <f>'LINEST VARS'!$U$62+'LINEST VARS'!$T$62*($AU$80)+'LINEST VARS'!$S$62*($Z84)+'LINEST VARS'!$R$62*(4)+'LINEST VARS'!$Q$62*(0.5)+'LINEST VARS'!$P$62*(12.73)+'LINEST VARS'!$O$62*($AU$80^2)+'LINEST VARS'!$N$62*($Z84^2)+'LINEST VARS'!$M$62*(4^2)+'LINEST VARS'!$L$62*(0.5^2)+'LINEST VARS'!$K$62*(12.73^2)+'LINEST VARS'!$J$62*($AU$80*$Z84)+'LINEST VARS'!$I$62*($AU$80*4)+'LINEST VARS'!$H$62*($AU$80*0.5)+'LINEST VARS'!$G$62*($AU$80*12.73)+'LINEST VARS'!$F$62*($Z84*4)+'LINEST VARS'!$E$62*($Z84*0.5)+'LINEST VARS'!$D$62*($Z84*12.73)+'LINEST VARS'!$C$62*(4*0.5)+'LINEST VARS'!$B$62*(4*12.73)+'LINEST VARS'!$A$62*(0.5*12.73)</f>
        <v>269.50000000000006</v>
      </c>
      <c r="AZ84" s="45">
        <v>0.15</v>
      </c>
      <c r="BA84" s="46">
        <f>'LINEST VARS'!$U$60+'LINEST VARS'!$T$60*(8)+'LINEST VARS'!$S$60*(8)+'LINEST VARS'!$R$60*($BA$80)+'LINEST VARS'!$Q$60*($AZ84)+'LINEST VARS'!$P$60*(12.73)+'LINEST VARS'!$O$60*(8^2)+'LINEST VARS'!$N$60*(8^2)+'LINEST VARS'!$M$60*($BA$80^2)+'LINEST VARS'!$L$60*($AZ84^2)+'LINEST VARS'!$K$60*(12.73^2)+'LINEST VARS'!$J$60*(8*8)+'LINEST VARS'!$I$60*(8*$BA$80)+'LINEST VARS'!$H$60*(8*$AZ84)+'LINEST VARS'!$G$60*(8*12.73)+'LINEST VARS'!$F$60*(8*$BA$80)+'LINEST VARS'!$E$60*(8*$AZ84)+'LINEST VARS'!$D$60*(8*12.73)+'LINEST VARS'!$C$60*($BA$80*$AZ84)+'LINEST VARS'!$B$60*($BA$80*12.73)+'LINEST VARS'!$A$60*($AZ84*12.73)</f>
        <v>40.46</v>
      </c>
      <c r="BB84" s="46">
        <f>'LINEST VARS'!$U$60+'LINEST VARS'!$T$60*(8)+'LINEST VARS'!$S$60*(8)+'LINEST VARS'!$R$60*($BB$80)+'LINEST VARS'!$Q$60*($AZ84)+'LINEST VARS'!$P$60*(12.73)+'LINEST VARS'!$O$60*(8^2)+'LINEST VARS'!$N$60*(8^2)+'LINEST VARS'!$M$60*($BB$80^2)+'LINEST VARS'!$L$60*($AZ84^2)+'LINEST VARS'!$K$60*(12.73^2)+'LINEST VARS'!$J$60*(8*8)+'LINEST VARS'!$I$60*(8*$BB$80)+'LINEST VARS'!$H$60*(8*$AZ84)+'LINEST VARS'!$G$60*(8*12.73)+'LINEST VARS'!$F$60*(8*$BB$80)+'LINEST VARS'!$E$60*(8*$AZ84)+'LINEST VARS'!$D$60*(8*12.73)+'LINEST VARS'!$C$60*($BB$80*$AZ84)+'LINEST VARS'!$B$60*($BB$80*12.73)+'LINEST VARS'!$A$60*($AZ84*12.73)</f>
        <v>40.46</v>
      </c>
      <c r="BC84" s="46">
        <f>'LINEST VARS'!$U$60+'LINEST VARS'!$T$60*(8)+'LINEST VARS'!$S$60*(8)+'LINEST VARS'!$R$60*($BC$80)+'LINEST VARS'!$Q$60*($AZ84)+'LINEST VARS'!$P$60*(12.73)+'LINEST VARS'!$O$60*(8^2)+'LINEST VARS'!$N$60*(8^2)+'LINEST VARS'!$M$60*($BC$80^2)+'LINEST VARS'!$L$60*($AZ84^2)+'LINEST VARS'!$K$60*(12.73^2)+'LINEST VARS'!$J$60*(8*8)+'LINEST VARS'!$I$60*(8*$BC$80)+'LINEST VARS'!$H$60*(8*$AZ84)+'LINEST VARS'!$G$60*(8*12.73)+'LINEST VARS'!$F$60*(8*$BC$80)+'LINEST VARS'!$E$60*(8*$AZ84)+'LINEST VARS'!$D$60*(8*12.73)+'LINEST VARS'!$C$60*($BC$80*$AZ84)+'LINEST VARS'!$B$60*($BC$80*12.73)+'LINEST VARS'!$A$60*($AZ84*12.73)</f>
        <v>40.46</v>
      </c>
      <c r="BD84" s="46">
        <f>'LINEST VARS'!$U$60+'LINEST VARS'!$T$60*(8)+'LINEST VARS'!$S$60*(8)+'LINEST VARS'!$R$60*($BD$80)+'LINEST VARS'!$Q$60*($AZ84)+'LINEST VARS'!$P$60*(12.73)+'LINEST VARS'!$O$60*(8^2)+'LINEST VARS'!$N$60*(8^2)+'LINEST VARS'!$M$60*($BD$80^2)+'LINEST VARS'!$L$60*($AZ84^2)+'LINEST VARS'!$K$60*(12.73^2)+'LINEST VARS'!$J$60*(8*8)+'LINEST VARS'!$I$60*(8*$BD$80)+'LINEST VARS'!$H$60*(8*$AZ84)+'LINEST VARS'!$G$60*(8*12.73)+'LINEST VARS'!$F$60*(8*$BD$80)+'LINEST VARS'!$E$60*(8*$AZ84)+'LINEST VARS'!$D$60*(8*12.73)+'LINEST VARS'!$C$60*($BD$80*$AZ84)+'LINEST VARS'!$B$60*($BD$80*12.73)+'LINEST VARS'!$A$60*($AZ84*12.73)</f>
        <v>40.46</v>
      </c>
      <c r="BE84" s="46">
        <f>'LINEST VARS'!$U$60+'LINEST VARS'!$T$60*(8)+'LINEST VARS'!$S$60*(8)+'LINEST VARS'!$R$60*($BE$80)+'LINEST VARS'!$Q$60*($AZ84)+'LINEST VARS'!$P$60*(12.73)+'LINEST VARS'!$O$60*(8^2)+'LINEST VARS'!$N$60*(8^2)+'LINEST VARS'!$M$60*($BE$80^2)+'LINEST VARS'!$L$60*($AZ84^2)+'LINEST VARS'!$K$60*(12.73^2)+'LINEST VARS'!$J$60*(8*8)+'LINEST VARS'!$I$60*(8*$BE$80)+'LINEST VARS'!$H$60*(8*$AZ84)+'LINEST VARS'!$G$60*(8*12.73)+'LINEST VARS'!$F$60*(8*$BE$80)+'LINEST VARS'!$E$60*(8*$AZ84)+'LINEST VARS'!$D$60*(8*12.73)+'LINEST VARS'!$C$60*($BE$80*$AZ84)+'LINEST VARS'!$B$60*($BE$80*12.73)+'LINEST VARS'!$A$60*($AZ84*12.73)</f>
        <v>40.46</v>
      </c>
      <c r="BF84" s="46">
        <f>'LINEST VARS'!$U$60+'LINEST VARS'!$T$60*(8)+'LINEST VARS'!$S$60*(8)+'LINEST VARS'!$R$60*($BF$80)+'LINEST VARS'!$Q$60*($AZ84)+'LINEST VARS'!$P$60*(12.73)+'LINEST VARS'!$O$60*(8^2)+'LINEST VARS'!$N$60*(8^2)+'LINEST VARS'!$M$60*($BF$80^2)+'LINEST VARS'!$L$60*($AZ84^2)+'LINEST VARS'!$K$60*(12.73^2)+'LINEST VARS'!$J$60*(8*8)+'LINEST VARS'!$I$60*(8*$BF$80)+'LINEST VARS'!$H$60*(8*$AZ84)+'LINEST VARS'!$G$60*(8*12.73)+'LINEST VARS'!$F$60*(8*$BF$80)+'LINEST VARS'!$E$60*(8*$AZ84)+'LINEST VARS'!$D$60*(8*12.73)+'LINEST VARS'!$C$60*($BF$80*$AZ84)+'LINEST VARS'!$B$60*($BF$80*12.73)+'LINEST VARS'!$A$60*($AZ84*12.73)</f>
        <v>40.459999999999994</v>
      </c>
      <c r="BG84" s="46">
        <f>'LINEST VARS'!$U$60+'LINEST VARS'!$T$60*(8)+'LINEST VARS'!$S$60*(8)+'LINEST VARS'!$R$60*($BG$80)+'LINEST VARS'!$Q$60*($AZ84)+'LINEST VARS'!$P$60*(12.73)+'LINEST VARS'!$O$60*(8^2)+'LINEST VARS'!$N$60*(8^2)+'LINEST VARS'!$M$60*($BG$80^2)+'LINEST VARS'!$L$60*($AZ84^2)+'LINEST VARS'!$K$60*(12.73^2)+'LINEST VARS'!$J$60*(8*8)+'LINEST VARS'!$I$60*(8*$BG$80)+'LINEST VARS'!$H$60*(8*$AZ84)+'LINEST VARS'!$G$60*(8*12.73)+'LINEST VARS'!$F$60*(8*$BG$80)+'LINEST VARS'!$E$60*(8*$AZ84)+'LINEST VARS'!$D$60*(8*12.73)+'LINEST VARS'!$C$60*($BG$80*$AZ84)+'LINEST VARS'!$B$60*($BG$80*12.73)+'LINEST VARS'!$A$60*($AZ84*12.73)</f>
        <v>40.46</v>
      </c>
      <c r="BH84" s="46">
        <f>'LINEST VARS'!$U$60+'LINEST VARS'!$T$60*(8)+'LINEST VARS'!$S$60*(8)+'LINEST VARS'!$R$60*($BH$80)+'LINEST VARS'!$Q$60*($AZ84)+'LINEST VARS'!$P$60*(12.73)+'LINEST VARS'!$O$60*(8^2)+'LINEST VARS'!$N$60*(8^2)+'LINEST VARS'!$M$60*($BH$80^2)+'LINEST VARS'!$L$60*($AZ84^2)+'LINEST VARS'!$K$60*(12.73^2)+'LINEST VARS'!$J$60*(8*8)+'LINEST VARS'!$I$60*(8*$BH$80)+'LINEST VARS'!$H$60*(8*$AZ84)+'LINEST VARS'!$G$60*(8*12.73)+'LINEST VARS'!$F$60*(8*$BH$80)+'LINEST VARS'!$E$60*(8*$AZ84)+'LINEST VARS'!$D$60*(8*12.73)+'LINEST VARS'!$C$60*($BH$80*$AZ84)+'LINEST VARS'!$B$60*($BH$80*12.73)+'LINEST VARS'!$A$60*($AZ84*12.73)</f>
        <v>40.46</v>
      </c>
      <c r="BI84" s="46">
        <f>'LINEST VARS'!$U$60+'LINEST VARS'!$T$60*(8)+'LINEST VARS'!$S$60*(8)+'LINEST VARS'!$R$60*($BI$80)+'LINEST VARS'!$Q$60*($AZ84)+'LINEST VARS'!$P$60*(12.73)+'LINEST VARS'!$O$60*(8^2)+'LINEST VARS'!$N$60*(8^2)+'LINEST VARS'!$M$60*($BI$80^2)+'LINEST VARS'!$L$60*($AZ84^2)+'LINEST VARS'!$K$60*(12.73^2)+'LINEST VARS'!$J$60*(8*8)+'LINEST VARS'!$I$60*(8*$BI$80)+'LINEST VARS'!$H$60*(8*$AZ84)+'LINEST VARS'!$G$60*(8*12.73)+'LINEST VARS'!$F$60*(8*$BI$80)+'LINEST VARS'!$E$60*(8*$AZ84)+'LINEST VARS'!$D$60*(8*12.73)+'LINEST VARS'!$C$60*($BI$80*$AZ84)+'LINEST VARS'!$B$60*($BI$80*12.73)+'LINEST VARS'!$A$60*($AZ84*12.73)</f>
        <v>40.46</v>
      </c>
      <c r="BJ84" s="46">
        <f>'LINEST VARS'!$U$60+'LINEST VARS'!$T$60*(8)+'LINEST VARS'!$S$60*(8)+'LINEST VARS'!$R$60*($BJ$80)+'LINEST VARS'!$Q$60*($AZ84)+'LINEST VARS'!$P$60*(12.73)+'LINEST VARS'!$O$60*(8^2)+'LINEST VARS'!$N$60*(8^2)+'LINEST VARS'!$M$60*($BJ$80^2)+'LINEST VARS'!$L$60*($AZ84^2)+'LINEST VARS'!$K$60*(12.73^2)+'LINEST VARS'!$J$60*(8*8)+'LINEST VARS'!$I$60*(8*$BJ$80)+'LINEST VARS'!$H$60*(8*$AZ84)+'LINEST VARS'!$G$60*(8*12.73)+'LINEST VARS'!$F$60*(8*$BJ$80)+'LINEST VARS'!$E$60*(8*$AZ84)+'LINEST VARS'!$D$60*(8*12.73)+'LINEST VARS'!$C$60*($BJ$80*$AZ84)+'LINEST VARS'!$B$60*($BJ$80*12.73)+'LINEST VARS'!$A$60*($AZ84*12.73)</f>
        <v>40.46</v>
      </c>
      <c r="BK84" s="46">
        <f>'LINEST VARS'!$U$60+'LINEST VARS'!$T$60*(8)+'LINEST VARS'!$S$60*(8)+'LINEST VARS'!$R$60*($BK$80)+'LINEST VARS'!$Q$60*($AZ84)+'LINEST VARS'!$P$60*(12.73)+'LINEST VARS'!$O$60*(8^2)+'LINEST VARS'!$N$60*(8^2)+'LINEST VARS'!$M$60*($BK$80^2)+'LINEST VARS'!$L$60*($AZ84^2)+'LINEST VARS'!$K$60*(12.73^2)+'LINEST VARS'!$J$60*(8*8)+'LINEST VARS'!$I$60*(8*$BK$80)+'LINEST VARS'!$H$60*(8*$AZ84)+'LINEST VARS'!$G$60*(8*12.73)+'LINEST VARS'!$F$60*(8*$BK$80)+'LINEST VARS'!$E$60*(8*$AZ84)+'LINEST VARS'!$D$60*(8*12.73)+'LINEST VARS'!$C$60*($BK$80*$AZ84)+'LINEST VARS'!$B$60*($BK$80*12.73)+'LINEST VARS'!$A$60*($AZ84*12.73)</f>
        <v>40.46</v>
      </c>
      <c r="BL84" s="46">
        <f>'LINEST VARS'!$U$60+'LINEST VARS'!$T$60*(8)+'LINEST VARS'!$S$60*(8)+'LINEST VARS'!$R$60*($BL$80)+'LINEST VARS'!$Q$60*($AZ84)+'LINEST VARS'!$P$60*(12.73)+'LINEST VARS'!$O$60*(8^2)+'LINEST VARS'!$N$60*(8^2)+'LINEST VARS'!$M$60*($BL$80^2)+'LINEST VARS'!$L$60*($AZ84^2)+'LINEST VARS'!$K$60*(12.73^2)+'LINEST VARS'!$J$60*(8*8)+'LINEST VARS'!$I$60*(8*$BL$80)+'LINEST VARS'!$H$60*(8*$AZ84)+'LINEST VARS'!$G$60*(8*12.73)+'LINEST VARS'!$F$60*(8*$BL$80)+'LINEST VARS'!$E$60*(8*$AZ84)+'LINEST VARS'!$D$60*(8*12.73)+'LINEST VARS'!$C$60*($BL$80*$AZ84)+'LINEST VARS'!$B$60*($BL$80*12.73)+'LINEST VARS'!$A$60*($AZ84*12.73)</f>
        <v>40.46</v>
      </c>
      <c r="BM84" s="46">
        <f>'LINEST VARS'!$U$60+'LINEST VARS'!$T$60*(8)+'LINEST VARS'!$S$60*(8)+'LINEST VARS'!$R$60*($BM$80)+'LINEST VARS'!$Q$60*($AZ84)+'LINEST VARS'!$P$60*(12.73)+'LINEST VARS'!$O$60*(8^2)+'LINEST VARS'!$N$60*(8^2)+'LINEST VARS'!$M$60*($BM$80^2)+'LINEST VARS'!$L$60*($AZ84^2)+'LINEST VARS'!$K$60*(12.73^2)+'LINEST VARS'!$J$60*(8*8)+'LINEST VARS'!$I$60*(8*$BM$80)+'LINEST VARS'!$H$60*(8*$AZ84)+'LINEST VARS'!$G$60*(8*12.73)+'LINEST VARS'!$F$60*(8*$BM$80)+'LINEST VARS'!$E$60*(8*$AZ84)+'LINEST VARS'!$D$60*(8*12.73)+'LINEST VARS'!$C$60*($BM$80*$AZ84)+'LINEST VARS'!$B$60*($BM$80*12.73)+'LINEST VARS'!$A$60*($AZ84*12.73)</f>
        <v>40.46</v>
      </c>
      <c r="BN84" s="46">
        <f>'LINEST VARS'!$U$60+'LINEST VARS'!$T$60*(8)+'LINEST VARS'!$S$60*(8)+'LINEST VARS'!$R$60*($BN$80)+'LINEST VARS'!$Q$60*($AZ84)+'LINEST VARS'!$P$60*(12.73)+'LINEST VARS'!$O$60*(8^2)+'LINEST VARS'!$N$60*(8^2)+'LINEST VARS'!$M$60*($BN$80^2)+'LINEST VARS'!$L$60*($AZ84^2)+'LINEST VARS'!$K$60*(12.73^2)+'LINEST VARS'!$J$60*(8*8)+'LINEST VARS'!$I$60*(8*$BN$80)+'LINEST VARS'!$H$60*(8*$AZ84)+'LINEST VARS'!$G$60*(8*12.73)+'LINEST VARS'!$F$60*(8*$BN$80)+'LINEST VARS'!$E$60*(8*$AZ84)+'LINEST VARS'!$D$60*(8*12.73)+'LINEST VARS'!$C$60*($BN$80*$AZ84)+'LINEST VARS'!$B$60*($BN$80*12.73)+'LINEST VARS'!$A$60*($AZ84*12.73)</f>
        <v>40.459999999999994</v>
      </c>
      <c r="BO84" s="46">
        <f>'LINEST VARS'!$U$60+'LINEST VARS'!$T$60*(8)+'LINEST VARS'!$S$60*(8)+'LINEST VARS'!$R$60*($BO$80)+'LINEST VARS'!$Q$60*($AZ84)+'LINEST VARS'!$P$60*(12.73)+'LINEST VARS'!$O$60*(8^2)+'LINEST VARS'!$N$60*(8^2)+'LINEST VARS'!$M$60*($BO$80^2)+'LINEST VARS'!$L$60*($AZ84^2)+'LINEST VARS'!$K$60*(12.73^2)+'LINEST VARS'!$J$60*(8*8)+'LINEST VARS'!$I$60*(8*$BO$80)+'LINEST VARS'!$H$60*(8*$AZ84)+'LINEST VARS'!$G$60*(8*12.73)+'LINEST VARS'!$F$60*(8*$BO$80)+'LINEST VARS'!$E$60*(8*$AZ84)+'LINEST VARS'!$D$60*(8*12.73)+'LINEST VARS'!$C$60*($BO$80*$AZ84)+'LINEST VARS'!$B$60*($BO$80*12.73)+'LINEST VARS'!$A$60*($AZ84*12.73)</f>
        <v>40.46</v>
      </c>
      <c r="BP84" s="46">
        <f>'LINEST VARS'!$U$60+'LINEST VARS'!$T$60*(8)+'LINEST VARS'!$S$60*(8)+'LINEST VARS'!$R$60*($BP$80)+'LINEST VARS'!$Q$60*($AZ84)+'LINEST VARS'!$P$60*(12.73)+'LINEST VARS'!$O$60*(8^2)+'LINEST VARS'!$N$60*(8^2)+'LINEST VARS'!$M$60*($BP$80^2)+'LINEST VARS'!$L$60*($AZ84^2)+'LINEST VARS'!$K$60*(12.73^2)+'LINEST VARS'!$J$60*(8*8)+'LINEST VARS'!$I$60*(8*$BP$80)+'LINEST VARS'!$H$60*(8*$AZ84)+'LINEST VARS'!$G$60*(8*12.73)+'LINEST VARS'!$F$60*(8*$BP$80)+'LINEST VARS'!$E$60*(8*$AZ84)+'LINEST VARS'!$D$60*(8*12.73)+'LINEST VARS'!$C$60*($BP$80*$AZ84)+'LINEST VARS'!$B$60*($BP$80*12.73)+'LINEST VARS'!$A$60*($AZ84*12.73)</f>
        <v>40.46</v>
      </c>
      <c r="BQ84" s="46">
        <f>'LINEST VARS'!$U$60+'LINEST VARS'!$T$60*(8)+'LINEST VARS'!$S$60*(8)+'LINEST VARS'!$R$60*($BQ$80)+'LINEST VARS'!$Q$60*($AZ84)+'LINEST VARS'!$P$60*(12.73)+'LINEST VARS'!$O$60*(8^2)+'LINEST VARS'!$N$60*(8^2)+'LINEST VARS'!$M$60*($BQ$80^2)+'LINEST VARS'!$L$60*($AZ84^2)+'LINEST VARS'!$K$60*(12.73^2)+'LINEST VARS'!$J$60*(8*8)+'LINEST VARS'!$I$60*(8*$BQ$80)+'LINEST VARS'!$H$60*(8*$AZ84)+'LINEST VARS'!$G$60*(8*12.73)+'LINEST VARS'!$F$60*(8*$BQ$80)+'LINEST VARS'!$E$60*(8*$AZ84)+'LINEST VARS'!$D$60*(8*12.73)+'LINEST VARS'!$C$60*($BQ$80*$AZ84)+'LINEST VARS'!$B$60*($BQ$80*12.73)+'LINEST VARS'!$A$60*($AZ84*12.73)</f>
        <v>40.46</v>
      </c>
      <c r="BR84" s="46">
        <f>'LINEST VARS'!$U$60+'LINEST VARS'!$T$60*(8)+'LINEST VARS'!$S$60*(8)+'LINEST VARS'!$R$60*($BR$80)+'LINEST VARS'!$Q$60*($AZ84)+'LINEST VARS'!$P$60*(12.73)+'LINEST VARS'!$O$60*(8^2)+'LINEST VARS'!$N$60*(8^2)+'LINEST VARS'!$M$60*($BR$80^2)+'LINEST VARS'!$L$60*($AZ84^2)+'LINEST VARS'!$K$60*(12.73^2)+'LINEST VARS'!$J$60*(8*8)+'LINEST VARS'!$I$60*(8*$BR$80)+'LINEST VARS'!$H$60*(8*$AZ84)+'LINEST VARS'!$G$60*(8*12.73)+'LINEST VARS'!$F$60*(8*$BR$80)+'LINEST VARS'!$E$60*(8*$AZ84)+'LINEST VARS'!$D$60*(8*12.73)+'LINEST VARS'!$C$60*($BR$80*$AZ84)+'LINEST VARS'!$B$60*($BR$80*12.73)+'LINEST VARS'!$A$60*($AZ84*12.73)</f>
        <v>40.46</v>
      </c>
      <c r="BS84" s="46">
        <f>'LINEST VARS'!$U$60+'LINEST VARS'!$T$60*(8)+'LINEST VARS'!$S$60*(8)+'LINEST VARS'!$R$60*($BS$80)+'LINEST VARS'!$Q$60*($AZ84)+'LINEST VARS'!$P$60*(12.73)+'LINEST VARS'!$O$60*(8^2)+'LINEST VARS'!$N$60*(8^2)+'LINEST VARS'!$M$60*($BS$80^2)+'LINEST VARS'!$L$60*($AZ84^2)+'LINEST VARS'!$K$60*(12.73^2)+'LINEST VARS'!$J$60*(8*8)+'LINEST VARS'!$I$60*(8*$BS$80)+'LINEST VARS'!$H$60*(8*$AZ84)+'LINEST VARS'!$G$60*(8*12.73)+'LINEST VARS'!$F$60*(8*$BS$80)+'LINEST VARS'!$E$60*(8*$AZ84)+'LINEST VARS'!$D$60*(8*12.73)+'LINEST VARS'!$C$60*($BS$80*$AZ84)+'LINEST VARS'!$B$60*($BS$80*12.73)+'LINEST VARS'!$A$60*($AZ84*12.73)</f>
        <v>40.46</v>
      </c>
      <c r="BT84" s="46">
        <f>'LINEST VARS'!$U$60+'LINEST VARS'!$T$60*(8)+'LINEST VARS'!$S$60*(8)+'LINEST VARS'!$R$60*($BT$80)+'LINEST VARS'!$Q$60*($AZ84)+'LINEST VARS'!$P$60*(12.73)+'LINEST VARS'!$O$60*(8^2)+'LINEST VARS'!$N$60*(8^2)+'LINEST VARS'!$M$60*($BT$80^2)+'LINEST VARS'!$L$60*($AZ84^2)+'LINEST VARS'!$K$60*(12.73^2)+'LINEST VARS'!$J$60*(8*8)+'LINEST VARS'!$I$60*(8*$BT$80)+'LINEST VARS'!$H$60*(8*$AZ84)+'LINEST VARS'!$G$60*(8*12.73)+'LINEST VARS'!$F$60*(8*$BT$80)+'LINEST VARS'!$E$60*(8*$AZ84)+'LINEST VARS'!$D$60*(8*12.73)+'LINEST VARS'!$C$60*($BT$80*$AZ84)+'LINEST VARS'!$B$60*($BT$80*12.73)+'LINEST VARS'!$A$60*($AZ84*12.73)</f>
        <v>40.46</v>
      </c>
      <c r="BU84" s="47">
        <f>'LINEST VARS'!$U$60+'LINEST VARS'!$T$60*(8)+'LINEST VARS'!$S$60*(8)+'LINEST VARS'!$R$60*($BU$80)+'LINEST VARS'!$Q$60*($AZ84)+'LINEST VARS'!$P$60*(12.73)+'LINEST VARS'!$O$60*(8^2)+'LINEST VARS'!$N$60*(8^2)+'LINEST VARS'!$M$60*($BU$80^2)+'LINEST VARS'!$L$60*($AZ84^2)+'LINEST VARS'!$K$60*(12.73^2)+'LINEST VARS'!$J$60*(8*8)+'LINEST VARS'!$I$60*(8*$BU$80)+'LINEST VARS'!$H$60*(8*$AZ84)+'LINEST VARS'!$G$60*(8*12.73)+'LINEST VARS'!$F$60*(8*$BU$80)+'LINEST VARS'!$E$60*(8*$AZ84)+'LINEST VARS'!$D$60*(8*12.73)+'LINEST VARS'!$C$60*($BU$80*$AZ84)+'LINEST VARS'!$B$60*($BU$80*12.73)+'LINEST VARS'!$A$60*($AZ84*12.73)</f>
        <v>40.46</v>
      </c>
      <c r="BX84" s="45">
        <v>0.15</v>
      </c>
      <c r="BY84" s="55">
        <f>'LINEST VARS'!$U$62+'LINEST VARS'!$T$62*(8)+'LINEST VARS'!$S$62*(8)+'LINEST VARS'!$R$62*($BY$80)+'LINEST VARS'!$Q$62*($BX84)+'LINEST VARS'!$P$62*(12.73)+'LINEST VARS'!$O$62*(8^2)+'LINEST VARS'!$N$62*(8^2)+'LINEST VARS'!$M$62*($BY$80^2)+'LINEST VARS'!$L$62*($BX84^2)+'LINEST VARS'!$K$62*(12.73^2)+'LINEST VARS'!$J$62*(8*8)+'LINEST VARS'!$I$62*(8*$BY$80)+'LINEST VARS'!$H$62*(8*$BX84)+'LINEST VARS'!$G$62*(8*12.73)+'LINEST VARS'!$F$62*(8*$BY$80)+'LINEST VARS'!$E$62*(8*$BX84)+'LINEST VARS'!$D$62*(8*12.73)+'LINEST VARS'!$C$62*($BY$80*$BX84)+'LINEST VARS'!$B$62*($BY$80*12.73)+'LINEST VARS'!$A$62*($BX84*12.73)</f>
        <v>349.95499999999987</v>
      </c>
      <c r="BZ84" s="55">
        <f>'LINEST VARS'!$U$62+'LINEST VARS'!$T$62*(8)+'LINEST VARS'!$S$62*(8)+'LINEST VARS'!$R$62*($BZ$80)+'LINEST VARS'!$Q$62*($BX84)+'LINEST VARS'!$P$62*(12.73)+'LINEST VARS'!$O$62*(8^2)+'LINEST VARS'!$N$62*(8^2)+'LINEST VARS'!$M$62*($BZ$80^2)+'LINEST VARS'!$L$62*($BX84^2)+'LINEST VARS'!$K$62*(12.73^2)+'LINEST VARS'!$J$62*(8*8)+'LINEST VARS'!$I$62*(8*$BZ$80)+'LINEST VARS'!$H$62*(8*$BX84)+'LINEST VARS'!$G$62*(8*12.73)+'LINEST VARS'!$F$62*(8*$BZ$80)+'LINEST VARS'!$E$62*(8*$BX84)+'LINEST VARS'!$D$62*(8*12.73)+'LINEST VARS'!$C$62*($BZ$80*$BX84)+'LINEST VARS'!$B$62*($BZ$80*12.73)+'LINEST VARS'!$A$62*($BX84*12.73)</f>
        <v>349.15499999999992</v>
      </c>
      <c r="CA84" s="55">
        <f>'LINEST VARS'!$U$62+'LINEST VARS'!$T$62*(8)+'LINEST VARS'!$S$62*(8)+'LINEST VARS'!$R$62*($CA$80)+'LINEST VARS'!$Q$62*($BX84)+'LINEST VARS'!$P$62*(12.73)+'LINEST VARS'!$O$62*(8^2)+'LINEST VARS'!$N$62*(8^2)+'LINEST VARS'!$M$62*($CA$80^2)+'LINEST VARS'!$L$62*($BX84^2)+'LINEST VARS'!$K$62*(12.73^2)+'LINEST VARS'!$J$62*(8*8)+'LINEST VARS'!$I$62*(8*$CA$80)+'LINEST VARS'!$H$62*(8*$BX84)+'LINEST VARS'!$G$62*(8*12.73)+'LINEST VARS'!$F$62*(8*$CA$80)+'LINEST VARS'!$E$62*(8*$BX84)+'LINEST VARS'!$D$62*(8*12.73)+'LINEST VARS'!$C$62*($CA$80*$BX84)+'LINEST VARS'!$B$62*($CA$80*12.73)+'LINEST VARS'!$A$62*($BX84*12.73)</f>
        <v>346.75499999999982</v>
      </c>
      <c r="CB84" s="55">
        <f>'LINEST VARS'!$U$62+'LINEST VARS'!$T$62*(8)+'LINEST VARS'!$S$62*(8)+'LINEST VARS'!$R$62*($CB$80)+'LINEST VARS'!$Q$62*($BX84)+'LINEST VARS'!$P$62*(12.73)+'LINEST VARS'!$O$62*(8^2)+'LINEST VARS'!$N$62*(8^2)+'LINEST VARS'!$M$62*($CB$80^2)+'LINEST VARS'!$L$62*($BX84^2)+'LINEST VARS'!$K$62*(12.73^2)+'LINEST VARS'!$J$62*(8*8)+'LINEST VARS'!$I$62*(8*$CB$80)+'LINEST VARS'!$H$62*(8*$BX84)+'LINEST VARS'!$G$62*(8*12.73)+'LINEST VARS'!$F$62*(8*$CB$80)+'LINEST VARS'!$E$62*(8*$BX84)+'LINEST VARS'!$D$62*(8*12.73)+'LINEST VARS'!$C$62*($CB$80*$BX84)+'LINEST VARS'!$B$62*($CB$80*12.73)+'LINEST VARS'!$A$62*($BX84*12.73)</f>
        <v>342.75499999999988</v>
      </c>
      <c r="CC84" s="55">
        <f>'LINEST VARS'!$U$62+'LINEST VARS'!$T$62*(8)+'LINEST VARS'!$S$62*(8)+'LINEST VARS'!$R$62*($CC$80)+'LINEST VARS'!$Q$62*($BX84)+'LINEST VARS'!$P$62*(12.73)+'LINEST VARS'!$O$62*(8^2)+'LINEST VARS'!$N$62*(8^2)+'LINEST VARS'!$M$62*($CC$80^2)+'LINEST VARS'!$L$62*($BX84^2)+'LINEST VARS'!$K$62*(12.73^2)+'LINEST VARS'!$J$62*(8*8)+'LINEST VARS'!$I$62*(8*$CC$80)+'LINEST VARS'!$H$62*(8*$BX84)+'LINEST VARS'!$G$62*(8*12.73)+'LINEST VARS'!$F$62*(8*$CC$80)+'LINEST VARS'!$E$62*(8*$BX84)+'LINEST VARS'!$D$62*(8*12.73)+'LINEST VARS'!$C$62*($CC$80*$BX84)+'LINEST VARS'!$B$62*($CC$80*12.73)+'LINEST VARS'!$A$62*($BX84*12.73)</f>
        <v>337.15499999999992</v>
      </c>
      <c r="CD84" s="55">
        <f>'LINEST VARS'!$U$62+'LINEST VARS'!$T$62*(8)+'LINEST VARS'!$S$62*(8)+'LINEST VARS'!$R$62*($CD$80)+'LINEST VARS'!$Q$62*($BX84)+'LINEST VARS'!$P$62*(12.73)+'LINEST VARS'!$O$62*(8^2)+'LINEST VARS'!$N$62*(8^2)+'LINEST VARS'!$M$62*($CD$80^2)+'LINEST VARS'!$L$62*($BX84^2)+'LINEST VARS'!$K$62*(12.73^2)+'LINEST VARS'!$J$62*(8*8)+'LINEST VARS'!$I$62*(8*$CD$80)+'LINEST VARS'!$H$62*(8*$BX84)+'LINEST VARS'!$G$62*(8*12.73)+'LINEST VARS'!$F$62*(8*$CD$80)+'LINEST VARS'!$E$62*(8*$BX84)+'LINEST VARS'!$D$62*(8*12.73)+'LINEST VARS'!$C$62*($CD$80*$BX84)+'LINEST VARS'!$B$62*($CD$80*12.73)+'LINEST VARS'!$A$62*($BX84*12.73)</f>
        <v>329.95499999999998</v>
      </c>
      <c r="CE84" s="55">
        <f>'LINEST VARS'!$U$62+'LINEST VARS'!$T$62*(8)+'LINEST VARS'!$S$62*(8)+'LINEST VARS'!$R$62*($CE$80)+'LINEST VARS'!$Q$62*($BX84)+'LINEST VARS'!$P$62*(12.73)+'LINEST VARS'!$O$62*(8^2)+'LINEST VARS'!$N$62*(8^2)+'LINEST VARS'!$M$62*($CE$80^2)+'LINEST VARS'!$L$62*($BX84^2)+'LINEST VARS'!$K$62*(12.73^2)+'LINEST VARS'!$J$62*(8*8)+'LINEST VARS'!$I$62*(8*$CE$80)+'LINEST VARS'!$H$62*(8*$BX84)+'LINEST VARS'!$G$62*(8*12.73)+'LINEST VARS'!$F$62*(8*$CE$80)+'LINEST VARS'!$E$62*(8*$BX84)+'LINEST VARS'!$D$62*(8*12.73)+'LINEST VARS'!$C$62*($CE$80*$BX84)+'LINEST VARS'!$B$62*($CE$80*12.73)+'LINEST VARS'!$A$62*($BX84*12.73)</f>
        <v>321.15499999999992</v>
      </c>
      <c r="CF84" s="55">
        <f>'LINEST VARS'!$U$62+'LINEST VARS'!$T$62*(8)+'LINEST VARS'!$S$62*(8)+'LINEST VARS'!$R$62*($CF$80)+'LINEST VARS'!$Q$62*($BX84)+'LINEST VARS'!$P$62*(12.73)+'LINEST VARS'!$O$62*(8^2)+'LINEST VARS'!$N$62*(8^2)+'LINEST VARS'!$M$62*($CF$80^2)+'LINEST VARS'!$L$62*($BX84^2)+'LINEST VARS'!$K$62*(12.73^2)+'LINEST VARS'!$J$62*(8*8)+'LINEST VARS'!$I$62*(8*$CF$80)+'LINEST VARS'!$H$62*(8*$BX84)+'LINEST VARS'!$G$62*(8*12.73)+'LINEST VARS'!$F$62*(8*$CF$80)+'LINEST VARS'!$E$62*(8*$BX84)+'LINEST VARS'!$D$62*(8*12.73)+'LINEST VARS'!$C$62*($CF$80*$BX84)+'LINEST VARS'!$B$62*($CF$80*12.73)+'LINEST VARS'!$A$62*($BX84*12.73)</f>
        <v>310.75499999999988</v>
      </c>
      <c r="CG84" s="55">
        <f>'LINEST VARS'!$U$62+'LINEST VARS'!$T$62*(8)+'LINEST VARS'!$S$62*(8)+'LINEST VARS'!$R$62*($CG$80)+'LINEST VARS'!$Q$62*($BX84)+'LINEST VARS'!$P$62*(12.73)+'LINEST VARS'!$O$62*(8^2)+'LINEST VARS'!$N$62*(8^2)+'LINEST VARS'!$M$62*($CG$80^2)+'LINEST VARS'!$L$62*($BX84^2)+'LINEST VARS'!$K$62*(12.73^2)+'LINEST VARS'!$J$62*(8*8)+'LINEST VARS'!$I$62*(8*$CG$80)+'LINEST VARS'!$H$62*(8*$BX84)+'LINEST VARS'!$G$62*(8*12.73)+'LINEST VARS'!$F$62*(8*$CG$80)+'LINEST VARS'!$E$62*(8*$BX84)+'LINEST VARS'!$D$62*(8*12.73)+'LINEST VARS'!$C$62*($CG$80*$BX84)+'LINEST VARS'!$B$62*($CG$80*12.73)+'LINEST VARS'!$A$62*($BX84*12.73)</f>
        <v>298.75499999999994</v>
      </c>
      <c r="CH84" s="55">
        <f>'LINEST VARS'!$U$62+'LINEST VARS'!$T$62*(8)+'LINEST VARS'!$S$62*(8)+'LINEST VARS'!$R$62*($CH$80)+'LINEST VARS'!$Q$62*($BX84)+'LINEST VARS'!$P$62*(12.73)+'LINEST VARS'!$O$62*(8^2)+'LINEST VARS'!$N$62*(8^2)+'LINEST VARS'!$M$62*($CH$80^2)+'LINEST VARS'!$L$62*($BX84^2)+'LINEST VARS'!$K$62*(12.73^2)+'LINEST VARS'!$J$62*(8*8)+'LINEST VARS'!$I$62*(8*$CH$80)+'LINEST VARS'!$H$62*(8*$BX84)+'LINEST VARS'!$G$62*(8*12.73)+'LINEST VARS'!$F$62*(8*$CH$80)+'LINEST VARS'!$E$62*(8*$BX84)+'LINEST VARS'!$D$62*(8*12.73)+'LINEST VARS'!$C$62*($CH$80*$BX84)+'LINEST VARS'!$B$62*($CH$80*12.73)+'LINEST VARS'!$A$62*($BX84*12.73)</f>
        <v>285.15499999999992</v>
      </c>
      <c r="CI84" s="55">
        <f>'LINEST VARS'!$U$62+'LINEST VARS'!$T$62*(8)+'LINEST VARS'!$S$62*(8)+'LINEST VARS'!$R$62*($CI$80)+'LINEST VARS'!$Q$62*($BX84)+'LINEST VARS'!$P$62*(12.73)+'LINEST VARS'!$O$62*(8^2)+'LINEST VARS'!$N$62*(8^2)+'LINEST VARS'!$M$62*($CI$80^2)+'LINEST VARS'!$L$62*($BX84^2)+'LINEST VARS'!$K$62*(12.73^2)+'LINEST VARS'!$J$62*(8*8)+'LINEST VARS'!$I$62*(8*$CI$80)+'LINEST VARS'!$H$62*(8*$BX84)+'LINEST VARS'!$G$62*(8*12.73)+'LINEST VARS'!$F$62*(8*$CI$80)+'LINEST VARS'!$E$62*(8*$BX84)+'LINEST VARS'!$D$62*(8*12.73)+'LINEST VARS'!$C$62*($CI$80*$BX84)+'LINEST VARS'!$B$62*($CI$80*12.73)+'LINEST VARS'!$A$62*($BX84*12.73)</f>
        <v>269.95499999999993</v>
      </c>
      <c r="CJ84" s="55">
        <f>'LINEST VARS'!$U$62+'LINEST VARS'!$T$62*(8)+'LINEST VARS'!$S$62*(8)+'LINEST VARS'!$R$62*($CJ$80)+'LINEST VARS'!$Q$62*($BX84)+'LINEST VARS'!$P$62*(12.73)+'LINEST VARS'!$O$62*(8^2)+'LINEST VARS'!$N$62*(8^2)+'LINEST VARS'!$M$62*($CJ$80^2)+'LINEST VARS'!$L$62*($BX84^2)+'LINEST VARS'!$K$62*(12.73^2)+'LINEST VARS'!$J$62*(8*8)+'LINEST VARS'!$I$62*(8*$CJ$80)+'LINEST VARS'!$H$62*(8*$BX84)+'LINEST VARS'!$G$62*(8*12.73)+'LINEST VARS'!$F$62*(8*$CJ$80)+'LINEST VARS'!$E$62*(8*$BX84)+'LINEST VARS'!$D$62*(8*12.73)+'LINEST VARS'!$C$62*($CJ$80*$BX84)+'LINEST VARS'!$B$62*($CJ$80*12.73)+'LINEST VARS'!$A$62*($BX84*12.73)</f>
        <v>253.15500000000006</v>
      </c>
      <c r="CK84" s="55">
        <f>'LINEST VARS'!$U$62+'LINEST VARS'!$T$62*(8)+'LINEST VARS'!$S$62*(8)+'LINEST VARS'!$R$62*($CK$80)+'LINEST VARS'!$Q$62*($BX84)+'LINEST VARS'!$P$62*(12.73)+'LINEST VARS'!$O$62*(8^2)+'LINEST VARS'!$N$62*(8^2)+'LINEST VARS'!$M$62*($CK$80^2)+'LINEST VARS'!$L$62*($BX84^2)+'LINEST VARS'!$K$62*(12.73^2)+'LINEST VARS'!$J$62*(8*8)+'LINEST VARS'!$I$62*(8*$CK$80)+'LINEST VARS'!$H$62*(8*$BX84)+'LINEST VARS'!$G$62*(8*12.73)+'LINEST VARS'!$F$62*(8*$CK$80)+'LINEST VARS'!$E$62*(8*$BX84)+'LINEST VARS'!$D$62*(8*12.73)+'LINEST VARS'!$C$62*($CK$80*$BX84)+'LINEST VARS'!$B$62*($CK$80*12.73)+'LINEST VARS'!$A$62*($BX84*12.73)</f>
        <v>234.75500000000011</v>
      </c>
      <c r="CL84" s="55">
        <f>'LINEST VARS'!$U$62+'LINEST VARS'!$T$62*(8)+'LINEST VARS'!$S$62*(8)+'LINEST VARS'!$R$62*($CL$80)+'LINEST VARS'!$Q$62*($BX84)+'LINEST VARS'!$P$62*(12.73)+'LINEST VARS'!$O$62*(8^2)+'LINEST VARS'!$N$62*(8^2)+'LINEST VARS'!$M$62*($CL$80^2)+'LINEST VARS'!$L$62*($BX84^2)+'LINEST VARS'!$K$62*(12.73^2)+'LINEST VARS'!$J$62*(8*8)+'LINEST VARS'!$I$62*(8*$CL$80)+'LINEST VARS'!$H$62*(8*$BX84)+'LINEST VARS'!$G$62*(8*12.73)+'LINEST VARS'!$F$62*(8*$CL$80)+'LINEST VARS'!$E$62*(8*$BX84)+'LINEST VARS'!$D$62*(8*12.73)+'LINEST VARS'!$C$62*($CL$80*$BX84)+'LINEST VARS'!$B$62*($CL$80*12.73)+'LINEST VARS'!$A$62*($BX84*12.73)</f>
        <v>214.75500000000005</v>
      </c>
      <c r="CM84" s="55">
        <f>'LINEST VARS'!$U$62+'LINEST VARS'!$T$62*(8)+'LINEST VARS'!$S$62*(8)+'LINEST VARS'!$R$62*($CM$80)+'LINEST VARS'!$Q$62*($BX84)+'LINEST VARS'!$P$62*(12.73)+'LINEST VARS'!$O$62*(8^2)+'LINEST VARS'!$N$62*(8^2)+'LINEST VARS'!$M$62*($CM$80^2)+'LINEST VARS'!$L$62*($BX84^2)+'LINEST VARS'!$K$62*(12.73^2)+'LINEST VARS'!$J$62*(8*8)+'LINEST VARS'!$I$62*(8*$CM$80)+'LINEST VARS'!$H$62*(8*$BX84)+'LINEST VARS'!$G$62*(8*12.73)+'LINEST VARS'!$F$62*(8*$CM$80)+'LINEST VARS'!$E$62*(8*$BX84)+'LINEST VARS'!$D$62*(8*12.73)+'LINEST VARS'!$C$62*($CM$80*$BX84)+'LINEST VARS'!$B$62*($CM$80*12.73)+'LINEST VARS'!$A$62*($BX84*12.73)</f>
        <v>193.15500000000014</v>
      </c>
      <c r="CN84" s="55">
        <f>'LINEST VARS'!$U$62+'LINEST VARS'!$T$62*(8)+'LINEST VARS'!$S$62*(8)+'LINEST VARS'!$R$62*($CN$80)+'LINEST VARS'!$Q$62*($BX84)+'LINEST VARS'!$P$62*(12.73)+'LINEST VARS'!$O$62*(8^2)+'LINEST VARS'!$N$62*(8^2)+'LINEST VARS'!$M$62*($CN$80^2)+'LINEST VARS'!$L$62*($BX84^2)+'LINEST VARS'!$K$62*(12.73^2)+'LINEST VARS'!$J$62*(8*8)+'LINEST VARS'!$I$62*(8*$CN$80)+'LINEST VARS'!$H$62*(8*$BX84)+'LINEST VARS'!$G$62*(8*12.73)+'LINEST VARS'!$F$62*(8*$CN$80)+'LINEST VARS'!$E$62*(8*$BX84)+'LINEST VARS'!$D$62*(8*12.73)+'LINEST VARS'!$C$62*($CN$80*$BX84)+'LINEST VARS'!$B$62*($CN$80*12.73)+'LINEST VARS'!$A$62*($BX84*12.73)</f>
        <v>169.95500000000013</v>
      </c>
      <c r="CO84" s="55">
        <f>'LINEST VARS'!$U$62+'LINEST VARS'!$T$62*(8)+'LINEST VARS'!$S$62*(8)+'LINEST VARS'!$R$62*($CO$80)+'LINEST VARS'!$Q$62*($BX84)+'LINEST VARS'!$P$62*(12.73)+'LINEST VARS'!$O$62*(8^2)+'LINEST VARS'!$N$62*(8^2)+'LINEST VARS'!$M$62*($CO$80^2)+'LINEST VARS'!$L$62*($BX84^2)+'LINEST VARS'!$K$62*(12.73^2)+'LINEST VARS'!$J$62*(8*8)+'LINEST VARS'!$I$62*(8*$CO$80)+'LINEST VARS'!$H$62*(8*$BX84)+'LINEST VARS'!$G$62*(8*12.73)+'LINEST VARS'!$F$62*(8*$CO$80)+'LINEST VARS'!$E$62*(8*$BX84)+'LINEST VARS'!$D$62*(8*12.73)+'LINEST VARS'!$C$62*($CO$80*$BX84)+'LINEST VARS'!$B$62*($CO$80*12.73)+'LINEST VARS'!$A$62*($BX84*12.73)</f>
        <v>145.15500000000014</v>
      </c>
      <c r="CP84" s="55">
        <f>'LINEST VARS'!$U$62+'LINEST VARS'!$T$62*(8)+'LINEST VARS'!$S$62*(8)+'LINEST VARS'!$R$62*($CP$80)+'LINEST VARS'!$Q$62*($BX84)+'LINEST VARS'!$P$62*(12.73)+'LINEST VARS'!$O$62*(8^2)+'LINEST VARS'!$N$62*(8^2)+'LINEST VARS'!$M$62*($CP$80^2)+'LINEST VARS'!$L$62*($BX84^2)+'LINEST VARS'!$K$62*(12.73^2)+'LINEST VARS'!$J$62*(8*8)+'LINEST VARS'!$I$62*(8*$CP$80)+'LINEST VARS'!$H$62*(8*$BX84)+'LINEST VARS'!$G$62*(8*12.73)+'LINEST VARS'!$F$62*(8*$CP$80)+'LINEST VARS'!$E$62*(8*$BX84)+'LINEST VARS'!$D$62*(8*12.73)+'LINEST VARS'!$C$62*($CP$80*$BX84)+'LINEST VARS'!$B$62*($CP$80*12.73)+'LINEST VARS'!$A$62*($BX84*12.73)</f>
        <v>118.75500000000011</v>
      </c>
      <c r="CQ84" s="55">
        <f>'LINEST VARS'!$U$62+'LINEST VARS'!$T$62*(8)+'LINEST VARS'!$S$62*(8)+'LINEST VARS'!$R$62*($CQ$80)+'LINEST VARS'!$Q$62*($BX84)+'LINEST VARS'!$P$62*(12.73)+'LINEST VARS'!$O$62*(8^2)+'LINEST VARS'!$N$62*(8^2)+'LINEST VARS'!$M$62*($CQ$80^2)+'LINEST VARS'!$L$62*($BX84^2)+'LINEST VARS'!$K$62*(12.73^2)+'LINEST VARS'!$J$62*(8*8)+'LINEST VARS'!$I$62*(8*$CQ$80)+'LINEST VARS'!$H$62*(8*$BX84)+'LINEST VARS'!$G$62*(8*12.73)+'LINEST VARS'!$F$62*(8*$CQ$80)+'LINEST VARS'!$E$62*(8*$BX84)+'LINEST VARS'!$D$62*(8*12.73)+'LINEST VARS'!$C$62*($CQ$80*$BX84)+'LINEST VARS'!$B$62*($CQ$80*12.73)+'LINEST VARS'!$A$62*($BX84*12.73)</f>
        <v>90.755000000000109</v>
      </c>
      <c r="CR84" s="55">
        <f>'LINEST VARS'!$U$62+'LINEST VARS'!$T$62*(8)+'LINEST VARS'!$S$62*(8)+'LINEST VARS'!$R$62*($CR$80)+'LINEST VARS'!$Q$62*($BX84)+'LINEST VARS'!$P$62*(12.73)+'LINEST VARS'!$O$62*(8^2)+'LINEST VARS'!$N$62*(8^2)+'LINEST VARS'!$M$62*($CR$80^2)+'LINEST VARS'!$L$62*($BX84^2)+'LINEST VARS'!$K$62*(12.73^2)+'LINEST VARS'!$J$62*(8*8)+'LINEST VARS'!$I$62*(8*$CR$80)+'LINEST VARS'!$H$62*(8*$BX84)+'LINEST VARS'!$G$62*(8*12.73)+'LINEST VARS'!$F$62*(8*$CR$80)+'LINEST VARS'!$E$62*(8*$BX84)+'LINEST VARS'!$D$62*(8*12.73)+'LINEST VARS'!$C$62*($CR$80*$BX84)+'LINEST VARS'!$B$62*($CR$80*12.73)+'LINEST VARS'!$A$62*($BX84*12.73)</f>
        <v>61.155000000000165</v>
      </c>
      <c r="CS84" s="56">
        <f>'LINEST VARS'!$U$62+'LINEST VARS'!$T$62*(8)+'LINEST VARS'!$S$62*(8)+'LINEST VARS'!$R$62*($CS$80)+'LINEST VARS'!$Q$62*($BX84)+'LINEST VARS'!$P$62*(12.73)+'LINEST VARS'!$O$62*(8^2)+'LINEST VARS'!$N$62*(8^2)+'LINEST VARS'!$M$62*($CS$80^2)+'LINEST VARS'!$L$62*($BX84^2)+'LINEST VARS'!$K$62*(12.73^2)+'LINEST VARS'!$J$62*(8*8)+'LINEST VARS'!$I$62*(8*$CS$80)+'LINEST VARS'!$H$62*(8*$BX84)+'LINEST VARS'!$G$62*(8*12.73)+'LINEST VARS'!$F$62*(8*$CS$80)+'LINEST VARS'!$E$62*(8*$BX84)+'LINEST VARS'!$D$62*(8*12.73)+'LINEST VARS'!$C$62*($CS$80*$BX84)+'LINEST VARS'!$B$62*($CS$80*12.73)+'LINEST VARS'!$A$62*($BX84*12.73)</f>
        <v>29.955000000000201</v>
      </c>
      <c r="CX84" s="45">
        <v>3.8984999999999999</v>
      </c>
      <c r="CY84" s="46">
        <f>'LINEST VARS'!$U$60+'LINEST VARS'!$T$60*(8)+'LINEST VARS'!$S$60*(8)+'LINEST VARS'!$R$60*($CY$80)+'LINEST VARS'!$Q$60*(0.5)+'LINEST VARS'!$P$60*($CX84)+'LINEST VARS'!$O$60*(8^2)+'LINEST VARS'!$N$60*(8^2)+'LINEST VARS'!$M$60*($CY$80^2)+'LINEST VARS'!$L$60*(0.5^2)+'LINEST VARS'!$K$60*($CX84^2)+'LINEST VARS'!$J$60*(8*8)+'LINEST VARS'!$I$60*(8*$CY$80)+'LINEST VARS'!$H$60*(8*0.5)+'LINEST VARS'!$G$60*(8*$CX84)+'LINEST VARS'!$F$60*(8*$CY$80)+'LINEST VARS'!$E$60*(8*0.5)+'LINEST VARS'!$D$60*(8*$CX84)+'LINEST VARS'!$C$60*($CY$80*0.5)+'LINEST VARS'!$B$60*($CY$80*$CX84)+'LINEST VARS'!$A$60*(0.5*$CX84)</f>
        <v>22.797000000000011</v>
      </c>
      <c r="CZ84" s="46">
        <f>'LINEST VARS'!$U$60+'LINEST VARS'!$T$60*(8)+'LINEST VARS'!$S$60*(8)+'LINEST VARS'!$R$60*($CZ$80)+'LINEST VARS'!$Q$60*(0.5)+'LINEST VARS'!$P$60*($CX84)+'LINEST VARS'!$O$60*(8^2)+'LINEST VARS'!$N$60*(8^2)+'LINEST VARS'!$M$60*($CZ$80^2)+'LINEST VARS'!$L$60*(0.5^2)+'LINEST VARS'!$K$60*($CX84^2)+'LINEST VARS'!$J$60*(8*8)+'LINEST VARS'!$I$60*(8*$CZ$80)+'LINEST VARS'!$H$60*(8*0.5)+'LINEST VARS'!$G$60*(8*$CX84)+'LINEST VARS'!$F$60*(8*$CZ$80)+'LINEST VARS'!$E$60*(8*0.5)+'LINEST VARS'!$D$60*(8*$CX84)+'LINEST VARS'!$C$60*($CZ$80*0.5)+'LINEST VARS'!$B$60*($CZ$80*$CX84)+'LINEST VARS'!$A$60*(0.5*$CX84)</f>
        <v>22.797000000000015</v>
      </c>
      <c r="DA84" s="46">
        <f>'LINEST VARS'!$U$60+'LINEST VARS'!$T$60*(8)+'LINEST VARS'!$S$60*(8)+'LINEST VARS'!$R$60*($DA$80)+'LINEST VARS'!$Q$60*(0.5)+'LINEST VARS'!$P$60*($CX84)+'LINEST VARS'!$O$60*(8^2)+'LINEST VARS'!$N$60*(8^2)+'LINEST VARS'!$M$60*($DA$80^2)+'LINEST VARS'!$L$60*(0.5^2)+'LINEST VARS'!$K$60*($CX84^2)+'LINEST VARS'!$J$60*(8*8)+'LINEST VARS'!$I$60*(8*$DA$80)+'LINEST VARS'!$H$60*(8*0.5)+'LINEST VARS'!$G$60*(8*$CX84)+'LINEST VARS'!$F$60*(8*$DA$80)+'LINEST VARS'!$E$60*(8*0.5)+'LINEST VARS'!$D$60*(8*$CX84)+'LINEST VARS'!$C$60*($DA$80*0.5)+'LINEST VARS'!$B$60*($DA$80*$CX84)+'LINEST VARS'!$A$60*(0.5*$CX84)</f>
        <v>22.797000000000011</v>
      </c>
      <c r="DB84" s="46">
        <f>'LINEST VARS'!$U$60+'LINEST VARS'!$T$60*(8)+'LINEST VARS'!$S$60*(8)+'LINEST VARS'!$R$60*($DB$80)+'LINEST VARS'!$Q$60*(0.5)+'LINEST VARS'!$P$60*($CX84)+'LINEST VARS'!$O$60*(8^2)+'LINEST VARS'!$N$60*(8^2)+'LINEST VARS'!$M$60*($DB$80^2)+'LINEST VARS'!$L$60*(0.5^2)+'LINEST VARS'!$K$60*($CX84^2)+'LINEST VARS'!$J$60*(8*8)+'LINEST VARS'!$I$60*(8*$DB$80)+'LINEST VARS'!$H$60*(8*0.5)+'LINEST VARS'!$G$60*(8*$CX84)+'LINEST VARS'!$F$60*(8*$DB$80)+'LINEST VARS'!$E$60*(8*0.5)+'LINEST VARS'!$D$60*(8*$CX84)+'LINEST VARS'!$C$60*($DB$80*0.5)+'LINEST VARS'!$B$60*($DB$80*$CX84)+'LINEST VARS'!$A$60*(0.5*$CX84)</f>
        <v>22.797000000000011</v>
      </c>
      <c r="DC84" s="46">
        <f>'LINEST VARS'!$U$60+'LINEST VARS'!$T$60*(8)+'LINEST VARS'!$S$60*(8)+'LINEST VARS'!$R$60*($DC$80)+'LINEST VARS'!$Q$60*(0.5)+'LINEST VARS'!$P$60*($CX84)+'LINEST VARS'!$O$60*(8^2)+'LINEST VARS'!$N$60*(8^2)+'LINEST VARS'!$M$60*($DC$80^2)+'LINEST VARS'!$L$60*(0.5^2)+'LINEST VARS'!$K$60*($CX84^2)+'LINEST VARS'!$J$60*(8*8)+'LINEST VARS'!$I$60*(8*$DC$80)+'LINEST VARS'!$H$60*(8*0.5)+'LINEST VARS'!$G$60*(8*$CX84)+'LINEST VARS'!$F$60*(8*$DC$80)+'LINEST VARS'!$E$60*(8*0.5)+'LINEST VARS'!$D$60*(8*$CX84)+'LINEST VARS'!$C$60*($DC$80*0.5)+'LINEST VARS'!$B$60*($DC$80*$CX84)+'LINEST VARS'!$A$60*(0.5*$CX84)</f>
        <v>22.797000000000011</v>
      </c>
      <c r="DD84" s="46">
        <f>'LINEST VARS'!$U$60+'LINEST VARS'!$T$60*(8)+'LINEST VARS'!$S$60*(8)+'LINEST VARS'!$R$60*($DD$80)+'LINEST VARS'!$Q$60*(0.5)+'LINEST VARS'!$P$60*($CX84)+'LINEST VARS'!$O$60*(8^2)+'LINEST VARS'!$N$60*(8^2)+'LINEST VARS'!$M$60*($DD$80^2)+'LINEST VARS'!$L$60*(0.5^2)+'LINEST VARS'!$K$60*($CX84^2)+'LINEST VARS'!$J$60*(8*8)+'LINEST VARS'!$I$60*(8*$DD$80)+'LINEST VARS'!$H$60*(8*0.5)+'LINEST VARS'!$G$60*(8*$CX84)+'LINEST VARS'!$F$60*(8*$DD$80)+'LINEST VARS'!$E$60*(8*0.5)+'LINEST VARS'!$D$60*(8*$CX84)+'LINEST VARS'!$C$60*($DD$80*0.5)+'LINEST VARS'!$B$60*($DD$80*$CX84)+'LINEST VARS'!$A$60*(0.5*$CX84)</f>
        <v>22.797000000000015</v>
      </c>
      <c r="DE84" s="46">
        <f>'LINEST VARS'!$U$60+'LINEST VARS'!$T$60*(8)+'LINEST VARS'!$S$60*(8)+'LINEST VARS'!$R$60*($DE$80)+'LINEST VARS'!$Q$60*(0.5)+'LINEST VARS'!$P$60*($CX84)+'LINEST VARS'!$O$60*(8^2)+'LINEST VARS'!$N$60*(8^2)+'LINEST VARS'!$M$60*($DE$80^2)+'LINEST VARS'!$L$60*(0.5^2)+'LINEST VARS'!$K$60*($CX84^2)+'LINEST VARS'!$J$60*(8*8)+'LINEST VARS'!$I$60*(8*$DE$80)+'LINEST VARS'!$H$60*(8*0.5)+'LINEST VARS'!$G$60*(8*$CX84)+'LINEST VARS'!$F$60*(8*$DE$80)+'LINEST VARS'!$E$60*(8*0.5)+'LINEST VARS'!$D$60*(8*$CX84)+'LINEST VARS'!$C$60*($DE$80*0.5)+'LINEST VARS'!$B$60*($DE$80*$CX84)+'LINEST VARS'!$A$60*(0.5*$CX84)</f>
        <v>22.797000000000015</v>
      </c>
      <c r="DF84" s="46">
        <f>'LINEST VARS'!$U$60+'LINEST VARS'!$T$60*(8)+'LINEST VARS'!$S$60*(8)+'LINEST VARS'!$R$60*($DF$80)+'LINEST VARS'!$Q$60*(0.5)+'LINEST VARS'!$P$60*($CX84)+'LINEST VARS'!$O$60*(8^2)+'LINEST VARS'!$N$60*(8^2)+'LINEST VARS'!$M$60*($DF$80^2)+'LINEST VARS'!$L$60*(0.5^2)+'LINEST VARS'!$K$60*($CX84^2)+'LINEST VARS'!$J$60*(8*8)+'LINEST VARS'!$I$60*(8*$DF$80)+'LINEST VARS'!$H$60*(8*0.5)+'LINEST VARS'!$G$60*(8*$CX84)+'LINEST VARS'!$F$60*(8*$DF$80)+'LINEST VARS'!$E$60*(8*0.5)+'LINEST VARS'!$D$60*(8*$CX84)+'LINEST VARS'!$C$60*($DF$80*0.5)+'LINEST VARS'!$B$60*($DF$80*$CX84)+'LINEST VARS'!$A$60*(0.5*$CX84)</f>
        <v>22.797000000000011</v>
      </c>
      <c r="DG84" s="46">
        <f>'LINEST VARS'!$U$60+'LINEST VARS'!$T$60*(8)+'LINEST VARS'!$S$60*(8)+'LINEST VARS'!$R$60*($DG$80)+'LINEST VARS'!$Q$60*(0.5)+'LINEST VARS'!$P$60*($CX84)+'LINEST VARS'!$O$60*(8^2)+'LINEST VARS'!$N$60*(8^2)+'LINEST VARS'!$M$60*($DG$80^2)+'LINEST VARS'!$L$60*(0.5^2)+'LINEST VARS'!$K$60*($CX84^2)+'LINEST VARS'!$J$60*(8*8)+'LINEST VARS'!$I$60*(8*$DG$80)+'LINEST VARS'!$H$60*(8*0.5)+'LINEST VARS'!$G$60*(8*$CX84)+'LINEST VARS'!$F$60*(8*$DG$80)+'LINEST VARS'!$E$60*(8*0.5)+'LINEST VARS'!$D$60*(8*$CX84)+'LINEST VARS'!$C$60*($DG$80*0.5)+'LINEST VARS'!$B$60*($DG$80*$CX84)+'LINEST VARS'!$A$60*(0.5*$CX84)</f>
        <v>22.797000000000015</v>
      </c>
      <c r="DH84" s="46">
        <f>'LINEST VARS'!$U$60+'LINEST VARS'!$T$60*(8)+'LINEST VARS'!$S$60*(8)+'LINEST VARS'!$R$60*($DH$80)+'LINEST VARS'!$Q$60*(0.5)+'LINEST VARS'!$P$60*($CX84)+'LINEST VARS'!$O$60*(8^2)+'LINEST VARS'!$N$60*(8^2)+'LINEST VARS'!$M$60*($DH$80^2)+'LINEST VARS'!$L$60*(0.5^2)+'LINEST VARS'!$K$60*($CX84^2)+'LINEST VARS'!$J$60*(8*8)+'LINEST VARS'!$I$60*(8*$DH$80)+'LINEST VARS'!$H$60*(8*0.5)+'LINEST VARS'!$G$60*(8*$CX84)+'LINEST VARS'!$F$60*(8*$DH$80)+'LINEST VARS'!$E$60*(8*0.5)+'LINEST VARS'!$D$60*(8*$CX84)+'LINEST VARS'!$C$60*($DH$80*0.5)+'LINEST VARS'!$B$60*($DH$80*$CX84)+'LINEST VARS'!$A$60*(0.5*$CX84)</f>
        <v>22.797000000000011</v>
      </c>
      <c r="DI84" s="46">
        <f>'LINEST VARS'!$U$60+'LINEST VARS'!$T$60*(8)+'LINEST VARS'!$S$60*(8)+'LINEST VARS'!$R$60*($DI$80)+'LINEST VARS'!$Q$60*(0.5)+'LINEST VARS'!$P$60*($CX84)+'LINEST VARS'!$O$60*(8^2)+'LINEST VARS'!$N$60*(8^2)+'LINEST VARS'!$M$60*($DI$80^2)+'LINEST VARS'!$L$60*(0.5^2)+'LINEST VARS'!$K$60*($CX84^2)+'LINEST VARS'!$J$60*(8*8)+'LINEST VARS'!$I$60*(8*$DI$80)+'LINEST VARS'!$H$60*(8*0.5)+'LINEST VARS'!$G$60*(8*$CX84)+'LINEST VARS'!$F$60*(8*$DI$80)+'LINEST VARS'!$E$60*(8*0.5)+'LINEST VARS'!$D$60*(8*$CX84)+'LINEST VARS'!$C$60*($DI$80*0.5)+'LINEST VARS'!$B$60*($DI$80*$CX84)+'LINEST VARS'!$A$60*(0.5*$CX84)</f>
        <v>22.797000000000015</v>
      </c>
      <c r="DJ84" s="46">
        <f>'LINEST VARS'!$U$60+'LINEST VARS'!$T$60*(8)+'LINEST VARS'!$S$60*(8)+'LINEST VARS'!$R$60*($DJ$80)+'LINEST VARS'!$Q$60*(0.5)+'LINEST VARS'!$P$60*($CX84)+'LINEST VARS'!$O$60*(8^2)+'LINEST VARS'!$N$60*(8^2)+'LINEST VARS'!$M$60*($DJ$80^2)+'LINEST VARS'!$L$60*(0.5^2)+'LINEST VARS'!$K$60*($CX84^2)+'LINEST VARS'!$J$60*(8*8)+'LINEST VARS'!$I$60*(8*$DJ$80)+'LINEST VARS'!$H$60*(8*0.5)+'LINEST VARS'!$G$60*(8*$CX84)+'LINEST VARS'!$F$60*(8*$DJ$80)+'LINEST VARS'!$E$60*(8*0.5)+'LINEST VARS'!$D$60*(8*$CX84)+'LINEST VARS'!$C$60*($DJ$80*0.5)+'LINEST VARS'!$B$60*($DJ$80*$CX84)+'LINEST VARS'!$A$60*(0.5*$CX84)</f>
        <v>22.797000000000011</v>
      </c>
      <c r="DK84" s="46">
        <f>'LINEST VARS'!$U$60+'LINEST VARS'!$T$60*(8)+'LINEST VARS'!$S$60*(8)+'LINEST VARS'!$R$60*($DK$80)+'LINEST VARS'!$Q$60*(0.5)+'LINEST VARS'!$P$60*($CX84)+'LINEST VARS'!$O$60*(8^2)+'LINEST VARS'!$N$60*(8^2)+'LINEST VARS'!$M$60*($DK$80^2)+'LINEST VARS'!$L$60*(0.5^2)+'LINEST VARS'!$K$60*($CX84^2)+'LINEST VARS'!$J$60*(8*8)+'LINEST VARS'!$I$60*(8*$DK$80)+'LINEST VARS'!$H$60*(8*0.5)+'LINEST VARS'!$G$60*(8*$CX84)+'LINEST VARS'!$F$60*(8*$DK$80)+'LINEST VARS'!$E$60*(8*0.5)+'LINEST VARS'!$D$60*(8*$CX84)+'LINEST VARS'!$C$60*($DK$80*0.5)+'LINEST VARS'!$B$60*($DK$80*$CX84)+'LINEST VARS'!$A$60*(0.5*$CX84)</f>
        <v>22.797000000000015</v>
      </c>
      <c r="DL84" s="46">
        <f>'LINEST VARS'!$U$60+'LINEST VARS'!$T$60*(8)+'LINEST VARS'!$S$60*(8)+'LINEST VARS'!$R$60*($DL$80)+'LINEST VARS'!$Q$60*(0.5)+'LINEST VARS'!$P$60*($CX84)+'LINEST VARS'!$O$60*(8^2)+'LINEST VARS'!$N$60*(8^2)+'LINEST VARS'!$M$60*($DL$80^2)+'LINEST VARS'!$L$60*(0.5^2)+'LINEST VARS'!$K$60*($CX84^2)+'LINEST VARS'!$J$60*(8*8)+'LINEST VARS'!$I$60*(8*$DL$80)+'LINEST VARS'!$H$60*(8*0.5)+'LINEST VARS'!$G$60*(8*$CX84)+'LINEST VARS'!$F$60*(8*$DL$80)+'LINEST VARS'!$E$60*(8*0.5)+'LINEST VARS'!$D$60*(8*$CX84)+'LINEST VARS'!$C$60*($DL$80*0.5)+'LINEST VARS'!$B$60*($DL$80*$CX84)+'LINEST VARS'!$A$60*(0.5*$CX84)</f>
        <v>22.797000000000011</v>
      </c>
      <c r="DM84" s="46">
        <f>'LINEST VARS'!$U$60+'LINEST VARS'!$T$60*(8)+'LINEST VARS'!$S$60*(8)+'LINEST VARS'!$R$60*($DM$80)+'LINEST VARS'!$Q$60*(0.5)+'LINEST VARS'!$P$60*($CX84)+'LINEST VARS'!$O$60*(8^2)+'LINEST VARS'!$N$60*(8^2)+'LINEST VARS'!$M$60*($DM$80^2)+'LINEST VARS'!$L$60*(0.5^2)+'LINEST VARS'!$K$60*($CX84^2)+'LINEST VARS'!$J$60*(8*8)+'LINEST VARS'!$I$60*(8*$DM$80)+'LINEST VARS'!$H$60*(8*0.5)+'LINEST VARS'!$G$60*(8*$CX84)+'LINEST VARS'!$F$60*(8*$DM$80)+'LINEST VARS'!$E$60*(8*0.5)+'LINEST VARS'!$D$60*(8*$CX84)+'LINEST VARS'!$C$60*($DM$80*0.5)+'LINEST VARS'!$B$60*($DM$80*$CX84)+'LINEST VARS'!$A$60*(0.5*$CX84)</f>
        <v>22.797000000000015</v>
      </c>
      <c r="DN84" s="46">
        <f>'LINEST VARS'!$U$60+'LINEST VARS'!$T$60*(8)+'LINEST VARS'!$S$60*(8)+'LINEST VARS'!$R$60*($DN$80)+'LINEST VARS'!$Q$60*(0.5)+'LINEST VARS'!$P$60*($CX84)+'LINEST VARS'!$O$60*(8^2)+'LINEST VARS'!$N$60*(8^2)+'LINEST VARS'!$M$60*($DN$80^2)+'LINEST VARS'!$L$60*(0.5^2)+'LINEST VARS'!$K$60*($CX84^2)+'LINEST VARS'!$J$60*(8*8)+'LINEST VARS'!$I$60*(8*$DN$80)+'LINEST VARS'!$H$60*(8*0.5)+'LINEST VARS'!$G$60*(8*$CX84)+'LINEST VARS'!$F$60*(8*$DN$80)+'LINEST VARS'!$E$60*(8*0.5)+'LINEST VARS'!$D$60*(8*$CX84)+'LINEST VARS'!$C$60*($DN$80*0.5)+'LINEST VARS'!$B$60*($DN$80*$CX84)+'LINEST VARS'!$A$60*(0.5*$CX84)</f>
        <v>22.797000000000018</v>
      </c>
      <c r="DO84" s="46">
        <f>'LINEST VARS'!$U$60+'LINEST VARS'!$T$60*(8)+'LINEST VARS'!$S$60*(8)+'LINEST VARS'!$R$60*($DO$80)+'LINEST VARS'!$Q$60*(0.5)+'LINEST VARS'!$P$60*($CX84)+'LINEST VARS'!$O$60*(8^2)+'LINEST VARS'!$N$60*(8^2)+'LINEST VARS'!$M$60*($DO$80^2)+'LINEST VARS'!$L$60*(0.5^2)+'LINEST VARS'!$K$60*($CX84^2)+'LINEST VARS'!$J$60*(8*8)+'LINEST VARS'!$I$60*(8*$DO$80)+'LINEST VARS'!$H$60*(8*0.5)+'LINEST VARS'!$G$60*(8*$CX84)+'LINEST VARS'!$F$60*(8*$DO$80)+'LINEST VARS'!$E$60*(8*0.5)+'LINEST VARS'!$D$60*(8*$CX84)+'LINEST VARS'!$C$60*($DO$80*0.5)+'LINEST VARS'!$B$60*($DO$80*$CX84)+'LINEST VARS'!$A$60*(0.5*$CX84)</f>
        <v>22.797000000000015</v>
      </c>
      <c r="DP84" s="46">
        <f>'LINEST VARS'!$U$60+'LINEST VARS'!$T$60*(8)+'LINEST VARS'!$S$60*(8)+'LINEST VARS'!$R$60*($DP$80)+'LINEST VARS'!$Q$60*(0.5)+'LINEST VARS'!$P$60*($CX84)+'LINEST VARS'!$O$60*(8^2)+'LINEST VARS'!$N$60*(8^2)+'LINEST VARS'!$M$60*($DP$80^2)+'LINEST VARS'!$L$60*(0.5^2)+'LINEST VARS'!$K$60*($CX84^2)+'LINEST VARS'!$J$60*(8*8)+'LINEST VARS'!$I$60*(8*$DP$80)+'LINEST VARS'!$H$60*(8*0.5)+'LINEST VARS'!$G$60*(8*$CX84)+'LINEST VARS'!$F$60*(8*$DP$80)+'LINEST VARS'!$E$60*(8*0.5)+'LINEST VARS'!$D$60*(8*$CX84)+'LINEST VARS'!$C$60*($DP$80*0.5)+'LINEST VARS'!$B$60*($DP$80*$CX84)+'LINEST VARS'!$A$60*(0.5*$CX84)</f>
        <v>22.797000000000015</v>
      </c>
      <c r="DQ84" s="46">
        <f>'LINEST VARS'!$U$60+'LINEST VARS'!$T$60*(8)+'LINEST VARS'!$S$60*(8)+'LINEST VARS'!$R$60*($DQ$80)+'LINEST VARS'!$Q$60*(0.5)+'LINEST VARS'!$P$60*($CX84)+'LINEST VARS'!$O$60*(8^2)+'LINEST VARS'!$N$60*(8^2)+'LINEST VARS'!$M$60*($DQ$80^2)+'LINEST VARS'!$L$60*(0.5^2)+'LINEST VARS'!$K$60*($CX84^2)+'LINEST VARS'!$J$60*(8*8)+'LINEST VARS'!$I$60*(8*$DQ$80)+'LINEST VARS'!$H$60*(8*0.5)+'LINEST VARS'!$G$60*(8*$CX84)+'LINEST VARS'!$F$60*(8*$DQ$80)+'LINEST VARS'!$E$60*(8*0.5)+'LINEST VARS'!$D$60*(8*$CX84)+'LINEST VARS'!$C$60*($DQ$80*0.5)+'LINEST VARS'!$B$60*($DQ$80*$CX84)+'LINEST VARS'!$A$60*(0.5*$CX84)</f>
        <v>22.797000000000011</v>
      </c>
      <c r="DR84" s="46">
        <f>'LINEST VARS'!$U$60+'LINEST VARS'!$T$60*(8)+'LINEST VARS'!$S$60*(8)+'LINEST VARS'!$R$60*($DR$80)+'LINEST VARS'!$Q$60*(0.5)+'LINEST VARS'!$P$60*($CX84)+'LINEST VARS'!$O$60*(8^2)+'LINEST VARS'!$N$60*(8^2)+'LINEST VARS'!$M$60*($DR$80^2)+'LINEST VARS'!$L$60*(0.5^2)+'LINEST VARS'!$K$60*($CX84^2)+'LINEST VARS'!$J$60*(8*8)+'LINEST VARS'!$I$60*(8*$DR$80)+'LINEST VARS'!$H$60*(8*0.5)+'LINEST VARS'!$G$60*(8*$CX84)+'LINEST VARS'!$F$60*(8*$DR$80)+'LINEST VARS'!$E$60*(8*0.5)+'LINEST VARS'!$D$60*(8*$CX84)+'LINEST VARS'!$C$60*($DR$80*0.5)+'LINEST VARS'!$B$60*($DR$80*$CX84)+'LINEST VARS'!$A$60*(0.5*$CX84)</f>
        <v>22.797000000000015</v>
      </c>
      <c r="DS84" s="47">
        <f>'LINEST VARS'!$U$60+'LINEST VARS'!$T$60*(8)+'LINEST VARS'!$S$60*(8)+'LINEST VARS'!$R$60*($DS$80)+'LINEST VARS'!$Q$60*(0.5)+'LINEST VARS'!$P$60*($CX84)+'LINEST VARS'!$O$60*(8^2)+'LINEST VARS'!$N$60*(8^2)+'LINEST VARS'!$M$60*($DS$80^2)+'LINEST VARS'!$L$60*(0.5^2)+'LINEST VARS'!$K$60*($CX84^2)+'LINEST VARS'!$J$60*(8*8)+'LINEST VARS'!$I$60*(8*$DS$80)+'LINEST VARS'!$H$60*(8*0.5)+'LINEST VARS'!$G$60*(8*$CX84)+'LINEST VARS'!$F$60*(8*$DS$80)+'LINEST VARS'!$E$60*(8*0.5)+'LINEST VARS'!$D$60*(8*$CX84)+'LINEST VARS'!$C$60*($DS$80*0.5)+'LINEST VARS'!$B$60*($DS$80*$CX84)+'LINEST VARS'!$A$60*(0.5*$CX84)</f>
        <v>22.797000000000008</v>
      </c>
      <c r="DV84" s="45">
        <v>3.8984999999999999</v>
      </c>
      <c r="DW84" s="55">
        <f>'LINEST VARS'!$U$62+'LINEST VARS'!$T$62*(8)+'LINEST VARS'!$S$62*(8)+'LINEST VARS'!$R$62*($DW$80)+'LINEST VARS'!$Q$62*(0.5)+'LINEST VARS'!$P$62*($DV84)+'LINEST VARS'!$O$62*(8^2)+'LINEST VARS'!$N$62*(8^2)+'LINEST VARS'!$M$62*($DW$80^2)+'LINEST VARS'!$L$62*(0.5^2)+'LINEST VARS'!$K$62*($DV84^2)+'LINEST VARS'!$J$62*(8*8)+'LINEST VARS'!$I$62*(8*$DW$80)+'LINEST VARS'!$H$62*(8*0.5)+'LINEST VARS'!$G$62*(8*$DV84)+'LINEST VARS'!$F$62*(8*$DW$80)+'LINEST VARS'!$E$62*(8*0.5)+'LINEST VARS'!$D$62*(8*$DV84)+'LINEST VARS'!$C$62*($DW$80*0.5)+'LINEST VARS'!$B$62*($DW$80*$DV84)+'LINEST VARS'!$A$62*(0.5*$DV84)</f>
        <v>349.49999999999989</v>
      </c>
      <c r="DX84" s="55">
        <f>'LINEST VARS'!$U$62+'LINEST VARS'!$T$62*(8)+'LINEST VARS'!$S$62*(8)+'LINEST VARS'!$R$62*($DX$80)+'LINEST VARS'!$Q$62*(0.5)+'LINEST VARS'!$P$62*($DV84)+'LINEST VARS'!$O$62*(8^2)+'LINEST VARS'!$N$62*(8^2)+'LINEST VARS'!$M$62*($DX$80^2)+'LINEST VARS'!$L$62*(0.5^2)+'LINEST VARS'!$K$62*($DV84^2)+'LINEST VARS'!$J$62*(8*8)+'LINEST VARS'!$I$62*(8*$DX$80)+'LINEST VARS'!$H$62*(8*0.5)+'LINEST VARS'!$G$62*(8*$DV84)+'LINEST VARS'!$F$62*(8*$DX$80)+'LINEST VARS'!$E$62*(8*0.5)+'LINEST VARS'!$D$62*(8*$DV84)+'LINEST VARS'!$C$62*($DX$80*0.5)+'LINEST VARS'!$B$62*($DX$80*$DV84)+'LINEST VARS'!$A$62*(0.5*$DV84)</f>
        <v>348.69999999999993</v>
      </c>
      <c r="DY84" s="55">
        <f>'LINEST VARS'!$U$62+'LINEST VARS'!$T$62*(8)+'LINEST VARS'!$S$62*(8)+'LINEST VARS'!$R$62*($DY$80)+'LINEST VARS'!$Q$62*(0.5)+'LINEST VARS'!$P$62*($DV84)+'LINEST VARS'!$O$62*(8^2)+'LINEST VARS'!$N$62*(8^2)+'LINEST VARS'!$M$62*($DY$80^2)+'LINEST VARS'!$L$62*(0.5^2)+'LINEST VARS'!$K$62*($DV84^2)+'LINEST VARS'!$J$62*(8*8)+'LINEST VARS'!$I$62*(8*$DY$80)+'LINEST VARS'!$H$62*(8*0.5)+'LINEST VARS'!$G$62*(8*$DV84)+'LINEST VARS'!$F$62*(8*$DY$80)+'LINEST VARS'!$E$62*(8*0.5)+'LINEST VARS'!$D$62*(8*$DV84)+'LINEST VARS'!$C$62*($DY$80*0.5)+'LINEST VARS'!$B$62*($DY$80*$DV84)+'LINEST VARS'!$A$62*(0.5*$DV84)</f>
        <v>346.29999999999984</v>
      </c>
      <c r="DZ84" s="55">
        <f>'LINEST VARS'!$U$62+'LINEST VARS'!$T$62*(8)+'LINEST VARS'!$S$62*(8)+'LINEST VARS'!$R$62*($DZ$80)+'LINEST VARS'!$Q$62*(0.5)+'LINEST VARS'!$P$62*($DV84)+'LINEST VARS'!$O$62*(8^2)+'LINEST VARS'!$N$62*(8^2)+'LINEST VARS'!$M$62*($DZ$80^2)+'LINEST VARS'!$L$62*(0.5^2)+'LINEST VARS'!$K$62*($DV84^2)+'LINEST VARS'!$J$62*(8*8)+'LINEST VARS'!$I$62*(8*$DZ$80)+'LINEST VARS'!$H$62*(8*0.5)+'LINEST VARS'!$G$62*(8*$DV84)+'LINEST VARS'!$F$62*(8*$DZ$80)+'LINEST VARS'!$E$62*(8*0.5)+'LINEST VARS'!$D$62*(8*$DV84)+'LINEST VARS'!$C$62*($DZ$80*0.5)+'LINEST VARS'!$B$62*($DZ$80*$DV84)+'LINEST VARS'!$A$62*(0.5*$DV84)</f>
        <v>342.2999999999999</v>
      </c>
      <c r="EA84" s="55">
        <f>'LINEST VARS'!$U$62+'LINEST VARS'!$T$62*(8)+'LINEST VARS'!$S$62*(8)+'LINEST VARS'!$R$62*($EA$80)+'LINEST VARS'!$Q$62*(0.5)+'LINEST VARS'!$P$62*($DV84)+'LINEST VARS'!$O$62*(8^2)+'LINEST VARS'!$N$62*(8^2)+'LINEST VARS'!$M$62*($EA$80^2)+'LINEST VARS'!$L$62*(0.5^2)+'LINEST VARS'!$K$62*($DV84^2)+'LINEST VARS'!$J$62*(8*8)+'LINEST VARS'!$I$62*(8*$EA$80)+'LINEST VARS'!$H$62*(8*0.5)+'LINEST VARS'!$G$62*(8*$DV84)+'LINEST VARS'!$F$62*(8*$EA$80)+'LINEST VARS'!$E$62*(8*0.5)+'LINEST VARS'!$D$62*(8*$DV84)+'LINEST VARS'!$C$62*($EA$80*0.5)+'LINEST VARS'!$B$62*($EA$80*$DV84)+'LINEST VARS'!$A$62*(0.5*$DV84)</f>
        <v>336.69999999999993</v>
      </c>
      <c r="EB84" s="55">
        <f>'LINEST VARS'!$U$62+'LINEST VARS'!$T$62*(8)+'LINEST VARS'!$S$62*(8)+'LINEST VARS'!$R$62*($EB$80)+'LINEST VARS'!$Q$62*(0.5)+'LINEST VARS'!$P$62*($DV84)+'LINEST VARS'!$O$62*(8^2)+'LINEST VARS'!$N$62*(8^2)+'LINEST VARS'!$M$62*($EB$80^2)+'LINEST VARS'!$L$62*(0.5^2)+'LINEST VARS'!$K$62*($DV84^2)+'LINEST VARS'!$J$62*(8*8)+'LINEST VARS'!$I$62*(8*$EB$80)+'LINEST VARS'!$H$62*(8*0.5)+'LINEST VARS'!$G$62*(8*$DV84)+'LINEST VARS'!$F$62*(8*$EB$80)+'LINEST VARS'!$E$62*(8*0.5)+'LINEST VARS'!$D$62*(8*$DV84)+'LINEST VARS'!$C$62*($EB$80*0.5)+'LINEST VARS'!$B$62*($EB$80*$DV84)+'LINEST VARS'!$A$62*(0.5*$DV84)</f>
        <v>329.5</v>
      </c>
      <c r="EC84" s="55">
        <f>'LINEST VARS'!$U$62+'LINEST VARS'!$T$62*(8)+'LINEST VARS'!$S$62*(8)+'LINEST VARS'!$R$62*($EC$80)+'LINEST VARS'!$Q$62*(0.5)+'LINEST VARS'!$P$62*($DV84)+'LINEST VARS'!$O$62*(8^2)+'LINEST VARS'!$N$62*(8^2)+'LINEST VARS'!$M$62*($EC$80^2)+'LINEST VARS'!$L$62*(0.5^2)+'LINEST VARS'!$K$62*($DV84^2)+'LINEST VARS'!$J$62*(8*8)+'LINEST VARS'!$I$62*(8*$EC$80)+'LINEST VARS'!$H$62*(8*0.5)+'LINEST VARS'!$G$62*(8*$DV84)+'LINEST VARS'!$F$62*(8*$EC$80)+'LINEST VARS'!$E$62*(8*0.5)+'LINEST VARS'!$D$62*(8*$DV84)+'LINEST VARS'!$C$62*($EC$80*0.5)+'LINEST VARS'!$B$62*($EC$80*$DV84)+'LINEST VARS'!$A$62*(0.5*$DV84)</f>
        <v>320.69999999999993</v>
      </c>
      <c r="ED84" s="55">
        <f>'LINEST VARS'!$U$62+'LINEST VARS'!$T$62*(8)+'LINEST VARS'!$S$62*(8)+'LINEST VARS'!$R$62*($ED$80)+'LINEST VARS'!$Q$62*(0.5)+'LINEST VARS'!$P$62*($DV84)+'LINEST VARS'!$O$62*(8^2)+'LINEST VARS'!$N$62*(8^2)+'LINEST VARS'!$M$62*($ED$80^2)+'LINEST VARS'!$L$62*(0.5^2)+'LINEST VARS'!$K$62*($DV84^2)+'LINEST VARS'!$J$62*(8*8)+'LINEST VARS'!$I$62*(8*$ED$80)+'LINEST VARS'!$H$62*(8*0.5)+'LINEST VARS'!$G$62*(8*$DV84)+'LINEST VARS'!$F$62*(8*$ED$80)+'LINEST VARS'!$E$62*(8*0.5)+'LINEST VARS'!$D$62*(8*$DV84)+'LINEST VARS'!$C$62*($ED$80*0.5)+'LINEST VARS'!$B$62*($ED$80*$DV84)+'LINEST VARS'!$A$62*(0.5*$DV84)</f>
        <v>310.29999999999995</v>
      </c>
      <c r="EE84" s="55">
        <f>'LINEST VARS'!$U$62+'LINEST VARS'!$T$62*(8)+'LINEST VARS'!$S$62*(8)+'LINEST VARS'!$R$62*($EE$80)+'LINEST VARS'!$Q$62*(0.5)+'LINEST VARS'!$P$62*($DV84)+'LINEST VARS'!$O$62*(8^2)+'LINEST VARS'!$N$62*(8^2)+'LINEST VARS'!$M$62*($EE$80^2)+'LINEST VARS'!$L$62*(0.5^2)+'LINEST VARS'!$K$62*($DV84^2)+'LINEST VARS'!$J$62*(8*8)+'LINEST VARS'!$I$62*(8*$EE$80)+'LINEST VARS'!$H$62*(8*0.5)+'LINEST VARS'!$G$62*(8*$DV84)+'LINEST VARS'!$F$62*(8*$EE$80)+'LINEST VARS'!$E$62*(8*0.5)+'LINEST VARS'!$D$62*(8*$DV84)+'LINEST VARS'!$C$62*($EE$80*0.5)+'LINEST VARS'!$B$62*($EE$80*$DV84)+'LINEST VARS'!$A$62*(0.5*$DV84)</f>
        <v>298.3</v>
      </c>
      <c r="EF84" s="55">
        <f>'LINEST VARS'!$U$62+'LINEST VARS'!$T$62*(8)+'LINEST VARS'!$S$62*(8)+'LINEST VARS'!$R$62*($EF$80)+'LINEST VARS'!$Q$62*(0.5)+'LINEST VARS'!$P$62*($DV84)+'LINEST VARS'!$O$62*(8^2)+'LINEST VARS'!$N$62*(8^2)+'LINEST VARS'!$M$62*($EF$80^2)+'LINEST VARS'!$L$62*(0.5^2)+'LINEST VARS'!$K$62*($DV84^2)+'LINEST VARS'!$J$62*(8*8)+'LINEST VARS'!$I$62*(8*$EF$80)+'LINEST VARS'!$H$62*(8*0.5)+'LINEST VARS'!$G$62*(8*$DV84)+'LINEST VARS'!$F$62*(8*$EF$80)+'LINEST VARS'!$E$62*(8*0.5)+'LINEST VARS'!$D$62*(8*$DV84)+'LINEST VARS'!$C$62*($EF$80*0.5)+'LINEST VARS'!$B$62*($EF$80*$DV84)+'LINEST VARS'!$A$62*(0.5*$DV84)</f>
        <v>284.7</v>
      </c>
      <c r="EG84" s="55">
        <f>'LINEST VARS'!$U$62+'LINEST VARS'!$T$62*(8)+'LINEST VARS'!$S$62*(8)+'LINEST VARS'!$R$62*($EG$80)+'LINEST VARS'!$Q$62*(0.5)+'LINEST VARS'!$P$62*($DV84)+'LINEST VARS'!$O$62*(8^2)+'LINEST VARS'!$N$62*(8^2)+'LINEST VARS'!$M$62*($EG$80^2)+'LINEST VARS'!$L$62*(0.5^2)+'LINEST VARS'!$K$62*($DV84^2)+'LINEST VARS'!$J$62*(8*8)+'LINEST VARS'!$I$62*(8*$EG$80)+'LINEST VARS'!$H$62*(8*0.5)+'LINEST VARS'!$G$62*(8*$DV84)+'LINEST VARS'!$F$62*(8*$EG$80)+'LINEST VARS'!$E$62*(8*0.5)+'LINEST VARS'!$D$62*(8*$DV84)+'LINEST VARS'!$C$62*($EG$80*0.5)+'LINEST VARS'!$B$62*($EG$80*$DV84)+'LINEST VARS'!$A$62*(0.5*$DV84)</f>
        <v>269.5</v>
      </c>
      <c r="EH84" s="55">
        <f>'LINEST VARS'!$U$62+'LINEST VARS'!$T$62*(8)+'LINEST VARS'!$S$62*(8)+'LINEST VARS'!$R$62*($EH$80)+'LINEST VARS'!$Q$62*(0.5)+'LINEST VARS'!$P$62*($DV84)+'LINEST VARS'!$O$62*(8^2)+'LINEST VARS'!$N$62*(8^2)+'LINEST VARS'!$M$62*($EH$80^2)+'LINEST VARS'!$L$62*(0.5^2)+'LINEST VARS'!$K$62*($DV84^2)+'LINEST VARS'!$J$62*(8*8)+'LINEST VARS'!$I$62*(8*$EH$80)+'LINEST VARS'!$H$62*(8*0.5)+'LINEST VARS'!$G$62*(8*$DV84)+'LINEST VARS'!$F$62*(8*$EH$80)+'LINEST VARS'!$E$62*(8*0.5)+'LINEST VARS'!$D$62*(8*$DV84)+'LINEST VARS'!$C$62*($EH$80*0.5)+'LINEST VARS'!$B$62*($EH$80*$DV84)+'LINEST VARS'!$A$62*(0.5*$DV84)</f>
        <v>252.70000000000002</v>
      </c>
      <c r="EI84" s="55">
        <f>'LINEST VARS'!$U$62+'LINEST VARS'!$T$62*(8)+'LINEST VARS'!$S$62*(8)+'LINEST VARS'!$R$62*($EI$80)+'LINEST VARS'!$Q$62*(0.5)+'LINEST VARS'!$P$62*($DV84)+'LINEST VARS'!$O$62*(8^2)+'LINEST VARS'!$N$62*(8^2)+'LINEST VARS'!$M$62*($EI$80^2)+'LINEST VARS'!$L$62*(0.5^2)+'LINEST VARS'!$K$62*($DV84^2)+'LINEST VARS'!$J$62*(8*8)+'LINEST VARS'!$I$62*(8*$EI$80)+'LINEST VARS'!$H$62*(8*0.5)+'LINEST VARS'!$G$62*(8*$DV84)+'LINEST VARS'!$F$62*(8*$EI$80)+'LINEST VARS'!$E$62*(8*0.5)+'LINEST VARS'!$D$62*(8*$DV84)+'LINEST VARS'!$C$62*($EI$80*0.5)+'LINEST VARS'!$B$62*($EI$80*$DV84)+'LINEST VARS'!$A$62*(0.5*$DV84)</f>
        <v>234.30000000000004</v>
      </c>
      <c r="EJ84" s="55">
        <f>'LINEST VARS'!$U$62+'LINEST VARS'!$T$62*(8)+'LINEST VARS'!$S$62*(8)+'LINEST VARS'!$R$62*($EJ$80)+'LINEST VARS'!$Q$62*(0.5)+'LINEST VARS'!$P$62*($DV84)+'LINEST VARS'!$O$62*(8^2)+'LINEST VARS'!$N$62*(8^2)+'LINEST VARS'!$M$62*($EJ$80^2)+'LINEST VARS'!$L$62*(0.5^2)+'LINEST VARS'!$K$62*($DV84^2)+'LINEST VARS'!$J$62*(8*8)+'LINEST VARS'!$I$62*(8*$EJ$80)+'LINEST VARS'!$H$62*(8*0.5)+'LINEST VARS'!$G$62*(8*$DV84)+'LINEST VARS'!$F$62*(8*$EJ$80)+'LINEST VARS'!$E$62*(8*0.5)+'LINEST VARS'!$D$62*(8*$DV84)+'LINEST VARS'!$C$62*($EJ$80*0.5)+'LINEST VARS'!$B$62*($EJ$80*$DV84)+'LINEST VARS'!$A$62*(0.5*$DV84)</f>
        <v>214.29999999999998</v>
      </c>
      <c r="EK84" s="55">
        <f>'LINEST VARS'!$U$62+'LINEST VARS'!$T$62*(8)+'LINEST VARS'!$S$62*(8)+'LINEST VARS'!$R$62*($EK$80)+'LINEST VARS'!$Q$62*(0.5)+'LINEST VARS'!$P$62*($DV84)+'LINEST VARS'!$O$62*(8^2)+'LINEST VARS'!$N$62*(8^2)+'LINEST VARS'!$M$62*($EK$80^2)+'LINEST VARS'!$L$62*(0.5^2)+'LINEST VARS'!$K$62*($DV84^2)+'LINEST VARS'!$J$62*(8*8)+'LINEST VARS'!$I$62*(8*$EK$80)+'LINEST VARS'!$H$62*(8*0.5)+'LINEST VARS'!$G$62*(8*$DV84)+'LINEST VARS'!$F$62*(8*$EK$80)+'LINEST VARS'!$E$62*(8*0.5)+'LINEST VARS'!$D$62*(8*$DV84)+'LINEST VARS'!$C$62*($EK$80*0.5)+'LINEST VARS'!$B$62*($EK$80*$DV84)+'LINEST VARS'!$A$62*(0.5*$DV84)</f>
        <v>192.70000000000007</v>
      </c>
      <c r="EL84" s="55">
        <f>'LINEST VARS'!$U$62+'LINEST VARS'!$T$62*(8)+'LINEST VARS'!$S$62*(8)+'LINEST VARS'!$R$62*($EL$80)+'LINEST VARS'!$Q$62*(0.5)+'LINEST VARS'!$P$62*($DV84)+'LINEST VARS'!$O$62*(8^2)+'LINEST VARS'!$N$62*(8^2)+'LINEST VARS'!$M$62*($EL$80^2)+'LINEST VARS'!$L$62*(0.5^2)+'LINEST VARS'!$K$62*($DV84^2)+'LINEST VARS'!$J$62*(8*8)+'LINEST VARS'!$I$62*(8*$EL$80)+'LINEST VARS'!$H$62*(8*0.5)+'LINEST VARS'!$G$62*(8*$DV84)+'LINEST VARS'!$F$62*(8*$EL$80)+'LINEST VARS'!$E$62*(8*0.5)+'LINEST VARS'!$D$62*(8*$DV84)+'LINEST VARS'!$C$62*($EL$80*0.5)+'LINEST VARS'!$B$62*($EL$80*$DV84)+'LINEST VARS'!$A$62*(0.5*$DV84)</f>
        <v>169.50000000000006</v>
      </c>
      <c r="EM84" s="55">
        <f>'LINEST VARS'!$U$62+'LINEST VARS'!$T$62*(8)+'LINEST VARS'!$S$62*(8)+'LINEST VARS'!$R$62*($EM$80)+'LINEST VARS'!$Q$62*(0.5)+'LINEST VARS'!$P$62*($DV84)+'LINEST VARS'!$O$62*(8^2)+'LINEST VARS'!$N$62*(8^2)+'LINEST VARS'!$M$62*($EM$80^2)+'LINEST VARS'!$L$62*(0.5^2)+'LINEST VARS'!$K$62*($DV84^2)+'LINEST VARS'!$J$62*(8*8)+'LINEST VARS'!$I$62*(8*$EM$80)+'LINEST VARS'!$H$62*(8*0.5)+'LINEST VARS'!$G$62*(8*$DV84)+'LINEST VARS'!$F$62*(8*$EM$80)+'LINEST VARS'!$E$62*(8*0.5)+'LINEST VARS'!$D$62*(8*$DV84)+'LINEST VARS'!$C$62*($EM$80*0.5)+'LINEST VARS'!$B$62*($EM$80*$DV84)+'LINEST VARS'!$A$62*(0.5*$DV84)</f>
        <v>144.70000000000005</v>
      </c>
      <c r="EN84" s="55">
        <f>'LINEST VARS'!$U$62+'LINEST VARS'!$T$62*(8)+'LINEST VARS'!$S$62*(8)+'LINEST VARS'!$R$62*($EN$80)+'LINEST VARS'!$Q$62*(0.5)+'LINEST VARS'!$P$62*($DV84)+'LINEST VARS'!$O$62*(8^2)+'LINEST VARS'!$N$62*(8^2)+'LINEST VARS'!$M$62*($EN$80^2)+'LINEST VARS'!$L$62*(0.5^2)+'LINEST VARS'!$K$62*($DV84^2)+'LINEST VARS'!$J$62*(8*8)+'LINEST VARS'!$I$62*(8*$EN$80)+'LINEST VARS'!$H$62*(8*0.5)+'LINEST VARS'!$G$62*(8*$DV84)+'LINEST VARS'!$F$62*(8*$EN$80)+'LINEST VARS'!$E$62*(8*0.5)+'LINEST VARS'!$D$62*(8*$DV84)+'LINEST VARS'!$C$62*($EN$80*0.5)+'LINEST VARS'!$B$62*($EN$80*$DV84)+'LINEST VARS'!$A$62*(0.5*$DV84)</f>
        <v>118.30000000000011</v>
      </c>
      <c r="EO84" s="55">
        <f>'LINEST VARS'!$U$62+'LINEST VARS'!$T$62*(8)+'LINEST VARS'!$S$62*(8)+'LINEST VARS'!$R$62*($EO$80)+'LINEST VARS'!$Q$62*(0.5)+'LINEST VARS'!$P$62*($DV84)+'LINEST VARS'!$O$62*(8^2)+'LINEST VARS'!$N$62*(8^2)+'LINEST VARS'!$M$62*($EO$80^2)+'LINEST VARS'!$L$62*(0.5^2)+'LINEST VARS'!$K$62*($DV84^2)+'LINEST VARS'!$J$62*(8*8)+'LINEST VARS'!$I$62*(8*$EO$80)+'LINEST VARS'!$H$62*(8*0.5)+'LINEST VARS'!$G$62*(8*$DV84)+'LINEST VARS'!$F$62*(8*$EO$80)+'LINEST VARS'!$E$62*(8*0.5)+'LINEST VARS'!$D$62*(8*$DV84)+'LINEST VARS'!$C$62*($EO$80*0.5)+'LINEST VARS'!$B$62*($EO$80*$DV84)+'LINEST VARS'!$A$62*(0.5*$DV84)</f>
        <v>90.300000000000097</v>
      </c>
      <c r="EP84" s="55">
        <f>'LINEST VARS'!$U$62+'LINEST VARS'!$T$62*(8)+'LINEST VARS'!$S$62*(8)+'LINEST VARS'!$R$62*($EP$80)+'LINEST VARS'!$Q$62*(0.5)+'LINEST VARS'!$P$62*($DV84)+'LINEST VARS'!$O$62*(8^2)+'LINEST VARS'!$N$62*(8^2)+'LINEST VARS'!$M$62*($EP$80^2)+'LINEST VARS'!$L$62*(0.5^2)+'LINEST VARS'!$K$62*($DV84^2)+'LINEST VARS'!$J$62*(8*8)+'LINEST VARS'!$I$62*(8*$EP$80)+'LINEST VARS'!$H$62*(8*0.5)+'LINEST VARS'!$G$62*(8*$DV84)+'LINEST VARS'!$F$62*(8*$EP$80)+'LINEST VARS'!$E$62*(8*0.5)+'LINEST VARS'!$D$62*(8*$DV84)+'LINEST VARS'!$C$62*($EP$80*0.5)+'LINEST VARS'!$B$62*($EP$80*$DV84)+'LINEST VARS'!$A$62*(0.5*$DV84)</f>
        <v>60.700000000000159</v>
      </c>
      <c r="EQ84" s="56">
        <f>'LINEST VARS'!$U$62+'LINEST VARS'!$T$62*(8)+'LINEST VARS'!$S$62*(8)+'LINEST VARS'!$R$62*($EQ$80)+'LINEST VARS'!$Q$62*(0.5)+'LINEST VARS'!$P$62*($DV84)+'LINEST VARS'!$O$62*(8^2)+'LINEST VARS'!$N$62*(8^2)+'LINEST VARS'!$M$62*($EQ$80^2)+'LINEST VARS'!$L$62*(0.5^2)+'LINEST VARS'!$K$62*($DV84^2)+'LINEST VARS'!$J$62*(8*8)+'LINEST VARS'!$I$62*(8*$EQ$80)+'LINEST VARS'!$H$62*(8*0.5)+'LINEST VARS'!$G$62*(8*$DV84)+'LINEST VARS'!$F$62*(8*$EQ$80)+'LINEST VARS'!$E$62*(8*0.5)+'LINEST VARS'!$D$62*(8*$DV84)+'LINEST VARS'!$C$62*($EQ$80*0.5)+'LINEST VARS'!$B$62*($EQ$80*$DV84)+'LINEST VARS'!$A$62*(0.5*$DV84)</f>
        <v>29.500000000000192</v>
      </c>
    </row>
    <row r="85" spans="2:147" ht="15" customHeight="1" x14ac:dyDescent="0.25">
      <c r="B85" s="45">
        <v>7.64</v>
      </c>
      <c r="C85" s="46">
        <f>'LINEST VARS'!$U$60+'LINEST VARS'!$T$60*($C$80)+'LINEST VARS'!$S$60*($B85)+'LINEST VARS'!$R$60*(4)+'LINEST VARS'!$Q$60*(0.5)+'LINEST VARS'!$P$60*(12.73)+'LINEST VARS'!$O$60*($C$80^2)+'LINEST VARS'!$N$60*($B85^2)+'LINEST VARS'!$M$60*(4^2)+'LINEST VARS'!$L$60*(0.5^2)+'LINEST VARS'!$K$60*(12.73^2)+'LINEST VARS'!$J$60*($C$80*$B85)+'LINEST VARS'!$I$60*($C$80*4)+'LINEST VARS'!$H$60*($C$80*0.5)+'LINEST VARS'!$G$60*($C$80*12.73)+'LINEST VARS'!$F$60*($B85*4)+'LINEST VARS'!$E$60*($B85*0.5)+'LINEST VARS'!$D$60*($B85*12.73)+'LINEST VARS'!$C$60*(4*0.5)+'LINEST VARS'!$B$60*(4*12.73)+'LINEST VARS'!$A$60*(0.5*12.73)</f>
        <v>40.460000000000015</v>
      </c>
      <c r="D85" s="46">
        <f>'LINEST VARS'!$U$60+'LINEST VARS'!$T$60*($D$80)+'LINEST VARS'!$S$60*($B85)+'LINEST VARS'!$R$60*(4)+'LINEST VARS'!$Q$60*(0.5)+'LINEST VARS'!$P$60*(12.73)+'LINEST VARS'!$O$60*($D$80^2)+'LINEST VARS'!$N$60*($B85^2)+'LINEST VARS'!$M$60*(4^2)+'LINEST VARS'!$L$60*(0.5^2)+'LINEST VARS'!$K$60*(12.73^2)+'LINEST VARS'!$J$60*($D$80*$B85)+'LINEST VARS'!$I$60*($D$80*4)+'LINEST VARS'!$H$60*($D$80*0.5)+'LINEST VARS'!$G$60*($D$80*12.73)+'LINEST VARS'!$F$60*($B85*4)+'LINEST VARS'!$E$60*($B85*0.5)+'LINEST VARS'!$D$60*($B85*12.73)+'LINEST VARS'!$C$60*(4*0.5)+'LINEST VARS'!$B$60*(4*12.73)+'LINEST VARS'!$A$60*(0.5*12.73)</f>
        <v>40.460000000000008</v>
      </c>
      <c r="E85" s="46">
        <f>'LINEST VARS'!$U$60+'LINEST VARS'!$T$60*($E$80)+'LINEST VARS'!$S$60*($B85)+'LINEST VARS'!$R$60*(4)+'LINEST VARS'!$Q$60*(0.5)+'LINEST VARS'!$P$60*(12.73)+'LINEST VARS'!$O$60*($E$80^2)+'LINEST VARS'!$N$60*($B85^2)+'LINEST VARS'!$M$60*(4^2)+'LINEST VARS'!$L$60*(0.5^2)+'LINEST VARS'!$K$60*(12.73^2)+'LINEST VARS'!$J$60*($E$80*$B85)+'LINEST VARS'!$I$60*($E$80*4)+'LINEST VARS'!$H$60*($E$80*0.5)+'LINEST VARS'!$G$60*($E$80*12.73)+'LINEST VARS'!$F$60*($B85*4)+'LINEST VARS'!$E$60*($B85*0.5)+'LINEST VARS'!$D$60*($B85*12.73)+'LINEST VARS'!$C$60*(4*0.5)+'LINEST VARS'!$B$60*(4*12.73)+'LINEST VARS'!$A$60*(0.5*12.73)</f>
        <v>40.460000000000008</v>
      </c>
      <c r="F85" s="46">
        <f>'LINEST VARS'!$U$60+'LINEST VARS'!$T$60*($F$80)+'LINEST VARS'!$S$60*($B85)+'LINEST VARS'!$R$60*(4)+'LINEST VARS'!$Q$60*(0.5)+'LINEST VARS'!$P$60*(12.73)+'LINEST VARS'!$O$60*($F$80^2)+'LINEST VARS'!$N$60*($B85^2)+'LINEST VARS'!$M$60*(4^2)+'LINEST VARS'!$L$60*(0.5^2)+'LINEST VARS'!$K$60*(12.73^2)+'LINEST VARS'!$J$60*($F$80*$B85)+'LINEST VARS'!$I$60*($F$80*4)+'LINEST VARS'!$H$60*($F$80*0.5)+'LINEST VARS'!$G$60*($F$80*12.73)+'LINEST VARS'!$F$60*($B85*4)+'LINEST VARS'!$E$60*($B85*0.5)+'LINEST VARS'!$D$60*($B85*12.73)+'LINEST VARS'!$C$60*(4*0.5)+'LINEST VARS'!$B$60*(4*12.73)+'LINEST VARS'!$A$60*(0.5*12.73)</f>
        <v>40.460000000000008</v>
      </c>
      <c r="G85" s="46">
        <f>'LINEST VARS'!$U$60+'LINEST VARS'!$T$60*($G$80)+'LINEST VARS'!$S$60*($B85)+'LINEST VARS'!$R$60*(4)+'LINEST VARS'!$Q$60*(0.5)+'LINEST VARS'!$P$60*(12.73)+'LINEST VARS'!$O$60*($G$80^2)+'LINEST VARS'!$N$60*($B85^2)+'LINEST VARS'!$M$60*(4^2)+'LINEST VARS'!$L$60*(0.5^2)+'LINEST VARS'!$K$60*(12.73^2)+'LINEST VARS'!$J$60*($G$80*$B85)+'LINEST VARS'!$I$60*($G$80*4)+'LINEST VARS'!$H$60*($G$80*0.5)+'LINEST VARS'!$G$60*($G$80*12.73)+'LINEST VARS'!$F$60*($B85*4)+'LINEST VARS'!$E$60*($B85*0.5)+'LINEST VARS'!$D$60*($B85*12.73)+'LINEST VARS'!$C$60*(4*0.5)+'LINEST VARS'!$B$60*(4*12.73)+'LINEST VARS'!$A$60*(0.5*12.73)</f>
        <v>40.460000000000008</v>
      </c>
      <c r="H85" s="46">
        <f>'LINEST VARS'!$U$60+'LINEST VARS'!$T$60*($H$80)+'LINEST VARS'!$S$60*($B85)+'LINEST VARS'!$R$60*(4)+'LINEST VARS'!$Q$60*(0.5)+'LINEST VARS'!$P$60*(12.73)+'LINEST VARS'!$O$60*($H$80^2)+'LINEST VARS'!$N$60*($B85^2)+'LINEST VARS'!$M$60*(4^2)+'LINEST VARS'!$L$60*(0.5^2)+'LINEST VARS'!$K$60*(12.73^2)+'LINEST VARS'!$J$60*($H$80*$B85)+'LINEST VARS'!$I$60*($H$80*4)+'LINEST VARS'!$H$60*($H$80*0.5)+'LINEST VARS'!$G$60*($H$80*12.73)+'LINEST VARS'!$F$60*($B85*4)+'LINEST VARS'!$E$60*($B85*0.5)+'LINEST VARS'!$D$60*($B85*12.73)+'LINEST VARS'!$C$60*(4*0.5)+'LINEST VARS'!$B$60*(4*12.73)+'LINEST VARS'!$A$60*(0.5*12.73)</f>
        <v>40.460000000000008</v>
      </c>
      <c r="I85" s="46">
        <f>'LINEST VARS'!$U$60+'LINEST VARS'!$T$60*($I$80)+'LINEST VARS'!$S$60*($B85)+'LINEST VARS'!$R$60*(4)+'LINEST VARS'!$Q$60*(0.5)+'LINEST VARS'!$P$60*(12.73)+'LINEST VARS'!$O$60*($I$80^2)+'LINEST VARS'!$N$60*($B85^2)+'LINEST VARS'!$M$60*(4^2)+'LINEST VARS'!$L$60*(0.5^2)+'LINEST VARS'!$K$60*(12.73^2)+'LINEST VARS'!$J$60*($I$80*$B85)+'LINEST VARS'!$I$60*($I$80*4)+'LINEST VARS'!$H$60*($I$80*0.5)+'LINEST VARS'!$G$60*($I$80*12.73)+'LINEST VARS'!$F$60*($B85*4)+'LINEST VARS'!$E$60*($B85*0.5)+'LINEST VARS'!$D$60*($B85*12.73)+'LINEST VARS'!$C$60*(4*0.5)+'LINEST VARS'!$B$60*(4*12.73)+'LINEST VARS'!$A$60*(0.5*12.73)</f>
        <v>40.460000000000015</v>
      </c>
      <c r="J85" s="46">
        <f>'LINEST VARS'!$U$60+'LINEST VARS'!$T$60*($J$80)+'LINEST VARS'!$S$60*($B85)+'LINEST VARS'!$R$60*(4)+'LINEST VARS'!$Q$60*(0.5)+'LINEST VARS'!$P$60*(12.73)+'LINEST VARS'!$O$60*($J$80^2)+'LINEST VARS'!$N$60*($B85^2)+'LINEST VARS'!$M$60*(4^2)+'LINEST VARS'!$L$60*(0.5^2)+'LINEST VARS'!$K$60*(12.73^2)+'LINEST VARS'!$J$60*($J$80*$B85)+'LINEST VARS'!$I$60*($J$80*4)+'LINEST VARS'!$H$60*($J$80*0.5)+'LINEST VARS'!$G$60*($J$80*12.73)+'LINEST VARS'!$F$60*($B85*4)+'LINEST VARS'!$E$60*($B85*0.5)+'LINEST VARS'!$D$60*($B85*12.73)+'LINEST VARS'!$C$60*(4*0.5)+'LINEST VARS'!$B$60*(4*12.73)+'LINEST VARS'!$A$60*(0.5*12.73)</f>
        <v>40.460000000000015</v>
      </c>
      <c r="K85" s="46">
        <f>'LINEST VARS'!$U$60+'LINEST VARS'!$T$60*($K$80)+'LINEST VARS'!$S$60*($B85)+'LINEST VARS'!$R$60*(4)+'LINEST VARS'!$Q$60*(0.5)+'LINEST VARS'!$P$60*(12.73)+'LINEST VARS'!$O$60*($K$80^2)+'LINEST VARS'!$N$60*($B85^2)+'LINEST VARS'!$M$60*(4^2)+'LINEST VARS'!$L$60*(0.5^2)+'LINEST VARS'!$K$60*(12.73^2)+'LINEST VARS'!$J$60*($K$80*$B85)+'LINEST VARS'!$I$60*($K$80*4)+'LINEST VARS'!$H$60*($K$80*0.5)+'LINEST VARS'!$G$60*($K$80*12.73)+'LINEST VARS'!$F$60*($B85*4)+'LINEST VARS'!$E$60*($B85*0.5)+'LINEST VARS'!$D$60*($B85*12.73)+'LINEST VARS'!$C$60*(4*0.5)+'LINEST VARS'!$B$60*(4*12.73)+'LINEST VARS'!$A$60*(0.5*12.73)</f>
        <v>40.460000000000015</v>
      </c>
      <c r="L85" s="46">
        <f>'LINEST VARS'!$U$60+'LINEST VARS'!$T$60*($L$80)+'LINEST VARS'!$S$60*($B85)+'LINEST VARS'!$R$60*(4)+'LINEST VARS'!$Q$60*(0.5)+'LINEST VARS'!$P$60*(12.73)+'LINEST VARS'!$O$60*($L$80^2)+'LINEST VARS'!$N$60*($B85^2)+'LINEST VARS'!$M$60*(4^2)+'LINEST VARS'!$L$60*(0.5^2)+'LINEST VARS'!$K$60*(12.73^2)+'LINEST VARS'!$J$60*($L$80*$B85)+'LINEST VARS'!$I$60*($L$80*4)+'LINEST VARS'!$H$60*($L$80*0.5)+'LINEST VARS'!$G$60*($L$80*12.73)+'LINEST VARS'!$F$60*($B85*4)+'LINEST VARS'!$E$60*($B85*0.5)+'LINEST VARS'!$D$60*($B85*12.73)+'LINEST VARS'!$C$60*(4*0.5)+'LINEST VARS'!$B$60*(4*12.73)+'LINEST VARS'!$A$60*(0.5*12.73)</f>
        <v>40.460000000000015</v>
      </c>
      <c r="M85" s="46">
        <f>'LINEST VARS'!$U$60+'LINEST VARS'!$T$60*($M$80)+'LINEST VARS'!$S$60*($B85)+'LINEST VARS'!$R$60*(4)+'LINEST VARS'!$Q$60*(0.5)+'LINEST VARS'!$P$60*(12.73)+'LINEST VARS'!$O$60*($M$80^2)+'LINEST VARS'!$N$60*($B85^2)+'LINEST VARS'!$M$60*(4^2)+'LINEST VARS'!$L$60*(0.5^2)+'LINEST VARS'!$K$60*(12.73^2)+'LINEST VARS'!$J$60*($M$80*$B85)+'LINEST VARS'!$I$60*($M$80*4)+'LINEST VARS'!$H$60*($M$80*0.5)+'LINEST VARS'!$G$60*($M$80*12.73)+'LINEST VARS'!$F$60*($B85*4)+'LINEST VARS'!$E$60*($B85*0.5)+'LINEST VARS'!$D$60*($B85*12.73)+'LINEST VARS'!$C$60*(4*0.5)+'LINEST VARS'!$B$60*(4*12.73)+'LINEST VARS'!$A$60*(0.5*12.73)</f>
        <v>40.460000000000015</v>
      </c>
      <c r="N85" s="46">
        <f>'LINEST VARS'!$U$60+'LINEST VARS'!$T$60*($N$80)+'LINEST VARS'!$S$60*($B85)+'LINEST VARS'!$R$60*(4)+'LINEST VARS'!$Q$60*(0.5)+'LINEST VARS'!$P$60*(12.73)+'LINEST VARS'!$O$60*($N$80^2)+'LINEST VARS'!$N$60*($B85^2)+'LINEST VARS'!$M$60*(4^2)+'LINEST VARS'!$L$60*(0.5^2)+'LINEST VARS'!$K$60*(12.73^2)+'LINEST VARS'!$J$60*($N$80*$B85)+'LINEST VARS'!$I$60*($N$80*4)+'LINEST VARS'!$H$60*($N$80*0.5)+'LINEST VARS'!$G$60*($N$80*12.73)+'LINEST VARS'!$F$60*($B85*4)+'LINEST VARS'!$E$60*($B85*0.5)+'LINEST VARS'!$D$60*($B85*12.73)+'LINEST VARS'!$C$60*(4*0.5)+'LINEST VARS'!$B$60*(4*12.73)+'LINEST VARS'!$A$60*(0.5*12.73)</f>
        <v>40.460000000000008</v>
      </c>
      <c r="O85" s="46">
        <f>'LINEST VARS'!$U$60+'LINEST VARS'!$T$60*($O$80)+'LINEST VARS'!$S$60*($B85)+'LINEST VARS'!$R$60*(4)+'LINEST VARS'!$Q$60*(0.5)+'LINEST VARS'!$P$60*(12.73)+'LINEST VARS'!$O$60*($O$80^2)+'LINEST VARS'!$N$60*($B85^2)+'LINEST VARS'!$M$60*(4^2)+'LINEST VARS'!$L$60*(0.5^2)+'LINEST VARS'!$K$60*(12.73^2)+'LINEST VARS'!$J$60*($O$80*$B85)+'LINEST VARS'!$I$60*($O$80*4)+'LINEST VARS'!$H$60*($O$80*0.5)+'LINEST VARS'!$G$60*($O$80*12.73)+'LINEST VARS'!$F$60*($B85*4)+'LINEST VARS'!$E$60*($B85*0.5)+'LINEST VARS'!$D$60*($B85*12.73)+'LINEST VARS'!$C$60*(4*0.5)+'LINEST VARS'!$B$60*(4*12.73)+'LINEST VARS'!$A$60*(0.5*12.73)</f>
        <v>40.460000000000015</v>
      </c>
      <c r="P85" s="46">
        <f>'LINEST VARS'!$U$60+'LINEST VARS'!$T$60*($P$80)+'LINEST VARS'!$S$60*($B85)+'LINEST VARS'!$R$60*(4)+'LINEST VARS'!$Q$60*(0.5)+'LINEST VARS'!$P$60*(12.73)+'LINEST VARS'!$O$60*($P$80^2)+'LINEST VARS'!$N$60*($B85^2)+'LINEST VARS'!$M$60*(4^2)+'LINEST VARS'!$L$60*(0.5^2)+'LINEST VARS'!$K$60*(12.73^2)+'LINEST VARS'!$J$60*($P$80*$B85)+'LINEST VARS'!$I$60*($P$80*4)+'LINEST VARS'!$H$60*($P$80*0.5)+'LINEST VARS'!$G$60*($P$80*12.73)+'LINEST VARS'!$F$60*($B85*4)+'LINEST VARS'!$E$60*($B85*0.5)+'LINEST VARS'!$D$60*($B85*12.73)+'LINEST VARS'!$C$60*(4*0.5)+'LINEST VARS'!$B$60*(4*12.73)+'LINEST VARS'!$A$60*(0.5*12.73)</f>
        <v>40.460000000000015</v>
      </c>
      <c r="Q85" s="46">
        <f>'LINEST VARS'!$U$60+'LINEST VARS'!$T$60*($Q$80)+'LINEST VARS'!$S$60*($B85)+'LINEST VARS'!$R$60*(4)+'LINEST VARS'!$Q$60*(0.5)+'LINEST VARS'!$P$60*(12.73)+'LINEST VARS'!$O$60*($Q$80^2)+'LINEST VARS'!$N$60*($B85^2)+'LINEST VARS'!$M$60*(4^2)+'LINEST VARS'!$L$60*(0.5^2)+'LINEST VARS'!$K$60*(12.73^2)+'LINEST VARS'!$J$60*($Q$80*$B85)+'LINEST VARS'!$I$60*($Q$80*4)+'LINEST VARS'!$H$60*($Q$80*0.5)+'LINEST VARS'!$G$60*($Q$80*12.73)+'LINEST VARS'!$F$60*($B85*4)+'LINEST VARS'!$E$60*($B85*0.5)+'LINEST VARS'!$D$60*($B85*12.73)+'LINEST VARS'!$C$60*(4*0.5)+'LINEST VARS'!$B$60*(4*12.73)+'LINEST VARS'!$A$60*(0.5*12.73)</f>
        <v>40.460000000000008</v>
      </c>
      <c r="R85" s="46">
        <f>'LINEST VARS'!$U$60+'LINEST VARS'!$T$60*($R$80)+'LINEST VARS'!$S$60*($B85)+'LINEST VARS'!$R$60*(4)+'LINEST VARS'!$Q$60*(0.5)+'LINEST VARS'!$P$60*(12.73)+'LINEST VARS'!$O$60*($R$80^2)+'LINEST VARS'!$N$60*($B85^2)+'LINEST VARS'!$M$60*(4^2)+'LINEST VARS'!$L$60*(0.5^2)+'LINEST VARS'!$K$60*(12.73^2)+'LINEST VARS'!$J$60*($R$80*$B85)+'LINEST VARS'!$I$60*($R$80*4)+'LINEST VARS'!$H$60*($R$80*0.5)+'LINEST VARS'!$G$60*($R$80*12.73)+'LINEST VARS'!$F$60*($B85*4)+'LINEST VARS'!$E$60*($B85*0.5)+'LINEST VARS'!$D$60*($B85*12.73)+'LINEST VARS'!$C$60*(4*0.5)+'LINEST VARS'!$B$60*(4*12.73)+'LINEST VARS'!$A$60*(0.5*12.73)</f>
        <v>40.460000000000008</v>
      </c>
      <c r="S85" s="46">
        <f>'LINEST VARS'!$U$60+'LINEST VARS'!$T$60*($S$80)+'LINEST VARS'!$S$60*($B85)+'LINEST VARS'!$R$60*(4)+'LINEST VARS'!$Q$60*(0.5)+'LINEST VARS'!$P$60*(12.73)+'LINEST VARS'!$O$60*($S$80^2)+'LINEST VARS'!$N$60*($B85^2)+'LINEST VARS'!$M$60*(4^2)+'LINEST VARS'!$L$60*(0.5^2)+'LINEST VARS'!$K$60*(12.73^2)+'LINEST VARS'!$J$60*($S$80*$B85)+'LINEST VARS'!$I$60*($S$80*4)+'LINEST VARS'!$H$60*($S$80*0.5)+'LINEST VARS'!$G$60*($S$80*12.73)+'LINEST VARS'!$F$60*($B85*4)+'LINEST VARS'!$E$60*($B85*0.5)+'LINEST VARS'!$D$60*($B85*12.73)+'LINEST VARS'!$C$60*(4*0.5)+'LINEST VARS'!$B$60*(4*12.73)+'LINEST VARS'!$A$60*(0.5*12.73)</f>
        <v>40.460000000000008</v>
      </c>
      <c r="T85" s="46">
        <f>'LINEST VARS'!$U$60+'LINEST VARS'!$T$60*($T$80)+'LINEST VARS'!$S$60*($B85)+'LINEST VARS'!$R$60*(4)+'LINEST VARS'!$Q$60*(0.5)+'LINEST VARS'!$P$60*(12.73)+'LINEST VARS'!$O$60*($T$80^2)+'LINEST VARS'!$N$60*($B85^2)+'LINEST VARS'!$M$60*(4^2)+'LINEST VARS'!$L$60*(0.5^2)+'LINEST VARS'!$K$60*(12.73^2)+'LINEST VARS'!$J$60*($T$80*$B85)+'LINEST VARS'!$I$60*($T$80*4)+'LINEST VARS'!$H$60*($T$80*0.5)+'LINEST VARS'!$G$60*($T$80*12.73)+'LINEST VARS'!$F$60*($B85*4)+'LINEST VARS'!$E$60*($B85*0.5)+'LINEST VARS'!$D$60*($B85*12.73)+'LINEST VARS'!$C$60*(4*0.5)+'LINEST VARS'!$B$60*(4*12.73)+'LINEST VARS'!$A$60*(0.5*12.73)</f>
        <v>40.460000000000008</v>
      </c>
      <c r="U85" s="46">
        <f>'LINEST VARS'!$U$60+'LINEST VARS'!$T$60*($U$80)+'LINEST VARS'!$S$60*($B85)+'LINEST VARS'!$R$60*(4)+'LINEST VARS'!$Q$60*(0.5)+'LINEST VARS'!$P$60*(12.73)+'LINEST VARS'!$O$60*($U$80^2)+'LINEST VARS'!$N$60*($B85^2)+'LINEST VARS'!$M$60*(4^2)+'LINEST VARS'!$L$60*(0.5^2)+'LINEST VARS'!$K$60*(12.73^2)+'LINEST VARS'!$J$60*($U$80*$B85)+'LINEST VARS'!$I$60*($U$80*4)+'LINEST VARS'!$H$60*($U$80*0.5)+'LINEST VARS'!$G$60*($U$80*12.73)+'LINEST VARS'!$F$60*($B85*4)+'LINEST VARS'!$E$60*($B85*0.5)+'LINEST VARS'!$D$60*($B85*12.73)+'LINEST VARS'!$C$60*(4*0.5)+'LINEST VARS'!$B$60*(4*12.73)+'LINEST VARS'!$A$60*(0.5*12.73)</f>
        <v>40.460000000000015</v>
      </c>
      <c r="V85" s="46">
        <f>'LINEST VARS'!$U$60+'LINEST VARS'!$T$60*($V$80)+'LINEST VARS'!$S$60*($B85)+'LINEST VARS'!$R$60*(4)+'LINEST VARS'!$Q$60*(0.5)+'LINEST VARS'!$P$60*(12.73)+'LINEST VARS'!$O$60*($V$80^2)+'LINEST VARS'!$N$60*($B85^2)+'LINEST VARS'!$M$60*(4^2)+'LINEST VARS'!$L$60*(0.5^2)+'LINEST VARS'!$K$60*(12.73^2)+'LINEST VARS'!$J$60*($V$80*$B85)+'LINEST VARS'!$I$60*($V$80*4)+'LINEST VARS'!$H$60*($V$80*0.5)+'LINEST VARS'!$G$60*($V$80*12.73)+'LINEST VARS'!$F$60*($B85*4)+'LINEST VARS'!$E$60*($B85*0.5)+'LINEST VARS'!$D$60*($B85*12.73)+'LINEST VARS'!$C$60*(4*0.5)+'LINEST VARS'!$B$60*(4*12.73)+'LINEST VARS'!$A$60*(0.5*12.73)</f>
        <v>40.460000000000015</v>
      </c>
      <c r="W85" s="47">
        <f>'LINEST VARS'!$U$60+'LINEST VARS'!$T$60*($W$80)+'LINEST VARS'!$S$60*($B85)+'LINEST VARS'!$R$60*(4)+'LINEST VARS'!$Q$60*(0.5)+'LINEST VARS'!$P$60*(12.73)+'LINEST VARS'!$O$60*($W$80^2)+'LINEST VARS'!$N$60*($B85^2)+'LINEST VARS'!$M$60*(4^2)+'LINEST VARS'!$L$60*(0.5^2)+'LINEST VARS'!$K$60*(12.73^2)+'LINEST VARS'!$J$60*($W$80*$B85)+'LINEST VARS'!$I$60*($W$80*4)+'LINEST VARS'!$H$60*($W$80*0.5)+'LINEST VARS'!$G$60*($W$80*12.73)+'LINEST VARS'!$F$60*($B85*4)+'LINEST VARS'!$E$60*($B85*0.5)+'LINEST VARS'!$D$60*($B85*12.73)+'LINEST VARS'!$C$60*(4*0.5)+'LINEST VARS'!$B$60*(4*12.73)+'LINEST VARS'!$A$60*(0.5*12.73)</f>
        <v>40.460000000000015</v>
      </c>
      <c r="Z85" s="45">
        <v>7.64</v>
      </c>
      <c r="AA85" s="55">
        <f>'LINEST VARS'!$U$62+'LINEST VARS'!$T$62*($AA$80)+'LINEST VARS'!$S$62*($Z85)+'LINEST VARS'!$R$62*(4)+'LINEST VARS'!$Q$62*(0.5)+'LINEST VARS'!$P$62*(12.73)+'LINEST VARS'!$O$62*($AA$80^2)+'LINEST VARS'!$N$62*($Z85^2)+'LINEST VARS'!$M$62*(4^2)+'LINEST VARS'!$L$62*(0.5^2)+'LINEST VARS'!$K$62*(12.73^2)+'LINEST VARS'!$J$62*($AA$80*$Z85)+'LINEST VARS'!$I$62*($AA$80*4)+'LINEST VARS'!$H$62*($AA$80*0.5)+'LINEST VARS'!$G$62*($AA$80*12.73)+'LINEST VARS'!$F$62*($Z85*4)+'LINEST VARS'!$E$62*($Z85*0.5)+'LINEST VARS'!$D$62*($Z85*12.73)+'LINEST VARS'!$C$62*(4*0.5)+'LINEST VARS'!$B$62*(4*12.73)+'LINEST VARS'!$A$62*(0.5*12.73)</f>
        <v>269.5</v>
      </c>
      <c r="AB85" s="55">
        <f>'LINEST VARS'!$U$62+'LINEST VARS'!$T$62*($AB$80)+'LINEST VARS'!$S$62*($Z85)+'LINEST VARS'!$R$62*(4)+'LINEST VARS'!$Q$62*(0.5)+'LINEST VARS'!$P$62*(12.73)+'LINEST VARS'!$O$62*($AB$80^2)+'LINEST VARS'!$N$62*($Z85^2)+'LINEST VARS'!$M$62*(4^2)+'LINEST VARS'!$L$62*(0.5^2)+'LINEST VARS'!$K$62*(12.73^2)+'LINEST VARS'!$J$62*($AB$80*$Z85)+'LINEST VARS'!$I$62*($AB$80*4)+'LINEST VARS'!$H$62*($AB$80*0.5)+'LINEST VARS'!$G$62*($AB$80*12.73)+'LINEST VARS'!$F$62*($Z85*4)+'LINEST VARS'!$E$62*($Z85*0.5)+'LINEST VARS'!$D$62*($Z85*12.73)+'LINEST VARS'!$C$62*(4*0.5)+'LINEST VARS'!$B$62*(4*12.73)+'LINEST VARS'!$A$62*(0.5*12.73)</f>
        <v>269.5</v>
      </c>
      <c r="AC85" s="55">
        <f>'LINEST VARS'!$U$62+'LINEST VARS'!$T$62*($AC$80)+'LINEST VARS'!$S$62*($Z85)+'LINEST VARS'!$R$62*(4)+'LINEST VARS'!$Q$62*(0.5)+'LINEST VARS'!$P$62*(12.73)+'LINEST VARS'!$O$62*($AC$80^2)+'LINEST VARS'!$N$62*($Z85^2)+'LINEST VARS'!$M$62*(4^2)+'LINEST VARS'!$L$62*(0.5^2)+'LINEST VARS'!$K$62*(12.73^2)+'LINEST VARS'!$J$62*($AC$80*$Z85)+'LINEST VARS'!$I$62*($AC$80*4)+'LINEST VARS'!$H$62*($AC$80*0.5)+'LINEST VARS'!$G$62*($AC$80*12.73)+'LINEST VARS'!$F$62*($Z85*4)+'LINEST VARS'!$E$62*($Z85*0.5)+'LINEST VARS'!$D$62*($Z85*12.73)+'LINEST VARS'!$C$62*(4*0.5)+'LINEST VARS'!$B$62*(4*12.73)+'LINEST VARS'!$A$62*(0.5*12.73)</f>
        <v>269.5</v>
      </c>
      <c r="AD85" s="55">
        <f>'LINEST VARS'!$U$62+'LINEST VARS'!$T$62*($AD$80)+'LINEST VARS'!$S$62*($Z85)+'LINEST VARS'!$R$62*(4)+'LINEST VARS'!$Q$62*(0.5)+'LINEST VARS'!$P$62*(12.73)+'LINEST VARS'!$O$62*($AD$80^2)+'LINEST VARS'!$N$62*($Z85^2)+'LINEST VARS'!$M$62*(4^2)+'LINEST VARS'!$L$62*(0.5^2)+'LINEST VARS'!$K$62*(12.73^2)+'LINEST VARS'!$J$62*($AD$80*$Z85)+'LINEST VARS'!$I$62*($AD$80*4)+'LINEST VARS'!$H$62*($AD$80*0.5)+'LINEST VARS'!$G$62*($AD$80*12.73)+'LINEST VARS'!$F$62*($Z85*4)+'LINEST VARS'!$E$62*($Z85*0.5)+'LINEST VARS'!$D$62*($Z85*12.73)+'LINEST VARS'!$C$62*(4*0.5)+'LINEST VARS'!$B$62*(4*12.73)+'LINEST VARS'!$A$62*(0.5*12.73)</f>
        <v>269.50000000000006</v>
      </c>
      <c r="AE85" s="55">
        <f>'LINEST VARS'!$U$62+'LINEST VARS'!$T$62*($AE$80)+'LINEST VARS'!$S$62*($Z85)+'LINEST VARS'!$R$62*(4)+'LINEST VARS'!$Q$62*(0.5)+'LINEST VARS'!$P$62*(12.73)+'LINEST VARS'!$O$62*($AE$80^2)+'LINEST VARS'!$N$62*($Z85^2)+'LINEST VARS'!$M$62*(4^2)+'LINEST VARS'!$L$62*(0.5^2)+'LINEST VARS'!$K$62*(12.73^2)+'LINEST VARS'!$J$62*($AE$80*$Z85)+'LINEST VARS'!$I$62*($AE$80*4)+'LINEST VARS'!$H$62*($AE$80*0.5)+'LINEST VARS'!$G$62*($AE$80*12.73)+'LINEST VARS'!$F$62*($Z85*4)+'LINEST VARS'!$E$62*($Z85*0.5)+'LINEST VARS'!$D$62*($Z85*12.73)+'LINEST VARS'!$C$62*(4*0.5)+'LINEST VARS'!$B$62*(4*12.73)+'LINEST VARS'!$A$62*(0.5*12.73)</f>
        <v>269.5</v>
      </c>
      <c r="AF85" s="55">
        <f>'LINEST VARS'!$U$62+'LINEST VARS'!$T$62*($AF$80)+'LINEST VARS'!$S$62*($Z85)+'LINEST VARS'!$R$62*(4)+'LINEST VARS'!$Q$62*(0.5)+'LINEST VARS'!$P$62*(12.73)+'LINEST VARS'!$O$62*($AF$80^2)+'LINEST VARS'!$N$62*($Z85^2)+'LINEST VARS'!$M$62*(4^2)+'LINEST VARS'!$L$62*(0.5^2)+'LINEST VARS'!$K$62*(12.73^2)+'LINEST VARS'!$J$62*($AF$80*$Z85)+'LINEST VARS'!$I$62*($AF$80*4)+'LINEST VARS'!$H$62*($AF$80*0.5)+'LINEST VARS'!$G$62*($AF$80*12.73)+'LINEST VARS'!$F$62*($Z85*4)+'LINEST VARS'!$E$62*($Z85*0.5)+'LINEST VARS'!$D$62*($Z85*12.73)+'LINEST VARS'!$C$62*(4*0.5)+'LINEST VARS'!$B$62*(4*12.73)+'LINEST VARS'!$A$62*(0.5*12.73)</f>
        <v>269.49999999999994</v>
      </c>
      <c r="AG85" s="55">
        <f>'LINEST VARS'!$U$62+'LINEST VARS'!$T$62*($AG$80)+'LINEST VARS'!$S$62*($Z85)+'LINEST VARS'!$R$62*(4)+'LINEST VARS'!$Q$62*(0.5)+'LINEST VARS'!$P$62*(12.73)+'LINEST VARS'!$O$62*($AG$80^2)+'LINEST VARS'!$N$62*($Z85^2)+'LINEST VARS'!$M$62*(4^2)+'LINEST VARS'!$L$62*(0.5^2)+'LINEST VARS'!$K$62*(12.73^2)+'LINEST VARS'!$J$62*($AG$80*$Z85)+'LINEST VARS'!$I$62*($AG$80*4)+'LINEST VARS'!$H$62*($AG$80*0.5)+'LINEST VARS'!$G$62*($AG$80*12.73)+'LINEST VARS'!$F$62*($Z85*4)+'LINEST VARS'!$E$62*($Z85*0.5)+'LINEST VARS'!$D$62*($Z85*12.73)+'LINEST VARS'!$C$62*(4*0.5)+'LINEST VARS'!$B$62*(4*12.73)+'LINEST VARS'!$A$62*(0.5*12.73)</f>
        <v>269.5</v>
      </c>
      <c r="AH85" s="55">
        <f>'LINEST VARS'!$U$62+'LINEST VARS'!$T$62*($AH$80)+'LINEST VARS'!$S$62*($Z85)+'LINEST VARS'!$R$62*(4)+'LINEST VARS'!$Q$62*(0.5)+'LINEST VARS'!$P$62*(12.73)+'LINEST VARS'!$O$62*($AH$80^2)+'LINEST VARS'!$N$62*($Z85^2)+'LINEST VARS'!$M$62*(4^2)+'LINEST VARS'!$L$62*(0.5^2)+'LINEST VARS'!$K$62*(12.73^2)+'LINEST VARS'!$J$62*($AH$80*$Z85)+'LINEST VARS'!$I$62*($AH$80*4)+'LINEST VARS'!$H$62*($AH$80*0.5)+'LINEST VARS'!$G$62*($AH$80*12.73)+'LINEST VARS'!$F$62*($Z85*4)+'LINEST VARS'!$E$62*($Z85*0.5)+'LINEST VARS'!$D$62*($Z85*12.73)+'LINEST VARS'!$C$62*(4*0.5)+'LINEST VARS'!$B$62*(4*12.73)+'LINEST VARS'!$A$62*(0.5*12.73)</f>
        <v>269.5</v>
      </c>
      <c r="AI85" s="55">
        <f>'LINEST VARS'!$U$62+'LINEST VARS'!$T$62*($AI$80)+'LINEST VARS'!$S$62*($Z85)+'LINEST VARS'!$R$62*(4)+'LINEST VARS'!$Q$62*(0.5)+'LINEST VARS'!$P$62*(12.73)+'LINEST VARS'!$O$62*($AI$80^2)+'LINEST VARS'!$N$62*($Z85^2)+'LINEST VARS'!$M$62*(4^2)+'LINEST VARS'!$L$62*(0.5^2)+'LINEST VARS'!$K$62*(12.73^2)+'LINEST VARS'!$J$62*($AI$80*$Z85)+'LINEST VARS'!$I$62*($AI$80*4)+'LINEST VARS'!$H$62*($AI$80*0.5)+'LINEST VARS'!$G$62*($AI$80*12.73)+'LINEST VARS'!$F$62*($Z85*4)+'LINEST VARS'!$E$62*($Z85*0.5)+'LINEST VARS'!$D$62*($Z85*12.73)+'LINEST VARS'!$C$62*(4*0.5)+'LINEST VARS'!$B$62*(4*12.73)+'LINEST VARS'!$A$62*(0.5*12.73)</f>
        <v>269.5</v>
      </c>
      <c r="AJ85" s="55">
        <f>'LINEST VARS'!$U$62+'LINEST VARS'!$T$62*($AJ$80)+'LINEST VARS'!$S$62*($Z85)+'LINEST VARS'!$R$62*(4)+'LINEST VARS'!$Q$62*(0.5)+'LINEST VARS'!$P$62*(12.73)+'LINEST VARS'!$O$62*($AJ$80^2)+'LINEST VARS'!$N$62*($Z85^2)+'LINEST VARS'!$M$62*(4^2)+'LINEST VARS'!$L$62*(0.5^2)+'LINEST VARS'!$K$62*(12.73^2)+'LINEST VARS'!$J$62*($AJ$80*$Z85)+'LINEST VARS'!$I$62*($AJ$80*4)+'LINEST VARS'!$H$62*($AJ$80*0.5)+'LINEST VARS'!$G$62*($AJ$80*12.73)+'LINEST VARS'!$F$62*($Z85*4)+'LINEST VARS'!$E$62*($Z85*0.5)+'LINEST VARS'!$D$62*($Z85*12.73)+'LINEST VARS'!$C$62*(4*0.5)+'LINEST VARS'!$B$62*(4*12.73)+'LINEST VARS'!$A$62*(0.5*12.73)</f>
        <v>269.5</v>
      </c>
      <c r="AK85" s="55">
        <f>'LINEST VARS'!$U$62+'LINEST VARS'!$T$62*($AK$80)+'LINEST VARS'!$S$62*($Z85)+'LINEST VARS'!$R$62*(4)+'LINEST VARS'!$Q$62*(0.5)+'LINEST VARS'!$P$62*(12.73)+'LINEST VARS'!$O$62*($AK$80^2)+'LINEST VARS'!$N$62*($Z85^2)+'LINEST VARS'!$M$62*(4^2)+'LINEST VARS'!$L$62*(0.5^2)+'LINEST VARS'!$K$62*(12.73^2)+'LINEST VARS'!$J$62*($AK$80*$Z85)+'LINEST VARS'!$I$62*($AK$80*4)+'LINEST VARS'!$H$62*($AK$80*0.5)+'LINEST VARS'!$G$62*($AK$80*12.73)+'LINEST VARS'!$F$62*($Z85*4)+'LINEST VARS'!$E$62*($Z85*0.5)+'LINEST VARS'!$D$62*($Z85*12.73)+'LINEST VARS'!$C$62*(4*0.5)+'LINEST VARS'!$B$62*(4*12.73)+'LINEST VARS'!$A$62*(0.5*12.73)</f>
        <v>269.5</v>
      </c>
      <c r="AL85" s="55">
        <f>'LINEST VARS'!$U$62+'LINEST VARS'!$T$62*($AL$80)+'LINEST VARS'!$S$62*($Z85)+'LINEST VARS'!$R$62*(4)+'LINEST VARS'!$Q$62*(0.5)+'LINEST VARS'!$P$62*(12.73)+'LINEST VARS'!$O$62*($AL$80^2)+'LINEST VARS'!$N$62*($Z85^2)+'LINEST VARS'!$M$62*(4^2)+'LINEST VARS'!$L$62*(0.5^2)+'LINEST VARS'!$K$62*(12.73^2)+'LINEST VARS'!$J$62*($AL$80*$Z85)+'LINEST VARS'!$I$62*($AL$80*4)+'LINEST VARS'!$H$62*($AL$80*0.5)+'LINEST VARS'!$G$62*($AL$80*12.73)+'LINEST VARS'!$F$62*($Z85*4)+'LINEST VARS'!$E$62*($Z85*0.5)+'LINEST VARS'!$D$62*($Z85*12.73)+'LINEST VARS'!$C$62*(4*0.5)+'LINEST VARS'!$B$62*(4*12.73)+'LINEST VARS'!$A$62*(0.5*12.73)</f>
        <v>269.49999999999994</v>
      </c>
      <c r="AM85" s="55">
        <f>'LINEST VARS'!$U$62+'LINEST VARS'!$T$62*($AM$80)+'LINEST VARS'!$S$62*($Z85)+'LINEST VARS'!$R$62*(4)+'LINEST VARS'!$Q$62*(0.5)+'LINEST VARS'!$P$62*(12.73)+'LINEST VARS'!$O$62*($AM$80^2)+'LINEST VARS'!$N$62*($Z85^2)+'LINEST VARS'!$M$62*(4^2)+'LINEST VARS'!$L$62*(0.5^2)+'LINEST VARS'!$K$62*(12.73^2)+'LINEST VARS'!$J$62*($AM$80*$Z85)+'LINEST VARS'!$I$62*($AM$80*4)+'LINEST VARS'!$H$62*($AM$80*0.5)+'LINEST VARS'!$G$62*($AM$80*12.73)+'LINEST VARS'!$F$62*($Z85*4)+'LINEST VARS'!$E$62*($Z85*0.5)+'LINEST VARS'!$D$62*($Z85*12.73)+'LINEST VARS'!$C$62*(4*0.5)+'LINEST VARS'!$B$62*(4*12.73)+'LINEST VARS'!$A$62*(0.5*12.73)</f>
        <v>269.5</v>
      </c>
      <c r="AN85" s="55">
        <f>'LINEST VARS'!$U$62+'LINEST VARS'!$T$62*($AN$80)+'LINEST VARS'!$S$62*($Z85)+'LINEST VARS'!$R$62*(4)+'LINEST VARS'!$Q$62*(0.5)+'LINEST VARS'!$P$62*(12.73)+'LINEST VARS'!$O$62*($AN$80^2)+'LINEST VARS'!$N$62*($Z85^2)+'LINEST VARS'!$M$62*(4^2)+'LINEST VARS'!$L$62*(0.5^2)+'LINEST VARS'!$K$62*(12.73^2)+'LINEST VARS'!$J$62*($AN$80*$Z85)+'LINEST VARS'!$I$62*($AN$80*4)+'LINEST VARS'!$H$62*($AN$80*0.5)+'LINEST VARS'!$G$62*($AN$80*12.73)+'LINEST VARS'!$F$62*($Z85*4)+'LINEST VARS'!$E$62*($Z85*0.5)+'LINEST VARS'!$D$62*($Z85*12.73)+'LINEST VARS'!$C$62*(4*0.5)+'LINEST VARS'!$B$62*(4*12.73)+'LINEST VARS'!$A$62*(0.5*12.73)</f>
        <v>269.5</v>
      </c>
      <c r="AO85" s="55">
        <f>'LINEST VARS'!$U$62+'LINEST VARS'!$T$62*($AO$80)+'LINEST VARS'!$S$62*($Z85)+'LINEST VARS'!$R$62*(4)+'LINEST VARS'!$Q$62*(0.5)+'LINEST VARS'!$P$62*(12.73)+'LINEST VARS'!$O$62*($AO$80^2)+'LINEST VARS'!$N$62*($Z85^2)+'LINEST VARS'!$M$62*(4^2)+'LINEST VARS'!$L$62*(0.5^2)+'LINEST VARS'!$K$62*(12.73^2)+'LINEST VARS'!$J$62*($AO$80*$Z85)+'LINEST VARS'!$I$62*($AO$80*4)+'LINEST VARS'!$H$62*($AO$80*0.5)+'LINEST VARS'!$G$62*($AO$80*12.73)+'LINEST VARS'!$F$62*($Z85*4)+'LINEST VARS'!$E$62*($Z85*0.5)+'LINEST VARS'!$D$62*($Z85*12.73)+'LINEST VARS'!$C$62*(4*0.5)+'LINEST VARS'!$B$62*(4*12.73)+'LINEST VARS'!$A$62*(0.5*12.73)</f>
        <v>269.5</v>
      </c>
      <c r="AP85" s="55">
        <f>'LINEST VARS'!$U$62+'LINEST VARS'!$T$62*($AP$80)+'LINEST VARS'!$S$62*($Z85)+'LINEST VARS'!$R$62*(4)+'LINEST VARS'!$Q$62*(0.5)+'LINEST VARS'!$P$62*(12.73)+'LINEST VARS'!$O$62*($AP$80^2)+'LINEST VARS'!$N$62*($Z85^2)+'LINEST VARS'!$M$62*(4^2)+'LINEST VARS'!$L$62*(0.5^2)+'LINEST VARS'!$K$62*(12.73^2)+'LINEST VARS'!$J$62*($AP$80*$Z85)+'LINEST VARS'!$I$62*($AP$80*4)+'LINEST VARS'!$H$62*($AP$80*0.5)+'LINEST VARS'!$G$62*($AP$80*12.73)+'LINEST VARS'!$F$62*($Z85*4)+'LINEST VARS'!$E$62*($Z85*0.5)+'LINEST VARS'!$D$62*($Z85*12.73)+'LINEST VARS'!$C$62*(4*0.5)+'LINEST VARS'!$B$62*(4*12.73)+'LINEST VARS'!$A$62*(0.5*12.73)</f>
        <v>269.5</v>
      </c>
      <c r="AQ85" s="55">
        <f>'LINEST VARS'!$U$62+'LINEST VARS'!$T$62*($AQ$80)+'LINEST VARS'!$S$62*($Z85)+'LINEST VARS'!$R$62*(4)+'LINEST VARS'!$Q$62*(0.5)+'LINEST VARS'!$P$62*(12.73)+'LINEST VARS'!$O$62*($AQ$80^2)+'LINEST VARS'!$N$62*($Z85^2)+'LINEST VARS'!$M$62*(4^2)+'LINEST VARS'!$L$62*(0.5^2)+'LINEST VARS'!$K$62*(12.73^2)+'LINEST VARS'!$J$62*($AQ$80*$Z85)+'LINEST VARS'!$I$62*($AQ$80*4)+'LINEST VARS'!$H$62*($AQ$80*0.5)+'LINEST VARS'!$G$62*($AQ$80*12.73)+'LINEST VARS'!$F$62*($Z85*4)+'LINEST VARS'!$E$62*($Z85*0.5)+'LINEST VARS'!$D$62*($Z85*12.73)+'LINEST VARS'!$C$62*(4*0.5)+'LINEST VARS'!$B$62*(4*12.73)+'LINEST VARS'!$A$62*(0.5*12.73)</f>
        <v>269.49999999999994</v>
      </c>
      <c r="AR85" s="55">
        <f>'LINEST VARS'!$U$62+'LINEST VARS'!$T$62*($AR$80)+'LINEST VARS'!$S$62*($Z85)+'LINEST VARS'!$R$62*(4)+'LINEST VARS'!$Q$62*(0.5)+'LINEST VARS'!$P$62*(12.73)+'LINEST VARS'!$O$62*($AR$80^2)+'LINEST VARS'!$N$62*($Z85^2)+'LINEST VARS'!$M$62*(4^2)+'LINEST VARS'!$L$62*(0.5^2)+'LINEST VARS'!$K$62*(12.73^2)+'LINEST VARS'!$J$62*($AR$80*$Z85)+'LINEST VARS'!$I$62*($AR$80*4)+'LINEST VARS'!$H$62*($AR$80*0.5)+'LINEST VARS'!$G$62*($AR$80*12.73)+'LINEST VARS'!$F$62*($Z85*4)+'LINEST VARS'!$E$62*($Z85*0.5)+'LINEST VARS'!$D$62*($Z85*12.73)+'LINEST VARS'!$C$62*(4*0.5)+'LINEST VARS'!$B$62*(4*12.73)+'LINEST VARS'!$A$62*(0.5*12.73)</f>
        <v>269.50000000000006</v>
      </c>
      <c r="AS85" s="55">
        <f>'LINEST VARS'!$U$62+'LINEST VARS'!$T$62*($AS$80)+'LINEST VARS'!$S$62*($Z85)+'LINEST VARS'!$R$62*(4)+'LINEST VARS'!$Q$62*(0.5)+'LINEST VARS'!$P$62*(12.73)+'LINEST VARS'!$O$62*($AS$80^2)+'LINEST VARS'!$N$62*($Z85^2)+'LINEST VARS'!$M$62*(4^2)+'LINEST VARS'!$L$62*(0.5^2)+'LINEST VARS'!$K$62*(12.73^2)+'LINEST VARS'!$J$62*($AS$80*$Z85)+'LINEST VARS'!$I$62*($AS$80*4)+'LINEST VARS'!$H$62*($AS$80*0.5)+'LINEST VARS'!$G$62*($AS$80*12.73)+'LINEST VARS'!$F$62*($Z85*4)+'LINEST VARS'!$E$62*($Z85*0.5)+'LINEST VARS'!$D$62*($Z85*12.73)+'LINEST VARS'!$C$62*(4*0.5)+'LINEST VARS'!$B$62*(4*12.73)+'LINEST VARS'!$A$62*(0.5*12.73)</f>
        <v>269.5</v>
      </c>
      <c r="AT85" s="55">
        <f>'LINEST VARS'!$U$62+'LINEST VARS'!$T$62*($AT$80)+'LINEST VARS'!$S$62*($Z85)+'LINEST VARS'!$R$62*(4)+'LINEST VARS'!$Q$62*(0.5)+'LINEST VARS'!$P$62*(12.73)+'LINEST VARS'!$O$62*($AT$80^2)+'LINEST VARS'!$N$62*($Z85^2)+'LINEST VARS'!$M$62*(4^2)+'LINEST VARS'!$L$62*(0.5^2)+'LINEST VARS'!$K$62*(12.73^2)+'LINEST VARS'!$J$62*($AT$80*$Z85)+'LINEST VARS'!$I$62*($AT$80*4)+'LINEST VARS'!$H$62*($AT$80*0.5)+'LINEST VARS'!$G$62*($AT$80*12.73)+'LINEST VARS'!$F$62*($Z85*4)+'LINEST VARS'!$E$62*($Z85*0.5)+'LINEST VARS'!$D$62*($Z85*12.73)+'LINEST VARS'!$C$62*(4*0.5)+'LINEST VARS'!$B$62*(4*12.73)+'LINEST VARS'!$A$62*(0.5*12.73)</f>
        <v>269.5</v>
      </c>
      <c r="AU85" s="56">
        <f>'LINEST VARS'!$U$62+'LINEST VARS'!$T$62*($AU$80)+'LINEST VARS'!$S$62*($Z85)+'LINEST VARS'!$R$62*(4)+'LINEST VARS'!$Q$62*(0.5)+'LINEST VARS'!$P$62*(12.73)+'LINEST VARS'!$O$62*($AU$80^2)+'LINEST VARS'!$N$62*($Z85^2)+'LINEST VARS'!$M$62*(4^2)+'LINEST VARS'!$L$62*(0.5^2)+'LINEST VARS'!$K$62*(12.73^2)+'LINEST VARS'!$J$62*($AU$80*$Z85)+'LINEST VARS'!$I$62*($AU$80*4)+'LINEST VARS'!$H$62*($AU$80*0.5)+'LINEST VARS'!$G$62*($AU$80*12.73)+'LINEST VARS'!$F$62*($Z85*4)+'LINEST VARS'!$E$62*($Z85*0.5)+'LINEST VARS'!$D$62*($Z85*12.73)+'LINEST VARS'!$C$62*(4*0.5)+'LINEST VARS'!$B$62*(4*12.73)+'LINEST VARS'!$A$62*(0.5*12.73)</f>
        <v>269.50000000000006</v>
      </c>
      <c r="AZ85" s="45">
        <v>0.2</v>
      </c>
      <c r="BA85" s="46">
        <f>'LINEST VARS'!$U$60+'LINEST VARS'!$T$60*(8)+'LINEST VARS'!$S$60*(8)+'LINEST VARS'!$R$60*($BA$80)+'LINEST VARS'!$Q$60*($AZ85)+'LINEST VARS'!$P$60*(12.73)+'LINEST VARS'!$O$60*(8^2)+'LINEST VARS'!$N$60*(8^2)+'LINEST VARS'!$M$60*($BA$80^2)+'LINEST VARS'!$L$60*($AZ85^2)+'LINEST VARS'!$K$60*(12.73^2)+'LINEST VARS'!$J$60*(8*8)+'LINEST VARS'!$I$60*(8*$BA$80)+'LINEST VARS'!$H$60*(8*$AZ85)+'LINEST VARS'!$G$60*(8*12.73)+'LINEST VARS'!$F$60*(8*$BA$80)+'LINEST VARS'!$E$60*(8*$AZ85)+'LINEST VARS'!$D$60*(8*12.73)+'LINEST VARS'!$C$60*($BA$80*$AZ85)+'LINEST VARS'!$B$60*($BA$80*12.73)+'LINEST VARS'!$A$60*($AZ85*12.73)</f>
        <v>40.46</v>
      </c>
      <c r="BB85" s="46">
        <f>'LINEST VARS'!$U$60+'LINEST VARS'!$T$60*(8)+'LINEST VARS'!$S$60*(8)+'LINEST VARS'!$R$60*($BB$80)+'LINEST VARS'!$Q$60*($AZ85)+'LINEST VARS'!$P$60*(12.73)+'LINEST VARS'!$O$60*(8^2)+'LINEST VARS'!$N$60*(8^2)+'LINEST VARS'!$M$60*($BB$80^2)+'LINEST VARS'!$L$60*($AZ85^2)+'LINEST VARS'!$K$60*(12.73^2)+'LINEST VARS'!$J$60*(8*8)+'LINEST VARS'!$I$60*(8*$BB$80)+'LINEST VARS'!$H$60*(8*$AZ85)+'LINEST VARS'!$G$60*(8*12.73)+'LINEST VARS'!$F$60*(8*$BB$80)+'LINEST VARS'!$E$60*(8*$AZ85)+'LINEST VARS'!$D$60*(8*12.73)+'LINEST VARS'!$C$60*($BB$80*$AZ85)+'LINEST VARS'!$B$60*($BB$80*12.73)+'LINEST VARS'!$A$60*($AZ85*12.73)</f>
        <v>40.46</v>
      </c>
      <c r="BC85" s="46">
        <f>'LINEST VARS'!$U$60+'LINEST VARS'!$T$60*(8)+'LINEST VARS'!$S$60*(8)+'LINEST VARS'!$R$60*($BC$80)+'LINEST VARS'!$Q$60*($AZ85)+'LINEST VARS'!$P$60*(12.73)+'LINEST VARS'!$O$60*(8^2)+'LINEST VARS'!$N$60*(8^2)+'LINEST VARS'!$M$60*($BC$80^2)+'LINEST VARS'!$L$60*($AZ85^2)+'LINEST VARS'!$K$60*(12.73^2)+'LINEST VARS'!$J$60*(8*8)+'LINEST VARS'!$I$60*(8*$BC$80)+'LINEST VARS'!$H$60*(8*$AZ85)+'LINEST VARS'!$G$60*(8*12.73)+'LINEST VARS'!$F$60*(8*$BC$80)+'LINEST VARS'!$E$60*(8*$AZ85)+'LINEST VARS'!$D$60*(8*12.73)+'LINEST VARS'!$C$60*($BC$80*$AZ85)+'LINEST VARS'!$B$60*($BC$80*12.73)+'LINEST VARS'!$A$60*($AZ85*12.73)</f>
        <v>40.460000000000008</v>
      </c>
      <c r="BD85" s="46">
        <f>'LINEST VARS'!$U$60+'LINEST VARS'!$T$60*(8)+'LINEST VARS'!$S$60*(8)+'LINEST VARS'!$R$60*($BD$80)+'LINEST VARS'!$Q$60*($AZ85)+'LINEST VARS'!$P$60*(12.73)+'LINEST VARS'!$O$60*(8^2)+'LINEST VARS'!$N$60*(8^2)+'LINEST VARS'!$M$60*($BD$80^2)+'LINEST VARS'!$L$60*($AZ85^2)+'LINEST VARS'!$K$60*(12.73^2)+'LINEST VARS'!$J$60*(8*8)+'LINEST VARS'!$I$60*(8*$BD$80)+'LINEST VARS'!$H$60*(8*$AZ85)+'LINEST VARS'!$G$60*(8*12.73)+'LINEST VARS'!$F$60*(8*$BD$80)+'LINEST VARS'!$E$60*(8*$AZ85)+'LINEST VARS'!$D$60*(8*12.73)+'LINEST VARS'!$C$60*($BD$80*$AZ85)+'LINEST VARS'!$B$60*($BD$80*12.73)+'LINEST VARS'!$A$60*($AZ85*12.73)</f>
        <v>40.460000000000008</v>
      </c>
      <c r="BE85" s="46">
        <f>'LINEST VARS'!$U$60+'LINEST VARS'!$T$60*(8)+'LINEST VARS'!$S$60*(8)+'LINEST VARS'!$R$60*($BE$80)+'LINEST VARS'!$Q$60*($AZ85)+'LINEST VARS'!$P$60*(12.73)+'LINEST VARS'!$O$60*(8^2)+'LINEST VARS'!$N$60*(8^2)+'LINEST VARS'!$M$60*($BE$80^2)+'LINEST VARS'!$L$60*($AZ85^2)+'LINEST VARS'!$K$60*(12.73^2)+'LINEST VARS'!$J$60*(8*8)+'LINEST VARS'!$I$60*(8*$BE$80)+'LINEST VARS'!$H$60*(8*$AZ85)+'LINEST VARS'!$G$60*(8*12.73)+'LINEST VARS'!$F$60*(8*$BE$80)+'LINEST VARS'!$E$60*(8*$AZ85)+'LINEST VARS'!$D$60*(8*12.73)+'LINEST VARS'!$C$60*($BE$80*$AZ85)+'LINEST VARS'!$B$60*($BE$80*12.73)+'LINEST VARS'!$A$60*($AZ85*12.73)</f>
        <v>40.46</v>
      </c>
      <c r="BF85" s="46">
        <f>'LINEST VARS'!$U$60+'LINEST VARS'!$T$60*(8)+'LINEST VARS'!$S$60*(8)+'LINEST VARS'!$R$60*($BF$80)+'LINEST VARS'!$Q$60*($AZ85)+'LINEST VARS'!$P$60*(12.73)+'LINEST VARS'!$O$60*(8^2)+'LINEST VARS'!$N$60*(8^2)+'LINEST VARS'!$M$60*($BF$80^2)+'LINEST VARS'!$L$60*($AZ85^2)+'LINEST VARS'!$K$60*(12.73^2)+'LINEST VARS'!$J$60*(8*8)+'LINEST VARS'!$I$60*(8*$BF$80)+'LINEST VARS'!$H$60*(8*$AZ85)+'LINEST VARS'!$G$60*(8*12.73)+'LINEST VARS'!$F$60*(8*$BF$80)+'LINEST VARS'!$E$60*(8*$AZ85)+'LINEST VARS'!$D$60*(8*12.73)+'LINEST VARS'!$C$60*($BF$80*$AZ85)+'LINEST VARS'!$B$60*($BF$80*12.73)+'LINEST VARS'!$A$60*($AZ85*12.73)</f>
        <v>40.46</v>
      </c>
      <c r="BG85" s="46">
        <f>'LINEST VARS'!$U$60+'LINEST VARS'!$T$60*(8)+'LINEST VARS'!$S$60*(8)+'LINEST VARS'!$R$60*($BG$80)+'LINEST VARS'!$Q$60*($AZ85)+'LINEST VARS'!$P$60*(12.73)+'LINEST VARS'!$O$60*(8^2)+'LINEST VARS'!$N$60*(8^2)+'LINEST VARS'!$M$60*($BG$80^2)+'LINEST VARS'!$L$60*($AZ85^2)+'LINEST VARS'!$K$60*(12.73^2)+'LINEST VARS'!$J$60*(8*8)+'LINEST VARS'!$I$60*(8*$BG$80)+'LINEST VARS'!$H$60*(8*$AZ85)+'LINEST VARS'!$G$60*(8*12.73)+'LINEST VARS'!$F$60*(8*$BG$80)+'LINEST VARS'!$E$60*(8*$AZ85)+'LINEST VARS'!$D$60*(8*12.73)+'LINEST VARS'!$C$60*($BG$80*$AZ85)+'LINEST VARS'!$B$60*($BG$80*12.73)+'LINEST VARS'!$A$60*($AZ85*12.73)</f>
        <v>40.46</v>
      </c>
      <c r="BH85" s="46">
        <f>'LINEST VARS'!$U$60+'LINEST VARS'!$T$60*(8)+'LINEST VARS'!$S$60*(8)+'LINEST VARS'!$R$60*($BH$80)+'LINEST VARS'!$Q$60*($AZ85)+'LINEST VARS'!$P$60*(12.73)+'LINEST VARS'!$O$60*(8^2)+'LINEST VARS'!$N$60*(8^2)+'LINEST VARS'!$M$60*($BH$80^2)+'LINEST VARS'!$L$60*($AZ85^2)+'LINEST VARS'!$K$60*(12.73^2)+'LINEST VARS'!$J$60*(8*8)+'LINEST VARS'!$I$60*(8*$BH$80)+'LINEST VARS'!$H$60*(8*$AZ85)+'LINEST VARS'!$G$60*(8*12.73)+'LINEST VARS'!$F$60*(8*$BH$80)+'LINEST VARS'!$E$60*(8*$AZ85)+'LINEST VARS'!$D$60*(8*12.73)+'LINEST VARS'!$C$60*($BH$80*$AZ85)+'LINEST VARS'!$B$60*($BH$80*12.73)+'LINEST VARS'!$A$60*($AZ85*12.73)</f>
        <v>40.46</v>
      </c>
      <c r="BI85" s="46">
        <f>'LINEST VARS'!$U$60+'LINEST VARS'!$T$60*(8)+'LINEST VARS'!$S$60*(8)+'LINEST VARS'!$R$60*($BI$80)+'LINEST VARS'!$Q$60*($AZ85)+'LINEST VARS'!$P$60*(12.73)+'LINEST VARS'!$O$60*(8^2)+'LINEST VARS'!$N$60*(8^2)+'LINEST VARS'!$M$60*($BI$80^2)+'LINEST VARS'!$L$60*($AZ85^2)+'LINEST VARS'!$K$60*(12.73^2)+'LINEST VARS'!$J$60*(8*8)+'LINEST VARS'!$I$60*(8*$BI$80)+'LINEST VARS'!$H$60*(8*$AZ85)+'LINEST VARS'!$G$60*(8*12.73)+'LINEST VARS'!$F$60*(8*$BI$80)+'LINEST VARS'!$E$60*(8*$AZ85)+'LINEST VARS'!$D$60*(8*12.73)+'LINEST VARS'!$C$60*($BI$80*$AZ85)+'LINEST VARS'!$B$60*($BI$80*12.73)+'LINEST VARS'!$A$60*($AZ85*12.73)</f>
        <v>40.46</v>
      </c>
      <c r="BJ85" s="46">
        <f>'LINEST VARS'!$U$60+'LINEST VARS'!$T$60*(8)+'LINEST VARS'!$S$60*(8)+'LINEST VARS'!$R$60*($BJ$80)+'LINEST VARS'!$Q$60*($AZ85)+'LINEST VARS'!$P$60*(12.73)+'LINEST VARS'!$O$60*(8^2)+'LINEST VARS'!$N$60*(8^2)+'LINEST VARS'!$M$60*($BJ$80^2)+'LINEST VARS'!$L$60*($AZ85^2)+'LINEST VARS'!$K$60*(12.73^2)+'LINEST VARS'!$J$60*(8*8)+'LINEST VARS'!$I$60*(8*$BJ$80)+'LINEST VARS'!$H$60*(8*$AZ85)+'LINEST VARS'!$G$60*(8*12.73)+'LINEST VARS'!$F$60*(8*$BJ$80)+'LINEST VARS'!$E$60*(8*$AZ85)+'LINEST VARS'!$D$60*(8*12.73)+'LINEST VARS'!$C$60*($BJ$80*$AZ85)+'LINEST VARS'!$B$60*($BJ$80*12.73)+'LINEST VARS'!$A$60*($AZ85*12.73)</f>
        <v>40.460000000000008</v>
      </c>
      <c r="BK85" s="46">
        <f>'LINEST VARS'!$U$60+'LINEST VARS'!$T$60*(8)+'LINEST VARS'!$S$60*(8)+'LINEST VARS'!$R$60*($BK$80)+'LINEST VARS'!$Q$60*($AZ85)+'LINEST VARS'!$P$60*(12.73)+'LINEST VARS'!$O$60*(8^2)+'LINEST VARS'!$N$60*(8^2)+'LINEST VARS'!$M$60*($BK$80^2)+'LINEST VARS'!$L$60*($AZ85^2)+'LINEST VARS'!$K$60*(12.73^2)+'LINEST VARS'!$J$60*(8*8)+'LINEST VARS'!$I$60*(8*$BK$80)+'LINEST VARS'!$H$60*(8*$AZ85)+'LINEST VARS'!$G$60*(8*12.73)+'LINEST VARS'!$F$60*(8*$BK$80)+'LINEST VARS'!$E$60*(8*$AZ85)+'LINEST VARS'!$D$60*(8*12.73)+'LINEST VARS'!$C$60*($BK$80*$AZ85)+'LINEST VARS'!$B$60*($BK$80*12.73)+'LINEST VARS'!$A$60*($AZ85*12.73)</f>
        <v>40.460000000000008</v>
      </c>
      <c r="BL85" s="46">
        <f>'LINEST VARS'!$U$60+'LINEST VARS'!$T$60*(8)+'LINEST VARS'!$S$60*(8)+'LINEST VARS'!$R$60*($BL$80)+'LINEST VARS'!$Q$60*($AZ85)+'LINEST VARS'!$P$60*(12.73)+'LINEST VARS'!$O$60*(8^2)+'LINEST VARS'!$N$60*(8^2)+'LINEST VARS'!$M$60*($BL$80^2)+'LINEST VARS'!$L$60*($AZ85^2)+'LINEST VARS'!$K$60*(12.73^2)+'LINEST VARS'!$J$60*(8*8)+'LINEST VARS'!$I$60*(8*$BL$80)+'LINEST VARS'!$H$60*(8*$AZ85)+'LINEST VARS'!$G$60*(8*12.73)+'LINEST VARS'!$F$60*(8*$BL$80)+'LINEST VARS'!$E$60*(8*$AZ85)+'LINEST VARS'!$D$60*(8*12.73)+'LINEST VARS'!$C$60*($BL$80*$AZ85)+'LINEST VARS'!$B$60*($BL$80*12.73)+'LINEST VARS'!$A$60*($AZ85*12.73)</f>
        <v>40.46</v>
      </c>
      <c r="BM85" s="46">
        <f>'LINEST VARS'!$U$60+'LINEST VARS'!$T$60*(8)+'LINEST VARS'!$S$60*(8)+'LINEST VARS'!$R$60*($BM$80)+'LINEST VARS'!$Q$60*($AZ85)+'LINEST VARS'!$P$60*(12.73)+'LINEST VARS'!$O$60*(8^2)+'LINEST VARS'!$N$60*(8^2)+'LINEST VARS'!$M$60*($BM$80^2)+'LINEST VARS'!$L$60*($AZ85^2)+'LINEST VARS'!$K$60*(12.73^2)+'LINEST VARS'!$J$60*(8*8)+'LINEST VARS'!$I$60*(8*$BM$80)+'LINEST VARS'!$H$60*(8*$AZ85)+'LINEST VARS'!$G$60*(8*12.73)+'LINEST VARS'!$F$60*(8*$BM$80)+'LINEST VARS'!$E$60*(8*$AZ85)+'LINEST VARS'!$D$60*(8*12.73)+'LINEST VARS'!$C$60*($BM$80*$AZ85)+'LINEST VARS'!$B$60*($BM$80*12.73)+'LINEST VARS'!$A$60*($AZ85*12.73)</f>
        <v>40.460000000000008</v>
      </c>
      <c r="BN85" s="46">
        <f>'LINEST VARS'!$U$60+'LINEST VARS'!$T$60*(8)+'LINEST VARS'!$S$60*(8)+'LINEST VARS'!$R$60*($BN$80)+'LINEST VARS'!$Q$60*($AZ85)+'LINEST VARS'!$P$60*(12.73)+'LINEST VARS'!$O$60*(8^2)+'LINEST VARS'!$N$60*(8^2)+'LINEST VARS'!$M$60*($BN$80^2)+'LINEST VARS'!$L$60*($AZ85^2)+'LINEST VARS'!$K$60*(12.73^2)+'LINEST VARS'!$J$60*(8*8)+'LINEST VARS'!$I$60*(8*$BN$80)+'LINEST VARS'!$H$60*(8*$AZ85)+'LINEST VARS'!$G$60*(8*12.73)+'LINEST VARS'!$F$60*(8*$BN$80)+'LINEST VARS'!$E$60*(8*$AZ85)+'LINEST VARS'!$D$60*(8*12.73)+'LINEST VARS'!$C$60*($BN$80*$AZ85)+'LINEST VARS'!$B$60*($BN$80*12.73)+'LINEST VARS'!$A$60*($AZ85*12.73)</f>
        <v>40.46</v>
      </c>
      <c r="BO85" s="46">
        <f>'LINEST VARS'!$U$60+'LINEST VARS'!$T$60*(8)+'LINEST VARS'!$S$60*(8)+'LINEST VARS'!$R$60*($BO$80)+'LINEST VARS'!$Q$60*($AZ85)+'LINEST VARS'!$P$60*(12.73)+'LINEST VARS'!$O$60*(8^2)+'LINEST VARS'!$N$60*(8^2)+'LINEST VARS'!$M$60*($BO$80^2)+'LINEST VARS'!$L$60*($AZ85^2)+'LINEST VARS'!$K$60*(12.73^2)+'LINEST VARS'!$J$60*(8*8)+'LINEST VARS'!$I$60*(8*$BO$80)+'LINEST VARS'!$H$60*(8*$AZ85)+'LINEST VARS'!$G$60*(8*12.73)+'LINEST VARS'!$F$60*(8*$BO$80)+'LINEST VARS'!$E$60*(8*$AZ85)+'LINEST VARS'!$D$60*(8*12.73)+'LINEST VARS'!$C$60*($BO$80*$AZ85)+'LINEST VARS'!$B$60*($BO$80*12.73)+'LINEST VARS'!$A$60*($AZ85*12.73)</f>
        <v>40.46</v>
      </c>
      <c r="BP85" s="46">
        <f>'LINEST VARS'!$U$60+'LINEST VARS'!$T$60*(8)+'LINEST VARS'!$S$60*(8)+'LINEST VARS'!$R$60*($BP$80)+'LINEST VARS'!$Q$60*($AZ85)+'LINEST VARS'!$P$60*(12.73)+'LINEST VARS'!$O$60*(8^2)+'LINEST VARS'!$N$60*(8^2)+'LINEST VARS'!$M$60*($BP$80^2)+'LINEST VARS'!$L$60*($AZ85^2)+'LINEST VARS'!$K$60*(12.73^2)+'LINEST VARS'!$J$60*(8*8)+'LINEST VARS'!$I$60*(8*$BP$80)+'LINEST VARS'!$H$60*(8*$AZ85)+'LINEST VARS'!$G$60*(8*12.73)+'LINEST VARS'!$F$60*(8*$BP$80)+'LINEST VARS'!$E$60*(8*$AZ85)+'LINEST VARS'!$D$60*(8*12.73)+'LINEST VARS'!$C$60*($BP$80*$AZ85)+'LINEST VARS'!$B$60*($BP$80*12.73)+'LINEST VARS'!$A$60*($AZ85*12.73)</f>
        <v>40.46</v>
      </c>
      <c r="BQ85" s="46">
        <f>'LINEST VARS'!$U$60+'LINEST VARS'!$T$60*(8)+'LINEST VARS'!$S$60*(8)+'LINEST VARS'!$R$60*($BQ$80)+'LINEST VARS'!$Q$60*($AZ85)+'LINEST VARS'!$P$60*(12.73)+'LINEST VARS'!$O$60*(8^2)+'LINEST VARS'!$N$60*(8^2)+'LINEST VARS'!$M$60*($BQ$80^2)+'LINEST VARS'!$L$60*($AZ85^2)+'LINEST VARS'!$K$60*(12.73^2)+'LINEST VARS'!$J$60*(8*8)+'LINEST VARS'!$I$60*(8*$BQ$80)+'LINEST VARS'!$H$60*(8*$AZ85)+'LINEST VARS'!$G$60*(8*12.73)+'LINEST VARS'!$F$60*(8*$BQ$80)+'LINEST VARS'!$E$60*(8*$AZ85)+'LINEST VARS'!$D$60*(8*12.73)+'LINEST VARS'!$C$60*($BQ$80*$AZ85)+'LINEST VARS'!$B$60*($BQ$80*12.73)+'LINEST VARS'!$A$60*($AZ85*12.73)</f>
        <v>40.460000000000008</v>
      </c>
      <c r="BR85" s="46">
        <f>'LINEST VARS'!$U$60+'LINEST VARS'!$T$60*(8)+'LINEST VARS'!$S$60*(8)+'LINEST VARS'!$R$60*($BR$80)+'LINEST VARS'!$Q$60*($AZ85)+'LINEST VARS'!$P$60*(12.73)+'LINEST VARS'!$O$60*(8^2)+'LINEST VARS'!$N$60*(8^2)+'LINEST VARS'!$M$60*($BR$80^2)+'LINEST VARS'!$L$60*($AZ85^2)+'LINEST VARS'!$K$60*(12.73^2)+'LINEST VARS'!$J$60*(8*8)+'LINEST VARS'!$I$60*(8*$BR$80)+'LINEST VARS'!$H$60*(8*$AZ85)+'LINEST VARS'!$G$60*(8*12.73)+'LINEST VARS'!$F$60*(8*$BR$80)+'LINEST VARS'!$E$60*(8*$AZ85)+'LINEST VARS'!$D$60*(8*12.73)+'LINEST VARS'!$C$60*($BR$80*$AZ85)+'LINEST VARS'!$B$60*($BR$80*12.73)+'LINEST VARS'!$A$60*($AZ85*12.73)</f>
        <v>40.460000000000008</v>
      </c>
      <c r="BS85" s="46">
        <f>'LINEST VARS'!$U$60+'LINEST VARS'!$T$60*(8)+'LINEST VARS'!$S$60*(8)+'LINEST VARS'!$R$60*($BS$80)+'LINEST VARS'!$Q$60*($AZ85)+'LINEST VARS'!$P$60*(12.73)+'LINEST VARS'!$O$60*(8^2)+'LINEST VARS'!$N$60*(8^2)+'LINEST VARS'!$M$60*($BS$80^2)+'LINEST VARS'!$L$60*($AZ85^2)+'LINEST VARS'!$K$60*(12.73^2)+'LINEST VARS'!$J$60*(8*8)+'LINEST VARS'!$I$60*(8*$BS$80)+'LINEST VARS'!$H$60*(8*$AZ85)+'LINEST VARS'!$G$60*(8*12.73)+'LINEST VARS'!$F$60*(8*$BS$80)+'LINEST VARS'!$E$60*(8*$AZ85)+'LINEST VARS'!$D$60*(8*12.73)+'LINEST VARS'!$C$60*($BS$80*$AZ85)+'LINEST VARS'!$B$60*($BS$80*12.73)+'LINEST VARS'!$A$60*($AZ85*12.73)</f>
        <v>40.46</v>
      </c>
      <c r="BT85" s="46">
        <f>'LINEST VARS'!$U$60+'LINEST VARS'!$T$60*(8)+'LINEST VARS'!$S$60*(8)+'LINEST VARS'!$R$60*($BT$80)+'LINEST VARS'!$Q$60*($AZ85)+'LINEST VARS'!$P$60*(12.73)+'LINEST VARS'!$O$60*(8^2)+'LINEST VARS'!$N$60*(8^2)+'LINEST VARS'!$M$60*($BT$80^2)+'LINEST VARS'!$L$60*($AZ85^2)+'LINEST VARS'!$K$60*(12.73^2)+'LINEST VARS'!$J$60*(8*8)+'LINEST VARS'!$I$60*(8*$BT$80)+'LINEST VARS'!$H$60*(8*$AZ85)+'LINEST VARS'!$G$60*(8*12.73)+'LINEST VARS'!$F$60*(8*$BT$80)+'LINEST VARS'!$E$60*(8*$AZ85)+'LINEST VARS'!$D$60*(8*12.73)+'LINEST VARS'!$C$60*($BT$80*$AZ85)+'LINEST VARS'!$B$60*($BT$80*12.73)+'LINEST VARS'!$A$60*($AZ85*12.73)</f>
        <v>40.460000000000008</v>
      </c>
      <c r="BU85" s="47">
        <f>'LINEST VARS'!$U$60+'LINEST VARS'!$T$60*(8)+'LINEST VARS'!$S$60*(8)+'LINEST VARS'!$R$60*($BU$80)+'LINEST VARS'!$Q$60*($AZ85)+'LINEST VARS'!$P$60*(12.73)+'LINEST VARS'!$O$60*(8^2)+'LINEST VARS'!$N$60*(8^2)+'LINEST VARS'!$M$60*($BU$80^2)+'LINEST VARS'!$L$60*($AZ85^2)+'LINEST VARS'!$K$60*(12.73^2)+'LINEST VARS'!$J$60*(8*8)+'LINEST VARS'!$I$60*(8*$BU$80)+'LINEST VARS'!$H$60*(8*$AZ85)+'LINEST VARS'!$G$60*(8*12.73)+'LINEST VARS'!$F$60*(8*$BU$80)+'LINEST VARS'!$E$60*(8*$AZ85)+'LINEST VARS'!$D$60*(8*12.73)+'LINEST VARS'!$C$60*($BU$80*$AZ85)+'LINEST VARS'!$B$60*($BU$80*12.73)+'LINEST VARS'!$A$60*($AZ85*12.73)</f>
        <v>40.460000000000008</v>
      </c>
      <c r="BX85" s="45">
        <v>0.2</v>
      </c>
      <c r="BY85" s="55">
        <f>'LINEST VARS'!$U$62+'LINEST VARS'!$T$62*(8)+'LINEST VARS'!$S$62*(8)+'LINEST VARS'!$R$62*($BY$80)+'LINEST VARS'!$Q$62*($BX85)+'LINEST VARS'!$P$62*(12.73)+'LINEST VARS'!$O$62*(8^2)+'LINEST VARS'!$N$62*(8^2)+'LINEST VARS'!$M$62*($BY$80^2)+'LINEST VARS'!$L$62*($BX85^2)+'LINEST VARS'!$K$62*(12.73^2)+'LINEST VARS'!$J$62*(8*8)+'LINEST VARS'!$I$62*(8*$BY$80)+'LINEST VARS'!$H$62*(8*$BX85)+'LINEST VARS'!$G$62*(8*12.73)+'LINEST VARS'!$F$62*(8*$BY$80)+'LINEST VARS'!$E$62*(8*$BX85)+'LINEST VARS'!$D$62*(8*12.73)+'LINEST VARS'!$C$62*($BY$80*$BX85)+'LINEST VARS'!$B$62*($BY$80*12.73)+'LINEST VARS'!$A$62*($BX85*12.73)</f>
        <v>349.9199999999999</v>
      </c>
      <c r="BZ85" s="55">
        <f>'LINEST VARS'!$U$62+'LINEST VARS'!$T$62*(8)+'LINEST VARS'!$S$62*(8)+'LINEST VARS'!$R$62*($BZ$80)+'LINEST VARS'!$Q$62*($BX85)+'LINEST VARS'!$P$62*(12.73)+'LINEST VARS'!$O$62*(8^2)+'LINEST VARS'!$N$62*(8^2)+'LINEST VARS'!$M$62*($BZ$80^2)+'LINEST VARS'!$L$62*($BX85^2)+'LINEST VARS'!$K$62*(12.73^2)+'LINEST VARS'!$J$62*(8*8)+'LINEST VARS'!$I$62*(8*$BZ$80)+'LINEST VARS'!$H$62*(8*$BX85)+'LINEST VARS'!$G$62*(8*12.73)+'LINEST VARS'!$F$62*(8*$BZ$80)+'LINEST VARS'!$E$62*(8*$BX85)+'LINEST VARS'!$D$62*(8*12.73)+'LINEST VARS'!$C$62*($BZ$80*$BX85)+'LINEST VARS'!$B$62*($BZ$80*12.73)+'LINEST VARS'!$A$62*($BX85*12.73)</f>
        <v>349.11999999999995</v>
      </c>
      <c r="CA85" s="55">
        <f>'LINEST VARS'!$U$62+'LINEST VARS'!$T$62*(8)+'LINEST VARS'!$S$62*(8)+'LINEST VARS'!$R$62*($CA$80)+'LINEST VARS'!$Q$62*($BX85)+'LINEST VARS'!$P$62*(12.73)+'LINEST VARS'!$O$62*(8^2)+'LINEST VARS'!$N$62*(8^2)+'LINEST VARS'!$M$62*($CA$80^2)+'LINEST VARS'!$L$62*($BX85^2)+'LINEST VARS'!$K$62*(12.73^2)+'LINEST VARS'!$J$62*(8*8)+'LINEST VARS'!$I$62*(8*$CA$80)+'LINEST VARS'!$H$62*(8*$BX85)+'LINEST VARS'!$G$62*(8*12.73)+'LINEST VARS'!$F$62*(8*$CA$80)+'LINEST VARS'!$E$62*(8*$BX85)+'LINEST VARS'!$D$62*(8*12.73)+'LINEST VARS'!$C$62*($CA$80*$BX85)+'LINEST VARS'!$B$62*($CA$80*12.73)+'LINEST VARS'!$A$62*($BX85*12.73)</f>
        <v>346.71999999999986</v>
      </c>
      <c r="CB85" s="55">
        <f>'LINEST VARS'!$U$62+'LINEST VARS'!$T$62*(8)+'LINEST VARS'!$S$62*(8)+'LINEST VARS'!$R$62*($CB$80)+'LINEST VARS'!$Q$62*($BX85)+'LINEST VARS'!$P$62*(12.73)+'LINEST VARS'!$O$62*(8^2)+'LINEST VARS'!$N$62*(8^2)+'LINEST VARS'!$M$62*($CB$80^2)+'LINEST VARS'!$L$62*($BX85^2)+'LINEST VARS'!$K$62*(12.73^2)+'LINEST VARS'!$J$62*(8*8)+'LINEST VARS'!$I$62*(8*$CB$80)+'LINEST VARS'!$H$62*(8*$BX85)+'LINEST VARS'!$G$62*(8*12.73)+'LINEST VARS'!$F$62*(8*$CB$80)+'LINEST VARS'!$E$62*(8*$BX85)+'LINEST VARS'!$D$62*(8*12.73)+'LINEST VARS'!$C$62*($CB$80*$BX85)+'LINEST VARS'!$B$62*($CB$80*12.73)+'LINEST VARS'!$A$62*($BX85*12.73)</f>
        <v>342.71999999999991</v>
      </c>
      <c r="CC85" s="55">
        <f>'LINEST VARS'!$U$62+'LINEST VARS'!$T$62*(8)+'LINEST VARS'!$S$62*(8)+'LINEST VARS'!$R$62*($CC$80)+'LINEST VARS'!$Q$62*($BX85)+'LINEST VARS'!$P$62*(12.73)+'LINEST VARS'!$O$62*(8^2)+'LINEST VARS'!$N$62*(8^2)+'LINEST VARS'!$M$62*($CC$80^2)+'LINEST VARS'!$L$62*($BX85^2)+'LINEST VARS'!$K$62*(12.73^2)+'LINEST VARS'!$J$62*(8*8)+'LINEST VARS'!$I$62*(8*$CC$80)+'LINEST VARS'!$H$62*(8*$BX85)+'LINEST VARS'!$G$62*(8*12.73)+'LINEST VARS'!$F$62*(8*$CC$80)+'LINEST VARS'!$E$62*(8*$BX85)+'LINEST VARS'!$D$62*(8*12.73)+'LINEST VARS'!$C$62*($CC$80*$BX85)+'LINEST VARS'!$B$62*($CC$80*12.73)+'LINEST VARS'!$A$62*($BX85*12.73)</f>
        <v>337.11999999999995</v>
      </c>
      <c r="CD85" s="55">
        <f>'LINEST VARS'!$U$62+'LINEST VARS'!$T$62*(8)+'LINEST VARS'!$S$62*(8)+'LINEST VARS'!$R$62*($CD$80)+'LINEST VARS'!$Q$62*($BX85)+'LINEST VARS'!$P$62*(12.73)+'LINEST VARS'!$O$62*(8^2)+'LINEST VARS'!$N$62*(8^2)+'LINEST VARS'!$M$62*($CD$80^2)+'LINEST VARS'!$L$62*($BX85^2)+'LINEST VARS'!$K$62*(12.73^2)+'LINEST VARS'!$J$62*(8*8)+'LINEST VARS'!$I$62*(8*$CD$80)+'LINEST VARS'!$H$62*(8*$BX85)+'LINEST VARS'!$G$62*(8*12.73)+'LINEST VARS'!$F$62*(8*$CD$80)+'LINEST VARS'!$E$62*(8*$BX85)+'LINEST VARS'!$D$62*(8*12.73)+'LINEST VARS'!$C$62*($CD$80*$BX85)+'LINEST VARS'!$B$62*($CD$80*12.73)+'LINEST VARS'!$A$62*($BX85*12.73)</f>
        <v>329.92</v>
      </c>
      <c r="CE85" s="55">
        <f>'LINEST VARS'!$U$62+'LINEST VARS'!$T$62*(8)+'LINEST VARS'!$S$62*(8)+'LINEST VARS'!$R$62*($CE$80)+'LINEST VARS'!$Q$62*($BX85)+'LINEST VARS'!$P$62*(12.73)+'LINEST VARS'!$O$62*(8^2)+'LINEST VARS'!$N$62*(8^2)+'LINEST VARS'!$M$62*($CE$80^2)+'LINEST VARS'!$L$62*($BX85^2)+'LINEST VARS'!$K$62*(12.73^2)+'LINEST VARS'!$J$62*(8*8)+'LINEST VARS'!$I$62*(8*$CE$80)+'LINEST VARS'!$H$62*(8*$BX85)+'LINEST VARS'!$G$62*(8*12.73)+'LINEST VARS'!$F$62*(8*$CE$80)+'LINEST VARS'!$E$62*(8*$BX85)+'LINEST VARS'!$D$62*(8*12.73)+'LINEST VARS'!$C$62*($CE$80*$BX85)+'LINEST VARS'!$B$62*($CE$80*12.73)+'LINEST VARS'!$A$62*($BX85*12.73)</f>
        <v>321.11999999999995</v>
      </c>
      <c r="CF85" s="55">
        <f>'LINEST VARS'!$U$62+'LINEST VARS'!$T$62*(8)+'LINEST VARS'!$S$62*(8)+'LINEST VARS'!$R$62*($CF$80)+'LINEST VARS'!$Q$62*($BX85)+'LINEST VARS'!$P$62*(12.73)+'LINEST VARS'!$O$62*(8^2)+'LINEST VARS'!$N$62*(8^2)+'LINEST VARS'!$M$62*($CF$80^2)+'LINEST VARS'!$L$62*($BX85^2)+'LINEST VARS'!$K$62*(12.73^2)+'LINEST VARS'!$J$62*(8*8)+'LINEST VARS'!$I$62*(8*$CF$80)+'LINEST VARS'!$H$62*(8*$BX85)+'LINEST VARS'!$G$62*(8*12.73)+'LINEST VARS'!$F$62*(8*$CF$80)+'LINEST VARS'!$E$62*(8*$BX85)+'LINEST VARS'!$D$62*(8*12.73)+'LINEST VARS'!$C$62*($CF$80*$BX85)+'LINEST VARS'!$B$62*($CF$80*12.73)+'LINEST VARS'!$A$62*($BX85*12.73)</f>
        <v>310.71999999999991</v>
      </c>
      <c r="CG85" s="55">
        <f>'LINEST VARS'!$U$62+'LINEST VARS'!$T$62*(8)+'LINEST VARS'!$S$62*(8)+'LINEST VARS'!$R$62*($CG$80)+'LINEST VARS'!$Q$62*($BX85)+'LINEST VARS'!$P$62*(12.73)+'LINEST VARS'!$O$62*(8^2)+'LINEST VARS'!$N$62*(8^2)+'LINEST VARS'!$M$62*($CG$80^2)+'LINEST VARS'!$L$62*($BX85^2)+'LINEST VARS'!$K$62*(12.73^2)+'LINEST VARS'!$J$62*(8*8)+'LINEST VARS'!$I$62*(8*$CG$80)+'LINEST VARS'!$H$62*(8*$BX85)+'LINEST VARS'!$G$62*(8*12.73)+'LINEST VARS'!$F$62*(8*$CG$80)+'LINEST VARS'!$E$62*(8*$BX85)+'LINEST VARS'!$D$62*(8*12.73)+'LINEST VARS'!$C$62*($CG$80*$BX85)+'LINEST VARS'!$B$62*($CG$80*12.73)+'LINEST VARS'!$A$62*($BX85*12.73)</f>
        <v>298.71999999999997</v>
      </c>
      <c r="CH85" s="55">
        <f>'LINEST VARS'!$U$62+'LINEST VARS'!$T$62*(8)+'LINEST VARS'!$S$62*(8)+'LINEST VARS'!$R$62*($CH$80)+'LINEST VARS'!$Q$62*($BX85)+'LINEST VARS'!$P$62*(12.73)+'LINEST VARS'!$O$62*(8^2)+'LINEST VARS'!$N$62*(8^2)+'LINEST VARS'!$M$62*($CH$80^2)+'LINEST VARS'!$L$62*($BX85^2)+'LINEST VARS'!$K$62*(12.73^2)+'LINEST VARS'!$J$62*(8*8)+'LINEST VARS'!$I$62*(8*$CH$80)+'LINEST VARS'!$H$62*(8*$BX85)+'LINEST VARS'!$G$62*(8*12.73)+'LINEST VARS'!$F$62*(8*$CH$80)+'LINEST VARS'!$E$62*(8*$BX85)+'LINEST VARS'!$D$62*(8*12.73)+'LINEST VARS'!$C$62*($CH$80*$BX85)+'LINEST VARS'!$B$62*($CH$80*12.73)+'LINEST VARS'!$A$62*($BX85*12.73)</f>
        <v>285.11999999999995</v>
      </c>
      <c r="CI85" s="55">
        <f>'LINEST VARS'!$U$62+'LINEST VARS'!$T$62*(8)+'LINEST VARS'!$S$62*(8)+'LINEST VARS'!$R$62*($CI$80)+'LINEST VARS'!$Q$62*($BX85)+'LINEST VARS'!$P$62*(12.73)+'LINEST VARS'!$O$62*(8^2)+'LINEST VARS'!$N$62*(8^2)+'LINEST VARS'!$M$62*($CI$80^2)+'LINEST VARS'!$L$62*($BX85^2)+'LINEST VARS'!$K$62*(12.73^2)+'LINEST VARS'!$J$62*(8*8)+'LINEST VARS'!$I$62*(8*$CI$80)+'LINEST VARS'!$H$62*(8*$BX85)+'LINEST VARS'!$G$62*(8*12.73)+'LINEST VARS'!$F$62*(8*$CI$80)+'LINEST VARS'!$E$62*(8*$BX85)+'LINEST VARS'!$D$62*(8*12.73)+'LINEST VARS'!$C$62*($CI$80*$BX85)+'LINEST VARS'!$B$62*($CI$80*12.73)+'LINEST VARS'!$A$62*($BX85*12.73)</f>
        <v>269.91999999999996</v>
      </c>
      <c r="CJ85" s="55">
        <f>'LINEST VARS'!$U$62+'LINEST VARS'!$T$62*(8)+'LINEST VARS'!$S$62*(8)+'LINEST VARS'!$R$62*($CJ$80)+'LINEST VARS'!$Q$62*($BX85)+'LINEST VARS'!$P$62*(12.73)+'LINEST VARS'!$O$62*(8^2)+'LINEST VARS'!$N$62*(8^2)+'LINEST VARS'!$M$62*($CJ$80^2)+'LINEST VARS'!$L$62*($BX85^2)+'LINEST VARS'!$K$62*(12.73^2)+'LINEST VARS'!$J$62*(8*8)+'LINEST VARS'!$I$62*(8*$CJ$80)+'LINEST VARS'!$H$62*(8*$BX85)+'LINEST VARS'!$G$62*(8*12.73)+'LINEST VARS'!$F$62*(8*$CJ$80)+'LINEST VARS'!$E$62*(8*$BX85)+'LINEST VARS'!$D$62*(8*12.73)+'LINEST VARS'!$C$62*($CJ$80*$BX85)+'LINEST VARS'!$B$62*($CJ$80*12.73)+'LINEST VARS'!$A$62*($BX85*12.73)</f>
        <v>253.12000000000003</v>
      </c>
      <c r="CK85" s="55">
        <f>'LINEST VARS'!$U$62+'LINEST VARS'!$T$62*(8)+'LINEST VARS'!$S$62*(8)+'LINEST VARS'!$R$62*($CK$80)+'LINEST VARS'!$Q$62*($BX85)+'LINEST VARS'!$P$62*(12.73)+'LINEST VARS'!$O$62*(8^2)+'LINEST VARS'!$N$62*(8^2)+'LINEST VARS'!$M$62*($CK$80^2)+'LINEST VARS'!$L$62*($BX85^2)+'LINEST VARS'!$K$62*(12.73^2)+'LINEST VARS'!$J$62*(8*8)+'LINEST VARS'!$I$62*(8*$CK$80)+'LINEST VARS'!$H$62*(8*$BX85)+'LINEST VARS'!$G$62*(8*12.73)+'LINEST VARS'!$F$62*(8*$CK$80)+'LINEST VARS'!$E$62*(8*$BX85)+'LINEST VARS'!$D$62*(8*12.73)+'LINEST VARS'!$C$62*($CK$80*$BX85)+'LINEST VARS'!$B$62*($CK$80*12.73)+'LINEST VARS'!$A$62*($BX85*12.73)</f>
        <v>234.72000000000008</v>
      </c>
      <c r="CL85" s="55">
        <f>'LINEST VARS'!$U$62+'LINEST VARS'!$T$62*(8)+'LINEST VARS'!$S$62*(8)+'LINEST VARS'!$R$62*($CL$80)+'LINEST VARS'!$Q$62*($BX85)+'LINEST VARS'!$P$62*(12.73)+'LINEST VARS'!$O$62*(8^2)+'LINEST VARS'!$N$62*(8^2)+'LINEST VARS'!$M$62*($CL$80^2)+'LINEST VARS'!$L$62*($BX85^2)+'LINEST VARS'!$K$62*(12.73^2)+'LINEST VARS'!$J$62*(8*8)+'LINEST VARS'!$I$62*(8*$CL$80)+'LINEST VARS'!$H$62*(8*$BX85)+'LINEST VARS'!$G$62*(8*12.73)+'LINEST VARS'!$F$62*(8*$CL$80)+'LINEST VARS'!$E$62*(8*$BX85)+'LINEST VARS'!$D$62*(8*12.73)+'LINEST VARS'!$C$62*($CL$80*$BX85)+'LINEST VARS'!$B$62*($CL$80*12.73)+'LINEST VARS'!$A$62*($BX85*12.73)</f>
        <v>214.72000000000003</v>
      </c>
      <c r="CM85" s="55">
        <f>'LINEST VARS'!$U$62+'LINEST VARS'!$T$62*(8)+'LINEST VARS'!$S$62*(8)+'LINEST VARS'!$R$62*($CM$80)+'LINEST VARS'!$Q$62*($BX85)+'LINEST VARS'!$P$62*(12.73)+'LINEST VARS'!$O$62*(8^2)+'LINEST VARS'!$N$62*(8^2)+'LINEST VARS'!$M$62*($CM$80^2)+'LINEST VARS'!$L$62*($BX85^2)+'LINEST VARS'!$K$62*(12.73^2)+'LINEST VARS'!$J$62*(8*8)+'LINEST VARS'!$I$62*(8*$CM$80)+'LINEST VARS'!$H$62*(8*$BX85)+'LINEST VARS'!$G$62*(8*12.73)+'LINEST VARS'!$F$62*(8*$CM$80)+'LINEST VARS'!$E$62*(8*$BX85)+'LINEST VARS'!$D$62*(8*12.73)+'LINEST VARS'!$C$62*($CM$80*$BX85)+'LINEST VARS'!$B$62*($CM$80*12.73)+'LINEST VARS'!$A$62*($BX85*12.73)</f>
        <v>193.12000000000012</v>
      </c>
      <c r="CN85" s="55">
        <f>'LINEST VARS'!$U$62+'LINEST VARS'!$T$62*(8)+'LINEST VARS'!$S$62*(8)+'LINEST VARS'!$R$62*($CN$80)+'LINEST VARS'!$Q$62*($BX85)+'LINEST VARS'!$P$62*(12.73)+'LINEST VARS'!$O$62*(8^2)+'LINEST VARS'!$N$62*(8^2)+'LINEST VARS'!$M$62*($CN$80^2)+'LINEST VARS'!$L$62*($BX85^2)+'LINEST VARS'!$K$62*(12.73^2)+'LINEST VARS'!$J$62*(8*8)+'LINEST VARS'!$I$62*(8*$CN$80)+'LINEST VARS'!$H$62*(8*$BX85)+'LINEST VARS'!$G$62*(8*12.73)+'LINEST VARS'!$F$62*(8*$CN$80)+'LINEST VARS'!$E$62*(8*$BX85)+'LINEST VARS'!$D$62*(8*12.73)+'LINEST VARS'!$C$62*($CN$80*$BX85)+'LINEST VARS'!$B$62*($CN$80*12.73)+'LINEST VARS'!$A$62*($BX85*12.73)</f>
        <v>169.9200000000001</v>
      </c>
      <c r="CO85" s="55">
        <f>'LINEST VARS'!$U$62+'LINEST VARS'!$T$62*(8)+'LINEST VARS'!$S$62*(8)+'LINEST VARS'!$R$62*($CO$80)+'LINEST VARS'!$Q$62*($BX85)+'LINEST VARS'!$P$62*(12.73)+'LINEST VARS'!$O$62*(8^2)+'LINEST VARS'!$N$62*(8^2)+'LINEST VARS'!$M$62*($CO$80^2)+'LINEST VARS'!$L$62*($BX85^2)+'LINEST VARS'!$K$62*(12.73^2)+'LINEST VARS'!$J$62*(8*8)+'LINEST VARS'!$I$62*(8*$CO$80)+'LINEST VARS'!$H$62*(8*$BX85)+'LINEST VARS'!$G$62*(8*12.73)+'LINEST VARS'!$F$62*(8*$CO$80)+'LINEST VARS'!$E$62*(8*$BX85)+'LINEST VARS'!$D$62*(8*12.73)+'LINEST VARS'!$C$62*($CO$80*$BX85)+'LINEST VARS'!$B$62*($CO$80*12.73)+'LINEST VARS'!$A$62*($BX85*12.73)</f>
        <v>145.12000000000012</v>
      </c>
      <c r="CP85" s="55">
        <f>'LINEST VARS'!$U$62+'LINEST VARS'!$T$62*(8)+'LINEST VARS'!$S$62*(8)+'LINEST VARS'!$R$62*($CP$80)+'LINEST VARS'!$Q$62*($BX85)+'LINEST VARS'!$P$62*(12.73)+'LINEST VARS'!$O$62*(8^2)+'LINEST VARS'!$N$62*(8^2)+'LINEST VARS'!$M$62*($CP$80^2)+'LINEST VARS'!$L$62*($BX85^2)+'LINEST VARS'!$K$62*(12.73^2)+'LINEST VARS'!$J$62*(8*8)+'LINEST VARS'!$I$62*(8*$CP$80)+'LINEST VARS'!$H$62*(8*$BX85)+'LINEST VARS'!$G$62*(8*12.73)+'LINEST VARS'!$F$62*(8*$CP$80)+'LINEST VARS'!$E$62*(8*$BX85)+'LINEST VARS'!$D$62*(8*12.73)+'LINEST VARS'!$C$62*($CP$80*$BX85)+'LINEST VARS'!$B$62*($CP$80*12.73)+'LINEST VARS'!$A$62*($BX85*12.73)</f>
        <v>118.72000000000017</v>
      </c>
      <c r="CQ85" s="55">
        <f>'LINEST VARS'!$U$62+'LINEST VARS'!$T$62*(8)+'LINEST VARS'!$S$62*(8)+'LINEST VARS'!$R$62*($CQ$80)+'LINEST VARS'!$Q$62*($BX85)+'LINEST VARS'!$P$62*(12.73)+'LINEST VARS'!$O$62*(8^2)+'LINEST VARS'!$N$62*(8^2)+'LINEST VARS'!$M$62*($CQ$80^2)+'LINEST VARS'!$L$62*($BX85^2)+'LINEST VARS'!$K$62*(12.73^2)+'LINEST VARS'!$J$62*(8*8)+'LINEST VARS'!$I$62*(8*$CQ$80)+'LINEST VARS'!$H$62*(8*$BX85)+'LINEST VARS'!$G$62*(8*12.73)+'LINEST VARS'!$F$62*(8*$CQ$80)+'LINEST VARS'!$E$62*(8*$BX85)+'LINEST VARS'!$D$62*(8*12.73)+'LINEST VARS'!$C$62*($CQ$80*$BX85)+'LINEST VARS'!$B$62*($CQ$80*12.73)+'LINEST VARS'!$A$62*($BX85*12.73)</f>
        <v>90.720000000000169</v>
      </c>
      <c r="CR85" s="55">
        <f>'LINEST VARS'!$U$62+'LINEST VARS'!$T$62*(8)+'LINEST VARS'!$S$62*(8)+'LINEST VARS'!$R$62*($CR$80)+'LINEST VARS'!$Q$62*($BX85)+'LINEST VARS'!$P$62*(12.73)+'LINEST VARS'!$O$62*(8^2)+'LINEST VARS'!$N$62*(8^2)+'LINEST VARS'!$M$62*($CR$80^2)+'LINEST VARS'!$L$62*($BX85^2)+'LINEST VARS'!$K$62*(12.73^2)+'LINEST VARS'!$J$62*(8*8)+'LINEST VARS'!$I$62*(8*$CR$80)+'LINEST VARS'!$H$62*(8*$BX85)+'LINEST VARS'!$G$62*(8*12.73)+'LINEST VARS'!$F$62*(8*$CR$80)+'LINEST VARS'!$E$62*(8*$BX85)+'LINEST VARS'!$D$62*(8*12.73)+'LINEST VARS'!$C$62*($CR$80*$BX85)+'LINEST VARS'!$B$62*($CR$80*12.73)+'LINEST VARS'!$A$62*($BX85*12.73)</f>
        <v>61.120000000000196</v>
      </c>
      <c r="CS85" s="56">
        <f>'LINEST VARS'!$U$62+'LINEST VARS'!$T$62*(8)+'LINEST VARS'!$S$62*(8)+'LINEST VARS'!$R$62*($CS$80)+'LINEST VARS'!$Q$62*($BX85)+'LINEST VARS'!$P$62*(12.73)+'LINEST VARS'!$O$62*(8^2)+'LINEST VARS'!$N$62*(8^2)+'LINEST VARS'!$M$62*($CS$80^2)+'LINEST VARS'!$L$62*($BX85^2)+'LINEST VARS'!$K$62*(12.73^2)+'LINEST VARS'!$J$62*(8*8)+'LINEST VARS'!$I$62*(8*$CS$80)+'LINEST VARS'!$H$62*(8*$BX85)+'LINEST VARS'!$G$62*(8*12.73)+'LINEST VARS'!$F$62*(8*$CS$80)+'LINEST VARS'!$E$62*(8*$BX85)+'LINEST VARS'!$D$62*(8*12.73)+'LINEST VARS'!$C$62*($CS$80*$BX85)+'LINEST VARS'!$B$62*($CS$80*12.73)+'LINEST VARS'!$A$62*($BX85*12.73)</f>
        <v>29.920000000000229</v>
      </c>
      <c r="CX85" s="45">
        <v>5.1980000000000004</v>
      </c>
      <c r="CY85" s="46">
        <f>'LINEST VARS'!$U$60+'LINEST VARS'!$T$60*(8)+'LINEST VARS'!$S$60*(8)+'LINEST VARS'!$R$60*($CY$80)+'LINEST VARS'!$Q$60*(0.5)+'LINEST VARS'!$P$60*($CX85)+'LINEST VARS'!$O$60*(8^2)+'LINEST VARS'!$N$60*(8^2)+'LINEST VARS'!$M$60*($CY$80^2)+'LINEST VARS'!$L$60*(0.5^2)+'LINEST VARS'!$K$60*($CX85^2)+'LINEST VARS'!$J$60*(8*8)+'LINEST VARS'!$I$60*(8*$CY$80)+'LINEST VARS'!$H$60*(8*0.5)+'LINEST VARS'!$G$60*(8*$CX85)+'LINEST VARS'!$F$60*(8*$CY$80)+'LINEST VARS'!$E$60*(8*0.5)+'LINEST VARS'!$D$60*(8*$CX85)+'LINEST VARS'!$C$60*($CY$80*0.5)+'LINEST VARS'!$B$60*($CY$80*$CX85)+'LINEST VARS'!$A$60*(0.5*$CX85)</f>
        <v>25.396000000000015</v>
      </c>
      <c r="CZ85" s="46">
        <f>'LINEST VARS'!$U$60+'LINEST VARS'!$T$60*(8)+'LINEST VARS'!$S$60*(8)+'LINEST VARS'!$R$60*($CZ$80)+'LINEST VARS'!$Q$60*(0.5)+'LINEST VARS'!$P$60*($CX85)+'LINEST VARS'!$O$60*(8^2)+'LINEST VARS'!$N$60*(8^2)+'LINEST VARS'!$M$60*($CZ$80^2)+'LINEST VARS'!$L$60*(0.5^2)+'LINEST VARS'!$K$60*($CX85^2)+'LINEST VARS'!$J$60*(8*8)+'LINEST VARS'!$I$60*(8*$CZ$80)+'LINEST VARS'!$H$60*(8*0.5)+'LINEST VARS'!$G$60*(8*$CX85)+'LINEST VARS'!$F$60*(8*$CZ$80)+'LINEST VARS'!$E$60*(8*0.5)+'LINEST VARS'!$D$60*(8*$CX85)+'LINEST VARS'!$C$60*($CZ$80*0.5)+'LINEST VARS'!$B$60*($CZ$80*$CX85)+'LINEST VARS'!$A$60*(0.5*$CX85)</f>
        <v>25.396000000000019</v>
      </c>
      <c r="DA85" s="46">
        <f>'LINEST VARS'!$U$60+'LINEST VARS'!$T$60*(8)+'LINEST VARS'!$S$60*(8)+'LINEST VARS'!$R$60*($DA$80)+'LINEST VARS'!$Q$60*(0.5)+'LINEST VARS'!$P$60*($CX85)+'LINEST VARS'!$O$60*(8^2)+'LINEST VARS'!$N$60*(8^2)+'LINEST VARS'!$M$60*($DA$80^2)+'LINEST VARS'!$L$60*(0.5^2)+'LINEST VARS'!$K$60*($CX85^2)+'LINEST VARS'!$J$60*(8*8)+'LINEST VARS'!$I$60*(8*$DA$80)+'LINEST VARS'!$H$60*(8*0.5)+'LINEST VARS'!$G$60*(8*$CX85)+'LINEST VARS'!$F$60*(8*$DA$80)+'LINEST VARS'!$E$60*(8*0.5)+'LINEST VARS'!$D$60*(8*$CX85)+'LINEST VARS'!$C$60*($DA$80*0.5)+'LINEST VARS'!$B$60*($DA$80*$CX85)+'LINEST VARS'!$A$60*(0.5*$CX85)</f>
        <v>25.396000000000015</v>
      </c>
      <c r="DB85" s="46">
        <f>'LINEST VARS'!$U$60+'LINEST VARS'!$T$60*(8)+'LINEST VARS'!$S$60*(8)+'LINEST VARS'!$R$60*($DB$80)+'LINEST VARS'!$Q$60*(0.5)+'LINEST VARS'!$P$60*($CX85)+'LINEST VARS'!$O$60*(8^2)+'LINEST VARS'!$N$60*(8^2)+'LINEST VARS'!$M$60*($DB$80^2)+'LINEST VARS'!$L$60*(0.5^2)+'LINEST VARS'!$K$60*($CX85^2)+'LINEST VARS'!$J$60*(8*8)+'LINEST VARS'!$I$60*(8*$DB$80)+'LINEST VARS'!$H$60*(8*0.5)+'LINEST VARS'!$G$60*(8*$CX85)+'LINEST VARS'!$F$60*(8*$DB$80)+'LINEST VARS'!$E$60*(8*0.5)+'LINEST VARS'!$D$60*(8*$CX85)+'LINEST VARS'!$C$60*($DB$80*0.5)+'LINEST VARS'!$B$60*($DB$80*$CX85)+'LINEST VARS'!$A$60*(0.5*$CX85)</f>
        <v>25.396000000000011</v>
      </c>
      <c r="DC85" s="46">
        <f>'LINEST VARS'!$U$60+'LINEST VARS'!$T$60*(8)+'LINEST VARS'!$S$60*(8)+'LINEST VARS'!$R$60*($DC$80)+'LINEST VARS'!$Q$60*(0.5)+'LINEST VARS'!$P$60*($CX85)+'LINEST VARS'!$O$60*(8^2)+'LINEST VARS'!$N$60*(8^2)+'LINEST VARS'!$M$60*($DC$80^2)+'LINEST VARS'!$L$60*(0.5^2)+'LINEST VARS'!$K$60*($CX85^2)+'LINEST VARS'!$J$60*(8*8)+'LINEST VARS'!$I$60*(8*$DC$80)+'LINEST VARS'!$H$60*(8*0.5)+'LINEST VARS'!$G$60*(8*$CX85)+'LINEST VARS'!$F$60*(8*$DC$80)+'LINEST VARS'!$E$60*(8*0.5)+'LINEST VARS'!$D$60*(8*$CX85)+'LINEST VARS'!$C$60*($DC$80*0.5)+'LINEST VARS'!$B$60*($DC$80*$CX85)+'LINEST VARS'!$A$60*(0.5*$CX85)</f>
        <v>25.396000000000015</v>
      </c>
      <c r="DD85" s="46">
        <f>'LINEST VARS'!$U$60+'LINEST VARS'!$T$60*(8)+'LINEST VARS'!$S$60*(8)+'LINEST VARS'!$R$60*($DD$80)+'LINEST VARS'!$Q$60*(0.5)+'LINEST VARS'!$P$60*($CX85)+'LINEST VARS'!$O$60*(8^2)+'LINEST VARS'!$N$60*(8^2)+'LINEST VARS'!$M$60*($DD$80^2)+'LINEST VARS'!$L$60*(0.5^2)+'LINEST VARS'!$K$60*($CX85^2)+'LINEST VARS'!$J$60*(8*8)+'LINEST VARS'!$I$60*(8*$DD$80)+'LINEST VARS'!$H$60*(8*0.5)+'LINEST VARS'!$G$60*(8*$CX85)+'LINEST VARS'!$F$60*(8*$DD$80)+'LINEST VARS'!$E$60*(8*0.5)+'LINEST VARS'!$D$60*(8*$CX85)+'LINEST VARS'!$C$60*($DD$80*0.5)+'LINEST VARS'!$B$60*($DD$80*$CX85)+'LINEST VARS'!$A$60*(0.5*$CX85)</f>
        <v>25.396000000000019</v>
      </c>
      <c r="DE85" s="46">
        <f>'LINEST VARS'!$U$60+'LINEST VARS'!$T$60*(8)+'LINEST VARS'!$S$60*(8)+'LINEST VARS'!$R$60*($DE$80)+'LINEST VARS'!$Q$60*(0.5)+'LINEST VARS'!$P$60*($CX85)+'LINEST VARS'!$O$60*(8^2)+'LINEST VARS'!$N$60*(8^2)+'LINEST VARS'!$M$60*($DE$80^2)+'LINEST VARS'!$L$60*(0.5^2)+'LINEST VARS'!$K$60*($CX85^2)+'LINEST VARS'!$J$60*(8*8)+'LINEST VARS'!$I$60*(8*$DE$80)+'LINEST VARS'!$H$60*(8*0.5)+'LINEST VARS'!$G$60*(8*$CX85)+'LINEST VARS'!$F$60*(8*$DE$80)+'LINEST VARS'!$E$60*(8*0.5)+'LINEST VARS'!$D$60*(8*$CX85)+'LINEST VARS'!$C$60*($DE$80*0.5)+'LINEST VARS'!$B$60*($DE$80*$CX85)+'LINEST VARS'!$A$60*(0.5*$CX85)</f>
        <v>25.396000000000015</v>
      </c>
      <c r="DF85" s="46">
        <f>'LINEST VARS'!$U$60+'LINEST VARS'!$T$60*(8)+'LINEST VARS'!$S$60*(8)+'LINEST VARS'!$R$60*($DF$80)+'LINEST VARS'!$Q$60*(0.5)+'LINEST VARS'!$P$60*($CX85)+'LINEST VARS'!$O$60*(8^2)+'LINEST VARS'!$N$60*(8^2)+'LINEST VARS'!$M$60*($DF$80^2)+'LINEST VARS'!$L$60*(0.5^2)+'LINEST VARS'!$K$60*($CX85^2)+'LINEST VARS'!$J$60*(8*8)+'LINEST VARS'!$I$60*(8*$DF$80)+'LINEST VARS'!$H$60*(8*0.5)+'LINEST VARS'!$G$60*(8*$CX85)+'LINEST VARS'!$F$60*(8*$DF$80)+'LINEST VARS'!$E$60*(8*0.5)+'LINEST VARS'!$D$60*(8*$CX85)+'LINEST VARS'!$C$60*($DF$80*0.5)+'LINEST VARS'!$B$60*($DF$80*$CX85)+'LINEST VARS'!$A$60*(0.5*$CX85)</f>
        <v>25.396000000000015</v>
      </c>
      <c r="DG85" s="46">
        <f>'LINEST VARS'!$U$60+'LINEST VARS'!$T$60*(8)+'LINEST VARS'!$S$60*(8)+'LINEST VARS'!$R$60*($DG$80)+'LINEST VARS'!$Q$60*(0.5)+'LINEST VARS'!$P$60*($CX85)+'LINEST VARS'!$O$60*(8^2)+'LINEST VARS'!$N$60*(8^2)+'LINEST VARS'!$M$60*($DG$80^2)+'LINEST VARS'!$L$60*(0.5^2)+'LINEST VARS'!$K$60*($CX85^2)+'LINEST VARS'!$J$60*(8*8)+'LINEST VARS'!$I$60*(8*$DG$80)+'LINEST VARS'!$H$60*(8*0.5)+'LINEST VARS'!$G$60*(8*$CX85)+'LINEST VARS'!$F$60*(8*$DG$80)+'LINEST VARS'!$E$60*(8*0.5)+'LINEST VARS'!$D$60*(8*$CX85)+'LINEST VARS'!$C$60*($DG$80*0.5)+'LINEST VARS'!$B$60*($DG$80*$CX85)+'LINEST VARS'!$A$60*(0.5*$CX85)</f>
        <v>25.396000000000019</v>
      </c>
      <c r="DH85" s="46">
        <f>'LINEST VARS'!$U$60+'LINEST VARS'!$T$60*(8)+'LINEST VARS'!$S$60*(8)+'LINEST VARS'!$R$60*($DH$80)+'LINEST VARS'!$Q$60*(0.5)+'LINEST VARS'!$P$60*($CX85)+'LINEST VARS'!$O$60*(8^2)+'LINEST VARS'!$N$60*(8^2)+'LINEST VARS'!$M$60*($DH$80^2)+'LINEST VARS'!$L$60*(0.5^2)+'LINEST VARS'!$K$60*($CX85^2)+'LINEST VARS'!$J$60*(8*8)+'LINEST VARS'!$I$60*(8*$DH$80)+'LINEST VARS'!$H$60*(8*0.5)+'LINEST VARS'!$G$60*(8*$CX85)+'LINEST VARS'!$F$60*(8*$DH$80)+'LINEST VARS'!$E$60*(8*0.5)+'LINEST VARS'!$D$60*(8*$CX85)+'LINEST VARS'!$C$60*($DH$80*0.5)+'LINEST VARS'!$B$60*($DH$80*$CX85)+'LINEST VARS'!$A$60*(0.5*$CX85)</f>
        <v>25.396000000000015</v>
      </c>
      <c r="DI85" s="46">
        <f>'LINEST VARS'!$U$60+'LINEST VARS'!$T$60*(8)+'LINEST VARS'!$S$60*(8)+'LINEST VARS'!$R$60*($DI$80)+'LINEST VARS'!$Q$60*(0.5)+'LINEST VARS'!$P$60*($CX85)+'LINEST VARS'!$O$60*(8^2)+'LINEST VARS'!$N$60*(8^2)+'LINEST VARS'!$M$60*($DI$80^2)+'LINEST VARS'!$L$60*(0.5^2)+'LINEST VARS'!$K$60*($CX85^2)+'LINEST VARS'!$J$60*(8*8)+'LINEST VARS'!$I$60*(8*$DI$80)+'LINEST VARS'!$H$60*(8*0.5)+'LINEST VARS'!$G$60*(8*$CX85)+'LINEST VARS'!$F$60*(8*$DI$80)+'LINEST VARS'!$E$60*(8*0.5)+'LINEST VARS'!$D$60*(8*$CX85)+'LINEST VARS'!$C$60*($DI$80*0.5)+'LINEST VARS'!$B$60*($DI$80*$CX85)+'LINEST VARS'!$A$60*(0.5*$CX85)</f>
        <v>25.396000000000015</v>
      </c>
      <c r="DJ85" s="46">
        <f>'LINEST VARS'!$U$60+'LINEST VARS'!$T$60*(8)+'LINEST VARS'!$S$60*(8)+'LINEST VARS'!$R$60*($DJ$80)+'LINEST VARS'!$Q$60*(0.5)+'LINEST VARS'!$P$60*($CX85)+'LINEST VARS'!$O$60*(8^2)+'LINEST VARS'!$N$60*(8^2)+'LINEST VARS'!$M$60*($DJ$80^2)+'LINEST VARS'!$L$60*(0.5^2)+'LINEST VARS'!$K$60*($CX85^2)+'LINEST VARS'!$J$60*(8*8)+'LINEST VARS'!$I$60*(8*$DJ$80)+'LINEST VARS'!$H$60*(8*0.5)+'LINEST VARS'!$G$60*(8*$CX85)+'LINEST VARS'!$F$60*(8*$DJ$80)+'LINEST VARS'!$E$60*(8*0.5)+'LINEST VARS'!$D$60*(8*$CX85)+'LINEST VARS'!$C$60*($DJ$80*0.5)+'LINEST VARS'!$B$60*($DJ$80*$CX85)+'LINEST VARS'!$A$60*(0.5*$CX85)</f>
        <v>25.396000000000015</v>
      </c>
      <c r="DK85" s="46">
        <f>'LINEST VARS'!$U$60+'LINEST VARS'!$T$60*(8)+'LINEST VARS'!$S$60*(8)+'LINEST VARS'!$R$60*($DK$80)+'LINEST VARS'!$Q$60*(0.5)+'LINEST VARS'!$P$60*($CX85)+'LINEST VARS'!$O$60*(8^2)+'LINEST VARS'!$N$60*(8^2)+'LINEST VARS'!$M$60*($DK$80^2)+'LINEST VARS'!$L$60*(0.5^2)+'LINEST VARS'!$K$60*($CX85^2)+'LINEST VARS'!$J$60*(8*8)+'LINEST VARS'!$I$60*(8*$DK$80)+'LINEST VARS'!$H$60*(8*0.5)+'LINEST VARS'!$G$60*(8*$CX85)+'LINEST VARS'!$F$60*(8*$DK$80)+'LINEST VARS'!$E$60*(8*0.5)+'LINEST VARS'!$D$60*(8*$CX85)+'LINEST VARS'!$C$60*($DK$80*0.5)+'LINEST VARS'!$B$60*($DK$80*$CX85)+'LINEST VARS'!$A$60*(0.5*$CX85)</f>
        <v>25.396000000000019</v>
      </c>
      <c r="DL85" s="46">
        <f>'LINEST VARS'!$U$60+'LINEST VARS'!$T$60*(8)+'LINEST VARS'!$S$60*(8)+'LINEST VARS'!$R$60*($DL$80)+'LINEST VARS'!$Q$60*(0.5)+'LINEST VARS'!$P$60*($CX85)+'LINEST VARS'!$O$60*(8^2)+'LINEST VARS'!$N$60*(8^2)+'LINEST VARS'!$M$60*($DL$80^2)+'LINEST VARS'!$L$60*(0.5^2)+'LINEST VARS'!$K$60*($CX85^2)+'LINEST VARS'!$J$60*(8*8)+'LINEST VARS'!$I$60*(8*$DL$80)+'LINEST VARS'!$H$60*(8*0.5)+'LINEST VARS'!$G$60*(8*$CX85)+'LINEST VARS'!$F$60*(8*$DL$80)+'LINEST VARS'!$E$60*(8*0.5)+'LINEST VARS'!$D$60*(8*$CX85)+'LINEST VARS'!$C$60*($DL$80*0.5)+'LINEST VARS'!$B$60*($DL$80*$CX85)+'LINEST VARS'!$A$60*(0.5*$CX85)</f>
        <v>25.396000000000015</v>
      </c>
      <c r="DM85" s="46">
        <f>'LINEST VARS'!$U$60+'LINEST VARS'!$T$60*(8)+'LINEST VARS'!$S$60*(8)+'LINEST VARS'!$R$60*($DM$80)+'LINEST VARS'!$Q$60*(0.5)+'LINEST VARS'!$P$60*($CX85)+'LINEST VARS'!$O$60*(8^2)+'LINEST VARS'!$N$60*(8^2)+'LINEST VARS'!$M$60*($DM$80^2)+'LINEST VARS'!$L$60*(0.5^2)+'LINEST VARS'!$K$60*($CX85^2)+'LINEST VARS'!$J$60*(8*8)+'LINEST VARS'!$I$60*(8*$DM$80)+'LINEST VARS'!$H$60*(8*0.5)+'LINEST VARS'!$G$60*(8*$CX85)+'LINEST VARS'!$F$60*(8*$DM$80)+'LINEST VARS'!$E$60*(8*0.5)+'LINEST VARS'!$D$60*(8*$CX85)+'LINEST VARS'!$C$60*($DM$80*0.5)+'LINEST VARS'!$B$60*($DM$80*$CX85)+'LINEST VARS'!$A$60*(0.5*$CX85)</f>
        <v>25.396000000000019</v>
      </c>
      <c r="DN85" s="46">
        <f>'LINEST VARS'!$U$60+'LINEST VARS'!$T$60*(8)+'LINEST VARS'!$S$60*(8)+'LINEST VARS'!$R$60*($DN$80)+'LINEST VARS'!$Q$60*(0.5)+'LINEST VARS'!$P$60*($CX85)+'LINEST VARS'!$O$60*(8^2)+'LINEST VARS'!$N$60*(8^2)+'LINEST VARS'!$M$60*($DN$80^2)+'LINEST VARS'!$L$60*(0.5^2)+'LINEST VARS'!$K$60*($CX85^2)+'LINEST VARS'!$J$60*(8*8)+'LINEST VARS'!$I$60*(8*$DN$80)+'LINEST VARS'!$H$60*(8*0.5)+'LINEST VARS'!$G$60*(8*$CX85)+'LINEST VARS'!$F$60*(8*$DN$80)+'LINEST VARS'!$E$60*(8*0.5)+'LINEST VARS'!$D$60*(8*$CX85)+'LINEST VARS'!$C$60*($DN$80*0.5)+'LINEST VARS'!$B$60*($DN$80*$CX85)+'LINEST VARS'!$A$60*(0.5*$CX85)</f>
        <v>25.396000000000022</v>
      </c>
      <c r="DO85" s="46">
        <f>'LINEST VARS'!$U$60+'LINEST VARS'!$T$60*(8)+'LINEST VARS'!$S$60*(8)+'LINEST VARS'!$R$60*($DO$80)+'LINEST VARS'!$Q$60*(0.5)+'LINEST VARS'!$P$60*($CX85)+'LINEST VARS'!$O$60*(8^2)+'LINEST VARS'!$N$60*(8^2)+'LINEST VARS'!$M$60*($DO$80^2)+'LINEST VARS'!$L$60*(0.5^2)+'LINEST VARS'!$K$60*($CX85^2)+'LINEST VARS'!$J$60*(8*8)+'LINEST VARS'!$I$60*(8*$DO$80)+'LINEST VARS'!$H$60*(8*0.5)+'LINEST VARS'!$G$60*(8*$CX85)+'LINEST VARS'!$F$60*(8*$DO$80)+'LINEST VARS'!$E$60*(8*0.5)+'LINEST VARS'!$D$60*(8*$CX85)+'LINEST VARS'!$C$60*($DO$80*0.5)+'LINEST VARS'!$B$60*($DO$80*$CX85)+'LINEST VARS'!$A$60*(0.5*$CX85)</f>
        <v>25.396000000000019</v>
      </c>
      <c r="DP85" s="46">
        <f>'LINEST VARS'!$U$60+'LINEST VARS'!$T$60*(8)+'LINEST VARS'!$S$60*(8)+'LINEST VARS'!$R$60*($DP$80)+'LINEST VARS'!$Q$60*(0.5)+'LINEST VARS'!$P$60*($CX85)+'LINEST VARS'!$O$60*(8^2)+'LINEST VARS'!$N$60*(8^2)+'LINEST VARS'!$M$60*($DP$80^2)+'LINEST VARS'!$L$60*(0.5^2)+'LINEST VARS'!$K$60*($CX85^2)+'LINEST VARS'!$J$60*(8*8)+'LINEST VARS'!$I$60*(8*$DP$80)+'LINEST VARS'!$H$60*(8*0.5)+'LINEST VARS'!$G$60*(8*$CX85)+'LINEST VARS'!$F$60*(8*$DP$80)+'LINEST VARS'!$E$60*(8*0.5)+'LINEST VARS'!$D$60*(8*$CX85)+'LINEST VARS'!$C$60*($DP$80*0.5)+'LINEST VARS'!$B$60*($DP$80*$CX85)+'LINEST VARS'!$A$60*(0.5*$CX85)</f>
        <v>25.396000000000015</v>
      </c>
      <c r="DQ85" s="46">
        <f>'LINEST VARS'!$U$60+'LINEST VARS'!$T$60*(8)+'LINEST VARS'!$S$60*(8)+'LINEST VARS'!$R$60*($DQ$80)+'LINEST VARS'!$Q$60*(0.5)+'LINEST VARS'!$P$60*($CX85)+'LINEST VARS'!$O$60*(8^2)+'LINEST VARS'!$N$60*(8^2)+'LINEST VARS'!$M$60*($DQ$80^2)+'LINEST VARS'!$L$60*(0.5^2)+'LINEST VARS'!$K$60*($CX85^2)+'LINEST VARS'!$J$60*(8*8)+'LINEST VARS'!$I$60*(8*$DQ$80)+'LINEST VARS'!$H$60*(8*0.5)+'LINEST VARS'!$G$60*(8*$CX85)+'LINEST VARS'!$F$60*(8*$DQ$80)+'LINEST VARS'!$E$60*(8*0.5)+'LINEST VARS'!$D$60*(8*$CX85)+'LINEST VARS'!$C$60*($DQ$80*0.5)+'LINEST VARS'!$B$60*($DQ$80*$CX85)+'LINEST VARS'!$A$60*(0.5*$CX85)</f>
        <v>25.396000000000015</v>
      </c>
      <c r="DR85" s="46">
        <f>'LINEST VARS'!$U$60+'LINEST VARS'!$T$60*(8)+'LINEST VARS'!$S$60*(8)+'LINEST VARS'!$R$60*($DR$80)+'LINEST VARS'!$Q$60*(0.5)+'LINEST VARS'!$P$60*($CX85)+'LINEST VARS'!$O$60*(8^2)+'LINEST VARS'!$N$60*(8^2)+'LINEST VARS'!$M$60*($DR$80^2)+'LINEST VARS'!$L$60*(0.5^2)+'LINEST VARS'!$K$60*($CX85^2)+'LINEST VARS'!$J$60*(8*8)+'LINEST VARS'!$I$60*(8*$DR$80)+'LINEST VARS'!$H$60*(8*0.5)+'LINEST VARS'!$G$60*(8*$CX85)+'LINEST VARS'!$F$60*(8*$DR$80)+'LINEST VARS'!$E$60*(8*0.5)+'LINEST VARS'!$D$60*(8*$CX85)+'LINEST VARS'!$C$60*($DR$80*0.5)+'LINEST VARS'!$B$60*($DR$80*$CX85)+'LINEST VARS'!$A$60*(0.5*$CX85)</f>
        <v>25.396000000000019</v>
      </c>
      <c r="DS85" s="47">
        <f>'LINEST VARS'!$U$60+'LINEST VARS'!$T$60*(8)+'LINEST VARS'!$S$60*(8)+'LINEST VARS'!$R$60*($DS$80)+'LINEST VARS'!$Q$60*(0.5)+'LINEST VARS'!$P$60*($CX85)+'LINEST VARS'!$O$60*(8^2)+'LINEST VARS'!$N$60*(8^2)+'LINEST VARS'!$M$60*($DS$80^2)+'LINEST VARS'!$L$60*(0.5^2)+'LINEST VARS'!$K$60*($CX85^2)+'LINEST VARS'!$J$60*(8*8)+'LINEST VARS'!$I$60*(8*$DS$80)+'LINEST VARS'!$H$60*(8*0.5)+'LINEST VARS'!$G$60*(8*$CX85)+'LINEST VARS'!$F$60*(8*$DS$80)+'LINEST VARS'!$E$60*(8*0.5)+'LINEST VARS'!$D$60*(8*$CX85)+'LINEST VARS'!$C$60*($DS$80*0.5)+'LINEST VARS'!$B$60*($DS$80*$CX85)+'LINEST VARS'!$A$60*(0.5*$CX85)</f>
        <v>25.396000000000011</v>
      </c>
      <c r="DV85" s="45">
        <v>5.1980000000000004</v>
      </c>
      <c r="DW85" s="55">
        <f>'LINEST VARS'!$U$62+'LINEST VARS'!$T$62*(8)+'LINEST VARS'!$S$62*(8)+'LINEST VARS'!$R$62*($DW$80)+'LINEST VARS'!$Q$62*(0.5)+'LINEST VARS'!$P$62*($DV85)+'LINEST VARS'!$O$62*(8^2)+'LINEST VARS'!$N$62*(8^2)+'LINEST VARS'!$M$62*($DW$80^2)+'LINEST VARS'!$L$62*(0.5^2)+'LINEST VARS'!$K$62*($DV85^2)+'LINEST VARS'!$J$62*(8*8)+'LINEST VARS'!$I$62*(8*$DW$80)+'LINEST VARS'!$H$62*(8*0.5)+'LINEST VARS'!$G$62*(8*$DV85)+'LINEST VARS'!$F$62*(8*$DW$80)+'LINEST VARS'!$E$62*(8*0.5)+'LINEST VARS'!$D$62*(8*$DV85)+'LINEST VARS'!$C$62*($DW$80*0.5)+'LINEST VARS'!$B$62*($DW$80*$DV85)+'LINEST VARS'!$A$62*(0.5*$DV85)</f>
        <v>349.49999999999989</v>
      </c>
      <c r="DX85" s="55">
        <f>'LINEST VARS'!$U$62+'LINEST VARS'!$T$62*(8)+'LINEST VARS'!$S$62*(8)+'LINEST VARS'!$R$62*($DX$80)+'LINEST VARS'!$Q$62*(0.5)+'LINEST VARS'!$P$62*($DV85)+'LINEST VARS'!$O$62*(8^2)+'LINEST VARS'!$N$62*(8^2)+'LINEST VARS'!$M$62*($DX$80^2)+'LINEST VARS'!$L$62*(0.5^2)+'LINEST VARS'!$K$62*($DV85^2)+'LINEST VARS'!$J$62*(8*8)+'LINEST VARS'!$I$62*(8*$DX$80)+'LINEST VARS'!$H$62*(8*0.5)+'LINEST VARS'!$G$62*(8*$DV85)+'LINEST VARS'!$F$62*(8*$DX$80)+'LINEST VARS'!$E$62*(8*0.5)+'LINEST VARS'!$D$62*(8*$DV85)+'LINEST VARS'!$C$62*($DX$80*0.5)+'LINEST VARS'!$B$62*($DX$80*$DV85)+'LINEST VARS'!$A$62*(0.5*$DV85)</f>
        <v>348.69999999999993</v>
      </c>
      <c r="DY85" s="55">
        <f>'LINEST VARS'!$U$62+'LINEST VARS'!$T$62*(8)+'LINEST VARS'!$S$62*(8)+'LINEST VARS'!$R$62*($DY$80)+'LINEST VARS'!$Q$62*(0.5)+'LINEST VARS'!$P$62*($DV85)+'LINEST VARS'!$O$62*(8^2)+'LINEST VARS'!$N$62*(8^2)+'LINEST VARS'!$M$62*($DY$80^2)+'LINEST VARS'!$L$62*(0.5^2)+'LINEST VARS'!$K$62*($DV85^2)+'LINEST VARS'!$J$62*(8*8)+'LINEST VARS'!$I$62*(8*$DY$80)+'LINEST VARS'!$H$62*(8*0.5)+'LINEST VARS'!$G$62*(8*$DV85)+'LINEST VARS'!$F$62*(8*$DY$80)+'LINEST VARS'!$E$62*(8*0.5)+'LINEST VARS'!$D$62*(8*$DV85)+'LINEST VARS'!$C$62*($DY$80*0.5)+'LINEST VARS'!$B$62*($DY$80*$DV85)+'LINEST VARS'!$A$62*(0.5*$DV85)</f>
        <v>346.29999999999984</v>
      </c>
      <c r="DZ85" s="55">
        <f>'LINEST VARS'!$U$62+'LINEST VARS'!$T$62*(8)+'LINEST VARS'!$S$62*(8)+'LINEST VARS'!$R$62*($DZ$80)+'LINEST VARS'!$Q$62*(0.5)+'LINEST VARS'!$P$62*($DV85)+'LINEST VARS'!$O$62*(8^2)+'LINEST VARS'!$N$62*(8^2)+'LINEST VARS'!$M$62*($DZ$80^2)+'LINEST VARS'!$L$62*(0.5^2)+'LINEST VARS'!$K$62*($DV85^2)+'LINEST VARS'!$J$62*(8*8)+'LINEST VARS'!$I$62*(8*$DZ$80)+'LINEST VARS'!$H$62*(8*0.5)+'LINEST VARS'!$G$62*(8*$DV85)+'LINEST VARS'!$F$62*(8*$DZ$80)+'LINEST VARS'!$E$62*(8*0.5)+'LINEST VARS'!$D$62*(8*$DV85)+'LINEST VARS'!$C$62*($DZ$80*0.5)+'LINEST VARS'!$B$62*($DZ$80*$DV85)+'LINEST VARS'!$A$62*(0.5*$DV85)</f>
        <v>342.2999999999999</v>
      </c>
      <c r="EA85" s="55">
        <f>'LINEST VARS'!$U$62+'LINEST VARS'!$T$62*(8)+'LINEST VARS'!$S$62*(8)+'LINEST VARS'!$R$62*($EA$80)+'LINEST VARS'!$Q$62*(0.5)+'LINEST VARS'!$P$62*($DV85)+'LINEST VARS'!$O$62*(8^2)+'LINEST VARS'!$N$62*(8^2)+'LINEST VARS'!$M$62*($EA$80^2)+'LINEST VARS'!$L$62*(0.5^2)+'LINEST VARS'!$K$62*($DV85^2)+'LINEST VARS'!$J$62*(8*8)+'LINEST VARS'!$I$62*(8*$EA$80)+'LINEST VARS'!$H$62*(8*0.5)+'LINEST VARS'!$G$62*(8*$DV85)+'LINEST VARS'!$F$62*(8*$EA$80)+'LINEST VARS'!$E$62*(8*0.5)+'LINEST VARS'!$D$62*(8*$DV85)+'LINEST VARS'!$C$62*($EA$80*0.5)+'LINEST VARS'!$B$62*($EA$80*$DV85)+'LINEST VARS'!$A$62*(0.5*$DV85)</f>
        <v>336.69999999999993</v>
      </c>
      <c r="EB85" s="55">
        <f>'LINEST VARS'!$U$62+'LINEST VARS'!$T$62*(8)+'LINEST VARS'!$S$62*(8)+'LINEST VARS'!$R$62*($EB$80)+'LINEST VARS'!$Q$62*(0.5)+'LINEST VARS'!$P$62*($DV85)+'LINEST VARS'!$O$62*(8^2)+'LINEST VARS'!$N$62*(8^2)+'LINEST VARS'!$M$62*($EB$80^2)+'LINEST VARS'!$L$62*(0.5^2)+'LINEST VARS'!$K$62*($DV85^2)+'LINEST VARS'!$J$62*(8*8)+'LINEST VARS'!$I$62*(8*$EB$80)+'LINEST VARS'!$H$62*(8*0.5)+'LINEST VARS'!$G$62*(8*$DV85)+'LINEST VARS'!$F$62*(8*$EB$80)+'LINEST VARS'!$E$62*(8*0.5)+'LINEST VARS'!$D$62*(8*$DV85)+'LINEST VARS'!$C$62*($EB$80*0.5)+'LINEST VARS'!$B$62*($EB$80*$DV85)+'LINEST VARS'!$A$62*(0.5*$DV85)</f>
        <v>329.5</v>
      </c>
      <c r="EC85" s="55">
        <f>'LINEST VARS'!$U$62+'LINEST VARS'!$T$62*(8)+'LINEST VARS'!$S$62*(8)+'LINEST VARS'!$R$62*($EC$80)+'LINEST VARS'!$Q$62*(0.5)+'LINEST VARS'!$P$62*($DV85)+'LINEST VARS'!$O$62*(8^2)+'LINEST VARS'!$N$62*(8^2)+'LINEST VARS'!$M$62*($EC$80^2)+'LINEST VARS'!$L$62*(0.5^2)+'LINEST VARS'!$K$62*($DV85^2)+'LINEST VARS'!$J$62*(8*8)+'LINEST VARS'!$I$62*(8*$EC$80)+'LINEST VARS'!$H$62*(8*0.5)+'LINEST VARS'!$G$62*(8*$DV85)+'LINEST VARS'!$F$62*(8*$EC$80)+'LINEST VARS'!$E$62*(8*0.5)+'LINEST VARS'!$D$62*(8*$DV85)+'LINEST VARS'!$C$62*($EC$80*0.5)+'LINEST VARS'!$B$62*($EC$80*$DV85)+'LINEST VARS'!$A$62*(0.5*$DV85)</f>
        <v>320.69999999999993</v>
      </c>
      <c r="ED85" s="55">
        <f>'LINEST VARS'!$U$62+'LINEST VARS'!$T$62*(8)+'LINEST VARS'!$S$62*(8)+'LINEST VARS'!$R$62*($ED$80)+'LINEST VARS'!$Q$62*(0.5)+'LINEST VARS'!$P$62*($DV85)+'LINEST VARS'!$O$62*(8^2)+'LINEST VARS'!$N$62*(8^2)+'LINEST VARS'!$M$62*($ED$80^2)+'LINEST VARS'!$L$62*(0.5^2)+'LINEST VARS'!$K$62*($DV85^2)+'LINEST VARS'!$J$62*(8*8)+'LINEST VARS'!$I$62*(8*$ED$80)+'LINEST VARS'!$H$62*(8*0.5)+'LINEST VARS'!$G$62*(8*$DV85)+'LINEST VARS'!$F$62*(8*$ED$80)+'LINEST VARS'!$E$62*(8*0.5)+'LINEST VARS'!$D$62*(8*$DV85)+'LINEST VARS'!$C$62*($ED$80*0.5)+'LINEST VARS'!$B$62*($ED$80*$DV85)+'LINEST VARS'!$A$62*(0.5*$DV85)</f>
        <v>310.29999999999995</v>
      </c>
      <c r="EE85" s="55">
        <f>'LINEST VARS'!$U$62+'LINEST VARS'!$T$62*(8)+'LINEST VARS'!$S$62*(8)+'LINEST VARS'!$R$62*($EE$80)+'LINEST VARS'!$Q$62*(0.5)+'LINEST VARS'!$P$62*($DV85)+'LINEST VARS'!$O$62*(8^2)+'LINEST VARS'!$N$62*(8^2)+'LINEST VARS'!$M$62*($EE$80^2)+'LINEST VARS'!$L$62*(0.5^2)+'LINEST VARS'!$K$62*($DV85^2)+'LINEST VARS'!$J$62*(8*8)+'LINEST VARS'!$I$62*(8*$EE$80)+'LINEST VARS'!$H$62*(8*0.5)+'LINEST VARS'!$G$62*(8*$DV85)+'LINEST VARS'!$F$62*(8*$EE$80)+'LINEST VARS'!$E$62*(8*0.5)+'LINEST VARS'!$D$62*(8*$DV85)+'LINEST VARS'!$C$62*($EE$80*0.5)+'LINEST VARS'!$B$62*($EE$80*$DV85)+'LINEST VARS'!$A$62*(0.5*$DV85)</f>
        <v>298.3</v>
      </c>
      <c r="EF85" s="55">
        <f>'LINEST VARS'!$U$62+'LINEST VARS'!$T$62*(8)+'LINEST VARS'!$S$62*(8)+'LINEST VARS'!$R$62*($EF$80)+'LINEST VARS'!$Q$62*(0.5)+'LINEST VARS'!$P$62*($DV85)+'LINEST VARS'!$O$62*(8^2)+'LINEST VARS'!$N$62*(8^2)+'LINEST VARS'!$M$62*($EF$80^2)+'LINEST VARS'!$L$62*(0.5^2)+'LINEST VARS'!$K$62*($DV85^2)+'LINEST VARS'!$J$62*(8*8)+'LINEST VARS'!$I$62*(8*$EF$80)+'LINEST VARS'!$H$62*(8*0.5)+'LINEST VARS'!$G$62*(8*$DV85)+'LINEST VARS'!$F$62*(8*$EF$80)+'LINEST VARS'!$E$62*(8*0.5)+'LINEST VARS'!$D$62*(8*$DV85)+'LINEST VARS'!$C$62*($EF$80*0.5)+'LINEST VARS'!$B$62*($EF$80*$DV85)+'LINEST VARS'!$A$62*(0.5*$DV85)</f>
        <v>284.7</v>
      </c>
      <c r="EG85" s="55">
        <f>'LINEST VARS'!$U$62+'LINEST VARS'!$T$62*(8)+'LINEST VARS'!$S$62*(8)+'LINEST VARS'!$R$62*($EG$80)+'LINEST VARS'!$Q$62*(0.5)+'LINEST VARS'!$P$62*($DV85)+'LINEST VARS'!$O$62*(8^2)+'LINEST VARS'!$N$62*(8^2)+'LINEST VARS'!$M$62*($EG$80^2)+'LINEST VARS'!$L$62*(0.5^2)+'LINEST VARS'!$K$62*($DV85^2)+'LINEST VARS'!$J$62*(8*8)+'LINEST VARS'!$I$62*(8*$EG$80)+'LINEST VARS'!$H$62*(8*0.5)+'LINEST VARS'!$G$62*(8*$DV85)+'LINEST VARS'!$F$62*(8*$EG$80)+'LINEST VARS'!$E$62*(8*0.5)+'LINEST VARS'!$D$62*(8*$DV85)+'LINEST VARS'!$C$62*($EG$80*0.5)+'LINEST VARS'!$B$62*($EG$80*$DV85)+'LINEST VARS'!$A$62*(0.5*$DV85)</f>
        <v>269.5</v>
      </c>
      <c r="EH85" s="55">
        <f>'LINEST VARS'!$U$62+'LINEST VARS'!$T$62*(8)+'LINEST VARS'!$S$62*(8)+'LINEST VARS'!$R$62*($EH$80)+'LINEST VARS'!$Q$62*(0.5)+'LINEST VARS'!$P$62*($DV85)+'LINEST VARS'!$O$62*(8^2)+'LINEST VARS'!$N$62*(8^2)+'LINEST VARS'!$M$62*($EH$80^2)+'LINEST VARS'!$L$62*(0.5^2)+'LINEST VARS'!$K$62*($DV85^2)+'LINEST VARS'!$J$62*(8*8)+'LINEST VARS'!$I$62*(8*$EH$80)+'LINEST VARS'!$H$62*(8*0.5)+'LINEST VARS'!$G$62*(8*$DV85)+'LINEST VARS'!$F$62*(8*$EH$80)+'LINEST VARS'!$E$62*(8*0.5)+'LINEST VARS'!$D$62*(8*$DV85)+'LINEST VARS'!$C$62*($EH$80*0.5)+'LINEST VARS'!$B$62*($EH$80*$DV85)+'LINEST VARS'!$A$62*(0.5*$DV85)</f>
        <v>252.70000000000002</v>
      </c>
      <c r="EI85" s="55">
        <f>'LINEST VARS'!$U$62+'LINEST VARS'!$T$62*(8)+'LINEST VARS'!$S$62*(8)+'LINEST VARS'!$R$62*($EI$80)+'LINEST VARS'!$Q$62*(0.5)+'LINEST VARS'!$P$62*($DV85)+'LINEST VARS'!$O$62*(8^2)+'LINEST VARS'!$N$62*(8^2)+'LINEST VARS'!$M$62*($EI$80^2)+'LINEST VARS'!$L$62*(0.5^2)+'LINEST VARS'!$K$62*($DV85^2)+'LINEST VARS'!$J$62*(8*8)+'LINEST VARS'!$I$62*(8*$EI$80)+'LINEST VARS'!$H$62*(8*0.5)+'LINEST VARS'!$G$62*(8*$DV85)+'LINEST VARS'!$F$62*(8*$EI$80)+'LINEST VARS'!$E$62*(8*0.5)+'LINEST VARS'!$D$62*(8*$DV85)+'LINEST VARS'!$C$62*($EI$80*0.5)+'LINEST VARS'!$B$62*($EI$80*$DV85)+'LINEST VARS'!$A$62*(0.5*$DV85)</f>
        <v>234.30000000000007</v>
      </c>
      <c r="EJ85" s="55">
        <f>'LINEST VARS'!$U$62+'LINEST VARS'!$T$62*(8)+'LINEST VARS'!$S$62*(8)+'LINEST VARS'!$R$62*($EJ$80)+'LINEST VARS'!$Q$62*(0.5)+'LINEST VARS'!$P$62*($DV85)+'LINEST VARS'!$O$62*(8^2)+'LINEST VARS'!$N$62*(8^2)+'LINEST VARS'!$M$62*($EJ$80^2)+'LINEST VARS'!$L$62*(0.5^2)+'LINEST VARS'!$K$62*($DV85^2)+'LINEST VARS'!$J$62*(8*8)+'LINEST VARS'!$I$62*(8*$EJ$80)+'LINEST VARS'!$H$62*(8*0.5)+'LINEST VARS'!$G$62*(8*$DV85)+'LINEST VARS'!$F$62*(8*$EJ$80)+'LINEST VARS'!$E$62*(8*0.5)+'LINEST VARS'!$D$62*(8*$DV85)+'LINEST VARS'!$C$62*($EJ$80*0.5)+'LINEST VARS'!$B$62*($EJ$80*$DV85)+'LINEST VARS'!$A$62*(0.5*$DV85)</f>
        <v>214.3</v>
      </c>
      <c r="EK85" s="55">
        <f>'LINEST VARS'!$U$62+'LINEST VARS'!$T$62*(8)+'LINEST VARS'!$S$62*(8)+'LINEST VARS'!$R$62*($EK$80)+'LINEST VARS'!$Q$62*(0.5)+'LINEST VARS'!$P$62*($DV85)+'LINEST VARS'!$O$62*(8^2)+'LINEST VARS'!$N$62*(8^2)+'LINEST VARS'!$M$62*($EK$80^2)+'LINEST VARS'!$L$62*(0.5^2)+'LINEST VARS'!$K$62*($DV85^2)+'LINEST VARS'!$J$62*(8*8)+'LINEST VARS'!$I$62*(8*$EK$80)+'LINEST VARS'!$H$62*(8*0.5)+'LINEST VARS'!$G$62*(8*$DV85)+'LINEST VARS'!$F$62*(8*$EK$80)+'LINEST VARS'!$E$62*(8*0.5)+'LINEST VARS'!$D$62*(8*$DV85)+'LINEST VARS'!$C$62*($EK$80*0.5)+'LINEST VARS'!$B$62*($EK$80*$DV85)+'LINEST VARS'!$A$62*(0.5*$DV85)</f>
        <v>192.7000000000001</v>
      </c>
      <c r="EL85" s="55">
        <f>'LINEST VARS'!$U$62+'LINEST VARS'!$T$62*(8)+'LINEST VARS'!$S$62*(8)+'LINEST VARS'!$R$62*($EL$80)+'LINEST VARS'!$Q$62*(0.5)+'LINEST VARS'!$P$62*($DV85)+'LINEST VARS'!$O$62*(8^2)+'LINEST VARS'!$N$62*(8^2)+'LINEST VARS'!$M$62*($EL$80^2)+'LINEST VARS'!$L$62*(0.5^2)+'LINEST VARS'!$K$62*($DV85^2)+'LINEST VARS'!$J$62*(8*8)+'LINEST VARS'!$I$62*(8*$EL$80)+'LINEST VARS'!$H$62*(8*0.5)+'LINEST VARS'!$G$62*(8*$DV85)+'LINEST VARS'!$F$62*(8*$EL$80)+'LINEST VARS'!$E$62*(8*0.5)+'LINEST VARS'!$D$62*(8*$DV85)+'LINEST VARS'!$C$62*($EL$80*0.5)+'LINEST VARS'!$B$62*($EL$80*$DV85)+'LINEST VARS'!$A$62*(0.5*$DV85)</f>
        <v>169.50000000000009</v>
      </c>
      <c r="EM85" s="55">
        <f>'LINEST VARS'!$U$62+'LINEST VARS'!$T$62*(8)+'LINEST VARS'!$S$62*(8)+'LINEST VARS'!$R$62*($EM$80)+'LINEST VARS'!$Q$62*(0.5)+'LINEST VARS'!$P$62*($DV85)+'LINEST VARS'!$O$62*(8^2)+'LINEST VARS'!$N$62*(8^2)+'LINEST VARS'!$M$62*($EM$80^2)+'LINEST VARS'!$L$62*(0.5^2)+'LINEST VARS'!$K$62*($DV85^2)+'LINEST VARS'!$J$62*(8*8)+'LINEST VARS'!$I$62*(8*$EM$80)+'LINEST VARS'!$H$62*(8*0.5)+'LINEST VARS'!$G$62*(8*$DV85)+'LINEST VARS'!$F$62*(8*$EM$80)+'LINEST VARS'!$E$62*(8*0.5)+'LINEST VARS'!$D$62*(8*$DV85)+'LINEST VARS'!$C$62*($EM$80*0.5)+'LINEST VARS'!$B$62*($EM$80*$DV85)+'LINEST VARS'!$A$62*(0.5*$DV85)</f>
        <v>144.70000000000007</v>
      </c>
      <c r="EN85" s="55">
        <f>'LINEST VARS'!$U$62+'LINEST VARS'!$T$62*(8)+'LINEST VARS'!$S$62*(8)+'LINEST VARS'!$R$62*($EN$80)+'LINEST VARS'!$Q$62*(0.5)+'LINEST VARS'!$P$62*($DV85)+'LINEST VARS'!$O$62*(8^2)+'LINEST VARS'!$N$62*(8^2)+'LINEST VARS'!$M$62*($EN$80^2)+'LINEST VARS'!$L$62*(0.5^2)+'LINEST VARS'!$K$62*($DV85^2)+'LINEST VARS'!$J$62*(8*8)+'LINEST VARS'!$I$62*(8*$EN$80)+'LINEST VARS'!$H$62*(8*0.5)+'LINEST VARS'!$G$62*(8*$DV85)+'LINEST VARS'!$F$62*(8*$EN$80)+'LINEST VARS'!$E$62*(8*0.5)+'LINEST VARS'!$D$62*(8*$DV85)+'LINEST VARS'!$C$62*($EN$80*0.5)+'LINEST VARS'!$B$62*($EN$80*$DV85)+'LINEST VARS'!$A$62*(0.5*$DV85)</f>
        <v>118.30000000000011</v>
      </c>
      <c r="EO85" s="55">
        <f>'LINEST VARS'!$U$62+'LINEST VARS'!$T$62*(8)+'LINEST VARS'!$S$62*(8)+'LINEST VARS'!$R$62*($EO$80)+'LINEST VARS'!$Q$62*(0.5)+'LINEST VARS'!$P$62*($DV85)+'LINEST VARS'!$O$62*(8^2)+'LINEST VARS'!$N$62*(8^2)+'LINEST VARS'!$M$62*($EO$80^2)+'LINEST VARS'!$L$62*(0.5^2)+'LINEST VARS'!$K$62*($DV85^2)+'LINEST VARS'!$J$62*(8*8)+'LINEST VARS'!$I$62*(8*$EO$80)+'LINEST VARS'!$H$62*(8*0.5)+'LINEST VARS'!$G$62*(8*$DV85)+'LINEST VARS'!$F$62*(8*$EO$80)+'LINEST VARS'!$E$62*(8*0.5)+'LINEST VARS'!$D$62*(8*$DV85)+'LINEST VARS'!$C$62*($EO$80*0.5)+'LINEST VARS'!$B$62*($EO$80*$DV85)+'LINEST VARS'!$A$62*(0.5*$DV85)</f>
        <v>90.300000000000111</v>
      </c>
      <c r="EP85" s="55">
        <f>'LINEST VARS'!$U$62+'LINEST VARS'!$T$62*(8)+'LINEST VARS'!$S$62*(8)+'LINEST VARS'!$R$62*($EP$80)+'LINEST VARS'!$Q$62*(0.5)+'LINEST VARS'!$P$62*($DV85)+'LINEST VARS'!$O$62*(8^2)+'LINEST VARS'!$N$62*(8^2)+'LINEST VARS'!$M$62*($EP$80^2)+'LINEST VARS'!$L$62*(0.5^2)+'LINEST VARS'!$K$62*($DV85^2)+'LINEST VARS'!$J$62*(8*8)+'LINEST VARS'!$I$62*(8*$EP$80)+'LINEST VARS'!$H$62*(8*0.5)+'LINEST VARS'!$G$62*(8*$DV85)+'LINEST VARS'!$F$62*(8*$EP$80)+'LINEST VARS'!$E$62*(8*0.5)+'LINEST VARS'!$D$62*(8*$DV85)+'LINEST VARS'!$C$62*($EP$80*0.5)+'LINEST VARS'!$B$62*($EP$80*$DV85)+'LINEST VARS'!$A$62*(0.5*$DV85)</f>
        <v>60.700000000000159</v>
      </c>
      <c r="EQ85" s="56">
        <f>'LINEST VARS'!$U$62+'LINEST VARS'!$T$62*(8)+'LINEST VARS'!$S$62*(8)+'LINEST VARS'!$R$62*($EQ$80)+'LINEST VARS'!$Q$62*(0.5)+'LINEST VARS'!$P$62*($DV85)+'LINEST VARS'!$O$62*(8^2)+'LINEST VARS'!$N$62*(8^2)+'LINEST VARS'!$M$62*($EQ$80^2)+'LINEST VARS'!$L$62*(0.5^2)+'LINEST VARS'!$K$62*($DV85^2)+'LINEST VARS'!$J$62*(8*8)+'LINEST VARS'!$I$62*(8*$EQ$80)+'LINEST VARS'!$H$62*(8*0.5)+'LINEST VARS'!$G$62*(8*$DV85)+'LINEST VARS'!$F$62*(8*$EQ$80)+'LINEST VARS'!$E$62*(8*0.5)+'LINEST VARS'!$D$62*(8*$DV85)+'LINEST VARS'!$C$62*($EQ$80*0.5)+'LINEST VARS'!$B$62*($EQ$80*$DV85)+'LINEST VARS'!$A$62*(0.5*$DV85)</f>
        <v>29.500000000000195</v>
      </c>
    </row>
    <row r="86" spans="2:147" ht="15" customHeight="1" x14ac:dyDescent="0.25">
      <c r="B86" s="45">
        <v>7.7</v>
      </c>
      <c r="C86" s="46">
        <f>'LINEST VARS'!$U$60+'LINEST VARS'!$T$60*($C$80)+'LINEST VARS'!$S$60*($B86)+'LINEST VARS'!$R$60*(4)+'LINEST VARS'!$Q$60*(0.5)+'LINEST VARS'!$P$60*(12.73)+'LINEST VARS'!$O$60*($C$80^2)+'LINEST VARS'!$N$60*($B86^2)+'LINEST VARS'!$M$60*(4^2)+'LINEST VARS'!$L$60*(0.5^2)+'LINEST VARS'!$K$60*(12.73^2)+'LINEST VARS'!$J$60*($C$80*$B86)+'LINEST VARS'!$I$60*($C$80*4)+'LINEST VARS'!$H$60*($C$80*0.5)+'LINEST VARS'!$G$60*($C$80*12.73)+'LINEST VARS'!$F$60*($B86*4)+'LINEST VARS'!$E$60*($B86*0.5)+'LINEST VARS'!$D$60*($B86*12.73)+'LINEST VARS'!$C$60*(4*0.5)+'LINEST VARS'!$B$60*(4*12.73)+'LINEST VARS'!$A$60*(0.5*12.73)</f>
        <v>40.460000000000015</v>
      </c>
      <c r="D86" s="46">
        <f>'LINEST VARS'!$U$60+'LINEST VARS'!$T$60*($D$80)+'LINEST VARS'!$S$60*($B86)+'LINEST VARS'!$R$60*(4)+'LINEST VARS'!$Q$60*(0.5)+'LINEST VARS'!$P$60*(12.73)+'LINEST VARS'!$O$60*($D$80^2)+'LINEST VARS'!$N$60*($B86^2)+'LINEST VARS'!$M$60*(4^2)+'LINEST VARS'!$L$60*(0.5^2)+'LINEST VARS'!$K$60*(12.73^2)+'LINEST VARS'!$J$60*($D$80*$B86)+'LINEST VARS'!$I$60*($D$80*4)+'LINEST VARS'!$H$60*($D$80*0.5)+'LINEST VARS'!$G$60*($D$80*12.73)+'LINEST VARS'!$F$60*($B86*4)+'LINEST VARS'!$E$60*($B86*0.5)+'LINEST VARS'!$D$60*($B86*12.73)+'LINEST VARS'!$C$60*(4*0.5)+'LINEST VARS'!$B$60*(4*12.73)+'LINEST VARS'!$A$60*(0.5*12.73)</f>
        <v>40.460000000000015</v>
      </c>
      <c r="E86" s="46">
        <f>'LINEST VARS'!$U$60+'LINEST VARS'!$T$60*($E$80)+'LINEST VARS'!$S$60*($B86)+'LINEST VARS'!$R$60*(4)+'LINEST VARS'!$Q$60*(0.5)+'LINEST VARS'!$P$60*(12.73)+'LINEST VARS'!$O$60*($E$80^2)+'LINEST VARS'!$N$60*($B86^2)+'LINEST VARS'!$M$60*(4^2)+'LINEST VARS'!$L$60*(0.5^2)+'LINEST VARS'!$K$60*(12.73^2)+'LINEST VARS'!$J$60*($E$80*$B86)+'LINEST VARS'!$I$60*($E$80*4)+'LINEST VARS'!$H$60*($E$80*0.5)+'LINEST VARS'!$G$60*($E$80*12.73)+'LINEST VARS'!$F$60*($B86*4)+'LINEST VARS'!$E$60*($B86*0.5)+'LINEST VARS'!$D$60*($B86*12.73)+'LINEST VARS'!$C$60*(4*0.5)+'LINEST VARS'!$B$60*(4*12.73)+'LINEST VARS'!$A$60*(0.5*12.73)</f>
        <v>40.460000000000015</v>
      </c>
      <c r="F86" s="46">
        <f>'LINEST VARS'!$U$60+'LINEST VARS'!$T$60*($F$80)+'LINEST VARS'!$S$60*($B86)+'LINEST VARS'!$R$60*(4)+'LINEST VARS'!$Q$60*(0.5)+'LINEST VARS'!$P$60*(12.73)+'LINEST VARS'!$O$60*($F$80^2)+'LINEST VARS'!$N$60*($B86^2)+'LINEST VARS'!$M$60*(4^2)+'LINEST VARS'!$L$60*(0.5^2)+'LINEST VARS'!$K$60*(12.73^2)+'LINEST VARS'!$J$60*($F$80*$B86)+'LINEST VARS'!$I$60*($F$80*4)+'LINEST VARS'!$H$60*($F$80*0.5)+'LINEST VARS'!$G$60*($F$80*12.73)+'LINEST VARS'!$F$60*($B86*4)+'LINEST VARS'!$E$60*($B86*0.5)+'LINEST VARS'!$D$60*($B86*12.73)+'LINEST VARS'!$C$60*(4*0.5)+'LINEST VARS'!$B$60*(4*12.73)+'LINEST VARS'!$A$60*(0.5*12.73)</f>
        <v>40.460000000000015</v>
      </c>
      <c r="G86" s="46">
        <f>'LINEST VARS'!$U$60+'LINEST VARS'!$T$60*($G$80)+'LINEST VARS'!$S$60*($B86)+'LINEST VARS'!$R$60*(4)+'LINEST VARS'!$Q$60*(0.5)+'LINEST VARS'!$P$60*(12.73)+'LINEST VARS'!$O$60*($G$80^2)+'LINEST VARS'!$N$60*($B86^2)+'LINEST VARS'!$M$60*(4^2)+'LINEST VARS'!$L$60*(0.5^2)+'LINEST VARS'!$K$60*(12.73^2)+'LINEST VARS'!$J$60*($G$80*$B86)+'LINEST VARS'!$I$60*($G$80*4)+'LINEST VARS'!$H$60*($G$80*0.5)+'LINEST VARS'!$G$60*($G$80*12.73)+'LINEST VARS'!$F$60*($B86*4)+'LINEST VARS'!$E$60*($B86*0.5)+'LINEST VARS'!$D$60*($B86*12.73)+'LINEST VARS'!$C$60*(4*0.5)+'LINEST VARS'!$B$60*(4*12.73)+'LINEST VARS'!$A$60*(0.5*12.73)</f>
        <v>40.460000000000008</v>
      </c>
      <c r="H86" s="46">
        <f>'LINEST VARS'!$U$60+'LINEST VARS'!$T$60*($H$80)+'LINEST VARS'!$S$60*($B86)+'LINEST VARS'!$R$60*(4)+'LINEST VARS'!$Q$60*(0.5)+'LINEST VARS'!$P$60*(12.73)+'LINEST VARS'!$O$60*($H$80^2)+'LINEST VARS'!$N$60*($B86^2)+'LINEST VARS'!$M$60*(4^2)+'LINEST VARS'!$L$60*(0.5^2)+'LINEST VARS'!$K$60*(12.73^2)+'LINEST VARS'!$J$60*($H$80*$B86)+'LINEST VARS'!$I$60*($H$80*4)+'LINEST VARS'!$H$60*($H$80*0.5)+'LINEST VARS'!$G$60*($H$80*12.73)+'LINEST VARS'!$F$60*($B86*4)+'LINEST VARS'!$E$60*($B86*0.5)+'LINEST VARS'!$D$60*($B86*12.73)+'LINEST VARS'!$C$60*(4*0.5)+'LINEST VARS'!$B$60*(4*12.73)+'LINEST VARS'!$A$60*(0.5*12.73)</f>
        <v>40.460000000000008</v>
      </c>
      <c r="I86" s="46">
        <f>'LINEST VARS'!$U$60+'LINEST VARS'!$T$60*($I$80)+'LINEST VARS'!$S$60*($B86)+'LINEST VARS'!$R$60*(4)+'LINEST VARS'!$Q$60*(0.5)+'LINEST VARS'!$P$60*(12.73)+'LINEST VARS'!$O$60*($I$80^2)+'LINEST VARS'!$N$60*($B86^2)+'LINEST VARS'!$M$60*(4^2)+'LINEST VARS'!$L$60*(0.5^2)+'LINEST VARS'!$K$60*(12.73^2)+'LINEST VARS'!$J$60*($I$80*$B86)+'LINEST VARS'!$I$60*($I$80*4)+'LINEST VARS'!$H$60*($I$80*0.5)+'LINEST VARS'!$G$60*($I$80*12.73)+'LINEST VARS'!$F$60*($B86*4)+'LINEST VARS'!$E$60*($B86*0.5)+'LINEST VARS'!$D$60*($B86*12.73)+'LINEST VARS'!$C$60*(4*0.5)+'LINEST VARS'!$B$60*(4*12.73)+'LINEST VARS'!$A$60*(0.5*12.73)</f>
        <v>40.460000000000015</v>
      </c>
      <c r="J86" s="46">
        <f>'LINEST VARS'!$U$60+'LINEST VARS'!$T$60*($J$80)+'LINEST VARS'!$S$60*($B86)+'LINEST VARS'!$R$60*(4)+'LINEST VARS'!$Q$60*(0.5)+'LINEST VARS'!$P$60*(12.73)+'LINEST VARS'!$O$60*($J$80^2)+'LINEST VARS'!$N$60*($B86^2)+'LINEST VARS'!$M$60*(4^2)+'LINEST VARS'!$L$60*(0.5^2)+'LINEST VARS'!$K$60*(12.73^2)+'LINEST VARS'!$J$60*($J$80*$B86)+'LINEST VARS'!$I$60*($J$80*4)+'LINEST VARS'!$H$60*($J$80*0.5)+'LINEST VARS'!$G$60*($J$80*12.73)+'LINEST VARS'!$F$60*($B86*4)+'LINEST VARS'!$E$60*($B86*0.5)+'LINEST VARS'!$D$60*($B86*12.73)+'LINEST VARS'!$C$60*(4*0.5)+'LINEST VARS'!$B$60*(4*12.73)+'LINEST VARS'!$A$60*(0.5*12.73)</f>
        <v>40.460000000000015</v>
      </c>
      <c r="K86" s="46">
        <f>'LINEST VARS'!$U$60+'LINEST VARS'!$T$60*($K$80)+'LINEST VARS'!$S$60*($B86)+'LINEST VARS'!$R$60*(4)+'LINEST VARS'!$Q$60*(0.5)+'LINEST VARS'!$P$60*(12.73)+'LINEST VARS'!$O$60*($K$80^2)+'LINEST VARS'!$N$60*($B86^2)+'LINEST VARS'!$M$60*(4^2)+'LINEST VARS'!$L$60*(0.5^2)+'LINEST VARS'!$K$60*(12.73^2)+'LINEST VARS'!$J$60*($K$80*$B86)+'LINEST VARS'!$I$60*($K$80*4)+'LINEST VARS'!$H$60*($K$80*0.5)+'LINEST VARS'!$G$60*($K$80*12.73)+'LINEST VARS'!$F$60*($B86*4)+'LINEST VARS'!$E$60*($B86*0.5)+'LINEST VARS'!$D$60*($B86*12.73)+'LINEST VARS'!$C$60*(4*0.5)+'LINEST VARS'!$B$60*(4*12.73)+'LINEST VARS'!$A$60*(0.5*12.73)</f>
        <v>40.460000000000015</v>
      </c>
      <c r="L86" s="46">
        <f>'LINEST VARS'!$U$60+'LINEST VARS'!$T$60*($L$80)+'LINEST VARS'!$S$60*($B86)+'LINEST VARS'!$R$60*(4)+'LINEST VARS'!$Q$60*(0.5)+'LINEST VARS'!$P$60*(12.73)+'LINEST VARS'!$O$60*($L$80^2)+'LINEST VARS'!$N$60*($B86^2)+'LINEST VARS'!$M$60*(4^2)+'LINEST VARS'!$L$60*(0.5^2)+'LINEST VARS'!$K$60*(12.73^2)+'LINEST VARS'!$J$60*($L$80*$B86)+'LINEST VARS'!$I$60*($L$80*4)+'LINEST VARS'!$H$60*($L$80*0.5)+'LINEST VARS'!$G$60*($L$80*12.73)+'LINEST VARS'!$F$60*($B86*4)+'LINEST VARS'!$E$60*($B86*0.5)+'LINEST VARS'!$D$60*($B86*12.73)+'LINEST VARS'!$C$60*(4*0.5)+'LINEST VARS'!$B$60*(4*12.73)+'LINEST VARS'!$A$60*(0.5*12.73)</f>
        <v>40.460000000000015</v>
      </c>
      <c r="M86" s="46">
        <f>'LINEST VARS'!$U$60+'LINEST VARS'!$T$60*($M$80)+'LINEST VARS'!$S$60*($B86)+'LINEST VARS'!$R$60*(4)+'LINEST VARS'!$Q$60*(0.5)+'LINEST VARS'!$P$60*(12.73)+'LINEST VARS'!$O$60*($M$80^2)+'LINEST VARS'!$N$60*($B86^2)+'LINEST VARS'!$M$60*(4^2)+'LINEST VARS'!$L$60*(0.5^2)+'LINEST VARS'!$K$60*(12.73^2)+'LINEST VARS'!$J$60*($M$80*$B86)+'LINEST VARS'!$I$60*($M$80*4)+'LINEST VARS'!$H$60*($M$80*0.5)+'LINEST VARS'!$G$60*($M$80*12.73)+'LINEST VARS'!$F$60*($B86*4)+'LINEST VARS'!$E$60*($B86*0.5)+'LINEST VARS'!$D$60*($B86*12.73)+'LINEST VARS'!$C$60*(4*0.5)+'LINEST VARS'!$B$60*(4*12.73)+'LINEST VARS'!$A$60*(0.5*12.73)</f>
        <v>40.460000000000015</v>
      </c>
      <c r="N86" s="46">
        <f>'LINEST VARS'!$U$60+'LINEST VARS'!$T$60*($N$80)+'LINEST VARS'!$S$60*($B86)+'LINEST VARS'!$R$60*(4)+'LINEST VARS'!$Q$60*(0.5)+'LINEST VARS'!$P$60*(12.73)+'LINEST VARS'!$O$60*($N$80^2)+'LINEST VARS'!$N$60*($B86^2)+'LINEST VARS'!$M$60*(4^2)+'LINEST VARS'!$L$60*(0.5^2)+'LINEST VARS'!$K$60*(12.73^2)+'LINEST VARS'!$J$60*($N$80*$B86)+'LINEST VARS'!$I$60*($N$80*4)+'LINEST VARS'!$H$60*($N$80*0.5)+'LINEST VARS'!$G$60*($N$80*12.73)+'LINEST VARS'!$F$60*($B86*4)+'LINEST VARS'!$E$60*($B86*0.5)+'LINEST VARS'!$D$60*($B86*12.73)+'LINEST VARS'!$C$60*(4*0.5)+'LINEST VARS'!$B$60*(4*12.73)+'LINEST VARS'!$A$60*(0.5*12.73)</f>
        <v>40.460000000000015</v>
      </c>
      <c r="O86" s="46">
        <f>'LINEST VARS'!$U$60+'LINEST VARS'!$T$60*($O$80)+'LINEST VARS'!$S$60*($B86)+'LINEST VARS'!$R$60*(4)+'LINEST VARS'!$Q$60*(0.5)+'LINEST VARS'!$P$60*(12.73)+'LINEST VARS'!$O$60*($O$80^2)+'LINEST VARS'!$N$60*($B86^2)+'LINEST VARS'!$M$60*(4^2)+'LINEST VARS'!$L$60*(0.5^2)+'LINEST VARS'!$K$60*(12.73^2)+'LINEST VARS'!$J$60*($O$80*$B86)+'LINEST VARS'!$I$60*($O$80*4)+'LINEST VARS'!$H$60*($O$80*0.5)+'LINEST VARS'!$G$60*($O$80*12.73)+'LINEST VARS'!$F$60*($B86*4)+'LINEST VARS'!$E$60*($B86*0.5)+'LINEST VARS'!$D$60*($B86*12.73)+'LINEST VARS'!$C$60*(4*0.5)+'LINEST VARS'!$B$60*(4*12.73)+'LINEST VARS'!$A$60*(0.5*12.73)</f>
        <v>40.460000000000022</v>
      </c>
      <c r="P86" s="46">
        <f>'LINEST VARS'!$U$60+'LINEST VARS'!$T$60*($P$80)+'LINEST VARS'!$S$60*($B86)+'LINEST VARS'!$R$60*(4)+'LINEST VARS'!$Q$60*(0.5)+'LINEST VARS'!$P$60*(12.73)+'LINEST VARS'!$O$60*($P$80^2)+'LINEST VARS'!$N$60*($B86^2)+'LINEST VARS'!$M$60*(4^2)+'LINEST VARS'!$L$60*(0.5^2)+'LINEST VARS'!$K$60*(12.73^2)+'LINEST VARS'!$J$60*($P$80*$B86)+'LINEST VARS'!$I$60*($P$80*4)+'LINEST VARS'!$H$60*($P$80*0.5)+'LINEST VARS'!$G$60*($P$80*12.73)+'LINEST VARS'!$F$60*($B86*4)+'LINEST VARS'!$E$60*($B86*0.5)+'LINEST VARS'!$D$60*($B86*12.73)+'LINEST VARS'!$C$60*(4*0.5)+'LINEST VARS'!$B$60*(4*12.73)+'LINEST VARS'!$A$60*(0.5*12.73)</f>
        <v>40.460000000000015</v>
      </c>
      <c r="Q86" s="46">
        <f>'LINEST VARS'!$U$60+'LINEST VARS'!$T$60*($Q$80)+'LINEST VARS'!$S$60*($B86)+'LINEST VARS'!$R$60*(4)+'LINEST VARS'!$Q$60*(0.5)+'LINEST VARS'!$P$60*(12.73)+'LINEST VARS'!$O$60*($Q$80^2)+'LINEST VARS'!$N$60*($B86^2)+'LINEST VARS'!$M$60*(4^2)+'LINEST VARS'!$L$60*(0.5^2)+'LINEST VARS'!$K$60*(12.73^2)+'LINEST VARS'!$J$60*($Q$80*$B86)+'LINEST VARS'!$I$60*($Q$80*4)+'LINEST VARS'!$H$60*($Q$80*0.5)+'LINEST VARS'!$G$60*($Q$80*12.73)+'LINEST VARS'!$F$60*($B86*4)+'LINEST VARS'!$E$60*($B86*0.5)+'LINEST VARS'!$D$60*($B86*12.73)+'LINEST VARS'!$C$60*(4*0.5)+'LINEST VARS'!$B$60*(4*12.73)+'LINEST VARS'!$A$60*(0.5*12.73)</f>
        <v>40.460000000000015</v>
      </c>
      <c r="R86" s="46">
        <f>'LINEST VARS'!$U$60+'LINEST VARS'!$T$60*($R$80)+'LINEST VARS'!$S$60*($B86)+'LINEST VARS'!$R$60*(4)+'LINEST VARS'!$Q$60*(0.5)+'LINEST VARS'!$P$60*(12.73)+'LINEST VARS'!$O$60*($R$80^2)+'LINEST VARS'!$N$60*($B86^2)+'LINEST VARS'!$M$60*(4^2)+'LINEST VARS'!$L$60*(0.5^2)+'LINEST VARS'!$K$60*(12.73^2)+'LINEST VARS'!$J$60*($R$80*$B86)+'LINEST VARS'!$I$60*($R$80*4)+'LINEST VARS'!$H$60*($R$80*0.5)+'LINEST VARS'!$G$60*($R$80*12.73)+'LINEST VARS'!$F$60*($B86*4)+'LINEST VARS'!$E$60*($B86*0.5)+'LINEST VARS'!$D$60*($B86*12.73)+'LINEST VARS'!$C$60*(4*0.5)+'LINEST VARS'!$B$60*(4*12.73)+'LINEST VARS'!$A$60*(0.5*12.73)</f>
        <v>40.460000000000008</v>
      </c>
      <c r="S86" s="46">
        <f>'LINEST VARS'!$U$60+'LINEST VARS'!$T$60*($S$80)+'LINEST VARS'!$S$60*($B86)+'LINEST VARS'!$R$60*(4)+'LINEST VARS'!$Q$60*(0.5)+'LINEST VARS'!$P$60*(12.73)+'LINEST VARS'!$O$60*($S$80^2)+'LINEST VARS'!$N$60*($B86^2)+'LINEST VARS'!$M$60*(4^2)+'LINEST VARS'!$L$60*(0.5^2)+'LINEST VARS'!$K$60*(12.73^2)+'LINEST VARS'!$J$60*($S$80*$B86)+'LINEST VARS'!$I$60*($S$80*4)+'LINEST VARS'!$H$60*($S$80*0.5)+'LINEST VARS'!$G$60*($S$80*12.73)+'LINEST VARS'!$F$60*($B86*4)+'LINEST VARS'!$E$60*($B86*0.5)+'LINEST VARS'!$D$60*($B86*12.73)+'LINEST VARS'!$C$60*(4*0.5)+'LINEST VARS'!$B$60*(4*12.73)+'LINEST VARS'!$A$60*(0.5*12.73)</f>
        <v>40.460000000000008</v>
      </c>
      <c r="T86" s="46">
        <f>'LINEST VARS'!$U$60+'LINEST VARS'!$T$60*($T$80)+'LINEST VARS'!$S$60*($B86)+'LINEST VARS'!$R$60*(4)+'LINEST VARS'!$Q$60*(0.5)+'LINEST VARS'!$P$60*(12.73)+'LINEST VARS'!$O$60*($T$80^2)+'LINEST VARS'!$N$60*($B86^2)+'LINEST VARS'!$M$60*(4^2)+'LINEST VARS'!$L$60*(0.5^2)+'LINEST VARS'!$K$60*(12.73^2)+'LINEST VARS'!$J$60*($T$80*$B86)+'LINEST VARS'!$I$60*($T$80*4)+'LINEST VARS'!$H$60*($T$80*0.5)+'LINEST VARS'!$G$60*($T$80*12.73)+'LINEST VARS'!$F$60*($B86*4)+'LINEST VARS'!$E$60*($B86*0.5)+'LINEST VARS'!$D$60*($B86*12.73)+'LINEST VARS'!$C$60*(4*0.5)+'LINEST VARS'!$B$60*(4*12.73)+'LINEST VARS'!$A$60*(0.5*12.73)</f>
        <v>40.460000000000008</v>
      </c>
      <c r="U86" s="46">
        <f>'LINEST VARS'!$U$60+'LINEST VARS'!$T$60*($U$80)+'LINEST VARS'!$S$60*($B86)+'LINEST VARS'!$R$60*(4)+'LINEST VARS'!$Q$60*(0.5)+'LINEST VARS'!$P$60*(12.73)+'LINEST VARS'!$O$60*($U$80^2)+'LINEST VARS'!$N$60*($B86^2)+'LINEST VARS'!$M$60*(4^2)+'LINEST VARS'!$L$60*(0.5^2)+'LINEST VARS'!$K$60*(12.73^2)+'LINEST VARS'!$J$60*($U$80*$B86)+'LINEST VARS'!$I$60*($U$80*4)+'LINEST VARS'!$H$60*($U$80*0.5)+'LINEST VARS'!$G$60*($U$80*12.73)+'LINEST VARS'!$F$60*($B86*4)+'LINEST VARS'!$E$60*($B86*0.5)+'LINEST VARS'!$D$60*($B86*12.73)+'LINEST VARS'!$C$60*(4*0.5)+'LINEST VARS'!$B$60*(4*12.73)+'LINEST VARS'!$A$60*(0.5*12.73)</f>
        <v>40.460000000000015</v>
      </c>
      <c r="V86" s="46">
        <f>'LINEST VARS'!$U$60+'LINEST VARS'!$T$60*($V$80)+'LINEST VARS'!$S$60*($B86)+'LINEST VARS'!$R$60*(4)+'LINEST VARS'!$Q$60*(0.5)+'LINEST VARS'!$P$60*(12.73)+'LINEST VARS'!$O$60*($V$80^2)+'LINEST VARS'!$N$60*($B86^2)+'LINEST VARS'!$M$60*(4^2)+'LINEST VARS'!$L$60*(0.5^2)+'LINEST VARS'!$K$60*(12.73^2)+'LINEST VARS'!$J$60*($V$80*$B86)+'LINEST VARS'!$I$60*($V$80*4)+'LINEST VARS'!$H$60*($V$80*0.5)+'LINEST VARS'!$G$60*($V$80*12.73)+'LINEST VARS'!$F$60*($B86*4)+'LINEST VARS'!$E$60*($B86*0.5)+'LINEST VARS'!$D$60*($B86*12.73)+'LINEST VARS'!$C$60*(4*0.5)+'LINEST VARS'!$B$60*(4*12.73)+'LINEST VARS'!$A$60*(0.5*12.73)</f>
        <v>40.460000000000015</v>
      </c>
      <c r="W86" s="47">
        <f>'LINEST VARS'!$U$60+'LINEST VARS'!$T$60*($W$80)+'LINEST VARS'!$S$60*($B86)+'LINEST VARS'!$R$60*(4)+'LINEST VARS'!$Q$60*(0.5)+'LINEST VARS'!$P$60*(12.73)+'LINEST VARS'!$O$60*($W$80^2)+'LINEST VARS'!$N$60*($B86^2)+'LINEST VARS'!$M$60*(4^2)+'LINEST VARS'!$L$60*(0.5^2)+'LINEST VARS'!$K$60*(12.73^2)+'LINEST VARS'!$J$60*($W$80*$B86)+'LINEST VARS'!$I$60*($W$80*4)+'LINEST VARS'!$H$60*($W$80*0.5)+'LINEST VARS'!$G$60*($W$80*12.73)+'LINEST VARS'!$F$60*($B86*4)+'LINEST VARS'!$E$60*($B86*0.5)+'LINEST VARS'!$D$60*($B86*12.73)+'LINEST VARS'!$C$60*(4*0.5)+'LINEST VARS'!$B$60*(4*12.73)+'LINEST VARS'!$A$60*(0.5*12.73)</f>
        <v>40.460000000000015</v>
      </c>
      <c r="Z86" s="45">
        <v>7.7</v>
      </c>
      <c r="AA86" s="55">
        <f>'LINEST VARS'!$U$62+'LINEST VARS'!$T$62*($AA$80)+'LINEST VARS'!$S$62*($Z86)+'LINEST VARS'!$R$62*(4)+'LINEST VARS'!$Q$62*(0.5)+'LINEST VARS'!$P$62*(12.73)+'LINEST VARS'!$O$62*($AA$80^2)+'LINEST VARS'!$N$62*($Z86^2)+'LINEST VARS'!$M$62*(4^2)+'LINEST VARS'!$L$62*(0.5^2)+'LINEST VARS'!$K$62*(12.73^2)+'LINEST VARS'!$J$62*($AA$80*$Z86)+'LINEST VARS'!$I$62*($AA$80*4)+'LINEST VARS'!$H$62*($AA$80*0.5)+'LINEST VARS'!$G$62*($AA$80*12.73)+'LINEST VARS'!$F$62*($Z86*4)+'LINEST VARS'!$E$62*($Z86*0.5)+'LINEST VARS'!$D$62*($Z86*12.73)+'LINEST VARS'!$C$62*(4*0.5)+'LINEST VARS'!$B$62*(4*12.73)+'LINEST VARS'!$A$62*(0.5*12.73)</f>
        <v>269.49999999999994</v>
      </c>
      <c r="AB86" s="55">
        <f>'LINEST VARS'!$U$62+'LINEST VARS'!$T$62*($AB$80)+'LINEST VARS'!$S$62*($Z86)+'LINEST VARS'!$R$62*(4)+'LINEST VARS'!$Q$62*(0.5)+'LINEST VARS'!$P$62*(12.73)+'LINEST VARS'!$O$62*($AB$80^2)+'LINEST VARS'!$N$62*($Z86^2)+'LINEST VARS'!$M$62*(4^2)+'LINEST VARS'!$L$62*(0.5^2)+'LINEST VARS'!$K$62*(12.73^2)+'LINEST VARS'!$J$62*($AB$80*$Z86)+'LINEST VARS'!$I$62*($AB$80*4)+'LINEST VARS'!$H$62*($AB$80*0.5)+'LINEST VARS'!$G$62*($AB$80*12.73)+'LINEST VARS'!$F$62*($Z86*4)+'LINEST VARS'!$E$62*($Z86*0.5)+'LINEST VARS'!$D$62*($Z86*12.73)+'LINEST VARS'!$C$62*(4*0.5)+'LINEST VARS'!$B$62*(4*12.73)+'LINEST VARS'!$A$62*(0.5*12.73)</f>
        <v>269.5</v>
      </c>
      <c r="AC86" s="55">
        <f>'LINEST VARS'!$U$62+'LINEST VARS'!$T$62*($AC$80)+'LINEST VARS'!$S$62*($Z86)+'LINEST VARS'!$R$62*(4)+'LINEST VARS'!$Q$62*(0.5)+'LINEST VARS'!$P$62*(12.73)+'LINEST VARS'!$O$62*($AC$80^2)+'LINEST VARS'!$N$62*($Z86^2)+'LINEST VARS'!$M$62*(4^2)+'LINEST VARS'!$L$62*(0.5^2)+'LINEST VARS'!$K$62*(12.73^2)+'LINEST VARS'!$J$62*($AC$80*$Z86)+'LINEST VARS'!$I$62*($AC$80*4)+'LINEST VARS'!$H$62*($AC$80*0.5)+'LINEST VARS'!$G$62*($AC$80*12.73)+'LINEST VARS'!$F$62*($Z86*4)+'LINEST VARS'!$E$62*($Z86*0.5)+'LINEST VARS'!$D$62*($Z86*12.73)+'LINEST VARS'!$C$62*(4*0.5)+'LINEST VARS'!$B$62*(4*12.73)+'LINEST VARS'!$A$62*(0.5*12.73)</f>
        <v>269.49999999999994</v>
      </c>
      <c r="AD86" s="55">
        <f>'LINEST VARS'!$U$62+'LINEST VARS'!$T$62*($AD$80)+'LINEST VARS'!$S$62*($Z86)+'LINEST VARS'!$R$62*(4)+'LINEST VARS'!$Q$62*(0.5)+'LINEST VARS'!$P$62*(12.73)+'LINEST VARS'!$O$62*($AD$80^2)+'LINEST VARS'!$N$62*($Z86^2)+'LINEST VARS'!$M$62*(4^2)+'LINEST VARS'!$L$62*(0.5^2)+'LINEST VARS'!$K$62*(12.73^2)+'LINEST VARS'!$J$62*($AD$80*$Z86)+'LINEST VARS'!$I$62*($AD$80*4)+'LINEST VARS'!$H$62*($AD$80*0.5)+'LINEST VARS'!$G$62*($AD$80*12.73)+'LINEST VARS'!$F$62*($Z86*4)+'LINEST VARS'!$E$62*($Z86*0.5)+'LINEST VARS'!$D$62*($Z86*12.73)+'LINEST VARS'!$C$62*(4*0.5)+'LINEST VARS'!$B$62*(4*12.73)+'LINEST VARS'!$A$62*(0.5*12.73)</f>
        <v>269.5</v>
      </c>
      <c r="AE86" s="55">
        <f>'LINEST VARS'!$U$62+'LINEST VARS'!$T$62*($AE$80)+'LINEST VARS'!$S$62*($Z86)+'LINEST VARS'!$R$62*(4)+'LINEST VARS'!$Q$62*(0.5)+'LINEST VARS'!$P$62*(12.73)+'LINEST VARS'!$O$62*($AE$80^2)+'LINEST VARS'!$N$62*($Z86^2)+'LINEST VARS'!$M$62*(4^2)+'LINEST VARS'!$L$62*(0.5^2)+'LINEST VARS'!$K$62*(12.73^2)+'LINEST VARS'!$J$62*($AE$80*$Z86)+'LINEST VARS'!$I$62*($AE$80*4)+'LINEST VARS'!$H$62*($AE$80*0.5)+'LINEST VARS'!$G$62*($AE$80*12.73)+'LINEST VARS'!$F$62*($Z86*4)+'LINEST VARS'!$E$62*($Z86*0.5)+'LINEST VARS'!$D$62*($Z86*12.73)+'LINEST VARS'!$C$62*(4*0.5)+'LINEST VARS'!$B$62*(4*12.73)+'LINEST VARS'!$A$62*(0.5*12.73)</f>
        <v>269.49999999999994</v>
      </c>
      <c r="AF86" s="55">
        <f>'LINEST VARS'!$U$62+'LINEST VARS'!$T$62*($AF$80)+'LINEST VARS'!$S$62*($Z86)+'LINEST VARS'!$R$62*(4)+'LINEST VARS'!$Q$62*(0.5)+'LINEST VARS'!$P$62*(12.73)+'LINEST VARS'!$O$62*($AF$80^2)+'LINEST VARS'!$N$62*($Z86^2)+'LINEST VARS'!$M$62*(4^2)+'LINEST VARS'!$L$62*(0.5^2)+'LINEST VARS'!$K$62*(12.73^2)+'LINEST VARS'!$J$62*($AF$80*$Z86)+'LINEST VARS'!$I$62*($AF$80*4)+'LINEST VARS'!$H$62*($AF$80*0.5)+'LINEST VARS'!$G$62*($AF$80*12.73)+'LINEST VARS'!$F$62*($Z86*4)+'LINEST VARS'!$E$62*($Z86*0.5)+'LINEST VARS'!$D$62*($Z86*12.73)+'LINEST VARS'!$C$62*(4*0.5)+'LINEST VARS'!$B$62*(4*12.73)+'LINEST VARS'!$A$62*(0.5*12.73)</f>
        <v>269.49999999999989</v>
      </c>
      <c r="AG86" s="55">
        <f>'LINEST VARS'!$U$62+'LINEST VARS'!$T$62*($AG$80)+'LINEST VARS'!$S$62*($Z86)+'LINEST VARS'!$R$62*(4)+'LINEST VARS'!$Q$62*(0.5)+'LINEST VARS'!$P$62*(12.73)+'LINEST VARS'!$O$62*($AG$80^2)+'LINEST VARS'!$N$62*($Z86^2)+'LINEST VARS'!$M$62*(4^2)+'LINEST VARS'!$L$62*(0.5^2)+'LINEST VARS'!$K$62*(12.73^2)+'LINEST VARS'!$J$62*($AG$80*$Z86)+'LINEST VARS'!$I$62*($AG$80*4)+'LINEST VARS'!$H$62*($AG$80*0.5)+'LINEST VARS'!$G$62*($AG$80*12.73)+'LINEST VARS'!$F$62*($Z86*4)+'LINEST VARS'!$E$62*($Z86*0.5)+'LINEST VARS'!$D$62*($Z86*12.73)+'LINEST VARS'!$C$62*(4*0.5)+'LINEST VARS'!$B$62*(4*12.73)+'LINEST VARS'!$A$62*(0.5*12.73)</f>
        <v>269.5</v>
      </c>
      <c r="AH86" s="55">
        <f>'LINEST VARS'!$U$62+'LINEST VARS'!$T$62*($AH$80)+'LINEST VARS'!$S$62*($Z86)+'LINEST VARS'!$R$62*(4)+'LINEST VARS'!$Q$62*(0.5)+'LINEST VARS'!$P$62*(12.73)+'LINEST VARS'!$O$62*($AH$80^2)+'LINEST VARS'!$N$62*($Z86^2)+'LINEST VARS'!$M$62*(4^2)+'LINEST VARS'!$L$62*(0.5^2)+'LINEST VARS'!$K$62*(12.73^2)+'LINEST VARS'!$J$62*($AH$80*$Z86)+'LINEST VARS'!$I$62*($AH$80*4)+'LINEST VARS'!$H$62*($AH$80*0.5)+'LINEST VARS'!$G$62*($AH$80*12.73)+'LINEST VARS'!$F$62*($Z86*4)+'LINEST VARS'!$E$62*($Z86*0.5)+'LINEST VARS'!$D$62*($Z86*12.73)+'LINEST VARS'!$C$62*(4*0.5)+'LINEST VARS'!$B$62*(4*12.73)+'LINEST VARS'!$A$62*(0.5*12.73)</f>
        <v>269.49999999999994</v>
      </c>
      <c r="AI86" s="55">
        <f>'LINEST VARS'!$U$62+'LINEST VARS'!$T$62*($AI$80)+'LINEST VARS'!$S$62*($Z86)+'LINEST VARS'!$R$62*(4)+'LINEST VARS'!$Q$62*(0.5)+'LINEST VARS'!$P$62*(12.73)+'LINEST VARS'!$O$62*($AI$80^2)+'LINEST VARS'!$N$62*($Z86^2)+'LINEST VARS'!$M$62*(4^2)+'LINEST VARS'!$L$62*(0.5^2)+'LINEST VARS'!$K$62*(12.73^2)+'LINEST VARS'!$J$62*($AI$80*$Z86)+'LINEST VARS'!$I$62*($AI$80*4)+'LINEST VARS'!$H$62*($AI$80*0.5)+'LINEST VARS'!$G$62*($AI$80*12.73)+'LINEST VARS'!$F$62*($Z86*4)+'LINEST VARS'!$E$62*($Z86*0.5)+'LINEST VARS'!$D$62*($Z86*12.73)+'LINEST VARS'!$C$62*(4*0.5)+'LINEST VARS'!$B$62*(4*12.73)+'LINEST VARS'!$A$62*(0.5*12.73)</f>
        <v>269.49999999999994</v>
      </c>
      <c r="AJ86" s="55">
        <f>'LINEST VARS'!$U$62+'LINEST VARS'!$T$62*($AJ$80)+'LINEST VARS'!$S$62*($Z86)+'LINEST VARS'!$R$62*(4)+'LINEST VARS'!$Q$62*(0.5)+'LINEST VARS'!$P$62*(12.73)+'LINEST VARS'!$O$62*($AJ$80^2)+'LINEST VARS'!$N$62*($Z86^2)+'LINEST VARS'!$M$62*(4^2)+'LINEST VARS'!$L$62*(0.5^2)+'LINEST VARS'!$K$62*(12.73^2)+'LINEST VARS'!$J$62*($AJ$80*$Z86)+'LINEST VARS'!$I$62*($AJ$80*4)+'LINEST VARS'!$H$62*($AJ$80*0.5)+'LINEST VARS'!$G$62*($AJ$80*12.73)+'LINEST VARS'!$F$62*($Z86*4)+'LINEST VARS'!$E$62*($Z86*0.5)+'LINEST VARS'!$D$62*($Z86*12.73)+'LINEST VARS'!$C$62*(4*0.5)+'LINEST VARS'!$B$62*(4*12.73)+'LINEST VARS'!$A$62*(0.5*12.73)</f>
        <v>269.49999999999994</v>
      </c>
      <c r="AK86" s="55">
        <f>'LINEST VARS'!$U$62+'LINEST VARS'!$T$62*($AK$80)+'LINEST VARS'!$S$62*($Z86)+'LINEST VARS'!$R$62*(4)+'LINEST VARS'!$Q$62*(0.5)+'LINEST VARS'!$P$62*(12.73)+'LINEST VARS'!$O$62*($AK$80^2)+'LINEST VARS'!$N$62*($Z86^2)+'LINEST VARS'!$M$62*(4^2)+'LINEST VARS'!$L$62*(0.5^2)+'LINEST VARS'!$K$62*(12.73^2)+'LINEST VARS'!$J$62*($AK$80*$Z86)+'LINEST VARS'!$I$62*($AK$80*4)+'LINEST VARS'!$H$62*($AK$80*0.5)+'LINEST VARS'!$G$62*($AK$80*12.73)+'LINEST VARS'!$F$62*($Z86*4)+'LINEST VARS'!$E$62*($Z86*0.5)+'LINEST VARS'!$D$62*($Z86*12.73)+'LINEST VARS'!$C$62*(4*0.5)+'LINEST VARS'!$B$62*(4*12.73)+'LINEST VARS'!$A$62*(0.5*12.73)</f>
        <v>269.49999999999994</v>
      </c>
      <c r="AL86" s="55">
        <f>'LINEST VARS'!$U$62+'LINEST VARS'!$T$62*($AL$80)+'LINEST VARS'!$S$62*($Z86)+'LINEST VARS'!$R$62*(4)+'LINEST VARS'!$Q$62*(0.5)+'LINEST VARS'!$P$62*(12.73)+'LINEST VARS'!$O$62*($AL$80^2)+'LINEST VARS'!$N$62*($Z86^2)+'LINEST VARS'!$M$62*(4^2)+'LINEST VARS'!$L$62*(0.5^2)+'LINEST VARS'!$K$62*(12.73^2)+'LINEST VARS'!$J$62*($AL$80*$Z86)+'LINEST VARS'!$I$62*($AL$80*4)+'LINEST VARS'!$H$62*($AL$80*0.5)+'LINEST VARS'!$G$62*($AL$80*12.73)+'LINEST VARS'!$F$62*($Z86*4)+'LINEST VARS'!$E$62*($Z86*0.5)+'LINEST VARS'!$D$62*($Z86*12.73)+'LINEST VARS'!$C$62*(4*0.5)+'LINEST VARS'!$B$62*(4*12.73)+'LINEST VARS'!$A$62*(0.5*12.73)</f>
        <v>269.49999999999994</v>
      </c>
      <c r="AM86" s="55">
        <f>'LINEST VARS'!$U$62+'LINEST VARS'!$T$62*($AM$80)+'LINEST VARS'!$S$62*($Z86)+'LINEST VARS'!$R$62*(4)+'LINEST VARS'!$Q$62*(0.5)+'LINEST VARS'!$P$62*(12.73)+'LINEST VARS'!$O$62*($AM$80^2)+'LINEST VARS'!$N$62*($Z86^2)+'LINEST VARS'!$M$62*(4^2)+'LINEST VARS'!$L$62*(0.5^2)+'LINEST VARS'!$K$62*(12.73^2)+'LINEST VARS'!$J$62*($AM$80*$Z86)+'LINEST VARS'!$I$62*($AM$80*4)+'LINEST VARS'!$H$62*($AM$80*0.5)+'LINEST VARS'!$G$62*($AM$80*12.73)+'LINEST VARS'!$F$62*($Z86*4)+'LINEST VARS'!$E$62*($Z86*0.5)+'LINEST VARS'!$D$62*($Z86*12.73)+'LINEST VARS'!$C$62*(4*0.5)+'LINEST VARS'!$B$62*(4*12.73)+'LINEST VARS'!$A$62*(0.5*12.73)</f>
        <v>269.49999999999994</v>
      </c>
      <c r="AN86" s="55">
        <f>'LINEST VARS'!$U$62+'LINEST VARS'!$T$62*($AN$80)+'LINEST VARS'!$S$62*($Z86)+'LINEST VARS'!$R$62*(4)+'LINEST VARS'!$Q$62*(0.5)+'LINEST VARS'!$P$62*(12.73)+'LINEST VARS'!$O$62*($AN$80^2)+'LINEST VARS'!$N$62*($Z86^2)+'LINEST VARS'!$M$62*(4^2)+'LINEST VARS'!$L$62*(0.5^2)+'LINEST VARS'!$K$62*(12.73^2)+'LINEST VARS'!$J$62*($AN$80*$Z86)+'LINEST VARS'!$I$62*($AN$80*4)+'LINEST VARS'!$H$62*($AN$80*0.5)+'LINEST VARS'!$G$62*($AN$80*12.73)+'LINEST VARS'!$F$62*($Z86*4)+'LINEST VARS'!$E$62*($Z86*0.5)+'LINEST VARS'!$D$62*($Z86*12.73)+'LINEST VARS'!$C$62*(4*0.5)+'LINEST VARS'!$B$62*(4*12.73)+'LINEST VARS'!$A$62*(0.5*12.73)</f>
        <v>269.49999999999994</v>
      </c>
      <c r="AO86" s="55">
        <f>'LINEST VARS'!$U$62+'LINEST VARS'!$T$62*($AO$80)+'LINEST VARS'!$S$62*($Z86)+'LINEST VARS'!$R$62*(4)+'LINEST VARS'!$Q$62*(0.5)+'LINEST VARS'!$P$62*(12.73)+'LINEST VARS'!$O$62*($AO$80^2)+'LINEST VARS'!$N$62*($Z86^2)+'LINEST VARS'!$M$62*(4^2)+'LINEST VARS'!$L$62*(0.5^2)+'LINEST VARS'!$K$62*(12.73^2)+'LINEST VARS'!$J$62*($AO$80*$Z86)+'LINEST VARS'!$I$62*($AO$80*4)+'LINEST VARS'!$H$62*($AO$80*0.5)+'LINEST VARS'!$G$62*($AO$80*12.73)+'LINEST VARS'!$F$62*($Z86*4)+'LINEST VARS'!$E$62*($Z86*0.5)+'LINEST VARS'!$D$62*($Z86*12.73)+'LINEST VARS'!$C$62*(4*0.5)+'LINEST VARS'!$B$62*(4*12.73)+'LINEST VARS'!$A$62*(0.5*12.73)</f>
        <v>269.49999999999994</v>
      </c>
      <c r="AP86" s="55">
        <f>'LINEST VARS'!$U$62+'LINEST VARS'!$T$62*($AP$80)+'LINEST VARS'!$S$62*($Z86)+'LINEST VARS'!$R$62*(4)+'LINEST VARS'!$Q$62*(0.5)+'LINEST VARS'!$P$62*(12.73)+'LINEST VARS'!$O$62*($AP$80^2)+'LINEST VARS'!$N$62*($Z86^2)+'LINEST VARS'!$M$62*(4^2)+'LINEST VARS'!$L$62*(0.5^2)+'LINEST VARS'!$K$62*(12.73^2)+'LINEST VARS'!$J$62*($AP$80*$Z86)+'LINEST VARS'!$I$62*($AP$80*4)+'LINEST VARS'!$H$62*($AP$80*0.5)+'LINEST VARS'!$G$62*($AP$80*12.73)+'LINEST VARS'!$F$62*($Z86*4)+'LINEST VARS'!$E$62*($Z86*0.5)+'LINEST VARS'!$D$62*($Z86*12.73)+'LINEST VARS'!$C$62*(4*0.5)+'LINEST VARS'!$B$62*(4*12.73)+'LINEST VARS'!$A$62*(0.5*12.73)</f>
        <v>269.49999999999994</v>
      </c>
      <c r="AQ86" s="55">
        <f>'LINEST VARS'!$U$62+'LINEST VARS'!$T$62*($AQ$80)+'LINEST VARS'!$S$62*($Z86)+'LINEST VARS'!$R$62*(4)+'LINEST VARS'!$Q$62*(0.5)+'LINEST VARS'!$P$62*(12.73)+'LINEST VARS'!$O$62*($AQ$80^2)+'LINEST VARS'!$N$62*($Z86^2)+'LINEST VARS'!$M$62*(4^2)+'LINEST VARS'!$L$62*(0.5^2)+'LINEST VARS'!$K$62*(12.73^2)+'LINEST VARS'!$J$62*($AQ$80*$Z86)+'LINEST VARS'!$I$62*($AQ$80*4)+'LINEST VARS'!$H$62*($AQ$80*0.5)+'LINEST VARS'!$G$62*($AQ$80*12.73)+'LINEST VARS'!$F$62*($Z86*4)+'LINEST VARS'!$E$62*($Z86*0.5)+'LINEST VARS'!$D$62*($Z86*12.73)+'LINEST VARS'!$C$62*(4*0.5)+'LINEST VARS'!$B$62*(4*12.73)+'LINEST VARS'!$A$62*(0.5*12.73)</f>
        <v>269.49999999999994</v>
      </c>
      <c r="AR86" s="55">
        <f>'LINEST VARS'!$U$62+'LINEST VARS'!$T$62*($AR$80)+'LINEST VARS'!$S$62*($Z86)+'LINEST VARS'!$R$62*(4)+'LINEST VARS'!$Q$62*(0.5)+'LINEST VARS'!$P$62*(12.73)+'LINEST VARS'!$O$62*($AR$80^2)+'LINEST VARS'!$N$62*($Z86^2)+'LINEST VARS'!$M$62*(4^2)+'LINEST VARS'!$L$62*(0.5^2)+'LINEST VARS'!$K$62*(12.73^2)+'LINEST VARS'!$J$62*($AR$80*$Z86)+'LINEST VARS'!$I$62*($AR$80*4)+'LINEST VARS'!$H$62*($AR$80*0.5)+'LINEST VARS'!$G$62*($AR$80*12.73)+'LINEST VARS'!$F$62*($Z86*4)+'LINEST VARS'!$E$62*($Z86*0.5)+'LINEST VARS'!$D$62*($Z86*12.73)+'LINEST VARS'!$C$62*(4*0.5)+'LINEST VARS'!$B$62*(4*12.73)+'LINEST VARS'!$A$62*(0.5*12.73)</f>
        <v>269.5</v>
      </c>
      <c r="AS86" s="55">
        <f>'LINEST VARS'!$U$62+'LINEST VARS'!$T$62*($AS$80)+'LINEST VARS'!$S$62*($Z86)+'LINEST VARS'!$R$62*(4)+'LINEST VARS'!$Q$62*(0.5)+'LINEST VARS'!$P$62*(12.73)+'LINEST VARS'!$O$62*($AS$80^2)+'LINEST VARS'!$N$62*($Z86^2)+'LINEST VARS'!$M$62*(4^2)+'LINEST VARS'!$L$62*(0.5^2)+'LINEST VARS'!$K$62*(12.73^2)+'LINEST VARS'!$J$62*($AS$80*$Z86)+'LINEST VARS'!$I$62*($AS$80*4)+'LINEST VARS'!$H$62*($AS$80*0.5)+'LINEST VARS'!$G$62*($AS$80*12.73)+'LINEST VARS'!$F$62*($Z86*4)+'LINEST VARS'!$E$62*($Z86*0.5)+'LINEST VARS'!$D$62*($Z86*12.73)+'LINEST VARS'!$C$62*(4*0.5)+'LINEST VARS'!$B$62*(4*12.73)+'LINEST VARS'!$A$62*(0.5*12.73)</f>
        <v>269.49999999999994</v>
      </c>
      <c r="AT86" s="55">
        <f>'LINEST VARS'!$U$62+'LINEST VARS'!$T$62*($AT$80)+'LINEST VARS'!$S$62*($Z86)+'LINEST VARS'!$R$62*(4)+'LINEST VARS'!$Q$62*(0.5)+'LINEST VARS'!$P$62*(12.73)+'LINEST VARS'!$O$62*($AT$80^2)+'LINEST VARS'!$N$62*($Z86^2)+'LINEST VARS'!$M$62*(4^2)+'LINEST VARS'!$L$62*(0.5^2)+'LINEST VARS'!$K$62*(12.73^2)+'LINEST VARS'!$J$62*($AT$80*$Z86)+'LINEST VARS'!$I$62*($AT$80*4)+'LINEST VARS'!$H$62*($AT$80*0.5)+'LINEST VARS'!$G$62*($AT$80*12.73)+'LINEST VARS'!$F$62*($Z86*4)+'LINEST VARS'!$E$62*($Z86*0.5)+'LINEST VARS'!$D$62*($Z86*12.73)+'LINEST VARS'!$C$62*(4*0.5)+'LINEST VARS'!$B$62*(4*12.73)+'LINEST VARS'!$A$62*(0.5*12.73)</f>
        <v>269.49999999999994</v>
      </c>
      <c r="AU86" s="56">
        <f>'LINEST VARS'!$U$62+'LINEST VARS'!$T$62*($AU$80)+'LINEST VARS'!$S$62*($Z86)+'LINEST VARS'!$R$62*(4)+'LINEST VARS'!$Q$62*(0.5)+'LINEST VARS'!$P$62*(12.73)+'LINEST VARS'!$O$62*($AU$80^2)+'LINEST VARS'!$N$62*($Z86^2)+'LINEST VARS'!$M$62*(4^2)+'LINEST VARS'!$L$62*(0.5^2)+'LINEST VARS'!$K$62*(12.73^2)+'LINEST VARS'!$J$62*($AU$80*$Z86)+'LINEST VARS'!$I$62*($AU$80*4)+'LINEST VARS'!$H$62*($AU$80*0.5)+'LINEST VARS'!$G$62*($AU$80*12.73)+'LINEST VARS'!$F$62*($Z86*4)+'LINEST VARS'!$E$62*($Z86*0.5)+'LINEST VARS'!$D$62*($Z86*12.73)+'LINEST VARS'!$C$62*(4*0.5)+'LINEST VARS'!$B$62*(4*12.73)+'LINEST VARS'!$A$62*(0.5*12.73)</f>
        <v>269.5</v>
      </c>
      <c r="AZ86" s="45">
        <v>0.25</v>
      </c>
      <c r="BA86" s="46">
        <f>'LINEST VARS'!$U$60+'LINEST VARS'!$T$60*(8)+'LINEST VARS'!$S$60*(8)+'LINEST VARS'!$R$60*($BA$80)+'LINEST VARS'!$Q$60*($AZ86)+'LINEST VARS'!$P$60*(12.73)+'LINEST VARS'!$O$60*(8^2)+'LINEST VARS'!$N$60*(8^2)+'LINEST VARS'!$M$60*($BA$80^2)+'LINEST VARS'!$L$60*($AZ86^2)+'LINEST VARS'!$K$60*(12.73^2)+'LINEST VARS'!$J$60*(8*8)+'LINEST VARS'!$I$60*(8*$BA$80)+'LINEST VARS'!$H$60*(8*$AZ86)+'LINEST VARS'!$G$60*(8*12.73)+'LINEST VARS'!$F$60*(8*$BA$80)+'LINEST VARS'!$E$60*(8*$AZ86)+'LINEST VARS'!$D$60*(8*12.73)+'LINEST VARS'!$C$60*($BA$80*$AZ86)+'LINEST VARS'!$B$60*($BA$80*12.73)+'LINEST VARS'!$A$60*($AZ86*12.73)</f>
        <v>40.460000000000008</v>
      </c>
      <c r="BB86" s="46">
        <f>'LINEST VARS'!$U$60+'LINEST VARS'!$T$60*(8)+'LINEST VARS'!$S$60*(8)+'LINEST VARS'!$R$60*($BB$80)+'LINEST VARS'!$Q$60*($AZ86)+'LINEST VARS'!$P$60*(12.73)+'LINEST VARS'!$O$60*(8^2)+'LINEST VARS'!$N$60*(8^2)+'LINEST VARS'!$M$60*($BB$80^2)+'LINEST VARS'!$L$60*($AZ86^2)+'LINEST VARS'!$K$60*(12.73^2)+'LINEST VARS'!$J$60*(8*8)+'LINEST VARS'!$I$60*(8*$BB$80)+'LINEST VARS'!$H$60*(8*$AZ86)+'LINEST VARS'!$G$60*(8*12.73)+'LINEST VARS'!$F$60*(8*$BB$80)+'LINEST VARS'!$E$60*(8*$AZ86)+'LINEST VARS'!$D$60*(8*12.73)+'LINEST VARS'!$C$60*($BB$80*$AZ86)+'LINEST VARS'!$B$60*($BB$80*12.73)+'LINEST VARS'!$A$60*($AZ86*12.73)</f>
        <v>40.460000000000008</v>
      </c>
      <c r="BC86" s="46">
        <f>'LINEST VARS'!$U$60+'LINEST VARS'!$T$60*(8)+'LINEST VARS'!$S$60*(8)+'LINEST VARS'!$R$60*($BC$80)+'LINEST VARS'!$Q$60*($AZ86)+'LINEST VARS'!$P$60*(12.73)+'LINEST VARS'!$O$60*(8^2)+'LINEST VARS'!$N$60*(8^2)+'LINEST VARS'!$M$60*($BC$80^2)+'LINEST VARS'!$L$60*($AZ86^2)+'LINEST VARS'!$K$60*(12.73^2)+'LINEST VARS'!$J$60*(8*8)+'LINEST VARS'!$I$60*(8*$BC$80)+'LINEST VARS'!$H$60*(8*$AZ86)+'LINEST VARS'!$G$60*(8*12.73)+'LINEST VARS'!$F$60*(8*$BC$80)+'LINEST VARS'!$E$60*(8*$AZ86)+'LINEST VARS'!$D$60*(8*12.73)+'LINEST VARS'!$C$60*($BC$80*$AZ86)+'LINEST VARS'!$B$60*($BC$80*12.73)+'LINEST VARS'!$A$60*($AZ86*12.73)</f>
        <v>40.460000000000008</v>
      </c>
      <c r="BD86" s="46">
        <f>'LINEST VARS'!$U$60+'LINEST VARS'!$T$60*(8)+'LINEST VARS'!$S$60*(8)+'LINEST VARS'!$R$60*($BD$80)+'LINEST VARS'!$Q$60*($AZ86)+'LINEST VARS'!$P$60*(12.73)+'LINEST VARS'!$O$60*(8^2)+'LINEST VARS'!$N$60*(8^2)+'LINEST VARS'!$M$60*($BD$80^2)+'LINEST VARS'!$L$60*($AZ86^2)+'LINEST VARS'!$K$60*(12.73^2)+'LINEST VARS'!$J$60*(8*8)+'LINEST VARS'!$I$60*(8*$BD$80)+'LINEST VARS'!$H$60*(8*$AZ86)+'LINEST VARS'!$G$60*(8*12.73)+'LINEST VARS'!$F$60*(8*$BD$80)+'LINEST VARS'!$E$60*(8*$AZ86)+'LINEST VARS'!$D$60*(8*12.73)+'LINEST VARS'!$C$60*($BD$80*$AZ86)+'LINEST VARS'!$B$60*($BD$80*12.73)+'LINEST VARS'!$A$60*($AZ86*12.73)</f>
        <v>40.460000000000015</v>
      </c>
      <c r="BE86" s="46">
        <f>'LINEST VARS'!$U$60+'LINEST VARS'!$T$60*(8)+'LINEST VARS'!$S$60*(8)+'LINEST VARS'!$R$60*($BE$80)+'LINEST VARS'!$Q$60*($AZ86)+'LINEST VARS'!$P$60*(12.73)+'LINEST VARS'!$O$60*(8^2)+'LINEST VARS'!$N$60*(8^2)+'LINEST VARS'!$M$60*($BE$80^2)+'LINEST VARS'!$L$60*($AZ86^2)+'LINEST VARS'!$K$60*(12.73^2)+'LINEST VARS'!$J$60*(8*8)+'LINEST VARS'!$I$60*(8*$BE$80)+'LINEST VARS'!$H$60*(8*$AZ86)+'LINEST VARS'!$G$60*(8*12.73)+'LINEST VARS'!$F$60*(8*$BE$80)+'LINEST VARS'!$E$60*(8*$AZ86)+'LINEST VARS'!$D$60*(8*12.73)+'LINEST VARS'!$C$60*($BE$80*$AZ86)+'LINEST VARS'!$B$60*($BE$80*12.73)+'LINEST VARS'!$A$60*($AZ86*12.73)</f>
        <v>40.460000000000008</v>
      </c>
      <c r="BF86" s="46">
        <f>'LINEST VARS'!$U$60+'LINEST VARS'!$T$60*(8)+'LINEST VARS'!$S$60*(8)+'LINEST VARS'!$R$60*($BF$80)+'LINEST VARS'!$Q$60*($AZ86)+'LINEST VARS'!$P$60*(12.73)+'LINEST VARS'!$O$60*(8^2)+'LINEST VARS'!$N$60*(8^2)+'LINEST VARS'!$M$60*($BF$80^2)+'LINEST VARS'!$L$60*($AZ86^2)+'LINEST VARS'!$K$60*(12.73^2)+'LINEST VARS'!$J$60*(8*8)+'LINEST VARS'!$I$60*(8*$BF$80)+'LINEST VARS'!$H$60*(8*$AZ86)+'LINEST VARS'!$G$60*(8*12.73)+'LINEST VARS'!$F$60*(8*$BF$80)+'LINEST VARS'!$E$60*(8*$AZ86)+'LINEST VARS'!$D$60*(8*12.73)+'LINEST VARS'!$C$60*($BF$80*$AZ86)+'LINEST VARS'!$B$60*($BF$80*12.73)+'LINEST VARS'!$A$60*($AZ86*12.73)</f>
        <v>40.46</v>
      </c>
      <c r="BG86" s="46">
        <f>'LINEST VARS'!$U$60+'LINEST VARS'!$T$60*(8)+'LINEST VARS'!$S$60*(8)+'LINEST VARS'!$R$60*($BG$80)+'LINEST VARS'!$Q$60*($AZ86)+'LINEST VARS'!$P$60*(12.73)+'LINEST VARS'!$O$60*(8^2)+'LINEST VARS'!$N$60*(8^2)+'LINEST VARS'!$M$60*($BG$80^2)+'LINEST VARS'!$L$60*($AZ86^2)+'LINEST VARS'!$K$60*(12.73^2)+'LINEST VARS'!$J$60*(8*8)+'LINEST VARS'!$I$60*(8*$BG$80)+'LINEST VARS'!$H$60*(8*$AZ86)+'LINEST VARS'!$G$60*(8*12.73)+'LINEST VARS'!$F$60*(8*$BG$80)+'LINEST VARS'!$E$60*(8*$AZ86)+'LINEST VARS'!$D$60*(8*12.73)+'LINEST VARS'!$C$60*($BG$80*$AZ86)+'LINEST VARS'!$B$60*($BG$80*12.73)+'LINEST VARS'!$A$60*($AZ86*12.73)</f>
        <v>40.46</v>
      </c>
      <c r="BH86" s="46">
        <f>'LINEST VARS'!$U$60+'LINEST VARS'!$T$60*(8)+'LINEST VARS'!$S$60*(8)+'LINEST VARS'!$R$60*($BH$80)+'LINEST VARS'!$Q$60*($AZ86)+'LINEST VARS'!$P$60*(12.73)+'LINEST VARS'!$O$60*(8^2)+'LINEST VARS'!$N$60*(8^2)+'LINEST VARS'!$M$60*($BH$80^2)+'LINEST VARS'!$L$60*($AZ86^2)+'LINEST VARS'!$K$60*(12.73^2)+'LINEST VARS'!$J$60*(8*8)+'LINEST VARS'!$I$60*(8*$BH$80)+'LINEST VARS'!$H$60*(8*$AZ86)+'LINEST VARS'!$G$60*(8*12.73)+'LINEST VARS'!$F$60*(8*$BH$80)+'LINEST VARS'!$E$60*(8*$AZ86)+'LINEST VARS'!$D$60*(8*12.73)+'LINEST VARS'!$C$60*($BH$80*$AZ86)+'LINEST VARS'!$B$60*($BH$80*12.73)+'LINEST VARS'!$A$60*($AZ86*12.73)</f>
        <v>40.460000000000008</v>
      </c>
      <c r="BI86" s="46">
        <f>'LINEST VARS'!$U$60+'LINEST VARS'!$T$60*(8)+'LINEST VARS'!$S$60*(8)+'LINEST VARS'!$R$60*($BI$80)+'LINEST VARS'!$Q$60*($AZ86)+'LINEST VARS'!$P$60*(12.73)+'LINEST VARS'!$O$60*(8^2)+'LINEST VARS'!$N$60*(8^2)+'LINEST VARS'!$M$60*($BI$80^2)+'LINEST VARS'!$L$60*($AZ86^2)+'LINEST VARS'!$K$60*(12.73^2)+'LINEST VARS'!$J$60*(8*8)+'LINEST VARS'!$I$60*(8*$BI$80)+'LINEST VARS'!$H$60*(8*$AZ86)+'LINEST VARS'!$G$60*(8*12.73)+'LINEST VARS'!$F$60*(8*$BI$80)+'LINEST VARS'!$E$60*(8*$AZ86)+'LINEST VARS'!$D$60*(8*12.73)+'LINEST VARS'!$C$60*($BI$80*$AZ86)+'LINEST VARS'!$B$60*($BI$80*12.73)+'LINEST VARS'!$A$60*($AZ86*12.73)</f>
        <v>40.460000000000008</v>
      </c>
      <c r="BJ86" s="46">
        <f>'LINEST VARS'!$U$60+'LINEST VARS'!$T$60*(8)+'LINEST VARS'!$S$60*(8)+'LINEST VARS'!$R$60*($BJ$80)+'LINEST VARS'!$Q$60*($AZ86)+'LINEST VARS'!$P$60*(12.73)+'LINEST VARS'!$O$60*(8^2)+'LINEST VARS'!$N$60*(8^2)+'LINEST VARS'!$M$60*($BJ$80^2)+'LINEST VARS'!$L$60*($AZ86^2)+'LINEST VARS'!$K$60*(12.73^2)+'LINEST VARS'!$J$60*(8*8)+'LINEST VARS'!$I$60*(8*$BJ$80)+'LINEST VARS'!$H$60*(8*$AZ86)+'LINEST VARS'!$G$60*(8*12.73)+'LINEST VARS'!$F$60*(8*$BJ$80)+'LINEST VARS'!$E$60*(8*$AZ86)+'LINEST VARS'!$D$60*(8*12.73)+'LINEST VARS'!$C$60*($BJ$80*$AZ86)+'LINEST VARS'!$B$60*($BJ$80*12.73)+'LINEST VARS'!$A$60*($AZ86*12.73)</f>
        <v>40.460000000000008</v>
      </c>
      <c r="BK86" s="46">
        <f>'LINEST VARS'!$U$60+'LINEST VARS'!$T$60*(8)+'LINEST VARS'!$S$60*(8)+'LINEST VARS'!$R$60*($BK$80)+'LINEST VARS'!$Q$60*($AZ86)+'LINEST VARS'!$P$60*(12.73)+'LINEST VARS'!$O$60*(8^2)+'LINEST VARS'!$N$60*(8^2)+'LINEST VARS'!$M$60*($BK$80^2)+'LINEST VARS'!$L$60*($AZ86^2)+'LINEST VARS'!$K$60*(12.73^2)+'LINEST VARS'!$J$60*(8*8)+'LINEST VARS'!$I$60*(8*$BK$80)+'LINEST VARS'!$H$60*(8*$AZ86)+'LINEST VARS'!$G$60*(8*12.73)+'LINEST VARS'!$F$60*(8*$BK$80)+'LINEST VARS'!$E$60*(8*$AZ86)+'LINEST VARS'!$D$60*(8*12.73)+'LINEST VARS'!$C$60*($BK$80*$AZ86)+'LINEST VARS'!$B$60*($BK$80*12.73)+'LINEST VARS'!$A$60*($AZ86*12.73)</f>
        <v>40.460000000000015</v>
      </c>
      <c r="BL86" s="46">
        <f>'LINEST VARS'!$U$60+'LINEST VARS'!$T$60*(8)+'LINEST VARS'!$S$60*(8)+'LINEST VARS'!$R$60*($BL$80)+'LINEST VARS'!$Q$60*($AZ86)+'LINEST VARS'!$P$60*(12.73)+'LINEST VARS'!$O$60*(8^2)+'LINEST VARS'!$N$60*(8^2)+'LINEST VARS'!$M$60*($BL$80^2)+'LINEST VARS'!$L$60*($AZ86^2)+'LINEST VARS'!$K$60*(12.73^2)+'LINEST VARS'!$J$60*(8*8)+'LINEST VARS'!$I$60*(8*$BL$80)+'LINEST VARS'!$H$60*(8*$AZ86)+'LINEST VARS'!$G$60*(8*12.73)+'LINEST VARS'!$F$60*(8*$BL$80)+'LINEST VARS'!$E$60*(8*$AZ86)+'LINEST VARS'!$D$60*(8*12.73)+'LINEST VARS'!$C$60*($BL$80*$AZ86)+'LINEST VARS'!$B$60*($BL$80*12.73)+'LINEST VARS'!$A$60*($AZ86*12.73)</f>
        <v>40.460000000000008</v>
      </c>
      <c r="BM86" s="46">
        <f>'LINEST VARS'!$U$60+'LINEST VARS'!$T$60*(8)+'LINEST VARS'!$S$60*(8)+'LINEST VARS'!$R$60*($BM$80)+'LINEST VARS'!$Q$60*($AZ86)+'LINEST VARS'!$P$60*(12.73)+'LINEST VARS'!$O$60*(8^2)+'LINEST VARS'!$N$60*(8^2)+'LINEST VARS'!$M$60*($BM$80^2)+'LINEST VARS'!$L$60*($AZ86^2)+'LINEST VARS'!$K$60*(12.73^2)+'LINEST VARS'!$J$60*(8*8)+'LINEST VARS'!$I$60*(8*$BM$80)+'LINEST VARS'!$H$60*(8*$AZ86)+'LINEST VARS'!$G$60*(8*12.73)+'LINEST VARS'!$F$60*(8*$BM$80)+'LINEST VARS'!$E$60*(8*$AZ86)+'LINEST VARS'!$D$60*(8*12.73)+'LINEST VARS'!$C$60*($BM$80*$AZ86)+'LINEST VARS'!$B$60*($BM$80*12.73)+'LINEST VARS'!$A$60*($AZ86*12.73)</f>
        <v>40.460000000000008</v>
      </c>
      <c r="BN86" s="46">
        <f>'LINEST VARS'!$U$60+'LINEST VARS'!$T$60*(8)+'LINEST VARS'!$S$60*(8)+'LINEST VARS'!$R$60*($BN$80)+'LINEST VARS'!$Q$60*($AZ86)+'LINEST VARS'!$P$60*(12.73)+'LINEST VARS'!$O$60*(8^2)+'LINEST VARS'!$N$60*(8^2)+'LINEST VARS'!$M$60*($BN$80^2)+'LINEST VARS'!$L$60*($AZ86^2)+'LINEST VARS'!$K$60*(12.73^2)+'LINEST VARS'!$J$60*(8*8)+'LINEST VARS'!$I$60*(8*$BN$80)+'LINEST VARS'!$H$60*(8*$AZ86)+'LINEST VARS'!$G$60*(8*12.73)+'LINEST VARS'!$F$60*(8*$BN$80)+'LINEST VARS'!$E$60*(8*$AZ86)+'LINEST VARS'!$D$60*(8*12.73)+'LINEST VARS'!$C$60*($BN$80*$AZ86)+'LINEST VARS'!$B$60*($BN$80*12.73)+'LINEST VARS'!$A$60*($AZ86*12.73)</f>
        <v>40.46</v>
      </c>
      <c r="BO86" s="46">
        <f>'LINEST VARS'!$U$60+'LINEST VARS'!$T$60*(8)+'LINEST VARS'!$S$60*(8)+'LINEST VARS'!$R$60*($BO$80)+'LINEST VARS'!$Q$60*($AZ86)+'LINEST VARS'!$P$60*(12.73)+'LINEST VARS'!$O$60*(8^2)+'LINEST VARS'!$N$60*(8^2)+'LINEST VARS'!$M$60*($BO$80^2)+'LINEST VARS'!$L$60*($AZ86^2)+'LINEST VARS'!$K$60*(12.73^2)+'LINEST VARS'!$J$60*(8*8)+'LINEST VARS'!$I$60*(8*$BO$80)+'LINEST VARS'!$H$60*(8*$AZ86)+'LINEST VARS'!$G$60*(8*12.73)+'LINEST VARS'!$F$60*(8*$BO$80)+'LINEST VARS'!$E$60*(8*$AZ86)+'LINEST VARS'!$D$60*(8*12.73)+'LINEST VARS'!$C$60*($BO$80*$AZ86)+'LINEST VARS'!$B$60*($BO$80*12.73)+'LINEST VARS'!$A$60*($AZ86*12.73)</f>
        <v>40.460000000000008</v>
      </c>
      <c r="BP86" s="46">
        <f>'LINEST VARS'!$U$60+'LINEST VARS'!$T$60*(8)+'LINEST VARS'!$S$60*(8)+'LINEST VARS'!$R$60*($BP$80)+'LINEST VARS'!$Q$60*($AZ86)+'LINEST VARS'!$P$60*(12.73)+'LINEST VARS'!$O$60*(8^2)+'LINEST VARS'!$N$60*(8^2)+'LINEST VARS'!$M$60*($BP$80^2)+'LINEST VARS'!$L$60*($AZ86^2)+'LINEST VARS'!$K$60*(12.73^2)+'LINEST VARS'!$J$60*(8*8)+'LINEST VARS'!$I$60*(8*$BP$80)+'LINEST VARS'!$H$60*(8*$AZ86)+'LINEST VARS'!$G$60*(8*12.73)+'LINEST VARS'!$F$60*(8*$BP$80)+'LINEST VARS'!$E$60*(8*$AZ86)+'LINEST VARS'!$D$60*(8*12.73)+'LINEST VARS'!$C$60*($BP$80*$AZ86)+'LINEST VARS'!$B$60*($BP$80*12.73)+'LINEST VARS'!$A$60*($AZ86*12.73)</f>
        <v>40.460000000000008</v>
      </c>
      <c r="BQ86" s="46">
        <f>'LINEST VARS'!$U$60+'LINEST VARS'!$T$60*(8)+'LINEST VARS'!$S$60*(8)+'LINEST VARS'!$R$60*($BQ$80)+'LINEST VARS'!$Q$60*($AZ86)+'LINEST VARS'!$P$60*(12.73)+'LINEST VARS'!$O$60*(8^2)+'LINEST VARS'!$N$60*(8^2)+'LINEST VARS'!$M$60*($BQ$80^2)+'LINEST VARS'!$L$60*($AZ86^2)+'LINEST VARS'!$K$60*(12.73^2)+'LINEST VARS'!$J$60*(8*8)+'LINEST VARS'!$I$60*(8*$BQ$80)+'LINEST VARS'!$H$60*(8*$AZ86)+'LINEST VARS'!$G$60*(8*12.73)+'LINEST VARS'!$F$60*(8*$BQ$80)+'LINEST VARS'!$E$60*(8*$AZ86)+'LINEST VARS'!$D$60*(8*12.73)+'LINEST VARS'!$C$60*($BQ$80*$AZ86)+'LINEST VARS'!$B$60*($BQ$80*12.73)+'LINEST VARS'!$A$60*($AZ86*12.73)</f>
        <v>40.460000000000008</v>
      </c>
      <c r="BR86" s="46">
        <f>'LINEST VARS'!$U$60+'LINEST VARS'!$T$60*(8)+'LINEST VARS'!$S$60*(8)+'LINEST VARS'!$R$60*($BR$80)+'LINEST VARS'!$Q$60*($AZ86)+'LINEST VARS'!$P$60*(12.73)+'LINEST VARS'!$O$60*(8^2)+'LINEST VARS'!$N$60*(8^2)+'LINEST VARS'!$M$60*($BR$80^2)+'LINEST VARS'!$L$60*($AZ86^2)+'LINEST VARS'!$K$60*(12.73^2)+'LINEST VARS'!$J$60*(8*8)+'LINEST VARS'!$I$60*(8*$BR$80)+'LINEST VARS'!$H$60*(8*$AZ86)+'LINEST VARS'!$G$60*(8*12.73)+'LINEST VARS'!$F$60*(8*$BR$80)+'LINEST VARS'!$E$60*(8*$AZ86)+'LINEST VARS'!$D$60*(8*12.73)+'LINEST VARS'!$C$60*($BR$80*$AZ86)+'LINEST VARS'!$B$60*($BR$80*12.73)+'LINEST VARS'!$A$60*($AZ86*12.73)</f>
        <v>40.460000000000015</v>
      </c>
      <c r="BS86" s="46">
        <f>'LINEST VARS'!$U$60+'LINEST VARS'!$T$60*(8)+'LINEST VARS'!$S$60*(8)+'LINEST VARS'!$R$60*($BS$80)+'LINEST VARS'!$Q$60*($AZ86)+'LINEST VARS'!$P$60*(12.73)+'LINEST VARS'!$O$60*(8^2)+'LINEST VARS'!$N$60*(8^2)+'LINEST VARS'!$M$60*($BS$80^2)+'LINEST VARS'!$L$60*($AZ86^2)+'LINEST VARS'!$K$60*(12.73^2)+'LINEST VARS'!$J$60*(8*8)+'LINEST VARS'!$I$60*(8*$BS$80)+'LINEST VARS'!$H$60*(8*$AZ86)+'LINEST VARS'!$G$60*(8*12.73)+'LINEST VARS'!$F$60*(8*$BS$80)+'LINEST VARS'!$E$60*(8*$AZ86)+'LINEST VARS'!$D$60*(8*12.73)+'LINEST VARS'!$C$60*($BS$80*$AZ86)+'LINEST VARS'!$B$60*($BS$80*12.73)+'LINEST VARS'!$A$60*($AZ86*12.73)</f>
        <v>40.460000000000008</v>
      </c>
      <c r="BT86" s="46">
        <f>'LINEST VARS'!$U$60+'LINEST VARS'!$T$60*(8)+'LINEST VARS'!$S$60*(8)+'LINEST VARS'!$R$60*($BT$80)+'LINEST VARS'!$Q$60*($AZ86)+'LINEST VARS'!$P$60*(12.73)+'LINEST VARS'!$O$60*(8^2)+'LINEST VARS'!$N$60*(8^2)+'LINEST VARS'!$M$60*($BT$80^2)+'LINEST VARS'!$L$60*($AZ86^2)+'LINEST VARS'!$K$60*(12.73^2)+'LINEST VARS'!$J$60*(8*8)+'LINEST VARS'!$I$60*(8*$BT$80)+'LINEST VARS'!$H$60*(8*$AZ86)+'LINEST VARS'!$G$60*(8*12.73)+'LINEST VARS'!$F$60*(8*$BT$80)+'LINEST VARS'!$E$60*(8*$AZ86)+'LINEST VARS'!$D$60*(8*12.73)+'LINEST VARS'!$C$60*($BT$80*$AZ86)+'LINEST VARS'!$B$60*($BT$80*12.73)+'LINEST VARS'!$A$60*($AZ86*12.73)</f>
        <v>40.460000000000008</v>
      </c>
      <c r="BU86" s="47">
        <f>'LINEST VARS'!$U$60+'LINEST VARS'!$T$60*(8)+'LINEST VARS'!$S$60*(8)+'LINEST VARS'!$R$60*($BU$80)+'LINEST VARS'!$Q$60*($AZ86)+'LINEST VARS'!$P$60*(12.73)+'LINEST VARS'!$O$60*(8^2)+'LINEST VARS'!$N$60*(8^2)+'LINEST VARS'!$M$60*($BU$80^2)+'LINEST VARS'!$L$60*($AZ86^2)+'LINEST VARS'!$K$60*(12.73^2)+'LINEST VARS'!$J$60*(8*8)+'LINEST VARS'!$I$60*(8*$BU$80)+'LINEST VARS'!$H$60*(8*$AZ86)+'LINEST VARS'!$G$60*(8*12.73)+'LINEST VARS'!$F$60*(8*$BU$80)+'LINEST VARS'!$E$60*(8*$AZ86)+'LINEST VARS'!$D$60*(8*12.73)+'LINEST VARS'!$C$60*($BU$80*$AZ86)+'LINEST VARS'!$B$60*($BU$80*12.73)+'LINEST VARS'!$A$60*($AZ86*12.73)</f>
        <v>40.460000000000008</v>
      </c>
      <c r="BX86" s="45">
        <v>0.25</v>
      </c>
      <c r="BY86" s="55">
        <f>'LINEST VARS'!$U$62+'LINEST VARS'!$T$62*(8)+'LINEST VARS'!$S$62*(8)+'LINEST VARS'!$R$62*($BY$80)+'LINEST VARS'!$Q$62*($BX86)+'LINEST VARS'!$P$62*(12.73)+'LINEST VARS'!$O$62*(8^2)+'LINEST VARS'!$N$62*(8^2)+'LINEST VARS'!$M$62*($BY$80^2)+'LINEST VARS'!$L$62*($BX86^2)+'LINEST VARS'!$K$62*(12.73^2)+'LINEST VARS'!$J$62*(8*8)+'LINEST VARS'!$I$62*(8*$BY$80)+'LINEST VARS'!$H$62*(8*$BX86)+'LINEST VARS'!$G$62*(8*12.73)+'LINEST VARS'!$F$62*(8*$BY$80)+'LINEST VARS'!$E$62*(8*$BX86)+'LINEST VARS'!$D$62*(8*12.73)+'LINEST VARS'!$C$62*($BY$80*$BX86)+'LINEST VARS'!$B$62*($BY$80*12.73)+'LINEST VARS'!$A$62*($BX86*12.73)</f>
        <v>349.87499999999983</v>
      </c>
      <c r="BZ86" s="55">
        <f>'LINEST VARS'!$U$62+'LINEST VARS'!$T$62*(8)+'LINEST VARS'!$S$62*(8)+'LINEST VARS'!$R$62*($BZ$80)+'LINEST VARS'!$Q$62*($BX86)+'LINEST VARS'!$P$62*(12.73)+'LINEST VARS'!$O$62*(8^2)+'LINEST VARS'!$N$62*(8^2)+'LINEST VARS'!$M$62*($BZ$80^2)+'LINEST VARS'!$L$62*($BX86^2)+'LINEST VARS'!$K$62*(12.73^2)+'LINEST VARS'!$J$62*(8*8)+'LINEST VARS'!$I$62*(8*$BZ$80)+'LINEST VARS'!$H$62*(8*$BX86)+'LINEST VARS'!$G$62*(8*12.73)+'LINEST VARS'!$F$62*(8*$BZ$80)+'LINEST VARS'!$E$62*(8*$BX86)+'LINEST VARS'!$D$62*(8*12.73)+'LINEST VARS'!$C$62*($BZ$80*$BX86)+'LINEST VARS'!$B$62*($BZ$80*12.73)+'LINEST VARS'!$A$62*($BX86*12.73)</f>
        <v>349.07499999999987</v>
      </c>
      <c r="CA86" s="55">
        <f>'LINEST VARS'!$U$62+'LINEST VARS'!$T$62*(8)+'LINEST VARS'!$S$62*(8)+'LINEST VARS'!$R$62*($CA$80)+'LINEST VARS'!$Q$62*($BX86)+'LINEST VARS'!$P$62*(12.73)+'LINEST VARS'!$O$62*(8^2)+'LINEST VARS'!$N$62*(8^2)+'LINEST VARS'!$M$62*($CA$80^2)+'LINEST VARS'!$L$62*($BX86^2)+'LINEST VARS'!$K$62*(12.73^2)+'LINEST VARS'!$J$62*(8*8)+'LINEST VARS'!$I$62*(8*$CA$80)+'LINEST VARS'!$H$62*(8*$BX86)+'LINEST VARS'!$G$62*(8*12.73)+'LINEST VARS'!$F$62*(8*$CA$80)+'LINEST VARS'!$E$62*(8*$BX86)+'LINEST VARS'!$D$62*(8*12.73)+'LINEST VARS'!$C$62*($CA$80*$BX86)+'LINEST VARS'!$B$62*($CA$80*12.73)+'LINEST VARS'!$A$62*($BX86*12.73)</f>
        <v>346.67499999999978</v>
      </c>
      <c r="CB86" s="55">
        <f>'LINEST VARS'!$U$62+'LINEST VARS'!$T$62*(8)+'LINEST VARS'!$S$62*(8)+'LINEST VARS'!$R$62*($CB$80)+'LINEST VARS'!$Q$62*($BX86)+'LINEST VARS'!$P$62*(12.73)+'LINEST VARS'!$O$62*(8^2)+'LINEST VARS'!$N$62*(8^2)+'LINEST VARS'!$M$62*($CB$80^2)+'LINEST VARS'!$L$62*($BX86^2)+'LINEST VARS'!$K$62*(12.73^2)+'LINEST VARS'!$J$62*(8*8)+'LINEST VARS'!$I$62*(8*$CB$80)+'LINEST VARS'!$H$62*(8*$BX86)+'LINEST VARS'!$G$62*(8*12.73)+'LINEST VARS'!$F$62*(8*$CB$80)+'LINEST VARS'!$E$62*(8*$BX86)+'LINEST VARS'!$D$62*(8*12.73)+'LINEST VARS'!$C$62*($CB$80*$BX86)+'LINEST VARS'!$B$62*($CB$80*12.73)+'LINEST VARS'!$A$62*($BX86*12.73)</f>
        <v>342.67499999999984</v>
      </c>
      <c r="CC86" s="55">
        <f>'LINEST VARS'!$U$62+'LINEST VARS'!$T$62*(8)+'LINEST VARS'!$S$62*(8)+'LINEST VARS'!$R$62*($CC$80)+'LINEST VARS'!$Q$62*($BX86)+'LINEST VARS'!$P$62*(12.73)+'LINEST VARS'!$O$62*(8^2)+'LINEST VARS'!$N$62*(8^2)+'LINEST VARS'!$M$62*($CC$80^2)+'LINEST VARS'!$L$62*($BX86^2)+'LINEST VARS'!$K$62*(12.73^2)+'LINEST VARS'!$J$62*(8*8)+'LINEST VARS'!$I$62*(8*$CC$80)+'LINEST VARS'!$H$62*(8*$BX86)+'LINEST VARS'!$G$62*(8*12.73)+'LINEST VARS'!$F$62*(8*$CC$80)+'LINEST VARS'!$E$62*(8*$BX86)+'LINEST VARS'!$D$62*(8*12.73)+'LINEST VARS'!$C$62*($CC$80*$BX86)+'LINEST VARS'!$B$62*($CC$80*12.73)+'LINEST VARS'!$A$62*($BX86*12.73)</f>
        <v>337.07499999999987</v>
      </c>
      <c r="CD86" s="55">
        <f>'LINEST VARS'!$U$62+'LINEST VARS'!$T$62*(8)+'LINEST VARS'!$S$62*(8)+'LINEST VARS'!$R$62*($CD$80)+'LINEST VARS'!$Q$62*($BX86)+'LINEST VARS'!$P$62*(12.73)+'LINEST VARS'!$O$62*(8^2)+'LINEST VARS'!$N$62*(8^2)+'LINEST VARS'!$M$62*($CD$80^2)+'LINEST VARS'!$L$62*($BX86^2)+'LINEST VARS'!$K$62*(12.73^2)+'LINEST VARS'!$J$62*(8*8)+'LINEST VARS'!$I$62*(8*$CD$80)+'LINEST VARS'!$H$62*(8*$BX86)+'LINEST VARS'!$G$62*(8*12.73)+'LINEST VARS'!$F$62*(8*$CD$80)+'LINEST VARS'!$E$62*(8*$BX86)+'LINEST VARS'!$D$62*(8*12.73)+'LINEST VARS'!$C$62*($CD$80*$BX86)+'LINEST VARS'!$B$62*($CD$80*12.73)+'LINEST VARS'!$A$62*($BX86*12.73)</f>
        <v>329.87499999999994</v>
      </c>
      <c r="CE86" s="55">
        <f>'LINEST VARS'!$U$62+'LINEST VARS'!$T$62*(8)+'LINEST VARS'!$S$62*(8)+'LINEST VARS'!$R$62*($CE$80)+'LINEST VARS'!$Q$62*($BX86)+'LINEST VARS'!$P$62*(12.73)+'LINEST VARS'!$O$62*(8^2)+'LINEST VARS'!$N$62*(8^2)+'LINEST VARS'!$M$62*($CE$80^2)+'LINEST VARS'!$L$62*($BX86^2)+'LINEST VARS'!$K$62*(12.73^2)+'LINEST VARS'!$J$62*(8*8)+'LINEST VARS'!$I$62*(8*$CE$80)+'LINEST VARS'!$H$62*(8*$BX86)+'LINEST VARS'!$G$62*(8*12.73)+'LINEST VARS'!$F$62*(8*$CE$80)+'LINEST VARS'!$E$62*(8*$BX86)+'LINEST VARS'!$D$62*(8*12.73)+'LINEST VARS'!$C$62*($CE$80*$BX86)+'LINEST VARS'!$B$62*($CE$80*12.73)+'LINEST VARS'!$A$62*($BX86*12.73)</f>
        <v>321.07499999999982</v>
      </c>
      <c r="CF86" s="55">
        <f>'LINEST VARS'!$U$62+'LINEST VARS'!$T$62*(8)+'LINEST VARS'!$S$62*(8)+'LINEST VARS'!$R$62*($CF$80)+'LINEST VARS'!$Q$62*($BX86)+'LINEST VARS'!$P$62*(12.73)+'LINEST VARS'!$O$62*(8^2)+'LINEST VARS'!$N$62*(8^2)+'LINEST VARS'!$M$62*($CF$80^2)+'LINEST VARS'!$L$62*($BX86^2)+'LINEST VARS'!$K$62*(12.73^2)+'LINEST VARS'!$J$62*(8*8)+'LINEST VARS'!$I$62*(8*$CF$80)+'LINEST VARS'!$H$62*(8*$BX86)+'LINEST VARS'!$G$62*(8*12.73)+'LINEST VARS'!$F$62*(8*$CF$80)+'LINEST VARS'!$E$62*(8*$BX86)+'LINEST VARS'!$D$62*(8*12.73)+'LINEST VARS'!$C$62*($CF$80*$BX86)+'LINEST VARS'!$B$62*($CF$80*12.73)+'LINEST VARS'!$A$62*($BX86*12.73)</f>
        <v>310.67499999999984</v>
      </c>
      <c r="CG86" s="55">
        <f>'LINEST VARS'!$U$62+'LINEST VARS'!$T$62*(8)+'LINEST VARS'!$S$62*(8)+'LINEST VARS'!$R$62*($CG$80)+'LINEST VARS'!$Q$62*($BX86)+'LINEST VARS'!$P$62*(12.73)+'LINEST VARS'!$O$62*(8^2)+'LINEST VARS'!$N$62*(8^2)+'LINEST VARS'!$M$62*($CG$80^2)+'LINEST VARS'!$L$62*($BX86^2)+'LINEST VARS'!$K$62*(12.73^2)+'LINEST VARS'!$J$62*(8*8)+'LINEST VARS'!$I$62*(8*$CG$80)+'LINEST VARS'!$H$62*(8*$BX86)+'LINEST VARS'!$G$62*(8*12.73)+'LINEST VARS'!$F$62*(8*$CG$80)+'LINEST VARS'!$E$62*(8*$BX86)+'LINEST VARS'!$D$62*(8*12.73)+'LINEST VARS'!$C$62*($CG$80*$BX86)+'LINEST VARS'!$B$62*($CG$80*12.73)+'LINEST VARS'!$A$62*($BX86*12.73)</f>
        <v>298.6749999999999</v>
      </c>
      <c r="CH86" s="55">
        <f>'LINEST VARS'!$U$62+'LINEST VARS'!$T$62*(8)+'LINEST VARS'!$S$62*(8)+'LINEST VARS'!$R$62*($CH$80)+'LINEST VARS'!$Q$62*($BX86)+'LINEST VARS'!$P$62*(12.73)+'LINEST VARS'!$O$62*(8^2)+'LINEST VARS'!$N$62*(8^2)+'LINEST VARS'!$M$62*($CH$80^2)+'LINEST VARS'!$L$62*($BX86^2)+'LINEST VARS'!$K$62*(12.73^2)+'LINEST VARS'!$J$62*(8*8)+'LINEST VARS'!$I$62*(8*$CH$80)+'LINEST VARS'!$H$62*(8*$BX86)+'LINEST VARS'!$G$62*(8*12.73)+'LINEST VARS'!$F$62*(8*$CH$80)+'LINEST VARS'!$E$62*(8*$BX86)+'LINEST VARS'!$D$62*(8*12.73)+'LINEST VARS'!$C$62*($CH$80*$BX86)+'LINEST VARS'!$B$62*($CH$80*12.73)+'LINEST VARS'!$A$62*($BX86*12.73)</f>
        <v>285.07499999999987</v>
      </c>
      <c r="CI86" s="55">
        <f>'LINEST VARS'!$U$62+'LINEST VARS'!$T$62*(8)+'LINEST VARS'!$S$62*(8)+'LINEST VARS'!$R$62*($CI$80)+'LINEST VARS'!$Q$62*($BX86)+'LINEST VARS'!$P$62*(12.73)+'LINEST VARS'!$O$62*(8^2)+'LINEST VARS'!$N$62*(8^2)+'LINEST VARS'!$M$62*($CI$80^2)+'LINEST VARS'!$L$62*($BX86^2)+'LINEST VARS'!$K$62*(12.73^2)+'LINEST VARS'!$J$62*(8*8)+'LINEST VARS'!$I$62*(8*$CI$80)+'LINEST VARS'!$H$62*(8*$BX86)+'LINEST VARS'!$G$62*(8*12.73)+'LINEST VARS'!$F$62*(8*$CI$80)+'LINEST VARS'!$E$62*(8*$BX86)+'LINEST VARS'!$D$62*(8*12.73)+'LINEST VARS'!$C$62*($CI$80*$BX86)+'LINEST VARS'!$B$62*($CI$80*12.73)+'LINEST VARS'!$A$62*($BX86*12.73)</f>
        <v>269.87499999999989</v>
      </c>
      <c r="CJ86" s="55">
        <f>'LINEST VARS'!$U$62+'LINEST VARS'!$T$62*(8)+'LINEST VARS'!$S$62*(8)+'LINEST VARS'!$R$62*($CJ$80)+'LINEST VARS'!$Q$62*($BX86)+'LINEST VARS'!$P$62*(12.73)+'LINEST VARS'!$O$62*(8^2)+'LINEST VARS'!$N$62*(8^2)+'LINEST VARS'!$M$62*($CJ$80^2)+'LINEST VARS'!$L$62*($BX86^2)+'LINEST VARS'!$K$62*(12.73^2)+'LINEST VARS'!$J$62*(8*8)+'LINEST VARS'!$I$62*(8*$CJ$80)+'LINEST VARS'!$H$62*(8*$BX86)+'LINEST VARS'!$G$62*(8*12.73)+'LINEST VARS'!$F$62*(8*$CJ$80)+'LINEST VARS'!$E$62*(8*$BX86)+'LINEST VARS'!$D$62*(8*12.73)+'LINEST VARS'!$C$62*($CJ$80*$BX86)+'LINEST VARS'!$B$62*($CJ$80*12.73)+'LINEST VARS'!$A$62*($BX86*12.73)</f>
        <v>253.07500000000005</v>
      </c>
      <c r="CK86" s="55">
        <f>'LINEST VARS'!$U$62+'LINEST VARS'!$T$62*(8)+'LINEST VARS'!$S$62*(8)+'LINEST VARS'!$R$62*($CK$80)+'LINEST VARS'!$Q$62*($BX86)+'LINEST VARS'!$P$62*(12.73)+'LINEST VARS'!$O$62*(8^2)+'LINEST VARS'!$N$62*(8^2)+'LINEST VARS'!$M$62*($CK$80^2)+'LINEST VARS'!$L$62*($BX86^2)+'LINEST VARS'!$K$62*(12.73^2)+'LINEST VARS'!$J$62*(8*8)+'LINEST VARS'!$I$62*(8*$CK$80)+'LINEST VARS'!$H$62*(8*$BX86)+'LINEST VARS'!$G$62*(8*12.73)+'LINEST VARS'!$F$62*(8*$CK$80)+'LINEST VARS'!$E$62*(8*$BX86)+'LINEST VARS'!$D$62*(8*12.73)+'LINEST VARS'!$C$62*($CK$80*$BX86)+'LINEST VARS'!$B$62*($CK$80*12.73)+'LINEST VARS'!$A$62*($BX86*12.73)</f>
        <v>234.6750000000001</v>
      </c>
      <c r="CL86" s="55">
        <f>'LINEST VARS'!$U$62+'LINEST VARS'!$T$62*(8)+'LINEST VARS'!$S$62*(8)+'LINEST VARS'!$R$62*($CL$80)+'LINEST VARS'!$Q$62*($BX86)+'LINEST VARS'!$P$62*(12.73)+'LINEST VARS'!$O$62*(8^2)+'LINEST VARS'!$N$62*(8^2)+'LINEST VARS'!$M$62*($CL$80^2)+'LINEST VARS'!$L$62*($BX86^2)+'LINEST VARS'!$K$62*(12.73^2)+'LINEST VARS'!$J$62*(8*8)+'LINEST VARS'!$I$62*(8*$CL$80)+'LINEST VARS'!$H$62*(8*$BX86)+'LINEST VARS'!$G$62*(8*12.73)+'LINEST VARS'!$F$62*(8*$CL$80)+'LINEST VARS'!$E$62*(8*$BX86)+'LINEST VARS'!$D$62*(8*12.73)+'LINEST VARS'!$C$62*($CL$80*$BX86)+'LINEST VARS'!$B$62*($CL$80*12.73)+'LINEST VARS'!$A$62*($BX86*12.73)</f>
        <v>214.67500000000004</v>
      </c>
      <c r="CM86" s="55">
        <f>'LINEST VARS'!$U$62+'LINEST VARS'!$T$62*(8)+'LINEST VARS'!$S$62*(8)+'LINEST VARS'!$R$62*($CM$80)+'LINEST VARS'!$Q$62*($BX86)+'LINEST VARS'!$P$62*(12.73)+'LINEST VARS'!$O$62*(8^2)+'LINEST VARS'!$N$62*(8^2)+'LINEST VARS'!$M$62*($CM$80^2)+'LINEST VARS'!$L$62*($BX86^2)+'LINEST VARS'!$K$62*(12.73^2)+'LINEST VARS'!$J$62*(8*8)+'LINEST VARS'!$I$62*(8*$CM$80)+'LINEST VARS'!$H$62*(8*$BX86)+'LINEST VARS'!$G$62*(8*12.73)+'LINEST VARS'!$F$62*(8*$CM$80)+'LINEST VARS'!$E$62*(8*$BX86)+'LINEST VARS'!$D$62*(8*12.73)+'LINEST VARS'!$C$62*($CM$80*$BX86)+'LINEST VARS'!$B$62*($CM$80*12.73)+'LINEST VARS'!$A$62*($BX86*12.73)</f>
        <v>193.07500000000013</v>
      </c>
      <c r="CN86" s="55">
        <f>'LINEST VARS'!$U$62+'LINEST VARS'!$T$62*(8)+'LINEST VARS'!$S$62*(8)+'LINEST VARS'!$R$62*($CN$80)+'LINEST VARS'!$Q$62*($BX86)+'LINEST VARS'!$P$62*(12.73)+'LINEST VARS'!$O$62*(8^2)+'LINEST VARS'!$N$62*(8^2)+'LINEST VARS'!$M$62*($CN$80^2)+'LINEST VARS'!$L$62*($BX86^2)+'LINEST VARS'!$K$62*(12.73^2)+'LINEST VARS'!$J$62*(8*8)+'LINEST VARS'!$I$62*(8*$CN$80)+'LINEST VARS'!$H$62*(8*$BX86)+'LINEST VARS'!$G$62*(8*12.73)+'LINEST VARS'!$F$62*(8*$CN$80)+'LINEST VARS'!$E$62*(8*$BX86)+'LINEST VARS'!$D$62*(8*12.73)+'LINEST VARS'!$C$62*($CN$80*$BX86)+'LINEST VARS'!$B$62*($CN$80*12.73)+'LINEST VARS'!$A$62*($BX86*12.73)</f>
        <v>169.87500000000011</v>
      </c>
      <c r="CO86" s="55">
        <f>'LINEST VARS'!$U$62+'LINEST VARS'!$T$62*(8)+'LINEST VARS'!$S$62*(8)+'LINEST VARS'!$R$62*($CO$80)+'LINEST VARS'!$Q$62*($BX86)+'LINEST VARS'!$P$62*(12.73)+'LINEST VARS'!$O$62*(8^2)+'LINEST VARS'!$N$62*(8^2)+'LINEST VARS'!$M$62*($CO$80^2)+'LINEST VARS'!$L$62*($BX86^2)+'LINEST VARS'!$K$62*(12.73^2)+'LINEST VARS'!$J$62*(8*8)+'LINEST VARS'!$I$62*(8*$CO$80)+'LINEST VARS'!$H$62*(8*$BX86)+'LINEST VARS'!$G$62*(8*12.73)+'LINEST VARS'!$F$62*(8*$CO$80)+'LINEST VARS'!$E$62*(8*$BX86)+'LINEST VARS'!$D$62*(8*12.73)+'LINEST VARS'!$C$62*($CO$80*$BX86)+'LINEST VARS'!$B$62*($CO$80*12.73)+'LINEST VARS'!$A$62*($BX86*12.73)</f>
        <v>145.07500000000013</v>
      </c>
      <c r="CP86" s="55">
        <f>'LINEST VARS'!$U$62+'LINEST VARS'!$T$62*(8)+'LINEST VARS'!$S$62*(8)+'LINEST VARS'!$R$62*($CP$80)+'LINEST VARS'!$Q$62*($BX86)+'LINEST VARS'!$P$62*(12.73)+'LINEST VARS'!$O$62*(8^2)+'LINEST VARS'!$N$62*(8^2)+'LINEST VARS'!$M$62*($CP$80^2)+'LINEST VARS'!$L$62*($BX86^2)+'LINEST VARS'!$K$62*(12.73^2)+'LINEST VARS'!$J$62*(8*8)+'LINEST VARS'!$I$62*(8*$CP$80)+'LINEST VARS'!$H$62*(8*$BX86)+'LINEST VARS'!$G$62*(8*12.73)+'LINEST VARS'!$F$62*(8*$CP$80)+'LINEST VARS'!$E$62*(8*$BX86)+'LINEST VARS'!$D$62*(8*12.73)+'LINEST VARS'!$C$62*($CP$80*$BX86)+'LINEST VARS'!$B$62*($CP$80*12.73)+'LINEST VARS'!$A$62*($BX86*12.73)</f>
        <v>118.67500000000013</v>
      </c>
      <c r="CQ86" s="55">
        <f>'LINEST VARS'!$U$62+'LINEST VARS'!$T$62*(8)+'LINEST VARS'!$S$62*(8)+'LINEST VARS'!$R$62*($CQ$80)+'LINEST VARS'!$Q$62*($BX86)+'LINEST VARS'!$P$62*(12.73)+'LINEST VARS'!$O$62*(8^2)+'LINEST VARS'!$N$62*(8^2)+'LINEST VARS'!$M$62*($CQ$80^2)+'LINEST VARS'!$L$62*($BX86^2)+'LINEST VARS'!$K$62*(12.73^2)+'LINEST VARS'!$J$62*(8*8)+'LINEST VARS'!$I$62*(8*$CQ$80)+'LINEST VARS'!$H$62*(8*$BX86)+'LINEST VARS'!$G$62*(8*12.73)+'LINEST VARS'!$F$62*(8*$CQ$80)+'LINEST VARS'!$E$62*(8*$BX86)+'LINEST VARS'!$D$62*(8*12.73)+'LINEST VARS'!$C$62*($CQ$80*$BX86)+'LINEST VARS'!$B$62*($CQ$80*12.73)+'LINEST VARS'!$A$62*($BX86*12.73)</f>
        <v>90.675000000000125</v>
      </c>
      <c r="CR86" s="55">
        <f>'LINEST VARS'!$U$62+'LINEST VARS'!$T$62*(8)+'LINEST VARS'!$S$62*(8)+'LINEST VARS'!$R$62*($CR$80)+'LINEST VARS'!$Q$62*($BX86)+'LINEST VARS'!$P$62*(12.73)+'LINEST VARS'!$O$62*(8^2)+'LINEST VARS'!$N$62*(8^2)+'LINEST VARS'!$M$62*($CR$80^2)+'LINEST VARS'!$L$62*($BX86^2)+'LINEST VARS'!$K$62*(12.73^2)+'LINEST VARS'!$J$62*(8*8)+'LINEST VARS'!$I$62*(8*$CR$80)+'LINEST VARS'!$H$62*(8*$BX86)+'LINEST VARS'!$G$62*(8*12.73)+'LINEST VARS'!$F$62*(8*$CR$80)+'LINEST VARS'!$E$62*(8*$BX86)+'LINEST VARS'!$D$62*(8*12.73)+'LINEST VARS'!$C$62*($CR$80*$BX86)+'LINEST VARS'!$B$62*($CR$80*12.73)+'LINEST VARS'!$A$62*($BX86*12.73)</f>
        <v>61.075000000000166</v>
      </c>
      <c r="CS86" s="56">
        <f>'LINEST VARS'!$U$62+'LINEST VARS'!$T$62*(8)+'LINEST VARS'!$S$62*(8)+'LINEST VARS'!$R$62*($CS$80)+'LINEST VARS'!$Q$62*($BX86)+'LINEST VARS'!$P$62*(12.73)+'LINEST VARS'!$O$62*(8^2)+'LINEST VARS'!$N$62*(8^2)+'LINEST VARS'!$M$62*($CS$80^2)+'LINEST VARS'!$L$62*($BX86^2)+'LINEST VARS'!$K$62*(12.73^2)+'LINEST VARS'!$J$62*(8*8)+'LINEST VARS'!$I$62*(8*$CS$80)+'LINEST VARS'!$H$62*(8*$BX86)+'LINEST VARS'!$G$62*(8*12.73)+'LINEST VARS'!$F$62*(8*$CS$80)+'LINEST VARS'!$E$62*(8*$BX86)+'LINEST VARS'!$D$62*(8*12.73)+'LINEST VARS'!$C$62*($CS$80*$BX86)+'LINEST VARS'!$B$62*($CS$80*12.73)+'LINEST VARS'!$A$62*($BX86*12.73)</f>
        <v>29.875000000000206</v>
      </c>
      <c r="CX86" s="45">
        <v>6.4974999999999996</v>
      </c>
      <c r="CY86" s="46">
        <f>'LINEST VARS'!$U$60+'LINEST VARS'!$T$60*(8)+'LINEST VARS'!$S$60*(8)+'LINEST VARS'!$R$60*($CY$80)+'LINEST VARS'!$Q$60*(0.5)+'LINEST VARS'!$P$60*($CX86)+'LINEST VARS'!$O$60*(8^2)+'LINEST VARS'!$N$60*(8^2)+'LINEST VARS'!$M$60*($CY$80^2)+'LINEST VARS'!$L$60*(0.5^2)+'LINEST VARS'!$K$60*($CX86^2)+'LINEST VARS'!$J$60*(8*8)+'LINEST VARS'!$I$60*(8*$CY$80)+'LINEST VARS'!$H$60*(8*0.5)+'LINEST VARS'!$G$60*(8*$CX86)+'LINEST VARS'!$F$60*(8*$CY$80)+'LINEST VARS'!$E$60*(8*0.5)+'LINEST VARS'!$D$60*(8*$CX86)+'LINEST VARS'!$C$60*($CY$80*0.5)+'LINEST VARS'!$B$60*($CY$80*$CX86)+'LINEST VARS'!$A$60*(0.5*$CX86)</f>
        <v>27.995000000000008</v>
      </c>
      <c r="CZ86" s="46">
        <f>'LINEST VARS'!$U$60+'LINEST VARS'!$T$60*(8)+'LINEST VARS'!$S$60*(8)+'LINEST VARS'!$R$60*($CZ$80)+'LINEST VARS'!$Q$60*(0.5)+'LINEST VARS'!$P$60*($CX86)+'LINEST VARS'!$O$60*(8^2)+'LINEST VARS'!$N$60*(8^2)+'LINEST VARS'!$M$60*($CZ$80^2)+'LINEST VARS'!$L$60*(0.5^2)+'LINEST VARS'!$K$60*($CX86^2)+'LINEST VARS'!$J$60*(8*8)+'LINEST VARS'!$I$60*(8*$CZ$80)+'LINEST VARS'!$H$60*(8*0.5)+'LINEST VARS'!$G$60*(8*$CX86)+'LINEST VARS'!$F$60*(8*$CZ$80)+'LINEST VARS'!$E$60*(8*0.5)+'LINEST VARS'!$D$60*(8*$CX86)+'LINEST VARS'!$C$60*($CZ$80*0.5)+'LINEST VARS'!$B$60*($CZ$80*$CX86)+'LINEST VARS'!$A$60*(0.5*$CX86)</f>
        <v>27.995000000000008</v>
      </c>
      <c r="DA86" s="46">
        <f>'LINEST VARS'!$U$60+'LINEST VARS'!$T$60*(8)+'LINEST VARS'!$S$60*(8)+'LINEST VARS'!$R$60*($DA$80)+'LINEST VARS'!$Q$60*(0.5)+'LINEST VARS'!$P$60*($CX86)+'LINEST VARS'!$O$60*(8^2)+'LINEST VARS'!$N$60*(8^2)+'LINEST VARS'!$M$60*($DA$80^2)+'LINEST VARS'!$L$60*(0.5^2)+'LINEST VARS'!$K$60*($CX86^2)+'LINEST VARS'!$J$60*(8*8)+'LINEST VARS'!$I$60*(8*$DA$80)+'LINEST VARS'!$H$60*(8*0.5)+'LINEST VARS'!$G$60*(8*$CX86)+'LINEST VARS'!$F$60*(8*$DA$80)+'LINEST VARS'!$E$60*(8*0.5)+'LINEST VARS'!$D$60*(8*$CX86)+'LINEST VARS'!$C$60*($DA$80*0.5)+'LINEST VARS'!$B$60*($DA$80*$CX86)+'LINEST VARS'!$A$60*(0.5*$CX86)</f>
        <v>27.995000000000008</v>
      </c>
      <c r="DB86" s="46">
        <f>'LINEST VARS'!$U$60+'LINEST VARS'!$T$60*(8)+'LINEST VARS'!$S$60*(8)+'LINEST VARS'!$R$60*($DB$80)+'LINEST VARS'!$Q$60*(0.5)+'LINEST VARS'!$P$60*($CX86)+'LINEST VARS'!$O$60*(8^2)+'LINEST VARS'!$N$60*(8^2)+'LINEST VARS'!$M$60*($DB$80^2)+'LINEST VARS'!$L$60*(0.5^2)+'LINEST VARS'!$K$60*($CX86^2)+'LINEST VARS'!$J$60*(8*8)+'LINEST VARS'!$I$60*(8*$DB$80)+'LINEST VARS'!$H$60*(8*0.5)+'LINEST VARS'!$G$60*(8*$CX86)+'LINEST VARS'!$F$60*(8*$DB$80)+'LINEST VARS'!$E$60*(8*0.5)+'LINEST VARS'!$D$60*(8*$CX86)+'LINEST VARS'!$C$60*($DB$80*0.5)+'LINEST VARS'!$B$60*($DB$80*$CX86)+'LINEST VARS'!$A$60*(0.5*$CX86)</f>
        <v>27.995000000000008</v>
      </c>
      <c r="DC86" s="46">
        <f>'LINEST VARS'!$U$60+'LINEST VARS'!$T$60*(8)+'LINEST VARS'!$S$60*(8)+'LINEST VARS'!$R$60*($DC$80)+'LINEST VARS'!$Q$60*(0.5)+'LINEST VARS'!$P$60*($CX86)+'LINEST VARS'!$O$60*(8^2)+'LINEST VARS'!$N$60*(8^2)+'LINEST VARS'!$M$60*($DC$80^2)+'LINEST VARS'!$L$60*(0.5^2)+'LINEST VARS'!$K$60*($CX86^2)+'LINEST VARS'!$J$60*(8*8)+'LINEST VARS'!$I$60*(8*$DC$80)+'LINEST VARS'!$H$60*(8*0.5)+'LINEST VARS'!$G$60*(8*$CX86)+'LINEST VARS'!$F$60*(8*$DC$80)+'LINEST VARS'!$E$60*(8*0.5)+'LINEST VARS'!$D$60*(8*$CX86)+'LINEST VARS'!$C$60*($DC$80*0.5)+'LINEST VARS'!$B$60*($DC$80*$CX86)+'LINEST VARS'!$A$60*(0.5*$CX86)</f>
        <v>27.995000000000008</v>
      </c>
      <c r="DD86" s="46">
        <f>'LINEST VARS'!$U$60+'LINEST VARS'!$T$60*(8)+'LINEST VARS'!$S$60*(8)+'LINEST VARS'!$R$60*($DD$80)+'LINEST VARS'!$Q$60*(0.5)+'LINEST VARS'!$P$60*($CX86)+'LINEST VARS'!$O$60*(8^2)+'LINEST VARS'!$N$60*(8^2)+'LINEST VARS'!$M$60*($DD$80^2)+'LINEST VARS'!$L$60*(0.5^2)+'LINEST VARS'!$K$60*($CX86^2)+'LINEST VARS'!$J$60*(8*8)+'LINEST VARS'!$I$60*(8*$DD$80)+'LINEST VARS'!$H$60*(8*0.5)+'LINEST VARS'!$G$60*(8*$CX86)+'LINEST VARS'!$F$60*(8*$DD$80)+'LINEST VARS'!$E$60*(8*0.5)+'LINEST VARS'!$D$60*(8*$CX86)+'LINEST VARS'!$C$60*($DD$80*0.5)+'LINEST VARS'!$B$60*($DD$80*$CX86)+'LINEST VARS'!$A$60*(0.5*$CX86)</f>
        <v>27.995000000000012</v>
      </c>
      <c r="DE86" s="46">
        <f>'LINEST VARS'!$U$60+'LINEST VARS'!$T$60*(8)+'LINEST VARS'!$S$60*(8)+'LINEST VARS'!$R$60*($DE$80)+'LINEST VARS'!$Q$60*(0.5)+'LINEST VARS'!$P$60*($CX86)+'LINEST VARS'!$O$60*(8^2)+'LINEST VARS'!$N$60*(8^2)+'LINEST VARS'!$M$60*($DE$80^2)+'LINEST VARS'!$L$60*(0.5^2)+'LINEST VARS'!$K$60*($CX86^2)+'LINEST VARS'!$J$60*(8*8)+'LINEST VARS'!$I$60*(8*$DE$80)+'LINEST VARS'!$H$60*(8*0.5)+'LINEST VARS'!$G$60*(8*$CX86)+'LINEST VARS'!$F$60*(8*$DE$80)+'LINEST VARS'!$E$60*(8*0.5)+'LINEST VARS'!$D$60*(8*$CX86)+'LINEST VARS'!$C$60*($DE$80*0.5)+'LINEST VARS'!$B$60*($DE$80*$CX86)+'LINEST VARS'!$A$60*(0.5*$CX86)</f>
        <v>27.995000000000012</v>
      </c>
      <c r="DF86" s="46">
        <f>'LINEST VARS'!$U$60+'LINEST VARS'!$T$60*(8)+'LINEST VARS'!$S$60*(8)+'LINEST VARS'!$R$60*($DF$80)+'LINEST VARS'!$Q$60*(0.5)+'LINEST VARS'!$P$60*($CX86)+'LINEST VARS'!$O$60*(8^2)+'LINEST VARS'!$N$60*(8^2)+'LINEST VARS'!$M$60*($DF$80^2)+'LINEST VARS'!$L$60*(0.5^2)+'LINEST VARS'!$K$60*($CX86^2)+'LINEST VARS'!$J$60*(8*8)+'LINEST VARS'!$I$60*(8*$DF$80)+'LINEST VARS'!$H$60*(8*0.5)+'LINEST VARS'!$G$60*(8*$CX86)+'LINEST VARS'!$F$60*(8*$DF$80)+'LINEST VARS'!$E$60*(8*0.5)+'LINEST VARS'!$D$60*(8*$CX86)+'LINEST VARS'!$C$60*($DF$80*0.5)+'LINEST VARS'!$B$60*($DF$80*$CX86)+'LINEST VARS'!$A$60*(0.5*$CX86)</f>
        <v>27.995000000000008</v>
      </c>
      <c r="DG86" s="46">
        <f>'LINEST VARS'!$U$60+'LINEST VARS'!$T$60*(8)+'LINEST VARS'!$S$60*(8)+'LINEST VARS'!$R$60*($DG$80)+'LINEST VARS'!$Q$60*(0.5)+'LINEST VARS'!$P$60*($CX86)+'LINEST VARS'!$O$60*(8^2)+'LINEST VARS'!$N$60*(8^2)+'LINEST VARS'!$M$60*($DG$80^2)+'LINEST VARS'!$L$60*(0.5^2)+'LINEST VARS'!$K$60*($CX86^2)+'LINEST VARS'!$J$60*(8*8)+'LINEST VARS'!$I$60*(8*$DG$80)+'LINEST VARS'!$H$60*(8*0.5)+'LINEST VARS'!$G$60*(8*$CX86)+'LINEST VARS'!$F$60*(8*$DG$80)+'LINEST VARS'!$E$60*(8*0.5)+'LINEST VARS'!$D$60*(8*$CX86)+'LINEST VARS'!$C$60*($DG$80*0.5)+'LINEST VARS'!$B$60*($DG$80*$CX86)+'LINEST VARS'!$A$60*(0.5*$CX86)</f>
        <v>27.995000000000008</v>
      </c>
      <c r="DH86" s="46">
        <f>'LINEST VARS'!$U$60+'LINEST VARS'!$T$60*(8)+'LINEST VARS'!$S$60*(8)+'LINEST VARS'!$R$60*($DH$80)+'LINEST VARS'!$Q$60*(0.5)+'LINEST VARS'!$P$60*($CX86)+'LINEST VARS'!$O$60*(8^2)+'LINEST VARS'!$N$60*(8^2)+'LINEST VARS'!$M$60*($DH$80^2)+'LINEST VARS'!$L$60*(0.5^2)+'LINEST VARS'!$K$60*($CX86^2)+'LINEST VARS'!$J$60*(8*8)+'LINEST VARS'!$I$60*(8*$DH$80)+'LINEST VARS'!$H$60*(8*0.5)+'LINEST VARS'!$G$60*(8*$CX86)+'LINEST VARS'!$F$60*(8*$DH$80)+'LINEST VARS'!$E$60*(8*0.5)+'LINEST VARS'!$D$60*(8*$CX86)+'LINEST VARS'!$C$60*($DH$80*0.5)+'LINEST VARS'!$B$60*($DH$80*$CX86)+'LINEST VARS'!$A$60*(0.5*$CX86)</f>
        <v>27.995000000000008</v>
      </c>
      <c r="DI86" s="46">
        <f>'LINEST VARS'!$U$60+'LINEST VARS'!$T$60*(8)+'LINEST VARS'!$S$60*(8)+'LINEST VARS'!$R$60*($DI$80)+'LINEST VARS'!$Q$60*(0.5)+'LINEST VARS'!$P$60*($CX86)+'LINEST VARS'!$O$60*(8^2)+'LINEST VARS'!$N$60*(8^2)+'LINEST VARS'!$M$60*($DI$80^2)+'LINEST VARS'!$L$60*(0.5^2)+'LINEST VARS'!$K$60*($CX86^2)+'LINEST VARS'!$J$60*(8*8)+'LINEST VARS'!$I$60*(8*$DI$80)+'LINEST VARS'!$H$60*(8*0.5)+'LINEST VARS'!$G$60*(8*$CX86)+'LINEST VARS'!$F$60*(8*$DI$80)+'LINEST VARS'!$E$60*(8*0.5)+'LINEST VARS'!$D$60*(8*$CX86)+'LINEST VARS'!$C$60*($DI$80*0.5)+'LINEST VARS'!$B$60*($DI$80*$CX86)+'LINEST VARS'!$A$60*(0.5*$CX86)</f>
        <v>27.995000000000012</v>
      </c>
      <c r="DJ86" s="46">
        <f>'LINEST VARS'!$U$60+'LINEST VARS'!$T$60*(8)+'LINEST VARS'!$S$60*(8)+'LINEST VARS'!$R$60*($DJ$80)+'LINEST VARS'!$Q$60*(0.5)+'LINEST VARS'!$P$60*($CX86)+'LINEST VARS'!$O$60*(8^2)+'LINEST VARS'!$N$60*(8^2)+'LINEST VARS'!$M$60*($DJ$80^2)+'LINEST VARS'!$L$60*(0.5^2)+'LINEST VARS'!$K$60*($CX86^2)+'LINEST VARS'!$J$60*(8*8)+'LINEST VARS'!$I$60*(8*$DJ$80)+'LINEST VARS'!$H$60*(8*0.5)+'LINEST VARS'!$G$60*(8*$CX86)+'LINEST VARS'!$F$60*(8*$DJ$80)+'LINEST VARS'!$E$60*(8*0.5)+'LINEST VARS'!$D$60*(8*$CX86)+'LINEST VARS'!$C$60*($DJ$80*0.5)+'LINEST VARS'!$B$60*($DJ$80*$CX86)+'LINEST VARS'!$A$60*(0.5*$CX86)</f>
        <v>27.995000000000008</v>
      </c>
      <c r="DK86" s="46">
        <f>'LINEST VARS'!$U$60+'LINEST VARS'!$T$60*(8)+'LINEST VARS'!$S$60*(8)+'LINEST VARS'!$R$60*($DK$80)+'LINEST VARS'!$Q$60*(0.5)+'LINEST VARS'!$P$60*($CX86)+'LINEST VARS'!$O$60*(8^2)+'LINEST VARS'!$N$60*(8^2)+'LINEST VARS'!$M$60*($DK$80^2)+'LINEST VARS'!$L$60*(0.5^2)+'LINEST VARS'!$K$60*($CX86^2)+'LINEST VARS'!$J$60*(8*8)+'LINEST VARS'!$I$60*(8*$DK$80)+'LINEST VARS'!$H$60*(8*0.5)+'LINEST VARS'!$G$60*(8*$CX86)+'LINEST VARS'!$F$60*(8*$DK$80)+'LINEST VARS'!$E$60*(8*0.5)+'LINEST VARS'!$D$60*(8*$CX86)+'LINEST VARS'!$C$60*($DK$80*0.5)+'LINEST VARS'!$B$60*($DK$80*$CX86)+'LINEST VARS'!$A$60*(0.5*$CX86)</f>
        <v>27.995000000000008</v>
      </c>
      <c r="DL86" s="46">
        <f>'LINEST VARS'!$U$60+'LINEST VARS'!$T$60*(8)+'LINEST VARS'!$S$60*(8)+'LINEST VARS'!$R$60*($DL$80)+'LINEST VARS'!$Q$60*(0.5)+'LINEST VARS'!$P$60*($CX86)+'LINEST VARS'!$O$60*(8^2)+'LINEST VARS'!$N$60*(8^2)+'LINEST VARS'!$M$60*($DL$80^2)+'LINEST VARS'!$L$60*(0.5^2)+'LINEST VARS'!$K$60*($CX86^2)+'LINEST VARS'!$J$60*(8*8)+'LINEST VARS'!$I$60*(8*$DL$80)+'LINEST VARS'!$H$60*(8*0.5)+'LINEST VARS'!$G$60*(8*$CX86)+'LINEST VARS'!$F$60*(8*$DL$80)+'LINEST VARS'!$E$60*(8*0.5)+'LINEST VARS'!$D$60*(8*$CX86)+'LINEST VARS'!$C$60*($DL$80*0.5)+'LINEST VARS'!$B$60*($DL$80*$CX86)+'LINEST VARS'!$A$60*(0.5*$CX86)</f>
        <v>27.995000000000008</v>
      </c>
      <c r="DM86" s="46">
        <f>'LINEST VARS'!$U$60+'LINEST VARS'!$T$60*(8)+'LINEST VARS'!$S$60*(8)+'LINEST VARS'!$R$60*($DM$80)+'LINEST VARS'!$Q$60*(0.5)+'LINEST VARS'!$P$60*($CX86)+'LINEST VARS'!$O$60*(8^2)+'LINEST VARS'!$N$60*(8^2)+'LINEST VARS'!$M$60*($DM$80^2)+'LINEST VARS'!$L$60*(0.5^2)+'LINEST VARS'!$K$60*($CX86^2)+'LINEST VARS'!$J$60*(8*8)+'LINEST VARS'!$I$60*(8*$DM$80)+'LINEST VARS'!$H$60*(8*0.5)+'LINEST VARS'!$G$60*(8*$CX86)+'LINEST VARS'!$F$60*(8*$DM$80)+'LINEST VARS'!$E$60*(8*0.5)+'LINEST VARS'!$D$60*(8*$CX86)+'LINEST VARS'!$C$60*($DM$80*0.5)+'LINEST VARS'!$B$60*($DM$80*$CX86)+'LINEST VARS'!$A$60*(0.5*$CX86)</f>
        <v>27.995000000000012</v>
      </c>
      <c r="DN86" s="46">
        <f>'LINEST VARS'!$U$60+'LINEST VARS'!$T$60*(8)+'LINEST VARS'!$S$60*(8)+'LINEST VARS'!$R$60*($DN$80)+'LINEST VARS'!$Q$60*(0.5)+'LINEST VARS'!$P$60*($CX86)+'LINEST VARS'!$O$60*(8^2)+'LINEST VARS'!$N$60*(8^2)+'LINEST VARS'!$M$60*($DN$80^2)+'LINEST VARS'!$L$60*(0.5^2)+'LINEST VARS'!$K$60*($CX86^2)+'LINEST VARS'!$J$60*(8*8)+'LINEST VARS'!$I$60*(8*$DN$80)+'LINEST VARS'!$H$60*(8*0.5)+'LINEST VARS'!$G$60*(8*$CX86)+'LINEST VARS'!$F$60*(8*$DN$80)+'LINEST VARS'!$E$60*(8*0.5)+'LINEST VARS'!$D$60*(8*$CX86)+'LINEST VARS'!$C$60*($DN$80*0.5)+'LINEST VARS'!$B$60*($DN$80*$CX86)+'LINEST VARS'!$A$60*(0.5*$CX86)</f>
        <v>27.995000000000012</v>
      </c>
      <c r="DO86" s="46">
        <f>'LINEST VARS'!$U$60+'LINEST VARS'!$T$60*(8)+'LINEST VARS'!$S$60*(8)+'LINEST VARS'!$R$60*($DO$80)+'LINEST VARS'!$Q$60*(0.5)+'LINEST VARS'!$P$60*($CX86)+'LINEST VARS'!$O$60*(8^2)+'LINEST VARS'!$N$60*(8^2)+'LINEST VARS'!$M$60*($DO$80^2)+'LINEST VARS'!$L$60*(0.5^2)+'LINEST VARS'!$K$60*($CX86^2)+'LINEST VARS'!$J$60*(8*8)+'LINEST VARS'!$I$60*(8*$DO$80)+'LINEST VARS'!$H$60*(8*0.5)+'LINEST VARS'!$G$60*(8*$CX86)+'LINEST VARS'!$F$60*(8*$DO$80)+'LINEST VARS'!$E$60*(8*0.5)+'LINEST VARS'!$D$60*(8*$CX86)+'LINEST VARS'!$C$60*($DO$80*0.5)+'LINEST VARS'!$B$60*($DO$80*$CX86)+'LINEST VARS'!$A$60*(0.5*$CX86)</f>
        <v>27.995000000000012</v>
      </c>
      <c r="DP86" s="46">
        <f>'LINEST VARS'!$U$60+'LINEST VARS'!$T$60*(8)+'LINEST VARS'!$S$60*(8)+'LINEST VARS'!$R$60*($DP$80)+'LINEST VARS'!$Q$60*(0.5)+'LINEST VARS'!$P$60*($CX86)+'LINEST VARS'!$O$60*(8^2)+'LINEST VARS'!$N$60*(8^2)+'LINEST VARS'!$M$60*($DP$80^2)+'LINEST VARS'!$L$60*(0.5^2)+'LINEST VARS'!$K$60*($CX86^2)+'LINEST VARS'!$J$60*(8*8)+'LINEST VARS'!$I$60*(8*$DP$80)+'LINEST VARS'!$H$60*(8*0.5)+'LINEST VARS'!$G$60*(8*$CX86)+'LINEST VARS'!$F$60*(8*$DP$80)+'LINEST VARS'!$E$60*(8*0.5)+'LINEST VARS'!$D$60*(8*$CX86)+'LINEST VARS'!$C$60*($DP$80*0.5)+'LINEST VARS'!$B$60*($DP$80*$CX86)+'LINEST VARS'!$A$60*(0.5*$CX86)</f>
        <v>27.995000000000012</v>
      </c>
      <c r="DQ86" s="46">
        <f>'LINEST VARS'!$U$60+'LINEST VARS'!$T$60*(8)+'LINEST VARS'!$S$60*(8)+'LINEST VARS'!$R$60*($DQ$80)+'LINEST VARS'!$Q$60*(0.5)+'LINEST VARS'!$P$60*($CX86)+'LINEST VARS'!$O$60*(8^2)+'LINEST VARS'!$N$60*(8^2)+'LINEST VARS'!$M$60*($DQ$80^2)+'LINEST VARS'!$L$60*(0.5^2)+'LINEST VARS'!$K$60*($CX86^2)+'LINEST VARS'!$J$60*(8*8)+'LINEST VARS'!$I$60*(8*$DQ$80)+'LINEST VARS'!$H$60*(8*0.5)+'LINEST VARS'!$G$60*(8*$CX86)+'LINEST VARS'!$F$60*(8*$DQ$80)+'LINEST VARS'!$E$60*(8*0.5)+'LINEST VARS'!$D$60*(8*$CX86)+'LINEST VARS'!$C$60*($DQ$80*0.5)+'LINEST VARS'!$B$60*($DQ$80*$CX86)+'LINEST VARS'!$A$60*(0.5*$CX86)</f>
        <v>27.995000000000008</v>
      </c>
      <c r="DR86" s="46">
        <f>'LINEST VARS'!$U$60+'LINEST VARS'!$T$60*(8)+'LINEST VARS'!$S$60*(8)+'LINEST VARS'!$R$60*($DR$80)+'LINEST VARS'!$Q$60*(0.5)+'LINEST VARS'!$P$60*($CX86)+'LINEST VARS'!$O$60*(8^2)+'LINEST VARS'!$N$60*(8^2)+'LINEST VARS'!$M$60*($DR$80^2)+'LINEST VARS'!$L$60*(0.5^2)+'LINEST VARS'!$K$60*($CX86^2)+'LINEST VARS'!$J$60*(8*8)+'LINEST VARS'!$I$60*(8*$DR$80)+'LINEST VARS'!$H$60*(8*0.5)+'LINEST VARS'!$G$60*(8*$CX86)+'LINEST VARS'!$F$60*(8*$DR$80)+'LINEST VARS'!$E$60*(8*0.5)+'LINEST VARS'!$D$60*(8*$CX86)+'LINEST VARS'!$C$60*($DR$80*0.5)+'LINEST VARS'!$B$60*($DR$80*$CX86)+'LINEST VARS'!$A$60*(0.5*$CX86)</f>
        <v>27.995000000000008</v>
      </c>
      <c r="DS86" s="47">
        <f>'LINEST VARS'!$U$60+'LINEST VARS'!$T$60*(8)+'LINEST VARS'!$S$60*(8)+'LINEST VARS'!$R$60*($DS$80)+'LINEST VARS'!$Q$60*(0.5)+'LINEST VARS'!$P$60*($CX86)+'LINEST VARS'!$O$60*(8^2)+'LINEST VARS'!$N$60*(8^2)+'LINEST VARS'!$M$60*($DS$80^2)+'LINEST VARS'!$L$60*(0.5^2)+'LINEST VARS'!$K$60*($CX86^2)+'LINEST VARS'!$J$60*(8*8)+'LINEST VARS'!$I$60*(8*$DS$80)+'LINEST VARS'!$H$60*(8*0.5)+'LINEST VARS'!$G$60*(8*$CX86)+'LINEST VARS'!$F$60*(8*$DS$80)+'LINEST VARS'!$E$60*(8*0.5)+'LINEST VARS'!$D$60*(8*$CX86)+'LINEST VARS'!$C$60*($DS$80*0.5)+'LINEST VARS'!$B$60*($DS$80*$CX86)+'LINEST VARS'!$A$60*(0.5*$CX86)</f>
        <v>27.995000000000005</v>
      </c>
      <c r="DV86" s="45">
        <v>6.4974999999999996</v>
      </c>
      <c r="DW86" s="55">
        <f>'LINEST VARS'!$U$62+'LINEST VARS'!$T$62*(8)+'LINEST VARS'!$S$62*(8)+'LINEST VARS'!$R$62*($DW$80)+'LINEST VARS'!$Q$62*(0.5)+'LINEST VARS'!$P$62*($DV86)+'LINEST VARS'!$O$62*(8^2)+'LINEST VARS'!$N$62*(8^2)+'LINEST VARS'!$M$62*($DW$80^2)+'LINEST VARS'!$L$62*(0.5^2)+'LINEST VARS'!$K$62*($DV86^2)+'LINEST VARS'!$J$62*(8*8)+'LINEST VARS'!$I$62*(8*$DW$80)+'LINEST VARS'!$H$62*(8*0.5)+'LINEST VARS'!$G$62*(8*$DV86)+'LINEST VARS'!$F$62*(8*$DW$80)+'LINEST VARS'!$E$62*(8*0.5)+'LINEST VARS'!$D$62*(8*$DV86)+'LINEST VARS'!$C$62*($DW$80*0.5)+'LINEST VARS'!$B$62*($DW$80*$DV86)+'LINEST VARS'!$A$62*(0.5*$DV86)</f>
        <v>349.49999999999989</v>
      </c>
      <c r="DX86" s="55">
        <f>'LINEST VARS'!$U$62+'LINEST VARS'!$T$62*(8)+'LINEST VARS'!$S$62*(8)+'LINEST VARS'!$R$62*($DX$80)+'LINEST VARS'!$Q$62*(0.5)+'LINEST VARS'!$P$62*($DV86)+'LINEST VARS'!$O$62*(8^2)+'LINEST VARS'!$N$62*(8^2)+'LINEST VARS'!$M$62*($DX$80^2)+'LINEST VARS'!$L$62*(0.5^2)+'LINEST VARS'!$K$62*($DV86^2)+'LINEST VARS'!$J$62*(8*8)+'LINEST VARS'!$I$62*(8*$DX$80)+'LINEST VARS'!$H$62*(8*0.5)+'LINEST VARS'!$G$62*(8*$DV86)+'LINEST VARS'!$F$62*(8*$DX$80)+'LINEST VARS'!$E$62*(8*0.5)+'LINEST VARS'!$D$62*(8*$DV86)+'LINEST VARS'!$C$62*($DX$80*0.5)+'LINEST VARS'!$B$62*($DX$80*$DV86)+'LINEST VARS'!$A$62*(0.5*$DV86)</f>
        <v>348.69999999999993</v>
      </c>
      <c r="DY86" s="55">
        <f>'LINEST VARS'!$U$62+'LINEST VARS'!$T$62*(8)+'LINEST VARS'!$S$62*(8)+'LINEST VARS'!$R$62*($DY$80)+'LINEST VARS'!$Q$62*(0.5)+'LINEST VARS'!$P$62*($DV86)+'LINEST VARS'!$O$62*(8^2)+'LINEST VARS'!$N$62*(8^2)+'LINEST VARS'!$M$62*($DY$80^2)+'LINEST VARS'!$L$62*(0.5^2)+'LINEST VARS'!$K$62*($DV86^2)+'LINEST VARS'!$J$62*(8*8)+'LINEST VARS'!$I$62*(8*$DY$80)+'LINEST VARS'!$H$62*(8*0.5)+'LINEST VARS'!$G$62*(8*$DV86)+'LINEST VARS'!$F$62*(8*$DY$80)+'LINEST VARS'!$E$62*(8*0.5)+'LINEST VARS'!$D$62*(8*$DV86)+'LINEST VARS'!$C$62*($DY$80*0.5)+'LINEST VARS'!$B$62*($DY$80*$DV86)+'LINEST VARS'!$A$62*(0.5*$DV86)</f>
        <v>346.29999999999984</v>
      </c>
      <c r="DZ86" s="55">
        <f>'LINEST VARS'!$U$62+'LINEST VARS'!$T$62*(8)+'LINEST VARS'!$S$62*(8)+'LINEST VARS'!$R$62*($DZ$80)+'LINEST VARS'!$Q$62*(0.5)+'LINEST VARS'!$P$62*($DV86)+'LINEST VARS'!$O$62*(8^2)+'LINEST VARS'!$N$62*(8^2)+'LINEST VARS'!$M$62*($DZ$80^2)+'LINEST VARS'!$L$62*(0.5^2)+'LINEST VARS'!$K$62*($DV86^2)+'LINEST VARS'!$J$62*(8*8)+'LINEST VARS'!$I$62*(8*$DZ$80)+'LINEST VARS'!$H$62*(8*0.5)+'LINEST VARS'!$G$62*(8*$DV86)+'LINEST VARS'!$F$62*(8*$DZ$80)+'LINEST VARS'!$E$62*(8*0.5)+'LINEST VARS'!$D$62*(8*$DV86)+'LINEST VARS'!$C$62*($DZ$80*0.5)+'LINEST VARS'!$B$62*($DZ$80*$DV86)+'LINEST VARS'!$A$62*(0.5*$DV86)</f>
        <v>342.2999999999999</v>
      </c>
      <c r="EA86" s="55">
        <f>'LINEST VARS'!$U$62+'LINEST VARS'!$T$62*(8)+'LINEST VARS'!$S$62*(8)+'LINEST VARS'!$R$62*($EA$80)+'LINEST VARS'!$Q$62*(0.5)+'LINEST VARS'!$P$62*($DV86)+'LINEST VARS'!$O$62*(8^2)+'LINEST VARS'!$N$62*(8^2)+'LINEST VARS'!$M$62*($EA$80^2)+'LINEST VARS'!$L$62*(0.5^2)+'LINEST VARS'!$K$62*($DV86^2)+'LINEST VARS'!$J$62*(8*8)+'LINEST VARS'!$I$62*(8*$EA$80)+'LINEST VARS'!$H$62*(8*0.5)+'LINEST VARS'!$G$62*(8*$DV86)+'LINEST VARS'!$F$62*(8*$EA$80)+'LINEST VARS'!$E$62*(8*0.5)+'LINEST VARS'!$D$62*(8*$DV86)+'LINEST VARS'!$C$62*($EA$80*0.5)+'LINEST VARS'!$B$62*($EA$80*$DV86)+'LINEST VARS'!$A$62*(0.5*$DV86)</f>
        <v>336.69999999999993</v>
      </c>
      <c r="EB86" s="55">
        <f>'LINEST VARS'!$U$62+'LINEST VARS'!$T$62*(8)+'LINEST VARS'!$S$62*(8)+'LINEST VARS'!$R$62*($EB$80)+'LINEST VARS'!$Q$62*(0.5)+'LINEST VARS'!$P$62*($DV86)+'LINEST VARS'!$O$62*(8^2)+'LINEST VARS'!$N$62*(8^2)+'LINEST VARS'!$M$62*($EB$80^2)+'LINEST VARS'!$L$62*(0.5^2)+'LINEST VARS'!$K$62*($DV86^2)+'LINEST VARS'!$J$62*(8*8)+'LINEST VARS'!$I$62*(8*$EB$80)+'LINEST VARS'!$H$62*(8*0.5)+'LINEST VARS'!$G$62*(8*$DV86)+'LINEST VARS'!$F$62*(8*$EB$80)+'LINEST VARS'!$E$62*(8*0.5)+'LINEST VARS'!$D$62*(8*$DV86)+'LINEST VARS'!$C$62*($EB$80*0.5)+'LINEST VARS'!$B$62*($EB$80*$DV86)+'LINEST VARS'!$A$62*(0.5*$DV86)</f>
        <v>329.5</v>
      </c>
      <c r="EC86" s="55">
        <f>'LINEST VARS'!$U$62+'LINEST VARS'!$T$62*(8)+'LINEST VARS'!$S$62*(8)+'LINEST VARS'!$R$62*($EC$80)+'LINEST VARS'!$Q$62*(0.5)+'LINEST VARS'!$P$62*($DV86)+'LINEST VARS'!$O$62*(8^2)+'LINEST VARS'!$N$62*(8^2)+'LINEST VARS'!$M$62*($EC$80^2)+'LINEST VARS'!$L$62*(0.5^2)+'LINEST VARS'!$K$62*($DV86^2)+'LINEST VARS'!$J$62*(8*8)+'LINEST VARS'!$I$62*(8*$EC$80)+'LINEST VARS'!$H$62*(8*0.5)+'LINEST VARS'!$G$62*(8*$DV86)+'LINEST VARS'!$F$62*(8*$EC$80)+'LINEST VARS'!$E$62*(8*0.5)+'LINEST VARS'!$D$62*(8*$DV86)+'LINEST VARS'!$C$62*($EC$80*0.5)+'LINEST VARS'!$B$62*($EC$80*$DV86)+'LINEST VARS'!$A$62*(0.5*$DV86)</f>
        <v>320.69999999999993</v>
      </c>
      <c r="ED86" s="55">
        <f>'LINEST VARS'!$U$62+'LINEST VARS'!$T$62*(8)+'LINEST VARS'!$S$62*(8)+'LINEST VARS'!$R$62*($ED$80)+'LINEST VARS'!$Q$62*(0.5)+'LINEST VARS'!$P$62*($DV86)+'LINEST VARS'!$O$62*(8^2)+'LINEST VARS'!$N$62*(8^2)+'LINEST VARS'!$M$62*($ED$80^2)+'LINEST VARS'!$L$62*(0.5^2)+'LINEST VARS'!$K$62*($DV86^2)+'LINEST VARS'!$J$62*(8*8)+'LINEST VARS'!$I$62*(8*$ED$80)+'LINEST VARS'!$H$62*(8*0.5)+'LINEST VARS'!$G$62*(8*$DV86)+'LINEST VARS'!$F$62*(8*$ED$80)+'LINEST VARS'!$E$62*(8*0.5)+'LINEST VARS'!$D$62*(8*$DV86)+'LINEST VARS'!$C$62*($ED$80*0.5)+'LINEST VARS'!$B$62*($ED$80*$DV86)+'LINEST VARS'!$A$62*(0.5*$DV86)</f>
        <v>310.29999999999995</v>
      </c>
      <c r="EE86" s="55">
        <f>'LINEST VARS'!$U$62+'LINEST VARS'!$T$62*(8)+'LINEST VARS'!$S$62*(8)+'LINEST VARS'!$R$62*($EE$80)+'LINEST VARS'!$Q$62*(0.5)+'LINEST VARS'!$P$62*($DV86)+'LINEST VARS'!$O$62*(8^2)+'LINEST VARS'!$N$62*(8^2)+'LINEST VARS'!$M$62*($EE$80^2)+'LINEST VARS'!$L$62*(0.5^2)+'LINEST VARS'!$K$62*($DV86^2)+'LINEST VARS'!$J$62*(8*8)+'LINEST VARS'!$I$62*(8*$EE$80)+'LINEST VARS'!$H$62*(8*0.5)+'LINEST VARS'!$G$62*(8*$DV86)+'LINEST VARS'!$F$62*(8*$EE$80)+'LINEST VARS'!$E$62*(8*0.5)+'LINEST VARS'!$D$62*(8*$DV86)+'LINEST VARS'!$C$62*($EE$80*0.5)+'LINEST VARS'!$B$62*($EE$80*$DV86)+'LINEST VARS'!$A$62*(0.5*$DV86)</f>
        <v>298.3</v>
      </c>
      <c r="EF86" s="55">
        <f>'LINEST VARS'!$U$62+'LINEST VARS'!$T$62*(8)+'LINEST VARS'!$S$62*(8)+'LINEST VARS'!$R$62*($EF$80)+'LINEST VARS'!$Q$62*(0.5)+'LINEST VARS'!$P$62*($DV86)+'LINEST VARS'!$O$62*(8^2)+'LINEST VARS'!$N$62*(8^2)+'LINEST VARS'!$M$62*($EF$80^2)+'LINEST VARS'!$L$62*(0.5^2)+'LINEST VARS'!$K$62*($DV86^2)+'LINEST VARS'!$J$62*(8*8)+'LINEST VARS'!$I$62*(8*$EF$80)+'LINEST VARS'!$H$62*(8*0.5)+'LINEST VARS'!$G$62*(8*$DV86)+'LINEST VARS'!$F$62*(8*$EF$80)+'LINEST VARS'!$E$62*(8*0.5)+'LINEST VARS'!$D$62*(8*$DV86)+'LINEST VARS'!$C$62*($EF$80*0.5)+'LINEST VARS'!$B$62*($EF$80*$DV86)+'LINEST VARS'!$A$62*(0.5*$DV86)</f>
        <v>284.7</v>
      </c>
      <c r="EG86" s="55">
        <f>'LINEST VARS'!$U$62+'LINEST VARS'!$T$62*(8)+'LINEST VARS'!$S$62*(8)+'LINEST VARS'!$R$62*($EG$80)+'LINEST VARS'!$Q$62*(0.5)+'LINEST VARS'!$P$62*($DV86)+'LINEST VARS'!$O$62*(8^2)+'LINEST VARS'!$N$62*(8^2)+'LINEST VARS'!$M$62*($EG$80^2)+'LINEST VARS'!$L$62*(0.5^2)+'LINEST VARS'!$K$62*($DV86^2)+'LINEST VARS'!$J$62*(8*8)+'LINEST VARS'!$I$62*(8*$EG$80)+'LINEST VARS'!$H$62*(8*0.5)+'LINEST VARS'!$G$62*(8*$DV86)+'LINEST VARS'!$F$62*(8*$EG$80)+'LINEST VARS'!$E$62*(8*0.5)+'LINEST VARS'!$D$62*(8*$DV86)+'LINEST VARS'!$C$62*($EG$80*0.5)+'LINEST VARS'!$B$62*($EG$80*$DV86)+'LINEST VARS'!$A$62*(0.5*$DV86)</f>
        <v>269.5</v>
      </c>
      <c r="EH86" s="55">
        <f>'LINEST VARS'!$U$62+'LINEST VARS'!$T$62*(8)+'LINEST VARS'!$S$62*(8)+'LINEST VARS'!$R$62*($EH$80)+'LINEST VARS'!$Q$62*(0.5)+'LINEST VARS'!$P$62*($DV86)+'LINEST VARS'!$O$62*(8^2)+'LINEST VARS'!$N$62*(8^2)+'LINEST VARS'!$M$62*($EH$80^2)+'LINEST VARS'!$L$62*(0.5^2)+'LINEST VARS'!$K$62*($DV86^2)+'LINEST VARS'!$J$62*(8*8)+'LINEST VARS'!$I$62*(8*$EH$80)+'LINEST VARS'!$H$62*(8*0.5)+'LINEST VARS'!$G$62*(8*$DV86)+'LINEST VARS'!$F$62*(8*$EH$80)+'LINEST VARS'!$E$62*(8*0.5)+'LINEST VARS'!$D$62*(8*$DV86)+'LINEST VARS'!$C$62*($EH$80*0.5)+'LINEST VARS'!$B$62*($EH$80*$DV86)+'LINEST VARS'!$A$62*(0.5*$DV86)</f>
        <v>252.70000000000002</v>
      </c>
      <c r="EI86" s="55">
        <f>'LINEST VARS'!$U$62+'LINEST VARS'!$T$62*(8)+'LINEST VARS'!$S$62*(8)+'LINEST VARS'!$R$62*($EI$80)+'LINEST VARS'!$Q$62*(0.5)+'LINEST VARS'!$P$62*($DV86)+'LINEST VARS'!$O$62*(8^2)+'LINEST VARS'!$N$62*(8^2)+'LINEST VARS'!$M$62*($EI$80^2)+'LINEST VARS'!$L$62*(0.5^2)+'LINEST VARS'!$K$62*($DV86^2)+'LINEST VARS'!$J$62*(8*8)+'LINEST VARS'!$I$62*(8*$EI$80)+'LINEST VARS'!$H$62*(8*0.5)+'LINEST VARS'!$G$62*(8*$DV86)+'LINEST VARS'!$F$62*(8*$EI$80)+'LINEST VARS'!$E$62*(8*0.5)+'LINEST VARS'!$D$62*(8*$DV86)+'LINEST VARS'!$C$62*($EI$80*0.5)+'LINEST VARS'!$B$62*($EI$80*$DV86)+'LINEST VARS'!$A$62*(0.5*$DV86)</f>
        <v>234.30000000000007</v>
      </c>
      <c r="EJ86" s="55">
        <f>'LINEST VARS'!$U$62+'LINEST VARS'!$T$62*(8)+'LINEST VARS'!$S$62*(8)+'LINEST VARS'!$R$62*($EJ$80)+'LINEST VARS'!$Q$62*(0.5)+'LINEST VARS'!$P$62*($DV86)+'LINEST VARS'!$O$62*(8^2)+'LINEST VARS'!$N$62*(8^2)+'LINEST VARS'!$M$62*($EJ$80^2)+'LINEST VARS'!$L$62*(0.5^2)+'LINEST VARS'!$K$62*($DV86^2)+'LINEST VARS'!$J$62*(8*8)+'LINEST VARS'!$I$62*(8*$EJ$80)+'LINEST VARS'!$H$62*(8*0.5)+'LINEST VARS'!$G$62*(8*$DV86)+'LINEST VARS'!$F$62*(8*$EJ$80)+'LINEST VARS'!$E$62*(8*0.5)+'LINEST VARS'!$D$62*(8*$DV86)+'LINEST VARS'!$C$62*($EJ$80*0.5)+'LINEST VARS'!$B$62*($EJ$80*$DV86)+'LINEST VARS'!$A$62*(0.5*$DV86)</f>
        <v>214.3</v>
      </c>
      <c r="EK86" s="55">
        <f>'LINEST VARS'!$U$62+'LINEST VARS'!$T$62*(8)+'LINEST VARS'!$S$62*(8)+'LINEST VARS'!$R$62*($EK$80)+'LINEST VARS'!$Q$62*(0.5)+'LINEST VARS'!$P$62*($DV86)+'LINEST VARS'!$O$62*(8^2)+'LINEST VARS'!$N$62*(8^2)+'LINEST VARS'!$M$62*($EK$80^2)+'LINEST VARS'!$L$62*(0.5^2)+'LINEST VARS'!$K$62*($DV86^2)+'LINEST VARS'!$J$62*(8*8)+'LINEST VARS'!$I$62*(8*$EK$80)+'LINEST VARS'!$H$62*(8*0.5)+'LINEST VARS'!$G$62*(8*$DV86)+'LINEST VARS'!$F$62*(8*$EK$80)+'LINEST VARS'!$E$62*(8*0.5)+'LINEST VARS'!$D$62*(8*$DV86)+'LINEST VARS'!$C$62*($EK$80*0.5)+'LINEST VARS'!$B$62*($EK$80*$DV86)+'LINEST VARS'!$A$62*(0.5*$DV86)</f>
        <v>192.7000000000001</v>
      </c>
      <c r="EL86" s="55">
        <f>'LINEST VARS'!$U$62+'LINEST VARS'!$T$62*(8)+'LINEST VARS'!$S$62*(8)+'LINEST VARS'!$R$62*($EL$80)+'LINEST VARS'!$Q$62*(0.5)+'LINEST VARS'!$P$62*($DV86)+'LINEST VARS'!$O$62*(8^2)+'LINEST VARS'!$N$62*(8^2)+'LINEST VARS'!$M$62*($EL$80^2)+'LINEST VARS'!$L$62*(0.5^2)+'LINEST VARS'!$K$62*($DV86^2)+'LINEST VARS'!$J$62*(8*8)+'LINEST VARS'!$I$62*(8*$EL$80)+'LINEST VARS'!$H$62*(8*0.5)+'LINEST VARS'!$G$62*(8*$DV86)+'LINEST VARS'!$F$62*(8*$EL$80)+'LINEST VARS'!$E$62*(8*0.5)+'LINEST VARS'!$D$62*(8*$DV86)+'LINEST VARS'!$C$62*($EL$80*0.5)+'LINEST VARS'!$B$62*($EL$80*$DV86)+'LINEST VARS'!$A$62*(0.5*$DV86)</f>
        <v>169.50000000000009</v>
      </c>
      <c r="EM86" s="55">
        <f>'LINEST VARS'!$U$62+'LINEST VARS'!$T$62*(8)+'LINEST VARS'!$S$62*(8)+'LINEST VARS'!$R$62*($EM$80)+'LINEST VARS'!$Q$62*(0.5)+'LINEST VARS'!$P$62*($DV86)+'LINEST VARS'!$O$62*(8^2)+'LINEST VARS'!$N$62*(8^2)+'LINEST VARS'!$M$62*($EM$80^2)+'LINEST VARS'!$L$62*(0.5^2)+'LINEST VARS'!$K$62*($DV86^2)+'LINEST VARS'!$J$62*(8*8)+'LINEST VARS'!$I$62*(8*$EM$80)+'LINEST VARS'!$H$62*(8*0.5)+'LINEST VARS'!$G$62*(8*$DV86)+'LINEST VARS'!$F$62*(8*$EM$80)+'LINEST VARS'!$E$62*(8*0.5)+'LINEST VARS'!$D$62*(8*$DV86)+'LINEST VARS'!$C$62*($EM$80*0.5)+'LINEST VARS'!$B$62*($EM$80*$DV86)+'LINEST VARS'!$A$62*(0.5*$DV86)</f>
        <v>144.70000000000007</v>
      </c>
      <c r="EN86" s="55">
        <f>'LINEST VARS'!$U$62+'LINEST VARS'!$T$62*(8)+'LINEST VARS'!$S$62*(8)+'LINEST VARS'!$R$62*($EN$80)+'LINEST VARS'!$Q$62*(0.5)+'LINEST VARS'!$P$62*($DV86)+'LINEST VARS'!$O$62*(8^2)+'LINEST VARS'!$N$62*(8^2)+'LINEST VARS'!$M$62*($EN$80^2)+'LINEST VARS'!$L$62*(0.5^2)+'LINEST VARS'!$K$62*($DV86^2)+'LINEST VARS'!$J$62*(8*8)+'LINEST VARS'!$I$62*(8*$EN$80)+'LINEST VARS'!$H$62*(8*0.5)+'LINEST VARS'!$G$62*(8*$DV86)+'LINEST VARS'!$F$62*(8*$EN$80)+'LINEST VARS'!$E$62*(8*0.5)+'LINEST VARS'!$D$62*(8*$DV86)+'LINEST VARS'!$C$62*($EN$80*0.5)+'LINEST VARS'!$B$62*($EN$80*$DV86)+'LINEST VARS'!$A$62*(0.5*$DV86)</f>
        <v>118.30000000000011</v>
      </c>
      <c r="EO86" s="55">
        <f>'LINEST VARS'!$U$62+'LINEST VARS'!$T$62*(8)+'LINEST VARS'!$S$62*(8)+'LINEST VARS'!$R$62*($EO$80)+'LINEST VARS'!$Q$62*(0.5)+'LINEST VARS'!$P$62*($DV86)+'LINEST VARS'!$O$62*(8^2)+'LINEST VARS'!$N$62*(8^2)+'LINEST VARS'!$M$62*($EO$80^2)+'LINEST VARS'!$L$62*(0.5^2)+'LINEST VARS'!$K$62*($DV86^2)+'LINEST VARS'!$J$62*(8*8)+'LINEST VARS'!$I$62*(8*$EO$80)+'LINEST VARS'!$H$62*(8*0.5)+'LINEST VARS'!$G$62*(8*$DV86)+'LINEST VARS'!$F$62*(8*$EO$80)+'LINEST VARS'!$E$62*(8*0.5)+'LINEST VARS'!$D$62*(8*$DV86)+'LINEST VARS'!$C$62*($EO$80*0.5)+'LINEST VARS'!$B$62*($EO$80*$DV86)+'LINEST VARS'!$A$62*(0.5*$DV86)</f>
        <v>90.300000000000097</v>
      </c>
      <c r="EP86" s="55">
        <f>'LINEST VARS'!$U$62+'LINEST VARS'!$T$62*(8)+'LINEST VARS'!$S$62*(8)+'LINEST VARS'!$R$62*($EP$80)+'LINEST VARS'!$Q$62*(0.5)+'LINEST VARS'!$P$62*($DV86)+'LINEST VARS'!$O$62*(8^2)+'LINEST VARS'!$N$62*(8^2)+'LINEST VARS'!$M$62*($EP$80^2)+'LINEST VARS'!$L$62*(0.5^2)+'LINEST VARS'!$K$62*($DV86^2)+'LINEST VARS'!$J$62*(8*8)+'LINEST VARS'!$I$62*(8*$EP$80)+'LINEST VARS'!$H$62*(8*0.5)+'LINEST VARS'!$G$62*(8*$DV86)+'LINEST VARS'!$F$62*(8*$EP$80)+'LINEST VARS'!$E$62*(8*0.5)+'LINEST VARS'!$D$62*(8*$DV86)+'LINEST VARS'!$C$62*($EP$80*0.5)+'LINEST VARS'!$B$62*($EP$80*$DV86)+'LINEST VARS'!$A$62*(0.5*$DV86)</f>
        <v>60.700000000000159</v>
      </c>
      <c r="EQ86" s="56">
        <f>'LINEST VARS'!$U$62+'LINEST VARS'!$T$62*(8)+'LINEST VARS'!$S$62*(8)+'LINEST VARS'!$R$62*($EQ$80)+'LINEST VARS'!$Q$62*(0.5)+'LINEST VARS'!$P$62*($DV86)+'LINEST VARS'!$O$62*(8^2)+'LINEST VARS'!$N$62*(8^2)+'LINEST VARS'!$M$62*($EQ$80^2)+'LINEST VARS'!$L$62*(0.5^2)+'LINEST VARS'!$K$62*($DV86^2)+'LINEST VARS'!$J$62*(8*8)+'LINEST VARS'!$I$62*(8*$EQ$80)+'LINEST VARS'!$H$62*(8*0.5)+'LINEST VARS'!$G$62*(8*$DV86)+'LINEST VARS'!$F$62*(8*$EQ$80)+'LINEST VARS'!$E$62*(8*0.5)+'LINEST VARS'!$D$62*(8*$DV86)+'LINEST VARS'!$C$62*($EQ$80*0.5)+'LINEST VARS'!$B$62*($EQ$80*$DV86)+'LINEST VARS'!$A$62*(0.5*$DV86)</f>
        <v>29.500000000000199</v>
      </c>
    </row>
    <row r="87" spans="2:147" ht="15" customHeight="1" x14ac:dyDescent="0.25">
      <c r="B87" s="45">
        <v>7.76</v>
      </c>
      <c r="C87" s="46">
        <f>'LINEST VARS'!$U$60+'LINEST VARS'!$T$60*($C$80)+'LINEST VARS'!$S$60*($B87)+'LINEST VARS'!$R$60*(4)+'LINEST VARS'!$Q$60*(0.5)+'LINEST VARS'!$P$60*(12.73)+'LINEST VARS'!$O$60*($C$80^2)+'LINEST VARS'!$N$60*($B87^2)+'LINEST VARS'!$M$60*(4^2)+'LINEST VARS'!$L$60*(0.5^2)+'LINEST VARS'!$K$60*(12.73^2)+'LINEST VARS'!$J$60*($C$80*$B87)+'LINEST VARS'!$I$60*($C$80*4)+'LINEST VARS'!$H$60*($C$80*0.5)+'LINEST VARS'!$G$60*($C$80*12.73)+'LINEST VARS'!$F$60*($B87*4)+'LINEST VARS'!$E$60*($B87*0.5)+'LINEST VARS'!$D$60*($B87*12.73)+'LINEST VARS'!$C$60*(4*0.5)+'LINEST VARS'!$B$60*(4*12.73)+'LINEST VARS'!$A$60*(0.5*12.73)</f>
        <v>40.460000000000015</v>
      </c>
      <c r="D87" s="46">
        <f>'LINEST VARS'!$U$60+'LINEST VARS'!$T$60*($D$80)+'LINEST VARS'!$S$60*($B87)+'LINEST VARS'!$R$60*(4)+'LINEST VARS'!$Q$60*(0.5)+'LINEST VARS'!$P$60*(12.73)+'LINEST VARS'!$O$60*($D$80^2)+'LINEST VARS'!$N$60*($B87^2)+'LINEST VARS'!$M$60*(4^2)+'LINEST VARS'!$L$60*(0.5^2)+'LINEST VARS'!$K$60*(12.73^2)+'LINEST VARS'!$J$60*($D$80*$B87)+'LINEST VARS'!$I$60*($D$80*4)+'LINEST VARS'!$H$60*($D$80*0.5)+'LINEST VARS'!$G$60*($D$80*12.73)+'LINEST VARS'!$F$60*($B87*4)+'LINEST VARS'!$E$60*($B87*0.5)+'LINEST VARS'!$D$60*($B87*12.73)+'LINEST VARS'!$C$60*(4*0.5)+'LINEST VARS'!$B$60*(4*12.73)+'LINEST VARS'!$A$60*(0.5*12.73)</f>
        <v>40.460000000000015</v>
      </c>
      <c r="E87" s="46">
        <f>'LINEST VARS'!$U$60+'LINEST VARS'!$T$60*($E$80)+'LINEST VARS'!$S$60*($B87)+'LINEST VARS'!$R$60*(4)+'LINEST VARS'!$Q$60*(0.5)+'LINEST VARS'!$P$60*(12.73)+'LINEST VARS'!$O$60*($E$80^2)+'LINEST VARS'!$N$60*($B87^2)+'LINEST VARS'!$M$60*(4^2)+'LINEST VARS'!$L$60*(0.5^2)+'LINEST VARS'!$K$60*(12.73^2)+'LINEST VARS'!$J$60*($E$80*$B87)+'LINEST VARS'!$I$60*($E$80*4)+'LINEST VARS'!$H$60*($E$80*0.5)+'LINEST VARS'!$G$60*($E$80*12.73)+'LINEST VARS'!$F$60*($B87*4)+'LINEST VARS'!$E$60*($B87*0.5)+'LINEST VARS'!$D$60*($B87*12.73)+'LINEST VARS'!$C$60*(4*0.5)+'LINEST VARS'!$B$60*(4*12.73)+'LINEST VARS'!$A$60*(0.5*12.73)</f>
        <v>40.460000000000015</v>
      </c>
      <c r="F87" s="46">
        <f>'LINEST VARS'!$U$60+'LINEST VARS'!$T$60*($F$80)+'LINEST VARS'!$S$60*($B87)+'LINEST VARS'!$R$60*(4)+'LINEST VARS'!$Q$60*(0.5)+'LINEST VARS'!$P$60*(12.73)+'LINEST VARS'!$O$60*($F$80^2)+'LINEST VARS'!$N$60*($B87^2)+'LINEST VARS'!$M$60*(4^2)+'LINEST VARS'!$L$60*(0.5^2)+'LINEST VARS'!$K$60*(12.73^2)+'LINEST VARS'!$J$60*($F$80*$B87)+'LINEST VARS'!$I$60*($F$80*4)+'LINEST VARS'!$H$60*($F$80*0.5)+'LINEST VARS'!$G$60*($F$80*12.73)+'LINEST VARS'!$F$60*($B87*4)+'LINEST VARS'!$E$60*($B87*0.5)+'LINEST VARS'!$D$60*($B87*12.73)+'LINEST VARS'!$C$60*(4*0.5)+'LINEST VARS'!$B$60*(4*12.73)+'LINEST VARS'!$A$60*(0.5*12.73)</f>
        <v>40.460000000000015</v>
      </c>
      <c r="G87" s="46">
        <f>'LINEST VARS'!$U$60+'LINEST VARS'!$T$60*($G$80)+'LINEST VARS'!$S$60*($B87)+'LINEST VARS'!$R$60*(4)+'LINEST VARS'!$Q$60*(0.5)+'LINEST VARS'!$P$60*(12.73)+'LINEST VARS'!$O$60*($G$80^2)+'LINEST VARS'!$N$60*($B87^2)+'LINEST VARS'!$M$60*(4^2)+'LINEST VARS'!$L$60*(0.5^2)+'LINEST VARS'!$K$60*(12.73^2)+'LINEST VARS'!$J$60*($G$80*$B87)+'LINEST VARS'!$I$60*($G$80*4)+'LINEST VARS'!$H$60*($G$80*0.5)+'LINEST VARS'!$G$60*($G$80*12.73)+'LINEST VARS'!$F$60*($B87*4)+'LINEST VARS'!$E$60*($B87*0.5)+'LINEST VARS'!$D$60*($B87*12.73)+'LINEST VARS'!$C$60*(4*0.5)+'LINEST VARS'!$B$60*(4*12.73)+'LINEST VARS'!$A$60*(0.5*12.73)</f>
        <v>40.460000000000008</v>
      </c>
      <c r="H87" s="46">
        <f>'LINEST VARS'!$U$60+'LINEST VARS'!$T$60*($H$80)+'LINEST VARS'!$S$60*($B87)+'LINEST VARS'!$R$60*(4)+'LINEST VARS'!$Q$60*(0.5)+'LINEST VARS'!$P$60*(12.73)+'LINEST VARS'!$O$60*($H$80^2)+'LINEST VARS'!$N$60*($B87^2)+'LINEST VARS'!$M$60*(4^2)+'LINEST VARS'!$L$60*(0.5^2)+'LINEST VARS'!$K$60*(12.73^2)+'LINEST VARS'!$J$60*($H$80*$B87)+'LINEST VARS'!$I$60*($H$80*4)+'LINEST VARS'!$H$60*($H$80*0.5)+'LINEST VARS'!$G$60*($H$80*12.73)+'LINEST VARS'!$F$60*($B87*4)+'LINEST VARS'!$E$60*($B87*0.5)+'LINEST VARS'!$D$60*($B87*12.73)+'LINEST VARS'!$C$60*(4*0.5)+'LINEST VARS'!$B$60*(4*12.73)+'LINEST VARS'!$A$60*(0.5*12.73)</f>
        <v>40.460000000000008</v>
      </c>
      <c r="I87" s="46">
        <f>'LINEST VARS'!$U$60+'LINEST VARS'!$T$60*($I$80)+'LINEST VARS'!$S$60*($B87)+'LINEST VARS'!$R$60*(4)+'LINEST VARS'!$Q$60*(0.5)+'LINEST VARS'!$P$60*(12.73)+'LINEST VARS'!$O$60*($I$80^2)+'LINEST VARS'!$N$60*($B87^2)+'LINEST VARS'!$M$60*(4^2)+'LINEST VARS'!$L$60*(0.5^2)+'LINEST VARS'!$K$60*(12.73^2)+'LINEST VARS'!$J$60*($I$80*$B87)+'LINEST VARS'!$I$60*($I$80*4)+'LINEST VARS'!$H$60*($I$80*0.5)+'LINEST VARS'!$G$60*($I$80*12.73)+'LINEST VARS'!$F$60*($B87*4)+'LINEST VARS'!$E$60*($B87*0.5)+'LINEST VARS'!$D$60*($B87*12.73)+'LINEST VARS'!$C$60*(4*0.5)+'LINEST VARS'!$B$60*(4*12.73)+'LINEST VARS'!$A$60*(0.5*12.73)</f>
        <v>40.460000000000015</v>
      </c>
      <c r="J87" s="46">
        <f>'LINEST VARS'!$U$60+'LINEST VARS'!$T$60*($J$80)+'LINEST VARS'!$S$60*($B87)+'LINEST VARS'!$R$60*(4)+'LINEST VARS'!$Q$60*(0.5)+'LINEST VARS'!$P$60*(12.73)+'LINEST VARS'!$O$60*($J$80^2)+'LINEST VARS'!$N$60*($B87^2)+'LINEST VARS'!$M$60*(4^2)+'LINEST VARS'!$L$60*(0.5^2)+'LINEST VARS'!$K$60*(12.73^2)+'LINEST VARS'!$J$60*($J$80*$B87)+'LINEST VARS'!$I$60*($J$80*4)+'LINEST VARS'!$H$60*($J$80*0.5)+'LINEST VARS'!$G$60*($J$80*12.73)+'LINEST VARS'!$F$60*($B87*4)+'LINEST VARS'!$E$60*($B87*0.5)+'LINEST VARS'!$D$60*($B87*12.73)+'LINEST VARS'!$C$60*(4*0.5)+'LINEST VARS'!$B$60*(4*12.73)+'LINEST VARS'!$A$60*(0.5*12.73)</f>
        <v>40.460000000000015</v>
      </c>
      <c r="K87" s="46">
        <f>'LINEST VARS'!$U$60+'LINEST VARS'!$T$60*($K$80)+'LINEST VARS'!$S$60*($B87)+'LINEST VARS'!$R$60*(4)+'LINEST VARS'!$Q$60*(0.5)+'LINEST VARS'!$P$60*(12.73)+'LINEST VARS'!$O$60*($K$80^2)+'LINEST VARS'!$N$60*($B87^2)+'LINEST VARS'!$M$60*(4^2)+'LINEST VARS'!$L$60*(0.5^2)+'LINEST VARS'!$K$60*(12.73^2)+'LINEST VARS'!$J$60*($K$80*$B87)+'LINEST VARS'!$I$60*($K$80*4)+'LINEST VARS'!$H$60*($K$80*0.5)+'LINEST VARS'!$G$60*($K$80*12.73)+'LINEST VARS'!$F$60*($B87*4)+'LINEST VARS'!$E$60*($B87*0.5)+'LINEST VARS'!$D$60*($B87*12.73)+'LINEST VARS'!$C$60*(4*0.5)+'LINEST VARS'!$B$60*(4*12.73)+'LINEST VARS'!$A$60*(0.5*12.73)</f>
        <v>40.460000000000015</v>
      </c>
      <c r="L87" s="46">
        <f>'LINEST VARS'!$U$60+'LINEST VARS'!$T$60*($L$80)+'LINEST VARS'!$S$60*($B87)+'LINEST VARS'!$R$60*(4)+'LINEST VARS'!$Q$60*(0.5)+'LINEST VARS'!$P$60*(12.73)+'LINEST VARS'!$O$60*($L$80^2)+'LINEST VARS'!$N$60*($B87^2)+'LINEST VARS'!$M$60*(4^2)+'LINEST VARS'!$L$60*(0.5^2)+'LINEST VARS'!$K$60*(12.73^2)+'LINEST VARS'!$J$60*($L$80*$B87)+'LINEST VARS'!$I$60*($L$80*4)+'LINEST VARS'!$H$60*($L$80*0.5)+'LINEST VARS'!$G$60*($L$80*12.73)+'LINEST VARS'!$F$60*($B87*4)+'LINEST VARS'!$E$60*($B87*0.5)+'LINEST VARS'!$D$60*($B87*12.73)+'LINEST VARS'!$C$60*(4*0.5)+'LINEST VARS'!$B$60*(4*12.73)+'LINEST VARS'!$A$60*(0.5*12.73)</f>
        <v>40.460000000000015</v>
      </c>
      <c r="M87" s="46">
        <f>'LINEST VARS'!$U$60+'LINEST VARS'!$T$60*($M$80)+'LINEST VARS'!$S$60*($B87)+'LINEST VARS'!$R$60*(4)+'LINEST VARS'!$Q$60*(0.5)+'LINEST VARS'!$P$60*(12.73)+'LINEST VARS'!$O$60*($M$80^2)+'LINEST VARS'!$N$60*($B87^2)+'LINEST VARS'!$M$60*(4^2)+'LINEST VARS'!$L$60*(0.5^2)+'LINEST VARS'!$K$60*(12.73^2)+'LINEST VARS'!$J$60*($M$80*$B87)+'LINEST VARS'!$I$60*($M$80*4)+'LINEST VARS'!$H$60*($M$80*0.5)+'LINEST VARS'!$G$60*($M$80*12.73)+'LINEST VARS'!$F$60*($B87*4)+'LINEST VARS'!$E$60*($B87*0.5)+'LINEST VARS'!$D$60*($B87*12.73)+'LINEST VARS'!$C$60*(4*0.5)+'LINEST VARS'!$B$60*(4*12.73)+'LINEST VARS'!$A$60*(0.5*12.73)</f>
        <v>40.460000000000015</v>
      </c>
      <c r="N87" s="46">
        <f>'LINEST VARS'!$U$60+'LINEST VARS'!$T$60*($N$80)+'LINEST VARS'!$S$60*($B87)+'LINEST VARS'!$R$60*(4)+'LINEST VARS'!$Q$60*(0.5)+'LINEST VARS'!$P$60*(12.73)+'LINEST VARS'!$O$60*($N$80^2)+'LINEST VARS'!$N$60*($B87^2)+'LINEST VARS'!$M$60*(4^2)+'LINEST VARS'!$L$60*(0.5^2)+'LINEST VARS'!$K$60*(12.73^2)+'LINEST VARS'!$J$60*($N$80*$B87)+'LINEST VARS'!$I$60*($N$80*4)+'LINEST VARS'!$H$60*($N$80*0.5)+'LINEST VARS'!$G$60*($N$80*12.73)+'LINEST VARS'!$F$60*($B87*4)+'LINEST VARS'!$E$60*($B87*0.5)+'LINEST VARS'!$D$60*($B87*12.73)+'LINEST VARS'!$C$60*(4*0.5)+'LINEST VARS'!$B$60*(4*12.73)+'LINEST VARS'!$A$60*(0.5*12.73)</f>
        <v>40.460000000000015</v>
      </c>
      <c r="O87" s="46">
        <f>'LINEST VARS'!$U$60+'LINEST VARS'!$T$60*($O$80)+'LINEST VARS'!$S$60*($B87)+'LINEST VARS'!$R$60*(4)+'LINEST VARS'!$Q$60*(0.5)+'LINEST VARS'!$P$60*(12.73)+'LINEST VARS'!$O$60*($O$80^2)+'LINEST VARS'!$N$60*($B87^2)+'LINEST VARS'!$M$60*(4^2)+'LINEST VARS'!$L$60*(0.5^2)+'LINEST VARS'!$K$60*(12.73^2)+'LINEST VARS'!$J$60*($O$80*$B87)+'LINEST VARS'!$I$60*($O$80*4)+'LINEST VARS'!$H$60*($O$80*0.5)+'LINEST VARS'!$G$60*($O$80*12.73)+'LINEST VARS'!$F$60*($B87*4)+'LINEST VARS'!$E$60*($B87*0.5)+'LINEST VARS'!$D$60*($B87*12.73)+'LINEST VARS'!$C$60*(4*0.5)+'LINEST VARS'!$B$60*(4*12.73)+'LINEST VARS'!$A$60*(0.5*12.73)</f>
        <v>40.460000000000015</v>
      </c>
      <c r="P87" s="46">
        <f>'LINEST VARS'!$U$60+'LINEST VARS'!$T$60*($P$80)+'LINEST VARS'!$S$60*($B87)+'LINEST VARS'!$R$60*(4)+'LINEST VARS'!$Q$60*(0.5)+'LINEST VARS'!$P$60*(12.73)+'LINEST VARS'!$O$60*($P$80^2)+'LINEST VARS'!$N$60*($B87^2)+'LINEST VARS'!$M$60*(4^2)+'LINEST VARS'!$L$60*(0.5^2)+'LINEST VARS'!$K$60*(12.73^2)+'LINEST VARS'!$J$60*($P$80*$B87)+'LINEST VARS'!$I$60*($P$80*4)+'LINEST VARS'!$H$60*($P$80*0.5)+'LINEST VARS'!$G$60*($P$80*12.73)+'LINEST VARS'!$F$60*($B87*4)+'LINEST VARS'!$E$60*($B87*0.5)+'LINEST VARS'!$D$60*($B87*12.73)+'LINEST VARS'!$C$60*(4*0.5)+'LINEST VARS'!$B$60*(4*12.73)+'LINEST VARS'!$A$60*(0.5*12.73)</f>
        <v>40.460000000000015</v>
      </c>
      <c r="Q87" s="46">
        <f>'LINEST VARS'!$U$60+'LINEST VARS'!$T$60*($Q$80)+'LINEST VARS'!$S$60*($B87)+'LINEST VARS'!$R$60*(4)+'LINEST VARS'!$Q$60*(0.5)+'LINEST VARS'!$P$60*(12.73)+'LINEST VARS'!$O$60*($Q$80^2)+'LINEST VARS'!$N$60*($B87^2)+'LINEST VARS'!$M$60*(4^2)+'LINEST VARS'!$L$60*(0.5^2)+'LINEST VARS'!$K$60*(12.73^2)+'LINEST VARS'!$J$60*($Q$80*$B87)+'LINEST VARS'!$I$60*($Q$80*4)+'LINEST VARS'!$H$60*($Q$80*0.5)+'LINEST VARS'!$G$60*($Q$80*12.73)+'LINEST VARS'!$F$60*($B87*4)+'LINEST VARS'!$E$60*($B87*0.5)+'LINEST VARS'!$D$60*($B87*12.73)+'LINEST VARS'!$C$60*(4*0.5)+'LINEST VARS'!$B$60*(4*12.73)+'LINEST VARS'!$A$60*(0.5*12.73)</f>
        <v>40.460000000000015</v>
      </c>
      <c r="R87" s="46">
        <f>'LINEST VARS'!$U$60+'LINEST VARS'!$T$60*($R$80)+'LINEST VARS'!$S$60*($B87)+'LINEST VARS'!$R$60*(4)+'LINEST VARS'!$Q$60*(0.5)+'LINEST VARS'!$P$60*(12.73)+'LINEST VARS'!$O$60*($R$80^2)+'LINEST VARS'!$N$60*($B87^2)+'LINEST VARS'!$M$60*(4^2)+'LINEST VARS'!$L$60*(0.5^2)+'LINEST VARS'!$K$60*(12.73^2)+'LINEST VARS'!$J$60*($R$80*$B87)+'LINEST VARS'!$I$60*($R$80*4)+'LINEST VARS'!$H$60*($R$80*0.5)+'LINEST VARS'!$G$60*($R$80*12.73)+'LINEST VARS'!$F$60*($B87*4)+'LINEST VARS'!$E$60*($B87*0.5)+'LINEST VARS'!$D$60*($B87*12.73)+'LINEST VARS'!$C$60*(4*0.5)+'LINEST VARS'!$B$60*(4*12.73)+'LINEST VARS'!$A$60*(0.5*12.73)</f>
        <v>40.460000000000008</v>
      </c>
      <c r="S87" s="46">
        <f>'LINEST VARS'!$U$60+'LINEST VARS'!$T$60*($S$80)+'LINEST VARS'!$S$60*($B87)+'LINEST VARS'!$R$60*(4)+'LINEST VARS'!$Q$60*(0.5)+'LINEST VARS'!$P$60*(12.73)+'LINEST VARS'!$O$60*($S$80^2)+'LINEST VARS'!$N$60*($B87^2)+'LINEST VARS'!$M$60*(4^2)+'LINEST VARS'!$L$60*(0.5^2)+'LINEST VARS'!$K$60*(12.73^2)+'LINEST VARS'!$J$60*($S$80*$B87)+'LINEST VARS'!$I$60*($S$80*4)+'LINEST VARS'!$H$60*($S$80*0.5)+'LINEST VARS'!$G$60*($S$80*12.73)+'LINEST VARS'!$F$60*($B87*4)+'LINEST VARS'!$E$60*($B87*0.5)+'LINEST VARS'!$D$60*($B87*12.73)+'LINEST VARS'!$C$60*(4*0.5)+'LINEST VARS'!$B$60*(4*12.73)+'LINEST VARS'!$A$60*(0.5*12.73)</f>
        <v>40.460000000000008</v>
      </c>
      <c r="T87" s="46">
        <f>'LINEST VARS'!$U$60+'LINEST VARS'!$T$60*($T$80)+'LINEST VARS'!$S$60*($B87)+'LINEST VARS'!$R$60*(4)+'LINEST VARS'!$Q$60*(0.5)+'LINEST VARS'!$P$60*(12.73)+'LINEST VARS'!$O$60*($T$80^2)+'LINEST VARS'!$N$60*($B87^2)+'LINEST VARS'!$M$60*(4^2)+'LINEST VARS'!$L$60*(0.5^2)+'LINEST VARS'!$K$60*(12.73^2)+'LINEST VARS'!$J$60*($T$80*$B87)+'LINEST VARS'!$I$60*($T$80*4)+'LINEST VARS'!$H$60*($T$80*0.5)+'LINEST VARS'!$G$60*($T$80*12.73)+'LINEST VARS'!$F$60*($B87*4)+'LINEST VARS'!$E$60*($B87*0.5)+'LINEST VARS'!$D$60*($B87*12.73)+'LINEST VARS'!$C$60*(4*0.5)+'LINEST VARS'!$B$60*(4*12.73)+'LINEST VARS'!$A$60*(0.5*12.73)</f>
        <v>40.460000000000008</v>
      </c>
      <c r="U87" s="46">
        <f>'LINEST VARS'!$U$60+'LINEST VARS'!$T$60*($U$80)+'LINEST VARS'!$S$60*($B87)+'LINEST VARS'!$R$60*(4)+'LINEST VARS'!$Q$60*(0.5)+'LINEST VARS'!$P$60*(12.73)+'LINEST VARS'!$O$60*($U$80^2)+'LINEST VARS'!$N$60*($B87^2)+'LINEST VARS'!$M$60*(4^2)+'LINEST VARS'!$L$60*(0.5^2)+'LINEST VARS'!$K$60*(12.73^2)+'LINEST VARS'!$J$60*($U$80*$B87)+'LINEST VARS'!$I$60*($U$80*4)+'LINEST VARS'!$H$60*($U$80*0.5)+'LINEST VARS'!$G$60*($U$80*12.73)+'LINEST VARS'!$F$60*($B87*4)+'LINEST VARS'!$E$60*($B87*0.5)+'LINEST VARS'!$D$60*($B87*12.73)+'LINEST VARS'!$C$60*(4*0.5)+'LINEST VARS'!$B$60*(4*12.73)+'LINEST VARS'!$A$60*(0.5*12.73)</f>
        <v>40.460000000000015</v>
      </c>
      <c r="V87" s="46">
        <f>'LINEST VARS'!$U$60+'LINEST VARS'!$T$60*($V$80)+'LINEST VARS'!$S$60*($B87)+'LINEST VARS'!$R$60*(4)+'LINEST VARS'!$Q$60*(0.5)+'LINEST VARS'!$P$60*(12.73)+'LINEST VARS'!$O$60*($V$80^2)+'LINEST VARS'!$N$60*($B87^2)+'LINEST VARS'!$M$60*(4^2)+'LINEST VARS'!$L$60*(0.5^2)+'LINEST VARS'!$K$60*(12.73^2)+'LINEST VARS'!$J$60*($V$80*$B87)+'LINEST VARS'!$I$60*($V$80*4)+'LINEST VARS'!$H$60*($V$80*0.5)+'LINEST VARS'!$G$60*($V$80*12.73)+'LINEST VARS'!$F$60*($B87*4)+'LINEST VARS'!$E$60*($B87*0.5)+'LINEST VARS'!$D$60*($B87*12.73)+'LINEST VARS'!$C$60*(4*0.5)+'LINEST VARS'!$B$60*(4*12.73)+'LINEST VARS'!$A$60*(0.5*12.73)</f>
        <v>40.460000000000015</v>
      </c>
      <c r="W87" s="47">
        <f>'LINEST VARS'!$U$60+'LINEST VARS'!$T$60*($W$80)+'LINEST VARS'!$S$60*($B87)+'LINEST VARS'!$R$60*(4)+'LINEST VARS'!$Q$60*(0.5)+'LINEST VARS'!$P$60*(12.73)+'LINEST VARS'!$O$60*($W$80^2)+'LINEST VARS'!$N$60*($B87^2)+'LINEST VARS'!$M$60*(4^2)+'LINEST VARS'!$L$60*(0.5^2)+'LINEST VARS'!$K$60*(12.73^2)+'LINEST VARS'!$J$60*($W$80*$B87)+'LINEST VARS'!$I$60*($W$80*4)+'LINEST VARS'!$H$60*($W$80*0.5)+'LINEST VARS'!$G$60*($W$80*12.73)+'LINEST VARS'!$F$60*($B87*4)+'LINEST VARS'!$E$60*($B87*0.5)+'LINEST VARS'!$D$60*($B87*12.73)+'LINEST VARS'!$C$60*(4*0.5)+'LINEST VARS'!$B$60*(4*12.73)+'LINEST VARS'!$A$60*(0.5*12.73)</f>
        <v>40.460000000000015</v>
      </c>
      <c r="Z87" s="45">
        <v>7.76</v>
      </c>
      <c r="AA87" s="55">
        <f>'LINEST VARS'!$U$62+'LINEST VARS'!$T$62*($AA$80)+'LINEST VARS'!$S$62*($Z87)+'LINEST VARS'!$R$62*(4)+'LINEST VARS'!$Q$62*(0.5)+'LINEST VARS'!$P$62*(12.73)+'LINEST VARS'!$O$62*($AA$80^2)+'LINEST VARS'!$N$62*($Z87^2)+'LINEST VARS'!$M$62*(4^2)+'LINEST VARS'!$L$62*(0.5^2)+'LINEST VARS'!$K$62*(12.73^2)+'LINEST VARS'!$J$62*($AA$80*$Z87)+'LINEST VARS'!$I$62*($AA$80*4)+'LINEST VARS'!$H$62*($AA$80*0.5)+'LINEST VARS'!$G$62*($AA$80*12.73)+'LINEST VARS'!$F$62*($Z87*4)+'LINEST VARS'!$E$62*($Z87*0.5)+'LINEST VARS'!$D$62*($Z87*12.73)+'LINEST VARS'!$C$62*(4*0.5)+'LINEST VARS'!$B$62*(4*12.73)+'LINEST VARS'!$A$62*(0.5*12.73)</f>
        <v>269.50000000000006</v>
      </c>
      <c r="AB87" s="55">
        <f>'LINEST VARS'!$U$62+'LINEST VARS'!$T$62*($AB$80)+'LINEST VARS'!$S$62*($Z87)+'LINEST VARS'!$R$62*(4)+'LINEST VARS'!$Q$62*(0.5)+'LINEST VARS'!$P$62*(12.73)+'LINEST VARS'!$O$62*($AB$80^2)+'LINEST VARS'!$N$62*($Z87^2)+'LINEST VARS'!$M$62*(4^2)+'LINEST VARS'!$L$62*(0.5^2)+'LINEST VARS'!$K$62*(12.73^2)+'LINEST VARS'!$J$62*($AB$80*$Z87)+'LINEST VARS'!$I$62*($AB$80*4)+'LINEST VARS'!$H$62*($AB$80*0.5)+'LINEST VARS'!$G$62*($AB$80*12.73)+'LINEST VARS'!$F$62*($Z87*4)+'LINEST VARS'!$E$62*($Z87*0.5)+'LINEST VARS'!$D$62*($Z87*12.73)+'LINEST VARS'!$C$62*(4*0.5)+'LINEST VARS'!$B$62*(4*12.73)+'LINEST VARS'!$A$62*(0.5*12.73)</f>
        <v>269.50000000000006</v>
      </c>
      <c r="AC87" s="55">
        <f>'LINEST VARS'!$U$62+'LINEST VARS'!$T$62*($AC$80)+'LINEST VARS'!$S$62*($Z87)+'LINEST VARS'!$R$62*(4)+'LINEST VARS'!$Q$62*(0.5)+'LINEST VARS'!$P$62*(12.73)+'LINEST VARS'!$O$62*($AC$80^2)+'LINEST VARS'!$N$62*($Z87^2)+'LINEST VARS'!$M$62*(4^2)+'LINEST VARS'!$L$62*(0.5^2)+'LINEST VARS'!$K$62*(12.73^2)+'LINEST VARS'!$J$62*($AC$80*$Z87)+'LINEST VARS'!$I$62*($AC$80*4)+'LINEST VARS'!$H$62*($AC$80*0.5)+'LINEST VARS'!$G$62*($AC$80*12.73)+'LINEST VARS'!$F$62*($Z87*4)+'LINEST VARS'!$E$62*($Z87*0.5)+'LINEST VARS'!$D$62*($Z87*12.73)+'LINEST VARS'!$C$62*(4*0.5)+'LINEST VARS'!$B$62*(4*12.73)+'LINEST VARS'!$A$62*(0.5*12.73)</f>
        <v>269.5</v>
      </c>
      <c r="AD87" s="55">
        <f>'LINEST VARS'!$U$62+'LINEST VARS'!$T$62*($AD$80)+'LINEST VARS'!$S$62*($Z87)+'LINEST VARS'!$R$62*(4)+'LINEST VARS'!$Q$62*(0.5)+'LINEST VARS'!$P$62*(12.73)+'LINEST VARS'!$O$62*($AD$80^2)+'LINEST VARS'!$N$62*($Z87^2)+'LINEST VARS'!$M$62*(4^2)+'LINEST VARS'!$L$62*(0.5^2)+'LINEST VARS'!$K$62*(12.73^2)+'LINEST VARS'!$J$62*($AD$80*$Z87)+'LINEST VARS'!$I$62*($AD$80*4)+'LINEST VARS'!$H$62*($AD$80*0.5)+'LINEST VARS'!$G$62*($AD$80*12.73)+'LINEST VARS'!$F$62*($Z87*4)+'LINEST VARS'!$E$62*($Z87*0.5)+'LINEST VARS'!$D$62*($Z87*12.73)+'LINEST VARS'!$C$62*(4*0.5)+'LINEST VARS'!$B$62*(4*12.73)+'LINEST VARS'!$A$62*(0.5*12.73)</f>
        <v>269.50000000000006</v>
      </c>
      <c r="AE87" s="55">
        <f>'LINEST VARS'!$U$62+'LINEST VARS'!$T$62*($AE$80)+'LINEST VARS'!$S$62*($Z87)+'LINEST VARS'!$R$62*(4)+'LINEST VARS'!$Q$62*(0.5)+'LINEST VARS'!$P$62*(12.73)+'LINEST VARS'!$O$62*($AE$80^2)+'LINEST VARS'!$N$62*($Z87^2)+'LINEST VARS'!$M$62*(4^2)+'LINEST VARS'!$L$62*(0.5^2)+'LINEST VARS'!$K$62*(12.73^2)+'LINEST VARS'!$J$62*($AE$80*$Z87)+'LINEST VARS'!$I$62*($AE$80*4)+'LINEST VARS'!$H$62*($AE$80*0.5)+'LINEST VARS'!$G$62*($AE$80*12.73)+'LINEST VARS'!$F$62*($Z87*4)+'LINEST VARS'!$E$62*($Z87*0.5)+'LINEST VARS'!$D$62*($Z87*12.73)+'LINEST VARS'!$C$62*(4*0.5)+'LINEST VARS'!$B$62*(4*12.73)+'LINEST VARS'!$A$62*(0.5*12.73)</f>
        <v>269.5</v>
      </c>
      <c r="AF87" s="55">
        <f>'LINEST VARS'!$U$62+'LINEST VARS'!$T$62*($AF$80)+'LINEST VARS'!$S$62*($Z87)+'LINEST VARS'!$R$62*(4)+'LINEST VARS'!$Q$62*(0.5)+'LINEST VARS'!$P$62*(12.73)+'LINEST VARS'!$O$62*($AF$80^2)+'LINEST VARS'!$N$62*($Z87^2)+'LINEST VARS'!$M$62*(4^2)+'LINEST VARS'!$L$62*(0.5^2)+'LINEST VARS'!$K$62*(12.73^2)+'LINEST VARS'!$J$62*($AF$80*$Z87)+'LINEST VARS'!$I$62*($AF$80*4)+'LINEST VARS'!$H$62*($AF$80*0.5)+'LINEST VARS'!$G$62*($AF$80*12.73)+'LINEST VARS'!$F$62*($Z87*4)+'LINEST VARS'!$E$62*($Z87*0.5)+'LINEST VARS'!$D$62*($Z87*12.73)+'LINEST VARS'!$C$62*(4*0.5)+'LINEST VARS'!$B$62*(4*12.73)+'LINEST VARS'!$A$62*(0.5*12.73)</f>
        <v>269.5</v>
      </c>
      <c r="AG87" s="55">
        <f>'LINEST VARS'!$U$62+'LINEST VARS'!$T$62*($AG$80)+'LINEST VARS'!$S$62*($Z87)+'LINEST VARS'!$R$62*(4)+'LINEST VARS'!$Q$62*(0.5)+'LINEST VARS'!$P$62*(12.73)+'LINEST VARS'!$O$62*($AG$80^2)+'LINEST VARS'!$N$62*($Z87^2)+'LINEST VARS'!$M$62*(4^2)+'LINEST VARS'!$L$62*(0.5^2)+'LINEST VARS'!$K$62*(12.73^2)+'LINEST VARS'!$J$62*($AG$80*$Z87)+'LINEST VARS'!$I$62*($AG$80*4)+'LINEST VARS'!$H$62*($AG$80*0.5)+'LINEST VARS'!$G$62*($AG$80*12.73)+'LINEST VARS'!$F$62*($Z87*4)+'LINEST VARS'!$E$62*($Z87*0.5)+'LINEST VARS'!$D$62*($Z87*12.73)+'LINEST VARS'!$C$62*(4*0.5)+'LINEST VARS'!$B$62*(4*12.73)+'LINEST VARS'!$A$62*(0.5*12.73)</f>
        <v>269.50000000000006</v>
      </c>
      <c r="AH87" s="55">
        <f>'LINEST VARS'!$U$62+'LINEST VARS'!$T$62*($AH$80)+'LINEST VARS'!$S$62*($Z87)+'LINEST VARS'!$R$62*(4)+'LINEST VARS'!$Q$62*(0.5)+'LINEST VARS'!$P$62*(12.73)+'LINEST VARS'!$O$62*($AH$80^2)+'LINEST VARS'!$N$62*($Z87^2)+'LINEST VARS'!$M$62*(4^2)+'LINEST VARS'!$L$62*(0.5^2)+'LINEST VARS'!$K$62*(12.73^2)+'LINEST VARS'!$J$62*($AH$80*$Z87)+'LINEST VARS'!$I$62*($AH$80*4)+'LINEST VARS'!$H$62*($AH$80*0.5)+'LINEST VARS'!$G$62*($AH$80*12.73)+'LINEST VARS'!$F$62*($Z87*4)+'LINEST VARS'!$E$62*($Z87*0.5)+'LINEST VARS'!$D$62*($Z87*12.73)+'LINEST VARS'!$C$62*(4*0.5)+'LINEST VARS'!$B$62*(4*12.73)+'LINEST VARS'!$A$62*(0.5*12.73)</f>
        <v>269.5</v>
      </c>
      <c r="AI87" s="55">
        <f>'LINEST VARS'!$U$62+'LINEST VARS'!$T$62*($AI$80)+'LINEST VARS'!$S$62*($Z87)+'LINEST VARS'!$R$62*(4)+'LINEST VARS'!$Q$62*(0.5)+'LINEST VARS'!$P$62*(12.73)+'LINEST VARS'!$O$62*($AI$80^2)+'LINEST VARS'!$N$62*($Z87^2)+'LINEST VARS'!$M$62*(4^2)+'LINEST VARS'!$L$62*(0.5^2)+'LINEST VARS'!$K$62*(12.73^2)+'LINEST VARS'!$J$62*($AI$80*$Z87)+'LINEST VARS'!$I$62*($AI$80*4)+'LINEST VARS'!$H$62*($AI$80*0.5)+'LINEST VARS'!$G$62*($AI$80*12.73)+'LINEST VARS'!$F$62*($Z87*4)+'LINEST VARS'!$E$62*($Z87*0.5)+'LINEST VARS'!$D$62*($Z87*12.73)+'LINEST VARS'!$C$62*(4*0.5)+'LINEST VARS'!$B$62*(4*12.73)+'LINEST VARS'!$A$62*(0.5*12.73)</f>
        <v>269.5</v>
      </c>
      <c r="AJ87" s="55">
        <f>'LINEST VARS'!$U$62+'LINEST VARS'!$T$62*($AJ$80)+'LINEST VARS'!$S$62*($Z87)+'LINEST VARS'!$R$62*(4)+'LINEST VARS'!$Q$62*(0.5)+'LINEST VARS'!$P$62*(12.73)+'LINEST VARS'!$O$62*($AJ$80^2)+'LINEST VARS'!$N$62*($Z87^2)+'LINEST VARS'!$M$62*(4^2)+'LINEST VARS'!$L$62*(0.5^2)+'LINEST VARS'!$K$62*(12.73^2)+'LINEST VARS'!$J$62*($AJ$80*$Z87)+'LINEST VARS'!$I$62*($AJ$80*4)+'LINEST VARS'!$H$62*($AJ$80*0.5)+'LINEST VARS'!$G$62*($AJ$80*12.73)+'LINEST VARS'!$F$62*($Z87*4)+'LINEST VARS'!$E$62*($Z87*0.5)+'LINEST VARS'!$D$62*($Z87*12.73)+'LINEST VARS'!$C$62*(4*0.5)+'LINEST VARS'!$B$62*(4*12.73)+'LINEST VARS'!$A$62*(0.5*12.73)</f>
        <v>269.5</v>
      </c>
      <c r="AK87" s="55">
        <f>'LINEST VARS'!$U$62+'LINEST VARS'!$T$62*($AK$80)+'LINEST VARS'!$S$62*($Z87)+'LINEST VARS'!$R$62*(4)+'LINEST VARS'!$Q$62*(0.5)+'LINEST VARS'!$P$62*(12.73)+'LINEST VARS'!$O$62*($AK$80^2)+'LINEST VARS'!$N$62*($Z87^2)+'LINEST VARS'!$M$62*(4^2)+'LINEST VARS'!$L$62*(0.5^2)+'LINEST VARS'!$K$62*(12.73^2)+'LINEST VARS'!$J$62*($AK$80*$Z87)+'LINEST VARS'!$I$62*($AK$80*4)+'LINEST VARS'!$H$62*($AK$80*0.5)+'LINEST VARS'!$G$62*($AK$80*12.73)+'LINEST VARS'!$F$62*($Z87*4)+'LINEST VARS'!$E$62*($Z87*0.5)+'LINEST VARS'!$D$62*($Z87*12.73)+'LINEST VARS'!$C$62*(4*0.5)+'LINEST VARS'!$B$62*(4*12.73)+'LINEST VARS'!$A$62*(0.5*12.73)</f>
        <v>269.50000000000006</v>
      </c>
      <c r="AL87" s="55">
        <f>'LINEST VARS'!$U$62+'LINEST VARS'!$T$62*($AL$80)+'LINEST VARS'!$S$62*($Z87)+'LINEST VARS'!$R$62*(4)+'LINEST VARS'!$Q$62*(0.5)+'LINEST VARS'!$P$62*(12.73)+'LINEST VARS'!$O$62*($AL$80^2)+'LINEST VARS'!$N$62*($Z87^2)+'LINEST VARS'!$M$62*(4^2)+'LINEST VARS'!$L$62*(0.5^2)+'LINEST VARS'!$K$62*(12.73^2)+'LINEST VARS'!$J$62*($AL$80*$Z87)+'LINEST VARS'!$I$62*($AL$80*4)+'LINEST VARS'!$H$62*($AL$80*0.5)+'LINEST VARS'!$G$62*($AL$80*12.73)+'LINEST VARS'!$F$62*($Z87*4)+'LINEST VARS'!$E$62*($Z87*0.5)+'LINEST VARS'!$D$62*($Z87*12.73)+'LINEST VARS'!$C$62*(4*0.5)+'LINEST VARS'!$B$62*(4*12.73)+'LINEST VARS'!$A$62*(0.5*12.73)</f>
        <v>269.5</v>
      </c>
      <c r="AM87" s="55">
        <f>'LINEST VARS'!$U$62+'LINEST VARS'!$T$62*($AM$80)+'LINEST VARS'!$S$62*($Z87)+'LINEST VARS'!$R$62*(4)+'LINEST VARS'!$Q$62*(0.5)+'LINEST VARS'!$P$62*(12.73)+'LINEST VARS'!$O$62*($AM$80^2)+'LINEST VARS'!$N$62*($Z87^2)+'LINEST VARS'!$M$62*(4^2)+'LINEST VARS'!$L$62*(0.5^2)+'LINEST VARS'!$K$62*(12.73^2)+'LINEST VARS'!$J$62*($AM$80*$Z87)+'LINEST VARS'!$I$62*($AM$80*4)+'LINEST VARS'!$H$62*($AM$80*0.5)+'LINEST VARS'!$G$62*($AM$80*12.73)+'LINEST VARS'!$F$62*($Z87*4)+'LINEST VARS'!$E$62*($Z87*0.5)+'LINEST VARS'!$D$62*($Z87*12.73)+'LINEST VARS'!$C$62*(4*0.5)+'LINEST VARS'!$B$62*(4*12.73)+'LINEST VARS'!$A$62*(0.5*12.73)</f>
        <v>269.5</v>
      </c>
      <c r="AN87" s="55">
        <f>'LINEST VARS'!$U$62+'LINEST VARS'!$T$62*($AN$80)+'LINEST VARS'!$S$62*($Z87)+'LINEST VARS'!$R$62*(4)+'LINEST VARS'!$Q$62*(0.5)+'LINEST VARS'!$P$62*(12.73)+'LINEST VARS'!$O$62*($AN$80^2)+'LINEST VARS'!$N$62*($Z87^2)+'LINEST VARS'!$M$62*(4^2)+'LINEST VARS'!$L$62*(0.5^2)+'LINEST VARS'!$K$62*(12.73^2)+'LINEST VARS'!$J$62*($AN$80*$Z87)+'LINEST VARS'!$I$62*($AN$80*4)+'LINEST VARS'!$H$62*($AN$80*0.5)+'LINEST VARS'!$G$62*($AN$80*12.73)+'LINEST VARS'!$F$62*($Z87*4)+'LINEST VARS'!$E$62*($Z87*0.5)+'LINEST VARS'!$D$62*($Z87*12.73)+'LINEST VARS'!$C$62*(4*0.5)+'LINEST VARS'!$B$62*(4*12.73)+'LINEST VARS'!$A$62*(0.5*12.73)</f>
        <v>269.5</v>
      </c>
      <c r="AO87" s="55">
        <f>'LINEST VARS'!$U$62+'LINEST VARS'!$T$62*($AO$80)+'LINEST VARS'!$S$62*($Z87)+'LINEST VARS'!$R$62*(4)+'LINEST VARS'!$Q$62*(0.5)+'LINEST VARS'!$P$62*(12.73)+'LINEST VARS'!$O$62*($AO$80^2)+'LINEST VARS'!$N$62*($Z87^2)+'LINEST VARS'!$M$62*(4^2)+'LINEST VARS'!$L$62*(0.5^2)+'LINEST VARS'!$K$62*(12.73^2)+'LINEST VARS'!$J$62*($AO$80*$Z87)+'LINEST VARS'!$I$62*($AO$80*4)+'LINEST VARS'!$H$62*($AO$80*0.5)+'LINEST VARS'!$G$62*($AO$80*12.73)+'LINEST VARS'!$F$62*($Z87*4)+'LINEST VARS'!$E$62*($Z87*0.5)+'LINEST VARS'!$D$62*($Z87*12.73)+'LINEST VARS'!$C$62*(4*0.5)+'LINEST VARS'!$B$62*(4*12.73)+'LINEST VARS'!$A$62*(0.5*12.73)</f>
        <v>269.5</v>
      </c>
      <c r="AP87" s="55">
        <f>'LINEST VARS'!$U$62+'LINEST VARS'!$T$62*($AP$80)+'LINEST VARS'!$S$62*($Z87)+'LINEST VARS'!$R$62*(4)+'LINEST VARS'!$Q$62*(0.5)+'LINEST VARS'!$P$62*(12.73)+'LINEST VARS'!$O$62*($AP$80^2)+'LINEST VARS'!$N$62*($Z87^2)+'LINEST VARS'!$M$62*(4^2)+'LINEST VARS'!$L$62*(0.5^2)+'LINEST VARS'!$K$62*(12.73^2)+'LINEST VARS'!$J$62*($AP$80*$Z87)+'LINEST VARS'!$I$62*($AP$80*4)+'LINEST VARS'!$H$62*($AP$80*0.5)+'LINEST VARS'!$G$62*($AP$80*12.73)+'LINEST VARS'!$F$62*($Z87*4)+'LINEST VARS'!$E$62*($Z87*0.5)+'LINEST VARS'!$D$62*($Z87*12.73)+'LINEST VARS'!$C$62*(4*0.5)+'LINEST VARS'!$B$62*(4*12.73)+'LINEST VARS'!$A$62*(0.5*12.73)</f>
        <v>269.50000000000006</v>
      </c>
      <c r="AQ87" s="55">
        <f>'LINEST VARS'!$U$62+'LINEST VARS'!$T$62*($AQ$80)+'LINEST VARS'!$S$62*($Z87)+'LINEST VARS'!$R$62*(4)+'LINEST VARS'!$Q$62*(0.5)+'LINEST VARS'!$P$62*(12.73)+'LINEST VARS'!$O$62*($AQ$80^2)+'LINEST VARS'!$N$62*($Z87^2)+'LINEST VARS'!$M$62*(4^2)+'LINEST VARS'!$L$62*(0.5^2)+'LINEST VARS'!$K$62*(12.73^2)+'LINEST VARS'!$J$62*($AQ$80*$Z87)+'LINEST VARS'!$I$62*($AQ$80*4)+'LINEST VARS'!$H$62*($AQ$80*0.5)+'LINEST VARS'!$G$62*($AQ$80*12.73)+'LINEST VARS'!$F$62*($Z87*4)+'LINEST VARS'!$E$62*($Z87*0.5)+'LINEST VARS'!$D$62*($Z87*12.73)+'LINEST VARS'!$C$62*(4*0.5)+'LINEST VARS'!$B$62*(4*12.73)+'LINEST VARS'!$A$62*(0.5*12.73)</f>
        <v>269.5</v>
      </c>
      <c r="AR87" s="55">
        <f>'LINEST VARS'!$U$62+'LINEST VARS'!$T$62*($AR$80)+'LINEST VARS'!$S$62*($Z87)+'LINEST VARS'!$R$62*(4)+'LINEST VARS'!$Q$62*(0.5)+'LINEST VARS'!$P$62*(12.73)+'LINEST VARS'!$O$62*($AR$80^2)+'LINEST VARS'!$N$62*($Z87^2)+'LINEST VARS'!$M$62*(4^2)+'LINEST VARS'!$L$62*(0.5^2)+'LINEST VARS'!$K$62*(12.73^2)+'LINEST VARS'!$J$62*($AR$80*$Z87)+'LINEST VARS'!$I$62*($AR$80*4)+'LINEST VARS'!$H$62*($AR$80*0.5)+'LINEST VARS'!$G$62*($AR$80*12.73)+'LINEST VARS'!$F$62*($Z87*4)+'LINEST VARS'!$E$62*($Z87*0.5)+'LINEST VARS'!$D$62*($Z87*12.73)+'LINEST VARS'!$C$62*(4*0.5)+'LINEST VARS'!$B$62*(4*12.73)+'LINEST VARS'!$A$62*(0.5*12.73)</f>
        <v>269.50000000000006</v>
      </c>
      <c r="AS87" s="55">
        <f>'LINEST VARS'!$U$62+'LINEST VARS'!$T$62*($AS$80)+'LINEST VARS'!$S$62*($Z87)+'LINEST VARS'!$R$62*(4)+'LINEST VARS'!$Q$62*(0.5)+'LINEST VARS'!$P$62*(12.73)+'LINEST VARS'!$O$62*($AS$80^2)+'LINEST VARS'!$N$62*($Z87^2)+'LINEST VARS'!$M$62*(4^2)+'LINEST VARS'!$L$62*(0.5^2)+'LINEST VARS'!$K$62*(12.73^2)+'LINEST VARS'!$J$62*($AS$80*$Z87)+'LINEST VARS'!$I$62*($AS$80*4)+'LINEST VARS'!$H$62*($AS$80*0.5)+'LINEST VARS'!$G$62*($AS$80*12.73)+'LINEST VARS'!$F$62*($Z87*4)+'LINEST VARS'!$E$62*($Z87*0.5)+'LINEST VARS'!$D$62*($Z87*12.73)+'LINEST VARS'!$C$62*(4*0.5)+'LINEST VARS'!$B$62*(4*12.73)+'LINEST VARS'!$A$62*(0.5*12.73)</f>
        <v>269.5</v>
      </c>
      <c r="AT87" s="55">
        <f>'LINEST VARS'!$U$62+'LINEST VARS'!$T$62*($AT$80)+'LINEST VARS'!$S$62*($Z87)+'LINEST VARS'!$R$62*(4)+'LINEST VARS'!$Q$62*(0.5)+'LINEST VARS'!$P$62*(12.73)+'LINEST VARS'!$O$62*($AT$80^2)+'LINEST VARS'!$N$62*($Z87^2)+'LINEST VARS'!$M$62*(4^2)+'LINEST VARS'!$L$62*(0.5^2)+'LINEST VARS'!$K$62*(12.73^2)+'LINEST VARS'!$J$62*($AT$80*$Z87)+'LINEST VARS'!$I$62*($AT$80*4)+'LINEST VARS'!$H$62*($AT$80*0.5)+'LINEST VARS'!$G$62*($AT$80*12.73)+'LINEST VARS'!$F$62*($Z87*4)+'LINEST VARS'!$E$62*($Z87*0.5)+'LINEST VARS'!$D$62*($Z87*12.73)+'LINEST VARS'!$C$62*(4*0.5)+'LINEST VARS'!$B$62*(4*12.73)+'LINEST VARS'!$A$62*(0.5*12.73)</f>
        <v>269.5</v>
      </c>
      <c r="AU87" s="56">
        <f>'LINEST VARS'!$U$62+'LINEST VARS'!$T$62*($AU$80)+'LINEST VARS'!$S$62*($Z87)+'LINEST VARS'!$R$62*(4)+'LINEST VARS'!$Q$62*(0.5)+'LINEST VARS'!$P$62*(12.73)+'LINEST VARS'!$O$62*($AU$80^2)+'LINEST VARS'!$N$62*($Z87^2)+'LINEST VARS'!$M$62*(4^2)+'LINEST VARS'!$L$62*(0.5^2)+'LINEST VARS'!$K$62*(12.73^2)+'LINEST VARS'!$J$62*($AU$80*$Z87)+'LINEST VARS'!$I$62*($AU$80*4)+'LINEST VARS'!$H$62*($AU$80*0.5)+'LINEST VARS'!$G$62*($AU$80*12.73)+'LINEST VARS'!$F$62*($Z87*4)+'LINEST VARS'!$E$62*($Z87*0.5)+'LINEST VARS'!$D$62*($Z87*12.73)+'LINEST VARS'!$C$62*(4*0.5)+'LINEST VARS'!$B$62*(4*12.73)+'LINEST VARS'!$A$62*(0.5*12.73)</f>
        <v>269.50000000000011</v>
      </c>
      <c r="AZ87" s="45">
        <v>0.3</v>
      </c>
      <c r="BA87" s="46">
        <f>'LINEST VARS'!$U$60+'LINEST VARS'!$T$60*(8)+'LINEST VARS'!$S$60*(8)+'LINEST VARS'!$R$60*($BA$80)+'LINEST VARS'!$Q$60*($AZ87)+'LINEST VARS'!$P$60*(12.73)+'LINEST VARS'!$O$60*(8^2)+'LINEST VARS'!$N$60*(8^2)+'LINEST VARS'!$M$60*($BA$80^2)+'LINEST VARS'!$L$60*($AZ87^2)+'LINEST VARS'!$K$60*(12.73^2)+'LINEST VARS'!$J$60*(8*8)+'LINEST VARS'!$I$60*(8*$BA$80)+'LINEST VARS'!$H$60*(8*$AZ87)+'LINEST VARS'!$G$60*(8*12.73)+'LINEST VARS'!$F$60*(8*$BA$80)+'LINEST VARS'!$E$60*(8*$AZ87)+'LINEST VARS'!$D$60*(8*12.73)+'LINEST VARS'!$C$60*($BA$80*$AZ87)+'LINEST VARS'!$B$60*($BA$80*12.73)+'LINEST VARS'!$A$60*($AZ87*12.73)</f>
        <v>40.460000000000008</v>
      </c>
      <c r="BB87" s="46">
        <f>'LINEST VARS'!$U$60+'LINEST VARS'!$T$60*(8)+'LINEST VARS'!$S$60*(8)+'LINEST VARS'!$R$60*($BB$80)+'LINEST VARS'!$Q$60*($AZ87)+'LINEST VARS'!$P$60*(12.73)+'LINEST VARS'!$O$60*(8^2)+'LINEST VARS'!$N$60*(8^2)+'LINEST VARS'!$M$60*($BB$80^2)+'LINEST VARS'!$L$60*($AZ87^2)+'LINEST VARS'!$K$60*(12.73^2)+'LINEST VARS'!$J$60*(8*8)+'LINEST VARS'!$I$60*(8*$BB$80)+'LINEST VARS'!$H$60*(8*$AZ87)+'LINEST VARS'!$G$60*(8*12.73)+'LINEST VARS'!$F$60*(8*$BB$80)+'LINEST VARS'!$E$60*(8*$AZ87)+'LINEST VARS'!$D$60*(8*12.73)+'LINEST VARS'!$C$60*($BB$80*$AZ87)+'LINEST VARS'!$B$60*($BB$80*12.73)+'LINEST VARS'!$A$60*($AZ87*12.73)</f>
        <v>40.460000000000015</v>
      </c>
      <c r="BC87" s="46">
        <f>'LINEST VARS'!$U$60+'LINEST VARS'!$T$60*(8)+'LINEST VARS'!$S$60*(8)+'LINEST VARS'!$R$60*($BC$80)+'LINEST VARS'!$Q$60*($AZ87)+'LINEST VARS'!$P$60*(12.73)+'LINEST VARS'!$O$60*(8^2)+'LINEST VARS'!$N$60*(8^2)+'LINEST VARS'!$M$60*($BC$80^2)+'LINEST VARS'!$L$60*($AZ87^2)+'LINEST VARS'!$K$60*(12.73^2)+'LINEST VARS'!$J$60*(8*8)+'LINEST VARS'!$I$60*(8*$BC$80)+'LINEST VARS'!$H$60*(8*$AZ87)+'LINEST VARS'!$G$60*(8*12.73)+'LINEST VARS'!$F$60*(8*$BC$80)+'LINEST VARS'!$E$60*(8*$AZ87)+'LINEST VARS'!$D$60*(8*12.73)+'LINEST VARS'!$C$60*($BC$80*$AZ87)+'LINEST VARS'!$B$60*($BC$80*12.73)+'LINEST VARS'!$A$60*($AZ87*12.73)</f>
        <v>40.460000000000015</v>
      </c>
      <c r="BD87" s="46">
        <f>'LINEST VARS'!$U$60+'LINEST VARS'!$T$60*(8)+'LINEST VARS'!$S$60*(8)+'LINEST VARS'!$R$60*($BD$80)+'LINEST VARS'!$Q$60*($AZ87)+'LINEST VARS'!$P$60*(12.73)+'LINEST VARS'!$O$60*(8^2)+'LINEST VARS'!$N$60*(8^2)+'LINEST VARS'!$M$60*($BD$80^2)+'LINEST VARS'!$L$60*($AZ87^2)+'LINEST VARS'!$K$60*(12.73^2)+'LINEST VARS'!$J$60*(8*8)+'LINEST VARS'!$I$60*(8*$BD$80)+'LINEST VARS'!$H$60*(8*$AZ87)+'LINEST VARS'!$G$60*(8*12.73)+'LINEST VARS'!$F$60*(8*$BD$80)+'LINEST VARS'!$E$60*(8*$AZ87)+'LINEST VARS'!$D$60*(8*12.73)+'LINEST VARS'!$C$60*($BD$80*$AZ87)+'LINEST VARS'!$B$60*($BD$80*12.73)+'LINEST VARS'!$A$60*($AZ87*12.73)</f>
        <v>40.460000000000015</v>
      </c>
      <c r="BE87" s="46">
        <f>'LINEST VARS'!$U$60+'LINEST VARS'!$T$60*(8)+'LINEST VARS'!$S$60*(8)+'LINEST VARS'!$R$60*($BE$80)+'LINEST VARS'!$Q$60*($AZ87)+'LINEST VARS'!$P$60*(12.73)+'LINEST VARS'!$O$60*(8^2)+'LINEST VARS'!$N$60*(8^2)+'LINEST VARS'!$M$60*($BE$80^2)+'LINEST VARS'!$L$60*($AZ87^2)+'LINEST VARS'!$K$60*(12.73^2)+'LINEST VARS'!$J$60*(8*8)+'LINEST VARS'!$I$60*(8*$BE$80)+'LINEST VARS'!$H$60*(8*$AZ87)+'LINEST VARS'!$G$60*(8*12.73)+'LINEST VARS'!$F$60*(8*$BE$80)+'LINEST VARS'!$E$60*(8*$AZ87)+'LINEST VARS'!$D$60*(8*12.73)+'LINEST VARS'!$C$60*($BE$80*$AZ87)+'LINEST VARS'!$B$60*($BE$80*12.73)+'LINEST VARS'!$A$60*($AZ87*12.73)</f>
        <v>40.460000000000008</v>
      </c>
      <c r="BF87" s="46">
        <f>'LINEST VARS'!$U$60+'LINEST VARS'!$T$60*(8)+'LINEST VARS'!$S$60*(8)+'LINEST VARS'!$R$60*($BF$80)+'LINEST VARS'!$Q$60*($AZ87)+'LINEST VARS'!$P$60*(12.73)+'LINEST VARS'!$O$60*(8^2)+'LINEST VARS'!$N$60*(8^2)+'LINEST VARS'!$M$60*($BF$80^2)+'LINEST VARS'!$L$60*($AZ87^2)+'LINEST VARS'!$K$60*(12.73^2)+'LINEST VARS'!$J$60*(8*8)+'LINEST VARS'!$I$60*(8*$BF$80)+'LINEST VARS'!$H$60*(8*$AZ87)+'LINEST VARS'!$G$60*(8*12.73)+'LINEST VARS'!$F$60*(8*$BF$80)+'LINEST VARS'!$E$60*(8*$AZ87)+'LINEST VARS'!$D$60*(8*12.73)+'LINEST VARS'!$C$60*($BF$80*$AZ87)+'LINEST VARS'!$B$60*($BF$80*12.73)+'LINEST VARS'!$A$60*($AZ87*12.73)</f>
        <v>40.460000000000008</v>
      </c>
      <c r="BG87" s="46">
        <f>'LINEST VARS'!$U$60+'LINEST VARS'!$T$60*(8)+'LINEST VARS'!$S$60*(8)+'LINEST VARS'!$R$60*($BG$80)+'LINEST VARS'!$Q$60*($AZ87)+'LINEST VARS'!$P$60*(12.73)+'LINEST VARS'!$O$60*(8^2)+'LINEST VARS'!$N$60*(8^2)+'LINEST VARS'!$M$60*($BG$80^2)+'LINEST VARS'!$L$60*($AZ87^2)+'LINEST VARS'!$K$60*(12.73^2)+'LINEST VARS'!$J$60*(8*8)+'LINEST VARS'!$I$60*(8*$BG$80)+'LINEST VARS'!$H$60*(8*$AZ87)+'LINEST VARS'!$G$60*(8*12.73)+'LINEST VARS'!$F$60*(8*$BG$80)+'LINEST VARS'!$E$60*(8*$AZ87)+'LINEST VARS'!$D$60*(8*12.73)+'LINEST VARS'!$C$60*($BG$80*$AZ87)+'LINEST VARS'!$B$60*($BG$80*12.73)+'LINEST VARS'!$A$60*($AZ87*12.73)</f>
        <v>40.460000000000008</v>
      </c>
      <c r="BH87" s="46">
        <f>'LINEST VARS'!$U$60+'LINEST VARS'!$T$60*(8)+'LINEST VARS'!$S$60*(8)+'LINEST VARS'!$R$60*($BH$80)+'LINEST VARS'!$Q$60*($AZ87)+'LINEST VARS'!$P$60*(12.73)+'LINEST VARS'!$O$60*(8^2)+'LINEST VARS'!$N$60*(8^2)+'LINEST VARS'!$M$60*($BH$80^2)+'LINEST VARS'!$L$60*($AZ87^2)+'LINEST VARS'!$K$60*(12.73^2)+'LINEST VARS'!$J$60*(8*8)+'LINEST VARS'!$I$60*(8*$BH$80)+'LINEST VARS'!$H$60*(8*$AZ87)+'LINEST VARS'!$G$60*(8*12.73)+'LINEST VARS'!$F$60*(8*$BH$80)+'LINEST VARS'!$E$60*(8*$AZ87)+'LINEST VARS'!$D$60*(8*12.73)+'LINEST VARS'!$C$60*($BH$80*$AZ87)+'LINEST VARS'!$B$60*($BH$80*12.73)+'LINEST VARS'!$A$60*($AZ87*12.73)</f>
        <v>40.460000000000008</v>
      </c>
      <c r="BI87" s="46">
        <f>'LINEST VARS'!$U$60+'LINEST VARS'!$T$60*(8)+'LINEST VARS'!$S$60*(8)+'LINEST VARS'!$R$60*($BI$80)+'LINEST VARS'!$Q$60*($AZ87)+'LINEST VARS'!$P$60*(12.73)+'LINEST VARS'!$O$60*(8^2)+'LINEST VARS'!$N$60*(8^2)+'LINEST VARS'!$M$60*($BI$80^2)+'LINEST VARS'!$L$60*($AZ87^2)+'LINEST VARS'!$K$60*(12.73^2)+'LINEST VARS'!$J$60*(8*8)+'LINEST VARS'!$I$60*(8*$BI$80)+'LINEST VARS'!$H$60*(8*$AZ87)+'LINEST VARS'!$G$60*(8*12.73)+'LINEST VARS'!$F$60*(8*$BI$80)+'LINEST VARS'!$E$60*(8*$AZ87)+'LINEST VARS'!$D$60*(8*12.73)+'LINEST VARS'!$C$60*($BI$80*$AZ87)+'LINEST VARS'!$B$60*($BI$80*12.73)+'LINEST VARS'!$A$60*($AZ87*12.73)</f>
        <v>40.460000000000015</v>
      </c>
      <c r="BJ87" s="46">
        <f>'LINEST VARS'!$U$60+'LINEST VARS'!$T$60*(8)+'LINEST VARS'!$S$60*(8)+'LINEST VARS'!$R$60*($BJ$80)+'LINEST VARS'!$Q$60*($AZ87)+'LINEST VARS'!$P$60*(12.73)+'LINEST VARS'!$O$60*(8^2)+'LINEST VARS'!$N$60*(8^2)+'LINEST VARS'!$M$60*($BJ$80^2)+'LINEST VARS'!$L$60*($AZ87^2)+'LINEST VARS'!$K$60*(12.73^2)+'LINEST VARS'!$J$60*(8*8)+'LINEST VARS'!$I$60*(8*$BJ$80)+'LINEST VARS'!$H$60*(8*$AZ87)+'LINEST VARS'!$G$60*(8*12.73)+'LINEST VARS'!$F$60*(8*$BJ$80)+'LINEST VARS'!$E$60*(8*$AZ87)+'LINEST VARS'!$D$60*(8*12.73)+'LINEST VARS'!$C$60*($BJ$80*$AZ87)+'LINEST VARS'!$B$60*($BJ$80*12.73)+'LINEST VARS'!$A$60*($AZ87*12.73)</f>
        <v>40.460000000000015</v>
      </c>
      <c r="BK87" s="46">
        <f>'LINEST VARS'!$U$60+'LINEST VARS'!$T$60*(8)+'LINEST VARS'!$S$60*(8)+'LINEST VARS'!$R$60*($BK$80)+'LINEST VARS'!$Q$60*($AZ87)+'LINEST VARS'!$P$60*(12.73)+'LINEST VARS'!$O$60*(8^2)+'LINEST VARS'!$N$60*(8^2)+'LINEST VARS'!$M$60*($BK$80^2)+'LINEST VARS'!$L$60*($AZ87^2)+'LINEST VARS'!$K$60*(12.73^2)+'LINEST VARS'!$J$60*(8*8)+'LINEST VARS'!$I$60*(8*$BK$80)+'LINEST VARS'!$H$60*(8*$AZ87)+'LINEST VARS'!$G$60*(8*12.73)+'LINEST VARS'!$F$60*(8*$BK$80)+'LINEST VARS'!$E$60*(8*$AZ87)+'LINEST VARS'!$D$60*(8*12.73)+'LINEST VARS'!$C$60*($BK$80*$AZ87)+'LINEST VARS'!$B$60*($BK$80*12.73)+'LINEST VARS'!$A$60*($AZ87*12.73)</f>
        <v>40.460000000000015</v>
      </c>
      <c r="BL87" s="46">
        <f>'LINEST VARS'!$U$60+'LINEST VARS'!$T$60*(8)+'LINEST VARS'!$S$60*(8)+'LINEST VARS'!$R$60*($BL$80)+'LINEST VARS'!$Q$60*($AZ87)+'LINEST VARS'!$P$60*(12.73)+'LINEST VARS'!$O$60*(8^2)+'LINEST VARS'!$N$60*(8^2)+'LINEST VARS'!$M$60*($BL$80^2)+'LINEST VARS'!$L$60*($AZ87^2)+'LINEST VARS'!$K$60*(12.73^2)+'LINEST VARS'!$J$60*(8*8)+'LINEST VARS'!$I$60*(8*$BL$80)+'LINEST VARS'!$H$60*(8*$AZ87)+'LINEST VARS'!$G$60*(8*12.73)+'LINEST VARS'!$F$60*(8*$BL$80)+'LINEST VARS'!$E$60*(8*$AZ87)+'LINEST VARS'!$D$60*(8*12.73)+'LINEST VARS'!$C$60*($BL$80*$AZ87)+'LINEST VARS'!$B$60*($BL$80*12.73)+'LINEST VARS'!$A$60*($AZ87*12.73)</f>
        <v>40.460000000000008</v>
      </c>
      <c r="BM87" s="46">
        <f>'LINEST VARS'!$U$60+'LINEST VARS'!$T$60*(8)+'LINEST VARS'!$S$60*(8)+'LINEST VARS'!$R$60*($BM$80)+'LINEST VARS'!$Q$60*($AZ87)+'LINEST VARS'!$P$60*(12.73)+'LINEST VARS'!$O$60*(8^2)+'LINEST VARS'!$N$60*(8^2)+'LINEST VARS'!$M$60*($BM$80^2)+'LINEST VARS'!$L$60*($AZ87^2)+'LINEST VARS'!$K$60*(12.73^2)+'LINEST VARS'!$J$60*(8*8)+'LINEST VARS'!$I$60*(8*$BM$80)+'LINEST VARS'!$H$60*(8*$AZ87)+'LINEST VARS'!$G$60*(8*12.73)+'LINEST VARS'!$F$60*(8*$BM$80)+'LINEST VARS'!$E$60*(8*$AZ87)+'LINEST VARS'!$D$60*(8*12.73)+'LINEST VARS'!$C$60*($BM$80*$AZ87)+'LINEST VARS'!$B$60*($BM$80*12.73)+'LINEST VARS'!$A$60*($AZ87*12.73)</f>
        <v>40.460000000000008</v>
      </c>
      <c r="BN87" s="46">
        <f>'LINEST VARS'!$U$60+'LINEST VARS'!$T$60*(8)+'LINEST VARS'!$S$60*(8)+'LINEST VARS'!$R$60*($BN$80)+'LINEST VARS'!$Q$60*($AZ87)+'LINEST VARS'!$P$60*(12.73)+'LINEST VARS'!$O$60*(8^2)+'LINEST VARS'!$N$60*(8^2)+'LINEST VARS'!$M$60*($BN$80^2)+'LINEST VARS'!$L$60*($AZ87^2)+'LINEST VARS'!$K$60*(12.73^2)+'LINEST VARS'!$J$60*(8*8)+'LINEST VARS'!$I$60*(8*$BN$80)+'LINEST VARS'!$H$60*(8*$AZ87)+'LINEST VARS'!$G$60*(8*12.73)+'LINEST VARS'!$F$60*(8*$BN$80)+'LINEST VARS'!$E$60*(8*$AZ87)+'LINEST VARS'!$D$60*(8*12.73)+'LINEST VARS'!$C$60*($BN$80*$AZ87)+'LINEST VARS'!$B$60*($BN$80*12.73)+'LINEST VARS'!$A$60*($AZ87*12.73)</f>
        <v>40.460000000000008</v>
      </c>
      <c r="BO87" s="46">
        <f>'LINEST VARS'!$U$60+'LINEST VARS'!$T$60*(8)+'LINEST VARS'!$S$60*(8)+'LINEST VARS'!$R$60*($BO$80)+'LINEST VARS'!$Q$60*($AZ87)+'LINEST VARS'!$P$60*(12.73)+'LINEST VARS'!$O$60*(8^2)+'LINEST VARS'!$N$60*(8^2)+'LINEST VARS'!$M$60*($BO$80^2)+'LINEST VARS'!$L$60*($AZ87^2)+'LINEST VARS'!$K$60*(12.73^2)+'LINEST VARS'!$J$60*(8*8)+'LINEST VARS'!$I$60*(8*$BO$80)+'LINEST VARS'!$H$60*(8*$AZ87)+'LINEST VARS'!$G$60*(8*12.73)+'LINEST VARS'!$F$60*(8*$BO$80)+'LINEST VARS'!$E$60*(8*$AZ87)+'LINEST VARS'!$D$60*(8*12.73)+'LINEST VARS'!$C$60*($BO$80*$AZ87)+'LINEST VARS'!$B$60*($BO$80*12.73)+'LINEST VARS'!$A$60*($AZ87*12.73)</f>
        <v>40.460000000000008</v>
      </c>
      <c r="BP87" s="46">
        <f>'LINEST VARS'!$U$60+'LINEST VARS'!$T$60*(8)+'LINEST VARS'!$S$60*(8)+'LINEST VARS'!$R$60*($BP$80)+'LINEST VARS'!$Q$60*($AZ87)+'LINEST VARS'!$P$60*(12.73)+'LINEST VARS'!$O$60*(8^2)+'LINEST VARS'!$N$60*(8^2)+'LINEST VARS'!$M$60*($BP$80^2)+'LINEST VARS'!$L$60*($AZ87^2)+'LINEST VARS'!$K$60*(12.73^2)+'LINEST VARS'!$J$60*(8*8)+'LINEST VARS'!$I$60*(8*$BP$80)+'LINEST VARS'!$H$60*(8*$AZ87)+'LINEST VARS'!$G$60*(8*12.73)+'LINEST VARS'!$F$60*(8*$BP$80)+'LINEST VARS'!$E$60*(8*$AZ87)+'LINEST VARS'!$D$60*(8*12.73)+'LINEST VARS'!$C$60*($BP$80*$AZ87)+'LINEST VARS'!$B$60*($BP$80*12.73)+'LINEST VARS'!$A$60*($AZ87*12.73)</f>
        <v>40.460000000000015</v>
      </c>
      <c r="BQ87" s="46">
        <f>'LINEST VARS'!$U$60+'LINEST VARS'!$T$60*(8)+'LINEST VARS'!$S$60*(8)+'LINEST VARS'!$R$60*($BQ$80)+'LINEST VARS'!$Q$60*($AZ87)+'LINEST VARS'!$P$60*(12.73)+'LINEST VARS'!$O$60*(8^2)+'LINEST VARS'!$N$60*(8^2)+'LINEST VARS'!$M$60*($BQ$80^2)+'LINEST VARS'!$L$60*($AZ87^2)+'LINEST VARS'!$K$60*(12.73^2)+'LINEST VARS'!$J$60*(8*8)+'LINEST VARS'!$I$60*(8*$BQ$80)+'LINEST VARS'!$H$60*(8*$AZ87)+'LINEST VARS'!$G$60*(8*12.73)+'LINEST VARS'!$F$60*(8*$BQ$80)+'LINEST VARS'!$E$60*(8*$AZ87)+'LINEST VARS'!$D$60*(8*12.73)+'LINEST VARS'!$C$60*($BQ$80*$AZ87)+'LINEST VARS'!$B$60*($BQ$80*12.73)+'LINEST VARS'!$A$60*($AZ87*12.73)</f>
        <v>40.460000000000015</v>
      </c>
      <c r="BR87" s="46">
        <f>'LINEST VARS'!$U$60+'LINEST VARS'!$T$60*(8)+'LINEST VARS'!$S$60*(8)+'LINEST VARS'!$R$60*($BR$80)+'LINEST VARS'!$Q$60*($AZ87)+'LINEST VARS'!$P$60*(12.73)+'LINEST VARS'!$O$60*(8^2)+'LINEST VARS'!$N$60*(8^2)+'LINEST VARS'!$M$60*($BR$80^2)+'LINEST VARS'!$L$60*($AZ87^2)+'LINEST VARS'!$K$60*(12.73^2)+'LINEST VARS'!$J$60*(8*8)+'LINEST VARS'!$I$60*(8*$BR$80)+'LINEST VARS'!$H$60*(8*$AZ87)+'LINEST VARS'!$G$60*(8*12.73)+'LINEST VARS'!$F$60*(8*$BR$80)+'LINEST VARS'!$E$60*(8*$AZ87)+'LINEST VARS'!$D$60*(8*12.73)+'LINEST VARS'!$C$60*($BR$80*$AZ87)+'LINEST VARS'!$B$60*($BR$80*12.73)+'LINEST VARS'!$A$60*($AZ87*12.73)</f>
        <v>40.460000000000015</v>
      </c>
      <c r="BS87" s="46">
        <f>'LINEST VARS'!$U$60+'LINEST VARS'!$T$60*(8)+'LINEST VARS'!$S$60*(8)+'LINEST VARS'!$R$60*($BS$80)+'LINEST VARS'!$Q$60*($AZ87)+'LINEST VARS'!$P$60*(12.73)+'LINEST VARS'!$O$60*(8^2)+'LINEST VARS'!$N$60*(8^2)+'LINEST VARS'!$M$60*($BS$80^2)+'LINEST VARS'!$L$60*($AZ87^2)+'LINEST VARS'!$K$60*(12.73^2)+'LINEST VARS'!$J$60*(8*8)+'LINEST VARS'!$I$60*(8*$BS$80)+'LINEST VARS'!$H$60*(8*$AZ87)+'LINEST VARS'!$G$60*(8*12.73)+'LINEST VARS'!$F$60*(8*$BS$80)+'LINEST VARS'!$E$60*(8*$AZ87)+'LINEST VARS'!$D$60*(8*12.73)+'LINEST VARS'!$C$60*($BS$80*$AZ87)+'LINEST VARS'!$B$60*($BS$80*12.73)+'LINEST VARS'!$A$60*($AZ87*12.73)</f>
        <v>40.460000000000008</v>
      </c>
      <c r="BT87" s="46">
        <f>'LINEST VARS'!$U$60+'LINEST VARS'!$T$60*(8)+'LINEST VARS'!$S$60*(8)+'LINEST VARS'!$R$60*($BT$80)+'LINEST VARS'!$Q$60*($AZ87)+'LINEST VARS'!$P$60*(12.73)+'LINEST VARS'!$O$60*(8^2)+'LINEST VARS'!$N$60*(8^2)+'LINEST VARS'!$M$60*($BT$80^2)+'LINEST VARS'!$L$60*($AZ87^2)+'LINEST VARS'!$K$60*(12.73^2)+'LINEST VARS'!$J$60*(8*8)+'LINEST VARS'!$I$60*(8*$BT$80)+'LINEST VARS'!$H$60*(8*$AZ87)+'LINEST VARS'!$G$60*(8*12.73)+'LINEST VARS'!$F$60*(8*$BT$80)+'LINEST VARS'!$E$60*(8*$AZ87)+'LINEST VARS'!$D$60*(8*12.73)+'LINEST VARS'!$C$60*($BT$80*$AZ87)+'LINEST VARS'!$B$60*($BT$80*12.73)+'LINEST VARS'!$A$60*($AZ87*12.73)</f>
        <v>40.460000000000008</v>
      </c>
      <c r="BU87" s="47">
        <f>'LINEST VARS'!$U$60+'LINEST VARS'!$T$60*(8)+'LINEST VARS'!$S$60*(8)+'LINEST VARS'!$R$60*($BU$80)+'LINEST VARS'!$Q$60*($AZ87)+'LINEST VARS'!$P$60*(12.73)+'LINEST VARS'!$O$60*(8^2)+'LINEST VARS'!$N$60*(8^2)+'LINEST VARS'!$M$60*($BU$80^2)+'LINEST VARS'!$L$60*($AZ87^2)+'LINEST VARS'!$K$60*(12.73^2)+'LINEST VARS'!$J$60*(8*8)+'LINEST VARS'!$I$60*(8*$BU$80)+'LINEST VARS'!$H$60*(8*$AZ87)+'LINEST VARS'!$G$60*(8*12.73)+'LINEST VARS'!$F$60*(8*$BU$80)+'LINEST VARS'!$E$60*(8*$AZ87)+'LINEST VARS'!$D$60*(8*12.73)+'LINEST VARS'!$C$60*($BU$80*$AZ87)+'LINEST VARS'!$B$60*($BU$80*12.73)+'LINEST VARS'!$A$60*($AZ87*12.73)</f>
        <v>40.460000000000015</v>
      </c>
      <c r="BX87" s="45">
        <v>0.3</v>
      </c>
      <c r="BY87" s="55">
        <f>'LINEST VARS'!$U$62+'LINEST VARS'!$T$62*(8)+'LINEST VARS'!$S$62*(8)+'LINEST VARS'!$R$62*($BY$80)+'LINEST VARS'!$Q$62*($BX87)+'LINEST VARS'!$P$62*(12.73)+'LINEST VARS'!$O$62*(8^2)+'LINEST VARS'!$N$62*(8^2)+'LINEST VARS'!$M$62*($BY$80^2)+'LINEST VARS'!$L$62*($BX87^2)+'LINEST VARS'!$K$62*(12.73^2)+'LINEST VARS'!$J$62*(8*8)+'LINEST VARS'!$I$62*(8*$BY$80)+'LINEST VARS'!$H$62*(8*$BX87)+'LINEST VARS'!$G$62*(8*12.73)+'LINEST VARS'!$F$62*(8*$BY$80)+'LINEST VARS'!$E$62*(8*$BX87)+'LINEST VARS'!$D$62*(8*12.73)+'LINEST VARS'!$C$62*($BY$80*$BX87)+'LINEST VARS'!$B$62*($BY$80*12.73)+'LINEST VARS'!$A$62*($BX87*12.73)</f>
        <v>349.81999999999988</v>
      </c>
      <c r="BZ87" s="55">
        <f>'LINEST VARS'!$U$62+'LINEST VARS'!$T$62*(8)+'LINEST VARS'!$S$62*(8)+'LINEST VARS'!$R$62*($BZ$80)+'LINEST VARS'!$Q$62*($BX87)+'LINEST VARS'!$P$62*(12.73)+'LINEST VARS'!$O$62*(8^2)+'LINEST VARS'!$N$62*(8^2)+'LINEST VARS'!$M$62*($BZ$80^2)+'LINEST VARS'!$L$62*($BX87^2)+'LINEST VARS'!$K$62*(12.73^2)+'LINEST VARS'!$J$62*(8*8)+'LINEST VARS'!$I$62*(8*$BZ$80)+'LINEST VARS'!$H$62*(8*$BX87)+'LINEST VARS'!$G$62*(8*12.73)+'LINEST VARS'!$F$62*(8*$BZ$80)+'LINEST VARS'!$E$62*(8*$BX87)+'LINEST VARS'!$D$62*(8*12.73)+'LINEST VARS'!$C$62*($BZ$80*$BX87)+'LINEST VARS'!$B$62*($BZ$80*12.73)+'LINEST VARS'!$A$62*($BX87*12.73)</f>
        <v>349.01999999999992</v>
      </c>
      <c r="CA87" s="55">
        <f>'LINEST VARS'!$U$62+'LINEST VARS'!$T$62*(8)+'LINEST VARS'!$S$62*(8)+'LINEST VARS'!$R$62*($CA$80)+'LINEST VARS'!$Q$62*($BX87)+'LINEST VARS'!$P$62*(12.73)+'LINEST VARS'!$O$62*(8^2)+'LINEST VARS'!$N$62*(8^2)+'LINEST VARS'!$M$62*($CA$80^2)+'LINEST VARS'!$L$62*($BX87^2)+'LINEST VARS'!$K$62*(12.73^2)+'LINEST VARS'!$J$62*(8*8)+'LINEST VARS'!$I$62*(8*$CA$80)+'LINEST VARS'!$H$62*(8*$BX87)+'LINEST VARS'!$G$62*(8*12.73)+'LINEST VARS'!$F$62*(8*$CA$80)+'LINEST VARS'!$E$62*(8*$BX87)+'LINEST VARS'!$D$62*(8*12.73)+'LINEST VARS'!$C$62*($CA$80*$BX87)+'LINEST VARS'!$B$62*($CA$80*12.73)+'LINEST VARS'!$A$62*($BX87*12.73)</f>
        <v>346.61999999999983</v>
      </c>
      <c r="CB87" s="55">
        <f>'LINEST VARS'!$U$62+'LINEST VARS'!$T$62*(8)+'LINEST VARS'!$S$62*(8)+'LINEST VARS'!$R$62*($CB$80)+'LINEST VARS'!$Q$62*($BX87)+'LINEST VARS'!$P$62*(12.73)+'LINEST VARS'!$O$62*(8^2)+'LINEST VARS'!$N$62*(8^2)+'LINEST VARS'!$M$62*($CB$80^2)+'LINEST VARS'!$L$62*($BX87^2)+'LINEST VARS'!$K$62*(12.73^2)+'LINEST VARS'!$J$62*(8*8)+'LINEST VARS'!$I$62*(8*$CB$80)+'LINEST VARS'!$H$62*(8*$BX87)+'LINEST VARS'!$G$62*(8*12.73)+'LINEST VARS'!$F$62*(8*$CB$80)+'LINEST VARS'!$E$62*(8*$BX87)+'LINEST VARS'!$D$62*(8*12.73)+'LINEST VARS'!$C$62*($CB$80*$BX87)+'LINEST VARS'!$B$62*($CB$80*12.73)+'LINEST VARS'!$A$62*($BX87*12.73)</f>
        <v>342.61999999999989</v>
      </c>
      <c r="CC87" s="55">
        <f>'LINEST VARS'!$U$62+'LINEST VARS'!$T$62*(8)+'LINEST VARS'!$S$62*(8)+'LINEST VARS'!$R$62*($CC$80)+'LINEST VARS'!$Q$62*($BX87)+'LINEST VARS'!$P$62*(12.73)+'LINEST VARS'!$O$62*(8^2)+'LINEST VARS'!$N$62*(8^2)+'LINEST VARS'!$M$62*($CC$80^2)+'LINEST VARS'!$L$62*($BX87^2)+'LINEST VARS'!$K$62*(12.73^2)+'LINEST VARS'!$J$62*(8*8)+'LINEST VARS'!$I$62*(8*$CC$80)+'LINEST VARS'!$H$62*(8*$BX87)+'LINEST VARS'!$G$62*(8*12.73)+'LINEST VARS'!$F$62*(8*$CC$80)+'LINEST VARS'!$E$62*(8*$BX87)+'LINEST VARS'!$D$62*(8*12.73)+'LINEST VARS'!$C$62*($CC$80*$BX87)+'LINEST VARS'!$B$62*($CC$80*12.73)+'LINEST VARS'!$A$62*($BX87*12.73)</f>
        <v>337.01999999999992</v>
      </c>
      <c r="CD87" s="55">
        <f>'LINEST VARS'!$U$62+'LINEST VARS'!$T$62*(8)+'LINEST VARS'!$S$62*(8)+'LINEST VARS'!$R$62*($CD$80)+'LINEST VARS'!$Q$62*($BX87)+'LINEST VARS'!$P$62*(12.73)+'LINEST VARS'!$O$62*(8^2)+'LINEST VARS'!$N$62*(8^2)+'LINEST VARS'!$M$62*($CD$80^2)+'LINEST VARS'!$L$62*($BX87^2)+'LINEST VARS'!$K$62*(12.73^2)+'LINEST VARS'!$J$62*(8*8)+'LINEST VARS'!$I$62*(8*$CD$80)+'LINEST VARS'!$H$62*(8*$BX87)+'LINEST VARS'!$G$62*(8*12.73)+'LINEST VARS'!$F$62*(8*$CD$80)+'LINEST VARS'!$E$62*(8*$BX87)+'LINEST VARS'!$D$62*(8*12.73)+'LINEST VARS'!$C$62*($CD$80*$BX87)+'LINEST VARS'!$B$62*($CD$80*12.73)+'LINEST VARS'!$A$62*($BX87*12.73)</f>
        <v>329.82</v>
      </c>
      <c r="CE87" s="55">
        <f>'LINEST VARS'!$U$62+'LINEST VARS'!$T$62*(8)+'LINEST VARS'!$S$62*(8)+'LINEST VARS'!$R$62*($CE$80)+'LINEST VARS'!$Q$62*($BX87)+'LINEST VARS'!$P$62*(12.73)+'LINEST VARS'!$O$62*(8^2)+'LINEST VARS'!$N$62*(8^2)+'LINEST VARS'!$M$62*($CE$80^2)+'LINEST VARS'!$L$62*($BX87^2)+'LINEST VARS'!$K$62*(12.73^2)+'LINEST VARS'!$J$62*(8*8)+'LINEST VARS'!$I$62*(8*$CE$80)+'LINEST VARS'!$H$62*(8*$BX87)+'LINEST VARS'!$G$62*(8*12.73)+'LINEST VARS'!$F$62*(8*$CE$80)+'LINEST VARS'!$E$62*(8*$BX87)+'LINEST VARS'!$D$62*(8*12.73)+'LINEST VARS'!$C$62*($CE$80*$BX87)+'LINEST VARS'!$B$62*($CE$80*12.73)+'LINEST VARS'!$A$62*($BX87*12.73)</f>
        <v>321.01999999999992</v>
      </c>
      <c r="CF87" s="55">
        <f>'LINEST VARS'!$U$62+'LINEST VARS'!$T$62*(8)+'LINEST VARS'!$S$62*(8)+'LINEST VARS'!$R$62*($CF$80)+'LINEST VARS'!$Q$62*($BX87)+'LINEST VARS'!$P$62*(12.73)+'LINEST VARS'!$O$62*(8^2)+'LINEST VARS'!$N$62*(8^2)+'LINEST VARS'!$M$62*($CF$80^2)+'LINEST VARS'!$L$62*($BX87^2)+'LINEST VARS'!$K$62*(12.73^2)+'LINEST VARS'!$J$62*(8*8)+'LINEST VARS'!$I$62*(8*$CF$80)+'LINEST VARS'!$H$62*(8*$BX87)+'LINEST VARS'!$G$62*(8*12.73)+'LINEST VARS'!$F$62*(8*$CF$80)+'LINEST VARS'!$E$62*(8*$BX87)+'LINEST VARS'!$D$62*(8*12.73)+'LINEST VARS'!$C$62*($CF$80*$BX87)+'LINEST VARS'!$B$62*($CF$80*12.73)+'LINEST VARS'!$A$62*($BX87*12.73)</f>
        <v>310.61999999999989</v>
      </c>
      <c r="CG87" s="55">
        <f>'LINEST VARS'!$U$62+'LINEST VARS'!$T$62*(8)+'LINEST VARS'!$S$62*(8)+'LINEST VARS'!$R$62*($CG$80)+'LINEST VARS'!$Q$62*($BX87)+'LINEST VARS'!$P$62*(12.73)+'LINEST VARS'!$O$62*(8^2)+'LINEST VARS'!$N$62*(8^2)+'LINEST VARS'!$M$62*($CG$80^2)+'LINEST VARS'!$L$62*($BX87^2)+'LINEST VARS'!$K$62*(12.73^2)+'LINEST VARS'!$J$62*(8*8)+'LINEST VARS'!$I$62*(8*$CG$80)+'LINEST VARS'!$H$62*(8*$BX87)+'LINEST VARS'!$G$62*(8*12.73)+'LINEST VARS'!$F$62*(8*$CG$80)+'LINEST VARS'!$E$62*(8*$BX87)+'LINEST VARS'!$D$62*(8*12.73)+'LINEST VARS'!$C$62*($CG$80*$BX87)+'LINEST VARS'!$B$62*($CG$80*12.73)+'LINEST VARS'!$A$62*($BX87*12.73)</f>
        <v>298.61999999999995</v>
      </c>
      <c r="CH87" s="55">
        <f>'LINEST VARS'!$U$62+'LINEST VARS'!$T$62*(8)+'LINEST VARS'!$S$62*(8)+'LINEST VARS'!$R$62*($CH$80)+'LINEST VARS'!$Q$62*($BX87)+'LINEST VARS'!$P$62*(12.73)+'LINEST VARS'!$O$62*(8^2)+'LINEST VARS'!$N$62*(8^2)+'LINEST VARS'!$M$62*($CH$80^2)+'LINEST VARS'!$L$62*($BX87^2)+'LINEST VARS'!$K$62*(12.73^2)+'LINEST VARS'!$J$62*(8*8)+'LINEST VARS'!$I$62*(8*$CH$80)+'LINEST VARS'!$H$62*(8*$BX87)+'LINEST VARS'!$G$62*(8*12.73)+'LINEST VARS'!$F$62*(8*$CH$80)+'LINEST VARS'!$E$62*(8*$BX87)+'LINEST VARS'!$D$62*(8*12.73)+'LINEST VARS'!$C$62*($CH$80*$BX87)+'LINEST VARS'!$B$62*($CH$80*12.73)+'LINEST VARS'!$A$62*($BX87*12.73)</f>
        <v>285.01999999999992</v>
      </c>
      <c r="CI87" s="55">
        <f>'LINEST VARS'!$U$62+'LINEST VARS'!$T$62*(8)+'LINEST VARS'!$S$62*(8)+'LINEST VARS'!$R$62*($CI$80)+'LINEST VARS'!$Q$62*($BX87)+'LINEST VARS'!$P$62*(12.73)+'LINEST VARS'!$O$62*(8^2)+'LINEST VARS'!$N$62*(8^2)+'LINEST VARS'!$M$62*($CI$80^2)+'LINEST VARS'!$L$62*($BX87^2)+'LINEST VARS'!$K$62*(12.73^2)+'LINEST VARS'!$J$62*(8*8)+'LINEST VARS'!$I$62*(8*$CI$80)+'LINEST VARS'!$H$62*(8*$BX87)+'LINEST VARS'!$G$62*(8*12.73)+'LINEST VARS'!$F$62*(8*$CI$80)+'LINEST VARS'!$E$62*(8*$BX87)+'LINEST VARS'!$D$62*(8*12.73)+'LINEST VARS'!$C$62*($CI$80*$BX87)+'LINEST VARS'!$B$62*($CI$80*12.73)+'LINEST VARS'!$A$62*($BX87*12.73)</f>
        <v>269.81999999999994</v>
      </c>
      <c r="CJ87" s="55">
        <f>'LINEST VARS'!$U$62+'LINEST VARS'!$T$62*(8)+'LINEST VARS'!$S$62*(8)+'LINEST VARS'!$R$62*($CJ$80)+'LINEST VARS'!$Q$62*($BX87)+'LINEST VARS'!$P$62*(12.73)+'LINEST VARS'!$O$62*(8^2)+'LINEST VARS'!$N$62*(8^2)+'LINEST VARS'!$M$62*($CJ$80^2)+'LINEST VARS'!$L$62*($BX87^2)+'LINEST VARS'!$K$62*(12.73^2)+'LINEST VARS'!$J$62*(8*8)+'LINEST VARS'!$I$62*(8*$CJ$80)+'LINEST VARS'!$H$62*(8*$BX87)+'LINEST VARS'!$G$62*(8*12.73)+'LINEST VARS'!$F$62*(8*$CJ$80)+'LINEST VARS'!$E$62*(8*$BX87)+'LINEST VARS'!$D$62*(8*12.73)+'LINEST VARS'!$C$62*($CJ$80*$BX87)+'LINEST VARS'!$B$62*($CJ$80*12.73)+'LINEST VARS'!$A$62*($BX87*12.73)</f>
        <v>253.01999999999998</v>
      </c>
      <c r="CK87" s="55">
        <f>'LINEST VARS'!$U$62+'LINEST VARS'!$T$62*(8)+'LINEST VARS'!$S$62*(8)+'LINEST VARS'!$R$62*($CK$80)+'LINEST VARS'!$Q$62*($BX87)+'LINEST VARS'!$P$62*(12.73)+'LINEST VARS'!$O$62*(8^2)+'LINEST VARS'!$N$62*(8^2)+'LINEST VARS'!$M$62*($CK$80^2)+'LINEST VARS'!$L$62*($BX87^2)+'LINEST VARS'!$K$62*(12.73^2)+'LINEST VARS'!$J$62*(8*8)+'LINEST VARS'!$I$62*(8*$CK$80)+'LINEST VARS'!$H$62*(8*$BX87)+'LINEST VARS'!$G$62*(8*12.73)+'LINEST VARS'!$F$62*(8*$CK$80)+'LINEST VARS'!$E$62*(8*$BX87)+'LINEST VARS'!$D$62*(8*12.73)+'LINEST VARS'!$C$62*($CK$80*$BX87)+'LINEST VARS'!$B$62*($CK$80*12.73)+'LINEST VARS'!$A$62*($BX87*12.73)</f>
        <v>234.62000000000003</v>
      </c>
      <c r="CL87" s="55">
        <f>'LINEST VARS'!$U$62+'LINEST VARS'!$T$62*(8)+'LINEST VARS'!$S$62*(8)+'LINEST VARS'!$R$62*($CL$80)+'LINEST VARS'!$Q$62*($BX87)+'LINEST VARS'!$P$62*(12.73)+'LINEST VARS'!$O$62*(8^2)+'LINEST VARS'!$N$62*(8^2)+'LINEST VARS'!$M$62*($CL$80^2)+'LINEST VARS'!$L$62*($BX87^2)+'LINEST VARS'!$K$62*(12.73^2)+'LINEST VARS'!$J$62*(8*8)+'LINEST VARS'!$I$62*(8*$CL$80)+'LINEST VARS'!$H$62*(8*$BX87)+'LINEST VARS'!$G$62*(8*12.73)+'LINEST VARS'!$F$62*(8*$CL$80)+'LINEST VARS'!$E$62*(8*$BX87)+'LINEST VARS'!$D$62*(8*12.73)+'LINEST VARS'!$C$62*($CL$80*$BX87)+'LINEST VARS'!$B$62*($CL$80*12.73)+'LINEST VARS'!$A$62*($BX87*12.73)</f>
        <v>214.61999999999998</v>
      </c>
      <c r="CM87" s="55">
        <f>'LINEST VARS'!$U$62+'LINEST VARS'!$T$62*(8)+'LINEST VARS'!$S$62*(8)+'LINEST VARS'!$R$62*($CM$80)+'LINEST VARS'!$Q$62*($BX87)+'LINEST VARS'!$P$62*(12.73)+'LINEST VARS'!$O$62*(8^2)+'LINEST VARS'!$N$62*(8^2)+'LINEST VARS'!$M$62*($CM$80^2)+'LINEST VARS'!$L$62*($BX87^2)+'LINEST VARS'!$K$62*(12.73^2)+'LINEST VARS'!$J$62*(8*8)+'LINEST VARS'!$I$62*(8*$CM$80)+'LINEST VARS'!$H$62*(8*$BX87)+'LINEST VARS'!$G$62*(8*12.73)+'LINEST VARS'!$F$62*(8*$CM$80)+'LINEST VARS'!$E$62*(8*$BX87)+'LINEST VARS'!$D$62*(8*12.73)+'LINEST VARS'!$C$62*($CM$80*$BX87)+'LINEST VARS'!$B$62*($CM$80*12.73)+'LINEST VARS'!$A$62*($BX87*12.73)</f>
        <v>193.02000000000007</v>
      </c>
      <c r="CN87" s="55">
        <f>'LINEST VARS'!$U$62+'LINEST VARS'!$T$62*(8)+'LINEST VARS'!$S$62*(8)+'LINEST VARS'!$R$62*($CN$80)+'LINEST VARS'!$Q$62*($BX87)+'LINEST VARS'!$P$62*(12.73)+'LINEST VARS'!$O$62*(8^2)+'LINEST VARS'!$N$62*(8^2)+'LINEST VARS'!$M$62*($CN$80^2)+'LINEST VARS'!$L$62*($BX87^2)+'LINEST VARS'!$K$62*(12.73^2)+'LINEST VARS'!$J$62*(8*8)+'LINEST VARS'!$I$62*(8*$CN$80)+'LINEST VARS'!$H$62*(8*$BX87)+'LINEST VARS'!$G$62*(8*12.73)+'LINEST VARS'!$F$62*(8*$CN$80)+'LINEST VARS'!$E$62*(8*$BX87)+'LINEST VARS'!$D$62*(8*12.73)+'LINEST VARS'!$C$62*($CN$80*$BX87)+'LINEST VARS'!$B$62*($CN$80*12.73)+'LINEST VARS'!$A$62*($BX87*12.73)</f>
        <v>169.82000000000005</v>
      </c>
      <c r="CO87" s="55">
        <f>'LINEST VARS'!$U$62+'LINEST VARS'!$T$62*(8)+'LINEST VARS'!$S$62*(8)+'LINEST VARS'!$R$62*($CO$80)+'LINEST VARS'!$Q$62*($BX87)+'LINEST VARS'!$P$62*(12.73)+'LINEST VARS'!$O$62*(8^2)+'LINEST VARS'!$N$62*(8^2)+'LINEST VARS'!$M$62*($CO$80^2)+'LINEST VARS'!$L$62*($BX87^2)+'LINEST VARS'!$K$62*(12.73^2)+'LINEST VARS'!$J$62*(8*8)+'LINEST VARS'!$I$62*(8*$CO$80)+'LINEST VARS'!$H$62*(8*$BX87)+'LINEST VARS'!$G$62*(8*12.73)+'LINEST VARS'!$F$62*(8*$CO$80)+'LINEST VARS'!$E$62*(8*$BX87)+'LINEST VARS'!$D$62*(8*12.73)+'LINEST VARS'!$C$62*($CO$80*$BX87)+'LINEST VARS'!$B$62*($CO$80*12.73)+'LINEST VARS'!$A$62*($BX87*12.73)</f>
        <v>145.02000000000007</v>
      </c>
      <c r="CP87" s="55">
        <f>'LINEST VARS'!$U$62+'LINEST VARS'!$T$62*(8)+'LINEST VARS'!$S$62*(8)+'LINEST VARS'!$R$62*($CP$80)+'LINEST VARS'!$Q$62*($BX87)+'LINEST VARS'!$P$62*(12.73)+'LINEST VARS'!$O$62*(8^2)+'LINEST VARS'!$N$62*(8^2)+'LINEST VARS'!$M$62*($CP$80^2)+'LINEST VARS'!$L$62*($BX87^2)+'LINEST VARS'!$K$62*(12.73^2)+'LINEST VARS'!$J$62*(8*8)+'LINEST VARS'!$I$62*(8*$CP$80)+'LINEST VARS'!$H$62*(8*$BX87)+'LINEST VARS'!$G$62*(8*12.73)+'LINEST VARS'!$F$62*(8*$CP$80)+'LINEST VARS'!$E$62*(8*$BX87)+'LINEST VARS'!$D$62*(8*12.73)+'LINEST VARS'!$C$62*($CP$80*$BX87)+'LINEST VARS'!$B$62*($CP$80*12.73)+'LINEST VARS'!$A$62*($BX87*12.73)</f>
        <v>118.6200000000001</v>
      </c>
      <c r="CQ87" s="55">
        <f>'LINEST VARS'!$U$62+'LINEST VARS'!$T$62*(8)+'LINEST VARS'!$S$62*(8)+'LINEST VARS'!$R$62*($CQ$80)+'LINEST VARS'!$Q$62*($BX87)+'LINEST VARS'!$P$62*(12.73)+'LINEST VARS'!$O$62*(8^2)+'LINEST VARS'!$N$62*(8^2)+'LINEST VARS'!$M$62*($CQ$80^2)+'LINEST VARS'!$L$62*($BX87^2)+'LINEST VARS'!$K$62*(12.73^2)+'LINEST VARS'!$J$62*(8*8)+'LINEST VARS'!$I$62*(8*$CQ$80)+'LINEST VARS'!$H$62*(8*$BX87)+'LINEST VARS'!$G$62*(8*12.73)+'LINEST VARS'!$F$62*(8*$CQ$80)+'LINEST VARS'!$E$62*(8*$BX87)+'LINEST VARS'!$D$62*(8*12.73)+'LINEST VARS'!$C$62*($CQ$80*$BX87)+'LINEST VARS'!$B$62*($CQ$80*12.73)+'LINEST VARS'!$A$62*($BX87*12.73)</f>
        <v>90.620000000000104</v>
      </c>
      <c r="CR87" s="55">
        <f>'LINEST VARS'!$U$62+'LINEST VARS'!$T$62*(8)+'LINEST VARS'!$S$62*(8)+'LINEST VARS'!$R$62*($CR$80)+'LINEST VARS'!$Q$62*($BX87)+'LINEST VARS'!$P$62*(12.73)+'LINEST VARS'!$O$62*(8^2)+'LINEST VARS'!$N$62*(8^2)+'LINEST VARS'!$M$62*($CR$80^2)+'LINEST VARS'!$L$62*($BX87^2)+'LINEST VARS'!$K$62*(12.73^2)+'LINEST VARS'!$J$62*(8*8)+'LINEST VARS'!$I$62*(8*$CR$80)+'LINEST VARS'!$H$62*(8*$BX87)+'LINEST VARS'!$G$62*(8*12.73)+'LINEST VARS'!$F$62*(8*$CR$80)+'LINEST VARS'!$E$62*(8*$BX87)+'LINEST VARS'!$D$62*(8*12.73)+'LINEST VARS'!$C$62*($CR$80*$BX87)+'LINEST VARS'!$B$62*($CR$80*12.73)+'LINEST VARS'!$A$62*($BX87*12.73)</f>
        <v>61.020000000000145</v>
      </c>
      <c r="CS87" s="56">
        <f>'LINEST VARS'!$U$62+'LINEST VARS'!$T$62*(8)+'LINEST VARS'!$S$62*(8)+'LINEST VARS'!$R$62*($CS$80)+'LINEST VARS'!$Q$62*($BX87)+'LINEST VARS'!$P$62*(12.73)+'LINEST VARS'!$O$62*(8^2)+'LINEST VARS'!$N$62*(8^2)+'LINEST VARS'!$M$62*($CS$80^2)+'LINEST VARS'!$L$62*($BX87^2)+'LINEST VARS'!$K$62*(12.73^2)+'LINEST VARS'!$J$62*(8*8)+'LINEST VARS'!$I$62*(8*$CS$80)+'LINEST VARS'!$H$62*(8*$BX87)+'LINEST VARS'!$G$62*(8*12.73)+'LINEST VARS'!$F$62*(8*$CS$80)+'LINEST VARS'!$E$62*(8*$BX87)+'LINEST VARS'!$D$62*(8*12.73)+'LINEST VARS'!$C$62*($CS$80*$BX87)+'LINEST VARS'!$B$62*($CS$80*12.73)+'LINEST VARS'!$A$62*($BX87*12.73)</f>
        <v>29.820000000000178</v>
      </c>
      <c r="CX87" s="45">
        <v>7.7969999999999997</v>
      </c>
      <c r="CY87" s="46">
        <f>'LINEST VARS'!$U$60+'LINEST VARS'!$T$60*(8)+'LINEST VARS'!$S$60*(8)+'LINEST VARS'!$R$60*($CY$80)+'LINEST VARS'!$Q$60*(0.5)+'LINEST VARS'!$P$60*($CX87)+'LINEST VARS'!$O$60*(8^2)+'LINEST VARS'!$N$60*(8^2)+'LINEST VARS'!$M$60*($CY$80^2)+'LINEST VARS'!$L$60*(0.5^2)+'LINEST VARS'!$K$60*($CX87^2)+'LINEST VARS'!$J$60*(8*8)+'LINEST VARS'!$I$60*(8*$CY$80)+'LINEST VARS'!$H$60*(8*0.5)+'LINEST VARS'!$G$60*(8*$CX87)+'LINEST VARS'!$F$60*(8*$CY$80)+'LINEST VARS'!$E$60*(8*0.5)+'LINEST VARS'!$D$60*(8*$CX87)+'LINEST VARS'!$C$60*($CY$80*0.5)+'LINEST VARS'!$B$60*($CY$80*$CX87)+'LINEST VARS'!$A$60*(0.5*$CX87)</f>
        <v>30.594000000000012</v>
      </c>
      <c r="CZ87" s="46">
        <f>'LINEST VARS'!$U$60+'LINEST VARS'!$T$60*(8)+'LINEST VARS'!$S$60*(8)+'LINEST VARS'!$R$60*($CZ$80)+'LINEST VARS'!$Q$60*(0.5)+'LINEST VARS'!$P$60*($CX87)+'LINEST VARS'!$O$60*(8^2)+'LINEST VARS'!$N$60*(8^2)+'LINEST VARS'!$M$60*($CZ$80^2)+'LINEST VARS'!$L$60*(0.5^2)+'LINEST VARS'!$K$60*($CX87^2)+'LINEST VARS'!$J$60*(8*8)+'LINEST VARS'!$I$60*(8*$CZ$80)+'LINEST VARS'!$H$60*(8*0.5)+'LINEST VARS'!$G$60*(8*$CX87)+'LINEST VARS'!$F$60*(8*$CZ$80)+'LINEST VARS'!$E$60*(8*0.5)+'LINEST VARS'!$D$60*(8*$CX87)+'LINEST VARS'!$C$60*($CZ$80*0.5)+'LINEST VARS'!$B$60*($CZ$80*$CX87)+'LINEST VARS'!$A$60*(0.5*$CX87)</f>
        <v>30.594000000000012</v>
      </c>
      <c r="DA87" s="46">
        <f>'LINEST VARS'!$U$60+'LINEST VARS'!$T$60*(8)+'LINEST VARS'!$S$60*(8)+'LINEST VARS'!$R$60*($DA$80)+'LINEST VARS'!$Q$60*(0.5)+'LINEST VARS'!$P$60*($CX87)+'LINEST VARS'!$O$60*(8^2)+'LINEST VARS'!$N$60*(8^2)+'LINEST VARS'!$M$60*($DA$80^2)+'LINEST VARS'!$L$60*(0.5^2)+'LINEST VARS'!$K$60*($CX87^2)+'LINEST VARS'!$J$60*(8*8)+'LINEST VARS'!$I$60*(8*$DA$80)+'LINEST VARS'!$H$60*(8*0.5)+'LINEST VARS'!$G$60*(8*$CX87)+'LINEST VARS'!$F$60*(8*$DA$80)+'LINEST VARS'!$E$60*(8*0.5)+'LINEST VARS'!$D$60*(8*$CX87)+'LINEST VARS'!$C$60*($DA$80*0.5)+'LINEST VARS'!$B$60*($DA$80*$CX87)+'LINEST VARS'!$A$60*(0.5*$CX87)</f>
        <v>30.594000000000008</v>
      </c>
      <c r="DB87" s="46">
        <f>'LINEST VARS'!$U$60+'LINEST VARS'!$T$60*(8)+'LINEST VARS'!$S$60*(8)+'LINEST VARS'!$R$60*($DB$80)+'LINEST VARS'!$Q$60*(0.5)+'LINEST VARS'!$P$60*($CX87)+'LINEST VARS'!$O$60*(8^2)+'LINEST VARS'!$N$60*(8^2)+'LINEST VARS'!$M$60*($DB$80^2)+'LINEST VARS'!$L$60*(0.5^2)+'LINEST VARS'!$K$60*($CX87^2)+'LINEST VARS'!$J$60*(8*8)+'LINEST VARS'!$I$60*(8*$DB$80)+'LINEST VARS'!$H$60*(8*0.5)+'LINEST VARS'!$G$60*(8*$CX87)+'LINEST VARS'!$F$60*(8*$DB$80)+'LINEST VARS'!$E$60*(8*0.5)+'LINEST VARS'!$D$60*(8*$CX87)+'LINEST VARS'!$C$60*($DB$80*0.5)+'LINEST VARS'!$B$60*($DB$80*$CX87)+'LINEST VARS'!$A$60*(0.5*$CX87)</f>
        <v>30.594000000000008</v>
      </c>
      <c r="DC87" s="46">
        <f>'LINEST VARS'!$U$60+'LINEST VARS'!$T$60*(8)+'LINEST VARS'!$S$60*(8)+'LINEST VARS'!$R$60*($DC$80)+'LINEST VARS'!$Q$60*(0.5)+'LINEST VARS'!$P$60*($CX87)+'LINEST VARS'!$O$60*(8^2)+'LINEST VARS'!$N$60*(8^2)+'LINEST VARS'!$M$60*($DC$80^2)+'LINEST VARS'!$L$60*(0.5^2)+'LINEST VARS'!$K$60*($CX87^2)+'LINEST VARS'!$J$60*(8*8)+'LINEST VARS'!$I$60*(8*$DC$80)+'LINEST VARS'!$H$60*(8*0.5)+'LINEST VARS'!$G$60*(8*$CX87)+'LINEST VARS'!$F$60*(8*$DC$80)+'LINEST VARS'!$E$60*(8*0.5)+'LINEST VARS'!$D$60*(8*$CX87)+'LINEST VARS'!$C$60*($DC$80*0.5)+'LINEST VARS'!$B$60*($DC$80*$CX87)+'LINEST VARS'!$A$60*(0.5*$CX87)</f>
        <v>30.594000000000012</v>
      </c>
      <c r="DD87" s="46">
        <f>'LINEST VARS'!$U$60+'LINEST VARS'!$T$60*(8)+'LINEST VARS'!$S$60*(8)+'LINEST VARS'!$R$60*($DD$80)+'LINEST VARS'!$Q$60*(0.5)+'LINEST VARS'!$P$60*($CX87)+'LINEST VARS'!$O$60*(8^2)+'LINEST VARS'!$N$60*(8^2)+'LINEST VARS'!$M$60*($DD$80^2)+'LINEST VARS'!$L$60*(0.5^2)+'LINEST VARS'!$K$60*($CX87^2)+'LINEST VARS'!$J$60*(8*8)+'LINEST VARS'!$I$60*(8*$DD$80)+'LINEST VARS'!$H$60*(8*0.5)+'LINEST VARS'!$G$60*(8*$CX87)+'LINEST VARS'!$F$60*(8*$DD$80)+'LINEST VARS'!$E$60*(8*0.5)+'LINEST VARS'!$D$60*(8*$CX87)+'LINEST VARS'!$C$60*($DD$80*0.5)+'LINEST VARS'!$B$60*($DD$80*$CX87)+'LINEST VARS'!$A$60*(0.5*$CX87)</f>
        <v>30.594000000000012</v>
      </c>
      <c r="DE87" s="46">
        <f>'LINEST VARS'!$U$60+'LINEST VARS'!$T$60*(8)+'LINEST VARS'!$S$60*(8)+'LINEST VARS'!$R$60*($DE$80)+'LINEST VARS'!$Q$60*(0.5)+'LINEST VARS'!$P$60*($CX87)+'LINEST VARS'!$O$60*(8^2)+'LINEST VARS'!$N$60*(8^2)+'LINEST VARS'!$M$60*($DE$80^2)+'LINEST VARS'!$L$60*(0.5^2)+'LINEST VARS'!$K$60*($CX87^2)+'LINEST VARS'!$J$60*(8*8)+'LINEST VARS'!$I$60*(8*$DE$80)+'LINEST VARS'!$H$60*(8*0.5)+'LINEST VARS'!$G$60*(8*$CX87)+'LINEST VARS'!$F$60*(8*$DE$80)+'LINEST VARS'!$E$60*(8*0.5)+'LINEST VARS'!$D$60*(8*$CX87)+'LINEST VARS'!$C$60*($DE$80*0.5)+'LINEST VARS'!$B$60*($DE$80*$CX87)+'LINEST VARS'!$A$60*(0.5*$CX87)</f>
        <v>30.594000000000012</v>
      </c>
      <c r="DF87" s="46">
        <f>'LINEST VARS'!$U$60+'LINEST VARS'!$T$60*(8)+'LINEST VARS'!$S$60*(8)+'LINEST VARS'!$R$60*($DF$80)+'LINEST VARS'!$Q$60*(0.5)+'LINEST VARS'!$P$60*($CX87)+'LINEST VARS'!$O$60*(8^2)+'LINEST VARS'!$N$60*(8^2)+'LINEST VARS'!$M$60*($DF$80^2)+'LINEST VARS'!$L$60*(0.5^2)+'LINEST VARS'!$K$60*($CX87^2)+'LINEST VARS'!$J$60*(8*8)+'LINEST VARS'!$I$60*(8*$DF$80)+'LINEST VARS'!$H$60*(8*0.5)+'LINEST VARS'!$G$60*(8*$CX87)+'LINEST VARS'!$F$60*(8*$DF$80)+'LINEST VARS'!$E$60*(8*0.5)+'LINEST VARS'!$D$60*(8*$CX87)+'LINEST VARS'!$C$60*($DF$80*0.5)+'LINEST VARS'!$B$60*($DF$80*$CX87)+'LINEST VARS'!$A$60*(0.5*$CX87)</f>
        <v>30.594000000000012</v>
      </c>
      <c r="DG87" s="46">
        <f>'LINEST VARS'!$U$60+'LINEST VARS'!$T$60*(8)+'LINEST VARS'!$S$60*(8)+'LINEST VARS'!$R$60*($DG$80)+'LINEST VARS'!$Q$60*(0.5)+'LINEST VARS'!$P$60*($CX87)+'LINEST VARS'!$O$60*(8^2)+'LINEST VARS'!$N$60*(8^2)+'LINEST VARS'!$M$60*($DG$80^2)+'LINEST VARS'!$L$60*(0.5^2)+'LINEST VARS'!$K$60*($CX87^2)+'LINEST VARS'!$J$60*(8*8)+'LINEST VARS'!$I$60*(8*$DG$80)+'LINEST VARS'!$H$60*(8*0.5)+'LINEST VARS'!$G$60*(8*$CX87)+'LINEST VARS'!$F$60*(8*$DG$80)+'LINEST VARS'!$E$60*(8*0.5)+'LINEST VARS'!$D$60*(8*$CX87)+'LINEST VARS'!$C$60*($DG$80*0.5)+'LINEST VARS'!$B$60*($DG$80*$CX87)+'LINEST VARS'!$A$60*(0.5*$CX87)</f>
        <v>30.594000000000012</v>
      </c>
      <c r="DH87" s="46">
        <f>'LINEST VARS'!$U$60+'LINEST VARS'!$T$60*(8)+'LINEST VARS'!$S$60*(8)+'LINEST VARS'!$R$60*($DH$80)+'LINEST VARS'!$Q$60*(0.5)+'LINEST VARS'!$P$60*($CX87)+'LINEST VARS'!$O$60*(8^2)+'LINEST VARS'!$N$60*(8^2)+'LINEST VARS'!$M$60*($DH$80^2)+'LINEST VARS'!$L$60*(0.5^2)+'LINEST VARS'!$K$60*($CX87^2)+'LINEST VARS'!$J$60*(8*8)+'LINEST VARS'!$I$60*(8*$DH$80)+'LINEST VARS'!$H$60*(8*0.5)+'LINEST VARS'!$G$60*(8*$CX87)+'LINEST VARS'!$F$60*(8*$DH$80)+'LINEST VARS'!$E$60*(8*0.5)+'LINEST VARS'!$D$60*(8*$CX87)+'LINEST VARS'!$C$60*($DH$80*0.5)+'LINEST VARS'!$B$60*($DH$80*$CX87)+'LINEST VARS'!$A$60*(0.5*$CX87)</f>
        <v>30.594000000000008</v>
      </c>
      <c r="DI87" s="46">
        <f>'LINEST VARS'!$U$60+'LINEST VARS'!$T$60*(8)+'LINEST VARS'!$S$60*(8)+'LINEST VARS'!$R$60*($DI$80)+'LINEST VARS'!$Q$60*(0.5)+'LINEST VARS'!$P$60*($CX87)+'LINEST VARS'!$O$60*(8^2)+'LINEST VARS'!$N$60*(8^2)+'LINEST VARS'!$M$60*($DI$80^2)+'LINEST VARS'!$L$60*(0.5^2)+'LINEST VARS'!$K$60*($CX87^2)+'LINEST VARS'!$J$60*(8*8)+'LINEST VARS'!$I$60*(8*$DI$80)+'LINEST VARS'!$H$60*(8*0.5)+'LINEST VARS'!$G$60*(8*$CX87)+'LINEST VARS'!$F$60*(8*$DI$80)+'LINEST VARS'!$E$60*(8*0.5)+'LINEST VARS'!$D$60*(8*$CX87)+'LINEST VARS'!$C$60*($DI$80*0.5)+'LINEST VARS'!$B$60*($DI$80*$CX87)+'LINEST VARS'!$A$60*(0.5*$CX87)</f>
        <v>30.594000000000012</v>
      </c>
      <c r="DJ87" s="46">
        <f>'LINEST VARS'!$U$60+'LINEST VARS'!$T$60*(8)+'LINEST VARS'!$S$60*(8)+'LINEST VARS'!$R$60*($DJ$80)+'LINEST VARS'!$Q$60*(0.5)+'LINEST VARS'!$P$60*($CX87)+'LINEST VARS'!$O$60*(8^2)+'LINEST VARS'!$N$60*(8^2)+'LINEST VARS'!$M$60*($DJ$80^2)+'LINEST VARS'!$L$60*(0.5^2)+'LINEST VARS'!$K$60*($CX87^2)+'LINEST VARS'!$J$60*(8*8)+'LINEST VARS'!$I$60*(8*$DJ$80)+'LINEST VARS'!$H$60*(8*0.5)+'LINEST VARS'!$G$60*(8*$CX87)+'LINEST VARS'!$F$60*(8*$DJ$80)+'LINEST VARS'!$E$60*(8*0.5)+'LINEST VARS'!$D$60*(8*$CX87)+'LINEST VARS'!$C$60*($DJ$80*0.5)+'LINEST VARS'!$B$60*($DJ$80*$CX87)+'LINEST VARS'!$A$60*(0.5*$CX87)</f>
        <v>30.594000000000012</v>
      </c>
      <c r="DK87" s="46">
        <f>'LINEST VARS'!$U$60+'LINEST VARS'!$T$60*(8)+'LINEST VARS'!$S$60*(8)+'LINEST VARS'!$R$60*($DK$80)+'LINEST VARS'!$Q$60*(0.5)+'LINEST VARS'!$P$60*($CX87)+'LINEST VARS'!$O$60*(8^2)+'LINEST VARS'!$N$60*(8^2)+'LINEST VARS'!$M$60*($DK$80^2)+'LINEST VARS'!$L$60*(0.5^2)+'LINEST VARS'!$K$60*($CX87^2)+'LINEST VARS'!$J$60*(8*8)+'LINEST VARS'!$I$60*(8*$DK$80)+'LINEST VARS'!$H$60*(8*0.5)+'LINEST VARS'!$G$60*(8*$CX87)+'LINEST VARS'!$F$60*(8*$DK$80)+'LINEST VARS'!$E$60*(8*0.5)+'LINEST VARS'!$D$60*(8*$CX87)+'LINEST VARS'!$C$60*($DK$80*0.5)+'LINEST VARS'!$B$60*($DK$80*$CX87)+'LINEST VARS'!$A$60*(0.5*$CX87)</f>
        <v>30.594000000000012</v>
      </c>
      <c r="DL87" s="46">
        <f>'LINEST VARS'!$U$60+'LINEST VARS'!$T$60*(8)+'LINEST VARS'!$S$60*(8)+'LINEST VARS'!$R$60*($DL$80)+'LINEST VARS'!$Q$60*(0.5)+'LINEST VARS'!$P$60*($CX87)+'LINEST VARS'!$O$60*(8^2)+'LINEST VARS'!$N$60*(8^2)+'LINEST VARS'!$M$60*($DL$80^2)+'LINEST VARS'!$L$60*(0.5^2)+'LINEST VARS'!$K$60*($CX87^2)+'LINEST VARS'!$J$60*(8*8)+'LINEST VARS'!$I$60*(8*$DL$80)+'LINEST VARS'!$H$60*(8*0.5)+'LINEST VARS'!$G$60*(8*$CX87)+'LINEST VARS'!$F$60*(8*$DL$80)+'LINEST VARS'!$E$60*(8*0.5)+'LINEST VARS'!$D$60*(8*$CX87)+'LINEST VARS'!$C$60*($DL$80*0.5)+'LINEST VARS'!$B$60*($DL$80*$CX87)+'LINEST VARS'!$A$60*(0.5*$CX87)</f>
        <v>30.594000000000008</v>
      </c>
      <c r="DM87" s="46">
        <f>'LINEST VARS'!$U$60+'LINEST VARS'!$T$60*(8)+'LINEST VARS'!$S$60*(8)+'LINEST VARS'!$R$60*($DM$80)+'LINEST VARS'!$Q$60*(0.5)+'LINEST VARS'!$P$60*($CX87)+'LINEST VARS'!$O$60*(8^2)+'LINEST VARS'!$N$60*(8^2)+'LINEST VARS'!$M$60*($DM$80^2)+'LINEST VARS'!$L$60*(0.5^2)+'LINEST VARS'!$K$60*($CX87^2)+'LINEST VARS'!$J$60*(8*8)+'LINEST VARS'!$I$60*(8*$DM$80)+'LINEST VARS'!$H$60*(8*0.5)+'LINEST VARS'!$G$60*(8*$CX87)+'LINEST VARS'!$F$60*(8*$DM$80)+'LINEST VARS'!$E$60*(8*0.5)+'LINEST VARS'!$D$60*(8*$CX87)+'LINEST VARS'!$C$60*($DM$80*0.5)+'LINEST VARS'!$B$60*($DM$80*$CX87)+'LINEST VARS'!$A$60*(0.5*$CX87)</f>
        <v>30.594000000000015</v>
      </c>
      <c r="DN87" s="46">
        <f>'LINEST VARS'!$U$60+'LINEST VARS'!$T$60*(8)+'LINEST VARS'!$S$60*(8)+'LINEST VARS'!$R$60*($DN$80)+'LINEST VARS'!$Q$60*(0.5)+'LINEST VARS'!$P$60*($CX87)+'LINEST VARS'!$O$60*(8^2)+'LINEST VARS'!$N$60*(8^2)+'LINEST VARS'!$M$60*($DN$80^2)+'LINEST VARS'!$L$60*(0.5^2)+'LINEST VARS'!$K$60*($CX87^2)+'LINEST VARS'!$J$60*(8*8)+'LINEST VARS'!$I$60*(8*$DN$80)+'LINEST VARS'!$H$60*(8*0.5)+'LINEST VARS'!$G$60*(8*$CX87)+'LINEST VARS'!$F$60*(8*$DN$80)+'LINEST VARS'!$E$60*(8*0.5)+'LINEST VARS'!$D$60*(8*$CX87)+'LINEST VARS'!$C$60*($DN$80*0.5)+'LINEST VARS'!$B$60*($DN$80*$CX87)+'LINEST VARS'!$A$60*(0.5*$CX87)</f>
        <v>30.594000000000015</v>
      </c>
      <c r="DO87" s="46">
        <f>'LINEST VARS'!$U$60+'LINEST VARS'!$T$60*(8)+'LINEST VARS'!$S$60*(8)+'LINEST VARS'!$R$60*($DO$80)+'LINEST VARS'!$Q$60*(0.5)+'LINEST VARS'!$P$60*($CX87)+'LINEST VARS'!$O$60*(8^2)+'LINEST VARS'!$N$60*(8^2)+'LINEST VARS'!$M$60*($DO$80^2)+'LINEST VARS'!$L$60*(0.5^2)+'LINEST VARS'!$K$60*($CX87^2)+'LINEST VARS'!$J$60*(8*8)+'LINEST VARS'!$I$60*(8*$DO$80)+'LINEST VARS'!$H$60*(8*0.5)+'LINEST VARS'!$G$60*(8*$CX87)+'LINEST VARS'!$F$60*(8*$DO$80)+'LINEST VARS'!$E$60*(8*0.5)+'LINEST VARS'!$D$60*(8*$CX87)+'LINEST VARS'!$C$60*($DO$80*0.5)+'LINEST VARS'!$B$60*($DO$80*$CX87)+'LINEST VARS'!$A$60*(0.5*$CX87)</f>
        <v>30.594000000000012</v>
      </c>
      <c r="DP87" s="46">
        <f>'LINEST VARS'!$U$60+'LINEST VARS'!$T$60*(8)+'LINEST VARS'!$S$60*(8)+'LINEST VARS'!$R$60*($DP$80)+'LINEST VARS'!$Q$60*(0.5)+'LINEST VARS'!$P$60*($CX87)+'LINEST VARS'!$O$60*(8^2)+'LINEST VARS'!$N$60*(8^2)+'LINEST VARS'!$M$60*($DP$80^2)+'LINEST VARS'!$L$60*(0.5^2)+'LINEST VARS'!$K$60*($CX87^2)+'LINEST VARS'!$J$60*(8*8)+'LINEST VARS'!$I$60*(8*$DP$80)+'LINEST VARS'!$H$60*(8*0.5)+'LINEST VARS'!$G$60*(8*$CX87)+'LINEST VARS'!$F$60*(8*$DP$80)+'LINEST VARS'!$E$60*(8*0.5)+'LINEST VARS'!$D$60*(8*$CX87)+'LINEST VARS'!$C$60*($DP$80*0.5)+'LINEST VARS'!$B$60*($DP$80*$CX87)+'LINEST VARS'!$A$60*(0.5*$CX87)</f>
        <v>30.594000000000012</v>
      </c>
      <c r="DQ87" s="46">
        <f>'LINEST VARS'!$U$60+'LINEST VARS'!$T$60*(8)+'LINEST VARS'!$S$60*(8)+'LINEST VARS'!$R$60*($DQ$80)+'LINEST VARS'!$Q$60*(0.5)+'LINEST VARS'!$P$60*($CX87)+'LINEST VARS'!$O$60*(8^2)+'LINEST VARS'!$N$60*(8^2)+'LINEST VARS'!$M$60*($DQ$80^2)+'LINEST VARS'!$L$60*(0.5^2)+'LINEST VARS'!$K$60*($CX87^2)+'LINEST VARS'!$J$60*(8*8)+'LINEST VARS'!$I$60*(8*$DQ$80)+'LINEST VARS'!$H$60*(8*0.5)+'LINEST VARS'!$G$60*(8*$CX87)+'LINEST VARS'!$F$60*(8*$DQ$80)+'LINEST VARS'!$E$60*(8*0.5)+'LINEST VARS'!$D$60*(8*$CX87)+'LINEST VARS'!$C$60*($DQ$80*0.5)+'LINEST VARS'!$B$60*($DQ$80*$CX87)+'LINEST VARS'!$A$60*(0.5*$CX87)</f>
        <v>30.594000000000012</v>
      </c>
      <c r="DR87" s="46">
        <f>'LINEST VARS'!$U$60+'LINEST VARS'!$T$60*(8)+'LINEST VARS'!$S$60*(8)+'LINEST VARS'!$R$60*($DR$80)+'LINEST VARS'!$Q$60*(0.5)+'LINEST VARS'!$P$60*($CX87)+'LINEST VARS'!$O$60*(8^2)+'LINEST VARS'!$N$60*(8^2)+'LINEST VARS'!$M$60*($DR$80^2)+'LINEST VARS'!$L$60*(0.5^2)+'LINEST VARS'!$K$60*($CX87^2)+'LINEST VARS'!$J$60*(8*8)+'LINEST VARS'!$I$60*(8*$DR$80)+'LINEST VARS'!$H$60*(8*0.5)+'LINEST VARS'!$G$60*(8*$CX87)+'LINEST VARS'!$F$60*(8*$DR$80)+'LINEST VARS'!$E$60*(8*0.5)+'LINEST VARS'!$D$60*(8*$CX87)+'LINEST VARS'!$C$60*($DR$80*0.5)+'LINEST VARS'!$B$60*($DR$80*$CX87)+'LINEST VARS'!$A$60*(0.5*$CX87)</f>
        <v>30.594000000000012</v>
      </c>
      <c r="DS87" s="47">
        <f>'LINEST VARS'!$U$60+'LINEST VARS'!$T$60*(8)+'LINEST VARS'!$S$60*(8)+'LINEST VARS'!$R$60*($DS$80)+'LINEST VARS'!$Q$60*(0.5)+'LINEST VARS'!$P$60*($CX87)+'LINEST VARS'!$O$60*(8^2)+'LINEST VARS'!$N$60*(8^2)+'LINEST VARS'!$M$60*($DS$80^2)+'LINEST VARS'!$L$60*(0.5^2)+'LINEST VARS'!$K$60*($CX87^2)+'LINEST VARS'!$J$60*(8*8)+'LINEST VARS'!$I$60*(8*$DS$80)+'LINEST VARS'!$H$60*(8*0.5)+'LINEST VARS'!$G$60*(8*$CX87)+'LINEST VARS'!$F$60*(8*$DS$80)+'LINEST VARS'!$E$60*(8*0.5)+'LINEST VARS'!$D$60*(8*$CX87)+'LINEST VARS'!$C$60*($DS$80*0.5)+'LINEST VARS'!$B$60*($DS$80*$CX87)+'LINEST VARS'!$A$60*(0.5*$CX87)</f>
        <v>30.594000000000005</v>
      </c>
      <c r="DV87" s="45">
        <v>7.7969999999999997</v>
      </c>
      <c r="DW87" s="55">
        <f>'LINEST VARS'!$U$62+'LINEST VARS'!$T$62*(8)+'LINEST VARS'!$S$62*(8)+'LINEST VARS'!$R$62*($DW$80)+'LINEST VARS'!$Q$62*(0.5)+'LINEST VARS'!$P$62*($DV87)+'LINEST VARS'!$O$62*(8^2)+'LINEST VARS'!$N$62*(8^2)+'LINEST VARS'!$M$62*($DW$80^2)+'LINEST VARS'!$L$62*(0.5^2)+'LINEST VARS'!$K$62*($DV87^2)+'LINEST VARS'!$J$62*(8*8)+'LINEST VARS'!$I$62*(8*$DW$80)+'LINEST VARS'!$H$62*(8*0.5)+'LINEST VARS'!$G$62*(8*$DV87)+'LINEST VARS'!$F$62*(8*$DW$80)+'LINEST VARS'!$E$62*(8*0.5)+'LINEST VARS'!$D$62*(8*$DV87)+'LINEST VARS'!$C$62*($DW$80*0.5)+'LINEST VARS'!$B$62*($DW$80*$DV87)+'LINEST VARS'!$A$62*(0.5*$DV87)</f>
        <v>349.49999999999989</v>
      </c>
      <c r="DX87" s="55">
        <f>'LINEST VARS'!$U$62+'LINEST VARS'!$T$62*(8)+'LINEST VARS'!$S$62*(8)+'LINEST VARS'!$R$62*($DX$80)+'LINEST VARS'!$Q$62*(0.5)+'LINEST VARS'!$P$62*($DV87)+'LINEST VARS'!$O$62*(8^2)+'LINEST VARS'!$N$62*(8^2)+'LINEST VARS'!$M$62*($DX$80^2)+'LINEST VARS'!$L$62*(0.5^2)+'LINEST VARS'!$K$62*($DV87^2)+'LINEST VARS'!$J$62*(8*8)+'LINEST VARS'!$I$62*(8*$DX$80)+'LINEST VARS'!$H$62*(8*0.5)+'LINEST VARS'!$G$62*(8*$DV87)+'LINEST VARS'!$F$62*(8*$DX$80)+'LINEST VARS'!$E$62*(8*0.5)+'LINEST VARS'!$D$62*(8*$DV87)+'LINEST VARS'!$C$62*($DX$80*0.5)+'LINEST VARS'!$B$62*($DX$80*$DV87)+'LINEST VARS'!$A$62*(0.5*$DV87)</f>
        <v>348.69999999999993</v>
      </c>
      <c r="DY87" s="55">
        <f>'LINEST VARS'!$U$62+'LINEST VARS'!$T$62*(8)+'LINEST VARS'!$S$62*(8)+'LINEST VARS'!$R$62*($DY$80)+'LINEST VARS'!$Q$62*(0.5)+'LINEST VARS'!$P$62*($DV87)+'LINEST VARS'!$O$62*(8^2)+'LINEST VARS'!$N$62*(8^2)+'LINEST VARS'!$M$62*($DY$80^2)+'LINEST VARS'!$L$62*(0.5^2)+'LINEST VARS'!$K$62*($DV87^2)+'LINEST VARS'!$J$62*(8*8)+'LINEST VARS'!$I$62*(8*$DY$80)+'LINEST VARS'!$H$62*(8*0.5)+'LINEST VARS'!$G$62*(8*$DV87)+'LINEST VARS'!$F$62*(8*$DY$80)+'LINEST VARS'!$E$62*(8*0.5)+'LINEST VARS'!$D$62*(8*$DV87)+'LINEST VARS'!$C$62*($DY$80*0.5)+'LINEST VARS'!$B$62*($DY$80*$DV87)+'LINEST VARS'!$A$62*(0.5*$DV87)</f>
        <v>346.29999999999984</v>
      </c>
      <c r="DZ87" s="55">
        <f>'LINEST VARS'!$U$62+'LINEST VARS'!$T$62*(8)+'LINEST VARS'!$S$62*(8)+'LINEST VARS'!$R$62*($DZ$80)+'LINEST VARS'!$Q$62*(0.5)+'LINEST VARS'!$P$62*($DV87)+'LINEST VARS'!$O$62*(8^2)+'LINEST VARS'!$N$62*(8^2)+'LINEST VARS'!$M$62*($DZ$80^2)+'LINEST VARS'!$L$62*(0.5^2)+'LINEST VARS'!$K$62*($DV87^2)+'LINEST VARS'!$J$62*(8*8)+'LINEST VARS'!$I$62*(8*$DZ$80)+'LINEST VARS'!$H$62*(8*0.5)+'LINEST VARS'!$G$62*(8*$DV87)+'LINEST VARS'!$F$62*(8*$DZ$80)+'LINEST VARS'!$E$62*(8*0.5)+'LINEST VARS'!$D$62*(8*$DV87)+'LINEST VARS'!$C$62*($DZ$80*0.5)+'LINEST VARS'!$B$62*($DZ$80*$DV87)+'LINEST VARS'!$A$62*(0.5*$DV87)</f>
        <v>342.2999999999999</v>
      </c>
      <c r="EA87" s="55">
        <f>'LINEST VARS'!$U$62+'LINEST VARS'!$T$62*(8)+'LINEST VARS'!$S$62*(8)+'LINEST VARS'!$R$62*($EA$80)+'LINEST VARS'!$Q$62*(0.5)+'LINEST VARS'!$P$62*($DV87)+'LINEST VARS'!$O$62*(8^2)+'LINEST VARS'!$N$62*(8^2)+'LINEST VARS'!$M$62*($EA$80^2)+'LINEST VARS'!$L$62*(0.5^2)+'LINEST VARS'!$K$62*($DV87^2)+'LINEST VARS'!$J$62*(8*8)+'LINEST VARS'!$I$62*(8*$EA$80)+'LINEST VARS'!$H$62*(8*0.5)+'LINEST VARS'!$G$62*(8*$DV87)+'LINEST VARS'!$F$62*(8*$EA$80)+'LINEST VARS'!$E$62*(8*0.5)+'LINEST VARS'!$D$62*(8*$DV87)+'LINEST VARS'!$C$62*($EA$80*0.5)+'LINEST VARS'!$B$62*($EA$80*$DV87)+'LINEST VARS'!$A$62*(0.5*$DV87)</f>
        <v>336.69999999999993</v>
      </c>
      <c r="EB87" s="55">
        <f>'LINEST VARS'!$U$62+'LINEST VARS'!$T$62*(8)+'LINEST VARS'!$S$62*(8)+'LINEST VARS'!$R$62*($EB$80)+'LINEST VARS'!$Q$62*(0.5)+'LINEST VARS'!$P$62*($DV87)+'LINEST VARS'!$O$62*(8^2)+'LINEST VARS'!$N$62*(8^2)+'LINEST VARS'!$M$62*($EB$80^2)+'LINEST VARS'!$L$62*(0.5^2)+'LINEST VARS'!$K$62*($DV87^2)+'LINEST VARS'!$J$62*(8*8)+'LINEST VARS'!$I$62*(8*$EB$80)+'LINEST VARS'!$H$62*(8*0.5)+'LINEST VARS'!$G$62*(8*$DV87)+'LINEST VARS'!$F$62*(8*$EB$80)+'LINEST VARS'!$E$62*(8*0.5)+'LINEST VARS'!$D$62*(8*$DV87)+'LINEST VARS'!$C$62*($EB$80*0.5)+'LINEST VARS'!$B$62*($EB$80*$DV87)+'LINEST VARS'!$A$62*(0.5*$DV87)</f>
        <v>329.5</v>
      </c>
      <c r="EC87" s="55">
        <f>'LINEST VARS'!$U$62+'LINEST VARS'!$T$62*(8)+'LINEST VARS'!$S$62*(8)+'LINEST VARS'!$R$62*($EC$80)+'LINEST VARS'!$Q$62*(0.5)+'LINEST VARS'!$P$62*($DV87)+'LINEST VARS'!$O$62*(8^2)+'LINEST VARS'!$N$62*(8^2)+'LINEST VARS'!$M$62*($EC$80^2)+'LINEST VARS'!$L$62*(0.5^2)+'LINEST VARS'!$K$62*($DV87^2)+'LINEST VARS'!$J$62*(8*8)+'LINEST VARS'!$I$62*(8*$EC$80)+'LINEST VARS'!$H$62*(8*0.5)+'LINEST VARS'!$G$62*(8*$DV87)+'LINEST VARS'!$F$62*(8*$EC$80)+'LINEST VARS'!$E$62*(8*0.5)+'LINEST VARS'!$D$62*(8*$DV87)+'LINEST VARS'!$C$62*($EC$80*0.5)+'LINEST VARS'!$B$62*($EC$80*$DV87)+'LINEST VARS'!$A$62*(0.5*$DV87)</f>
        <v>320.69999999999993</v>
      </c>
      <c r="ED87" s="55">
        <f>'LINEST VARS'!$U$62+'LINEST VARS'!$T$62*(8)+'LINEST VARS'!$S$62*(8)+'LINEST VARS'!$R$62*($ED$80)+'LINEST VARS'!$Q$62*(0.5)+'LINEST VARS'!$P$62*($DV87)+'LINEST VARS'!$O$62*(8^2)+'LINEST VARS'!$N$62*(8^2)+'LINEST VARS'!$M$62*($ED$80^2)+'LINEST VARS'!$L$62*(0.5^2)+'LINEST VARS'!$K$62*($DV87^2)+'LINEST VARS'!$J$62*(8*8)+'LINEST VARS'!$I$62*(8*$ED$80)+'LINEST VARS'!$H$62*(8*0.5)+'LINEST VARS'!$G$62*(8*$DV87)+'LINEST VARS'!$F$62*(8*$ED$80)+'LINEST VARS'!$E$62*(8*0.5)+'LINEST VARS'!$D$62*(8*$DV87)+'LINEST VARS'!$C$62*($ED$80*0.5)+'LINEST VARS'!$B$62*($ED$80*$DV87)+'LINEST VARS'!$A$62*(0.5*$DV87)</f>
        <v>310.29999999999995</v>
      </c>
      <c r="EE87" s="55">
        <f>'LINEST VARS'!$U$62+'LINEST VARS'!$T$62*(8)+'LINEST VARS'!$S$62*(8)+'LINEST VARS'!$R$62*($EE$80)+'LINEST VARS'!$Q$62*(0.5)+'LINEST VARS'!$P$62*($DV87)+'LINEST VARS'!$O$62*(8^2)+'LINEST VARS'!$N$62*(8^2)+'LINEST VARS'!$M$62*($EE$80^2)+'LINEST VARS'!$L$62*(0.5^2)+'LINEST VARS'!$K$62*($DV87^2)+'LINEST VARS'!$J$62*(8*8)+'LINEST VARS'!$I$62*(8*$EE$80)+'LINEST VARS'!$H$62*(8*0.5)+'LINEST VARS'!$G$62*(8*$DV87)+'LINEST VARS'!$F$62*(8*$EE$80)+'LINEST VARS'!$E$62*(8*0.5)+'LINEST VARS'!$D$62*(8*$DV87)+'LINEST VARS'!$C$62*($EE$80*0.5)+'LINEST VARS'!$B$62*($EE$80*$DV87)+'LINEST VARS'!$A$62*(0.5*$DV87)</f>
        <v>298.3</v>
      </c>
      <c r="EF87" s="55">
        <f>'LINEST VARS'!$U$62+'LINEST VARS'!$T$62*(8)+'LINEST VARS'!$S$62*(8)+'LINEST VARS'!$R$62*($EF$80)+'LINEST VARS'!$Q$62*(0.5)+'LINEST VARS'!$P$62*($DV87)+'LINEST VARS'!$O$62*(8^2)+'LINEST VARS'!$N$62*(8^2)+'LINEST VARS'!$M$62*($EF$80^2)+'LINEST VARS'!$L$62*(0.5^2)+'LINEST VARS'!$K$62*($DV87^2)+'LINEST VARS'!$J$62*(8*8)+'LINEST VARS'!$I$62*(8*$EF$80)+'LINEST VARS'!$H$62*(8*0.5)+'LINEST VARS'!$G$62*(8*$DV87)+'LINEST VARS'!$F$62*(8*$EF$80)+'LINEST VARS'!$E$62*(8*0.5)+'LINEST VARS'!$D$62*(8*$DV87)+'LINEST VARS'!$C$62*($EF$80*0.5)+'LINEST VARS'!$B$62*($EF$80*$DV87)+'LINEST VARS'!$A$62*(0.5*$DV87)</f>
        <v>284.7</v>
      </c>
      <c r="EG87" s="55">
        <f>'LINEST VARS'!$U$62+'LINEST VARS'!$T$62*(8)+'LINEST VARS'!$S$62*(8)+'LINEST VARS'!$R$62*($EG$80)+'LINEST VARS'!$Q$62*(0.5)+'LINEST VARS'!$P$62*($DV87)+'LINEST VARS'!$O$62*(8^2)+'LINEST VARS'!$N$62*(8^2)+'LINEST VARS'!$M$62*($EG$80^2)+'LINEST VARS'!$L$62*(0.5^2)+'LINEST VARS'!$K$62*($DV87^2)+'LINEST VARS'!$J$62*(8*8)+'LINEST VARS'!$I$62*(8*$EG$80)+'LINEST VARS'!$H$62*(8*0.5)+'LINEST VARS'!$G$62*(8*$DV87)+'LINEST VARS'!$F$62*(8*$EG$80)+'LINEST VARS'!$E$62*(8*0.5)+'LINEST VARS'!$D$62*(8*$DV87)+'LINEST VARS'!$C$62*($EG$80*0.5)+'LINEST VARS'!$B$62*($EG$80*$DV87)+'LINEST VARS'!$A$62*(0.5*$DV87)</f>
        <v>269.5</v>
      </c>
      <c r="EH87" s="55">
        <f>'LINEST VARS'!$U$62+'LINEST VARS'!$T$62*(8)+'LINEST VARS'!$S$62*(8)+'LINEST VARS'!$R$62*($EH$80)+'LINEST VARS'!$Q$62*(0.5)+'LINEST VARS'!$P$62*($DV87)+'LINEST VARS'!$O$62*(8^2)+'LINEST VARS'!$N$62*(8^2)+'LINEST VARS'!$M$62*($EH$80^2)+'LINEST VARS'!$L$62*(0.5^2)+'LINEST VARS'!$K$62*($DV87^2)+'LINEST VARS'!$J$62*(8*8)+'LINEST VARS'!$I$62*(8*$EH$80)+'LINEST VARS'!$H$62*(8*0.5)+'LINEST VARS'!$G$62*(8*$DV87)+'LINEST VARS'!$F$62*(8*$EH$80)+'LINEST VARS'!$E$62*(8*0.5)+'LINEST VARS'!$D$62*(8*$DV87)+'LINEST VARS'!$C$62*($EH$80*0.5)+'LINEST VARS'!$B$62*($EH$80*$DV87)+'LINEST VARS'!$A$62*(0.5*$DV87)</f>
        <v>252.70000000000005</v>
      </c>
      <c r="EI87" s="55">
        <f>'LINEST VARS'!$U$62+'LINEST VARS'!$T$62*(8)+'LINEST VARS'!$S$62*(8)+'LINEST VARS'!$R$62*($EI$80)+'LINEST VARS'!$Q$62*(0.5)+'LINEST VARS'!$P$62*($DV87)+'LINEST VARS'!$O$62*(8^2)+'LINEST VARS'!$N$62*(8^2)+'LINEST VARS'!$M$62*($EI$80^2)+'LINEST VARS'!$L$62*(0.5^2)+'LINEST VARS'!$K$62*($DV87^2)+'LINEST VARS'!$J$62*(8*8)+'LINEST VARS'!$I$62*(8*$EI$80)+'LINEST VARS'!$H$62*(8*0.5)+'LINEST VARS'!$G$62*(8*$DV87)+'LINEST VARS'!$F$62*(8*$EI$80)+'LINEST VARS'!$E$62*(8*0.5)+'LINEST VARS'!$D$62*(8*$DV87)+'LINEST VARS'!$C$62*($EI$80*0.5)+'LINEST VARS'!$B$62*($EI$80*$DV87)+'LINEST VARS'!$A$62*(0.5*$DV87)</f>
        <v>234.3000000000001</v>
      </c>
      <c r="EJ87" s="55">
        <f>'LINEST VARS'!$U$62+'LINEST VARS'!$T$62*(8)+'LINEST VARS'!$S$62*(8)+'LINEST VARS'!$R$62*($EJ$80)+'LINEST VARS'!$Q$62*(0.5)+'LINEST VARS'!$P$62*($DV87)+'LINEST VARS'!$O$62*(8^2)+'LINEST VARS'!$N$62*(8^2)+'LINEST VARS'!$M$62*($EJ$80^2)+'LINEST VARS'!$L$62*(0.5^2)+'LINEST VARS'!$K$62*($DV87^2)+'LINEST VARS'!$J$62*(8*8)+'LINEST VARS'!$I$62*(8*$EJ$80)+'LINEST VARS'!$H$62*(8*0.5)+'LINEST VARS'!$G$62*(8*$DV87)+'LINEST VARS'!$F$62*(8*$EJ$80)+'LINEST VARS'!$E$62*(8*0.5)+'LINEST VARS'!$D$62*(8*$DV87)+'LINEST VARS'!$C$62*($EJ$80*0.5)+'LINEST VARS'!$B$62*($EJ$80*$DV87)+'LINEST VARS'!$A$62*(0.5*$DV87)</f>
        <v>214.30000000000004</v>
      </c>
      <c r="EK87" s="55">
        <f>'LINEST VARS'!$U$62+'LINEST VARS'!$T$62*(8)+'LINEST VARS'!$S$62*(8)+'LINEST VARS'!$R$62*($EK$80)+'LINEST VARS'!$Q$62*(0.5)+'LINEST VARS'!$P$62*($DV87)+'LINEST VARS'!$O$62*(8^2)+'LINEST VARS'!$N$62*(8^2)+'LINEST VARS'!$M$62*($EK$80^2)+'LINEST VARS'!$L$62*(0.5^2)+'LINEST VARS'!$K$62*($DV87^2)+'LINEST VARS'!$J$62*(8*8)+'LINEST VARS'!$I$62*(8*$EK$80)+'LINEST VARS'!$H$62*(8*0.5)+'LINEST VARS'!$G$62*(8*$DV87)+'LINEST VARS'!$F$62*(8*$EK$80)+'LINEST VARS'!$E$62*(8*0.5)+'LINEST VARS'!$D$62*(8*$DV87)+'LINEST VARS'!$C$62*($EK$80*0.5)+'LINEST VARS'!$B$62*($EK$80*$DV87)+'LINEST VARS'!$A$62*(0.5*$DV87)</f>
        <v>192.70000000000013</v>
      </c>
      <c r="EL87" s="55">
        <f>'LINEST VARS'!$U$62+'LINEST VARS'!$T$62*(8)+'LINEST VARS'!$S$62*(8)+'LINEST VARS'!$R$62*($EL$80)+'LINEST VARS'!$Q$62*(0.5)+'LINEST VARS'!$P$62*($DV87)+'LINEST VARS'!$O$62*(8^2)+'LINEST VARS'!$N$62*(8^2)+'LINEST VARS'!$M$62*($EL$80^2)+'LINEST VARS'!$L$62*(0.5^2)+'LINEST VARS'!$K$62*($DV87^2)+'LINEST VARS'!$J$62*(8*8)+'LINEST VARS'!$I$62*(8*$EL$80)+'LINEST VARS'!$H$62*(8*0.5)+'LINEST VARS'!$G$62*(8*$DV87)+'LINEST VARS'!$F$62*(8*$EL$80)+'LINEST VARS'!$E$62*(8*0.5)+'LINEST VARS'!$D$62*(8*$DV87)+'LINEST VARS'!$C$62*($EL$80*0.5)+'LINEST VARS'!$B$62*($EL$80*$DV87)+'LINEST VARS'!$A$62*(0.5*$DV87)</f>
        <v>169.50000000000011</v>
      </c>
      <c r="EM87" s="55">
        <f>'LINEST VARS'!$U$62+'LINEST VARS'!$T$62*(8)+'LINEST VARS'!$S$62*(8)+'LINEST VARS'!$R$62*($EM$80)+'LINEST VARS'!$Q$62*(0.5)+'LINEST VARS'!$P$62*($DV87)+'LINEST VARS'!$O$62*(8^2)+'LINEST VARS'!$N$62*(8^2)+'LINEST VARS'!$M$62*($EM$80^2)+'LINEST VARS'!$L$62*(0.5^2)+'LINEST VARS'!$K$62*($DV87^2)+'LINEST VARS'!$J$62*(8*8)+'LINEST VARS'!$I$62*(8*$EM$80)+'LINEST VARS'!$H$62*(8*0.5)+'LINEST VARS'!$G$62*(8*$DV87)+'LINEST VARS'!$F$62*(8*$EM$80)+'LINEST VARS'!$E$62*(8*0.5)+'LINEST VARS'!$D$62*(8*$DV87)+'LINEST VARS'!$C$62*($EM$80*0.5)+'LINEST VARS'!$B$62*($EM$80*$DV87)+'LINEST VARS'!$A$62*(0.5*$DV87)</f>
        <v>144.7000000000001</v>
      </c>
      <c r="EN87" s="55">
        <f>'LINEST VARS'!$U$62+'LINEST VARS'!$T$62*(8)+'LINEST VARS'!$S$62*(8)+'LINEST VARS'!$R$62*($EN$80)+'LINEST VARS'!$Q$62*(0.5)+'LINEST VARS'!$P$62*($DV87)+'LINEST VARS'!$O$62*(8^2)+'LINEST VARS'!$N$62*(8^2)+'LINEST VARS'!$M$62*($EN$80^2)+'LINEST VARS'!$L$62*(0.5^2)+'LINEST VARS'!$K$62*($DV87^2)+'LINEST VARS'!$J$62*(8*8)+'LINEST VARS'!$I$62*(8*$EN$80)+'LINEST VARS'!$H$62*(8*0.5)+'LINEST VARS'!$G$62*(8*$DV87)+'LINEST VARS'!$F$62*(8*$EN$80)+'LINEST VARS'!$E$62*(8*0.5)+'LINEST VARS'!$D$62*(8*$DV87)+'LINEST VARS'!$C$62*($EN$80*0.5)+'LINEST VARS'!$B$62*($EN$80*$DV87)+'LINEST VARS'!$A$62*(0.5*$DV87)</f>
        <v>118.30000000000011</v>
      </c>
      <c r="EO87" s="55">
        <f>'LINEST VARS'!$U$62+'LINEST VARS'!$T$62*(8)+'LINEST VARS'!$S$62*(8)+'LINEST VARS'!$R$62*($EO$80)+'LINEST VARS'!$Q$62*(0.5)+'LINEST VARS'!$P$62*($DV87)+'LINEST VARS'!$O$62*(8^2)+'LINEST VARS'!$N$62*(8^2)+'LINEST VARS'!$M$62*($EO$80^2)+'LINEST VARS'!$L$62*(0.5^2)+'LINEST VARS'!$K$62*($DV87^2)+'LINEST VARS'!$J$62*(8*8)+'LINEST VARS'!$I$62*(8*$EO$80)+'LINEST VARS'!$H$62*(8*0.5)+'LINEST VARS'!$G$62*(8*$DV87)+'LINEST VARS'!$F$62*(8*$EO$80)+'LINEST VARS'!$E$62*(8*0.5)+'LINEST VARS'!$D$62*(8*$DV87)+'LINEST VARS'!$C$62*($EO$80*0.5)+'LINEST VARS'!$B$62*($EO$80*$DV87)+'LINEST VARS'!$A$62*(0.5*$DV87)</f>
        <v>90.300000000000111</v>
      </c>
      <c r="EP87" s="55">
        <f>'LINEST VARS'!$U$62+'LINEST VARS'!$T$62*(8)+'LINEST VARS'!$S$62*(8)+'LINEST VARS'!$R$62*($EP$80)+'LINEST VARS'!$Q$62*(0.5)+'LINEST VARS'!$P$62*($DV87)+'LINEST VARS'!$O$62*(8^2)+'LINEST VARS'!$N$62*(8^2)+'LINEST VARS'!$M$62*($EP$80^2)+'LINEST VARS'!$L$62*(0.5^2)+'LINEST VARS'!$K$62*($DV87^2)+'LINEST VARS'!$J$62*(8*8)+'LINEST VARS'!$I$62*(8*$EP$80)+'LINEST VARS'!$H$62*(8*0.5)+'LINEST VARS'!$G$62*(8*$DV87)+'LINEST VARS'!$F$62*(8*$EP$80)+'LINEST VARS'!$E$62*(8*0.5)+'LINEST VARS'!$D$62*(8*$DV87)+'LINEST VARS'!$C$62*($EP$80*0.5)+'LINEST VARS'!$B$62*($EP$80*$DV87)+'LINEST VARS'!$A$62*(0.5*$DV87)</f>
        <v>60.700000000000152</v>
      </c>
      <c r="EQ87" s="56">
        <f>'LINEST VARS'!$U$62+'LINEST VARS'!$T$62*(8)+'LINEST VARS'!$S$62*(8)+'LINEST VARS'!$R$62*($EQ$80)+'LINEST VARS'!$Q$62*(0.5)+'LINEST VARS'!$P$62*($DV87)+'LINEST VARS'!$O$62*(8^2)+'LINEST VARS'!$N$62*(8^2)+'LINEST VARS'!$M$62*($EQ$80^2)+'LINEST VARS'!$L$62*(0.5^2)+'LINEST VARS'!$K$62*($DV87^2)+'LINEST VARS'!$J$62*(8*8)+'LINEST VARS'!$I$62*(8*$EQ$80)+'LINEST VARS'!$H$62*(8*0.5)+'LINEST VARS'!$G$62*(8*$DV87)+'LINEST VARS'!$F$62*(8*$EQ$80)+'LINEST VARS'!$E$62*(8*0.5)+'LINEST VARS'!$D$62*(8*$DV87)+'LINEST VARS'!$C$62*($EQ$80*0.5)+'LINEST VARS'!$B$62*($EQ$80*$DV87)+'LINEST VARS'!$A$62*(0.5*$DV87)</f>
        <v>29.500000000000203</v>
      </c>
    </row>
    <row r="88" spans="2:147" ht="15" customHeight="1" x14ac:dyDescent="0.25">
      <c r="B88" s="45">
        <v>7.82</v>
      </c>
      <c r="C88" s="46">
        <f>'LINEST VARS'!$U$60+'LINEST VARS'!$T$60*($C$80)+'LINEST VARS'!$S$60*($B88)+'LINEST VARS'!$R$60*(4)+'LINEST VARS'!$Q$60*(0.5)+'LINEST VARS'!$P$60*(12.73)+'LINEST VARS'!$O$60*($C$80^2)+'LINEST VARS'!$N$60*($B88^2)+'LINEST VARS'!$M$60*(4^2)+'LINEST VARS'!$L$60*(0.5^2)+'LINEST VARS'!$K$60*(12.73^2)+'LINEST VARS'!$J$60*($C$80*$B88)+'LINEST VARS'!$I$60*($C$80*4)+'LINEST VARS'!$H$60*($C$80*0.5)+'LINEST VARS'!$G$60*($C$80*12.73)+'LINEST VARS'!$F$60*($B88*4)+'LINEST VARS'!$E$60*($B88*0.5)+'LINEST VARS'!$D$60*($B88*12.73)+'LINEST VARS'!$C$60*(4*0.5)+'LINEST VARS'!$B$60*(4*12.73)+'LINEST VARS'!$A$60*(0.5*12.73)</f>
        <v>40.460000000000015</v>
      </c>
      <c r="D88" s="46">
        <f>'LINEST VARS'!$U$60+'LINEST VARS'!$T$60*($D$80)+'LINEST VARS'!$S$60*($B88)+'LINEST VARS'!$R$60*(4)+'LINEST VARS'!$Q$60*(0.5)+'LINEST VARS'!$P$60*(12.73)+'LINEST VARS'!$O$60*($D$80^2)+'LINEST VARS'!$N$60*($B88^2)+'LINEST VARS'!$M$60*(4^2)+'LINEST VARS'!$L$60*(0.5^2)+'LINEST VARS'!$K$60*(12.73^2)+'LINEST VARS'!$J$60*($D$80*$B88)+'LINEST VARS'!$I$60*($D$80*4)+'LINEST VARS'!$H$60*($D$80*0.5)+'LINEST VARS'!$G$60*($D$80*12.73)+'LINEST VARS'!$F$60*($B88*4)+'LINEST VARS'!$E$60*($B88*0.5)+'LINEST VARS'!$D$60*($B88*12.73)+'LINEST VARS'!$C$60*(4*0.5)+'LINEST VARS'!$B$60*(4*12.73)+'LINEST VARS'!$A$60*(0.5*12.73)</f>
        <v>40.460000000000015</v>
      </c>
      <c r="E88" s="46">
        <f>'LINEST VARS'!$U$60+'LINEST VARS'!$T$60*($E$80)+'LINEST VARS'!$S$60*($B88)+'LINEST VARS'!$R$60*(4)+'LINEST VARS'!$Q$60*(0.5)+'LINEST VARS'!$P$60*(12.73)+'LINEST VARS'!$O$60*($E$80^2)+'LINEST VARS'!$N$60*($B88^2)+'LINEST VARS'!$M$60*(4^2)+'LINEST VARS'!$L$60*(0.5^2)+'LINEST VARS'!$K$60*(12.73^2)+'LINEST VARS'!$J$60*($E$80*$B88)+'LINEST VARS'!$I$60*($E$80*4)+'LINEST VARS'!$H$60*($E$80*0.5)+'LINEST VARS'!$G$60*($E$80*12.73)+'LINEST VARS'!$F$60*($B88*4)+'LINEST VARS'!$E$60*($B88*0.5)+'LINEST VARS'!$D$60*($B88*12.73)+'LINEST VARS'!$C$60*(4*0.5)+'LINEST VARS'!$B$60*(4*12.73)+'LINEST VARS'!$A$60*(0.5*12.73)</f>
        <v>40.460000000000015</v>
      </c>
      <c r="F88" s="46">
        <f>'LINEST VARS'!$U$60+'LINEST VARS'!$T$60*($F$80)+'LINEST VARS'!$S$60*($B88)+'LINEST VARS'!$R$60*(4)+'LINEST VARS'!$Q$60*(0.5)+'LINEST VARS'!$P$60*(12.73)+'LINEST VARS'!$O$60*($F$80^2)+'LINEST VARS'!$N$60*($B88^2)+'LINEST VARS'!$M$60*(4^2)+'LINEST VARS'!$L$60*(0.5^2)+'LINEST VARS'!$K$60*(12.73^2)+'LINEST VARS'!$J$60*($F$80*$B88)+'LINEST VARS'!$I$60*($F$80*4)+'LINEST VARS'!$H$60*($F$80*0.5)+'LINEST VARS'!$G$60*($F$80*12.73)+'LINEST VARS'!$F$60*($B88*4)+'LINEST VARS'!$E$60*($B88*0.5)+'LINEST VARS'!$D$60*($B88*12.73)+'LINEST VARS'!$C$60*(4*0.5)+'LINEST VARS'!$B$60*(4*12.73)+'LINEST VARS'!$A$60*(0.5*12.73)</f>
        <v>40.460000000000015</v>
      </c>
      <c r="G88" s="46">
        <f>'LINEST VARS'!$U$60+'LINEST VARS'!$T$60*($G$80)+'LINEST VARS'!$S$60*($B88)+'LINEST VARS'!$R$60*(4)+'LINEST VARS'!$Q$60*(0.5)+'LINEST VARS'!$P$60*(12.73)+'LINEST VARS'!$O$60*($G$80^2)+'LINEST VARS'!$N$60*($B88^2)+'LINEST VARS'!$M$60*(4^2)+'LINEST VARS'!$L$60*(0.5^2)+'LINEST VARS'!$K$60*(12.73^2)+'LINEST VARS'!$J$60*($G$80*$B88)+'LINEST VARS'!$I$60*($G$80*4)+'LINEST VARS'!$H$60*($G$80*0.5)+'LINEST VARS'!$G$60*($G$80*12.73)+'LINEST VARS'!$F$60*($B88*4)+'LINEST VARS'!$E$60*($B88*0.5)+'LINEST VARS'!$D$60*($B88*12.73)+'LINEST VARS'!$C$60*(4*0.5)+'LINEST VARS'!$B$60*(4*12.73)+'LINEST VARS'!$A$60*(0.5*12.73)</f>
        <v>40.460000000000015</v>
      </c>
      <c r="H88" s="46">
        <f>'LINEST VARS'!$U$60+'LINEST VARS'!$T$60*($H$80)+'LINEST VARS'!$S$60*($B88)+'LINEST VARS'!$R$60*(4)+'LINEST VARS'!$Q$60*(0.5)+'LINEST VARS'!$P$60*(12.73)+'LINEST VARS'!$O$60*($H$80^2)+'LINEST VARS'!$N$60*($B88^2)+'LINEST VARS'!$M$60*(4^2)+'LINEST VARS'!$L$60*(0.5^2)+'LINEST VARS'!$K$60*(12.73^2)+'LINEST VARS'!$J$60*($H$80*$B88)+'LINEST VARS'!$I$60*($H$80*4)+'LINEST VARS'!$H$60*($H$80*0.5)+'LINEST VARS'!$G$60*($H$80*12.73)+'LINEST VARS'!$F$60*($B88*4)+'LINEST VARS'!$E$60*($B88*0.5)+'LINEST VARS'!$D$60*($B88*12.73)+'LINEST VARS'!$C$60*(4*0.5)+'LINEST VARS'!$B$60*(4*12.73)+'LINEST VARS'!$A$60*(0.5*12.73)</f>
        <v>40.460000000000015</v>
      </c>
      <c r="I88" s="46">
        <f>'LINEST VARS'!$U$60+'LINEST VARS'!$T$60*($I$80)+'LINEST VARS'!$S$60*($B88)+'LINEST VARS'!$R$60*(4)+'LINEST VARS'!$Q$60*(0.5)+'LINEST VARS'!$P$60*(12.73)+'LINEST VARS'!$O$60*($I$80^2)+'LINEST VARS'!$N$60*($B88^2)+'LINEST VARS'!$M$60*(4^2)+'LINEST VARS'!$L$60*(0.5^2)+'LINEST VARS'!$K$60*(12.73^2)+'LINEST VARS'!$J$60*($I$80*$B88)+'LINEST VARS'!$I$60*($I$80*4)+'LINEST VARS'!$H$60*($I$80*0.5)+'LINEST VARS'!$G$60*($I$80*12.73)+'LINEST VARS'!$F$60*($B88*4)+'LINEST VARS'!$E$60*($B88*0.5)+'LINEST VARS'!$D$60*($B88*12.73)+'LINEST VARS'!$C$60*(4*0.5)+'LINEST VARS'!$B$60*(4*12.73)+'LINEST VARS'!$A$60*(0.5*12.73)</f>
        <v>40.460000000000022</v>
      </c>
      <c r="J88" s="46">
        <f>'LINEST VARS'!$U$60+'LINEST VARS'!$T$60*($J$80)+'LINEST VARS'!$S$60*($B88)+'LINEST VARS'!$R$60*(4)+'LINEST VARS'!$Q$60*(0.5)+'LINEST VARS'!$P$60*(12.73)+'LINEST VARS'!$O$60*($J$80^2)+'LINEST VARS'!$N$60*($B88^2)+'LINEST VARS'!$M$60*(4^2)+'LINEST VARS'!$L$60*(0.5^2)+'LINEST VARS'!$K$60*(12.73^2)+'LINEST VARS'!$J$60*($J$80*$B88)+'LINEST VARS'!$I$60*($J$80*4)+'LINEST VARS'!$H$60*($J$80*0.5)+'LINEST VARS'!$G$60*($J$80*12.73)+'LINEST VARS'!$F$60*($B88*4)+'LINEST VARS'!$E$60*($B88*0.5)+'LINEST VARS'!$D$60*($B88*12.73)+'LINEST VARS'!$C$60*(4*0.5)+'LINEST VARS'!$B$60*(4*12.73)+'LINEST VARS'!$A$60*(0.5*12.73)</f>
        <v>40.460000000000022</v>
      </c>
      <c r="K88" s="46">
        <f>'LINEST VARS'!$U$60+'LINEST VARS'!$T$60*($K$80)+'LINEST VARS'!$S$60*($B88)+'LINEST VARS'!$R$60*(4)+'LINEST VARS'!$Q$60*(0.5)+'LINEST VARS'!$P$60*(12.73)+'LINEST VARS'!$O$60*($K$80^2)+'LINEST VARS'!$N$60*($B88^2)+'LINEST VARS'!$M$60*(4^2)+'LINEST VARS'!$L$60*(0.5^2)+'LINEST VARS'!$K$60*(12.73^2)+'LINEST VARS'!$J$60*($K$80*$B88)+'LINEST VARS'!$I$60*($K$80*4)+'LINEST VARS'!$H$60*($K$80*0.5)+'LINEST VARS'!$G$60*($K$80*12.73)+'LINEST VARS'!$F$60*($B88*4)+'LINEST VARS'!$E$60*($B88*0.5)+'LINEST VARS'!$D$60*($B88*12.73)+'LINEST VARS'!$C$60*(4*0.5)+'LINEST VARS'!$B$60*(4*12.73)+'LINEST VARS'!$A$60*(0.5*12.73)</f>
        <v>40.460000000000015</v>
      </c>
      <c r="L88" s="46">
        <f>'LINEST VARS'!$U$60+'LINEST VARS'!$T$60*($L$80)+'LINEST VARS'!$S$60*($B88)+'LINEST VARS'!$R$60*(4)+'LINEST VARS'!$Q$60*(0.5)+'LINEST VARS'!$P$60*(12.73)+'LINEST VARS'!$O$60*($L$80^2)+'LINEST VARS'!$N$60*($B88^2)+'LINEST VARS'!$M$60*(4^2)+'LINEST VARS'!$L$60*(0.5^2)+'LINEST VARS'!$K$60*(12.73^2)+'LINEST VARS'!$J$60*($L$80*$B88)+'LINEST VARS'!$I$60*($L$80*4)+'LINEST VARS'!$H$60*($L$80*0.5)+'LINEST VARS'!$G$60*($L$80*12.73)+'LINEST VARS'!$F$60*($B88*4)+'LINEST VARS'!$E$60*($B88*0.5)+'LINEST VARS'!$D$60*($B88*12.73)+'LINEST VARS'!$C$60*(4*0.5)+'LINEST VARS'!$B$60*(4*12.73)+'LINEST VARS'!$A$60*(0.5*12.73)</f>
        <v>40.460000000000015</v>
      </c>
      <c r="M88" s="46">
        <f>'LINEST VARS'!$U$60+'LINEST VARS'!$T$60*($M$80)+'LINEST VARS'!$S$60*($B88)+'LINEST VARS'!$R$60*(4)+'LINEST VARS'!$Q$60*(0.5)+'LINEST VARS'!$P$60*(12.73)+'LINEST VARS'!$O$60*($M$80^2)+'LINEST VARS'!$N$60*($B88^2)+'LINEST VARS'!$M$60*(4^2)+'LINEST VARS'!$L$60*(0.5^2)+'LINEST VARS'!$K$60*(12.73^2)+'LINEST VARS'!$J$60*($M$80*$B88)+'LINEST VARS'!$I$60*($M$80*4)+'LINEST VARS'!$H$60*($M$80*0.5)+'LINEST VARS'!$G$60*($M$80*12.73)+'LINEST VARS'!$F$60*($B88*4)+'LINEST VARS'!$E$60*($B88*0.5)+'LINEST VARS'!$D$60*($B88*12.73)+'LINEST VARS'!$C$60*(4*0.5)+'LINEST VARS'!$B$60*(4*12.73)+'LINEST VARS'!$A$60*(0.5*12.73)</f>
        <v>40.460000000000015</v>
      </c>
      <c r="N88" s="46">
        <f>'LINEST VARS'!$U$60+'LINEST VARS'!$T$60*($N$80)+'LINEST VARS'!$S$60*($B88)+'LINEST VARS'!$R$60*(4)+'LINEST VARS'!$Q$60*(0.5)+'LINEST VARS'!$P$60*(12.73)+'LINEST VARS'!$O$60*($N$80^2)+'LINEST VARS'!$N$60*($B88^2)+'LINEST VARS'!$M$60*(4^2)+'LINEST VARS'!$L$60*(0.5^2)+'LINEST VARS'!$K$60*(12.73^2)+'LINEST VARS'!$J$60*($N$80*$B88)+'LINEST VARS'!$I$60*($N$80*4)+'LINEST VARS'!$H$60*($N$80*0.5)+'LINEST VARS'!$G$60*($N$80*12.73)+'LINEST VARS'!$F$60*($B88*4)+'LINEST VARS'!$E$60*($B88*0.5)+'LINEST VARS'!$D$60*($B88*12.73)+'LINEST VARS'!$C$60*(4*0.5)+'LINEST VARS'!$B$60*(4*12.73)+'LINEST VARS'!$A$60*(0.5*12.73)</f>
        <v>40.460000000000008</v>
      </c>
      <c r="O88" s="46">
        <f>'LINEST VARS'!$U$60+'LINEST VARS'!$T$60*($O$80)+'LINEST VARS'!$S$60*($B88)+'LINEST VARS'!$R$60*(4)+'LINEST VARS'!$Q$60*(0.5)+'LINEST VARS'!$P$60*(12.73)+'LINEST VARS'!$O$60*($O$80^2)+'LINEST VARS'!$N$60*($B88^2)+'LINEST VARS'!$M$60*(4^2)+'LINEST VARS'!$L$60*(0.5^2)+'LINEST VARS'!$K$60*(12.73^2)+'LINEST VARS'!$J$60*($O$80*$B88)+'LINEST VARS'!$I$60*($O$80*4)+'LINEST VARS'!$H$60*($O$80*0.5)+'LINEST VARS'!$G$60*($O$80*12.73)+'LINEST VARS'!$F$60*($B88*4)+'LINEST VARS'!$E$60*($B88*0.5)+'LINEST VARS'!$D$60*($B88*12.73)+'LINEST VARS'!$C$60*(4*0.5)+'LINEST VARS'!$B$60*(4*12.73)+'LINEST VARS'!$A$60*(0.5*12.73)</f>
        <v>40.460000000000015</v>
      </c>
      <c r="P88" s="46">
        <f>'LINEST VARS'!$U$60+'LINEST VARS'!$T$60*($P$80)+'LINEST VARS'!$S$60*($B88)+'LINEST VARS'!$R$60*(4)+'LINEST VARS'!$Q$60*(0.5)+'LINEST VARS'!$P$60*(12.73)+'LINEST VARS'!$O$60*($P$80^2)+'LINEST VARS'!$N$60*($B88^2)+'LINEST VARS'!$M$60*(4^2)+'LINEST VARS'!$L$60*(0.5^2)+'LINEST VARS'!$K$60*(12.73^2)+'LINEST VARS'!$J$60*($P$80*$B88)+'LINEST VARS'!$I$60*($P$80*4)+'LINEST VARS'!$H$60*($P$80*0.5)+'LINEST VARS'!$G$60*($P$80*12.73)+'LINEST VARS'!$F$60*($B88*4)+'LINEST VARS'!$E$60*($B88*0.5)+'LINEST VARS'!$D$60*($B88*12.73)+'LINEST VARS'!$C$60*(4*0.5)+'LINEST VARS'!$B$60*(4*12.73)+'LINEST VARS'!$A$60*(0.5*12.73)</f>
        <v>40.460000000000015</v>
      </c>
      <c r="Q88" s="46">
        <f>'LINEST VARS'!$U$60+'LINEST VARS'!$T$60*($Q$80)+'LINEST VARS'!$S$60*($B88)+'LINEST VARS'!$R$60*(4)+'LINEST VARS'!$Q$60*(0.5)+'LINEST VARS'!$P$60*(12.73)+'LINEST VARS'!$O$60*($Q$80^2)+'LINEST VARS'!$N$60*($B88^2)+'LINEST VARS'!$M$60*(4^2)+'LINEST VARS'!$L$60*(0.5^2)+'LINEST VARS'!$K$60*(12.73^2)+'LINEST VARS'!$J$60*($Q$80*$B88)+'LINEST VARS'!$I$60*($Q$80*4)+'LINEST VARS'!$H$60*($Q$80*0.5)+'LINEST VARS'!$G$60*($Q$80*12.73)+'LINEST VARS'!$F$60*($B88*4)+'LINEST VARS'!$E$60*($B88*0.5)+'LINEST VARS'!$D$60*($B88*12.73)+'LINEST VARS'!$C$60*(4*0.5)+'LINEST VARS'!$B$60*(4*12.73)+'LINEST VARS'!$A$60*(0.5*12.73)</f>
        <v>40.460000000000015</v>
      </c>
      <c r="R88" s="46">
        <f>'LINEST VARS'!$U$60+'LINEST VARS'!$T$60*($R$80)+'LINEST VARS'!$S$60*($B88)+'LINEST VARS'!$R$60*(4)+'LINEST VARS'!$Q$60*(0.5)+'LINEST VARS'!$P$60*(12.73)+'LINEST VARS'!$O$60*($R$80^2)+'LINEST VARS'!$N$60*($B88^2)+'LINEST VARS'!$M$60*(4^2)+'LINEST VARS'!$L$60*(0.5^2)+'LINEST VARS'!$K$60*(12.73^2)+'LINEST VARS'!$J$60*($R$80*$B88)+'LINEST VARS'!$I$60*($R$80*4)+'LINEST VARS'!$H$60*($R$80*0.5)+'LINEST VARS'!$G$60*($R$80*12.73)+'LINEST VARS'!$F$60*($B88*4)+'LINEST VARS'!$E$60*($B88*0.5)+'LINEST VARS'!$D$60*($B88*12.73)+'LINEST VARS'!$C$60*(4*0.5)+'LINEST VARS'!$B$60*(4*12.73)+'LINEST VARS'!$A$60*(0.5*12.73)</f>
        <v>40.460000000000015</v>
      </c>
      <c r="S88" s="46">
        <f>'LINEST VARS'!$U$60+'LINEST VARS'!$T$60*($S$80)+'LINEST VARS'!$S$60*($B88)+'LINEST VARS'!$R$60*(4)+'LINEST VARS'!$Q$60*(0.5)+'LINEST VARS'!$P$60*(12.73)+'LINEST VARS'!$O$60*($S$80^2)+'LINEST VARS'!$N$60*($B88^2)+'LINEST VARS'!$M$60*(4^2)+'LINEST VARS'!$L$60*(0.5^2)+'LINEST VARS'!$K$60*(12.73^2)+'LINEST VARS'!$J$60*($S$80*$B88)+'LINEST VARS'!$I$60*($S$80*4)+'LINEST VARS'!$H$60*($S$80*0.5)+'LINEST VARS'!$G$60*($S$80*12.73)+'LINEST VARS'!$F$60*($B88*4)+'LINEST VARS'!$E$60*($B88*0.5)+'LINEST VARS'!$D$60*($B88*12.73)+'LINEST VARS'!$C$60*(4*0.5)+'LINEST VARS'!$B$60*(4*12.73)+'LINEST VARS'!$A$60*(0.5*12.73)</f>
        <v>40.460000000000015</v>
      </c>
      <c r="T88" s="46">
        <f>'LINEST VARS'!$U$60+'LINEST VARS'!$T$60*($T$80)+'LINEST VARS'!$S$60*($B88)+'LINEST VARS'!$R$60*(4)+'LINEST VARS'!$Q$60*(0.5)+'LINEST VARS'!$P$60*(12.73)+'LINEST VARS'!$O$60*($T$80^2)+'LINEST VARS'!$N$60*($B88^2)+'LINEST VARS'!$M$60*(4^2)+'LINEST VARS'!$L$60*(0.5^2)+'LINEST VARS'!$K$60*(12.73^2)+'LINEST VARS'!$J$60*($T$80*$B88)+'LINEST VARS'!$I$60*($T$80*4)+'LINEST VARS'!$H$60*($T$80*0.5)+'LINEST VARS'!$G$60*($T$80*12.73)+'LINEST VARS'!$F$60*($B88*4)+'LINEST VARS'!$E$60*($B88*0.5)+'LINEST VARS'!$D$60*($B88*12.73)+'LINEST VARS'!$C$60*(4*0.5)+'LINEST VARS'!$B$60*(4*12.73)+'LINEST VARS'!$A$60*(0.5*12.73)</f>
        <v>40.460000000000015</v>
      </c>
      <c r="U88" s="46">
        <f>'LINEST VARS'!$U$60+'LINEST VARS'!$T$60*($U$80)+'LINEST VARS'!$S$60*($B88)+'LINEST VARS'!$R$60*(4)+'LINEST VARS'!$Q$60*(0.5)+'LINEST VARS'!$P$60*(12.73)+'LINEST VARS'!$O$60*($U$80^2)+'LINEST VARS'!$N$60*($B88^2)+'LINEST VARS'!$M$60*(4^2)+'LINEST VARS'!$L$60*(0.5^2)+'LINEST VARS'!$K$60*(12.73^2)+'LINEST VARS'!$J$60*($U$80*$B88)+'LINEST VARS'!$I$60*($U$80*4)+'LINEST VARS'!$H$60*($U$80*0.5)+'LINEST VARS'!$G$60*($U$80*12.73)+'LINEST VARS'!$F$60*($B88*4)+'LINEST VARS'!$E$60*($B88*0.5)+'LINEST VARS'!$D$60*($B88*12.73)+'LINEST VARS'!$C$60*(4*0.5)+'LINEST VARS'!$B$60*(4*12.73)+'LINEST VARS'!$A$60*(0.5*12.73)</f>
        <v>40.460000000000022</v>
      </c>
      <c r="V88" s="46">
        <f>'LINEST VARS'!$U$60+'LINEST VARS'!$T$60*($V$80)+'LINEST VARS'!$S$60*($B88)+'LINEST VARS'!$R$60*(4)+'LINEST VARS'!$Q$60*(0.5)+'LINEST VARS'!$P$60*(12.73)+'LINEST VARS'!$O$60*($V$80^2)+'LINEST VARS'!$N$60*($B88^2)+'LINEST VARS'!$M$60*(4^2)+'LINEST VARS'!$L$60*(0.5^2)+'LINEST VARS'!$K$60*(12.73^2)+'LINEST VARS'!$J$60*($V$80*$B88)+'LINEST VARS'!$I$60*($V$80*4)+'LINEST VARS'!$H$60*($V$80*0.5)+'LINEST VARS'!$G$60*($V$80*12.73)+'LINEST VARS'!$F$60*($B88*4)+'LINEST VARS'!$E$60*($B88*0.5)+'LINEST VARS'!$D$60*($B88*12.73)+'LINEST VARS'!$C$60*(4*0.5)+'LINEST VARS'!$B$60*(4*12.73)+'LINEST VARS'!$A$60*(0.5*12.73)</f>
        <v>40.460000000000015</v>
      </c>
      <c r="W88" s="47">
        <f>'LINEST VARS'!$U$60+'LINEST VARS'!$T$60*($W$80)+'LINEST VARS'!$S$60*($B88)+'LINEST VARS'!$R$60*(4)+'LINEST VARS'!$Q$60*(0.5)+'LINEST VARS'!$P$60*(12.73)+'LINEST VARS'!$O$60*($W$80^2)+'LINEST VARS'!$N$60*($B88^2)+'LINEST VARS'!$M$60*(4^2)+'LINEST VARS'!$L$60*(0.5^2)+'LINEST VARS'!$K$60*(12.73^2)+'LINEST VARS'!$J$60*($W$80*$B88)+'LINEST VARS'!$I$60*($W$80*4)+'LINEST VARS'!$H$60*($W$80*0.5)+'LINEST VARS'!$G$60*($W$80*12.73)+'LINEST VARS'!$F$60*($B88*4)+'LINEST VARS'!$E$60*($B88*0.5)+'LINEST VARS'!$D$60*($B88*12.73)+'LINEST VARS'!$C$60*(4*0.5)+'LINEST VARS'!$B$60*(4*12.73)+'LINEST VARS'!$A$60*(0.5*12.73)</f>
        <v>40.460000000000015</v>
      </c>
      <c r="Z88" s="45">
        <v>7.82</v>
      </c>
      <c r="AA88" s="55">
        <f>'LINEST VARS'!$U$62+'LINEST VARS'!$T$62*($AA$80)+'LINEST VARS'!$S$62*($Z88)+'LINEST VARS'!$R$62*(4)+'LINEST VARS'!$Q$62*(0.5)+'LINEST VARS'!$P$62*(12.73)+'LINEST VARS'!$O$62*($AA$80^2)+'LINEST VARS'!$N$62*($Z88^2)+'LINEST VARS'!$M$62*(4^2)+'LINEST VARS'!$L$62*(0.5^2)+'LINEST VARS'!$K$62*(12.73^2)+'LINEST VARS'!$J$62*($AA$80*$Z88)+'LINEST VARS'!$I$62*($AA$80*4)+'LINEST VARS'!$H$62*($AA$80*0.5)+'LINEST VARS'!$G$62*($AA$80*12.73)+'LINEST VARS'!$F$62*($Z88*4)+'LINEST VARS'!$E$62*($Z88*0.5)+'LINEST VARS'!$D$62*($Z88*12.73)+'LINEST VARS'!$C$62*(4*0.5)+'LINEST VARS'!$B$62*(4*12.73)+'LINEST VARS'!$A$62*(0.5*12.73)</f>
        <v>269.5</v>
      </c>
      <c r="AB88" s="55">
        <f>'LINEST VARS'!$U$62+'LINEST VARS'!$T$62*($AB$80)+'LINEST VARS'!$S$62*($Z88)+'LINEST VARS'!$R$62*(4)+'LINEST VARS'!$Q$62*(0.5)+'LINEST VARS'!$P$62*(12.73)+'LINEST VARS'!$O$62*($AB$80^2)+'LINEST VARS'!$N$62*($Z88^2)+'LINEST VARS'!$M$62*(4^2)+'LINEST VARS'!$L$62*(0.5^2)+'LINEST VARS'!$K$62*(12.73^2)+'LINEST VARS'!$J$62*($AB$80*$Z88)+'LINEST VARS'!$I$62*($AB$80*4)+'LINEST VARS'!$H$62*($AB$80*0.5)+'LINEST VARS'!$G$62*($AB$80*12.73)+'LINEST VARS'!$F$62*($Z88*4)+'LINEST VARS'!$E$62*($Z88*0.5)+'LINEST VARS'!$D$62*($Z88*12.73)+'LINEST VARS'!$C$62*(4*0.5)+'LINEST VARS'!$B$62*(4*12.73)+'LINEST VARS'!$A$62*(0.5*12.73)</f>
        <v>269.5</v>
      </c>
      <c r="AC88" s="55">
        <f>'LINEST VARS'!$U$62+'LINEST VARS'!$T$62*($AC$80)+'LINEST VARS'!$S$62*($Z88)+'LINEST VARS'!$R$62*(4)+'LINEST VARS'!$Q$62*(0.5)+'LINEST VARS'!$P$62*(12.73)+'LINEST VARS'!$O$62*($AC$80^2)+'LINEST VARS'!$N$62*($Z88^2)+'LINEST VARS'!$M$62*(4^2)+'LINEST VARS'!$L$62*(0.5^2)+'LINEST VARS'!$K$62*(12.73^2)+'LINEST VARS'!$J$62*($AC$80*$Z88)+'LINEST VARS'!$I$62*($AC$80*4)+'LINEST VARS'!$H$62*($AC$80*0.5)+'LINEST VARS'!$G$62*($AC$80*12.73)+'LINEST VARS'!$F$62*($Z88*4)+'LINEST VARS'!$E$62*($Z88*0.5)+'LINEST VARS'!$D$62*($Z88*12.73)+'LINEST VARS'!$C$62*(4*0.5)+'LINEST VARS'!$B$62*(4*12.73)+'LINEST VARS'!$A$62*(0.5*12.73)</f>
        <v>269.49999999999994</v>
      </c>
      <c r="AD88" s="55">
        <f>'LINEST VARS'!$U$62+'LINEST VARS'!$T$62*($AD$80)+'LINEST VARS'!$S$62*($Z88)+'LINEST VARS'!$R$62*(4)+'LINEST VARS'!$Q$62*(0.5)+'LINEST VARS'!$P$62*(12.73)+'LINEST VARS'!$O$62*($AD$80^2)+'LINEST VARS'!$N$62*($Z88^2)+'LINEST VARS'!$M$62*(4^2)+'LINEST VARS'!$L$62*(0.5^2)+'LINEST VARS'!$K$62*(12.73^2)+'LINEST VARS'!$J$62*($AD$80*$Z88)+'LINEST VARS'!$I$62*($AD$80*4)+'LINEST VARS'!$H$62*($AD$80*0.5)+'LINEST VARS'!$G$62*($AD$80*12.73)+'LINEST VARS'!$F$62*($Z88*4)+'LINEST VARS'!$E$62*($Z88*0.5)+'LINEST VARS'!$D$62*($Z88*12.73)+'LINEST VARS'!$C$62*(4*0.5)+'LINEST VARS'!$B$62*(4*12.73)+'LINEST VARS'!$A$62*(0.5*12.73)</f>
        <v>269.5</v>
      </c>
      <c r="AE88" s="55">
        <f>'LINEST VARS'!$U$62+'LINEST VARS'!$T$62*($AE$80)+'LINEST VARS'!$S$62*($Z88)+'LINEST VARS'!$R$62*(4)+'LINEST VARS'!$Q$62*(0.5)+'LINEST VARS'!$P$62*(12.73)+'LINEST VARS'!$O$62*($AE$80^2)+'LINEST VARS'!$N$62*($Z88^2)+'LINEST VARS'!$M$62*(4^2)+'LINEST VARS'!$L$62*(0.5^2)+'LINEST VARS'!$K$62*(12.73^2)+'LINEST VARS'!$J$62*($AE$80*$Z88)+'LINEST VARS'!$I$62*($AE$80*4)+'LINEST VARS'!$H$62*($AE$80*0.5)+'LINEST VARS'!$G$62*($AE$80*12.73)+'LINEST VARS'!$F$62*($Z88*4)+'LINEST VARS'!$E$62*($Z88*0.5)+'LINEST VARS'!$D$62*($Z88*12.73)+'LINEST VARS'!$C$62*(4*0.5)+'LINEST VARS'!$B$62*(4*12.73)+'LINEST VARS'!$A$62*(0.5*12.73)</f>
        <v>269.5</v>
      </c>
      <c r="AF88" s="55">
        <f>'LINEST VARS'!$U$62+'LINEST VARS'!$T$62*($AF$80)+'LINEST VARS'!$S$62*($Z88)+'LINEST VARS'!$R$62*(4)+'LINEST VARS'!$Q$62*(0.5)+'LINEST VARS'!$P$62*(12.73)+'LINEST VARS'!$O$62*($AF$80^2)+'LINEST VARS'!$N$62*($Z88^2)+'LINEST VARS'!$M$62*(4^2)+'LINEST VARS'!$L$62*(0.5^2)+'LINEST VARS'!$K$62*(12.73^2)+'LINEST VARS'!$J$62*($AF$80*$Z88)+'LINEST VARS'!$I$62*($AF$80*4)+'LINEST VARS'!$H$62*($AF$80*0.5)+'LINEST VARS'!$G$62*($AF$80*12.73)+'LINEST VARS'!$F$62*($Z88*4)+'LINEST VARS'!$E$62*($Z88*0.5)+'LINEST VARS'!$D$62*($Z88*12.73)+'LINEST VARS'!$C$62*(4*0.5)+'LINEST VARS'!$B$62*(4*12.73)+'LINEST VARS'!$A$62*(0.5*12.73)</f>
        <v>269.49999999999994</v>
      </c>
      <c r="AG88" s="55">
        <f>'LINEST VARS'!$U$62+'LINEST VARS'!$T$62*($AG$80)+'LINEST VARS'!$S$62*($Z88)+'LINEST VARS'!$R$62*(4)+'LINEST VARS'!$Q$62*(0.5)+'LINEST VARS'!$P$62*(12.73)+'LINEST VARS'!$O$62*($AG$80^2)+'LINEST VARS'!$N$62*($Z88^2)+'LINEST VARS'!$M$62*(4^2)+'LINEST VARS'!$L$62*(0.5^2)+'LINEST VARS'!$K$62*(12.73^2)+'LINEST VARS'!$J$62*($AG$80*$Z88)+'LINEST VARS'!$I$62*($AG$80*4)+'LINEST VARS'!$H$62*($AG$80*0.5)+'LINEST VARS'!$G$62*($AG$80*12.73)+'LINEST VARS'!$F$62*($Z88*4)+'LINEST VARS'!$E$62*($Z88*0.5)+'LINEST VARS'!$D$62*($Z88*12.73)+'LINEST VARS'!$C$62*(4*0.5)+'LINEST VARS'!$B$62*(4*12.73)+'LINEST VARS'!$A$62*(0.5*12.73)</f>
        <v>269.5</v>
      </c>
      <c r="AH88" s="55">
        <f>'LINEST VARS'!$U$62+'LINEST VARS'!$T$62*($AH$80)+'LINEST VARS'!$S$62*($Z88)+'LINEST VARS'!$R$62*(4)+'LINEST VARS'!$Q$62*(0.5)+'LINEST VARS'!$P$62*(12.73)+'LINEST VARS'!$O$62*($AH$80^2)+'LINEST VARS'!$N$62*($Z88^2)+'LINEST VARS'!$M$62*(4^2)+'LINEST VARS'!$L$62*(0.5^2)+'LINEST VARS'!$K$62*(12.73^2)+'LINEST VARS'!$J$62*($AH$80*$Z88)+'LINEST VARS'!$I$62*($AH$80*4)+'LINEST VARS'!$H$62*($AH$80*0.5)+'LINEST VARS'!$G$62*($AH$80*12.73)+'LINEST VARS'!$F$62*($Z88*4)+'LINEST VARS'!$E$62*($Z88*0.5)+'LINEST VARS'!$D$62*($Z88*12.73)+'LINEST VARS'!$C$62*(4*0.5)+'LINEST VARS'!$B$62*(4*12.73)+'LINEST VARS'!$A$62*(0.5*12.73)</f>
        <v>269.49999999999994</v>
      </c>
      <c r="AI88" s="55">
        <f>'LINEST VARS'!$U$62+'LINEST VARS'!$T$62*($AI$80)+'LINEST VARS'!$S$62*($Z88)+'LINEST VARS'!$R$62*(4)+'LINEST VARS'!$Q$62*(0.5)+'LINEST VARS'!$P$62*(12.73)+'LINEST VARS'!$O$62*($AI$80^2)+'LINEST VARS'!$N$62*($Z88^2)+'LINEST VARS'!$M$62*(4^2)+'LINEST VARS'!$L$62*(0.5^2)+'LINEST VARS'!$K$62*(12.73^2)+'LINEST VARS'!$J$62*($AI$80*$Z88)+'LINEST VARS'!$I$62*($AI$80*4)+'LINEST VARS'!$H$62*($AI$80*0.5)+'LINEST VARS'!$G$62*($AI$80*12.73)+'LINEST VARS'!$F$62*($Z88*4)+'LINEST VARS'!$E$62*($Z88*0.5)+'LINEST VARS'!$D$62*($Z88*12.73)+'LINEST VARS'!$C$62*(4*0.5)+'LINEST VARS'!$B$62*(4*12.73)+'LINEST VARS'!$A$62*(0.5*12.73)</f>
        <v>269.49999999999994</v>
      </c>
      <c r="AJ88" s="55">
        <f>'LINEST VARS'!$U$62+'LINEST VARS'!$T$62*($AJ$80)+'LINEST VARS'!$S$62*($Z88)+'LINEST VARS'!$R$62*(4)+'LINEST VARS'!$Q$62*(0.5)+'LINEST VARS'!$P$62*(12.73)+'LINEST VARS'!$O$62*($AJ$80^2)+'LINEST VARS'!$N$62*($Z88^2)+'LINEST VARS'!$M$62*(4^2)+'LINEST VARS'!$L$62*(0.5^2)+'LINEST VARS'!$K$62*(12.73^2)+'LINEST VARS'!$J$62*($AJ$80*$Z88)+'LINEST VARS'!$I$62*($AJ$80*4)+'LINEST VARS'!$H$62*($AJ$80*0.5)+'LINEST VARS'!$G$62*($AJ$80*12.73)+'LINEST VARS'!$F$62*($Z88*4)+'LINEST VARS'!$E$62*($Z88*0.5)+'LINEST VARS'!$D$62*($Z88*12.73)+'LINEST VARS'!$C$62*(4*0.5)+'LINEST VARS'!$B$62*(4*12.73)+'LINEST VARS'!$A$62*(0.5*12.73)</f>
        <v>269.5</v>
      </c>
      <c r="AK88" s="55">
        <f>'LINEST VARS'!$U$62+'LINEST VARS'!$T$62*($AK$80)+'LINEST VARS'!$S$62*($Z88)+'LINEST VARS'!$R$62*(4)+'LINEST VARS'!$Q$62*(0.5)+'LINEST VARS'!$P$62*(12.73)+'LINEST VARS'!$O$62*($AK$80^2)+'LINEST VARS'!$N$62*($Z88^2)+'LINEST VARS'!$M$62*(4^2)+'LINEST VARS'!$L$62*(0.5^2)+'LINEST VARS'!$K$62*(12.73^2)+'LINEST VARS'!$J$62*($AK$80*$Z88)+'LINEST VARS'!$I$62*($AK$80*4)+'LINEST VARS'!$H$62*($AK$80*0.5)+'LINEST VARS'!$G$62*($AK$80*12.73)+'LINEST VARS'!$F$62*($Z88*4)+'LINEST VARS'!$E$62*($Z88*0.5)+'LINEST VARS'!$D$62*($Z88*12.73)+'LINEST VARS'!$C$62*(4*0.5)+'LINEST VARS'!$B$62*(4*12.73)+'LINEST VARS'!$A$62*(0.5*12.73)</f>
        <v>269.5</v>
      </c>
      <c r="AL88" s="55">
        <f>'LINEST VARS'!$U$62+'LINEST VARS'!$T$62*($AL$80)+'LINEST VARS'!$S$62*($Z88)+'LINEST VARS'!$R$62*(4)+'LINEST VARS'!$Q$62*(0.5)+'LINEST VARS'!$P$62*(12.73)+'LINEST VARS'!$O$62*($AL$80^2)+'LINEST VARS'!$N$62*($Z88^2)+'LINEST VARS'!$M$62*(4^2)+'LINEST VARS'!$L$62*(0.5^2)+'LINEST VARS'!$K$62*(12.73^2)+'LINEST VARS'!$J$62*($AL$80*$Z88)+'LINEST VARS'!$I$62*($AL$80*4)+'LINEST VARS'!$H$62*($AL$80*0.5)+'LINEST VARS'!$G$62*($AL$80*12.73)+'LINEST VARS'!$F$62*($Z88*4)+'LINEST VARS'!$E$62*($Z88*0.5)+'LINEST VARS'!$D$62*($Z88*12.73)+'LINEST VARS'!$C$62*(4*0.5)+'LINEST VARS'!$B$62*(4*12.73)+'LINEST VARS'!$A$62*(0.5*12.73)</f>
        <v>269.49999999999994</v>
      </c>
      <c r="AM88" s="55">
        <f>'LINEST VARS'!$U$62+'LINEST VARS'!$T$62*($AM$80)+'LINEST VARS'!$S$62*($Z88)+'LINEST VARS'!$R$62*(4)+'LINEST VARS'!$Q$62*(0.5)+'LINEST VARS'!$P$62*(12.73)+'LINEST VARS'!$O$62*($AM$80^2)+'LINEST VARS'!$N$62*($Z88^2)+'LINEST VARS'!$M$62*(4^2)+'LINEST VARS'!$L$62*(0.5^2)+'LINEST VARS'!$K$62*(12.73^2)+'LINEST VARS'!$J$62*($AM$80*$Z88)+'LINEST VARS'!$I$62*($AM$80*4)+'LINEST VARS'!$H$62*($AM$80*0.5)+'LINEST VARS'!$G$62*($AM$80*12.73)+'LINEST VARS'!$F$62*($Z88*4)+'LINEST VARS'!$E$62*($Z88*0.5)+'LINEST VARS'!$D$62*($Z88*12.73)+'LINEST VARS'!$C$62*(4*0.5)+'LINEST VARS'!$B$62*(4*12.73)+'LINEST VARS'!$A$62*(0.5*12.73)</f>
        <v>269.49999999999994</v>
      </c>
      <c r="AN88" s="55">
        <f>'LINEST VARS'!$U$62+'LINEST VARS'!$T$62*($AN$80)+'LINEST VARS'!$S$62*($Z88)+'LINEST VARS'!$R$62*(4)+'LINEST VARS'!$Q$62*(0.5)+'LINEST VARS'!$P$62*(12.73)+'LINEST VARS'!$O$62*($AN$80^2)+'LINEST VARS'!$N$62*($Z88^2)+'LINEST VARS'!$M$62*(4^2)+'LINEST VARS'!$L$62*(0.5^2)+'LINEST VARS'!$K$62*(12.73^2)+'LINEST VARS'!$J$62*($AN$80*$Z88)+'LINEST VARS'!$I$62*($AN$80*4)+'LINEST VARS'!$H$62*($AN$80*0.5)+'LINEST VARS'!$G$62*($AN$80*12.73)+'LINEST VARS'!$F$62*($Z88*4)+'LINEST VARS'!$E$62*($Z88*0.5)+'LINEST VARS'!$D$62*($Z88*12.73)+'LINEST VARS'!$C$62*(4*0.5)+'LINEST VARS'!$B$62*(4*12.73)+'LINEST VARS'!$A$62*(0.5*12.73)</f>
        <v>269.49999999999994</v>
      </c>
      <c r="AO88" s="55">
        <f>'LINEST VARS'!$U$62+'LINEST VARS'!$T$62*($AO$80)+'LINEST VARS'!$S$62*($Z88)+'LINEST VARS'!$R$62*(4)+'LINEST VARS'!$Q$62*(0.5)+'LINEST VARS'!$P$62*(12.73)+'LINEST VARS'!$O$62*($AO$80^2)+'LINEST VARS'!$N$62*($Z88^2)+'LINEST VARS'!$M$62*(4^2)+'LINEST VARS'!$L$62*(0.5^2)+'LINEST VARS'!$K$62*(12.73^2)+'LINEST VARS'!$J$62*($AO$80*$Z88)+'LINEST VARS'!$I$62*($AO$80*4)+'LINEST VARS'!$H$62*($AO$80*0.5)+'LINEST VARS'!$G$62*($AO$80*12.73)+'LINEST VARS'!$F$62*($Z88*4)+'LINEST VARS'!$E$62*($Z88*0.5)+'LINEST VARS'!$D$62*($Z88*12.73)+'LINEST VARS'!$C$62*(4*0.5)+'LINEST VARS'!$B$62*(4*12.73)+'LINEST VARS'!$A$62*(0.5*12.73)</f>
        <v>269.5</v>
      </c>
      <c r="AP88" s="55">
        <f>'LINEST VARS'!$U$62+'LINEST VARS'!$T$62*($AP$80)+'LINEST VARS'!$S$62*($Z88)+'LINEST VARS'!$R$62*(4)+'LINEST VARS'!$Q$62*(0.5)+'LINEST VARS'!$P$62*(12.73)+'LINEST VARS'!$O$62*($AP$80^2)+'LINEST VARS'!$N$62*($Z88^2)+'LINEST VARS'!$M$62*(4^2)+'LINEST VARS'!$L$62*(0.5^2)+'LINEST VARS'!$K$62*(12.73^2)+'LINEST VARS'!$J$62*($AP$80*$Z88)+'LINEST VARS'!$I$62*($AP$80*4)+'LINEST VARS'!$H$62*($AP$80*0.5)+'LINEST VARS'!$G$62*($AP$80*12.73)+'LINEST VARS'!$F$62*($Z88*4)+'LINEST VARS'!$E$62*($Z88*0.5)+'LINEST VARS'!$D$62*($Z88*12.73)+'LINEST VARS'!$C$62*(4*0.5)+'LINEST VARS'!$B$62*(4*12.73)+'LINEST VARS'!$A$62*(0.5*12.73)</f>
        <v>269.5</v>
      </c>
      <c r="AQ88" s="55">
        <f>'LINEST VARS'!$U$62+'LINEST VARS'!$T$62*($AQ$80)+'LINEST VARS'!$S$62*($Z88)+'LINEST VARS'!$R$62*(4)+'LINEST VARS'!$Q$62*(0.5)+'LINEST VARS'!$P$62*(12.73)+'LINEST VARS'!$O$62*($AQ$80^2)+'LINEST VARS'!$N$62*($Z88^2)+'LINEST VARS'!$M$62*(4^2)+'LINEST VARS'!$L$62*(0.5^2)+'LINEST VARS'!$K$62*(12.73^2)+'LINEST VARS'!$J$62*($AQ$80*$Z88)+'LINEST VARS'!$I$62*($AQ$80*4)+'LINEST VARS'!$H$62*($AQ$80*0.5)+'LINEST VARS'!$G$62*($AQ$80*12.73)+'LINEST VARS'!$F$62*($Z88*4)+'LINEST VARS'!$E$62*($Z88*0.5)+'LINEST VARS'!$D$62*($Z88*12.73)+'LINEST VARS'!$C$62*(4*0.5)+'LINEST VARS'!$B$62*(4*12.73)+'LINEST VARS'!$A$62*(0.5*12.73)</f>
        <v>269.49999999999994</v>
      </c>
      <c r="AR88" s="55">
        <f>'LINEST VARS'!$U$62+'LINEST VARS'!$T$62*($AR$80)+'LINEST VARS'!$S$62*($Z88)+'LINEST VARS'!$R$62*(4)+'LINEST VARS'!$Q$62*(0.5)+'LINEST VARS'!$P$62*(12.73)+'LINEST VARS'!$O$62*($AR$80^2)+'LINEST VARS'!$N$62*($Z88^2)+'LINEST VARS'!$M$62*(4^2)+'LINEST VARS'!$L$62*(0.5^2)+'LINEST VARS'!$K$62*(12.73^2)+'LINEST VARS'!$J$62*($AR$80*$Z88)+'LINEST VARS'!$I$62*($AR$80*4)+'LINEST VARS'!$H$62*($AR$80*0.5)+'LINEST VARS'!$G$62*($AR$80*12.73)+'LINEST VARS'!$F$62*($Z88*4)+'LINEST VARS'!$E$62*($Z88*0.5)+'LINEST VARS'!$D$62*($Z88*12.73)+'LINEST VARS'!$C$62*(4*0.5)+'LINEST VARS'!$B$62*(4*12.73)+'LINEST VARS'!$A$62*(0.5*12.73)</f>
        <v>269.5</v>
      </c>
      <c r="AS88" s="55">
        <f>'LINEST VARS'!$U$62+'LINEST VARS'!$T$62*($AS$80)+'LINEST VARS'!$S$62*($Z88)+'LINEST VARS'!$R$62*(4)+'LINEST VARS'!$Q$62*(0.5)+'LINEST VARS'!$P$62*(12.73)+'LINEST VARS'!$O$62*($AS$80^2)+'LINEST VARS'!$N$62*($Z88^2)+'LINEST VARS'!$M$62*(4^2)+'LINEST VARS'!$L$62*(0.5^2)+'LINEST VARS'!$K$62*(12.73^2)+'LINEST VARS'!$J$62*($AS$80*$Z88)+'LINEST VARS'!$I$62*($AS$80*4)+'LINEST VARS'!$H$62*($AS$80*0.5)+'LINEST VARS'!$G$62*($AS$80*12.73)+'LINEST VARS'!$F$62*($Z88*4)+'LINEST VARS'!$E$62*($Z88*0.5)+'LINEST VARS'!$D$62*($Z88*12.73)+'LINEST VARS'!$C$62*(4*0.5)+'LINEST VARS'!$B$62*(4*12.73)+'LINEST VARS'!$A$62*(0.5*12.73)</f>
        <v>269.49999999999994</v>
      </c>
      <c r="AT88" s="55">
        <f>'LINEST VARS'!$U$62+'LINEST VARS'!$T$62*($AT$80)+'LINEST VARS'!$S$62*($Z88)+'LINEST VARS'!$R$62*(4)+'LINEST VARS'!$Q$62*(0.5)+'LINEST VARS'!$P$62*(12.73)+'LINEST VARS'!$O$62*($AT$80^2)+'LINEST VARS'!$N$62*($Z88^2)+'LINEST VARS'!$M$62*(4^2)+'LINEST VARS'!$L$62*(0.5^2)+'LINEST VARS'!$K$62*(12.73^2)+'LINEST VARS'!$J$62*($AT$80*$Z88)+'LINEST VARS'!$I$62*($AT$80*4)+'LINEST VARS'!$H$62*($AT$80*0.5)+'LINEST VARS'!$G$62*($AT$80*12.73)+'LINEST VARS'!$F$62*($Z88*4)+'LINEST VARS'!$E$62*($Z88*0.5)+'LINEST VARS'!$D$62*($Z88*12.73)+'LINEST VARS'!$C$62*(4*0.5)+'LINEST VARS'!$B$62*(4*12.73)+'LINEST VARS'!$A$62*(0.5*12.73)</f>
        <v>269.5</v>
      </c>
      <c r="AU88" s="56">
        <f>'LINEST VARS'!$U$62+'LINEST VARS'!$T$62*($AU$80)+'LINEST VARS'!$S$62*($Z88)+'LINEST VARS'!$R$62*(4)+'LINEST VARS'!$Q$62*(0.5)+'LINEST VARS'!$P$62*(12.73)+'LINEST VARS'!$O$62*($AU$80^2)+'LINEST VARS'!$N$62*($Z88^2)+'LINEST VARS'!$M$62*(4^2)+'LINEST VARS'!$L$62*(0.5^2)+'LINEST VARS'!$K$62*(12.73^2)+'LINEST VARS'!$J$62*($AU$80*$Z88)+'LINEST VARS'!$I$62*($AU$80*4)+'LINEST VARS'!$H$62*($AU$80*0.5)+'LINEST VARS'!$G$62*($AU$80*12.73)+'LINEST VARS'!$F$62*($Z88*4)+'LINEST VARS'!$E$62*($Z88*0.5)+'LINEST VARS'!$D$62*($Z88*12.73)+'LINEST VARS'!$C$62*(4*0.5)+'LINEST VARS'!$B$62*(4*12.73)+'LINEST VARS'!$A$62*(0.5*12.73)</f>
        <v>269.50000000000006</v>
      </c>
      <c r="AZ88" s="45">
        <v>0.35</v>
      </c>
      <c r="BA88" s="46">
        <f>'LINEST VARS'!$U$60+'LINEST VARS'!$T$60*(8)+'LINEST VARS'!$S$60*(8)+'LINEST VARS'!$R$60*($BA$80)+'LINEST VARS'!$Q$60*($AZ88)+'LINEST VARS'!$P$60*(12.73)+'LINEST VARS'!$O$60*(8^2)+'LINEST VARS'!$N$60*(8^2)+'LINEST VARS'!$M$60*($BA$80^2)+'LINEST VARS'!$L$60*($AZ88^2)+'LINEST VARS'!$K$60*(12.73^2)+'LINEST VARS'!$J$60*(8*8)+'LINEST VARS'!$I$60*(8*$BA$80)+'LINEST VARS'!$H$60*(8*$AZ88)+'LINEST VARS'!$G$60*(8*12.73)+'LINEST VARS'!$F$60*(8*$BA$80)+'LINEST VARS'!$E$60*(8*$AZ88)+'LINEST VARS'!$D$60*(8*12.73)+'LINEST VARS'!$C$60*($BA$80*$AZ88)+'LINEST VARS'!$B$60*($BA$80*12.73)+'LINEST VARS'!$A$60*($AZ88*12.73)</f>
        <v>40.460000000000015</v>
      </c>
      <c r="BB88" s="46">
        <f>'LINEST VARS'!$U$60+'LINEST VARS'!$T$60*(8)+'LINEST VARS'!$S$60*(8)+'LINEST VARS'!$R$60*($BB$80)+'LINEST VARS'!$Q$60*($AZ88)+'LINEST VARS'!$P$60*(12.73)+'LINEST VARS'!$O$60*(8^2)+'LINEST VARS'!$N$60*(8^2)+'LINEST VARS'!$M$60*($BB$80^2)+'LINEST VARS'!$L$60*($AZ88^2)+'LINEST VARS'!$K$60*(12.73^2)+'LINEST VARS'!$J$60*(8*8)+'LINEST VARS'!$I$60*(8*$BB$80)+'LINEST VARS'!$H$60*(8*$AZ88)+'LINEST VARS'!$G$60*(8*12.73)+'LINEST VARS'!$F$60*(8*$BB$80)+'LINEST VARS'!$E$60*(8*$AZ88)+'LINEST VARS'!$D$60*(8*12.73)+'LINEST VARS'!$C$60*($BB$80*$AZ88)+'LINEST VARS'!$B$60*($BB$80*12.73)+'LINEST VARS'!$A$60*($AZ88*12.73)</f>
        <v>40.460000000000015</v>
      </c>
      <c r="BC88" s="46">
        <f>'LINEST VARS'!$U$60+'LINEST VARS'!$T$60*(8)+'LINEST VARS'!$S$60*(8)+'LINEST VARS'!$R$60*($BC$80)+'LINEST VARS'!$Q$60*($AZ88)+'LINEST VARS'!$P$60*(12.73)+'LINEST VARS'!$O$60*(8^2)+'LINEST VARS'!$N$60*(8^2)+'LINEST VARS'!$M$60*($BC$80^2)+'LINEST VARS'!$L$60*($AZ88^2)+'LINEST VARS'!$K$60*(12.73^2)+'LINEST VARS'!$J$60*(8*8)+'LINEST VARS'!$I$60*(8*$BC$80)+'LINEST VARS'!$H$60*(8*$AZ88)+'LINEST VARS'!$G$60*(8*12.73)+'LINEST VARS'!$F$60*(8*$BC$80)+'LINEST VARS'!$E$60*(8*$AZ88)+'LINEST VARS'!$D$60*(8*12.73)+'LINEST VARS'!$C$60*($BC$80*$AZ88)+'LINEST VARS'!$B$60*($BC$80*12.73)+'LINEST VARS'!$A$60*($AZ88*12.73)</f>
        <v>40.460000000000015</v>
      </c>
      <c r="BD88" s="46">
        <f>'LINEST VARS'!$U$60+'LINEST VARS'!$T$60*(8)+'LINEST VARS'!$S$60*(8)+'LINEST VARS'!$R$60*($BD$80)+'LINEST VARS'!$Q$60*($AZ88)+'LINEST VARS'!$P$60*(12.73)+'LINEST VARS'!$O$60*(8^2)+'LINEST VARS'!$N$60*(8^2)+'LINEST VARS'!$M$60*($BD$80^2)+'LINEST VARS'!$L$60*($AZ88^2)+'LINEST VARS'!$K$60*(12.73^2)+'LINEST VARS'!$J$60*(8*8)+'LINEST VARS'!$I$60*(8*$BD$80)+'LINEST VARS'!$H$60*(8*$AZ88)+'LINEST VARS'!$G$60*(8*12.73)+'LINEST VARS'!$F$60*(8*$BD$80)+'LINEST VARS'!$E$60*(8*$AZ88)+'LINEST VARS'!$D$60*(8*12.73)+'LINEST VARS'!$C$60*($BD$80*$AZ88)+'LINEST VARS'!$B$60*($BD$80*12.73)+'LINEST VARS'!$A$60*($AZ88*12.73)</f>
        <v>40.460000000000015</v>
      </c>
      <c r="BE88" s="46">
        <f>'LINEST VARS'!$U$60+'LINEST VARS'!$T$60*(8)+'LINEST VARS'!$S$60*(8)+'LINEST VARS'!$R$60*($BE$80)+'LINEST VARS'!$Q$60*($AZ88)+'LINEST VARS'!$P$60*(12.73)+'LINEST VARS'!$O$60*(8^2)+'LINEST VARS'!$N$60*(8^2)+'LINEST VARS'!$M$60*($BE$80^2)+'LINEST VARS'!$L$60*($AZ88^2)+'LINEST VARS'!$K$60*(12.73^2)+'LINEST VARS'!$J$60*(8*8)+'LINEST VARS'!$I$60*(8*$BE$80)+'LINEST VARS'!$H$60*(8*$AZ88)+'LINEST VARS'!$G$60*(8*12.73)+'LINEST VARS'!$F$60*(8*$BE$80)+'LINEST VARS'!$E$60*(8*$AZ88)+'LINEST VARS'!$D$60*(8*12.73)+'LINEST VARS'!$C$60*($BE$80*$AZ88)+'LINEST VARS'!$B$60*($BE$80*12.73)+'LINEST VARS'!$A$60*($AZ88*12.73)</f>
        <v>40.460000000000008</v>
      </c>
      <c r="BF88" s="46">
        <f>'LINEST VARS'!$U$60+'LINEST VARS'!$T$60*(8)+'LINEST VARS'!$S$60*(8)+'LINEST VARS'!$R$60*($BF$80)+'LINEST VARS'!$Q$60*($AZ88)+'LINEST VARS'!$P$60*(12.73)+'LINEST VARS'!$O$60*(8^2)+'LINEST VARS'!$N$60*(8^2)+'LINEST VARS'!$M$60*($BF$80^2)+'LINEST VARS'!$L$60*($AZ88^2)+'LINEST VARS'!$K$60*(12.73^2)+'LINEST VARS'!$J$60*(8*8)+'LINEST VARS'!$I$60*(8*$BF$80)+'LINEST VARS'!$H$60*(8*$AZ88)+'LINEST VARS'!$G$60*(8*12.73)+'LINEST VARS'!$F$60*(8*$BF$80)+'LINEST VARS'!$E$60*(8*$AZ88)+'LINEST VARS'!$D$60*(8*12.73)+'LINEST VARS'!$C$60*($BF$80*$AZ88)+'LINEST VARS'!$B$60*($BF$80*12.73)+'LINEST VARS'!$A$60*($AZ88*12.73)</f>
        <v>40.460000000000008</v>
      </c>
      <c r="BG88" s="46">
        <f>'LINEST VARS'!$U$60+'LINEST VARS'!$T$60*(8)+'LINEST VARS'!$S$60*(8)+'LINEST VARS'!$R$60*($BG$80)+'LINEST VARS'!$Q$60*($AZ88)+'LINEST VARS'!$P$60*(12.73)+'LINEST VARS'!$O$60*(8^2)+'LINEST VARS'!$N$60*(8^2)+'LINEST VARS'!$M$60*($BG$80^2)+'LINEST VARS'!$L$60*($AZ88^2)+'LINEST VARS'!$K$60*(12.73^2)+'LINEST VARS'!$J$60*(8*8)+'LINEST VARS'!$I$60*(8*$BG$80)+'LINEST VARS'!$H$60*(8*$AZ88)+'LINEST VARS'!$G$60*(8*12.73)+'LINEST VARS'!$F$60*(8*$BG$80)+'LINEST VARS'!$E$60*(8*$AZ88)+'LINEST VARS'!$D$60*(8*12.73)+'LINEST VARS'!$C$60*($BG$80*$AZ88)+'LINEST VARS'!$B$60*($BG$80*12.73)+'LINEST VARS'!$A$60*($AZ88*12.73)</f>
        <v>40.460000000000008</v>
      </c>
      <c r="BH88" s="46">
        <f>'LINEST VARS'!$U$60+'LINEST VARS'!$T$60*(8)+'LINEST VARS'!$S$60*(8)+'LINEST VARS'!$R$60*($BH$80)+'LINEST VARS'!$Q$60*($AZ88)+'LINEST VARS'!$P$60*(12.73)+'LINEST VARS'!$O$60*(8^2)+'LINEST VARS'!$N$60*(8^2)+'LINEST VARS'!$M$60*($BH$80^2)+'LINEST VARS'!$L$60*($AZ88^2)+'LINEST VARS'!$K$60*(12.73^2)+'LINEST VARS'!$J$60*(8*8)+'LINEST VARS'!$I$60*(8*$BH$80)+'LINEST VARS'!$H$60*(8*$AZ88)+'LINEST VARS'!$G$60*(8*12.73)+'LINEST VARS'!$F$60*(8*$BH$80)+'LINEST VARS'!$E$60*(8*$AZ88)+'LINEST VARS'!$D$60*(8*12.73)+'LINEST VARS'!$C$60*($BH$80*$AZ88)+'LINEST VARS'!$B$60*($BH$80*12.73)+'LINEST VARS'!$A$60*($AZ88*12.73)</f>
        <v>40.460000000000015</v>
      </c>
      <c r="BI88" s="46">
        <f>'LINEST VARS'!$U$60+'LINEST VARS'!$T$60*(8)+'LINEST VARS'!$S$60*(8)+'LINEST VARS'!$R$60*($BI$80)+'LINEST VARS'!$Q$60*($AZ88)+'LINEST VARS'!$P$60*(12.73)+'LINEST VARS'!$O$60*(8^2)+'LINEST VARS'!$N$60*(8^2)+'LINEST VARS'!$M$60*($BI$80^2)+'LINEST VARS'!$L$60*($AZ88^2)+'LINEST VARS'!$K$60*(12.73^2)+'LINEST VARS'!$J$60*(8*8)+'LINEST VARS'!$I$60*(8*$BI$80)+'LINEST VARS'!$H$60*(8*$AZ88)+'LINEST VARS'!$G$60*(8*12.73)+'LINEST VARS'!$F$60*(8*$BI$80)+'LINEST VARS'!$E$60*(8*$AZ88)+'LINEST VARS'!$D$60*(8*12.73)+'LINEST VARS'!$C$60*($BI$80*$AZ88)+'LINEST VARS'!$B$60*($BI$80*12.73)+'LINEST VARS'!$A$60*($AZ88*12.73)</f>
        <v>40.460000000000015</v>
      </c>
      <c r="BJ88" s="46">
        <f>'LINEST VARS'!$U$60+'LINEST VARS'!$T$60*(8)+'LINEST VARS'!$S$60*(8)+'LINEST VARS'!$R$60*($BJ$80)+'LINEST VARS'!$Q$60*($AZ88)+'LINEST VARS'!$P$60*(12.73)+'LINEST VARS'!$O$60*(8^2)+'LINEST VARS'!$N$60*(8^2)+'LINEST VARS'!$M$60*($BJ$80^2)+'LINEST VARS'!$L$60*($AZ88^2)+'LINEST VARS'!$K$60*(12.73^2)+'LINEST VARS'!$J$60*(8*8)+'LINEST VARS'!$I$60*(8*$BJ$80)+'LINEST VARS'!$H$60*(8*$AZ88)+'LINEST VARS'!$G$60*(8*12.73)+'LINEST VARS'!$F$60*(8*$BJ$80)+'LINEST VARS'!$E$60*(8*$AZ88)+'LINEST VARS'!$D$60*(8*12.73)+'LINEST VARS'!$C$60*($BJ$80*$AZ88)+'LINEST VARS'!$B$60*($BJ$80*12.73)+'LINEST VARS'!$A$60*($AZ88*12.73)</f>
        <v>40.460000000000015</v>
      </c>
      <c r="BK88" s="46">
        <f>'LINEST VARS'!$U$60+'LINEST VARS'!$T$60*(8)+'LINEST VARS'!$S$60*(8)+'LINEST VARS'!$R$60*($BK$80)+'LINEST VARS'!$Q$60*($AZ88)+'LINEST VARS'!$P$60*(12.73)+'LINEST VARS'!$O$60*(8^2)+'LINEST VARS'!$N$60*(8^2)+'LINEST VARS'!$M$60*($BK$80^2)+'LINEST VARS'!$L$60*($AZ88^2)+'LINEST VARS'!$K$60*(12.73^2)+'LINEST VARS'!$J$60*(8*8)+'LINEST VARS'!$I$60*(8*$BK$80)+'LINEST VARS'!$H$60*(8*$AZ88)+'LINEST VARS'!$G$60*(8*12.73)+'LINEST VARS'!$F$60*(8*$BK$80)+'LINEST VARS'!$E$60*(8*$AZ88)+'LINEST VARS'!$D$60*(8*12.73)+'LINEST VARS'!$C$60*($BK$80*$AZ88)+'LINEST VARS'!$B$60*($BK$80*12.73)+'LINEST VARS'!$A$60*($AZ88*12.73)</f>
        <v>40.460000000000015</v>
      </c>
      <c r="BL88" s="46">
        <f>'LINEST VARS'!$U$60+'LINEST VARS'!$T$60*(8)+'LINEST VARS'!$S$60*(8)+'LINEST VARS'!$R$60*($BL$80)+'LINEST VARS'!$Q$60*($AZ88)+'LINEST VARS'!$P$60*(12.73)+'LINEST VARS'!$O$60*(8^2)+'LINEST VARS'!$N$60*(8^2)+'LINEST VARS'!$M$60*($BL$80^2)+'LINEST VARS'!$L$60*($AZ88^2)+'LINEST VARS'!$K$60*(12.73^2)+'LINEST VARS'!$J$60*(8*8)+'LINEST VARS'!$I$60*(8*$BL$80)+'LINEST VARS'!$H$60*(8*$AZ88)+'LINEST VARS'!$G$60*(8*12.73)+'LINEST VARS'!$F$60*(8*$BL$80)+'LINEST VARS'!$E$60*(8*$AZ88)+'LINEST VARS'!$D$60*(8*12.73)+'LINEST VARS'!$C$60*($BL$80*$AZ88)+'LINEST VARS'!$B$60*($BL$80*12.73)+'LINEST VARS'!$A$60*($AZ88*12.73)</f>
        <v>40.460000000000008</v>
      </c>
      <c r="BM88" s="46">
        <f>'LINEST VARS'!$U$60+'LINEST VARS'!$T$60*(8)+'LINEST VARS'!$S$60*(8)+'LINEST VARS'!$R$60*($BM$80)+'LINEST VARS'!$Q$60*($AZ88)+'LINEST VARS'!$P$60*(12.73)+'LINEST VARS'!$O$60*(8^2)+'LINEST VARS'!$N$60*(8^2)+'LINEST VARS'!$M$60*($BM$80^2)+'LINEST VARS'!$L$60*($AZ88^2)+'LINEST VARS'!$K$60*(12.73^2)+'LINEST VARS'!$J$60*(8*8)+'LINEST VARS'!$I$60*(8*$BM$80)+'LINEST VARS'!$H$60*(8*$AZ88)+'LINEST VARS'!$G$60*(8*12.73)+'LINEST VARS'!$F$60*(8*$BM$80)+'LINEST VARS'!$E$60*(8*$AZ88)+'LINEST VARS'!$D$60*(8*12.73)+'LINEST VARS'!$C$60*($BM$80*$AZ88)+'LINEST VARS'!$B$60*($BM$80*12.73)+'LINEST VARS'!$A$60*($AZ88*12.73)</f>
        <v>40.460000000000015</v>
      </c>
      <c r="BN88" s="46">
        <f>'LINEST VARS'!$U$60+'LINEST VARS'!$T$60*(8)+'LINEST VARS'!$S$60*(8)+'LINEST VARS'!$R$60*($BN$80)+'LINEST VARS'!$Q$60*($AZ88)+'LINEST VARS'!$P$60*(12.73)+'LINEST VARS'!$O$60*(8^2)+'LINEST VARS'!$N$60*(8^2)+'LINEST VARS'!$M$60*($BN$80^2)+'LINEST VARS'!$L$60*($AZ88^2)+'LINEST VARS'!$K$60*(12.73^2)+'LINEST VARS'!$J$60*(8*8)+'LINEST VARS'!$I$60*(8*$BN$80)+'LINEST VARS'!$H$60*(8*$AZ88)+'LINEST VARS'!$G$60*(8*12.73)+'LINEST VARS'!$F$60*(8*$BN$80)+'LINEST VARS'!$E$60*(8*$AZ88)+'LINEST VARS'!$D$60*(8*12.73)+'LINEST VARS'!$C$60*($BN$80*$AZ88)+'LINEST VARS'!$B$60*($BN$80*12.73)+'LINEST VARS'!$A$60*($AZ88*12.73)</f>
        <v>40.460000000000008</v>
      </c>
      <c r="BO88" s="46">
        <f>'LINEST VARS'!$U$60+'LINEST VARS'!$T$60*(8)+'LINEST VARS'!$S$60*(8)+'LINEST VARS'!$R$60*($BO$80)+'LINEST VARS'!$Q$60*($AZ88)+'LINEST VARS'!$P$60*(12.73)+'LINEST VARS'!$O$60*(8^2)+'LINEST VARS'!$N$60*(8^2)+'LINEST VARS'!$M$60*($BO$80^2)+'LINEST VARS'!$L$60*($AZ88^2)+'LINEST VARS'!$K$60*(12.73^2)+'LINEST VARS'!$J$60*(8*8)+'LINEST VARS'!$I$60*(8*$BO$80)+'LINEST VARS'!$H$60*(8*$AZ88)+'LINEST VARS'!$G$60*(8*12.73)+'LINEST VARS'!$F$60*(8*$BO$80)+'LINEST VARS'!$E$60*(8*$AZ88)+'LINEST VARS'!$D$60*(8*12.73)+'LINEST VARS'!$C$60*($BO$80*$AZ88)+'LINEST VARS'!$B$60*($BO$80*12.73)+'LINEST VARS'!$A$60*($AZ88*12.73)</f>
        <v>40.460000000000015</v>
      </c>
      <c r="BP88" s="46">
        <f>'LINEST VARS'!$U$60+'LINEST VARS'!$T$60*(8)+'LINEST VARS'!$S$60*(8)+'LINEST VARS'!$R$60*($BP$80)+'LINEST VARS'!$Q$60*($AZ88)+'LINEST VARS'!$P$60*(12.73)+'LINEST VARS'!$O$60*(8^2)+'LINEST VARS'!$N$60*(8^2)+'LINEST VARS'!$M$60*($BP$80^2)+'LINEST VARS'!$L$60*($AZ88^2)+'LINEST VARS'!$K$60*(12.73^2)+'LINEST VARS'!$J$60*(8*8)+'LINEST VARS'!$I$60*(8*$BP$80)+'LINEST VARS'!$H$60*(8*$AZ88)+'LINEST VARS'!$G$60*(8*12.73)+'LINEST VARS'!$F$60*(8*$BP$80)+'LINEST VARS'!$E$60*(8*$AZ88)+'LINEST VARS'!$D$60*(8*12.73)+'LINEST VARS'!$C$60*($BP$80*$AZ88)+'LINEST VARS'!$B$60*($BP$80*12.73)+'LINEST VARS'!$A$60*($AZ88*12.73)</f>
        <v>40.460000000000015</v>
      </c>
      <c r="BQ88" s="46">
        <f>'LINEST VARS'!$U$60+'LINEST VARS'!$T$60*(8)+'LINEST VARS'!$S$60*(8)+'LINEST VARS'!$R$60*($BQ$80)+'LINEST VARS'!$Q$60*($AZ88)+'LINEST VARS'!$P$60*(12.73)+'LINEST VARS'!$O$60*(8^2)+'LINEST VARS'!$N$60*(8^2)+'LINEST VARS'!$M$60*($BQ$80^2)+'LINEST VARS'!$L$60*($AZ88^2)+'LINEST VARS'!$K$60*(12.73^2)+'LINEST VARS'!$J$60*(8*8)+'LINEST VARS'!$I$60*(8*$BQ$80)+'LINEST VARS'!$H$60*(8*$AZ88)+'LINEST VARS'!$G$60*(8*12.73)+'LINEST VARS'!$F$60*(8*$BQ$80)+'LINEST VARS'!$E$60*(8*$AZ88)+'LINEST VARS'!$D$60*(8*12.73)+'LINEST VARS'!$C$60*($BQ$80*$AZ88)+'LINEST VARS'!$B$60*($BQ$80*12.73)+'LINEST VARS'!$A$60*($AZ88*12.73)</f>
        <v>40.460000000000015</v>
      </c>
      <c r="BR88" s="46">
        <f>'LINEST VARS'!$U$60+'LINEST VARS'!$T$60*(8)+'LINEST VARS'!$S$60*(8)+'LINEST VARS'!$R$60*($BR$80)+'LINEST VARS'!$Q$60*($AZ88)+'LINEST VARS'!$P$60*(12.73)+'LINEST VARS'!$O$60*(8^2)+'LINEST VARS'!$N$60*(8^2)+'LINEST VARS'!$M$60*($BR$80^2)+'LINEST VARS'!$L$60*($AZ88^2)+'LINEST VARS'!$K$60*(12.73^2)+'LINEST VARS'!$J$60*(8*8)+'LINEST VARS'!$I$60*(8*$BR$80)+'LINEST VARS'!$H$60*(8*$AZ88)+'LINEST VARS'!$G$60*(8*12.73)+'LINEST VARS'!$F$60*(8*$BR$80)+'LINEST VARS'!$E$60*(8*$AZ88)+'LINEST VARS'!$D$60*(8*12.73)+'LINEST VARS'!$C$60*($BR$80*$AZ88)+'LINEST VARS'!$B$60*($BR$80*12.73)+'LINEST VARS'!$A$60*($AZ88*12.73)</f>
        <v>40.460000000000015</v>
      </c>
      <c r="BS88" s="46">
        <f>'LINEST VARS'!$U$60+'LINEST VARS'!$T$60*(8)+'LINEST VARS'!$S$60*(8)+'LINEST VARS'!$R$60*($BS$80)+'LINEST VARS'!$Q$60*($AZ88)+'LINEST VARS'!$P$60*(12.73)+'LINEST VARS'!$O$60*(8^2)+'LINEST VARS'!$N$60*(8^2)+'LINEST VARS'!$M$60*($BS$80^2)+'LINEST VARS'!$L$60*($AZ88^2)+'LINEST VARS'!$K$60*(12.73^2)+'LINEST VARS'!$J$60*(8*8)+'LINEST VARS'!$I$60*(8*$BS$80)+'LINEST VARS'!$H$60*(8*$AZ88)+'LINEST VARS'!$G$60*(8*12.73)+'LINEST VARS'!$F$60*(8*$BS$80)+'LINEST VARS'!$E$60*(8*$AZ88)+'LINEST VARS'!$D$60*(8*12.73)+'LINEST VARS'!$C$60*($BS$80*$AZ88)+'LINEST VARS'!$B$60*($BS$80*12.73)+'LINEST VARS'!$A$60*($AZ88*12.73)</f>
        <v>40.460000000000008</v>
      </c>
      <c r="BT88" s="46">
        <f>'LINEST VARS'!$U$60+'LINEST VARS'!$T$60*(8)+'LINEST VARS'!$S$60*(8)+'LINEST VARS'!$R$60*($BT$80)+'LINEST VARS'!$Q$60*($AZ88)+'LINEST VARS'!$P$60*(12.73)+'LINEST VARS'!$O$60*(8^2)+'LINEST VARS'!$N$60*(8^2)+'LINEST VARS'!$M$60*($BT$80^2)+'LINEST VARS'!$L$60*($AZ88^2)+'LINEST VARS'!$K$60*(12.73^2)+'LINEST VARS'!$J$60*(8*8)+'LINEST VARS'!$I$60*(8*$BT$80)+'LINEST VARS'!$H$60*(8*$AZ88)+'LINEST VARS'!$G$60*(8*12.73)+'LINEST VARS'!$F$60*(8*$BT$80)+'LINEST VARS'!$E$60*(8*$AZ88)+'LINEST VARS'!$D$60*(8*12.73)+'LINEST VARS'!$C$60*($BT$80*$AZ88)+'LINEST VARS'!$B$60*($BT$80*12.73)+'LINEST VARS'!$A$60*($AZ88*12.73)</f>
        <v>40.460000000000015</v>
      </c>
      <c r="BU88" s="47">
        <f>'LINEST VARS'!$U$60+'LINEST VARS'!$T$60*(8)+'LINEST VARS'!$S$60*(8)+'LINEST VARS'!$R$60*($BU$80)+'LINEST VARS'!$Q$60*($AZ88)+'LINEST VARS'!$P$60*(12.73)+'LINEST VARS'!$O$60*(8^2)+'LINEST VARS'!$N$60*(8^2)+'LINEST VARS'!$M$60*($BU$80^2)+'LINEST VARS'!$L$60*($AZ88^2)+'LINEST VARS'!$K$60*(12.73^2)+'LINEST VARS'!$J$60*(8*8)+'LINEST VARS'!$I$60*(8*$BU$80)+'LINEST VARS'!$H$60*(8*$AZ88)+'LINEST VARS'!$G$60*(8*12.73)+'LINEST VARS'!$F$60*(8*$BU$80)+'LINEST VARS'!$E$60*(8*$AZ88)+'LINEST VARS'!$D$60*(8*12.73)+'LINEST VARS'!$C$60*($BU$80*$AZ88)+'LINEST VARS'!$B$60*($BU$80*12.73)+'LINEST VARS'!$A$60*($AZ88*12.73)</f>
        <v>40.460000000000015</v>
      </c>
      <c r="BX88" s="45">
        <v>0.35</v>
      </c>
      <c r="BY88" s="55">
        <f>'LINEST VARS'!$U$62+'LINEST VARS'!$T$62*(8)+'LINEST VARS'!$S$62*(8)+'LINEST VARS'!$R$62*($BY$80)+'LINEST VARS'!$Q$62*($BX88)+'LINEST VARS'!$P$62*(12.73)+'LINEST VARS'!$O$62*(8^2)+'LINEST VARS'!$N$62*(8^2)+'LINEST VARS'!$M$62*($BY$80^2)+'LINEST VARS'!$L$62*($BX88^2)+'LINEST VARS'!$K$62*(12.73^2)+'LINEST VARS'!$J$62*(8*8)+'LINEST VARS'!$I$62*(8*$BY$80)+'LINEST VARS'!$H$62*(8*$BX88)+'LINEST VARS'!$G$62*(8*12.73)+'LINEST VARS'!$F$62*(8*$BY$80)+'LINEST VARS'!$E$62*(8*$BX88)+'LINEST VARS'!$D$62*(8*12.73)+'LINEST VARS'!$C$62*($BY$80*$BX88)+'LINEST VARS'!$B$62*($BY$80*12.73)+'LINEST VARS'!$A$62*($BX88*12.73)</f>
        <v>349.75499999999988</v>
      </c>
      <c r="BZ88" s="55">
        <f>'LINEST VARS'!$U$62+'LINEST VARS'!$T$62*(8)+'LINEST VARS'!$S$62*(8)+'LINEST VARS'!$R$62*($BZ$80)+'LINEST VARS'!$Q$62*($BX88)+'LINEST VARS'!$P$62*(12.73)+'LINEST VARS'!$O$62*(8^2)+'LINEST VARS'!$N$62*(8^2)+'LINEST VARS'!$M$62*($BZ$80^2)+'LINEST VARS'!$L$62*($BX88^2)+'LINEST VARS'!$K$62*(12.73^2)+'LINEST VARS'!$J$62*(8*8)+'LINEST VARS'!$I$62*(8*$BZ$80)+'LINEST VARS'!$H$62*(8*$BX88)+'LINEST VARS'!$G$62*(8*12.73)+'LINEST VARS'!$F$62*(8*$BZ$80)+'LINEST VARS'!$E$62*(8*$BX88)+'LINEST VARS'!$D$62*(8*12.73)+'LINEST VARS'!$C$62*($BZ$80*$BX88)+'LINEST VARS'!$B$62*($BZ$80*12.73)+'LINEST VARS'!$A$62*($BX88*12.73)</f>
        <v>348.95499999999993</v>
      </c>
      <c r="CA88" s="55">
        <f>'LINEST VARS'!$U$62+'LINEST VARS'!$T$62*(8)+'LINEST VARS'!$S$62*(8)+'LINEST VARS'!$R$62*($CA$80)+'LINEST VARS'!$Q$62*($BX88)+'LINEST VARS'!$P$62*(12.73)+'LINEST VARS'!$O$62*(8^2)+'LINEST VARS'!$N$62*(8^2)+'LINEST VARS'!$M$62*($CA$80^2)+'LINEST VARS'!$L$62*($BX88^2)+'LINEST VARS'!$K$62*(12.73^2)+'LINEST VARS'!$J$62*(8*8)+'LINEST VARS'!$I$62*(8*$CA$80)+'LINEST VARS'!$H$62*(8*$BX88)+'LINEST VARS'!$G$62*(8*12.73)+'LINEST VARS'!$F$62*(8*$CA$80)+'LINEST VARS'!$E$62*(8*$BX88)+'LINEST VARS'!$D$62*(8*12.73)+'LINEST VARS'!$C$62*($CA$80*$BX88)+'LINEST VARS'!$B$62*($CA$80*12.73)+'LINEST VARS'!$A$62*($BX88*12.73)</f>
        <v>346.55499999999984</v>
      </c>
      <c r="CB88" s="55">
        <f>'LINEST VARS'!$U$62+'LINEST VARS'!$T$62*(8)+'LINEST VARS'!$S$62*(8)+'LINEST VARS'!$R$62*($CB$80)+'LINEST VARS'!$Q$62*($BX88)+'LINEST VARS'!$P$62*(12.73)+'LINEST VARS'!$O$62*(8^2)+'LINEST VARS'!$N$62*(8^2)+'LINEST VARS'!$M$62*($CB$80^2)+'LINEST VARS'!$L$62*($BX88^2)+'LINEST VARS'!$K$62*(12.73^2)+'LINEST VARS'!$J$62*(8*8)+'LINEST VARS'!$I$62*(8*$CB$80)+'LINEST VARS'!$H$62*(8*$BX88)+'LINEST VARS'!$G$62*(8*12.73)+'LINEST VARS'!$F$62*(8*$CB$80)+'LINEST VARS'!$E$62*(8*$BX88)+'LINEST VARS'!$D$62*(8*12.73)+'LINEST VARS'!$C$62*($CB$80*$BX88)+'LINEST VARS'!$B$62*($CB$80*12.73)+'LINEST VARS'!$A$62*($BX88*12.73)</f>
        <v>342.55499999999989</v>
      </c>
      <c r="CC88" s="55">
        <f>'LINEST VARS'!$U$62+'LINEST VARS'!$T$62*(8)+'LINEST VARS'!$S$62*(8)+'LINEST VARS'!$R$62*($CC$80)+'LINEST VARS'!$Q$62*($BX88)+'LINEST VARS'!$P$62*(12.73)+'LINEST VARS'!$O$62*(8^2)+'LINEST VARS'!$N$62*(8^2)+'LINEST VARS'!$M$62*($CC$80^2)+'LINEST VARS'!$L$62*($BX88^2)+'LINEST VARS'!$K$62*(12.73^2)+'LINEST VARS'!$J$62*(8*8)+'LINEST VARS'!$I$62*(8*$CC$80)+'LINEST VARS'!$H$62*(8*$BX88)+'LINEST VARS'!$G$62*(8*12.73)+'LINEST VARS'!$F$62*(8*$CC$80)+'LINEST VARS'!$E$62*(8*$BX88)+'LINEST VARS'!$D$62*(8*12.73)+'LINEST VARS'!$C$62*($CC$80*$BX88)+'LINEST VARS'!$B$62*($CC$80*12.73)+'LINEST VARS'!$A$62*($BX88*12.73)</f>
        <v>336.95499999999993</v>
      </c>
      <c r="CD88" s="55">
        <f>'LINEST VARS'!$U$62+'LINEST VARS'!$T$62*(8)+'LINEST VARS'!$S$62*(8)+'LINEST VARS'!$R$62*($CD$80)+'LINEST VARS'!$Q$62*($BX88)+'LINEST VARS'!$P$62*(12.73)+'LINEST VARS'!$O$62*(8^2)+'LINEST VARS'!$N$62*(8^2)+'LINEST VARS'!$M$62*($CD$80^2)+'LINEST VARS'!$L$62*($BX88^2)+'LINEST VARS'!$K$62*(12.73^2)+'LINEST VARS'!$J$62*(8*8)+'LINEST VARS'!$I$62*(8*$CD$80)+'LINEST VARS'!$H$62*(8*$BX88)+'LINEST VARS'!$G$62*(8*12.73)+'LINEST VARS'!$F$62*(8*$CD$80)+'LINEST VARS'!$E$62*(8*$BX88)+'LINEST VARS'!$D$62*(8*12.73)+'LINEST VARS'!$C$62*($CD$80*$BX88)+'LINEST VARS'!$B$62*($CD$80*12.73)+'LINEST VARS'!$A$62*($BX88*12.73)</f>
        <v>329.755</v>
      </c>
      <c r="CE88" s="55">
        <f>'LINEST VARS'!$U$62+'LINEST VARS'!$T$62*(8)+'LINEST VARS'!$S$62*(8)+'LINEST VARS'!$R$62*($CE$80)+'LINEST VARS'!$Q$62*($BX88)+'LINEST VARS'!$P$62*(12.73)+'LINEST VARS'!$O$62*(8^2)+'LINEST VARS'!$N$62*(8^2)+'LINEST VARS'!$M$62*($CE$80^2)+'LINEST VARS'!$L$62*($BX88^2)+'LINEST VARS'!$K$62*(12.73^2)+'LINEST VARS'!$J$62*(8*8)+'LINEST VARS'!$I$62*(8*$CE$80)+'LINEST VARS'!$H$62*(8*$BX88)+'LINEST VARS'!$G$62*(8*12.73)+'LINEST VARS'!$F$62*(8*$CE$80)+'LINEST VARS'!$E$62*(8*$BX88)+'LINEST VARS'!$D$62*(8*12.73)+'LINEST VARS'!$C$62*($CE$80*$BX88)+'LINEST VARS'!$B$62*($CE$80*12.73)+'LINEST VARS'!$A$62*($BX88*12.73)</f>
        <v>320.95499999999993</v>
      </c>
      <c r="CF88" s="55">
        <f>'LINEST VARS'!$U$62+'LINEST VARS'!$T$62*(8)+'LINEST VARS'!$S$62*(8)+'LINEST VARS'!$R$62*($CF$80)+'LINEST VARS'!$Q$62*($BX88)+'LINEST VARS'!$P$62*(12.73)+'LINEST VARS'!$O$62*(8^2)+'LINEST VARS'!$N$62*(8^2)+'LINEST VARS'!$M$62*($CF$80^2)+'LINEST VARS'!$L$62*($BX88^2)+'LINEST VARS'!$K$62*(12.73^2)+'LINEST VARS'!$J$62*(8*8)+'LINEST VARS'!$I$62*(8*$CF$80)+'LINEST VARS'!$H$62*(8*$BX88)+'LINEST VARS'!$G$62*(8*12.73)+'LINEST VARS'!$F$62*(8*$CF$80)+'LINEST VARS'!$E$62*(8*$BX88)+'LINEST VARS'!$D$62*(8*12.73)+'LINEST VARS'!$C$62*($CF$80*$BX88)+'LINEST VARS'!$B$62*($CF$80*12.73)+'LINEST VARS'!$A$62*($BX88*12.73)</f>
        <v>310.55499999999995</v>
      </c>
      <c r="CG88" s="55">
        <f>'LINEST VARS'!$U$62+'LINEST VARS'!$T$62*(8)+'LINEST VARS'!$S$62*(8)+'LINEST VARS'!$R$62*($CG$80)+'LINEST VARS'!$Q$62*($BX88)+'LINEST VARS'!$P$62*(12.73)+'LINEST VARS'!$O$62*(8^2)+'LINEST VARS'!$N$62*(8^2)+'LINEST VARS'!$M$62*($CG$80^2)+'LINEST VARS'!$L$62*($BX88^2)+'LINEST VARS'!$K$62*(12.73^2)+'LINEST VARS'!$J$62*(8*8)+'LINEST VARS'!$I$62*(8*$CG$80)+'LINEST VARS'!$H$62*(8*$BX88)+'LINEST VARS'!$G$62*(8*12.73)+'LINEST VARS'!$F$62*(8*$CG$80)+'LINEST VARS'!$E$62*(8*$BX88)+'LINEST VARS'!$D$62*(8*12.73)+'LINEST VARS'!$C$62*($CG$80*$BX88)+'LINEST VARS'!$B$62*($CG$80*12.73)+'LINEST VARS'!$A$62*($BX88*12.73)</f>
        <v>298.55499999999995</v>
      </c>
      <c r="CH88" s="55">
        <f>'LINEST VARS'!$U$62+'LINEST VARS'!$T$62*(8)+'LINEST VARS'!$S$62*(8)+'LINEST VARS'!$R$62*($CH$80)+'LINEST VARS'!$Q$62*($BX88)+'LINEST VARS'!$P$62*(12.73)+'LINEST VARS'!$O$62*(8^2)+'LINEST VARS'!$N$62*(8^2)+'LINEST VARS'!$M$62*($CH$80^2)+'LINEST VARS'!$L$62*($BX88^2)+'LINEST VARS'!$K$62*(12.73^2)+'LINEST VARS'!$J$62*(8*8)+'LINEST VARS'!$I$62*(8*$CH$80)+'LINEST VARS'!$H$62*(8*$BX88)+'LINEST VARS'!$G$62*(8*12.73)+'LINEST VARS'!$F$62*(8*$CH$80)+'LINEST VARS'!$E$62*(8*$BX88)+'LINEST VARS'!$D$62*(8*12.73)+'LINEST VARS'!$C$62*($CH$80*$BX88)+'LINEST VARS'!$B$62*($CH$80*12.73)+'LINEST VARS'!$A$62*($BX88*12.73)</f>
        <v>284.95499999999993</v>
      </c>
      <c r="CI88" s="55">
        <f>'LINEST VARS'!$U$62+'LINEST VARS'!$T$62*(8)+'LINEST VARS'!$S$62*(8)+'LINEST VARS'!$R$62*($CI$80)+'LINEST VARS'!$Q$62*($BX88)+'LINEST VARS'!$P$62*(12.73)+'LINEST VARS'!$O$62*(8^2)+'LINEST VARS'!$N$62*(8^2)+'LINEST VARS'!$M$62*($CI$80^2)+'LINEST VARS'!$L$62*($BX88^2)+'LINEST VARS'!$K$62*(12.73^2)+'LINEST VARS'!$J$62*(8*8)+'LINEST VARS'!$I$62*(8*$CI$80)+'LINEST VARS'!$H$62*(8*$BX88)+'LINEST VARS'!$G$62*(8*12.73)+'LINEST VARS'!$F$62*(8*$CI$80)+'LINEST VARS'!$E$62*(8*$BX88)+'LINEST VARS'!$D$62*(8*12.73)+'LINEST VARS'!$C$62*($CI$80*$BX88)+'LINEST VARS'!$B$62*($CI$80*12.73)+'LINEST VARS'!$A$62*($BX88*12.73)</f>
        <v>269.75499999999994</v>
      </c>
      <c r="CJ88" s="55">
        <f>'LINEST VARS'!$U$62+'LINEST VARS'!$T$62*(8)+'LINEST VARS'!$S$62*(8)+'LINEST VARS'!$R$62*($CJ$80)+'LINEST VARS'!$Q$62*($BX88)+'LINEST VARS'!$P$62*(12.73)+'LINEST VARS'!$O$62*(8^2)+'LINEST VARS'!$N$62*(8^2)+'LINEST VARS'!$M$62*($CJ$80^2)+'LINEST VARS'!$L$62*($BX88^2)+'LINEST VARS'!$K$62*(12.73^2)+'LINEST VARS'!$J$62*(8*8)+'LINEST VARS'!$I$62*(8*$CJ$80)+'LINEST VARS'!$H$62*(8*$BX88)+'LINEST VARS'!$G$62*(8*12.73)+'LINEST VARS'!$F$62*(8*$CJ$80)+'LINEST VARS'!$E$62*(8*$BX88)+'LINEST VARS'!$D$62*(8*12.73)+'LINEST VARS'!$C$62*($CJ$80*$BX88)+'LINEST VARS'!$B$62*($CJ$80*12.73)+'LINEST VARS'!$A$62*($BX88*12.73)</f>
        <v>252.95500000000004</v>
      </c>
      <c r="CK88" s="55">
        <f>'LINEST VARS'!$U$62+'LINEST VARS'!$T$62*(8)+'LINEST VARS'!$S$62*(8)+'LINEST VARS'!$R$62*($CK$80)+'LINEST VARS'!$Q$62*($BX88)+'LINEST VARS'!$P$62*(12.73)+'LINEST VARS'!$O$62*(8^2)+'LINEST VARS'!$N$62*(8^2)+'LINEST VARS'!$M$62*($CK$80^2)+'LINEST VARS'!$L$62*($BX88^2)+'LINEST VARS'!$K$62*(12.73^2)+'LINEST VARS'!$J$62*(8*8)+'LINEST VARS'!$I$62*(8*$CK$80)+'LINEST VARS'!$H$62*(8*$BX88)+'LINEST VARS'!$G$62*(8*12.73)+'LINEST VARS'!$F$62*(8*$CK$80)+'LINEST VARS'!$E$62*(8*$BX88)+'LINEST VARS'!$D$62*(8*12.73)+'LINEST VARS'!$C$62*($CK$80*$BX88)+'LINEST VARS'!$B$62*($CK$80*12.73)+'LINEST VARS'!$A$62*($BX88*12.73)</f>
        <v>234.55500000000009</v>
      </c>
      <c r="CL88" s="55">
        <f>'LINEST VARS'!$U$62+'LINEST VARS'!$T$62*(8)+'LINEST VARS'!$S$62*(8)+'LINEST VARS'!$R$62*($CL$80)+'LINEST VARS'!$Q$62*($BX88)+'LINEST VARS'!$P$62*(12.73)+'LINEST VARS'!$O$62*(8^2)+'LINEST VARS'!$N$62*(8^2)+'LINEST VARS'!$M$62*($CL$80^2)+'LINEST VARS'!$L$62*($BX88^2)+'LINEST VARS'!$K$62*(12.73^2)+'LINEST VARS'!$J$62*(8*8)+'LINEST VARS'!$I$62*(8*$CL$80)+'LINEST VARS'!$H$62*(8*$BX88)+'LINEST VARS'!$G$62*(8*12.73)+'LINEST VARS'!$F$62*(8*$CL$80)+'LINEST VARS'!$E$62*(8*$BX88)+'LINEST VARS'!$D$62*(8*12.73)+'LINEST VARS'!$C$62*($CL$80*$BX88)+'LINEST VARS'!$B$62*($CL$80*12.73)+'LINEST VARS'!$A$62*($BX88*12.73)</f>
        <v>214.55500000000004</v>
      </c>
      <c r="CM88" s="55">
        <f>'LINEST VARS'!$U$62+'LINEST VARS'!$T$62*(8)+'LINEST VARS'!$S$62*(8)+'LINEST VARS'!$R$62*($CM$80)+'LINEST VARS'!$Q$62*($BX88)+'LINEST VARS'!$P$62*(12.73)+'LINEST VARS'!$O$62*(8^2)+'LINEST VARS'!$N$62*(8^2)+'LINEST VARS'!$M$62*($CM$80^2)+'LINEST VARS'!$L$62*($BX88^2)+'LINEST VARS'!$K$62*(12.73^2)+'LINEST VARS'!$J$62*(8*8)+'LINEST VARS'!$I$62*(8*$CM$80)+'LINEST VARS'!$H$62*(8*$BX88)+'LINEST VARS'!$G$62*(8*12.73)+'LINEST VARS'!$F$62*(8*$CM$80)+'LINEST VARS'!$E$62*(8*$BX88)+'LINEST VARS'!$D$62*(8*12.73)+'LINEST VARS'!$C$62*($CM$80*$BX88)+'LINEST VARS'!$B$62*($CM$80*12.73)+'LINEST VARS'!$A$62*($BX88*12.73)</f>
        <v>192.95500000000013</v>
      </c>
      <c r="CN88" s="55">
        <f>'LINEST VARS'!$U$62+'LINEST VARS'!$T$62*(8)+'LINEST VARS'!$S$62*(8)+'LINEST VARS'!$R$62*($CN$80)+'LINEST VARS'!$Q$62*($BX88)+'LINEST VARS'!$P$62*(12.73)+'LINEST VARS'!$O$62*(8^2)+'LINEST VARS'!$N$62*(8^2)+'LINEST VARS'!$M$62*($CN$80^2)+'LINEST VARS'!$L$62*($BX88^2)+'LINEST VARS'!$K$62*(12.73^2)+'LINEST VARS'!$J$62*(8*8)+'LINEST VARS'!$I$62*(8*$CN$80)+'LINEST VARS'!$H$62*(8*$BX88)+'LINEST VARS'!$G$62*(8*12.73)+'LINEST VARS'!$F$62*(8*$CN$80)+'LINEST VARS'!$E$62*(8*$BX88)+'LINEST VARS'!$D$62*(8*12.73)+'LINEST VARS'!$C$62*($CN$80*$BX88)+'LINEST VARS'!$B$62*($CN$80*12.73)+'LINEST VARS'!$A$62*($BX88*12.73)</f>
        <v>169.75500000000011</v>
      </c>
      <c r="CO88" s="55">
        <f>'LINEST VARS'!$U$62+'LINEST VARS'!$T$62*(8)+'LINEST VARS'!$S$62*(8)+'LINEST VARS'!$R$62*($CO$80)+'LINEST VARS'!$Q$62*($BX88)+'LINEST VARS'!$P$62*(12.73)+'LINEST VARS'!$O$62*(8^2)+'LINEST VARS'!$N$62*(8^2)+'LINEST VARS'!$M$62*($CO$80^2)+'LINEST VARS'!$L$62*($BX88^2)+'LINEST VARS'!$K$62*(12.73^2)+'LINEST VARS'!$J$62*(8*8)+'LINEST VARS'!$I$62*(8*$CO$80)+'LINEST VARS'!$H$62*(8*$BX88)+'LINEST VARS'!$G$62*(8*12.73)+'LINEST VARS'!$F$62*(8*$CO$80)+'LINEST VARS'!$E$62*(8*$BX88)+'LINEST VARS'!$D$62*(8*12.73)+'LINEST VARS'!$C$62*($CO$80*$BX88)+'LINEST VARS'!$B$62*($CO$80*12.73)+'LINEST VARS'!$A$62*($BX88*12.73)</f>
        <v>144.95500000000013</v>
      </c>
      <c r="CP88" s="55">
        <f>'LINEST VARS'!$U$62+'LINEST VARS'!$T$62*(8)+'LINEST VARS'!$S$62*(8)+'LINEST VARS'!$R$62*($CP$80)+'LINEST VARS'!$Q$62*($BX88)+'LINEST VARS'!$P$62*(12.73)+'LINEST VARS'!$O$62*(8^2)+'LINEST VARS'!$N$62*(8^2)+'LINEST VARS'!$M$62*($CP$80^2)+'LINEST VARS'!$L$62*($BX88^2)+'LINEST VARS'!$K$62*(12.73^2)+'LINEST VARS'!$J$62*(8*8)+'LINEST VARS'!$I$62*(8*$CP$80)+'LINEST VARS'!$H$62*(8*$BX88)+'LINEST VARS'!$G$62*(8*12.73)+'LINEST VARS'!$F$62*(8*$CP$80)+'LINEST VARS'!$E$62*(8*$BX88)+'LINEST VARS'!$D$62*(8*12.73)+'LINEST VARS'!$C$62*($CP$80*$BX88)+'LINEST VARS'!$B$62*($CP$80*12.73)+'LINEST VARS'!$A$62*($BX88*12.73)</f>
        <v>118.55500000000013</v>
      </c>
      <c r="CQ88" s="55">
        <f>'LINEST VARS'!$U$62+'LINEST VARS'!$T$62*(8)+'LINEST VARS'!$S$62*(8)+'LINEST VARS'!$R$62*($CQ$80)+'LINEST VARS'!$Q$62*($BX88)+'LINEST VARS'!$P$62*(12.73)+'LINEST VARS'!$O$62*(8^2)+'LINEST VARS'!$N$62*(8^2)+'LINEST VARS'!$M$62*($CQ$80^2)+'LINEST VARS'!$L$62*($BX88^2)+'LINEST VARS'!$K$62*(12.73^2)+'LINEST VARS'!$J$62*(8*8)+'LINEST VARS'!$I$62*(8*$CQ$80)+'LINEST VARS'!$H$62*(8*$BX88)+'LINEST VARS'!$G$62*(8*12.73)+'LINEST VARS'!$F$62*(8*$CQ$80)+'LINEST VARS'!$E$62*(8*$BX88)+'LINEST VARS'!$D$62*(8*12.73)+'LINEST VARS'!$C$62*($CQ$80*$BX88)+'LINEST VARS'!$B$62*($CQ$80*12.73)+'LINEST VARS'!$A$62*($BX88*12.73)</f>
        <v>90.555000000000135</v>
      </c>
      <c r="CR88" s="55">
        <f>'LINEST VARS'!$U$62+'LINEST VARS'!$T$62*(8)+'LINEST VARS'!$S$62*(8)+'LINEST VARS'!$R$62*($CR$80)+'LINEST VARS'!$Q$62*($BX88)+'LINEST VARS'!$P$62*(12.73)+'LINEST VARS'!$O$62*(8^2)+'LINEST VARS'!$N$62*(8^2)+'LINEST VARS'!$M$62*($CR$80^2)+'LINEST VARS'!$L$62*($BX88^2)+'LINEST VARS'!$K$62*(12.73^2)+'LINEST VARS'!$J$62*(8*8)+'LINEST VARS'!$I$62*(8*$CR$80)+'LINEST VARS'!$H$62*(8*$BX88)+'LINEST VARS'!$G$62*(8*12.73)+'LINEST VARS'!$F$62*(8*$CR$80)+'LINEST VARS'!$E$62*(8*$BX88)+'LINEST VARS'!$D$62*(8*12.73)+'LINEST VARS'!$C$62*($CR$80*$BX88)+'LINEST VARS'!$B$62*($CR$80*12.73)+'LINEST VARS'!$A$62*($BX88*12.73)</f>
        <v>60.955000000000176</v>
      </c>
      <c r="CS88" s="56">
        <f>'LINEST VARS'!$U$62+'LINEST VARS'!$T$62*(8)+'LINEST VARS'!$S$62*(8)+'LINEST VARS'!$R$62*($CS$80)+'LINEST VARS'!$Q$62*($BX88)+'LINEST VARS'!$P$62*(12.73)+'LINEST VARS'!$O$62*(8^2)+'LINEST VARS'!$N$62*(8^2)+'LINEST VARS'!$M$62*($CS$80^2)+'LINEST VARS'!$L$62*($BX88^2)+'LINEST VARS'!$K$62*(12.73^2)+'LINEST VARS'!$J$62*(8*8)+'LINEST VARS'!$I$62*(8*$CS$80)+'LINEST VARS'!$H$62*(8*$BX88)+'LINEST VARS'!$G$62*(8*12.73)+'LINEST VARS'!$F$62*(8*$CS$80)+'LINEST VARS'!$E$62*(8*$BX88)+'LINEST VARS'!$D$62*(8*12.73)+'LINEST VARS'!$C$62*($CS$80*$BX88)+'LINEST VARS'!$B$62*($CS$80*12.73)+'LINEST VARS'!$A$62*($BX88*12.73)</f>
        <v>29.755000000000212</v>
      </c>
      <c r="CX88" s="45">
        <v>9.0965000000000007</v>
      </c>
      <c r="CY88" s="46">
        <f>'LINEST VARS'!$U$60+'LINEST VARS'!$T$60*(8)+'LINEST VARS'!$S$60*(8)+'LINEST VARS'!$R$60*($CY$80)+'LINEST VARS'!$Q$60*(0.5)+'LINEST VARS'!$P$60*($CX88)+'LINEST VARS'!$O$60*(8^2)+'LINEST VARS'!$N$60*(8^2)+'LINEST VARS'!$M$60*($CY$80^2)+'LINEST VARS'!$L$60*(0.5^2)+'LINEST VARS'!$K$60*($CX88^2)+'LINEST VARS'!$J$60*(8*8)+'LINEST VARS'!$I$60*(8*$CY$80)+'LINEST VARS'!$H$60*(8*0.5)+'LINEST VARS'!$G$60*(8*$CX88)+'LINEST VARS'!$F$60*(8*$CY$80)+'LINEST VARS'!$E$60*(8*0.5)+'LINEST VARS'!$D$60*(8*$CX88)+'LINEST VARS'!$C$60*($CY$80*0.5)+'LINEST VARS'!$B$60*($CY$80*$CX88)+'LINEST VARS'!$A$60*(0.5*$CX88)</f>
        <v>33.193000000000012</v>
      </c>
      <c r="CZ88" s="46">
        <f>'LINEST VARS'!$U$60+'LINEST VARS'!$T$60*(8)+'LINEST VARS'!$S$60*(8)+'LINEST VARS'!$R$60*($CZ$80)+'LINEST VARS'!$Q$60*(0.5)+'LINEST VARS'!$P$60*($CX88)+'LINEST VARS'!$O$60*(8^2)+'LINEST VARS'!$N$60*(8^2)+'LINEST VARS'!$M$60*($CZ$80^2)+'LINEST VARS'!$L$60*(0.5^2)+'LINEST VARS'!$K$60*($CX88^2)+'LINEST VARS'!$J$60*(8*8)+'LINEST VARS'!$I$60*(8*$CZ$80)+'LINEST VARS'!$H$60*(8*0.5)+'LINEST VARS'!$G$60*(8*$CX88)+'LINEST VARS'!$F$60*(8*$CZ$80)+'LINEST VARS'!$E$60*(8*0.5)+'LINEST VARS'!$D$60*(8*$CX88)+'LINEST VARS'!$C$60*($CZ$80*0.5)+'LINEST VARS'!$B$60*($CZ$80*$CX88)+'LINEST VARS'!$A$60*(0.5*$CX88)</f>
        <v>33.193000000000012</v>
      </c>
      <c r="DA88" s="46">
        <f>'LINEST VARS'!$U$60+'LINEST VARS'!$T$60*(8)+'LINEST VARS'!$S$60*(8)+'LINEST VARS'!$R$60*($DA$80)+'LINEST VARS'!$Q$60*(0.5)+'LINEST VARS'!$P$60*($CX88)+'LINEST VARS'!$O$60*(8^2)+'LINEST VARS'!$N$60*(8^2)+'LINEST VARS'!$M$60*($DA$80^2)+'LINEST VARS'!$L$60*(0.5^2)+'LINEST VARS'!$K$60*($CX88^2)+'LINEST VARS'!$J$60*(8*8)+'LINEST VARS'!$I$60*(8*$DA$80)+'LINEST VARS'!$H$60*(8*0.5)+'LINEST VARS'!$G$60*(8*$CX88)+'LINEST VARS'!$F$60*(8*$DA$80)+'LINEST VARS'!$E$60*(8*0.5)+'LINEST VARS'!$D$60*(8*$CX88)+'LINEST VARS'!$C$60*($DA$80*0.5)+'LINEST VARS'!$B$60*($DA$80*$CX88)+'LINEST VARS'!$A$60*(0.5*$CX88)</f>
        <v>33.193000000000012</v>
      </c>
      <c r="DB88" s="46">
        <f>'LINEST VARS'!$U$60+'LINEST VARS'!$T$60*(8)+'LINEST VARS'!$S$60*(8)+'LINEST VARS'!$R$60*($DB$80)+'LINEST VARS'!$Q$60*(0.5)+'LINEST VARS'!$P$60*($CX88)+'LINEST VARS'!$O$60*(8^2)+'LINEST VARS'!$N$60*(8^2)+'LINEST VARS'!$M$60*($DB$80^2)+'LINEST VARS'!$L$60*(0.5^2)+'LINEST VARS'!$K$60*($CX88^2)+'LINEST VARS'!$J$60*(8*8)+'LINEST VARS'!$I$60*(8*$DB$80)+'LINEST VARS'!$H$60*(8*0.5)+'LINEST VARS'!$G$60*(8*$CX88)+'LINEST VARS'!$F$60*(8*$DB$80)+'LINEST VARS'!$E$60*(8*0.5)+'LINEST VARS'!$D$60*(8*$CX88)+'LINEST VARS'!$C$60*($DB$80*0.5)+'LINEST VARS'!$B$60*($DB$80*$CX88)+'LINEST VARS'!$A$60*(0.5*$CX88)</f>
        <v>33.193000000000012</v>
      </c>
      <c r="DC88" s="46">
        <f>'LINEST VARS'!$U$60+'LINEST VARS'!$T$60*(8)+'LINEST VARS'!$S$60*(8)+'LINEST VARS'!$R$60*($DC$80)+'LINEST VARS'!$Q$60*(0.5)+'LINEST VARS'!$P$60*($CX88)+'LINEST VARS'!$O$60*(8^2)+'LINEST VARS'!$N$60*(8^2)+'LINEST VARS'!$M$60*($DC$80^2)+'LINEST VARS'!$L$60*(0.5^2)+'LINEST VARS'!$K$60*($CX88^2)+'LINEST VARS'!$J$60*(8*8)+'LINEST VARS'!$I$60*(8*$DC$80)+'LINEST VARS'!$H$60*(8*0.5)+'LINEST VARS'!$G$60*(8*$CX88)+'LINEST VARS'!$F$60*(8*$DC$80)+'LINEST VARS'!$E$60*(8*0.5)+'LINEST VARS'!$D$60*(8*$CX88)+'LINEST VARS'!$C$60*($DC$80*0.5)+'LINEST VARS'!$B$60*($DC$80*$CX88)+'LINEST VARS'!$A$60*(0.5*$CX88)</f>
        <v>33.193000000000005</v>
      </c>
      <c r="DD88" s="46">
        <f>'LINEST VARS'!$U$60+'LINEST VARS'!$T$60*(8)+'LINEST VARS'!$S$60*(8)+'LINEST VARS'!$R$60*($DD$80)+'LINEST VARS'!$Q$60*(0.5)+'LINEST VARS'!$P$60*($CX88)+'LINEST VARS'!$O$60*(8^2)+'LINEST VARS'!$N$60*(8^2)+'LINEST VARS'!$M$60*($DD$80^2)+'LINEST VARS'!$L$60*(0.5^2)+'LINEST VARS'!$K$60*($CX88^2)+'LINEST VARS'!$J$60*(8*8)+'LINEST VARS'!$I$60*(8*$DD$80)+'LINEST VARS'!$H$60*(8*0.5)+'LINEST VARS'!$G$60*(8*$CX88)+'LINEST VARS'!$F$60*(8*$DD$80)+'LINEST VARS'!$E$60*(8*0.5)+'LINEST VARS'!$D$60*(8*$CX88)+'LINEST VARS'!$C$60*($DD$80*0.5)+'LINEST VARS'!$B$60*($DD$80*$CX88)+'LINEST VARS'!$A$60*(0.5*$CX88)</f>
        <v>33.193000000000005</v>
      </c>
      <c r="DE88" s="46">
        <f>'LINEST VARS'!$U$60+'LINEST VARS'!$T$60*(8)+'LINEST VARS'!$S$60*(8)+'LINEST VARS'!$R$60*($DE$80)+'LINEST VARS'!$Q$60*(0.5)+'LINEST VARS'!$P$60*($CX88)+'LINEST VARS'!$O$60*(8^2)+'LINEST VARS'!$N$60*(8^2)+'LINEST VARS'!$M$60*($DE$80^2)+'LINEST VARS'!$L$60*(0.5^2)+'LINEST VARS'!$K$60*($CX88^2)+'LINEST VARS'!$J$60*(8*8)+'LINEST VARS'!$I$60*(8*$DE$80)+'LINEST VARS'!$H$60*(8*0.5)+'LINEST VARS'!$G$60*(8*$CX88)+'LINEST VARS'!$F$60*(8*$DE$80)+'LINEST VARS'!$E$60*(8*0.5)+'LINEST VARS'!$D$60*(8*$CX88)+'LINEST VARS'!$C$60*($DE$80*0.5)+'LINEST VARS'!$B$60*($DE$80*$CX88)+'LINEST VARS'!$A$60*(0.5*$CX88)</f>
        <v>33.193000000000005</v>
      </c>
      <c r="DF88" s="46">
        <f>'LINEST VARS'!$U$60+'LINEST VARS'!$T$60*(8)+'LINEST VARS'!$S$60*(8)+'LINEST VARS'!$R$60*($DF$80)+'LINEST VARS'!$Q$60*(0.5)+'LINEST VARS'!$P$60*($CX88)+'LINEST VARS'!$O$60*(8^2)+'LINEST VARS'!$N$60*(8^2)+'LINEST VARS'!$M$60*($DF$80^2)+'LINEST VARS'!$L$60*(0.5^2)+'LINEST VARS'!$K$60*($CX88^2)+'LINEST VARS'!$J$60*(8*8)+'LINEST VARS'!$I$60*(8*$DF$80)+'LINEST VARS'!$H$60*(8*0.5)+'LINEST VARS'!$G$60*(8*$CX88)+'LINEST VARS'!$F$60*(8*$DF$80)+'LINEST VARS'!$E$60*(8*0.5)+'LINEST VARS'!$D$60*(8*$CX88)+'LINEST VARS'!$C$60*($DF$80*0.5)+'LINEST VARS'!$B$60*($DF$80*$CX88)+'LINEST VARS'!$A$60*(0.5*$CX88)</f>
        <v>33.193000000000012</v>
      </c>
      <c r="DG88" s="46">
        <f>'LINEST VARS'!$U$60+'LINEST VARS'!$T$60*(8)+'LINEST VARS'!$S$60*(8)+'LINEST VARS'!$R$60*($DG$80)+'LINEST VARS'!$Q$60*(0.5)+'LINEST VARS'!$P$60*($CX88)+'LINEST VARS'!$O$60*(8^2)+'LINEST VARS'!$N$60*(8^2)+'LINEST VARS'!$M$60*($DG$80^2)+'LINEST VARS'!$L$60*(0.5^2)+'LINEST VARS'!$K$60*($CX88^2)+'LINEST VARS'!$J$60*(8*8)+'LINEST VARS'!$I$60*(8*$DG$80)+'LINEST VARS'!$H$60*(8*0.5)+'LINEST VARS'!$G$60*(8*$CX88)+'LINEST VARS'!$F$60*(8*$DG$80)+'LINEST VARS'!$E$60*(8*0.5)+'LINEST VARS'!$D$60*(8*$CX88)+'LINEST VARS'!$C$60*($DG$80*0.5)+'LINEST VARS'!$B$60*($DG$80*$CX88)+'LINEST VARS'!$A$60*(0.5*$CX88)</f>
        <v>33.193000000000012</v>
      </c>
      <c r="DH88" s="46">
        <f>'LINEST VARS'!$U$60+'LINEST VARS'!$T$60*(8)+'LINEST VARS'!$S$60*(8)+'LINEST VARS'!$R$60*($DH$80)+'LINEST VARS'!$Q$60*(0.5)+'LINEST VARS'!$P$60*($CX88)+'LINEST VARS'!$O$60*(8^2)+'LINEST VARS'!$N$60*(8^2)+'LINEST VARS'!$M$60*($DH$80^2)+'LINEST VARS'!$L$60*(0.5^2)+'LINEST VARS'!$K$60*($CX88^2)+'LINEST VARS'!$J$60*(8*8)+'LINEST VARS'!$I$60*(8*$DH$80)+'LINEST VARS'!$H$60*(8*0.5)+'LINEST VARS'!$G$60*(8*$CX88)+'LINEST VARS'!$F$60*(8*$DH$80)+'LINEST VARS'!$E$60*(8*0.5)+'LINEST VARS'!$D$60*(8*$CX88)+'LINEST VARS'!$C$60*($DH$80*0.5)+'LINEST VARS'!$B$60*($DH$80*$CX88)+'LINEST VARS'!$A$60*(0.5*$CX88)</f>
        <v>33.193000000000012</v>
      </c>
      <c r="DI88" s="46">
        <f>'LINEST VARS'!$U$60+'LINEST VARS'!$T$60*(8)+'LINEST VARS'!$S$60*(8)+'LINEST VARS'!$R$60*($DI$80)+'LINEST VARS'!$Q$60*(0.5)+'LINEST VARS'!$P$60*($CX88)+'LINEST VARS'!$O$60*(8^2)+'LINEST VARS'!$N$60*(8^2)+'LINEST VARS'!$M$60*($DI$80^2)+'LINEST VARS'!$L$60*(0.5^2)+'LINEST VARS'!$K$60*($CX88^2)+'LINEST VARS'!$J$60*(8*8)+'LINEST VARS'!$I$60*(8*$DI$80)+'LINEST VARS'!$H$60*(8*0.5)+'LINEST VARS'!$G$60*(8*$CX88)+'LINEST VARS'!$F$60*(8*$DI$80)+'LINEST VARS'!$E$60*(8*0.5)+'LINEST VARS'!$D$60*(8*$CX88)+'LINEST VARS'!$C$60*($DI$80*0.5)+'LINEST VARS'!$B$60*($DI$80*$CX88)+'LINEST VARS'!$A$60*(0.5*$CX88)</f>
        <v>33.193000000000012</v>
      </c>
      <c r="DJ88" s="46">
        <f>'LINEST VARS'!$U$60+'LINEST VARS'!$T$60*(8)+'LINEST VARS'!$S$60*(8)+'LINEST VARS'!$R$60*($DJ$80)+'LINEST VARS'!$Q$60*(0.5)+'LINEST VARS'!$P$60*($CX88)+'LINEST VARS'!$O$60*(8^2)+'LINEST VARS'!$N$60*(8^2)+'LINEST VARS'!$M$60*($DJ$80^2)+'LINEST VARS'!$L$60*(0.5^2)+'LINEST VARS'!$K$60*($CX88^2)+'LINEST VARS'!$J$60*(8*8)+'LINEST VARS'!$I$60*(8*$DJ$80)+'LINEST VARS'!$H$60*(8*0.5)+'LINEST VARS'!$G$60*(8*$CX88)+'LINEST VARS'!$F$60*(8*$DJ$80)+'LINEST VARS'!$E$60*(8*0.5)+'LINEST VARS'!$D$60*(8*$CX88)+'LINEST VARS'!$C$60*($DJ$80*0.5)+'LINEST VARS'!$B$60*($DJ$80*$CX88)+'LINEST VARS'!$A$60*(0.5*$CX88)</f>
        <v>33.193000000000005</v>
      </c>
      <c r="DK88" s="46">
        <f>'LINEST VARS'!$U$60+'LINEST VARS'!$T$60*(8)+'LINEST VARS'!$S$60*(8)+'LINEST VARS'!$R$60*($DK$80)+'LINEST VARS'!$Q$60*(0.5)+'LINEST VARS'!$P$60*($CX88)+'LINEST VARS'!$O$60*(8^2)+'LINEST VARS'!$N$60*(8^2)+'LINEST VARS'!$M$60*($DK$80^2)+'LINEST VARS'!$L$60*(0.5^2)+'LINEST VARS'!$K$60*($CX88^2)+'LINEST VARS'!$J$60*(8*8)+'LINEST VARS'!$I$60*(8*$DK$80)+'LINEST VARS'!$H$60*(8*0.5)+'LINEST VARS'!$G$60*(8*$CX88)+'LINEST VARS'!$F$60*(8*$DK$80)+'LINEST VARS'!$E$60*(8*0.5)+'LINEST VARS'!$D$60*(8*$CX88)+'LINEST VARS'!$C$60*($DK$80*0.5)+'LINEST VARS'!$B$60*($DK$80*$CX88)+'LINEST VARS'!$A$60*(0.5*$CX88)</f>
        <v>33.193000000000012</v>
      </c>
      <c r="DL88" s="46">
        <f>'LINEST VARS'!$U$60+'LINEST VARS'!$T$60*(8)+'LINEST VARS'!$S$60*(8)+'LINEST VARS'!$R$60*($DL$80)+'LINEST VARS'!$Q$60*(0.5)+'LINEST VARS'!$P$60*($CX88)+'LINEST VARS'!$O$60*(8^2)+'LINEST VARS'!$N$60*(8^2)+'LINEST VARS'!$M$60*($DL$80^2)+'LINEST VARS'!$L$60*(0.5^2)+'LINEST VARS'!$K$60*($CX88^2)+'LINEST VARS'!$J$60*(8*8)+'LINEST VARS'!$I$60*(8*$DL$80)+'LINEST VARS'!$H$60*(8*0.5)+'LINEST VARS'!$G$60*(8*$CX88)+'LINEST VARS'!$F$60*(8*$DL$80)+'LINEST VARS'!$E$60*(8*0.5)+'LINEST VARS'!$D$60*(8*$CX88)+'LINEST VARS'!$C$60*($DL$80*0.5)+'LINEST VARS'!$B$60*($DL$80*$CX88)+'LINEST VARS'!$A$60*(0.5*$CX88)</f>
        <v>33.193000000000005</v>
      </c>
      <c r="DM88" s="46">
        <f>'LINEST VARS'!$U$60+'LINEST VARS'!$T$60*(8)+'LINEST VARS'!$S$60*(8)+'LINEST VARS'!$R$60*($DM$80)+'LINEST VARS'!$Q$60*(0.5)+'LINEST VARS'!$P$60*($CX88)+'LINEST VARS'!$O$60*(8^2)+'LINEST VARS'!$N$60*(8^2)+'LINEST VARS'!$M$60*($DM$80^2)+'LINEST VARS'!$L$60*(0.5^2)+'LINEST VARS'!$K$60*($CX88^2)+'LINEST VARS'!$J$60*(8*8)+'LINEST VARS'!$I$60*(8*$DM$80)+'LINEST VARS'!$H$60*(8*0.5)+'LINEST VARS'!$G$60*(8*$CX88)+'LINEST VARS'!$F$60*(8*$DM$80)+'LINEST VARS'!$E$60*(8*0.5)+'LINEST VARS'!$D$60*(8*$CX88)+'LINEST VARS'!$C$60*($DM$80*0.5)+'LINEST VARS'!$B$60*($DM$80*$CX88)+'LINEST VARS'!$A$60*(0.5*$CX88)</f>
        <v>33.193000000000012</v>
      </c>
      <c r="DN88" s="46">
        <f>'LINEST VARS'!$U$60+'LINEST VARS'!$T$60*(8)+'LINEST VARS'!$S$60*(8)+'LINEST VARS'!$R$60*($DN$80)+'LINEST VARS'!$Q$60*(0.5)+'LINEST VARS'!$P$60*($CX88)+'LINEST VARS'!$O$60*(8^2)+'LINEST VARS'!$N$60*(8^2)+'LINEST VARS'!$M$60*($DN$80^2)+'LINEST VARS'!$L$60*(0.5^2)+'LINEST VARS'!$K$60*($CX88^2)+'LINEST VARS'!$J$60*(8*8)+'LINEST VARS'!$I$60*(8*$DN$80)+'LINEST VARS'!$H$60*(8*0.5)+'LINEST VARS'!$G$60*(8*$CX88)+'LINEST VARS'!$F$60*(8*$DN$80)+'LINEST VARS'!$E$60*(8*0.5)+'LINEST VARS'!$D$60*(8*$CX88)+'LINEST VARS'!$C$60*($DN$80*0.5)+'LINEST VARS'!$B$60*($DN$80*$CX88)+'LINEST VARS'!$A$60*(0.5*$CX88)</f>
        <v>33.193000000000012</v>
      </c>
      <c r="DO88" s="46">
        <f>'LINEST VARS'!$U$60+'LINEST VARS'!$T$60*(8)+'LINEST VARS'!$S$60*(8)+'LINEST VARS'!$R$60*($DO$80)+'LINEST VARS'!$Q$60*(0.5)+'LINEST VARS'!$P$60*($CX88)+'LINEST VARS'!$O$60*(8^2)+'LINEST VARS'!$N$60*(8^2)+'LINEST VARS'!$M$60*($DO$80^2)+'LINEST VARS'!$L$60*(0.5^2)+'LINEST VARS'!$K$60*($CX88^2)+'LINEST VARS'!$J$60*(8*8)+'LINEST VARS'!$I$60*(8*$DO$80)+'LINEST VARS'!$H$60*(8*0.5)+'LINEST VARS'!$G$60*(8*$CX88)+'LINEST VARS'!$F$60*(8*$DO$80)+'LINEST VARS'!$E$60*(8*0.5)+'LINEST VARS'!$D$60*(8*$CX88)+'LINEST VARS'!$C$60*($DO$80*0.5)+'LINEST VARS'!$B$60*($DO$80*$CX88)+'LINEST VARS'!$A$60*(0.5*$CX88)</f>
        <v>33.193000000000012</v>
      </c>
      <c r="DP88" s="46">
        <f>'LINEST VARS'!$U$60+'LINEST VARS'!$T$60*(8)+'LINEST VARS'!$S$60*(8)+'LINEST VARS'!$R$60*($DP$80)+'LINEST VARS'!$Q$60*(0.5)+'LINEST VARS'!$P$60*($CX88)+'LINEST VARS'!$O$60*(8^2)+'LINEST VARS'!$N$60*(8^2)+'LINEST VARS'!$M$60*($DP$80^2)+'LINEST VARS'!$L$60*(0.5^2)+'LINEST VARS'!$K$60*($CX88^2)+'LINEST VARS'!$J$60*(8*8)+'LINEST VARS'!$I$60*(8*$DP$80)+'LINEST VARS'!$H$60*(8*0.5)+'LINEST VARS'!$G$60*(8*$CX88)+'LINEST VARS'!$F$60*(8*$DP$80)+'LINEST VARS'!$E$60*(8*0.5)+'LINEST VARS'!$D$60*(8*$CX88)+'LINEST VARS'!$C$60*($DP$80*0.5)+'LINEST VARS'!$B$60*($DP$80*$CX88)+'LINEST VARS'!$A$60*(0.5*$CX88)</f>
        <v>33.193000000000012</v>
      </c>
      <c r="DQ88" s="46">
        <f>'LINEST VARS'!$U$60+'LINEST VARS'!$T$60*(8)+'LINEST VARS'!$S$60*(8)+'LINEST VARS'!$R$60*($DQ$80)+'LINEST VARS'!$Q$60*(0.5)+'LINEST VARS'!$P$60*($CX88)+'LINEST VARS'!$O$60*(8^2)+'LINEST VARS'!$N$60*(8^2)+'LINEST VARS'!$M$60*($DQ$80^2)+'LINEST VARS'!$L$60*(0.5^2)+'LINEST VARS'!$K$60*($CX88^2)+'LINEST VARS'!$J$60*(8*8)+'LINEST VARS'!$I$60*(8*$DQ$80)+'LINEST VARS'!$H$60*(8*0.5)+'LINEST VARS'!$G$60*(8*$CX88)+'LINEST VARS'!$F$60*(8*$DQ$80)+'LINEST VARS'!$E$60*(8*0.5)+'LINEST VARS'!$D$60*(8*$CX88)+'LINEST VARS'!$C$60*($DQ$80*0.5)+'LINEST VARS'!$B$60*($DQ$80*$CX88)+'LINEST VARS'!$A$60*(0.5*$CX88)</f>
        <v>33.193000000000005</v>
      </c>
      <c r="DR88" s="46">
        <f>'LINEST VARS'!$U$60+'LINEST VARS'!$T$60*(8)+'LINEST VARS'!$S$60*(8)+'LINEST VARS'!$R$60*($DR$80)+'LINEST VARS'!$Q$60*(0.5)+'LINEST VARS'!$P$60*($CX88)+'LINEST VARS'!$O$60*(8^2)+'LINEST VARS'!$N$60*(8^2)+'LINEST VARS'!$M$60*($DR$80^2)+'LINEST VARS'!$L$60*(0.5^2)+'LINEST VARS'!$K$60*($CX88^2)+'LINEST VARS'!$J$60*(8*8)+'LINEST VARS'!$I$60*(8*$DR$80)+'LINEST VARS'!$H$60*(8*0.5)+'LINEST VARS'!$G$60*(8*$CX88)+'LINEST VARS'!$F$60*(8*$DR$80)+'LINEST VARS'!$E$60*(8*0.5)+'LINEST VARS'!$D$60*(8*$CX88)+'LINEST VARS'!$C$60*($DR$80*0.5)+'LINEST VARS'!$B$60*($DR$80*$CX88)+'LINEST VARS'!$A$60*(0.5*$CX88)</f>
        <v>33.193000000000012</v>
      </c>
      <c r="DS88" s="47">
        <f>'LINEST VARS'!$U$60+'LINEST VARS'!$T$60*(8)+'LINEST VARS'!$S$60*(8)+'LINEST VARS'!$R$60*($DS$80)+'LINEST VARS'!$Q$60*(0.5)+'LINEST VARS'!$P$60*($CX88)+'LINEST VARS'!$O$60*(8^2)+'LINEST VARS'!$N$60*(8^2)+'LINEST VARS'!$M$60*($DS$80^2)+'LINEST VARS'!$L$60*(0.5^2)+'LINEST VARS'!$K$60*($CX88^2)+'LINEST VARS'!$J$60*(8*8)+'LINEST VARS'!$I$60*(8*$DS$80)+'LINEST VARS'!$H$60*(8*0.5)+'LINEST VARS'!$G$60*(8*$CX88)+'LINEST VARS'!$F$60*(8*$DS$80)+'LINEST VARS'!$E$60*(8*0.5)+'LINEST VARS'!$D$60*(8*$CX88)+'LINEST VARS'!$C$60*($DS$80*0.5)+'LINEST VARS'!$B$60*($DS$80*$CX88)+'LINEST VARS'!$A$60*(0.5*$CX88)</f>
        <v>33.193000000000012</v>
      </c>
      <c r="DV88" s="45">
        <v>9.0965000000000007</v>
      </c>
      <c r="DW88" s="55">
        <f>'LINEST VARS'!$U$62+'LINEST VARS'!$T$62*(8)+'LINEST VARS'!$S$62*(8)+'LINEST VARS'!$R$62*($DW$80)+'LINEST VARS'!$Q$62*(0.5)+'LINEST VARS'!$P$62*($DV88)+'LINEST VARS'!$O$62*(8^2)+'LINEST VARS'!$N$62*(8^2)+'LINEST VARS'!$M$62*($DW$80^2)+'LINEST VARS'!$L$62*(0.5^2)+'LINEST VARS'!$K$62*($DV88^2)+'LINEST VARS'!$J$62*(8*8)+'LINEST VARS'!$I$62*(8*$DW$80)+'LINEST VARS'!$H$62*(8*0.5)+'LINEST VARS'!$G$62*(8*$DV88)+'LINEST VARS'!$F$62*(8*$DW$80)+'LINEST VARS'!$E$62*(8*0.5)+'LINEST VARS'!$D$62*(8*$DV88)+'LINEST VARS'!$C$62*($DW$80*0.5)+'LINEST VARS'!$B$62*($DW$80*$DV88)+'LINEST VARS'!$A$62*(0.5*$DV88)</f>
        <v>349.49999999999994</v>
      </c>
      <c r="DX88" s="55">
        <f>'LINEST VARS'!$U$62+'LINEST VARS'!$T$62*(8)+'LINEST VARS'!$S$62*(8)+'LINEST VARS'!$R$62*($DX$80)+'LINEST VARS'!$Q$62*(0.5)+'LINEST VARS'!$P$62*($DV88)+'LINEST VARS'!$O$62*(8^2)+'LINEST VARS'!$N$62*(8^2)+'LINEST VARS'!$M$62*($DX$80^2)+'LINEST VARS'!$L$62*(0.5^2)+'LINEST VARS'!$K$62*($DV88^2)+'LINEST VARS'!$J$62*(8*8)+'LINEST VARS'!$I$62*(8*$DX$80)+'LINEST VARS'!$H$62*(8*0.5)+'LINEST VARS'!$G$62*(8*$DV88)+'LINEST VARS'!$F$62*(8*$DX$80)+'LINEST VARS'!$E$62*(8*0.5)+'LINEST VARS'!$D$62*(8*$DV88)+'LINEST VARS'!$C$62*($DX$80*0.5)+'LINEST VARS'!$B$62*($DX$80*$DV88)+'LINEST VARS'!$A$62*(0.5*$DV88)</f>
        <v>348.7</v>
      </c>
      <c r="DY88" s="55">
        <f>'LINEST VARS'!$U$62+'LINEST VARS'!$T$62*(8)+'LINEST VARS'!$S$62*(8)+'LINEST VARS'!$R$62*($DY$80)+'LINEST VARS'!$Q$62*(0.5)+'LINEST VARS'!$P$62*($DV88)+'LINEST VARS'!$O$62*(8^2)+'LINEST VARS'!$N$62*(8^2)+'LINEST VARS'!$M$62*($DY$80^2)+'LINEST VARS'!$L$62*(0.5^2)+'LINEST VARS'!$K$62*($DV88^2)+'LINEST VARS'!$J$62*(8*8)+'LINEST VARS'!$I$62*(8*$DY$80)+'LINEST VARS'!$H$62*(8*0.5)+'LINEST VARS'!$G$62*(8*$DV88)+'LINEST VARS'!$F$62*(8*$DY$80)+'LINEST VARS'!$E$62*(8*0.5)+'LINEST VARS'!$D$62*(8*$DV88)+'LINEST VARS'!$C$62*($DY$80*0.5)+'LINEST VARS'!$B$62*($DY$80*$DV88)+'LINEST VARS'!$A$62*(0.5*$DV88)</f>
        <v>346.2999999999999</v>
      </c>
      <c r="DZ88" s="55">
        <f>'LINEST VARS'!$U$62+'LINEST VARS'!$T$62*(8)+'LINEST VARS'!$S$62*(8)+'LINEST VARS'!$R$62*($DZ$80)+'LINEST VARS'!$Q$62*(0.5)+'LINEST VARS'!$P$62*($DV88)+'LINEST VARS'!$O$62*(8^2)+'LINEST VARS'!$N$62*(8^2)+'LINEST VARS'!$M$62*($DZ$80^2)+'LINEST VARS'!$L$62*(0.5^2)+'LINEST VARS'!$K$62*($DV88^2)+'LINEST VARS'!$J$62*(8*8)+'LINEST VARS'!$I$62*(8*$DZ$80)+'LINEST VARS'!$H$62*(8*0.5)+'LINEST VARS'!$G$62*(8*$DV88)+'LINEST VARS'!$F$62*(8*$DZ$80)+'LINEST VARS'!$E$62*(8*0.5)+'LINEST VARS'!$D$62*(8*$DV88)+'LINEST VARS'!$C$62*($DZ$80*0.5)+'LINEST VARS'!$B$62*($DZ$80*$DV88)+'LINEST VARS'!$A$62*(0.5*$DV88)</f>
        <v>342.29999999999995</v>
      </c>
      <c r="EA88" s="55">
        <f>'LINEST VARS'!$U$62+'LINEST VARS'!$T$62*(8)+'LINEST VARS'!$S$62*(8)+'LINEST VARS'!$R$62*($EA$80)+'LINEST VARS'!$Q$62*(0.5)+'LINEST VARS'!$P$62*($DV88)+'LINEST VARS'!$O$62*(8^2)+'LINEST VARS'!$N$62*(8^2)+'LINEST VARS'!$M$62*($EA$80^2)+'LINEST VARS'!$L$62*(0.5^2)+'LINEST VARS'!$K$62*($DV88^2)+'LINEST VARS'!$J$62*(8*8)+'LINEST VARS'!$I$62*(8*$EA$80)+'LINEST VARS'!$H$62*(8*0.5)+'LINEST VARS'!$G$62*(8*$DV88)+'LINEST VARS'!$F$62*(8*$EA$80)+'LINEST VARS'!$E$62*(8*0.5)+'LINEST VARS'!$D$62*(8*$DV88)+'LINEST VARS'!$C$62*($EA$80*0.5)+'LINEST VARS'!$B$62*($EA$80*$DV88)+'LINEST VARS'!$A$62*(0.5*$DV88)</f>
        <v>336.7</v>
      </c>
      <c r="EB88" s="55">
        <f>'LINEST VARS'!$U$62+'LINEST VARS'!$T$62*(8)+'LINEST VARS'!$S$62*(8)+'LINEST VARS'!$R$62*($EB$80)+'LINEST VARS'!$Q$62*(0.5)+'LINEST VARS'!$P$62*($DV88)+'LINEST VARS'!$O$62*(8^2)+'LINEST VARS'!$N$62*(8^2)+'LINEST VARS'!$M$62*($EB$80^2)+'LINEST VARS'!$L$62*(0.5^2)+'LINEST VARS'!$K$62*($DV88^2)+'LINEST VARS'!$J$62*(8*8)+'LINEST VARS'!$I$62*(8*$EB$80)+'LINEST VARS'!$H$62*(8*0.5)+'LINEST VARS'!$G$62*(8*$DV88)+'LINEST VARS'!$F$62*(8*$EB$80)+'LINEST VARS'!$E$62*(8*0.5)+'LINEST VARS'!$D$62*(8*$DV88)+'LINEST VARS'!$C$62*($EB$80*0.5)+'LINEST VARS'!$B$62*($EB$80*$DV88)+'LINEST VARS'!$A$62*(0.5*$DV88)</f>
        <v>329.50000000000006</v>
      </c>
      <c r="EC88" s="55">
        <f>'LINEST VARS'!$U$62+'LINEST VARS'!$T$62*(8)+'LINEST VARS'!$S$62*(8)+'LINEST VARS'!$R$62*($EC$80)+'LINEST VARS'!$Q$62*(0.5)+'LINEST VARS'!$P$62*($DV88)+'LINEST VARS'!$O$62*(8^2)+'LINEST VARS'!$N$62*(8^2)+'LINEST VARS'!$M$62*($EC$80^2)+'LINEST VARS'!$L$62*(0.5^2)+'LINEST VARS'!$K$62*($DV88^2)+'LINEST VARS'!$J$62*(8*8)+'LINEST VARS'!$I$62*(8*$EC$80)+'LINEST VARS'!$H$62*(8*0.5)+'LINEST VARS'!$G$62*(8*$DV88)+'LINEST VARS'!$F$62*(8*$EC$80)+'LINEST VARS'!$E$62*(8*0.5)+'LINEST VARS'!$D$62*(8*$DV88)+'LINEST VARS'!$C$62*($EC$80*0.5)+'LINEST VARS'!$B$62*($EC$80*$DV88)+'LINEST VARS'!$A$62*(0.5*$DV88)</f>
        <v>320.7</v>
      </c>
      <c r="ED88" s="55">
        <f>'LINEST VARS'!$U$62+'LINEST VARS'!$T$62*(8)+'LINEST VARS'!$S$62*(8)+'LINEST VARS'!$R$62*($ED$80)+'LINEST VARS'!$Q$62*(0.5)+'LINEST VARS'!$P$62*($DV88)+'LINEST VARS'!$O$62*(8^2)+'LINEST VARS'!$N$62*(8^2)+'LINEST VARS'!$M$62*($ED$80^2)+'LINEST VARS'!$L$62*(0.5^2)+'LINEST VARS'!$K$62*($DV88^2)+'LINEST VARS'!$J$62*(8*8)+'LINEST VARS'!$I$62*(8*$ED$80)+'LINEST VARS'!$H$62*(8*0.5)+'LINEST VARS'!$G$62*(8*$DV88)+'LINEST VARS'!$F$62*(8*$ED$80)+'LINEST VARS'!$E$62*(8*0.5)+'LINEST VARS'!$D$62*(8*$DV88)+'LINEST VARS'!$C$62*($ED$80*0.5)+'LINEST VARS'!$B$62*($ED$80*$DV88)+'LINEST VARS'!$A$62*(0.5*$DV88)</f>
        <v>310.3</v>
      </c>
      <c r="EE88" s="55">
        <f>'LINEST VARS'!$U$62+'LINEST VARS'!$T$62*(8)+'LINEST VARS'!$S$62*(8)+'LINEST VARS'!$R$62*($EE$80)+'LINEST VARS'!$Q$62*(0.5)+'LINEST VARS'!$P$62*($DV88)+'LINEST VARS'!$O$62*(8^2)+'LINEST VARS'!$N$62*(8^2)+'LINEST VARS'!$M$62*($EE$80^2)+'LINEST VARS'!$L$62*(0.5^2)+'LINEST VARS'!$K$62*($DV88^2)+'LINEST VARS'!$J$62*(8*8)+'LINEST VARS'!$I$62*(8*$EE$80)+'LINEST VARS'!$H$62*(8*0.5)+'LINEST VARS'!$G$62*(8*$DV88)+'LINEST VARS'!$F$62*(8*$EE$80)+'LINEST VARS'!$E$62*(8*0.5)+'LINEST VARS'!$D$62*(8*$DV88)+'LINEST VARS'!$C$62*($EE$80*0.5)+'LINEST VARS'!$B$62*($EE$80*$DV88)+'LINEST VARS'!$A$62*(0.5*$DV88)</f>
        <v>298.30000000000007</v>
      </c>
      <c r="EF88" s="55">
        <f>'LINEST VARS'!$U$62+'LINEST VARS'!$T$62*(8)+'LINEST VARS'!$S$62*(8)+'LINEST VARS'!$R$62*($EF$80)+'LINEST VARS'!$Q$62*(0.5)+'LINEST VARS'!$P$62*($DV88)+'LINEST VARS'!$O$62*(8^2)+'LINEST VARS'!$N$62*(8^2)+'LINEST VARS'!$M$62*($EF$80^2)+'LINEST VARS'!$L$62*(0.5^2)+'LINEST VARS'!$K$62*($DV88^2)+'LINEST VARS'!$J$62*(8*8)+'LINEST VARS'!$I$62*(8*$EF$80)+'LINEST VARS'!$H$62*(8*0.5)+'LINEST VARS'!$G$62*(8*$DV88)+'LINEST VARS'!$F$62*(8*$EF$80)+'LINEST VARS'!$E$62*(8*0.5)+'LINEST VARS'!$D$62*(8*$DV88)+'LINEST VARS'!$C$62*($EF$80*0.5)+'LINEST VARS'!$B$62*($EF$80*$DV88)+'LINEST VARS'!$A$62*(0.5*$DV88)</f>
        <v>284.70000000000005</v>
      </c>
      <c r="EG88" s="55">
        <f>'LINEST VARS'!$U$62+'LINEST VARS'!$T$62*(8)+'LINEST VARS'!$S$62*(8)+'LINEST VARS'!$R$62*($EG$80)+'LINEST VARS'!$Q$62*(0.5)+'LINEST VARS'!$P$62*($DV88)+'LINEST VARS'!$O$62*(8^2)+'LINEST VARS'!$N$62*(8^2)+'LINEST VARS'!$M$62*($EG$80^2)+'LINEST VARS'!$L$62*(0.5^2)+'LINEST VARS'!$K$62*($DV88^2)+'LINEST VARS'!$J$62*(8*8)+'LINEST VARS'!$I$62*(8*$EG$80)+'LINEST VARS'!$H$62*(8*0.5)+'LINEST VARS'!$G$62*(8*$DV88)+'LINEST VARS'!$F$62*(8*$EG$80)+'LINEST VARS'!$E$62*(8*0.5)+'LINEST VARS'!$D$62*(8*$DV88)+'LINEST VARS'!$C$62*($EG$80*0.5)+'LINEST VARS'!$B$62*($EG$80*$DV88)+'LINEST VARS'!$A$62*(0.5*$DV88)</f>
        <v>269.5</v>
      </c>
      <c r="EH88" s="55">
        <f>'LINEST VARS'!$U$62+'LINEST VARS'!$T$62*(8)+'LINEST VARS'!$S$62*(8)+'LINEST VARS'!$R$62*($EH$80)+'LINEST VARS'!$Q$62*(0.5)+'LINEST VARS'!$P$62*($DV88)+'LINEST VARS'!$O$62*(8^2)+'LINEST VARS'!$N$62*(8^2)+'LINEST VARS'!$M$62*($EH$80^2)+'LINEST VARS'!$L$62*(0.5^2)+'LINEST VARS'!$K$62*($DV88^2)+'LINEST VARS'!$J$62*(8*8)+'LINEST VARS'!$I$62*(8*$EH$80)+'LINEST VARS'!$H$62*(8*0.5)+'LINEST VARS'!$G$62*(8*$DV88)+'LINEST VARS'!$F$62*(8*$EH$80)+'LINEST VARS'!$E$62*(8*0.5)+'LINEST VARS'!$D$62*(8*$DV88)+'LINEST VARS'!$C$62*($EH$80*0.5)+'LINEST VARS'!$B$62*($EH$80*$DV88)+'LINEST VARS'!$A$62*(0.5*$DV88)</f>
        <v>252.70000000000002</v>
      </c>
      <c r="EI88" s="55">
        <f>'LINEST VARS'!$U$62+'LINEST VARS'!$T$62*(8)+'LINEST VARS'!$S$62*(8)+'LINEST VARS'!$R$62*($EI$80)+'LINEST VARS'!$Q$62*(0.5)+'LINEST VARS'!$P$62*($DV88)+'LINEST VARS'!$O$62*(8^2)+'LINEST VARS'!$N$62*(8^2)+'LINEST VARS'!$M$62*($EI$80^2)+'LINEST VARS'!$L$62*(0.5^2)+'LINEST VARS'!$K$62*($DV88^2)+'LINEST VARS'!$J$62*(8*8)+'LINEST VARS'!$I$62*(8*$EI$80)+'LINEST VARS'!$H$62*(8*0.5)+'LINEST VARS'!$G$62*(8*$DV88)+'LINEST VARS'!$F$62*(8*$EI$80)+'LINEST VARS'!$E$62*(8*0.5)+'LINEST VARS'!$D$62*(8*$DV88)+'LINEST VARS'!$C$62*($EI$80*0.5)+'LINEST VARS'!$B$62*($EI$80*$DV88)+'LINEST VARS'!$A$62*(0.5*$DV88)</f>
        <v>234.30000000000007</v>
      </c>
      <c r="EJ88" s="55">
        <f>'LINEST VARS'!$U$62+'LINEST VARS'!$T$62*(8)+'LINEST VARS'!$S$62*(8)+'LINEST VARS'!$R$62*($EJ$80)+'LINEST VARS'!$Q$62*(0.5)+'LINEST VARS'!$P$62*($DV88)+'LINEST VARS'!$O$62*(8^2)+'LINEST VARS'!$N$62*(8^2)+'LINEST VARS'!$M$62*($EJ$80^2)+'LINEST VARS'!$L$62*(0.5^2)+'LINEST VARS'!$K$62*($DV88^2)+'LINEST VARS'!$J$62*(8*8)+'LINEST VARS'!$I$62*(8*$EJ$80)+'LINEST VARS'!$H$62*(8*0.5)+'LINEST VARS'!$G$62*(8*$DV88)+'LINEST VARS'!$F$62*(8*$EJ$80)+'LINEST VARS'!$E$62*(8*0.5)+'LINEST VARS'!$D$62*(8*$DV88)+'LINEST VARS'!$C$62*($EJ$80*0.5)+'LINEST VARS'!$B$62*($EJ$80*$DV88)+'LINEST VARS'!$A$62*(0.5*$DV88)</f>
        <v>214.3</v>
      </c>
      <c r="EK88" s="55">
        <f>'LINEST VARS'!$U$62+'LINEST VARS'!$T$62*(8)+'LINEST VARS'!$S$62*(8)+'LINEST VARS'!$R$62*($EK$80)+'LINEST VARS'!$Q$62*(0.5)+'LINEST VARS'!$P$62*($DV88)+'LINEST VARS'!$O$62*(8^2)+'LINEST VARS'!$N$62*(8^2)+'LINEST VARS'!$M$62*($EK$80^2)+'LINEST VARS'!$L$62*(0.5^2)+'LINEST VARS'!$K$62*($DV88^2)+'LINEST VARS'!$J$62*(8*8)+'LINEST VARS'!$I$62*(8*$EK$80)+'LINEST VARS'!$H$62*(8*0.5)+'LINEST VARS'!$G$62*(8*$DV88)+'LINEST VARS'!$F$62*(8*$EK$80)+'LINEST VARS'!$E$62*(8*0.5)+'LINEST VARS'!$D$62*(8*$DV88)+'LINEST VARS'!$C$62*($EK$80*0.5)+'LINEST VARS'!$B$62*($EK$80*$DV88)+'LINEST VARS'!$A$62*(0.5*$DV88)</f>
        <v>192.7000000000001</v>
      </c>
      <c r="EL88" s="55">
        <f>'LINEST VARS'!$U$62+'LINEST VARS'!$T$62*(8)+'LINEST VARS'!$S$62*(8)+'LINEST VARS'!$R$62*($EL$80)+'LINEST VARS'!$Q$62*(0.5)+'LINEST VARS'!$P$62*($DV88)+'LINEST VARS'!$O$62*(8^2)+'LINEST VARS'!$N$62*(8^2)+'LINEST VARS'!$M$62*($EL$80^2)+'LINEST VARS'!$L$62*(0.5^2)+'LINEST VARS'!$K$62*($DV88^2)+'LINEST VARS'!$J$62*(8*8)+'LINEST VARS'!$I$62*(8*$EL$80)+'LINEST VARS'!$H$62*(8*0.5)+'LINEST VARS'!$G$62*(8*$DV88)+'LINEST VARS'!$F$62*(8*$EL$80)+'LINEST VARS'!$E$62*(8*0.5)+'LINEST VARS'!$D$62*(8*$DV88)+'LINEST VARS'!$C$62*($EL$80*0.5)+'LINEST VARS'!$B$62*($EL$80*$DV88)+'LINEST VARS'!$A$62*(0.5*$DV88)</f>
        <v>169.50000000000006</v>
      </c>
      <c r="EM88" s="55">
        <f>'LINEST VARS'!$U$62+'LINEST VARS'!$T$62*(8)+'LINEST VARS'!$S$62*(8)+'LINEST VARS'!$R$62*($EM$80)+'LINEST VARS'!$Q$62*(0.5)+'LINEST VARS'!$P$62*($DV88)+'LINEST VARS'!$O$62*(8^2)+'LINEST VARS'!$N$62*(8^2)+'LINEST VARS'!$M$62*($EM$80^2)+'LINEST VARS'!$L$62*(0.5^2)+'LINEST VARS'!$K$62*($DV88^2)+'LINEST VARS'!$J$62*(8*8)+'LINEST VARS'!$I$62*(8*$EM$80)+'LINEST VARS'!$H$62*(8*0.5)+'LINEST VARS'!$G$62*(8*$DV88)+'LINEST VARS'!$F$62*(8*$EM$80)+'LINEST VARS'!$E$62*(8*0.5)+'LINEST VARS'!$D$62*(8*$DV88)+'LINEST VARS'!$C$62*($EM$80*0.5)+'LINEST VARS'!$B$62*($EM$80*$DV88)+'LINEST VARS'!$A$62*(0.5*$DV88)</f>
        <v>144.70000000000005</v>
      </c>
      <c r="EN88" s="55">
        <f>'LINEST VARS'!$U$62+'LINEST VARS'!$T$62*(8)+'LINEST VARS'!$S$62*(8)+'LINEST VARS'!$R$62*($EN$80)+'LINEST VARS'!$Q$62*(0.5)+'LINEST VARS'!$P$62*($DV88)+'LINEST VARS'!$O$62*(8^2)+'LINEST VARS'!$N$62*(8^2)+'LINEST VARS'!$M$62*($EN$80^2)+'LINEST VARS'!$L$62*(0.5^2)+'LINEST VARS'!$K$62*($DV88^2)+'LINEST VARS'!$J$62*(8*8)+'LINEST VARS'!$I$62*(8*$EN$80)+'LINEST VARS'!$H$62*(8*0.5)+'LINEST VARS'!$G$62*(8*$DV88)+'LINEST VARS'!$F$62*(8*$EN$80)+'LINEST VARS'!$E$62*(8*0.5)+'LINEST VARS'!$D$62*(8*$DV88)+'LINEST VARS'!$C$62*($EN$80*0.5)+'LINEST VARS'!$B$62*($EN$80*$DV88)+'LINEST VARS'!$A$62*(0.5*$DV88)</f>
        <v>118.30000000000013</v>
      </c>
      <c r="EO88" s="55">
        <f>'LINEST VARS'!$U$62+'LINEST VARS'!$T$62*(8)+'LINEST VARS'!$S$62*(8)+'LINEST VARS'!$R$62*($EO$80)+'LINEST VARS'!$Q$62*(0.5)+'LINEST VARS'!$P$62*($DV88)+'LINEST VARS'!$O$62*(8^2)+'LINEST VARS'!$N$62*(8^2)+'LINEST VARS'!$M$62*($EO$80^2)+'LINEST VARS'!$L$62*(0.5^2)+'LINEST VARS'!$K$62*($DV88^2)+'LINEST VARS'!$J$62*(8*8)+'LINEST VARS'!$I$62*(8*$EO$80)+'LINEST VARS'!$H$62*(8*0.5)+'LINEST VARS'!$G$62*(8*$DV88)+'LINEST VARS'!$F$62*(8*$EO$80)+'LINEST VARS'!$E$62*(8*0.5)+'LINEST VARS'!$D$62*(8*$DV88)+'LINEST VARS'!$C$62*($EO$80*0.5)+'LINEST VARS'!$B$62*($EO$80*$DV88)+'LINEST VARS'!$A$62*(0.5*$DV88)</f>
        <v>90.300000000000111</v>
      </c>
      <c r="EP88" s="55">
        <f>'LINEST VARS'!$U$62+'LINEST VARS'!$T$62*(8)+'LINEST VARS'!$S$62*(8)+'LINEST VARS'!$R$62*($EP$80)+'LINEST VARS'!$Q$62*(0.5)+'LINEST VARS'!$P$62*($DV88)+'LINEST VARS'!$O$62*(8^2)+'LINEST VARS'!$N$62*(8^2)+'LINEST VARS'!$M$62*($EP$80^2)+'LINEST VARS'!$L$62*(0.5^2)+'LINEST VARS'!$K$62*($DV88^2)+'LINEST VARS'!$J$62*(8*8)+'LINEST VARS'!$I$62*(8*$EP$80)+'LINEST VARS'!$H$62*(8*0.5)+'LINEST VARS'!$G$62*(8*$DV88)+'LINEST VARS'!$F$62*(8*$EP$80)+'LINEST VARS'!$E$62*(8*0.5)+'LINEST VARS'!$D$62*(8*$DV88)+'LINEST VARS'!$C$62*($EP$80*0.5)+'LINEST VARS'!$B$62*($EP$80*$DV88)+'LINEST VARS'!$A$62*(0.5*$DV88)</f>
        <v>60.700000000000159</v>
      </c>
      <c r="EQ88" s="56">
        <f>'LINEST VARS'!$U$62+'LINEST VARS'!$T$62*(8)+'LINEST VARS'!$S$62*(8)+'LINEST VARS'!$R$62*($EQ$80)+'LINEST VARS'!$Q$62*(0.5)+'LINEST VARS'!$P$62*($DV88)+'LINEST VARS'!$O$62*(8^2)+'LINEST VARS'!$N$62*(8^2)+'LINEST VARS'!$M$62*($EQ$80^2)+'LINEST VARS'!$L$62*(0.5^2)+'LINEST VARS'!$K$62*($DV88^2)+'LINEST VARS'!$J$62*(8*8)+'LINEST VARS'!$I$62*(8*$EQ$80)+'LINEST VARS'!$H$62*(8*0.5)+'LINEST VARS'!$G$62*(8*$DV88)+'LINEST VARS'!$F$62*(8*$EQ$80)+'LINEST VARS'!$E$62*(8*0.5)+'LINEST VARS'!$D$62*(8*$DV88)+'LINEST VARS'!$C$62*($EQ$80*0.5)+'LINEST VARS'!$B$62*($EQ$80*$DV88)+'LINEST VARS'!$A$62*(0.5*$DV88)</f>
        <v>29.500000000000203</v>
      </c>
    </row>
    <row r="89" spans="2:147" ht="15" customHeight="1" x14ac:dyDescent="0.25">
      <c r="B89" s="45">
        <v>7.88</v>
      </c>
      <c r="C89" s="46">
        <f>'LINEST VARS'!$U$60+'LINEST VARS'!$T$60*($C$80)+'LINEST VARS'!$S$60*($B89)+'LINEST VARS'!$R$60*(4)+'LINEST VARS'!$Q$60*(0.5)+'LINEST VARS'!$P$60*(12.73)+'LINEST VARS'!$O$60*($C$80^2)+'LINEST VARS'!$N$60*($B89^2)+'LINEST VARS'!$M$60*(4^2)+'LINEST VARS'!$L$60*(0.5^2)+'LINEST VARS'!$K$60*(12.73^2)+'LINEST VARS'!$J$60*($C$80*$B89)+'LINEST VARS'!$I$60*($C$80*4)+'LINEST VARS'!$H$60*($C$80*0.5)+'LINEST VARS'!$G$60*($C$80*12.73)+'LINEST VARS'!$F$60*($B89*4)+'LINEST VARS'!$E$60*($B89*0.5)+'LINEST VARS'!$D$60*($B89*12.73)+'LINEST VARS'!$C$60*(4*0.5)+'LINEST VARS'!$B$60*(4*12.73)+'LINEST VARS'!$A$60*(0.5*12.73)</f>
        <v>40.460000000000015</v>
      </c>
      <c r="D89" s="46">
        <f>'LINEST VARS'!$U$60+'LINEST VARS'!$T$60*($D$80)+'LINEST VARS'!$S$60*($B89)+'LINEST VARS'!$R$60*(4)+'LINEST VARS'!$Q$60*(0.5)+'LINEST VARS'!$P$60*(12.73)+'LINEST VARS'!$O$60*($D$80^2)+'LINEST VARS'!$N$60*($B89^2)+'LINEST VARS'!$M$60*(4^2)+'LINEST VARS'!$L$60*(0.5^2)+'LINEST VARS'!$K$60*(12.73^2)+'LINEST VARS'!$J$60*($D$80*$B89)+'LINEST VARS'!$I$60*($D$80*4)+'LINEST VARS'!$H$60*($D$80*0.5)+'LINEST VARS'!$G$60*($D$80*12.73)+'LINEST VARS'!$F$60*($B89*4)+'LINEST VARS'!$E$60*($B89*0.5)+'LINEST VARS'!$D$60*($B89*12.73)+'LINEST VARS'!$C$60*(4*0.5)+'LINEST VARS'!$B$60*(4*12.73)+'LINEST VARS'!$A$60*(0.5*12.73)</f>
        <v>40.460000000000015</v>
      </c>
      <c r="E89" s="46">
        <f>'LINEST VARS'!$U$60+'LINEST VARS'!$T$60*($E$80)+'LINEST VARS'!$S$60*($B89)+'LINEST VARS'!$R$60*(4)+'LINEST VARS'!$Q$60*(0.5)+'LINEST VARS'!$P$60*(12.73)+'LINEST VARS'!$O$60*($E$80^2)+'LINEST VARS'!$N$60*($B89^2)+'LINEST VARS'!$M$60*(4^2)+'LINEST VARS'!$L$60*(0.5^2)+'LINEST VARS'!$K$60*(12.73^2)+'LINEST VARS'!$J$60*($E$80*$B89)+'LINEST VARS'!$I$60*($E$80*4)+'LINEST VARS'!$H$60*($E$80*0.5)+'LINEST VARS'!$G$60*($E$80*12.73)+'LINEST VARS'!$F$60*($B89*4)+'LINEST VARS'!$E$60*($B89*0.5)+'LINEST VARS'!$D$60*($B89*12.73)+'LINEST VARS'!$C$60*(4*0.5)+'LINEST VARS'!$B$60*(4*12.73)+'LINEST VARS'!$A$60*(0.5*12.73)</f>
        <v>40.460000000000015</v>
      </c>
      <c r="F89" s="46">
        <f>'LINEST VARS'!$U$60+'LINEST VARS'!$T$60*($F$80)+'LINEST VARS'!$S$60*($B89)+'LINEST VARS'!$R$60*(4)+'LINEST VARS'!$Q$60*(0.5)+'LINEST VARS'!$P$60*(12.73)+'LINEST VARS'!$O$60*($F$80^2)+'LINEST VARS'!$N$60*($B89^2)+'LINEST VARS'!$M$60*(4^2)+'LINEST VARS'!$L$60*(0.5^2)+'LINEST VARS'!$K$60*(12.73^2)+'LINEST VARS'!$J$60*($F$80*$B89)+'LINEST VARS'!$I$60*($F$80*4)+'LINEST VARS'!$H$60*($F$80*0.5)+'LINEST VARS'!$G$60*($F$80*12.73)+'LINEST VARS'!$F$60*($B89*4)+'LINEST VARS'!$E$60*($B89*0.5)+'LINEST VARS'!$D$60*($B89*12.73)+'LINEST VARS'!$C$60*(4*0.5)+'LINEST VARS'!$B$60*(4*12.73)+'LINEST VARS'!$A$60*(0.5*12.73)</f>
        <v>40.460000000000015</v>
      </c>
      <c r="G89" s="46">
        <f>'LINEST VARS'!$U$60+'LINEST VARS'!$T$60*($G$80)+'LINEST VARS'!$S$60*($B89)+'LINEST VARS'!$R$60*(4)+'LINEST VARS'!$Q$60*(0.5)+'LINEST VARS'!$P$60*(12.73)+'LINEST VARS'!$O$60*($G$80^2)+'LINEST VARS'!$N$60*($B89^2)+'LINEST VARS'!$M$60*(4^2)+'LINEST VARS'!$L$60*(0.5^2)+'LINEST VARS'!$K$60*(12.73^2)+'LINEST VARS'!$J$60*($G$80*$B89)+'LINEST VARS'!$I$60*($G$80*4)+'LINEST VARS'!$H$60*($G$80*0.5)+'LINEST VARS'!$G$60*($G$80*12.73)+'LINEST VARS'!$F$60*($B89*4)+'LINEST VARS'!$E$60*($B89*0.5)+'LINEST VARS'!$D$60*($B89*12.73)+'LINEST VARS'!$C$60*(4*0.5)+'LINEST VARS'!$B$60*(4*12.73)+'LINEST VARS'!$A$60*(0.5*12.73)</f>
        <v>40.460000000000015</v>
      </c>
      <c r="H89" s="46">
        <f>'LINEST VARS'!$U$60+'LINEST VARS'!$T$60*($H$80)+'LINEST VARS'!$S$60*($B89)+'LINEST VARS'!$R$60*(4)+'LINEST VARS'!$Q$60*(0.5)+'LINEST VARS'!$P$60*(12.73)+'LINEST VARS'!$O$60*($H$80^2)+'LINEST VARS'!$N$60*($B89^2)+'LINEST VARS'!$M$60*(4^2)+'LINEST VARS'!$L$60*(0.5^2)+'LINEST VARS'!$K$60*(12.73^2)+'LINEST VARS'!$J$60*($H$80*$B89)+'LINEST VARS'!$I$60*($H$80*4)+'LINEST VARS'!$H$60*($H$80*0.5)+'LINEST VARS'!$G$60*($H$80*12.73)+'LINEST VARS'!$F$60*($B89*4)+'LINEST VARS'!$E$60*($B89*0.5)+'LINEST VARS'!$D$60*($B89*12.73)+'LINEST VARS'!$C$60*(4*0.5)+'LINEST VARS'!$B$60*(4*12.73)+'LINEST VARS'!$A$60*(0.5*12.73)</f>
        <v>40.460000000000015</v>
      </c>
      <c r="I89" s="46">
        <f>'LINEST VARS'!$U$60+'LINEST VARS'!$T$60*($I$80)+'LINEST VARS'!$S$60*($B89)+'LINEST VARS'!$R$60*(4)+'LINEST VARS'!$Q$60*(0.5)+'LINEST VARS'!$P$60*(12.73)+'LINEST VARS'!$O$60*($I$80^2)+'LINEST VARS'!$N$60*($B89^2)+'LINEST VARS'!$M$60*(4^2)+'LINEST VARS'!$L$60*(0.5^2)+'LINEST VARS'!$K$60*(12.73^2)+'LINEST VARS'!$J$60*($I$80*$B89)+'LINEST VARS'!$I$60*($I$80*4)+'LINEST VARS'!$H$60*($I$80*0.5)+'LINEST VARS'!$G$60*($I$80*12.73)+'LINEST VARS'!$F$60*($B89*4)+'LINEST VARS'!$E$60*($B89*0.5)+'LINEST VARS'!$D$60*($B89*12.73)+'LINEST VARS'!$C$60*(4*0.5)+'LINEST VARS'!$B$60*(4*12.73)+'LINEST VARS'!$A$60*(0.5*12.73)</f>
        <v>40.460000000000022</v>
      </c>
      <c r="J89" s="46">
        <f>'LINEST VARS'!$U$60+'LINEST VARS'!$T$60*($J$80)+'LINEST VARS'!$S$60*($B89)+'LINEST VARS'!$R$60*(4)+'LINEST VARS'!$Q$60*(0.5)+'LINEST VARS'!$P$60*(12.73)+'LINEST VARS'!$O$60*($J$80^2)+'LINEST VARS'!$N$60*($B89^2)+'LINEST VARS'!$M$60*(4^2)+'LINEST VARS'!$L$60*(0.5^2)+'LINEST VARS'!$K$60*(12.73^2)+'LINEST VARS'!$J$60*($J$80*$B89)+'LINEST VARS'!$I$60*($J$80*4)+'LINEST VARS'!$H$60*($J$80*0.5)+'LINEST VARS'!$G$60*($J$80*12.73)+'LINEST VARS'!$F$60*($B89*4)+'LINEST VARS'!$E$60*($B89*0.5)+'LINEST VARS'!$D$60*($B89*12.73)+'LINEST VARS'!$C$60*(4*0.5)+'LINEST VARS'!$B$60*(4*12.73)+'LINEST VARS'!$A$60*(0.5*12.73)</f>
        <v>40.460000000000022</v>
      </c>
      <c r="K89" s="46">
        <f>'LINEST VARS'!$U$60+'LINEST VARS'!$T$60*($K$80)+'LINEST VARS'!$S$60*($B89)+'LINEST VARS'!$R$60*(4)+'LINEST VARS'!$Q$60*(0.5)+'LINEST VARS'!$P$60*(12.73)+'LINEST VARS'!$O$60*($K$80^2)+'LINEST VARS'!$N$60*($B89^2)+'LINEST VARS'!$M$60*(4^2)+'LINEST VARS'!$L$60*(0.5^2)+'LINEST VARS'!$K$60*(12.73^2)+'LINEST VARS'!$J$60*($K$80*$B89)+'LINEST VARS'!$I$60*($K$80*4)+'LINEST VARS'!$H$60*($K$80*0.5)+'LINEST VARS'!$G$60*($K$80*12.73)+'LINEST VARS'!$F$60*($B89*4)+'LINEST VARS'!$E$60*($B89*0.5)+'LINEST VARS'!$D$60*($B89*12.73)+'LINEST VARS'!$C$60*(4*0.5)+'LINEST VARS'!$B$60*(4*12.73)+'LINEST VARS'!$A$60*(0.5*12.73)</f>
        <v>40.460000000000022</v>
      </c>
      <c r="L89" s="46">
        <f>'LINEST VARS'!$U$60+'LINEST VARS'!$T$60*($L$80)+'LINEST VARS'!$S$60*($B89)+'LINEST VARS'!$R$60*(4)+'LINEST VARS'!$Q$60*(0.5)+'LINEST VARS'!$P$60*(12.73)+'LINEST VARS'!$O$60*($L$80^2)+'LINEST VARS'!$N$60*($B89^2)+'LINEST VARS'!$M$60*(4^2)+'LINEST VARS'!$L$60*(0.5^2)+'LINEST VARS'!$K$60*(12.73^2)+'LINEST VARS'!$J$60*($L$80*$B89)+'LINEST VARS'!$I$60*($L$80*4)+'LINEST VARS'!$H$60*($L$80*0.5)+'LINEST VARS'!$G$60*($L$80*12.73)+'LINEST VARS'!$F$60*($B89*4)+'LINEST VARS'!$E$60*($B89*0.5)+'LINEST VARS'!$D$60*($B89*12.73)+'LINEST VARS'!$C$60*(4*0.5)+'LINEST VARS'!$B$60*(4*12.73)+'LINEST VARS'!$A$60*(0.5*12.73)</f>
        <v>40.460000000000022</v>
      </c>
      <c r="M89" s="46">
        <f>'LINEST VARS'!$U$60+'LINEST VARS'!$T$60*($M$80)+'LINEST VARS'!$S$60*($B89)+'LINEST VARS'!$R$60*(4)+'LINEST VARS'!$Q$60*(0.5)+'LINEST VARS'!$P$60*(12.73)+'LINEST VARS'!$O$60*($M$80^2)+'LINEST VARS'!$N$60*($B89^2)+'LINEST VARS'!$M$60*(4^2)+'LINEST VARS'!$L$60*(0.5^2)+'LINEST VARS'!$K$60*(12.73^2)+'LINEST VARS'!$J$60*($M$80*$B89)+'LINEST VARS'!$I$60*($M$80*4)+'LINEST VARS'!$H$60*($M$80*0.5)+'LINEST VARS'!$G$60*($M$80*12.73)+'LINEST VARS'!$F$60*($B89*4)+'LINEST VARS'!$E$60*($B89*0.5)+'LINEST VARS'!$D$60*($B89*12.73)+'LINEST VARS'!$C$60*(4*0.5)+'LINEST VARS'!$B$60*(4*12.73)+'LINEST VARS'!$A$60*(0.5*12.73)</f>
        <v>40.460000000000015</v>
      </c>
      <c r="N89" s="46">
        <f>'LINEST VARS'!$U$60+'LINEST VARS'!$T$60*($N$80)+'LINEST VARS'!$S$60*($B89)+'LINEST VARS'!$R$60*(4)+'LINEST VARS'!$Q$60*(0.5)+'LINEST VARS'!$P$60*(12.73)+'LINEST VARS'!$O$60*($N$80^2)+'LINEST VARS'!$N$60*($B89^2)+'LINEST VARS'!$M$60*(4^2)+'LINEST VARS'!$L$60*(0.5^2)+'LINEST VARS'!$K$60*(12.73^2)+'LINEST VARS'!$J$60*($N$80*$B89)+'LINEST VARS'!$I$60*($N$80*4)+'LINEST VARS'!$H$60*($N$80*0.5)+'LINEST VARS'!$G$60*($N$80*12.73)+'LINEST VARS'!$F$60*($B89*4)+'LINEST VARS'!$E$60*($B89*0.5)+'LINEST VARS'!$D$60*($B89*12.73)+'LINEST VARS'!$C$60*(4*0.5)+'LINEST VARS'!$B$60*(4*12.73)+'LINEST VARS'!$A$60*(0.5*12.73)</f>
        <v>40.460000000000008</v>
      </c>
      <c r="O89" s="46">
        <f>'LINEST VARS'!$U$60+'LINEST VARS'!$T$60*($O$80)+'LINEST VARS'!$S$60*($B89)+'LINEST VARS'!$R$60*(4)+'LINEST VARS'!$Q$60*(0.5)+'LINEST VARS'!$P$60*(12.73)+'LINEST VARS'!$O$60*($O$80^2)+'LINEST VARS'!$N$60*($B89^2)+'LINEST VARS'!$M$60*(4^2)+'LINEST VARS'!$L$60*(0.5^2)+'LINEST VARS'!$K$60*(12.73^2)+'LINEST VARS'!$J$60*($O$80*$B89)+'LINEST VARS'!$I$60*($O$80*4)+'LINEST VARS'!$H$60*($O$80*0.5)+'LINEST VARS'!$G$60*($O$80*12.73)+'LINEST VARS'!$F$60*($B89*4)+'LINEST VARS'!$E$60*($B89*0.5)+'LINEST VARS'!$D$60*($B89*12.73)+'LINEST VARS'!$C$60*(4*0.5)+'LINEST VARS'!$B$60*(4*12.73)+'LINEST VARS'!$A$60*(0.5*12.73)</f>
        <v>40.460000000000015</v>
      </c>
      <c r="P89" s="46">
        <f>'LINEST VARS'!$U$60+'LINEST VARS'!$T$60*($P$80)+'LINEST VARS'!$S$60*($B89)+'LINEST VARS'!$R$60*(4)+'LINEST VARS'!$Q$60*(0.5)+'LINEST VARS'!$P$60*(12.73)+'LINEST VARS'!$O$60*($P$80^2)+'LINEST VARS'!$N$60*($B89^2)+'LINEST VARS'!$M$60*(4^2)+'LINEST VARS'!$L$60*(0.5^2)+'LINEST VARS'!$K$60*(12.73^2)+'LINEST VARS'!$J$60*($P$80*$B89)+'LINEST VARS'!$I$60*($P$80*4)+'LINEST VARS'!$H$60*($P$80*0.5)+'LINEST VARS'!$G$60*($P$80*12.73)+'LINEST VARS'!$F$60*($B89*4)+'LINEST VARS'!$E$60*($B89*0.5)+'LINEST VARS'!$D$60*($B89*12.73)+'LINEST VARS'!$C$60*(4*0.5)+'LINEST VARS'!$B$60*(4*12.73)+'LINEST VARS'!$A$60*(0.5*12.73)</f>
        <v>40.460000000000015</v>
      </c>
      <c r="Q89" s="46">
        <f>'LINEST VARS'!$U$60+'LINEST VARS'!$T$60*($Q$80)+'LINEST VARS'!$S$60*($B89)+'LINEST VARS'!$R$60*(4)+'LINEST VARS'!$Q$60*(0.5)+'LINEST VARS'!$P$60*(12.73)+'LINEST VARS'!$O$60*($Q$80^2)+'LINEST VARS'!$N$60*($B89^2)+'LINEST VARS'!$M$60*(4^2)+'LINEST VARS'!$L$60*(0.5^2)+'LINEST VARS'!$K$60*(12.73^2)+'LINEST VARS'!$J$60*($Q$80*$B89)+'LINEST VARS'!$I$60*($Q$80*4)+'LINEST VARS'!$H$60*($Q$80*0.5)+'LINEST VARS'!$G$60*($Q$80*12.73)+'LINEST VARS'!$F$60*($B89*4)+'LINEST VARS'!$E$60*($B89*0.5)+'LINEST VARS'!$D$60*($B89*12.73)+'LINEST VARS'!$C$60*(4*0.5)+'LINEST VARS'!$B$60*(4*12.73)+'LINEST VARS'!$A$60*(0.5*12.73)</f>
        <v>40.460000000000015</v>
      </c>
      <c r="R89" s="46">
        <f>'LINEST VARS'!$U$60+'LINEST VARS'!$T$60*($R$80)+'LINEST VARS'!$S$60*($B89)+'LINEST VARS'!$R$60*(4)+'LINEST VARS'!$Q$60*(0.5)+'LINEST VARS'!$P$60*(12.73)+'LINEST VARS'!$O$60*($R$80^2)+'LINEST VARS'!$N$60*($B89^2)+'LINEST VARS'!$M$60*(4^2)+'LINEST VARS'!$L$60*(0.5^2)+'LINEST VARS'!$K$60*(12.73^2)+'LINEST VARS'!$J$60*($R$80*$B89)+'LINEST VARS'!$I$60*($R$80*4)+'LINEST VARS'!$H$60*($R$80*0.5)+'LINEST VARS'!$G$60*($R$80*12.73)+'LINEST VARS'!$F$60*($B89*4)+'LINEST VARS'!$E$60*($B89*0.5)+'LINEST VARS'!$D$60*($B89*12.73)+'LINEST VARS'!$C$60*(4*0.5)+'LINEST VARS'!$B$60*(4*12.73)+'LINEST VARS'!$A$60*(0.5*12.73)</f>
        <v>40.460000000000015</v>
      </c>
      <c r="S89" s="46">
        <f>'LINEST VARS'!$U$60+'LINEST VARS'!$T$60*($S$80)+'LINEST VARS'!$S$60*($B89)+'LINEST VARS'!$R$60*(4)+'LINEST VARS'!$Q$60*(0.5)+'LINEST VARS'!$P$60*(12.73)+'LINEST VARS'!$O$60*($S$80^2)+'LINEST VARS'!$N$60*($B89^2)+'LINEST VARS'!$M$60*(4^2)+'LINEST VARS'!$L$60*(0.5^2)+'LINEST VARS'!$K$60*(12.73^2)+'LINEST VARS'!$J$60*($S$80*$B89)+'LINEST VARS'!$I$60*($S$80*4)+'LINEST VARS'!$H$60*($S$80*0.5)+'LINEST VARS'!$G$60*($S$80*12.73)+'LINEST VARS'!$F$60*($B89*4)+'LINEST VARS'!$E$60*($B89*0.5)+'LINEST VARS'!$D$60*($B89*12.73)+'LINEST VARS'!$C$60*(4*0.5)+'LINEST VARS'!$B$60*(4*12.73)+'LINEST VARS'!$A$60*(0.5*12.73)</f>
        <v>40.460000000000015</v>
      </c>
      <c r="T89" s="46">
        <f>'LINEST VARS'!$U$60+'LINEST VARS'!$T$60*($T$80)+'LINEST VARS'!$S$60*($B89)+'LINEST VARS'!$R$60*(4)+'LINEST VARS'!$Q$60*(0.5)+'LINEST VARS'!$P$60*(12.73)+'LINEST VARS'!$O$60*($T$80^2)+'LINEST VARS'!$N$60*($B89^2)+'LINEST VARS'!$M$60*(4^2)+'LINEST VARS'!$L$60*(0.5^2)+'LINEST VARS'!$K$60*(12.73^2)+'LINEST VARS'!$J$60*($T$80*$B89)+'LINEST VARS'!$I$60*($T$80*4)+'LINEST VARS'!$H$60*($T$80*0.5)+'LINEST VARS'!$G$60*($T$80*12.73)+'LINEST VARS'!$F$60*($B89*4)+'LINEST VARS'!$E$60*($B89*0.5)+'LINEST VARS'!$D$60*($B89*12.73)+'LINEST VARS'!$C$60*(4*0.5)+'LINEST VARS'!$B$60*(4*12.73)+'LINEST VARS'!$A$60*(0.5*12.73)</f>
        <v>40.460000000000015</v>
      </c>
      <c r="U89" s="46">
        <f>'LINEST VARS'!$U$60+'LINEST VARS'!$T$60*($U$80)+'LINEST VARS'!$S$60*($B89)+'LINEST VARS'!$R$60*(4)+'LINEST VARS'!$Q$60*(0.5)+'LINEST VARS'!$P$60*(12.73)+'LINEST VARS'!$O$60*($U$80^2)+'LINEST VARS'!$N$60*($B89^2)+'LINEST VARS'!$M$60*(4^2)+'LINEST VARS'!$L$60*(0.5^2)+'LINEST VARS'!$K$60*(12.73^2)+'LINEST VARS'!$J$60*($U$80*$B89)+'LINEST VARS'!$I$60*($U$80*4)+'LINEST VARS'!$H$60*($U$80*0.5)+'LINEST VARS'!$G$60*($U$80*12.73)+'LINEST VARS'!$F$60*($B89*4)+'LINEST VARS'!$E$60*($B89*0.5)+'LINEST VARS'!$D$60*($B89*12.73)+'LINEST VARS'!$C$60*(4*0.5)+'LINEST VARS'!$B$60*(4*12.73)+'LINEST VARS'!$A$60*(0.5*12.73)</f>
        <v>40.460000000000022</v>
      </c>
      <c r="V89" s="46">
        <f>'LINEST VARS'!$U$60+'LINEST VARS'!$T$60*($V$80)+'LINEST VARS'!$S$60*($B89)+'LINEST VARS'!$R$60*(4)+'LINEST VARS'!$Q$60*(0.5)+'LINEST VARS'!$P$60*(12.73)+'LINEST VARS'!$O$60*($V$80^2)+'LINEST VARS'!$N$60*($B89^2)+'LINEST VARS'!$M$60*(4^2)+'LINEST VARS'!$L$60*(0.5^2)+'LINEST VARS'!$K$60*(12.73^2)+'LINEST VARS'!$J$60*($V$80*$B89)+'LINEST VARS'!$I$60*($V$80*4)+'LINEST VARS'!$H$60*($V$80*0.5)+'LINEST VARS'!$G$60*($V$80*12.73)+'LINEST VARS'!$F$60*($B89*4)+'LINEST VARS'!$E$60*($B89*0.5)+'LINEST VARS'!$D$60*($B89*12.73)+'LINEST VARS'!$C$60*(4*0.5)+'LINEST VARS'!$B$60*(4*12.73)+'LINEST VARS'!$A$60*(0.5*12.73)</f>
        <v>40.460000000000022</v>
      </c>
      <c r="W89" s="47">
        <f>'LINEST VARS'!$U$60+'LINEST VARS'!$T$60*($W$80)+'LINEST VARS'!$S$60*($B89)+'LINEST VARS'!$R$60*(4)+'LINEST VARS'!$Q$60*(0.5)+'LINEST VARS'!$P$60*(12.73)+'LINEST VARS'!$O$60*($W$80^2)+'LINEST VARS'!$N$60*($B89^2)+'LINEST VARS'!$M$60*(4^2)+'LINEST VARS'!$L$60*(0.5^2)+'LINEST VARS'!$K$60*(12.73^2)+'LINEST VARS'!$J$60*($W$80*$B89)+'LINEST VARS'!$I$60*($W$80*4)+'LINEST VARS'!$H$60*($W$80*0.5)+'LINEST VARS'!$G$60*($W$80*12.73)+'LINEST VARS'!$F$60*($B89*4)+'LINEST VARS'!$E$60*($B89*0.5)+'LINEST VARS'!$D$60*($B89*12.73)+'LINEST VARS'!$C$60*(4*0.5)+'LINEST VARS'!$B$60*(4*12.73)+'LINEST VARS'!$A$60*(0.5*12.73)</f>
        <v>40.460000000000022</v>
      </c>
      <c r="Z89" s="45">
        <v>7.88</v>
      </c>
      <c r="AA89" s="55">
        <f>'LINEST VARS'!$U$62+'LINEST VARS'!$T$62*($AA$80)+'LINEST VARS'!$S$62*($Z89)+'LINEST VARS'!$R$62*(4)+'LINEST VARS'!$Q$62*(0.5)+'LINEST VARS'!$P$62*(12.73)+'LINEST VARS'!$O$62*($AA$80^2)+'LINEST VARS'!$N$62*($Z89^2)+'LINEST VARS'!$M$62*(4^2)+'LINEST VARS'!$L$62*(0.5^2)+'LINEST VARS'!$K$62*(12.73^2)+'LINEST VARS'!$J$62*($AA$80*$Z89)+'LINEST VARS'!$I$62*($AA$80*4)+'LINEST VARS'!$H$62*($AA$80*0.5)+'LINEST VARS'!$G$62*($AA$80*12.73)+'LINEST VARS'!$F$62*($Z89*4)+'LINEST VARS'!$E$62*($Z89*0.5)+'LINEST VARS'!$D$62*($Z89*12.73)+'LINEST VARS'!$C$62*(4*0.5)+'LINEST VARS'!$B$62*(4*12.73)+'LINEST VARS'!$A$62*(0.5*12.73)</f>
        <v>269.49999999999994</v>
      </c>
      <c r="AB89" s="55">
        <f>'LINEST VARS'!$U$62+'LINEST VARS'!$T$62*($AB$80)+'LINEST VARS'!$S$62*($Z89)+'LINEST VARS'!$R$62*(4)+'LINEST VARS'!$Q$62*(0.5)+'LINEST VARS'!$P$62*(12.73)+'LINEST VARS'!$O$62*($AB$80^2)+'LINEST VARS'!$N$62*($Z89^2)+'LINEST VARS'!$M$62*(4^2)+'LINEST VARS'!$L$62*(0.5^2)+'LINEST VARS'!$K$62*(12.73^2)+'LINEST VARS'!$J$62*($AB$80*$Z89)+'LINEST VARS'!$I$62*($AB$80*4)+'LINEST VARS'!$H$62*($AB$80*0.5)+'LINEST VARS'!$G$62*($AB$80*12.73)+'LINEST VARS'!$F$62*($Z89*4)+'LINEST VARS'!$E$62*($Z89*0.5)+'LINEST VARS'!$D$62*($Z89*12.73)+'LINEST VARS'!$C$62*(4*0.5)+'LINEST VARS'!$B$62*(4*12.73)+'LINEST VARS'!$A$62*(0.5*12.73)</f>
        <v>269.49999999999994</v>
      </c>
      <c r="AC89" s="55">
        <f>'LINEST VARS'!$U$62+'LINEST VARS'!$T$62*($AC$80)+'LINEST VARS'!$S$62*($Z89)+'LINEST VARS'!$R$62*(4)+'LINEST VARS'!$Q$62*(0.5)+'LINEST VARS'!$P$62*(12.73)+'LINEST VARS'!$O$62*($AC$80^2)+'LINEST VARS'!$N$62*($Z89^2)+'LINEST VARS'!$M$62*(4^2)+'LINEST VARS'!$L$62*(0.5^2)+'LINEST VARS'!$K$62*(12.73^2)+'LINEST VARS'!$J$62*($AC$80*$Z89)+'LINEST VARS'!$I$62*($AC$80*4)+'LINEST VARS'!$H$62*($AC$80*0.5)+'LINEST VARS'!$G$62*($AC$80*12.73)+'LINEST VARS'!$F$62*($Z89*4)+'LINEST VARS'!$E$62*($Z89*0.5)+'LINEST VARS'!$D$62*($Z89*12.73)+'LINEST VARS'!$C$62*(4*0.5)+'LINEST VARS'!$B$62*(4*12.73)+'LINEST VARS'!$A$62*(0.5*12.73)</f>
        <v>269.49999999999989</v>
      </c>
      <c r="AD89" s="55">
        <f>'LINEST VARS'!$U$62+'LINEST VARS'!$T$62*($AD$80)+'LINEST VARS'!$S$62*($Z89)+'LINEST VARS'!$R$62*(4)+'LINEST VARS'!$Q$62*(0.5)+'LINEST VARS'!$P$62*(12.73)+'LINEST VARS'!$O$62*($AD$80^2)+'LINEST VARS'!$N$62*($Z89^2)+'LINEST VARS'!$M$62*(4^2)+'LINEST VARS'!$L$62*(0.5^2)+'LINEST VARS'!$K$62*(12.73^2)+'LINEST VARS'!$J$62*($AD$80*$Z89)+'LINEST VARS'!$I$62*($AD$80*4)+'LINEST VARS'!$H$62*($AD$80*0.5)+'LINEST VARS'!$G$62*($AD$80*12.73)+'LINEST VARS'!$F$62*($Z89*4)+'LINEST VARS'!$E$62*($Z89*0.5)+'LINEST VARS'!$D$62*($Z89*12.73)+'LINEST VARS'!$C$62*(4*0.5)+'LINEST VARS'!$B$62*(4*12.73)+'LINEST VARS'!$A$62*(0.5*12.73)</f>
        <v>269.5</v>
      </c>
      <c r="AE89" s="55">
        <f>'LINEST VARS'!$U$62+'LINEST VARS'!$T$62*($AE$80)+'LINEST VARS'!$S$62*($Z89)+'LINEST VARS'!$R$62*(4)+'LINEST VARS'!$Q$62*(0.5)+'LINEST VARS'!$P$62*(12.73)+'LINEST VARS'!$O$62*($AE$80^2)+'LINEST VARS'!$N$62*($Z89^2)+'LINEST VARS'!$M$62*(4^2)+'LINEST VARS'!$L$62*(0.5^2)+'LINEST VARS'!$K$62*(12.73^2)+'LINEST VARS'!$J$62*($AE$80*$Z89)+'LINEST VARS'!$I$62*($AE$80*4)+'LINEST VARS'!$H$62*($AE$80*0.5)+'LINEST VARS'!$G$62*($AE$80*12.73)+'LINEST VARS'!$F$62*($Z89*4)+'LINEST VARS'!$E$62*($Z89*0.5)+'LINEST VARS'!$D$62*($Z89*12.73)+'LINEST VARS'!$C$62*(4*0.5)+'LINEST VARS'!$B$62*(4*12.73)+'LINEST VARS'!$A$62*(0.5*12.73)</f>
        <v>269.49999999999994</v>
      </c>
      <c r="AF89" s="55">
        <f>'LINEST VARS'!$U$62+'LINEST VARS'!$T$62*($AF$80)+'LINEST VARS'!$S$62*($Z89)+'LINEST VARS'!$R$62*(4)+'LINEST VARS'!$Q$62*(0.5)+'LINEST VARS'!$P$62*(12.73)+'LINEST VARS'!$O$62*($AF$80^2)+'LINEST VARS'!$N$62*($Z89^2)+'LINEST VARS'!$M$62*(4^2)+'LINEST VARS'!$L$62*(0.5^2)+'LINEST VARS'!$K$62*(12.73^2)+'LINEST VARS'!$J$62*($AF$80*$Z89)+'LINEST VARS'!$I$62*($AF$80*4)+'LINEST VARS'!$H$62*($AF$80*0.5)+'LINEST VARS'!$G$62*($AF$80*12.73)+'LINEST VARS'!$F$62*($Z89*4)+'LINEST VARS'!$E$62*($Z89*0.5)+'LINEST VARS'!$D$62*($Z89*12.73)+'LINEST VARS'!$C$62*(4*0.5)+'LINEST VARS'!$B$62*(4*12.73)+'LINEST VARS'!$A$62*(0.5*12.73)</f>
        <v>269.49999999999989</v>
      </c>
      <c r="AG89" s="55">
        <f>'LINEST VARS'!$U$62+'LINEST VARS'!$T$62*($AG$80)+'LINEST VARS'!$S$62*($Z89)+'LINEST VARS'!$R$62*(4)+'LINEST VARS'!$Q$62*(0.5)+'LINEST VARS'!$P$62*(12.73)+'LINEST VARS'!$O$62*($AG$80^2)+'LINEST VARS'!$N$62*($Z89^2)+'LINEST VARS'!$M$62*(4^2)+'LINEST VARS'!$L$62*(0.5^2)+'LINEST VARS'!$K$62*(12.73^2)+'LINEST VARS'!$J$62*($AG$80*$Z89)+'LINEST VARS'!$I$62*($AG$80*4)+'LINEST VARS'!$H$62*($AG$80*0.5)+'LINEST VARS'!$G$62*($AG$80*12.73)+'LINEST VARS'!$F$62*($Z89*4)+'LINEST VARS'!$E$62*($Z89*0.5)+'LINEST VARS'!$D$62*($Z89*12.73)+'LINEST VARS'!$C$62*(4*0.5)+'LINEST VARS'!$B$62*(4*12.73)+'LINEST VARS'!$A$62*(0.5*12.73)</f>
        <v>269.49999999999994</v>
      </c>
      <c r="AH89" s="55">
        <f>'LINEST VARS'!$U$62+'LINEST VARS'!$T$62*($AH$80)+'LINEST VARS'!$S$62*($Z89)+'LINEST VARS'!$R$62*(4)+'LINEST VARS'!$Q$62*(0.5)+'LINEST VARS'!$P$62*(12.73)+'LINEST VARS'!$O$62*($AH$80^2)+'LINEST VARS'!$N$62*($Z89^2)+'LINEST VARS'!$M$62*(4^2)+'LINEST VARS'!$L$62*(0.5^2)+'LINEST VARS'!$K$62*(12.73^2)+'LINEST VARS'!$J$62*($AH$80*$Z89)+'LINEST VARS'!$I$62*($AH$80*4)+'LINEST VARS'!$H$62*($AH$80*0.5)+'LINEST VARS'!$G$62*($AH$80*12.73)+'LINEST VARS'!$F$62*($Z89*4)+'LINEST VARS'!$E$62*($Z89*0.5)+'LINEST VARS'!$D$62*($Z89*12.73)+'LINEST VARS'!$C$62*(4*0.5)+'LINEST VARS'!$B$62*(4*12.73)+'LINEST VARS'!$A$62*(0.5*12.73)</f>
        <v>269.49999999999989</v>
      </c>
      <c r="AI89" s="55">
        <f>'LINEST VARS'!$U$62+'LINEST VARS'!$T$62*($AI$80)+'LINEST VARS'!$S$62*($Z89)+'LINEST VARS'!$R$62*(4)+'LINEST VARS'!$Q$62*(0.5)+'LINEST VARS'!$P$62*(12.73)+'LINEST VARS'!$O$62*($AI$80^2)+'LINEST VARS'!$N$62*($Z89^2)+'LINEST VARS'!$M$62*(4^2)+'LINEST VARS'!$L$62*(0.5^2)+'LINEST VARS'!$K$62*(12.73^2)+'LINEST VARS'!$J$62*($AI$80*$Z89)+'LINEST VARS'!$I$62*($AI$80*4)+'LINEST VARS'!$H$62*($AI$80*0.5)+'LINEST VARS'!$G$62*($AI$80*12.73)+'LINEST VARS'!$F$62*($Z89*4)+'LINEST VARS'!$E$62*($Z89*0.5)+'LINEST VARS'!$D$62*($Z89*12.73)+'LINEST VARS'!$C$62*(4*0.5)+'LINEST VARS'!$B$62*(4*12.73)+'LINEST VARS'!$A$62*(0.5*12.73)</f>
        <v>269.49999999999994</v>
      </c>
      <c r="AJ89" s="55">
        <f>'LINEST VARS'!$U$62+'LINEST VARS'!$T$62*($AJ$80)+'LINEST VARS'!$S$62*($Z89)+'LINEST VARS'!$R$62*(4)+'LINEST VARS'!$Q$62*(0.5)+'LINEST VARS'!$P$62*(12.73)+'LINEST VARS'!$O$62*($AJ$80^2)+'LINEST VARS'!$N$62*($Z89^2)+'LINEST VARS'!$M$62*(4^2)+'LINEST VARS'!$L$62*(0.5^2)+'LINEST VARS'!$K$62*(12.73^2)+'LINEST VARS'!$J$62*($AJ$80*$Z89)+'LINEST VARS'!$I$62*($AJ$80*4)+'LINEST VARS'!$H$62*($AJ$80*0.5)+'LINEST VARS'!$G$62*($AJ$80*12.73)+'LINEST VARS'!$F$62*($Z89*4)+'LINEST VARS'!$E$62*($Z89*0.5)+'LINEST VARS'!$D$62*($Z89*12.73)+'LINEST VARS'!$C$62*(4*0.5)+'LINEST VARS'!$B$62*(4*12.73)+'LINEST VARS'!$A$62*(0.5*12.73)</f>
        <v>269.49999999999994</v>
      </c>
      <c r="AK89" s="55">
        <f>'LINEST VARS'!$U$62+'LINEST VARS'!$T$62*($AK$80)+'LINEST VARS'!$S$62*($Z89)+'LINEST VARS'!$R$62*(4)+'LINEST VARS'!$Q$62*(0.5)+'LINEST VARS'!$P$62*(12.73)+'LINEST VARS'!$O$62*($AK$80^2)+'LINEST VARS'!$N$62*($Z89^2)+'LINEST VARS'!$M$62*(4^2)+'LINEST VARS'!$L$62*(0.5^2)+'LINEST VARS'!$K$62*(12.73^2)+'LINEST VARS'!$J$62*($AK$80*$Z89)+'LINEST VARS'!$I$62*($AK$80*4)+'LINEST VARS'!$H$62*($AK$80*0.5)+'LINEST VARS'!$G$62*($AK$80*12.73)+'LINEST VARS'!$F$62*($Z89*4)+'LINEST VARS'!$E$62*($Z89*0.5)+'LINEST VARS'!$D$62*($Z89*12.73)+'LINEST VARS'!$C$62*(4*0.5)+'LINEST VARS'!$B$62*(4*12.73)+'LINEST VARS'!$A$62*(0.5*12.73)</f>
        <v>269.49999999999994</v>
      </c>
      <c r="AL89" s="55">
        <f>'LINEST VARS'!$U$62+'LINEST VARS'!$T$62*($AL$80)+'LINEST VARS'!$S$62*($Z89)+'LINEST VARS'!$R$62*(4)+'LINEST VARS'!$Q$62*(0.5)+'LINEST VARS'!$P$62*(12.73)+'LINEST VARS'!$O$62*($AL$80^2)+'LINEST VARS'!$N$62*($Z89^2)+'LINEST VARS'!$M$62*(4^2)+'LINEST VARS'!$L$62*(0.5^2)+'LINEST VARS'!$K$62*(12.73^2)+'LINEST VARS'!$J$62*($AL$80*$Z89)+'LINEST VARS'!$I$62*($AL$80*4)+'LINEST VARS'!$H$62*($AL$80*0.5)+'LINEST VARS'!$G$62*($AL$80*12.73)+'LINEST VARS'!$F$62*($Z89*4)+'LINEST VARS'!$E$62*($Z89*0.5)+'LINEST VARS'!$D$62*($Z89*12.73)+'LINEST VARS'!$C$62*(4*0.5)+'LINEST VARS'!$B$62*(4*12.73)+'LINEST VARS'!$A$62*(0.5*12.73)</f>
        <v>269.49999999999989</v>
      </c>
      <c r="AM89" s="55">
        <f>'LINEST VARS'!$U$62+'LINEST VARS'!$T$62*($AM$80)+'LINEST VARS'!$S$62*($Z89)+'LINEST VARS'!$R$62*(4)+'LINEST VARS'!$Q$62*(0.5)+'LINEST VARS'!$P$62*(12.73)+'LINEST VARS'!$O$62*($AM$80^2)+'LINEST VARS'!$N$62*($Z89^2)+'LINEST VARS'!$M$62*(4^2)+'LINEST VARS'!$L$62*(0.5^2)+'LINEST VARS'!$K$62*(12.73^2)+'LINEST VARS'!$J$62*($AM$80*$Z89)+'LINEST VARS'!$I$62*($AM$80*4)+'LINEST VARS'!$H$62*($AM$80*0.5)+'LINEST VARS'!$G$62*($AM$80*12.73)+'LINEST VARS'!$F$62*($Z89*4)+'LINEST VARS'!$E$62*($Z89*0.5)+'LINEST VARS'!$D$62*($Z89*12.73)+'LINEST VARS'!$C$62*(4*0.5)+'LINEST VARS'!$B$62*(4*12.73)+'LINEST VARS'!$A$62*(0.5*12.73)</f>
        <v>269.49999999999989</v>
      </c>
      <c r="AN89" s="55">
        <f>'LINEST VARS'!$U$62+'LINEST VARS'!$T$62*($AN$80)+'LINEST VARS'!$S$62*($Z89)+'LINEST VARS'!$R$62*(4)+'LINEST VARS'!$Q$62*(0.5)+'LINEST VARS'!$P$62*(12.73)+'LINEST VARS'!$O$62*($AN$80^2)+'LINEST VARS'!$N$62*($Z89^2)+'LINEST VARS'!$M$62*(4^2)+'LINEST VARS'!$L$62*(0.5^2)+'LINEST VARS'!$K$62*(12.73^2)+'LINEST VARS'!$J$62*($AN$80*$Z89)+'LINEST VARS'!$I$62*($AN$80*4)+'LINEST VARS'!$H$62*($AN$80*0.5)+'LINEST VARS'!$G$62*($AN$80*12.73)+'LINEST VARS'!$F$62*($Z89*4)+'LINEST VARS'!$E$62*($Z89*0.5)+'LINEST VARS'!$D$62*($Z89*12.73)+'LINEST VARS'!$C$62*(4*0.5)+'LINEST VARS'!$B$62*(4*12.73)+'LINEST VARS'!$A$62*(0.5*12.73)</f>
        <v>269.49999999999994</v>
      </c>
      <c r="AO89" s="55">
        <f>'LINEST VARS'!$U$62+'LINEST VARS'!$T$62*($AO$80)+'LINEST VARS'!$S$62*($Z89)+'LINEST VARS'!$R$62*(4)+'LINEST VARS'!$Q$62*(0.5)+'LINEST VARS'!$P$62*(12.73)+'LINEST VARS'!$O$62*($AO$80^2)+'LINEST VARS'!$N$62*($Z89^2)+'LINEST VARS'!$M$62*(4^2)+'LINEST VARS'!$L$62*(0.5^2)+'LINEST VARS'!$K$62*(12.73^2)+'LINEST VARS'!$J$62*($AO$80*$Z89)+'LINEST VARS'!$I$62*($AO$80*4)+'LINEST VARS'!$H$62*($AO$80*0.5)+'LINEST VARS'!$G$62*($AO$80*12.73)+'LINEST VARS'!$F$62*($Z89*4)+'LINEST VARS'!$E$62*($Z89*0.5)+'LINEST VARS'!$D$62*($Z89*12.73)+'LINEST VARS'!$C$62*(4*0.5)+'LINEST VARS'!$B$62*(4*12.73)+'LINEST VARS'!$A$62*(0.5*12.73)</f>
        <v>269.49999999999994</v>
      </c>
      <c r="AP89" s="55">
        <f>'LINEST VARS'!$U$62+'LINEST VARS'!$T$62*($AP$80)+'LINEST VARS'!$S$62*($Z89)+'LINEST VARS'!$R$62*(4)+'LINEST VARS'!$Q$62*(0.5)+'LINEST VARS'!$P$62*(12.73)+'LINEST VARS'!$O$62*($AP$80^2)+'LINEST VARS'!$N$62*($Z89^2)+'LINEST VARS'!$M$62*(4^2)+'LINEST VARS'!$L$62*(0.5^2)+'LINEST VARS'!$K$62*(12.73^2)+'LINEST VARS'!$J$62*($AP$80*$Z89)+'LINEST VARS'!$I$62*($AP$80*4)+'LINEST VARS'!$H$62*($AP$80*0.5)+'LINEST VARS'!$G$62*($AP$80*12.73)+'LINEST VARS'!$F$62*($Z89*4)+'LINEST VARS'!$E$62*($Z89*0.5)+'LINEST VARS'!$D$62*($Z89*12.73)+'LINEST VARS'!$C$62*(4*0.5)+'LINEST VARS'!$B$62*(4*12.73)+'LINEST VARS'!$A$62*(0.5*12.73)</f>
        <v>269.49999999999994</v>
      </c>
      <c r="AQ89" s="55">
        <f>'LINEST VARS'!$U$62+'LINEST VARS'!$T$62*($AQ$80)+'LINEST VARS'!$S$62*($Z89)+'LINEST VARS'!$R$62*(4)+'LINEST VARS'!$Q$62*(0.5)+'LINEST VARS'!$P$62*(12.73)+'LINEST VARS'!$O$62*($AQ$80^2)+'LINEST VARS'!$N$62*($Z89^2)+'LINEST VARS'!$M$62*(4^2)+'LINEST VARS'!$L$62*(0.5^2)+'LINEST VARS'!$K$62*(12.73^2)+'LINEST VARS'!$J$62*($AQ$80*$Z89)+'LINEST VARS'!$I$62*($AQ$80*4)+'LINEST VARS'!$H$62*($AQ$80*0.5)+'LINEST VARS'!$G$62*($AQ$80*12.73)+'LINEST VARS'!$F$62*($Z89*4)+'LINEST VARS'!$E$62*($Z89*0.5)+'LINEST VARS'!$D$62*($Z89*12.73)+'LINEST VARS'!$C$62*(4*0.5)+'LINEST VARS'!$B$62*(4*12.73)+'LINEST VARS'!$A$62*(0.5*12.73)</f>
        <v>269.49999999999989</v>
      </c>
      <c r="AR89" s="55">
        <f>'LINEST VARS'!$U$62+'LINEST VARS'!$T$62*($AR$80)+'LINEST VARS'!$S$62*($Z89)+'LINEST VARS'!$R$62*(4)+'LINEST VARS'!$Q$62*(0.5)+'LINEST VARS'!$P$62*(12.73)+'LINEST VARS'!$O$62*($AR$80^2)+'LINEST VARS'!$N$62*($Z89^2)+'LINEST VARS'!$M$62*(4^2)+'LINEST VARS'!$L$62*(0.5^2)+'LINEST VARS'!$K$62*(12.73^2)+'LINEST VARS'!$J$62*($AR$80*$Z89)+'LINEST VARS'!$I$62*($AR$80*4)+'LINEST VARS'!$H$62*($AR$80*0.5)+'LINEST VARS'!$G$62*($AR$80*12.73)+'LINEST VARS'!$F$62*($Z89*4)+'LINEST VARS'!$E$62*($Z89*0.5)+'LINEST VARS'!$D$62*($Z89*12.73)+'LINEST VARS'!$C$62*(4*0.5)+'LINEST VARS'!$B$62*(4*12.73)+'LINEST VARS'!$A$62*(0.5*12.73)</f>
        <v>269.49999999999994</v>
      </c>
      <c r="AS89" s="55">
        <f>'LINEST VARS'!$U$62+'LINEST VARS'!$T$62*($AS$80)+'LINEST VARS'!$S$62*($Z89)+'LINEST VARS'!$R$62*(4)+'LINEST VARS'!$Q$62*(0.5)+'LINEST VARS'!$P$62*(12.73)+'LINEST VARS'!$O$62*($AS$80^2)+'LINEST VARS'!$N$62*($Z89^2)+'LINEST VARS'!$M$62*(4^2)+'LINEST VARS'!$L$62*(0.5^2)+'LINEST VARS'!$K$62*(12.73^2)+'LINEST VARS'!$J$62*($AS$80*$Z89)+'LINEST VARS'!$I$62*($AS$80*4)+'LINEST VARS'!$H$62*($AS$80*0.5)+'LINEST VARS'!$G$62*($AS$80*12.73)+'LINEST VARS'!$F$62*($Z89*4)+'LINEST VARS'!$E$62*($Z89*0.5)+'LINEST VARS'!$D$62*($Z89*12.73)+'LINEST VARS'!$C$62*(4*0.5)+'LINEST VARS'!$B$62*(4*12.73)+'LINEST VARS'!$A$62*(0.5*12.73)</f>
        <v>269.49999999999994</v>
      </c>
      <c r="AT89" s="55">
        <f>'LINEST VARS'!$U$62+'LINEST VARS'!$T$62*($AT$80)+'LINEST VARS'!$S$62*($Z89)+'LINEST VARS'!$R$62*(4)+'LINEST VARS'!$Q$62*(0.5)+'LINEST VARS'!$P$62*(12.73)+'LINEST VARS'!$O$62*($AT$80^2)+'LINEST VARS'!$N$62*($Z89^2)+'LINEST VARS'!$M$62*(4^2)+'LINEST VARS'!$L$62*(0.5^2)+'LINEST VARS'!$K$62*(12.73^2)+'LINEST VARS'!$J$62*($AT$80*$Z89)+'LINEST VARS'!$I$62*($AT$80*4)+'LINEST VARS'!$H$62*($AT$80*0.5)+'LINEST VARS'!$G$62*($AT$80*12.73)+'LINEST VARS'!$F$62*($Z89*4)+'LINEST VARS'!$E$62*($Z89*0.5)+'LINEST VARS'!$D$62*($Z89*12.73)+'LINEST VARS'!$C$62*(4*0.5)+'LINEST VARS'!$B$62*(4*12.73)+'LINEST VARS'!$A$62*(0.5*12.73)</f>
        <v>269.49999999999994</v>
      </c>
      <c r="AU89" s="56">
        <f>'LINEST VARS'!$U$62+'LINEST VARS'!$T$62*($AU$80)+'LINEST VARS'!$S$62*($Z89)+'LINEST VARS'!$R$62*(4)+'LINEST VARS'!$Q$62*(0.5)+'LINEST VARS'!$P$62*(12.73)+'LINEST VARS'!$O$62*($AU$80^2)+'LINEST VARS'!$N$62*($Z89^2)+'LINEST VARS'!$M$62*(4^2)+'LINEST VARS'!$L$62*(0.5^2)+'LINEST VARS'!$K$62*(12.73^2)+'LINEST VARS'!$J$62*($AU$80*$Z89)+'LINEST VARS'!$I$62*($AU$80*4)+'LINEST VARS'!$H$62*($AU$80*0.5)+'LINEST VARS'!$G$62*($AU$80*12.73)+'LINEST VARS'!$F$62*($Z89*4)+'LINEST VARS'!$E$62*($Z89*0.5)+'LINEST VARS'!$D$62*($Z89*12.73)+'LINEST VARS'!$C$62*(4*0.5)+'LINEST VARS'!$B$62*(4*12.73)+'LINEST VARS'!$A$62*(0.5*12.73)</f>
        <v>269.5</v>
      </c>
      <c r="AZ89" s="45">
        <v>0.4</v>
      </c>
      <c r="BA89" s="46">
        <f>'LINEST VARS'!$U$60+'LINEST VARS'!$T$60*(8)+'LINEST VARS'!$S$60*(8)+'LINEST VARS'!$R$60*($BA$80)+'LINEST VARS'!$Q$60*($AZ89)+'LINEST VARS'!$P$60*(12.73)+'LINEST VARS'!$O$60*(8^2)+'LINEST VARS'!$N$60*(8^2)+'LINEST VARS'!$M$60*($BA$80^2)+'LINEST VARS'!$L$60*($AZ89^2)+'LINEST VARS'!$K$60*(12.73^2)+'LINEST VARS'!$J$60*(8*8)+'LINEST VARS'!$I$60*(8*$BA$80)+'LINEST VARS'!$H$60*(8*$AZ89)+'LINEST VARS'!$G$60*(8*12.73)+'LINEST VARS'!$F$60*(8*$BA$80)+'LINEST VARS'!$E$60*(8*$AZ89)+'LINEST VARS'!$D$60*(8*12.73)+'LINEST VARS'!$C$60*($BA$80*$AZ89)+'LINEST VARS'!$B$60*($BA$80*12.73)+'LINEST VARS'!$A$60*($AZ89*12.73)</f>
        <v>40.46</v>
      </c>
      <c r="BB89" s="46">
        <f>'LINEST VARS'!$U$60+'LINEST VARS'!$T$60*(8)+'LINEST VARS'!$S$60*(8)+'LINEST VARS'!$R$60*($BB$80)+'LINEST VARS'!$Q$60*($AZ89)+'LINEST VARS'!$P$60*(12.73)+'LINEST VARS'!$O$60*(8^2)+'LINEST VARS'!$N$60*(8^2)+'LINEST VARS'!$M$60*($BB$80^2)+'LINEST VARS'!$L$60*($AZ89^2)+'LINEST VARS'!$K$60*(12.73^2)+'LINEST VARS'!$J$60*(8*8)+'LINEST VARS'!$I$60*(8*$BB$80)+'LINEST VARS'!$H$60*(8*$AZ89)+'LINEST VARS'!$G$60*(8*12.73)+'LINEST VARS'!$F$60*(8*$BB$80)+'LINEST VARS'!$E$60*(8*$AZ89)+'LINEST VARS'!$D$60*(8*12.73)+'LINEST VARS'!$C$60*($BB$80*$AZ89)+'LINEST VARS'!$B$60*($BB$80*12.73)+'LINEST VARS'!$A$60*($AZ89*12.73)</f>
        <v>40.46</v>
      </c>
      <c r="BC89" s="46">
        <f>'LINEST VARS'!$U$60+'LINEST VARS'!$T$60*(8)+'LINEST VARS'!$S$60*(8)+'LINEST VARS'!$R$60*($BC$80)+'LINEST VARS'!$Q$60*($AZ89)+'LINEST VARS'!$P$60*(12.73)+'LINEST VARS'!$O$60*(8^2)+'LINEST VARS'!$N$60*(8^2)+'LINEST VARS'!$M$60*($BC$80^2)+'LINEST VARS'!$L$60*($AZ89^2)+'LINEST VARS'!$K$60*(12.73^2)+'LINEST VARS'!$J$60*(8*8)+'LINEST VARS'!$I$60*(8*$BC$80)+'LINEST VARS'!$H$60*(8*$AZ89)+'LINEST VARS'!$G$60*(8*12.73)+'LINEST VARS'!$F$60*(8*$BC$80)+'LINEST VARS'!$E$60*(8*$AZ89)+'LINEST VARS'!$D$60*(8*12.73)+'LINEST VARS'!$C$60*($BC$80*$AZ89)+'LINEST VARS'!$B$60*($BC$80*12.73)+'LINEST VARS'!$A$60*($AZ89*12.73)</f>
        <v>40.46</v>
      </c>
      <c r="BD89" s="46">
        <f>'LINEST VARS'!$U$60+'LINEST VARS'!$T$60*(8)+'LINEST VARS'!$S$60*(8)+'LINEST VARS'!$R$60*($BD$80)+'LINEST VARS'!$Q$60*($AZ89)+'LINEST VARS'!$P$60*(12.73)+'LINEST VARS'!$O$60*(8^2)+'LINEST VARS'!$N$60*(8^2)+'LINEST VARS'!$M$60*($BD$80^2)+'LINEST VARS'!$L$60*($AZ89^2)+'LINEST VARS'!$K$60*(12.73^2)+'LINEST VARS'!$J$60*(8*8)+'LINEST VARS'!$I$60*(8*$BD$80)+'LINEST VARS'!$H$60*(8*$AZ89)+'LINEST VARS'!$G$60*(8*12.73)+'LINEST VARS'!$F$60*(8*$BD$80)+'LINEST VARS'!$E$60*(8*$AZ89)+'LINEST VARS'!$D$60*(8*12.73)+'LINEST VARS'!$C$60*($BD$80*$AZ89)+'LINEST VARS'!$B$60*($BD$80*12.73)+'LINEST VARS'!$A$60*($AZ89*12.73)</f>
        <v>40.460000000000008</v>
      </c>
      <c r="BE89" s="46">
        <f>'LINEST VARS'!$U$60+'LINEST VARS'!$T$60*(8)+'LINEST VARS'!$S$60*(8)+'LINEST VARS'!$R$60*($BE$80)+'LINEST VARS'!$Q$60*($AZ89)+'LINEST VARS'!$P$60*(12.73)+'LINEST VARS'!$O$60*(8^2)+'LINEST VARS'!$N$60*(8^2)+'LINEST VARS'!$M$60*($BE$80^2)+'LINEST VARS'!$L$60*($AZ89^2)+'LINEST VARS'!$K$60*(12.73^2)+'LINEST VARS'!$J$60*(8*8)+'LINEST VARS'!$I$60*(8*$BE$80)+'LINEST VARS'!$H$60*(8*$AZ89)+'LINEST VARS'!$G$60*(8*12.73)+'LINEST VARS'!$F$60*(8*$BE$80)+'LINEST VARS'!$E$60*(8*$AZ89)+'LINEST VARS'!$D$60*(8*12.73)+'LINEST VARS'!$C$60*($BE$80*$AZ89)+'LINEST VARS'!$B$60*($BE$80*12.73)+'LINEST VARS'!$A$60*($AZ89*12.73)</f>
        <v>40.46</v>
      </c>
      <c r="BF89" s="46">
        <f>'LINEST VARS'!$U$60+'LINEST VARS'!$T$60*(8)+'LINEST VARS'!$S$60*(8)+'LINEST VARS'!$R$60*($BF$80)+'LINEST VARS'!$Q$60*($AZ89)+'LINEST VARS'!$P$60*(12.73)+'LINEST VARS'!$O$60*(8^2)+'LINEST VARS'!$N$60*(8^2)+'LINEST VARS'!$M$60*($BF$80^2)+'LINEST VARS'!$L$60*($AZ89^2)+'LINEST VARS'!$K$60*(12.73^2)+'LINEST VARS'!$J$60*(8*8)+'LINEST VARS'!$I$60*(8*$BF$80)+'LINEST VARS'!$H$60*(8*$AZ89)+'LINEST VARS'!$G$60*(8*12.73)+'LINEST VARS'!$F$60*(8*$BF$80)+'LINEST VARS'!$E$60*(8*$AZ89)+'LINEST VARS'!$D$60*(8*12.73)+'LINEST VARS'!$C$60*($BF$80*$AZ89)+'LINEST VARS'!$B$60*($BF$80*12.73)+'LINEST VARS'!$A$60*($AZ89*12.73)</f>
        <v>40.46</v>
      </c>
      <c r="BG89" s="46">
        <f>'LINEST VARS'!$U$60+'LINEST VARS'!$T$60*(8)+'LINEST VARS'!$S$60*(8)+'LINEST VARS'!$R$60*($BG$80)+'LINEST VARS'!$Q$60*($AZ89)+'LINEST VARS'!$P$60*(12.73)+'LINEST VARS'!$O$60*(8^2)+'LINEST VARS'!$N$60*(8^2)+'LINEST VARS'!$M$60*($BG$80^2)+'LINEST VARS'!$L$60*($AZ89^2)+'LINEST VARS'!$K$60*(12.73^2)+'LINEST VARS'!$J$60*(8*8)+'LINEST VARS'!$I$60*(8*$BG$80)+'LINEST VARS'!$H$60*(8*$AZ89)+'LINEST VARS'!$G$60*(8*12.73)+'LINEST VARS'!$F$60*(8*$BG$80)+'LINEST VARS'!$E$60*(8*$AZ89)+'LINEST VARS'!$D$60*(8*12.73)+'LINEST VARS'!$C$60*($BG$80*$AZ89)+'LINEST VARS'!$B$60*($BG$80*12.73)+'LINEST VARS'!$A$60*($AZ89*12.73)</f>
        <v>40.46</v>
      </c>
      <c r="BH89" s="46">
        <f>'LINEST VARS'!$U$60+'LINEST VARS'!$T$60*(8)+'LINEST VARS'!$S$60*(8)+'LINEST VARS'!$R$60*($BH$80)+'LINEST VARS'!$Q$60*($AZ89)+'LINEST VARS'!$P$60*(12.73)+'LINEST VARS'!$O$60*(8^2)+'LINEST VARS'!$N$60*(8^2)+'LINEST VARS'!$M$60*($BH$80^2)+'LINEST VARS'!$L$60*($AZ89^2)+'LINEST VARS'!$K$60*(12.73^2)+'LINEST VARS'!$J$60*(8*8)+'LINEST VARS'!$I$60*(8*$BH$80)+'LINEST VARS'!$H$60*(8*$AZ89)+'LINEST VARS'!$G$60*(8*12.73)+'LINEST VARS'!$F$60*(8*$BH$80)+'LINEST VARS'!$E$60*(8*$AZ89)+'LINEST VARS'!$D$60*(8*12.73)+'LINEST VARS'!$C$60*($BH$80*$AZ89)+'LINEST VARS'!$B$60*($BH$80*12.73)+'LINEST VARS'!$A$60*($AZ89*12.73)</f>
        <v>40.46</v>
      </c>
      <c r="BI89" s="46">
        <f>'LINEST VARS'!$U$60+'LINEST VARS'!$T$60*(8)+'LINEST VARS'!$S$60*(8)+'LINEST VARS'!$R$60*($BI$80)+'LINEST VARS'!$Q$60*($AZ89)+'LINEST VARS'!$P$60*(12.73)+'LINEST VARS'!$O$60*(8^2)+'LINEST VARS'!$N$60*(8^2)+'LINEST VARS'!$M$60*($BI$80^2)+'LINEST VARS'!$L$60*($AZ89^2)+'LINEST VARS'!$K$60*(12.73^2)+'LINEST VARS'!$J$60*(8*8)+'LINEST VARS'!$I$60*(8*$BI$80)+'LINEST VARS'!$H$60*(8*$AZ89)+'LINEST VARS'!$G$60*(8*12.73)+'LINEST VARS'!$F$60*(8*$BI$80)+'LINEST VARS'!$E$60*(8*$AZ89)+'LINEST VARS'!$D$60*(8*12.73)+'LINEST VARS'!$C$60*($BI$80*$AZ89)+'LINEST VARS'!$B$60*($BI$80*12.73)+'LINEST VARS'!$A$60*($AZ89*12.73)</f>
        <v>40.46</v>
      </c>
      <c r="BJ89" s="46">
        <f>'LINEST VARS'!$U$60+'LINEST VARS'!$T$60*(8)+'LINEST VARS'!$S$60*(8)+'LINEST VARS'!$R$60*($BJ$80)+'LINEST VARS'!$Q$60*($AZ89)+'LINEST VARS'!$P$60*(12.73)+'LINEST VARS'!$O$60*(8^2)+'LINEST VARS'!$N$60*(8^2)+'LINEST VARS'!$M$60*($BJ$80^2)+'LINEST VARS'!$L$60*($AZ89^2)+'LINEST VARS'!$K$60*(12.73^2)+'LINEST VARS'!$J$60*(8*8)+'LINEST VARS'!$I$60*(8*$BJ$80)+'LINEST VARS'!$H$60*(8*$AZ89)+'LINEST VARS'!$G$60*(8*12.73)+'LINEST VARS'!$F$60*(8*$BJ$80)+'LINEST VARS'!$E$60*(8*$AZ89)+'LINEST VARS'!$D$60*(8*12.73)+'LINEST VARS'!$C$60*($BJ$80*$AZ89)+'LINEST VARS'!$B$60*($BJ$80*12.73)+'LINEST VARS'!$A$60*($AZ89*12.73)</f>
        <v>40.46</v>
      </c>
      <c r="BK89" s="46">
        <f>'LINEST VARS'!$U$60+'LINEST VARS'!$T$60*(8)+'LINEST VARS'!$S$60*(8)+'LINEST VARS'!$R$60*($BK$80)+'LINEST VARS'!$Q$60*($AZ89)+'LINEST VARS'!$P$60*(12.73)+'LINEST VARS'!$O$60*(8^2)+'LINEST VARS'!$N$60*(8^2)+'LINEST VARS'!$M$60*($BK$80^2)+'LINEST VARS'!$L$60*($AZ89^2)+'LINEST VARS'!$K$60*(12.73^2)+'LINEST VARS'!$J$60*(8*8)+'LINEST VARS'!$I$60*(8*$BK$80)+'LINEST VARS'!$H$60*(8*$AZ89)+'LINEST VARS'!$G$60*(8*12.73)+'LINEST VARS'!$F$60*(8*$BK$80)+'LINEST VARS'!$E$60*(8*$AZ89)+'LINEST VARS'!$D$60*(8*12.73)+'LINEST VARS'!$C$60*($BK$80*$AZ89)+'LINEST VARS'!$B$60*($BK$80*12.73)+'LINEST VARS'!$A$60*($AZ89*12.73)</f>
        <v>40.460000000000008</v>
      </c>
      <c r="BL89" s="46">
        <f>'LINEST VARS'!$U$60+'LINEST VARS'!$T$60*(8)+'LINEST VARS'!$S$60*(8)+'LINEST VARS'!$R$60*($BL$80)+'LINEST VARS'!$Q$60*($AZ89)+'LINEST VARS'!$P$60*(12.73)+'LINEST VARS'!$O$60*(8^2)+'LINEST VARS'!$N$60*(8^2)+'LINEST VARS'!$M$60*($BL$80^2)+'LINEST VARS'!$L$60*($AZ89^2)+'LINEST VARS'!$K$60*(12.73^2)+'LINEST VARS'!$J$60*(8*8)+'LINEST VARS'!$I$60*(8*$BL$80)+'LINEST VARS'!$H$60*(8*$AZ89)+'LINEST VARS'!$G$60*(8*12.73)+'LINEST VARS'!$F$60*(8*$BL$80)+'LINEST VARS'!$E$60*(8*$AZ89)+'LINEST VARS'!$D$60*(8*12.73)+'LINEST VARS'!$C$60*($BL$80*$AZ89)+'LINEST VARS'!$B$60*($BL$80*12.73)+'LINEST VARS'!$A$60*($AZ89*12.73)</f>
        <v>40.46</v>
      </c>
      <c r="BM89" s="46">
        <f>'LINEST VARS'!$U$60+'LINEST VARS'!$T$60*(8)+'LINEST VARS'!$S$60*(8)+'LINEST VARS'!$R$60*($BM$80)+'LINEST VARS'!$Q$60*($AZ89)+'LINEST VARS'!$P$60*(12.73)+'LINEST VARS'!$O$60*(8^2)+'LINEST VARS'!$N$60*(8^2)+'LINEST VARS'!$M$60*($BM$80^2)+'LINEST VARS'!$L$60*($AZ89^2)+'LINEST VARS'!$K$60*(12.73^2)+'LINEST VARS'!$J$60*(8*8)+'LINEST VARS'!$I$60*(8*$BM$80)+'LINEST VARS'!$H$60*(8*$AZ89)+'LINEST VARS'!$G$60*(8*12.73)+'LINEST VARS'!$F$60*(8*$BM$80)+'LINEST VARS'!$E$60*(8*$AZ89)+'LINEST VARS'!$D$60*(8*12.73)+'LINEST VARS'!$C$60*($BM$80*$AZ89)+'LINEST VARS'!$B$60*($BM$80*12.73)+'LINEST VARS'!$A$60*($AZ89*12.73)</f>
        <v>40.46</v>
      </c>
      <c r="BN89" s="46">
        <f>'LINEST VARS'!$U$60+'LINEST VARS'!$T$60*(8)+'LINEST VARS'!$S$60*(8)+'LINEST VARS'!$R$60*($BN$80)+'LINEST VARS'!$Q$60*($AZ89)+'LINEST VARS'!$P$60*(12.73)+'LINEST VARS'!$O$60*(8^2)+'LINEST VARS'!$N$60*(8^2)+'LINEST VARS'!$M$60*($BN$80^2)+'LINEST VARS'!$L$60*($AZ89^2)+'LINEST VARS'!$K$60*(12.73^2)+'LINEST VARS'!$J$60*(8*8)+'LINEST VARS'!$I$60*(8*$BN$80)+'LINEST VARS'!$H$60*(8*$AZ89)+'LINEST VARS'!$G$60*(8*12.73)+'LINEST VARS'!$F$60*(8*$BN$80)+'LINEST VARS'!$E$60*(8*$AZ89)+'LINEST VARS'!$D$60*(8*12.73)+'LINEST VARS'!$C$60*($BN$80*$AZ89)+'LINEST VARS'!$B$60*($BN$80*12.73)+'LINEST VARS'!$A$60*($AZ89*12.73)</f>
        <v>40.46</v>
      </c>
      <c r="BO89" s="46">
        <f>'LINEST VARS'!$U$60+'LINEST VARS'!$T$60*(8)+'LINEST VARS'!$S$60*(8)+'LINEST VARS'!$R$60*($BO$80)+'LINEST VARS'!$Q$60*($AZ89)+'LINEST VARS'!$P$60*(12.73)+'LINEST VARS'!$O$60*(8^2)+'LINEST VARS'!$N$60*(8^2)+'LINEST VARS'!$M$60*($BO$80^2)+'LINEST VARS'!$L$60*($AZ89^2)+'LINEST VARS'!$K$60*(12.73^2)+'LINEST VARS'!$J$60*(8*8)+'LINEST VARS'!$I$60*(8*$BO$80)+'LINEST VARS'!$H$60*(8*$AZ89)+'LINEST VARS'!$G$60*(8*12.73)+'LINEST VARS'!$F$60*(8*$BO$80)+'LINEST VARS'!$E$60*(8*$AZ89)+'LINEST VARS'!$D$60*(8*12.73)+'LINEST VARS'!$C$60*($BO$80*$AZ89)+'LINEST VARS'!$B$60*($BO$80*12.73)+'LINEST VARS'!$A$60*($AZ89*12.73)</f>
        <v>40.46</v>
      </c>
      <c r="BP89" s="46">
        <f>'LINEST VARS'!$U$60+'LINEST VARS'!$T$60*(8)+'LINEST VARS'!$S$60*(8)+'LINEST VARS'!$R$60*($BP$80)+'LINEST VARS'!$Q$60*($AZ89)+'LINEST VARS'!$P$60*(12.73)+'LINEST VARS'!$O$60*(8^2)+'LINEST VARS'!$N$60*(8^2)+'LINEST VARS'!$M$60*($BP$80^2)+'LINEST VARS'!$L$60*($AZ89^2)+'LINEST VARS'!$K$60*(12.73^2)+'LINEST VARS'!$J$60*(8*8)+'LINEST VARS'!$I$60*(8*$BP$80)+'LINEST VARS'!$H$60*(8*$AZ89)+'LINEST VARS'!$G$60*(8*12.73)+'LINEST VARS'!$F$60*(8*$BP$80)+'LINEST VARS'!$E$60*(8*$AZ89)+'LINEST VARS'!$D$60*(8*12.73)+'LINEST VARS'!$C$60*($BP$80*$AZ89)+'LINEST VARS'!$B$60*($BP$80*12.73)+'LINEST VARS'!$A$60*($AZ89*12.73)</f>
        <v>40.46</v>
      </c>
      <c r="BQ89" s="46">
        <f>'LINEST VARS'!$U$60+'LINEST VARS'!$T$60*(8)+'LINEST VARS'!$S$60*(8)+'LINEST VARS'!$R$60*($BQ$80)+'LINEST VARS'!$Q$60*($AZ89)+'LINEST VARS'!$P$60*(12.73)+'LINEST VARS'!$O$60*(8^2)+'LINEST VARS'!$N$60*(8^2)+'LINEST VARS'!$M$60*($BQ$80^2)+'LINEST VARS'!$L$60*($AZ89^2)+'LINEST VARS'!$K$60*(12.73^2)+'LINEST VARS'!$J$60*(8*8)+'LINEST VARS'!$I$60*(8*$BQ$80)+'LINEST VARS'!$H$60*(8*$AZ89)+'LINEST VARS'!$G$60*(8*12.73)+'LINEST VARS'!$F$60*(8*$BQ$80)+'LINEST VARS'!$E$60*(8*$AZ89)+'LINEST VARS'!$D$60*(8*12.73)+'LINEST VARS'!$C$60*($BQ$80*$AZ89)+'LINEST VARS'!$B$60*($BQ$80*12.73)+'LINEST VARS'!$A$60*($AZ89*12.73)</f>
        <v>40.46</v>
      </c>
      <c r="BR89" s="46">
        <f>'LINEST VARS'!$U$60+'LINEST VARS'!$T$60*(8)+'LINEST VARS'!$S$60*(8)+'LINEST VARS'!$R$60*($BR$80)+'LINEST VARS'!$Q$60*($AZ89)+'LINEST VARS'!$P$60*(12.73)+'LINEST VARS'!$O$60*(8^2)+'LINEST VARS'!$N$60*(8^2)+'LINEST VARS'!$M$60*($BR$80^2)+'LINEST VARS'!$L$60*($AZ89^2)+'LINEST VARS'!$K$60*(12.73^2)+'LINEST VARS'!$J$60*(8*8)+'LINEST VARS'!$I$60*(8*$BR$80)+'LINEST VARS'!$H$60*(8*$AZ89)+'LINEST VARS'!$G$60*(8*12.73)+'LINEST VARS'!$F$60*(8*$BR$80)+'LINEST VARS'!$E$60*(8*$AZ89)+'LINEST VARS'!$D$60*(8*12.73)+'LINEST VARS'!$C$60*($BR$80*$AZ89)+'LINEST VARS'!$B$60*($BR$80*12.73)+'LINEST VARS'!$A$60*($AZ89*12.73)</f>
        <v>40.460000000000008</v>
      </c>
      <c r="BS89" s="46">
        <f>'LINEST VARS'!$U$60+'LINEST VARS'!$T$60*(8)+'LINEST VARS'!$S$60*(8)+'LINEST VARS'!$R$60*($BS$80)+'LINEST VARS'!$Q$60*($AZ89)+'LINEST VARS'!$P$60*(12.73)+'LINEST VARS'!$O$60*(8^2)+'LINEST VARS'!$N$60*(8^2)+'LINEST VARS'!$M$60*($BS$80^2)+'LINEST VARS'!$L$60*($AZ89^2)+'LINEST VARS'!$K$60*(12.73^2)+'LINEST VARS'!$J$60*(8*8)+'LINEST VARS'!$I$60*(8*$BS$80)+'LINEST VARS'!$H$60*(8*$AZ89)+'LINEST VARS'!$G$60*(8*12.73)+'LINEST VARS'!$F$60*(8*$BS$80)+'LINEST VARS'!$E$60*(8*$AZ89)+'LINEST VARS'!$D$60*(8*12.73)+'LINEST VARS'!$C$60*($BS$80*$AZ89)+'LINEST VARS'!$B$60*($BS$80*12.73)+'LINEST VARS'!$A$60*($AZ89*12.73)</f>
        <v>40.46</v>
      </c>
      <c r="BT89" s="46">
        <f>'LINEST VARS'!$U$60+'LINEST VARS'!$T$60*(8)+'LINEST VARS'!$S$60*(8)+'LINEST VARS'!$R$60*($BT$80)+'LINEST VARS'!$Q$60*($AZ89)+'LINEST VARS'!$P$60*(12.73)+'LINEST VARS'!$O$60*(8^2)+'LINEST VARS'!$N$60*(8^2)+'LINEST VARS'!$M$60*($BT$80^2)+'LINEST VARS'!$L$60*($AZ89^2)+'LINEST VARS'!$K$60*(12.73^2)+'LINEST VARS'!$J$60*(8*8)+'LINEST VARS'!$I$60*(8*$BT$80)+'LINEST VARS'!$H$60*(8*$AZ89)+'LINEST VARS'!$G$60*(8*12.73)+'LINEST VARS'!$F$60*(8*$BT$80)+'LINEST VARS'!$E$60*(8*$AZ89)+'LINEST VARS'!$D$60*(8*12.73)+'LINEST VARS'!$C$60*($BT$80*$AZ89)+'LINEST VARS'!$B$60*($BT$80*12.73)+'LINEST VARS'!$A$60*($AZ89*12.73)</f>
        <v>40.46</v>
      </c>
      <c r="BU89" s="47">
        <f>'LINEST VARS'!$U$60+'LINEST VARS'!$T$60*(8)+'LINEST VARS'!$S$60*(8)+'LINEST VARS'!$R$60*($BU$80)+'LINEST VARS'!$Q$60*($AZ89)+'LINEST VARS'!$P$60*(12.73)+'LINEST VARS'!$O$60*(8^2)+'LINEST VARS'!$N$60*(8^2)+'LINEST VARS'!$M$60*($BU$80^2)+'LINEST VARS'!$L$60*($AZ89^2)+'LINEST VARS'!$K$60*(12.73^2)+'LINEST VARS'!$J$60*(8*8)+'LINEST VARS'!$I$60*(8*$BU$80)+'LINEST VARS'!$H$60*(8*$AZ89)+'LINEST VARS'!$G$60*(8*12.73)+'LINEST VARS'!$F$60*(8*$BU$80)+'LINEST VARS'!$E$60*(8*$AZ89)+'LINEST VARS'!$D$60*(8*12.73)+'LINEST VARS'!$C$60*($BU$80*$AZ89)+'LINEST VARS'!$B$60*($BU$80*12.73)+'LINEST VARS'!$A$60*($AZ89*12.73)</f>
        <v>40.460000000000008</v>
      </c>
      <c r="BX89" s="45">
        <v>0.4</v>
      </c>
      <c r="BY89" s="55">
        <f>'LINEST VARS'!$U$62+'LINEST VARS'!$T$62*(8)+'LINEST VARS'!$S$62*(8)+'LINEST VARS'!$R$62*($BY$80)+'LINEST VARS'!$Q$62*($BX89)+'LINEST VARS'!$P$62*(12.73)+'LINEST VARS'!$O$62*(8^2)+'LINEST VARS'!$N$62*(8^2)+'LINEST VARS'!$M$62*($BY$80^2)+'LINEST VARS'!$L$62*($BX89^2)+'LINEST VARS'!$K$62*(12.73^2)+'LINEST VARS'!$J$62*(8*8)+'LINEST VARS'!$I$62*(8*$BY$80)+'LINEST VARS'!$H$62*(8*$BX89)+'LINEST VARS'!$G$62*(8*12.73)+'LINEST VARS'!$F$62*(8*$BY$80)+'LINEST VARS'!$E$62*(8*$BX89)+'LINEST VARS'!$D$62*(8*12.73)+'LINEST VARS'!$C$62*($BY$80*$BX89)+'LINEST VARS'!$B$62*($BY$80*12.73)+'LINEST VARS'!$A$62*($BX89*12.73)</f>
        <v>349.67999999999984</v>
      </c>
      <c r="BZ89" s="55">
        <f>'LINEST VARS'!$U$62+'LINEST VARS'!$T$62*(8)+'LINEST VARS'!$S$62*(8)+'LINEST VARS'!$R$62*($BZ$80)+'LINEST VARS'!$Q$62*($BX89)+'LINEST VARS'!$P$62*(12.73)+'LINEST VARS'!$O$62*(8^2)+'LINEST VARS'!$N$62*(8^2)+'LINEST VARS'!$M$62*($BZ$80^2)+'LINEST VARS'!$L$62*($BX89^2)+'LINEST VARS'!$K$62*(12.73^2)+'LINEST VARS'!$J$62*(8*8)+'LINEST VARS'!$I$62*(8*$BZ$80)+'LINEST VARS'!$H$62*(8*$BX89)+'LINEST VARS'!$G$62*(8*12.73)+'LINEST VARS'!$F$62*(8*$BZ$80)+'LINEST VARS'!$E$62*(8*$BX89)+'LINEST VARS'!$D$62*(8*12.73)+'LINEST VARS'!$C$62*($BZ$80*$BX89)+'LINEST VARS'!$B$62*($BZ$80*12.73)+'LINEST VARS'!$A$62*($BX89*12.73)</f>
        <v>348.87999999999988</v>
      </c>
      <c r="CA89" s="55">
        <f>'LINEST VARS'!$U$62+'LINEST VARS'!$T$62*(8)+'LINEST VARS'!$S$62*(8)+'LINEST VARS'!$R$62*($CA$80)+'LINEST VARS'!$Q$62*($BX89)+'LINEST VARS'!$P$62*(12.73)+'LINEST VARS'!$O$62*(8^2)+'LINEST VARS'!$N$62*(8^2)+'LINEST VARS'!$M$62*($CA$80^2)+'LINEST VARS'!$L$62*($BX89^2)+'LINEST VARS'!$K$62*(12.73^2)+'LINEST VARS'!$J$62*(8*8)+'LINEST VARS'!$I$62*(8*$CA$80)+'LINEST VARS'!$H$62*(8*$BX89)+'LINEST VARS'!$G$62*(8*12.73)+'LINEST VARS'!$F$62*(8*$CA$80)+'LINEST VARS'!$E$62*(8*$BX89)+'LINEST VARS'!$D$62*(8*12.73)+'LINEST VARS'!$C$62*($CA$80*$BX89)+'LINEST VARS'!$B$62*($CA$80*12.73)+'LINEST VARS'!$A$62*($BX89*12.73)</f>
        <v>346.47999999999979</v>
      </c>
      <c r="CB89" s="55">
        <f>'LINEST VARS'!$U$62+'LINEST VARS'!$T$62*(8)+'LINEST VARS'!$S$62*(8)+'LINEST VARS'!$R$62*($CB$80)+'LINEST VARS'!$Q$62*($BX89)+'LINEST VARS'!$P$62*(12.73)+'LINEST VARS'!$O$62*(8^2)+'LINEST VARS'!$N$62*(8^2)+'LINEST VARS'!$M$62*($CB$80^2)+'LINEST VARS'!$L$62*($BX89^2)+'LINEST VARS'!$K$62*(12.73^2)+'LINEST VARS'!$J$62*(8*8)+'LINEST VARS'!$I$62*(8*$CB$80)+'LINEST VARS'!$H$62*(8*$BX89)+'LINEST VARS'!$G$62*(8*12.73)+'LINEST VARS'!$F$62*(8*$CB$80)+'LINEST VARS'!$E$62*(8*$BX89)+'LINEST VARS'!$D$62*(8*12.73)+'LINEST VARS'!$C$62*($CB$80*$BX89)+'LINEST VARS'!$B$62*($CB$80*12.73)+'LINEST VARS'!$A$62*($BX89*12.73)</f>
        <v>342.47999999999985</v>
      </c>
      <c r="CC89" s="55">
        <f>'LINEST VARS'!$U$62+'LINEST VARS'!$T$62*(8)+'LINEST VARS'!$S$62*(8)+'LINEST VARS'!$R$62*($CC$80)+'LINEST VARS'!$Q$62*($BX89)+'LINEST VARS'!$P$62*(12.73)+'LINEST VARS'!$O$62*(8^2)+'LINEST VARS'!$N$62*(8^2)+'LINEST VARS'!$M$62*($CC$80^2)+'LINEST VARS'!$L$62*($BX89^2)+'LINEST VARS'!$K$62*(12.73^2)+'LINEST VARS'!$J$62*(8*8)+'LINEST VARS'!$I$62*(8*$CC$80)+'LINEST VARS'!$H$62*(8*$BX89)+'LINEST VARS'!$G$62*(8*12.73)+'LINEST VARS'!$F$62*(8*$CC$80)+'LINEST VARS'!$E$62*(8*$BX89)+'LINEST VARS'!$D$62*(8*12.73)+'LINEST VARS'!$C$62*($CC$80*$BX89)+'LINEST VARS'!$B$62*($CC$80*12.73)+'LINEST VARS'!$A$62*($BX89*12.73)</f>
        <v>336.87999999999988</v>
      </c>
      <c r="CD89" s="55">
        <f>'LINEST VARS'!$U$62+'LINEST VARS'!$T$62*(8)+'LINEST VARS'!$S$62*(8)+'LINEST VARS'!$R$62*($CD$80)+'LINEST VARS'!$Q$62*($BX89)+'LINEST VARS'!$P$62*(12.73)+'LINEST VARS'!$O$62*(8^2)+'LINEST VARS'!$N$62*(8^2)+'LINEST VARS'!$M$62*($CD$80^2)+'LINEST VARS'!$L$62*($BX89^2)+'LINEST VARS'!$K$62*(12.73^2)+'LINEST VARS'!$J$62*(8*8)+'LINEST VARS'!$I$62*(8*$CD$80)+'LINEST VARS'!$H$62*(8*$BX89)+'LINEST VARS'!$G$62*(8*12.73)+'LINEST VARS'!$F$62*(8*$CD$80)+'LINEST VARS'!$E$62*(8*$BX89)+'LINEST VARS'!$D$62*(8*12.73)+'LINEST VARS'!$C$62*($CD$80*$BX89)+'LINEST VARS'!$B$62*($CD$80*12.73)+'LINEST VARS'!$A$62*($BX89*12.73)</f>
        <v>329.67999999999995</v>
      </c>
      <c r="CE89" s="55">
        <f>'LINEST VARS'!$U$62+'LINEST VARS'!$T$62*(8)+'LINEST VARS'!$S$62*(8)+'LINEST VARS'!$R$62*($CE$80)+'LINEST VARS'!$Q$62*($BX89)+'LINEST VARS'!$P$62*(12.73)+'LINEST VARS'!$O$62*(8^2)+'LINEST VARS'!$N$62*(8^2)+'LINEST VARS'!$M$62*($CE$80^2)+'LINEST VARS'!$L$62*($BX89^2)+'LINEST VARS'!$K$62*(12.73^2)+'LINEST VARS'!$J$62*(8*8)+'LINEST VARS'!$I$62*(8*$CE$80)+'LINEST VARS'!$H$62*(8*$BX89)+'LINEST VARS'!$G$62*(8*12.73)+'LINEST VARS'!$F$62*(8*$CE$80)+'LINEST VARS'!$E$62*(8*$BX89)+'LINEST VARS'!$D$62*(8*12.73)+'LINEST VARS'!$C$62*($CE$80*$BX89)+'LINEST VARS'!$B$62*($CE$80*12.73)+'LINEST VARS'!$A$62*($BX89*12.73)</f>
        <v>320.87999999999982</v>
      </c>
      <c r="CF89" s="55">
        <f>'LINEST VARS'!$U$62+'LINEST VARS'!$T$62*(8)+'LINEST VARS'!$S$62*(8)+'LINEST VARS'!$R$62*($CF$80)+'LINEST VARS'!$Q$62*($BX89)+'LINEST VARS'!$P$62*(12.73)+'LINEST VARS'!$O$62*(8^2)+'LINEST VARS'!$N$62*(8^2)+'LINEST VARS'!$M$62*($CF$80^2)+'LINEST VARS'!$L$62*($BX89^2)+'LINEST VARS'!$K$62*(12.73^2)+'LINEST VARS'!$J$62*(8*8)+'LINEST VARS'!$I$62*(8*$CF$80)+'LINEST VARS'!$H$62*(8*$BX89)+'LINEST VARS'!$G$62*(8*12.73)+'LINEST VARS'!$F$62*(8*$CF$80)+'LINEST VARS'!$E$62*(8*$BX89)+'LINEST VARS'!$D$62*(8*12.73)+'LINEST VARS'!$C$62*($CF$80*$BX89)+'LINEST VARS'!$B$62*($CF$80*12.73)+'LINEST VARS'!$A$62*($BX89*12.73)</f>
        <v>310.4799999999999</v>
      </c>
      <c r="CG89" s="55">
        <f>'LINEST VARS'!$U$62+'LINEST VARS'!$T$62*(8)+'LINEST VARS'!$S$62*(8)+'LINEST VARS'!$R$62*($CG$80)+'LINEST VARS'!$Q$62*($BX89)+'LINEST VARS'!$P$62*(12.73)+'LINEST VARS'!$O$62*(8^2)+'LINEST VARS'!$N$62*(8^2)+'LINEST VARS'!$M$62*($CG$80^2)+'LINEST VARS'!$L$62*($BX89^2)+'LINEST VARS'!$K$62*(12.73^2)+'LINEST VARS'!$J$62*(8*8)+'LINEST VARS'!$I$62*(8*$CG$80)+'LINEST VARS'!$H$62*(8*$BX89)+'LINEST VARS'!$G$62*(8*12.73)+'LINEST VARS'!$F$62*(8*$CG$80)+'LINEST VARS'!$E$62*(8*$BX89)+'LINEST VARS'!$D$62*(8*12.73)+'LINEST VARS'!$C$62*($CG$80*$BX89)+'LINEST VARS'!$B$62*($CG$80*12.73)+'LINEST VARS'!$A$62*($BX89*12.73)</f>
        <v>298.4799999999999</v>
      </c>
      <c r="CH89" s="55">
        <f>'LINEST VARS'!$U$62+'LINEST VARS'!$T$62*(8)+'LINEST VARS'!$S$62*(8)+'LINEST VARS'!$R$62*($CH$80)+'LINEST VARS'!$Q$62*($BX89)+'LINEST VARS'!$P$62*(12.73)+'LINEST VARS'!$O$62*(8^2)+'LINEST VARS'!$N$62*(8^2)+'LINEST VARS'!$M$62*($CH$80^2)+'LINEST VARS'!$L$62*($BX89^2)+'LINEST VARS'!$K$62*(12.73^2)+'LINEST VARS'!$J$62*(8*8)+'LINEST VARS'!$I$62*(8*$CH$80)+'LINEST VARS'!$H$62*(8*$BX89)+'LINEST VARS'!$G$62*(8*12.73)+'LINEST VARS'!$F$62*(8*$CH$80)+'LINEST VARS'!$E$62*(8*$BX89)+'LINEST VARS'!$D$62*(8*12.73)+'LINEST VARS'!$C$62*($CH$80*$BX89)+'LINEST VARS'!$B$62*($CH$80*12.73)+'LINEST VARS'!$A$62*($BX89*12.73)</f>
        <v>284.87999999999988</v>
      </c>
      <c r="CI89" s="55">
        <f>'LINEST VARS'!$U$62+'LINEST VARS'!$T$62*(8)+'LINEST VARS'!$S$62*(8)+'LINEST VARS'!$R$62*($CI$80)+'LINEST VARS'!$Q$62*($BX89)+'LINEST VARS'!$P$62*(12.73)+'LINEST VARS'!$O$62*(8^2)+'LINEST VARS'!$N$62*(8^2)+'LINEST VARS'!$M$62*($CI$80^2)+'LINEST VARS'!$L$62*($BX89^2)+'LINEST VARS'!$K$62*(12.73^2)+'LINEST VARS'!$J$62*(8*8)+'LINEST VARS'!$I$62*(8*$CI$80)+'LINEST VARS'!$H$62*(8*$BX89)+'LINEST VARS'!$G$62*(8*12.73)+'LINEST VARS'!$F$62*(8*$CI$80)+'LINEST VARS'!$E$62*(8*$BX89)+'LINEST VARS'!$D$62*(8*12.73)+'LINEST VARS'!$C$62*($CI$80*$BX89)+'LINEST VARS'!$B$62*($CI$80*12.73)+'LINEST VARS'!$A$62*($BX89*12.73)</f>
        <v>269.67999999999989</v>
      </c>
      <c r="CJ89" s="55">
        <f>'LINEST VARS'!$U$62+'LINEST VARS'!$T$62*(8)+'LINEST VARS'!$S$62*(8)+'LINEST VARS'!$R$62*($CJ$80)+'LINEST VARS'!$Q$62*($BX89)+'LINEST VARS'!$P$62*(12.73)+'LINEST VARS'!$O$62*(8^2)+'LINEST VARS'!$N$62*(8^2)+'LINEST VARS'!$M$62*($CJ$80^2)+'LINEST VARS'!$L$62*($BX89^2)+'LINEST VARS'!$K$62*(12.73^2)+'LINEST VARS'!$J$62*(8*8)+'LINEST VARS'!$I$62*(8*$CJ$80)+'LINEST VARS'!$H$62*(8*$BX89)+'LINEST VARS'!$G$62*(8*12.73)+'LINEST VARS'!$F$62*(8*$CJ$80)+'LINEST VARS'!$E$62*(8*$BX89)+'LINEST VARS'!$D$62*(8*12.73)+'LINEST VARS'!$C$62*($CJ$80*$BX89)+'LINEST VARS'!$B$62*($CJ$80*12.73)+'LINEST VARS'!$A$62*($BX89*12.73)</f>
        <v>252.88000000000005</v>
      </c>
      <c r="CK89" s="55">
        <f>'LINEST VARS'!$U$62+'LINEST VARS'!$T$62*(8)+'LINEST VARS'!$S$62*(8)+'LINEST VARS'!$R$62*($CK$80)+'LINEST VARS'!$Q$62*($BX89)+'LINEST VARS'!$P$62*(12.73)+'LINEST VARS'!$O$62*(8^2)+'LINEST VARS'!$N$62*(8^2)+'LINEST VARS'!$M$62*($CK$80^2)+'LINEST VARS'!$L$62*($BX89^2)+'LINEST VARS'!$K$62*(12.73^2)+'LINEST VARS'!$J$62*(8*8)+'LINEST VARS'!$I$62*(8*$CK$80)+'LINEST VARS'!$H$62*(8*$BX89)+'LINEST VARS'!$G$62*(8*12.73)+'LINEST VARS'!$F$62*(8*$CK$80)+'LINEST VARS'!$E$62*(8*$BX89)+'LINEST VARS'!$D$62*(8*12.73)+'LINEST VARS'!$C$62*($CK$80*$BX89)+'LINEST VARS'!$B$62*($CK$80*12.73)+'LINEST VARS'!$A$62*($BX89*12.73)</f>
        <v>234.4800000000001</v>
      </c>
      <c r="CL89" s="55">
        <f>'LINEST VARS'!$U$62+'LINEST VARS'!$T$62*(8)+'LINEST VARS'!$S$62*(8)+'LINEST VARS'!$R$62*($CL$80)+'LINEST VARS'!$Q$62*($BX89)+'LINEST VARS'!$P$62*(12.73)+'LINEST VARS'!$O$62*(8^2)+'LINEST VARS'!$N$62*(8^2)+'LINEST VARS'!$M$62*($CL$80^2)+'LINEST VARS'!$L$62*($BX89^2)+'LINEST VARS'!$K$62*(12.73^2)+'LINEST VARS'!$J$62*(8*8)+'LINEST VARS'!$I$62*(8*$CL$80)+'LINEST VARS'!$H$62*(8*$BX89)+'LINEST VARS'!$G$62*(8*12.73)+'LINEST VARS'!$F$62*(8*$CL$80)+'LINEST VARS'!$E$62*(8*$BX89)+'LINEST VARS'!$D$62*(8*12.73)+'LINEST VARS'!$C$62*($CL$80*$BX89)+'LINEST VARS'!$B$62*($CL$80*12.73)+'LINEST VARS'!$A$62*($BX89*12.73)</f>
        <v>214.48000000000005</v>
      </c>
      <c r="CM89" s="55">
        <f>'LINEST VARS'!$U$62+'LINEST VARS'!$T$62*(8)+'LINEST VARS'!$S$62*(8)+'LINEST VARS'!$R$62*($CM$80)+'LINEST VARS'!$Q$62*($BX89)+'LINEST VARS'!$P$62*(12.73)+'LINEST VARS'!$O$62*(8^2)+'LINEST VARS'!$N$62*(8^2)+'LINEST VARS'!$M$62*($CM$80^2)+'LINEST VARS'!$L$62*($BX89^2)+'LINEST VARS'!$K$62*(12.73^2)+'LINEST VARS'!$J$62*(8*8)+'LINEST VARS'!$I$62*(8*$CM$80)+'LINEST VARS'!$H$62*(8*$BX89)+'LINEST VARS'!$G$62*(8*12.73)+'LINEST VARS'!$F$62*(8*$CM$80)+'LINEST VARS'!$E$62*(8*$BX89)+'LINEST VARS'!$D$62*(8*12.73)+'LINEST VARS'!$C$62*($CM$80*$BX89)+'LINEST VARS'!$B$62*($CM$80*12.73)+'LINEST VARS'!$A$62*($BX89*12.73)</f>
        <v>192.88000000000014</v>
      </c>
      <c r="CN89" s="55">
        <f>'LINEST VARS'!$U$62+'LINEST VARS'!$T$62*(8)+'LINEST VARS'!$S$62*(8)+'LINEST VARS'!$R$62*($CN$80)+'LINEST VARS'!$Q$62*($BX89)+'LINEST VARS'!$P$62*(12.73)+'LINEST VARS'!$O$62*(8^2)+'LINEST VARS'!$N$62*(8^2)+'LINEST VARS'!$M$62*($CN$80^2)+'LINEST VARS'!$L$62*($BX89^2)+'LINEST VARS'!$K$62*(12.73^2)+'LINEST VARS'!$J$62*(8*8)+'LINEST VARS'!$I$62*(8*$CN$80)+'LINEST VARS'!$H$62*(8*$BX89)+'LINEST VARS'!$G$62*(8*12.73)+'LINEST VARS'!$F$62*(8*$CN$80)+'LINEST VARS'!$E$62*(8*$BX89)+'LINEST VARS'!$D$62*(8*12.73)+'LINEST VARS'!$C$62*($CN$80*$BX89)+'LINEST VARS'!$B$62*($CN$80*12.73)+'LINEST VARS'!$A$62*($BX89*12.73)</f>
        <v>169.68000000000012</v>
      </c>
      <c r="CO89" s="55">
        <f>'LINEST VARS'!$U$62+'LINEST VARS'!$T$62*(8)+'LINEST VARS'!$S$62*(8)+'LINEST VARS'!$R$62*($CO$80)+'LINEST VARS'!$Q$62*($BX89)+'LINEST VARS'!$P$62*(12.73)+'LINEST VARS'!$O$62*(8^2)+'LINEST VARS'!$N$62*(8^2)+'LINEST VARS'!$M$62*($CO$80^2)+'LINEST VARS'!$L$62*($BX89^2)+'LINEST VARS'!$K$62*(12.73^2)+'LINEST VARS'!$J$62*(8*8)+'LINEST VARS'!$I$62*(8*$CO$80)+'LINEST VARS'!$H$62*(8*$BX89)+'LINEST VARS'!$G$62*(8*12.73)+'LINEST VARS'!$F$62*(8*$CO$80)+'LINEST VARS'!$E$62*(8*$BX89)+'LINEST VARS'!$D$62*(8*12.73)+'LINEST VARS'!$C$62*($CO$80*$BX89)+'LINEST VARS'!$B$62*($CO$80*12.73)+'LINEST VARS'!$A$62*($BX89*12.73)</f>
        <v>144.88000000000014</v>
      </c>
      <c r="CP89" s="55">
        <f>'LINEST VARS'!$U$62+'LINEST VARS'!$T$62*(8)+'LINEST VARS'!$S$62*(8)+'LINEST VARS'!$R$62*($CP$80)+'LINEST VARS'!$Q$62*($BX89)+'LINEST VARS'!$P$62*(12.73)+'LINEST VARS'!$O$62*(8^2)+'LINEST VARS'!$N$62*(8^2)+'LINEST VARS'!$M$62*($CP$80^2)+'LINEST VARS'!$L$62*($BX89^2)+'LINEST VARS'!$K$62*(12.73^2)+'LINEST VARS'!$J$62*(8*8)+'LINEST VARS'!$I$62*(8*$CP$80)+'LINEST VARS'!$H$62*(8*$BX89)+'LINEST VARS'!$G$62*(8*12.73)+'LINEST VARS'!$F$62*(8*$CP$80)+'LINEST VARS'!$E$62*(8*$BX89)+'LINEST VARS'!$D$62*(8*12.73)+'LINEST VARS'!$C$62*($CP$80*$BX89)+'LINEST VARS'!$B$62*($CP$80*12.73)+'LINEST VARS'!$A$62*($BX89*12.73)</f>
        <v>118.4800000000001</v>
      </c>
      <c r="CQ89" s="55">
        <f>'LINEST VARS'!$U$62+'LINEST VARS'!$T$62*(8)+'LINEST VARS'!$S$62*(8)+'LINEST VARS'!$R$62*($CQ$80)+'LINEST VARS'!$Q$62*($BX89)+'LINEST VARS'!$P$62*(12.73)+'LINEST VARS'!$O$62*(8^2)+'LINEST VARS'!$N$62*(8^2)+'LINEST VARS'!$M$62*($CQ$80^2)+'LINEST VARS'!$L$62*($BX89^2)+'LINEST VARS'!$K$62*(12.73^2)+'LINEST VARS'!$J$62*(8*8)+'LINEST VARS'!$I$62*(8*$CQ$80)+'LINEST VARS'!$H$62*(8*$BX89)+'LINEST VARS'!$G$62*(8*12.73)+'LINEST VARS'!$F$62*(8*$CQ$80)+'LINEST VARS'!$E$62*(8*$BX89)+'LINEST VARS'!$D$62*(8*12.73)+'LINEST VARS'!$C$62*($CQ$80*$BX89)+'LINEST VARS'!$B$62*($CQ$80*12.73)+'LINEST VARS'!$A$62*($BX89*12.73)</f>
        <v>90.480000000000103</v>
      </c>
      <c r="CR89" s="55">
        <f>'LINEST VARS'!$U$62+'LINEST VARS'!$T$62*(8)+'LINEST VARS'!$S$62*(8)+'LINEST VARS'!$R$62*($CR$80)+'LINEST VARS'!$Q$62*($BX89)+'LINEST VARS'!$P$62*(12.73)+'LINEST VARS'!$O$62*(8^2)+'LINEST VARS'!$N$62*(8^2)+'LINEST VARS'!$M$62*($CR$80^2)+'LINEST VARS'!$L$62*($BX89^2)+'LINEST VARS'!$K$62*(12.73^2)+'LINEST VARS'!$J$62*(8*8)+'LINEST VARS'!$I$62*(8*$CR$80)+'LINEST VARS'!$H$62*(8*$BX89)+'LINEST VARS'!$G$62*(8*12.73)+'LINEST VARS'!$F$62*(8*$CR$80)+'LINEST VARS'!$E$62*(8*$BX89)+'LINEST VARS'!$D$62*(8*12.73)+'LINEST VARS'!$C$62*($CR$80*$BX89)+'LINEST VARS'!$B$62*($CR$80*12.73)+'LINEST VARS'!$A$62*($BX89*12.73)</f>
        <v>60.880000000000152</v>
      </c>
      <c r="CS89" s="56">
        <f>'LINEST VARS'!$U$62+'LINEST VARS'!$T$62*(8)+'LINEST VARS'!$S$62*(8)+'LINEST VARS'!$R$62*($CS$80)+'LINEST VARS'!$Q$62*($BX89)+'LINEST VARS'!$P$62*(12.73)+'LINEST VARS'!$O$62*(8^2)+'LINEST VARS'!$N$62*(8^2)+'LINEST VARS'!$M$62*($CS$80^2)+'LINEST VARS'!$L$62*($BX89^2)+'LINEST VARS'!$K$62*(12.73^2)+'LINEST VARS'!$J$62*(8*8)+'LINEST VARS'!$I$62*(8*$CS$80)+'LINEST VARS'!$H$62*(8*$BX89)+'LINEST VARS'!$G$62*(8*12.73)+'LINEST VARS'!$F$62*(8*$CS$80)+'LINEST VARS'!$E$62*(8*$BX89)+'LINEST VARS'!$D$62*(8*12.73)+'LINEST VARS'!$C$62*($CS$80*$BX89)+'LINEST VARS'!$B$62*($CS$80*12.73)+'LINEST VARS'!$A$62*($BX89*12.73)</f>
        <v>29.680000000000184</v>
      </c>
      <c r="CX89" s="45">
        <v>10.396000000000001</v>
      </c>
      <c r="CY89" s="46">
        <f>'LINEST VARS'!$U$60+'LINEST VARS'!$T$60*(8)+'LINEST VARS'!$S$60*(8)+'LINEST VARS'!$R$60*($CY$80)+'LINEST VARS'!$Q$60*(0.5)+'LINEST VARS'!$P$60*($CX89)+'LINEST VARS'!$O$60*(8^2)+'LINEST VARS'!$N$60*(8^2)+'LINEST VARS'!$M$60*($CY$80^2)+'LINEST VARS'!$L$60*(0.5^2)+'LINEST VARS'!$K$60*($CX89^2)+'LINEST VARS'!$J$60*(8*8)+'LINEST VARS'!$I$60*(8*$CY$80)+'LINEST VARS'!$H$60*(8*0.5)+'LINEST VARS'!$G$60*(8*$CX89)+'LINEST VARS'!$F$60*(8*$CY$80)+'LINEST VARS'!$E$60*(8*0.5)+'LINEST VARS'!$D$60*(8*$CX89)+'LINEST VARS'!$C$60*($CY$80*0.5)+'LINEST VARS'!$B$60*($CY$80*$CX89)+'LINEST VARS'!$A$60*(0.5*$CX89)</f>
        <v>35.792000000000016</v>
      </c>
      <c r="CZ89" s="46">
        <f>'LINEST VARS'!$U$60+'LINEST VARS'!$T$60*(8)+'LINEST VARS'!$S$60*(8)+'LINEST VARS'!$R$60*($CZ$80)+'LINEST VARS'!$Q$60*(0.5)+'LINEST VARS'!$P$60*($CX89)+'LINEST VARS'!$O$60*(8^2)+'LINEST VARS'!$N$60*(8^2)+'LINEST VARS'!$M$60*($CZ$80^2)+'LINEST VARS'!$L$60*(0.5^2)+'LINEST VARS'!$K$60*($CX89^2)+'LINEST VARS'!$J$60*(8*8)+'LINEST VARS'!$I$60*(8*$CZ$80)+'LINEST VARS'!$H$60*(8*0.5)+'LINEST VARS'!$G$60*(8*$CX89)+'LINEST VARS'!$F$60*(8*$CZ$80)+'LINEST VARS'!$E$60*(8*0.5)+'LINEST VARS'!$D$60*(8*$CX89)+'LINEST VARS'!$C$60*($CZ$80*0.5)+'LINEST VARS'!$B$60*($CZ$80*$CX89)+'LINEST VARS'!$A$60*(0.5*$CX89)</f>
        <v>35.792000000000016</v>
      </c>
      <c r="DA89" s="46">
        <f>'LINEST VARS'!$U$60+'LINEST VARS'!$T$60*(8)+'LINEST VARS'!$S$60*(8)+'LINEST VARS'!$R$60*($DA$80)+'LINEST VARS'!$Q$60*(0.5)+'LINEST VARS'!$P$60*($CX89)+'LINEST VARS'!$O$60*(8^2)+'LINEST VARS'!$N$60*(8^2)+'LINEST VARS'!$M$60*($DA$80^2)+'LINEST VARS'!$L$60*(0.5^2)+'LINEST VARS'!$K$60*($CX89^2)+'LINEST VARS'!$J$60*(8*8)+'LINEST VARS'!$I$60*(8*$DA$80)+'LINEST VARS'!$H$60*(8*0.5)+'LINEST VARS'!$G$60*(8*$CX89)+'LINEST VARS'!$F$60*(8*$DA$80)+'LINEST VARS'!$E$60*(8*0.5)+'LINEST VARS'!$D$60*(8*$CX89)+'LINEST VARS'!$C$60*($DA$80*0.5)+'LINEST VARS'!$B$60*($DA$80*$CX89)+'LINEST VARS'!$A$60*(0.5*$CX89)</f>
        <v>35.792000000000016</v>
      </c>
      <c r="DB89" s="46">
        <f>'LINEST VARS'!$U$60+'LINEST VARS'!$T$60*(8)+'LINEST VARS'!$S$60*(8)+'LINEST VARS'!$R$60*($DB$80)+'LINEST VARS'!$Q$60*(0.5)+'LINEST VARS'!$P$60*($CX89)+'LINEST VARS'!$O$60*(8^2)+'LINEST VARS'!$N$60*(8^2)+'LINEST VARS'!$M$60*($DB$80^2)+'LINEST VARS'!$L$60*(0.5^2)+'LINEST VARS'!$K$60*($CX89^2)+'LINEST VARS'!$J$60*(8*8)+'LINEST VARS'!$I$60*(8*$DB$80)+'LINEST VARS'!$H$60*(8*0.5)+'LINEST VARS'!$G$60*(8*$CX89)+'LINEST VARS'!$F$60*(8*$DB$80)+'LINEST VARS'!$E$60*(8*0.5)+'LINEST VARS'!$D$60*(8*$CX89)+'LINEST VARS'!$C$60*($DB$80*0.5)+'LINEST VARS'!$B$60*($DB$80*$CX89)+'LINEST VARS'!$A$60*(0.5*$CX89)</f>
        <v>35.792000000000016</v>
      </c>
      <c r="DC89" s="46">
        <f>'LINEST VARS'!$U$60+'LINEST VARS'!$T$60*(8)+'LINEST VARS'!$S$60*(8)+'LINEST VARS'!$R$60*($DC$80)+'LINEST VARS'!$Q$60*(0.5)+'LINEST VARS'!$P$60*($CX89)+'LINEST VARS'!$O$60*(8^2)+'LINEST VARS'!$N$60*(8^2)+'LINEST VARS'!$M$60*($DC$80^2)+'LINEST VARS'!$L$60*(0.5^2)+'LINEST VARS'!$K$60*($CX89^2)+'LINEST VARS'!$J$60*(8*8)+'LINEST VARS'!$I$60*(8*$DC$80)+'LINEST VARS'!$H$60*(8*0.5)+'LINEST VARS'!$G$60*(8*$CX89)+'LINEST VARS'!$F$60*(8*$DC$80)+'LINEST VARS'!$E$60*(8*0.5)+'LINEST VARS'!$D$60*(8*$CX89)+'LINEST VARS'!$C$60*($DC$80*0.5)+'LINEST VARS'!$B$60*($DC$80*$CX89)+'LINEST VARS'!$A$60*(0.5*$CX89)</f>
        <v>35.792000000000009</v>
      </c>
      <c r="DD89" s="46">
        <f>'LINEST VARS'!$U$60+'LINEST VARS'!$T$60*(8)+'LINEST VARS'!$S$60*(8)+'LINEST VARS'!$R$60*($DD$80)+'LINEST VARS'!$Q$60*(0.5)+'LINEST VARS'!$P$60*($CX89)+'LINEST VARS'!$O$60*(8^2)+'LINEST VARS'!$N$60*(8^2)+'LINEST VARS'!$M$60*($DD$80^2)+'LINEST VARS'!$L$60*(0.5^2)+'LINEST VARS'!$K$60*($CX89^2)+'LINEST VARS'!$J$60*(8*8)+'LINEST VARS'!$I$60*(8*$DD$80)+'LINEST VARS'!$H$60*(8*0.5)+'LINEST VARS'!$G$60*(8*$CX89)+'LINEST VARS'!$F$60*(8*$DD$80)+'LINEST VARS'!$E$60*(8*0.5)+'LINEST VARS'!$D$60*(8*$CX89)+'LINEST VARS'!$C$60*($DD$80*0.5)+'LINEST VARS'!$B$60*($DD$80*$CX89)+'LINEST VARS'!$A$60*(0.5*$CX89)</f>
        <v>35.792000000000009</v>
      </c>
      <c r="DE89" s="46">
        <f>'LINEST VARS'!$U$60+'LINEST VARS'!$T$60*(8)+'LINEST VARS'!$S$60*(8)+'LINEST VARS'!$R$60*($DE$80)+'LINEST VARS'!$Q$60*(0.5)+'LINEST VARS'!$P$60*($CX89)+'LINEST VARS'!$O$60*(8^2)+'LINEST VARS'!$N$60*(8^2)+'LINEST VARS'!$M$60*($DE$80^2)+'LINEST VARS'!$L$60*(0.5^2)+'LINEST VARS'!$K$60*($CX89^2)+'LINEST VARS'!$J$60*(8*8)+'LINEST VARS'!$I$60*(8*$DE$80)+'LINEST VARS'!$H$60*(8*0.5)+'LINEST VARS'!$G$60*(8*$CX89)+'LINEST VARS'!$F$60*(8*$DE$80)+'LINEST VARS'!$E$60*(8*0.5)+'LINEST VARS'!$D$60*(8*$CX89)+'LINEST VARS'!$C$60*($DE$80*0.5)+'LINEST VARS'!$B$60*($DE$80*$CX89)+'LINEST VARS'!$A$60*(0.5*$CX89)</f>
        <v>35.792000000000009</v>
      </c>
      <c r="DF89" s="46">
        <f>'LINEST VARS'!$U$60+'LINEST VARS'!$T$60*(8)+'LINEST VARS'!$S$60*(8)+'LINEST VARS'!$R$60*($DF$80)+'LINEST VARS'!$Q$60*(0.5)+'LINEST VARS'!$P$60*($CX89)+'LINEST VARS'!$O$60*(8^2)+'LINEST VARS'!$N$60*(8^2)+'LINEST VARS'!$M$60*($DF$80^2)+'LINEST VARS'!$L$60*(0.5^2)+'LINEST VARS'!$K$60*($CX89^2)+'LINEST VARS'!$J$60*(8*8)+'LINEST VARS'!$I$60*(8*$DF$80)+'LINEST VARS'!$H$60*(8*0.5)+'LINEST VARS'!$G$60*(8*$CX89)+'LINEST VARS'!$F$60*(8*$DF$80)+'LINEST VARS'!$E$60*(8*0.5)+'LINEST VARS'!$D$60*(8*$CX89)+'LINEST VARS'!$C$60*($DF$80*0.5)+'LINEST VARS'!$B$60*($DF$80*$CX89)+'LINEST VARS'!$A$60*(0.5*$CX89)</f>
        <v>35.792000000000016</v>
      </c>
      <c r="DG89" s="46">
        <f>'LINEST VARS'!$U$60+'LINEST VARS'!$T$60*(8)+'LINEST VARS'!$S$60*(8)+'LINEST VARS'!$R$60*($DG$80)+'LINEST VARS'!$Q$60*(0.5)+'LINEST VARS'!$P$60*($CX89)+'LINEST VARS'!$O$60*(8^2)+'LINEST VARS'!$N$60*(8^2)+'LINEST VARS'!$M$60*($DG$80^2)+'LINEST VARS'!$L$60*(0.5^2)+'LINEST VARS'!$K$60*($CX89^2)+'LINEST VARS'!$J$60*(8*8)+'LINEST VARS'!$I$60*(8*$DG$80)+'LINEST VARS'!$H$60*(8*0.5)+'LINEST VARS'!$G$60*(8*$CX89)+'LINEST VARS'!$F$60*(8*$DG$80)+'LINEST VARS'!$E$60*(8*0.5)+'LINEST VARS'!$D$60*(8*$CX89)+'LINEST VARS'!$C$60*($DG$80*0.5)+'LINEST VARS'!$B$60*($DG$80*$CX89)+'LINEST VARS'!$A$60*(0.5*$CX89)</f>
        <v>35.792000000000016</v>
      </c>
      <c r="DH89" s="46">
        <f>'LINEST VARS'!$U$60+'LINEST VARS'!$T$60*(8)+'LINEST VARS'!$S$60*(8)+'LINEST VARS'!$R$60*($DH$80)+'LINEST VARS'!$Q$60*(0.5)+'LINEST VARS'!$P$60*($CX89)+'LINEST VARS'!$O$60*(8^2)+'LINEST VARS'!$N$60*(8^2)+'LINEST VARS'!$M$60*($DH$80^2)+'LINEST VARS'!$L$60*(0.5^2)+'LINEST VARS'!$K$60*($CX89^2)+'LINEST VARS'!$J$60*(8*8)+'LINEST VARS'!$I$60*(8*$DH$80)+'LINEST VARS'!$H$60*(8*0.5)+'LINEST VARS'!$G$60*(8*$CX89)+'LINEST VARS'!$F$60*(8*$DH$80)+'LINEST VARS'!$E$60*(8*0.5)+'LINEST VARS'!$D$60*(8*$CX89)+'LINEST VARS'!$C$60*($DH$80*0.5)+'LINEST VARS'!$B$60*($DH$80*$CX89)+'LINEST VARS'!$A$60*(0.5*$CX89)</f>
        <v>35.792000000000016</v>
      </c>
      <c r="DI89" s="46">
        <f>'LINEST VARS'!$U$60+'LINEST VARS'!$T$60*(8)+'LINEST VARS'!$S$60*(8)+'LINEST VARS'!$R$60*($DI$80)+'LINEST VARS'!$Q$60*(0.5)+'LINEST VARS'!$P$60*($CX89)+'LINEST VARS'!$O$60*(8^2)+'LINEST VARS'!$N$60*(8^2)+'LINEST VARS'!$M$60*($DI$80^2)+'LINEST VARS'!$L$60*(0.5^2)+'LINEST VARS'!$K$60*($CX89^2)+'LINEST VARS'!$J$60*(8*8)+'LINEST VARS'!$I$60*(8*$DI$80)+'LINEST VARS'!$H$60*(8*0.5)+'LINEST VARS'!$G$60*(8*$CX89)+'LINEST VARS'!$F$60*(8*$DI$80)+'LINEST VARS'!$E$60*(8*0.5)+'LINEST VARS'!$D$60*(8*$CX89)+'LINEST VARS'!$C$60*($DI$80*0.5)+'LINEST VARS'!$B$60*($DI$80*$CX89)+'LINEST VARS'!$A$60*(0.5*$CX89)</f>
        <v>35.792000000000016</v>
      </c>
      <c r="DJ89" s="46">
        <f>'LINEST VARS'!$U$60+'LINEST VARS'!$T$60*(8)+'LINEST VARS'!$S$60*(8)+'LINEST VARS'!$R$60*($DJ$80)+'LINEST VARS'!$Q$60*(0.5)+'LINEST VARS'!$P$60*($CX89)+'LINEST VARS'!$O$60*(8^2)+'LINEST VARS'!$N$60*(8^2)+'LINEST VARS'!$M$60*($DJ$80^2)+'LINEST VARS'!$L$60*(0.5^2)+'LINEST VARS'!$K$60*($CX89^2)+'LINEST VARS'!$J$60*(8*8)+'LINEST VARS'!$I$60*(8*$DJ$80)+'LINEST VARS'!$H$60*(8*0.5)+'LINEST VARS'!$G$60*(8*$CX89)+'LINEST VARS'!$F$60*(8*$DJ$80)+'LINEST VARS'!$E$60*(8*0.5)+'LINEST VARS'!$D$60*(8*$CX89)+'LINEST VARS'!$C$60*($DJ$80*0.5)+'LINEST VARS'!$B$60*($DJ$80*$CX89)+'LINEST VARS'!$A$60*(0.5*$CX89)</f>
        <v>35.792000000000009</v>
      </c>
      <c r="DK89" s="46">
        <f>'LINEST VARS'!$U$60+'LINEST VARS'!$T$60*(8)+'LINEST VARS'!$S$60*(8)+'LINEST VARS'!$R$60*($DK$80)+'LINEST VARS'!$Q$60*(0.5)+'LINEST VARS'!$P$60*($CX89)+'LINEST VARS'!$O$60*(8^2)+'LINEST VARS'!$N$60*(8^2)+'LINEST VARS'!$M$60*($DK$80^2)+'LINEST VARS'!$L$60*(0.5^2)+'LINEST VARS'!$K$60*($CX89^2)+'LINEST VARS'!$J$60*(8*8)+'LINEST VARS'!$I$60*(8*$DK$80)+'LINEST VARS'!$H$60*(8*0.5)+'LINEST VARS'!$G$60*(8*$CX89)+'LINEST VARS'!$F$60*(8*$DK$80)+'LINEST VARS'!$E$60*(8*0.5)+'LINEST VARS'!$D$60*(8*$CX89)+'LINEST VARS'!$C$60*($DK$80*0.5)+'LINEST VARS'!$B$60*($DK$80*$CX89)+'LINEST VARS'!$A$60*(0.5*$CX89)</f>
        <v>35.792000000000016</v>
      </c>
      <c r="DL89" s="46">
        <f>'LINEST VARS'!$U$60+'LINEST VARS'!$T$60*(8)+'LINEST VARS'!$S$60*(8)+'LINEST VARS'!$R$60*($DL$80)+'LINEST VARS'!$Q$60*(0.5)+'LINEST VARS'!$P$60*($CX89)+'LINEST VARS'!$O$60*(8^2)+'LINEST VARS'!$N$60*(8^2)+'LINEST VARS'!$M$60*($DL$80^2)+'LINEST VARS'!$L$60*(0.5^2)+'LINEST VARS'!$K$60*($CX89^2)+'LINEST VARS'!$J$60*(8*8)+'LINEST VARS'!$I$60*(8*$DL$80)+'LINEST VARS'!$H$60*(8*0.5)+'LINEST VARS'!$G$60*(8*$CX89)+'LINEST VARS'!$F$60*(8*$DL$80)+'LINEST VARS'!$E$60*(8*0.5)+'LINEST VARS'!$D$60*(8*$CX89)+'LINEST VARS'!$C$60*($DL$80*0.5)+'LINEST VARS'!$B$60*($DL$80*$CX89)+'LINEST VARS'!$A$60*(0.5*$CX89)</f>
        <v>35.792000000000009</v>
      </c>
      <c r="DM89" s="46">
        <f>'LINEST VARS'!$U$60+'LINEST VARS'!$T$60*(8)+'LINEST VARS'!$S$60*(8)+'LINEST VARS'!$R$60*($DM$80)+'LINEST VARS'!$Q$60*(0.5)+'LINEST VARS'!$P$60*($CX89)+'LINEST VARS'!$O$60*(8^2)+'LINEST VARS'!$N$60*(8^2)+'LINEST VARS'!$M$60*($DM$80^2)+'LINEST VARS'!$L$60*(0.5^2)+'LINEST VARS'!$K$60*($CX89^2)+'LINEST VARS'!$J$60*(8*8)+'LINEST VARS'!$I$60*(8*$DM$80)+'LINEST VARS'!$H$60*(8*0.5)+'LINEST VARS'!$G$60*(8*$CX89)+'LINEST VARS'!$F$60*(8*$DM$80)+'LINEST VARS'!$E$60*(8*0.5)+'LINEST VARS'!$D$60*(8*$CX89)+'LINEST VARS'!$C$60*($DM$80*0.5)+'LINEST VARS'!$B$60*($DM$80*$CX89)+'LINEST VARS'!$A$60*(0.5*$CX89)</f>
        <v>35.792000000000016</v>
      </c>
      <c r="DN89" s="46">
        <f>'LINEST VARS'!$U$60+'LINEST VARS'!$T$60*(8)+'LINEST VARS'!$S$60*(8)+'LINEST VARS'!$R$60*($DN$80)+'LINEST VARS'!$Q$60*(0.5)+'LINEST VARS'!$P$60*($CX89)+'LINEST VARS'!$O$60*(8^2)+'LINEST VARS'!$N$60*(8^2)+'LINEST VARS'!$M$60*($DN$80^2)+'LINEST VARS'!$L$60*(0.5^2)+'LINEST VARS'!$K$60*($CX89^2)+'LINEST VARS'!$J$60*(8*8)+'LINEST VARS'!$I$60*(8*$DN$80)+'LINEST VARS'!$H$60*(8*0.5)+'LINEST VARS'!$G$60*(8*$CX89)+'LINEST VARS'!$F$60*(8*$DN$80)+'LINEST VARS'!$E$60*(8*0.5)+'LINEST VARS'!$D$60*(8*$CX89)+'LINEST VARS'!$C$60*($DN$80*0.5)+'LINEST VARS'!$B$60*($DN$80*$CX89)+'LINEST VARS'!$A$60*(0.5*$CX89)</f>
        <v>35.792000000000016</v>
      </c>
      <c r="DO89" s="46">
        <f>'LINEST VARS'!$U$60+'LINEST VARS'!$T$60*(8)+'LINEST VARS'!$S$60*(8)+'LINEST VARS'!$R$60*($DO$80)+'LINEST VARS'!$Q$60*(0.5)+'LINEST VARS'!$P$60*($CX89)+'LINEST VARS'!$O$60*(8^2)+'LINEST VARS'!$N$60*(8^2)+'LINEST VARS'!$M$60*($DO$80^2)+'LINEST VARS'!$L$60*(0.5^2)+'LINEST VARS'!$K$60*($CX89^2)+'LINEST VARS'!$J$60*(8*8)+'LINEST VARS'!$I$60*(8*$DO$80)+'LINEST VARS'!$H$60*(8*0.5)+'LINEST VARS'!$G$60*(8*$CX89)+'LINEST VARS'!$F$60*(8*$DO$80)+'LINEST VARS'!$E$60*(8*0.5)+'LINEST VARS'!$D$60*(8*$CX89)+'LINEST VARS'!$C$60*($DO$80*0.5)+'LINEST VARS'!$B$60*($DO$80*$CX89)+'LINEST VARS'!$A$60*(0.5*$CX89)</f>
        <v>35.792000000000016</v>
      </c>
      <c r="DP89" s="46">
        <f>'LINEST VARS'!$U$60+'LINEST VARS'!$T$60*(8)+'LINEST VARS'!$S$60*(8)+'LINEST VARS'!$R$60*($DP$80)+'LINEST VARS'!$Q$60*(0.5)+'LINEST VARS'!$P$60*($CX89)+'LINEST VARS'!$O$60*(8^2)+'LINEST VARS'!$N$60*(8^2)+'LINEST VARS'!$M$60*($DP$80^2)+'LINEST VARS'!$L$60*(0.5^2)+'LINEST VARS'!$K$60*($CX89^2)+'LINEST VARS'!$J$60*(8*8)+'LINEST VARS'!$I$60*(8*$DP$80)+'LINEST VARS'!$H$60*(8*0.5)+'LINEST VARS'!$G$60*(8*$CX89)+'LINEST VARS'!$F$60*(8*$DP$80)+'LINEST VARS'!$E$60*(8*0.5)+'LINEST VARS'!$D$60*(8*$CX89)+'LINEST VARS'!$C$60*($DP$80*0.5)+'LINEST VARS'!$B$60*($DP$80*$CX89)+'LINEST VARS'!$A$60*(0.5*$CX89)</f>
        <v>35.792000000000016</v>
      </c>
      <c r="DQ89" s="46">
        <f>'LINEST VARS'!$U$60+'LINEST VARS'!$T$60*(8)+'LINEST VARS'!$S$60*(8)+'LINEST VARS'!$R$60*($DQ$80)+'LINEST VARS'!$Q$60*(0.5)+'LINEST VARS'!$P$60*($CX89)+'LINEST VARS'!$O$60*(8^2)+'LINEST VARS'!$N$60*(8^2)+'LINEST VARS'!$M$60*($DQ$80^2)+'LINEST VARS'!$L$60*(0.5^2)+'LINEST VARS'!$K$60*($CX89^2)+'LINEST VARS'!$J$60*(8*8)+'LINEST VARS'!$I$60*(8*$DQ$80)+'LINEST VARS'!$H$60*(8*0.5)+'LINEST VARS'!$G$60*(8*$CX89)+'LINEST VARS'!$F$60*(8*$DQ$80)+'LINEST VARS'!$E$60*(8*0.5)+'LINEST VARS'!$D$60*(8*$CX89)+'LINEST VARS'!$C$60*($DQ$80*0.5)+'LINEST VARS'!$B$60*($DQ$80*$CX89)+'LINEST VARS'!$A$60*(0.5*$CX89)</f>
        <v>35.792000000000009</v>
      </c>
      <c r="DR89" s="46">
        <f>'LINEST VARS'!$U$60+'LINEST VARS'!$T$60*(8)+'LINEST VARS'!$S$60*(8)+'LINEST VARS'!$R$60*($DR$80)+'LINEST VARS'!$Q$60*(0.5)+'LINEST VARS'!$P$60*($CX89)+'LINEST VARS'!$O$60*(8^2)+'LINEST VARS'!$N$60*(8^2)+'LINEST VARS'!$M$60*($DR$80^2)+'LINEST VARS'!$L$60*(0.5^2)+'LINEST VARS'!$K$60*($CX89^2)+'LINEST VARS'!$J$60*(8*8)+'LINEST VARS'!$I$60*(8*$DR$80)+'LINEST VARS'!$H$60*(8*0.5)+'LINEST VARS'!$G$60*(8*$CX89)+'LINEST VARS'!$F$60*(8*$DR$80)+'LINEST VARS'!$E$60*(8*0.5)+'LINEST VARS'!$D$60*(8*$CX89)+'LINEST VARS'!$C$60*($DR$80*0.5)+'LINEST VARS'!$B$60*($DR$80*$CX89)+'LINEST VARS'!$A$60*(0.5*$CX89)</f>
        <v>35.792000000000016</v>
      </c>
      <c r="DS89" s="47">
        <f>'LINEST VARS'!$U$60+'LINEST VARS'!$T$60*(8)+'LINEST VARS'!$S$60*(8)+'LINEST VARS'!$R$60*($DS$80)+'LINEST VARS'!$Q$60*(0.5)+'LINEST VARS'!$P$60*($CX89)+'LINEST VARS'!$O$60*(8^2)+'LINEST VARS'!$N$60*(8^2)+'LINEST VARS'!$M$60*($DS$80^2)+'LINEST VARS'!$L$60*(0.5^2)+'LINEST VARS'!$K$60*($CX89^2)+'LINEST VARS'!$J$60*(8*8)+'LINEST VARS'!$I$60*(8*$DS$80)+'LINEST VARS'!$H$60*(8*0.5)+'LINEST VARS'!$G$60*(8*$CX89)+'LINEST VARS'!$F$60*(8*$DS$80)+'LINEST VARS'!$E$60*(8*0.5)+'LINEST VARS'!$D$60*(8*$CX89)+'LINEST VARS'!$C$60*($DS$80*0.5)+'LINEST VARS'!$B$60*($DS$80*$CX89)+'LINEST VARS'!$A$60*(0.5*$CX89)</f>
        <v>35.792000000000016</v>
      </c>
      <c r="DV89" s="45">
        <v>10.396000000000001</v>
      </c>
      <c r="DW89" s="55">
        <f>'LINEST VARS'!$U$62+'LINEST VARS'!$T$62*(8)+'LINEST VARS'!$S$62*(8)+'LINEST VARS'!$R$62*($DW$80)+'LINEST VARS'!$Q$62*(0.5)+'LINEST VARS'!$P$62*($DV89)+'LINEST VARS'!$O$62*(8^2)+'LINEST VARS'!$N$62*(8^2)+'LINEST VARS'!$M$62*($DW$80^2)+'LINEST VARS'!$L$62*(0.5^2)+'LINEST VARS'!$K$62*($DV89^2)+'LINEST VARS'!$J$62*(8*8)+'LINEST VARS'!$I$62*(8*$DW$80)+'LINEST VARS'!$H$62*(8*0.5)+'LINEST VARS'!$G$62*(8*$DV89)+'LINEST VARS'!$F$62*(8*$DW$80)+'LINEST VARS'!$E$62*(8*0.5)+'LINEST VARS'!$D$62*(8*$DV89)+'LINEST VARS'!$C$62*($DW$80*0.5)+'LINEST VARS'!$B$62*($DW$80*$DV89)+'LINEST VARS'!$A$62*(0.5*$DV89)</f>
        <v>349.49999999999994</v>
      </c>
      <c r="DX89" s="55">
        <f>'LINEST VARS'!$U$62+'LINEST VARS'!$T$62*(8)+'LINEST VARS'!$S$62*(8)+'LINEST VARS'!$R$62*($DX$80)+'LINEST VARS'!$Q$62*(0.5)+'LINEST VARS'!$P$62*($DV89)+'LINEST VARS'!$O$62*(8^2)+'LINEST VARS'!$N$62*(8^2)+'LINEST VARS'!$M$62*($DX$80^2)+'LINEST VARS'!$L$62*(0.5^2)+'LINEST VARS'!$K$62*($DV89^2)+'LINEST VARS'!$J$62*(8*8)+'LINEST VARS'!$I$62*(8*$DX$80)+'LINEST VARS'!$H$62*(8*0.5)+'LINEST VARS'!$G$62*(8*$DV89)+'LINEST VARS'!$F$62*(8*$DX$80)+'LINEST VARS'!$E$62*(8*0.5)+'LINEST VARS'!$D$62*(8*$DV89)+'LINEST VARS'!$C$62*($DX$80*0.5)+'LINEST VARS'!$B$62*($DX$80*$DV89)+'LINEST VARS'!$A$62*(0.5*$DV89)</f>
        <v>348.7</v>
      </c>
      <c r="DY89" s="55">
        <f>'LINEST VARS'!$U$62+'LINEST VARS'!$T$62*(8)+'LINEST VARS'!$S$62*(8)+'LINEST VARS'!$R$62*($DY$80)+'LINEST VARS'!$Q$62*(0.5)+'LINEST VARS'!$P$62*($DV89)+'LINEST VARS'!$O$62*(8^2)+'LINEST VARS'!$N$62*(8^2)+'LINEST VARS'!$M$62*($DY$80^2)+'LINEST VARS'!$L$62*(0.5^2)+'LINEST VARS'!$K$62*($DV89^2)+'LINEST VARS'!$J$62*(8*8)+'LINEST VARS'!$I$62*(8*$DY$80)+'LINEST VARS'!$H$62*(8*0.5)+'LINEST VARS'!$G$62*(8*$DV89)+'LINEST VARS'!$F$62*(8*$DY$80)+'LINEST VARS'!$E$62*(8*0.5)+'LINEST VARS'!$D$62*(8*$DV89)+'LINEST VARS'!$C$62*($DY$80*0.5)+'LINEST VARS'!$B$62*($DY$80*$DV89)+'LINEST VARS'!$A$62*(0.5*$DV89)</f>
        <v>346.2999999999999</v>
      </c>
      <c r="DZ89" s="55">
        <f>'LINEST VARS'!$U$62+'LINEST VARS'!$T$62*(8)+'LINEST VARS'!$S$62*(8)+'LINEST VARS'!$R$62*($DZ$80)+'LINEST VARS'!$Q$62*(0.5)+'LINEST VARS'!$P$62*($DV89)+'LINEST VARS'!$O$62*(8^2)+'LINEST VARS'!$N$62*(8^2)+'LINEST VARS'!$M$62*($DZ$80^2)+'LINEST VARS'!$L$62*(0.5^2)+'LINEST VARS'!$K$62*($DV89^2)+'LINEST VARS'!$J$62*(8*8)+'LINEST VARS'!$I$62*(8*$DZ$80)+'LINEST VARS'!$H$62*(8*0.5)+'LINEST VARS'!$G$62*(8*$DV89)+'LINEST VARS'!$F$62*(8*$DZ$80)+'LINEST VARS'!$E$62*(8*0.5)+'LINEST VARS'!$D$62*(8*$DV89)+'LINEST VARS'!$C$62*($DZ$80*0.5)+'LINEST VARS'!$B$62*($DZ$80*$DV89)+'LINEST VARS'!$A$62*(0.5*$DV89)</f>
        <v>342.29999999999995</v>
      </c>
      <c r="EA89" s="55">
        <f>'LINEST VARS'!$U$62+'LINEST VARS'!$T$62*(8)+'LINEST VARS'!$S$62*(8)+'LINEST VARS'!$R$62*($EA$80)+'LINEST VARS'!$Q$62*(0.5)+'LINEST VARS'!$P$62*($DV89)+'LINEST VARS'!$O$62*(8^2)+'LINEST VARS'!$N$62*(8^2)+'LINEST VARS'!$M$62*($EA$80^2)+'LINEST VARS'!$L$62*(0.5^2)+'LINEST VARS'!$K$62*($DV89^2)+'LINEST VARS'!$J$62*(8*8)+'LINEST VARS'!$I$62*(8*$EA$80)+'LINEST VARS'!$H$62*(8*0.5)+'LINEST VARS'!$G$62*(8*$DV89)+'LINEST VARS'!$F$62*(8*$EA$80)+'LINEST VARS'!$E$62*(8*0.5)+'LINEST VARS'!$D$62*(8*$DV89)+'LINEST VARS'!$C$62*($EA$80*0.5)+'LINEST VARS'!$B$62*($EA$80*$DV89)+'LINEST VARS'!$A$62*(0.5*$DV89)</f>
        <v>336.7</v>
      </c>
      <c r="EB89" s="55">
        <f>'LINEST VARS'!$U$62+'LINEST VARS'!$T$62*(8)+'LINEST VARS'!$S$62*(8)+'LINEST VARS'!$R$62*($EB$80)+'LINEST VARS'!$Q$62*(0.5)+'LINEST VARS'!$P$62*($DV89)+'LINEST VARS'!$O$62*(8^2)+'LINEST VARS'!$N$62*(8^2)+'LINEST VARS'!$M$62*($EB$80^2)+'LINEST VARS'!$L$62*(0.5^2)+'LINEST VARS'!$K$62*($DV89^2)+'LINEST VARS'!$J$62*(8*8)+'LINEST VARS'!$I$62*(8*$EB$80)+'LINEST VARS'!$H$62*(8*0.5)+'LINEST VARS'!$G$62*(8*$DV89)+'LINEST VARS'!$F$62*(8*$EB$80)+'LINEST VARS'!$E$62*(8*0.5)+'LINEST VARS'!$D$62*(8*$DV89)+'LINEST VARS'!$C$62*($EB$80*0.5)+'LINEST VARS'!$B$62*($EB$80*$DV89)+'LINEST VARS'!$A$62*(0.5*$DV89)</f>
        <v>329.50000000000006</v>
      </c>
      <c r="EC89" s="55">
        <f>'LINEST VARS'!$U$62+'LINEST VARS'!$T$62*(8)+'LINEST VARS'!$S$62*(8)+'LINEST VARS'!$R$62*($EC$80)+'LINEST VARS'!$Q$62*(0.5)+'LINEST VARS'!$P$62*($DV89)+'LINEST VARS'!$O$62*(8^2)+'LINEST VARS'!$N$62*(8^2)+'LINEST VARS'!$M$62*($EC$80^2)+'LINEST VARS'!$L$62*(0.5^2)+'LINEST VARS'!$K$62*($DV89^2)+'LINEST VARS'!$J$62*(8*8)+'LINEST VARS'!$I$62*(8*$EC$80)+'LINEST VARS'!$H$62*(8*0.5)+'LINEST VARS'!$G$62*(8*$DV89)+'LINEST VARS'!$F$62*(8*$EC$80)+'LINEST VARS'!$E$62*(8*0.5)+'LINEST VARS'!$D$62*(8*$DV89)+'LINEST VARS'!$C$62*($EC$80*0.5)+'LINEST VARS'!$B$62*($EC$80*$DV89)+'LINEST VARS'!$A$62*(0.5*$DV89)</f>
        <v>320.7</v>
      </c>
      <c r="ED89" s="55">
        <f>'LINEST VARS'!$U$62+'LINEST VARS'!$T$62*(8)+'LINEST VARS'!$S$62*(8)+'LINEST VARS'!$R$62*($ED$80)+'LINEST VARS'!$Q$62*(0.5)+'LINEST VARS'!$P$62*($DV89)+'LINEST VARS'!$O$62*(8^2)+'LINEST VARS'!$N$62*(8^2)+'LINEST VARS'!$M$62*($ED$80^2)+'LINEST VARS'!$L$62*(0.5^2)+'LINEST VARS'!$K$62*($DV89^2)+'LINEST VARS'!$J$62*(8*8)+'LINEST VARS'!$I$62*(8*$ED$80)+'LINEST VARS'!$H$62*(8*0.5)+'LINEST VARS'!$G$62*(8*$DV89)+'LINEST VARS'!$F$62*(8*$ED$80)+'LINEST VARS'!$E$62*(8*0.5)+'LINEST VARS'!$D$62*(8*$DV89)+'LINEST VARS'!$C$62*($ED$80*0.5)+'LINEST VARS'!$B$62*($ED$80*$DV89)+'LINEST VARS'!$A$62*(0.5*$DV89)</f>
        <v>310.3</v>
      </c>
      <c r="EE89" s="55">
        <f>'LINEST VARS'!$U$62+'LINEST VARS'!$T$62*(8)+'LINEST VARS'!$S$62*(8)+'LINEST VARS'!$R$62*($EE$80)+'LINEST VARS'!$Q$62*(0.5)+'LINEST VARS'!$P$62*($DV89)+'LINEST VARS'!$O$62*(8^2)+'LINEST VARS'!$N$62*(8^2)+'LINEST VARS'!$M$62*($EE$80^2)+'LINEST VARS'!$L$62*(0.5^2)+'LINEST VARS'!$K$62*($DV89^2)+'LINEST VARS'!$J$62*(8*8)+'LINEST VARS'!$I$62*(8*$EE$80)+'LINEST VARS'!$H$62*(8*0.5)+'LINEST VARS'!$G$62*(8*$DV89)+'LINEST VARS'!$F$62*(8*$EE$80)+'LINEST VARS'!$E$62*(8*0.5)+'LINEST VARS'!$D$62*(8*$DV89)+'LINEST VARS'!$C$62*($EE$80*0.5)+'LINEST VARS'!$B$62*($EE$80*$DV89)+'LINEST VARS'!$A$62*(0.5*$DV89)</f>
        <v>298.30000000000007</v>
      </c>
      <c r="EF89" s="55">
        <f>'LINEST VARS'!$U$62+'LINEST VARS'!$T$62*(8)+'LINEST VARS'!$S$62*(8)+'LINEST VARS'!$R$62*($EF$80)+'LINEST VARS'!$Q$62*(0.5)+'LINEST VARS'!$P$62*($DV89)+'LINEST VARS'!$O$62*(8^2)+'LINEST VARS'!$N$62*(8^2)+'LINEST VARS'!$M$62*($EF$80^2)+'LINEST VARS'!$L$62*(0.5^2)+'LINEST VARS'!$K$62*($DV89^2)+'LINEST VARS'!$J$62*(8*8)+'LINEST VARS'!$I$62*(8*$EF$80)+'LINEST VARS'!$H$62*(8*0.5)+'LINEST VARS'!$G$62*(8*$DV89)+'LINEST VARS'!$F$62*(8*$EF$80)+'LINEST VARS'!$E$62*(8*0.5)+'LINEST VARS'!$D$62*(8*$DV89)+'LINEST VARS'!$C$62*($EF$80*0.5)+'LINEST VARS'!$B$62*($EF$80*$DV89)+'LINEST VARS'!$A$62*(0.5*$DV89)</f>
        <v>284.7</v>
      </c>
      <c r="EG89" s="55">
        <f>'LINEST VARS'!$U$62+'LINEST VARS'!$T$62*(8)+'LINEST VARS'!$S$62*(8)+'LINEST VARS'!$R$62*($EG$80)+'LINEST VARS'!$Q$62*(0.5)+'LINEST VARS'!$P$62*($DV89)+'LINEST VARS'!$O$62*(8^2)+'LINEST VARS'!$N$62*(8^2)+'LINEST VARS'!$M$62*($EG$80^2)+'LINEST VARS'!$L$62*(0.5^2)+'LINEST VARS'!$K$62*($DV89^2)+'LINEST VARS'!$J$62*(8*8)+'LINEST VARS'!$I$62*(8*$EG$80)+'LINEST VARS'!$H$62*(8*0.5)+'LINEST VARS'!$G$62*(8*$DV89)+'LINEST VARS'!$F$62*(8*$EG$80)+'LINEST VARS'!$E$62*(8*0.5)+'LINEST VARS'!$D$62*(8*$DV89)+'LINEST VARS'!$C$62*($EG$80*0.5)+'LINEST VARS'!$B$62*($EG$80*$DV89)+'LINEST VARS'!$A$62*(0.5*$DV89)</f>
        <v>269.5</v>
      </c>
      <c r="EH89" s="55">
        <f>'LINEST VARS'!$U$62+'LINEST VARS'!$T$62*(8)+'LINEST VARS'!$S$62*(8)+'LINEST VARS'!$R$62*($EH$80)+'LINEST VARS'!$Q$62*(0.5)+'LINEST VARS'!$P$62*($DV89)+'LINEST VARS'!$O$62*(8^2)+'LINEST VARS'!$N$62*(8^2)+'LINEST VARS'!$M$62*($EH$80^2)+'LINEST VARS'!$L$62*(0.5^2)+'LINEST VARS'!$K$62*($DV89^2)+'LINEST VARS'!$J$62*(8*8)+'LINEST VARS'!$I$62*(8*$EH$80)+'LINEST VARS'!$H$62*(8*0.5)+'LINEST VARS'!$G$62*(8*$DV89)+'LINEST VARS'!$F$62*(8*$EH$80)+'LINEST VARS'!$E$62*(8*0.5)+'LINEST VARS'!$D$62*(8*$DV89)+'LINEST VARS'!$C$62*($EH$80*0.5)+'LINEST VARS'!$B$62*($EH$80*$DV89)+'LINEST VARS'!$A$62*(0.5*$DV89)</f>
        <v>252.70000000000005</v>
      </c>
      <c r="EI89" s="55">
        <f>'LINEST VARS'!$U$62+'LINEST VARS'!$T$62*(8)+'LINEST VARS'!$S$62*(8)+'LINEST VARS'!$R$62*($EI$80)+'LINEST VARS'!$Q$62*(0.5)+'LINEST VARS'!$P$62*($DV89)+'LINEST VARS'!$O$62*(8^2)+'LINEST VARS'!$N$62*(8^2)+'LINEST VARS'!$M$62*($EI$80^2)+'LINEST VARS'!$L$62*(0.5^2)+'LINEST VARS'!$K$62*($DV89^2)+'LINEST VARS'!$J$62*(8*8)+'LINEST VARS'!$I$62*(8*$EI$80)+'LINEST VARS'!$H$62*(8*0.5)+'LINEST VARS'!$G$62*(8*$DV89)+'LINEST VARS'!$F$62*(8*$EI$80)+'LINEST VARS'!$E$62*(8*0.5)+'LINEST VARS'!$D$62*(8*$DV89)+'LINEST VARS'!$C$62*($EI$80*0.5)+'LINEST VARS'!$B$62*($EI$80*$DV89)+'LINEST VARS'!$A$62*(0.5*$DV89)</f>
        <v>234.3000000000001</v>
      </c>
      <c r="EJ89" s="55">
        <f>'LINEST VARS'!$U$62+'LINEST VARS'!$T$62*(8)+'LINEST VARS'!$S$62*(8)+'LINEST VARS'!$R$62*($EJ$80)+'LINEST VARS'!$Q$62*(0.5)+'LINEST VARS'!$P$62*($DV89)+'LINEST VARS'!$O$62*(8^2)+'LINEST VARS'!$N$62*(8^2)+'LINEST VARS'!$M$62*($EJ$80^2)+'LINEST VARS'!$L$62*(0.5^2)+'LINEST VARS'!$K$62*($DV89^2)+'LINEST VARS'!$J$62*(8*8)+'LINEST VARS'!$I$62*(8*$EJ$80)+'LINEST VARS'!$H$62*(8*0.5)+'LINEST VARS'!$G$62*(8*$DV89)+'LINEST VARS'!$F$62*(8*$EJ$80)+'LINEST VARS'!$E$62*(8*0.5)+'LINEST VARS'!$D$62*(8*$DV89)+'LINEST VARS'!$C$62*($EJ$80*0.5)+'LINEST VARS'!$B$62*($EJ$80*$DV89)+'LINEST VARS'!$A$62*(0.5*$DV89)</f>
        <v>214.3</v>
      </c>
      <c r="EK89" s="55">
        <f>'LINEST VARS'!$U$62+'LINEST VARS'!$T$62*(8)+'LINEST VARS'!$S$62*(8)+'LINEST VARS'!$R$62*($EK$80)+'LINEST VARS'!$Q$62*(0.5)+'LINEST VARS'!$P$62*($DV89)+'LINEST VARS'!$O$62*(8^2)+'LINEST VARS'!$N$62*(8^2)+'LINEST VARS'!$M$62*($EK$80^2)+'LINEST VARS'!$L$62*(0.5^2)+'LINEST VARS'!$K$62*($DV89^2)+'LINEST VARS'!$J$62*(8*8)+'LINEST VARS'!$I$62*(8*$EK$80)+'LINEST VARS'!$H$62*(8*0.5)+'LINEST VARS'!$G$62*(8*$DV89)+'LINEST VARS'!$F$62*(8*$EK$80)+'LINEST VARS'!$E$62*(8*0.5)+'LINEST VARS'!$D$62*(8*$DV89)+'LINEST VARS'!$C$62*($EK$80*0.5)+'LINEST VARS'!$B$62*($EK$80*$DV89)+'LINEST VARS'!$A$62*(0.5*$DV89)</f>
        <v>192.7000000000001</v>
      </c>
      <c r="EL89" s="55">
        <f>'LINEST VARS'!$U$62+'LINEST VARS'!$T$62*(8)+'LINEST VARS'!$S$62*(8)+'LINEST VARS'!$R$62*($EL$80)+'LINEST VARS'!$Q$62*(0.5)+'LINEST VARS'!$P$62*($DV89)+'LINEST VARS'!$O$62*(8^2)+'LINEST VARS'!$N$62*(8^2)+'LINEST VARS'!$M$62*($EL$80^2)+'LINEST VARS'!$L$62*(0.5^2)+'LINEST VARS'!$K$62*($DV89^2)+'LINEST VARS'!$J$62*(8*8)+'LINEST VARS'!$I$62*(8*$EL$80)+'LINEST VARS'!$H$62*(8*0.5)+'LINEST VARS'!$G$62*(8*$DV89)+'LINEST VARS'!$F$62*(8*$EL$80)+'LINEST VARS'!$E$62*(8*0.5)+'LINEST VARS'!$D$62*(8*$DV89)+'LINEST VARS'!$C$62*($EL$80*0.5)+'LINEST VARS'!$B$62*($EL$80*$DV89)+'LINEST VARS'!$A$62*(0.5*$DV89)</f>
        <v>169.50000000000009</v>
      </c>
      <c r="EM89" s="55">
        <f>'LINEST VARS'!$U$62+'LINEST VARS'!$T$62*(8)+'LINEST VARS'!$S$62*(8)+'LINEST VARS'!$R$62*($EM$80)+'LINEST VARS'!$Q$62*(0.5)+'LINEST VARS'!$P$62*($DV89)+'LINEST VARS'!$O$62*(8^2)+'LINEST VARS'!$N$62*(8^2)+'LINEST VARS'!$M$62*($EM$80^2)+'LINEST VARS'!$L$62*(0.5^2)+'LINEST VARS'!$K$62*($DV89^2)+'LINEST VARS'!$J$62*(8*8)+'LINEST VARS'!$I$62*(8*$EM$80)+'LINEST VARS'!$H$62*(8*0.5)+'LINEST VARS'!$G$62*(8*$DV89)+'LINEST VARS'!$F$62*(8*$EM$80)+'LINEST VARS'!$E$62*(8*0.5)+'LINEST VARS'!$D$62*(8*$DV89)+'LINEST VARS'!$C$62*($EM$80*0.5)+'LINEST VARS'!$B$62*($EM$80*$DV89)+'LINEST VARS'!$A$62*(0.5*$DV89)</f>
        <v>144.70000000000007</v>
      </c>
      <c r="EN89" s="55">
        <f>'LINEST VARS'!$U$62+'LINEST VARS'!$T$62*(8)+'LINEST VARS'!$S$62*(8)+'LINEST VARS'!$R$62*($EN$80)+'LINEST VARS'!$Q$62*(0.5)+'LINEST VARS'!$P$62*($DV89)+'LINEST VARS'!$O$62*(8^2)+'LINEST VARS'!$N$62*(8^2)+'LINEST VARS'!$M$62*($EN$80^2)+'LINEST VARS'!$L$62*(0.5^2)+'LINEST VARS'!$K$62*($DV89^2)+'LINEST VARS'!$J$62*(8*8)+'LINEST VARS'!$I$62*(8*$EN$80)+'LINEST VARS'!$H$62*(8*0.5)+'LINEST VARS'!$G$62*(8*$DV89)+'LINEST VARS'!$F$62*(8*$EN$80)+'LINEST VARS'!$E$62*(8*0.5)+'LINEST VARS'!$D$62*(8*$DV89)+'LINEST VARS'!$C$62*($EN$80*0.5)+'LINEST VARS'!$B$62*($EN$80*$DV89)+'LINEST VARS'!$A$62*(0.5*$DV89)</f>
        <v>118.30000000000011</v>
      </c>
      <c r="EO89" s="55">
        <f>'LINEST VARS'!$U$62+'LINEST VARS'!$T$62*(8)+'LINEST VARS'!$S$62*(8)+'LINEST VARS'!$R$62*($EO$80)+'LINEST VARS'!$Q$62*(0.5)+'LINEST VARS'!$P$62*($DV89)+'LINEST VARS'!$O$62*(8^2)+'LINEST VARS'!$N$62*(8^2)+'LINEST VARS'!$M$62*($EO$80^2)+'LINEST VARS'!$L$62*(0.5^2)+'LINEST VARS'!$K$62*($DV89^2)+'LINEST VARS'!$J$62*(8*8)+'LINEST VARS'!$I$62*(8*$EO$80)+'LINEST VARS'!$H$62*(8*0.5)+'LINEST VARS'!$G$62*(8*$DV89)+'LINEST VARS'!$F$62*(8*$EO$80)+'LINEST VARS'!$E$62*(8*0.5)+'LINEST VARS'!$D$62*(8*$DV89)+'LINEST VARS'!$C$62*($EO$80*0.5)+'LINEST VARS'!$B$62*($EO$80*$DV89)+'LINEST VARS'!$A$62*(0.5*$DV89)</f>
        <v>90.300000000000111</v>
      </c>
      <c r="EP89" s="55">
        <f>'LINEST VARS'!$U$62+'LINEST VARS'!$T$62*(8)+'LINEST VARS'!$S$62*(8)+'LINEST VARS'!$R$62*($EP$80)+'LINEST VARS'!$Q$62*(0.5)+'LINEST VARS'!$P$62*($DV89)+'LINEST VARS'!$O$62*(8^2)+'LINEST VARS'!$N$62*(8^2)+'LINEST VARS'!$M$62*($EP$80^2)+'LINEST VARS'!$L$62*(0.5^2)+'LINEST VARS'!$K$62*($DV89^2)+'LINEST VARS'!$J$62*(8*8)+'LINEST VARS'!$I$62*(8*$EP$80)+'LINEST VARS'!$H$62*(8*0.5)+'LINEST VARS'!$G$62*(8*$DV89)+'LINEST VARS'!$F$62*(8*$EP$80)+'LINEST VARS'!$E$62*(8*0.5)+'LINEST VARS'!$D$62*(8*$DV89)+'LINEST VARS'!$C$62*($EP$80*0.5)+'LINEST VARS'!$B$62*($EP$80*$DV89)+'LINEST VARS'!$A$62*(0.5*$DV89)</f>
        <v>60.700000000000159</v>
      </c>
      <c r="EQ89" s="56">
        <f>'LINEST VARS'!$U$62+'LINEST VARS'!$T$62*(8)+'LINEST VARS'!$S$62*(8)+'LINEST VARS'!$R$62*($EQ$80)+'LINEST VARS'!$Q$62*(0.5)+'LINEST VARS'!$P$62*($DV89)+'LINEST VARS'!$O$62*(8^2)+'LINEST VARS'!$N$62*(8^2)+'LINEST VARS'!$M$62*($EQ$80^2)+'LINEST VARS'!$L$62*(0.5^2)+'LINEST VARS'!$K$62*($DV89^2)+'LINEST VARS'!$J$62*(8*8)+'LINEST VARS'!$I$62*(8*$EQ$80)+'LINEST VARS'!$H$62*(8*0.5)+'LINEST VARS'!$G$62*(8*$DV89)+'LINEST VARS'!$F$62*(8*$EQ$80)+'LINEST VARS'!$E$62*(8*0.5)+'LINEST VARS'!$D$62*(8*$DV89)+'LINEST VARS'!$C$62*($EQ$80*0.5)+'LINEST VARS'!$B$62*($EQ$80*$DV89)+'LINEST VARS'!$A$62*(0.5*$DV89)</f>
        <v>29.500000000000203</v>
      </c>
    </row>
    <row r="90" spans="2:147" ht="15" customHeight="1" x14ac:dyDescent="0.25">
      <c r="B90" s="45">
        <v>7.94</v>
      </c>
      <c r="C90" s="46">
        <f>'LINEST VARS'!$U$60+'LINEST VARS'!$T$60*($C$80)+'LINEST VARS'!$S$60*($B90)+'LINEST VARS'!$R$60*(4)+'LINEST VARS'!$Q$60*(0.5)+'LINEST VARS'!$P$60*(12.73)+'LINEST VARS'!$O$60*($C$80^2)+'LINEST VARS'!$N$60*($B90^2)+'LINEST VARS'!$M$60*(4^2)+'LINEST VARS'!$L$60*(0.5^2)+'LINEST VARS'!$K$60*(12.73^2)+'LINEST VARS'!$J$60*($C$80*$B90)+'LINEST VARS'!$I$60*($C$80*4)+'LINEST VARS'!$H$60*($C$80*0.5)+'LINEST VARS'!$G$60*($C$80*12.73)+'LINEST VARS'!$F$60*($B90*4)+'LINEST VARS'!$E$60*($B90*0.5)+'LINEST VARS'!$D$60*($B90*12.73)+'LINEST VARS'!$C$60*(4*0.5)+'LINEST VARS'!$B$60*(4*12.73)+'LINEST VARS'!$A$60*(0.5*12.73)</f>
        <v>40.460000000000015</v>
      </c>
      <c r="D90" s="46">
        <f>'LINEST VARS'!$U$60+'LINEST VARS'!$T$60*($D$80)+'LINEST VARS'!$S$60*($B90)+'LINEST VARS'!$R$60*(4)+'LINEST VARS'!$Q$60*(0.5)+'LINEST VARS'!$P$60*(12.73)+'LINEST VARS'!$O$60*($D$80^2)+'LINEST VARS'!$N$60*($B90^2)+'LINEST VARS'!$M$60*(4^2)+'LINEST VARS'!$L$60*(0.5^2)+'LINEST VARS'!$K$60*(12.73^2)+'LINEST VARS'!$J$60*($D$80*$B90)+'LINEST VARS'!$I$60*($D$80*4)+'LINEST VARS'!$H$60*($D$80*0.5)+'LINEST VARS'!$G$60*($D$80*12.73)+'LINEST VARS'!$F$60*($B90*4)+'LINEST VARS'!$E$60*($B90*0.5)+'LINEST VARS'!$D$60*($B90*12.73)+'LINEST VARS'!$C$60*(4*0.5)+'LINEST VARS'!$B$60*(4*12.73)+'LINEST VARS'!$A$60*(0.5*12.73)</f>
        <v>40.460000000000015</v>
      </c>
      <c r="E90" s="46">
        <f>'LINEST VARS'!$U$60+'LINEST VARS'!$T$60*($E$80)+'LINEST VARS'!$S$60*($B90)+'LINEST VARS'!$R$60*(4)+'LINEST VARS'!$Q$60*(0.5)+'LINEST VARS'!$P$60*(12.73)+'LINEST VARS'!$O$60*($E$80^2)+'LINEST VARS'!$N$60*($B90^2)+'LINEST VARS'!$M$60*(4^2)+'LINEST VARS'!$L$60*(0.5^2)+'LINEST VARS'!$K$60*(12.73^2)+'LINEST VARS'!$J$60*($E$80*$B90)+'LINEST VARS'!$I$60*($E$80*4)+'LINEST VARS'!$H$60*($E$80*0.5)+'LINEST VARS'!$G$60*($E$80*12.73)+'LINEST VARS'!$F$60*($B90*4)+'LINEST VARS'!$E$60*($B90*0.5)+'LINEST VARS'!$D$60*($B90*12.73)+'LINEST VARS'!$C$60*(4*0.5)+'LINEST VARS'!$B$60*(4*12.73)+'LINEST VARS'!$A$60*(0.5*12.73)</f>
        <v>40.460000000000015</v>
      </c>
      <c r="F90" s="46">
        <f>'LINEST VARS'!$U$60+'LINEST VARS'!$T$60*($F$80)+'LINEST VARS'!$S$60*($B90)+'LINEST VARS'!$R$60*(4)+'LINEST VARS'!$Q$60*(0.5)+'LINEST VARS'!$P$60*(12.73)+'LINEST VARS'!$O$60*($F$80^2)+'LINEST VARS'!$N$60*($B90^2)+'LINEST VARS'!$M$60*(4^2)+'LINEST VARS'!$L$60*(0.5^2)+'LINEST VARS'!$K$60*(12.73^2)+'LINEST VARS'!$J$60*($F$80*$B90)+'LINEST VARS'!$I$60*($F$80*4)+'LINEST VARS'!$H$60*($F$80*0.5)+'LINEST VARS'!$G$60*($F$80*12.73)+'LINEST VARS'!$F$60*($B90*4)+'LINEST VARS'!$E$60*($B90*0.5)+'LINEST VARS'!$D$60*($B90*12.73)+'LINEST VARS'!$C$60*(4*0.5)+'LINEST VARS'!$B$60*(4*12.73)+'LINEST VARS'!$A$60*(0.5*12.73)</f>
        <v>40.460000000000015</v>
      </c>
      <c r="G90" s="46">
        <f>'LINEST VARS'!$U$60+'LINEST VARS'!$T$60*($G$80)+'LINEST VARS'!$S$60*($B90)+'LINEST VARS'!$R$60*(4)+'LINEST VARS'!$Q$60*(0.5)+'LINEST VARS'!$P$60*(12.73)+'LINEST VARS'!$O$60*($G$80^2)+'LINEST VARS'!$N$60*($B90^2)+'LINEST VARS'!$M$60*(4^2)+'LINEST VARS'!$L$60*(0.5^2)+'LINEST VARS'!$K$60*(12.73^2)+'LINEST VARS'!$J$60*($G$80*$B90)+'LINEST VARS'!$I$60*($G$80*4)+'LINEST VARS'!$H$60*($G$80*0.5)+'LINEST VARS'!$G$60*($G$80*12.73)+'LINEST VARS'!$F$60*($B90*4)+'LINEST VARS'!$E$60*($B90*0.5)+'LINEST VARS'!$D$60*($B90*12.73)+'LINEST VARS'!$C$60*(4*0.5)+'LINEST VARS'!$B$60*(4*12.73)+'LINEST VARS'!$A$60*(0.5*12.73)</f>
        <v>40.460000000000015</v>
      </c>
      <c r="H90" s="46">
        <f>'LINEST VARS'!$U$60+'LINEST VARS'!$T$60*($H$80)+'LINEST VARS'!$S$60*($B90)+'LINEST VARS'!$R$60*(4)+'LINEST VARS'!$Q$60*(0.5)+'LINEST VARS'!$P$60*(12.73)+'LINEST VARS'!$O$60*($H$80^2)+'LINEST VARS'!$N$60*($B90^2)+'LINEST VARS'!$M$60*(4^2)+'LINEST VARS'!$L$60*(0.5^2)+'LINEST VARS'!$K$60*(12.73^2)+'LINEST VARS'!$J$60*($H$80*$B90)+'LINEST VARS'!$I$60*($H$80*4)+'LINEST VARS'!$H$60*($H$80*0.5)+'LINEST VARS'!$G$60*($H$80*12.73)+'LINEST VARS'!$F$60*($B90*4)+'LINEST VARS'!$E$60*($B90*0.5)+'LINEST VARS'!$D$60*($B90*12.73)+'LINEST VARS'!$C$60*(4*0.5)+'LINEST VARS'!$B$60*(4*12.73)+'LINEST VARS'!$A$60*(0.5*12.73)</f>
        <v>40.460000000000015</v>
      </c>
      <c r="I90" s="46">
        <f>'LINEST VARS'!$U$60+'LINEST VARS'!$T$60*($I$80)+'LINEST VARS'!$S$60*($B90)+'LINEST VARS'!$R$60*(4)+'LINEST VARS'!$Q$60*(0.5)+'LINEST VARS'!$P$60*(12.73)+'LINEST VARS'!$O$60*($I$80^2)+'LINEST VARS'!$N$60*($B90^2)+'LINEST VARS'!$M$60*(4^2)+'LINEST VARS'!$L$60*(0.5^2)+'LINEST VARS'!$K$60*(12.73^2)+'LINEST VARS'!$J$60*($I$80*$B90)+'LINEST VARS'!$I$60*($I$80*4)+'LINEST VARS'!$H$60*($I$80*0.5)+'LINEST VARS'!$G$60*($I$80*12.73)+'LINEST VARS'!$F$60*($B90*4)+'LINEST VARS'!$E$60*($B90*0.5)+'LINEST VARS'!$D$60*($B90*12.73)+'LINEST VARS'!$C$60*(4*0.5)+'LINEST VARS'!$B$60*(4*12.73)+'LINEST VARS'!$A$60*(0.5*12.73)</f>
        <v>40.460000000000022</v>
      </c>
      <c r="J90" s="46">
        <f>'LINEST VARS'!$U$60+'LINEST VARS'!$T$60*($J$80)+'LINEST VARS'!$S$60*($B90)+'LINEST VARS'!$R$60*(4)+'LINEST VARS'!$Q$60*(0.5)+'LINEST VARS'!$P$60*(12.73)+'LINEST VARS'!$O$60*($J$80^2)+'LINEST VARS'!$N$60*($B90^2)+'LINEST VARS'!$M$60*(4^2)+'LINEST VARS'!$L$60*(0.5^2)+'LINEST VARS'!$K$60*(12.73^2)+'LINEST VARS'!$J$60*($J$80*$B90)+'LINEST VARS'!$I$60*($J$80*4)+'LINEST VARS'!$H$60*($J$80*0.5)+'LINEST VARS'!$G$60*($J$80*12.73)+'LINEST VARS'!$F$60*($B90*4)+'LINEST VARS'!$E$60*($B90*0.5)+'LINEST VARS'!$D$60*($B90*12.73)+'LINEST VARS'!$C$60*(4*0.5)+'LINEST VARS'!$B$60*(4*12.73)+'LINEST VARS'!$A$60*(0.5*12.73)</f>
        <v>40.460000000000022</v>
      </c>
      <c r="K90" s="46">
        <f>'LINEST VARS'!$U$60+'LINEST VARS'!$T$60*($K$80)+'LINEST VARS'!$S$60*($B90)+'LINEST VARS'!$R$60*(4)+'LINEST VARS'!$Q$60*(0.5)+'LINEST VARS'!$P$60*(12.73)+'LINEST VARS'!$O$60*($K$80^2)+'LINEST VARS'!$N$60*($B90^2)+'LINEST VARS'!$M$60*(4^2)+'LINEST VARS'!$L$60*(0.5^2)+'LINEST VARS'!$K$60*(12.73^2)+'LINEST VARS'!$J$60*($K$80*$B90)+'LINEST VARS'!$I$60*($K$80*4)+'LINEST VARS'!$H$60*($K$80*0.5)+'LINEST VARS'!$G$60*($K$80*12.73)+'LINEST VARS'!$F$60*($B90*4)+'LINEST VARS'!$E$60*($B90*0.5)+'LINEST VARS'!$D$60*($B90*12.73)+'LINEST VARS'!$C$60*(4*0.5)+'LINEST VARS'!$B$60*(4*12.73)+'LINEST VARS'!$A$60*(0.5*12.73)</f>
        <v>40.460000000000022</v>
      </c>
      <c r="L90" s="46">
        <f>'LINEST VARS'!$U$60+'LINEST VARS'!$T$60*($L$80)+'LINEST VARS'!$S$60*($B90)+'LINEST VARS'!$R$60*(4)+'LINEST VARS'!$Q$60*(0.5)+'LINEST VARS'!$P$60*(12.73)+'LINEST VARS'!$O$60*($L$80^2)+'LINEST VARS'!$N$60*($B90^2)+'LINEST VARS'!$M$60*(4^2)+'LINEST VARS'!$L$60*(0.5^2)+'LINEST VARS'!$K$60*(12.73^2)+'LINEST VARS'!$J$60*($L$80*$B90)+'LINEST VARS'!$I$60*($L$80*4)+'LINEST VARS'!$H$60*($L$80*0.5)+'LINEST VARS'!$G$60*($L$80*12.73)+'LINEST VARS'!$F$60*($B90*4)+'LINEST VARS'!$E$60*($B90*0.5)+'LINEST VARS'!$D$60*($B90*12.73)+'LINEST VARS'!$C$60*(4*0.5)+'LINEST VARS'!$B$60*(4*12.73)+'LINEST VARS'!$A$60*(0.5*12.73)</f>
        <v>40.460000000000015</v>
      </c>
      <c r="M90" s="46">
        <f>'LINEST VARS'!$U$60+'LINEST VARS'!$T$60*($M$80)+'LINEST VARS'!$S$60*($B90)+'LINEST VARS'!$R$60*(4)+'LINEST VARS'!$Q$60*(0.5)+'LINEST VARS'!$P$60*(12.73)+'LINEST VARS'!$O$60*($M$80^2)+'LINEST VARS'!$N$60*($B90^2)+'LINEST VARS'!$M$60*(4^2)+'LINEST VARS'!$L$60*(0.5^2)+'LINEST VARS'!$K$60*(12.73^2)+'LINEST VARS'!$J$60*($M$80*$B90)+'LINEST VARS'!$I$60*($M$80*4)+'LINEST VARS'!$H$60*($M$80*0.5)+'LINEST VARS'!$G$60*($M$80*12.73)+'LINEST VARS'!$F$60*($B90*4)+'LINEST VARS'!$E$60*($B90*0.5)+'LINEST VARS'!$D$60*($B90*12.73)+'LINEST VARS'!$C$60*(4*0.5)+'LINEST VARS'!$B$60*(4*12.73)+'LINEST VARS'!$A$60*(0.5*12.73)</f>
        <v>40.460000000000015</v>
      </c>
      <c r="N90" s="46">
        <f>'LINEST VARS'!$U$60+'LINEST VARS'!$T$60*($N$80)+'LINEST VARS'!$S$60*($B90)+'LINEST VARS'!$R$60*(4)+'LINEST VARS'!$Q$60*(0.5)+'LINEST VARS'!$P$60*(12.73)+'LINEST VARS'!$O$60*($N$80^2)+'LINEST VARS'!$N$60*($B90^2)+'LINEST VARS'!$M$60*(4^2)+'LINEST VARS'!$L$60*(0.5^2)+'LINEST VARS'!$K$60*(12.73^2)+'LINEST VARS'!$J$60*($N$80*$B90)+'LINEST VARS'!$I$60*($N$80*4)+'LINEST VARS'!$H$60*($N$80*0.5)+'LINEST VARS'!$G$60*($N$80*12.73)+'LINEST VARS'!$F$60*($B90*4)+'LINEST VARS'!$E$60*($B90*0.5)+'LINEST VARS'!$D$60*($B90*12.73)+'LINEST VARS'!$C$60*(4*0.5)+'LINEST VARS'!$B$60*(4*12.73)+'LINEST VARS'!$A$60*(0.5*12.73)</f>
        <v>40.460000000000008</v>
      </c>
      <c r="O90" s="46">
        <f>'LINEST VARS'!$U$60+'LINEST VARS'!$T$60*($O$80)+'LINEST VARS'!$S$60*($B90)+'LINEST VARS'!$R$60*(4)+'LINEST VARS'!$Q$60*(0.5)+'LINEST VARS'!$P$60*(12.73)+'LINEST VARS'!$O$60*($O$80^2)+'LINEST VARS'!$N$60*($B90^2)+'LINEST VARS'!$M$60*(4^2)+'LINEST VARS'!$L$60*(0.5^2)+'LINEST VARS'!$K$60*(12.73^2)+'LINEST VARS'!$J$60*($O$80*$B90)+'LINEST VARS'!$I$60*($O$80*4)+'LINEST VARS'!$H$60*($O$80*0.5)+'LINEST VARS'!$G$60*($O$80*12.73)+'LINEST VARS'!$F$60*($B90*4)+'LINEST VARS'!$E$60*($B90*0.5)+'LINEST VARS'!$D$60*($B90*12.73)+'LINEST VARS'!$C$60*(4*0.5)+'LINEST VARS'!$B$60*(4*12.73)+'LINEST VARS'!$A$60*(0.5*12.73)</f>
        <v>40.460000000000015</v>
      </c>
      <c r="P90" s="46">
        <f>'LINEST VARS'!$U$60+'LINEST VARS'!$T$60*($P$80)+'LINEST VARS'!$S$60*($B90)+'LINEST VARS'!$R$60*(4)+'LINEST VARS'!$Q$60*(0.5)+'LINEST VARS'!$P$60*(12.73)+'LINEST VARS'!$O$60*($P$80^2)+'LINEST VARS'!$N$60*($B90^2)+'LINEST VARS'!$M$60*(4^2)+'LINEST VARS'!$L$60*(0.5^2)+'LINEST VARS'!$K$60*(12.73^2)+'LINEST VARS'!$J$60*($P$80*$B90)+'LINEST VARS'!$I$60*($P$80*4)+'LINEST VARS'!$H$60*($P$80*0.5)+'LINEST VARS'!$G$60*($P$80*12.73)+'LINEST VARS'!$F$60*($B90*4)+'LINEST VARS'!$E$60*($B90*0.5)+'LINEST VARS'!$D$60*($B90*12.73)+'LINEST VARS'!$C$60*(4*0.5)+'LINEST VARS'!$B$60*(4*12.73)+'LINEST VARS'!$A$60*(0.5*12.73)</f>
        <v>40.460000000000015</v>
      </c>
      <c r="Q90" s="46">
        <f>'LINEST VARS'!$U$60+'LINEST VARS'!$T$60*($Q$80)+'LINEST VARS'!$S$60*($B90)+'LINEST VARS'!$R$60*(4)+'LINEST VARS'!$Q$60*(0.5)+'LINEST VARS'!$P$60*(12.73)+'LINEST VARS'!$O$60*($Q$80^2)+'LINEST VARS'!$N$60*($B90^2)+'LINEST VARS'!$M$60*(4^2)+'LINEST VARS'!$L$60*(0.5^2)+'LINEST VARS'!$K$60*(12.73^2)+'LINEST VARS'!$J$60*($Q$80*$B90)+'LINEST VARS'!$I$60*($Q$80*4)+'LINEST VARS'!$H$60*($Q$80*0.5)+'LINEST VARS'!$G$60*($Q$80*12.73)+'LINEST VARS'!$F$60*($B90*4)+'LINEST VARS'!$E$60*($B90*0.5)+'LINEST VARS'!$D$60*($B90*12.73)+'LINEST VARS'!$C$60*(4*0.5)+'LINEST VARS'!$B$60*(4*12.73)+'LINEST VARS'!$A$60*(0.5*12.73)</f>
        <v>40.460000000000015</v>
      </c>
      <c r="R90" s="46">
        <f>'LINEST VARS'!$U$60+'LINEST VARS'!$T$60*($R$80)+'LINEST VARS'!$S$60*($B90)+'LINEST VARS'!$R$60*(4)+'LINEST VARS'!$Q$60*(0.5)+'LINEST VARS'!$P$60*(12.73)+'LINEST VARS'!$O$60*($R$80^2)+'LINEST VARS'!$N$60*($B90^2)+'LINEST VARS'!$M$60*(4^2)+'LINEST VARS'!$L$60*(0.5^2)+'LINEST VARS'!$K$60*(12.73^2)+'LINEST VARS'!$J$60*($R$80*$B90)+'LINEST VARS'!$I$60*($R$80*4)+'LINEST VARS'!$H$60*($R$80*0.5)+'LINEST VARS'!$G$60*($R$80*12.73)+'LINEST VARS'!$F$60*($B90*4)+'LINEST VARS'!$E$60*($B90*0.5)+'LINEST VARS'!$D$60*($B90*12.73)+'LINEST VARS'!$C$60*(4*0.5)+'LINEST VARS'!$B$60*(4*12.73)+'LINEST VARS'!$A$60*(0.5*12.73)</f>
        <v>40.460000000000015</v>
      </c>
      <c r="S90" s="46">
        <f>'LINEST VARS'!$U$60+'LINEST VARS'!$T$60*($S$80)+'LINEST VARS'!$S$60*($B90)+'LINEST VARS'!$R$60*(4)+'LINEST VARS'!$Q$60*(0.5)+'LINEST VARS'!$P$60*(12.73)+'LINEST VARS'!$O$60*($S$80^2)+'LINEST VARS'!$N$60*($B90^2)+'LINEST VARS'!$M$60*(4^2)+'LINEST VARS'!$L$60*(0.5^2)+'LINEST VARS'!$K$60*(12.73^2)+'LINEST VARS'!$J$60*($S$80*$B90)+'LINEST VARS'!$I$60*($S$80*4)+'LINEST VARS'!$H$60*($S$80*0.5)+'LINEST VARS'!$G$60*($S$80*12.73)+'LINEST VARS'!$F$60*($B90*4)+'LINEST VARS'!$E$60*($B90*0.5)+'LINEST VARS'!$D$60*($B90*12.73)+'LINEST VARS'!$C$60*(4*0.5)+'LINEST VARS'!$B$60*(4*12.73)+'LINEST VARS'!$A$60*(0.5*12.73)</f>
        <v>40.460000000000015</v>
      </c>
      <c r="T90" s="46">
        <f>'LINEST VARS'!$U$60+'LINEST VARS'!$T$60*($T$80)+'LINEST VARS'!$S$60*($B90)+'LINEST VARS'!$R$60*(4)+'LINEST VARS'!$Q$60*(0.5)+'LINEST VARS'!$P$60*(12.73)+'LINEST VARS'!$O$60*($T$80^2)+'LINEST VARS'!$N$60*($B90^2)+'LINEST VARS'!$M$60*(4^2)+'LINEST VARS'!$L$60*(0.5^2)+'LINEST VARS'!$K$60*(12.73^2)+'LINEST VARS'!$J$60*($T$80*$B90)+'LINEST VARS'!$I$60*($T$80*4)+'LINEST VARS'!$H$60*($T$80*0.5)+'LINEST VARS'!$G$60*($T$80*12.73)+'LINEST VARS'!$F$60*($B90*4)+'LINEST VARS'!$E$60*($B90*0.5)+'LINEST VARS'!$D$60*($B90*12.73)+'LINEST VARS'!$C$60*(4*0.5)+'LINEST VARS'!$B$60*(4*12.73)+'LINEST VARS'!$A$60*(0.5*12.73)</f>
        <v>40.460000000000015</v>
      </c>
      <c r="U90" s="46">
        <f>'LINEST VARS'!$U$60+'LINEST VARS'!$T$60*($U$80)+'LINEST VARS'!$S$60*($B90)+'LINEST VARS'!$R$60*(4)+'LINEST VARS'!$Q$60*(0.5)+'LINEST VARS'!$P$60*(12.73)+'LINEST VARS'!$O$60*($U$80^2)+'LINEST VARS'!$N$60*($B90^2)+'LINEST VARS'!$M$60*(4^2)+'LINEST VARS'!$L$60*(0.5^2)+'LINEST VARS'!$K$60*(12.73^2)+'LINEST VARS'!$J$60*($U$80*$B90)+'LINEST VARS'!$I$60*($U$80*4)+'LINEST VARS'!$H$60*($U$80*0.5)+'LINEST VARS'!$G$60*($U$80*12.73)+'LINEST VARS'!$F$60*($B90*4)+'LINEST VARS'!$E$60*($B90*0.5)+'LINEST VARS'!$D$60*($B90*12.73)+'LINEST VARS'!$C$60*(4*0.5)+'LINEST VARS'!$B$60*(4*12.73)+'LINEST VARS'!$A$60*(0.5*12.73)</f>
        <v>40.460000000000022</v>
      </c>
      <c r="V90" s="46">
        <f>'LINEST VARS'!$U$60+'LINEST VARS'!$T$60*($V$80)+'LINEST VARS'!$S$60*($B90)+'LINEST VARS'!$R$60*(4)+'LINEST VARS'!$Q$60*(0.5)+'LINEST VARS'!$P$60*(12.73)+'LINEST VARS'!$O$60*($V$80^2)+'LINEST VARS'!$N$60*($B90^2)+'LINEST VARS'!$M$60*(4^2)+'LINEST VARS'!$L$60*(0.5^2)+'LINEST VARS'!$K$60*(12.73^2)+'LINEST VARS'!$J$60*($V$80*$B90)+'LINEST VARS'!$I$60*($V$80*4)+'LINEST VARS'!$H$60*($V$80*0.5)+'LINEST VARS'!$G$60*($V$80*12.73)+'LINEST VARS'!$F$60*($B90*4)+'LINEST VARS'!$E$60*($B90*0.5)+'LINEST VARS'!$D$60*($B90*12.73)+'LINEST VARS'!$C$60*(4*0.5)+'LINEST VARS'!$B$60*(4*12.73)+'LINEST VARS'!$A$60*(0.5*12.73)</f>
        <v>40.460000000000022</v>
      </c>
      <c r="W90" s="47">
        <f>'LINEST VARS'!$U$60+'LINEST VARS'!$T$60*($W$80)+'LINEST VARS'!$S$60*($B90)+'LINEST VARS'!$R$60*(4)+'LINEST VARS'!$Q$60*(0.5)+'LINEST VARS'!$P$60*(12.73)+'LINEST VARS'!$O$60*($W$80^2)+'LINEST VARS'!$N$60*($B90^2)+'LINEST VARS'!$M$60*(4^2)+'LINEST VARS'!$L$60*(0.5^2)+'LINEST VARS'!$K$60*(12.73^2)+'LINEST VARS'!$J$60*($W$80*$B90)+'LINEST VARS'!$I$60*($W$80*4)+'LINEST VARS'!$H$60*($W$80*0.5)+'LINEST VARS'!$G$60*($W$80*12.73)+'LINEST VARS'!$F$60*($B90*4)+'LINEST VARS'!$E$60*($B90*0.5)+'LINEST VARS'!$D$60*($B90*12.73)+'LINEST VARS'!$C$60*(4*0.5)+'LINEST VARS'!$B$60*(4*12.73)+'LINEST VARS'!$A$60*(0.5*12.73)</f>
        <v>40.460000000000022</v>
      </c>
      <c r="Z90" s="45">
        <v>7.94</v>
      </c>
      <c r="AA90" s="55">
        <f>'LINEST VARS'!$U$62+'LINEST VARS'!$T$62*($AA$80)+'LINEST VARS'!$S$62*($Z90)+'LINEST VARS'!$R$62*(4)+'LINEST VARS'!$Q$62*(0.5)+'LINEST VARS'!$P$62*(12.73)+'LINEST VARS'!$O$62*($AA$80^2)+'LINEST VARS'!$N$62*($Z90^2)+'LINEST VARS'!$M$62*(4^2)+'LINEST VARS'!$L$62*(0.5^2)+'LINEST VARS'!$K$62*(12.73^2)+'LINEST VARS'!$J$62*($AA$80*$Z90)+'LINEST VARS'!$I$62*($AA$80*4)+'LINEST VARS'!$H$62*($AA$80*0.5)+'LINEST VARS'!$G$62*($AA$80*12.73)+'LINEST VARS'!$F$62*($Z90*4)+'LINEST VARS'!$E$62*($Z90*0.5)+'LINEST VARS'!$D$62*($Z90*12.73)+'LINEST VARS'!$C$62*(4*0.5)+'LINEST VARS'!$B$62*(4*12.73)+'LINEST VARS'!$A$62*(0.5*12.73)</f>
        <v>269.5</v>
      </c>
      <c r="AB90" s="55">
        <f>'LINEST VARS'!$U$62+'LINEST VARS'!$T$62*($AB$80)+'LINEST VARS'!$S$62*($Z90)+'LINEST VARS'!$R$62*(4)+'LINEST VARS'!$Q$62*(0.5)+'LINEST VARS'!$P$62*(12.73)+'LINEST VARS'!$O$62*($AB$80^2)+'LINEST VARS'!$N$62*($Z90^2)+'LINEST VARS'!$M$62*(4^2)+'LINEST VARS'!$L$62*(0.5^2)+'LINEST VARS'!$K$62*(12.73^2)+'LINEST VARS'!$J$62*($AB$80*$Z90)+'LINEST VARS'!$I$62*($AB$80*4)+'LINEST VARS'!$H$62*($AB$80*0.5)+'LINEST VARS'!$G$62*($AB$80*12.73)+'LINEST VARS'!$F$62*($Z90*4)+'LINEST VARS'!$E$62*($Z90*0.5)+'LINEST VARS'!$D$62*($Z90*12.73)+'LINEST VARS'!$C$62*(4*0.5)+'LINEST VARS'!$B$62*(4*12.73)+'LINEST VARS'!$A$62*(0.5*12.73)</f>
        <v>269.5</v>
      </c>
      <c r="AC90" s="55">
        <f>'LINEST VARS'!$U$62+'LINEST VARS'!$T$62*($AC$80)+'LINEST VARS'!$S$62*($Z90)+'LINEST VARS'!$R$62*(4)+'LINEST VARS'!$Q$62*(0.5)+'LINEST VARS'!$P$62*(12.73)+'LINEST VARS'!$O$62*($AC$80^2)+'LINEST VARS'!$N$62*($Z90^2)+'LINEST VARS'!$M$62*(4^2)+'LINEST VARS'!$L$62*(0.5^2)+'LINEST VARS'!$K$62*(12.73^2)+'LINEST VARS'!$J$62*($AC$80*$Z90)+'LINEST VARS'!$I$62*($AC$80*4)+'LINEST VARS'!$H$62*($AC$80*0.5)+'LINEST VARS'!$G$62*($AC$80*12.73)+'LINEST VARS'!$F$62*($Z90*4)+'LINEST VARS'!$E$62*($Z90*0.5)+'LINEST VARS'!$D$62*($Z90*12.73)+'LINEST VARS'!$C$62*(4*0.5)+'LINEST VARS'!$B$62*(4*12.73)+'LINEST VARS'!$A$62*(0.5*12.73)</f>
        <v>269.5</v>
      </c>
      <c r="AD90" s="55">
        <f>'LINEST VARS'!$U$62+'LINEST VARS'!$T$62*($AD$80)+'LINEST VARS'!$S$62*($Z90)+'LINEST VARS'!$R$62*(4)+'LINEST VARS'!$Q$62*(0.5)+'LINEST VARS'!$P$62*(12.73)+'LINEST VARS'!$O$62*($AD$80^2)+'LINEST VARS'!$N$62*($Z90^2)+'LINEST VARS'!$M$62*(4^2)+'LINEST VARS'!$L$62*(0.5^2)+'LINEST VARS'!$K$62*(12.73^2)+'LINEST VARS'!$J$62*($AD$80*$Z90)+'LINEST VARS'!$I$62*($AD$80*4)+'LINEST VARS'!$H$62*($AD$80*0.5)+'LINEST VARS'!$G$62*($AD$80*12.73)+'LINEST VARS'!$F$62*($Z90*4)+'LINEST VARS'!$E$62*($Z90*0.5)+'LINEST VARS'!$D$62*($Z90*12.73)+'LINEST VARS'!$C$62*(4*0.5)+'LINEST VARS'!$B$62*(4*12.73)+'LINEST VARS'!$A$62*(0.5*12.73)</f>
        <v>269.50000000000006</v>
      </c>
      <c r="AE90" s="55">
        <f>'LINEST VARS'!$U$62+'LINEST VARS'!$T$62*($AE$80)+'LINEST VARS'!$S$62*($Z90)+'LINEST VARS'!$R$62*(4)+'LINEST VARS'!$Q$62*(0.5)+'LINEST VARS'!$P$62*(12.73)+'LINEST VARS'!$O$62*($AE$80^2)+'LINEST VARS'!$N$62*($Z90^2)+'LINEST VARS'!$M$62*(4^2)+'LINEST VARS'!$L$62*(0.5^2)+'LINEST VARS'!$K$62*(12.73^2)+'LINEST VARS'!$J$62*($AE$80*$Z90)+'LINEST VARS'!$I$62*($AE$80*4)+'LINEST VARS'!$H$62*($AE$80*0.5)+'LINEST VARS'!$G$62*($AE$80*12.73)+'LINEST VARS'!$F$62*($Z90*4)+'LINEST VARS'!$E$62*($Z90*0.5)+'LINEST VARS'!$D$62*($Z90*12.73)+'LINEST VARS'!$C$62*(4*0.5)+'LINEST VARS'!$B$62*(4*12.73)+'LINEST VARS'!$A$62*(0.5*12.73)</f>
        <v>269.5</v>
      </c>
      <c r="AF90" s="55">
        <f>'LINEST VARS'!$U$62+'LINEST VARS'!$T$62*($AF$80)+'LINEST VARS'!$S$62*($Z90)+'LINEST VARS'!$R$62*(4)+'LINEST VARS'!$Q$62*(0.5)+'LINEST VARS'!$P$62*(12.73)+'LINEST VARS'!$O$62*($AF$80^2)+'LINEST VARS'!$N$62*($Z90^2)+'LINEST VARS'!$M$62*(4^2)+'LINEST VARS'!$L$62*(0.5^2)+'LINEST VARS'!$K$62*(12.73^2)+'LINEST VARS'!$J$62*($AF$80*$Z90)+'LINEST VARS'!$I$62*($AF$80*4)+'LINEST VARS'!$H$62*($AF$80*0.5)+'LINEST VARS'!$G$62*($AF$80*12.73)+'LINEST VARS'!$F$62*($Z90*4)+'LINEST VARS'!$E$62*($Z90*0.5)+'LINEST VARS'!$D$62*($Z90*12.73)+'LINEST VARS'!$C$62*(4*0.5)+'LINEST VARS'!$B$62*(4*12.73)+'LINEST VARS'!$A$62*(0.5*12.73)</f>
        <v>269.49999999999994</v>
      </c>
      <c r="AG90" s="55">
        <f>'LINEST VARS'!$U$62+'LINEST VARS'!$T$62*($AG$80)+'LINEST VARS'!$S$62*($Z90)+'LINEST VARS'!$R$62*(4)+'LINEST VARS'!$Q$62*(0.5)+'LINEST VARS'!$P$62*(12.73)+'LINEST VARS'!$O$62*($AG$80^2)+'LINEST VARS'!$N$62*($Z90^2)+'LINEST VARS'!$M$62*(4^2)+'LINEST VARS'!$L$62*(0.5^2)+'LINEST VARS'!$K$62*(12.73^2)+'LINEST VARS'!$J$62*($AG$80*$Z90)+'LINEST VARS'!$I$62*($AG$80*4)+'LINEST VARS'!$H$62*($AG$80*0.5)+'LINEST VARS'!$G$62*($AG$80*12.73)+'LINEST VARS'!$F$62*($Z90*4)+'LINEST VARS'!$E$62*($Z90*0.5)+'LINEST VARS'!$D$62*($Z90*12.73)+'LINEST VARS'!$C$62*(4*0.5)+'LINEST VARS'!$B$62*(4*12.73)+'LINEST VARS'!$A$62*(0.5*12.73)</f>
        <v>269.5</v>
      </c>
      <c r="AH90" s="55">
        <f>'LINEST VARS'!$U$62+'LINEST VARS'!$T$62*($AH$80)+'LINEST VARS'!$S$62*($Z90)+'LINEST VARS'!$R$62*(4)+'LINEST VARS'!$Q$62*(0.5)+'LINEST VARS'!$P$62*(12.73)+'LINEST VARS'!$O$62*($AH$80^2)+'LINEST VARS'!$N$62*($Z90^2)+'LINEST VARS'!$M$62*(4^2)+'LINEST VARS'!$L$62*(0.5^2)+'LINEST VARS'!$K$62*(12.73^2)+'LINEST VARS'!$J$62*($AH$80*$Z90)+'LINEST VARS'!$I$62*($AH$80*4)+'LINEST VARS'!$H$62*($AH$80*0.5)+'LINEST VARS'!$G$62*($AH$80*12.73)+'LINEST VARS'!$F$62*($Z90*4)+'LINEST VARS'!$E$62*($Z90*0.5)+'LINEST VARS'!$D$62*($Z90*12.73)+'LINEST VARS'!$C$62*(4*0.5)+'LINEST VARS'!$B$62*(4*12.73)+'LINEST VARS'!$A$62*(0.5*12.73)</f>
        <v>269.5</v>
      </c>
      <c r="AI90" s="55">
        <f>'LINEST VARS'!$U$62+'LINEST VARS'!$T$62*($AI$80)+'LINEST VARS'!$S$62*($Z90)+'LINEST VARS'!$R$62*(4)+'LINEST VARS'!$Q$62*(0.5)+'LINEST VARS'!$P$62*(12.73)+'LINEST VARS'!$O$62*($AI$80^2)+'LINEST VARS'!$N$62*($Z90^2)+'LINEST VARS'!$M$62*(4^2)+'LINEST VARS'!$L$62*(0.5^2)+'LINEST VARS'!$K$62*(12.73^2)+'LINEST VARS'!$J$62*($AI$80*$Z90)+'LINEST VARS'!$I$62*($AI$80*4)+'LINEST VARS'!$H$62*($AI$80*0.5)+'LINEST VARS'!$G$62*($AI$80*12.73)+'LINEST VARS'!$F$62*($Z90*4)+'LINEST VARS'!$E$62*($Z90*0.5)+'LINEST VARS'!$D$62*($Z90*12.73)+'LINEST VARS'!$C$62*(4*0.5)+'LINEST VARS'!$B$62*(4*12.73)+'LINEST VARS'!$A$62*(0.5*12.73)</f>
        <v>269.5</v>
      </c>
      <c r="AJ90" s="55">
        <f>'LINEST VARS'!$U$62+'LINEST VARS'!$T$62*($AJ$80)+'LINEST VARS'!$S$62*($Z90)+'LINEST VARS'!$R$62*(4)+'LINEST VARS'!$Q$62*(0.5)+'LINEST VARS'!$P$62*(12.73)+'LINEST VARS'!$O$62*($AJ$80^2)+'LINEST VARS'!$N$62*($Z90^2)+'LINEST VARS'!$M$62*(4^2)+'LINEST VARS'!$L$62*(0.5^2)+'LINEST VARS'!$K$62*(12.73^2)+'LINEST VARS'!$J$62*($AJ$80*$Z90)+'LINEST VARS'!$I$62*($AJ$80*4)+'LINEST VARS'!$H$62*($AJ$80*0.5)+'LINEST VARS'!$G$62*($AJ$80*12.73)+'LINEST VARS'!$F$62*($Z90*4)+'LINEST VARS'!$E$62*($Z90*0.5)+'LINEST VARS'!$D$62*($Z90*12.73)+'LINEST VARS'!$C$62*(4*0.5)+'LINEST VARS'!$B$62*(4*12.73)+'LINEST VARS'!$A$62*(0.5*12.73)</f>
        <v>269.5</v>
      </c>
      <c r="AK90" s="55">
        <f>'LINEST VARS'!$U$62+'LINEST VARS'!$T$62*($AK$80)+'LINEST VARS'!$S$62*($Z90)+'LINEST VARS'!$R$62*(4)+'LINEST VARS'!$Q$62*(0.5)+'LINEST VARS'!$P$62*(12.73)+'LINEST VARS'!$O$62*($AK$80^2)+'LINEST VARS'!$N$62*($Z90^2)+'LINEST VARS'!$M$62*(4^2)+'LINEST VARS'!$L$62*(0.5^2)+'LINEST VARS'!$K$62*(12.73^2)+'LINEST VARS'!$J$62*($AK$80*$Z90)+'LINEST VARS'!$I$62*($AK$80*4)+'LINEST VARS'!$H$62*($AK$80*0.5)+'LINEST VARS'!$G$62*($AK$80*12.73)+'LINEST VARS'!$F$62*($Z90*4)+'LINEST VARS'!$E$62*($Z90*0.5)+'LINEST VARS'!$D$62*($Z90*12.73)+'LINEST VARS'!$C$62*(4*0.5)+'LINEST VARS'!$B$62*(4*12.73)+'LINEST VARS'!$A$62*(0.5*12.73)</f>
        <v>269.5</v>
      </c>
      <c r="AL90" s="55">
        <f>'LINEST VARS'!$U$62+'LINEST VARS'!$T$62*($AL$80)+'LINEST VARS'!$S$62*($Z90)+'LINEST VARS'!$R$62*(4)+'LINEST VARS'!$Q$62*(0.5)+'LINEST VARS'!$P$62*(12.73)+'LINEST VARS'!$O$62*($AL$80^2)+'LINEST VARS'!$N$62*($Z90^2)+'LINEST VARS'!$M$62*(4^2)+'LINEST VARS'!$L$62*(0.5^2)+'LINEST VARS'!$K$62*(12.73^2)+'LINEST VARS'!$J$62*($AL$80*$Z90)+'LINEST VARS'!$I$62*($AL$80*4)+'LINEST VARS'!$H$62*($AL$80*0.5)+'LINEST VARS'!$G$62*($AL$80*12.73)+'LINEST VARS'!$F$62*($Z90*4)+'LINEST VARS'!$E$62*($Z90*0.5)+'LINEST VARS'!$D$62*($Z90*12.73)+'LINEST VARS'!$C$62*(4*0.5)+'LINEST VARS'!$B$62*(4*12.73)+'LINEST VARS'!$A$62*(0.5*12.73)</f>
        <v>269.49999999999994</v>
      </c>
      <c r="AM90" s="55">
        <f>'LINEST VARS'!$U$62+'LINEST VARS'!$T$62*($AM$80)+'LINEST VARS'!$S$62*($Z90)+'LINEST VARS'!$R$62*(4)+'LINEST VARS'!$Q$62*(0.5)+'LINEST VARS'!$P$62*(12.73)+'LINEST VARS'!$O$62*($AM$80^2)+'LINEST VARS'!$N$62*($Z90^2)+'LINEST VARS'!$M$62*(4^2)+'LINEST VARS'!$L$62*(0.5^2)+'LINEST VARS'!$K$62*(12.73^2)+'LINEST VARS'!$J$62*($AM$80*$Z90)+'LINEST VARS'!$I$62*($AM$80*4)+'LINEST VARS'!$H$62*($AM$80*0.5)+'LINEST VARS'!$G$62*($AM$80*12.73)+'LINEST VARS'!$F$62*($Z90*4)+'LINEST VARS'!$E$62*($Z90*0.5)+'LINEST VARS'!$D$62*($Z90*12.73)+'LINEST VARS'!$C$62*(4*0.5)+'LINEST VARS'!$B$62*(4*12.73)+'LINEST VARS'!$A$62*(0.5*12.73)</f>
        <v>269.5</v>
      </c>
      <c r="AN90" s="55">
        <f>'LINEST VARS'!$U$62+'LINEST VARS'!$T$62*($AN$80)+'LINEST VARS'!$S$62*($Z90)+'LINEST VARS'!$R$62*(4)+'LINEST VARS'!$Q$62*(0.5)+'LINEST VARS'!$P$62*(12.73)+'LINEST VARS'!$O$62*($AN$80^2)+'LINEST VARS'!$N$62*($Z90^2)+'LINEST VARS'!$M$62*(4^2)+'LINEST VARS'!$L$62*(0.5^2)+'LINEST VARS'!$K$62*(12.73^2)+'LINEST VARS'!$J$62*($AN$80*$Z90)+'LINEST VARS'!$I$62*($AN$80*4)+'LINEST VARS'!$H$62*($AN$80*0.5)+'LINEST VARS'!$G$62*($AN$80*12.73)+'LINEST VARS'!$F$62*($Z90*4)+'LINEST VARS'!$E$62*($Z90*0.5)+'LINEST VARS'!$D$62*($Z90*12.73)+'LINEST VARS'!$C$62*(4*0.5)+'LINEST VARS'!$B$62*(4*12.73)+'LINEST VARS'!$A$62*(0.5*12.73)</f>
        <v>269.5</v>
      </c>
      <c r="AO90" s="55">
        <f>'LINEST VARS'!$U$62+'LINEST VARS'!$T$62*($AO$80)+'LINEST VARS'!$S$62*($Z90)+'LINEST VARS'!$R$62*(4)+'LINEST VARS'!$Q$62*(0.5)+'LINEST VARS'!$P$62*(12.73)+'LINEST VARS'!$O$62*($AO$80^2)+'LINEST VARS'!$N$62*($Z90^2)+'LINEST VARS'!$M$62*(4^2)+'LINEST VARS'!$L$62*(0.5^2)+'LINEST VARS'!$K$62*(12.73^2)+'LINEST VARS'!$J$62*($AO$80*$Z90)+'LINEST VARS'!$I$62*($AO$80*4)+'LINEST VARS'!$H$62*($AO$80*0.5)+'LINEST VARS'!$G$62*($AO$80*12.73)+'LINEST VARS'!$F$62*($Z90*4)+'LINEST VARS'!$E$62*($Z90*0.5)+'LINEST VARS'!$D$62*($Z90*12.73)+'LINEST VARS'!$C$62*(4*0.5)+'LINEST VARS'!$B$62*(4*12.73)+'LINEST VARS'!$A$62*(0.5*12.73)</f>
        <v>269.5</v>
      </c>
      <c r="AP90" s="55">
        <f>'LINEST VARS'!$U$62+'LINEST VARS'!$T$62*($AP$80)+'LINEST VARS'!$S$62*($Z90)+'LINEST VARS'!$R$62*(4)+'LINEST VARS'!$Q$62*(0.5)+'LINEST VARS'!$P$62*(12.73)+'LINEST VARS'!$O$62*($AP$80^2)+'LINEST VARS'!$N$62*($Z90^2)+'LINEST VARS'!$M$62*(4^2)+'LINEST VARS'!$L$62*(0.5^2)+'LINEST VARS'!$K$62*(12.73^2)+'LINEST VARS'!$J$62*($AP$80*$Z90)+'LINEST VARS'!$I$62*($AP$80*4)+'LINEST VARS'!$H$62*($AP$80*0.5)+'LINEST VARS'!$G$62*($AP$80*12.73)+'LINEST VARS'!$F$62*($Z90*4)+'LINEST VARS'!$E$62*($Z90*0.5)+'LINEST VARS'!$D$62*($Z90*12.73)+'LINEST VARS'!$C$62*(4*0.5)+'LINEST VARS'!$B$62*(4*12.73)+'LINEST VARS'!$A$62*(0.5*12.73)</f>
        <v>269.5</v>
      </c>
      <c r="AQ90" s="55">
        <f>'LINEST VARS'!$U$62+'LINEST VARS'!$T$62*($AQ$80)+'LINEST VARS'!$S$62*($Z90)+'LINEST VARS'!$R$62*(4)+'LINEST VARS'!$Q$62*(0.5)+'LINEST VARS'!$P$62*(12.73)+'LINEST VARS'!$O$62*($AQ$80^2)+'LINEST VARS'!$N$62*($Z90^2)+'LINEST VARS'!$M$62*(4^2)+'LINEST VARS'!$L$62*(0.5^2)+'LINEST VARS'!$K$62*(12.73^2)+'LINEST VARS'!$J$62*($AQ$80*$Z90)+'LINEST VARS'!$I$62*($AQ$80*4)+'LINEST VARS'!$H$62*($AQ$80*0.5)+'LINEST VARS'!$G$62*($AQ$80*12.73)+'LINEST VARS'!$F$62*($Z90*4)+'LINEST VARS'!$E$62*($Z90*0.5)+'LINEST VARS'!$D$62*($Z90*12.73)+'LINEST VARS'!$C$62*(4*0.5)+'LINEST VARS'!$B$62*(4*12.73)+'LINEST VARS'!$A$62*(0.5*12.73)</f>
        <v>269.49999999999994</v>
      </c>
      <c r="AR90" s="55">
        <f>'LINEST VARS'!$U$62+'LINEST VARS'!$T$62*($AR$80)+'LINEST VARS'!$S$62*($Z90)+'LINEST VARS'!$R$62*(4)+'LINEST VARS'!$Q$62*(0.5)+'LINEST VARS'!$P$62*(12.73)+'LINEST VARS'!$O$62*($AR$80^2)+'LINEST VARS'!$N$62*($Z90^2)+'LINEST VARS'!$M$62*(4^2)+'LINEST VARS'!$L$62*(0.5^2)+'LINEST VARS'!$K$62*(12.73^2)+'LINEST VARS'!$J$62*($AR$80*$Z90)+'LINEST VARS'!$I$62*($AR$80*4)+'LINEST VARS'!$H$62*($AR$80*0.5)+'LINEST VARS'!$G$62*($AR$80*12.73)+'LINEST VARS'!$F$62*($Z90*4)+'LINEST VARS'!$E$62*($Z90*0.5)+'LINEST VARS'!$D$62*($Z90*12.73)+'LINEST VARS'!$C$62*(4*0.5)+'LINEST VARS'!$B$62*(4*12.73)+'LINEST VARS'!$A$62*(0.5*12.73)</f>
        <v>269.50000000000006</v>
      </c>
      <c r="AS90" s="55">
        <f>'LINEST VARS'!$U$62+'LINEST VARS'!$T$62*($AS$80)+'LINEST VARS'!$S$62*($Z90)+'LINEST VARS'!$R$62*(4)+'LINEST VARS'!$Q$62*(0.5)+'LINEST VARS'!$P$62*(12.73)+'LINEST VARS'!$O$62*($AS$80^2)+'LINEST VARS'!$N$62*($Z90^2)+'LINEST VARS'!$M$62*(4^2)+'LINEST VARS'!$L$62*(0.5^2)+'LINEST VARS'!$K$62*(12.73^2)+'LINEST VARS'!$J$62*($AS$80*$Z90)+'LINEST VARS'!$I$62*($AS$80*4)+'LINEST VARS'!$H$62*($AS$80*0.5)+'LINEST VARS'!$G$62*($AS$80*12.73)+'LINEST VARS'!$F$62*($Z90*4)+'LINEST VARS'!$E$62*($Z90*0.5)+'LINEST VARS'!$D$62*($Z90*12.73)+'LINEST VARS'!$C$62*(4*0.5)+'LINEST VARS'!$B$62*(4*12.73)+'LINEST VARS'!$A$62*(0.5*12.73)</f>
        <v>269.5</v>
      </c>
      <c r="AT90" s="55">
        <f>'LINEST VARS'!$U$62+'LINEST VARS'!$T$62*($AT$80)+'LINEST VARS'!$S$62*($Z90)+'LINEST VARS'!$R$62*(4)+'LINEST VARS'!$Q$62*(0.5)+'LINEST VARS'!$P$62*(12.73)+'LINEST VARS'!$O$62*($AT$80^2)+'LINEST VARS'!$N$62*($Z90^2)+'LINEST VARS'!$M$62*(4^2)+'LINEST VARS'!$L$62*(0.5^2)+'LINEST VARS'!$K$62*(12.73^2)+'LINEST VARS'!$J$62*($AT$80*$Z90)+'LINEST VARS'!$I$62*($AT$80*4)+'LINEST VARS'!$H$62*($AT$80*0.5)+'LINEST VARS'!$G$62*($AT$80*12.73)+'LINEST VARS'!$F$62*($Z90*4)+'LINEST VARS'!$E$62*($Z90*0.5)+'LINEST VARS'!$D$62*($Z90*12.73)+'LINEST VARS'!$C$62*(4*0.5)+'LINEST VARS'!$B$62*(4*12.73)+'LINEST VARS'!$A$62*(0.5*12.73)</f>
        <v>269.5</v>
      </c>
      <c r="AU90" s="56">
        <f>'LINEST VARS'!$U$62+'LINEST VARS'!$T$62*($AU$80)+'LINEST VARS'!$S$62*($Z90)+'LINEST VARS'!$R$62*(4)+'LINEST VARS'!$Q$62*(0.5)+'LINEST VARS'!$P$62*(12.73)+'LINEST VARS'!$O$62*($AU$80^2)+'LINEST VARS'!$N$62*($Z90^2)+'LINEST VARS'!$M$62*(4^2)+'LINEST VARS'!$L$62*(0.5^2)+'LINEST VARS'!$K$62*(12.73^2)+'LINEST VARS'!$J$62*($AU$80*$Z90)+'LINEST VARS'!$I$62*($AU$80*4)+'LINEST VARS'!$H$62*($AU$80*0.5)+'LINEST VARS'!$G$62*($AU$80*12.73)+'LINEST VARS'!$F$62*($Z90*4)+'LINEST VARS'!$E$62*($Z90*0.5)+'LINEST VARS'!$D$62*($Z90*12.73)+'LINEST VARS'!$C$62*(4*0.5)+'LINEST VARS'!$B$62*(4*12.73)+'LINEST VARS'!$A$62*(0.5*12.73)</f>
        <v>269.50000000000006</v>
      </c>
      <c r="AZ90" s="45">
        <v>0.45</v>
      </c>
      <c r="BA90" s="46">
        <f>'LINEST VARS'!$U$60+'LINEST VARS'!$T$60*(8)+'LINEST VARS'!$S$60*(8)+'LINEST VARS'!$R$60*($BA$80)+'LINEST VARS'!$Q$60*($AZ90)+'LINEST VARS'!$P$60*(12.73)+'LINEST VARS'!$O$60*(8^2)+'LINEST VARS'!$N$60*(8^2)+'LINEST VARS'!$M$60*($BA$80^2)+'LINEST VARS'!$L$60*($AZ90^2)+'LINEST VARS'!$K$60*(12.73^2)+'LINEST VARS'!$J$60*(8*8)+'LINEST VARS'!$I$60*(8*$BA$80)+'LINEST VARS'!$H$60*(8*$AZ90)+'LINEST VARS'!$G$60*(8*12.73)+'LINEST VARS'!$F$60*(8*$BA$80)+'LINEST VARS'!$E$60*(8*$AZ90)+'LINEST VARS'!$D$60*(8*12.73)+'LINEST VARS'!$C$60*($BA$80*$AZ90)+'LINEST VARS'!$B$60*($BA$80*12.73)+'LINEST VARS'!$A$60*($AZ90*12.73)</f>
        <v>40.46</v>
      </c>
      <c r="BB90" s="46">
        <f>'LINEST VARS'!$U$60+'LINEST VARS'!$T$60*(8)+'LINEST VARS'!$S$60*(8)+'LINEST VARS'!$R$60*($BB$80)+'LINEST VARS'!$Q$60*($AZ90)+'LINEST VARS'!$P$60*(12.73)+'LINEST VARS'!$O$60*(8^2)+'LINEST VARS'!$N$60*(8^2)+'LINEST VARS'!$M$60*($BB$80^2)+'LINEST VARS'!$L$60*($AZ90^2)+'LINEST VARS'!$K$60*(12.73^2)+'LINEST VARS'!$J$60*(8*8)+'LINEST VARS'!$I$60*(8*$BB$80)+'LINEST VARS'!$H$60*(8*$AZ90)+'LINEST VARS'!$G$60*(8*12.73)+'LINEST VARS'!$F$60*(8*$BB$80)+'LINEST VARS'!$E$60*(8*$AZ90)+'LINEST VARS'!$D$60*(8*12.73)+'LINEST VARS'!$C$60*($BB$80*$AZ90)+'LINEST VARS'!$B$60*($BB$80*12.73)+'LINEST VARS'!$A$60*($AZ90*12.73)</f>
        <v>40.460000000000008</v>
      </c>
      <c r="BC90" s="46">
        <f>'LINEST VARS'!$U$60+'LINEST VARS'!$T$60*(8)+'LINEST VARS'!$S$60*(8)+'LINEST VARS'!$R$60*($BC$80)+'LINEST VARS'!$Q$60*($AZ90)+'LINEST VARS'!$P$60*(12.73)+'LINEST VARS'!$O$60*(8^2)+'LINEST VARS'!$N$60*(8^2)+'LINEST VARS'!$M$60*($BC$80^2)+'LINEST VARS'!$L$60*($AZ90^2)+'LINEST VARS'!$K$60*(12.73^2)+'LINEST VARS'!$J$60*(8*8)+'LINEST VARS'!$I$60*(8*$BC$80)+'LINEST VARS'!$H$60*(8*$AZ90)+'LINEST VARS'!$G$60*(8*12.73)+'LINEST VARS'!$F$60*(8*$BC$80)+'LINEST VARS'!$E$60*(8*$AZ90)+'LINEST VARS'!$D$60*(8*12.73)+'LINEST VARS'!$C$60*($BC$80*$AZ90)+'LINEST VARS'!$B$60*($BC$80*12.73)+'LINEST VARS'!$A$60*($AZ90*12.73)</f>
        <v>40.460000000000008</v>
      </c>
      <c r="BD90" s="46">
        <f>'LINEST VARS'!$U$60+'LINEST VARS'!$T$60*(8)+'LINEST VARS'!$S$60*(8)+'LINEST VARS'!$R$60*($BD$80)+'LINEST VARS'!$Q$60*($AZ90)+'LINEST VARS'!$P$60*(12.73)+'LINEST VARS'!$O$60*(8^2)+'LINEST VARS'!$N$60*(8^2)+'LINEST VARS'!$M$60*($BD$80^2)+'LINEST VARS'!$L$60*($AZ90^2)+'LINEST VARS'!$K$60*(12.73^2)+'LINEST VARS'!$J$60*(8*8)+'LINEST VARS'!$I$60*(8*$BD$80)+'LINEST VARS'!$H$60*(8*$AZ90)+'LINEST VARS'!$G$60*(8*12.73)+'LINEST VARS'!$F$60*(8*$BD$80)+'LINEST VARS'!$E$60*(8*$AZ90)+'LINEST VARS'!$D$60*(8*12.73)+'LINEST VARS'!$C$60*($BD$80*$AZ90)+'LINEST VARS'!$B$60*($BD$80*12.73)+'LINEST VARS'!$A$60*($AZ90*12.73)</f>
        <v>40.460000000000008</v>
      </c>
      <c r="BE90" s="46">
        <f>'LINEST VARS'!$U$60+'LINEST VARS'!$T$60*(8)+'LINEST VARS'!$S$60*(8)+'LINEST VARS'!$R$60*($BE$80)+'LINEST VARS'!$Q$60*($AZ90)+'LINEST VARS'!$P$60*(12.73)+'LINEST VARS'!$O$60*(8^2)+'LINEST VARS'!$N$60*(8^2)+'LINEST VARS'!$M$60*($BE$80^2)+'LINEST VARS'!$L$60*($AZ90^2)+'LINEST VARS'!$K$60*(12.73^2)+'LINEST VARS'!$J$60*(8*8)+'LINEST VARS'!$I$60*(8*$BE$80)+'LINEST VARS'!$H$60*(8*$AZ90)+'LINEST VARS'!$G$60*(8*12.73)+'LINEST VARS'!$F$60*(8*$BE$80)+'LINEST VARS'!$E$60*(8*$AZ90)+'LINEST VARS'!$D$60*(8*12.73)+'LINEST VARS'!$C$60*($BE$80*$AZ90)+'LINEST VARS'!$B$60*($BE$80*12.73)+'LINEST VARS'!$A$60*($AZ90*12.73)</f>
        <v>40.460000000000008</v>
      </c>
      <c r="BF90" s="46">
        <f>'LINEST VARS'!$U$60+'LINEST VARS'!$T$60*(8)+'LINEST VARS'!$S$60*(8)+'LINEST VARS'!$R$60*($BF$80)+'LINEST VARS'!$Q$60*($AZ90)+'LINEST VARS'!$P$60*(12.73)+'LINEST VARS'!$O$60*(8^2)+'LINEST VARS'!$N$60*(8^2)+'LINEST VARS'!$M$60*($BF$80^2)+'LINEST VARS'!$L$60*($AZ90^2)+'LINEST VARS'!$K$60*(12.73^2)+'LINEST VARS'!$J$60*(8*8)+'LINEST VARS'!$I$60*(8*$BF$80)+'LINEST VARS'!$H$60*(8*$AZ90)+'LINEST VARS'!$G$60*(8*12.73)+'LINEST VARS'!$F$60*(8*$BF$80)+'LINEST VARS'!$E$60*(8*$AZ90)+'LINEST VARS'!$D$60*(8*12.73)+'LINEST VARS'!$C$60*($BF$80*$AZ90)+'LINEST VARS'!$B$60*($BF$80*12.73)+'LINEST VARS'!$A$60*($AZ90*12.73)</f>
        <v>40.46</v>
      </c>
      <c r="BG90" s="46">
        <f>'LINEST VARS'!$U$60+'LINEST VARS'!$T$60*(8)+'LINEST VARS'!$S$60*(8)+'LINEST VARS'!$R$60*($BG$80)+'LINEST VARS'!$Q$60*($AZ90)+'LINEST VARS'!$P$60*(12.73)+'LINEST VARS'!$O$60*(8^2)+'LINEST VARS'!$N$60*(8^2)+'LINEST VARS'!$M$60*($BG$80^2)+'LINEST VARS'!$L$60*($AZ90^2)+'LINEST VARS'!$K$60*(12.73^2)+'LINEST VARS'!$J$60*(8*8)+'LINEST VARS'!$I$60*(8*$BG$80)+'LINEST VARS'!$H$60*(8*$AZ90)+'LINEST VARS'!$G$60*(8*12.73)+'LINEST VARS'!$F$60*(8*$BG$80)+'LINEST VARS'!$E$60*(8*$AZ90)+'LINEST VARS'!$D$60*(8*12.73)+'LINEST VARS'!$C$60*($BG$80*$AZ90)+'LINEST VARS'!$B$60*($BG$80*12.73)+'LINEST VARS'!$A$60*($AZ90*12.73)</f>
        <v>40.46</v>
      </c>
      <c r="BH90" s="46">
        <f>'LINEST VARS'!$U$60+'LINEST VARS'!$T$60*(8)+'LINEST VARS'!$S$60*(8)+'LINEST VARS'!$R$60*($BH$80)+'LINEST VARS'!$Q$60*($AZ90)+'LINEST VARS'!$P$60*(12.73)+'LINEST VARS'!$O$60*(8^2)+'LINEST VARS'!$N$60*(8^2)+'LINEST VARS'!$M$60*($BH$80^2)+'LINEST VARS'!$L$60*($AZ90^2)+'LINEST VARS'!$K$60*(12.73^2)+'LINEST VARS'!$J$60*(8*8)+'LINEST VARS'!$I$60*(8*$BH$80)+'LINEST VARS'!$H$60*(8*$AZ90)+'LINEST VARS'!$G$60*(8*12.73)+'LINEST VARS'!$F$60*(8*$BH$80)+'LINEST VARS'!$E$60*(8*$AZ90)+'LINEST VARS'!$D$60*(8*12.73)+'LINEST VARS'!$C$60*($BH$80*$AZ90)+'LINEST VARS'!$B$60*($BH$80*12.73)+'LINEST VARS'!$A$60*($AZ90*12.73)</f>
        <v>40.46</v>
      </c>
      <c r="BI90" s="46">
        <f>'LINEST VARS'!$U$60+'LINEST VARS'!$T$60*(8)+'LINEST VARS'!$S$60*(8)+'LINEST VARS'!$R$60*($BI$80)+'LINEST VARS'!$Q$60*($AZ90)+'LINEST VARS'!$P$60*(12.73)+'LINEST VARS'!$O$60*(8^2)+'LINEST VARS'!$N$60*(8^2)+'LINEST VARS'!$M$60*($BI$80^2)+'LINEST VARS'!$L$60*($AZ90^2)+'LINEST VARS'!$K$60*(12.73^2)+'LINEST VARS'!$J$60*(8*8)+'LINEST VARS'!$I$60*(8*$BI$80)+'LINEST VARS'!$H$60*(8*$AZ90)+'LINEST VARS'!$G$60*(8*12.73)+'LINEST VARS'!$F$60*(8*$BI$80)+'LINEST VARS'!$E$60*(8*$AZ90)+'LINEST VARS'!$D$60*(8*12.73)+'LINEST VARS'!$C$60*($BI$80*$AZ90)+'LINEST VARS'!$B$60*($BI$80*12.73)+'LINEST VARS'!$A$60*($AZ90*12.73)</f>
        <v>40.460000000000008</v>
      </c>
      <c r="BJ90" s="46">
        <f>'LINEST VARS'!$U$60+'LINEST VARS'!$T$60*(8)+'LINEST VARS'!$S$60*(8)+'LINEST VARS'!$R$60*($BJ$80)+'LINEST VARS'!$Q$60*($AZ90)+'LINEST VARS'!$P$60*(12.73)+'LINEST VARS'!$O$60*(8^2)+'LINEST VARS'!$N$60*(8^2)+'LINEST VARS'!$M$60*($BJ$80^2)+'LINEST VARS'!$L$60*($AZ90^2)+'LINEST VARS'!$K$60*(12.73^2)+'LINEST VARS'!$J$60*(8*8)+'LINEST VARS'!$I$60*(8*$BJ$80)+'LINEST VARS'!$H$60*(8*$AZ90)+'LINEST VARS'!$G$60*(8*12.73)+'LINEST VARS'!$F$60*(8*$BJ$80)+'LINEST VARS'!$E$60*(8*$AZ90)+'LINEST VARS'!$D$60*(8*12.73)+'LINEST VARS'!$C$60*($BJ$80*$AZ90)+'LINEST VARS'!$B$60*($BJ$80*12.73)+'LINEST VARS'!$A$60*($AZ90*12.73)</f>
        <v>40.460000000000008</v>
      </c>
      <c r="BK90" s="46">
        <f>'LINEST VARS'!$U$60+'LINEST VARS'!$T$60*(8)+'LINEST VARS'!$S$60*(8)+'LINEST VARS'!$R$60*($BK$80)+'LINEST VARS'!$Q$60*($AZ90)+'LINEST VARS'!$P$60*(12.73)+'LINEST VARS'!$O$60*(8^2)+'LINEST VARS'!$N$60*(8^2)+'LINEST VARS'!$M$60*($BK$80^2)+'LINEST VARS'!$L$60*($AZ90^2)+'LINEST VARS'!$K$60*(12.73^2)+'LINEST VARS'!$J$60*(8*8)+'LINEST VARS'!$I$60*(8*$BK$80)+'LINEST VARS'!$H$60*(8*$AZ90)+'LINEST VARS'!$G$60*(8*12.73)+'LINEST VARS'!$F$60*(8*$BK$80)+'LINEST VARS'!$E$60*(8*$AZ90)+'LINEST VARS'!$D$60*(8*12.73)+'LINEST VARS'!$C$60*($BK$80*$AZ90)+'LINEST VARS'!$B$60*($BK$80*12.73)+'LINEST VARS'!$A$60*($AZ90*12.73)</f>
        <v>40.460000000000008</v>
      </c>
      <c r="BL90" s="46">
        <f>'LINEST VARS'!$U$60+'LINEST VARS'!$T$60*(8)+'LINEST VARS'!$S$60*(8)+'LINEST VARS'!$R$60*($BL$80)+'LINEST VARS'!$Q$60*($AZ90)+'LINEST VARS'!$P$60*(12.73)+'LINEST VARS'!$O$60*(8^2)+'LINEST VARS'!$N$60*(8^2)+'LINEST VARS'!$M$60*($BL$80^2)+'LINEST VARS'!$L$60*($AZ90^2)+'LINEST VARS'!$K$60*(12.73^2)+'LINEST VARS'!$J$60*(8*8)+'LINEST VARS'!$I$60*(8*$BL$80)+'LINEST VARS'!$H$60*(8*$AZ90)+'LINEST VARS'!$G$60*(8*12.73)+'LINEST VARS'!$F$60*(8*$BL$80)+'LINEST VARS'!$E$60*(8*$AZ90)+'LINEST VARS'!$D$60*(8*12.73)+'LINEST VARS'!$C$60*($BL$80*$AZ90)+'LINEST VARS'!$B$60*($BL$80*12.73)+'LINEST VARS'!$A$60*($AZ90*12.73)</f>
        <v>40.460000000000008</v>
      </c>
      <c r="BM90" s="46">
        <f>'LINEST VARS'!$U$60+'LINEST VARS'!$T$60*(8)+'LINEST VARS'!$S$60*(8)+'LINEST VARS'!$R$60*($BM$80)+'LINEST VARS'!$Q$60*($AZ90)+'LINEST VARS'!$P$60*(12.73)+'LINEST VARS'!$O$60*(8^2)+'LINEST VARS'!$N$60*(8^2)+'LINEST VARS'!$M$60*($BM$80^2)+'LINEST VARS'!$L$60*($AZ90^2)+'LINEST VARS'!$K$60*(12.73^2)+'LINEST VARS'!$J$60*(8*8)+'LINEST VARS'!$I$60*(8*$BM$80)+'LINEST VARS'!$H$60*(8*$AZ90)+'LINEST VARS'!$G$60*(8*12.73)+'LINEST VARS'!$F$60*(8*$BM$80)+'LINEST VARS'!$E$60*(8*$AZ90)+'LINEST VARS'!$D$60*(8*12.73)+'LINEST VARS'!$C$60*($BM$80*$AZ90)+'LINEST VARS'!$B$60*($BM$80*12.73)+'LINEST VARS'!$A$60*($AZ90*12.73)</f>
        <v>40.460000000000008</v>
      </c>
      <c r="BN90" s="46">
        <f>'LINEST VARS'!$U$60+'LINEST VARS'!$T$60*(8)+'LINEST VARS'!$S$60*(8)+'LINEST VARS'!$R$60*($BN$80)+'LINEST VARS'!$Q$60*($AZ90)+'LINEST VARS'!$P$60*(12.73)+'LINEST VARS'!$O$60*(8^2)+'LINEST VARS'!$N$60*(8^2)+'LINEST VARS'!$M$60*($BN$80^2)+'LINEST VARS'!$L$60*($AZ90^2)+'LINEST VARS'!$K$60*(12.73^2)+'LINEST VARS'!$J$60*(8*8)+'LINEST VARS'!$I$60*(8*$BN$80)+'LINEST VARS'!$H$60*(8*$AZ90)+'LINEST VARS'!$G$60*(8*12.73)+'LINEST VARS'!$F$60*(8*$BN$80)+'LINEST VARS'!$E$60*(8*$AZ90)+'LINEST VARS'!$D$60*(8*12.73)+'LINEST VARS'!$C$60*($BN$80*$AZ90)+'LINEST VARS'!$B$60*($BN$80*12.73)+'LINEST VARS'!$A$60*($AZ90*12.73)</f>
        <v>40.46</v>
      </c>
      <c r="BO90" s="46">
        <f>'LINEST VARS'!$U$60+'LINEST VARS'!$T$60*(8)+'LINEST VARS'!$S$60*(8)+'LINEST VARS'!$R$60*($BO$80)+'LINEST VARS'!$Q$60*($AZ90)+'LINEST VARS'!$P$60*(12.73)+'LINEST VARS'!$O$60*(8^2)+'LINEST VARS'!$N$60*(8^2)+'LINEST VARS'!$M$60*($BO$80^2)+'LINEST VARS'!$L$60*($AZ90^2)+'LINEST VARS'!$K$60*(12.73^2)+'LINEST VARS'!$J$60*(8*8)+'LINEST VARS'!$I$60*(8*$BO$80)+'LINEST VARS'!$H$60*(8*$AZ90)+'LINEST VARS'!$G$60*(8*12.73)+'LINEST VARS'!$F$60*(8*$BO$80)+'LINEST VARS'!$E$60*(8*$AZ90)+'LINEST VARS'!$D$60*(8*12.73)+'LINEST VARS'!$C$60*($BO$80*$AZ90)+'LINEST VARS'!$B$60*($BO$80*12.73)+'LINEST VARS'!$A$60*($AZ90*12.73)</f>
        <v>40.46</v>
      </c>
      <c r="BP90" s="46">
        <f>'LINEST VARS'!$U$60+'LINEST VARS'!$T$60*(8)+'LINEST VARS'!$S$60*(8)+'LINEST VARS'!$R$60*($BP$80)+'LINEST VARS'!$Q$60*($AZ90)+'LINEST VARS'!$P$60*(12.73)+'LINEST VARS'!$O$60*(8^2)+'LINEST VARS'!$N$60*(8^2)+'LINEST VARS'!$M$60*($BP$80^2)+'LINEST VARS'!$L$60*($AZ90^2)+'LINEST VARS'!$K$60*(12.73^2)+'LINEST VARS'!$J$60*(8*8)+'LINEST VARS'!$I$60*(8*$BP$80)+'LINEST VARS'!$H$60*(8*$AZ90)+'LINEST VARS'!$G$60*(8*12.73)+'LINEST VARS'!$F$60*(8*$BP$80)+'LINEST VARS'!$E$60*(8*$AZ90)+'LINEST VARS'!$D$60*(8*12.73)+'LINEST VARS'!$C$60*($BP$80*$AZ90)+'LINEST VARS'!$B$60*($BP$80*12.73)+'LINEST VARS'!$A$60*($AZ90*12.73)</f>
        <v>40.460000000000008</v>
      </c>
      <c r="BQ90" s="46">
        <f>'LINEST VARS'!$U$60+'LINEST VARS'!$T$60*(8)+'LINEST VARS'!$S$60*(8)+'LINEST VARS'!$R$60*($BQ$80)+'LINEST VARS'!$Q$60*($AZ90)+'LINEST VARS'!$P$60*(12.73)+'LINEST VARS'!$O$60*(8^2)+'LINEST VARS'!$N$60*(8^2)+'LINEST VARS'!$M$60*($BQ$80^2)+'LINEST VARS'!$L$60*($AZ90^2)+'LINEST VARS'!$K$60*(12.73^2)+'LINEST VARS'!$J$60*(8*8)+'LINEST VARS'!$I$60*(8*$BQ$80)+'LINEST VARS'!$H$60*(8*$AZ90)+'LINEST VARS'!$G$60*(8*12.73)+'LINEST VARS'!$F$60*(8*$BQ$80)+'LINEST VARS'!$E$60*(8*$AZ90)+'LINEST VARS'!$D$60*(8*12.73)+'LINEST VARS'!$C$60*($BQ$80*$AZ90)+'LINEST VARS'!$B$60*($BQ$80*12.73)+'LINEST VARS'!$A$60*($AZ90*12.73)</f>
        <v>40.460000000000008</v>
      </c>
      <c r="BR90" s="46">
        <f>'LINEST VARS'!$U$60+'LINEST VARS'!$T$60*(8)+'LINEST VARS'!$S$60*(8)+'LINEST VARS'!$R$60*($BR$80)+'LINEST VARS'!$Q$60*($AZ90)+'LINEST VARS'!$P$60*(12.73)+'LINEST VARS'!$O$60*(8^2)+'LINEST VARS'!$N$60*(8^2)+'LINEST VARS'!$M$60*($BR$80^2)+'LINEST VARS'!$L$60*($AZ90^2)+'LINEST VARS'!$K$60*(12.73^2)+'LINEST VARS'!$J$60*(8*8)+'LINEST VARS'!$I$60*(8*$BR$80)+'LINEST VARS'!$H$60*(8*$AZ90)+'LINEST VARS'!$G$60*(8*12.73)+'LINEST VARS'!$F$60*(8*$BR$80)+'LINEST VARS'!$E$60*(8*$AZ90)+'LINEST VARS'!$D$60*(8*12.73)+'LINEST VARS'!$C$60*($BR$80*$AZ90)+'LINEST VARS'!$B$60*($BR$80*12.73)+'LINEST VARS'!$A$60*($AZ90*12.73)</f>
        <v>40.460000000000008</v>
      </c>
      <c r="BS90" s="46">
        <f>'LINEST VARS'!$U$60+'LINEST VARS'!$T$60*(8)+'LINEST VARS'!$S$60*(8)+'LINEST VARS'!$R$60*($BS$80)+'LINEST VARS'!$Q$60*($AZ90)+'LINEST VARS'!$P$60*(12.73)+'LINEST VARS'!$O$60*(8^2)+'LINEST VARS'!$N$60*(8^2)+'LINEST VARS'!$M$60*($BS$80^2)+'LINEST VARS'!$L$60*($AZ90^2)+'LINEST VARS'!$K$60*(12.73^2)+'LINEST VARS'!$J$60*(8*8)+'LINEST VARS'!$I$60*(8*$BS$80)+'LINEST VARS'!$H$60*(8*$AZ90)+'LINEST VARS'!$G$60*(8*12.73)+'LINEST VARS'!$F$60*(8*$BS$80)+'LINEST VARS'!$E$60*(8*$AZ90)+'LINEST VARS'!$D$60*(8*12.73)+'LINEST VARS'!$C$60*($BS$80*$AZ90)+'LINEST VARS'!$B$60*($BS$80*12.73)+'LINEST VARS'!$A$60*($AZ90*12.73)</f>
        <v>40.460000000000008</v>
      </c>
      <c r="BT90" s="46">
        <f>'LINEST VARS'!$U$60+'LINEST VARS'!$T$60*(8)+'LINEST VARS'!$S$60*(8)+'LINEST VARS'!$R$60*($BT$80)+'LINEST VARS'!$Q$60*($AZ90)+'LINEST VARS'!$P$60*(12.73)+'LINEST VARS'!$O$60*(8^2)+'LINEST VARS'!$N$60*(8^2)+'LINEST VARS'!$M$60*($BT$80^2)+'LINEST VARS'!$L$60*($AZ90^2)+'LINEST VARS'!$K$60*(12.73^2)+'LINEST VARS'!$J$60*(8*8)+'LINEST VARS'!$I$60*(8*$BT$80)+'LINEST VARS'!$H$60*(8*$AZ90)+'LINEST VARS'!$G$60*(8*12.73)+'LINEST VARS'!$F$60*(8*$BT$80)+'LINEST VARS'!$E$60*(8*$AZ90)+'LINEST VARS'!$D$60*(8*12.73)+'LINEST VARS'!$C$60*($BT$80*$AZ90)+'LINEST VARS'!$B$60*($BT$80*12.73)+'LINEST VARS'!$A$60*($AZ90*12.73)</f>
        <v>40.460000000000008</v>
      </c>
      <c r="BU90" s="47">
        <f>'LINEST VARS'!$U$60+'LINEST VARS'!$T$60*(8)+'LINEST VARS'!$S$60*(8)+'LINEST VARS'!$R$60*($BU$80)+'LINEST VARS'!$Q$60*($AZ90)+'LINEST VARS'!$P$60*(12.73)+'LINEST VARS'!$O$60*(8^2)+'LINEST VARS'!$N$60*(8^2)+'LINEST VARS'!$M$60*($BU$80^2)+'LINEST VARS'!$L$60*($AZ90^2)+'LINEST VARS'!$K$60*(12.73^2)+'LINEST VARS'!$J$60*(8*8)+'LINEST VARS'!$I$60*(8*$BU$80)+'LINEST VARS'!$H$60*(8*$AZ90)+'LINEST VARS'!$G$60*(8*12.73)+'LINEST VARS'!$F$60*(8*$BU$80)+'LINEST VARS'!$E$60*(8*$AZ90)+'LINEST VARS'!$D$60*(8*12.73)+'LINEST VARS'!$C$60*($BU$80*$AZ90)+'LINEST VARS'!$B$60*($BU$80*12.73)+'LINEST VARS'!$A$60*($AZ90*12.73)</f>
        <v>40.460000000000008</v>
      </c>
      <c r="BX90" s="45">
        <v>0.45</v>
      </c>
      <c r="BY90" s="55">
        <f>'LINEST VARS'!$U$62+'LINEST VARS'!$T$62*(8)+'LINEST VARS'!$S$62*(8)+'LINEST VARS'!$R$62*($BY$80)+'LINEST VARS'!$Q$62*($BX90)+'LINEST VARS'!$P$62*(12.73)+'LINEST VARS'!$O$62*(8^2)+'LINEST VARS'!$N$62*(8^2)+'LINEST VARS'!$M$62*($BY$80^2)+'LINEST VARS'!$L$62*($BX90^2)+'LINEST VARS'!$K$62*(12.73^2)+'LINEST VARS'!$J$62*(8*8)+'LINEST VARS'!$I$62*(8*$BY$80)+'LINEST VARS'!$H$62*(8*$BX90)+'LINEST VARS'!$G$62*(8*12.73)+'LINEST VARS'!$F$62*(8*$BY$80)+'LINEST VARS'!$E$62*(8*$BX90)+'LINEST VARS'!$D$62*(8*12.73)+'LINEST VARS'!$C$62*($BY$80*$BX90)+'LINEST VARS'!$B$62*($BY$80*12.73)+'LINEST VARS'!$A$62*($BX90*12.73)</f>
        <v>349.59499999999991</v>
      </c>
      <c r="BZ90" s="55">
        <f>'LINEST VARS'!$U$62+'LINEST VARS'!$T$62*(8)+'LINEST VARS'!$S$62*(8)+'LINEST VARS'!$R$62*($BZ$80)+'LINEST VARS'!$Q$62*($BX90)+'LINEST VARS'!$P$62*(12.73)+'LINEST VARS'!$O$62*(8^2)+'LINEST VARS'!$N$62*(8^2)+'LINEST VARS'!$M$62*($BZ$80^2)+'LINEST VARS'!$L$62*($BX90^2)+'LINEST VARS'!$K$62*(12.73^2)+'LINEST VARS'!$J$62*(8*8)+'LINEST VARS'!$I$62*(8*$BZ$80)+'LINEST VARS'!$H$62*(8*$BX90)+'LINEST VARS'!$G$62*(8*12.73)+'LINEST VARS'!$F$62*(8*$BZ$80)+'LINEST VARS'!$E$62*(8*$BX90)+'LINEST VARS'!$D$62*(8*12.73)+'LINEST VARS'!$C$62*($BZ$80*$BX90)+'LINEST VARS'!$B$62*($BZ$80*12.73)+'LINEST VARS'!$A$62*($BX90*12.73)</f>
        <v>348.79499999999996</v>
      </c>
      <c r="CA90" s="55">
        <f>'LINEST VARS'!$U$62+'LINEST VARS'!$T$62*(8)+'LINEST VARS'!$S$62*(8)+'LINEST VARS'!$R$62*($CA$80)+'LINEST VARS'!$Q$62*($BX90)+'LINEST VARS'!$P$62*(12.73)+'LINEST VARS'!$O$62*(8^2)+'LINEST VARS'!$N$62*(8^2)+'LINEST VARS'!$M$62*($CA$80^2)+'LINEST VARS'!$L$62*($BX90^2)+'LINEST VARS'!$K$62*(12.73^2)+'LINEST VARS'!$J$62*(8*8)+'LINEST VARS'!$I$62*(8*$CA$80)+'LINEST VARS'!$H$62*(8*$BX90)+'LINEST VARS'!$G$62*(8*12.73)+'LINEST VARS'!$F$62*(8*$CA$80)+'LINEST VARS'!$E$62*(8*$BX90)+'LINEST VARS'!$D$62*(8*12.73)+'LINEST VARS'!$C$62*($CA$80*$BX90)+'LINEST VARS'!$B$62*($CA$80*12.73)+'LINEST VARS'!$A$62*($BX90*12.73)</f>
        <v>346.39499999999987</v>
      </c>
      <c r="CB90" s="55">
        <f>'LINEST VARS'!$U$62+'LINEST VARS'!$T$62*(8)+'LINEST VARS'!$S$62*(8)+'LINEST VARS'!$R$62*($CB$80)+'LINEST VARS'!$Q$62*($BX90)+'LINEST VARS'!$P$62*(12.73)+'LINEST VARS'!$O$62*(8^2)+'LINEST VARS'!$N$62*(8^2)+'LINEST VARS'!$M$62*($CB$80^2)+'LINEST VARS'!$L$62*($BX90^2)+'LINEST VARS'!$K$62*(12.73^2)+'LINEST VARS'!$J$62*(8*8)+'LINEST VARS'!$I$62*(8*$CB$80)+'LINEST VARS'!$H$62*(8*$BX90)+'LINEST VARS'!$G$62*(8*12.73)+'LINEST VARS'!$F$62*(8*$CB$80)+'LINEST VARS'!$E$62*(8*$BX90)+'LINEST VARS'!$D$62*(8*12.73)+'LINEST VARS'!$C$62*($CB$80*$BX90)+'LINEST VARS'!$B$62*($CB$80*12.73)+'LINEST VARS'!$A$62*($BX90*12.73)</f>
        <v>342.39499999999992</v>
      </c>
      <c r="CC90" s="55">
        <f>'LINEST VARS'!$U$62+'LINEST VARS'!$T$62*(8)+'LINEST VARS'!$S$62*(8)+'LINEST VARS'!$R$62*($CC$80)+'LINEST VARS'!$Q$62*($BX90)+'LINEST VARS'!$P$62*(12.73)+'LINEST VARS'!$O$62*(8^2)+'LINEST VARS'!$N$62*(8^2)+'LINEST VARS'!$M$62*($CC$80^2)+'LINEST VARS'!$L$62*($BX90^2)+'LINEST VARS'!$K$62*(12.73^2)+'LINEST VARS'!$J$62*(8*8)+'LINEST VARS'!$I$62*(8*$CC$80)+'LINEST VARS'!$H$62*(8*$BX90)+'LINEST VARS'!$G$62*(8*12.73)+'LINEST VARS'!$F$62*(8*$CC$80)+'LINEST VARS'!$E$62*(8*$BX90)+'LINEST VARS'!$D$62*(8*12.73)+'LINEST VARS'!$C$62*($CC$80*$BX90)+'LINEST VARS'!$B$62*($CC$80*12.73)+'LINEST VARS'!$A$62*($BX90*12.73)</f>
        <v>336.79499999999996</v>
      </c>
      <c r="CD90" s="55">
        <f>'LINEST VARS'!$U$62+'LINEST VARS'!$T$62*(8)+'LINEST VARS'!$S$62*(8)+'LINEST VARS'!$R$62*($CD$80)+'LINEST VARS'!$Q$62*($BX90)+'LINEST VARS'!$P$62*(12.73)+'LINEST VARS'!$O$62*(8^2)+'LINEST VARS'!$N$62*(8^2)+'LINEST VARS'!$M$62*($CD$80^2)+'LINEST VARS'!$L$62*($BX90^2)+'LINEST VARS'!$K$62*(12.73^2)+'LINEST VARS'!$J$62*(8*8)+'LINEST VARS'!$I$62*(8*$CD$80)+'LINEST VARS'!$H$62*(8*$BX90)+'LINEST VARS'!$G$62*(8*12.73)+'LINEST VARS'!$F$62*(8*$CD$80)+'LINEST VARS'!$E$62*(8*$BX90)+'LINEST VARS'!$D$62*(8*12.73)+'LINEST VARS'!$C$62*($CD$80*$BX90)+'LINEST VARS'!$B$62*($CD$80*12.73)+'LINEST VARS'!$A$62*($BX90*12.73)</f>
        <v>329.59500000000003</v>
      </c>
      <c r="CE90" s="55">
        <f>'LINEST VARS'!$U$62+'LINEST VARS'!$T$62*(8)+'LINEST VARS'!$S$62*(8)+'LINEST VARS'!$R$62*($CE$80)+'LINEST VARS'!$Q$62*($BX90)+'LINEST VARS'!$P$62*(12.73)+'LINEST VARS'!$O$62*(8^2)+'LINEST VARS'!$N$62*(8^2)+'LINEST VARS'!$M$62*($CE$80^2)+'LINEST VARS'!$L$62*($BX90^2)+'LINEST VARS'!$K$62*(12.73^2)+'LINEST VARS'!$J$62*(8*8)+'LINEST VARS'!$I$62*(8*$CE$80)+'LINEST VARS'!$H$62*(8*$BX90)+'LINEST VARS'!$G$62*(8*12.73)+'LINEST VARS'!$F$62*(8*$CE$80)+'LINEST VARS'!$E$62*(8*$BX90)+'LINEST VARS'!$D$62*(8*12.73)+'LINEST VARS'!$C$62*($CE$80*$BX90)+'LINEST VARS'!$B$62*($CE$80*12.73)+'LINEST VARS'!$A$62*($BX90*12.73)</f>
        <v>320.79499999999996</v>
      </c>
      <c r="CF90" s="55">
        <f>'LINEST VARS'!$U$62+'LINEST VARS'!$T$62*(8)+'LINEST VARS'!$S$62*(8)+'LINEST VARS'!$R$62*($CF$80)+'LINEST VARS'!$Q$62*($BX90)+'LINEST VARS'!$P$62*(12.73)+'LINEST VARS'!$O$62*(8^2)+'LINEST VARS'!$N$62*(8^2)+'LINEST VARS'!$M$62*($CF$80^2)+'LINEST VARS'!$L$62*($BX90^2)+'LINEST VARS'!$K$62*(12.73^2)+'LINEST VARS'!$J$62*(8*8)+'LINEST VARS'!$I$62*(8*$CF$80)+'LINEST VARS'!$H$62*(8*$BX90)+'LINEST VARS'!$G$62*(8*12.73)+'LINEST VARS'!$F$62*(8*$CF$80)+'LINEST VARS'!$E$62*(8*$BX90)+'LINEST VARS'!$D$62*(8*12.73)+'LINEST VARS'!$C$62*($CF$80*$BX90)+'LINEST VARS'!$B$62*($CF$80*12.73)+'LINEST VARS'!$A$62*($BX90*12.73)</f>
        <v>310.39499999999998</v>
      </c>
      <c r="CG90" s="55">
        <f>'LINEST VARS'!$U$62+'LINEST VARS'!$T$62*(8)+'LINEST VARS'!$S$62*(8)+'LINEST VARS'!$R$62*($CG$80)+'LINEST VARS'!$Q$62*($BX90)+'LINEST VARS'!$P$62*(12.73)+'LINEST VARS'!$O$62*(8^2)+'LINEST VARS'!$N$62*(8^2)+'LINEST VARS'!$M$62*($CG$80^2)+'LINEST VARS'!$L$62*($BX90^2)+'LINEST VARS'!$K$62*(12.73^2)+'LINEST VARS'!$J$62*(8*8)+'LINEST VARS'!$I$62*(8*$CG$80)+'LINEST VARS'!$H$62*(8*$BX90)+'LINEST VARS'!$G$62*(8*12.73)+'LINEST VARS'!$F$62*(8*$CG$80)+'LINEST VARS'!$E$62*(8*$BX90)+'LINEST VARS'!$D$62*(8*12.73)+'LINEST VARS'!$C$62*($CG$80*$BX90)+'LINEST VARS'!$B$62*($CG$80*12.73)+'LINEST VARS'!$A$62*($BX90*12.73)</f>
        <v>298.39499999999998</v>
      </c>
      <c r="CH90" s="55">
        <f>'LINEST VARS'!$U$62+'LINEST VARS'!$T$62*(8)+'LINEST VARS'!$S$62*(8)+'LINEST VARS'!$R$62*($CH$80)+'LINEST VARS'!$Q$62*($BX90)+'LINEST VARS'!$P$62*(12.73)+'LINEST VARS'!$O$62*(8^2)+'LINEST VARS'!$N$62*(8^2)+'LINEST VARS'!$M$62*($CH$80^2)+'LINEST VARS'!$L$62*($BX90^2)+'LINEST VARS'!$K$62*(12.73^2)+'LINEST VARS'!$J$62*(8*8)+'LINEST VARS'!$I$62*(8*$CH$80)+'LINEST VARS'!$H$62*(8*$BX90)+'LINEST VARS'!$G$62*(8*12.73)+'LINEST VARS'!$F$62*(8*$CH$80)+'LINEST VARS'!$E$62*(8*$BX90)+'LINEST VARS'!$D$62*(8*12.73)+'LINEST VARS'!$C$62*($CH$80*$BX90)+'LINEST VARS'!$B$62*($CH$80*12.73)+'LINEST VARS'!$A$62*($BX90*12.73)</f>
        <v>284.79499999999996</v>
      </c>
      <c r="CI90" s="55">
        <f>'LINEST VARS'!$U$62+'LINEST VARS'!$T$62*(8)+'LINEST VARS'!$S$62*(8)+'LINEST VARS'!$R$62*($CI$80)+'LINEST VARS'!$Q$62*($BX90)+'LINEST VARS'!$P$62*(12.73)+'LINEST VARS'!$O$62*(8^2)+'LINEST VARS'!$N$62*(8^2)+'LINEST VARS'!$M$62*($CI$80^2)+'LINEST VARS'!$L$62*($BX90^2)+'LINEST VARS'!$K$62*(12.73^2)+'LINEST VARS'!$J$62*(8*8)+'LINEST VARS'!$I$62*(8*$CI$80)+'LINEST VARS'!$H$62*(8*$BX90)+'LINEST VARS'!$G$62*(8*12.73)+'LINEST VARS'!$F$62*(8*$CI$80)+'LINEST VARS'!$E$62*(8*$BX90)+'LINEST VARS'!$D$62*(8*12.73)+'LINEST VARS'!$C$62*($CI$80*$BX90)+'LINEST VARS'!$B$62*($CI$80*12.73)+'LINEST VARS'!$A$62*($BX90*12.73)</f>
        <v>269.59499999999997</v>
      </c>
      <c r="CJ90" s="55">
        <f>'LINEST VARS'!$U$62+'LINEST VARS'!$T$62*(8)+'LINEST VARS'!$S$62*(8)+'LINEST VARS'!$R$62*($CJ$80)+'LINEST VARS'!$Q$62*($BX90)+'LINEST VARS'!$P$62*(12.73)+'LINEST VARS'!$O$62*(8^2)+'LINEST VARS'!$N$62*(8^2)+'LINEST VARS'!$M$62*($CJ$80^2)+'LINEST VARS'!$L$62*($BX90^2)+'LINEST VARS'!$K$62*(12.73^2)+'LINEST VARS'!$J$62*(8*8)+'LINEST VARS'!$I$62*(8*$CJ$80)+'LINEST VARS'!$H$62*(8*$BX90)+'LINEST VARS'!$G$62*(8*12.73)+'LINEST VARS'!$F$62*(8*$CJ$80)+'LINEST VARS'!$E$62*(8*$BX90)+'LINEST VARS'!$D$62*(8*12.73)+'LINEST VARS'!$C$62*($CJ$80*$BX90)+'LINEST VARS'!$B$62*($CJ$80*12.73)+'LINEST VARS'!$A$62*($BX90*12.73)</f>
        <v>252.79499999999999</v>
      </c>
      <c r="CK90" s="55">
        <f>'LINEST VARS'!$U$62+'LINEST VARS'!$T$62*(8)+'LINEST VARS'!$S$62*(8)+'LINEST VARS'!$R$62*($CK$80)+'LINEST VARS'!$Q$62*($BX90)+'LINEST VARS'!$P$62*(12.73)+'LINEST VARS'!$O$62*(8^2)+'LINEST VARS'!$N$62*(8^2)+'LINEST VARS'!$M$62*($CK$80^2)+'LINEST VARS'!$L$62*($BX90^2)+'LINEST VARS'!$K$62*(12.73^2)+'LINEST VARS'!$J$62*(8*8)+'LINEST VARS'!$I$62*(8*$CK$80)+'LINEST VARS'!$H$62*(8*$BX90)+'LINEST VARS'!$G$62*(8*12.73)+'LINEST VARS'!$F$62*(8*$CK$80)+'LINEST VARS'!$E$62*(8*$BX90)+'LINEST VARS'!$D$62*(8*12.73)+'LINEST VARS'!$C$62*($CK$80*$BX90)+'LINEST VARS'!$B$62*($CK$80*12.73)+'LINEST VARS'!$A$62*($BX90*12.73)</f>
        <v>234.39500000000004</v>
      </c>
      <c r="CL90" s="55">
        <f>'LINEST VARS'!$U$62+'LINEST VARS'!$T$62*(8)+'LINEST VARS'!$S$62*(8)+'LINEST VARS'!$R$62*($CL$80)+'LINEST VARS'!$Q$62*($BX90)+'LINEST VARS'!$P$62*(12.73)+'LINEST VARS'!$O$62*(8^2)+'LINEST VARS'!$N$62*(8^2)+'LINEST VARS'!$M$62*($CL$80^2)+'LINEST VARS'!$L$62*($BX90^2)+'LINEST VARS'!$K$62*(12.73^2)+'LINEST VARS'!$J$62*(8*8)+'LINEST VARS'!$I$62*(8*$CL$80)+'LINEST VARS'!$H$62*(8*$BX90)+'LINEST VARS'!$G$62*(8*12.73)+'LINEST VARS'!$F$62*(8*$CL$80)+'LINEST VARS'!$E$62*(8*$BX90)+'LINEST VARS'!$D$62*(8*12.73)+'LINEST VARS'!$C$62*($CL$80*$BX90)+'LINEST VARS'!$B$62*($CL$80*12.73)+'LINEST VARS'!$A$62*($BX90*12.73)</f>
        <v>214.39499999999998</v>
      </c>
      <c r="CM90" s="55">
        <f>'LINEST VARS'!$U$62+'LINEST VARS'!$T$62*(8)+'LINEST VARS'!$S$62*(8)+'LINEST VARS'!$R$62*($CM$80)+'LINEST VARS'!$Q$62*($BX90)+'LINEST VARS'!$P$62*(12.73)+'LINEST VARS'!$O$62*(8^2)+'LINEST VARS'!$N$62*(8^2)+'LINEST VARS'!$M$62*($CM$80^2)+'LINEST VARS'!$L$62*($BX90^2)+'LINEST VARS'!$K$62*(12.73^2)+'LINEST VARS'!$J$62*(8*8)+'LINEST VARS'!$I$62*(8*$CM$80)+'LINEST VARS'!$H$62*(8*$BX90)+'LINEST VARS'!$G$62*(8*12.73)+'LINEST VARS'!$F$62*(8*$CM$80)+'LINEST VARS'!$E$62*(8*$BX90)+'LINEST VARS'!$D$62*(8*12.73)+'LINEST VARS'!$C$62*($CM$80*$BX90)+'LINEST VARS'!$B$62*($CM$80*12.73)+'LINEST VARS'!$A$62*($BX90*12.73)</f>
        <v>192.79500000000007</v>
      </c>
      <c r="CN90" s="55">
        <f>'LINEST VARS'!$U$62+'LINEST VARS'!$T$62*(8)+'LINEST VARS'!$S$62*(8)+'LINEST VARS'!$R$62*($CN$80)+'LINEST VARS'!$Q$62*($BX90)+'LINEST VARS'!$P$62*(12.73)+'LINEST VARS'!$O$62*(8^2)+'LINEST VARS'!$N$62*(8^2)+'LINEST VARS'!$M$62*($CN$80^2)+'LINEST VARS'!$L$62*($BX90^2)+'LINEST VARS'!$K$62*(12.73^2)+'LINEST VARS'!$J$62*(8*8)+'LINEST VARS'!$I$62*(8*$CN$80)+'LINEST VARS'!$H$62*(8*$BX90)+'LINEST VARS'!$G$62*(8*12.73)+'LINEST VARS'!$F$62*(8*$CN$80)+'LINEST VARS'!$E$62*(8*$BX90)+'LINEST VARS'!$D$62*(8*12.73)+'LINEST VARS'!$C$62*($CN$80*$BX90)+'LINEST VARS'!$B$62*($CN$80*12.73)+'LINEST VARS'!$A$62*($BX90*12.73)</f>
        <v>169.59500000000006</v>
      </c>
      <c r="CO90" s="55">
        <f>'LINEST VARS'!$U$62+'LINEST VARS'!$T$62*(8)+'LINEST VARS'!$S$62*(8)+'LINEST VARS'!$R$62*($CO$80)+'LINEST VARS'!$Q$62*($BX90)+'LINEST VARS'!$P$62*(12.73)+'LINEST VARS'!$O$62*(8^2)+'LINEST VARS'!$N$62*(8^2)+'LINEST VARS'!$M$62*($CO$80^2)+'LINEST VARS'!$L$62*($BX90^2)+'LINEST VARS'!$K$62*(12.73^2)+'LINEST VARS'!$J$62*(8*8)+'LINEST VARS'!$I$62*(8*$CO$80)+'LINEST VARS'!$H$62*(8*$BX90)+'LINEST VARS'!$G$62*(8*12.73)+'LINEST VARS'!$F$62*(8*$CO$80)+'LINEST VARS'!$E$62*(8*$BX90)+'LINEST VARS'!$D$62*(8*12.73)+'LINEST VARS'!$C$62*($CO$80*$BX90)+'LINEST VARS'!$B$62*($CO$80*12.73)+'LINEST VARS'!$A$62*($BX90*12.73)</f>
        <v>144.79500000000007</v>
      </c>
      <c r="CP90" s="55">
        <f>'LINEST VARS'!$U$62+'LINEST VARS'!$T$62*(8)+'LINEST VARS'!$S$62*(8)+'LINEST VARS'!$R$62*($CP$80)+'LINEST VARS'!$Q$62*($BX90)+'LINEST VARS'!$P$62*(12.73)+'LINEST VARS'!$O$62*(8^2)+'LINEST VARS'!$N$62*(8^2)+'LINEST VARS'!$M$62*($CP$80^2)+'LINEST VARS'!$L$62*($BX90^2)+'LINEST VARS'!$K$62*(12.73^2)+'LINEST VARS'!$J$62*(8*8)+'LINEST VARS'!$I$62*(8*$CP$80)+'LINEST VARS'!$H$62*(8*$BX90)+'LINEST VARS'!$G$62*(8*12.73)+'LINEST VARS'!$F$62*(8*$CP$80)+'LINEST VARS'!$E$62*(8*$BX90)+'LINEST VARS'!$D$62*(8*12.73)+'LINEST VARS'!$C$62*($CP$80*$BX90)+'LINEST VARS'!$B$62*($CP$80*12.73)+'LINEST VARS'!$A$62*($BX90*12.73)</f>
        <v>118.39500000000008</v>
      </c>
      <c r="CQ90" s="55">
        <f>'LINEST VARS'!$U$62+'LINEST VARS'!$T$62*(8)+'LINEST VARS'!$S$62*(8)+'LINEST VARS'!$R$62*($CQ$80)+'LINEST VARS'!$Q$62*($BX90)+'LINEST VARS'!$P$62*(12.73)+'LINEST VARS'!$O$62*(8^2)+'LINEST VARS'!$N$62*(8^2)+'LINEST VARS'!$M$62*($CQ$80^2)+'LINEST VARS'!$L$62*($BX90^2)+'LINEST VARS'!$K$62*(12.73^2)+'LINEST VARS'!$J$62*(8*8)+'LINEST VARS'!$I$62*(8*$CQ$80)+'LINEST VARS'!$H$62*(8*$BX90)+'LINEST VARS'!$G$62*(8*12.73)+'LINEST VARS'!$F$62*(8*$CQ$80)+'LINEST VARS'!$E$62*(8*$BX90)+'LINEST VARS'!$D$62*(8*12.73)+'LINEST VARS'!$C$62*($CQ$80*$BX90)+'LINEST VARS'!$B$62*($CQ$80*12.73)+'LINEST VARS'!$A$62*($BX90*12.73)</f>
        <v>90.395000000000081</v>
      </c>
      <c r="CR90" s="55">
        <f>'LINEST VARS'!$U$62+'LINEST VARS'!$T$62*(8)+'LINEST VARS'!$S$62*(8)+'LINEST VARS'!$R$62*($CR$80)+'LINEST VARS'!$Q$62*($BX90)+'LINEST VARS'!$P$62*(12.73)+'LINEST VARS'!$O$62*(8^2)+'LINEST VARS'!$N$62*(8^2)+'LINEST VARS'!$M$62*($CR$80^2)+'LINEST VARS'!$L$62*($BX90^2)+'LINEST VARS'!$K$62*(12.73^2)+'LINEST VARS'!$J$62*(8*8)+'LINEST VARS'!$I$62*(8*$CR$80)+'LINEST VARS'!$H$62*(8*$BX90)+'LINEST VARS'!$G$62*(8*12.73)+'LINEST VARS'!$F$62*(8*$CR$80)+'LINEST VARS'!$E$62*(8*$BX90)+'LINEST VARS'!$D$62*(8*12.73)+'LINEST VARS'!$C$62*($CR$80*$BX90)+'LINEST VARS'!$B$62*($CR$80*12.73)+'LINEST VARS'!$A$62*($BX90*12.73)</f>
        <v>60.79500000000013</v>
      </c>
      <c r="CS90" s="56">
        <f>'LINEST VARS'!$U$62+'LINEST VARS'!$T$62*(8)+'LINEST VARS'!$S$62*(8)+'LINEST VARS'!$R$62*($CS$80)+'LINEST VARS'!$Q$62*($BX90)+'LINEST VARS'!$P$62*(12.73)+'LINEST VARS'!$O$62*(8^2)+'LINEST VARS'!$N$62*(8^2)+'LINEST VARS'!$M$62*($CS$80^2)+'LINEST VARS'!$L$62*($BX90^2)+'LINEST VARS'!$K$62*(12.73^2)+'LINEST VARS'!$J$62*(8*8)+'LINEST VARS'!$I$62*(8*$CS$80)+'LINEST VARS'!$H$62*(8*$BX90)+'LINEST VARS'!$G$62*(8*12.73)+'LINEST VARS'!$F$62*(8*$CS$80)+'LINEST VARS'!$E$62*(8*$BX90)+'LINEST VARS'!$D$62*(8*12.73)+'LINEST VARS'!$C$62*($CS$80*$BX90)+'LINEST VARS'!$B$62*($CS$80*12.73)+'LINEST VARS'!$A$62*($BX90*12.73)</f>
        <v>29.595000000000162</v>
      </c>
      <c r="CX90" s="45">
        <v>11.695499999999999</v>
      </c>
      <c r="CY90" s="46">
        <f>'LINEST VARS'!$U$60+'LINEST VARS'!$T$60*(8)+'LINEST VARS'!$S$60*(8)+'LINEST VARS'!$R$60*($CY$80)+'LINEST VARS'!$Q$60*(0.5)+'LINEST VARS'!$P$60*($CX90)+'LINEST VARS'!$O$60*(8^2)+'LINEST VARS'!$N$60*(8^2)+'LINEST VARS'!$M$60*($CY$80^2)+'LINEST VARS'!$L$60*(0.5^2)+'LINEST VARS'!$K$60*($CX90^2)+'LINEST VARS'!$J$60*(8*8)+'LINEST VARS'!$I$60*(8*$CY$80)+'LINEST VARS'!$H$60*(8*0.5)+'LINEST VARS'!$G$60*(8*$CX90)+'LINEST VARS'!$F$60*(8*$CY$80)+'LINEST VARS'!$E$60*(8*0.5)+'LINEST VARS'!$D$60*(8*$CX90)+'LINEST VARS'!$C$60*($CY$80*0.5)+'LINEST VARS'!$B$60*($CY$80*$CX90)+'LINEST VARS'!$A$60*(0.5*$CX90)</f>
        <v>38.390999999999998</v>
      </c>
      <c r="CZ90" s="46">
        <f>'LINEST VARS'!$U$60+'LINEST VARS'!$T$60*(8)+'LINEST VARS'!$S$60*(8)+'LINEST VARS'!$R$60*($CZ$80)+'LINEST VARS'!$Q$60*(0.5)+'LINEST VARS'!$P$60*($CX90)+'LINEST VARS'!$O$60*(8^2)+'LINEST VARS'!$N$60*(8^2)+'LINEST VARS'!$M$60*($CZ$80^2)+'LINEST VARS'!$L$60*(0.5^2)+'LINEST VARS'!$K$60*($CX90^2)+'LINEST VARS'!$J$60*(8*8)+'LINEST VARS'!$I$60*(8*$CZ$80)+'LINEST VARS'!$H$60*(8*0.5)+'LINEST VARS'!$G$60*(8*$CX90)+'LINEST VARS'!$F$60*(8*$CZ$80)+'LINEST VARS'!$E$60*(8*0.5)+'LINEST VARS'!$D$60*(8*$CX90)+'LINEST VARS'!$C$60*($CZ$80*0.5)+'LINEST VARS'!$B$60*($CZ$80*$CX90)+'LINEST VARS'!$A$60*(0.5*$CX90)</f>
        <v>38.391000000000005</v>
      </c>
      <c r="DA90" s="46">
        <f>'LINEST VARS'!$U$60+'LINEST VARS'!$T$60*(8)+'LINEST VARS'!$S$60*(8)+'LINEST VARS'!$R$60*($DA$80)+'LINEST VARS'!$Q$60*(0.5)+'LINEST VARS'!$P$60*($CX90)+'LINEST VARS'!$O$60*(8^2)+'LINEST VARS'!$N$60*(8^2)+'LINEST VARS'!$M$60*($DA$80^2)+'LINEST VARS'!$L$60*(0.5^2)+'LINEST VARS'!$K$60*($CX90^2)+'LINEST VARS'!$J$60*(8*8)+'LINEST VARS'!$I$60*(8*$DA$80)+'LINEST VARS'!$H$60*(8*0.5)+'LINEST VARS'!$G$60*(8*$CX90)+'LINEST VARS'!$F$60*(8*$DA$80)+'LINEST VARS'!$E$60*(8*0.5)+'LINEST VARS'!$D$60*(8*$CX90)+'LINEST VARS'!$C$60*($DA$80*0.5)+'LINEST VARS'!$B$60*($DA$80*$CX90)+'LINEST VARS'!$A$60*(0.5*$CX90)</f>
        <v>38.391000000000005</v>
      </c>
      <c r="DB90" s="46">
        <f>'LINEST VARS'!$U$60+'LINEST VARS'!$T$60*(8)+'LINEST VARS'!$S$60*(8)+'LINEST VARS'!$R$60*($DB$80)+'LINEST VARS'!$Q$60*(0.5)+'LINEST VARS'!$P$60*($CX90)+'LINEST VARS'!$O$60*(8^2)+'LINEST VARS'!$N$60*(8^2)+'LINEST VARS'!$M$60*($DB$80^2)+'LINEST VARS'!$L$60*(0.5^2)+'LINEST VARS'!$K$60*($CX90^2)+'LINEST VARS'!$J$60*(8*8)+'LINEST VARS'!$I$60*(8*$DB$80)+'LINEST VARS'!$H$60*(8*0.5)+'LINEST VARS'!$G$60*(8*$CX90)+'LINEST VARS'!$F$60*(8*$DB$80)+'LINEST VARS'!$E$60*(8*0.5)+'LINEST VARS'!$D$60*(8*$CX90)+'LINEST VARS'!$C$60*($DB$80*0.5)+'LINEST VARS'!$B$60*($DB$80*$CX90)+'LINEST VARS'!$A$60*(0.5*$CX90)</f>
        <v>38.391000000000005</v>
      </c>
      <c r="DC90" s="46">
        <f>'LINEST VARS'!$U$60+'LINEST VARS'!$T$60*(8)+'LINEST VARS'!$S$60*(8)+'LINEST VARS'!$R$60*($DC$80)+'LINEST VARS'!$Q$60*(0.5)+'LINEST VARS'!$P$60*($CX90)+'LINEST VARS'!$O$60*(8^2)+'LINEST VARS'!$N$60*(8^2)+'LINEST VARS'!$M$60*($DC$80^2)+'LINEST VARS'!$L$60*(0.5^2)+'LINEST VARS'!$K$60*($CX90^2)+'LINEST VARS'!$J$60*(8*8)+'LINEST VARS'!$I$60*(8*$DC$80)+'LINEST VARS'!$H$60*(8*0.5)+'LINEST VARS'!$G$60*(8*$CX90)+'LINEST VARS'!$F$60*(8*$DC$80)+'LINEST VARS'!$E$60*(8*0.5)+'LINEST VARS'!$D$60*(8*$CX90)+'LINEST VARS'!$C$60*($DC$80*0.5)+'LINEST VARS'!$B$60*($DC$80*$CX90)+'LINEST VARS'!$A$60*(0.5*$CX90)</f>
        <v>38.391000000000005</v>
      </c>
      <c r="DD90" s="46">
        <f>'LINEST VARS'!$U$60+'LINEST VARS'!$T$60*(8)+'LINEST VARS'!$S$60*(8)+'LINEST VARS'!$R$60*($DD$80)+'LINEST VARS'!$Q$60*(0.5)+'LINEST VARS'!$P$60*($CX90)+'LINEST VARS'!$O$60*(8^2)+'LINEST VARS'!$N$60*(8^2)+'LINEST VARS'!$M$60*($DD$80^2)+'LINEST VARS'!$L$60*(0.5^2)+'LINEST VARS'!$K$60*($CX90^2)+'LINEST VARS'!$J$60*(8*8)+'LINEST VARS'!$I$60*(8*$DD$80)+'LINEST VARS'!$H$60*(8*0.5)+'LINEST VARS'!$G$60*(8*$CX90)+'LINEST VARS'!$F$60*(8*$DD$80)+'LINEST VARS'!$E$60*(8*0.5)+'LINEST VARS'!$D$60*(8*$CX90)+'LINEST VARS'!$C$60*($DD$80*0.5)+'LINEST VARS'!$B$60*($DD$80*$CX90)+'LINEST VARS'!$A$60*(0.5*$CX90)</f>
        <v>38.390999999999998</v>
      </c>
      <c r="DE90" s="46">
        <f>'LINEST VARS'!$U$60+'LINEST VARS'!$T$60*(8)+'LINEST VARS'!$S$60*(8)+'LINEST VARS'!$R$60*($DE$80)+'LINEST VARS'!$Q$60*(0.5)+'LINEST VARS'!$P$60*($CX90)+'LINEST VARS'!$O$60*(8^2)+'LINEST VARS'!$N$60*(8^2)+'LINEST VARS'!$M$60*($DE$80^2)+'LINEST VARS'!$L$60*(0.5^2)+'LINEST VARS'!$K$60*($CX90^2)+'LINEST VARS'!$J$60*(8*8)+'LINEST VARS'!$I$60*(8*$DE$80)+'LINEST VARS'!$H$60*(8*0.5)+'LINEST VARS'!$G$60*(8*$CX90)+'LINEST VARS'!$F$60*(8*$DE$80)+'LINEST VARS'!$E$60*(8*0.5)+'LINEST VARS'!$D$60*(8*$CX90)+'LINEST VARS'!$C$60*($DE$80*0.5)+'LINEST VARS'!$B$60*($DE$80*$CX90)+'LINEST VARS'!$A$60*(0.5*$CX90)</f>
        <v>38.390999999999998</v>
      </c>
      <c r="DF90" s="46">
        <f>'LINEST VARS'!$U$60+'LINEST VARS'!$T$60*(8)+'LINEST VARS'!$S$60*(8)+'LINEST VARS'!$R$60*($DF$80)+'LINEST VARS'!$Q$60*(0.5)+'LINEST VARS'!$P$60*($CX90)+'LINEST VARS'!$O$60*(8^2)+'LINEST VARS'!$N$60*(8^2)+'LINEST VARS'!$M$60*($DF$80^2)+'LINEST VARS'!$L$60*(0.5^2)+'LINEST VARS'!$K$60*($CX90^2)+'LINEST VARS'!$J$60*(8*8)+'LINEST VARS'!$I$60*(8*$DF$80)+'LINEST VARS'!$H$60*(8*0.5)+'LINEST VARS'!$G$60*(8*$CX90)+'LINEST VARS'!$F$60*(8*$DF$80)+'LINEST VARS'!$E$60*(8*0.5)+'LINEST VARS'!$D$60*(8*$CX90)+'LINEST VARS'!$C$60*($DF$80*0.5)+'LINEST VARS'!$B$60*($DF$80*$CX90)+'LINEST VARS'!$A$60*(0.5*$CX90)</f>
        <v>38.390999999999998</v>
      </c>
      <c r="DG90" s="46">
        <f>'LINEST VARS'!$U$60+'LINEST VARS'!$T$60*(8)+'LINEST VARS'!$S$60*(8)+'LINEST VARS'!$R$60*($DG$80)+'LINEST VARS'!$Q$60*(0.5)+'LINEST VARS'!$P$60*($CX90)+'LINEST VARS'!$O$60*(8^2)+'LINEST VARS'!$N$60*(8^2)+'LINEST VARS'!$M$60*($DG$80^2)+'LINEST VARS'!$L$60*(0.5^2)+'LINEST VARS'!$K$60*($CX90^2)+'LINEST VARS'!$J$60*(8*8)+'LINEST VARS'!$I$60*(8*$DG$80)+'LINEST VARS'!$H$60*(8*0.5)+'LINEST VARS'!$G$60*(8*$CX90)+'LINEST VARS'!$F$60*(8*$DG$80)+'LINEST VARS'!$E$60*(8*0.5)+'LINEST VARS'!$D$60*(8*$CX90)+'LINEST VARS'!$C$60*($DG$80*0.5)+'LINEST VARS'!$B$60*($DG$80*$CX90)+'LINEST VARS'!$A$60*(0.5*$CX90)</f>
        <v>38.391000000000005</v>
      </c>
      <c r="DH90" s="46">
        <f>'LINEST VARS'!$U$60+'LINEST VARS'!$T$60*(8)+'LINEST VARS'!$S$60*(8)+'LINEST VARS'!$R$60*($DH$80)+'LINEST VARS'!$Q$60*(0.5)+'LINEST VARS'!$P$60*($CX90)+'LINEST VARS'!$O$60*(8^2)+'LINEST VARS'!$N$60*(8^2)+'LINEST VARS'!$M$60*($DH$80^2)+'LINEST VARS'!$L$60*(0.5^2)+'LINEST VARS'!$K$60*($CX90^2)+'LINEST VARS'!$J$60*(8*8)+'LINEST VARS'!$I$60*(8*$DH$80)+'LINEST VARS'!$H$60*(8*0.5)+'LINEST VARS'!$G$60*(8*$CX90)+'LINEST VARS'!$F$60*(8*$DH$80)+'LINEST VARS'!$E$60*(8*0.5)+'LINEST VARS'!$D$60*(8*$CX90)+'LINEST VARS'!$C$60*($DH$80*0.5)+'LINEST VARS'!$B$60*($DH$80*$CX90)+'LINEST VARS'!$A$60*(0.5*$CX90)</f>
        <v>38.391000000000005</v>
      </c>
      <c r="DI90" s="46">
        <f>'LINEST VARS'!$U$60+'LINEST VARS'!$T$60*(8)+'LINEST VARS'!$S$60*(8)+'LINEST VARS'!$R$60*($DI$80)+'LINEST VARS'!$Q$60*(0.5)+'LINEST VARS'!$P$60*($CX90)+'LINEST VARS'!$O$60*(8^2)+'LINEST VARS'!$N$60*(8^2)+'LINEST VARS'!$M$60*($DI$80^2)+'LINEST VARS'!$L$60*(0.5^2)+'LINEST VARS'!$K$60*($CX90^2)+'LINEST VARS'!$J$60*(8*8)+'LINEST VARS'!$I$60*(8*$DI$80)+'LINEST VARS'!$H$60*(8*0.5)+'LINEST VARS'!$G$60*(8*$CX90)+'LINEST VARS'!$F$60*(8*$DI$80)+'LINEST VARS'!$E$60*(8*0.5)+'LINEST VARS'!$D$60*(8*$CX90)+'LINEST VARS'!$C$60*($DI$80*0.5)+'LINEST VARS'!$B$60*($DI$80*$CX90)+'LINEST VARS'!$A$60*(0.5*$CX90)</f>
        <v>38.391000000000005</v>
      </c>
      <c r="DJ90" s="46">
        <f>'LINEST VARS'!$U$60+'LINEST VARS'!$T$60*(8)+'LINEST VARS'!$S$60*(8)+'LINEST VARS'!$R$60*($DJ$80)+'LINEST VARS'!$Q$60*(0.5)+'LINEST VARS'!$P$60*($CX90)+'LINEST VARS'!$O$60*(8^2)+'LINEST VARS'!$N$60*(8^2)+'LINEST VARS'!$M$60*($DJ$80^2)+'LINEST VARS'!$L$60*(0.5^2)+'LINEST VARS'!$K$60*($CX90^2)+'LINEST VARS'!$J$60*(8*8)+'LINEST VARS'!$I$60*(8*$DJ$80)+'LINEST VARS'!$H$60*(8*0.5)+'LINEST VARS'!$G$60*(8*$CX90)+'LINEST VARS'!$F$60*(8*$DJ$80)+'LINEST VARS'!$E$60*(8*0.5)+'LINEST VARS'!$D$60*(8*$CX90)+'LINEST VARS'!$C$60*($DJ$80*0.5)+'LINEST VARS'!$B$60*($DJ$80*$CX90)+'LINEST VARS'!$A$60*(0.5*$CX90)</f>
        <v>38.391000000000005</v>
      </c>
      <c r="DK90" s="46">
        <f>'LINEST VARS'!$U$60+'LINEST VARS'!$T$60*(8)+'LINEST VARS'!$S$60*(8)+'LINEST VARS'!$R$60*($DK$80)+'LINEST VARS'!$Q$60*(0.5)+'LINEST VARS'!$P$60*($CX90)+'LINEST VARS'!$O$60*(8^2)+'LINEST VARS'!$N$60*(8^2)+'LINEST VARS'!$M$60*($DK$80^2)+'LINEST VARS'!$L$60*(0.5^2)+'LINEST VARS'!$K$60*($CX90^2)+'LINEST VARS'!$J$60*(8*8)+'LINEST VARS'!$I$60*(8*$DK$80)+'LINEST VARS'!$H$60*(8*0.5)+'LINEST VARS'!$G$60*(8*$CX90)+'LINEST VARS'!$F$60*(8*$DK$80)+'LINEST VARS'!$E$60*(8*0.5)+'LINEST VARS'!$D$60*(8*$CX90)+'LINEST VARS'!$C$60*($DK$80*0.5)+'LINEST VARS'!$B$60*($DK$80*$CX90)+'LINEST VARS'!$A$60*(0.5*$CX90)</f>
        <v>38.391000000000005</v>
      </c>
      <c r="DL90" s="46">
        <f>'LINEST VARS'!$U$60+'LINEST VARS'!$T$60*(8)+'LINEST VARS'!$S$60*(8)+'LINEST VARS'!$R$60*($DL$80)+'LINEST VARS'!$Q$60*(0.5)+'LINEST VARS'!$P$60*($CX90)+'LINEST VARS'!$O$60*(8^2)+'LINEST VARS'!$N$60*(8^2)+'LINEST VARS'!$M$60*($DL$80^2)+'LINEST VARS'!$L$60*(0.5^2)+'LINEST VARS'!$K$60*($CX90^2)+'LINEST VARS'!$J$60*(8*8)+'LINEST VARS'!$I$60*(8*$DL$80)+'LINEST VARS'!$H$60*(8*0.5)+'LINEST VARS'!$G$60*(8*$CX90)+'LINEST VARS'!$F$60*(8*$DL$80)+'LINEST VARS'!$E$60*(8*0.5)+'LINEST VARS'!$D$60*(8*$CX90)+'LINEST VARS'!$C$60*($DL$80*0.5)+'LINEST VARS'!$B$60*($DL$80*$CX90)+'LINEST VARS'!$A$60*(0.5*$CX90)</f>
        <v>38.390999999999998</v>
      </c>
      <c r="DM90" s="46">
        <f>'LINEST VARS'!$U$60+'LINEST VARS'!$T$60*(8)+'LINEST VARS'!$S$60*(8)+'LINEST VARS'!$R$60*($DM$80)+'LINEST VARS'!$Q$60*(0.5)+'LINEST VARS'!$P$60*($CX90)+'LINEST VARS'!$O$60*(8^2)+'LINEST VARS'!$N$60*(8^2)+'LINEST VARS'!$M$60*($DM$80^2)+'LINEST VARS'!$L$60*(0.5^2)+'LINEST VARS'!$K$60*($CX90^2)+'LINEST VARS'!$J$60*(8*8)+'LINEST VARS'!$I$60*(8*$DM$80)+'LINEST VARS'!$H$60*(8*0.5)+'LINEST VARS'!$G$60*(8*$CX90)+'LINEST VARS'!$F$60*(8*$DM$80)+'LINEST VARS'!$E$60*(8*0.5)+'LINEST VARS'!$D$60*(8*$CX90)+'LINEST VARS'!$C$60*($DM$80*0.5)+'LINEST VARS'!$B$60*($DM$80*$CX90)+'LINEST VARS'!$A$60*(0.5*$CX90)</f>
        <v>38.390999999999998</v>
      </c>
      <c r="DN90" s="46">
        <f>'LINEST VARS'!$U$60+'LINEST VARS'!$T$60*(8)+'LINEST VARS'!$S$60*(8)+'LINEST VARS'!$R$60*($DN$80)+'LINEST VARS'!$Q$60*(0.5)+'LINEST VARS'!$P$60*($CX90)+'LINEST VARS'!$O$60*(8^2)+'LINEST VARS'!$N$60*(8^2)+'LINEST VARS'!$M$60*($DN$80^2)+'LINEST VARS'!$L$60*(0.5^2)+'LINEST VARS'!$K$60*($CX90^2)+'LINEST VARS'!$J$60*(8*8)+'LINEST VARS'!$I$60*(8*$DN$80)+'LINEST VARS'!$H$60*(8*0.5)+'LINEST VARS'!$G$60*(8*$CX90)+'LINEST VARS'!$F$60*(8*$DN$80)+'LINEST VARS'!$E$60*(8*0.5)+'LINEST VARS'!$D$60*(8*$CX90)+'LINEST VARS'!$C$60*($DN$80*0.5)+'LINEST VARS'!$B$60*($DN$80*$CX90)+'LINEST VARS'!$A$60*(0.5*$CX90)</f>
        <v>38.391000000000005</v>
      </c>
      <c r="DO90" s="46">
        <f>'LINEST VARS'!$U$60+'LINEST VARS'!$T$60*(8)+'LINEST VARS'!$S$60*(8)+'LINEST VARS'!$R$60*($DO$80)+'LINEST VARS'!$Q$60*(0.5)+'LINEST VARS'!$P$60*($CX90)+'LINEST VARS'!$O$60*(8^2)+'LINEST VARS'!$N$60*(8^2)+'LINEST VARS'!$M$60*($DO$80^2)+'LINEST VARS'!$L$60*(0.5^2)+'LINEST VARS'!$K$60*($CX90^2)+'LINEST VARS'!$J$60*(8*8)+'LINEST VARS'!$I$60*(8*$DO$80)+'LINEST VARS'!$H$60*(8*0.5)+'LINEST VARS'!$G$60*(8*$CX90)+'LINEST VARS'!$F$60*(8*$DO$80)+'LINEST VARS'!$E$60*(8*0.5)+'LINEST VARS'!$D$60*(8*$CX90)+'LINEST VARS'!$C$60*($DO$80*0.5)+'LINEST VARS'!$B$60*($DO$80*$CX90)+'LINEST VARS'!$A$60*(0.5*$CX90)</f>
        <v>38.391000000000005</v>
      </c>
      <c r="DP90" s="46">
        <f>'LINEST VARS'!$U$60+'LINEST VARS'!$T$60*(8)+'LINEST VARS'!$S$60*(8)+'LINEST VARS'!$R$60*($DP$80)+'LINEST VARS'!$Q$60*(0.5)+'LINEST VARS'!$P$60*($CX90)+'LINEST VARS'!$O$60*(8^2)+'LINEST VARS'!$N$60*(8^2)+'LINEST VARS'!$M$60*($DP$80^2)+'LINEST VARS'!$L$60*(0.5^2)+'LINEST VARS'!$K$60*($CX90^2)+'LINEST VARS'!$J$60*(8*8)+'LINEST VARS'!$I$60*(8*$DP$80)+'LINEST VARS'!$H$60*(8*0.5)+'LINEST VARS'!$G$60*(8*$CX90)+'LINEST VARS'!$F$60*(8*$DP$80)+'LINEST VARS'!$E$60*(8*0.5)+'LINEST VARS'!$D$60*(8*$CX90)+'LINEST VARS'!$C$60*($DP$80*0.5)+'LINEST VARS'!$B$60*($DP$80*$CX90)+'LINEST VARS'!$A$60*(0.5*$CX90)</f>
        <v>38.391000000000005</v>
      </c>
      <c r="DQ90" s="46">
        <f>'LINEST VARS'!$U$60+'LINEST VARS'!$T$60*(8)+'LINEST VARS'!$S$60*(8)+'LINEST VARS'!$R$60*($DQ$80)+'LINEST VARS'!$Q$60*(0.5)+'LINEST VARS'!$P$60*($CX90)+'LINEST VARS'!$O$60*(8^2)+'LINEST VARS'!$N$60*(8^2)+'LINEST VARS'!$M$60*($DQ$80^2)+'LINEST VARS'!$L$60*(0.5^2)+'LINEST VARS'!$K$60*($CX90^2)+'LINEST VARS'!$J$60*(8*8)+'LINEST VARS'!$I$60*(8*$DQ$80)+'LINEST VARS'!$H$60*(8*0.5)+'LINEST VARS'!$G$60*(8*$CX90)+'LINEST VARS'!$F$60*(8*$DQ$80)+'LINEST VARS'!$E$60*(8*0.5)+'LINEST VARS'!$D$60*(8*$CX90)+'LINEST VARS'!$C$60*($DQ$80*0.5)+'LINEST VARS'!$B$60*($DQ$80*$CX90)+'LINEST VARS'!$A$60*(0.5*$CX90)</f>
        <v>38.391000000000005</v>
      </c>
      <c r="DR90" s="46">
        <f>'LINEST VARS'!$U$60+'LINEST VARS'!$T$60*(8)+'LINEST VARS'!$S$60*(8)+'LINEST VARS'!$R$60*($DR$80)+'LINEST VARS'!$Q$60*(0.5)+'LINEST VARS'!$P$60*($CX90)+'LINEST VARS'!$O$60*(8^2)+'LINEST VARS'!$N$60*(8^2)+'LINEST VARS'!$M$60*($DR$80^2)+'LINEST VARS'!$L$60*(0.5^2)+'LINEST VARS'!$K$60*($CX90^2)+'LINEST VARS'!$J$60*(8*8)+'LINEST VARS'!$I$60*(8*$DR$80)+'LINEST VARS'!$H$60*(8*0.5)+'LINEST VARS'!$G$60*(8*$CX90)+'LINEST VARS'!$F$60*(8*$DR$80)+'LINEST VARS'!$E$60*(8*0.5)+'LINEST VARS'!$D$60*(8*$CX90)+'LINEST VARS'!$C$60*($DR$80*0.5)+'LINEST VARS'!$B$60*($DR$80*$CX90)+'LINEST VARS'!$A$60*(0.5*$CX90)</f>
        <v>38.391000000000005</v>
      </c>
      <c r="DS90" s="47">
        <f>'LINEST VARS'!$U$60+'LINEST VARS'!$T$60*(8)+'LINEST VARS'!$S$60*(8)+'LINEST VARS'!$R$60*($DS$80)+'LINEST VARS'!$Q$60*(0.5)+'LINEST VARS'!$P$60*($CX90)+'LINEST VARS'!$O$60*(8^2)+'LINEST VARS'!$N$60*(8^2)+'LINEST VARS'!$M$60*($DS$80^2)+'LINEST VARS'!$L$60*(0.5^2)+'LINEST VARS'!$K$60*($CX90^2)+'LINEST VARS'!$J$60*(8*8)+'LINEST VARS'!$I$60*(8*$DS$80)+'LINEST VARS'!$H$60*(8*0.5)+'LINEST VARS'!$G$60*(8*$CX90)+'LINEST VARS'!$F$60*(8*$DS$80)+'LINEST VARS'!$E$60*(8*0.5)+'LINEST VARS'!$D$60*(8*$CX90)+'LINEST VARS'!$C$60*($DS$80*0.5)+'LINEST VARS'!$B$60*($DS$80*$CX90)+'LINEST VARS'!$A$60*(0.5*$CX90)</f>
        <v>38.391000000000005</v>
      </c>
      <c r="DV90" s="45">
        <v>11.695499999999999</v>
      </c>
      <c r="DW90" s="55">
        <f>'LINEST VARS'!$U$62+'LINEST VARS'!$T$62*(8)+'LINEST VARS'!$S$62*(8)+'LINEST VARS'!$R$62*($DW$80)+'LINEST VARS'!$Q$62*(0.5)+'LINEST VARS'!$P$62*($DV90)+'LINEST VARS'!$O$62*(8^2)+'LINEST VARS'!$N$62*(8^2)+'LINEST VARS'!$M$62*($DW$80^2)+'LINEST VARS'!$L$62*(0.5^2)+'LINEST VARS'!$K$62*($DV90^2)+'LINEST VARS'!$J$62*(8*8)+'LINEST VARS'!$I$62*(8*$DW$80)+'LINEST VARS'!$H$62*(8*0.5)+'LINEST VARS'!$G$62*(8*$DV90)+'LINEST VARS'!$F$62*(8*$DW$80)+'LINEST VARS'!$E$62*(8*0.5)+'LINEST VARS'!$D$62*(8*$DV90)+'LINEST VARS'!$C$62*($DW$80*0.5)+'LINEST VARS'!$B$62*($DW$80*$DV90)+'LINEST VARS'!$A$62*(0.5*$DV90)</f>
        <v>349.49999999999994</v>
      </c>
      <c r="DX90" s="55">
        <f>'LINEST VARS'!$U$62+'LINEST VARS'!$T$62*(8)+'LINEST VARS'!$S$62*(8)+'LINEST VARS'!$R$62*($DX$80)+'LINEST VARS'!$Q$62*(0.5)+'LINEST VARS'!$P$62*($DV90)+'LINEST VARS'!$O$62*(8^2)+'LINEST VARS'!$N$62*(8^2)+'LINEST VARS'!$M$62*($DX$80^2)+'LINEST VARS'!$L$62*(0.5^2)+'LINEST VARS'!$K$62*($DV90^2)+'LINEST VARS'!$J$62*(8*8)+'LINEST VARS'!$I$62*(8*$DX$80)+'LINEST VARS'!$H$62*(8*0.5)+'LINEST VARS'!$G$62*(8*$DV90)+'LINEST VARS'!$F$62*(8*$DX$80)+'LINEST VARS'!$E$62*(8*0.5)+'LINEST VARS'!$D$62*(8*$DV90)+'LINEST VARS'!$C$62*($DX$80*0.5)+'LINEST VARS'!$B$62*($DX$80*$DV90)+'LINEST VARS'!$A$62*(0.5*$DV90)</f>
        <v>348.7</v>
      </c>
      <c r="DY90" s="55">
        <f>'LINEST VARS'!$U$62+'LINEST VARS'!$T$62*(8)+'LINEST VARS'!$S$62*(8)+'LINEST VARS'!$R$62*($DY$80)+'LINEST VARS'!$Q$62*(0.5)+'LINEST VARS'!$P$62*($DV90)+'LINEST VARS'!$O$62*(8^2)+'LINEST VARS'!$N$62*(8^2)+'LINEST VARS'!$M$62*($DY$80^2)+'LINEST VARS'!$L$62*(0.5^2)+'LINEST VARS'!$K$62*($DV90^2)+'LINEST VARS'!$J$62*(8*8)+'LINEST VARS'!$I$62*(8*$DY$80)+'LINEST VARS'!$H$62*(8*0.5)+'LINEST VARS'!$G$62*(8*$DV90)+'LINEST VARS'!$F$62*(8*$DY$80)+'LINEST VARS'!$E$62*(8*0.5)+'LINEST VARS'!$D$62*(8*$DV90)+'LINEST VARS'!$C$62*($DY$80*0.5)+'LINEST VARS'!$B$62*($DY$80*$DV90)+'LINEST VARS'!$A$62*(0.5*$DV90)</f>
        <v>346.2999999999999</v>
      </c>
      <c r="DZ90" s="55">
        <f>'LINEST VARS'!$U$62+'LINEST VARS'!$T$62*(8)+'LINEST VARS'!$S$62*(8)+'LINEST VARS'!$R$62*($DZ$80)+'LINEST VARS'!$Q$62*(0.5)+'LINEST VARS'!$P$62*($DV90)+'LINEST VARS'!$O$62*(8^2)+'LINEST VARS'!$N$62*(8^2)+'LINEST VARS'!$M$62*($DZ$80^2)+'LINEST VARS'!$L$62*(0.5^2)+'LINEST VARS'!$K$62*($DV90^2)+'LINEST VARS'!$J$62*(8*8)+'LINEST VARS'!$I$62*(8*$DZ$80)+'LINEST VARS'!$H$62*(8*0.5)+'LINEST VARS'!$G$62*(8*$DV90)+'LINEST VARS'!$F$62*(8*$DZ$80)+'LINEST VARS'!$E$62*(8*0.5)+'LINEST VARS'!$D$62*(8*$DV90)+'LINEST VARS'!$C$62*($DZ$80*0.5)+'LINEST VARS'!$B$62*($DZ$80*$DV90)+'LINEST VARS'!$A$62*(0.5*$DV90)</f>
        <v>342.29999999999995</v>
      </c>
      <c r="EA90" s="55">
        <f>'LINEST VARS'!$U$62+'LINEST VARS'!$T$62*(8)+'LINEST VARS'!$S$62*(8)+'LINEST VARS'!$R$62*($EA$80)+'LINEST VARS'!$Q$62*(0.5)+'LINEST VARS'!$P$62*($DV90)+'LINEST VARS'!$O$62*(8^2)+'LINEST VARS'!$N$62*(8^2)+'LINEST VARS'!$M$62*($EA$80^2)+'LINEST VARS'!$L$62*(0.5^2)+'LINEST VARS'!$K$62*($DV90^2)+'LINEST VARS'!$J$62*(8*8)+'LINEST VARS'!$I$62*(8*$EA$80)+'LINEST VARS'!$H$62*(8*0.5)+'LINEST VARS'!$G$62*(8*$DV90)+'LINEST VARS'!$F$62*(8*$EA$80)+'LINEST VARS'!$E$62*(8*0.5)+'LINEST VARS'!$D$62*(8*$DV90)+'LINEST VARS'!$C$62*($EA$80*0.5)+'LINEST VARS'!$B$62*($EA$80*$DV90)+'LINEST VARS'!$A$62*(0.5*$DV90)</f>
        <v>336.7</v>
      </c>
      <c r="EB90" s="55">
        <f>'LINEST VARS'!$U$62+'LINEST VARS'!$T$62*(8)+'LINEST VARS'!$S$62*(8)+'LINEST VARS'!$R$62*($EB$80)+'LINEST VARS'!$Q$62*(0.5)+'LINEST VARS'!$P$62*($DV90)+'LINEST VARS'!$O$62*(8^2)+'LINEST VARS'!$N$62*(8^2)+'LINEST VARS'!$M$62*($EB$80^2)+'LINEST VARS'!$L$62*(0.5^2)+'LINEST VARS'!$K$62*($DV90^2)+'LINEST VARS'!$J$62*(8*8)+'LINEST VARS'!$I$62*(8*$EB$80)+'LINEST VARS'!$H$62*(8*0.5)+'LINEST VARS'!$G$62*(8*$DV90)+'LINEST VARS'!$F$62*(8*$EB$80)+'LINEST VARS'!$E$62*(8*0.5)+'LINEST VARS'!$D$62*(8*$DV90)+'LINEST VARS'!$C$62*($EB$80*0.5)+'LINEST VARS'!$B$62*($EB$80*$DV90)+'LINEST VARS'!$A$62*(0.5*$DV90)</f>
        <v>329.50000000000006</v>
      </c>
      <c r="EC90" s="55">
        <f>'LINEST VARS'!$U$62+'LINEST VARS'!$T$62*(8)+'LINEST VARS'!$S$62*(8)+'LINEST VARS'!$R$62*($EC$80)+'LINEST VARS'!$Q$62*(0.5)+'LINEST VARS'!$P$62*($DV90)+'LINEST VARS'!$O$62*(8^2)+'LINEST VARS'!$N$62*(8^2)+'LINEST VARS'!$M$62*($EC$80^2)+'LINEST VARS'!$L$62*(0.5^2)+'LINEST VARS'!$K$62*($DV90^2)+'LINEST VARS'!$J$62*(8*8)+'LINEST VARS'!$I$62*(8*$EC$80)+'LINEST VARS'!$H$62*(8*0.5)+'LINEST VARS'!$G$62*(8*$DV90)+'LINEST VARS'!$F$62*(8*$EC$80)+'LINEST VARS'!$E$62*(8*0.5)+'LINEST VARS'!$D$62*(8*$DV90)+'LINEST VARS'!$C$62*($EC$80*0.5)+'LINEST VARS'!$B$62*($EC$80*$DV90)+'LINEST VARS'!$A$62*(0.5*$DV90)</f>
        <v>320.7</v>
      </c>
      <c r="ED90" s="55">
        <f>'LINEST VARS'!$U$62+'LINEST VARS'!$T$62*(8)+'LINEST VARS'!$S$62*(8)+'LINEST VARS'!$R$62*($ED$80)+'LINEST VARS'!$Q$62*(0.5)+'LINEST VARS'!$P$62*($DV90)+'LINEST VARS'!$O$62*(8^2)+'LINEST VARS'!$N$62*(8^2)+'LINEST VARS'!$M$62*($ED$80^2)+'LINEST VARS'!$L$62*(0.5^2)+'LINEST VARS'!$K$62*($DV90^2)+'LINEST VARS'!$J$62*(8*8)+'LINEST VARS'!$I$62*(8*$ED$80)+'LINEST VARS'!$H$62*(8*0.5)+'LINEST VARS'!$G$62*(8*$DV90)+'LINEST VARS'!$F$62*(8*$ED$80)+'LINEST VARS'!$E$62*(8*0.5)+'LINEST VARS'!$D$62*(8*$DV90)+'LINEST VARS'!$C$62*($ED$80*0.5)+'LINEST VARS'!$B$62*($ED$80*$DV90)+'LINEST VARS'!$A$62*(0.5*$DV90)</f>
        <v>310.3</v>
      </c>
      <c r="EE90" s="55">
        <f>'LINEST VARS'!$U$62+'LINEST VARS'!$T$62*(8)+'LINEST VARS'!$S$62*(8)+'LINEST VARS'!$R$62*($EE$80)+'LINEST VARS'!$Q$62*(0.5)+'LINEST VARS'!$P$62*($DV90)+'LINEST VARS'!$O$62*(8^2)+'LINEST VARS'!$N$62*(8^2)+'LINEST VARS'!$M$62*($EE$80^2)+'LINEST VARS'!$L$62*(0.5^2)+'LINEST VARS'!$K$62*($DV90^2)+'LINEST VARS'!$J$62*(8*8)+'LINEST VARS'!$I$62*(8*$EE$80)+'LINEST VARS'!$H$62*(8*0.5)+'LINEST VARS'!$G$62*(8*$DV90)+'LINEST VARS'!$F$62*(8*$EE$80)+'LINEST VARS'!$E$62*(8*0.5)+'LINEST VARS'!$D$62*(8*$DV90)+'LINEST VARS'!$C$62*($EE$80*0.5)+'LINEST VARS'!$B$62*($EE$80*$DV90)+'LINEST VARS'!$A$62*(0.5*$DV90)</f>
        <v>298.3</v>
      </c>
      <c r="EF90" s="55">
        <f>'LINEST VARS'!$U$62+'LINEST VARS'!$T$62*(8)+'LINEST VARS'!$S$62*(8)+'LINEST VARS'!$R$62*($EF$80)+'LINEST VARS'!$Q$62*(0.5)+'LINEST VARS'!$P$62*($DV90)+'LINEST VARS'!$O$62*(8^2)+'LINEST VARS'!$N$62*(8^2)+'LINEST VARS'!$M$62*($EF$80^2)+'LINEST VARS'!$L$62*(0.5^2)+'LINEST VARS'!$K$62*($DV90^2)+'LINEST VARS'!$J$62*(8*8)+'LINEST VARS'!$I$62*(8*$EF$80)+'LINEST VARS'!$H$62*(8*0.5)+'LINEST VARS'!$G$62*(8*$DV90)+'LINEST VARS'!$F$62*(8*$EF$80)+'LINEST VARS'!$E$62*(8*0.5)+'LINEST VARS'!$D$62*(8*$DV90)+'LINEST VARS'!$C$62*($EF$80*0.5)+'LINEST VARS'!$B$62*($EF$80*$DV90)+'LINEST VARS'!$A$62*(0.5*$DV90)</f>
        <v>284.7</v>
      </c>
      <c r="EG90" s="55">
        <f>'LINEST VARS'!$U$62+'LINEST VARS'!$T$62*(8)+'LINEST VARS'!$S$62*(8)+'LINEST VARS'!$R$62*($EG$80)+'LINEST VARS'!$Q$62*(0.5)+'LINEST VARS'!$P$62*($DV90)+'LINEST VARS'!$O$62*(8^2)+'LINEST VARS'!$N$62*(8^2)+'LINEST VARS'!$M$62*($EG$80^2)+'LINEST VARS'!$L$62*(0.5^2)+'LINEST VARS'!$K$62*($DV90^2)+'LINEST VARS'!$J$62*(8*8)+'LINEST VARS'!$I$62*(8*$EG$80)+'LINEST VARS'!$H$62*(8*0.5)+'LINEST VARS'!$G$62*(8*$DV90)+'LINEST VARS'!$F$62*(8*$EG$80)+'LINEST VARS'!$E$62*(8*0.5)+'LINEST VARS'!$D$62*(8*$DV90)+'LINEST VARS'!$C$62*($EG$80*0.5)+'LINEST VARS'!$B$62*($EG$80*$DV90)+'LINEST VARS'!$A$62*(0.5*$DV90)</f>
        <v>269.5</v>
      </c>
      <c r="EH90" s="55">
        <f>'LINEST VARS'!$U$62+'LINEST VARS'!$T$62*(8)+'LINEST VARS'!$S$62*(8)+'LINEST VARS'!$R$62*($EH$80)+'LINEST VARS'!$Q$62*(0.5)+'LINEST VARS'!$P$62*($DV90)+'LINEST VARS'!$O$62*(8^2)+'LINEST VARS'!$N$62*(8^2)+'LINEST VARS'!$M$62*($EH$80^2)+'LINEST VARS'!$L$62*(0.5^2)+'LINEST VARS'!$K$62*($DV90^2)+'LINEST VARS'!$J$62*(8*8)+'LINEST VARS'!$I$62*(8*$EH$80)+'LINEST VARS'!$H$62*(8*0.5)+'LINEST VARS'!$G$62*(8*$DV90)+'LINEST VARS'!$F$62*(8*$EH$80)+'LINEST VARS'!$E$62*(8*0.5)+'LINEST VARS'!$D$62*(8*$DV90)+'LINEST VARS'!$C$62*($EH$80*0.5)+'LINEST VARS'!$B$62*($EH$80*$DV90)+'LINEST VARS'!$A$62*(0.5*$DV90)</f>
        <v>252.70000000000005</v>
      </c>
      <c r="EI90" s="55">
        <f>'LINEST VARS'!$U$62+'LINEST VARS'!$T$62*(8)+'LINEST VARS'!$S$62*(8)+'LINEST VARS'!$R$62*($EI$80)+'LINEST VARS'!$Q$62*(0.5)+'LINEST VARS'!$P$62*($DV90)+'LINEST VARS'!$O$62*(8^2)+'LINEST VARS'!$N$62*(8^2)+'LINEST VARS'!$M$62*($EI$80^2)+'LINEST VARS'!$L$62*(0.5^2)+'LINEST VARS'!$K$62*($DV90^2)+'LINEST VARS'!$J$62*(8*8)+'LINEST VARS'!$I$62*(8*$EI$80)+'LINEST VARS'!$H$62*(8*0.5)+'LINEST VARS'!$G$62*(8*$DV90)+'LINEST VARS'!$F$62*(8*$EI$80)+'LINEST VARS'!$E$62*(8*0.5)+'LINEST VARS'!$D$62*(8*$DV90)+'LINEST VARS'!$C$62*($EI$80*0.5)+'LINEST VARS'!$B$62*($EI$80*$DV90)+'LINEST VARS'!$A$62*(0.5*$DV90)</f>
        <v>234.30000000000007</v>
      </c>
      <c r="EJ90" s="55">
        <f>'LINEST VARS'!$U$62+'LINEST VARS'!$T$62*(8)+'LINEST VARS'!$S$62*(8)+'LINEST VARS'!$R$62*($EJ$80)+'LINEST VARS'!$Q$62*(0.5)+'LINEST VARS'!$P$62*($DV90)+'LINEST VARS'!$O$62*(8^2)+'LINEST VARS'!$N$62*(8^2)+'LINEST VARS'!$M$62*($EJ$80^2)+'LINEST VARS'!$L$62*(0.5^2)+'LINEST VARS'!$K$62*($DV90^2)+'LINEST VARS'!$J$62*(8*8)+'LINEST VARS'!$I$62*(8*$EJ$80)+'LINEST VARS'!$H$62*(8*0.5)+'LINEST VARS'!$G$62*(8*$DV90)+'LINEST VARS'!$F$62*(8*$EJ$80)+'LINEST VARS'!$E$62*(8*0.5)+'LINEST VARS'!$D$62*(8*$DV90)+'LINEST VARS'!$C$62*($EJ$80*0.5)+'LINEST VARS'!$B$62*($EJ$80*$DV90)+'LINEST VARS'!$A$62*(0.5*$DV90)</f>
        <v>214.3</v>
      </c>
      <c r="EK90" s="55">
        <f>'LINEST VARS'!$U$62+'LINEST VARS'!$T$62*(8)+'LINEST VARS'!$S$62*(8)+'LINEST VARS'!$R$62*($EK$80)+'LINEST VARS'!$Q$62*(0.5)+'LINEST VARS'!$P$62*($DV90)+'LINEST VARS'!$O$62*(8^2)+'LINEST VARS'!$N$62*(8^2)+'LINEST VARS'!$M$62*($EK$80^2)+'LINEST VARS'!$L$62*(0.5^2)+'LINEST VARS'!$K$62*($DV90^2)+'LINEST VARS'!$J$62*(8*8)+'LINEST VARS'!$I$62*(8*$EK$80)+'LINEST VARS'!$H$62*(8*0.5)+'LINEST VARS'!$G$62*(8*$DV90)+'LINEST VARS'!$F$62*(8*$EK$80)+'LINEST VARS'!$E$62*(8*0.5)+'LINEST VARS'!$D$62*(8*$DV90)+'LINEST VARS'!$C$62*($EK$80*0.5)+'LINEST VARS'!$B$62*($EK$80*$DV90)+'LINEST VARS'!$A$62*(0.5*$DV90)</f>
        <v>192.7000000000001</v>
      </c>
      <c r="EL90" s="55">
        <f>'LINEST VARS'!$U$62+'LINEST VARS'!$T$62*(8)+'LINEST VARS'!$S$62*(8)+'LINEST VARS'!$R$62*($EL$80)+'LINEST VARS'!$Q$62*(0.5)+'LINEST VARS'!$P$62*($DV90)+'LINEST VARS'!$O$62*(8^2)+'LINEST VARS'!$N$62*(8^2)+'LINEST VARS'!$M$62*($EL$80^2)+'LINEST VARS'!$L$62*(0.5^2)+'LINEST VARS'!$K$62*($DV90^2)+'LINEST VARS'!$J$62*(8*8)+'LINEST VARS'!$I$62*(8*$EL$80)+'LINEST VARS'!$H$62*(8*0.5)+'LINEST VARS'!$G$62*(8*$DV90)+'LINEST VARS'!$F$62*(8*$EL$80)+'LINEST VARS'!$E$62*(8*0.5)+'LINEST VARS'!$D$62*(8*$DV90)+'LINEST VARS'!$C$62*($EL$80*0.5)+'LINEST VARS'!$B$62*($EL$80*$DV90)+'LINEST VARS'!$A$62*(0.5*$DV90)</f>
        <v>169.50000000000009</v>
      </c>
      <c r="EM90" s="55">
        <f>'LINEST VARS'!$U$62+'LINEST VARS'!$T$62*(8)+'LINEST VARS'!$S$62*(8)+'LINEST VARS'!$R$62*($EM$80)+'LINEST VARS'!$Q$62*(0.5)+'LINEST VARS'!$P$62*($DV90)+'LINEST VARS'!$O$62*(8^2)+'LINEST VARS'!$N$62*(8^2)+'LINEST VARS'!$M$62*($EM$80^2)+'LINEST VARS'!$L$62*(0.5^2)+'LINEST VARS'!$K$62*($DV90^2)+'LINEST VARS'!$J$62*(8*8)+'LINEST VARS'!$I$62*(8*$EM$80)+'LINEST VARS'!$H$62*(8*0.5)+'LINEST VARS'!$G$62*(8*$DV90)+'LINEST VARS'!$F$62*(8*$EM$80)+'LINEST VARS'!$E$62*(8*0.5)+'LINEST VARS'!$D$62*(8*$DV90)+'LINEST VARS'!$C$62*($EM$80*0.5)+'LINEST VARS'!$B$62*($EM$80*$DV90)+'LINEST VARS'!$A$62*(0.5*$DV90)</f>
        <v>144.70000000000007</v>
      </c>
      <c r="EN90" s="55">
        <f>'LINEST VARS'!$U$62+'LINEST VARS'!$T$62*(8)+'LINEST VARS'!$S$62*(8)+'LINEST VARS'!$R$62*($EN$80)+'LINEST VARS'!$Q$62*(0.5)+'LINEST VARS'!$P$62*($DV90)+'LINEST VARS'!$O$62*(8^2)+'LINEST VARS'!$N$62*(8^2)+'LINEST VARS'!$M$62*($EN$80^2)+'LINEST VARS'!$L$62*(0.5^2)+'LINEST VARS'!$K$62*($DV90^2)+'LINEST VARS'!$J$62*(8*8)+'LINEST VARS'!$I$62*(8*$EN$80)+'LINEST VARS'!$H$62*(8*0.5)+'LINEST VARS'!$G$62*(8*$DV90)+'LINEST VARS'!$F$62*(8*$EN$80)+'LINEST VARS'!$E$62*(8*0.5)+'LINEST VARS'!$D$62*(8*$DV90)+'LINEST VARS'!$C$62*($EN$80*0.5)+'LINEST VARS'!$B$62*($EN$80*$DV90)+'LINEST VARS'!$A$62*(0.5*$DV90)</f>
        <v>118.30000000000013</v>
      </c>
      <c r="EO90" s="55">
        <f>'LINEST VARS'!$U$62+'LINEST VARS'!$T$62*(8)+'LINEST VARS'!$S$62*(8)+'LINEST VARS'!$R$62*($EO$80)+'LINEST VARS'!$Q$62*(0.5)+'LINEST VARS'!$P$62*($DV90)+'LINEST VARS'!$O$62*(8^2)+'LINEST VARS'!$N$62*(8^2)+'LINEST VARS'!$M$62*($EO$80^2)+'LINEST VARS'!$L$62*(0.5^2)+'LINEST VARS'!$K$62*($DV90^2)+'LINEST VARS'!$J$62*(8*8)+'LINEST VARS'!$I$62*(8*$EO$80)+'LINEST VARS'!$H$62*(8*0.5)+'LINEST VARS'!$G$62*(8*$DV90)+'LINEST VARS'!$F$62*(8*$EO$80)+'LINEST VARS'!$E$62*(8*0.5)+'LINEST VARS'!$D$62*(8*$DV90)+'LINEST VARS'!$C$62*($EO$80*0.5)+'LINEST VARS'!$B$62*($EO$80*$DV90)+'LINEST VARS'!$A$62*(0.5*$DV90)</f>
        <v>90.300000000000111</v>
      </c>
      <c r="EP90" s="55">
        <f>'LINEST VARS'!$U$62+'LINEST VARS'!$T$62*(8)+'LINEST VARS'!$S$62*(8)+'LINEST VARS'!$R$62*($EP$80)+'LINEST VARS'!$Q$62*(0.5)+'LINEST VARS'!$P$62*($DV90)+'LINEST VARS'!$O$62*(8^2)+'LINEST VARS'!$N$62*(8^2)+'LINEST VARS'!$M$62*($EP$80^2)+'LINEST VARS'!$L$62*(0.5^2)+'LINEST VARS'!$K$62*($DV90^2)+'LINEST VARS'!$J$62*(8*8)+'LINEST VARS'!$I$62*(8*$EP$80)+'LINEST VARS'!$H$62*(8*0.5)+'LINEST VARS'!$G$62*(8*$DV90)+'LINEST VARS'!$F$62*(8*$EP$80)+'LINEST VARS'!$E$62*(8*0.5)+'LINEST VARS'!$D$62*(8*$DV90)+'LINEST VARS'!$C$62*($EP$80*0.5)+'LINEST VARS'!$B$62*($EP$80*$DV90)+'LINEST VARS'!$A$62*(0.5*$DV90)</f>
        <v>60.700000000000159</v>
      </c>
      <c r="EQ90" s="56">
        <f>'LINEST VARS'!$U$62+'LINEST VARS'!$T$62*(8)+'LINEST VARS'!$S$62*(8)+'LINEST VARS'!$R$62*($EQ$80)+'LINEST VARS'!$Q$62*(0.5)+'LINEST VARS'!$P$62*($DV90)+'LINEST VARS'!$O$62*(8^2)+'LINEST VARS'!$N$62*(8^2)+'LINEST VARS'!$M$62*($EQ$80^2)+'LINEST VARS'!$L$62*(0.5^2)+'LINEST VARS'!$K$62*($DV90^2)+'LINEST VARS'!$J$62*(8*8)+'LINEST VARS'!$I$62*(8*$EQ$80)+'LINEST VARS'!$H$62*(8*0.5)+'LINEST VARS'!$G$62*(8*$DV90)+'LINEST VARS'!$F$62*(8*$EQ$80)+'LINEST VARS'!$E$62*(8*0.5)+'LINEST VARS'!$D$62*(8*$DV90)+'LINEST VARS'!$C$62*($EQ$80*0.5)+'LINEST VARS'!$B$62*($EQ$80*$DV90)+'LINEST VARS'!$A$62*(0.5*$DV90)</f>
        <v>29.500000000000199</v>
      </c>
    </row>
    <row r="91" spans="2:147" ht="15" customHeight="1" x14ac:dyDescent="0.25">
      <c r="B91" s="45">
        <v>8</v>
      </c>
      <c r="C91" s="46">
        <f>'LINEST VARS'!$U$60+'LINEST VARS'!$T$60*($C$80)+'LINEST VARS'!$S$60*($B91)+'LINEST VARS'!$R$60*(4)+'LINEST VARS'!$Q$60*(0.5)+'LINEST VARS'!$P$60*(12.73)+'LINEST VARS'!$O$60*($C$80^2)+'LINEST VARS'!$N$60*($B91^2)+'LINEST VARS'!$M$60*(4^2)+'LINEST VARS'!$L$60*(0.5^2)+'LINEST VARS'!$K$60*(12.73^2)+'LINEST VARS'!$J$60*($C$80*$B91)+'LINEST VARS'!$I$60*($C$80*4)+'LINEST VARS'!$H$60*($C$80*0.5)+'LINEST VARS'!$G$60*($C$80*12.73)+'LINEST VARS'!$F$60*($B91*4)+'LINEST VARS'!$E$60*($B91*0.5)+'LINEST VARS'!$D$60*($B91*12.73)+'LINEST VARS'!$C$60*(4*0.5)+'LINEST VARS'!$B$60*(4*12.73)+'LINEST VARS'!$A$60*(0.5*12.73)</f>
        <v>40.460000000000015</v>
      </c>
      <c r="D91" s="46">
        <f>'LINEST VARS'!$U$60+'LINEST VARS'!$T$60*($D$80)+'LINEST VARS'!$S$60*($B91)+'LINEST VARS'!$R$60*(4)+'LINEST VARS'!$Q$60*(0.5)+'LINEST VARS'!$P$60*(12.73)+'LINEST VARS'!$O$60*($D$80^2)+'LINEST VARS'!$N$60*($B91^2)+'LINEST VARS'!$M$60*(4^2)+'LINEST VARS'!$L$60*(0.5^2)+'LINEST VARS'!$K$60*(12.73^2)+'LINEST VARS'!$J$60*($D$80*$B91)+'LINEST VARS'!$I$60*($D$80*4)+'LINEST VARS'!$H$60*($D$80*0.5)+'LINEST VARS'!$G$60*($D$80*12.73)+'LINEST VARS'!$F$60*($B91*4)+'LINEST VARS'!$E$60*($B91*0.5)+'LINEST VARS'!$D$60*($B91*12.73)+'LINEST VARS'!$C$60*(4*0.5)+'LINEST VARS'!$B$60*(4*12.73)+'LINEST VARS'!$A$60*(0.5*12.73)</f>
        <v>40.460000000000015</v>
      </c>
      <c r="E91" s="46">
        <f>'LINEST VARS'!$U$60+'LINEST VARS'!$T$60*($E$80)+'LINEST VARS'!$S$60*($B91)+'LINEST VARS'!$R$60*(4)+'LINEST VARS'!$Q$60*(0.5)+'LINEST VARS'!$P$60*(12.73)+'LINEST VARS'!$O$60*($E$80^2)+'LINEST VARS'!$N$60*($B91^2)+'LINEST VARS'!$M$60*(4^2)+'LINEST VARS'!$L$60*(0.5^2)+'LINEST VARS'!$K$60*(12.73^2)+'LINEST VARS'!$J$60*($E$80*$B91)+'LINEST VARS'!$I$60*($E$80*4)+'LINEST VARS'!$H$60*($E$80*0.5)+'LINEST VARS'!$G$60*($E$80*12.73)+'LINEST VARS'!$F$60*($B91*4)+'LINEST VARS'!$E$60*($B91*0.5)+'LINEST VARS'!$D$60*($B91*12.73)+'LINEST VARS'!$C$60*(4*0.5)+'LINEST VARS'!$B$60*(4*12.73)+'LINEST VARS'!$A$60*(0.5*12.73)</f>
        <v>40.460000000000015</v>
      </c>
      <c r="F91" s="46">
        <f>'LINEST VARS'!$U$60+'LINEST VARS'!$T$60*($F$80)+'LINEST VARS'!$S$60*($B91)+'LINEST VARS'!$R$60*(4)+'LINEST VARS'!$Q$60*(0.5)+'LINEST VARS'!$P$60*(12.73)+'LINEST VARS'!$O$60*($F$80^2)+'LINEST VARS'!$N$60*($B91^2)+'LINEST VARS'!$M$60*(4^2)+'LINEST VARS'!$L$60*(0.5^2)+'LINEST VARS'!$K$60*(12.73^2)+'LINEST VARS'!$J$60*($F$80*$B91)+'LINEST VARS'!$I$60*($F$80*4)+'LINEST VARS'!$H$60*($F$80*0.5)+'LINEST VARS'!$G$60*($F$80*12.73)+'LINEST VARS'!$F$60*($B91*4)+'LINEST VARS'!$E$60*($B91*0.5)+'LINEST VARS'!$D$60*($B91*12.73)+'LINEST VARS'!$C$60*(4*0.5)+'LINEST VARS'!$B$60*(4*12.73)+'LINEST VARS'!$A$60*(0.5*12.73)</f>
        <v>40.460000000000015</v>
      </c>
      <c r="G91" s="46">
        <f>'LINEST VARS'!$U$60+'LINEST VARS'!$T$60*($G$80)+'LINEST VARS'!$S$60*($B91)+'LINEST VARS'!$R$60*(4)+'LINEST VARS'!$Q$60*(0.5)+'LINEST VARS'!$P$60*(12.73)+'LINEST VARS'!$O$60*($G$80^2)+'LINEST VARS'!$N$60*($B91^2)+'LINEST VARS'!$M$60*(4^2)+'LINEST VARS'!$L$60*(0.5^2)+'LINEST VARS'!$K$60*(12.73^2)+'LINEST VARS'!$J$60*($G$80*$B91)+'LINEST VARS'!$I$60*($G$80*4)+'LINEST VARS'!$H$60*($G$80*0.5)+'LINEST VARS'!$G$60*($G$80*12.73)+'LINEST VARS'!$F$60*($B91*4)+'LINEST VARS'!$E$60*($B91*0.5)+'LINEST VARS'!$D$60*($B91*12.73)+'LINEST VARS'!$C$60*(4*0.5)+'LINEST VARS'!$B$60*(4*12.73)+'LINEST VARS'!$A$60*(0.5*12.73)</f>
        <v>40.460000000000015</v>
      </c>
      <c r="H91" s="46">
        <f>'LINEST VARS'!$U$60+'LINEST VARS'!$T$60*($H$80)+'LINEST VARS'!$S$60*($B91)+'LINEST VARS'!$R$60*(4)+'LINEST VARS'!$Q$60*(0.5)+'LINEST VARS'!$P$60*(12.73)+'LINEST VARS'!$O$60*($H$80^2)+'LINEST VARS'!$N$60*($B91^2)+'LINEST VARS'!$M$60*(4^2)+'LINEST VARS'!$L$60*(0.5^2)+'LINEST VARS'!$K$60*(12.73^2)+'LINEST VARS'!$J$60*($H$80*$B91)+'LINEST VARS'!$I$60*($H$80*4)+'LINEST VARS'!$H$60*($H$80*0.5)+'LINEST VARS'!$G$60*($H$80*12.73)+'LINEST VARS'!$F$60*($B91*4)+'LINEST VARS'!$E$60*($B91*0.5)+'LINEST VARS'!$D$60*($B91*12.73)+'LINEST VARS'!$C$60*(4*0.5)+'LINEST VARS'!$B$60*(4*12.73)+'LINEST VARS'!$A$60*(0.5*12.73)</f>
        <v>40.460000000000015</v>
      </c>
      <c r="I91" s="46">
        <f>'LINEST VARS'!$U$60+'LINEST VARS'!$T$60*($I$80)+'LINEST VARS'!$S$60*($B91)+'LINEST VARS'!$R$60*(4)+'LINEST VARS'!$Q$60*(0.5)+'LINEST VARS'!$P$60*(12.73)+'LINEST VARS'!$O$60*($I$80^2)+'LINEST VARS'!$N$60*($B91^2)+'LINEST VARS'!$M$60*(4^2)+'LINEST VARS'!$L$60*(0.5^2)+'LINEST VARS'!$K$60*(12.73^2)+'LINEST VARS'!$J$60*($I$80*$B91)+'LINEST VARS'!$I$60*($I$80*4)+'LINEST VARS'!$H$60*($I$80*0.5)+'LINEST VARS'!$G$60*($I$80*12.73)+'LINEST VARS'!$F$60*($B91*4)+'LINEST VARS'!$E$60*($B91*0.5)+'LINEST VARS'!$D$60*($B91*12.73)+'LINEST VARS'!$C$60*(4*0.5)+'LINEST VARS'!$B$60*(4*12.73)+'LINEST VARS'!$A$60*(0.5*12.73)</f>
        <v>40.460000000000022</v>
      </c>
      <c r="J91" s="46">
        <f>'LINEST VARS'!$U$60+'LINEST VARS'!$T$60*($J$80)+'LINEST VARS'!$S$60*($B91)+'LINEST VARS'!$R$60*(4)+'LINEST VARS'!$Q$60*(0.5)+'LINEST VARS'!$P$60*(12.73)+'LINEST VARS'!$O$60*($J$80^2)+'LINEST VARS'!$N$60*($B91^2)+'LINEST VARS'!$M$60*(4^2)+'LINEST VARS'!$L$60*(0.5^2)+'LINEST VARS'!$K$60*(12.73^2)+'LINEST VARS'!$J$60*($J$80*$B91)+'LINEST VARS'!$I$60*($J$80*4)+'LINEST VARS'!$H$60*($J$80*0.5)+'LINEST VARS'!$G$60*($J$80*12.73)+'LINEST VARS'!$F$60*($B91*4)+'LINEST VARS'!$E$60*($B91*0.5)+'LINEST VARS'!$D$60*($B91*12.73)+'LINEST VARS'!$C$60*(4*0.5)+'LINEST VARS'!$B$60*(4*12.73)+'LINEST VARS'!$A$60*(0.5*12.73)</f>
        <v>40.460000000000022</v>
      </c>
      <c r="K91" s="46">
        <f>'LINEST VARS'!$U$60+'LINEST VARS'!$T$60*($K$80)+'LINEST VARS'!$S$60*($B91)+'LINEST VARS'!$R$60*(4)+'LINEST VARS'!$Q$60*(0.5)+'LINEST VARS'!$P$60*(12.73)+'LINEST VARS'!$O$60*($K$80^2)+'LINEST VARS'!$N$60*($B91^2)+'LINEST VARS'!$M$60*(4^2)+'LINEST VARS'!$L$60*(0.5^2)+'LINEST VARS'!$K$60*(12.73^2)+'LINEST VARS'!$J$60*($K$80*$B91)+'LINEST VARS'!$I$60*($K$80*4)+'LINEST VARS'!$H$60*($K$80*0.5)+'LINEST VARS'!$G$60*($K$80*12.73)+'LINEST VARS'!$F$60*($B91*4)+'LINEST VARS'!$E$60*($B91*0.5)+'LINEST VARS'!$D$60*($B91*12.73)+'LINEST VARS'!$C$60*(4*0.5)+'LINEST VARS'!$B$60*(4*12.73)+'LINEST VARS'!$A$60*(0.5*12.73)</f>
        <v>40.460000000000015</v>
      </c>
      <c r="L91" s="46">
        <f>'LINEST VARS'!$U$60+'LINEST VARS'!$T$60*($L$80)+'LINEST VARS'!$S$60*($B91)+'LINEST VARS'!$R$60*(4)+'LINEST VARS'!$Q$60*(0.5)+'LINEST VARS'!$P$60*(12.73)+'LINEST VARS'!$O$60*($L$80^2)+'LINEST VARS'!$N$60*($B91^2)+'LINEST VARS'!$M$60*(4^2)+'LINEST VARS'!$L$60*(0.5^2)+'LINEST VARS'!$K$60*(12.73^2)+'LINEST VARS'!$J$60*($L$80*$B91)+'LINEST VARS'!$I$60*($L$80*4)+'LINEST VARS'!$H$60*($L$80*0.5)+'LINEST VARS'!$G$60*($L$80*12.73)+'LINEST VARS'!$F$60*($B91*4)+'LINEST VARS'!$E$60*($B91*0.5)+'LINEST VARS'!$D$60*($B91*12.73)+'LINEST VARS'!$C$60*(4*0.5)+'LINEST VARS'!$B$60*(4*12.73)+'LINEST VARS'!$A$60*(0.5*12.73)</f>
        <v>40.460000000000015</v>
      </c>
      <c r="M91" s="46">
        <f>'LINEST VARS'!$U$60+'LINEST VARS'!$T$60*($M$80)+'LINEST VARS'!$S$60*($B91)+'LINEST VARS'!$R$60*(4)+'LINEST VARS'!$Q$60*(0.5)+'LINEST VARS'!$P$60*(12.73)+'LINEST VARS'!$O$60*($M$80^2)+'LINEST VARS'!$N$60*($B91^2)+'LINEST VARS'!$M$60*(4^2)+'LINEST VARS'!$L$60*(0.5^2)+'LINEST VARS'!$K$60*(12.73^2)+'LINEST VARS'!$J$60*($M$80*$B91)+'LINEST VARS'!$I$60*($M$80*4)+'LINEST VARS'!$H$60*($M$80*0.5)+'LINEST VARS'!$G$60*($M$80*12.73)+'LINEST VARS'!$F$60*($B91*4)+'LINEST VARS'!$E$60*($B91*0.5)+'LINEST VARS'!$D$60*($B91*12.73)+'LINEST VARS'!$C$60*(4*0.5)+'LINEST VARS'!$B$60*(4*12.73)+'LINEST VARS'!$A$60*(0.5*12.73)</f>
        <v>40.460000000000015</v>
      </c>
      <c r="N91" s="46">
        <f>'LINEST VARS'!$U$60+'LINEST VARS'!$T$60*($N$80)+'LINEST VARS'!$S$60*($B91)+'LINEST VARS'!$R$60*(4)+'LINEST VARS'!$Q$60*(0.5)+'LINEST VARS'!$P$60*(12.73)+'LINEST VARS'!$O$60*($N$80^2)+'LINEST VARS'!$N$60*($B91^2)+'LINEST VARS'!$M$60*(4^2)+'LINEST VARS'!$L$60*(0.5^2)+'LINEST VARS'!$K$60*(12.73^2)+'LINEST VARS'!$J$60*($N$80*$B91)+'LINEST VARS'!$I$60*($N$80*4)+'LINEST VARS'!$H$60*($N$80*0.5)+'LINEST VARS'!$G$60*($N$80*12.73)+'LINEST VARS'!$F$60*($B91*4)+'LINEST VARS'!$E$60*($B91*0.5)+'LINEST VARS'!$D$60*($B91*12.73)+'LINEST VARS'!$C$60*(4*0.5)+'LINEST VARS'!$B$60*(4*12.73)+'LINEST VARS'!$A$60*(0.5*12.73)</f>
        <v>40.460000000000015</v>
      </c>
      <c r="O91" s="46">
        <f>'LINEST VARS'!$U$60+'LINEST VARS'!$T$60*($O$80)+'LINEST VARS'!$S$60*($B91)+'LINEST VARS'!$R$60*(4)+'LINEST VARS'!$Q$60*(0.5)+'LINEST VARS'!$P$60*(12.73)+'LINEST VARS'!$O$60*($O$80^2)+'LINEST VARS'!$N$60*($B91^2)+'LINEST VARS'!$M$60*(4^2)+'LINEST VARS'!$L$60*(0.5^2)+'LINEST VARS'!$K$60*(12.73^2)+'LINEST VARS'!$J$60*($O$80*$B91)+'LINEST VARS'!$I$60*($O$80*4)+'LINEST VARS'!$H$60*($O$80*0.5)+'LINEST VARS'!$G$60*($O$80*12.73)+'LINEST VARS'!$F$60*($B91*4)+'LINEST VARS'!$E$60*($B91*0.5)+'LINEST VARS'!$D$60*($B91*12.73)+'LINEST VARS'!$C$60*(4*0.5)+'LINEST VARS'!$B$60*(4*12.73)+'LINEST VARS'!$A$60*(0.5*12.73)</f>
        <v>40.460000000000022</v>
      </c>
      <c r="P91" s="46">
        <f>'LINEST VARS'!$U$60+'LINEST VARS'!$T$60*($P$80)+'LINEST VARS'!$S$60*($B91)+'LINEST VARS'!$R$60*(4)+'LINEST VARS'!$Q$60*(0.5)+'LINEST VARS'!$P$60*(12.73)+'LINEST VARS'!$O$60*($P$80^2)+'LINEST VARS'!$N$60*($B91^2)+'LINEST VARS'!$M$60*(4^2)+'LINEST VARS'!$L$60*(0.5^2)+'LINEST VARS'!$K$60*(12.73^2)+'LINEST VARS'!$J$60*($P$80*$B91)+'LINEST VARS'!$I$60*($P$80*4)+'LINEST VARS'!$H$60*($P$80*0.5)+'LINEST VARS'!$G$60*($P$80*12.73)+'LINEST VARS'!$F$60*($B91*4)+'LINEST VARS'!$E$60*($B91*0.5)+'LINEST VARS'!$D$60*($B91*12.73)+'LINEST VARS'!$C$60*(4*0.5)+'LINEST VARS'!$B$60*(4*12.73)+'LINEST VARS'!$A$60*(0.5*12.73)</f>
        <v>40.460000000000022</v>
      </c>
      <c r="Q91" s="46">
        <f>'LINEST VARS'!$U$60+'LINEST VARS'!$T$60*($Q$80)+'LINEST VARS'!$S$60*($B91)+'LINEST VARS'!$R$60*(4)+'LINEST VARS'!$Q$60*(0.5)+'LINEST VARS'!$P$60*(12.73)+'LINEST VARS'!$O$60*($Q$80^2)+'LINEST VARS'!$N$60*($B91^2)+'LINEST VARS'!$M$60*(4^2)+'LINEST VARS'!$L$60*(0.5^2)+'LINEST VARS'!$K$60*(12.73^2)+'LINEST VARS'!$J$60*($Q$80*$B91)+'LINEST VARS'!$I$60*($Q$80*4)+'LINEST VARS'!$H$60*($Q$80*0.5)+'LINEST VARS'!$G$60*($Q$80*12.73)+'LINEST VARS'!$F$60*($B91*4)+'LINEST VARS'!$E$60*($B91*0.5)+'LINEST VARS'!$D$60*($B91*12.73)+'LINEST VARS'!$C$60*(4*0.5)+'LINEST VARS'!$B$60*(4*12.73)+'LINEST VARS'!$A$60*(0.5*12.73)</f>
        <v>40.460000000000022</v>
      </c>
      <c r="R91" s="46">
        <f>'LINEST VARS'!$U$60+'LINEST VARS'!$T$60*($R$80)+'LINEST VARS'!$S$60*($B91)+'LINEST VARS'!$R$60*(4)+'LINEST VARS'!$Q$60*(0.5)+'LINEST VARS'!$P$60*(12.73)+'LINEST VARS'!$O$60*($R$80^2)+'LINEST VARS'!$N$60*($B91^2)+'LINEST VARS'!$M$60*(4^2)+'LINEST VARS'!$L$60*(0.5^2)+'LINEST VARS'!$K$60*(12.73^2)+'LINEST VARS'!$J$60*($R$80*$B91)+'LINEST VARS'!$I$60*($R$80*4)+'LINEST VARS'!$H$60*($R$80*0.5)+'LINEST VARS'!$G$60*($R$80*12.73)+'LINEST VARS'!$F$60*($B91*4)+'LINEST VARS'!$E$60*($B91*0.5)+'LINEST VARS'!$D$60*($B91*12.73)+'LINEST VARS'!$C$60*(4*0.5)+'LINEST VARS'!$B$60*(4*12.73)+'LINEST VARS'!$A$60*(0.5*12.73)</f>
        <v>40.460000000000015</v>
      </c>
      <c r="S91" s="46">
        <f>'LINEST VARS'!$U$60+'LINEST VARS'!$T$60*($S$80)+'LINEST VARS'!$S$60*($B91)+'LINEST VARS'!$R$60*(4)+'LINEST VARS'!$Q$60*(0.5)+'LINEST VARS'!$P$60*(12.73)+'LINEST VARS'!$O$60*($S$80^2)+'LINEST VARS'!$N$60*($B91^2)+'LINEST VARS'!$M$60*(4^2)+'LINEST VARS'!$L$60*(0.5^2)+'LINEST VARS'!$K$60*(12.73^2)+'LINEST VARS'!$J$60*($S$80*$B91)+'LINEST VARS'!$I$60*($S$80*4)+'LINEST VARS'!$H$60*($S$80*0.5)+'LINEST VARS'!$G$60*($S$80*12.73)+'LINEST VARS'!$F$60*($B91*4)+'LINEST VARS'!$E$60*($B91*0.5)+'LINEST VARS'!$D$60*($B91*12.73)+'LINEST VARS'!$C$60*(4*0.5)+'LINEST VARS'!$B$60*(4*12.73)+'LINEST VARS'!$A$60*(0.5*12.73)</f>
        <v>40.460000000000015</v>
      </c>
      <c r="T91" s="46">
        <f>'LINEST VARS'!$U$60+'LINEST VARS'!$T$60*($T$80)+'LINEST VARS'!$S$60*($B91)+'LINEST VARS'!$R$60*(4)+'LINEST VARS'!$Q$60*(0.5)+'LINEST VARS'!$P$60*(12.73)+'LINEST VARS'!$O$60*($T$80^2)+'LINEST VARS'!$N$60*($B91^2)+'LINEST VARS'!$M$60*(4^2)+'LINEST VARS'!$L$60*(0.5^2)+'LINEST VARS'!$K$60*(12.73^2)+'LINEST VARS'!$J$60*($T$80*$B91)+'LINEST VARS'!$I$60*($T$80*4)+'LINEST VARS'!$H$60*($T$80*0.5)+'LINEST VARS'!$G$60*($T$80*12.73)+'LINEST VARS'!$F$60*($B91*4)+'LINEST VARS'!$E$60*($B91*0.5)+'LINEST VARS'!$D$60*($B91*12.73)+'LINEST VARS'!$C$60*(4*0.5)+'LINEST VARS'!$B$60*(4*12.73)+'LINEST VARS'!$A$60*(0.5*12.73)</f>
        <v>40.460000000000015</v>
      </c>
      <c r="U91" s="46">
        <f>'LINEST VARS'!$U$60+'LINEST VARS'!$T$60*($U$80)+'LINEST VARS'!$S$60*($B91)+'LINEST VARS'!$R$60*(4)+'LINEST VARS'!$Q$60*(0.5)+'LINEST VARS'!$P$60*(12.73)+'LINEST VARS'!$O$60*($U$80^2)+'LINEST VARS'!$N$60*($B91^2)+'LINEST VARS'!$M$60*(4^2)+'LINEST VARS'!$L$60*(0.5^2)+'LINEST VARS'!$K$60*(12.73^2)+'LINEST VARS'!$J$60*($U$80*$B91)+'LINEST VARS'!$I$60*($U$80*4)+'LINEST VARS'!$H$60*($U$80*0.5)+'LINEST VARS'!$G$60*($U$80*12.73)+'LINEST VARS'!$F$60*($B91*4)+'LINEST VARS'!$E$60*($B91*0.5)+'LINEST VARS'!$D$60*($B91*12.73)+'LINEST VARS'!$C$60*(4*0.5)+'LINEST VARS'!$B$60*(4*12.73)+'LINEST VARS'!$A$60*(0.5*12.73)</f>
        <v>40.460000000000022</v>
      </c>
      <c r="V91" s="46">
        <f>'LINEST VARS'!$U$60+'LINEST VARS'!$T$60*($V$80)+'LINEST VARS'!$S$60*($B91)+'LINEST VARS'!$R$60*(4)+'LINEST VARS'!$Q$60*(0.5)+'LINEST VARS'!$P$60*(12.73)+'LINEST VARS'!$O$60*($V$80^2)+'LINEST VARS'!$N$60*($B91^2)+'LINEST VARS'!$M$60*(4^2)+'LINEST VARS'!$L$60*(0.5^2)+'LINEST VARS'!$K$60*(12.73^2)+'LINEST VARS'!$J$60*($V$80*$B91)+'LINEST VARS'!$I$60*($V$80*4)+'LINEST VARS'!$H$60*($V$80*0.5)+'LINEST VARS'!$G$60*($V$80*12.73)+'LINEST VARS'!$F$60*($B91*4)+'LINEST VARS'!$E$60*($B91*0.5)+'LINEST VARS'!$D$60*($B91*12.73)+'LINEST VARS'!$C$60*(4*0.5)+'LINEST VARS'!$B$60*(4*12.73)+'LINEST VARS'!$A$60*(0.5*12.73)</f>
        <v>40.460000000000022</v>
      </c>
      <c r="W91" s="47">
        <f>'LINEST VARS'!$U$60+'LINEST VARS'!$T$60*($W$80)+'LINEST VARS'!$S$60*($B91)+'LINEST VARS'!$R$60*(4)+'LINEST VARS'!$Q$60*(0.5)+'LINEST VARS'!$P$60*(12.73)+'LINEST VARS'!$O$60*($W$80^2)+'LINEST VARS'!$N$60*($B91^2)+'LINEST VARS'!$M$60*(4^2)+'LINEST VARS'!$L$60*(0.5^2)+'LINEST VARS'!$K$60*(12.73^2)+'LINEST VARS'!$J$60*($W$80*$B91)+'LINEST VARS'!$I$60*($W$80*4)+'LINEST VARS'!$H$60*($W$80*0.5)+'LINEST VARS'!$G$60*($W$80*12.73)+'LINEST VARS'!$F$60*($B91*4)+'LINEST VARS'!$E$60*($B91*0.5)+'LINEST VARS'!$D$60*($B91*12.73)+'LINEST VARS'!$C$60*(4*0.5)+'LINEST VARS'!$B$60*(4*12.73)+'LINEST VARS'!$A$60*(0.5*12.73)</f>
        <v>40.460000000000022</v>
      </c>
      <c r="Z91" s="45">
        <v>8</v>
      </c>
      <c r="AA91" s="55">
        <f>'LINEST VARS'!$U$62+'LINEST VARS'!$T$62*($AA$80)+'LINEST VARS'!$S$62*($Z91)+'LINEST VARS'!$R$62*(4)+'LINEST VARS'!$Q$62*(0.5)+'LINEST VARS'!$P$62*(12.73)+'LINEST VARS'!$O$62*($AA$80^2)+'LINEST VARS'!$N$62*($Z91^2)+'LINEST VARS'!$M$62*(4^2)+'LINEST VARS'!$L$62*(0.5^2)+'LINEST VARS'!$K$62*(12.73^2)+'LINEST VARS'!$J$62*($AA$80*$Z91)+'LINEST VARS'!$I$62*($AA$80*4)+'LINEST VARS'!$H$62*($AA$80*0.5)+'LINEST VARS'!$G$62*($AA$80*12.73)+'LINEST VARS'!$F$62*($Z91*4)+'LINEST VARS'!$E$62*($Z91*0.5)+'LINEST VARS'!$D$62*($Z91*12.73)+'LINEST VARS'!$C$62*(4*0.5)+'LINEST VARS'!$B$62*(4*12.73)+'LINEST VARS'!$A$62*(0.5*12.73)</f>
        <v>269.49999999999994</v>
      </c>
      <c r="AB91" s="55">
        <f>'LINEST VARS'!$U$62+'LINEST VARS'!$T$62*($AB$80)+'LINEST VARS'!$S$62*($Z91)+'LINEST VARS'!$R$62*(4)+'LINEST VARS'!$Q$62*(0.5)+'LINEST VARS'!$P$62*(12.73)+'LINEST VARS'!$O$62*($AB$80^2)+'LINEST VARS'!$N$62*($Z91^2)+'LINEST VARS'!$M$62*(4^2)+'LINEST VARS'!$L$62*(0.5^2)+'LINEST VARS'!$K$62*(12.73^2)+'LINEST VARS'!$J$62*($AB$80*$Z91)+'LINEST VARS'!$I$62*($AB$80*4)+'LINEST VARS'!$H$62*($AB$80*0.5)+'LINEST VARS'!$G$62*($AB$80*12.73)+'LINEST VARS'!$F$62*($Z91*4)+'LINEST VARS'!$E$62*($Z91*0.5)+'LINEST VARS'!$D$62*($Z91*12.73)+'LINEST VARS'!$C$62*(4*0.5)+'LINEST VARS'!$B$62*(4*12.73)+'LINEST VARS'!$A$62*(0.5*12.73)</f>
        <v>269.5</v>
      </c>
      <c r="AC91" s="55">
        <f>'LINEST VARS'!$U$62+'LINEST VARS'!$T$62*($AC$80)+'LINEST VARS'!$S$62*($Z91)+'LINEST VARS'!$R$62*(4)+'LINEST VARS'!$Q$62*(0.5)+'LINEST VARS'!$P$62*(12.73)+'LINEST VARS'!$O$62*($AC$80^2)+'LINEST VARS'!$N$62*($Z91^2)+'LINEST VARS'!$M$62*(4^2)+'LINEST VARS'!$L$62*(0.5^2)+'LINEST VARS'!$K$62*(12.73^2)+'LINEST VARS'!$J$62*($AC$80*$Z91)+'LINEST VARS'!$I$62*($AC$80*4)+'LINEST VARS'!$H$62*($AC$80*0.5)+'LINEST VARS'!$G$62*($AC$80*12.73)+'LINEST VARS'!$F$62*($Z91*4)+'LINEST VARS'!$E$62*($Z91*0.5)+'LINEST VARS'!$D$62*($Z91*12.73)+'LINEST VARS'!$C$62*(4*0.5)+'LINEST VARS'!$B$62*(4*12.73)+'LINEST VARS'!$A$62*(0.5*12.73)</f>
        <v>269.49999999999994</v>
      </c>
      <c r="AD91" s="55">
        <f>'LINEST VARS'!$U$62+'LINEST VARS'!$T$62*($AD$80)+'LINEST VARS'!$S$62*($Z91)+'LINEST VARS'!$R$62*(4)+'LINEST VARS'!$Q$62*(0.5)+'LINEST VARS'!$P$62*(12.73)+'LINEST VARS'!$O$62*($AD$80^2)+'LINEST VARS'!$N$62*($Z91^2)+'LINEST VARS'!$M$62*(4^2)+'LINEST VARS'!$L$62*(0.5^2)+'LINEST VARS'!$K$62*(12.73^2)+'LINEST VARS'!$J$62*($AD$80*$Z91)+'LINEST VARS'!$I$62*($AD$80*4)+'LINEST VARS'!$H$62*($AD$80*0.5)+'LINEST VARS'!$G$62*($AD$80*12.73)+'LINEST VARS'!$F$62*($Z91*4)+'LINEST VARS'!$E$62*($Z91*0.5)+'LINEST VARS'!$D$62*($Z91*12.73)+'LINEST VARS'!$C$62*(4*0.5)+'LINEST VARS'!$B$62*(4*12.73)+'LINEST VARS'!$A$62*(0.5*12.73)</f>
        <v>269.5</v>
      </c>
      <c r="AE91" s="55">
        <f>'LINEST VARS'!$U$62+'LINEST VARS'!$T$62*($AE$80)+'LINEST VARS'!$S$62*($Z91)+'LINEST VARS'!$R$62*(4)+'LINEST VARS'!$Q$62*(0.5)+'LINEST VARS'!$P$62*(12.73)+'LINEST VARS'!$O$62*($AE$80^2)+'LINEST VARS'!$N$62*($Z91^2)+'LINEST VARS'!$M$62*(4^2)+'LINEST VARS'!$L$62*(0.5^2)+'LINEST VARS'!$K$62*(12.73^2)+'LINEST VARS'!$J$62*($AE$80*$Z91)+'LINEST VARS'!$I$62*($AE$80*4)+'LINEST VARS'!$H$62*($AE$80*0.5)+'LINEST VARS'!$G$62*($AE$80*12.73)+'LINEST VARS'!$F$62*($Z91*4)+'LINEST VARS'!$E$62*($Z91*0.5)+'LINEST VARS'!$D$62*($Z91*12.73)+'LINEST VARS'!$C$62*(4*0.5)+'LINEST VARS'!$B$62*(4*12.73)+'LINEST VARS'!$A$62*(0.5*12.73)</f>
        <v>269.49999999999994</v>
      </c>
      <c r="AF91" s="55">
        <f>'LINEST VARS'!$U$62+'LINEST VARS'!$T$62*($AF$80)+'LINEST VARS'!$S$62*($Z91)+'LINEST VARS'!$R$62*(4)+'LINEST VARS'!$Q$62*(0.5)+'LINEST VARS'!$P$62*(12.73)+'LINEST VARS'!$O$62*($AF$80^2)+'LINEST VARS'!$N$62*($Z91^2)+'LINEST VARS'!$M$62*(4^2)+'LINEST VARS'!$L$62*(0.5^2)+'LINEST VARS'!$K$62*(12.73^2)+'LINEST VARS'!$J$62*($AF$80*$Z91)+'LINEST VARS'!$I$62*($AF$80*4)+'LINEST VARS'!$H$62*($AF$80*0.5)+'LINEST VARS'!$G$62*($AF$80*12.73)+'LINEST VARS'!$F$62*($Z91*4)+'LINEST VARS'!$E$62*($Z91*0.5)+'LINEST VARS'!$D$62*($Z91*12.73)+'LINEST VARS'!$C$62*(4*0.5)+'LINEST VARS'!$B$62*(4*12.73)+'LINEST VARS'!$A$62*(0.5*12.73)</f>
        <v>269.49999999999989</v>
      </c>
      <c r="AG91" s="55">
        <f>'LINEST VARS'!$U$62+'LINEST VARS'!$T$62*($AG$80)+'LINEST VARS'!$S$62*($Z91)+'LINEST VARS'!$R$62*(4)+'LINEST VARS'!$Q$62*(0.5)+'LINEST VARS'!$P$62*(12.73)+'LINEST VARS'!$O$62*($AG$80^2)+'LINEST VARS'!$N$62*($Z91^2)+'LINEST VARS'!$M$62*(4^2)+'LINEST VARS'!$L$62*(0.5^2)+'LINEST VARS'!$K$62*(12.73^2)+'LINEST VARS'!$J$62*($AG$80*$Z91)+'LINEST VARS'!$I$62*($AG$80*4)+'LINEST VARS'!$H$62*($AG$80*0.5)+'LINEST VARS'!$G$62*($AG$80*12.73)+'LINEST VARS'!$F$62*($Z91*4)+'LINEST VARS'!$E$62*($Z91*0.5)+'LINEST VARS'!$D$62*($Z91*12.73)+'LINEST VARS'!$C$62*(4*0.5)+'LINEST VARS'!$B$62*(4*12.73)+'LINEST VARS'!$A$62*(0.5*12.73)</f>
        <v>269.5</v>
      </c>
      <c r="AH91" s="55">
        <f>'LINEST VARS'!$U$62+'LINEST VARS'!$T$62*($AH$80)+'LINEST VARS'!$S$62*($Z91)+'LINEST VARS'!$R$62*(4)+'LINEST VARS'!$Q$62*(0.5)+'LINEST VARS'!$P$62*(12.73)+'LINEST VARS'!$O$62*($AH$80^2)+'LINEST VARS'!$N$62*($Z91^2)+'LINEST VARS'!$M$62*(4^2)+'LINEST VARS'!$L$62*(0.5^2)+'LINEST VARS'!$K$62*(12.73^2)+'LINEST VARS'!$J$62*($AH$80*$Z91)+'LINEST VARS'!$I$62*($AH$80*4)+'LINEST VARS'!$H$62*($AH$80*0.5)+'LINEST VARS'!$G$62*($AH$80*12.73)+'LINEST VARS'!$F$62*($Z91*4)+'LINEST VARS'!$E$62*($Z91*0.5)+'LINEST VARS'!$D$62*($Z91*12.73)+'LINEST VARS'!$C$62*(4*0.5)+'LINEST VARS'!$B$62*(4*12.73)+'LINEST VARS'!$A$62*(0.5*12.73)</f>
        <v>269.49999999999994</v>
      </c>
      <c r="AI91" s="55">
        <f>'LINEST VARS'!$U$62+'LINEST VARS'!$T$62*($AI$80)+'LINEST VARS'!$S$62*($Z91)+'LINEST VARS'!$R$62*(4)+'LINEST VARS'!$Q$62*(0.5)+'LINEST VARS'!$P$62*(12.73)+'LINEST VARS'!$O$62*($AI$80^2)+'LINEST VARS'!$N$62*($Z91^2)+'LINEST VARS'!$M$62*(4^2)+'LINEST VARS'!$L$62*(0.5^2)+'LINEST VARS'!$K$62*(12.73^2)+'LINEST VARS'!$J$62*($AI$80*$Z91)+'LINEST VARS'!$I$62*($AI$80*4)+'LINEST VARS'!$H$62*($AI$80*0.5)+'LINEST VARS'!$G$62*($AI$80*12.73)+'LINEST VARS'!$F$62*($Z91*4)+'LINEST VARS'!$E$62*($Z91*0.5)+'LINEST VARS'!$D$62*($Z91*12.73)+'LINEST VARS'!$C$62*(4*0.5)+'LINEST VARS'!$B$62*(4*12.73)+'LINEST VARS'!$A$62*(0.5*12.73)</f>
        <v>269.49999999999994</v>
      </c>
      <c r="AJ91" s="55">
        <f>'LINEST VARS'!$U$62+'LINEST VARS'!$T$62*($AJ$80)+'LINEST VARS'!$S$62*($Z91)+'LINEST VARS'!$R$62*(4)+'LINEST VARS'!$Q$62*(0.5)+'LINEST VARS'!$P$62*(12.73)+'LINEST VARS'!$O$62*($AJ$80^2)+'LINEST VARS'!$N$62*($Z91^2)+'LINEST VARS'!$M$62*(4^2)+'LINEST VARS'!$L$62*(0.5^2)+'LINEST VARS'!$K$62*(12.73^2)+'LINEST VARS'!$J$62*($AJ$80*$Z91)+'LINEST VARS'!$I$62*($AJ$80*4)+'LINEST VARS'!$H$62*($AJ$80*0.5)+'LINEST VARS'!$G$62*($AJ$80*12.73)+'LINEST VARS'!$F$62*($Z91*4)+'LINEST VARS'!$E$62*($Z91*0.5)+'LINEST VARS'!$D$62*($Z91*12.73)+'LINEST VARS'!$C$62*(4*0.5)+'LINEST VARS'!$B$62*(4*12.73)+'LINEST VARS'!$A$62*(0.5*12.73)</f>
        <v>269.49999999999994</v>
      </c>
      <c r="AK91" s="55">
        <f>'LINEST VARS'!$U$62+'LINEST VARS'!$T$62*($AK$80)+'LINEST VARS'!$S$62*($Z91)+'LINEST VARS'!$R$62*(4)+'LINEST VARS'!$Q$62*(0.5)+'LINEST VARS'!$P$62*(12.73)+'LINEST VARS'!$O$62*($AK$80^2)+'LINEST VARS'!$N$62*($Z91^2)+'LINEST VARS'!$M$62*(4^2)+'LINEST VARS'!$L$62*(0.5^2)+'LINEST VARS'!$K$62*(12.73^2)+'LINEST VARS'!$J$62*($AK$80*$Z91)+'LINEST VARS'!$I$62*($AK$80*4)+'LINEST VARS'!$H$62*($AK$80*0.5)+'LINEST VARS'!$G$62*($AK$80*12.73)+'LINEST VARS'!$F$62*($Z91*4)+'LINEST VARS'!$E$62*($Z91*0.5)+'LINEST VARS'!$D$62*($Z91*12.73)+'LINEST VARS'!$C$62*(4*0.5)+'LINEST VARS'!$B$62*(4*12.73)+'LINEST VARS'!$A$62*(0.5*12.73)</f>
        <v>269.49999999999994</v>
      </c>
      <c r="AL91" s="55">
        <f>'LINEST VARS'!$U$62+'LINEST VARS'!$T$62*($AL$80)+'LINEST VARS'!$S$62*($Z91)+'LINEST VARS'!$R$62*(4)+'LINEST VARS'!$Q$62*(0.5)+'LINEST VARS'!$P$62*(12.73)+'LINEST VARS'!$O$62*($AL$80^2)+'LINEST VARS'!$N$62*($Z91^2)+'LINEST VARS'!$M$62*(4^2)+'LINEST VARS'!$L$62*(0.5^2)+'LINEST VARS'!$K$62*(12.73^2)+'LINEST VARS'!$J$62*($AL$80*$Z91)+'LINEST VARS'!$I$62*($AL$80*4)+'LINEST VARS'!$H$62*($AL$80*0.5)+'LINEST VARS'!$G$62*($AL$80*12.73)+'LINEST VARS'!$F$62*($Z91*4)+'LINEST VARS'!$E$62*($Z91*0.5)+'LINEST VARS'!$D$62*($Z91*12.73)+'LINEST VARS'!$C$62*(4*0.5)+'LINEST VARS'!$B$62*(4*12.73)+'LINEST VARS'!$A$62*(0.5*12.73)</f>
        <v>269.49999999999994</v>
      </c>
      <c r="AM91" s="55">
        <f>'LINEST VARS'!$U$62+'LINEST VARS'!$T$62*($AM$80)+'LINEST VARS'!$S$62*($Z91)+'LINEST VARS'!$R$62*(4)+'LINEST VARS'!$Q$62*(0.5)+'LINEST VARS'!$P$62*(12.73)+'LINEST VARS'!$O$62*($AM$80^2)+'LINEST VARS'!$N$62*($Z91^2)+'LINEST VARS'!$M$62*(4^2)+'LINEST VARS'!$L$62*(0.5^2)+'LINEST VARS'!$K$62*(12.73^2)+'LINEST VARS'!$J$62*($AM$80*$Z91)+'LINEST VARS'!$I$62*($AM$80*4)+'LINEST VARS'!$H$62*($AM$80*0.5)+'LINEST VARS'!$G$62*($AM$80*12.73)+'LINEST VARS'!$F$62*($Z91*4)+'LINEST VARS'!$E$62*($Z91*0.5)+'LINEST VARS'!$D$62*($Z91*12.73)+'LINEST VARS'!$C$62*(4*0.5)+'LINEST VARS'!$B$62*(4*12.73)+'LINEST VARS'!$A$62*(0.5*12.73)</f>
        <v>269.49999999999994</v>
      </c>
      <c r="AN91" s="55">
        <f>'LINEST VARS'!$U$62+'LINEST VARS'!$T$62*($AN$80)+'LINEST VARS'!$S$62*($Z91)+'LINEST VARS'!$R$62*(4)+'LINEST VARS'!$Q$62*(0.5)+'LINEST VARS'!$P$62*(12.73)+'LINEST VARS'!$O$62*($AN$80^2)+'LINEST VARS'!$N$62*($Z91^2)+'LINEST VARS'!$M$62*(4^2)+'LINEST VARS'!$L$62*(0.5^2)+'LINEST VARS'!$K$62*(12.73^2)+'LINEST VARS'!$J$62*($AN$80*$Z91)+'LINEST VARS'!$I$62*($AN$80*4)+'LINEST VARS'!$H$62*($AN$80*0.5)+'LINEST VARS'!$G$62*($AN$80*12.73)+'LINEST VARS'!$F$62*($Z91*4)+'LINEST VARS'!$E$62*($Z91*0.5)+'LINEST VARS'!$D$62*($Z91*12.73)+'LINEST VARS'!$C$62*(4*0.5)+'LINEST VARS'!$B$62*(4*12.73)+'LINEST VARS'!$A$62*(0.5*12.73)</f>
        <v>269.49999999999994</v>
      </c>
      <c r="AO91" s="55">
        <f>'LINEST VARS'!$U$62+'LINEST VARS'!$T$62*($AO$80)+'LINEST VARS'!$S$62*($Z91)+'LINEST VARS'!$R$62*(4)+'LINEST VARS'!$Q$62*(0.5)+'LINEST VARS'!$P$62*(12.73)+'LINEST VARS'!$O$62*($AO$80^2)+'LINEST VARS'!$N$62*($Z91^2)+'LINEST VARS'!$M$62*(4^2)+'LINEST VARS'!$L$62*(0.5^2)+'LINEST VARS'!$K$62*(12.73^2)+'LINEST VARS'!$J$62*($AO$80*$Z91)+'LINEST VARS'!$I$62*($AO$80*4)+'LINEST VARS'!$H$62*($AO$80*0.5)+'LINEST VARS'!$G$62*($AO$80*12.73)+'LINEST VARS'!$F$62*($Z91*4)+'LINEST VARS'!$E$62*($Z91*0.5)+'LINEST VARS'!$D$62*($Z91*12.73)+'LINEST VARS'!$C$62*(4*0.5)+'LINEST VARS'!$B$62*(4*12.73)+'LINEST VARS'!$A$62*(0.5*12.73)</f>
        <v>269.49999999999994</v>
      </c>
      <c r="AP91" s="55">
        <f>'LINEST VARS'!$U$62+'LINEST VARS'!$T$62*($AP$80)+'LINEST VARS'!$S$62*($Z91)+'LINEST VARS'!$R$62*(4)+'LINEST VARS'!$Q$62*(0.5)+'LINEST VARS'!$P$62*(12.73)+'LINEST VARS'!$O$62*($AP$80^2)+'LINEST VARS'!$N$62*($Z91^2)+'LINEST VARS'!$M$62*(4^2)+'LINEST VARS'!$L$62*(0.5^2)+'LINEST VARS'!$K$62*(12.73^2)+'LINEST VARS'!$J$62*($AP$80*$Z91)+'LINEST VARS'!$I$62*($AP$80*4)+'LINEST VARS'!$H$62*($AP$80*0.5)+'LINEST VARS'!$G$62*($AP$80*12.73)+'LINEST VARS'!$F$62*($Z91*4)+'LINEST VARS'!$E$62*($Z91*0.5)+'LINEST VARS'!$D$62*($Z91*12.73)+'LINEST VARS'!$C$62*(4*0.5)+'LINEST VARS'!$B$62*(4*12.73)+'LINEST VARS'!$A$62*(0.5*12.73)</f>
        <v>269.49999999999994</v>
      </c>
      <c r="AQ91" s="55">
        <f>'LINEST VARS'!$U$62+'LINEST VARS'!$T$62*($AQ$80)+'LINEST VARS'!$S$62*($Z91)+'LINEST VARS'!$R$62*(4)+'LINEST VARS'!$Q$62*(0.5)+'LINEST VARS'!$P$62*(12.73)+'LINEST VARS'!$O$62*($AQ$80^2)+'LINEST VARS'!$N$62*($Z91^2)+'LINEST VARS'!$M$62*(4^2)+'LINEST VARS'!$L$62*(0.5^2)+'LINEST VARS'!$K$62*(12.73^2)+'LINEST VARS'!$J$62*($AQ$80*$Z91)+'LINEST VARS'!$I$62*($AQ$80*4)+'LINEST VARS'!$H$62*($AQ$80*0.5)+'LINEST VARS'!$G$62*($AQ$80*12.73)+'LINEST VARS'!$F$62*($Z91*4)+'LINEST VARS'!$E$62*($Z91*0.5)+'LINEST VARS'!$D$62*($Z91*12.73)+'LINEST VARS'!$C$62*(4*0.5)+'LINEST VARS'!$B$62*(4*12.73)+'LINEST VARS'!$A$62*(0.5*12.73)</f>
        <v>269.49999999999994</v>
      </c>
      <c r="AR91" s="55">
        <f>'LINEST VARS'!$U$62+'LINEST VARS'!$T$62*($AR$80)+'LINEST VARS'!$S$62*($Z91)+'LINEST VARS'!$R$62*(4)+'LINEST VARS'!$Q$62*(0.5)+'LINEST VARS'!$P$62*(12.73)+'LINEST VARS'!$O$62*($AR$80^2)+'LINEST VARS'!$N$62*($Z91^2)+'LINEST VARS'!$M$62*(4^2)+'LINEST VARS'!$L$62*(0.5^2)+'LINEST VARS'!$K$62*(12.73^2)+'LINEST VARS'!$J$62*($AR$80*$Z91)+'LINEST VARS'!$I$62*($AR$80*4)+'LINEST VARS'!$H$62*($AR$80*0.5)+'LINEST VARS'!$G$62*($AR$80*12.73)+'LINEST VARS'!$F$62*($Z91*4)+'LINEST VARS'!$E$62*($Z91*0.5)+'LINEST VARS'!$D$62*($Z91*12.73)+'LINEST VARS'!$C$62*(4*0.5)+'LINEST VARS'!$B$62*(4*12.73)+'LINEST VARS'!$A$62*(0.5*12.73)</f>
        <v>269.5</v>
      </c>
      <c r="AS91" s="55">
        <f>'LINEST VARS'!$U$62+'LINEST VARS'!$T$62*($AS$80)+'LINEST VARS'!$S$62*($Z91)+'LINEST VARS'!$R$62*(4)+'LINEST VARS'!$Q$62*(0.5)+'LINEST VARS'!$P$62*(12.73)+'LINEST VARS'!$O$62*($AS$80^2)+'LINEST VARS'!$N$62*($Z91^2)+'LINEST VARS'!$M$62*(4^2)+'LINEST VARS'!$L$62*(0.5^2)+'LINEST VARS'!$K$62*(12.73^2)+'LINEST VARS'!$J$62*($AS$80*$Z91)+'LINEST VARS'!$I$62*($AS$80*4)+'LINEST VARS'!$H$62*($AS$80*0.5)+'LINEST VARS'!$G$62*($AS$80*12.73)+'LINEST VARS'!$F$62*($Z91*4)+'LINEST VARS'!$E$62*($Z91*0.5)+'LINEST VARS'!$D$62*($Z91*12.73)+'LINEST VARS'!$C$62*(4*0.5)+'LINEST VARS'!$B$62*(4*12.73)+'LINEST VARS'!$A$62*(0.5*12.73)</f>
        <v>269.49999999999994</v>
      </c>
      <c r="AT91" s="55">
        <f>'LINEST VARS'!$U$62+'LINEST VARS'!$T$62*($AT$80)+'LINEST VARS'!$S$62*($Z91)+'LINEST VARS'!$R$62*(4)+'LINEST VARS'!$Q$62*(0.5)+'LINEST VARS'!$P$62*(12.73)+'LINEST VARS'!$O$62*($AT$80^2)+'LINEST VARS'!$N$62*($Z91^2)+'LINEST VARS'!$M$62*(4^2)+'LINEST VARS'!$L$62*(0.5^2)+'LINEST VARS'!$K$62*(12.73^2)+'LINEST VARS'!$J$62*($AT$80*$Z91)+'LINEST VARS'!$I$62*($AT$80*4)+'LINEST VARS'!$H$62*($AT$80*0.5)+'LINEST VARS'!$G$62*($AT$80*12.73)+'LINEST VARS'!$F$62*($Z91*4)+'LINEST VARS'!$E$62*($Z91*0.5)+'LINEST VARS'!$D$62*($Z91*12.73)+'LINEST VARS'!$C$62*(4*0.5)+'LINEST VARS'!$B$62*(4*12.73)+'LINEST VARS'!$A$62*(0.5*12.73)</f>
        <v>269.49999999999994</v>
      </c>
      <c r="AU91" s="56">
        <f>'LINEST VARS'!$U$62+'LINEST VARS'!$T$62*($AU$80)+'LINEST VARS'!$S$62*($Z91)+'LINEST VARS'!$R$62*(4)+'LINEST VARS'!$Q$62*(0.5)+'LINEST VARS'!$P$62*(12.73)+'LINEST VARS'!$O$62*($AU$80^2)+'LINEST VARS'!$N$62*($Z91^2)+'LINEST VARS'!$M$62*(4^2)+'LINEST VARS'!$L$62*(0.5^2)+'LINEST VARS'!$K$62*(12.73^2)+'LINEST VARS'!$J$62*($AU$80*$Z91)+'LINEST VARS'!$I$62*($AU$80*4)+'LINEST VARS'!$H$62*($AU$80*0.5)+'LINEST VARS'!$G$62*($AU$80*12.73)+'LINEST VARS'!$F$62*($Z91*4)+'LINEST VARS'!$E$62*($Z91*0.5)+'LINEST VARS'!$D$62*($Z91*12.73)+'LINEST VARS'!$C$62*(4*0.5)+'LINEST VARS'!$B$62*(4*12.73)+'LINEST VARS'!$A$62*(0.5*12.73)</f>
        <v>269.5</v>
      </c>
      <c r="AZ91" s="45">
        <v>0.5</v>
      </c>
      <c r="BA91" s="46">
        <f>'LINEST VARS'!$U$60+'LINEST VARS'!$T$60*(8)+'LINEST VARS'!$S$60*(8)+'LINEST VARS'!$R$60*($BA$80)+'LINEST VARS'!$Q$60*($AZ91)+'LINEST VARS'!$P$60*(12.73)+'LINEST VARS'!$O$60*(8^2)+'LINEST VARS'!$N$60*(8^2)+'LINEST VARS'!$M$60*($BA$80^2)+'LINEST VARS'!$L$60*($AZ91^2)+'LINEST VARS'!$K$60*(12.73^2)+'LINEST VARS'!$J$60*(8*8)+'LINEST VARS'!$I$60*(8*$BA$80)+'LINEST VARS'!$H$60*(8*$AZ91)+'LINEST VARS'!$G$60*(8*12.73)+'LINEST VARS'!$F$60*(8*$BA$80)+'LINEST VARS'!$E$60*(8*$AZ91)+'LINEST VARS'!$D$60*(8*12.73)+'LINEST VARS'!$C$60*($BA$80*$AZ91)+'LINEST VARS'!$B$60*($BA$80*12.73)+'LINEST VARS'!$A$60*($AZ91*12.73)</f>
        <v>40.460000000000008</v>
      </c>
      <c r="BB91" s="46">
        <f>'LINEST VARS'!$U$60+'LINEST VARS'!$T$60*(8)+'LINEST VARS'!$S$60*(8)+'LINEST VARS'!$R$60*($BB$80)+'LINEST VARS'!$Q$60*($AZ91)+'LINEST VARS'!$P$60*(12.73)+'LINEST VARS'!$O$60*(8^2)+'LINEST VARS'!$N$60*(8^2)+'LINEST VARS'!$M$60*($BB$80^2)+'LINEST VARS'!$L$60*($AZ91^2)+'LINEST VARS'!$K$60*(12.73^2)+'LINEST VARS'!$J$60*(8*8)+'LINEST VARS'!$I$60*(8*$BB$80)+'LINEST VARS'!$H$60*(8*$AZ91)+'LINEST VARS'!$G$60*(8*12.73)+'LINEST VARS'!$F$60*(8*$BB$80)+'LINEST VARS'!$E$60*(8*$AZ91)+'LINEST VARS'!$D$60*(8*12.73)+'LINEST VARS'!$C$60*($BB$80*$AZ91)+'LINEST VARS'!$B$60*($BB$80*12.73)+'LINEST VARS'!$A$60*($AZ91*12.73)</f>
        <v>40.460000000000008</v>
      </c>
      <c r="BC91" s="46">
        <f>'LINEST VARS'!$U$60+'LINEST VARS'!$T$60*(8)+'LINEST VARS'!$S$60*(8)+'LINEST VARS'!$R$60*($BC$80)+'LINEST VARS'!$Q$60*($AZ91)+'LINEST VARS'!$P$60*(12.73)+'LINEST VARS'!$O$60*(8^2)+'LINEST VARS'!$N$60*(8^2)+'LINEST VARS'!$M$60*($BC$80^2)+'LINEST VARS'!$L$60*($AZ91^2)+'LINEST VARS'!$K$60*(12.73^2)+'LINEST VARS'!$J$60*(8*8)+'LINEST VARS'!$I$60*(8*$BC$80)+'LINEST VARS'!$H$60*(8*$AZ91)+'LINEST VARS'!$G$60*(8*12.73)+'LINEST VARS'!$F$60*(8*$BC$80)+'LINEST VARS'!$E$60*(8*$AZ91)+'LINEST VARS'!$D$60*(8*12.73)+'LINEST VARS'!$C$60*($BC$80*$AZ91)+'LINEST VARS'!$B$60*($BC$80*12.73)+'LINEST VARS'!$A$60*($AZ91*12.73)</f>
        <v>40.460000000000015</v>
      </c>
      <c r="BD91" s="46">
        <f>'LINEST VARS'!$U$60+'LINEST VARS'!$T$60*(8)+'LINEST VARS'!$S$60*(8)+'LINEST VARS'!$R$60*($BD$80)+'LINEST VARS'!$Q$60*($AZ91)+'LINEST VARS'!$P$60*(12.73)+'LINEST VARS'!$O$60*(8^2)+'LINEST VARS'!$N$60*(8^2)+'LINEST VARS'!$M$60*($BD$80^2)+'LINEST VARS'!$L$60*($AZ91^2)+'LINEST VARS'!$K$60*(12.73^2)+'LINEST VARS'!$J$60*(8*8)+'LINEST VARS'!$I$60*(8*$BD$80)+'LINEST VARS'!$H$60*(8*$AZ91)+'LINEST VARS'!$G$60*(8*12.73)+'LINEST VARS'!$F$60*(8*$BD$80)+'LINEST VARS'!$E$60*(8*$AZ91)+'LINEST VARS'!$D$60*(8*12.73)+'LINEST VARS'!$C$60*($BD$80*$AZ91)+'LINEST VARS'!$B$60*($BD$80*12.73)+'LINEST VARS'!$A$60*($AZ91*12.73)</f>
        <v>40.460000000000015</v>
      </c>
      <c r="BE91" s="46">
        <f>'LINEST VARS'!$U$60+'LINEST VARS'!$T$60*(8)+'LINEST VARS'!$S$60*(8)+'LINEST VARS'!$R$60*($BE$80)+'LINEST VARS'!$Q$60*($AZ91)+'LINEST VARS'!$P$60*(12.73)+'LINEST VARS'!$O$60*(8^2)+'LINEST VARS'!$N$60*(8^2)+'LINEST VARS'!$M$60*($BE$80^2)+'LINEST VARS'!$L$60*($AZ91^2)+'LINEST VARS'!$K$60*(12.73^2)+'LINEST VARS'!$J$60*(8*8)+'LINEST VARS'!$I$60*(8*$BE$80)+'LINEST VARS'!$H$60*(8*$AZ91)+'LINEST VARS'!$G$60*(8*12.73)+'LINEST VARS'!$F$60*(8*$BE$80)+'LINEST VARS'!$E$60*(8*$AZ91)+'LINEST VARS'!$D$60*(8*12.73)+'LINEST VARS'!$C$60*($BE$80*$AZ91)+'LINEST VARS'!$B$60*($BE$80*12.73)+'LINEST VARS'!$A$60*($AZ91*12.73)</f>
        <v>40.460000000000008</v>
      </c>
      <c r="BF91" s="46">
        <f>'LINEST VARS'!$U$60+'LINEST VARS'!$T$60*(8)+'LINEST VARS'!$S$60*(8)+'LINEST VARS'!$R$60*($BF$80)+'LINEST VARS'!$Q$60*($AZ91)+'LINEST VARS'!$P$60*(12.73)+'LINEST VARS'!$O$60*(8^2)+'LINEST VARS'!$N$60*(8^2)+'LINEST VARS'!$M$60*($BF$80^2)+'LINEST VARS'!$L$60*($AZ91^2)+'LINEST VARS'!$K$60*(12.73^2)+'LINEST VARS'!$J$60*(8*8)+'LINEST VARS'!$I$60*(8*$BF$80)+'LINEST VARS'!$H$60*(8*$AZ91)+'LINEST VARS'!$G$60*(8*12.73)+'LINEST VARS'!$F$60*(8*$BF$80)+'LINEST VARS'!$E$60*(8*$AZ91)+'LINEST VARS'!$D$60*(8*12.73)+'LINEST VARS'!$C$60*($BF$80*$AZ91)+'LINEST VARS'!$B$60*($BF$80*12.73)+'LINEST VARS'!$A$60*($AZ91*12.73)</f>
        <v>40.46</v>
      </c>
      <c r="BG91" s="46">
        <f>'LINEST VARS'!$U$60+'LINEST VARS'!$T$60*(8)+'LINEST VARS'!$S$60*(8)+'LINEST VARS'!$R$60*($BG$80)+'LINEST VARS'!$Q$60*($AZ91)+'LINEST VARS'!$P$60*(12.73)+'LINEST VARS'!$O$60*(8^2)+'LINEST VARS'!$N$60*(8^2)+'LINEST VARS'!$M$60*($BG$80^2)+'LINEST VARS'!$L$60*($AZ91^2)+'LINEST VARS'!$K$60*(12.73^2)+'LINEST VARS'!$J$60*(8*8)+'LINEST VARS'!$I$60*(8*$BG$80)+'LINEST VARS'!$H$60*(8*$AZ91)+'LINEST VARS'!$G$60*(8*12.73)+'LINEST VARS'!$F$60*(8*$BG$80)+'LINEST VARS'!$E$60*(8*$AZ91)+'LINEST VARS'!$D$60*(8*12.73)+'LINEST VARS'!$C$60*($BG$80*$AZ91)+'LINEST VARS'!$B$60*($BG$80*12.73)+'LINEST VARS'!$A$60*($AZ91*12.73)</f>
        <v>40.460000000000008</v>
      </c>
      <c r="BH91" s="46">
        <f>'LINEST VARS'!$U$60+'LINEST VARS'!$T$60*(8)+'LINEST VARS'!$S$60*(8)+'LINEST VARS'!$R$60*($BH$80)+'LINEST VARS'!$Q$60*($AZ91)+'LINEST VARS'!$P$60*(12.73)+'LINEST VARS'!$O$60*(8^2)+'LINEST VARS'!$N$60*(8^2)+'LINEST VARS'!$M$60*($BH$80^2)+'LINEST VARS'!$L$60*($AZ91^2)+'LINEST VARS'!$K$60*(12.73^2)+'LINEST VARS'!$J$60*(8*8)+'LINEST VARS'!$I$60*(8*$BH$80)+'LINEST VARS'!$H$60*(8*$AZ91)+'LINEST VARS'!$G$60*(8*12.73)+'LINEST VARS'!$F$60*(8*$BH$80)+'LINEST VARS'!$E$60*(8*$AZ91)+'LINEST VARS'!$D$60*(8*12.73)+'LINEST VARS'!$C$60*($BH$80*$AZ91)+'LINEST VARS'!$B$60*($BH$80*12.73)+'LINEST VARS'!$A$60*($AZ91*12.73)</f>
        <v>40.460000000000008</v>
      </c>
      <c r="BI91" s="46">
        <f>'LINEST VARS'!$U$60+'LINEST VARS'!$T$60*(8)+'LINEST VARS'!$S$60*(8)+'LINEST VARS'!$R$60*($BI$80)+'LINEST VARS'!$Q$60*($AZ91)+'LINEST VARS'!$P$60*(12.73)+'LINEST VARS'!$O$60*(8^2)+'LINEST VARS'!$N$60*(8^2)+'LINEST VARS'!$M$60*($BI$80^2)+'LINEST VARS'!$L$60*($AZ91^2)+'LINEST VARS'!$K$60*(12.73^2)+'LINEST VARS'!$J$60*(8*8)+'LINEST VARS'!$I$60*(8*$BI$80)+'LINEST VARS'!$H$60*(8*$AZ91)+'LINEST VARS'!$G$60*(8*12.73)+'LINEST VARS'!$F$60*(8*$BI$80)+'LINEST VARS'!$E$60*(8*$AZ91)+'LINEST VARS'!$D$60*(8*12.73)+'LINEST VARS'!$C$60*($BI$80*$AZ91)+'LINEST VARS'!$B$60*($BI$80*12.73)+'LINEST VARS'!$A$60*($AZ91*12.73)</f>
        <v>40.460000000000008</v>
      </c>
      <c r="BJ91" s="46">
        <f>'LINEST VARS'!$U$60+'LINEST VARS'!$T$60*(8)+'LINEST VARS'!$S$60*(8)+'LINEST VARS'!$R$60*($BJ$80)+'LINEST VARS'!$Q$60*($AZ91)+'LINEST VARS'!$P$60*(12.73)+'LINEST VARS'!$O$60*(8^2)+'LINEST VARS'!$N$60*(8^2)+'LINEST VARS'!$M$60*($BJ$80^2)+'LINEST VARS'!$L$60*($AZ91^2)+'LINEST VARS'!$K$60*(12.73^2)+'LINEST VARS'!$J$60*(8*8)+'LINEST VARS'!$I$60*(8*$BJ$80)+'LINEST VARS'!$H$60*(8*$AZ91)+'LINEST VARS'!$G$60*(8*12.73)+'LINEST VARS'!$F$60*(8*$BJ$80)+'LINEST VARS'!$E$60*(8*$AZ91)+'LINEST VARS'!$D$60*(8*12.73)+'LINEST VARS'!$C$60*($BJ$80*$AZ91)+'LINEST VARS'!$B$60*($BJ$80*12.73)+'LINEST VARS'!$A$60*($AZ91*12.73)</f>
        <v>40.460000000000015</v>
      </c>
      <c r="BK91" s="46">
        <f>'LINEST VARS'!$U$60+'LINEST VARS'!$T$60*(8)+'LINEST VARS'!$S$60*(8)+'LINEST VARS'!$R$60*($BK$80)+'LINEST VARS'!$Q$60*($AZ91)+'LINEST VARS'!$P$60*(12.73)+'LINEST VARS'!$O$60*(8^2)+'LINEST VARS'!$N$60*(8^2)+'LINEST VARS'!$M$60*($BK$80^2)+'LINEST VARS'!$L$60*($AZ91^2)+'LINEST VARS'!$K$60*(12.73^2)+'LINEST VARS'!$J$60*(8*8)+'LINEST VARS'!$I$60*(8*$BK$80)+'LINEST VARS'!$H$60*(8*$AZ91)+'LINEST VARS'!$G$60*(8*12.73)+'LINEST VARS'!$F$60*(8*$BK$80)+'LINEST VARS'!$E$60*(8*$AZ91)+'LINEST VARS'!$D$60*(8*12.73)+'LINEST VARS'!$C$60*($BK$80*$AZ91)+'LINEST VARS'!$B$60*($BK$80*12.73)+'LINEST VARS'!$A$60*($AZ91*12.73)</f>
        <v>40.460000000000015</v>
      </c>
      <c r="BL91" s="46">
        <f>'LINEST VARS'!$U$60+'LINEST VARS'!$T$60*(8)+'LINEST VARS'!$S$60*(8)+'LINEST VARS'!$R$60*($BL$80)+'LINEST VARS'!$Q$60*($AZ91)+'LINEST VARS'!$P$60*(12.73)+'LINEST VARS'!$O$60*(8^2)+'LINEST VARS'!$N$60*(8^2)+'LINEST VARS'!$M$60*($BL$80^2)+'LINEST VARS'!$L$60*($AZ91^2)+'LINEST VARS'!$K$60*(12.73^2)+'LINEST VARS'!$J$60*(8*8)+'LINEST VARS'!$I$60*(8*$BL$80)+'LINEST VARS'!$H$60*(8*$AZ91)+'LINEST VARS'!$G$60*(8*12.73)+'LINEST VARS'!$F$60*(8*$BL$80)+'LINEST VARS'!$E$60*(8*$AZ91)+'LINEST VARS'!$D$60*(8*12.73)+'LINEST VARS'!$C$60*($BL$80*$AZ91)+'LINEST VARS'!$B$60*($BL$80*12.73)+'LINEST VARS'!$A$60*($AZ91*12.73)</f>
        <v>40.460000000000008</v>
      </c>
      <c r="BM91" s="46">
        <f>'LINEST VARS'!$U$60+'LINEST VARS'!$T$60*(8)+'LINEST VARS'!$S$60*(8)+'LINEST VARS'!$R$60*($BM$80)+'LINEST VARS'!$Q$60*($AZ91)+'LINEST VARS'!$P$60*(12.73)+'LINEST VARS'!$O$60*(8^2)+'LINEST VARS'!$N$60*(8^2)+'LINEST VARS'!$M$60*($BM$80^2)+'LINEST VARS'!$L$60*($AZ91^2)+'LINEST VARS'!$K$60*(12.73^2)+'LINEST VARS'!$J$60*(8*8)+'LINEST VARS'!$I$60*(8*$BM$80)+'LINEST VARS'!$H$60*(8*$AZ91)+'LINEST VARS'!$G$60*(8*12.73)+'LINEST VARS'!$F$60*(8*$BM$80)+'LINEST VARS'!$E$60*(8*$AZ91)+'LINEST VARS'!$D$60*(8*12.73)+'LINEST VARS'!$C$60*($BM$80*$AZ91)+'LINEST VARS'!$B$60*($BM$80*12.73)+'LINEST VARS'!$A$60*($AZ91*12.73)</f>
        <v>40.460000000000008</v>
      </c>
      <c r="BN91" s="46">
        <f>'LINEST VARS'!$U$60+'LINEST VARS'!$T$60*(8)+'LINEST VARS'!$S$60*(8)+'LINEST VARS'!$R$60*($BN$80)+'LINEST VARS'!$Q$60*($AZ91)+'LINEST VARS'!$P$60*(12.73)+'LINEST VARS'!$O$60*(8^2)+'LINEST VARS'!$N$60*(8^2)+'LINEST VARS'!$M$60*($BN$80^2)+'LINEST VARS'!$L$60*($AZ91^2)+'LINEST VARS'!$K$60*(12.73^2)+'LINEST VARS'!$J$60*(8*8)+'LINEST VARS'!$I$60*(8*$BN$80)+'LINEST VARS'!$H$60*(8*$AZ91)+'LINEST VARS'!$G$60*(8*12.73)+'LINEST VARS'!$F$60*(8*$BN$80)+'LINEST VARS'!$E$60*(8*$AZ91)+'LINEST VARS'!$D$60*(8*12.73)+'LINEST VARS'!$C$60*($BN$80*$AZ91)+'LINEST VARS'!$B$60*($BN$80*12.73)+'LINEST VARS'!$A$60*($AZ91*12.73)</f>
        <v>40.46</v>
      </c>
      <c r="BO91" s="46">
        <f>'LINEST VARS'!$U$60+'LINEST VARS'!$T$60*(8)+'LINEST VARS'!$S$60*(8)+'LINEST VARS'!$R$60*($BO$80)+'LINEST VARS'!$Q$60*($AZ91)+'LINEST VARS'!$P$60*(12.73)+'LINEST VARS'!$O$60*(8^2)+'LINEST VARS'!$N$60*(8^2)+'LINEST VARS'!$M$60*($BO$80^2)+'LINEST VARS'!$L$60*($AZ91^2)+'LINEST VARS'!$K$60*(12.73^2)+'LINEST VARS'!$J$60*(8*8)+'LINEST VARS'!$I$60*(8*$BO$80)+'LINEST VARS'!$H$60*(8*$AZ91)+'LINEST VARS'!$G$60*(8*12.73)+'LINEST VARS'!$F$60*(8*$BO$80)+'LINEST VARS'!$E$60*(8*$AZ91)+'LINEST VARS'!$D$60*(8*12.73)+'LINEST VARS'!$C$60*($BO$80*$AZ91)+'LINEST VARS'!$B$60*($BO$80*12.73)+'LINEST VARS'!$A$60*($AZ91*12.73)</f>
        <v>40.460000000000008</v>
      </c>
      <c r="BP91" s="46">
        <f>'LINEST VARS'!$U$60+'LINEST VARS'!$T$60*(8)+'LINEST VARS'!$S$60*(8)+'LINEST VARS'!$R$60*($BP$80)+'LINEST VARS'!$Q$60*($AZ91)+'LINEST VARS'!$P$60*(12.73)+'LINEST VARS'!$O$60*(8^2)+'LINEST VARS'!$N$60*(8^2)+'LINEST VARS'!$M$60*($BP$80^2)+'LINEST VARS'!$L$60*($AZ91^2)+'LINEST VARS'!$K$60*(12.73^2)+'LINEST VARS'!$J$60*(8*8)+'LINEST VARS'!$I$60*(8*$BP$80)+'LINEST VARS'!$H$60*(8*$AZ91)+'LINEST VARS'!$G$60*(8*12.73)+'LINEST VARS'!$F$60*(8*$BP$80)+'LINEST VARS'!$E$60*(8*$AZ91)+'LINEST VARS'!$D$60*(8*12.73)+'LINEST VARS'!$C$60*($BP$80*$AZ91)+'LINEST VARS'!$B$60*($BP$80*12.73)+'LINEST VARS'!$A$60*($AZ91*12.73)</f>
        <v>40.460000000000008</v>
      </c>
      <c r="BQ91" s="46">
        <f>'LINEST VARS'!$U$60+'LINEST VARS'!$T$60*(8)+'LINEST VARS'!$S$60*(8)+'LINEST VARS'!$R$60*($BQ$80)+'LINEST VARS'!$Q$60*($AZ91)+'LINEST VARS'!$P$60*(12.73)+'LINEST VARS'!$O$60*(8^2)+'LINEST VARS'!$N$60*(8^2)+'LINEST VARS'!$M$60*($BQ$80^2)+'LINEST VARS'!$L$60*($AZ91^2)+'LINEST VARS'!$K$60*(12.73^2)+'LINEST VARS'!$J$60*(8*8)+'LINEST VARS'!$I$60*(8*$BQ$80)+'LINEST VARS'!$H$60*(8*$AZ91)+'LINEST VARS'!$G$60*(8*12.73)+'LINEST VARS'!$F$60*(8*$BQ$80)+'LINEST VARS'!$E$60*(8*$AZ91)+'LINEST VARS'!$D$60*(8*12.73)+'LINEST VARS'!$C$60*($BQ$80*$AZ91)+'LINEST VARS'!$B$60*($BQ$80*12.73)+'LINEST VARS'!$A$60*($AZ91*12.73)</f>
        <v>40.460000000000015</v>
      </c>
      <c r="BR91" s="46">
        <f>'LINEST VARS'!$U$60+'LINEST VARS'!$T$60*(8)+'LINEST VARS'!$S$60*(8)+'LINEST VARS'!$R$60*($BR$80)+'LINEST VARS'!$Q$60*($AZ91)+'LINEST VARS'!$P$60*(12.73)+'LINEST VARS'!$O$60*(8^2)+'LINEST VARS'!$N$60*(8^2)+'LINEST VARS'!$M$60*($BR$80^2)+'LINEST VARS'!$L$60*($AZ91^2)+'LINEST VARS'!$K$60*(12.73^2)+'LINEST VARS'!$J$60*(8*8)+'LINEST VARS'!$I$60*(8*$BR$80)+'LINEST VARS'!$H$60*(8*$AZ91)+'LINEST VARS'!$G$60*(8*12.73)+'LINEST VARS'!$F$60*(8*$BR$80)+'LINEST VARS'!$E$60*(8*$AZ91)+'LINEST VARS'!$D$60*(8*12.73)+'LINEST VARS'!$C$60*($BR$80*$AZ91)+'LINEST VARS'!$B$60*($BR$80*12.73)+'LINEST VARS'!$A$60*($AZ91*12.73)</f>
        <v>40.460000000000015</v>
      </c>
      <c r="BS91" s="46">
        <f>'LINEST VARS'!$U$60+'LINEST VARS'!$T$60*(8)+'LINEST VARS'!$S$60*(8)+'LINEST VARS'!$R$60*($BS$80)+'LINEST VARS'!$Q$60*($AZ91)+'LINEST VARS'!$P$60*(12.73)+'LINEST VARS'!$O$60*(8^2)+'LINEST VARS'!$N$60*(8^2)+'LINEST VARS'!$M$60*($BS$80^2)+'LINEST VARS'!$L$60*($AZ91^2)+'LINEST VARS'!$K$60*(12.73^2)+'LINEST VARS'!$J$60*(8*8)+'LINEST VARS'!$I$60*(8*$BS$80)+'LINEST VARS'!$H$60*(8*$AZ91)+'LINEST VARS'!$G$60*(8*12.73)+'LINEST VARS'!$F$60*(8*$BS$80)+'LINEST VARS'!$E$60*(8*$AZ91)+'LINEST VARS'!$D$60*(8*12.73)+'LINEST VARS'!$C$60*($BS$80*$AZ91)+'LINEST VARS'!$B$60*($BS$80*12.73)+'LINEST VARS'!$A$60*($AZ91*12.73)</f>
        <v>40.460000000000008</v>
      </c>
      <c r="BT91" s="46">
        <f>'LINEST VARS'!$U$60+'LINEST VARS'!$T$60*(8)+'LINEST VARS'!$S$60*(8)+'LINEST VARS'!$R$60*($BT$80)+'LINEST VARS'!$Q$60*($AZ91)+'LINEST VARS'!$P$60*(12.73)+'LINEST VARS'!$O$60*(8^2)+'LINEST VARS'!$N$60*(8^2)+'LINEST VARS'!$M$60*($BT$80^2)+'LINEST VARS'!$L$60*($AZ91^2)+'LINEST VARS'!$K$60*(12.73^2)+'LINEST VARS'!$J$60*(8*8)+'LINEST VARS'!$I$60*(8*$BT$80)+'LINEST VARS'!$H$60*(8*$AZ91)+'LINEST VARS'!$G$60*(8*12.73)+'LINEST VARS'!$F$60*(8*$BT$80)+'LINEST VARS'!$E$60*(8*$AZ91)+'LINEST VARS'!$D$60*(8*12.73)+'LINEST VARS'!$C$60*($BT$80*$AZ91)+'LINEST VARS'!$B$60*($BT$80*12.73)+'LINEST VARS'!$A$60*($AZ91*12.73)</f>
        <v>40.460000000000008</v>
      </c>
      <c r="BU91" s="47">
        <f>'LINEST VARS'!$U$60+'LINEST VARS'!$T$60*(8)+'LINEST VARS'!$S$60*(8)+'LINEST VARS'!$R$60*($BU$80)+'LINEST VARS'!$Q$60*($AZ91)+'LINEST VARS'!$P$60*(12.73)+'LINEST VARS'!$O$60*(8^2)+'LINEST VARS'!$N$60*(8^2)+'LINEST VARS'!$M$60*($BU$80^2)+'LINEST VARS'!$L$60*($AZ91^2)+'LINEST VARS'!$K$60*(12.73^2)+'LINEST VARS'!$J$60*(8*8)+'LINEST VARS'!$I$60*(8*$BU$80)+'LINEST VARS'!$H$60*(8*$AZ91)+'LINEST VARS'!$G$60*(8*12.73)+'LINEST VARS'!$F$60*(8*$BU$80)+'LINEST VARS'!$E$60*(8*$AZ91)+'LINEST VARS'!$D$60*(8*12.73)+'LINEST VARS'!$C$60*($BU$80*$AZ91)+'LINEST VARS'!$B$60*($BU$80*12.73)+'LINEST VARS'!$A$60*($AZ91*12.73)</f>
        <v>40.460000000000008</v>
      </c>
      <c r="BX91" s="45">
        <v>0.5</v>
      </c>
      <c r="BY91" s="55">
        <f>'LINEST VARS'!$U$62+'LINEST VARS'!$T$62*(8)+'LINEST VARS'!$S$62*(8)+'LINEST VARS'!$R$62*($BY$80)+'LINEST VARS'!$Q$62*($BX91)+'LINEST VARS'!$P$62*(12.73)+'LINEST VARS'!$O$62*(8^2)+'LINEST VARS'!$N$62*(8^2)+'LINEST VARS'!$M$62*($BY$80^2)+'LINEST VARS'!$L$62*($BX91^2)+'LINEST VARS'!$K$62*(12.73^2)+'LINEST VARS'!$J$62*(8*8)+'LINEST VARS'!$I$62*(8*$BY$80)+'LINEST VARS'!$H$62*(8*$BX91)+'LINEST VARS'!$G$62*(8*12.73)+'LINEST VARS'!$F$62*(8*$BY$80)+'LINEST VARS'!$E$62*(8*$BX91)+'LINEST VARS'!$D$62*(8*12.73)+'LINEST VARS'!$C$62*($BY$80*$BX91)+'LINEST VARS'!$B$62*($BY$80*12.73)+'LINEST VARS'!$A$62*($BX91*12.73)</f>
        <v>349.49999999999989</v>
      </c>
      <c r="BZ91" s="55">
        <f>'LINEST VARS'!$U$62+'LINEST VARS'!$T$62*(8)+'LINEST VARS'!$S$62*(8)+'LINEST VARS'!$R$62*($BZ$80)+'LINEST VARS'!$Q$62*($BX91)+'LINEST VARS'!$P$62*(12.73)+'LINEST VARS'!$O$62*(8^2)+'LINEST VARS'!$N$62*(8^2)+'LINEST VARS'!$M$62*($BZ$80^2)+'LINEST VARS'!$L$62*($BX91^2)+'LINEST VARS'!$K$62*(12.73^2)+'LINEST VARS'!$J$62*(8*8)+'LINEST VARS'!$I$62*(8*$BZ$80)+'LINEST VARS'!$H$62*(8*$BX91)+'LINEST VARS'!$G$62*(8*12.73)+'LINEST VARS'!$F$62*(8*$BZ$80)+'LINEST VARS'!$E$62*(8*$BX91)+'LINEST VARS'!$D$62*(8*12.73)+'LINEST VARS'!$C$62*($BZ$80*$BX91)+'LINEST VARS'!$B$62*($BZ$80*12.73)+'LINEST VARS'!$A$62*($BX91*12.73)</f>
        <v>348.69999999999993</v>
      </c>
      <c r="CA91" s="55">
        <f>'LINEST VARS'!$U$62+'LINEST VARS'!$T$62*(8)+'LINEST VARS'!$S$62*(8)+'LINEST VARS'!$R$62*($CA$80)+'LINEST VARS'!$Q$62*($BX91)+'LINEST VARS'!$P$62*(12.73)+'LINEST VARS'!$O$62*(8^2)+'LINEST VARS'!$N$62*(8^2)+'LINEST VARS'!$M$62*($CA$80^2)+'LINEST VARS'!$L$62*($BX91^2)+'LINEST VARS'!$K$62*(12.73^2)+'LINEST VARS'!$J$62*(8*8)+'LINEST VARS'!$I$62*(8*$CA$80)+'LINEST VARS'!$H$62*(8*$BX91)+'LINEST VARS'!$G$62*(8*12.73)+'LINEST VARS'!$F$62*(8*$CA$80)+'LINEST VARS'!$E$62*(8*$BX91)+'LINEST VARS'!$D$62*(8*12.73)+'LINEST VARS'!$C$62*($CA$80*$BX91)+'LINEST VARS'!$B$62*($CA$80*12.73)+'LINEST VARS'!$A$62*($BX91*12.73)</f>
        <v>346.29999999999984</v>
      </c>
      <c r="CB91" s="55">
        <f>'LINEST VARS'!$U$62+'LINEST VARS'!$T$62*(8)+'LINEST VARS'!$S$62*(8)+'LINEST VARS'!$R$62*($CB$80)+'LINEST VARS'!$Q$62*($BX91)+'LINEST VARS'!$P$62*(12.73)+'LINEST VARS'!$O$62*(8^2)+'LINEST VARS'!$N$62*(8^2)+'LINEST VARS'!$M$62*($CB$80^2)+'LINEST VARS'!$L$62*($BX91^2)+'LINEST VARS'!$K$62*(12.73^2)+'LINEST VARS'!$J$62*(8*8)+'LINEST VARS'!$I$62*(8*$CB$80)+'LINEST VARS'!$H$62*(8*$BX91)+'LINEST VARS'!$G$62*(8*12.73)+'LINEST VARS'!$F$62*(8*$CB$80)+'LINEST VARS'!$E$62*(8*$BX91)+'LINEST VARS'!$D$62*(8*12.73)+'LINEST VARS'!$C$62*($CB$80*$BX91)+'LINEST VARS'!$B$62*($CB$80*12.73)+'LINEST VARS'!$A$62*($BX91*12.73)</f>
        <v>342.2999999999999</v>
      </c>
      <c r="CC91" s="55">
        <f>'LINEST VARS'!$U$62+'LINEST VARS'!$T$62*(8)+'LINEST VARS'!$S$62*(8)+'LINEST VARS'!$R$62*($CC$80)+'LINEST VARS'!$Q$62*($BX91)+'LINEST VARS'!$P$62*(12.73)+'LINEST VARS'!$O$62*(8^2)+'LINEST VARS'!$N$62*(8^2)+'LINEST VARS'!$M$62*($CC$80^2)+'LINEST VARS'!$L$62*($BX91^2)+'LINEST VARS'!$K$62*(12.73^2)+'LINEST VARS'!$J$62*(8*8)+'LINEST VARS'!$I$62*(8*$CC$80)+'LINEST VARS'!$H$62*(8*$BX91)+'LINEST VARS'!$G$62*(8*12.73)+'LINEST VARS'!$F$62*(8*$CC$80)+'LINEST VARS'!$E$62*(8*$BX91)+'LINEST VARS'!$D$62*(8*12.73)+'LINEST VARS'!$C$62*($CC$80*$BX91)+'LINEST VARS'!$B$62*($CC$80*12.73)+'LINEST VARS'!$A$62*($BX91*12.73)</f>
        <v>336.69999999999993</v>
      </c>
      <c r="CD91" s="55">
        <f>'LINEST VARS'!$U$62+'LINEST VARS'!$T$62*(8)+'LINEST VARS'!$S$62*(8)+'LINEST VARS'!$R$62*($CD$80)+'LINEST VARS'!$Q$62*($BX91)+'LINEST VARS'!$P$62*(12.73)+'LINEST VARS'!$O$62*(8^2)+'LINEST VARS'!$N$62*(8^2)+'LINEST VARS'!$M$62*($CD$80^2)+'LINEST VARS'!$L$62*($BX91^2)+'LINEST VARS'!$K$62*(12.73^2)+'LINEST VARS'!$J$62*(8*8)+'LINEST VARS'!$I$62*(8*$CD$80)+'LINEST VARS'!$H$62*(8*$BX91)+'LINEST VARS'!$G$62*(8*12.73)+'LINEST VARS'!$F$62*(8*$CD$80)+'LINEST VARS'!$E$62*(8*$BX91)+'LINEST VARS'!$D$62*(8*12.73)+'LINEST VARS'!$C$62*($CD$80*$BX91)+'LINEST VARS'!$B$62*($CD$80*12.73)+'LINEST VARS'!$A$62*($BX91*12.73)</f>
        <v>329.5</v>
      </c>
      <c r="CE91" s="55">
        <f>'LINEST VARS'!$U$62+'LINEST VARS'!$T$62*(8)+'LINEST VARS'!$S$62*(8)+'LINEST VARS'!$R$62*($CE$80)+'LINEST VARS'!$Q$62*($BX91)+'LINEST VARS'!$P$62*(12.73)+'LINEST VARS'!$O$62*(8^2)+'LINEST VARS'!$N$62*(8^2)+'LINEST VARS'!$M$62*($CE$80^2)+'LINEST VARS'!$L$62*($BX91^2)+'LINEST VARS'!$K$62*(12.73^2)+'LINEST VARS'!$J$62*(8*8)+'LINEST VARS'!$I$62*(8*$CE$80)+'LINEST VARS'!$H$62*(8*$BX91)+'LINEST VARS'!$G$62*(8*12.73)+'LINEST VARS'!$F$62*(8*$CE$80)+'LINEST VARS'!$E$62*(8*$BX91)+'LINEST VARS'!$D$62*(8*12.73)+'LINEST VARS'!$C$62*($CE$80*$BX91)+'LINEST VARS'!$B$62*($CE$80*12.73)+'LINEST VARS'!$A$62*($BX91*12.73)</f>
        <v>320.69999999999993</v>
      </c>
      <c r="CF91" s="55">
        <f>'LINEST VARS'!$U$62+'LINEST VARS'!$T$62*(8)+'LINEST VARS'!$S$62*(8)+'LINEST VARS'!$R$62*($CF$80)+'LINEST VARS'!$Q$62*($BX91)+'LINEST VARS'!$P$62*(12.73)+'LINEST VARS'!$O$62*(8^2)+'LINEST VARS'!$N$62*(8^2)+'LINEST VARS'!$M$62*($CF$80^2)+'LINEST VARS'!$L$62*($BX91^2)+'LINEST VARS'!$K$62*(12.73^2)+'LINEST VARS'!$J$62*(8*8)+'LINEST VARS'!$I$62*(8*$CF$80)+'LINEST VARS'!$H$62*(8*$BX91)+'LINEST VARS'!$G$62*(8*12.73)+'LINEST VARS'!$F$62*(8*$CF$80)+'LINEST VARS'!$E$62*(8*$BX91)+'LINEST VARS'!$D$62*(8*12.73)+'LINEST VARS'!$C$62*($CF$80*$BX91)+'LINEST VARS'!$B$62*($CF$80*12.73)+'LINEST VARS'!$A$62*($BX91*12.73)</f>
        <v>310.29999999999995</v>
      </c>
      <c r="CG91" s="55">
        <f>'LINEST VARS'!$U$62+'LINEST VARS'!$T$62*(8)+'LINEST VARS'!$S$62*(8)+'LINEST VARS'!$R$62*($CG$80)+'LINEST VARS'!$Q$62*($BX91)+'LINEST VARS'!$P$62*(12.73)+'LINEST VARS'!$O$62*(8^2)+'LINEST VARS'!$N$62*(8^2)+'LINEST VARS'!$M$62*($CG$80^2)+'LINEST VARS'!$L$62*($BX91^2)+'LINEST VARS'!$K$62*(12.73^2)+'LINEST VARS'!$J$62*(8*8)+'LINEST VARS'!$I$62*(8*$CG$80)+'LINEST VARS'!$H$62*(8*$BX91)+'LINEST VARS'!$G$62*(8*12.73)+'LINEST VARS'!$F$62*(8*$CG$80)+'LINEST VARS'!$E$62*(8*$BX91)+'LINEST VARS'!$D$62*(8*12.73)+'LINEST VARS'!$C$62*($CG$80*$BX91)+'LINEST VARS'!$B$62*($CG$80*12.73)+'LINEST VARS'!$A$62*($BX91*12.73)</f>
        <v>298.29999999999995</v>
      </c>
      <c r="CH91" s="55">
        <f>'LINEST VARS'!$U$62+'LINEST VARS'!$T$62*(8)+'LINEST VARS'!$S$62*(8)+'LINEST VARS'!$R$62*($CH$80)+'LINEST VARS'!$Q$62*($BX91)+'LINEST VARS'!$P$62*(12.73)+'LINEST VARS'!$O$62*(8^2)+'LINEST VARS'!$N$62*(8^2)+'LINEST VARS'!$M$62*($CH$80^2)+'LINEST VARS'!$L$62*($BX91^2)+'LINEST VARS'!$K$62*(12.73^2)+'LINEST VARS'!$J$62*(8*8)+'LINEST VARS'!$I$62*(8*$CH$80)+'LINEST VARS'!$H$62*(8*$BX91)+'LINEST VARS'!$G$62*(8*12.73)+'LINEST VARS'!$F$62*(8*$CH$80)+'LINEST VARS'!$E$62*(8*$BX91)+'LINEST VARS'!$D$62*(8*12.73)+'LINEST VARS'!$C$62*($CH$80*$BX91)+'LINEST VARS'!$B$62*($CH$80*12.73)+'LINEST VARS'!$A$62*($BX91*12.73)</f>
        <v>284.69999999999993</v>
      </c>
      <c r="CI91" s="55">
        <f>'LINEST VARS'!$U$62+'LINEST VARS'!$T$62*(8)+'LINEST VARS'!$S$62*(8)+'LINEST VARS'!$R$62*($CI$80)+'LINEST VARS'!$Q$62*($BX91)+'LINEST VARS'!$P$62*(12.73)+'LINEST VARS'!$O$62*(8^2)+'LINEST VARS'!$N$62*(8^2)+'LINEST VARS'!$M$62*($CI$80^2)+'LINEST VARS'!$L$62*($BX91^2)+'LINEST VARS'!$K$62*(12.73^2)+'LINEST VARS'!$J$62*(8*8)+'LINEST VARS'!$I$62*(8*$CI$80)+'LINEST VARS'!$H$62*(8*$BX91)+'LINEST VARS'!$G$62*(8*12.73)+'LINEST VARS'!$F$62*(8*$CI$80)+'LINEST VARS'!$E$62*(8*$BX91)+'LINEST VARS'!$D$62*(8*12.73)+'LINEST VARS'!$C$62*($CI$80*$BX91)+'LINEST VARS'!$B$62*($CI$80*12.73)+'LINEST VARS'!$A$62*($BX91*12.73)</f>
        <v>269.49999999999994</v>
      </c>
      <c r="CJ91" s="55">
        <f>'LINEST VARS'!$U$62+'LINEST VARS'!$T$62*(8)+'LINEST VARS'!$S$62*(8)+'LINEST VARS'!$R$62*($CJ$80)+'LINEST VARS'!$Q$62*($BX91)+'LINEST VARS'!$P$62*(12.73)+'LINEST VARS'!$O$62*(8^2)+'LINEST VARS'!$N$62*(8^2)+'LINEST VARS'!$M$62*($CJ$80^2)+'LINEST VARS'!$L$62*($BX91^2)+'LINEST VARS'!$K$62*(12.73^2)+'LINEST VARS'!$J$62*(8*8)+'LINEST VARS'!$I$62*(8*$CJ$80)+'LINEST VARS'!$H$62*(8*$BX91)+'LINEST VARS'!$G$62*(8*12.73)+'LINEST VARS'!$F$62*(8*$CJ$80)+'LINEST VARS'!$E$62*(8*$BX91)+'LINEST VARS'!$D$62*(8*12.73)+'LINEST VARS'!$C$62*($CJ$80*$BX91)+'LINEST VARS'!$B$62*($CJ$80*12.73)+'LINEST VARS'!$A$62*($BX91*12.73)</f>
        <v>252.70000000000005</v>
      </c>
      <c r="CK91" s="55">
        <f>'LINEST VARS'!$U$62+'LINEST VARS'!$T$62*(8)+'LINEST VARS'!$S$62*(8)+'LINEST VARS'!$R$62*($CK$80)+'LINEST VARS'!$Q$62*($BX91)+'LINEST VARS'!$P$62*(12.73)+'LINEST VARS'!$O$62*(8^2)+'LINEST VARS'!$N$62*(8^2)+'LINEST VARS'!$M$62*($CK$80^2)+'LINEST VARS'!$L$62*($BX91^2)+'LINEST VARS'!$K$62*(12.73^2)+'LINEST VARS'!$J$62*(8*8)+'LINEST VARS'!$I$62*(8*$CK$80)+'LINEST VARS'!$H$62*(8*$BX91)+'LINEST VARS'!$G$62*(8*12.73)+'LINEST VARS'!$F$62*(8*$CK$80)+'LINEST VARS'!$E$62*(8*$BX91)+'LINEST VARS'!$D$62*(8*12.73)+'LINEST VARS'!$C$62*($CK$80*$BX91)+'LINEST VARS'!$B$62*($CK$80*12.73)+'LINEST VARS'!$A$62*($BX91*12.73)</f>
        <v>234.3000000000001</v>
      </c>
      <c r="CL91" s="55">
        <f>'LINEST VARS'!$U$62+'LINEST VARS'!$T$62*(8)+'LINEST VARS'!$S$62*(8)+'LINEST VARS'!$R$62*($CL$80)+'LINEST VARS'!$Q$62*($BX91)+'LINEST VARS'!$P$62*(12.73)+'LINEST VARS'!$O$62*(8^2)+'LINEST VARS'!$N$62*(8^2)+'LINEST VARS'!$M$62*($CL$80^2)+'LINEST VARS'!$L$62*($BX91^2)+'LINEST VARS'!$K$62*(12.73^2)+'LINEST VARS'!$J$62*(8*8)+'LINEST VARS'!$I$62*(8*$CL$80)+'LINEST VARS'!$H$62*(8*$BX91)+'LINEST VARS'!$G$62*(8*12.73)+'LINEST VARS'!$F$62*(8*$CL$80)+'LINEST VARS'!$E$62*(8*$BX91)+'LINEST VARS'!$D$62*(8*12.73)+'LINEST VARS'!$C$62*($CL$80*$BX91)+'LINEST VARS'!$B$62*($CL$80*12.73)+'LINEST VARS'!$A$62*($BX91*12.73)</f>
        <v>214.30000000000004</v>
      </c>
      <c r="CM91" s="55">
        <f>'LINEST VARS'!$U$62+'LINEST VARS'!$T$62*(8)+'LINEST VARS'!$S$62*(8)+'LINEST VARS'!$R$62*($CM$80)+'LINEST VARS'!$Q$62*($BX91)+'LINEST VARS'!$P$62*(12.73)+'LINEST VARS'!$O$62*(8^2)+'LINEST VARS'!$N$62*(8^2)+'LINEST VARS'!$M$62*($CM$80^2)+'LINEST VARS'!$L$62*($BX91^2)+'LINEST VARS'!$K$62*(12.73^2)+'LINEST VARS'!$J$62*(8*8)+'LINEST VARS'!$I$62*(8*$CM$80)+'LINEST VARS'!$H$62*(8*$BX91)+'LINEST VARS'!$G$62*(8*12.73)+'LINEST VARS'!$F$62*(8*$CM$80)+'LINEST VARS'!$E$62*(8*$BX91)+'LINEST VARS'!$D$62*(8*12.73)+'LINEST VARS'!$C$62*($CM$80*$BX91)+'LINEST VARS'!$B$62*($CM$80*12.73)+'LINEST VARS'!$A$62*($BX91*12.73)</f>
        <v>192.70000000000013</v>
      </c>
      <c r="CN91" s="55">
        <f>'LINEST VARS'!$U$62+'LINEST VARS'!$T$62*(8)+'LINEST VARS'!$S$62*(8)+'LINEST VARS'!$R$62*($CN$80)+'LINEST VARS'!$Q$62*($BX91)+'LINEST VARS'!$P$62*(12.73)+'LINEST VARS'!$O$62*(8^2)+'LINEST VARS'!$N$62*(8^2)+'LINEST VARS'!$M$62*($CN$80^2)+'LINEST VARS'!$L$62*($BX91^2)+'LINEST VARS'!$K$62*(12.73^2)+'LINEST VARS'!$J$62*(8*8)+'LINEST VARS'!$I$62*(8*$CN$80)+'LINEST VARS'!$H$62*(8*$BX91)+'LINEST VARS'!$G$62*(8*12.73)+'LINEST VARS'!$F$62*(8*$CN$80)+'LINEST VARS'!$E$62*(8*$BX91)+'LINEST VARS'!$D$62*(8*12.73)+'LINEST VARS'!$C$62*($CN$80*$BX91)+'LINEST VARS'!$B$62*($CN$80*12.73)+'LINEST VARS'!$A$62*($BX91*12.73)</f>
        <v>169.50000000000011</v>
      </c>
      <c r="CO91" s="55">
        <f>'LINEST VARS'!$U$62+'LINEST VARS'!$T$62*(8)+'LINEST VARS'!$S$62*(8)+'LINEST VARS'!$R$62*($CO$80)+'LINEST VARS'!$Q$62*($BX91)+'LINEST VARS'!$P$62*(12.73)+'LINEST VARS'!$O$62*(8^2)+'LINEST VARS'!$N$62*(8^2)+'LINEST VARS'!$M$62*($CO$80^2)+'LINEST VARS'!$L$62*($BX91^2)+'LINEST VARS'!$K$62*(12.73^2)+'LINEST VARS'!$J$62*(8*8)+'LINEST VARS'!$I$62*(8*$CO$80)+'LINEST VARS'!$H$62*(8*$BX91)+'LINEST VARS'!$G$62*(8*12.73)+'LINEST VARS'!$F$62*(8*$CO$80)+'LINEST VARS'!$E$62*(8*$BX91)+'LINEST VARS'!$D$62*(8*12.73)+'LINEST VARS'!$C$62*($CO$80*$BX91)+'LINEST VARS'!$B$62*($CO$80*12.73)+'LINEST VARS'!$A$62*($BX91*12.73)</f>
        <v>144.7000000000001</v>
      </c>
      <c r="CP91" s="55">
        <f>'LINEST VARS'!$U$62+'LINEST VARS'!$T$62*(8)+'LINEST VARS'!$S$62*(8)+'LINEST VARS'!$R$62*($CP$80)+'LINEST VARS'!$Q$62*($BX91)+'LINEST VARS'!$P$62*(12.73)+'LINEST VARS'!$O$62*(8^2)+'LINEST VARS'!$N$62*(8^2)+'LINEST VARS'!$M$62*($CP$80^2)+'LINEST VARS'!$L$62*($BX91^2)+'LINEST VARS'!$K$62*(12.73^2)+'LINEST VARS'!$J$62*(8*8)+'LINEST VARS'!$I$62*(8*$CP$80)+'LINEST VARS'!$H$62*(8*$BX91)+'LINEST VARS'!$G$62*(8*12.73)+'LINEST VARS'!$F$62*(8*$CP$80)+'LINEST VARS'!$E$62*(8*$BX91)+'LINEST VARS'!$D$62*(8*12.73)+'LINEST VARS'!$C$62*($CP$80*$BX91)+'LINEST VARS'!$B$62*($CP$80*12.73)+'LINEST VARS'!$A$62*($BX91*12.73)</f>
        <v>118.30000000000011</v>
      </c>
      <c r="CQ91" s="55">
        <f>'LINEST VARS'!$U$62+'LINEST VARS'!$T$62*(8)+'LINEST VARS'!$S$62*(8)+'LINEST VARS'!$R$62*($CQ$80)+'LINEST VARS'!$Q$62*($BX91)+'LINEST VARS'!$P$62*(12.73)+'LINEST VARS'!$O$62*(8^2)+'LINEST VARS'!$N$62*(8^2)+'LINEST VARS'!$M$62*($CQ$80^2)+'LINEST VARS'!$L$62*($BX91^2)+'LINEST VARS'!$K$62*(12.73^2)+'LINEST VARS'!$J$62*(8*8)+'LINEST VARS'!$I$62*(8*$CQ$80)+'LINEST VARS'!$H$62*(8*$BX91)+'LINEST VARS'!$G$62*(8*12.73)+'LINEST VARS'!$F$62*(8*$CQ$80)+'LINEST VARS'!$E$62*(8*$BX91)+'LINEST VARS'!$D$62*(8*12.73)+'LINEST VARS'!$C$62*($CQ$80*$BX91)+'LINEST VARS'!$B$62*($CQ$80*12.73)+'LINEST VARS'!$A$62*($BX91*12.73)</f>
        <v>90.300000000000111</v>
      </c>
      <c r="CR91" s="55">
        <f>'LINEST VARS'!$U$62+'LINEST VARS'!$T$62*(8)+'LINEST VARS'!$S$62*(8)+'LINEST VARS'!$R$62*($CR$80)+'LINEST VARS'!$Q$62*($BX91)+'LINEST VARS'!$P$62*(12.73)+'LINEST VARS'!$O$62*(8^2)+'LINEST VARS'!$N$62*(8^2)+'LINEST VARS'!$M$62*($CR$80^2)+'LINEST VARS'!$L$62*($BX91^2)+'LINEST VARS'!$K$62*(12.73^2)+'LINEST VARS'!$J$62*(8*8)+'LINEST VARS'!$I$62*(8*$CR$80)+'LINEST VARS'!$H$62*(8*$BX91)+'LINEST VARS'!$G$62*(8*12.73)+'LINEST VARS'!$F$62*(8*$CR$80)+'LINEST VARS'!$E$62*(8*$BX91)+'LINEST VARS'!$D$62*(8*12.73)+'LINEST VARS'!$C$62*($CR$80*$BX91)+'LINEST VARS'!$B$62*($CR$80*12.73)+'LINEST VARS'!$A$62*($BX91*12.73)</f>
        <v>60.700000000000159</v>
      </c>
      <c r="CS91" s="56">
        <f>'LINEST VARS'!$U$62+'LINEST VARS'!$T$62*(8)+'LINEST VARS'!$S$62*(8)+'LINEST VARS'!$R$62*($CS$80)+'LINEST VARS'!$Q$62*($BX91)+'LINEST VARS'!$P$62*(12.73)+'LINEST VARS'!$O$62*(8^2)+'LINEST VARS'!$N$62*(8^2)+'LINEST VARS'!$M$62*($CS$80^2)+'LINEST VARS'!$L$62*($BX91^2)+'LINEST VARS'!$K$62*(12.73^2)+'LINEST VARS'!$J$62*(8*8)+'LINEST VARS'!$I$62*(8*$CS$80)+'LINEST VARS'!$H$62*(8*$BX91)+'LINEST VARS'!$G$62*(8*12.73)+'LINEST VARS'!$F$62*(8*$CS$80)+'LINEST VARS'!$E$62*(8*$BX91)+'LINEST VARS'!$D$62*(8*12.73)+'LINEST VARS'!$C$62*($CS$80*$BX91)+'LINEST VARS'!$B$62*($CS$80*12.73)+'LINEST VARS'!$A$62*($BX91*12.73)</f>
        <v>29.500000000000203</v>
      </c>
      <c r="CX91" s="45">
        <v>12.994999999999999</v>
      </c>
      <c r="CY91" s="46">
        <f>'LINEST VARS'!$U$60+'LINEST VARS'!$T$60*(8)+'LINEST VARS'!$S$60*(8)+'LINEST VARS'!$R$60*($CY$80)+'LINEST VARS'!$Q$60*(0.5)+'LINEST VARS'!$P$60*($CX91)+'LINEST VARS'!$O$60*(8^2)+'LINEST VARS'!$N$60*(8^2)+'LINEST VARS'!$M$60*($CY$80^2)+'LINEST VARS'!$L$60*(0.5^2)+'LINEST VARS'!$K$60*($CX91^2)+'LINEST VARS'!$J$60*(8*8)+'LINEST VARS'!$I$60*(8*$CY$80)+'LINEST VARS'!$H$60*(8*0.5)+'LINEST VARS'!$G$60*(8*$CX91)+'LINEST VARS'!$F$60*(8*$CY$80)+'LINEST VARS'!$E$60*(8*0.5)+'LINEST VARS'!$D$60*(8*$CX91)+'LINEST VARS'!$C$60*($CY$80*0.5)+'LINEST VARS'!$B$60*($CY$80*$CX91)+'LINEST VARS'!$A$60*(0.5*$CX91)</f>
        <v>40.989999999999995</v>
      </c>
      <c r="CZ91" s="46">
        <f>'LINEST VARS'!$U$60+'LINEST VARS'!$T$60*(8)+'LINEST VARS'!$S$60*(8)+'LINEST VARS'!$R$60*($CZ$80)+'LINEST VARS'!$Q$60*(0.5)+'LINEST VARS'!$P$60*($CX91)+'LINEST VARS'!$O$60*(8^2)+'LINEST VARS'!$N$60*(8^2)+'LINEST VARS'!$M$60*($CZ$80^2)+'LINEST VARS'!$L$60*(0.5^2)+'LINEST VARS'!$K$60*($CX91^2)+'LINEST VARS'!$J$60*(8*8)+'LINEST VARS'!$I$60*(8*$CZ$80)+'LINEST VARS'!$H$60*(8*0.5)+'LINEST VARS'!$G$60*(8*$CX91)+'LINEST VARS'!$F$60*(8*$CZ$80)+'LINEST VARS'!$E$60*(8*0.5)+'LINEST VARS'!$D$60*(8*$CX91)+'LINEST VARS'!$C$60*($CZ$80*0.5)+'LINEST VARS'!$B$60*($CZ$80*$CX91)+'LINEST VARS'!$A$60*(0.5*$CX91)</f>
        <v>40.99</v>
      </c>
      <c r="DA91" s="46">
        <f>'LINEST VARS'!$U$60+'LINEST VARS'!$T$60*(8)+'LINEST VARS'!$S$60*(8)+'LINEST VARS'!$R$60*($DA$80)+'LINEST VARS'!$Q$60*(0.5)+'LINEST VARS'!$P$60*($CX91)+'LINEST VARS'!$O$60*(8^2)+'LINEST VARS'!$N$60*(8^2)+'LINEST VARS'!$M$60*($DA$80^2)+'LINEST VARS'!$L$60*(0.5^2)+'LINEST VARS'!$K$60*($CX91^2)+'LINEST VARS'!$J$60*(8*8)+'LINEST VARS'!$I$60*(8*$DA$80)+'LINEST VARS'!$H$60*(8*0.5)+'LINEST VARS'!$G$60*(8*$CX91)+'LINEST VARS'!$F$60*(8*$DA$80)+'LINEST VARS'!$E$60*(8*0.5)+'LINEST VARS'!$D$60*(8*$CX91)+'LINEST VARS'!$C$60*($DA$80*0.5)+'LINEST VARS'!$B$60*($DA$80*$CX91)+'LINEST VARS'!$A$60*(0.5*$CX91)</f>
        <v>40.99</v>
      </c>
      <c r="DB91" s="46">
        <f>'LINEST VARS'!$U$60+'LINEST VARS'!$T$60*(8)+'LINEST VARS'!$S$60*(8)+'LINEST VARS'!$R$60*($DB$80)+'LINEST VARS'!$Q$60*(0.5)+'LINEST VARS'!$P$60*($CX91)+'LINEST VARS'!$O$60*(8^2)+'LINEST VARS'!$N$60*(8^2)+'LINEST VARS'!$M$60*($DB$80^2)+'LINEST VARS'!$L$60*(0.5^2)+'LINEST VARS'!$K$60*($CX91^2)+'LINEST VARS'!$J$60*(8*8)+'LINEST VARS'!$I$60*(8*$DB$80)+'LINEST VARS'!$H$60*(8*0.5)+'LINEST VARS'!$G$60*(8*$CX91)+'LINEST VARS'!$F$60*(8*$DB$80)+'LINEST VARS'!$E$60*(8*0.5)+'LINEST VARS'!$D$60*(8*$CX91)+'LINEST VARS'!$C$60*($DB$80*0.5)+'LINEST VARS'!$B$60*($DB$80*$CX91)+'LINEST VARS'!$A$60*(0.5*$CX91)</f>
        <v>40.99</v>
      </c>
      <c r="DC91" s="46">
        <f>'LINEST VARS'!$U$60+'LINEST VARS'!$T$60*(8)+'LINEST VARS'!$S$60*(8)+'LINEST VARS'!$R$60*($DC$80)+'LINEST VARS'!$Q$60*(0.5)+'LINEST VARS'!$P$60*($CX91)+'LINEST VARS'!$O$60*(8^2)+'LINEST VARS'!$N$60*(8^2)+'LINEST VARS'!$M$60*($DC$80^2)+'LINEST VARS'!$L$60*(0.5^2)+'LINEST VARS'!$K$60*($CX91^2)+'LINEST VARS'!$J$60*(8*8)+'LINEST VARS'!$I$60*(8*$DC$80)+'LINEST VARS'!$H$60*(8*0.5)+'LINEST VARS'!$G$60*(8*$CX91)+'LINEST VARS'!$F$60*(8*$DC$80)+'LINEST VARS'!$E$60*(8*0.5)+'LINEST VARS'!$D$60*(8*$CX91)+'LINEST VARS'!$C$60*($DC$80*0.5)+'LINEST VARS'!$B$60*($DC$80*$CX91)+'LINEST VARS'!$A$60*(0.5*$CX91)</f>
        <v>40.99</v>
      </c>
      <c r="DD91" s="46">
        <f>'LINEST VARS'!$U$60+'LINEST VARS'!$T$60*(8)+'LINEST VARS'!$S$60*(8)+'LINEST VARS'!$R$60*($DD$80)+'LINEST VARS'!$Q$60*(0.5)+'LINEST VARS'!$P$60*($CX91)+'LINEST VARS'!$O$60*(8^2)+'LINEST VARS'!$N$60*(8^2)+'LINEST VARS'!$M$60*($DD$80^2)+'LINEST VARS'!$L$60*(0.5^2)+'LINEST VARS'!$K$60*($CX91^2)+'LINEST VARS'!$J$60*(8*8)+'LINEST VARS'!$I$60*(8*$DD$80)+'LINEST VARS'!$H$60*(8*0.5)+'LINEST VARS'!$G$60*(8*$CX91)+'LINEST VARS'!$F$60*(8*$DD$80)+'LINEST VARS'!$E$60*(8*0.5)+'LINEST VARS'!$D$60*(8*$CX91)+'LINEST VARS'!$C$60*($DD$80*0.5)+'LINEST VARS'!$B$60*($DD$80*$CX91)+'LINEST VARS'!$A$60*(0.5*$CX91)</f>
        <v>40.989999999999995</v>
      </c>
      <c r="DE91" s="46">
        <f>'LINEST VARS'!$U$60+'LINEST VARS'!$T$60*(8)+'LINEST VARS'!$S$60*(8)+'LINEST VARS'!$R$60*($DE$80)+'LINEST VARS'!$Q$60*(0.5)+'LINEST VARS'!$P$60*($CX91)+'LINEST VARS'!$O$60*(8^2)+'LINEST VARS'!$N$60*(8^2)+'LINEST VARS'!$M$60*($DE$80^2)+'LINEST VARS'!$L$60*(0.5^2)+'LINEST VARS'!$K$60*($CX91^2)+'LINEST VARS'!$J$60*(8*8)+'LINEST VARS'!$I$60*(8*$DE$80)+'LINEST VARS'!$H$60*(8*0.5)+'LINEST VARS'!$G$60*(8*$CX91)+'LINEST VARS'!$F$60*(8*$DE$80)+'LINEST VARS'!$E$60*(8*0.5)+'LINEST VARS'!$D$60*(8*$CX91)+'LINEST VARS'!$C$60*($DE$80*0.5)+'LINEST VARS'!$B$60*($DE$80*$CX91)+'LINEST VARS'!$A$60*(0.5*$CX91)</f>
        <v>40.989999999999995</v>
      </c>
      <c r="DF91" s="46">
        <f>'LINEST VARS'!$U$60+'LINEST VARS'!$T$60*(8)+'LINEST VARS'!$S$60*(8)+'LINEST VARS'!$R$60*($DF$80)+'LINEST VARS'!$Q$60*(0.5)+'LINEST VARS'!$P$60*($CX91)+'LINEST VARS'!$O$60*(8^2)+'LINEST VARS'!$N$60*(8^2)+'LINEST VARS'!$M$60*($DF$80^2)+'LINEST VARS'!$L$60*(0.5^2)+'LINEST VARS'!$K$60*($CX91^2)+'LINEST VARS'!$J$60*(8*8)+'LINEST VARS'!$I$60*(8*$DF$80)+'LINEST VARS'!$H$60*(8*0.5)+'LINEST VARS'!$G$60*(8*$CX91)+'LINEST VARS'!$F$60*(8*$DF$80)+'LINEST VARS'!$E$60*(8*0.5)+'LINEST VARS'!$D$60*(8*$CX91)+'LINEST VARS'!$C$60*($DF$80*0.5)+'LINEST VARS'!$B$60*($DF$80*$CX91)+'LINEST VARS'!$A$60*(0.5*$CX91)</f>
        <v>40.989999999999995</v>
      </c>
      <c r="DG91" s="46">
        <f>'LINEST VARS'!$U$60+'LINEST VARS'!$T$60*(8)+'LINEST VARS'!$S$60*(8)+'LINEST VARS'!$R$60*($DG$80)+'LINEST VARS'!$Q$60*(0.5)+'LINEST VARS'!$P$60*($CX91)+'LINEST VARS'!$O$60*(8^2)+'LINEST VARS'!$N$60*(8^2)+'LINEST VARS'!$M$60*($DG$80^2)+'LINEST VARS'!$L$60*(0.5^2)+'LINEST VARS'!$K$60*($CX91^2)+'LINEST VARS'!$J$60*(8*8)+'LINEST VARS'!$I$60*(8*$DG$80)+'LINEST VARS'!$H$60*(8*0.5)+'LINEST VARS'!$G$60*(8*$CX91)+'LINEST VARS'!$F$60*(8*$DG$80)+'LINEST VARS'!$E$60*(8*0.5)+'LINEST VARS'!$D$60*(8*$CX91)+'LINEST VARS'!$C$60*($DG$80*0.5)+'LINEST VARS'!$B$60*($DG$80*$CX91)+'LINEST VARS'!$A$60*(0.5*$CX91)</f>
        <v>40.99</v>
      </c>
      <c r="DH91" s="46">
        <f>'LINEST VARS'!$U$60+'LINEST VARS'!$T$60*(8)+'LINEST VARS'!$S$60*(8)+'LINEST VARS'!$R$60*($DH$80)+'LINEST VARS'!$Q$60*(0.5)+'LINEST VARS'!$P$60*($CX91)+'LINEST VARS'!$O$60*(8^2)+'LINEST VARS'!$N$60*(8^2)+'LINEST VARS'!$M$60*($DH$80^2)+'LINEST VARS'!$L$60*(0.5^2)+'LINEST VARS'!$K$60*($CX91^2)+'LINEST VARS'!$J$60*(8*8)+'LINEST VARS'!$I$60*(8*$DH$80)+'LINEST VARS'!$H$60*(8*0.5)+'LINEST VARS'!$G$60*(8*$CX91)+'LINEST VARS'!$F$60*(8*$DH$80)+'LINEST VARS'!$E$60*(8*0.5)+'LINEST VARS'!$D$60*(8*$CX91)+'LINEST VARS'!$C$60*($DH$80*0.5)+'LINEST VARS'!$B$60*($DH$80*$CX91)+'LINEST VARS'!$A$60*(0.5*$CX91)</f>
        <v>40.99</v>
      </c>
      <c r="DI91" s="46">
        <f>'LINEST VARS'!$U$60+'LINEST VARS'!$T$60*(8)+'LINEST VARS'!$S$60*(8)+'LINEST VARS'!$R$60*($DI$80)+'LINEST VARS'!$Q$60*(0.5)+'LINEST VARS'!$P$60*($CX91)+'LINEST VARS'!$O$60*(8^2)+'LINEST VARS'!$N$60*(8^2)+'LINEST VARS'!$M$60*($DI$80^2)+'LINEST VARS'!$L$60*(0.5^2)+'LINEST VARS'!$K$60*($CX91^2)+'LINEST VARS'!$J$60*(8*8)+'LINEST VARS'!$I$60*(8*$DI$80)+'LINEST VARS'!$H$60*(8*0.5)+'LINEST VARS'!$G$60*(8*$CX91)+'LINEST VARS'!$F$60*(8*$DI$80)+'LINEST VARS'!$E$60*(8*0.5)+'LINEST VARS'!$D$60*(8*$CX91)+'LINEST VARS'!$C$60*($DI$80*0.5)+'LINEST VARS'!$B$60*($DI$80*$CX91)+'LINEST VARS'!$A$60*(0.5*$CX91)</f>
        <v>40.99</v>
      </c>
      <c r="DJ91" s="46">
        <f>'LINEST VARS'!$U$60+'LINEST VARS'!$T$60*(8)+'LINEST VARS'!$S$60*(8)+'LINEST VARS'!$R$60*($DJ$80)+'LINEST VARS'!$Q$60*(0.5)+'LINEST VARS'!$P$60*($CX91)+'LINEST VARS'!$O$60*(8^2)+'LINEST VARS'!$N$60*(8^2)+'LINEST VARS'!$M$60*($DJ$80^2)+'LINEST VARS'!$L$60*(0.5^2)+'LINEST VARS'!$K$60*($CX91^2)+'LINEST VARS'!$J$60*(8*8)+'LINEST VARS'!$I$60*(8*$DJ$80)+'LINEST VARS'!$H$60*(8*0.5)+'LINEST VARS'!$G$60*(8*$CX91)+'LINEST VARS'!$F$60*(8*$DJ$80)+'LINEST VARS'!$E$60*(8*0.5)+'LINEST VARS'!$D$60*(8*$CX91)+'LINEST VARS'!$C$60*($DJ$80*0.5)+'LINEST VARS'!$B$60*($DJ$80*$CX91)+'LINEST VARS'!$A$60*(0.5*$CX91)</f>
        <v>40.99</v>
      </c>
      <c r="DK91" s="46">
        <f>'LINEST VARS'!$U$60+'LINEST VARS'!$T$60*(8)+'LINEST VARS'!$S$60*(8)+'LINEST VARS'!$R$60*($DK$80)+'LINEST VARS'!$Q$60*(0.5)+'LINEST VARS'!$P$60*($CX91)+'LINEST VARS'!$O$60*(8^2)+'LINEST VARS'!$N$60*(8^2)+'LINEST VARS'!$M$60*($DK$80^2)+'LINEST VARS'!$L$60*(0.5^2)+'LINEST VARS'!$K$60*($CX91^2)+'LINEST VARS'!$J$60*(8*8)+'LINEST VARS'!$I$60*(8*$DK$80)+'LINEST VARS'!$H$60*(8*0.5)+'LINEST VARS'!$G$60*(8*$CX91)+'LINEST VARS'!$F$60*(8*$DK$80)+'LINEST VARS'!$E$60*(8*0.5)+'LINEST VARS'!$D$60*(8*$CX91)+'LINEST VARS'!$C$60*($DK$80*0.5)+'LINEST VARS'!$B$60*($DK$80*$CX91)+'LINEST VARS'!$A$60*(0.5*$CX91)</f>
        <v>40.99</v>
      </c>
      <c r="DL91" s="46">
        <f>'LINEST VARS'!$U$60+'LINEST VARS'!$T$60*(8)+'LINEST VARS'!$S$60*(8)+'LINEST VARS'!$R$60*($DL$80)+'LINEST VARS'!$Q$60*(0.5)+'LINEST VARS'!$P$60*($CX91)+'LINEST VARS'!$O$60*(8^2)+'LINEST VARS'!$N$60*(8^2)+'LINEST VARS'!$M$60*($DL$80^2)+'LINEST VARS'!$L$60*(0.5^2)+'LINEST VARS'!$K$60*($CX91^2)+'LINEST VARS'!$J$60*(8*8)+'LINEST VARS'!$I$60*(8*$DL$80)+'LINEST VARS'!$H$60*(8*0.5)+'LINEST VARS'!$G$60*(8*$CX91)+'LINEST VARS'!$F$60*(8*$DL$80)+'LINEST VARS'!$E$60*(8*0.5)+'LINEST VARS'!$D$60*(8*$CX91)+'LINEST VARS'!$C$60*($DL$80*0.5)+'LINEST VARS'!$B$60*($DL$80*$CX91)+'LINEST VARS'!$A$60*(0.5*$CX91)</f>
        <v>40.989999999999995</v>
      </c>
      <c r="DM91" s="46">
        <f>'LINEST VARS'!$U$60+'LINEST VARS'!$T$60*(8)+'LINEST VARS'!$S$60*(8)+'LINEST VARS'!$R$60*($DM$80)+'LINEST VARS'!$Q$60*(0.5)+'LINEST VARS'!$P$60*($CX91)+'LINEST VARS'!$O$60*(8^2)+'LINEST VARS'!$N$60*(8^2)+'LINEST VARS'!$M$60*($DM$80^2)+'LINEST VARS'!$L$60*(0.5^2)+'LINEST VARS'!$K$60*($CX91^2)+'LINEST VARS'!$J$60*(8*8)+'LINEST VARS'!$I$60*(8*$DM$80)+'LINEST VARS'!$H$60*(8*0.5)+'LINEST VARS'!$G$60*(8*$CX91)+'LINEST VARS'!$F$60*(8*$DM$80)+'LINEST VARS'!$E$60*(8*0.5)+'LINEST VARS'!$D$60*(8*$CX91)+'LINEST VARS'!$C$60*($DM$80*0.5)+'LINEST VARS'!$B$60*($DM$80*$CX91)+'LINEST VARS'!$A$60*(0.5*$CX91)</f>
        <v>40.989999999999995</v>
      </c>
      <c r="DN91" s="46">
        <f>'LINEST VARS'!$U$60+'LINEST VARS'!$T$60*(8)+'LINEST VARS'!$S$60*(8)+'LINEST VARS'!$R$60*($DN$80)+'LINEST VARS'!$Q$60*(0.5)+'LINEST VARS'!$P$60*($CX91)+'LINEST VARS'!$O$60*(8^2)+'LINEST VARS'!$N$60*(8^2)+'LINEST VARS'!$M$60*($DN$80^2)+'LINEST VARS'!$L$60*(0.5^2)+'LINEST VARS'!$K$60*($CX91^2)+'LINEST VARS'!$J$60*(8*8)+'LINEST VARS'!$I$60*(8*$DN$80)+'LINEST VARS'!$H$60*(8*0.5)+'LINEST VARS'!$G$60*(8*$CX91)+'LINEST VARS'!$F$60*(8*$DN$80)+'LINEST VARS'!$E$60*(8*0.5)+'LINEST VARS'!$D$60*(8*$CX91)+'LINEST VARS'!$C$60*($DN$80*0.5)+'LINEST VARS'!$B$60*($DN$80*$CX91)+'LINEST VARS'!$A$60*(0.5*$CX91)</f>
        <v>40.99</v>
      </c>
      <c r="DO91" s="46">
        <f>'LINEST VARS'!$U$60+'LINEST VARS'!$T$60*(8)+'LINEST VARS'!$S$60*(8)+'LINEST VARS'!$R$60*($DO$80)+'LINEST VARS'!$Q$60*(0.5)+'LINEST VARS'!$P$60*($CX91)+'LINEST VARS'!$O$60*(8^2)+'LINEST VARS'!$N$60*(8^2)+'LINEST VARS'!$M$60*($DO$80^2)+'LINEST VARS'!$L$60*(0.5^2)+'LINEST VARS'!$K$60*($CX91^2)+'LINEST VARS'!$J$60*(8*8)+'LINEST VARS'!$I$60*(8*$DO$80)+'LINEST VARS'!$H$60*(8*0.5)+'LINEST VARS'!$G$60*(8*$CX91)+'LINEST VARS'!$F$60*(8*$DO$80)+'LINEST VARS'!$E$60*(8*0.5)+'LINEST VARS'!$D$60*(8*$CX91)+'LINEST VARS'!$C$60*($DO$80*0.5)+'LINEST VARS'!$B$60*($DO$80*$CX91)+'LINEST VARS'!$A$60*(0.5*$CX91)</f>
        <v>40.99</v>
      </c>
      <c r="DP91" s="46">
        <f>'LINEST VARS'!$U$60+'LINEST VARS'!$T$60*(8)+'LINEST VARS'!$S$60*(8)+'LINEST VARS'!$R$60*($DP$80)+'LINEST VARS'!$Q$60*(0.5)+'LINEST VARS'!$P$60*($CX91)+'LINEST VARS'!$O$60*(8^2)+'LINEST VARS'!$N$60*(8^2)+'LINEST VARS'!$M$60*($DP$80^2)+'LINEST VARS'!$L$60*(0.5^2)+'LINEST VARS'!$K$60*($CX91^2)+'LINEST VARS'!$J$60*(8*8)+'LINEST VARS'!$I$60*(8*$DP$80)+'LINEST VARS'!$H$60*(8*0.5)+'LINEST VARS'!$G$60*(8*$CX91)+'LINEST VARS'!$F$60*(8*$DP$80)+'LINEST VARS'!$E$60*(8*0.5)+'LINEST VARS'!$D$60*(8*$CX91)+'LINEST VARS'!$C$60*($DP$80*0.5)+'LINEST VARS'!$B$60*($DP$80*$CX91)+'LINEST VARS'!$A$60*(0.5*$CX91)</f>
        <v>40.99</v>
      </c>
      <c r="DQ91" s="46">
        <f>'LINEST VARS'!$U$60+'LINEST VARS'!$T$60*(8)+'LINEST VARS'!$S$60*(8)+'LINEST VARS'!$R$60*($DQ$80)+'LINEST VARS'!$Q$60*(0.5)+'LINEST VARS'!$P$60*($CX91)+'LINEST VARS'!$O$60*(8^2)+'LINEST VARS'!$N$60*(8^2)+'LINEST VARS'!$M$60*($DQ$80^2)+'LINEST VARS'!$L$60*(0.5^2)+'LINEST VARS'!$K$60*($CX91^2)+'LINEST VARS'!$J$60*(8*8)+'LINEST VARS'!$I$60*(8*$DQ$80)+'LINEST VARS'!$H$60*(8*0.5)+'LINEST VARS'!$G$60*(8*$CX91)+'LINEST VARS'!$F$60*(8*$DQ$80)+'LINEST VARS'!$E$60*(8*0.5)+'LINEST VARS'!$D$60*(8*$CX91)+'LINEST VARS'!$C$60*($DQ$80*0.5)+'LINEST VARS'!$B$60*($DQ$80*$CX91)+'LINEST VARS'!$A$60*(0.5*$CX91)</f>
        <v>40.99</v>
      </c>
      <c r="DR91" s="46">
        <f>'LINEST VARS'!$U$60+'LINEST VARS'!$T$60*(8)+'LINEST VARS'!$S$60*(8)+'LINEST VARS'!$R$60*($DR$80)+'LINEST VARS'!$Q$60*(0.5)+'LINEST VARS'!$P$60*($CX91)+'LINEST VARS'!$O$60*(8^2)+'LINEST VARS'!$N$60*(8^2)+'LINEST VARS'!$M$60*($DR$80^2)+'LINEST VARS'!$L$60*(0.5^2)+'LINEST VARS'!$K$60*($CX91^2)+'LINEST VARS'!$J$60*(8*8)+'LINEST VARS'!$I$60*(8*$DR$80)+'LINEST VARS'!$H$60*(8*0.5)+'LINEST VARS'!$G$60*(8*$CX91)+'LINEST VARS'!$F$60*(8*$DR$80)+'LINEST VARS'!$E$60*(8*0.5)+'LINEST VARS'!$D$60*(8*$CX91)+'LINEST VARS'!$C$60*($DR$80*0.5)+'LINEST VARS'!$B$60*($DR$80*$CX91)+'LINEST VARS'!$A$60*(0.5*$CX91)</f>
        <v>40.99</v>
      </c>
      <c r="DS91" s="47">
        <f>'LINEST VARS'!$U$60+'LINEST VARS'!$T$60*(8)+'LINEST VARS'!$S$60*(8)+'LINEST VARS'!$R$60*($DS$80)+'LINEST VARS'!$Q$60*(0.5)+'LINEST VARS'!$P$60*($CX91)+'LINEST VARS'!$O$60*(8^2)+'LINEST VARS'!$N$60*(8^2)+'LINEST VARS'!$M$60*($DS$80^2)+'LINEST VARS'!$L$60*(0.5^2)+'LINEST VARS'!$K$60*($CX91^2)+'LINEST VARS'!$J$60*(8*8)+'LINEST VARS'!$I$60*(8*$DS$80)+'LINEST VARS'!$H$60*(8*0.5)+'LINEST VARS'!$G$60*(8*$CX91)+'LINEST VARS'!$F$60*(8*$DS$80)+'LINEST VARS'!$E$60*(8*0.5)+'LINEST VARS'!$D$60*(8*$CX91)+'LINEST VARS'!$C$60*($DS$80*0.5)+'LINEST VARS'!$B$60*($DS$80*$CX91)+'LINEST VARS'!$A$60*(0.5*$CX91)</f>
        <v>40.99</v>
      </c>
      <c r="DV91" s="45">
        <v>12.994999999999999</v>
      </c>
      <c r="DW91" s="55">
        <f>'LINEST VARS'!$U$62+'LINEST VARS'!$T$62*(8)+'LINEST VARS'!$S$62*(8)+'LINEST VARS'!$R$62*($DW$80)+'LINEST VARS'!$Q$62*(0.5)+'LINEST VARS'!$P$62*($DV91)+'LINEST VARS'!$O$62*(8^2)+'LINEST VARS'!$N$62*(8^2)+'LINEST VARS'!$M$62*($DW$80^2)+'LINEST VARS'!$L$62*(0.5^2)+'LINEST VARS'!$K$62*($DV91^2)+'LINEST VARS'!$J$62*(8*8)+'LINEST VARS'!$I$62*(8*$DW$80)+'LINEST VARS'!$H$62*(8*0.5)+'LINEST VARS'!$G$62*(8*$DV91)+'LINEST VARS'!$F$62*(8*$DW$80)+'LINEST VARS'!$E$62*(8*0.5)+'LINEST VARS'!$D$62*(8*$DV91)+'LINEST VARS'!$C$62*($DW$80*0.5)+'LINEST VARS'!$B$62*($DW$80*$DV91)+'LINEST VARS'!$A$62*(0.5*$DV91)</f>
        <v>349.49999999999989</v>
      </c>
      <c r="DX91" s="55">
        <f>'LINEST VARS'!$U$62+'LINEST VARS'!$T$62*(8)+'LINEST VARS'!$S$62*(8)+'LINEST VARS'!$R$62*($DX$80)+'LINEST VARS'!$Q$62*(0.5)+'LINEST VARS'!$P$62*($DV91)+'LINEST VARS'!$O$62*(8^2)+'LINEST VARS'!$N$62*(8^2)+'LINEST VARS'!$M$62*($DX$80^2)+'LINEST VARS'!$L$62*(0.5^2)+'LINEST VARS'!$K$62*($DV91^2)+'LINEST VARS'!$J$62*(8*8)+'LINEST VARS'!$I$62*(8*$DX$80)+'LINEST VARS'!$H$62*(8*0.5)+'LINEST VARS'!$G$62*(8*$DV91)+'LINEST VARS'!$F$62*(8*$DX$80)+'LINEST VARS'!$E$62*(8*0.5)+'LINEST VARS'!$D$62*(8*$DV91)+'LINEST VARS'!$C$62*($DX$80*0.5)+'LINEST VARS'!$B$62*($DX$80*$DV91)+'LINEST VARS'!$A$62*(0.5*$DV91)</f>
        <v>348.69999999999993</v>
      </c>
      <c r="DY91" s="55">
        <f>'LINEST VARS'!$U$62+'LINEST VARS'!$T$62*(8)+'LINEST VARS'!$S$62*(8)+'LINEST VARS'!$R$62*($DY$80)+'LINEST VARS'!$Q$62*(0.5)+'LINEST VARS'!$P$62*($DV91)+'LINEST VARS'!$O$62*(8^2)+'LINEST VARS'!$N$62*(8^2)+'LINEST VARS'!$M$62*($DY$80^2)+'LINEST VARS'!$L$62*(0.5^2)+'LINEST VARS'!$K$62*($DV91^2)+'LINEST VARS'!$J$62*(8*8)+'LINEST VARS'!$I$62*(8*$DY$80)+'LINEST VARS'!$H$62*(8*0.5)+'LINEST VARS'!$G$62*(8*$DV91)+'LINEST VARS'!$F$62*(8*$DY$80)+'LINEST VARS'!$E$62*(8*0.5)+'LINEST VARS'!$D$62*(8*$DV91)+'LINEST VARS'!$C$62*($DY$80*0.5)+'LINEST VARS'!$B$62*($DY$80*$DV91)+'LINEST VARS'!$A$62*(0.5*$DV91)</f>
        <v>346.29999999999984</v>
      </c>
      <c r="DZ91" s="55">
        <f>'LINEST VARS'!$U$62+'LINEST VARS'!$T$62*(8)+'LINEST VARS'!$S$62*(8)+'LINEST VARS'!$R$62*($DZ$80)+'LINEST VARS'!$Q$62*(0.5)+'LINEST VARS'!$P$62*($DV91)+'LINEST VARS'!$O$62*(8^2)+'LINEST VARS'!$N$62*(8^2)+'LINEST VARS'!$M$62*($DZ$80^2)+'LINEST VARS'!$L$62*(0.5^2)+'LINEST VARS'!$K$62*($DV91^2)+'LINEST VARS'!$J$62*(8*8)+'LINEST VARS'!$I$62*(8*$DZ$80)+'LINEST VARS'!$H$62*(8*0.5)+'LINEST VARS'!$G$62*(8*$DV91)+'LINEST VARS'!$F$62*(8*$DZ$80)+'LINEST VARS'!$E$62*(8*0.5)+'LINEST VARS'!$D$62*(8*$DV91)+'LINEST VARS'!$C$62*($DZ$80*0.5)+'LINEST VARS'!$B$62*($DZ$80*$DV91)+'LINEST VARS'!$A$62*(0.5*$DV91)</f>
        <v>342.2999999999999</v>
      </c>
      <c r="EA91" s="55">
        <f>'LINEST VARS'!$U$62+'LINEST VARS'!$T$62*(8)+'LINEST VARS'!$S$62*(8)+'LINEST VARS'!$R$62*($EA$80)+'LINEST VARS'!$Q$62*(0.5)+'LINEST VARS'!$P$62*($DV91)+'LINEST VARS'!$O$62*(8^2)+'LINEST VARS'!$N$62*(8^2)+'LINEST VARS'!$M$62*($EA$80^2)+'LINEST VARS'!$L$62*(0.5^2)+'LINEST VARS'!$K$62*($DV91^2)+'LINEST VARS'!$J$62*(8*8)+'LINEST VARS'!$I$62*(8*$EA$80)+'LINEST VARS'!$H$62*(8*0.5)+'LINEST VARS'!$G$62*(8*$DV91)+'LINEST VARS'!$F$62*(8*$EA$80)+'LINEST VARS'!$E$62*(8*0.5)+'LINEST VARS'!$D$62*(8*$DV91)+'LINEST VARS'!$C$62*($EA$80*0.5)+'LINEST VARS'!$B$62*($EA$80*$DV91)+'LINEST VARS'!$A$62*(0.5*$DV91)</f>
        <v>336.69999999999993</v>
      </c>
      <c r="EB91" s="55">
        <f>'LINEST VARS'!$U$62+'LINEST VARS'!$T$62*(8)+'LINEST VARS'!$S$62*(8)+'LINEST VARS'!$R$62*($EB$80)+'LINEST VARS'!$Q$62*(0.5)+'LINEST VARS'!$P$62*($DV91)+'LINEST VARS'!$O$62*(8^2)+'LINEST VARS'!$N$62*(8^2)+'LINEST VARS'!$M$62*($EB$80^2)+'LINEST VARS'!$L$62*(0.5^2)+'LINEST VARS'!$K$62*($DV91^2)+'LINEST VARS'!$J$62*(8*8)+'LINEST VARS'!$I$62*(8*$EB$80)+'LINEST VARS'!$H$62*(8*0.5)+'LINEST VARS'!$G$62*(8*$DV91)+'LINEST VARS'!$F$62*(8*$EB$80)+'LINEST VARS'!$E$62*(8*0.5)+'LINEST VARS'!$D$62*(8*$DV91)+'LINEST VARS'!$C$62*($EB$80*0.5)+'LINEST VARS'!$B$62*($EB$80*$DV91)+'LINEST VARS'!$A$62*(0.5*$DV91)</f>
        <v>329.5</v>
      </c>
      <c r="EC91" s="55">
        <f>'LINEST VARS'!$U$62+'LINEST VARS'!$T$62*(8)+'LINEST VARS'!$S$62*(8)+'LINEST VARS'!$R$62*($EC$80)+'LINEST VARS'!$Q$62*(0.5)+'LINEST VARS'!$P$62*($DV91)+'LINEST VARS'!$O$62*(8^2)+'LINEST VARS'!$N$62*(8^2)+'LINEST VARS'!$M$62*($EC$80^2)+'LINEST VARS'!$L$62*(0.5^2)+'LINEST VARS'!$K$62*($DV91^2)+'LINEST VARS'!$J$62*(8*8)+'LINEST VARS'!$I$62*(8*$EC$80)+'LINEST VARS'!$H$62*(8*0.5)+'LINEST VARS'!$G$62*(8*$DV91)+'LINEST VARS'!$F$62*(8*$EC$80)+'LINEST VARS'!$E$62*(8*0.5)+'LINEST VARS'!$D$62*(8*$DV91)+'LINEST VARS'!$C$62*($EC$80*0.5)+'LINEST VARS'!$B$62*($EC$80*$DV91)+'LINEST VARS'!$A$62*(0.5*$DV91)</f>
        <v>320.69999999999993</v>
      </c>
      <c r="ED91" s="55">
        <f>'LINEST VARS'!$U$62+'LINEST VARS'!$T$62*(8)+'LINEST VARS'!$S$62*(8)+'LINEST VARS'!$R$62*($ED$80)+'LINEST VARS'!$Q$62*(0.5)+'LINEST VARS'!$P$62*($DV91)+'LINEST VARS'!$O$62*(8^2)+'LINEST VARS'!$N$62*(8^2)+'LINEST VARS'!$M$62*($ED$80^2)+'LINEST VARS'!$L$62*(0.5^2)+'LINEST VARS'!$K$62*($DV91^2)+'LINEST VARS'!$J$62*(8*8)+'LINEST VARS'!$I$62*(8*$ED$80)+'LINEST VARS'!$H$62*(8*0.5)+'LINEST VARS'!$G$62*(8*$DV91)+'LINEST VARS'!$F$62*(8*$ED$80)+'LINEST VARS'!$E$62*(8*0.5)+'LINEST VARS'!$D$62*(8*$DV91)+'LINEST VARS'!$C$62*($ED$80*0.5)+'LINEST VARS'!$B$62*($ED$80*$DV91)+'LINEST VARS'!$A$62*(0.5*$DV91)</f>
        <v>310.2999999999999</v>
      </c>
      <c r="EE91" s="55">
        <f>'LINEST VARS'!$U$62+'LINEST VARS'!$T$62*(8)+'LINEST VARS'!$S$62*(8)+'LINEST VARS'!$R$62*($EE$80)+'LINEST VARS'!$Q$62*(0.5)+'LINEST VARS'!$P$62*($DV91)+'LINEST VARS'!$O$62*(8^2)+'LINEST VARS'!$N$62*(8^2)+'LINEST VARS'!$M$62*($EE$80^2)+'LINEST VARS'!$L$62*(0.5^2)+'LINEST VARS'!$K$62*($DV91^2)+'LINEST VARS'!$J$62*(8*8)+'LINEST VARS'!$I$62*(8*$EE$80)+'LINEST VARS'!$H$62*(8*0.5)+'LINEST VARS'!$G$62*(8*$DV91)+'LINEST VARS'!$F$62*(8*$EE$80)+'LINEST VARS'!$E$62*(8*0.5)+'LINEST VARS'!$D$62*(8*$DV91)+'LINEST VARS'!$C$62*($EE$80*0.5)+'LINEST VARS'!$B$62*($EE$80*$DV91)+'LINEST VARS'!$A$62*(0.5*$DV91)</f>
        <v>298.29999999999995</v>
      </c>
      <c r="EF91" s="55">
        <f>'LINEST VARS'!$U$62+'LINEST VARS'!$T$62*(8)+'LINEST VARS'!$S$62*(8)+'LINEST VARS'!$R$62*($EF$80)+'LINEST VARS'!$Q$62*(0.5)+'LINEST VARS'!$P$62*($DV91)+'LINEST VARS'!$O$62*(8^2)+'LINEST VARS'!$N$62*(8^2)+'LINEST VARS'!$M$62*($EF$80^2)+'LINEST VARS'!$L$62*(0.5^2)+'LINEST VARS'!$K$62*($DV91^2)+'LINEST VARS'!$J$62*(8*8)+'LINEST VARS'!$I$62*(8*$EF$80)+'LINEST VARS'!$H$62*(8*0.5)+'LINEST VARS'!$G$62*(8*$DV91)+'LINEST VARS'!$F$62*(8*$EF$80)+'LINEST VARS'!$E$62*(8*0.5)+'LINEST VARS'!$D$62*(8*$DV91)+'LINEST VARS'!$C$62*($EF$80*0.5)+'LINEST VARS'!$B$62*($EF$80*$DV91)+'LINEST VARS'!$A$62*(0.5*$DV91)</f>
        <v>284.69999999999993</v>
      </c>
      <c r="EG91" s="55">
        <f>'LINEST VARS'!$U$62+'LINEST VARS'!$T$62*(8)+'LINEST VARS'!$S$62*(8)+'LINEST VARS'!$R$62*($EG$80)+'LINEST VARS'!$Q$62*(0.5)+'LINEST VARS'!$P$62*($DV91)+'LINEST VARS'!$O$62*(8^2)+'LINEST VARS'!$N$62*(8^2)+'LINEST VARS'!$M$62*($EG$80^2)+'LINEST VARS'!$L$62*(0.5^2)+'LINEST VARS'!$K$62*($DV91^2)+'LINEST VARS'!$J$62*(8*8)+'LINEST VARS'!$I$62*(8*$EG$80)+'LINEST VARS'!$H$62*(8*0.5)+'LINEST VARS'!$G$62*(8*$DV91)+'LINEST VARS'!$F$62*(8*$EG$80)+'LINEST VARS'!$E$62*(8*0.5)+'LINEST VARS'!$D$62*(8*$DV91)+'LINEST VARS'!$C$62*($EG$80*0.5)+'LINEST VARS'!$B$62*($EG$80*$DV91)+'LINEST VARS'!$A$62*(0.5*$DV91)</f>
        <v>269.49999999999994</v>
      </c>
      <c r="EH91" s="55">
        <f>'LINEST VARS'!$U$62+'LINEST VARS'!$T$62*(8)+'LINEST VARS'!$S$62*(8)+'LINEST VARS'!$R$62*($EH$80)+'LINEST VARS'!$Q$62*(0.5)+'LINEST VARS'!$P$62*($DV91)+'LINEST VARS'!$O$62*(8^2)+'LINEST VARS'!$N$62*(8^2)+'LINEST VARS'!$M$62*($EH$80^2)+'LINEST VARS'!$L$62*(0.5^2)+'LINEST VARS'!$K$62*($DV91^2)+'LINEST VARS'!$J$62*(8*8)+'LINEST VARS'!$I$62*(8*$EH$80)+'LINEST VARS'!$H$62*(8*0.5)+'LINEST VARS'!$G$62*(8*$DV91)+'LINEST VARS'!$F$62*(8*$EH$80)+'LINEST VARS'!$E$62*(8*0.5)+'LINEST VARS'!$D$62*(8*$DV91)+'LINEST VARS'!$C$62*($EH$80*0.5)+'LINEST VARS'!$B$62*($EH$80*$DV91)+'LINEST VARS'!$A$62*(0.5*$DV91)</f>
        <v>252.70000000000005</v>
      </c>
      <c r="EI91" s="55">
        <f>'LINEST VARS'!$U$62+'LINEST VARS'!$T$62*(8)+'LINEST VARS'!$S$62*(8)+'LINEST VARS'!$R$62*($EI$80)+'LINEST VARS'!$Q$62*(0.5)+'LINEST VARS'!$P$62*($DV91)+'LINEST VARS'!$O$62*(8^2)+'LINEST VARS'!$N$62*(8^2)+'LINEST VARS'!$M$62*($EI$80^2)+'LINEST VARS'!$L$62*(0.5^2)+'LINEST VARS'!$K$62*($DV91^2)+'LINEST VARS'!$J$62*(8*8)+'LINEST VARS'!$I$62*(8*$EI$80)+'LINEST VARS'!$H$62*(8*0.5)+'LINEST VARS'!$G$62*(8*$DV91)+'LINEST VARS'!$F$62*(8*$EI$80)+'LINEST VARS'!$E$62*(8*0.5)+'LINEST VARS'!$D$62*(8*$DV91)+'LINEST VARS'!$C$62*($EI$80*0.5)+'LINEST VARS'!$B$62*($EI$80*$DV91)+'LINEST VARS'!$A$62*(0.5*$DV91)</f>
        <v>234.3000000000001</v>
      </c>
      <c r="EJ91" s="55">
        <f>'LINEST VARS'!$U$62+'LINEST VARS'!$T$62*(8)+'LINEST VARS'!$S$62*(8)+'LINEST VARS'!$R$62*($EJ$80)+'LINEST VARS'!$Q$62*(0.5)+'LINEST VARS'!$P$62*($DV91)+'LINEST VARS'!$O$62*(8^2)+'LINEST VARS'!$N$62*(8^2)+'LINEST VARS'!$M$62*($EJ$80^2)+'LINEST VARS'!$L$62*(0.5^2)+'LINEST VARS'!$K$62*($DV91^2)+'LINEST VARS'!$J$62*(8*8)+'LINEST VARS'!$I$62*(8*$EJ$80)+'LINEST VARS'!$H$62*(8*0.5)+'LINEST VARS'!$G$62*(8*$DV91)+'LINEST VARS'!$F$62*(8*$EJ$80)+'LINEST VARS'!$E$62*(8*0.5)+'LINEST VARS'!$D$62*(8*$DV91)+'LINEST VARS'!$C$62*($EJ$80*0.5)+'LINEST VARS'!$B$62*($EJ$80*$DV91)+'LINEST VARS'!$A$62*(0.5*$DV91)</f>
        <v>214.30000000000004</v>
      </c>
      <c r="EK91" s="55">
        <f>'LINEST VARS'!$U$62+'LINEST VARS'!$T$62*(8)+'LINEST VARS'!$S$62*(8)+'LINEST VARS'!$R$62*($EK$80)+'LINEST VARS'!$Q$62*(0.5)+'LINEST VARS'!$P$62*($DV91)+'LINEST VARS'!$O$62*(8^2)+'LINEST VARS'!$N$62*(8^2)+'LINEST VARS'!$M$62*($EK$80^2)+'LINEST VARS'!$L$62*(0.5^2)+'LINEST VARS'!$K$62*($DV91^2)+'LINEST VARS'!$J$62*(8*8)+'LINEST VARS'!$I$62*(8*$EK$80)+'LINEST VARS'!$H$62*(8*0.5)+'LINEST VARS'!$G$62*(8*$DV91)+'LINEST VARS'!$F$62*(8*$EK$80)+'LINEST VARS'!$E$62*(8*0.5)+'LINEST VARS'!$D$62*(8*$DV91)+'LINEST VARS'!$C$62*($EK$80*0.5)+'LINEST VARS'!$B$62*($EK$80*$DV91)+'LINEST VARS'!$A$62*(0.5*$DV91)</f>
        <v>192.70000000000013</v>
      </c>
      <c r="EL91" s="55">
        <f>'LINEST VARS'!$U$62+'LINEST VARS'!$T$62*(8)+'LINEST VARS'!$S$62*(8)+'LINEST VARS'!$R$62*($EL$80)+'LINEST VARS'!$Q$62*(0.5)+'LINEST VARS'!$P$62*($DV91)+'LINEST VARS'!$O$62*(8^2)+'LINEST VARS'!$N$62*(8^2)+'LINEST VARS'!$M$62*($EL$80^2)+'LINEST VARS'!$L$62*(0.5^2)+'LINEST VARS'!$K$62*($DV91^2)+'LINEST VARS'!$J$62*(8*8)+'LINEST VARS'!$I$62*(8*$EL$80)+'LINEST VARS'!$H$62*(8*0.5)+'LINEST VARS'!$G$62*(8*$DV91)+'LINEST VARS'!$F$62*(8*$EL$80)+'LINEST VARS'!$E$62*(8*0.5)+'LINEST VARS'!$D$62*(8*$DV91)+'LINEST VARS'!$C$62*($EL$80*0.5)+'LINEST VARS'!$B$62*($EL$80*$DV91)+'LINEST VARS'!$A$62*(0.5*$DV91)</f>
        <v>169.50000000000011</v>
      </c>
      <c r="EM91" s="55">
        <f>'LINEST VARS'!$U$62+'LINEST VARS'!$T$62*(8)+'LINEST VARS'!$S$62*(8)+'LINEST VARS'!$R$62*($EM$80)+'LINEST VARS'!$Q$62*(0.5)+'LINEST VARS'!$P$62*($DV91)+'LINEST VARS'!$O$62*(8^2)+'LINEST VARS'!$N$62*(8^2)+'LINEST VARS'!$M$62*($EM$80^2)+'LINEST VARS'!$L$62*(0.5^2)+'LINEST VARS'!$K$62*($DV91^2)+'LINEST VARS'!$J$62*(8*8)+'LINEST VARS'!$I$62*(8*$EM$80)+'LINEST VARS'!$H$62*(8*0.5)+'LINEST VARS'!$G$62*(8*$DV91)+'LINEST VARS'!$F$62*(8*$EM$80)+'LINEST VARS'!$E$62*(8*0.5)+'LINEST VARS'!$D$62*(8*$DV91)+'LINEST VARS'!$C$62*($EM$80*0.5)+'LINEST VARS'!$B$62*($EM$80*$DV91)+'LINEST VARS'!$A$62*(0.5*$DV91)</f>
        <v>144.7000000000001</v>
      </c>
      <c r="EN91" s="55">
        <f>'LINEST VARS'!$U$62+'LINEST VARS'!$T$62*(8)+'LINEST VARS'!$S$62*(8)+'LINEST VARS'!$R$62*($EN$80)+'LINEST VARS'!$Q$62*(0.5)+'LINEST VARS'!$P$62*($DV91)+'LINEST VARS'!$O$62*(8^2)+'LINEST VARS'!$N$62*(8^2)+'LINEST VARS'!$M$62*($EN$80^2)+'LINEST VARS'!$L$62*(0.5^2)+'LINEST VARS'!$K$62*($DV91^2)+'LINEST VARS'!$J$62*(8*8)+'LINEST VARS'!$I$62*(8*$EN$80)+'LINEST VARS'!$H$62*(8*0.5)+'LINEST VARS'!$G$62*(8*$DV91)+'LINEST VARS'!$F$62*(8*$EN$80)+'LINEST VARS'!$E$62*(8*0.5)+'LINEST VARS'!$D$62*(8*$DV91)+'LINEST VARS'!$C$62*($EN$80*0.5)+'LINEST VARS'!$B$62*($EN$80*$DV91)+'LINEST VARS'!$A$62*(0.5*$DV91)</f>
        <v>118.30000000000013</v>
      </c>
      <c r="EO91" s="55">
        <f>'LINEST VARS'!$U$62+'LINEST VARS'!$T$62*(8)+'LINEST VARS'!$S$62*(8)+'LINEST VARS'!$R$62*($EO$80)+'LINEST VARS'!$Q$62*(0.5)+'LINEST VARS'!$P$62*($DV91)+'LINEST VARS'!$O$62*(8^2)+'LINEST VARS'!$N$62*(8^2)+'LINEST VARS'!$M$62*($EO$80^2)+'LINEST VARS'!$L$62*(0.5^2)+'LINEST VARS'!$K$62*($DV91^2)+'LINEST VARS'!$J$62*(8*8)+'LINEST VARS'!$I$62*(8*$EO$80)+'LINEST VARS'!$H$62*(8*0.5)+'LINEST VARS'!$G$62*(8*$DV91)+'LINEST VARS'!$F$62*(8*$EO$80)+'LINEST VARS'!$E$62*(8*0.5)+'LINEST VARS'!$D$62*(8*$DV91)+'LINEST VARS'!$C$62*($EO$80*0.5)+'LINEST VARS'!$B$62*($EO$80*$DV91)+'LINEST VARS'!$A$62*(0.5*$DV91)</f>
        <v>90.300000000000125</v>
      </c>
      <c r="EP91" s="55">
        <f>'LINEST VARS'!$U$62+'LINEST VARS'!$T$62*(8)+'LINEST VARS'!$S$62*(8)+'LINEST VARS'!$R$62*($EP$80)+'LINEST VARS'!$Q$62*(0.5)+'LINEST VARS'!$P$62*($DV91)+'LINEST VARS'!$O$62*(8^2)+'LINEST VARS'!$N$62*(8^2)+'LINEST VARS'!$M$62*($EP$80^2)+'LINEST VARS'!$L$62*(0.5^2)+'LINEST VARS'!$K$62*($DV91^2)+'LINEST VARS'!$J$62*(8*8)+'LINEST VARS'!$I$62*(8*$EP$80)+'LINEST VARS'!$H$62*(8*0.5)+'LINEST VARS'!$G$62*(8*$DV91)+'LINEST VARS'!$F$62*(8*$EP$80)+'LINEST VARS'!$E$62*(8*0.5)+'LINEST VARS'!$D$62*(8*$DV91)+'LINEST VARS'!$C$62*($EP$80*0.5)+'LINEST VARS'!$B$62*($EP$80*$DV91)+'LINEST VARS'!$A$62*(0.5*$DV91)</f>
        <v>60.700000000000159</v>
      </c>
      <c r="EQ91" s="56">
        <f>'LINEST VARS'!$U$62+'LINEST VARS'!$T$62*(8)+'LINEST VARS'!$S$62*(8)+'LINEST VARS'!$R$62*($EQ$80)+'LINEST VARS'!$Q$62*(0.5)+'LINEST VARS'!$P$62*($DV91)+'LINEST VARS'!$O$62*(8^2)+'LINEST VARS'!$N$62*(8^2)+'LINEST VARS'!$M$62*($EQ$80^2)+'LINEST VARS'!$L$62*(0.5^2)+'LINEST VARS'!$K$62*($DV91^2)+'LINEST VARS'!$J$62*(8*8)+'LINEST VARS'!$I$62*(8*$EQ$80)+'LINEST VARS'!$H$62*(8*0.5)+'LINEST VARS'!$G$62*(8*$DV91)+'LINEST VARS'!$F$62*(8*$EQ$80)+'LINEST VARS'!$E$62*(8*0.5)+'LINEST VARS'!$D$62*(8*$DV91)+'LINEST VARS'!$C$62*($EQ$80*0.5)+'LINEST VARS'!$B$62*($EQ$80*$DV91)+'LINEST VARS'!$A$62*(0.5*$DV91)</f>
        <v>29.500000000000206</v>
      </c>
    </row>
    <row r="92" spans="2:147" ht="15" customHeight="1" x14ac:dyDescent="0.25">
      <c r="B92" s="45">
        <v>8.06</v>
      </c>
      <c r="C92" s="46">
        <f>'LINEST VARS'!$U$60+'LINEST VARS'!$T$60*($C$80)+'LINEST VARS'!$S$60*($B92)+'LINEST VARS'!$R$60*(4)+'LINEST VARS'!$Q$60*(0.5)+'LINEST VARS'!$P$60*(12.73)+'LINEST VARS'!$O$60*($C$80^2)+'LINEST VARS'!$N$60*($B92^2)+'LINEST VARS'!$M$60*(4^2)+'LINEST VARS'!$L$60*(0.5^2)+'LINEST VARS'!$K$60*(12.73^2)+'LINEST VARS'!$J$60*($C$80*$B92)+'LINEST VARS'!$I$60*($C$80*4)+'LINEST VARS'!$H$60*($C$80*0.5)+'LINEST VARS'!$G$60*($C$80*12.73)+'LINEST VARS'!$F$60*($B92*4)+'LINEST VARS'!$E$60*($B92*0.5)+'LINEST VARS'!$D$60*($B92*12.73)+'LINEST VARS'!$C$60*(4*0.5)+'LINEST VARS'!$B$60*(4*12.73)+'LINEST VARS'!$A$60*(0.5*12.73)</f>
        <v>40.460000000000008</v>
      </c>
      <c r="D92" s="46">
        <f>'LINEST VARS'!$U$60+'LINEST VARS'!$T$60*($D$80)+'LINEST VARS'!$S$60*($B92)+'LINEST VARS'!$R$60*(4)+'LINEST VARS'!$Q$60*(0.5)+'LINEST VARS'!$P$60*(12.73)+'LINEST VARS'!$O$60*($D$80^2)+'LINEST VARS'!$N$60*($B92^2)+'LINEST VARS'!$M$60*(4^2)+'LINEST VARS'!$L$60*(0.5^2)+'LINEST VARS'!$K$60*(12.73^2)+'LINEST VARS'!$J$60*($D$80*$B92)+'LINEST VARS'!$I$60*($D$80*4)+'LINEST VARS'!$H$60*($D$80*0.5)+'LINEST VARS'!$G$60*($D$80*12.73)+'LINEST VARS'!$F$60*($B92*4)+'LINEST VARS'!$E$60*($B92*0.5)+'LINEST VARS'!$D$60*($B92*12.73)+'LINEST VARS'!$C$60*(4*0.5)+'LINEST VARS'!$B$60*(4*12.73)+'LINEST VARS'!$A$60*(0.5*12.73)</f>
        <v>40.460000000000008</v>
      </c>
      <c r="E92" s="46">
        <f>'LINEST VARS'!$U$60+'LINEST VARS'!$T$60*($E$80)+'LINEST VARS'!$S$60*($B92)+'LINEST VARS'!$R$60*(4)+'LINEST VARS'!$Q$60*(0.5)+'LINEST VARS'!$P$60*(12.73)+'LINEST VARS'!$O$60*($E$80^2)+'LINEST VARS'!$N$60*($B92^2)+'LINEST VARS'!$M$60*(4^2)+'LINEST VARS'!$L$60*(0.5^2)+'LINEST VARS'!$K$60*(12.73^2)+'LINEST VARS'!$J$60*($E$80*$B92)+'LINEST VARS'!$I$60*($E$80*4)+'LINEST VARS'!$H$60*($E$80*0.5)+'LINEST VARS'!$G$60*($E$80*12.73)+'LINEST VARS'!$F$60*($B92*4)+'LINEST VARS'!$E$60*($B92*0.5)+'LINEST VARS'!$D$60*($B92*12.73)+'LINEST VARS'!$C$60*(4*0.5)+'LINEST VARS'!$B$60*(4*12.73)+'LINEST VARS'!$A$60*(0.5*12.73)</f>
        <v>40.460000000000008</v>
      </c>
      <c r="F92" s="46">
        <f>'LINEST VARS'!$U$60+'LINEST VARS'!$T$60*($F$80)+'LINEST VARS'!$S$60*($B92)+'LINEST VARS'!$R$60*(4)+'LINEST VARS'!$Q$60*(0.5)+'LINEST VARS'!$P$60*(12.73)+'LINEST VARS'!$O$60*($F$80^2)+'LINEST VARS'!$N$60*($B92^2)+'LINEST VARS'!$M$60*(4^2)+'LINEST VARS'!$L$60*(0.5^2)+'LINEST VARS'!$K$60*(12.73^2)+'LINEST VARS'!$J$60*($F$80*$B92)+'LINEST VARS'!$I$60*($F$80*4)+'LINEST VARS'!$H$60*($F$80*0.5)+'LINEST VARS'!$G$60*($F$80*12.73)+'LINEST VARS'!$F$60*($B92*4)+'LINEST VARS'!$E$60*($B92*0.5)+'LINEST VARS'!$D$60*($B92*12.73)+'LINEST VARS'!$C$60*(4*0.5)+'LINEST VARS'!$B$60*(4*12.73)+'LINEST VARS'!$A$60*(0.5*12.73)</f>
        <v>40.460000000000008</v>
      </c>
      <c r="G92" s="46">
        <f>'LINEST VARS'!$U$60+'LINEST VARS'!$T$60*($G$80)+'LINEST VARS'!$S$60*($B92)+'LINEST VARS'!$R$60*(4)+'LINEST VARS'!$Q$60*(0.5)+'LINEST VARS'!$P$60*(12.73)+'LINEST VARS'!$O$60*($G$80^2)+'LINEST VARS'!$N$60*($B92^2)+'LINEST VARS'!$M$60*(4^2)+'LINEST VARS'!$L$60*(0.5^2)+'LINEST VARS'!$K$60*(12.73^2)+'LINEST VARS'!$J$60*($G$80*$B92)+'LINEST VARS'!$I$60*($G$80*4)+'LINEST VARS'!$H$60*($G$80*0.5)+'LINEST VARS'!$G$60*($G$80*12.73)+'LINEST VARS'!$F$60*($B92*4)+'LINEST VARS'!$E$60*($B92*0.5)+'LINEST VARS'!$D$60*($B92*12.73)+'LINEST VARS'!$C$60*(4*0.5)+'LINEST VARS'!$B$60*(4*12.73)+'LINEST VARS'!$A$60*(0.5*12.73)</f>
        <v>40.460000000000008</v>
      </c>
      <c r="H92" s="46">
        <f>'LINEST VARS'!$U$60+'LINEST VARS'!$T$60*($H$80)+'LINEST VARS'!$S$60*($B92)+'LINEST VARS'!$R$60*(4)+'LINEST VARS'!$Q$60*(0.5)+'LINEST VARS'!$P$60*(12.73)+'LINEST VARS'!$O$60*($H$80^2)+'LINEST VARS'!$N$60*($B92^2)+'LINEST VARS'!$M$60*(4^2)+'LINEST VARS'!$L$60*(0.5^2)+'LINEST VARS'!$K$60*(12.73^2)+'LINEST VARS'!$J$60*($H$80*$B92)+'LINEST VARS'!$I$60*($H$80*4)+'LINEST VARS'!$H$60*($H$80*0.5)+'LINEST VARS'!$G$60*($H$80*12.73)+'LINEST VARS'!$F$60*($B92*4)+'LINEST VARS'!$E$60*($B92*0.5)+'LINEST VARS'!$D$60*($B92*12.73)+'LINEST VARS'!$C$60*(4*0.5)+'LINEST VARS'!$B$60*(4*12.73)+'LINEST VARS'!$A$60*(0.5*12.73)</f>
        <v>40.460000000000008</v>
      </c>
      <c r="I92" s="46">
        <f>'LINEST VARS'!$U$60+'LINEST VARS'!$T$60*($I$80)+'LINEST VARS'!$S$60*($B92)+'LINEST VARS'!$R$60*(4)+'LINEST VARS'!$Q$60*(0.5)+'LINEST VARS'!$P$60*(12.73)+'LINEST VARS'!$O$60*($I$80^2)+'LINEST VARS'!$N$60*($B92^2)+'LINEST VARS'!$M$60*(4^2)+'LINEST VARS'!$L$60*(0.5^2)+'LINEST VARS'!$K$60*(12.73^2)+'LINEST VARS'!$J$60*($I$80*$B92)+'LINEST VARS'!$I$60*($I$80*4)+'LINEST VARS'!$H$60*($I$80*0.5)+'LINEST VARS'!$G$60*($I$80*12.73)+'LINEST VARS'!$F$60*($B92*4)+'LINEST VARS'!$E$60*($B92*0.5)+'LINEST VARS'!$D$60*($B92*12.73)+'LINEST VARS'!$C$60*(4*0.5)+'LINEST VARS'!$B$60*(4*12.73)+'LINEST VARS'!$A$60*(0.5*12.73)</f>
        <v>40.460000000000015</v>
      </c>
      <c r="J92" s="46">
        <f>'LINEST VARS'!$U$60+'LINEST VARS'!$T$60*($J$80)+'LINEST VARS'!$S$60*($B92)+'LINEST VARS'!$R$60*(4)+'LINEST VARS'!$Q$60*(0.5)+'LINEST VARS'!$P$60*(12.73)+'LINEST VARS'!$O$60*($J$80^2)+'LINEST VARS'!$N$60*($B92^2)+'LINEST VARS'!$M$60*(4^2)+'LINEST VARS'!$L$60*(0.5^2)+'LINEST VARS'!$K$60*(12.73^2)+'LINEST VARS'!$J$60*($J$80*$B92)+'LINEST VARS'!$I$60*($J$80*4)+'LINEST VARS'!$H$60*($J$80*0.5)+'LINEST VARS'!$G$60*($J$80*12.73)+'LINEST VARS'!$F$60*($B92*4)+'LINEST VARS'!$E$60*($B92*0.5)+'LINEST VARS'!$D$60*($B92*12.73)+'LINEST VARS'!$C$60*(4*0.5)+'LINEST VARS'!$B$60*(4*12.73)+'LINEST VARS'!$A$60*(0.5*12.73)</f>
        <v>40.460000000000008</v>
      </c>
      <c r="K92" s="46">
        <f>'LINEST VARS'!$U$60+'LINEST VARS'!$T$60*($K$80)+'LINEST VARS'!$S$60*($B92)+'LINEST VARS'!$R$60*(4)+'LINEST VARS'!$Q$60*(0.5)+'LINEST VARS'!$P$60*(12.73)+'LINEST VARS'!$O$60*($K$80^2)+'LINEST VARS'!$N$60*($B92^2)+'LINEST VARS'!$M$60*(4^2)+'LINEST VARS'!$L$60*(0.5^2)+'LINEST VARS'!$K$60*(12.73^2)+'LINEST VARS'!$J$60*($K$80*$B92)+'LINEST VARS'!$I$60*($K$80*4)+'LINEST VARS'!$H$60*($K$80*0.5)+'LINEST VARS'!$G$60*($K$80*12.73)+'LINEST VARS'!$F$60*($B92*4)+'LINEST VARS'!$E$60*($B92*0.5)+'LINEST VARS'!$D$60*($B92*12.73)+'LINEST VARS'!$C$60*(4*0.5)+'LINEST VARS'!$B$60*(4*12.73)+'LINEST VARS'!$A$60*(0.5*12.73)</f>
        <v>40.460000000000008</v>
      </c>
      <c r="L92" s="46">
        <f>'LINEST VARS'!$U$60+'LINEST VARS'!$T$60*($L$80)+'LINEST VARS'!$S$60*($B92)+'LINEST VARS'!$R$60*(4)+'LINEST VARS'!$Q$60*(0.5)+'LINEST VARS'!$P$60*(12.73)+'LINEST VARS'!$O$60*($L$80^2)+'LINEST VARS'!$N$60*($B92^2)+'LINEST VARS'!$M$60*(4^2)+'LINEST VARS'!$L$60*(0.5^2)+'LINEST VARS'!$K$60*(12.73^2)+'LINEST VARS'!$J$60*($L$80*$B92)+'LINEST VARS'!$I$60*($L$80*4)+'LINEST VARS'!$H$60*($L$80*0.5)+'LINEST VARS'!$G$60*($L$80*12.73)+'LINEST VARS'!$F$60*($B92*4)+'LINEST VARS'!$E$60*($B92*0.5)+'LINEST VARS'!$D$60*($B92*12.73)+'LINEST VARS'!$C$60*(4*0.5)+'LINEST VARS'!$B$60*(4*12.73)+'LINEST VARS'!$A$60*(0.5*12.73)</f>
        <v>40.460000000000008</v>
      </c>
      <c r="M92" s="46">
        <f>'LINEST VARS'!$U$60+'LINEST VARS'!$T$60*($M$80)+'LINEST VARS'!$S$60*($B92)+'LINEST VARS'!$R$60*(4)+'LINEST VARS'!$Q$60*(0.5)+'LINEST VARS'!$P$60*(12.73)+'LINEST VARS'!$O$60*($M$80^2)+'LINEST VARS'!$N$60*($B92^2)+'LINEST VARS'!$M$60*(4^2)+'LINEST VARS'!$L$60*(0.5^2)+'LINEST VARS'!$K$60*(12.73^2)+'LINEST VARS'!$J$60*($M$80*$B92)+'LINEST VARS'!$I$60*($M$80*4)+'LINEST VARS'!$H$60*($M$80*0.5)+'LINEST VARS'!$G$60*($M$80*12.73)+'LINEST VARS'!$F$60*($B92*4)+'LINEST VARS'!$E$60*($B92*0.5)+'LINEST VARS'!$D$60*($B92*12.73)+'LINEST VARS'!$C$60*(4*0.5)+'LINEST VARS'!$B$60*(4*12.73)+'LINEST VARS'!$A$60*(0.5*12.73)</f>
        <v>40.460000000000008</v>
      </c>
      <c r="N92" s="46">
        <f>'LINEST VARS'!$U$60+'LINEST VARS'!$T$60*($N$80)+'LINEST VARS'!$S$60*($B92)+'LINEST VARS'!$R$60*(4)+'LINEST VARS'!$Q$60*(0.5)+'LINEST VARS'!$P$60*(12.73)+'LINEST VARS'!$O$60*($N$80^2)+'LINEST VARS'!$N$60*($B92^2)+'LINEST VARS'!$M$60*(4^2)+'LINEST VARS'!$L$60*(0.5^2)+'LINEST VARS'!$K$60*(12.73^2)+'LINEST VARS'!$J$60*($N$80*$B92)+'LINEST VARS'!$I$60*($N$80*4)+'LINEST VARS'!$H$60*($N$80*0.5)+'LINEST VARS'!$G$60*($N$80*12.73)+'LINEST VARS'!$F$60*($B92*4)+'LINEST VARS'!$E$60*($B92*0.5)+'LINEST VARS'!$D$60*($B92*12.73)+'LINEST VARS'!$C$60*(4*0.5)+'LINEST VARS'!$B$60*(4*12.73)+'LINEST VARS'!$A$60*(0.5*12.73)</f>
        <v>40.460000000000008</v>
      </c>
      <c r="O92" s="46">
        <f>'LINEST VARS'!$U$60+'LINEST VARS'!$T$60*($O$80)+'LINEST VARS'!$S$60*($B92)+'LINEST VARS'!$R$60*(4)+'LINEST VARS'!$Q$60*(0.5)+'LINEST VARS'!$P$60*(12.73)+'LINEST VARS'!$O$60*($O$80^2)+'LINEST VARS'!$N$60*($B92^2)+'LINEST VARS'!$M$60*(4^2)+'LINEST VARS'!$L$60*(0.5^2)+'LINEST VARS'!$K$60*(12.73^2)+'LINEST VARS'!$J$60*($O$80*$B92)+'LINEST VARS'!$I$60*($O$80*4)+'LINEST VARS'!$H$60*($O$80*0.5)+'LINEST VARS'!$G$60*($O$80*12.73)+'LINEST VARS'!$F$60*($B92*4)+'LINEST VARS'!$E$60*($B92*0.5)+'LINEST VARS'!$D$60*($B92*12.73)+'LINEST VARS'!$C$60*(4*0.5)+'LINEST VARS'!$B$60*(4*12.73)+'LINEST VARS'!$A$60*(0.5*12.73)</f>
        <v>40.460000000000015</v>
      </c>
      <c r="P92" s="46">
        <f>'LINEST VARS'!$U$60+'LINEST VARS'!$T$60*($P$80)+'LINEST VARS'!$S$60*($B92)+'LINEST VARS'!$R$60*(4)+'LINEST VARS'!$Q$60*(0.5)+'LINEST VARS'!$P$60*(12.73)+'LINEST VARS'!$O$60*($P$80^2)+'LINEST VARS'!$N$60*($B92^2)+'LINEST VARS'!$M$60*(4^2)+'LINEST VARS'!$L$60*(0.5^2)+'LINEST VARS'!$K$60*(12.73^2)+'LINEST VARS'!$J$60*($P$80*$B92)+'LINEST VARS'!$I$60*($P$80*4)+'LINEST VARS'!$H$60*($P$80*0.5)+'LINEST VARS'!$G$60*($P$80*12.73)+'LINEST VARS'!$F$60*($B92*4)+'LINEST VARS'!$E$60*($B92*0.5)+'LINEST VARS'!$D$60*($B92*12.73)+'LINEST VARS'!$C$60*(4*0.5)+'LINEST VARS'!$B$60*(4*12.73)+'LINEST VARS'!$A$60*(0.5*12.73)</f>
        <v>40.460000000000015</v>
      </c>
      <c r="Q92" s="46">
        <f>'LINEST VARS'!$U$60+'LINEST VARS'!$T$60*($Q$80)+'LINEST VARS'!$S$60*($B92)+'LINEST VARS'!$R$60*(4)+'LINEST VARS'!$Q$60*(0.5)+'LINEST VARS'!$P$60*(12.73)+'LINEST VARS'!$O$60*($Q$80^2)+'LINEST VARS'!$N$60*($B92^2)+'LINEST VARS'!$M$60*(4^2)+'LINEST VARS'!$L$60*(0.5^2)+'LINEST VARS'!$K$60*(12.73^2)+'LINEST VARS'!$J$60*($Q$80*$B92)+'LINEST VARS'!$I$60*($Q$80*4)+'LINEST VARS'!$H$60*($Q$80*0.5)+'LINEST VARS'!$G$60*($Q$80*12.73)+'LINEST VARS'!$F$60*($B92*4)+'LINEST VARS'!$E$60*($B92*0.5)+'LINEST VARS'!$D$60*($B92*12.73)+'LINEST VARS'!$C$60*(4*0.5)+'LINEST VARS'!$B$60*(4*12.73)+'LINEST VARS'!$A$60*(0.5*12.73)</f>
        <v>40.460000000000015</v>
      </c>
      <c r="R92" s="46">
        <f>'LINEST VARS'!$U$60+'LINEST VARS'!$T$60*($R$80)+'LINEST VARS'!$S$60*($B92)+'LINEST VARS'!$R$60*(4)+'LINEST VARS'!$Q$60*(0.5)+'LINEST VARS'!$P$60*(12.73)+'LINEST VARS'!$O$60*($R$80^2)+'LINEST VARS'!$N$60*($B92^2)+'LINEST VARS'!$M$60*(4^2)+'LINEST VARS'!$L$60*(0.5^2)+'LINEST VARS'!$K$60*(12.73^2)+'LINEST VARS'!$J$60*($R$80*$B92)+'LINEST VARS'!$I$60*($R$80*4)+'LINEST VARS'!$H$60*($R$80*0.5)+'LINEST VARS'!$G$60*($R$80*12.73)+'LINEST VARS'!$F$60*($B92*4)+'LINEST VARS'!$E$60*($B92*0.5)+'LINEST VARS'!$D$60*($B92*12.73)+'LINEST VARS'!$C$60*(4*0.5)+'LINEST VARS'!$B$60*(4*12.73)+'LINEST VARS'!$A$60*(0.5*12.73)</f>
        <v>40.460000000000008</v>
      </c>
      <c r="S92" s="46">
        <f>'LINEST VARS'!$U$60+'LINEST VARS'!$T$60*($S$80)+'LINEST VARS'!$S$60*($B92)+'LINEST VARS'!$R$60*(4)+'LINEST VARS'!$Q$60*(0.5)+'LINEST VARS'!$P$60*(12.73)+'LINEST VARS'!$O$60*($S$80^2)+'LINEST VARS'!$N$60*($B92^2)+'LINEST VARS'!$M$60*(4^2)+'LINEST VARS'!$L$60*(0.5^2)+'LINEST VARS'!$K$60*(12.73^2)+'LINEST VARS'!$J$60*($S$80*$B92)+'LINEST VARS'!$I$60*($S$80*4)+'LINEST VARS'!$H$60*($S$80*0.5)+'LINEST VARS'!$G$60*($S$80*12.73)+'LINEST VARS'!$F$60*($B92*4)+'LINEST VARS'!$E$60*($B92*0.5)+'LINEST VARS'!$D$60*($B92*12.73)+'LINEST VARS'!$C$60*(4*0.5)+'LINEST VARS'!$B$60*(4*12.73)+'LINEST VARS'!$A$60*(0.5*12.73)</f>
        <v>40.460000000000008</v>
      </c>
      <c r="T92" s="46">
        <f>'LINEST VARS'!$U$60+'LINEST VARS'!$T$60*($T$80)+'LINEST VARS'!$S$60*($B92)+'LINEST VARS'!$R$60*(4)+'LINEST VARS'!$Q$60*(0.5)+'LINEST VARS'!$P$60*(12.73)+'LINEST VARS'!$O$60*($T$80^2)+'LINEST VARS'!$N$60*($B92^2)+'LINEST VARS'!$M$60*(4^2)+'LINEST VARS'!$L$60*(0.5^2)+'LINEST VARS'!$K$60*(12.73^2)+'LINEST VARS'!$J$60*($T$80*$B92)+'LINEST VARS'!$I$60*($T$80*4)+'LINEST VARS'!$H$60*($T$80*0.5)+'LINEST VARS'!$G$60*($T$80*12.73)+'LINEST VARS'!$F$60*($B92*4)+'LINEST VARS'!$E$60*($B92*0.5)+'LINEST VARS'!$D$60*($B92*12.73)+'LINEST VARS'!$C$60*(4*0.5)+'LINEST VARS'!$B$60*(4*12.73)+'LINEST VARS'!$A$60*(0.5*12.73)</f>
        <v>40.460000000000008</v>
      </c>
      <c r="U92" s="46">
        <f>'LINEST VARS'!$U$60+'LINEST VARS'!$T$60*($U$80)+'LINEST VARS'!$S$60*($B92)+'LINEST VARS'!$R$60*(4)+'LINEST VARS'!$Q$60*(0.5)+'LINEST VARS'!$P$60*(12.73)+'LINEST VARS'!$O$60*($U$80^2)+'LINEST VARS'!$N$60*($B92^2)+'LINEST VARS'!$M$60*(4^2)+'LINEST VARS'!$L$60*(0.5^2)+'LINEST VARS'!$K$60*(12.73^2)+'LINEST VARS'!$J$60*($U$80*$B92)+'LINEST VARS'!$I$60*($U$80*4)+'LINEST VARS'!$H$60*($U$80*0.5)+'LINEST VARS'!$G$60*($U$80*12.73)+'LINEST VARS'!$F$60*($B92*4)+'LINEST VARS'!$E$60*($B92*0.5)+'LINEST VARS'!$D$60*($B92*12.73)+'LINEST VARS'!$C$60*(4*0.5)+'LINEST VARS'!$B$60*(4*12.73)+'LINEST VARS'!$A$60*(0.5*12.73)</f>
        <v>40.460000000000015</v>
      </c>
      <c r="V92" s="46">
        <f>'LINEST VARS'!$U$60+'LINEST VARS'!$T$60*($V$80)+'LINEST VARS'!$S$60*($B92)+'LINEST VARS'!$R$60*(4)+'LINEST VARS'!$Q$60*(0.5)+'LINEST VARS'!$P$60*(12.73)+'LINEST VARS'!$O$60*($V$80^2)+'LINEST VARS'!$N$60*($B92^2)+'LINEST VARS'!$M$60*(4^2)+'LINEST VARS'!$L$60*(0.5^2)+'LINEST VARS'!$K$60*(12.73^2)+'LINEST VARS'!$J$60*($V$80*$B92)+'LINEST VARS'!$I$60*($V$80*4)+'LINEST VARS'!$H$60*($V$80*0.5)+'LINEST VARS'!$G$60*($V$80*12.73)+'LINEST VARS'!$F$60*($B92*4)+'LINEST VARS'!$E$60*($B92*0.5)+'LINEST VARS'!$D$60*($B92*12.73)+'LINEST VARS'!$C$60*(4*0.5)+'LINEST VARS'!$B$60*(4*12.73)+'LINEST VARS'!$A$60*(0.5*12.73)</f>
        <v>40.460000000000015</v>
      </c>
      <c r="W92" s="47">
        <f>'LINEST VARS'!$U$60+'LINEST VARS'!$T$60*($W$80)+'LINEST VARS'!$S$60*($B92)+'LINEST VARS'!$R$60*(4)+'LINEST VARS'!$Q$60*(0.5)+'LINEST VARS'!$P$60*(12.73)+'LINEST VARS'!$O$60*($W$80^2)+'LINEST VARS'!$N$60*($B92^2)+'LINEST VARS'!$M$60*(4^2)+'LINEST VARS'!$L$60*(0.5^2)+'LINEST VARS'!$K$60*(12.73^2)+'LINEST VARS'!$J$60*($W$80*$B92)+'LINEST VARS'!$I$60*($W$80*4)+'LINEST VARS'!$H$60*($W$80*0.5)+'LINEST VARS'!$G$60*($W$80*12.73)+'LINEST VARS'!$F$60*($B92*4)+'LINEST VARS'!$E$60*($B92*0.5)+'LINEST VARS'!$D$60*($B92*12.73)+'LINEST VARS'!$C$60*(4*0.5)+'LINEST VARS'!$B$60*(4*12.73)+'LINEST VARS'!$A$60*(0.5*12.73)</f>
        <v>40.460000000000015</v>
      </c>
      <c r="Z92" s="45">
        <v>8.06</v>
      </c>
      <c r="AA92" s="55">
        <f>'LINEST VARS'!$U$62+'LINEST VARS'!$T$62*($AA$80)+'LINEST VARS'!$S$62*($Z92)+'LINEST VARS'!$R$62*(4)+'LINEST VARS'!$Q$62*(0.5)+'LINEST VARS'!$P$62*(12.73)+'LINEST VARS'!$O$62*($AA$80^2)+'LINEST VARS'!$N$62*($Z92^2)+'LINEST VARS'!$M$62*(4^2)+'LINEST VARS'!$L$62*(0.5^2)+'LINEST VARS'!$K$62*(12.73^2)+'LINEST VARS'!$J$62*($AA$80*$Z92)+'LINEST VARS'!$I$62*($AA$80*4)+'LINEST VARS'!$H$62*($AA$80*0.5)+'LINEST VARS'!$G$62*($AA$80*12.73)+'LINEST VARS'!$F$62*($Z92*4)+'LINEST VARS'!$E$62*($Z92*0.5)+'LINEST VARS'!$D$62*($Z92*12.73)+'LINEST VARS'!$C$62*(4*0.5)+'LINEST VARS'!$B$62*(4*12.73)+'LINEST VARS'!$A$62*(0.5*12.73)</f>
        <v>269.5</v>
      </c>
      <c r="AB92" s="55">
        <f>'LINEST VARS'!$U$62+'LINEST VARS'!$T$62*($AB$80)+'LINEST VARS'!$S$62*($Z92)+'LINEST VARS'!$R$62*(4)+'LINEST VARS'!$Q$62*(0.5)+'LINEST VARS'!$P$62*(12.73)+'LINEST VARS'!$O$62*($AB$80^2)+'LINEST VARS'!$N$62*($Z92^2)+'LINEST VARS'!$M$62*(4^2)+'LINEST VARS'!$L$62*(0.5^2)+'LINEST VARS'!$K$62*(12.73^2)+'LINEST VARS'!$J$62*($AB$80*$Z92)+'LINEST VARS'!$I$62*($AB$80*4)+'LINEST VARS'!$H$62*($AB$80*0.5)+'LINEST VARS'!$G$62*($AB$80*12.73)+'LINEST VARS'!$F$62*($Z92*4)+'LINEST VARS'!$E$62*($Z92*0.5)+'LINEST VARS'!$D$62*($Z92*12.73)+'LINEST VARS'!$C$62*(4*0.5)+'LINEST VARS'!$B$62*(4*12.73)+'LINEST VARS'!$A$62*(0.5*12.73)</f>
        <v>269.5</v>
      </c>
      <c r="AC92" s="55">
        <f>'LINEST VARS'!$U$62+'LINEST VARS'!$T$62*($AC$80)+'LINEST VARS'!$S$62*($Z92)+'LINEST VARS'!$R$62*(4)+'LINEST VARS'!$Q$62*(0.5)+'LINEST VARS'!$P$62*(12.73)+'LINEST VARS'!$O$62*($AC$80^2)+'LINEST VARS'!$N$62*($Z92^2)+'LINEST VARS'!$M$62*(4^2)+'LINEST VARS'!$L$62*(0.5^2)+'LINEST VARS'!$K$62*(12.73^2)+'LINEST VARS'!$J$62*($AC$80*$Z92)+'LINEST VARS'!$I$62*($AC$80*4)+'LINEST VARS'!$H$62*($AC$80*0.5)+'LINEST VARS'!$G$62*($AC$80*12.73)+'LINEST VARS'!$F$62*($Z92*4)+'LINEST VARS'!$E$62*($Z92*0.5)+'LINEST VARS'!$D$62*($Z92*12.73)+'LINEST VARS'!$C$62*(4*0.5)+'LINEST VARS'!$B$62*(4*12.73)+'LINEST VARS'!$A$62*(0.5*12.73)</f>
        <v>269.49999999999994</v>
      </c>
      <c r="AD92" s="55">
        <f>'LINEST VARS'!$U$62+'LINEST VARS'!$T$62*($AD$80)+'LINEST VARS'!$S$62*($Z92)+'LINEST VARS'!$R$62*(4)+'LINEST VARS'!$Q$62*(0.5)+'LINEST VARS'!$P$62*(12.73)+'LINEST VARS'!$O$62*($AD$80^2)+'LINEST VARS'!$N$62*($Z92^2)+'LINEST VARS'!$M$62*(4^2)+'LINEST VARS'!$L$62*(0.5^2)+'LINEST VARS'!$K$62*(12.73^2)+'LINEST VARS'!$J$62*($AD$80*$Z92)+'LINEST VARS'!$I$62*($AD$80*4)+'LINEST VARS'!$H$62*($AD$80*0.5)+'LINEST VARS'!$G$62*($AD$80*12.73)+'LINEST VARS'!$F$62*($Z92*4)+'LINEST VARS'!$E$62*($Z92*0.5)+'LINEST VARS'!$D$62*($Z92*12.73)+'LINEST VARS'!$C$62*(4*0.5)+'LINEST VARS'!$B$62*(4*12.73)+'LINEST VARS'!$A$62*(0.5*12.73)</f>
        <v>269.5</v>
      </c>
      <c r="AE92" s="55">
        <f>'LINEST VARS'!$U$62+'LINEST VARS'!$T$62*($AE$80)+'LINEST VARS'!$S$62*($Z92)+'LINEST VARS'!$R$62*(4)+'LINEST VARS'!$Q$62*(0.5)+'LINEST VARS'!$P$62*(12.73)+'LINEST VARS'!$O$62*($AE$80^2)+'LINEST VARS'!$N$62*($Z92^2)+'LINEST VARS'!$M$62*(4^2)+'LINEST VARS'!$L$62*(0.5^2)+'LINEST VARS'!$K$62*(12.73^2)+'LINEST VARS'!$J$62*($AE$80*$Z92)+'LINEST VARS'!$I$62*($AE$80*4)+'LINEST VARS'!$H$62*($AE$80*0.5)+'LINEST VARS'!$G$62*($AE$80*12.73)+'LINEST VARS'!$F$62*($Z92*4)+'LINEST VARS'!$E$62*($Z92*0.5)+'LINEST VARS'!$D$62*($Z92*12.73)+'LINEST VARS'!$C$62*(4*0.5)+'LINEST VARS'!$B$62*(4*12.73)+'LINEST VARS'!$A$62*(0.5*12.73)</f>
        <v>269.49999999999994</v>
      </c>
      <c r="AF92" s="55">
        <f>'LINEST VARS'!$U$62+'LINEST VARS'!$T$62*($AF$80)+'LINEST VARS'!$S$62*($Z92)+'LINEST VARS'!$R$62*(4)+'LINEST VARS'!$Q$62*(0.5)+'LINEST VARS'!$P$62*(12.73)+'LINEST VARS'!$O$62*($AF$80^2)+'LINEST VARS'!$N$62*($Z92^2)+'LINEST VARS'!$M$62*(4^2)+'LINEST VARS'!$L$62*(0.5^2)+'LINEST VARS'!$K$62*(12.73^2)+'LINEST VARS'!$J$62*($AF$80*$Z92)+'LINEST VARS'!$I$62*($AF$80*4)+'LINEST VARS'!$H$62*($AF$80*0.5)+'LINEST VARS'!$G$62*($AF$80*12.73)+'LINEST VARS'!$F$62*($Z92*4)+'LINEST VARS'!$E$62*($Z92*0.5)+'LINEST VARS'!$D$62*($Z92*12.73)+'LINEST VARS'!$C$62*(4*0.5)+'LINEST VARS'!$B$62*(4*12.73)+'LINEST VARS'!$A$62*(0.5*12.73)</f>
        <v>269.49999999999994</v>
      </c>
      <c r="AG92" s="55">
        <f>'LINEST VARS'!$U$62+'LINEST VARS'!$T$62*($AG$80)+'LINEST VARS'!$S$62*($Z92)+'LINEST VARS'!$R$62*(4)+'LINEST VARS'!$Q$62*(0.5)+'LINEST VARS'!$P$62*(12.73)+'LINEST VARS'!$O$62*($AG$80^2)+'LINEST VARS'!$N$62*($Z92^2)+'LINEST VARS'!$M$62*(4^2)+'LINEST VARS'!$L$62*(0.5^2)+'LINEST VARS'!$K$62*(12.73^2)+'LINEST VARS'!$J$62*($AG$80*$Z92)+'LINEST VARS'!$I$62*($AG$80*4)+'LINEST VARS'!$H$62*($AG$80*0.5)+'LINEST VARS'!$G$62*($AG$80*12.73)+'LINEST VARS'!$F$62*($Z92*4)+'LINEST VARS'!$E$62*($Z92*0.5)+'LINEST VARS'!$D$62*($Z92*12.73)+'LINEST VARS'!$C$62*(4*0.5)+'LINEST VARS'!$B$62*(4*12.73)+'LINEST VARS'!$A$62*(0.5*12.73)</f>
        <v>269.5</v>
      </c>
      <c r="AH92" s="55">
        <f>'LINEST VARS'!$U$62+'LINEST VARS'!$T$62*($AH$80)+'LINEST VARS'!$S$62*($Z92)+'LINEST VARS'!$R$62*(4)+'LINEST VARS'!$Q$62*(0.5)+'LINEST VARS'!$P$62*(12.73)+'LINEST VARS'!$O$62*($AH$80^2)+'LINEST VARS'!$N$62*($Z92^2)+'LINEST VARS'!$M$62*(4^2)+'LINEST VARS'!$L$62*(0.5^2)+'LINEST VARS'!$K$62*(12.73^2)+'LINEST VARS'!$J$62*($AH$80*$Z92)+'LINEST VARS'!$I$62*($AH$80*4)+'LINEST VARS'!$H$62*($AH$80*0.5)+'LINEST VARS'!$G$62*($AH$80*12.73)+'LINEST VARS'!$F$62*($Z92*4)+'LINEST VARS'!$E$62*($Z92*0.5)+'LINEST VARS'!$D$62*($Z92*12.73)+'LINEST VARS'!$C$62*(4*0.5)+'LINEST VARS'!$B$62*(4*12.73)+'LINEST VARS'!$A$62*(0.5*12.73)</f>
        <v>269.49999999999994</v>
      </c>
      <c r="AI92" s="55">
        <f>'LINEST VARS'!$U$62+'LINEST VARS'!$T$62*($AI$80)+'LINEST VARS'!$S$62*($Z92)+'LINEST VARS'!$R$62*(4)+'LINEST VARS'!$Q$62*(0.5)+'LINEST VARS'!$P$62*(12.73)+'LINEST VARS'!$O$62*($AI$80^2)+'LINEST VARS'!$N$62*($Z92^2)+'LINEST VARS'!$M$62*(4^2)+'LINEST VARS'!$L$62*(0.5^2)+'LINEST VARS'!$K$62*(12.73^2)+'LINEST VARS'!$J$62*($AI$80*$Z92)+'LINEST VARS'!$I$62*($AI$80*4)+'LINEST VARS'!$H$62*($AI$80*0.5)+'LINEST VARS'!$G$62*($AI$80*12.73)+'LINEST VARS'!$F$62*($Z92*4)+'LINEST VARS'!$E$62*($Z92*0.5)+'LINEST VARS'!$D$62*($Z92*12.73)+'LINEST VARS'!$C$62*(4*0.5)+'LINEST VARS'!$B$62*(4*12.73)+'LINEST VARS'!$A$62*(0.5*12.73)</f>
        <v>269.49999999999994</v>
      </c>
      <c r="AJ92" s="55">
        <f>'LINEST VARS'!$U$62+'LINEST VARS'!$T$62*($AJ$80)+'LINEST VARS'!$S$62*($Z92)+'LINEST VARS'!$R$62*(4)+'LINEST VARS'!$Q$62*(0.5)+'LINEST VARS'!$P$62*(12.73)+'LINEST VARS'!$O$62*($AJ$80^2)+'LINEST VARS'!$N$62*($Z92^2)+'LINEST VARS'!$M$62*(4^2)+'LINEST VARS'!$L$62*(0.5^2)+'LINEST VARS'!$K$62*(12.73^2)+'LINEST VARS'!$J$62*($AJ$80*$Z92)+'LINEST VARS'!$I$62*($AJ$80*4)+'LINEST VARS'!$H$62*($AJ$80*0.5)+'LINEST VARS'!$G$62*($AJ$80*12.73)+'LINEST VARS'!$F$62*($Z92*4)+'LINEST VARS'!$E$62*($Z92*0.5)+'LINEST VARS'!$D$62*($Z92*12.73)+'LINEST VARS'!$C$62*(4*0.5)+'LINEST VARS'!$B$62*(4*12.73)+'LINEST VARS'!$A$62*(0.5*12.73)</f>
        <v>269.49999999999994</v>
      </c>
      <c r="AK92" s="55">
        <f>'LINEST VARS'!$U$62+'LINEST VARS'!$T$62*($AK$80)+'LINEST VARS'!$S$62*($Z92)+'LINEST VARS'!$R$62*(4)+'LINEST VARS'!$Q$62*(0.5)+'LINEST VARS'!$P$62*(12.73)+'LINEST VARS'!$O$62*($AK$80^2)+'LINEST VARS'!$N$62*($Z92^2)+'LINEST VARS'!$M$62*(4^2)+'LINEST VARS'!$L$62*(0.5^2)+'LINEST VARS'!$K$62*(12.73^2)+'LINEST VARS'!$J$62*($AK$80*$Z92)+'LINEST VARS'!$I$62*($AK$80*4)+'LINEST VARS'!$H$62*($AK$80*0.5)+'LINEST VARS'!$G$62*($AK$80*12.73)+'LINEST VARS'!$F$62*($Z92*4)+'LINEST VARS'!$E$62*($Z92*0.5)+'LINEST VARS'!$D$62*($Z92*12.73)+'LINEST VARS'!$C$62*(4*0.5)+'LINEST VARS'!$B$62*(4*12.73)+'LINEST VARS'!$A$62*(0.5*12.73)</f>
        <v>269.5</v>
      </c>
      <c r="AL92" s="55">
        <f>'LINEST VARS'!$U$62+'LINEST VARS'!$T$62*($AL$80)+'LINEST VARS'!$S$62*($Z92)+'LINEST VARS'!$R$62*(4)+'LINEST VARS'!$Q$62*(0.5)+'LINEST VARS'!$P$62*(12.73)+'LINEST VARS'!$O$62*($AL$80^2)+'LINEST VARS'!$N$62*($Z92^2)+'LINEST VARS'!$M$62*(4^2)+'LINEST VARS'!$L$62*(0.5^2)+'LINEST VARS'!$K$62*(12.73^2)+'LINEST VARS'!$J$62*($AL$80*$Z92)+'LINEST VARS'!$I$62*($AL$80*4)+'LINEST VARS'!$H$62*($AL$80*0.5)+'LINEST VARS'!$G$62*($AL$80*12.73)+'LINEST VARS'!$F$62*($Z92*4)+'LINEST VARS'!$E$62*($Z92*0.5)+'LINEST VARS'!$D$62*($Z92*12.73)+'LINEST VARS'!$C$62*(4*0.5)+'LINEST VARS'!$B$62*(4*12.73)+'LINEST VARS'!$A$62*(0.5*12.73)</f>
        <v>269.49999999999994</v>
      </c>
      <c r="AM92" s="55">
        <f>'LINEST VARS'!$U$62+'LINEST VARS'!$T$62*($AM$80)+'LINEST VARS'!$S$62*($Z92)+'LINEST VARS'!$R$62*(4)+'LINEST VARS'!$Q$62*(0.5)+'LINEST VARS'!$P$62*(12.73)+'LINEST VARS'!$O$62*($AM$80^2)+'LINEST VARS'!$N$62*($Z92^2)+'LINEST VARS'!$M$62*(4^2)+'LINEST VARS'!$L$62*(0.5^2)+'LINEST VARS'!$K$62*(12.73^2)+'LINEST VARS'!$J$62*($AM$80*$Z92)+'LINEST VARS'!$I$62*($AM$80*4)+'LINEST VARS'!$H$62*($AM$80*0.5)+'LINEST VARS'!$G$62*($AM$80*12.73)+'LINEST VARS'!$F$62*($Z92*4)+'LINEST VARS'!$E$62*($Z92*0.5)+'LINEST VARS'!$D$62*($Z92*12.73)+'LINEST VARS'!$C$62*(4*0.5)+'LINEST VARS'!$B$62*(4*12.73)+'LINEST VARS'!$A$62*(0.5*12.73)</f>
        <v>269.49999999999994</v>
      </c>
      <c r="AN92" s="55">
        <f>'LINEST VARS'!$U$62+'LINEST VARS'!$T$62*($AN$80)+'LINEST VARS'!$S$62*($Z92)+'LINEST VARS'!$R$62*(4)+'LINEST VARS'!$Q$62*(0.5)+'LINEST VARS'!$P$62*(12.73)+'LINEST VARS'!$O$62*($AN$80^2)+'LINEST VARS'!$N$62*($Z92^2)+'LINEST VARS'!$M$62*(4^2)+'LINEST VARS'!$L$62*(0.5^2)+'LINEST VARS'!$K$62*(12.73^2)+'LINEST VARS'!$J$62*($AN$80*$Z92)+'LINEST VARS'!$I$62*($AN$80*4)+'LINEST VARS'!$H$62*($AN$80*0.5)+'LINEST VARS'!$G$62*($AN$80*12.73)+'LINEST VARS'!$F$62*($Z92*4)+'LINEST VARS'!$E$62*($Z92*0.5)+'LINEST VARS'!$D$62*($Z92*12.73)+'LINEST VARS'!$C$62*(4*0.5)+'LINEST VARS'!$B$62*(4*12.73)+'LINEST VARS'!$A$62*(0.5*12.73)</f>
        <v>269.49999999999994</v>
      </c>
      <c r="AO92" s="55">
        <f>'LINEST VARS'!$U$62+'LINEST VARS'!$T$62*($AO$80)+'LINEST VARS'!$S$62*($Z92)+'LINEST VARS'!$R$62*(4)+'LINEST VARS'!$Q$62*(0.5)+'LINEST VARS'!$P$62*(12.73)+'LINEST VARS'!$O$62*($AO$80^2)+'LINEST VARS'!$N$62*($Z92^2)+'LINEST VARS'!$M$62*(4^2)+'LINEST VARS'!$L$62*(0.5^2)+'LINEST VARS'!$K$62*(12.73^2)+'LINEST VARS'!$J$62*($AO$80*$Z92)+'LINEST VARS'!$I$62*($AO$80*4)+'LINEST VARS'!$H$62*($AO$80*0.5)+'LINEST VARS'!$G$62*($AO$80*12.73)+'LINEST VARS'!$F$62*($Z92*4)+'LINEST VARS'!$E$62*($Z92*0.5)+'LINEST VARS'!$D$62*($Z92*12.73)+'LINEST VARS'!$C$62*(4*0.5)+'LINEST VARS'!$B$62*(4*12.73)+'LINEST VARS'!$A$62*(0.5*12.73)</f>
        <v>269.49999999999994</v>
      </c>
      <c r="AP92" s="55">
        <f>'LINEST VARS'!$U$62+'LINEST VARS'!$T$62*($AP$80)+'LINEST VARS'!$S$62*($Z92)+'LINEST VARS'!$R$62*(4)+'LINEST VARS'!$Q$62*(0.5)+'LINEST VARS'!$P$62*(12.73)+'LINEST VARS'!$O$62*($AP$80^2)+'LINEST VARS'!$N$62*($Z92^2)+'LINEST VARS'!$M$62*(4^2)+'LINEST VARS'!$L$62*(0.5^2)+'LINEST VARS'!$K$62*(12.73^2)+'LINEST VARS'!$J$62*($AP$80*$Z92)+'LINEST VARS'!$I$62*($AP$80*4)+'LINEST VARS'!$H$62*($AP$80*0.5)+'LINEST VARS'!$G$62*($AP$80*12.73)+'LINEST VARS'!$F$62*($Z92*4)+'LINEST VARS'!$E$62*($Z92*0.5)+'LINEST VARS'!$D$62*($Z92*12.73)+'LINEST VARS'!$C$62*(4*0.5)+'LINEST VARS'!$B$62*(4*12.73)+'LINEST VARS'!$A$62*(0.5*12.73)</f>
        <v>269.5</v>
      </c>
      <c r="AQ92" s="55">
        <f>'LINEST VARS'!$U$62+'LINEST VARS'!$T$62*($AQ$80)+'LINEST VARS'!$S$62*($Z92)+'LINEST VARS'!$R$62*(4)+'LINEST VARS'!$Q$62*(0.5)+'LINEST VARS'!$P$62*(12.73)+'LINEST VARS'!$O$62*($AQ$80^2)+'LINEST VARS'!$N$62*($Z92^2)+'LINEST VARS'!$M$62*(4^2)+'LINEST VARS'!$L$62*(0.5^2)+'LINEST VARS'!$K$62*(12.73^2)+'LINEST VARS'!$J$62*($AQ$80*$Z92)+'LINEST VARS'!$I$62*($AQ$80*4)+'LINEST VARS'!$H$62*($AQ$80*0.5)+'LINEST VARS'!$G$62*($AQ$80*12.73)+'LINEST VARS'!$F$62*($Z92*4)+'LINEST VARS'!$E$62*($Z92*0.5)+'LINEST VARS'!$D$62*($Z92*12.73)+'LINEST VARS'!$C$62*(4*0.5)+'LINEST VARS'!$B$62*(4*12.73)+'LINEST VARS'!$A$62*(0.5*12.73)</f>
        <v>269.49999999999994</v>
      </c>
      <c r="AR92" s="55">
        <f>'LINEST VARS'!$U$62+'LINEST VARS'!$T$62*($AR$80)+'LINEST VARS'!$S$62*($Z92)+'LINEST VARS'!$R$62*(4)+'LINEST VARS'!$Q$62*(0.5)+'LINEST VARS'!$P$62*(12.73)+'LINEST VARS'!$O$62*($AR$80^2)+'LINEST VARS'!$N$62*($Z92^2)+'LINEST VARS'!$M$62*(4^2)+'LINEST VARS'!$L$62*(0.5^2)+'LINEST VARS'!$K$62*(12.73^2)+'LINEST VARS'!$J$62*($AR$80*$Z92)+'LINEST VARS'!$I$62*($AR$80*4)+'LINEST VARS'!$H$62*($AR$80*0.5)+'LINEST VARS'!$G$62*($AR$80*12.73)+'LINEST VARS'!$F$62*($Z92*4)+'LINEST VARS'!$E$62*($Z92*0.5)+'LINEST VARS'!$D$62*($Z92*12.73)+'LINEST VARS'!$C$62*(4*0.5)+'LINEST VARS'!$B$62*(4*12.73)+'LINEST VARS'!$A$62*(0.5*12.73)</f>
        <v>269.5</v>
      </c>
      <c r="AS92" s="55">
        <f>'LINEST VARS'!$U$62+'LINEST VARS'!$T$62*($AS$80)+'LINEST VARS'!$S$62*($Z92)+'LINEST VARS'!$R$62*(4)+'LINEST VARS'!$Q$62*(0.5)+'LINEST VARS'!$P$62*(12.73)+'LINEST VARS'!$O$62*($AS$80^2)+'LINEST VARS'!$N$62*($Z92^2)+'LINEST VARS'!$M$62*(4^2)+'LINEST VARS'!$L$62*(0.5^2)+'LINEST VARS'!$K$62*(12.73^2)+'LINEST VARS'!$J$62*($AS$80*$Z92)+'LINEST VARS'!$I$62*($AS$80*4)+'LINEST VARS'!$H$62*($AS$80*0.5)+'LINEST VARS'!$G$62*($AS$80*12.73)+'LINEST VARS'!$F$62*($Z92*4)+'LINEST VARS'!$E$62*($Z92*0.5)+'LINEST VARS'!$D$62*($Z92*12.73)+'LINEST VARS'!$C$62*(4*0.5)+'LINEST VARS'!$B$62*(4*12.73)+'LINEST VARS'!$A$62*(0.5*12.73)</f>
        <v>269.49999999999994</v>
      </c>
      <c r="AT92" s="55">
        <f>'LINEST VARS'!$U$62+'LINEST VARS'!$T$62*($AT$80)+'LINEST VARS'!$S$62*($Z92)+'LINEST VARS'!$R$62*(4)+'LINEST VARS'!$Q$62*(0.5)+'LINEST VARS'!$P$62*(12.73)+'LINEST VARS'!$O$62*($AT$80^2)+'LINEST VARS'!$N$62*($Z92^2)+'LINEST VARS'!$M$62*(4^2)+'LINEST VARS'!$L$62*(0.5^2)+'LINEST VARS'!$K$62*(12.73^2)+'LINEST VARS'!$J$62*($AT$80*$Z92)+'LINEST VARS'!$I$62*($AT$80*4)+'LINEST VARS'!$H$62*($AT$80*0.5)+'LINEST VARS'!$G$62*($AT$80*12.73)+'LINEST VARS'!$F$62*($Z92*4)+'LINEST VARS'!$E$62*($Z92*0.5)+'LINEST VARS'!$D$62*($Z92*12.73)+'LINEST VARS'!$C$62*(4*0.5)+'LINEST VARS'!$B$62*(4*12.73)+'LINEST VARS'!$A$62*(0.5*12.73)</f>
        <v>269.49999999999994</v>
      </c>
      <c r="AU92" s="56">
        <f>'LINEST VARS'!$U$62+'LINEST VARS'!$T$62*($AU$80)+'LINEST VARS'!$S$62*($Z92)+'LINEST VARS'!$R$62*(4)+'LINEST VARS'!$Q$62*(0.5)+'LINEST VARS'!$P$62*(12.73)+'LINEST VARS'!$O$62*($AU$80^2)+'LINEST VARS'!$N$62*($Z92^2)+'LINEST VARS'!$M$62*(4^2)+'LINEST VARS'!$L$62*(0.5^2)+'LINEST VARS'!$K$62*(12.73^2)+'LINEST VARS'!$J$62*($AU$80*$Z92)+'LINEST VARS'!$I$62*($AU$80*4)+'LINEST VARS'!$H$62*($AU$80*0.5)+'LINEST VARS'!$G$62*($AU$80*12.73)+'LINEST VARS'!$F$62*($Z92*4)+'LINEST VARS'!$E$62*($Z92*0.5)+'LINEST VARS'!$D$62*($Z92*12.73)+'LINEST VARS'!$C$62*(4*0.5)+'LINEST VARS'!$B$62*(4*12.73)+'LINEST VARS'!$A$62*(0.5*12.73)</f>
        <v>269.50000000000006</v>
      </c>
      <c r="AZ92" s="45">
        <v>0.55000000000000004</v>
      </c>
      <c r="BA92" s="46">
        <f>'LINEST VARS'!$U$60+'LINEST VARS'!$T$60*(8)+'LINEST VARS'!$S$60*(8)+'LINEST VARS'!$R$60*($BA$80)+'LINEST VARS'!$Q$60*($AZ92)+'LINEST VARS'!$P$60*(12.73)+'LINEST VARS'!$O$60*(8^2)+'LINEST VARS'!$N$60*(8^2)+'LINEST VARS'!$M$60*($BA$80^2)+'LINEST VARS'!$L$60*($AZ92^2)+'LINEST VARS'!$K$60*(12.73^2)+'LINEST VARS'!$J$60*(8*8)+'LINEST VARS'!$I$60*(8*$BA$80)+'LINEST VARS'!$H$60*(8*$AZ92)+'LINEST VARS'!$G$60*(8*12.73)+'LINEST VARS'!$F$60*(8*$BA$80)+'LINEST VARS'!$E$60*(8*$AZ92)+'LINEST VARS'!$D$60*(8*12.73)+'LINEST VARS'!$C$60*($BA$80*$AZ92)+'LINEST VARS'!$B$60*($BA$80*12.73)+'LINEST VARS'!$A$60*($AZ92*12.73)</f>
        <v>40.460000000000015</v>
      </c>
      <c r="BB92" s="46">
        <f>'LINEST VARS'!$U$60+'LINEST VARS'!$T$60*(8)+'LINEST VARS'!$S$60*(8)+'LINEST VARS'!$R$60*($BB$80)+'LINEST VARS'!$Q$60*($AZ92)+'LINEST VARS'!$P$60*(12.73)+'LINEST VARS'!$O$60*(8^2)+'LINEST VARS'!$N$60*(8^2)+'LINEST VARS'!$M$60*($BB$80^2)+'LINEST VARS'!$L$60*($AZ92^2)+'LINEST VARS'!$K$60*(12.73^2)+'LINEST VARS'!$J$60*(8*8)+'LINEST VARS'!$I$60*(8*$BB$80)+'LINEST VARS'!$H$60*(8*$AZ92)+'LINEST VARS'!$G$60*(8*12.73)+'LINEST VARS'!$F$60*(8*$BB$80)+'LINEST VARS'!$E$60*(8*$AZ92)+'LINEST VARS'!$D$60*(8*12.73)+'LINEST VARS'!$C$60*($BB$80*$AZ92)+'LINEST VARS'!$B$60*($BB$80*12.73)+'LINEST VARS'!$A$60*($AZ92*12.73)</f>
        <v>40.460000000000015</v>
      </c>
      <c r="BC92" s="46">
        <f>'LINEST VARS'!$U$60+'LINEST VARS'!$T$60*(8)+'LINEST VARS'!$S$60*(8)+'LINEST VARS'!$R$60*($BC$80)+'LINEST VARS'!$Q$60*($AZ92)+'LINEST VARS'!$P$60*(12.73)+'LINEST VARS'!$O$60*(8^2)+'LINEST VARS'!$N$60*(8^2)+'LINEST VARS'!$M$60*($BC$80^2)+'LINEST VARS'!$L$60*($AZ92^2)+'LINEST VARS'!$K$60*(12.73^2)+'LINEST VARS'!$J$60*(8*8)+'LINEST VARS'!$I$60*(8*$BC$80)+'LINEST VARS'!$H$60*(8*$AZ92)+'LINEST VARS'!$G$60*(8*12.73)+'LINEST VARS'!$F$60*(8*$BC$80)+'LINEST VARS'!$E$60*(8*$AZ92)+'LINEST VARS'!$D$60*(8*12.73)+'LINEST VARS'!$C$60*($BC$80*$AZ92)+'LINEST VARS'!$B$60*($BC$80*12.73)+'LINEST VARS'!$A$60*($AZ92*12.73)</f>
        <v>40.460000000000015</v>
      </c>
      <c r="BD92" s="46">
        <f>'LINEST VARS'!$U$60+'LINEST VARS'!$T$60*(8)+'LINEST VARS'!$S$60*(8)+'LINEST VARS'!$R$60*($BD$80)+'LINEST VARS'!$Q$60*($AZ92)+'LINEST VARS'!$P$60*(12.73)+'LINEST VARS'!$O$60*(8^2)+'LINEST VARS'!$N$60*(8^2)+'LINEST VARS'!$M$60*($BD$80^2)+'LINEST VARS'!$L$60*($AZ92^2)+'LINEST VARS'!$K$60*(12.73^2)+'LINEST VARS'!$J$60*(8*8)+'LINEST VARS'!$I$60*(8*$BD$80)+'LINEST VARS'!$H$60*(8*$AZ92)+'LINEST VARS'!$G$60*(8*12.73)+'LINEST VARS'!$F$60*(8*$BD$80)+'LINEST VARS'!$E$60*(8*$AZ92)+'LINEST VARS'!$D$60*(8*12.73)+'LINEST VARS'!$C$60*($BD$80*$AZ92)+'LINEST VARS'!$B$60*($BD$80*12.73)+'LINEST VARS'!$A$60*($AZ92*12.73)</f>
        <v>40.460000000000015</v>
      </c>
      <c r="BE92" s="46">
        <f>'LINEST VARS'!$U$60+'LINEST VARS'!$T$60*(8)+'LINEST VARS'!$S$60*(8)+'LINEST VARS'!$R$60*($BE$80)+'LINEST VARS'!$Q$60*($AZ92)+'LINEST VARS'!$P$60*(12.73)+'LINEST VARS'!$O$60*(8^2)+'LINEST VARS'!$N$60*(8^2)+'LINEST VARS'!$M$60*($BE$80^2)+'LINEST VARS'!$L$60*($AZ92^2)+'LINEST VARS'!$K$60*(12.73^2)+'LINEST VARS'!$J$60*(8*8)+'LINEST VARS'!$I$60*(8*$BE$80)+'LINEST VARS'!$H$60*(8*$AZ92)+'LINEST VARS'!$G$60*(8*12.73)+'LINEST VARS'!$F$60*(8*$BE$80)+'LINEST VARS'!$E$60*(8*$AZ92)+'LINEST VARS'!$D$60*(8*12.73)+'LINEST VARS'!$C$60*($BE$80*$AZ92)+'LINEST VARS'!$B$60*($BE$80*12.73)+'LINEST VARS'!$A$60*($AZ92*12.73)</f>
        <v>40.460000000000008</v>
      </c>
      <c r="BF92" s="46">
        <f>'LINEST VARS'!$U$60+'LINEST VARS'!$T$60*(8)+'LINEST VARS'!$S$60*(8)+'LINEST VARS'!$R$60*($BF$80)+'LINEST VARS'!$Q$60*($AZ92)+'LINEST VARS'!$P$60*(12.73)+'LINEST VARS'!$O$60*(8^2)+'LINEST VARS'!$N$60*(8^2)+'LINEST VARS'!$M$60*($BF$80^2)+'LINEST VARS'!$L$60*($AZ92^2)+'LINEST VARS'!$K$60*(12.73^2)+'LINEST VARS'!$J$60*(8*8)+'LINEST VARS'!$I$60*(8*$BF$80)+'LINEST VARS'!$H$60*(8*$AZ92)+'LINEST VARS'!$G$60*(8*12.73)+'LINEST VARS'!$F$60*(8*$BF$80)+'LINEST VARS'!$E$60*(8*$AZ92)+'LINEST VARS'!$D$60*(8*12.73)+'LINEST VARS'!$C$60*($BF$80*$AZ92)+'LINEST VARS'!$B$60*($BF$80*12.73)+'LINEST VARS'!$A$60*($AZ92*12.73)</f>
        <v>40.460000000000008</v>
      </c>
      <c r="BG92" s="46">
        <f>'LINEST VARS'!$U$60+'LINEST VARS'!$T$60*(8)+'LINEST VARS'!$S$60*(8)+'LINEST VARS'!$R$60*($BG$80)+'LINEST VARS'!$Q$60*($AZ92)+'LINEST VARS'!$P$60*(12.73)+'LINEST VARS'!$O$60*(8^2)+'LINEST VARS'!$N$60*(8^2)+'LINEST VARS'!$M$60*($BG$80^2)+'LINEST VARS'!$L$60*($AZ92^2)+'LINEST VARS'!$K$60*(12.73^2)+'LINEST VARS'!$J$60*(8*8)+'LINEST VARS'!$I$60*(8*$BG$80)+'LINEST VARS'!$H$60*(8*$AZ92)+'LINEST VARS'!$G$60*(8*12.73)+'LINEST VARS'!$F$60*(8*$BG$80)+'LINEST VARS'!$E$60*(8*$AZ92)+'LINEST VARS'!$D$60*(8*12.73)+'LINEST VARS'!$C$60*($BG$80*$AZ92)+'LINEST VARS'!$B$60*($BG$80*12.73)+'LINEST VARS'!$A$60*($AZ92*12.73)</f>
        <v>40.460000000000008</v>
      </c>
      <c r="BH92" s="46">
        <f>'LINEST VARS'!$U$60+'LINEST VARS'!$T$60*(8)+'LINEST VARS'!$S$60*(8)+'LINEST VARS'!$R$60*($BH$80)+'LINEST VARS'!$Q$60*($AZ92)+'LINEST VARS'!$P$60*(12.73)+'LINEST VARS'!$O$60*(8^2)+'LINEST VARS'!$N$60*(8^2)+'LINEST VARS'!$M$60*($BH$80^2)+'LINEST VARS'!$L$60*($AZ92^2)+'LINEST VARS'!$K$60*(12.73^2)+'LINEST VARS'!$J$60*(8*8)+'LINEST VARS'!$I$60*(8*$BH$80)+'LINEST VARS'!$H$60*(8*$AZ92)+'LINEST VARS'!$G$60*(8*12.73)+'LINEST VARS'!$F$60*(8*$BH$80)+'LINEST VARS'!$E$60*(8*$AZ92)+'LINEST VARS'!$D$60*(8*12.73)+'LINEST VARS'!$C$60*($BH$80*$AZ92)+'LINEST VARS'!$B$60*($BH$80*12.73)+'LINEST VARS'!$A$60*($AZ92*12.73)</f>
        <v>40.460000000000015</v>
      </c>
      <c r="BI92" s="46">
        <f>'LINEST VARS'!$U$60+'LINEST VARS'!$T$60*(8)+'LINEST VARS'!$S$60*(8)+'LINEST VARS'!$R$60*($BI$80)+'LINEST VARS'!$Q$60*($AZ92)+'LINEST VARS'!$P$60*(12.73)+'LINEST VARS'!$O$60*(8^2)+'LINEST VARS'!$N$60*(8^2)+'LINEST VARS'!$M$60*($BI$80^2)+'LINEST VARS'!$L$60*($AZ92^2)+'LINEST VARS'!$K$60*(12.73^2)+'LINEST VARS'!$J$60*(8*8)+'LINEST VARS'!$I$60*(8*$BI$80)+'LINEST VARS'!$H$60*(8*$AZ92)+'LINEST VARS'!$G$60*(8*12.73)+'LINEST VARS'!$F$60*(8*$BI$80)+'LINEST VARS'!$E$60*(8*$AZ92)+'LINEST VARS'!$D$60*(8*12.73)+'LINEST VARS'!$C$60*($BI$80*$AZ92)+'LINEST VARS'!$B$60*($BI$80*12.73)+'LINEST VARS'!$A$60*($AZ92*12.73)</f>
        <v>40.460000000000015</v>
      </c>
      <c r="BJ92" s="46">
        <f>'LINEST VARS'!$U$60+'LINEST VARS'!$T$60*(8)+'LINEST VARS'!$S$60*(8)+'LINEST VARS'!$R$60*($BJ$80)+'LINEST VARS'!$Q$60*($AZ92)+'LINEST VARS'!$P$60*(12.73)+'LINEST VARS'!$O$60*(8^2)+'LINEST VARS'!$N$60*(8^2)+'LINEST VARS'!$M$60*($BJ$80^2)+'LINEST VARS'!$L$60*($AZ92^2)+'LINEST VARS'!$K$60*(12.73^2)+'LINEST VARS'!$J$60*(8*8)+'LINEST VARS'!$I$60*(8*$BJ$80)+'LINEST VARS'!$H$60*(8*$AZ92)+'LINEST VARS'!$G$60*(8*12.73)+'LINEST VARS'!$F$60*(8*$BJ$80)+'LINEST VARS'!$E$60*(8*$AZ92)+'LINEST VARS'!$D$60*(8*12.73)+'LINEST VARS'!$C$60*($BJ$80*$AZ92)+'LINEST VARS'!$B$60*($BJ$80*12.73)+'LINEST VARS'!$A$60*($AZ92*12.73)</f>
        <v>40.460000000000015</v>
      </c>
      <c r="BK92" s="46">
        <f>'LINEST VARS'!$U$60+'LINEST VARS'!$T$60*(8)+'LINEST VARS'!$S$60*(8)+'LINEST VARS'!$R$60*($BK$80)+'LINEST VARS'!$Q$60*($AZ92)+'LINEST VARS'!$P$60*(12.73)+'LINEST VARS'!$O$60*(8^2)+'LINEST VARS'!$N$60*(8^2)+'LINEST VARS'!$M$60*($BK$80^2)+'LINEST VARS'!$L$60*($AZ92^2)+'LINEST VARS'!$K$60*(12.73^2)+'LINEST VARS'!$J$60*(8*8)+'LINEST VARS'!$I$60*(8*$BK$80)+'LINEST VARS'!$H$60*(8*$AZ92)+'LINEST VARS'!$G$60*(8*12.73)+'LINEST VARS'!$F$60*(8*$BK$80)+'LINEST VARS'!$E$60*(8*$AZ92)+'LINEST VARS'!$D$60*(8*12.73)+'LINEST VARS'!$C$60*($BK$80*$AZ92)+'LINEST VARS'!$B$60*($BK$80*12.73)+'LINEST VARS'!$A$60*($AZ92*12.73)</f>
        <v>40.460000000000015</v>
      </c>
      <c r="BL92" s="46">
        <f>'LINEST VARS'!$U$60+'LINEST VARS'!$T$60*(8)+'LINEST VARS'!$S$60*(8)+'LINEST VARS'!$R$60*($BL$80)+'LINEST VARS'!$Q$60*($AZ92)+'LINEST VARS'!$P$60*(12.73)+'LINEST VARS'!$O$60*(8^2)+'LINEST VARS'!$N$60*(8^2)+'LINEST VARS'!$M$60*($BL$80^2)+'LINEST VARS'!$L$60*($AZ92^2)+'LINEST VARS'!$K$60*(12.73^2)+'LINEST VARS'!$J$60*(8*8)+'LINEST VARS'!$I$60*(8*$BL$80)+'LINEST VARS'!$H$60*(8*$AZ92)+'LINEST VARS'!$G$60*(8*12.73)+'LINEST VARS'!$F$60*(8*$BL$80)+'LINEST VARS'!$E$60*(8*$AZ92)+'LINEST VARS'!$D$60*(8*12.73)+'LINEST VARS'!$C$60*($BL$80*$AZ92)+'LINEST VARS'!$B$60*($BL$80*12.73)+'LINEST VARS'!$A$60*($AZ92*12.73)</f>
        <v>40.460000000000008</v>
      </c>
      <c r="BM92" s="46">
        <f>'LINEST VARS'!$U$60+'LINEST VARS'!$T$60*(8)+'LINEST VARS'!$S$60*(8)+'LINEST VARS'!$R$60*($BM$80)+'LINEST VARS'!$Q$60*($AZ92)+'LINEST VARS'!$P$60*(12.73)+'LINEST VARS'!$O$60*(8^2)+'LINEST VARS'!$N$60*(8^2)+'LINEST VARS'!$M$60*($BM$80^2)+'LINEST VARS'!$L$60*($AZ92^2)+'LINEST VARS'!$K$60*(12.73^2)+'LINEST VARS'!$J$60*(8*8)+'LINEST VARS'!$I$60*(8*$BM$80)+'LINEST VARS'!$H$60*(8*$AZ92)+'LINEST VARS'!$G$60*(8*12.73)+'LINEST VARS'!$F$60*(8*$BM$80)+'LINEST VARS'!$E$60*(8*$AZ92)+'LINEST VARS'!$D$60*(8*12.73)+'LINEST VARS'!$C$60*($BM$80*$AZ92)+'LINEST VARS'!$B$60*($BM$80*12.73)+'LINEST VARS'!$A$60*($AZ92*12.73)</f>
        <v>40.460000000000015</v>
      </c>
      <c r="BN92" s="46">
        <f>'LINEST VARS'!$U$60+'LINEST VARS'!$T$60*(8)+'LINEST VARS'!$S$60*(8)+'LINEST VARS'!$R$60*($BN$80)+'LINEST VARS'!$Q$60*($AZ92)+'LINEST VARS'!$P$60*(12.73)+'LINEST VARS'!$O$60*(8^2)+'LINEST VARS'!$N$60*(8^2)+'LINEST VARS'!$M$60*($BN$80^2)+'LINEST VARS'!$L$60*($AZ92^2)+'LINEST VARS'!$K$60*(12.73^2)+'LINEST VARS'!$J$60*(8*8)+'LINEST VARS'!$I$60*(8*$BN$80)+'LINEST VARS'!$H$60*(8*$AZ92)+'LINEST VARS'!$G$60*(8*12.73)+'LINEST VARS'!$F$60*(8*$BN$80)+'LINEST VARS'!$E$60*(8*$AZ92)+'LINEST VARS'!$D$60*(8*12.73)+'LINEST VARS'!$C$60*($BN$80*$AZ92)+'LINEST VARS'!$B$60*($BN$80*12.73)+'LINEST VARS'!$A$60*($AZ92*12.73)</f>
        <v>40.460000000000008</v>
      </c>
      <c r="BO92" s="46">
        <f>'LINEST VARS'!$U$60+'LINEST VARS'!$T$60*(8)+'LINEST VARS'!$S$60*(8)+'LINEST VARS'!$R$60*($BO$80)+'LINEST VARS'!$Q$60*($AZ92)+'LINEST VARS'!$P$60*(12.73)+'LINEST VARS'!$O$60*(8^2)+'LINEST VARS'!$N$60*(8^2)+'LINEST VARS'!$M$60*($BO$80^2)+'LINEST VARS'!$L$60*($AZ92^2)+'LINEST VARS'!$K$60*(12.73^2)+'LINEST VARS'!$J$60*(8*8)+'LINEST VARS'!$I$60*(8*$BO$80)+'LINEST VARS'!$H$60*(8*$AZ92)+'LINEST VARS'!$G$60*(8*12.73)+'LINEST VARS'!$F$60*(8*$BO$80)+'LINEST VARS'!$E$60*(8*$AZ92)+'LINEST VARS'!$D$60*(8*12.73)+'LINEST VARS'!$C$60*($BO$80*$AZ92)+'LINEST VARS'!$B$60*($BO$80*12.73)+'LINEST VARS'!$A$60*($AZ92*12.73)</f>
        <v>40.460000000000015</v>
      </c>
      <c r="BP92" s="46">
        <f>'LINEST VARS'!$U$60+'LINEST VARS'!$T$60*(8)+'LINEST VARS'!$S$60*(8)+'LINEST VARS'!$R$60*($BP$80)+'LINEST VARS'!$Q$60*($AZ92)+'LINEST VARS'!$P$60*(12.73)+'LINEST VARS'!$O$60*(8^2)+'LINEST VARS'!$N$60*(8^2)+'LINEST VARS'!$M$60*($BP$80^2)+'LINEST VARS'!$L$60*($AZ92^2)+'LINEST VARS'!$K$60*(12.73^2)+'LINEST VARS'!$J$60*(8*8)+'LINEST VARS'!$I$60*(8*$BP$80)+'LINEST VARS'!$H$60*(8*$AZ92)+'LINEST VARS'!$G$60*(8*12.73)+'LINEST VARS'!$F$60*(8*$BP$80)+'LINEST VARS'!$E$60*(8*$AZ92)+'LINEST VARS'!$D$60*(8*12.73)+'LINEST VARS'!$C$60*($BP$80*$AZ92)+'LINEST VARS'!$B$60*($BP$80*12.73)+'LINEST VARS'!$A$60*($AZ92*12.73)</f>
        <v>40.460000000000015</v>
      </c>
      <c r="BQ92" s="46">
        <f>'LINEST VARS'!$U$60+'LINEST VARS'!$T$60*(8)+'LINEST VARS'!$S$60*(8)+'LINEST VARS'!$R$60*($BQ$80)+'LINEST VARS'!$Q$60*($AZ92)+'LINEST VARS'!$P$60*(12.73)+'LINEST VARS'!$O$60*(8^2)+'LINEST VARS'!$N$60*(8^2)+'LINEST VARS'!$M$60*($BQ$80^2)+'LINEST VARS'!$L$60*($AZ92^2)+'LINEST VARS'!$K$60*(12.73^2)+'LINEST VARS'!$J$60*(8*8)+'LINEST VARS'!$I$60*(8*$BQ$80)+'LINEST VARS'!$H$60*(8*$AZ92)+'LINEST VARS'!$G$60*(8*12.73)+'LINEST VARS'!$F$60*(8*$BQ$80)+'LINEST VARS'!$E$60*(8*$AZ92)+'LINEST VARS'!$D$60*(8*12.73)+'LINEST VARS'!$C$60*($BQ$80*$AZ92)+'LINEST VARS'!$B$60*($BQ$80*12.73)+'LINEST VARS'!$A$60*($AZ92*12.73)</f>
        <v>40.460000000000015</v>
      </c>
      <c r="BR92" s="46">
        <f>'LINEST VARS'!$U$60+'LINEST VARS'!$T$60*(8)+'LINEST VARS'!$S$60*(8)+'LINEST VARS'!$R$60*($BR$80)+'LINEST VARS'!$Q$60*($AZ92)+'LINEST VARS'!$P$60*(12.73)+'LINEST VARS'!$O$60*(8^2)+'LINEST VARS'!$N$60*(8^2)+'LINEST VARS'!$M$60*($BR$80^2)+'LINEST VARS'!$L$60*($AZ92^2)+'LINEST VARS'!$K$60*(12.73^2)+'LINEST VARS'!$J$60*(8*8)+'LINEST VARS'!$I$60*(8*$BR$80)+'LINEST VARS'!$H$60*(8*$AZ92)+'LINEST VARS'!$G$60*(8*12.73)+'LINEST VARS'!$F$60*(8*$BR$80)+'LINEST VARS'!$E$60*(8*$AZ92)+'LINEST VARS'!$D$60*(8*12.73)+'LINEST VARS'!$C$60*($BR$80*$AZ92)+'LINEST VARS'!$B$60*($BR$80*12.73)+'LINEST VARS'!$A$60*($AZ92*12.73)</f>
        <v>40.460000000000015</v>
      </c>
      <c r="BS92" s="46">
        <f>'LINEST VARS'!$U$60+'LINEST VARS'!$T$60*(8)+'LINEST VARS'!$S$60*(8)+'LINEST VARS'!$R$60*($BS$80)+'LINEST VARS'!$Q$60*($AZ92)+'LINEST VARS'!$P$60*(12.73)+'LINEST VARS'!$O$60*(8^2)+'LINEST VARS'!$N$60*(8^2)+'LINEST VARS'!$M$60*($BS$80^2)+'LINEST VARS'!$L$60*($AZ92^2)+'LINEST VARS'!$K$60*(12.73^2)+'LINEST VARS'!$J$60*(8*8)+'LINEST VARS'!$I$60*(8*$BS$80)+'LINEST VARS'!$H$60*(8*$AZ92)+'LINEST VARS'!$G$60*(8*12.73)+'LINEST VARS'!$F$60*(8*$BS$80)+'LINEST VARS'!$E$60*(8*$AZ92)+'LINEST VARS'!$D$60*(8*12.73)+'LINEST VARS'!$C$60*($BS$80*$AZ92)+'LINEST VARS'!$B$60*($BS$80*12.73)+'LINEST VARS'!$A$60*($AZ92*12.73)</f>
        <v>40.460000000000008</v>
      </c>
      <c r="BT92" s="46">
        <f>'LINEST VARS'!$U$60+'LINEST VARS'!$T$60*(8)+'LINEST VARS'!$S$60*(8)+'LINEST VARS'!$R$60*($BT$80)+'LINEST VARS'!$Q$60*($AZ92)+'LINEST VARS'!$P$60*(12.73)+'LINEST VARS'!$O$60*(8^2)+'LINEST VARS'!$N$60*(8^2)+'LINEST VARS'!$M$60*($BT$80^2)+'LINEST VARS'!$L$60*($AZ92^2)+'LINEST VARS'!$K$60*(12.73^2)+'LINEST VARS'!$J$60*(8*8)+'LINEST VARS'!$I$60*(8*$BT$80)+'LINEST VARS'!$H$60*(8*$AZ92)+'LINEST VARS'!$G$60*(8*12.73)+'LINEST VARS'!$F$60*(8*$BT$80)+'LINEST VARS'!$E$60*(8*$AZ92)+'LINEST VARS'!$D$60*(8*12.73)+'LINEST VARS'!$C$60*($BT$80*$AZ92)+'LINEST VARS'!$B$60*($BT$80*12.73)+'LINEST VARS'!$A$60*($AZ92*12.73)</f>
        <v>40.460000000000015</v>
      </c>
      <c r="BU92" s="47">
        <f>'LINEST VARS'!$U$60+'LINEST VARS'!$T$60*(8)+'LINEST VARS'!$S$60*(8)+'LINEST VARS'!$R$60*($BU$80)+'LINEST VARS'!$Q$60*($AZ92)+'LINEST VARS'!$P$60*(12.73)+'LINEST VARS'!$O$60*(8^2)+'LINEST VARS'!$N$60*(8^2)+'LINEST VARS'!$M$60*($BU$80^2)+'LINEST VARS'!$L$60*($AZ92^2)+'LINEST VARS'!$K$60*(12.73^2)+'LINEST VARS'!$J$60*(8*8)+'LINEST VARS'!$I$60*(8*$BU$80)+'LINEST VARS'!$H$60*(8*$AZ92)+'LINEST VARS'!$G$60*(8*12.73)+'LINEST VARS'!$F$60*(8*$BU$80)+'LINEST VARS'!$E$60*(8*$AZ92)+'LINEST VARS'!$D$60*(8*12.73)+'LINEST VARS'!$C$60*($BU$80*$AZ92)+'LINEST VARS'!$B$60*($BU$80*12.73)+'LINEST VARS'!$A$60*($AZ92*12.73)</f>
        <v>40.460000000000015</v>
      </c>
      <c r="BX92" s="45">
        <v>0.55000000000000004</v>
      </c>
      <c r="BY92" s="55">
        <f>'LINEST VARS'!$U$62+'LINEST VARS'!$T$62*(8)+'LINEST VARS'!$S$62*(8)+'LINEST VARS'!$R$62*($BY$80)+'LINEST VARS'!$Q$62*($BX92)+'LINEST VARS'!$P$62*(12.73)+'LINEST VARS'!$O$62*(8^2)+'LINEST VARS'!$N$62*(8^2)+'LINEST VARS'!$M$62*($BY$80^2)+'LINEST VARS'!$L$62*($BX92^2)+'LINEST VARS'!$K$62*(12.73^2)+'LINEST VARS'!$J$62*(8*8)+'LINEST VARS'!$I$62*(8*$BY$80)+'LINEST VARS'!$H$62*(8*$BX92)+'LINEST VARS'!$G$62*(8*12.73)+'LINEST VARS'!$F$62*(8*$BY$80)+'LINEST VARS'!$E$62*(8*$BX92)+'LINEST VARS'!$D$62*(8*12.73)+'LINEST VARS'!$C$62*($BY$80*$BX92)+'LINEST VARS'!$B$62*($BY$80*12.73)+'LINEST VARS'!$A$62*($BX92*12.73)</f>
        <v>349.39499999999987</v>
      </c>
      <c r="BZ92" s="55">
        <f>'LINEST VARS'!$U$62+'LINEST VARS'!$T$62*(8)+'LINEST VARS'!$S$62*(8)+'LINEST VARS'!$R$62*($BZ$80)+'LINEST VARS'!$Q$62*($BX92)+'LINEST VARS'!$P$62*(12.73)+'LINEST VARS'!$O$62*(8^2)+'LINEST VARS'!$N$62*(8^2)+'LINEST VARS'!$M$62*($BZ$80^2)+'LINEST VARS'!$L$62*($BX92^2)+'LINEST VARS'!$K$62*(12.73^2)+'LINEST VARS'!$J$62*(8*8)+'LINEST VARS'!$I$62*(8*$BZ$80)+'LINEST VARS'!$H$62*(8*$BX92)+'LINEST VARS'!$G$62*(8*12.73)+'LINEST VARS'!$F$62*(8*$BZ$80)+'LINEST VARS'!$E$62*(8*$BX92)+'LINEST VARS'!$D$62*(8*12.73)+'LINEST VARS'!$C$62*($BZ$80*$BX92)+'LINEST VARS'!$B$62*($BZ$80*12.73)+'LINEST VARS'!$A$62*($BX92*12.73)</f>
        <v>348.59499999999991</v>
      </c>
      <c r="CA92" s="55">
        <f>'LINEST VARS'!$U$62+'LINEST VARS'!$T$62*(8)+'LINEST VARS'!$S$62*(8)+'LINEST VARS'!$R$62*($CA$80)+'LINEST VARS'!$Q$62*($BX92)+'LINEST VARS'!$P$62*(12.73)+'LINEST VARS'!$O$62*(8^2)+'LINEST VARS'!$N$62*(8^2)+'LINEST VARS'!$M$62*($CA$80^2)+'LINEST VARS'!$L$62*($BX92^2)+'LINEST VARS'!$K$62*(12.73^2)+'LINEST VARS'!$J$62*(8*8)+'LINEST VARS'!$I$62*(8*$CA$80)+'LINEST VARS'!$H$62*(8*$BX92)+'LINEST VARS'!$G$62*(8*12.73)+'LINEST VARS'!$F$62*(8*$CA$80)+'LINEST VARS'!$E$62*(8*$BX92)+'LINEST VARS'!$D$62*(8*12.73)+'LINEST VARS'!$C$62*($CA$80*$BX92)+'LINEST VARS'!$B$62*($CA$80*12.73)+'LINEST VARS'!$A$62*($BX92*12.73)</f>
        <v>346.19499999999982</v>
      </c>
      <c r="CB92" s="55">
        <f>'LINEST VARS'!$U$62+'LINEST VARS'!$T$62*(8)+'LINEST VARS'!$S$62*(8)+'LINEST VARS'!$R$62*($CB$80)+'LINEST VARS'!$Q$62*($BX92)+'LINEST VARS'!$P$62*(12.73)+'LINEST VARS'!$O$62*(8^2)+'LINEST VARS'!$N$62*(8^2)+'LINEST VARS'!$M$62*($CB$80^2)+'LINEST VARS'!$L$62*($BX92^2)+'LINEST VARS'!$K$62*(12.73^2)+'LINEST VARS'!$J$62*(8*8)+'LINEST VARS'!$I$62*(8*$CB$80)+'LINEST VARS'!$H$62*(8*$BX92)+'LINEST VARS'!$G$62*(8*12.73)+'LINEST VARS'!$F$62*(8*$CB$80)+'LINEST VARS'!$E$62*(8*$BX92)+'LINEST VARS'!$D$62*(8*12.73)+'LINEST VARS'!$C$62*($CB$80*$BX92)+'LINEST VARS'!$B$62*($CB$80*12.73)+'LINEST VARS'!$A$62*($BX92*12.73)</f>
        <v>342.19499999999988</v>
      </c>
      <c r="CC92" s="55">
        <f>'LINEST VARS'!$U$62+'LINEST VARS'!$T$62*(8)+'LINEST VARS'!$S$62*(8)+'LINEST VARS'!$R$62*($CC$80)+'LINEST VARS'!$Q$62*($BX92)+'LINEST VARS'!$P$62*(12.73)+'LINEST VARS'!$O$62*(8^2)+'LINEST VARS'!$N$62*(8^2)+'LINEST VARS'!$M$62*($CC$80^2)+'LINEST VARS'!$L$62*($BX92^2)+'LINEST VARS'!$K$62*(12.73^2)+'LINEST VARS'!$J$62*(8*8)+'LINEST VARS'!$I$62*(8*$CC$80)+'LINEST VARS'!$H$62*(8*$BX92)+'LINEST VARS'!$G$62*(8*12.73)+'LINEST VARS'!$F$62*(8*$CC$80)+'LINEST VARS'!$E$62*(8*$BX92)+'LINEST VARS'!$D$62*(8*12.73)+'LINEST VARS'!$C$62*($CC$80*$BX92)+'LINEST VARS'!$B$62*($CC$80*12.73)+'LINEST VARS'!$A$62*($BX92*12.73)</f>
        <v>336.59499999999991</v>
      </c>
      <c r="CD92" s="55">
        <f>'LINEST VARS'!$U$62+'LINEST VARS'!$T$62*(8)+'LINEST VARS'!$S$62*(8)+'LINEST VARS'!$R$62*($CD$80)+'LINEST VARS'!$Q$62*($BX92)+'LINEST VARS'!$P$62*(12.73)+'LINEST VARS'!$O$62*(8^2)+'LINEST VARS'!$N$62*(8^2)+'LINEST VARS'!$M$62*($CD$80^2)+'LINEST VARS'!$L$62*($BX92^2)+'LINEST VARS'!$K$62*(12.73^2)+'LINEST VARS'!$J$62*(8*8)+'LINEST VARS'!$I$62*(8*$CD$80)+'LINEST VARS'!$H$62*(8*$BX92)+'LINEST VARS'!$G$62*(8*12.73)+'LINEST VARS'!$F$62*(8*$CD$80)+'LINEST VARS'!$E$62*(8*$BX92)+'LINEST VARS'!$D$62*(8*12.73)+'LINEST VARS'!$C$62*($CD$80*$BX92)+'LINEST VARS'!$B$62*($CD$80*12.73)+'LINEST VARS'!$A$62*($BX92*12.73)</f>
        <v>329.39499999999998</v>
      </c>
      <c r="CE92" s="55">
        <f>'LINEST VARS'!$U$62+'LINEST VARS'!$T$62*(8)+'LINEST VARS'!$S$62*(8)+'LINEST VARS'!$R$62*($CE$80)+'LINEST VARS'!$Q$62*($BX92)+'LINEST VARS'!$P$62*(12.73)+'LINEST VARS'!$O$62*(8^2)+'LINEST VARS'!$N$62*(8^2)+'LINEST VARS'!$M$62*($CE$80^2)+'LINEST VARS'!$L$62*($BX92^2)+'LINEST VARS'!$K$62*(12.73^2)+'LINEST VARS'!$J$62*(8*8)+'LINEST VARS'!$I$62*(8*$CE$80)+'LINEST VARS'!$H$62*(8*$BX92)+'LINEST VARS'!$G$62*(8*12.73)+'LINEST VARS'!$F$62*(8*$CE$80)+'LINEST VARS'!$E$62*(8*$BX92)+'LINEST VARS'!$D$62*(8*12.73)+'LINEST VARS'!$C$62*($CE$80*$BX92)+'LINEST VARS'!$B$62*($CE$80*12.73)+'LINEST VARS'!$A$62*($BX92*12.73)</f>
        <v>320.59499999999986</v>
      </c>
      <c r="CF92" s="55">
        <f>'LINEST VARS'!$U$62+'LINEST VARS'!$T$62*(8)+'LINEST VARS'!$S$62*(8)+'LINEST VARS'!$R$62*($CF$80)+'LINEST VARS'!$Q$62*($BX92)+'LINEST VARS'!$P$62*(12.73)+'LINEST VARS'!$O$62*(8^2)+'LINEST VARS'!$N$62*(8^2)+'LINEST VARS'!$M$62*($CF$80^2)+'LINEST VARS'!$L$62*($BX92^2)+'LINEST VARS'!$K$62*(12.73^2)+'LINEST VARS'!$J$62*(8*8)+'LINEST VARS'!$I$62*(8*$CF$80)+'LINEST VARS'!$H$62*(8*$BX92)+'LINEST VARS'!$G$62*(8*12.73)+'LINEST VARS'!$F$62*(8*$CF$80)+'LINEST VARS'!$E$62*(8*$BX92)+'LINEST VARS'!$D$62*(8*12.73)+'LINEST VARS'!$C$62*($CF$80*$BX92)+'LINEST VARS'!$B$62*($CF$80*12.73)+'LINEST VARS'!$A$62*($BX92*12.73)</f>
        <v>310.19499999999994</v>
      </c>
      <c r="CG92" s="55">
        <f>'LINEST VARS'!$U$62+'LINEST VARS'!$T$62*(8)+'LINEST VARS'!$S$62*(8)+'LINEST VARS'!$R$62*($CG$80)+'LINEST VARS'!$Q$62*($BX92)+'LINEST VARS'!$P$62*(12.73)+'LINEST VARS'!$O$62*(8^2)+'LINEST VARS'!$N$62*(8^2)+'LINEST VARS'!$M$62*($CG$80^2)+'LINEST VARS'!$L$62*($BX92^2)+'LINEST VARS'!$K$62*(12.73^2)+'LINEST VARS'!$J$62*(8*8)+'LINEST VARS'!$I$62*(8*$CG$80)+'LINEST VARS'!$H$62*(8*$BX92)+'LINEST VARS'!$G$62*(8*12.73)+'LINEST VARS'!$F$62*(8*$CG$80)+'LINEST VARS'!$E$62*(8*$BX92)+'LINEST VARS'!$D$62*(8*12.73)+'LINEST VARS'!$C$62*($CG$80*$BX92)+'LINEST VARS'!$B$62*($CG$80*12.73)+'LINEST VARS'!$A$62*($BX92*12.73)</f>
        <v>298.19499999999994</v>
      </c>
      <c r="CH92" s="55">
        <f>'LINEST VARS'!$U$62+'LINEST VARS'!$T$62*(8)+'LINEST VARS'!$S$62*(8)+'LINEST VARS'!$R$62*($CH$80)+'LINEST VARS'!$Q$62*($BX92)+'LINEST VARS'!$P$62*(12.73)+'LINEST VARS'!$O$62*(8^2)+'LINEST VARS'!$N$62*(8^2)+'LINEST VARS'!$M$62*($CH$80^2)+'LINEST VARS'!$L$62*($BX92^2)+'LINEST VARS'!$K$62*(12.73^2)+'LINEST VARS'!$J$62*(8*8)+'LINEST VARS'!$I$62*(8*$CH$80)+'LINEST VARS'!$H$62*(8*$BX92)+'LINEST VARS'!$G$62*(8*12.73)+'LINEST VARS'!$F$62*(8*$CH$80)+'LINEST VARS'!$E$62*(8*$BX92)+'LINEST VARS'!$D$62*(8*12.73)+'LINEST VARS'!$C$62*($CH$80*$BX92)+'LINEST VARS'!$B$62*($CH$80*12.73)+'LINEST VARS'!$A$62*($BX92*12.73)</f>
        <v>284.59499999999991</v>
      </c>
      <c r="CI92" s="55">
        <f>'LINEST VARS'!$U$62+'LINEST VARS'!$T$62*(8)+'LINEST VARS'!$S$62*(8)+'LINEST VARS'!$R$62*($CI$80)+'LINEST VARS'!$Q$62*($BX92)+'LINEST VARS'!$P$62*(12.73)+'LINEST VARS'!$O$62*(8^2)+'LINEST VARS'!$N$62*(8^2)+'LINEST VARS'!$M$62*($CI$80^2)+'LINEST VARS'!$L$62*($BX92^2)+'LINEST VARS'!$K$62*(12.73^2)+'LINEST VARS'!$J$62*(8*8)+'LINEST VARS'!$I$62*(8*$CI$80)+'LINEST VARS'!$H$62*(8*$BX92)+'LINEST VARS'!$G$62*(8*12.73)+'LINEST VARS'!$F$62*(8*$CI$80)+'LINEST VARS'!$E$62*(8*$BX92)+'LINEST VARS'!$D$62*(8*12.73)+'LINEST VARS'!$C$62*($CI$80*$BX92)+'LINEST VARS'!$B$62*($CI$80*12.73)+'LINEST VARS'!$A$62*($BX92*12.73)</f>
        <v>269.39499999999992</v>
      </c>
      <c r="CJ92" s="55">
        <f>'LINEST VARS'!$U$62+'LINEST VARS'!$T$62*(8)+'LINEST VARS'!$S$62*(8)+'LINEST VARS'!$R$62*($CJ$80)+'LINEST VARS'!$Q$62*($BX92)+'LINEST VARS'!$P$62*(12.73)+'LINEST VARS'!$O$62*(8^2)+'LINEST VARS'!$N$62*(8^2)+'LINEST VARS'!$M$62*($CJ$80^2)+'LINEST VARS'!$L$62*($BX92^2)+'LINEST VARS'!$K$62*(12.73^2)+'LINEST VARS'!$J$62*(8*8)+'LINEST VARS'!$I$62*(8*$CJ$80)+'LINEST VARS'!$H$62*(8*$BX92)+'LINEST VARS'!$G$62*(8*12.73)+'LINEST VARS'!$F$62*(8*$CJ$80)+'LINEST VARS'!$E$62*(8*$BX92)+'LINEST VARS'!$D$62*(8*12.73)+'LINEST VARS'!$C$62*($CJ$80*$BX92)+'LINEST VARS'!$B$62*($CJ$80*12.73)+'LINEST VARS'!$A$62*($BX92*12.73)</f>
        <v>252.595</v>
      </c>
      <c r="CK92" s="55">
        <f>'LINEST VARS'!$U$62+'LINEST VARS'!$T$62*(8)+'LINEST VARS'!$S$62*(8)+'LINEST VARS'!$R$62*($CK$80)+'LINEST VARS'!$Q$62*($BX92)+'LINEST VARS'!$P$62*(12.73)+'LINEST VARS'!$O$62*(8^2)+'LINEST VARS'!$N$62*(8^2)+'LINEST VARS'!$M$62*($CK$80^2)+'LINEST VARS'!$L$62*($BX92^2)+'LINEST VARS'!$K$62*(12.73^2)+'LINEST VARS'!$J$62*(8*8)+'LINEST VARS'!$I$62*(8*$CK$80)+'LINEST VARS'!$H$62*(8*$BX92)+'LINEST VARS'!$G$62*(8*12.73)+'LINEST VARS'!$F$62*(8*$CK$80)+'LINEST VARS'!$E$62*(8*$BX92)+'LINEST VARS'!$D$62*(8*12.73)+'LINEST VARS'!$C$62*($CK$80*$BX92)+'LINEST VARS'!$B$62*($CK$80*12.73)+'LINEST VARS'!$A$62*($BX92*12.73)</f>
        <v>234.19500000000005</v>
      </c>
      <c r="CL92" s="55">
        <f>'LINEST VARS'!$U$62+'LINEST VARS'!$T$62*(8)+'LINEST VARS'!$S$62*(8)+'LINEST VARS'!$R$62*($CL$80)+'LINEST VARS'!$Q$62*($BX92)+'LINEST VARS'!$P$62*(12.73)+'LINEST VARS'!$O$62*(8^2)+'LINEST VARS'!$N$62*(8^2)+'LINEST VARS'!$M$62*($CL$80^2)+'LINEST VARS'!$L$62*($BX92^2)+'LINEST VARS'!$K$62*(12.73^2)+'LINEST VARS'!$J$62*(8*8)+'LINEST VARS'!$I$62*(8*$CL$80)+'LINEST VARS'!$H$62*(8*$BX92)+'LINEST VARS'!$G$62*(8*12.73)+'LINEST VARS'!$F$62*(8*$CL$80)+'LINEST VARS'!$E$62*(8*$BX92)+'LINEST VARS'!$D$62*(8*12.73)+'LINEST VARS'!$C$62*($CL$80*$BX92)+'LINEST VARS'!$B$62*($CL$80*12.73)+'LINEST VARS'!$A$62*($BX92*12.73)</f>
        <v>214.19499999999999</v>
      </c>
      <c r="CM92" s="55">
        <f>'LINEST VARS'!$U$62+'LINEST VARS'!$T$62*(8)+'LINEST VARS'!$S$62*(8)+'LINEST VARS'!$R$62*($CM$80)+'LINEST VARS'!$Q$62*($BX92)+'LINEST VARS'!$P$62*(12.73)+'LINEST VARS'!$O$62*(8^2)+'LINEST VARS'!$N$62*(8^2)+'LINEST VARS'!$M$62*($CM$80^2)+'LINEST VARS'!$L$62*($BX92^2)+'LINEST VARS'!$K$62*(12.73^2)+'LINEST VARS'!$J$62*(8*8)+'LINEST VARS'!$I$62*(8*$CM$80)+'LINEST VARS'!$H$62*(8*$BX92)+'LINEST VARS'!$G$62*(8*12.73)+'LINEST VARS'!$F$62*(8*$CM$80)+'LINEST VARS'!$E$62*(8*$BX92)+'LINEST VARS'!$D$62*(8*12.73)+'LINEST VARS'!$C$62*($CM$80*$BX92)+'LINEST VARS'!$B$62*($CM$80*12.73)+'LINEST VARS'!$A$62*($BX92*12.73)</f>
        <v>192.59500000000006</v>
      </c>
      <c r="CN92" s="55">
        <f>'LINEST VARS'!$U$62+'LINEST VARS'!$T$62*(8)+'LINEST VARS'!$S$62*(8)+'LINEST VARS'!$R$62*($CN$80)+'LINEST VARS'!$Q$62*($BX92)+'LINEST VARS'!$P$62*(12.73)+'LINEST VARS'!$O$62*(8^2)+'LINEST VARS'!$N$62*(8^2)+'LINEST VARS'!$M$62*($CN$80^2)+'LINEST VARS'!$L$62*($BX92^2)+'LINEST VARS'!$K$62*(12.73^2)+'LINEST VARS'!$J$62*(8*8)+'LINEST VARS'!$I$62*(8*$CN$80)+'LINEST VARS'!$H$62*(8*$BX92)+'LINEST VARS'!$G$62*(8*12.73)+'LINEST VARS'!$F$62*(8*$CN$80)+'LINEST VARS'!$E$62*(8*$BX92)+'LINEST VARS'!$D$62*(8*12.73)+'LINEST VARS'!$C$62*($CN$80*$BX92)+'LINEST VARS'!$B$62*($CN$80*12.73)+'LINEST VARS'!$A$62*($BX92*12.73)</f>
        <v>169.39500000000004</v>
      </c>
      <c r="CO92" s="55">
        <f>'LINEST VARS'!$U$62+'LINEST VARS'!$T$62*(8)+'LINEST VARS'!$S$62*(8)+'LINEST VARS'!$R$62*($CO$80)+'LINEST VARS'!$Q$62*($BX92)+'LINEST VARS'!$P$62*(12.73)+'LINEST VARS'!$O$62*(8^2)+'LINEST VARS'!$N$62*(8^2)+'LINEST VARS'!$M$62*($CO$80^2)+'LINEST VARS'!$L$62*($BX92^2)+'LINEST VARS'!$K$62*(12.73^2)+'LINEST VARS'!$J$62*(8*8)+'LINEST VARS'!$I$62*(8*$CO$80)+'LINEST VARS'!$H$62*(8*$BX92)+'LINEST VARS'!$G$62*(8*12.73)+'LINEST VARS'!$F$62*(8*$CO$80)+'LINEST VARS'!$E$62*(8*$BX92)+'LINEST VARS'!$D$62*(8*12.73)+'LINEST VARS'!$C$62*($CO$80*$BX92)+'LINEST VARS'!$B$62*($CO$80*12.73)+'LINEST VARS'!$A$62*($BX92*12.73)</f>
        <v>144.59500000000006</v>
      </c>
      <c r="CP92" s="55">
        <f>'LINEST VARS'!$U$62+'LINEST VARS'!$T$62*(8)+'LINEST VARS'!$S$62*(8)+'LINEST VARS'!$R$62*($CP$80)+'LINEST VARS'!$Q$62*($BX92)+'LINEST VARS'!$P$62*(12.73)+'LINEST VARS'!$O$62*(8^2)+'LINEST VARS'!$N$62*(8^2)+'LINEST VARS'!$M$62*($CP$80^2)+'LINEST VARS'!$L$62*($BX92^2)+'LINEST VARS'!$K$62*(12.73^2)+'LINEST VARS'!$J$62*(8*8)+'LINEST VARS'!$I$62*(8*$CP$80)+'LINEST VARS'!$H$62*(8*$BX92)+'LINEST VARS'!$G$62*(8*12.73)+'LINEST VARS'!$F$62*(8*$CP$80)+'LINEST VARS'!$E$62*(8*$BX92)+'LINEST VARS'!$D$62*(8*12.73)+'LINEST VARS'!$C$62*($CP$80*$BX92)+'LINEST VARS'!$B$62*($CP$80*12.73)+'LINEST VARS'!$A$62*($BX92*12.73)</f>
        <v>118.19500000000011</v>
      </c>
      <c r="CQ92" s="55">
        <f>'LINEST VARS'!$U$62+'LINEST VARS'!$T$62*(8)+'LINEST VARS'!$S$62*(8)+'LINEST VARS'!$R$62*($CQ$80)+'LINEST VARS'!$Q$62*($BX92)+'LINEST VARS'!$P$62*(12.73)+'LINEST VARS'!$O$62*(8^2)+'LINEST VARS'!$N$62*(8^2)+'LINEST VARS'!$M$62*($CQ$80^2)+'LINEST VARS'!$L$62*($BX92^2)+'LINEST VARS'!$K$62*(12.73^2)+'LINEST VARS'!$J$62*(8*8)+'LINEST VARS'!$I$62*(8*$CQ$80)+'LINEST VARS'!$H$62*(8*$BX92)+'LINEST VARS'!$G$62*(8*12.73)+'LINEST VARS'!$F$62*(8*$CQ$80)+'LINEST VARS'!$E$62*(8*$BX92)+'LINEST VARS'!$D$62*(8*12.73)+'LINEST VARS'!$C$62*($CQ$80*$BX92)+'LINEST VARS'!$B$62*($CQ$80*12.73)+'LINEST VARS'!$A$62*($BX92*12.73)</f>
        <v>90.195000000000107</v>
      </c>
      <c r="CR92" s="55">
        <f>'LINEST VARS'!$U$62+'LINEST VARS'!$T$62*(8)+'LINEST VARS'!$S$62*(8)+'LINEST VARS'!$R$62*($CR$80)+'LINEST VARS'!$Q$62*($BX92)+'LINEST VARS'!$P$62*(12.73)+'LINEST VARS'!$O$62*(8^2)+'LINEST VARS'!$N$62*(8^2)+'LINEST VARS'!$M$62*($CR$80^2)+'LINEST VARS'!$L$62*($BX92^2)+'LINEST VARS'!$K$62*(12.73^2)+'LINEST VARS'!$J$62*(8*8)+'LINEST VARS'!$I$62*(8*$CR$80)+'LINEST VARS'!$H$62*(8*$BX92)+'LINEST VARS'!$G$62*(8*12.73)+'LINEST VARS'!$F$62*(8*$CR$80)+'LINEST VARS'!$E$62*(8*$BX92)+'LINEST VARS'!$D$62*(8*12.73)+'LINEST VARS'!$C$62*($CR$80*$BX92)+'LINEST VARS'!$B$62*($CR$80*12.73)+'LINEST VARS'!$A$62*($BX92*12.73)</f>
        <v>60.595000000000134</v>
      </c>
      <c r="CS92" s="56">
        <f>'LINEST VARS'!$U$62+'LINEST VARS'!$T$62*(8)+'LINEST VARS'!$S$62*(8)+'LINEST VARS'!$R$62*($CS$80)+'LINEST VARS'!$Q$62*($BX92)+'LINEST VARS'!$P$62*(12.73)+'LINEST VARS'!$O$62*(8^2)+'LINEST VARS'!$N$62*(8^2)+'LINEST VARS'!$M$62*($CS$80^2)+'LINEST VARS'!$L$62*($BX92^2)+'LINEST VARS'!$K$62*(12.73^2)+'LINEST VARS'!$J$62*(8*8)+'LINEST VARS'!$I$62*(8*$CS$80)+'LINEST VARS'!$H$62*(8*$BX92)+'LINEST VARS'!$G$62*(8*12.73)+'LINEST VARS'!$F$62*(8*$CS$80)+'LINEST VARS'!$E$62*(8*$BX92)+'LINEST VARS'!$D$62*(8*12.73)+'LINEST VARS'!$C$62*($CS$80*$BX92)+'LINEST VARS'!$B$62*($CS$80*12.73)+'LINEST VARS'!$A$62*($BX92*12.73)</f>
        <v>29.395000000000174</v>
      </c>
      <c r="CX92" s="45">
        <v>14.294499999999999</v>
      </c>
      <c r="CY92" s="46">
        <f>'LINEST VARS'!$U$60+'LINEST VARS'!$T$60*(8)+'LINEST VARS'!$S$60*(8)+'LINEST VARS'!$R$60*($CY$80)+'LINEST VARS'!$Q$60*(0.5)+'LINEST VARS'!$P$60*($CX92)+'LINEST VARS'!$O$60*(8^2)+'LINEST VARS'!$N$60*(8^2)+'LINEST VARS'!$M$60*($CY$80^2)+'LINEST VARS'!$L$60*(0.5^2)+'LINEST VARS'!$K$60*($CX92^2)+'LINEST VARS'!$J$60*(8*8)+'LINEST VARS'!$I$60*(8*$CY$80)+'LINEST VARS'!$H$60*(8*0.5)+'LINEST VARS'!$G$60*(8*$CX92)+'LINEST VARS'!$F$60*(8*$CY$80)+'LINEST VARS'!$E$60*(8*0.5)+'LINEST VARS'!$D$60*(8*$CX92)+'LINEST VARS'!$C$60*($CY$80*0.5)+'LINEST VARS'!$B$60*($CY$80*$CX92)+'LINEST VARS'!$A$60*(0.5*$CX92)</f>
        <v>43.588999999999999</v>
      </c>
      <c r="CZ92" s="46">
        <f>'LINEST VARS'!$U$60+'LINEST VARS'!$T$60*(8)+'LINEST VARS'!$S$60*(8)+'LINEST VARS'!$R$60*($CZ$80)+'LINEST VARS'!$Q$60*(0.5)+'LINEST VARS'!$P$60*($CX92)+'LINEST VARS'!$O$60*(8^2)+'LINEST VARS'!$N$60*(8^2)+'LINEST VARS'!$M$60*($CZ$80^2)+'LINEST VARS'!$L$60*(0.5^2)+'LINEST VARS'!$K$60*($CX92^2)+'LINEST VARS'!$J$60*(8*8)+'LINEST VARS'!$I$60*(8*$CZ$80)+'LINEST VARS'!$H$60*(8*0.5)+'LINEST VARS'!$G$60*(8*$CX92)+'LINEST VARS'!$F$60*(8*$CZ$80)+'LINEST VARS'!$E$60*(8*0.5)+'LINEST VARS'!$D$60*(8*$CX92)+'LINEST VARS'!$C$60*($CZ$80*0.5)+'LINEST VARS'!$B$60*($CZ$80*$CX92)+'LINEST VARS'!$A$60*(0.5*$CX92)</f>
        <v>43.588999999999999</v>
      </c>
      <c r="DA92" s="46">
        <f>'LINEST VARS'!$U$60+'LINEST VARS'!$T$60*(8)+'LINEST VARS'!$S$60*(8)+'LINEST VARS'!$R$60*($DA$80)+'LINEST VARS'!$Q$60*(0.5)+'LINEST VARS'!$P$60*($CX92)+'LINEST VARS'!$O$60*(8^2)+'LINEST VARS'!$N$60*(8^2)+'LINEST VARS'!$M$60*($DA$80^2)+'LINEST VARS'!$L$60*(0.5^2)+'LINEST VARS'!$K$60*($CX92^2)+'LINEST VARS'!$J$60*(8*8)+'LINEST VARS'!$I$60*(8*$DA$80)+'LINEST VARS'!$H$60*(8*0.5)+'LINEST VARS'!$G$60*(8*$CX92)+'LINEST VARS'!$F$60*(8*$DA$80)+'LINEST VARS'!$E$60*(8*0.5)+'LINEST VARS'!$D$60*(8*$CX92)+'LINEST VARS'!$C$60*($DA$80*0.5)+'LINEST VARS'!$B$60*($DA$80*$CX92)+'LINEST VARS'!$A$60*(0.5*$CX92)</f>
        <v>43.588999999999999</v>
      </c>
      <c r="DB92" s="46">
        <f>'LINEST VARS'!$U$60+'LINEST VARS'!$T$60*(8)+'LINEST VARS'!$S$60*(8)+'LINEST VARS'!$R$60*($DB$80)+'LINEST VARS'!$Q$60*(0.5)+'LINEST VARS'!$P$60*($CX92)+'LINEST VARS'!$O$60*(8^2)+'LINEST VARS'!$N$60*(8^2)+'LINEST VARS'!$M$60*($DB$80^2)+'LINEST VARS'!$L$60*(0.5^2)+'LINEST VARS'!$K$60*($CX92^2)+'LINEST VARS'!$J$60*(8*8)+'LINEST VARS'!$I$60*(8*$DB$80)+'LINEST VARS'!$H$60*(8*0.5)+'LINEST VARS'!$G$60*(8*$CX92)+'LINEST VARS'!$F$60*(8*$DB$80)+'LINEST VARS'!$E$60*(8*0.5)+'LINEST VARS'!$D$60*(8*$CX92)+'LINEST VARS'!$C$60*($DB$80*0.5)+'LINEST VARS'!$B$60*($DB$80*$CX92)+'LINEST VARS'!$A$60*(0.5*$CX92)</f>
        <v>43.589000000000006</v>
      </c>
      <c r="DC92" s="46">
        <f>'LINEST VARS'!$U$60+'LINEST VARS'!$T$60*(8)+'LINEST VARS'!$S$60*(8)+'LINEST VARS'!$R$60*($DC$80)+'LINEST VARS'!$Q$60*(0.5)+'LINEST VARS'!$P$60*($CX92)+'LINEST VARS'!$O$60*(8^2)+'LINEST VARS'!$N$60*(8^2)+'LINEST VARS'!$M$60*($DC$80^2)+'LINEST VARS'!$L$60*(0.5^2)+'LINEST VARS'!$K$60*($CX92^2)+'LINEST VARS'!$J$60*(8*8)+'LINEST VARS'!$I$60*(8*$DC$80)+'LINEST VARS'!$H$60*(8*0.5)+'LINEST VARS'!$G$60*(8*$CX92)+'LINEST VARS'!$F$60*(8*$DC$80)+'LINEST VARS'!$E$60*(8*0.5)+'LINEST VARS'!$D$60*(8*$CX92)+'LINEST VARS'!$C$60*($DC$80*0.5)+'LINEST VARS'!$B$60*($DC$80*$CX92)+'LINEST VARS'!$A$60*(0.5*$CX92)</f>
        <v>43.588999999999999</v>
      </c>
      <c r="DD92" s="46">
        <f>'LINEST VARS'!$U$60+'LINEST VARS'!$T$60*(8)+'LINEST VARS'!$S$60*(8)+'LINEST VARS'!$R$60*($DD$80)+'LINEST VARS'!$Q$60*(0.5)+'LINEST VARS'!$P$60*($CX92)+'LINEST VARS'!$O$60*(8^2)+'LINEST VARS'!$N$60*(8^2)+'LINEST VARS'!$M$60*($DD$80^2)+'LINEST VARS'!$L$60*(0.5^2)+'LINEST VARS'!$K$60*($CX92^2)+'LINEST VARS'!$J$60*(8*8)+'LINEST VARS'!$I$60*(8*$DD$80)+'LINEST VARS'!$H$60*(8*0.5)+'LINEST VARS'!$G$60*(8*$CX92)+'LINEST VARS'!$F$60*(8*$DD$80)+'LINEST VARS'!$E$60*(8*0.5)+'LINEST VARS'!$D$60*(8*$CX92)+'LINEST VARS'!$C$60*($DD$80*0.5)+'LINEST VARS'!$B$60*($DD$80*$CX92)+'LINEST VARS'!$A$60*(0.5*$CX92)</f>
        <v>43.588999999999999</v>
      </c>
      <c r="DE92" s="46">
        <f>'LINEST VARS'!$U$60+'LINEST VARS'!$T$60*(8)+'LINEST VARS'!$S$60*(8)+'LINEST VARS'!$R$60*($DE$80)+'LINEST VARS'!$Q$60*(0.5)+'LINEST VARS'!$P$60*($CX92)+'LINEST VARS'!$O$60*(8^2)+'LINEST VARS'!$N$60*(8^2)+'LINEST VARS'!$M$60*($DE$80^2)+'LINEST VARS'!$L$60*(0.5^2)+'LINEST VARS'!$K$60*($CX92^2)+'LINEST VARS'!$J$60*(8*8)+'LINEST VARS'!$I$60*(8*$DE$80)+'LINEST VARS'!$H$60*(8*0.5)+'LINEST VARS'!$G$60*(8*$CX92)+'LINEST VARS'!$F$60*(8*$DE$80)+'LINEST VARS'!$E$60*(8*0.5)+'LINEST VARS'!$D$60*(8*$CX92)+'LINEST VARS'!$C$60*($DE$80*0.5)+'LINEST VARS'!$B$60*($DE$80*$CX92)+'LINEST VARS'!$A$60*(0.5*$CX92)</f>
        <v>43.588999999999999</v>
      </c>
      <c r="DF92" s="46">
        <f>'LINEST VARS'!$U$60+'LINEST VARS'!$T$60*(8)+'LINEST VARS'!$S$60*(8)+'LINEST VARS'!$R$60*($DF$80)+'LINEST VARS'!$Q$60*(0.5)+'LINEST VARS'!$P$60*($CX92)+'LINEST VARS'!$O$60*(8^2)+'LINEST VARS'!$N$60*(8^2)+'LINEST VARS'!$M$60*($DF$80^2)+'LINEST VARS'!$L$60*(0.5^2)+'LINEST VARS'!$K$60*($CX92^2)+'LINEST VARS'!$J$60*(8*8)+'LINEST VARS'!$I$60*(8*$DF$80)+'LINEST VARS'!$H$60*(8*0.5)+'LINEST VARS'!$G$60*(8*$CX92)+'LINEST VARS'!$F$60*(8*$DF$80)+'LINEST VARS'!$E$60*(8*0.5)+'LINEST VARS'!$D$60*(8*$CX92)+'LINEST VARS'!$C$60*($DF$80*0.5)+'LINEST VARS'!$B$60*($DF$80*$CX92)+'LINEST VARS'!$A$60*(0.5*$CX92)</f>
        <v>43.588999999999999</v>
      </c>
      <c r="DG92" s="46">
        <f>'LINEST VARS'!$U$60+'LINEST VARS'!$T$60*(8)+'LINEST VARS'!$S$60*(8)+'LINEST VARS'!$R$60*($DG$80)+'LINEST VARS'!$Q$60*(0.5)+'LINEST VARS'!$P$60*($CX92)+'LINEST VARS'!$O$60*(8^2)+'LINEST VARS'!$N$60*(8^2)+'LINEST VARS'!$M$60*($DG$80^2)+'LINEST VARS'!$L$60*(0.5^2)+'LINEST VARS'!$K$60*($CX92^2)+'LINEST VARS'!$J$60*(8*8)+'LINEST VARS'!$I$60*(8*$DG$80)+'LINEST VARS'!$H$60*(8*0.5)+'LINEST VARS'!$G$60*(8*$CX92)+'LINEST VARS'!$F$60*(8*$DG$80)+'LINEST VARS'!$E$60*(8*0.5)+'LINEST VARS'!$D$60*(8*$CX92)+'LINEST VARS'!$C$60*($DG$80*0.5)+'LINEST VARS'!$B$60*($DG$80*$CX92)+'LINEST VARS'!$A$60*(0.5*$CX92)</f>
        <v>43.588999999999999</v>
      </c>
      <c r="DH92" s="46">
        <f>'LINEST VARS'!$U$60+'LINEST VARS'!$T$60*(8)+'LINEST VARS'!$S$60*(8)+'LINEST VARS'!$R$60*($DH$80)+'LINEST VARS'!$Q$60*(0.5)+'LINEST VARS'!$P$60*($CX92)+'LINEST VARS'!$O$60*(8^2)+'LINEST VARS'!$N$60*(8^2)+'LINEST VARS'!$M$60*($DH$80^2)+'LINEST VARS'!$L$60*(0.5^2)+'LINEST VARS'!$K$60*($CX92^2)+'LINEST VARS'!$J$60*(8*8)+'LINEST VARS'!$I$60*(8*$DH$80)+'LINEST VARS'!$H$60*(8*0.5)+'LINEST VARS'!$G$60*(8*$CX92)+'LINEST VARS'!$F$60*(8*$DH$80)+'LINEST VARS'!$E$60*(8*0.5)+'LINEST VARS'!$D$60*(8*$CX92)+'LINEST VARS'!$C$60*($DH$80*0.5)+'LINEST VARS'!$B$60*($DH$80*$CX92)+'LINEST VARS'!$A$60*(0.5*$CX92)</f>
        <v>43.588999999999999</v>
      </c>
      <c r="DI92" s="46">
        <f>'LINEST VARS'!$U$60+'LINEST VARS'!$T$60*(8)+'LINEST VARS'!$S$60*(8)+'LINEST VARS'!$R$60*($DI$80)+'LINEST VARS'!$Q$60*(0.5)+'LINEST VARS'!$P$60*($CX92)+'LINEST VARS'!$O$60*(8^2)+'LINEST VARS'!$N$60*(8^2)+'LINEST VARS'!$M$60*($DI$80^2)+'LINEST VARS'!$L$60*(0.5^2)+'LINEST VARS'!$K$60*($CX92^2)+'LINEST VARS'!$J$60*(8*8)+'LINEST VARS'!$I$60*(8*$DI$80)+'LINEST VARS'!$H$60*(8*0.5)+'LINEST VARS'!$G$60*(8*$CX92)+'LINEST VARS'!$F$60*(8*$DI$80)+'LINEST VARS'!$E$60*(8*0.5)+'LINEST VARS'!$D$60*(8*$CX92)+'LINEST VARS'!$C$60*($DI$80*0.5)+'LINEST VARS'!$B$60*($DI$80*$CX92)+'LINEST VARS'!$A$60*(0.5*$CX92)</f>
        <v>43.589000000000006</v>
      </c>
      <c r="DJ92" s="46">
        <f>'LINEST VARS'!$U$60+'LINEST VARS'!$T$60*(8)+'LINEST VARS'!$S$60*(8)+'LINEST VARS'!$R$60*($DJ$80)+'LINEST VARS'!$Q$60*(0.5)+'LINEST VARS'!$P$60*($CX92)+'LINEST VARS'!$O$60*(8^2)+'LINEST VARS'!$N$60*(8^2)+'LINEST VARS'!$M$60*($DJ$80^2)+'LINEST VARS'!$L$60*(0.5^2)+'LINEST VARS'!$K$60*($CX92^2)+'LINEST VARS'!$J$60*(8*8)+'LINEST VARS'!$I$60*(8*$DJ$80)+'LINEST VARS'!$H$60*(8*0.5)+'LINEST VARS'!$G$60*(8*$CX92)+'LINEST VARS'!$F$60*(8*$DJ$80)+'LINEST VARS'!$E$60*(8*0.5)+'LINEST VARS'!$D$60*(8*$CX92)+'LINEST VARS'!$C$60*($DJ$80*0.5)+'LINEST VARS'!$B$60*($DJ$80*$CX92)+'LINEST VARS'!$A$60*(0.5*$CX92)</f>
        <v>43.588999999999999</v>
      </c>
      <c r="DK92" s="46">
        <f>'LINEST VARS'!$U$60+'LINEST VARS'!$T$60*(8)+'LINEST VARS'!$S$60*(8)+'LINEST VARS'!$R$60*($DK$80)+'LINEST VARS'!$Q$60*(0.5)+'LINEST VARS'!$P$60*($CX92)+'LINEST VARS'!$O$60*(8^2)+'LINEST VARS'!$N$60*(8^2)+'LINEST VARS'!$M$60*($DK$80^2)+'LINEST VARS'!$L$60*(0.5^2)+'LINEST VARS'!$K$60*($CX92^2)+'LINEST VARS'!$J$60*(8*8)+'LINEST VARS'!$I$60*(8*$DK$80)+'LINEST VARS'!$H$60*(8*0.5)+'LINEST VARS'!$G$60*(8*$CX92)+'LINEST VARS'!$F$60*(8*$DK$80)+'LINEST VARS'!$E$60*(8*0.5)+'LINEST VARS'!$D$60*(8*$CX92)+'LINEST VARS'!$C$60*($DK$80*0.5)+'LINEST VARS'!$B$60*($DK$80*$CX92)+'LINEST VARS'!$A$60*(0.5*$CX92)</f>
        <v>43.588999999999999</v>
      </c>
      <c r="DL92" s="46">
        <f>'LINEST VARS'!$U$60+'LINEST VARS'!$T$60*(8)+'LINEST VARS'!$S$60*(8)+'LINEST VARS'!$R$60*($DL$80)+'LINEST VARS'!$Q$60*(0.5)+'LINEST VARS'!$P$60*($CX92)+'LINEST VARS'!$O$60*(8^2)+'LINEST VARS'!$N$60*(8^2)+'LINEST VARS'!$M$60*($DL$80^2)+'LINEST VARS'!$L$60*(0.5^2)+'LINEST VARS'!$K$60*($CX92^2)+'LINEST VARS'!$J$60*(8*8)+'LINEST VARS'!$I$60*(8*$DL$80)+'LINEST VARS'!$H$60*(8*0.5)+'LINEST VARS'!$G$60*(8*$CX92)+'LINEST VARS'!$F$60*(8*$DL$80)+'LINEST VARS'!$E$60*(8*0.5)+'LINEST VARS'!$D$60*(8*$CX92)+'LINEST VARS'!$C$60*($DL$80*0.5)+'LINEST VARS'!$B$60*($DL$80*$CX92)+'LINEST VARS'!$A$60*(0.5*$CX92)</f>
        <v>43.588999999999999</v>
      </c>
      <c r="DM92" s="46">
        <f>'LINEST VARS'!$U$60+'LINEST VARS'!$T$60*(8)+'LINEST VARS'!$S$60*(8)+'LINEST VARS'!$R$60*($DM$80)+'LINEST VARS'!$Q$60*(0.5)+'LINEST VARS'!$P$60*($CX92)+'LINEST VARS'!$O$60*(8^2)+'LINEST VARS'!$N$60*(8^2)+'LINEST VARS'!$M$60*($DM$80^2)+'LINEST VARS'!$L$60*(0.5^2)+'LINEST VARS'!$K$60*($CX92^2)+'LINEST VARS'!$J$60*(8*8)+'LINEST VARS'!$I$60*(8*$DM$80)+'LINEST VARS'!$H$60*(8*0.5)+'LINEST VARS'!$G$60*(8*$CX92)+'LINEST VARS'!$F$60*(8*$DM$80)+'LINEST VARS'!$E$60*(8*0.5)+'LINEST VARS'!$D$60*(8*$CX92)+'LINEST VARS'!$C$60*($DM$80*0.5)+'LINEST VARS'!$B$60*($DM$80*$CX92)+'LINEST VARS'!$A$60*(0.5*$CX92)</f>
        <v>43.588999999999999</v>
      </c>
      <c r="DN92" s="46">
        <f>'LINEST VARS'!$U$60+'LINEST VARS'!$T$60*(8)+'LINEST VARS'!$S$60*(8)+'LINEST VARS'!$R$60*($DN$80)+'LINEST VARS'!$Q$60*(0.5)+'LINEST VARS'!$P$60*($CX92)+'LINEST VARS'!$O$60*(8^2)+'LINEST VARS'!$N$60*(8^2)+'LINEST VARS'!$M$60*($DN$80^2)+'LINEST VARS'!$L$60*(0.5^2)+'LINEST VARS'!$K$60*($CX92^2)+'LINEST VARS'!$J$60*(8*8)+'LINEST VARS'!$I$60*(8*$DN$80)+'LINEST VARS'!$H$60*(8*0.5)+'LINEST VARS'!$G$60*(8*$CX92)+'LINEST VARS'!$F$60*(8*$DN$80)+'LINEST VARS'!$E$60*(8*0.5)+'LINEST VARS'!$D$60*(8*$CX92)+'LINEST VARS'!$C$60*($DN$80*0.5)+'LINEST VARS'!$B$60*($DN$80*$CX92)+'LINEST VARS'!$A$60*(0.5*$CX92)</f>
        <v>43.588999999999999</v>
      </c>
      <c r="DO92" s="46">
        <f>'LINEST VARS'!$U$60+'LINEST VARS'!$T$60*(8)+'LINEST VARS'!$S$60*(8)+'LINEST VARS'!$R$60*($DO$80)+'LINEST VARS'!$Q$60*(0.5)+'LINEST VARS'!$P$60*($CX92)+'LINEST VARS'!$O$60*(8^2)+'LINEST VARS'!$N$60*(8^2)+'LINEST VARS'!$M$60*($DO$80^2)+'LINEST VARS'!$L$60*(0.5^2)+'LINEST VARS'!$K$60*($CX92^2)+'LINEST VARS'!$J$60*(8*8)+'LINEST VARS'!$I$60*(8*$DO$80)+'LINEST VARS'!$H$60*(8*0.5)+'LINEST VARS'!$G$60*(8*$CX92)+'LINEST VARS'!$F$60*(8*$DO$80)+'LINEST VARS'!$E$60*(8*0.5)+'LINEST VARS'!$D$60*(8*$CX92)+'LINEST VARS'!$C$60*($DO$80*0.5)+'LINEST VARS'!$B$60*($DO$80*$CX92)+'LINEST VARS'!$A$60*(0.5*$CX92)</f>
        <v>43.588999999999999</v>
      </c>
      <c r="DP92" s="46">
        <f>'LINEST VARS'!$U$60+'LINEST VARS'!$T$60*(8)+'LINEST VARS'!$S$60*(8)+'LINEST VARS'!$R$60*($DP$80)+'LINEST VARS'!$Q$60*(0.5)+'LINEST VARS'!$P$60*($CX92)+'LINEST VARS'!$O$60*(8^2)+'LINEST VARS'!$N$60*(8^2)+'LINEST VARS'!$M$60*($DP$80^2)+'LINEST VARS'!$L$60*(0.5^2)+'LINEST VARS'!$K$60*($CX92^2)+'LINEST VARS'!$J$60*(8*8)+'LINEST VARS'!$I$60*(8*$DP$80)+'LINEST VARS'!$H$60*(8*0.5)+'LINEST VARS'!$G$60*(8*$CX92)+'LINEST VARS'!$F$60*(8*$DP$80)+'LINEST VARS'!$E$60*(8*0.5)+'LINEST VARS'!$D$60*(8*$CX92)+'LINEST VARS'!$C$60*($DP$80*0.5)+'LINEST VARS'!$B$60*($DP$80*$CX92)+'LINEST VARS'!$A$60*(0.5*$CX92)</f>
        <v>43.589000000000006</v>
      </c>
      <c r="DQ92" s="46">
        <f>'LINEST VARS'!$U$60+'LINEST VARS'!$T$60*(8)+'LINEST VARS'!$S$60*(8)+'LINEST VARS'!$R$60*($DQ$80)+'LINEST VARS'!$Q$60*(0.5)+'LINEST VARS'!$P$60*($CX92)+'LINEST VARS'!$O$60*(8^2)+'LINEST VARS'!$N$60*(8^2)+'LINEST VARS'!$M$60*($DQ$80^2)+'LINEST VARS'!$L$60*(0.5^2)+'LINEST VARS'!$K$60*($CX92^2)+'LINEST VARS'!$J$60*(8*8)+'LINEST VARS'!$I$60*(8*$DQ$80)+'LINEST VARS'!$H$60*(8*0.5)+'LINEST VARS'!$G$60*(8*$CX92)+'LINEST VARS'!$F$60*(8*$DQ$80)+'LINEST VARS'!$E$60*(8*0.5)+'LINEST VARS'!$D$60*(8*$CX92)+'LINEST VARS'!$C$60*($DQ$80*0.5)+'LINEST VARS'!$B$60*($DQ$80*$CX92)+'LINEST VARS'!$A$60*(0.5*$CX92)</f>
        <v>43.588999999999999</v>
      </c>
      <c r="DR92" s="46">
        <f>'LINEST VARS'!$U$60+'LINEST VARS'!$T$60*(8)+'LINEST VARS'!$S$60*(8)+'LINEST VARS'!$R$60*($DR$80)+'LINEST VARS'!$Q$60*(0.5)+'LINEST VARS'!$P$60*($CX92)+'LINEST VARS'!$O$60*(8^2)+'LINEST VARS'!$N$60*(8^2)+'LINEST VARS'!$M$60*($DR$80^2)+'LINEST VARS'!$L$60*(0.5^2)+'LINEST VARS'!$K$60*($CX92^2)+'LINEST VARS'!$J$60*(8*8)+'LINEST VARS'!$I$60*(8*$DR$80)+'LINEST VARS'!$H$60*(8*0.5)+'LINEST VARS'!$G$60*(8*$CX92)+'LINEST VARS'!$F$60*(8*$DR$80)+'LINEST VARS'!$E$60*(8*0.5)+'LINEST VARS'!$D$60*(8*$CX92)+'LINEST VARS'!$C$60*($DR$80*0.5)+'LINEST VARS'!$B$60*($DR$80*$CX92)+'LINEST VARS'!$A$60*(0.5*$CX92)</f>
        <v>43.588999999999999</v>
      </c>
      <c r="DS92" s="47">
        <f>'LINEST VARS'!$U$60+'LINEST VARS'!$T$60*(8)+'LINEST VARS'!$S$60*(8)+'LINEST VARS'!$R$60*($DS$80)+'LINEST VARS'!$Q$60*(0.5)+'LINEST VARS'!$P$60*($CX92)+'LINEST VARS'!$O$60*(8^2)+'LINEST VARS'!$N$60*(8^2)+'LINEST VARS'!$M$60*($DS$80^2)+'LINEST VARS'!$L$60*(0.5^2)+'LINEST VARS'!$K$60*($CX92^2)+'LINEST VARS'!$J$60*(8*8)+'LINEST VARS'!$I$60*(8*$DS$80)+'LINEST VARS'!$H$60*(8*0.5)+'LINEST VARS'!$G$60*(8*$CX92)+'LINEST VARS'!$F$60*(8*$DS$80)+'LINEST VARS'!$E$60*(8*0.5)+'LINEST VARS'!$D$60*(8*$CX92)+'LINEST VARS'!$C$60*($DS$80*0.5)+'LINEST VARS'!$B$60*($DS$80*$CX92)+'LINEST VARS'!$A$60*(0.5*$CX92)</f>
        <v>43.589000000000006</v>
      </c>
      <c r="DV92" s="45">
        <v>14.294499999999999</v>
      </c>
      <c r="DW92" s="55">
        <f>'LINEST VARS'!$U$62+'LINEST VARS'!$T$62*(8)+'LINEST VARS'!$S$62*(8)+'LINEST VARS'!$R$62*($DW$80)+'LINEST VARS'!$Q$62*(0.5)+'LINEST VARS'!$P$62*($DV92)+'LINEST VARS'!$O$62*(8^2)+'LINEST VARS'!$N$62*(8^2)+'LINEST VARS'!$M$62*($DW$80^2)+'LINEST VARS'!$L$62*(0.5^2)+'LINEST VARS'!$K$62*($DV92^2)+'LINEST VARS'!$J$62*(8*8)+'LINEST VARS'!$I$62*(8*$DW$80)+'LINEST VARS'!$H$62*(8*0.5)+'LINEST VARS'!$G$62*(8*$DV92)+'LINEST VARS'!$F$62*(8*$DW$80)+'LINEST VARS'!$E$62*(8*0.5)+'LINEST VARS'!$D$62*(8*$DV92)+'LINEST VARS'!$C$62*($DW$80*0.5)+'LINEST VARS'!$B$62*($DW$80*$DV92)+'LINEST VARS'!$A$62*(0.5*$DV92)</f>
        <v>349.49999999999994</v>
      </c>
      <c r="DX92" s="55">
        <f>'LINEST VARS'!$U$62+'LINEST VARS'!$T$62*(8)+'LINEST VARS'!$S$62*(8)+'LINEST VARS'!$R$62*($DX$80)+'LINEST VARS'!$Q$62*(0.5)+'LINEST VARS'!$P$62*($DV92)+'LINEST VARS'!$O$62*(8^2)+'LINEST VARS'!$N$62*(8^2)+'LINEST VARS'!$M$62*($DX$80^2)+'LINEST VARS'!$L$62*(0.5^2)+'LINEST VARS'!$K$62*($DV92^2)+'LINEST VARS'!$J$62*(8*8)+'LINEST VARS'!$I$62*(8*$DX$80)+'LINEST VARS'!$H$62*(8*0.5)+'LINEST VARS'!$G$62*(8*$DV92)+'LINEST VARS'!$F$62*(8*$DX$80)+'LINEST VARS'!$E$62*(8*0.5)+'LINEST VARS'!$D$62*(8*$DV92)+'LINEST VARS'!$C$62*($DX$80*0.5)+'LINEST VARS'!$B$62*($DX$80*$DV92)+'LINEST VARS'!$A$62*(0.5*$DV92)</f>
        <v>348.7</v>
      </c>
      <c r="DY92" s="55">
        <f>'LINEST VARS'!$U$62+'LINEST VARS'!$T$62*(8)+'LINEST VARS'!$S$62*(8)+'LINEST VARS'!$R$62*($DY$80)+'LINEST VARS'!$Q$62*(0.5)+'LINEST VARS'!$P$62*($DV92)+'LINEST VARS'!$O$62*(8^2)+'LINEST VARS'!$N$62*(8^2)+'LINEST VARS'!$M$62*($DY$80^2)+'LINEST VARS'!$L$62*(0.5^2)+'LINEST VARS'!$K$62*($DV92^2)+'LINEST VARS'!$J$62*(8*8)+'LINEST VARS'!$I$62*(8*$DY$80)+'LINEST VARS'!$H$62*(8*0.5)+'LINEST VARS'!$G$62*(8*$DV92)+'LINEST VARS'!$F$62*(8*$DY$80)+'LINEST VARS'!$E$62*(8*0.5)+'LINEST VARS'!$D$62*(8*$DV92)+'LINEST VARS'!$C$62*($DY$80*0.5)+'LINEST VARS'!$B$62*($DY$80*$DV92)+'LINEST VARS'!$A$62*(0.5*$DV92)</f>
        <v>346.2999999999999</v>
      </c>
      <c r="DZ92" s="55">
        <f>'LINEST VARS'!$U$62+'LINEST VARS'!$T$62*(8)+'LINEST VARS'!$S$62*(8)+'LINEST VARS'!$R$62*($DZ$80)+'LINEST VARS'!$Q$62*(0.5)+'LINEST VARS'!$P$62*($DV92)+'LINEST VARS'!$O$62*(8^2)+'LINEST VARS'!$N$62*(8^2)+'LINEST VARS'!$M$62*($DZ$80^2)+'LINEST VARS'!$L$62*(0.5^2)+'LINEST VARS'!$K$62*($DV92^2)+'LINEST VARS'!$J$62*(8*8)+'LINEST VARS'!$I$62*(8*$DZ$80)+'LINEST VARS'!$H$62*(8*0.5)+'LINEST VARS'!$G$62*(8*$DV92)+'LINEST VARS'!$F$62*(8*$DZ$80)+'LINEST VARS'!$E$62*(8*0.5)+'LINEST VARS'!$D$62*(8*$DV92)+'LINEST VARS'!$C$62*($DZ$80*0.5)+'LINEST VARS'!$B$62*($DZ$80*$DV92)+'LINEST VARS'!$A$62*(0.5*$DV92)</f>
        <v>342.29999999999995</v>
      </c>
      <c r="EA92" s="55">
        <f>'LINEST VARS'!$U$62+'LINEST VARS'!$T$62*(8)+'LINEST VARS'!$S$62*(8)+'LINEST VARS'!$R$62*($EA$80)+'LINEST VARS'!$Q$62*(0.5)+'LINEST VARS'!$P$62*($DV92)+'LINEST VARS'!$O$62*(8^2)+'LINEST VARS'!$N$62*(8^2)+'LINEST VARS'!$M$62*($EA$80^2)+'LINEST VARS'!$L$62*(0.5^2)+'LINEST VARS'!$K$62*($DV92^2)+'LINEST VARS'!$J$62*(8*8)+'LINEST VARS'!$I$62*(8*$EA$80)+'LINEST VARS'!$H$62*(8*0.5)+'LINEST VARS'!$G$62*(8*$DV92)+'LINEST VARS'!$F$62*(8*$EA$80)+'LINEST VARS'!$E$62*(8*0.5)+'LINEST VARS'!$D$62*(8*$DV92)+'LINEST VARS'!$C$62*($EA$80*0.5)+'LINEST VARS'!$B$62*($EA$80*$DV92)+'LINEST VARS'!$A$62*(0.5*$DV92)</f>
        <v>336.7</v>
      </c>
      <c r="EB92" s="55">
        <f>'LINEST VARS'!$U$62+'LINEST VARS'!$T$62*(8)+'LINEST VARS'!$S$62*(8)+'LINEST VARS'!$R$62*($EB$80)+'LINEST VARS'!$Q$62*(0.5)+'LINEST VARS'!$P$62*($DV92)+'LINEST VARS'!$O$62*(8^2)+'LINEST VARS'!$N$62*(8^2)+'LINEST VARS'!$M$62*($EB$80^2)+'LINEST VARS'!$L$62*(0.5^2)+'LINEST VARS'!$K$62*($DV92^2)+'LINEST VARS'!$J$62*(8*8)+'LINEST VARS'!$I$62*(8*$EB$80)+'LINEST VARS'!$H$62*(8*0.5)+'LINEST VARS'!$G$62*(8*$DV92)+'LINEST VARS'!$F$62*(8*$EB$80)+'LINEST VARS'!$E$62*(8*0.5)+'LINEST VARS'!$D$62*(8*$DV92)+'LINEST VARS'!$C$62*($EB$80*0.5)+'LINEST VARS'!$B$62*($EB$80*$DV92)+'LINEST VARS'!$A$62*(0.5*$DV92)</f>
        <v>329.50000000000006</v>
      </c>
      <c r="EC92" s="55">
        <f>'LINEST VARS'!$U$62+'LINEST VARS'!$T$62*(8)+'LINEST VARS'!$S$62*(8)+'LINEST VARS'!$R$62*($EC$80)+'LINEST VARS'!$Q$62*(0.5)+'LINEST VARS'!$P$62*($DV92)+'LINEST VARS'!$O$62*(8^2)+'LINEST VARS'!$N$62*(8^2)+'LINEST VARS'!$M$62*($EC$80^2)+'LINEST VARS'!$L$62*(0.5^2)+'LINEST VARS'!$K$62*($DV92^2)+'LINEST VARS'!$J$62*(8*8)+'LINEST VARS'!$I$62*(8*$EC$80)+'LINEST VARS'!$H$62*(8*0.5)+'LINEST VARS'!$G$62*(8*$DV92)+'LINEST VARS'!$F$62*(8*$EC$80)+'LINEST VARS'!$E$62*(8*0.5)+'LINEST VARS'!$D$62*(8*$DV92)+'LINEST VARS'!$C$62*($EC$80*0.5)+'LINEST VARS'!$B$62*($EC$80*$DV92)+'LINEST VARS'!$A$62*(0.5*$DV92)</f>
        <v>320.7</v>
      </c>
      <c r="ED92" s="55">
        <f>'LINEST VARS'!$U$62+'LINEST VARS'!$T$62*(8)+'LINEST VARS'!$S$62*(8)+'LINEST VARS'!$R$62*($ED$80)+'LINEST VARS'!$Q$62*(0.5)+'LINEST VARS'!$P$62*($DV92)+'LINEST VARS'!$O$62*(8^2)+'LINEST VARS'!$N$62*(8^2)+'LINEST VARS'!$M$62*($ED$80^2)+'LINEST VARS'!$L$62*(0.5^2)+'LINEST VARS'!$K$62*($DV92^2)+'LINEST VARS'!$J$62*(8*8)+'LINEST VARS'!$I$62*(8*$ED$80)+'LINEST VARS'!$H$62*(8*0.5)+'LINEST VARS'!$G$62*(8*$DV92)+'LINEST VARS'!$F$62*(8*$ED$80)+'LINEST VARS'!$E$62*(8*0.5)+'LINEST VARS'!$D$62*(8*$DV92)+'LINEST VARS'!$C$62*($ED$80*0.5)+'LINEST VARS'!$B$62*($ED$80*$DV92)+'LINEST VARS'!$A$62*(0.5*$DV92)</f>
        <v>310.29999999999995</v>
      </c>
      <c r="EE92" s="55">
        <f>'LINEST VARS'!$U$62+'LINEST VARS'!$T$62*(8)+'LINEST VARS'!$S$62*(8)+'LINEST VARS'!$R$62*($EE$80)+'LINEST VARS'!$Q$62*(0.5)+'LINEST VARS'!$P$62*($DV92)+'LINEST VARS'!$O$62*(8^2)+'LINEST VARS'!$N$62*(8^2)+'LINEST VARS'!$M$62*($EE$80^2)+'LINEST VARS'!$L$62*(0.5^2)+'LINEST VARS'!$K$62*($DV92^2)+'LINEST VARS'!$J$62*(8*8)+'LINEST VARS'!$I$62*(8*$EE$80)+'LINEST VARS'!$H$62*(8*0.5)+'LINEST VARS'!$G$62*(8*$DV92)+'LINEST VARS'!$F$62*(8*$EE$80)+'LINEST VARS'!$E$62*(8*0.5)+'LINEST VARS'!$D$62*(8*$DV92)+'LINEST VARS'!$C$62*($EE$80*0.5)+'LINEST VARS'!$B$62*($EE$80*$DV92)+'LINEST VARS'!$A$62*(0.5*$DV92)</f>
        <v>298.3</v>
      </c>
      <c r="EF92" s="55">
        <f>'LINEST VARS'!$U$62+'LINEST VARS'!$T$62*(8)+'LINEST VARS'!$S$62*(8)+'LINEST VARS'!$R$62*($EF$80)+'LINEST VARS'!$Q$62*(0.5)+'LINEST VARS'!$P$62*($DV92)+'LINEST VARS'!$O$62*(8^2)+'LINEST VARS'!$N$62*(8^2)+'LINEST VARS'!$M$62*($EF$80^2)+'LINEST VARS'!$L$62*(0.5^2)+'LINEST VARS'!$K$62*($DV92^2)+'LINEST VARS'!$J$62*(8*8)+'LINEST VARS'!$I$62*(8*$EF$80)+'LINEST VARS'!$H$62*(8*0.5)+'LINEST VARS'!$G$62*(8*$DV92)+'LINEST VARS'!$F$62*(8*$EF$80)+'LINEST VARS'!$E$62*(8*0.5)+'LINEST VARS'!$D$62*(8*$DV92)+'LINEST VARS'!$C$62*($EF$80*0.5)+'LINEST VARS'!$B$62*($EF$80*$DV92)+'LINEST VARS'!$A$62*(0.5*$DV92)</f>
        <v>284.7</v>
      </c>
      <c r="EG92" s="55">
        <f>'LINEST VARS'!$U$62+'LINEST VARS'!$T$62*(8)+'LINEST VARS'!$S$62*(8)+'LINEST VARS'!$R$62*($EG$80)+'LINEST VARS'!$Q$62*(0.5)+'LINEST VARS'!$P$62*($DV92)+'LINEST VARS'!$O$62*(8^2)+'LINEST VARS'!$N$62*(8^2)+'LINEST VARS'!$M$62*($EG$80^2)+'LINEST VARS'!$L$62*(0.5^2)+'LINEST VARS'!$K$62*($DV92^2)+'LINEST VARS'!$J$62*(8*8)+'LINEST VARS'!$I$62*(8*$EG$80)+'LINEST VARS'!$H$62*(8*0.5)+'LINEST VARS'!$G$62*(8*$DV92)+'LINEST VARS'!$F$62*(8*$EG$80)+'LINEST VARS'!$E$62*(8*0.5)+'LINEST VARS'!$D$62*(8*$DV92)+'LINEST VARS'!$C$62*($EG$80*0.5)+'LINEST VARS'!$B$62*($EG$80*$DV92)+'LINEST VARS'!$A$62*(0.5*$DV92)</f>
        <v>269.5</v>
      </c>
      <c r="EH92" s="55">
        <f>'LINEST VARS'!$U$62+'LINEST VARS'!$T$62*(8)+'LINEST VARS'!$S$62*(8)+'LINEST VARS'!$R$62*($EH$80)+'LINEST VARS'!$Q$62*(0.5)+'LINEST VARS'!$P$62*($DV92)+'LINEST VARS'!$O$62*(8^2)+'LINEST VARS'!$N$62*(8^2)+'LINEST VARS'!$M$62*($EH$80^2)+'LINEST VARS'!$L$62*(0.5^2)+'LINEST VARS'!$K$62*($DV92^2)+'LINEST VARS'!$J$62*(8*8)+'LINEST VARS'!$I$62*(8*$EH$80)+'LINEST VARS'!$H$62*(8*0.5)+'LINEST VARS'!$G$62*(8*$DV92)+'LINEST VARS'!$F$62*(8*$EH$80)+'LINEST VARS'!$E$62*(8*0.5)+'LINEST VARS'!$D$62*(8*$DV92)+'LINEST VARS'!$C$62*($EH$80*0.5)+'LINEST VARS'!$B$62*($EH$80*$DV92)+'LINEST VARS'!$A$62*(0.5*$DV92)</f>
        <v>252.70000000000005</v>
      </c>
      <c r="EI92" s="55">
        <f>'LINEST VARS'!$U$62+'LINEST VARS'!$T$62*(8)+'LINEST VARS'!$S$62*(8)+'LINEST VARS'!$R$62*($EI$80)+'LINEST VARS'!$Q$62*(0.5)+'LINEST VARS'!$P$62*($DV92)+'LINEST VARS'!$O$62*(8^2)+'LINEST VARS'!$N$62*(8^2)+'LINEST VARS'!$M$62*($EI$80^2)+'LINEST VARS'!$L$62*(0.5^2)+'LINEST VARS'!$K$62*($DV92^2)+'LINEST VARS'!$J$62*(8*8)+'LINEST VARS'!$I$62*(8*$EI$80)+'LINEST VARS'!$H$62*(8*0.5)+'LINEST VARS'!$G$62*(8*$DV92)+'LINEST VARS'!$F$62*(8*$EI$80)+'LINEST VARS'!$E$62*(8*0.5)+'LINEST VARS'!$D$62*(8*$DV92)+'LINEST VARS'!$C$62*($EI$80*0.5)+'LINEST VARS'!$B$62*($EI$80*$DV92)+'LINEST VARS'!$A$62*(0.5*$DV92)</f>
        <v>234.3000000000001</v>
      </c>
      <c r="EJ92" s="55">
        <f>'LINEST VARS'!$U$62+'LINEST VARS'!$T$62*(8)+'LINEST VARS'!$S$62*(8)+'LINEST VARS'!$R$62*($EJ$80)+'LINEST VARS'!$Q$62*(0.5)+'LINEST VARS'!$P$62*($DV92)+'LINEST VARS'!$O$62*(8^2)+'LINEST VARS'!$N$62*(8^2)+'LINEST VARS'!$M$62*($EJ$80^2)+'LINEST VARS'!$L$62*(0.5^2)+'LINEST VARS'!$K$62*($DV92^2)+'LINEST VARS'!$J$62*(8*8)+'LINEST VARS'!$I$62*(8*$EJ$80)+'LINEST VARS'!$H$62*(8*0.5)+'LINEST VARS'!$G$62*(8*$DV92)+'LINEST VARS'!$F$62*(8*$EJ$80)+'LINEST VARS'!$E$62*(8*0.5)+'LINEST VARS'!$D$62*(8*$DV92)+'LINEST VARS'!$C$62*($EJ$80*0.5)+'LINEST VARS'!$B$62*($EJ$80*$DV92)+'LINEST VARS'!$A$62*(0.5*$DV92)</f>
        <v>214.30000000000004</v>
      </c>
      <c r="EK92" s="55">
        <f>'LINEST VARS'!$U$62+'LINEST VARS'!$T$62*(8)+'LINEST VARS'!$S$62*(8)+'LINEST VARS'!$R$62*($EK$80)+'LINEST VARS'!$Q$62*(0.5)+'LINEST VARS'!$P$62*($DV92)+'LINEST VARS'!$O$62*(8^2)+'LINEST VARS'!$N$62*(8^2)+'LINEST VARS'!$M$62*($EK$80^2)+'LINEST VARS'!$L$62*(0.5^2)+'LINEST VARS'!$K$62*($DV92^2)+'LINEST VARS'!$J$62*(8*8)+'LINEST VARS'!$I$62*(8*$EK$80)+'LINEST VARS'!$H$62*(8*0.5)+'LINEST VARS'!$G$62*(8*$DV92)+'LINEST VARS'!$F$62*(8*$EK$80)+'LINEST VARS'!$E$62*(8*0.5)+'LINEST VARS'!$D$62*(8*$DV92)+'LINEST VARS'!$C$62*($EK$80*0.5)+'LINEST VARS'!$B$62*($EK$80*$DV92)+'LINEST VARS'!$A$62*(0.5*$DV92)</f>
        <v>192.70000000000013</v>
      </c>
      <c r="EL92" s="55">
        <f>'LINEST VARS'!$U$62+'LINEST VARS'!$T$62*(8)+'LINEST VARS'!$S$62*(8)+'LINEST VARS'!$R$62*($EL$80)+'LINEST VARS'!$Q$62*(0.5)+'LINEST VARS'!$P$62*($DV92)+'LINEST VARS'!$O$62*(8^2)+'LINEST VARS'!$N$62*(8^2)+'LINEST VARS'!$M$62*($EL$80^2)+'LINEST VARS'!$L$62*(0.5^2)+'LINEST VARS'!$K$62*($DV92^2)+'LINEST VARS'!$J$62*(8*8)+'LINEST VARS'!$I$62*(8*$EL$80)+'LINEST VARS'!$H$62*(8*0.5)+'LINEST VARS'!$G$62*(8*$DV92)+'LINEST VARS'!$F$62*(8*$EL$80)+'LINEST VARS'!$E$62*(8*0.5)+'LINEST VARS'!$D$62*(8*$DV92)+'LINEST VARS'!$C$62*($EL$80*0.5)+'LINEST VARS'!$B$62*($EL$80*$DV92)+'LINEST VARS'!$A$62*(0.5*$DV92)</f>
        <v>169.50000000000011</v>
      </c>
      <c r="EM92" s="55">
        <f>'LINEST VARS'!$U$62+'LINEST VARS'!$T$62*(8)+'LINEST VARS'!$S$62*(8)+'LINEST VARS'!$R$62*($EM$80)+'LINEST VARS'!$Q$62*(0.5)+'LINEST VARS'!$P$62*($DV92)+'LINEST VARS'!$O$62*(8^2)+'LINEST VARS'!$N$62*(8^2)+'LINEST VARS'!$M$62*($EM$80^2)+'LINEST VARS'!$L$62*(0.5^2)+'LINEST VARS'!$K$62*($DV92^2)+'LINEST VARS'!$J$62*(8*8)+'LINEST VARS'!$I$62*(8*$EM$80)+'LINEST VARS'!$H$62*(8*0.5)+'LINEST VARS'!$G$62*(8*$DV92)+'LINEST VARS'!$F$62*(8*$EM$80)+'LINEST VARS'!$E$62*(8*0.5)+'LINEST VARS'!$D$62*(8*$DV92)+'LINEST VARS'!$C$62*($EM$80*0.5)+'LINEST VARS'!$B$62*($EM$80*$DV92)+'LINEST VARS'!$A$62*(0.5*$DV92)</f>
        <v>144.70000000000007</v>
      </c>
      <c r="EN92" s="55">
        <f>'LINEST VARS'!$U$62+'LINEST VARS'!$T$62*(8)+'LINEST VARS'!$S$62*(8)+'LINEST VARS'!$R$62*($EN$80)+'LINEST VARS'!$Q$62*(0.5)+'LINEST VARS'!$P$62*($DV92)+'LINEST VARS'!$O$62*(8^2)+'LINEST VARS'!$N$62*(8^2)+'LINEST VARS'!$M$62*($EN$80^2)+'LINEST VARS'!$L$62*(0.5^2)+'LINEST VARS'!$K$62*($DV92^2)+'LINEST VARS'!$J$62*(8*8)+'LINEST VARS'!$I$62*(8*$EN$80)+'LINEST VARS'!$H$62*(8*0.5)+'LINEST VARS'!$G$62*(8*$DV92)+'LINEST VARS'!$F$62*(8*$EN$80)+'LINEST VARS'!$E$62*(8*0.5)+'LINEST VARS'!$D$62*(8*$DV92)+'LINEST VARS'!$C$62*($EN$80*0.5)+'LINEST VARS'!$B$62*($EN$80*$DV92)+'LINEST VARS'!$A$62*(0.5*$DV92)</f>
        <v>118.30000000000013</v>
      </c>
      <c r="EO92" s="55">
        <f>'LINEST VARS'!$U$62+'LINEST VARS'!$T$62*(8)+'LINEST VARS'!$S$62*(8)+'LINEST VARS'!$R$62*($EO$80)+'LINEST VARS'!$Q$62*(0.5)+'LINEST VARS'!$P$62*($DV92)+'LINEST VARS'!$O$62*(8^2)+'LINEST VARS'!$N$62*(8^2)+'LINEST VARS'!$M$62*($EO$80^2)+'LINEST VARS'!$L$62*(0.5^2)+'LINEST VARS'!$K$62*($DV92^2)+'LINEST VARS'!$J$62*(8*8)+'LINEST VARS'!$I$62*(8*$EO$80)+'LINEST VARS'!$H$62*(8*0.5)+'LINEST VARS'!$G$62*(8*$DV92)+'LINEST VARS'!$F$62*(8*$EO$80)+'LINEST VARS'!$E$62*(8*0.5)+'LINEST VARS'!$D$62*(8*$DV92)+'LINEST VARS'!$C$62*($EO$80*0.5)+'LINEST VARS'!$B$62*($EO$80*$DV92)+'LINEST VARS'!$A$62*(0.5*$DV92)</f>
        <v>90.300000000000111</v>
      </c>
      <c r="EP92" s="55">
        <f>'LINEST VARS'!$U$62+'LINEST VARS'!$T$62*(8)+'LINEST VARS'!$S$62*(8)+'LINEST VARS'!$R$62*($EP$80)+'LINEST VARS'!$Q$62*(0.5)+'LINEST VARS'!$P$62*($DV92)+'LINEST VARS'!$O$62*(8^2)+'LINEST VARS'!$N$62*(8^2)+'LINEST VARS'!$M$62*($EP$80^2)+'LINEST VARS'!$L$62*(0.5^2)+'LINEST VARS'!$K$62*($DV92^2)+'LINEST VARS'!$J$62*(8*8)+'LINEST VARS'!$I$62*(8*$EP$80)+'LINEST VARS'!$H$62*(8*0.5)+'LINEST VARS'!$G$62*(8*$DV92)+'LINEST VARS'!$F$62*(8*$EP$80)+'LINEST VARS'!$E$62*(8*0.5)+'LINEST VARS'!$D$62*(8*$DV92)+'LINEST VARS'!$C$62*($EP$80*0.5)+'LINEST VARS'!$B$62*($EP$80*$DV92)+'LINEST VARS'!$A$62*(0.5*$DV92)</f>
        <v>60.700000000000159</v>
      </c>
      <c r="EQ92" s="56">
        <f>'LINEST VARS'!$U$62+'LINEST VARS'!$T$62*(8)+'LINEST VARS'!$S$62*(8)+'LINEST VARS'!$R$62*($EQ$80)+'LINEST VARS'!$Q$62*(0.5)+'LINEST VARS'!$P$62*($DV92)+'LINEST VARS'!$O$62*(8^2)+'LINEST VARS'!$N$62*(8^2)+'LINEST VARS'!$M$62*($EQ$80^2)+'LINEST VARS'!$L$62*(0.5^2)+'LINEST VARS'!$K$62*($DV92^2)+'LINEST VARS'!$J$62*(8*8)+'LINEST VARS'!$I$62*(8*$EQ$80)+'LINEST VARS'!$H$62*(8*0.5)+'LINEST VARS'!$G$62*(8*$DV92)+'LINEST VARS'!$F$62*(8*$EQ$80)+'LINEST VARS'!$E$62*(8*0.5)+'LINEST VARS'!$D$62*(8*$DV92)+'LINEST VARS'!$C$62*($EQ$80*0.5)+'LINEST VARS'!$B$62*($EQ$80*$DV92)+'LINEST VARS'!$A$62*(0.5*$DV92)</f>
        <v>29.500000000000203</v>
      </c>
    </row>
    <row r="93" spans="2:147" ht="15" customHeight="1" x14ac:dyDescent="0.25">
      <c r="B93" s="45">
        <v>8.1199999999999992</v>
      </c>
      <c r="C93" s="46">
        <f>'LINEST VARS'!$U$60+'LINEST VARS'!$T$60*($C$80)+'LINEST VARS'!$S$60*($B93)+'LINEST VARS'!$R$60*(4)+'LINEST VARS'!$Q$60*(0.5)+'LINEST VARS'!$P$60*(12.73)+'LINEST VARS'!$O$60*($C$80^2)+'LINEST VARS'!$N$60*($B93^2)+'LINEST VARS'!$M$60*(4^2)+'LINEST VARS'!$L$60*(0.5^2)+'LINEST VARS'!$K$60*(12.73^2)+'LINEST VARS'!$J$60*($C$80*$B93)+'LINEST VARS'!$I$60*($C$80*4)+'LINEST VARS'!$H$60*($C$80*0.5)+'LINEST VARS'!$G$60*($C$80*12.73)+'LINEST VARS'!$F$60*($B93*4)+'LINEST VARS'!$E$60*($B93*0.5)+'LINEST VARS'!$D$60*($B93*12.73)+'LINEST VARS'!$C$60*(4*0.5)+'LINEST VARS'!$B$60*(4*12.73)+'LINEST VARS'!$A$60*(0.5*12.73)</f>
        <v>40.460000000000015</v>
      </c>
      <c r="D93" s="46">
        <f>'LINEST VARS'!$U$60+'LINEST VARS'!$T$60*($D$80)+'LINEST VARS'!$S$60*($B93)+'LINEST VARS'!$R$60*(4)+'LINEST VARS'!$Q$60*(0.5)+'LINEST VARS'!$P$60*(12.73)+'LINEST VARS'!$O$60*($D$80^2)+'LINEST VARS'!$N$60*($B93^2)+'LINEST VARS'!$M$60*(4^2)+'LINEST VARS'!$L$60*(0.5^2)+'LINEST VARS'!$K$60*(12.73^2)+'LINEST VARS'!$J$60*($D$80*$B93)+'LINEST VARS'!$I$60*($D$80*4)+'LINEST VARS'!$H$60*($D$80*0.5)+'LINEST VARS'!$G$60*($D$80*12.73)+'LINEST VARS'!$F$60*($B93*4)+'LINEST VARS'!$E$60*($B93*0.5)+'LINEST VARS'!$D$60*($B93*12.73)+'LINEST VARS'!$C$60*(4*0.5)+'LINEST VARS'!$B$60*(4*12.73)+'LINEST VARS'!$A$60*(0.5*12.73)</f>
        <v>40.460000000000008</v>
      </c>
      <c r="E93" s="46">
        <f>'LINEST VARS'!$U$60+'LINEST VARS'!$T$60*($E$80)+'LINEST VARS'!$S$60*($B93)+'LINEST VARS'!$R$60*(4)+'LINEST VARS'!$Q$60*(0.5)+'LINEST VARS'!$P$60*(12.73)+'LINEST VARS'!$O$60*($E$80^2)+'LINEST VARS'!$N$60*($B93^2)+'LINEST VARS'!$M$60*(4^2)+'LINEST VARS'!$L$60*(0.5^2)+'LINEST VARS'!$K$60*(12.73^2)+'LINEST VARS'!$J$60*($E$80*$B93)+'LINEST VARS'!$I$60*($E$80*4)+'LINEST VARS'!$H$60*($E$80*0.5)+'LINEST VARS'!$G$60*($E$80*12.73)+'LINEST VARS'!$F$60*($B93*4)+'LINEST VARS'!$E$60*($B93*0.5)+'LINEST VARS'!$D$60*($B93*12.73)+'LINEST VARS'!$C$60*(4*0.5)+'LINEST VARS'!$B$60*(4*12.73)+'LINEST VARS'!$A$60*(0.5*12.73)</f>
        <v>40.460000000000008</v>
      </c>
      <c r="F93" s="46">
        <f>'LINEST VARS'!$U$60+'LINEST VARS'!$T$60*($F$80)+'LINEST VARS'!$S$60*($B93)+'LINEST VARS'!$R$60*(4)+'LINEST VARS'!$Q$60*(0.5)+'LINEST VARS'!$P$60*(12.73)+'LINEST VARS'!$O$60*($F$80^2)+'LINEST VARS'!$N$60*($B93^2)+'LINEST VARS'!$M$60*(4^2)+'LINEST VARS'!$L$60*(0.5^2)+'LINEST VARS'!$K$60*(12.73^2)+'LINEST VARS'!$J$60*($F$80*$B93)+'LINEST VARS'!$I$60*($F$80*4)+'LINEST VARS'!$H$60*($F$80*0.5)+'LINEST VARS'!$G$60*($F$80*12.73)+'LINEST VARS'!$F$60*($B93*4)+'LINEST VARS'!$E$60*($B93*0.5)+'LINEST VARS'!$D$60*($B93*12.73)+'LINEST VARS'!$C$60*(4*0.5)+'LINEST VARS'!$B$60*(4*12.73)+'LINEST VARS'!$A$60*(0.5*12.73)</f>
        <v>40.460000000000008</v>
      </c>
      <c r="G93" s="46">
        <f>'LINEST VARS'!$U$60+'LINEST VARS'!$T$60*($G$80)+'LINEST VARS'!$S$60*($B93)+'LINEST VARS'!$R$60*(4)+'LINEST VARS'!$Q$60*(0.5)+'LINEST VARS'!$P$60*(12.73)+'LINEST VARS'!$O$60*($G$80^2)+'LINEST VARS'!$N$60*($B93^2)+'LINEST VARS'!$M$60*(4^2)+'LINEST VARS'!$L$60*(0.5^2)+'LINEST VARS'!$K$60*(12.73^2)+'LINEST VARS'!$J$60*($G$80*$B93)+'LINEST VARS'!$I$60*($G$80*4)+'LINEST VARS'!$H$60*($G$80*0.5)+'LINEST VARS'!$G$60*($G$80*12.73)+'LINEST VARS'!$F$60*($B93*4)+'LINEST VARS'!$E$60*($B93*0.5)+'LINEST VARS'!$D$60*($B93*12.73)+'LINEST VARS'!$C$60*(4*0.5)+'LINEST VARS'!$B$60*(4*12.73)+'LINEST VARS'!$A$60*(0.5*12.73)</f>
        <v>40.460000000000008</v>
      </c>
      <c r="H93" s="46">
        <f>'LINEST VARS'!$U$60+'LINEST VARS'!$T$60*($H$80)+'LINEST VARS'!$S$60*($B93)+'LINEST VARS'!$R$60*(4)+'LINEST VARS'!$Q$60*(0.5)+'LINEST VARS'!$P$60*(12.73)+'LINEST VARS'!$O$60*($H$80^2)+'LINEST VARS'!$N$60*($B93^2)+'LINEST VARS'!$M$60*(4^2)+'LINEST VARS'!$L$60*(0.5^2)+'LINEST VARS'!$K$60*(12.73^2)+'LINEST VARS'!$J$60*($H$80*$B93)+'LINEST VARS'!$I$60*($H$80*4)+'LINEST VARS'!$H$60*($H$80*0.5)+'LINEST VARS'!$G$60*($H$80*12.73)+'LINEST VARS'!$F$60*($B93*4)+'LINEST VARS'!$E$60*($B93*0.5)+'LINEST VARS'!$D$60*($B93*12.73)+'LINEST VARS'!$C$60*(4*0.5)+'LINEST VARS'!$B$60*(4*12.73)+'LINEST VARS'!$A$60*(0.5*12.73)</f>
        <v>40.460000000000008</v>
      </c>
      <c r="I93" s="46">
        <f>'LINEST VARS'!$U$60+'LINEST VARS'!$T$60*($I$80)+'LINEST VARS'!$S$60*($B93)+'LINEST VARS'!$R$60*(4)+'LINEST VARS'!$Q$60*(0.5)+'LINEST VARS'!$P$60*(12.73)+'LINEST VARS'!$O$60*($I$80^2)+'LINEST VARS'!$N$60*($B93^2)+'LINEST VARS'!$M$60*(4^2)+'LINEST VARS'!$L$60*(0.5^2)+'LINEST VARS'!$K$60*(12.73^2)+'LINEST VARS'!$J$60*($I$80*$B93)+'LINEST VARS'!$I$60*($I$80*4)+'LINEST VARS'!$H$60*($I$80*0.5)+'LINEST VARS'!$G$60*($I$80*12.73)+'LINEST VARS'!$F$60*($B93*4)+'LINEST VARS'!$E$60*($B93*0.5)+'LINEST VARS'!$D$60*($B93*12.73)+'LINEST VARS'!$C$60*(4*0.5)+'LINEST VARS'!$B$60*(4*12.73)+'LINEST VARS'!$A$60*(0.5*12.73)</f>
        <v>40.460000000000008</v>
      </c>
      <c r="J93" s="46">
        <f>'LINEST VARS'!$U$60+'LINEST VARS'!$T$60*($J$80)+'LINEST VARS'!$S$60*($B93)+'LINEST VARS'!$R$60*(4)+'LINEST VARS'!$Q$60*(0.5)+'LINEST VARS'!$P$60*(12.73)+'LINEST VARS'!$O$60*($J$80^2)+'LINEST VARS'!$N$60*($B93^2)+'LINEST VARS'!$M$60*(4^2)+'LINEST VARS'!$L$60*(0.5^2)+'LINEST VARS'!$K$60*(12.73^2)+'LINEST VARS'!$J$60*($J$80*$B93)+'LINEST VARS'!$I$60*($J$80*4)+'LINEST VARS'!$H$60*($J$80*0.5)+'LINEST VARS'!$G$60*($J$80*12.73)+'LINEST VARS'!$F$60*($B93*4)+'LINEST VARS'!$E$60*($B93*0.5)+'LINEST VARS'!$D$60*($B93*12.73)+'LINEST VARS'!$C$60*(4*0.5)+'LINEST VARS'!$B$60*(4*12.73)+'LINEST VARS'!$A$60*(0.5*12.73)</f>
        <v>40.460000000000008</v>
      </c>
      <c r="K93" s="46">
        <f>'LINEST VARS'!$U$60+'LINEST VARS'!$T$60*($K$80)+'LINEST VARS'!$S$60*($B93)+'LINEST VARS'!$R$60*(4)+'LINEST VARS'!$Q$60*(0.5)+'LINEST VARS'!$P$60*(12.73)+'LINEST VARS'!$O$60*($K$80^2)+'LINEST VARS'!$N$60*($B93^2)+'LINEST VARS'!$M$60*(4^2)+'LINEST VARS'!$L$60*(0.5^2)+'LINEST VARS'!$K$60*(12.73^2)+'LINEST VARS'!$J$60*($K$80*$B93)+'LINEST VARS'!$I$60*($K$80*4)+'LINEST VARS'!$H$60*($K$80*0.5)+'LINEST VARS'!$G$60*($K$80*12.73)+'LINEST VARS'!$F$60*($B93*4)+'LINEST VARS'!$E$60*($B93*0.5)+'LINEST VARS'!$D$60*($B93*12.73)+'LINEST VARS'!$C$60*(4*0.5)+'LINEST VARS'!$B$60*(4*12.73)+'LINEST VARS'!$A$60*(0.5*12.73)</f>
        <v>40.460000000000008</v>
      </c>
      <c r="L93" s="46">
        <f>'LINEST VARS'!$U$60+'LINEST VARS'!$T$60*($L$80)+'LINEST VARS'!$S$60*($B93)+'LINEST VARS'!$R$60*(4)+'LINEST VARS'!$Q$60*(0.5)+'LINEST VARS'!$P$60*(12.73)+'LINEST VARS'!$O$60*($L$80^2)+'LINEST VARS'!$N$60*($B93^2)+'LINEST VARS'!$M$60*(4^2)+'LINEST VARS'!$L$60*(0.5^2)+'LINEST VARS'!$K$60*(12.73^2)+'LINEST VARS'!$J$60*($L$80*$B93)+'LINEST VARS'!$I$60*($L$80*4)+'LINEST VARS'!$H$60*($L$80*0.5)+'LINEST VARS'!$G$60*($L$80*12.73)+'LINEST VARS'!$F$60*($B93*4)+'LINEST VARS'!$E$60*($B93*0.5)+'LINEST VARS'!$D$60*($B93*12.73)+'LINEST VARS'!$C$60*(4*0.5)+'LINEST VARS'!$B$60*(4*12.73)+'LINEST VARS'!$A$60*(0.5*12.73)</f>
        <v>40.460000000000008</v>
      </c>
      <c r="M93" s="46">
        <f>'LINEST VARS'!$U$60+'LINEST VARS'!$T$60*($M$80)+'LINEST VARS'!$S$60*($B93)+'LINEST VARS'!$R$60*(4)+'LINEST VARS'!$Q$60*(0.5)+'LINEST VARS'!$P$60*(12.73)+'LINEST VARS'!$O$60*($M$80^2)+'LINEST VARS'!$N$60*($B93^2)+'LINEST VARS'!$M$60*(4^2)+'LINEST VARS'!$L$60*(0.5^2)+'LINEST VARS'!$K$60*(12.73^2)+'LINEST VARS'!$J$60*($M$80*$B93)+'LINEST VARS'!$I$60*($M$80*4)+'LINEST VARS'!$H$60*($M$80*0.5)+'LINEST VARS'!$G$60*($M$80*12.73)+'LINEST VARS'!$F$60*($B93*4)+'LINEST VARS'!$E$60*($B93*0.5)+'LINEST VARS'!$D$60*($B93*12.73)+'LINEST VARS'!$C$60*(4*0.5)+'LINEST VARS'!$B$60*(4*12.73)+'LINEST VARS'!$A$60*(0.5*12.73)</f>
        <v>40.460000000000008</v>
      </c>
      <c r="N93" s="46">
        <f>'LINEST VARS'!$U$60+'LINEST VARS'!$T$60*($N$80)+'LINEST VARS'!$S$60*($B93)+'LINEST VARS'!$R$60*(4)+'LINEST VARS'!$Q$60*(0.5)+'LINEST VARS'!$P$60*(12.73)+'LINEST VARS'!$O$60*($N$80^2)+'LINEST VARS'!$N$60*($B93^2)+'LINEST VARS'!$M$60*(4^2)+'LINEST VARS'!$L$60*(0.5^2)+'LINEST VARS'!$K$60*(12.73^2)+'LINEST VARS'!$J$60*($N$80*$B93)+'LINEST VARS'!$I$60*($N$80*4)+'LINEST VARS'!$H$60*($N$80*0.5)+'LINEST VARS'!$G$60*($N$80*12.73)+'LINEST VARS'!$F$60*($B93*4)+'LINEST VARS'!$E$60*($B93*0.5)+'LINEST VARS'!$D$60*($B93*12.73)+'LINEST VARS'!$C$60*(4*0.5)+'LINEST VARS'!$B$60*(4*12.73)+'LINEST VARS'!$A$60*(0.5*12.73)</f>
        <v>40.460000000000008</v>
      </c>
      <c r="O93" s="46">
        <f>'LINEST VARS'!$U$60+'LINEST VARS'!$T$60*($O$80)+'LINEST VARS'!$S$60*($B93)+'LINEST VARS'!$R$60*(4)+'LINEST VARS'!$Q$60*(0.5)+'LINEST VARS'!$P$60*(12.73)+'LINEST VARS'!$O$60*($O$80^2)+'LINEST VARS'!$N$60*($B93^2)+'LINEST VARS'!$M$60*(4^2)+'LINEST VARS'!$L$60*(0.5^2)+'LINEST VARS'!$K$60*(12.73^2)+'LINEST VARS'!$J$60*($O$80*$B93)+'LINEST VARS'!$I$60*($O$80*4)+'LINEST VARS'!$H$60*($O$80*0.5)+'LINEST VARS'!$G$60*($O$80*12.73)+'LINEST VARS'!$F$60*($B93*4)+'LINEST VARS'!$E$60*($B93*0.5)+'LINEST VARS'!$D$60*($B93*12.73)+'LINEST VARS'!$C$60*(4*0.5)+'LINEST VARS'!$B$60*(4*12.73)+'LINEST VARS'!$A$60*(0.5*12.73)</f>
        <v>40.460000000000015</v>
      </c>
      <c r="P93" s="46">
        <f>'LINEST VARS'!$U$60+'LINEST VARS'!$T$60*($P$80)+'LINEST VARS'!$S$60*($B93)+'LINEST VARS'!$R$60*(4)+'LINEST VARS'!$Q$60*(0.5)+'LINEST VARS'!$P$60*(12.73)+'LINEST VARS'!$O$60*($P$80^2)+'LINEST VARS'!$N$60*($B93^2)+'LINEST VARS'!$M$60*(4^2)+'LINEST VARS'!$L$60*(0.5^2)+'LINEST VARS'!$K$60*(12.73^2)+'LINEST VARS'!$J$60*($P$80*$B93)+'LINEST VARS'!$I$60*($P$80*4)+'LINEST VARS'!$H$60*($P$80*0.5)+'LINEST VARS'!$G$60*($P$80*12.73)+'LINEST VARS'!$F$60*($B93*4)+'LINEST VARS'!$E$60*($B93*0.5)+'LINEST VARS'!$D$60*($B93*12.73)+'LINEST VARS'!$C$60*(4*0.5)+'LINEST VARS'!$B$60*(4*12.73)+'LINEST VARS'!$A$60*(0.5*12.73)</f>
        <v>40.460000000000015</v>
      </c>
      <c r="Q93" s="46">
        <f>'LINEST VARS'!$U$60+'LINEST VARS'!$T$60*($Q$80)+'LINEST VARS'!$S$60*($B93)+'LINEST VARS'!$R$60*(4)+'LINEST VARS'!$Q$60*(0.5)+'LINEST VARS'!$P$60*(12.73)+'LINEST VARS'!$O$60*($Q$80^2)+'LINEST VARS'!$N$60*($B93^2)+'LINEST VARS'!$M$60*(4^2)+'LINEST VARS'!$L$60*(0.5^2)+'LINEST VARS'!$K$60*(12.73^2)+'LINEST VARS'!$J$60*($Q$80*$B93)+'LINEST VARS'!$I$60*($Q$80*4)+'LINEST VARS'!$H$60*($Q$80*0.5)+'LINEST VARS'!$G$60*($Q$80*12.73)+'LINEST VARS'!$F$60*($B93*4)+'LINEST VARS'!$E$60*($B93*0.5)+'LINEST VARS'!$D$60*($B93*12.73)+'LINEST VARS'!$C$60*(4*0.5)+'LINEST VARS'!$B$60*(4*12.73)+'LINEST VARS'!$A$60*(0.5*12.73)</f>
        <v>40.460000000000015</v>
      </c>
      <c r="R93" s="46">
        <f>'LINEST VARS'!$U$60+'LINEST VARS'!$T$60*($R$80)+'LINEST VARS'!$S$60*($B93)+'LINEST VARS'!$R$60*(4)+'LINEST VARS'!$Q$60*(0.5)+'LINEST VARS'!$P$60*(12.73)+'LINEST VARS'!$O$60*($R$80^2)+'LINEST VARS'!$N$60*($B93^2)+'LINEST VARS'!$M$60*(4^2)+'LINEST VARS'!$L$60*(0.5^2)+'LINEST VARS'!$K$60*(12.73^2)+'LINEST VARS'!$J$60*($R$80*$B93)+'LINEST VARS'!$I$60*($R$80*4)+'LINEST VARS'!$H$60*($R$80*0.5)+'LINEST VARS'!$G$60*($R$80*12.73)+'LINEST VARS'!$F$60*($B93*4)+'LINEST VARS'!$E$60*($B93*0.5)+'LINEST VARS'!$D$60*($B93*12.73)+'LINEST VARS'!$C$60*(4*0.5)+'LINEST VARS'!$B$60*(4*12.73)+'LINEST VARS'!$A$60*(0.5*12.73)</f>
        <v>40.460000000000015</v>
      </c>
      <c r="S93" s="46">
        <f>'LINEST VARS'!$U$60+'LINEST VARS'!$T$60*($S$80)+'LINEST VARS'!$S$60*($B93)+'LINEST VARS'!$R$60*(4)+'LINEST VARS'!$Q$60*(0.5)+'LINEST VARS'!$P$60*(12.73)+'LINEST VARS'!$O$60*($S$80^2)+'LINEST VARS'!$N$60*($B93^2)+'LINEST VARS'!$M$60*(4^2)+'LINEST VARS'!$L$60*(0.5^2)+'LINEST VARS'!$K$60*(12.73^2)+'LINEST VARS'!$J$60*($S$80*$B93)+'LINEST VARS'!$I$60*($S$80*4)+'LINEST VARS'!$H$60*($S$80*0.5)+'LINEST VARS'!$G$60*($S$80*12.73)+'LINEST VARS'!$F$60*($B93*4)+'LINEST VARS'!$E$60*($B93*0.5)+'LINEST VARS'!$D$60*($B93*12.73)+'LINEST VARS'!$C$60*(4*0.5)+'LINEST VARS'!$B$60*(4*12.73)+'LINEST VARS'!$A$60*(0.5*12.73)</f>
        <v>40.460000000000015</v>
      </c>
      <c r="T93" s="46">
        <f>'LINEST VARS'!$U$60+'LINEST VARS'!$T$60*($T$80)+'LINEST VARS'!$S$60*($B93)+'LINEST VARS'!$R$60*(4)+'LINEST VARS'!$Q$60*(0.5)+'LINEST VARS'!$P$60*(12.73)+'LINEST VARS'!$O$60*($T$80^2)+'LINEST VARS'!$N$60*($B93^2)+'LINEST VARS'!$M$60*(4^2)+'LINEST VARS'!$L$60*(0.5^2)+'LINEST VARS'!$K$60*(12.73^2)+'LINEST VARS'!$J$60*($T$80*$B93)+'LINEST VARS'!$I$60*($T$80*4)+'LINEST VARS'!$H$60*($T$80*0.5)+'LINEST VARS'!$G$60*($T$80*12.73)+'LINEST VARS'!$F$60*($B93*4)+'LINEST VARS'!$E$60*($B93*0.5)+'LINEST VARS'!$D$60*($B93*12.73)+'LINEST VARS'!$C$60*(4*0.5)+'LINEST VARS'!$B$60*(4*12.73)+'LINEST VARS'!$A$60*(0.5*12.73)</f>
        <v>40.460000000000015</v>
      </c>
      <c r="U93" s="46">
        <f>'LINEST VARS'!$U$60+'LINEST VARS'!$T$60*($U$80)+'LINEST VARS'!$S$60*($B93)+'LINEST VARS'!$R$60*(4)+'LINEST VARS'!$Q$60*(0.5)+'LINEST VARS'!$P$60*(12.73)+'LINEST VARS'!$O$60*($U$80^2)+'LINEST VARS'!$N$60*($B93^2)+'LINEST VARS'!$M$60*(4^2)+'LINEST VARS'!$L$60*(0.5^2)+'LINEST VARS'!$K$60*(12.73^2)+'LINEST VARS'!$J$60*($U$80*$B93)+'LINEST VARS'!$I$60*($U$80*4)+'LINEST VARS'!$H$60*($U$80*0.5)+'LINEST VARS'!$G$60*($U$80*12.73)+'LINEST VARS'!$F$60*($B93*4)+'LINEST VARS'!$E$60*($B93*0.5)+'LINEST VARS'!$D$60*($B93*12.73)+'LINEST VARS'!$C$60*(4*0.5)+'LINEST VARS'!$B$60*(4*12.73)+'LINEST VARS'!$A$60*(0.5*12.73)</f>
        <v>40.460000000000022</v>
      </c>
      <c r="V93" s="46">
        <f>'LINEST VARS'!$U$60+'LINEST VARS'!$T$60*($V$80)+'LINEST VARS'!$S$60*($B93)+'LINEST VARS'!$R$60*(4)+'LINEST VARS'!$Q$60*(0.5)+'LINEST VARS'!$P$60*(12.73)+'LINEST VARS'!$O$60*($V$80^2)+'LINEST VARS'!$N$60*($B93^2)+'LINEST VARS'!$M$60*(4^2)+'LINEST VARS'!$L$60*(0.5^2)+'LINEST VARS'!$K$60*(12.73^2)+'LINEST VARS'!$J$60*($V$80*$B93)+'LINEST VARS'!$I$60*($V$80*4)+'LINEST VARS'!$H$60*($V$80*0.5)+'LINEST VARS'!$G$60*($V$80*12.73)+'LINEST VARS'!$F$60*($B93*4)+'LINEST VARS'!$E$60*($B93*0.5)+'LINEST VARS'!$D$60*($B93*12.73)+'LINEST VARS'!$C$60*(4*0.5)+'LINEST VARS'!$B$60*(4*12.73)+'LINEST VARS'!$A$60*(0.5*12.73)</f>
        <v>40.460000000000015</v>
      </c>
      <c r="W93" s="47">
        <f>'LINEST VARS'!$U$60+'LINEST VARS'!$T$60*($W$80)+'LINEST VARS'!$S$60*($B93)+'LINEST VARS'!$R$60*(4)+'LINEST VARS'!$Q$60*(0.5)+'LINEST VARS'!$P$60*(12.73)+'LINEST VARS'!$O$60*($W$80^2)+'LINEST VARS'!$N$60*($B93^2)+'LINEST VARS'!$M$60*(4^2)+'LINEST VARS'!$L$60*(0.5^2)+'LINEST VARS'!$K$60*(12.73^2)+'LINEST VARS'!$J$60*($W$80*$B93)+'LINEST VARS'!$I$60*($W$80*4)+'LINEST VARS'!$H$60*($W$80*0.5)+'LINEST VARS'!$G$60*($W$80*12.73)+'LINEST VARS'!$F$60*($B93*4)+'LINEST VARS'!$E$60*($B93*0.5)+'LINEST VARS'!$D$60*($B93*12.73)+'LINEST VARS'!$C$60*(4*0.5)+'LINEST VARS'!$B$60*(4*12.73)+'LINEST VARS'!$A$60*(0.5*12.73)</f>
        <v>40.460000000000015</v>
      </c>
      <c r="Z93" s="45">
        <v>8.1199999999999992</v>
      </c>
      <c r="AA93" s="55">
        <f>'LINEST VARS'!$U$62+'LINEST VARS'!$T$62*($AA$80)+'LINEST VARS'!$S$62*($Z93)+'LINEST VARS'!$R$62*(4)+'LINEST VARS'!$Q$62*(0.5)+'LINEST VARS'!$P$62*(12.73)+'LINEST VARS'!$O$62*($AA$80^2)+'LINEST VARS'!$N$62*($Z93^2)+'LINEST VARS'!$M$62*(4^2)+'LINEST VARS'!$L$62*(0.5^2)+'LINEST VARS'!$K$62*(12.73^2)+'LINEST VARS'!$J$62*($AA$80*$Z93)+'LINEST VARS'!$I$62*($AA$80*4)+'LINEST VARS'!$H$62*($AA$80*0.5)+'LINEST VARS'!$G$62*($AA$80*12.73)+'LINEST VARS'!$F$62*($Z93*4)+'LINEST VARS'!$E$62*($Z93*0.5)+'LINEST VARS'!$D$62*($Z93*12.73)+'LINEST VARS'!$C$62*(4*0.5)+'LINEST VARS'!$B$62*(4*12.73)+'LINEST VARS'!$A$62*(0.5*12.73)</f>
        <v>269.5</v>
      </c>
      <c r="AB93" s="55">
        <f>'LINEST VARS'!$U$62+'LINEST VARS'!$T$62*($AB$80)+'LINEST VARS'!$S$62*($Z93)+'LINEST VARS'!$R$62*(4)+'LINEST VARS'!$Q$62*(0.5)+'LINEST VARS'!$P$62*(12.73)+'LINEST VARS'!$O$62*($AB$80^2)+'LINEST VARS'!$N$62*($Z93^2)+'LINEST VARS'!$M$62*(4^2)+'LINEST VARS'!$L$62*(0.5^2)+'LINEST VARS'!$K$62*(12.73^2)+'LINEST VARS'!$J$62*($AB$80*$Z93)+'LINEST VARS'!$I$62*($AB$80*4)+'LINEST VARS'!$H$62*($AB$80*0.5)+'LINEST VARS'!$G$62*($AB$80*12.73)+'LINEST VARS'!$F$62*($Z93*4)+'LINEST VARS'!$E$62*($Z93*0.5)+'LINEST VARS'!$D$62*($Z93*12.73)+'LINEST VARS'!$C$62*(4*0.5)+'LINEST VARS'!$B$62*(4*12.73)+'LINEST VARS'!$A$62*(0.5*12.73)</f>
        <v>269.5</v>
      </c>
      <c r="AC93" s="55">
        <f>'LINEST VARS'!$U$62+'LINEST VARS'!$T$62*($AC$80)+'LINEST VARS'!$S$62*($Z93)+'LINEST VARS'!$R$62*(4)+'LINEST VARS'!$Q$62*(0.5)+'LINEST VARS'!$P$62*(12.73)+'LINEST VARS'!$O$62*($AC$80^2)+'LINEST VARS'!$N$62*($Z93^2)+'LINEST VARS'!$M$62*(4^2)+'LINEST VARS'!$L$62*(0.5^2)+'LINEST VARS'!$K$62*(12.73^2)+'LINEST VARS'!$J$62*($AC$80*$Z93)+'LINEST VARS'!$I$62*($AC$80*4)+'LINEST VARS'!$H$62*($AC$80*0.5)+'LINEST VARS'!$G$62*($AC$80*12.73)+'LINEST VARS'!$F$62*($Z93*4)+'LINEST VARS'!$E$62*($Z93*0.5)+'LINEST VARS'!$D$62*($Z93*12.73)+'LINEST VARS'!$C$62*(4*0.5)+'LINEST VARS'!$B$62*(4*12.73)+'LINEST VARS'!$A$62*(0.5*12.73)</f>
        <v>269.49999999999994</v>
      </c>
      <c r="AD93" s="55">
        <f>'LINEST VARS'!$U$62+'LINEST VARS'!$T$62*($AD$80)+'LINEST VARS'!$S$62*($Z93)+'LINEST VARS'!$R$62*(4)+'LINEST VARS'!$Q$62*(0.5)+'LINEST VARS'!$P$62*(12.73)+'LINEST VARS'!$O$62*($AD$80^2)+'LINEST VARS'!$N$62*($Z93^2)+'LINEST VARS'!$M$62*(4^2)+'LINEST VARS'!$L$62*(0.5^2)+'LINEST VARS'!$K$62*(12.73^2)+'LINEST VARS'!$J$62*($AD$80*$Z93)+'LINEST VARS'!$I$62*($AD$80*4)+'LINEST VARS'!$H$62*($AD$80*0.5)+'LINEST VARS'!$G$62*($AD$80*12.73)+'LINEST VARS'!$F$62*($Z93*4)+'LINEST VARS'!$E$62*($Z93*0.5)+'LINEST VARS'!$D$62*($Z93*12.73)+'LINEST VARS'!$C$62*(4*0.5)+'LINEST VARS'!$B$62*(4*12.73)+'LINEST VARS'!$A$62*(0.5*12.73)</f>
        <v>269.5</v>
      </c>
      <c r="AE93" s="55">
        <f>'LINEST VARS'!$U$62+'LINEST VARS'!$T$62*($AE$80)+'LINEST VARS'!$S$62*($Z93)+'LINEST VARS'!$R$62*(4)+'LINEST VARS'!$Q$62*(0.5)+'LINEST VARS'!$P$62*(12.73)+'LINEST VARS'!$O$62*($AE$80^2)+'LINEST VARS'!$N$62*($Z93^2)+'LINEST VARS'!$M$62*(4^2)+'LINEST VARS'!$L$62*(0.5^2)+'LINEST VARS'!$K$62*(12.73^2)+'LINEST VARS'!$J$62*($AE$80*$Z93)+'LINEST VARS'!$I$62*($AE$80*4)+'LINEST VARS'!$H$62*($AE$80*0.5)+'LINEST VARS'!$G$62*($AE$80*12.73)+'LINEST VARS'!$F$62*($Z93*4)+'LINEST VARS'!$E$62*($Z93*0.5)+'LINEST VARS'!$D$62*($Z93*12.73)+'LINEST VARS'!$C$62*(4*0.5)+'LINEST VARS'!$B$62*(4*12.73)+'LINEST VARS'!$A$62*(0.5*12.73)</f>
        <v>269.5</v>
      </c>
      <c r="AF93" s="55">
        <f>'LINEST VARS'!$U$62+'LINEST VARS'!$T$62*($AF$80)+'LINEST VARS'!$S$62*($Z93)+'LINEST VARS'!$R$62*(4)+'LINEST VARS'!$Q$62*(0.5)+'LINEST VARS'!$P$62*(12.73)+'LINEST VARS'!$O$62*($AF$80^2)+'LINEST VARS'!$N$62*($Z93^2)+'LINEST VARS'!$M$62*(4^2)+'LINEST VARS'!$L$62*(0.5^2)+'LINEST VARS'!$K$62*(12.73^2)+'LINEST VARS'!$J$62*($AF$80*$Z93)+'LINEST VARS'!$I$62*($AF$80*4)+'LINEST VARS'!$H$62*($AF$80*0.5)+'LINEST VARS'!$G$62*($AF$80*12.73)+'LINEST VARS'!$F$62*($Z93*4)+'LINEST VARS'!$E$62*($Z93*0.5)+'LINEST VARS'!$D$62*($Z93*12.73)+'LINEST VARS'!$C$62*(4*0.5)+'LINEST VARS'!$B$62*(4*12.73)+'LINEST VARS'!$A$62*(0.5*12.73)</f>
        <v>269.49999999999994</v>
      </c>
      <c r="AG93" s="55">
        <f>'LINEST VARS'!$U$62+'LINEST VARS'!$T$62*($AG$80)+'LINEST VARS'!$S$62*($Z93)+'LINEST VARS'!$R$62*(4)+'LINEST VARS'!$Q$62*(0.5)+'LINEST VARS'!$P$62*(12.73)+'LINEST VARS'!$O$62*($AG$80^2)+'LINEST VARS'!$N$62*($Z93^2)+'LINEST VARS'!$M$62*(4^2)+'LINEST VARS'!$L$62*(0.5^2)+'LINEST VARS'!$K$62*(12.73^2)+'LINEST VARS'!$J$62*($AG$80*$Z93)+'LINEST VARS'!$I$62*($AG$80*4)+'LINEST VARS'!$H$62*($AG$80*0.5)+'LINEST VARS'!$G$62*($AG$80*12.73)+'LINEST VARS'!$F$62*($Z93*4)+'LINEST VARS'!$E$62*($Z93*0.5)+'LINEST VARS'!$D$62*($Z93*12.73)+'LINEST VARS'!$C$62*(4*0.5)+'LINEST VARS'!$B$62*(4*12.73)+'LINEST VARS'!$A$62*(0.5*12.73)</f>
        <v>269.5</v>
      </c>
      <c r="AH93" s="55">
        <f>'LINEST VARS'!$U$62+'LINEST VARS'!$T$62*($AH$80)+'LINEST VARS'!$S$62*($Z93)+'LINEST VARS'!$R$62*(4)+'LINEST VARS'!$Q$62*(0.5)+'LINEST VARS'!$P$62*(12.73)+'LINEST VARS'!$O$62*($AH$80^2)+'LINEST VARS'!$N$62*($Z93^2)+'LINEST VARS'!$M$62*(4^2)+'LINEST VARS'!$L$62*(0.5^2)+'LINEST VARS'!$K$62*(12.73^2)+'LINEST VARS'!$J$62*($AH$80*$Z93)+'LINEST VARS'!$I$62*($AH$80*4)+'LINEST VARS'!$H$62*($AH$80*0.5)+'LINEST VARS'!$G$62*($AH$80*12.73)+'LINEST VARS'!$F$62*($Z93*4)+'LINEST VARS'!$E$62*($Z93*0.5)+'LINEST VARS'!$D$62*($Z93*12.73)+'LINEST VARS'!$C$62*(4*0.5)+'LINEST VARS'!$B$62*(4*12.73)+'LINEST VARS'!$A$62*(0.5*12.73)</f>
        <v>269.49999999999994</v>
      </c>
      <c r="AI93" s="55">
        <f>'LINEST VARS'!$U$62+'LINEST VARS'!$T$62*($AI$80)+'LINEST VARS'!$S$62*($Z93)+'LINEST VARS'!$R$62*(4)+'LINEST VARS'!$Q$62*(0.5)+'LINEST VARS'!$P$62*(12.73)+'LINEST VARS'!$O$62*($AI$80^2)+'LINEST VARS'!$N$62*($Z93^2)+'LINEST VARS'!$M$62*(4^2)+'LINEST VARS'!$L$62*(0.5^2)+'LINEST VARS'!$K$62*(12.73^2)+'LINEST VARS'!$J$62*($AI$80*$Z93)+'LINEST VARS'!$I$62*($AI$80*4)+'LINEST VARS'!$H$62*($AI$80*0.5)+'LINEST VARS'!$G$62*($AI$80*12.73)+'LINEST VARS'!$F$62*($Z93*4)+'LINEST VARS'!$E$62*($Z93*0.5)+'LINEST VARS'!$D$62*($Z93*12.73)+'LINEST VARS'!$C$62*(4*0.5)+'LINEST VARS'!$B$62*(4*12.73)+'LINEST VARS'!$A$62*(0.5*12.73)</f>
        <v>269.49999999999994</v>
      </c>
      <c r="AJ93" s="55">
        <f>'LINEST VARS'!$U$62+'LINEST VARS'!$T$62*($AJ$80)+'LINEST VARS'!$S$62*($Z93)+'LINEST VARS'!$R$62*(4)+'LINEST VARS'!$Q$62*(0.5)+'LINEST VARS'!$P$62*(12.73)+'LINEST VARS'!$O$62*($AJ$80^2)+'LINEST VARS'!$N$62*($Z93^2)+'LINEST VARS'!$M$62*(4^2)+'LINEST VARS'!$L$62*(0.5^2)+'LINEST VARS'!$K$62*(12.73^2)+'LINEST VARS'!$J$62*($AJ$80*$Z93)+'LINEST VARS'!$I$62*($AJ$80*4)+'LINEST VARS'!$H$62*($AJ$80*0.5)+'LINEST VARS'!$G$62*($AJ$80*12.73)+'LINEST VARS'!$F$62*($Z93*4)+'LINEST VARS'!$E$62*($Z93*0.5)+'LINEST VARS'!$D$62*($Z93*12.73)+'LINEST VARS'!$C$62*(4*0.5)+'LINEST VARS'!$B$62*(4*12.73)+'LINEST VARS'!$A$62*(0.5*12.73)</f>
        <v>269.5</v>
      </c>
      <c r="AK93" s="55">
        <f>'LINEST VARS'!$U$62+'LINEST VARS'!$T$62*($AK$80)+'LINEST VARS'!$S$62*($Z93)+'LINEST VARS'!$R$62*(4)+'LINEST VARS'!$Q$62*(0.5)+'LINEST VARS'!$P$62*(12.73)+'LINEST VARS'!$O$62*($AK$80^2)+'LINEST VARS'!$N$62*($Z93^2)+'LINEST VARS'!$M$62*(4^2)+'LINEST VARS'!$L$62*(0.5^2)+'LINEST VARS'!$K$62*(12.73^2)+'LINEST VARS'!$J$62*($AK$80*$Z93)+'LINEST VARS'!$I$62*($AK$80*4)+'LINEST VARS'!$H$62*($AK$80*0.5)+'LINEST VARS'!$G$62*($AK$80*12.73)+'LINEST VARS'!$F$62*($Z93*4)+'LINEST VARS'!$E$62*($Z93*0.5)+'LINEST VARS'!$D$62*($Z93*12.73)+'LINEST VARS'!$C$62*(4*0.5)+'LINEST VARS'!$B$62*(4*12.73)+'LINEST VARS'!$A$62*(0.5*12.73)</f>
        <v>269.5</v>
      </c>
      <c r="AL93" s="55">
        <f>'LINEST VARS'!$U$62+'LINEST VARS'!$T$62*($AL$80)+'LINEST VARS'!$S$62*($Z93)+'LINEST VARS'!$R$62*(4)+'LINEST VARS'!$Q$62*(0.5)+'LINEST VARS'!$P$62*(12.73)+'LINEST VARS'!$O$62*($AL$80^2)+'LINEST VARS'!$N$62*($Z93^2)+'LINEST VARS'!$M$62*(4^2)+'LINEST VARS'!$L$62*(0.5^2)+'LINEST VARS'!$K$62*(12.73^2)+'LINEST VARS'!$J$62*($AL$80*$Z93)+'LINEST VARS'!$I$62*($AL$80*4)+'LINEST VARS'!$H$62*($AL$80*0.5)+'LINEST VARS'!$G$62*($AL$80*12.73)+'LINEST VARS'!$F$62*($Z93*4)+'LINEST VARS'!$E$62*($Z93*0.5)+'LINEST VARS'!$D$62*($Z93*12.73)+'LINEST VARS'!$C$62*(4*0.5)+'LINEST VARS'!$B$62*(4*12.73)+'LINEST VARS'!$A$62*(0.5*12.73)</f>
        <v>269.49999999999994</v>
      </c>
      <c r="AM93" s="55">
        <f>'LINEST VARS'!$U$62+'LINEST VARS'!$T$62*($AM$80)+'LINEST VARS'!$S$62*($Z93)+'LINEST VARS'!$R$62*(4)+'LINEST VARS'!$Q$62*(0.5)+'LINEST VARS'!$P$62*(12.73)+'LINEST VARS'!$O$62*($AM$80^2)+'LINEST VARS'!$N$62*($Z93^2)+'LINEST VARS'!$M$62*(4^2)+'LINEST VARS'!$L$62*(0.5^2)+'LINEST VARS'!$K$62*(12.73^2)+'LINEST VARS'!$J$62*($AM$80*$Z93)+'LINEST VARS'!$I$62*($AM$80*4)+'LINEST VARS'!$H$62*($AM$80*0.5)+'LINEST VARS'!$G$62*($AM$80*12.73)+'LINEST VARS'!$F$62*($Z93*4)+'LINEST VARS'!$E$62*($Z93*0.5)+'LINEST VARS'!$D$62*($Z93*12.73)+'LINEST VARS'!$C$62*(4*0.5)+'LINEST VARS'!$B$62*(4*12.73)+'LINEST VARS'!$A$62*(0.5*12.73)</f>
        <v>269.49999999999994</v>
      </c>
      <c r="AN93" s="55">
        <f>'LINEST VARS'!$U$62+'LINEST VARS'!$T$62*($AN$80)+'LINEST VARS'!$S$62*($Z93)+'LINEST VARS'!$R$62*(4)+'LINEST VARS'!$Q$62*(0.5)+'LINEST VARS'!$P$62*(12.73)+'LINEST VARS'!$O$62*($AN$80^2)+'LINEST VARS'!$N$62*($Z93^2)+'LINEST VARS'!$M$62*(4^2)+'LINEST VARS'!$L$62*(0.5^2)+'LINEST VARS'!$K$62*(12.73^2)+'LINEST VARS'!$J$62*($AN$80*$Z93)+'LINEST VARS'!$I$62*($AN$80*4)+'LINEST VARS'!$H$62*($AN$80*0.5)+'LINEST VARS'!$G$62*($AN$80*12.73)+'LINEST VARS'!$F$62*($Z93*4)+'LINEST VARS'!$E$62*($Z93*0.5)+'LINEST VARS'!$D$62*($Z93*12.73)+'LINEST VARS'!$C$62*(4*0.5)+'LINEST VARS'!$B$62*(4*12.73)+'LINEST VARS'!$A$62*(0.5*12.73)</f>
        <v>269.49999999999994</v>
      </c>
      <c r="AO93" s="55">
        <f>'LINEST VARS'!$U$62+'LINEST VARS'!$T$62*($AO$80)+'LINEST VARS'!$S$62*($Z93)+'LINEST VARS'!$R$62*(4)+'LINEST VARS'!$Q$62*(0.5)+'LINEST VARS'!$P$62*(12.73)+'LINEST VARS'!$O$62*($AO$80^2)+'LINEST VARS'!$N$62*($Z93^2)+'LINEST VARS'!$M$62*(4^2)+'LINEST VARS'!$L$62*(0.5^2)+'LINEST VARS'!$K$62*(12.73^2)+'LINEST VARS'!$J$62*($AO$80*$Z93)+'LINEST VARS'!$I$62*($AO$80*4)+'LINEST VARS'!$H$62*($AO$80*0.5)+'LINEST VARS'!$G$62*($AO$80*12.73)+'LINEST VARS'!$F$62*($Z93*4)+'LINEST VARS'!$E$62*($Z93*0.5)+'LINEST VARS'!$D$62*($Z93*12.73)+'LINEST VARS'!$C$62*(4*0.5)+'LINEST VARS'!$B$62*(4*12.73)+'LINEST VARS'!$A$62*(0.5*12.73)</f>
        <v>269.5</v>
      </c>
      <c r="AP93" s="55">
        <f>'LINEST VARS'!$U$62+'LINEST VARS'!$T$62*($AP$80)+'LINEST VARS'!$S$62*($Z93)+'LINEST VARS'!$R$62*(4)+'LINEST VARS'!$Q$62*(0.5)+'LINEST VARS'!$P$62*(12.73)+'LINEST VARS'!$O$62*($AP$80^2)+'LINEST VARS'!$N$62*($Z93^2)+'LINEST VARS'!$M$62*(4^2)+'LINEST VARS'!$L$62*(0.5^2)+'LINEST VARS'!$K$62*(12.73^2)+'LINEST VARS'!$J$62*($AP$80*$Z93)+'LINEST VARS'!$I$62*($AP$80*4)+'LINEST VARS'!$H$62*($AP$80*0.5)+'LINEST VARS'!$G$62*($AP$80*12.73)+'LINEST VARS'!$F$62*($Z93*4)+'LINEST VARS'!$E$62*($Z93*0.5)+'LINEST VARS'!$D$62*($Z93*12.73)+'LINEST VARS'!$C$62*(4*0.5)+'LINEST VARS'!$B$62*(4*12.73)+'LINEST VARS'!$A$62*(0.5*12.73)</f>
        <v>269.5</v>
      </c>
      <c r="AQ93" s="55">
        <f>'LINEST VARS'!$U$62+'LINEST VARS'!$T$62*($AQ$80)+'LINEST VARS'!$S$62*($Z93)+'LINEST VARS'!$R$62*(4)+'LINEST VARS'!$Q$62*(0.5)+'LINEST VARS'!$P$62*(12.73)+'LINEST VARS'!$O$62*($AQ$80^2)+'LINEST VARS'!$N$62*($Z93^2)+'LINEST VARS'!$M$62*(4^2)+'LINEST VARS'!$L$62*(0.5^2)+'LINEST VARS'!$K$62*(12.73^2)+'LINEST VARS'!$J$62*($AQ$80*$Z93)+'LINEST VARS'!$I$62*($AQ$80*4)+'LINEST VARS'!$H$62*($AQ$80*0.5)+'LINEST VARS'!$G$62*($AQ$80*12.73)+'LINEST VARS'!$F$62*($Z93*4)+'LINEST VARS'!$E$62*($Z93*0.5)+'LINEST VARS'!$D$62*($Z93*12.73)+'LINEST VARS'!$C$62*(4*0.5)+'LINEST VARS'!$B$62*(4*12.73)+'LINEST VARS'!$A$62*(0.5*12.73)</f>
        <v>269.49999999999994</v>
      </c>
      <c r="AR93" s="55">
        <f>'LINEST VARS'!$U$62+'LINEST VARS'!$T$62*($AR$80)+'LINEST VARS'!$S$62*($Z93)+'LINEST VARS'!$R$62*(4)+'LINEST VARS'!$Q$62*(0.5)+'LINEST VARS'!$P$62*(12.73)+'LINEST VARS'!$O$62*($AR$80^2)+'LINEST VARS'!$N$62*($Z93^2)+'LINEST VARS'!$M$62*(4^2)+'LINEST VARS'!$L$62*(0.5^2)+'LINEST VARS'!$K$62*(12.73^2)+'LINEST VARS'!$J$62*($AR$80*$Z93)+'LINEST VARS'!$I$62*($AR$80*4)+'LINEST VARS'!$H$62*($AR$80*0.5)+'LINEST VARS'!$G$62*($AR$80*12.73)+'LINEST VARS'!$F$62*($Z93*4)+'LINEST VARS'!$E$62*($Z93*0.5)+'LINEST VARS'!$D$62*($Z93*12.73)+'LINEST VARS'!$C$62*(4*0.5)+'LINEST VARS'!$B$62*(4*12.73)+'LINEST VARS'!$A$62*(0.5*12.73)</f>
        <v>269.5</v>
      </c>
      <c r="AS93" s="55">
        <f>'LINEST VARS'!$U$62+'LINEST VARS'!$T$62*($AS$80)+'LINEST VARS'!$S$62*($Z93)+'LINEST VARS'!$R$62*(4)+'LINEST VARS'!$Q$62*(0.5)+'LINEST VARS'!$P$62*(12.73)+'LINEST VARS'!$O$62*($AS$80^2)+'LINEST VARS'!$N$62*($Z93^2)+'LINEST VARS'!$M$62*(4^2)+'LINEST VARS'!$L$62*(0.5^2)+'LINEST VARS'!$K$62*(12.73^2)+'LINEST VARS'!$J$62*($AS$80*$Z93)+'LINEST VARS'!$I$62*($AS$80*4)+'LINEST VARS'!$H$62*($AS$80*0.5)+'LINEST VARS'!$G$62*($AS$80*12.73)+'LINEST VARS'!$F$62*($Z93*4)+'LINEST VARS'!$E$62*($Z93*0.5)+'LINEST VARS'!$D$62*($Z93*12.73)+'LINEST VARS'!$C$62*(4*0.5)+'LINEST VARS'!$B$62*(4*12.73)+'LINEST VARS'!$A$62*(0.5*12.73)</f>
        <v>269.49999999999994</v>
      </c>
      <c r="AT93" s="55">
        <f>'LINEST VARS'!$U$62+'LINEST VARS'!$T$62*($AT$80)+'LINEST VARS'!$S$62*($Z93)+'LINEST VARS'!$R$62*(4)+'LINEST VARS'!$Q$62*(0.5)+'LINEST VARS'!$P$62*(12.73)+'LINEST VARS'!$O$62*($AT$80^2)+'LINEST VARS'!$N$62*($Z93^2)+'LINEST VARS'!$M$62*(4^2)+'LINEST VARS'!$L$62*(0.5^2)+'LINEST VARS'!$K$62*(12.73^2)+'LINEST VARS'!$J$62*($AT$80*$Z93)+'LINEST VARS'!$I$62*($AT$80*4)+'LINEST VARS'!$H$62*($AT$80*0.5)+'LINEST VARS'!$G$62*($AT$80*12.73)+'LINEST VARS'!$F$62*($Z93*4)+'LINEST VARS'!$E$62*($Z93*0.5)+'LINEST VARS'!$D$62*($Z93*12.73)+'LINEST VARS'!$C$62*(4*0.5)+'LINEST VARS'!$B$62*(4*12.73)+'LINEST VARS'!$A$62*(0.5*12.73)</f>
        <v>269.5</v>
      </c>
      <c r="AU93" s="56">
        <f>'LINEST VARS'!$U$62+'LINEST VARS'!$T$62*($AU$80)+'LINEST VARS'!$S$62*($Z93)+'LINEST VARS'!$R$62*(4)+'LINEST VARS'!$Q$62*(0.5)+'LINEST VARS'!$P$62*(12.73)+'LINEST VARS'!$O$62*($AU$80^2)+'LINEST VARS'!$N$62*($Z93^2)+'LINEST VARS'!$M$62*(4^2)+'LINEST VARS'!$L$62*(0.5^2)+'LINEST VARS'!$K$62*(12.73^2)+'LINEST VARS'!$J$62*($AU$80*$Z93)+'LINEST VARS'!$I$62*($AU$80*4)+'LINEST VARS'!$H$62*($AU$80*0.5)+'LINEST VARS'!$G$62*($AU$80*12.73)+'LINEST VARS'!$F$62*($Z93*4)+'LINEST VARS'!$E$62*($Z93*0.5)+'LINEST VARS'!$D$62*($Z93*12.73)+'LINEST VARS'!$C$62*(4*0.5)+'LINEST VARS'!$B$62*(4*12.73)+'LINEST VARS'!$A$62*(0.5*12.73)</f>
        <v>269.50000000000006</v>
      </c>
      <c r="AZ93" s="45">
        <v>0.6</v>
      </c>
      <c r="BA93" s="46">
        <f>'LINEST VARS'!$U$60+'LINEST VARS'!$T$60*(8)+'LINEST VARS'!$S$60*(8)+'LINEST VARS'!$R$60*($BA$80)+'LINEST VARS'!$Q$60*($AZ93)+'LINEST VARS'!$P$60*(12.73)+'LINEST VARS'!$O$60*(8^2)+'LINEST VARS'!$N$60*(8^2)+'LINEST VARS'!$M$60*($BA$80^2)+'LINEST VARS'!$L$60*($AZ93^2)+'LINEST VARS'!$K$60*(12.73^2)+'LINEST VARS'!$J$60*(8*8)+'LINEST VARS'!$I$60*(8*$BA$80)+'LINEST VARS'!$H$60*(8*$AZ93)+'LINEST VARS'!$G$60*(8*12.73)+'LINEST VARS'!$F$60*(8*$BA$80)+'LINEST VARS'!$E$60*(8*$AZ93)+'LINEST VARS'!$D$60*(8*12.73)+'LINEST VARS'!$C$60*($BA$80*$AZ93)+'LINEST VARS'!$B$60*($BA$80*12.73)+'LINEST VARS'!$A$60*($AZ93*12.73)</f>
        <v>40.460000000000008</v>
      </c>
      <c r="BB93" s="46">
        <f>'LINEST VARS'!$U$60+'LINEST VARS'!$T$60*(8)+'LINEST VARS'!$S$60*(8)+'LINEST VARS'!$R$60*($BB$80)+'LINEST VARS'!$Q$60*($AZ93)+'LINEST VARS'!$P$60*(12.73)+'LINEST VARS'!$O$60*(8^2)+'LINEST VARS'!$N$60*(8^2)+'LINEST VARS'!$M$60*($BB$80^2)+'LINEST VARS'!$L$60*($AZ93^2)+'LINEST VARS'!$K$60*(12.73^2)+'LINEST VARS'!$J$60*(8*8)+'LINEST VARS'!$I$60*(8*$BB$80)+'LINEST VARS'!$H$60*(8*$AZ93)+'LINEST VARS'!$G$60*(8*12.73)+'LINEST VARS'!$F$60*(8*$BB$80)+'LINEST VARS'!$E$60*(8*$AZ93)+'LINEST VARS'!$D$60*(8*12.73)+'LINEST VARS'!$C$60*($BB$80*$AZ93)+'LINEST VARS'!$B$60*($BB$80*12.73)+'LINEST VARS'!$A$60*($AZ93*12.73)</f>
        <v>40.460000000000008</v>
      </c>
      <c r="BC93" s="46">
        <f>'LINEST VARS'!$U$60+'LINEST VARS'!$T$60*(8)+'LINEST VARS'!$S$60*(8)+'LINEST VARS'!$R$60*($BC$80)+'LINEST VARS'!$Q$60*($AZ93)+'LINEST VARS'!$P$60*(12.73)+'LINEST VARS'!$O$60*(8^2)+'LINEST VARS'!$N$60*(8^2)+'LINEST VARS'!$M$60*($BC$80^2)+'LINEST VARS'!$L$60*($AZ93^2)+'LINEST VARS'!$K$60*(12.73^2)+'LINEST VARS'!$J$60*(8*8)+'LINEST VARS'!$I$60*(8*$BC$80)+'LINEST VARS'!$H$60*(8*$AZ93)+'LINEST VARS'!$G$60*(8*12.73)+'LINEST VARS'!$F$60*(8*$BC$80)+'LINEST VARS'!$E$60*(8*$AZ93)+'LINEST VARS'!$D$60*(8*12.73)+'LINEST VARS'!$C$60*($BC$80*$AZ93)+'LINEST VARS'!$B$60*($BC$80*12.73)+'LINEST VARS'!$A$60*($AZ93*12.73)</f>
        <v>40.460000000000008</v>
      </c>
      <c r="BD93" s="46">
        <f>'LINEST VARS'!$U$60+'LINEST VARS'!$T$60*(8)+'LINEST VARS'!$S$60*(8)+'LINEST VARS'!$R$60*($BD$80)+'LINEST VARS'!$Q$60*($AZ93)+'LINEST VARS'!$P$60*(12.73)+'LINEST VARS'!$O$60*(8^2)+'LINEST VARS'!$N$60*(8^2)+'LINEST VARS'!$M$60*($BD$80^2)+'LINEST VARS'!$L$60*($AZ93^2)+'LINEST VARS'!$K$60*(12.73^2)+'LINEST VARS'!$J$60*(8*8)+'LINEST VARS'!$I$60*(8*$BD$80)+'LINEST VARS'!$H$60*(8*$AZ93)+'LINEST VARS'!$G$60*(8*12.73)+'LINEST VARS'!$F$60*(8*$BD$80)+'LINEST VARS'!$E$60*(8*$AZ93)+'LINEST VARS'!$D$60*(8*12.73)+'LINEST VARS'!$C$60*($BD$80*$AZ93)+'LINEST VARS'!$B$60*($BD$80*12.73)+'LINEST VARS'!$A$60*($AZ93*12.73)</f>
        <v>40.460000000000008</v>
      </c>
      <c r="BE93" s="46">
        <f>'LINEST VARS'!$U$60+'LINEST VARS'!$T$60*(8)+'LINEST VARS'!$S$60*(8)+'LINEST VARS'!$R$60*($BE$80)+'LINEST VARS'!$Q$60*($AZ93)+'LINEST VARS'!$P$60*(12.73)+'LINEST VARS'!$O$60*(8^2)+'LINEST VARS'!$N$60*(8^2)+'LINEST VARS'!$M$60*($BE$80^2)+'LINEST VARS'!$L$60*($AZ93^2)+'LINEST VARS'!$K$60*(12.73^2)+'LINEST VARS'!$J$60*(8*8)+'LINEST VARS'!$I$60*(8*$BE$80)+'LINEST VARS'!$H$60*(8*$AZ93)+'LINEST VARS'!$G$60*(8*12.73)+'LINEST VARS'!$F$60*(8*$BE$80)+'LINEST VARS'!$E$60*(8*$AZ93)+'LINEST VARS'!$D$60*(8*12.73)+'LINEST VARS'!$C$60*($BE$80*$AZ93)+'LINEST VARS'!$B$60*($BE$80*12.73)+'LINEST VARS'!$A$60*($AZ93*12.73)</f>
        <v>40.460000000000008</v>
      </c>
      <c r="BF93" s="46">
        <f>'LINEST VARS'!$U$60+'LINEST VARS'!$T$60*(8)+'LINEST VARS'!$S$60*(8)+'LINEST VARS'!$R$60*($BF$80)+'LINEST VARS'!$Q$60*($AZ93)+'LINEST VARS'!$P$60*(12.73)+'LINEST VARS'!$O$60*(8^2)+'LINEST VARS'!$N$60*(8^2)+'LINEST VARS'!$M$60*($BF$80^2)+'LINEST VARS'!$L$60*($AZ93^2)+'LINEST VARS'!$K$60*(12.73^2)+'LINEST VARS'!$J$60*(8*8)+'LINEST VARS'!$I$60*(8*$BF$80)+'LINEST VARS'!$H$60*(8*$AZ93)+'LINEST VARS'!$G$60*(8*12.73)+'LINEST VARS'!$F$60*(8*$BF$80)+'LINEST VARS'!$E$60*(8*$AZ93)+'LINEST VARS'!$D$60*(8*12.73)+'LINEST VARS'!$C$60*($BF$80*$AZ93)+'LINEST VARS'!$B$60*($BF$80*12.73)+'LINEST VARS'!$A$60*($AZ93*12.73)</f>
        <v>40.46</v>
      </c>
      <c r="BG93" s="46">
        <f>'LINEST VARS'!$U$60+'LINEST VARS'!$T$60*(8)+'LINEST VARS'!$S$60*(8)+'LINEST VARS'!$R$60*($BG$80)+'LINEST VARS'!$Q$60*($AZ93)+'LINEST VARS'!$P$60*(12.73)+'LINEST VARS'!$O$60*(8^2)+'LINEST VARS'!$N$60*(8^2)+'LINEST VARS'!$M$60*($BG$80^2)+'LINEST VARS'!$L$60*($AZ93^2)+'LINEST VARS'!$K$60*(12.73^2)+'LINEST VARS'!$J$60*(8*8)+'LINEST VARS'!$I$60*(8*$BG$80)+'LINEST VARS'!$H$60*(8*$AZ93)+'LINEST VARS'!$G$60*(8*12.73)+'LINEST VARS'!$F$60*(8*$BG$80)+'LINEST VARS'!$E$60*(8*$AZ93)+'LINEST VARS'!$D$60*(8*12.73)+'LINEST VARS'!$C$60*($BG$80*$AZ93)+'LINEST VARS'!$B$60*($BG$80*12.73)+'LINEST VARS'!$A$60*($AZ93*12.73)</f>
        <v>40.460000000000008</v>
      </c>
      <c r="BH93" s="46">
        <f>'LINEST VARS'!$U$60+'LINEST VARS'!$T$60*(8)+'LINEST VARS'!$S$60*(8)+'LINEST VARS'!$R$60*($BH$80)+'LINEST VARS'!$Q$60*($AZ93)+'LINEST VARS'!$P$60*(12.73)+'LINEST VARS'!$O$60*(8^2)+'LINEST VARS'!$N$60*(8^2)+'LINEST VARS'!$M$60*($BH$80^2)+'LINEST VARS'!$L$60*($AZ93^2)+'LINEST VARS'!$K$60*(12.73^2)+'LINEST VARS'!$J$60*(8*8)+'LINEST VARS'!$I$60*(8*$BH$80)+'LINEST VARS'!$H$60*(8*$AZ93)+'LINEST VARS'!$G$60*(8*12.73)+'LINEST VARS'!$F$60*(8*$BH$80)+'LINEST VARS'!$E$60*(8*$AZ93)+'LINEST VARS'!$D$60*(8*12.73)+'LINEST VARS'!$C$60*($BH$80*$AZ93)+'LINEST VARS'!$B$60*($BH$80*12.73)+'LINEST VARS'!$A$60*($AZ93*12.73)</f>
        <v>40.460000000000008</v>
      </c>
      <c r="BI93" s="46">
        <f>'LINEST VARS'!$U$60+'LINEST VARS'!$T$60*(8)+'LINEST VARS'!$S$60*(8)+'LINEST VARS'!$R$60*($BI$80)+'LINEST VARS'!$Q$60*($AZ93)+'LINEST VARS'!$P$60*(12.73)+'LINEST VARS'!$O$60*(8^2)+'LINEST VARS'!$N$60*(8^2)+'LINEST VARS'!$M$60*($BI$80^2)+'LINEST VARS'!$L$60*($AZ93^2)+'LINEST VARS'!$K$60*(12.73^2)+'LINEST VARS'!$J$60*(8*8)+'LINEST VARS'!$I$60*(8*$BI$80)+'LINEST VARS'!$H$60*(8*$AZ93)+'LINEST VARS'!$G$60*(8*12.73)+'LINEST VARS'!$F$60*(8*$BI$80)+'LINEST VARS'!$E$60*(8*$AZ93)+'LINEST VARS'!$D$60*(8*12.73)+'LINEST VARS'!$C$60*($BI$80*$AZ93)+'LINEST VARS'!$B$60*($BI$80*12.73)+'LINEST VARS'!$A$60*($AZ93*12.73)</f>
        <v>40.460000000000008</v>
      </c>
      <c r="BJ93" s="46">
        <f>'LINEST VARS'!$U$60+'LINEST VARS'!$T$60*(8)+'LINEST VARS'!$S$60*(8)+'LINEST VARS'!$R$60*($BJ$80)+'LINEST VARS'!$Q$60*($AZ93)+'LINEST VARS'!$P$60*(12.73)+'LINEST VARS'!$O$60*(8^2)+'LINEST VARS'!$N$60*(8^2)+'LINEST VARS'!$M$60*($BJ$80^2)+'LINEST VARS'!$L$60*($AZ93^2)+'LINEST VARS'!$K$60*(12.73^2)+'LINEST VARS'!$J$60*(8*8)+'LINEST VARS'!$I$60*(8*$BJ$80)+'LINEST VARS'!$H$60*(8*$AZ93)+'LINEST VARS'!$G$60*(8*12.73)+'LINEST VARS'!$F$60*(8*$BJ$80)+'LINEST VARS'!$E$60*(8*$AZ93)+'LINEST VARS'!$D$60*(8*12.73)+'LINEST VARS'!$C$60*($BJ$80*$AZ93)+'LINEST VARS'!$B$60*($BJ$80*12.73)+'LINEST VARS'!$A$60*($AZ93*12.73)</f>
        <v>40.460000000000008</v>
      </c>
      <c r="BK93" s="46">
        <f>'LINEST VARS'!$U$60+'LINEST VARS'!$T$60*(8)+'LINEST VARS'!$S$60*(8)+'LINEST VARS'!$R$60*($BK$80)+'LINEST VARS'!$Q$60*($AZ93)+'LINEST VARS'!$P$60*(12.73)+'LINEST VARS'!$O$60*(8^2)+'LINEST VARS'!$N$60*(8^2)+'LINEST VARS'!$M$60*($BK$80^2)+'LINEST VARS'!$L$60*($AZ93^2)+'LINEST VARS'!$K$60*(12.73^2)+'LINEST VARS'!$J$60*(8*8)+'LINEST VARS'!$I$60*(8*$BK$80)+'LINEST VARS'!$H$60*(8*$AZ93)+'LINEST VARS'!$G$60*(8*12.73)+'LINEST VARS'!$F$60*(8*$BK$80)+'LINEST VARS'!$E$60*(8*$AZ93)+'LINEST VARS'!$D$60*(8*12.73)+'LINEST VARS'!$C$60*($BK$80*$AZ93)+'LINEST VARS'!$B$60*($BK$80*12.73)+'LINEST VARS'!$A$60*($AZ93*12.73)</f>
        <v>40.460000000000008</v>
      </c>
      <c r="BL93" s="46">
        <f>'LINEST VARS'!$U$60+'LINEST VARS'!$T$60*(8)+'LINEST VARS'!$S$60*(8)+'LINEST VARS'!$R$60*($BL$80)+'LINEST VARS'!$Q$60*($AZ93)+'LINEST VARS'!$P$60*(12.73)+'LINEST VARS'!$O$60*(8^2)+'LINEST VARS'!$N$60*(8^2)+'LINEST VARS'!$M$60*($BL$80^2)+'LINEST VARS'!$L$60*($AZ93^2)+'LINEST VARS'!$K$60*(12.73^2)+'LINEST VARS'!$J$60*(8*8)+'LINEST VARS'!$I$60*(8*$BL$80)+'LINEST VARS'!$H$60*(8*$AZ93)+'LINEST VARS'!$G$60*(8*12.73)+'LINEST VARS'!$F$60*(8*$BL$80)+'LINEST VARS'!$E$60*(8*$AZ93)+'LINEST VARS'!$D$60*(8*12.73)+'LINEST VARS'!$C$60*($BL$80*$AZ93)+'LINEST VARS'!$B$60*($BL$80*12.73)+'LINEST VARS'!$A$60*($AZ93*12.73)</f>
        <v>40.460000000000008</v>
      </c>
      <c r="BM93" s="46">
        <f>'LINEST VARS'!$U$60+'LINEST VARS'!$T$60*(8)+'LINEST VARS'!$S$60*(8)+'LINEST VARS'!$R$60*($BM$80)+'LINEST VARS'!$Q$60*($AZ93)+'LINEST VARS'!$P$60*(12.73)+'LINEST VARS'!$O$60*(8^2)+'LINEST VARS'!$N$60*(8^2)+'LINEST VARS'!$M$60*($BM$80^2)+'LINEST VARS'!$L$60*($AZ93^2)+'LINEST VARS'!$K$60*(12.73^2)+'LINEST VARS'!$J$60*(8*8)+'LINEST VARS'!$I$60*(8*$BM$80)+'LINEST VARS'!$H$60*(8*$AZ93)+'LINEST VARS'!$G$60*(8*12.73)+'LINEST VARS'!$F$60*(8*$BM$80)+'LINEST VARS'!$E$60*(8*$AZ93)+'LINEST VARS'!$D$60*(8*12.73)+'LINEST VARS'!$C$60*($BM$80*$AZ93)+'LINEST VARS'!$B$60*($BM$80*12.73)+'LINEST VARS'!$A$60*($AZ93*12.73)</f>
        <v>40.460000000000008</v>
      </c>
      <c r="BN93" s="46">
        <f>'LINEST VARS'!$U$60+'LINEST VARS'!$T$60*(8)+'LINEST VARS'!$S$60*(8)+'LINEST VARS'!$R$60*($BN$80)+'LINEST VARS'!$Q$60*($AZ93)+'LINEST VARS'!$P$60*(12.73)+'LINEST VARS'!$O$60*(8^2)+'LINEST VARS'!$N$60*(8^2)+'LINEST VARS'!$M$60*($BN$80^2)+'LINEST VARS'!$L$60*($AZ93^2)+'LINEST VARS'!$K$60*(12.73^2)+'LINEST VARS'!$J$60*(8*8)+'LINEST VARS'!$I$60*(8*$BN$80)+'LINEST VARS'!$H$60*(8*$AZ93)+'LINEST VARS'!$G$60*(8*12.73)+'LINEST VARS'!$F$60*(8*$BN$80)+'LINEST VARS'!$E$60*(8*$AZ93)+'LINEST VARS'!$D$60*(8*12.73)+'LINEST VARS'!$C$60*($BN$80*$AZ93)+'LINEST VARS'!$B$60*($BN$80*12.73)+'LINEST VARS'!$A$60*($AZ93*12.73)</f>
        <v>40.46</v>
      </c>
      <c r="BO93" s="46">
        <f>'LINEST VARS'!$U$60+'LINEST VARS'!$T$60*(8)+'LINEST VARS'!$S$60*(8)+'LINEST VARS'!$R$60*($BO$80)+'LINEST VARS'!$Q$60*($AZ93)+'LINEST VARS'!$P$60*(12.73)+'LINEST VARS'!$O$60*(8^2)+'LINEST VARS'!$N$60*(8^2)+'LINEST VARS'!$M$60*($BO$80^2)+'LINEST VARS'!$L$60*($AZ93^2)+'LINEST VARS'!$K$60*(12.73^2)+'LINEST VARS'!$J$60*(8*8)+'LINEST VARS'!$I$60*(8*$BO$80)+'LINEST VARS'!$H$60*(8*$AZ93)+'LINEST VARS'!$G$60*(8*12.73)+'LINEST VARS'!$F$60*(8*$BO$80)+'LINEST VARS'!$E$60*(8*$AZ93)+'LINEST VARS'!$D$60*(8*12.73)+'LINEST VARS'!$C$60*($BO$80*$AZ93)+'LINEST VARS'!$B$60*($BO$80*12.73)+'LINEST VARS'!$A$60*($AZ93*12.73)</f>
        <v>40.460000000000008</v>
      </c>
      <c r="BP93" s="46">
        <f>'LINEST VARS'!$U$60+'LINEST VARS'!$T$60*(8)+'LINEST VARS'!$S$60*(8)+'LINEST VARS'!$R$60*($BP$80)+'LINEST VARS'!$Q$60*($AZ93)+'LINEST VARS'!$P$60*(12.73)+'LINEST VARS'!$O$60*(8^2)+'LINEST VARS'!$N$60*(8^2)+'LINEST VARS'!$M$60*($BP$80^2)+'LINEST VARS'!$L$60*($AZ93^2)+'LINEST VARS'!$K$60*(12.73^2)+'LINEST VARS'!$J$60*(8*8)+'LINEST VARS'!$I$60*(8*$BP$80)+'LINEST VARS'!$H$60*(8*$AZ93)+'LINEST VARS'!$G$60*(8*12.73)+'LINEST VARS'!$F$60*(8*$BP$80)+'LINEST VARS'!$E$60*(8*$AZ93)+'LINEST VARS'!$D$60*(8*12.73)+'LINEST VARS'!$C$60*($BP$80*$AZ93)+'LINEST VARS'!$B$60*($BP$80*12.73)+'LINEST VARS'!$A$60*($AZ93*12.73)</f>
        <v>40.460000000000008</v>
      </c>
      <c r="BQ93" s="46">
        <f>'LINEST VARS'!$U$60+'LINEST VARS'!$T$60*(8)+'LINEST VARS'!$S$60*(8)+'LINEST VARS'!$R$60*($BQ$80)+'LINEST VARS'!$Q$60*($AZ93)+'LINEST VARS'!$P$60*(12.73)+'LINEST VARS'!$O$60*(8^2)+'LINEST VARS'!$N$60*(8^2)+'LINEST VARS'!$M$60*($BQ$80^2)+'LINEST VARS'!$L$60*($AZ93^2)+'LINEST VARS'!$K$60*(12.73^2)+'LINEST VARS'!$J$60*(8*8)+'LINEST VARS'!$I$60*(8*$BQ$80)+'LINEST VARS'!$H$60*(8*$AZ93)+'LINEST VARS'!$G$60*(8*12.73)+'LINEST VARS'!$F$60*(8*$BQ$80)+'LINEST VARS'!$E$60*(8*$AZ93)+'LINEST VARS'!$D$60*(8*12.73)+'LINEST VARS'!$C$60*($BQ$80*$AZ93)+'LINEST VARS'!$B$60*($BQ$80*12.73)+'LINEST VARS'!$A$60*($AZ93*12.73)</f>
        <v>40.460000000000008</v>
      </c>
      <c r="BR93" s="46">
        <f>'LINEST VARS'!$U$60+'LINEST VARS'!$T$60*(8)+'LINEST VARS'!$S$60*(8)+'LINEST VARS'!$R$60*($BR$80)+'LINEST VARS'!$Q$60*($AZ93)+'LINEST VARS'!$P$60*(12.73)+'LINEST VARS'!$O$60*(8^2)+'LINEST VARS'!$N$60*(8^2)+'LINEST VARS'!$M$60*($BR$80^2)+'LINEST VARS'!$L$60*($AZ93^2)+'LINEST VARS'!$K$60*(12.73^2)+'LINEST VARS'!$J$60*(8*8)+'LINEST VARS'!$I$60*(8*$BR$80)+'LINEST VARS'!$H$60*(8*$AZ93)+'LINEST VARS'!$G$60*(8*12.73)+'LINEST VARS'!$F$60*(8*$BR$80)+'LINEST VARS'!$E$60*(8*$AZ93)+'LINEST VARS'!$D$60*(8*12.73)+'LINEST VARS'!$C$60*($BR$80*$AZ93)+'LINEST VARS'!$B$60*($BR$80*12.73)+'LINEST VARS'!$A$60*($AZ93*12.73)</f>
        <v>40.460000000000008</v>
      </c>
      <c r="BS93" s="46">
        <f>'LINEST VARS'!$U$60+'LINEST VARS'!$T$60*(8)+'LINEST VARS'!$S$60*(8)+'LINEST VARS'!$R$60*($BS$80)+'LINEST VARS'!$Q$60*($AZ93)+'LINEST VARS'!$P$60*(12.73)+'LINEST VARS'!$O$60*(8^2)+'LINEST VARS'!$N$60*(8^2)+'LINEST VARS'!$M$60*($BS$80^2)+'LINEST VARS'!$L$60*($AZ93^2)+'LINEST VARS'!$K$60*(12.73^2)+'LINEST VARS'!$J$60*(8*8)+'LINEST VARS'!$I$60*(8*$BS$80)+'LINEST VARS'!$H$60*(8*$AZ93)+'LINEST VARS'!$G$60*(8*12.73)+'LINEST VARS'!$F$60*(8*$BS$80)+'LINEST VARS'!$E$60*(8*$AZ93)+'LINEST VARS'!$D$60*(8*12.73)+'LINEST VARS'!$C$60*($BS$80*$AZ93)+'LINEST VARS'!$B$60*($BS$80*12.73)+'LINEST VARS'!$A$60*($AZ93*12.73)</f>
        <v>40.460000000000008</v>
      </c>
      <c r="BT93" s="46">
        <f>'LINEST VARS'!$U$60+'LINEST VARS'!$T$60*(8)+'LINEST VARS'!$S$60*(8)+'LINEST VARS'!$R$60*($BT$80)+'LINEST VARS'!$Q$60*($AZ93)+'LINEST VARS'!$P$60*(12.73)+'LINEST VARS'!$O$60*(8^2)+'LINEST VARS'!$N$60*(8^2)+'LINEST VARS'!$M$60*($BT$80^2)+'LINEST VARS'!$L$60*($AZ93^2)+'LINEST VARS'!$K$60*(12.73^2)+'LINEST VARS'!$J$60*(8*8)+'LINEST VARS'!$I$60*(8*$BT$80)+'LINEST VARS'!$H$60*(8*$AZ93)+'LINEST VARS'!$G$60*(8*12.73)+'LINEST VARS'!$F$60*(8*$BT$80)+'LINEST VARS'!$E$60*(8*$AZ93)+'LINEST VARS'!$D$60*(8*12.73)+'LINEST VARS'!$C$60*($BT$80*$AZ93)+'LINEST VARS'!$B$60*($BT$80*12.73)+'LINEST VARS'!$A$60*($AZ93*12.73)</f>
        <v>40.460000000000008</v>
      </c>
      <c r="BU93" s="47">
        <f>'LINEST VARS'!$U$60+'LINEST VARS'!$T$60*(8)+'LINEST VARS'!$S$60*(8)+'LINEST VARS'!$R$60*($BU$80)+'LINEST VARS'!$Q$60*($AZ93)+'LINEST VARS'!$P$60*(12.73)+'LINEST VARS'!$O$60*(8^2)+'LINEST VARS'!$N$60*(8^2)+'LINEST VARS'!$M$60*($BU$80^2)+'LINEST VARS'!$L$60*($AZ93^2)+'LINEST VARS'!$K$60*(12.73^2)+'LINEST VARS'!$J$60*(8*8)+'LINEST VARS'!$I$60*(8*$BU$80)+'LINEST VARS'!$H$60*(8*$AZ93)+'LINEST VARS'!$G$60*(8*12.73)+'LINEST VARS'!$F$60*(8*$BU$80)+'LINEST VARS'!$E$60*(8*$AZ93)+'LINEST VARS'!$D$60*(8*12.73)+'LINEST VARS'!$C$60*($BU$80*$AZ93)+'LINEST VARS'!$B$60*($BU$80*12.73)+'LINEST VARS'!$A$60*($AZ93*12.73)</f>
        <v>40.460000000000008</v>
      </c>
      <c r="BX93" s="45">
        <v>0.6</v>
      </c>
      <c r="BY93" s="55">
        <f>'LINEST VARS'!$U$62+'LINEST VARS'!$T$62*(8)+'LINEST VARS'!$S$62*(8)+'LINEST VARS'!$R$62*($BY$80)+'LINEST VARS'!$Q$62*($BX93)+'LINEST VARS'!$P$62*(12.73)+'LINEST VARS'!$O$62*(8^2)+'LINEST VARS'!$N$62*(8^2)+'LINEST VARS'!$M$62*($BY$80^2)+'LINEST VARS'!$L$62*($BX93^2)+'LINEST VARS'!$K$62*(12.73^2)+'LINEST VARS'!$J$62*(8*8)+'LINEST VARS'!$I$62*(8*$BY$80)+'LINEST VARS'!$H$62*(8*$BX93)+'LINEST VARS'!$G$62*(8*12.73)+'LINEST VARS'!$F$62*(8*$BY$80)+'LINEST VARS'!$E$62*(8*$BX93)+'LINEST VARS'!$D$62*(8*12.73)+'LINEST VARS'!$C$62*($BY$80*$BX93)+'LINEST VARS'!$B$62*($BY$80*12.73)+'LINEST VARS'!$A$62*($BX93*12.73)</f>
        <v>349.27999999999986</v>
      </c>
      <c r="BZ93" s="55">
        <f>'LINEST VARS'!$U$62+'LINEST VARS'!$T$62*(8)+'LINEST VARS'!$S$62*(8)+'LINEST VARS'!$R$62*($BZ$80)+'LINEST VARS'!$Q$62*($BX93)+'LINEST VARS'!$P$62*(12.73)+'LINEST VARS'!$O$62*(8^2)+'LINEST VARS'!$N$62*(8^2)+'LINEST VARS'!$M$62*($BZ$80^2)+'LINEST VARS'!$L$62*($BX93^2)+'LINEST VARS'!$K$62*(12.73^2)+'LINEST VARS'!$J$62*(8*8)+'LINEST VARS'!$I$62*(8*$BZ$80)+'LINEST VARS'!$H$62*(8*$BX93)+'LINEST VARS'!$G$62*(8*12.73)+'LINEST VARS'!$F$62*(8*$BZ$80)+'LINEST VARS'!$E$62*(8*$BX93)+'LINEST VARS'!$D$62*(8*12.73)+'LINEST VARS'!$C$62*($BZ$80*$BX93)+'LINEST VARS'!$B$62*($BZ$80*12.73)+'LINEST VARS'!$A$62*($BX93*12.73)</f>
        <v>348.4799999999999</v>
      </c>
      <c r="CA93" s="55">
        <f>'LINEST VARS'!$U$62+'LINEST VARS'!$T$62*(8)+'LINEST VARS'!$S$62*(8)+'LINEST VARS'!$R$62*($CA$80)+'LINEST VARS'!$Q$62*($BX93)+'LINEST VARS'!$P$62*(12.73)+'LINEST VARS'!$O$62*(8^2)+'LINEST VARS'!$N$62*(8^2)+'LINEST VARS'!$M$62*($CA$80^2)+'LINEST VARS'!$L$62*($BX93^2)+'LINEST VARS'!$K$62*(12.73^2)+'LINEST VARS'!$J$62*(8*8)+'LINEST VARS'!$I$62*(8*$CA$80)+'LINEST VARS'!$H$62*(8*$BX93)+'LINEST VARS'!$G$62*(8*12.73)+'LINEST VARS'!$F$62*(8*$CA$80)+'LINEST VARS'!$E$62*(8*$BX93)+'LINEST VARS'!$D$62*(8*12.73)+'LINEST VARS'!$C$62*($CA$80*$BX93)+'LINEST VARS'!$B$62*($CA$80*12.73)+'LINEST VARS'!$A$62*($BX93*12.73)</f>
        <v>346.07999999999981</v>
      </c>
      <c r="CB93" s="55">
        <f>'LINEST VARS'!$U$62+'LINEST VARS'!$T$62*(8)+'LINEST VARS'!$S$62*(8)+'LINEST VARS'!$R$62*($CB$80)+'LINEST VARS'!$Q$62*($BX93)+'LINEST VARS'!$P$62*(12.73)+'LINEST VARS'!$O$62*(8^2)+'LINEST VARS'!$N$62*(8^2)+'LINEST VARS'!$M$62*($CB$80^2)+'LINEST VARS'!$L$62*($BX93^2)+'LINEST VARS'!$K$62*(12.73^2)+'LINEST VARS'!$J$62*(8*8)+'LINEST VARS'!$I$62*(8*$CB$80)+'LINEST VARS'!$H$62*(8*$BX93)+'LINEST VARS'!$G$62*(8*12.73)+'LINEST VARS'!$F$62*(8*$CB$80)+'LINEST VARS'!$E$62*(8*$BX93)+'LINEST VARS'!$D$62*(8*12.73)+'LINEST VARS'!$C$62*($CB$80*$BX93)+'LINEST VARS'!$B$62*($CB$80*12.73)+'LINEST VARS'!$A$62*($BX93*12.73)</f>
        <v>342.07999999999987</v>
      </c>
      <c r="CC93" s="55">
        <f>'LINEST VARS'!$U$62+'LINEST VARS'!$T$62*(8)+'LINEST VARS'!$S$62*(8)+'LINEST VARS'!$R$62*($CC$80)+'LINEST VARS'!$Q$62*($BX93)+'LINEST VARS'!$P$62*(12.73)+'LINEST VARS'!$O$62*(8^2)+'LINEST VARS'!$N$62*(8^2)+'LINEST VARS'!$M$62*($CC$80^2)+'LINEST VARS'!$L$62*($BX93^2)+'LINEST VARS'!$K$62*(12.73^2)+'LINEST VARS'!$J$62*(8*8)+'LINEST VARS'!$I$62*(8*$CC$80)+'LINEST VARS'!$H$62*(8*$BX93)+'LINEST VARS'!$G$62*(8*12.73)+'LINEST VARS'!$F$62*(8*$CC$80)+'LINEST VARS'!$E$62*(8*$BX93)+'LINEST VARS'!$D$62*(8*12.73)+'LINEST VARS'!$C$62*($CC$80*$BX93)+'LINEST VARS'!$B$62*($CC$80*12.73)+'LINEST VARS'!$A$62*($BX93*12.73)</f>
        <v>336.4799999999999</v>
      </c>
      <c r="CD93" s="55">
        <f>'LINEST VARS'!$U$62+'LINEST VARS'!$T$62*(8)+'LINEST VARS'!$S$62*(8)+'LINEST VARS'!$R$62*($CD$80)+'LINEST VARS'!$Q$62*($BX93)+'LINEST VARS'!$P$62*(12.73)+'LINEST VARS'!$O$62*(8^2)+'LINEST VARS'!$N$62*(8^2)+'LINEST VARS'!$M$62*($CD$80^2)+'LINEST VARS'!$L$62*($BX93^2)+'LINEST VARS'!$K$62*(12.73^2)+'LINEST VARS'!$J$62*(8*8)+'LINEST VARS'!$I$62*(8*$CD$80)+'LINEST VARS'!$H$62*(8*$BX93)+'LINEST VARS'!$G$62*(8*12.73)+'LINEST VARS'!$F$62*(8*$CD$80)+'LINEST VARS'!$E$62*(8*$BX93)+'LINEST VARS'!$D$62*(8*12.73)+'LINEST VARS'!$C$62*($CD$80*$BX93)+'LINEST VARS'!$B$62*($CD$80*12.73)+'LINEST VARS'!$A$62*($BX93*12.73)</f>
        <v>329.28</v>
      </c>
      <c r="CE93" s="55">
        <f>'LINEST VARS'!$U$62+'LINEST VARS'!$T$62*(8)+'LINEST VARS'!$S$62*(8)+'LINEST VARS'!$R$62*($CE$80)+'LINEST VARS'!$Q$62*($BX93)+'LINEST VARS'!$P$62*(12.73)+'LINEST VARS'!$O$62*(8^2)+'LINEST VARS'!$N$62*(8^2)+'LINEST VARS'!$M$62*($CE$80^2)+'LINEST VARS'!$L$62*($BX93^2)+'LINEST VARS'!$K$62*(12.73^2)+'LINEST VARS'!$J$62*(8*8)+'LINEST VARS'!$I$62*(8*$CE$80)+'LINEST VARS'!$H$62*(8*$BX93)+'LINEST VARS'!$G$62*(8*12.73)+'LINEST VARS'!$F$62*(8*$CE$80)+'LINEST VARS'!$E$62*(8*$BX93)+'LINEST VARS'!$D$62*(8*12.73)+'LINEST VARS'!$C$62*($CE$80*$BX93)+'LINEST VARS'!$B$62*($CE$80*12.73)+'LINEST VARS'!$A$62*($BX93*12.73)</f>
        <v>320.47999999999985</v>
      </c>
      <c r="CF93" s="55">
        <f>'LINEST VARS'!$U$62+'LINEST VARS'!$T$62*(8)+'LINEST VARS'!$S$62*(8)+'LINEST VARS'!$R$62*($CF$80)+'LINEST VARS'!$Q$62*($BX93)+'LINEST VARS'!$P$62*(12.73)+'LINEST VARS'!$O$62*(8^2)+'LINEST VARS'!$N$62*(8^2)+'LINEST VARS'!$M$62*($CF$80^2)+'LINEST VARS'!$L$62*($BX93^2)+'LINEST VARS'!$K$62*(12.73^2)+'LINEST VARS'!$J$62*(8*8)+'LINEST VARS'!$I$62*(8*$CF$80)+'LINEST VARS'!$H$62*(8*$BX93)+'LINEST VARS'!$G$62*(8*12.73)+'LINEST VARS'!$F$62*(8*$CF$80)+'LINEST VARS'!$E$62*(8*$BX93)+'LINEST VARS'!$D$62*(8*12.73)+'LINEST VARS'!$C$62*($CF$80*$BX93)+'LINEST VARS'!$B$62*($CF$80*12.73)+'LINEST VARS'!$A$62*($BX93*12.73)</f>
        <v>310.07999999999993</v>
      </c>
      <c r="CG93" s="55">
        <f>'LINEST VARS'!$U$62+'LINEST VARS'!$T$62*(8)+'LINEST VARS'!$S$62*(8)+'LINEST VARS'!$R$62*($CG$80)+'LINEST VARS'!$Q$62*($BX93)+'LINEST VARS'!$P$62*(12.73)+'LINEST VARS'!$O$62*(8^2)+'LINEST VARS'!$N$62*(8^2)+'LINEST VARS'!$M$62*($CG$80^2)+'LINEST VARS'!$L$62*($BX93^2)+'LINEST VARS'!$K$62*(12.73^2)+'LINEST VARS'!$J$62*(8*8)+'LINEST VARS'!$I$62*(8*$CG$80)+'LINEST VARS'!$H$62*(8*$BX93)+'LINEST VARS'!$G$62*(8*12.73)+'LINEST VARS'!$F$62*(8*$CG$80)+'LINEST VARS'!$E$62*(8*$BX93)+'LINEST VARS'!$D$62*(8*12.73)+'LINEST VARS'!$C$62*($CG$80*$BX93)+'LINEST VARS'!$B$62*($CG$80*12.73)+'LINEST VARS'!$A$62*($BX93*12.73)</f>
        <v>298.07999999999993</v>
      </c>
      <c r="CH93" s="55">
        <f>'LINEST VARS'!$U$62+'LINEST VARS'!$T$62*(8)+'LINEST VARS'!$S$62*(8)+'LINEST VARS'!$R$62*($CH$80)+'LINEST VARS'!$Q$62*($BX93)+'LINEST VARS'!$P$62*(12.73)+'LINEST VARS'!$O$62*(8^2)+'LINEST VARS'!$N$62*(8^2)+'LINEST VARS'!$M$62*($CH$80^2)+'LINEST VARS'!$L$62*($BX93^2)+'LINEST VARS'!$K$62*(12.73^2)+'LINEST VARS'!$J$62*(8*8)+'LINEST VARS'!$I$62*(8*$CH$80)+'LINEST VARS'!$H$62*(8*$BX93)+'LINEST VARS'!$G$62*(8*12.73)+'LINEST VARS'!$F$62*(8*$CH$80)+'LINEST VARS'!$E$62*(8*$BX93)+'LINEST VARS'!$D$62*(8*12.73)+'LINEST VARS'!$C$62*($CH$80*$BX93)+'LINEST VARS'!$B$62*($CH$80*12.73)+'LINEST VARS'!$A$62*($BX93*12.73)</f>
        <v>284.4799999999999</v>
      </c>
      <c r="CI93" s="55">
        <f>'LINEST VARS'!$U$62+'LINEST VARS'!$T$62*(8)+'LINEST VARS'!$S$62*(8)+'LINEST VARS'!$R$62*($CI$80)+'LINEST VARS'!$Q$62*($BX93)+'LINEST VARS'!$P$62*(12.73)+'LINEST VARS'!$O$62*(8^2)+'LINEST VARS'!$N$62*(8^2)+'LINEST VARS'!$M$62*($CI$80^2)+'LINEST VARS'!$L$62*($BX93^2)+'LINEST VARS'!$K$62*(12.73^2)+'LINEST VARS'!$J$62*(8*8)+'LINEST VARS'!$I$62*(8*$CI$80)+'LINEST VARS'!$H$62*(8*$BX93)+'LINEST VARS'!$G$62*(8*12.73)+'LINEST VARS'!$F$62*(8*$CI$80)+'LINEST VARS'!$E$62*(8*$BX93)+'LINEST VARS'!$D$62*(8*12.73)+'LINEST VARS'!$C$62*($CI$80*$BX93)+'LINEST VARS'!$B$62*($CI$80*12.73)+'LINEST VARS'!$A$62*($BX93*12.73)</f>
        <v>269.27999999999992</v>
      </c>
      <c r="CJ93" s="55">
        <f>'LINEST VARS'!$U$62+'LINEST VARS'!$T$62*(8)+'LINEST VARS'!$S$62*(8)+'LINEST VARS'!$R$62*($CJ$80)+'LINEST VARS'!$Q$62*($BX93)+'LINEST VARS'!$P$62*(12.73)+'LINEST VARS'!$O$62*(8^2)+'LINEST VARS'!$N$62*(8^2)+'LINEST VARS'!$M$62*($CJ$80^2)+'LINEST VARS'!$L$62*($BX93^2)+'LINEST VARS'!$K$62*(12.73^2)+'LINEST VARS'!$J$62*(8*8)+'LINEST VARS'!$I$62*(8*$CJ$80)+'LINEST VARS'!$H$62*(8*$BX93)+'LINEST VARS'!$G$62*(8*12.73)+'LINEST VARS'!$F$62*(8*$CJ$80)+'LINEST VARS'!$E$62*(8*$BX93)+'LINEST VARS'!$D$62*(8*12.73)+'LINEST VARS'!$C$62*($CJ$80*$BX93)+'LINEST VARS'!$B$62*($CJ$80*12.73)+'LINEST VARS'!$A$62*($BX93*12.73)</f>
        <v>252.48000000000005</v>
      </c>
      <c r="CK93" s="55">
        <f>'LINEST VARS'!$U$62+'LINEST VARS'!$T$62*(8)+'LINEST VARS'!$S$62*(8)+'LINEST VARS'!$R$62*($CK$80)+'LINEST VARS'!$Q$62*($BX93)+'LINEST VARS'!$P$62*(12.73)+'LINEST VARS'!$O$62*(8^2)+'LINEST VARS'!$N$62*(8^2)+'LINEST VARS'!$M$62*($CK$80^2)+'LINEST VARS'!$L$62*($BX93^2)+'LINEST VARS'!$K$62*(12.73^2)+'LINEST VARS'!$J$62*(8*8)+'LINEST VARS'!$I$62*(8*$CK$80)+'LINEST VARS'!$H$62*(8*$BX93)+'LINEST VARS'!$G$62*(8*12.73)+'LINEST VARS'!$F$62*(8*$CK$80)+'LINEST VARS'!$E$62*(8*$BX93)+'LINEST VARS'!$D$62*(8*12.73)+'LINEST VARS'!$C$62*($CK$80*$BX93)+'LINEST VARS'!$B$62*($CK$80*12.73)+'LINEST VARS'!$A$62*($BX93*12.73)</f>
        <v>234.0800000000001</v>
      </c>
      <c r="CL93" s="55">
        <f>'LINEST VARS'!$U$62+'LINEST VARS'!$T$62*(8)+'LINEST VARS'!$S$62*(8)+'LINEST VARS'!$R$62*($CL$80)+'LINEST VARS'!$Q$62*($BX93)+'LINEST VARS'!$P$62*(12.73)+'LINEST VARS'!$O$62*(8^2)+'LINEST VARS'!$N$62*(8^2)+'LINEST VARS'!$M$62*($CL$80^2)+'LINEST VARS'!$L$62*($BX93^2)+'LINEST VARS'!$K$62*(12.73^2)+'LINEST VARS'!$J$62*(8*8)+'LINEST VARS'!$I$62*(8*$CL$80)+'LINEST VARS'!$H$62*(8*$BX93)+'LINEST VARS'!$G$62*(8*12.73)+'LINEST VARS'!$F$62*(8*$CL$80)+'LINEST VARS'!$E$62*(8*$BX93)+'LINEST VARS'!$D$62*(8*12.73)+'LINEST VARS'!$C$62*($CL$80*$BX93)+'LINEST VARS'!$B$62*($CL$80*12.73)+'LINEST VARS'!$A$62*($BX93*12.73)</f>
        <v>214.08</v>
      </c>
      <c r="CM93" s="55">
        <f>'LINEST VARS'!$U$62+'LINEST VARS'!$T$62*(8)+'LINEST VARS'!$S$62*(8)+'LINEST VARS'!$R$62*($CM$80)+'LINEST VARS'!$Q$62*($BX93)+'LINEST VARS'!$P$62*(12.73)+'LINEST VARS'!$O$62*(8^2)+'LINEST VARS'!$N$62*(8^2)+'LINEST VARS'!$M$62*($CM$80^2)+'LINEST VARS'!$L$62*($BX93^2)+'LINEST VARS'!$K$62*(12.73^2)+'LINEST VARS'!$J$62*(8*8)+'LINEST VARS'!$I$62*(8*$CM$80)+'LINEST VARS'!$H$62*(8*$BX93)+'LINEST VARS'!$G$62*(8*12.73)+'LINEST VARS'!$F$62*(8*$CM$80)+'LINEST VARS'!$E$62*(8*$BX93)+'LINEST VARS'!$D$62*(8*12.73)+'LINEST VARS'!$C$62*($CM$80*$BX93)+'LINEST VARS'!$B$62*($CM$80*12.73)+'LINEST VARS'!$A$62*($BX93*12.73)</f>
        <v>192.4800000000001</v>
      </c>
      <c r="CN93" s="55">
        <f>'LINEST VARS'!$U$62+'LINEST VARS'!$T$62*(8)+'LINEST VARS'!$S$62*(8)+'LINEST VARS'!$R$62*($CN$80)+'LINEST VARS'!$Q$62*($BX93)+'LINEST VARS'!$P$62*(12.73)+'LINEST VARS'!$O$62*(8^2)+'LINEST VARS'!$N$62*(8^2)+'LINEST VARS'!$M$62*($CN$80^2)+'LINEST VARS'!$L$62*($BX93^2)+'LINEST VARS'!$K$62*(12.73^2)+'LINEST VARS'!$J$62*(8*8)+'LINEST VARS'!$I$62*(8*$CN$80)+'LINEST VARS'!$H$62*(8*$BX93)+'LINEST VARS'!$G$62*(8*12.73)+'LINEST VARS'!$F$62*(8*$CN$80)+'LINEST VARS'!$E$62*(8*$BX93)+'LINEST VARS'!$D$62*(8*12.73)+'LINEST VARS'!$C$62*($CN$80*$BX93)+'LINEST VARS'!$B$62*($CN$80*12.73)+'LINEST VARS'!$A$62*($BX93*12.73)</f>
        <v>169.28000000000009</v>
      </c>
      <c r="CO93" s="55">
        <f>'LINEST VARS'!$U$62+'LINEST VARS'!$T$62*(8)+'LINEST VARS'!$S$62*(8)+'LINEST VARS'!$R$62*($CO$80)+'LINEST VARS'!$Q$62*($BX93)+'LINEST VARS'!$P$62*(12.73)+'LINEST VARS'!$O$62*(8^2)+'LINEST VARS'!$N$62*(8^2)+'LINEST VARS'!$M$62*($CO$80^2)+'LINEST VARS'!$L$62*($BX93^2)+'LINEST VARS'!$K$62*(12.73^2)+'LINEST VARS'!$J$62*(8*8)+'LINEST VARS'!$I$62*(8*$CO$80)+'LINEST VARS'!$H$62*(8*$BX93)+'LINEST VARS'!$G$62*(8*12.73)+'LINEST VARS'!$F$62*(8*$CO$80)+'LINEST VARS'!$E$62*(8*$BX93)+'LINEST VARS'!$D$62*(8*12.73)+'LINEST VARS'!$C$62*($CO$80*$BX93)+'LINEST VARS'!$B$62*($CO$80*12.73)+'LINEST VARS'!$A$62*($BX93*12.73)</f>
        <v>144.4800000000001</v>
      </c>
      <c r="CP93" s="55">
        <f>'LINEST VARS'!$U$62+'LINEST VARS'!$T$62*(8)+'LINEST VARS'!$S$62*(8)+'LINEST VARS'!$R$62*($CP$80)+'LINEST VARS'!$Q$62*($BX93)+'LINEST VARS'!$P$62*(12.73)+'LINEST VARS'!$O$62*(8^2)+'LINEST VARS'!$N$62*(8^2)+'LINEST VARS'!$M$62*($CP$80^2)+'LINEST VARS'!$L$62*($BX93^2)+'LINEST VARS'!$K$62*(12.73^2)+'LINEST VARS'!$J$62*(8*8)+'LINEST VARS'!$I$62*(8*$CP$80)+'LINEST VARS'!$H$62*(8*$BX93)+'LINEST VARS'!$G$62*(8*12.73)+'LINEST VARS'!$F$62*(8*$CP$80)+'LINEST VARS'!$E$62*(8*$BX93)+'LINEST VARS'!$D$62*(8*12.73)+'LINEST VARS'!$C$62*($CP$80*$BX93)+'LINEST VARS'!$B$62*($CP$80*12.73)+'LINEST VARS'!$A$62*($BX93*12.73)</f>
        <v>118.08000000000014</v>
      </c>
      <c r="CQ93" s="55">
        <f>'LINEST VARS'!$U$62+'LINEST VARS'!$T$62*(8)+'LINEST VARS'!$S$62*(8)+'LINEST VARS'!$R$62*($CQ$80)+'LINEST VARS'!$Q$62*($BX93)+'LINEST VARS'!$P$62*(12.73)+'LINEST VARS'!$O$62*(8^2)+'LINEST VARS'!$N$62*(8^2)+'LINEST VARS'!$M$62*($CQ$80^2)+'LINEST VARS'!$L$62*($BX93^2)+'LINEST VARS'!$K$62*(12.73^2)+'LINEST VARS'!$J$62*(8*8)+'LINEST VARS'!$I$62*(8*$CQ$80)+'LINEST VARS'!$H$62*(8*$BX93)+'LINEST VARS'!$G$62*(8*12.73)+'LINEST VARS'!$F$62*(8*$CQ$80)+'LINEST VARS'!$E$62*(8*$BX93)+'LINEST VARS'!$D$62*(8*12.73)+'LINEST VARS'!$C$62*($CQ$80*$BX93)+'LINEST VARS'!$B$62*($CQ$80*12.73)+'LINEST VARS'!$A$62*($BX93*12.73)</f>
        <v>90.08000000000014</v>
      </c>
      <c r="CR93" s="55">
        <f>'LINEST VARS'!$U$62+'LINEST VARS'!$T$62*(8)+'LINEST VARS'!$S$62*(8)+'LINEST VARS'!$R$62*($CR$80)+'LINEST VARS'!$Q$62*($BX93)+'LINEST VARS'!$P$62*(12.73)+'LINEST VARS'!$O$62*(8^2)+'LINEST VARS'!$N$62*(8^2)+'LINEST VARS'!$M$62*($CR$80^2)+'LINEST VARS'!$L$62*($BX93^2)+'LINEST VARS'!$K$62*(12.73^2)+'LINEST VARS'!$J$62*(8*8)+'LINEST VARS'!$I$62*(8*$CR$80)+'LINEST VARS'!$H$62*(8*$BX93)+'LINEST VARS'!$G$62*(8*12.73)+'LINEST VARS'!$F$62*(8*$CR$80)+'LINEST VARS'!$E$62*(8*$BX93)+'LINEST VARS'!$D$62*(8*12.73)+'LINEST VARS'!$C$62*($CR$80*$BX93)+'LINEST VARS'!$B$62*($CR$80*12.73)+'LINEST VARS'!$A$62*($BX93*12.73)</f>
        <v>60.480000000000167</v>
      </c>
      <c r="CS93" s="56">
        <f>'LINEST VARS'!$U$62+'LINEST VARS'!$T$62*(8)+'LINEST VARS'!$S$62*(8)+'LINEST VARS'!$R$62*($CS$80)+'LINEST VARS'!$Q$62*($BX93)+'LINEST VARS'!$P$62*(12.73)+'LINEST VARS'!$O$62*(8^2)+'LINEST VARS'!$N$62*(8^2)+'LINEST VARS'!$M$62*($CS$80^2)+'LINEST VARS'!$L$62*($BX93^2)+'LINEST VARS'!$K$62*(12.73^2)+'LINEST VARS'!$J$62*(8*8)+'LINEST VARS'!$I$62*(8*$CS$80)+'LINEST VARS'!$H$62*(8*$BX93)+'LINEST VARS'!$G$62*(8*12.73)+'LINEST VARS'!$F$62*(8*$CS$80)+'LINEST VARS'!$E$62*(8*$BX93)+'LINEST VARS'!$D$62*(8*12.73)+'LINEST VARS'!$C$62*($CS$80*$BX93)+'LINEST VARS'!$B$62*($CS$80*12.73)+'LINEST VARS'!$A$62*($BX93*12.73)</f>
        <v>29.280000000000211</v>
      </c>
      <c r="CX93" s="45">
        <v>15.593999999999999</v>
      </c>
      <c r="CY93" s="46">
        <f>'LINEST VARS'!$U$60+'LINEST VARS'!$T$60*(8)+'LINEST VARS'!$S$60*(8)+'LINEST VARS'!$R$60*($CY$80)+'LINEST VARS'!$Q$60*(0.5)+'LINEST VARS'!$P$60*($CX93)+'LINEST VARS'!$O$60*(8^2)+'LINEST VARS'!$N$60*(8^2)+'LINEST VARS'!$M$60*($CY$80^2)+'LINEST VARS'!$L$60*(0.5^2)+'LINEST VARS'!$K$60*($CX93^2)+'LINEST VARS'!$J$60*(8*8)+'LINEST VARS'!$I$60*(8*$CY$80)+'LINEST VARS'!$H$60*(8*0.5)+'LINEST VARS'!$G$60*(8*$CX93)+'LINEST VARS'!$F$60*(8*$CY$80)+'LINEST VARS'!$E$60*(8*0.5)+'LINEST VARS'!$D$60*(8*$CX93)+'LINEST VARS'!$C$60*($CY$80*0.5)+'LINEST VARS'!$B$60*($CY$80*$CX93)+'LINEST VARS'!$A$60*(0.5*$CX93)</f>
        <v>46.188000000000002</v>
      </c>
      <c r="CZ93" s="46">
        <f>'LINEST VARS'!$U$60+'LINEST VARS'!$T$60*(8)+'LINEST VARS'!$S$60*(8)+'LINEST VARS'!$R$60*($CZ$80)+'LINEST VARS'!$Q$60*(0.5)+'LINEST VARS'!$P$60*($CX93)+'LINEST VARS'!$O$60*(8^2)+'LINEST VARS'!$N$60*(8^2)+'LINEST VARS'!$M$60*($CZ$80^2)+'LINEST VARS'!$L$60*(0.5^2)+'LINEST VARS'!$K$60*($CX93^2)+'LINEST VARS'!$J$60*(8*8)+'LINEST VARS'!$I$60*(8*$CZ$80)+'LINEST VARS'!$H$60*(8*0.5)+'LINEST VARS'!$G$60*(8*$CX93)+'LINEST VARS'!$F$60*(8*$CZ$80)+'LINEST VARS'!$E$60*(8*0.5)+'LINEST VARS'!$D$60*(8*$CX93)+'LINEST VARS'!$C$60*($CZ$80*0.5)+'LINEST VARS'!$B$60*($CZ$80*$CX93)+'LINEST VARS'!$A$60*(0.5*$CX93)</f>
        <v>46.188000000000002</v>
      </c>
      <c r="DA93" s="46">
        <f>'LINEST VARS'!$U$60+'LINEST VARS'!$T$60*(8)+'LINEST VARS'!$S$60*(8)+'LINEST VARS'!$R$60*($DA$80)+'LINEST VARS'!$Q$60*(0.5)+'LINEST VARS'!$P$60*($CX93)+'LINEST VARS'!$O$60*(8^2)+'LINEST VARS'!$N$60*(8^2)+'LINEST VARS'!$M$60*($DA$80^2)+'LINEST VARS'!$L$60*(0.5^2)+'LINEST VARS'!$K$60*($CX93^2)+'LINEST VARS'!$J$60*(8*8)+'LINEST VARS'!$I$60*(8*$DA$80)+'LINEST VARS'!$H$60*(8*0.5)+'LINEST VARS'!$G$60*(8*$CX93)+'LINEST VARS'!$F$60*(8*$DA$80)+'LINEST VARS'!$E$60*(8*0.5)+'LINEST VARS'!$D$60*(8*$CX93)+'LINEST VARS'!$C$60*($DA$80*0.5)+'LINEST VARS'!$B$60*($DA$80*$CX93)+'LINEST VARS'!$A$60*(0.5*$CX93)</f>
        <v>46.188000000000002</v>
      </c>
      <c r="DB93" s="46">
        <f>'LINEST VARS'!$U$60+'LINEST VARS'!$T$60*(8)+'LINEST VARS'!$S$60*(8)+'LINEST VARS'!$R$60*($DB$80)+'LINEST VARS'!$Q$60*(0.5)+'LINEST VARS'!$P$60*($CX93)+'LINEST VARS'!$O$60*(8^2)+'LINEST VARS'!$N$60*(8^2)+'LINEST VARS'!$M$60*($DB$80^2)+'LINEST VARS'!$L$60*(0.5^2)+'LINEST VARS'!$K$60*($CX93^2)+'LINEST VARS'!$J$60*(8*8)+'LINEST VARS'!$I$60*(8*$DB$80)+'LINEST VARS'!$H$60*(8*0.5)+'LINEST VARS'!$G$60*(8*$CX93)+'LINEST VARS'!$F$60*(8*$DB$80)+'LINEST VARS'!$E$60*(8*0.5)+'LINEST VARS'!$D$60*(8*$CX93)+'LINEST VARS'!$C$60*($DB$80*0.5)+'LINEST VARS'!$B$60*($DB$80*$CX93)+'LINEST VARS'!$A$60*(0.5*$CX93)</f>
        <v>46.188000000000009</v>
      </c>
      <c r="DC93" s="46">
        <f>'LINEST VARS'!$U$60+'LINEST VARS'!$T$60*(8)+'LINEST VARS'!$S$60*(8)+'LINEST VARS'!$R$60*($DC$80)+'LINEST VARS'!$Q$60*(0.5)+'LINEST VARS'!$P$60*($CX93)+'LINEST VARS'!$O$60*(8^2)+'LINEST VARS'!$N$60*(8^2)+'LINEST VARS'!$M$60*($DC$80^2)+'LINEST VARS'!$L$60*(0.5^2)+'LINEST VARS'!$K$60*($CX93^2)+'LINEST VARS'!$J$60*(8*8)+'LINEST VARS'!$I$60*(8*$DC$80)+'LINEST VARS'!$H$60*(8*0.5)+'LINEST VARS'!$G$60*(8*$CX93)+'LINEST VARS'!$F$60*(8*$DC$80)+'LINEST VARS'!$E$60*(8*0.5)+'LINEST VARS'!$D$60*(8*$CX93)+'LINEST VARS'!$C$60*($DC$80*0.5)+'LINEST VARS'!$B$60*($DC$80*$CX93)+'LINEST VARS'!$A$60*(0.5*$CX93)</f>
        <v>46.188000000000002</v>
      </c>
      <c r="DD93" s="46">
        <f>'LINEST VARS'!$U$60+'LINEST VARS'!$T$60*(8)+'LINEST VARS'!$S$60*(8)+'LINEST VARS'!$R$60*($DD$80)+'LINEST VARS'!$Q$60*(0.5)+'LINEST VARS'!$P$60*($CX93)+'LINEST VARS'!$O$60*(8^2)+'LINEST VARS'!$N$60*(8^2)+'LINEST VARS'!$M$60*($DD$80^2)+'LINEST VARS'!$L$60*(0.5^2)+'LINEST VARS'!$K$60*($CX93^2)+'LINEST VARS'!$J$60*(8*8)+'LINEST VARS'!$I$60*(8*$DD$80)+'LINEST VARS'!$H$60*(8*0.5)+'LINEST VARS'!$G$60*(8*$CX93)+'LINEST VARS'!$F$60*(8*$DD$80)+'LINEST VARS'!$E$60*(8*0.5)+'LINEST VARS'!$D$60*(8*$CX93)+'LINEST VARS'!$C$60*($DD$80*0.5)+'LINEST VARS'!$B$60*($DD$80*$CX93)+'LINEST VARS'!$A$60*(0.5*$CX93)</f>
        <v>46.188000000000002</v>
      </c>
      <c r="DE93" s="46">
        <f>'LINEST VARS'!$U$60+'LINEST VARS'!$T$60*(8)+'LINEST VARS'!$S$60*(8)+'LINEST VARS'!$R$60*($DE$80)+'LINEST VARS'!$Q$60*(0.5)+'LINEST VARS'!$P$60*($CX93)+'LINEST VARS'!$O$60*(8^2)+'LINEST VARS'!$N$60*(8^2)+'LINEST VARS'!$M$60*($DE$80^2)+'LINEST VARS'!$L$60*(0.5^2)+'LINEST VARS'!$K$60*($CX93^2)+'LINEST VARS'!$J$60*(8*8)+'LINEST VARS'!$I$60*(8*$DE$80)+'LINEST VARS'!$H$60*(8*0.5)+'LINEST VARS'!$G$60*(8*$CX93)+'LINEST VARS'!$F$60*(8*$DE$80)+'LINEST VARS'!$E$60*(8*0.5)+'LINEST VARS'!$D$60*(8*$CX93)+'LINEST VARS'!$C$60*($DE$80*0.5)+'LINEST VARS'!$B$60*($DE$80*$CX93)+'LINEST VARS'!$A$60*(0.5*$CX93)</f>
        <v>46.188000000000002</v>
      </c>
      <c r="DF93" s="46">
        <f>'LINEST VARS'!$U$60+'LINEST VARS'!$T$60*(8)+'LINEST VARS'!$S$60*(8)+'LINEST VARS'!$R$60*($DF$80)+'LINEST VARS'!$Q$60*(0.5)+'LINEST VARS'!$P$60*($CX93)+'LINEST VARS'!$O$60*(8^2)+'LINEST VARS'!$N$60*(8^2)+'LINEST VARS'!$M$60*($DF$80^2)+'LINEST VARS'!$L$60*(0.5^2)+'LINEST VARS'!$K$60*($CX93^2)+'LINEST VARS'!$J$60*(8*8)+'LINEST VARS'!$I$60*(8*$DF$80)+'LINEST VARS'!$H$60*(8*0.5)+'LINEST VARS'!$G$60*(8*$CX93)+'LINEST VARS'!$F$60*(8*$DF$80)+'LINEST VARS'!$E$60*(8*0.5)+'LINEST VARS'!$D$60*(8*$CX93)+'LINEST VARS'!$C$60*($DF$80*0.5)+'LINEST VARS'!$B$60*($DF$80*$CX93)+'LINEST VARS'!$A$60*(0.5*$CX93)</f>
        <v>46.188000000000002</v>
      </c>
      <c r="DG93" s="46">
        <f>'LINEST VARS'!$U$60+'LINEST VARS'!$T$60*(8)+'LINEST VARS'!$S$60*(8)+'LINEST VARS'!$R$60*($DG$80)+'LINEST VARS'!$Q$60*(0.5)+'LINEST VARS'!$P$60*($CX93)+'LINEST VARS'!$O$60*(8^2)+'LINEST VARS'!$N$60*(8^2)+'LINEST VARS'!$M$60*($DG$80^2)+'LINEST VARS'!$L$60*(0.5^2)+'LINEST VARS'!$K$60*($CX93^2)+'LINEST VARS'!$J$60*(8*8)+'LINEST VARS'!$I$60*(8*$DG$80)+'LINEST VARS'!$H$60*(8*0.5)+'LINEST VARS'!$G$60*(8*$CX93)+'LINEST VARS'!$F$60*(8*$DG$80)+'LINEST VARS'!$E$60*(8*0.5)+'LINEST VARS'!$D$60*(8*$CX93)+'LINEST VARS'!$C$60*($DG$80*0.5)+'LINEST VARS'!$B$60*($DG$80*$CX93)+'LINEST VARS'!$A$60*(0.5*$CX93)</f>
        <v>46.188000000000002</v>
      </c>
      <c r="DH93" s="46">
        <f>'LINEST VARS'!$U$60+'LINEST VARS'!$T$60*(8)+'LINEST VARS'!$S$60*(8)+'LINEST VARS'!$R$60*($DH$80)+'LINEST VARS'!$Q$60*(0.5)+'LINEST VARS'!$P$60*($CX93)+'LINEST VARS'!$O$60*(8^2)+'LINEST VARS'!$N$60*(8^2)+'LINEST VARS'!$M$60*($DH$80^2)+'LINEST VARS'!$L$60*(0.5^2)+'LINEST VARS'!$K$60*($CX93^2)+'LINEST VARS'!$J$60*(8*8)+'LINEST VARS'!$I$60*(8*$DH$80)+'LINEST VARS'!$H$60*(8*0.5)+'LINEST VARS'!$G$60*(8*$CX93)+'LINEST VARS'!$F$60*(8*$DH$80)+'LINEST VARS'!$E$60*(8*0.5)+'LINEST VARS'!$D$60*(8*$CX93)+'LINEST VARS'!$C$60*($DH$80*0.5)+'LINEST VARS'!$B$60*($DH$80*$CX93)+'LINEST VARS'!$A$60*(0.5*$CX93)</f>
        <v>46.188000000000002</v>
      </c>
      <c r="DI93" s="46">
        <f>'LINEST VARS'!$U$60+'LINEST VARS'!$T$60*(8)+'LINEST VARS'!$S$60*(8)+'LINEST VARS'!$R$60*($DI$80)+'LINEST VARS'!$Q$60*(0.5)+'LINEST VARS'!$P$60*($CX93)+'LINEST VARS'!$O$60*(8^2)+'LINEST VARS'!$N$60*(8^2)+'LINEST VARS'!$M$60*($DI$80^2)+'LINEST VARS'!$L$60*(0.5^2)+'LINEST VARS'!$K$60*($CX93^2)+'LINEST VARS'!$J$60*(8*8)+'LINEST VARS'!$I$60*(8*$DI$80)+'LINEST VARS'!$H$60*(8*0.5)+'LINEST VARS'!$G$60*(8*$CX93)+'LINEST VARS'!$F$60*(8*$DI$80)+'LINEST VARS'!$E$60*(8*0.5)+'LINEST VARS'!$D$60*(8*$CX93)+'LINEST VARS'!$C$60*($DI$80*0.5)+'LINEST VARS'!$B$60*($DI$80*$CX93)+'LINEST VARS'!$A$60*(0.5*$CX93)</f>
        <v>46.188000000000009</v>
      </c>
      <c r="DJ93" s="46">
        <f>'LINEST VARS'!$U$60+'LINEST VARS'!$T$60*(8)+'LINEST VARS'!$S$60*(8)+'LINEST VARS'!$R$60*($DJ$80)+'LINEST VARS'!$Q$60*(0.5)+'LINEST VARS'!$P$60*($CX93)+'LINEST VARS'!$O$60*(8^2)+'LINEST VARS'!$N$60*(8^2)+'LINEST VARS'!$M$60*($DJ$80^2)+'LINEST VARS'!$L$60*(0.5^2)+'LINEST VARS'!$K$60*($CX93^2)+'LINEST VARS'!$J$60*(8*8)+'LINEST VARS'!$I$60*(8*$DJ$80)+'LINEST VARS'!$H$60*(8*0.5)+'LINEST VARS'!$G$60*(8*$CX93)+'LINEST VARS'!$F$60*(8*$DJ$80)+'LINEST VARS'!$E$60*(8*0.5)+'LINEST VARS'!$D$60*(8*$CX93)+'LINEST VARS'!$C$60*($DJ$80*0.5)+'LINEST VARS'!$B$60*($DJ$80*$CX93)+'LINEST VARS'!$A$60*(0.5*$CX93)</f>
        <v>46.188000000000002</v>
      </c>
      <c r="DK93" s="46">
        <f>'LINEST VARS'!$U$60+'LINEST VARS'!$T$60*(8)+'LINEST VARS'!$S$60*(8)+'LINEST VARS'!$R$60*($DK$80)+'LINEST VARS'!$Q$60*(0.5)+'LINEST VARS'!$P$60*($CX93)+'LINEST VARS'!$O$60*(8^2)+'LINEST VARS'!$N$60*(8^2)+'LINEST VARS'!$M$60*($DK$80^2)+'LINEST VARS'!$L$60*(0.5^2)+'LINEST VARS'!$K$60*($CX93^2)+'LINEST VARS'!$J$60*(8*8)+'LINEST VARS'!$I$60*(8*$DK$80)+'LINEST VARS'!$H$60*(8*0.5)+'LINEST VARS'!$G$60*(8*$CX93)+'LINEST VARS'!$F$60*(8*$DK$80)+'LINEST VARS'!$E$60*(8*0.5)+'LINEST VARS'!$D$60*(8*$CX93)+'LINEST VARS'!$C$60*($DK$80*0.5)+'LINEST VARS'!$B$60*($DK$80*$CX93)+'LINEST VARS'!$A$60*(0.5*$CX93)</f>
        <v>46.188000000000002</v>
      </c>
      <c r="DL93" s="46">
        <f>'LINEST VARS'!$U$60+'LINEST VARS'!$T$60*(8)+'LINEST VARS'!$S$60*(8)+'LINEST VARS'!$R$60*($DL$80)+'LINEST VARS'!$Q$60*(0.5)+'LINEST VARS'!$P$60*($CX93)+'LINEST VARS'!$O$60*(8^2)+'LINEST VARS'!$N$60*(8^2)+'LINEST VARS'!$M$60*($DL$80^2)+'LINEST VARS'!$L$60*(0.5^2)+'LINEST VARS'!$K$60*($CX93^2)+'LINEST VARS'!$J$60*(8*8)+'LINEST VARS'!$I$60*(8*$DL$80)+'LINEST VARS'!$H$60*(8*0.5)+'LINEST VARS'!$G$60*(8*$CX93)+'LINEST VARS'!$F$60*(8*$DL$80)+'LINEST VARS'!$E$60*(8*0.5)+'LINEST VARS'!$D$60*(8*$CX93)+'LINEST VARS'!$C$60*($DL$80*0.5)+'LINEST VARS'!$B$60*($DL$80*$CX93)+'LINEST VARS'!$A$60*(0.5*$CX93)</f>
        <v>46.188000000000002</v>
      </c>
      <c r="DM93" s="46">
        <f>'LINEST VARS'!$U$60+'LINEST VARS'!$T$60*(8)+'LINEST VARS'!$S$60*(8)+'LINEST VARS'!$R$60*($DM$80)+'LINEST VARS'!$Q$60*(0.5)+'LINEST VARS'!$P$60*($CX93)+'LINEST VARS'!$O$60*(8^2)+'LINEST VARS'!$N$60*(8^2)+'LINEST VARS'!$M$60*($DM$80^2)+'LINEST VARS'!$L$60*(0.5^2)+'LINEST VARS'!$K$60*($CX93^2)+'LINEST VARS'!$J$60*(8*8)+'LINEST VARS'!$I$60*(8*$DM$80)+'LINEST VARS'!$H$60*(8*0.5)+'LINEST VARS'!$G$60*(8*$CX93)+'LINEST VARS'!$F$60*(8*$DM$80)+'LINEST VARS'!$E$60*(8*0.5)+'LINEST VARS'!$D$60*(8*$CX93)+'LINEST VARS'!$C$60*($DM$80*0.5)+'LINEST VARS'!$B$60*($DM$80*$CX93)+'LINEST VARS'!$A$60*(0.5*$CX93)</f>
        <v>46.188000000000002</v>
      </c>
      <c r="DN93" s="46">
        <f>'LINEST VARS'!$U$60+'LINEST VARS'!$T$60*(8)+'LINEST VARS'!$S$60*(8)+'LINEST VARS'!$R$60*($DN$80)+'LINEST VARS'!$Q$60*(0.5)+'LINEST VARS'!$P$60*($CX93)+'LINEST VARS'!$O$60*(8^2)+'LINEST VARS'!$N$60*(8^2)+'LINEST VARS'!$M$60*($DN$80^2)+'LINEST VARS'!$L$60*(0.5^2)+'LINEST VARS'!$K$60*($CX93^2)+'LINEST VARS'!$J$60*(8*8)+'LINEST VARS'!$I$60*(8*$DN$80)+'LINEST VARS'!$H$60*(8*0.5)+'LINEST VARS'!$G$60*(8*$CX93)+'LINEST VARS'!$F$60*(8*$DN$80)+'LINEST VARS'!$E$60*(8*0.5)+'LINEST VARS'!$D$60*(8*$CX93)+'LINEST VARS'!$C$60*($DN$80*0.5)+'LINEST VARS'!$B$60*($DN$80*$CX93)+'LINEST VARS'!$A$60*(0.5*$CX93)</f>
        <v>46.188000000000002</v>
      </c>
      <c r="DO93" s="46">
        <f>'LINEST VARS'!$U$60+'LINEST VARS'!$T$60*(8)+'LINEST VARS'!$S$60*(8)+'LINEST VARS'!$R$60*($DO$80)+'LINEST VARS'!$Q$60*(0.5)+'LINEST VARS'!$P$60*($CX93)+'LINEST VARS'!$O$60*(8^2)+'LINEST VARS'!$N$60*(8^2)+'LINEST VARS'!$M$60*($DO$80^2)+'LINEST VARS'!$L$60*(0.5^2)+'LINEST VARS'!$K$60*($CX93^2)+'LINEST VARS'!$J$60*(8*8)+'LINEST VARS'!$I$60*(8*$DO$80)+'LINEST VARS'!$H$60*(8*0.5)+'LINEST VARS'!$G$60*(8*$CX93)+'LINEST VARS'!$F$60*(8*$DO$80)+'LINEST VARS'!$E$60*(8*0.5)+'LINEST VARS'!$D$60*(8*$CX93)+'LINEST VARS'!$C$60*($DO$80*0.5)+'LINEST VARS'!$B$60*($DO$80*$CX93)+'LINEST VARS'!$A$60*(0.5*$CX93)</f>
        <v>46.188000000000002</v>
      </c>
      <c r="DP93" s="46">
        <f>'LINEST VARS'!$U$60+'LINEST VARS'!$T$60*(8)+'LINEST VARS'!$S$60*(8)+'LINEST VARS'!$R$60*($DP$80)+'LINEST VARS'!$Q$60*(0.5)+'LINEST VARS'!$P$60*($CX93)+'LINEST VARS'!$O$60*(8^2)+'LINEST VARS'!$N$60*(8^2)+'LINEST VARS'!$M$60*($DP$80^2)+'LINEST VARS'!$L$60*(0.5^2)+'LINEST VARS'!$K$60*($CX93^2)+'LINEST VARS'!$J$60*(8*8)+'LINEST VARS'!$I$60*(8*$DP$80)+'LINEST VARS'!$H$60*(8*0.5)+'LINEST VARS'!$G$60*(8*$CX93)+'LINEST VARS'!$F$60*(8*$DP$80)+'LINEST VARS'!$E$60*(8*0.5)+'LINEST VARS'!$D$60*(8*$CX93)+'LINEST VARS'!$C$60*($DP$80*0.5)+'LINEST VARS'!$B$60*($DP$80*$CX93)+'LINEST VARS'!$A$60*(0.5*$CX93)</f>
        <v>46.188000000000009</v>
      </c>
      <c r="DQ93" s="46">
        <f>'LINEST VARS'!$U$60+'LINEST VARS'!$T$60*(8)+'LINEST VARS'!$S$60*(8)+'LINEST VARS'!$R$60*($DQ$80)+'LINEST VARS'!$Q$60*(0.5)+'LINEST VARS'!$P$60*($CX93)+'LINEST VARS'!$O$60*(8^2)+'LINEST VARS'!$N$60*(8^2)+'LINEST VARS'!$M$60*($DQ$80^2)+'LINEST VARS'!$L$60*(0.5^2)+'LINEST VARS'!$K$60*($CX93^2)+'LINEST VARS'!$J$60*(8*8)+'LINEST VARS'!$I$60*(8*$DQ$80)+'LINEST VARS'!$H$60*(8*0.5)+'LINEST VARS'!$G$60*(8*$CX93)+'LINEST VARS'!$F$60*(8*$DQ$80)+'LINEST VARS'!$E$60*(8*0.5)+'LINEST VARS'!$D$60*(8*$CX93)+'LINEST VARS'!$C$60*($DQ$80*0.5)+'LINEST VARS'!$B$60*($DQ$80*$CX93)+'LINEST VARS'!$A$60*(0.5*$CX93)</f>
        <v>46.188000000000002</v>
      </c>
      <c r="DR93" s="46">
        <f>'LINEST VARS'!$U$60+'LINEST VARS'!$T$60*(8)+'LINEST VARS'!$S$60*(8)+'LINEST VARS'!$R$60*($DR$80)+'LINEST VARS'!$Q$60*(0.5)+'LINEST VARS'!$P$60*($CX93)+'LINEST VARS'!$O$60*(8^2)+'LINEST VARS'!$N$60*(8^2)+'LINEST VARS'!$M$60*($DR$80^2)+'LINEST VARS'!$L$60*(0.5^2)+'LINEST VARS'!$K$60*($CX93^2)+'LINEST VARS'!$J$60*(8*8)+'LINEST VARS'!$I$60*(8*$DR$80)+'LINEST VARS'!$H$60*(8*0.5)+'LINEST VARS'!$G$60*(8*$CX93)+'LINEST VARS'!$F$60*(8*$DR$80)+'LINEST VARS'!$E$60*(8*0.5)+'LINEST VARS'!$D$60*(8*$CX93)+'LINEST VARS'!$C$60*($DR$80*0.5)+'LINEST VARS'!$B$60*($DR$80*$CX93)+'LINEST VARS'!$A$60*(0.5*$CX93)</f>
        <v>46.188000000000002</v>
      </c>
      <c r="DS93" s="47">
        <f>'LINEST VARS'!$U$60+'LINEST VARS'!$T$60*(8)+'LINEST VARS'!$S$60*(8)+'LINEST VARS'!$R$60*($DS$80)+'LINEST VARS'!$Q$60*(0.5)+'LINEST VARS'!$P$60*($CX93)+'LINEST VARS'!$O$60*(8^2)+'LINEST VARS'!$N$60*(8^2)+'LINEST VARS'!$M$60*($DS$80^2)+'LINEST VARS'!$L$60*(0.5^2)+'LINEST VARS'!$K$60*($CX93^2)+'LINEST VARS'!$J$60*(8*8)+'LINEST VARS'!$I$60*(8*$DS$80)+'LINEST VARS'!$H$60*(8*0.5)+'LINEST VARS'!$G$60*(8*$CX93)+'LINEST VARS'!$F$60*(8*$DS$80)+'LINEST VARS'!$E$60*(8*0.5)+'LINEST VARS'!$D$60*(8*$CX93)+'LINEST VARS'!$C$60*($DS$80*0.5)+'LINEST VARS'!$B$60*($DS$80*$CX93)+'LINEST VARS'!$A$60*(0.5*$CX93)</f>
        <v>46.188000000000009</v>
      </c>
      <c r="DV93" s="45">
        <v>15.593999999999999</v>
      </c>
      <c r="DW93" s="55">
        <f>'LINEST VARS'!$U$62+'LINEST VARS'!$T$62*(8)+'LINEST VARS'!$S$62*(8)+'LINEST VARS'!$R$62*($DW$80)+'LINEST VARS'!$Q$62*(0.5)+'LINEST VARS'!$P$62*($DV93)+'LINEST VARS'!$O$62*(8^2)+'LINEST VARS'!$N$62*(8^2)+'LINEST VARS'!$M$62*($DW$80^2)+'LINEST VARS'!$L$62*(0.5^2)+'LINEST VARS'!$K$62*($DV93^2)+'LINEST VARS'!$J$62*(8*8)+'LINEST VARS'!$I$62*(8*$DW$80)+'LINEST VARS'!$H$62*(8*0.5)+'LINEST VARS'!$G$62*(8*$DV93)+'LINEST VARS'!$F$62*(8*$DW$80)+'LINEST VARS'!$E$62*(8*0.5)+'LINEST VARS'!$D$62*(8*$DV93)+'LINEST VARS'!$C$62*($DW$80*0.5)+'LINEST VARS'!$B$62*($DW$80*$DV93)+'LINEST VARS'!$A$62*(0.5*$DV93)</f>
        <v>349.49999999999994</v>
      </c>
      <c r="DX93" s="55">
        <f>'LINEST VARS'!$U$62+'LINEST VARS'!$T$62*(8)+'LINEST VARS'!$S$62*(8)+'LINEST VARS'!$R$62*($DX$80)+'LINEST VARS'!$Q$62*(0.5)+'LINEST VARS'!$P$62*($DV93)+'LINEST VARS'!$O$62*(8^2)+'LINEST VARS'!$N$62*(8^2)+'LINEST VARS'!$M$62*($DX$80^2)+'LINEST VARS'!$L$62*(0.5^2)+'LINEST VARS'!$K$62*($DV93^2)+'LINEST VARS'!$J$62*(8*8)+'LINEST VARS'!$I$62*(8*$DX$80)+'LINEST VARS'!$H$62*(8*0.5)+'LINEST VARS'!$G$62*(8*$DV93)+'LINEST VARS'!$F$62*(8*$DX$80)+'LINEST VARS'!$E$62*(8*0.5)+'LINEST VARS'!$D$62*(8*$DV93)+'LINEST VARS'!$C$62*($DX$80*0.5)+'LINEST VARS'!$B$62*($DX$80*$DV93)+'LINEST VARS'!$A$62*(0.5*$DV93)</f>
        <v>348.7</v>
      </c>
      <c r="DY93" s="55">
        <f>'LINEST VARS'!$U$62+'LINEST VARS'!$T$62*(8)+'LINEST VARS'!$S$62*(8)+'LINEST VARS'!$R$62*($DY$80)+'LINEST VARS'!$Q$62*(0.5)+'LINEST VARS'!$P$62*($DV93)+'LINEST VARS'!$O$62*(8^2)+'LINEST VARS'!$N$62*(8^2)+'LINEST VARS'!$M$62*($DY$80^2)+'LINEST VARS'!$L$62*(0.5^2)+'LINEST VARS'!$K$62*($DV93^2)+'LINEST VARS'!$J$62*(8*8)+'LINEST VARS'!$I$62*(8*$DY$80)+'LINEST VARS'!$H$62*(8*0.5)+'LINEST VARS'!$G$62*(8*$DV93)+'LINEST VARS'!$F$62*(8*$DY$80)+'LINEST VARS'!$E$62*(8*0.5)+'LINEST VARS'!$D$62*(8*$DV93)+'LINEST VARS'!$C$62*($DY$80*0.5)+'LINEST VARS'!$B$62*($DY$80*$DV93)+'LINEST VARS'!$A$62*(0.5*$DV93)</f>
        <v>346.2999999999999</v>
      </c>
      <c r="DZ93" s="55">
        <f>'LINEST VARS'!$U$62+'LINEST VARS'!$T$62*(8)+'LINEST VARS'!$S$62*(8)+'LINEST VARS'!$R$62*($DZ$80)+'LINEST VARS'!$Q$62*(0.5)+'LINEST VARS'!$P$62*($DV93)+'LINEST VARS'!$O$62*(8^2)+'LINEST VARS'!$N$62*(8^2)+'LINEST VARS'!$M$62*($DZ$80^2)+'LINEST VARS'!$L$62*(0.5^2)+'LINEST VARS'!$K$62*($DV93^2)+'LINEST VARS'!$J$62*(8*8)+'LINEST VARS'!$I$62*(8*$DZ$80)+'LINEST VARS'!$H$62*(8*0.5)+'LINEST VARS'!$G$62*(8*$DV93)+'LINEST VARS'!$F$62*(8*$DZ$80)+'LINEST VARS'!$E$62*(8*0.5)+'LINEST VARS'!$D$62*(8*$DV93)+'LINEST VARS'!$C$62*($DZ$80*0.5)+'LINEST VARS'!$B$62*($DZ$80*$DV93)+'LINEST VARS'!$A$62*(0.5*$DV93)</f>
        <v>342.29999999999995</v>
      </c>
      <c r="EA93" s="55">
        <f>'LINEST VARS'!$U$62+'LINEST VARS'!$T$62*(8)+'LINEST VARS'!$S$62*(8)+'LINEST VARS'!$R$62*($EA$80)+'LINEST VARS'!$Q$62*(0.5)+'LINEST VARS'!$P$62*($DV93)+'LINEST VARS'!$O$62*(8^2)+'LINEST VARS'!$N$62*(8^2)+'LINEST VARS'!$M$62*($EA$80^2)+'LINEST VARS'!$L$62*(0.5^2)+'LINEST VARS'!$K$62*($DV93^2)+'LINEST VARS'!$J$62*(8*8)+'LINEST VARS'!$I$62*(8*$EA$80)+'LINEST VARS'!$H$62*(8*0.5)+'LINEST VARS'!$G$62*(8*$DV93)+'LINEST VARS'!$F$62*(8*$EA$80)+'LINEST VARS'!$E$62*(8*0.5)+'LINEST VARS'!$D$62*(8*$DV93)+'LINEST VARS'!$C$62*($EA$80*0.5)+'LINEST VARS'!$B$62*($EA$80*$DV93)+'LINEST VARS'!$A$62*(0.5*$DV93)</f>
        <v>336.7</v>
      </c>
      <c r="EB93" s="55">
        <f>'LINEST VARS'!$U$62+'LINEST VARS'!$T$62*(8)+'LINEST VARS'!$S$62*(8)+'LINEST VARS'!$R$62*($EB$80)+'LINEST VARS'!$Q$62*(0.5)+'LINEST VARS'!$P$62*($DV93)+'LINEST VARS'!$O$62*(8^2)+'LINEST VARS'!$N$62*(8^2)+'LINEST VARS'!$M$62*($EB$80^2)+'LINEST VARS'!$L$62*(0.5^2)+'LINEST VARS'!$K$62*($DV93^2)+'LINEST VARS'!$J$62*(8*8)+'LINEST VARS'!$I$62*(8*$EB$80)+'LINEST VARS'!$H$62*(8*0.5)+'LINEST VARS'!$G$62*(8*$DV93)+'LINEST VARS'!$F$62*(8*$EB$80)+'LINEST VARS'!$E$62*(8*0.5)+'LINEST VARS'!$D$62*(8*$DV93)+'LINEST VARS'!$C$62*($EB$80*0.5)+'LINEST VARS'!$B$62*($EB$80*$DV93)+'LINEST VARS'!$A$62*(0.5*$DV93)</f>
        <v>329.50000000000006</v>
      </c>
      <c r="EC93" s="55">
        <f>'LINEST VARS'!$U$62+'LINEST VARS'!$T$62*(8)+'LINEST VARS'!$S$62*(8)+'LINEST VARS'!$R$62*($EC$80)+'LINEST VARS'!$Q$62*(0.5)+'LINEST VARS'!$P$62*($DV93)+'LINEST VARS'!$O$62*(8^2)+'LINEST VARS'!$N$62*(8^2)+'LINEST VARS'!$M$62*($EC$80^2)+'LINEST VARS'!$L$62*(0.5^2)+'LINEST VARS'!$K$62*($DV93^2)+'LINEST VARS'!$J$62*(8*8)+'LINEST VARS'!$I$62*(8*$EC$80)+'LINEST VARS'!$H$62*(8*0.5)+'LINEST VARS'!$G$62*(8*$DV93)+'LINEST VARS'!$F$62*(8*$EC$80)+'LINEST VARS'!$E$62*(8*0.5)+'LINEST VARS'!$D$62*(8*$DV93)+'LINEST VARS'!$C$62*($EC$80*0.5)+'LINEST VARS'!$B$62*($EC$80*$DV93)+'LINEST VARS'!$A$62*(0.5*$DV93)</f>
        <v>320.69999999999993</v>
      </c>
      <c r="ED93" s="55">
        <f>'LINEST VARS'!$U$62+'LINEST VARS'!$T$62*(8)+'LINEST VARS'!$S$62*(8)+'LINEST VARS'!$R$62*($ED$80)+'LINEST VARS'!$Q$62*(0.5)+'LINEST VARS'!$P$62*($DV93)+'LINEST VARS'!$O$62*(8^2)+'LINEST VARS'!$N$62*(8^2)+'LINEST VARS'!$M$62*($ED$80^2)+'LINEST VARS'!$L$62*(0.5^2)+'LINEST VARS'!$K$62*($DV93^2)+'LINEST VARS'!$J$62*(8*8)+'LINEST VARS'!$I$62*(8*$ED$80)+'LINEST VARS'!$H$62*(8*0.5)+'LINEST VARS'!$G$62*(8*$DV93)+'LINEST VARS'!$F$62*(8*$ED$80)+'LINEST VARS'!$E$62*(8*0.5)+'LINEST VARS'!$D$62*(8*$DV93)+'LINEST VARS'!$C$62*($ED$80*0.5)+'LINEST VARS'!$B$62*($ED$80*$DV93)+'LINEST VARS'!$A$62*(0.5*$DV93)</f>
        <v>310.29999999999995</v>
      </c>
      <c r="EE93" s="55">
        <f>'LINEST VARS'!$U$62+'LINEST VARS'!$T$62*(8)+'LINEST VARS'!$S$62*(8)+'LINEST VARS'!$R$62*($EE$80)+'LINEST VARS'!$Q$62*(0.5)+'LINEST VARS'!$P$62*($DV93)+'LINEST VARS'!$O$62*(8^2)+'LINEST VARS'!$N$62*(8^2)+'LINEST VARS'!$M$62*($EE$80^2)+'LINEST VARS'!$L$62*(0.5^2)+'LINEST VARS'!$K$62*($DV93^2)+'LINEST VARS'!$J$62*(8*8)+'LINEST VARS'!$I$62*(8*$EE$80)+'LINEST VARS'!$H$62*(8*0.5)+'LINEST VARS'!$G$62*(8*$DV93)+'LINEST VARS'!$F$62*(8*$EE$80)+'LINEST VARS'!$E$62*(8*0.5)+'LINEST VARS'!$D$62*(8*$DV93)+'LINEST VARS'!$C$62*($EE$80*0.5)+'LINEST VARS'!$B$62*($EE$80*$DV93)+'LINEST VARS'!$A$62*(0.5*$DV93)</f>
        <v>298.3</v>
      </c>
      <c r="EF93" s="55">
        <f>'LINEST VARS'!$U$62+'LINEST VARS'!$T$62*(8)+'LINEST VARS'!$S$62*(8)+'LINEST VARS'!$R$62*($EF$80)+'LINEST VARS'!$Q$62*(0.5)+'LINEST VARS'!$P$62*($DV93)+'LINEST VARS'!$O$62*(8^2)+'LINEST VARS'!$N$62*(8^2)+'LINEST VARS'!$M$62*($EF$80^2)+'LINEST VARS'!$L$62*(0.5^2)+'LINEST VARS'!$K$62*($DV93^2)+'LINEST VARS'!$J$62*(8*8)+'LINEST VARS'!$I$62*(8*$EF$80)+'LINEST VARS'!$H$62*(8*0.5)+'LINEST VARS'!$G$62*(8*$DV93)+'LINEST VARS'!$F$62*(8*$EF$80)+'LINEST VARS'!$E$62*(8*0.5)+'LINEST VARS'!$D$62*(8*$DV93)+'LINEST VARS'!$C$62*($EF$80*0.5)+'LINEST VARS'!$B$62*($EF$80*$DV93)+'LINEST VARS'!$A$62*(0.5*$DV93)</f>
        <v>284.7</v>
      </c>
      <c r="EG93" s="55">
        <f>'LINEST VARS'!$U$62+'LINEST VARS'!$T$62*(8)+'LINEST VARS'!$S$62*(8)+'LINEST VARS'!$R$62*($EG$80)+'LINEST VARS'!$Q$62*(0.5)+'LINEST VARS'!$P$62*($DV93)+'LINEST VARS'!$O$62*(8^2)+'LINEST VARS'!$N$62*(8^2)+'LINEST VARS'!$M$62*($EG$80^2)+'LINEST VARS'!$L$62*(0.5^2)+'LINEST VARS'!$K$62*($DV93^2)+'LINEST VARS'!$J$62*(8*8)+'LINEST VARS'!$I$62*(8*$EG$80)+'LINEST VARS'!$H$62*(8*0.5)+'LINEST VARS'!$G$62*(8*$DV93)+'LINEST VARS'!$F$62*(8*$EG$80)+'LINEST VARS'!$E$62*(8*0.5)+'LINEST VARS'!$D$62*(8*$DV93)+'LINEST VARS'!$C$62*($EG$80*0.5)+'LINEST VARS'!$B$62*($EG$80*$DV93)+'LINEST VARS'!$A$62*(0.5*$DV93)</f>
        <v>269.5</v>
      </c>
      <c r="EH93" s="55">
        <f>'LINEST VARS'!$U$62+'LINEST VARS'!$T$62*(8)+'LINEST VARS'!$S$62*(8)+'LINEST VARS'!$R$62*($EH$80)+'LINEST VARS'!$Q$62*(0.5)+'LINEST VARS'!$P$62*($DV93)+'LINEST VARS'!$O$62*(8^2)+'LINEST VARS'!$N$62*(8^2)+'LINEST VARS'!$M$62*($EH$80^2)+'LINEST VARS'!$L$62*(0.5^2)+'LINEST VARS'!$K$62*($DV93^2)+'LINEST VARS'!$J$62*(8*8)+'LINEST VARS'!$I$62*(8*$EH$80)+'LINEST VARS'!$H$62*(8*0.5)+'LINEST VARS'!$G$62*(8*$DV93)+'LINEST VARS'!$F$62*(8*$EH$80)+'LINEST VARS'!$E$62*(8*0.5)+'LINEST VARS'!$D$62*(8*$DV93)+'LINEST VARS'!$C$62*($EH$80*0.5)+'LINEST VARS'!$B$62*($EH$80*$DV93)+'LINEST VARS'!$A$62*(0.5*$DV93)</f>
        <v>252.70000000000005</v>
      </c>
      <c r="EI93" s="55">
        <f>'LINEST VARS'!$U$62+'LINEST VARS'!$T$62*(8)+'LINEST VARS'!$S$62*(8)+'LINEST VARS'!$R$62*($EI$80)+'LINEST VARS'!$Q$62*(0.5)+'LINEST VARS'!$P$62*($DV93)+'LINEST VARS'!$O$62*(8^2)+'LINEST VARS'!$N$62*(8^2)+'LINEST VARS'!$M$62*($EI$80^2)+'LINEST VARS'!$L$62*(0.5^2)+'LINEST VARS'!$K$62*($DV93^2)+'LINEST VARS'!$J$62*(8*8)+'LINEST VARS'!$I$62*(8*$EI$80)+'LINEST VARS'!$H$62*(8*0.5)+'LINEST VARS'!$G$62*(8*$DV93)+'LINEST VARS'!$F$62*(8*$EI$80)+'LINEST VARS'!$E$62*(8*0.5)+'LINEST VARS'!$D$62*(8*$DV93)+'LINEST VARS'!$C$62*($EI$80*0.5)+'LINEST VARS'!$B$62*($EI$80*$DV93)+'LINEST VARS'!$A$62*(0.5*$DV93)</f>
        <v>234.3000000000001</v>
      </c>
      <c r="EJ93" s="55">
        <f>'LINEST VARS'!$U$62+'LINEST VARS'!$T$62*(8)+'LINEST VARS'!$S$62*(8)+'LINEST VARS'!$R$62*($EJ$80)+'LINEST VARS'!$Q$62*(0.5)+'LINEST VARS'!$P$62*($DV93)+'LINEST VARS'!$O$62*(8^2)+'LINEST VARS'!$N$62*(8^2)+'LINEST VARS'!$M$62*($EJ$80^2)+'LINEST VARS'!$L$62*(0.5^2)+'LINEST VARS'!$K$62*($DV93^2)+'LINEST VARS'!$J$62*(8*8)+'LINEST VARS'!$I$62*(8*$EJ$80)+'LINEST VARS'!$H$62*(8*0.5)+'LINEST VARS'!$G$62*(8*$DV93)+'LINEST VARS'!$F$62*(8*$EJ$80)+'LINEST VARS'!$E$62*(8*0.5)+'LINEST VARS'!$D$62*(8*$DV93)+'LINEST VARS'!$C$62*($EJ$80*0.5)+'LINEST VARS'!$B$62*($EJ$80*$DV93)+'LINEST VARS'!$A$62*(0.5*$DV93)</f>
        <v>214.30000000000004</v>
      </c>
      <c r="EK93" s="55">
        <f>'LINEST VARS'!$U$62+'LINEST VARS'!$T$62*(8)+'LINEST VARS'!$S$62*(8)+'LINEST VARS'!$R$62*($EK$80)+'LINEST VARS'!$Q$62*(0.5)+'LINEST VARS'!$P$62*($DV93)+'LINEST VARS'!$O$62*(8^2)+'LINEST VARS'!$N$62*(8^2)+'LINEST VARS'!$M$62*($EK$80^2)+'LINEST VARS'!$L$62*(0.5^2)+'LINEST VARS'!$K$62*($DV93^2)+'LINEST VARS'!$J$62*(8*8)+'LINEST VARS'!$I$62*(8*$EK$80)+'LINEST VARS'!$H$62*(8*0.5)+'LINEST VARS'!$G$62*(8*$DV93)+'LINEST VARS'!$F$62*(8*$EK$80)+'LINEST VARS'!$E$62*(8*0.5)+'LINEST VARS'!$D$62*(8*$DV93)+'LINEST VARS'!$C$62*($EK$80*0.5)+'LINEST VARS'!$B$62*($EK$80*$DV93)+'LINEST VARS'!$A$62*(0.5*$DV93)</f>
        <v>192.70000000000013</v>
      </c>
      <c r="EL93" s="55">
        <f>'LINEST VARS'!$U$62+'LINEST VARS'!$T$62*(8)+'LINEST VARS'!$S$62*(8)+'LINEST VARS'!$R$62*($EL$80)+'LINEST VARS'!$Q$62*(0.5)+'LINEST VARS'!$P$62*($DV93)+'LINEST VARS'!$O$62*(8^2)+'LINEST VARS'!$N$62*(8^2)+'LINEST VARS'!$M$62*($EL$80^2)+'LINEST VARS'!$L$62*(0.5^2)+'LINEST VARS'!$K$62*($DV93^2)+'LINEST VARS'!$J$62*(8*8)+'LINEST VARS'!$I$62*(8*$EL$80)+'LINEST VARS'!$H$62*(8*0.5)+'LINEST VARS'!$G$62*(8*$DV93)+'LINEST VARS'!$F$62*(8*$EL$80)+'LINEST VARS'!$E$62*(8*0.5)+'LINEST VARS'!$D$62*(8*$DV93)+'LINEST VARS'!$C$62*($EL$80*0.5)+'LINEST VARS'!$B$62*($EL$80*$DV93)+'LINEST VARS'!$A$62*(0.5*$DV93)</f>
        <v>169.50000000000009</v>
      </c>
      <c r="EM93" s="55">
        <f>'LINEST VARS'!$U$62+'LINEST VARS'!$T$62*(8)+'LINEST VARS'!$S$62*(8)+'LINEST VARS'!$R$62*($EM$80)+'LINEST VARS'!$Q$62*(0.5)+'LINEST VARS'!$P$62*($DV93)+'LINEST VARS'!$O$62*(8^2)+'LINEST VARS'!$N$62*(8^2)+'LINEST VARS'!$M$62*($EM$80^2)+'LINEST VARS'!$L$62*(0.5^2)+'LINEST VARS'!$K$62*($DV93^2)+'LINEST VARS'!$J$62*(8*8)+'LINEST VARS'!$I$62*(8*$EM$80)+'LINEST VARS'!$H$62*(8*0.5)+'LINEST VARS'!$G$62*(8*$DV93)+'LINEST VARS'!$F$62*(8*$EM$80)+'LINEST VARS'!$E$62*(8*0.5)+'LINEST VARS'!$D$62*(8*$DV93)+'LINEST VARS'!$C$62*($EM$80*0.5)+'LINEST VARS'!$B$62*($EM$80*$DV93)+'LINEST VARS'!$A$62*(0.5*$DV93)</f>
        <v>144.70000000000007</v>
      </c>
      <c r="EN93" s="55">
        <f>'LINEST VARS'!$U$62+'LINEST VARS'!$T$62*(8)+'LINEST VARS'!$S$62*(8)+'LINEST VARS'!$R$62*($EN$80)+'LINEST VARS'!$Q$62*(0.5)+'LINEST VARS'!$P$62*($DV93)+'LINEST VARS'!$O$62*(8^2)+'LINEST VARS'!$N$62*(8^2)+'LINEST VARS'!$M$62*($EN$80^2)+'LINEST VARS'!$L$62*(0.5^2)+'LINEST VARS'!$K$62*($DV93^2)+'LINEST VARS'!$J$62*(8*8)+'LINEST VARS'!$I$62*(8*$EN$80)+'LINEST VARS'!$H$62*(8*0.5)+'LINEST VARS'!$G$62*(8*$DV93)+'LINEST VARS'!$F$62*(8*$EN$80)+'LINEST VARS'!$E$62*(8*0.5)+'LINEST VARS'!$D$62*(8*$DV93)+'LINEST VARS'!$C$62*($EN$80*0.5)+'LINEST VARS'!$B$62*($EN$80*$DV93)+'LINEST VARS'!$A$62*(0.5*$DV93)</f>
        <v>118.30000000000011</v>
      </c>
      <c r="EO93" s="55">
        <f>'LINEST VARS'!$U$62+'LINEST VARS'!$T$62*(8)+'LINEST VARS'!$S$62*(8)+'LINEST VARS'!$R$62*($EO$80)+'LINEST VARS'!$Q$62*(0.5)+'LINEST VARS'!$P$62*($DV93)+'LINEST VARS'!$O$62*(8^2)+'LINEST VARS'!$N$62*(8^2)+'LINEST VARS'!$M$62*($EO$80^2)+'LINEST VARS'!$L$62*(0.5^2)+'LINEST VARS'!$K$62*($DV93^2)+'LINEST VARS'!$J$62*(8*8)+'LINEST VARS'!$I$62*(8*$EO$80)+'LINEST VARS'!$H$62*(8*0.5)+'LINEST VARS'!$G$62*(8*$DV93)+'LINEST VARS'!$F$62*(8*$EO$80)+'LINEST VARS'!$E$62*(8*0.5)+'LINEST VARS'!$D$62*(8*$DV93)+'LINEST VARS'!$C$62*($EO$80*0.5)+'LINEST VARS'!$B$62*($EO$80*$DV93)+'LINEST VARS'!$A$62*(0.5*$DV93)</f>
        <v>90.300000000000111</v>
      </c>
      <c r="EP93" s="55">
        <f>'LINEST VARS'!$U$62+'LINEST VARS'!$T$62*(8)+'LINEST VARS'!$S$62*(8)+'LINEST VARS'!$R$62*($EP$80)+'LINEST VARS'!$Q$62*(0.5)+'LINEST VARS'!$P$62*($DV93)+'LINEST VARS'!$O$62*(8^2)+'LINEST VARS'!$N$62*(8^2)+'LINEST VARS'!$M$62*($EP$80^2)+'LINEST VARS'!$L$62*(0.5^2)+'LINEST VARS'!$K$62*($DV93^2)+'LINEST VARS'!$J$62*(8*8)+'LINEST VARS'!$I$62*(8*$EP$80)+'LINEST VARS'!$H$62*(8*0.5)+'LINEST VARS'!$G$62*(8*$DV93)+'LINEST VARS'!$F$62*(8*$EP$80)+'LINEST VARS'!$E$62*(8*0.5)+'LINEST VARS'!$D$62*(8*$DV93)+'LINEST VARS'!$C$62*($EP$80*0.5)+'LINEST VARS'!$B$62*($EP$80*$DV93)+'LINEST VARS'!$A$62*(0.5*$DV93)</f>
        <v>60.700000000000159</v>
      </c>
      <c r="EQ93" s="56">
        <f>'LINEST VARS'!$U$62+'LINEST VARS'!$T$62*(8)+'LINEST VARS'!$S$62*(8)+'LINEST VARS'!$R$62*($EQ$80)+'LINEST VARS'!$Q$62*(0.5)+'LINEST VARS'!$P$62*($DV93)+'LINEST VARS'!$O$62*(8^2)+'LINEST VARS'!$N$62*(8^2)+'LINEST VARS'!$M$62*($EQ$80^2)+'LINEST VARS'!$L$62*(0.5^2)+'LINEST VARS'!$K$62*($DV93^2)+'LINEST VARS'!$J$62*(8*8)+'LINEST VARS'!$I$62*(8*$EQ$80)+'LINEST VARS'!$H$62*(8*0.5)+'LINEST VARS'!$G$62*(8*$DV93)+'LINEST VARS'!$F$62*(8*$EQ$80)+'LINEST VARS'!$E$62*(8*0.5)+'LINEST VARS'!$D$62*(8*$DV93)+'LINEST VARS'!$C$62*($EQ$80*0.5)+'LINEST VARS'!$B$62*($EQ$80*$DV93)+'LINEST VARS'!$A$62*(0.5*$DV93)</f>
        <v>29.500000000000199</v>
      </c>
    </row>
    <row r="94" spans="2:147" ht="15" customHeight="1" x14ac:dyDescent="0.25">
      <c r="B94" s="45">
        <v>8.18</v>
      </c>
      <c r="C94" s="46">
        <f>'LINEST VARS'!$U$60+'LINEST VARS'!$T$60*($C$80)+'LINEST VARS'!$S$60*($B94)+'LINEST VARS'!$R$60*(4)+'LINEST VARS'!$Q$60*(0.5)+'LINEST VARS'!$P$60*(12.73)+'LINEST VARS'!$O$60*($C$80^2)+'LINEST VARS'!$N$60*($B94^2)+'LINEST VARS'!$M$60*(4^2)+'LINEST VARS'!$L$60*(0.5^2)+'LINEST VARS'!$K$60*(12.73^2)+'LINEST VARS'!$J$60*($C$80*$B94)+'LINEST VARS'!$I$60*($C$80*4)+'LINEST VARS'!$H$60*($C$80*0.5)+'LINEST VARS'!$G$60*($C$80*12.73)+'LINEST VARS'!$F$60*($B94*4)+'LINEST VARS'!$E$60*($B94*0.5)+'LINEST VARS'!$D$60*($B94*12.73)+'LINEST VARS'!$C$60*(4*0.5)+'LINEST VARS'!$B$60*(4*12.73)+'LINEST VARS'!$A$60*(0.5*12.73)</f>
        <v>40.460000000000015</v>
      </c>
      <c r="D94" s="46">
        <f>'LINEST VARS'!$U$60+'LINEST VARS'!$T$60*($D$80)+'LINEST VARS'!$S$60*($B94)+'LINEST VARS'!$R$60*(4)+'LINEST VARS'!$Q$60*(0.5)+'LINEST VARS'!$P$60*(12.73)+'LINEST VARS'!$O$60*($D$80^2)+'LINEST VARS'!$N$60*($B94^2)+'LINEST VARS'!$M$60*(4^2)+'LINEST VARS'!$L$60*(0.5^2)+'LINEST VARS'!$K$60*(12.73^2)+'LINEST VARS'!$J$60*($D$80*$B94)+'LINEST VARS'!$I$60*($D$80*4)+'LINEST VARS'!$H$60*($D$80*0.5)+'LINEST VARS'!$G$60*($D$80*12.73)+'LINEST VARS'!$F$60*($B94*4)+'LINEST VARS'!$E$60*($B94*0.5)+'LINEST VARS'!$D$60*($B94*12.73)+'LINEST VARS'!$C$60*(4*0.5)+'LINEST VARS'!$B$60*(4*12.73)+'LINEST VARS'!$A$60*(0.5*12.73)</f>
        <v>40.460000000000015</v>
      </c>
      <c r="E94" s="46">
        <f>'LINEST VARS'!$U$60+'LINEST VARS'!$T$60*($E$80)+'LINEST VARS'!$S$60*($B94)+'LINEST VARS'!$R$60*(4)+'LINEST VARS'!$Q$60*(0.5)+'LINEST VARS'!$P$60*(12.73)+'LINEST VARS'!$O$60*($E$80^2)+'LINEST VARS'!$N$60*($B94^2)+'LINEST VARS'!$M$60*(4^2)+'LINEST VARS'!$L$60*(0.5^2)+'LINEST VARS'!$K$60*(12.73^2)+'LINEST VARS'!$J$60*($E$80*$B94)+'LINEST VARS'!$I$60*($E$80*4)+'LINEST VARS'!$H$60*($E$80*0.5)+'LINEST VARS'!$G$60*($E$80*12.73)+'LINEST VARS'!$F$60*($B94*4)+'LINEST VARS'!$E$60*($B94*0.5)+'LINEST VARS'!$D$60*($B94*12.73)+'LINEST VARS'!$C$60*(4*0.5)+'LINEST VARS'!$B$60*(4*12.73)+'LINEST VARS'!$A$60*(0.5*12.73)</f>
        <v>40.460000000000015</v>
      </c>
      <c r="F94" s="46">
        <f>'LINEST VARS'!$U$60+'LINEST VARS'!$T$60*($F$80)+'LINEST VARS'!$S$60*($B94)+'LINEST VARS'!$R$60*(4)+'LINEST VARS'!$Q$60*(0.5)+'LINEST VARS'!$P$60*(12.73)+'LINEST VARS'!$O$60*($F$80^2)+'LINEST VARS'!$N$60*($B94^2)+'LINEST VARS'!$M$60*(4^2)+'LINEST VARS'!$L$60*(0.5^2)+'LINEST VARS'!$K$60*(12.73^2)+'LINEST VARS'!$J$60*($F$80*$B94)+'LINEST VARS'!$I$60*($F$80*4)+'LINEST VARS'!$H$60*($F$80*0.5)+'LINEST VARS'!$G$60*($F$80*12.73)+'LINEST VARS'!$F$60*($B94*4)+'LINEST VARS'!$E$60*($B94*0.5)+'LINEST VARS'!$D$60*($B94*12.73)+'LINEST VARS'!$C$60*(4*0.5)+'LINEST VARS'!$B$60*(4*12.73)+'LINEST VARS'!$A$60*(0.5*12.73)</f>
        <v>40.460000000000015</v>
      </c>
      <c r="G94" s="46">
        <f>'LINEST VARS'!$U$60+'LINEST VARS'!$T$60*($G$80)+'LINEST VARS'!$S$60*($B94)+'LINEST VARS'!$R$60*(4)+'LINEST VARS'!$Q$60*(0.5)+'LINEST VARS'!$P$60*(12.73)+'LINEST VARS'!$O$60*($G$80^2)+'LINEST VARS'!$N$60*($B94^2)+'LINEST VARS'!$M$60*(4^2)+'LINEST VARS'!$L$60*(0.5^2)+'LINEST VARS'!$K$60*(12.73^2)+'LINEST VARS'!$J$60*($G$80*$B94)+'LINEST VARS'!$I$60*($G$80*4)+'LINEST VARS'!$H$60*($G$80*0.5)+'LINEST VARS'!$G$60*($G$80*12.73)+'LINEST VARS'!$F$60*($B94*4)+'LINEST VARS'!$E$60*($B94*0.5)+'LINEST VARS'!$D$60*($B94*12.73)+'LINEST VARS'!$C$60*(4*0.5)+'LINEST VARS'!$B$60*(4*12.73)+'LINEST VARS'!$A$60*(0.5*12.73)</f>
        <v>40.460000000000008</v>
      </c>
      <c r="H94" s="46">
        <f>'LINEST VARS'!$U$60+'LINEST VARS'!$T$60*($H$80)+'LINEST VARS'!$S$60*($B94)+'LINEST VARS'!$R$60*(4)+'LINEST VARS'!$Q$60*(0.5)+'LINEST VARS'!$P$60*(12.73)+'LINEST VARS'!$O$60*($H$80^2)+'LINEST VARS'!$N$60*($B94^2)+'LINEST VARS'!$M$60*(4^2)+'LINEST VARS'!$L$60*(0.5^2)+'LINEST VARS'!$K$60*(12.73^2)+'LINEST VARS'!$J$60*($H$80*$B94)+'LINEST VARS'!$I$60*($H$80*4)+'LINEST VARS'!$H$60*($H$80*0.5)+'LINEST VARS'!$G$60*($H$80*12.73)+'LINEST VARS'!$F$60*($B94*4)+'LINEST VARS'!$E$60*($B94*0.5)+'LINEST VARS'!$D$60*($B94*12.73)+'LINEST VARS'!$C$60*(4*0.5)+'LINEST VARS'!$B$60*(4*12.73)+'LINEST VARS'!$A$60*(0.5*12.73)</f>
        <v>40.46</v>
      </c>
      <c r="I94" s="46">
        <f>'LINEST VARS'!$U$60+'LINEST VARS'!$T$60*($I$80)+'LINEST VARS'!$S$60*($B94)+'LINEST VARS'!$R$60*(4)+'LINEST VARS'!$Q$60*(0.5)+'LINEST VARS'!$P$60*(12.73)+'LINEST VARS'!$O$60*($I$80^2)+'LINEST VARS'!$N$60*($B94^2)+'LINEST VARS'!$M$60*(4^2)+'LINEST VARS'!$L$60*(0.5^2)+'LINEST VARS'!$K$60*(12.73^2)+'LINEST VARS'!$J$60*($I$80*$B94)+'LINEST VARS'!$I$60*($I$80*4)+'LINEST VARS'!$H$60*($I$80*0.5)+'LINEST VARS'!$G$60*($I$80*12.73)+'LINEST VARS'!$F$60*($B94*4)+'LINEST VARS'!$E$60*($B94*0.5)+'LINEST VARS'!$D$60*($B94*12.73)+'LINEST VARS'!$C$60*(4*0.5)+'LINEST VARS'!$B$60*(4*12.73)+'LINEST VARS'!$A$60*(0.5*12.73)</f>
        <v>40.460000000000008</v>
      </c>
      <c r="J94" s="46">
        <f>'LINEST VARS'!$U$60+'LINEST VARS'!$T$60*($J$80)+'LINEST VARS'!$S$60*($B94)+'LINEST VARS'!$R$60*(4)+'LINEST VARS'!$Q$60*(0.5)+'LINEST VARS'!$P$60*(12.73)+'LINEST VARS'!$O$60*($J$80^2)+'LINEST VARS'!$N$60*($B94^2)+'LINEST VARS'!$M$60*(4^2)+'LINEST VARS'!$L$60*(0.5^2)+'LINEST VARS'!$K$60*(12.73^2)+'LINEST VARS'!$J$60*($J$80*$B94)+'LINEST VARS'!$I$60*($J$80*4)+'LINEST VARS'!$H$60*($J$80*0.5)+'LINEST VARS'!$G$60*($J$80*12.73)+'LINEST VARS'!$F$60*($B94*4)+'LINEST VARS'!$E$60*($B94*0.5)+'LINEST VARS'!$D$60*($B94*12.73)+'LINEST VARS'!$C$60*(4*0.5)+'LINEST VARS'!$B$60*(4*12.73)+'LINEST VARS'!$A$60*(0.5*12.73)</f>
        <v>40.460000000000008</v>
      </c>
      <c r="K94" s="46">
        <f>'LINEST VARS'!$U$60+'LINEST VARS'!$T$60*($K$80)+'LINEST VARS'!$S$60*($B94)+'LINEST VARS'!$R$60*(4)+'LINEST VARS'!$Q$60*(0.5)+'LINEST VARS'!$P$60*(12.73)+'LINEST VARS'!$O$60*($K$80^2)+'LINEST VARS'!$N$60*($B94^2)+'LINEST VARS'!$M$60*(4^2)+'LINEST VARS'!$L$60*(0.5^2)+'LINEST VARS'!$K$60*(12.73^2)+'LINEST VARS'!$J$60*($K$80*$B94)+'LINEST VARS'!$I$60*($K$80*4)+'LINEST VARS'!$H$60*($K$80*0.5)+'LINEST VARS'!$G$60*($K$80*12.73)+'LINEST VARS'!$F$60*($B94*4)+'LINEST VARS'!$E$60*($B94*0.5)+'LINEST VARS'!$D$60*($B94*12.73)+'LINEST VARS'!$C$60*(4*0.5)+'LINEST VARS'!$B$60*(4*12.73)+'LINEST VARS'!$A$60*(0.5*12.73)</f>
        <v>40.460000000000008</v>
      </c>
      <c r="L94" s="46">
        <f>'LINEST VARS'!$U$60+'LINEST VARS'!$T$60*($L$80)+'LINEST VARS'!$S$60*($B94)+'LINEST VARS'!$R$60*(4)+'LINEST VARS'!$Q$60*(0.5)+'LINEST VARS'!$P$60*(12.73)+'LINEST VARS'!$O$60*($L$80^2)+'LINEST VARS'!$N$60*($B94^2)+'LINEST VARS'!$M$60*(4^2)+'LINEST VARS'!$L$60*(0.5^2)+'LINEST VARS'!$K$60*(12.73^2)+'LINEST VARS'!$J$60*($L$80*$B94)+'LINEST VARS'!$I$60*($L$80*4)+'LINEST VARS'!$H$60*($L$80*0.5)+'LINEST VARS'!$G$60*($L$80*12.73)+'LINEST VARS'!$F$60*($B94*4)+'LINEST VARS'!$E$60*($B94*0.5)+'LINEST VARS'!$D$60*($B94*12.73)+'LINEST VARS'!$C$60*(4*0.5)+'LINEST VARS'!$B$60*(4*12.73)+'LINEST VARS'!$A$60*(0.5*12.73)</f>
        <v>40.460000000000008</v>
      </c>
      <c r="M94" s="46">
        <f>'LINEST VARS'!$U$60+'LINEST VARS'!$T$60*($M$80)+'LINEST VARS'!$S$60*($B94)+'LINEST VARS'!$R$60*(4)+'LINEST VARS'!$Q$60*(0.5)+'LINEST VARS'!$P$60*(12.73)+'LINEST VARS'!$O$60*($M$80^2)+'LINEST VARS'!$N$60*($B94^2)+'LINEST VARS'!$M$60*(4^2)+'LINEST VARS'!$L$60*(0.5^2)+'LINEST VARS'!$K$60*(12.73^2)+'LINEST VARS'!$J$60*($M$80*$B94)+'LINEST VARS'!$I$60*($M$80*4)+'LINEST VARS'!$H$60*($M$80*0.5)+'LINEST VARS'!$G$60*($M$80*12.73)+'LINEST VARS'!$F$60*($B94*4)+'LINEST VARS'!$E$60*($B94*0.5)+'LINEST VARS'!$D$60*($B94*12.73)+'LINEST VARS'!$C$60*(4*0.5)+'LINEST VARS'!$B$60*(4*12.73)+'LINEST VARS'!$A$60*(0.5*12.73)</f>
        <v>40.460000000000008</v>
      </c>
      <c r="N94" s="46">
        <f>'LINEST VARS'!$U$60+'LINEST VARS'!$T$60*($N$80)+'LINEST VARS'!$S$60*($B94)+'LINEST VARS'!$R$60*(4)+'LINEST VARS'!$Q$60*(0.5)+'LINEST VARS'!$P$60*(12.73)+'LINEST VARS'!$O$60*($N$80^2)+'LINEST VARS'!$N$60*($B94^2)+'LINEST VARS'!$M$60*(4^2)+'LINEST VARS'!$L$60*(0.5^2)+'LINEST VARS'!$K$60*(12.73^2)+'LINEST VARS'!$J$60*($N$80*$B94)+'LINEST VARS'!$I$60*($N$80*4)+'LINEST VARS'!$H$60*($N$80*0.5)+'LINEST VARS'!$G$60*($N$80*12.73)+'LINEST VARS'!$F$60*($B94*4)+'LINEST VARS'!$E$60*($B94*0.5)+'LINEST VARS'!$D$60*($B94*12.73)+'LINEST VARS'!$C$60*(4*0.5)+'LINEST VARS'!$B$60*(4*12.73)+'LINEST VARS'!$A$60*(0.5*12.73)</f>
        <v>40.460000000000008</v>
      </c>
      <c r="O94" s="46">
        <f>'LINEST VARS'!$U$60+'LINEST VARS'!$T$60*($O$80)+'LINEST VARS'!$S$60*($B94)+'LINEST VARS'!$R$60*(4)+'LINEST VARS'!$Q$60*(0.5)+'LINEST VARS'!$P$60*(12.73)+'LINEST VARS'!$O$60*($O$80^2)+'LINEST VARS'!$N$60*($B94^2)+'LINEST VARS'!$M$60*(4^2)+'LINEST VARS'!$L$60*(0.5^2)+'LINEST VARS'!$K$60*(12.73^2)+'LINEST VARS'!$J$60*($O$80*$B94)+'LINEST VARS'!$I$60*($O$80*4)+'LINEST VARS'!$H$60*($O$80*0.5)+'LINEST VARS'!$G$60*($O$80*12.73)+'LINEST VARS'!$F$60*($B94*4)+'LINEST VARS'!$E$60*($B94*0.5)+'LINEST VARS'!$D$60*($B94*12.73)+'LINEST VARS'!$C$60*(4*0.5)+'LINEST VARS'!$B$60*(4*12.73)+'LINEST VARS'!$A$60*(0.5*12.73)</f>
        <v>40.460000000000015</v>
      </c>
      <c r="P94" s="46">
        <f>'LINEST VARS'!$U$60+'LINEST VARS'!$T$60*($P$80)+'LINEST VARS'!$S$60*($B94)+'LINEST VARS'!$R$60*(4)+'LINEST VARS'!$Q$60*(0.5)+'LINEST VARS'!$P$60*(12.73)+'LINEST VARS'!$O$60*($P$80^2)+'LINEST VARS'!$N$60*($B94^2)+'LINEST VARS'!$M$60*(4^2)+'LINEST VARS'!$L$60*(0.5^2)+'LINEST VARS'!$K$60*(12.73^2)+'LINEST VARS'!$J$60*($P$80*$B94)+'LINEST VARS'!$I$60*($P$80*4)+'LINEST VARS'!$H$60*($P$80*0.5)+'LINEST VARS'!$G$60*($P$80*12.73)+'LINEST VARS'!$F$60*($B94*4)+'LINEST VARS'!$E$60*($B94*0.5)+'LINEST VARS'!$D$60*($B94*12.73)+'LINEST VARS'!$C$60*(4*0.5)+'LINEST VARS'!$B$60*(4*12.73)+'LINEST VARS'!$A$60*(0.5*12.73)</f>
        <v>40.460000000000015</v>
      </c>
      <c r="Q94" s="46">
        <f>'LINEST VARS'!$U$60+'LINEST VARS'!$T$60*($Q$80)+'LINEST VARS'!$S$60*($B94)+'LINEST VARS'!$R$60*(4)+'LINEST VARS'!$Q$60*(0.5)+'LINEST VARS'!$P$60*(12.73)+'LINEST VARS'!$O$60*($Q$80^2)+'LINEST VARS'!$N$60*($B94^2)+'LINEST VARS'!$M$60*(4^2)+'LINEST VARS'!$L$60*(0.5^2)+'LINEST VARS'!$K$60*(12.73^2)+'LINEST VARS'!$J$60*($Q$80*$B94)+'LINEST VARS'!$I$60*($Q$80*4)+'LINEST VARS'!$H$60*($Q$80*0.5)+'LINEST VARS'!$G$60*($Q$80*12.73)+'LINEST VARS'!$F$60*($B94*4)+'LINEST VARS'!$E$60*($B94*0.5)+'LINEST VARS'!$D$60*($B94*12.73)+'LINEST VARS'!$C$60*(4*0.5)+'LINEST VARS'!$B$60*(4*12.73)+'LINEST VARS'!$A$60*(0.5*12.73)</f>
        <v>40.460000000000015</v>
      </c>
      <c r="R94" s="46">
        <f>'LINEST VARS'!$U$60+'LINEST VARS'!$T$60*($R$80)+'LINEST VARS'!$S$60*($B94)+'LINEST VARS'!$R$60*(4)+'LINEST VARS'!$Q$60*(0.5)+'LINEST VARS'!$P$60*(12.73)+'LINEST VARS'!$O$60*($R$80^2)+'LINEST VARS'!$N$60*($B94^2)+'LINEST VARS'!$M$60*(4^2)+'LINEST VARS'!$L$60*(0.5^2)+'LINEST VARS'!$K$60*(12.73^2)+'LINEST VARS'!$J$60*($R$80*$B94)+'LINEST VARS'!$I$60*($R$80*4)+'LINEST VARS'!$H$60*($R$80*0.5)+'LINEST VARS'!$G$60*($R$80*12.73)+'LINEST VARS'!$F$60*($B94*4)+'LINEST VARS'!$E$60*($B94*0.5)+'LINEST VARS'!$D$60*($B94*12.73)+'LINEST VARS'!$C$60*(4*0.5)+'LINEST VARS'!$B$60*(4*12.73)+'LINEST VARS'!$A$60*(0.5*12.73)</f>
        <v>40.460000000000015</v>
      </c>
      <c r="S94" s="46">
        <f>'LINEST VARS'!$U$60+'LINEST VARS'!$T$60*($S$80)+'LINEST VARS'!$S$60*($B94)+'LINEST VARS'!$R$60*(4)+'LINEST VARS'!$Q$60*(0.5)+'LINEST VARS'!$P$60*(12.73)+'LINEST VARS'!$O$60*($S$80^2)+'LINEST VARS'!$N$60*($B94^2)+'LINEST VARS'!$M$60*(4^2)+'LINEST VARS'!$L$60*(0.5^2)+'LINEST VARS'!$K$60*(12.73^2)+'LINEST VARS'!$J$60*($S$80*$B94)+'LINEST VARS'!$I$60*($S$80*4)+'LINEST VARS'!$H$60*($S$80*0.5)+'LINEST VARS'!$G$60*($S$80*12.73)+'LINEST VARS'!$F$60*($B94*4)+'LINEST VARS'!$E$60*($B94*0.5)+'LINEST VARS'!$D$60*($B94*12.73)+'LINEST VARS'!$C$60*(4*0.5)+'LINEST VARS'!$B$60*(4*12.73)+'LINEST VARS'!$A$60*(0.5*12.73)</f>
        <v>40.460000000000015</v>
      </c>
      <c r="T94" s="46">
        <f>'LINEST VARS'!$U$60+'LINEST VARS'!$T$60*($T$80)+'LINEST VARS'!$S$60*($B94)+'LINEST VARS'!$R$60*(4)+'LINEST VARS'!$Q$60*(0.5)+'LINEST VARS'!$P$60*(12.73)+'LINEST VARS'!$O$60*($T$80^2)+'LINEST VARS'!$N$60*($B94^2)+'LINEST VARS'!$M$60*(4^2)+'LINEST VARS'!$L$60*(0.5^2)+'LINEST VARS'!$K$60*(12.73^2)+'LINEST VARS'!$J$60*($T$80*$B94)+'LINEST VARS'!$I$60*($T$80*4)+'LINEST VARS'!$H$60*($T$80*0.5)+'LINEST VARS'!$G$60*($T$80*12.73)+'LINEST VARS'!$F$60*($B94*4)+'LINEST VARS'!$E$60*($B94*0.5)+'LINEST VARS'!$D$60*($B94*12.73)+'LINEST VARS'!$C$60*(4*0.5)+'LINEST VARS'!$B$60*(4*12.73)+'LINEST VARS'!$A$60*(0.5*12.73)</f>
        <v>40.460000000000015</v>
      </c>
      <c r="U94" s="46">
        <f>'LINEST VARS'!$U$60+'LINEST VARS'!$T$60*($U$80)+'LINEST VARS'!$S$60*($B94)+'LINEST VARS'!$R$60*(4)+'LINEST VARS'!$Q$60*(0.5)+'LINEST VARS'!$P$60*(12.73)+'LINEST VARS'!$O$60*($U$80^2)+'LINEST VARS'!$N$60*($B94^2)+'LINEST VARS'!$M$60*(4^2)+'LINEST VARS'!$L$60*(0.5^2)+'LINEST VARS'!$K$60*(12.73^2)+'LINEST VARS'!$J$60*($U$80*$B94)+'LINEST VARS'!$I$60*($U$80*4)+'LINEST VARS'!$H$60*($U$80*0.5)+'LINEST VARS'!$G$60*($U$80*12.73)+'LINEST VARS'!$F$60*($B94*4)+'LINEST VARS'!$E$60*($B94*0.5)+'LINEST VARS'!$D$60*($B94*12.73)+'LINEST VARS'!$C$60*(4*0.5)+'LINEST VARS'!$B$60*(4*12.73)+'LINEST VARS'!$A$60*(0.5*12.73)</f>
        <v>40.460000000000022</v>
      </c>
      <c r="V94" s="46">
        <f>'LINEST VARS'!$U$60+'LINEST VARS'!$T$60*($V$80)+'LINEST VARS'!$S$60*($B94)+'LINEST VARS'!$R$60*(4)+'LINEST VARS'!$Q$60*(0.5)+'LINEST VARS'!$P$60*(12.73)+'LINEST VARS'!$O$60*($V$80^2)+'LINEST VARS'!$N$60*($B94^2)+'LINEST VARS'!$M$60*(4^2)+'LINEST VARS'!$L$60*(0.5^2)+'LINEST VARS'!$K$60*(12.73^2)+'LINEST VARS'!$J$60*($V$80*$B94)+'LINEST VARS'!$I$60*($V$80*4)+'LINEST VARS'!$H$60*($V$80*0.5)+'LINEST VARS'!$G$60*($V$80*12.73)+'LINEST VARS'!$F$60*($B94*4)+'LINEST VARS'!$E$60*($B94*0.5)+'LINEST VARS'!$D$60*($B94*12.73)+'LINEST VARS'!$C$60*(4*0.5)+'LINEST VARS'!$B$60*(4*12.73)+'LINEST VARS'!$A$60*(0.5*12.73)</f>
        <v>40.460000000000022</v>
      </c>
      <c r="W94" s="47">
        <f>'LINEST VARS'!$U$60+'LINEST VARS'!$T$60*($W$80)+'LINEST VARS'!$S$60*($B94)+'LINEST VARS'!$R$60*(4)+'LINEST VARS'!$Q$60*(0.5)+'LINEST VARS'!$P$60*(12.73)+'LINEST VARS'!$O$60*($W$80^2)+'LINEST VARS'!$N$60*($B94^2)+'LINEST VARS'!$M$60*(4^2)+'LINEST VARS'!$L$60*(0.5^2)+'LINEST VARS'!$K$60*(12.73^2)+'LINEST VARS'!$J$60*($W$80*$B94)+'LINEST VARS'!$I$60*($W$80*4)+'LINEST VARS'!$H$60*($W$80*0.5)+'LINEST VARS'!$G$60*($W$80*12.73)+'LINEST VARS'!$F$60*($B94*4)+'LINEST VARS'!$E$60*($B94*0.5)+'LINEST VARS'!$D$60*($B94*12.73)+'LINEST VARS'!$C$60*(4*0.5)+'LINEST VARS'!$B$60*(4*12.73)+'LINEST VARS'!$A$60*(0.5*12.73)</f>
        <v>40.460000000000015</v>
      </c>
      <c r="Z94" s="45">
        <v>8.18</v>
      </c>
      <c r="AA94" s="55">
        <f>'LINEST VARS'!$U$62+'LINEST VARS'!$T$62*($AA$80)+'LINEST VARS'!$S$62*($Z94)+'LINEST VARS'!$R$62*(4)+'LINEST VARS'!$Q$62*(0.5)+'LINEST VARS'!$P$62*(12.73)+'LINEST VARS'!$O$62*($AA$80^2)+'LINEST VARS'!$N$62*($Z94^2)+'LINEST VARS'!$M$62*(4^2)+'LINEST VARS'!$L$62*(0.5^2)+'LINEST VARS'!$K$62*(12.73^2)+'LINEST VARS'!$J$62*($AA$80*$Z94)+'LINEST VARS'!$I$62*($AA$80*4)+'LINEST VARS'!$H$62*($AA$80*0.5)+'LINEST VARS'!$G$62*($AA$80*12.73)+'LINEST VARS'!$F$62*($Z94*4)+'LINEST VARS'!$E$62*($Z94*0.5)+'LINEST VARS'!$D$62*($Z94*12.73)+'LINEST VARS'!$C$62*(4*0.5)+'LINEST VARS'!$B$62*(4*12.73)+'LINEST VARS'!$A$62*(0.5*12.73)</f>
        <v>269.5</v>
      </c>
      <c r="AB94" s="55">
        <f>'LINEST VARS'!$U$62+'LINEST VARS'!$T$62*($AB$80)+'LINEST VARS'!$S$62*($Z94)+'LINEST VARS'!$R$62*(4)+'LINEST VARS'!$Q$62*(0.5)+'LINEST VARS'!$P$62*(12.73)+'LINEST VARS'!$O$62*($AB$80^2)+'LINEST VARS'!$N$62*($Z94^2)+'LINEST VARS'!$M$62*(4^2)+'LINEST VARS'!$L$62*(0.5^2)+'LINEST VARS'!$K$62*(12.73^2)+'LINEST VARS'!$J$62*($AB$80*$Z94)+'LINEST VARS'!$I$62*($AB$80*4)+'LINEST VARS'!$H$62*($AB$80*0.5)+'LINEST VARS'!$G$62*($AB$80*12.73)+'LINEST VARS'!$F$62*($Z94*4)+'LINEST VARS'!$E$62*($Z94*0.5)+'LINEST VARS'!$D$62*($Z94*12.73)+'LINEST VARS'!$C$62*(4*0.5)+'LINEST VARS'!$B$62*(4*12.73)+'LINEST VARS'!$A$62*(0.5*12.73)</f>
        <v>269.5</v>
      </c>
      <c r="AC94" s="55">
        <f>'LINEST VARS'!$U$62+'LINEST VARS'!$T$62*($AC$80)+'LINEST VARS'!$S$62*($Z94)+'LINEST VARS'!$R$62*(4)+'LINEST VARS'!$Q$62*(0.5)+'LINEST VARS'!$P$62*(12.73)+'LINEST VARS'!$O$62*($AC$80^2)+'LINEST VARS'!$N$62*($Z94^2)+'LINEST VARS'!$M$62*(4^2)+'LINEST VARS'!$L$62*(0.5^2)+'LINEST VARS'!$K$62*(12.73^2)+'LINEST VARS'!$J$62*($AC$80*$Z94)+'LINEST VARS'!$I$62*($AC$80*4)+'LINEST VARS'!$H$62*($AC$80*0.5)+'LINEST VARS'!$G$62*($AC$80*12.73)+'LINEST VARS'!$F$62*($Z94*4)+'LINEST VARS'!$E$62*($Z94*0.5)+'LINEST VARS'!$D$62*($Z94*12.73)+'LINEST VARS'!$C$62*(4*0.5)+'LINEST VARS'!$B$62*(4*12.73)+'LINEST VARS'!$A$62*(0.5*12.73)</f>
        <v>269.49999999999994</v>
      </c>
      <c r="AD94" s="55">
        <f>'LINEST VARS'!$U$62+'LINEST VARS'!$T$62*($AD$80)+'LINEST VARS'!$S$62*($Z94)+'LINEST VARS'!$R$62*(4)+'LINEST VARS'!$Q$62*(0.5)+'LINEST VARS'!$P$62*(12.73)+'LINEST VARS'!$O$62*($AD$80^2)+'LINEST VARS'!$N$62*($Z94^2)+'LINEST VARS'!$M$62*(4^2)+'LINEST VARS'!$L$62*(0.5^2)+'LINEST VARS'!$K$62*(12.73^2)+'LINEST VARS'!$J$62*($AD$80*$Z94)+'LINEST VARS'!$I$62*($AD$80*4)+'LINEST VARS'!$H$62*($AD$80*0.5)+'LINEST VARS'!$G$62*($AD$80*12.73)+'LINEST VARS'!$F$62*($Z94*4)+'LINEST VARS'!$E$62*($Z94*0.5)+'LINEST VARS'!$D$62*($Z94*12.73)+'LINEST VARS'!$C$62*(4*0.5)+'LINEST VARS'!$B$62*(4*12.73)+'LINEST VARS'!$A$62*(0.5*12.73)</f>
        <v>269.50000000000006</v>
      </c>
      <c r="AE94" s="55">
        <f>'LINEST VARS'!$U$62+'LINEST VARS'!$T$62*($AE$80)+'LINEST VARS'!$S$62*($Z94)+'LINEST VARS'!$R$62*(4)+'LINEST VARS'!$Q$62*(0.5)+'LINEST VARS'!$P$62*(12.73)+'LINEST VARS'!$O$62*($AE$80^2)+'LINEST VARS'!$N$62*($Z94^2)+'LINEST VARS'!$M$62*(4^2)+'LINEST VARS'!$L$62*(0.5^2)+'LINEST VARS'!$K$62*(12.73^2)+'LINEST VARS'!$J$62*($AE$80*$Z94)+'LINEST VARS'!$I$62*($AE$80*4)+'LINEST VARS'!$H$62*($AE$80*0.5)+'LINEST VARS'!$G$62*($AE$80*12.73)+'LINEST VARS'!$F$62*($Z94*4)+'LINEST VARS'!$E$62*($Z94*0.5)+'LINEST VARS'!$D$62*($Z94*12.73)+'LINEST VARS'!$C$62*(4*0.5)+'LINEST VARS'!$B$62*(4*12.73)+'LINEST VARS'!$A$62*(0.5*12.73)</f>
        <v>269.5</v>
      </c>
      <c r="AF94" s="55">
        <f>'LINEST VARS'!$U$62+'LINEST VARS'!$T$62*($AF$80)+'LINEST VARS'!$S$62*($Z94)+'LINEST VARS'!$R$62*(4)+'LINEST VARS'!$Q$62*(0.5)+'LINEST VARS'!$P$62*(12.73)+'LINEST VARS'!$O$62*($AF$80^2)+'LINEST VARS'!$N$62*($Z94^2)+'LINEST VARS'!$M$62*(4^2)+'LINEST VARS'!$L$62*(0.5^2)+'LINEST VARS'!$K$62*(12.73^2)+'LINEST VARS'!$J$62*($AF$80*$Z94)+'LINEST VARS'!$I$62*($AF$80*4)+'LINEST VARS'!$H$62*($AF$80*0.5)+'LINEST VARS'!$G$62*($AF$80*12.73)+'LINEST VARS'!$F$62*($Z94*4)+'LINEST VARS'!$E$62*($Z94*0.5)+'LINEST VARS'!$D$62*($Z94*12.73)+'LINEST VARS'!$C$62*(4*0.5)+'LINEST VARS'!$B$62*(4*12.73)+'LINEST VARS'!$A$62*(0.5*12.73)</f>
        <v>269.49999999999994</v>
      </c>
      <c r="AG94" s="55">
        <f>'LINEST VARS'!$U$62+'LINEST VARS'!$T$62*($AG$80)+'LINEST VARS'!$S$62*($Z94)+'LINEST VARS'!$R$62*(4)+'LINEST VARS'!$Q$62*(0.5)+'LINEST VARS'!$P$62*(12.73)+'LINEST VARS'!$O$62*($AG$80^2)+'LINEST VARS'!$N$62*($Z94^2)+'LINEST VARS'!$M$62*(4^2)+'LINEST VARS'!$L$62*(0.5^2)+'LINEST VARS'!$K$62*(12.73^2)+'LINEST VARS'!$J$62*($AG$80*$Z94)+'LINEST VARS'!$I$62*($AG$80*4)+'LINEST VARS'!$H$62*($AG$80*0.5)+'LINEST VARS'!$G$62*($AG$80*12.73)+'LINEST VARS'!$F$62*($Z94*4)+'LINEST VARS'!$E$62*($Z94*0.5)+'LINEST VARS'!$D$62*($Z94*12.73)+'LINEST VARS'!$C$62*(4*0.5)+'LINEST VARS'!$B$62*(4*12.73)+'LINEST VARS'!$A$62*(0.5*12.73)</f>
        <v>269.5</v>
      </c>
      <c r="AH94" s="55">
        <f>'LINEST VARS'!$U$62+'LINEST VARS'!$T$62*($AH$80)+'LINEST VARS'!$S$62*($Z94)+'LINEST VARS'!$R$62*(4)+'LINEST VARS'!$Q$62*(0.5)+'LINEST VARS'!$P$62*(12.73)+'LINEST VARS'!$O$62*($AH$80^2)+'LINEST VARS'!$N$62*($Z94^2)+'LINEST VARS'!$M$62*(4^2)+'LINEST VARS'!$L$62*(0.5^2)+'LINEST VARS'!$K$62*(12.73^2)+'LINEST VARS'!$J$62*($AH$80*$Z94)+'LINEST VARS'!$I$62*($AH$80*4)+'LINEST VARS'!$H$62*($AH$80*0.5)+'LINEST VARS'!$G$62*($AH$80*12.73)+'LINEST VARS'!$F$62*($Z94*4)+'LINEST VARS'!$E$62*($Z94*0.5)+'LINEST VARS'!$D$62*($Z94*12.73)+'LINEST VARS'!$C$62*(4*0.5)+'LINEST VARS'!$B$62*(4*12.73)+'LINEST VARS'!$A$62*(0.5*12.73)</f>
        <v>269.49999999999994</v>
      </c>
      <c r="AI94" s="55">
        <f>'LINEST VARS'!$U$62+'LINEST VARS'!$T$62*($AI$80)+'LINEST VARS'!$S$62*($Z94)+'LINEST VARS'!$R$62*(4)+'LINEST VARS'!$Q$62*(0.5)+'LINEST VARS'!$P$62*(12.73)+'LINEST VARS'!$O$62*($AI$80^2)+'LINEST VARS'!$N$62*($Z94^2)+'LINEST VARS'!$M$62*(4^2)+'LINEST VARS'!$L$62*(0.5^2)+'LINEST VARS'!$K$62*(12.73^2)+'LINEST VARS'!$J$62*($AI$80*$Z94)+'LINEST VARS'!$I$62*($AI$80*4)+'LINEST VARS'!$H$62*($AI$80*0.5)+'LINEST VARS'!$G$62*($AI$80*12.73)+'LINEST VARS'!$F$62*($Z94*4)+'LINEST VARS'!$E$62*($Z94*0.5)+'LINEST VARS'!$D$62*($Z94*12.73)+'LINEST VARS'!$C$62*(4*0.5)+'LINEST VARS'!$B$62*(4*12.73)+'LINEST VARS'!$A$62*(0.5*12.73)</f>
        <v>269.5</v>
      </c>
      <c r="AJ94" s="55">
        <f>'LINEST VARS'!$U$62+'LINEST VARS'!$T$62*($AJ$80)+'LINEST VARS'!$S$62*($Z94)+'LINEST VARS'!$R$62*(4)+'LINEST VARS'!$Q$62*(0.5)+'LINEST VARS'!$P$62*(12.73)+'LINEST VARS'!$O$62*($AJ$80^2)+'LINEST VARS'!$N$62*($Z94^2)+'LINEST VARS'!$M$62*(4^2)+'LINEST VARS'!$L$62*(0.5^2)+'LINEST VARS'!$K$62*(12.73^2)+'LINEST VARS'!$J$62*($AJ$80*$Z94)+'LINEST VARS'!$I$62*($AJ$80*4)+'LINEST VARS'!$H$62*($AJ$80*0.5)+'LINEST VARS'!$G$62*($AJ$80*12.73)+'LINEST VARS'!$F$62*($Z94*4)+'LINEST VARS'!$E$62*($Z94*0.5)+'LINEST VARS'!$D$62*($Z94*12.73)+'LINEST VARS'!$C$62*(4*0.5)+'LINEST VARS'!$B$62*(4*12.73)+'LINEST VARS'!$A$62*(0.5*12.73)</f>
        <v>269.5</v>
      </c>
      <c r="AK94" s="55">
        <f>'LINEST VARS'!$U$62+'LINEST VARS'!$T$62*($AK$80)+'LINEST VARS'!$S$62*($Z94)+'LINEST VARS'!$R$62*(4)+'LINEST VARS'!$Q$62*(0.5)+'LINEST VARS'!$P$62*(12.73)+'LINEST VARS'!$O$62*($AK$80^2)+'LINEST VARS'!$N$62*($Z94^2)+'LINEST VARS'!$M$62*(4^2)+'LINEST VARS'!$L$62*(0.5^2)+'LINEST VARS'!$K$62*(12.73^2)+'LINEST VARS'!$J$62*($AK$80*$Z94)+'LINEST VARS'!$I$62*($AK$80*4)+'LINEST VARS'!$H$62*($AK$80*0.5)+'LINEST VARS'!$G$62*($AK$80*12.73)+'LINEST VARS'!$F$62*($Z94*4)+'LINEST VARS'!$E$62*($Z94*0.5)+'LINEST VARS'!$D$62*($Z94*12.73)+'LINEST VARS'!$C$62*(4*0.5)+'LINEST VARS'!$B$62*(4*12.73)+'LINEST VARS'!$A$62*(0.5*12.73)</f>
        <v>269.5</v>
      </c>
      <c r="AL94" s="55">
        <f>'LINEST VARS'!$U$62+'LINEST VARS'!$T$62*($AL$80)+'LINEST VARS'!$S$62*($Z94)+'LINEST VARS'!$R$62*(4)+'LINEST VARS'!$Q$62*(0.5)+'LINEST VARS'!$P$62*(12.73)+'LINEST VARS'!$O$62*($AL$80^2)+'LINEST VARS'!$N$62*($Z94^2)+'LINEST VARS'!$M$62*(4^2)+'LINEST VARS'!$L$62*(0.5^2)+'LINEST VARS'!$K$62*(12.73^2)+'LINEST VARS'!$J$62*($AL$80*$Z94)+'LINEST VARS'!$I$62*($AL$80*4)+'LINEST VARS'!$H$62*($AL$80*0.5)+'LINEST VARS'!$G$62*($AL$80*12.73)+'LINEST VARS'!$F$62*($Z94*4)+'LINEST VARS'!$E$62*($Z94*0.5)+'LINEST VARS'!$D$62*($Z94*12.73)+'LINEST VARS'!$C$62*(4*0.5)+'LINEST VARS'!$B$62*(4*12.73)+'LINEST VARS'!$A$62*(0.5*12.73)</f>
        <v>269.49999999999994</v>
      </c>
      <c r="AM94" s="55">
        <f>'LINEST VARS'!$U$62+'LINEST VARS'!$T$62*($AM$80)+'LINEST VARS'!$S$62*($Z94)+'LINEST VARS'!$R$62*(4)+'LINEST VARS'!$Q$62*(0.5)+'LINEST VARS'!$P$62*(12.73)+'LINEST VARS'!$O$62*($AM$80^2)+'LINEST VARS'!$N$62*($Z94^2)+'LINEST VARS'!$M$62*(4^2)+'LINEST VARS'!$L$62*(0.5^2)+'LINEST VARS'!$K$62*(12.73^2)+'LINEST VARS'!$J$62*($AM$80*$Z94)+'LINEST VARS'!$I$62*($AM$80*4)+'LINEST VARS'!$H$62*($AM$80*0.5)+'LINEST VARS'!$G$62*($AM$80*12.73)+'LINEST VARS'!$F$62*($Z94*4)+'LINEST VARS'!$E$62*($Z94*0.5)+'LINEST VARS'!$D$62*($Z94*12.73)+'LINEST VARS'!$C$62*(4*0.5)+'LINEST VARS'!$B$62*(4*12.73)+'LINEST VARS'!$A$62*(0.5*12.73)</f>
        <v>269.49999999999994</v>
      </c>
      <c r="AN94" s="55">
        <f>'LINEST VARS'!$U$62+'LINEST VARS'!$T$62*($AN$80)+'LINEST VARS'!$S$62*($Z94)+'LINEST VARS'!$R$62*(4)+'LINEST VARS'!$Q$62*(0.5)+'LINEST VARS'!$P$62*(12.73)+'LINEST VARS'!$O$62*($AN$80^2)+'LINEST VARS'!$N$62*($Z94^2)+'LINEST VARS'!$M$62*(4^2)+'LINEST VARS'!$L$62*(0.5^2)+'LINEST VARS'!$K$62*(12.73^2)+'LINEST VARS'!$J$62*($AN$80*$Z94)+'LINEST VARS'!$I$62*($AN$80*4)+'LINEST VARS'!$H$62*($AN$80*0.5)+'LINEST VARS'!$G$62*($AN$80*12.73)+'LINEST VARS'!$F$62*($Z94*4)+'LINEST VARS'!$E$62*($Z94*0.5)+'LINEST VARS'!$D$62*($Z94*12.73)+'LINEST VARS'!$C$62*(4*0.5)+'LINEST VARS'!$B$62*(4*12.73)+'LINEST VARS'!$A$62*(0.5*12.73)</f>
        <v>269.5</v>
      </c>
      <c r="AO94" s="55">
        <f>'LINEST VARS'!$U$62+'LINEST VARS'!$T$62*($AO$80)+'LINEST VARS'!$S$62*($Z94)+'LINEST VARS'!$R$62*(4)+'LINEST VARS'!$Q$62*(0.5)+'LINEST VARS'!$P$62*(12.73)+'LINEST VARS'!$O$62*($AO$80^2)+'LINEST VARS'!$N$62*($Z94^2)+'LINEST VARS'!$M$62*(4^2)+'LINEST VARS'!$L$62*(0.5^2)+'LINEST VARS'!$K$62*(12.73^2)+'LINEST VARS'!$J$62*($AO$80*$Z94)+'LINEST VARS'!$I$62*($AO$80*4)+'LINEST VARS'!$H$62*($AO$80*0.5)+'LINEST VARS'!$G$62*($AO$80*12.73)+'LINEST VARS'!$F$62*($Z94*4)+'LINEST VARS'!$E$62*($Z94*0.5)+'LINEST VARS'!$D$62*($Z94*12.73)+'LINEST VARS'!$C$62*(4*0.5)+'LINEST VARS'!$B$62*(4*12.73)+'LINEST VARS'!$A$62*(0.5*12.73)</f>
        <v>269.5</v>
      </c>
      <c r="AP94" s="55">
        <f>'LINEST VARS'!$U$62+'LINEST VARS'!$T$62*($AP$80)+'LINEST VARS'!$S$62*($Z94)+'LINEST VARS'!$R$62*(4)+'LINEST VARS'!$Q$62*(0.5)+'LINEST VARS'!$P$62*(12.73)+'LINEST VARS'!$O$62*($AP$80^2)+'LINEST VARS'!$N$62*($Z94^2)+'LINEST VARS'!$M$62*(4^2)+'LINEST VARS'!$L$62*(0.5^2)+'LINEST VARS'!$K$62*(12.73^2)+'LINEST VARS'!$J$62*($AP$80*$Z94)+'LINEST VARS'!$I$62*($AP$80*4)+'LINEST VARS'!$H$62*($AP$80*0.5)+'LINEST VARS'!$G$62*($AP$80*12.73)+'LINEST VARS'!$F$62*($Z94*4)+'LINEST VARS'!$E$62*($Z94*0.5)+'LINEST VARS'!$D$62*($Z94*12.73)+'LINEST VARS'!$C$62*(4*0.5)+'LINEST VARS'!$B$62*(4*12.73)+'LINEST VARS'!$A$62*(0.5*12.73)</f>
        <v>269.5</v>
      </c>
      <c r="AQ94" s="55">
        <f>'LINEST VARS'!$U$62+'LINEST VARS'!$T$62*($AQ$80)+'LINEST VARS'!$S$62*($Z94)+'LINEST VARS'!$R$62*(4)+'LINEST VARS'!$Q$62*(0.5)+'LINEST VARS'!$P$62*(12.73)+'LINEST VARS'!$O$62*($AQ$80^2)+'LINEST VARS'!$N$62*($Z94^2)+'LINEST VARS'!$M$62*(4^2)+'LINEST VARS'!$L$62*(0.5^2)+'LINEST VARS'!$K$62*(12.73^2)+'LINEST VARS'!$J$62*($AQ$80*$Z94)+'LINEST VARS'!$I$62*($AQ$80*4)+'LINEST VARS'!$H$62*($AQ$80*0.5)+'LINEST VARS'!$G$62*($AQ$80*12.73)+'LINEST VARS'!$F$62*($Z94*4)+'LINEST VARS'!$E$62*($Z94*0.5)+'LINEST VARS'!$D$62*($Z94*12.73)+'LINEST VARS'!$C$62*(4*0.5)+'LINEST VARS'!$B$62*(4*12.73)+'LINEST VARS'!$A$62*(0.5*12.73)</f>
        <v>269.49999999999994</v>
      </c>
      <c r="AR94" s="55">
        <f>'LINEST VARS'!$U$62+'LINEST VARS'!$T$62*($AR$80)+'LINEST VARS'!$S$62*($Z94)+'LINEST VARS'!$R$62*(4)+'LINEST VARS'!$Q$62*(0.5)+'LINEST VARS'!$P$62*(12.73)+'LINEST VARS'!$O$62*($AR$80^2)+'LINEST VARS'!$N$62*($Z94^2)+'LINEST VARS'!$M$62*(4^2)+'LINEST VARS'!$L$62*(0.5^2)+'LINEST VARS'!$K$62*(12.73^2)+'LINEST VARS'!$J$62*($AR$80*$Z94)+'LINEST VARS'!$I$62*($AR$80*4)+'LINEST VARS'!$H$62*($AR$80*0.5)+'LINEST VARS'!$G$62*($AR$80*12.73)+'LINEST VARS'!$F$62*($Z94*4)+'LINEST VARS'!$E$62*($Z94*0.5)+'LINEST VARS'!$D$62*($Z94*12.73)+'LINEST VARS'!$C$62*(4*0.5)+'LINEST VARS'!$B$62*(4*12.73)+'LINEST VARS'!$A$62*(0.5*12.73)</f>
        <v>269.5</v>
      </c>
      <c r="AS94" s="55">
        <f>'LINEST VARS'!$U$62+'LINEST VARS'!$T$62*($AS$80)+'LINEST VARS'!$S$62*($Z94)+'LINEST VARS'!$R$62*(4)+'LINEST VARS'!$Q$62*(0.5)+'LINEST VARS'!$P$62*(12.73)+'LINEST VARS'!$O$62*($AS$80^2)+'LINEST VARS'!$N$62*($Z94^2)+'LINEST VARS'!$M$62*(4^2)+'LINEST VARS'!$L$62*(0.5^2)+'LINEST VARS'!$K$62*(12.73^2)+'LINEST VARS'!$J$62*($AS$80*$Z94)+'LINEST VARS'!$I$62*($AS$80*4)+'LINEST VARS'!$H$62*($AS$80*0.5)+'LINEST VARS'!$G$62*($AS$80*12.73)+'LINEST VARS'!$F$62*($Z94*4)+'LINEST VARS'!$E$62*($Z94*0.5)+'LINEST VARS'!$D$62*($Z94*12.73)+'LINEST VARS'!$C$62*(4*0.5)+'LINEST VARS'!$B$62*(4*12.73)+'LINEST VARS'!$A$62*(0.5*12.73)</f>
        <v>269.5</v>
      </c>
      <c r="AT94" s="55">
        <f>'LINEST VARS'!$U$62+'LINEST VARS'!$T$62*($AT$80)+'LINEST VARS'!$S$62*($Z94)+'LINEST VARS'!$R$62*(4)+'LINEST VARS'!$Q$62*(0.5)+'LINEST VARS'!$P$62*(12.73)+'LINEST VARS'!$O$62*($AT$80^2)+'LINEST VARS'!$N$62*($Z94^2)+'LINEST VARS'!$M$62*(4^2)+'LINEST VARS'!$L$62*(0.5^2)+'LINEST VARS'!$K$62*(12.73^2)+'LINEST VARS'!$J$62*($AT$80*$Z94)+'LINEST VARS'!$I$62*($AT$80*4)+'LINEST VARS'!$H$62*($AT$80*0.5)+'LINEST VARS'!$G$62*($AT$80*12.73)+'LINEST VARS'!$F$62*($Z94*4)+'LINEST VARS'!$E$62*($Z94*0.5)+'LINEST VARS'!$D$62*($Z94*12.73)+'LINEST VARS'!$C$62*(4*0.5)+'LINEST VARS'!$B$62*(4*12.73)+'LINEST VARS'!$A$62*(0.5*12.73)</f>
        <v>269.5</v>
      </c>
      <c r="AU94" s="56">
        <f>'LINEST VARS'!$U$62+'LINEST VARS'!$T$62*($AU$80)+'LINEST VARS'!$S$62*($Z94)+'LINEST VARS'!$R$62*(4)+'LINEST VARS'!$Q$62*(0.5)+'LINEST VARS'!$P$62*(12.73)+'LINEST VARS'!$O$62*($AU$80^2)+'LINEST VARS'!$N$62*($Z94^2)+'LINEST VARS'!$M$62*(4^2)+'LINEST VARS'!$L$62*(0.5^2)+'LINEST VARS'!$K$62*(12.73^2)+'LINEST VARS'!$J$62*($AU$80*$Z94)+'LINEST VARS'!$I$62*($AU$80*4)+'LINEST VARS'!$H$62*($AU$80*0.5)+'LINEST VARS'!$G$62*($AU$80*12.73)+'LINEST VARS'!$F$62*($Z94*4)+'LINEST VARS'!$E$62*($Z94*0.5)+'LINEST VARS'!$D$62*($Z94*12.73)+'LINEST VARS'!$C$62*(4*0.5)+'LINEST VARS'!$B$62*(4*12.73)+'LINEST VARS'!$A$62*(0.5*12.73)</f>
        <v>269.50000000000006</v>
      </c>
      <c r="AZ94" s="45">
        <v>0.65</v>
      </c>
      <c r="BA94" s="46">
        <f>'LINEST VARS'!$U$60+'LINEST VARS'!$T$60*(8)+'LINEST VARS'!$S$60*(8)+'LINEST VARS'!$R$60*($BA$80)+'LINEST VARS'!$Q$60*($AZ94)+'LINEST VARS'!$P$60*(12.73)+'LINEST VARS'!$O$60*(8^2)+'LINEST VARS'!$N$60*(8^2)+'LINEST VARS'!$M$60*($BA$80^2)+'LINEST VARS'!$L$60*($AZ94^2)+'LINEST VARS'!$K$60*(12.73^2)+'LINEST VARS'!$J$60*(8*8)+'LINEST VARS'!$I$60*(8*$BA$80)+'LINEST VARS'!$H$60*(8*$AZ94)+'LINEST VARS'!$G$60*(8*12.73)+'LINEST VARS'!$F$60*(8*$BA$80)+'LINEST VARS'!$E$60*(8*$AZ94)+'LINEST VARS'!$D$60*(8*12.73)+'LINEST VARS'!$C$60*($BA$80*$AZ94)+'LINEST VARS'!$B$60*($BA$80*12.73)+'LINEST VARS'!$A$60*($AZ94*12.73)</f>
        <v>40.46</v>
      </c>
      <c r="BB94" s="46">
        <f>'LINEST VARS'!$U$60+'LINEST VARS'!$T$60*(8)+'LINEST VARS'!$S$60*(8)+'LINEST VARS'!$R$60*($BB$80)+'LINEST VARS'!$Q$60*($AZ94)+'LINEST VARS'!$P$60*(12.73)+'LINEST VARS'!$O$60*(8^2)+'LINEST VARS'!$N$60*(8^2)+'LINEST VARS'!$M$60*($BB$80^2)+'LINEST VARS'!$L$60*($AZ94^2)+'LINEST VARS'!$K$60*(12.73^2)+'LINEST VARS'!$J$60*(8*8)+'LINEST VARS'!$I$60*(8*$BB$80)+'LINEST VARS'!$H$60*(8*$AZ94)+'LINEST VARS'!$G$60*(8*12.73)+'LINEST VARS'!$F$60*(8*$BB$80)+'LINEST VARS'!$E$60*(8*$AZ94)+'LINEST VARS'!$D$60*(8*12.73)+'LINEST VARS'!$C$60*($BB$80*$AZ94)+'LINEST VARS'!$B$60*($BB$80*12.73)+'LINEST VARS'!$A$60*($AZ94*12.73)</f>
        <v>40.46</v>
      </c>
      <c r="BC94" s="46">
        <f>'LINEST VARS'!$U$60+'LINEST VARS'!$T$60*(8)+'LINEST VARS'!$S$60*(8)+'LINEST VARS'!$R$60*($BC$80)+'LINEST VARS'!$Q$60*($AZ94)+'LINEST VARS'!$P$60*(12.73)+'LINEST VARS'!$O$60*(8^2)+'LINEST VARS'!$N$60*(8^2)+'LINEST VARS'!$M$60*($BC$80^2)+'LINEST VARS'!$L$60*($AZ94^2)+'LINEST VARS'!$K$60*(12.73^2)+'LINEST VARS'!$J$60*(8*8)+'LINEST VARS'!$I$60*(8*$BC$80)+'LINEST VARS'!$H$60*(8*$AZ94)+'LINEST VARS'!$G$60*(8*12.73)+'LINEST VARS'!$F$60*(8*$BC$80)+'LINEST VARS'!$E$60*(8*$AZ94)+'LINEST VARS'!$D$60*(8*12.73)+'LINEST VARS'!$C$60*($BC$80*$AZ94)+'LINEST VARS'!$B$60*($BC$80*12.73)+'LINEST VARS'!$A$60*($AZ94*12.73)</f>
        <v>40.460000000000008</v>
      </c>
      <c r="BD94" s="46">
        <f>'LINEST VARS'!$U$60+'LINEST VARS'!$T$60*(8)+'LINEST VARS'!$S$60*(8)+'LINEST VARS'!$R$60*($BD$80)+'LINEST VARS'!$Q$60*($AZ94)+'LINEST VARS'!$P$60*(12.73)+'LINEST VARS'!$O$60*(8^2)+'LINEST VARS'!$N$60*(8^2)+'LINEST VARS'!$M$60*($BD$80^2)+'LINEST VARS'!$L$60*($AZ94^2)+'LINEST VARS'!$K$60*(12.73^2)+'LINEST VARS'!$J$60*(8*8)+'LINEST VARS'!$I$60*(8*$BD$80)+'LINEST VARS'!$H$60*(8*$AZ94)+'LINEST VARS'!$G$60*(8*12.73)+'LINEST VARS'!$F$60*(8*$BD$80)+'LINEST VARS'!$E$60*(8*$AZ94)+'LINEST VARS'!$D$60*(8*12.73)+'LINEST VARS'!$C$60*($BD$80*$AZ94)+'LINEST VARS'!$B$60*($BD$80*12.73)+'LINEST VARS'!$A$60*($AZ94*12.73)</f>
        <v>40.460000000000008</v>
      </c>
      <c r="BE94" s="46">
        <f>'LINEST VARS'!$U$60+'LINEST VARS'!$T$60*(8)+'LINEST VARS'!$S$60*(8)+'LINEST VARS'!$R$60*($BE$80)+'LINEST VARS'!$Q$60*($AZ94)+'LINEST VARS'!$P$60*(12.73)+'LINEST VARS'!$O$60*(8^2)+'LINEST VARS'!$N$60*(8^2)+'LINEST VARS'!$M$60*($BE$80^2)+'LINEST VARS'!$L$60*($AZ94^2)+'LINEST VARS'!$K$60*(12.73^2)+'LINEST VARS'!$J$60*(8*8)+'LINEST VARS'!$I$60*(8*$BE$80)+'LINEST VARS'!$H$60*(8*$AZ94)+'LINEST VARS'!$G$60*(8*12.73)+'LINEST VARS'!$F$60*(8*$BE$80)+'LINEST VARS'!$E$60*(8*$AZ94)+'LINEST VARS'!$D$60*(8*12.73)+'LINEST VARS'!$C$60*($BE$80*$AZ94)+'LINEST VARS'!$B$60*($BE$80*12.73)+'LINEST VARS'!$A$60*($AZ94*12.73)</f>
        <v>40.46</v>
      </c>
      <c r="BF94" s="46">
        <f>'LINEST VARS'!$U$60+'LINEST VARS'!$T$60*(8)+'LINEST VARS'!$S$60*(8)+'LINEST VARS'!$R$60*($BF$80)+'LINEST VARS'!$Q$60*($AZ94)+'LINEST VARS'!$P$60*(12.73)+'LINEST VARS'!$O$60*(8^2)+'LINEST VARS'!$N$60*(8^2)+'LINEST VARS'!$M$60*($BF$80^2)+'LINEST VARS'!$L$60*($AZ94^2)+'LINEST VARS'!$K$60*(12.73^2)+'LINEST VARS'!$J$60*(8*8)+'LINEST VARS'!$I$60*(8*$BF$80)+'LINEST VARS'!$H$60*(8*$AZ94)+'LINEST VARS'!$G$60*(8*12.73)+'LINEST VARS'!$F$60*(8*$BF$80)+'LINEST VARS'!$E$60*(8*$AZ94)+'LINEST VARS'!$D$60*(8*12.73)+'LINEST VARS'!$C$60*($BF$80*$AZ94)+'LINEST VARS'!$B$60*($BF$80*12.73)+'LINEST VARS'!$A$60*($AZ94*12.73)</f>
        <v>40.46</v>
      </c>
      <c r="BG94" s="46">
        <f>'LINEST VARS'!$U$60+'LINEST VARS'!$T$60*(8)+'LINEST VARS'!$S$60*(8)+'LINEST VARS'!$R$60*($BG$80)+'LINEST VARS'!$Q$60*($AZ94)+'LINEST VARS'!$P$60*(12.73)+'LINEST VARS'!$O$60*(8^2)+'LINEST VARS'!$N$60*(8^2)+'LINEST VARS'!$M$60*($BG$80^2)+'LINEST VARS'!$L$60*($AZ94^2)+'LINEST VARS'!$K$60*(12.73^2)+'LINEST VARS'!$J$60*(8*8)+'LINEST VARS'!$I$60*(8*$BG$80)+'LINEST VARS'!$H$60*(8*$AZ94)+'LINEST VARS'!$G$60*(8*12.73)+'LINEST VARS'!$F$60*(8*$BG$80)+'LINEST VARS'!$E$60*(8*$AZ94)+'LINEST VARS'!$D$60*(8*12.73)+'LINEST VARS'!$C$60*($BG$80*$AZ94)+'LINEST VARS'!$B$60*($BG$80*12.73)+'LINEST VARS'!$A$60*($AZ94*12.73)</f>
        <v>40.46</v>
      </c>
      <c r="BH94" s="46">
        <f>'LINEST VARS'!$U$60+'LINEST VARS'!$T$60*(8)+'LINEST VARS'!$S$60*(8)+'LINEST VARS'!$R$60*($BH$80)+'LINEST VARS'!$Q$60*($AZ94)+'LINEST VARS'!$P$60*(12.73)+'LINEST VARS'!$O$60*(8^2)+'LINEST VARS'!$N$60*(8^2)+'LINEST VARS'!$M$60*($BH$80^2)+'LINEST VARS'!$L$60*($AZ94^2)+'LINEST VARS'!$K$60*(12.73^2)+'LINEST VARS'!$J$60*(8*8)+'LINEST VARS'!$I$60*(8*$BH$80)+'LINEST VARS'!$H$60*(8*$AZ94)+'LINEST VARS'!$G$60*(8*12.73)+'LINEST VARS'!$F$60*(8*$BH$80)+'LINEST VARS'!$E$60*(8*$AZ94)+'LINEST VARS'!$D$60*(8*12.73)+'LINEST VARS'!$C$60*($BH$80*$AZ94)+'LINEST VARS'!$B$60*($BH$80*12.73)+'LINEST VARS'!$A$60*($AZ94*12.73)</f>
        <v>40.46</v>
      </c>
      <c r="BI94" s="46">
        <f>'LINEST VARS'!$U$60+'LINEST VARS'!$T$60*(8)+'LINEST VARS'!$S$60*(8)+'LINEST VARS'!$R$60*($BI$80)+'LINEST VARS'!$Q$60*($AZ94)+'LINEST VARS'!$P$60*(12.73)+'LINEST VARS'!$O$60*(8^2)+'LINEST VARS'!$N$60*(8^2)+'LINEST VARS'!$M$60*($BI$80^2)+'LINEST VARS'!$L$60*($AZ94^2)+'LINEST VARS'!$K$60*(12.73^2)+'LINEST VARS'!$J$60*(8*8)+'LINEST VARS'!$I$60*(8*$BI$80)+'LINEST VARS'!$H$60*(8*$AZ94)+'LINEST VARS'!$G$60*(8*12.73)+'LINEST VARS'!$F$60*(8*$BI$80)+'LINEST VARS'!$E$60*(8*$AZ94)+'LINEST VARS'!$D$60*(8*12.73)+'LINEST VARS'!$C$60*($BI$80*$AZ94)+'LINEST VARS'!$B$60*($BI$80*12.73)+'LINEST VARS'!$A$60*($AZ94*12.73)</f>
        <v>40.46</v>
      </c>
      <c r="BJ94" s="46">
        <f>'LINEST VARS'!$U$60+'LINEST VARS'!$T$60*(8)+'LINEST VARS'!$S$60*(8)+'LINEST VARS'!$R$60*($BJ$80)+'LINEST VARS'!$Q$60*($AZ94)+'LINEST VARS'!$P$60*(12.73)+'LINEST VARS'!$O$60*(8^2)+'LINEST VARS'!$N$60*(8^2)+'LINEST VARS'!$M$60*($BJ$80^2)+'LINEST VARS'!$L$60*($AZ94^2)+'LINEST VARS'!$K$60*(12.73^2)+'LINEST VARS'!$J$60*(8*8)+'LINEST VARS'!$I$60*(8*$BJ$80)+'LINEST VARS'!$H$60*(8*$AZ94)+'LINEST VARS'!$G$60*(8*12.73)+'LINEST VARS'!$F$60*(8*$BJ$80)+'LINEST VARS'!$E$60*(8*$AZ94)+'LINEST VARS'!$D$60*(8*12.73)+'LINEST VARS'!$C$60*($BJ$80*$AZ94)+'LINEST VARS'!$B$60*($BJ$80*12.73)+'LINEST VARS'!$A$60*($AZ94*12.73)</f>
        <v>40.460000000000008</v>
      </c>
      <c r="BK94" s="46">
        <f>'LINEST VARS'!$U$60+'LINEST VARS'!$T$60*(8)+'LINEST VARS'!$S$60*(8)+'LINEST VARS'!$R$60*($BK$80)+'LINEST VARS'!$Q$60*($AZ94)+'LINEST VARS'!$P$60*(12.73)+'LINEST VARS'!$O$60*(8^2)+'LINEST VARS'!$N$60*(8^2)+'LINEST VARS'!$M$60*($BK$80^2)+'LINEST VARS'!$L$60*($AZ94^2)+'LINEST VARS'!$K$60*(12.73^2)+'LINEST VARS'!$J$60*(8*8)+'LINEST VARS'!$I$60*(8*$BK$80)+'LINEST VARS'!$H$60*(8*$AZ94)+'LINEST VARS'!$G$60*(8*12.73)+'LINEST VARS'!$F$60*(8*$BK$80)+'LINEST VARS'!$E$60*(8*$AZ94)+'LINEST VARS'!$D$60*(8*12.73)+'LINEST VARS'!$C$60*($BK$80*$AZ94)+'LINEST VARS'!$B$60*($BK$80*12.73)+'LINEST VARS'!$A$60*($AZ94*12.73)</f>
        <v>40.460000000000008</v>
      </c>
      <c r="BL94" s="46">
        <f>'LINEST VARS'!$U$60+'LINEST VARS'!$T$60*(8)+'LINEST VARS'!$S$60*(8)+'LINEST VARS'!$R$60*($BL$80)+'LINEST VARS'!$Q$60*($AZ94)+'LINEST VARS'!$P$60*(12.73)+'LINEST VARS'!$O$60*(8^2)+'LINEST VARS'!$N$60*(8^2)+'LINEST VARS'!$M$60*($BL$80^2)+'LINEST VARS'!$L$60*($AZ94^2)+'LINEST VARS'!$K$60*(12.73^2)+'LINEST VARS'!$J$60*(8*8)+'LINEST VARS'!$I$60*(8*$BL$80)+'LINEST VARS'!$H$60*(8*$AZ94)+'LINEST VARS'!$G$60*(8*12.73)+'LINEST VARS'!$F$60*(8*$BL$80)+'LINEST VARS'!$E$60*(8*$AZ94)+'LINEST VARS'!$D$60*(8*12.73)+'LINEST VARS'!$C$60*($BL$80*$AZ94)+'LINEST VARS'!$B$60*($BL$80*12.73)+'LINEST VARS'!$A$60*($AZ94*12.73)</f>
        <v>40.46</v>
      </c>
      <c r="BM94" s="46">
        <f>'LINEST VARS'!$U$60+'LINEST VARS'!$T$60*(8)+'LINEST VARS'!$S$60*(8)+'LINEST VARS'!$R$60*($BM$80)+'LINEST VARS'!$Q$60*($AZ94)+'LINEST VARS'!$P$60*(12.73)+'LINEST VARS'!$O$60*(8^2)+'LINEST VARS'!$N$60*(8^2)+'LINEST VARS'!$M$60*($BM$80^2)+'LINEST VARS'!$L$60*($AZ94^2)+'LINEST VARS'!$K$60*(12.73^2)+'LINEST VARS'!$J$60*(8*8)+'LINEST VARS'!$I$60*(8*$BM$80)+'LINEST VARS'!$H$60*(8*$AZ94)+'LINEST VARS'!$G$60*(8*12.73)+'LINEST VARS'!$F$60*(8*$BM$80)+'LINEST VARS'!$E$60*(8*$AZ94)+'LINEST VARS'!$D$60*(8*12.73)+'LINEST VARS'!$C$60*($BM$80*$AZ94)+'LINEST VARS'!$B$60*($BM$80*12.73)+'LINEST VARS'!$A$60*($AZ94*12.73)</f>
        <v>40.460000000000008</v>
      </c>
      <c r="BN94" s="46">
        <f>'LINEST VARS'!$U$60+'LINEST VARS'!$T$60*(8)+'LINEST VARS'!$S$60*(8)+'LINEST VARS'!$R$60*($BN$80)+'LINEST VARS'!$Q$60*($AZ94)+'LINEST VARS'!$P$60*(12.73)+'LINEST VARS'!$O$60*(8^2)+'LINEST VARS'!$N$60*(8^2)+'LINEST VARS'!$M$60*($BN$80^2)+'LINEST VARS'!$L$60*($AZ94^2)+'LINEST VARS'!$K$60*(12.73^2)+'LINEST VARS'!$J$60*(8*8)+'LINEST VARS'!$I$60*(8*$BN$80)+'LINEST VARS'!$H$60*(8*$AZ94)+'LINEST VARS'!$G$60*(8*12.73)+'LINEST VARS'!$F$60*(8*$BN$80)+'LINEST VARS'!$E$60*(8*$AZ94)+'LINEST VARS'!$D$60*(8*12.73)+'LINEST VARS'!$C$60*($BN$80*$AZ94)+'LINEST VARS'!$B$60*($BN$80*12.73)+'LINEST VARS'!$A$60*($AZ94*12.73)</f>
        <v>40.46</v>
      </c>
      <c r="BO94" s="46">
        <f>'LINEST VARS'!$U$60+'LINEST VARS'!$T$60*(8)+'LINEST VARS'!$S$60*(8)+'LINEST VARS'!$R$60*($BO$80)+'LINEST VARS'!$Q$60*($AZ94)+'LINEST VARS'!$P$60*(12.73)+'LINEST VARS'!$O$60*(8^2)+'LINEST VARS'!$N$60*(8^2)+'LINEST VARS'!$M$60*($BO$80^2)+'LINEST VARS'!$L$60*($AZ94^2)+'LINEST VARS'!$K$60*(12.73^2)+'LINEST VARS'!$J$60*(8*8)+'LINEST VARS'!$I$60*(8*$BO$80)+'LINEST VARS'!$H$60*(8*$AZ94)+'LINEST VARS'!$G$60*(8*12.73)+'LINEST VARS'!$F$60*(8*$BO$80)+'LINEST VARS'!$E$60*(8*$AZ94)+'LINEST VARS'!$D$60*(8*12.73)+'LINEST VARS'!$C$60*($BO$80*$AZ94)+'LINEST VARS'!$B$60*($BO$80*12.73)+'LINEST VARS'!$A$60*($AZ94*12.73)</f>
        <v>40.46</v>
      </c>
      <c r="BP94" s="46">
        <f>'LINEST VARS'!$U$60+'LINEST VARS'!$T$60*(8)+'LINEST VARS'!$S$60*(8)+'LINEST VARS'!$R$60*($BP$80)+'LINEST VARS'!$Q$60*($AZ94)+'LINEST VARS'!$P$60*(12.73)+'LINEST VARS'!$O$60*(8^2)+'LINEST VARS'!$N$60*(8^2)+'LINEST VARS'!$M$60*($BP$80^2)+'LINEST VARS'!$L$60*($AZ94^2)+'LINEST VARS'!$K$60*(12.73^2)+'LINEST VARS'!$J$60*(8*8)+'LINEST VARS'!$I$60*(8*$BP$80)+'LINEST VARS'!$H$60*(8*$AZ94)+'LINEST VARS'!$G$60*(8*12.73)+'LINEST VARS'!$F$60*(8*$BP$80)+'LINEST VARS'!$E$60*(8*$AZ94)+'LINEST VARS'!$D$60*(8*12.73)+'LINEST VARS'!$C$60*($BP$80*$AZ94)+'LINEST VARS'!$B$60*($BP$80*12.73)+'LINEST VARS'!$A$60*($AZ94*12.73)</f>
        <v>40.46</v>
      </c>
      <c r="BQ94" s="46">
        <f>'LINEST VARS'!$U$60+'LINEST VARS'!$T$60*(8)+'LINEST VARS'!$S$60*(8)+'LINEST VARS'!$R$60*($BQ$80)+'LINEST VARS'!$Q$60*($AZ94)+'LINEST VARS'!$P$60*(12.73)+'LINEST VARS'!$O$60*(8^2)+'LINEST VARS'!$N$60*(8^2)+'LINEST VARS'!$M$60*($BQ$80^2)+'LINEST VARS'!$L$60*($AZ94^2)+'LINEST VARS'!$K$60*(12.73^2)+'LINEST VARS'!$J$60*(8*8)+'LINEST VARS'!$I$60*(8*$BQ$80)+'LINEST VARS'!$H$60*(8*$AZ94)+'LINEST VARS'!$G$60*(8*12.73)+'LINEST VARS'!$F$60*(8*$BQ$80)+'LINEST VARS'!$E$60*(8*$AZ94)+'LINEST VARS'!$D$60*(8*12.73)+'LINEST VARS'!$C$60*($BQ$80*$AZ94)+'LINEST VARS'!$B$60*($BQ$80*12.73)+'LINEST VARS'!$A$60*($AZ94*12.73)</f>
        <v>40.460000000000008</v>
      </c>
      <c r="BR94" s="46">
        <f>'LINEST VARS'!$U$60+'LINEST VARS'!$T$60*(8)+'LINEST VARS'!$S$60*(8)+'LINEST VARS'!$R$60*($BR$80)+'LINEST VARS'!$Q$60*($AZ94)+'LINEST VARS'!$P$60*(12.73)+'LINEST VARS'!$O$60*(8^2)+'LINEST VARS'!$N$60*(8^2)+'LINEST VARS'!$M$60*($BR$80^2)+'LINEST VARS'!$L$60*($AZ94^2)+'LINEST VARS'!$K$60*(12.73^2)+'LINEST VARS'!$J$60*(8*8)+'LINEST VARS'!$I$60*(8*$BR$80)+'LINEST VARS'!$H$60*(8*$AZ94)+'LINEST VARS'!$G$60*(8*12.73)+'LINEST VARS'!$F$60*(8*$BR$80)+'LINEST VARS'!$E$60*(8*$AZ94)+'LINEST VARS'!$D$60*(8*12.73)+'LINEST VARS'!$C$60*($BR$80*$AZ94)+'LINEST VARS'!$B$60*($BR$80*12.73)+'LINEST VARS'!$A$60*($AZ94*12.73)</f>
        <v>40.460000000000008</v>
      </c>
      <c r="BS94" s="46">
        <f>'LINEST VARS'!$U$60+'LINEST VARS'!$T$60*(8)+'LINEST VARS'!$S$60*(8)+'LINEST VARS'!$R$60*($BS$80)+'LINEST VARS'!$Q$60*($AZ94)+'LINEST VARS'!$P$60*(12.73)+'LINEST VARS'!$O$60*(8^2)+'LINEST VARS'!$N$60*(8^2)+'LINEST VARS'!$M$60*($BS$80^2)+'LINEST VARS'!$L$60*($AZ94^2)+'LINEST VARS'!$K$60*(12.73^2)+'LINEST VARS'!$J$60*(8*8)+'LINEST VARS'!$I$60*(8*$BS$80)+'LINEST VARS'!$H$60*(8*$AZ94)+'LINEST VARS'!$G$60*(8*12.73)+'LINEST VARS'!$F$60*(8*$BS$80)+'LINEST VARS'!$E$60*(8*$AZ94)+'LINEST VARS'!$D$60*(8*12.73)+'LINEST VARS'!$C$60*($BS$80*$AZ94)+'LINEST VARS'!$B$60*($BS$80*12.73)+'LINEST VARS'!$A$60*($AZ94*12.73)</f>
        <v>40.46</v>
      </c>
      <c r="BT94" s="46">
        <f>'LINEST VARS'!$U$60+'LINEST VARS'!$T$60*(8)+'LINEST VARS'!$S$60*(8)+'LINEST VARS'!$R$60*($BT$80)+'LINEST VARS'!$Q$60*($AZ94)+'LINEST VARS'!$P$60*(12.73)+'LINEST VARS'!$O$60*(8^2)+'LINEST VARS'!$N$60*(8^2)+'LINEST VARS'!$M$60*($BT$80^2)+'LINEST VARS'!$L$60*($AZ94^2)+'LINEST VARS'!$K$60*(12.73^2)+'LINEST VARS'!$J$60*(8*8)+'LINEST VARS'!$I$60*(8*$BT$80)+'LINEST VARS'!$H$60*(8*$AZ94)+'LINEST VARS'!$G$60*(8*12.73)+'LINEST VARS'!$F$60*(8*$BT$80)+'LINEST VARS'!$E$60*(8*$AZ94)+'LINEST VARS'!$D$60*(8*12.73)+'LINEST VARS'!$C$60*($BT$80*$AZ94)+'LINEST VARS'!$B$60*($BT$80*12.73)+'LINEST VARS'!$A$60*($AZ94*12.73)</f>
        <v>40.460000000000008</v>
      </c>
      <c r="BU94" s="47">
        <f>'LINEST VARS'!$U$60+'LINEST VARS'!$T$60*(8)+'LINEST VARS'!$S$60*(8)+'LINEST VARS'!$R$60*($BU$80)+'LINEST VARS'!$Q$60*($AZ94)+'LINEST VARS'!$P$60*(12.73)+'LINEST VARS'!$O$60*(8^2)+'LINEST VARS'!$N$60*(8^2)+'LINEST VARS'!$M$60*($BU$80^2)+'LINEST VARS'!$L$60*($AZ94^2)+'LINEST VARS'!$K$60*(12.73^2)+'LINEST VARS'!$J$60*(8*8)+'LINEST VARS'!$I$60*(8*$BU$80)+'LINEST VARS'!$H$60*(8*$AZ94)+'LINEST VARS'!$G$60*(8*12.73)+'LINEST VARS'!$F$60*(8*$BU$80)+'LINEST VARS'!$E$60*(8*$AZ94)+'LINEST VARS'!$D$60*(8*12.73)+'LINEST VARS'!$C$60*($BU$80*$AZ94)+'LINEST VARS'!$B$60*($BU$80*12.73)+'LINEST VARS'!$A$60*($AZ94*12.73)</f>
        <v>40.460000000000008</v>
      </c>
      <c r="BX94" s="45">
        <v>0.65</v>
      </c>
      <c r="BY94" s="55">
        <f>'LINEST VARS'!$U$62+'LINEST VARS'!$T$62*(8)+'LINEST VARS'!$S$62*(8)+'LINEST VARS'!$R$62*($BY$80)+'LINEST VARS'!$Q$62*($BX94)+'LINEST VARS'!$P$62*(12.73)+'LINEST VARS'!$O$62*(8^2)+'LINEST VARS'!$N$62*(8^2)+'LINEST VARS'!$M$62*($BY$80^2)+'LINEST VARS'!$L$62*($BX94^2)+'LINEST VARS'!$K$62*(12.73^2)+'LINEST VARS'!$J$62*(8*8)+'LINEST VARS'!$I$62*(8*$BY$80)+'LINEST VARS'!$H$62*(8*$BX94)+'LINEST VARS'!$G$62*(8*12.73)+'LINEST VARS'!$F$62*(8*$BY$80)+'LINEST VARS'!$E$62*(8*$BX94)+'LINEST VARS'!$D$62*(8*12.73)+'LINEST VARS'!$C$62*($BY$80*$BX94)+'LINEST VARS'!$B$62*($BY$80*12.73)+'LINEST VARS'!$A$62*($BX94*12.73)</f>
        <v>349.15499999999992</v>
      </c>
      <c r="BZ94" s="55">
        <f>'LINEST VARS'!$U$62+'LINEST VARS'!$T$62*(8)+'LINEST VARS'!$S$62*(8)+'LINEST VARS'!$R$62*($BZ$80)+'LINEST VARS'!$Q$62*($BX94)+'LINEST VARS'!$P$62*(12.73)+'LINEST VARS'!$O$62*(8^2)+'LINEST VARS'!$N$62*(8^2)+'LINEST VARS'!$M$62*($BZ$80^2)+'LINEST VARS'!$L$62*($BX94^2)+'LINEST VARS'!$K$62*(12.73^2)+'LINEST VARS'!$J$62*(8*8)+'LINEST VARS'!$I$62*(8*$BZ$80)+'LINEST VARS'!$H$62*(8*$BX94)+'LINEST VARS'!$G$62*(8*12.73)+'LINEST VARS'!$F$62*(8*$BZ$80)+'LINEST VARS'!$E$62*(8*$BX94)+'LINEST VARS'!$D$62*(8*12.73)+'LINEST VARS'!$C$62*($BZ$80*$BX94)+'LINEST VARS'!$B$62*($BZ$80*12.73)+'LINEST VARS'!$A$62*($BX94*12.73)</f>
        <v>348.35499999999996</v>
      </c>
      <c r="CA94" s="55">
        <f>'LINEST VARS'!$U$62+'LINEST VARS'!$T$62*(8)+'LINEST VARS'!$S$62*(8)+'LINEST VARS'!$R$62*($CA$80)+'LINEST VARS'!$Q$62*($BX94)+'LINEST VARS'!$P$62*(12.73)+'LINEST VARS'!$O$62*(8^2)+'LINEST VARS'!$N$62*(8^2)+'LINEST VARS'!$M$62*($CA$80^2)+'LINEST VARS'!$L$62*($BX94^2)+'LINEST VARS'!$K$62*(12.73^2)+'LINEST VARS'!$J$62*(8*8)+'LINEST VARS'!$I$62*(8*$CA$80)+'LINEST VARS'!$H$62*(8*$BX94)+'LINEST VARS'!$G$62*(8*12.73)+'LINEST VARS'!$F$62*(8*$CA$80)+'LINEST VARS'!$E$62*(8*$BX94)+'LINEST VARS'!$D$62*(8*12.73)+'LINEST VARS'!$C$62*($CA$80*$BX94)+'LINEST VARS'!$B$62*($CA$80*12.73)+'LINEST VARS'!$A$62*($BX94*12.73)</f>
        <v>345.95499999999987</v>
      </c>
      <c r="CB94" s="55">
        <f>'LINEST VARS'!$U$62+'LINEST VARS'!$T$62*(8)+'LINEST VARS'!$S$62*(8)+'LINEST VARS'!$R$62*($CB$80)+'LINEST VARS'!$Q$62*($BX94)+'LINEST VARS'!$P$62*(12.73)+'LINEST VARS'!$O$62*(8^2)+'LINEST VARS'!$N$62*(8^2)+'LINEST VARS'!$M$62*($CB$80^2)+'LINEST VARS'!$L$62*($BX94^2)+'LINEST VARS'!$K$62*(12.73^2)+'LINEST VARS'!$J$62*(8*8)+'LINEST VARS'!$I$62*(8*$CB$80)+'LINEST VARS'!$H$62*(8*$BX94)+'LINEST VARS'!$G$62*(8*12.73)+'LINEST VARS'!$F$62*(8*$CB$80)+'LINEST VARS'!$E$62*(8*$BX94)+'LINEST VARS'!$D$62*(8*12.73)+'LINEST VARS'!$C$62*($CB$80*$BX94)+'LINEST VARS'!$B$62*($CB$80*12.73)+'LINEST VARS'!$A$62*($BX94*12.73)</f>
        <v>341.95499999999993</v>
      </c>
      <c r="CC94" s="55">
        <f>'LINEST VARS'!$U$62+'LINEST VARS'!$T$62*(8)+'LINEST VARS'!$S$62*(8)+'LINEST VARS'!$R$62*($CC$80)+'LINEST VARS'!$Q$62*($BX94)+'LINEST VARS'!$P$62*(12.73)+'LINEST VARS'!$O$62*(8^2)+'LINEST VARS'!$N$62*(8^2)+'LINEST VARS'!$M$62*($CC$80^2)+'LINEST VARS'!$L$62*($BX94^2)+'LINEST VARS'!$K$62*(12.73^2)+'LINEST VARS'!$J$62*(8*8)+'LINEST VARS'!$I$62*(8*$CC$80)+'LINEST VARS'!$H$62*(8*$BX94)+'LINEST VARS'!$G$62*(8*12.73)+'LINEST VARS'!$F$62*(8*$CC$80)+'LINEST VARS'!$E$62*(8*$BX94)+'LINEST VARS'!$D$62*(8*12.73)+'LINEST VARS'!$C$62*($CC$80*$BX94)+'LINEST VARS'!$B$62*($CC$80*12.73)+'LINEST VARS'!$A$62*($BX94*12.73)</f>
        <v>336.35499999999996</v>
      </c>
      <c r="CD94" s="55">
        <f>'LINEST VARS'!$U$62+'LINEST VARS'!$T$62*(8)+'LINEST VARS'!$S$62*(8)+'LINEST VARS'!$R$62*($CD$80)+'LINEST VARS'!$Q$62*($BX94)+'LINEST VARS'!$P$62*(12.73)+'LINEST VARS'!$O$62*(8^2)+'LINEST VARS'!$N$62*(8^2)+'LINEST VARS'!$M$62*($CD$80^2)+'LINEST VARS'!$L$62*($BX94^2)+'LINEST VARS'!$K$62*(12.73^2)+'LINEST VARS'!$J$62*(8*8)+'LINEST VARS'!$I$62*(8*$CD$80)+'LINEST VARS'!$H$62*(8*$BX94)+'LINEST VARS'!$G$62*(8*12.73)+'LINEST VARS'!$F$62*(8*$CD$80)+'LINEST VARS'!$E$62*(8*$BX94)+'LINEST VARS'!$D$62*(8*12.73)+'LINEST VARS'!$C$62*($CD$80*$BX94)+'LINEST VARS'!$B$62*($CD$80*12.73)+'LINEST VARS'!$A$62*($BX94*12.73)</f>
        <v>329.15500000000003</v>
      </c>
      <c r="CE94" s="55">
        <f>'LINEST VARS'!$U$62+'LINEST VARS'!$T$62*(8)+'LINEST VARS'!$S$62*(8)+'LINEST VARS'!$R$62*($CE$80)+'LINEST VARS'!$Q$62*($BX94)+'LINEST VARS'!$P$62*(12.73)+'LINEST VARS'!$O$62*(8^2)+'LINEST VARS'!$N$62*(8^2)+'LINEST VARS'!$M$62*($CE$80^2)+'LINEST VARS'!$L$62*($BX94^2)+'LINEST VARS'!$K$62*(12.73^2)+'LINEST VARS'!$J$62*(8*8)+'LINEST VARS'!$I$62*(8*$CE$80)+'LINEST VARS'!$H$62*(8*$BX94)+'LINEST VARS'!$G$62*(8*12.73)+'LINEST VARS'!$F$62*(8*$CE$80)+'LINEST VARS'!$E$62*(8*$BX94)+'LINEST VARS'!$D$62*(8*12.73)+'LINEST VARS'!$C$62*($CE$80*$BX94)+'LINEST VARS'!$B$62*($CE$80*12.73)+'LINEST VARS'!$A$62*($BX94*12.73)</f>
        <v>320.35499999999996</v>
      </c>
      <c r="CF94" s="55">
        <f>'LINEST VARS'!$U$62+'LINEST VARS'!$T$62*(8)+'LINEST VARS'!$S$62*(8)+'LINEST VARS'!$R$62*($CF$80)+'LINEST VARS'!$Q$62*($BX94)+'LINEST VARS'!$P$62*(12.73)+'LINEST VARS'!$O$62*(8^2)+'LINEST VARS'!$N$62*(8^2)+'LINEST VARS'!$M$62*($CF$80^2)+'LINEST VARS'!$L$62*($BX94^2)+'LINEST VARS'!$K$62*(12.73^2)+'LINEST VARS'!$J$62*(8*8)+'LINEST VARS'!$I$62*(8*$CF$80)+'LINEST VARS'!$H$62*(8*$BX94)+'LINEST VARS'!$G$62*(8*12.73)+'LINEST VARS'!$F$62*(8*$CF$80)+'LINEST VARS'!$E$62*(8*$BX94)+'LINEST VARS'!$D$62*(8*12.73)+'LINEST VARS'!$C$62*($CF$80*$BX94)+'LINEST VARS'!$B$62*($CF$80*12.73)+'LINEST VARS'!$A$62*($BX94*12.73)</f>
        <v>309.95499999999993</v>
      </c>
      <c r="CG94" s="55">
        <f>'LINEST VARS'!$U$62+'LINEST VARS'!$T$62*(8)+'LINEST VARS'!$S$62*(8)+'LINEST VARS'!$R$62*($CG$80)+'LINEST VARS'!$Q$62*($BX94)+'LINEST VARS'!$P$62*(12.73)+'LINEST VARS'!$O$62*(8^2)+'LINEST VARS'!$N$62*(8^2)+'LINEST VARS'!$M$62*($CG$80^2)+'LINEST VARS'!$L$62*($BX94^2)+'LINEST VARS'!$K$62*(12.73^2)+'LINEST VARS'!$J$62*(8*8)+'LINEST VARS'!$I$62*(8*$CG$80)+'LINEST VARS'!$H$62*(8*$BX94)+'LINEST VARS'!$G$62*(8*12.73)+'LINEST VARS'!$F$62*(8*$CG$80)+'LINEST VARS'!$E$62*(8*$BX94)+'LINEST VARS'!$D$62*(8*12.73)+'LINEST VARS'!$C$62*($CG$80*$BX94)+'LINEST VARS'!$B$62*($CG$80*12.73)+'LINEST VARS'!$A$62*($BX94*12.73)</f>
        <v>297.95499999999998</v>
      </c>
      <c r="CH94" s="55">
        <f>'LINEST VARS'!$U$62+'LINEST VARS'!$T$62*(8)+'LINEST VARS'!$S$62*(8)+'LINEST VARS'!$R$62*($CH$80)+'LINEST VARS'!$Q$62*($BX94)+'LINEST VARS'!$P$62*(12.73)+'LINEST VARS'!$O$62*(8^2)+'LINEST VARS'!$N$62*(8^2)+'LINEST VARS'!$M$62*($CH$80^2)+'LINEST VARS'!$L$62*($BX94^2)+'LINEST VARS'!$K$62*(12.73^2)+'LINEST VARS'!$J$62*(8*8)+'LINEST VARS'!$I$62*(8*$CH$80)+'LINEST VARS'!$H$62*(8*$BX94)+'LINEST VARS'!$G$62*(8*12.73)+'LINEST VARS'!$F$62*(8*$CH$80)+'LINEST VARS'!$E$62*(8*$BX94)+'LINEST VARS'!$D$62*(8*12.73)+'LINEST VARS'!$C$62*($CH$80*$BX94)+'LINEST VARS'!$B$62*($CH$80*12.73)+'LINEST VARS'!$A$62*($BX94*12.73)</f>
        <v>284.35499999999996</v>
      </c>
      <c r="CI94" s="55">
        <f>'LINEST VARS'!$U$62+'LINEST VARS'!$T$62*(8)+'LINEST VARS'!$S$62*(8)+'LINEST VARS'!$R$62*($CI$80)+'LINEST VARS'!$Q$62*($BX94)+'LINEST VARS'!$P$62*(12.73)+'LINEST VARS'!$O$62*(8^2)+'LINEST VARS'!$N$62*(8^2)+'LINEST VARS'!$M$62*($CI$80^2)+'LINEST VARS'!$L$62*($BX94^2)+'LINEST VARS'!$K$62*(12.73^2)+'LINEST VARS'!$J$62*(8*8)+'LINEST VARS'!$I$62*(8*$CI$80)+'LINEST VARS'!$H$62*(8*$BX94)+'LINEST VARS'!$G$62*(8*12.73)+'LINEST VARS'!$F$62*(8*$CI$80)+'LINEST VARS'!$E$62*(8*$BX94)+'LINEST VARS'!$D$62*(8*12.73)+'LINEST VARS'!$C$62*($CI$80*$BX94)+'LINEST VARS'!$B$62*($CI$80*12.73)+'LINEST VARS'!$A$62*($BX94*12.73)</f>
        <v>269.15499999999997</v>
      </c>
      <c r="CJ94" s="55">
        <f>'LINEST VARS'!$U$62+'LINEST VARS'!$T$62*(8)+'LINEST VARS'!$S$62*(8)+'LINEST VARS'!$R$62*($CJ$80)+'LINEST VARS'!$Q$62*($BX94)+'LINEST VARS'!$P$62*(12.73)+'LINEST VARS'!$O$62*(8^2)+'LINEST VARS'!$N$62*(8^2)+'LINEST VARS'!$M$62*($CJ$80^2)+'LINEST VARS'!$L$62*($BX94^2)+'LINEST VARS'!$K$62*(12.73^2)+'LINEST VARS'!$J$62*(8*8)+'LINEST VARS'!$I$62*(8*$CJ$80)+'LINEST VARS'!$H$62*(8*$BX94)+'LINEST VARS'!$G$62*(8*12.73)+'LINEST VARS'!$F$62*(8*$CJ$80)+'LINEST VARS'!$E$62*(8*$BX94)+'LINEST VARS'!$D$62*(8*12.73)+'LINEST VARS'!$C$62*($CJ$80*$BX94)+'LINEST VARS'!$B$62*($CJ$80*12.73)+'LINEST VARS'!$A$62*($BX94*12.73)</f>
        <v>252.35500000000002</v>
      </c>
      <c r="CK94" s="55">
        <f>'LINEST VARS'!$U$62+'LINEST VARS'!$T$62*(8)+'LINEST VARS'!$S$62*(8)+'LINEST VARS'!$R$62*($CK$80)+'LINEST VARS'!$Q$62*($BX94)+'LINEST VARS'!$P$62*(12.73)+'LINEST VARS'!$O$62*(8^2)+'LINEST VARS'!$N$62*(8^2)+'LINEST VARS'!$M$62*($CK$80^2)+'LINEST VARS'!$L$62*($BX94^2)+'LINEST VARS'!$K$62*(12.73^2)+'LINEST VARS'!$J$62*(8*8)+'LINEST VARS'!$I$62*(8*$CK$80)+'LINEST VARS'!$H$62*(8*$BX94)+'LINEST VARS'!$G$62*(8*12.73)+'LINEST VARS'!$F$62*(8*$CK$80)+'LINEST VARS'!$E$62*(8*$BX94)+'LINEST VARS'!$D$62*(8*12.73)+'LINEST VARS'!$C$62*($CK$80*$BX94)+'LINEST VARS'!$B$62*($CK$80*12.73)+'LINEST VARS'!$A$62*($BX94*12.73)</f>
        <v>233.95500000000004</v>
      </c>
      <c r="CL94" s="55">
        <f>'LINEST VARS'!$U$62+'LINEST VARS'!$T$62*(8)+'LINEST VARS'!$S$62*(8)+'LINEST VARS'!$R$62*($CL$80)+'LINEST VARS'!$Q$62*($BX94)+'LINEST VARS'!$P$62*(12.73)+'LINEST VARS'!$O$62*(8^2)+'LINEST VARS'!$N$62*(8^2)+'LINEST VARS'!$M$62*($CL$80^2)+'LINEST VARS'!$L$62*($BX94^2)+'LINEST VARS'!$K$62*(12.73^2)+'LINEST VARS'!$J$62*(8*8)+'LINEST VARS'!$I$62*(8*$CL$80)+'LINEST VARS'!$H$62*(8*$BX94)+'LINEST VARS'!$G$62*(8*12.73)+'LINEST VARS'!$F$62*(8*$CL$80)+'LINEST VARS'!$E$62*(8*$BX94)+'LINEST VARS'!$D$62*(8*12.73)+'LINEST VARS'!$C$62*($CL$80*$BX94)+'LINEST VARS'!$B$62*($CL$80*12.73)+'LINEST VARS'!$A$62*($BX94*12.73)</f>
        <v>213.95499999999998</v>
      </c>
      <c r="CM94" s="55">
        <f>'LINEST VARS'!$U$62+'LINEST VARS'!$T$62*(8)+'LINEST VARS'!$S$62*(8)+'LINEST VARS'!$R$62*($CM$80)+'LINEST VARS'!$Q$62*($BX94)+'LINEST VARS'!$P$62*(12.73)+'LINEST VARS'!$O$62*(8^2)+'LINEST VARS'!$N$62*(8^2)+'LINEST VARS'!$M$62*($CM$80^2)+'LINEST VARS'!$L$62*($BX94^2)+'LINEST VARS'!$K$62*(12.73^2)+'LINEST VARS'!$J$62*(8*8)+'LINEST VARS'!$I$62*(8*$CM$80)+'LINEST VARS'!$H$62*(8*$BX94)+'LINEST VARS'!$G$62*(8*12.73)+'LINEST VARS'!$F$62*(8*$CM$80)+'LINEST VARS'!$E$62*(8*$BX94)+'LINEST VARS'!$D$62*(8*12.73)+'LINEST VARS'!$C$62*($CM$80*$BX94)+'LINEST VARS'!$B$62*($CM$80*12.73)+'LINEST VARS'!$A$62*($BX94*12.73)</f>
        <v>192.35500000000008</v>
      </c>
      <c r="CN94" s="55">
        <f>'LINEST VARS'!$U$62+'LINEST VARS'!$T$62*(8)+'LINEST VARS'!$S$62*(8)+'LINEST VARS'!$R$62*($CN$80)+'LINEST VARS'!$Q$62*($BX94)+'LINEST VARS'!$P$62*(12.73)+'LINEST VARS'!$O$62*(8^2)+'LINEST VARS'!$N$62*(8^2)+'LINEST VARS'!$M$62*($CN$80^2)+'LINEST VARS'!$L$62*($BX94^2)+'LINEST VARS'!$K$62*(12.73^2)+'LINEST VARS'!$J$62*(8*8)+'LINEST VARS'!$I$62*(8*$CN$80)+'LINEST VARS'!$H$62*(8*$BX94)+'LINEST VARS'!$G$62*(8*12.73)+'LINEST VARS'!$F$62*(8*$CN$80)+'LINEST VARS'!$E$62*(8*$BX94)+'LINEST VARS'!$D$62*(8*12.73)+'LINEST VARS'!$C$62*($CN$80*$BX94)+'LINEST VARS'!$B$62*($CN$80*12.73)+'LINEST VARS'!$A$62*($BX94*12.73)</f>
        <v>169.15500000000006</v>
      </c>
      <c r="CO94" s="55">
        <f>'LINEST VARS'!$U$62+'LINEST VARS'!$T$62*(8)+'LINEST VARS'!$S$62*(8)+'LINEST VARS'!$R$62*($CO$80)+'LINEST VARS'!$Q$62*($BX94)+'LINEST VARS'!$P$62*(12.73)+'LINEST VARS'!$O$62*(8^2)+'LINEST VARS'!$N$62*(8^2)+'LINEST VARS'!$M$62*($CO$80^2)+'LINEST VARS'!$L$62*($BX94^2)+'LINEST VARS'!$K$62*(12.73^2)+'LINEST VARS'!$J$62*(8*8)+'LINEST VARS'!$I$62*(8*$CO$80)+'LINEST VARS'!$H$62*(8*$BX94)+'LINEST VARS'!$G$62*(8*12.73)+'LINEST VARS'!$F$62*(8*$CO$80)+'LINEST VARS'!$E$62*(8*$BX94)+'LINEST VARS'!$D$62*(8*12.73)+'LINEST VARS'!$C$62*($CO$80*$BX94)+'LINEST VARS'!$B$62*($CO$80*12.73)+'LINEST VARS'!$A$62*($BX94*12.73)</f>
        <v>144.35500000000008</v>
      </c>
      <c r="CP94" s="55">
        <f>'LINEST VARS'!$U$62+'LINEST VARS'!$T$62*(8)+'LINEST VARS'!$S$62*(8)+'LINEST VARS'!$R$62*($CP$80)+'LINEST VARS'!$Q$62*($BX94)+'LINEST VARS'!$P$62*(12.73)+'LINEST VARS'!$O$62*(8^2)+'LINEST VARS'!$N$62*(8^2)+'LINEST VARS'!$M$62*($CP$80^2)+'LINEST VARS'!$L$62*($BX94^2)+'LINEST VARS'!$K$62*(12.73^2)+'LINEST VARS'!$J$62*(8*8)+'LINEST VARS'!$I$62*(8*$CP$80)+'LINEST VARS'!$H$62*(8*$BX94)+'LINEST VARS'!$G$62*(8*12.73)+'LINEST VARS'!$F$62*(8*$CP$80)+'LINEST VARS'!$E$62*(8*$BX94)+'LINEST VARS'!$D$62*(8*12.73)+'LINEST VARS'!$C$62*($CP$80*$BX94)+'LINEST VARS'!$B$62*($CP$80*12.73)+'LINEST VARS'!$A$62*($BX94*12.73)</f>
        <v>117.95500000000011</v>
      </c>
      <c r="CQ94" s="55">
        <f>'LINEST VARS'!$U$62+'LINEST VARS'!$T$62*(8)+'LINEST VARS'!$S$62*(8)+'LINEST VARS'!$R$62*($CQ$80)+'LINEST VARS'!$Q$62*($BX94)+'LINEST VARS'!$P$62*(12.73)+'LINEST VARS'!$O$62*(8^2)+'LINEST VARS'!$N$62*(8^2)+'LINEST VARS'!$M$62*($CQ$80^2)+'LINEST VARS'!$L$62*($BX94^2)+'LINEST VARS'!$K$62*(12.73^2)+'LINEST VARS'!$J$62*(8*8)+'LINEST VARS'!$I$62*(8*$CQ$80)+'LINEST VARS'!$H$62*(8*$BX94)+'LINEST VARS'!$G$62*(8*12.73)+'LINEST VARS'!$F$62*(8*$CQ$80)+'LINEST VARS'!$E$62*(8*$BX94)+'LINEST VARS'!$D$62*(8*12.73)+'LINEST VARS'!$C$62*($CQ$80*$BX94)+'LINEST VARS'!$B$62*($CQ$80*12.73)+'LINEST VARS'!$A$62*($BX94*12.73)</f>
        <v>89.955000000000098</v>
      </c>
      <c r="CR94" s="55">
        <f>'LINEST VARS'!$U$62+'LINEST VARS'!$T$62*(8)+'LINEST VARS'!$S$62*(8)+'LINEST VARS'!$R$62*($CR$80)+'LINEST VARS'!$Q$62*($BX94)+'LINEST VARS'!$P$62*(12.73)+'LINEST VARS'!$O$62*(8^2)+'LINEST VARS'!$N$62*(8^2)+'LINEST VARS'!$M$62*($CR$80^2)+'LINEST VARS'!$L$62*($BX94^2)+'LINEST VARS'!$K$62*(12.73^2)+'LINEST VARS'!$J$62*(8*8)+'LINEST VARS'!$I$62*(8*$CR$80)+'LINEST VARS'!$H$62*(8*$BX94)+'LINEST VARS'!$G$62*(8*12.73)+'LINEST VARS'!$F$62*(8*$CR$80)+'LINEST VARS'!$E$62*(8*$BX94)+'LINEST VARS'!$D$62*(8*12.73)+'LINEST VARS'!$C$62*($CR$80*$BX94)+'LINEST VARS'!$B$62*($CR$80*12.73)+'LINEST VARS'!$A$62*($BX94*12.73)</f>
        <v>60.355000000000153</v>
      </c>
      <c r="CS94" s="56">
        <f>'LINEST VARS'!$U$62+'LINEST VARS'!$T$62*(8)+'LINEST VARS'!$S$62*(8)+'LINEST VARS'!$R$62*($CS$80)+'LINEST VARS'!$Q$62*($BX94)+'LINEST VARS'!$P$62*(12.73)+'LINEST VARS'!$O$62*(8^2)+'LINEST VARS'!$N$62*(8^2)+'LINEST VARS'!$M$62*($CS$80^2)+'LINEST VARS'!$L$62*($BX94^2)+'LINEST VARS'!$K$62*(12.73^2)+'LINEST VARS'!$J$62*(8*8)+'LINEST VARS'!$I$62*(8*$CS$80)+'LINEST VARS'!$H$62*(8*$BX94)+'LINEST VARS'!$G$62*(8*12.73)+'LINEST VARS'!$F$62*(8*$CS$80)+'LINEST VARS'!$E$62*(8*$BX94)+'LINEST VARS'!$D$62*(8*12.73)+'LINEST VARS'!$C$62*($CS$80*$BX94)+'LINEST VARS'!$B$62*($CS$80*12.73)+'LINEST VARS'!$A$62*($BX94*12.73)</f>
        <v>29.155000000000182</v>
      </c>
      <c r="CX94" s="45">
        <v>16.8935</v>
      </c>
      <c r="CY94" s="46">
        <f>'LINEST VARS'!$U$60+'LINEST VARS'!$T$60*(8)+'LINEST VARS'!$S$60*(8)+'LINEST VARS'!$R$60*($CY$80)+'LINEST VARS'!$Q$60*(0.5)+'LINEST VARS'!$P$60*($CX94)+'LINEST VARS'!$O$60*(8^2)+'LINEST VARS'!$N$60*(8^2)+'LINEST VARS'!$M$60*($CY$80^2)+'LINEST VARS'!$L$60*(0.5^2)+'LINEST VARS'!$K$60*($CX94^2)+'LINEST VARS'!$J$60*(8*8)+'LINEST VARS'!$I$60*(8*$CY$80)+'LINEST VARS'!$H$60*(8*0.5)+'LINEST VARS'!$G$60*(8*$CX94)+'LINEST VARS'!$F$60*(8*$CY$80)+'LINEST VARS'!$E$60*(8*0.5)+'LINEST VARS'!$D$60*(8*$CX94)+'LINEST VARS'!$C$60*($CY$80*0.5)+'LINEST VARS'!$B$60*($CY$80*$CX94)+'LINEST VARS'!$A$60*(0.5*$CX94)</f>
        <v>48.787000000000006</v>
      </c>
      <c r="CZ94" s="46">
        <f>'LINEST VARS'!$U$60+'LINEST VARS'!$T$60*(8)+'LINEST VARS'!$S$60*(8)+'LINEST VARS'!$R$60*($CZ$80)+'LINEST VARS'!$Q$60*(0.5)+'LINEST VARS'!$P$60*($CX94)+'LINEST VARS'!$O$60*(8^2)+'LINEST VARS'!$N$60*(8^2)+'LINEST VARS'!$M$60*($CZ$80^2)+'LINEST VARS'!$L$60*(0.5^2)+'LINEST VARS'!$K$60*($CX94^2)+'LINEST VARS'!$J$60*(8*8)+'LINEST VARS'!$I$60*(8*$CZ$80)+'LINEST VARS'!$H$60*(8*0.5)+'LINEST VARS'!$G$60*(8*$CX94)+'LINEST VARS'!$F$60*(8*$CZ$80)+'LINEST VARS'!$E$60*(8*0.5)+'LINEST VARS'!$D$60*(8*$CX94)+'LINEST VARS'!$C$60*($CZ$80*0.5)+'LINEST VARS'!$B$60*($CZ$80*$CX94)+'LINEST VARS'!$A$60*(0.5*$CX94)</f>
        <v>48.787000000000006</v>
      </c>
      <c r="DA94" s="46">
        <f>'LINEST VARS'!$U$60+'LINEST VARS'!$T$60*(8)+'LINEST VARS'!$S$60*(8)+'LINEST VARS'!$R$60*($DA$80)+'LINEST VARS'!$Q$60*(0.5)+'LINEST VARS'!$P$60*($CX94)+'LINEST VARS'!$O$60*(8^2)+'LINEST VARS'!$N$60*(8^2)+'LINEST VARS'!$M$60*($DA$80^2)+'LINEST VARS'!$L$60*(0.5^2)+'LINEST VARS'!$K$60*($CX94^2)+'LINEST VARS'!$J$60*(8*8)+'LINEST VARS'!$I$60*(8*$DA$80)+'LINEST VARS'!$H$60*(8*0.5)+'LINEST VARS'!$G$60*(8*$CX94)+'LINEST VARS'!$F$60*(8*$DA$80)+'LINEST VARS'!$E$60*(8*0.5)+'LINEST VARS'!$D$60*(8*$CX94)+'LINEST VARS'!$C$60*($DA$80*0.5)+'LINEST VARS'!$B$60*($DA$80*$CX94)+'LINEST VARS'!$A$60*(0.5*$CX94)</f>
        <v>48.787000000000006</v>
      </c>
      <c r="DB94" s="46">
        <f>'LINEST VARS'!$U$60+'LINEST VARS'!$T$60*(8)+'LINEST VARS'!$S$60*(8)+'LINEST VARS'!$R$60*($DB$80)+'LINEST VARS'!$Q$60*(0.5)+'LINEST VARS'!$P$60*($CX94)+'LINEST VARS'!$O$60*(8^2)+'LINEST VARS'!$N$60*(8^2)+'LINEST VARS'!$M$60*($DB$80^2)+'LINEST VARS'!$L$60*(0.5^2)+'LINEST VARS'!$K$60*($CX94^2)+'LINEST VARS'!$J$60*(8*8)+'LINEST VARS'!$I$60*(8*$DB$80)+'LINEST VARS'!$H$60*(8*0.5)+'LINEST VARS'!$G$60*(8*$CX94)+'LINEST VARS'!$F$60*(8*$DB$80)+'LINEST VARS'!$E$60*(8*0.5)+'LINEST VARS'!$D$60*(8*$CX94)+'LINEST VARS'!$C$60*($DB$80*0.5)+'LINEST VARS'!$B$60*($DB$80*$CX94)+'LINEST VARS'!$A$60*(0.5*$CX94)</f>
        <v>48.787000000000006</v>
      </c>
      <c r="DC94" s="46">
        <f>'LINEST VARS'!$U$60+'LINEST VARS'!$T$60*(8)+'LINEST VARS'!$S$60*(8)+'LINEST VARS'!$R$60*($DC$80)+'LINEST VARS'!$Q$60*(0.5)+'LINEST VARS'!$P$60*($CX94)+'LINEST VARS'!$O$60*(8^2)+'LINEST VARS'!$N$60*(8^2)+'LINEST VARS'!$M$60*($DC$80^2)+'LINEST VARS'!$L$60*(0.5^2)+'LINEST VARS'!$K$60*($CX94^2)+'LINEST VARS'!$J$60*(8*8)+'LINEST VARS'!$I$60*(8*$DC$80)+'LINEST VARS'!$H$60*(8*0.5)+'LINEST VARS'!$G$60*(8*$CX94)+'LINEST VARS'!$F$60*(8*$DC$80)+'LINEST VARS'!$E$60*(8*0.5)+'LINEST VARS'!$D$60*(8*$CX94)+'LINEST VARS'!$C$60*($DC$80*0.5)+'LINEST VARS'!$B$60*($DC$80*$CX94)+'LINEST VARS'!$A$60*(0.5*$CX94)</f>
        <v>48.786999999999999</v>
      </c>
      <c r="DD94" s="46">
        <f>'LINEST VARS'!$U$60+'LINEST VARS'!$T$60*(8)+'LINEST VARS'!$S$60*(8)+'LINEST VARS'!$R$60*($DD$80)+'LINEST VARS'!$Q$60*(0.5)+'LINEST VARS'!$P$60*($CX94)+'LINEST VARS'!$O$60*(8^2)+'LINEST VARS'!$N$60*(8^2)+'LINEST VARS'!$M$60*($DD$80^2)+'LINEST VARS'!$L$60*(0.5^2)+'LINEST VARS'!$K$60*($CX94^2)+'LINEST VARS'!$J$60*(8*8)+'LINEST VARS'!$I$60*(8*$DD$80)+'LINEST VARS'!$H$60*(8*0.5)+'LINEST VARS'!$G$60*(8*$CX94)+'LINEST VARS'!$F$60*(8*$DD$80)+'LINEST VARS'!$E$60*(8*0.5)+'LINEST VARS'!$D$60*(8*$CX94)+'LINEST VARS'!$C$60*($DD$80*0.5)+'LINEST VARS'!$B$60*($DD$80*$CX94)+'LINEST VARS'!$A$60*(0.5*$CX94)</f>
        <v>48.786999999999999</v>
      </c>
      <c r="DE94" s="46">
        <f>'LINEST VARS'!$U$60+'LINEST VARS'!$T$60*(8)+'LINEST VARS'!$S$60*(8)+'LINEST VARS'!$R$60*($DE$80)+'LINEST VARS'!$Q$60*(0.5)+'LINEST VARS'!$P$60*($CX94)+'LINEST VARS'!$O$60*(8^2)+'LINEST VARS'!$N$60*(8^2)+'LINEST VARS'!$M$60*($DE$80^2)+'LINEST VARS'!$L$60*(0.5^2)+'LINEST VARS'!$K$60*($CX94^2)+'LINEST VARS'!$J$60*(8*8)+'LINEST VARS'!$I$60*(8*$DE$80)+'LINEST VARS'!$H$60*(8*0.5)+'LINEST VARS'!$G$60*(8*$CX94)+'LINEST VARS'!$F$60*(8*$DE$80)+'LINEST VARS'!$E$60*(8*0.5)+'LINEST VARS'!$D$60*(8*$CX94)+'LINEST VARS'!$C$60*($DE$80*0.5)+'LINEST VARS'!$B$60*($DE$80*$CX94)+'LINEST VARS'!$A$60*(0.5*$CX94)</f>
        <v>48.786999999999999</v>
      </c>
      <c r="DF94" s="46">
        <f>'LINEST VARS'!$U$60+'LINEST VARS'!$T$60*(8)+'LINEST VARS'!$S$60*(8)+'LINEST VARS'!$R$60*($DF$80)+'LINEST VARS'!$Q$60*(0.5)+'LINEST VARS'!$P$60*($CX94)+'LINEST VARS'!$O$60*(8^2)+'LINEST VARS'!$N$60*(8^2)+'LINEST VARS'!$M$60*($DF$80^2)+'LINEST VARS'!$L$60*(0.5^2)+'LINEST VARS'!$K$60*($CX94^2)+'LINEST VARS'!$J$60*(8*8)+'LINEST VARS'!$I$60*(8*$DF$80)+'LINEST VARS'!$H$60*(8*0.5)+'LINEST VARS'!$G$60*(8*$CX94)+'LINEST VARS'!$F$60*(8*$DF$80)+'LINEST VARS'!$E$60*(8*0.5)+'LINEST VARS'!$D$60*(8*$CX94)+'LINEST VARS'!$C$60*($DF$80*0.5)+'LINEST VARS'!$B$60*($DF$80*$CX94)+'LINEST VARS'!$A$60*(0.5*$CX94)</f>
        <v>48.787000000000006</v>
      </c>
      <c r="DG94" s="46">
        <f>'LINEST VARS'!$U$60+'LINEST VARS'!$T$60*(8)+'LINEST VARS'!$S$60*(8)+'LINEST VARS'!$R$60*($DG$80)+'LINEST VARS'!$Q$60*(0.5)+'LINEST VARS'!$P$60*($CX94)+'LINEST VARS'!$O$60*(8^2)+'LINEST VARS'!$N$60*(8^2)+'LINEST VARS'!$M$60*($DG$80^2)+'LINEST VARS'!$L$60*(0.5^2)+'LINEST VARS'!$K$60*($CX94^2)+'LINEST VARS'!$J$60*(8*8)+'LINEST VARS'!$I$60*(8*$DG$80)+'LINEST VARS'!$H$60*(8*0.5)+'LINEST VARS'!$G$60*(8*$CX94)+'LINEST VARS'!$F$60*(8*$DG$80)+'LINEST VARS'!$E$60*(8*0.5)+'LINEST VARS'!$D$60*(8*$CX94)+'LINEST VARS'!$C$60*($DG$80*0.5)+'LINEST VARS'!$B$60*($DG$80*$CX94)+'LINEST VARS'!$A$60*(0.5*$CX94)</f>
        <v>48.787000000000006</v>
      </c>
      <c r="DH94" s="46">
        <f>'LINEST VARS'!$U$60+'LINEST VARS'!$T$60*(8)+'LINEST VARS'!$S$60*(8)+'LINEST VARS'!$R$60*($DH$80)+'LINEST VARS'!$Q$60*(0.5)+'LINEST VARS'!$P$60*($CX94)+'LINEST VARS'!$O$60*(8^2)+'LINEST VARS'!$N$60*(8^2)+'LINEST VARS'!$M$60*($DH$80^2)+'LINEST VARS'!$L$60*(0.5^2)+'LINEST VARS'!$K$60*($CX94^2)+'LINEST VARS'!$J$60*(8*8)+'LINEST VARS'!$I$60*(8*$DH$80)+'LINEST VARS'!$H$60*(8*0.5)+'LINEST VARS'!$G$60*(8*$CX94)+'LINEST VARS'!$F$60*(8*$DH$80)+'LINEST VARS'!$E$60*(8*0.5)+'LINEST VARS'!$D$60*(8*$CX94)+'LINEST VARS'!$C$60*($DH$80*0.5)+'LINEST VARS'!$B$60*($DH$80*$CX94)+'LINEST VARS'!$A$60*(0.5*$CX94)</f>
        <v>48.787000000000006</v>
      </c>
      <c r="DI94" s="46">
        <f>'LINEST VARS'!$U$60+'LINEST VARS'!$T$60*(8)+'LINEST VARS'!$S$60*(8)+'LINEST VARS'!$R$60*($DI$80)+'LINEST VARS'!$Q$60*(0.5)+'LINEST VARS'!$P$60*($CX94)+'LINEST VARS'!$O$60*(8^2)+'LINEST VARS'!$N$60*(8^2)+'LINEST VARS'!$M$60*($DI$80^2)+'LINEST VARS'!$L$60*(0.5^2)+'LINEST VARS'!$K$60*($CX94^2)+'LINEST VARS'!$J$60*(8*8)+'LINEST VARS'!$I$60*(8*$DI$80)+'LINEST VARS'!$H$60*(8*0.5)+'LINEST VARS'!$G$60*(8*$CX94)+'LINEST VARS'!$F$60*(8*$DI$80)+'LINEST VARS'!$E$60*(8*0.5)+'LINEST VARS'!$D$60*(8*$CX94)+'LINEST VARS'!$C$60*($DI$80*0.5)+'LINEST VARS'!$B$60*($DI$80*$CX94)+'LINEST VARS'!$A$60*(0.5*$CX94)</f>
        <v>48.787000000000006</v>
      </c>
      <c r="DJ94" s="46">
        <f>'LINEST VARS'!$U$60+'LINEST VARS'!$T$60*(8)+'LINEST VARS'!$S$60*(8)+'LINEST VARS'!$R$60*($DJ$80)+'LINEST VARS'!$Q$60*(0.5)+'LINEST VARS'!$P$60*($CX94)+'LINEST VARS'!$O$60*(8^2)+'LINEST VARS'!$N$60*(8^2)+'LINEST VARS'!$M$60*($DJ$80^2)+'LINEST VARS'!$L$60*(0.5^2)+'LINEST VARS'!$K$60*($CX94^2)+'LINEST VARS'!$J$60*(8*8)+'LINEST VARS'!$I$60*(8*$DJ$80)+'LINEST VARS'!$H$60*(8*0.5)+'LINEST VARS'!$G$60*(8*$CX94)+'LINEST VARS'!$F$60*(8*$DJ$80)+'LINEST VARS'!$E$60*(8*0.5)+'LINEST VARS'!$D$60*(8*$CX94)+'LINEST VARS'!$C$60*($DJ$80*0.5)+'LINEST VARS'!$B$60*($DJ$80*$CX94)+'LINEST VARS'!$A$60*(0.5*$CX94)</f>
        <v>48.786999999999999</v>
      </c>
      <c r="DK94" s="46">
        <f>'LINEST VARS'!$U$60+'LINEST VARS'!$T$60*(8)+'LINEST VARS'!$S$60*(8)+'LINEST VARS'!$R$60*($DK$80)+'LINEST VARS'!$Q$60*(0.5)+'LINEST VARS'!$P$60*($CX94)+'LINEST VARS'!$O$60*(8^2)+'LINEST VARS'!$N$60*(8^2)+'LINEST VARS'!$M$60*($DK$80^2)+'LINEST VARS'!$L$60*(0.5^2)+'LINEST VARS'!$K$60*($CX94^2)+'LINEST VARS'!$J$60*(8*8)+'LINEST VARS'!$I$60*(8*$DK$80)+'LINEST VARS'!$H$60*(8*0.5)+'LINEST VARS'!$G$60*(8*$CX94)+'LINEST VARS'!$F$60*(8*$DK$80)+'LINEST VARS'!$E$60*(8*0.5)+'LINEST VARS'!$D$60*(8*$CX94)+'LINEST VARS'!$C$60*($DK$80*0.5)+'LINEST VARS'!$B$60*($DK$80*$CX94)+'LINEST VARS'!$A$60*(0.5*$CX94)</f>
        <v>48.787000000000006</v>
      </c>
      <c r="DL94" s="46">
        <f>'LINEST VARS'!$U$60+'LINEST VARS'!$T$60*(8)+'LINEST VARS'!$S$60*(8)+'LINEST VARS'!$R$60*($DL$80)+'LINEST VARS'!$Q$60*(0.5)+'LINEST VARS'!$P$60*($CX94)+'LINEST VARS'!$O$60*(8^2)+'LINEST VARS'!$N$60*(8^2)+'LINEST VARS'!$M$60*($DL$80^2)+'LINEST VARS'!$L$60*(0.5^2)+'LINEST VARS'!$K$60*($CX94^2)+'LINEST VARS'!$J$60*(8*8)+'LINEST VARS'!$I$60*(8*$DL$80)+'LINEST VARS'!$H$60*(8*0.5)+'LINEST VARS'!$G$60*(8*$CX94)+'LINEST VARS'!$F$60*(8*$DL$80)+'LINEST VARS'!$E$60*(8*0.5)+'LINEST VARS'!$D$60*(8*$CX94)+'LINEST VARS'!$C$60*($DL$80*0.5)+'LINEST VARS'!$B$60*($DL$80*$CX94)+'LINEST VARS'!$A$60*(0.5*$CX94)</f>
        <v>48.786999999999999</v>
      </c>
      <c r="DM94" s="46">
        <f>'LINEST VARS'!$U$60+'LINEST VARS'!$T$60*(8)+'LINEST VARS'!$S$60*(8)+'LINEST VARS'!$R$60*($DM$80)+'LINEST VARS'!$Q$60*(0.5)+'LINEST VARS'!$P$60*($CX94)+'LINEST VARS'!$O$60*(8^2)+'LINEST VARS'!$N$60*(8^2)+'LINEST VARS'!$M$60*($DM$80^2)+'LINEST VARS'!$L$60*(0.5^2)+'LINEST VARS'!$K$60*($CX94^2)+'LINEST VARS'!$J$60*(8*8)+'LINEST VARS'!$I$60*(8*$DM$80)+'LINEST VARS'!$H$60*(8*0.5)+'LINEST VARS'!$G$60*(8*$CX94)+'LINEST VARS'!$F$60*(8*$DM$80)+'LINEST VARS'!$E$60*(8*0.5)+'LINEST VARS'!$D$60*(8*$CX94)+'LINEST VARS'!$C$60*($DM$80*0.5)+'LINEST VARS'!$B$60*($DM$80*$CX94)+'LINEST VARS'!$A$60*(0.5*$CX94)</f>
        <v>48.787000000000006</v>
      </c>
      <c r="DN94" s="46">
        <f>'LINEST VARS'!$U$60+'LINEST VARS'!$T$60*(8)+'LINEST VARS'!$S$60*(8)+'LINEST VARS'!$R$60*($DN$80)+'LINEST VARS'!$Q$60*(0.5)+'LINEST VARS'!$P$60*($CX94)+'LINEST VARS'!$O$60*(8^2)+'LINEST VARS'!$N$60*(8^2)+'LINEST VARS'!$M$60*($DN$80^2)+'LINEST VARS'!$L$60*(0.5^2)+'LINEST VARS'!$K$60*($CX94^2)+'LINEST VARS'!$J$60*(8*8)+'LINEST VARS'!$I$60*(8*$DN$80)+'LINEST VARS'!$H$60*(8*0.5)+'LINEST VARS'!$G$60*(8*$CX94)+'LINEST VARS'!$F$60*(8*$DN$80)+'LINEST VARS'!$E$60*(8*0.5)+'LINEST VARS'!$D$60*(8*$CX94)+'LINEST VARS'!$C$60*($DN$80*0.5)+'LINEST VARS'!$B$60*($DN$80*$CX94)+'LINEST VARS'!$A$60*(0.5*$CX94)</f>
        <v>48.787000000000006</v>
      </c>
      <c r="DO94" s="46">
        <f>'LINEST VARS'!$U$60+'LINEST VARS'!$T$60*(8)+'LINEST VARS'!$S$60*(8)+'LINEST VARS'!$R$60*($DO$80)+'LINEST VARS'!$Q$60*(0.5)+'LINEST VARS'!$P$60*($CX94)+'LINEST VARS'!$O$60*(8^2)+'LINEST VARS'!$N$60*(8^2)+'LINEST VARS'!$M$60*($DO$80^2)+'LINEST VARS'!$L$60*(0.5^2)+'LINEST VARS'!$K$60*($CX94^2)+'LINEST VARS'!$J$60*(8*8)+'LINEST VARS'!$I$60*(8*$DO$80)+'LINEST VARS'!$H$60*(8*0.5)+'LINEST VARS'!$G$60*(8*$CX94)+'LINEST VARS'!$F$60*(8*$DO$80)+'LINEST VARS'!$E$60*(8*0.5)+'LINEST VARS'!$D$60*(8*$CX94)+'LINEST VARS'!$C$60*($DO$80*0.5)+'LINEST VARS'!$B$60*($DO$80*$CX94)+'LINEST VARS'!$A$60*(0.5*$CX94)</f>
        <v>48.787000000000006</v>
      </c>
      <c r="DP94" s="46">
        <f>'LINEST VARS'!$U$60+'LINEST VARS'!$T$60*(8)+'LINEST VARS'!$S$60*(8)+'LINEST VARS'!$R$60*($DP$80)+'LINEST VARS'!$Q$60*(0.5)+'LINEST VARS'!$P$60*($CX94)+'LINEST VARS'!$O$60*(8^2)+'LINEST VARS'!$N$60*(8^2)+'LINEST VARS'!$M$60*($DP$80^2)+'LINEST VARS'!$L$60*(0.5^2)+'LINEST VARS'!$K$60*($CX94^2)+'LINEST VARS'!$J$60*(8*8)+'LINEST VARS'!$I$60*(8*$DP$80)+'LINEST VARS'!$H$60*(8*0.5)+'LINEST VARS'!$G$60*(8*$CX94)+'LINEST VARS'!$F$60*(8*$DP$80)+'LINEST VARS'!$E$60*(8*0.5)+'LINEST VARS'!$D$60*(8*$CX94)+'LINEST VARS'!$C$60*($DP$80*0.5)+'LINEST VARS'!$B$60*($DP$80*$CX94)+'LINEST VARS'!$A$60*(0.5*$CX94)</f>
        <v>48.787000000000006</v>
      </c>
      <c r="DQ94" s="46">
        <f>'LINEST VARS'!$U$60+'LINEST VARS'!$T$60*(8)+'LINEST VARS'!$S$60*(8)+'LINEST VARS'!$R$60*($DQ$80)+'LINEST VARS'!$Q$60*(0.5)+'LINEST VARS'!$P$60*($CX94)+'LINEST VARS'!$O$60*(8^2)+'LINEST VARS'!$N$60*(8^2)+'LINEST VARS'!$M$60*($DQ$80^2)+'LINEST VARS'!$L$60*(0.5^2)+'LINEST VARS'!$K$60*($CX94^2)+'LINEST VARS'!$J$60*(8*8)+'LINEST VARS'!$I$60*(8*$DQ$80)+'LINEST VARS'!$H$60*(8*0.5)+'LINEST VARS'!$G$60*(8*$CX94)+'LINEST VARS'!$F$60*(8*$DQ$80)+'LINEST VARS'!$E$60*(8*0.5)+'LINEST VARS'!$D$60*(8*$CX94)+'LINEST VARS'!$C$60*($DQ$80*0.5)+'LINEST VARS'!$B$60*($DQ$80*$CX94)+'LINEST VARS'!$A$60*(0.5*$CX94)</f>
        <v>48.786999999999999</v>
      </c>
      <c r="DR94" s="46">
        <f>'LINEST VARS'!$U$60+'LINEST VARS'!$T$60*(8)+'LINEST VARS'!$S$60*(8)+'LINEST VARS'!$R$60*($DR$80)+'LINEST VARS'!$Q$60*(0.5)+'LINEST VARS'!$P$60*($CX94)+'LINEST VARS'!$O$60*(8^2)+'LINEST VARS'!$N$60*(8^2)+'LINEST VARS'!$M$60*($DR$80^2)+'LINEST VARS'!$L$60*(0.5^2)+'LINEST VARS'!$K$60*($CX94^2)+'LINEST VARS'!$J$60*(8*8)+'LINEST VARS'!$I$60*(8*$DR$80)+'LINEST VARS'!$H$60*(8*0.5)+'LINEST VARS'!$G$60*(8*$CX94)+'LINEST VARS'!$F$60*(8*$DR$80)+'LINEST VARS'!$E$60*(8*0.5)+'LINEST VARS'!$D$60*(8*$CX94)+'LINEST VARS'!$C$60*($DR$80*0.5)+'LINEST VARS'!$B$60*($DR$80*$CX94)+'LINEST VARS'!$A$60*(0.5*$CX94)</f>
        <v>48.787000000000006</v>
      </c>
      <c r="DS94" s="47">
        <f>'LINEST VARS'!$U$60+'LINEST VARS'!$T$60*(8)+'LINEST VARS'!$S$60*(8)+'LINEST VARS'!$R$60*($DS$80)+'LINEST VARS'!$Q$60*(0.5)+'LINEST VARS'!$P$60*($CX94)+'LINEST VARS'!$O$60*(8^2)+'LINEST VARS'!$N$60*(8^2)+'LINEST VARS'!$M$60*($DS$80^2)+'LINEST VARS'!$L$60*(0.5^2)+'LINEST VARS'!$K$60*($CX94^2)+'LINEST VARS'!$J$60*(8*8)+'LINEST VARS'!$I$60*(8*$DS$80)+'LINEST VARS'!$H$60*(8*0.5)+'LINEST VARS'!$G$60*(8*$CX94)+'LINEST VARS'!$F$60*(8*$DS$80)+'LINEST VARS'!$E$60*(8*0.5)+'LINEST VARS'!$D$60*(8*$CX94)+'LINEST VARS'!$C$60*($DS$80*0.5)+'LINEST VARS'!$B$60*($DS$80*$CX94)+'LINEST VARS'!$A$60*(0.5*$CX94)</f>
        <v>48.787000000000006</v>
      </c>
      <c r="DV94" s="45">
        <v>16.8935</v>
      </c>
      <c r="DW94" s="55">
        <f>'LINEST VARS'!$U$62+'LINEST VARS'!$T$62*(8)+'LINEST VARS'!$S$62*(8)+'LINEST VARS'!$R$62*($DW$80)+'LINEST VARS'!$Q$62*(0.5)+'LINEST VARS'!$P$62*($DV94)+'LINEST VARS'!$O$62*(8^2)+'LINEST VARS'!$N$62*(8^2)+'LINEST VARS'!$M$62*($DW$80^2)+'LINEST VARS'!$L$62*(0.5^2)+'LINEST VARS'!$K$62*($DV94^2)+'LINEST VARS'!$J$62*(8*8)+'LINEST VARS'!$I$62*(8*$DW$80)+'LINEST VARS'!$H$62*(8*0.5)+'LINEST VARS'!$G$62*(8*$DV94)+'LINEST VARS'!$F$62*(8*$DW$80)+'LINEST VARS'!$E$62*(8*0.5)+'LINEST VARS'!$D$62*(8*$DV94)+'LINEST VARS'!$C$62*($DW$80*0.5)+'LINEST VARS'!$B$62*($DW$80*$DV94)+'LINEST VARS'!$A$62*(0.5*$DV94)</f>
        <v>349.49999999999994</v>
      </c>
      <c r="DX94" s="55">
        <f>'LINEST VARS'!$U$62+'LINEST VARS'!$T$62*(8)+'LINEST VARS'!$S$62*(8)+'LINEST VARS'!$R$62*($DX$80)+'LINEST VARS'!$Q$62*(0.5)+'LINEST VARS'!$P$62*($DV94)+'LINEST VARS'!$O$62*(8^2)+'LINEST VARS'!$N$62*(8^2)+'LINEST VARS'!$M$62*($DX$80^2)+'LINEST VARS'!$L$62*(0.5^2)+'LINEST VARS'!$K$62*($DV94^2)+'LINEST VARS'!$J$62*(8*8)+'LINEST VARS'!$I$62*(8*$DX$80)+'LINEST VARS'!$H$62*(8*0.5)+'LINEST VARS'!$G$62*(8*$DV94)+'LINEST VARS'!$F$62*(8*$DX$80)+'LINEST VARS'!$E$62*(8*0.5)+'LINEST VARS'!$D$62*(8*$DV94)+'LINEST VARS'!$C$62*($DX$80*0.5)+'LINEST VARS'!$B$62*($DX$80*$DV94)+'LINEST VARS'!$A$62*(0.5*$DV94)</f>
        <v>348.7</v>
      </c>
      <c r="DY94" s="55">
        <f>'LINEST VARS'!$U$62+'LINEST VARS'!$T$62*(8)+'LINEST VARS'!$S$62*(8)+'LINEST VARS'!$R$62*($DY$80)+'LINEST VARS'!$Q$62*(0.5)+'LINEST VARS'!$P$62*($DV94)+'LINEST VARS'!$O$62*(8^2)+'LINEST VARS'!$N$62*(8^2)+'LINEST VARS'!$M$62*($DY$80^2)+'LINEST VARS'!$L$62*(0.5^2)+'LINEST VARS'!$K$62*($DV94^2)+'LINEST VARS'!$J$62*(8*8)+'LINEST VARS'!$I$62*(8*$DY$80)+'LINEST VARS'!$H$62*(8*0.5)+'LINEST VARS'!$G$62*(8*$DV94)+'LINEST VARS'!$F$62*(8*$DY$80)+'LINEST VARS'!$E$62*(8*0.5)+'LINEST VARS'!$D$62*(8*$DV94)+'LINEST VARS'!$C$62*($DY$80*0.5)+'LINEST VARS'!$B$62*($DY$80*$DV94)+'LINEST VARS'!$A$62*(0.5*$DV94)</f>
        <v>346.2999999999999</v>
      </c>
      <c r="DZ94" s="55">
        <f>'LINEST VARS'!$U$62+'LINEST VARS'!$T$62*(8)+'LINEST VARS'!$S$62*(8)+'LINEST VARS'!$R$62*($DZ$80)+'LINEST VARS'!$Q$62*(0.5)+'LINEST VARS'!$P$62*($DV94)+'LINEST VARS'!$O$62*(8^2)+'LINEST VARS'!$N$62*(8^2)+'LINEST VARS'!$M$62*($DZ$80^2)+'LINEST VARS'!$L$62*(0.5^2)+'LINEST VARS'!$K$62*($DV94^2)+'LINEST VARS'!$J$62*(8*8)+'LINEST VARS'!$I$62*(8*$DZ$80)+'LINEST VARS'!$H$62*(8*0.5)+'LINEST VARS'!$G$62*(8*$DV94)+'LINEST VARS'!$F$62*(8*$DZ$80)+'LINEST VARS'!$E$62*(8*0.5)+'LINEST VARS'!$D$62*(8*$DV94)+'LINEST VARS'!$C$62*($DZ$80*0.5)+'LINEST VARS'!$B$62*($DZ$80*$DV94)+'LINEST VARS'!$A$62*(0.5*$DV94)</f>
        <v>342.29999999999995</v>
      </c>
      <c r="EA94" s="55">
        <f>'LINEST VARS'!$U$62+'LINEST VARS'!$T$62*(8)+'LINEST VARS'!$S$62*(8)+'LINEST VARS'!$R$62*($EA$80)+'LINEST VARS'!$Q$62*(0.5)+'LINEST VARS'!$P$62*($DV94)+'LINEST VARS'!$O$62*(8^2)+'LINEST VARS'!$N$62*(8^2)+'LINEST VARS'!$M$62*($EA$80^2)+'LINEST VARS'!$L$62*(0.5^2)+'LINEST VARS'!$K$62*($DV94^2)+'LINEST VARS'!$J$62*(8*8)+'LINEST VARS'!$I$62*(8*$EA$80)+'LINEST VARS'!$H$62*(8*0.5)+'LINEST VARS'!$G$62*(8*$DV94)+'LINEST VARS'!$F$62*(8*$EA$80)+'LINEST VARS'!$E$62*(8*0.5)+'LINEST VARS'!$D$62*(8*$DV94)+'LINEST VARS'!$C$62*($EA$80*0.5)+'LINEST VARS'!$B$62*($EA$80*$DV94)+'LINEST VARS'!$A$62*(0.5*$DV94)</f>
        <v>336.7</v>
      </c>
      <c r="EB94" s="55">
        <f>'LINEST VARS'!$U$62+'LINEST VARS'!$T$62*(8)+'LINEST VARS'!$S$62*(8)+'LINEST VARS'!$R$62*($EB$80)+'LINEST VARS'!$Q$62*(0.5)+'LINEST VARS'!$P$62*($DV94)+'LINEST VARS'!$O$62*(8^2)+'LINEST VARS'!$N$62*(8^2)+'LINEST VARS'!$M$62*($EB$80^2)+'LINEST VARS'!$L$62*(0.5^2)+'LINEST VARS'!$K$62*($DV94^2)+'LINEST VARS'!$J$62*(8*8)+'LINEST VARS'!$I$62*(8*$EB$80)+'LINEST VARS'!$H$62*(8*0.5)+'LINEST VARS'!$G$62*(8*$DV94)+'LINEST VARS'!$F$62*(8*$EB$80)+'LINEST VARS'!$E$62*(8*0.5)+'LINEST VARS'!$D$62*(8*$DV94)+'LINEST VARS'!$C$62*($EB$80*0.5)+'LINEST VARS'!$B$62*($EB$80*$DV94)+'LINEST VARS'!$A$62*(0.5*$DV94)</f>
        <v>329.50000000000006</v>
      </c>
      <c r="EC94" s="55">
        <f>'LINEST VARS'!$U$62+'LINEST VARS'!$T$62*(8)+'LINEST VARS'!$S$62*(8)+'LINEST VARS'!$R$62*($EC$80)+'LINEST VARS'!$Q$62*(0.5)+'LINEST VARS'!$P$62*($DV94)+'LINEST VARS'!$O$62*(8^2)+'LINEST VARS'!$N$62*(8^2)+'LINEST VARS'!$M$62*($EC$80^2)+'LINEST VARS'!$L$62*(0.5^2)+'LINEST VARS'!$K$62*($DV94^2)+'LINEST VARS'!$J$62*(8*8)+'LINEST VARS'!$I$62*(8*$EC$80)+'LINEST VARS'!$H$62*(8*0.5)+'LINEST VARS'!$G$62*(8*$DV94)+'LINEST VARS'!$F$62*(8*$EC$80)+'LINEST VARS'!$E$62*(8*0.5)+'LINEST VARS'!$D$62*(8*$DV94)+'LINEST VARS'!$C$62*($EC$80*0.5)+'LINEST VARS'!$B$62*($EC$80*$DV94)+'LINEST VARS'!$A$62*(0.5*$DV94)</f>
        <v>320.69999999999993</v>
      </c>
      <c r="ED94" s="55">
        <f>'LINEST VARS'!$U$62+'LINEST VARS'!$T$62*(8)+'LINEST VARS'!$S$62*(8)+'LINEST VARS'!$R$62*($ED$80)+'LINEST VARS'!$Q$62*(0.5)+'LINEST VARS'!$P$62*($DV94)+'LINEST VARS'!$O$62*(8^2)+'LINEST VARS'!$N$62*(8^2)+'LINEST VARS'!$M$62*($ED$80^2)+'LINEST VARS'!$L$62*(0.5^2)+'LINEST VARS'!$K$62*($DV94^2)+'LINEST VARS'!$J$62*(8*8)+'LINEST VARS'!$I$62*(8*$ED$80)+'LINEST VARS'!$H$62*(8*0.5)+'LINEST VARS'!$G$62*(8*$DV94)+'LINEST VARS'!$F$62*(8*$ED$80)+'LINEST VARS'!$E$62*(8*0.5)+'LINEST VARS'!$D$62*(8*$DV94)+'LINEST VARS'!$C$62*($ED$80*0.5)+'LINEST VARS'!$B$62*($ED$80*$DV94)+'LINEST VARS'!$A$62*(0.5*$DV94)</f>
        <v>310.29999999999995</v>
      </c>
      <c r="EE94" s="55">
        <f>'LINEST VARS'!$U$62+'LINEST VARS'!$T$62*(8)+'LINEST VARS'!$S$62*(8)+'LINEST VARS'!$R$62*($EE$80)+'LINEST VARS'!$Q$62*(0.5)+'LINEST VARS'!$P$62*($DV94)+'LINEST VARS'!$O$62*(8^2)+'LINEST VARS'!$N$62*(8^2)+'LINEST VARS'!$M$62*($EE$80^2)+'LINEST VARS'!$L$62*(0.5^2)+'LINEST VARS'!$K$62*($DV94^2)+'LINEST VARS'!$J$62*(8*8)+'LINEST VARS'!$I$62*(8*$EE$80)+'LINEST VARS'!$H$62*(8*0.5)+'LINEST VARS'!$G$62*(8*$DV94)+'LINEST VARS'!$F$62*(8*$EE$80)+'LINEST VARS'!$E$62*(8*0.5)+'LINEST VARS'!$D$62*(8*$DV94)+'LINEST VARS'!$C$62*($EE$80*0.5)+'LINEST VARS'!$B$62*($EE$80*$DV94)+'LINEST VARS'!$A$62*(0.5*$DV94)</f>
        <v>298.3</v>
      </c>
      <c r="EF94" s="55">
        <f>'LINEST VARS'!$U$62+'LINEST VARS'!$T$62*(8)+'LINEST VARS'!$S$62*(8)+'LINEST VARS'!$R$62*($EF$80)+'LINEST VARS'!$Q$62*(0.5)+'LINEST VARS'!$P$62*($DV94)+'LINEST VARS'!$O$62*(8^2)+'LINEST VARS'!$N$62*(8^2)+'LINEST VARS'!$M$62*($EF$80^2)+'LINEST VARS'!$L$62*(0.5^2)+'LINEST VARS'!$K$62*($DV94^2)+'LINEST VARS'!$J$62*(8*8)+'LINEST VARS'!$I$62*(8*$EF$80)+'LINEST VARS'!$H$62*(8*0.5)+'LINEST VARS'!$G$62*(8*$DV94)+'LINEST VARS'!$F$62*(8*$EF$80)+'LINEST VARS'!$E$62*(8*0.5)+'LINEST VARS'!$D$62*(8*$DV94)+'LINEST VARS'!$C$62*($EF$80*0.5)+'LINEST VARS'!$B$62*($EF$80*$DV94)+'LINEST VARS'!$A$62*(0.5*$DV94)</f>
        <v>284.7</v>
      </c>
      <c r="EG94" s="55">
        <f>'LINEST VARS'!$U$62+'LINEST VARS'!$T$62*(8)+'LINEST VARS'!$S$62*(8)+'LINEST VARS'!$R$62*($EG$80)+'LINEST VARS'!$Q$62*(0.5)+'LINEST VARS'!$P$62*($DV94)+'LINEST VARS'!$O$62*(8^2)+'LINEST VARS'!$N$62*(8^2)+'LINEST VARS'!$M$62*($EG$80^2)+'LINEST VARS'!$L$62*(0.5^2)+'LINEST VARS'!$K$62*($DV94^2)+'LINEST VARS'!$J$62*(8*8)+'LINEST VARS'!$I$62*(8*$EG$80)+'LINEST VARS'!$H$62*(8*0.5)+'LINEST VARS'!$G$62*(8*$DV94)+'LINEST VARS'!$F$62*(8*$EG$80)+'LINEST VARS'!$E$62*(8*0.5)+'LINEST VARS'!$D$62*(8*$DV94)+'LINEST VARS'!$C$62*($EG$80*0.5)+'LINEST VARS'!$B$62*($EG$80*$DV94)+'LINEST VARS'!$A$62*(0.5*$DV94)</f>
        <v>269.5</v>
      </c>
      <c r="EH94" s="55">
        <f>'LINEST VARS'!$U$62+'LINEST VARS'!$T$62*(8)+'LINEST VARS'!$S$62*(8)+'LINEST VARS'!$R$62*($EH$80)+'LINEST VARS'!$Q$62*(0.5)+'LINEST VARS'!$P$62*($DV94)+'LINEST VARS'!$O$62*(8^2)+'LINEST VARS'!$N$62*(8^2)+'LINEST VARS'!$M$62*($EH$80^2)+'LINEST VARS'!$L$62*(0.5^2)+'LINEST VARS'!$K$62*($DV94^2)+'LINEST VARS'!$J$62*(8*8)+'LINEST VARS'!$I$62*(8*$EH$80)+'LINEST VARS'!$H$62*(8*0.5)+'LINEST VARS'!$G$62*(8*$DV94)+'LINEST VARS'!$F$62*(8*$EH$80)+'LINEST VARS'!$E$62*(8*0.5)+'LINEST VARS'!$D$62*(8*$DV94)+'LINEST VARS'!$C$62*($EH$80*0.5)+'LINEST VARS'!$B$62*($EH$80*$DV94)+'LINEST VARS'!$A$62*(0.5*$DV94)</f>
        <v>252.70000000000005</v>
      </c>
      <c r="EI94" s="55">
        <f>'LINEST VARS'!$U$62+'LINEST VARS'!$T$62*(8)+'LINEST VARS'!$S$62*(8)+'LINEST VARS'!$R$62*($EI$80)+'LINEST VARS'!$Q$62*(0.5)+'LINEST VARS'!$P$62*($DV94)+'LINEST VARS'!$O$62*(8^2)+'LINEST VARS'!$N$62*(8^2)+'LINEST VARS'!$M$62*($EI$80^2)+'LINEST VARS'!$L$62*(0.5^2)+'LINEST VARS'!$K$62*($DV94^2)+'LINEST VARS'!$J$62*(8*8)+'LINEST VARS'!$I$62*(8*$EI$80)+'LINEST VARS'!$H$62*(8*0.5)+'LINEST VARS'!$G$62*(8*$DV94)+'LINEST VARS'!$F$62*(8*$EI$80)+'LINEST VARS'!$E$62*(8*0.5)+'LINEST VARS'!$D$62*(8*$DV94)+'LINEST VARS'!$C$62*($EI$80*0.5)+'LINEST VARS'!$B$62*($EI$80*$DV94)+'LINEST VARS'!$A$62*(0.5*$DV94)</f>
        <v>234.3000000000001</v>
      </c>
      <c r="EJ94" s="55">
        <f>'LINEST VARS'!$U$62+'LINEST VARS'!$T$62*(8)+'LINEST VARS'!$S$62*(8)+'LINEST VARS'!$R$62*($EJ$80)+'LINEST VARS'!$Q$62*(0.5)+'LINEST VARS'!$P$62*($DV94)+'LINEST VARS'!$O$62*(8^2)+'LINEST VARS'!$N$62*(8^2)+'LINEST VARS'!$M$62*($EJ$80^2)+'LINEST VARS'!$L$62*(0.5^2)+'LINEST VARS'!$K$62*($DV94^2)+'LINEST VARS'!$J$62*(8*8)+'LINEST VARS'!$I$62*(8*$EJ$80)+'LINEST VARS'!$H$62*(8*0.5)+'LINEST VARS'!$G$62*(8*$DV94)+'LINEST VARS'!$F$62*(8*$EJ$80)+'LINEST VARS'!$E$62*(8*0.5)+'LINEST VARS'!$D$62*(8*$DV94)+'LINEST VARS'!$C$62*($EJ$80*0.5)+'LINEST VARS'!$B$62*($EJ$80*$DV94)+'LINEST VARS'!$A$62*(0.5*$DV94)</f>
        <v>214.30000000000004</v>
      </c>
      <c r="EK94" s="55">
        <f>'LINEST VARS'!$U$62+'LINEST VARS'!$T$62*(8)+'LINEST VARS'!$S$62*(8)+'LINEST VARS'!$R$62*($EK$80)+'LINEST VARS'!$Q$62*(0.5)+'LINEST VARS'!$P$62*($DV94)+'LINEST VARS'!$O$62*(8^2)+'LINEST VARS'!$N$62*(8^2)+'LINEST VARS'!$M$62*($EK$80^2)+'LINEST VARS'!$L$62*(0.5^2)+'LINEST VARS'!$K$62*($DV94^2)+'LINEST VARS'!$J$62*(8*8)+'LINEST VARS'!$I$62*(8*$EK$80)+'LINEST VARS'!$H$62*(8*0.5)+'LINEST VARS'!$G$62*(8*$DV94)+'LINEST VARS'!$F$62*(8*$EK$80)+'LINEST VARS'!$E$62*(8*0.5)+'LINEST VARS'!$D$62*(8*$DV94)+'LINEST VARS'!$C$62*($EK$80*0.5)+'LINEST VARS'!$B$62*($EK$80*$DV94)+'LINEST VARS'!$A$62*(0.5*$DV94)</f>
        <v>192.7000000000001</v>
      </c>
      <c r="EL94" s="55">
        <f>'LINEST VARS'!$U$62+'LINEST VARS'!$T$62*(8)+'LINEST VARS'!$S$62*(8)+'LINEST VARS'!$R$62*($EL$80)+'LINEST VARS'!$Q$62*(0.5)+'LINEST VARS'!$P$62*($DV94)+'LINEST VARS'!$O$62*(8^2)+'LINEST VARS'!$N$62*(8^2)+'LINEST VARS'!$M$62*($EL$80^2)+'LINEST VARS'!$L$62*(0.5^2)+'LINEST VARS'!$K$62*($DV94^2)+'LINEST VARS'!$J$62*(8*8)+'LINEST VARS'!$I$62*(8*$EL$80)+'LINEST VARS'!$H$62*(8*0.5)+'LINEST VARS'!$G$62*(8*$DV94)+'LINEST VARS'!$F$62*(8*$EL$80)+'LINEST VARS'!$E$62*(8*0.5)+'LINEST VARS'!$D$62*(8*$DV94)+'LINEST VARS'!$C$62*($EL$80*0.5)+'LINEST VARS'!$B$62*($EL$80*$DV94)+'LINEST VARS'!$A$62*(0.5*$DV94)</f>
        <v>169.50000000000009</v>
      </c>
      <c r="EM94" s="55">
        <f>'LINEST VARS'!$U$62+'LINEST VARS'!$T$62*(8)+'LINEST VARS'!$S$62*(8)+'LINEST VARS'!$R$62*($EM$80)+'LINEST VARS'!$Q$62*(0.5)+'LINEST VARS'!$P$62*($DV94)+'LINEST VARS'!$O$62*(8^2)+'LINEST VARS'!$N$62*(8^2)+'LINEST VARS'!$M$62*($EM$80^2)+'LINEST VARS'!$L$62*(0.5^2)+'LINEST VARS'!$K$62*($DV94^2)+'LINEST VARS'!$J$62*(8*8)+'LINEST VARS'!$I$62*(8*$EM$80)+'LINEST VARS'!$H$62*(8*0.5)+'LINEST VARS'!$G$62*(8*$DV94)+'LINEST VARS'!$F$62*(8*$EM$80)+'LINEST VARS'!$E$62*(8*0.5)+'LINEST VARS'!$D$62*(8*$DV94)+'LINEST VARS'!$C$62*($EM$80*0.5)+'LINEST VARS'!$B$62*($EM$80*$DV94)+'LINEST VARS'!$A$62*(0.5*$DV94)</f>
        <v>144.70000000000007</v>
      </c>
      <c r="EN94" s="55">
        <f>'LINEST VARS'!$U$62+'LINEST VARS'!$T$62*(8)+'LINEST VARS'!$S$62*(8)+'LINEST VARS'!$R$62*($EN$80)+'LINEST VARS'!$Q$62*(0.5)+'LINEST VARS'!$P$62*($DV94)+'LINEST VARS'!$O$62*(8^2)+'LINEST VARS'!$N$62*(8^2)+'LINEST VARS'!$M$62*($EN$80^2)+'LINEST VARS'!$L$62*(0.5^2)+'LINEST VARS'!$K$62*($DV94^2)+'LINEST VARS'!$J$62*(8*8)+'LINEST VARS'!$I$62*(8*$EN$80)+'LINEST VARS'!$H$62*(8*0.5)+'LINEST VARS'!$G$62*(8*$DV94)+'LINEST VARS'!$F$62*(8*$EN$80)+'LINEST VARS'!$E$62*(8*0.5)+'LINEST VARS'!$D$62*(8*$DV94)+'LINEST VARS'!$C$62*($EN$80*0.5)+'LINEST VARS'!$B$62*($EN$80*$DV94)+'LINEST VARS'!$A$62*(0.5*$DV94)</f>
        <v>118.30000000000011</v>
      </c>
      <c r="EO94" s="55">
        <f>'LINEST VARS'!$U$62+'LINEST VARS'!$T$62*(8)+'LINEST VARS'!$S$62*(8)+'LINEST VARS'!$R$62*($EO$80)+'LINEST VARS'!$Q$62*(0.5)+'LINEST VARS'!$P$62*($DV94)+'LINEST VARS'!$O$62*(8^2)+'LINEST VARS'!$N$62*(8^2)+'LINEST VARS'!$M$62*($EO$80^2)+'LINEST VARS'!$L$62*(0.5^2)+'LINEST VARS'!$K$62*($DV94^2)+'LINEST VARS'!$J$62*(8*8)+'LINEST VARS'!$I$62*(8*$EO$80)+'LINEST VARS'!$H$62*(8*0.5)+'LINEST VARS'!$G$62*(8*$DV94)+'LINEST VARS'!$F$62*(8*$EO$80)+'LINEST VARS'!$E$62*(8*0.5)+'LINEST VARS'!$D$62*(8*$DV94)+'LINEST VARS'!$C$62*($EO$80*0.5)+'LINEST VARS'!$B$62*($EO$80*$DV94)+'LINEST VARS'!$A$62*(0.5*$DV94)</f>
        <v>90.300000000000097</v>
      </c>
      <c r="EP94" s="55">
        <f>'LINEST VARS'!$U$62+'LINEST VARS'!$T$62*(8)+'LINEST VARS'!$S$62*(8)+'LINEST VARS'!$R$62*($EP$80)+'LINEST VARS'!$Q$62*(0.5)+'LINEST VARS'!$P$62*($DV94)+'LINEST VARS'!$O$62*(8^2)+'LINEST VARS'!$N$62*(8^2)+'LINEST VARS'!$M$62*($EP$80^2)+'LINEST VARS'!$L$62*(0.5^2)+'LINEST VARS'!$K$62*($DV94^2)+'LINEST VARS'!$J$62*(8*8)+'LINEST VARS'!$I$62*(8*$EP$80)+'LINEST VARS'!$H$62*(8*0.5)+'LINEST VARS'!$G$62*(8*$DV94)+'LINEST VARS'!$F$62*(8*$EP$80)+'LINEST VARS'!$E$62*(8*0.5)+'LINEST VARS'!$D$62*(8*$DV94)+'LINEST VARS'!$C$62*($EP$80*0.5)+'LINEST VARS'!$B$62*($EP$80*$DV94)+'LINEST VARS'!$A$62*(0.5*$DV94)</f>
        <v>60.700000000000159</v>
      </c>
      <c r="EQ94" s="56">
        <f>'LINEST VARS'!$U$62+'LINEST VARS'!$T$62*(8)+'LINEST VARS'!$S$62*(8)+'LINEST VARS'!$R$62*($EQ$80)+'LINEST VARS'!$Q$62*(0.5)+'LINEST VARS'!$P$62*($DV94)+'LINEST VARS'!$O$62*(8^2)+'LINEST VARS'!$N$62*(8^2)+'LINEST VARS'!$M$62*($EQ$80^2)+'LINEST VARS'!$L$62*(0.5^2)+'LINEST VARS'!$K$62*($DV94^2)+'LINEST VARS'!$J$62*(8*8)+'LINEST VARS'!$I$62*(8*$EQ$80)+'LINEST VARS'!$H$62*(8*0.5)+'LINEST VARS'!$G$62*(8*$DV94)+'LINEST VARS'!$F$62*(8*$EQ$80)+'LINEST VARS'!$E$62*(8*0.5)+'LINEST VARS'!$D$62*(8*$DV94)+'LINEST VARS'!$C$62*($EQ$80*0.5)+'LINEST VARS'!$B$62*($EQ$80*$DV94)+'LINEST VARS'!$A$62*(0.5*$DV94)</f>
        <v>29.500000000000199</v>
      </c>
    </row>
    <row r="95" spans="2:147" ht="15" customHeight="1" x14ac:dyDescent="0.25">
      <c r="B95" s="45">
        <v>8.24</v>
      </c>
      <c r="C95" s="46">
        <f>'LINEST VARS'!$U$60+'LINEST VARS'!$T$60*($C$80)+'LINEST VARS'!$S$60*($B95)+'LINEST VARS'!$R$60*(4)+'LINEST VARS'!$Q$60*(0.5)+'LINEST VARS'!$P$60*(12.73)+'LINEST VARS'!$O$60*($C$80^2)+'LINEST VARS'!$N$60*($B95^2)+'LINEST VARS'!$M$60*(4^2)+'LINEST VARS'!$L$60*(0.5^2)+'LINEST VARS'!$K$60*(12.73^2)+'LINEST VARS'!$J$60*($C$80*$B95)+'LINEST VARS'!$I$60*($C$80*4)+'LINEST VARS'!$H$60*($C$80*0.5)+'LINEST VARS'!$G$60*($C$80*12.73)+'LINEST VARS'!$F$60*($B95*4)+'LINEST VARS'!$E$60*($B95*0.5)+'LINEST VARS'!$D$60*($B95*12.73)+'LINEST VARS'!$C$60*(4*0.5)+'LINEST VARS'!$B$60*(4*12.73)+'LINEST VARS'!$A$60*(0.5*12.73)</f>
        <v>40.460000000000015</v>
      </c>
      <c r="D95" s="46">
        <f>'LINEST VARS'!$U$60+'LINEST VARS'!$T$60*($D$80)+'LINEST VARS'!$S$60*($B95)+'LINEST VARS'!$R$60*(4)+'LINEST VARS'!$Q$60*(0.5)+'LINEST VARS'!$P$60*(12.73)+'LINEST VARS'!$O$60*($D$80^2)+'LINEST VARS'!$N$60*($B95^2)+'LINEST VARS'!$M$60*(4^2)+'LINEST VARS'!$L$60*(0.5^2)+'LINEST VARS'!$K$60*(12.73^2)+'LINEST VARS'!$J$60*($D$80*$B95)+'LINEST VARS'!$I$60*($D$80*4)+'LINEST VARS'!$H$60*($D$80*0.5)+'LINEST VARS'!$G$60*($D$80*12.73)+'LINEST VARS'!$F$60*($B95*4)+'LINEST VARS'!$E$60*($B95*0.5)+'LINEST VARS'!$D$60*($B95*12.73)+'LINEST VARS'!$C$60*(4*0.5)+'LINEST VARS'!$B$60*(4*12.73)+'LINEST VARS'!$A$60*(0.5*12.73)</f>
        <v>40.460000000000015</v>
      </c>
      <c r="E95" s="46">
        <f>'LINEST VARS'!$U$60+'LINEST VARS'!$T$60*($E$80)+'LINEST VARS'!$S$60*($B95)+'LINEST VARS'!$R$60*(4)+'LINEST VARS'!$Q$60*(0.5)+'LINEST VARS'!$P$60*(12.73)+'LINEST VARS'!$O$60*($E$80^2)+'LINEST VARS'!$N$60*($B95^2)+'LINEST VARS'!$M$60*(4^2)+'LINEST VARS'!$L$60*(0.5^2)+'LINEST VARS'!$K$60*(12.73^2)+'LINEST VARS'!$J$60*($E$80*$B95)+'LINEST VARS'!$I$60*($E$80*4)+'LINEST VARS'!$H$60*($E$80*0.5)+'LINEST VARS'!$G$60*($E$80*12.73)+'LINEST VARS'!$F$60*($B95*4)+'LINEST VARS'!$E$60*($B95*0.5)+'LINEST VARS'!$D$60*($B95*12.73)+'LINEST VARS'!$C$60*(4*0.5)+'LINEST VARS'!$B$60*(4*12.73)+'LINEST VARS'!$A$60*(0.5*12.73)</f>
        <v>40.460000000000015</v>
      </c>
      <c r="F95" s="46">
        <f>'LINEST VARS'!$U$60+'LINEST VARS'!$T$60*($F$80)+'LINEST VARS'!$S$60*($B95)+'LINEST VARS'!$R$60*(4)+'LINEST VARS'!$Q$60*(0.5)+'LINEST VARS'!$P$60*(12.73)+'LINEST VARS'!$O$60*($F$80^2)+'LINEST VARS'!$N$60*($B95^2)+'LINEST VARS'!$M$60*(4^2)+'LINEST VARS'!$L$60*(0.5^2)+'LINEST VARS'!$K$60*(12.73^2)+'LINEST VARS'!$J$60*($F$80*$B95)+'LINEST VARS'!$I$60*($F$80*4)+'LINEST VARS'!$H$60*($F$80*0.5)+'LINEST VARS'!$G$60*($F$80*12.73)+'LINEST VARS'!$F$60*($B95*4)+'LINEST VARS'!$E$60*($B95*0.5)+'LINEST VARS'!$D$60*($B95*12.73)+'LINEST VARS'!$C$60*(4*0.5)+'LINEST VARS'!$B$60*(4*12.73)+'LINEST VARS'!$A$60*(0.5*12.73)</f>
        <v>40.460000000000015</v>
      </c>
      <c r="G95" s="46">
        <f>'LINEST VARS'!$U$60+'LINEST VARS'!$T$60*($G$80)+'LINEST VARS'!$S$60*($B95)+'LINEST VARS'!$R$60*(4)+'LINEST VARS'!$Q$60*(0.5)+'LINEST VARS'!$P$60*(12.73)+'LINEST VARS'!$O$60*($G$80^2)+'LINEST VARS'!$N$60*($B95^2)+'LINEST VARS'!$M$60*(4^2)+'LINEST VARS'!$L$60*(0.5^2)+'LINEST VARS'!$K$60*(12.73^2)+'LINEST VARS'!$J$60*($G$80*$B95)+'LINEST VARS'!$I$60*($G$80*4)+'LINEST VARS'!$H$60*($G$80*0.5)+'LINEST VARS'!$G$60*($G$80*12.73)+'LINEST VARS'!$F$60*($B95*4)+'LINEST VARS'!$E$60*($B95*0.5)+'LINEST VARS'!$D$60*($B95*12.73)+'LINEST VARS'!$C$60*(4*0.5)+'LINEST VARS'!$B$60*(4*12.73)+'LINEST VARS'!$A$60*(0.5*12.73)</f>
        <v>40.46</v>
      </c>
      <c r="H95" s="46">
        <f>'LINEST VARS'!$U$60+'LINEST VARS'!$T$60*($H$80)+'LINEST VARS'!$S$60*($B95)+'LINEST VARS'!$R$60*(4)+'LINEST VARS'!$Q$60*(0.5)+'LINEST VARS'!$P$60*(12.73)+'LINEST VARS'!$O$60*($H$80^2)+'LINEST VARS'!$N$60*($B95^2)+'LINEST VARS'!$M$60*(4^2)+'LINEST VARS'!$L$60*(0.5^2)+'LINEST VARS'!$K$60*(12.73^2)+'LINEST VARS'!$J$60*($H$80*$B95)+'LINEST VARS'!$I$60*($H$80*4)+'LINEST VARS'!$H$60*($H$80*0.5)+'LINEST VARS'!$G$60*($H$80*12.73)+'LINEST VARS'!$F$60*($B95*4)+'LINEST VARS'!$E$60*($B95*0.5)+'LINEST VARS'!$D$60*($B95*12.73)+'LINEST VARS'!$C$60*(4*0.5)+'LINEST VARS'!$B$60*(4*12.73)+'LINEST VARS'!$A$60*(0.5*12.73)</f>
        <v>40.46</v>
      </c>
      <c r="I95" s="46">
        <f>'LINEST VARS'!$U$60+'LINEST VARS'!$T$60*($I$80)+'LINEST VARS'!$S$60*($B95)+'LINEST VARS'!$R$60*(4)+'LINEST VARS'!$Q$60*(0.5)+'LINEST VARS'!$P$60*(12.73)+'LINEST VARS'!$O$60*($I$80^2)+'LINEST VARS'!$N$60*($B95^2)+'LINEST VARS'!$M$60*(4^2)+'LINEST VARS'!$L$60*(0.5^2)+'LINEST VARS'!$K$60*(12.73^2)+'LINEST VARS'!$J$60*($I$80*$B95)+'LINEST VARS'!$I$60*($I$80*4)+'LINEST VARS'!$H$60*($I$80*0.5)+'LINEST VARS'!$G$60*($I$80*12.73)+'LINEST VARS'!$F$60*($B95*4)+'LINEST VARS'!$E$60*($B95*0.5)+'LINEST VARS'!$D$60*($B95*12.73)+'LINEST VARS'!$C$60*(4*0.5)+'LINEST VARS'!$B$60*(4*12.73)+'LINEST VARS'!$A$60*(0.5*12.73)</f>
        <v>40.460000000000008</v>
      </c>
      <c r="J95" s="46">
        <f>'LINEST VARS'!$U$60+'LINEST VARS'!$T$60*($J$80)+'LINEST VARS'!$S$60*($B95)+'LINEST VARS'!$R$60*(4)+'LINEST VARS'!$Q$60*(0.5)+'LINEST VARS'!$P$60*(12.73)+'LINEST VARS'!$O$60*($J$80^2)+'LINEST VARS'!$N$60*($B95^2)+'LINEST VARS'!$M$60*(4^2)+'LINEST VARS'!$L$60*(0.5^2)+'LINEST VARS'!$K$60*(12.73^2)+'LINEST VARS'!$J$60*($J$80*$B95)+'LINEST VARS'!$I$60*($J$80*4)+'LINEST VARS'!$H$60*($J$80*0.5)+'LINEST VARS'!$G$60*($J$80*12.73)+'LINEST VARS'!$F$60*($B95*4)+'LINEST VARS'!$E$60*($B95*0.5)+'LINEST VARS'!$D$60*($B95*12.73)+'LINEST VARS'!$C$60*(4*0.5)+'LINEST VARS'!$B$60*(4*12.73)+'LINEST VARS'!$A$60*(0.5*12.73)</f>
        <v>40.460000000000008</v>
      </c>
      <c r="K95" s="46">
        <f>'LINEST VARS'!$U$60+'LINEST VARS'!$T$60*($K$80)+'LINEST VARS'!$S$60*($B95)+'LINEST VARS'!$R$60*(4)+'LINEST VARS'!$Q$60*(0.5)+'LINEST VARS'!$P$60*(12.73)+'LINEST VARS'!$O$60*($K$80^2)+'LINEST VARS'!$N$60*($B95^2)+'LINEST VARS'!$M$60*(4^2)+'LINEST VARS'!$L$60*(0.5^2)+'LINEST VARS'!$K$60*(12.73^2)+'LINEST VARS'!$J$60*($K$80*$B95)+'LINEST VARS'!$I$60*($K$80*4)+'LINEST VARS'!$H$60*($K$80*0.5)+'LINEST VARS'!$G$60*($K$80*12.73)+'LINEST VARS'!$F$60*($B95*4)+'LINEST VARS'!$E$60*($B95*0.5)+'LINEST VARS'!$D$60*($B95*12.73)+'LINEST VARS'!$C$60*(4*0.5)+'LINEST VARS'!$B$60*(4*12.73)+'LINEST VARS'!$A$60*(0.5*12.73)</f>
        <v>40.460000000000008</v>
      </c>
      <c r="L95" s="46">
        <f>'LINEST VARS'!$U$60+'LINEST VARS'!$T$60*($L$80)+'LINEST VARS'!$S$60*($B95)+'LINEST VARS'!$R$60*(4)+'LINEST VARS'!$Q$60*(0.5)+'LINEST VARS'!$P$60*(12.73)+'LINEST VARS'!$O$60*($L$80^2)+'LINEST VARS'!$N$60*($B95^2)+'LINEST VARS'!$M$60*(4^2)+'LINEST VARS'!$L$60*(0.5^2)+'LINEST VARS'!$K$60*(12.73^2)+'LINEST VARS'!$J$60*($L$80*$B95)+'LINEST VARS'!$I$60*($L$80*4)+'LINEST VARS'!$H$60*($L$80*0.5)+'LINEST VARS'!$G$60*($L$80*12.73)+'LINEST VARS'!$F$60*($B95*4)+'LINEST VARS'!$E$60*($B95*0.5)+'LINEST VARS'!$D$60*($B95*12.73)+'LINEST VARS'!$C$60*(4*0.5)+'LINEST VARS'!$B$60*(4*12.73)+'LINEST VARS'!$A$60*(0.5*12.73)</f>
        <v>40.460000000000008</v>
      </c>
      <c r="M95" s="46">
        <f>'LINEST VARS'!$U$60+'LINEST VARS'!$T$60*($M$80)+'LINEST VARS'!$S$60*($B95)+'LINEST VARS'!$R$60*(4)+'LINEST VARS'!$Q$60*(0.5)+'LINEST VARS'!$P$60*(12.73)+'LINEST VARS'!$O$60*($M$80^2)+'LINEST VARS'!$N$60*($B95^2)+'LINEST VARS'!$M$60*(4^2)+'LINEST VARS'!$L$60*(0.5^2)+'LINEST VARS'!$K$60*(12.73^2)+'LINEST VARS'!$J$60*($M$80*$B95)+'LINEST VARS'!$I$60*($M$80*4)+'LINEST VARS'!$H$60*($M$80*0.5)+'LINEST VARS'!$G$60*($M$80*12.73)+'LINEST VARS'!$F$60*($B95*4)+'LINEST VARS'!$E$60*($B95*0.5)+'LINEST VARS'!$D$60*($B95*12.73)+'LINEST VARS'!$C$60*(4*0.5)+'LINEST VARS'!$B$60*(4*12.73)+'LINEST VARS'!$A$60*(0.5*12.73)</f>
        <v>40.460000000000008</v>
      </c>
      <c r="N95" s="46">
        <f>'LINEST VARS'!$U$60+'LINEST VARS'!$T$60*($N$80)+'LINEST VARS'!$S$60*($B95)+'LINEST VARS'!$R$60*(4)+'LINEST VARS'!$Q$60*(0.5)+'LINEST VARS'!$P$60*(12.73)+'LINEST VARS'!$O$60*($N$80^2)+'LINEST VARS'!$N$60*($B95^2)+'LINEST VARS'!$M$60*(4^2)+'LINEST VARS'!$L$60*(0.5^2)+'LINEST VARS'!$K$60*(12.73^2)+'LINEST VARS'!$J$60*($N$80*$B95)+'LINEST VARS'!$I$60*($N$80*4)+'LINEST VARS'!$H$60*($N$80*0.5)+'LINEST VARS'!$G$60*($N$80*12.73)+'LINEST VARS'!$F$60*($B95*4)+'LINEST VARS'!$E$60*($B95*0.5)+'LINEST VARS'!$D$60*($B95*12.73)+'LINEST VARS'!$C$60*(4*0.5)+'LINEST VARS'!$B$60*(4*12.73)+'LINEST VARS'!$A$60*(0.5*12.73)</f>
        <v>40.460000000000008</v>
      </c>
      <c r="O95" s="46">
        <f>'LINEST VARS'!$U$60+'LINEST VARS'!$T$60*($O$80)+'LINEST VARS'!$S$60*($B95)+'LINEST VARS'!$R$60*(4)+'LINEST VARS'!$Q$60*(0.5)+'LINEST VARS'!$P$60*(12.73)+'LINEST VARS'!$O$60*($O$80^2)+'LINEST VARS'!$N$60*($B95^2)+'LINEST VARS'!$M$60*(4^2)+'LINEST VARS'!$L$60*(0.5^2)+'LINEST VARS'!$K$60*(12.73^2)+'LINEST VARS'!$J$60*($O$80*$B95)+'LINEST VARS'!$I$60*($O$80*4)+'LINEST VARS'!$H$60*($O$80*0.5)+'LINEST VARS'!$G$60*($O$80*12.73)+'LINEST VARS'!$F$60*($B95*4)+'LINEST VARS'!$E$60*($B95*0.5)+'LINEST VARS'!$D$60*($B95*12.73)+'LINEST VARS'!$C$60*(4*0.5)+'LINEST VARS'!$B$60*(4*12.73)+'LINEST VARS'!$A$60*(0.5*12.73)</f>
        <v>40.460000000000015</v>
      </c>
      <c r="P95" s="46">
        <f>'LINEST VARS'!$U$60+'LINEST VARS'!$T$60*($P$80)+'LINEST VARS'!$S$60*($B95)+'LINEST VARS'!$R$60*(4)+'LINEST VARS'!$Q$60*(0.5)+'LINEST VARS'!$P$60*(12.73)+'LINEST VARS'!$O$60*($P$80^2)+'LINEST VARS'!$N$60*($B95^2)+'LINEST VARS'!$M$60*(4^2)+'LINEST VARS'!$L$60*(0.5^2)+'LINEST VARS'!$K$60*(12.73^2)+'LINEST VARS'!$J$60*($P$80*$B95)+'LINEST VARS'!$I$60*($P$80*4)+'LINEST VARS'!$H$60*($P$80*0.5)+'LINEST VARS'!$G$60*($P$80*12.73)+'LINEST VARS'!$F$60*($B95*4)+'LINEST VARS'!$E$60*($B95*0.5)+'LINEST VARS'!$D$60*($B95*12.73)+'LINEST VARS'!$C$60*(4*0.5)+'LINEST VARS'!$B$60*(4*12.73)+'LINEST VARS'!$A$60*(0.5*12.73)</f>
        <v>40.460000000000015</v>
      </c>
      <c r="Q95" s="46">
        <f>'LINEST VARS'!$U$60+'LINEST VARS'!$T$60*($Q$80)+'LINEST VARS'!$S$60*($B95)+'LINEST VARS'!$R$60*(4)+'LINEST VARS'!$Q$60*(0.5)+'LINEST VARS'!$P$60*(12.73)+'LINEST VARS'!$O$60*($Q$80^2)+'LINEST VARS'!$N$60*($B95^2)+'LINEST VARS'!$M$60*(4^2)+'LINEST VARS'!$L$60*(0.5^2)+'LINEST VARS'!$K$60*(12.73^2)+'LINEST VARS'!$J$60*($Q$80*$B95)+'LINEST VARS'!$I$60*($Q$80*4)+'LINEST VARS'!$H$60*($Q$80*0.5)+'LINEST VARS'!$G$60*($Q$80*12.73)+'LINEST VARS'!$F$60*($B95*4)+'LINEST VARS'!$E$60*($B95*0.5)+'LINEST VARS'!$D$60*($B95*12.73)+'LINEST VARS'!$C$60*(4*0.5)+'LINEST VARS'!$B$60*(4*12.73)+'LINEST VARS'!$A$60*(0.5*12.73)</f>
        <v>40.460000000000015</v>
      </c>
      <c r="R95" s="46">
        <f>'LINEST VARS'!$U$60+'LINEST VARS'!$T$60*($R$80)+'LINEST VARS'!$S$60*($B95)+'LINEST VARS'!$R$60*(4)+'LINEST VARS'!$Q$60*(0.5)+'LINEST VARS'!$P$60*(12.73)+'LINEST VARS'!$O$60*($R$80^2)+'LINEST VARS'!$N$60*($B95^2)+'LINEST VARS'!$M$60*(4^2)+'LINEST VARS'!$L$60*(0.5^2)+'LINEST VARS'!$K$60*(12.73^2)+'LINEST VARS'!$J$60*($R$80*$B95)+'LINEST VARS'!$I$60*($R$80*4)+'LINEST VARS'!$H$60*($R$80*0.5)+'LINEST VARS'!$G$60*($R$80*12.73)+'LINEST VARS'!$F$60*($B95*4)+'LINEST VARS'!$E$60*($B95*0.5)+'LINEST VARS'!$D$60*($B95*12.73)+'LINEST VARS'!$C$60*(4*0.5)+'LINEST VARS'!$B$60*(4*12.73)+'LINEST VARS'!$A$60*(0.5*12.73)</f>
        <v>40.460000000000015</v>
      </c>
      <c r="S95" s="46">
        <f>'LINEST VARS'!$U$60+'LINEST VARS'!$T$60*($S$80)+'LINEST VARS'!$S$60*($B95)+'LINEST VARS'!$R$60*(4)+'LINEST VARS'!$Q$60*(0.5)+'LINEST VARS'!$P$60*(12.73)+'LINEST VARS'!$O$60*($S$80^2)+'LINEST VARS'!$N$60*($B95^2)+'LINEST VARS'!$M$60*(4^2)+'LINEST VARS'!$L$60*(0.5^2)+'LINEST VARS'!$K$60*(12.73^2)+'LINEST VARS'!$J$60*($S$80*$B95)+'LINEST VARS'!$I$60*($S$80*4)+'LINEST VARS'!$H$60*($S$80*0.5)+'LINEST VARS'!$G$60*($S$80*12.73)+'LINEST VARS'!$F$60*($B95*4)+'LINEST VARS'!$E$60*($B95*0.5)+'LINEST VARS'!$D$60*($B95*12.73)+'LINEST VARS'!$C$60*(4*0.5)+'LINEST VARS'!$B$60*(4*12.73)+'LINEST VARS'!$A$60*(0.5*12.73)</f>
        <v>40.460000000000015</v>
      </c>
      <c r="T95" s="46">
        <f>'LINEST VARS'!$U$60+'LINEST VARS'!$T$60*($T$80)+'LINEST VARS'!$S$60*($B95)+'LINEST VARS'!$R$60*(4)+'LINEST VARS'!$Q$60*(0.5)+'LINEST VARS'!$P$60*(12.73)+'LINEST VARS'!$O$60*($T$80^2)+'LINEST VARS'!$N$60*($B95^2)+'LINEST VARS'!$M$60*(4^2)+'LINEST VARS'!$L$60*(0.5^2)+'LINEST VARS'!$K$60*(12.73^2)+'LINEST VARS'!$J$60*($T$80*$B95)+'LINEST VARS'!$I$60*($T$80*4)+'LINEST VARS'!$H$60*($T$80*0.5)+'LINEST VARS'!$G$60*($T$80*12.73)+'LINEST VARS'!$F$60*($B95*4)+'LINEST VARS'!$E$60*($B95*0.5)+'LINEST VARS'!$D$60*($B95*12.73)+'LINEST VARS'!$C$60*(4*0.5)+'LINEST VARS'!$B$60*(4*12.73)+'LINEST VARS'!$A$60*(0.5*12.73)</f>
        <v>40.460000000000015</v>
      </c>
      <c r="U95" s="46">
        <f>'LINEST VARS'!$U$60+'LINEST VARS'!$T$60*($U$80)+'LINEST VARS'!$S$60*($B95)+'LINEST VARS'!$R$60*(4)+'LINEST VARS'!$Q$60*(0.5)+'LINEST VARS'!$P$60*(12.73)+'LINEST VARS'!$O$60*($U$80^2)+'LINEST VARS'!$N$60*($B95^2)+'LINEST VARS'!$M$60*(4^2)+'LINEST VARS'!$L$60*(0.5^2)+'LINEST VARS'!$K$60*(12.73^2)+'LINEST VARS'!$J$60*($U$80*$B95)+'LINEST VARS'!$I$60*($U$80*4)+'LINEST VARS'!$H$60*($U$80*0.5)+'LINEST VARS'!$G$60*($U$80*12.73)+'LINEST VARS'!$F$60*($B95*4)+'LINEST VARS'!$E$60*($B95*0.5)+'LINEST VARS'!$D$60*($B95*12.73)+'LINEST VARS'!$C$60*(4*0.5)+'LINEST VARS'!$B$60*(4*12.73)+'LINEST VARS'!$A$60*(0.5*12.73)</f>
        <v>40.460000000000022</v>
      </c>
      <c r="V95" s="46">
        <f>'LINEST VARS'!$U$60+'LINEST VARS'!$T$60*($V$80)+'LINEST VARS'!$S$60*($B95)+'LINEST VARS'!$R$60*(4)+'LINEST VARS'!$Q$60*(0.5)+'LINEST VARS'!$P$60*(12.73)+'LINEST VARS'!$O$60*($V$80^2)+'LINEST VARS'!$N$60*($B95^2)+'LINEST VARS'!$M$60*(4^2)+'LINEST VARS'!$L$60*(0.5^2)+'LINEST VARS'!$K$60*(12.73^2)+'LINEST VARS'!$J$60*($V$80*$B95)+'LINEST VARS'!$I$60*($V$80*4)+'LINEST VARS'!$H$60*($V$80*0.5)+'LINEST VARS'!$G$60*($V$80*12.73)+'LINEST VARS'!$F$60*($B95*4)+'LINEST VARS'!$E$60*($B95*0.5)+'LINEST VARS'!$D$60*($B95*12.73)+'LINEST VARS'!$C$60*(4*0.5)+'LINEST VARS'!$B$60*(4*12.73)+'LINEST VARS'!$A$60*(0.5*12.73)</f>
        <v>40.460000000000015</v>
      </c>
      <c r="W95" s="47">
        <f>'LINEST VARS'!$U$60+'LINEST VARS'!$T$60*($W$80)+'LINEST VARS'!$S$60*($B95)+'LINEST VARS'!$R$60*(4)+'LINEST VARS'!$Q$60*(0.5)+'LINEST VARS'!$P$60*(12.73)+'LINEST VARS'!$O$60*($W$80^2)+'LINEST VARS'!$N$60*($B95^2)+'LINEST VARS'!$M$60*(4^2)+'LINEST VARS'!$L$60*(0.5^2)+'LINEST VARS'!$K$60*(12.73^2)+'LINEST VARS'!$J$60*($W$80*$B95)+'LINEST VARS'!$I$60*($W$80*4)+'LINEST VARS'!$H$60*($W$80*0.5)+'LINEST VARS'!$G$60*($W$80*12.73)+'LINEST VARS'!$F$60*($B95*4)+'LINEST VARS'!$E$60*($B95*0.5)+'LINEST VARS'!$D$60*($B95*12.73)+'LINEST VARS'!$C$60*(4*0.5)+'LINEST VARS'!$B$60*(4*12.73)+'LINEST VARS'!$A$60*(0.5*12.73)</f>
        <v>40.460000000000015</v>
      </c>
      <c r="Z95" s="45">
        <v>8.24</v>
      </c>
      <c r="AA95" s="55">
        <f>'LINEST VARS'!$U$62+'LINEST VARS'!$T$62*($AA$80)+'LINEST VARS'!$S$62*($Z95)+'LINEST VARS'!$R$62*(4)+'LINEST VARS'!$Q$62*(0.5)+'LINEST VARS'!$P$62*(12.73)+'LINEST VARS'!$O$62*($AA$80^2)+'LINEST VARS'!$N$62*($Z95^2)+'LINEST VARS'!$M$62*(4^2)+'LINEST VARS'!$L$62*(0.5^2)+'LINEST VARS'!$K$62*(12.73^2)+'LINEST VARS'!$J$62*($AA$80*$Z95)+'LINEST VARS'!$I$62*($AA$80*4)+'LINEST VARS'!$H$62*($AA$80*0.5)+'LINEST VARS'!$G$62*($AA$80*12.73)+'LINEST VARS'!$F$62*($Z95*4)+'LINEST VARS'!$E$62*($Z95*0.5)+'LINEST VARS'!$D$62*($Z95*12.73)+'LINEST VARS'!$C$62*(4*0.5)+'LINEST VARS'!$B$62*(4*12.73)+'LINEST VARS'!$A$62*(0.5*12.73)</f>
        <v>269.49999999999994</v>
      </c>
      <c r="AB95" s="55">
        <f>'LINEST VARS'!$U$62+'LINEST VARS'!$T$62*($AB$80)+'LINEST VARS'!$S$62*($Z95)+'LINEST VARS'!$R$62*(4)+'LINEST VARS'!$Q$62*(0.5)+'LINEST VARS'!$P$62*(12.73)+'LINEST VARS'!$O$62*($AB$80^2)+'LINEST VARS'!$N$62*($Z95^2)+'LINEST VARS'!$M$62*(4^2)+'LINEST VARS'!$L$62*(0.5^2)+'LINEST VARS'!$K$62*(12.73^2)+'LINEST VARS'!$J$62*($AB$80*$Z95)+'LINEST VARS'!$I$62*($AB$80*4)+'LINEST VARS'!$H$62*($AB$80*0.5)+'LINEST VARS'!$G$62*($AB$80*12.73)+'LINEST VARS'!$F$62*($Z95*4)+'LINEST VARS'!$E$62*($Z95*0.5)+'LINEST VARS'!$D$62*($Z95*12.73)+'LINEST VARS'!$C$62*(4*0.5)+'LINEST VARS'!$B$62*(4*12.73)+'LINEST VARS'!$A$62*(0.5*12.73)</f>
        <v>269.49999999999994</v>
      </c>
      <c r="AC95" s="55">
        <f>'LINEST VARS'!$U$62+'LINEST VARS'!$T$62*($AC$80)+'LINEST VARS'!$S$62*($Z95)+'LINEST VARS'!$R$62*(4)+'LINEST VARS'!$Q$62*(0.5)+'LINEST VARS'!$P$62*(12.73)+'LINEST VARS'!$O$62*($AC$80^2)+'LINEST VARS'!$N$62*($Z95^2)+'LINEST VARS'!$M$62*(4^2)+'LINEST VARS'!$L$62*(0.5^2)+'LINEST VARS'!$K$62*(12.73^2)+'LINEST VARS'!$J$62*($AC$80*$Z95)+'LINEST VARS'!$I$62*($AC$80*4)+'LINEST VARS'!$H$62*($AC$80*0.5)+'LINEST VARS'!$G$62*($AC$80*12.73)+'LINEST VARS'!$F$62*($Z95*4)+'LINEST VARS'!$E$62*($Z95*0.5)+'LINEST VARS'!$D$62*($Z95*12.73)+'LINEST VARS'!$C$62*(4*0.5)+'LINEST VARS'!$B$62*(4*12.73)+'LINEST VARS'!$A$62*(0.5*12.73)</f>
        <v>269.49999999999994</v>
      </c>
      <c r="AD95" s="55">
        <f>'LINEST VARS'!$U$62+'LINEST VARS'!$T$62*($AD$80)+'LINEST VARS'!$S$62*($Z95)+'LINEST VARS'!$R$62*(4)+'LINEST VARS'!$Q$62*(0.5)+'LINEST VARS'!$P$62*(12.73)+'LINEST VARS'!$O$62*($AD$80^2)+'LINEST VARS'!$N$62*($Z95^2)+'LINEST VARS'!$M$62*(4^2)+'LINEST VARS'!$L$62*(0.5^2)+'LINEST VARS'!$K$62*(12.73^2)+'LINEST VARS'!$J$62*($AD$80*$Z95)+'LINEST VARS'!$I$62*($AD$80*4)+'LINEST VARS'!$H$62*($AD$80*0.5)+'LINEST VARS'!$G$62*($AD$80*12.73)+'LINEST VARS'!$F$62*($Z95*4)+'LINEST VARS'!$E$62*($Z95*0.5)+'LINEST VARS'!$D$62*($Z95*12.73)+'LINEST VARS'!$C$62*(4*0.5)+'LINEST VARS'!$B$62*(4*12.73)+'LINEST VARS'!$A$62*(0.5*12.73)</f>
        <v>269.5</v>
      </c>
      <c r="AE95" s="55">
        <f>'LINEST VARS'!$U$62+'LINEST VARS'!$T$62*($AE$80)+'LINEST VARS'!$S$62*($Z95)+'LINEST VARS'!$R$62*(4)+'LINEST VARS'!$Q$62*(0.5)+'LINEST VARS'!$P$62*(12.73)+'LINEST VARS'!$O$62*($AE$80^2)+'LINEST VARS'!$N$62*($Z95^2)+'LINEST VARS'!$M$62*(4^2)+'LINEST VARS'!$L$62*(0.5^2)+'LINEST VARS'!$K$62*(12.73^2)+'LINEST VARS'!$J$62*($AE$80*$Z95)+'LINEST VARS'!$I$62*($AE$80*4)+'LINEST VARS'!$H$62*($AE$80*0.5)+'LINEST VARS'!$G$62*($AE$80*12.73)+'LINEST VARS'!$F$62*($Z95*4)+'LINEST VARS'!$E$62*($Z95*0.5)+'LINEST VARS'!$D$62*($Z95*12.73)+'LINEST VARS'!$C$62*(4*0.5)+'LINEST VARS'!$B$62*(4*12.73)+'LINEST VARS'!$A$62*(0.5*12.73)</f>
        <v>269.49999999999994</v>
      </c>
      <c r="AF95" s="55">
        <f>'LINEST VARS'!$U$62+'LINEST VARS'!$T$62*($AF$80)+'LINEST VARS'!$S$62*($Z95)+'LINEST VARS'!$R$62*(4)+'LINEST VARS'!$Q$62*(0.5)+'LINEST VARS'!$P$62*(12.73)+'LINEST VARS'!$O$62*($AF$80^2)+'LINEST VARS'!$N$62*($Z95^2)+'LINEST VARS'!$M$62*(4^2)+'LINEST VARS'!$L$62*(0.5^2)+'LINEST VARS'!$K$62*(12.73^2)+'LINEST VARS'!$J$62*($AF$80*$Z95)+'LINEST VARS'!$I$62*($AF$80*4)+'LINEST VARS'!$H$62*($AF$80*0.5)+'LINEST VARS'!$G$62*($AF$80*12.73)+'LINEST VARS'!$F$62*($Z95*4)+'LINEST VARS'!$E$62*($Z95*0.5)+'LINEST VARS'!$D$62*($Z95*12.73)+'LINEST VARS'!$C$62*(4*0.5)+'LINEST VARS'!$B$62*(4*12.73)+'LINEST VARS'!$A$62*(0.5*12.73)</f>
        <v>269.49999999999989</v>
      </c>
      <c r="AG95" s="55">
        <f>'LINEST VARS'!$U$62+'LINEST VARS'!$T$62*($AG$80)+'LINEST VARS'!$S$62*($Z95)+'LINEST VARS'!$R$62*(4)+'LINEST VARS'!$Q$62*(0.5)+'LINEST VARS'!$P$62*(12.73)+'LINEST VARS'!$O$62*($AG$80^2)+'LINEST VARS'!$N$62*($Z95^2)+'LINEST VARS'!$M$62*(4^2)+'LINEST VARS'!$L$62*(0.5^2)+'LINEST VARS'!$K$62*(12.73^2)+'LINEST VARS'!$J$62*($AG$80*$Z95)+'LINEST VARS'!$I$62*($AG$80*4)+'LINEST VARS'!$H$62*($AG$80*0.5)+'LINEST VARS'!$G$62*($AG$80*12.73)+'LINEST VARS'!$F$62*($Z95*4)+'LINEST VARS'!$E$62*($Z95*0.5)+'LINEST VARS'!$D$62*($Z95*12.73)+'LINEST VARS'!$C$62*(4*0.5)+'LINEST VARS'!$B$62*(4*12.73)+'LINEST VARS'!$A$62*(0.5*12.73)</f>
        <v>269.49999999999994</v>
      </c>
      <c r="AH95" s="55">
        <f>'LINEST VARS'!$U$62+'LINEST VARS'!$T$62*($AH$80)+'LINEST VARS'!$S$62*($Z95)+'LINEST VARS'!$R$62*(4)+'LINEST VARS'!$Q$62*(0.5)+'LINEST VARS'!$P$62*(12.73)+'LINEST VARS'!$O$62*($AH$80^2)+'LINEST VARS'!$N$62*($Z95^2)+'LINEST VARS'!$M$62*(4^2)+'LINEST VARS'!$L$62*(0.5^2)+'LINEST VARS'!$K$62*(12.73^2)+'LINEST VARS'!$J$62*($AH$80*$Z95)+'LINEST VARS'!$I$62*($AH$80*4)+'LINEST VARS'!$H$62*($AH$80*0.5)+'LINEST VARS'!$G$62*($AH$80*12.73)+'LINEST VARS'!$F$62*($Z95*4)+'LINEST VARS'!$E$62*($Z95*0.5)+'LINEST VARS'!$D$62*($Z95*12.73)+'LINEST VARS'!$C$62*(4*0.5)+'LINEST VARS'!$B$62*(4*12.73)+'LINEST VARS'!$A$62*(0.5*12.73)</f>
        <v>269.49999999999994</v>
      </c>
      <c r="AI95" s="55">
        <f>'LINEST VARS'!$U$62+'LINEST VARS'!$T$62*($AI$80)+'LINEST VARS'!$S$62*($Z95)+'LINEST VARS'!$R$62*(4)+'LINEST VARS'!$Q$62*(0.5)+'LINEST VARS'!$P$62*(12.73)+'LINEST VARS'!$O$62*($AI$80^2)+'LINEST VARS'!$N$62*($Z95^2)+'LINEST VARS'!$M$62*(4^2)+'LINEST VARS'!$L$62*(0.5^2)+'LINEST VARS'!$K$62*(12.73^2)+'LINEST VARS'!$J$62*($AI$80*$Z95)+'LINEST VARS'!$I$62*($AI$80*4)+'LINEST VARS'!$H$62*($AI$80*0.5)+'LINEST VARS'!$G$62*($AI$80*12.73)+'LINEST VARS'!$F$62*($Z95*4)+'LINEST VARS'!$E$62*($Z95*0.5)+'LINEST VARS'!$D$62*($Z95*12.73)+'LINEST VARS'!$C$62*(4*0.5)+'LINEST VARS'!$B$62*(4*12.73)+'LINEST VARS'!$A$62*(0.5*12.73)</f>
        <v>269.49999999999994</v>
      </c>
      <c r="AJ95" s="55">
        <f>'LINEST VARS'!$U$62+'LINEST VARS'!$T$62*($AJ$80)+'LINEST VARS'!$S$62*($Z95)+'LINEST VARS'!$R$62*(4)+'LINEST VARS'!$Q$62*(0.5)+'LINEST VARS'!$P$62*(12.73)+'LINEST VARS'!$O$62*($AJ$80^2)+'LINEST VARS'!$N$62*($Z95^2)+'LINEST VARS'!$M$62*(4^2)+'LINEST VARS'!$L$62*(0.5^2)+'LINEST VARS'!$K$62*(12.73^2)+'LINEST VARS'!$J$62*($AJ$80*$Z95)+'LINEST VARS'!$I$62*($AJ$80*4)+'LINEST VARS'!$H$62*($AJ$80*0.5)+'LINEST VARS'!$G$62*($AJ$80*12.73)+'LINEST VARS'!$F$62*($Z95*4)+'LINEST VARS'!$E$62*($Z95*0.5)+'LINEST VARS'!$D$62*($Z95*12.73)+'LINEST VARS'!$C$62*(4*0.5)+'LINEST VARS'!$B$62*(4*12.73)+'LINEST VARS'!$A$62*(0.5*12.73)</f>
        <v>269.49999999999994</v>
      </c>
      <c r="AK95" s="55">
        <f>'LINEST VARS'!$U$62+'LINEST VARS'!$T$62*($AK$80)+'LINEST VARS'!$S$62*($Z95)+'LINEST VARS'!$R$62*(4)+'LINEST VARS'!$Q$62*(0.5)+'LINEST VARS'!$P$62*(12.73)+'LINEST VARS'!$O$62*($AK$80^2)+'LINEST VARS'!$N$62*($Z95^2)+'LINEST VARS'!$M$62*(4^2)+'LINEST VARS'!$L$62*(0.5^2)+'LINEST VARS'!$K$62*(12.73^2)+'LINEST VARS'!$J$62*($AK$80*$Z95)+'LINEST VARS'!$I$62*($AK$80*4)+'LINEST VARS'!$H$62*($AK$80*0.5)+'LINEST VARS'!$G$62*($AK$80*12.73)+'LINEST VARS'!$F$62*($Z95*4)+'LINEST VARS'!$E$62*($Z95*0.5)+'LINEST VARS'!$D$62*($Z95*12.73)+'LINEST VARS'!$C$62*(4*0.5)+'LINEST VARS'!$B$62*(4*12.73)+'LINEST VARS'!$A$62*(0.5*12.73)</f>
        <v>269.49999999999994</v>
      </c>
      <c r="AL95" s="55">
        <f>'LINEST VARS'!$U$62+'LINEST VARS'!$T$62*($AL$80)+'LINEST VARS'!$S$62*($Z95)+'LINEST VARS'!$R$62*(4)+'LINEST VARS'!$Q$62*(0.5)+'LINEST VARS'!$P$62*(12.73)+'LINEST VARS'!$O$62*($AL$80^2)+'LINEST VARS'!$N$62*($Z95^2)+'LINEST VARS'!$M$62*(4^2)+'LINEST VARS'!$L$62*(0.5^2)+'LINEST VARS'!$K$62*(12.73^2)+'LINEST VARS'!$J$62*($AL$80*$Z95)+'LINEST VARS'!$I$62*($AL$80*4)+'LINEST VARS'!$H$62*($AL$80*0.5)+'LINEST VARS'!$G$62*($AL$80*12.73)+'LINEST VARS'!$F$62*($Z95*4)+'LINEST VARS'!$E$62*($Z95*0.5)+'LINEST VARS'!$D$62*($Z95*12.73)+'LINEST VARS'!$C$62*(4*0.5)+'LINEST VARS'!$B$62*(4*12.73)+'LINEST VARS'!$A$62*(0.5*12.73)</f>
        <v>269.49999999999989</v>
      </c>
      <c r="AM95" s="55">
        <f>'LINEST VARS'!$U$62+'LINEST VARS'!$T$62*($AM$80)+'LINEST VARS'!$S$62*($Z95)+'LINEST VARS'!$R$62*(4)+'LINEST VARS'!$Q$62*(0.5)+'LINEST VARS'!$P$62*(12.73)+'LINEST VARS'!$O$62*($AM$80^2)+'LINEST VARS'!$N$62*($Z95^2)+'LINEST VARS'!$M$62*(4^2)+'LINEST VARS'!$L$62*(0.5^2)+'LINEST VARS'!$K$62*(12.73^2)+'LINEST VARS'!$J$62*($AM$80*$Z95)+'LINEST VARS'!$I$62*($AM$80*4)+'LINEST VARS'!$H$62*($AM$80*0.5)+'LINEST VARS'!$G$62*($AM$80*12.73)+'LINEST VARS'!$F$62*($Z95*4)+'LINEST VARS'!$E$62*($Z95*0.5)+'LINEST VARS'!$D$62*($Z95*12.73)+'LINEST VARS'!$C$62*(4*0.5)+'LINEST VARS'!$B$62*(4*12.73)+'LINEST VARS'!$A$62*(0.5*12.73)</f>
        <v>269.49999999999994</v>
      </c>
      <c r="AN95" s="55">
        <f>'LINEST VARS'!$U$62+'LINEST VARS'!$T$62*($AN$80)+'LINEST VARS'!$S$62*($Z95)+'LINEST VARS'!$R$62*(4)+'LINEST VARS'!$Q$62*(0.5)+'LINEST VARS'!$P$62*(12.73)+'LINEST VARS'!$O$62*($AN$80^2)+'LINEST VARS'!$N$62*($Z95^2)+'LINEST VARS'!$M$62*(4^2)+'LINEST VARS'!$L$62*(0.5^2)+'LINEST VARS'!$K$62*(12.73^2)+'LINEST VARS'!$J$62*($AN$80*$Z95)+'LINEST VARS'!$I$62*($AN$80*4)+'LINEST VARS'!$H$62*($AN$80*0.5)+'LINEST VARS'!$G$62*($AN$80*12.73)+'LINEST VARS'!$F$62*($Z95*4)+'LINEST VARS'!$E$62*($Z95*0.5)+'LINEST VARS'!$D$62*($Z95*12.73)+'LINEST VARS'!$C$62*(4*0.5)+'LINEST VARS'!$B$62*(4*12.73)+'LINEST VARS'!$A$62*(0.5*12.73)</f>
        <v>269.49999999999994</v>
      </c>
      <c r="AO95" s="55">
        <f>'LINEST VARS'!$U$62+'LINEST VARS'!$T$62*($AO$80)+'LINEST VARS'!$S$62*($Z95)+'LINEST VARS'!$R$62*(4)+'LINEST VARS'!$Q$62*(0.5)+'LINEST VARS'!$P$62*(12.73)+'LINEST VARS'!$O$62*($AO$80^2)+'LINEST VARS'!$N$62*($Z95^2)+'LINEST VARS'!$M$62*(4^2)+'LINEST VARS'!$L$62*(0.5^2)+'LINEST VARS'!$K$62*(12.73^2)+'LINEST VARS'!$J$62*($AO$80*$Z95)+'LINEST VARS'!$I$62*($AO$80*4)+'LINEST VARS'!$H$62*($AO$80*0.5)+'LINEST VARS'!$G$62*($AO$80*12.73)+'LINEST VARS'!$F$62*($Z95*4)+'LINEST VARS'!$E$62*($Z95*0.5)+'LINEST VARS'!$D$62*($Z95*12.73)+'LINEST VARS'!$C$62*(4*0.5)+'LINEST VARS'!$B$62*(4*12.73)+'LINEST VARS'!$A$62*(0.5*12.73)</f>
        <v>269.49999999999994</v>
      </c>
      <c r="AP95" s="55">
        <f>'LINEST VARS'!$U$62+'LINEST VARS'!$T$62*($AP$80)+'LINEST VARS'!$S$62*($Z95)+'LINEST VARS'!$R$62*(4)+'LINEST VARS'!$Q$62*(0.5)+'LINEST VARS'!$P$62*(12.73)+'LINEST VARS'!$O$62*($AP$80^2)+'LINEST VARS'!$N$62*($Z95^2)+'LINEST VARS'!$M$62*(4^2)+'LINEST VARS'!$L$62*(0.5^2)+'LINEST VARS'!$K$62*(12.73^2)+'LINEST VARS'!$J$62*($AP$80*$Z95)+'LINEST VARS'!$I$62*($AP$80*4)+'LINEST VARS'!$H$62*($AP$80*0.5)+'LINEST VARS'!$G$62*($AP$80*12.73)+'LINEST VARS'!$F$62*($Z95*4)+'LINEST VARS'!$E$62*($Z95*0.5)+'LINEST VARS'!$D$62*($Z95*12.73)+'LINEST VARS'!$C$62*(4*0.5)+'LINEST VARS'!$B$62*(4*12.73)+'LINEST VARS'!$A$62*(0.5*12.73)</f>
        <v>269.49999999999994</v>
      </c>
      <c r="AQ95" s="55">
        <f>'LINEST VARS'!$U$62+'LINEST VARS'!$T$62*($AQ$80)+'LINEST VARS'!$S$62*($Z95)+'LINEST VARS'!$R$62*(4)+'LINEST VARS'!$Q$62*(0.5)+'LINEST VARS'!$P$62*(12.73)+'LINEST VARS'!$O$62*($AQ$80^2)+'LINEST VARS'!$N$62*($Z95^2)+'LINEST VARS'!$M$62*(4^2)+'LINEST VARS'!$L$62*(0.5^2)+'LINEST VARS'!$K$62*(12.73^2)+'LINEST VARS'!$J$62*($AQ$80*$Z95)+'LINEST VARS'!$I$62*($AQ$80*4)+'LINEST VARS'!$H$62*($AQ$80*0.5)+'LINEST VARS'!$G$62*($AQ$80*12.73)+'LINEST VARS'!$F$62*($Z95*4)+'LINEST VARS'!$E$62*($Z95*0.5)+'LINEST VARS'!$D$62*($Z95*12.73)+'LINEST VARS'!$C$62*(4*0.5)+'LINEST VARS'!$B$62*(4*12.73)+'LINEST VARS'!$A$62*(0.5*12.73)</f>
        <v>269.49999999999989</v>
      </c>
      <c r="AR95" s="55">
        <f>'LINEST VARS'!$U$62+'LINEST VARS'!$T$62*($AR$80)+'LINEST VARS'!$S$62*($Z95)+'LINEST VARS'!$R$62*(4)+'LINEST VARS'!$Q$62*(0.5)+'LINEST VARS'!$P$62*(12.73)+'LINEST VARS'!$O$62*($AR$80^2)+'LINEST VARS'!$N$62*($Z95^2)+'LINEST VARS'!$M$62*(4^2)+'LINEST VARS'!$L$62*(0.5^2)+'LINEST VARS'!$K$62*(12.73^2)+'LINEST VARS'!$J$62*($AR$80*$Z95)+'LINEST VARS'!$I$62*($AR$80*4)+'LINEST VARS'!$H$62*($AR$80*0.5)+'LINEST VARS'!$G$62*($AR$80*12.73)+'LINEST VARS'!$F$62*($Z95*4)+'LINEST VARS'!$E$62*($Z95*0.5)+'LINEST VARS'!$D$62*($Z95*12.73)+'LINEST VARS'!$C$62*(4*0.5)+'LINEST VARS'!$B$62*(4*12.73)+'LINEST VARS'!$A$62*(0.5*12.73)</f>
        <v>269.5</v>
      </c>
      <c r="AS95" s="55">
        <f>'LINEST VARS'!$U$62+'LINEST VARS'!$T$62*($AS$80)+'LINEST VARS'!$S$62*($Z95)+'LINEST VARS'!$R$62*(4)+'LINEST VARS'!$Q$62*(0.5)+'LINEST VARS'!$P$62*(12.73)+'LINEST VARS'!$O$62*($AS$80^2)+'LINEST VARS'!$N$62*($Z95^2)+'LINEST VARS'!$M$62*(4^2)+'LINEST VARS'!$L$62*(0.5^2)+'LINEST VARS'!$K$62*(12.73^2)+'LINEST VARS'!$J$62*($AS$80*$Z95)+'LINEST VARS'!$I$62*($AS$80*4)+'LINEST VARS'!$H$62*($AS$80*0.5)+'LINEST VARS'!$G$62*($AS$80*12.73)+'LINEST VARS'!$F$62*($Z95*4)+'LINEST VARS'!$E$62*($Z95*0.5)+'LINEST VARS'!$D$62*($Z95*12.73)+'LINEST VARS'!$C$62*(4*0.5)+'LINEST VARS'!$B$62*(4*12.73)+'LINEST VARS'!$A$62*(0.5*12.73)</f>
        <v>269.49999999999994</v>
      </c>
      <c r="AT95" s="55">
        <f>'LINEST VARS'!$U$62+'LINEST VARS'!$T$62*($AT$80)+'LINEST VARS'!$S$62*($Z95)+'LINEST VARS'!$R$62*(4)+'LINEST VARS'!$Q$62*(0.5)+'LINEST VARS'!$P$62*(12.73)+'LINEST VARS'!$O$62*($AT$80^2)+'LINEST VARS'!$N$62*($Z95^2)+'LINEST VARS'!$M$62*(4^2)+'LINEST VARS'!$L$62*(0.5^2)+'LINEST VARS'!$K$62*(12.73^2)+'LINEST VARS'!$J$62*($AT$80*$Z95)+'LINEST VARS'!$I$62*($AT$80*4)+'LINEST VARS'!$H$62*($AT$80*0.5)+'LINEST VARS'!$G$62*($AT$80*12.73)+'LINEST VARS'!$F$62*($Z95*4)+'LINEST VARS'!$E$62*($Z95*0.5)+'LINEST VARS'!$D$62*($Z95*12.73)+'LINEST VARS'!$C$62*(4*0.5)+'LINEST VARS'!$B$62*(4*12.73)+'LINEST VARS'!$A$62*(0.5*12.73)</f>
        <v>269.49999999999994</v>
      </c>
      <c r="AU95" s="56">
        <f>'LINEST VARS'!$U$62+'LINEST VARS'!$T$62*($AU$80)+'LINEST VARS'!$S$62*($Z95)+'LINEST VARS'!$R$62*(4)+'LINEST VARS'!$Q$62*(0.5)+'LINEST VARS'!$P$62*(12.73)+'LINEST VARS'!$O$62*($AU$80^2)+'LINEST VARS'!$N$62*($Z95^2)+'LINEST VARS'!$M$62*(4^2)+'LINEST VARS'!$L$62*(0.5^2)+'LINEST VARS'!$K$62*(12.73^2)+'LINEST VARS'!$J$62*($AU$80*$Z95)+'LINEST VARS'!$I$62*($AU$80*4)+'LINEST VARS'!$H$62*($AU$80*0.5)+'LINEST VARS'!$G$62*($AU$80*12.73)+'LINEST VARS'!$F$62*($Z95*4)+'LINEST VARS'!$E$62*($Z95*0.5)+'LINEST VARS'!$D$62*($Z95*12.73)+'LINEST VARS'!$C$62*(4*0.5)+'LINEST VARS'!$B$62*(4*12.73)+'LINEST VARS'!$A$62*(0.5*12.73)</f>
        <v>269.5</v>
      </c>
      <c r="AZ95" s="45">
        <v>0.7</v>
      </c>
      <c r="BA95" s="46">
        <f>'LINEST VARS'!$U$60+'LINEST VARS'!$T$60*(8)+'LINEST VARS'!$S$60*(8)+'LINEST VARS'!$R$60*($BA$80)+'LINEST VARS'!$Q$60*($AZ95)+'LINEST VARS'!$P$60*(12.73)+'LINEST VARS'!$O$60*(8^2)+'LINEST VARS'!$N$60*(8^2)+'LINEST VARS'!$M$60*($BA$80^2)+'LINEST VARS'!$L$60*($AZ95^2)+'LINEST VARS'!$K$60*(12.73^2)+'LINEST VARS'!$J$60*(8*8)+'LINEST VARS'!$I$60*(8*$BA$80)+'LINEST VARS'!$H$60*(8*$AZ95)+'LINEST VARS'!$G$60*(8*12.73)+'LINEST VARS'!$F$60*(8*$BA$80)+'LINEST VARS'!$E$60*(8*$AZ95)+'LINEST VARS'!$D$60*(8*12.73)+'LINEST VARS'!$C$60*($BA$80*$AZ95)+'LINEST VARS'!$B$60*($BA$80*12.73)+'LINEST VARS'!$A$60*($AZ95*12.73)</f>
        <v>40.460000000000008</v>
      </c>
      <c r="BB95" s="46">
        <f>'LINEST VARS'!$U$60+'LINEST VARS'!$T$60*(8)+'LINEST VARS'!$S$60*(8)+'LINEST VARS'!$R$60*($BB$80)+'LINEST VARS'!$Q$60*($AZ95)+'LINEST VARS'!$P$60*(12.73)+'LINEST VARS'!$O$60*(8^2)+'LINEST VARS'!$N$60*(8^2)+'LINEST VARS'!$M$60*($BB$80^2)+'LINEST VARS'!$L$60*($AZ95^2)+'LINEST VARS'!$K$60*(12.73^2)+'LINEST VARS'!$J$60*(8*8)+'LINEST VARS'!$I$60*(8*$BB$80)+'LINEST VARS'!$H$60*(8*$AZ95)+'LINEST VARS'!$G$60*(8*12.73)+'LINEST VARS'!$F$60*(8*$BB$80)+'LINEST VARS'!$E$60*(8*$AZ95)+'LINEST VARS'!$D$60*(8*12.73)+'LINEST VARS'!$C$60*($BB$80*$AZ95)+'LINEST VARS'!$B$60*($BB$80*12.73)+'LINEST VARS'!$A$60*($AZ95*12.73)</f>
        <v>40.460000000000008</v>
      </c>
      <c r="BC95" s="46">
        <f>'LINEST VARS'!$U$60+'LINEST VARS'!$T$60*(8)+'LINEST VARS'!$S$60*(8)+'LINEST VARS'!$R$60*($BC$80)+'LINEST VARS'!$Q$60*($AZ95)+'LINEST VARS'!$P$60*(12.73)+'LINEST VARS'!$O$60*(8^2)+'LINEST VARS'!$N$60*(8^2)+'LINEST VARS'!$M$60*($BC$80^2)+'LINEST VARS'!$L$60*($AZ95^2)+'LINEST VARS'!$K$60*(12.73^2)+'LINEST VARS'!$J$60*(8*8)+'LINEST VARS'!$I$60*(8*$BC$80)+'LINEST VARS'!$H$60*(8*$AZ95)+'LINEST VARS'!$G$60*(8*12.73)+'LINEST VARS'!$F$60*(8*$BC$80)+'LINEST VARS'!$E$60*(8*$AZ95)+'LINEST VARS'!$D$60*(8*12.73)+'LINEST VARS'!$C$60*($BC$80*$AZ95)+'LINEST VARS'!$B$60*($BC$80*12.73)+'LINEST VARS'!$A$60*($AZ95*12.73)</f>
        <v>40.460000000000008</v>
      </c>
      <c r="BD95" s="46">
        <f>'LINEST VARS'!$U$60+'LINEST VARS'!$T$60*(8)+'LINEST VARS'!$S$60*(8)+'LINEST VARS'!$R$60*($BD$80)+'LINEST VARS'!$Q$60*($AZ95)+'LINEST VARS'!$P$60*(12.73)+'LINEST VARS'!$O$60*(8^2)+'LINEST VARS'!$N$60*(8^2)+'LINEST VARS'!$M$60*($BD$80^2)+'LINEST VARS'!$L$60*($AZ95^2)+'LINEST VARS'!$K$60*(12.73^2)+'LINEST VARS'!$J$60*(8*8)+'LINEST VARS'!$I$60*(8*$BD$80)+'LINEST VARS'!$H$60*(8*$AZ95)+'LINEST VARS'!$G$60*(8*12.73)+'LINEST VARS'!$F$60*(8*$BD$80)+'LINEST VARS'!$E$60*(8*$AZ95)+'LINEST VARS'!$D$60*(8*12.73)+'LINEST VARS'!$C$60*($BD$80*$AZ95)+'LINEST VARS'!$B$60*($BD$80*12.73)+'LINEST VARS'!$A$60*($AZ95*12.73)</f>
        <v>40.460000000000015</v>
      </c>
      <c r="BE95" s="46">
        <f>'LINEST VARS'!$U$60+'LINEST VARS'!$T$60*(8)+'LINEST VARS'!$S$60*(8)+'LINEST VARS'!$R$60*($BE$80)+'LINEST VARS'!$Q$60*($AZ95)+'LINEST VARS'!$P$60*(12.73)+'LINEST VARS'!$O$60*(8^2)+'LINEST VARS'!$N$60*(8^2)+'LINEST VARS'!$M$60*($BE$80^2)+'LINEST VARS'!$L$60*($AZ95^2)+'LINEST VARS'!$K$60*(12.73^2)+'LINEST VARS'!$J$60*(8*8)+'LINEST VARS'!$I$60*(8*$BE$80)+'LINEST VARS'!$H$60*(8*$AZ95)+'LINEST VARS'!$G$60*(8*12.73)+'LINEST VARS'!$F$60*(8*$BE$80)+'LINEST VARS'!$E$60*(8*$AZ95)+'LINEST VARS'!$D$60*(8*12.73)+'LINEST VARS'!$C$60*($BE$80*$AZ95)+'LINEST VARS'!$B$60*($BE$80*12.73)+'LINEST VARS'!$A$60*($AZ95*12.73)</f>
        <v>40.460000000000008</v>
      </c>
      <c r="BF95" s="46">
        <f>'LINEST VARS'!$U$60+'LINEST VARS'!$T$60*(8)+'LINEST VARS'!$S$60*(8)+'LINEST VARS'!$R$60*($BF$80)+'LINEST VARS'!$Q$60*($AZ95)+'LINEST VARS'!$P$60*(12.73)+'LINEST VARS'!$O$60*(8^2)+'LINEST VARS'!$N$60*(8^2)+'LINEST VARS'!$M$60*($BF$80^2)+'LINEST VARS'!$L$60*($AZ95^2)+'LINEST VARS'!$K$60*(12.73^2)+'LINEST VARS'!$J$60*(8*8)+'LINEST VARS'!$I$60*(8*$BF$80)+'LINEST VARS'!$H$60*(8*$AZ95)+'LINEST VARS'!$G$60*(8*12.73)+'LINEST VARS'!$F$60*(8*$BF$80)+'LINEST VARS'!$E$60*(8*$AZ95)+'LINEST VARS'!$D$60*(8*12.73)+'LINEST VARS'!$C$60*($BF$80*$AZ95)+'LINEST VARS'!$B$60*($BF$80*12.73)+'LINEST VARS'!$A$60*($AZ95*12.73)</f>
        <v>40.46</v>
      </c>
      <c r="BG95" s="46">
        <f>'LINEST VARS'!$U$60+'LINEST VARS'!$T$60*(8)+'LINEST VARS'!$S$60*(8)+'LINEST VARS'!$R$60*($BG$80)+'LINEST VARS'!$Q$60*($AZ95)+'LINEST VARS'!$P$60*(12.73)+'LINEST VARS'!$O$60*(8^2)+'LINEST VARS'!$N$60*(8^2)+'LINEST VARS'!$M$60*($BG$80^2)+'LINEST VARS'!$L$60*($AZ95^2)+'LINEST VARS'!$K$60*(12.73^2)+'LINEST VARS'!$J$60*(8*8)+'LINEST VARS'!$I$60*(8*$BG$80)+'LINEST VARS'!$H$60*(8*$AZ95)+'LINEST VARS'!$G$60*(8*12.73)+'LINEST VARS'!$F$60*(8*$BG$80)+'LINEST VARS'!$E$60*(8*$AZ95)+'LINEST VARS'!$D$60*(8*12.73)+'LINEST VARS'!$C$60*($BG$80*$AZ95)+'LINEST VARS'!$B$60*($BG$80*12.73)+'LINEST VARS'!$A$60*($AZ95*12.73)</f>
        <v>40.46</v>
      </c>
      <c r="BH95" s="46">
        <f>'LINEST VARS'!$U$60+'LINEST VARS'!$T$60*(8)+'LINEST VARS'!$S$60*(8)+'LINEST VARS'!$R$60*($BH$80)+'LINEST VARS'!$Q$60*($AZ95)+'LINEST VARS'!$P$60*(12.73)+'LINEST VARS'!$O$60*(8^2)+'LINEST VARS'!$N$60*(8^2)+'LINEST VARS'!$M$60*($BH$80^2)+'LINEST VARS'!$L$60*($AZ95^2)+'LINEST VARS'!$K$60*(12.73^2)+'LINEST VARS'!$J$60*(8*8)+'LINEST VARS'!$I$60*(8*$BH$80)+'LINEST VARS'!$H$60*(8*$AZ95)+'LINEST VARS'!$G$60*(8*12.73)+'LINEST VARS'!$F$60*(8*$BH$80)+'LINEST VARS'!$E$60*(8*$AZ95)+'LINEST VARS'!$D$60*(8*12.73)+'LINEST VARS'!$C$60*($BH$80*$AZ95)+'LINEST VARS'!$B$60*($BH$80*12.73)+'LINEST VARS'!$A$60*($AZ95*12.73)</f>
        <v>40.460000000000008</v>
      </c>
      <c r="BI95" s="46">
        <f>'LINEST VARS'!$U$60+'LINEST VARS'!$T$60*(8)+'LINEST VARS'!$S$60*(8)+'LINEST VARS'!$R$60*($BI$80)+'LINEST VARS'!$Q$60*($AZ95)+'LINEST VARS'!$P$60*(12.73)+'LINEST VARS'!$O$60*(8^2)+'LINEST VARS'!$N$60*(8^2)+'LINEST VARS'!$M$60*($BI$80^2)+'LINEST VARS'!$L$60*($AZ95^2)+'LINEST VARS'!$K$60*(12.73^2)+'LINEST VARS'!$J$60*(8*8)+'LINEST VARS'!$I$60*(8*$BI$80)+'LINEST VARS'!$H$60*(8*$AZ95)+'LINEST VARS'!$G$60*(8*12.73)+'LINEST VARS'!$F$60*(8*$BI$80)+'LINEST VARS'!$E$60*(8*$AZ95)+'LINEST VARS'!$D$60*(8*12.73)+'LINEST VARS'!$C$60*($BI$80*$AZ95)+'LINEST VARS'!$B$60*($BI$80*12.73)+'LINEST VARS'!$A$60*($AZ95*12.73)</f>
        <v>40.460000000000008</v>
      </c>
      <c r="BJ95" s="46">
        <f>'LINEST VARS'!$U$60+'LINEST VARS'!$T$60*(8)+'LINEST VARS'!$S$60*(8)+'LINEST VARS'!$R$60*($BJ$80)+'LINEST VARS'!$Q$60*($AZ95)+'LINEST VARS'!$P$60*(12.73)+'LINEST VARS'!$O$60*(8^2)+'LINEST VARS'!$N$60*(8^2)+'LINEST VARS'!$M$60*($BJ$80^2)+'LINEST VARS'!$L$60*($AZ95^2)+'LINEST VARS'!$K$60*(12.73^2)+'LINEST VARS'!$J$60*(8*8)+'LINEST VARS'!$I$60*(8*$BJ$80)+'LINEST VARS'!$H$60*(8*$AZ95)+'LINEST VARS'!$G$60*(8*12.73)+'LINEST VARS'!$F$60*(8*$BJ$80)+'LINEST VARS'!$E$60*(8*$AZ95)+'LINEST VARS'!$D$60*(8*12.73)+'LINEST VARS'!$C$60*($BJ$80*$AZ95)+'LINEST VARS'!$B$60*($BJ$80*12.73)+'LINEST VARS'!$A$60*($AZ95*12.73)</f>
        <v>40.460000000000008</v>
      </c>
      <c r="BK95" s="46">
        <f>'LINEST VARS'!$U$60+'LINEST VARS'!$T$60*(8)+'LINEST VARS'!$S$60*(8)+'LINEST VARS'!$R$60*($BK$80)+'LINEST VARS'!$Q$60*($AZ95)+'LINEST VARS'!$P$60*(12.73)+'LINEST VARS'!$O$60*(8^2)+'LINEST VARS'!$N$60*(8^2)+'LINEST VARS'!$M$60*($BK$80^2)+'LINEST VARS'!$L$60*($AZ95^2)+'LINEST VARS'!$K$60*(12.73^2)+'LINEST VARS'!$J$60*(8*8)+'LINEST VARS'!$I$60*(8*$BK$80)+'LINEST VARS'!$H$60*(8*$AZ95)+'LINEST VARS'!$G$60*(8*12.73)+'LINEST VARS'!$F$60*(8*$BK$80)+'LINEST VARS'!$E$60*(8*$AZ95)+'LINEST VARS'!$D$60*(8*12.73)+'LINEST VARS'!$C$60*($BK$80*$AZ95)+'LINEST VARS'!$B$60*($BK$80*12.73)+'LINEST VARS'!$A$60*($AZ95*12.73)</f>
        <v>40.460000000000015</v>
      </c>
      <c r="BL95" s="46">
        <f>'LINEST VARS'!$U$60+'LINEST VARS'!$T$60*(8)+'LINEST VARS'!$S$60*(8)+'LINEST VARS'!$R$60*($BL$80)+'LINEST VARS'!$Q$60*($AZ95)+'LINEST VARS'!$P$60*(12.73)+'LINEST VARS'!$O$60*(8^2)+'LINEST VARS'!$N$60*(8^2)+'LINEST VARS'!$M$60*($BL$80^2)+'LINEST VARS'!$L$60*($AZ95^2)+'LINEST VARS'!$K$60*(12.73^2)+'LINEST VARS'!$J$60*(8*8)+'LINEST VARS'!$I$60*(8*$BL$80)+'LINEST VARS'!$H$60*(8*$AZ95)+'LINEST VARS'!$G$60*(8*12.73)+'LINEST VARS'!$F$60*(8*$BL$80)+'LINEST VARS'!$E$60*(8*$AZ95)+'LINEST VARS'!$D$60*(8*12.73)+'LINEST VARS'!$C$60*($BL$80*$AZ95)+'LINEST VARS'!$B$60*($BL$80*12.73)+'LINEST VARS'!$A$60*($AZ95*12.73)</f>
        <v>40.460000000000008</v>
      </c>
      <c r="BM95" s="46">
        <f>'LINEST VARS'!$U$60+'LINEST VARS'!$T$60*(8)+'LINEST VARS'!$S$60*(8)+'LINEST VARS'!$R$60*($BM$80)+'LINEST VARS'!$Q$60*($AZ95)+'LINEST VARS'!$P$60*(12.73)+'LINEST VARS'!$O$60*(8^2)+'LINEST VARS'!$N$60*(8^2)+'LINEST VARS'!$M$60*($BM$80^2)+'LINEST VARS'!$L$60*($AZ95^2)+'LINEST VARS'!$K$60*(12.73^2)+'LINEST VARS'!$J$60*(8*8)+'LINEST VARS'!$I$60*(8*$BM$80)+'LINEST VARS'!$H$60*(8*$AZ95)+'LINEST VARS'!$G$60*(8*12.73)+'LINEST VARS'!$F$60*(8*$BM$80)+'LINEST VARS'!$E$60*(8*$AZ95)+'LINEST VARS'!$D$60*(8*12.73)+'LINEST VARS'!$C$60*($BM$80*$AZ95)+'LINEST VARS'!$B$60*($BM$80*12.73)+'LINEST VARS'!$A$60*($AZ95*12.73)</f>
        <v>40.460000000000008</v>
      </c>
      <c r="BN95" s="46">
        <f>'LINEST VARS'!$U$60+'LINEST VARS'!$T$60*(8)+'LINEST VARS'!$S$60*(8)+'LINEST VARS'!$R$60*($BN$80)+'LINEST VARS'!$Q$60*($AZ95)+'LINEST VARS'!$P$60*(12.73)+'LINEST VARS'!$O$60*(8^2)+'LINEST VARS'!$N$60*(8^2)+'LINEST VARS'!$M$60*($BN$80^2)+'LINEST VARS'!$L$60*($AZ95^2)+'LINEST VARS'!$K$60*(12.73^2)+'LINEST VARS'!$J$60*(8*8)+'LINEST VARS'!$I$60*(8*$BN$80)+'LINEST VARS'!$H$60*(8*$AZ95)+'LINEST VARS'!$G$60*(8*12.73)+'LINEST VARS'!$F$60*(8*$BN$80)+'LINEST VARS'!$E$60*(8*$AZ95)+'LINEST VARS'!$D$60*(8*12.73)+'LINEST VARS'!$C$60*($BN$80*$AZ95)+'LINEST VARS'!$B$60*($BN$80*12.73)+'LINEST VARS'!$A$60*($AZ95*12.73)</f>
        <v>40.46</v>
      </c>
      <c r="BO95" s="46">
        <f>'LINEST VARS'!$U$60+'LINEST VARS'!$T$60*(8)+'LINEST VARS'!$S$60*(8)+'LINEST VARS'!$R$60*($BO$80)+'LINEST VARS'!$Q$60*($AZ95)+'LINEST VARS'!$P$60*(12.73)+'LINEST VARS'!$O$60*(8^2)+'LINEST VARS'!$N$60*(8^2)+'LINEST VARS'!$M$60*($BO$80^2)+'LINEST VARS'!$L$60*($AZ95^2)+'LINEST VARS'!$K$60*(12.73^2)+'LINEST VARS'!$J$60*(8*8)+'LINEST VARS'!$I$60*(8*$BO$80)+'LINEST VARS'!$H$60*(8*$AZ95)+'LINEST VARS'!$G$60*(8*12.73)+'LINEST VARS'!$F$60*(8*$BO$80)+'LINEST VARS'!$E$60*(8*$AZ95)+'LINEST VARS'!$D$60*(8*12.73)+'LINEST VARS'!$C$60*($BO$80*$AZ95)+'LINEST VARS'!$B$60*($BO$80*12.73)+'LINEST VARS'!$A$60*($AZ95*12.73)</f>
        <v>40.460000000000008</v>
      </c>
      <c r="BP95" s="46">
        <f>'LINEST VARS'!$U$60+'LINEST VARS'!$T$60*(8)+'LINEST VARS'!$S$60*(8)+'LINEST VARS'!$R$60*($BP$80)+'LINEST VARS'!$Q$60*($AZ95)+'LINEST VARS'!$P$60*(12.73)+'LINEST VARS'!$O$60*(8^2)+'LINEST VARS'!$N$60*(8^2)+'LINEST VARS'!$M$60*($BP$80^2)+'LINEST VARS'!$L$60*($AZ95^2)+'LINEST VARS'!$K$60*(12.73^2)+'LINEST VARS'!$J$60*(8*8)+'LINEST VARS'!$I$60*(8*$BP$80)+'LINEST VARS'!$H$60*(8*$AZ95)+'LINEST VARS'!$G$60*(8*12.73)+'LINEST VARS'!$F$60*(8*$BP$80)+'LINEST VARS'!$E$60*(8*$AZ95)+'LINEST VARS'!$D$60*(8*12.73)+'LINEST VARS'!$C$60*($BP$80*$AZ95)+'LINEST VARS'!$B$60*($BP$80*12.73)+'LINEST VARS'!$A$60*($AZ95*12.73)</f>
        <v>40.460000000000008</v>
      </c>
      <c r="BQ95" s="46">
        <f>'LINEST VARS'!$U$60+'LINEST VARS'!$T$60*(8)+'LINEST VARS'!$S$60*(8)+'LINEST VARS'!$R$60*($BQ$80)+'LINEST VARS'!$Q$60*($AZ95)+'LINEST VARS'!$P$60*(12.73)+'LINEST VARS'!$O$60*(8^2)+'LINEST VARS'!$N$60*(8^2)+'LINEST VARS'!$M$60*($BQ$80^2)+'LINEST VARS'!$L$60*($AZ95^2)+'LINEST VARS'!$K$60*(12.73^2)+'LINEST VARS'!$J$60*(8*8)+'LINEST VARS'!$I$60*(8*$BQ$80)+'LINEST VARS'!$H$60*(8*$AZ95)+'LINEST VARS'!$G$60*(8*12.73)+'LINEST VARS'!$F$60*(8*$BQ$80)+'LINEST VARS'!$E$60*(8*$AZ95)+'LINEST VARS'!$D$60*(8*12.73)+'LINEST VARS'!$C$60*($BQ$80*$AZ95)+'LINEST VARS'!$B$60*($BQ$80*12.73)+'LINEST VARS'!$A$60*($AZ95*12.73)</f>
        <v>40.460000000000008</v>
      </c>
      <c r="BR95" s="46">
        <f>'LINEST VARS'!$U$60+'LINEST VARS'!$T$60*(8)+'LINEST VARS'!$S$60*(8)+'LINEST VARS'!$R$60*($BR$80)+'LINEST VARS'!$Q$60*($AZ95)+'LINEST VARS'!$P$60*(12.73)+'LINEST VARS'!$O$60*(8^2)+'LINEST VARS'!$N$60*(8^2)+'LINEST VARS'!$M$60*($BR$80^2)+'LINEST VARS'!$L$60*($AZ95^2)+'LINEST VARS'!$K$60*(12.73^2)+'LINEST VARS'!$J$60*(8*8)+'LINEST VARS'!$I$60*(8*$BR$80)+'LINEST VARS'!$H$60*(8*$AZ95)+'LINEST VARS'!$G$60*(8*12.73)+'LINEST VARS'!$F$60*(8*$BR$80)+'LINEST VARS'!$E$60*(8*$AZ95)+'LINEST VARS'!$D$60*(8*12.73)+'LINEST VARS'!$C$60*($BR$80*$AZ95)+'LINEST VARS'!$B$60*($BR$80*12.73)+'LINEST VARS'!$A$60*($AZ95*12.73)</f>
        <v>40.460000000000015</v>
      </c>
      <c r="BS95" s="46">
        <f>'LINEST VARS'!$U$60+'LINEST VARS'!$T$60*(8)+'LINEST VARS'!$S$60*(8)+'LINEST VARS'!$R$60*($BS$80)+'LINEST VARS'!$Q$60*($AZ95)+'LINEST VARS'!$P$60*(12.73)+'LINEST VARS'!$O$60*(8^2)+'LINEST VARS'!$N$60*(8^2)+'LINEST VARS'!$M$60*($BS$80^2)+'LINEST VARS'!$L$60*($AZ95^2)+'LINEST VARS'!$K$60*(12.73^2)+'LINEST VARS'!$J$60*(8*8)+'LINEST VARS'!$I$60*(8*$BS$80)+'LINEST VARS'!$H$60*(8*$AZ95)+'LINEST VARS'!$G$60*(8*12.73)+'LINEST VARS'!$F$60*(8*$BS$80)+'LINEST VARS'!$E$60*(8*$AZ95)+'LINEST VARS'!$D$60*(8*12.73)+'LINEST VARS'!$C$60*($BS$80*$AZ95)+'LINEST VARS'!$B$60*($BS$80*12.73)+'LINEST VARS'!$A$60*($AZ95*12.73)</f>
        <v>40.460000000000008</v>
      </c>
      <c r="BT95" s="46">
        <f>'LINEST VARS'!$U$60+'LINEST VARS'!$T$60*(8)+'LINEST VARS'!$S$60*(8)+'LINEST VARS'!$R$60*($BT$80)+'LINEST VARS'!$Q$60*($AZ95)+'LINEST VARS'!$P$60*(12.73)+'LINEST VARS'!$O$60*(8^2)+'LINEST VARS'!$N$60*(8^2)+'LINEST VARS'!$M$60*($BT$80^2)+'LINEST VARS'!$L$60*($AZ95^2)+'LINEST VARS'!$K$60*(12.73^2)+'LINEST VARS'!$J$60*(8*8)+'LINEST VARS'!$I$60*(8*$BT$80)+'LINEST VARS'!$H$60*(8*$AZ95)+'LINEST VARS'!$G$60*(8*12.73)+'LINEST VARS'!$F$60*(8*$BT$80)+'LINEST VARS'!$E$60*(8*$AZ95)+'LINEST VARS'!$D$60*(8*12.73)+'LINEST VARS'!$C$60*($BT$80*$AZ95)+'LINEST VARS'!$B$60*($BT$80*12.73)+'LINEST VARS'!$A$60*($AZ95*12.73)</f>
        <v>40.460000000000008</v>
      </c>
      <c r="BU95" s="47">
        <f>'LINEST VARS'!$U$60+'LINEST VARS'!$T$60*(8)+'LINEST VARS'!$S$60*(8)+'LINEST VARS'!$R$60*($BU$80)+'LINEST VARS'!$Q$60*($AZ95)+'LINEST VARS'!$P$60*(12.73)+'LINEST VARS'!$O$60*(8^2)+'LINEST VARS'!$N$60*(8^2)+'LINEST VARS'!$M$60*($BU$80^2)+'LINEST VARS'!$L$60*($AZ95^2)+'LINEST VARS'!$K$60*(12.73^2)+'LINEST VARS'!$J$60*(8*8)+'LINEST VARS'!$I$60*(8*$BU$80)+'LINEST VARS'!$H$60*(8*$AZ95)+'LINEST VARS'!$G$60*(8*12.73)+'LINEST VARS'!$F$60*(8*$BU$80)+'LINEST VARS'!$E$60*(8*$AZ95)+'LINEST VARS'!$D$60*(8*12.73)+'LINEST VARS'!$C$60*($BU$80*$AZ95)+'LINEST VARS'!$B$60*($BU$80*12.73)+'LINEST VARS'!$A$60*($AZ95*12.73)</f>
        <v>40.460000000000008</v>
      </c>
      <c r="BX95" s="45">
        <v>0.7</v>
      </c>
      <c r="BY95" s="55">
        <f>'LINEST VARS'!$U$62+'LINEST VARS'!$T$62*(8)+'LINEST VARS'!$S$62*(8)+'LINEST VARS'!$R$62*($BY$80)+'LINEST VARS'!$Q$62*($BX95)+'LINEST VARS'!$P$62*(12.73)+'LINEST VARS'!$O$62*(8^2)+'LINEST VARS'!$N$62*(8^2)+'LINEST VARS'!$M$62*($BY$80^2)+'LINEST VARS'!$L$62*($BX95^2)+'LINEST VARS'!$K$62*(12.73^2)+'LINEST VARS'!$J$62*(8*8)+'LINEST VARS'!$I$62*(8*$BY$80)+'LINEST VARS'!$H$62*(8*$BX95)+'LINEST VARS'!$G$62*(8*12.73)+'LINEST VARS'!$F$62*(8*$BY$80)+'LINEST VARS'!$E$62*(8*$BX95)+'LINEST VARS'!$D$62*(8*12.73)+'LINEST VARS'!$C$62*($BY$80*$BX95)+'LINEST VARS'!$B$62*($BY$80*12.73)+'LINEST VARS'!$A$62*($BX95*12.73)</f>
        <v>349.01999999999987</v>
      </c>
      <c r="BZ95" s="55">
        <f>'LINEST VARS'!$U$62+'LINEST VARS'!$T$62*(8)+'LINEST VARS'!$S$62*(8)+'LINEST VARS'!$R$62*($BZ$80)+'LINEST VARS'!$Q$62*($BX95)+'LINEST VARS'!$P$62*(12.73)+'LINEST VARS'!$O$62*(8^2)+'LINEST VARS'!$N$62*(8^2)+'LINEST VARS'!$M$62*($BZ$80^2)+'LINEST VARS'!$L$62*($BX95^2)+'LINEST VARS'!$K$62*(12.73^2)+'LINEST VARS'!$J$62*(8*8)+'LINEST VARS'!$I$62*(8*$BZ$80)+'LINEST VARS'!$H$62*(8*$BX95)+'LINEST VARS'!$G$62*(8*12.73)+'LINEST VARS'!$F$62*(8*$BZ$80)+'LINEST VARS'!$E$62*(8*$BX95)+'LINEST VARS'!$D$62*(8*12.73)+'LINEST VARS'!$C$62*($BZ$80*$BX95)+'LINEST VARS'!$B$62*($BZ$80*12.73)+'LINEST VARS'!$A$62*($BX95*12.73)</f>
        <v>348.21999999999991</v>
      </c>
      <c r="CA95" s="55">
        <f>'LINEST VARS'!$U$62+'LINEST VARS'!$T$62*(8)+'LINEST VARS'!$S$62*(8)+'LINEST VARS'!$R$62*($CA$80)+'LINEST VARS'!$Q$62*($BX95)+'LINEST VARS'!$P$62*(12.73)+'LINEST VARS'!$O$62*(8^2)+'LINEST VARS'!$N$62*(8^2)+'LINEST VARS'!$M$62*($CA$80^2)+'LINEST VARS'!$L$62*($BX95^2)+'LINEST VARS'!$K$62*(12.73^2)+'LINEST VARS'!$J$62*(8*8)+'LINEST VARS'!$I$62*(8*$CA$80)+'LINEST VARS'!$H$62*(8*$BX95)+'LINEST VARS'!$G$62*(8*12.73)+'LINEST VARS'!$F$62*(8*$CA$80)+'LINEST VARS'!$E$62*(8*$BX95)+'LINEST VARS'!$D$62*(8*12.73)+'LINEST VARS'!$C$62*($CA$80*$BX95)+'LINEST VARS'!$B$62*($CA$80*12.73)+'LINEST VARS'!$A$62*($BX95*12.73)</f>
        <v>345.81999999999982</v>
      </c>
      <c r="CB95" s="55">
        <f>'LINEST VARS'!$U$62+'LINEST VARS'!$T$62*(8)+'LINEST VARS'!$S$62*(8)+'LINEST VARS'!$R$62*($CB$80)+'LINEST VARS'!$Q$62*($BX95)+'LINEST VARS'!$P$62*(12.73)+'LINEST VARS'!$O$62*(8^2)+'LINEST VARS'!$N$62*(8^2)+'LINEST VARS'!$M$62*($CB$80^2)+'LINEST VARS'!$L$62*($BX95^2)+'LINEST VARS'!$K$62*(12.73^2)+'LINEST VARS'!$J$62*(8*8)+'LINEST VARS'!$I$62*(8*$CB$80)+'LINEST VARS'!$H$62*(8*$BX95)+'LINEST VARS'!$G$62*(8*12.73)+'LINEST VARS'!$F$62*(8*$CB$80)+'LINEST VARS'!$E$62*(8*$BX95)+'LINEST VARS'!$D$62*(8*12.73)+'LINEST VARS'!$C$62*($CB$80*$BX95)+'LINEST VARS'!$B$62*($CB$80*12.73)+'LINEST VARS'!$A$62*($BX95*12.73)</f>
        <v>341.81999999999988</v>
      </c>
      <c r="CC95" s="55">
        <f>'LINEST VARS'!$U$62+'LINEST VARS'!$T$62*(8)+'LINEST VARS'!$S$62*(8)+'LINEST VARS'!$R$62*($CC$80)+'LINEST VARS'!$Q$62*($BX95)+'LINEST VARS'!$P$62*(12.73)+'LINEST VARS'!$O$62*(8^2)+'LINEST VARS'!$N$62*(8^2)+'LINEST VARS'!$M$62*($CC$80^2)+'LINEST VARS'!$L$62*($BX95^2)+'LINEST VARS'!$K$62*(12.73^2)+'LINEST VARS'!$J$62*(8*8)+'LINEST VARS'!$I$62*(8*$CC$80)+'LINEST VARS'!$H$62*(8*$BX95)+'LINEST VARS'!$G$62*(8*12.73)+'LINEST VARS'!$F$62*(8*$CC$80)+'LINEST VARS'!$E$62*(8*$BX95)+'LINEST VARS'!$D$62*(8*12.73)+'LINEST VARS'!$C$62*($CC$80*$BX95)+'LINEST VARS'!$B$62*($CC$80*12.73)+'LINEST VARS'!$A$62*($BX95*12.73)</f>
        <v>336.21999999999991</v>
      </c>
      <c r="CD95" s="55">
        <f>'LINEST VARS'!$U$62+'LINEST VARS'!$T$62*(8)+'LINEST VARS'!$S$62*(8)+'LINEST VARS'!$R$62*($CD$80)+'LINEST VARS'!$Q$62*($BX95)+'LINEST VARS'!$P$62*(12.73)+'LINEST VARS'!$O$62*(8^2)+'LINEST VARS'!$N$62*(8^2)+'LINEST VARS'!$M$62*($CD$80^2)+'LINEST VARS'!$L$62*($BX95^2)+'LINEST VARS'!$K$62*(12.73^2)+'LINEST VARS'!$J$62*(8*8)+'LINEST VARS'!$I$62*(8*$CD$80)+'LINEST VARS'!$H$62*(8*$BX95)+'LINEST VARS'!$G$62*(8*12.73)+'LINEST VARS'!$F$62*(8*$CD$80)+'LINEST VARS'!$E$62*(8*$BX95)+'LINEST VARS'!$D$62*(8*12.73)+'LINEST VARS'!$C$62*($CD$80*$BX95)+'LINEST VARS'!$B$62*($CD$80*12.73)+'LINEST VARS'!$A$62*($BX95*12.73)</f>
        <v>329.02</v>
      </c>
      <c r="CE95" s="55">
        <f>'LINEST VARS'!$U$62+'LINEST VARS'!$T$62*(8)+'LINEST VARS'!$S$62*(8)+'LINEST VARS'!$R$62*($CE$80)+'LINEST VARS'!$Q$62*($BX95)+'LINEST VARS'!$P$62*(12.73)+'LINEST VARS'!$O$62*(8^2)+'LINEST VARS'!$N$62*(8^2)+'LINEST VARS'!$M$62*($CE$80^2)+'LINEST VARS'!$L$62*($BX95^2)+'LINEST VARS'!$K$62*(12.73^2)+'LINEST VARS'!$J$62*(8*8)+'LINEST VARS'!$I$62*(8*$CE$80)+'LINEST VARS'!$H$62*(8*$BX95)+'LINEST VARS'!$G$62*(8*12.73)+'LINEST VARS'!$F$62*(8*$CE$80)+'LINEST VARS'!$E$62*(8*$BX95)+'LINEST VARS'!$D$62*(8*12.73)+'LINEST VARS'!$C$62*($CE$80*$BX95)+'LINEST VARS'!$B$62*($CE$80*12.73)+'LINEST VARS'!$A$62*($BX95*12.73)</f>
        <v>320.21999999999986</v>
      </c>
      <c r="CF95" s="55">
        <f>'LINEST VARS'!$U$62+'LINEST VARS'!$T$62*(8)+'LINEST VARS'!$S$62*(8)+'LINEST VARS'!$R$62*($CF$80)+'LINEST VARS'!$Q$62*($BX95)+'LINEST VARS'!$P$62*(12.73)+'LINEST VARS'!$O$62*(8^2)+'LINEST VARS'!$N$62*(8^2)+'LINEST VARS'!$M$62*($CF$80^2)+'LINEST VARS'!$L$62*($BX95^2)+'LINEST VARS'!$K$62*(12.73^2)+'LINEST VARS'!$J$62*(8*8)+'LINEST VARS'!$I$62*(8*$CF$80)+'LINEST VARS'!$H$62*(8*$BX95)+'LINEST VARS'!$G$62*(8*12.73)+'LINEST VARS'!$F$62*(8*$CF$80)+'LINEST VARS'!$E$62*(8*$BX95)+'LINEST VARS'!$D$62*(8*12.73)+'LINEST VARS'!$C$62*($CF$80*$BX95)+'LINEST VARS'!$B$62*($CF$80*12.73)+'LINEST VARS'!$A$62*($BX95*12.73)</f>
        <v>309.81999999999994</v>
      </c>
      <c r="CG95" s="55">
        <f>'LINEST VARS'!$U$62+'LINEST VARS'!$T$62*(8)+'LINEST VARS'!$S$62*(8)+'LINEST VARS'!$R$62*($CG$80)+'LINEST VARS'!$Q$62*($BX95)+'LINEST VARS'!$P$62*(12.73)+'LINEST VARS'!$O$62*(8^2)+'LINEST VARS'!$N$62*(8^2)+'LINEST VARS'!$M$62*($CG$80^2)+'LINEST VARS'!$L$62*($BX95^2)+'LINEST VARS'!$K$62*(12.73^2)+'LINEST VARS'!$J$62*(8*8)+'LINEST VARS'!$I$62*(8*$CG$80)+'LINEST VARS'!$H$62*(8*$BX95)+'LINEST VARS'!$G$62*(8*12.73)+'LINEST VARS'!$F$62*(8*$CG$80)+'LINEST VARS'!$E$62*(8*$BX95)+'LINEST VARS'!$D$62*(8*12.73)+'LINEST VARS'!$C$62*($CG$80*$BX95)+'LINEST VARS'!$B$62*($CG$80*12.73)+'LINEST VARS'!$A$62*($BX95*12.73)</f>
        <v>297.81999999999994</v>
      </c>
      <c r="CH95" s="55">
        <f>'LINEST VARS'!$U$62+'LINEST VARS'!$T$62*(8)+'LINEST VARS'!$S$62*(8)+'LINEST VARS'!$R$62*($CH$80)+'LINEST VARS'!$Q$62*($BX95)+'LINEST VARS'!$P$62*(12.73)+'LINEST VARS'!$O$62*(8^2)+'LINEST VARS'!$N$62*(8^2)+'LINEST VARS'!$M$62*($CH$80^2)+'LINEST VARS'!$L$62*($BX95^2)+'LINEST VARS'!$K$62*(12.73^2)+'LINEST VARS'!$J$62*(8*8)+'LINEST VARS'!$I$62*(8*$CH$80)+'LINEST VARS'!$H$62*(8*$BX95)+'LINEST VARS'!$G$62*(8*12.73)+'LINEST VARS'!$F$62*(8*$CH$80)+'LINEST VARS'!$E$62*(8*$BX95)+'LINEST VARS'!$D$62*(8*12.73)+'LINEST VARS'!$C$62*($CH$80*$BX95)+'LINEST VARS'!$B$62*($CH$80*12.73)+'LINEST VARS'!$A$62*($BX95*12.73)</f>
        <v>284.21999999999991</v>
      </c>
      <c r="CI95" s="55">
        <f>'LINEST VARS'!$U$62+'LINEST VARS'!$T$62*(8)+'LINEST VARS'!$S$62*(8)+'LINEST VARS'!$R$62*($CI$80)+'LINEST VARS'!$Q$62*($BX95)+'LINEST VARS'!$P$62*(12.73)+'LINEST VARS'!$O$62*(8^2)+'LINEST VARS'!$N$62*(8^2)+'LINEST VARS'!$M$62*($CI$80^2)+'LINEST VARS'!$L$62*($BX95^2)+'LINEST VARS'!$K$62*(12.73^2)+'LINEST VARS'!$J$62*(8*8)+'LINEST VARS'!$I$62*(8*$CI$80)+'LINEST VARS'!$H$62*(8*$BX95)+'LINEST VARS'!$G$62*(8*12.73)+'LINEST VARS'!$F$62*(8*$CI$80)+'LINEST VARS'!$E$62*(8*$BX95)+'LINEST VARS'!$D$62*(8*12.73)+'LINEST VARS'!$C$62*($CI$80*$BX95)+'LINEST VARS'!$B$62*($CI$80*12.73)+'LINEST VARS'!$A$62*($BX95*12.73)</f>
        <v>269.01999999999992</v>
      </c>
      <c r="CJ95" s="55">
        <f>'LINEST VARS'!$U$62+'LINEST VARS'!$T$62*(8)+'LINEST VARS'!$S$62*(8)+'LINEST VARS'!$R$62*($CJ$80)+'LINEST VARS'!$Q$62*($BX95)+'LINEST VARS'!$P$62*(12.73)+'LINEST VARS'!$O$62*(8^2)+'LINEST VARS'!$N$62*(8^2)+'LINEST VARS'!$M$62*($CJ$80^2)+'LINEST VARS'!$L$62*($BX95^2)+'LINEST VARS'!$K$62*(12.73^2)+'LINEST VARS'!$J$62*(8*8)+'LINEST VARS'!$I$62*(8*$CJ$80)+'LINEST VARS'!$H$62*(8*$BX95)+'LINEST VARS'!$G$62*(8*12.73)+'LINEST VARS'!$F$62*(8*$CJ$80)+'LINEST VARS'!$E$62*(8*$BX95)+'LINEST VARS'!$D$62*(8*12.73)+'LINEST VARS'!$C$62*($CJ$80*$BX95)+'LINEST VARS'!$B$62*($CJ$80*12.73)+'LINEST VARS'!$A$62*($BX95*12.73)</f>
        <v>252.21999999999997</v>
      </c>
      <c r="CK95" s="55">
        <f>'LINEST VARS'!$U$62+'LINEST VARS'!$T$62*(8)+'LINEST VARS'!$S$62*(8)+'LINEST VARS'!$R$62*($CK$80)+'LINEST VARS'!$Q$62*($BX95)+'LINEST VARS'!$P$62*(12.73)+'LINEST VARS'!$O$62*(8^2)+'LINEST VARS'!$N$62*(8^2)+'LINEST VARS'!$M$62*($CK$80^2)+'LINEST VARS'!$L$62*($BX95^2)+'LINEST VARS'!$K$62*(12.73^2)+'LINEST VARS'!$J$62*(8*8)+'LINEST VARS'!$I$62*(8*$CK$80)+'LINEST VARS'!$H$62*(8*$BX95)+'LINEST VARS'!$G$62*(8*12.73)+'LINEST VARS'!$F$62*(8*$CK$80)+'LINEST VARS'!$E$62*(8*$BX95)+'LINEST VARS'!$D$62*(8*12.73)+'LINEST VARS'!$C$62*($CK$80*$BX95)+'LINEST VARS'!$B$62*($CK$80*12.73)+'LINEST VARS'!$A$62*($BX95*12.73)</f>
        <v>233.82000000000002</v>
      </c>
      <c r="CL95" s="55">
        <f>'LINEST VARS'!$U$62+'LINEST VARS'!$T$62*(8)+'LINEST VARS'!$S$62*(8)+'LINEST VARS'!$R$62*($CL$80)+'LINEST VARS'!$Q$62*($BX95)+'LINEST VARS'!$P$62*(12.73)+'LINEST VARS'!$O$62*(8^2)+'LINEST VARS'!$N$62*(8^2)+'LINEST VARS'!$M$62*($CL$80^2)+'LINEST VARS'!$L$62*($BX95^2)+'LINEST VARS'!$K$62*(12.73^2)+'LINEST VARS'!$J$62*(8*8)+'LINEST VARS'!$I$62*(8*$CL$80)+'LINEST VARS'!$H$62*(8*$BX95)+'LINEST VARS'!$G$62*(8*12.73)+'LINEST VARS'!$F$62*(8*$CL$80)+'LINEST VARS'!$E$62*(8*$BX95)+'LINEST VARS'!$D$62*(8*12.73)+'LINEST VARS'!$C$62*($CL$80*$BX95)+'LINEST VARS'!$B$62*($CL$80*12.73)+'LINEST VARS'!$A$62*($BX95*12.73)</f>
        <v>213.81999999999996</v>
      </c>
      <c r="CM95" s="55">
        <f>'LINEST VARS'!$U$62+'LINEST VARS'!$T$62*(8)+'LINEST VARS'!$S$62*(8)+'LINEST VARS'!$R$62*($CM$80)+'LINEST VARS'!$Q$62*($BX95)+'LINEST VARS'!$P$62*(12.73)+'LINEST VARS'!$O$62*(8^2)+'LINEST VARS'!$N$62*(8^2)+'LINEST VARS'!$M$62*($CM$80^2)+'LINEST VARS'!$L$62*($BX95^2)+'LINEST VARS'!$K$62*(12.73^2)+'LINEST VARS'!$J$62*(8*8)+'LINEST VARS'!$I$62*(8*$CM$80)+'LINEST VARS'!$H$62*(8*$BX95)+'LINEST VARS'!$G$62*(8*12.73)+'LINEST VARS'!$F$62*(8*$CM$80)+'LINEST VARS'!$E$62*(8*$BX95)+'LINEST VARS'!$D$62*(8*12.73)+'LINEST VARS'!$C$62*($CM$80*$BX95)+'LINEST VARS'!$B$62*($CM$80*12.73)+'LINEST VARS'!$A$62*($BX95*12.73)</f>
        <v>192.22000000000006</v>
      </c>
      <c r="CN95" s="55">
        <f>'LINEST VARS'!$U$62+'LINEST VARS'!$T$62*(8)+'LINEST VARS'!$S$62*(8)+'LINEST VARS'!$R$62*($CN$80)+'LINEST VARS'!$Q$62*($BX95)+'LINEST VARS'!$P$62*(12.73)+'LINEST VARS'!$O$62*(8^2)+'LINEST VARS'!$N$62*(8^2)+'LINEST VARS'!$M$62*($CN$80^2)+'LINEST VARS'!$L$62*($BX95^2)+'LINEST VARS'!$K$62*(12.73^2)+'LINEST VARS'!$J$62*(8*8)+'LINEST VARS'!$I$62*(8*$CN$80)+'LINEST VARS'!$H$62*(8*$BX95)+'LINEST VARS'!$G$62*(8*12.73)+'LINEST VARS'!$F$62*(8*$CN$80)+'LINEST VARS'!$E$62*(8*$BX95)+'LINEST VARS'!$D$62*(8*12.73)+'LINEST VARS'!$C$62*($CN$80*$BX95)+'LINEST VARS'!$B$62*($CN$80*12.73)+'LINEST VARS'!$A$62*($BX95*12.73)</f>
        <v>169.02000000000004</v>
      </c>
      <c r="CO95" s="55">
        <f>'LINEST VARS'!$U$62+'LINEST VARS'!$T$62*(8)+'LINEST VARS'!$S$62*(8)+'LINEST VARS'!$R$62*($CO$80)+'LINEST VARS'!$Q$62*($BX95)+'LINEST VARS'!$P$62*(12.73)+'LINEST VARS'!$O$62*(8^2)+'LINEST VARS'!$N$62*(8^2)+'LINEST VARS'!$M$62*($CO$80^2)+'LINEST VARS'!$L$62*($BX95^2)+'LINEST VARS'!$K$62*(12.73^2)+'LINEST VARS'!$J$62*(8*8)+'LINEST VARS'!$I$62*(8*$CO$80)+'LINEST VARS'!$H$62*(8*$BX95)+'LINEST VARS'!$G$62*(8*12.73)+'LINEST VARS'!$F$62*(8*$CO$80)+'LINEST VARS'!$E$62*(8*$BX95)+'LINEST VARS'!$D$62*(8*12.73)+'LINEST VARS'!$C$62*($CO$80*$BX95)+'LINEST VARS'!$B$62*($CO$80*12.73)+'LINEST VARS'!$A$62*($BX95*12.73)</f>
        <v>144.22000000000006</v>
      </c>
      <c r="CP95" s="55">
        <f>'LINEST VARS'!$U$62+'LINEST VARS'!$T$62*(8)+'LINEST VARS'!$S$62*(8)+'LINEST VARS'!$R$62*($CP$80)+'LINEST VARS'!$Q$62*($BX95)+'LINEST VARS'!$P$62*(12.73)+'LINEST VARS'!$O$62*(8^2)+'LINEST VARS'!$N$62*(8^2)+'LINEST VARS'!$M$62*($CP$80^2)+'LINEST VARS'!$L$62*($BX95^2)+'LINEST VARS'!$K$62*(12.73^2)+'LINEST VARS'!$J$62*(8*8)+'LINEST VARS'!$I$62*(8*$CP$80)+'LINEST VARS'!$H$62*(8*$BX95)+'LINEST VARS'!$G$62*(8*12.73)+'LINEST VARS'!$F$62*(8*$CP$80)+'LINEST VARS'!$E$62*(8*$BX95)+'LINEST VARS'!$D$62*(8*12.73)+'LINEST VARS'!$C$62*($CP$80*$BX95)+'LINEST VARS'!$B$62*($CP$80*12.73)+'LINEST VARS'!$A$62*($BX95*12.73)</f>
        <v>117.82000000000008</v>
      </c>
      <c r="CQ95" s="55">
        <f>'LINEST VARS'!$U$62+'LINEST VARS'!$T$62*(8)+'LINEST VARS'!$S$62*(8)+'LINEST VARS'!$R$62*($CQ$80)+'LINEST VARS'!$Q$62*($BX95)+'LINEST VARS'!$P$62*(12.73)+'LINEST VARS'!$O$62*(8^2)+'LINEST VARS'!$N$62*(8^2)+'LINEST VARS'!$M$62*($CQ$80^2)+'LINEST VARS'!$L$62*($BX95^2)+'LINEST VARS'!$K$62*(12.73^2)+'LINEST VARS'!$J$62*(8*8)+'LINEST VARS'!$I$62*(8*$CQ$80)+'LINEST VARS'!$H$62*(8*$BX95)+'LINEST VARS'!$G$62*(8*12.73)+'LINEST VARS'!$F$62*(8*$CQ$80)+'LINEST VARS'!$E$62*(8*$BX95)+'LINEST VARS'!$D$62*(8*12.73)+'LINEST VARS'!$C$62*($CQ$80*$BX95)+'LINEST VARS'!$B$62*($CQ$80*12.73)+'LINEST VARS'!$A$62*($BX95*12.73)</f>
        <v>89.820000000000078</v>
      </c>
      <c r="CR95" s="55">
        <f>'LINEST VARS'!$U$62+'LINEST VARS'!$T$62*(8)+'LINEST VARS'!$S$62*(8)+'LINEST VARS'!$R$62*($CR$80)+'LINEST VARS'!$Q$62*($BX95)+'LINEST VARS'!$P$62*(12.73)+'LINEST VARS'!$O$62*(8^2)+'LINEST VARS'!$N$62*(8^2)+'LINEST VARS'!$M$62*($CR$80^2)+'LINEST VARS'!$L$62*($BX95^2)+'LINEST VARS'!$K$62*(12.73^2)+'LINEST VARS'!$J$62*(8*8)+'LINEST VARS'!$I$62*(8*$CR$80)+'LINEST VARS'!$H$62*(8*$BX95)+'LINEST VARS'!$G$62*(8*12.73)+'LINEST VARS'!$F$62*(8*$CR$80)+'LINEST VARS'!$E$62*(8*$BX95)+'LINEST VARS'!$D$62*(8*12.73)+'LINEST VARS'!$C$62*($CR$80*$BX95)+'LINEST VARS'!$B$62*($CR$80*12.73)+'LINEST VARS'!$A$62*($BX95*12.73)</f>
        <v>60.22000000000012</v>
      </c>
      <c r="CS95" s="56">
        <f>'LINEST VARS'!$U$62+'LINEST VARS'!$T$62*(8)+'LINEST VARS'!$S$62*(8)+'LINEST VARS'!$R$62*($CS$80)+'LINEST VARS'!$Q$62*($BX95)+'LINEST VARS'!$P$62*(12.73)+'LINEST VARS'!$O$62*(8^2)+'LINEST VARS'!$N$62*(8^2)+'LINEST VARS'!$M$62*($CS$80^2)+'LINEST VARS'!$L$62*($BX95^2)+'LINEST VARS'!$K$62*(12.73^2)+'LINEST VARS'!$J$62*(8*8)+'LINEST VARS'!$I$62*(8*$CS$80)+'LINEST VARS'!$H$62*(8*$BX95)+'LINEST VARS'!$G$62*(8*12.73)+'LINEST VARS'!$F$62*(8*$CS$80)+'LINEST VARS'!$E$62*(8*$BX95)+'LINEST VARS'!$D$62*(8*12.73)+'LINEST VARS'!$C$62*($CS$80*$BX95)+'LINEST VARS'!$B$62*($CS$80*12.73)+'LINEST VARS'!$A$62*($BX95*12.73)</f>
        <v>29.020000000000163</v>
      </c>
      <c r="CX95" s="45">
        <v>18.193000000000001</v>
      </c>
      <c r="CY95" s="46">
        <f>'LINEST VARS'!$U$60+'LINEST VARS'!$T$60*(8)+'LINEST VARS'!$S$60*(8)+'LINEST VARS'!$R$60*($CY$80)+'LINEST VARS'!$Q$60*(0.5)+'LINEST VARS'!$P$60*($CX95)+'LINEST VARS'!$O$60*(8^2)+'LINEST VARS'!$N$60*(8^2)+'LINEST VARS'!$M$60*($CY$80^2)+'LINEST VARS'!$L$60*(0.5^2)+'LINEST VARS'!$K$60*($CX95^2)+'LINEST VARS'!$J$60*(8*8)+'LINEST VARS'!$I$60*(8*$CY$80)+'LINEST VARS'!$H$60*(8*0.5)+'LINEST VARS'!$G$60*(8*$CX95)+'LINEST VARS'!$F$60*(8*$CY$80)+'LINEST VARS'!$E$60*(8*0.5)+'LINEST VARS'!$D$60*(8*$CX95)+'LINEST VARS'!$C$60*($CY$80*0.5)+'LINEST VARS'!$B$60*($CY$80*$CX95)+'LINEST VARS'!$A$60*(0.5*$CX95)</f>
        <v>51.38600000000001</v>
      </c>
      <c r="CZ95" s="46">
        <f>'LINEST VARS'!$U$60+'LINEST VARS'!$T$60*(8)+'LINEST VARS'!$S$60*(8)+'LINEST VARS'!$R$60*($CZ$80)+'LINEST VARS'!$Q$60*(0.5)+'LINEST VARS'!$P$60*($CX95)+'LINEST VARS'!$O$60*(8^2)+'LINEST VARS'!$N$60*(8^2)+'LINEST VARS'!$M$60*($CZ$80^2)+'LINEST VARS'!$L$60*(0.5^2)+'LINEST VARS'!$K$60*($CX95^2)+'LINEST VARS'!$J$60*(8*8)+'LINEST VARS'!$I$60*(8*$CZ$80)+'LINEST VARS'!$H$60*(8*0.5)+'LINEST VARS'!$G$60*(8*$CX95)+'LINEST VARS'!$F$60*(8*$CZ$80)+'LINEST VARS'!$E$60*(8*0.5)+'LINEST VARS'!$D$60*(8*$CX95)+'LINEST VARS'!$C$60*($CZ$80*0.5)+'LINEST VARS'!$B$60*($CZ$80*$CX95)+'LINEST VARS'!$A$60*(0.5*$CX95)</f>
        <v>51.38600000000001</v>
      </c>
      <c r="DA95" s="46">
        <f>'LINEST VARS'!$U$60+'LINEST VARS'!$T$60*(8)+'LINEST VARS'!$S$60*(8)+'LINEST VARS'!$R$60*($DA$80)+'LINEST VARS'!$Q$60*(0.5)+'LINEST VARS'!$P$60*($CX95)+'LINEST VARS'!$O$60*(8^2)+'LINEST VARS'!$N$60*(8^2)+'LINEST VARS'!$M$60*($DA$80^2)+'LINEST VARS'!$L$60*(0.5^2)+'LINEST VARS'!$K$60*($CX95^2)+'LINEST VARS'!$J$60*(8*8)+'LINEST VARS'!$I$60*(8*$DA$80)+'LINEST VARS'!$H$60*(8*0.5)+'LINEST VARS'!$G$60*(8*$CX95)+'LINEST VARS'!$F$60*(8*$DA$80)+'LINEST VARS'!$E$60*(8*0.5)+'LINEST VARS'!$D$60*(8*$CX95)+'LINEST VARS'!$C$60*($DA$80*0.5)+'LINEST VARS'!$B$60*($DA$80*$CX95)+'LINEST VARS'!$A$60*(0.5*$CX95)</f>
        <v>51.38600000000001</v>
      </c>
      <c r="DB95" s="46">
        <f>'LINEST VARS'!$U$60+'LINEST VARS'!$T$60*(8)+'LINEST VARS'!$S$60*(8)+'LINEST VARS'!$R$60*($DB$80)+'LINEST VARS'!$Q$60*(0.5)+'LINEST VARS'!$P$60*($CX95)+'LINEST VARS'!$O$60*(8^2)+'LINEST VARS'!$N$60*(8^2)+'LINEST VARS'!$M$60*($DB$80^2)+'LINEST VARS'!$L$60*(0.5^2)+'LINEST VARS'!$K$60*($CX95^2)+'LINEST VARS'!$J$60*(8*8)+'LINEST VARS'!$I$60*(8*$DB$80)+'LINEST VARS'!$H$60*(8*0.5)+'LINEST VARS'!$G$60*(8*$CX95)+'LINEST VARS'!$F$60*(8*$DB$80)+'LINEST VARS'!$E$60*(8*0.5)+'LINEST VARS'!$D$60*(8*$CX95)+'LINEST VARS'!$C$60*($DB$80*0.5)+'LINEST VARS'!$B$60*($DB$80*$CX95)+'LINEST VARS'!$A$60*(0.5*$CX95)</f>
        <v>51.38600000000001</v>
      </c>
      <c r="DC95" s="46">
        <f>'LINEST VARS'!$U$60+'LINEST VARS'!$T$60*(8)+'LINEST VARS'!$S$60*(8)+'LINEST VARS'!$R$60*($DC$80)+'LINEST VARS'!$Q$60*(0.5)+'LINEST VARS'!$P$60*($CX95)+'LINEST VARS'!$O$60*(8^2)+'LINEST VARS'!$N$60*(8^2)+'LINEST VARS'!$M$60*($DC$80^2)+'LINEST VARS'!$L$60*(0.5^2)+'LINEST VARS'!$K$60*($CX95^2)+'LINEST VARS'!$J$60*(8*8)+'LINEST VARS'!$I$60*(8*$DC$80)+'LINEST VARS'!$H$60*(8*0.5)+'LINEST VARS'!$G$60*(8*$CX95)+'LINEST VARS'!$F$60*(8*$DC$80)+'LINEST VARS'!$E$60*(8*0.5)+'LINEST VARS'!$D$60*(8*$CX95)+'LINEST VARS'!$C$60*($DC$80*0.5)+'LINEST VARS'!$B$60*($DC$80*$CX95)+'LINEST VARS'!$A$60*(0.5*$CX95)</f>
        <v>51.386000000000003</v>
      </c>
      <c r="DD95" s="46">
        <f>'LINEST VARS'!$U$60+'LINEST VARS'!$T$60*(8)+'LINEST VARS'!$S$60*(8)+'LINEST VARS'!$R$60*($DD$80)+'LINEST VARS'!$Q$60*(0.5)+'LINEST VARS'!$P$60*($CX95)+'LINEST VARS'!$O$60*(8^2)+'LINEST VARS'!$N$60*(8^2)+'LINEST VARS'!$M$60*($DD$80^2)+'LINEST VARS'!$L$60*(0.5^2)+'LINEST VARS'!$K$60*($CX95^2)+'LINEST VARS'!$J$60*(8*8)+'LINEST VARS'!$I$60*(8*$DD$80)+'LINEST VARS'!$H$60*(8*0.5)+'LINEST VARS'!$G$60*(8*$CX95)+'LINEST VARS'!$F$60*(8*$DD$80)+'LINEST VARS'!$E$60*(8*0.5)+'LINEST VARS'!$D$60*(8*$CX95)+'LINEST VARS'!$C$60*($DD$80*0.5)+'LINEST VARS'!$B$60*($DD$80*$CX95)+'LINEST VARS'!$A$60*(0.5*$CX95)</f>
        <v>51.386000000000003</v>
      </c>
      <c r="DE95" s="46">
        <f>'LINEST VARS'!$U$60+'LINEST VARS'!$T$60*(8)+'LINEST VARS'!$S$60*(8)+'LINEST VARS'!$R$60*($DE$80)+'LINEST VARS'!$Q$60*(0.5)+'LINEST VARS'!$P$60*($CX95)+'LINEST VARS'!$O$60*(8^2)+'LINEST VARS'!$N$60*(8^2)+'LINEST VARS'!$M$60*($DE$80^2)+'LINEST VARS'!$L$60*(0.5^2)+'LINEST VARS'!$K$60*($CX95^2)+'LINEST VARS'!$J$60*(8*8)+'LINEST VARS'!$I$60*(8*$DE$80)+'LINEST VARS'!$H$60*(8*0.5)+'LINEST VARS'!$G$60*(8*$CX95)+'LINEST VARS'!$F$60*(8*$DE$80)+'LINEST VARS'!$E$60*(8*0.5)+'LINEST VARS'!$D$60*(8*$CX95)+'LINEST VARS'!$C$60*($DE$80*0.5)+'LINEST VARS'!$B$60*($DE$80*$CX95)+'LINEST VARS'!$A$60*(0.5*$CX95)</f>
        <v>51.386000000000003</v>
      </c>
      <c r="DF95" s="46">
        <f>'LINEST VARS'!$U$60+'LINEST VARS'!$T$60*(8)+'LINEST VARS'!$S$60*(8)+'LINEST VARS'!$R$60*($DF$80)+'LINEST VARS'!$Q$60*(0.5)+'LINEST VARS'!$P$60*($CX95)+'LINEST VARS'!$O$60*(8^2)+'LINEST VARS'!$N$60*(8^2)+'LINEST VARS'!$M$60*($DF$80^2)+'LINEST VARS'!$L$60*(0.5^2)+'LINEST VARS'!$K$60*($CX95^2)+'LINEST VARS'!$J$60*(8*8)+'LINEST VARS'!$I$60*(8*$DF$80)+'LINEST VARS'!$H$60*(8*0.5)+'LINEST VARS'!$G$60*(8*$CX95)+'LINEST VARS'!$F$60*(8*$DF$80)+'LINEST VARS'!$E$60*(8*0.5)+'LINEST VARS'!$D$60*(8*$CX95)+'LINEST VARS'!$C$60*($DF$80*0.5)+'LINEST VARS'!$B$60*($DF$80*$CX95)+'LINEST VARS'!$A$60*(0.5*$CX95)</f>
        <v>51.38600000000001</v>
      </c>
      <c r="DG95" s="46">
        <f>'LINEST VARS'!$U$60+'LINEST VARS'!$T$60*(8)+'LINEST VARS'!$S$60*(8)+'LINEST VARS'!$R$60*($DG$80)+'LINEST VARS'!$Q$60*(0.5)+'LINEST VARS'!$P$60*($CX95)+'LINEST VARS'!$O$60*(8^2)+'LINEST VARS'!$N$60*(8^2)+'LINEST VARS'!$M$60*($DG$80^2)+'LINEST VARS'!$L$60*(0.5^2)+'LINEST VARS'!$K$60*($CX95^2)+'LINEST VARS'!$J$60*(8*8)+'LINEST VARS'!$I$60*(8*$DG$80)+'LINEST VARS'!$H$60*(8*0.5)+'LINEST VARS'!$G$60*(8*$CX95)+'LINEST VARS'!$F$60*(8*$DG$80)+'LINEST VARS'!$E$60*(8*0.5)+'LINEST VARS'!$D$60*(8*$CX95)+'LINEST VARS'!$C$60*($DG$80*0.5)+'LINEST VARS'!$B$60*($DG$80*$CX95)+'LINEST VARS'!$A$60*(0.5*$CX95)</f>
        <v>51.38600000000001</v>
      </c>
      <c r="DH95" s="46">
        <f>'LINEST VARS'!$U$60+'LINEST VARS'!$T$60*(8)+'LINEST VARS'!$S$60*(8)+'LINEST VARS'!$R$60*($DH$80)+'LINEST VARS'!$Q$60*(0.5)+'LINEST VARS'!$P$60*($CX95)+'LINEST VARS'!$O$60*(8^2)+'LINEST VARS'!$N$60*(8^2)+'LINEST VARS'!$M$60*($DH$80^2)+'LINEST VARS'!$L$60*(0.5^2)+'LINEST VARS'!$K$60*($CX95^2)+'LINEST VARS'!$J$60*(8*8)+'LINEST VARS'!$I$60*(8*$DH$80)+'LINEST VARS'!$H$60*(8*0.5)+'LINEST VARS'!$G$60*(8*$CX95)+'LINEST VARS'!$F$60*(8*$DH$80)+'LINEST VARS'!$E$60*(8*0.5)+'LINEST VARS'!$D$60*(8*$CX95)+'LINEST VARS'!$C$60*($DH$80*0.5)+'LINEST VARS'!$B$60*($DH$80*$CX95)+'LINEST VARS'!$A$60*(0.5*$CX95)</f>
        <v>51.38600000000001</v>
      </c>
      <c r="DI95" s="46">
        <f>'LINEST VARS'!$U$60+'LINEST VARS'!$T$60*(8)+'LINEST VARS'!$S$60*(8)+'LINEST VARS'!$R$60*($DI$80)+'LINEST VARS'!$Q$60*(0.5)+'LINEST VARS'!$P$60*($CX95)+'LINEST VARS'!$O$60*(8^2)+'LINEST VARS'!$N$60*(8^2)+'LINEST VARS'!$M$60*($DI$80^2)+'LINEST VARS'!$L$60*(0.5^2)+'LINEST VARS'!$K$60*($CX95^2)+'LINEST VARS'!$J$60*(8*8)+'LINEST VARS'!$I$60*(8*$DI$80)+'LINEST VARS'!$H$60*(8*0.5)+'LINEST VARS'!$G$60*(8*$CX95)+'LINEST VARS'!$F$60*(8*$DI$80)+'LINEST VARS'!$E$60*(8*0.5)+'LINEST VARS'!$D$60*(8*$CX95)+'LINEST VARS'!$C$60*($DI$80*0.5)+'LINEST VARS'!$B$60*($DI$80*$CX95)+'LINEST VARS'!$A$60*(0.5*$CX95)</f>
        <v>51.38600000000001</v>
      </c>
      <c r="DJ95" s="46">
        <f>'LINEST VARS'!$U$60+'LINEST VARS'!$T$60*(8)+'LINEST VARS'!$S$60*(8)+'LINEST VARS'!$R$60*($DJ$80)+'LINEST VARS'!$Q$60*(0.5)+'LINEST VARS'!$P$60*($CX95)+'LINEST VARS'!$O$60*(8^2)+'LINEST VARS'!$N$60*(8^2)+'LINEST VARS'!$M$60*($DJ$80^2)+'LINEST VARS'!$L$60*(0.5^2)+'LINEST VARS'!$K$60*($CX95^2)+'LINEST VARS'!$J$60*(8*8)+'LINEST VARS'!$I$60*(8*$DJ$80)+'LINEST VARS'!$H$60*(8*0.5)+'LINEST VARS'!$G$60*(8*$CX95)+'LINEST VARS'!$F$60*(8*$DJ$80)+'LINEST VARS'!$E$60*(8*0.5)+'LINEST VARS'!$D$60*(8*$CX95)+'LINEST VARS'!$C$60*($DJ$80*0.5)+'LINEST VARS'!$B$60*($DJ$80*$CX95)+'LINEST VARS'!$A$60*(0.5*$CX95)</f>
        <v>51.386000000000003</v>
      </c>
      <c r="DK95" s="46">
        <f>'LINEST VARS'!$U$60+'LINEST VARS'!$T$60*(8)+'LINEST VARS'!$S$60*(8)+'LINEST VARS'!$R$60*($DK$80)+'LINEST VARS'!$Q$60*(0.5)+'LINEST VARS'!$P$60*($CX95)+'LINEST VARS'!$O$60*(8^2)+'LINEST VARS'!$N$60*(8^2)+'LINEST VARS'!$M$60*($DK$80^2)+'LINEST VARS'!$L$60*(0.5^2)+'LINEST VARS'!$K$60*($CX95^2)+'LINEST VARS'!$J$60*(8*8)+'LINEST VARS'!$I$60*(8*$DK$80)+'LINEST VARS'!$H$60*(8*0.5)+'LINEST VARS'!$G$60*(8*$CX95)+'LINEST VARS'!$F$60*(8*$DK$80)+'LINEST VARS'!$E$60*(8*0.5)+'LINEST VARS'!$D$60*(8*$CX95)+'LINEST VARS'!$C$60*($DK$80*0.5)+'LINEST VARS'!$B$60*($DK$80*$CX95)+'LINEST VARS'!$A$60*(0.5*$CX95)</f>
        <v>51.38600000000001</v>
      </c>
      <c r="DL95" s="46">
        <f>'LINEST VARS'!$U$60+'LINEST VARS'!$T$60*(8)+'LINEST VARS'!$S$60*(8)+'LINEST VARS'!$R$60*($DL$80)+'LINEST VARS'!$Q$60*(0.5)+'LINEST VARS'!$P$60*($CX95)+'LINEST VARS'!$O$60*(8^2)+'LINEST VARS'!$N$60*(8^2)+'LINEST VARS'!$M$60*($DL$80^2)+'LINEST VARS'!$L$60*(0.5^2)+'LINEST VARS'!$K$60*($CX95^2)+'LINEST VARS'!$J$60*(8*8)+'LINEST VARS'!$I$60*(8*$DL$80)+'LINEST VARS'!$H$60*(8*0.5)+'LINEST VARS'!$G$60*(8*$CX95)+'LINEST VARS'!$F$60*(8*$DL$80)+'LINEST VARS'!$E$60*(8*0.5)+'LINEST VARS'!$D$60*(8*$CX95)+'LINEST VARS'!$C$60*($DL$80*0.5)+'LINEST VARS'!$B$60*($DL$80*$CX95)+'LINEST VARS'!$A$60*(0.5*$CX95)</f>
        <v>51.386000000000003</v>
      </c>
      <c r="DM95" s="46">
        <f>'LINEST VARS'!$U$60+'LINEST VARS'!$T$60*(8)+'LINEST VARS'!$S$60*(8)+'LINEST VARS'!$R$60*($DM$80)+'LINEST VARS'!$Q$60*(0.5)+'LINEST VARS'!$P$60*($CX95)+'LINEST VARS'!$O$60*(8^2)+'LINEST VARS'!$N$60*(8^2)+'LINEST VARS'!$M$60*($DM$80^2)+'LINEST VARS'!$L$60*(0.5^2)+'LINEST VARS'!$K$60*($CX95^2)+'LINEST VARS'!$J$60*(8*8)+'LINEST VARS'!$I$60*(8*$DM$80)+'LINEST VARS'!$H$60*(8*0.5)+'LINEST VARS'!$G$60*(8*$CX95)+'LINEST VARS'!$F$60*(8*$DM$80)+'LINEST VARS'!$E$60*(8*0.5)+'LINEST VARS'!$D$60*(8*$CX95)+'LINEST VARS'!$C$60*($DM$80*0.5)+'LINEST VARS'!$B$60*($DM$80*$CX95)+'LINEST VARS'!$A$60*(0.5*$CX95)</f>
        <v>51.38600000000001</v>
      </c>
      <c r="DN95" s="46">
        <f>'LINEST VARS'!$U$60+'LINEST VARS'!$T$60*(8)+'LINEST VARS'!$S$60*(8)+'LINEST VARS'!$R$60*($DN$80)+'LINEST VARS'!$Q$60*(0.5)+'LINEST VARS'!$P$60*($CX95)+'LINEST VARS'!$O$60*(8^2)+'LINEST VARS'!$N$60*(8^2)+'LINEST VARS'!$M$60*($DN$80^2)+'LINEST VARS'!$L$60*(0.5^2)+'LINEST VARS'!$K$60*($CX95^2)+'LINEST VARS'!$J$60*(8*8)+'LINEST VARS'!$I$60*(8*$DN$80)+'LINEST VARS'!$H$60*(8*0.5)+'LINEST VARS'!$G$60*(8*$CX95)+'LINEST VARS'!$F$60*(8*$DN$80)+'LINEST VARS'!$E$60*(8*0.5)+'LINEST VARS'!$D$60*(8*$CX95)+'LINEST VARS'!$C$60*($DN$80*0.5)+'LINEST VARS'!$B$60*($DN$80*$CX95)+'LINEST VARS'!$A$60*(0.5*$CX95)</f>
        <v>51.38600000000001</v>
      </c>
      <c r="DO95" s="46">
        <f>'LINEST VARS'!$U$60+'LINEST VARS'!$T$60*(8)+'LINEST VARS'!$S$60*(8)+'LINEST VARS'!$R$60*($DO$80)+'LINEST VARS'!$Q$60*(0.5)+'LINEST VARS'!$P$60*($CX95)+'LINEST VARS'!$O$60*(8^2)+'LINEST VARS'!$N$60*(8^2)+'LINEST VARS'!$M$60*($DO$80^2)+'LINEST VARS'!$L$60*(0.5^2)+'LINEST VARS'!$K$60*($CX95^2)+'LINEST VARS'!$J$60*(8*8)+'LINEST VARS'!$I$60*(8*$DO$80)+'LINEST VARS'!$H$60*(8*0.5)+'LINEST VARS'!$G$60*(8*$CX95)+'LINEST VARS'!$F$60*(8*$DO$80)+'LINEST VARS'!$E$60*(8*0.5)+'LINEST VARS'!$D$60*(8*$CX95)+'LINEST VARS'!$C$60*($DO$80*0.5)+'LINEST VARS'!$B$60*($DO$80*$CX95)+'LINEST VARS'!$A$60*(0.5*$CX95)</f>
        <v>51.38600000000001</v>
      </c>
      <c r="DP95" s="46">
        <f>'LINEST VARS'!$U$60+'LINEST VARS'!$T$60*(8)+'LINEST VARS'!$S$60*(8)+'LINEST VARS'!$R$60*($DP$80)+'LINEST VARS'!$Q$60*(0.5)+'LINEST VARS'!$P$60*($CX95)+'LINEST VARS'!$O$60*(8^2)+'LINEST VARS'!$N$60*(8^2)+'LINEST VARS'!$M$60*($DP$80^2)+'LINEST VARS'!$L$60*(0.5^2)+'LINEST VARS'!$K$60*($CX95^2)+'LINEST VARS'!$J$60*(8*8)+'LINEST VARS'!$I$60*(8*$DP$80)+'LINEST VARS'!$H$60*(8*0.5)+'LINEST VARS'!$G$60*(8*$CX95)+'LINEST VARS'!$F$60*(8*$DP$80)+'LINEST VARS'!$E$60*(8*0.5)+'LINEST VARS'!$D$60*(8*$CX95)+'LINEST VARS'!$C$60*($DP$80*0.5)+'LINEST VARS'!$B$60*($DP$80*$CX95)+'LINEST VARS'!$A$60*(0.5*$CX95)</f>
        <v>51.38600000000001</v>
      </c>
      <c r="DQ95" s="46">
        <f>'LINEST VARS'!$U$60+'LINEST VARS'!$T$60*(8)+'LINEST VARS'!$S$60*(8)+'LINEST VARS'!$R$60*($DQ$80)+'LINEST VARS'!$Q$60*(0.5)+'LINEST VARS'!$P$60*($CX95)+'LINEST VARS'!$O$60*(8^2)+'LINEST VARS'!$N$60*(8^2)+'LINEST VARS'!$M$60*($DQ$80^2)+'LINEST VARS'!$L$60*(0.5^2)+'LINEST VARS'!$K$60*($CX95^2)+'LINEST VARS'!$J$60*(8*8)+'LINEST VARS'!$I$60*(8*$DQ$80)+'LINEST VARS'!$H$60*(8*0.5)+'LINEST VARS'!$G$60*(8*$CX95)+'LINEST VARS'!$F$60*(8*$DQ$80)+'LINEST VARS'!$E$60*(8*0.5)+'LINEST VARS'!$D$60*(8*$CX95)+'LINEST VARS'!$C$60*($DQ$80*0.5)+'LINEST VARS'!$B$60*($DQ$80*$CX95)+'LINEST VARS'!$A$60*(0.5*$CX95)</f>
        <v>51.386000000000003</v>
      </c>
      <c r="DR95" s="46">
        <f>'LINEST VARS'!$U$60+'LINEST VARS'!$T$60*(8)+'LINEST VARS'!$S$60*(8)+'LINEST VARS'!$R$60*($DR$80)+'LINEST VARS'!$Q$60*(0.5)+'LINEST VARS'!$P$60*($CX95)+'LINEST VARS'!$O$60*(8^2)+'LINEST VARS'!$N$60*(8^2)+'LINEST VARS'!$M$60*($DR$80^2)+'LINEST VARS'!$L$60*(0.5^2)+'LINEST VARS'!$K$60*($CX95^2)+'LINEST VARS'!$J$60*(8*8)+'LINEST VARS'!$I$60*(8*$DR$80)+'LINEST VARS'!$H$60*(8*0.5)+'LINEST VARS'!$G$60*(8*$CX95)+'LINEST VARS'!$F$60*(8*$DR$80)+'LINEST VARS'!$E$60*(8*0.5)+'LINEST VARS'!$D$60*(8*$CX95)+'LINEST VARS'!$C$60*($DR$80*0.5)+'LINEST VARS'!$B$60*($DR$80*$CX95)+'LINEST VARS'!$A$60*(0.5*$CX95)</f>
        <v>51.38600000000001</v>
      </c>
      <c r="DS95" s="47">
        <f>'LINEST VARS'!$U$60+'LINEST VARS'!$T$60*(8)+'LINEST VARS'!$S$60*(8)+'LINEST VARS'!$R$60*($DS$80)+'LINEST VARS'!$Q$60*(0.5)+'LINEST VARS'!$P$60*($CX95)+'LINEST VARS'!$O$60*(8^2)+'LINEST VARS'!$N$60*(8^2)+'LINEST VARS'!$M$60*($DS$80^2)+'LINEST VARS'!$L$60*(0.5^2)+'LINEST VARS'!$K$60*($CX95^2)+'LINEST VARS'!$J$60*(8*8)+'LINEST VARS'!$I$60*(8*$DS$80)+'LINEST VARS'!$H$60*(8*0.5)+'LINEST VARS'!$G$60*(8*$CX95)+'LINEST VARS'!$F$60*(8*$DS$80)+'LINEST VARS'!$E$60*(8*0.5)+'LINEST VARS'!$D$60*(8*$CX95)+'LINEST VARS'!$C$60*($DS$80*0.5)+'LINEST VARS'!$B$60*($DS$80*$CX95)+'LINEST VARS'!$A$60*(0.5*$CX95)</f>
        <v>51.38600000000001</v>
      </c>
      <c r="DV95" s="45">
        <v>18.193000000000001</v>
      </c>
      <c r="DW95" s="55">
        <f>'LINEST VARS'!$U$62+'LINEST VARS'!$T$62*(8)+'LINEST VARS'!$S$62*(8)+'LINEST VARS'!$R$62*($DW$80)+'LINEST VARS'!$Q$62*(0.5)+'LINEST VARS'!$P$62*($DV95)+'LINEST VARS'!$O$62*(8^2)+'LINEST VARS'!$N$62*(8^2)+'LINEST VARS'!$M$62*($DW$80^2)+'LINEST VARS'!$L$62*(0.5^2)+'LINEST VARS'!$K$62*($DV95^2)+'LINEST VARS'!$J$62*(8*8)+'LINEST VARS'!$I$62*(8*$DW$80)+'LINEST VARS'!$H$62*(8*0.5)+'LINEST VARS'!$G$62*(8*$DV95)+'LINEST VARS'!$F$62*(8*$DW$80)+'LINEST VARS'!$E$62*(8*0.5)+'LINEST VARS'!$D$62*(8*$DV95)+'LINEST VARS'!$C$62*($DW$80*0.5)+'LINEST VARS'!$B$62*($DW$80*$DV95)+'LINEST VARS'!$A$62*(0.5*$DV95)</f>
        <v>349.49999999999994</v>
      </c>
      <c r="DX95" s="55">
        <f>'LINEST VARS'!$U$62+'LINEST VARS'!$T$62*(8)+'LINEST VARS'!$S$62*(8)+'LINEST VARS'!$R$62*($DX$80)+'LINEST VARS'!$Q$62*(0.5)+'LINEST VARS'!$P$62*($DV95)+'LINEST VARS'!$O$62*(8^2)+'LINEST VARS'!$N$62*(8^2)+'LINEST VARS'!$M$62*($DX$80^2)+'LINEST VARS'!$L$62*(0.5^2)+'LINEST VARS'!$K$62*($DV95^2)+'LINEST VARS'!$J$62*(8*8)+'LINEST VARS'!$I$62*(8*$DX$80)+'LINEST VARS'!$H$62*(8*0.5)+'LINEST VARS'!$G$62*(8*$DV95)+'LINEST VARS'!$F$62*(8*$DX$80)+'LINEST VARS'!$E$62*(8*0.5)+'LINEST VARS'!$D$62*(8*$DV95)+'LINEST VARS'!$C$62*($DX$80*0.5)+'LINEST VARS'!$B$62*($DX$80*$DV95)+'LINEST VARS'!$A$62*(0.5*$DV95)</f>
        <v>348.7</v>
      </c>
      <c r="DY95" s="55">
        <f>'LINEST VARS'!$U$62+'LINEST VARS'!$T$62*(8)+'LINEST VARS'!$S$62*(8)+'LINEST VARS'!$R$62*($DY$80)+'LINEST VARS'!$Q$62*(0.5)+'LINEST VARS'!$P$62*($DV95)+'LINEST VARS'!$O$62*(8^2)+'LINEST VARS'!$N$62*(8^2)+'LINEST VARS'!$M$62*($DY$80^2)+'LINEST VARS'!$L$62*(0.5^2)+'LINEST VARS'!$K$62*($DV95^2)+'LINEST VARS'!$J$62*(8*8)+'LINEST VARS'!$I$62*(8*$DY$80)+'LINEST VARS'!$H$62*(8*0.5)+'LINEST VARS'!$G$62*(8*$DV95)+'LINEST VARS'!$F$62*(8*$DY$80)+'LINEST VARS'!$E$62*(8*0.5)+'LINEST VARS'!$D$62*(8*$DV95)+'LINEST VARS'!$C$62*($DY$80*0.5)+'LINEST VARS'!$B$62*($DY$80*$DV95)+'LINEST VARS'!$A$62*(0.5*$DV95)</f>
        <v>346.2999999999999</v>
      </c>
      <c r="DZ95" s="55">
        <f>'LINEST VARS'!$U$62+'LINEST VARS'!$T$62*(8)+'LINEST VARS'!$S$62*(8)+'LINEST VARS'!$R$62*($DZ$80)+'LINEST VARS'!$Q$62*(0.5)+'LINEST VARS'!$P$62*($DV95)+'LINEST VARS'!$O$62*(8^2)+'LINEST VARS'!$N$62*(8^2)+'LINEST VARS'!$M$62*($DZ$80^2)+'LINEST VARS'!$L$62*(0.5^2)+'LINEST VARS'!$K$62*($DV95^2)+'LINEST VARS'!$J$62*(8*8)+'LINEST VARS'!$I$62*(8*$DZ$80)+'LINEST VARS'!$H$62*(8*0.5)+'LINEST VARS'!$G$62*(8*$DV95)+'LINEST VARS'!$F$62*(8*$DZ$80)+'LINEST VARS'!$E$62*(8*0.5)+'LINEST VARS'!$D$62*(8*$DV95)+'LINEST VARS'!$C$62*($DZ$80*0.5)+'LINEST VARS'!$B$62*($DZ$80*$DV95)+'LINEST VARS'!$A$62*(0.5*$DV95)</f>
        <v>342.29999999999995</v>
      </c>
      <c r="EA95" s="55">
        <f>'LINEST VARS'!$U$62+'LINEST VARS'!$T$62*(8)+'LINEST VARS'!$S$62*(8)+'LINEST VARS'!$R$62*($EA$80)+'LINEST VARS'!$Q$62*(0.5)+'LINEST VARS'!$P$62*($DV95)+'LINEST VARS'!$O$62*(8^2)+'LINEST VARS'!$N$62*(8^2)+'LINEST VARS'!$M$62*($EA$80^2)+'LINEST VARS'!$L$62*(0.5^2)+'LINEST VARS'!$K$62*($DV95^2)+'LINEST VARS'!$J$62*(8*8)+'LINEST VARS'!$I$62*(8*$EA$80)+'LINEST VARS'!$H$62*(8*0.5)+'LINEST VARS'!$G$62*(8*$DV95)+'LINEST VARS'!$F$62*(8*$EA$80)+'LINEST VARS'!$E$62*(8*0.5)+'LINEST VARS'!$D$62*(8*$DV95)+'LINEST VARS'!$C$62*($EA$80*0.5)+'LINEST VARS'!$B$62*($EA$80*$DV95)+'LINEST VARS'!$A$62*(0.5*$DV95)</f>
        <v>336.7</v>
      </c>
      <c r="EB95" s="55">
        <f>'LINEST VARS'!$U$62+'LINEST VARS'!$T$62*(8)+'LINEST VARS'!$S$62*(8)+'LINEST VARS'!$R$62*($EB$80)+'LINEST VARS'!$Q$62*(0.5)+'LINEST VARS'!$P$62*($DV95)+'LINEST VARS'!$O$62*(8^2)+'LINEST VARS'!$N$62*(8^2)+'LINEST VARS'!$M$62*($EB$80^2)+'LINEST VARS'!$L$62*(0.5^2)+'LINEST VARS'!$K$62*($DV95^2)+'LINEST VARS'!$J$62*(8*8)+'LINEST VARS'!$I$62*(8*$EB$80)+'LINEST VARS'!$H$62*(8*0.5)+'LINEST VARS'!$G$62*(8*$DV95)+'LINEST VARS'!$F$62*(8*$EB$80)+'LINEST VARS'!$E$62*(8*0.5)+'LINEST VARS'!$D$62*(8*$DV95)+'LINEST VARS'!$C$62*($EB$80*0.5)+'LINEST VARS'!$B$62*($EB$80*$DV95)+'LINEST VARS'!$A$62*(0.5*$DV95)</f>
        <v>329.5</v>
      </c>
      <c r="EC95" s="55">
        <f>'LINEST VARS'!$U$62+'LINEST VARS'!$T$62*(8)+'LINEST VARS'!$S$62*(8)+'LINEST VARS'!$R$62*($EC$80)+'LINEST VARS'!$Q$62*(0.5)+'LINEST VARS'!$P$62*($DV95)+'LINEST VARS'!$O$62*(8^2)+'LINEST VARS'!$N$62*(8^2)+'LINEST VARS'!$M$62*($EC$80^2)+'LINEST VARS'!$L$62*(0.5^2)+'LINEST VARS'!$K$62*($DV95^2)+'LINEST VARS'!$J$62*(8*8)+'LINEST VARS'!$I$62*(8*$EC$80)+'LINEST VARS'!$H$62*(8*0.5)+'LINEST VARS'!$G$62*(8*$DV95)+'LINEST VARS'!$F$62*(8*$EC$80)+'LINEST VARS'!$E$62*(8*0.5)+'LINEST VARS'!$D$62*(8*$DV95)+'LINEST VARS'!$C$62*($EC$80*0.5)+'LINEST VARS'!$B$62*($EC$80*$DV95)+'LINEST VARS'!$A$62*(0.5*$DV95)</f>
        <v>320.69999999999993</v>
      </c>
      <c r="ED95" s="55">
        <f>'LINEST VARS'!$U$62+'LINEST VARS'!$T$62*(8)+'LINEST VARS'!$S$62*(8)+'LINEST VARS'!$R$62*($ED$80)+'LINEST VARS'!$Q$62*(0.5)+'LINEST VARS'!$P$62*($DV95)+'LINEST VARS'!$O$62*(8^2)+'LINEST VARS'!$N$62*(8^2)+'LINEST VARS'!$M$62*($ED$80^2)+'LINEST VARS'!$L$62*(0.5^2)+'LINEST VARS'!$K$62*($DV95^2)+'LINEST VARS'!$J$62*(8*8)+'LINEST VARS'!$I$62*(8*$ED$80)+'LINEST VARS'!$H$62*(8*0.5)+'LINEST VARS'!$G$62*(8*$DV95)+'LINEST VARS'!$F$62*(8*$ED$80)+'LINEST VARS'!$E$62*(8*0.5)+'LINEST VARS'!$D$62*(8*$DV95)+'LINEST VARS'!$C$62*($ED$80*0.5)+'LINEST VARS'!$B$62*($ED$80*$DV95)+'LINEST VARS'!$A$62*(0.5*$DV95)</f>
        <v>310.29999999999995</v>
      </c>
      <c r="EE95" s="55">
        <f>'LINEST VARS'!$U$62+'LINEST VARS'!$T$62*(8)+'LINEST VARS'!$S$62*(8)+'LINEST VARS'!$R$62*($EE$80)+'LINEST VARS'!$Q$62*(0.5)+'LINEST VARS'!$P$62*($DV95)+'LINEST VARS'!$O$62*(8^2)+'LINEST VARS'!$N$62*(8^2)+'LINEST VARS'!$M$62*($EE$80^2)+'LINEST VARS'!$L$62*(0.5^2)+'LINEST VARS'!$K$62*($DV95^2)+'LINEST VARS'!$J$62*(8*8)+'LINEST VARS'!$I$62*(8*$EE$80)+'LINEST VARS'!$H$62*(8*0.5)+'LINEST VARS'!$G$62*(8*$DV95)+'LINEST VARS'!$F$62*(8*$EE$80)+'LINEST VARS'!$E$62*(8*0.5)+'LINEST VARS'!$D$62*(8*$DV95)+'LINEST VARS'!$C$62*($EE$80*0.5)+'LINEST VARS'!$B$62*($EE$80*$DV95)+'LINEST VARS'!$A$62*(0.5*$DV95)</f>
        <v>298.3</v>
      </c>
      <c r="EF95" s="55">
        <f>'LINEST VARS'!$U$62+'LINEST VARS'!$T$62*(8)+'LINEST VARS'!$S$62*(8)+'LINEST VARS'!$R$62*($EF$80)+'LINEST VARS'!$Q$62*(0.5)+'LINEST VARS'!$P$62*($DV95)+'LINEST VARS'!$O$62*(8^2)+'LINEST VARS'!$N$62*(8^2)+'LINEST VARS'!$M$62*($EF$80^2)+'LINEST VARS'!$L$62*(0.5^2)+'LINEST VARS'!$K$62*($DV95^2)+'LINEST VARS'!$J$62*(8*8)+'LINEST VARS'!$I$62*(8*$EF$80)+'LINEST VARS'!$H$62*(8*0.5)+'LINEST VARS'!$G$62*(8*$DV95)+'LINEST VARS'!$F$62*(8*$EF$80)+'LINEST VARS'!$E$62*(8*0.5)+'LINEST VARS'!$D$62*(8*$DV95)+'LINEST VARS'!$C$62*($EF$80*0.5)+'LINEST VARS'!$B$62*($EF$80*$DV95)+'LINEST VARS'!$A$62*(0.5*$DV95)</f>
        <v>284.7</v>
      </c>
      <c r="EG95" s="55">
        <f>'LINEST VARS'!$U$62+'LINEST VARS'!$T$62*(8)+'LINEST VARS'!$S$62*(8)+'LINEST VARS'!$R$62*($EG$80)+'LINEST VARS'!$Q$62*(0.5)+'LINEST VARS'!$P$62*($DV95)+'LINEST VARS'!$O$62*(8^2)+'LINEST VARS'!$N$62*(8^2)+'LINEST VARS'!$M$62*($EG$80^2)+'LINEST VARS'!$L$62*(0.5^2)+'LINEST VARS'!$K$62*($DV95^2)+'LINEST VARS'!$J$62*(8*8)+'LINEST VARS'!$I$62*(8*$EG$80)+'LINEST VARS'!$H$62*(8*0.5)+'LINEST VARS'!$G$62*(8*$DV95)+'LINEST VARS'!$F$62*(8*$EG$80)+'LINEST VARS'!$E$62*(8*0.5)+'LINEST VARS'!$D$62*(8*$DV95)+'LINEST VARS'!$C$62*($EG$80*0.5)+'LINEST VARS'!$B$62*($EG$80*$DV95)+'LINEST VARS'!$A$62*(0.5*$DV95)</f>
        <v>269.5</v>
      </c>
      <c r="EH95" s="55">
        <f>'LINEST VARS'!$U$62+'LINEST VARS'!$T$62*(8)+'LINEST VARS'!$S$62*(8)+'LINEST VARS'!$R$62*($EH$80)+'LINEST VARS'!$Q$62*(0.5)+'LINEST VARS'!$P$62*($DV95)+'LINEST VARS'!$O$62*(8^2)+'LINEST VARS'!$N$62*(8^2)+'LINEST VARS'!$M$62*($EH$80^2)+'LINEST VARS'!$L$62*(0.5^2)+'LINEST VARS'!$K$62*($DV95^2)+'LINEST VARS'!$J$62*(8*8)+'LINEST VARS'!$I$62*(8*$EH$80)+'LINEST VARS'!$H$62*(8*0.5)+'LINEST VARS'!$G$62*(8*$DV95)+'LINEST VARS'!$F$62*(8*$EH$80)+'LINEST VARS'!$E$62*(8*0.5)+'LINEST VARS'!$D$62*(8*$DV95)+'LINEST VARS'!$C$62*($EH$80*0.5)+'LINEST VARS'!$B$62*($EH$80*$DV95)+'LINEST VARS'!$A$62*(0.5*$DV95)</f>
        <v>252.70000000000007</v>
      </c>
      <c r="EI95" s="55">
        <f>'LINEST VARS'!$U$62+'LINEST VARS'!$T$62*(8)+'LINEST VARS'!$S$62*(8)+'LINEST VARS'!$R$62*($EI$80)+'LINEST VARS'!$Q$62*(0.5)+'LINEST VARS'!$P$62*($DV95)+'LINEST VARS'!$O$62*(8^2)+'LINEST VARS'!$N$62*(8^2)+'LINEST VARS'!$M$62*($EI$80^2)+'LINEST VARS'!$L$62*(0.5^2)+'LINEST VARS'!$K$62*($DV95^2)+'LINEST VARS'!$J$62*(8*8)+'LINEST VARS'!$I$62*(8*$EI$80)+'LINEST VARS'!$H$62*(8*0.5)+'LINEST VARS'!$G$62*(8*$DV95)+'LINEST VARS'!$F$62*(8*$EI$80)+'LINEST VARS'!$E$62*(8*0.5)+'LINEST VARS'!$D$62*(8*$DV95)+'LINEST VARS'!$C$62*($EI$80*0.5)+'LINEST VARS'!$B$62*($EI$80*$DV95)+'LINEST VARS'!$A$62*(0.5*$DV95)</f>
        <v>234.30000000000013</v>
      </c>
      <c r="EJ95" s="55">
        <f>'LINEST VARS'!$U$62+'LINEST VARS'!$T$62*(8)+'LINEST VARS'!$S$62*(8)+'LINEST VARS'!$R$62*($EJ$80)+'LINEST VARS'!$Q$62*(0.5)+'LINEST VARS'!$P$62*($DV95)+'LINEST VARS'!$O$62*(8^2)+'LINEST VARS'!$N$62*(8^2)+'LINEST VARS'!$M$62*($EJ$80^2)+'LINEST VARS'!$L$62*(0.5^2)+'LINEST VARS'!$K$62*($DV95^2)+'LINEST VARS'!$J$62*(8*8)+'LINEST VARS'!$I$62*(8*$EJ$80)+'LINEST VARS'!$H$62*(8*0.5)+'LINEST VARS'!$G$62*(8*$DV95)+'LINEST VARS'!$F$62*(8*$EJ$80)+'LINEST VARS'!$E$62*(8*0.5)+'LINEST VARS'!$D$62*(8*$DV95)+'LINEST VARS'!$C$62*($EJ$80*0.5)+'LINEST VARS'!$B$62*($EJ$80*$DV95)+'LINEST VARS'!$A$62*(0.5*$DV95)</f>
        <v>214.30000000000004</v>
      </c>
      <c r="EK95" s="55">
        <f>'LINEST VARS'!$U$62+'LINEST VARS'!$T$62*(8)+'LINEST VARS'!$S$62*(8)+'LINEST VARS'!$R$62*($EK$80)+'LINEST VARS'!$Q$62*(0.5)+'LINEST VARS'!$P$62*($DV95)+'LINEST VARS'!$O$62*(8^2)+'LINEST VARS'!$N$62*(8^2)+'LINEST VARS'!$M$62*($EK$80^2)+'LINEST VARS'!$L$62*(0.5^2)+'LINEST VARS'!$K$62*($DV95^2)+'LINEST VARS'!$J$62*(8*8)+'LINEST VARS'!$I$62*(8*$EK$80)+'LINEST VARS'!$H$62*(8*0.5)+'LINEST VARS'!$G$62*(8*$DV95)+'LINEST VARS'!$F$62*(8*$EK$80)+'LINEST VARS'!$E$62*(8*0.5)+'LINEST VARS'!$D$62*(8*$DV95)+'LINEST VARS'!$C$62*($EK$80*0.5)+'LINEST VARS'!$B$62*($EK$80*$DV95)+'LINEST VARS'!$A$62*(0.5*$DV95)</f>
        <v>192.70000000000013</v>
      </c>
      <c r="EL95" s="55">
        <f>'LINEST VARS'!$U$62+'LINEST VARS'!$T$62*(8)+'LINEST VARS'!$S$62*(8)+'LINEST VARS'!$R$62*($EL$80)+'LINEST VARS'!$Q$62*(0.5)+'LINEST VARS'!$P$62*($DV95)+'LINEST VARS'!$O$62*(8^2)+'LINEST VARS'!$N$62*(8^2)+'LINEST VARS'!$M$62*($EL$80^2)+'LINEST VARS'!$L$62*(0.5^2)+'LINEST VARS'!$K$62*($DV95^2)+'LINEST VARS'!$J$62*(8*8)+'LINEST VARS'!$I$62*(8*$EL$80)+'LINEST VARS'!$H$62*(8*0.5)+'LINEST VARS'!$G$62*(8*$DV95)+'LINEST VARS'!$F$62*(8*$EL$80)+'LINEST VARS'!$E$62*(8*0.5)+'LINEST VARS'!$D$62*(8*$DV95)+'LINEST VARS'!$C$62*($EL$80*0.5)+'LINEST VARS'!$B$62*($EL$80*$DV95)+'LINEST VARS'!$A$62*(0.5*$DV95)</f>
        <v>169.50000000000011</v>
      </c>
      <c r="EM95" s="55">
        <f>'LINEST VARS'!$U$62+'LINEST VARS'!$T$62*(8)+'LINEST VARS'!$S$62*(8)+'LINEST VARS'!$R$62*($EM$80)+'LINEST VARS'!$Q$62*(0.5)+'LINEST VARS'!$P$62*($DV95)+'LINEST VARS'!$O$62*(8^2)+'LINEST VARS'!$N$62*(8^2)+'LINEST VARS'!$M$62*($EM$80^2)+'LINEST VARS'!$L$62*(0.5^2)+'LINEST VARS'!$K$62*($DV95^2)+'LINEST VARS'!$J$62*(8*8)+'LINEST VARS'!$I$62*(8*$EM$80)+'LINEST VARS'!$H$62*(8*0.5)+'LINEST VARS'!$G$62*(8*$DV95)+'LINEST VARS'!$F$62*(8*$EM$80)+'LINEST VARS'!$E$62*(8*0.5)+'LINEST VARS'!$D$62*(8*$DV95)+'LINEST VARS'!$C$62*($EM$80*0.5)+'LINEST VARS'!$B$62*($EM$80*$DV95)+'LINEST VARS'!$A$62*(0.5*$DV95)</f>
        <v>144.7000000000001</v>
      </c>
      <c r="EN95" s="55">
        <f>'LINEST VARS'!$U$62+'LINEST VARS'!$T$62*(8)+'LINEST VARS'!$S$62*(8)+'LINEST VARS'!$R$62*($EN$80)+'LINEST VARS'!$Q$62*(0.5)+'LINEST VARS'!$P$62*($DV95)+'LINEST VARS'!$O$62*(8^2)+'LINEST VARS'!$N$62*(8^2)+'LINEST VARS'!$M$62*($EN$80^2)+'LINEST VARS'!$L$62*(0.5^2)+'LINEST VARS'!$K$62*($DV95^2)+'LINEST VARS'!$J$62*(8*8)+'LINEST VARS'!$I$62*(8*$EN$80)+'LINEST VARS'!$H$62*(8*0.5)+'LINEST VARS'!$G$62*(8*$DV95)+'LINEST VARS'!$F$62*(8*$EN$80)+'LINEST VARS'!$E$62*(8*0.5)+'LINEST VARS'!$D$62*(8*$DV95)+'LINEST VARS'!$C$62*($EN$80*0.5)+'LINEST VARS'!$B$62*($EN$80*$DV95)+'LINEST VARS'!$A$62*(0.5*$DV95)</f>
        <v>118.3000000000001</v>
      </c>
      <c r="EO95" s="55">
        <f>'LINEST VARS'!$U$62+'LINEST VARS'!$T$62*(8)+'LINEST VARS'!$S$62*(8)+'LINEST VARS'!$R$62*($EO$80)+'LINEST VARS'!$Q$62*(0.5)+'LINEST VARS'!$P$62*($DV95)+'LINEST VARS'!$O$62*(8^2)+'LINEST VARS'!$N$62*(8^2)+'LINEST VARS'!$M$62*($EO$80^2)+'LINEST VARS'!$L$62*(0.5^2)+'LINEST VARS'!$K$62*($DV95^2)+'LINEST VARS'!$J$62*(8*8)+'LINEST VARS'!$I$62*(8*$EO$80)+'LINEST VARS'!$H$62*(8*0.5)+'LINEST VARS'!$G$62*(8*$DV95)+'LINEST VARS'!$F$62*(8*$EO$80)+'LINEST VARS'!$E$62*(8*0.5)+'LINEST VARS'!$D$62*(8*$DV95)+'LINEST VARS'!$C$62*($EO$80*0.5)+'LINEST VARS'!$B$62*($EO$80*$DV95)+'LINEST VARS'!$A$62*(0.5*$DV95)</f>
        <v>90.300000000000097</v>
      </c>
      <c r="EP95" s="55">
        <f>'LINEST VARS'!$U$62+'LINEST VARS'!$T$62*(8)+'LINEST VARS'!$S$62*(8)+'LINEST VARS'!$R$62*($EP$80)+'LINEST VARS'!$Q$62*(0.5)+'LINEST VARS'!$P$62*($DV95)+'LINEST VARS'!$O$62*(8^2)+'LINEST VARS'!$N$62*(8^2)+'LINEST VARS'!$M$62*($EP$80^2)+'LINEST VARS'!$L$62*(0.5^2)+'LINEST VARS'!$K$62*($DV95^2)+'LINEST VARS'!$J$62*(8*8)+'LINEST VARS'!$I$62*(8*$EP$80)+'LINEST VARS'!$H$62*(8*0.5)+'LINEST VARS'!$G$62*(8*$DV95)+'LINEST VARS'!$F$62*(8*$EP$80)+'LINEST VARS'!$E$62*(8*0.5)+'LINEST VARS'!$D$62*(8*$DV95)+'LINEST VARS'!$C$62*($EP$80*0.5)+'LINEST VARS'!$B$62*($EP$80*$DV95)+'LINEST VARS'!$A$62*(0.5*$DV95)</f>
        <v>60.700000000000152</v>
      </c>
      <c r="EQ95" s="56">
        <f>'LINEST VARS'!$U$62+'LINEST VARS'!$T$62*(8)+'LINEST VARS'!$S$62*(8)+'LINEST VARS'!$R$62*($EQ$80)+'LINEST VARS'!$Q$62*(0.5)+'LINEST VARS'!$P$62*($DV95)+'LINEST VARS'!$O$62*(8^2)+'LINEST VARS'!$N$62*(8^2)+'LINEST VARS'!$M$62*($EQ$80^2)+'LINEST VARS'!$L$62*(0.5^2)+'LINEST VARS'!$K$62*($DV95^2)+'LINEST VARS'!$J$62*(8*8)+'LINEST VARS'!$I$62*(8*$EQ$80)+'LINEST VARS'!$H$62*(8*0.5)+'LINEST VARS'!$G$62*(8*$DV95)+'LINEST VARS'!$F$62*(8*$EQ$80)+'LINEST VARS'!$E$62*(8*0.5)+'LINEST VARS'!$D$62*(8*$DV95)+'LINEST VARS'!$C$62*($EQ$80*0.5)+'LINEST VARS'!$B$62*($EQ$80*$DV95)+'LINEST VARS'!$A$62*(0.5*$DV95)</f>
        <v>29.500000000000192</v>
      </c>
    </row>
    <row r="96" spans="2:147" ht="15" customHeight="1" x14ac:dyDescent="0.25">
      <c r="B96" s="45">
        <v>8.3000000000000007</v>
      </c>
      <c r="C96" s="46">
        <f>'LINEST VARS'!$U$60+'LINEST VARS'!$T$60*($C$80)+'LINEST VARS'!$S$60*($B96)+'LINEST VARS'!$R$60*(4)+'LINEST VARS'!$Q$60*(0.5)+'LINEST VARS'!$P$60*(12.73)+'LINEST VARS'!$O$60*($C$80^2)+'LINEST VARS'!$N$60*($B96^2)+'LINEST VARS'!$M$60*(4^2)+'LINEST VARS'!$L$60*(0.5^2)+'LINEST VARS'!$K$60*(12.73^2)+'LINEST VARS'!$J$60*($C$80*$B96)+'LINEST VARS'!$I$60*($C$80*4)+'LINEST VARS'!$H$60*($C$80*0.5)+'LINEST VARS'!$G$60*($C$80*12.73)+'LINEST VARS'!$F$60*($B96*4)+'LINEST VARS'!$E$60*($B96*0.5)+'LINEST VARS'!$D$60*($B96*12.73)+'LINEST VARS'!$C$60*(4*0.5)+'LINEST VARS'!$B$60*(4*12.73)+'LINEST VARS'!$A$60*(0.5*12.73)</f>
        <v>40.460000000000008</v>
      </c>
      <c r="D96" s="46">
        <f>'LINEST VARS'!$U$60+'LINEST VARS'!$T$60*($D$80)+'LINEST VARS'!$S$60*($B96)+'LINEST VARS'!$R$60*(4)+'LINEST VARS'!$Q$60*(0.5)+'LINEST VARS'!$P$60*(12.73)+'LINEST VARS'!$O$60*($D$80^2)+'LINEST VARS'!$N$60*($B96^2)+'LINEST VARS'!$M$60*(4^2)+'LINEST VARS'!$L$60*(0.5^2)+'LINEST VARS'!$K$60*(12.73^2)+'LINEST VARS'!$J$60*($D$80*$B96)+'LINEST VARS'!$I$60*($D$80*4)+'LINEST VARS'!$H$60*($D$80*0.5)+'LINEST VARS'!$G$60*($D$80*12.73)+'LINEST VARS'!$F$60*($B96*4)+'LINEST VARS'!$E$60*($B96*0.5)+'LINEST VARS'!$D$60*($B96*12.73)+'LINEST VARS'!$C$60*(4*0.5)+'LINEST VARS'!$B$60*(4*12.73)+'LINEST VARS'!$A$60*(0.5*12.73)</f>
        <v>40.460000000000008</v>
      </c>
      <c r="E96" s="46">
        <f>'LINEST VARS'!$U$60+'LINEST VARS'!$T$60*($E$80)+'LINEST VARS'!$S$60*($B96)+'LINEST VARS'!$R$60*(4)+'LINEST VARS'!$Q$60*(0.5)+'LINEST VARS'!$P$60*(12.73)+'LINEST VARS'!$O$60*($E$80^2)+'LINEST VARS'!$N$60*($B96^2)+'LINEST VARS'!$M$60*(4^2)+'LINEST VARS'!$L$60*(0.5^2)+'LINEST VARS'!$K$60*(12.73^2)+'LINEST VARS'!$J$60*($E$80*$B96)+'LINEST VARS'!$I$60*($E$80*4)+'LINEST VARS'!$H$60*($E$80*0.5)+'LINEST VARS'!$G$60*($E$80*12.73)+'LINEST VARS'!$F$60*($B96*4)+'LINEST VARS'!$E$60*($B96*0.5)+'LINEST VARS'!$D$60*($B96*12.73)+'LINEST VARS'!$C$60*(4*0.5)+'LINEST VARS'!$B$60*(4*12.73)+'LINEST VARS'!$A$60*(0.5*12.73)</f>
        <v>40.460000000000008</v>
      </c>
      <c r="F96" s="46">
        <f>'LINEST VARS'!$U$60+'LINEST VARS'!$T$60*($F$80)+'LINEST VARS'!$S$60*($B96)+'LINEST VARS'!$R$60*(4)+'LINEST VARS'!$Q$60*(0.5)+'LINEST VARS'!$P$60*(12.73)+'LINEST VARS'!$O$60*($F$80^2)+'LINEST VARS'!$N$60*($B96^2)+'LINEST VARS'!$M$60*(4^2)+'LINEST VARS'!$L$60*(0.5^2)+'LINEST VARS'!$K$60*(12.73^2)+'LINEST VARS'!$J$60*($F$80*$B96)+'LINEST VARS'!$I$60*($F$80*4)+'LINEST VARS'!$H$60*($F$80*0.5)+'LINEST VARS'!$G$60*($F$80*12.73)+'LINEST VARS'!$F$60*($B96*4)+'LINEST VARS'!$E$60*($B96*0.5)+'LINEST VARS'!$D$60*($B96*12.73)+'LINEST VARS'!$C$60*(4*0.5)+'LINEST VARS'!$B$60*(4*12.73)+'LINEST VARS'!$A$60*(0.5*12.73)</f>
        <v>40.46</v>
      </c>
      <c r="G96" s="46">
        <f>'LINEST VARS'!$U$60+'LINEST VARS'!$T$60*($G$80)+'LINEST VARS'!$S$60*($B96)+'LINEST VARS'!$R$60*(4)+'LINEST VARS'!$Q$60*(0.5)+'LINEST VARS'!$P$60*(12.73)+'LINEST VARS'!$O$60*($G$80^2)+'LINEST VARS'!$N$60*($B96^2)+'LINEST VARS'!$M$60*(4^2)+'LINEST VARS'!$L$60*(0.5^2)+'LINEST VARS'!$K$60*(12.73^2)+'LINEST VARS'!$J$60*($G$80*$B96)+'LINEST VARS'!$I$60*($G$80*4)+'LINEST VARS'!$H$60*($G$80*0.5)+'LINEST VARS'!$G$60*($G$80*12.73)+'LINEST VARS'!$F$60*($B96*4)+'LINEST VARS'!$E$60*($B96*0.5)+'LINEST VARS'!$D$60*($B96*12.73)+'LINEST VARS'!$C$60*(4*0.5)+'LINEST VARS'!$B$60*(4*12.73)+'LINEST VARS'!$A$60*(0.5*12.73)</f>
        <v>40.46</v>
      </c>
      <c r="H96" s="46">
        <f>'LINEST VARS'!$U$60+'LINEST VARS'!$T$60*($H$80)+'LINEST VARS'!$S$60*($B96)+'LINEST VARS'!$R$60*(4)+'LINEST VARS'!$Q$60*(0.5)+'LINEST VARS'!$P$60*(12.73)+'LINEST VARS'!$O$60*($H$80^2)+'LINEST VARS'!$N$60*($B96^2)+'LINEST VARS'!$M$60*(4^2)+'LINEST VARS'!$L$60*(0.5^2)+'LINEST VARS'!$K$60*(12.73^2)+'LINEST VARS'!$J$60*($H$80*$B96)+'LINEST VARS'!$I$60*($H$80*4)+'LINEST VARS'!$H$60*($H$80*0.5)+'LINEST VARS'!$G$60*($H$80*12.73)+'LINEST VARS'!$F$60*($B96*4)+'LINEST VARS'!$E$60*($B96*0.5)+'LINEST VARS'!$D$60*($B96*12.73)+'LINEST VARS'!$C$60*(4*0.5)+'LINEST VARS'!$B$60*(4*12.73)+'LINEST VARS'!$A$60*(0.5*12.73)</f>
        <v>40.46</v>
      </c>
      <c r="I96" s="46">
        <f>'LINEST VARS'!$U$60+'LINEST VARS'!$T$60*($I$80)+'LINEST VARS'!$S$60*($B96)+'LINEST VARS'!$R$60*(4)+'LINEST VARS'!$Q$60*(0.5)+'LINEST VARS'!$P$60*(12.73)+'LINEST VARS'!$O$60*($I$80^2)+'LINEST VARS'!$N$60*($B96^2)+'LINEST VARS'!$M$60*(4^2)+'LINEST VARS'!$L$60*(0.5^2)+'LINEST VARS'!$K$60*(12.73^2)+'LINEST VARS'!$J$60*($I$80*$B96)+'LINEST VARS'!$I$60*($I$80*4)+'LINEST VARS'!$H$60*($I$80*0.5)+'LINEST VARS'!$G$60*($I$80*12.73)+'LINEST VARS'!$F$60*($B96*4)+'LINEST VARS'!$E$60*($B96*0.5)+'LINEST VARS'!$D$60*($B96*12.73)+'LINEST VARS'!$C$60*(4*0.5)+'LINEST VARS'!$B$60*(4*12.73)+'LINEST VARS'!$A$60*(0.5*12.73)</f>
        <v>40.460000000000008</v>
      </c>
      <c r="J96" s="46">
        <f>'LINEST VARS'!$U$60+'LINEST VARS'!$T$60*($J$80)+'LINEST VARS'!$S$60*($B96)+'LINEST VARS'!$R$60*(4)+'LINEST VARS'!$Q$60*(0.5)+'LINEST VARS'!$P$60*(12.73)+'LINEST VARS'!$O$60*($J$80^2)+'LINEST VARS'!$N$60*($B96^2)+'LINEST VARS'!$M$60*(4^2)+'LINEST VARS'!$L$60*(0.5^2)+'LINEST VARS'!$K$60*(12.73^2)+'LINEST VARS'!$J$60*($J$80*$B96)+'LINEST VARS'!$I$60*($J$80*4)+'LINEST VARS'!$H$60*($J$80*0.5)+'LINEST VARS'!$G$60*($J$80*12.73)+'LINEST VARS'!$F$60*($B96*4)+'LINEST VARS'!$E$60*($B96*0.5)+'LINEST VARS'!$D$60*($B96*12.73)+'LINEST VARS'!$C$60*(4*0.5)+'LINEST VARS'!$B$60*(4*12.73)+'LINEST VARS'!$A$60*(0.5*12.73)</f>
        <v>40.460000000000008</v>
      </c>
      <c r="K96" s="46">
        <f>'LINEST VARS'!$U$60+'LINEST VARS'!$T$60*($K$80)+'LINEST VARS'!$S$60*($B96)+'LINEST VARS'!$R$60*(4)+'LINEST VARS'!$Q$60*(0.5)+'LINEST VARS'!$P$60*(12.73)+'LINEST VARS'!$O$60*($K$80^2)+'LINEST VARS'!$N$60*($B96^2)+'LINEST VARS'!$M$60*(4^2)+'LINEST VARS'!$L$60*(0.5^2)+'LINEST VARS'!$K$60*(12.73^2)+'LINEST VARS'!$J$60*($K$80*$B96)+'LINEST VARS'!$I$60*($K$80*4)+'LINEST VARS'!$H$60*($K$80*0.5)+'LINEST VARS'!$G$60*($K$80*12.73)+'LINEST VARS'!$F$60*($B96*4)+'LINEST VARS'!$E$60*($B96*0.5)+'LINEST VARS'!$D$60*($B96*12.73)+'LINEST VARS'!$C$60*(4*0.5)+'LINEST VARS'!$B$60*(4*12.73)+'LINEST VARS'!$A$60*(0.5*12.73)</f>
        <v>40.46</v>
      </c>
      <c r="L96" s="46">
        <f>'LINEST VARS'!$U$60+'LINEST VARS'!$T$60*($L$80)+'LINEST VARS'!$S$60*($B96)+'LINEST VARS'!$R$60*(4)+'LINEST VARS'!$Q$60*(0.5)+'LINEST VARS'!$P$60*(12.73)+'LINEST VARS'!$O$60*($L$80^2)+'LINEST VARS'!$N$60*($B96^2)+'LINEST VARS'!$M$60*(4^2)+'LINEST VARS'!$L$60*(0.5^2)+'LINEST VARS'!$K$60*(12.73^2)+'LINEST VARS'!$J$60*($L$80*$B96)+'LINEST VARS'!$I$60*($L$80*4)+'LINEST VARS'!$H$60*($L$80*0.5)+'LINEST VARS'!$G$60*($L$80*12.73)+'LINEST VARS'!$F$60*($B96*4)+'LINEST VARS'!$E$60*($B96*0.5)+'LINEST VARS'!$D$60*($B96*12.73)+'LINEST VARS'!$C$60*(4*0.5)+'LINEST VARS'!$B$60*(4*12.73)+'LINEST VARS'!$A$60*(0.5*12.73)</f>
        <v>40.46</v>
      </c>
      <c r="M96" s="46">
        <f>'LINEST VARS'!$U$60+'LINEST VARS'!$T$60*($M$80)+'LINEST VARS'!$S$60*($B96)+'LINEST VARS'!$R$60*(4)+'LINEST VARS'!$Q$60*(0.5)+'LINEST VARS'!$P$60*(12.73)+'LINEST VARS'!$O$60*($M$80^2)+'LINEST VARS'!$N$60*($B96^2)+'LINEST VARS'!$M$60*(4^2)+'LINEST VARS'!$L$60*(0.5^2)+'LINEST VARS'!$K$60*(12.73^2)+'LINEST VARS'!$J$60*($M$80*$B96)+'LINEST VARS'!$I$60*($M$80*4)+'LINEST VARS'!$H$60*($M$80*0.5)+'LINEST VARS'!$G$60*($M$80*12.73)+'LINEST VARS'!$F$60*($B96*4)+'LINEST VARS'!$E$60*($B96*0.5)+'LINEST VARS'!$D$60*($B96*12.73)+'LINEST VARS'!$C$60*(4*0.5)+'LINEST VARS'!$B$60*(4*12.73)+'LINEST VARS'!$A$60*(0.5*12.73)</f>
        <v>40.46</v>
      </c>
      <c r="N96" s="46">
        <f>'LINEST VARS'!$U$60+'LINEST VARS'!$T$60*($N$80)+'LINEST VARS'!$S$60*($B96)+'LINEST VARS'!$R$60*(4)+'LINEST VARS'!$Q$60*(0.5)+'LINEST VARS'!$P$60*(12.73)+'LINEST VARS'!$O$60*($N$80^2)+'LINEST VARS'!$N$60*($B96^2)+'LINEST VARS'!$M$60*(4^2)+'LINEST VARS'!$L$60*(0.5^2)+'LINEST VARS'!$K$60*(12.73^2)+'LINEST VARS'!$J$60*($N$80*$B96)+'LINEST VARS'!$I$60*($N$80*4)+'LINEST VARS'!$H$60*($N$80*0.5)+'LINEST VARS'!$G$60*($N$80*12.73)+'LINEST VARS'!$F$60*($B96*4)+'LINEST VARS'!$E$60*($B96*0.5)+'LINEST VARS'!$D$60*($B96*12.73)+'LINEST VARS'!$C$60*(4*0.5)+'LINEST VARS'!$B$60*(4*12.73)+'LINEST VARS'!$A$60*(0.5*12.73)</f>
        <v>40.46</v>
      </c>
      <c r="O96" s="46">
        <f>'LINEST VARS'!$U$60+'LINEST VARS'!$T$60*($O$80)+'LINEST VARS'!$S$60*($B96)+'LINEST VARS'!$R$60*(4)+'LINEST VARS'!$Q$60*(0.5)+'LINEST VARS'!$P$60*(12.73)+'LINEST VARS'!$O$60*($O$80^2)+'LINEST VARS'!$N$60*($B96^2)+'LINEST VARS'!$M$60*(4^2)+'LINEST VARS'!$L$60*(0.5^2)+'LINEST VARS'!$K$60*(12.73^2)+'LINEST VARS'!$J$60*($O$80*$B96)+'LINEST VARS'!$I$60*($O$80*4)+'LINEST VARS'!$H$60*($O$80*0.5)+'LINEST VARS'!$G$60*($O$80*12.73)+'LINEST VARS'!$F$60*($B96*4)+'LINEST VARS'!$E$60*($B96*0.5)+'LINEST VARS'!$D$60*($B96*12.73)+'LINEST VARS'!$C$60*(4*0.5)+'LINEST VARS'!$B$60*(4*12.73)+'LINEST VARS'!$A$60*(0.5*12.73)</f>
        <v>40.460000000000008</v>
      </c>
      <c r="P96" s="46">
        <f>'LINEST VARS'!$U$60+'LINEST VARS'!$T$60*($P$80)+'LINEST VARS'!$S$60*($B96)+'LINEST VARS'!$R$60*(4)+'LINEST VARS'!$Q$60*(0.5)+'LINEST VARS'!$P$60*(12.73)+'LINEST VARS'!$O$60*($P$80^2)+'LINEST VARS'!$N$60*($B96^2)+'LINEST VARS'!$M$60*(4^2)+'LINEST VARS'!$L$60*(0.5^2)+'LINEST VARS'!$K$60*(12.73^2)+'LINEST VARS'!$J$60*($P$80*$B96)+'LINEST VARS'!$I$60*($P$80*4)+'LINEST VARS'!$H$60*($P$80*0.5)+'LINEST VARS'!$G$60*($P$80*12.73)+'LINEST VARS'!$F$60*($B96*4)+'LINEST VARS'!$E$60*($B96*0.5)+'LINEST VARS'!$D$60*($B96*12.73)+'LINEST VARS'!$C$60*(4*0.5)+'LINEST VARS'!$B$60*(4*12.73)+'LINEST VARS'!$A$60*(0.5*12.73)</f>
        <v>40.460000000000008</v>
      </c>
      <c r="Q96" s="46">
        <f>'LINEST VARS'!$U$60+'LINEST VARS'!$T$60*($Q$80)+'LINEST VARS'!$S$60*($B96)+'LINEST VARS'!$R$60*(4)+'LINEST VARS'!$Q$60*(0.5)+'LINEST VARS'!$P$60*(12.73)+'LINEST VARS'!$O$60*($Q$80^2)+'LINEST VARS'!$N$60*($B96^2)+'LINEST VARS'!$M$60*(4^2)+'LINEST VARS'!$L$60*(0.5^2)+'LINEST VARS'!$K$60*(12.73^2)+'LINEST VARS'!$J$60*($Q$80*$B96)+'LINEST VARS'!$I$60*($Q$80*4)+'LINEST VARS'!$H$60*($Q$80*0.5)+'LINEST VARS'!$G$60*($Q$80*12.73)+'LINEST VARS'!$F$60*($B96*4)+'LINEST VARS'!$E$60*($B96*0.5)+'LINEST VARS'!$D$60*($B96*12.73)+'LINEST VARS'!$C$60*(4*0.5)+'LINEST VARS'!$B$60*(4*12.73)+'LINEST VARS'!$A$60*(0.5*12.73)</f>
        <v>40.460000000000008</v>
      </c>
      <c r="R96" s="46">
        <f>'LINEST VARS'!$U$60+'LINEST VARS'!$T$60*($R$80)+'LINEST VARS'!$S$60*($B96)+'LINEST VARS'!$R$60*(4)+'LINEST VARS'!$Q$60*(0.5)+'LINEST VARS'!$P$60*(12.73)+'LINEST VARS'!$O$60*($R$80^2)+'LINEST VARS'!$N$60*($B96^2)+'LINEST VARS'!$M$60*(4^2)+'LINEST VARS'!$L$60*(0.5^2)+'LINEST VARS'!$K$60*(12.73^2)+'LINEST VARS'!$J$60*($R$80*$B96)+'LINEST VARS'!$I$60*($R$80*4)+'LINEST VARS'!$H$60*($R$80*0.5)+'LINEST VARS'!$G$60*($R$80*12.73)+'LINEST VARS'!$F$60*($B96*4)+'LINEST VARS'!$E$60*($B96*0.5)+'LINEST VARS'!$D$60*($B96*12.73)+'LINEST VARS'!$C$60*(4*0.5)+'LINEST VARS'!$B$60*(4*12.73)+'LINEST VARS'!$A$60*(0.5*12.73)</f>
        <v>40.460000000000008</v>
      </c>
      <c r="S96" s="46">
        <f>'LINEST VARS'!$U$60+'LINEST VARS'!$T$60*($S$80)+'LINEST VARS'!$S$60*($B96)+'LINEST VARS'!$R$60*(4)+'LINEST VARS'!$Q$60*(0.5)+'LINEST VARS'!$P$60*(12.73)+'LINEST VARS'!$O$60*($S$80^2)+'LINEST VARS'!$N$60*($B96^2)+'LINEST VARS'!$M$60*(4^2)+'LINEST VARS'!$L$60*(0.5^2)+'LINEST VARS'!$K$60*(12.73^2)+'LINEST VARS'!$J$60*($S$80*$B96)+'LINEST VARS'!$I$60*($S$80*4)+'LINEST VARS'!$H$60*($S$80*0.5)+'LINEST VARS'!$G$60*($S$80*12.73)+'LINEST VARS'!$F$60*($B96*4)+'LINEST VARS'!$E$60*($B96*0.5)+'LINEST VARS'!$D$60*($B96*12.73)+'LINEST VARS'!$C$60*(4*0.5)+'LINEST VARS'!$B$60*(4*12.73)+'LINEST VARS'!$A$60*(0.5*12.73)</f>
        <v>40.460000000000008</v>
      </c>
      <c r="T96" s="46">
        <f>'LINEST VARS'!$U$60+'LINEST VARS'!$T$60*($T$80)+'LINEST VARS'!$S$60*($B96)+'LINEST VARS'!$R$60*(4)+'LINEST VARS'!$Q$60*(0.5)+'LINEST VARS'!$P$60*(12.73)+'LINEST VARS'!$O$60*($T$80^2)+'LINEST VARS'!$N$60*($B96^2)+'LINEST VARS'!$M$60*(4^2)+'LINEST VARS'!$L$60*(0.5^2)+'LINEST VARS'!$K$60*(12.73^2)+'LINEST VARS'!$J$60*($T$80*$B96)+'LINEST VARS'!$I$60*($T$80*4)+'LINEST VARS'!$H$60*($T$80*0.5)+'LINEST VARS'!$G$60*($T$80*12.73)+'LINEST VARS'!$F$60*($B96*4)+'LINEST VARS'!$E$60*($B96*0.5)+'LINEST VARS'!$D$60*($B96*12.73)+'LINEST VARS'!$C$60*(4*0.5)+'LINEST VARS'!$B$60*(4*12.73)+'LINEST VARS'!$A$60*(0.5*12.73)</f>
        <v>40.460000000000008</v>
      </c>
      <c r="U96" s="46">
        <f>'LINEST VARS'!$U$60+'LINEST VARS'!$T$60*($U$80)+'LINEST VARS'!$S$60*($B96)+'LINEST VARS'!$R$60*(4)+'LINEST VARS'!$Q$60*(0.5)+'LINEST VARS'!$P$60*(12.73)+'LINEST VARS'!$O$60*($U$80^2)+'LINEST VARS'!$N$60*($B96^2)+'LINEST VARS'!$M$60*(4^2)+'LINEST VARS'!$L$60*(0.5^2)+'LINEST VARS'!$K$60*(12.73^2)+'LINEST VARS'!$J$60*($U$80*$B96)+'LINEST VARS'!$I$60*($U$80*4)+'LINEST VARS'!$H$60*($U$80*0.5)+'LINEST VARS'!$G$60*($U$80*12.73)+'LINEST VARS'!$F$60*($B96*4)+'LINEST VARS'!$E$60*($B96*0.5)+'LINEST VARS'!$D$60*($B96*12.73)+'LINEST VARS'!$C$60*(4*0.5)+'LINEST VARS'!$B$60*(4*12.73)+'LINEST VARS'!$A$60*(0.5*12.73)</f>
        <v>40.460000000000008</v>
      </c>
      <c r="V96" s="46">
        <f>'LINEST VARS'!$U$60+'LINEST VARS'!$T$60*($V$80)+'LINEST VARS'!$S$60*($B96)+'LINEST VARS'!$R$60*(4)+'LINEST VARS'!$Q$60*(0.5)+'LINEST VARS'!$P$60*(12.73)+'LINEST VARS'!$O$60*($V$80^2)+'LINEST VARS'!$N$60*($B96^2)+'LINEST VARS'!$M$60*(4^2)+'LINEST VARS'!$L$60*(0.5^2)+'LINEST VARS'!$K$60*(12.73^2)+'LINEST VARS'!$J$60*($V$80*$B96)+'LINEST VARS'!$I$60*($V$80*4)+'LINEST VARS'!$H$60*($V$80*0.5)+'LINEST VARS'!$G$60*($V$80*12.73)+'LINEST VARS'!$F$60*($B96*4)+'LINEST VARS'!$E$60*($B96*0.5)+'LINEST VARS'!$D$60*($B96*12.73)+'LINEST VARS'!$C$60*(4*0.5)+'LINEST VARS'!$B$60*(4*12.73)+'LINEST VARS'!$A$60*(0.5*12.73)</f>
        <v>40.460000000000008</v>
      </c>
      <c r="W96" s="47">
        <f>'LINEST VARS'!$U$60+'LINEST VARS'!$T$60*($W$80)+'LINEST VARS'!$S$60*($B96)+'LINEST VARS'!$R$60*(4)+'LINEST VARS'!$Q$60*(0.5)+'LINEST VARS'!$P$60*(12.73)+'LINEST VARS'!$O$60*($W$80^2)+'LINEST VARS'!$N$60*($B96^2)+'LINEST VARS'!$M$60*(4^2)+'LINEST VARS'!$L$60*(0.5^2)+'LINEST VARS'!$K$60*(12.73^2)+'LINEST VARS'!$J$60*($W$80*$B96)+'LINEST VARS'!$I$60*($W$80*4)+'LINEST VARS'!$H$60*($W$80*0.5)+'LINEST VARS'!$G$60*($W$80*12.73)+'LINEST VARS'!$F$60*($B96*4)+'LINEST VARS'!$E$60*($B96*0.5)+'LINEST VARS'!$D$60*($B96*12.73)+'LINEST VARS'!$C$60*(4*0.5)+'LINEST VARS'!$B$60*(4*12.73)+'LINEST VARS'!$A$60*(0.5*12.73)</f>
        <v>40.460000000000008</v>
      </c>
      <c r="Z96" s="45">
        <v>8.3000000000000007</v>
      </c>
      <c r="AA96" s="55">
        <f>'LINEST VARS'!$U$62+'LINEST VARS'!$T$62*($AA$80)+'LINEST VARS'!$S$62*($Z96)+'LINEST VARS'!$R$62*(4)+'LINEST VARS'!$Q$62*(0.5)+'LINEST VARS'!$P$62*(12.73)+'LINEST VARS'!$O$62*($AA$80^2)+'LINEST VARS'!$N$62*($Z96^2)+'LINEST VARS'!$M$62*(4^2)+'LINEST VARS'!$L$62*(0.5^2)+'LINEST VARS'!$K$62*(12.73^2)+'LINEST VARS'!$J$62*($AA$80*$Z96)+'LINEST VARS'!$I$62*($AA$80*4)+'LINEST VARS'!$H$62*($AA$80*0.5)+'LINEST VARS'!$G$62*($AA$80*12.73)+'LINEST VARS'!$F$62*($Z96*4)+'LINEST VARS'!$E$62*($Z96*0.5)+'LINEST VARS'!$D$62*($Z96*12.73)+'LINEST VARS'!$C$62*(4*0.5)+'LINEST VARS'!$B$62*(4*12.73)+'LINEST VARS'!$A$62*(0.5*12.73)</f>
        <v>269.49999999999994</v>
      </c>
      <c r="AB96" s="55">
        <f>'LINEST VARS'!$U$62+'LINEST VARS'!$T$62*($AB$80)+'LINEST VARS'!$S$62*($Z96)+'LINEST VARS'!$R$62*(4)+'LINEST VARS'!$Q$62*(0.5)+'LINEST VARS'!$P$62*(12.73)+'LINEST VARS'!$O$62*($AB$80^2)+'LINEST VARS'!$N$62*($Z96^2)+'LINEST VARS'!$M$62*(4^2)+'LINEST VARS'!$L$62*(0.5^2)+'LINEST VARS'!$K$62*(12.73^2)+'LINEST VARS'!$J$62*($AB$80*$Z96)+'LINEST VARS'!$I$62*($AB$80*4)+'LINEST VARS'!$H$62*($AB$80*0.5)+'LINEST VARS'!$G$62*($AB$80*12.73)+'LINEST VARS'!$F$62*($Z96*4)+'LINEST VARS'!$E$62*($Z96*0.5)+'LINEST VARS'!$D$62*($Z96*12.73)+'LINEST VARS'!$C$62*(4*0.5)+'LINEST VARS'!$B$62*(4*12.73)+'LINEST VARS'!$A$62*(0.5*12.73)</f>
        <v>269.49999999999994</v>
      </c>
      <c r="AC96" s="55">
        <f>'LINEST VARS'!$U$62+'LINEST VARS'!$T$62*($AC$80)+'LINEST VARS'!$S$62*($Z96)+'LINEST VARS'!$R$62*(4)+'LINEST VARS'!$Q$62*(0.5)+'LINEST VARS'!$P$62*(12.73)+'LINEST VARS'!$O$62*($AC$80^2)+'LINEST VARS'!$N$62*($Z96^2)+'LINEST VARS'!$M$62*(4^2)+'LINEST VARS'!$L$62*(0.5^2)+'LINEST VARS'!$K$62*(12.73^2)+'LINEST VARS'!$J$62*($AC$80*$Z96)+'LINEST VARS'!$I$62*($AC$80*4)+'LINEST VARS'!$H$62*($AC$80*0.5)+'LINEST VARS'!$G$62*($AC$80*12.73)+'LINEST VARS'!$F$62*($Z96*4)+'LINEST VARS'!$E$62*($Z96*0.5)+'LINEST VARS'!$D$62*($Z96*12.73)+'LINEST VARS'!$C$62*(4*0.5)+'LINEST VARS'!$B$62*(4*12.73)+'LINEST VARS'!$A$62*(0.5*12.73)</f>
        <v>269.49999999999994</v>
      </c>
      <c r="AD96" s="55">
        <f>'LINEST VARS'!$U$62+'LINEST VARS'!$T$62*($AD$80)+'LINEST VARS'!$S$62*($Z96)+'LINEST VARS'!$R$62*(4)+'LINEST VARS'!$Q$62*(0.5)+'LINEST VARS'!$P$62*(12.73)+'LINEST VARS'!$O$62*($AD$80^2)+'LINEST VARS'!$N$62*($Z96^2)+'LINEST VARS'!$M$62*(4^2)+'LINEST VARS'!$L$62*(0.5^2)+'LINEST VARS'!$K$62*(12.73^2)+'LINEST VARS'!$J$62*($AD$80*$Z96)+'LINEST VARS'!$I$62*($AD$80*4)+'LINEST VARS'!$H$62*($AD$80*0.5)+'LINEST VARS'!$G$62*($AD$80*12.73)+'LINEST VARS'!$F$62*($Z96*4)+'LINEST VARS'!$E$62*($Z96*0.5)+'LINEST VARS'!$D$62*($Z96*12.73)+'LINEST VARS'!$C$62*(4*0.5)+'LINEST VARS'!$B$62*(4*12.73)+'LINEST VARS'!$A$62*(0.5*12.73)</f>
        <v>269.5</v>
      </c>
      <c r="AE96" s="55">
        <f>'LINEST VARS'!$U$62+'LINEST VARS'!$T$62*($AE$80)+'LINEST VARS'!$S$62*($Z96)+'LINEST VARS'!$R$62*(4)+'LINEST VARS'!$Q$62*(0.5)+'LINEST VARS'!$P$62*(12.73)+'LINEST VARS'!$O$62*($AE$80^2)+'LINEST VARS'!$N$62*($Z96^2)+'LINEST VARS'!$M$62*(4^2)+'LINEST VARS'!$L$62*(0.5^2)+'LINEST VARS'!$K$62*(12.73^2)+'LINEST VARS'!$J$62*($AE$80*$Z96)+'LINEST VARS'!$I$62*($AE$80*4)+'LINEST VARS'!$H$62*($AE$80*0.5)+'LINEST VARS'!$G$62*($AE$80*12.73)+'LINEST VARS'!$F$62*($Z96*4)+'LINEST VARS'!$E$62*($Z96*0.5)+'LINEST VARS'!$D$62*($Z96*12.73)+'LINEST VARS'!$C$62*(4*0.5)+'LINEST VARS'!$B$62*(4*12.73)+'LINEST VARS'!$A$62*(0.5*12.73)</f>
        <v>269.49999999999994</v>
      </c>
      <c r="AF96" s="55">
        <f>'LINEST VARS'!$U$62+'LINEST VARS'!$T$62*($AF$80)+'LINEST VARS'!$S$62*($Z96)+'LINEST VARS'!$R$62*(4)+'LINEST VARS'!$Q$62*(0.5)+'LINEST VARS'!$P$62*(12.73)+'LINEST VARS'!$O$62*($AF$80^2)+'LINEST VARS'!$N$62*($Z96^2)+'LINEST VARS'!$M$62*(4^2)+'LINEST VARS'!$L$62*(0.5^2)+'LINEST VARS'!$K$62*(12.73^2)+'LINEST VARS'!$J$62*($AF$80*$Z96)+'LINEST VARS'!$I$62*($AF$80*4)+'LINEST VARS'!$H$62*($AF$80*0.5)+'LINEST VARS'!$G$62*($AF$80*12.73)+'LINEST VARS'!$F$62*($Z96*4)+'LINEST VARS'!$E$62*($Z96*0.5)+'LINEST VARS'!$D$62*($Z96*12.73)+'LINEST VARS'!$C$62*(4*0.5)+'LINEST VARS'!$B$62*(4*12.73)+'LINEST VARS'!$A$62*(0.5*12.73)</f>
        <v>269.49999999999989</v>
      </c>
      <c r="AG96" s="55">
        <f>'LINEST VARS'!$U$62+'LINEST VARS'!$T$62*($AG$80)+'LINEST VARS'!$S$62*($Z96)+'LINEST VARS'!$R$62*(4)+'LINEST VARS'!$Q$62*(0.5)+'LINEST VARS'!$P$62*(12.73)+'LINEST VARS'!$O$62*($AG$80^2)+'LINEST VARS'!$N$62*($Z96^2)+'LINEST VARS'!$M$62*(4^2)+'LINEST VARS'!$L$62*(0.5^2)+'LINEST VARS'!$K$62*(12.73^2)+'LINEST VARS'!$J$62*($AG$80*$Z96)+'LINEST VARS'!$I$62*($AG$80*4)+'LINEST VARS'!$H$62*($AG$80*0.5)+'LINEST VARS'!$G$62*($AG$80*12.73)+'LINEST VARS'!$F$62*($Z96*4)+'LINEST VARS'!$E$62*($Z96*0.5)+'LINEST VARS'!$D$62*($Z96*12.73)+'LINEST VARS'!$C$62*(4*0.5)+'LINEST VARS'!$B$62*(4*12.73)+'LINEST VARS'!$A$62*(0.5*12.73)</f>
        <v>269.5</v>
      </c>
      <c r="AH96" s="55">
        <f>'LINEST VARS'!$U$62+'LINEST VARS'!$T$62*($AH$80)+'LINEST VARS'!$S$62*($Z96)+'LINEST VARS'!$R$62*(4)+'LINEST VARS'!$Q$62*(0.5)+'LINEST VARS'!$P$62*(12.73)+'LINEST VARS'!$O$62*($AH$80^2)+'LINEST VARS'!$N$62*($Z96^2)+'LINEST VARS'!$M$62*(4^2)+'LINEST VARS'!$L$62*(0.5^2)+'LINEST VARS'!$K$62*(12.73^2)+'LINEST VARS'!$J$62*($AH$80*$Z96)+'LINEST VARS'!$I$62*($AH$80*4)+'LINEST VARS'!$H$62*($AH$80*0.5)+'LINEST VARS'!$G$62*($AH$80*12.73)+'LINEST VARS'!$F$62*($Z96*4)+'LINEST VARS'!$E$62*($Z96*0.5)+'LINEST VARS'!$D$62*($Z96*12.73)+'LINEST VARS'!$C$62*(4*0.5)+'LINEST VARS'!$B$62*(4*12.73)+'LINEST VARS'!$A$62*(0.5*12.73)</f>
        <v>269.49999999999994</v>
      </c>
      <c r="AI96" s="55">
        <f>'LINEST VARS'!$U$62+'LINEST VARS'!$T$62*($AI$80)+'LINEST VARS'!$S$62*($Z96)+'LINEST VARS'!$R$62*(4)+'LINEST VARS'!$Q$62*(0.5)+'LINEST VARS'!$P$62*(12.73)+'LINEST VARS'!$O$62*($AI$80^2)+'LINEST VARS'!$N$62*($Z96^2)+'LINEST VARS'!$M$62*(4^2)+'LINEST VARS'!$L$62*(0.5^2)+'LINEST VARS'!$K$62*(12.73^2)+'LINEST VARS'!$J$62*($AI$80*$Z96)+'LINEST VARS'!$I$62*($AI$80*4)+'LINEST VARS'!$H$62*($AI$80*0.5)+'LINEST VARS'!$G$62*($AI$80*12.73)+'LINEST VARS'!$F$62*($Z96*4)+'LINEST VARS'!$E$62*($Z96*0.5)+'LINEST VARS'!$D$62*($Z96*12.73)+'LINEST VARS'!$C$62*(4*0.5)+'LINEST VARS'!$B$62*(4*12.73)+'LINEST VARS'!$A$62*(0.5*12.73)</f>
        <v>269.49999999999994</v>
      </c>
      <c r="AJ96" s="55">
        <f>'LINEST VARS'!$U$62+'LINEST VARS'!$T$62*($AJ$80)+'LINEST VARS'!$S$62*($Z96)+'LINEST VARS'!$R$62*(4)+'LINEST VARS'!$Q$62*(0.5)+'LINEST VARS'!$P$62*(12.73)+'LINEST VARS'!$O$62*($AJ$80^2)+'LINEST VARS'!$N$62*($Z96^2)+'LINEST VARS'!$M$62*(4^2)+'LINEST VARS'!$L$62*(0.5^2)+'LINEST VARS'!$K$62*(12.73^2)+'LINEST VARS'!$J$62*($AJ$80*$Z96)+'LINEST VARS'!$I$62*($AJ$80*4)+'LINEST VARS'!$H$62*($AJ$80*0.5)+'LINEST VARS'!$G$62*($AJ$80*12.73)+'LINEST VARS'!$F$62*($Z96*4)+'LINEST VARS'!$E$62*($Z96*0.5)+'LINEST VARS'!$D$62*($Z96*12.73)+'LINEST VARS'!$C$62*(4*0.5)+'LINEST VARS'!$B$62*(4*12.73)+'LINEST VARS'!$A$62*(0.5*12.73)</f>
        <v>269.49999999999994</v>
      </c>
      <c r="AK96" s="55">
        <f>'LINEST VARS'!$U$62+'LINEST VARS'!$T$62*($AK$80)+'LINEST VARS'!$S$62*($Z96)+'LINEST VARS'!$R$62*(4)+'LINEST VARS'!$Q$62*(0.5)+'LINEST VARS'!$P$62*(12.73)+'LINEST VARS'!$O$62*($AK$80^2)+'LINEST VARS'!$N$62*($Z96^2)+'LINEST VARS'!$M$62*(4^2)+'LINEST VARS'!$L$62*(0.5^2)+'LINEST VARS'!$K$62*(12.73^2)+'LINEST VARS'!$J$62*($AK$80*$Z96)+'LINEST VARS'!$I$62*($AK$80*4)+'LINEST VARS'!$H$62*($AK$80*0.5)+'LINEST VARS'!$G$62*($AK$80*12.73)+'LINEST VARS'!$F$62*($Z96*4)+'LINEST VARS'!$E$62*($Z96*0.5)+'LINEST VARS'!$D$62*($Z96*12.73)+'LINEST VARS'!$C$62*(4*0.5)+'LINEST VARS'!$B$62*(4*12.73)+'LINEST VARS'!$A$62*(0.5*12.73)</f>
        <v>269.49999999999994</v>
      </c>
      <c r="AL96" s="55">
        <f>'LINEST VARS'!$U$62+'LINEST VARS'!$T$62*($AL$80)+'LINEST VARS'!$S$62*($Z96)+'LINEST VARS'!$R$62*(4)+'LINEST VARS'!$Q$62*(0.5)+'LINEST VARS'!$P$62*(12.73)+'LINEST VARS'!$O$62*($AL$80^2)+'LINEST VARS'!$N$62*($Z96^2)+'LINEST VARS'!$M$62*(4^2)+'LINEST VARS'!$L$62*(0.5^2)+'LINEST VARS'!$K$62*(12.73^2)+'LINEST VARS'!$J$62*($AL$80*$Z96)+'LINEST VARS'!$I$62*($AL$80*4)+'LINEST VARS'!$H$62*($AL$80*0.5)+'LINEST VARS'!$G$62*($AL$80*12.73)+'LINEST VARS'!$F$62*($Z96*4)+'LINEST VARS'!$E$62*($Z96*0.5)+'LINEST VARS'!$D$62*($Z96*12.73)+'LINEST VARS'!$C$62*(4*0.5)+'LINEST VARS'!$B$62*(4*12.73)+'LINEST VARS'!$A$62*(0.5*12.73)</f>
        <v>269.49999999999994</v>
      </c>
      <c r="AM96" s="55">
        <f>'LINEST VARS'!$U$62+'LINEST VARS'!$T$62*($AM$80)+'LINEST VARS'!$S$62*($Z96)+'LINEST VARS'!$R$62*(4)+'LINEST VARS'!$Q$62*(0.5)+'LINEST VARS'!$P$62*(12.73)+'LINEST VARS'!$O$62*($AM$80^2)+'LINEST VARS'!$N$62*($Z96^2)+'LINEST VARS'!$M$62*(4^2)+'LINEST VARS'!$L$62*(0.5^2)+'LINEST VARS'!$K$62*(12.73^2)+'LINEST VARS'!$J$62*($AM$80*$Z96)+'LINEST VARS'!$I$62*($AM$80*4)+'LINEST VARS'!$H$62*($AM$80*0.5)+'LINEST VARS'!$G$62*($AM$80*12.73)+'LINEST VARS'!$F$62*($Z96*4)+'LINEST VARS'!$E$62*($Z96*0.5)+'LINEST VARS'!$D$62*($Z96*12.73)+'LINEST VARS'!$C$62*(4*0.5)+'LINEST VARS'!$B$62*(4*12.73)+'LINEST VARS'!$A$62*(0.5*12.73)</f>
        <v>269.49999999999994</v>
      </c>
      <c r="AN96" s="55">
        <f>'LINEST VARS'!$U$62+'LINEST VARS'!$T$62*($AN$80)+'LINEST VARS'!$S$62*($Z96)+'LINEST VARS'!$R$62*(4)+'LINEST VARS'!$Q$62*(0.5)+'LINEST VARS'!$P$62*(12.73)+'LINEST VARS'!$O$62*($AN$80^2)+'LINEST VARS'!$N$62*($Z96^2)+'LINEST VARS'!$M$62*(4^2)+'LINEST VARS'!$L$62*(0.5^2)+'LINEST VARS'!$K$62*(12.73^2)+'LINEST VARS'!$J$62*($AN$80*$Z96)+'LINEST VARS'!$I$62*($AN$80*4)+'LINEST VARS'!$H$62*($AN$80*0.5)+'LINEST VARS'!$G$62*($AN$80*12.73)+'LINEST VARS'!$F$62*($Z96*4)+'LINEST VARS'!$E$62*($Z96*0.5)+'LINEST VARS'!$D$62*($Z96*12.73)+'LINEST VARS'!$C$62*(4*0.5)+'LINEST VARS'!$B$62*(4*12.73)+'LINEST VARS'!$A$62*(0.5*12.73)</f>
        <v>269.49999999999994</v>
      </c>
      <c r="AO96" s="55">
        <f>'LINEST VARS'!$U$62+'LINEST VARS'!$T$62*($AO$80)+'LINEST VARS'!$S$62*($Z96)+'LINEST VARS'!$R$62*(4)+'LINEST VARS'!$Q$62*(0.5)+'LINEST VARS'!$P$62*(12.73)+'LINEST VARS'!$O$62*($AO$80^2)+'LINEST VARS'!$N$62*($Z96^2)+'LINEST VARS'!$M$62*(4^2)+'LINEST VARS'!$L$62*(0.5^2)+'LINEST VARS'!$K$62*(12.73^2)+'LINEST VARS'!$J$62*($AO$80*$Z96)+'LINEST VARS'!$I$62*($AO$80*4)+'LINEST VARS'!$H$62*($AO$80*0.5)+'LINEST VARS'!$G$62*($AO$80*12.73)+'LINEST VARS'!$F$62*($Z96*4)+'LINEST VARS'!$E$62*($Z96*0.5)+'LINEST VARS'!$D$62*($Z96*12.73)+'LINEST VARS'!$C$62*(4*0.5)+'LINEST VARS'!$B$62*(4*12.73)+'LINEST VARS'!$A$62*(0.5*12.73)</f>
        <v>269.49999999999994</v>
      </c>
      <c r="AP96" s="55">
        <f>'LINEST VARS'!$U$62+'LINEST VARS'!$T$62*($AP$80)+'LINEST VARS'!$S$62*($Z96)+'LINEST VARS'!$R$62*(4)+'LINEST VARS'!$Q$62*(0.5)+'LINEST VARS'!$P$62*(12.73)+'LINEST VARS'!$O$62*($AP$80^2)+'LINEST VARS'!$N$62*($Z96^2)+'LINEST VARS'!$M$62*(4^2)+'LINEST VARS'!$L$62*(0.5^2)+'LINEST VARS'!$K$62*(12.73^2)+'LINEST VARS'!$J$62*($AP$80*$Z96)+'LINEST VARS'!$I$62*($AP$80*4)+'LINEST VARS'!$H$62*($AP$80*0.5)+'LINEST VARS'!$G$62*($AP$80*12.73)+'LINEST VARS'!$F$62*($Z96*4)+'LINEST VARS'!$E$62*($Z96*0.5)+'LINEST VARS'!$D$62*($Z96*12.73)+'LINEST VARS'!$C$62*(4*0.5)+'LINEST VARS'!$B$62*(4*12.73)+'LINEST VARS'!$A$62*(0.5*12.73)</f>
        <v>269.49999999999994</v>
      </c>
      <c r="AQ96" s="55">
        <f>'LINEST VARS'!$U$62+'LINEST VARS'!$T$62*($AQ$80)+'LINEST VARS'!$S$62*($Z96)+'LINEST VARS'!$R$62*(4)+'LINEST VARS'!$Q$62*(0.5)+'LINEST VARS'!$P$62*(12.73)+'LINEST VARS'!$O$62*($AQ$80^2)+'LINEST VARS'!$N$62*($Z96^2)+'LINEST VARS'!$M$62*(4^2)+'LINEST VARS'!$L$62*(0.5^2)+'LINEST VARS'!$K$62*(12.73^2)+'LINEST VARS'!$J$62*($AQ$80*$Z96)+'LINEST VARS'!$I$62*($AQ$80*4)+'LINEST VARS'!$H$62*($AQ$80*0.5)+'LINEST VARS'!$G$62*($AQ$80*12.73)+'LINEST VARS'!$F$62*($Z96*4)+'LINEST VARS'!$E$62*($Z96*0.5)+'LINEST VARS'!$D$62*($Z96*12.73)+'LINEST VARS'!$C$62*(4*0.5)+'LINEST VARS'!$B$62*(4*12.73)+'LINEST VARS'!$A$62*(0.5*12.73)</f>
        <v>269.49999999999994</v>
      </c>
      <c r="AR96" s="55">
        <f>'LINEST VARS'!$U$62+'LINEST VARS'!$T$62*($AR$80)+'LINEST VARS'!$S$62*($Z96)+'LINEST VARS'!$R$62*(4)+'LINEST VARS'!$Q$62*(0.5)+'LINEST VARS'!$P$62*(12.73)+'LINEST VARS'!$O$62*($AR$80^2)+'LINEST VARS'!$N$62*($Z96^2)+'LINEST VARS'!$M$62*(4^2)+'LINEST VARS'!$L$62*(0.5^2)+'LINEST VARS'!$K$62*(12.73^2)+'LINEST VARS'!$J$62*($AR$80*$Z96)+'LINEST VARS'!$I$62*($AR$80*4)+'LINEST VARS'!$H$62*($AR$80*0.5)+'LINEST VARS'!$G$62*($AR$80*12.73)+'LINEST VARS'!$F$62*($Z96*4)+'LINEST VARS'!$E$62*($Z96*0.5)+'LINEST VARS'!$D$62*($Z96*12.73)+'LINEST VARS'!$C$62*(4*0.5)+'LINEST VARS'!$B$62*(4*12.73)+'LINEST VARS'!$A$62*(0.5*12.73)</f>
        <v>269.5</v>
      </c>
      <c r="AS96" s="55">
        <f>'LINEST VARS'!$U$62+'LINEST VARS'!$T$62*($AS$80)+'LINEST VARS'!$S$62*($Z96)+'LINEST VARS'!$R$62*(4)+'LINEST VARS'!$Q$62*(0.5)+'LINEST VARS'!$P$62*(12.73)+'LINEST VARS'!$O$62*($AS$80^2)+'LINEST VARS'!$N$62*($Z96^2)+'LINEST VARS'!$M$62*(4^2)+'LINEST VARS'!$L$62*(0.5^2)+'LINEST VARS'!$K$62*(12.73^2)+'LINEST VARS'!$J$62*($AS$80*$Z96)+'LINEST VARS'!$I$62*($AS$80*4)+'LINEST VARS'!$H$62*($AS$80*0.5)+'LINEST VARS'!$G$62*($AS$80*12.73)+'LINEST VARS'!$F$62*($Z96*4)+'LINEST VARS'!$E$62*($Z96*0.5)+'LINEST VARS'!$D$62*($Z96*12.73)+'LINEST VARS'!$C$62*(4*0.5)+'LINEST VARS'!$B$62*(4*12.73)+'LINEST VARS'!$A$62*(0.5*12.73)</f>
        <v>269.49999999999994</v>
      </c>
      <c r="AT96" s="55">
        <f>'LINEST VARS'!$U$62+'LINEST VARS'!$T$62*($AT$80)+'LINEST VARS'!$S$62*($Z96)+'LINEST VARS'!$R$62*(4)+'LINEST VARS'!$Q$62*(0.5)+'LINEST VARS'!$P$62*(12.73)+'LINEST VARS'!$O$62*($AT$80^2)+'LINEST VARS'!$N$62*($Z96^2)+'LINEST VARS'!$M$62*(4^2)+'LINEST VARS'!$L$62*(0.5^2)+'LINEST VARS'!$K$62*(12.73^2)+'LINEST VARS'!$J$62*($AT$80*$Z96)+'LINEST VARS'!$I$62*($AT$80*4)+'LINEST VARS'!$H$62*($AT$80*0.5)+'LINEST VARS'!$G$62*($AT$80*12.73)+'LINEST VARS'!$F$62*($Z96*4)+'LINEST VARS'!$E$62*($Z96*0.5)+'LINEST VARS'!$D$62*($Z96*12.73)+'LINEST VARS'!$C$62*(4*0.5)+'LINEST VARS'!$B$62*(4*12.73)+'LINEST VARS'!$A$62*(0.5*12.73)</f>
        <v>269.49999999999994</v>
      </c>
      <c r="AU96" s="56">
        <f>'LINEST VARS'!$U$62+'LINEST VARS'!$T$62*($AU$80)+'LINEST VARS'!$S$62*($Z96)+'LINEST VARS'!$R$62*(4)+'LINEST VARS'!$Q$62*(0.5)+'LINEST VARS'!$P$62*(12.73)+'LINEST VARS'!$O$62*($AU$80^2)+'LINEST VARS'!$N$62*($Z96^2)+'LINEST VARS'!$M$62*(4^2)+'LINEST VARS'!$L$62*(0.5^2)+'LINEST VARS'!$K$62*(12.73^2)+'LINEST VARS'!$J$62*($AU$80*$Z96)+'LINEST VARS'!$I$62*($AU$80*4)+'LINEST VARS'!$H$62*($AU$80*0.5)+'LINEST VARS'!$G$62*($AU$80*12.73)+'LINEST VARS'!$F$62*($Z96*4)+'LINEST VARS'!$E$62*($Z96*0.5)+'LINEST VARS'!$D$62*($Z96*12.73)+'LINEST VARS'!$C$62*(4*0.5)+'LINEST VARS'!$B$62*(4*12.73)+'LINEST VARS'!$A$62*(0.5*12.73)</f>
        <v>269.50000000000006</v>
      </c>
      <c r="AZ96" s="45">
        <v>0.75</v>
      </c>
      <c r="BA96" s="46">
        <f>'LINEST VARS'!$U$60+'LINEST VARS'!$T$60*(8)+'LINEST VARS'!$S$60*(8)+'LINEST VARS'!$R$60*($BA$80)+'LINEST VARS'!$Q$60*($AZ96)+'LINEST VARS'!$P$60*(12.73)+'LINEST VARS'!$O$60*(8^2)+'LINEST VARS'!$N$60*(8^2)+'LINEST VARS'!$M$60*($BA$80^2)+'LINEST VARS'!$L$60*($AZ96^2)+'LINEST VARS'!$K$60*(12.73^2)+'LINEST VARS'!$J$60*(8*8)+'LINEST VARS'!$I$60*(8*$BA$80)+'LINEST VARS'!$H$60*(8*$AZ96)+'LINEST VARS'!$G$60*(8*12.73)+'LINEST VARS'!$F$60*(8*$BA$80)+'LINEST VARS'!$E$60*(8*$AZ96)+'LINEST VARS'!$D$60*(8*12.73)+'LINEST VARS'!$C$60*($BA$80*$AZ96)+'LINEST VARS'!$B$60*($BA$80*12.73)+'LINEST VARS'!$A$60*($AZ96*12.73)</f>
        <v>40.460000000000008</v>
      </c>
      <c r="BB96" s="46">
        <f>'LINEST VARS'!$U$60+'LINEST VARS'!$T$60*(8)+'LINEST VARS'!$S$60*(8)+'LINEST VARS'!$R$60*($BB$80)+'LINEST VARS'!$Q$60*($AZ96)+'LINEST VARS'!$P$60*(12.73)+'LINEST VARS'!$O$60*(8^2)+'LINEST VARS'!$N$60*(8^2)+'LINEST VARS'!$M$60*($BB$80^2)+'LINEST VARS'!$L$60*($AZ96^2)+'LINEST VARS'!$K$60*(12.73^2)+'LINEST VARS'!$J$60*(8*8)+'LINEST VARS'!$I$60*(8*$BB$80)+'LINEST VARS'!$H$60*(8*$AZ96)+'LINEST VARS'!$G$60*(8*12.73)+'LINEST VARS'!$F$60*(8*$BB$80)+'LINEST VARS'!$E$60*(8*$AZ96)+'LINEST VARS'!$D$60*(8*12.73)+'LINEST VARS'!$C$60*($BB$80*$AZ96)+'LINEST VARS'!$B$60*($BB$80*12.73)+'LINEST VARS'!$A$60*($AZ96*12.73)</f>
        <v>40.460000000000015</v>
      </c>
      <c r="BC96" s="46">
        <f>'LINEST VARS'!$U$60+'LINEST VARS'!$T$60*(8)+'LINEST VARS'!$S$60*(8)+'LINEST VARS'!$R$60*($BC$80)+'LINEST VARS'!$Q$60*($AZ96)+'LINEST VARS'!$P$60*(12.73)+'LINEST VARS'!$O$60*(8^2)+'LINEST VARS'!$N$60*(8^2)+'LINEST VARS'!$M$60*($BC$80^2)+'LINEST VARS'!$L$60*($AZ96^2)+'LINEST VARS'!$K$60*(12.73^2)+'LINEST VARS'!$J$60*(8*8)+'LINEST VARS'!$I$60*(8*$BC$80)+'LINEST VARS'!$H$60*(8*$AZ96)+'LINEST VARS'!$G$60*(8*12.73)+'LINEST VARS'!$F$60*(8*$BC$80)+'LINEST VARS'!$E$60*(8*$AZ96)+'LINEST VARS'!$D$60*(8*12.73)+'LINEST VARS'!$C$60*($BC$80*$AZ96)+'LINEST VARS'!$B$60*($BC$80*12.73)+'LINEST VARS'!$A$60*($AZ96*12.73)</f>
        <v>40.460000000000015</v>
      </c>
      <c r="BD96" s="46">
        <f>'LINEST VARS'!$U$60+'LINEST VARS'!$T$60*(8)+'LINEST VARS'!$S$60*(8)+'LINEST VARS'!$R$60*($BD$80)+'LINEST VARS'!$Q$60*($AZ96)+'LINEST VARS'!$P$60*(12.73)+'LINEST VARS'!$O$60*(8^2)+'LINEST VARS'!$N$60*(8^2)+'LINEST VARS'!$M$60*($BD$80^2)+'LINEST VARS'!$L$60*($AZ96^2)+'LINEST VARS'!$K$60*(12.73^2)+'LINEST VARS'!$J$60*(8*8)+'LINEST VARS'!$I$60*(8*$BD$80)+'LINEST VARS'!$H$60*(8*$AZ96)+'LINEST VARS'!$G$60*(8*12.73)+'LINEST VARS'!$F$60*(8*$BD$80)+'LINEST VARS'!$E$60*(8*$AZ96)+'LINEST VARS'!$D$60*(8*12.73)+'LINEST VARS'!$C$60*($BD$80*$AZ96)+'LINEST VARS'!$B$60*($BD$80*12.73)+'LINEST VARS'!$A$60*($AZ96*12.73)</f>
        <v>40.460000000000015</v>
      </c>
      <c r="BE96" s="46">
        <f>'LINEST VARS'!$U$60+'LINEST VARS'!$T$60*(8)+'LINEST VARS'!$S$60*(8)+'LINEST VARS'!$R$60*($BE$80)+'LINEST VARS'!$Q$60*($AZ96)+'LINEST VARS'!$P$60*(12.73)+'LINEST VARS'!$O$60*(8^2)+'LINEST VARS'!$N$60*(8^2)+'LINEST VARS'!$M$60*($BE$80^2)+'LINEST VARS'!$L$60*($AZ96^2)+'LINEST VARS'!$K$60*(12.73^2)+'LINEST VARS'!$J$60*(8*8)+'LINEST VARS'!$I$60*(8*$BE$80)+'LINEST VARS'!$H$60*(8*$AZ96)+'LINEST VARS'!$G$60*(8*12.73)+'LINEST VARS'!$F$60*(8*$BE$80)+'LINEST VARS'!$E$60*(8*$AZ96)+'LINEST VARS'!$D$60*(8*12.73)+'LINEST VARS'!$C$60*($BE$80*$AZ96)+'LINEST VARS'!$B$60*($BE$80*12.73)+'LINEST VARS'!$A$60*($AZ96*12.73)</f>
        <v>40.460000000000008</v>
      </c>
      <c r="BF96" s="46">
        <f>'LINEST VARS'!$U$60+'LINEST VARS'!$T$60*(8)+'LINEST VARS'!$S$60*(8)+'LINEST VARS'!$R$60*($BF$80)+'LINEST VARS'!$Q$60*($AZ96)+'LINEST VARS'!$P$60*(12.73)+'LINEST VARS'!$O$60*(8^2)+'LINEST VARS'!$N$60*(8^2)+'LINEST VARS'!$M$60*($BF$80^2)+'LINEST VARS'!$L$60*($AZ96^2)+'LINEST VARS'!$K$60*(12.73^2)+'LINEST VARS'!$J$60*(8*8)+'LINEST VARS'!$I$60*(8*$BF$80)+'LINEST VARS'!$H$60*(8*$AZ96)+'LINEST VARS'!$G$60*(8*12.73)+'LINEST VARS'!$F$60*(8*$BF$80)+'LINEST VARS'!$E$60*(8*$AZ96)+'LINEST VARS'!$D$60*(8*12.73)+'LINEST VARS'!$C$60*($BF$80*$AZ96)+'LINEST VARS'!$B$60*($BF$80*12.73)+'LINEST VARS'!$A$60*($AZ96*12.73)</f>
        <v>40.460000000000008</v>
      </c>
      <c r="BG96" s="46">
        <f>'LINEST VARS'!$U$60+'LINEST VARS'!$T$60*(8)+'LINEST VARS'!$S$60*(8)+'LINEST VARS'!$R$60*($BG$80)+'LINEST VARS'!$Q$60*($AZ96)+'LINEST VARS'!$P$60*(12.73)+'LINEST VARS'!$O$60*(8^2)+'LINEST VARS'!$N$60*(8^2)+'LINEST VARS'!$M$60*($BG$80^2)+'LINEST VARS'!$L$60*($AZ96^2)+'LINEST VARS'!$K$60*(12.73^2)+'LINEST VARS'!$J$60*(8*8)+'LINEST VARS'!$I$60*(8*$BG$80)+'LINEST VARS'!$H$60*(8*$AZ96)+'LINEST VARS'!$G$60*(8*12.73)+'LINEST VARS'!$F$60*(8*$BG$80)+'LINEST VARS'!$E$60*(8*$AZ96)+'LINEST VARS'!$D$60*(8*12.73)+'LINEST VARS'!$C$60*($BG$80*$AZ96)+'LINEST VARS'!$B$60*($BG$80*12.73)+'LINEST VARS'!$A$60*($AZ96*12.73)</f>
        <v>40.460000000000008</v>
      </c>
      <c r="BH96" s="46">
        <f>'LINEST VARS'!$U$60+'LINEST VARS'!$T$60*(8)+'LINEST VARS'!$S$60*(8)+'LINEST VARS'!$R$60*($BH$80)+'LINEST VARS'!$Q$60*($AZ96)+'LINEST VARS'!$P$60*(12.73)+'LINEST VARS'!$O$60*(8^2)+'LINEST VARS'!$N$60*(8^2)+'LINEST VARS'!$M$60*($BH$80^2)+'LINEST VARS'!$L$60*($AZ96^2)+'LINEST VARS'!$K$60*(12.73^2)+'LINEST VARS'!$J$60*(8*8)+'LINEST VARS'!$I$60*(8*$BH$80)+'LINEST VARS'!$H$60*(8*$AZ96)+'LINEST VARS'!$G$60*(8*12.73)+'LINEST VARS'!$F$60*(8*$BH$80)+'LINEST VARS'!$E$60*(8*$AZ96)+'LINEST VARS'!$D$60*(8*12.73)+'LINEST VARS'!$C$60*($BH$80*$AZ96)+'LINEST VARS'!$B$60*($BH$80*12.73)+'LINEST VARS'!$A$60*($AZ96*12.73)</f>
        <v>40.460000000000008</v>
      </c>
      <c r="BI96" s="46">
        <f>'LINEST VARS'!$U$60+'LINEST VARS'!$T$60*(8)+'LINEST VARS'!$S$60*(8)+'LINEST VARS'!$R$60*($BI$80)+'LINEST VARS'!$Q$60*($AZ96)+'LINEST VARS'!$P$60*(12.73)+'LINEST VARS'!$O$60*(8^2)+'LINEST VARS'!$N$60*(8^2)+'LINEST VARS'!$M$60*($BI$80^2)+'LINEST VARS'!$L$60*($AZ96^2)+'LINEST VARS'!$K$60*(12.73^2)+'LINEST VARS'!$J$60*(8*8)+'LINEST VARS'!$I$60*(8*$BI$80)+'LINEST VARS'!$H$60*(8*$AZ96)+'LINEST VARS'!$G$60*(8*12.73)+'LINEST VARS'!$F$60*(8*$BI$80)+'LINEST VARS'!$E$60*(8*$AZ96)+'LINEST VARS'!$D$60*(8*12.73)+'LINEST VARS'!$C$60*($BI$80*$AZ96)+'LINEST VARS'!$B$60*($BI$80*12.73)+'LINEST VARS'!$A$60*($AZ96*12.73)</f>
        <v>40.460000000000015</v>
      </c>
      <c r="BJ96" s="46">
        <f>'LINEST VARS'!$U$60+'LINEST VARS'!$T$60*(8)+'LINEST VARS'!$S$60*(8)+'LINEST VARS'!$R$60*($BJ$80)+'LINEST VARS'!$Q$60*($AZ96)+'LINEST VARS'!$P$60*(12.73)+'LINEST VARS'!$O$60*(8^2)+'LINEST VARS'!$N$60*(8^2)+'LINEST VARS'!$M$60*($BJ$80^2)+'LINEST VARS'!$L$60*($AZ96^2)+'LINEST VARS'!$K$60*(12.73^2)+'LINEST VARS'!$J$60*(8*8)+'LINEST VARS'!$I$60*(8*$BJ$80)+'LINEST VARS'!$H$60*(8*$AZ96)+'LINEST VARS'!$G$60*(8*12.73)+'LINEST VARS'!$F$60*(8*$BJ$80)+'LINEST VARS'!$E$60*(8*$AZ96)+'LINEST VARS'!$D$60*(8*12.73)+'LINEST VARS'!$C$60*($BJ$80*$AZ96)+'LINEST VARS'!$B$60*($BJ$80*12.73)+'LINEST VARS'!$A$60*($AZ96*12.73)</f>
        <v>40.460000000000015</v>
      </c>
      <c r="BK96" s="46">
        <f>'LINEST VARS'!$U$60+'LINEST VARS'!$T$60*(8)+'LINEST VARS'!$S$60*(8)+'LINEST VARS'!$R$60*($BK$80)+'LINEST VARS'!$Q$60*($AZ96)+'LINEST VARS'!$P$60*(12.73)+'LINEST VARS'!$O$60*(8^2)+'LINEST VARS'!$N$60*(8^2)+'LINEST VARS'!$M$60*($BK$80^2)+'LINEST VARS'!$L$60*($AZ96^2)+'LINEST VARS'!$K$60*(12.73^2)+'LINEST VARS'!$J$60*(8*8)+'LINEST VARS'!$I$60*(8*$BK$80)+'LINEST VARS'!$H$60*(8*$AZ96)+'LINEST VARS'!$G$60*(8*12.73)+'LINEST VARS'!$F$60*(8*$BK$80)+'LINEST VARS'!$E$60*(8*$AZ96)+'LINEST VARS'!$D$60*(8*12.73)+'LINEST VARS'!$C$60*($BK$80*$AZ96)+'LINEST VARS'!$B$60*($BK$80*12.73)+'LINEST VARS'!$A$60*($AZ96*12.73)</f>
        <v>40.460000000000015</v>
      </c>
      <c r="BL96" s="46">
        <f>'LINEST VARS'!$U$60+'LINEST VARS'!$T$60*(8)+'LINEST VARS'!$S$60*(8)+'LINEST VARS'!$R$60*($BL$80)+'LINEST VARS'!$Q$60*($AZ96)+'LINEST VARS'!$P$60*(12.73)+'LINEST VARS'!$O$60*(8^2)+'LINEST VARS'!$N$60*(8^2)+'LINEST VARS'!$M$60*($BL$80^2)+'LINEST VARS'!$L$60*($AZ96^2)+'LINEST VARS'!$K$60*(12.73^2)+'LINEST VARS'!$J$60*(8*8)+'LINEST VARS'!$I$60*(8*$BL$80)+'LINEST VARS'!$H$60*(8*$AZ96)+'LINEST VARS'!$G$60*(8*12.73)+'LINEST VARS'!$F$60*(8*$BL$80)+'LINEST VARS'!$E$60*(8*$AZ96)+'LINEST VARS'!$D$60*(8*12.73)+'LINEST VARS'!$C$60*($BL$80*$AZ96)+'LINEST VARS'!$B$60*($BL$80*12.73)+'LINEST VARS'!$A$60*($AZ96*12.73)</f>
        <v>40.460000000000008</v>
      </c>
      <c r="BM96" s="46">
        <f>'LINEST VARS'!$U$60+'LINEST VARS'!$T$60*(8)+'LINEST VARS'!$S$60*(8)+'LINEST VARS'!$R$60*($BM$80)+'LINEST VARS'!$Q$60*($AZ96)+'LINEST VARS'!$P$60*(12.73)+'LINEST VARS'!$O$60*(8^2)+'LINEST VARS'!$N$60*(8^2)+'LINEST VARS'!$M$60*($BM$80^2)+'LINEST VARS'!$L$60*($AZ96^2)+'LINEST VARS'!$K$60*(12.73^2)+'LINEST VARS'!$J$60*(8*8)+'LINEST VARS'!$I$60*(8*$BM$80)+'LINEST VARS'!$H$60*(8*$AZ96)+'LINEST VARS'!$G$60*(8*12.73)+'LINEST VARS'!$F$60*(8*$BM$80)+'LINEST VARS'!$E$60*(8*$AZ96)+'LINEST VARS'!$D$60*(8*12.73)+'LINEST VARS'!$C$60*($BM$80*$AZ96)+'LINEST VARS'!$B$60*($BM$80*12.73)+'LINEST VARS'!$A$60*($AZ96*12.73)</f>
        <v>40.460000000000008</v>
      </c>
      <c r="BN96" s="46">
        <f>'LINEST VARS'!$U$60+'LINEST VARS'!$T$60*(8)+'LINEST VARS'!$S$60*(8)+'LINEST VARS'!$R$60*($BN$80)+'LINEST VARS'!$Q$60*($AZ96)+'LINEST VARS'!$P$60*(12.73)+'LINEST VARS'!$O$60*(8^2)+'LINEST VARS'!$N$60*(8^2)+'LINEST VARS'!$M$60*($BN$80^2)+'LINEST VARS'!$L$60*($AZ96^2)+'LINEST VARS'!$K$60*(12.73^2)+'LINEST VARS'!$J$60*(8*8)+'LINEST VARS'!$I$60*(8*$BN$80)+'LINEST VARS'!$H$60*(8*$AZ96)+'LINEST VARS'!$G$60*(8*12.73)+'LINEST VARS'!$F$60*(8*$BN$80)+'LINEST VARS'!$E$60*(8*$AZ96)+'LINEST VARS'!$D$60*(8*12.73)+'LINEST VARS'!$C$60*($BN$80*$AZ96)+'LINEST VARS'!$B$60*($BN$80*12.73)+'LINEST VARS'!$A$60*($AZ96*12.73)</f>
        <v>40.460000000000008</v>
      </c>
      <c r="BO96" s="46">
        <f>'LINEST VARS'!$U$60+'LINEST VARS'!$T$60*(8)+'LINEST VARS'!$S$60*(8)+'LINEST VARS'!$R$60*($BO$80)+'LINEST VARS'!$Q$60*($AZ96)+'LINEST VARS'!$P$60*(12.73)+'LINEST VARS'!$O$60*(8^2)+'LINEST VARS'!$N$60*(8^2)+'LINEST VARS'!$M$60*($BO$80^2)+'LINEST VARS'!$L$60*($AZ96^2)+'LINEST VARS'!$K$60*(12.73^2)+'LINEST VARS'!$J$60*(8*8)+'LINEST VARS'!$I$60*(8*$BO$80)+'LINEST VARS'!$H$60*(8*$AZ96)+'LINEST VARS'!$G$60*(8*12.73)+'LINEST VARS'!$F$60*(8*$BO$80)+'LINEST VARS'!$E$60*(8*$AZ96)+'LINEST VARS'!$D$60*(8*12.73)+'LINEST VARS'!$C$60*($BO$80*$AZ96)+'LINEST VARS'!$B$60*($BO$80*12.73)+'LINEST VARS'!$A$60*($AZ96*12.73)</f>
        <v>40.460000000000008</v>
      </c>
      <c r="BP96" s="46">
        <f>'LINEST VARS'!$U$60+'LINEST VARS'!$T$60*(8)+'LINEST VARS'!$S$60*(8)+'LINEST VARS'!$R$60*($BP$80)+'LINEST VARS'!$Q$60*($AZ96)+'LINEST VARS'!$P$60*(12.73)+'LINEST VARS'!$O$60*(8^2)+'LINEST VARS'!$N$60*(8^2)+'LINEST VARS'!$M$60*($BP$80^2)+'LINEST VARS'!$L$60*($AZ96^2)+'LINEST VARS'!$K$60*(12.73^2)+'LINEST VARS'!$J$60*(8*8)+'LINEST VARS'!$I$60*(8*$BP$80)+'LINEST VARS'!$H$60*(8*$AZ96)+'LINEST VARS'!$G$60*(8*12.73)+'LINEST VARS'!$F$60*(8*$BP$80)+'LINEST VARS'!$E$60*(8*$AZ96)+'LINEST VARS'!$D$60*(8*12.73)+'LINEST VARS'!$C$60*($BP$80*$AZ96)+'LINEST VARS'!$B$60*($BP$80*12.73)+'LINEST VARS'!$A$60*($AZ96*12.73)</f>
        <v>40.460000000000015</v>
      </c>
      <c r="BQ96" s="46">
        <f>'LINEST VARS'!$U$60+'LINEST VARS'!$T$60*(8)+'LINEST VARS'!$S$60*(8)+'LINEST VARS'!$R$60*($BQ$80)+'LINEST VARS'!$Q$60*($AZ96)+'LINEST VARS'!$P$60*(12.73)+'LINEST VARS'!$O$60*(8^2)+'LINEST VARS'!$N$60*(8^2)+'LINEST VARS'!$M$60*($BQ$80^2)+'LINEST VARS'!$L$60*($AZ96^2)+'LINEST VARS'!$K$60*(12.73^2)+'LINEST VARS'!$J$60*(8*8)+'LINEST VARS'!$I$60*(8*$BQ$80)+'LINEST VARS'!$H$60*(8*$AZ96)+'LINEST VARS'!$G$60*(8*12.73)+'LINEST VARS'!$F$60*(8*$BQ$80)+'LINEST VARS'!$E$60*(8*$AZ96)+'LINEST VARS'!$D$60*(8*12.73)+'LINEST VARS'!$C$60*($BQ$80*$AZ96)+'LINEST VARS'!$B$60*($BQ$80*12.73)+'LINEST VARS'!$A$60*($AZ96*12.73)</f>
        <v>40.460000000000015</v>
      </c>
      <c r="BR96" s="46">
        <f>'LINEST VARS'!$U$60+'LINEST VARS'!$T$60*(8)+'LINEST VARS'!$S$60*(8)+'LINEST VARS'!$R$60*($BR$80)+'LINEST VARS'!$Q$60*($AZ96)+'LINEST VARS'!$P$60*(12.73)+'LINEST VARS'!$O$60*(8^2)+'LINEST VARS'!$N$60*(8^2)+'LINEST VARS'!$M$60*($BR$80^2)+'LINEST VARS'!$L$60*($AZ96^2)+'LINEST VARS'!$K$60*(12.73^2)+'LINEST VARS'!$J$60*(8*8)+'LINEST VARS'!$I$60*(8*$BR$80)+'LINEST VARS'!$H$60*(8*$AZ96)+'LINEST VARS'!$G$60*(8*12.73)+'LINEST VARS'!$F$60*(8*$BR$80)+'LINEST VARS'!$E$60*(8*$AZ96)+'LINEST VARS'!$D$60*(8*12.73)+'LINEST VARS'!$C$60*($BR$80*$AZ96)+'LINEST VARS'!$B$60*($BR$80*12.73)+'LINEST VARS'!$A$60*($AZ96*12.73)</f>
        <v>40.460000000000015</v>
      </c>
      <c r="BS96" s="46">
        <f>'LINEST VARS'!$U$60+'LINEST VARS'!$T$60*(8)+'LINEST VARS'!$S$60*(8)+'LINEST VARS'!$R$60*($BS$80)+'LINEST VARS'!$Q$60*($AZ96)+'LINEST VARS'!$P$60*(12.73)+'LINEST VARS'!$O$60*(8^2)+'LINEST VARS'!$N$60*(8^2)+'LINEST VARS'!$M$60*($BS$80^2)+'LINEST VARS'!$L$60*($AZ96^2)+'LINEST VARS'!$K$60*(12.73^2)+'LINEST VARS'!$J$60*(8*8)+'LINEST VARS'!$I$60*(8*$BS$80)+'LINEST VARS'!$H$60*(8*$AZ96)+'LINEST VARS'!$G$60*(8*12.73)+'LINEST VARS'!$F$60*(8*$BS$80)+'LINEST VARS'!$E$60*(8*$AZ96)+'LINEST VARS'!$D$60*(8*12.73)+'LINEST VARS'!$C$60*($BS$80*$AZ96)+'LINEST VARS'!$B$60*($BS$80*12.73)+'LINEST VARS'!$A$60*($AZ96*12.73)</f>
        <v>40.460000000000008</v>
      </c>
      <c r="BT96" s="46">
        <f>'LINEST VARS'!$U$60+'LINEST VARS'!$T$60*(8)+'LINEST VARS'!$S$60*(8)+'LINEST VARS'!$R$60*($BT$80)+'LINEST VARS'!$Q$60*($AZ96)+'LINEST VARS'!$P$60*(12.73)+'LINEST VARS'!$O$60*(8^2)+'LINEST VARS'!$N$60*(8^2)+'LINEST VARS'!$M$60*($BT$80^2)+'LINEST VARS'!$L$60*($AZ96^2)+'LINEST VARS'!$K$60*(12.73^2)+'LINEST VARS'!$J$60*(8*8)+'LINEST VARS'!$I$60*(8*$BT$80)+'LINEST VARS'!$H$60*(8*$AZ96)+'LINEST VARS'!$G$60*(8*12.73)+'LINEST VARS'!$F$60*(8*$BT$80)+'LINEST VARS'!$E$60*(8*$AZ96)+'LINEST VARS'!$D$60*(8*12.73)+'LINEST VARS'!$C$60*($BT$80*$AZ96)+'LINEST VARS'!$B$60*($BT$80*12.73)+'LINEST VARS'!$A$60*($AZ96*12.73)</f>
        <v>40.460000000000008</v>
      </c>
      <c r="BU96" s="47">
        <f>'LINEST VARS'!$U$60+'LINEST VARS'!$T$60*(8)+'LINEST VARS'!$S$60*(8)+'LINEST VARS'!$R$60*($BU$80)+'LINEST VARS'!$Q$60*($AZ96)+'LINEST VARS'!$P$60*(12.73)+'LINEST VARS'!$O$60*(8^2)+'LINEST VARS'!$N$60*(8^2)+'LINEST VARS'!$M$60*($BU$80^2)+'LINEST VARS'!$L$60*($AZ96^2)+'LINEST VARS'!$K$60*(12.73^2)+'LINEST VARS'!$J$60*(8*8)+'LINEST VARS'!$I$60*(8*$BU$80)+'LINEST VARS'!$H$60*(8*$AZ96)+'LINEST VARS'!$G$60*(8*12.73)+'LINEST VARS'!$F$60*(8*$BU$80)+'LINEST VARS'!$E$60*(8*$AZ96)+'LINEST VARS'!$D$60*(8*12.73)+'LINEST VARS'!$C$60*($BU$80*$AZ96)+'LINEST VARS'!$B$60*($BU$80*12.73)+'LINEST VARS'!$A$60*($AZ96*12.73)</f>
        <v>40.460000000000015</v>
      </c>
      <c r="BX96" s="45">
        <v>0.75</v>
      </c>
      <c r="BY96" s="55">
        <f>'LINEST VARS'!$U$62+'LINEST VARS'!$T$62*(8)+'LINEST VARS'!$S$62*(8)+'LINEST VARS'!$R$62*($BY$80)+'LINEST VARS'!$Q$62*($BX96)+'LINEST VARS'!$P$62*(12.73)+'LINEST VARS'!$O$62*(8^2)+'LINEST VARS'!$N$62*(8^2)+'LINEST VARS'!$M$62*($BY$80^2)+'LINEST VARS'!$L$62*($BX96^2)+'LINEST VARS'!$K$62*(12.73^2)+'LINEST VARS'!$J$62*(8*8)+'LINEST VARS'!$I$62*(8*$BY$80)+'LINEST VARS'!$H$62*(8*$BX96)+'LINEST VARS'!$G$62*(8*12.73)+'LINEST VARS'!$F$62*(8*$BY$80)+'LINEST VARS'!$E$62*(8*$BX96)+'LINEST VARS'!$D$62*(8*12.73)+'LINEST VARS'!$C$62*($BY$80*$BX96)+'LINEST VARS'!$B$62*($BY$80*12.73)+'LINEST VARS'!$A$62*($BX96*12.73)</f>
        <v>348.87499999999983</v>
      </c>
      <c r="BZ96" s="55">
        <f>'LINEST VARS'!$U$62+'LINEST VARS'!$T$62*(8)+'LINEST VARS'!$S$62*(8)+'LINEST VARS'!$R$62*($BZ$80)+'LINEST VARS'!$Q$62*($BX96)+'LINEST VARS'!$P$62*(12.73)+'LINEST VARS'!$O$62*(8^2)+'LINEST VARS'!$N$62*(8^2)+'LINEST VARS'!$M$62*($BZ$80^2)+'LINEST VARS'!$L$62*($BX96^2)+'LINEST VARS'!$K$62*(12.73^2)+'LINEST VARS'!$J$62*(8*8)+'LINEST VARS'!$I$62*(8*$BZ$80)+'LINEST VARS'!$H$62*(8*$BX96)+'LINEST VARS'!$G$62*(8*12.73)+'LINEST VARS'!$F$62*(8*$BZ$80)+'LINEST VARS'!$E$62*(8*$BX96)+'LINEST VARS'!$D$62*(8*12.73)+'LINEST VARS'!$C$62*($BZ$80*$BX96)+'LINEST VARS'!$B$62*($BZ$80*12.73)+'LINEST VARS'!$A$62*($BX96*12.73)</f>
        <v>348.07499999999987</v>
      </c>
      <c r="CA96" s="55">
        <f>'LINEST VARS'!$U$62+'LINEST VARS'!$T$62*(8)+'LINEST VARS'!$S$62*(8)+'LINEST VARS'!$R$62*($CA$80)+'LINEST VARS'!$Q$62*($BX96)+'LINEST VARS'!$P$62*(12.73)+'LINEST VARS'!$O$62*(8^2)+'LINEST VARS'!$N$62*(8^2)+'LINEST VARS'!$M$62*($CA$80^2)+'LINEST VARS'!$L$62*($BX96^2)+'LINEST VARS'!$K$62*(12.73^2)+'LINEST VARS'!$J$62*(8*8)+'LINEST VARS'!$I$62*(8*$CA$80)+'LINEST VARS'!$H$62*(8*$BX96)+'LINEST VARS'!$G$62*(8*12.73)+'LINEST VARS'!$F$62*(8*$CA$80)+'LINEST VARS'!$E$62*(8*$BX96)+'LINEST VARS'!$D$62*(8*12.73)+'LINEST VARS'!$C$62*($CA$80*$BX96)+'LINEST VARS'!$B$62*($CA$80*12.73)+'LINEST VARS'!$A$62*($BX96*12.73)</f>
        <v>345.67499999999978</v>
      </c>
      <c r="CB96" s="55">
        <f>'LINEST VARS'!$U$62+'LINEST VARS'!$T$62*(8)+'LINEST VARS'!$S$62*(8)+'LINEST VARS'!$R$62*($CB$80)+'LINEST VARS'!$Q$62*($BX96)+'LINEST VARS'!$P$62*(12.73)+'LINEST VARS'!$O$62*(8^2)+'LINEST VARS'!$N$62*(8^2)+'LINEST VARS'!$M$62*($CB$80^2)+'LINEST VARS'!$L$62*($BX96^2)+'LINEST VARS'!$K$62*(12.73^2)+'LINEST VARS'!$J$62*(8*8)+'LINEST VARS'!$I$62*(8*$CB$80)+'LINEST VARS'!$H$62*(8*$BX96)+'LINEST VARS'!$G$62*(8*12.73)+'LINEST VARS'!$F$62*(8*$CB$80)+'LINEST VARS'!$E$62*(8*$BX96)+'LINEST VARS'!$D$62*(8*12.73)+'LINEST VARS'!$C$62*($CB$80*$BX96)+'LINEST VARS'!$B$62*($CB$80*12.73)+'LINEST VARS'!$A$62*($BX96*12.73)</f>
        <v>341.67499999999984</v>
      </c>
      <c r="CC96" s="55">
        <f>'LINEST VARS'!$U$62+'LINEST VARS'!$T$62*(8)+'LINEST VARS'!$S$62*(8)+'LINEST VARS'!$R$62*($CC$80)+'LINEST VARS'!$Q$62*($BX96)+'LINEST VARS'!$P$62*(12.73)+'LINEST VARS'!$O$62*(8^2)+'LINEST VARS'!$N$62*(8^2)+'LINEST VARS'!$M$62*($CC$80^2)+'LINEST VARS'!$L$62*($BX96^2)+'LINEST VARS'!$K$62*(12.73^2)+'LINEST VARS'!$J$62*(8*8)+'LINEST VARS'!$I$62*(8*$CC$80)+'LINEST VARS'!$H$62*(8*$BX96)+'LINEST VARS'!$G$62*(8*12.73)+'LINEST VARS'!$F$62*(8*$CC$80)+'LINEST VARS'!$E$62*(8*$BX96)+'LINEST VARS'!$D$62*(8*12.73)+'LINEST VARS'!$C$62*($CC$80*$BX96)+'LINEST VARS'!$B$62*($CC$80*12.73)+'LINEST VARS'!$A$62*($BX96*12.73)</f>
        <v>336.07499999999987</v>
      </c>
      <c r="CD96" s="55">
        <f>'LINEST VARS'!$U$62+'LINEST VARS'!$T$62*(8)+'LINEST VARS'!$S$62*(8)+'LINEST VARS'!$R$62*($CD$80)+'LINEST VARS'!$Q$62*($BX96)+'LINEST VARS'!$P$62*(12.73)+'LINEST VARS'!$O$62*(8^2)+'LINEST VARS'!$N$62*(8^2)+'LINEST VARS'!$M$62*($CD$80^2)+'LINEST VARS'!$L$62*($BX96^2)+'LINEST VARS'!$K$62*(12.73^2)+'LINEST VARS'!$J$62*(8*8)+'LINEST VARS'!$I$62*(8*$CD$80)+'LINEST VARS'!$H$62*(8*$BX96)+'LINEST VARS'!$G$62*(8*12.73)+'LINEST VARS'!$F$62*(8*$CD$80)+'LINEST VARS'!$E$62*(8*$BX96)+'LINEST VARS'!$D$62*(8*12.73)+'LINEST VARS'!$C$62*($CD$80*$BX96)+'LINEST VARS'!$B$62*($CD$80*12.73)+'LINEST VARS'!$A$62*($BX96*12.73)</f>
        <v>328.87499999999994</v>
      </c>
      <c r="CE96" s="55">
        <f>'LINEST VARS'!$U$62+'LINEST VARS'!$T$62*(8)+'LINEST VARS'!$S$62*(8)+'LINEST VARS'!$R$62*($CE$80)+'LINEST VARS'!$Q$62*($BX96)+'LINEST VARS'!$P$62*(12.73)+'LINEST VARS'!$O$62*(8^2)+'LINEST VARS'!$N$62*(8^2)+'LINEST VARS'!$M$62*($CE$80^2)+'LINEST VARS'!$L$62*($BX96^2)+'LINEST VARS'!$K$62*(12.73^2)+'LINEST VARS'!$J$62*(8*8)+'LINEST VARS'!$I$62*(8*$CE$80)+'LINEST VARS'!$H$62*(8*$BX96)+'LINEST VARS'!$G$62*(8*12.73)+'LINEST VARS'!$F$62*(8*$CE$80)+'LINEST VARS'!$E$62*(8*$BX96)+'LINEST VARS'!$D$62*(8*12.73)+'LINEST VARS'!$C$62*($CE$80*$BX96)+'LINEST VARS'!$B$62*($CE$80*12.73)+'LINEST VARS'!$A$62*($BX96*12.73)</f>
        <v>320.07499999999982</v>
      </c>
      <c r="CF96" s="55">
        <f>'LINEST VARS'!$U$62+'LINEST VARS'!$T$62*(8)+'LINEST VARS'!$S$62*(8)+'LINEST VARS'!$R$62*($CF$80)+'LINEST VARS'!$Q$62*($BX96)+'LINEST VARS'!$P$62*(12.73)+'LINEST VARS'!$O$62*(8^2)+'LINEST VARS'!$N$62*(8^2)+'LINEST VARS'!$M$62*($CF$80^2)+'LINEST VARS'!$L$62*($BX96^2)+'LINEST VARS'!$K$62*(12.73^2)+'LINEST VARS'!$J$62*(8*8)+'LINEST VARS'!$I$62*(8*$CF$80)+'LINEST VARS'!$H$62*(8*$BX96)+'LINEST VARS'!$G$62*(8*12.73)+'LINEST VARS'!$F$62*(8*$CF$80)+'LINEST VARS'!$E$62*(8*$BX96)+'LINEST VARS'!$D$62*(8*12.73)+'LINEST VARS'!$C$62*($CF$80*$BX96)+'LINEST VARS'!$B$62*($CF$80*12.73)+'LINEST VARS'!$A$62*($BX96*12.73)</f>
        <v>309.67499999999984</v>
      </c>
      <c r="CG96" s="55">
        <f>'LINEST VARS'!$U$62+'LINEST VARS'!$T$62*(8)+'LINEST VARS'!$S$62*(8)+'LINEST VARS'!$R$62*($CG$80)+'LINEST VARS'!$Q$62*($BX96)+'LINEST VARS'!$P$62*(12.73)+'LINEST VARS'!$O$62*(8^2)+'LINEST VARS'!$N$62*(8^2)+'LINEST VARS'!$M$62*($CG$80^2)+'LINEST VARS'!$L$62*($BX96^2)+'LINEST VARS'!$K$62*(12.73^2)+'LINEST VARS'!$J$62*(8*8)+'LINEST VARS'!$I$62*(8*$CG$80)+'LINEST VARS'!$H$62*(8*$BX96)+'LINEST VARS'!$G$62*(8*12.73)+'LINEST VARS'!$F$62*(8*$CG$80)+'LINEST VARS'!$E$62*(8*$BX96)+'LINEST VARS'!$D$62*(8*12.73)+'LINEST VARS'!$C$62*($CG$80*$BX96)+'LINEST VARS'!$B$62*($CG$80*12.73)+'LINEST VARS'!$A$62*($BX96*12.73)</f>
        <v>297.6749999999999</v>
      </c>
      <c r="CH96" s="55">
        <f>'LINEST VARS'!$U$62+'LINEST VARS'!$T$62*(8)+'LINEST VARS'!$S$62*(8)+'LINEST VARS'!$R$62*($CH$80)+'LINEST VARS'!$Q$62*($BX96)+'LINEST VARS'!$P$62*(12.73)+'LINEST VARS'!$O$62*(8^2)+'LINEST VARS'!$N$62*(8^2)+'LINEST VARS'!$M$62*($CH$80^2)+'LINEST VARS'!$L$62*($BX96^2)+'LINEST VARS'!$K$62*(12.73^2)+'LINEST VARS'!$J$62*(8*8)+'LINEST VARS'!$I$62*(8*$CH$80)+'LINEST VARS'!$H$62*(8*$BX96)+'LINEST VARS'!$G$62*(8*12.73)+'LINEST VARS'!$F$62*(8*$CH$80)+'LINEST VARS'!$E$62*(8*$BX96)+'LINEST VARS'!$D$62*(8*12.73)+'LINEST VARS'!$C$62*($CH$80*$BX96)+'LINEST VARS'!$B$62*($CH$80*12.73)+'LINEST VARS'!$A$62*($BX96*12.73)</f>
        <v>284.07499999999987</v>
      </c>
      <c r="CI96" s="55">
        <f>'LINEST VARS'!$U$62+'LINEST VARS'!$T$62*(8)+'LINEST VARS'!$S$62*(8)+'LINEST VARS'!$R$62*($CI$80)+'LINEST VARS'!$Q$62*($BX96)+'LINEST VARS'!$P$62*(12.73)+'LINEST VARS'!$O$62*(8^2)+'LINEST VARS'!$N$62*(8^2)+'LINEST VARS'!$M$62*($CI$80^2)+'LINEST VARS'!$L$62*($BX96^2)+'LINEST VARS'!$K$62*(12.73^2)+'LINEST VARS'!$J$62*(8*8)+'LINEST VARS'!$I$62*(8*$CI$80)+'LINEST VARS'!$H$62*(8*$BX96)+'LINEST VARS'!$G$62*(8*12.73)+'LINEST VARS'!$F$62*(8*$CI$80)+'LINEST VARS'!$E$62*(8*$BX96)+'LINEST VARS'!$D$62*(8*12.73)+'LINEST VARS'!$C$62*($CI$80*$BX96)+'LINEST VARS'!$B$62*($CI$80*12.73)+'LINEST VARS'!$A$62*($BX96*12.73)</f>
        <v>268.87499999999989</v>
      </c>
      <c r="CJ96" s="55">
        <f>'LINEST VARS'!$U$62+'LINEST VARS'!$T$62*(8)+'LINEST VARS'!$S$62*(8)+'LINEST VARS'!$R$62*($CJ$80)+'LINEST VARS'!$Q$62*($BX96)+'LINEST VARS'!$P$62*(12.73)+'LINEST VARS'!$O$62*(8^2)+'LINEST VARS'!$N$62*(8^2)+'LINEST VARS'!$M$62*($CJ$80^2)+'LINEST VARS'!$L$62*($BX96^2)+'LINEST VARS'!$K$62*(12.73^2)+'LINEST VARS'!$J$62*(8*8)+'LINEST VARS'!$I$62*(8*$CJ$80)+'LINEST VARS'!$H$62*(8*$BX96)+'LINEST VARS'!$G$62*(8*12.73)+'LINEST VARS'!$F$62*(8*$CJ$80)+'LINEST VARS'!$E$62*(8*$BX96)+'LINEST VARS'!$D$62*(8*12.73)+'LINEST VARS'!$C$62*($CJ$80*$BX96)+'LINEST VARS'!$B$62*($CJ$80*12.73)+'LINEST VARS'!$A$62*($BX96*12.73)</f>
        <v>252.07500000000005</v>
      </c>
      <c r="CK96" s="55">
        <f>'LINEST VARS'!$U$62+'LINEST VARS'!$T$62*(8)+'LINEST VARS'!$S$62*(8)+'LINEST VARS'!$R$62*($CK$80)+'LINEST VARS'!$Q$62*($BX96)+'LINEST VARS'!$P$62*(12.73)+'LINEST VARS'!$O$62*(8^2)+'LINEST VARS'!$N$62*(8^2)+'LINEST VARS'!$M$62*($CK$80^2)+'LINEST VARS'!$L$62*($BX96^2)+'LINEST VARS'!$K$62*(12.73^2)+'LINEST VARS'!$J$62*(8*8)+'LINEST VARS'!$I$62*(8*$CK$80)+'LINEST VARS'!$H$62*(8*$BX96)+'LINEST VARS'!$G$62*(8*12.73)+'LINEST VARS'!$F$62*(8*$CK$80)+'LINEST VARS'!$E$62*(8*$BX96)+'LINEST VARS'!$D$62*(8*12.73)+'LINEST VARS'!$C$62*($CK$80*$BX96)+'LINEST VARS'!$B$62*($CK$80*12.73)+'LINEST VARS'!$A$62*($BX96*12.73)</f>
        <v>233.6750000000001</v>
      </c>
      <c r="CL96" s="55">
        <f>'LINEST VARS'!$U$62+'LINEST VARS'!$T$62*(8)+'LINEST VARS'!$S$62*(8)+'LINEST VARS'!$R$62*($CL$80)+'LINEST VARS'!$Q$62*($BX96)+'LINEST VARS'!$P$62*(12.73)+'LINEST VARS'!$O$62*(8^2)+'LINEST VARS'!$N$62*(8^2)+'LINEST VARS'!$M$62*($CL$80^2)+'LINEST VARS'!$L$62*($BX96^2)+'LINEST VARS'!$K$62*(12.73^2)+'LINEST VARS'!$J$62*(8*8)+'LINEST VARS'!$I$62*(8*$CL$80)+'LINEST VARS'!$H$62*(8*$BX96)+'LINEST VARS'!$G$62*(8*12.73)+'LINEST VARS'!$F$62*(8*$CL$80)+'LINEST VARS'!$E$62*(8*$BX96)+'LINEST VARS'!$D$62*(8*12.73)+'LINEST VARS'!$C$62*($CL$80*$BX96)+'LINEST VARS'!$B$62*($CL$80*12.73)+'LINEST VARS'!$A$62*($BX96*12.73)</f>
        <v>213.67500000000004</v>
      </c>
      <c r="CM96" s="55">
        <f>'LINEST VARS'!$U$62+'LINEST VARS'!$T$62*(8)+'LINEST VARS'!$S$62*(8)+'LINEST VARS'!$R$62*($CM$80)+'LINEST VARS'!$Q$62*($BX96)+'LINEST VARS'!$P$62*(12.73)+'LINEST VARS'!$O$62*(8^2)+'LINEST VARS'!$N$62*(8^2)+'LINEST VARS'!$M$62*($CM$80^2)+'LINEST VARS'!$L$62*($BX96^2)+'LINEST VARS'!$K$62*(12.73^2)+'LINEST VARS'!$J$62*(8*8)+'LINEST VARS'!$I$62*(8*$CM$80)+'LINEST VARS'!$H$62*(8*$BX96)+'LINEST VARS'!$G$62*(8*12.73)+'LINEST VARS'!$F$62*(8*$CM$80)+'LINEST VARS'!$E$62*(8*$BX96)+'LINEST VARS'!$D$62*(8*12.73)+'LINEST VARS'!$C$62*($CM$80*$BX96)+'LINEST VARS'!$B$62*($CM$80*12.73)+'LINEST VARS'!$A$62*($BX96*12.73)</f>
        <v>192.07500000000013</v>
      </c>
      <c r="CN96" s="55">
        <f>'LINEST VARS'!$U$62+'LINEST VARS'!$T$62*(8)+'LINEST VARS'!$S$62*(8)+'LINEST VARS'!$R$62*($CN$80)+'LINEST VARS'!$Q$62*($BX96)+'LINEST VARS'!$P$62*(12.73)+'LINEST VARS'!$O$62*(8^2)+'LINEST VARS'!$N$62*(8^2)+'LINEST VARS'!$M$62*($CN$80^2)+'LINEST VARS'!$L$62*($BX96^2)+'LINEST VARS'!$K$62*(12.73^2)+'LINEST VARS'!$J$62*(8*8)+'LINEST VARS'!$I$62*(8*$CN$80)+'LINEST VARS'!$H$62*(8*$BX96)+'LINEST VARS'!$G$62*(8*12.73)+'LINEST VARS'!$F$62*(8*$CN$80)+'LINEST VARS'!$E$62*(8*$BX96)+'LINEST VARS'!$D$62*(8*12.73)+'LINEST VARS'!$C$62*($CN$80*$BX96)+'LINEST VARS'!$B$62*($CN$80*12.73)+'LINEST VARS'!$A$62*($BX96*12.73)</f>
        <v>168.87500000000011</v>
      </c>
      <c r="CO96" s="55">
        <f>'LINEST VARS'!$U$62+'LINEST VARS'!$T$62*(8)+'LINEST VARS'!$S$62*(8)+'LINEST VARS'!$R$62*($CO$80)+'LINEST VARS'!$Q$62*($BX96)+'LINEST VARS'!$P$62*(12.73)+'LINEST VARS'!$O$62*(8^2)+'LINEST VARS'!$N$62*(8^2)+'LINEST VARS'!$M$62*($CO$80^2)+'LINEST VARS'!$L$62*($BX96^2)+'LINEST VARS'!$K$62*(12.73^2)+'LINEST VARS'!$J$62*(8*8)+'LINEST VARS'!$I$62*(8*$CO$80)+'LINEST VARS'!$H$62*(8*$BX96)+'LINEST VARS'!$G$62*(8*12.73)+'LINEST VARS'!$F$62*(8*$CO$80)+'LINEST VARS'!$E$62*(8*$BX96)+'LINEST VARS'!$D$62*(8*12.73)+'LINEST VARS'!$C$62*($CO$80*$BX96)+'LINEST VARS'!$B$62*($CO$80*12.73)+'LINEST VARS'!$A$62*($BX96*12.73)</f>
        <v>144.07500000000013</v>
      </c>
      <c r="CP96" s="55">
        <f>'LINEST VARS'!$U$62+'LINEST VARS'!$T$62*(8)+'LINEST VARS'!$S$62*(8)+'LINEST VARS'!$R$62*($CP$80)+'LINEST VARS'!$Q$62*($BX96)+'LINEST VARS'!$P$62*(12.73)+'LINEST VARS'!$O$62*(8^2)+'LINEST VARS'!$N$62*(8^2)+'LINEST VARS'!$M$62*($CP$80^2)+'LINEST VARS'!$L$62*($BX96^2)+'LINEST VARS'!$K$62*(12.73^2)+'LINEST VARS'!$J$62*(8*8)+'LINEST VARS'!$I$62*(8*$CP$80)+'LINEST VARS'!$H$62*(8*$BX96)+'LINEST VARS'!$G$62*(8*12.73)+'LINEST VARS'!$F$62*(8*$CP$80)+'LINEST VARS'!$E$62*(8*$BX96)+'LINEST VARS'!$D$62*(8*12.73)+'LINEST VARS'!$C$62*($CP$80*$BX96)+'LINEST VARS'!$B$62*($CP$80*12.73)+'LINEST VARS'!$A$62*($BX96*12.73)</f>
        <v>117.67500000000011</v>
      </c>
      <c r="CQ96" s="55">
        <f>'LINEST VARS'!$U$62+'LINEST VARS'!$T$62*(8)+'LINEST VARS'!$S$62*(8)+'LINEST VARS'!$R$62*($CQ$80)+'LINEST VARS'!$Q$62*($BX96)+'LINEST VARS'!$P$62*(12.73)+'LINEST VARS'!$O$62*(8^2)+'LINEST VARS'!$N$62*(8^2)+'LINEST VARS'!$M$62*($CQ$80^2)+'LINEST VARS'!$L$62*($BX96^2)+'LINEST VARS'!$K$62*(12.73^2)+'LINEST VARS'!$J$62*(8*8)+'LINEST VARS'!$I$62*(8*$CQ$80)+'LINEST VARS'!$H$62*(8*$BX96)+'LINEST VARS'!$G$62*(8*12.73)+'LINEST VARS'!$F$62*(8*$CQ$80)+'LINEST VARS'!$E$62*(8*$BX96)+'LINEST VARS'!$D$62*(8*12.73)+'LINEST VARS'!$C$62*($CQ$80*$BX96)+'LINEST VARS'!$B$62*($CQ$80*12.73)+'LINEST VARS'!$A$62*($BX96*12.73)</f>
        <v>89.675000000000111</v>
      </c>
      <c r="CR96" s="55">
        <f>'LINEST VARS'!$U$62+'LINEST VARS'!$T$62*(8)+'LINEST VARS'!$S$62*(8)+'LINEST VARS'!$R$62*($CR$80)+'LINEST VARS'!$Q$62*($BX96)+'LINEST VARS'!$P$62*(12.73)+'LINEST VARS'!$O$62*(8^2)+'LINEST VARS'!$N$62*(8^2)+'LINEST VARS'!$M$62*($CR$80^2)+'LINEST VARS'!$L$62*($BX96^2)+'LINEST VARS'!$K$62*(12.73^2)+'LINEST VARS'!$J$62*(8*8)+'LINEST VARS'!$I$62*(8*$CR$80)+'LINEST VARS'!$H$62*(8*$BX96)+'LINEST VARS'!$G$62*(8*12.73)+'LINEST VARS'!$F$62*(8*$CR$80)+'LINEST VARS'!$E$62*(8*$BX96)+'LINEST VARS'!$D$62*(8*12.73)+'LINEST VARS'!$C$62*($CR$80*$BX96)+'LINEST VARS'!$B$62*($CR$80*12.73)+'LINEST VARS'!$A$62*($BX96*12.73)</f>
        <v>60.075000000000152</v>
      </c>
      <c r="CS96" s="56">
        <f>'LINEST VARS'!$U$62+'LINEST VARS'!$T$62*(8)+'LINEST VARS'!$S$62*(8)+'LINEST VARS'!$R$62*($CS$80)+'LINEST VARS'!$Q$62*($BX96)+'LINEST VARS'!$P$62*(12.73)+'LINEST VARS'!$O$62*(8^2)+'LINEST VARS'!$N$62*(8^2)+'LINEST VARS'!$M$62*($CS$80^2)+'LINEST VARS'!$L$62*($BX96^2)+'LINEST VARS'!$K$62*(12.73^2)+'LINEST VARS'!$J$62*(8*8)+'LINEST VARS'!$I$62*(8*$CS$80)+'LINEST VARS'!$H$62*(8*$BX96)+'LINEST VARS'!$G$62*(8*12.73)+'LINEST VARS'!$F$62*(8*$CS$80)+'LINEST VARS'!$E$62*(8*$BX96)+'LINEST VARS'!$D$62*(8*12.73)+'LINEST VARS'!$C$62*($CS$80*$BX96)+'LINEST VARS'!$B$62*($CS$80*12.73)+'LINEST VARS'!$A$62*($BX96*12.73)</f>
        <v>28.875000000000192</v>
      </c>
      <c r="CX96" s="45">
        <v>19.4925</v>
      </c>
      <c r="CY96" s="46">
        <f>'LINEST VARS'!$U$60+'LINEST VARS'!$T$60*(8)+'LINEST VARS'!$S$60*(8)+'LINEST VARS'!$R$60*($CY$80)+'LINEST VARS'!$Q$60*(0.5)+'LINEST VARS'!$P$60*($CX96)+'LINEST VARS'!$O$60*(8^2)+'LINEST VARS'!$N$60*(8^2)+'LINEST VARS'!$M$60*($CY$80^2)+'LINEST VARS'!$L$60*(0.5^2)+'LINEST VARS'!$K$60*($CX96^2)+'LINEST VARS'!$J$60*(8*8)+'LINEST VARS'!$I$60*(8*$CY$80)+'LINEST VARS'!$H$60*(8*0.5)+'LINEST VARS'!$G$60*(8*$CX96)+'LINEST VARS'!$F$60*(8*$CY$80)+'LINEST VARS'!$E$60*(8*0.5)+'LINEST VARS'!$D$60*(8*$CX96)+'LINEST VARS'!$C$60*($CY$80*0.5)+'LINEST VARS'!$B$60*($CY$80*$CX96)+'LINEST VARS'!$A$60*(0.5*$CX96)</f>
        <v>53.985000000000007</v>
      </c>
      <c r="CZ96" s="46">
        <f>'LINEST VARS'!$U$60+'LINEST VARS'!$T$60*(8)+'LINEST VARS'!$S$60*(8)+'LINEST VARS'!$R$60*($CZ$80)+'LINEST VARS'!$Q$60*(0.5)+'LINEST VARS'!$P$60*($CX96)+'LINEST VARS'!$O$60*(8^2)+'LINEST VARS'!$N$60*(8^2)+'LINEST VARS'!$M$60*($CZ$80^2)+'LINEST VARS'!$L$60*(0.5^2)+'LINEST VARS'!$K$60*($CX96^2)+'LINEST VARS'!$J$60*(8*8)+'LINEST VARS'!$I$60*(8*$CZ$80)+'LINEST VARS'!$H$60*(8*0.5)+'LINEST VARS'!$G$60*(8*$CX96)+'LINEST VARS'!$F$60*(8*$CZ$80)+'LINEST VARS'!$E$60*(8*0.5)+'LINEST VARS'!$D$60*(8*$CX96)+'LINEST VARS'!$C$60*($CZ$80*0.5)+'LINEST VARS'!$B$60*($CZ$80*$CX96)+'LINEST VARS'!$A$60*(0.5*$CX96)</f>
        <v>53.985000000000007</v>
      </c>
      <c r="DA96" s="46">
        <f>'LINEST VARS'!$U$60+'LINEST VARS'!$T$60*(8)+'LINEST VARS'!$S$60*(8)+'LINEST VARS'!$R$60*($DA$80)+'LINEST VARS'!$Q$60*(0.5)+'LINEST VARS'!$P$60*($CX96)+'LINEST VARS'!$O$60*(8^2)+'LINEST VARS'!$N$60*(8^2)+'LINEST VARS'!$M$60*($DA$80^2)+'LINEST VARS'!$L$60*(0.5^2)+'LINEST VARS'!$K$60*($CX96^2)+'LINEST VARS'!$J$60*(8*8)+'LINEST VARS'!$I$60*(8*$DA$80)+'LINEST VARS'!$H$60*(8*0.5)+'LINEST VARS'!$G$60*(8*$CX96)+'LINEST VARS'!$F$60*(8*$DA$80)+'LINEST VARS'!$E$60*(8*0.5)+'LINEST VARS'!$D$60*(8*$CX96)+'LINEST VARS'!$C$60*($DA$80*0.5)+'LINEST VARS'!$B$60*($DA$80*$CX96)+'LINEST VARS'!$A$60*(0.5*$CX96)</f>
        <v>53.985000000000007</v>
      </c>
      <c r="DB96" s="46">
        <f>'LINEST VARS'!$U$60+'LINEST VARS'!$T$60*(8)+'LINEST VARS'!$S$60*(8)+'LINEST VARS'!$R$60*($DB$80)+'LINEST VARS'!$Q$60*(0.5)+'LINEST VARS'!$P$60*($CX96)+'LINEST VARS'!$O$60*(8^2)+'LINEST VARS'!$N$60*(8^2)+'LINEST VARS'!$M$60*($DB$80^2)+'LINEST VARS'!$L$60*(0.5^2)+'LINEST VARS'!$K$60*($CX96^2)+'LINEST VARS'!$J$60*(8*8)+'LINEST VARS'!$I$60*(8*$DB$80)+'LINEST VARS'!$H$60*(8*0.5)+'LINEST VARS'!$G$60*(8*$CX96)+'LINEST VARS'!$F$60*(8*$DB$80)+'LINEST VARS'!$E$60*(8*0.5)+'LINEST VARS'!$D$60*(8*$CX96)+'LINEST VARS'!$C$60*($DB$80*0.5)+'LINEST VARS'!$B$60*($DB$80*$CX96)+'LINEST VARS'!$A$60*(0.5*$CX96)</f>
        <v>53.985000000000007</v>
      </c>
      <c r="DC96" s="46">
        <f>'LINEST VARS'!$U$60+'LINEST VARS'!$T$60*(8)+'LINEST VARS'!$S$60*(8)+'LINEST VARS'!$R$60*($DC$80)+'LINEST VARS'!$Q$60*(0.5)+'LINEST VARS'!$P$60*($CX96)+'LINEST VARS'!$O$60*(8^2)+'LINEST VARS'!$N$60*(8^2)+'LINEST VARS'!$M$60*($DC$80^2)+'LINEST VARS'!$L$60*(0.5^2)+'LINEST VARS'!$K$60*($CX96^2)+'LINEST VARS'!$J$60*(8*8)+'LINEST VARS'!$I$60*(8*$DC$80)+'LINEST VARS'!$H$60*(8*0.5)+'LINEST VARS'!$G$60*(8*$CX96)+'LINEST VARS'!$F$60*(8*$DC$80)+'LINEST VARS'!$E$60*(8*0.5)+'LINEST VARS'!$D$60*(8*$CX96)+'LINEST VARS'!$C$60*($DC$80*0.5)+'LINEST VARS'!$B$60*($DC$80*$CX96)+'LINEST VARS'!$A$60*(0.5*$CX96)</f>
        <v>53.984999999999999</v>
      </c>
      <c r="DD96" s="46">
        <f>'LINEST VARS'!$U$60+'LINEST VARS'!$T$60*(8)+'LINEST VARS'!$S$60*(8)+'LINEST VARS'!$R$60*($DD$80)+'LINEST VARS'!$Q$60*(0.5)+'LINEST VARS'!$P$60*($CX96)+'LINEST VARS'!$O$60*(8^2)+'LINEST VARS'!$N$60*(8^2)+'LINEST VARS'!$M$60*($DD$80^2)+'LINEST VARS'!$L$60*(0.5^2)+'LINEST VARS'!$K$60*($CX96^2)+'LINEST VARS'!$J$60*(8*8)+'LINEST VARS'!$I$60*(8*$DD$80)+'LINEST VARS'!$H$60*(8*0.5)+'LINEST VARS'!$G$60*(8*$CX96)+'LINEST VARS'!$F$60*(8*$DD$80)+'LINEST VARS'!$E$60*(8*0.5)+'LINEST VARS'!$D$60*(8*$CX96)+'LINEST VARS'!$C$60*($DD$80*0.5)+'LINEST VARS'!$B$60*($DD$80*$CX96)+'LINEST VARS'!$A$60*(0.5*$CX96)</f>
        <v>53.984999999999999</v>
      </c>
      <c r="DE96" s="46">
        <f>'LINEST VARS'!$U$60+'LINEST VARS'!$T$60*(8)+'LINEST VARS'!$S$60*(8)+'LINEST VARS'!$R$60*($DE$80)+'LINEST VARS'!$Q$60*(0.5)+'LINEST VARS'!$P$60*($CX96)+'LINEST VARS'!$O$60*(8^2)+'LINEST VARS'!$N$60*(8^2)+'LINEST VARS'!$M$60*($DE$80^2)+'LINEST VARS'!$L$60*(0.5^2)+'LINEST VARS'!$K$60*($CX96^2)+'LINEST VARS'!$J$60*(8*8)+'LINEST VARS'!$I$60*(8*$DE$80)+'LINEST VARS'!$H$60*(8*0.5)+'LINEST VARS'!$G$60*(8*$CX96)+'LINEST VARS'!$F$60*(8*$DE$80)+'LINEST VARS'!$E$60*(8*0.5)+'LINEST VARS'!$D$60*(8*$CX96)+'LINEST VARS'!$C$60*($DE$80*0.5)+'LINEST VARS'!$B$60*($DE$80*$CX96)+'LINEST VARS'!$A$60*(0.5*$CX96)</f>
        <v>53.984999999999999</v>
      </c>
      <c r="DF96" s="46">
        <f>'LINEST VARS'!$U$60+'LINEST VARS'!$T$60*(8)+'LINEST VARS'!$S$60*(8)+'LINEST VARS'!$R$60*($DF$80)+'LINEST VARS'!$Q$60*(0.5)+'LINEST VARS'!$P$60*($CX96)+'LINEST VARS'!$O$60*(8^2)+'LINEST VARS'!$N$60*(8^2)+'LINEST VARS'!$M$60*($DF$80^2)+'LINEST VARS'!$L$60*(0.5^2)+'LINEST VARS'!$K$60*($CX96^2)+'LINEST VARS'!$J$60*(8*8)+'LINEST VARS'!$I$60*(8*$DF$80)+'LINEST VARS'!$H$60*(8*0.5)+'LINEST VARS'!$G$60*(8*$CX96)+'LINEST VARS'!$F$60*(8*$DF$80)+'LINEST VARS'!$E$60*(8*0.5)+'LINEST VARS'!$D$60*(8*$CX96)+'LINEST VARS'!$C$60*($DF$80*0.5)+'LINEST VARS'!$B$60*($DF$80*$CX96)+'LINEST VARS'!$A$60*(0.5*$CX96)</f>
        <v>53.985000000000007</v>
      </c>
      <c r="DG96" s="46">
        <f>'LINEST VARS'!$U$60+'LINEST VARS'!$T$60*(8)+'LINEST VARS'!$S$60*(8)+'LINEST VARS'!$R$60*($DG$80)+'LINEST VARS'!$Q$60*(0.5)+'LINEST VARS'!$P$60*($CX96)+'LINEST VARS'!$O$60*(8^2)+'LINEST VARS'!$N$60*(8^2)+'LINEST VARS'!$M$60*($DG$80^2)+'LINEST VARS'!$L$60*(0.5^2)+'LINEST VARS'!$K$60*($CX96^2)+'LINEST VARS'!$J$60*(8*8)+'LINEST VARS'!$I$60*(8*$DG$80)+'LINEST VARS'!$H$60*(8*0.5)+'LINEST VARS'!$G$60*(8*$CX96)+'LINEST VARS'!$F$60*(8*$DG$80)+'LINEST VARS'!$E$60*(8*0.5)+'LINEST VARS'!$D$60*(8*$CX96)+'LINEST VARS'!$C$60*($DG$80*0.5)+'LINEST VARS'!$B$60*($DG$80*$CX96)+'LINEST VARS'!$A$60*(0.5*$CX96)</f>
        <v>53.985000000000007</v>
      </c>
      <c r="DH96" s="46">
        <f>'LINEST VARS'!$U$60+'LINEST VARS'!$T$60*(8)+'LINEST VARS'!$S$60*(8)+'LINEST VARS'!$R$60*($DH$80)+'LINEST VARS'!$Q$60*(0.5)+'LINEST VARS'!$P$60*($CX96)+'LINEST VARS'!$O$60*(8^2)+'LINEST VARS'!$N$60*(8^2)+'LINEST VARS'!$M$60*($DH$80^2)+'LINEST VARS'!$L$60*(0.5^2)+'LINEST VARS'!$K$60*($CX96^2)+'LINEST VARS'!$J$60*(8*8)+'LINEST VARS'!$I$60*(8*$DH$80)+'LINEST VARS'!$H$60*(8*0.5)+'LINEST VARS'!$G$60*(8*$CX96)+'LINEST VARS'!$F$60*(8*$DH$80)+'LINEST VARS'!$E$60*(8*0.5)+'LINEST VARS'!$D$60*(8*$CX96)+'LINEST VARS'!$C$60*($DH$80*0.5)+'LINEST VARS'!$B$60*($DH$80*$CX96)+'LINEST VARS'!$A$60*(0.5*$CX96)</f>
        <v>53.985000000000007</v>
      </c>
      <c r="DI96" s="46">
        <f>'LINEST VARS'!$U$60+'LINEST VARS'!$T$60*(8)+'LINEST VARS'!$S$60*(8)+'LINEST VARS'!$R$60*($DI$80)+'LINEST VARS'!$Q$60*(0.5)+'LINEST VARS'!$P$60*($CX96)+'LINEST VARS'!$O$60*(8^2)+'LINEST VARS'!$N$60*(8^2)+'LINEST VARS'!$M$60*($DI$80^2)+'LINEST VARS'!$L$60*(0.5^2)+'LINEST VARS'!$K$60*($CX96^2)+'LINEST VARS'!$J$60*(8*8)+'LINEST VARS'!$I$60*(8*$DI$80)+'LINEST VARS'!$H$60*(8*0.5)+'LINEST VARS'!$G$60*(8*$CX96)+'LINEST VARS'!$F$60*(8*$DI$80)+'LINEST VARS'!$E$60*(8*0.5)+'LINEST VARS'!$D$60*(8*$CX96)+'LINEST VARS'!$C$60*($DI$80*0.5)+'LINEST VARS'!$B$60*($DI$80*$CX96)+'LINEST VARS'!$A$60*(0.5*$CX96)</f>
        <v>53.985000000000007</v>
      </c>
      <c r="DJ96" s="46">
        <f>'LINEST VARS'!$U$60+'LINEST VARS'!$T$60*(8)+'LINEST VARS'!$S$60*(8)+'LINEST VARS'!$R$60*($DJ$80)+'LINEST VARS'!$Q$60*(0.5)+'LINEST VARS'!$P$60*($CX96)+'LINEST VARS'!$O$60*(8^2)+'LINEST VARS'!$N$60*(8^2)+'LINEST VARS'!$M$60*($DJ$80^2)+'LINEST VARS'!$L$60*(0.5^2)+'LINEST VARS'!$K$60*($CX96^2)+'LINEST VARS'!$J$60*(8*8)+'LINEST VARS'!$I$60*(8*$DJ$80)+'LINEST VARS'!$H$60*(8*0.5)+'LINEST VARS'!$G$60*(8*$CX96)+'LINEST VARS'!$F$60*(8*$DJ$80)+'LINEST VARS'!$E$60*(8*0.5)+'LINEST VARS'!$D$60*(8*$CX96)+'LINEST VARS'!$C$60*($DJ$80*0.5)+'LINEST VARS'!$B$60*($DJ$80*$CX96)+'LINEST VARS'!$A$60*(0.5*$CX96)</f>
        <v>53.984999999999999</v>
      </c>
      <c r="DK96" s="46">
        <f>'LINEST VARS'!$U$60+'LINEST VARS'!$T$60*(8)+'LINEST VARS'!$S$60*(8)+'LINEST VARS'!$R$60*($DK$80)+'LINEST VARS'!$Q$60*(0.5)+'LINEST VARS'!$P$60*($CX96)+'LINEST VARS'!$O$60*(8^2)+'LINEST VARS'!$N$60*(8^2)+'LINEST VARS'!$M$60*($DK$80^2)+'LINEST VARS'!$L$60*(0.5^2)+'LINEST VARS'!$K$60*($CX96^2)+'LINEST VARS'!$J$60*(8*8)+'LINEST VARS'!$I$60*(8*$DK$80)+'LINEST VARS'!$H$60*(8*0.5)+'LINEST VARS'!$G$60*(8*$CX96)+'LINEST VARS'!$F$60*(8*$DK$80)+'LINEST VARS'!$E$60*(8*0.5)+'LINEST VARS'!$D$60*(8*$CX96)+'LINEST VARS'!$C$60*($DK$80*0.5)+'LINEST VARS'!$B$60*($DK$80*$CX96)+'LINEST VARS'!$A$60*(0.5*$CX96)</f>
        <v>53.985000000000007</v>
      </c>
      <c r="DL96" s="46">
        <f>'LINEST VARS'!$U$60+'LINEST VARS'!$T$60*(8)+'LINEST VARS'!$S$60*(8)+'LINEST VARS'!$R$60*($DL$80)+'LINEST VARS'!$Q$60*(0.5)+'LINEST VARS'!$P$60*($CX96)+'LINEST VARS'!$O$60*(8^2)+'LINEST VARS'!$N$60*(8^2)+'LINEST VARS'!$M$60*($DL$80^2)+'LINEST VARS'!$L$60*(0.5^2)+'LINEST VARS'!$K$60*($CX96^2)+'LINEST VARS'!$J$60*(8*8)+'LINEST VARS'!$I$60*(8*$DL$80)+'LINEST VARS'!$H$60*(8*0.5)+'LINEST VARS'!$G$60*(8*$CX96)+'LINEST VARS'!$F$60*(8*$DL$80)+'LINEST VARS'!$E$60*(8*0.5)+'LINEST VARS'!$D$60*(8*$CX96)+'LINEST VARS'!$C$60*($DL$80*0.5)+'LINEST VARS'!$B$60*($DL$80*$CX96)+'LINEST VARS'!$A$60*(0.5*$CX96)</f>
        <v>53.984999999999999</v>
      </c>
      <c r="DM96" s="46">
        <f>'LINEST VARS'!$U$60+'LINEST VARS'!$T$60*(8)+'LINEST VARS'!$S$60*(8)+'LINEST VARS'!$R$60*($DM$80)+'LINEST VARS'!$Q$60*(0.5)+'LINEST VARS'!$P$60*($CX96)+'LINEST VARS'!$O$60*(8^2)+'LINEST VARS'!$N$60*(8^2)+'LINEST VARS'!$M$60*($DM$80^2)+'LINEST VARS'!$L$60*(0.5^2)+'LINEST VARS'!$K$60*($CX96^2)+'LINEST VARS'!$J$60*(8*8)+'LINEST VARS'!$I$60*(8*$DM$80)+'LINEST VARS'!$H$60*(8*0.5)+'LINEST VARS'!$G$60*(8*$CX96)+'LINEST VARS'!$F$60*(8*$DM$80)+'LINEST VARS'!$E$60*(8*0.5)+'LINEST VARS'!$D$60*(8*$CX96)+'LINEST VARS'!$C$60*($DM$80*0.5)+'LINEST VARS'!$B$60*($DM$80*$CX96)+'LINEST VARS'!$A$60*(0.5*$CX96)</f>
        <v>53.985000000000007</v>
      </c>
      <c r="DN96" s="46">
        <f>'LINEST VARS'!$U$60+'LINEST VARS'!$T$60*(8)+'LINEST VARS'!$S$60*(8)+'LINEST VARS'!$R$60*($DN$80)+'LINEST VARS'!$Q$60*(0.5)+'LINEST VARS'!$P$60*($CX96)+'LINEST VARS'!$O$60*(8^2)+'LINEST VARS'!$N$60*(8^2)+'LINEST VARS'!$M$60*($DN$80^2)+'LINEST VARS'!$L$60*(0.5^2)+'LINEST VARS'!$K$60*($CX96^2)+'LINEST VARS'!$J$60*(8*8)+'LINEST VARS'!$I$60*(8*$DN$80)+'LINEST VARS'!$H$60*(8*0.5)+'LINEST VARS'!$G$60*(8*$CX96)+'LINEST VARS'!$F$60*(8*$DN$80)+'LINEST VARS'!$E$60*(8*0.5)+'LINEST VARS'!$D$60*(8*$CX96)+'LINEST VARS'!$C$60*($DN$80*0.5)+'LINEST VARS'!$B$60*($DN$80*$CX96)+'LINEST VARS'!$A$60*(0.5*$CX96)</f>
        <v>53.985000000000007</v>
      </c>
      <c r="DO96" s="46">
        <f>'LINEST VARS'!$U$60+'LINEST VARS'!$T$60*(8)+'LINEST VARS'!$S$60*(8)+'LINEST VARS'!$R$60*($DO$80)+'LINEST VARS'!$Q$60*(0.5)+'LINEST VARS'!$P$60*($CX96)+'LINEST VARS'!$O$60*(8^2)+'LINEST VARS'!$N$60*(8^2)+'LINEST VARS'!$M$60*($DO$80^2)+'LINEST VARS'!$L$60*(0.5^2)+'LINEST VARS'!$K$60*($CX96^2)+'LINEST VARS'!$J$60*(8*8)+'LINEST VARS'!$I$60*(8*$DO$80)+'LINEST VARS'!$H$60*(8*0.5)+'LINEST VARS'!$G$60*(8*$CX96)+'LINEST VARS'!$F$60*(8*$DO$80)+'LINEST VARS'!$E$60*(8*0.5)+'LINEST VARS'!$D$60*(8*$CX96)+'LINEST VARS'!$C$60*($DO$80*0.5)+'LINEST VARS'!$B$60*($DO$80*$CX96)+'LINEST VARS'!$A$60*(0.5*$CX96)</f>
        <v>53.985000000000007</v>
      </c>
      <c r="DP96" s="46">
        <f>'LINEST VARS'!$U$60+'LINEST VARS'!$T$60*(8)+'LINEST VARS'!$S$60*(8)+'LINEST VARS'!$R$60*($DP$80)+'LINEST VARS'!$Q$60*(0.5)+'LINEST VARS'!$P$60*($CX96)+'LINEST VARS'!$O$60*(8^2)+'LINEST VARS'!$N$60*(8^2)+'LINEST VARS'!$M$60*($DP$80^2)+'LINEST VARS'!$L$60*(0.5^2)+'LINEST VARS'!$K$60*($CX96^2)+'LINEST VARS'!$J$60*(8*8)+'LINEST VARS'!$I$60*(8*$DP$80)+'LINEST VARS'!$H$60*(8*0.5)+'LINEST VARS'!$G$60*(8*$CX96)+'LINEST VARS'!$F$60*(8*$DP$80)+'LINEST VARS'!$E$60*(8*0.5)+'LINEST VARS'!$D$60*(8*$CX96)+'LINEST VARS'!$C$60*($DP$80*0.5)+'LINEST VARS'!$B$60*($DP$80*$CX96)+'LINEST VARS'!$A$60*(0.5*$CX96)</f>
        <v>53.985000000000007</v>
      </c>
      <c r="DQ96" s="46">
        <f>'LINEST VARS'!$U$60+'LINEST VARS'!$T$60*(8)+'LINEST VARS'!$S$60*(8)+'LINEST VARS'!$R$60*($DQ$80)+'LINEST VARS'!$Q$60*(0.5)+'LINEST VARS'!$P$60*($CX96)+'LINEST VARS'!$O$60*(8^2)+'LINEST VARS'!$N$60*(8^2)+'LINEST VARS'!$M$60*($DQ$80^2)+'LINEST VARS'!$L$60*(0.5^2)+'LINEST VARS'!$K$60*($CX96^2)+'LINEST VARS'!$J$60*(8*8)+'LINEST VARS'!$I$60*(8*$DQ$80)+'LINEST VARS'!$H$60*(8*0.5)+'LINEST VARS'!$G$60*(8*$CX96)+'LINEST VARS'!$F$60*(8*$DQ$80)+'LINEST VARS'!$E$60*(8*0.5)+'LINEST VARS'!$D$60*(8*$CX96)+'LINEST VARS'!$C$60*($DQ$80*0.5)+'LINEST VARS'!$B$60*($DQ$80*$CX96)+'LINEST VARS'!$A$60*(0.5*$CX96)</f>
        <v>53.984999999999999</v>
      </c>
      <c r="DR96" s="46">
        <f>'LINEST VARS'!$U$60+'LINEST VARS'!$T$60*(8)+'LINEST VARS'!$S$60*(8)+'LINEST VARS'!$R$60*($DR$80)+'LINEST VARS'!$Q$60*(0.5)+'LINEST VARS'!$P$60*($CX96)+'LINEST VARS'!$O$60*(8^2)+'LINEST VARS'!$N$60*(8^2)+'LINEST VARS'!$M$60*($DR$80^2)+'LINEST VARS'!$L$60*(0.5^2)+'LINEST VARS'!$K$60*($CX96^2)+'LINEST VARS'!$J$60*(8*8)+'LINEST VARS'!$I$60*(8*$DR$80)+'LINEST VARS'!$H$60*(8*0.5)+'LINEST VARS'!$G$60*(8*$CX96)+'LINEST VARS'!$F$60*(8*$DR$80)+'LINEST VARS'!$E$60*(8*0.5)+'LINEST VARS'!$D$60*(8*$CX96)+'LINEST VARS'!$C$60*($DR$80*0.5)+'LINEST VARS'!$B$60*($DR$80*$CX96)+'LINEST VARS'!$A$60*(0.5*$CX96)</f>
        <v>53.985000000000007</v>
      </c>
      <c r="DS96" s="47">
        <f>'LINEST VARS'!$U$60+'LINEST VARS'!$T$60*(8)+'LINEST VARS'!$S$60*(8)+'LINEST VARS'!$R$60*($DS$80)+'LINEST VARS'!$Q$60*(0.5)+'LINEST VARS'!$P$60*($CX96)+'LINEST VARS'!$O$60*(8^2)+'LINEST VARS'!$N$60*(8^2)+'LINEST VARS'!$M$60*($DS$80^2)+'LINEST VARS'!$L$60*(0.5^2)+'LINEST VARS'!$K$60*($CX96^2)+'LINEST VARS'!$J$60*(8*8)+'LINEST VARS'!$I$60*(8*$DS$80)+'LINEST VARS'!$H$60*(8*0.5)+'LINEST VARS'!$G$60*(8*$CX96)+'LINEST VARS'!$F$60*(8*$DS$80)+'LINEST VARS'!$E$60*(8*0.5)+'LINEST VARS'!$D$60*(8*$CX96)+'LINEST VARS'!$C$60*($DS$80*0.5)+'LINEST VARS'!$B$60*($DS$80*$CX96)+'LINEST VARS'!$A$60*(0.5*$CX96)</f>
        <v>53.985000000000007</v>
      </c>
      <c r="DV96" s="45">
        <v>19.4925</v>
      </c>
      <c r="DW96" s="55">
        <f>'LINEST VARS'!$U$62+'LINEST VARS'!$T$62*(8)+'LINEST VARS'!$S$62*(8)+'LINEST VARS'!$R$62*($DW$80)+'LINEST VARS'!$Q$62*(0.5)+'LINEST VARS'!$P$62*($DV96)+'LINEST VARS'!$O$62*(8^2)+'LINEST VARS'!$N$62*(8^2)+'LINEST VARS'!$M$62*($DW$80^2)+'LINEST VARS'!$L$62*(0.5^2)+'LINEST VARS'!$K$62*($DV96^2)+'LINEST VARS'!$J$62*(8*8)+'LINEST VARS'!$I$62*(8*$DW$80)+'LINEST VARS'!$H$62*(8*0.5)+'LINEST VARS'!$G$62*(8*$DV96)+'LINEST VARS'!$F$62*(8*$DW$80)+'LINEST VARS'!$E$62*(8*0.5)+'LINEST VARS'!$D$62*(8*$DV96)+'LINEST VARS'!$C$62*($DW$80*0.5)+'LINEST VARS'!$B$62*($DW$80*$DV96)+'LINEST VARS'!$A$62*(0.5*$DV96)</f>
        <v>349.5</v>
      </c>
      <c r="DX96" s="55">
        <f>'LINEST VARS'!$U$62+'LINEST VARS'!$T$62*(8)+'LINEST VARS'!$S$62*(8)+'LINEST VARS'!$R$62*($DX$80)+'LINEST VARS'!$Q$62*(0.5)+'LINEST VARS'!$P$62*($DV96)+'LINEST VARS'!$O$62*(8^2)+'LINEST VARS'!$N$62*(8^2)+'LINEST VARS'!$M$62*($DX$80^2)+'LINEST VARS'!$L$62*(0.5^2)+'LINEST VARS'!$K$62*($DV96^2)+'LINEST VARS'!$J$62*(8*8)+'LINEST VARS'!$I$62*(8*$DX$80)+'LINEST VARS'!$H$62*(8*0.5)+'LINEST VARS'!$G$62*(8*$DV96)+'LINEST VARS'!$F$62*(8*$DX$80)+'LINEST VARS'!$E$62*(8*0.5)+'LINEST VARS'!$D$62*(8*$DV96)+'LINEST VARS'!$C$62*($DX$80*0.5)+'LINEST VARS'!$B$62*($DX$80*$DV96)+'LINEST VARS'!$A$62*(0.5*$DV96)</f>
        <v>348.70000000000005</v>
      </c>
      <c r="DY96" s="55">
        <f>'LINEST VARS'!$U$62+'LINEST VARS'!$T$62*(8)+'LINEST VARS'!$S$62*(8)+'LINEST VARS'!$R$62*($DY$80)+'LINEST VARS'!$Q$62*(0.5)+'LINEST VARS'!$P$62*($DV96)+'LINEST VARS'!$O$62*(8^2)+'LINEST VARS'!$N$62*(8^2)+'LINEST VARS'!$M$62*($DY$80^2)+'LINEST VARS'!$L$62*(0.5^2)+'LINEST VARS'!$K$62*($DV96^2)+'LINEST VARS'!$J$62*(8*8)+'LINEST VARS'!$I$62*(8*$DY$80)+'LINEST VARS'!$H$62*(8*0.5)+'LINEST VARS'!$G$62*(8*$DV96)+'LINEST VARS'!$F$62*(8*$DY$80)+'LINEST VARS'!$E$62*(8*0.5)+'LINEST VARS'!$D$62*(8*$DV96)+'LINEST VARS'!$C$62*($DY$80*0.5)+'LINEST VARS'!$B$62*($DY$80*$DV96)+'LINEST VARS'!$A$62*(0.5*$DV96)</f>
        <v>346.29999999999995</v>
      </c>
      <c r="DZ96" s="55">
        <f>'LINEST VARS'!$U$62+'LINEST VARS'!$T$62*(8)+'LINEST VARS'!$S$62*(8)+'LINEST VARS'!$R$62*($DZ$80)+'LINEST VARS'!$Q$62*(0.5)+'LINEST VARS'!$P$62*($DV96)+'LINEST VARS'!$O$62*(8^2)+'LINEST VARS'!$N$62*(8^2)+'LINEST VARS'!$M$62*($DZ$80^2)+'LINEST VARS'!$L$62*(0.5^2)+'LINEST VARS'!$K$62*($DV96^2)+'LINEST VARS'!$J$62*(8*8)+'LINEST VARS'!$I$62*(8*$DZ$80)+'LINEST VARS'!$H$62*(8*0.5)+'LINEST VARS'!$G$62*(8*$DV96)+'LINEST VARS'!$F$62*(8*$DZ$80)+'LINEST VARS'!$E$62*(8*0.5)+'LINEST VARS'!$D$62*(8*$DV96)+'LINEST VARS'!$C$62*($DZ$80*0.5)+'LINEST VARS'!$B$62*($DZ$80*$DV96)+'LINEST VARS'!$A$62*(0.5*$DV96)</f>
        <v>342.3</v>
      </c>
      <c r="EA96" s="55">
        <f>'LINEST VARS'!$U$62+'LINEST VARS'!$T$62*(8)+'LINEST VARS'!$S$62*(8)+'LINEST VARS'!$R$62*($EA$80)+'LINEST VARS'!$Q$62*(0.5)+'LINEST VARS'!$P$62*($DV96)+'LINEST VARS'!$O$62*(8^2)+'LINEST VARS'!$N$62*(8^2)+'LINEST VARS'!$M$62*($EA$80^2)+'LINEST VARS'!$L$62*(0.5^2)+'LINEST VARS'!$K$62*($DV96^2)+'LINEST VARS'!$J$62*(8*8)+'LINEST VARS'!$I$62*(8*$EA$80)+'LINEST VARS'!$H$62*(8*0.5)+'LINEST VARS'!$G$62*(8*$DV96)+'LINEST VARS'!$F$62*(8*$EA$80)+'LINEST VARS'!$E$62*(8*0.5)+'LINEST VARS'!$D$62*(8*$DV96)+'LINEST VARS'!$C$62*($EA$80*0.5)+'LINEST VARS'!$B$62*($EA$80*$DV96)+'LINEST VARS'!$A$62*(0.5*$DV96)</f>
        <v>336.70000000000005</v>
      </c>
      <c r="EB96" s="55">
        <f>'LINEST VARS'!$U$62+'LINEST VARS'!$T$62*(8)+'LINEST VARS'!$S$62*(8)+'LINEST VARS'!$R$62*($EB$80)+'LINEST VARS'!$Q$62*(0.5)+'LINEST VARS'!$P$62*($DV96)+'LINEST VARS'!$O$62*(8^2)+'LINEST VARS'!$N$62*(8^2)+'LINEST VARS'!$M$62*($EB$80^2)+'LINEST VARS'!$L$62*(0.5^2)+'LINEST VARS'!$K$62*($DV96^2)+'LINEST VARS'!$J$62*(8*8)+'LINEST VARS'!$I$62*(8*$EB$80)+'LINEST VARS'!$H$62*(8*0.5)+'LINEST VARS'!$G$62*(8*$DV96)+'LINEST VARS'!$F$62*(8*$EB$80)+'LINEST VARS'!$E$62*(8*0.5)+'LINEST VARS'!$D$62*(8*$DV96)+'LINEST VARS'!$C$62*($EB$80*0.5)+'LINEST VARS'!$B$62*($EB$80*$DV96)+'LINEST VARS'!$A$62*(0.5*$DV96)</f>
        <v>329.50000000000006</v>
      </c>
      <c r="EC96" s="55">
        <f>'LINEST VARS'!$U$62+'LINEST VARS'!$T$62*(8)+'LINEST VARS'!$S$62*(8)+'LINEST VARS'!$R$62*($EC$80)+'LINEST VARS'!$Q$62*(0.5)+'LINEST VARS'!$P$62*($DV96)+'LINEST VARS'!$O$62*(8^2)+'LINEST VARS'!$N$62*(8^2)+'LINEST VARS'!$M$62*($EC$80^2)+'LINEST VARS'!$L$62*(0.5^2)+'LINEST VARS'!$K$62*($DV96^2)+'LINEST VARS'!$J$62*(8*8)+'LINEST VARS'!$I$62*(8*$EC$80)+'LINEST VARS'!$H$62*(8*0.5)+'LINEST VARS'!$G$62*(8*$DV96)+'LINEST VARS'!$F$62*(8*$EC$80)+'LINEST VARS'!$E$62*(8*0.5)+'LINEST VARS'!$D$62*(8*$DV96)+'LINEST VARS'!$C$62*($EC$80*0.5)+'LINEST VARS'!$B$62*($EC$80*$DV96)+'LINEST VARS'!$A$62*(0.5*$DV96)</f>
        <v>320.7</v>
      </c>
      <c r="ED96" s="55">
        <f>'LINEST VARS'!$U$62+'LINEST VARS'!$T$62*(8)+'LINEST VARS'!$S$62*(8)+'LINEST VARS'!$R$62*($ED$80)+'LINEST VARS'!$Q$62*(0.5)+'LINEST VARS'!$P$62*($DV96)+'LINEST VARS'!$O$62*(8^2)+'LINEST VARS'!$N$62*(8^2)+'LINEST VARS'!$M$62*($ED$80^2)+'LINEST VARS'!$L$62*(0.5^2)+'LINEST VARS'!$K$62*($DV96^2)+'LINEST VARS'!$J$62*(8*8)+'LINEST VARS'!$I$62*(8*$ED$80)+'LINEST VARS'!$H$62*(8*0.5)+'LINEST VARS'!$G$62*(8*$DV96)+'LINEST VARS'!$F$62*(8*$ED$80)+'LINEST VARS'!$E$62*(8*0.5)+'LINEST VARS'!$D$62*(8*$DV96)+'LINEST VARS'!$C$62*($ED$80*0.5)+'LINEST VARS'!$B$62*($ED$80*$DV96)+'LINEST VARS'!$A$62*(0.5*$DV96)</f>
        <v>310.3</v>
      </c>
      <c r="EE96" s="55">
        <f>'LINEST VARS'!$U$62+'LINEST VARS'!$T$62*(8)+'LINEST VARS'!$S$62*(8)+'LINEST VARS'!$R$62*($EE$80)+'LINEST VARS'!$Q$62*(0.5)+'LINEST VARS'!$P$62*($DV96)+'LINEST VARS'!$O$62*(8^2)+'LINEST VARS'!$N$62*(8^2)+'LINEST VARS'!$M$62*($EE$80^2)+'LINEST VARS'!$L$62*(0.5^2)+'LINEST VARS'!$K$62*($DV96^2)+'LINEST VARS'!$J$62*(8*8)+'LINEST VARS'!$I$62*(8*$EE$80)+'LINEST VARS'!$H$62*(8*0.5)+'LINEST VARS'!$G$62*(8*$DV96)+'LINEST VARS'!$F$62*(8*$EE$80)+'LINEST VARS'!$E$62*(8*0.5)+'LINEST VARS'!$D$62*(8*$DV96)+'LINEST VARS'!$C$62*($EE$80*0.5)+'LINEST VARS'!$B$62*($EE$80*$DV96)+'LINEST VARS'!$A$62*(0.5*$DV96)</f>
        <v>298.30000000000007</v>
      </c>
      <c r="EF96" s="55">
        <f>'LINEST VARS'!$U$62+'LINEST VARS'!$T$62*(8)+'LINEST VARS'!$S$62*(8)+'LINEST VARS'!$R$62*($EF$80)+'LINEST VARS'!$Q$62*(0.5)+'LINEST VARS'!$P$62*($DV96)+'LINEST VARS'!$O$62*(8^2)+'LINEST VARS'!$N$62*(8^2)+'LINEST VARS'!$M$62*($EF$80^2)+'LINEST VARS'!$L$62*(0.5^2)+'LINEST VARS'!$K$62*($DV96^2)+'LINEST VARS'!$J$62*(8*8)+'LINEST VARS'!$I$62*(8*$EF$80)+'LINEST VARS'!$H$62*(8*0.5)+'LINEST VARS'!$G$62*(8*$DV96)+'LINEST VARS'!$F$62*(8*$EF$80)+'LINEST VARS'!$E$62*(8*0.5)+'LINEST VARS'!$D$62*(8*$DV96)+'LINEST VARS'!$C$62*($EF$80*0.5)+'LINEST VARS'!$B$62*($EF$80*$DV96)+'LINEST VARS'!$A$62*(0.5*$DV96)</f>
        <v>284.70000000000005</v>
      </c>
      <c r="EG96" s="55">
        <f>'LINEST VARS'!$U$62+'LINEST VARS'!$T$62*(8)+'LINEST VARS'!$S$62*(8)+'LINEST VARS'!$R$62*($EG$80)+'LINEST VARS'!$Q$62*(0.5)+'LINEST VARS'!$P$62*($DV96)+'LINEST VARS'!$O$62*(8^2)+'LINEST VARS'!$N$62*(8^2)+'LINEST VARS'!$M$62*($EG$80^2)+'LINEST VARS'!$L$62*(0.5^2)+'LINEST VARS'!$K$62*($DV96^2)+'LINEST VARS'!$J$62*(8*8)+'LINEST VARS'!$I$62*(8*$EG$80)+'LINEST VARS'!$H$62*(8*0.5)+'LINEST VARS'!$G$62*(8*$DV96)+'LINEST VARS'!$F$62*(8*$EG$80)+'LINEST VARS'!$E$62*(8*0.5)+'LINEST VARS'!$D$62*(8*$DV96)+'LINEST VARS'!$C$62*($EG$80*0.5)+'LINEST VARS'!$B$62*($EG$80*$DV96)+'LINEST VARS'!$A$62*(0.5*$DV96)</f>
        <v>269.50000000000006</v>
      </c>
      <c r="EH96" s="55">
        <f>'LINEST VARS'!$U$62+'LINEST VARS'!$T$62*(8)+'LINEST VARS'!$S$62*(8)+'LINEST VARS'!$R$62*($EH$80)+'LINEST VARS'!$Q$62*(0.5)+'LINEST VARS'!$P$62*($DV96)+'LINEST VARS'!$O$62*(8^2)+'LINEST VARS'!$N$62*(8^2)+'LINEST VARS'!$M$62*($EH$80^2)+'LINEST VARS'!$L$62*(0.5^2)+'LINEST VARS'!$K$62*($DV96^2)+'LINEST VARS'!$J$62*(8*8)+'LINEST VARS'!$I$62*(8*$EH$80)+'LINEST VARS'!$H$62*(8*0.5)+'LINEST VARS'!$G$62*(8*$DV96)+'LINEST VARS'!$F$62*(8*$EH$80)+'LINEST VARS'!$E$62*(8*0.5)+'LINEST VARS'!$D$62*(8*$DV96)+'LINEST VARS'!$C$62*($EH$80*0.5)+'LINEST VARS'!$B$62*($EH$80*$DV96)+'LINEST VARS'!$A$62*(0.5*$DV96)</f>
        <v>252.70000000000005</v>
      </c>
      <c r="EI96" s="55">
        <f>'LINEST VARS'!$U$62+'LINEST VARS'!$T$62*(8)+'LINEST VARS'!$S$62*(8)+'LINEST VARS'!$R$62*($EI$80)+'LINEST VARS'!$Q$62*(0.5)+'LINEST VARS'!$P$62*($DV96)+'LINEST VARS'!$O$62*(8^2)+'LINEST VARS'!$N$62*(8^2)+'LINEST VARS'!$M$62*($EI$80^2)+'LINEST VARS'!$L$62*(0.5^2)+'LINEST VARS'!$K$62*($DV96^2)+'LINEST VARS'!$J$62*(8*8)+'LINEST VARS'!$I$62*(8*$EI$80)+'LINEST VARS'!$H$62*(8*0.5)+'LINEST VARS'!$G$62*(8*$DV96)+'LINEST VARS'!$F$62*(8*$EI$80)+'LINEST VARS'!$E$62*(8*0.5)+'LINEST VARS'!$D$62*(8*$DV96)+'LINEST VARS'!$C$62*($EI$80*0.5)+'LINEST VARS'!$B$62*($EI$80*$DV96)+'LINEST VARS'!$A$62*(0.5*$DV96)</f>
        <v>234.30000000000007</v>
      </c>
      <c r="EJ96" s="55">
        <f>'LINEST VARS'!$U$62+'LINEST VARS'!$T$62*(8)+'LINEST VARS'!$S$62*(8)+'LINEST VARS'!$R$62*($EJ$80)+'LINEST VARS'!$Q$62*(0.5)+'LINEST VARS'!$P$62*($DV96)+'LINEST VARS'!$O$62*(8^2)+'LINEST VARS'!$N$62*(8^2)+'LINEST VARS'!$M$62*($EJ$80^2)+'LINEST VARS'!$L$62*(0.5^2)+'LINEST VARS'!$K$62*($DV96^2)+'LINEST VARS'!$J$62*(8*8)+'LINEST VARS'!$I$62*(8*$EJ$80)+'LINEST VARS'!$H$62*(8*0.5)+'LINEST VARS'!$G$62*(8*$DV96)+'LINEST VARS'!$F$62*(8*$EJ$80)+'LINEST VARS'!$E$62*(8*0.5)+'LINEST VARS'!$D$62*(8*$DV96)+'LINEST VARS'!$C$62*($EJ$80*0.5)+'LINEST VARS'!$B$62*($EJ$80*$DV96)+'LINEST VARS'!$A$62*(0.5*$DV96)</f>
        <v>214.3</v>
      </c>
      <c r="EK96" s="55">
        <f>'LINEST VARS'!$U$62+'LINEST VARS'!$T$62*(8)+'LINEST VARS'!$S$62*(8)+'LINEST VARS'!$R$62*($EK$80)+'LINEST VARS'!$Q$62*(0.5)+'LINEST VARS'!$P$62*($DV96)+'LINEST VARS'!$O$62*(8^2)+'LINEST VARS'!$N$62*(8^2)+'LINEST VARS'!$M$62*($EK$80^2)+'LINEST VARS'!$L$62*(0.5^2)+'LINEST VARS'!$K$62*($DV96^2)+'LINEST VARS'!$J$62*(8*8)+'LINEST VARS'!$I$62*(8*$EK$80)+'LINEST VARS'!$H$62*(8*0.5)+'LINEST VARS'!$G$62*(8*$DV96)+'LINEST VARS'!$F$62*(8*$EK$80)+'LINEST VARS'!$E$62*(8*0.5)+'LINEST VARS'!$D$62*(8*$DV96)+'LINEST VARS'!$C$62*($EK$80*0.5)+'LINEST VARS'!$B$62*($EK$80*$DV96)+'LINEST VARS'!$A$62*(0.5*$DV96)</f>
        <v>192.7000000000001</v>
      </c>
      <c r="EL96" s="55">
        <f>'LINEST VARS'!$U$62+'LINEST VARS'!$T$62*(8)+'LINEST VARS'!$S$62*(8)+'LINEST VARS'!$R$62*($EL$80)+'LINEST VARS'!$Q$62*(0.5)+'LINEST VARS'!$P$62*($DV96)+'LINEST VARS'!$O$62*(8^2)+'LINEST VARS'!$N$62*(8^2)+'LINEST VARS'!$M$62*($EL$80^2)+'LINEST VARS'!$L$62*(0.5^2)+'LINEST VARS'!$K$62*($DV96^2)+'LINEST VARS'!$J$62*(8*8)+'LINEST VARS'!$I$62*(8*$EL$80)+'LINEST VARS'!$H$62*(8*0.5)+'LINEST VARS'!$G$62*(8*$DV96)+'LINEST VARS'!$F$62*(8*$EL$80)+'LINEST VARS'!$E$62*(8*0.5)+'LINEST VARS'!$D$62*(8*$DV96)+'LINEST VARS'!$C$62*($EL$80*0.5)+'LINEST VARS'!$B$62*($EL$80*$DV96)+'LINEST VARS'!$A$62*(0.5*$DV96)</f>
        <v>169.50000000000009</v>
      </c>
      <c r="EM96" s="55">
        <f>'LINEST VARS'!$U$62+'LINEST VARS'!$T$62*(8)+'LINEST VARS'!$S$62*(8)+'LINEST VARS'!$R$62*($EM$80)+'LINEST VARS'!$Q$62*(0.5)+'LINEST VARS'!$P$62*($DV96)+'LINEST VARS'!$O$62*(8^2)+'LINEST VARS'!$N$62*(8^2)+'LINEST VARS'!$M$62*($EM$80^2)+'LINEST VARS'!$L$62*(0.5^2)+'LINEST VARS'!$K$62*($DV96^2)+'LINEST VARS'!$J$62*(8*8)+'LINEST VARS'!$I$62*(8*$EM$80)+'LINEST VARS'!$H$62*(8*0.5)+'LINEST VARS'!$G$62*(8*$DV96)+'LINEST VARS'!$F$62*(8*$EM$80)+'LINEST VARS'!$E$62*(8*0.5)+'LINEST VARS'!$D$62*(8*$DV96)+'LINEST VARS'!$C$62*($EM$80*0.5)+'LINEST VARS'!$B$62*($EM$80*$DV96)+'LINEST VARS'!$A$62*(0.5*$DV96)</f>
        <v>144.70000000000007</v>
      </c>
      <c r="EN96" s="55">
        <f>'LINEST VARS'!$U$62+'LINEST VARS'!$T$62*(8)+'LINEST VARS'!$S$62*(8)+'LINEST VARS'!$R$62*($EN$80)+'LINEST VARS'!$Q$62*(0.5)+'LINEST VARS'!$P$62*($DV96)+'LINEST VARS'!$O$62*(8^2)+'LINEST VARS'!$N$62*(8^2)+'LINEST VARS'!$M$62*($EN$80^2)+'LINEST VARS'!$L$62*(0.5^2)+'LINEST VARS'!$K$62*($DV96^2)+'LINEST VARS'!$J$62*(8*8)+'LINEST VARS'!$I$62*(8*$EN$80)+'LINEST VARS'!$H$62*(8*0.5)+'LINEST VARS'!$G$62*(8*$DV96)+'LINEST VARS'!$F$62*(8*$EN$80)+'LINEST VARS'!$E$62*(8*0.5)+'LINEST VARS'!$D$62*(8*$DV96)+'LINEST VARS'!$C$62*($EN$80*0.5)+'LINEST VARS'!$B$62*($EN$80*$DV96)+'LINEST VARS'!$A$62*(0.5*$DV96)</f>
        <v>118.30000000000011</v>
      </c>
      <c r="EO96" s="55">
        <f>'LINEST VARS'!$U$62+'LINEST VARS'!$T$62*(8)+'LINEST VARS'!$S$62*(8)+'LINEST VARS'!$R$62*($EO$80)+'LINEST VARS'!$Q$62*(0.5)+'LINEST VARS'!$P$62*($DV96)+'LINEST VARS'!$O$62*(8^2)+'LINEST VARS'!$N$62*(8^2)+'LINEST VARS'!$M$62*($EO$80^2)+'LINEST VARS'!$L$62*(0.5^2)+'LINEST VARS'!$K$62*($DV96^2)+'LINEST VARS'!$J$62*(8*8)+'LINEST VARS'!$I$62*(8*$EO$80)+'LINEST VARS'!$H$62*(8*0.5)+'LINEST VARS'!$G$62*(8*$DV96)+'LINEST VARS'!$F$62*(8*$EO$80)+'LINEST VARS'!$E$62*(8*0.5)+'LINEST VARS'!$D$62*(8*$DV96)+'LINEST VARS'!$C$62*($EO$80*0.5)+'LINEST VARS'!$B$62*($EO$80*$DV96)+'LINEST VARS'!$A$62*(0.5*$DV96)</f>
        <v>90.300000000000097</v>
      </c>
      <c r="EP96" s="55">
        <f>'LINEST VARS'!$U$62+'LINEST VARS'!$T$62*(8)+'LINEST VARS'!$S$62*(8)+'LINEST VARS'!$R$62*($EP$80)+'LINEST VARS'!$Q$62*(0.5)+'LINEST VARS'!$P$62*($DV96)+'LINEST VARS'!$O$62*(8^2)+'LINEST VARS'!$N$62*(8^2)+'LINEST VARS'!$M$62*($EP$80^2)+'LINEST VARS'!$L$62*(0.5^2)+'LINEST VARS'!$K$62*($DV96^2)+'LINEST VARS'!$J$62*(8*8)+'LINEST VARS'!$I$62*(8*$EP$80)+'LINEST VARS'!$H$62*(8*0.5)+'LINEST VARS'!$G$62*(8*$DV96)+'LINEST VARS'!$F$62*(8*$EP$80)+'LINEST VARS'!$E$62*(8*0.5)+'LINEST VARS'!$D$62*(8*$DV96)+'LINEST VARS'!$C$62*($EP$80*0.5)+'LINEST VARS'!$B$62*($EP$80*$DV96)+'LINEST VARS'!$A$62*(0.5*$DV96)</f>
        <v>60.700000000000145</v>
      </c>
      <c r="EQ96" s="56">
        <f>'LINEST VARS'!$U$62+'LINEST VARS'!$T$62*(8)+'LINEST VARS'!$S$62*(8)+'LINEST VARS'!$R$62*($EQ$80)+'LINEST VARS'!$Q$62*(0.5)+'LINEST VARS'!$P$62*($DV96)+'LINEST VARS'!$O$62*(8^2)+'LINEST VARS'!$N$62*(8^2)+'LINEST VARS'!$M$62*($EQ$80^2)+'LINEST VARS'!$L$62*(0.5^2)+'LINEST VARS'!$K$62*($DV96^2)+'LINEST VARS'!$J$62*(8*8)+'LINEST VARS'!$I$62*(8*$EQ$80)+'LINEST VARS'!$H$62*(8*0.5)+'LINEST VARS'!$G$62*(8*$DV96)+'LINEST VARS'!$F$62*(8*$EQ$80)+'LINEST VARS'!$E$62*(8*0.5)+'LINEST VARS'!$D$62*(8*$DV96)+'LINEST VARS'!$C$62*($EQ$80*0.5)+'LINEST VARS'!$B$62*($EQ$80*$DV96)+'LINEST VARS'!$A$62*(0.5*$DV96)</f>
        <v>29.500000000000188</v>
      </c>
    </row>
    <row r="97" spans="2:147" ht="15" customHeight="1" x14ac:dyDescent="0.25">
      <c r="B97" s="45">
        <v>8.36</v>
      </c>
      <c r="C97" s="46">
        <f>'LINEST VARS'!$U$60+'LINEST VARS'!$T$60*($C$80)+'LINEST VARS'!$S$60*($B97)+'LINEST VARS'!$R$60*(4)+'LINEST VARS'!$Q$60*(0.5)+'LINEST VARS'!$P$60*(12.73)+'LINEST VARS'!$O$60*($C$80^2)+'LINEST VARS'!$N$60*($B97^2)+'LINEST VARS'!$M$60*(4^2)+'LINEST VARS'!$L$60*(0.5^2)+'LINEST VARS'!$K$60*(12.73^2)+'LINEST VARS'!$J$60*($C$80*$B97)+'LINEST VARS'!$I$60*($C$80*4)+'LINEST VARS'!$H$60*($C$80*0.5)+'LINEST VARS'!$G$60*($C$80*12.73)+'LINEST VARS'!$F$60*($B97*4)+'LINEST VARS'!$E$60*($B97*0.5)+'LINEST VARS'!$D$60*($B97*12.73)+'LINEST VARS'!$C$60*(4*0.5)+'LINEST VARS'!$B$60*(4*12.73)+'LINEST VARS'!$A$60*(0.5*12.73)</f>
        <v>40.460000000000015</v>
      </c>
      <c r="D97" s="46">
        <f>'LINEST VARS'!$U$60+'LINEST VARS'!$T$60*($D$80)+'LINEST VARS'!$S$60*($B97)+'LINEST VARS'!$R$60*(4)+'LINEST VARS'!$Q$60*(0.5)+'LINEST VARS'!$P$60*(12.73)+'LINEST VARS'!$O$60*($D$80^2)+'LINEST VARS'!$N$60*($B97^2)+'LINEST VARS'!$M$60*(4^2)+'LINEST VARS'!$L$60*(0.5^2)+'LINEST VARS'!$K$60*(12.73^2)+'LINEST VARS'!$J$60*($D$80*$B97)+'LINEST VARS'!$I$60*($D$80*4)+'LINEST VARS'!$H$60*($D$80*0.5)+'LINEST VARS'!$G$60*($D$80*12.73)+'LINEST VARS'!$F$60*($B97*4)+'LINEST VARS'!$E$60*($B97*0.5)+'LINEST VARS'!$D$60*($B97*12.73)+'LINEST VARS'!$C$60*(4*0.5)+'LINEST VARS'!$B$60*(4*12.73)+'LINEST VARS'!$A$60*(0.5*12.73)</f>
        <v>40.460000000000008</v>
      </c>
      <c r="E97" s="46">
        <f>'LINEST VARS'!$U$60+'LINEST VARS'!$T$60*($E$80)+'LINEST VARS'!$S$60*($B97)+'LINEST VARS'!$R$60*(4)+'LINEST VARS'!$Q$60*(0.5)+'LINEST VARS'!$P$60*(12.73)+'LINEST VARS'!$O$60*($E$80^2)+'LINEST VARS'!$N$60*($B97^2)+'LINEST VARS'!$M$60*(4^2)+'LINEST VARS'!$L$60*(0.5^2)+'LINEST VARS'!$K$60*(12.73^2)+'LINEST VARS'!$J$60*($E$80*$B97)+'LINEST VARS'!$I$60*($E$80*4)+'LINEST VARS'!$H$60*($E$80*0.5)+'LINEST VARS'!$G$60*($E$80*12.73)+'LINEST VARS'!$F$60*($B97*4)+'LINEST VARS'!$E$60*($B97*0.5)+'LINEST VARS'!$D$60*($B97*12.73)+'LINEST VARS'!$C$60*(4*0.5)+'LINEST VARS'!$B$60*(4*12.73)+'LINEST VARS'!$A$60*(0.5*12.73)</f>
        <v>40.460000000000008</v>
      </c>
      <c r="F97" s="46">
        <f>'LINEST VARS'!$U$60+'LINEST VARS'!$T$60*($F$80)+'LINEST VARS'!$S$60*($B97)+'LINEST VARS'!$R$60*(4)+'LINEST VARS'!$Q$60*(0.5)+'LINEST VARS'!$P$60*(12.73)+'LINEST VARS'!$O$60*($F$80^2)+'LINEST VARS'!$N$60*($B97^2)+'LINEST VARS'!$M$60*(4^2)+'LINEST VARS'!$L$60*(0.5^2)+'LINEST VARS'!$K$60*(12.73^2)+'LINEST VARS'!$J$60*($F$80*$B97)+'LINEST VARS'!$I$60*($F$80*4)+'LINEST VARS'!$H$60*($F$80*0.5)+'LINEST VARS'!$G$60*($F$80*12.73)+'LINEST VARS'!$F$60*($B97*4)+'LINEST VARS'!$E$60*($B97*0.5)+'LINEST VARS'!$D$60*($B97*12.73)+'LINEST VARS'!$C$60*(4*0.5)+'LINEST VARS'!$B$60*(4*12.73)+'LINEST VARS'!$A$60*(0.5*12.73)</f>
        <v>40.46</v>
      </c>
      <c r="G97" s="46">
        <f>'LINEST VARS'!$U$60+'LINEST VARS'!$T$60*($G$80)+'LINEST VARS'!$S$60*($B97)+'LINEST VARS'!$R$60*(4)+'LINEST VARS'!$Q$60*(0.5)+'LINEST VARS'!$P$60*(12.73)+'LINEST VARS'!$O$60*($G$80^2)+'LINEST VARS'!$N$60*($B97^2)+'LINEST VARS'!$M$60*(4^2)+'LINEST VARS'!$L$60*(0.5^2)+'LINEST VARS'!$K$60*(12.73^2)+'LINEST VARS'!$J$60*($G$80*$B97)+'LINEST VARS'!$I$60*($G$80*4)+'LINEST VARS'!$H$60*($G$80*0.5)+'LINEST VARS'!$G$60*($G$80*12.73)+'LINEST VARS'!$F$60*($B97*4)+'LINEST VARS'!$E$60*($B97*0.5)+'LINEST VARS'!$D$60*($B97*12.73)+'LINEST VARS'!$C$60*(4*0.5)+'LINEST VARS'!$B$60*(4*12.73)+'LINEST VARS'!$A$60*(0.5*12.73)</f>
        <v>40.46</v>
      </c>
      <c r="H97" s="46">
        <f>'LINEST VARS'!$U$60+'LINEST VARS'!$T$60*($H$80)+'LINEST VARS'!$S$60*($B97)+'LINEST VARS'!$R$60*(4)+'LINEST VARS'!$Q$60*(0.5)+'LINEST VARS'!$P$60*(12.73)+'LINEST VARS'!$O$60*($H$80^2)+'LINEST VARS'!$N$60*($B97^2)+'LINEST VARS'!$M$60*(4^2)+'LINEST VARS'!$L$60*(0.5^2)+'LINEST VARS'!$K$60*(12.73^2)+'LINEST VARS'!$J$60*($H$80*$B97)+'LINEST VARS'!$I$60*($H$80*4)+'LINEST VARS'!$H$60*($H$80*0.5)+'LINEST VARS'!$G$60*($H$80*12.73)+'LINEST VARS'!$F$60*($B97*4)+'LINEST VARS'!$E$60*($B97*0.5)+'LINEST VARS'!$D$60*($B97*12.73)+'LINEST VARS'!$C$60*(4*0.5)+'LINEST VARS'!$B$60*(4*12.73)+'LINEST VARS'!$A$60*(0.5*12.73)</f>
        <v>40.46</v>
      </c>
      <c r="I97" s="46">
        <f>'LINEST VARS'!$U$60+'LINEST VARS'!$T$60*($I$80)+'LINEST VARS'!$S$60*($B97)+'LINEST VARS'!$R$60*(4)+'LINEST VARS'!$Q$60*(0.5)+'LINEST VARS'!$P$60*(12.73)+'LINEST VARS'!$O$60*($I$80^2)+'LINEST VARS'!$N$60*($B97^2)+'LINEST VARS'!$M$60*(4^2)+'LINEST VARS'!$L$60*(0.5^2)+'LINEST VARS'!$K$60*(12.73^2)+'LINEST VARS'!$J$60*($I$80*$B97)+'LINEST VARS'!$I$60*($I$80*4)+'LINEST VARS'!$H$60*($I$80*0.5)+'LINEST VARS'!$G$60*($I$80*12.73)+'LINEST VARS'!$F$60*($B97*4)+'LINEST VARS'!$E$60*($B97*0.5)+'LINEST VARS'!$D$60*($B97*12.73)+'LINEST VARS'!$C$60*(4*0.5)+'LINEST VARS'!$B$60*(4*12.73)+'LINEST VARS'!$A$60*(0.5*12.73)</f>
        <v>40.460000000000008</v>
      </c>
      <c r="J97" s="46">
        <f>'LINEST VARS'!$U$60+'LINEST VARS'!$T$60*($J$80)+'LINEST VARS'!$S$60*($B97)+'LINEST VARS'!$R$60*(4)+'LINEST VARS'!$Q$60*(0.5)+'LINEST VARS'!$P$60*(12.73)+'LINEST VARS'!$O$60*($J$80^2)+'LINEST VARS'!$N$60*($B97^2)+'LINEST VARS'!$M$60*(4^2)+'LINEST VARS'!$L$60*(0.5^2)+'LINEST VARS'!$K$60*(12.73^2)+'LINEST VARS'!$J$60*($J$80*$B97)+'LINEST VARS'!$I$60*($J$80*4)+'LINEST VARS'!$H$60*($J$80*0.5)+'LINEST VARS'!$G$60*($J$80*12.73)+'LINEST VARS'!$F$60*($B97*4)+'LINEST VARS'!$E$60*($B97*0.5)+'LINEST VARS'!$D$60*($B97*12.73)+'LINEST VARS'!$C$60*(4*0.5)+'LINEST VARS'!$B$60*(4*12.73)+'LINEST VARS'!$A$60*(0.5*12.73)</f>
        <v>40.460000000000008</v>
      </c>
      <c r="K97" s="46">
        <f>'LINEST VARS'!$U$60+'LINEST VARS'!$T$60*($K$80)+'LINEST VARS'!$S$60*($B97)+'LINEST VARS'!$R$60*(4)+'LINEST VARS'!$Q$60*(0.5)+'LINEST VARS'!$P$60*(12.73)+'LINEST VARS'!$O$60*($K$80^2)+'LINEST VARS'!$N$60*($B97^2)+'LINEST VARS'!$M$60*(4^2)+'LINEST VARS'!$L$60*(0.5^2)+'LINEST VARS'!$K$60*(12.73^2)+'LINEST VARS'!$J$60*($K$80*$B97)+'LINEST VARS'!$I$60*($K$80*4)+'LINEST VARS'!$H$60*($K$80*0.5)+'LINEST VARS'!$G$60*($K$80*12.73)+'LINEST VARS'!$F$60*($B97*4)+'LINEST VARS'!$E$60*($B97*0.5)+'LINEST VARS'!$D$60*($B97*12.73)+'LINEST VARS'!$C$60*(4*0.5)+'LINEST VARS'!$B$60*(4*12.73)+'LINEST VARS'!$A$60*(0.5*12.73)</f>
        <v>40.460000000000008</v>
      </c>
      <c r="L97" s="46">
        <f>'LINEST VARS'!$U$60+'LINEST VARS'!$T$60*($L$80)+'LINEST VARS'!$S$60*($B97)+'LINEST VARS'!$R$60*(4)+'LINEST VARS'!$Q$60*(0.5)+'LINEST VARS'!$P$60*(12.73)+'LINEST VARS'!$O$60*($L$80^2)+'LINEST VARS'!$N$60*($B97^2)+'LINEST VARS'!$M$60*(4^2)+'LINEST VARS'!$L$60*(0.5^2)+'LINEST VARS'!$K$60*(12.73^2)+'LINEST VARS'!$J$60*($L$80*$B97)+'LINEST VARS'!$I$60*($L$80*4)+'LINEST VARS'!$H$60*($L$80*0.5)+'LINEST VARS'!$G$60*($L$80*12.73)+'LINEST VARS'!$F$60*($B97*4)+'LINEST VARS'!$E$60*($B97*0.5)+'LINEST VARS'!$D$60*($B97*12.73)+'LINEST VARS'!$C$60*(4*0.5)+'LINEST VARS'!$B$60*(4*12.73)+'LINEST VARS'!$A$60*(0.5*12.73)</f>
        <v>40.460000000000008</v>
      </c>
      <c r="M97" s="46">
        <f>'LINEST VARS'!$U$60+'LINEST VARS'!$T$60*($M$80)+'LINEST VARS'!$S$60*($B97)+'LINEST VARS'!$R$60*(4)+'LINEST VARS'!$Q$60*(0.5)+'LINEST VARS'!$P$60*(12.73)+'LINEST VARS'!$O$60*($M$80^2)+'LINEST VARS'!$N$60*($B97^2)+'LINEST VARS'!$M$60*(4^2)+'LINEST VARS'!$L$60*(0.5^2)+'LINEST VARS'!$K$60*(12.73^2)+'LINEST VARS'!$J$60*($M$80*$B97)+'LINEST VARS'!$I$60*($M$80*4)+'LINEST VARS'!$H$60*($M$80*0.5)+'LINEST VARS'!$G$60*($M$80*12.73)+'LINEST VARS'!$F$60*($B97*4)+'LINEST VARS'!$E$60*($B97*0.5)+'LINEST VARS'!$D$60*($B97*12.73)+'LINEST VARS'!$C$60*(4*0.5)+'LINEST VARS'!$B$60*(4*12.73)+'LINEST VARS'!$A$60*(0.5*12.73)</f>
        <v>40.460000000000008</v>
      </c>
      <c r="N97" s="46">
        <f>'LINEST VARS'!$U$60+'LINEST VARS'!$T$60*($N$80)+'LINEST VARS'!$S$60*($B97)+'LINEST VARS'!$R$60*(4)+'LINEST VARS'!$Q$60*(0.5)+'LINEST VARS'!$P$60*(12.73)+'LINEST VARS'!$O$60*($N$80^2)+'LINEST VARS'!$N$60*($B97^2)+'LINEST VARS'!$M$60*(4^2)+'LINEST VARS'!$L$60*(0.5^2)+'LINEST VARS'!$K$60*(12.73^2)+'LINEST VARS'!$J$60*($N$80*$B97)+'LINEST VARS'!$I$60*($N$80*4)+'LINEST VARS'!$H$60*($N$80*0.5)+'LINEST VARS'!$G$60*($N$80*12.73)+'LINEST VARS'!$F$60*($B97*4)+'LINEST VARS'!$E$60*($B97*0.5)+'LINEST VARS'!$D$60*($B97*12.73)+'LINEST VARS'!$C$60*(4*0.5)+'LINEST VARS'!$B$60*(4*12.73)+'LINEST VARS'!$A$60*(0.5*12.73)</f>
        <v>40.46</v>
      </c>
      <c r="O97" s="46">
        <f>'LINEST VARS'!$U$60+'LINEST VARS'!$T$60*($O$80)+'LINEST VARS'!$S$60*($B97)+'LINEST VARS'!$R$60*(4)+'LINEST VARS'!$Q$60*(0.5)+'LINEST VARS'!$P$60*(12.73)+'LINEST VARS'!$O$60*($O$80^2)+'LINEST VARS'!$N$60*($B97^2)+'LINEST VARS'!$M$60*(4^2)+'LINEST VARS'!$L$60*(0.5^2)+'LINEST VARS'!$K$60*(12.73^2)+'LINEST VARS'!$J$60*($O$80*$B97)+'LINEST VARS'!$I$60*($O$80*4)+'LINEST VARS'!$H$60*($O$80*0.5)+'LINEST VARS'!$G$60*($O$80*12.73)+'LINEST VARS'!$F$60*($B97*4)+'LINEST VARS'!$E$60*($B97*0.5)+'LINEST VARS'!$D$60*($B97*12.73)+'LINEST VARS'!$C$60*(4*0.5)+'LINEST VARS'!$B$60*(4*12.73)+'LINEST VARS'!$A$60*(0.5*12.73)</f>
        <v>40.460000000000008</v>
      </c>
      <c r="P97" s="46">
        <f>'LINEST VARS'!$U$60+'LINEST VARS'!$T$60*($P$80)+'LINEST VARS'!$S$60*($B97)+'LINEST VARS'!$R$60*(4)+'LINEST VARS'!$Q$60*(0.5)+'LINEST VARS'!$P$60*(12.73)+'LINEST VARS'!$O$60*($P$80^2)+'LINEST VARS'!$N$60*($B97^2)+'LINEST VARS'!$M$60*(4^2)+'LINEST VARS'!$L$60*(0.5^2)+'LINEST VARS'!$K$60*(12.73^2)+'LINEST VARS'!$J$60*($P$80*$B97)+'LINEST VARS'!$I$60*($P$80*4)+'LINEST VARS'!$H$60*($P$80*0.5)+'LINEST VARS'!$G$60*($P$80*12.73)+'LINEST VARS'!$F$60*($B97*4)+'LINEST VARS'!$E$60*($B97*0.5)+'LINEST VARS'!$D$60*($B97*12.73)+'LINEST VARS'!$C$60*(4*0.5)+'LINEST VARS'!$B$60*(4*12.73)+'LINEST VARS'!$A$60*(0.5*12.73)</f>
        <v>40.460000000000008</v>
      </c>
      <c r="Q97" s="46">
        <f>'LINEST VARS'!$U$60+'LINEST VARS'!$T$60*($Q$80)+'LINEST VARS'!$S$60*($B97)+'LINEST VARS'!$R$60*(4)+'LINEST VARS'!$Q$60*(0.5)+'LINEST VARS'!$P$60*(12.73)+'LINEST VARS'!$O$60*($Q$80^2)+'LINEST VARS'!$N$60*($B97^2)+'LINEST VARS'!$M$60*(4^2)+'LINEST VARS'!$L$60*(0.5^2)+'LINEST VARS'!$K$60*(12.73^2)+'LINEST VARS'!$J$60*($Q$80*$B97)+'LINEST VARS'!$I$60*($Q$80*4)+'LINEST VARS'!$H$60*($Q$80*0.5)+'LINEST VARS'!$G$60*($Q$80*12.73)+'LINEST VARS'!$F$60*($B97*4)+'LINEST VARS'!$E$60*($B97*0.5)+'LINEST VARS'!$D$60*($B97*12.73)+'LINEST VARS'!$C$60*(4*0.5)+'LINEST VARS'!$B$60*(4*12.73)+'LINEST VARS'!$A$60*(0.5*12.73)</f>
        <v>40.460000000000008</v>
      </c>
      <c r="R97" s="46">
        <f>'LINEST VARS'!$U$60+'LINEST VARS'!$T$60*($R$80)+'LINEST VARS'!$S$60*($B97)+'LINEST VARS'!$R$60*(4)+'LINEST VARS'!$Q$60*(0.5)+'LINEST VARS'!$P$60*(12.73)+'LINEST VARS'!$O$60*($R$80^2)+'LINEST VARS'!$N$60*($B97^2)+'LINEST VARS'!$M$60*(4^2)+'LINEST VARS'!$L$60*(0.5^2)+'LINEST VARS'!$K$60*(12.73^2)+'LINEST VARS'!$J$60*($R$80*$B97)+'LINEST VARS'!$I$60*($R$80*4)+'LINEST VARS'!$H$60*($R$80*0.5)+'LINEST VARS'!$G$60*($R$80*12.73)+'LINEST VARS'!$F$60*($B97*4)+'LINEST VARS'!$E$60*($B97*0.5)+'LINEST VARS'!$D$60*($B97*12.73)+'LINEST VARS'!$C$60*(4*0.5)+'LINEST VARS'!$B$60*(4*12.73)+'LINEST VARS'!$A$60*(0.5*12.73)</f>
        <v>40.460000000000008</v>
      </c>
      <c r="S97" s="46">
        <f>'LINEST VARS'!$U$60+'LINEST VARS'!$T$60*($S$80)+'LINEST VARS'!$S$60*($B97)+'LINEST VARS'!$R$60*(4)+'LINEST VARS'!$Q$60*(0.5)+'LINEST VARS'!$P$60*(12.73)+'LINEST VARS'!$O$60*($S$80^2)+'LINEST VARS'!$N$60*($B97^2)+'LINEST VARS'!$M$60*(4^2)+'LINEST VARS'!$L$60*(0.5^2)+'LINEST VARS'!$K$60*(12.73^2)+'LINEST VARS'!$J$60*($S$80*$B97)+'LINEST VARS'!$I$60*($S$80*4)+'LINEST VARS'!$H$60*($S$80*0.5)+'LINEST VARS'!$G$60*($S$80*12.73)+'LINEST VARS'!$F$60*($B97*4)+'LINEST VARS'!$E$60*($B97*0.5)+'LINEST VARS'!$D$60*($B97*12.73)+'LINEST VARS'!$C$60*(4*0.5)+'LINEST VARS'!$B$60*(4*12.73)+'LINEST VARS'!$A$60*(0.5*12.73)</f>
        <v>40.460000000000008</v>
      </c>
      <c r="T97" s="46">
        <f>'LINEST VARS'!$U$60+'LINEST VARS'!$T$60*($T$80)+'LINEST VARS'!$S$60*($B97)+'LINEST VARS'!$R$60*(4)+'LINEST VARS'!$Q$60*(0.5)+'LINEST VARS'!$P$60*(12.73)+'LINEST VARS'!$O$60*($T$80^2)+'LINEST VARS'!$N$60*($B97^2)+'LINEST VARS'!$M$60*(4^2)+'LINEST VARS'!$L$60*(0.5^2)+'LINEST VARS'!$K$60*(12.73^2)+'LINEST VARS'!$J$60*($T$80*$B97)+'LINEST VARS'!$I$60*($T$80*4)+'LINEST VARS'!$H$60*($T$80*0.5)+'LINEST VARS'!$G$60*($T$80*12.73)+'LINEST VARS'!$F$60*($B97*4)+'LINEST VARS'!$E$60*($B97*0.5)+'LINEST VARS'!$D$60*($B97*12.73)+'LINEST VARS'!$C$60*(4*0.5)+'LINEST VARS'!$B$60*(4*12.73)+'LINEST VARS'!$A$60*(0.5*12.73)</f>
        <v>40.46</v>
      </c>
      <c r="U97" s="46">
        <f>'LINEST VARS'!$U$60+'LINEST VARS'!$T$60*($U$80)+'LINEST VARS'!$S$60*($B97)+'LINEST VARS'!$R$60*(4)+'LINEST VARS'!$Q$60*(0.5)+'LINEST VARS'!$P$60*(12.73)+'LINEST VARS'!$O$60*($U$80^2)+'LINEST VARS'!$N$60*($B97^2)+'LINEST VARS'!$M$60*(4^2)+'LINEST VARS'!$L$60*(0.5^2)+'LINEST VARS'!$K$60*(12.73^2)+'LINEST VARS'!$J$60*($U$80*$B97)+'LINEST VARS'!$I$60*($U$80*4)+'LINEST VARS'!$H$60*($U$80*0.5)+'LINEST VARS'!$G$60*($U$80*12.73)+'LINEST VARS'!$F$60*($B97*4)+'LINEST VARS'!$E$60*($B97*0.5)+'LINEST VARS'!$D$60*($B97*12.73)+'LINEST VARS'!$C$60*(4*0.5)+'LINEST VARS'!$B$60*(4*12.73)+'LINEST VARS'!$A$60*(0.5*12.73)</f>
        <v>40.460000000000008</v>
      </c>
      <c r="V97" s="46">
        <f>'LINEST VARS'!$U$60+'LINEST VARS'!$T$60*($V$80)+'LINEST VARS'!$S$60*($B97)+'LINEST VARS'!$R$60*(4)+'LINEST VARS'!$Q$60*(0.5)+'LINEST VARS'!$P$60*(12.73)+'LINEST VARS'!$O$60*($V$80^2)+'LINEST VARS'!$N$60*($B97^2)+'LINEST VARS'!$M$60*(4^2)+'LINEST VARS'!$L$60*(0.5^2)+'LINEST VARS'!$K$60*(12.73^2)+'LINEST VARS'!$J$60*($V$80*$B97)+'LINEST VARS'!$I$60*($V$80*4)+'LINEST VARS'!$H$60*($V$80*0.5)+'LINEST VARS'!$G$60*($V$80*12.73)+'LINEST VARS'!$F$60*($B97*4)+'LINEST VARS'!$E$60*($B97*0.5)+'LINEST VARS'!$D$60*($B97*12.73)+'LINEST VARS'!$C$60*(4*0.5)+'LINEST VARS'!$B$60*(4*12.73)+'LINEST VARS'!$A$60*(0.5*12.73)</f>
        <v>40.460000000000008</v>
      </c>
      <c r="W97" s="47">
        <f>'LINEST VARS'!$U$60+'LINEST VARS'!$T$60*($W$80)+'LINEST VARS'!$S$60*($B97)+'LINEST VARS'!$R$60*(4)+'LINEST VARS'!$Q$60*(0.5)+'LINEST VARS'!$P$60*(12.73)+'LINEST VARS'!$O$60*($W$80^2)+'LINEST VARS'!$N$60*($B97^2)+'LINEST VARS'!$M$60*(4^2)+'LINEST VARS'!$L$60*(0.5^2)+'LINEST VARS'!$K$60*(12.73^2)+'LINEST VARS'!$J$60*($W$80*$B97)+'LINEST VARS'!$I$60*($W$80*4)+'LINEST VARS'!$H$60*($W$80*0.5)+'LINEST VARS'!$G$60*($W$80*12.73)+'LINEST VARS'!$F$60*($B97*4)+'LINEST VARS'!$E$60*($B97*0.5)+'LINEST VARS'!$D$60*($B97*12.73)+'LINEST VARS'!$C$60*(4*0.5)+'LINEST VARS'!$B$60*(4*12.73)+'LINEST VARS'!$A$60*(0.5*12.73)</f>
        <v>40.460000000000008</v>
      </c>
      <c r="Z97" s="45">
        <v>8.36</v>
      </c>
      <c r="AA97" s="55">
        <f>'LINEST VARS'!$U$62+'LINEST VARS'!$T$62*($AA$80)+'LINEST VARS'!$S$62*($Z97)+'LINEST VARS'!$R$62*(4)+'LINEST VARS'!$Q$62*(0.5)+'LINEST VARS'!$P$62*(12.73)+'LINEST VARS'!$O$62*($AA$80^2)+'LINEST VARS'!$N$62*($Z97^2)+'LINEST VARS'!$M$62*(4^2)+'LINEST VARS'!$L$62*(0.5^2)+'LINEST VARS'!$K$62*(12.73^2)+'LINEST VARS'!$J$62*($AA$80*$Z97)+'LINEST VARS'!$I$62*($AA$80*4)+'LINEST VARS'!$H$62*($AA$80*0.5)+'LINEST VARS'!$G$62*($AA$80*12.73)+'LINEST VARS'!$F$62*($Z97*4)+'LINEST VARS'!$E$62*($Z97*0.5)+'LINEST VARS'!$D$62*($Z97*12.73)+'LINEST VARS'!$C$62*(4*0.5)+'LINEST VARS'!$B$62*(4*12.73)+'LINEST VARS'!$A$62*(0.5*12.73)</f>
        <v>269.49999999999994</v>
      </c>
      <c r="AB97" s="55">
        <f>'LINEST VARS'!$U$62+'LINEST VARS'!$T$62*($AB$80)+'LINEST VARS'!$S$62*($Z97)+'LINEST VARS'!$R$62*(4)+'LINEST VARS'!$Q$62*(0.5)+'LINEST VARS'!$P$62*(12.73)+'LINEST VARS'!$O$62*($AB$80^2)+'LINEST VARS'!$N$62*($Z97^2)+'LINEST VARS'!$M$62*(4^2)+'LINEST VARS'!$L$62*(0.5^2)+'LINEST VARS'!$K$62*(12.73^2)+'LINEST VARS'!$J$62*($AB$80*$Z97)+'LINEST VARS'!$I$62*($AB$80*4)+'LINEST VARS'!$H$62*($AB$80*0.5)+'LINEST VARS'!$G$62*($AB$80*12.73)+'LINEST VARS'!$F$62*($Z97*4)+'LINEST VARS'!$E$62*($Z97*0.5)+'LINEST VARS'!$D$62*($Z97*12.73)+'LINEST VARS'!$C$62*(4*0.5)+'LINEST VARS'!$B$62*(4*12.73)+'LINEST VARS'!$A$62*(0.5*12.73)</f>
        <v>269.5</v>
      </c>
      <c r="AC97" s="55">
        <f>'LINEST VARS'!$U$62+'LINEST VARS'!$T$62*($AC$80)+'LINEST VARS'!$S$62*($Z97)+'LINEST VARS'!$R$62*(4)+'LINEST VARS'!$Q$62*(0.5)+'LINEST VARS'!$P$62*(12.73)+'LINEST VARS'!$O$62*($AC$80^2)+'LINEST VARS'!$N$62*($Z97^2)+'LINEST VARS'!$M$62*(4^2)+'LINEST VARS'!$L$62*(0.5^2)+'LINEST VARS'!$K$62*(12.73^2)+'LINEST VARS'!$J$62*($AC$80*$Z97)+'LINEST VARS'!$I$62*($AC$80*4)+'LINEST VARS'!$H$62*($AC$80*0.5)+'LINEST VARS'!$G$62*($AC$80*12.73)+'LINEST VARS'!$F$62*($Z97*4)+'LINEST VARS'!$E$62*($Z97*0.5)+'LINEST VARS'!$D$62*($Z97*12.73)+'LINEST VARS'!$C$62*(4*0.5)+'LINEST VARS'!$B$62*(4*12.73)+'LINEST VARS'!$A$62*(0.5*12.73)</f>
        <v>269.49999999999994</v>
      </c>
      <c r="AD97" s="55">
        <f>'LINEST VARS'!$U$62+'LINEST VARS'!$T$62*($AD$80)+'LINEST VARS'!$S$62*($Z97)+'LINEST VARS'!$R$62*(4)+'LINEST VARS'!$Q$62*(0.5)+'LINEST VARS'!$P$62*(12.73)+'LINEST VARS'!$O$62*($AD$80^2)+'LINEST VARS'!$N$62*($Z97^2)+'LINEST VARS'!$M$62*(4^2)+'LINEST VARS'!$L$62*(0.5^2)+'LINEST VARS'!$K$62*(12.73^2)+'LINEST VARS'!$J$62*($AD$80*$Z97)+'LINEST VARS'!$I$62*($AD$80*4)+'LINEST VARS'!$H$62*($AD$80*0.5)+'LINEST VARS'!$G$62*($AD$80*12.73)+'LINEST VARS'!$F$62*($Z97*4)+'LINEST VARS'!$E$62*($Z97*0.5)+'LINEST VARS'!$D$62*($Z97*12.73)+'LINEST VARS'!$C$62*(4*0.5)+'LINEST VARS'!$B$62*(4*12.73)+'LINEST VARS'!$A$62*(0.5*12.73)</f>
        <v>269.5</v>
      </c>
      <c r="AE97" s="55">
        <f>'LINEST VARS'!$U$62+'LINEST VARS'!$T$62*($AE$80)+'LINEST VARS'!$S$62*($Z97)+'LINEST VARS'!$R$62*(4)+'LINEST VARS'!$Q$62*(0.5)+'LINEST VARS'!$P$62*(12.73)+'LINEST VARS'!$O$62*($AE$80^2)+'LINEST VARS'!$N$62*($Z97^2)+'LINEST VARS'!$M$62*(4^2)+'LINEST VARS'!$L$62*(0.5^2)+'LINEST VARS'!$K$62*(12.73^2)+'LINEST VARS'!$J$62*($AE$80*$Z97)+'LINEST VARS'!$I$62*($AE$80*4)+'LINEST VARS'!$H$62*($AE$80*0.5)+'LINEST VARS'!$G$62*($AE$80*12.73)+'LINEST VARS'!$F$62*($Z97*4)+'LINEST VARS'!$E$62*($Z97*0.5)+'LINEST VARS'!$D$62*($Z97*12.73)+'LINEST VARS'!$C$62*(4*0.5)+'LINEST VARS'!$B$62*(4*12.73)+'LINEST VARS'!$A$62*(0.5*12.73)</f>
        <v>269.49999999999994</v>
      </c>
      <c r="AF97" s="55">
        <f>'LINEST VARS'!$U$62+'LINEST VARS'!$T$62*($AF$80)+'LINEST VARS'!$S$62*($Z97)+'LINEST VARS'!$R$62*(4)+'LINEST VARS'!$Q$62*(0.5)+'LINEST VARS'!$P$62*(12.73)+'LINEST VARS'!$O$62*($AF$80^2)+'LINEST VARS'!$N$62*($Z97^2)+'LINEST VARS'!$M$62*(4^2)+'LINEST VARS'!$L$62*(0.5^2)+'LINEST VARS'!$K$62*(12.73^2)+'LINEST VARS'!$J$62*($AF$80*$Z97)+'LINEST VARS'!$I$62*($AF$80*4)+'LINEST VARS'!$H$62*($AF$80*0.5)+'LINEST VARS'!$G$62*($AF$80*12.73)+'LINEST VARS'!$F$62*($Z97*4)+'LINEST VARS'!$E$62*($Z97*0.5)+'LINEST VARS'!$D$62*($Z97*12.73)+'LINEST VARS'!$C$62*(4*0.5)+'LINEST VARS'!$B$62*(4*12.73)+'LINEST VARS'!$A$62*(0.5*12.73)</f>
        <v>269.49999999999994</v>
      </c>
      <c r="AG97" s="55">
        <f>'LINEST VARS'!$U$62+'LINEST VARS'!$T$62*($AG$80)+'LINEST VARS'!$S$62*($Z97)+'LINEST VARS'!$R$62*(4)+'LINEST VARS'!$Q$62*(0.5)+'LINEST VARS'!$P$62*(12.73)+'LINEST VARS'!$O$62*($AG$80^2)+'LINEST VARS'!$N$62*($Z97^2)+'LINEST VARS'!$M$62*(4^2)+'LINEST VARS'!$L$62*(0.5^2)+'LINEST VARS'!$K$62*(12.73^2)+'LINEST VARS'!$J$62*($AG$80*$Z97)+'LINEST VARS'!$I$62*($AG$80*4)+'LINEST VARS'!$H$62*($AG$80*0.5)+'LINEST VARS'!$G$62*($AG$80*12.73)+'LINEST VARS'!$F$62*($Z97*4)+'LINEST VARS'!$E$62*($Z97*0.5)+'LINEST VARS'!$D$62*($Z97*12.73)+'LINEST VARS'!$C$62*(4*0.5)+'LINEST VARS'!$B$62*(4*12.73)+'LINEST VARS'!$A$62*(0.5*12.73)</f>
        <v>269.5</v>
      </c>
      <c r="AH97" s="55">
        <f>'LINEST VARS'!$U$62+'LINEST VARS'!$T$62*($AH$80)+'LINEST VARS'!$S$62*($Z97)+'LINEST VARS'!$R$62*(4)+'LINEST VARS'!$Q$62*(0.5)+'LINEST VARS'!$P$62*(12.73)+'LINEST VARS'!$O$62*($AH$80^2)+'LINEST VARS'!$N$62*($Z97^2)+'LINEST VARS'!$M$62*(4^2)+'LINEST VARS'!$L$62*(0.5^2)+'LINEST VARS'!$K$62*(12.73^2)+'LINEST VARS'!$J$62*($AH$80*$Z97)+'LINEST VARS'!$I$62*($AH$80*4)+'LINEST VARS'!$H$62*($AH$80*0.5)+'LINEST VARS'!$G$62*($AH$80*12.73)+'LINEST VARS'!$F$62*($Z97*4)+'LINEST VARS'!$E$62*($Z97*0.5)+'LINEST VARS'!$D$62*($Z97*12.73)+'LINEST VARS'!$C$62*(4*0.5)+'LINEST VARS'!$B$62*(4*12.73)+'LINEST VARS'!$A$62*(0.5*12.73)</f>
        <v>269.49999999999994</v>
      </c>
      <c r="AI97" s="55">
        <f>'LINEST VARS'!$U$62+'LINEST VARS'!$T$62*($AI$80)+'LINEST VARS'!$S$62*($Z97)+'LINEST VARS'!$R$62*(4)+'LINEST VARS'!$Q$62*(0.5)+'LINEST VARS'!$P$62*(12.73)+'LINEST VARS'!$O$62*($AI$80^2)+'LINEST VARS'!$N$62*($Z97^2)+'LINEST VARS'!$M$62*(4^2)+'LINEST VARS'!$L$62*(0.5^2)+'LINEST VARS'!$K$62*(12.73^2)+'LINEST VARS'!$J$62*($AI$80*$Z97)+'LINEST VARS'!$I$62*($AI$80*4)+'LINEST VARS'!$H$62*($AI$80*0.5)+'LINEST VARS'!$G$62*($AI$80*12.73)+'LINEST VARS'!$F$62*($Z97*4)+'LINEST VARS'!$E$62*($Z97*0.5)+'LINEST VARS'!$D$62*($Z97*12.73)+'LINEST VARS'!$C$62*(4*0.5)+'LINEST VARS'!$B$62*(4*12.73)+'LINEST VARS'!$A$62*(0.5*12.73)</f>
        <v>269.49999999999994</v>
      </c>
      <c r="AJ97" s="55">
        <f>'LINEST VARS'!$U$62+'LINEST VARS'!$T$62*($AJ$80)+'LINEST VARS'!$S$62*($Z97)+'LINEST VARS'!$R$62*(4)+'LINEST VARS'!$Q$62*(0.5)+'LINEST VARS'!$P$62*(12.73)+'LINEST VARS'!$O$62*($AJ$80^2)+'LINEST VARS'!$N$62*($Z97^2)+'LINEST VARS'!$M$62*(4^2)+'LINEST VARS'!$L$62*(0.5^2)+'LINEST VARS'!$K$62*(12.73^2)+'LINEST VARS'!$J$62*($AJ$80*$Z97)+'LINEST VARS'!$I$62*($AJ$80*4)+'LINEST VARS'!$H$62*($AJ$80*0.5)+'LINEST VARS'!$G$62*($AJ$80*12.73)+'LINEST VARS'!$F$62*($Z97*4)+'LINEST VARS'!$E$62*($Z97*0.5)+'LINEST VARS'!$D$62*($Z97*12.73)+'LINEST VARS'!$C$62*(4*0.5)+'LINEST VARS'!$B$62*(4*12.73)+'LINEST VARS'!$A$62*(0.5*12.73)</f>
        <v>269.49999999999994</v>
      </c>
      <c r="AK97" s="55">
        <f>'LINEST VARS'!$U$62+'LINEST VARS'!$T$62*($AK$80)+'LINEST VARS'!$S$62*($Z97)+'LINEST VARS'!$R$62*(4)+'LINEST VARS'!$Q$62*(0.5)+'LINEST VARS'!$P$62*(12.73)+'LINEST VARS'!$O$62*($AK$80^2)+'LINEST VARS'!$N$62*($Z97^2)+'LINEST VARS'!$M$62*(4^2)+'LINEST VARS'!$L$62*(0.5^2)+'LINEST VARS'!$K$62*(12.73^2)+'LINEST VARS'!$J$62*($AK$80*$Z97)+'LINEST VARS'!$I$62*($AK$80*4)+'LINEST VARS'!$H$62*($AK$80*0.5)+'LINEST VARS'!$G$62*($AK$80*12.73)+'LINEST VARS'!$F$62*($Z97*4)+'LINEST VARS'!$E$62*($Z97*0.5)+'LINEST VARS'!$D$62*($Z97*12.73)+'LINEST VARS'!$C$62*(4*0.5)+'LINEST VARS'!$B$62*(4*12.73)+'LINEST VARS'!$A$62*(0.5*12.73)</f>
        <v>269.5</v>
      </c>
      <c r="AL97" s="55">
        <f>'LINEST VARS'!$U$62+'LINEST VARS'!$T$62*($AL$80)+'LINEST VARS'!$S$62*($Z97)+'LINEST VARS'!$R$62*(4)+'LINEST VARS'!$Q$62*(0.5)+'LINEST VARS'!$P$62*(12.73)+'LINEST VARS'!$O$62*($AL$80^2)+'LINEST VARS'!$N$62*($Z97^2)+'LINEST VARS'!$M$62*(4^2)+'LINEST VARS'!$L$62*(0.5^2)+'LINEST VARS'!$K$62*(12.73^2)+'LINEST VARS'!$J$62*($AL$80*$Z97)+'LINEST VARS'!$I$62*($AL$80*4)+'LINEST VARS'!$H$62*($AL$80*0.5)+'LINEST VARS'!$G$62*($AL$80*12.73)+'LINEST VARS'!$F$62*($Z97*4)+'LINEST VARS'!$E$62*($Z97*0.5)+'LINEST VARS'!$D$62*($Z97*12.73)+'LINEST VARS'!$C$62*(4*0.5)+'LINEST VARS'!$B$62*(4*12.73)+'LINEST VARS'!$A$62*(0.5*12.73)</f>
        <v>269.49999999999994</v>
      </c>
      <c r="AM97" s="55">
        <f>'LINEST VARS'!$U$62+'LINEST VARS'!$T$62*($AM$80)+'LINEST VARS'!$S$62*($Z97)+'LINEST VARS'!$R$62*(4)+'LINEST VARS'!$Q$62*(0.5)+'LINEST VARS'!$P$62*(12.73)+'LINEST VARS'!$O$62*($AM$80^2)+'LINEST VARS'!$N$62*($Z97^2)+'LINEST VARS'!$M$62*(4^2)+'LINEST VARS'!$L$62*(0.5^2)+'LINEST VARS'!$K$62*(12.73^2)+'LINEST VARS'!$J$62*($AM$80*$Z97)+'LINEST VARS'!$I$62*($AM$80*4)+'LINEST VARS'!$H$62*($AM$80*0.5)+'LINEST VARS'!$G$62*($AM$80*12.73)+'LINEST VARS'!$F$62*($Z97*4)+'LINEST VARS'!$E$62*($Z97*0.5)+'LINEST VARS'!$D$62*($Z97*12.73)+'LINEST VARS'!$C$62*(4*0.5)+'LINEST VARS'!$B$62*(4*12.73)+'LINEST VARS'!$A$62*(0.5*12.73)</f>
        <v>269.49999999999994</v>
      </c>
      <c r="AN97" s="55">
        <f>'LINEST VARS'!$U$62+'LINEST VARS'!$T$62*($AN$80)+'LINEST VARS'!$S$62*($Z97)+'LINEST VARS'!$R$62*(4)+'LINEST VARS'!$Q$62*(0.5)+'LINEST VARS'!$P$62*(12.73)+'LINEST VARS'!$O$62*($AN$80^2)+'LINEST VARS'!$N$62*($Z97^2)+'LINEST VARS'!$M$62*(4^2)+'LINEST VARS'!$L$62*(0.5^2)+'LINEST VARS'!$K$62*(12.73^2)+'LINEST VARS'!$J$62*($AN$80*$Z97)+'LINEST VARS'!$I$62*($AN$80*4)+'LINEST VARS'!$H$62*($AN$80*0.5)+'LINEST VARS'!$G$62*($AN$80*12.73)+'LINEST VARS'!$F$62*($Z97*4)+'LINEST VARS'!$E$62*($Z97*0.5)+'LINEST VARS'!$D$62*($Z97*12.73)+'LINEST VARS'!$C$62*(4*0.5)+'LINEST VARS'!$B$62*(4*12.73)+'LINEST VARS'!$A$62*(0.5*12.73)</f>
        <v>269.49999999999994</v>
      </c>
      <c r="AO97" s="55">
        <f>'LINEST VARS'!$U$62+'LINEST VARS'!$T$62*($AO$80)+'LINEST VARS'!$S$62*($Z97)+'LINEST VARS'!$R$62*(4)+'LINEST VARS'!$Q$62*(0.5)+'LINEST VARS'!$P$62*(12.73)+'LINEST VARS'!$O$62*($AO$80^2)+'LINEST VARS'!$N$62*($Z97^2)+'LINEST VARS'!$M$62*(4^2)+'LINEST VARS'!$L$62*(0.5^2)+'LINEST VARS'!$K$62*(12.73^2)+'LINEST VARS'!$J$62*($AO$80*$Z97)+'LINEST VARS'!$I$62*($AO$80*4)+'LINEST VARS'!$H$62*($AO$80*0.5)+'LINEST VARS'!$G$62*($AO$80*12.73)+'LINEST VARS'!$F$62*($Z97*4)+'LINEST VARS'!$E$62*($Z97*0.5)+'LINEST VARS'!$D$62*($Z97*12.73)+'LINEST VARS'!$C$62*(4*0.5)+'LINEST VARS'!$B$62*(4*12.73)+'LINEST VARS'!$A$62*(0.5*12.73)</f>
        <v>269.49999999999994</v>
      </c>
      <c r="AP97" s="55">
        <f>'LINEST VARS'!$U$62+'LINEST VARS'!$T$62*($AP$80)+'LINEST VARS'!$S$62*($Z97)+'LINEST VARS'!$R$62*(4)+'LINEST VARS'!$Q$62*(0.5)+'LINEST VARS'!$P$62*(12.73)+'LINEST VARS'!$O$62*($AP$80^2)+'LINEST VARS'!$N$62*($Z97^2)+'LINEST VARS'!$M$62*(4^2)+'LINEST VARS'!$L$62*(0.5^2)+'LINEST VARS'!$K$62*(12.73^2)+'LINEST VARS'!$J$62*($AP$80*$Z97)+'LINEST VARS'!$I$62*($AP$80*4)+'LINEST VARS'!$H$62*($AP$80*0.5)+'LINEST VARS'!$G$62*($AP$80*12.73)+'LINEST VARS'!$F$62*($Z97*4)+'LINEST VARS'!$E$62*($Z97*0.5)+'LINEST VARS'!$D$62*($Z97*12.73)+'LINEST VARS'!$C$62*(4*0.5)+'LINEST VARS'!$B$62*(4*12.73)+'LINEST VARS'!$A$62*(0.5*12.73)</f>
        <v>269.5</v>
      </c>
      <c r="AQ97" s="55">
        <f>'LINEST VARS'!$U$62+'LINEST VARS'!$T$62*($AQ$80)+'LINEST VARS'!$S$62*($Z97)+'LINEST VARS'!$R$62*(4)+'LINEST VARS'!$Q$62*(0.5)+'LINEST VARS'!$P$62*(12.73)+'LINEST VARS'!$O$62*($AQ$80^2)+'LINEST VARS'!$N$62*($Z97^2)+'LINEST VARS'!$M$62*(4^2)+'LINEST VARS'!$L$62*(0.5^2)+'LINEST VARS'!$K$62*(12.73^2)+'LINEST VARS'!$J$62*($AQ$80*$Z97)+'LINEST VARS'!$I$62*($AQ$80*4)+'LINEST VARS'!$H$62*($AQ$80*0.5)+'LINEST VARS'!$G$62*($AQ$80*12.73)+'LINEST VARS'!$F$62*($Z97*4)+'LINEST VARS'!$E$62*($Z97*0.5)+'LINEST VARS'!$D$62*($Z97*12.73)+'LINEST VARS'!$C$62*(4*0.5)+'LINEST VARS'!$B$62*(4*12.73)+'LINEST VARS'!$A$62*(0.5*12.73)</f>
        <v>269.49999999999994</v>
      </c>
      <c r="AR97" s="55">
        <f>'LINEST VARS'!$U$62+'LINEST VARS'!$T$62*($AR$80)+'LINEST VARS'!$S$62*($Z97)+'LINEST VARS'!$R$62*(4)+'LINEST VARS'!$Q$62*(0.5)+'LINEST VARS'!$P$62*(12.73)+'LINEST VARS'!$O$62*($AR$80^2)+'LINEST VARS'!$N$62*($Z97^2)+'LINEST VARS'!$M$62*(4^2)+'LINEST VARS'!$L$62*(0.5^2)+'LINEST VARS'!$K$62*(12.73^2)+'LINEST VARS'!$J$62*($AR$80*$Z97)+'LINEST VARS'!$I$62*($AR$80*4)+'LINEST VARS'!$H$62*($AR$80*0.5)+'LINEST VARS'!$G$62*($AR$80*12.73)+'LINEST VARS'!$F$62*($Z97*4)+'LINEST VARS'!$E$62*($Z97*0.5)+'LINEST VARS'!$D$62*($Z97*12.73)+'LINEST VARS'!$C$62*(4*0.5)+'LINEST VARS'!$B$62*(4*12.73)+'LINEST VARS'!$A$62*(0.5*12.73)</f>
        <v>269.5</v>
      </c>
      <c r="AS97" s="55">
        <f>'LINEST VARS'!$U$62+'LINEST VARS'!$T$62*($AS$80)+'LINEST VARS'!$S$62*($Z97)+'LINEST VARS'!$R$62*(4)+'LINEST VARS'!$Q$62*(0.5)+'LINEST VARS'!$P$62*(12.73)+'LINEST VARS'!$O$62*($AS$80^2)+'LINEST VARS'!$N$62*($Z97^2)+'LINEST VARS'!$M$62*(4^2)+'LINEST VARS'!$L$62*(0.5^2)+'LINEST VARS'!$K$62*(12.73^2)+'LINEST VARS'!$J$62*($AS$80*$Z97)+'LINEST VARS'!$I$62*($AS$80*4)+'LINEST VARS'!$H$62*($AS$80*0.5)+'LINEST VARS'!$G$62*($AS$80*12.73)+'LINEST VARS'!$F$62*($Z97*4)+'LINEST VARS'!$E$62*($Z97*0.5)+'LINEST VARS'!$D$62*($Z97*12.73)+'LINEST VARS'!$C$62*(4*0.5)+'LINEST VARS'!$B$62*(4*12.73)+'LINEST VARS'!$A$62*(0.5*12.73)</f>
        <v>269.49999999999994</v>
      </c>
      <c r="AT97" s="55">
        <f>'LINEST VARS'!$U$62+'LINEST VARS'!$T$62*($AT$80)+'LINEST VARS'!$S$62*($Z97)+'LINEST VARS'!$R$62*(4)+'LINEST VARS'!$Q$62*(0.5)+'LINEST VARS'!$P$62*(12.73)+'LINEST VARS'!$O$62*($AT$80^2)+'LINEST VARS'!$N$62*($Z97^2)+'LINEST VARS'!$M$62*(4^2)+'LINEST VARS'!$L$62*(0.5^2)+'LINEST VARS'!$K$62*(12.73^2)+'LINEST VARS'!$J$62*($AT$80*$Z97)+'LINEST VARS'!$I$62*($AT$80*4)+'LINEST VARS'!$H$62*($AT$80*0.5)+'LINEST VARS'!$G$62*($AT$80*12.73)+'LINEST VARS'!$F$62*($Z97*4)+'LINEST VARS'!$E$62*($Z97*0.5)+'LINEST VARS'!$D$62*($Z97*12.73)+'LINEST VARS'!$C$62*(4*0.5)+'LINEST VARS'!$B$62*(4*12.73)+'LINEST VARS'!$A$62*(0.5*12.73)</f>
        <v>269.5</v>
      </c>
      <c r="AU97" s="56">
        <f>'LINEST VARS'!$U$62+'LINEST VARS'!$T$62*($AU$80)+'LINEST VARS'!$S$62*($Z97)+'LINEST VARS'!$R$62*(4)+'LINEST VARS'!$Q$62*(0.5)+'LINEST VARS'!$P$62*(12.73)+'LINEST VARS'!$O$62*($AU$80^2)+'LINEST VARS'!$N$62*($Z97^2)+'LINEST VARS'!$M$62*(4^2)+'LINEST VARS'!$L$62*(0.5^2)+'LINEST VARS'!$K$62*(12.73^2)+'LINEST VARS'!$J$62*($AU$80*$Z97)+'LINEST VARS'!$I$62*($AU$80*4)+'LINEST VARS'!$H$62*($AU$80*0.5)+'LINEST VARS'!$G$62*($AU$80*12.73)+'LINEST VARS'!$F$62*($Z97*4)+'LINEST VARS'!$E$62*($Z97*0.5)+'LINEST VARS'!$D$62*($Z97*12.73)+'LINEST VARS'!$C$62*(4*0.5)+'LINEST VARS'!$B$62*(4*12.73)+'LINEST VARS'!$A$62*(0.5*12.73)</f>
        <v>269.50000000000006</v>
      </c>
      <c r="AZ97" s="45">
        <v>0.8</v>
      </c>
      <c r="BA97" s="46">
        <f>'LINEST VARS'!$U$60+'LINEST VARS'!$T$60*(8)+'LINEST VARS'!$S$60*(8)+'LINEST VARS'!$R$60*($BA$80)+'LINEST VARS'!$Q$60*($AZ97)+'LINEST VARS'!$P$60*(12.73)+'LINEST VARS'!$O$60*(8^2)+'LINEST VARS'!$N$60*(8^2)+'LINEST VARS'!$M$60*($BA$80^2)+'LINEST VARS'!$L$60*($AZ97^2)+'LINEST VARS'!$K$60*(12.73^2)+'LINEST VARS'!$J$60*(8*8)+'LINEST VARS'!$I$60*(8*$BA$80)+'LINEST VARS'!$H$60*(8*$AZ97)+'LINEST VARS'!$G$60*(8*12.73)+'LINEST VARS'!$F$60*(8*$BA$80)+'LINEST VARS'!$E$60*(8*$AZ97)+'LINEST VARS'!$D$60*(8*12.73)+'LINEST VARS'!$C$60*($BA$80*$AZ97)+'LINEST VARS'!$B$60*($BA$80*12.73)+'LINEST VARS'!$A$60*($AZ97*12.73)</f>
        <v>40.460000000000015</v>
      </c>
      <c r="BB97" s="46">
        <f>'LINEST VARS'!$U$60+'LINEST VARS'!$T$60*(8)+'LINEST VARS'!$S$60*(8)+'LINEST VARS'!$R$60*($BB$80)+'LINEST VARS'!$Q$60*($AZ97)+'LINEST VARS'!$P$60*(12.73)+'LINEST VARS'!$O$60*(8^2)+'LINEST VARS'!$N$60*(8^2)+'LINEST VARS'!$M$60*($BB$80^2)+'LINEST VARS'!$L$60*($AZ97^2)+'LINEST VARS'!$K$60*(12.73^2)+'LINEST VARS'!$J$60*(8*8)+'LINEST VARS'!$I$60*(8*$BB$80)+'LINEST VARS'!$H$60*(8*$AZ97)+'LINEST VARS'!$G$60*(8*12.73)+'LINEST VARS'!$F$60*(8*$BB$80)+'LINEST VARS'!$E$60*(8*$AZ97)+'LINEST VARS'!$D$60*(8*12.73)+'LINEST VARS'!$C$60*($BB$80*$AZ97)+'LINEST VARS'!$B$60*($BB$80*12.73)+'LINEST VARS'!$A$60*($AZ97*12.73)</f>
        <v>40.460000000000015</v>
      </c>
      <c r="BC97" s="46">
        <f>'LINEST VARS'!$U$60+'LINEST VARS'!$T$60*(8)+'LINEST VARS'!$S$60*(8)+'LINEST VARS'!$R$60*($BC$80)+'LINEST VARS'!$Q$60*($AZ97)+'LINEST VARS'!$P$60*(12.73)+'LINEST VARS'!$O$60*(8^2)+'LINEST VARS'!$N$60*(8^2)+'LINEST VARS'!$M$60*($BC$80^2)+'LINEST VARS'!$L$60*($AZ97^2)+'LINEST VARS'!$K$60*(12.73^2)+'LINEST VARS'!$J$60*(8*8)+'LINEST VARS'!$I$60*(8*$BC$80)+'LINEST VARS'!$H$60*(8*$AZ97)+'LINEST VARS'!$G$60*(8*12.73)+'LINEST VARS'!$F$60*(8*$BC$80)+'LINEST VARS'!$E$60*(8*$AZ97)+'LINEST VARS'!$D$60*(8*12.73)+'LINEST VARS'!$C$60*($BC$80*$AZ97)+'LINEST VARS'!$B$60*($BC$80*12.73)+'LINEST VARS'!$A$60*($AZ97*12.73)</f>
        <v>40.460000000000015</v>
      </c>
      <c r="BD97" s="46">
        <f>'LINEST VARS'!$U$60+'LINEST VARS'!$T$60*(8)+'LINEST VARS'!$S$60*(8)+'LINEST VARS'!$R$60*($BD$80)+'LINEST VARS'!$Q$60*($AZ97)+'LINEST VARS'!$P$60*(12.73)+'LINEST VARS'!$O$60*(8^2)+'LINEST VARS'!$N$60*(8^2)+'LINEST VARS'!$M$60*($BD$80^2)+'LINEST VARS'!$L$60*($AZ97^2)+'LINEST VARS'!$K$60*(12.73^2)+'LINEST VARS'!$J$60*(8*8)+'LINEST VARS'!$I$60*(8*$BD$80)+'LINEST VARS'!$H$60*(8*$AZ97)+'LINEST VARS'!$G$60*(8*12.73)+'LINEST VARS'!$F$60*(8*$BD$80)+'LINEST VARS'!$E$60*(8*$AZ97)+'LINEST VARS'!$D$60*(8*12.73)+'LINEST VARS'!$C$60*($BD$80*$AZ97)+'LINEST VARS'!$B$60*($BD$80*12.73)+'LINEST VARS'!$A$60*($AZ97*12.73)</f>
        <v>40.460000000000015</v>
      </c>
      <c r="BE97" s="46">
        <f>'LINEST VARS'!$U$60+'LINEST VARS'!$T$60*(8)+'LINEST VARS'!$S$60*(8)+'LINEST VARS'!$R$60*($BE$80)+'LINEST VARS'!$Q$60*($AZ97)+'LINEST VARS'!$P$60*(12.73)+'LINEST VARS'!$O$60*(8^2)+'LINEST VARS'!$N$60*(8^2)+'LINEST VARS'!$M$60*($BE$80^2)+'LINEST VARS'!$L$60*($AZ97^2)+'LINEST VARS'!$K$60*(12.73^2)+'LINEST VARS'!$J$60*(8*8)+'LINEST VARS'!$I$60*(8*$BE$80)+'LINEST VARS'!$H$60*(8*$AZ97)+'LINEST VARS'!$G$60*(8*12.73)+'LINEST VARS'!$F$60*(8*$BE$80)+'LINEST VARS'!$E$60*(8*$AZ97)+'LINEST VARS'!$D$60*(8*12.73)+'LINEST VARS'!$C$60*($BE$80*$AZ97)+'LINEST VARS'!$B$60*($BE$80*12.73)+'LINEST VARS'!$A$60*($AZ97*12.73)</f>
        <v>40.460000000000015</v>
      </c>
      <c r="BF97" s="46">
        <f>'LINEST VARS'!$U$60+'LINEST VARS'!$T$60*(8)+'LINEST VARS'!$S$60*(8)+'LINEST VARS'!$R$60*($BF$80)+'LINEST VARS'!$Q$60*($AZ97)+'LINEST VARS'!$P$60*(12.73)+'LINEST VARS'!$O$60*(8^2)+'LINEST VARS'!$N$60*(8^2)+'LINEST VARS'!$M$60*($BF$80^2)+'LINEST VARS'!$L$60*($AZ97^2)+'LINEST VARS'!$K$60*(12.73^2)+'LINEST VARS'!$J$60*(8*8)+'LINEST VARS'!$I$60*(8*$BF$80)+'LINEST VARS'!$H$60*(8*$AZ97)+'LINEST VARS'!$G$60*(8*12.73)+'LINEST VARS'!$F$60*(8*$BF$80)+'LINEST VARS'!$E$60*(8*$AZ97)+'LINEST VARS'!$D$60*(8*12.73)+'LINEST VARS'!$C$60*($BF$80*$AZ97)+'LINEST VARS'!$B$60*($BF$80*12.73)+'LINEST VARS'!$A$60*($AZ97*12.73)</f>
        <v>40.460000000000008</v>
      </c>
      <c r="BG97" s="46">
        <f>'LINEST VARS'!$U$60+'LINEST VARS'!$T$60*(8)+'LINEST VARS'!$S$60*(8)+'LINEST VARS'!$R$60*($BG$80)+'LINEST VARS'!$Q$60*($AZ97)+'LINEST VARS'!$P$60*(12.73)+'LINEST VARS'!$O$60*(8^2)+'LINEST VARS'!$N$60*(8^2)+'LINEST VARS'!$M$60*($BG$80^2)+'LINEST VARS'!$L$60*($AZ97^2)+'LINEST VARS'!$K$60*(12.73^2)+'LINEST VARS'!$J$60*(8*8)+'LINEST VARS'!$I$60*(8*$BG$80)+'LINEST VARS'!$H$60*(8*$AZ97)+'LINEST VARS'!$G$60*(8*12.73)+'LINEST VARS'!$F$60*(8*$BG$80)+'LINEST VARS'!$E$60*(8*$AZ97)+'LINEST VARS'!$D$60*(8*12.73)+'LINEST VARS'!$C$60*($BG$80*$AZ97)+'LINEST VARS'!$B$60*($BG$80*12.73)+'LINEST VARS'!$A$60*($AZ97*12.73)</f>
        <v>40.460000000000015</v>
      </c>
      <c r="BH97" s="46">
        <f>'LINEST VARS'!$U$60+'LINEST VARS'!$T$60*(8)+'LINEST VARS'!$S$60*(8)+'LINEST VARS'!$R$60*($BH$80)+'LINEST VARS'!$Q$60*($AZ97)+'LINEST VARS'!$P$60*(12.73)+'LINEST VARS'!$O$60*(8^2)+'LINEST VARS'!$N$60*(8^2)+'LINEST VARS'!$M$60*($BH$80^2)+'LINEST VARS'!$L$60*($AZ97^2)+'LINEST VARS'!$K$60*(12.73^2)+'LINEST VARS'!$J$60*(8*8)+'LINEST VARS'!$I$60*(8*$BH$80)+'LINEST VARS'!$H$60*(8*$AZ97)+'LINEST VARS'!$G$60*(8*12.73)+'LINEST VARS'!$F$60*(8*$BH$80)+'LINEST VARS'!$E$60*(8*$AZ97)+'LINEST VARS'!$D$60*(8*12.73)+'LINEST VARS'!$C$60*($BH$80*$AZ97)+'LINEST VARS'!$B$60*($BH$80*12.73)+'LINEST VARS'!$A$60*($AZ97*12.73)</f>
        <v>40.460000000000015</v>
      </c>
      <c r="BI97" s="46">
        <f>'LINEST VARS'!$U$60+'LINEST VARS'!$T$60*(8)+'LINEST VARS'!$S$60*(8)+'LINEST VARS'!$R$60*($BI$80)+'LINEST VARS'!$Q$60*($AZ97)+'LINEST VARS'!$P$60*(12.73)+'LINEST VARS'!$O$60*(8^2)+'LINEST VARS'!$N$60*(8^2)+'LINEST VARS'!$M$60*($BI$80^2)+'LINEST VARS'!$L$60*($AZ97^2)+'LINEST VARS'!$K$60*(12.73^2)+'LINEST VARS'!$J$60*(8*8)+'LINEST VARS'!$I$60*(8*$BI$80)+'LINEST VARS'!$H$60*(8*$AZ97)+'LINEST VARS'!$G$60*(8*12.73)+'LINEST VARS'!$F$60*(8*$BI$80)+'LINEST VARS'!$E$60*(8*$AZ97)+'LINEST VARS'!$D$60*(8*12.73)+'LINEST VARS'!$C$60*($BI$80*$AZ97)+'LINEST VARS'!$B$60*($BI$80*12.73)+'LINEST VARS'!$A$60*($AZ97*12.73)</f>
        <v>40.460000000000015</v>
      </c>
      <c r="BJ97" s="46">
        <f>'LINEST VARS'!$U$60+'LINEST VARS'!$T$60*(8)+'LINEST VARS'!$S$60*(8)+'LINEST VARS'!$R$60*($BJ$80)+'LINEST VARS'!$Q$60*($AZ97)+'LINEST VARS'!$P$60*(12.73)+'LINEST VARS'!$O$60*(8^2)+'LINEST VARS'!$N$60*(8^2)+'LINEST VARS'!$M$60*($BJ$80^2)+'LINEST VARS'!$L$60*($AZ97^2)+'LINEST VARS'!$K$60*(12.73^2)+'LINEST VARS'!$J$60*(8*8)+'LINEST VARS'!$I$60*(8*$BJ$80)+'LINEST VARS'!$H$60*(8*$AZ97)+'LINEST VARS'!$G$60*(8*12.73)+'LINEST VARS'!$F$60*(8*$BJ$80)+'LINEST VARS'!$E$60*(8*$AZ97)+'LINEST VARS'!$D$60*(8*12.73)+'LINEST VARS'!$C$60*($BJ$80*$AZ97)+'LINEST VARS'!$B$60*($BJ$80*12.73)+'LINEST VARS'!$A$60*($AZ97*12.73)</f>
        <v>40.460000000000015</v>
      </c>
      <c r="BK97" s="46">
        <f>'LINEST VARS'!$U$60+'LINEST VARS'!$T$60*(8)+'LINEST VARS'!$S$60*(8)+'LINEST VARS'!$R$60*($BK$80)+'LINEST VARS'!$Q$60*($AZ97)+'LINEST VARS'!$P$60*(12.73)+'LINEST VARS'!$O$60*(8^2)+'LINEST VARS'!$N$60*(8^2)+'LINEST VARS'!$M$60*($BK$80^2)+'LINEST VARS'!$L$60*($AZ97^2)+'LINEST VARS'!$K$60*(12.73^2)+'LINEST VARS'!$J$60*(8*8)+'LINEST VARS'!$I$60*(8*$BK$80)+'LINEST VARS'!$H$60*(8*$AZ97)+'LINEST VARS'!$G$60*(8*12.73)+'LINEST VARS'!$F$60*(8*$BK$80)+'LINEST VARS'!$E$60*(8*$AZ97)+'LINEST VARS'!$D$60*(8*12.73)+'LINEST VARS'!$C$60*($BK$80*$AZ97)+'LINEST VARS'!$B$60*($BK$80*12.73)+'LINEST VARS'!$A$60*($AZ97*12.73)</f>
        <v>40.460000000000015</v>
      </c>
      <c r="BL97" s="46">
        <f>'LINEST VARS'!$U$60+'LINEST VARS'!$T$60*(8)+'LINEST VARS'!$S$60*(8)+'LINEST VARS'!$R$60*($BL$80)+'LINEST VARS'!$Q$60*($AZ97)+'LINEST VARS'!$P$60*(12.73)+'LINEST VARS'!$O$60*(8^2)+'LINEST VARS'!$N$60*(8^2)+'LINEST VARS'!$M$60*($BL$80^2)+'LINEST VARS'!$L$60*($AZ97^2)+'LINEST VARS'!$K$60*(12.73^2)+'LINEST VARS'!$J$60*(8*8)+'LINEST VARS'!$I$60*(8*$BL$80)+'LINEST VARS'!$H$60*(8*$AZ97)+'LINEST VARS'!$G$60*(8*12.73)+'LINEST VARS'!$F$60*(8*$BL$80)+'LINEST VARS'!$E$60*(8*$AZ97)+'LINEST VARS'!$D$60*(8*12.73)+'LINEST VARS'!$C$60*($BL$80*$AZ97)+'LINEST VARS'!$B$60*($BL$80*12.73)+'LINEST VARS'!$A$60*($AZ97*12.73)</f>
        <v>40.460000000000015</v>
      </c>
      <c r="BM97" s="46">
        <f>'LINEST VARS'!$U$60+'LINEST VARS'!$T$60*(8)+'LINEST VARS'!$S$60*(8)+'LINEST VARS'!$R$60*($BM$80)+'LINEST VARS'!$Q$60*($AZ97)+'LINEST VARS'!$P$60*(12.73)+'LINEST VARS'!$O$60*(8^2)+'LINEST VARS'!$N$60*(8^2)+'LINEST VARS'!$M$60*($BM$80^2)+'LINEST VARS'!$L$60*($AZ97^2)+'LINEST VARS'!$K$60*(12.73^2)+'LINEST VARS'!$J$60*(8*8)+'LINEST VARS'!$I$60*(8*$BM$80)+'LINEST VARS'!$H$60*(8*$AZ97)+'LINEST VARS'!$G$60*(8*12.73)+'LINEST VARS'!$F$60*(8*$BM$80)+'LINEST VARS'!$E$60*(8*$AZ97)+'LINEST VARS'!$D$60*(8*12.73)+'LINEST VARS'!$C$60*($BM$80*$AZ97)+'LINEST VARS'!$B$60*($BM$80*12.73)+'LINEST VARS'!$A$60*($AZ97*12.73)</f>
        <v>40.460000000000015</v>
      </c>
      <c r="BN97" s="46">
        <f>'LINEST VARS'!$U$60+'LINEST VARS'!$T$60*(8)+'LINEST VARS'!$S$60*(8)+'LINEST VARS'!$R$60*($BN$80)+'LINEST VARS'!$Q$60*($AZ97)+'LINEST VARS'!$P$60*(12.73)+'LINEST VARS'!$O$60*(8^2)+'LINEST VARS'!$N$60*(8^2)+'LINEST VARS'!$M$60*($BN$80^2)+'LINEST VARS'!$L$60*($AZ97^2)+'LINEST VARS'!$K$60*(12.73^2)+'LINEST VARS'!$J$60*(8*8)+'LINEST VARS'!$I$60*(8*$BN$80)+'LINEST VARS'!$H$60*(8*$AZ97)+'LINEST VARS'!$G$60*(8*12.73)+'LINEST VARS'!$F$60*(8*$BN$80)+'LINEST VARS'!$E$60*(8*$AZ97)+'LINEST VARS'!$D$60*(8*12.73)+'LINEST VARS'!$C$60*($BN$80*$AZ97)+'LINEST VARS'!$B$60*($BN$80*12.73)+'LINEST VARS'!$A$60*($AZ97*12.73)</f>
        <v>40.460000000000008</v>
      </c>
      <c r="BO97" s="46">
        <f>'LINEST VARS'!$U$60+'LINEST VARS'!$T$60*(8)+'LINEST VARS'!$S$60*(8)+'LINEST VARS'!$R$60*($BO$80)+'LINEST VARS'!$Q$60*($AZ97)+'LINEST VARS'!$P$60*(12.73)+'LINEST VARS'!$O$60*(8^2)+'LINEST VARS'!$N$60*(8^2)+'LINEST VARS'!$M$60*($BO$80^2)+'LINEST VARS'!$L$60*($AZ97^2)+'LINEST VARS'!$K$60*(12.73^2)+'LINEST VARS'!$J$60*(8*8)+'LINEST VARS'!$I$60*(8*$BO$80)+'LINEST VARS'!$H$60*(8*$AZ97)+'LINEST VARS'!$G$60*(8*12.73)+'LINEST VARS'!$F$60*(8*$BO$80)+'LINEST VARS'!$E$60*(8*$AZ97)+'LINEST VARS'!$D$60*(8*12.73)+'LINEST VARS'!$C$60*($BO$80*$AZ97)+'LINEST VARS'!$B$60*($BO$80*12.73)+'LINEST VARS'!$A$60*($AZ97*12.73)</f>
        <v>40.460000000000015</v>
      </c>
      <c r="BP97" s="46">
        <f>'LINEST VARS'!$U$60+'LINEST VARS'!$T$60*(8)+'LINEST VARS'!$S$60*(8)+'LINEST VARS'!$R$60*($BP$80)+'LINEST VARS'!$Q$60*($AZ97)+'LINEST VARS'!$P$60*(12.73)+'LINEST VARS'!$O$60*(8^2)+'LINEST VARS'!$N$60*(8^2)+'LINEST VARS'!$M$60*($BP$80^2)+'LINEST VARS'!$L$60*($AZ97^2)+'LINEST VARS'!$K$60*(12.73^2)+'LINEST VARS'!$J$60*(8*8)+'LINEST VARS'!$I$60*(8*$BP$80)+'LINEST VARS'!$H$60*(8*$AZ97)+'LINEST VARS'!$G$60*(8*12.73)+'LINEST VARS'!$F$60*(8*$BP$80)+'LINEST VARS'!$E$60*(8*$AZ97)+'LINEST VARS'!$D$60*(8*12.73)+'LINEST VARS'!$C$60*($BP$80*$AZ97)+'LINEST VARS'!$B$60*($BP$80*12.73)+'LINEST VARS'!$A$60*($AZ97*12.73)</f>
        <v>40.460000000000015</v>
      </c>
      <c r="BQ97" s="46">
        <f>'LINEST VARS'!$U$60+'LINEST VARS'!$T$60*(8)+'LINEST VARS'!$S$60*(8)+'LINEST VARS'!$R$60*($BQ$80)+'LINEST VARS'!$Q$60*($AZ97)+'LINEST VARS'!$P$60*(12.73)+'LINEST VARS'!$O$60*(8^2)+'LINEST VARS'!$N$60*(8^2)+'LINEST VARS'!$M$60*($BQ$80^2)+'LINEST VARS'!$L$60*($AZ97^2)+'LINEST VARS'!$K$60*(12.73^2)+'LINEST VARS'!$J$60*(8*8)+'LINEST VARS'!$I$60*(8*$BQ$80)+'LINEST VARS'!$H$60*(8*$AZ97)+'LINEST VARS'!$G$60*(8*12.73)+'LINEST VARS'!$F$60*(8*$BQ$80)+'LINEST VARS'!$E$60*(8*$AZ97)+'LINEST VARS'!$D$60*(8*12.73)+'LINEST VARS'!$C$60*($BQ$80*$AZ97)+'LINEST VARS'!$B$60*($BQ$80*12.73)+'LINEST VARS'!$A$60*($AZ97*12.73)</f>
        <v>40.460000000000015</v>
      </c>
      <c r="BR97" s="46">
        <f>'LINEST VARS'!$U$60+'LINEST VARS'!$T$60*(8)+'LINEST VARS'!$S$60*(8)+'LINEST VARS'!$R$60*($BR$80)+'LINEST VARS'!$Q$60*($AZ97)+'LINEST VARS'!$P$60*(12.73)+'LINEST VARS'!$O$60*(8^2)+'LINEST VARS'!$N$60*(8^2)+'LINEST VARS'!$M$60*($BR$80^2)+'LINEST VARS'!$L$60*($AZ97^2)+'LINEST VARS'!$K$60*(12.73^2)+'LINEST VARS'!$J$60*(8*8)+'LINEST VARS'!$I$60*(8*$BR$80)+'LINEST VARS'!$H$60*(8*$AZ97)+'LINEST VARS'!$G$60*(8*12.73)+'LINEST VARS'!$F$60*(8*$BR$80)+'LINEST VARS'!$E$60*(8*$AZ97)+'LINEST VARS'!$D$60*(8*12.73)+'LINEST VARS'!$C$60*($BR$80*$AZ97)+'LINEST VARS'!$B$60*($BR$80*12.73)+'LINEST VARS'!$A$60*($AZ97*12.73)</f>
        <v>40.460000000000015</v>
      </c>
      <c r="BS97" s="46">
        <f>'LINEST VARS'!$U$60+'LINEST VARS'!$T$60*(8)+'LINEST VARS'!$S$60*(8)+'LINEST VARS'!$R$60*($BS$80)+'LINEST VARS'!$Q$60*($AZ97)+'LINEST VARS'!$P$60*(12.73)+'LINEST VARS'!$O$60*(8^2)+'LINEST VARS'!$N$60*(8^2)+'LINEST VARS'!$M$60*($BS$80^2)+'LINEST VARS'!$L$60*($AZ97^2)+'LINEST VARS'!$K$60*(12.73^2)+'LINEST VARS'!$J$60*(8*8)+'LINEST VARS'!$I$60*(8*$BS$80)+'LINEST VARS'!$H$60*(8*$AZ97)+'LINEST VARS'!$G$60*(8*12.73)+'LINEST VARS'!$F$60*(8*$BS$80)+'LINEST VARS'!$E$60*(8*$AZ97)+'LINEST VARS'!$D$60*(8*12.73)+'LINEST VARS'!$C$60*($BS$80*$AZ97)+'LINEST VARS'!$B$60*($BS$80*12.73)+'LINEST VARS'!$A$60*($AZ97*12.73)</f>
        <v>40.460000000000015</v>
      </c>
      <c r="BT97" s="46">
        <f>'LINEST VARS'!$U$60+'LINEST VARS'!$T$60*(8)+'LINEST VARS'!$S$60*(8)+'LINEST VARS'!$R$60*($BT$80)+'LINEST VARS'!$Q$60*($AZ97)+'LINEST VARS'!$P$60*(12.73)+'LINEST VARS'!$O$60*(8^2)+'LINEST VARS'!$N$60*(8^2)+'LINEST VARS'!$M$60*($BT$80^2)+'LINEST VARS'!$L$60*($AZ97^2)+'LINEST VARS'!$K$60*(12.73^2)+'LINEST VARS'!$J$60*(8*8)+'LINEST VARS'!$I$60*(8*$BT$80)+'LINEST VARS'!$H$60*(8*$AZ97)+'LINEST VARS'!$G$60*(8*12.73)+'LINEST VARS'!$F$60*(8*$BT$80)+'LINEST VARS'!$E$60*(8*$AZ97)+'LINEST VARS'!$D$60*(8*12.73)+'LINEST VARS'!$C$60*($BT$80*$AZ97)+'LINEST VARS'!$B$60*($BT$80*12.73)+'LINEST VARS'!$A$60*($AZ97*12.73)</f>
        <v>40.460000000000015</v>
      </c>
      <c r="BU97" s="47">
        <f>'LINEST VARS'!$U$60+'LINEST VARS'!$T$60*(8)+'LINEST VARS'!$S$60*(8)+'LINEST VARS'!$R$60*($BU$80)+'LINEST VARS'!$Q$60*($AZ97)+'LINEST VARS'!$P$60*(12.73)+'LINEST VARS'!$O$60*(8^2)+'LINEST VARS'!$N$60*(8^2)+'LINEST VARS'!$M$60*($BU$80^2)+'LINEST VARS'!$L$60*($AZ97^2)+'LINEST VARS'!$K$60*(12.73^2)+'LINEST VARS'!$J$60*(8*8)+'LINEST VARS'!$I$60*(8*$BU$80)+'LINEST VARS'!$H$60*(8*$AZ97)+'LINEST VARS'!$G$60*(8*12.73)+'LINEST VARS'!$F$60*(8*$BU$80)+'LINEST VARS'!$E$60*(8*$AZ97)+'LINEST VARS'!$D$60*(8*12.73)+'LINEST VARS'!$C$60*($BU$80*$AZ97)+'LINEST VARS'!$B$60*($BU$80*12.73)+'LINEST VARS'!$A$60*($AZ97*12.73)</f>
        <v>40.460000000000015</v>
      </c>
      <c r="BX97" s="45">
        <v>0.8</v>
      </c>
      <c r="BY97" s="55">
        <f>'LINEST VARS'!$U$62+'LINEST VARS'!$T$62*(8)+'LINEST VARS'!$S$62*(8)+'LINEST VARS'!$R$62*($BY$80)+'LINEST VARS'!$Q$62*($BX97)+'LINEST VARS'!$P$62*(12.73)+'LINEST VARS'!$O$62*(8^2)+'LINEST VARS'!$N$62*(8^2)+'LINEST VARS'!$M$62*($BY$80^2)+'LINEST VARS'!$L$62*($BX97^2)+'LINEST VARS'!$K$62*(12.73^2)+'LINEST VARS'!$J$62*(8*8)+'LINEST VARS'!$I$62*(8*$BY$80)+'LINEST VARS'!$H$62*(8*$BX97)+'LINEST VARS'!$G$62*(8*12.73)+'LINEST VARS'!$F$62*(8*$BY$80)+'LINEST VARS'!$E$62*(8*$BX97)+'LINEST VARS'!$D$62*(8*12.73)+'LINEST VARS'!$C$62*($BY$80*$BX97)+'LINEST VARS'!$B$62*($BY$80*12.73)+'LINEST VARS'!$A$62*($BX97*12.73)</f>
        <v>348.71999999999991</v>
      </c>
      <c r="BZ97" s="55">
        <f>'LINEST VARS'!$U$62+'LINEST VARS'!$T$62*(8)+'LINEST VARS'!$S$62*(8)+'LINEST VARS'!$R$62*($BZ$80)+'LINEST VARS'!$Q$62*($BX97)+'LINEST VARS'!$P$62*(12.73)+'LINEST VARS'!$O$62*(8^2)+'LINEST VARS'!$N$62*(8^2)+'LINEST VARS'!$M$62*($BZ$80^2)+'LINEST VARS'!$L$62*($BX97^2)+'LINEST VARS'!$K$62*(12.73^2)+'LINEST VARS'!$J$62*(8*8)+'LINEST VARS'!$I$62*(8*$BZ$80)+'LINEST VARS'!$H$62*(8*$BX97)+'LINEST VARS'!$G$62*(8*12.73)+'LINEST VARS'!$F$62*(8*$BZ$80)+'LINEST VARS'!$E$62*(8*$BX97)+'LINEST VARS'!$D$62*(8*12.73)+'LINEST VARS'!$C$62*($BZ$80*$BX97)+'LINEST VARS'!$B$62*($BZ$80*12.73)+'LINEST VARS'!$A$62*($BX97*12.73)</f>
        <v>347.91999999999996</v>
      </c>
      <c r="CA97" s="55">
        <f>'LINEST VARS'!$U$62+'LINEST VARS'!$T$62*(8)+'LINEST VARS'!$S$62*(8)+'LINEST VARS'!$R$62*($CA$80)+'LINEST VARS'!$Q$62*($BX97)+'LINEST VARS'!$P$62*(12.73)+'LINEST VARS'!$O$62*(8^2)+'LINEST VARS'!$N$62*(8^2)+'LINEST VARS'!$M$62*($CA$80^2)+'LINEST VARS'!$L$62*($BX97^2)+'LINEST VARS'!$K$62*(12.73^2)+'LINEST VARS'!$J$62*(8*8)+'LINEST VARS'!$I$62*(8*$CA$80)+'LINEST VARS'!$H$62*(8*$BX97)+'LINEST VARS'!$G$62*(8*12.73)+'LINEST VARS'!$F$62*(8*$CA$80)+'LINEST VARS'!$E$62*(8*$BX97)+'LINEST VARS'!$D$62*(8*12.73)+'LINEST VARS'!$C$62*($CA$80*$BX97)+'LINEST VARS'!$B$62*($CA$80*12.73)+'LINEST VARS'!$A$62*($BX97*12.73)</f>
        <v>345.51999999999987</v>
      </c>
      <c r="CB97" s="55">
        <f>'LINEST VARS'!$U$62+'LINEST VARS'!$T$62*(8)+'LINEST VARS'!$S$62*(8)+'LINEST VARS'!$R$62*($CB$80)+'LINEST VARS'!$Q$62*($BX97)+'LINEST VARS'!$P$62*(12.73)+'LINEST VARS'!$O$62*(8^2)+'LINEST VARS'!$N$62*(8^2)+'LINEST VARS'!$M$62*($CB$80^2)+'LINEST VARS'!$L$62*($BX97^2)+'LINEST VARS'!$K$62*(12.73^2)+'LINEST VARS'!$J$62*(8*8)+'LINEST VARS'!$I$62*(8*$CB$80)+'LINEST VARS'!$H$62*(8*$BX97)+'LINEST VARS'!$G$62*(8*12.73)+'LINEST VARS'!$F$62*(8*$CB$80)+'LINEST VARS'!$E$62*(8*$BX97)+'LINEST VARS'!$D$62*(8*12.73)+'LINEST VARS'!$C$62*($CB$80*$BX97)+'LINEST VARS'!$B$62*($CB$80*12.73)+'LINEST VARS'!$A$62*($BX97*12.73)</f>
        <v>341.51999999999992</v>
      </c>
      <c r="CC97" s="55">
        <f>'LINEST VARS'!$U$62+'LINEST VARS'!$T$62*(8)+'LINEST VARS'!$S$62*(8)+'LINEST VARS'!$R$62*($CC$80)+'LINEST VARS'!$Q$62*($BX97)+'LINEST VARS'!$P$62*(12.73)+'LINEST VARS'!$O$62*(8^2)+'LINEST VARS'!$N$62*(8^2)+'LINEST VARS'!$M$62*($CC$80^2)+'LINEST VARS'!$L$62*($BX97^2)+'LINEST VARS'!$K$62*(12.73^2)+'LINEST VARS'!$J$62*(8*8)+'LINEST VARS'!$I$62*(8*$CC$80)+'LINEST VARS'!$H$62*(8*$BX97)+'LINEST VARS'!$G$62*(8*12.73)+'LINEST VARS'!$F$62*(8*$CC$80)+'LINEST VARS'!$E$62*(8*$BX97)+'LINEST VARS'!$D$62*(8*12.73)+'LINEST VARS'!$C$62*($CC$80*$BX97)+'LINEST VARS'!$B$62*($CC$80*12.73)+'LINEST VARS'!$A$62*($BX97*12.73)</f>
        <v>335.91999999999996</v>
      </c>
      <c r="CD97" s="55">
        <f>'LINEST VARS'!$U$62+'LINEST VARS'!$T$62*(8)+'LINEST VARS'!$S$62*(8)+'LINEST VARS'!$R$62*($CD$80)+'LINEST VARS'!$Q$62*($BX97)+'LINEST VARS'!$P$62*(12.73)+'LINEST VARS'!$O$62*(8^2)+'LINEST VARS'!$N$62*(8^2)+'LINEST VARS'!$M$62*($CD$80^2)+'LINEST VARS'!$L$62*($BX97^2)+'LINEST VARS'!$K$62*(12.73^2)+'LINEST VARS'!$J$62*(8*8)+'LINEST VARS'!$I$62*(8*$CD$80)+'LINEST VARS'!$H$62*(8*$BX97)+'LINEST VARS'!$G$62*(8*12.73)+'LINEST VARS'!$F$62*(8*$CD$80)+'LINEST VARS'!$E$62*(8*$BX97)+'LINEST VARS'!$D$62*(8*12.73)+'LINEST VARS'!$C$62*($CD$80*$BX97)+'LINEST VARS'!$B$62*($CD$80*12.73)+'LINEST VARS'!$A$62*($BX97*12.73)</f>
        <v>328.72</v>
      </c>
      <c r="CE97" s="55">
        <f>'LINEST VARS'!$U$62+'LINEST VARS'!$T$62*(8)+'LINEST VARS'!$S$62*(8)+'LINEST VARS'!$R$62*($CE$80)+'LINEST VARS'!$Q$62*($BX97)+'LINEST VARS'!$P$62*(12.73)+'LINEST VARS'!$O$62*(8^2)+'LINEST VARS'!$N$62*(8^2)+'LINEST VARS'!$M$62*($CE$80^2)+'LINEST VARS'!$L$62*($BX97^2)+'LINEST VARS'!$K$62*(12.73^2)+'LINEST VARS'!$J$62*(8*8)+'LINEST VARS'!$I$62*(8*$CE$80)+'LINEST VARS'!$H$62*(8*$BX97)+'LINEST VARS'!$G$62*(8*12.73)+'LINEST VARS'!$F$62*(8*$CE$80)+'LINEST VARS'!$E$62*(8*$BX97)+'LINEST VARS'!$D$62*(8*12.73)+'LINEST VARS'!$C$62*($CE$80*$BX97)+'LINEST VARS'!$B$62*($CE$80*12.73)+'LINEST VARS'!$A$62*($BX97*12.73)</f>
        <v>319.91999999999996</v>
      </c>
      <c r="CF97" s="55">
        <f>'LINEST VARS'!$U$62+'LINEST VARS'!$T$62*(8)+'LINEST VARS'!$S$62*(8)+'LINEST VARS'!$R$62*($CF$80)+'LINEST VARS'!$Q$62*($BX97)+'LINEST VARS'!$P$62*(12.73)+'LINEST VARS'!$O$62*(8^2)+'LINEST VARS'!$N$62*(8^2)+'LINEST VARS'!$M$62*($CF$80^2)+'LINEST VARS'!$L$62*($BX97^2)+'LINEST VARS'!$K$62*(12.73^2)+'LINEST VARS'!$J$62*(8*8)+'LINEST VARS'!$I$62*(8*$CF$80)+'LINEST VARS'!$H$62*(8*$BX97)+'LINEST VARS'!$G$62*(8*12.73)+'LINEST VARS'!$F$62*(8*$CF$80)+'LINEST VARS'!$E$62*(8*$BX97)+'LINEST VARS'!$D$62*(8*12.73)+'LINEST VARS'!$C$62*($CF$80*$BX97)+'LINEST VARS'!$B$62*($CF$80*12.73)+'LINEST VARS'!$A$62*($BX97*12.73)</f>
        <v>309.52</v>
      </c>
      <c r="CG97" s="55">
        <f>'LINEST VARS'!$U$62+'LINEST VARS'!$T$62*(8)+'LINEST VARS'!$S$62*(8)+'LINEST VARS'!$R$62*($CG$80)+'LINEST VARS'!$Q$62*($BX97)+'LINEST VARS'!$P$62*(12.73)+'LINEST VARS'!$O$62*(8^2)+'LINEST VARS'!$N$62*(8^2)+'LINEST VARS'!$M$62*($CG$80^2)+'LINEST VARS'!$L$62*($BX97^2)+'LINEST VARS'!$K$62*(12.73^2)+'LINEST VARS'!$J$62*(8*8)+'LINEST VARS'!$I$62*(8*$CG$80)+'LINEST VARS'!$H$62*(8*$BX97)+'LINEST VARS'!$G$62*(8*12.73)+'LINEST VARS'!$F$62*(8*$CG$80)+'LINEST VARS'!$E$62*(8*$BX97)+'LINEST VARS'!$D$62*(8*12.73)+'LINEST VARS'!$C$62*($CG$80*$BX97)+'LINEST VARS'!$B$62*($CG$80*12.73)+'LINEST VARS'!$A$62*($BX97*12.73)</f>
        <v>297.52</v>
      </c>
      <c r="CH97" s="55">
        <f>'LINEST VARS'!$U$62+'LINEST VARS'!$T$62*(8)+'LINEST VARS'!$S$62*(8)+'LINEST VARS'!$R$62*($CH$80)+'LINEST VARS'!$Q$62*($BX97)+'LINEST VARS'!$P$62*(12.73)+'LINEST VARS'!$O$62*(8^2)+'LINEST VARS'!$N$62*(8^2)+'LINEST VARS'!$M$62*($CH$80^2)+'LINEST VARS'!$L$62*($BX97^2)+'LINEST VARS'!$K$62*(12.73^2)+'LINEST VARS'!$J$62*(8*8)+'LINEST VARS'!$I$62*(8*$CH$80)+'LINEST VARS'!$H$62*(8*$BX97)+'LINEST VARS'!$G$62*(8*12.73)+'LINEST VARS'!$F$62*(8*$CH$80)+'LINEST VARS'!$E$62*(8*$BX97)+'LINEST VARS'!$D$62*(8*12.73)+'LINEST VARS'!$C$62*($CH$80*$BX97)+'LINEST VARS'!$B$62*($CH$80*12.73)+'LINEST VARS'!$A$62*($BX97*12.73)</f>
        <v>283.91999999999996</v>
      </c>
      <c r="CI97" s="55">
        <f>'LINEST VARS'!$U$62+'LINEST VARS'!$T$62*(8)+'LINEST VARS'!$S$62*(8)+'LINEST VARS'!$R$62*($CI$80)+'LINEST VARS'!$Q$62*($BX97)+'LINEST VARS'!$P$62*(12.73)+'LINEST VARS'!$O$62*(8^2)+'LINEST VARS'!$N$62*(8^2)+'LINEST VARS'!$M$62*($CI$80^2)+'LINEST VARS'!$L$62*($BX97^2)+'LINEST VARS'!$K$62*(12.73^2)+'LINEST VARS'!$J$62*(8*8)+'LINEST VARS'!$I$62*(8*$CI$80)+'LINEST VARS'!$H$62*(8*$BX97)+'LINEST VARS'!$G$62*(8*12.73)+'LINEST VARS'!$F$62*(8*$CI$80)+'LINEST VARS'!$E$62*(8*$BX97)+'LINEST VARS'!$D$62*(8*12.73)+'LINEST VARS'!$C$62*($CI$80*$BX97)+'LINEST VARS'!$B$62*($CI$80*12.73)+'LINEST VARS'!$A$62*($BX97*12.73)</f>
        <v>268.71999999999997</v>
      </c>
      <c r="CJ97" s="55">
        <f>'LINEST VARS'!$U$62+'LINEST VARS'!$T$62*(8)+'LINEST VARS'!$S$62*(8)+'LINEST VARS'!$R$62*($CJ$80)+'LINEST VARS'!$Q$62*($BX97)+'LINEST VARS'!$P$62*(12.73)+'LINEST VARS'!$O$62*(8^2)+'LINEST VARS'!$N$62*(8^2)+'LINEST VARS'!$M$62*($CJ$80^2)+'LINEST VARS'!$L$62*($BX97^2)+'LINEST VARS'!$K$62*(12.73^2)+'LINEST VARS'!$J$62*(8*8)+'LINEST VARS'!$I$62*(8*$CJ$80)+'LINEST VARS'!$H$62*(8*$BX97)+'LINEST VARS'!$G$62*(8*12.73)+'LINEST VARS'!$F$62*(8*$CJ$80)+'LINEST VARS'!$E$62*(8*$BX97)+'LINEST VARS'!$D$62*(8*12.73)+'LINEST VARS'!$C$62*($CJ$80*$BX97)+'LINEST VARS'!$B$62*($CJ$80*12.73)+'LINEST VARS'!$A$62*($BX97*12.73)</f>
        <v>251.92</v>
      </c>
      <c r="CK97" s="55">
        <f>'LINEST VARS'!$U$62+'LINEST VARS'!$T$62*(8)+'LINEST VARS'!$S$62*(8)+'LINEST VARS'!$R$62*($CK$80)+'LINEST VARS'!$Q$62*($BX97)+'LINEST VARS'!$P$62*(12.73)+'LINEST VARS'!$O$62*(8^2)+'LINEST VARS'!$N$62*(8^2)+'LINEST VARS'!$M$62*($CK$80^2)+'LINEST VARS'!$L$62*($BX97^2)+'LINEST VARS'!$K$62*(12.73^2)+'LINEST VARS'!$J$62*(8*8)+'LINEST VARS'!$I$62*(8*$CK$80)+'LINEST VARS'!$H$62*(8*$BX97)+'LINEST VARS'!$G$62*(8*12.73)+'LINEST VARS'!$F$62*(8*$CK$80)+'LINEST VARS'!$E$62*(8*$BX97)+'LINEST VARS'!$D$62*(8*12.73)+'LINEST VARS'!$C$62*($CK$80*$BX97)+'LINEST VARS'!$B$62*($CK$80*12.73)+'LINEST VARS'!$A$62*($BX97*12.73)</f>
        <v>233.52000000000004</v>
      </c>
      <c r="CL97" s="55">
        <f>'LINEST VARS'!$U$62+'LINEST VARS'!$T$62*(8)+'LINEST VARS'!$S$62*(8)+'LINEST VARS'!$R$62*($CL$80)+'LINEST VARS'!$Q$62*($BX97)+'LINEST VARS'!$P$62*(12.73)+'LINEST VARS'!$O$62*(8^2)+'LINEST VARS'!$N$62*(8^2)+'LINEST VARS'!$M$62*($CL$80^2)+'LINEST VARS'!$L$62*($BX97^2)+'LINEST VARS'!$K$62*(12.73^2)+'LINEST VARS'!$J$62*(8*8)+'LINEST VARS'!$I$62*(8*$CL$80)+'LINEST VARS'!$H$62*(8*$BX97)+'LINEST VARS'!$G$62*(8*12.73)+'LINEST VARS'!$F$62*(8*$CL$80)+'LINEST VARS'!$E$62*(8*$BX97)+'LINEST VARS'!$D$62*(8*12.73)+'LINEST VARS'!$C$62*($CL$80*$BX97)+'LINEST VARS'!$B$62*($CL$80*12.73)+'LINEST VARS'!$A$62*($BX97*12.73)</f>
        <v>213.51999999999998</v>
      </c>
      <c r="CM97" s="55">
        <f>'LINEST VARS'!$U$62+'LINEST VARS'!$T$62*(8)+'LINEST VARS'!$S$62*(8)+'LINEST VARS'!$R$62*($CM$80)+'LINEST VARS'!$Q$62*($BX97)+'LINEST VARS'!$P$62*(12.73)+'LINEST VARS'!$O$62*(8^2)+'LINEST VARS'!$N$62*(8^2)+'LINEST VARS'!$M$62*($CM$80^2)+'LINEST VARS'!$L$62*($BX97^2)+'LINEST VARS'!$K$62*(12.73^2)+'LINEST VARS'!$J$62*(8*8)+'LINEST VARS'!$I$62*(8*$CM$80)+'LINEST VARS'!$H$62*(8*$BX97)+'LINEST VARS'!$G$62*(8*12.73)+'LINEST VARS'!$F$62*(8*$CM$80)+'LINEST VARS'!$E$62*(8*$BX97)+'LINEST VARS'!$D$62*(8*12.73)+'LINEST VARS'!$C$62*($CM$80*$BX97)+'LINEST VARS'!$B$62*($CM$80*12.73)+'LINEST VARS'!$A$62*($BX97*12.73)</f>
        <v>191.92000000000007</v>
      </c>
      <c r="CN97" s="55">
        <f>'LINEST VARS'!$U$62+'LINEST VARS'!$T$62*(8)+'LINEST VARS'!$S$62*(8)+'LINEST VARS'!$R$62*($CN$80)+'LINEST VARS'!$Q$62*($BX97)+'LINEST VARS'!$P$62*(12.73)+'LINEST VARS'!$O$62*(8^2)+'LINEST VARS'!$N$62*(8^2)+'LINEST VARS'!$M$62*($CN$80^2)+'LINEST VARS'!$L$62*($BX97^2)+'LINEST VARS'!$K$62*(12.73^2)+'LINEST VARS'!$J$62*(8*8)+'LINEST VARS'!$I$62*(8*$CN$80)+'LINEST VARS'!$H$62*(8*$BX97)+'LINEST VARS'!$G$62*(8*12.73)+'LINEST VARS'!$F$62*(8*$CN$80)+'LINEST VARS'!$E$62*(8*$BX97)+'LINEST VARS'!$D$62*(8*12.73)+'LINEST VARS'!$C$62*($CN$80*$BX97)+'LINEST VARS'!$B$62*($CN$80*12.73)+'LINEST VARS'!$A$62*($BX97*12.73)</f>
        <v>168.72000000000006</v>
      </c>
      <c r="CO97" s="55">
        <f>'LINEST VARS'!$U$62+'LINEST VARS'!$T$62*(8)+'LINEST VARS'!$S$62*(8)+'LINEST VARS'!$R$62*($CO$80)+'LINEST VARS'!$Q$62*($BX97)+'LINEST VARS'!$P$62*(12.73)+'LINEST VARS'!$O$62*(8^2)+'LINEST VARS'!$N$62*(8^2)+'LINEST VARS'!$M$62*($CO$80^2)+'LINEST VARS'!$L$62*($BX97^2)+'LINEST VARS'!$K$62*(12.73^2)+'LINEST VARS'!$J$62*(8*8)+'LINEST VARS'!$I$62*(8*$CO$80)+'LINEST VARS'!$H$62*(8*$BX97)+'LINEST VARS'!$G$62*(8*12.73)+'LINEST VARS'!$F$62*(8*$CO$80)+'LINEST VARS'!$E$62*(8*$BX97)+'LINEST VARS'!$D$62*(8*12.73)+'LINEST VARS'!$C$62*($CO$80*$BX97)+'LINEST VARS'!$B$62*($CO$80*12.73)+'LINEST VARS'!$A$62*($BX97*12.73)</f>
        <v>143.92000000000007</v>
      </c>
      <c r="CP97" s="55">
        <f>'LINEST VARS'!$U$62+'LINEST VARS'!$T$62*(8)+'LINEST VARS'!$S$62*(8)+'LINEST VARS'!$R$62*($CP$80)+'LINEST VARS'!$Q$62*($BX97)+'LINEST VARS'!$P$62*(12.73)+'LINEST VARS'!$O$62*(8^2)+'LINEST VARS'!$N$62*(8^2)+'LINEST VARS'!$M$62*($CP$80^2)+'LINEST VARS'!$L$62*($BX97^2)+'LINEST VARS'!$K$62*(12.73^2)+'LINEST VARS'!$J$62*(8*8)+'LINEST VARS'!$I$62*(8*$CP$80)+'LINEST VARS'!$H$62*(8*$BX97)+'LINEST VARS'!$G$62*(8*12.73)+'LINEST VARS'!$F$62*(8*$CP$80)+'LINEST VARS'!$E$62*(8*$BX97)+'LINEST VARS'!$D$62*(8*12.73)+'LINEST VARS'!$C$62*($CP$80*$BX97)+'LINEST VARS'!$B$62*($CP$80*12.73)+'LINEST VARS'!$A$62*($BX97*12.73)</f>
        <v>117.52000000000008</v>
      </c>
      <c r="CQ97" s="55">
        <f>'LINEST VARS'!$U$62+'LINEST VARS'!$T$62*(8)+'LINEST VARS'!$S$62*(8)+'LINEST VARS'!$R$62*($CQ$80)+'LINEST VARS'!$Q$62*($BX97)+'LINEST VARS'!$P$62*(12.73)+'LINEST VARS'!$O$62*(8^2)+'LINEST VARS'!$N$62*(8^2)+'LINEST VARS'!$M$62*($CQ$80^2)+'LINEST VARS'!$L$62*($BX97^2)+'LINEST VARS'!$K$62*(12.73^2)+'LINEST VARS'!$J$62*(8*8)+'LINEST VARS'!$I$62*(8*$CQ$80)+'LINEST VARS'!$H$62*(8*$BX97)+'LINEST VARS'!$G$62*(8*12.73)+'LINEST VARS'!$F$62*(8*$CQ$80)+'LINEST VARS'!$E$62*(8*$BX97)+'LINEST VARS'!$D$62*(8*12.73)+'LINEST VARS'!$C$62*($CQ$80*$BX97)+'LINEST VARS'!$B$62*($CQ$80*12.73)+'LINEST VARS'!$A$62*($BX97*12.73)</f>
        <v>89.520000000000081</v>
      </c>
      <c r="CR97" s="55">
        <f>'LINEST VARS'!$U$62+'LINEST VARS'!$T$62*(8)+'LINEST VARS'!$S$62*(8)+'LINEST VARS'!$R$62*($CR$80)+'LINEST VARS'!$Q$62*($BX97)+'LINEST VARS'!$P$62*(12.73)+'LINEST VARS'!$O$62*(8^2)+'LINEST VARS'!$N$62*(8^2)+'LINEST VARS'!$M$62*($CR$80^2)+'LINEST VARS'!$L$62*($BX97^2)+'LINEST VARS'!$K$62*(12.73^2)+'LINEST VARS'!$J$62*(8*8)+'LINEST VARS'!$I$62*(8*$CR$80)+'LINEST VARS'!$H$62*(8*$BX97)+'LINEST VARS'!$G$62*(8*12.73)+'LINEST VARS'!$F$62*(8*$CR$80)+'LINEST VARS'!$E$62*(8*$BX97)+'LINEST VARS'!$D$62*(8*12.73)+'LINEST VARS'!$C$62*($CR$80*$BX97)+'LINEST VARS'!$B$62*($CR$80*12.73)+'LINEST VARS'!$A$62*($BX97*12.73)</f>
        <v>59.92000000000013</v>
      </c>
      <c r="CS97" s="56">
        <f>'LINEST VARS'!$U$62+'LINEST VARS'!$T$62*(8)+'LINEST VARS'!$S$62*(8)+'LINEST VARS'!$R$62*($CS$80)+'LINEST VARS'!$Q$62*($BX97)+'LINEST VARS'!$P$62*(12.73)+'LINEST VARS'!$O$62*(8^2)+'LINEST VARS'!$N$62*(8^2)+'LINEST VARS'!$M$62*($CS$80^2)+'LINEST VARS'!$L$62*($BX97^2)+'LINEST VARS'!$K$62*(12.73^2)+'LINEST VARS'!$J$62*(8*8)+'LINEST VARS'!$I$62*(8*$CS$80)+'LINEST VARS'!$H$62*(8*$BX97)+'LINEST VARS'!$G$62*(8*12.73)+'LINEST VARS'!$F$62*(8*$CS$80)+'LINEST VARS'!$E$62*(8*$BX97)+'LINEST VARS'!$D$62*(8*12.73)+'LINEST VARS'!$C$62*($CS$80*$BX97)+'LINEST VARS'!$B$62*($CS$80*12.73)+'LINEST VARS'!$A$62*($BX97*12.73)</f>
        <v>28.720000000000173</v>
      </c>
      <c r="CX97" s="45">
        <v>20.792000000000002</v>
      </c>
      <c r="CY97" s="46">
        <f>'LINEST VARS'!$U$60+'LINEST VARS'!$T$60*(8)+'LINEST VARS'!$S$60*(8)+'LINEST VARS'!$R$60*($CY$80)+'LINEST VARS'!$Q$60*(0.5)+'LINEST VARS'!$P$60*($CX97)+'LINEST VARS'!$O$60*(8^2)+'LINEST VARS'!$N$60*(8^2)+'LINEST VARS'!$M$60*($CY$80^2)+'LINEST VARS'!$L$60*(0.5^2)+'LINEST VARS'!$K$60*($CX97^2)+'LINEST VARS'!$J$60*(8*8)+'LINEST VARS'!$I$60*(8*$CY$80)+'LINEST VARS'!$H$60*(8*0.5)+'LINEST VARS'!$G$60*(8*$CX97)+'LINEST VARS'!$F$60*(8*$CY$80)+'LINEST VARS'!$E$60*(8*0.5)+'LINEST VARS'!$D$60*(8*$CX97)+'LINEST VARS'!$C$60*($CY$80*0.5)+'LINEST VARS'!$B$60*($CY$80*$CX97)+'LINEST VARS'!$A$60*(0.5*$CX97)</f>
        <v>56.58400000000001</v>
      </c>
      <c r="CZ97" s="46">
        <f>'LINEST VARS'!$U$60+'LINEST VARS'!$T$60*(8)+'LINEST VARS'!$S$60*(8)+'LINEST VARS'!$R$60*($CZ$80)+'LINEST VARS'!$Q$60*(0.5)+'LINEST VARS'!$P$60*($CX97)+'LINEST VARS'!$O$60*(8^2)+'LINEST VARS'!$N$60*(8^2)+'LINEST VARS'!$M$60*($CZ$80^2)+'LINEST VARS'!$L$60*(0.5^2)+'LINEST VARS'!$K$60*($CX97^2)+'LINEST VARS'!$J$60*(8*8)+'LINEST VARS'!$I$60*(8*$CZ$80)+'LINEST VARS'!$H$60*(8*0.5)+'LINEST VARS'!$G$60*(8*$CX97)+'LINEST VARS'!$F$60*(8*$CZ$80)+'LINEST VARS'!$E$60*(8*0.5)+'LINEST VARS'!$D$60*(8*$CX97)+'LINEST VARS'!$C$60*($CZ$80*0.5)+'LINEST VARS'!$B$60*($CZ$80*$CX97)+'LINEST VARS'!$A$60*(0.5*$CX97)</f>
        <v>56.58400000000001</v>
      </c>
      <c r="DA97" s="46">
        <f>'LINEST VARS'!$U$60+'LINEST VARS'!$T$60*(8)+'LINEST VARS'!$S$60*(8)+'LINEST VARS'!$R$60*($DA$80)+'LINEST VARS'!$Q$60*(0.5)+'LINEST VARS'!$P$60*($CX97)+'LINEST VARS'!$O$60*(8^2)+'LINEST VARS'!$N$60*(8^2)+'LINEST VARS'!$M$60*($DA$80^2)+'LINEST VARS'!$L$60*(0.5^2)+'LINEST VARS'!$K$60*($CX97^2)+'LINEST VARS'!$J$60*(8*8)+'LINEST VARS'!$I$60*(8*$DA$80)+'LINEST VARS'!$H$60*(8*0.5)+'LINEST VARS'!$G$60*(8*$CX97)+'LINEST VARS'!$F$60*(8*$DA$80)+'LINEST VARS'!$E$60*(8*0.5)+'LINEST VARS'!$D$60*(8*$CX97)+'LINEST VARS'!$C$60*($DA$80*0.5)+'LINEST VARS'!$B$60*($DA$80*$CX97)+'LINEST VARS'!$A$60*(0.5*$CX97)</f>
        <v>56.58400000000001</v>
      </c>
      <c r="DB97" s="46">
        <f>'LINEST VARS'!$U$60+'LINEST VARS'!$T$60*(8)+'LINEST VARS'!$S$60*(8)+'LINEST VARS'!$R$60*($DB$80)+'LINEST VARS'!$Q$60*(0.5)+'LINEST VARS'!$P$60*($CX97)+'LINEST VARS'!$O$60*(8^2)+'LINEST VARS'!$N$60*(8^2)+'LINEST VARS'!$M$60*($DB$80^2)+'LINEST VARS'!$L$60*(0.5^2)+'LINEST VARS'!$K$60*($CX97^2)+'LINEST VARS'!$J$60*(8*8)+'LINEST VARS'!$I$60*(8*$DB$80)+'LINEST VARS'!$H$60*(8*0.5)+'LINEST VARS'!$G$60*(8*$CX97)+'LINEST VARS'!$F$60*(8*$DB$80)+'LINEST VARS'!$E$60*(8*0.5)+'LINEST VARS'!$D$60*(8*$CX97)+'LINEST VARS'!$C$60*($DB$80*0.5)+'LINEST VARS'!$B$60*($DB$80*$CX97)+'LINEST VARS'!$A$60*(0.5*$CX97)</f>
        <v>56.58400000000001</v>
      </c>
      <c r="DC97" s="46">
        <f>'LINEST VARS'!$U$60+'LINEST VARS'!$T$60*(8)+'LINEST VARS'!$S$60*(8)+'LINEST VARS'!$R$60*($DC$80)+'LINEST VARS'!$Q$60*(0.5)+'LINEST VARS'!$P$60*($CX97)+'LINEST VARS'!$O$60*(8^2)+'LINEST VARS'!$N$60*(8^2)+'LINEST VARS'!$M$60*($DC$80^2)+'LINEST VARS'!$L$60*(0.5^2)+'LINEST VARS'!$K$60*($CX97^2)+'LINEST VARS'!$J$60*(8*8)+'LINEST VARS'!$I$60*(8*$DC$80)+'LINEST VARS'!$H$60*(8*0.5)+'LINEST VARS'!$G$60*(8*$CX97)+'LINEST VARS'!$F$60*(8*$DC$80)+'LINEST VARS'!$E$60*(8*0.5)+'LINEST VARS'!$D$60*(8*$CX97)+'LINEST VARS'!$C$60*($DC$80*0.5)+'LINEST VARS'!$B$60*($DC$80*$CX97)+'LINEST VARS'!$A$60*(0.5*$CX97)</f>
        <v>56.584000000000003</v>
      </c>
      <c r="DD97" s="46">
        <f>'LINEST VARS'!$U$60+'LINEST VARS'!$T$60*(8)+'LINEST VARS'!$S$60*(8)+'LINEST VARS'!$R$60*($DD$80)+'LINEST VARS'!$Q$60*(0.5)+'LINEST VARS'!$P$60*($CX97)+'LINEST VARS'!$O$60*(8^2)+'LINEST VARS'!$N$60*(8^2)+'LINEST VARS'!$M$60*($DD$80^2)+'LINEST VARS'!$L$60*(0.5^2)+'LINEST VARS'!$K$60*($CX97^2)+'LINEST VARS'!$J$60*(8*8)+'LINEST VARS'!$I$60*(8*$DD$80)+'LINEST VARS'!$H$60*(8*0.5)+'LINEST VARS'!$G$60*(8*$CX97)+'LINEST VARS'!$F$60*(8*$DD$80)+'LINEST VARS'!$E$60*(8*0.5)+'LINEST VARS'!$D$60*(8*$CX97)+'LINEST VARS'!$C$60*($DD$80*0.5)+'LINEST VARS'!$B$60*($DD$80*$CX97)+'LINEST VARS'!$A$60*(0.5*$CX97)</f>
        <v>56.584000000000003</v>
      </c>
      <c r="DE97" s="46">
        <f>'LINEST VARS'!$U$60+'LINEST VARS'!$T$60*(8)+'LINEST VARS'!$S$60*(8)+'LINEST VARS'!$R$60*($DE$80)+'LINEST VARS'!$Q$60*(0.5)+'LINEST VARS'!$P$60*($CX97)+'LINEST VARS'!$O$60*(8^2)+'LINEST VARS'!$N$60*(8^2)+'LINEST VARS'!$M$60*($DE$80^2)+'LINEST VARS'!$L$60*(0.5^2)+'LINEST VARS'!$K$60*($CX97^2)+'LINEST VARS'!$J$60*(8*8)+'LINEST VARS'!$I$60*(8*$DE$80)+'LINEST VARS'!$H$60*(8*0.5)+'LINEST VARS'!$G$60*(8*$CX97)+'LINEST VARS'!$F$60*(8*$DE$80)+'LINEST VARS'!$E$60*(8*0.5)+'LINEST VARS'!$D$60*(8*$CX97)+'LINEST VARS'!$C$60*($DE$80*0.5)+'LINEST VARS'!$B$60*($DE$80*$CX97)+'LINEST VARS'!$A$60*(0.5*$CX97)</f>
        <v>56.584000000000003</v>
      </c>
      <c r="DF97" s="46">
        <f>'LINEST VARS'!$U$60+'LINEST VARS'!$T$60*(8)+'LINEST VARS'!$S$60*(8)+'LINEST VARS'!$R$60*($DF$80)+'LINEST VARS'!$Q$60*(0.5)+'LINEST VARS'!$P$60*($CX97)+'LINEST VARS'!$O$60*(8^2)+'LINEST VARS'!$N$60*(8^2)+'LINEST VARS'!$M$60*($DF$80^2)+'LINEST VARS'!$L$60*(0.5^2)+'LINEST VARS'!$K$60*($CX97^2)+'LINEST VARS'!$J$60*(8*8)+'LINEST VARS'!$I$60*(8*$DF$80)+'LINEST VARS'!$H$60*(8*0.5)+'LINEST VARS'!$G$60*(8*$CX97)+'LINEST VARS'!$F$60*(8*$DF$80)+'LINEST VARS'!$E$60*(8*0.5)+'LINEST VARS'!$D$60*(8*$CX97)+'LINEST VARS'!$C$60*($DF$80*0.5)+'LINEST VARS'!$B$60*($DF$80*$CX97)+'LINEST VARS'!$A$60*(0.5*$CX97)</f>
        <v>56.58400000000001</v>
      </c>
      <c r="DG97" s="46">
        <f>'LINEST VARS'!$U$60+'LINEST VARS'!$T$60*(8)+'LINEST VARS'!$S$60*(8)+'LINEST VARS'!$R$60*($DG$80)+'LINEST VARS'!$Q$60*(0.5)+'LINEST VARS'!$P$60*($CX97)+'LINEST VARS'!$O$60*(8^2)+'LINEST VARS'!$N$60*(8^2)+'LINEST VARS'!$M$60*($DG$80^2)+'LINEST VARS'!$L$60*(0.5^2)+'LINEST VARS'!$K$60*($CX97^2)+'LINEST VARS'!$J$60*(8*8)+'LINEST VARS'!$I$60*(8*$DG$80)+'LINEST VARS'!$H$60*(8*0.5)+'LINEST VARS'!$G$60*(8*$CX97)+'LINEST VARS'!$F$60*(8*$DG$80)+'LINEST VARS'!$E$60*(8*0.5)+'LINEST VARS'!$D$60*(8*$CX97)+'LINEST VARS'!$C$60*($DG$80*0.5)+'LINEST VARS'!$B$60*($DG$80*$CX97)+'LINEST VARS'!$A$60*(0.5*$CX97)</f>
        <v>56.58400000000001</v>
      </c>
      <c r="DH97" s="46">
        <f>'LINEST VARS'!$U$60+'LINEST VARS'!$T$60*(8)+'LINEST VARS'!$S$60*(8)+'LINEST VARS'!$R$60*($DH$80)+'LINEST VARS'!$Q$60*(0.5)+'LINEST VARS'!$P$60*($CX97)+'LINEST VARS'!$O$60*(8^2)+'LINEST VARS'!$N$60*(8^2)+'LINEST VARS'!$M$60*($DH$80^2)+'LINEST VARS'!$L$60*(0.5^2)+'LINEST VARS'!$K$60*($CX97^2)+'LINEST VARS'!$J$60*(8*8)+'LINEST VARS'!$I$60*(8*$DH$80)+'LINEST VARS'!$H$60*(8*0.5)+'LINEST VARS'!$G$60*(8*$CX97)+'LINEST VARS'!$F$60*(8*$DH$80)+'LINEST VARS'!$E$60*(8*0.5)+'LINEST VARS'!$D$60*(8*$CX97)+'LINEST VARS'!$C$60*($DH$80*0.5)+'LINEST VARS'!$B$60*($DH$80*$CX97)+'LINEST VARS'!$A$60*(0.5*$CX97)</f>
        <v>56.58400000000001</v>
      </c>
      <c r="DI97" s="46">
        <f>'LINEST VARS'!$U$60+'LINEST VARS'!$T$60*(8)+'LINEST VARS'!$S$60*(8)+'LINEST VARS'!$R$60*($DI$80)+'LINEST VARS'!$Q$60*(0.5)+'LINEST VARS'!$P$60*($CX97)+'LINEST VARS'!$O$60*(8^2)+'LINEST VARS'!$N$60*(8^2)+'LINEST VARS'!$M$60*($DI$80^2)+'LINEST VARS'!$L$60*(0.5^2)+'LINEST VARS'!$K$60*($CX97^2)+'LINEST VARS'!$J$60*(8*8)+'LINEST VARS'!$I$60*(8*$DI$80)+'LINEST VARS'!$H$60*(8*0.5)+'LINEST VARS'!$G$60*(8*$CX97)+'LINEST VARS'!$F$60*(8*$DI$80)+'LINEST VARS'!$E$60*(8*0.5)+'LINEST VARS'!$D$60*(8*$CX97)+'LINEST VARS'!$C$60*($DI$80*0.5)+'LINEST VARS'!$B$60*($DI$80*$CX97)+'LINEST VARS'!$A$60*(0.5*$CX97)</f>
        <v>56.58400000000001</v>
      </c>
      <c r="DJ97" s="46">
        <f>'LINEST VARS'!$U$60+'LINEST VARS'!$T$60*(8)+'LINEST VARS'!$S$60*(8)+'LINEST VARS'!$R$60*($DJ$80)+'LINEST VARS'!$Q$60*(0.5)+'LINEST VARS'!$P$60*($CX97)+'LINEST VARS'!$O$60*(8^2)+'LINEST VARS'!$N$60*(8^2)+'LINEST VARS'!$M$60*($DJ$80^2)+'LINEST VARS'!$L$60*(0.5^2)+'LINEST VARS'!$K$60*($CX97^2)+'LINEST VARS'!$J$60*(8*8)+'LINEST VARS'!$I$60*(8*$DJ$80)+'LINEST VARS'!$H$60*(8*0.5)+'LINEST VARS'!$G$60*(8*$CX97)+'LINEST VARS'!$F$60*(8*$DJ$80)+'LINEST VARS'!$E$60*(8*0.5)+'LINEST VARS'!$D$60*(8*$CX97)+'LINEST VARS'!$C$60*($DJ$80*0.5)+'LINEST VARS'!$B$60*($DJ$80*$CX97)+'LINEST VARS'!$A$60*(0.5*$CX97)</f>
        <v>56.584000000000003</v>
      </c>
      <c r="DK97" s="46">
        <f>'LINEST VARS'!$U$60+'LINEST VARS'!$T$60*(8)+'LINEST VARS'!$S$60*(8)+'LINEST VARS'!$R$60*($DK$80)+'LINEST VARS'!$Q$60*(0.5)+'LINEST VARS'!$P$60*($CX97)+'LINEST VARS'!$O$60*(8^2)+'LINEST VARS'!$N$60*(8^2)+'LINEST VARS'!$M$60*($DK$80^2)+'LINEST VARS'!$L$60*(0.5^2)+'LINEST VARS'!$K$60*($CX97^2)+'LINEST VARS'!$J$60*(8*8)+'LINEST VARS'!$I$60*(8*$DK$80)+'LINEST VARS'!$H$60*(8*0.5)+'LINEST VARS'!$G$60*(8*$CX97)+'LINEST VARS'!$F$60*(8*$DK$80)+'LINEST VARS'!$E$60*(8*0.5)+'LINEST VARS'!$D$60*(8*$CX97)+'LINEST VARS'!$C$60*($DK$80*0.5)+'LINEST VARS'!$B$60*($DK$80*$CX97)+'LINEST VARS'!$A$60*(0.5*$CX97)</f>
        <v>56.58400000000001</v>
      </c>
      <c r="DL97" s="46">
        <f>'LINEST VARS'!$U$60+'LINEST VARS'!$T$60*(8)+'LINEST VARS'!$S$60*(8)+'LINEST VARS'!$R$60*($DL$80)+'LINEST VARS'!$Q$60*(0.5)+'LINEST VARS'!$P$60*($CX97)+'LINEST VARS'!$O$60*(8^2)+'LINEST VARS'!$N$60*(8^2)+'LINEST VARS'!$M$60*($DL$80^2)+'LINEST VARS'!$L$60*(0.5^2)+'LINEST VARS'!$K$60*($CX97^2)+'LINEST VARS'!$J$60*(8*8)+'LINEST VARS'!$I$60*(8*$DL$80)+'LINEST VARS'!$H$60*(8*0.5)+'LINEST VARS'!$G$60*(8*$CX97)+'LINEST VARS'!$F$60*(8*$DL$80)+'LINEST VARS'!$E$60*(8*0.5)+'LINEST VARS'!$D$60*(8*$CX97)+'LINEST VARS'!$C$60*($DL$80*0.5)+'LINEST VARS'!$B$60*($DL$80*$CX97)+'LINEST VARS'!$A$60*(0.5*$CX97)</f>
        <v>56.584000000000003</v>
      </c>
      <c r="DM97" s="46">
        <f>'LINEST VARS'!$U$60+'LINEST VARS'!$T$60*(8)+'LINEST VARS'!$S$60*(8)+'LINEST VARS'!$R$60*($DM$80)+'LINEST VARS'!$Q$60*(0.5)+'LINEST VARS'!$P$60*($CX97)+'LINEST VARS'!$O$60*(8^2)+'LINEST VARS'!$N$60*(8^2)+'LINEST VARS'!$M$60*($DM$80^2)+'LINEST VARS'!$L$60*(0.5^2)+'LINEST VARS'!$K$60*($CX97^2)+'LINEST VARS'!$J$60*(8*8)+'LINEST VARS'!$I$60*(8*$DM$80)+'LINEST VARS'!$H$60*(8*0.5)+'LINEST VARS'!$G$60*(8*$CX97)+'LINEST VARS'!$F$60*(8*$DM$80)+'LINEST VARS'!$E$60*(8*0.5)+'LINEST VARS'!$D$60*(8*$CX97)+'LINEST VARS'!$C$60*($DM$80*0.5)+'LINEST VARS'!$B$60*($DM$80*$CX97)+'LINEST VARS'!$A$60*(0.5*$CX97)</f>
        <v>56.58400000000001</v>
      </c>
      <c r="DN97" s="46">
        <f>'LINEST VARS'!$U$60+'LINEST VARS'!$T$60*(8)+'LINEST VARS'!$S$60*(8)+'LINEST VARS'!$R$60*($DN$80)+'LINEST VARS'!$Q$60*(0.5)+'LINEST VARS'!$P$60*($CX97)+'LINEST VARS'!$O$60*(8^2)+'LINEST VARS'!$N$60*(8^2)+'LINEST VARS'!$M$60*($DN$80^2)+'LINEST VARS'!$L$60*(0.5^2)+'LINEST VARS'!$K$60*($CX97^2)+'LINEST VARS'!$J$60*(8*8)+'LINEST VARS'!$I$60*(8*$DN$80)+'LINEST VARS'!$H$60*(8*0.5)+'LINEST VARS'!$G$60*(8*$CX97)+'LINEST VARS'!$F$60*(8*$DN$80)+'LINEST VARS'!$E$60*(8*0.5)+'LINEST VARS'!$D$60*(8*$CX97)+'LINEST VARS'!$C$60*($DN$80*0.5)+'LINEST VARS'!$B$60*($DN$80*$CX97)+'LINEST VARS'!$A$60*(0.5*$CX97)</f>
        <v>56.58400000000001</v>
      </c>
      <c r="DO97" s="46">
        <f>'LINEST VARS'!$U$60+'LINEST VARS'!$T$60*(8)+'LINEST VARS'!$S$60*(8)+'LINEST VARS'!$R$60*($DO$80)+'LINEST VARS'!$Q$60*(0.5)+'LINEST VARS'!$P$60*($CX97)+'LINEST VARS'!$O$60*(8^2)+'LINEST VARS'!$N$60*(8^2)+'LINEST VARS'!$M$60*($DO$80^2)+'LINEST VARS'!$L$60*(0.5^2)+'LINEST VARS'!$K$60*($CX97^2)+'LINEST VARS'!$J$60*(8*8)+'LINEST VARS'!$I$60*(8*$DO$80)+'LINEST VARS'!$H$60*(8*0.5)+'LINEST VARS'!$G$60*(8*$CX97)+'LINEST VARS'!$F$60*(8*$DO$80)+'LINEST VARS'!$E$60*(8*0.5)+'LINEST VARS'!$D$60*(8*$CX97)+'LINEST VARS'!$C$60*($DO$80*0.5)+'LINEST VARS'!$B$60*($DO$80*$CX97)+'LINEST VARS'!$A$60*(0.5*$CX97)</f>
        <v>56.58400000000001</v>
      </c>
      <c r="DP97" s="46">
        <f>'LINEST VARS'!$U$60+'LINEST VARS'!$T$60*(8)+'LINEST VARS'!$S$60*(8)+'LINEST VARS'!$R$60*($DP$80)+'LINEST VARS'!$Q$60*(0.5)+'LINEST VARS'!$P$60*($CX97)+'LINEST VARS'!$O$60*(8^2)+'LINEST VARS'!$N$60*(8^2)+'LINEST VARS'!$M$60*($DP$80^2)+'LINEST VARS'!$L$60*(0.5^2)+'LINEST VARS'!$K$60*($CX97^2)+'LINEST VARS'!$J$60*(8*8)+'LINEST VARS'!$I$60*(8*$DP$80)+'LINEST VARS'!$H$60*(8*0.5)+'LINEST VARS'!$G$60*(8*$CX97)+'LINEST VARS'!$F$60*(8*$DP$80)+'LINEST VARS'!$E$60*(8*0.5)+'LINEST VARS'!$D$60*(8*$CX97)+'LINEST VARS'!$C$60*($DP$80*0.5)+'LINEST VARS'!$B$60*($DP$80*$CX97)+'LINEST VARS'!$A$60*(0.5*$CX97)</f>
        <v>56.58400000000001</v>
      </c>
      <c r="DQ97" s="46">
        <f>'LINEST VARS'!$U$60+'LINEST VARS'!$T$60*(8)+'LINEST VARS'!$S$60*(8)+'LINEST VARS'!$R$60*($DQ$80)+'LINEST VARS'!$Q$60*(0.5)+'LINEST VARS'!$P$60*($CX97)+'LINEST VARS'!$O$60*(8^2)+'LINEST VARS'!$N$60*(8^2)+'LINEST VARS'!$M$60*($DQ$80^2)+'LINEST VARS'!$L$60*(0.5^2)+'LINEST VARS'!$K$60*($CX97^2)+'LINEST VARS'!$J$60*(8*8)+'LINEST VARS'!$I$60*(8*$DQ$80)+'LINEST VARS'!$H$60*(8*0.5)+'LINEST VARS'!$G$60*(8*$CX97)+'LINEST VARS'!$F$60*(8*$DQ$80)+'LINEST VARS'!$E$60*(8*0.5)+'LINEST VARS'!$D$60*(8*$CX97)+'LINEST VARS'!$C$60*($DQ$80*0.5)+'LINEST VARS'!$B$60*($DQ$80*$CX97)+'LINEST VARS'!$A$60*(0.5*$CX97)</f>
        <v>56.584000000000003</v>
      </c>
      <c r="DR97" s="46">
        <f>'LINEST VARS'!$U$60+'LINEST VARS'!$T$60*(8)+'LINEST VARS'!$S$60*(8)+'LINEST VARS'!$R$60*($DR$80)+'LINEST VARS'!$Q$60*(0.5)+'LINEST VARS'!$P$60*($CX97)+'LINEST VARS'!$O$60*(8^2)+'LINEST VARS'!$N$60*(8^2)+'LINEST VARS'!$M$60*($DR$80^2)+'LINEST VARS'!$L$60*(0.5^2)+'LINEST VARS'!$K$60*($CX97^2)+'LINEST VARS'!$J$60*(8*8)+'LINEST VARS'!$I$60*(8*$DR$80)+'LINEST VARS'!$H$60*(8*0.5)+'LINEST VARS'!$G$60*(8*$CX97)+'LINEST VARS'!$F$60*(8*$DR$80)+'LINEST VARS'!$E$60*(8*0.5)+'LINEST VARS'!$D$60*(8*$CX97)+'LINEST VARS'!$C$60*($DR$80*0.5)+'LINEST VARS'!$B$60*($DR$80*$CX97)+'LINEST VARS'!$A$60*(0.5*$CX97)</f>
        <v>56.58400000000001</v>
      </c>
      <c r="DS97" s="47">
        <f>'LINEST VARS'!$U$60+'LINEST VARS'!$T$60*(8)+'LINEST VARS'!$S$60*(8)+'LINEST VARS'!$R$60*($DS$80)+'LINEST VARS'!$Q$60*(0.5)+'LINEST VARS'!$P$60*($CX97)+'LINEST VARS'!$O$60*(8^2)+'LINEST VARS'!$N$60*(8^2)+'LINEST VARS'!$M$60*($DS$80^2)+'LINEST VARS'!$L$60*(0.5^2)+'LINEST VARS'!$K$60*($CX97^2)+'LINEST VARS'!$J$60*(8*8)+'LINEST VARS'!$I$60*(8*$DS$80)+'LINEST VARS'!$H$60*(8*0.5)+'LINEST VARS'!$G$60*(8*$CX97)+'LINEST VARS'!$F$60*(8*$DS$80)+'LINEST VARS'!$E$60*(8*0.5)+'LINEST VARS'!$D$60*(8*$CX97)+'LINEST VARS'!$C$60*($DS$80*0.5)+'LINEST VARS'!$B$60*($DS$80*$CX97)+'LINEST VARS'!$A$60*(0.5*$CX97)</f>
        <v>56.58400000000001</v>
      </c>
      <c r="DV97" s="45">
        <v>20.792000000000002</v>
      </c>
      <c r="DW97" s="55">
        <f>'LINEST VARS'!$U$62+'LINEST VARS'!$T$62*(8)+'LINEST VARS'!$S$62*(8)+'LINEST VARS'!$R$62*($DW$80)+'LINEST VARS'!$Q$62*(0.5)+'LINEST VARS'!$P$62*($DV97)+'LINEST VARS'!$O$62*(8^2)+'LINEST VARS'!$N$62*(8^2)+'LINEST VARS'!$M$62*($DW$80^2)+'LINEST VARS'!$L$62*(0.5^2)+'LINEST VARS'!$K$62*($DV97^2)+'LINEST VARS'!$J$62*(8*8)+'LINEST VARS'!$I$62*(8*$DW$80)+'LINEST VARS'!$H$62*(8*0.5)+'LINEST VARS'!$G$62*(8*$DV97)+'LINEST VARS'!$F$62*(8*$DW$80)+'LINEST VARS'!$E$62*(8*0.5)+'LINEST VARS'!$D$62*(8*$DV97)+'LINEST VARS'!$C$62*($DW$80*0.5)+'LINEST VARS'!$B$62*($DW$80*$DV97)+'LINEST VARS'!$A$62*(0.5*$DV97)</f>
        <v>349.49999999999994</v>
      </c>
      <c r="DX97" s="55">
        <f>'LINEST VARS'!$U$62+'LINEST VARS'!$T$62*(8)+'LINEST VARS'!$S$62*(8)+'LINEST VARS'!$R$62*($DX$80)+'LINEST VARS'!$Q$62*(0.5)+'LINEST VARS'!$P$62*($DV97)+'LINEST VARS'!$O$62*(8^2)+'LINEST VARS'!$N$62*(8^2)+'LINEST VARS'!$M$62*($DX$80^2)+'LINEST VARS'!$L$62*(0.5^2)+'LINEST VARS'!$K$62*($DV97^2)+'LINEST VARS'!$J$62*(8*8)+'LINEST VARS'!$I$62*(8*$DX$80)+'LINEST VARS'!$H$62*(8*0.5)+'LINEST VARS'!$G$62*(8*$DV97)+'LINEST VARS'!$F$62*(8*$DX$80)+'LINEST VARS'!$E$62*(8*0.5)+'LINEST VARS'!$D$62*(8*$DV97)+'LINEST VARS'!$C$62*($DX$80*0.5)+'LINEST VARS'!$B$62*($DX$80*$DV97)+'LINEST VARS'!$A$62*(0.5*$DV97)</f>
        <v>348.7</v>
      </c>
      <c r="DY97" s="55">
        <f>'LINEST VARS'!$U$62+'LINEST VARS'!$T$62*(8)+'LINEST VARS'!$S$62*(8)+'LINEST VARS'!$R$62*($DY$80)+'LINEST VARS'!$Q$62*(0.5)+'LINEST VARS'!$P$62*($DV97)+'LINEST VARS'!$O$62*(8^2)+'LINEST VARS'!$N$62*(8^2)+'LINEST VARS'!$M$62*($DY$80^2)+'LINEST VARS'!$L$62*(0.5^2)+'LINEST VARS'!$K$62*($DV97^2)+'LINEST VARS'!$J$62*(8*8)+'LINEST VARS'!$I$62*(8*$DY$80)+'LINEST VARS'!$H$62*(8*0.5)+'LINEST VARS'!$G$62*(8*$DV97)+'LINEST VARS'!$F$62*(8*$DY$80)+'LINEST VARS'!$E$62*(8*0.5)+'LINEST VARS'!$D$62*(8*$DV97)+'LINEST VARS'!$C$62*($DY$80*0.5)+'LINEST VARS'!$B$62*($DY$80*$DV97)+'LINEST VARS'!$A$62*(0.5*$DV97)</f>
        <v>346.2999999999999</v>
      </c>
      <c r="DZ97" s="55">
        <f>'LINEST VARS'!$U$62+'LINEST VARS'!$T$62*(8)+'LINEST VARS'!$S$62*(8)+'LINEST VARS'!$R$62*($DZ$80)+'LINEST VARS'!$Q$62*(0.5)+'LINEST VARS'!$P$62*($DV97)+'LINEST VARS'!$O$62*(8^2)+'LINEST VARS'!$N$62*(8^2)+'LINEST VARS'!$M$62*($DZ$80^2)+'LINEST VARS'!$L$62*(0.5^2)+'LINEST VARS'!$K$62*($DV97^2)+'LINEST VARS'!$J$62*(8*8)+'LINEST VARS'!$I$62*(8*$DZ$80)+'LINEST VARS'!$H$62*(8*0.5)+'LINEST VARS'!$G$62*(8*$DV97)+'LINEST VARS'!$F$62*(8*$DZ$80)+'LINEST VARS'!$E$62*(8*0.5)+'LINEST VARS'!$D$62*(8*$DV97)+'LINEST VARS'!$C$62*($DZ$80*0.5)+'LINEST VARS'!$B$62*($DZ$80*$DV97)+'LINEST VARS'!$A$62*(0.5*$DV97)</f>
        <v>342.29999999999995</v>
      </c>
      <c r="EA97" s="55">
        <f>'LINEST VARS'!$U$62+'LINEST VARS'!$T$62*(8)+'LINEST VARS'!$S$62*(8)+'LINEST VARS'!$R$62*($EA$80)+'LINEST VARS'!$Q$62*(0.5)+'LINEST VARS'!$P$62*($DV97)+'LINEST VARS'!$O$62*(8^2)+'LINEST VARS'!$N$62*(8^2)+'LINEST VARS'!$M$62*($EA$80^2)+'LINEST VARS'!$L$62*(0.5^2)+'LINEST VARS'!$K$62*($DV97^2)+'LINEST VARS'!$J$62*(8*8)+'LINEST VARS'!$I$62*(8*$EA$80)+'LINEST VARS'!$H$62*(8*0.5)+'LINEST VARS'!$G$62*(8*$DV97)+'LINEST VARS'!$F$62*(8*$EA$80)+'LINEST VARS'!$E$62*(8*0.5)+'LINEST VARS'!$D$62*(8*$DV97)+'LINEST VARS'!$C$62*($EA$80*0.5)+'LINEST VARS'!$B$62*($EA$80*$DV97)+'LINEST VARS'!$A$62*(0.5*$DV97)</f>
        <v>336.7</v>
      </c>
      <c r="EB97" s="55">
        <f>'LINEST VARS'!$U$62+'LINEST VARS'!$T$62*(8)+'LINEST VARS'!$S$62*(8)+'LINEST VARS'!$R$62*($EB$80)+'LINEST VARS'!$Q$62*(0.5)+'LINEST VARS'!$P$62*($DV97)+'LINEST VARS'!$O$62*(8^2)+'LINEST VARS'!$N$62*(8^2)+'LINEST VARS'!$M$62*($EB$80^2)+'LINEST VARS'!$L$62*(0.5^2)+'LINEST VARS'!$K$62*($DV97^2)+'LINEST VARS'!$J$62*(8*8)+'LINEST VARS'!$I$62*(8*$EB$80)+'LINEST VARS'!$H$62*(8*0.5)+'LINEST VARS'!$G$62*(8*$DV97)+'LINEST VARS'!$F$62*(8*$EB$80)+'LINEST VARS'!$E$62*(8*0.5)+'LINEST VARS'!$D$62*(8*$DV97)+'LINEST VARS'!$C$62*($EB$80*0.5)+'LINEST VARS'!$B$62*($EB$80*$DV97)+'LINEST VARS'!$A$62*(0.5*$DV97)</f>
        <v>329.5</v>
      </c>
      <c r="EC97" s="55">
        <f>'LINEST VARS'!$U$62+'LINEST VARS'!$T$62*(8)+'LINEST VARS'!$S$62*(8)+'LINEST VARS'!$R$62*($EC$80)+'LINEST VARS'!$Q$62*(0.5)+'LINEST VARS'!$P$62*($DV97)+'LINEST VARS'!$O$62*(8^2)+'LINEST VARS'!$N$62*(8^2)+'LINEST VARS'!$M$62*($EC$80^2)+'LINEST VARS'!$L$62*(0.5^2)+'LINEST VARS'!$K$62*($DV97^2)+'LINEST VARS'!$J$62*(8*8)+'LINEST VARS'!$I$62*(8*$EC$80)+'LINEST VARS'!$H$62*(8*0.5)+'LINEST VARS'!$G$62*(8*$DV97)+'LINEST VARS'!$F$62*(8*$EC$80)+'LINEST VARS'!$E$62*(8*0.5)+'LINEST VARS'!$D$62*(8*$DV97)+'LINEST VARS'!$C$62*($EC$80*0.5)+'LINEST VARS'!$B$62*($EC$80*$DV97)+'LINEST VARS'!$A$62*(0.5*$DV97)</f>
        <v>320.69999999999993</v>
      </c>
      <c r="ED97" s="55">
        <f>'LINEST VARS'!$U$62+'LINEST VARS'!$T$62*(8)+'LINEST VARS'!$S$62*(8)+'LINEST VARS'!$R$62*($ED$80)+'LINEST VARS'!$Q$62*(0.5)+'LINEST VARS'!$P$62*($DV97)+'LINEST VARS'!$O$62*(8^2)+'LINEST VARS'!$N$62*(8^2)+'LINEST VARS'!$M$62*($ED$80^2)+'LINEST VARS'!$L$62*(0.5^2)+'LINEST VARS'!$K$62*($DV97^2)+'LINEST VARS'!$J$62*(8*8)+'LINEST VARS'!$I$62*(8*$ED$80)+'LINEST VARS'!$H$62*(8*0.5)+'LINEST VARS'!$G$62*(8*$DV97)+'LINEST VARS'!$F$62*(8*$ED$80)+'LINEST VARS'!$E$62*(8*0.5)+'LINEST VARS'!$D$62*(8*$DV97)+'LINEST VARS'!$C$62*($ED$80*0.5)+'LINEST VARS'!$B$62*($ED$80*$DV97)+'LINEST VARS'!$A$62*(0.5*$DV97)</f>
        <v>310.29999999999995</v>
      </c>
      <c r="EE97" s="55">
        <f>'LINEST VARS'!$U$62+'LINEST VARS'!$T$62*(8)+'LINEST VARS'!$S$62*(8)+'LINEST VARS'!$R$62*($EE$80)+'LINEST VARS'!$Q$62*(0.5)+'LINEST VARS'!$P$62*($DV97)+'LINEST VARS'!$O$62*(8^2)+'LINEST VARS'!$N$62*(8^2)+'LINEST VARS'!$M$62*($EE$80^2)+'LINEST VARS'!$L$62*(0.5^2)+'LINEST VARS'!$K$62*($DV97^2)+'LINEST VARS'!$J$62*(8*8)+'LINEST VARS'!$I$62*(8*$EE$80)+'LINEST VARS'!$H$62*(8*0.5)+'LINEST VARS'!$G$62*(8*$DV97)+'LINEST VARS'!$F$62*(8*$EE$80)+'LINEST VARS'!$E$62*(8*0.5)+'LINEST VARS'!$D$62*(8*$DV97)+'LINEST VARS'!$C$62*($EE$80*0.5)+'LINEST VARS'!$B$62*($EE$80*$DV97)+'LINEST VARS'!$A$62*(0.5*$DV97)</f>
        <v>298.3</v>
      </c>
      <c r="EF97" s="55">
        <f>'LINEST VARS'!$U$62+'LINEST VARS'!$T$62*(8)+'LINEST VARS'!$S$62*(8)+'LINEST VARS'!$R$62*($EF$80)+'LINEST VARS'!$Q$62*(0.5)+'LINEST VARS'!$P$62*($DV97)+'LINEST VARS'!$O$62*(8^2)+'LINEST VARS'!$N$62*(8^2)+'LINEST VARS'!$M$62*($EF$80^2)+'LINEST VARS'!$L$62*(0.5^2)+'LINEST VARS'!$K$62*($DV97^2)+'LINEST VARS'!$J$62*(8*8)+'LINEST VARS'!$I$62*(8*$EF$80)+'LINEST VARS'!$H$62*(8*0.5)+'LINEST VARS'!$G$62*(8*$DV97)+'LINEST VARS'!$F$62*(8*$EF$80)+'LINEST VARS'!$E$62*(8*0.5)+'LINEST VARS'!$D$62*(8*$DV97)+'LINEST VARS'!$C$62*($EF$80*0.5)+'LINEST VARS'!$B$62*($EF$80*$DV97)+'LINEST VARS'!$A$62*(0.5*$DV97)</f>
        <v>284.7</v>
      </c>
      <c r="EG97" s="55">
        <f>'LINEST VARS'!$U$62+'LINEST VARS'!$T$62*(8)+'LINEST VARS'!$S$62*(8)+'LINEST VARS'!$R$62*($EG$80)+'LINEST VARS'!$Q$62*(0.5)+'LINEST VARS'!$P$62*($DV97)+'LINEST VARS'!$O$62*(8^2)+'LINEST VARS'!$N$62*(8^2)+'LINEST VARS'!$M$62*($EG$80^2)+'LINEST VARS'!$L$62*(0.5^2)+'LINEST VARS'!$K$62*($DV97^2)+'LINEST VARS'!$J$62*(8*8)+'LINEST VARS'!$I$62*(8*$EG$80)+'LINEST VARS'!$H$62*(8*0.5)+'LINEST VARS'!$G$62*(8*$DV97)+'LINEST VARS'!$F$62*(8*$EG$80)+'LINEST VARS'!$E$62*(8*0.5)+'LINEST VARS'!$D$62*(8*$DV97)+'LINEST VARS'!$C$62*($EG$80*0.5)+'LINEST VARS'!$B$62*($EG$80*$DV97)+'LINEST VARS'!$A$62*(0.5*$DV97)</f>
        <v>269.5</v>
      </c>
      <c r="EH97" s="55">
        <f>'LINEST VARS'!$U$62+'LINEST VARS'!$T$62*(8)+'LINEST VARS'!$S$62*(8)+'LINEST VARS'!$R$62*($EH$80)+'LINEST VARS'!$Q$62*(0.5)+'LINEST VARS'!$P$62*($DV97)+'LINEST VARS'!$O$62*(8^2)+'LINEST VARS'!$N$62*(8^2)+'LINEST VARS'!$M$62*($EH$80^2)+'LINEST VARS'!$L$62*(0.5^2)+'LINEST VARS'!$K$62*($DV97^2)+'LINEST VARS'!$J$62*(8*8)+'LINEST VARS'!$I$62*(8*$EH$80)+'LINEST VARS'!$H$62*(8*0.5)+'LINEST VARS'!$G$62*(8*$DV97)+'LINEST VARS'!$F$62*(8*$EH$80)+'LINEST VARS'!$E$62*(8*0.5)+'LINEST VARS'!$D$62*(8*$DV97)+'LINEST VARS'!$C$62*($EH$80*0.5)+'LINEST VARS'!$B$62*($EH$80*$DV97)+'LINEST VARS'!$A$62*(0.5*$DV97)</f>
        <v>252.70000000000005</v>
      </c>
      <c r="EI97" s="55">
        <f>'LINEST VARS'!$U$62+'LINEST VARS'!$T$62*(8)+'LINEST VARS'!$S$62*(8)+'LINEST VARS'!$R$62*($EI$80)+'LINEST VARS'!$Q$62*(0.5)+'LINEST VARS'!$P$62*($DV97)+'LINEST VARS'!$O$62*(8^2)+'LINEST VARS'!$N$62*(8^2)+'LINEST VARS'!$M$62*($EI$80^2)+'LINEST VARS'!$L$62*(0.5^2)+'LINEST VARS'!$K$62*($DV97^2)+'LINEST VARS'!$J$62*(8*8)+'LINEST VARS'!$I$62*(8*$EI$80)+'LINEST VARS'!$H$62*(8*0.5)+'LINEST VARS'!$G$62*(8*$DV97)+'LINEST VARS'!$F$62*(8*$EI$80)+'LINEST VARS'!$E$62*(8*0.5)+'LINEST VARS'!$D$62*(8*$DV97)+'LINEST VARS'!$C$62*($EI$80*0.5)+'LINEST VARS'!$B$62*($EI$80*$DV97)+'LINEST VARS'!$A$62*(0.5*$DV97)</f>
        <v>234.3000000000001</v>
      </c>
      <c r="EJ97" s="55">
        <f>'LINEST VARS'!$U$62+'LINEST VARS'!$T$62*(8)+'LINEST VARS'!$S$62*(8)+'LINEST VARS'!$R$62*($EJ$80)+'LINEST VARS'!$Q$62*(0.5)+'LINEST VARS'!$P$62*($DV97)+'LINEST VARS'!$O$62*(8^2)+'LINEST VARS'!$N$62*(8^2)+'LINEST VARS'!$M$62*($EJ$80^2)+'LINEST VARS'!$L$62*(0.5^2)+'LINEST VARS'!$K$62*($DV97^2)+'LINEST VARS'!$J$62*(8*8)+'LINEST VARS'!$I$62*(8*$EJ$80)+'LINEST VARS'!$H$62*(8*0.5)+'LINEST VARS'!$G$62*(8*$DV97)+'LINEST VARS'!$F$62*(8*$EJ$80)+'LINEST VARS'!$E$62*(8*0.5)+'LINEST VARS'!$D$62*(8*$DV97)+'LINEST VARS'!$C$62*($EJ$80*0.5)+'LINEST VARS'!$B$62*($EJ$80*$DV97)+'LINEST VARS'!$A$62*(0.5*$DV97)</f>
        <v>214.30000000000004</v>
      </c>
      <c r="EK97" s="55">
        <f>'LINEST VARS'!$U$62+'LINEST VARS'!$T$62*(8)+'LINEST VARS'!$S$62*(8)+'LINEST VARS'!$R$62*($EK$80)+'LINEST VARS'!$Q$62*(0.5)+'LINEST VARS'!$P$62*($DV97)+'LINEST VARS'!$O$62*(8^2)+'LINEST VARS'!$N$62*(8^2)+'LINEST VARS'!$M$62*($EK$80^2)+'LINEST VARS'!$L$62*(0.5^2)+'LINEST VARS'!$K$62*($DV97^2)+'LINEST VARS'!$J$62*(8*8)+'LINEST VARS'!$I$62*(8*$EK$80)+'LINEST VARS'!$H$62*(8*0.5)+'LINEST VARS'!$G$62*(8*$DV97)+'LINEST VARS'!$F$62*(8*$EK$80)+'LINEST VARS'!$E$62*(8*0.5)+'LINEST VARS'!$D$62*(8*$DV97)+'LINEST VARS'!$C$62*($EK$80*0.5)+'LINEST VARS'!$B$62*($EK$80*$DV97)+'LINEST VARS'!$A$62*(0.5*$DV97)</f>
        <v>192.70000000000013</v>
      </c>
      <c r="EL97" s="55">
        <f>'LINEST VARS'!$U$62+'LINEST VARS'!$T$62*(8)+'LINEST VARS'!$S$62*(8)+'LINEST VARS'!$R$62*($EL$80)+'LINEST VARS'!$Q$62*(0.5)+'LINEST VARS'!$P$62*($DV97)+'LINEST VARS'!$O$62*(8^2)+'LINEST VARS'!$N$62*(8^2)+'LINEST VARS'!$M$62*($EL$80^2)+'LINEST VARS'!$L$62*(0.5^2)+'LINEST VARS'!$K$62*($DV97^2)+'LINEST VARS'!$J$62*(8*8)+'LINEST VARS'!$I$62*(8*$EL$80)+'LINEST VARS'!$H$62*(8*0.5)+'LINEST VARS'!$G$62*(8*$DV97)+'LINEST VARS'!$F$62*(8*$EL$80)+'LINEST VARS'!$E$62*(8*0.5)+'LINEST VARS'!$D$62*(8*$DV97)+'LINEST VARS'!$C$62*($EL$80*0.5)+'LINEST VARS'!$B$62*($EL$80*$DV97)+'LINEST VARS'!$A$62*(0.5*$DV97)</f>
        <v>169.50000000000011</v>
      </c>
      <c r="EM97" s="55">
        <f>'LINEST VARS'!$U$62+'LINEST VARS'!$T$62*(8)+'LINEST VARS'!$S$62*(8)+'LINEST VARS'!$R$62*($EM$80)+'LINEST VARS'!$Q$62*(0.5)+'LINEST VARS'!$P$62*($DV97)+'LINEST VARS'!$O$62*(8^2)+'LINEST VARS'!$N$62*(8^2)+'LINEST VARS'!$M$62*($EM$80^2)+'LINEST VARS'!$L$62*(0.5^2)+'LINEST VARS'!$K$62*($DV97^2)+'LINEST VARS'!$J$62*(8*8)+'LINEST VARS'!$I$62*(8*$EM$80)+'LINEST VARS'!$H$62*(8*0.5)+'LINEST VARS'!$G$62*(8*$DV97)+'LINEST VARS'!$F$62*(8*$EM$80)+'LINEST VARS'!$E$62*(8*0.5)+'LINEST VARS'!$D$62*(8*$DV97)+'LINEST VARS'!$C$62*($EM$80*0.5)+'LINEST VARS'!$B$62*($EM$80*$DV97)+'LINEST VARS'!$A$62*(0.5*$DV97)</f>
        <v>144.70000000000007</v>
      </c>
      <c r="EN97" s="55">
        <f>'LINEST VARS'!$U$62+'LINEST VARS'!$T$62*(8)+'LINEST VARS'!$S$62*(8)+'LINEST VARS'!$R$62*($EN$80)+'LINEST VARS'!$Q$62*(0.5)+'LINEST VARS'!$P$62*($DV97)+'LINEST VARS'!$O$62*(8^2)+'LINEST VARS'!$N$62*(8^2)+'LINEST VARS'!$M$62*($EN$80^2)+'LINEST VARS'!$L$62*(0.5^2)+'LINEST VARS'!$K$62*($DV97^2)+'LINEST VARS'!$J$62*(8*8)+'LINEST VARS'!$I$62*(8*$EN$80)+'LINEST VARS'!$H$62*(8*0.5)+'LINEST VARS'!$G$62*(8*$DV97)+'LINEST VARS'!$F$62*(8*$EN$80)+'LINEST VARS'!$E$62*(8*0.5)+'LINEST VARS'!$D$62*(8*$DV97)+'LINEST VARS'!$C$62*($EN$80*0.5)+'LINEST VARS'!$B$62*($EN$80*$DV97)+'LINEST VARS'!$A$62*(0.5*$DV97)</f>
        <v>118.3000000000001</v>
      </c>
      <c r="EO97" s="55">
        <f>'LINEST VARS'!$U$62+'LINEST VARS'!$T$62*(8)+'LINEST VARS'!$S$62*(8)+'LINEST VARS'!$R$62*($EO$80)+'LINEST VARS'!$Q$62*(0.5)+'LINEST VARS'!$P$62*($DV97)+'LINEST VARS'!$O$62*(8^2)+'LINEST VARS'!$N$62*(8^2)+'LINEST VARS'!$M$62*($EO$80^2)+'LINEST VARS'!$L$62*(0.5^2)+'LINEST VARS'!$K$62*($DV97^2)+'LINEST VARS'!$J$62*(8*8)+'LINEST VARS'!$I$62*(8*$EO$80)+'LINEST VARS'!$H$62*(8*0.5)+'LINEST VARS'!$G$62*(8*$DV97)+'LINEST VARS'!$F$62*(8*$EO$80)+'LINEST VARS'!$E$62*(8*0.5)+'LINEST VARS'!$D$62*(8*$DV97)+'LINEST VARS'!$C$62*($EO$80*0.5)+'LINEST VARS'!$B$62*($EO$80*$DV97)+'LINEST VARS'!$A$62*(0.5*$DV97)</f>
        <v>90.300000000000097</v>
      </c>
      <c r="EP97" s="55">
        <f>'LINEST VARS'!$U$62+'LINEST VARS'!$T$62*(8)+'LINEST VARS'!$S$62*(8)+'LINEST VARS'!$R$62*($EP$80)+'LINEST VARS'!$Q$62*(0.5)+'LINEST VARS'!$P$62*($DV97)+'LINEST VARS'!$O$62*(8^2)+'LINEST VARS'!$N$62*(8^2)+'LINEST VARS'!$M$62*($EP$80^2)+'LINEST VARS'!$L$62*(0.5^2)+'LINEST VARS'!$K$62*($DV97^2)+'LINEST VARS'!$J$62*(8*8)+'LINEST VARS'!$I$62*(8*$EP$80)+'LINEST VARS'!$H$62*(8*0.5)+'LINEST VARS'!$G$62*(8*$DV97)+'LINEST VARS'!$F$62*(8*$EP$80)+'LINEST VARS'!$E$62*(8*0.5)+'LINEST VARS'!$D$62*(8*$DV97)+'LINEST VARS'!$C$62*($EP$80*0.5)+'LINEST VARS'!$B$62*($EP$80*$DV97)+'LINEST VARS'!$A$62*(0.5*$DV97)</f>
        <v>60.700000000000145</v>
      </c>
      <c r="EQ97" s="56">
        <f>'LINEST VARS'!$U$62+'LINEST VARS'!$T$62*(8)+'LINEST VARS'!$S$62*(8)+'LINEST VARS'!$R$62*($EQ$80)+'LINEST VARS'!$Q$62*(0.5)+'LINEST VARS'!$P$62*($DV97)+'LINEST VARS'!$O$62*(8^2)+'LINEST VARS'!$N$62*(8^2)+'LINEST VARS'!$M$62*($EQ$80^2)+'LINEST VARS'!$L$62*(0.5^2)+'LINEST VARS'!$K$62*($DV97^2)+'LINEST VARS'!$J$62*(8*8)+'LINEST VARS'!$I$62*(8*$EQ$80)+'LINEST VARS'!$H$62*(8*0.5)+'LINEST VARS'!$G$62*(8*$DV97)+'LINEST VARS'!$F$62*(8*$EQ$80)+'LINEST VARS'!$E$62*(8*0.5)+'LINEST VARS'!$D$62*(8*$DV97)+'LINEST VARS'!$C$62*($EQ$80*0.5)+'LINEST VARS'!$B$62*($EQ$80*$DV97)+'LINEST VARS'!$A$62*(0.5*$DV97)</f>
        <v>29.500000000000185</v>
      </c>
    </row>
    <row r="98" spans="2:147" ht="15" customHeight="1" x14ac:dyDescent="0.25">
      <c r="B98" s="45">
        <v>8.42</v>
      </c>
      <c r="C98" s="46">
        <f>'LINEST VARS'!$U$60+'LINEST VARS'!$T$60*($C$80)+'LINEST VARS'!$S$60*($B98)+'LINEST VARS'!$R$60*(4)+'LINEST VARS'!$Q$60*(0.5)+'LINEST VARS'!$P$60*(12.73)+'LINEST VARS'!$O$60*($C$80^2)+'LINEST VARS'!$N$60*($B98^2)+'LINEST VARS'!$M$60*(4^2)+'LINEST VARS'!$L$60*(0.5^2)+'LINEST VARS'!$K$60*(12.73^2)+'LINEST VARS'!$J$60*($C$80*$B98)+'LINEST VARS'!$I$60*($C$80*4)+'LINEST VARS'!$H$60*($C$80*0.5)+'LINEST VARS'!$G$60*($C$80*12.73)+'LINEST VARS'!$F$60*($B98*4)+'LINEST VARS'!$E$60*($B98*0.5)+'LINEST VARS'!$D$60*($B98*12.73)+'LINEST VARS'!$C$60*(4*0.5)+'LINEST VARS'!$B$60*(4*12.73)+'LINEST VARS'!$A$60*(0.5*12.73)</f>
        <v>40.460000000000015</v>
      </c>
      <c r="D98" s="46">
        <f>'LINEST VARS'!$U$60+'LINEST VARS'!$T$60*($D$80)+'LINEST VARS'!$S$60*($B98)+'LINEST VARS'!$R$60*(4)+'LINEST VARS'!$Q$60*(0.5)+'LINEST VARS'!$P$60*(12.73)+'LINEST VARS'!$O$60*($D$80^2)+'LINEST VARS'!$N$60*($B98^2)+'LINEST VARS'!$M$60*(4^2)+'LINEST VARS'!$L$60*(0.5^2)+'LINEST VARS'!$K$60*(12.73^2)+'LINEST VARS'!$J$60*($D$80*$B98)+'LINEST VARS'!$I$60*($D$80*4)+'LINEST VARS'!$H$60*($D$80*0.5)+'LINEST VARS'!$G$60*($D$80*12.73)+'LINEST VARS'!$F$60*($B98*4)+'LINEST VARS'!$E$60*($B98*0.5)+'LINEST VARS'!$D$60*($B98*12.73)+'LINEST VARS'!$C$60*(4*0.5)+'LINEST VARS'!$B$60*(4*12.73)+'LINEST VARS'!$A$60*(0.5*12.73)</f>
        <v>40.460000000000008</v>
      </c>
      <c r="E98" s="46">
        <f>'LINEST VARS'!$U$60+'LINEST VARS'!$T$60*($E$80)+'LINEST VARS'!$S$60*($B98)+'LINEST VARS'!$R$60*(4)+'LINEST VARS'!$Q$60*(0.5)+'LINEST VARS'!$P$60*(12.73)+'LINEST VARS'!$O$60*($E$80^2)+'LINEST VARS'!$N$60*($B98^2)+'LINEST VARS'!$M$60*(4^2)+'LINEST VARS'!$L$60*(0.5^2)+'LINEST VARS'!$K$60*(12.73^2)+'LINEST VARS'!$J$60*($E$80*$B98)+'LINEST VARS'!$I$60*($E$80*4)+'LINEST VARS'!$H$60*($E$80*0.5)+'LINEST VARS'!$G$60*($E$80*12.73)+'LINEST VARS'!$F$60*($B98*4)+'LINEST VARS'!$E$60*($B98*0.5)+'LINEST VARS'!$D$60*($B98*12.73)+'LINEST VARS'!$C$60*(4*0.5)+'LINEST VARS'!$B$60*(4*12.73)+'LINEST VARS'!$A$60*(0.5*12.73)</f>
        <v>40.46</v>
      </c>
      <c r="F98" s="46">
        <f>'LINEST VARS'!$U$60+'LINEST VARS'!$T$60*($F$80)+'LINEST VARS'!$S$60*($B98)+'LINEST VARS'!$R$60*(4)+'LINEST VARS'!$Q$60*(0.5)+'LINEST VARS'!$P$60*(12.73)+'LINEST VARS'!$O$60*($F$80^2)+'LINEST VARS'!$N$60*($B98^2)+'LINEST VARS'!$M$60*(4^2)+'LINEST VARS'!$L$60*(0.5^2)+'LINEST VARS'!$K$60*(12.73^2)+'LINEST VARS'!$J$60*($F$80*$B98)+'LINEST VARS'!$I$60*($F$80*4)+'LINEST VARS'!$H$60*($F$80*0.5)+'LINEST VARS'!$G$60*($F$80*12.73)+'LINEST VARS'!$F$60*($B98*4)+'LINEST VARS'!$E$60*($B98*0.5)+'LINEST VARS'!$D$60*($B98*12.73)+'LINEST VARS'!$C$60*(4*0.5)+'LINEST VARS'!$B$60*(4*12.73)+'LINEST VARS'!$A$60*(0.5*12.73)</f>
        <v>40.46</v>
      </c>
      <c r="G98" s="46">
        <f>'LINEST VARS'!$U$60+'LINEST VARS'!$T$60*($G$80)+'LINEST VARS'!$S$60*($B98)+'LINEST VARS'!$R$60*(4)+'LINEST VARS'!$Q$60*(0.5)+'LINEST VARS'!$P$60*(12.73)+'LINEST VARS'!$O$60*($G$80^2)+'LINEST VARS'!$N$60*($B98^2)+'LINEST VARS'!$M$60*(4^2)+'LINEST VARS'!$L$60*(0.5^2)+'LINEST VARS'!$K$60*(12.73^2)+'LINEST VARS'!$J$60*($G$80*$B98)+'LINEST VARS'!$I$60*($G$80*4)+'LINEST VARS'!$H$60*($G$80*0.5)+'LINEST VARS'!$G$60*($G$80*12.73)+'LINEST VARS'!$F$60*($B98*4)+'LINEST VARS'!$E$60*($B98*0.5)+'LINEST VARS'!$D$60*($B98*12.73)+'LINEST VARS'!$C$60*(4*0.5)+'LINEST VARS'!$B$60*(4*12.73)+'LINEST VARS'!$A$60*(0.5*12.73)</f>
        <v>40.46</v>
      </c>
      <c r="H98" s="46">
        <f>'LINEST VARS'!$U$60+'LINEST VARS'!$T$60*($H$80)+'LINEST VARS'!$S$60*($B98)+'LINEST VARS'!$R$60*(4)+'LINEST VARS'!$Q$60*(0.5)+'LINEST VARS'!$P$60*(12.73)+'LINEST VARS'!$O$60*($H$80^2)+'LINEST VARS'!$N$60*($B98^2)+'LINEST VARS'!$M$60*(4^2)+'LINEST VARS'!$L$60*(0.5^2)+'LINEST VARS'!$K$60*(12.73^2)+'LINEST VARS'!$J$60*($H$80*$B98)+'LINEST VARS'!$I$60*($H$80*4)+'LINEST VARS'!$H$60*($H$80*0.5)+'LINEST VARS'!$G$60*($H$80*12.73)+'LINEST VARS'!$F$60*($B98*4)+'LINEST VARS'!$E$60*($B98*0.5)+'LINEST VARS'!$D$60*($B98*12.73)+'LINEST VARS'!$C$60*(4*0.5)+'LINEST VARS'!$B$60*(4*12.73)+'LINEST VARS'!$A$60*(0.5*12.73)</f>
        <v>40.46</v>
      </c>
      <c r="I98" s="46">
        <f>'LINEST VARS'!$U$60+'LINEST VARS'!$T$60*($I$80)+'LINEST VARS'!$S$60*($B98)+'LINEST VARS'!$R$60*(4)+'LINEST VARS'!$Q$60*(0.5)+'LINEST VARS'!$P$60*(12.73)+'LINEST VARS'!$O$60*($I$80^2)+'LINEST VARS'!$N$60*($B98^2)+'LINEST VARS'!$M$60*(4^2)+'LINEST VARS'!$L$60*(0.5^2)+'LINEST VARS'!$K$60*(12.73^2)+'LINEST VARS'!$J$60*($I$80*$B98)+'LINEST VARS'!$I$60*($I$80*4)+'LINEST VARS'!$H$60*($I$80*0.5)+'LINEST VARS'!$G$60*($I$80*12.73)+'LINEST VARS'!$F$60*($B98*4)+'LINEST VARS'!$E$60*($B98*0.5)+'LINEST VARS'!$D$60*($B98*12.73)+'LINEST VARS'!$C$60*(4*0.5)+'LINEST VARS'!$B$60*(4*12.73)+'LINEST VARS'!$A$60*(0.5*12.73)</f>
        <v>40.460000000000008</v>
      </c>
      <c r="J98" s="46">
        <f>'LINEST VARS'!$U$60+'LINEST VARS'!$T$60*($J$80)+'LINEST VARS'!$S$60*($B98)+'LINEST VARS'!$R$60*(4)+'LINEST VARS'!$Q$60*(0.5)+'LINEST VARS'!$P$60*(12.73)+'LINEST VARS'!$O$60*($J$80^2)+'LINEST VARS'!$N$60*($B98^2)+'LINEST VARS'!$M$60*(4^2)+'LINEST VARS'!$L$60*(0.5^2)+'LINEST VARS'!$K$60*(12.73^2)+'LINEST VARS'!$J$60*($J$80*$B98)+'LINEST VARS'!$I$60*($J$80*4)+'LINEST VARS'!$H$60*($J$80*0.5)+'LINEST VARS'!$G$60*($J$80*12.73)+'LINEST VARS'!$F$60*($B98*4)+'LINEST VARS'!$E$60*($B98*0.5)+'LINEST VARS'!$D$60*($B98*12.73)+'LINEST VARS'!$C$60*(4*0.5)+'LINEST VARS'!$B$60*(4*12.73)+'LINEST VARS'!$A$60*(0.5*12.73)</f>
        <v>40.460000000000008</v>
      </c>
      <c r="K98" s="46">
        <f>'LINEST VARS'!$U$60+'LINEST VARS'!$T$60*($K$80)+'LINEST VARS'!$S$60*($B98)+'LINEST VARS'!$R$60*(4)+'LINEST VARS'!$Q$60*(0.5)+'LINEST VARS'!$P$60*(12.73)+'LINEST VARS'!$O$60*($K$80^2)+'LINEST VARS'!$N$60*($B98^2)+'LINEST VARS'!$M$60*(4^2)+'LINEST VARS'!$L$60*(0.5^2)+'LINEST VARS'!$K$60*(12.73^2)+'LINEST VARS'!$J$60*($K$80*$B98)+'LINEST VARS'!$I$60*($K$80*4)+'LINEST VARS'!$H$60*($K$80*0.5)+'LINEST VARS'!$G$60*($K$80*12.73)+'LINEST VARS'!$F$60*($B98*4)+'LINEST VARS'!$E$60*($B98*0.5)+'LINEST VARS'!$D$60*($B98*12.73)+'LINEST VARS'!$C$60*(4*0.5)+'LINEST VARS'!$B$60*(4*12.73)+'LINEST VARS'!$A$60*(0.5*12.73)</f>
        <v>40.460000000000008</v>
      </c>
      <c r="L98" s="46">
        <f>'LINEST VARS'!$U$60+'LINEST VARS'!$T$60*($L$80)+'LINEST VARS'!$S$60*($B98)+'LINEST VARS'!$R$60*(4)+'LINEST VARS'!$Q$60*(0.5)+'LINEST VARS'!$P$60*(12.73)+'LINEST VARS'!$O$60*($L$80^2)+'LINEST VARS'!$N$60*($B98^2)+'LINEST VARS'!$M$60*(4^2)+'LINEST VARS'!$L$60*(0.5^2)+'LINEST VARS'!$K$60*(12.73^2)+'LINEST VARS'!$J$60*($L$80*$B98)+'LINEST VARS'!$I$60*($L$80*4)+'LINEST VARS'!$H$60*($L$80*0.5)+'LINEST VARS'!$G$60*($L$80*12.73)+'LINEST VARS'!$F$60*($B98*4)+'LINEST VARS'!$E$60*($B98*0.5)+'LINEST VARS'!$D$60*($B98*12.73)+'LINEST VARS'!$C$60*(4*0.5)+'LINEST VARS'!$B$60*(4*12.73)+'LINEST VARS'!$A$60*(0.5*12.73)</f>
        <v>40.460000000000008</v>
      </c>
      <c r="M98" s="46">
        <f>'LINEST VARS'!$U$60+'LINEST VARS'!$T$60*($M$80)+'LINEST VARS'!$S$60*($B98)+'LINEST VARS'!$R$60*(4)+'LINEST VARS'!$Q$60*(0.5)+'LINEST VARS'!$P$60*(12.73)+'LINEST VARS'!$O$60*($M$80^2)+'LINEST VARS'!$N$60*($B98^2)+'LINEST VARS'!$M$60*(4^2)+'LINEST VARS'!$L$60*(0.5^2)+'LINEST VARS'!$K$60*(12.73^2)+'LINEST VARS'!$J$60*($M$80*$B98)+'LINEST VARS'!$I$60*($M$80*4)+'LINEST VARS'!$H$60*($M$80*0.5)+'LINEST VARS'!$G$60*($M$80*12.73)+'LINEST VARS'!$F$60*($B98*4)+'LINEST VARS'!$E$60*($B98*0.5)+'LINEST VARS'!$D$60*($B98*12.73)+'LINEST VARS'!$C$60*(4*0.5)+'LINEST VARS'!$B$60*(4*12.73)+'LINEST VARS'!$A$60*(0.5*12.73)</f>
        <v>40.460000000000008</v>
      </c>
      <c r="N98" s="46">
        <f>'LINEST VARS'!$U$60+'LINEST VARS'!$T$60*($N$80)+'LINEST VARS'!$S$60*($B98)+'LINEST VARS'!$R$60*(4)+'LINEST VARS'!$Q$60*(0.5)+'LINEST VARS'!$P$60*(12.73)+'LINEST VARS'!$O$60*($N$80^2)+'LINEST VARS'!$N$60*($B98^2)+'LINEST VARS'!$M$60*(4^2)+'LINEST VARS'!$L$60*(0.5^2)+'LINEST VARS'!$K$60*(12.73^2)+'LINEST VARS'!$J$60*($N$80*$B98)+'LINEST VARS'!$I$60*($N$80*4)+'LINEST VARS'!$H$60*($N$80*0.5)+'LINEST VARS'!$G$60*($N$80*12.73)+'LINEST VARS'!$F$60*($B98*4)+'LINEST VARS'!$E$60*($B98*0.5)+'LINEST VARS'!$D$60*($B98*12.73)+'LINEST VARS'!$C$60*(4*0.5)+'LINEST VARS'!$B$60*(4*12.73)+'LINEST VARS'!$A$60*(0.5*12.73)</f>
        <v>40.46</v>
      </c>
      <c r="O98" s="46">
        <f>'LINEST VARS'!$U$60+'LINEST VARS'!$T$60*($O$80)+'LINEST VARS'!$S$60*($B98)+'LINEST VARS'!$R$60*(4)+'LINEST VARS'!$Q$60*(0.5)+'LINEST VARS'!$P$60*(12.73)+'LINEST VARS'!$O$60*($O$80^2)+'LINEST VARS'!$N$60*($B98^2)+'LINEST VARS'!$M$60*(4^2)+'LINEST VARS'!$L$60*(0.5^2)+'LINEST VARS'!$K$60*(12.73^2)+'LINEST VARS'!$J$60*($O$80*$B98)+'LINEST VARS'!$I$60*($O$80*4)+'LINEST VARS'!$H$60*($O$80*0.5)+'LINEST VARS'!$G$60*($O$80*12.73)+'LINEST VARS'!$F$60*($B98*4)+'LINEST VARS'!$E$60*($B98*0.5)+'LINEST VARS'!$D$60*($B98*12.73)+'LINEST VARS'!$C$60*(4*0.5)+'LINEST VARS'!$B$60*(4*12.73)+'LINEST VARS'!$A$60*(0.5*12.73)</f>
        <v>40.460000000000008</v>
      </c>
      <c r="P98" s="46">
        <f>'LINEST VARS'!$U$60+'LINEST VARS'!$T$60*($P$80)+'LINEST VARS'!$S$60*($B98)+'LINEST VARS'!$R$60*(4)+'LINEST VARS'!$Q$60*(0.5)+'LINEST VARS'!$P$60*(12.73)+'LINEST VARS'!$O$60*($P$80^2)+'LINEST VARS'!$N$60*($B98^2)+'LINEST VARS'!$M$60*(4^2)+'LINEST VARS'!$L$60*(0.5^2)+'LINEST VARS'!$K$60*(12.73^2)+'LINEST VARS'!$J$60*($P$80*$B98)+'LINEST VARS'!$I$60*($P$80*4)+'LINEST VARS'!$H$60*($P$80*0.5)+'LINEST VARS'!$G$60*($P$80*12.73)+'LINEST VARS'!$F$60*($B98*4)+'LINEST VARS'!$E$60*($B98*0.5)+'LINEST VARS'!$D$60*($B98*12.73)+'LINEST VARS'!$C$60*(4*0.5)+'LINEST VARS'!$B$60*(4*12.73)+'LINEST VARS'!$A$60*(0.5*12.73)</f>
        <v>40.460000000000008</v>
      </c>
      <c r="Q98" s="46">
        <f>'LINEST VARS'!$U$60+'LINEST VARS'!$T$60*($Q$80)+'LINEST VARS'!$S$60*($B98)+'LINEST VARS'!$R$60*(4)+'LINEST VARS'!$Q$60*(0.5)+'LINEST VARS'!$P$60*(12.73)+'LINEST VARS'!$O$60*($Q$80^2)+'LINEST VARS'!$N$60*($B98^2)+'LINEST VARS'!$M$60*(4^2)+'LINEST VARS'!$L$60*(0.5^2)+'LINEST VARS'!$K$60*(12.73^2)+'LINEST VARS'!$J$60*($Q$80*$B98)+'LINEST VARS'!$I$60*($Q$80*4)+'LINEST VARS'!$H$60*($Q$80*0.5)+'LINEST VARS'!$G$60*($Q$80*12.73)+'LINEST VARS'!$F$60*($B98*4)+'LINEST VARS'!$E$60*($B98*0.5)+'LINEST VARS'!$D$60*($B98*12.73)+'LINEST VARS'!$C$60*(4*0.5)+'LINEST VARS'!$B$60*(4*12.73)+'LINEST VARS'!$A$60*(0.5*12.73)</f>
        <v>40.460000000000008</v>
      </c>
      <c r="R98" s="46">
        <f>'LINEST VARS'!$U$60+'LINEST VARS'!$T$60*($R$80)+'LINEST VARS'!$S$60*($B98)+'LINEST VARS'!$R$60*(4)+'LINEST VARS'!$Q$60*(0.5)+'LINEST VARS'!$P$60*(12.73)+'LINEST VARS'!$O$60*($R$80^2)+'LINEST VARS'!$N$60*($B98^2)+'LINEST VARS'!$M$60*(4^2)+'LINEST VARS'!$L$60*(0.5^2)+'LINEST VARS'!$K$60*(12.73^2)+'LINEST VARS'!$J$60*($R$80*$B98)+'LINEST VARS'!$I$60*($R$80*4)+'LINEST VARS'!$H$60*($R$80*0.5)+'LINEST VARS'!$G$60*($R$80*12.73)+'LINEST VARS'!$F$60*($B98*4)+'LINEST VARS'!$E$60*($B98*0.5)+'LINEST VARS'!$D$60*($B98*12.73)+'LINEST VARS'!$C$60*(4*0.5)+'LINEST VARS'!$B$60*(4*12.73)+'LINEST VARS'!$A$60*(0.5*12.73)</f>
        <v>40.460000000000008</v>
      </c>
      <c r="S98" s="46">
        <f>'LINEST VARS'!$U$60+'LINEST VARS'!$T$60*($S$80)+'LINEST VARS'!$S$60*($B98)+'LINEST VARS'!$R$60*(4)+'LINEST VARS'!$Q$60*(0.5)+'LINEST VARS'!$P$60*(12.73)+'LINEST VARS'!$O$60*($S$80^2)+'LINEST VARS'!$N$60*($B98^2)+'LINEST VARS'!$M$60*(4^2)+'LINEST VARS'!$L$60*(0.5^2)+'LINEST VARS'!$K$60*(12.73^2)+'LINEST VARS'!$J$60*($S$80*$B98)+'LINEST VARS'!$I$60*($S$80*4)+'LINEST VARS'!$H$60*($S$80*0.5)+'LINEST VARS'!$G$60*($S$80*12.73)+'LINEST VARS'!$F$60*($B98*4)+'LINEST VARS'!$E$60*($B98*0.5)+'LINEST VARS'!$D$60*($B98*12.73)+'LINEST VARS'!$C$60*(4*0.5)+'LINEST VARS'!$B$60*(4*12.73)+'LINEST VARS'!$A$60*(0.5*12.73)</f>
        <v>40.46</v>
      </c>
      <c r="T98" s="46">
        <f>'LINEST VARS'!$U$60+'LINEST VARS'!$T$60*($T$80)+'LINEST VARS'!$S$60*($B98)+'LINEST VARS'!$R$60*(4)+'LINEST VARS'!$Q$60*(0.5)+'LINEST VARS'!$P$60*(12.73)+'LINEST VARS'!$O$60*($T$80^2)+'LINEST VARS'!$N$60*($B98^2)+'LINEST VARS'!$M$60*(4^2)+'LINEST VARS'!$L$60*(0.5^2)+'LINEST VARS'!$K$60*(12.73^2)+'LINEST VARS'!$J$60*($T$80*$B98)+'LINEST VARS'!$I$60*($T$80*4)+'LINEST VARS'!$H$60*($T$80*0.5)+'LINEST VARS'!$G$60*($T$80*12.73)+'LINEST VARS'!$F$60*($B98*4)+'LINEST VARS'!$E$60*($B98*0.5)+'LINEST VARS'!$D$60*($B98*12.73)+'LINEST VARS'!$C$60*(4*0.5)+'LINEST VARS'!$B$60*(4*12.73)+'LINEST VARS'!$A$60*(0.5*12.73)</f>
        <v>40.46</v>
      </c>
      <c r="U98" s="46">
        <f>'LINEST VARS'!$U$60+'LINEST VARS'!$T$60*($U$80)+'LINEST VARS'!$S$60*($B98)+'LINEST VARS'!$R$60*(4)+'LINEST VARS'!$Q$60*(0.5)+'LINEST VARS'!$P$60*(12.73)+'LINEST VARS'!$O$60*($U$80^2)+'LINEST VARS'!$N$60*($B98^2)+'LINEST VARS'!$M$60*(4^2)+'LINEST VARS'!$L$60*(0.5^2)+'LINEST VARS'!$K$60*(12.73^2)+'LINEST VARS'!$J$60*($U$80*$B98)+'LINEST VARS'!$I$60*($U$80*4)+'LINEST VARS'!$H$60*($U$80*0.5)+'LINEST VARS'!$G$60*($U$80*12.73)+'LINEST VARS'!$F$60*($B98*4)+'LINEST VARS'!$E$60*($B98*0.5)+'LINEST VARS'!$D$60*($B98*12.73)+'LINEST VARS'!$C$60*(4*0.5)+'LINEST VARS'!$B$60*(4*12.73)+'LINEST VARS'!$A$60*(0.5*12.73)</f>
        <v>40.460000000000008</v>
      </c>
      <c r="V98" s="46">
        <f>'LINEST VARS'!$U$60+'LINEST VARS'!$T$60*($V$80)+'LINEST VARS'!$S$60*($B98)+'LINEST VARS'!$R$60*(4)+'LINEST VARS'!$Q$60*(0.5)+'LINEST VARS'!$P$60*(12.73)+'LINEST VARS'!$O$60*($V$80^2)+'LINEST VARS'!$N$60*($B98^2)+'LINEST VARS'!$M$60*(4^2)+'LINEST VARS'!$L$60*(0.5^2)+'LINEST VARS'!$K$60*(12.73^2)+'LINEST VARS'!$J$60*($V$80*$B98)+'LINEST VARS'!$I$60*($V$80*4)+'LINEST VARS'!$H$60*($V$80*0.5)+'LINEST VARS'!$G$60*($V$80*12.73)+'LINEST VARS'!$F$60*($B98*4)+'LINEST VARS'!$E$60*($B98*0.5)+'LINEST VARS'!$D$60*($B98*12.73)+'LINEST VARS'!$C$60*(4*0.5)+'LINEST VARS'!$B$60*(4*12.73)+'LINEST VARS'!$A$60*(0.5*12.73)</f>
        <v>40.460000000000008</v>
      </c>
      <c r="W98" s="47">
        <f>'LINEST VARS'!$U$60+'LINEST VARS'!$T$60*($W$80)+'LINEST VARS'!$S$60*($B98)+'LINEST VARS'!$R$60*(4)+'LINEST VARS'!$Q$60*(0.5)+'LINEST VARS'!$P$60*(12.73)+'LINEST VARS'!$O$60*($W$80^2)+'LINEST VARS'!$N$60*($B98^2)+'LINEST VARS'!$M$60*(4^2)+'LINEST VARS'!$L$60*(0.5^2)+'LINEST VARS'!$K$60*(12.73^2)+'LINEST VARS'!$J$60*($W$80*$B98)+'LINEST VARS'!$I$60*($W$80*4)+'LINEST VARS'!$H$60*($W$80*0.5)+'LINEST VARS'!$G$60*($W$80*12.73)+'LINEST VARS'!$F$60*($B98*4)+'LINEST VARS'!$E$60*($B98*0.5)+'LINEST VARS'!$D$60*($B98*12.73)+'LINEST VARS'!$C$60*(4*0.5)+'LINEST VARS'!$B$60*(4*12.73)+'LINEST VARS'!$A$60*(0.5*12.73)</f>
        <v>40.460000000000008</v>
      </c>
      <c r="Z98" s="45">
        <v>8.42</v>
      </c>
      <c r="AA98" s="55">
        <f>'LINEST VARS'!$U$62+'LINEST VARS'!$T$62*($AA$80)+'LINEST VARS'!$S$62*($Z98)+'LINEST VARS'!$R$62*(4)+'LINEST VARS'!$Q$62*(0.5)+'LINEST VARS'!$P$62*(12.73)+'LINEST VARS'!$O$62*($AA$80^2)+'LINEST VARS'!$N$62*($Z98^2)+'LINEST VARS'!$M$62*(4^2)+'LINEST VARS'!$L$62*(0.5^2)+'LINEST VARS'!$K$62*(12.73^2)+'LINEST VARS'!$J$62*($AA$80*$Z98)+'LINEST VARS'!$I$62*($AA$80*4)+'LINEST VARS'!$H$62*($AA$80*0.5)+'LINEST VARS'!$G$62*($AA$80*12.73)+'LINEST VARS'!$F$62*($Z98*4)+'LINEST VARS'!$E$62*($Z98*0.5)+'LINEST VARS'!$D$62*($Z98*12.73)+'LINEST VARS'!$C$62*(4*0.5)+'LINEST VARS'!$B$62*(4*12.73)+'LINEST VARS'!$A$62*(0.5*12.73)</f>
        <v>269.5</v>
      </c>
      <c r="AB98" s="55">
        <f>'LINEST VARS'!$U$62+'LINEST VARS'!$T$62*($AB$80)+'LINEST VARS'!$S$62*($Z98)+'LINEST VARS'!$R$62*(4)+'LINEST VARS'!$Q$62*(0.5)+'LINEST VARS'!$P$62*(12.73)+'LINEST VARS'!$O$62*($AB$80^2)+'LINEST VARS'!$N$62*($Z98^2)+'LINEST VARS'!$M$62*(4^2)+'LINEST VARS'!$L$62*(0.5^2)+'LINEST VARS'!$K$62*(12.73^2)+'LINEST VARS'!$J$62*($AB$80*$Z98)+'LINEST VARS'!$I$62*($AB$80*4)+'LINEST VARS'!$H$62*($AB$80*0.5)+'LINEST VARS'!$G$62*($AB$80*12.73)+'LINEST VARS'!$F$62*($Z98*4)+'LINEST VARS'!$E$62*($Z98*0.5)+'LINEST VARS'!$D$62*($Z98*12.73)+'LINEST VARS'!$C$62*(4*0.5)+'LINEST VARS'!$B$62*(4*12.73)+'LINEST VARS'!$A$62*(0.5*12.73)</f>
        <v>269.5</v>
      </c>
      <c r="AC98" s="55">
        <f>'LINEST VARS'!$U$62+'LINEST VARS'!$T$62*($AC$80)+'LINEST VARS'!$S$62*($Z98)+'LINEST VARS'!$R$62*(4)+'LINEST VARS'!$Q$62*(0.5)+'LINEST VARS'!$P$62*(12.73)+'LINEST VARS'!$O$62*($AC$80^2)+'LINEST VARS'!$N$62*($Z98^2)+'LINEST VARS'!$M$62*(4^2)+'LINEST VARS'!$L$62*(0.5^2)+'LINEST VARS'!$K$62*(12.73^2)+'LINEST VARS'!$J$62*($AC$80*$Z98)+'LINEST VARS'!$I$62*($AC$80*4)+'LINEST VARS'!$H$62*($AC$80*0.5)+'LINEST VARS'!$G$62*($AC$80*12.73)+'LINEST VARS'!$F$62*($Z98*4)+'LINEST VARS'!$E$62*($Z98*0.5)+'LINEST VARS'!$D$62*($Z98*12.73)+'LINEST VARS'!$C$62*(4*0.5)+'LINEST VARS'!$B$62*(4*12.73)+'LINEST VARS'!$A$62*(0.5*12.73)</f>
        <v>269.49999999999994</v>
      </c>
      <c r="AD98" s="55">
        <f>'LINEST VARS'!$U$62+'LINEST VARS'!$T$62*($AD$80)+'LINEST VARS'!$S$62*($Z98)+'LINEST VARS'!$R$62*(4)+'LINEST VARS'!$Q$62*(0.5)+'LINEST VARS'!$P$62*(12.73)+'LINEST VARS'!$O$62*($AD$80^2)+'LINEST VARS'!$N$62*($Z98^2)+'LINEST VARS'!$M$62*(4^2)+'LINEST VARS'!$L$62*(0.5^2)+'LINEST VARS'!$K$62*(12.73^2)+'LINEST VARS'!$J$62*($AD$80*$Z98)+'LINEST VARS'!$I$62*($AD$80*4)+'LINEST VARS'!$H$62*($AD$80*0.5)+'LINEST VARS'!$G$62*($AD$80*12.73)+'LINEST VARS'!$F$62*($Z98*4)+'LINEST VARS'!$E$62*($Z98*0.5)+'LINEST VARS'!$D$62*($Z98*12.73)+'LINEST VARS'!$C$62*(4*0.5)+'LINEST VARS'!$B$62*(4*12.73)+'LINEST VARS'!$A$62*(0.5*12.73)</f>
        <v>269.5</v>
      </c>
      <c r="AE98" s="55">
        <f>'LINEST VARS'!$U$62+'LINEST VARS'!$T$62*($AE$80)+'LINEST VARS'!$S$62*($Z98)+'LINEST VARS'!$R$62*(4)+'LINEST VARS'!$Q$62*(0.5)+'LINEST VARS'!$P$62*(12.73)+'LINEST VARS'!$O$62*($AE$80^2)+'LINEST VARS'!$N$62*($Z98^2)+'LINEST VARS'!$M$62*(4^2)+'LINEST VARS'!$L$62*(0.5^2)+'LINEST VARS'!$K$62*(12.73^2)+'LINEST VARS'!$J$62*($AE$80*$Z98)+'LINEST VARS'!$I$62*($AE$80*4)+'LINEST VARS'!$H$62*($AE$80*0.5)+'LINEST VARS'!$G$62*($AE$80*12.73)+'LINEST VARS'!$F$62*($Z98*4)+'LINEST VARS'!$E$62*($Z98*0.5)+'LINEST VARS'!$D$62*($Z98*12.73)+'LINEST VARS'!$C$62*(4*0.5)+'LINEST VARS'!$B$62*(4*12.73)+'LINEST VARS'!$A$62*(0.5*12.73)</f>
        <v>269.5</v>
      </c>
      <c r="AF98" s="55">
        <f>'LINEST VARS'!$U$62+'LINEST VARS'!$T$62*($AF$80)+'LINEST VARS'!$S$62*($Z98)+'LINEST VARS'!$R$62*(4)+'LINEST VARS'!$Q$62*(0.5)+'LINEST VARS'!$P$62*(12.73)+'LINEST VARS'!$O$62*($AF$80^2)+'LINEST VARS'!$N$62*($Z98^2)+'LINEST VARS'!$M$62*(4^2)+'LINEST VARS'!$L$62*(0.5^2)+'LINEST VARS'!$K$62*(12.73^2)+'LINEST VARS'!$J$62*($AF$80*$Z98)+'LINEST VARS'!$I$62*($AF$80*4)+'LINEST VARS'!$H$62*($AF$80*0.5)+'LINEST VARS'!$G$62*($AF$80*12.73)+'LINEST VARS'!$F$62*($Z98*4)+'LINEST VARS'!$E$62*($Z98*0.5)+'LINEST VARS'!$D$62*($Z98*12.73)+'LINEST VARS'!$C$62*(4*0.5)+'LINEST VARS'!$B$62*(4*12.73)+'LINEST VARS'!$A$62*(0.5*12.73)</f>
        <v>269.49999999999994</v>
      </c>
      <c r="AG98" s="55">
        <f>'LINEST VARS'!$U$62+'LINEST VARS'!$T$62*($AG$80)+'LINEST VARS'!$S$62*($Z98)+'LINEST VARS'!$R$62*(4)+'LINEST VARS'!$Q$62*(0.5)+'LINEST VARS'!$P$62*(12.73)+'LINEST VARS'!$O$62*($AG$80^2)+'LINEST VARS'!$N$62*($Z98^2)+'LINEST VARS'!$M$62*(4^2)+'LINEST VARS'!$L$62*(0.5^2)+'LINEST VARS'!$K$62*(12.73^2)+'LINEST VARS'!$J$62*($AG$80*$Z98)+'LINEST VARS'!$I$62*($AG$80*4)+'LINEST VARS'!$H$62*($AG$80*0.5)+'LINEST VARS'!$G$62*($AG$80*12.73)+'LINEST VARS'!$F$62*($Z98*4)+'LINEST VARS'!$E$62*($Z98*0.5)+'LINEST VARS'!$D$62*($Z98*12.73)+'LINEST VARS'!$C$62*(4*0.5)+'LINEST VARS'!$B$62*(4*12.73)+'LINEST VARS'!$A$62*(0.5*12.73)</f>
        <v>269.5</v>
      </c>
      <c r="AH98" s="55">
        <f>'LINEST VARS'!$U$62+'LINEST VARS'!$T$62*($AH$80)+'LINEST VARS'!$S$62*($Z98)+'LINEST VARS'!$R$62*(4)+'LINEST VARS'!$Q$62*(0.5)+'LINEST VARS'!$P$62*(12.73)+'LINEST VARS'!$O$62*($AH$80^2)+'LINEST VARS'!$N$62*($Z98^2)+'LINEST VARS'!$M$62*(4^2)+'LINEST VARS'!$L$62*(0.5^2)+'LINEST VARS'!$K$62*(12.73^2)+'LINEST VARS'!$J$62*($AH$80*$Z98)+'LINEST VARS'!$I$62*($AH$80*4)+'LINEST VARS'!$H$62*($AH$80*0.5)+'LINEST VARS'!$G$62*($AH$80*12.73)+'LINEST VARS'!$F$62*($Z98*4)+'LINEST VARS'!$E$62*($Z98*0.5)+'LINEST VARS'!$D$62*($Z98*12.73)+'LINEST VARS'!$C$62*(4*0.5)+'LINEST VARS'!$B$62*(4*12.73)+'LINEST VARS'!$A$62*(0.5*12.73)</f>
        <v>269.49999999999994</v>
      </c>
      <c r="AI98" s="55">
        <f>'LINEST VARS'!$U$62+'LINEST VARS'!$T$62*($AI$80)+'LINEST VARS'!$S$62*($Z98)+'LINEST VARS'!$R$62*(4)+'LINEST VARS'!$Q$62*(0.5)+'LINEST VARS'!$P$62*(12.73)+'LINEST VARS'!$O$62*($AI$80^2)+'LINEST VARS'!$N$62*($Z98^2)+'LINEST VARS'!$M$62*(4^2)+'LINEST VARS'!$L$62*(0.5^2)+'LINEST VARS'!$K$62*(12.73^2)+'LINEST VARS'!$J$62*($AI$80*$Z98)+'LINEST VARS'!$I$62*($AI$80*4)+'LINEST VARS'!$H$62*($AI$80*0.5)+'LINEST VARS'!$G$62*($AI$80*12.73)+'LINEST VARS'!$F$62*($Z98*4)+'LINEST VARS'!$E$62*($Z98*0.5)+'LINEST VARS'!$D$62*($Z98*12.73)+'LINEST VARS'!$C$62*(4*0.5)+'LINEST VARS'!$B$62*(4*12.73)+'LINEST VARS'!$A$62*(0.5*12.73)</f>
        <v>269.49999999999994</v>
      </c>
      <c r="AJ98" s="55">
        <f>'LINEST VARS'!$U$62+'LINEST VARS'!$T$62*($AJ$80)+'LINEST VARS'!$S$62*($Z98)+'LINEST VARS'!$R$62*(4)+'LINEST VARS'!$Q$62*(0.5)+'LINEST VARS'!$P$62*(12.73)+'LINEST VARS'!$O$62*($AJ$80^2)+'LINEST VARS'!$N$62*($Z98^2)+'LINEST VARS'!$M$62*(4^2)+'LINEST VARS'!$L$62*(0.5^2)+'LINEST VARS'!$K$62*(12.73^2)+'LINEST VARS'!$J$62*($AJ$80*$Z98)+'LINEST VARS'!$I$62*($AJ$80*4)+'LINEST VARS'!$H$62*($AJ$80*0.5)+'LINEST VARS'!$G$62*($AJ$80*12.73)+'LINEST VARS'!$F$62*($Z98*4)+'LINEST VARS'!$E$62*($Z98*0.5)+'LINEST VARS'!$D$62*($Z98*12.73)+'LINEST VARS'!$C$62*(4*0.5)+'LINEST VARS'!$B$62*(4*12.73)+'LINEST VARS'!$A$62*(0.5*12.73)</f>
        <v>269.5</v>
      </c>
      <c r="AK98" s="55">
        <f>'LINEST VARS'!$U$62+'LINEST VARS'!$T$62*($AK$80)+'LINEST VARS'!$S$62*($Z98)+'LINEST VARS'!$R$62*(4)+'LINEST VARS'!$Q$62*(0.5)+'LINEST VARS'!$P$62*(12.73)+'LINEST VARS'!$O$62*($AK$80^2)+'LINEST VARS'!$N$62*($Z98^2)+'LINEST VARS'!$M$62*(4^2)+'LINEST VARS'!$L$62*(0.5^2)+'LINEST VARS'!$K$62*(12.73^2)+'LINEST VARS'!$J$62*($AK$80*$Z98)+'LINEST VARS'!$I$62*($AK$80*4)+'LINEST VARS'!$H$62*($AK$80*0.5)+'LINEST VARS'!$G$62*($AK$80*12.73)+'LINEST VARS'!$F$62*($Z98*4)+'LINEST VARS'!$E$62*($Z98*0.5)+'LINEST VARS'!$D$62*($Z98*12.73)+'LINEST VARS'!$C$62*(4*0.5)+'LINEST VARS'!$B$62*(4*12.73)+'LINEST VARS'!$A$62*(0.5*12.73)</f>
        <v>269.5</v>
      </c>
      <c r="AL98" s="55">
        <f>'LINEST VARS'!$U$62+'LINEST VARS'!$T$62*($AL$80)+'LINEST VARS'!$S$62*($Z98)+'LINEST VARS'!$R$62*(4)+'LINEST VARS'!$Q$62*(0.5)+'LINEST VARS'!$P$62*(12.73)+'LINEST VARS'!$O$62*($AL$80^2)+'LINEST VARS'!$N$62*($Z98^2)+'LINEST VARS'!$M$62*(4^2)+'LINEST VARS'!$L$62*(0.5^2)+'LINEST VARS'!$K$62*(12.73^2)+'LINEST VARS'!$J$62*($AL$80*$Z98)+'LINEST VARS'!$I$62*($AL$80*4)+'LINEST VARS'!$H$62*($AL$80*0.5)+'LINEST VARS'!$G$62*($AL$80*12.73)+'LINEST VARS'!$F$62*($Z98*4)+'LINEST VARS'!$E$62*($Z98*0.5)+'LINEST VARS'!$D$62*($Z98*12.73)+'LINEST VARS'!$C$62*(4*0.5)+'LINEST VARS'!$B$62*(4*12.73)+'LINEST VARS'!$A$62*(0.5*12.73)</f>
        <v>269.49999999999994</v>
      </c>
      <c r="AM98" s="55">
        <f>'LINEST VARS'!$U$62+'LINEST VARS'!$T$62*($AM$80)+'LINEST VARS'!$S$62*($Z98)+'LINEST VARS'!$R$62*(4)+'LINEST VARS'!$Q$62*(0.5)+'LINEST VARS'!$P$62*(12.73)+'LINEST VARS'!$O$62*($AM$80^2)+'LINEST VARS'!$N$62*($Z98^2)+'LINEST VARS'!$M$62*(4^2)+'LINEST VARS'!$L$62*(0.5^2)+'LINEST VARS'!$K$62*(12.73^2)+'LINEST VARS'!$J$62*($AM$80*$Z98)+'LINEST VARS'!$I$62*($AM$80*4)+'LINEST VARS'!$H$62*($AM$80*0.5)+'LINEST VARS'!$G$62*($AM$80*12.73)+'LINEST VARS'!$F$62*($Z98*4)+'LINEST VARS'!$E$62*($Z98*0.5)+'LINEST VARS'!$D$62*($Z98*12.73)+'LINEST VARS'!$C$62*(4*0.5)+'LINEST VARS'!$B$62*(4*12.73)+'LINEST VARS'!$A$62*(0.5*12.73)</f>
        <v>269.49999999999994</v>
      </c>
      <c r="AN98" s="55">
        <f>'LINEST VARS'!$U$62+'LINEST VARS'!$T$62*($AN$80)+'LINEST VARS'!$S$62*($Z98)+'LINEST VARS'!$R$62*(4)+'LINEST VARS'!$Q$62*(0.5)+'LINEST VARS'!$P$62*(12.73)+'LINEST VARS'!$O$62*($AN$80^2)+'LINEST VARS'!$N$62*($Z98^2)+'LINEST VARS'!$M$62*(4^2)+'LINEST VARS'!$L$62*(0.5^2)+'LINEST VARS'!$K$62*(12.73^2)+'LINEST VARS'!$J$62*($AN$80*$Z98)+'LINEST VARS'!$I$62*($AN$80*4)+'LINEST VARS'!$H$62*($AN$80*0.5)+'LINEST VARS'!$G$62*($AN$80*12.73)+'LINEST VARS'!$F$62*($Z98*4)+'LINEST VARS'!$E$62*($Z98*0.5)+'LINEST VARS'!$D$62*($Z98*12.73)+'LINEST VARS'!$C$62*(4*0.5)+'LINEST VARS'!$B$62*(4*12.73)+'LINEST VARS'!$A$62*(0.5*12.73)</f>
        <v>269.49999999999994</v>
      </c>
      <c r="AO98" s="55">
        <f>'LINEST VARS'!$U$62+'LINEST VARS'!$T$62*($AO$80)+'LINEST VARS'!$S$62*($Z98)+'LINEST VARS'!$R$62*(4)+'LINEST VARS'!$Q$62*(0.5)+'LINEST VARS'!$P$62*(12.73)+'LINEST VARS'!$O$62*($AO$80^2)+'LINEST VARS'!$N$62*($Z98^2)+'LINEST VARS'!$M$62*(4^2)+'LINEST VARS'!$L$62*(0.5^2)+'LINEST VARS'!$K$62*(12.73^2)+'LINEST VARS'!$J$62*($AO$80*$Z98)+'LINEST VARS'!$I$62*($AO$80*4)+'LINEST VARS'!$H$62*($AO$80*0.5)+'LINEST VARS'!$G$62*($AO$80*12.73)+'LINEST VARS'!$F$62*($Z98*4)+'LINEST VARS'!$E$62*($Z98*0.5)+'LINEST VARS'!$D$62*($Z98*12.73)+'LINEST VARS'!$C$62*(4*0.5)+'LINEST VARS'!$B$62*(4*12.73)+'LINEST VARS'!$A$62*(0.5*12.73)</f>
        <v>269.5</v>
      </c>
      <c r="AP98" s="55">
        <f>'LINEST VARS'!$U$62+'LINEST VARS'!$T$62*($AP$80)+'LINEST VARS'!$S$62*($Z98)+'LINEST VARS'!$R$62*(4)+'LINEST VARS'!$Q$62*(0.5)+'LINEST VARS'!$P$62*(12.73)+'LINEST VARS'!$O$62*($AP$80^2)+'LINEST VARS'!$N$62*($Z98^2)+'LINEST VARS'!$M$62*(4^2)+'LINEST VARS'!$L$62*(0.5^2)+'LINEST VARS'!$K$62*(12.73^2)+'LINEST VARS'!$J$62*($AP$80*$Z98)+'LINEST VARS'!$I$62*($AP$80*4)+'LINEST VARS'!$H$62*($AP$80*0.5)+'LINEST VARS'!$G$62*($AP$80*12.73)+'LINEST VARS'!$F$62*($Z98*4)+'LINEST VARS'!$E$62*($Z98*0.5)+'LINEST VARS'!$D$62*($Z98*12.73)+'LINEST VARS'!$C$62*(4*0.5)+'LINEST VARS'!$B$62*(4*12.73)+'LINEST VARS'!$A$62*(0.5*12.73)</f>
        <v>269.5</v>
      </c>
      <c r="AQ98" s="55">
        <f>'LINEST VARS'!$U$62+'LINEST VARS'!$T$62*($AQ$80)+'LINEST VARS'!$S$62*($Z98)+'LINEST VARS'!$R$62*(4)+'LINEST VARS'!$Q$62*(0.5)+'LINEST VARS'!$P$62*(12.73)+'LINEST VARS'!$O$62*($AQ$80^2)+'LINEST VARS'!$N$62*($Z98^2)+'LINEST VARS'!$M$62*(4^2)+'LINEST VARS'!$L$62*(0.5^2)+'LINEST VARS'!$K$62*(12.73^2)+'LINEST VARS'!$J$62*($AQ$80*$Z98)+'LINEST VARS'!$I$62*($AQ$80*4)+'LINEST VARS'!$H$62*($AQ$80*0.5)+'LINEST VARS'!$G$62*($AQ$80*12.73)+'LINEST VARS'!$F$62*($Z98*4)+'LINEST VARS'!$E$62*($Z98*0.5)+'LINEST VARS'!$D$62*($Z98*12.73)+'LINEST VARS'!$C$62*(4*0.5)+'LINEST VARS'!$B$62*(4*12.73)+'LINEST VARS'!$A$62*(0.5*12.73)</f>
        <v>269.49999999999994</v>
      </c>
      <c r="AR98" s="55">
        <f>'LINEST VARS'!$U$62+'LINEST VARS'!$T$62*($AR$80)+'LINEST VARS'!$S$62*($Z98)+'LINEST VARS'!$R$62*(4)+'LINEST VARS'!$Q$62*(0.5)+'LINEST VARS'!$P$62*(12.73)+'LINEST VARS'!$O$62*($AR$80^2)+'LINEST VARS'!$N$62*($Z98^2)+'LINEST VARS'!$M$62*(4^2)+'LINEST VARS'!$L$62*(0.5^2)+'LINEST VARS'!$K$62*(12.73^2)+'LINEST VARS'!$J$62*($AR$80*$Z98)+'LINEST VARS'!$I$62*($AR$80*4)+'LINEST VARS'!$H$62*($AR$80*0.5)+'LINEST VARS'!$G$62*($AR$80*12.73)+'LINEST VARS'!$F$62*($Z98*4)+'LINEST VARS'!$E$62*($Z98*0.5)+'LINEST VARS'!$D$62*($Z98*12.73)+'LINEST VARS'!$C$62*(4*0.5)+'LINEST VARS'!$B$62*(4*12.73)+'LINEST VARS'!$A$62*(0.5*12.73)</f>
        <v>269.5</v>
      </c>
      <c r="AS98" s="55">
        <f>'LINEST VARS'!$U$62+'LINEST VARS'!$T$62*($AS$80)+'LINEST VARS'!$S$62*($Z98)+'LINEST VARS'!$R$62*(4)+'LINEST VARS'!$Q$62*(0.5)+'LINEST VARS'!$P$62*(12.73)+'LINEST VARS'!$O$62*($AS$80^2)+'LINEST VARS'!$N$62*($Z98^2)+'LINEST VARS'!$M$62*(4^2)+'LINEST VARS'!$L$62*(0.5^2)+'LINEST VARS'!$K$62*(12.73^2)+'LINEST VARS'!$J$62*($AS$80*$Z98)+'LINEST VARS'!$I$62*($AS$80*4)+'LINEST VARS'!$H$62*($AS$80*0.5)+'LINEST VARS'!$G$62*($AS$80*12.73)+'LINEST VARS'!$F$62*($Z98*4)+'LINEST VARS'!$E$62*($Z98*0.5)+'LINEST VARS'!$D$62*($Z98*12.73)+'LINEST VARS'!$C$62*(4*0.5)+'LINEST VARS'!$B$62*(4*12.73)+'LINEST VARS'!$A$62*(0.5*12.73)</f>
        <v>269.5</v>
      </c>
      <c r="AT98" s="55">
        <f>'LINEST VARS'!$U$62+'LINEST VARS'!$T$62*($AT$80)+'LINEST VARS'!$S$62*($Z98)+'LINEST VARS'!$R$62*(4)+'LINEST VARS'!$Q$62*(0.5)+'LINEST VARS'!$P$62*(12.73)+'LINEST VARS'!$O$62*($AT$80^2)+'LINEST VARS'!$N$62*($Z98^2)+'LINEST VARS'!$M$62*(4^2)+'LINEST VARS'!$L$62*(0.5^2)+'LINEST VARS'!$K$62*(12.73^2)+'LINEST VARS'!$J$62*($AT$80*$Z98)+'LINEST VARS'!$I$62*($AT$80*4)+'LINEST VARS'!$H$62*($AT$80*0.5)+'LINEST VARS'!$G$62*($AT$80*12.73)+'LINEST VARS'!$F$62*($Z98*4)+'LINEST VARS'!$E$62*($Z98*0.5)+'LINEST VARS'!$D$62*($Z98*12.73)+'LINEST VARS'!$C$62*(4*0.5)+'LINEST VARS'!$B$62*(4*12.73)+'LINEST VARS'!$A$62*(0.5*12.73)</f>
        <v>269.5</v>
      </c>
      <c r="AU98" s="56">
        <f>'LINEST VARS'!$U$62+'LINEST VARS'!$T$62*($AU$80)+'LINEST VARS'!$S$62*($Z98)+'LINEST VARS'!$R$62*(4)+'LINEST VARS'!$Q$62*(0.5)+'LINEST VARS'!$P$62*(12.73)+'LINEST VARS'!$O$62*($AU$80^2)+'LINEST VARS'!$N$62*($Z98^2)+'LINEST VARS'!$M$62*(4^2)+'LINEST VARS'!$L$62*(0.5^2)+'LINEST VARS'!$K$62*(12.73^2)+'LINEST VARS'!$J$62*($AU$80*$Z98)+'LINEST VARS'!$I$62*($AU$80*4)+'LINEST VARS'!$H$62*($AU$80*0.5)+'LINEST VARS'!$G$62*($AU$80*12.73)+'LINEST VARS'!$F$62*($Z98*4)+'LINEST VARS'!$E$62*($Z98*0.5)+'LINEST VARS'!$D$62*($Z98*12.73)+'LINEST VARS'!$C$62*(4*0.5)+'LINEST VARS'!$B$62*(4*12.73)+'LINEST VARS'!$A$62*(0.5*12.73)</f>
        <v>269.50000000000006</v>
      </c>
      <c r="AZ98" s="45">
        <v>0.85</v>
      </c>
      <c r="BA98" s="46">
        <f>'LINEST VARS'!$U$60+'LINEST VARS'!$T$60*(8)+'LINEST VARS'!$S$60*(8)+'LINEST VARS'!$R$60*($BA$80)+'LINEST VARS'!$Q$60*($AZ98)+'LINEST VARS'!$P$60*(12.73)+'LINEST VARS'!$O$60*(8^2)+'LINEST VARS'!$N$60*(8^2)+'LINEST VARS'!$M$60*($BA$80^2)+'LINEST VARS'!$L$60*($AZ98^2)+'LINEST VARS'!$K$60*(12.73^2)+'LINEST VARS'!$J$60*(8*8)+'LINEST VARS'!$I$60*(8*$BA$80)+'LINEST VARS'!$H$60*(8*$AZ98)+'LINEST VARS'!$G$60*(8*12.73)+'LINEST VARS'!$F$60*(8*$BA$80)+'LINEST VARS'!$E$60*(8*$AZ98)+'LINEST VARS'!$D$60*(8*12.73)+'LINEST VARS'!$C$60*($BA$80*$AZ98)+'LINEST VARS'!$B$60*($BA$80*12.73)+'LINEST VARS'!$A$60*($AZ98*12.73)</f>
        <v>40.460000000000008</v>
      </c>
      <c r="BB98" s="46">
        <f>'LINEST VARS'!$U$60+'LINEST VARS'!$T$60*(8)+'LINEST VARS'!$S$60*(8)+'LINEST VARS'!$R$60*($BB$80)+'LINEST VARS'!$Q$60*($AZ98)+'LINEST VARS'!$P$60*(12.73)+'LINEST VARS'!$O$60*(8^2)+'LINEST VARS'!$N$60*(8^2)+'LINEST VARS'!$M$60*($BB$80^2)+'LINEST VARS'!$L$60*($AZ98^2)+'LINEST VARS'!$K$60*(12.73^2)+'LINEST VARS'!$J$60*(8*8)+'LINEST VARS'!$I$60*(8*$BB$80)+'LINEST VARS'!$H$60*(8*$AZ98)+'LINEST VARS'!$G$60*(8*12.73)+'LINEST VARS'!$F$60*(8*$BB$80)+'LINEST VARS'!$E$60*(8*$AZ98)+'LINEST VARS'!$D$60*(8*12.73)+'LINEST VARS'!$C$60*($BB$80*$AZ98)+'LINEST VARS'!$B$60*($BB$80*12.73)+'LINEST VARS'!$A$60*($AZ98*12.73)</f>
        <v>40.460000000000008</v>
      </c>
      <c r="BC98" s="46">
        <f>'LINEST VARS'!$U$60+'LINEST VARS'!$T$60*(8)+'LINEST VARS'!$S$60*(8)+'LINEST VARS'!$R$60*($BC$80)+'LINEST VARS'!$Q$60*($AZ98)+'LINEST VARS'!$P$60*(12.73)+'LINEST VARS'!$O$60*(8^2)+'LINEST VARS'!$N$60*(8^2)+'LINEST VARS'!$M$60*($BC$80^2)+'LINEST VARS'!$L$60*($AZ98^2)+'LINEST VARS'!$K$60*(12.73^2)+'LINEST VARS'!$J$60*(8*8)+'LINEST VARS'!$I$60*(8*$BC$80)+'LINEST VARS'!$H$60*(8*$AZ98)+'LINEST VARS'!$G$60*(8*12.73)+'LINEST VARS'!$F$60*(8*$BC$80)+'LINEST VARS'!$E$60*(8*$AZ98)+'LINEST VARS'!$D$60*(8*12.73)+'LINEST VARS'!$C$60*($BC$80*$AZ98)+'LINEST VARS'!$B$60*($BC$80*12.73)+'LINEST VARS'!$A$60*($AZ98*12.73)</f>
        <v>40.460000000000008</v>
      </c>
      <c r="BD98" s="46">
        <f>'LINEST VARS'!$U$60+'LINEST VARS'!$T$60*(8)+'LINEST VARS'!$S$60*(8)+'LINEST VARS'!$R$60*($BD$80)+'LINEST VARS'!$Q$60*($AZ98)+'LINEST VARS'!$P$60*(12.73)+'LINEST VARS'!$O$60*(8^2)+'LINEST VARS'!$N$60*(8^2)+'LINEST VARS'!$M$60*($BD$80^2)+'LINEST VARS'!$L$60*($AZ98^2)+'LINEST VARS'!$K$60*(12.73^2)+'LINEST VARS'!$J$60*(8*8)+'LINEST VARS'!$I$60*(8*$BD$80)+'LINEST VARS'!$H$60*(8*$AZ98)+'LINEST VARS'!$G$60*(8*12.73)+'LINEST VARS'!$F$60*(8*$BD$80)+'LINEST VARS'!$E$60*(8*$AZ98)+'LINEST VARS'!$D$60*(8*12.73)+'LINEST VARS'!$C$60*($BD$80*$AZ98)+'LINEST VARS'!$B$60*($BD$80*12.73)+'LINEST VARS'!$A$60*($AZ98*12.73)</f>
        <v>40.460000000000015</v>
      </c>
      <c r="BE98" s="46">
        <f>'LINEST VARS'!$U$60+'LINEST VARS'!$T$60*(8)+'LINEST VARS'!$S$60*(8)+'LINEST VARS'!$R$60*($BE$80)+'LINEST VARS'!$Q$60*($AZ98)+'LINEST VARS'!$P$60*(12.73)+'LINEST VARS'!$O$60*(8^2)+'LINEST VARS'!$N$60*(8^2)+'LINEST VARS'!$M$60*($BE$80^2)+'LINEST VARS'!$L$60*($AZ98^2)+'LINEST VARS'!$K$60*(12.73^2)+'LINEST VARS'!$J$60*(8*8)+'LINEST VARS'!$I$60*(8*$BE$80)+'LINEST VARS'!$H$60*(8*$AZ98)+'LINEST VARS'!$G$60*(8*12.73)+'LINEST VARS'!$F$60*(8*$BE$80)+'LINEST VARS'!$E$60*(8*$AZ98)+'LINEST VARS'!$D$60*(8*12.73)+'LINEST VARS'!$C$60*($BE$80*$AZ98)+'LINEST VARS'!$B$60*($BE$80*12.73)+'LINEST VARS'!$A$60*($AZ98*12.73)</f>
        <v>40.460000000000008</v>
      </c>
      <c r="BF98" s="46">
        <f>'LINEST VARS'!$U$60+'LINEST VARS'!$T$60*(8)+'LINEST VARS'!$S$60*(8)+'LINEST VARS'!$R$60*($BF$80)+'LINEST VARS'!$Q$60*($AZ98)+'LINEST VARS'!$P$60*(12.73)+'LINEST VARS'!$O$60*(8^2)+'LINEST VARS'!$N$60*(8^2)+'LINEST VARS'!$M$60*($BF$80^2)+'LINEST VARS'!$L$60*($AZ98^2)+'LINEST VARS'!$K$60*(12.73^2)+'LINEST VARS'!$J$60*(8*8)+'LINEST VARS'!$I$60*(8*$BF$80)+'LINEST VARS'!$H$60*(8*$AZ98)+'LINEST VARS'!$G$60*(8*12.73)+'LINEST VARS'!$F$60*(8*$BF$80)+'LINEST VARS'!$E$60*(8*$AZ98)+'LINEST VARS'!$D$60*(8*12.73)+'LINEST VARS'!$C$60*($BF$80*$AZ98)+'LINEST VARS'!$B$60*($BF$80*12.73)+'LINEST VARS'!$A$60*($AZ98*12.73)</f>
        <v>40.460000000000008</v>
      </c>
      <c r="BG98" s="46">
        <f>'LINEST VARS'!$U$60+'LINEST VARS'!$T$60*(8)+'LINEST VARS'!$S$60*(8)+'LINEST VARS'!$R$60*($BG$80)+'LINEST VARS'!$Q$60*($AZ98)+'LINEST VARS'!$P$60*(12.73)+'LINEST VARS'!$O$60*(8^2)+'LINEST VARS'!$N$60*(8^2)+'LINEST VARS'!$M$60*($BG$80^2)+'LINEST VARS'!$L$60*($AZ98^2)+'LINEST VARS'!$K$60*(12.73^2)+'LINEST VARS'!$J$60*(8*8)+'LINEST VARS'!$I$60*(8*$BG$80)+'LINEST VARS'!$H$60*(8*$AZ98)+'LINEST VARS'!$G$60*(8*12.73)+'LINEST VARS'!$F$60*(8*$BG$80)+'LINEST VARS'!$E$60*(8*$AZ98)+'LINEST VARS'!$D$60*(8*12.73)+'LINEST VARS'!$C$60*($BG$80*$AZ98)+'LINEST VARS'!$B$60*($BG$80*12.73)+'LINEST VARS'!$A$60*($AZ98*12.73)</f>
        <v>40.460000000000008</v>
      </c>
      <c r="BH98" s="46">
        <f>'LINEST VARS'!$U$60+'LINEST VARS'!$T$60*(8)+'LINEST VARS'!$S$60*(8)+'LINEST VARS'!$R$60*($BH$80)+'LINEST VARS'!$Q$60*($AZ98)+'LINEST VARS'!$P$60*(12.73)+'LINEST VARS'!$O$60*(8^2)+'LINEST VARS'!$N$60*(8^2)+'LINEST VARS'!$M$60*($BH$80^2)+'LINEST VARS'!$L$60*($AZ98^2)+'LINEST VARS'!$K$60*(12.73^2)+'LINEST VARS'!$J$60*(8*8)+'LINEST VARS'!$I$60*(8*$BH$80)+'LINEST VARS'!$H$60*(8*$AZ98)+'LINEST VARS'!$G$60*(8*12.73)+'LINEST VARS'!$F$60*(8*$BH$80)+'LINEST VARS'!$E$60*(8*$AZ98)+'LINEST VARS'!$D$60*(8*12.73)+'LINEST VARS'!$C$60*($BH$80*$AZ98)+'LINEST VARS'!$B$60*($BH$80*12.73)+'LINEST VARS'!$A$60*($AZ98*12.73)</f>
        <v>40.460000000000008</v>
      </c>
      <c r="BI98" s="46">
        <f>'LINEST VARS'!$U$60+'LINEST VARS'!$T$60*(8)+'LINEST VARS'!$S$60*(8)+'LINEST VARS'!$R$60*($BI$80)+'LINEST VARS'!$Q$60*($AZ98)+'LINEST VARS'!$P$60*(12.73)+'LINEST VARS'!$O$60*(8^2)+'LINEST VARS'!$N$60*(8^2)+'LINEST VARS'!$M$60*($BI$80^2)+'LINEST VARS'!$L$60*($AZ98^2)+'LINEST VARS'!$K$60*(12.73^2)+'LINEST VARS'!$J$60*(8*8)+'LINEST VARS'!$I$60*(8*$BI$80)+'LINEST VARS'!$H$60*(8*$AZ98)+'LINEST VARS'!$G$60*(8*12.73)+'LINEST VARS'!$F$60*(8*$BI$80)+'LINEST VARS'!$E$60*(8*$AZ98)+'LINEST VARS'!$D$60*(8*12.73)+'LINEST VARS'!$C$60*($BI$80*$AZ98)+'LINEST VARS'!$B$60*($BI$80*12.73)+'LINEST VARS'!$A$60*($AZ98*12.73)</f>
        <v>40.460000000000008</v>
      </c>
      <c r="BJ98" s="46">
        <f>'LINEST VARS'!$U$60+'LINEST VARS'!$T$60*(8)+'LINEST VARS'!$S$60*(8)+'LINEST VARS'!$R$60*($BJ$80)+'LINEST VARS'!$Q$60*($AZ98)+'LINEST VARS'!$P$60*(12.73)+'LINEST VARS'!$O$60*(8^2)+'LINEST VARS'!$N$60*(8^2)+'LINEST VARS'!$M$60*($BJ$80^2)+'LINEST VARS'!$L$60*($AZ98^2)+'LINEST VARS'!$K$60*(12.73^2)+'LINEST VARS'!$J$60*(8*8)+'LINEST VARS'!$I$60*(8*$BJ$80)+'LINEST VARS'!$H$60*(8*$AZ98)+'LINEST VARS'!$G$60*(8*12.73)+'LINEST VARS'!$F$60*(8*$BJ$80)+'LINEST VARS'!$E$60*(8*$AZ98)+'LINEST VARS'!$D$60*(8*12.73)+'LINEST VARS'!$C$60*($BJ$80*$AZ98)+'LINEST VARS'!$B$60*($BJ$80*12.73)+'LINEST VARS'!$A$60*($AZ98*12.73)</f>
        <v>40.460000000000008</v>
      </c>
      <c r="BK98" s="46">
        <f>'LINEST VARS'!$U$60+'LINEST VARS'!$T$60*(8)+'LINEST VARS'!$S$60*(8)+'LINEST VARS'!$R$60*($BK$80)+'LINEST VARS'!$Q$60*($AZ98)+'LINEST VARS'!$P$60*(12.73)+'LINEST VARS'!$O$60*(8^2)+'LINEST VARS'!$N$60*(8^2)+'LINEST VARS'!$M$60*($BK$80^2)+'LINEST VARS'!$L$60*($AZ98^2)+'LINEST VARS'!$K$60*(12.73^2)+'LINEST VARS'!$J$60*(8*8)+'LINEST VARS'!$I$60*(8*$BK$80)+'LINEST VARS'!$H$60*(8*$AZ98)+'LINEST VARS'!$G$60*(8*12.73)+'LINEST VARS'!$F$60*(8*$BK$80)+'LINEST VARS'!$E$60*(8*$AZ98)+'LINEST VARS'!$D$60*(8*12.73)+'LINEST VARS'!$C$60*($BK$80*$AZ98)+'LINEST VARS'!$B$60*($BK$80*12.73)+'LINEST VARS'!$A$60*($AZ98*12.73)</f>
        <v>40.460000000000015</v>
      </c>
      <c r="BL98" s="46">
        <f>'LINEST VARS'!$U$60+'LINEST VARS'!$T$60*(8)+'LINEST VARS'!$S$60*(8)+'LINEST VARS'!$R$60*($BL$80)+'LINEST VARS'!$Q$60*($AZ98)+'LINEST VARS'!$P$60*(12.73)+'LINEST VARS'!$O$60*(8^2)+'LINEST VARS'!$N$60*(8^2)+'LINEST VARS'!$M$60*($BL$80^2)+'LINEST VARS'!$L$60*($AZ98^2)+'LINEST VARS'!$K$60*(12.73^2)+'LINEST VARS'!$J$60*(8*8)+'LINEST VARS'!$I$60*(8*$BL$80)+'LINEST VARS'!$H$60*(8*$AZ98)+'LINEST VARS'!$G$60*(8*12.73)+'LINEST VARS'!$F$60*(8*$BL$80)+'LINEST VARS'!$E$60*(8*$AZ98)+'LINEST VARS'!$D$60*(8*12.73)+'LINEST VARS'!$C$60*($BL$80*$AZ98)+'LINEST VARS'!$B$60*($BL$80*12.73)+'LINEST VARS'!$A$60*($AZ98*12.73)</f>
        <v>40.460000000000008</v>
      </c>
      <c r="BM98" s="46">
        <f>'LINEST VARS'!$U$60+'LINEST VARS'!$T$60*(8)+'LINEST VARS'!$S$60*(8)+'LINEST VARS'!$R$60*($BM$80)+'LINEST VARS'!$Q$60*($AZ98)+'LINEST VARS'!$P$60*(12.73)+'LINEST VARS'!$O$60*(8^2)+'LINEST VARS'!$N$60*(8^2)+'LINEST VARS'!$M$60*($BM$80^2)+'LINEST VARS'!$L$60*($AZ98^2)+'LINEST VARS'!$K$60*(12.73^2)+'LINEST VARS'!$J$60*(8*8)+'LINEST VARS'!$I$60*(8*$BM$80)+'LINEST VARS'!$H$60*(8*$AZ98)+'LINEST VARS'!$G$60*(8*12.73)+'LINEST VARS'!$F$60*(8*$BM$80)+'LINEST VARS'!$E$60*(8*$AZ98)+'LINEST VARS'!$D$60*(8*12.73)+'LINEST VARS'!$C$60*($BM$80*$AZ98)+'LINEST VARS'!$B$60*($BM$80*12.73)+'LINEST VARS'!$A$60*($AZ98*12.73)</f>
        <v>40.460000000000008</v>
      </c>
      <c r="BN98" s="46">
        <f>'LINEST VARS'!$U$60+'LINEST VARS'!$T$60*(8)+'LINEST VARS'!$S$60*(8)+'LINEST VARS'!$R$60*($BN$80)+'LINEST VARS'!$Q$60*($AZ98)+'LINEST VARS'!$P$60*(12.73)+'LINEST VARS'!$O$60*(8^2)+'LINEST VARS'!$N$60*(8^2)+'LINEST VARS'!$M$60*($BN$80^2)+'LINEST VARS'!$L$60*($AZ98^2)+'LINEST VARS'!$K$60*(12.73^2)+'LINEST VARS'!$J$60*(8*8)+'LINEST VARS'!$I$60*(8*$BN$80)+'LINEST VARS'!$H$60*(8*$AZ98)+'LINEST VARS'!$G$60*(8*12.73)+'LINEST VARS'!$F$60*(8*$BN$80)+'LINEST VARS'!$E$60*(8*$AZ98)+'LINEST VARS'!$D$60*(8*12.73)+'LINEST VARS'!$C$60*($BN$80*$AZ98)+'LINEST VARS'!$B$60*($BN$80*12.73)+'LINEST VARS'!$A$60*($AZ98*12.73)</f>
        <v>40.460000000000008</v>
      </c>
      <c r="BO98" s="46">
        <f>'LINEST VARS'!$U$60+'LINEST VARS'!$T$60*(8)+'LINEST VARS'!$S$60*(8)+'LINEST VARS'!$R$60*($BO$80)+'LINEST VARS'!$Q$60*($AZ98)+'LINEST VARS'!$P$60*(12.73)+'LINEST VARS'!$O$60*(8^2)+'LINEST VARS'!$N$60*(8^2)+'LINEST VARS'!$M$60*($BO$80^2)+'LINEST VARS'!$L$60*($AZ98^2)+'LINEST VARS'!$K$60*(12.73^2)+'LINEST VARS'!$J$60*(8*8)+'LINEST VARS'!$I$60*(8*$BO$80)+'LINEST VARS'!$H$60*(8*$AZ98)+'LINEST VARS'!$G$60*(8*12.73)+'LINEST VARS'!$F$60*(8*$BO$80)+'LINEST VARS'!$E$60*(8*$AZ98)+'LINEST VARS'!$D$60*(8*12.73)+'LINEST VARS'!$C$60*($BO$80*$AZ98)+'LINEST VARS'!$B$60*($BO$80*12.73)+'LINEST VARS'!$A$60*($AZ98*12.73)</f>
        <v>40.460000000000008</v>
      </c>
      <c r="BP98" s="46">
        <f>'LINEST VARS'!$U$60+'LINEST VARS'!$T$60*(8)+'LINEST VARS'!$S$60*(8)+'LINEST VARS'!$R$60*($BP$80)+'LINEST VARS'!$Q$60*($AZ98)+'LINEST VARS'!$P$60*(12.73)+'LINEST VARS'!$O$60*(8^2)+'LINEST VARS'!$N$60*(8^2)+'LINEST VARS'!$M$60*($BP$80^2)+'LINEST VARS'!$L$60*($AZ98^2)+'LINEST VARS'!$K$60*(12.73^2)+'LINEST VARS'!$J$60*(8*8)+'LINEST VARS'!$I$60*(8*$BP$80)+'LINEST VARS'!$H$60*(8*$AZ98)+'LINEST VARS'!$G$60*(8*12.73)+'LINEST VARS'!$F$60*(8*$BP$80)+'LINEST VARS'!$E$60*(8*$AZ98)+'LINEST VARS'!$D$60*(8*12.73)+'LINEST VARS'!$C$60*($BP$80*$AZ98)+'LINEST VARS'!$B$60*($BP$80*12.73)+'LINEST VARS'!$A$60*($AZ98*12.73)</f>
        <v>40.460000000000008</v>
      </c>
      <c r="BQ98" s="46">
        <f>'LINEST VARS'!$U$60+'LINEST VARS'!$T$60*(8)+'LINEST VARS'!$S$60*(8)+'LINEST VARS'!$R$60*($BQ$80)+'LINEST VARS'!$Q$60*($AZ98)+'LINEST VARS'!$P$60*(12.73)+'LINEST VARS'!$O$60*(8^2)+'LINEST VARS'!$N$60*(8^2)+'LINEST VARS'!$M$60*($BQ$80^2)+'LINEST VARS'!$L$60*($AZ98^2)+'LINEST VARS'!$K$60*(12.73^2)+'LINEST VARS'!$J$60*(8*8)+'LINEST VARS'!$I$60*(8*$BQ$80)+'LINEST VARS'!$H$60*(8*$AZ98)+'LINEST VARS'!$G$60*(8*12.73)+'LINEST VARS'!$F$60*(8*$BQ$80)+'LINEST VARS'!$E$60*(8*$AZ98)+'LINEST VARS'!$D$60*(8*12.73)+'LINEST VARS'!$C$60*($BQ$80*$AZ98)+'LINEST VARS'!$B$60*($BQ$80*12.73)+'LINEST VARS'!$A$60*($AZ98*12.73)</f>
        <v>40.460000000000008</v>
      </c>
      <c r="BR98" s="46">
        <f>'LINEST VARS'!$U$60+'LINEST VARS'!$T$60*(8)+'LINEST VARS'!$S$60*(8)+'LINEST VARS'!$R$60*($BR$80)+'LINEST VARS'!$Q$60*($AZ98)+'LINEST VARS'!$P$60*(12.73)+'LINEST VARS'!$O$60*(8^2)+'LINEST VARS'!$N$60*(8^2)+'LINEST VARS'!$M$60*($BR$80^2)+'LINEST VARS'!$L$60*($AZ98^2)+'LINEST VARS'!$K$60*(12.73^2)+'LINEST VARS'!$J$60*(8*8)+'LINEST VARS'!$I$60*(8*$BR$80)+'LINEST VARS'!$H$60*(8*$AZ98)+'LINEST VARS'!$G$60*(8*12.73)+'LINEST VARS'!$F$60*(8*$BR$80)+'LINEST VARS'!$E$60*(8*$AZ98)+'LINEST VARS'!$D$60*(8*12.73)+'LINEST VARS'!$C$60*($BR$80*$AZ98)+'LINEST VARS'!$B$60*($BR$80*12.73)+'LINEST VARS'!$A$60*($AZ98*12.73)</f>
        <v>40.460000000000015</v>
      </c>
      <c r="BS98" s="46">
        <f>'LINEST VARS'!$U$60+'LINEST VARS'!$T$60*(8)+'LINEST VARS'!$S$60*(8)+'LINEST VARS'!$R$60*($BS$80)+'LINEST VARS'!$Q$60*($AZ98)+'LINEST VARS'!$P$60*(12.73)+'LINEST VARS'!$O$60*(8^2)+'LINEST VARS'!$N$60*(8^2)+'LINEST VARS'!$M$60*($BS$80^2)+'LINEST VARS'!$L$60*($AZ98^2)+'LINEST VARS'!$K$60*(12.73^2)+'LINEST VARS'!$J$60*(8*8)+'LINEST VARS'!$I$60*(8*$BS$80)+'LINEST VARS'!$H$60*(8*$AZ98)+'LINEST VARS'!$G$60*(8*12.73)+'LINEST VARS'!$F$60*(8*$BS$80)+'LINEST VARS'!$E$60*(8*$AZ98)+'LINEST VARS'!$D$60*(8*12.73)+'LINEST VARS'!$C$60*($BS$80*$AZ98)+'LINEST VARS'!$B$60*($BS$80*12.73)+'LINEST VARS'!$A$60*($AZ98*12.73)</f>
        <v>40.460000000000008</v>
      </c>
      <c r="BT98" s="46">
        <f>'LINEST VARS'!$U$60+'LINEST VARS'!$T$60*(8)+'LINEST VARS'!$S$60*(8)+'LINEST VARS'!$R$60*($BT$80)+'LINEST VARS'!$Q$60*($AZ98)+'LINEST VARS'!$P$60*(12.73)+'LINEST VARS'!$O$60*(8^2)+'LINEST VARS'!$N$60*(8^2)+'LINEST VARS'!$M$60*($BT$80^2)+'LINEST VARS'!$L$60*($AZ98^2)+'LINEST VARS'!$K$60*(12.73^2)+'LINEST VARS'!$J$60*(8*8)+'LINEST VARS'!$I$60*(8*$BT$80)+'LINEST VARS'!$H$60*(8*$AZ98)+'LINEST VARS'!$G$60*(8*12.73)+'LINEST VARS'!$F$60*(8*$BT$80)+'LINEST VARS'!$E$60*(8*$AZ98)+'LINEST VARS'!$D$60*(8*12.73)+'LINEST VARS'!$C$60*($BT$80*$AZ98)+'LINEST VARS'!$B$60*($BT$80*12.73)+'LINEST VARS'!$A$60*($AZ98*12.73)</f>
        <v>40.460000000000008</v>
      </c>
      <c r="BU98" s="47">
        <f>'LINEST VARS'!$U$60+'LINEST VARS'!$T$60*(8)+'LINEST VARS'!$S$60*(8)+'LINEST VARS'!$R$60*($BU$80)+'LINEST VARS'!$Q$60*($AZ98)+'LINEST VARS'!$P$60*(12.73)+'LINEST VARS'!$O$60*(8^2)+'LINEST VARS'!$N$60*(8^2)+'LINEST VARS'!$M$60*($BU$80^2)+'LINEST VARS'!$L$60*($AZ98^2)+'LINEST VARS'!$K$60*(12.73^2)+'LINEST VARS'!$J$60*(8*8)+'LINEST VARS'!$I$60*(8*$BU$80)+'LINEST VARS'!$H$60*(8*$AZ98)+'LINEST VARS'!$G$60*(8*12.73)+'LINEST VARS'!$F$60*(8*$BU$80)+'LINEST VARS'!$E$60*(8*$AZ98)+'LINEST VARS'!$D$60*(8*12.73)+'LINEST VARS'!$C$60*($BU$80*$AZ98)+'LINEST VARS'!$B$60*($BU$80*12.73)+'LINEST VARS'!$A$60*($AZ98*12.73)</f>
        <v>40.460000000000015</v>
      </c>
      <c r="BX98" s="45">
        <v>0.85</v>
      </c>
      <c r="BY98" s="55">
        <f>'LINEST VARS'!$U$62+'LINEST VARS'!$T$62*(8)+'LINEST VARS'!$S$62*(8)+'LINEST VARS'!$R$62*($BY$80)+'LINEST VARS'!$Q$62*($BX98)+'LINEST VARS'!$P$62*(12.73)+'LINEST VARS'!$O$62*(8^2)+'LINEST VARS'!$N$62*(8^2)+'LINEST VARS'!$M$62*($BY$80^2)+'LINEST VARS'!$L$62*($BX98^2)+'LINEST VARS'!$K$62*(12.73^2)+'LINEST VARS'!$J$62*(8*8)+'LINEST VARS'!$I$62*(8*$BY$80)+'LINEST VARS'!$H$62*(8*$BX98)+'LINEST VARS'!$G$62*(8*12.73)+'LINEST VARS'!$F$62*(8*$BY$80)+'LINEST VARS'!$E$62*(8*$BX98)+'LINEST VARS'!$D$62*(8*12.73)+'LINEST VARS'!$C$62*($BY$80*$BX98)+'LINEST VARS'!$B$62*($BY$80*12.73)+'LINEST VARS'!$A$62*($BX98*12.73)</f>
        <v>348.55499999999989</v>
      </c>
      <c r="BZ98" s="55">
        <f>'LINEST VARS'!$U$62+'LINEST VARS'!$T$62*(8)+'LINEST VARS'!$S$62*(8)+'LINEST VARS'!$R$62*($BZ$80)+'LINEST VARS'!$Q$62*($BX98)+'LINEST VARS'!$P$62*(12.73)+'LINEST VARS'!$O$62*(8^2)+'LINEST VARS'!$N$62*(8^2)+'LINEST VARS'!$M$62*($BZ$80^2)+'LINEST VARS'!$L$62*($BX98^2)+'LINEST VARS'!$K$62*(12.73^2)+'LINEST VARS'!$J$62*(8*8)+'LINEST VARS'!$I$62*(8*$BZ$80)+'LINEST VARS'!$H$62*(8*$BX98)+'LINEST VARS'!$G$62*(8*12.73)+'LINEST VARS'!$F$62*(8*$BZ$80)+'LINEST VARS'!$E$62*(8*$BX98)+'LINEST VARS'!$D$62*(8*12.73)+'LINEST VARS'!$C$62*($BZ$80*$BX98)+'LINEST VARS'!$B$62*($BZ$80*12.73)+'LINEST VARS'!$A$62*($BX98*12.73)</f>
        <v>347.75499999999994</v>
      </c>
      <c r="CA98" s="55">
        <f>'LINEST VARS'!$U$62+'LINEST VARS'!$T$62*(8)+'LINEST VARS'!$S$62*(8)+'LINEST VARS'!$R$62*($CA$80)+'LINEST VARS'!$Q$62*($BX98)+'LINEST VARS'!$P$62*(12.73)+'LINEST VARS'!$O$62*(8^2)+'LINEST VARS'!$N$62*(8^2)+'LINEST VARS'!$M$62*($CA$80^2)+'LINEST VARS'!$L$62*($BX98^2)+'LINEST VARS'!$K$62*(12.73^2)+'LINEST VARS'!$J$62*(8*8)+'LINEST VARS'!$I$62*(8*$CA$80)+'LINEST VARS'!$H$62*(8*$BX98)+'LINEST VARS'!$G$62*(8*12.73)+'LINEST VARS'!$F$62*(8*$CA$80)+'LINEST VARS'!$E$62*(8*$BX98)+'LINEST VARS'!$D$62*(8*12.73)+'LINEST VARS'!$C$62*($CA$80*$BX98)+'LINEST VARS'!$B$62*($CA$80*12.73)+'LINEST VARS'!$A$62*($BX98*12.73)</f>
        <v>345.35499999999985</v>
      </c>
      <c r="CB98" s="55">
        <f>'LINEST VARS'!$U$62+'LINEST VARS'!$T$62*(8)+'LINEST VARS'!$S$62*(8)+'LINEST VARS'!$R$62*($CB$80)+'LINEST VARS'!$Q$62*($BX98)+'LINEST VARS'!$P$62*(12.73)+'LINEST VARS'!$O$62*(8^2)+'LINEST VARS'!$N$62*(8^2)+'LINEST VARS'!$M$62*($CB$80^2)+'LINEST VARS'!$L$62*($BX98^2)+'LINEST VARS'!$K$62*(12.73^2)+'LINEST VARS'!$J$62*(8*8)+'LINEST VARS'!$I$62*(8*$CB$80)+'LINEST VARS'!$H$62*(8*$BX98)+'LINEST VARS'!$G$62*(8*12.73)+'LINEST VARS'!$F$62*(8*$CB$80)+'LINEST VARS'!$E$62*(8*$BX98)+'LINEST VARS'!$D$62*(8*12.73)+'LINEST VARS'!$C$62*($CB$80*$BX98)+'LINEST VARS'!$B$62*($CB$80*12.73)+'LINEST VARS'!$A$62*($BX98*12.73)</f>
        <v>341.3549999999999</v>
      </c>
      <c r="CC98" s="55">
        <f>'LINEST VARS'!$U$62+'LINEST VARS'!$T$62*(8)+'LINEST VARS'!$S$62*(8)+'LINEST VARS'!$R$62*($CC$80)+'LINEST VARS'!$Q$62*($BX98)+'LINEST VARS'!$P$62*(12.73)+'LINEST VARS'!$O$62*(8^2)+'LINEST VARS'!$N$62*(8^2)+'LINEST VARS'!$M$62*($CC$80^2)+'LINEST VARS'!$L$62*($BX98^2)+'LINEST VARS'!$K$62*(12.73^2)+'LINEST VARS'!$J$62*(8*8)+'LINEST VARS'!$I$62*(8*$CC$80)+'LINEST VARS'!$H$62*(8*$BX98)+'LINEST VARS'!$G$62*(8*12.73)+'LINEST VARS'!$F$62*(8*$CC$80)+'LINEST VARS'!$E$62*(8*$BX98)+'LINEST VARS'!$D$62*(8*12.73)+'LINEST VARS'!$C$62*($CC$80*$BX98)+'LINEST VARS'!$B$62*($CC$80*12.73)+'LINEST VARS'!$A$62*($BX98*12.73)</f>
        <v>335.75499999999994</v>
      </c>
      <c r="CD98" s="55">
        <f>'LINEST VARS'!$U$62+'LINEST VARS'!$T$62*(8)+'LINEST VARS'!$S$62*(8)+'LINEST VARS'!$R$62*($CD$80)+'LINEST VARS'!$Q$62*($BX98)+'LINEST VARS'!$P$62*(12.73)+'LINEST VARS'!$O$62*(8^2)+'LINEST VARS'!$N$62*(8^2)+'LINEST VARS'!$M$62*($CD$80^2)+'LINEST VARS'!$L$62*($BX98^2)+'LINEST VARS'!$K$62*(12.73^2)+'LINEST VARS'!$J$62*(8*8)+'LINEST VARS'!$I$62*(8*$CD$80)+'LINEST VARS'!$H$62*(8*$BX98)+'LINEST VARS'!$G$62*(8*12.73)+'LINEST VARS'!$F$62*(8*$CD$80)+'LINEST VARS'!$E$62*(8*$BX98)+'LINEST VARS'!$D$62*(8*12.73)+'LINEST VARS'!$C$62*($CD$80*$BX98)+'LINEST VARS'!$B$62*($CD$80*12.73)+'LINEST VARS'!$A$62*($BX98*12.73)</f>
        <v>328.55500000000001</v>
      </c>
      <c r="CE98" s="55">
        <f>'LINEST VARS'!$U$62+'LINEST VARS'!$T$62*(8)+'LINEST VARS'!$S$62*(8)+'LINEST VARS'!$R$62*($CE$80)+'LINEST VARS'!$Q$62*($BX98)+'LINEST VARS'!$P$62*(12.73)+'LINEST VARS'!$O$62*(8^2)+'LINEST VARS'!$N$62*(8^2)+'LINEST VARS'!$M$62*($CE$80^2)+'LINEST VARS'!$L$62*($BX98^2)+'LINEST VARS'!$K$62*(12.73^2)+'LINEST VARS'!$J$62*(8*8)+'LINEST VARS'!$I$62*(8*$CE$80)+'LINEST VARS'!$H$62*(8*$BX98)+'LINEST VARS'!$G$62*(8*12.73)+'LINEST VARS'!$F$62*(8*$CE$80)+'LINEST VARS'!$E$62*(8*$BX98)+'LINEST VARS'!$D$62*(8*12.73)+'LINEST VARS'!$C$62*($CE$80*$BX98)+'LINEST VARS'!$B$62*($CE$80*12.73)+'LINEST VARS'!$A$62*($BX98*12.73)</f>
        <v>319.75499999999994</v>
      </c>
      <c r="CF98" s="55">
        <f>'LINEST VARS'!$U$62+'LINEST VARS'!$T$62*(8)+'LINEST VARS'!$S$62*(8)+'LINEST VARS'!$R$62*($CF$80)+'LINEST VARS'!$Q$62*($BX98)+'LINEST VARS'!$P$62*(12.73)+'LINEST VARS'!$O$62*(8^2)+'LINEST VARS'!$N$62*(8^2)+'LINEST VARS'!$M$62*($CF$80^2)+'LINEST VARS'!$L$62*($BX98^2)+'LINEST VARS'!$K$62*(12.73^2)+'LINEST VARS'!$J$62*(8*8)+'LINEST VARS'!$I$62*(8*$CF$80)+'LINEST VARS'!$H$62*(8*$BX98)+'LINEST VARS'!$G$62*(8*12.73)+'LINEST VARS'!$F$62*(8*$CF$80)+'LINEST VARS'!$E$62*(8*$BX98)+'LINEST VARS'!$D$62*(8*12.73)+'LINEST VARS'!$C$62*($CF$80*$BX98)+'LINEST VARS'!$B$62*($CF$80*12.73)+'LINEST VARS'!$A$62*($BX98*12.73)</f>
        <v>309.3549999999999</v>
      </c>
      <c r="CG98" s="55">
        <f>'LINEST VARS'!$U$62+'LINEST VARS'!$T$62*(8)+'LINEST VARS'!$S$62*(8)+'LINEST VARS'!$R$62*($CG$80)+'LINEST VARS'!$Q$62*($BX98)+'LINEST VARS'!$P$62*(12.73)+'LINEST VARS'!$O$62*(8^2)+'LINEST VARS'!$N$62*(8^2)+'LINEST VARS'!$M$62*($CG$80^2)+'LINEST VARS'!$L$62*($BX98^2)+'LINEST VARS'!$K$62*(12.73^2)+'LINEST VARS'!$J$62*(8*8)+'LINEST VARS'!$I$62*(8*$CG$80)+'LINEST VARS'!$H$62*(8*$BX98)+'LINEST VARS'!$G$62*(8*12.73)+'LINEST VARS'!$F$62*(8*$CG$80)+'LINEST VARS'!$E$62*(8*$BX98)+'LINEST VARS'!$D$62*(8*12.73)+'LINEST VARS'!$C$62*($CG$80*$BX98)+'LINEST VARS'!$B$62*($CG$80*12.73)+'LINEST VARS'!$A$62*($BX98*12.73)</f>
        <v>297.35499999999996</v>
      </c>
      <c r="CH98" s="55">
        <f>'LINEST VARS'!$U$62+'LINEST VARS'!$T$62*(8)+'LINEST VARS'!$S$62*(8)+'LINEST VARS'!$R$62*($CH$80)+'LINEST VARS'!$Q$62*($BX98)+'LINEST VARS'!$P$62*(12.73)+'LINEST VARS'!$O$62*(8^2)+'LINEST VARS'!$N$62*(8^2)+'LINEST VARS'!$M$62*($CH$80^2)+'LINEST VARS'!$L$62*($BX98^2)+'LINEST VARS'!$K$62*(12.73^2)+'LINEST VARS'!$J$62*(8*8)+'LINEST VARS'!$I$62*(8*$CH$80)+'LINEST VARS'!$H$62*(8*$BX98)+'LINEST VARS'!$G$62*(8*12.73)+'LINEST VARS'!$F$62*(8*$CH$80)+'LINEST VARS'!$E$62*(8*$BX98)+'LINEST VARS'!$D$62*(8*12.73)+'LINEST VARS'!$C$62*($CH$80*$BX98)+'LINEST VARS'!$B$62*($CH$80*12.73)+'LINEST VARS'!$A$62*($BX98*12.73)</f>
        <v>283.75499999999994</v>
      </c>
      <c r="CI98" s="55">
        <f>'LINEST VARS'!$U$62+'LINEST VARS'!$T$62*(8)+'LINEST VARS'!$S$62*(8)+'LINEST VARS'!$R$62*($CI$80)+'LINEST VARS'!$Q$62*($BX98)+'LINEST VARS'!$P$62*(12.73)+'LINEST VARS'!$O$62*(8^2)+'LINEST VARS'!$N$62*(8^2)+'LINEST VARS'!$M$62*($CI$80^2)+'LINEST VARS'!$L$62*($BX98^2)+'LINEST VARS'!$K$62*(12.73^2)+'LINEST VARS'!$J$62*(8*8)+'LINEST VARS'!$I$62*(8*$CI$80)+'LINEST VARS'!$H$62*(8*$BX98)+'LINEST VARS'!$G$62*(8*12.73)+'LINEST VARS'!$F$62*(8*$CI$80)+'LINEST VARS'!$E$62*(8*$BX98)+'LINEST VARS'!$D$62*(8*12.73)+'LINEST VARS'!$C$62*($CI$80*$BX98)+'LINEST VARS'!$B$62*($CI$80*12.73)+'LINEST VARS'!$A$62*($BX98*12.73)</f>
        <v>268.55499999999995</v>
      </c>
      <c r="CJ98" s="55">
        <f>'LINEST VARS'!$U$62+'LINEST VARS'!$T$62*(8)+'LINEST VARS'!$S$62*(8)+'LINEST VARS'!$R$62*($CJ$80)+'LINEST VARS'!$Q$62*($BX98)+'LINEST VARS'!$P$62*(12.73)+'LINEST VARS'!$O$62*(8^2)+'LINEST VARS'!$N$62*(8^2)+'LINEST VARS'!$M$62*($CJ$80^2)+'LINEST VARS'!$L$62*($BX98^2)+'LINEST VARS'!$K$62*(12.73^2)+'LINEST VARS'!$J$62*(8*8)+'LINEST VARS'!$I$62*(8*$CJ$80)+'LINEST VARS'!$H$62*(8*$BX98)+'LINEST VARS'!$G$62*(8*12.73)+'LINEST VARS'!$F$62*(8*$CJ$80)+'LINEST VARS'!$E$62*(8*$BX98)+'LINEST VARS'!$D$62*(8*12.73)+'LINEST VARS'!$C$62*($CJ$80*$BX98)+'LINEST VARS'!$B$62*($CJ$80*12.73)+'LINEST VARS'!$A$62*($BX98*12.73)</f>
        <v>251.75500000000005</v>
      </c>
      <c r="CK98" s="55">
        <f>'LINEST VARS'!$U$62+'LINEST VARS'!$T$62*(8)+'LINEST VARS'!$S$62*(8)+'LINEST VARS'!$R$62*($CK$80)+'LINEST VARS'!$Q$62*($BX98)+'LINEST VARS'!$P$62*(12.73)+'LINEST VARS'!$O$62*(8^2)+'LINEST VARS'!$N$62*(8^2)+'LINEST VARS'!$M$62*($CK$80^2)+'LINEST VARS'!$L$62*($BX98^2)+'LINEST VARS'!$K$62*(12.73^2)+'LINEST VARS'!$J$62*(8*8)+'LINEST VARS'!$I$62*(8*$CK$80)+'LINEST VARS'!$H$62*(8*$BX98)+'LINEST VARS'!$G$62*(8*12.73)+'LINEST VARS'!$F$62*(8*$CK$80)+'LINEST VARS'!$E$62*(8*$BX98)+'LINEST VARS'!$D$62*(8*12.73)+'LINEST VARS'!$C$62*($CK$80*$BX98)+'LINEST VARS'!$B$62*($CK$80*12.73)+'LINEST VARS'!$A$62*($BX98*12.73)</f>
        <v>233.3550000000001</v>
      </c>
      <c r="CL98" s="55">
        <f>'LINEST VARS'!$U$62+'LINEST VARS'!$T$62*(8)+'LINEST VARS'!$S$62*(8)+'LINEST VARS'!$R$62*($CL$80)+'LINEST VARS'!$Q$62*($BX98)+'LINEST VARS'!$P$62*(12.73)+'LINEST VARS'!$O$62*(8^2)+'LINEST VARS'!$N$62*(8^2)+'LINEST VARS'!$M$62*($CL$80^2)+'LINEST VARS'!$L$62*($BX98^2)+'LINEST VARS'!$K$62*(12.73^2)+'LINEST VARS'!$J$62*(8*8)+'LINEST VARS'!$I$62*(8*$CL$80)+'LINEST VARS'!$H$62*(8*$BX98)+'LINEST VARS'!$G$62*(8*12.73)+'LINEST VARS'!$F$62*(8*$CL$80)+'LINEST VARS'!$E$62*(8*$BX98)+'LINEST VARS'!$D$62*(8*12.73)+'LINEST VARS'!$C$62*($CL$80*$BX98)+'LINEST VARS'!$B$62*($CL$80*12.73)+'LINEST VARS'!$A$62*($BX98*12.73)</f>
        <v>213.35500000000005</v>
      </c>
      <c r="CM98" s="55">
        <f>'LINEST VARS'!$U$62+'LINEST VARS'!$T$62*(8)+'LINEST VARS'!$S$62*(8)+'LINEST VARS'!$R$62*($CM$80)+'LINEST VARS'!$Q$62*($BX98)+'LINEST VARS'!$P$62*(12.73)+'LINEST VARS'!$O$62*(8^2)+'LINEST VARS'!$N$62*(8^2)+'LINEST VARS'!$M$62*($CM$80^2)+'LINEST VARS'!$L$62*($BX98^2)+'LINEST VARS'!$K$62*(12.73^2)+'LINEST VARS'!$J$62*(8*8)+'LINEST VARS'!$I$62*(8*$CM$80)+'LINEST VARS'!$H$62*(8*$BX98)+'LINEST VARS'!$G$62*(8*12.73)+'LINEST VARS'!$F$62*(8*$CM$80)+'LINEST VARS'!$E$62*(8*$BX98)+'LINEST VARS'!$D$62*(8*12.73)+'LINEST VARS'!$C$62*($CM$80*$BX98)+'LINEST VARS'!$B$62*($CM$80*12.73)+'LINEST VARS'!$A$62*($BX98*12.73)</f>
        <v>191.75500000000014</v>
      </c>
      <c r="CN98" s="55">
        <f>'LINEST VARS'!$U$62+'LINEST VARS'!$T$62*(8)+'LINEST VARS'!$S$62*(8)+'LINEST VARS'!$R$62*($CN$80)+'LINEST VARS'!$Q$62*($BX98)+'LINEST VARS'!$P$62*(12.73)+'LINEST VARS'!$O$62*(8^2)+'LINEST VARS'!$N$62*(8^2)+'LINEST VARS'!$M$62*($CN$80^2)+'LINEST VARS'!$L$62*($BX98^2)+'LINEST VARS'!$K$62*(12.73^2)+'LINEST VARS'!$J$62*(8*8)+'LINEST VARS'!$I$62*(8*$CN$80)+'LINEST VARS'!$H$62*(8*$BX98)+'LINEST VARS'!$G$62*(8*12.73)+'LINEST VARS'!$F$62*(8*$CN$80)+'LINEST VARS'!$E$62*(8*$BX98)+'LINEST VARS'!$D$62*(8*12.73)+'LINEST VARS'!$C$62*($CN$80*$BX98)+'LINEST VARS'!$B$62*($CN$80*12.73)+'LINEST VARS'!$A$62*($BX98*12.73)</f>
        <v>168.55500000000012</v>
      </c>
      <c r="CO98" s="55">
        <f>'LINEST VARS'!$U$62+'LINEST VARS'!$T$62*(8)+'LINEST VARS'!$S$62*(8)+'LINEST VARS'!$R$62*($CO$80)+'LINEST VARS'!$Q$62*($BX98)+'LINEST VARS'!$P$62*(12.73)+'LINEST VARS'!$O$62*(8^2)+'LINEST VARS'!$N$62*(8^2)+'LINEST VARS'!$M$62*($CO$80^2)+'LINEST VARS'!$L$62*($BX98^2)+'LINEST VARS'!$K$62*(12.73^2)+'LINEST VARS'!$J$62*(8*8)+'LINEST VARS'!$I$62*(8*$CO$80)+'LINEST VARS'!$H$62*(8*$BX98)+'LINEST VARS'!$G$62*(8*12.73)+'LINEST VARS'!$F$62*(8*$CO$80)+'LINEST VARS'!$E$62*(8*$BX98)+'LINEST VARS'!$D$62*(8*12.73)+'LINEST VARS'!$C$62*($CO$80*$BX98)+'LINEST VARS'!$B$62*($CO$80*12.73)+'LINEST VARS'!$A$62*($BX98*12.73)</f>
        <v>143.75500000000014</v>
      </c>
      <c r="CP98" s="55">
        <f>'LINEST VARS'!$U$62+'LINEST VARS'!$T$62*(8)+'LINEST VARS'!$S$62*(8)+'LINEST VARS'!$R$62*($CP$80)+'LINEST VARS'!$Q$62*($BX98)+'LINEST VARS'!$P$62*(12.73)+'LINEST VARS'!$O$62*(8^2)+'LINEST VARS'!$N$62*(8^2)+'LINEST VARS'!$M$62*($CP$80^2)+'LINEST VARS'!$L$62*($BX98^2)+'LINEST VARS'!$K$62*(12.73^2)+'LINEST VARS'!$J$62*(8*8)+'LINEST VARS'!$I$62*(8*$CP$80)+'LINEST VARS'!$H$62*(8*$BX98)+'LINEST VARS'!$G$62*(8*12.73)+'LINEST VARS'!$F$62*(8*$CP$80)+'LINEST VARS'!$E$62*(8*$BX98)+'LINEST VARS'!$D$62*(8*12.73)+'LINEST VARS'!$C$62*($CP$80*$BX98)+'LINEST VARS'!$B$62*($CP$80*12.73)+'LINEST VARS'!$A$62*($BX98*12.73)</f>
        <v>117.35500000000012</v>
      </c>
      <c r="CQ98" s="55">
        <f>'LINEST VARS'!$U$62+'LINEST VARS'!$T$62*(8)+'LINEST VARS'!$S$62*(8)+'LINEST VARS'!$R$62*($CQ$80)+'LINEST VARS'!$Q$62*($BX98)+'LINEST VARS'!$P$62*(12.73)+'LINEST VARS'!$O$62*(8^2)+'LINEST VARS'!$N$62*(8^2)+'LINEST VARS'!$M$62*($CQ$80^2)+'LINEST VARS'!$L$62*($BX98^2)+'LINEST VARS'!$K$62*(12.73^2)+'LINEST VARS'!$J$62*(8*8)+'LINEST VARS'!$I$62*(8*$CQ$80)+'LINEST VARS'!$H$62*(8*$BX98)+'LINEST VARS'!$G$62*(8*12.73)+'LINEST VARS'!$F$62*(8*$CQ$80)+'LINEST VARS'!$E$62*(8*$BX98)+'LINEST VARS'!$D$62*(8*12.73)+'LINEST VARS'!$C$62*($CQ$80*$BX98)+'LINEST VARS'!$B$62*($CQ$80*12.73)+'LINEST VARS'!$A$62*($BX98*12.73)</f>
        <v>89.355000000000118</v>
      </c>
      <c r="CR98" s="55">
        <f>'LINEST VARS'!$U$62+'LINEST VARS'!$T$62*(8)+'LINEST VARS'!$S$62*(8)+'LINEST VARS'!$R$62*($CR$80)+'LINEST VARS'!$Q$62*($BX98)+'LINEST VARS'!$P$62*(12.73)+'LINEST VARS'!$O$62*(8^2)+'LINEST VARS'!$N$62*(8^2)+'LINEST VARS'!$M$62*($CR$80^2)+'LINEST VARS'!$L$62*($BX98^2)+'LINEST VARS'!$K$62*(12.73^2)+'LINEST VARS'!$J$62*(8*8)+'LINEST VARS'!$I$62*(8*$CR$80)+'LINEST VARS'!$H$62*(8*$BX98)+'LINEST VARS'!$G$62*(8*12.73)+'LINEST VARS'!$F$62*(8*$CR$80)+'LINEST VARS'!$E$62*(8*$BX98)+'LINEST VARS'!$D$62*(8*12.73)+'LINEST VARS'!$C$62*($CR$80*$BX98)+'LINEST VARS'!$B$62*($CR$80*12.73)+'LINEST VARS'!$A$62*($BX98*12.73)</f>
        <v>59.755000000000173</v>
      </c>
      <c r="CS98" s="56">
        <f>'LINEST VARS'!$U$62+'LINEST VARS'!$T$62*(8)+'LINEST VARS'!$S$62*(8)+'LINEST VARS'!$R$62*($CS$80)+'LINEST VARS'!$Q$62*($BX98)+'LINEST VARS'!$P$62*(12.73)+'LINEST VARS'!$O$62*(8^2)+'LINEST VARS'!$N$62*(8^2)+'LINEST VARS'!$M$62*($CS$80^2)+'LINEST VARS'!$L$62*($BX98^2)+'LINEST VARS'!$K$62*(12.73^2)+'LINEST VARS'!$J$62*(8*8)+'LINEST VARS'!$I$62*(8*$CS$80)+'LINEST VARS'!$H$62*(8*$BX98)+'LINEST VARS'!$G$62*(8*12.73)+'LINEST VARS'!$F$62*(8*$CS$80)+'LINEST VARS'!$E$62*(8*$BX98)+'LINEST VARS'!$D$62*(8*12.73)+'LINEST VARS'!$C$62*($CS$80*$BX98)+'LINEST VARS'!$B$62*($CS$80*12.73)+'LINEST VARS'!$A$62*($BX98*12.73)</f>
        <v>28.555000000000202</v>
      </c>
      <c r="CX98" s="45">
        <v>22.0915</v>
      </c>
      <c r="CY98" s="46">
        <f>'LINEST VARS'!$U$60+'LINEST VARS'!$T$60*(8)+'LINEST VARS'!$S$60*(8)+'LINEST VARS'!$R$60*($CY$80)+'LINEST VARS'!$Q$60*(0.5)+'LINEST VARS'!$P$60*($CX98)+'LINEST VARS'!$O$60*(8^2)+'LINEST VARS'!$N$60*(8^2)+'LINEST VARS'!$M$60*($CY$80^2)+'LINEST VARS'!$L$60*(0.5^2)+'LINEST VARS'!$K$60*($CX98^2)+'LINEST VARS'!$J$60*(8*8)+'LINEST VARS'!$I$60*(8*$CY$80)+'LINEST VARS'!$H$60*(8*0.5)+'LINEST VARS'!$G$60*(8*$CX98)+'LINEST VARS'!$F$60*(8*$CY$80)+'LINEST VARS'!$E$60*(8*0.5)+'LINEST VARS'!$D$60*(8*$CX98)+'LINEST VARS'!$C$60*($CY$80*0.5)+'LINEST VARS'!$B$60*($CY$80*$CX98)+'LINEST VARS'!$A$60*(0.5*$CX98)</f>
        <v>59.182999999999993</v>
      </c>
      <c r="CZ98" s="46">
        <f>'LINEST VARS'!$U$60+'LINEST VARS'!$T$60*(8)+'LINEST VARS'!$S$60*(8)+'LINEST VARS'!$R$60*($CZ$80)+'LINEST VARS'!$Q$60*(0.5)+'LINEST VARS'!$P$60*($CX98)+'LINEST VARS'!$O$60*(8^2)+'LINEST VARS'!$N$60*(8^2)+'LINEST VARS'!$M$60*($CZ$80^2)+'LINEST VARS'!$L$60*(0.5^2)+'LINEST VARS'!$K$60*($CX98^2)+'LINEST VARS'!$J$60*(8*8)+'LINEST VARS'!$I$60*(8*$CZ$80)+'LINEST VARS'!$H$60*(8*0.5)+'LINEST VARS'!$G$60*(8*$CX98)+'LINEST VARS'!$F$60*(8*$CZ$80)+'LINEST VARS'!$E$60*(8*0.5)+'LINEST VARS'!$D$60*(8*$CX98)+'LINEST VARS'!$C$60*($CZ$80*0.5)+'LINEST VARS'!$B$60*($CZ$80*$CX98)+'LINEST VARS'!$A$60*(0.5*$CX98)</f>
        <v>59.183</v>
      </c>
      <c r="DA98" s="46">
        <f>'LINEST VARS'!$U$60+'LINEST VARS'!$T$60*(8)+'LINEST VARS'!$S$60*(8)+'LINEST VARS'!$R$60*($DA$80)+'LINEST VARS'!$Q$60*(0.5)+'LINEST VARS'!$P$60*($CX98)+'LINEST VARS'!$O$60*(8^2)+'LINEST VARS'!$N$60*(8^2)+'LINEST VARS'!$M$60*($DA$80^2)+'LINEST VARS'!$L$60*(0.5^2)+'LINEST VARS'!$K$60*($CX98^2)+'LINEST VARS'!$J$60*(8*8)+'LINEST VARS'!$I$60*(8*$DA$80)+'LINEST VARS'!$H$60*(8*0.5)+'LINEST VARS'!$G$60*(8*$CX98)+'LINEST VARS'!$F$60*(8*$DA$80)+'LINEST VARS'!$E$60*(8*0.5)+'LINEST VARS'!$D$60*(8*$CX98)+'LINEST VARS'!$C$60*($DA$80*0.5)+'LINEST VARS'!$B$60*($DA$80*$CX98)+'LINEST VARS'!$A$60*(0.5*$CX98)</f>
        <v>59.183</v>
      </c>
      <c r="DB98" s="46">
        <f>'LINEST VARS'!$U$60+'LINEST VARS'!$T$60*(8)+'LINEST VARS'!$S$60*(8)+'LINEST VARS'!$R$60*($DB$80)+'LINEST VARS'!$Q$60*(0.5)+'LINEST VARS'!$P$60*($CX98)+'LINEST VARS'!$O$60*(8^2)+'LINEST VARS'!$N$60*(8^2)+'LINEST VARS'!$M$60*($DB$80^2)+'LINEST VARS'!$L$60*(0.5^2)+'LINEST VARS'!$K$60*($CX98^2)+'LINEST VARS'!$J$60*(8*8)+'LINEST VARS'!$I$60*(8*$DB$80)+'LINEST VARS'!$H$60*(8*0.5)+'LINEST VARS'!$G$60*(8*$CX98)+'LINEST VARS'!$F$60*(8*$DB$80)+'LINEST VARS'!$E$60*(8*0.5)+'LINEST VARS'!$D$60*(8*$CX98)+'LINEST VARS'!$C$60*($DB$80*0.5)+'LINEST VARS'!$B$60*($DB$80*$CX98)+'LINEST VARS'!$A$60*(0.5*$CX98)</f>
        <v>59.183</v>
      </c>
      <c r="DC98" s="46">
        <f>'LINEST VARS'!$U$60+'LINEST VARS'!$T$60*(8)+'LINEST VARS'!$S$60*(8)+'LINEST VARS'!$R$60*($DC$80)+'LINEST VARS'!$Q$60*(0.5)+'LINEST VARS'!$P$60*($CX98)+'LINEST VARS'!$O$60*(8^2)+'LINEST VARS'!$N$60*(8^2)+'LINEST VARS'!$M$60*($DC$80^2)+'LINEST VARS'!$L$60*(0.5^2)+'LINEST VARS'!$K$60*($CX98^2)+'LINEST VARS'!$J$60*(8*8)+'LINEST VARS'!$I$60*(8*$DC$80)+'LINEST VARS'!$H$60*(8*0.5)+'LINEST VARS'!$G$60*(8*$CX98)+'LINEST VARS'!$F$60*(8*$DC$80)+'LINEST VARS'!$E$60*(8*0.5)+'LINEST VARS'!$D$60*(8*$CX98)+'LINEST VARS'!$C$60*($DC$80*0.5)+'LINEST VARS'!$B$60*($DC$80*$CX98)+'LINEST VARS'!$A$60*(0.5*$CX98)</f>
        <v>59.183</v>
      </c>
      <c r="DD98" s="46">
        <f>'LINEST VARS'!$U$60+'LINEST VARS'!$T$60*(8)+'LINEST VARS'!$S$60*(8)+'LINEST VARS'!$R$60*($DD$80)+'LINEST VARS'!$Q$60*(0.5)+'LINEST VARS'!$P$60*($CX98)+'LINEST VARS'!$O$60*(8^2)+'LINEST VARS'!$N$60*(8^2)+'LINEST VARS'!$M$60*($DD$80^2)+'LINEST VARS'!$L$60*(0.5^2)+'LINEST VARS'!$K$60*($CX98^2)+'LINEST VARS'!$J$60*(8*8)+'LINEST VARS'!$I$60*(8*$DD$80)+'LINEST VARS'!$H$60*(8*0.5)+'LINEST VARS'!$G$60*(8*$CX98)+'LINEST VARS'!$F$60*(8*$DD$80)+'LINEST VARS'!$E$60*(8*0.5)+'LINEST VARS'!$D$60*(8*$CX98)+'LINEST VARS'!$C$60*($DD$80*0.5)+'LINEST VARS'!$B$60*($DD$80*$CX98)+'LINEST VARS'!$A$60*(0.5*$CX98)</f>
        <v>59.182999999999993</v>
      </c>
      <c r="DE98" s="46">
        <f>'LINEST VARS'!$U$60+'LINEST VARS'!$T$60*(8)+'LINEST VARS'!$S$60*(8)+'LINEST VARS'!$R$60*($DE$80)+'LINEST VARS'!$Q$60*(0.5)+'LINEST VARS'!$P$60*($CX98)+'LINEST VARS'!$O$60*(8^2)+'LINEST VARS'!$N$60*(8^2)+'LINEST VARS'!$M$60*($DE$80^2)+'LINEST VARS'!$L$60*(0.5^2)+'LINEST VARS'!$K$60*($CX98^2)+'LINEST VARS'!$J$60*(8*8)+'LINEST VARS'!$I$60*(8*$DE$80)+'LINEST VARS'!$H$60*(8*0.5)+'LINEST VARS'!$G$60*(8*$CX98)+'LINEST VARS'!$F$60*(8*$DE$80)+'LINEST VARS'!$E$60*(8*0.5)+'LINEST VARS'!$D$60*(8*$CX98)+'LINEST VARS'!$C$60*($DE$80*0.5)+'LINEST VARS'!$B$60*($DE$80*$CX98)+'LINEST VARS'!$A$60*(0.5*$CX98)</f>
        <v>59.182999999999993</v>
      </c>
      <c r="DF98" s="46">
        <f>'LINEST VARS'!$U$60+'LINEST VARS'!$T$60*(8)+'LINEST VARS'!$S$60*(8)+'LINEST VARS'!$R$60*($DF$80)+'LINEST VARS'!$Q$60*(0.5)+'LINEST VARS'!$P$60*($CX98)+'LINEST VARS'!$O$60*(8^2)+'LINEST VARS'!$N$60*(8^2)+'LINEST VARS'!$M$60*($DF$80^2)+'LINEST VARS'!$L$60*(0.5^2)+'LINEST VARS'!$K$60*($CX98^2)+'LINEST VARS'!$J$60*(8*8)+'LINEST VARS'!$I$60*(8*$DF$80)+'LINEST VARS'!$H$60*(8*0.5)+'LINEST VARS'!$G$60*(8*$CX98)+'LINEST VARS'!$F$60*(8*$DF$80)+'LINEST VARS'!$E$60*(8*0.5)+'LINEST VARS'!$D$60*(8*$CX98)+'LINEST VARS'!$C$60*($DF$80*0.5)+'LINEST VARS'!$B$60*($DF$80*$CX98)+'LINEST VARS'!$A$60*(0.5*$CX98)</f>
        <v>59.182999999999993</v>
      </c>
      <c r="DG98" s="46">
        <f>'LINEST VARS'!$U$60+'LINEST VARS'!$T$60*(8)+'LINEST VARS'!$S$60*(8)+'LINEST VARS'!$R$60*($DG$80)+'LINEST VARS'!$Q$60*(0.5)+'LINEST VARS'!$P$60*($CX98)+'LINEST VARS'!$O$60*(8^2)+'LINEST VARS'!$N$60*(8^2)+'LINEST VARS'!$M$60*($DG$80^2)+'LINEST VARS'!$L$60*(0.5^2)+'LINEST VARS'!$K$60*($CX98^2)+'LINEST VARS'!$J$60*(8*8)+'LINEST VARS'!$I$60*(8*$DG$80)+'LINEST VARS'!$H$60*(8*0.5)+'LINEST VARS'!$G$60*(8*$CX98)+'LINEST VARS'!$F$60*(8*$DG$80)+'LINEST VARS'!$E$60*(8*0.5)+'LINEST VARS'!$D$60*(8*$CX98)+'LINEST VARS'!$C$60*($DG$80*0.5)+'LINEST VARS'!$B$60*($DG$80*$CX98)+'LINEST VARS'!$A$60*(0.5*$CX98)</f>
        <v>59.183</v>
      </c>
      <c r="DH98" s="46">
        <f>'LINEST VARS'!$U$60+'LINEST VARS'!$T$60*(8)+'LINEST VARS'!$S$60*(8)+'LINEST VARS'!$R$60*($DH$80)+'LINEST VARS'!$Q$60*(0.5)+'LINEST VARS'!$P$60*($CX98)+'LINEST VARS'!$O$60*(8^2)+'LINEST VARS'!$N$60*(8^2)+'LINEST VARS'!$M$60*($DH$80^2)+'LINEST VARS'!$L$60*(0.5^2)+'LINEST VARS'!$K$60*($CX98^2)+'LINEST VARS'!$J$60*(8*8)+'LINEST VARS'!$I$60*(8*$DH$80)+'LINEST VARS'!$H$60*(8*0.5)+'LINEST VARS'!$G$60*(8*$CX98)+'LINEST VARS'!$F$60*(8*$DH$80)+'LINEST VARS'!$E$60*(8*0.5)+'LINEST VARS'!$D$60*(8*$CX98)+'LINEST VARS'!$C$60*($DH$80*0.5)+'LINEST VARS'!$B$60*($DH$80*$CX98)+'LINEST VARS'!$A$60*(0.5*$CX98)</f>
        <v>59.183</v>
      </c>
      <c r="DI98" s="46">
        <f>'LINEST VARS'!$U$60+'LINEST VARS'!$T$60*(8)+'LINEST VARS'!$S$60*(8)+'LINEST VARS'!$R$60*($DI$80)+'LINEST VARS'!$Q$60*(0.5)+'LINEST VARS'!$P$60*($CX98)+'LINEST VARS'!$O$60*(8^2)+'LINEST VARS'!$N$60*(8^2)+'LINEST VARS'!$M$60*($DI$80^2)+'LINEST VARS'!$L$60*(0.5^2)+'LINEST VARS'!$K$60*($CX98^2)+'LINEST VARS'!$J$60*(8*8)+'LINEST VARS'!$I$60*(8*$DI$80)+'LINEST VARS'!$H$60*(8*0.5)+'LINEST VARS'!$G$60*(8*$CX98)+'LINEST VARS'!$F$60*(8*$DI$80)+'LINEST VARS'!$E$60*(8*0.5)+'LINEST VARS'!$D$60*(8*$CX98)+'LINEST VARS'!$C$60*($DI$80*0.5)+'LINEST VARS'!$B$60*($DI$80*$CX98)+'LINEST VARS'!$A$60*(0.5*$CX98)</f>
        <v>59.183</v>
      </c>
      <c r="DJ98" s="46">
        <f>'LINEST VARS'!$U$60+'LINEST VARS'!$T$60*(8)+'LINEST VARS'!$S$60*(8)+'LINEST VARS'!$R$60*($DJ$80)+'LINEST VARS'!$Q$60*(0.5)+'LINEST VARS'!$P$60*($CX98)+'LINEST VARS'!$O$60*(8^2)+'LINEST VARS'!$N$60*(8^2)+'LINEST VARS'!$M$60*($DJ$80^2)+'LINEST VARS'!$L$60*(0.5^2)+'LINEST VARS'!$K$60*($CX98^2)+'LINEST VARS'!$J$60*(8*8)+'LINEST VARS'!$I$60*(8*$DJ$80)+'LINEST VARS'!$H$60*(8*0.5)+'LINEST VARS'!$G$60*(8*$CX98)+'LINEST VARS'!$F$60*(8*$DJ$80)+'LINEST VARS'!$E$60*(8*0.5)+'LINEST VARS'!$D$60*(8*$CX98)+'LINEST VARS'!$C$60*($DJ$80*0.5)+'LINEST VARS'!$B$60*($DJ$80*$CX98)+'LINEST VARS'!$A$60*(0.5*$CX98)</f>
        <v>59.183</v>
      </c>
      <c r="DK98" s="46">
        <f>'LINEST VARS'!$U$60+'LINEST VARS'!$T$60*(8)+'LINEST VARS'!$S$60*(8)+'LINEST VARS'!$R$60*($DK$80)+'LINEST VARS'!$Q$60*(0.5)+'LINEST VARS'!$P$60*($CX98)+'LINEST VARS'!$O$60*(8^2)+'LINEST VARS'!$N$60*(8^2)+'LINEST VARS'!$M$60*($DK$80^2)+'LINEST VARS'!$L$60*(0.5^2)+'LINEST VARS'!$K$60*($CX98^2)+'LINEST VARS'!$J$60*(8*8)+'LINEST VARS'!$I$60*(8*$DK$80)+'LINEST VARS'!$H$60*(8*0.5)+'LINEST VARS'!$G$60*(8*$CX98)+'LINEST VARS'!$F$60*(8*$DK$80)+'LINEST VARS'!$E$60*(8*0.5)+'LINEST VARS'!$D$60*(8*$CX98)+'LINEST VARS'!$C$60*($DK$80*0.5)+'LINEST VARS'!$B$60*($DK$80*$CX98)+'LINEST VARS'!$A$60*(0.5*$CX98)</f>
        <v>59.183</v>
      </c>
      <c r="DL98" s="46">
        <f>'LINEST VARS'!$U$60+'LINEST VARS'!$T$60*(8)+'LINEST VARS'!$S$60*(8)+'LINEST VARS'!$R$60*($DL$80)+'LINEST VARS'!$Q$60*(0.5)+'LINEST VARS'!$P$60*($CX98)+'LINEST VARS'!$O$60*(8^2)+'LINEST VARS'!$N$60*(8^2)+'LINEST VARS'!$M$60*($DL$80^2)+'LINEST VARS'!$L$60*(0.5^2)+'LINEST VARS'!$K$60*($CX98^2)+'LINEST VARS'!$J$60*(8*8)+'LINEST VARS'!$I$60*(8*$DL$80)+'LINEST VARS'!$H$60*(8*0.5)+'LINEST VARS'!$G$60*(8*$CX98)+'LINEST VARS'!$F$60*(8*$DL$80)+'LINEST VARS'!$E$60*(8*0.5)+'LINEST VARS'!$D$60*(8*$CX98)+'LINEST VARS'!$C$60*($DL$80*0.5)+'LINEST VARS'!$B$60*($DL$80*$CX98)+'LINEST VARS'!$A$60*(0.5*$CX98)</f>
        <v>59.182999999999993</v>
      </c>
      <c r="DM98" s="46">
        <f>'LINEST VARS'!$U$60+'LINEST VARS'!$T$60*(8)+'LINEST VARS'!$S$60*(8)+'LINEST VARS'!$R$60*($DM$80)+'LINEST VARS'!$Q$60*(0.5)+'LINEST VARS'!$P$60*($CX98)+'LINEST VARS'!$O$60*(8^2)+'LINEST VARS'!$N$60*(8^2)+'LINEST VARS'!$M$60*($DM$80^2)+'LINEST VARS'!$L$60*(0.5^2)+'LINEST VARS'!$K$60*($CX98^2)+'LINEST VARS'!$J$60*(8*8)+'LINEST VARS'!$I$60*(8*$DM$80)+'LINEST VARS'!$H$60*(8*0.5)+'LINEST VARS'!$G$60*(8*$CX98)+'LINEST VARS'!$F$60*(8*$DM$80)+'LINEST VARS'!$E$60*(8*0.5)+'LINEST VARS'!$D$60*(8*$CX98)+'LINEST VARS'!$C$60*($DM$80*0.5)+'LINEST VARS'!$B$60*($DM$80*$CX98)+'LINEST VARS'!$A$60*(0.5*$CX98)</f>
        <v>59.182999999999993</v>
      </c>
      <c r="DN98" s="46">
        <f>'LINEST VARS'!$U$60+'LINEST VARS'!$T$60*(8)+'LINEST VARS'!$S$60*(8)+'LINEST VARS'!$R$60*($DN$80)+'LINEST VARS'!$Q$60*(0.5)+'LINEST VARS'!$P$60*($CX98)+'LINEST VARS'!$O$60*(8^2)+'LINEST VARS'!$N$60*(8^2)+'LINEST VARS'!$M$60*($DN$80^2)+'LINEST VARS'!$L$60*(0.5^2)+'LINEST VARS'!$K$60*($CX98^2)+'LINEST VARS'!$J$60*(8*8)+'LINEST VARS'!$I$60*(8*$DN$80)+'LINEST VARS'!$H$60*(8*0.5)+'LINEST VARS'!$G$60*(8*$CX98)+'LINEST VARS'!$F$60*(8*$DN$80)+'LINEST VARS'!$E$60*(8*0.5)+'LINEST VARS'!$D$60*(8*$CX98)+'LINEST VARS'!$C$60*($DN$80*0.5)+'LINEST VARS'!$B$60*($DN$80*$CX98)+'LINEST VARS'!$A$60*(0.5*$CX98)</f>
        <v>59.183</v>
      </c>
      <c r="DO98" s="46">
        <f>'LINEST VARS'!$U$60+'LINEST VARS'!$T$60*(8)+'LINEST VARS'!$S$60*(8)+'LINEST VARS'!$R$60*($DO$80)+'LINEST VARS'!$Q$60*(0.5)+'LINEST VARS'!$P$60*($CX98)+'LINEST VARS'!$O$60*(8^2)+'LINEST VARS'!$N$60*(8^2)+'LINEST VARS'!$M$60*($DO$80^2)+'LINEST VARS'!$L$60*(0.5^2)+'LINEST VARS'!$K$60*($CX98^2)+'LINEST VARS'!$J$60*(8*8)+'LINEST VARS'!$I$60*(8*$DO$80)+'LINEST VARS'!$H$60*(8*0.5)+'LINEST VARS'!$G$60*(8*$CX98)+'LINEST VARS'!$F$60*(8*$DO$80)+'LINEST VARS'!$E$60*(8*0.5)+'LINEST VARS'!$D$60*(8*$CX98)+'LINEST VARS'!$C$60*($DO$80*0.5)+'LINEST VARS'!$B$60*($DO$80*$CX98)+'LINEST VARS'!$A$60*(0.5*$CX98)</f>
        <v>59.183</v>
      </c>
      <c r="DP98" s="46">
        <f>'LINEST VARS'!$U$60+'LINEST VARS'!$T$60*(8)+'LINEST VARS'!$S$60*(8)+'LINEST VARS'!$R$60*($DP$80)+'LINEST VARS'!$Q$60*(0.5)+'LINEST VARS'!$P$60*($CX98)+'LINEST VARS'!$O$60*(8^2)+'LINEST VARS'!$N$60*(8^2)+'LINEST VARS'!$M$60*($DP$80^2)+'LINEST VARS'!$L$60*(0.5^2)+'LINEST VARS'!$K$60*($CX98^2)+'LINEST VARS'!$J$60*(8*8)+'LINEST VARS'!$I$60*(8*$DP$80)+'LINEST VARS'!$H$60*(8*0.5)+'LINEST VARS'!$G$60*(8*$CX98)+'LINEST VARS'!$F$60*(8*$DP$80)+'LINEST VARS'!$E$60*(8*0.5)+'LINEST VARS'!$D$60*(8*$CX98)+'LINEST VARS'!$C$60*($DP$80*0.5)+'LINEST VARS'!$B$60*($DP$80*$CX98)+'LINEST VARS'!$A$60*(0.5*$CX98)</f>
        <v>59.183</v>
      </c>
      <c r="DQ98" s="46">
        <f>'LINEST VARS'!$U$60+'LINEST VARS'!$T$60*(8)+'LINEST VARS'!$S$60*(8)+'LINEST VARS'!$R$60*($DQ$80)+'LINEST VARS'!$Q$60*(0.5)+'LINEST VARS'!$P$60*($CX98)+'LINEST VARS'!$O$60*(8^2)+'LINEST VARS'!$N$60*(8^2)+'LINEST VARS'!$M$60*($DQ$80^2)+'LINEST VARS'!$L$60*(0.5^2)+'LINEST VARS'!$K$60*($CX98^2)+'LINEST VARS'!$J$60*(8*8)+'LINEST VARS'!$I$60*(8*$DQ$80)+'LINEST VARS'!$H$60*(8*0.5)+'LINEST VARS'!$G$60*(8*$CX98)+'LINEST VARS'!$F$60*(8*$DQ$80)+'LINEST VARS'!$E$60*(8*0.5)+'LINEST VARS'!$D$60*(8*$CX98)+'LINEST VARS'!$C$60*($DQ$80*0.5)+'LINEST VARS'!$B$60*($DQ$80*$CX98)+'LINEST VARS'!$A$60*(0.5*$CX98)</f>
        <v>59.183</v>
      </c>
      <c r="DR98" s="46">
        <f>'LINEST VARS'!$U$60+'LINEST VARS'!$T$60*(8)+'LINEST VARS'!$S$60*(8)+'LINEST VARS'!$R$60*($DR$80)+'LINEST VARS'!$Q$60*(0.5)+'LINEST VARS'!$P$60*($CX98)+'LINEST VARS'!$O$60*(8^2)+'LINEST VARS'!$N$60*(8^2)+'LINEST VARS'!$M$60*($DR$80^2)+'LINEST VARS'!$L$60*(0.5^2)+'LINEST VARS'!$K$60*($CX98^2)+'LINEST VARS'!$J$60*(8*8)+'LINEST VARS'!$I$60*(8*$DR$80)+'LINEST VARS'!$H$60*(8*0.5)+'LINEST VARS'!$G$60*(8*$CX98)+'LINEST VARS'!$F$60*(8*$DR$80)+'LINEST VARS'!$E$60*(8*0.5)+'LINEST VARS'!$D$60*(8*$CX98)+'LINEST VARS'!$C$60*($DR$80*0.5)+'LINEST VARS'!$B$60*($DR$80*$CX98)+'LINEST VARS'!$A$60*(0.5*$CX98)</f>
        <v>59.183</v>
      </c>
      <c r="DS98" s="47">
        <f>'LINEST VARS'!$U$60+'LINEST VARS'!$T$60*(8)+'LINEST VARS'!$S$60*(8)+'LINEST VARS'!$R$60*($DS$80)+'LINEST VARS'!$Q$60*(0.5)+'LINEST VARS'!$P$60*($CX98)+'LINEST VARS'!$O$60*(8^2)+'LINEST VARS'!$N$60*(8^2)+'LINEST VARS'!$M$60*($DS$80^2)+'LINEST VARS'!$L$60*(0.5^2)+'LINEST VARS'!$K$60*($CX98^2)+'LINEST VARS'!$J$60*(8*8)+'LINEST VARS'!$I$60*(8*$DS$80)+'LINEST VARS'!$H$60*(8*0.5)+'LINEST VARS'!$G$60*(8*$CX98)+'LINEST VARS'!$F$60*(8*$DS$80)+'LINEST VARS'!$E$60*(8*0.5)+'LINEST VARS'!$D$60*(8*$CX98)+'LINEST VARS'!$C$60*($DS$80*0.5)+'LINEST VARS'!$B$60*($DS$80*$CX98)+'LINEST VARS'!$A$60*(0.5*$CX98)</f>
        <v>59.183</v>
      </c>
      <c r="DV98" s="45">
        <v>22.0915</v>
      </c>
      <c r="DW98" s="55">
        <f>'LINEST VARS'!$U$62+'LINEST VARS'!$T$62*(8)+'LINEST VARS'!$S$62*(8)+'LINEST VARS'!$R$62*($DW$80)+'LINEST VARS'!$Q$62*(0.5)+'LINEST VARS'!$P$62*($DV98)+'LINEST VARS'!$O$62*(8^2)+'LINEST VARS'!$N$62*(8^2)+'LINEST VARS'!$M$62*($DW$80^2)+'LINEST VARS'!$L$62*(0.5^2)+'LINEST VARS'!$K$62*($DV98^2)+'LINEST VARS'!$J$62*(8*8)+'LINEST VARS'!$I$62*(8*$DW$80)+'LINEST VARS'!$H$62*(8*0.5)+'LINEST VARS'!$G$62*(8*$DV98)+'LINEST VARS'!$F$62*(8*$DW$80)+'LINEST VARS'!$E$62*(8*0.5)+'LINEST VARS'!$D$62*(8*$DV98)+'LINEST VARS'!$C$62*($DW$80*0.5)+'LINEST VARS'!$B$62*($DW$80*$DV98)+'LINEST VARS'!$A$62*(0.5*$DV98)</f>
        <v>349.49999999999994</v>
      </c>
      <c r="DX98" s="55">
        <f>'LINEST VARS'!$U$62+'LINEST VARS'!$T$62*(8)+'LINEST VARS'!$S$62*(8)+'LINEST VARS'!$R$62*($DX$80)+'LINEST VARS'!$Q$62*(0.5)+'LINEST VARS'!$P$62*($DV98)+'LINEST VARS'!$O$62*(8^2)+'LINEST VARS'!$N$62*(8^2)+'LINEST VARS'!$M$62*($DX$80^2)+'LINEST VARS'!$L$62*(0.5^2)+'LINEST VARS'!$K$62*($DV98^2)+'LINEST VARS'!$J$62*(8*8)+'LINEST VARS'!$I$62*(8*$DX$80)+'LINEST VARS'!$H$62*(8*0.5)+'LINEST VARS'!$G$62*(8*$DV98)+'LINEST VARS'!$F$62*(8*$DX$80)+'LINEST VARS'!$E$62*(8*0.5)+'LINEST VARS'!$D$62*(8*$DV98)+'LINEST VARS'!$C$62*($DX$80*0.5)+'LINEST VARS'!$B$62*($DX$80*$DV98)+'LINEST VARS'!$A$62*(0.5*$DV98)</f>
        <v>348.7</v>
      </c>
      <c r="DY98" s="55">
        <f>'LINEST VARS'!$U$62+'LINEST VARS'!$T$62*(8)+'LINEST VARS'!$S$62*(8)+'LINEST VARS'!$R$62*($DY$80)+'LINEST VARS'!$Q$62*(0.5)+'LINEST VARS'!$P$62*($DV98)+'LINEST VARS'!$O$62*(8^2)+'LINEST VARS'!$N$62*(8^2)+'LINEST VARS'!$M$62*($DY$80^2)+'LINEST VARS'!$L$62*(0.5^2)+'LINEST VARS'!$K$62*($DV98^2)+'LINEST VARS'!$J$62*(8*8)+'LINEST VARS'!$I$62*(8*$DY$80)+'LINEST VARS'!$H$62*(8*0.5)+'LINEST VARS'!$G$62*(8*$DV98)+'LINEST VARS'!$F$62*(8*$DY$80)+'LINEST VARS'!$E$62*(8*0.5)+'LINEST VARS'!$D$62*(8*$DV98)+'LINEST VARS'!$C$62*($DY$80*0.5)+'LINEST VARS'!$B$62*($DY$80*$DV98)+'LINEST VARS'!$A$62*(0.5*$DV98)</f>
        <v>346.2999999999999</v>
      </c>
      <c r="DZ98" s="55">
        <f>'LINEST VARS'!$U$62+'LINEST VARS'!$T$62*(8)+'LINEST VARS'!$S$62*(8)+'LINEST VARS'!$R$62*($DZ$80)+'LINEST VARS'!$Q$62*(0.5)+'LINEST VARS'!$P$62*($DV98)+'LINEST VARS'!$O$62*(8^2)+'LINEST VARS'!$N$62*(8^2)+'LINEST VARS'!$M$62*($DZ$80^2)+'LINEST VARS'!$L$62*(0.5^2)+'LINEST VARS'!$K$62*($DV98^2)+'LINEST VARS'!$J$62*(8*8)+'LINEST VARS'!$I$62*(8*$DZ$80)+'LINEST VARS'!$H$62*(8*0.5)+'LINEST VARS'!$G$62*(8*$DV98)+'LINEST VARS'!$F$62*(8*$DZ$80)+'LINEST VARS'!$E$62*(8*0.5)+'LINEST VARS'!$D$62*(8*$DV98)+'LINEST VARS'!$C$62*($DZ$80*0.5)+'LINEST VARS'!$B$62*($DZ$80*$DV98)+'LINEST VARS'!$A$62*(0.5*$DV98)</f>
        <v>342.29999999999995</v>
      </c>
      <c r="EA98" s="55">
        <f>'LINEST VARS'!$U$62+'LINEST VARS'!$T$62*(8)+'LINEST VARS'!$S$62*(8)+'LINEST VARS'!$R$62*($EA$80)+'LINEST VARS'!$Q$62*(0.5)+'LINEST VARS'!$P$62*($DV98)+'LINEST VARS'!$O$62*(8^2)+'LINEST VARS'!$N$62*(8^2)+'LINEST VARS'!$M$62*($EA$80^2)+'LINEST VARS'!$L$62*(0.5^2)+'LINEST VARS'!$K$62*($DV98^2)+'LINEST VARS'!$J$62*(8*8)+'LINEST VARS'!$I$62*(8*$EA$80)+'LINEST VARS'!$H$62*(8*0.5)+'LINEST VARS'!$G$62*(8*$DV98)+'LINEST VARS'!$F$62*(8*$EA$80)+'LINEST VARS'!$E$62*(8*0.5)+'LINEST VARS'!$D$62*(8*$DV98)+'LINEST VARS'!$C$62*($EA$80*0.5)+'LINEST VARS'!$B$62*($EA$80*$DV98)+'LINEST VARS'!$A$62*(0.5*$DV98)</f>
        <v>336.7</v>
      </c>
      <c r="EB98" s="55">
        <f>'LINEST VARS'!$U$62+'LINEST VARS'!$T$62*(8)+'LINEST VARS'!$S$62*(8)+'LINEST VARS'!$R$62*($EB$80)+'LINEST VARS'!$Q$62*(0.5)+'LINEST VARS'!$P$62*($DV98)+'LINEST VARS'!$O$62*(8^2)+'LINEST VARS'!$N$62*(8^2)+'LINEST VARS'!$M$62*($EB$80^2)+'LINEST VARS'!$L$62*(0.5^2)+'LINEST VARS'!$K$62*($DV98^2)+'LINEST VARS'!$J$62*(8*8)+'LINEST VARS'!$I$62*(8*$EB$80)+'LINEST VARS'!$H$62*(8*0.5)+'LINEST VARS'!$G$62*(8*$DV98)+'LINEST VARS'!$F$62*(8*$EB$80)+'LINEST VARS'!$E$62*(8*0.5)+'LINEST VARS'!$D$62*(8*$DV98)+'LINEST VARS'!$C$62*($EB$80*0.5)+'LINEST VARS'!$B$62*($EB$80*$DV98)+'LINEST VARS'!$A$62*(0.5*$DV98)</f>
        <v>329.5</v>
      </c>
      <c r="EC98" s="55">
        <f>'LINEST VARS'!$U$62+'LINEST VARS'!$T$62*(8)+'LINEST VARS'!$S$62*(8)+'LINEST VARS'!$R$62*($EC$80)+'LINEST VARS'!$Q$62*(0.5)+'LINEST VARS'!$P$62*($DV98)+'LINEST VARS'!$O$62*(8^2)+'LINEST VARS'!$N$62*(8^2)+'LINEST VARS'!$M$62*($EC$80^2)+'LINEST VARS'!$L$62*(0.5^2)+'LINEST VARS'!$K$62*($DV98^2)+'LINEST VARS'!$J$62*(8*8)+'LINEST VARS'!$I$62*(8*$EC$80)+'LINEST VARS'!$H$62*(8*0.5)+'LINEST VARS'!$G$62*(8*$DV98)+'LINEST VARS'!$F$62*(8*$EC$80)+'LINEST VARS'!$E$62*(8*0.5)+'LINEST VARS'!$D$62*(8*$DV98)+'LINEST VARS'!$C$62*($EC$80*0.5)+'LINEST VARS'!$B$62*($EC$80*$DV98)+'LINEST VARS'!$A$62*(0.5*$DV98)</f>
        <v>320.69999999999993</v>
      </c>
      <c r="ED98" s="55">
        <f>'LINEST VARS'!$U$62+'LINEST VARS'!$T$62*(8)+'LINEST VARS'!$S$62*(8)+'LINEST VARS'!$R$62*($ED$80)+'LINEST VARS'!$Q$62*(0.5)+'LINEST VARS'!$P$62*($DV98)+'LINEST VARS'!$O$62*(8^2)+'LINEST VARS'!$N$62*(8^2)+'LINEST VARS'!$M$62*($ED$80^2)+'LINEST VARS'!$L$62*(0.5^2)+'LINEST VARS'!$K$62*($DV98^2)+'LINEST VARS'!$J$62*(8*8)+'LINEST VARS'!$I$62*(8*$ED$80)+'LINEST VARS'!$H$62*(8*0.5)+'LINEST VARS'!$G$62*(8*$DV98)+'LINEST VARS'!$F$62*(8*$ED$80)+'LINEST VARS'!$E$62*(8*0.5)+'LINEST VARS'!$D$62*(8*$DV98)+'LINEST VARS'!$C$62*($ED$80*0.5)+'LINEST VARS'!$B$62*($ED$80*$DV98)+'LINEST VARS'!$A$62*(0.5*$DV98)</f>
        <v>310.29999999999995</v>
      </c>
      <c r="EE98" s="55">
        <f>'LINEST VARS'!$U$62+'LINEST VARS'!$T$62*(8)+'LINEST VARS'!$S$62*(8)+'LINEST VARS'!$R$62*($EE$80)+'LINEST VARS'!$Q$62*(0.5)+'LINEST VARS'!$P$62*($DV98)+'LINEST VARS'!$O$62*(8^2)+'LINEST VARS'!$N$62*(8^2)+'LINEST VARS'!$M$62*($EE$80^2)+'LINEST VARS'!$L$62*(0.5^2)+'LINEST VARS'!$K$62*($DV98^2)+'LINEST VARS'!$J$62*(8*8)+'LINEST VARS'!$I$62*(8*$EE$80)+'LINEST VARS'!$H$62*(8*0.5)+'LINEST VARS'!$G$62*(8*$DV98)+'LINEST VARS'!$F$62*(8*$EE$80)+'LINEST VARS'!$E$62*(8*0.5)+'LINEST VARS'!$D$62*(8*$DV98)+'LINEST VARS'!$C$62*($EE$80*0.5)+'LINEST VARS'!$B$62*($EE$80*$DV98)+'LINEST VARS'!$A$62*(0.5*$DV98)</f>
        <v>298.3</v>
      </c>
      <c r="EF98" s="55">
        <f>'LINEST VARS'!$U$62+'LINEST VARS'!$T$62*(8)+'LINEST VARS'!$S$62*(8)+'LINEST VARS'!$R$62*($EF$80)+'LINEST VARS'!$Q$62*(0.5)+'LINEST VARS'!$P$62*($DV98)+'LINEST VARS'!$O$62*(8^2)+'LINEST VARS'!$N$62*(8^2)+'LINEST VARS'!$M$62*($EF$80^2)+'LINEST VARS'!$L$62*(0.5^2)+'LINEST VARS'!$K$62*($DV98^2)+'LINEST VARS'!$J$62*(8*8)+'LINEST VARS'!$I$62*(8*$EF$80)+'LINEST VARS'!$H$62*(8*0.5)+'LINEST VARS'!$G$62*(8*$DV98)+'LINEST VARS'!$F$62*(8*$EF$80)+'LINEST VARS'!$E$62*(8*0.5)+'LINEST VARS'!$D$62*(8*$DV98)+'LINEST VARS'!$C$62*($EF$80*0.5)+'LINEST VARS'!$B$62*($EF$80*$DV98)+'LINEST VARS'!$A$62*(0.5*$DV98)</f>
        <v>284.7</v>
      </c>
      <c r="EG98" s="55">
        <f>'LINEST VARS'!$U$62+'LINEST VARS'!$T$62*(8)+'LINEST VARS'!$S$62*(8)+'LINEST VARS'!$R$62*($EG$80)+'LINEST VARS'!$Q$62*(0.5)+'LINEST VARS'!$P$62*($DV98)+'LINEST VARS'!$O$62*(8^2)+'LINEST VARS'!$N$62*(8^2)+'LINEST VARS'!$M$62*($EG$80^2)+'LINEST VARS'!$L$62*(0.5^2)+'LINEST VARS'!$K$62*($DV98^2)+'LINEST VARS'!$J$62*(8*8)+'LINEST VARS'!$I$62*(8*$EG$80)+'LINEST VARS'!$H$62*(8*0.5)+'LINEST VARS'!$G$62*(8*$DV98)+'LINEST VARS'!$F$62*(8*$EG$80)+'LINEST VARS'!$E$62*(8*0.5)+'LINEST VARS'!$D$62*(8*$DV98)+'LINEST VARS'!$C$62*($EG$80*0.5)+'LINEST VARS'!$B$62*($EG$80*$DV98)+'LINEST VARS'!$A$62*(0.5*$DV98)</f>
        <v>269.5</v>
      </c>
      <c r="EH98" s="55">
        <f>'LINEST VARS'!$U$62+'LINEST VARS'!$T$62*(8)+'LINEST VARS'!$S$62*(8)+'LINEST VARS'!$R$62*($EH$80)+'LINEST VARS'!$Q$62*(0.5)+'LINEST VARS'!$P$62*($DV98)+'LINEST VARS'!$O$62*(8^2)+'LINEST VARS'!$N$62*(8^2)+'LINEST VARS'!$M$62*($EH$80^2)+'LINEST VARS'!$L$62*(0.5^2)+'LINEST VARS'!$K$62*($DV98^2)+'LINEST VARS'!$J$62*(8*8)+'LINEST VARS'!$I$62*(8*$EH$80)+'LINEST VARS'!$H$62*(8*0.5)+'LINEST VARS'!$G$62*(8*$DV98)+'LINEST VARS'!$F$62*(8*$EH$80)+'LINEST VARS'!$E$62*(8*0.5)+'LINEST VARS'!$D$62*(8*$DV98)+'LINEST VARS'!$C$62*($EH$80*0.5)+'LINEST VARS'!$B$62*($EH$80*$DV98)+'LINEST VARS'!$A$62*(0.5*$DV98)</f>
        <v>252.70000000000005</v>
      </c>
      <c r="EI98" s="55">
        <f>'LINEST VARS'!$U$62+'LINEST VARS'!$T$62*(8)+'LINEST VARS'!$S$62*(8)+'LINEST VARS'!$R$62*($EI$80)+'LINEST VARS'!$Q$62*(0.5)+'LINEST VARS'!$P$62*($DV98)+'LINEST VARS'!$O$62*(8^2)+'LINEST VARS'!$N$62*(8^2)+'LINEST VARS'!$M$62*($EI$80^2)+'LINEST VARS'!$L$62*(0.5^2)+'LINEST VARS'!$K$62*($DV98^2)+'LINEST VARS'!$J$62*(8*8)+'LINEST VARS'!$I$62*(8*$EI$80)+'LINEST VARS'!$H$62*(8*0.5)+'LINEST VARS'!$G$62*(8*$DV98)+'LINEST VARS'!$F$62*(8*$EI$80)+'LINEST VARS'!$E$62*(8*0.5)+'LINEST VARS'!$D$62*(8*$DV98)+'LINEST VARS'!$C$62*($EI$80*0.5)+'LINEST VARS'!$B$62*($EI$80*$DV98)+'LINEST VARS'!$A$62*(0.5*$DV98)</f>
        <v>234.3000000000001</v>
      </c>
      <c r="EJ98" s="55">
        <f>'LINEST VARS'!$U$62+'LINEST VARS'!$T$62*(8)+'LINEST VARS'!$S$62*(8)+'LINEST VARS'!$R$62*($EJ$80)+'LINEST VARS'!$Q$62*(0.5)+'LINEST VARS'!$P$62*($DV98)+'LINEST VARS'!$O$62*(8^2)+'LINEST VARS'!$N$62*(8^2)+'LINEST VARS'!$M$62*($EJ$80^2)+'LINEST VARS'!$L$62*(0.5^2)+'LINEST VARS'!$K$62*($DV98^2)+'LINEST VARS'!$J$62*(8*8)+'LINEST VARS'!$I$62*(8*$EJ$80)+'LINEST VARS'!$H$62*(8*0.5)+'LINEST VARS'!$G$62*(8*$DV98)+'LINEST VARS'!$F$62*(8*$EJ$80)+'LINEST VARS'!$E$62*(8*0.5)+'LINEST VARS'!$D$62*(8*$DV98)+'LINEST VARS'!$C$62*($EJ$80*0.5)+'LINEST VARS'!$B$62*($EJ$80*$DV98)+'LINEST VARS'!$A$62*(0.5*$DV98)</f>
        <v>214.30000000000004</v>
      </c>
      <c r="EK98" s="55">
        <f>'LINEST VARS'!$U$62+'LINEST VARS'!$T$62*(8)+'LINEST VARS'!$S$62*(8)+'LINEST VARS'!$R$62*($EK$80)+'LINEST VARS'!$Q$62*(0.5)+'LINEST VARS'!$P$62*($DV98)+'LINEST VARS'!$O$62*(8^2)+'LINEST VARS'!$N$62*(8^2)+'LINEST VARS'!$M$62*($EK$80^2)+'LINEST VARS'!$L$62*(0.5^2)+'LINEST VARS'!$K$62*($DV98^2)+'LINEST VARS'!$J$62*(8*8)+'LINEST VARS'!$I$62*(8*$EK$80)+'LINEST VARS'!$H$62*(8*0.5)+'LINEST VARS'!$G$62*(8*$DV98)+'LINEST VARS'!$F$62*(8*$EK$80)+'LINEST VARS'!$E$62*(8*0.5)+'LINEST VARS'!$D$62*(8*$DV98)+'LINEST VARS'!$C$62*($EK$80*0.5)+'LINEST VARS'!$B$62*($EK$80*$DV98)+'LINEST VARS'!$A$62*(0.5*$DV98)</f>
        <v>192.70000000000013</v>
      </c>
      <c r="EL98" s="55">
        <f>'LINEST VARS'!$U$62+'LINEST VARS'!$T$62*(8)+'LINEST VARS'!$S$62*(8)+'LINEST VARS'!$R$62*($EL$80)+'LINEST VARS'!$Q$62*(0.5)+'LINEST VARS'!$P$62*($DV98)+'LINEST VARS'!$O$62*(8^2)+'LINEST VARS'!$N$62*(8^2)+'LINEST VARS'!$M$62*($EL$80^2)+'LINEST VARS'!$L$62*(0.5^2)+'LINEST VARS'!$K$62*($DV98^2)+'LINEST VARS'!$J$62*(8*8)+'LINEST VARS'!$I$62*(8*$EL$80)+'LINEST VARS'!$H$62*(8*0.5)+'LINEST VARS'!$G$62*(8*$DV98)+'LINEST VARS'!$F$62*(8*$EL$80)+'LINEST VARS'!$E$62*(8*0.5)+'LINEST VARS'!$D$62*(8*$DV98)+'LINEST VARS'!$C$62*($EL$80*0.5)+'LINEST VARS'!$B$62*($EL$80*$DV98)+'LINEST VARS'!$A$62*(0.5*$DV98)</f>
        <v>169.50000000000009</v>
      </c>
      <c r="EM98" s="55">
        <f>'LINEST VARS'!$U$62+'LINEST VARS'!$T$62*(8)+'LINEST VARS'!$S$62*(8)+'LINEST VARS'!$R$62*($EM$80)+'LINEST VARS'!$Q$62*(0.5)+'LINEST VARS'!$P$62*($DV98)+'LINEST VARS'!$O$62*(8^2)+'LINEST VARS'!$N$62*(8^2)+'LINEST VARS'!$M$62*($EM$80^2)+'LINEST VARS'!$L$62*(0.5^2)+'LINEST VARS'!$K$62*($DV98^2)+'LINEST VARS'!$J$62*(8*8)+'LINEST VARS'!$I$62*(8*$EM$80)+'LINEST VARS'!$H$62*(8*0.5)+'LINEST VARS'!$G$62*(8*$DV98)+'LINEST VARS'!$F$62*(8*$EM$80)+'LINEST VARS'!$E$62*(8*0.5)+'LINEST VARS'!$D$62*(8*$DV98)+'LINEST VARS'!$C$62*($EM$80*0.5)+'LINEST VARS'!$B$62*($EM$80*$DV98)+'LINEST VARS'!$A$62*(0.5*$DV98)</f>
        <v>144.70000000000007</v>
      </c>
      <c r="EN98" s="55">
        <f>'LINEST VARS'!$U$62+'LINEST VARS'!$T$62*(8)+'LINEST VARS'!$S$62*(8)+'LINEST VARS'!$R$62*($EN$80)+'LINEST VARS'!$Q$62*(0.5)+'LINEST VARS'!$P$62*($DV98)+'LINEST VARS'!$O$62*(8^2)+'LINEST VARS'!$N$62*(8^2)+'LINEST VARS'!$M$62*($EN$80^2)+'LINEST VARS'!$L$62*(0.5^2)+'LINEST VARS'!$K$62*($DV98^2)+'LINEST VARS'!$J$62*(8*8)+'LINEST VARS'!$I$62*(8*$EN$80)+'LINEST VARS'!$H$62*(8*0.5)+'LINEST VARS'!$G$62*(8*$DV98)+'LINEST VARS'!$F$62*(8*$EN$80)+'LINEST VARS'!$E$62*(8*0.5)+'LINEST VARS'!$D$62*(8*$DV98)+'LINEST VARS'!$C$62*($EN$80*0.5)+'LINEST VARS'!$B$62*($EN$80*$DV98)+'LINEST VARS'!$A$62*(0.5*$DV98)</f>
        <v>118.3000000000001</v>
      </c>
      <c r="EO98" s="55">
        <f>'LINEST VARS'!$U$62+'LINEST VARS'!$T$62*(8)+'LINEST VARS'!$S$62*(8)+'LINEST VARS'!$R$62*($EO$80)+'LINEST VARS'!$Q$62*(0.5)+'LINEST VARS'!$P$62*($DV98)+'LINEST VARS'!$O$62*(8^2)+'LINEST VARS'!$N$62*(8^2)+'LINEST VARS'!$M$62*($EO$80^2)+'LINEST VARS'!$L$62*(0.5^2)+'LINEST VARS'!$K$62*($DV98^2)+'LINEST VARS'!$J$62*(8*8)+'LINEST VARS'!$I$62*(8*$EO$80)+'LINEST VARS'!$H$62*(8*0.5)+'LINEST VARS'!$G$62*(8*$DV98)+'LINEST VARS'!$F$62*(8*$EO$80)+'LINEST VARS'!$E$62*(8*0.5)+'LINEST VARS'!$D$62*(8*$DV98)+'LINEST VARS'!$C$62*($EO$80*0.5)+'LINEST VARS'!$B$62*($EO$80*$DV98)+'LINEST VARS'!$A$62*(0.5*$DV98)</f>
        <v>90.300000000000082</v>
      </c>
      <c r="EP98" s="55">
        <f>'LINEST VARS'!$U$62+'LINEST VARS'!$T$62*(8)+'LINEST VARS'!$S$62*(8)+'LINEST VARS'!$R$62*($EP$80)+'LINEST VARS'!$Q$62*(0.5)+'LINEST VARS'!$P$62*($DV98)+'LINEST VARS'!$O$62*(8^2)+'LINEST VARS'!$N$62*(8^2)+'LINEST VARS'!$M$62*($EP$80^2)+'LINEST VARS'!$L$62*(0.5^2)+'LINEST VARS'!$K$62*($DV98^2)+'LINEST VARS'!$J$62*(8*8)+'LINEST VARS'!$I$62*(8*$EP$80)+'LINEST VARS'!$H$62*(8*0.5)+'LINEST VARS'!$G$62*(8*$DV98)+'LINEST VARS'!$F$62*(8*$EP$80)+'LINEST VARS'!$E$62*(8*0.5)+'LINEST VARS'!$D$62*(8*$DV98)+'LINEST VARS'!$C$62*($EP$80*0.5)+'LINEST VARS'!$B$62*($EP$80*$DV98)+'LINEST VARS'!$A$62*(0.5*$DV98)</f>
        <v>60.700000000000138</v>
      </c>
      <c r="EQ98" s="56">
        <f>'LINEST VARS'!$U$62+'LINEST VARS'!$T$62*(8)+'LINEST VARS'!$S$62*(8)+'LINEST VARS'!$R$62*($EQ$80)+'LINEST VARS'!$Q$62*(0.5)+'LINEST VARS'!$P$62*($DV98)+'LINEST VARS'!$O$62*(8^2)+'LINEST VARS'!$N$62*(8^2)+'LINEST VARS'!$M$62*($EQ$80^2)+'LINEST VARS'!$L$62*(0.5^2)+'LINEST VARS'!$K$62*($DV98^2)+'LINEST VARS'!$J$62*(8*8)+'LINEST VARS'!$I$62*(8*$EQ$80)+'LINEST VARS'!$H$62*(8*0.5)+'LINEST VARS'!$G$62*(8*$DV98)+'LINEST VARS'!$F$62*(8*$EQ$80)+'LINEST VARS'!$E$62*(8*0.5)+'LINEST VARS'!$D$62*(8*$DV98)+'LINEST VARS'!$C$62*($EQ$80*0.5)+'LINEST VARS'!$B$62*($EQ$80*$DV98)+'LINEST VARS'!$A$62*(0.5*$DV98)</f>
        <v>29.500000000000178</v>
      </c>
    </row>
    <row r="99" spans="2:147" ht="15" customHeight="1" x14ac:dyDescent="0.25">
      <c r="B99" s="45">
        <v>8.48</v>
      </c>
      <c r="C99" s="46">
        <f>'LINEST VARS'!$U$60+'LINEST VARS'!$T$60*($C$80)+'LINEST VARS'!$S$60*($B99)+'LINEST VARS'!$R$60*(4)+'LINEST VARS'!$Q$60*(0.5)+'LINEST VARS'!$P$60*(12.73)+'LINEST VARS'!$O$60*($C$80^2)+'LINEST VARS'!$N$60*($B99^2)+'LINEST VARS'!$M$60*(4^2)+'LINEST VARS'!$L$60*(0.5^2)+'LINEST VARS'!$K$60*(12.73^2)+'LINEST VARS'!$J$60*($C$80*$B99)+'LINEST VARS'!$I$60*($C$80*4)+'LINEST VARS'!$H$60*($C$80*0.5)+'LINEST VARS'!$G$60*($C$80*12.73)+'LINEST VARS'!$F$60*($B99*4)+'LINEST VARS'!$E$60*($B99*0.5)+'LINEST VARS'!$D$60*($B99*12.73)+'LINEST VARS'!$C$60*(4*0.5)+'LINEST VARS'!$B$60*(4*12.73)+'LINEST VARS'!$A$60*(0.5*12.73)</f>
        <v>40.460000000000015</v>
      </c>
      <c r="D99" s="46">
        <f>'LINEST VARS'!$U$60+'LINEST VARS'!$T$60*($D$80)+'LINEST VARS'!$S$60*($B99)+'LINEST VARS'!$R$60*(4)+'LINEST VARS'!$Q$60*(0.5)+'LINEST VARS'!$P$60*(12.73)+'LINEST VARS'!$O$60*($D$80^2)+'LINEST VARS'!$N$60*($B99^2)+'LINEST VARS'!$M$60*(4^2)+'LINEST VARS'!$L$60*(0.5^2)+'LINEST VARS'!$K$60*(12.73^2)+'LINEST VARS'!$J$60*($D$80*$B99)+'LINEST VARS'!$I$60*($D$80*4)+'LINEST VARS'!$H$60*($D$80*0.5)+'LINEST VARS'!$G$60*($D$80*12.73)+'LINEST VARS'!$F$60*($B99*4)+'LINEST VARS'!$E$60*($B99*0.5)+'LINEST VARS'!$D$60*($B99*12.73)+'LINEST VARS'!$C$60*(4*0.5)+'LINEST VARS'!$B$60*(4*12.73)+'LINEST VARS'!$A$60*(0.5*12.73)</f>
        <v>40.460000000000008</v>
      </c>
      <c r="E99" s="46">
        <f>'LINEST VARS'!$U$60+'LINEST VARS'!$T$60*($E$80)+'LINEST VARS'!$S$60*($B99)+'LINEST VARS'!$R$60*(4)+'LINEST VARS'!$Q$60*(0.5)+'LINEST VARS'!$P$60*(12.73)+'LINEST VARS'!$O$60*($E$80^2)+'LINEST VARS'!$N$60*($B99^2)+'LINEST VARS'!$M$60*(4^2)+'LINEST VARS'!$L$60*(0.5^2)+'LINEST VARS'!$K$60*(12.73^2)+'LINEST VARS'!$J$60*($E$80*$B99)+'LINEST VARS'!$I$60*($E$80*4)+'LINEST VARS'!$H$60*($E$80*0.5)+'LINEST VARS'!$G$60*($E$80*12.73)+'LINEST VARS'!$F$60*($B99*4)+'LINEST VARS'!$E$60*($B99*0.5)+'LINEST VARS'!$D$60*($B99*12.73)+'LINEST VARS'!$C$60*(4*0.5)+'LINEST VARS'!$B$60*(4*12.73)+'LINEST VARS'!$A$60*(0.5*12.73)</f>
        <v>40.460000000000008</v>
      </c>
      <c r="F99" s="46">
        <f>'LINEST VARS'!$U$60+'LINEST VARS'!$T$60*($F$80)+'LINEST VARS'!$S$60*($B99)+'LINEST VARS'!$R$60*(4)+'LINEST VARS'!$Q$60*(0.5)+'LINEST VARS'!$P$60*(12.73)+'LINEST VARS'!$O$60*($F$80^2)+'LINEST VARS'!$N$60*($B99^2)+'LINEST VARS'!$M$60*(4^2)+'LINEST VARS'!$L$60*(0.5^2)+'LINEST VARS'!$K$60*(12.73^2)+'LINEST VARS'!$J$60*($F$80*$B99)+'LINEST VARS'!$I$60*($F$80*4)+'LINEST VARS'!$H$60*($F$80*0.5)+'LINEST VARS'!$G$60*($F$80*12.73)+'LINEST VARS'!$F$60*($B99*4)+'LINEST VARS'!$E$60*($B99*0.5)+'LINEST VARS'!$D$60*($B99*12.73)+'LINEST VARS'!$C$60*(4*0.5)+'LINEST VARS'!$B$60*(4*12.73)+'LINEST VARS'!$A$60*(0.5*12.73)</f>
        <v>40.460000000000008</v>
      </c>
      <c r="G99" s="46">
        <f>'LINEST VARS'!$U$60+'LINEST VARS'!$T$60*($G$80)+'LINEST VARS'!$S$60*($B99)+'LINEST VARS'!$R$60*(4)+'LINEST VARS'!$Q$60*(0.5)+'LINEST VARS'!$P$60*(12.73)+'LINEST VARS'!$O$60*($G$80^2)+'LINEST VARS'!$N$60*($B99^2)+'LINEST VARS'!$M$60*(4^2)+'LINEST VARS'!$L$60*(0.5^2)+'LINEST VARS'!$K$60*(12.73^2)+'LINEST VARS'!$J$60*($G$80*$B99)+'LINEST VARS'!$I$60*($G$80*4)+'LINEST VARS'!$H$60*($G$80*0.5)+'LINEST VARS'!$G$60*($G$80*12.73)+'LINEST VARS'!$F$60*($B99*4)+'LINEST VARS'!$E$60*($B99*0.5)+'LINEST VARS'!$D$60*($B99*12.73)+'LINEST VARS'!$C$60*(4*0.5)+'LINEST VARS'!$B$60*(4*12.73)+'LINEST VARS'!$A$60*(0.5*12.73)</f>
        <v>40.46</v>
      </c>
      <c r="H99" s="46">
        <f>'LINEST VARS'!$U$60+'LINEST VARS'!$T$60*($H$80)+'LINEST VARS'!$S$60*($B99)+'LINEST VARS'!$R$60*(4)+'LINEST VARS'!$Q$60*(0.5)+'LINEST VARS'!$P$60*(12.73)+'LINEST VARS'!$O$60*($H$80^2)+'LINEST VARS'!$N$60*($B99^2)+'LINEST VARS'!$M$60*(4^2)+'LINEST VARS'!$L$60*(0.5^2)+'LINEST VARS'!$K$60*(12.73^2)+'LINEST VARS'!$J$60*($H$80*$B99)+'LINEST VARS'!$I$60*($H$80*4)+'LINEST VARS'!$H$60*($H$80*0.5)+'LINEST VARS'!$G$60*($H$80*12.73)+'LINEST VARS'!$F$60*($B99*4)+'LINEST VARS'!$E$60*($B99*0.5)+'LINEST VARS'!$D$60*($B99*12.73)+'LINEST VARS'!$C$60*(4*0.5)+'LINEST VARS'!$B$60*(4*12.73)+'LINEST VARS'!$A$60*(0.5*12.73)</f>
        <v>40.46</v>
      </c>
      <c r="I99" s="46">
        <f>'LINEST VARS'!$U$60+'LINEST VARS'!$T$60*($I$80)+'LINEST VARS'!$S$60*($B99)+'LINEST VARS'!$R$60*(4)+'LINEST VARS'!$Q$60*(0.5)+'LINEST VARS'!$P$60*(12.73)+'LINEST VARS'!$O$60*($I$80^2)+'LINEST VARS'!$N$60*($B99^2)+'LINEST VARS'!$M$60*(4^2)+'LINEST VARS'!$L$60*(0.5^2)+'LINEST VARS'!$K$60*(12.73^2)+'LINEST VARS'!$J$60*($I$80*$B99)+'LINEST VARS'!$I$60*($I$80*4)+'LINEST VARS'!$H$60*($I$80*0.5)+'LINEST VARS'!$G$60*($I$80*12.73)+'LINEST VARS'!$F$60*($B99*4)+'LINEST VARS'!$E$60*($B99*0.5)+'LINEST VARS'!$D$60*($B99*12.73)+'LINEST VARS'!$C$60*(4*0.5)+'LINEST VARS'!$B$60*(4*12.73)+'LINEST VARS'!$A$60*(0.5*12.73)</f>
        <v>40.460000000000008</v>
      </c>
      <c r="J99" s="46">
        <f>'LINEST VARS'!$U$60+'LINEST VARS'!$T$60*($J$80)+'LINEST VARS'!$S$60*($B99)+'LINEST VARS'!$R$60*(4)+'LINEST VARS'!$Q$60*(0.5)+'LINEST VARS'!$P$60*(12.73)+'LINEST VARS'!$O$60*($J$80^2)+'LINEST VARS'!$N$60*($B99^2)+'LINEST VARS'!$M$60*(4^2)+'LINEST VARS'!$L$60*(0.5^2)+'LINEST VARS'!$K$60*(12.73^2)+'LINEST VARS'!$J$60*($J$80*$B99)+'LINEST VARS'!$I$60*($J$80*4)+'LINEST VARS'!$H$60*($J$80*0.5)+'LINEST VARS'!$G$60*($J$80*12.73)+'LINEST VARS'!$F$60*($B99*4)+'LINEST VARS'!$E$60*($B99*0.5)+'LINEST VARS'!$D$60*($B99*12.73)+'LINEST VARS'!$C$60*(4*0.5)+'LINEST VARS'!$B$60*(4*12.73)+'LINEST VARS'!$A$60*(0.5*12.73)</f>
        <v>40.460000000000008</v>
      </c>
      <c r="K99" s="46">
        <f>'LINEST VARS'!$U$60+'LINEST VARS'!$T$60*($K$80)+'LINEST VARS'!$S$60*($B99)+'LINEST VARS'!$R$60*(4)+'LINEST VARS'!$Q$60*(0.5)+'LINEST VARS'!$P$60*(12.73)+'LINEST VARS'!$O$60*($K$80^2)+'LINEST VARS'!$N$60*($B99^2)+'LINEST VARS'!$M$60*(4^2)+'LINEST VARS'!$L$60*(0.5^2)+'LINEST VARS'!$K$60*(12.73^2)+'LINEST VARS'!$J$60*($K$80*$B99)+'LINEST VARS'!$I$60*($K$80*4)+'LINEST VARS'!$H$60*($K$80*0.5)+'LINEST VARS'!$G$60*($K$80*12.73)+'LINEST VARS'!$F$60*($B99*4)+'LINEST VARS'!$E$60*($B99*0.5)+'LINEST VARS'!$D$60*($B99*12.73)+'LINEST VARS'!$C$60*(4*0.5)+'LINEST VARS'!$B$60*(4*12.73)+'LINEST VARS'!$A$60*(0.5*12.73)</f>
        <v>40.460000000000008</v>
      </c>
      <c r="L99" s="46">
        <f>'LINEST VARS'!$U$60+'LINEST VARS'!$T$60*($L$80)+'LINEST VARS'!$S$60*($B99)+'LINEST VARS'!$R$60*(4)+'LINEST VARS'!$Q$60*(0.5)+'LINEST VARS'!$P$60*(12.73)+'LINEST VARS'!$O$60*($L$80^2)+'LINEST VARS'!$N$60*($B99^2)+'LINEST VARS'!$M$60*(4^2)+'LINEST VARS'!$L$60*(0.5^2)+'LINEST VARS'!$K$60*(12.73^2)+'LINEST VARS'!$J$60*($L$80*$B99)+'LINEST VARS'!$I$60*($L$80*4)+'LINEST VARS'!$H$60*($L$80*0.5)+'LINEST VARS'!$G$60*($L$80*12.73)+'LINEST VARS'!$F$60*($B99*4)+'LINEST VARS'!$E$60*($B99*0.5)+'LINEST VARS'!$D$60*($B99*12.73)+'LINEST VARS'!$C$60*(4*0.5)+'LINEST VARS'!$B$60*(4*12.73)+'LINEST VARS'!$A$60*(0.5*12.73)</f>
        <v>40.460000000000008</v>
      </c>
      <c r="M99" s="46">
        <f>'LINEST VARS'!$U$60+'LINEST VARS'!$T$60*($M$80)+'LINEST VARS'!$S$60*($B99)+'LINEST VARS'!$R$60*(4)+'LINEST VARS'!$Q$60*(0.5)+'LINEST VARS'!$P$60*(12.73)+'LINEST VARS'!$O$60*($M$80^2)+'LINEST VARS'!$N$60*($B99^2)+'LINEST VARS'!$M$60*(4^2)+'LINEST VARS'!$L$60*(0.5^2)+'LINEST VARS'!$K$60*(12.73^2)+'LINEST VARS'!$J$60*($M$80*$B99)+'LINEST VARS'!$I$60*($M$80*4)+'LINEST VARS'!$H$60*($M$80*0.5)+'LINEST VARS'!$G$60*($M$80*12.73)+'LINEST VARS'!$F$60*($B99*4)+'LINEST VARS'!$E$60*($B99*0.5)+'LINEST VARS'!$D$60*($B99*12.73)+'LINEST VARS'!$C$60*(4*0.5)+'LINEST VARS'!$B$60*(4*12.73)+'LINEST VARS'!$A$60*(0.5*12.73)</f>
        <v>40.460000000000008</v>
      </c>
      <c r="N99" s="46">
        <f>'LINEST VARS'!$U$60+'LINEST VARS'!$T$60*($N$80)+'LINEST VARS'!$S$60*($B99)+'LINEST VARS'!$R$60*(4)+'LINEST VARS'!$Q$60*(0.5)+'LINEST VARS'!$P$60*(12.73)+'LINEST VARS'!$O$60*($N$80^2)+'LINEST VARS'!$N$60*($B99^2)+'LINEST VARS'!$M$60*(4^2)+'LINEST VARS'!$L$60*(0.5^2)+'LINEST VARS'!$K$60*(12.73^2)+'LINEST VARS'!$J$60*($N$80*$B99)+'LINEST VARS'!$I$60*($N$80*4)+'LINEST VARS'!$H$60*($N$80*0.5)+'LINEST VARS'!$G$60*($N$80*12.73)+'LINEST VARS'!$F$60*($B99*4)+'LINEST VARS'!$E$60*($B99*0.5)+'LINEST VARS'!$D$60*($B99*12.73)+'LINEST VARS'!$C$60*(4*0.5)+'LINEST VARS'!$B$60*(4*12.73)+'LINEST VARS'!$A$60*(0.5*12.73)</f>
        <v>40.460000000000008</v>
      </c>
      <c r="O99" s="46">
        <f>'LINEST VARS'!$U$60+'LINEST VARS'!$T$60*($O$80)+'LINEST VARS'!$S$60*($B99)+'LINEST VARS'!$R$60*(4)+'LINEST VARS'!$Q$60*(0.5)+'LINEST VARS'!$P$60*(12.73)+'LINEST VARS'!$O$60*($O$80^2)+'LINEST VARS'!$N$60*($B99^2)+'LINEST VARS'!$M$60*(4^2)+'LINEST VARS'!$L$60*(0.5^2)+'LINEST VARS'!$K$60*(12.73^2)+'LINEST VARS'!$J$60*($O$80*$B99)+'LINEST VARS'!$I$60*($O$80*4)+'LINEST VARS'!$H$60*($O$80*0.5)+'LINEST VARS'!$G$60*($O$80*12.73)+'LINEST VARS'!$F$60*($B99*4)+'LINEST VARS'!$E$60*($B99*0.5)+'LINEST VARS'!$D$60*($B99*12.73)+'LINEST VARS'!$C$60*(4*0.5)+'LINEST VARS'!$B$60*(4*12.73)+'LINEST VARS'!$A$60*(0.5*12.73)</f>
        <v>40.460000000000015</v>
      </c>
      <c r="P99" s="46">
        <f>'LINEST VARS'!$U$60+'LINEST VARS'!$T$60*($P$80)+'LINEST VARS'!$S$60*($B99)+'LINEST VARS'!$R$60*(4)+'LINEST VARS'!$Q$60*(0.5)+'LINEST VARS'!$P$60*(12.73)+'LINEST VARS'!$O$60*($P$80^2)+'LINEST VARS'!$N$60*($B99^2)+'LINEST VARS'!$M$60*(4^2)+'LINEST VARS'!$L$60*(0.5^2)+'LINEST VARS'!$K$60*(12.73^2)+'LINEST VARS'!$J$60*($P$80*$B99)+'LINEST VARS'!$I$60*($P$80*4)+'LINEST VARS'!$H$60*($P$80*0.5)+'LINEST VARS'!$G$60*($P$80*12.73)+'LINEST VARS'!$F$60*($B99*4)+'LINEST VARS'!$E$60*($B99*0.5)+'LINEST VARS'!$D$60*($B99*12.73)+'LINEST VARS'!$C$60*(4*0.5)+'LINEST VARS'!$B$60*(4*12.73)+'LINEST VARS'!$A$60*(0.5*12.73)</f>
        <v>40.460000000000015</v>
      </c>
      <c r="Q99" s="46">
        <f>'LINEST VARS'!$U$60+'LINEST VARS'!$T$60*($Q$80)+'LINEST VARS'!$S$60*($B99)+'LINEST VARS'!$R$60*(4)+'LINEST VARS'!$Q$60*(0.5)+'LINEST VARS'!$P$60*(12.73)+'LINEST VARS'!$O$60*($Q$80^2)+'LINEST VARS'!$N$60*($B99^2)+'LINEST VARS'!$M$60*(4^2)+'LINEST VARS'!$L$60*(0.5^2)+'LINEST VARS'!$K$60*(12.73^2)+'LINEST VARS'!$J$60*($Q$80*$B99)+'LINEST VARS'!$I$60*($Q$80*4)+'LINEST VARS'!$H$60*($Q$80*0.5)+'LINEST VARS'!$G$60*($Q$80*12.73)+'LINEST VARS'!$F$60*($B99*4)+'LINEST VARS'!$E$60*($B99*0.5)+'LINEST VARS'!$D$60*($B99*12.73)+'LINEST VARS'!$C$60*(4*0.5)+'LINEST VARS'!$B$60*(4*12.73)+'LINEST VARS'!$A$60*(0.5*12.73)</f>
        <v>40.460000000000015</v>
      </c>
      <c r="R99" s="46">
        <f>'LINEST VARS'!$U$60+'LINEST VARS'!$T$60*($R$80)+'LINEST VARS'!$S$60*($B99)+'LINEST VARS'!$R$60*(4)+'LINEST VARS'!$Q$60*(0.5)+'LINEST VARS'!$P$60*(12.73)+'LINEST VARS'!$O$60*($R$80^2)+'LINEST VARS'!$N$60*($B99^2)+'LINEST VARS'!$M$60*(4^2)+'LINEST VARS'!$L$60*(0.5^2)+'LINEST VARS'!$K$60*(12.73^2)+'LINEST VARS'!$J$60*($R$80*$B99)+'LINEST VARS'!$I$60*($R$80*4)+'LINEST VARS'!$H$60*($R$80*0.5)+'LINEST VARS'!$G$60*($R$80*12.73)+'LINEST VARS'!$F$60*($B99*4)+'LINEST VARS'!$E$60*($B99*0.5)+'LINEST VARS'!$D$60*($B99*12.73)+'LINEST VARS'!$C$60*(4*0.5)+'LINEST VARS'!$B$60*(4*12.73)+'LINEST VARS'!$A$60*(0.5*12.73)</f>
        <v>40.46</v>
      </c>
      <c r="S99" s="46">
        <f>'LINEST VARS'!$U$60+'LINEST VARS'!$T$60*($S$80)+'LINEST VARS'!$S$60*($B99)+'LINEST VARS'!$R$60*(4)+'LINEST VARS'!$Q$60*(0.5)+'LINEST VARS'!$P$60*(12.73)+'LINEST VARS'!$O$60*($S$80^2)+'LINEST VARS'!$N$60*($B99^2)+'LINEST VARS'!$M$60*(4^2)+'LINEST VARS'!$L$60*(0.5^2)+'LINEST VARS'!$K$60*(12.73^2)+'LINEST VARS'!$J$60*($S$80*$B99)+'LINEST VARS'!$I$60*($S$80*4)+'LINEST VARS'!$H$60*($S$80*0.5)+'LINEST VARS'!$G$60*($S$80*12.73)+'LINEST VARS'!$F$60*($B99*4)+'LINEST VARS'!$E$60*($B99*0.5)+'LINEST VARS'!$D$60*($B99*12.73)+'LINEST VARS'!$C$60*(4*0.5)+'LINEST VARS'!$B$60*(4*12.73)+'LINEST VARS'!$A$60*(0.5*12.73)</f>
        <v>40.46</v>
      </c>
      <c r="T99" s="46">
        <f>'LINEST VARS'!$U$60+'LINEST VARS'!$T$60*($T$80)+'LINEST VARS'!$S$60*($B99)+'LINEST VARS'!$R$60*(4)+'LINEST VARS'!$Q$60*(0.5)+'LINEST VARS'!$P$60*(12.73)+'LINEST VARS'!$O$60*($T$80^2)+'LINEST VARS'!$N$60*($B99^2)+'LINEST VARS'!$M$60*(4^2)+'LINEST VARS'!$L$60*(0.5^2)+'LINEST VARS'!$K$60*(12.73^2)+'LINEST VARS'!$J$60*($T$80*$B99)+'LINEST VARS'!$I$60*($T$80*4)+'LINEST VARS'!$H$60*($T$80*0.5)+'LINEST VARS'!$G$60*($T$80*12.73)+'LINEST VARS'!$F$60*($B99*4)+'LINEST VARS'!$E$60*($B99*0.5)+'LINEST VARS'!$D$60*($B99*12.73)+'LINEST VARS'!$C$60*(4*0.5)+'LINEST VARS'!$B$60*(4*12.73)+'LINEST VARS'!$A$60*(0.5*12.73)</f>
        <v>40.46</v>
      </c>
      <c r="U99" s="46">
        <f>'LINEST VARS'!$U$60+'LINEST VARS'!$T$60*($U$80)+'LINEST VARS'!$S$60*($B99)+'LINEST VARS'!$R$60*(4)+'LINEST VARS'!$Q$60*(0.5)+'LINEST VARS'!$P$60*(12.73)+'LINEST VARS'!$O$60*($U$80^2)+'LINEST VARS'!$N$60*($B99^2)+'LINEST VARS'!$M$60*(4^2)+'LINEST VARS'!$L$60*(0.5^2)+'LINEST VARS'!$K$60*(12.73^2)+'LINEST VARS'!$J$60*($U$80*$B99)+'LINEST VARS'!$I$60*($U$80*4)+'LINEST VARS'!$H$60*($U$80*0.5)+'LINEST VARS'!$G$60*($U$80*12.73)+'LINEST VARS'!$F$60*($B99*4)+'LINEST VARS'!$E$60*($B99*0.5)+'LINEST VARS'!$D$60*($B99*12.73)+'LINEST VARS'!$C$60*(4*0.5)+'LINEST VARS'!$B$60*(4*12.73)+'LINEST VARS'!$A$60*(0.5*12.73)</f>
        <v>40.460000000000008</v>
      </c>
      <c r="V99" s="46">
        <f>'LINEST VARS'!$U$60+'LINEST VARS'!$T$60*($V$80)+'LINEST VARS'!$S$60*($B99)+'LINEST VARS'!$R$60*(4)+'LINEST VARS'!$Q$60*(0.5)+'LINEST VARS'!$P$60*(12.73)+'LINEST VARS'!$O$60*($V$80^2)+'LINEST VARS'!$N$60*($B99^2)+'LINEST VARS'!$M$60*(4^2)+'LINEST VARS'!$L$60*(0.5^2)+'LINEST VARS'!$K$60*(12.73^2)+'LINEST VARS'!$J$60*($V$80*$B99)+'LINEST VARS'!$I$60*($V$80*4)+'LINEST VARS'!$H$60*($V$80*0.5)+'LINEST VARS'!$G$60*($V$80*12.73)+'LINEST VARS'!$F$60*($B99*4)+'LINEST VARS'!$E$60*($B99*0.5)+'LINEST VARS'!$D$60*($B99*12.73)+'LINEST VARS'!$C$60*(4*0.5)+'LINEST VARS'!$B$60*(4*12.73)+'LINEST VARS'!$A$60*(0.5*12.73)</f>
        <v>40.460000000000008</v>
      </c>
      <c r="W99" s="47">
        <f>'LINEST VARS'!$U$60+'LINEST VARS'!$T$60*($W$80)+'LINEST VARS'!$S$60*($B99)+'LINEST VARS'!$R$60*(4)+'LINEST VARS'!$Q$60*(0.5)+'LINEST VARS'!$P$60*(12.73)+'LINEST VARS'!$O$60*($W$80^2)+'LINEST VARS'!$N$60*($B99^2)+'LINEST VARS'!$M$60*(4^2)+'LINEST VARS'!$L$60*(0.5^2)+'LINEST VARS'!$K$60*(12.73^2)+'LINEST VARS'!$J$60*($W$80*$B99)+'LINEST VARS'!$I$60*($W$80*4)+'LINEST VARS'!$H$60*($W$80*0.5)+'LINEST VARS'!$G$60*($W$80*12.73)+'LINEST VARS'!$F$60*($B99*4)+'LINEST VARS'!$E$60*($B99*0.5)+'LINEST VARS'!$D$60*($B99*12.73)+'LINEST VARS'!$C$60*(4*0.5)+'LINEST VARS'!$B$60*(4*12.73)+'LINEST VARS'!$A$60*(0.5*12.73)</f>
        <v>40.460000000000008</v>
      </c>
      <c r="Z99" s="45">
        <v>8.48</v>
      </c>
      <c r="AA99" s="55">
        <f>'LINEST VARS'!$U$62+'LINEST VARS'!$T$62*($AA$80)+'LINEST VARS'!$S$62*($Z99)+'LINEST VARS'!$R$62*(4)+'LINEST VARS'!$Q$62*(0.5)+'LINEST VARS'!$P$62*(12.73)+'LINEST VARS'!$O$62*($AA$80^2)+'LINEST VARS'!$N$62*($Z99^2)+'LINEST VARS'!$M$62*(4^2)+'LINEST VARS'!$L$62*(0.5^2)+'LINEST VARS'!$K$62*(12.73^2)+'LINEST VARS'!$J$62*($AA$80*$Z99)+'LINEST VARS'!$I$62*($AA$80*4)+'LINEST VARS'!$H$62*($AA$80*0.5)+'LINEST VARS'!$G$62*($AA$80*12.73)+'LINEST VARS'!$F$62*($Z99*4)+'LINEST VARS'!$E$62*($Z99*0.5)+'LINEST VARS'!$D$62*($Z99*12.73)+'LINEST VARS'!$C$62*(4*0.5)+'LINEST VARS'!$B$62*(4*12.73)+'LINEST VARS'!$A$62*(0.5*12.73)</f>
        <v>269.49999999999994</v>
      </c>
      <c r="AB99" s="55">
        <f>'LINEST VARS'!$U$62+'LINEST VARS'!$T$62*($AB$80)+'LINEST VARS'!$S$62*($Z99)+'LINEST VARS'!$R$62*(4)+'LINEST VARS'!$Q$62*(0.5)+'LINEST VARS'!$P$62*(12.73)+'LINEST VARS'!$O$62*($AB$80^2)+'LINEST VARS'!$N$62*($Z99^2)+'LINEST VARS'!$M$62*(4^2)+'LINEST VARS'!$L$62*(0.5^2)+'LINEST VARS'!$K$62*(12.73^2)+'LINEST VARS'!$J$62*($AB$80*$Z99)+'LINEST VARS'!$I$62*($AB$80*4)+'LINEST VARS'!$H$62*($AB$80*0.5)+'LINEST VARS'!$G$62*($AB$80*12.73)+'LINEST VARS'!$F$62*($Z99*4)+'LINEST VARS'!$E$62*($Z99*0.5)+'LINEST VARS'!$D$62*($Z99*12.73)+'LINEST VARS'!$C$62*(4*0.5)+'LINEST VARS'!$B$62*(4*12.73)+'LINEST VARS'!$A$62*(0.5*12.73)</f>
        <v>269.49999999999994</v>
      </c>
      <c r="AC99" s="55">
        <f>'LINEST VARS'!$U$62+'LINEST VARS'!$T$62*($AC$80)+'LINEST VARS'!$S$62*($Z99)+'LINEST VARS'!$R$62*(4)+'LINEST VARS'!$Q$62*(0.5)+'LINEST VARS'!$P$62*(12.73)+'LINEST VARS'!$O$62*($AC$80^2)+'LINEST VARS'!$N$62*($Z99^2)+'LINEST VARS'!$M$62*(4^2)+'LINEST VARS'!$L$62*(0.5^2)+'LINEST VARS'!$K$62*(12.73^2)+'LINEST VARS'!$J$62*($AC$80*$Z99)+'LINEST VARS'!$I$62*($AC$80*4)+'LINEST VARS'!$H$62*($AC$80*0.5)+'LINEST VARS'!$G$62*($AC$80*12.73)+'LINEST VARS'!$F$62*($Z99*4)+'LINEST VARS'!$E$62*($Z99*0.5)+'LINEST VARS'!$D$62*($Z99*12.73)+'LINEST VARS'!$C$62*(4*0.5)+'LINEST VARS'!$B$62*(4*12.73)+'LINEST VARS'!$A$62*(0.5*12.73)</f>
        <v>269.49999999999989</v>
      </c>
      <c r="AD99" s="55">
        <f>'LINEST VARS'!$U$62+'LINEST VARS'!$T$62*($AD$80)+'LINEST VARS'!$S$62*($Z99)+'LINEST VARS'!$R$62*(4)+'LINEST VARS'!$Q$62*(0.5)+'LINEST VARS'!$P$62*(12.73)+'LINEST VARS'!$O$62*($AD$80^2)+'LINEST VARS'!$N$62*($Z99^2)+'LINEST VARS'!$M$62*(4^2)+'LINEST VARS'!$L$62*(0.5^2)+'LINEST VARS'!$K$62*(12.73^2)+'LINEST VARS'!$J$62*($AD$80*$Z99)+'LINEST VARS'!$I$62*($AD$80*4)+'LINEST VARS'!$H$62*($AD$80*0.5)+'LINEST VARS'!$G$62*($AD$80*12.73)+'LINEST VARS'!$F$62*($Z99*4)+'LINEST VARS'!$E$62*($Z99*0.5)+'LINEST VARS'!$D$62*($Z99*12.73)+'LINEST VARS'!$C$62*(4*0.5)+'LINEST VARS'!$B$62*(4*12.73)+'LINEST VARS'!$A$62*(0.5*12.73)</f>
        <v>269.49999999999994</v>
      </c>
      <c r="AE99" s="55">
        <f>'LINEST VARS'!$U$62+'LINEST VARS'!$T$62*($AE$80)+'LINEST VARS'!$S$62*($Z99)+'LINEST VARS'!$R$62*(4)+'LINEST VARS'!$Q$62*(0.5)+'LINEST VARS'!$P$62*(12.73)+'LINEST VARS'!$O$62*($AE$80^2)+'LINEST VARS'!$N$62*($Z99^2)+'LINEST VARS'!$M$62*(4^2)+'LINEST VARS'!$L$62*(0.5^2)+'LINEST VARS'!$K$62*(12.73^2)+'LINEST VARS'!$J$62*($AE$80*$Z99)+'LINEST VARS'!$I$62*($AE$80*4)+'LINEST VARS'!$H$62*($AE$80*0.5)+'LINEST VARS'!$G$62*($AE$80*12.73)+'LINEST VARS'!$F$62*($Z99*4)+'LINEST VARS'!$E$62*($Z99*0.5)+'LINEST VARS'!$D$62*($Z99*12.73)+'LINEST VARS'!$C$62*(4*0.5)+'LINEST VARS'!$B$62*(4*12.73)+'LINEST VARS'!$A$62*(0.5*12.73)</f>
        <v>269.49999999999994</v>
      </c>
      <c r="AF99" s="55">
        <f>'LINEST VARS'!$U$62+'LINEST VARS'!$T$62*($AF$80)+'LINEST VARS'!$S$62*($Z99)+'LINEST VARS'!$R$62*(4)+'LINEST VARS'!$Q$62*(0.5)+'LINEST VARS'!$P$62*(12.73)+'LINEST VARS'!$O$62*($AF$80^2)+'LINEST VARS'!$N$62*($Z99^2)+'LINEST VARS'!$M$62*(4^2)+'LINEST VARS'!$L$62*(0.5^2)+'LINEST VARS'!$K$62*(12.73^2)+'LINEST VARS'!$J$62*($AF$80*$Z99)+'LINEST VARS'!$I$62*($AF$80*4)+'LINEST VARS'!$H$62*($AF$80*0.5)+'LINEST VARS'!$G$62*($AF$80*12.73)+'LINEST VARS'!$F$62*($Z99*4)+'LINEST VARS'!$E$62*($Z99*0.5)+'LINEST VARS'!$D$62*($Z99*12.73)+'LINEST VARS'!$C$62*(4*0.5)+'LINEST VARS'!$B$62*(4*12.73)+'LINEST VARS'!$A$62*(0.5*12.73)</f>
        <v>269.49999999999989</v>
      </c>
      <c r="AG99" s="55">
        <f>'LINEST VARS'!$U$62+'LINEST VARS'!$T$62*($AG$80)+'LINEST VARS'!$S$62*($Z99)+'LINEST VARS'!$R$62*(4)+'LINEST VARS'!$Q$62*(0.5)+'LINEST VARS'!$P$62*(12.73)+'LINEST VARS'!$O$62*($AG$80^2)+'LINEST VARS'!$N$62*($Z99^2)+'LINEST VARS'!$M$62*(4^2)+'LINEST VARS'!$L$62*(0.5^2)+'LINEST VARS'!$K$62*(12.73^2)+'LINEST VARS'!$J$62*($AG$80*$Z99)+'LINEST VARS'!$I$62*($AG$80*4)+'LINEST VARS'!$H$62*($AG$80*0.5)+'LINEST VARS'!$G$62*($AG$80*12.73)+'LINEST VARS'!$F$62*($Z99*4)+'LINEST VARS'!$E$62*($Z99*0.5)+'LINEST VARS'!$D$62*($Z99*12.73)+'LINEST VARS'!$C$62*(4*0.5)+'LINEST VARS'!$B$62*(4*12.73)+'LINEST VARS'!$A$62*(0.5*12.73)</f>
        <v>269.49999999999994</v>
      </c>
      <c r="AH99" s="55">
        <f>'LINEST VARS'!$U$62+'LINEST VARS'!$T$62*($AH$80)+'LINEST VARS'!$S$62*($Z99)+'LINEST VARS'!$R$62*(4)+'LINEST VARS'!$Q$62*(0.5)+'LINEST VARS'!$P$62*(12.73)+'LINEST VARS'!$O$62*($AH$80^2)+'LINEST VARS'!$N$62*($Z99^2)+'LINEST VARS'!$M$62*(4^2)+'LINEST VARS'!$L$62*(0.5^2)+'LINEST VARS'!$K$62*(12.73^2)+'LINEST VARS'!$J$62*($AH$80*$Z99)+'LINEST VARS'!$I$62*($AH$80*4)+'LINEST VARS'!$H$62*($AH$80*0.5)+'LINEST VARS'!$G$62*($AH$80*12.73)+'LINEST VARS'!$F$62*($Z99*4)+'LINEST VARS'!$E$62*($Z99*0.5)+'LINEST VARS'!$D$62*($Z99*12.73)+'LINEST VARS'!$C$62*(4*0.5)+'LINEST VARS'!$B$62*(4*12.73)+'LINEST VARS'!$A$62*(0.5*12.73)</f>
        <v>269.49999999999989</v>
      </c>
      <c r="AI99" s="55">
        <f>'LINEST VARS'!$U$62+'LINEST VARS'!$T$62*($AI$80)+'LINEST VARS'!$S$62*($Z99)+'LINEST VARS'!$R$62*(4)+'LINEST VARS'!$Q$62*(0.5)+'LINEST VARS'!$P$62*(12.73)+'LINEST VARS'!$O$62*($AI$80^2)+'LINEST VARS'!$N$62*($Z99^2)+'LINEST VARS'!$M$62*(4^2)+'LINEST VARS'!$L$62*(0.5^2)+'LINEST VARS'!$K$62*(12.73^2)+'LINEST VARS'!$J$62*($AI$80*$Z99)+'LINEST VARS'!$I$62*($AI$80*4)+'LINEST VARS'!$H$62*($AI$80*0.5)+'LINEST VARS'!$G$62*($AI$80*12.73)+'LINEST VARS'!$F$62*($Z99*4)+'LINEST VARS'!$E$62*($Z99*0.5)+'LINEST VARS'!$D$62*($Z99*12.73)+'LINEST VARS'!$C$62*(4*0.5)+'LINEST VARS'!$B$62*(4*12.73)+'LINEST VARS'!$A$62*(0.5*12.73)</f>
        <v>269.49999999999994</v>
      </c>
      <c r="AJ99" s="55">
        <f>'LINEST VARS'!$U$62+'LINEST VARS'!$T$62*($AJ$80)+'LINEST VARS'!$S$62*($Z99)+'LINEST VARS'!$R$62*(4)+'LINEST VARS'!$Q$62*(0.5)+'LINEST VARS'!$P$62*(12.73)+'LINEST VARS'!$O$62*($AJ$80^2)+'LINEST VARS'!$N$62*($Z99^2)+'LINEST VARS'!$M$62*(4^2)+'LINEST VARS'!$L$62*(0.5^2)+'LINEST VARS'!$K$62*(12.73^2)+'LINEST VARS'!$J$62*($AJ$80*$Z99)+'LINEST VARS'!$I$62*($AJ$80*4)+'LINEST VARS'!$H$62*($AJ$80*0.5)+'LINEST VARS'!$G$62*($AJ$80*12.73)+'LINEST VARS'!$F$62*($Z99*4)+'LINEST VARS'!$E$62*($Z99*0.5)+'LINEST VARS'!$D$62*($Z99*12.73)+'LINEST VARS'!$C$62*(4*0.5)+'LINEST VARS'!$B$62*(4*12.73)+'LINEST VARS'!$A$62*(0.5*12.73)</f>
        <v>269.49999999999994</v>
      </c>
      <c r="AK99" s="55">
        <f>'LINEST VARS'!$U$62+'LINEST VARS'!$T$62*($AK$80)+'LINEST VARS'!$S$62*($Z99)+'LINEST VARS'!$R$62*(4)+'LINEST VARS'!$Q$62*(0.5)+'LINEST VARS'!$P$62*(12.73)+'LINEST VARS'!$O$62*($AK$80^2)+'LINEST VARS'!$N$62*($Z99^2)+'LINEST VARS'!$M$62*(4^2)+'LINEST VARS'!$L$62*(0.5^2)+'LINEST VARS'!$K$62*(12.73^2)+'LINEST VARS'!$J$62*($AK$80*$Z99)+'LINEST VARS'!$I$62*($AK$80*4)+'LINEST VARS'!$H$62*($AK$80*0.5)+'LINEST VARS'!$G$62*($AK$80*12.73)+'LINEST VARS'!$F$62*($Z99*4)+'LINEST VARS'!$E$62*($Z99*0.5)+'LINEST VARS'!$D$62*($Z99*12.73)+'LINEST VARS'!$C$62*(4*0.5)+'LINEST VARS'!$B$62*(4*12.73)+'LINEST VARS'!$A$62*(0.5*12.73)</f>
        <v>269.49999999999994</v>
      </c>
      <c r="AL99" s="55">
        <f>'LINEST VARS'!$U$62+'LINEST VARS'!$T$62*($AL$80)+'LINEST VARS'!$S$62*($Z99)+'LINEST VARS'!$R$62*(4)+'LINEST VARS'!$Q$62*(0.5)+'LINEST VARS'!$P$62*(12.73)+'LINEST VARS'!$O$62*($AL$80^2)+'LINEST VARS'!$N$62*($Z99^2)+'LINEST VARS'!$M$62*(4^2)+'LINEST VARS'!$L$62*(0.5^2)+'LINEST VARS'!$K$62*(12.73^2)+'LINEST VARS'!$J$62*($AL$80*$Z99)+'LINEST VARS'!$I$62*($AL$80*4)+'LINEST VARS'!$H$62*($AL$80*0.5)+'LINEST VARS'!$G$62*($AL$80*12.73)+'LINEST VARS'!$F$62*($Z99*4)+'LINEST VARS'!$E$62*($Z99*0.5)+'LINEST VARS'!$D$62*($Z99*12.73)+'LINEST VARS'!$C$62*(4*0.5)+'LINEST VARS'!$B$62*(4*12.73)+'LINEST VARS'!$A$62*(0.5*12.73)</f>
        <v>269.49999999999989</v>
      </c>
      <c r="AM99" s="55">
        <f>'LINEST VARS'!$U$62+'LINEST VARS'!$T$62*($AM$80)+'LINEST VARS'!$S$62*($Z99)+'LINEST VARS'!$R$62*(4)+'LINEST VARS'!$Q$62*(0.5)+'LINEST VARS'!$P$62*(12.73)+'LINEST VARS'!$O$62*($AM$80^2)+'LINEST VARS'!$N$62*($Z99^2)+'LINEST VARS'!$M$62*(4^2)+'LINEST VARS'!$L$62*(0.5^2)+'LINEST VARS'!$K$62*(12.73^2)+'LINEST VARS'!$J$62*($AM$80*$Z99)+'LINEST VARS'!$I$62*($AM$80*4)+'LINEST VARS'!$H$62*($AM$80*0.5)+'LINEST VARS'!$G$62*($AM$80*12.73)+'LINEST VARS'!$F$62*($Z99*4)+'LINEST VARS'!$E$62*($Z99*0.5)+'LINEST VARS'!$D$62*($Z99*12.73)+'LINEST VARS'!$C$62*(4*0.5)+'LINEST VARS'!$B$62*(4*12.73)+'LINEST VARS'!$A$62*(0.5*12.73)</f>
        <v>269.49999999999989</v>
      </c>
      <c r="AN99" s="55">
        <f>'LINEST VARS'!$U$62+'LINEST VARS'!$T$62*($AN$80)+'LINEST VARS'!$S$62*($Z99)+'LINEST VARS'!$R$62*(4)+'LINEST VARS'!$Q$62*(0.5)+'LINEST VARS'!$P$62*(12.73)+'LINEST VARS'!$O$62*($AN$80^2)+'LINEST VARS'!$N$62*($Z99^2)+'LINEST VARS'!$M$62*(4^2)+'LINEST VARS'!$L$62*(0.5^2)+'LINEST VARS'!$K$62*(12.73^2)+'LINEST VARS'!$J$62*($AN$80*$Z99)+'LINEST VARS'!$I$62*($AN$80*4)+'LINEST VARS'!$H$62*($AN$80*0.5)+'LINEST VARS'!$G$62*($AN$80*12.73)+'LINEST VARS'!$F$62*($Z99*4)+'LINEST VARS'!$E$62*($Z99*0.5)+'LINEST VARS'!$D$62*($Z99*12.73)+'LINEST VARS'!$C$62*(4*0.5)+'LINEST VARS'!$B$62*(4*12.73)+'LINEST VARS'!$A$62*(0.5*12.73)</f>
        <v>269.49999999999994</v>
      </c>
      <c r="AO99" s="55">
        <f>'LINEST VARS'!$U$62+'LINEST VARS'!$T$62*($AO$80)+'LINEST VARS'!$S$62*($Z99)+'LINEST VARS'!$R$62*(4)+'LINEST VARS'!$Q$62*(0.5)+'LINEST VARS'!$P$62*(12.73)+'LINEST VARS'!$O$62*($AO$80^2)+'LINEST VARS'!$N$62*($Z99^2)+'LINEST VARS'!$M$62*(4^2)+'LINEST VARS'!$L$62*(0.5^2)+'LINEST VARS'!$K$62*(12.73^2)+'LINEST VARS'!$J$62*($AO$80*$Z99)+'LINEST VARS'!$I$62*($AO$80*4)+'LINEST VARS'!$H$62*($AO$80*0.5)+'LINEST VARS'!$G$62*($AO$80*12.73)+'LINEST VARS'!$F$62*($Z99*4)+'LINEST VARS'!$E$62*($Z99*0.5)+'LINEST VARS'!$D$62*($Z99*12.73)+'LINEST VARS'!$C$62*(4*0.5)+'LINEST VARS'!$B$62*(4*12.73)+'LINEST VARS'!$A$62*(0.5*12.73)</f>
        <v>269.49999999999994</v>
      </c>
      <c r="AP99" s="55">
        <f>'LINEST VARS'!$U$62+'LINEST VARS'!$T$62*($AP$80)+'LINEST VARS'!$S$62*($Z99)+'LINEST VARS'!$R$62*(4)+'LINEST VARS'!$Q$62*(0.5)+'LINEST VARS'!$P$62*(12.73)+'LINEST VARS'!$O$62*($AP$80^2)+'LINEST VARS'!$N$62*($Z99^2)+'LINEST VARS'!$M$62*(4^2)+'LINEST VARS'!$L$62*(0.5^2)+'LINEST VARS'!$K$62*(12.73^2)+'LINEST VARS'!$J$62*($AP$80*$Z99)+'LINEST VARS'!$I$62*($AP$80*4)+'LINEST VARS'!$H$62*($AP$80*0.5)+'LINEST VARS'!$G$62*($AP$80*12.73)+'LINEST VARS'!$F$62*($Z99*4)+'LINEST VARS'!$E$62*($Z99*0.5)+'LINEST VARS'!$D$62*($Z99*12.73)+'LINEST VARS'!$C$62*(4*0.5)+'LINEST VARS'!$B$62*(4*12.73)+'LINEST VARS'!$A$62*(0.5*12.73)</f>
        <v>269.49999999999994</v>
      </c>
      <c r="AQ99" s="55">
        <f>'LINEST VARS'!$U$62+'LINEST VARS'!$T$62*($AQ$80)+'LINEST VARS'!$S$62*($Z99)+'LINEST VARS'!$R$62*(4)+'LINEST VARS'!$Q$62*(0.5)+'LINEST VARS'!$P$62*(12.73)+'LINEST VARS'!$O$62*($AQ$80^2)+'LINEST VARS'!$N$62*($Z99^2)+'LINEST VARS'!$M$62*(4^2)+'LINEST VARS'!$L$62*(0.5^2)+'LINEST VARS'!$K$62*(12.73^2)+'LINEST VARS'!$J$62*($AQ$80*$Z99)+'LINEST VARS'!$I$62*($AQ$80*4)+'LINEST VARS'!$H$62*($AQ$80*0.5)+'LINEST VARS'!$G$62*($AQ$80*12.73)+'LINEST VARS'!$F$62*($Z99*4)+'LINEST VARS'!$E$62*($Z99*0.5)+'LINEST VARS'!$D$62*($Z99*12.73)+'LINEST VARS'!$C$62*(4*0.5)+'LINEST VARS'!$B$62*(4*12.73)+'LINEST VARS'!$A$62*(0.5*12.73)</f>
        <v>269.49999999999989</v>
      </c>
      <c r="AR99" s="55">
        <f>'LINEST VARS'!$U$62+'LINEST VARS'!$T$62*($AR$80)+'LINEST VARS'!$S$62*($Z99)+'LINEST VARS'!$R$62*(4)+'LINEST VARS'!$Q$62*(0.5)+'LINEST VARS'!$P$62*(12.73)+'LINEST VARS'!$O$62*($AR$80^2)+'LINEST VARS'!$N$62*($Z99^2)+'LINEST VARS'!$M$62*(4^2)+'LINEST VARS'!$L$62*(0.5^2)+'LINEST VARS'!$K$62*(12.73^2)+'LINEST VARS'!$J$62*($AR$80*$Z99)+'LINEST VARS'!$I$62*($AR$80*4)+'LINEST VARS'!$H$62*($AR$80*0.5)+'LINEST VARS'!$G$62*($AR$80*12.73)+'LINEST VARS'!$F$62*($Z99*4)+'LINEST VARS'!$E$62*($Z99*0.5)+'LINEST VARS'!$D$62*($Z99*12.73)+'LINEST VARS'!$C$62*(4*0.5)+'LINEST VARS'!$B$62*(4*12.73)+'LINEST VARS'!$A$62*(0.5*12.73)</f>
        <v>269.5</v>
      </c>
      <c r="AS99" s="55">
        <f>'LINEST VARS'!$U$62+'LINEST VARS'!$T$62*($AS$80)+'LINEST VARS'!$S$62*($Z99)+'LINEST VARS'!$R$62*(4)+'LINEST VARS'!$Q$62*(0.5)+'LINEST VARS'!$P$62*(12.73)+'LINEST VARS'!$O$62*($AS$80^2)+'LINEST VARS'!$N$62*($Z99^2)+'LINEST VARS'!$M$62*(4^2)+'LINEST VARS'!$L$62*(0.5^2)+'LINEST VARS'!$K$62*(12.73^2)+'LINEST VARS'!$J$62*($AS$80*$Z99)+'LINEST VARS'!$I$62*($AS$80*4)+'LINEST VARS'!$H$62*($AS$80*0.5)+'LINEST VARS'!$G$62*($AS$80*12.73)+'LINEST VARS'!$F$62*($Z99*4)+'LINEST VARS'!$E$62*($Z99*0.5)+'LINEST VARS'!$D$62*($Z99*12.73)+'LINEST VARS'!$C$62*(4*0.5)+'LINEST VARS'!$B$62*(4*12.73)+'LINEST VARS'!$A$62*(0.5*12.73)</f>
        <v>269.49999999999994</v>
      </c>
      <c r="AT99" s="55">
        <f>'LINEST VARS'!$U$62+'LINEST VARS'!$T$62*($AT$80)+'LINEST VARS'!$S$62*($Z99)+'LINEST VARS'!$R$62*(4)+'LINEST VARS'!$Q$62*(0.5)+'LINEST VARS'!$P$62*(12.73)+'LINEST VARS'!$O$62*($AT$80^2)+'LINEST VARS'!$N$62*($Z99^2)+'LINEST VARS'!$M$62*(4^2)+'LINEST VARS'!$L$62*(0.5^2)+'LINEST VARS'!$K$62*(12.73^2)+'LINEST VARS'!$J$62*($AT$80*$Z99)+'LINEST VARS'!$I$62*($AT$80*4)+'LINEST VARS'!$H$62*($AT$80*0.5)+'LINEST VARS'!$G$62*($AT$80*12.73)+'LINEST VARS'!$F$62*($Z99*4)+'LINEST VARS'!$E$62*($Z99*0.5)+'LINEST VARS'!$D$62*($Z99*12.73)+'LINEST VARS'!$C$62*(4*0.5)+'LINEST VARS'!$B$62*(4*12.73)+'LINEST VARS'!$A$62*(0.5*12.73)</f>
        <v>269.49999999999994</v>
      </c>
      <c r="AU99" s="56">
        <f>'LINEST VARS'!$U$62+'LINEST VARS'!$T$62*($AU$80)+'LINEST VARS'!$S$62*($Z99)+'LINEST VARS'!$R$62*(4)+'LINEST VARS'!$Q$62*(0.5)+'LINEST VARS'!$P$62*(12.73)+'LINEST VARS'!$O$62*($AU$80^2)+'LINEST VARS'!$N$62*($Z99^2)+'LINEST VARS'!$M$62*(4^2)+'LINEST VARS'!$L$62*(0.5^2)+'LINEST VARS'!$K$62*(12.73^2)+'LINEST VARS'!$J$62*($AU$80*$Z99)+'LINEST VARS'!$I$62*($AU$80*4)+'LINEST VARS'!$H$62*($AU$80*0.5)+'LINEST VARS'!$G$62*($AU$80*12.73)+'LINEST VARS'!$F$62*($Z99*4)+'LINEST VARS'!$E$62*($Z99*0.5)+'LINEST VARS'!$D$62*($Z99*12.73)+'LINEST VARS'!$C$62*(4*0.5)+'LINEST VARS'!$B$62*(4*12.73)+'LINEST VARS'!$A$62*(0.5*12.73)</f>
        <v>269.5</v>
      </c>
      <c r="AZ99" s="45">
        <v>0.9</v>
      </c>
      <c r="BA99" s="46">
        <f>'LINEST VARS'!$U$60+'LINEST VARS'!$T$60*(8)+'LINEST VARS'!$S$60*(8)+'LINEST VARS'!$R$60*($BA$80)+'LINEST VARS'!$Q$60*($AZ99)+'LINEST VARS'!$P$60*(12.73)+'LINEST VARS'!$O$60*(8^2)+'LINEST VARS'!$N$60*(8^2)+'LINEST VARS'!$M$60*($BA$80^2)+'LINEST VARS'!$L$60*($AZ99^2)+'LINEST VARS'!$K$60*(12.73^2)+'LINEST VARS'!$J$60*(8*8)+'LINEST VARS'!$I$60*(8*$BA$80)+'LINEST VARS'!$H$60*(8*$AZ99)+'LINEST VARS'!$G$60*(8*12.73)+'LINEST VARS'!$F$60*(8*$BA$80)+'LINEST VARS'!$E$60*(8*$AZ99)+'LINEST VARS'!$D$60*(8*12.73)+'LINEST VARS'!$C$60*($BA$80*$AZ99)+'LINEST VARS'!$B$60*($BA$80*12.73)+'LINEST VARS'!$A$60*($AZ99*12.73)</f>
        <v>40.46</v>
      </c>
      <c r="BB99" s="46">
        <f>'LINEST VARS'!$U$60+'LINEST VARS'!$T$60*(8)+'LINEST VARS'!$S$60*(8)+'LINEST VARS'!$R$60*($BB$80)+'LINEST VARS'!$Q$60*($AZ99)+'LINEST VARS'!$P$60*(12.73)+'LINEST VARS'!$O$60*(8^2)+'LINEST VARS'!$N$60*(8^2)+'LINEST VARS'!$M$60*($BB$80^2)+'LINEST VARS'!$L$60*($AZ99^2)+'LINEST VARS'!$K$60*(12.73^2)+'LINEST VARS'!$J$60*(8*8)+'LINEST VARS'!$I$60*(8*$BB$80)+'LINEST VARS'!$H$60*(8*$AZ99)+'LINEST VARS'!$G$60*(8*12.73)+'LINEST VARS'!$F$60*(8*$BB$80)+'LINEST VARS'!$E$60*(8*$AZ99)+'LINEST VARS'!$D$60*(8*12.73)+'LINEST VARS'!$C$60*($BB$80*$AZ99)+'LINEST VARS'!$B$60*($BB$80*12.73)+'LINEST VARS'!$A$60*($AZ99*12.73)</f>
        <v>40.460000000000008</v>
      </c>
      <c r="BC99" s="46">
        <f>'LINEST VARS'!$U$60+'LINEST VARS'!$T$60*(8)+'LINEST VARS'!$S$60*(8)+'LINEST VARS'!$R$60*($BC$80)+'LINEST VARS'!$Q$60*($AZ99)+'LINEST VARS'!$P$60*(12.73)+'LINEST VARS'!$O$60*(8^2)+'LINEST VARS'!$N$60*(8^2)+'LINEST VARS'!$M$60*($BC$80^2)+'LINEST VARS'!$L$60*($AZ99^2)+'LINEST VARS'!$K$60*(12.73^2)+'LINEST VARS'!$J$60*(8*8)+'LINEST VARS'!$I$60*(8*$BC$80)+'LINEST VARS'!$H$60*(8*$AZ99)+'LINEST VARS'!$G$60*(8*12.73)+'LINEST VARS'!$F$60*(8*$BC$80)+'LINEST VARS'!$E$60*(8*$AZ99)+'LINEST VARS'!$D$60*(8*12.73)+'LINEST VARS'!$C$60*($BC$80*$AZ99)+'LINEST VARS'!$B$60*($BC$80*12.73)+'LINEST VARS'!$A$60*($AZ99*12.73)</f>
        <v>40.460000000000008</v>
      </c>
      <c r="BD99" s="46">
        <f>'LINEST VARS'!$U$60+'LINEST VARS'!$T$60*(8)+'LINEST VARS'!$S$60*(8)+'LINEST VARS'!$R$60*($BD$80)+'LINEST VARS'!$Q$60*($AZ99)+'LINEST VARS'!$P$60*(12.73)+'LINEST VARS'!$O$60*(8^2)+'LINEST VARS'!$N$60*(8^2)+'LINEST VARS'!$M$60*($BD$80^2)+'LINEST VARS'!$L$60*($AZ99^2)+'LINEST VARS'!$K$60*(12.73^2)+'LINEST VARS'!$J$60*(8*8)+'LINEST VARS'!$I$60*(8*$BD$80)+'LINEST VARS'!$H$60*(8*$AZ99)+'LINEST VARS'!$G$60*(8*12.73)+'LINEST VARS'!$F$60*(8*$BD$80)+'LINEST VARS'!$E$60*(8*$AZ99)+'LINEST VARS'!$D$60*(8*12.73)+'LINEST VARS'!$C$60*($BD$80*$AZ99)+'LINEST VARS'!$B$60*($BD$80*12.73)+'LINEST VARS'!$A$60*($AZ99*12.73)</f>
        <v>40.460000000000008</v>
      </c>
      <c r="BE99" s="46">
        <f>'LINEST VARS'!$U$60+'LINEST VARS'!$T$60*(8)+'LINEST VARS'!$S$60*(8)+'LINEST VARS'!$R$60*($BE$80)+'LINEST VARS'!$Q$60*($AZ99)+'LINEST VARS'!$P$60*(12.73)+'LINEST VARS'!$O$60*(8^2)+'LINEST VARS'!$N$60*(8^2)+'LINEST VARS'!$M$60*($BE$80^2)+'LINEST VARS'!$L$60*($AZ99^2)+'LINEST VARS'!$K$60*(12.73^2)+'LINEST VARS'!$J$60*(8*8)+'LINEST VARS'!$I$60*(8*$BE$80)+'LINEST VARS'!$H$60*(8*$AZ99)+'LINEST VARS'!$G$60*(8*12.73)+'LINEST VARS'!$F$60*(8*$BE$80)+'LINEST VARS'!$E$60*(8*$AZ99)+'LINEST VARS'!$D$60*(8*12.73)+'LINEST VARS'!$C$60*($BE$80*$AZ99)+'LINEST VARS'!$B$60*($BE$80*12.73)+'LINEST VARS'!$A$60*($AZ99*12.73)</f>
        <v>40.460000000000008</v>
      </c>
      <c r="BF99" s="46">
        <f>'LINEST VARS'!$U$60+'LINEST VARS'!$T$60*(8)+'LINEST VARS'!$S$60*(8)+'LINEST VARS'!$R$60*($BF$80)+'LINEST VARS'!$Q$60*($AZ99)+'LINEST VARS'!$P$60*(12.73)+'LINEST VARS'!$O$60*(8^2)+'LINEST VARS'!$N$60*(8^2)+'LINEST VARS'!$M$60*($BF$80^2)+'LINEST VARS'!$L$60*($AZ99^2)+'LINEST VARS'!$K$60*(12.73^2)+'LINEST VARS'!$J$60*(8*8)+'LINEST VARS'!$I$60*(8*$BF$80)+'LINEST VARS'!$H$60*(8*$AZ99)+'LINEST VARS'!$G$60*(8*12.73)+'LINEST VARS'!$F$60*(8*$BF$80)+'LINEST VARS'!$E$60*(8*$AZ99)+'LINEST VARS'!$D$60*(8*12.73)+'LINEST VARS'!$C$60*($BF$80*$AZ99)+'LINEST VARS'!$B$60*($BF$80*12.73)+'LINEST VARS'!$A$60*($AZ99*12.73)</f>
        <v>40.46</v>
      </c>
      <c r="BG99" s="46">
        <f>'LINEST VARS'!$U$60+'LINEST VARS'!$T$60*(8)+'LINEST VARS'!$S$60*(8)+'LINEST VARS'!$R$60*($BG$80)+'LINEST VARS'!$Q$60*($AZ99)+'LINEST VARS'!$P$60*(12.73)+'LINEST VARS'!$O$60*(8^2)+'LINEST VARS'!$N$60*(8^2)+'LINEST VARS'!$M$60*($BG$80^2)+'LINEST VARS'!$L$60*($AZ99^2)+'LINEST VARS'!$K$60*(12.73^2)+'LINEST VARS'!$J$60*(8*8)+'LINEST VARS'!$I$60*(8*$BG$80)+'LINEST VARS'!$H$60*(8*$AZ99)+'LINEST VARS'!$G$60*(8*12.73)+'LINEST VARS'!$F$60*(8*$BG$80)+'LINEST VARS'!$E$60*(8*$AZ99)+'LINEST VARS'!$D$60*(8*12.73)+'LINEST VARS'!$C$60*($BG$80*$AZ99)+'LINEST VARS'!$B$60*($BG$80*12.73)+'LINEST VARS'!$A$60*($AZ99*12.73)</f>
        <v>40.46</v>
      </c>
      <c r="BH99" s="46">
        <f>'LINEST VARS'!$U$60+'LINEST VARS'!$T$60*(8)+'LINEST VARS'!$S$60*(8)+'LINEST VARS'!$R$60*($BH$80)+'LINEST VARS'!$Q$60*($AZ99)+'LINEST VARS'!$P$60*(12.73)+'LINEST VARS'!$O$60*(8^2)+'LINEST VARS'!$N$60*(8^2)+'LINEST VARS'!$M$60*($BH$80^2)+'LINEST VARS'!$L$60*($AZ99^2)+'LINEST VARS'!$K$60*(12.73^2)+'LINEST VARS'!$J$60*(8*8)+'LINEST VARS'!$I$60*(8*$BH$80)+'LINEST VARS'!$H$60*(8*$AZ99)+'LINEST VARS'!$G$60*(8*12.73)+'LINEST VARS'!$F$60*(8*$BH$80)+'LINEST VARS'!$E$60*(8*$AZ99)+'LINEST VARS'!$D$60*(8*12.73)+'LINEST VARS'!$C$60*($BH$80*$AZ99)+'LINEST VARS'!$B$60*($BH$80*12.73)+'LINEST VARS'!$A$60*($AZ99*12.73)</f>
        <v>40.46</v>
      </c>
      <c r="BI99" s="46">
        <f>'LINEST VARS'!$U$60+'LINEST VARS'!$T$60*(8)+'LINEST VARS'!$S$60*(8)+'LINEST VARS'!$R$60*($BI$80)+'LINEST VARS'!$Q$60*($AZ99)+'LINEST VARS'!$P$60*(12.73)+'LINEST VARS'!$O$60*(8^2)+'LINEST VARS'!$N$60*(8^2)+'LINEST VARS'!$M$60*($BI$80^2)+'LINEST VARS'!$L$60*($AZ99^2)+'LINEST VARS'!$K$60*(12.73^2)+'LINEST VARS'!$J$60*(8*8)+'LINEST VARS'!$I$60*(8*$BI$80)+'LINEST VARS'!$H$60*(8*$AZ99)+'LINEST VARS'!$G$60*(8*12.73)+'LINEST VARS'!$F$60*(8*$BI$80)+'LINEST VARS'!$E$60*(8*$AZ99)+'LINEST VARS'!$D$60*(8*12.73)+'LINEST VARS'!$C$60*($BI$80*$AZ99)+'LINEST VARS'!$B$60*($BI$80*12.73)+'LINEST VARS'!$A$60*($AZ99*12.73)</f>
        <v>40.460000000000008</v>
      </c>
      <c r="BJ99" s="46">
        <f>'LINEST VARS'!$U$60+'LINEST VARS'!$T$60*(8)+'LINEST VARS'!$S$60*(8)+'LINEST VARS'!$R$60*($BJ$80)+'LINEST VARS'!$Q$60*($AZ99)+'LINEST VARS'!$P$60*(12.73)+'LINEST VARS'!$O$60*(8^2)+'LINEST VARS'!$N$60*(8^2)+'LINEST VARS'!$M$60*($BJ$80^2)+'LINEST VARS'!$L$60*($AZ99^2)+'LINEST VARS'!$K$60*(12.73^2)+'LINEST VARS'!$J$60*(8*8)+'LINEST VARS'!$I$60*(8*$BJ$80)+'LINEST VARS'!$H$60*(8*$AZ99)+'LINEST VARS'!$G$60*(8*12.73)+'LINEST VARS'!$F$60*(8*$BJ$80)+'LINEST VARS'!$E$60*(8*$AZ99)+'LINEST VARS'!$D$60*(8*12.73)+'LINEST VARS'!$C$60*($BJ$80*$AZ99)+'LINEST VARS'!$B$60*($BJ$80*12.73)+'LINEST VARS'!$A$60*($AZ99*12.73)</f>
        <v>40.460000000000008</v>
      </c>
      <c r="BK99" s="46">
        <f>'LINEST VARS'!$U$60+'LINEST VARS'!$T$60*(8)+'LINEST VARS'!$S$60*(8)+'LINEST VARS'!$R$60*($BK$80)+'LINEST VARS'!$Q$60*($AZ99)+'LINEST VARS'!$P$60*(12.73)+'LINEST VARS'!$O$60*(8^2)+'LINEST VARS'!$N$60*(8^2)+'LINEST VARS'!$M$60*($BK$80^2)+'LINEST VARS'!$L$60*($AZ99^2)+'LINEST VARS'!$K$60*(12.73^2)+'LINEST VARS'!$J$60*(8*8)+'LINEST VARS'!$I$60*(8*$BK$80)+'LINEST VARS'!$H$60*(8*$AZ99)+'LINEST VARS'!$G$60*(8*12.73)+'LINEST VARS'!$F$60*(8*$BK$80)+'LINEST VARS'!$E$60*(8*$AZ99)+'LINEST VARS'!$D$60*(8*12.73)+'LINEST VARS'!$C$60*($BK$80*$AZ99)+'LINEST VARS'!$B$60*($BK$80*12.73)+'LINEST VARS'!$A$60*($AZ99*12.73)</f>
        <v>40.460000000000008</v>
      </c>
      <c r="BL99" s="46">
        <f>'LINEST VARS'!$U$60+'LINEST VARS'!$T$60*(8)+'LINEST VARS'!$S$60*(8)+'LINEST VARS'!$R$60*($BL$80)+'LINEST VARS'!$Q$60*($AZ99)+'LINEST VARS'!$P$60*(12.73)+'LINEST VARS'!$O$60*(8^2)+'LINEST VARS'!$N$60*(8^2)+'LINEST VARS'!$M$60*($BL$80^2)+'LINEST VARS'!$L$60*($AZ99^2)+'LINEST VARS'!$K$60*(12.73^2)+'LINEST VARS'!$J$60*(8*8)+'LINEST VARS'!$I$60*(8*$BL$80)+'LINEST VARS'!$H$60*(8*$AZ99)+'LINEST VARS'!$G$60*(8*12.73)+'LINEST VARS'!$F$60*(8*$BL$80)+'LINEST VARS'!$E$60*(8*$AZ99)+'LINEST VARS'!$D$60*(8*12.73)+'LINEST VARS'!$C$60*($BL$80*$AZ99)+'LINEST VARS'!$B$60*($BL$80*12.73)+'LINEST VARS'!$A$60*($AZ99*12.73)</f>
        <v>40.460000000000008</v>
      </c>
      <c r="BM99" s="46">
        <f>'LINEST VARS'!$U$60+'LINEST VARS'!$T$60*(8)+'LINEST VARS'!$S$60*(8)+'LINEST VARS'!$R$60*($BM$80)+'LINEST VARS'!$Q$60*($AZ99)+'LINEST VARS'!$P$60*(12.73)+'LINEST VARS'!$O$60*(8^2)+'LINEST VARS'!$N$60*(8^2)+'LINEST VARS'!$M$60*($BM$80^2)+'LINEST VARS'!$L$60*($AZ99^2)+'LINEST VARS'!$K$60*(12.73^2)+'LINEST VARS'!$J$60*(8*8)+'LINEST VARS'!$I$60*(8*$BM$80)+'LINEST VARS'!$H$60*(8*$AZ99)+'LINEST VARS'!$G$60*(8*12.73)+'LINEST VARS'!$F$60*(8*$BM$80)+'LINEST VARS'!$E$60*(8*$AZ99)+'LINEST VARS'!$D$60*(8*12.73)+'LINEST VARS'!$C$60*($BM$80*$AZ99)+'LINEST VARS'!$B$60*($BM$80*12.73)+'LINEST VARS'!$A$60*($AZ99*12.73)</f>
        <v>40.460000000000008</v>
      </c>
      <c r="BN99" s="46">
        <f>'LINEST VARS'!$U$60+'LINEST VARS'!$T$60*(8)+'LINEST VARS'!$S$60*(8)+'LINEST VARS'!$R$60*($BN$80)+'LINEST VARS'!$Q$60*($AZ99)+'LINEST VARS'!$P$60*(12.73)+'LINEST VARS'!$O$60*(8^2)+'LINEST VARS'!$N$60*(8^2)+'LINEST VARS'!$M$60*($BN$80^2)+'LINEST VARS'!$L$60*($AZ99^2)+'LINEST VARS'!$K$60*(12.73^2)+'LINEST VARS'!$J$60*(8*8)+'LINEST VARS'!$I$60*(8*$BN$80)+'LINEST VARS'!$H$60*(8*$AZ99)+'LINEST VARS'!$G$60*(8*12.73)+'LINEST VARS'!$F$60*(8*$BN$80)+'LINEST VARS'!$E$60*(8*$AZ99)+'LINEST VARS'!$D$60*(8*12.73)+'LINEST VARS'!$C$60*($BN$80*$AZ99)+'LINEST VARS'!$B$60*($BN$80*12.73)+'LINEST VARS'!$A$60*($AZ99*12.73)</f>
        <v>40.46</v>
      </c>
      <c r="BO99" s="46">
        <f>'LINEST VARS'!$U$60+'LINEST VARS'!$T$60*(8)+'LINEST VARS'!$S$60*(8)+'LINEST VARS'!$R$60*($BO$80)+'LINEST VARS'!$Q$60*($AZ99)+'LINEST VARS'!$P$60*(12.73)+'LINEST VARS'!$O$60*(8^2)+'LINEST VARS'!$N$60*(8^2)+'LINEST VARS'!$M$60*($BO$80^2)+'LINEST VARS'!$L$60*($AZ99^2)+'LINEST VARS'!$K$60*(12.73^2)+'LINEST VARS'!$J$60*(8*8)+'LINEST VARS'!$I$60*(8*$BO$80)+'LINEST VARS'!$H$60*(8*$AZ99)+'LINEST VARS'!$G$60*(8*12.73)+'LINEST VARS'!$F$60*(8*$BO$80)+'LINEST VARS'!$E$60*(8*$AZ99)+'LINEST VARS'!$D$60*(8*12.73)+'LINEST VARS'!$C$60*($BO$80*$AZ99)+'LINEST VARS'!$B$60*($BO$80*12.73)+'LINEST VARS'!$A$60*($AZ99*12.73)</f>
        <v>40.46</v>
      </c>
      <c r="BP99" s="46">
        <f>'LINEST VARS'!$U$60+'LINEST VARS'!$T$60*(8)+'LINEST VARS'!$S$60*(8)+'LINEST VARS'!$R$60*($BP$80)+'LINEST VARS'!$Q$60*($AZ99)+'LINEST VARS'!$P$60*(12.73)+'LINEST VARS'!$O$60*(8^2)+'LINEST VARS'!$N$60*(8^2)+'LINEST VARS'!$M$60*($BP$80^2)+'LINEST VARS'!$L$60*($AZ99^2)+'LINEST VARS'!$K$60*(12.73^2)+'LINEST VARS'!$J$60*(8*8)+'LINEST VARS'!$I$60*(8*$BP$80)+'LINEST VARS'!$H$60*(8*$AZ99)+'LINEST VARS'!$G$60*(8*12.73)+'LINEST VARS'!$F$60*(8*$BP$80)+'LINEST VARS'!$E$60*(8*$AZ99)+'LINEST VARS'!$D$60*(8*12.73)+'LINEST VARS'!$C$60*($BP$80*$AZ99)+'LINEST VARS'!$B$60*($BP$80*12.73)+'LINEST VARS'!$A$60*($AZ99*12.73)</f>
        <v>40.460000000000008</v>
      </c>
      <c r="BQ99" s="46">
        <f>'LINEST VARS'!$U$60+'LINEST VARS'!$T$60*(8)+'LINEST VARS'!$S$60*(8)+'LINEST VARS'!$R$60*($BQ$80)+'LINEST VARS'!$Q$60*($AZ99)+'LINEST VARS'!$P$60*(12.73)+'LINEST VARS'!$O$60*(8^2)+'LINEST VARS'!$N$60*(8^2)+'LINEST VARS'!$M$60*($BQ$80^2)+'LINEST VARS'!$L$60*($AZ99^2)+'LINEST VARS'!$K$60*(12.73^2)+'LINEST VARS'!$J$60*(8*8)+'LINEST VARS'!$I$60*(8*$BQ$80)+'LINEST VARS'!$H$60*(8*$AZ99)+'LINEST VARS'!$G$60*(8*12.73)+'LINEST VARS'!$F$60*(8*$BQ$80)+'LINEST VARS'!$E$60*(8*$AZ99)+'LINEST VARS'!$D$60*(8*12.73)+'LINEST VARS'!$C$60*($BQ$80*$AZ99)+'LINEST VARS'!$B$60*($BQ$80*12.73)+'LINEST VARS'!$A$60*($AZ99*12.73)</f>
        <v>40.460000000000008</v>
      </c>
      <c r="BR99" s="46">
        <f>'LINEST VARS'!$U$60+'LINEST VARS'!$T$60*(8)+'LINEST VARS'!$S$60*(8)+'LINEST VARS'!$R$60*($BR$80)+'LINEST VARS'!$Q$60*($AZ99)+'LINEST VARS'!$P$60*(12.73)+'LINEST VARS'!$O$60*(8^2)+'LINEST VARS'!$N$60*(8^2)+'LINEST VARS'!$M$60*($BR$80^2)+'LINEST VARS'!$L$60*($AZ99^2)+'LINEST VARS'!$K$60*(12.73^2)+'LINEST VARS'!$J$60*(8*8)+'LINEST VARS'!$I$60*(8*$BR$80)+'LINEST VARS'!$H$60*(8*$AZ99)+'LINEST VARS'!$G$60*(8*12.73)+'LINEST VARS'!$F$60*(8*$BR$80)+'LINEST VARS'!$E$60*(8*$AZ99)+'LINEST VARS'!$D$60*(8*12.73)+'LINEST VARS'!$C$60*($BR$80*$AZ99)+'LINEST VARS'!$B$60*($BR$80*12.73)+'LINEST VARS'!$A$60*($AZ99*12.73)</f>
        <v>40.460000000000008</v>
      </c>
      <c r="BS99" s="46">
        <f>'LINEST VARS'!$U$60+'LINEST VARS'!$T$60*(8)+'LINEST VARS'!$S$60*(8)+'LINEST VARS'!$R$60*($BS$80)+'LINEST VARS'!$Q$60*($AZ99)+'LINEST VARS'!$P$60*(12.73)+'LINEST VARS'!$O$60*(8^2)+'LINEST VARS'!$N$60*(8^2)+'LINEST VARS'!$M$60*($BS$80^2)+'LINEST VARS'!$L$60*($AZ99^2)+'LINEST VARS'!$K$60*(12.73^2)+'LINEST VARS'!$J$60*(8*8)+'LINEST VARS'!$I$60*(8*$BS$80)+'LINEST VARS'!$H$60*(8*$AZ99)+'LINEST VARS'!$G$60*(8*12.73)+'LINEST VARS'!$F$60*(8*$BS$80)+'LINEST VARS'!$E$60*(8*$AZ99)+'LINEST VARS'!$D$60*(8*12.73)+'LINEST VARS'!$C$60*($BS$80*$AZ99)+'LINEST VARS'!$B$60*($BS$80*12.73)+'LINEST VARS'!$A$60*($AZ99*12.73)</f>
        <v>40.460000000000008</v>
      </c>
      <c r="BT99" s="46">
        <f>'LINEST VARS'!$U$60+'LINEST VARS'!$T$60*(8)+'LINEST VARS'!$S$60*(8)+'LINEST VARS'!$R$60*($BT$80)+'LINEST VARS'!$Q$60*($AZ99)+'LINEST VARS'!$P$60*(12.73)+'LINEST VARS'!$O$60*(8^2)+'LINEST VARS'!$N$60*(8^2)+'LINEST VARS'!$M$60*($BT$80^2)+'LINEST VARS'!$L$60*($AZ99^2)+'LINEST VARS'!$K$60*(12.73^2)+'LINEST VARS'!$J$60*(8*8)+'LINEST VARS'!$I$60*(8*$BT$80)+'LINEST VARS'!$H$60*(8*$AZ99)+'LINEST VARS'!$G$60*(8*12.73)+'LINEST VARS'!$F$60*(8*$BT$80)+'LINEST VARS'!$E$60*(8*$AZ99)+'LINEST VARS'!$D$60*(8*12.73)+'LINEST VARS'!$C$60*($BT$80*$AZ99)+'LINEST VARS'!$B$60*($BT$80*12.73)+'LINEST VARS'!$A$60*($AZ99*12.73)</f>
        <v>40.46</v>
      </c>
      <c r="BU99" s="47">
        <f>'LINEST VARS'!$U$60+'LINEST VARS'!$T$60*(8)+'LINEST VARS'!$S$60*(8)+'LINEST VARS'!$R$60*($BU$80)+'LINEST VARS'!$Q$60*($AZ99)+'LINEST VARS'!$P$60*(12.73)+'LINEST VARS'!$O$60*(8^2)+'LINEST VARS'!$N$60*(8^2)+'LINEST VARS'!$M$60*($BU$80^2)+'LINEST VARS'!$L$60*($AZ99^2)+'LINEST VARS'!$K$60*(12.73^2)+'LINEST VARS'!$J$60*(8*8)+'LINEST VARS'!$I$60*(8*$BU$80)+'LINEST VARS'!$H$60*(8*$AZ99)+'LINEST VARS'!$G$60*(8*12.73)+'LINEST VARS'!$F$60*(8*$BU$80)+'LINEST VARS'!$E$60*(8*$AZ99)+'LINEST VARS'!$D$60*(8*12.73)+'LINEST VARS'!$C$60*($BU$80*$AZ99)+'LINEST VARS'!$B$60*($BU$80*12.73)+'LINEST VARS'!$A$60*($AZ99*12.73)</f>
        <v>40.46</v>
      </c>
      <c r="BX99" s="45">
        <v>0.9</v>
      </c>
      <c r="BY99" s="55">
        <f>'LINEST VARS'!$U$62+'LINEST VARS'!$T$62*(8)+'LINEST VARS'!$S$62*(8)+'LINEST VARS'!$R$62*($BY$80)+'LINEST VARS'!$Q$62*($BX99)+'LINEST VARS'!$P$62*(12.73)+'LINEST VARS'!$O$62*(8^2)+'LINEST VARS'!$N$62*(8^2)+'LINEST VARS'!$M$62*($BY$80^2)+'LINEST VARS'!$L$62*($BX99^2)+'LINEST VARS'!$K$62*(12.73^2)+'LINEST VARS'!$J$62*(8*8)+'LINEST VARS'!$I$62*(8*$BY$80)+'LINEST VARS'!$H$62*(8*$BX99)+'LINEST VARS'!$G$62*(8*12.73)+'LINEST VARS'!$F$62*(8*$BY$80)+'LINEST VARS'!$E$62*(8*$BX99)+'LINEST VARS'!$D$62*(8*12.73)+'LINEST VARS'!$C$62*($BY$80*$BX99)+'LINEST VARS'!$B$62*($BY$80*12.73)+'LINEST VARS'!$A$62*($BX99*12.73)</f>
        <v>348.37999999999988</v>
      </c>
      <c r="BZ99" s="55">
        <f>'LINEST VARS'!$U$62+'LINEST VARS'!$T$62*(8)+'LINEST VARS'!$S$62*(8)+'LINEST VARS'!$R$62*($BZ$80)+'LINEST VARS'!$Q$62*($BX99)+'LINEST VARS'!$P$62*(12.73)+'LINEST VARS'!$O$62*(8^2)+'LINEST VARS'!$N$62*(8^2)+'LINEST VARS'!$M$62*($BZ$80^2)+'LINEST VARS'!$L$62*($BX99^2)+'LINEST VARS'!$K$62*(12.73^2)+'LINEST VARS'!$J$62*(8*8)+'LINEST VARS'!$I$62*(8*$BZ$80)+'LINEST VARS'!$H$62*(8*$BX99)+'LINEST VARS'!$G$62*(8*12.73)+'LINEST VARS'!$F$62*(8*$BZ$80)+'LINEST VARS'!$E$62*(8*$BX99)+'LINEST VARS'!$D$62*(8*12.73)+'LINEST VARS'!$C$62*($BZ$80*$BX99)+'LINEST VARS'!$B$62*($BZ$80*12.73)+'LINEST VARS'!$A$62*($BX99*12.73)</f>
        <v>347.57999999999993</v>
      </c>
      <c r="CA99" s="55">
        <f>'LINEST VARS'!$U$62+'LINEST VARS'!$T$62*(8)+'LINEST VARS'!$S$62*(8)+'LINEST VARS'!$R$62*($CA$80)+'LINEST VARS'!$Q$62*($BX99)+'LINEST VARS'!$P$62*(12.73)+'LINEST VARS'!$O$62*(8^2)+'LINEST VARS'!$N$62*(8^2)+'LINEST VARS'!$M$62*($CA$80^2)+'LINEST VARS'!$L$62*($BX99^2)+'LINEST VARS'!$K$62*(12.73^2)+'LINEST VARS'!$J$62*(8*8)+'LINEST VARS'!$I$62*(8*$CA$80)+'LINEST VARS'!$H$62*(8*$BX99)+'LINEST VARS'!$G$62*(8*12.73)+'LINEST VARS'!$F$62*(8*$CA$80)+'LINEST VARS'!$E$62*(8*$BX99)+'LINEST VARS'!$D$62*(8*12.73)+'LINEST VARS'!$C$62*($CA$80*$BX99)+'LINEST VARS'!$B$62*($CA$80*12.73)+'LINEST VARS'!$A$62*($BX99*12.73)</f>
        <v>345.17999999999984</v>
      </c>
      <c r="CB99" s="55">
        <f>'LINEST VARS'!$U$62+'LINEST VARS'!$T$62*(8)+'LINEST VARS'!$S$62*(8)+'LINEST VARS'!$R$62*($CB$80)+'LINEST VARS'!$Q$62*($BX99)+'LINEST VARS'!$P$62*(12.73)+'LINEST VARS'!$O$62*(8^2)+'LINEST VARS'!$N$62*(8^2)+'LINEST VARS'!$M$62*($CB$80^2)+'LINEST VARS'!$L$62*($BX99^2)+'LINEST VARS'!$K$62*(12.73^2)+'LINEST VARS'!$J$62*(8*8)+'LINEST VARS'!$I$62*(8*$CB$80)+'LINEST VARS'!$H$62*(8*$BX99)+'LINEST VARS'!$G$62*(8*12.73)+'LINEST VARS'!$F$62*(8*$CB$80)+'LINEST VARS'!$E$62*(8*$BX99)+'LINEST VARS'!$D$62*(8*12.73)+'LINEST VARS'!$C$62*($CB$80*$BX99)+'LINEST VARS'!$B$62*($CB$80*12.73)+'LINEST VARS'!$A$62*($BX99*12.73)</f>
        <v>341.17999999999989</v>
      </c>
      <c r="CC99" s="55">
        <f>'LINEST VARS'!$U$62+'LINEST VARS'!$T$62*(8)+'LINEST VARS'!$S$62*(8)+'LINEST VARS'!$R$62*($CC$80)+'LINEST VARS'!$Q$62*($BX99)+'LINEST VARS'!$P$62*(12.73)+'LINEST VARS'!$O$62*(8^2)+'LINEST VARS'!$N$62*(8^2)+'LINEST VARS'!$M$62*($CC$80^2)+'LINEST VARS'!$L$62*($BX99^2)+'LINEST VARS'!$K$62*(12.73^2)+'LINEST VARS'!$J$62*(8*8)+'LINEST VARS'!$I$62*(8*$CC$80)+'LINEST VARS'!$H$62*(8*$BX99)+'LINEST VARS'!$G$62*(8*12.73)+'LINEST VARS'!$F$62*(8*$CC$80)+'LINEST VARS'!$E$62*(8*$BX99)+'LINEST VARS'!$D$62*(8*12.73)+'LINEST VARS'!$C$62*($CC$80*$BX99)+'LINEST VARS'!$B$62*($CC$80*12.73)+'LINEST VARS'!$A$62*($BX99*12.73)</f>
        <v>335.57999999999993</v>
      </c>
      <c r="CD99" s="55">
        <f>'LINEST VARS'!$U$62+'LINEST VARS'!$T$62*(8)+'LINEST VARS'!$S$62*(8)+'LINEST VARS'!$R$62*($CD$80)+'LINEST VARS'!$Q$62*($BX99)+'LINEST VARS'!$P$62*(12.73)+'LINEST VARS'!$O$62*(8^2)+'LINEST VARS'!$N$62*(8^2)+'LINEST VARS'!$M$62*($CD$80^2)+'LINEST VARS'!$L$62*($BX99^2)+'LINEST VARS'!$K$62*(12.73^2)+'LINEST VARS'!$J$62*(8*8)+'LINEST VARS'!$I$62*(8*$CD$80)+'LINEST VARS'!$H$62*(8*$BX99)+'LINEST VARS'!$G$62*(8*12.73)+'LINEST VARS'!$F$62*(8*$CD$80)+'LINEST VARS'!$E$62*(8*$BX99)+'LINEST VARS'!$D$62*(8*12.73)+'LINEST VARS'!$C$62*($CD$80*$BX99)+'LINEST VARS'!$B$62*($CD$80*12.73)+'LINEST VARS'!$A$62*($BX99*12.73)</f>
        <v>328.38</v>
      </c>
      <c r="CE99" s="55">
        <f>'LINEST VARS'!$U$62+'LINEST VARS'!$T$62*(8)+'LINEST VARS'!$S$62*(8)+'LINEST VARS'!$R$62*($CE$80)+'LINEST VARS'!$Q$62*($BX99)+'LINEST VARS'!$P$62*(12.73)+'LINEST VARS'!$O$62*(8^2)+'LINEST VARS'!$N$62*(8^2)+'LINEST VARS'!$M$62*($CE$80^2)+'LINEST VARS'!$L$62*($BX99^2)+'LINEST VARS'!$K$62*(12.73^2)+'LINEST VARS'!$J$62*(8*8)+'LINEST VARS'!$I$62*(8*$CE$80)+'LINEST VARS'!$H$62*(8*$BX99)+'LINEST VARS'!$G$62*(8*12.73)+'LINEST VARS'!$F$62*(8*$CE$80)+'LINEST VARS'!$E$62*(8*$BX99)+'LINEST VARS'!$D$62*(8*12.73)+'LINEST VARS'!$C$62*($CE$80*$BX99)+'LINEST VARS'!$B$62*($CE$80*12.73)+'LINEST VARS'!$A$62*($BX99*12.73)</f>
        <v>319.57999999999987</v>
      </c>
      <c r="CF99" s="55">
        <f>'LINEST VARS'!$U$62+'LINEST VARS'!$T$62*(8)+'LINEST VARS'!$S$62*(8)+'LINEST VARS'!$R$62*($CF$80)+'LINEST VARS'!$Q$62*($BX99)+'LINEST VARS'!$P$62*(12.73)+'LINEST VARS'!$O$62*(8^2)+'LINEST VARS'!$N$62*(8^2)+'LINEST VARS'!$M$62*($CF$80^2)+'LINEST VARS'!$L$62*($BX99^2)+'LINEST VARS'!$K$62*(12.73^2)+'LINEST VARS'!$J$62*(8*8)+'LINEST VARS'!$I$62*(8*$CF$80)+'LINEST VARS'!$H$62*(8*$BX99)+'LINEST VARS'!$G$62*(8*12.73)+'LINEST VARS'!$F$62*(8*$CF$80)+'LINEST VARS'!$E$62*(8*$BX99)+'LINEST VARS'!$D$62*(8*12.73)+'LINEST VARS'!$C$62*($CF$80*$BX99)+'LINEST VARS'!$B$62*($CF$80*12.73)+'LINEST VARS'!$A$62*($BX99*12.73)</f>
        <v>309.17999999999995</v>
      </c>
      <c r="CG99" s="55">
        <f>'LINEST VARS'!$U$62+'LINEST VARS'!$T$62*(8)+'LINEST VARS'!$S$62*(8)+'LINEST VARS'!$R$62*($CG$80)+'LINEST VARS'!$Q$62*($BX99)+'LINEST VARS'!$P$62*(12.73)+'LINEST VARS'!$O$62*(8^2)+'LINEST VARS'!$N$62*(8^2)+'LINEST VARS'!$M$62*($CG$80^2)+'LINEST VARS'!$L$62*($BX99^2)+'LINEST VARS'!$K$62*(12.73^2)+'LINEST VARS'!$J$62*(8*8)+'LINEST VARS'!$I$62*(8*$CG$80)+'LINEST VARS'!$H$62*(8*$BX99)+'LINEST VARS'!$G$62*(8*12.73)+'LINEST VARS'!$F$62*(8*$CG$80)+'LINEST VARS'!$E$62*(8*$BX99)+'LINEST VARS'!$D$62*(8*12.73)+'LINEST VARS'!$C$62*($CG$80*$BX99)+'LINEST VARS'!$B$62*($CG$80*12.73)+'LINEST VARS'!$A$62*($BX99*12.73)</f>
        <v>297.17999999999995</v>
      </c>
      <c r="CH99" s="55">
        <f>'LINEST VARS'!$U$62+'LINEST VARS'!$T$62*(8)+'LINEST VARS'!$S$62*(8)+'LINEST VARS'!$R$62*($CH$80)+'LINEST VARS'!$Q$62*($BX99)+'LINEST VARS'!$P$62*(12.73)+'LINEST VARS'!$O$62*(8^2)+'LINEST VARS'!$N$62*(8^2)+'LINEST VARS'!$M$62*($CH$80^2)+'LINEST VARS'!$L$62*($BX99^2)+'LINEST VARS'!$K$62*(12.73^2)+'LINEST VARS'!$J$62*(8*8)+'LINEST VARS'!$I$62*(8*$CH$80)+'LINEST VARS'!$H$62*(8*$BX99)+'LINEST VARS'!$G$62*(8*12.73)+'LINEST VARS'!$F$62*(8*$CH$80)+'LINEST VARS'!$E$62*(8*$BX99)+'LINEST VARS'!$D$62*(8*12.73)+'LINEST VARS'!$C$62*($CH$80*$BX99)+'LINEST VARS'!$B$62*($CH$80*12.73)+'LINEST VARS'!$A$62*($BX99*12.73)</f>
        <v>283.57999999999993</v>
      </c>
      <c r="CI99" s="55">
        <f>'LINEST VARS'!$U$62+'LINEST VARS'!$T$62*(8)+'LINEST VARS'!$S$62*(8)+'LINEST VARS'!$R$62*($CI$80)+'LINEST VARS'!$Q$62*($BX99)+'LINEST VARS'!$P$62*(12.73)+'LINEST VARS'!$O$62*(8^2)+'LINEST VARS'!$N$62*(8^2)+'LINEST VARS'!$M$62*($CI$80^2)+'LINEST VARS'!$L$62*($BX99^2)+'LINEST VARS'!$K$62*(12.73^2)+'LINEST VARS'!$J$62*(8*8)+'LINEST VARS'!$I$62*(8*$CI$80)+'LINEST VARS'!$H$62*(8*$BX99)+'LINEST VARS'!$G$62*(8*12.73)+'LINEST VARS'!$F$62*(8*$CI$80)+'LINEST VARS'!$E$62*(8*$BX99)+'LINEST VARS'!$D$62*(8*12.73)+'LINEST VARS'!$C$62*($CI$80*$BX99)+'LINEST VARS'!$B$62*($CI$80*12.73)+'LINEST VARS'!$A$62*($BX99*12.73)</f>
        <v>268.37999999999994</v>
      </c>
      <c r="CJ99" s="55">
        <f>'LINEST VARS'!$U$62+'LINEST VARS'!$T$62*(8)+'LINEST VARS'!$S$62*(8)+'LINEST VARS'!$R$62*($CJ$80)+'LINEST VARS'!$Q$62*($BX99)+'LINEST VARS'!$P$62*(12.73)+'LINEST VARS'!$O$62*(8^2)+'LINEST VARS'!$N$62*(8^2)+'LINEST VARS'!$M$62*($CJ$80^2)+'LINEST VARS'!$L$62*($BX99^2)+'LINEST VARS'!$K$62*(12.73^2)+'LINEST VARS'!$J$62*(8*8)+'LINEST VARS'!$I$62*(8*$CJ$80)+'LINEST VARS'!$H$62*(8*$BX99)+'LINEST VARS'!$G$62*(8*12.73)+'LINEST VARS'!$F$62*(8*$CJ$80)+'LINEST VARS'!$E$62*(8*$BX99)+'LINEST VARS'!$D$62*(8*12.73)+'LINEST VARS'!$C$62*($CJ$80*$BX99)+'LINEST VARS'!$B$62*($CJ$80*12.73)+'LINEST VARS'!$A$62*($BX99*12.73)</f>
        <v>251.57999999999998</v>
      </c>
      <c r="CK99" s="55">
        <f>'LINEST VARS'!$U$62+'LINEST VARS'!$T$62*(8)+'LINEST VARS'!$S$62*(8)+'LINEST VARS'!$R$62*($CK$80)+'LINEST VARS'!$Q$62*($BX99)+'LINEST VARS'!$P$62*(12.73)+'LINEST VARS'!$O$62*(8^2)+'LINEST VARS'!$N$62*(8^2)+'LINEST VARS'!$M$62*($CK$80^2)+'LINEST VARS'!$L$62*($BX99^2)+'LINEST VARS'!$K$62*(12.73^2)+'LINEST VARS'!$J$62*(8*8)+'LINEST VARS'!$I$62*(8*$CK$80)+'LINEST VARS'!$H$62*(8*$BX99)+'LINEST VARS'!$G$62*(8*12.73)+'LINEST VARS'!$F$62*(8*$CK$80)+'LINEST VARS'!$E$62*(8*$BX99)+'LINEST VARS'!$D$62*(8*12.73)+'LINEST VARS'!$C$62*($CK$80*$BX99)+'LINEST VARS'!$B$62*($CK$80*12.73)+'LINEST VARS'!$A$62*($BX99*12.73)</f>
        <v>233.18000000000004</v>
      </c>
      <c r="CL99" s="55">
        <f>'LINEST VARS'!$U$62+'LINEST VARS'!$T$62*(8)+'LINEST VARS'!$S$62*(8)+'LINEST VARS'!$R$62*($CL$80)+'LINEST VARS'!$Q$62*($BX99)+'LINEST VARS'!$P$62*(12.73)+'LINEST VARS'!$O$62*(8^2)+'LINEST VARS'!$N$62*(8^2)+'LINEST VARS'!$M$62*($CL$80^2)+'LINEST VARS'!$L$62*($BX99^2)+'LINEST VARS'!$K$62*(12.73^2)+'LINEST VARS'!$J$62*(8*8)+'LINEST VARS'!$I$62*(8*$CL$80)+'LINEST VARS'!$H$62*(8*$BX99)+'LINEST VARS'!$G$62*(8*12.73)+'LINEST VARS'!$F$62*(8*$CL$80)+'LINEST VARS'!$E$62*(8*$BX99)+'LINEST VARS'!$D$62*(8*12.73)+'LINEST VARS'!$C$62*($CL$80*$BX99)+'LINEST VARS'!$B$62*($CL$80*12.73)+'LINEST VARS'!$A$62*($BX99*12.73)</f>
        <v>213.17999999999998</v>
      </c>
      <c r="CM99" s="55">
        <f>'LINEST VARS'!$U$62+'LINEST VARS'!$T$62*(8)+'LINEST VARS'!$S$62*(8)+'LINEST VARS'!$R$62*($CM$80)+'LINEST VARS'!$Q$62*($BX99)+'LINEST VARS'!$P$62*(12.73)+'LINEST VARS'!$O$62*(8^2)+'LINEST VARS'!$N$62*(8^2)+'LINEST VARS'!$M$62*($CM$80^2)+'LINEST VARS'!$L$62*($BX99^2)+'LINEST VARS'!$K$62*(12.73^2)+'LINEST VARS'!$J$62*(8*8)+'LINEST VARS'!$I$62*(8*$CM$80)+'LINEST VARS'!$H$62*(8*$BX99)+'LINEST VARS'!$G$62*(8*12.73)+'LINEST VARS'!$F$62*(8*$CM$80)+'LINEST VARS'!$E$62*(8*$BX99)+'LINEST VARS'!$D$62*(8*12.73)+'LINEST VARS'!$C$62*($CM$80*$BX99)+'LINEST VARS'!$B$62*($CM$80*12.73)+'LINEST VARS'!$A$62*($BX99*12.73)</f>
        <v>191.58000000000007</v>
      </c>
      <c r="CN99" s="55">
        <f>'LINEST VARS'!$U$62+'LINEST VARS'!$T$62*(8)+'LINEST VARS'!$S$62*(8)+'LINEST VARS'!$R$62*($CN$80)+'LINEST VARS'!$Q$62*($BX99)+'LINEST VARS'!$P$62*(12.73)+'LINEST VARS'!$O$62*(8^2)+'LINEST VARS'!$N$62*(8^2)+'LINEST VARS'!$M$62*($CN$80^2)+'LINEST VARS'!$L$62*($BX99^2)+'LINEST VARS'!$K$62*(12.73^2)+'LINEST VARS'!$J$62*(8*8)+'LINEST VARS'!$I$62*(8*$CN$80)+'LINEST VARS'!$H$62*(8*$BX99)+'LINEST VARS'!$G$62*(8*12.73)+'LINEST VARS'!$F$62*(8*$CN$80)+'LINEST VARS'!$E$62*(8*$BX99)+'LINEST VARS'!$D$62*(8*12.73)+'LINEST VARS'!$C$62*($CN$80*$BX99)+'LINEST VARS'!$B$62*($CN$80*12.73)+'LINEST VARS'!$A$62*($BX99*12.73)</f>
        <v>168.38000000000005</v>
      </c>
      <c r="CO99" s="55">
        <f>'LINEST VARS'!$U$62+'LINEST VARS'!$T$62*(8)+'LINEST VARS'!$S$62*(8)+'LINEST VARS'!$R$62*($CO$80)+'LINEST VARS'!$Q$62*($BX99)+'LINEST VARS'!$P$62*(12.73)+'LINEST VARS'!$O$62*(8^2)+'LINEST VARS'!$N$62*(8^2)+'LINEST VARS'!$M$62*($CO$80^2)+'LINEST VARS'!$L$62*($BX99^2)+'LINEST VARS'!$K$62*(12.73^2)+'LINEST VARS'!$J$62*(8*8)+'LINEST VARS'!$I$62*(8*$CO$80)+'LINEST VARS'!$H$62*(8*$BX99)+'LINEST VARS'!$G$62*(8*12.73)+'LINEST VARS'!$F$62*(8*$CO$80)+'LINEST VARS'!$E$62*(8*$BX99)+'LINEST VARS'!$D$62*(8*12.73)+'LINEST VARS'!$C$62*($CO$80*$BX99)+'LINEST VARS'!$B$62*($CO$80*12.73)+'LINEST VARS'!$A$62*($BX99*12.73)</f>
        <v>143.58000000000007</v>
      </c>
      <c r="CP99" s="55">
        <f>'LINEST VARS'!$U$62+'LINEST VARS'!$T$62*(8)+'LINEST VARS'!$S$62*(8)+'LINEST VARS'!$R$62*($CP$80)+'LINEST VARS'!$Q$62*($BX99)+'LINEST VARS'!$P$62*(12.73)+'LINEST VARS'!$O$62*(8^2)+'LINEST VARS'!$N$62*(8^2)+'LINEST VARS'!$M$62*($CP$80^2)+'LINEST VARS'!$L$62*($BX99^2)+'LINEST VARS'!$K$62*(12.73^2)+'LINEST VARS'!$J$62*(8*8)+'LINEST VARS'!$I$62*(8*$CP$80)+'LINEST VARS'!$H$62*(8*$BX99)+'LINEST VARS'!$G$62*(8*12.73)+'LINEST VARS'!$F$62*(8*$CP$80)+'LINEST VARS'!$E$62*(8*$BX99)+'LINEST VARS'!$D$62*(8*12.73)+'LINEST VARS'!$C$62*($CP$80*$BX99)+'LINEST VARS'!$B$62*($CP$80*12.73)+'LINEST VARS'!$A$62*($BX99*12.73)</f>
        <v>117.18000000000011</v>
      </c>
      <c r="CQ99" s="55">
        <f>'LINEST VARS'!$U$62+'LINEST VARS'!$T$62*(8)+'LINEST VARS'!$S$62*(8)+'LINEST VARS'!$R$62*($CQ$80)+'LINEST VARS'!$Q$62*($BX99)+'LINEST VARS'!$P$62*(12.73)+'LINEST VARS'!$O$62*(8^2)+'LINEST VARS'!$N$62*(8^2)+'LINEST VARS'!$M$62*($CQ$80^2)+'LINEST VARS'!$L$62*($BX99^2)+'LINEST VARS'!$K$62*(12.73^2)+'LINEST VARS'!$J$62*(8*8)+'LINEST VARS'!$I$62*(8*$CQ$80)+'LINEST VARS'!$H$62*(8*$BX99)+'LINEST VARS'!$G$62*(8*12.73)+'LINEST VARS'!$F$62*(8*$CQ$80)+'LINEST VARS'!$E$62*(8*$BX99)+'LINEST VARS'!$D$62*(8*12.73)+'LINEST VARS'!$C$62*($CQ$80*$BX99)+'LINEST VARS'!$B$62*($CQ$80*12.73)+'LINEST VARS'!$A$62*($BX99*12.73)</f>
        <v>89.180000000000106</v>
      </c>
      <c r="CR99" s="55">
        <f>'LINEST VARS'!$U$62+'LINEST VARS'!$T$62*(8)+'LINEST VARS'!$S$62*(8)+'LINEST VARS'!$R$62*($CR$80)+'LINEST VARS'!$Q$62*($BX99)+'LINEST VARS'!$P$62*(12.73)+'LINEST VARS'!$O$62*(8^2)+'LINEST VARS'!$N$62*(8^2)+'LINEST VARS'!$M$62*($CR$80^2)+'LINEST VARS'!$L$62*($BX99^2)+'LINEST VARS'!$K$62*(12.73^2)+'LINEST VARS'!$J$62*(8*8)+'LINEST VARS'!$I$62*(8*$CR$80)+'LINEST VARS'!$H$62*(8*$BX99)+'LINEST VARS'!$G$62*(8*12.73)+'LINEST VARS'!$F$62*(8*$CR$80)+'LINEST VARS'!$E$62*(8*$BX99)+'LINEST VARS'!$D$62*(8*12.73)+'LINEST VARS'!$C$62*($CR$80*$BX99)+'LINEST VARS'!$B$62*($CR$80*12.73)+'LINEST VARS'!$A$62*($BX99*12.73)</f>
        <v>59.58000000000014</v>
      </c>
      <c r="CS99" s="56">
        <f>'LINEST VARS'!$U$62+'LINEST VARS'!$T$62*(8)+'LINEST VARS'!$S$62*(8)+'LINEST VARS'!$R$62*($CS$80)+'LINEST VARS'!$Q$62*($BX99)+'LINEST VARS'!$P$62*(12.73)+'LINEST VARS'!$O$62*(8^2)+'LINEST VARS'!$N$62*(8^2)+'LINEST VARS'!$M$62*($CS$80^2)+'LINEST VARS'!$L$62*($BX99^2)+'LINEST VARS'!$K$62*(12.73^2)+'LINEST VARS'!$J$62*(8*8)+'LINEST VARS'!$I$62*(8*$CS$80)+'LINEST VARS'!$H$62*(8*$BX99)+'LINEST VARS'!$G$62*(8*12.73)+'LINEST VARS'!$F$62*(8*$CS$80)+'LINEST VARS'!$E$62*(8*$BX99)+'LINEST VARS'!$D$62*(8*12.73)+'LINEST VARS'!$C$62*($CS$80*$BX99)+'LINEST VARS'!$B$62*($CS$80*12.73)+'LINEST VARS'!$A$62*($BX99*12.73)</f>
        <v>28.38000000000018</v>
      </c>
      <c r="CX99" s="45">
        <v>23.390999999999998</v>
      </c>
      <c r="CY99" s="46">
        <f>'LINEST VARS'!$U$60+'LINEST VARS'!$T$60*(8)+'LINEST VARS'!$S$60*(8)+'LINEST VARS'!$R$60*($CY$80)+'LINEST VARS'!$Q$60*(0.5)+'LINEST VARS'!$P$60*($CX99)+'LINEST VARS'!$O$60*(8^2)+'LINEST VARS'!$N$60*(8^2)+'LINEST VARS'!$M$60*($CY$80^2)+'LINEST VARS'!$L$60*(0.5^2)+'LINEST VARS'!$K$60*($CX99^2)+'LINEST VARS'!$J$60*(8*8)+'LINEST VARS'!$I$60*(8*$CY$80)+'LINEST VARS'!$H$60*(8*0.5)+'LINEST VARS'!$G$60*(8*$CX99)+'LINEST VARS'!$F$60*(8*$CY$80)+'LINEST VARS'!$E$60*(8*0.5)+'LINEST VARS'!$D$60*(8*$CX99)+'LINEST VARS'!$C$60*($CY$80*0.5)+'LINEST VARS'!$B$60*($CY$80*$CX99)+'LINEST VARS'!$A$60*(0.5*$CX99)</f>
        <v>61.781999999999996</v>
      </c>
      <c r="CZ99" s="46">
        <f>'LINEST VARS'!$U$60+'LINEST VARS'!$T$60*(8)+'LINEST VARS'!$S$60*(8)+'LINEST VARS'!$R$60*($CZ$80)+'LINEST VARS'!$Q$60*(0.5)+'LINEST VARS'!$P$60*($CX99)+'LINEST VARS'!$O$60*(8^2)+'LINEST VARS'!$N$60*(8^2)+'LINEST VARS'!$M$60*($CZ$80^2)+'LINEST VARS'!$L$60*(0.5^2)+'LINEST VARS'!$K$60*($CX99^2)+'LINEST VARS'!$J$60*(8*8)+'LINEST VARS'!$I$60*(8*$CZ$80)+'LINEST VARS'!$H$60*(8*0.5)+'LINEST VARS'!$G$60*(8*$CX99)+'LINEST VARS'!$F$60*(8*$CZ$80)+'LINEST VARS'!$E$60*(8*0.5)+'LINEST VARS'!$D$60*(8*$CX99)+'LINEST VARS'!$C$60*($CZ$80*0.5)+'LINEST VARS'!$B$60*($CZ$80*$CX99)+'LINEST VARS'!$A$60*(0.5*$CX99)</f>
        <v>61.781999999999996</v>
      </c>
      <c r="DA99" s="46">
        <f>'LINEST VARS'!$U$60+'LINEST VARS'!$T$60*(8)+'LINEST VARS'!$S$60*(8)+'LINEST VARS'!$R$60*($DA$80)+'LINEST VARS'!$Q$60*(0.5)+'LINEST VARS'!$P$60*($CX99)+'LINEST VARS'!$O$60*(8^2)+'LINEST VARS'!$N$60*(8^2)+'LINEST VARS'!$M$60*($DA$80^2)+'LINEST VARS'!$L$60*(0.5^2)+'LINEST VARS'!$K$60*($CX99^2)+'LINEST VARS'!$J$60*(8*8)+'LINEST VARS'!$I$60*(8*$DA$80)+'LINEST VARS'!$H$60*(8*0.5)+'LINEST VARS'!$G$60*(8*$CX99)+'LINEST VARS'!$F$60*(8*$DA$80)+'LINEST VARS'!$E$60*(8*0.5)+'LINEST VARS'!$D$60*(8*$CX99)+'LINEST VARS'!$C$60*($DA$80*0.5)+'LINEST VARS'!$B$60*($DA$80*$CX99)+'LINEST VARS'!$A$60*(0.5*$CX99)</f>
        <v>61.781999999999996</v>
      </c>
      <c r="DB99" s="46">
        <f>'LINEST VARS'!$U$60+'LINEST VARS'!$T$60*(8)+'LINEST VARS'!$S$60*(8)+'LINEST VARS'!$R$60*($DB$80)+'LINEST VARS'!$Q$60*(0.5)+'LINEST VARS'!$P$60*($CX99)+'LINEST VARS'!$O$60*(8^2)+'LINEST VARS'!$N$60*(8^2)+'LINEST VARS'!$M$60*($DB$80^2)+'LINEST VARS'!$L$60*(0.5^2)+'LINEST VARS'!$K$60*($CX99^2)+'LINEST VARS'!$J$60*(8*8)+'LINEST VARS'!$I$60*(8*$DB$80)+'LINEST VARS'!$H$60*(8*0.5)+'LINEST VARS'!$G$60*(8*$CX99)+'LINEST VARS'!$F$60*(8*$DB$80)+'LINEST VARS'!$E$60*(8*0.5)+'LINEST VARS'!$D$60*(8*$CX99)+'LINEST VARS'!$C$60*($DB$80*0.5)+'LINEST VARS'!$B$60*($DB$80*$CX99)+'LINEST VARS'!$A$60*(0.5*$CX99)</f>
        <v>61.781999999999996</v>
      </c>
      <c r="DC99" s="46">
        <f>'LINEST VARS'!$U$60+'LINEST VARS'!$T$60*(8)+'LINEST VARS'!$S$60*(8)+'LINEST VARS'!$R$60*($DC$80)+'LINEST VARS'!$Q$60*(0.5)+'LINEST VARS'!$P$60*($CX99)+'LINEST VARS'!$O$60*(8^2)+'LINEST VARS'!$N$60*(8^2)+'LINEST VARS'!$M$60*($DC$80^2)+'LINEST VARS'!$L$60*(0.5^2)+'LINEST VARS'!$K$60*($CX99^2)+'LINEST VARS'!$J$60*(8*8)+'LINEST VARS'!$I$60*(8*$DC$80)+'LINEST VARS'!$H$60*(8*0.5)+'LINEST VARS'!$G$60*(8*$CX99)+'LINEST VARS'!$F$60*(8*$DC$80)+'LINEST VARS'!$E$60*(8*0.5)+'LINEST VARS'!$D$60*(8*$CX99)+'LINEST VARS'!$C$60*($DC$80*0.5)+'LINEST VARS'!$B$60*($DC$80*$CX99)+'LINEST VARS'!$A$60*(0.5*$CX99)</f>
        <v>61.781999999999989</v>
      </c>
      <c r="DD99" s="46">
        <f>'LINEST VARS'!$U$60+'LINEST VARS'!$T$60*(8)+'LINEST VARS'!$S$60*(8)+'LINEST VARS'!$R$60*($DD$80)+'LINEST VARS'!$Q$60*(0.5)+'LINEST VARS'!$P$60*($CX99)+'LINEST VARS'!$O$60*(8^2)+'LINEST VARS'!$N$60*(8^2)+'LINEST VARS'!$M$60*($DD$80^2)+'LINEST VARS'!$L$60*(0.5^2)+'LINEST VARS'!$K$60*($CX99^2)+'LINEST VARS'!$J$60*(8*8)+'LINEST VARS'!$I$60*(8*$DD$80)+'LINEST VARS'!$H$60*(8*0.5)+'LINEST VARS'!$G$60*(8*$CX99)+'LINEST VARS'!$F$60*(8*$DD$80)+'LINEST VARS'!$E$60*(8*0.5)+'LINEST VARS'!$D$60*(8*$CX99)+'LINEST VARS'!$C$60*($DD$80*0.5)+'LINEST VARS'!$B$60*($DD$80*$CX99)+'LINEST VARS'!$A$60*(0.5*$CX99)</f>
        <v>61.781999999999989</v>
      </c>
      <c r="DE99" s="46">
        <f>'LINEST VARS'!$U$60+'LINEST VARS'!$T$60*(8)+'LINEST VARS'!$S$60*(8)+'LINEST VARS'!$R$60*($DE$80)+'LINEST VARS'!$Q$60*(0.5)+'LINEST VARS'!$P$60*($CX99)+'LINEST VARS'!$O$60*(8^2)+'LINEST VARS'!$N$60*(8^2)+'LINEST VARS'!$M$60*($DE$80^2)+'LINEST VARS'!$L$60*(0.5^2)+'LINEST VARS'!$K$60*($CX99^2)+'LINEST VARS'!$J$60*(8*8)+'LINEST VARS'!$I$60*(8*$DE$80)+'LINEST VARS'!$H$60*(8*0.5)+'LINEST VARS'!$G$60*(8*$CX99)+'LINEST VARS'!$F$60*(8*$DE$80)+'LINEST VARS'!$E$60*(8*0.5)+'LINEST VARS'!$D$60*(8*$CX99)+'LINEST VARS'!$C$60*($DE$80*0.5)+'LINEST VARS'!$B$60*($DE$80*$CX99)+'LINEST VARS'!$A$60*(0.5*$CX99)</f>
        <v>61.781999999999989</v>
      </c>
      <c r="DF99" s="46">
        <f>'LINEST VARS'!$U$60+'LINEST VARS'!$T$60*(8)+'LINEST VARS'!$S$60*(8)+'LINEST VARS'!$R$60*($DF$80)+'LINEST VARS'!$Q$60*(0.5)+'LINEST VARS'!$P$60*($CX99)+'LINEST VARS'!$O$60*(8^2)+'LINEST VARS'!$N$60*(8^2)+'LINEST VARS'!$M$60*($DF$80^2)+'LINEST VARS'!$L$60*(0.5^2)+'LINEST VARS'!$K$60*($CX99^2)+'LINEST VARS'!$J$60*(8*8)+'LINEST VARS'!$I$60*(8*$DF$80)+'LINEST VARS'!$H$60*(8*0.5)+'LINEST VARS'!$G$60*(8*$CX99)+'LINEST VARS'!$F$60*(8*$DF$80)+'LINEST VARS'!$E$60*(8*0.5)+'LINEST VARS'!$D$60*(8*$CX99)+'LINEST VARS'!$C$60*($DF$80*0.5)+'LINEST VARS'!$B$60*($DF$80*$CX99)+'LINEST VARS'!$A$60*(0.5*$CX99)</f>
        <v>61.781999999999996</v>
      </c>
      <c r="DG99" s="46">
        <f>'LINEST VARS'!$U$60+'LINEST VARS'!$T$60*(8)+'LINEST VARS'!$S$60*(8)+'LINEST VARS'!$R$60*($DG$80)+'LINEST VARS'!$Q$60*(0.5)+'LINEST VARS'!$P$60*($CX99)+'LINEST VARS'!$O$60*(8^2)+'LINEST VARS'!$N$60*(8^2)+'LINEST VARS'!$M$60*($DG$80^2)+'LINEST VARS'!$L$60*(0.5^2)+'LINEST VARS'!$K$60*($CX99^2)+'LINEST VARS'!$J$60*(8*8)+'LINEST VARS'!$I$60*(8*$DG$80)+'LINEST VARS'!$H$60*(8*0.5)+'LINEST VARS'!$G$60*(8*$CX99)+'LINEST VARS'!$F$60*(8*$DG$80)+'LINEST VARS'!$E$60*(8*0.5)+'LINEST VARS'!$D$60*(8*$CX99)+'LINEST VARS'!$C$60*($DG$80*0.5)+'LINEST VARS'!$B$60*($DG$80*$CX99)+'LINEST VARS'!$A$60*(0.5*$CX99)</f>
        <v>61.781999999999996</v>
      </c>
      <c r="DH99" s="46">
        <f>'LINEST VARS'!$U$60+'LINEST VARS'!$T$60*(8)+'LINEST VARS'!$S$60*(8)+'LINEST VARS'!$R$60*($DH$80)+'LINEST VARS'!$Q$60*(0.5)+'LINEST VARS'!$P$60*($CX99)+'LINEST VARS'!$O$60*(8^2)+'LINEST VARS'!$N$60*(8^2)+'LINEST VARS'!$M$60*($DH$80^2)+'LINEST VARS'!$L$60*(0.5^2)+'LINEST VARS'!$K$60*($CX99^2)+'LINEST VARS'!$J$60*(8*8)+'LINEST VARS'!$I$60*(8*$DH$80)+'LINEST VARS'!$H$60*(8*0.5)+'LINEST VARS'!$G$60*(8*$CX99)+'LINEST VARS'!$F$60*(8*$DH$80)+'LINEST VARS'!$E$60*(8*0.5)+'LINEST VARS'!$D$60*(8*$CX99)+'LINEST VARS'!$C$60*($DH$80*0.5)+'LINEST VARS'!$B$60*($DH$80*$CX99)+'LINEST VARS'!$A$60*(0.5*$CX99)</f>
        <v>61.781999999999996</v>
      </c>
      <c r="DI99" s="46">
        <f>'LINEST VARS'!$U$60+'LINEST VARS'!$T$60*(8)+'LINEST VARS'!$S$60*(8)+'LINEST VARS'!$R$60*($DI$80)+'LINEST VARS'!$Q$60*(0.5)+'LINEST VARS'!$P$60*($CX99)+'LINEST VARS'!$O$60*(8^2)+'LINEST VARS'!$N$60*(8^2)+'LINEST VARS'!$M$60*($DI$80^2)+'LINEST VARS'!$L$60*(0.5^2)+'LINEST VARS'!$K$60*($CX99^2)+'LINEST VARS'!$J$60*(8*8)+'LINEST VARS'!$I$60*(8*$DI$80)+'LINEST VARS'!$H$60*(8*0.5)+'LINEST VARS'!$G$60*(8*$CX99)+'LINEST VARS'!$F$60*(8*$DI$80)+'LINEST VARS'!$E$60*(8*0.5)+'LINEST VARS'!$D$60*(8*$CX99)+'LINEST VARS'!$C$60*($DI$80*0.5)+'LINEST VARS'!$B$60*($DI$80*$CX99)+'LINEST VARS'!$A$60*(0.5*$CX99)</f>
        <v>61.781999999999996</v>
      </c>
      <c r="DJ99" s="46">
        <f>'LINEST VARS'!$U$60+'LINEST VARS'!$T$60*(8)+'LINEST VARS'!$S$60*(8)+'LINEST VARS'!$R$60*($DJ$80)+'LINEST VARS'!$Q$60*(0.5)+'LINEST VARS'!$P$60*($CX99)+'LINEST VARS'!$O$60*(8^2)+'LINEST VARS'!$N$60*(8^2)+'LINEST VARS'!$M$60*($DJ$80^2)+'LINEST VARS'!$L$60*(0.5^2)+'LINEST VARS'!$K$60*($CX99^2)+'LINEST VARS'!$J$60*(8*8)+'LINEST VARS'!$I$60*(8*$DJ$80)+'LINEST VARS'!$H$60*(8*0.5)+'LINEST VARS'!$G$60*(8*$CX99)+'LINEST VARS'!$F$60*(8*$DJ$80)+'LINEST VARS'!$E$60*(8*0.5)+'LINEST VARS'!$D$60*(8*$CX99)+'LINEST VARS'!$C$60*($DJ$80*0.5)+'LINEST VARS'!$B$60*($DJ$80*$CX99)+'LINEST VARS'!$A$60*(0.5*$CX99)</f>
        <v>61.781999999999989</v>
      </c>
      <c r="DK99" s="46">
        <f>'LINEST VARS'!$U$60+'LINEST VARS'!$T$60*(8)+'LINEST VARS'!$S$60*(8)+'LINEST VARS'!$R$60*($DK$80)+'LINEST VARS'!$Q$60*(0.5)+'LINEST VARS'!$P$60*($CX99)+'LINEST VARS'!$O$60*(8^2)+'LINEST VARS'!$N$60*(8^2)+'LINEST VARS'!$M$60*($DK$80^2)+'LINEST VARS'!$L$60*(0.5^2)+'LINEST VARS'!$K$60*($CX99^2)+'LINEST VARS'!$J$60*(8*8)+'LINEST VARS'!$I$60*(8*$DK$80)+'LINEST VARS'!$H$60*(8*0.5)+'LINEST VARS'!$G$60*(8*$CX99)+'LINEST VARS'!$F$60*(8*$DK$80)+'LINEST VARS'!$E$60*(8*0.5)+'LINEST VARS'!$D$60*(8*$CX99)+'LINEST VARS'!$C$60*($DK$80*0.5)+'LINEST VARS'!$B$60*($DK$80*$CX99)+'LINEST VARS'!$A$60*(0.5*$CX99)</f>
        <v>61.781999999999996</v>
      </c>
      <c r="DL99" s="46">
        <f>'LINEST VARS'!$U$60+'LINEST VARS'!$T$60*(8)+'LINEST VARS'!$S$60*(8)+'LINEST VARS'!$R$60*($DL$80)+'LINEST VARS'!$Q$60*(0.5)+'LINEST VARS'!$P$60*($CX99)+'LINEST VARS'!$O$60*(8^2)+'LINEST VARS'!$N$60*(8^2)+'LINEST VARS'!$M$60*($DL$80^2)+'LINEST VARS'!$L$60*(0.5^2)+'LINEST VARS'!$K$60*($CX99^2)+'LINEST VARS'!$J$60*(8*8)+'LINEST VARS'!$I$60*(8*$DL$80)+'LINEST VARS'!$H$60*(8*0.5)+'LINEST VARS'!$G$60*(8*$CX99)+'LINEST VARS'!$F$60*(8*$DL$80)+'LINEST VARS'!$E$60*(8*0.5)+'LINEST VARS'!$D$60*(8*$CX99)+'LINEST VARS'!$C$60*($DL$80*0.5)+'LINEST VARS'!$B$60*($DL$80*$CX99)+'LINEST VARS'!$A$60*(0.5*$CX99)</f>
        <v>61.781999999999989</v>
      </c>
      <c r="DM99" s="46">
        <f>'LINEST VARS'!$U$60+'LINEST VARS'!$T$60*(8)+'LINEST VARS'!$S$60*(8)+'LINEST VARS'!$R$60*($DM$80)+'LINEST VARS'!$Q$60*(0.5)+'LINEST VARS'!$P$60*($CX99)+'LINEST VARS'!$O$60*(8^2)+'LINEST VARS'!$N$60*(8^2)+'LINEST VARS'!$M$60*($DM$80^2)+'LINEST VARS'!$L$60*(0.5^2)+'LINEST VARS'!$K$60*($CX99^2)+'LINEST VARS'!$J$60*(8*8)+'LINEST VARS'!$I$60*(8*$DM$80)+'LINEST VARS'!$H$60*(8*0.5)+'LINEST VARS'!$G$60*(8*$CX99)+'LINEST VARS'!$F$60*(8*$DM$80)+'LINEST VARS'!$E$60*(8*0.5)+'LINEST VARS'!$D$60*(8*$CX99)+'LINEST VARS'!$C$60*($DM$80*0.5)+'LINEST VARS'!$B$60*($DM$80*$CX99)+'LINEST VARS'!$A$60*(0.5*$CX99)</f>
        <v>61.781999999999996</v>
      </c>
      <c r="DN99" s="46">
        <f>'LINEST VARS'!$U$60+'LINEST VARS'!$T$60*(8)+'LINEST VARS'!$S$60*(8)+'LINEST VARS'!$R$60*($DN$80)+'LINEST VARS'!$Q$60*(0.5)+'LINEST VARS'!$P$60*($CX99)+'LINEST VARS'!$O$60*(8^2)+'LINEST VARS'!$N$60*(8^2)+'LINEST VARS'!$M$60*($DN$80^2)+'LINEST VARS'!$L$60*(0.5^2)+'LINEST VARS'!$K$60*($CX99^2)+'LINEST VARS'!$J$60*(8*8)+'LINEST VARS'!$I$60*(8*$DN$80)+'LINEST VARS'!$H$60*(8*0.5)+'LINEST VARS'!$G$60*(8*$CX99)+'LINEST VARS'!$F$60*(8*$DN$80)+'LINEST VARS'!$E$60*(8*0.5)+'LINEST VARS'!$D$60*(8*$CX99)+'LINEST VARS'!$C$60*($DN$80*0.5)+'LINEST VARS'!$B$60*($DN$80*$CX99)+'LINEST VARS'!$A$60*(0.5*$CX99)</f>
        <v>61.781999999999996</v>
      </c>
      <c r="DO99" s="46">
        <f>'LINEST VARS'!$U$60+'LINEST VARS'!$T$60*(8)+'LINEST VARS'!$S$60*(8)+'LINEST VARS'!$R$60*($DO$80)+'LINEST VARS'!$Q$60*(0.5)+'LINEST VARS'!$P$60*($CX99)+'LINEST VARS'!$O$60*(8^2)+'LINEST VARS'!$N$60*(8^2)+'LINEST VARS'!$M$60*($DO$80^2)+'LINEST VARS'!$L$60*(0.5^2)+'LINEST VARS'!$K$60*($CX99^2)+'LINEST VARS'!$J$60*(8*8)+'LINEST VARS'!$I$60*(8*$DO$80)+'LINEST VARS'!$H$60*(8*0.5)+'LINEST VARS'!$G$60*(8*$CX99)+'LINEST VARS'!$F$60*(8*$DO$80)+'LINEST VARS'!$E$60*(8*0.5)+'LINEST VARS'!$D$60*(8*$CX99)+'LINEST VARS'!$C$60*($DO$80*0.5)+'LINEST VARS'!$B$60*($DO$80*$CX99)+'LINEST VARS'!$A$60*(0.5*$CX99)</f>
        <v>61.781999999999996</v>
      </c>
      <c r="DP99" s="46">
        <f>'LINEST VARS'!$U$60+'LINEST VARS'!$T$60*(8)+'LINEST VARS'!$S$60*(8)+'LINEST VARS'!$R$60*($DP$80)+'LINEST VARS'!$Q$60*(0.5)+'LINEST VARS'!$P$60*($CX99)+'LINEST VARS'!$O$60*(8^2)+'LINEST VARS'!$N$60*(8^2)+'LINEST VARS'!$M$60*($DP$80^2)+'LINEST VARS'!$L$60*(0.5^2)+'LINEST VARS'!$K$60*($CX99^2)+'LINEST VARS'!$J$60*(8*8)+'LINEST VARS'!$I$60*(8*$DP$80)+'LINEST VARS'!$H$60*(8*0.5)+'LINEST VARS'!$G$60*(8*$CX99)+'LINEST VARS'!$F$60*(8*$DP$80)+'LINEST VARS'!$E$60*(8*0.5)+'LINEST VARS'!$D$60*(8*$CX99)+'LINEST VARS'!$C$60*($DP$80*0.5)+'LINEST VARS'!$B$60*($DP$80*$CX99)+'LINEST VARS'!$A$60*(0.5*$CX99)</f>
        <v>61.781999999999996</v>
      </c>
      <c r="DQ99" s="46">
        <f>'LINEST VARS'!$U$60+'LINEST VARS'!$T$60*(8)+'LINEST VARS'!$S$60*(8)+'LINEST VARS'!$R$60*($DQ$80)+'LINEST VARS'!$Q$60*(0.5)+'LINEST VARS'!$P$60*($CX99)+'LINEST VARS'!$O$60*(8^2)+'LINEST VARS'!$N$60*(8^2)+'LINEST VARS'!$M$60*($DQ$80^2)+'LINEST VARS'!$L$60*(0.5^2)+'LINEST VARS'!$K$60*($CX99^2)+'LINEST VARS'!$J$60*(8*8)+'LINEST VARS'!$I$60*(8*$DQ$80)+'LINEST VARS'!$H$60*(8*0.5)+'LINEST VARS'!$G$60*(8*$CX99)+'LINEST VARS'!$F$60*(8*$DQ$80)+'LINEST VARS'!$E$60*(8*0.5)+'LINEST VARS'!$D$60*(8*$CX99)+'LINEST VARS'!$C$60*($DQ$80*0.5)+'LINEST VARS'!$B$60*($DQ$80*$CX99)+'LINEST VARS'!$A$60*(0.5*$CX99)</f>
        <v>61.781999999999989</v>
      </c>
      <c r="DR99" s="46">
        <f>'LINEST VARS'!$U$60+'LINEST VARS'!$T$60*(8)+'LINEST VARS'!$S$60*(8)+'LINEST VARS'!$R$60*($DR$80)+'LINEST VARS'!$Q$60*(0.5)+'LINEST VARS'!$P$60*($CX99)+'LINEST VARS'!$O$60*(8^2)+'LINEST VARS'!$N$60*(8^2)+'LINEST VARS'!$M$60*($DR$80^2)+'LINEST VARS'!$L$60*(0.5^2)+'LINEST VARS'!$K$60*($CX99^2)+'LINEST VARS'!$J$60*(8*8)+'LINEST VARS'!$I$60*(8*$DR$80)+'LINEST VARS'!$H$60*(8*0.5)+'LINEST VARS'!$G$60*(8*$CX99)+'LINEST VARS'!$F$60*(8*$DR$80)+'LINEST VARS'!$E$60*(8*0.5)+'LINEST VARS'!$D$60*(8*$CX99)+'LINEST VARS'!$C$60*($DR$80*0.5)+'LINEST VARS'!$B$60*($DR$80*$CX99)+'LINEST VARS'!$A$60*(0.5*$CX99)</f>
        <v>61.781999999999996</v>
      </c>
      <c r="DS99" s="47">
        <f>'LINEST VARS'!$U$60+'LINEST VARS'!$T$60*(8)+'LINEST VARS'!$S$60*(8)+'LINEST VARS'!$R$60*($DS$80)+'LINEST VARS'!$Q$60*(0.5)+'LINEST VARS'!$P$60*($CX99)+'LINEST VARS'!$O$60*(8^2)+'LINEST VARS'!$N$60*(8^2)+'LINEST VARS'!$M$60*($DS$80^2)+'LINEST VARS'!$L$60*(0.5^2)+'LINEST VARS'!$K$60*($CX99^2)+'LINEST VARS'!$J$60*(8*8)+'LINEST VARS'!$I$60*(8*$DS$80)+'LINEST VARS'!$H$60*(8*0.5)+'LINEST VARS'!$G$60*(8*$CX99)+'LINEST VARS'!$F$60*(8*$DS$80)+'LINEST VARS'!$E$60*(8*0.5)+'LINEST VARS'!$D$60*(8*$CX99)+'LINEST VARS'!$C$60*($DS$80*0.5)+'LINEST VARS'!$B$60*($DS$80*$CX99)+'LINEST VARS'!$A$60*(0.5*$CX99)</f>
        <v>61.781999999999996</v>
      </c>
      <c r="DV99" s="45">
        <v>23.390999999999998</v>
      </c>
      <c r="DW99" s="55">
        <f>'LINEST VARS'!$U$62+'LINEST VARS'!$T$62*(8)+'LINEST VARS'!$S$62*(8)+'LINEST VARS'!$R$62*($DW$80)+'LINEST VARS'!$Q$62*(0.5)+'LINEST VARS'!$P$62*($DV99)+'LINEST VARS'!$O$62*(8^2)+'LINEST VARS'!$N$62*(8^2)+'LINEST VARS'!$M$62*($DW$80^2)+'LINEST VARS'!$L$62*(0.5^2)+'LINEST VARS'!$K$62*($DV99^2)+'LINEST VARS'!$J$62*(8*8)+'LINEST VARS'!$I$62*(8*$DW$80)+'LINEST VARS'!$H$62*(8*0.5)+'LINEST VARS'!$G$62*(8*$DV99)+'LINEST VARS'!$F$62*(8*$DW$80)+'LINEST VARS'!$E$62*(8*0.5)+'LINEST VARS'!$D$62*(8*$DV99)+'LINEST VARS'!$C$62*($DW$80*0.5)+'LINEST VARS'!$B$62*($DW$80*$DV99)+'LINEST VARS'!$A$62*(0.5*$DV99)</f>
        <v>349.49999999999989</v>
      </c>
      <c r="DX99" s="55">
        <f>'LINEST VARS'!$U$62+'LINEST VARS'!$T$62*(8)+'LINEST VARS'!$S$62*(8)+'LINEST VARS'!$R$62*($DX$80)+'LINEST VARS'!$Q$62*(0.5)+'LINEST VARS'!$P$62*($DV99)+'LINEST VARS'!$O$62*(8^2)+'LINEST VARS'!$N$62*(8^2)+'LINEST VARS'!$M$62*($DX$80^2)+'LINEST VARS'!$L$62*(0.5^2)+'LINEST VARS'!$K$62*($DV99^2)+'LINEST VARS'!$J$62*(8*8)+'LINEST VARS'!$I$62*(8*$DX$80)+'LINEST VARS'!$H$62*(8*0.5)+'LINEST VARS'!$G$62*(8*$DV99)+'LINEST VARS'!$F$62*(8*$DX$80)+'LINEST VARS'!$E$62*(8*0.5)+'LINEST VARS'!$D$62*(8*$DV99)+'LINEST VARS'!$C$62*($DX$80*0.5)+'LINEST VARS'!$B$62*($DX$80*$DV99)+'LINEST VARS'!$A$62*(0.5*$DV99)</f>
        <v>348.69999999999993</v>
      </c>
      <c r="DY99" s="55">
        <f>'LINEST VARS'!$U$62+'LINEST VARS'!$T$62*(8)+'LINEST VARS'!$S$62*(8)+'LINEST VARS'!$R$62*($DY$80)+'LINEST VARS'!$Q$62*(0.5)+'LINEST VARS'!$P$62*($DV99)+'LINEST VARS'!$O$62*(8^2)+'LINEST VARS'!$N$62*(8^2)+'LINEST VARS'!$M$62*($DY$80^2)+'LINEST VARS'!$L$62*(0.5^2)+'LINEST VARS'!$K$62*($DV99^2)+'LINEST VARS'!$J$62*(8*8)+'LINEST VARS'!$I$62*(8*$DY$80)+'LINEST VARS'!$H$62*(8*0.5)+'LINEST VARS'!$G$62*(8*$DV99)+'LINEST VARS'!$F$62*(8*$DY$80)+'LINEST VARS'!$E$62*(8*0.5)+'LINEST VARS'!$D$62*(8*$DV99)+'LINEST VARS'!$C$62*($DY$80*0.5)+'LINEST VARS'!$B$62*($DY$80*$DV99)+'LINEST VARS'!$A$62*(0.5*$DV99)</f>
        <v>346.29999999999984</v>
      </c>
      <c r="DZ99" s="55">
        <f>'LINEST VARS'!$U$62+'LINEST VARS'!$T$62*(8)+'LINEST VARS'!$S$62*(8)+'LINEST VARS'!$R$62*($DZ$80)+'LINEST VARS'!$Q$62*(0.5)+'LINEST VARS'!$P$62*($DV99)+'LINEST VARS'!$O$62*(8^2)+'LINEST VARS'!$N$62*(8^2)+'LINEST VARS'!$M$62*($DZ$80^2)+'LINEST VARS'!$L$62*(0.5^2)+'LINEST VARS'!$K$62*($DV99^2)+'LINEST VARS'!$J$62*(8*8)+'LINEST VARS'!$I$62*(8*$DZ$80)+'LINEST VARS'!$H$62*(8*0.5)+'LINEST VARS'!$G$62*(8*$DV99)+'LINEST VARS'!$F$62*(8*$DZ$80)+'LINEST VARS'!$E$62*(8*0.5)+'LINEST VARS'!$D$62*(8*$DV99)+'LINEST VARS'!$C$62*($DZ$80*0.5)+'LINEST VARS'!$B$62*($DZ$80*$DV99)+'LINEST VARS'!$A$62*(0.5*$DV99)</f>
        <v>342.2999999999999</v>
      </c>
      <c r="EA99" s="55">
        <f>'LINEST VARS'!$U$62+'LINEST VARS'!$T$62*(8)+'LINEST VARS'!$S$62*(8)+'LINEST VARS'!$R$62*($EA$80)+'LINEST VARS'!$Q$62*(0.5)+'LINEST VARS'!$P$62*($DV99)+'LINEST VARS'!$O$62*(8^2)+'LINEST VARS'!$N$62*(8^2)+'LINEST VARS'!$M$62*($EA$80^2)+'LINEST VARS'!$L$62*(0.5^2)+'LINEST VARS'!$K$62*($DV99^2)+'LINEST VARS'!$J$62*(8*8)+'LINEST VARS'!$I$62*(8*$EA$80)+'LINEST VARS'!$H$62*(8*0.5)+'LINEST VARS'!$G$62*(8*$DV99)+'LINEST VARS'!$F$62*(8*$EA$80)+'LINEST VARS'!$E$62*(8*0.5)+'LINEST VARS'!$D$62*(8*$DV99)+'LINEST VARS'!$C$62*($EA$80*0.5)+'LINEST VARS'!$B$62*($EA$80*$DV99)+'LINEST VARS'!$A$62*(0.5*$DV99)</f>
        <v>336.69999999999987</v>
      </c>
      <c r="EB99" s="55">
        <f>'LINEST VARS'!$U$62+'LINEST VARS'!$T$62*(8)+'LINEST VARS'!$S$62*(8)+'LINEST VARS'!$R$62*($EB$80)+'LINEST VARS'!$Q$62*(0.5)+'LINEST VARS'!$P$62*($DV99)+'LINEST VARS'!$O$62*(8^2)+'LINEST VARS'!$N$62*(8^2)+'LINEST VARS'!$M$62*($EB$80^2)+'LINEST VARS'!$L$62*(0.5^2)+'LINEST VARS'!$K$62*($DV99^2)+'LINEST VARS'!$J$62*(8*8)+'LINEST VARS'!$I$62*(8*$EB$80)+'LINEST VARS'!$H$62*(8*0.5)+'LINEST VARS'!$G$62*(8*$DV99)+'LINEST VARS'!$F$62*(8*$EB$80)+'LINEST VARS'!$E$62*(8*0.5)+'LINEST VARS'!$D$62*(8*$DV99)+'LINEST VARS'!$C$62*($EB$80*0.5)+'LINEST VARS'!$B$62*($EB$80*$DV99)+'LINEST VARS'!$A$62*(0.5*$DV99)</f>
        <v>329.49999999999994</v>
      </c>
      <c r="EC99" s="55">
        <f>'LINEST VARS'!$U$62+'LINEST VARS'!$T$62*(8)+'LINEST VARS'!$S$62*(8)+'LINEST VARS'!$R$62*($EC$80)+'LINEST VARS'!$Q$62*(0.5)+'LINEST VARS'!$P$62*($DV99)+'LINEST VARS'!$O$62*(8^2)+'LINEST VARS'!$N$62*(8^2)+'LINEST VARS'!$M$62*($EC$80^2)+'LINEST VARS'!$L$62*(0.5^2)+'LINEST VARS'!$K$62*($DV99^2)+'LINEST VARS'!$J$62*(8*8)+'LINEST VARS'!$I$62*(8*$EC$80)+'LINEST VARS'!$H$62*(8*0.5)+'LINEST VARS'!$G$62*(8*$DV99)+'LINEST VARS'!$F$62*(8*$EC$80)+'LINEST VARS'!$E$62*(8*0.5)+'LINEST VARS'!$D$62*(8*$DV99)+'LINEST VARS'!$C$62*($EC$80*0.5)+'LINEST VARS'!$B$62*($EC$80*$DV99)+'LINEST VARS'!$A$62*(0.5*$DV99)</f>
        <v>320.69999999999982</v>
      </c>
      <c r="ED99" s="55">
        <f>'LINEST VARS'!$U$62+'LINEST VARS'!$T$62*(8)+'LINEST VARS'!$S$62*(8)+'LINEST VARS'!$R$62*($ED$80)+'LINEST VARS'!$Q$62*(0.5)+'LINEST VARS'!$P$62*($DV99)+'LINEST VARS'!$O$62*(8^2)+'LINEST VARS'!$N$62*(8^2)+'LINEST VARS'!$M$62*($ED$80^2)+'LINEST VARS'!$L$62*(0.5^2)+'LINEST VARS'!$K$62*($DV99^2)+'LINEST VARS'!$J$62*(8*8)+'LINEST VARS'!$I$62*(8*$ED$80)+'LINEST VARS'!$H$62*(8*0.5)+'LINEST VARS'!$G$62*(8*$DV99)+'LINEST VARS'!$F$62*(8*$ED$80)+'LINEST VARS'!$E$62*(8*0.5)+'LINEST VARS'!$D$62*(8*$DV99)+'LINEST VARS'!$C$62*($ED$80*0.5)+'LINEST VARS'!$B$62*($ED$80*$DV99)+'LINEST VARS'!$A$62*(0.5*$DV99)</f>
        <v>310.2999999999999</v>
      </c>
      <c r="EE99" s="55">
        <f>'LINEST VARS'!$U$62+'LINEST VARS'!$T$62*(8)+'LINEST VARS'!$S$62*(8)+'LINEST VARS'!$R$62*($EE$80)+'LINEST VARS'!$Q$62*(0.5)+'LINEST VARS'!$P$62*($DV99)+'LINEST VARS'!$O$62*(8^2)+'LINEST VARS'!$N$62*(8^2)+'LINEST VARS'!$M$62*($EE$80^2)+'LINEST VARS'!$L$62*(0.5^2)+'LINEST VARS'!$K$62*($DV99^2)+'LINEST VARS'!$J$62*(8*8)+'LINEST VARS'!$I$62*(8*$EE$80)+'LINEST VARS'!$H$62*(8*0.5)+'LINEST VARS'!$G$62*(8*$DV99)+'LINEST VARS'!$F$62*(8*$EE$80)+'LINEST VARS'!$E$62*(8*0.5)+'LINEST VARS'!$D$62*(8*$DV99)+'LINEST VARS'!$C$62*($EE$80*0.5)+'LINEST VARS'!$B$62*($EE$80*$DV99)+'LINEST VARS'!$A$62*(0.5*$DV99)</f>
        <v>298.29999999999995</v>
      </c>
      <c r="EF99" s="55">
        <f>'LINEST VARS'!$U$62+'LINEST VARS'!$T$62*(8)+'LINEST VARS'!$S$62*(8)+'LINEST VARS'!$R$62*($EF$80)+'LINEST VARS'!$Q$62*(0.5)+'LINEST VARS'!$P$62*($DV99)+'LINEST VARS'!$O$62*(8^2)+'LINEST VARS'!$N$62*(8^2)+'LINEST VARS'!$M$62*($EF$80^2)+'LINEST VARS'!$L$62*(0.5^2)+'LINEST VARS'!$K$62*($DV99^2)+'LINEST VARS'!$J$62*(8*8)+'LINEST VARS'!$I$62*(8*$EF$80)+'LINEST VARS'!$H$62*(8*0.5)+'LINEST VARS'!$G$62*(8*$DV99)+'LINEST VARS'!$F$62*(8*$EF$80)+'LINEST VARS'!$E$62*(8*0.5)+'LINEST VARS'!$D$62*(8*$DV99)+'LINEST VARS'!$C$62*($EF$80*0.5)+'LINEST VARS'!$B$62*($EF$80*$DV99)+'LINEST VARS'!$A$62*(0.5*$DV99)</f>
        <v>284.69999999999993</v>
      </c>
      <c r="EG99" s="55">
        <f>'LINEST VARS'!$U$62+'LINEST VARS'!$T$62*(8)+'LINEST VARS'!$S$62*(8)+'LINEST VARS'!$R$62*($EG$80)+'LINEST VARS'!$Q$62*(0.5)+'LINEST VARS'!$P$62*($DV99)+'LINEST VARS'!$O$62*(8^2)+'LINEST VARS'!$N$62*(8^2)+'LINEST VARS'!$M$62*($EG$80^2)+'LINEST VARS'!$L$62*(0.5^2)+'LINEST VARS'!$K$62*($DV99^2)+'LINEST VARS'!$J$62*(8*8)+'LINEST VARS'!$I$62*(8*$EG$80)+'LINEST VARS'!$H$62*(8*0.5)+'LINEST VARS'!$G$62*(8*$DV99)+'LINEST VARS'!$F$62*(8*$EG$80)+'LINEST VARS'!$E$62*(8*0.5)+'LINEST VARS'!$D$62*(8*$DV99)+'LINEST VARS'!$C$62*($EG$80*0.5)+'LINEST VARS'!$B$62*($EG$80*$DV99)+'LINEST VARS'!$A$62*(0.5*$DV99)</f>
        <v>269.49999999999994</v>
      </c>
      <c r="EH99" s="55">
        <f>'LINEST VARS'!$U$62+'LINEST VARS'!$T$62*(8)+'LINEST VARS'!$S$62*(8)+'LINEST VARS'!$R$62*($EH$80)+'LINEST VARS'!$Q$62*(0.5)+'LINEST VARS'!$P$62*($DV99)+'LINEST VARS'!$O$62*(8^2)+'LINEST VARS'!$N$62*(8^2)+'LINEST VARS'!$M$62*($EH$80^2)+'LINEST VARS'!$L$62*(0.5^2)+'LINEST VARS'!$K$62*($DV99^2)+'LINEST VARS'!$J$62*(8*8)+'LINEST VARS'!$I$62*(8*$EH$80)+'LINEST VARS'!$H$62*(8*0.5)+'LINEST VARS'!$G$62*(8*$DV99)+'LINEST VARS'!$F$62*(8*$EH$80)+'LINEST VARS'!$E$62*(8*0.5)+'LINEST VARS'!$D$62*(8*$DV99)+'LINEST VARS'!$C$62*($EH$80*0.5)+'LINEST VARS'!$B$62*($EH$80*$DV99)+'LINEST VARS'!$A$62*(0.5*$DV99)</f>
        <v>252.7</v>
      </c>
      <c r="EI99" s="55">
        <f>'LINEST VARS'!$U$62+'LINEST VARS'!$T$62*(8)+'LINEST VARS'!$S$62*(8)+'LINEST VARS'!$R$62*($EI$80)+'LINEST VARS'!$Q$62*(0.5)+'LINEST VARS'!$P$62*($DV99)+'LINEST VARS'!$O$62*(8^2)+'LINEST VARS'!$N$62*(8^2)+'LINEST VARS'!$M$62*($EI$80^2)+'LINEST VARS'!$L$62*(0.5^2)+'LINEST VARS'!$K$62*($DV99^2)+'LINEST VARS'!$J$62*(8*8)+'LINEST VARS'!$I$62*(8*$EI$80)+'LINEST VARS'!$H$62*(8*0.5)+'LINEST VARS'!$G$62*(8*$DV99)+'LINEST VARS'!$F$62*(8*$EI$80)+'LINEST VARS'!$E$62*(8*0.5)+'LINEST VARS'!$D$62*(8*$DV99)+'LINEST VARS'!$C$62*($EI$80*0.5)+'LINEST VARS'!$B$62*($EI$80*$DV99)+'LINEST VARS'!$A$62*(0.5*$DV99)</f>
        <v>234.30000000000004</v>
      </c>
      <c r="EJ99" s="55">
        <f>'LINEST VARS'!$U$62+'LINEST VARS'!$T$62*(8)+'LINEST VARS'!$S$62*(8)+'LINEST VARS'!$R$62*($EJ$80)+'LINEST VARS'!$Q$62*(0.5)+'LINEST VARS'!$P$62*($DV99)+'LINEST VARS'!$O$62*(8^2)+'LINEST VARS'!$N$62*(8^2)+'LINEST VARS'!$M$62*($EJ$80^2)+'LINEST VARS'!$L$62*(0.5^2)+'LINEST VARS'!$K$62*($DV99^2)+'LINEST VARS'!$J$62*(8*8)+'LINEST VARS'!$I$62*(8*$EJ$80)+'LINEST VARS'!$H$62*(8*0.5)+'LINEST VARS'!$G$62*(8*$DV99)+'LINEST VARS'!$F$62*(8*$EJ$80)+'LINEST VARS'!$E$62*(8*0.5)+'LINEST VARS'!$D$62*(8*$DV99)+'LINEST VARS'!$C$62*($EJ$80*0.5)+'LINEST VARS'!$B$62*($EJ$80*$DV99)+'LINEST VARS'!$A$62*(0.5*$DV99)</f>
        <v>214.29999999999998</v>
      </c>
      <c r="EK99" s="55">
        <f>'LINEST VARS'!$U$62+'LINEST VARS'!$T$62*(8)+'LINEST VARS'!$S$62*(8)+'LINEST VARS'!$R$62*($EK$80)+'LINEST VARS'!$Q$62*(0.5)+'LINEST VARS'!$P$62*($DV99)+'LINEST VARS'!$O$62*(8^2)+'LINEST VARS'!$N$62*(8^2)+'LINEST VARS'!$M$62*($EK$80^2)+'LINEST VARS'!$L$62*(0.5^2)+'LINEST VARS'!$K$62*($DV99^2)+'LINEST VARS'!$J$62*(8*8)+'LINEST VARS'!$I$62*(8*$EK$80)+'LINEST VARS'!$H$62*(8*0.5)+'LINEST VARS'!$G$62*(8*$DV99)+'LINEST VARS'!$F$62*(8*$EK$80)+'LINEST VARS'!$E$62*(8*0.5)+'LINEST VARS'!$D$62*(8*$DV99)+'LINEST VARS'!$C$62*($EK$80*0.5)+'LINEST VARS'!$B$62*($EK$80*$DV99)+'LINEST VARS'!$A$62*(0.5*$DV99)</f>
        <v>192.70000000000005</v>
      </c>
      <c r="EL99" s="55">
        <f>'LINEST VARS'!$U$62+'LINEST VARS'!$T$62*(8)+'LINEST VARS'!$S$62*(8)+'LINEST VARS'!$R$62*($EL$80)+'LINEST VARS'!$Q$62*(0.5)+'LINEST VARS'!$P$62*($DV99)+'LINEST VARS'!$O$62*(8^2)+'LINEST VARS'!$N$62*(8^2)+'LINEST VARS'!$M$62*($EL$80^2)+'LINEST VARS'!$L$62*(0.5^2)+'LINEST VARS'!$K$62*($DV99^2)+'LINEST VARS'!$J$62*(8*8)+'LINEST VARS'!$I$62*(8*$EL$80)+'LINEST VARS'!$H$62*(8*0.5)+'LINEST VARS'!$G$62*(8*$DV99)+'LINEST VARS'!$F$62*(8*$EL$80)+'LINEST VARS'!$E$62*(8*0.5)+'LINEST VARS'!$D$62*(8*$DV99)+'LINEST VARS'!$C$62*($EL$80*0.5)+'LINEST VARS'!$B$62*($EL$80*$DV99)+'LINEST VARS'!$A$62*(0.5*$DV99)</f>
        <v>169.50000000000003</v>
      </c>
      <c r="EM99" s="55">
        <f>'LINEST VARS'!$U$62+'LINEST VARS'!$T$62*(8)+'LINEST VARS'!$S$62*(8)+'LINEST VARS'!$R$62*($EM$80)+'LINEST VARS'!$Q$62*(0.5)+'LINEST VARS'!$P$62*($DV99)+'LINEST VARS'!$O$62*(8^2)+'LINEST VARS'!$N$62*(8^2)+'LINEST VARS'!$M$62*($EM$80^2)+'LINEST VARS'!$L$62*(0.5^2)+'LINEST VARS'!$K$62*($DV99^2)+'LINEST VARS'!$J$62*(8*8)+'LINEST VARS'!$I$62*(8*$EM$80)+'LINEST VARS'!$H$62*(8*0.5)+'LINEST VARS'!$G$62*(8*$DV99)+'LINEST VARS'!$F$62*(8*$EM$80)+'LINEST VARS'!$E$62*(8*0.5)+'LINEST VARS'!$D$62*(8*$DV99)+'LINEST VARS'!$C$62*($EM$80*0.5)+'LINEST VARS'!$B$62*($EM$80*$DV99)+'LINEST VARS'!$A$62*(0.5*$DV99)</f>
        <v>144.70000000000002</v>
      </c>
      <c r="EN99" s="55">
        <f>'LINEST VARS'!$U$62+'LINEST VARS'!$T$62*(8)+'LINEST VARS'!$S$62*(8)+'LINEST VARS'!$R$62*($EN$80)+'LINEST VARS'!$Q$62*(0.5)+'LINEST VARS'!$P$62*($DV99)+'LINEST VARS'!$O$62*(8^2)+'LINEST VARS'!$N$62*(8^2)+'LINEST VARS'!$M$62*($EN$80^2)+'LINEST VARS'!$L$62*(0.5^2)+'LINEST VARS'!$K$62*($DV99^2)+'LINEST VARS'!$J$62*(8*8)+'LINEST VARS'!$I$62*(8*$EN$80)+'LINEST VARS'!$H$62*(8*0.5)+'LINEST VARS'!$G$62*(8*$DV99)+'LINEST VARS'!$F$62*(8*$EN$80)+'LINEST VARS'!$E$62*(8*0.5)+'LINEST VARS'!$D$62*(8*$DV99)+'LINEST VARS'!$C$62*($EN$80*0.5)+'LINEST VARS'!$B$62*($EN$80*$DV99)+'LINEST VARS'!$A$62*(0.5*$DV99)</f>
        <v>118.30000000000003</v>
      </c>
      <c r="EO99" s="55">
        <f>'LINEST VARS'!$U$62+'LINEST VARS'!$T$62*(8)+'LINEST VARS'!$S$62*(8)+'LINEST VARS'!$R$62*($EO$80)+'LINEST VARS'!$Q$62*(0.5)+'LINEST VARS'!$P$62*($DV99)+'LINEST VARS'!$O$62*(8^2)+'LINEST VARS'!$N$62*(8^2)+'LINEST VARS'!$M$62*($EO$80^2)+'LINEST VARS'!$L$62*(0.5^2)+'LINEST VARS'!$K$62*($DV99^2)+'LINEST VARS'!$J$62*(8*8)+'LINEST VARS'!$I$62*(8*$EO$80)+'LINEST VARS'!$H$62*(8*0.5)+'LINEST VARS'!$G$62*(8*$DV99)+'LINEST VARS'!$F$62*(8*$EO$80)+'LINEST VARS'!$E$62*(8*0.5)+'LINEST VARS'!$D$62*(8*$DV99)+'LINEST VARS'!$C$62*($EO$80*0.5)+'LINEST VARS'!$B$62*($EO$80*$DV99)+'LINEST VARS'!$A$62*(0.5*$DV99)</f>
        <v>90.300000000000026</v>
      </c>
      <c r="EP99" s="55">
        <f>'LINEST VARS'!$U$62+'LINEST VARS'!$T$62*(8)+'LINEST VARS'!$S$62*(8)+'LINEST VARS'!$R$62*($EP$80)+'LINEST VARS'!$Q$62*(0.5)+'LINEST VARS'!$P$62*($DV99)+'LINEST VARS'!$O$62*(8^2)+'LINEST VARS'!$N$62*(8^2)+'LINEST VARS'!$M$62*($EP$80^2)+'LINEST VARS'!$L$62*(0.5^2)+'LINEST VARS'!$K$62*($DV99^2)+'LINEST VARS'!$J$62*(8*8)+'LINEST VARS'!$I$62*(8*$EP$80)+'LINEST VARS'!$H$62*(8*0.5)+'LINEST VARS'!$G$62*(8*$DV99)+'LINEST VARS'!$F$62*(8*$EP$80)+'LINEST VARS'!$E$62*(8*0.5)+'LINEST VARS'!$D$62*(8*$DV99)+'LINEST VARS'!$C$62*($EP$80*0.5)+'LINEST VARS'!$B$62*($EP$80*$DV99)+'LINEST VARS'!$A$62*(0.5*$DV99)</f>
        <v>60.700000000000074</v>
      </c>
      <c r="EQ99" s="56">
        <f>'LINEST VARS'!$U$62+'LINEST VARS'!$T$62*(8)+'LINEST VARS'!$S$62*(8)+'LINEST VARS'!$R$62*($EQ$80)+'LINEST VARS'!$Q$62*(0.5)+'LINEST VARS'!$P$62*($DV99)+'LINEST VARS'!$O$62*(8^2)+'LINEST VARS'!$N$62*(8^2)+'LINEST VARS'!$M$62*($EQ$80^2)+'LINEST VARS'!$L$62*(0.5^2)+'LINEST VARS'!$K$62*($DV99^2)+'LINEST VARS'!$J$62*(8*8)+'LINEST VARS'!$I$62*(8*$EQ$80)+'LINEST VARS'!$H$62*(8*0.5)+'LINEST VARS'!$G$62*(8*$DV99)+'LINEST VARS'!$F$62*(8*$EQ$80)+'LINEST VARS'!$E$62*(8*0.5)+'LINEST VARS'!$D$62*(8*$DV99)+'LINEST VARS'!$C$62*($EQ$80*0.5)+'LINEST VARS'!$B$62*($EQ$80*$DV99)+'LINEST VARS'!$A$62*(0.5*$DV99)</f>
        <v>29.500000000000114</v>
      </c>
    </row>
    <row r="100" spans="2:147" ht="15" customHeight="1" x14ac:dyDescent="0.25">
      <c r="B100" s="45">
        <v>8.5399999999999991</v>
      </c>
      <c r="C100" s="46">
        <f>'LINEST VARS'!$U$60+'LINEST VARS'!$T$60*($C$80)+'LINEST VARS'!$S$60*($B100)+'LINEST VARS'!$R$60*(4)+'LINEST VARS'!$Q$60*(0.5)+'LINEST VARS'!$P$60*(12.73)+'LINEST VARS'!$O$60*($C$80^2)+'LINEST VARS'!$N$60*($B100^2)+'LINEST VARS'!$M$60*(4^2)+'LINEST VARS'!$L$60*(0.5^2)+'LINEST VARS'!$K$60*(12.73^2)+'LINEST VARS'!$J$60*($C$80*$B100)+'LINEST VARS'!$I$60*($C$80*4)+'LINEST VARS'!$H$60*($C$80*0.5)+'LINEST VARS'!$G$60*($C$80*12.73)+'LINEST VARS'!$F$60*($B100*4)+'LINEST VARS'!$E$60*($B100*0.5)+'LINEST VARS'!$D$60*($B100*12.73)+'LINEST VARS'!$C$60*(4*0.5)+'LINEST VARS'!$B$60*(4*12.73)+'LINEST VARS'!$A$60*(0.5*12.73)</f>
        <v>40.460000000000008</v>
      </c>
      <c r="D100" s="46">
        <f>'LINEST VARS'!$U$60+'LINEST VARS'!$T$60*($D$80)+'LINEST VARS'!$S$60*($B100)+'LINEST VARS'!$R$60*(4)+'LINEST VARS'!$Q$60*(0.5)+'LINEST VARS'!$P$60*(12.73)+'LINEST VARS'!$O$60*($D$80^2)+'LINEST VARS'!$N$60*($B100^2)+'LINEST VARS'!$M$60*(4^2)+'LINEST VARS'!$L$60*(0.5^2)+'LINEST VARS'!$K$60*(12.73^2)+'LINEST VARS'!$J$60*($D$80*$B100)+'LINEST VARS'!$I$60*($D$80*4)+'LINEST VARS'!$H$60*($D$80*0.5)+'LINEST VARS'!$G$60*($D$80*12.73)+'LINEST VARS'!$F$60*($B100*4)+'LINEST VARS'!$E$60*($B100*0.5)+'LINEST VARS'!$D$60*($B100*12.73)+'LINEST VARS'!$C$60*(4*0.5)+'LINEST VARS'!$B$60*(4*12.73)+'LINEST VARS'!$A$60*(0.5*12.73)</f>
        <v>40.460000000000008</v>
      </c>
      <c r="E100" s="46">
        <f>'LINEST VARS'!$U$60+'LINEST VARS'!$T$60*($E$80)+'LINEST VARS'!$S$60*($B100)+'LINEST VARS'!$R$60*(4)+'LINEST VARS'!$Q$60*(0.5)+'LINEST VARS'!$P$60*(12.73)+'LINEST VARS'!$O$60*($E$80^2)+'LINEST VARS'!$N$60*($B100^2)+'LINEST VARS'!$M$60*(4^2)+'LINEST VARS'!$L$60*(0.5^2)+'LINEST VARS'!$K$60*(12.73^2)+'LINEST VARS'!$J$60*($E$80*$B100)+'LINEST VARS'!$I$60*($E$80*4)+'LINEST VARS'!$H$60*($E$80*0.5)+'LINEST VARS'!$G$60*($E$80*12.73)+'LINEST VARS'!$F$60*($B100*4)+'LINEST VARS'!$E$60*($B100*0.5)+'LINEST VARS'!$D$60*($B100*12.73)+'LINEST VARS'!$C$60*(4*0.5)+'LINEST VARS'!$B$60*(4*12.73)+'LINEST VARS'!$A$60*(0.5*12.73)</f>
        <v>40.460000000000008</v>
      </c>
      <c r="F100" s="46">
        <f>'LINEST VARS'!$U$60+'LINEST VARS'!$T$60*($F$80)+'LINEST VARS'!$S$60*($B100)+'LINEST VARS'!$R$60*(4)+'LINEST VARS'!$Q$60*(0.5)+'LINEST VARS'!$P$60*(12.73)+'LINEST VARS'!$O$60*($F$80^2)+'LINEST VARS'!$N$60*($B100^2)+'LINEST VARS'!$M$60*(4^2)+'LINEST VARS'!$L$60*(0.5^2)+'LINEST VARS'!$K$60*(12.73^2)+'LINEST VARS'!$J$60*($F$80*$B100)+'LINEST VARS'!$I$60*($F$80*4)+'LINEST VARS'!$H$60*($F$80*0.5)+'LINEST VARS'!$G$60*($F$80*12.73)+'LINEST VARS'!$F$60*($B100*4)+'LINEST VARS'!$E$60*($B100*0.5)+'LINEST VARS'!$D$60*($B100*12.73)+'LINEST VARS'!$C$60*(4*0.5)+'LINEST VARS'!$B$60*(4*12.73)+'LINEST VARS'!$A$60*(0.5*12.73)</f>
        <v>40.460000000000008</v>
      </c>
      <c r="G100" s="46">
        <f>'LINEST VARS'!$U$60+'LINEST VARS'!$T$60*($G$80)+'LINEST VARS'!$S$60*($B100)+'LINEST VARS'!$R$60*(4)+'LINEST VARS'!$Q$60*(0.5)+'LINEST VARS'!$P$60*(12.73)+'LINEST VARS'!$O$60*($G$80^2)+'LINEST VARS'!$N$60*($B100^2)+'LINEST VARS'!$M$60*(4^2)+'LINEST VARS'!$L$60*(0.5^2)+'LINEST VARS'!$K$60*(12.73^2)+'LINEST VARS'!$J$60*($G$80*$B100)+'LINEST VARS'!$I$60*($G$80*4)+'LINEST VARS'!$H$60*($G$80*0.5)+'LINEST VARS'!$G$60*($G$80*12.73)+'LINEST VARS'!$F$60*($B100*4)+'LINEST VARS'!$E$60*($B100*0.5)+'LINEST VARS'!$D$60*($B100*12.73)+'LINEST VARS'!$C$60*(4*0.5)+'LINEST VARS'!$B$60*(4*12.73)+'LINEST VARS'!$A$60*(0.5*12.73)</f>
        <v>40.460000000000008</v>
      </c>
      <c r="H100" s="46">
        <f>'LINEST VARS'!$U$60+'LINEST VARS'!$T$60*($H$80)+'LINEST VARS'!$S$60*($B100)+'LINEST VARS'!$R$60*(4)+'LINEST VARS'!$Q$60*(0.5)+'LINEST VARS'!$P$60*(12.73)+'LINEST VARS'!$O$60*($H$80^2)+'LINEST VARS'!$N$60*($B100^2)+'LINEST VARS'!$M$60*(4^2)+'LINEST VARS'!$L$60*(0.5^2)+'LINEST VARS'!$K$60*(12.73^2)+'LINEST VARS'!$J$60*($H$80*$B100)+'LINEST VARS'!$I$60*($H$80*4)+'LINEST VARS'!$H$60*($H$80*0.5)+'LINEST VARS'!$G$60*($H$80*12.73)+'LINEST VARS'!$F$60*($B100*4)+'LINEST VARS'!$E$60*($B100*0.5)+'LINEST VARS'!$D$60*($B100*12.73)+'LINEST VARS'!$C$60*(4*0.5)+'LINEST VARS'!$B$60*(4*12.73)+'LINEST VARS'!$A$60*(0.5*12.73)</f>
        <v>40.460000000000008</v>
      </c>
      <c r="I100" s="46">
        <f>'LINEST VARS'!$U$60+'LINEST VARS'!$T$60*($I$80)+'LINEST VARS'!$S$60*($B100)+'LINEST VARS'!$R$60*(4)+'LINEST VARS'!$Q$60*(0.5)+'LINEST VARS'!$P$60*(12.73)+'LINEST VARS'!$O$60*($I$80^2)+'LINEST VARS'!$N$60*($B100^2)+'LINEST VARS'!$M$60*(4^2)+'LINEST VARS'!$L$60*(0.5^2)+'LINEST VARS'!$K$60*(12.73^2)+'LINEST VARS'!$J$60*($I$80*$B100)+'LINEST VARS'!$I$60*($I$80*4)+'LINEST VARS'!$H$60*($I$80*0.5)+'LINEST VARS'!$G$60*($I$80*12.73)+'LINEST VARS'!$F$60*($B100*4)+'LINEST VARS'!$E$60*($B100*0.5)+'LINEST VARS'!$D$60*($B100*12.73)+'LINEST VARS'!$C$60*(4*0.5)+'LINEST VARS'!$B$60*(4*12.73)+'LINEST VARS'!$A$60*(0.5*12.73)</f>
        <v>40.460000000000015</v>
      </c>
      <c r="J100" s="46">
        <f>'LINEST VARS'!$U$60+'LINEST VARS'!$T$60*($J$80)+'LINEST VARS'!$S$60*($B100)+'LINEST VARS'!$R$60*(4)+'LINEST VARS'!$Q$60*(0.5)+'LINEST VARS'!$P$60*(12.73)+'LINEST VARS'!$O$60*($J$80^2)+'LINEST VARS'!$N$60*($B100^2)+'LINEST VARS'!$M$60*(4^2)+'LINEST VARS'!$L$60*(0.5^2)+'LINEST VARS'!$K$60*(12.73^2)+'LINEST VARS'!$J$60*($J$80*$B100)+'LINEST VARS'!$I$60*($J$80*4)+'LINEST VARS'!$H$60*($J$80*0.5)+'LINEST VARS'!$G$60*($J$80*12.73)+'LINEST VARS'!$F$60*($B100*4)+'LINEST VARS'!$E$60*($B100*0.5)+'LINEST VARS'!$D$60*($B100*12.73)+'LINEST VARS'!$C$60*(4*0.5)+'LINEST VARS'!$B$60*(4*12.73)+'LINEST VARS'!$A$60*(0.5*12.73)</f>
        <v>40.460000000000015</v>
      </c>
      <c r="K100" s="46">
        <f>'LINEST VARS'!$U$60+'LINEST VARS'!$T$60*($K$80)+'LINEST VARS'!$S$60*($B100)+'LINEST VARS'!$R$60*(4)+'LINEST VARS'!$Q$60*(0.5)+'LINEST VARS'!$P$60*(12.73)+'LINEST VARS'!$O$60*($K$80^2)+'LINEST VARS'!$N$60*($B100^2)+'LINEST VARS'!$M$60*(4^2)+'LINEST VARS'!$L$60*(0.5^2)+'LINEST VARS'!$K$60*(12.73^2)+'LINEST VARS'!$J$60*($K$80*$B100)+'LINEST VARS'!$I$60*($K$80*4)+'LINEST VARS'!$H$60*($K$80*0.5)+'LINEST VARS'!$G$60*($K$80*12.73)+'LINEST VARS'!$F$60*($B100*4)+'LINEST VARS'!$E$60*($B100*0.5)+'LINEST VARS'!$D$60*($B100*12.73)+'LINEST VARS'!$C$60*(4*0.5)+'LINEST VARS'!$B$60*(4*12.73)+'LINEST VARS'!$A$60*(0.5*12.73)</f>
        <v>40.460000000000008</v>
      </c>
      <c r="L100" s="46">
        <f>'LINEST VARS'!$U$60+'LINEST VARS'!$T$60*($L$80)+'LINEST VARS'!$S$60*($B100)+'LINEST VARS'!$R$60*(4)+'LINEST VARS'!$Q$60*(0.5)+'LINEST VARS'!$P$60*(12.73)+'LINEST VARS'!$O$60*($L$80^2)+'LINEST VARS'!$N$60*($B100^2)+'LINEST VARS'!$M$60*(4^2)+'LINEST VARS'!$L$60*(0.5^2)+'LINEST VARS'!$K$60*(12.73^2)+'LINEST VARS'!$J$60*($L$80*$B100)+'LINEST VARS'!$I$60*($L$80*4)+'LINEST VARS'!$H$60*($L$80*0.5)+'LINEST VARS'!$G$60*($L$80*12.73)+'LINEST VARS'!$F$60*($B100*4)+'LINEST VARS'!$E$60*($B100*0.5)+'LINEST VARS'!$D$60*($B100*12.73)+'LINEST VARS'!$C$60*(4*0.5)+'LINEST VARS'!$B$60*(4*12.73)+'LINEST VARS'!$A$60*(0.5*12.73)</f>
        <v>40.460000000000008</v>
      </c>
      <c r="M100" s="46">
        <f>'LINEST VARS'!$U$60+'LINEST VARS'!$T$60*($M$80)+'LINEST VARS'!$S$60*($B100)+'LINEST VARS'!$R$60*(4)+'LINEST VARS'!$Q$60*(0.5)+'LINEST VARS'!$P$60*(12.73)+'LINEST VARS'!$O$60*($M$80^2)+'LINEST VARS'!$N$60*($B100^2)+'LINEST VARS'!$M$60*(4^2)+'LINEST VARS'!$L$60*(0.5^2)+'LINEST VARS'!$K$60*(12.73^2)+'LINEST VARS'!$J$60*($M$80*$B100)+'LINEST VARS'!$I$60*($M$80*4)+'LINEST VARS'!$H$60*($M$80*0.5)+'LINEST VARS'!$G$60*($M$80*12.73)+'LINEST VARS'!$F$60*($B100*4)+'LINEST VARS'!$E$60*($B100*0.5)+'LINEST VARS'!$D$60*($B100*12.73)+'LINEST VARS'!$C$60*(4*0.5)+'LINEST VARS'!$B$60*(4*12.73)+'LINEST VARS'!$A$60*(0.5*12.73)</f>
        <v>40.460000000000008</v>
      </c>
      <c r="N100" s="46">
        <f>'LINEST VARS'!$U$60+'LINEST VARS'!$T$60*($N$80)+'LINEST VARS'!$S$60*($B100)+'LINEST VARS'!$R$60*(4)+'LINEST VARS'!$Q$60*(0.5)+'LINEST VARS'!$P$60*(12.73)+'LINEST VARS'!$O$60*($N$80^2)+'LINEST VARS'!$N$60*($B100^2)+'LINEST VARS'!$M$60*(4^2)+'LINEST VARS'!$L$60*(0.5^2)+'LINEST VARS'!$K$60*(12.73^2)+'LINEST VARS'!$J$60*($N$80*$B100)+'LINEST VARS'!$I$60*($N$80*4)+'LINEST VARS'!$H$60*($N$80*0.5)+'LINEST VARS'!$G$60*($N$80*12.73)+'LINEST VARS'!$F$60*($B100*4)+'LINEST VARS'!$E$60*($B100*0.5)+'LINEST VARS'!$D$60*($B100*12.73)+'LINEST VARS'!$C$60*(4*0.5)+'LINEST VARS'!$B$60*(4*12.73)+'LINEST VARS'!$A$60*(0.5*12.73)</f>
        <v>40.460000000000008</v>
      </c>
      <c r="O100" s="46">
        <f>'LINEST VARS'!$U$60+'LINEST VARS'!$T$60*($O$80)+'LINEST VARS'!$S$60*($B100)+'LINEST VARS'!$R$60*(4)+'LINEST VARS'!$Q$60*(0.5)+'LINEST VARS'!$P$60*(12.73)+'LINEST VARS'!$O$60*($O$80^2)+'LINEST VARS'!$N$60*($B100^2)+'LINEST VARS'!$M$60*(4^2)+'LINEST VARS'!$L$60*(0.5^2)+'LINEST VARS'!$K$60*(12.73^2)+'LINEST VARS'!$J$60*($O$80*$B100)+'LINEST VARS'!$I$60*($O$80*4)+'LINEST VARS'!$H$60*($O$80*0.5)+'LINEST VARS'!$G$60*($O$80*12.73)+'LINEST VARS'!$F$60*($B100*4)+'LINEST VARS'!$E$60*($B100*0.5)+'LINEST VARS'!$D$60*($B100*12.73)+'LINEST VARS'!$C$60*(4*0.5)+'LINEST VARS'!$B$60*(4*12.73)+'LINEST VARS'!$A$60*(0.5*12.73)</f>
        <v>40.460000000000015</v>
      </c>
      <c r="P100" s="46">
        <f>'LINEST VARS'!$U$60+'LINEST VARS'!$T$60*($P$80)+'LINEST VARS'!$S$60*($B100)+'LINEST VARS'!$R$60*(4)+'LINEST VARS'!$Q$60*(0.5)+'LINEST VARS'!$P$60*(12.73)+'LINEST VARS'!$O$60*($P$80^2)+'LINEST VARS'!$N$60*($B100^2)+'LINEST VARS'!$M$60*(4^2)+'LINEST VARS'!$L$60*(0.5^2)+'LINEST VARS'!$K$60*(12.73^2)+'LINEST VARS'!$J$60*($P$80*$B100)+'LINEST VARS'!$I$60*($P$80*4)+'LINEST VARS'!$H$60*($P$80*0.5)+'LINEST VARS'!$G$60*($P$80*12.73)+'LINEST VARS'!$F$60*($B100*4)+'LINEST VARS'!$E$60*($B100*0.5)+'LINEST VARS'!$D$60*($B100*12.73)+'LINEST VARS'!$C$60*(4*0.5)+'LINEST VARS'!$B$60*(4*12.73)+'LINEST VARS'!$A$60*(0.5*12.73)</f>
        <v>40.460000000000015</v>
      </c>
      <c r="Q100" s="46">
        <f>'LINEST VARS'!$U$60+'LINEST VARS'!$T$60*($Q$80)+'LINEST VARS'!$S$60*($B100)+'LINEST VARS'!$R$60*(4)+'LINEST VARS'!$Q$60*(0.5)+'LINEST VARS'!$P$60*(12.73)+'LINEST VARS'!$O$60*($Q$80^2)+'LINEST VARS'!$N$60*($B100^2)+'LINEST VARS'!$M$60*(4^2)+'LINEST VARS'!$L$60*(0.5^2)+'LINEST VARS'!$K$60*(12.73^2)+'LINEST VARS'!$J$60*($Q$80*$B100)+'LINEST VARS'!$I$60*($Q$80*4)+'LINEST VARS'!$H$60*($Q$80*0.5)+'LINEST VARS'!$G$60*($Q$80*12.73)+'LINEST VARS'!$F$60*($B100*4)+'LINEST VARS'!$E$60*($B100*0.5)+'LINEST VARS'!$D$60*($B100*12.73)+'LINEST VARS'!$C$60*(4*0.5)+'LINEST VARS'!$B$60*(4*12.73)+'LINEST VARS'!$A$60*(0.5*12.73)</f>
        <v>40.460000000000008</v>
      </c>
      <c r="R100" s="46">
        <f>'LINEST VARS'!$U$60+'LINEST VARS'!$T$60*($R$80)+'LINEST VARS'!$S$60*($B100)+'LINEST VARS'!$R$60*(4)+'LINEST VARS'!$Q$60*(0.5)+'LINEST VARS'!$P$60*(12.73)+'LINEST VARS'!$O$60*($R$80^2)+'LINEST VARS'!$N$60*($B100^2)+'LINEST VARS'!$M$60*(4^2)+'LINEST VARS'!$L$60*(0.5^2)+'LINEST VARS'!$K$60*(12.73^2)+'LINEST VARS'!$J$60*($R$80*$B100)+'LINEST VARS'!$I$60*($R$80*4)+'LINEST VARS'!$H$60*($R$80*0.5)+'LINEST VARS'!$G$60*($R$80*12.73)+'LINEST VARS'!$F$60*($B100*4)+'LINEST VARS'!$E$60*($B100*0.5)+'LINEST VARS'!$D$60*($B100*12.73)+'LINEST VARS'!$C$60*(4*0.5)+'LINEST VARS'!$B$60*(4*12.73)+'LINEST VARS'!$A$60*(0.5*12.73)</f>
        <v>40.460000000000008</v>
      </c>
      <c r="S100" s="46">
        <f>'LINEST VARS'!$U$60+'LINEST VARS'!$T$60*($S$80)+'LINEST VARS'!$S$60*($B100)+'LINEST VARS'!$R$60*(4)+'LINEST VARS'!$Q$60*(0.5)+'LINEST VARS'!$P$60*(12.73)+'LINEST VARS'!$O$60*($S$80^2)+'LINEST VARS'!$N$60*($B100^2)+'LINEST VARS'!$M$60*(4^2)+'LINEST VARS'!$L$60*(0.5^2)+'LINEST VARS'!$K$60*(12.73^2)+'LINEST VARS'!$J$60*($S$80*$B100)+'LINEST VARS'!$I$60*($S$80*4)+'LINEST VARS'!$H$60*($S$80*0.5)+'LINEST VARS'!$G$60*($S$80*12.73)+'LINEST VARS'!$F$60*($B100*4)+'LINEST VARS'!$E$60*($B100*0.5)+'LINEST VARS'!$D$60*($B100*12.73)+'LINEST VARS'!$C$60*(4*0.5)+'LINEST VARS'!$B$60*(4*12.73)+'LINEST VARS'!$A$60*(0.5*12.73)</f>
        <v>40.460000000000008</v>
      </c>
      <c r="T100" s="46">
        <f>'LINEST VARS'!$U$60+'LINEST VARS'!$T$60*($T$80)+'LINEST VARS'!$S$60*($B100)+'LINEST VARS'!$R$60*(4)+'LINEST VARS'!$Q$60*(0.5)+'LINEST VARS'!$P$60*(12.73)+'LINEST VARS'!$O$60*($T$80^2)+'LINEST VARS'!$N$60*($B100^2)+'LINEST VARS'!$M$60*(4^2)+'LINEST VARS'!$L$60*(0.5^2)+'LINEST VARS'!$K$60*(12.73^2)+'LINEST VARS'!$J$60*($T$80*$B100)+'LINEST VARS'!$I$60*($T$80*4)+'LINEST VARS'!$H$60*($T$80*0.5)+'LINEST VARS'!$G$60*($T$80*12.73)+'LINEST VARS'!$F$60*($B100*4)+'LINEST VARS'!$E$60*($B100*0.5)+'LINEST VARS'!$D$60*($B100*12.73)+'LINEST VARS'!$C$60*(4*0.5)+'LINEST VARS'!$B$60*(4*12.73)+'LINEST VARS'!$A$60*(0.5*12.73)</f>
        <v>40.460000000000008</v>
      </c>
      <c r="U100" s="46">
        <f>'LINEST VARS'!$U$60+'LINEST VARS'!$T$60*($U$80)+'LINEST VARS'!$S$60*($B100)+'LINEST VARS'!$R$60*(4)+'LINEST VARS'!$Q$60*(0.5)+'LINEST VARS'!$P$60*(12.73)+'LINEST VARS'!$O$60*($U$80^2)+'LINEST VARS'!$N$60*($B100^2)+'LINEST VARS'!$M$60*(4^2)+'LINEST VARS'!$L$60*(0.5^2)+'LINEST VARS'!$K$60*(12.73^2)+'LINEST VARS'!$J$60*($U$80*$B100)+'LINEST VARS'!$I$60*($U$80*4)+'LINEST VARS'!$H$60*($U$80*0.5)+'LINEST VARS'!$G$60*($U$80*12.73)+'LINEST VARS'!$F$60*($B100*4)+'LINEST VARS'!$E$60*($B100*0.5)+'LINEST VARS'!$D$60*($B100*12.73)+'LINEST VARS'!$C$60*(4*0.5)+'LINEST VARS'!$B$60*(4*12.73)+'LINEST VARS'!$A$60*(0.5*12.73)</f>
        <v>40.460000000000015</v>
      </c>
      <c r="V100" s="46">
        <f>'LINEST VARS'!$U$60+'LINEST VARS'!$T$60*($V$80)+'LINEST VARS'!$S$60*($B100)+'LINEST VARS'!$R$60*(4)+'LINEST VARS'!$Q$60*(0.5)+'LINEST VARS'!$P$60*(12.73)+'LINEST VARS'!$O$60*($V$80^2)+'LINEST VARS'!$N$60*($B100^2)+'LINEST VARS'!$M$60*(4^2)+'LINEST VARS'!$L$60*(0.5^2)+'LINEST VARS'!$K$60*(12.73^2)+'LINEST VARS'!$J$60*($V$80*$B100)+'LINEST VARS'!$I$60*($V$80*4)+'LINEST VARS'!$H$60*($V$80*0.5)+'LINEST VARS'!$G$60*($V$80*12.73)+'LINEST VARS'!$F$60*($B100*4)+'LINEST VARS'!$E$60*($B100*0.5)+'LINEST VARS'!$D$60*($B100*12.73)+'LINEST VARS'!$C$60*(4*0.5)+'LINEST VARS'!$B$60*(4*12.73)+'LINEST VARS'!$A$60*(0.5*12.73)</f>
        <v>40.460000000000008</v>
      </c>
      <c r="W100" s="47">
        <f>'LINEST VARS'!$U$60+'LINEST VARS'!$T$60*($W$80)+'LINEST VARS'!$S$60*($B100)+'LINEST VARS'!$R$60*(4)+'LINEST VARS'!$Q$60*(0.5)+'LINEST VARS'!$P$60*(12.73)+'LINEST VARS'!$O$60*($W$80^2)+'LINEST VARS'!$N$60*($B100^2)+'LINEST VARS'!$M$60*(4^2)+'LINEST VARS'!$L$60*(0.5^2)+'LINEST VARS'!$K$60*(12.73^2)+'LINEST VARS'!$J$60*($W$80*$B100)+'LINEST VARS'!$I$60*($W$80*4)+'LINEST VARS'!$H$60*($W$80*0.5)+'LINEST VARS'!$G$60*($W$80*12.73)+'LINEST VARS'!$F$60*($B100*4)+'LINEST VARS'!$E$60*($B100*0.5)+'LINEST VARS'!$D$60*($B100*12.73)+'LINEST VARS'!$C$60*(4*0.5)+'LINEST VARS'!$B$60*(4*12.73)+'LINEST VARS'!$A$60*(0.5*12.73)</f>
        <v>40.460000000000008</v>
      </c>
      <c r="Z100" s="45">
        <v>8.5399999999999991</v>
      </c>
      <c r="AA100" s="55">
        <f>'LINEST VARS'!$U$62+'LINEST VARS'!$T$62*($AA$80)+'LINEST VARS'!$S$62*($Z100)+'LINEST VARS'!$R$62*(4)+'LINEST VARS'!$Q$62*(0.5)+'LINEST VARS'!$P$62*(12.73)+'LINEST VARS'!$O$62*($AA$80^2)+'LINEST VARS'!$N$62*($Z100^2)+'LINEST VARS'!$M$62*(4^2)+'LINEST VARS'!$L$62*(0.5^2)+'LINEST VARS'!$K$62*(12.73^2)+'LINEST VARS'!$J$62*($AA$80*$Z100)+'LINEST VARS'!$I$62*($AA$80*4)+'LINEST VARS'!$H$62*($AA$80*0.5)+'LINEST VARS'!$G$62*($AA$80*12.73)+'LINEST VARS'!$F$62*($Z100*4)+'LINEST VARS'!$E$62*($Z100*0.5)+'LINEST VARS'!$D$62*($Z100*12.73)+'LINEST VARS'!$C$62*(4*0.5)+'LINEST VARS'!$B$62*(4*12.73)+'LINEST VARS'!$A$62*(0.5*12.73)</f>
        <v>269.5</v>
      </c>
      <c r="AB100" s="55">
        <f>'LINEST VARS'!$U$62+'LINEST VARS'!$T$62*($AB$80)+'LINEST VARS'!$S$62*($Z100)+'LINEST VARS'!$R$62*(4)+'LINEST VARS'!$Q$62*(0.5)+'LINEST VARS'!$P$62*(12.73)+'LINEST VARS'!$O$62*($AB$80^2)+'LINEST VARS'!$N$62*($Z100^2)+'LINEST VARS'!$M$62*(4^2)+'LINEST VARS'!$L$62*(0.5^2)+'LINEST VARS'!$K$62*(12.73^2)+'LINEST VARS'!$J$62*($AB$80*$Z100)+'LINEST VARS'!$I$62*($AB$80*4)+'LINEST VARS'!$H$62*($AB$80*0.5)+'LINEST VARS'!$G$62*($AB$80*12.73)+'LINEST VARS'!$F$62*($Z100*4)+'LINEST VARS'!$E$62*($Z100*0.5)+'LINEST VARS'!$D$62*($Z100*12.73)+'LINEST VARS'!$C$62*(4*0.5)+'LINEST VARS'!$B$62*(4*12.73)+'LINEST VARS'!$A$62*(0.5*12.73)</f>
        <v>269.5</v>
      </c>
      <c r="AC100" s="55">
        <f>'LINEST VARS'!$U$62+'LINEST VARS'!$T$62*($AC$80)+'LINEST VARS'!$S$62*($Z100)+'LINEST VARS'!$R$62*(4)+'LINEST VARS'!$Q$62*(0.5)+'LINEST VARS'!$P$62*(12.73)+'LINEST VARS'!$O$62*($AC$80^2)+'LINEST VARS'!$N$62*($Z100^2)+'LINEST VARS'!$M$62*(4^2)+'LINEST VARS'!$L$62*(0.5^2)+'LINEST VARS'!$K$62*(12.73^2)+'LINEST VARS'!$J$62*($AC$80*$Z100)+'LINEST VARS'!$I$62*($AC$80*4)+'LINEST VARS'!$H$62*($AC$80*0.5)+'LINEST VARS'!$G$62*($AC$80*12.73)+'LINEST VARS'!$F$62*($Z100*4)+'LINEST VARS'!$E$62*($Z100*0.5)+'LINEST VARS'!$D$62*($Z100*12.73)+'LINEST VARS'!$C$62*(4*0.5)+'LINEST VARS'!$B$62*(4*12.73)+'LINEST VARS'!$A$62*(0.5*12.73)</f>
        <v>269.49999999999994</v>
      </c>
      <c r="AD100" s="55">
        <f>'LINEST VARS'!$U$62+'LINEST VARS'!$T$62*($AD$80)+'LINEST VARS'!$S$62*($Z100)+'LINEST VARS'!$R$62*(4)+'LINEST VARS'!$Q$62*(0.5)+'LINEST VARS'!$P$62*(12.73)+'LINEST VARS'!$O$62*($AD$80^2)+'LINEST VARS'!$N$62*($Z100^2)+'LINEST VARS'!$M$62*(4^2)+'LINEST VARS'!$L$62*(0.5^2)+'LINEST VARS'!$K$62*(12.73^2)+'LINEST VARS'!$J$62*($AD$80*$Z100)+'LINEST VARS'!$I$62*($AD$80*4)+'LINEST VARS'!$H$62*($AD$80*0.5)+'LINEST VARS'!$G$62*($AD$80*12.73)+'LINEST VARS'!$F$62*($Z100*4)+'LINEST VARS'!$E$62*($Z100*0.5)+'LINEST VARS'!$D$62*($Z100*12.73)+'LINEST VARS'!$C$62*(4*0.5)+'LINEST VARS'!$B$62*(4*12.73)+'LINEST VARS'!$A$62*(0.5*12.73)</f>
        <v>269.50000000000006</v>
      </c>
      <c r="AE100" s="55">
        <f>'LINEST VARS'!$U$62+'LINEST VARS'!$T$62*($AE$80)+'LINEST VARS'!$S$62*($Z100)+'LINEST VARS'!$R$62*(4)+'LINEST VARS'!$Q$62*(0.5)+'LINEST VARS'!$P$62*(12.73)+'LINEST VARS'!$O$62*($AE$80^2)+'LINEST VARS'!$N$62*($Z100^2)+'LINEST VARS'!$M$62*(4^2)+'LINEST VARS'!$L$62*(0.5^2)+'LINEST VARS'!$K$62*(12.73^2)+'LINEST VARS'!$J$62*($AE$80*$Z100)+'LINEST VARS'!$I$62*($AE$80*4)+'LINEST VARS'!$H$62*($AE$80*0.5)+'LINEST VARS'!$G$62*($AE$80*12.73)+'LINEST VARS'!$F$62*($Z100*4)+'LINEST VARS'!$E$62*($Z100*0.5)+'LINEST VARS'!$D$62*($Z100*12.73)+'LINEST VARS'!$C$62*(4*0.5)+'LINEST VARS'!$B$62*(4*12.73)+'LINEST VARS'!$A$62*(0.5*12.73)</f>
        <v>269.5</v>
      </c>
      <c r="AF100" s="55">
        <f>'LINEST VARS'!$U$62+'LINEST VARS'!$T$62*($AF$80)+'LINEST VARS'!$S$62*($Z100)+'LINEST VARS'!$R$62*(4)+'LINEST VARS'!$Q$62*(0.5)+'LINEST VARS'!$P$62*(12.73)+'LINEST VARS'!$O$62*($AF$80^2)+'LINEST VARS'!$N$62*($Z100^2)+'LINEST VARS'!$M$62*(4^2)+'LINEST VARS'!$L$62*(0.5^2)+'LINEST VARS'!$K$62*(12.73^2)+'LINEST VARS'!$J$62*($AF$80*$Z100)+'LINEST VARS'!$I$62*($AF$80*4)+'LINEST VARS'!$H$62*($AF$80*0.5)+'LINEST VARS'!$G$62*($AF$80*12.73)+'LINEST VARS'!$F$62*($Z100*4)+'LINEST VARS'!$E$62*($Z100*0.5)+'LINEST VARS'!$D$62*($Z100*12.73)+'LINEST VARS'!$C$62*(4*0.5)+'LINEST VARS'!$B$62*(4*12.73)+'LINEST VARS'!$A$62*(0.5*12.73)</f>
        <v>269.49999999999994</v>
      </c>
      <c r="AG100" s="55">
        <f>'LINEST VARS'!$U$62+'LINEST VARS'!$T$62*($AG$80)+'LINEST VARS'!$S$62*($Z100)+'LINEST VARS'!$R$62*(4)+'LINEST VARS'!$Q$62*(0.5)+'LINEST VARS'!$P$62*(12.73)+'LINEST VARS'!$O$62*($AG$80^2)+'LINEST VARS'!$N$62*($Z100^2)+'LINEST VARS'!$M$62*(4^2)+'LINEST VARS'!$L$62*(0.5^2)+'LINEST VARS'!$K$62*(12.73^2)+'LINEST VARS'!$J$62*($AG$80*$Z100)+'LINEST VARS'!$I$62*($AG$80*4)+'LINEST VARS'!$H$62*($AG$80*0.5)+'LINEST VARS'!$G$62*($AG$80*12.73)+'LINEST VARS'!$F$62*($Z100*4)+'LINEST VARS'!$E$62*($Z100*0.5)+'LINEST VARS'!$D$62*($Z100*12.73)+'LINEST VARS'!$C$62*(4*0.5)+'LINEST VARS'!$B$62*(4*12.73)+'LINEST VARS'!$A$62*(0.5*12.73)</f>
        <v>269.5</v>
      </c>
      <c r="AH100" s="55">
        <f>'LINEST VARS'!$U$62+'LINEST VARS'!$T$62*($AH$80)+'LINEST VARS'!$S$62*($Z100)+'LINEST VARS'!$R$62*(4)+'LINEST VARS'!$Q$62*(0.5)+'LINEST VARS'!$P$62*(12.73)+'LINEST VARS'!$O$62*($AH$80^2)+'LINEST VARS'!$N$62*($Z100^2)+'LINEST VARS'!$M$62*(4^2)+'LINEST VARS'!$L$62*(0.5^2)+'LINEST VARS'!$K$62*(12.73^2)+'LINEST VARS'!$J$62*($AH$80*$Z100)+'LINEST VARS'!$I$62*($AH$80*4)+'LINEST VARS'!$H$62*($AH$80*0.5)+'LINEST VARS'!$G$62*($AH$80*12.73)+'LINEST VARS'!$F$62*($Z100*4)+'LINEST VARS'!$E$62*($Z100*0.5)+'LINEST VARS'!$D$62*($Z100*12.73)+'LINEST VARS'!$C$62*(4*0.5)+'LINEST VARS'!$B$62*(4*12.73)+'LINEST VARS'!$A$62*(0.5*12.73)</f>
        <v>269.5</v>
      </c>
      <c r="AI100" s="55">
        <f>'LINEST VARS'!$U$62+'LINEST VARS'!$T$62*($AI$80)+'LINEST VARS'!$S$62*($Z100)+'LINEST VARS'!$R$62*(4)+'LINEST VARS'!$Q$62*(0.5)+'LINEST VARS'!$P$62*(12.73)+'LINEST VARS'!$O$62*($AI$80^2)+'LINEST VARS'!$N$62*($Z100^2)+'LINEST VARS'!$M$62*(4^2)+'LINEST VARS'!$L$62*(0.5^2)+'LINEST VARS'!$K$62*(12.73^2)+'LINEST VARS'!$J$62*($AI$80*$Z100)+'LINEST VARS'!$I$62*($AI$80*4)+'LINEST VARS'!$H$62*($AI$80*0.5)+'LINEST VARS'!$G$62*($AI$80*12.73)+'LINEST VARS'!$F$62*($Z100*4)+'LINEST VARS'!$E$62*($Z100*0.5)+'LINEST VARS'!$D$62*($Z100*12.73)+'LINEST VARS'!$C$62*(4*0.5)+'LINEST VARS'!$B$62*(4*12.73)+'LINEST VARS'!$A$62*(0.5*12.73)</f>
        <v>269.5</v>
      </c>
      <c r="AJ100" s="55">
        <f>'LINEST VARS'!$U$62+'LINEST VARS'!$T$62*($AJ$80)+'LINEST VARS'!$S$62*($Z100)+'LINEST VARS'!$R$62*(4)+'LINEST VARS'!$Q$62*(0.5)+'LINEST VARS'!$P$62*(12.73)+'LINEST VARS'!$O$62*($AJ$80^2)+'LINEST VARS'!$N$62*($Z100^2)+'LINEST VARS'!$M$62*(4^2)+'LINEST VARS'!$L$62*(0.5^2)+'LINEST VARS'!$K$62*(12.73^2)+'LINEST VARS'!$J$62*($AJ$80*$Z100)+'LINEST VARS'!$I$62*($AJ$80*4)+'LINEST VARS'!$H$62*($AJ$80*0.5)+'LINEST VARS'!$G$62*($AJ$80*12.73)+'LINEST VARS'!$F$62*($Z100*4)+'LINEST VARS'!$E$62*($Z100*0.5)+'LINEST VARS'!$D$62*($Z100*12.73)+'LINEST VARS'!$C$62*(4*0.5)+'LINEST VARS'!$B$62*(4*12.73)+'LINEST VARS'!$A$62*(0.5*12.73)</f>
        <v>269.5</v>
      </c>
      <c r="AK100" s="55">
        <f>'LINEST VARS'!$U$62+'LINEST VARS'!$T$62*($AK$80)+'LINEST VARS'!$S$62*($Z100)+'LINEST VARS'!$R$62*(4)+'LINEST VARS'!$Q$62*(0.5)+'LINEST VARS'!$P$62*(12.73)+'LINEST VARS'!$O$62*($AK$80^2)+'LINEST VARS'!$N$62*($Z100^2)+'LINEST VARS'!$M$62*(4^2)+'LINEST VARS'!$L$62*(0.5^2)+'LINEST VARS'!$K$62*(12.73^2)+'LINEST VARS'!$J$62*($AK$80*$Z100)+'LINEST VARS'!$I$62*($AK$80*4)+'LINEST VARS'!$H$62*($AK$80*0.5)+'LINEST VARS'!$G$62*($AK$80*12.73)+'LINEST VARS'!$F$62*($Z100*4)+'LINEST VARS'!$E$62*($Z100*0.5)+'LINEST VARS'!$D$62*($Z100*12.73)+'LINEST VARS'!$C$62*(4*0.5)+'LINEST VARS'!$B$62*(4*12.73)+'LINEST VARS'!$A$62*(0.5*12.73)</f>
        <v>269.5</v>
      </c>
      <c r="AL100" s="55">
        <f>'LINEST VARS'!$U$62+'LINEST VARS'!$T$62*($AL$80)+'LINEST VARS'!$S$62*($Z100)+'LINEST VARS'!$R$62*(4)+'LINEST VARS'!$Q$62*(0.5)+'LINEST VARS'!$P$62*(12.73)+'LINEST VARS'!$O$62*($AL$80^2)+'LINEST VARS'!$N$62*($Z100^2)+'LINEST VARS'!$M$62*(4^2)+'LINEST VARS'!$L$62*(0.5^2)+'LINEST VARS'!$K$62*(12.73^2)+'LINEST VARS'!$J$62*($AL$80*$Z100)+'LINEST VARS'!$I$62*($AL$80*4)+'LINEST VARS'!$H$62*($AL$80*0.5)+'LINEST VARS'!$G$62*($AL$80*12.73)+'LINEST VARS'!$F$62*($Z100*4)+'LINEST VARS'!$E$62*($Z100*0.5)+'LINEST VARS'!$D$62*($Z100*12.73)+'LINEST VARS'!$C$62*(4*0.5)+'LINEST VARS'!$B$62*(4*12.73)+'LINEST VARS'!$A$62*(0.5*12.73)</f>
        <v>269.49999999999994</v>
      </c>
      <c r="AM100" s="55">
        <f>'LINEST VARS'!$U$62+'LINEST VARS'!$T$62*($AM$80)+'LINEST VARS'!$S$62*($Z100)+'LINEST VARS'!$R$62*(4)+'LINEST VARS'!$Q$62*(0.5)+'LINEST VARS'!$P$62*(12.73)+'LINEST VARS'!$O$62*($AM$80^2)+'LINEST VARS'!$N$62*($Z100^2)+'LINEST VARS'!$M$62*(4^2)+'LINEST VARS'!$L$62*(0.5^2)+'LINEST VARS'!$K$62*(12.73^2)+'LINEST VARS'!$J$62*($AM$80*$Z100)+'LINEST VARS'!$I$62*($AM$80*4)+'LINEST VARS'!$H$62*($AM$80*0.5)+'LINEST VARS'!$G$62*($AM$80*12.73)+'LINEST VARS'!$F$62*($Z100*4)+'LINEST VARS'!$E$62*($Z100*0.5)+'LINEST VARS'!$D$62*($Z100*12.73)+'LINEST VARS'!$C$62*(4*0.5)+'LINEST VARS'!$B$62*(4*12.73)+'LINEST VARS'!$A$62*(0.5*12.73)</f>
        <v>269.5</v>
      </c>
      <c r="AN100" s="55">
        <f>'LINEST VARS'!$U$62+'LINEST VARS'!$T$62*($AN$80)+'LINEST VARS'!$S$62*($Z100)+'LINEST VARS'!$R$62*(4)+'LINEST VARS'!$Q$62*(0.5)+'LINEST VARS'!$P$62*(12.73)+'LINEST VARS'!$O$62*($AN$80^2)+'LINEST VARS'!$N$62*($Z100^2)+'LINEST VARS'!$M$62*(4^2)+'LINEST VARS'!$L$62*(0.5^2)+'LINEST VARS'!$K$62*(12.73^2)+'LINEST VARS'!$J$62*($AN$80*$Z100)+'LINEST VARS'!$I$62*($AN$80*4)+'LINEST VARS'!$H$62*($AN$80*0.5)+'LINEST VARS'!$G$62*($AN$80*12.73)+'LINEST VARS'!$F$62*($Z100*4)+'LINEST VARS'!$E$62*($Z100*0.5)+'LINEST VARS'!$D$62*($Z100*12.73)+'LINEST VARS'!$C$62*(4*0.5)+'LINEST VARS'!$B$62*(4*12.73)+'LINEST VARS'!$A$62*(0.5*12.73)</f>
        <v>269.5</v>
      </c>
      <c r="AO100" s="55">
        <f>'LINEST VARS'!$U$62+'LINEST VARS'!$T$62*($AO$80)+'LINEST VARS'!$S$62*($Z100)+'LINEST VARS'!$R$62*(4)+'LINEST VARS'!$Q$62*(0.5)+'LINEST VARS'!$P$62*(12.73)+'LINEST VARS'!$O$62*($AO$80^2)+'LINEST VARS'!$N$62*($Z100^2)+'LINEST VARS'!$M$62*(4^2)+'LINEST VARS'!$L$62*(0.5^2)+'LINEST VARS'!$K$62*(12.73^2)+'LINEST VARS'!$J$62*($AO$80*$Z100)+'LINEST VARS'!$I$62*($AO$80*4)+'LINEST VARS'!$H$62*($AO$80*0.5)+'LINEST VARS'!$G$62*($AO$80*12.73)+'LINEST VARS'!$F$62*($Z100*4)+'LINEST VARS'!$E$62*($Z100*0.5)+'LINEST VARS'!$D$62*($Z100*12.73)+'LINEST VARS'!$C$62*(4*0.5)+'LINEST VARS'!$B$62*(4*12.73)+'LINEST VARS'!$A$62*(0.5*12.73)</f>
        <v>269.5</v>
      </c>
      <c r="AP100" s="55">
        <f>'LINEST VARS'!$U$62+'LINEST VARS'!$T$62*($AP$80)+'LINEST VARS'!$S$62*($Z100)+'LINEST VARS'!$R$62*(4)+'LINEST VARS'!$Q$62*(0.5)+'LINEST VARS'!$P$62*(12.73)+'LINEST VARS'!$O$62*($AP$80^2)+'LINEST VARS'!$N$62*($Z100^2)+'LINEST VARS'!$M$62*(4^2)+'LINEST VARS'!$L$62*(0.5^2)+'LINEST VARS'!$K$62*(12.73^2)+'LINEST VARS'!$J$62*($AP$80*$Z100)+'LINEST VARS'!$I$62*($AP$80*4)+'LINEST VARS'!$H$62*($AP$80*0.5)+'LINEST VARS'!$G$62*($AP$80*12.73)+'LINEST VARS'!$F$62*($Z100*4)+'LINEST VARS'!$E$62*($Z100*0.5)+'LINEST VARS'!$D$62*($Z100*12.73)+'LINEST VARS'!$C$62*(4*0.5)+'LINEST VARS'!$B$62*(4*12.73)+'LINEST VARS'!$A$62*(0.5*12.73)</f>
        <v>269.5</v>
      </c>
      <c r="AQ100" s="55">
        <f>'LINEST VARS'!$U$62+'LINEST VARS'!$T$62*($AQ$80)+'LINEST VARS'!$S$62*($Z100)+'LINEST VARS'!$R$62*(4)+'LINEST VARS'!$Q$62*(0.5)+'LINEST VARS'!$P$62*(12.73)+'LINEST VARS'!$O$62*($AQ$80^2)+'LINEST VARS'!$N$62*($Z100^2)+'LINEST VARS'!$M$62*(4^2)+'LINEST VARS'!$L$62*(0.5^2)+'LINEST VARS'!$K$62*(12.73^2)+'LINEST VARS'!$J$62*($AQ$80*$Z100)+'LINEST VARS'!$I$62*($AQ$80*4)+'LINEST VARS'!$H$62*($AQ$80*0.5)+'LINEST VARS'!$G$62*($AQ$80*12.73)+'LINEST VARS'!$F$62*($Z100*4)+'LINEST VARS'!$E$62*($Z100*0.5)+'LINEST VARS'!$D$62*($Z100*12.73)+'LINEST VARS'!$C$62*(4*0.5)+'LINEST VARS'!$B$62*(4*12.73)+'LINEST VARS'!$A$62*(0.5*12.73)</f>
        <v>269.5</v>
      </c>
      <c r="AR100" s="55">
        <f>'LINEST VARS'!$U$62+'LINEST VARS'!$T$62*($AR$80)+'LINEST VARS'!$S$62*($Z100)+'LINEST VARS'!$R$62*(4)+'LINEST VARS'!$Q$62*(0.5)+'LINEST VARS'!$P$62*(12.73)+'LINEST VARS'!$O$62*($AR$80^2)+'LINEST VARS'!$N$62*($Z100^2)+'LINEST VARS'!$M$62*(4^2)+'LINEST VARS'!$L$62*(0.5^2)+'LINEST VARS'!$K$62*(12.73^2)+'LINEST VARS'!$J$62*($AR$80*$Z100)+'LINEST VARS'!$I$62*($AR$80*4)+'LINEST VARS'!$H$62*($AR$80*0.5)+'LINEST VARS'!$G$62*($AR$80*12.73)+'LINEST VARS'!$F$62*($Z100*4)+'LINEST VARS'!$E$62*($Z100*0.5)+'LINEST VARS'!$D$62*($Z100*12.73)+'LINEST VARS'!$C$62*(4*0.5)+'LINEST VARS'!$B$62*(4*12.73)+'LINEST VARS'!$A$62*(0.5*12.73)</f>
        <v>269.50000000000006</v>
      </c>
      <c r="AS100" s="55">
        <f>'LINEST VARS'!$U$62+'LINEST VARS'!$T$62*($AS$80)+'LINEST VARS'!$S$62*($Z100)+'LINEST VARS'!$R$62*(4)+'LINEST VARS'!$Q$62*(0.5)+'LINEST VARS'!$P$62*(12.73)+'LINEST VARS'!$O$62*($AS$80^2)+'LINEST VARS'!$N$62*($Z100^2)+'LINEST VARS'!$M$62*(4^2)+'LINEST VARS'!$L$62*(0.5^2)+'LINEST VARS'!$K$62*(12.73^2)+'LINEST VARS'!$J$62*($AS$80*$Z100)+'LINEST VARS'!$I$62*($AS$80*4)+'LINEST VARS'!$H$62*($AS$80*0.5)+'LINEST VARS'!$G$62*($AS$80*12.73)+'LINEST VARS'!$F$62*($Z100*4)+'LINEST VARS'!$E$62*($Z100*0.5)+'LINEST VARS'!$D$62*($Z100*12.73)+'LINEST VARS'!$C$62*(4*0.5)+'LINEST VARS'!$B$62*(4*12.73)+'LINEST VARS'!$A$62*(0.5*12.73)</f>
        <v>269.5</v>
      </c>
      <c r="AT100" s="55">
        <f>'LINEST VARS'!$U$62+'LINEST VARS'!$T$62*($AT$80)+'LINEST VARS'!$S$62*($Z100)+'LINEST VARS'!$R$62*(4)+'LINEST VARS'!$Q$62*(0.5)+'LINEST VARS'!$P$62*(12.73)+'LINEST VARS'!$O$62*($AT$80^2)+'LINEST VARS'!$N$62*($Z100^2)+'LINEST VARS'!$M$62*(4^2)+'LINEST VARS'!$L$62*(0.5^2)+'LINEST VARS'!$K$62*(12.73^2)+'LINEST VARS'!$J$62*($AT$80*$Z100)+'LINEST VARS'!$I$62*($AT$80*4)+'LINEST VARS'!$H$62*($AT$80*0.5)+'LINEST VARS'!$G$62*($AT$80*12.73)+'LINEST VARS'!$F$62*($Z100*4)+'LINEST VARS'!$E$62*($Z100*0.5)+'LINEST VARS'!$D$62*($Z100*12.73)+'LINEST VARS'!$C$62*(4*0.5)+'LINEST VARS'!$B$62*(4*12.73)+'LINEST VARS'!$A$62*(0.5*12.73)</f>
        <v>269.5</v>
      </c>
      <c r="AU100" s="56">
        <f>'LINEST VARS'!$U$62+'LINEST VARS'!$T$62*($AU$80)+'LINEST VARS'!$S$62*($Z100)+'LINEST VARS'!$R$62*(4)+'LINEST VARS'!$Q$62*(0.5)+'LINEST VARS'!$P$62*(12.73)+'LINEST VARS'!$O$62*($AU$80^2)+'LINEST VARS'!$N$62*($Z100^2)+'LINEST VARS'!$M$62*(4^2)+'LINEST VARS'!$L$62*(0.5^2)+'LINEST VARS'!$K$62*(12.73^2)+'LINEST VARS'!$J$62*($AU$80*$Z100)+'LINEST VARS'!$I$62*($AU$80*4)+'LINEST VARS'!$H$62*($AU$80*0.5)+'LINEST VARS'!$G$62*($AU$80*12.73)+'LINEST VARS'!$F$62*($Z100*4)+'LINEST VARS'!$E$62*($Z100*0.5)+'LINEST VARS'!$D$62*($Z100*12.73)+'LINEST VARS'!$C$62*(4*0.5)+'LINEST VARS'!$B$62*(4*12.73)+'LINEST VARS'!$A$62*(0.5*12.73)</f>
        <v>269.50000000000006</v>
      </c>
      <c r="AZ100" s="45">
        <v>0.95</v>
      </c>
      <c r="BA100" s="46">
        <f>'LINEST VARS'!$U$60+'LINEST VARS'!$T$60*(8)+'LINEST VARS'!$S$60*(8)+'LINEST VARS'!$R$60*($BA$80)+'LINEST VARS'!$Q$60*($AZ100)+'LINEST VARS'!$P$60*(12.73)+'LINEST VARS'!$O$60*(8^2)+'LINEST VARS'!$N$60*(8^2)+'LINEST VARS'!$M$60*($BA$80^2)+'LINEST VARS'!$L$60*($AZ100^2)+'LINEST VARS'!$K$60*(12.73^2)+'LINEST VARS'!$J$60*(8*8)+'LINEST VARS'!$I$60*(8*$BA$80)+'LINEST VARS'!$H$60*(8*$AZ100)+'LINEST VARS'!$G$60*(8*12.73)+'LINEST VARS'!$F$60*(8*$BA$80)+'LINEST VARS'!$E$60*(8*$AZ100)+'LINEST VARS'!$D$60*(8*12.73)+'LINEST VARS'!$C$60*($BA$80*$AZ100)+'LINEST VARS'!$B$60*($BA$80*12.73)+'LINEST VARS'!$A$60*($AZ100*12.73)</f>
        <v>40.460000000000008</v>
      </c>
      <c r="BB100" s="46">
        <f>'LINEST VARS'!$U$60+'LINEST VARS'!$T$60*(8)+'LINEST VARS'!$S$60*(8)+'LINEST VARS'!$R$60*($BB$80)+'LINEST VARS'!$Q$60*($AZ100)+'LINEST VARS'!$P$60*(12.73)+'LINEST VARS'!$O$60*(8^2)+'LINEST VARS'!$N$60*(8^2)+'LINEST VARS'!$M$60*($BB$80^2)+'LINEST VARS'!$L$60*($AZ100^2)+'LINEST VARS'!$K$60*(12.73^2)+'LINEST VARS'!$J$60*(8*8)+'LINEST VARS'!$I$60*(8*$BB$80)+'LINEST VARS'!$H$60*(8*$AZ100)+'LINEST VARS'!$G$60*(8*12.73)+'LINEST VARS'!$F$60*(8*$BB$80)+'LINEST VARS'!$E$60*(8*$AZ100)+'LINEST VARS'!$D$60*(8*12.73)+'LINEST VARS'!$C$60*($BB$80*$AZ100)+'LINEST VARS'!$B$60*($BB$80*12.73)+'LINEST VARS'!$A$60*($AZ100*12.73)</f>
        <v>40.460000000000008</v>
      </c>
      <c r="BC100" s="46">
        <f>'LINEST VARS'!$U$60+'LINEST VARS'!$T$60*(8)+'LINEST VARS'!$S$60*(8)+'LINEST VARS'!$R$60*($BC$80)+'LINEST VARS'!$Q$60*($AZ100)+'LINEST VARS'!$P$60*(12.73)+'LINEST VARS'!$O$60*(8^2)+'LINEST VARS'!$N$60*(8^2)+'LINEST VARS'!$M$60*($BC$80^2)+'LINEST VARS'!$L$60*($AZ100^2)+'LINEST VARS'!$K$60*(12.73^2)+'LINEST VARS'!$J$60*(8*8)+'LINEST VARS'!$I$60*(8*$BC$80)+'LINEST VARS'!$H$60*(8*$AZ100)+'LINEST VARS'!$G$60*(8*12.73)+'LINEST VARS'!$F$60*(8*$BC$80)+'LINEST VARS'!$E$60*(8*$AZ100)+'LINEST VARS'!$D$60*(8*12.73)+'LINEST VARS'!$C$60*($BC$80*$AZ100)+'LINEST VARS'!$B$60*($BC$80*12.73)+'LINEST VARS'!$A$60*($AZ100*12.73)</f>
        <v>40.460000000000015</v>
      </c>
      <c r="BD100" s="46">
        <f>'LINEST VARS'!$U$60+'LINEST VARS'!$T$60*(8)+'LINEST VARS'!$S$60*(8)+'LINEST VARS'!$R$60*($BD$80)+'LINEST VARS'!$Q$60*($AZ100)+'LINEST VARS'!$P$60*(12.73)+'LINEST VARS'!$O$60*(8^2)+'LINEST VARS'!$N$60*(8^2)+'LINEST VARS'!$M$60*($BD$80^2)+'LINEST VARS'!$L$60*($AZ100^2)+'LINEST VARS'!$K$60*(12.73^2)+'LINEST VARS'!$J$60*(8*8)+'LINEST VARS'!$I$60*(8*$BD$80)+'LINEST VARS'!$H$60*(8*$AZ100)+'LINEST VARS'!$G$60*(8*12.73)+'LINEST VARS'!$F$60*(8*$BD$80)+'LINEST VARS'!$E$60*(8*$AZ100)+'LINEST VARS'!$D$60*(8*12.73)+'LINEST VARS'!$C$60*($BD$80*$AZ100)+'LINEST VARS'!$B$60*($BD$80*12.73)+'LINEST VARS'!$A$60*($AZ100*12.73)</f>
        <v>40.460000000000015</v>
      </c>
      <c r="BE100" s="46">
        <f>'LINEST VARS'!$U$60+'LINEST VARS'!$T$60*(8)+'LINEST VARS'!$S$60*(8)+'LINEST VARS'!$R$60*($BE$80)+'LINEST VARS'!$Q$60*($AZ100)+'LINEST VARS'!$P$60*(12.73)+'LINEST VARS'!$O$60*(8^2)+'LINEST VARS'!$N$60*(8^2)+'LINEST VARS'!$M$60*($BE$80^2)+'LINEST VARS'!$L$60*($AZ100^2)+'LINEST VARS'!$K$60*(12.73^2)+'LINEST VARS'!$J$60*(8*8)+'LINEST VARS'!$I$60*(8*$BE$80)+'LINEST VARS'!$H$60*(8*$AZ100)+'LINEST VARS'!$G$60*(8*12.73)+'LINEST VARS'!$F$60*(8*$BE$80)+'LINEST VARS'!$E$60*(8*$AZ100)+'LINEST VARS'!$D$60*(8*12.73)+'LINEST VARS'!$C$60*($BE$80*$AZ100)+'LINEST VARS'!$B$60*($BE$80*12.73)+'LINEST VARS'!$A$60*($AZ100*12.73)</f>
        <v>40.460000000000008</v>
      </c>
      <c r="BF100" s="46">
        <f>'LINEST VARS'!$U$60+'LINEST VARS'!$T$60*(8)+'LINEST VARS'!$S$60*(8)+'LINEST VARS'!$R$60*($BF$80)+'LINEST VARS'!$Q$60*($AZ100)+'LINEST VARS'!$P$60*(12.73)+'LINEST VARS'!$O$60*(8^2)+'LINEST VARS'!$N$60*(8^2)+'LINEST VARS'!$M$60*($BF$80^2)+'LINEST VARS'!$L$60*($AZ100^2)+'LINEST VARS'!$K$60*(12.73^2)+'LINEST VARS'!$J$60*(8*8)+'LINEST VARS'!$I$60*(8*$BF$80)+'LINEST VARS'!$H$60*(8*$AZ100)+'LINEST VARS'!$G$60*(8*12.73)+'LINEST VARS'!$F$60*(8*$BF$80)+'LINEST VARS'!$E$60*(8*$AZ100)+'LINEST VARS'!$D$60*(8*12.73)+'LINEST VARS'!$C$60*($BF$80*$AZ100)+'LINEST VARS'!$B$60*($BF$80*12.73)+'LINEST VARS'!$A$60*($AZ100*12.73)</f>
        <v>40.46</v>
      </c>
      <c r="BG100" s="46">
        <f>'LINEST VARS'!$U$60+'LINEST VARS'!$T$60*(8)+'LINEST VARS'!$S$60*(8)+'LINEST VARS'!$R$60*($BG$80)+'LINEST VARS'!$Q$60*($AZ100)+'LINEST VARS'!$P$60*(12.73)+'LINEST VARS'!$O$60*(8^2)+'LINEST VARS'!$N$60*(8^2)+'LINEST VARS'!$M$60*($BG$80^2)+'LINEST VARS'!$L$60*($AZ100^2)+'LINEST VARS'!$K$60*(12.73^2)+'LINEST VARS'!$J$60*(8*8)+'LINEST VARS'!$I$60*(8*$BG$80)+'LINEST VARS'!$H$60*(8*$AZ100)+'LINEST VARS'!$G$60*(8*12.73)+'LINEST VARS'!$F$60*(8*$BG$80)+'LINEST VARS'!$E$60*(8*$AZ100)+'LINEST VARS'!$D$60*(8*12.73)+'LINEST VARS'!$C$60*($BG$80*$AZ100)+'LINEST VARS'!$B$60*($BG$80*12.73)+'LINEST VARS'!$A$60*($AZ100*12.73)</f>
        <v>40.460000000000008</v>
      </c>
      <c r="BH100" s="46">
        <f>'LINEST VARS'!$U$60+'LINEST VARS'!$T$60*(8)+'LINEST VARS'!$S$60*(8)+'LINEST VARS'!$R$60*($BH$80)+'LINEST VARS'!$Q$60*($AZ100)+'LINEST VARS'!$P$60*(12.73)+'LINEST VARS'!$O$60*(8^2)+'LINEST VARS'!$N$60*(8^2)+'LINEST VARS'!$M$60*($BH$80^2)+'LINEST VARS'!$L$60*($AZ100^2)+'LINEST VARS'!$K$60*(12.73^2)+'LINEST VARS'!$J$60*(8*8)+'LINEST VARS'!$I$60*(8*$BH$80)+'LINEST VARS'!$H$60*(8*$AZ100)+'LINEST VARS'!$G$60*(8*12.73)+'LINEST VARS'!$F$60*(8*$BH$80)+'LINEST VARS'!$E$60*(8*$AZ100)+'LINEST VARS'!$D$60*(8*12.73)+'LINEST VARS'!$C$60*($BH$80*$AZ100)+'LINEST VARS'!$B$60*($BH$80*12.73)+'LINEST VARS'!$A$60*($AZ100*12.73)</f>
        <v>40.460000000000008</v>
      </c>
      <c r="BI100" s="46">
        <f>'LINEST VARS'!$U$60+'LINEST VARS'!$T$60*(8)+'LINEST VARS'!$S$60*(8)+'LINEST VARS'!$R$60*($BI$80)+'LINEST VARS'!$Q$60*($AZ100)+'LINEST VARS'!$P$60*(12.73)+'LINEST VARS'!$O$60*(8^2)+'LINEST VARS'!$N$60*(8^2)+'LINEST VARS'!$M$60*($BI$80^2)+'LINEST VARS'!$L$60*($AZ100^2)+'LINEST VARS'!$K$60*(12.73^2)+'LINEST VARS'!$J$60*(8*8)+'LINEST VARS'!$I$60*(8*$BI$80)+'LINEST VARS'!$H$60*(8*$AZ100)+'LINEST VARS'!$G$60*(8*12.73)+'LINEST VARS'!$F$60*(8*$BI$80)+'LINEST VARS'!$E$60*(8*$AZ100)+'LINEST VARS'!$D$60*(8*12.73)+'LINEST VARS'!$C$60*($BI$80*$AZ100)+'LINEST VARS'!$B$60*($BI$80*12.73)+'LINEST VARS'!$A$60*($AZ100*12.73)</f>
        <v>40.460000000000008</v>
      </c>
      <c r="BJ100" s="46">
        <f>'LINEST VARS'!$U$60+'LINEST VARS'!$T$60*(8)+'LINEST VARS'!$S$60*(8)+'LINEST VARS'!$R$60*($BJ$80)+'LINEST VARS'!$Q$60*($AZ100)+'LINEST VARS'!$P$60*(12.73)+'LINEST VARS'!$O$60*(8^2)+'LINEST VARS'!$N$60*(8^2)+'LINEST VARS'!$M$60*($BJ$80^2)+'LINEST VARS'!$L$60*($AZ100^2)+'LINEST VARS'!$K$60*(12.73^2)+'LINEST VARS'!$J$60*(8*8)+'LINEST VARS'!$I$60*(8*$BJ$80)+'LINEST VARS'!$H$60*(8*$AZ100)+'LINEST VARS'!$G$60*(8*12.73)+'LINEST VARS'!$F$60*(8*$BJ$80)+'LINEST VARS'!$E$60*(8*$AZ100)+'LINEST VARS'!$D$60*(8*12.73)+'LINEST VARS'!$C$60*($BJ$80*$AZ100)+'LINEST VARS'!$B$60*($BJ$80*12.73)+'LINEST VARS'!$A$60*($AZ100*12.73)</f>
        <v>40.460000000000015</v>
      </c>
      <c r="BK100" s="46">
        <f>'LINEST VARS'!$U$60+'LINEST VARS'!$T$60*(8)+'LINEST VARS'!$S$60*(8)+'LINEST VARS'!$R$60*($BK$80)+'LINEST VARS'!$Q$60*($AZ100)+'LINEST VARS'!$P$60*(12.73)+'LINEST VARS'!$O$60*(8^2)+'LINEST VARS'!$N$60*(8^2)+'LINEST VARS'!$M$60*($BK$80^2)+'LINEST VARS'!$L$60*($AZ100^2)+'LINEST VARS'!$K$60*(12.73^2)+'LINEST VARS'!$J$60*(8*8)+'LINEST VARS'!$I$60*(8*$BK$80)+'LINEST VARS'!$H$60*(8*$AZ100)+'LINEST VARS'!$G$60*(8*12.73)+'LINEST VARS'!$F$60*(8*$BK$80)+'LINEST VARS'!$E$60*(8*$AZ100)+'LINEST VARS'!$D$60*(8*12.73)+'LINEST VARS'!$C$60*($BK$80*$AZ100)+'LINEST VARS'!$B$60*($BK$80*12.73)+'LINEST VARS'!$A$60*($AZ100*12.73)</f>
        <v>40.460000000000015</v>
      </c>
      <c r="BL100" s="46">
        <f>'LINEST VARS'!$U$60+'LINEST VARS'!$T$60*(8)+'LINEST VARS'!$S$60*(8)+'LINEST VARS'!$R$60*($BL$80)+'LINEST VARS'!$Q$60*($AZ100)+'LINEST VARS'!$P$60*(12.73)+'LINEST VARS'!$O$60*(8^2)+'LINEST VARS'!$N$60*(8^2)+'LINEST VARS'!$M$60*($BL$80^2)+'LINEST VARS'!$L$60*($AZ100^2)+'LINEST VARS'!$K$60*(12.73^2)+'LINEST VARS'!$J$60*(8*8)+'LINEST VARS'!$I$60*(8*$BL$80)+'LINEST VARS'!$H$60*(8*$AZ100)+'LINEST VARS'!$G$60*(8*12.73)+'LINEST VARS'!$F$60*(8*$BL$80)+'LINEST VARS'!$E$60*(8*$AZ100)+'LINEST VARS'!$D$60*(8*12.73)+'LINEST VARS'!$C$60*($BL$80*$AZ100)+'LINEST VARS'!$B$60*($BL$80*12.73)+'LINEST VARS'!$A$60*($AZ100*12.73)</f>
        <v>40.460000000000008</v>
      </c>
      <c r="BM100" s="46">
        <f>'LINEST VARS'!$U$60+'LINEST VARS'!$T$60*(8)+'LINEST VARS'!$S$60*(8)+'LINEST VARS'!$R$60*($BM$80)+'LINEST VARS'!$Q$60*($AZ100)+'LINEST VARS'!$P$60*(12.73)+'LINEST VARS'!$O$60*(8^2)+'LINEST VARS'!$N$60*(8^2)+'LINEST VARS'!$M$60*($BM$80^2)+'LINEST VARS'!$L$60*($AZ100^2)+'LINEST VARS'!$K$60*(12.73^2)+'LINEST VARS'!$J$60*(8*8)+'LINEST VARS'!$I$60*(8*$BM$80)+'LINEST VARS'!$H$60*(8*$AZ100)+'LINEST VARS'!$G$60*(8*12.73)+'LINEST VARS'!$F$60*(8*$BM$80)+'LINEST VARS'!$E$60*(8*$AZ100)+'LINEST VARS'!$D$60*(8*12.73)+'LINEST VARS'!$C$60*($BM$80*$AZ100)+'LINEST VARS'!$B$60*($BM$80*12.73)+'LINEST VARS'!$A$60*($AZ100*12.73)</f>
        <v>40.460000000000008</v>
      </c>
      <c r="BN100" s="46">
        <f>'LINEST VARS'!$U$60+'LINEST VARS'!$T$60*(8)+'LINEST VARS'!$S$60*(8)+'LINEST VARS'!$R$60*($BN$80)+'LINEST VARS'!$Q$60*($AZ100)+'LINEST VARS'!$P$60*(12.73)+'LINEST VARS'!$O$60*(8^2)+'LINEST VARS'!$N$60*(8^2)+'LINEST VARS'!$M$60*($BN$80^2)+'LINEST VARS'!$L$60*($AZ100^2)+'LINEST VARS'!$K$60*(12.73^2)+'LINEST VARS'!$J$60*(8*8)+'LINEST VARS'!$I$60*(8*$BN$80)+'LINEST VARS'!$H$60*(8*$AZ100)+'LINEST VARS'!$G$60*(8*12.73)+'LINEST VARS'!$F$60*(8*$BN$80)+'LINEST VARS'!$E$60*(8*$AZ100)+'LINEST VARS'!$D$60*(8*12.73)+'LINEST VARS'!$C$60*($BN$80*$AZ100)+'LINEST VARS'!$B$60*($BN$80*12.73)+'LINEST VARS'!$A$60*($AZ100*12.73)</f>
        <v>40.46</v>
      </c>
      <c r="BO100" s="46">
        <f>'LINEST VARS'!$U$60+'LINEST VARS'!$T$60*(8)+'LINEST VARS'!$S$60*(8)+'LINEST VARS'!$R$60*($BO$80)+'LINEST VARS'!$Q$60*($AZ100)+'LINEST VARS'!$P$60*(12.73)+'LINEST VARS'!$O$60*(8^2)+'LINEST VARS'!$N$60*(8^2)+'LINEST VARS'!$M$60*($BO$80^2)+'LINEST VARS'!$L$60*($AZ100^2)+'LINEST VARS'!$K$60*(12.73^2)+'LINEST VARS'!$J$60*(8*8)+'LINEST VARS'!$I$60*(8*$BO$80)+'LINEST VARS'!$H$60*(8*$AZ100)+'LINEST VARS'!$G$60*(8*12.73)+'LINEST VARS'!$F$60*(8*$BO$80)+'LINEST VARS'!$E$60*(8*$AZ100)+'LINEST VARS'!$D$60*(8*12.73)+'LINEST VARS'!$C$60*($BO$80*$AZ100)+'LINEST VARS'!$B$60*($BO$80*12.73)+'LINEST VARS'!$A$60*($AZ100*12.73)</f>
        <v>40.460000000000008</v>
      </c>
      <c r="BP100" s="46">
        <f>'LINEST VARS'!$U$60+'LINEST VARS'!$T$60*(8)+'LINEST VARS'!$S$60*(8)+'LINEST VARS'!$R$60*($BP$80)+'LINEST VARS'!$Q$60*($AZ100)+'LINEST VARS'!$P$60*(12.73)+'LINEST VARS'!$O$60*(8^2)+'LINEST VARS'!$N$60*(8^2)+'LINEST VARS'!$M$60*($BP$80^2)+'LINEST VARS'!$L$60*($AZ100^2)+'LINEST VARS'!$K$60*(12.73^2)+'LINEST VARS'!$J$60*(8*8)+'LINEST VARS'!$I$60*(8*$BP$80)+'LINEST VARS'!$H$60*(8*$AZ100)+'LINEST VARS'!$G$60*(8*12.73)+'LINEST VARS'!$F$60*(8*$BP$80)+'LINEST VARS'!$E$60*(8*$AZ100)+'LINEST VARS'!$D$60*(8*12.73)+'LINEST VARS'!$C$60*($BP$80*$AZ100)+'LINEST VARS'!$B$60*($BP$80*12.73)+'LINEST VARS'!$A$60*($AZ100*12.73)</f>
        <v>40.460000000000008</v>
      </c>
      <c r="BQ100" s="46">
        <f>'LINEST VARS'!$U$60+'LINEST VARS'!$T$60*(8)+'LINEST VARS'!$S$60*(8)+'LINEST VARS'!$R$60*($BQ$80)+'LINEST VARS'!$Q$60*($AZ100)+'LINEST VARS'!$P$60*(12.73)+'LINEST VARS'!$O$60*(8^2)+'LINEST VARS'!$N$60*(8^2)+'LINEST VARS'!$M$60*($BQ$80^2)+'LINEST VARS'!$L$60*($AZ100^2)+'LINEST VARS'!$K$60*(12.73^2)+'LINEST VARS'!$J$60*(8*8)+'LINEST VARS'!$I$60*(8*$BQ$80)+'LINEST VARS'!$H$60*(8*$AZ100)+'LINEST VARS'!$G$60*(8*12.73)+'LINEST VARS'!$F$60*(8*$BQ$80)+'LINEST VARS'!$E$60*(8*$AZ100)+'LINEST VARS'!$D$60*(8*12.73)+'LINEST VARS'!$C$60*($BQ$80*$AZ100)+'LINEST VARS'!$B$60*($BQ$80*12.73)+'LINEST VARS'!$A$60*($AZ100*12.73)</f>
        <v>40.460000000000015</v>
      </c>
      <c r="BR100" s="46">
        <f>'LINEST VARS'!$U$60+'LINEST VARS'!$T$60*(8)+'LINEST VARS'!$S$60*(8)+'LINEST VARS'!$R$60*($BR$80)+'LINEST VARS'!$Q$60*($AZ100)+'LINEST VARS'!$P$60*(12.73)+'LINEST VARS'!$O$60*(8^2)+'LINEST VARS'!$N$60*(8^2)+'LINEST VARS'!$M$60*($BR$80^2)+'LINEST VARS'!$L$60*($AZ100^2)+'LINEST VARS'!$K$60*(12.73^2)+'LINEST VARS'!$J$60*(8*8)+'LINEST VARS'!$I$60*(8*$BR$80)+'LINEST VARS'!$H$60*(8*$AZ100)+'LINEST VARS'!$G$60*(8*12.73)+'LINEST VARS'!$F$60*(8*$BR$80)+'LINEST VARS'!$E$60*(8*$AZ100)+'LINEST VARS'!$D$60*(8*12.73)+'LINEST VARS'!$C$60*($BR$80*$AZ100)+'LINEST VARS'!$B$60*($BR$80*12.73)+'LINEST VARS'!$A$60*($AZ100*12.73)</f>
        <v>40.460000000000015</v>
      </c>
      <c r="BS100" s="46">
        <f>'LINEST VARS'!$U$60+'LINEST VARS'!$T$60*(8)+'LINEST VARS'!$S$60*(8)+'LINEST VARS'!$R$60*($BS$80)+'LINEST VARS'!$Q$60*($AZ100)+'LINEST VARS'!$P$60*(12.73)+'LINEST VARS'!$O$60*(8^2)+'LINEST VARS'!$N$60*(8^2)+'LINEST VARS'!$M$60*($BS$80^2)+'LINEST VARS'!$L$60*($AZ100^2)+'LINEST VARS'!$K$60*(12.73^2)+'LINEST VARS'!$J$60*(8*8)+'LINEST VARS'!$I$60*(8*$BS$80)+'LINEST VARS'!$H$60*(8*$AZ100)+'LINEST VARS'!$G$60*(8*12.73)+'LINEST VARS'!$F$60*(8*$BS$80)+'LINEST VARS'!$E$60*(8*$AZ100)+'LINEST VARS'!$D$60*(8*12.73)+'LINEST VARS'!$C$60*($BS$80*$AZ100)+'LINEST VARS'!$B$60*($BS$80*12.73)+'LINEST VARS'!$A$60*($AZ100*12.73)</f>
        <v>40.46</v>
      </c>
      <c r="BT100" s="46">
        <f>'LINEST VARS'!$U$60+'LINEST VARS'!$T$60*(8)+'LINEST VARS'!$S$60*(8)+'LINEST VARS'!$R$60*($BT$80)+'LINEST VARS'!$Q$60*($AZ100)+'LINEST VARS'!$P$60*(12.73)+'LINEST VARS'!$O$60*(8^2)+'LINEST VARS'!$N$60*(8^2)+'LINEST VARS'!$M$60*($BT$80^2)+'LINEST VARS'!$L$60*($AZ100^2)+'LINEST VARS'!$K$60*(12.73^2)+'LINEST VARS'!$J$60*(8*8)+'LINEST VARS'!$I$60*(8*$BT$80)+'LINEST VARS'!$H$60*(8*$AZ100)+'LINEST VARS'!$G$60*(8*12.73)+'LINEST VARS'!$F$60*(8*$BT$80)+'LINEST VARS'!$E$60*(8*$AZ100)+'LINEST VARS'!$D$60*(8*12.73)+'LINEST VARS'!$C$60*($BT$80*$AZ100)+'LINEST VARS'!$B$60*($BT$80*12.73)+'LINEST VARS'!$A$60*($AZ100*12.73)</f>
        <v>40.46</v>
      </c>
      <c r="BU100" s="47">
        <f>'LINEST VARS'!$U$60+'LINEST VARS'!$T$60*(8)+'LINEST VARS'!$S$60*(8)+'LINEST VARS'!$R$60*($BU$80)+'LINEST VARS'!$Q$60*($AZ100)+'LINEST VARS'!$P$60*(12.73)+'LINEST VARS'!$O$60*(8^2)+'LINEST VARS'!$N$60*(8^2)+'LINEST VARS'!$M$60*($BU$80^2)+'LINEST VARS'!$L$60*($AZ100^2)+'LINEST VARS'!$K$60*(12.73^2)+'LINEST VARS'!$J$60*(8*8)+'LINEST VARS'!$I$60*(8*$BU$80)+'LINEST VARS'!$H$60*(8*$AZ100)+'LINEST VARS'!$G$60*(8*12.73)+'LINEST VARS'!$F$60*(8*$BU$80)+'LINEST VARS'!$E$60*(8*$AZ100)+'LINEST VARS'!$D$60*(8*12.73)+'LINEST VARS'!$C$60*($BU$80*$AZ100)+'LINEST VARS'!$B$60*($BU$80*12.73)+'LINEST VARS'!$A$60*($AZ100*12.73)</f>
        <v>40.46</v>
      </c>
      <c r="BX100" s="45">
        <v>0.95</v>
      </c>
      <c r="BY100" s="55">
        <f>'LINEST VARS'!$U$62+'LINEST VARS'!$T$62*(8)+'LINEST VARS'!$S$62*(8)+'LINEST VARS'!$R$62*($BY$80)+'LINEST VARS'!$Q$62*($BX100)+'LINEST VARS'!$P$62*(12.73)+'LINEST VARS'!$O$62*(8^2)+'LINEST VARS'!$N$62*(8^2)+'LINEST VARS'!$M$62*($BY$80^2)+'LINEST VARS'!$L$62*($BX100^2)+'LINEST VARS'!$K$62*(12.73^2)+'LINEST VARS'!$J$62*(8*8)+'LINEST VARS'!$I$62*(8*$BY$80)+'LINEST VARS'!$H$62*(8*$BX100)+'LINEST VARS'!$G$62*(8*12.73)+'LINEST VARS'!$F$62*(8*$BY$80)+'LINEST VARS'!$E$62*(8*$BX100)+'LINEST VARS'!$D$62*(8*12.73)+'LINEST VARS'!$C$62*($BY$80*$BX100)+'LINEST VARS'!$B$62*($BY$80*12.73)+'LINEST VARS'!$A$62*($BX100*12.73)</f>
        <v>348.19499999999982</v>
      </c>
      <c r="BZ100" s="55">
        <f>'LINEST VARS'!$U$62+'LINEST VARS'!$T$62*(8)+'LINEST VARS'!$S$62*(8)+'LINEST VARS'!$R$62*($BZ$80)+'LINEST VARS'!$Q$62*($BX100)+'LINEST VARS'!$P$62*(12.73)+'LINEST VARS'!$O$62*(8^2)+'LINEST VARS'!$N$62*(8^2)+'LINEST VARS'!$M$62*($BZ$80^2)+'LINEST VARS'!$L$62*($BX100^2)+'LINEST VARS'!$K$62*(12.73^2)+'LINEST VARS'!$J$62*(8*8)+'LINEST VARS'!$I$62*(8*$BZ$80)+'LINEST VARS'!$H$62*(8*$BX100)+'LINEST VARS'!$G$62*(8*12.73)+'LINEST VARS'!$F$62*(8*$BZ$80)+'LINEST VARS'!$E$62*(8*$BX100)+'LINEST VARS'!$D$62*(8*12.73)+'LINEST VARS'!$C$62*($BZ$80*$BX100)+'LINEST VARS'!$B$62*($BZ$80*12.73)+'LINEST VARS'!$A$62*($BX100*12.73)</f>
        <v>347.39499999999987</v>
      </c>
      <c r="CA100" s="55">
        <f>'LINEST VARS'!$U$62+'LINEST VARS'!$T$62*(8)+'LINEST VARS'!$S$62*(8)+'LINEST VARS'!$R$62*($CA$80)+'LINEST VARS'!$Q$62*($BX100)+'LINEST VARS'!$P$62*(12.73)+'LINEST VARS'!$O$62*(8^2)+'LINEST VARS'!$N$62*(8^2)+'LINEST VARS'!$M$62*($CA$80^2)+'LINEST VARS'!$L$62*($BX100^2)+'LINEST VARS'!$K$62*(12.73^2)+'LINEST VARS'!$J$62*(8*8)+'LINEST VARS'!$I$62*(8*$CA$80)+'LINEST VARS'!$H$62*(8*$BX100)+'LINEST VARS'!$G$62*(8*12.73)+'LINEST VARS'!$F$62*(8*$CA$80)+'LINEST VARS'!$E$62*(8*$BX100)+'LINEST VARS'!$D$62*(8*12.73)+'LINEST VARS'!$C$62*($CA$80*$BX100)+'LINEST VARS'!$B$62*($CA$80*12.73)+'LINEST VARS'!$A$62*($BX100*12.73)</f>
        <v>344.99499999999978</v>
      </c>
      <c r="CB100" s="55">
        <f>'LINEST VARS'!$U$62+'LINEST VARS'!$T$62*(8)+'LINEST VARS'!$S$62*(8)+'LINEST VARS'!$R$62*($CB$80)+'LINEST VARS'!$Q$62*($BX100)+'LINEST VARS'!$P$62*(12.73)+'LINEST VARS'!$O$62*(8^2)+'LINEST VARS'!$N$62*(8^2)+'LINEST VARS'!$M$62*($CB$80^2)+'LINEST VARS'!$L$62*($BX100^2)+'LINEST VARS'!$K$62*(12.73^2)+'LINEST VARS'!$J$62*(8*8)+'LINEST VARS'!$I$62*(8*$CB$80)+'LINEST VARS'!$H$62*(8*$BX100)+'LINEST VARS'!$G$62*(8*12.73)+'LINEST VARS'!$F$62*(8*$CB$80)+'LINEST VARS'!$E$62*(8*$BX100)+'LINEST VARS'!$D$62*(8*12.73)+'LINEST VARS'!$C$62*($CB$80*$BX100)+'LINEST VARS'!$B$62*($CB$80*12.73)+'LINEST VARS'!$A$62*($BX100*12.73)</f>
        <v>340.99499999999983</v>
      </c>
      <c r="CC100" s="55">
        <f>'LINEST VARS'!$U$62+'LINEST VARS'!$T$62*(8)+'LINEST VARS'!$S$62*(8)+'LINEST VARS'!$R$62*($CC$80)+'LINEST VARS'!$Q$62*($BX100)+'LINEST VARS'!$P$62*(12.73)+'LINEST VARS'!$O$62*(8^2)+'LINEST VARS'!$N$62*(8^2)+'LINEST VARS'!$M$62*($CC$80^2)+'LINEST VARS'!$L$62*($BX100^2)+'LINEST VARS'!$K$62*(12.73^2)+'LINEST VARS'!$J$62*(8*8)+'LINEST VARS'!$I$62*(8*$CC$80)+'LINEST VARS'!$H$62*(8*$BX100)+'LINEST VARS'!$G$62*(8*12.73)+'LINEST VARS'!$F$62*(8*$CC$80)+'LINEST VARS'!$E$62*(8*$BX100)+'LINEST VARS'!$D$62*(8*12.73)+'LINEST VARS'!$C$62*($CC$80*$BX100)+'LINEST VARS'!$B$62*($CC$80*12.73)+'LINEST VARS'!$A$62*($BX100*12.73)</f>
        <v>335.39499999999987</v>
      </c>
      <c r="CD100" s="55">
        <f>'LINEST VARS'!$U$62+'LINEST VARS'!$T$62*(8)+'LINEST VARS'!$S$62*(8)+'LINEST VARS'!$R$62*($CD$80)+'LINEST VARS'!$Q$62*($BX100)+'LINEST VARS'!$P$62*(12.73)+'LINEST VARS'!$O$62*(8^2)+'LINEST VARS'!$N$62*(8^2)+'LINEST VARS'!$M$62*($CD$80^2)+'LINEST VARS'!$L$62*($BX100^2)+'LINEST VARS'!$K$62*(12.73^2)+'LINEST VARS'!$J$62*(8*8)+'LINEST VARS'!$I$62*(8*$CD$80)+'LINEST VARS'!$H$62*(8*$BX100)+'LINEST VARS'!$G$62*(8*12.73)+'LINEST VARS'!$F$62*(8*$CD$80)+'LINEST VARS'!$E$62*(8*$BX100)+'LINEST VARS'!$D$62*(8*12.73)+'LINEST VARS'!$C$62*($CD$80*$BX100)+'LINEST VARS'!$B$62*($CD$80*12.73)+'LINEST VARS'!$A$62*($BX100*12.73)</f>
        <v>328.19499999999994</v>
      </c>
      <c r="CE100" s="55">
        <f>'LINEST VARS'!$U$62+'LINEST VARS'!$T$62*(8)+'LINEST VARS'!$S$62*(8)+'LINEST VARS'!$R$62*($CE$80)+'LINEST VARS'!$Q$62*($BX100)+'LINEST VARS'!$P$62*(12.73)+'LINEST VARS'!$O$62*(8^2)+'LINEST VARS'!$N$62*(8^2)+'LINEST VARS'!$M$62*($CE$80^2)+'LINEST VARS'!$L$62*($BX100^2)+'LINEST VARS'!$K$62*(12.73^2)+'LINEST VARS'!$J$62*(8*8)+'LINEST VARS'!$I$62*(8*$CE$80)+'LINEST VARS'!$H$62*(8*$BX100)+'LINEST VARS'!$G$62*(8*12.73)+'LINEST VARS'!$F$62*(8*$CE$80)+'LINEST VARS'!$E$62*(8*$BX100)+'LINEST VARS'!$D$62*(8*12.73)+'LINEST VARS'!$C$62*($CE$80*$BX100)+'LINEST VARS'!$B$62*($CE$80*12.73)+'LINEST VARS'!$A$62*($BX100*12.73)</f>
        <v>319.39499999999987</v>
      </c>
      <c r="CF100" s="55">
        <f>'LINEST VARS'!$U$62+'LINEST VARS'!$T$62*(8)+'LINEST VARS'!$S$62*(8)+'LINEST VARS'!$R$62*($CF$80)+'LINEST VARS'!$Q$62*($BX100)+'LINEST VARS'!$P$62*(12.73)+'LINEST VARS'!$O$62*(8^2)+'LINEST VARS'!$N$62*(8^2)+'LINEST VARS'!$M$62*($CF$80^2)+'LINEST VARS'!$L$62*($BX100^2)+'LINEST VARS'!$K$62*(12.73^2)+'LINEST VARS'!$J$62*(8*8)+'LINEST VARS'!$I$62*(8*$CF$80)+'LINEST VARS'!$H$62*(8*$BX100)+'LINEST VARS'!$G$62*(8*12.73)+'LINEST VARS'!$F$62*(8*$CF$80)+'LINEST VARS'!$E$62*(8*$BX100)+'LINEST VARS'!$D$62*(8*12.73)+'LINEST VARS'!$C$62*($CF$80*$BX100)+'LINEST VARS'!$B$62*($CF$80*12.73)+'LINEST VARS'!$A$62*($BX100*12.73)</f>
        <v>308.99499999999989</v>
      </c>
      <c r="CG100" s="55">
        <f>'LINEST VARS'!$U$62+'LINEST VARS'!$T$62*(8)+'LINEST VARS'!$S$62*(8)+'LINEST VARS'!$R$62*($CG$80)+'LINEST VARS'!$Q$62*($BX100)+'LINEST VARS'!$P$62*(12.73)+'LINEST VARS'!$O$62*(8^2)+'LINEST VARS'!$N$62*(8^2)+'LINEST VARS'!$M$62*($CG$80^2)+'LINEST VARS'!$L$62*($BX100^2)+'LINEST VARS'!$K$62*(12.73^2)+'LINEST VARS'!$J$62*(8*8)+'LINEST VARS'!$I$62*(8*$CG$80)+'LINEST VARS'!$H$62*(8*$BX100)+'LINEST VARS'!$G$62*(8*12.73)+'LINEST VARS'!$F$62*(8*$CG$80)+'LINEST VARS'!$E$62*(8*$BX100)+'LINEST VARS'!$D$62*(8*12.73)+'LINEST VARS'!$C$62*($CG$80*$BX100)+'LINEST VARS'!$B$62*($CG$80*12.73)+'LINEST VARS'!$A$62*($BX100*12.73)</f>
        <v>296.99499999999989</v>
      </c>
      <c r="CH100" s="55">
        <f>'LINEST VARS'!$U$62+'LINEST VARS'!$T$62*(8)+'LINEST VARS'!$S$62*(8)+'LINEST VARS'!$R$62*($CH$80)+'LINEST VARS'!$Q$62*($BX100)+'LINEST VARS'!$P$62*(12.73)+'LINEST VARS'!$O$62*(8^2)+'LINEST VARS'!$N$62*(8^2)+'LINEST VARS'!$M$62*($CH$80^2)+'LINEST VARS'!$L$62*($BX100^2)+'LINEST VARS'!$K$62*(12.73^2)+'LINEST VARS'!$J$62*(8*8)+'LINEST VARS'!$I$62*(8*$CH$80)+'LINEST VARS'!$H$62*(8*$BX100)+'LINEST VARS'!$G$62*(8*12.73)+'LINEST VARS'!$F$62*(8*$CH$80)+'LINEST VARS'!$E$62*(8*$BX100)+'LINEST VARS'!$D$62*(8*12.73)+'LINEST VARS'!$C$62*($CH$80*$BX100)+'LINEST VARS'!$B$62*($CH$80*12.73)+'LINEST VARS'!$A$62*($BX100*12.73)</f>
        <v>283.39499999999987</v>
      </c>
      <c r="CI100" s="55">
        <f>'LINEST VARS'!$U$62+'LINEST VARS'!$T$62*(8)+'LINEST VARS'!$S$62*(8)+'LINEST VARS'!$R$62*($CI$80)+'LINEST VARS'!$Q$62*($BX100)+'LINEST VARS'!$P$62*(12.73)+'LINEST VARS'!$O$62*(8^2)+'LINEST VARS'!$N$62*(8^2)+'LINEST VARS'!$M$62*($CI$80^2)+'LINEST VARS'!$L$62*($BX100^2)+'LINEST VARS'!$K$62*(12.73^2)+'LINEST VARS'!$J$62*(8*8)+'LINEST VARS'!$I$62*(8*$CI$80)+'LINEST VARS'!$H$62*(8*$BX100)+'LINEST VARS'!$G$62*(8*12.73)+'LINEST VARS'!$F$62*(8*$CI$80)+'LINEST VARS'!$E$62*(8*$BX100)+'LINEST VARS'!$D$62*(8*12.73)+'LINEST VARS'!$C$62*($CI$80*$BX100)+'LINEST VARS'!$B$62*($CI$80*12.73)+'LINEST VARS'!$A$62*($BX100*12.73)</f>
        <v>268.19499999999988</v>
      </c>
      <c r="CJ100" s="55">
        <f>'LINEST VARS'!$U$62+'LINEST VARS'!$T$62*(8)+'LINEST VARS'!$S$62*(8)+'LINEST VARS'!$R$62*($CJ$80)+'LINEST VARS'!$Q$62*($BX100)+'LINEST VARS'!$P$62*(12.73)+'LINEST VARS'!$O$62*(8^2)+'LINEST VARS'!$N$62*(8^2)+'LINEST VARS'!$M$62*($CJ$80^2)+'LINEST VARS'!$L$62*($BX100^2)+'LINEST VARS'!$K$62*(12.73^2)+'LINEST VARS'!$J$62*(8*8)+'LINEST VARS'!$I$62*(8*$CJ$80)+'LINEST VARS'!$H$62*(8*$BX100)+'LINEST VARS'!$G$62*(8*12.73)+'LINEST VARS'!$F$62*(8*$CJ$80)+'LINEST VARS'!$E$62*(8*$BX100)+'LINEST VARS'!$D$62*(8*12.73)+'LINEST VARS'!$C$62*($CJ$80*$BX100)+'LINEST VARS'!$B$62*($CJ$80*12.73)+'LINEST VARS'!$A$62*($BX100*12.73)</f>
        <v>251.39500000000001</v>
      </c>
      <c r="CK100" s="55">
        <f>'LINEST VARS'!$U$62+'LINEST VARS'!$T$62*(8)+'LINEST VARS'!$S$62*(8)+'LINEST VARS'!$R$62*($CK$80)+'LINEST VARS'!$Q$62*($BX100)+'LINEST VARS'!$P$62*(12.73)+'LINEST VARS'!$O$62*(8^2)+'LINEST VARS'!$N$62*(8^2)+'LINEST VARS'!$M$62*($CK$80^2)+'LINEST VARS'!$L$62*($BX100^2)+'LINEST VARS'!$K$62*(12.73^2)+'LINEST VARS'!$J$62*(8*8)+'LINEST VARS'!$I$62*(8*$CK$80)+'LINEST VARS'!$H$62*(8*$BX100)+'LINEST VARS'!$G$62*(8*12.73)+'LINEST VARS'!$F$62*(8*$CK$80)+'LINEST VARS'!$E$62*(8*$BX100)+'LINEST VARS'!$D$62*(8*12.73)+'LINEST VARS'!$C$62*($CK$80*$BX100)+'LINEST VARS'!$B$62*($CK$80*12.73)+'LINEST VARS'!$A$62*($BX100*12.73)</f>
        <v>232.99500000000006</v>
      </c>
      <c r="CL100" s="55">
        <f>'LINEST VARS'!$U$62+'LINEST VARS'!$T$62*(8)+'LINEST VARS'!$S$62*(8)+'LINEST VARS'!$R$62*($CL$80)+'LINEST VARS'!$Q$62*($BX100)+'LINEST VARS'!$P$62*(12.73)+'LINEST VARS'!$O$62*(8^2)+'LINEST VARS'!$N$62*(8^2)+'LINEST VARS'!$M$62*($CL$80^2)+'LINEST VARS'!$L$62*($BX100^2)+'LINEST VARS'!$K$62*(12.73^2)+'LINEST VARS'!$J$62*(8*8)+'LINEST VARS'!$I$62*(8*$CL$80)+'LINEST VARS'!$H$62*(8*$BX100)+'LINEST VARS'!$G$62*(8*12.73)+'LINEST VARS'!$F$62*(8*$CL$80)+'LINEST VARS'!$E$62*(8*$BX100)+'LINEST VARS'!$D$62*(8*12.73)+'LINEST VARS'!$C$62*($CL$80*$BX100)+'LINEST VARS'!$B$62*($CL$80*12.73)+'LINEST VARS'!$A$62*($BX100*12.73)</f>
        <v>212.995</v>
      </c>
      <c r="CM100" s="55">
        <f>'LINEST VARS'!$U$62+'LINEST VARS'!$T$62*(8)+'LINEST VARS'!$S$62*(8)+'LINEST VARS'!$R$62*($CM$80)+'LINEST VARS'!$Q$62*($BX100)+'LINEST VARS'!$P$62*(12.73)+'LINEST VARS'!$O$62*(8^2)+'LINEST VARS'!$N$62*(8^2)+'LINEST VARS'!$M$62*($CM$80^2)+'LINEST VARS'!$L$62*($BX100^2)+'LINEST VARS'!$K$62*(12.73^2)+'LINEST VARS'!$J$62*(8*8)+'LINEST VARS'!$I$62*(8*$CM$80)+'LINEST VARS'!$H$62*(8*$BX100)+'LINEST VARS'!$G$62*(8*12.73)+'LINEST VARS'!$F$62*(8*$CM$80)+'LINEST VARS'!$E$62*(8*$BX100)+'LINEST VARS'!$D$62*(8*12.73)+'LINEST VARS'!$C$62*($CM$80*$BX100)+'LINEST VARS'!$B$62*($CM$80*12.73)+'LINEST VARS'!$A$62*($BX100*12.73)</f>
        <v>191.3950000000001</v>
      </c>
      <c r="CN100" s="55">
        <f>'LINEST VARS'!$U$62+'LINEST VARS'!$T$62*(8)+'LINEST VARS'!$S$62*(8)+'LINEST VARS'!$R$62*($CN$80)+'LINEST VARS'!$Q$62*($BX100)+'LINEST VARS'!$P$62*(12.73)+'LINEST VARS'!$O$62*(8^2)+'LINEST VARS'!$N$62*(8^2)+'LINEST VARS'!$M$62*($CN$80^2)+'LINEST VARS'!$L$62*($BX100^2)+'LINEST VARS'!$K$62*(12.73^2)+'LINEST VARS'!$J$62*(8*8)+'LINEST VARS'!$I$62*(8*$CN$80)+'LINEST VARS'!$H$62*(8*$BX100)+'LINEST VARS'!$G$62*(8*12.73)+'LINEST VARS'!$F$62*(8*$CN$80)+'LINEST VARS'!$E$62*(8*$BX100)+'LINEST VARS'!$D$62*(8*12.73)+'LINEST VARS'!$C$62*($CN$80*$BX100)+'LINEST VARS'!$B$62*($CN$80*12.73)+'LINEST VARS'!$A$62*($BX100*12.73)</f>
        <v>168.19500000000008</v>
      </c>
      <c r="CO100" s="55">
        <f>'LINEST VARS'!$U$62+'LINEST VARS'!$T$62*(8)+'LINEST VARS'!$S$62*(8)+'LINEST VARS'!$R$62*($CO$80)+'LINEST VARS'!$Q$62*($BX100)+'LINEST VARS'!$P$62*(12.73)+'LINEST VARS'!$O$62*(8^2)+'LINEST VARS'!$N$62*(8^2)+'LINEST VARS'!$M$62*($CO$80^2)+'LINEST VARS'!$L$62*($BX100^2)+'LINEST VARS'!$K$62*(12.73^2)+'LINEST VARS'!$J$62*(8*8)+'LINEST VARS'!$I$62*(8*$CO$80)+'LINEST VARS'!$H$62*(8*$BX100)+'LINEST VARS'!$G$62*(8*12.73)+'LINEST VARS'!$F$62*(8*$CO$80)+'LINEST VARS'!$E$62*(8*$BX100)+'LINEST VARS'!$D$62*(8*12.73)+'LINEST VARS'!$C$62*($CO$80*$BX100)+'LINEST VARS'!$B$62*($CO$80*12.73)+'LINEST VARS'!$A$62*($BX100*12.73)</f>
        <v>143.3950000000001</v>
      </c>
      <c r="CP100" s="55">
        <f>'LINEST VARS'!$U$62+'LINEST VARS'!$T$62*(8)+'LINEST VARS'!$S$62*(8)+'LINEST VARS'!$R$62*($CP$80)+'LINEST VARS'!$Q$62*($BX100)+'LINEST VARS'!$P$62*(12.73)+'LINEST VARS'!$O$62*(8^2)+'LINEST VARS'!$N$62*(8^2)+'LINEST VARS'!$M$62*($CP$80^2)+'LINEST VARS'!$L$62*($BX100^2)+'LINEST VARS'!$K$62*(12.73^2)+'LINEST VARS'!$J$62*(8*8)+'LINEST VARS'!$I$62*(8*$CP$80)+'LINEST VARS'!$H$62*(8*$BX100)+'LINEST VARS'!$G$62*(8*12.73)+'LINEST VARS'!$F$62*(8*$CP$80)+'LINEST VARS'!$E$62*(8*$BX100)+'LINEST VARS'!$D$62*(8*12.73)+'LINEST VARS'!$C$62*($CP$80*$BX100)+'LINEST VARS'!$B$62*($CP$80*12.73)+'LINEST VARS'!$A$62*($BX100*12.73)</f>
        <v>116.99500000000009</v>
      </c>
      <c r="CQ100" s="55">
        <f>'LINEST VARS'!$U$62+'LINEST VARS'!$T$62*(8)+'LINEST VARS'!$S$62*(8)+'LINEST VARS'!$R$62*($CQ$80)+'LINEST VARS'!$Q$62*($BX100)+'LINEST VARS'!$P$62*(12.73)+'LINEST VARS'!$O$62*(8^2)+'LINEST VARS'!$N$62*(8^2)+'LINEST VARS'!$M$62*($CQ$80^2)+'LINEST VARS'!$L$62*($BX100^2)+'LINEST VARS'!$K$62*(12.73^2)+'LINEST VARS'!$J$62*(8*8)+'LINEST VARS'!$I$62*(8*$CQ$80)+'LINEST VARS'!$H$62*(8*$BX100)+'LINEST VARS'!$G$62*(8*12.73)+'LINEST VARS'!$F$62*(8*$CQ$80)+'LINEST VARS'!$E$62*(8*$BX100)+'LINEST VARS'!$D$62*(8*12.73)+'LINEST VARS'!$C$62*($CQ$80*$BX100)+'LINEST VARS'!$B$62*($CQ$80*12.73)+'LINEST VARS'!$A$62*($BX100*12.73)</f>
        <v>88.99500000000009</v>
      </c>
      <c r="CR100" s="55">
        <f>'LINEST VARS'!$U$62+'LINEST VARS'!$T$62*(8)+'LINEST VARS'!$S$62*(8)+'LINEST VARS'!$R$62*($CR$80)+'LINEST VARS'!$Q$62*($BX100)+'LINEST VARS'!$P$62*(12.73)+'LINEST VARS'!$O$62*(8^2)+'LINEST VARS'!$N$62*(8^2)+'LINEST VARS'!$M$62*($CR$80^2)+'LINEST VARS'!$L$62*($BX100^2)+'LINEST VARS'!$K$62*(12.73^2)+'LINEST VARS'!$J$62*(8*8)+'LINEST VARS'!$I$62*(8*$CR$80)+'LINEST VARS'!$H$62*(8*$BX100)+'LINEST VARS'!$G$62*(8*12.73)+'LINEST VARS'!$F$62*(8*$CR$80)+'LINEST VARS'!$E$62*(8*$BX100)+'LINEST VARS'!$D$62*(8*12.73)+'LINEST VARS'!$C$62*($CR$80*$BX100)+'LINEST VARS'!$B$62*($CR$80*12.73)+'LINEST VARS'!$A$62*($BX100*12.73)</f>
        <v>59.395000000000124</v>
      </c>
      <c r="CS100" s="56">
        <f>'LINEST VARS'!$U$62+'LINEST VARS'!$T$62*(8)+'LINEST VARS'!$S$62*(8)+'LINEST VARS'!$R$62*($CS$80)+'LINEST VARS'!$Q$62*($BX100)+'LINEST VARS'!$P$62*(12.73)+'LINEST VARS'!$O$62*(8^2)+'LINEST VARS'!$N$62*(8^2)+'LINEST VARS'!$M$62*($CS$80^2)+'LINEST VARS'!$L$62*($BX100^2)+'LINEST VARS'!$K$62*(12.73^2)+'LINEST VARS'!$J$62*(8*8)+'LINEST VARS'!$I$62*(8*$CS$80)+'LINEST VARS'!$H$62*(8*$BX100)+'LINEST VARS'!$G$62*(8*12.73)+'LINEST VARS'!$F$62*(8*$CS$80)+'LINEST VARS'!$E$62*(8*$BX100)+'LINEST VARS'!$D$62*(8*12.73)+'LINEST VARS'!$C$62*($CS$80*$BX100)+'LINEST VARS'!$B$62*($CS$80*12.73)+'LINEST VARS'!$A$62*($BX100*12.73)</f>
        <v>28.195000000000164</v>
      </c>
      <c r="CX100" s="45">
        <v>24.6905</v>
      </c>
      <c r="CY100" s="46">
        <f>'LINEST VARS'!$U$60+'LINEST VARS'!$T$60*(8)+'LINEST VARS'!$S$60*(8)+'LINEST VARS'!$R$60*($CY$80)+'LINEST VARS'!$Q$60*(0.5)+'LINEST VARS'!$P$60*($CX100)+'LINEST VARS'!$O$60*(8^2)+'LINEST VARS'!$N$60*(8^2)+'LINEST VARS'!$M$60*($CY$80^2)+'LINEST VARS'!$L$60*(0.5^2)+'LINEST VARS'!$K$60*($CX100^2)+'LINEST VARS'!$J$60*(8*8)+'LINEST VARS'!$I$60*(8*$CY$80)+'LINEST VARS'!$H$60*(8*0.5)+'LINEST VARS'!$G$60*(8*$CX100)+'LINEST VARS'!$F$60*(8*$CY$80)+'LINEST VARS'!$E$60*(8*0.5)+'LINEST VARS'!$D$60*(8*$CX100)+'LINEST VARS'!$C$60*($CY$80*0.5)+'LINEST VARS'!$B$60*($CY$80*$CX100)+'LINEST VARS'!$A$60*(0.5*$CX100)</f>
        <v>64.381000000000014</v>
      </c>
      <c r="CZ100" s="46">
        <f>'LINEST VARS'!$U$60+'LINEST VARS'!$T$60*(8)+'LINEST VARS'!$S$60*(8)+'LINEST VARS'!$R$60*($CZ$80)+'LINEST VARS'!$Q$60*(0.5)+'LINEST VARS'!$P$60*($CX100)+'LINEST VARS'!$O$60*(8^2)+'LINEST VARS'!$N$60*(8^2)+'LINEST VARS'!$M$60*($CZ$80^2)+'LINEST VARS'!$L$60*(0.5^2)+'LINEST VARS'!$K$60*($CX100^2)+'LINEST VARS'!$J$60*(8*8)+'LINEST VARS'!$I$60*(8*$CZ$80)+'LINEST VARS'!$H$60*(8*0.5)+'LINEST VARS'!$G$60*(8*$CX100)+'LINEST VARS'!$F$60*(8*$CZ$80)+'LINEST VARS'!$E$60*(8*0.5)+'LINEST VARS'!$D$60*(8*$CX100)+'LINEST VARS'!$C$60*($CZ$80*0.5)+'LINEST VARS'!$B$60*($CZ$80*$CX100)+'LINEST VARS'!$A$60*(0.5*$CX100)</f>
        <v>64.381000000000014</v>
      </c>
      <c r="DA100" s="46">
        <f>'LINEST VARS'!$U$60+'LINEST VARS'!$T$60*(8)+'LINEST VARS'!$S$60*(8)+'LINEST VARS'!$R$60*($DA$80)+'LINEST VARS'!$Q$60*(0.5)+'LINEST VARS'!$P$60*($CX100)+'LINEST VARS'!$O$60*(8^2)+'LINEST VARS'!$N$60*(8^2)+'LINEST VARS'!$M$60*($DA$80^2)+'LINEST VARS'!$L$60*(0.5^2)+'LINEST VARS'!$K$60*($CX100^2)+'LINEST VARS'!$J$60*(8*8)+'LINEST VARS'!$I$60*(8*$DA$80)+'LINEST VARS'!$H$60*(8*0.5)+'LINEST VARS'!$G$60*(8*$CX100)+'LINEST VARS'!$F$60*(8*$DA$80)+'LINEST VARS'!$E$60*(8*0.5)+'LINEST VARS'!$D$60*(8*$CX100)+'LINEST VARS'!$C$60*($DA$80*0.5)+'LINEST VARS'!$B$60*($DA$80*$CX100)+'LINEST VARS'!$A$60*(0.5*$CX100)</f>
        <v>64.381000000000014</v>
      </c>
      <c r="DB100" s="46">
        <f>'LINEST VARS'!$U$60+'LINEST VARS'!$T$60*(8)+'LINEST VARS'!$S$60*(8)+'LINEST VARS'!$R$60*($DB$80)+'LINEST VARS'!$Q$60*(0.5)+'LINEST VARS'!$P$60*($CX100)+'LINEST VARS'!$O$60*(8^2)+'LINEST VARS'!$N$60*(8^2)+'LINEST VARS'!$M$60*($DB$80^2)+'LINEST VARS'!$L$60*(0.5^2)+'LINEST VARS'!$K$60*($CX100^2)+'LINEST VARS'!$J$60*(8*8)+'LINEST VARS'!$I$60*(8*$DB$80)+'LINEST VARS'!$H$60*(8*0.5)+'LINEST VARS'!$G$60*(8*$CX100)+'LINEST VARS'!$F$60*(8*$DB$80)+'LINEST VARS'!$E$60*(8*0.5)+'LINEST VARS'!$D$60*(8*$CX100)+'LINEST VARS'!$C$60*($DB$80*0.5)+'LINEST VARS'!$B$60*($DB$80*$CX100)+'LINEST VARS'!$A$60*(0.5*$CX100)</f>
        <v>64.381000000000029</v>
      </c>
      <c r="DC100" s="46">
        <f>'LINEST VARS'!$U$60+'LINEST VARS'!$T$60*(8)+'LINEST VARS'!$S$60*(8)+'LINEST VARS'!$R$60*($DC$80)+'LINEST VARS'!$Q$60*(0.5)+'LINEST VARS'!$P$60*($CX100)+'LINEST VARS'!$O$60*(8^2)+'LINEST VARS'!$N$60*(8^2)+'LINEST VARS'!$M$60*($DC$80^2)+'LINEST VARS'!$L$60*(0.5^2)+'LINEST VARS'!$K$60*($CX100^2)+'LINEST VARS'!$J$60*(8*8)+'LINEST VARS'!$I$60*(8*$DC$80)+'LINEST VARS'!$H$60*(8*0.5)+'LINEST VARS'!$G$60*(8*$CX100)+'LINEST VARS'!$F$60*(8*$DC$80)+'LINEST VARS'!$E$60*(8*0.5)+'LINEST VARS'!$D$60*(8*$CX100)+'LINEST VARS'!$C$60*($DC$80*0.5)+'LINEST VARS'!$B$60*($DC$80*$CX100)+'LINEST VARS'!$A$60*(0.5*$CX100)</f>
        <v>64.381000000000029</v>
      </c>
      <c r="DD100" s="46">
        <f>'LINEST VARS'!$U$60+'LINEST VARS'!$T$60*(8)+'LINEST VARS'!$S$60*(8)+'LINEST VARS'!$R$60*($DD$80)+'LINEST VARS'!$Q$60*(0.5)+'LINEST VARS'!$P$60*($CX100)+'LINEST VARS'!$O$60*(8^2)+'LINEST VARS'!$N$60*(8^2)+'LINEST VARS'!$M$60*($DD$80^2)+'LINEST VARS'!$L$60*(0.5^2)+'LINEST VARS'!$K$60*($CX100^2)+'LINEST VARS'!$J$60*(8*8)+'LINEST VARS'!$I$60*(8*$DD$80)+'LINEST VARS'!$H$60*(8*0.5)+'LINEST VARS'!$G$60*(8*$CX100)+'LINEST VARS'!$F$60*(8*$DD$80)+'LINEST VARS'!$E$60*(8*0.5)+'LINEST VARS'!$D$60*(8*$CX100)+'LINEST VARS'!$C$60*($DD$80*0.5)+'LINEST VARS'!$B$60*($DD$80*$CX100)+'LINEST VARS'!$A$60*(0.5*$CX100)</f>
        <v>64.381000000000029</v>
      </c>
      <c r="DE100" s="46">
        <f>'LINEST VARS'!$U$60+'LINEST VARS'!$T$60*(8)+'LINEST VARS'!$S$60*(8)+'LINEST VARS'!$R$60*($DE$80)+'LINEST VARS'!$Q$60*(0.5)+'LINEST VARS'!$P$60*($CX100)+'LINEST VARS'!$O$60*(8^2)+'LINEST VARS'!$N$60*(8^2)+'LINEST VARS'!$M$60*($DE$80^2)+'LINEST VARS'!$L$60*(0.5^2)+'LINEST VARS'!$K$60*($CX100^2)+'LINEST VARS'!$J$60*(8*8)+'LINEST VARS'!$I$60*(8*$DE$80)+'LINEST VARS'!$H$60*(8*0.5)+'LINEST VARS'!$G$60*(8*$CX100)+'LINEST VARS'!$F$60*(8*$DE$80)+'LINEST VARS'!$E$60*(8*0.5)+'LINEST VARS'!$D$60*(8*$CX100)+'LINEST VARS'!$C$60*($DE$80*0.5)+'LINEST VARS'!$B$60*($DE$80*$CX100)+'LINEST VARS'!$A$60*(0.5*$CX100)</f>
        <v>64.381000000000029</v>
      </c>
      <c r="DF100" s="46">
        <f>'LINEST VARS'!$U$60+'LINEST VARS'!$T$60*(8)+'LINEST VARS'!$S$60*(8)+'LINEST VARS'!$R$60*($DF$80)+'LINEST VARS'!$Q$60*(0.5)+'LINEST VARS'!$P$60*($CX100)+'LINEST VARS'!$O$60*(8^2)+'LINEST VARS'!$N$60*(8^2)+'LINEST VARS'!$M$60*($DF$80^2)+'LINEST VARS'!$L$60*(0.5^2)+'LINEST VARS'!$K$60*($CX100^2)+'LINEST VARS'!$J$60*(8*8)+'LINEST VARS'!$I$60*(8*$DF$80)+'LINEST VARS'!$H$60*(8*0.5)+'LINEST VARS'!$G$60*(8*$CX100)+'LINEST VARS'!$F$60*(8*$DF$80)+'LINEST VARS'!$E$60*(8*0.5)+'LINEST VARS'!$D$60*(8*$CX100)+'LINEST VARS'!$C$60*($DF$80*0.5)+'LINEST VARS'!$B$60*($DF$80*$CX100)+'LINEST VARS'!$A$60*(0.5*$CX100)</f>
        <v>64.381000000000029</v>
      </c>
      <c r="DG100" s="46">
        <f>'LINEST VARS'!$U$60+'LINEST VARS'!$T$60*(8)+'LINEST VARS'!$S$60*(8)+'LINEST VARS'!$R$60*($DG$80)+'LINEST VARS'!$Q$60*(0.5)+'LINEST VARS'!$P$60*($CX100)+'LINEST VARS'!$O$60*(8^2)+'LINEST VARS'!$N$60*(8^2)+'LINEST VARS'!$M$60*($DG$80^2)+'LINEST VARS'!$L$60*(0.5^2)+'LINEST VARS'!$K$60*($CX100^2)+'LINEST VARS'!$J$60*(8*8)+'LINEST VARS'!$I$60*(8*$DG$80)+'LINEST VARS'!$H$60*(8*0.5)+'LINEST VARS'!$G$60*(8*$CX100)+'LINEST VARS'!$F$60*(8*$DG$80)+'LINEST VARS'!$E$60*(8*0.5)+'LINEST VARS'!$D$60*(8*$CX100)+'LINEST VARS'!$C$60*($DG$80*0.5)+'LINEST VARS'!$B$60*($DG$80*$CX100)+'LINEST VARS'!$A$60*(0.5*$CX100)</f>
        <v>64.381000000000014</v>
      </c>
      <c r="DH100" s="46">
        <f>'LINEST VARS'!$U$60+'LINEST VARS'!$T$60*(8)+'LINEST VARS'!$S$60*(8)+'LINEST VARS'!$R$60*($DH$80)+'LINEST VARS'!$Q$60*(0.5)+'LINEST VARS'!$P$60*($CX100)+'LINEST VARS'!$O$60*(8^2)+'LINEST VARS'!$N$60*(8^2)+'LINEST VARS'!$M$60*($DH$80^2)+'LINEST VARS'!$L$60*(0.5^2)+'LINEST VARS'!$K$60*($CX100^2)+'LINEST VARS'!$J$60*(8*8)+'LINEST VARS'!$I$60*(8*$DH$80)+'LINEST VARS'!$H$60*(8*0.5)+'LINEST VARS'!$G$60*(8*$CX100)+'LINEST VARS'!$F$60*(8*$DH$80)+'LINEST VARS'!$E$60*(8*0.5)+'LINEST VARS'!$D$60*(8*$CX100)+'LINEST VARS'!$C$60*($DH$80*0.5)+'LINEST VARS'!$B$60*($DH$80*$CX100)+'LINEST VARS'!$A$60*(0.5*$CX100)</f>
        <v>64.381000000000014</v>
      </c>
      <c r="DI100" s="46">
        <f>'LINEST VARS'!$U$60+'LINEST VARS'!$T$60*(8)+'LINEST VARS'!$S$60*(8)+'LINEST VARS'!$R$60*($DI$80)+'LINEST VARS'!$Q$60*(0.5)+'LINEST VARS'!$P$60*($CX100)+'LINEST VARS'!$O$60*(8^2)+'LINEST VARS'!$N$60*(8^2)+'LINEST VARS'!$M$60*($DI$80^2)+'LINEST VARS'!$L$60*(0.5^2)+'LINEST VARS'!$K$60*($CX100^2)+'LINEST VARS'!$J$60*(8*8)+'LINEST VARS'!$I$60*(8*$DI$80)+'LINEST VARS'!$H$60*(8*0.5)+'LINEST VARS'!$G$60*(8*$CX100)+'LINEST VARS'!$F$60*(8*$DI$80)+'LINEST VARS'!$E$60*(8*0.5)+'LINEST VARS'!$D$60*(8*$CX100)+'LINEST VARS'!$C$60*($DI$80*0.5)+'LINEST VARS'!$B$60*($DI$80*$CX100)+'LINEST VARS'!$A$60*(0.5*$CX100)</f>
        <v>64.381000000000014</v>
      </c>
      <c r="DJ100" s="46">
        <f>'LINEST VARS'!$U$60+'LINEST VARS'!$T$60*(8)+'LINEST VARS'!$S$60*(8)+'LINEST VARS'!$R$60*($DJ$80)+'LINEST VARS'!$Q$60*(0.5)+'LINEST VARS'!$P$60*($CX100)+'LINEST VARS'!$O$60*(8^2)+'LINEST VARS'!$N$60*(8^2)+'LINEST VARS'!$M$60*($DJ$80^2)+'LINEST VARS'!$L$60*(0.5^2)+'LINEST VARS'!$K$60*($CX100^2)+'LINEST VARS'!$J$60*(8*8)+'LINEST VARS'!$I$60*(8*$DJ$80)+'LINEST VARS'!$H$60*(8*0.5)+'LINEST VARS'!$G$60*(8*$CX100)+'LINEST VARS'!$F$60*(8*$DJ$80)+'LINEST VARS'!$E$60*(8*0.5)+'LINEST VARS'!$D$60*(8*$CX100)+'LINEST VARS'!$C$60*($DJ$80*0.5)+'LINEST VARS'!$B$60*($DJ$80*$CX100)+'LINEST VARS'!$A$60*(0.5*$CX100)</f>
        <v>64.381000000000014</v>
      </c>
      <c r="DK100" s="46">
        <f>'LINEST VARS'!$U$60+'LINEST VARS'!$T$60*(8)+'LINEST VARS'!$S$60*(8)+'LINEST VARS'!$R$60*($DK$80)+'LINEST VARS'!$Q$60*(0.5)+'LINEST VARS'!$P$60*($CX100)+'LINEST VARS'!$O$60*(8^2)+'LINEST VARS'!$N$60*(8^2)+'LINEST VARS'!$M$60*($DK$80^2)+'LINEST VARS'!$L$60*(0.5^2)+'LINEST VARS'!$K$60*($CX100^2)+'LINEST VARS'!$J$60*(8*8)+'LINEST VARS'!$I$60*(8*$DK$80)+'LINEST VARS'!$H$60*(8*0.5)+'LINEST VARS'!$G$60*(8*$CX100)+'LINEST VARS'!$F$60*(8*$DK$80)+'LINEST VARS'!$E$60*(8*0.5)+'LINEST VARS'!$D$60*(8*$CX100)+'LINEST VARS'!$C$60*($DK$80*0.5)+'LINEST VARS'!$B$60*($DK$80*$CX100)+'LINEST VARS'!$A$60*(0.5*$CX100)</f>
        <v>64.381000000000014</v>
      </c>
      <c r="DL100" s="46">
        <f>'LINEST VARS'!$U$60+'LINEST VARS'!$T$60*(8)+'LINEST VARS'!$S$60*(8)+'LINEST VARS'!$R$60*($DL$80)+'LINEST VARS'!$Q$60*(0.5)+'LINEST VARS'!$P$60*($CX100)+'LINEST VARS'!$O$60*(8^2)+'LINEST VARS'!$N$60*(8^2)+'LINEST VARS'!$M$60*($DL$80^2)+'LINEST VARS'!$L$60*(0.5^2)+'LINEST VARS'!$K$60*($CX100^2)+'LINEST VARS'!$J$60*(8*8)+'LINEST VARS'!$I$60*(8*$DL$80)+'LINEST VARS'!$H$60*(8*0.5)+'LINEST VARS'!$G$60*(8*$CX100)+'LINEST VARS'!$F$60*(8*$DL$80)+'LINEST VARS'!$E$60*(8*0.5)+'LINEST VARS'!$D$60*(8*$CX100)+'LINEST VARS'!$C$60*($DL$80*0.5)+'LINEST VARS'!$B$60*($DL$80*$CX100)+'LINEST VARS'!$A$60*(0.5*$CX100)</f>
        <v>64.381000000000014</v>
      </c>
      <c r="DM100" s="46">
        <f>'LINEST VARS'!$U$60+'LINEST VARS'!$T$60*(8)+'LINEST VARS'!$S$60*(8)+'LINEST VARS'!$R$60*($DM$80)+'LINEST VARS'!$Q$60*(0.5)+'LINEST VARS'!$P$60*($CX100)+'LINEST VARS'!$O$60*(8^2)+'LINEST VARS'!$N$60*(8^2)+'LINEST VARS'!$M$60*($DM$80^2)+'LINEST VARS'!$L$60*(0.5^2)+'LINEST VARS'!$K$60*($CX100^2)+'LINEST VARS'!$J$60*(8*8)+'LINEST VARS'!$I$60*(8*$DM$80)+'LINEST VARS'!$H$60*(8*0.5)+'LINEST VARS'!$G$60*(8*$CX100)+'LINEST VARS'!$F$60*(8*$DM$80)+'LINEST VARS'!$E$60*(8*0.5)+'LINEST VARS'!$D$60*(8*$CX100)+'LINEST VARS'!$C$60*($DM$80*0.5)+'LINEST VARS'!$B$60*($DM$80*$CX100)+'LINEST VARS'!$A$60*(0.5*$CX100)</f>
        <v>64.381000000000014</v>
      </c>
      <c r="DN100" s="46">
        <f>'LINEST VARS'!$U$60+'LINEST VARS'!$T$60*(8)+'LINEST VARS'!$S$60*(8)+'LINEST VARS'!$R$60*($DN$80)+'LINEST VARS'!$Q$60*(0.5)+'LINEST VARS'!$P$60*($CX100)+'LINEST VARS'!$O$60*(8^2)+'LINEST VARS'!$N$60*(8^2)+'LINEST VARS'!$M$60*($DN$80^2)+'LINEST VARS'!$L$60*(0.5^2)+'LINEST VARS'!$K$60*($CX100^2)+'LINEST VARS'!$J$60*(8*8)+'LINEST VARS'!$I$60*(8*$DN$80)+'LINEST VARS'!$H$60*(8*0.5)+'LINEST VARS'!$G$60*(8*$CX100)+'LINEST VARS'!$F$60*(8*$DN$80)+'LINEST VARS'!$E$60*(8*0.5)+'LINEST VARS'!$D$60*(8*$CX100)+'LINEST VARS'!$C$60*($DN$80*0.5)+'LINEST VARS'!$B$60*($DN$80*$CX100)+'LINEST VARS'!$A$60*(0.5*$CX100)</f>
        <v>64.381000000000014</v>
      </c>
      <c r="DO100" s="46">
        <f>'LINEST VARS'!$U$60+'LINEST VARS'!$T$60*(8)+'LINEST VARS'!$S$60*(8)+'LINEST VARS'!$R$60*($DO$80)+'LINEST VARS'!$Q$60*(0.5)+'LINEST VARS'!$P$60*($CX100)+'LINEST VARS'!$O$60*(8^2)+'LINEST VARS'!$N$60*(8^2)+'LINEST VARS'!$M$60*($DO$80^2)+'LINEST VARS'!$L$60*(0.5^2)+'LINEST VARS'!$K$60*($CX100^2)+'LINEST VARS'!$J$60*(8*8)+'LINEST VARS'!$I$60*(8*$DO$80)+'LINEST VARS'!$H$60*(8*0.5)+'LINEST VARS'!$G$60*(8*$CX100)+'LINEST VARS'!$F$60*(8*$DO$80)+'LINEST VARS'!$E$60*(8*0.5)+'LINEST VARS'!$D$60*(8*$CX100)+'LINEST VARS'!$C$60*($DO$80*0.5)+'LINEST VARS'!$B$60*($DO$80*$CX100)+'LINEST VARS'!$A$60*(0.5*$CX100)</f>
        <v>64.381000000000014</v>
      </c>
      <c r="DP100" s="46">
        <f>'LINEST VARS'!$U$60+'LINEST VARS'!$T$60*(8)+'LINEST VARS'!$S$60*(8)+'LINEST VARS'!$R$60*($DP$80)+'LINEST VARS'!$Q$60*(0.5)+'LINEST VARS'!$P$60*($CX100)+'LINEST VARS'!$O$60*(8^2)+'LINEST VARS'!$N$60*(8^2)+'LINEST VARS'!$M$60*($DP$80^2)+'LINEST VARS'!$L$60*(0.5^2)+'LINEST VARS'!$K$60*($CX100^2)+'LINEST VARS'!$J$60*(8*8)+'LINEST VARS'!$I$60*(8*$DP$80)+'LINEST VARS'!$H$60*(8*0.5)+'LINEST VARS'!$G$60*(8*$CX100)+'LINEST VARS'!$F$60*(8*$DP$80)+'LINEST VARS'!$E$60*(8*0.5)+'LINEST VARS'!$D$60*(8*$CX100)+'LINEST VARS'!$C$60*($DP$80*0.5)+'LINEST VARS'!$B$60*($DP$80*$CX100)+'LINEST VARS'!$A$60*(0.5*$CX100)</f>
        <v>64.381000000000029</v>
      </c>
      <c r="DQ100" s="46">
        <f>'LINEST VARS'!$U$60+'LINEST VARS'!$T$60*(8)+'LINEST VARS'!$S$60*(8)+'LINEST VARS'!$R$60*($DQ$80)+'LINEST VARS'!$Q$60*(0.5)+'LINEST VARS'!$P$60*($CX100)+'LINEST VARS'!$O$60*(8^2)+'LINEST VARS'!$N$60*(8^2)+'LINEST VARS'!$M$60*($DQ$80^2)+'LINEST VARS'!$L$60*(0.5^2)+'LINEST VARS'!$K$60*($CX100^2)+'LINEST VARS'!$J$60*(8*8)+'LINEST VARS'!$I$60*(8*$DQ$80)+'LINEST VARS'!$H$60*(8*0.5)+'LINEST VARS'!$G$60*(8*$CX100)+'LINEST VARS'!$F$60*(8*$DQ$80)+'LINEST VARS'!$E$60*(8*0.5)+'LINEST VARS'!$D$60*(8*$CX100)+'LINEST VARS'!$C$60*($DQ$80*0.5)+'LINEST VARS'!$B$60*($DQ$80*$CX100)+'LINEST VARS'!$A$60*(0.5*$CX100)</f>
        <v>64.381000000000029</v>
      </c>
      <c r="DR100" s="46">
        <f>'LINEST VARS'!$U$60+'LINEST VARS'!$T$60*(8)+'LINEST VARS'!$S$60*(8)+'LINEST VARS'!$R$60*($DR$80)+'LINEST VARS'!$Q$60*(0.5)+'LINEST VARS'!$P$60*($CX100)+'LINEST VARS'!$O$60*(8^2)+'LINEST VARS'!$N$60*(8^2)+'LINEST VARS'!$M$60*($DR$80^2)+'LINEST VARS'!$L$60*(0.5^2)+'LINEST VARS'!$K$60*($CX100^2)+'LINEST VARS'!$J$60*(8*8)+'LINEST VARS'!$I$60*(8*$DR$80)+'LINEST VARS'!$H$60*(8*0.5)+'LINEST VARS'!$G$60*(8*$CX100)+'LINEST VARS'!$F$60*(8*$DR$80)+'LINEST VARS'!$E$60*(8*0.5)+'LINEST VARS'!$D$60*(8*$CX100)+'LINEST VARS'!$C$60*($DR$80*0.5)+'LINEST VARS'!$B$60*($DR$80*$CX100)+'LINEST VARS'!$A$60*(0.5*$CX100)</f>
        <v>64.381000000000029</v>
      </c>
      <c r="DS100" s="47">
        <f>'LINEST VARS'!$U$60+'LINEST VARS'!$T$60*(8)+'LINEST VARS'!$S$60*(8)+'LINEST VARS'!$R$60*($DS$80)+'LINEST VARS'!$Q$60*(0.5)+'LINEST VARS'!$P$60*($CX100)+'LINEST VARS'!$O$60*(8^2)+'LINEST VARS'!$N$60*(8^2)+'LINEST VARS'!$M$60*($DS$80^2)+'LINEST VARS'!$L$60*(0.5^2)+'LINEST VARS'!$K$60*($CX100^2)+'LINEST VARS'!$J$60*(8*8)+'LINEST VARS'!$I$60*(8*$DS$80)+'LINEST VARS'!$H$60*(8*0.5)+'LINEST VARS'!$G$60*(8*$CX100)+'LINEST VARS'!$F$60*(8*$DS$80)+'LINEST VARS'!$E$60*(8*0.5)+'LINEST VARS'!$D$60*(8*$CX100)+'LINEST VARS'!$C$60*($DS$80*0.5)+'LINEST VARS'!$B$60*($DS$80*$CX100)+'LINEST VARS'!$A$60*(0.5*$CX100)</f>
        <v>64.381000000000029</v>
      </c>
      <c r="DV100" s="45">
        <v>24.6905</v>
      </c>
      <c r="DW100" s="55">
        <f>'LINEST VARS'!$U$62+'LINEST VARS'!$T$62*(8)+'LINEST VARS'!$S$62*(8)+'LINEST VARS'!$R$62*($DW$80)+'LINEST VARS'!$Q$62*(0.5)+'LINEST VARS'!$P$62*($DV100)+'LINEST VARS'!$O$62*(8^2)+'LINEST VARS'!$N$62*(8^2)+'LINEST VARS'!$M$62*($DW$80^2)+'LINEST VARS'!$L$62*(0.5^2)+'LINEST VARS'!$K$62*($DV100^2)+'LINEST VARS'!$J$62*(8*8)+'LINEST VARS'!$I$62*(8*$DW$80)+'LINEST VARS'!$H$62*(8*0.5)+'LINEST VARS'!$G$62*(8*$DV100)+'LINEST VARS'!$F$62*(8*$DW$80)+'LINEST VARS'!$E$62*(8*0.5)+'LINEST VARS'!$D$62*(8*$DV100)+'LINEST VARS'!$C$62*($DW$80*0.5)+'LINEST VARS'!$B$62*($DW$80*$DV100)+'LINEST VARS'!$A$62*(0.5*$DV100)</f>
        <v>349.49999999999994</v>
      </c>
      <c r="DX100" s="55">
        <f>'LINEST VARS'!$U$62+'LINEST VARS'!$T$62*(8)+'LINEST VARS'!$S$62*(8)+'LINEST VARS'!$R$62*($DX$80)+'LINEST VARS'!$Q$62*(0.5)+'LINEST VARS'!$P$62*($DV100)+'LINEST VARS'!$O$62*(8^2)+'LINEST VARS'!$N$62*(8^2)+'LINEST VARS'!$M$62*($DX$80^2)+'LINEST VARS'!$L$62*(0.5^2)+'LINEST VARS'!$K$62*($DV100^2)+'LINEST VARS'!$J$62*(8*8)+'LINEST VARS'!$I$62*(8*$DX$80)+'LINEST VARS'!$H$62*(8*0.5)+'LINEST VARS'!$G$62*(8*$DV100)+'LINEST VARS'!$F$62*(8*$DX$80)+'LINEST VARS'!$E$62*(8*0.5)+'LINEST VARS'!$D$62*(8*$DV100)+'LINEST VARS'!$C$62*($DX$80*0.5)+'LINEST VARS'!$B$62*($DX$80*$DV100)+'LINEST VARS'!$A$62*(0.5*$DV100)</f>
        <v>348.7</v>
      </c>
      <c r="DY100" s="55">
        <f>'LINEST VARS'!$U$62+'LINEST VARS'!$T$62*(8)+'LINEST VARS'!$S$62*(8)+'LINEST VARS'!$R$62*($DY$80)+'LINEST VARS'!$Q$62*(0.5)+'LINEST VARS'!$P$62*($DV100)+'LINEST VARS'!$O$62*(8^2)+'LINEST VARS'!$N$62*(8^2)+'LINEST VARS'!$M$62*($DY$80^2)+'LINEST VARS'!$L$62*(0.5^2)+'LINEST VARS'!$K$62*($DV100^2)+'LINEST VARS'!$J$62*(8*8)+'LINEST VARS'!$I$62*(8*$DY$80)+'LINEST VARS'!$H$62*(8*0.5)+'LINEST VARS'!$G$62*(8*$DV100)+'LINEST VARS'!$F$62*(8*$DY$80)+'LINEST VARS'!$E$62*(8*0.5)+'LINEST VARS'!$D$62*(8*$DV100)+'LINEST VARS'!$C$62*($DY$80*0.5)+'LINEST VARS'!$B$62*($DY$80*$DV100)+'LINEST VARS'!$A$62*(0.5*$DV100)</f>
        <v>346.2999999999999</v>
      </c>
      <c r="DZ100" s="55">
        <f>'LINEST VARS'!$U$62+'LINEST VARS'!$T$62*(8)+'LINEST VARS'!$S$62*(8)+'LINEST VARS'!$R$62*($DZ$80)+'LINEST VARS'!$Q$62*(0.5)+'LINEST VARS'!$P$62*($DV100)+'LINEST VARS'!$O$62*(8^2)+'LINEST VARS'!$N$62*(8^2)+'LINEST VARS'!$M$62*($DZ$80^2)+'LINEST VARS'!$L$62*(0.5^2)+'LINEST VARS'!$K$62*($DV100^2)+'LINEST VARS'!$J$62*(8*8)+'LINEST VARS'!$I$62*(8*$DZ$80)+'LINEST VARS'!$H$62*(8*0.5)+'LINEST VARS'!$G$62*(8*$DV100)+'LINEST VARS'!$F$62*(8*$DZ$80)+'LINEST VARS'!$E$62*(8*0.5)+'LINEST VARS'!$D$62*(8*$DV100)+'LINEST VARS'!$C$62*($DZ$80*0.5)+'LINEST VARS'!$B$62*($DZ$80*$DV100)+'LINEST VARS'!$A$62*(0.5*$DV100)</f>
        <v>342.29999999999995</v>
      </c>
      <c r="EA100" s="55">
        <f>'LINEST VARS'!$U$62+'LINEST VARS'!$T$62*(8)+'LINEST VARS'!$S$62*(8)+'LINEST VARS'!$R$62*($EA$80)+'LINEST VARS'!$Q$62*(0.5)+'LINEST VARS'!$P$62*($DV100)+'LINEST VARS'!$O$62*(8^2)+'LINEST VARS'!$N$62*(8^2)+'LINEST VARS'!$M$62*($EA$80^2)+'LINEST VARS'!$L$62*(0.5^2)+'LINEST VARS'!$K$62*($DV100^2)+'LINEST VARS'!$J$62*(8*8)+'LINEST VARS'!$I$62*(8*$EA$80)+'LINEST VARS'!$H$62*(8*0.5)+'LINEST VARS'!$G$62*(8*$DV100)+'LINEST VARS'!$F$62*(8*$EA$80)+'LINEST VARS'!$E$62*(8*0.5)+'LINEST VARS'!$D$62*(8*$DV100)+'LINEST VARS'!$C$62*($EA$80*0.5)+'LINEST VARS'!$B$62*($EA$80*$DV100)+'LINEST VARS'!$A$62*(0.5*$DV100)</f>
        <v>336.69999999999993</v>
      </c>
      <c r="EB100" s="55">
        <f>'LINEST VARS'!$U$62+'LINEST VARS'!$T$62*(8)+'LINEST VARS'!$S$62*(8)+'LINEST VARS'!$R$62*($EB$80)+'LINEST VARS'!$Q$62*(0.5)+'LINEST VARS'!$P$62*($DV100)+'LINEST VARS'!$O$62*(8^2)+'LINEST VARS'!$N$62*(8^2)+'LINEST VARS'!$M$62*($EB$80^2)+'LINEST VARS'!$L$62*(0.5^2)+'LINEST VARS'!$K$62*($DV100^2)+'LINEST VARS'!$J$62*(8*8)+'LINEST VARS'!$I$62*(8*$EB$80)+'LINEST VARS'!$H$62*(8*0.5)+'LINEST VARS'!$G$62*(8*$DV100)+'LINEST VARS'!$F$62*(8*$EB$80)+'LINEST VARS'!$E$62*(8*0.5)+'LINEST VARS'!$D$62*(8*$DV100)+'LINEST VARS'!$C$62*($EB$80*0.5)+'LINEST VARS'!$B$62*($EB$80*$DV100)+'LINEST VARS'!$A$62*(0.5*$DV100)</f>
        <v>329.5</v>
      </c>
      <c r="EC100" s="55">
        <f>'LINEST VARS'!$U$62+'LINEST VARS'!$T$62*(8)+'LINEST VARS'!$S$62*(8)+'LINEST VARS'!$R$62*($EC$80)+'LINEST VARS'!$Q$62*(0.5)+'LINEST VARS'!$P$62*($DV100)+'LINEST VARS'!$O$62*(8^2)+'LINEST VARS'!$N$62*(8^2)+'LINEST VARS'!$M$62*($EC$80^2)+'LINEST VARS'!$L$62*(0.5^2)+'LINEST VARS'!$K$62*($DV100^2)+'LINEST VARS'!$J$62*(8*8)+'LINEST VARS'!$I$62*(8*$EC$80)+'LINEST VARS'!$H$62*(8*0.5)+'LINEST VARS'!$G$62*(8*$DV100)+'LINEST VARS'!$F$62*(8*$EC$80)+'LINEST VARS'!$E$62*(8*0.5)+'LINEST VARS'!$D$62*(8*$DV100)+'LINEST VARS'!$C$62*($EC$80*0.5)+'LINEST VARS'!$B$62*($EC$80*$DV100)+'LINEST VARS'!$A$62*(0.5*$DV100)</f>
        <v>320.69999999999987</v>
      </c>
      <c r="ED100" s="55">
        <f>'LINEST VARS'!$U$62+'LINEST VARS'!$T$62*(8)+'LINEST VARS'!$S$62*(8)+'LINEST VARS'!$R$62*($ED$80)+'LINEST VARS'!$Q$62*(0.5)+'LINEST VARS'!$P$62*($DV100)+'LINEST VARS'!$O$62*(8^2)+'LINEST VARS'!$N$62*(8^2)+'LINEST VARS'!$M$62*($ED$80^2)+'LINEST VARS'!$L$62*(0.5^2)+'LINEST VARS'!$K$62*($DV100^2)+'LINEST VARS'!$J$62*(8*8)+'LINEST VARS'!$I$62*(8*$ED$80)+'LINEST VARS'!$H$62*(8*0.5)+'LINEST VARS'!$G$62*(8*$DV100)+'LINEST VARS'!$F$62*(8*$ED$80)+'LINEST VARS'!$E$62*(8*0.5)+'LINEST VARS'!$D$62*(8*$DV100)+'LINEST VARS'!$C$62*($ED$80*0.5)+'LINEST VARS'!$B$62*($ED$80*$DV100)+'LINEST VARS'!$A$62*(0.5*$DV100)</f>
        <v>310.29999999999995</v>
      </c>
      <c r="EE100" s="55">
        <f>'LINEST VARS'!$U$62+'LINEST VARS'!$T$62*(8)+'LINEST VARS'!$S$62*(8)+'LINEST VARS'!$R$62*($EE$80)+'LINEST VARS'!$Q$62*(0.5)+'LINEST VARS'!$P$62*($DV100)+'LINEST VARS'!$O$62*(8^2)+'LINEST VARS'!$N$62*(8^2)+'LINEST VARS'!$M$62*($EE$80^2)+'LINEST VARS'!$L$62*(0.5^2)+'LINEST VARS'!$K$62*($DV100^2)+'LINEST VARS'!$J$62*(8*8)+'LINEST VARS'!$I$62*(8*$EE$80)+'LINEST VARS'!$H$62*(8*0.5)+'LINEST VARS'!$G$62*(8*$DV100)+'LINEST VARS'!$F$62*(8*$EE$80)+'LINEST VARS'!$E$62*(8*0.5)+'LINEST VARS'!$D$62*(8*$DV100)+'LINEST VARS'!$C$62*($EE$80*0.5)+'LINEST VARS'!$B$62*($EE$80*$DV100)+'LINEST VARS'!$A$62*(0.5*$DV100)</f>
        <v>298.3</v>
      </c>
      <c r="EF100" s="55">
        <f>'LINEST VARS'!$U$62+'LINEST VARS'!$T$62*(8)+'LINEST VARS'!$S$62*(8)+'LINEST VARS'!$R$62*($EF$80)+'LINEST VARS'!$Q$62*(0.5)+'LINEST VARS'!$P$62*($DV100)+'LINEST VARS'!$O$62*(8^2)+'LINEST VARS'!$N$62*(8^2)+'LINEST VARS'!$M$62*($EF$80^2)+'LINEST VARS'!$L$62*(0.5^2)+'LINEST VARS'!$K$62*($DV100^2)+'LINEST VARS'!$J$62*(8*8)+'LINEST VARS'!$I$62*(8*$EF$80)+'LINEST VARS'!$H$62*(8*0.5)+'LINEST VARS'!$G$62*(8*$DV100)+'LINEST VARS'!$F$62*(8*$EF$80)+'LINEST VARS'!$E$62*(8*0.5)+'LINEST VARS'!$D$62*(8*$DV100)+'LINEST VARS'!$C$62*($EF$80*0.5)+'LINEST VARS'!$B$62*($EF$80*$DV100)+'LINEST VARS'!$A$62*(0.5*$DV100)</f>
        <v>284.7</v>
      </c>
      <c r="EG100" s="55">
        <f>'LINEST VARS'!$U$62+'LINEST VARS'!$T$62*(8)+'LINEST VARS'!$S$62*(8)+'LINEST VARS'!$R$62*($EG$80)+'LINEST VARS'!$Q$62*(0.5)+'LINEST VARS'!$P$62*($DV100)+'LINEST VARS'!$O$62*(8^2)+'LINEST VARS'!$N$62*(8^2)+'LINEST VARS'!$M$62*($EG$80^2)+'LINEST VARS'!$L$62*(0.5^2)+'LINEST VARS'!$K$62*($DV100^2)+'LINEST VARS'!$J$62*(8*8)+'LINEST VARS'!$I$62*(8*$EG$80)+'LINEST VARS'!$H$62*(8*0.5)+'LINEST VARS'!$G$62*(8*$DV100)+'LINEST VARS'!$F$62*(8*$EG$80)+'LINEST VARS'!$E$62*(8*0.5)+'LINEST VARS'!$D$62*(8*$DV100)+'LINEST VARS'!$C$62*($EG$80*0.5)+'LINEST VARS'!$B$62*($EG$80*$DV100)+'LINEST VARS'!$A$62*(0.5*$DV100)</f>
        <v>269.5</v>
      </c>
      <c r="EH100" s="55">
        <f>'LINEST VARS'!$U$62+'LINEST VARS'!$T$62*(8)+'LINEST VARS'!$S$62*(8)+'LINEST VARS'!$R$62*($EH$80)+'LINEST VARS'!$Q$62*(0.5)+'LINEST VARS'!$P$62*($DV100)+'LINEST VARS'!$O$62*(8^2)+'LINEST VARS'!$N$62*(8^2)+'LINEST VARS'!$M$62*($EH$80^2)+'LINEST VARS'!$L$62*(0.5^2)+'LINEST VARS'!$K$62*($DV100^2)+'LINEST VARS'!$J$62*(8*8)+'LINEST VARS'!$I$62*(8*$EH$80)+'LINEST VARS'!$H$62*(8*0.5)+'LINEST VARS'!$G$62*(8*$DV100)+'LINEST VARS'!$F$62*(8*$EH$80)+'LINEST VARS'!$E$62*(8*0.5)+'LINEST VARS'!$D$62*(8*$DV100)+'LINEST VARS'!$C$62*($EH$80*0.5)+'LINEST VARS'!$B$62*($EH$80*$DV100)+'LINEST VARS'!$A$62*(0.5*$DV100)</f>
        <v>252.7</v>
      </c>
      <c r="EI100" s="55">
        <f>'LINEST VARS'!$U$62+'LINEST VARS'!$T$62*(8)+'LINEST VARS'!$S$62*(8)+'LINEST VARS'!$R$62*($EI$80)+'LINEST VARS'!$Q$62*(0.5)+'LINEST VARS'!$P$62*($DV100)+'LINEST VARS'!$O$62*(8^2)+'LINEST VARS'!$N$62*(8^2)+'LINEST VARS'!$M$62*($EI$80^2)+'LINEST VARS'!$L$62*(0.5^2)+'LINEST VARS'!$K$62*($DV100^2)+'LINEST VARS'!$J$62*(8*8)+'LINEST VARS'!$I$62*(8*$EI$80)+'LINEST VARS'!$H$62*(8*0.5)+'LINEST VARS'!$G$62*(8*$DV100)+'LINEST VARS'!$F$62*(8*$EI$80)+'LINEST VARS'!$E$62*(8*0.5)+'LINEST VARS'!$D$62*(8*$DV100)+'LINEST VARS'!$C$62*($EI$80*0.5)+'LINEST VARS'!$B$62*($EI$80*$DV100)+'LINEST VARS'!$A$62*(0.5*$DV100)</f>
        <v>234.30000000000004</v>
      </c>
      <c r="EJ100" s="55">
        <f>'LINEST VARS'!$U$62+'LINEST VARS'!$T$62*(8)+'LINEST VARS'!$S$62*(8)+'LINEST VARS'!$R$62*($EJ$80)+'LINEST VARS'!$Q$62*(0.5)+'LINEST VARS'!$P$62*($DV100)+'LINEST VARS'!$O$62*(8^2)+'LINEST VARS'!$N$62*(8^2)+'LINEST VARS'!$M$62*($EJ$80^2)+'LINEST VARS'!$L$62*(0.5^2)+'LINEST VARS'!$K$62*($DV100^2)+'LINEST VARS'!$J$62*(8*8)+'LINEST VARS'!$I$62*(8*$EJ$80)+'LINEST VARS'!$H$62*(8*0.5)+'LINEST VARS'!$G$62*(8*$DV100)+'LINEST VARS'!$F$62*(8*$EJ$80)+'LINEST VARS'!$E$62*(8*0.5)+'LINEST VARS'!$D$62*(8*$DV100)+'LINEST VARS'!$C$62*($EJ$80*0.5)+'LINEST VARS'!$B$62*($EJ$80*$DV100)+'LINEST VARS'!$A$62*(0.5*$DV100)</f>
        <v>214.29999999999995</v>
      </c>
      <c r="EK100" s="55">
        <f>'LINEST VARS'!$U$62+'LINEST VARS'!$T$62*(8)+'LINEST VARS'!$S$62*(8)+'LINEST VARS'!$R$62*($EK$80)+'LINEST VARS'!$Q$62*(0.5)+'LINEST VARS'!$P$62*($DV100)+'LINEST VARS'!$O$62*(8^2)+'LINEST VARS'!$N$62*(8^2)+'LINEST VARS'!$M$62*($EK$80^2)+'LINEST VARS'!$L$62*(0.5^2)+'LINEST VARS'!$K$62*($DV100^2)+'LINEST VARS'!$J$62*(8*8)+'LINEST VARS'!$I$62*(8*$EK$80)+'LINEST VARS'!$H$62*(8*0.5)+'LINEST VARS'!$G$62*(8*$DV100)+'LINEST VARS'!$F$62*(8*$EK$80)+'LINEST VARS'!$E$62*(8*0.5)+'LINEST VARS'!$D$62*(8*$DV100)+'LINEST VARS'!$C$62*($EK$80*0.5)+'LINEST VARS'!$B$62*($EK$80*$DV100)+'LINEST VARS'!$A$62*(0.5*$DV100)</f>
        <v>192.70000000000005</v>
      </c>
      <c r="EL100" s="55">
        <f>'LINEST VARS'!$U$62+'LINEST VARS'!$T$62*(8)+'LINEST VARS'!$S$62*(8)+'LINEST VARS'!$R$62*($EL$80)+'LINEST VARS'!$Q$62*(0.5)+'LINEST VARS'!$P$62*($DV100)+'LINEST VARS'!$O$62*(8^2)+'LINEST VARS'!$N$62*(8^2)+'LINEST VARS'!$M$62*($EL$80^2)+'LINEST VARS'!$L$62*(0.5^2)+'LINEST VARS'!$K$62*($DV100^2)+'LINEST VARS'!$J$62*(8*8)+'LINEST VARS'!$I$62*(8*$EL$80)+'LINEST VARS'!$H$62*(8*0.5)+'LINEST VARS'!$G$62*(8*$DV100)+'LINEST VARS'!$F$62*(8*$EL$80)+'LINEST VARS'!$E$62*(8*0.5)+'LINEST VARS'!$D$62*(8*$DV100)+'LINEST VARS'!$C$62*($EL$80*0.5)+'LINEST VARS'!$B$62*($EL$80*$DV100)+'LINEST VARS'!$A$62*(0.5*$DV100)</f>
        <v>169.50000000000003</v>
      </c>
      <c r="EM100" s="55">
        <f>'LINEST VARS'!$U$62+'LINEST VARS'!$T$62*(8)+'LINEST VARS'!$S$62*(8)+'LINEST VARS'!$R$62*($EM$80)+'LINEST VARS'!$Q$62*(0.5)+'LINEST VARS'!$P$62*($DV100)+'LINEST VARS'!$O$62*(8^2)+'LINEST VARS'!$N$62*(8^2)+'LINEST VARS'!$M$62*($EM$80^2)+'LINEST VARS'!$L$62*(0.5^2)+'LINEST VARS'!$K$62*($DV100^2)+'LINEST VARS'!$J$62*(8*8)+'LINEST VARS'!$I$62*(8*$EM$80)+'LINEST VARS'!$H$62*(8*0.5)+'LINEST VARS'!$G$62*(8*$DV100)+'LINEST VARS'!$F$62*(8*$EM$80)+'LINEST VARS'!$E$62*(8*0.5)+'LINEST VARS'!$D$62*(8*$DV100)+'LINEST VARS'!$C$62*($EM$80*0.5)+'LINEST VARS'!$B$62*($EM$80*$DV100)+'LINEST VARS'!$A$62*(0.5*$DV100)</f>
        <v>144.70000000000002</v>
      </c>
      <c r="EN100" s="55">
        <f>'LINEST VARS'!$U$62+'LINEST VARS'!$T$62*(8)+'LINEST VARS'!$S$62*(8)+'LINEST VARS'!$R$62*($EN$80)+'LINEST VARS'!$Q$62*(0.5)+'LINEST VARS'!$P$62*($DV100)+'LINEST VARS'!$O$62*(8^2)+'LINEST VARS'!$N$62*(8^2)+'LINEST VARS'!$M$62*($EN$80^2)+'LINEST VARS'!$L$62*(0.5^2)+'LINEST VARS'!$K$62*($DV100^2)+'LINEST VARS'!$J$62*(8*8)+'LINEST VARS'!$I$62*(8*$EN$80)+'LINEST VARS'!$H$62*(8*0.5)+'LINEST VARS'!$G$62*(8*$DV100)+'LINEST VARS'!$F$62*(8*$EN$80)+'LINEST VARS'!$E$62*(8*0.5)+'LINEST VARS'!$D$62*(8*$DV100)+'LINEST VARS'!$C$62*($EN$80*0.5)+'LINEST VARS'!$B$62*($EN$80*$DV100)+'LINEST VARS'!$A$62*(0.5*$DV100)</f>
        <v>118.30000000000003</v>
      </c>
      <c r="EO100" s="55">
        <f>'LINEST VARS'!$U$62+'LINEST VARS'!$T$62*(8)+'LINEST VARS'!$S$62*(8)+'LINEST VARS'!$R$62*($EO$80)+'LINEST VARS'!$Q$62*(0.5)+'LINEST VARS'!$P$62*($DV100)+'LINEST VARS'!$O$62*(8^2)+'LINEST VARS'!$N$62*(8^2)+'LINEST VARS'!$M$62*($EO$80^2)+'LINEST VARS'!$L$62*(0.5^2)+'LINEST VARS'!$K$62*($DV100^2)+'LINEST VARS'!$J$62*(8*8)+'LINEST VARS'!$I$62*(8*$EO$80)+'LINEST VARS'!$H$62*(8*0.5)+'LINEST VARS'!$G$62*(8*$DV100)+'LINEST VARS'!$F$62*(8*$EO$80)+'LINEST VARS'!$E$62*(8*0.5)+'LINEST VARS'!$D$62*(8*$DV100)+'LINEST VARS'!$C$62*($EO$80*0.5)+'LINEST VARS'!$B$62*($EO$80*$DV100)+'LINEST VARS'!$A$62*(0.5*$DV100)</f>
        <v>90.300000000000011</v>
      </c>
      <c r="EP100" s="55">
        <f>'LINEST VARS'!$U$62+'LINEST VARS'!$T$62*(8)+'LINEST VARS'!$S$62*(8)+'LINEST VARS'!$R$62*($EP$80)+'LINEST VARS'!$Q$62*(0.5)+'LINEST VARS'!$P$62*($DV100)+'LINEST VARS'!$O$62*(8^2)+'LINEST VARS'!$N$62*(8^2)+'LINEST VARS'!$M$62*($EP$80^2)+'LINEST VARS'!$L$62*(0.5^2)+'LINEST VARS'!$K$62*($DV100^2)+'LINEST VARS'!$J$62*(8*8)+'LINEST VARS'!$I$62*(8*$EP$80)+'LINEST VARS'!$H$62*(8*0.5)+'LINEST VARS'!$G$62*(8*$DV100)+'LINEST VARS'!$F$62*(8*$EP$80)+'LINEST VARS'!$E$62*(8*0.5)+'LINEST VARS'!$D$62*(8*$DV100)+'LINEST VARS'!$C$62*($EP$80*0.5)+'LINEST VARS'!$B$62*($EP$80*$DV100)+'LINEST VARS'!$A$62*(0.5*$DV100)</f>
        <v>60.700000000000074</v>
      </c>
      <c r="EQ100" s="56">
        <f>'LINEST VARS'!$U$62+'LINEST VARS'!$T$62*(8)+'LINEST VARS'!$S$62*(8)+'LINEST VARS'!$R$62*($EQ$80)+'LINEST VARS'!$Q$62*(0.5)+'LINEST VARS'!$P$62*($DV100)+'LINEST VARS'!$O$62*(8^2)+'LINEST VARS'!$N$62*(8^2)+'LINEST VARS'!$M$62*($EQ$80^2)+'LINEST VARS'!$L$62*(0.5^2)+'LINEST VARS'!$K$62*($DV100^2)+'LINEST VARS'!$J$62*(8*8)+'LINEST VARS'!$I$62*(8*$EQ$80)+'LINEST VARS'!$H$62*(8*0.5)+'LINEST VARS'!$G$62*(8*$DV100)+'LINEST VARS'!$F$62*(8*$EQ$80)+'LINEST VARS'!$E$62*(8*0.5)+'LINEST VARS'!$D$62*(8*$DV100)+'LINEST VARS'!$C$62*($EQ$80*0.5)+'LINEST VARS'!$B$62*($EQ$80*$DV100)+'LINEST VARS'!$A$62*(0.5*$DV100)</f>
        <v>29.50000000000011</v>
      </c>
    </row>
    <row r="101" spans="2:147" ht="15" customHeight="1" thickBot="1" x14ac:dyDescent="0.3">
      <c r="B101" s="48">
        <v>8.6</v>
      </c>
      <c r="C101" s="49">
        <f>'LINEST VARS'!$U$60+'LINEST VARS'!$T$60*($C$80)+'LINEST VARS'!$S$60*($B101)+'LINEST VARS'!$R$60*(4)+'LINEST VARS'!$Q$60*(0.5)+'LINEST VARS'!$P$60*(12.73)+'LINEST VARS'!$O$60*($C$80^2)+'LINEST VARS'!$N$60*($B101^2)+'LINEST VARS'!$M$60*(4^2)+'LINEST VARS'!$L$60*(0.5^2)+'LINEST VARS'!$K$60*(12.73^2)+'LINEST VARS'!$J$60*($C$80*$B101)+'LINEST VARS'!$I$60*($C$80*4)+'LINEST VARS'!$H$60*($C$80*0.5)+'LINEST VARS'!$G$60*($C$80*12.73)+'LINEST VARS'!$F$60*($B101*4)+'LINEST VARS'!$E$60*($B101*0.5)+'LINEST VARS'!$D$60*($B101*12.73)+'LINEST VARS'!$C$60*(4*0.5)+'LINEST VARS'!$B$60*(4*12.73)+'LINEST VARS'!$A$60*(0.5*12.73)</f>
        <v>40.460000000000008</v>
      </c>
      <c r="D101" s="49">
        <f>'LINEST VARS'!$U$60+'LINEST VARS'!$T$60*($D$80)+'LINEST VARS'!$S$60*($B101)+'LINEST VARS'!$R$60*(4)+'LINEST VARS'!$Q$60*(0.5)+'LINEST VARS'!$P$60*(12.73)+'LINEST VARS'!$O$60*($D$80^2)+'LINEST VARS'!$N$60*($B101^2)+'LINEST VARS'!$M$60*(4^2)+'LINEST VARS'!$L$60*(0.5^2)+'LINEST VARS'!$K$60*(12.73^2)+'LINEST VARS'!$J$60*($D$80*$B101)+'LINEST VARS'!$I$60*($D$80*4)+'LINEST VARS'!$H$60*($D$80*0.5)+'LINEST VARS'!$G$60*($D$80*12.73)+'LINEST VARS'!$F$60*($B101*4)+'LINEST VARS'!$E$60*($B101*0.5)+'LINEST VARS'!$D$60*($B101*12.73)+'LINEST VARS'!$C$60*(4*0.5)+'LINEST VARS'!$B$60*(4*12.73)+'LINEST VARS'!$A$60*(0.5*12.73)</f>
        <v>40.460000000000008</v>
      </c>
      <c r="E101" s="49">
        <f>'LINEST VARS'!$U$60+'LINEST VARS'!$T$60*($E$80)+'LINEST VARS'!$S$60*($B101)+'LINEST VARS'!$R$60*(4)+'LINEST VARS'!$Q$60*(0.5)+'LINEST VARS'!$P$60*(12.73)+'LINEST VARS'!$O$60*($E$80^2)+'LINEST VARS'!$N$60*($B101^2)+'LINEST VARS'!$M$60*(4^2)+'LINEST VARS'!$L$60*(0.5^2)+'LINEST VARS'!$K$60*(12.73^2)+'LINEST VARS'!$J$60*($E$80*$B101)+'LINEST VARS'!$I$60*($E$80*4)+'LINEST VARS'!$H$60*($E$80*0.5)+'LINEST VARS'!$G$60*($E$80*12.73)+'LINEST VARS'!$F$60*($B101*4)+'LINEST VARS'!$E$60*($B101*0.5)+'LINEST VARS'!$D$60*($B101*12.73)+'LINEST VARS'!$C$60*(4*0.5)+'LINEST VARS'!$B$60*(4*12.73)+'LINEST VARS'!$A$60*(0.5*12.73)</f>
        <v>40.460000000000008</v>
      </c>
      <c r="F101" s="49">
        <f>'LINEST VARS'!$U$60+'LINEST VARS'!$T$60*($F$80)+'LINEST VARS'!$S$60*($B101)+'LINEST VARS'!$R$60*(4)+'LINEST VARS'!$Q$60*(0.5)+'LINEST VARS'!$P$60*(12.73)+'LINEST VARS'!$O$60*($F$80^2)+'LINEST VARS'!$N$60*($B101^2)+'LINEST VARS'!$M$60*(4^2)+'LINEST VARS'!$L$60*(0.5^2)+'LINEST VARS'!$K$60*(12.73^2)+'LINEST VARS'!$J$60*($F$80*$B101)+'LINEST VARS'!$I$60*($F$80*4)+'LINEST VARS'!$H$60*($F$80*0.5)+'LINEST VARS'!$G$60*($F$80*12.73)+'LINEST VARS'!$F$60*($B101*4)+'LINEST VARS'!$E$60*($B101*0.5)+'LINEST VARS'!$D$60*($B101*12.73)+'LINEST VARS'!$C$60*(4*0.5)+'LINEST VARS'!$B$60*(4*12.73)+'LINEST VARS'!$A$60*(0.5*12.73)</f>
        <v>40.460000000000008</v>
      </c>
      <c r="G101" s="49">
        <f>'LINEST VARS'!$U$60+'LINEST VARS'!$T$60*($G$80)+'LINEST VARS'!$S$60*($B101)+'LINEST VARS'!$R$60*(4)+'LINEST VARS'!$Q$60*(0.5)+'LINEST VARS'!$P$60*(12.73)+'LINEST VARS'!$O$60*($G$80^2)+'LINEST VARS'!$N$60*($B101^2)+'LINEST VARS'!$M$60*(4^2)+'LINEST VARS'!$L$60*(0.5^2)+'LINEST VARS'!$K$60*(12.73^2)+'LINEST VARS'!$J$60*($G$80*$B101)+'LINEST VARS'!$I$60*($G$80*4)+'LINEST VARS'!$H$60*($G$80*0.5)+'LINEST VARS'!$G$60*($G$80*12.73)+'LINEST VARS'!$F$60*($B101*4)+'LINEST VARS'!$E$60*($B101*0.5)+'LINEST VARS'!$D$60*($B101*12.73)+'LINEST VARS'!$C$60*(4*0.5)+'LINEST VARS'!$B$60*(4*12.73)+'LINEST VARS'!$A$60*(0.5*12.73)</f>
        <v>40.460000000000008</v>
      </c>
      <c r="H101" s="49">
        <f>'LINEST VARS'!$U$60+'LINEST VARS'!$T$60*($H$80)+'LINEST VARS'!$S$60*($B101)+'LINEST VARS'!$R$60*(4)+'LINEST VARS'!$Q$60*(0.5)+'LINEST VARS'!$P$60*(12.73)+'LINEST VARS'!$O$60*($H$80^2)+'LINEST VARS'!$N$60*($B101^2)+'LINEST VARS'!$M$60*(4^2)+'LINEST VARS'!$L$60*(0.5^2)+'LINEST VARS'!$K$60*(12.73^2)+'LINEST VARS'!$J$60*($H$80*$B101)+'LINEST VARS'!$I$60*($H$80*4)+'LINEST VARS'!$H$60*($H$80*0.5)+'LINEST VARS'!$G$60*($H$80*12.73)+'LINEST VARS'!$F$60*($B101*4)+'LINEST VARS'!$E$60*($B101*0.5)+'LINEST VARS'!$D$60*($B101*12.73)+'LINEST VARS'!$C$60*(4*0.5)+'LINEST VARS'!$B$60*(4*12.73)+'LINEST VARS'!$A$60*(0.5*12.73)</f>
        <v>40.460000000000008</v>
      </c>
      <c r="I101" s="49">
        <f>'LINEST VARS'!$U$60+'LINEST VARS'!$T$60*($I$80)+'LINEST VARS'!$S$60*($B101)+'LINEST VARS'!$R$60*(4)+'LINEST VARS'!$Q$60*(0.5)+'LINEST VARS'!$P$60*(12.73)+'LINEST VARS'!$O$60*($I$80^2)+'LINEST VARS'!$N$60*($B101^2)+'LINEST VARS'!$M$60*(4^2)+'LINEST VARS'!$L$60*(0.5^2)+'LINEST VARS'!$K$60*(12.73^2)+'LINEST VARS'!$J$60*($I$80*$B101)+'LINEST VARS'!$I$60*($I$80*4)+'LINEST VARS'!$H$60*($I$80*0.5)+'LINEST VARS'!$G$60*($I$80*12.73)+'LINEST VARS'!$F$60*($B101*4)+'LINEST VARS'!$E$60*($B101*0.5)+'LINEST VARS'!$D$60*($B101*12.73)+'LINEST VARS'!$C$60*(4*0.5)+'LINEST VARS'!$B$60*(4*12.73)+'LINEST VARS'!$A$60*(0.5*12.73)</f>
        <v>40.460000000000015</v>
      </c>
      <c r="J101" s="49">
        <f>'LINEST VARS'!$U$60+'LINEST VARS'!$T$60*($J$80)+'LINEST VARS'!$S$60*($B101)+'LINEST VARS'!$R$60*(4)+'LINEST VARS'!$Q$60*(0.5)+'LINEST VARS'!$P$60*(12.73)+'LINEST VARS'!$O$60*($J$80^2)+'LINEST VARS'!$N$60*($B101^2)+'LINEST VARS'!$M$60*(4^2)+'LINEST VARS'!$L$60*(0.5^2)+'LINEST VARS'!$K$60*(12.73^2)+'LINEST VARS'!$J$60*($J$80*$B101)+'LINEST VARS'!$I$60*($J$80*4)+'LINEST VARS'!$H$60*($J$80*0.5)+'LINEST VARS'!$G$60*($J$80*12.73)+'LINEST VARS'!$F$60*($B101*4)+'LINEST VARS'!$E$60*($B101*0.5)+'LINEST VARS'!$D$60*($B101*12.73)+'LINEST VARS'!$C$60*(4*0.5)+'LINEST VARS'!$B$60*(4*12.73)+'LINEST VARS'!$A$60*(0.5*12.73)</f>
        <v>40.460000000000015</v>
      </c>
      <c r="K101" s="49">
        <f>'LINEST VARS'!$U$60+'LINEST VARS'!$T$60*($K$80)+'LINEST VARS'!$S$60*($B101)+'LINEST VARS'!$R$60*(4)+'LINEST VARS'!$Q$60*(0.5)+'LINEST VARS'!$P$60*(12.73)+'LINEST VARS'!$O$60*($K$80^2)+'LINEST VARS'!$N$60*($B101^2)+'LINEST VARS'!$M$60*(4^2)+'LINEST VARS'!$L$60*(0.5^2)+'LINEST VARS'!$K$60*(12.73^2)+'LINEST VARS'!$J$60*($K$80*$B101)+'LINEST VARS'!$I$60*($K$80*4)+'LINEST VARS'!$H$60*($K$80*0.5)+'LINEST VARS'!$G$60*($K$80*12.73)+'LINEST VARS'!$F$60*($B101*4)+'LINEST VARS'!$E$60*($B101*0.5)+'LINEST VARS'!$D$60*($B101*12.73)+'LINEST VARS'!$C$60*(4*0.5)+'LINEST VARS'!$B$60*(4*12.73)+'LINEST VARS'!$A$60*(0.5*12.73)</f>
        <v>40.460000000000008</v>
      </c>
      <c r="L101" s="49">
        <f>'LINEST VARS'!$U$60+'LINEST VARS'!$T$60*($L$80)+'LINEST VARS'!$S$60*($B101)+'LINEST VARS'!$R$60*(4)+'LINEST VARS'!$Q$60*(0.5)+'LINEST VARS'!$P$60*(12.73)+'LINEST VARS'!$O$60*($L$80^2)+'LINEST VARS'!$N$60*($B101^2)+'LINEST VARS'!$M$60*(4^2)+'LINEST VARS'!$L$60*(0.5^2)+'LINEST VARS'!$K$60*(12.73^2)+'LINEST VARS'!$J$60*($L$80*$B101)+'LINEST VARS'!$I$60*($L$80*4)+'LINEST VARS'!$H$60*($L$80*0.5)+'LINEST VARS'!$G$60*($L$80*12.73)+'LINEST VARS'!$F$60*($B101*4)+'LINEST VARS'!$E$60*($B101*0.5)+'LINEST VARS'!$D$60*($B101*12.73)+'LINEST VARS'!$C$60*(4*0.5)+'LINEST VARS'!$B$60*(4*12.73)+'LINEST VARS'!$A$60*(0.5*12.73)</f>
        <v>40.460000000000008</v>
      </c>
      <c r="M101" s="49">
        <f>'LINEST VARS'!$U$60+'LINEST VARS'!$T$60*($M$80)+'LINEST VARS'!$S$60*($B101)+'LINEST VARS'!$R$60*(4)+'LINEST VARS'!$Q$60*(0.5)+'LINEST VARS'!$P$60*(12.73)+'LINEST VARS'!$O$60*($M$80^2)+'LINEST VARS'!$N$60*($B101^2)+'LINEST VARS'!$M$60*(4^2)+'LINEST VARS'!$L$60*(0.5^2)+'LINEST VARS'!$K$60*(12.73^2)+'LINEST VARS'!$J$60*($M$80*$B101)+'LINEST VARS'!$I$60*($M$80*4)+'LINEST VARS'!$H$60*($M$80*0.5)+'LINEST VARS'!$G$60*($M$80*12.73)+'LINEST VARS'!$F$60*($B101*4)+'LINEST VARS'!$E$60*($B101*0.5)+'LINEST VARS'!$D$60*($B101*12.73)+'LINEST VARS'!$C$60*(4*0.5)+'LINEST VARS'!$B$60*(4*12.73)+'LINEST VARS'!$A$60*(0.5*12.73)</f>
        <v>40.460000000000008</v>
      </c>
      <c r="N101" s="49">
        <f>'LINEST VARS'!$U$60+'LINEST VARS'!$T$60*($N$80)+'LINEST VARS'!$S$60*($B101)+'LINEST VARS'!$R$60*(4)+'LINEST VARS'!$Q$60*(0.5)+'LINEST VARS'!$P$60*(12.73)+'LINEST VARS'!$O$60*($N$80^2)+'LINEST VARS'!$N$60*($B101^2)+'LINEST VARS'!$M$60*(4^2)+'LINEST VARS'!$L$60*(0.5^2)+'LINEST VARS'!$K$60*(12.73^2)+'LINEST VARS'!$J$60*($N$80*$B101)+'LINEST VARS'!$I$60*($N$80*4)+'LINEST VARS'!$H$60*($N$80*0.5)+'LINEST VARS'!$G$60*($N$80*12.73)+'LINEST VARS'!$F$60*($B101*4)+'LINEST VARS'!$E$60*($B101*0.5)+'LINEST VARS'!$D$60*($B101*12.73)+'LINEST VARS'!$C$60*(4*0.5)+'LINEST VARS'!$B$60*(4*12.73)+'LINEST VARS'!$A$60*(0.5*12.73)</f>
        <v>40.460000000000008</v>
      </c>
      <c r="O101" s="49">
        <f>'LINEST VARS'!$U$60+'LINEST VARS'!$T$60*($O$80)+'LINEST VARS'!$S$60*($B101)+'LINEST VARS'!$R$60*(4)+'LINEST VARS'!$Q$60*(0.5)+'LINEST VARS'!$P$60*(12.73)+'LINEST VARS'!$O$60*($O$80^2)+'LINEST VARS'!$N$60*($B101^2)+'LINEST VARS'!$M$60*(4^2)+'LINEST VARS'!$L$60*(0.5^2)+'LINEST VARS'!$K$60*(12.73^2)+'LINEST VARS'!$J$60*($O$80*$B101)+'LINEST VARS'!$I$60*($O$80*4)+'LINEST VARS'!$H$60*($O$80*0.5)+'LINEST VARS'!$G$60*($O$80*12.73)+'LINEST VARS'!$F$60*($B101*4)+'LINEST VARS'!$E$60*($B101*0.5)+'LINEST VARS'!$D$60*($B101*12.73)+'LINEST VARS'!$C$60*(4*0.5)+'LINEST VARS'!$B$60*(4*12.73)+'LINEST VARS'!$A$60*(0.5*12.73)</f>
        <v>40.460000000000015</v>
      </c>
      <c r="P101" s="49">
        <f>'LINEST VARS'!$U$60+'LINEST VARS'!$T$60*($P$80)+'LINEST VARS'!$S$60*($B101)+'LINEST VARS'!$R$60*(4)+'LINEST VARS'!$Q$60*(0.5)+'LINEST VARS'!$P$60*(12.73)+'LINEST VARS'!$O$60*($P$80^2)+'LINEST VARS'!$N$60*($B101^2)+'LINEST VARS'!$M$60*(4^2)+'LINEST VARS'!$L$60*(0.5^2)+'LINEST VARS'!$K$60*(12.73^2)+'LINEST VARS'!$J$60*($P$80*$B101)+'LINEST VARS'!$I$60*($P$80*4)+'LINEST VARS'!$H$60*($P$80*0.5)+'LINEST VARS'!$G$60*($P$80*12.73)+'LINEST VARS'!$F$60*($B101*4)+'LINEST VARS'!$E$60*($B101*0.5)+'LINEST VARS'!$D$60*($B101*12.73)+'LINEST VARS'!$C$60*(4*0.5)+'LINEST VARS'!$B$60*(4*12.73)+'LINEST VARS'!$A$60*(0.5*12.73)</f>
        <v>40.460000000000008</v>
      </c>
      <c r="Q101" s="49">
        <f>'LINEST VARS'!$U$60+'LINEST VARS'!$T$60*($Q$80)+'LINEST VARS'!$S$60*($B101)+'LINEST VARS'!$R$60*(4)+'LINEST VARS'!$Q$60*(0.5)+'LINEST VARS'!$P$60*(12.73)+'LINEST VARS'!$O$60*($Q$80^2)+'LINEST VARS'!$N$60*($B101^2)+'LINEST VARS'!$M$60*(4^2)+'LINEST VARS'!$L$60*(0.5^2)+'LINEST VARS'!$K$60*(12.73^2)+'LINEST VARS'!$J$60*($Q$80*$B101)+'LINEST VARS'!$I$60*($Q$80*4)+'LINEST VARS'!$H$60*($Q$80*0.5)+'LINEST VARS'!$G$60*($Q$80*12.73)+'LINEST VARS'!$F$60*($B101*4)+'LINEST VARS'!$E$60*($B101*0.5)+'LINEST VARS'!$D$60*($B101*12.73)+'LINEST VARS'!$C$60*(4*0.5)+'LINEST VARS'!$B$60*(4*12.73)+'LINEST VARS'!$A$60*(0.5*12.73)</f>
        <v>40.460000000000008</v>
      </c>
      <c r="R101" s="49">
        <f>'LINEST VARS'!$U$60+'LINEST VARS'!$T$60*($R$80)+'LINEST VARS'!$S$60*($B101)+'LINEST VARS'!$R$60*(4)+'LINEST VARS'!$Q$60*(0.5)+'LINEST VARS'!$P$60*(12.73)+'LINEST VARS'!$O$60*($R$80^2)+'LINEST VARS'!$N$60*($B101^2)+'LINEST VARS'!$M$60*(4^2)+'LINEST VARS'!$L$60*(0.5^2)+'LINEST VARS'!$K$60*(12.73^2)+'LINEST VARS'!$J$60*($R$80*$B101)+'LINEST VARS'!$I$60*($R$80*4)+'LINEST VARS'!$H$60*($R$80*0.5)+'LINEST VARS'!$G$60*($R$80*12.73)+'LINEST VARS'!$F$60*($B101*4)+'LINEST VARS'!$E$60*($B101*0.5)+'LINEST VARS'!$D$60*($B101*12.73)+'LINEST VARS'!$C$60*(4*0.5)+'LINEST VARS'!$B$60*(4*12.73)+'LINEST VARS'!$A$60*(0.5*12.73)</f>
        <v>40.460000000000008</v>
      </c>
      <c r="S101" s="49">
        <f>'LINEST VARS'!$U$60+'LINEST VARS'!$T$60*($S$80)+'LINEST VARS'!$S$60*($B101)+'LINEST VARS'!$R$60*(4)+'LINEST VARS'!$Q$60*(0.5)+'LINEST VARS'!$P$60*(12.73)+'LINEST VARS'!$O$60*($S$80^2)+'LINEST VARS'!$N$60*($B101^2)+'LINEST VARS'!$M$60*(4^2)+'LINEST VARS'!$L$60*(0.5^2)+'LINEST VARS'!$K$60*(12.73^2)+'LINEST VARS'!$J$60*($S$80*$B101)+'LINEST VARS'!$I$60*($S$80*4)+'LINEST VARS'!$H$60*($S$80*0.5)+'LINEST VARS'!$G$60*($S$80*12.73)+'LINEST VARS'!$F$60*($B101*4)+'LINEST VARS'!$E$60*($B101*0.5)+'LINEST VARS'!$D$60*($B101*12.73)+'LINEST VARS'!$C$60*(4*0.5)+'LINEST VARS'!$B$60*(4*12.73)+'LINEST VARS'!$A$60*(0.5*12.73)</f>
        <v>40.460000000000008</v>
      </c>
      <c r="T101" s="49">
        <f>'LINEST VARS'!$U$60+'LINEST VARS'!$T$60*($T$80)+'LINEST VARS'!$S$60*($B101)+'LINEST VARS'!$R$60*(4)+'LINEST VARS'!$Q$60*(0.5)+'LINEST VARS'!$P$60*(12.73)+'LINEST VARS'!$O$60*($T$80^2)+'LINEST VARS'!$N$60*($B101^2)+'LINEST VARS'!$M$60*(4^2)+'LINEST VARS'!$L$60*(0.5^2)+'LINEST VARS'!$K$60*(12.73^2)+'LINEST VARS'!$J$60*($T$80*$B101)+'LINEST VARS'!$I$60*($T$80*4)+'LINEST VARS'!$H$60*($T$80*0.5)+'LINEST VARS'!$G$60*($T$80*12.73)+'LINEST VARS'!$F$60*($B101*4)+'LINEST VARS'!$E$60*($B101*0.5)+'LINEST VARS'!$D$60*($B101*12.73)+'LINEST VARS'!$C$60*(4*0.5)+'LINEST VARS'!$B$60*(4*12.73)+'LINEST VARS'!$A$60*(0.5*12.73)</f>
        <v>40.460000000000008</v>
      </c>
      <c r="U101" s="49">
        <f>'LINEST VARS'!$U$60+'LINEST VARS'!$T$60*($U$80)+'LINEST VARS'!$S$60*($B101)+'LINEST VARS'!$R$60*(4)+'LINEST VARS'!$Q$60*(0.5)+'LINEST VARS'!$P$60*(12.73)+'LINEST VARS'!$O$60*($U$80^2)+'LINEST VARS'!$N$60*($B101^2)+'LINEST VARS'!$M$60*(4^2)+'LINEST VARS'!$L$60*(0.5^2)+'LINEST VARS'!$K$60*(12.73^2)+'LINEST VARS'!$J$60*($U$80*$B101)+'LINEST VARS'!$I$60*($U$80*4)+'LINEST VARS'!$H$60*($U$80*0.5)+'LINEST VARS'!$G$60*($U$80*12.73)+'LINEST VARS'!$F$60*($B101*4)+'LINEST VARS'!$E$60*($B101*0.5)+'LINEST VARS'!$D$60*($B101*12.73)+'LINEST VARS'!$C$60*(4*0.5)+'LINEST VARS'!$B$60*(4*12.73)+'LINEST VARS'!$A$60*(0.5*12.73)</f>
        <v>40.460000000000015</v>
      </c>
      <c r="V101" s="49">
        <f>'LINEST VARS'!$U$60+'LINEST VARS'!$T$60*($V$80)+'LINEST VARS'!$S$60*($B101)+'LINEST VARS'!$R$60*(4)+'LINEST VARS'!$Q$60*(0.5)+'LINEST VARS'!$P$60*(12.73)+'LINEST VARS'!$O$60*($V$80^2)+'LINEST VARS'!$N$60*($B101^2)+'LINEST VARS'!$M$60*(4^2)+'LINEST VARS'!$L$60*(0.5^2)+'LINEST VARS'!$K$60*(12.73^2)+'LINEST VARS'!$J$60*($V$80*$B101)+'LINEST VARS'!$I$60*($V$80*4)+'LINEST VARS'!$H$60*($V$80*0.5)+'LINEST VARS'!$G$60*($V$80*12.73)+'LINEST VARS'!$F$60*($B101*4)+'LINEST VARS'!$E$60*($B101*0.5)+'LINEST VARS'!$D$60*($B101*12.73)+'LINEST VARS'!$C$60*(4*0.5)+'LINEST VARS'!$B$60*(4*12.73)+'LINEST VARS'!$A$60*(0.5*12.73)</f>
        <v>40.460000000000008</v>
      </c>
      <c r="W101" s="50">
        <f>'LINEST VARS'!$U$60+'LINEST VARS'!$T$60*($W$80)+'LINEST VARS'!$S$60*($B101)+'LINEST VARS'!$R$60*(4)+'LINEST VARS'!$Q$60*(0.5)+'LINEST VARS'!$P$60*(12.73)+'LINEST VARS'!$O$60*($W$80^2)+'LINEST VARS'!$N$60*($B101^2)+'LINEST VARS'!$M$60*(4^2)+'LINEST VARS'!$L$60*(0.5^2)+'LINEST VARS'!$K$60*(12.73^2)+'LINEST VARS'!$J$60*($W$80*$B101)+'LINEST VARS'!$I$60*($W$80*4)+'LINEST VARS'!$H$60*($W$80*0.5)+'LINEST VARS'!$G$60*($W$80*12.73)+'LINEST VARS'!$F$60*($B101*4)+'LINEST VARS'!$E$60*($B101*0.5)+'LINEST VARS'!$D$60*($B101*12.73)+'LINEST VARS'!$C$60*(4*0.5)+'LINEST VARS'!$B$60*(4*12.73)+'LINEST VARS'!$A$60*(0.5*12.73)</f>
        <v>40.460000000000008</v>
      </c>
      <c r="Z101" s="48">
        <v>8.6</v>
      </c>
      <c r="AA101" s="57">
        <f>'LINEST VARS'!$U$62+'LINEST VARS'!$T$62*($AA$80)+'LINEST VARS'!$S$62*($Z101)+'LINEST VARS'!$R$62*(4)+'LINEST VARS'!$Q$62*(0.5)+'LINEST VARS'!$P$62*(12.73)+'LINEST VARS'!$O$62*($AA$80^2)+'LINEST VARS'!$N$62*($Z101^2)+'LINEST VARS'!$M$62*(4^2)+'LINEST VARS'!$L$62*(0.5^2)+'LINEST VARS'!$K$62*(12.73^2)+'LINEST VARS'!$J$62*($AA$80*$Z101)+'LINEST VARS'!$I$62*($AA$80*4)+'LINEST VARS'!$H$62*($AA$80*0.5)+'LINEST VARS'!$G$62*($AA$80*12.73)+'LINEST VARS'!$F$62*($Z101*4)+'LINEST VARS'!$E$62*($Z101*0.5)+'LINEST VARS'!$D$62*($Z101*12.73)+'LINEST VARS'!$C$62*(4*0.5)+'LINEST VARS'!$B$62*(4*12.73)+'LINEST VARS'!$A$62*(0.5*12.73)</f>
        <v>269.49999999999994</v>
      </c>
      <c r="AB101" s="57">
        <f>'LINEST VARS'!$U$62+'LINEST VARS'!$T$62*($AB$80)+'LINEST VARS'!$S$62*($Z101)+'LINEST VARS'!$R$62*(4)+'LINEST VARS'!$Q$62*(0.5)+'LINEST VARS'!$P$62*(12.73)+'LINEST VARS'!$O$62*($AB$80^2)+'LINEST VARS'!$N$62*($Z101^2)+'LINEST VARS'!$M$62*(4^2)+'LINEST VARS'!$L$62*(0.5^2)+'LINEST VARS'!$K$62*(12.73^2)+'LINEST VARS'!$J$62*($AB$80*$Z101)+'LINEST VARS'!$I$62*($AB$80*4)+'LINEST VARS'!$H$62*($AB$80*0.5)+'LINEST VARS'!$G$62*($AB$80*12.73)+'LINEST VARS'!$F$62*($Z101*4)+'LINEST VARS'!$E$62*($Z101*0.5)+'LINEST VARS'!$D$62*($Z101*12.73)+'LINEST VARS'!$C$62*(4*0.5)+'LINEST VARS'!$B$62*(4*12.73)+'LINEST VARS'!$A$62*(0.5*12.73)</f>
        <v>269.49999999999994</v>
      </c>
      <c r="AC101" s="57">
        <f>'LINEST VARS'!$U$62+'LINEST VARS'!$T$62*($AC$80)+'LINEST VARS'!$S$62*($Z101)+'LINEST VARS'!$R$62*(4)+'LINEST VARS'!$Q$62*(0.5)+'LINEST VARS'!$P$62*(12.73)+'LINEST VARS'!$O$62*($AC$80^2)+'LINEST VARS'!$N$62*($Z101^2)+'LINEST VARS'!$M$62*(4^2)+'LINEST VARS'!$L$62*(0.5^2)+'LINEST VARS'!$K$62*(12.73^2)+'LINEST VARS'!$J$62*($AC$80*$Z101)+'LINEST VARS'!$I$62*($AC$80*4)+'LINEST VARS'!$H$62*($AC$80*0.5)+'LINEST VARS'!$G$62*($AC$80*12.73)+'LINEST VARS'!$F$62*($Z101*4)+'LINEST VARS'!$E$62*($Z101*0.5)+'LINEST VARS'!$D$62*($Z101*12.73)+'LINEST VARS'!$C$62*(4*0.5)+'LINEST VARS'!$B$62*(4*12.73)+'LINEST VARS'!$A$62*(0.5*12.73)</f>
        <v>269.49999999999994</v>
      </c>
      <c r="AD101" s="57">
        <f>'LINEST VARS'!$U$62+'LINEST VARS'!$T$62*($AD$80)+'LINEST VARS'!$S$62*($Z101)+'LINEST VARS'!$R$62*(4)+'LINEST VARS'!$Q$62*(0.5)+'LINEST VARS'!$P$62*(12.73)+'LINEST VARS'!$O$62*($AD$80^2)+'LINEST VARS'!$N$62*($Z101^2)+'LINEST VARS'!$M$62*(4^2)+'LINEST VARS'!$L$62*(0.5^2)+'LINEST VARS'!$K$62*(12.73^2)+'LINEST VARS'!$J$62*($AD$80*$Z101)+'LINEST VARS'!$I$62*($AD$80*4)+'LINEST VARS'!$H$62*($AD$80*0.5)+'LINEST VARS'!$G$62*($AD$80*12.73)+'LINEST VARS'!$F$62*($Z101*4)+'LINEST VARS'!$E$62*($Z101*0.5)+'LINEST VARS'!$D$62*($Z101*12.73)+'LINEST VARS'!$C$62*(4*0.5)+'LINEST VARS'!$B$62*(4*12.73)+'LINEST VARS'!$A$62*(0.5*12.73)</f>
        <v>269.5</v>
      </c>
      <c r="AE101" s="57">
        <f>'LINEST VARS'!$U$62+'LINEST VARS'!$T$62*($AE$80)+'LINEST VARS'!$S$62*($Z101)+'LINEST VARS'!$R$62*(4)+'LINEST VARS'!$Q$62*(0.5)+'LINEST VARS'!$P$62*(12.73)+'LINEST VARS'!$O$62*($AE$80^2)+'LINEST VARS'!$N$62*($Z101^2)+'LINEST VARS'!$M$62*(4^2)+'LINEST VARS'!$L$62*(0.5^2)+'LINEST VARS'!$K$62*(12.73^2)+'LINEST VARS'!$J$62*($AE$80*$Z101)+'LINEST VARS'!$I$62*($AE$80*4)+'LINEST VARS'!$H$62*($AE$80*0.5)+'LINEST VARS'!$G$62*($AE$80*12.73)+'LINEST VARS'!$F$62*($Z101*4)+'LINEST VARS'!$E$62*($Z101*0.5)+'LINEST VARS'!$D$62*($Z101*12.73)+'LINEST VARS'!$C$62*(4*0.5)+'LINEST VARS'!$B$62*(4*12.73)+'LINEST VARS'!$A$62*(0.5*12.73)</f>
        <v>269.49999999999994</v>
      </c>
      <c r="AF101" s="57">
        <f>'LINEST VARS'!$U$62+'LINEST VARS'!$T$62*($AF$80)+'LINEST VARS'!$S$62*($Z101)+'LINEST VARS'!$R$62*(4)+'LINEST VARS'!$Q$62*(0.5)+'LINEST VARS'!$P$62*(12.73)+'LINEST VARS'!$O$62*($AF$80^2)+'LINEST VARS'!$N$62*($Z101^2)+'LINEST VARS'!$M$62*(4^2)+'LINEST VARS'!$L$62*(0.5^2)+'LINEST VARS'!$K$62*(12.73^2)+'LINEST VARS'!$J$62*($AF$80*$Z101)+'LINEST VARS'!$I$62*($AF$80*4)+'LINEST VARS'!$H$62*($AF$80*0.5)+'LINEST VARS'!$G$62*($AF$80*12.73)+'LINEST VARS'!$F$62*($Z101*4)+'LINEST VARS'!$E$62*($Z101*0.5)+'LINEST VARS'!$D$62*($Z101*12.73)+'LINEST VARS'!$C$62*(4*0.5)+'LINEST VARS'!$B$62*(4*12.73)+'LINEST VARS'!$A$62*(0.5*12.73)</f>
        <v>269.49999999999989</v>
      </c>
      <c r="AG101" s="57">
        <f>'LINEST VARS'!$U$62+'LINEST VARS'!$T$62*($AG$80)+'LINEST VARS'!$S$62*($Z101)+'LINEST VARS'!$R$62*(4)+'LINEST VARS'!$Q$62*(0.5)+'LINEST VARS'!$P$62*(12.73)+'LINEST VARS'!$O$62*($AG$80^2)+'LINEST VARS'!$N$62*($Z101^2)+'LINEST VARS'!$M$62*(4^2)+'LINEST VARS'!$L$62*(0.5^2)+'LINEST VARS'!$K$62*(12.73^2)+'LINEST VARS'!$J$62*($AG$80*$Z101)+'LINEST VARS'!$I$62*($AG$80*4)+'LINEST VARS'!$H$62*($AG$80*0.5)+'LINEST VARS'!$G$62*($AG$80*12.73)+'LINEST VARS'!$F$62*($Z101*4)+'LINEST VARS'!$E$62*($Z101*0.5)+'LINEST VARS'!$D$62*($Z101*12.73)+'LINEST VARS'!$C$62*(4*0.5)+'LINEST VARS'!$B$62*(4*12.73)+'LINEST VARS'!$A$62*(0.5*12.73)</f>
        <v>269.5</v>
      </c>
      <c r="AH101" s="57">
        <f>'LINEST VARS'!$U$62+'LINEST VARS'!$T$62*($AH$80)+'LINEST VARS'!$S$62*($Z101)+'LINEST VARS'!$R$62*(4)+'LINEST VARS'!$Q$62*(0.5)+'LINEST VARS'!$P$62*(12.73)+'LINEST VARS'!$O$62*($AH$80^2)+'LINEST VARS'!$N$62*($Z101^2)+'LINEST VARS'!$M$62*(4^2)+'LINEST VARS'!$L$62*(0.5^2)+'LINEST VARS'!$K$62*(12.73^2)+'LINEST VARS'!$J$62*($AH$80*$Z101)+'LINEST VARS'!$I$62*($AH$80*4)+'LINEST VARS'!$H$62*($AH$80*0.5)+'LINEST VARS'!$G$62*($AH$80*12.73)+'LINEST VARS'!$F$62*($Z101*4)+'LINEST VARS'!$E$62*($Z101*0.5)+'LINEST VARS'!$D$62*($Z101*12.73)+'LINEST VARS'!$C$62*(4*0.5)+'LINEST VARS'!$B$62*(4*12.73)+'LINEST VARS'!$A$62*(0.5*12.73)</f>
        <v>269.49999999999994</v>
      </c>
      <c r="AI101" s="57">
        <f>'LINEST VARS'!$U$62+'LINEST VARS'!$T$62*($AI$80)+'LINEST VARS'!$S$62*($Z101)+'LINEST VARS'!$R$62*(4)+'LINEST VARS'!$Q$62*(0.5)+'LINEST VARS'!$P$62*(12.73)+'LINEST VARS'!$O$62*($AI$80^2)+'LINEST VARS'!$N$62*($Z101^2)+'LINEST VARS'!$M$62*(4^2)+'LINEST VARS'!$L$62*(0.5^2)+'LINEST VARS'!$K$62*(12.73^2)+'LINEST VARS'!$J$62*($AI$80*$Z101)+'LINEST VARS'!$I$62*($AI$80*4)+'LINEST VARS'!$H$62*($AI$80*0.5)+'LINEST VARS'!$G$62*($AI$80*12.73)+'LINEST VARS'!$F$62*($Z101*4)+'LINEST VARS'!$E$62*($Z101*0.5)+'LINEST VARS'!$D$62*($Z101*12.73)+'LINEST VARS'!$C$62*(4*0.5)+'LINEST VARS'!$B$62*(4*12.73)+'LINEST VARS'!$A$62*(0.5*12.73)</f>
        <v>269.49999999999994</v>
      </c>
      <c r="AJ101" s="57">
        <f>'LINEST VARS'!$U$62+'LINEST VARS'!$T$62*($AJ$80)+'LINEST VARS'!$S$62*($Z101)+'LINEST VARS'!$R$62*(4)+'LINEST VARS'!$Q$62*(0.5)+'LINEST VARS'!$P$62*(12.73)+'LINEST VARS'!$O$62*($AJ$80^2)+'LINEST VARS'!$N$62*($Z101^2)+'LINEST VARS'!$M$62*(4^2)+'LINEST VARS'!$L$62*(0.5^2)+'LINEST VARS'!$K$62*(12.73^2)+'LINEST VARS'!$J$62*($AJ$80*$Z101)+'LINEST VARS'!$I$62*($AJ$80*4)+'LINEST VARS'!$H$62*($AJ$80*0.5)+'LINEST VARS'!$G$62*($AJ$80*12.73)+'LINEST VARS'!$F$62*($Z101*4)+'LINEST VARS'!$E$62*($Z101*0.5)+'LINEST VARS'!$D$62*($Z101*12.73)+'LINEST VARS'!$C$62*(4*0.5)+'LINEST VARS'!$B$62*(4*12.73)+'LINEST VARS'!$A$62*(0.5*12.73)</f>
        <v>269.49999999999994</v>
      </c>
      <c r="AK101" s="57">
        <f>'LINEST VARS'!$U$62+'LINEST VARS'!$T$62*($AK$80)+'LINEST VARS'!$S$62*($Z101)+'LINEST VARS'!$R$62*(4)+'LINEST VARS'!$Q$62*(0.5)+'LINEST VARS'!$P$62*(12.73)+'LINEST VARS'!$O$62*($AK$80^2)+'LINEST VARS'!$N$62*($Z101^2)+'LINEST VARS'!$M$62*(4^2)+'LINEST VARS'!$L$62*(0.5^2)+'LINEST VARS'!$K$62*(12.73^2)+'LINEST VARS'!$J$62*($AK$80*$Z101)+'LINEST VARS'!$I$62*($AK$80*4)+'LINEST VARS'!$H$62*($AK$80*0.5)+'LINEST VARS'!$G$62*($AK$80*12.73)+'LINEST VARS'!$F$62*($Z101*4)+'LINEST VARS'!$E$62*($Z101*0.5)+'LINEST VARS'!$D$62*($Z101*12.73)+'LINEST VARS'!$C$62*(4*0.5)+'LINEST VARS'!$B$62*(4*12.73)+'LINEST VARS'!$A$62*(0.5*12.73)</f>
        <v>269.49999999999994</v>
      </c>
      <c r="AL101" s="57">
        <f>'LINEST VARS'!$U$62+'LINEST VARS'!$T$62*($AL$80)+'LINEST VARS'!$S$62*($Z101)+'LINEST VARS'!$R$62*(4)+'LINEST VARS'!$Q$62*(0.5)+'LINEST VARS'!$P$62*(12.73)+'LINEST VARS'!$O$62*($AL$80^2)+'LINEST VARS'!$N$62*($Z101^2)+'LINEST VARS'!$M$62*(4^2)+'LINEST VARS'!$L$62*(0.5^2)+'LINEST VARS'!$K$62*(12.73^2)+'LINEST VARS'!$J$62*($AL$80*$Z101)+'LINEST VARS'!$I$62*($AL$80*4)+'LINEST VARS'!$H$62*($AL$80*0.5)+'LINEST VARS'!$G$62*($AL$80*12.73)+'LINEST VARS'!$F$62*($Z101*4)+'LINEST VARS'!$E$62*($Z101*0.5)+'LINEST VARS'!$D$62*($Z101*12.73)+'LINEST VARS'!$C$62*(4*0.5)+'LINEST VARS'!$B$62*(4*12.73)+'LINEST VARS'!$A$62*(0.5*12.73)</f>
        <v>269.49999999999994</v>
      </c>
      <c r="AM101" s="57">
        <f>'LINEST VARS'!$U$62+'LINEST VARS'!$T$62*($AM$80)+'LINEST VARS'!$S$62*($Z101)+'LINEST VARS'!$R$62*(4)+'LINEST VARS'!$Q$62*(0.5)+'LINEST VARS'!$P$62*(12.73)+'LINEST VARS'!$O$62*($AM$80^2)+'LINEST VARS'!$N$62*($Z101^2)+'LINEST VARS'!$M$62*(4^2)+'LINEST VARS'!$L$62*(0.5^2)+'LINEST VARS'!$K$62*(12.73^2)+'LINEST VARS'!$J$62*($AM$80*$Z101)+'LINEST VARS'!$I$62*($AM$80*4)+'LINEST VARS'!$H$62*($AM$80*0.5)+'LINEST VARS'!$G$62*($AM$80*12.73)+'LINEST VARS'!$F$62*($Z101*4)+'LINEST VARS'!$E$62*($Z101*0.5)+'LINEST VARS'!$D$62*($Z101*12.73)+'LINEST VARS'!$C$62*(4*0.5)+'LINEST VARS'!$B$62*(4*12.73)+'LINEST VARS'!$A$62*(0.5*12.73)</f>
        <v>269.49999999999994</v>
      </c>
      <c r="AN101" s="57">
        <f>'LINEST VARS'!$U$62+'LINEST VARS'!$T$62*($AN$80)+'LINEST VARS'!$S$62*($Z101)+'LINEST VARS'!$R$62*(4)+'LINEST VARS'!$Q$62*(0.5)+'LINEST VARS'!$P$62*(12.73)+'LINEST VARS'!$O$62*($AN$80^2)+'LINEST VARS'!$N$62*($Z101^2)+'LINEST VARS'!$M$62*(4^2)+'LINEST VARS'!$L$62*(0.5^2)+'LINEST VARS'!$K$62*(12.73^2)+'LINEST VARS'!$J$62*($AN$80*$Z101)+'LINEST VARS'!$I$62*($AN$80*4)+'LINEST VARS'!$H$62*($AN$80*0.5)+'LINEST VARS'!$G$62*($AN$80*12.73)+'LINEST VARS'!$F$62*($Z101*4)+'LINEST VARS'!$E$62*($Z101*0.5)+'LINEST VARS'!$D$62*($Z101*12.73)+'LINEST VARS'!$C$62*(4*0.5)+'LINEST VARS'!$B$62*(4*12.73)+'LINEST VARS'!$A$62*(0.5*12.73)</f>
        <v>269.49999999999994</v>
      </c>
      <c r="AO101" s="57">
        <f>'LINEST VARS'!$U$62+'LINEST VARS'!$T$62*($AO$80)+'LINEST VARS'!$S$62*($Z101)+'LINEST VARS'!$R$62*(4)+'LINEST VARS'!$Q$62*(0.5)+'LINEST VARS'!$P$62*(12.73)+'LINEST VARS'!$O$62*($AO$80^2)+'LINEST VARS'!$N$62*($Z101^2)+'LINEST VARS'!$M$62*(4^2)+'LINEST VARS'!$L$62*(0.5^2)+'LINEST VARS'!$K$62*(12.73^2)+'LINEST VARS'!$J$62*($AO$80*$Z101)+'LINEST VARS'!$I$62*($AO$80*4)+'LINEST VARS'!$H$62*($AO$80*0.5)+'LINEST VARS'!$G$62*($AO$80*12.73)+'LINEST VARS'!$F$62*($Z101*4)+'LINEST VARS'!$E$62*($Z101*0.5)+'LINEST VARS'!$D$62*($Z101*12.73)+'LINEST VARS'!$C$62*(4*0.5)+'LINEST VARS'!$B$62*(4*12.73)+'LINEST VARS'!$A$62*(0.5*12.73)</f>
        <v>269.49999999999994</v>
      </c>
      <c r="AP101" s="57">
        <f>'LINEST VARS'!$U$62+'LINEST VARS'!$T$62*($AP$80)+'LINEST VARS'!$S$62*($Z101)+'LINEST VARS'!$R$62*(4)+'LINEST VARS'!$Q$62*(0.5)+'LINEST VARS'!$P$62*(12.73)+'LINEST VARS'!$O$62*($AP$80^2)+'LINEST VARS'!$N$62*($Z101^2)+'LINEST VARS'!$M$62*(4^2)+'LINEST VARS'!$L$62*(0.5^2)+'LINEST VARS'!$K$62*(12.73^2)+'LINEST VARS'!$J$62*($AP$80*$Z101)+'LINEST VARS'!$I$62*($AP$80*4)+'LINEST VARS'!$H$62*($AP$80*0.5)+'LINEST VARS'!$G$62*($AP$80*12.73)+'LINEST VARS'!$F$62*($Z101*4)+'LINEST VARS'!$E$62*($Z101*0.5)+'LINEST VARS'!$D$62*($Z101*12.73)+'LINEST VARS'!$C$62*(4*0.5)+'LINEST VARS'!$B$62*(4*12.73)+'LINEST VARS'!$A$62*(0.5*12.73)</f>
        <v>269.5</v>
      </c>
      <c r="AQ101" s="57">
        <f>'LINEST VARS'!$U$62+'LINEST VARS'!$T$62*($AQ$80)+'LINEST VARS'!$S$62*($Z101)+'LINEST VARS'!$R$62*(4)+'LINEST VARS'!$Q$62*(0.5)+'LINEST VARS'!$P$62*(12.73)+'LINEST VARS'!$O$62*($AQ$80^2)+'LINEST VARS'!$N$62*($Z101^2)+'LINEST VARS'!$M$62*(4^2)+'LINEST VARS'!$L$62*(0.5^2)+'LINEST VARS'!$K$62*(12.73^2)+'LINEST VARS'!$J$62*($AQ$80*$Z101)+'LINEST VARS'!$I$62*($AQ$80*4)+'LINEST VARS'!$H$62*($AQ$80*0.5)+'LINEST VARS'!$G$62*($AQ$80*12.73)+'LINEST VARS'!$F$62*($Z101*4)+'LINEST VARS'!$E$62*($Z101*0.5)+'LINEST VARS'!$D$62*($Z101*12.73)+'LINEST VARS'!$C$62*(4*0.5)+'LINEST VARS'!$B$62*(4*12.73)+'LINEST VARS'!$A$62*(0.5*12.73)</f>
        <v>269.49999999999994</v>
      </c>
      <c r="AR101" s="57">
        <f>'LINEST VARS'!$U$62+'LINEST VARS'!$T$62*($AR$80)+'LINEST VARS'!$S$62*($Z101)+'LINEST VARS'!$R$62*(4)+'LINEST VARS'!$Q$62*(0.5)+'LINEST VARS'!$P$62*(12.73)+'LINEST VARS'!$O$62*($AR$80^2)+'LINEST VARS'!$N$62*($Z101^2)+'LINEST VARS'!$M$62*(4^2)+'LINEST VARS'!$L$62*(0.5^2)+'LINEST VARS'!$K$62*(12.73^2)+'LINEST VARS'!$J$62*($AR$80*$Z101)+'LINEST VARS'!$I$62*($AR$80*4)+'LINEST VARS'!$H$62*($AR$80*0.5)+'LINEST VARS'!$G$62*($AR$80*12.73)+'LINEST VARS'!$F$62*($Z101*4)+'LINEST VARS'!$E$62*($Z101*0.5)+'LINEST VARS'!$D$62*($Z101*12.73)+'LINEST VARS'!$C$62*(4*0.5)+'LINEST VARS'!$B$62*(4*12.73)+'LINEST VARS'!$A$62*(0.5*12.73)</f>
        <v>269.5</v>
      </c>
      <c r="AS101" s="57">
        <f>'LINEST VARS'!$U$62+'LINEST VARS'!$T$62*($AS$80)+'LINEST VARS'!$S$62*($Z101)+'LINEST VARS'!$R$62*(4)+'LINEST VARS'!$Q$62*(0.5)+'LINEST VARS'!$P$62*(12.73)+'LINEST VARS'!$O$62*($AS$80^2)+'LINEST VARS'!$N$62*($Z101^2)+'LINEST VARS'!$M$62*(4^2)+'LINEST VARS'!$L$62*(0.5^2)+'LINEST VARS'!$K$62*(12.73^2)+'LINEST VARS'!$J$62*($AS$80*$Z101)+'LINEST VARS'!$I$62*($AS$80*4)+'LINEST VARS'!$H$62*($AS$80*0.5)+'LINEST VARS'!$G$62*($AS$80*12.73)+'LINEST VARS'!$F$62*($Z101*4)+'LINEST VARS'!$E$62*($Z101*0.5)+'LINEST VARS'!$D$62*($Z101*12.73)+'LINEST VARS'!$C$62*(4*0.5)+'LINEST VARS'!$B$62*(4*12.73)+'LINEST VARS'!$A$62*(0.5*12.73)</f>
        <v>269.49999999999994</v>
      </c>
      <c r="AT101" s="57">
        <f>'LINEST VARS'!$U$62+'LINEST VARS'!$T$62*($AT$80)+'LINEST VARS'!$S$62*($Z101)+'LINEST VARS'!$R$62*(4)+'LINEST VARS'!$Q$62*(0.5)+'LINEST VARS'!$P$62*(12.73)+'LINEST VARS'!$O$62*($AT$80^2)+'LINEST VARS'!$N$62*($Z101^2)+'LINEST VARS'!$M$62*(4^2)+'LINEST VARS'!$L$62*(0.5^2)+'LINEST VARS'!$K$62*(12.73^2)+'LINEST VARS'!$J$62*($AT$80*$Z101)+'LINEST VARS'!$I$62*($AT$80*4)+'LINEST VARS'!$H$62*($AT$80*0.5)+'LINEST VARS'!$G$62*($AT$80*12.73)+'LINEST VARS'!$F$62*($Z101*4)+'LINEST VARS'!$E$62*($Z101*0.5)+'LINEST VARS'!$D$62*($Z101*12.73)+'LINEST VARS'!$C$62*(4*0.5)+'LINEST VARS'!$B$62*(4*12.73)+'LINEST VARS'!$A$62*(0.5*12.73)</f>
        <v>269.49999999999994</v>
      </c>
      <c r="AU101" s="58">
        <f>'LINEST VARS'!$U$62+'LINEST VARS'!$T$62*($AU$80)+'LINEST VARS'!$S$62*($Z101)+'LINEST VARS'!$R$62*(4)+'LINEST VARS'!$Q$62*(0.5)+'LINEST VARS'!$P$62*(12.73)+'LINEST VARS'!$O$62*($AU$80^2)+'LINEST VARS'!$N$62*($Z101^2)+'LINEST VARS'!$M$62*(4^2)+'LINEST VARS'!$L$62*(0.5^2)+'LINEST VARS'!$K$62*(12.73^2)+'LINEST VARS'!$J$62*($AU$80*$Z101)+'LINEST VARS'!$I$62*($AU$80*4)+'LINEST VARS'!$H$62*($AU$80*0.5)+'LINEST VARS'!$G$62*($AU$80*12.73)+'LINEST VARS'!$F$62*($Z101*4)+'LINEST VARS'!$E$62*($Z101*0.5)+'LINEST VARS'!$D$62*($Z101*12.73)+'LINEST VARS'!$C$62*(4*0.5)+'LINEST VARS'!$B$62*(4*12.73)+'LINEST VARS'!$A$62*(0.5*12.73)</f>
        <v>269.50000000000006</v>
      </c>
      <c r="AZ101" s="48">
        <v>1</v>
      </c>
      <c r="BA101" s="49">
        <f>'LINEST VARS'!$U$60+'LINEST VARS'!$T$60*(8)+'LINEST VARS'!$S$60*(8)+'LINEST VARS'!$R$60*($BA$80)+'LINEST VARS'!$Q$60*($AZ101)+'LINEST VARS'!$P$60*(12.73)+'LINEST VARS'!$O$60*(8^2)+'LINEST VARS'!$N$60*(8^2)+'LINEST VARS'!$M$60*($BA$80^2)+'LINEST VARS'!$L$60*($AZ101^2)+'LINEST VARS'!$K$60*(12.73^2)+'LINEST VARS'!$J$60*(8*8)+'LINEST VARS'!$I$60*(8*$BA$80)+'LINEST VARS'!$H$60*(8*$AZ101)+'LINEST VARS'!$G$60*(8*12.73)+'LINEST VARS'!$F$60*(8*$BA$80)+'LINEST VARS'!$E$60*(8*$AZ101)+'LINEST VARS'!$D$60*(8*12.73)+'LINEST VARS'!$C$60*($BA$80*$AZ101)+'LINEST VARS'!$B$60*($BA$80*12.73)+'LINEST VARS'!$A$60*($AZ101*12.73)</f>
        <v>40.460000000000015</v>
      </c>
      <c r="BB101" s="49">
        <f>'LINEST VARS'!$U$60+'LINEST VARS'!$T$60*(8)+'LINEST VARS'!$S$60*(8)+'LINEST VARS'!$R$60*($BB$80)+'LINEST VARS'!$Q$60*($AZ101)+'LINEST VARS'!$P$60*(12.73)+'LINEST VARS'!$O$60*(8^2)+'LINEST VARS'!$N$60*(8^2)+'LINEST VARS'!$M$60*($BB$80^2)+'LINEST VARS'!$L$60*($AZ101^2)+'LINEST VARS'!$K$60*(12.73^2)+'LINEST VARS'!$J$60*(8*8)+'LINEST VARS'!$I$60*(8*$BB$80)+'LINEST VARS'!$H$60*(8*$AZ101)+'LINEST VARS'!$G$60*(8*12.73)+'LINEST VARS'!$F$60*(8*$BB$80)+'LINEST VARS'!$E$60*(8*$AZ101)+'LINEST VARS'!$D$60*(8*12.73)+'LINEST VARS'!$C$60*($BB$80*$AZ101)+'LINEST VARS'!$B$60*($BB$80*12.73)+'LINEST VARS'!$A$60*($AZ101*12.73)</f>
        <v>40.460000000000015</v>
      </c>
      <c r="BC101" s="49">
        <f>'LINEST VARS'!$U$60+'LINEST VARS'!$T$60*(8)+'LINEST VARS'!$S$60*(8)+'LINEST VARS'!$R$60*($BC$80)+'LINEST VARS'!$Q$60*($AZ101)+'LINEST VARS'!$P$60*(12.73)+'LINEST VARS'!$O$60*(8^2)+'LINEST VARS'!$N$60*(8^2)+'LINEST VARS'!$M$60*($BC$80^2)+'LINEST VARS'!$L$60*($AZ101^2)+'LINEST VARS'!$K$60*(12.73^2)+'LINEST VARS'!$J$60*(8*8)+'LINEST VARS'!$I$60*(8*$BC$80)+'LINEST VARS'!$H$60*(8*$AZ101)+'LINEST VARS'!$G$60*(8*12.73)+'LINEST VARS'!$F$60*(8*$BC$80)+'LINEST VARS'!$E$60*(8*$AZ101)+'LINEST VARS'!$D$60*(8*12.73)+'LINEST VARS'!$C$60*($BC$80*$AZ101)+'LINEST VARS'!$B$60*($BC$80*12.73)+'LINEST VARS'!$A$60*($AZ101*12.73)</f>
        <v>40.460000000000015</v>
      </c>
      <c r="BD101" s="49">
        <f>'LINEST VARS'!$U$60+'LINEST VARS'!$T$60*(8)+'LINEST VARS'!$S$60*(8)+'LINEST VARS'!$R$60*($BD$80)+'LINEST VARS'!$Q$60*($AZ101)+'LINEST VARS'!$P$60*(12.73)+'LINEST VARS'!$O$60*(8^2)+'LINEST VARS'!$N$60*(8^2)+'LINEST VARS'!$M$60*($BD$80^2)+'LINEST VARS'!$L$60*($AZ101^2)+'LINEST VARS'!$K$60*(12.73^2)+'LINEST VARS'!$J$60*(8*8)+'LINEST VARS'!$I$60*(8*$BD$80)+'LINEST VARS'!$H$60*(8*$AZ101)+'LINEST VARS'!$G$60*(8*12.73)+'LINEST VARS'!$F$60*(8*$BD$80)+'LINEST VARS'!$E$60*(8*$AZ101)+'LINEST VARS'!$D$60*(8*12.73)+'LINEST VARS'!$C$60*($BD$80*$AZ101)+'LINEST VARS'!$B$60*($BD$80*12.73)+'LINEST VARS'!$A$60*($AZ101*12.73)</f>
        <v>40.460000000000015</v>
      </c>
      <c r="BE101" s="49">
        <f>'LINEST VARS'!$U$60+'LINEST VARS'!$T$60*(8)+'LINEST VARS'!$S$60*(8)+'LINEST VARS'!$R$60*($BE$80)+'LINEST VARS'!$Q$60*($AZ101)+'LINEST VARS'!$P$60*(12.73)+'LINEST VARS'!$O$60*(8^2)+'LINEST VARS'!$N$60*(8^2)+'LINEST VARS'!$M$60*($BE$80^2)+'LINEST VARS'!$L$60*($AZ101^2)+'LINEST VARS'!$K$60*(12.73^2)+'LINEST VARS'!$J$60*(8*8)+'LINEST VARS'!$I$60*(8*$BE$80)+'LINEST VARS'!$H$60*(8*$AZ101)+'LINEST VARS'!$G$60*(8*12.73)+'LINEST VARS'!$F$60*(8*$BE$80)+'LINEST VARS'!$E$60*(8*$AZ101)+'LINEST VARS'!$D$60*(8*12.73)+'LINEST VARS'!$C$60*($BE$80*$AZ101)+'LINEST VARS'!$B$60*($BE$80*12.73)+'LINEST VARS'!$A$60*($AZ101*12.73)</f>
        <v>40.460000000000008</v>
      </c>
      <c r="BF101" s="49">
        <f>'LINEST VARS'!$U$60+'LINEST VARS'!$T$60*(8)+'LINEST VARS'!$S$60*(8)+'LINEST VARS'!$R$60*($BF$80)+'LINEST VARS'!$Q$60*($AZ101)+'LINEST VARS'!$P$60*(12.73)+'LINEST VARS'!$O$60*(8^2)+'LINEST VARS'!$N$60*(8^2)+'LINEST VARS'!$M$60*($BF$80^2)+'LINEST VARS'!$L$60*($AZ101^2)+'LINEST VARS'!$K$60*(12.73^2)+'LINEST VARS'!$J$60*(8*8)+'LINEST VARS'!$I$60*(8*$BF$80)+'LINEST VARS'!$H$60*(8*$AZ101)+'LINEST VARS'!$G$60*(8*12.73)+'LINEST VARS'!$F$60*(8*$BF$80)+'LINEST VARS'!$E$60*(8*$AZ101)+'LINEST VARS'!$D$60*(8*12.73)+'LINEST VARS'!$C$60*($BF$80*$AZ101)+'LINEST VARS'!$B$60*($BF$80*12.73)+'LINEST VARS'!$A$60*($AZ101*12.73)</f>
        <v>40.460000000000008</v>
      </c>
      <c r="BG101" s="49">
        <f>'LINEST VARS'!$U$60+'LINEST VARS'!$T$60*(8)+'LINEST VARS'!$S$60*(8)+'LINEST VARS'!$R$60*($BG$80)+'LINEST VARS'!$Q$60*($AZ101)+'LINEST VARS'!$P$60*(12.73)+'LINEST VARS'!$O$60*(8^2)+'LINEST VARS'!$N$60*(8^2)+'LINEST VARS'!$M$60*($BG$80^2)+'LINEST VARS'!$L$60*($AZ101^2)+'LINEST VARS'!$K$60*(12.73^2)+'LINEST VARS'!$J$60*(8*8)+'LINEST VARS'!$I$60*(8*$BG$80)+'LINEST VARS'!$H$60*(8*$AZ101)+'LINEST VARS'!$G$60*(8*12.73)+'LINEST VARS'!$F$60*(8*$BG$80)+'LINEST VARS'!$E$60*(8*$AZ101)+'LINEST VARS'!$D$60*(8*12.73)+'LINEST VARS'!$C$60*($BG$80*$AZ101)+'LINEST VARS'!$B$60*($BG$80*12.73)+'LINEST VARS'!$A$60*($AZ101*12.73)</f>
        <v>40.460000000000008</v>
      </c>
      <c r="BH101" s="49">
        <f>'LINEST VARS'!$U$60+'LINEST VARS'!$T$60*(8)+'LINEST VARS'!$S$60*(8)+'LINEST VARS'!$R$60*($BH$80)+'LINEST VARS'!$Q$60*($AZ101)+'LINEST VARS'!$P$60*(12.73)+'LINEST VARS'!$O$60*(8^2)+'LINEST VARS'!$N$60*(8^2)+'LINEST VARS'!$M$60*($BH$80^2)+'LINEST VARS'!$L$60*($AZ101^2)+'LINEST VARS'!$K$60*(12.73^2)+'LINEST VARS'!$J$60*(8*8)+'LINEST VARS'!$I$60*(8*$BH$80)+'LINEST VARS'!$H$60*(8*$AZ101)+'LINEST VARS'!$G$60*(8*12.73)+'LINEST VARS'!$F$60*(8*$BH$80)+'LINEST VARS'!$E$60*(8*$AZ101)+'LINEST VARS'!$D$60*(8*12.73)+'LINEST VARS'!$C$60*($BH$80*$AZ101)+'LINEST VARS'!$B$60*($BH$80*12.73)+'LINEST VARS'!$A$60*($AZ101*12.73)</f>
        <v>40.460000000000015</v>
      </c>
      <c r="BI101" s="49">
        <f>'LINEST VARS'!$U$60+'LINEST VARS'!$T$60*(8)+'LINEST VARS'!$S$60*(8)+'LINEST VARS'!$R$60*($BI$80)+'LINEST VARS'!$Q$60*($AZ101)+'LINEST VARS'!$P$60*(12.73)+'LINEST VARS'!$O$60*(8^2)+'LINEST VARS'!$N$60*(8^2)+'LINEST VARS'!$M$60*($BI$80^2)+'LINEST VARS'!$L$60*($AZ101^2)+'LINEST VARS'!$K$60*(12.73^2)+'LINEST VARS'!$J$60*(8*8)+'LINEST VARS'!$I$60*(8*$BI$80)+'LINEST VARS'!$H$60*(8*$AZ101)+'LINEST VARS'!$G$60*(8*12.73)+'LINEST VARS'!$F$60*(8*$BI$80)+'LINEST VARS'!$E$60*(8*$AZ101)+'LINEST VARS'!$D$60*(8*12.73)+'LINEST VARS'!$C$60*($BI$80*$AZ101)+'LINEST VARS'!$B$60*($BI$80*12.73)+'LINEST VARS'!$A$60*($AZ101*12.73)</f>
        <v>40.460000000000015</v>
      </c>
      <c r="BJ101" s="49">
        <f>'LINEST VARS'!$U$60+'LINEST VARS'!$T$60*(8)+'LINEST VARS'!$S$60*(8)+'LINEST VARS'!$R$60*($BJ$80)+'LINEST VARS'!$Q$60*($AZ101)+'LINEST VARS'!$P$60*(12.73)+'LINEST VARS'!$O$60*(8^2)+'LINEST VARS'!$N$60*(8^2)+'LINEST VARS'!$M$60*($BJ$80^2)+'LINEST VARS'!$L$60*($AZ101^2)+'LINEST VARS'!$K$60*(12.73^2)+'LINEST VARS'!$J$60*(8*8)+'LINEST VARS'!$I$60*(8*$BJ$80)+'LINEST VARS'!$H$60*(8*$AZ101)+'LINEST VARS'!$G$60*(8*12.73)+'LINEST VARS'!$F$60*(8*$BJ$80)+'LINEST VARS'!$E$60*(8*$AZ101)+'LINEST VARS'!$D$60*(8*12.73)+'LINEST VARS'!$C$60*($BJ$80*$AZ101)+'LINEST VARS'!$B$60*($BJ$80*12.73)+'LINEST VARS'!$A$60*($AZ101*12.73)</f>
        <v>40.460000000000015</v>
      </c>
      <c r="BK101" s="49">
        <f>'LINEST VARS'!$U$60+'LINEST VARS'!$T$60*(8)+'LINEST VARS'!$S$60*(8)+'LINEST VARS'!$R$60*($BK$80)+'LINEST VARS'!$Q$60*($AZ101)+'LINEST VARS'!$P$60*(12.73)+'LINEST VARS'!$O$60*(8^2)+'LINEST VARS'!$N$60*(8^2)+'LINEST VARS'!$M$60*($BK$80^2)+'LINEST VARS'!$L$60*($AZ101^2)+'LINEST VARS'!$K$60*(12.73^2)+'LINEST VARS'!$J$60*(8*8)+'LINEST VARS'!$I$60*(8*$BK$80)+'LINEST VARS'!$H$60*(8*$AZ101)+'LINEST VARS'!$G$60*(8*12.73)+'LINEST VARS'!$F$60*(8*$BK$80)+'LINEST VARS'!$E$60*(8*$AZ101)+'LINEST VARS'!$D$60*(8*12.73)+'LINEST VARS'!$C$60*($BK$80*$AZ101)+'LINEST VARS'!$B$60*($BK$80*12.73)+'LINEST VARS'!$A$60*($AZ101*12.73)</f>
        <v>40.460000000000015</v>
      </c>
      <c r="BL101" s="49">
        <f>'LINEST VARS'!$U$60+'LINEST VARS'!$T$60*(8)+'LINEST VARS'!$S$60*(8)+'LINEST VARS'!$R$60*($BL$80)+'LINEST VARS'!$Q$60*($AZ101)+'LINEST VARS'!$P$60*(12.73)+'LINEST VARS'!$O$60*(8^2)+'LINEST VARS'!$N$60*(8^2)+'LINEST VARS'!$M$60*($BL$80^2)+'LINEST VARS'!$L$60*($AZ101^2)+'LINEST VARS'!$K$60*(12.73^2)+'LINEST VARS'!$J$60*(8*8)+'LINEST VARS'!$I$60*(8*$BL$80)+'LINEST VARS'!$H$60*(8*$AZ101)+'LINEST VARS'!$G$60*(8*12.73)+'LINEST VARS'!$F$60*(8*$BL$80)+'LINEST VARS'!$E$60*(8*$AZ101)+'LINEST VARS'!$D$60*(8*12.73)+'LINEST VARS'!$C$60*($BL$80*$AZ101)+'LINEST VARS'!$B$60*($BL$80*12.73)+'LINEST VARS'!$A$60*($AZ101*12.73)</f>
        <v>40.460000000000008</v>
      </c>
      <c r="BM101" s="49">
        <f>'LINEST VARS'!$U$60+'LINEST VARS'!$T$60*(8)+'LINEST VARS'!$S$60*(8)+'LINEST VARS'!$R$60*($BM$80)+'LINEST VARS'!$Q$60*($AZ101)+'LINEST VARS'!$P$60*(12.73)+'LINEST VARS'!$O$60*(8^2)+'LINEST VARS'!$N$60*(8^2)+'LINEST VARS'!$M$60*($BM$80^2)+'LINEST VARS'!$L$60*($AZ101^2)+'LINEST VARS'!$K$60*(12.73^2)+'LINEST VARS'!$J$60*(8*8)+'LINEST VARS'!$I$60*(8*$BM$80)+'LINEST VARS'!$H$60*(8*$AZ101)+'LINEST VARS'!$G$60*(8*12.73)+'LINEST VARS'!$F$60*(8*$BM$80)+'LINEST VARS'!$E$60*(8*$AZ101)+'LINEST VARS'!$D$60*(8*12.73)+'LINEST VARS'!$C$60*($BM$80*$AZ101)+'LINEST VARS'!$B$60*($BM$80*12.73)+'LINEST VARS'!$A$60*($AZ101*12.73)</f>
        <v>40.460000000000015</v>
      </c>
      <c r="BN101" s="49">
        <f>'LINEST VARS'!$U$60+'LINEST VARS'!$T$60*(8)+'LINEST VARS'!$S$60*(8)+'LINEST VARS'!$R$60*($BN$80)+'LINEST VARS'!$Q$60*($AZ101)+'LINEST VARS'!$P$60*(12.73)+'LINEST VARS'!$O$60*(8^2)+'LINEST VARS'!$N$60*(8^2)+'LINEST VARS'!$M$60*($BN$80^2)+'LINEST VARS'!$L$60*($AZ101^2)+'LINEST VARS'!$K$60*(12.73^2)+'LINEST VARS'!$J$60*(8*8)+'LINEST VARS'!$I$60*(8*$BN$80)+'LINEST VARS'!$H$60*(8*$AZ101)+'LINEST VARS'!$G$60*(8*12.73)+'LINEST VARS'!$F$60*(8*$BN$80)+'LINEST VARS'!$E$60*(8*$AZ101)+'LINEST VARS'!$D$60*(8*12.73)+'LINEST VARS'!$C$60*($BN$80*$AZ101)+'LINEST VARS'!$B$60*($BN$80*12.73)+'LINEST VARS'!$A$60*($AZ101*12.73)</f>
        <v>40.460000000000008</v>
      </c>
      <c r="BO101" s="49">
        <f>'LINEST VARS'!$U$60+'LINEST VARS'!$T$60*(8)+'LINEST VARS'!$S$60*(8)+'LINEST VARS'!$R$60*($BO$80)+'LINEST VARS'!$Q$60*($AZ101)+'LINEST VARS'!$P$60*(12.73)+'LINEST VARS'!$O$60*(8^2)+'LINEST VARS'!$N$60*(8^2)+'LINEST VARS'!$M$60*($BO$80^2)+'LINEST VARS'!$L$60*($AZ101^2)+'LINEST VARS'!$K$60*(12.73^2)+'LINEST VARS'!$J$60*(8*8)+'LINEST VARS'!$I$60*(8*$BO$80)+'LINEST VARS'!$H$60*(8*$AZ101)+'LINEST VARS'!$G$60*(8*12.73)+'LINEST VARS'!$F$60*(8*$BO$80)+'LINEST VARS'!$E$60*(8*$AZ101)+'LINEST VARS'!$D$60*(8*12.73)+'LINEST VARS'!$C$60*($BO$80*$AZ101)+'LINEST VARS'!$B$60*($BO$80*12.73)+'LINEST VARS'!$A$60*($AZ101*12.73)</f>
        <v>40.460000000000015</v>
      </c>
      <c r="BP101" s="49">
        <f>'LINEST VARS'!$U$60+'LINEST VARS'!$T$60*(8)+'LINEST VARS'!$S$60*(8)+'LINEST VARS'!$R$60*($BP$80)+'LINEST VARS'!$Q$60*($AZ101)+'LINEST VARS'!$P$60*(12.73)+'LINEST VARS'!$O$60*(8^2)+'LINEST VARS'!$N$60*(8^2)+'LINEST VARS'!$M$60*($BP$80^2)+'LINEST VARS'!$L$60*($AZ101^2)+'LINEST VARS'!$K$60*(12.73^2)+'LINEST VARS'!$J$60*(8*8)+'LINEST VARS'!$I$60*(8*$BP$80)+'LINEST VARS'!$H$60*(8*$AZ101)+'LINEST VARS'!$G$60*(8*12.73)+'LINEST VARS'!$F$60*(8*$BP$80)+'LINEST VARS'!$E$60*(8*$AZ101)+'LINEST VARS'!$D$60*(8*12.73)+'LINEST VARS'!$C$60*($BP$80*$AZ101)+'LINEST VARS'!$B$60*($BP$80*12.73)+'LINEST VARS'!$A$60*($AZ101*12.73)</f>
        <v>40.460000000000015</v>
      </c>
      <c r="BQ101" s="49">
        <f>'LINEST VARS'!$U$60+'LINEST VARS'!$T$60*(8)+'LINEST VARS'!$S$60*(8)+'LINEST VARS'!$R$60*($BQ$80)+'LINEST VARS'!$Q$60*($AZ101)+'LINEST VARS'!$P$60*(12.73)+'LINEST VARS'!$O$60*(8^2)+'LINEST VARS'!$N$60*(8^2)+'LINEST VARS'!$M$60*($BQ$80^2)+'LINEST VARS'!$L$60*($AZ101^2)+'LINEST VARS'!$K$60*(12.73^2)+'LINEST VARS'!$J$60*(8*8)+'LINEST VARS'!$I$60*(8*$BQ$80)+'LINEST VARS'!$H$60*(8*$AZ101)+'LINEST VARS'!$G$60*(8*12.73)+'LINEST VARS'!$F$60*(8*$BQ$80)+'LINEST VARS'!$E$60*(8*$AZ101)+'LINEST VARS'!$D$60*(8*12.73)+'LINEST VARS'!$C$60*($BQ$80*$AZ101)+'LINEST VARS'!$B$60*($BQ$80*12.73)+'LINEST VARS'!$A$60*($AZ101*12.73)</f>
        <v>40.460000000000015</v>
      </c>
      <c r="BR101" s="49">
        <f>'LINEST VARS'!$U$60+'LINEST VARS'!$T$60*(8)+'LINEST VARS'!$S$60*(8)+'LINEST VARS'!$R$60*($BR$80)+'LINEST VARS'!$Q$60*($AZ101)+'LINEST VARS'!$P$60*(12.73)+'LINEST VARS'!$O$60*(8^2)+'LINEST VARS'!$N$60*(8^2)+'LINEST VARS'!$M$60*($BR$80^2)+'LINEST VARS'!$L$60*($AZ101^2)+'LINEST VARS'!$K$60*(12.73^2)+'LINEST VARS'!$J$60*(8*8)+'LINEST VARS'!$I$60*(8*$BR$80)+'LINEST VARS'!$H$60*(8*$AZ101)+'LINEST VARS'!$G$60*(8*12.73)+'LINEST VARS'!$F$60*(8*$BR$80)+'LINEST VARS'!$E$60*(8*$AZ101)+'LINEST VARS'!$D$60*(8*12.73)+'LINEST VARS'!$C$60*($BR$80*$AZ101)+'LINEST VARS'!$B$60*($BR$80*12.73)+'LINEST VARS'!$A$60*($AZ101*12.73)</f>
        <v>40.460000000000015</v>
      </c>
      <c r="BS101" s="49">
        <f>'LINEST VARS'!$U$60+'LINEST VARS'!$T$60*(8)+'LINEST VARS'!$S$60*(8)+'LINEST VARS'!$R$60*($BS$80)+'LINEST VARS'!$Q$60*($AZ101)+'LINEST VARS'!$P$60*(12.73)+'LINEST VARS'!$O$60*(8^2)+'LINEST VARS'!$N$60*(8^2)+'LINEST VARS'!$M$60*($BS$80^2)+'LINEST VARS'!$L$60*($AZ101^2)+'LINEST VARS'!$K$60*(12.73^2)+'LINEST VARS'!$J$60*(8*8)+'LINEST VARS'!$I$60*(8*$BS$80)+'LINEST VARS'!$H$60*(8*$AZ101)+'LINEST VARS'!$G$60*(8*12.73)+'LINEST VARS'!$F$60*(8*$BS$80)+'LINEST VARS'!$E$60*(8*$AZ101)+'LINEST VARS'!$D$60*(8*12.73)+'LINEST VARS'!$C$60*($BS$80*$AZ101)+'LINEST VARS'!$B$60*($BS$80*12.73)+'LINEST VARS'!$A$60*($AZ101*12.73)</f>
        <v>40.46</v>
      </c>
      <c r="BT101" s="49">
        <f>'LINEST VARS'!$U$60+'LINEST VARS'!$T$60*(8)+'LINEST VARS'!$S$60*(8)+'LINEST VARS'!$R$60*($BT$80)+'LINEST VARS'!$Q$60*($AZ101)+'LINEST VARS'!$P$60*(12.73)+'LINEST VARS'!$O$60*(8^2)+'LINEST VARS'!$N$60*(8^2)+'LINEST VARS'!$M$60*($BT$80^2)+'LINEST VARS'!$L$60*($AZ101^2)+'LINEST VARS'!$K$60*(12.73^2)+'LINEST VARS'!$J$60*(8*8)+'LINEST VARS'!$I$60*(8*$BT$80)+'LINEST VARS'!$H$60*(8*$AZ101)+'LINEST VARS'!$G$60*(8*12.73)+'LINEST VARS'!$F$60*(8*$BT$80)+'LINEST VARS'!$E$60*(8*$AZ101)+'LINEST VARS'!$D$60*(8*12.73)+'LINEST VARS'!$C$60*($BT$80*$AZ101)+'LINEST VARS'!$B$60*($BT$80*12.73)+'LINEST VARS'!$A$60*($AZ101*12.73)</f>
        <v>40.460000000000008</v>
      </c>
      <c r="BU101" s="50">
        <f>'LINEST VARS'!$U$60+'LINEST VARS'!$T$60*(8)+'LINEST VARS'!$S$60*(8)+'LINEST VARS'!$R$60*($BU$80)+'LINEST VARS'!$Q$60*($AZ101)+'LINEST VARS'!$P$60*(12.73)+'LINEST VARS'!$O$60*(8^2)+'LINEST VARS'!$N$60*(8^2)+'LINEST VARS'!$M$60*($BU$80^2)+'LINEST VARS'!$L$60*($AZ101^2)+'LINEST VARS'!$K$60*(12.73^2)+'LINEST VARS'!$J$60*(8*8)+'LINEST VARS'!$I$60*(8*$BU$80)+'LINEST VARS'!$H$60*(8*$AZ101)+'LINEST VARS'!$G$60*(8*12.73)+'LINEST VARS'!$F$60*(8*$BU$80)+'LINEST VARS'!$E$60*(8*$AZ101)+'LINEST VARS'!$D$60*(8*12.73)+'LINEST VARS'!$C$60*($BU$80*$AZ101)+'LINEST VARS'!$B$60*($BU$80*12.73)+'LINEST VARS'!$A$60*($AZ101*12.73)</f>
        <v>40.460000000000008</v>
      </c>
      <c r="BX101" s="48">
        <v>1</v>
      </c>
      <c r="BY101" s="57">
        <f>'LINEST VARS'!$U$62+'LINEST VARS'!$T$62*(8)+'LINEST VARS'!$S$62*(8)+'LINEST VARS'!$R$62*($BY$80)+'LINEST VARS'!$Q$62*($BX101)+'LINEST VARS'!$P$62*(12.73)+'LINEST VARS'!$O$62*(8^2)+'LINEST VARS'!$N$62*(8^2)+'LINEST VARS'!$M$62*($BY$80^2)+'LINEST VARS'!$L$62*($BX101^2)+'LINEST VARS'!$K$62*(12.73^2)+'LINEST VARS'!$J$62*(8*8)+'LINEST VARS'!$I$62*(8*$BY$80)+'LINEST VARS'!$H$62*(8*$BX101)+'LINEST VARS'!$G$62*(8*12.73)+'LINEST VARS'!$F$62*(8*$BY$80)+'LINEST VARS'!$E$62*(8*$BX101)+'LINEST VARS'!$D$62*(8*12.73)+'LINEST VARS'!$C$62*($BY$80*$BX101)+'LINEST VARS'!$B$62*($BY$80*12.73)+'LINEST VARS'!$A$62*($BX101*12.73)</f>
        <v>347.99999999999994</v>
      </c>
      <c r="BZ101" s="57">
        <f>'LINEST VARS'!$U$62+'LINEST VARS'!$T$62*(8)+'LINEST VARS'!$S$62*(8)+'LINEST VARS'!$R$62*($BZ$80)+'LINEST VARS'!$Q$62*($BX101)+'LINEST VARS'!$P$62*(12.73)+'LINEST VARS'!$O$62*(8^2)+'LINEST VARS'!$N$62*(8^2)+'LINEST VARS'!$M$62*($BZ$80^2)+'LINEST VARS'!$L$62*($BX101^2)+'LINEST VARS'!$K$62*(12.73^2)+'LINEST VARS'!$J$62*(8*8)+'LINEST VARS'!$I$62*(8*$BZ$80)+'LINEST VARS'!$H$62*(8*$BX101)+'LINEST VARS'!$G$62*(8*12.73)+'LINEST VARS'!$F$62*(8*$BZ$80)+'LINEST VARS'!$E$62*(8*$BX101)+'LINEST VARS'!$D$62*(8*12.73)+'LINEST VARS'!$C$62*($BZ$80*$BX101)+'LINEST VARS'!$B$62*($BZ$80*12.73)+'LINEST VARS'!$A$62*($BX101*12.73)</f>
        <v>347.2</v>
      </c>
      <c r="CA101" s="57">
        <f>'LINEST VARS'!$U$62+'LINEST VARS'!$T$62*(8)+'LINEST VARS'!$S$62*(8)+'LINEST VARS'!$R$62*($CA$80)+'LINEST VARS'!$Q$62*($BX101)+'LINEST VARS'!$P$62*(12.73)+'LINEST VARS'!$O$62*(8^2)+'LINEST VARS'!$N$62*(8^2)+'LINEST VARS'!$M$62*($CA$80^2)+'LINEST VARS'!$L$62*($BX101^2)+'LINEST VARS'!$K$62*(12.73^2)+'LINEST VARS'!$J$62*(8*8)+'LINEST VARS'!$I$62*(8*$CA$80)+'LINEST VARS'!$H$62*(8*$BX101)+'LINEST VARS'!$G$62*(8*12.73)+'LINEST VARS'!$F$62*(8*$CA$80)+'LINEST VARS'!$E$62*(8*$BX101)+'LINEST VARS'!$D$62*(8*12.73)+'LINEST VARS'!$C$62*($CA$80*$BX101)+'LINEST VARS'!$B$62*($CA$80*12.73)+'LINEST VARS'!$A$62*($BX101*12.73)</f>
        <v>344.7999999999999</v>
      </c>
      <c r="CB101" s="57">
        <f>'LINEST VARS'!$U$62+'LINEST VARS'!$T$62*(8)+'LINEST VARS'!$S$62*(8)+'LINEST VARS'!$R$62*($CB$80)+'LINEST VARS'!$Q$62*($BX101)+'LINEST VARS'!$P$62*(12.73)+'LINEST VARS'!$O$62*(8^2)+'LINEST VARS'!$N$62*(8^2)+'LINEST VARS'!$M$62*($CB$80^2)+'LINEST VARS'!$L$62*($BX101^2)+'LINEST VARS'!$K$62*(12.73^2)+'LINEST VARS'!$J$62*(8*8)+'LINEST VARS'!$I$62*(8*$CB$80)+'LINEST VARS'!$H$62*(8*$BX101)+'LINEST VARS'!$G$62*(8*12.73)+'LINEST VARS'!$F$62*(8*$CB$80)+'LINEST VARS'!$E$62*(8*$BX101)+'LINEST VARS'!$D$62*(8*12.73)+'LINEST VARS'!$C$62*($CB$80*$BX101)+'LINEST VARS'!$B$62*($CB$80*12.73)+'LINEST VARS'!$A$62*($BX101*12.73)</f>
        <v>340.79999999999995</v>
      </c>
      <c r="CC101" s="57">
        <f>'LINEST VARS'!$U$62+'LINEST VARS'!$T$62*(8)+'LINEST VARS'!$S$62*(8)+'LINEST VARS'!$R$62*($CC$80)+'LINEST VARS'!$Q$62*($BX101)+'LINEST VARS'!$P$62*(12.73)+'LINEST VARS'!$O$62*(8^2)+'LINEST VARS'!$N$62*(8^2)+'LINEST VARS'!$M$62*($CC$80^2)+'LINEST VARS'!$L$62*($BX101^2)+'LINEST VARS'!$K$62*(12.73^2)+'LINEST VARS'!$J$62*(8*8)+'LINEST VARS'!$I$62*(8*$CC$80)+'LINEST VARS'!$H$62*(8*$BX101)+'LINEST VARS'!$G$62*(8*12.73)+'LINEST VARS'!$F$62*(8*$CC$80)+'LINEST VARS'!$E$62*(8*$BX101)+'LINEST VARS'!$D$62*(8*12.73)+'LINEST VARS'!$C$62*($CC$80*$BX101)+'LINEST VARS'!$B$62*($CC$80*12.73)+'LINEST VARS'!$A$62*($BX101*12.73)</f>
        <v>335.2</v>
      </c>
      <c r="CD101" s="57">
        <f>'LINEST VARS'!$U$62+'LINEST VARS'!$T$62*(8)+'LINEST VARS'!$S$62*(8)+'LINEST VARS'!$R$62*($CD$80)+'LINEST VARS'!$Q$62*($BX101)+'LINEST VARS'!$P$62*(12.73)+'LINEST VARS'!$O$62*(8^2)+'LINEST VARS'!$N$62*(8^2)+'LINEST VARS'!$M$62*($CD$80^2)+'LINEST VARS'!$L$62*($BX101^2)+'LINEST VARS'!$K$62*(12.73^2)+'LINEST VARS'!$J$62*(8*8)+'LINEST VARS'!$I$62*(8*$CD$80)+'LINEST VARS'!$H$62*(8*$BX101)+'LINEST VARS'!$G$62*(8*12.73)+'LINEST VARS'!$F$62*(8*$CD$80)+'LINEST VARS'!$E$62*(8*$BX101)+'LINEST VARS'!$D$62*(8*12.73)+'LINEST VARS'!$C$62*($CD$80*$BX101)+'LINEST VARS'!$B$62*($CD$80*12.73)+'LINEST VARS'!$A$62*($BX101*12.73)</f>
        <v>328.00000000000006</v>
      </c>
      <c r="CE101" s="57">
        <f>'LINEST VARS'!$U$62+'LINEST VARS'!$T$62*(8)+'LINEST VARS'!$S$62*(8)+'LINEST VARS'!$R$62*($CE$80)+'LINEST VARS'!$Q$62*($BX101)+'LINEST VARS'!$P$62*(12.73)+'LINEST VARS'!$O$62*(8^2)+'LINEST VARS'!$N$62*(8^2)+'LINEST VARS'!$M$62*($CE$80^2)+'LINEST VARS'!$L$62*($BX101^2)+'LINEST VARS'!$K$62*(12.73^2)+'LINEST VARS'!$J$62*(8*8)+'LINEST VARS'!$I$62*(8*$CE$80)+'LINEST VARS'!$H$62*(8*$BX101)+'LINEST VARS'!$G$62*(8*12.73)+'LINEST VARS'!$F$62*(8*$CE$80)+'LINEST VARS'!$E$62*(8*$BX101)+'LINEST VARS'!$D$62*(8*12.73)+'LINEST VARS'!$C$62*($CE$80*$BX101)+'LINEST VARS'!$B$62*($CE$80*12.73)+'LINEST VARS'!$A$62*($BX101*12.73)</f>
        <v>319.2</v>
      </c>
      <c r="CF101" s="57">
        <f>'LINEST VARS'!$U$62+'LINEST VARS'!$T$62*(8)+'LINEST VARS'!$S$62*(8)+'LINEST VARS'!$R$62*($CF$80)+'LINEST VARS'!$Q$62*($BX101)+'LINEST VARS'!$P$62*(12.73)+'LINEST VARS'!$O$62*(8^2)+'LINEST VARS'!$N$62*(8^2)+'LINEST VARS'!$M$62*($CF$80^2)+'LINEST VARS'!$L$62*($BX101^2)+'LINEST VARS'!$K$62*(12.73^2)+'LINEST VARS'!$J$62*(8*8)+'LINEST VARS'!$I$62*(8*$CF$80)+'LINEST VARS'!$H$62*(8*$BX101)+'LINEST VARS'!$G$62*(8*12.73)+'LINEST VARS'!$F$62*(8*$CF$80)+'LINEST VARS'!$E$62*(8*$BX101)+'LINEST VARS'!$D$62*(8*12.73)+'LINEST VARS'!$C$62*($CF$80*$BX101)+'LINEST VARS'!$B$62*($CF$80*12.73)+'LINEST VARS'!$A$62*($BX101*12.73)</f>
        <v>308.79999999999995</v>
      </c>
      <c r="CG101" s="57">
        <f>'LINEST VARS'!$U$62+'LINEST VARS'!$T$62*(8)+'LINEST VARS'!$S$62*(8)+'LINEST VARS'!$R$62*($CG$80)+'LINEST VARS'!$Q$62*($BX101)+'LINEST VARS'!$P$62*(12.73)+'LINEST VARS'!$O$62*(8^2)+'LINEST VARS'!$N$62*(8^2)+'LINEST VARS'!$M$62*($CG$80^2)+'LINEST VARS'!$L$62*($BX101^2)+'LINEST VARS'!$K$62*(12.73^2)+'LINEST VARS'!$J$62*(8*8)+'LINEST VARS'!$I$62*(8*$CG$80)+'LINEST VARS'!$H$62*(8*$BX101)+'LINEST VARS'!$G$62*(8*12.73)+'LINEST VARS'!$F$62*(8*$CG$80)+'LINEST VARS'!$E$62*(8*$BX101)+'LINEST VARS'!$D$62*(8*12.73)+'LINEST VARS'!$C$62*($CG$80*$BX101)+'LINEST VARS'!$B$62*($CG$80*12.73)+'LINEST VARS'!$A$62*($BX101*12.73)</f>
        <v>296.8</v>
      </c>
      <c r="CH101" s="57">
        <f>'LINEST VARS'!$U$62+'LINEST VARS'!$T$62*(8)+'LINEST VARS'!$S$62*(8)+'LINEST VARS'!$R$62*($CH$80)+'LINEST VARS'!$Q$62*($BX101)+'LINEST VARS'!$P$62*(12.73)+'LINEST VARS'!$O$62*(8^2)+'LINEST VARS'!$N$62*(8^2)+'LINEST VARS'!$M$62*($CH$80^2)+'LINEST VARS'!$L$62*($BX101^2)+'LINEST VARS'!$K$62*(12.73^2)+'LINEST VARS'!$J$62*(8*8)+'LINEST VARS'!$I$62*(8*$CH$80)+'LINEST VARS'!$H$62*(8*$BX101)+'LINEST VARS'!$G$62*(8*12.73)+'LINEST VARS'!$F$62*(8*$CH$80)+'LINEST VARS'!$E$62*(8*$BX101)+'LINEST VARS'!$D$62*(8*12.73)+'LINEST VARS'!$C$62*($CH$80*$BX101)+'LINEST VARS'!$B$62*($CH$80*12.73)+'LINEST VARS'!$A$62*($BX101*12.73)</f>
        <v>283.2</v>
      </c>
      <c r="CI101" s="57">
        <f>'LINEST VARS'!$U$62+'LINEST VARS'!$T$62*(8)+'LINEST VARS'!$S$62*(8)+'LINEST VARS'!$R$62*($CI$80)+'LINEST VARS'!$Q$62*($BX101)+'LINEST VARS'!$P$62*(12.73)+'LINEST VARS'!$O$62*(8^2)+'LINEST VARS'!$N$62*(8^2)+'LINEST VARS'!$M$62*($CI$80^2)+'LINEST VARS'!$L$62*($BX101^2)+'LINEST VARS'!$K$62*(12.73^2)+'LINEST VARS'!$J$62*(8*8)+'LINEST VARS'!$I$62*(8*$CI$80)+'LINEST VARS'!$H$62*(8*$BX101)+'LINEST VARS'!$G$62*(8*12.73)+'LINEST VARS'!$F$62*(8*$CI$80)+'LINEST VARS'!$E$62*(8*$BX101)+'LINEST VARS'!$D$62*(8*12.73)+'LINEST VARS'!$C$62*($CI$80*$BX101)+'LINEST VARS'!$B$62*($CI$80*12.73)+'LINEST VARS'!$A$62*($BX101*12.73)</f>
        <v>268</v>
      </c>
      <c r="CJ101" s="57">
        <f>'LINEST VARS'!$U$62+'LINEST VARS'!$T$62*(8)+'LINEST VARS'!$S$62*(8)+'LINEST VARS'!$R$62*($CJ$80)+'LINEST VARS'!$Q$62*($BX101)+'LINEST VARS'!$P$62*(12.73)+'LINEST VARS'!$O$62*(8^2)+'LINEST VARS'!$N$62*(8^2)+'LINEST VARS'!$M$62*($CJ$80^2)+'LINEST VARS'!$L$62*($BX101^2)+'LINEST VARS'!$K$62*(12.73^2)+'LINEST VARS'!$J$62*(8*8)+'LINEST VARS'!$I$62*(8*$CJ$80)+'LINEST VARS'!$H$62*(8*$BX101)+'LINEST VARS'!$G$62*(8*12.73)+'LINEST VARS'!$F$62*(8*$CJ$80)+'LINEST VARS'!$E$62*(8*$BX101)+'LINEST VARS'!$D$62*(8*12.73)+'LINEST VARS'!$C$62*($CJ$80*$BX101)+'LINEST VARS'!$B$62*($CJ$80*12.73)+'LINEST VARS'!$A$62*($BX101*12.73)</f>
        <v>251.2</v>
      </c>
      <c r="CK101" s="57">
        <f>'LINEST VARS'!$U$62+'LINEST VARS'!$T$62*(8)+'LINEST VARS'!$S$62*(8)+'LINEST VARS'!$R$62*($CK$80)+'LINEST VARS'!$Q$62*($BX101)+'LINEST VARS'!$P$62*(12.73)+'LINEST VARS'!$O$62*(8^2)+'LINEST VARS'!$N$62*(8^2)+'LINEST VARS'!$M$62*($CK$80^2)+'LINEST VARS'!$L$62*($BX101^2)+'LINEST VARS'!$K$62*(12.73^2)+'LINEST VARS'!$J$62*(8*8)+'LINEST VARS'!$I$62*(8*$CK$80)+'LINEST VARS'!$H$62*(8*$BX101)+'LINEST VARS'!$G$62*(8*12.73)+'LINEST VARS'!$F$62*(8*$CK$80)+'LINEST VARS'!$E$62*(8*$BX101)+'LINEST VARS'!$D$62*(8*12.73)+'LINEST VARS'!$C$62*($CK$80*$BX101)+'LINEST VARS'!$B$62*($CK$80*12.73)+'LINEST VARS'!$A$62*($BX101*12.73)</f>
        <v>232.80000000000004</v>
      </c>
      <c r="CL101" s="57">
        <f>'LINEST VARS'!$U$62+'LINEST VARS'!$T$62*(8)+'LINEST VARS'!$S$62*(8)+'LINEST VARS'!$R$62*($CL$80)+'LINEST VARS'!$Q$62*($BX101)+'LINEST VARS'!$P$62*(12.73)+'LINEST VARS'!$O$62*(8^2)+'LINEST VARS'!$N$62*(8^2)+'LINEST VARS'!$M$62*($CL$80^2)+'LINEST VARS'!$L$62*($BX101^2)+'LINEST VARS'!$K$62*(12.73^2)+'LINEST VARS'!$J$62*(8*8)+'LINEST VARS'!$I$62*(8*$CL$80)+'LINEST VARS'!$H$62*(8*$BX101)+'LINEST VARS'!$G$62*(8*12.73)+'LINEST VARS'!$F$62*(8*$CL$80)+'LINEST VARS'!$E$62*(8*$BX101)+'LINEST VARS'!$D$62*(8*12.73)+'LINEST VARS'!$C$62*($CL$80*$BX101)+'LINEST VARS'!$B$62*($CL$80*12.73)+'LINEST VARS'!$A$62*($BX101*12.73)</f>
        <v>212.79999999999998</v>
      </c>
      <c r="CM101" s="57">
        <f>'LINEST VARS'!$U$62+'LINEST VARS'!$T$62*(8)+'LINEST VARS'!$S$62*(8)+'LINEST VARS'!$R$62*($CM$80)+'LINEST VARS'!$Q$62*($BX101)+'LINEST VARS'!$P$62*(12.73)+'LINEST VARS'!$O$62*(8^2)+'LINEST VARS'!$N$62*(8^2)+'LINEST VARS'!$M$62*($CM$80^2)+'LINEST VARS'!$L$62*($BX101^2)+'LINEST VARS'!$K$62*(12.73^2)+'LINEST VARS'!$J$62*(8*8)+'LINEST VARS'!$I$62*(8*$CM$80)+'LINEST VARS'!$H$62*(8*$BX101)+'LINEST VARS'!$G$62*(8*12.73)+'LINEST VARS'!$F$62*(8*$CM$80)+'LINEST VARS'!$E$62*(8*$BX101)+'LINEST VARS'!$D$62*(8*12.73)+'LINEST VARS'!$C$62*($CM$80*$BX101)+'LINEST VARS'!$B$62*($CM$80*12.73)+'LINEST VARS'!$A$62*($BX101*12.73)</f>
        <v>191.20000000000007</v>
      </c>
      <c r="CN101" s="57">
        <f>'LINEST VARS'!$U$62+'LINEST VARS'!$T$62*(8)+'LINEST VARS'!$S$62*(8)+'LINEST VARS'!$R$62*($CN$80)+'LINEST VARS'!$Q$62*($BX101)+'LINEST VARS'!$P$62*(12.73)+'LINEST VARS'!$O$62*(8^2)+'LINEST VARS'!$N$62*(8^2)+'LINEST VARS'!$M$62*($CN$80^2)+'LINEST VARS'!$L$62*($BX101^2)+'LINEST VARS'!$K$62*(12.73^2)+'LINEST VARS'!$J$62*(8*8)+'LINEST VARS'!$I$62*(8*$CN$80)+'LINEST VARS'!$H$62*(8*$BX101)+'LINEST VARS'!$G$62*(8*12.73)+'LINEST VARS'!$F$62*(8*$CN$80)+'LINEST VARS'!$E$62*(8*$BX101)+'LINEST VARS'!$D$62*(8*12.73)+'LINEST VARS'!$C$62*($CN$80*$BX101)+'LINEST VARS'!$B$62*($CN$80*12.73)+'LINEST VARS'!$A$62*($BX101*12.73)</f>
        <v>168.00000000000006</v>
      </c>
      <c r="CO101" s="57">
        <f>'LINEST VARS'!$U$62+'LINEST VARS'!$T$62*(8)+'LINEST VARS'!$S$62*(8)+'LINEST VARS'!$R$62*($CO$80)+'LINEST VARS'!$Q$62*($BX101)+'LINEST VARS'!$P$62*(12.73)+'LINEST VARS'!$O$62*(8^2)+'LINEST VARS'!$N$62*(8^2)+'LINEST VARS'!$M$62*($CO$80^2)+'LINEST VARS'!$L$62*($BX101^2)+'LINEST VARS'!$K$62*(12.73^2)+'LINEST VARS'!$J$62*(8*8)+'LINEST VARS'!$I$62*(8*$CO$80)+'LINEST VARS'!$H$62*(8*$BX101)+'LINEST VARS'!$G$62*(8*12.73)+'LINEST VARS'!$F$62*(8*$CO$80)+'LINEST VARS'!$E$62*(8*$BX101)+'LINEST VARS'!$D$62*(8*12.73)+'LINEST VARS'!$C$62*($CO$80*$BX101)+'LINEST VARS'!$B$62*($CO$80*12.73)+'LINEST VARS'!$A$62*($BX101*12.73)</f>
        <v>143.20000000000007</v>
      </c>
      <c r="CP101" s="57">
        <f>'LINEST VARS'!$U$62+'LINEST VARS'!$T$62*(8)+'LINEST VARS'!$S$62*(8)+'LINEST VARS'!$R$62*($CP$80)+'LINEST VARS'!$Q$62*($BX101)+'LINEST VARS'!$P$62*(12.73)+'LINEST VARS'!$O$62*(8^2)+'LINEST VARS'!$N$62*(8^2)+'LINEST VARS'!$M$62*($CP$80^2)+'LINEST VARS'!$L$62*($BX101^2)+'LINEST VARS'!$K$62*(12.73^2)+'LINEST VARS'!$J$62*(8*8)+'LINEST VARS'!$I$62*(8*$CP$80)+'LINEST VARS'!$H$62*(8*$BX101)+'LINEST VARS'!$G$62*(8*12.73)+'LINEST VARS'!$F$62*(8*$CP$80)+'LINEST VARS'!$E$62*(8*$BX101)+'LINEST VARS'!$D$62*(8*12.73)+'LINEST VARS'!$C$62*($CP$80*$BX101)+'LINEST VARS'!$B$62*($CP$80*12.73)+'LINEST VARS'!$A$62*($BX101*12.73)</f>
        <v>116.80000000000013</v>
      </c>
      <c r="CQ101" s="57">
        <f>'LINEST VARS'!$U$62+'LINEST VARS'!$T$62*(8)+'LINEST VARS'!$S$62*(8)+'LINEST VARS'!$R$62*($CQ$80)+'LINEST VARS'!$Q$62*($BX101)+'LINEST VARS'!$P$62*(12.73)+'LINEST VARS'!$O$62*(8^2)+'LINEST VARS'!$N$62*(8^2)+'LINEST VARS'!$M$62*($CQ$80^2)+'LINEST VARS'!$L$62*($BX101^2)+'LINEST VARS'!$K$62*(12.73^2)+'LINEST VARS'!$J$62*(8*8)+'LINEST VARS'!$I$62*(8*$CQ$80)+'LINEST VARS'!$H$62*(8*$BX101)+'LINEST VARS'!$G$62*(8*12.73)+'LINEST VARS'!$F$62*(8*$CQ$80)+'LINEST VARS'!$E$62*(8*$BX101)+'LINEST VARS'!$D$62*(8*12.73)+'LINEST VARS'!$C$62*($CQ$80*$BX101)+'LINEST VARS'!$B$62*($CQ$80*12.73)+'LINEST VARS'!$A$62*($BX101*12.73)</f>
        <v>88.800000000000125</v>
      </c>
      <c r="CR101" s="57">
        <f>'LINEST VARS'!$U$62+'LINEST VARS'!$T$62*(8)+'LINEST VARS'!$S$62*(8)+'LINEST VARS'!$R$62*($CR$80)+'LINEST VARS'!$Q$62*($BX101)+'LINEST VARS'!$P$62*(12.73)+'LINEST VARS'!$O$62*(8^2)+'LINEST VARS'!$N$62*(8^2)+'LINEST VARS'!$M$62*($CR$80^2)+'LINEST VARS'!$L$62*($BX101^2)+'LINEST VARS'!$K$62*(12.73^2)+'LINEST VARS'!$J$62*(8*8)+'LINEST VARS'!$I$62*(8*$CR$80)+'LINEST VARS'!$H$62*(8*$BX101)+'LINEST VARS'!$G$62*(8*12.73)+'LINEST VARS'!$F$62*(8*$CR$80)+'LINEST VARS'!$E$62*(8*$BX101)+'LINEST VARS'!$D$62*(8*12.73)+'LINEST VARS'!$C$62*($CR$80*$BX101)+'LINEST VARS'!$B$62*($CR$80*12.73)+'LINEST VARS'!$A$62*($BX101*12.73)</f>
        <v>59.200000000000173</v>
      </c>
      <c r="CS101" s="58">
        <f>'LINEST VARS'!$U$62+'LINEST VARS'!$T$62*(8)+'LINEST VARS'!$S$62*(8)+'LINEST VARS'!$R$62*($CS$80)+'LINEST VARS'!$Q$62*($BX101)+'LINEST VARS'!$P$62*(12.73)+'LINEST VARS'!$O$62*(8^2)+'LINEST VARS'!$N$62*(8^2)+'LINEST VARS'!$M$62*($CS$80^2)+'LINEST VARS'!$L$62*($BX101^2)+'LINEST VARS'!$K$62*(12.73^2)+'LINEST VARS'!$J$62*(8*8)+'LINEST VARS'!$I$62*(8*$CS$80)+'LINEST VARS'!$H$62*(8*$BX101)+'LINEST VARS'!$G$62*(8*12.73)+'LINEST VARS'!$F$62*(8*$CS$80)+'LINEST VARS'!$E$62*(8*$BX101)+'LINEST VARS'!$D$62*(8*12.73)+'LINEST VARS'!$C$62*($CS$80*$BX101)+'LINEST VARS'!$B$62*($CS$80*12.73)+'LINEST VARS'!$A$62*($BX101*12.73)</f>
        <v>28.000000000000192</v>
      </c>
      <c r="CX101" s="48">
        <v>25.99</v>
      </c>
      <c r="CY101" s="49">
        <f>'LINEST VARS'!$U$60+'LINEST VARS'!$T$60*(8)+'LINEST VARS'!$S$60*(8)+'LINEST VARS'!$R$60*($CY$80)+'LINEST VARS'!$Q$60*(0.5)+'LINEST VARS'!$P$60*($CX101)+'LINEST VARS'!$O$60*(8^2)+'LINEST VARS'!$N$60*(8^2)+'LINEST VARS'!$M$60*($CY$80^2)+'LINEST VARS'!$L$60*(0.5^2)+'LINEST VARS'!$K$60*($CX101^2)+'LINEST VARS'!$J$60*(8*8)+'LINEST VARS'!$I$60*(8*$CY$80)+'LINEST VARS'!$H$60*(8*0.5)+'LINEST VARS'!$G$60*(8*$CX101)+'LINEST VARS'!$F$60*(8*$CY$80)+'LINEST VARS'!$E$60*(8*0.5)+'LINEST VARS'!$D$60*(8*$CX101)+'LINEST VARS'!$C$60*($CY$80*0.5)+'LINEST VARS'!$B$60*($CY$80*$CX101)+'LINEST VARS'!$A$60*(0.5*$CX101)</f>
        <v>66.98</v>
      </c>
      <c r="CZ101" s="49">
        <f>'LINEST VARS'!$U$60+'LINEST VARS'!$T$60*(8)+'LINEST VARS'!$S$60*(8)+'LINEST VARS'!$R$60*($CZ$80)+'LINEST VARS'!$Q$60*(0.5)+'LINEST VARS'!$P$60*($CX101)+'LINEST VARS'!$O$60*(8^2)+'LINEST VARS'!$N$60*(8^2)+'LINEST VARS'!$M$60*($CZ$80^2)+'LINEST VARS'!$L$60*(0.5^2)+'LINEST VARS'!$K$60*($CX101^2)+'LINEST VARS'!$J$60*(8*8)+'LINEST VARS'!$I$60*(8*$CZ$80)+'LINEST VARS'!$H$60*(8*0.5)+'LINEST VARS'!$G$60*(8*$CX101)+'LINEST VARS'!$F$60*(8*$CZ$80)+'LINEST VARS'!$E$60*(8*0.5)+'LINEST VARS'!$D$60*(8*$CX101)+'LINEST VARS'!$C$60*($CZ$80*0.5)+'LINEST VARS'!$B$60*($CZ$80*$CX101)+'LINEST VARS'!$A$60*(0.5*$CX101)</f>
        <v>66.98</v>
      </c>
      <c r="DA101" s="49">
        <f>'LINEST VARS'!$U$60+'LINEST VARS'!$T$60*(8)+'LINEST VARS'!$S$60*(8)+'LINEST VARS'!$R$60*($DA$80)+'LINEST VARS'!$Q$60*(0.5)+'LINEST VARS'!$P$60*($CX101)+'LINEST VARS'!$O$60*(8^2)+'LINEST VARS'!$N$60*(8^2)+'LINEST VARS'!$M$60*($DA$80^2)+'LINEST VARS'!$L$60*(0.5^2)+'LINEST VARS'!$K$60*($CX101^2)+'LINEST VARS'!$J$60*(8*8)+'LINEST VARS'!$I$60*(8*$DA$80)+'LINEST VARS'!$H$60*(8*0.5)+'LINEST VARS'!$G$60*(8*$CX101)+'LINEST VARS'!$F$60*(8*$DA$80)+'LINEST VARS'!$E$60*(8*0.5)+'LINEST VARS'!$D$60*(8*$CX101)+'LINEST VARS'!$C$60*($DA$80*0.5)+'LINEST VARS'!$B$60*($DA$80*$CX101)+'LINEST VARS'!$A$60*(0.5*$CX101)</f>
        <v>66.98</v>
      </c>
      <c r="DB101" s="49">
        <f>'LINEST VARS'!$U$60+'LINEST VARS'!$T$60*(8)+'LINEST VARS'!$S$60*(8)+'LINEST VARS'!$R$60*($DB$80)+'LINEST VARS'!$Q$60*(0.5)+'LINEST VARS'!$P$60*($CX101)+'LINEST VARS'!$O$60*(8^2)+'LINEST VARS'!$N$60*(8^2)+'LINEST VARS'!$M$60*($DB$80^2)+'LINEST VARS'!$L$60*(0.5^2)+'LINEST VARS'!$K$60*($CX101^2)+'LINEST VARS'!$J$60*(8*8)+'LINEST VARS'!$I$60*(8*$DB$80)+'LINEST VARS'!$H$60*(8*0.5)+'LINEST VARS'!$G$60*(8*$CX101)+'LINEST VARS'!$F$60*(8*$DB$80)+'LINEST VARS'!$E$60*(8*0.5)+'LINEST VARS'!$D$60*(8*$CX101)+'LINEST VARS'!$C$60*($DB$80*0.5)+'LINEST VARS'!$B$60*($DB$80*$CX101)+'LINEST VARS'!$A$60*(0.5*$CX101)</f>
        <v>66.98</v>
      </c>
      <c r="DC101" s="49">
        <f>'LINEST VARS'!$U$60+'LINEST VARS'!$T$60*(8)+'LINEST VARS'!$S$60*(8)+'LINEST VARS'!$R$60*($DC$80)+'LINEST VARS'!$Q$60*(0.5)+'LINEST VARS'!$P$60*($CX101)+'LINEST VARS'!$O$60*(8^2)+'LINEST VARS'!$N$60*(8^2)+'LINEST VARS'!$M$60*($DC$80^2)+'LINEST VARS'!$L$60*(0.5^2)+'LINEST VARS'!$K$60*($CX101^2)+'LINEST VARS'!$J$60*(8*8)+'LINEST VARS'!$I$60*(8*$DC$80)+'LINEST VARS'!$H$60*(8*0.5)+'LINEST VARS'!$G$60*(8*$CX101)+'LINEST VARS'!$F$60*(8*$DC$80)+'LINEST VARS'!$E$60*(8*0.5)+'LINEST VARS'!$D$60*(8*$CX101)+'LINEST VARS'!$C$60*($DC$80*0.5)+'LINEST VARS'!$B$60*($DC$80*$CX101)+'LINEST VARS'!$A$60*(0.5*$CX101)</f>
        <v>66.98</v>
      </c>
      <c r="DD101" s="49">
        <f>'LINEST VARS'!$U$60+'LINEST VARS'!$T$60*(8)+'LINEST VARS'!$S$60*(8)+'LINEST VARS'!$R$60*($DD$80)+'LINEST VARS'!$Q$60*(0.5)+'LINEST VARS'!$P$60*($CX101)+'LINEST VARS'!$O$60*(8^2)+'LINEST VARS'!$N$60*(8^2)+'LINEST VARS'!$M$60*($DD$80^2)+'LINEST VARS'!$L$60*(0.5^2)+'LINEST VARS'!$K$60*($CX101^2)+'LINEST VARS'!$J$60*(8*8)+'LINEST VARS'!$I$60*(8*$DD$80)+'LINEST VARS'!$H$60*(8*0.5)+'LINEST VARS'!$G$60*(8*$CX101)+'LINEST VARS'!$F$60*(8*$DD$80)+'LINEST VARS'!$E$60*(8*0.5)+'LINEST VARS'!$D$60*(8*$CX101)+'LINEST VARS'!$C$60*($DD$80*0.5)+'LINEST VARS'!$B$60*($DD$80*$CX101)+'LINEST VARS'!$A$60*(0.5*$CX101)</f>
        <v>66.980000000000018</v>
      </c>
      <c r="DE101" s="49">
        <f>'LINEST VARS'!$U$60+'LINEST VARS'!$T$60*(8)+'LINEST VARS'!$S$60*(8)+'LINEST VARS'!$R$60*($DE$80)+'LINEST VARS'!$Q$60*(0.5)+'LINEST VARS'!$P$60*($CX101)+'LINEST VARS'!$O$60*(8^2)+'LINEST VARS'!$N$60*(8^2)+'LINEST VARS'!$M$60*($DE$80^2)+'LINEST VARS'!$L$60*(0.5^2)+'LINEST VARS'!$K$60*($CX101^2)+'LINEST VARS'!$J$60*(8*8)+'LINEST VARS'!$I$60*(8*$DE$80)+'LINEST VARS'!$H$60*(8*0.5)+'LINEST VARS'!$G$60*(8*$CX101)+'LINEST VARS'!$F$60*(8*$DE$80)+'LINEST VARS'!$E$60*(8*0.5)+'LINEST VARS'!$D$60*(8*$CX101)+'LINEST VARS'!$C$60*($DE$80*0.5)+'LINEST VARS'!$B$60*($DE$80*$CX101)+'LINEST VARS'!$A$60*(0.5*$CX101)</f>
        <v>66.980000000000018</v>
      </c>
      <c r="DF101" s="49">
        <f>'LINEST VARS'!$U$60+'LINEST VARS'!$T$60*(8)+'LINEST VARS'!$S$60*(8)+'LINEST VARS'!$R$60*($DF$80)+'LINEST VARS'!$Q$60*(0.5)+'LINEST VARS'!$P$60*($CX101)+'LINEST VARS'!$O$60*(8^2)+'LINEST VARS'!$N$60*(8^2)+'LINEST VARS'!$M$60*($DF$80^2)+'LINEST VARS'!$L$60*(0.5^2)+'LINEST VARS'!$K$60*($CX101^2)+'LINEST VARS'!$J$60*(8*8)+'LINEST VARS'!$I$60*(8*$DF$80)+'LINEST VARS'!$H$60*(8*0.5)+'LINEST VARS'!$G$60*(8*$CX101)+'LINEST VARS'!$F$60*(8*$DF$80)+'LINEST VARS'!$E$60*(8*0.5)+'LINEST VARS'!$D$60*(8*$CX101)+'LINEST VARS'!$C$60*($DF$80*0.5)+'LINEST VARS'!$B$60*($DF$80*$CX101)+'LINEST VARS'!$A$60*(0.5*$CX101)</f>
        <v>66.980000000000018</v>
      </c>
      <c r="DG101" s="49">
        <f>'LINEST VARS'!$U$60+'LINEST VARS'!$T$60*(8)+'LINEST VARS'!$S$60*(8)+'LINEST VARS'!$R$60*($DG$80)+'LINEST VARS'!$Q$60*(0.5)+'LINEST VARS'!$P$60*($CX101)+'LINEST VARS'!$O$60*(8^2)+'LINEST VARS'!$N$60*(8^2)+'LINEST VARS'!$M$60*($DG$80^2)+'LINEST VARS'!$L$60*(0.5^2)+'LINEST VARS'!$K$60*($CX101^2)+'LINEST VARS'!$J$60*(8*8)+'LINEST VARS'!$I$60*(8*$DG$80)+'LINEST VARS'!$H$60*(8*0.5)+'LINEST VARS'!$G$60*(8*$CX101)+'LINEST VARS'!$F$60*(8*$DG$80)+'LINEST VARS'!$E$60*(8*0.5)+'LINEST VARS'!$D$60*(8*$CX101)+'LINEST VARS'!$C$60*($DG$80*0.5)+'LINEST VARS'!$B$60*($DG$80*$CX101)+'LINEST VARS'!$A$60*(0.5*$CX101)</f>
        <v>66.98</v>
      </c>
      <c r="DH101" s="49">
        <f>'LINEST VARS'!$U$60+'LINEST VARS'!$T$60*(8)+'LINEST VARS'!$S$60*(8)+'LINEST VARS'!$R$60*($DH$80)+'LINEST VARS'!$Q$60*(0.5)+'LINEST VARS'!$P$60*($CX101)+'LINEST VARS'!$O$60*(8^2)+'LINEST VARS'!$N$60*(8^2)+'LINEST VARS'!$M$60*($DH$80^2)+'LINEST VARS'!$L$60*(0.5^2)+'LINEST VARS'!$K$60*($CX101^2)+'LINEST VARS'!$J$60*(8*8)+'LINEST VARS'!$I$60*(8*$DH$80)+'LINEST VARS'!$H$60*(8*0.5)+'LINEST VARS'!$G$60*(8*$CX101)+'LINEST VARS'!$F$60*(8*$DH$80)+'LINEST VARS'!$E$60*(8*0.5)+'LINEST VARS'!$D$60*(8*$CX101)+'LINEST VARS'!$C$60*($DH$80*0.5)+'LINEST VARS'!$B$60*($DH$80*$CX101)+'LINEST VARS'!$A$60*(0.5*$CX101)</f>
        <v>66.97999999999999</v>
      </c>
      <c r="DI101" s="49">
        <f>'LINEST VARS'!$U$60+'LINEST VARS'!$T$60*(8)+'LINEST VARS'!$S$60*(8)+'LINEST VARS'!$R$60*($DI$80)+'LINEST VARS'!$Q$60*(0.5)+'LINEST VARS'!$P$60*($CX101)+'LINEST VARS'!$O$60*(8^2)+'LINEST VARS'!$N$60*(8^2)+'LINEST VARS'!$M$60*($DI$80^2)+'LINEST VARS'!$L$60*(0.5^2)+'LINEST VARS'!$K$60*($CX101^2)+'LINEST VARS'!$J$60*(8*8)+'LINEST VARS'!$I$60*(8*$DI$80)+'LINEST VARS'!$H$60*(8*0.5)+'LINEST VARS'!$G$60*(8*$CX101)+'LINEST VARS'!$F$60*(8*$DI$80)+'LINEST VARS'!$E$60*(8*0.5)+'LINEST VARS'!$D$60*(8*$CX101)+'LINEST VARS'!$C$60*($DI$80*0.5)+'LINEST VARS'!$B$60*($DI$80*$CX101)+'LINEST VARS'!$A$60*(0.5*$CX101)</f>
        <v>66.97999999999999</v>
      </c>
      <c r="DJ101" s="49">
        <f>'LINEST VARS'!$U$60+'LINEST VARS'!$T$60*(8)+'LINEST VARS'!$S$60*(8)+'LINEST VARS'!$R$60*($DJ$80)+'LINEST VARS'!$Q$60*(0.5)+'LINEST VARS'!$P$60*($CX101)+'LINEST VARS'!$O$60*(8^2)+'LINEST VARS'!$N$60*(8^2)+'LINEST VARS'!$M$60*($DJ$80^2)+'LINEST VARS'!$L$60*(0.5^2)+'LINEST VARS'!$K$60*($CX101^2)+'LINEST VARS'!$J$60*(8*8)+'LINEST VARS'!$I$60*(8*$DJ$80)+'LINEST VARS'!$H$60*(8*0.5)+'LINEST VARS'!$G$60*(8*$CX101)+'LINEST VARS'!$F$60*(8*$DJ$80)+'LINEST VARS'!$E$60*(8*0.5)+'LINEST VARS'!$D$60*(8*$CX101)+'LINEST VARS'!$C$60*($DJ$80*0.5)+'LINEST VARS'!$B$60*($DJ$80*$CX101)+'LINEST VARS'!$A$60*(0.5*$CX101)</f>
        <v>66.97999999999999</v>
      </c>
      <c r="DK101" s="49">
        <f>'LINEST VARS'!$U$60+'LINEST VARS'!$T$60*(8)+'LINEST VARS'!$S$60*(8)+'LINEST VARS'!$R$60*($DK$80)+'LINEST VARS'!$Q$60*(0.5)+'LINEST VARS'!$P$60*($CX101)+'LINEST VARS'!$O$60*(8^2)+'LINEST VARS'!$N$60*(8^2)+'LINEST VARS'!$M$60*($DK$80^2)+'LINEST VARS'!$L$60*(0.5^2)+'LINEST VARS'!$K$60*($CX101^2)+'LINEST VARS'!$J$60*(8*8)+'LINEST VARS'!$I$60*(8*$DK$80)+'LINEST VARS'!$H$60*(8*0.5)+'LINEST VARS'!$G$60*(8*$CX101)+'LINEST VARS'!$F$60*(8*$DK$80)+'LINEST VARS'!$E$60*(8*0.5)+'LINEST VARS'!$D$60*(8*$CX101)+'LINEST VARS'!$C$60*($DK$80*0.5)+'LINEST VARS'!$B$60*($DK$80*$CX101)+'LINEST VARS'!$A$60*(0.5*$CX101)</f>
        <v>66.97999999999999</v>
      </c>
      <c r="DL101" s="49">
        <f>'LINEST VARS'!$U$60+'LINEST VARS'!$T$60*(8)+'LINEST VARS'!$S$60*(8)+'LINEST VARS'!$R$60*($DL$80)+'LINEST VARS'!$Q$60*(0.5)+'LINEST VARS'!$P$60*($CX101)+'LINEST VARS'!$O$60*(8^2)+'LINEST VARS'!$N$60*(8^2)+'LINEST VARS'!$M$60*($DL$80^2)+'LINEST VARS'!$L$60*(0.5^2)+'LINEST VARS'!$K$60*($CX101^2)+'LINEST VARS'!$J$60*(8*8)+'LINEST VARS'!$I$60*(8*$DL$80)+'LINEST VARS'!$H$60*(8*0.5)+'LINEST VARS'!$G$60*(8*$CX101)+'LINEST VARS'!$F$60*(8*$DL$80)+'LINEST VARS'!$E$60*(8*0.5)+'LINEST VARS'!$D$60*(8*$CX101)+'LINEST VARS'!$C$60*($DL$80*0.5)+'LINEST VARS'!$B$60*($DL$80*$CX101)+'LINEST VARS'!$A$60*(0.5*$CX101)</f>
        <v>66.97999999999999</v>
      </c>
      <c r="DM101" s="49">
        <f>'LINEST VARS'!$U$60+'LINEST VARS'!$T$60*(8)+'LINEST VARS'!$S$60*(8)+'LINEST VARS'!$R$60*($DM$80)+'LINEST VARS'!$Q$60*(0.5)+'LINEST VARS'!$P$60*($CX101)+'LINEST VARS'!$O$60*(8^2)+'LINEST VARS'!$N$60*(8^2)+'LINEST VARS'!$M$60*($DM$80^2)+'LINEST VARS'!$L$60*(0.5^2)+'LINEST VARS'!$K$60*($CX101^2)+'LINEST VARS'!$J$60*(8*8)+'LINEST VARS'!$I$60*(8*$DM$80)+'LINEST VARS'!$H$60*(8*0.5)+'LINEST VARS'!$G$60*(8*$CX101)+'LINEST VARS'!$F$60*(8*$DM$80)+'LINEST VARS'!$E$60*(8*0.5)+'LINEST VARS'!$D$60*(8*$CX101)+'LINEST VARS'!$C$60*($DM$80*0.5)+'LINEST VARS'!$B$60*($DM$80*$CX101)+'LINEST VARS'!$A$60*(0.5*$CX101)</f>
        <v>66.98</v>
      </c>
      <c r="DN101" s="49">
        <f>'LINEST VARS'!$U$60+'LINEST VARS'!$T$60*(8)+'LINEST VARS'!$S$60*(8)+'LINEST VARS'!$R$60*($DN$80)+'LINEST VARS'!$Q$60*(0.5)+'LINEST VARS'!$P$60*($CX101)+'LINEST VARS'!$O$60*(8^2)+'LINEST VARS'!$N$60*(8^2)+'LINEST VARS'!$M$60*($DN$80^2)+'LINEST VARS'!$L$60*(0.5^2)+'LINEST VARS'!$K$60*($CX101^2)+'LINEST VARS'!$J$60*(8*8)+'LINEST VARS'!$I$60*(8*$DN$80)+'LINEST VARS'!$H$60*(8*0.5)+'LINEST VARS'!$G$60*(8*$CX101)+'LINEST VARS'!$F$60*(8*$DN$80)+'LINEST VARS'!$E$60*(8*0.5)+'LINEST VARS'!$D$60*(8*$CX101)+'LINEST VARS'!$C$60*($DN$80*0.5)+'LINEST VARS'!$B$60*($DN$80*$CX101)+'LINEST VARS'!$A$60*(0.5*$CX101)</f>
        <v>66.98</v>
      </c>
      <c r="DO101" s="49">
        <f>'LINEST VARS'!$U$60+'LINEST VARS'!$T$60*(8)+'LINEST VARS'!$S$60*(8)+'LINEST VARS'!$R$60*($DO$80)+'LINEST VARS'!$Q$60*(0.5)+'LINEST VARS'!$P$60*($CX101)+'LINEST VARS'!$O$60*(8^2)+'LINEST VARS'!$N$60*(8^2)+'LINEST VARS'!$M$60*($DO$80^2)+'LINEST VARS'!$L$60*(0.5^2)+'LINEST VARS'!$K$60*($CX101^2)+'LINEST VARS'!$J$60*(8*8)+'LINEST VARS'!$I$60*(8*$DO$80)+'LINEST VARS'!$H$60*(8*0.5)+'LINEST VARS'!$G$60*(8*$CX101)+'LINEST VARS'!$F$60*(8*$DO$80)+'LINEST VARS'!$E$60*(8*0.5)+'LINEST VARS'!$D$60*(8*$CX101)+'LINEST VARS'!$C$60*($DO$80*0.5)+'LINEST VARS'!$B$60*($DO$80*$CX101)+'LINEST VARS'!$A$60*(0.5*$CX101)</f>
        <v>66.98</v>
      </c>
      <c r="DP101" s="49">
        <f>'LINEST VARS'!$U$60+'LINEST VARS'!$T$60*(8)+'LINEST VARS'!$S$60*(8)+'LINEST VARS'!$R$60*($DP$80)+'LINEST VARS'!$Q$60*(0.5)+'LINEST VARS'!$P$60*($CX101)+'LINEST VARS'!$O$60*(8^2)+'LINEST VARS'!$N$60*(8^2)+'LINEST VARS'!$M$60*($DP$80^2)+'LINEST VARS'!$L$60*(0.5^2)+'LINEST VARS'!$K$60*($CX101^2)+'LINEST VARS'!$J$60*(8*8)+'LINEST VARS'!$I$60*(8*$DP$80)+'LINEST VARS'!$H$60*(8*0.5)+'LINEST VARS'!$G$60*(8*$CX101)+'LINEST VARS'!$F$60*(8*$DP$80)+'LINEST VARS'!$E$60*(8*0.5)+'LINEST VARS'!$D$60*(8*$CX101)+'LINEST VARS'!$C$60*($DP$80*0.5)+'LINEST VARS'!$B$60*($DP$80*$CX101)+'LINEST VARS'!$A$60*(0.5*$CX101)</f>
        <v>66.98</v>
      </c>
      <c r="DQ101" s="49">
        <f>'LINEST VARS'!$U$60+'LINEST VARS'!$T$60*(8)+'LINEST VARS'!$S$60*(8)+'LINEST VARS'!$R$60*($DQ$80)+'LINEST VARS'!$Q$60*(0.5)+'LINEST VARS'!$P$60*($CX101)+'LINEST VARS'!$O$60*(8^2)+'LINEST VARS'!$N$60*(8^2)+'LINEST VARS'!$M$60*($DQ$80^2)+'LINEST VARS'!$L$60*(0.5^2)+'LINEST VARS'!$K$60*($CX101^2)+'LINEST VARS'!$J$60*(8*8)+'LINEST VARS'!$I$60*(8*$DQ$80)+'LINEST VARS'!$H$60*(8*0.5)+'LINEST VARS'!$G$60*(8*$CX101)+'LINEST VARS'!$F$60*(8*$DQ$80)+'LINEST VARS'!$E$60*(8*0.5)+'LINEST VARS'!$D$60*(8*$CX101)+'LINEST VARS'!$C$60*($DQ$80*0.5)+'LINEST VARS'!$B$60*($DQ$80*$CX101)+'LINEST VARS'!$A$60*(0.5*$CX101)</f>
        <v>66.98</v>
      </c>
      <c r="DR101" s="49">
        <f>'LINEST VARS'!$U$60+'LINEST VARS'!$T$60*(8)+'LINEST VARS'!$S$60*(8)+'LINEST VARS'!$R$60*($DR$80)+'LINEST VARS'!$Q$60*(0.5)+'LINEST VARS'!$P$60*($CX101)+'LINEST VARS'!$O$60*(8^2)+'LINEST VARS'!$N$60*(8^2)+'LINEST VARS'!$M$60*($DR$80^2)+'LINEST VARS'!$L$60*(0.5^2)+'LINEST VARS'!$K$60*($CX101^2)+'LINEST VARS'!$J$60*(8*8)+'LINEST VARS'!$I$60*(8*$DR$80)+'LINEST VARS'!$H$60*(8*0.5)+'LINEST VARS'!$G$60*(8*$CX101)+'LINEST VARS'!$F$60*(8*$DR$80)+'LINEST VARS'!$E$60*(8*0.5)+'LINEST VARS'!$D$60*(8*$CX101)+'LINEST VARS'!$C$60*($DR$80*0.5)+'LINEST VARS'!$B$60*($DR$80*$CX101)+'LINEST VARS'!$A$60*(0.5*$CX101)</f>
        <v>66.98</v>
      </c>
      <c r="DS101" s="50">
        <f>'LINEST VARS'!$U$60+'LINEST VARS'!$T$60*(8)+'LINEST VARS'!$S$60*(8)+'LINEST VARS'!$R$60*($DS$80)+'LINEST VARS'!$Q$60*(0.5)+'LINEST VARS'!$P$60*($CX101)+'LINEST VARS'!$O$60*(8^2)+'LINEST VARS'!$N$60*(8^2)+'LINEST VARS'!$M$60*($DS$80^2)+'LINEST VARS'!$L$60*(0.5^2)+'LINEST VARS'!$K$60*($CX101^2)+'LINEST VARS'!$J$60*(8*8)+'LINEST VARS'!$I$60*(8*$DS$80)+'LINEST VARS'!$H$60*(8*0.5)+'LINEST VARS'!$G$60*(8*$CX101)+'LINEST VARS'!$F$60*(8*$DS$80)+'LINEST VARS'!$E$60*(8*0.5)+'LINEST VARS'!$D$60*(8*$CX101)+'LINEST VARS'!$C$60*($DS$80*0.5)+'LINEST VARS'!$B$60*($DS$80*$CX101)+'LINEST VARS'!$A$60*(0.5*$CX101)</f>
        <v>66.980000000000018</v>
      </c>
      <c r="DV101" s="48">
        <v>25.99</v>
      </c>
      <c r="DW101" s="57">
        <f>'LINEST VARS'!$U$62+'LINEST VARS'!$T$62*(8)+'LINEST VARS'!$S$62*(8)+'LINEST VARS'!$R$62*($DW$80)+'LINEST VARS'!$Q$62*(0.5)+'LINEST VARS'!$P$62*($DV101)+'LINEST VARS'!$O$62*(8^2)+'LINEST VARS'!$N$62*(8^2)+'LINEST VARS'!$M$62*($DW$80^2)+'LINEST VARS'!$L$62*(0.5^2)+'LINEST VARS'!$K$62*($DV101^2)+'LINEST VARS'!$J$62*(8*8)+'LINEST VARS'!$I$62*(8*$DW$80)+'LINEST VARS'!$H$62*(8*0.5)+'LINEST VARS'!$G$62*(8*$DV101)+'LINEST VARS'!$F$62*(8*$DW$80)+'LINEST VARS'!$E$62*(8*0.5)+'LINEST VARS'!$D$62*(8*$DV101)+'LINEST VARS'!$C$62*($DW$80*0.5)+'LINEST VARS'!$B$62*($DW$80*$DV101)+'LINEST VARS'!$A$62*(0.5*$DV101)</f>
        <v>349.49999999999994</v>
      </c>
      <c r="DX101" s="57">
        <f>'LINEST VARS'!$U$62+'LINEST VARS'!$T$62*(8)+'LINEST VARS'!$S$62*(8)+'LINEST VARS'!$R$62*($DX$80)+'LINEST VARS'!$Q$62*(0.5)+'LINEST VARS'!$P$62*($DV101)+'LINEST VARS'!$O$62*(8^2)+'LINEST VARS'!$N$62*(8^2)+'LINEST VARS'!$M$62*($DX$80^2)+'LINEST VARS'!$L$62*(0.5^2)+'LINEST VARS'!$K$62*($DV101^2)+'LINEST VARS'!$J$62*(8*8)+'LINEST VARS'!$I$62*(8*$DX$80)+'LINEST VARS'!$H$62*(8*0.5)+'LINEST VARS'!$G$62*(8*$DV101)+'LINEST VARS'!$F$62*(8*$DX$80)+'LINEST VARS'!$E$62*(8*0.5)+'LINEST VARS'!$D$62*(8*$DV101)+'LINEST VARS'!$C$62*($DX$80*0.5)+'LINEST VARS'!$B$62*($DX$80*$DV101)+'LINEST VARS'!$A$62*(0.5*$DV101)</f>
        <v>348.7</v>
      </c>
      <c r="DY101" s="57">
        <f>'LINEST VARS'!$U$62+'LINEST VARS'!$T$62*(8)+'LINEST VARS'!$S$62*(8)+'LINEST VARS'!$R$62*($DY$80)+'LINEST VARS'!$Q$62*(0.5)+'LINEST VARS'!$P$62*($DV101)+'LINEST VARS'!$O$62*(8^2)+'LINEST VARS'!$N$62*(8^2)+'LINEST VARS'!$M$62*($DY$80^2)+'LINEST VARS'!$L$62*(0.5^2)+'LINEST VARS'!$K$62*($DV101^2)+'LINEST VARS'!$J$62*(8*8)+'LINEST VARS'!$I$62*(8*$DY$80)+'LINEST VARS'!$H$62*(8*0.5)+'LINEST VARS'!$G$62*(8*$DV101)+'LINEST VARS'!$F$62*(8*$DY$80)+'LINEST VARS'!$E$62*(8*0.5)+'LINEST VARS'!$D$62*(8*$DV101)+'LINEST VARS'!$C$62*($DY$80*0.5)+'LINEST VARS'!$B$62*($DY$80*$DV101)+'LINEST VARS'!$A$62*(0.5*$DV101)</f>
        <v>346.2999999999999</v>
      </c>
      <c r="DZ101" s="57">
        <f>'LINEST VARS'!$U$62+'LINEST VARS'!$T$62*(8)+'LINEST VARS'!$S$62*(8)+'LINEST VARS'!$R$62*($DZ$80)+'LINEST VARS'!$Q$62*(0.5)+'LINEST VARS'!$P$62*($DV101)+'LINEST VARS'!$O$62*(8^2)+'LINEST VARS'!$N$62*(8^2)+'LINEST VARS'!$M$62*($DZ$80^2)+'LINEST VARS'!$L$62*(0.5^2)+'LINEST VARS'!$K$62*($DV101^2)+'LINEST VARS'!$J$62*(8*8)+'LINEST VARS'!$I$62*(8*$DZ$80)+'LINEST VARS'!$H$62*(8*0.5)+'LINEST VARS'!$G$62*(8*$DV101)+'LINEST VARS'!$F$62*(8*$DZ$80)+'LINEST VARS'!$E$62*(8*0.5)+'LINEST VARS'!$D$62*(8*$DV101)+'LINEST VARS'!$C$62*($DZ$80*0.5)+'LINEST VARS'!$B$62*($DZ$80*$DV101)+'LINEST VARS'!$A$62*(0.5*$DV101)</f>
        <v>342.29999999999995</v>
      </c>
      <c r="EA101" s="57">
        <f>'LINEST VARS'!$U$62+'LINEST VARS'!$T$62*(8)+'LINEST VARS'!$S$62*(8)+'LINEST VARS'!$R$62*($EA$80)+'LINEST VARS'!$Q$62*(0.5)+'LINEST VARS'!$P$62*($DV101)+'LINEST VARS'!$O$62*(8^2)+'LINEST VARS'!$N$62*(8^2)+'LINEST VARS'!$M$62*($EA$80^2)+'LINEST VARS'!$L$62*(0.5^2)+'LINEST VARS'!$K$62*($DV101^2)+'LINEST VARS'!$J$62*(8*8)+'LINEST VARS'!$I$62*(8*$EA$80)+'LINEST VARS'!$H$62*(8*0.5)+'LINEST VARS'!$G$62*(8*$DV101)+'LINEST VARS'!$F$62*(8*$EA$80)+'LINEST VARS'!$E$62*(8*0.5)+'LINEST VARS'!$D$62*(8*$DV101)+'LINEST VARS'!$C$62*($EA$80*0.5)+'LINEST VARS'!$B$62*($EA$80*$DV101)+'LINEST VARS'!$A$62*(0.5*$DV101)</f>
        <v>336.69999999999993</v>
      </c>
      <c r="EB101" s="57">
        <f>'LINEST VARS'!$U$62+'LINEST VARS'!$T$62*(8)+'LINEST VARS'!$S$62*(8)+'LINEST VARS'!$R$62*($EB$80)+'LINEST VARS'!$Q$62*(0.5)+'LINEST VARS'!$P$62*($DV101)+'LINEST VARS'!$O$62*(8^2)+'LINEST VARS'!$N$62*(8^2)+'LINEST VARS'!$M$62*($EB$80^2)+'LINEST VARS'!$L$62*(0.5^2)+'LINEST VARS'!$K$62*($DV101^2)+'LINEST VARS'!$J$62*(8*8)+'LINEST VARS'!$I$62*(8*$EB$80)+'LINEST VARS'!$H$62*(8*0.5)+'LINEST VARS'!$G$62*(8*$DV101)+'LINEST VARS'!$F$62*(8*$EB$80)+'LINEST VARS'!$E$62*(8*0.5)+'LINEST VARS'!$D$62*(8*$DV101)+'LINEST VARS'!$C$62*($EB$80*0.5)+'LINEST VARS'!$B$62*($EB$80*$DV101)+'LINEST VARS'!$A$62*(0.5*$DV101)</f>
        <v>329.5</v>
      </c>
      <c r="EC101" s="57">
        <f>'LINEST VARS'!$U$62+'LINEST VARS'!$T$62*(8)+'LINEST VARS'!$S$62*(8)+'LINEST VARS'!$R$62*($EC$80)+'LINEST VARS'!$Q$62*(0.5)+'LINEST VARS'!$P$62*($DV101)+'LINEST VARS'!$O$62*(8^2)+'LINEST VARS'!$N$62*(8^2)+'LINEST VARS'!$M$62*($EC$80^2)+'LINEST VARS'!$L$62*(0.5^2)+'LINEST VARS'!$K$62*($DV101^2)+'LINEST VARS'!$J$62*(8*8)+'LINEST VARS'!$I$62*(8*$EC$80)+'LINEST VARS'!$H$62*(8*0.5)+'LINEST VARS'!$G$62*(8*$DV101)+'LINEST VARS'!$F$62*(8*$EC$80)+'LINEST VARS'!$E$62*(8*0.5)+'LINEST VARS'!$D$62*(8*$DV101)+'LINEST VARS'!$C$62*($EC$80*0.5)+'LINEST VARS'!$B$62*($EC$80*$DV101)+'LINEST VARS'!$A$62*(0.5*$DV101)</f>
        <v>320.69999999999987</v>
      </c>
      <c r="ED101" s="57">
        <f>'LINEST VARS'!$U$62+'LINEST VARS'!$T$62*(8)+'LINEST VARS'!$S$62*(8)+'LINEST VARS'!$R$62*($ED$80)+'LINEST VARS'!$Q$62*(0.5)+'LINEST VARS'!$P$62*($DV101)+'LINEST VARS'!$O$62*(8^2)+'LINEST VARS'!$N$62*(8^2)+'LINEST VARS'!$M$62*($ED$80^2)+'LINEST VARS'!$L$62*(0.5^2)+'LINEST VARS'!$K$62*($DV101^2)+'LINEST VARS'!$J$62*(8*8)+'LINEST VARS'!$I$62*(8*$ED$80)+'LINEST VARS'!$H$62*(8*0.5)+'LINEST VARS'!$G$62*(8*$DV101)+'LINEST VARS'!$F$62*(8*$ED$80)+'LINEST VARS'!$E$62*(8*0.5)+'LINEST VARS'!$D$62*(8*$DV101)+'LINEST VARS'!$C$62*($ED$80*0.5)+'LINEST VARS'!$B$62*($ED$80*$DV101)+'LINEST VARS'!$A$62*(0.5*$DV101)</f>
        <v>310.29999999999995</v>
      </c>
      <c r="EE101" s="57">
        <f>'LINEST VARS'!$U$62+'LINEST VARS'!$T$62*(8)+'LINEST VARS'!$S$62*(8)+'LINEST VARS'!$R$62*($EE$80)+'LINEST VARS'!$Q$62*(0.5)+'LINEST VARS'!$P$62*($DV101)+'LINEST VARS'!$O$62*(8^2)+'LINEST VARS'!$N$62*(8^2)+'LINEST VARS'!$M$62*($EE$80^2)+'LINEST VARS'!$L$62*(0.5^2)+'LINEST VARS'!$K$62*($DV101^2)+'LINEST VARS'!$J$62*(8*8)+'LINEST VARS'!$I$62*(8*$EE$80)+'LINEST VARS'!$H$62*(8*0.5)+'LINEST VARS'!$G$62*(8*$DV101)+'LINEST VARS'!$F$62*(8*$EE$80)+'LINEST VARS'!$E$62*(8*0.5)+'LINEST VARS'!$D$62*(8*$DV101)+'LINEST VARS'!$C$62*($EE$80*0.5)+'LINEST VARS'!$B$62*($EE$80*$DV101)+'LINEST VARS'!$A$62*(0.5*$DV101)</f>
        <v>298.3</v>
      </c>
      <c r="EF101" s="57">
        <f>'LINEST VARS'!$U$62+'LINEST VARS'!$T$62*(8)+'LINEST VARS'!$S$62*(8)+'LINEST VARS'!$R$62*($EF$80)+'LINEST VARS'!$Q$62*(0.5)+'LINEST VARS'!$P$62*($DV101)+'LINEST VARS'!$O$62*(8^2)+'LINEST VARS'!$N$62*(8^2)+'LINEST VARS'!$M$62*($EF$80^2)+'LINEST VARS'!$L$62*(0.5^2)+'LINEST VARS'!$K$62*($DV101^2)+'LINEST VARS'!$J$62*(8*8)+'LINEST VARS'!$I$62*(8*$EF$80)+'LINEST VARS'!$H$62*(8*0.5)+'LINEST VARS'!$G$62*(8*$DV101)+'LINEST VARS'!$F$62*(8*$EF$80)+'LINEST VARS'!$E$62*(8*0.5)+'LINEST VARS'!$D$62*(8*$DV101)+'LINEST VARS'!$C$62*($EF$80*0.5)+'LINEST VARS'!$B$62*($EF$80*$DV101)+'LINEST VARS'!$A$62*(0.5*$DV101)</f>
        <v>284.7</v>
      </c>
      <c r="EG101" s="57">
        <f>'LINEST VARS'!$U$62+'LINEST VARS'!$T$62*(8)+'LINEST VARS'!$S$62*(8)+'LINEST VARS'!$R$62*($EG$80)+'LINEST VARS'!$Q$62*(0.5)+'LINEST VARS'!$P$62*($DV101)+'LINEST VARS'!$O$62*(8^2)+'LINEST VARS'!$N$62*(8^2)+'LINEST VARS'!$M$62*($EG$80^2)+'LINEST VARS'!$L$62*(0.5^2)+'LINEST VARS'!$K$62*($DV101^2)+'LINEST VARS'!$J$62*(8*8)+'LINEST VARS'!$I$62*(8*$EG$80)+'LINEST VARS'!$H$62*(8*0.5)+'LINEST VARS'!$G$62*(8*$DV101)+'LINEST VARS'!$F$62*(8*$EG$80)+'LINEST VARS'!$E$62*(8*0.5)+'LINEST VARS'!$D$62*(8*$DV101)+'LINEST VARS'!$C$62*($EG$80*0.5)+'LINEST VARS'!$B$62*($EG$80*$DV101)+'LINEST VARS'!$A$62*(0.5*$DV101)</f>
        <v>269.5</v>
      </c>
      <c r="EH101" s="57">
        <f>'LINEST VARS'!$U$62+'LINEST VARS'!$T$62*(8)+'LINEST VARS'!$S$62*(8)+'LINEST VARS'!$R$62*($EH$80)+'LINEST VARS'!$Q$62*(0.5)+'LINEST VARS'!$P$62*($DV101)+'LINEST VARS'!$O$62*(8^2)+'LINEST VARS'!$N$62*(8^2)+'LINEST VARS'!$M$62*($EH$80^2)+'LINEST VARS'!$L$62*(0.5^2)+'LINEST VARS'!$K$62*($DV101^2)+'LINEST VARS'!$J$62*(8*8)+'LINEST VARS'!$I$62*(8*$EH$80)+'LINEST VARS'!$H$62*(8*0.5)+'LINEST VARS'!$G$62*(8*$DV101)+'LINEST VARS'!$F$62*(8*$EH$80)+'LINEST VARS'!$E$62*(8*0.5)+'LINEST VARS'!$D$62*(8*$DV101)+'LINEST VARS'!$C$62*($EH$80*0.5)+'LINEST VARS'!$B$62*($EH$80*$DV101)+'LINEST VARS'!$A$62*(0.5*$DV101)</f>
        <v>252.7</v>
      </c>
      <c r="EI101" s="57">
        <f>'LINEST VARS'!$U$62+'LINEST VARS'!$T$62*(8)+'LINEST VARS'!$S$62*(8)+'LINEST VARS'!$R$62*($EI$80)+'LINEST VARS'!$Q$62*(0.5)+'LINEST VARS'!$P$62*($DV101)+'LINEST VARS'!$O$62*(8^2)+'LINEST VARS'!$N$62*(8^2)+'LINEST VARS'!$M$62*($EI$80^2)+'LINEST VARS'!$L$62*(0.5^2)+'LINEST VARS'!$K$62*($DV101^2)+'LINEST VARS'!$J$62*(8*8)+'LINEST VARS'!$I$62*(8*$EI$80)+'LINEST VARS'!$H$62*(8*0.5)+'LINEST VARS'!$G$62*(8*$DV101)+'LINEST VARS'!$F$62*(8*$EI$80)+'LINEST VARS'!$E$62*(8*0.5)+'LINEST VARS'!$D$62*(8*$DV101)+'LINEST VARS'!$C$62*($EI$80*0.5)+'LINEST VARS'!$B$62*($EI$80*$DV101)+'LINEST VARS'!$A$62*(0.5*$DV101)</f>
        <v>234.30000000000004</v>
      </c>
      <c r="EJ101" s="57">
        <f>'LINEST VARS'!$U$62+'LINEST VARS'!$T$62*(8)+'LINEST VARS'!$S$62*(8)+'LINEST VARS'!$R$62*($EJ$80)+'LINEST VARS'!$Q$62*(0.5)+'LINEST VARS'!$P$62*($DV101)+'LINEST VARS'!$O$62*(8^2)+'LINEST VARS'!$N$62*(8^2)+'LINEST VARS'!$M$62*($EJ$80^2)+'LINEST VARS'!$L$62*(0.5^2)+'LINEST VARS'!$K$62*($DV101^2)+'LINEST VARS'!$J$62*(8*8)+'LINEST VARS'!$I$62*(8*$EJ$80)+'LINEST VARS'!$H$62*(8*0.5)+'LINEST VARS'!$G$62*(8*$DV101)+'LINEST VARS'!$F$62*(8*$EJ$80)+'LINEST VARS'!$E$62*(8*0.5)+'LINEST VARS'!$D$62*(8*$DV101)+'LINEST VARS'!$C$62*($EJ$80*0.5)+'LINEST VARS'!$B$62*($EJ$80*$DV101)+'LINEST VARS'!$A$62*(0.5*$DV101)</f>
        <v>214.29999999999995</v>
      </c>
      <c r="EK101" s="57">
        <f>'LINEST VARS'!$U$62+'LINEST VARS'!$T$62*(8)+'LINEST VARS'!$S$62*(8)+'LINEST VARS'!$R$62*($EK$80)+'LINEST VARS'!$Q$62*(0.5)+'LINEST VARS'!$P$62*($DV101)+'LINEST VARS'!$O$62*(8^2)+'LINEST VARS'!$N$62*(8^2)+'LINEST VARS'!$M$62*($EK$80^2)+'LINEST VARS'!$L$62*(0.5^2)+'LINEST VARS'!$K$62*($DV101^2)+'LINEST VARS'!$J$62*(8*8)+'LINEST VARS'!$I$62*(8*$EK$80)+'LINEST VARS'!$H$62*(8*0.5)+'LINEST VARS'!$G$62*(8*$DV101)+'LINEST VARS'!$F$62*(8*$EK$80)+'LINEST VARS'!$E$62*(8*0.5)+'LINEST VARS'!$D$62*(8*$DV101)+'LINEST VARS'!$C$62*($EK$80*0.5)+'LINEST VARS'!$B$62*($EK$80*$DV101)+'LINEST VARS'!$A$62*(0.5*$DV101)</f>
        <v>192.70000000000005</v>
      </c>
      <c r="EL101" s="57">
        <f>'LINEST VARS'!$U$62+'LINEST VARS'!$T$62*(8)+'LINEST VARS'!$S$62*(8)+'LINEST VARS'!$R$62*($EL$80)+'LINEST VARS'!$Q$62*(0.5)+'LINEST VARS'!$P$62*($DV101)+'LINEST VARS'!$O$62*(8^2)+'LINEST VARS'!$N$62*(8^2)+'LINEST VARS'!$M$62*($EL$80^2)+'LINEST VARS'!$L$62*(0.5^2)+'LINEST VARS'!$K$62*($DV101^2)+'LINEST VARS'!$J$62*(8*8)+'LINEST VARS'!$I$62*(8*$EL$80)+'LINEST VARS'!$H$62*(8*0.5)+'LINEST VARS'!$G$62*(8*$DV101)+'LINEST VARS'!$F$62*(8*$EL$80)+'LINEST VARS'!$E$62*(8*0.5)+'LINEST VARS'!$D$62*(8*$DV101)+'LINEST VARS'!$C$62*($EL$80*0.5)+'LINEST VARS'!$B$62*($EL$80*$DV101)+'LINEST VARS'!$A$62*(0.5*$DV101)</f>
        <v>169.50000000000003</v>
      </c>
      <c r="EM101" s="57">
        <f>'LINEST VARS'!$U$62+'LINEST VARS'!$T$62*(8)+'LINEST VARS'!$S$62*(8)+'LINEST VARS'!$R$62*($EM$80)+'LINEST VARS'!$Q$62*(0.5)+'LINEST VARS'!$P$62*($DV101)+'LINEST VARS'!$O$62*(8^2)+'LINEST VARS'!$N$62*(8^2)+'LINEST VARS'!$M$62*($EM$80^2)+'LINEST VARS'!$L$62*(0.5^2)+'LINEST VARS'!$K$62*($DV101^2)+'LINEST VARS'!$J$62*(8*8)+'LINEST VARS'!$I$62*(8*$EM$80)+'LINEST VARS'!$H$62*(8*0.5)+'LINEST VARS'!$G$62*(8*$DV101)+'LINEST VARS'!$F$62*(8*$EM$80)+'LINEST VARS'!$E$62*(8*0.5)+'LINEST VARS'!$D$62*(8*$DV101)+'LINEST VARS'!$C$62*($EM$80*0.5)+'LINEST VARS'!$B$62*($EM$80*$DV101)+'LINEST VARS'!$A$62*(0.5*$DV101)</f>
        <v>144.69999999999999</v>
      </c>
      <c r="EN101" s="57">
        <f>'LINEST VARS'!$U$62+'LINEST VARS'!$T$62*(8)+'LINEST VARS'!$S$62*(8)+'LINEST VARS'!$R$62*($EN$80)+'LINEST VARS'!$Q$62*(0.5)+'LINEST VARS'!$P$62*($DV101)+'LINEST VARS'!$O$62*(8^2)+'LINEST VARS'!$N$62*(8^2)+'LINEST VARS'!$M$62*($EN$80^2)+'LINEST VARS'!$L$62*(0.5^2)+'LINEST VARS'!$K$62*($DV101^2)+'LINEST VARS'!$J$62*(8*8)+'LINEST VARS'!$I$62*(8*$EN$80)+'LINEST VARS'!$H$62*(8*0.5)+'LINEST VARS'!$G$62*(8*$DV101)+'LINEST VARS'!$F$62*(8*$EN$80)+'LINEST VARS'!$E$62*(8*0.5)+'LINEST VARS'!$D$62*(8*$DV101)+'LINEST VARS'!$C$62*($EN$80*0.5)+'LINEST VARS'!$B$62*($EN$80*$DV101)+'LINEST VARS'!$A$62*(0.5*$DV101)</f>
        <v>118.30000000000003</v>
      </c>
      <c r="EO101" s="57">
        <f>'LINEST VARS'!$U$62+'LINEST VARS'!$T$62*(8)+'LINEST VARS'!$S$62*(8)+'LINEST VARS'!$R$62*($EO$80)+'LINEST VARS'!$Q$62*(0.5)+'LINEST VARS'!$P$62*($DV101)+'LINEST VARS'!$O$62*(8^2)+'LINEST VARS'!$N$62*(8^2)+'LINEST VARS'!$M$62*($EO$80^2)+'LINEST VARS'!$L$62*(0.5^2)+'LINEST VARS'!$K$62*($DV101^2)+'LINEST VARS'!$J$62*(8*8)+'LINEST VARS'!$I$62*(8*$EO$80)+'LINEST VARS'!$H$62*(8*0.5)+'LINEST VARS'!$G$62*(8*$DV101)+'LINEST VARS'!$F$62*(8*$EO$80)+'LINEST VARS'!$E$62*(8*0.5)+'LINEST VARS'!$D$62*(8*$DV101)+'LINEST VARS'!$C$62*($EO$80*0.5)+'LINEST VARS'!$B$62*($EO$80*$DV101)+'LINEST VARS'!$A$62*(0.5*$DV101)</f>
        <v>90.300000000000026</v>
      </c>
      <c r="EP101" s="57">
        <f>'LINEST VARS'!$U$62+'LINEST VARS'!$T$62*(8)+'LINEST VARS'!$S$62*(8)+'LINEST VARS'!$R$62*($EP$80)+'LINEST VARS'!$Q$62*(0.5)+'LINEST VARS'!$P$62*($DV101)+'LINEST VARS'!$O$62*(8^2)+'LINEST VARS'!$N$62*(8^2)+'LINEST VARS'!$M$62*($EP$80^2)+'LINEST VARS'!$L$62*(0.5^2)+'LINEST VARS'!$K$62*($DV101^2)+'LINEST VARS'!$J$62*(8*8)+'LINEST VARS'!$I$62*(8*$EP$80)+'LINEST VARS'!$H$62*(8*0.5)+'LINEST VARS'!$G$62*(8*$DV101)+'LINEST VARS'!$F$62*(8*$EP$80)+'LINEST VARS'!$E$62*(8*0.5)+'LINEST VARS'!$D$62*(8*$DV101)+'LINEST VARS'!$C$62*($EP$80*0.5)+'LINEST VARS'!$B$62*($EP$80*$DV101)+'LINEST VARS'!$A$62*(0.5*$DV101)</f>
        <v>60.700000000000067</v>
      </c>
      <c r="EQ101" s="58">
        <f>'LINEST VARS'!$U$62+'LINEST VARS'!$T$62*(8)+'LINEST VARS'!$S$62*(8)+'LINEST VARS'!$R$62*($EQ$80)+'LINEST VARS'!$Q$62*(0.5)+'LINEST VARS'!$P$62*($DV101)+'LINEST VARS'!$O$62*(8^2)+'LINEST VARS'!$N$62*(8^2)+'LINEST VARS'!$M$62*($EQ$80^2)+'LINEST VARS'!$L$62*(0.5^2)+'LINEST VARS'!$K$62*($DV101^2)+'LINEST VARS'!$J$62*(8*8)+'LINEST VARS'!$I$62*(8*$EQ$80)+'LINEST VARS'!$H$62*(8*0.5)+'LINEST VARS'!$G$62*(8*$DV101)+'LINEST VARS'!$F$62*(8*$EQ$80)+'LINEST VARS'!$E$62*(8*0.5)+'LINEST VARS'!$D$62*(8*$DV101)+'LINEST VARS'!$C$62*($EQ$80*0.5)+'LINEST VARS'!$B$62*($EQ$80*$DV101)+'LINEST VARS'!$A$62*(0.5*$DV101)</f>
        <v>29.500000000000099</v>
      </c>
    </row>
    <row r="102" spans="2:147" ht="15" customHeight="1" x14ac:dyDescent="0.25"/>
    <row r="103" spans="2:147" ht="15" customHeight="1" thickBot="1" x14ac:dyDescent="0.3">
      <c r="B103" s="59" t="s">
        <v>12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Z103" s="59" t="s">
        <v>13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Z103" s="59" t="s">
        <v>26</v>
      </c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X103" s="59" t="s">
        <v>27</v>
      </c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X103" s="59" t="s">
        <v>40</v>
      </c>
      <c r="CY103" s="60"/>
      <c r="CZ103" s="60"/>
      <c r="DA103" s="60"/>
      <c r="DB103" s="60"/>
      <c r="DC103" s="60"/>
      <c r="DD103" s="60"/>
      <c r="DE103" s="60"/>
      <c r="DF103" s="60"/>
      <c r="DG103" s="60"/>
      <c r="DH103" s="60"/>
      <c r="DI103" s="60"/>
      <c r="DJ103" s="60"/>
      <c r="DK103" s="60"/>
      <c r="DL103" s="60"/>
      <c r="DM103" s="60"/>
      <c r="DN103" s="60"/>
      <c r="DO103" s="60"/>
      <c r="DP103" s="60"/>
      <c r="DQ103" s="60"/>
      <c r="DR103" s="60"/>
      <c r="DS103" s="60"/>
      <c r="DV103" s="59" t="s">
        <v>41</v>
      </c>
      <c r="DW103" s="60"/>
      <c r="DX103" s="60"/>
      <c r="DY103" s="60"/>
      <c r="DZ103" s="60"/>
      <c r="EA103" s="60"/>
      <c r="EB103" s="60"/>
      <c r="EC103" s="60"/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0"/>
      <c r="EO103" s="60"/>
      <c r="EP103" s="60"/>
      <c r="EQ103" s="60"/>
    </row>
    <row r="104" spans="2:147" ht="15" customHeight="1" x14ac:dyDescent="0.25">
      <c r="B104" s="42" t="s">
        <v>5</v>
      </c>
      <c r="C104" s="43">
        <v>7.4</v>
      </c>
      <c r="D104" s="43">
        <v>7.46</v>
      </c>
      <c r="E104" s="43">
        <v>7.52</v>
      </c>
      <c r="F104" s="43">
        <v>7.58</v>
      </c>
      <c r="G104" s="43">
        <v>7.64</v>
      </c>
      <c r="H104" s="43">
        <v>7.7</v>
      </c>
      <c r="I104" s="43">
        <v>7.76</v>
      </c>
      <c r="J104" s="43">
        <v>7.82</v>
      </c>
      <c r="K104" s="43">
        <v>7.88</v>
      </c>
      <c r="L104" s="43">
        <v>7.94</v>
      </c>
      <c r="M104" s="43">
        <v>8</v>
      </c>
      <c r="N104" s="43">
        <v>8.06</v>
      </c>
      <c r="O104" s="43">
        <v>8.1199999999999992</v>
      </c>
      <c r="P104" s="43">
        <v>8.18</v>
      </c>
      <c r="Q104" s="43">
        <v>8.24</v>
      </c>
      <c r="R104" s="43">
        <v>8.3000000000000007</v>
      </c>
      <c r="S104" s="43">
        <v>8.36</v>
      </c>
      <c r="T104" s="43">
        <v>8.42</v>
      </c>
      <c r="U104" s="43">
        <v>8.48</v>
      </c>
      <c r="V104" s="43">
        <v>8.5399999999999991</v>
      </c>
      <c r="W104" s="44">
        <v>8.6</v>
      </c>
      <c r="Z104" s="42" t="s">
        <v>5</v>
      </c>
      <c r="AA104" s="43">
        <v>7.4</v>
      </c>
      <c r="AB104" s="43">
        <v>7.46</v>
      </c>
      <c r="AC104" s="43">
        <v>7.52</v>
      </c>
      <c r="AD104" s="43">
        <v>7.58</v>
      </c>
      <c r="AE104" s="43">
        <v>7.64</v>
      </c>
      <c r="AF104" s="43">
        <v>7.7</v>
      </c>
      <c r="AG104" s="43">
        <v>7.76</v>
      </c>
      <c r="AH104" s="43">
        <v>7.82</v>
      </c>
      <c r="AI104" s="43">
        <v>7.88</v>
      </c>
      <c r="AJ104" s="43">
        <v>7.94</v>
      </c>
      <c r="AK104" s="43">
        <v>8</v>
      </c>
      <c r="AL104" s="43">
        <v>8.06</v>
      </c>
      <c r="AM104" s="43">
        <v>8.1199999999999992</v>
      </c>
      <c r="AN104" s="43">
        <v>8.18</v>
      </c>
      <c r="AO104" s="43">
        <v>8.24</v>
      </c>
      <c r="AP104" s="43">
        <v>8.3000000000000007</v>
      </c>
      <c r="AQ104" s="43">
        <v>8.36</v>
      </c>
      <c r="AR104" s="43">
        <v>8.42</v>
      </c>
      <c r="AS104" s="43">
        <v>8.48</v>
      </c>
      <c r="AT104" s="43">
        <v>8.5399999999999991</v>
      </c>
      <c r="AU104" s="44">
        <v>8.6</v>
      </c>
      <c r="AZ104" s="42" t="s">
        <v>19</v>
      </c>
      <c r="BA104" s="43">
        <v>0</v>
      </c>
      <c r="BB104" s="43">
        <v>0.4</v>
      </c>
      <c r="BC104" s="43">
        <v>0.8</v>
      </c>
      <c r="BD104" s="43">
        <v>1.2</v>
      </c>
      <c r="BE104" s="43">
        <v>1.6</v>
      </c>
      <c r="BF104" s="43">
        <v>2</v>
      </c>
      <c r="BG104" s="43">
        <v>2.4</v>
      </c>
      <c r="BH104" s="43">
        <v>2.8</v>
      </c>
      <c r="BI104" s="43">
        <v>3.2</v>
      </c>
      <c r="BJ104" s="43">
        <v>3.6</v>
      </c>
      <c r="BK104" s="43">
        <v>4</v>
      </c>
      <c r="BL104" s="43">
        <v>4.4000000000000004</v>
      </c>
      <c r="BM104" s="43">
        <v>4.8</v>
      </c>
      <c r="BN104" s="43">
        <v>5.2</v>
      </c>
      <c r="BO104" s="43">
        <v>5.6</v>
      </c>
      <c r="BP104" s="43">
        <v>6</v>
      </c>
      <c r="BQ104" s="43">
        <v>6.4</v>
      </c>
      <c r="BR104" s="43">
        <v>6.8</v>
      </c>
      <c r="BS104" s="43">
        <v>7.2</v>
      </c>
      <c r="BT104" s="43">
        <v>7.6</v>
      </c>
      <c r="BU104" s="44">
        <v>8</v>
      </c>
      <c r="BX104" s="42" t="s">
        <v>19</v>
      </c>
      <c r="BY104" s="43">
        <v>0</v>
      </c>
      <c r="BZ104" s="43">
        <v>0.4</v>
      </c>
      <c r="CA104" s="43">
        <v>0.8</v>
      </c>
      <c r="CB104" s="43">
        <v>1.2</v>
      </c>
      <c r="CC104" s="43">
        <v>1.6</v>
      </c>
      <c r="CD104" s="43">
        <v>2</v>
      </c>
      <c r="CE104" s="43">
        <v>2.4</v>
      </c>
      <c r="CF104" s="43">
        <v>2.8</v>
      </c>
      <c r="CG104" s="43">
        <v>3.2</v>
      </c>
      <c r="CH104" s="43">
        <v>3.6</v>
      </c>
      <c r="CI104" s="43">
        <v>4</v>
      </c>
      <c r="CJ104" s="43">
        <v>4.4000000000000004</v>
      </c>
      <c r="CK104" s="43">
        <v>4.8</v>
      </c>
      <c r="CL104" s="43">
        <v>5.2</v>
      </c>
      <c r="CM104" s="43">
        <v>5.6</v>
      </c>
      <c r="CN104" s="43">
        <v>6</v>
      </c>
      <c r="CO104" s="43">
        <v>6.4</v>
      </c>
      <c r="CP104" s="43">
        <v>6.8</v>
      </c>
      <c r="CQ104" s="43">
        <v>7.2</v>
      </c>
      <c r="CR104" s="43">
        <v>7.6</v>
      </c>
      <c r="CS104" s="44">
        <v>8</v>
      </c>
      <c r="CX104" s="42" t="s">
        <v>33</v>
      </c>
      <c r="CY104" s="43">
        <v>0</v>
      </c>
      <c r="CZ104" s="43">
        <v>0.4</v>
      </c>
      <c r="DA104" s="43">
        <v>0.8</v>
      </c>
      <c r="DB104" s="43">
        <v>1.2</v>
      </c>
      <c r="DC104" s="43">
        <v>1.6</v>
      </c>
      <c r="DD104" s="43">
        <v>2</v>
      </c>
      <c r="DE104" s="43">
        <v>2.4</v>
      </c>
      <c r="DF104" s="43">
        <v>2.8</v>
      </c>
      <c r="DG104" s="43">
        <v>3.2</v>
      </c>
      <c r="DH104" s="43">
        <v>3.6</v>
      </c>
      <c r="DI104" s="43">
        <v>4</v>
      </c>
      <c r="DJ104" s="43">
        <v>4.4000000000000004</v>
      </c>
      <c r="DK104" s="43">
        <v>4.8</v>
      </c>
      <c r="DL104" s="43">
        <v>5.2</v>
      </c>
      <c r="DM104" s="43">
        <v>5.6</v>
      </c>
      <c r="DN104" s="43">
        <v>6</v>
      </c>
      <c r="DO104" s="43">
        <v>6.4</v>
      </c>
      <c r="DP104" s="43">
        <v>6.8</v>
      </c>
      <c r="DQ104" s="43">
        <v>7.2</v>
      </c>
      <c r="DR104" s="43">
        <v>7.6</v>
      </c>
      <c r="DS104" s="44">
        <v>8</v>
      </c>
      <c r="DV104" s="42" t="s">
        <v>33</v>
      </c>
      <c r="DW104" s="43">
        <v>0</v>
      </c>
      <c r="DX104" s="43">
        <v>0.4</v>
      </c>
      <c r="DY104" s="43">
        <v>0.8</v>
      </c>
      <c r="DZ104" s="43">
        <v>1.2</v>
      </c>
      <c r="EA104" s="43">
        <v>1.6</v>
      </c>
      <c r="EB104" s="43">
        <v>2</v>
      </c>
      <c r="EC104" s="43">
        <v>2.4</v>
      </c>
      <c r="ED104" s="43">
        <v>2.8</v>
      </c>
      <c r="EE104" s="43">
        <v>3.2</v>
      </c>
      <c r="EF104" s="43">
        <v>3.6</v>
      </c>
      <c r="EG104" s="43">
        <v>4</v>
      </c>
      <c r="EH104" s="43">
        <v>4.4000000000000004</v>
      </c>
      <c r="EI104" s="43">
        <v>4.8</v>
      </c>
      <c r="EJ104" s="43">
        <v>5.2</v>
      </c>
      <c r="EK104" s="43">
        <v>5.6</v>
      </c>
      <c r="EL104" s="43">
        <v>6</v>
      </c>
      <c r="EM104" s="43">
        <v>6.4</v>
      </c>
      <c r="EN104" s="43">
        <v>6.8</v>
      </c>
      <c r="EO104" s="43">
        <v>7.2</v>
      </c>
      <c r="EP104" s="43">
        <v>7.6</v>
      </c>
      <c r="EQ104" s="44">
        <v>8</v>
      </c>
    </row>
    <row r="105" spans="2:147" ht="15" customHeight="1" x14ac:dyDescent="0.25">
      <c r="B105" s="45">
        <v>7.4</v>
      </c>
      <c r="C105" s="55">
        <f>'LINEST VARS'!$U$64+'LINEST VARS'!$T$64*($C$104)+'LINEST VARS'!$S$64*($B105)+'LINEST VARS'!$R$64*(4)+'LINEST VARS'!$Q$64*(0.5)+'LINEST VARS'!$P$64*(12.73)+'LINEST VARS'!$O$64*($C$104^2)+'LINEST VARS'!$N$64*($B105^2)+'LINEST VARS'!$M$64*(4^2)+'LINEST VARS'!$L$64*(0.5^2)+'LINEST VARS'!$K$64*(12.73^2)+'LINEST VARS'!$J$64*($C$104*$B105)+'LINEST VARS'!$I$64*($C$104*4)+'LINEST VARS'!$H$64*($C$104*0.5)+'LINEST VARS'!$G$64*($C$104*12.73)+'LINEST VARS'!$F$64*($B105*4)+'LINEST VARS'!$E$64*($B105*0.5)+'LINEST VARS'!$D$64*($B105*12.73)+'LINEST VARS'!$C$64*(4*0.5)+'LINEST VARS'!$B$64*(4*12.73)+'LINEST VARS'!$A$64*(0.5*12.73)</f>
        <v>164.18999999999988</v>
      </c>
      <c r="D105" s="55">
        <f>'LINEST VARS'!$U$64+'LINEST VARS'!$T$64*($D$104)+'LINEST VARS'!$S$64*($B105)+'LINEST VARS'!$R$64*(4)+'LINEST VARS'!$Q$64*(0.5)+'LINEST VARS'!$P$64*(12.73)+'LINEST VARS'!$O$64*($D$104^2)+'LINEST VARS'!$N$64*($B105^2)+'LINEST VARS'!$M$64*(4^2)+'LINEST VARS'!$L$64*(0.5^2)+'LINEST VARS'!$K$64*(12.73^2)+'LINEST VARS'!$J$64*($D$104*$B105)+'LINEST VARS'!$I$64*($D$104*4)+'LINEST VARS'!$H$64*($D$104*0.5)+'LINEST VARS'!$G$64*($D$104*12.73)+'LINEST VARS'!$F$64*($B105*4)+'LINEST VARS'!$E$64*($B105*0.5)+'LINEST VARS'!$D$64*($B105*12.73)+'LINEST VARS'!$C$64*(4*0.5)+'LINEST VARS'!$B$64*(4*12.73)+'LINEST VARS'!$A$64*(0.5*12.73)</f>
        <v>164.18999999999988</v>
      </c>
      <c r="E105" s="55">
        <f>'LINEST VARS'!$U$64+'LINEST VARS'!$T$64*($E$104)+'LINEST VARS'!$S$64*($B105)+'LINEST VARS'!$R$64*(4)+'LINEST VARS'!$Q$64*(0.5)+'LINEST VARS'!$P$64*(12.73)+'LINEST VARS'!$O$64*($E$104^2)+'LINEST VARS'!$N$64*($B105^2)+'LINEST VARS'!$M$64*(4^2)+'LINEST VARS'!$L$64*(0.5^2)+'LINEST VARS'!$K$64*(12.73^2)+'LINEST VARS'!$J$64*($E$104*$B105)+'LINEST VARS'!$I$64*($E$104*4)+'LINEST VARS'!$H$64*($E$104*0.5)+'LINEST VARS'!$G$64*($E$104*12.73)+'LINEST VARS'!$F$64*($B105*4)+'LINEST VARS'!$E$64*($B105*0.5)+'LINEST VARS'!$D$64*($B105*12.73)+'LINEST VARS'!$C$64*(4*0.5)+'LINEST VARS'!$B$64*(4*12.73)+'LINEST VARS'!$A$64*(0.5*12.73)</f>
        <v>164.18999999999988</v>
      </c>
      <c r="F105" s="55">
        <f>'LINEST VARS'!$U$64+'LINEST VARS'!$T$64*($F$104)+'LINEST VARS'!$S$64*($B105)+'LINEST VARS'!$R$64*(4)+'LINEST VARS'!$Q$64*(0.5)+'LINEST VARS'!$P$64*(12.73)+'LINEST VARS'!$O$64*($F$104^2)+'LINEST VARS'!$N$64*($B105^2)+'LINEST VARS'!$M$64*(4^2)+'LINEST VARS'!$L$64*(0.5^2)+'LINEST VARS'!$K$64*(12.73^2)+'LINEST VARS'!$J$64*($F$104*$B105)+'LINEST VARS'!$I$64*($F$104*4)+'LINEST VARS'!$H$64*($F$104*0.5)+'LINEST VARS'!$G$64*($F$104*12.73)+'LINEST VARS'!$F$64*($B105*4)+'LINEST VARS'!$E$64*($B105*0.5)+'LINEST VARS'!$D$64*($B105*12.73)+'LINEST VARS'!$C$64*(4*0.5)+'LINEST VARS'!$B$64*(4*12.73)+'LINEST VARS'!$A$64*(0.5*12.73)</f>
        <v>164.18999999999988</v>
      </c>
      <c r="G105" s="55">
        <f>'LINEST VARS'!$U$64+'LINEST VARS'!$T$64*($G$104)+'LINEST VARS'!$S$64*($B105)+'LINEST VARS'!$R$64*(4)+'LINEST VARS'!$Q$64*(0.5)+'LINEST VARS'!$P$64*(12.73)+'LINEST VARS'!$O$64*($G$104^2)+'LINEST VARS'!$N$64*($B105^2)+'LINEST VARS'!$M$64*(4^2)+'LINEST VARS'!$L$64*(0.5^2)+'LINEST VARS'!$K$64*(12.73^2)+'LINEST VARS'!$J$64*($G$104*$B105)+'LINEST VARS'!$I$64*($G$104*4)+'LINEST VARS'!$H$64*($G$104*0.5)+'LINEST VARS'!$G$64*($G$104*12.73)+'LINEST VARS'!$F$64*($B105*4)+'LINEST VARS'!$E$64*($B105*0.5)+'LINEST VARS'!$D$64*($B105*12.73)+'LINEST VARS'!$C$64*(4*0.5)+'LINEST VARS'!$B$64*(4*12.73)+'LINEST VARS'!$A$64*(0.5*12.73)</f>
        <v>164.18999999999991</v>
      </c>
      <c r="H105" s="55">
        <f>'LINEST VARS'!$U$64+'LINEST VARS'!$T$64*($H$104)+'LINEST VARS'!$S$64*($B105)+'LINEST VARS'!$R$64*(4)+'LINEST VARS'!$Q$64*(0.5)+'LINEST VARS'!$P$64*(12.73)+'LINEST VARS'!$O$64*($H$104^2)+'LINEST VARS'!$N$64*($B105^2)+'LINEST VARS'!$M$64*(4^2)+'LINEST VARS'!$L$64*(0.5^2)+'LINEST VARS'!$K$64*(12.73^2)+'LINEST VARS'!$J$64*($H$104*$B105)+'LINEST VARS'!$I$64*($H$104*4)+'LINEST VARS'!$H$64*($H$104*0.5)+'LINEST VARS'!$G$64*($H$104*12.73)+'LINEST VARS'!$F$64*($B105*4)+'LINEST VARS'!$E$64*($B105*0.5)+'LINEST VARS'!$D$64*($B105*12.73)+'LINEST VARS'!$C$64*(4*0.5)+'LINEST VARS'!$B$64*(4*12.73)+'LINEST VARS'!$A$64*(0.5*12.73)</f>
        <v>164.18999999999991</v>
      </c>
      <c r="I105" s="55">
        <f>'LINEST VARS'!$U$64+'LINEST VARS'!$T$64*($I$104)+'LINEST VARS'!$S$64*($B105)+'LINEST VARS'!$R$64*(4)+'LINEST VARS'!$Q$64*(0.5)+'LINEST VARS'!$P$64*(12.73)+'LINEST VARS'!$O$64*($I$104^2)+'LINEST VARS'!$N$64*($B105^2)+'LINEST VARS'!$M$64*(4^2)+'LINEST VARS'!$L$64*(0.5^2)+'LINEST VARS'!$K$64*(12.73^2)+'LINEST VARS'!$J$64*($I$104*$B105)+'LINEST VARS'!$I$64*($I$104*4)+'LINEST VARS'!$H$64*($I$104*0.5)+'LINEST VARS'!$G$64*($I$104*12.73)+'LINEST VARS'!$F$64*($B105*4)+'LINEST VARS'!$E$64*($B105*0.5)+'LINEST VARS'!$D$64*($B105*12.73)+'LINEST VARS'!$C$64*(4*0.5)+'LINEST VARS'!$B$64*(4*12.73)+'LINEST VARS'!$A$64*(0.5*12.73)</f>
        <v>164.18999999999988</v>
      </c>
      <c r="J105" s="55">
        <f>'LINEST VARS'!$U$64+'LINEST VARS'!$T$64*($J$104)+'LINEST VARS'!$S$64*($B105)+'LINEST VARS'!$R$64*(4)+'LINEST VARS'!$Q$64*(0.5)+'LINEST VARS'!$P$64*(12.73)+'LINEST VARS'!$O$64*($J$104^2)+'LINEST VARS'!$N$64*($B105^2)+'LINEST VARS'!$M$64*(4^2)+'LINEST VARS'!$L$64*(0.5^2)+'LINEST VARS'!$K$64*(12.73^2)+'LINEST VARS'!$J$64*($J$104*$B105)+'LINEST VARS'!$I$64*($J$104*4)+'LINEST VARS'!$H$64*($J$104*0.5)+'LINEST VARS'!$G$64*($J$104*12.73)+'LINEST VARS'!$F$64*($B105*4)+'LINEST VARS'!$E$64*($B105*0.5)+'LINEST VARS'!$D$64*($B105*12.73)+'LINEST VARS'!$C$64*(4*0.5)+'LINEST VARS'!$B$64*(4*12.73)+'LINEST VARS'!$A$64*(0.5*12.73)</f>
        <v>164.18999999999988</v>
      </c>
      <c r="K105" s="55">
        <f>'LINEST VARS'!$U$64+'LINEST VARS'!$T$64*($K$104)+'LINEST VARS'!$S$64*($B105)+'LINEST VARS'!$R$64*(4)+'LINEST VARS'!$Q$64*(0.5)+'LINEST VARS'!$P$64*(12.73)+'LINEST VARS'!$O$64*($K$104^2)+'LINEST VARS'!$N$64*($B105^2)+'LINEST VARS'!$M$64*(4^2)+'LINEST VARS'!$L$64*(0.5^2)+'LINEST VARS'!$K$64*(12.73^2)+'LINEST VARS'!$J$64*($K$104*$B105)+'LINEST VARS'!$I$64*($K$104*4)+'LINEST VARS'!$H$64*($K$104*0.5)+'LINEST VARS'!$G$64*($K$104*12.73)+'LINEST VARS'!$F$64*($B105*4)+'LINEST VARS'!$E$64*($B105*0.5)+'LINEST VARS'!$D$64*($B105*12.73)+'LINEST VARS'!$C$64*(4*0.5)+'LINEST VARS'!$B$64*(4*12.73)+'LINEST VARS'!$A$64*(0.5*12.73)</f>
        <v>164.18999999999988</v>
      </c>
      <c r="L105" s="55">
        <f>'LINEST VARS'!$U$64+'LINEST VARS'!$T$64*($L$104)+'LINEST VARS'!$S$64*($B105)+'LINEST VARS'!$R$64*(4)+'LINEST VARS'!$Q$64*(0.5)+'LINEST VARS'!$P$64*(12.73)+'LINEST VARS'!$O$64*($L$104^2)+'LINEST VARS'!$N$64*($B105^2)+'LINEST VARS'!$M$64*(4^2)+'LINEST VARS'!$L$64*(0.5^2)+'LINEST VARS'!$K$64*(12.73^2)+'LINEST VARS'!$J$64*($L$104*$B105)+'LINEST VARS'!$I$64*($L$104*4)+'LINEST VARS'!$H$64*($L$104*0.5)+'LINEST VARS'!$G$64*($L$104*12.73)+'LINEST VARS'!$F$64*($B105*4)+'LINEST VARS'!$E$64*($B105*0.5)+'LINEST VARS'!$D$64*($B105*12.73)+'LINEST VARS'!$C$64*(4*0.5)+'LINEST VARS'!$B$64*(4*12.73)+'LINEST VARS'!$A$64*(0.5*12.73)</f>
        <v>164.18999999999988</v>
      </c>
      <c r="M105" s="55">
        <f>'LINEST VARS'!$U$64+'LINEST VARS'!$T$64*($M$104)+'LINEST VARS'!$S$64*($B105)+'LINEST VARS'!$R$64*(4)+'LINEST VARS'!$Q$64*(0.5)+'LINEST VARS'!$P$64*(12.73)+'LINEST VARS'!$O$64*($M$104^2)+'LINEST VARS'!$N$64*($B105^2)+'LINEST VARS'!$M$64*(4^2)+'LINEST VARS'!$L$64*(0.5^2)+'LINEST VARS'!$K$64*(12.73^2)+'LINEST VARS'!$J$64*($M$104*$B105)+'LINEST VARS'!$I$64*($M$104*4)+'LINEST VARS'!$H$64*($M$104*0.5)+'LINEST VARS'!$G$64*($M$104*12.73)+'LINEST VARS'!$F$64*($B105*4)+'LINEST VARS'!$E$64*($B105*0.5)+'LINEST VARS'!$D$64*($B105*12.73)+'LINEST VARS'!$C$64*(4*0.5)+'LINEST VARS'!$B$64*(4*12.73)+'LINEST VARS'!$A$64*(0.5*12.73)</f>
        <v>164.18999999999988</v>
      </c>
      <c r="N105" s="55">
        <f>'LINEST VARS'!$U$64+'LINEST VARS'!$T$64*($N$104)+'LINEST VARS'!$S$64*($B105)+'LINEST VARS'!$R$64*(4)+'LINEST VARS'!$Q$64*(0.5)+'LINEST VARS'!$P$64*(12.73)+'LINEST VARS'!$O$64*($N$104^2)+'LINEST VARS'!$N$64*($B105^2)+'LINEST VARS'!$M$64*(4^2)+'LINEST VARS'!$L$64*(0.5^2)+'LINEST VARS'!$K$64*(12.73^2)+'LINEST VARS'!$J$64*($N$104*$B105)+'LINEST VARS'!$I$64*($N$104*4)+'LINEST VARS'!$H$64*($N$104*0.5)+'LINEST VARS'!$G$64*($N$104*12.73)+'LINEST VARS'!$F$64*($B105*4)+'LINEST VARS'!$E$64*($B105*0.5)+'LINEST VARS'!$D$64*($B105*12.73)+'LINEST VARS'!$C$64*(4*0.5)+'LINEST VARS'!$B$64*(4*12.73)+'LINEST VARS'!$A$64*(0.5*12.73)</f>
        <v>164.18999999999988</v>
      </c>
      <c r="O105" s="55">
        <f>'LINEST VARS'!$U$64+'LINEST VARS'!$T$64*($O$104)+'LINEST VARS'!$S$64*($B105)+'LINEST VARS'!$R$64*(4)+'LINEST VARS'!$Q$64*(0.5)+'LINEST VARS'!$P$64*(12.73)+'LINEST VARS'!$O$64*($O$104^2)+'LINEST VARS'!$N$64*($B105^2)+'LINEST VARS'!$M$64*(4^2)+'LINEST VARS'!$L$64*(0.5^2)+'LINEST VARS'!$K$64*(12.73^2)+'LINEST VARS'!$J$64*($O$104*$B105)+'LINEST VARS'!$I$64*($O$104*4)+'LINEST VARS'!$H$64*($O$104*0.5)+'LINEST VARS'!$G$64*($O$104*12.73)+'LINEST VARS'!$F$64*($B105*4)+'LINEST VARS'!$E$64*($B105*0.5)+'LINEST VARS'!$D$64*($B105*12.73)+'LINEST VARS'!$C$64*(4*0.5)+'LINEST VARS'!$B$64*(4*12.73)+'LINEST VARS'!$A$64*(0.5*12.73)</f>
        <v>164.18999999999986</v>
      </c>
      <c r="P105" s="55">
        <f>'LINEST VARS'!$U$64+'LINEST VARS'!$T$64*($P$104)+'LINEST VARS'!$S$64*($B105)+'LINEST VARS'!$R$64*(4)+'LINEST VARS'!$Q$64*(0.5)+'LINEST VARS'!$P$64*(12.73)+'LINEST VARS'!$O$64*($P$104^2)+'LINEST VARS'!$N$64*($B105^2)+'LINEST VARS'!$M$64*(4^2)+'LINEST VARS'!$L$64*(0.5^2)+'LINEST VARS'!$K$64*(12.73^2)+'LINEST VARS'!$J$64*($P$104*$B105)+'LINEST VARS'!$I$64*($P$104*4)+'LINEST VARS'!$H$64*($P$104*0.5)+'LINEST VARS'!$G$64*($P$104*12.73)+'LINEST VARS'!$F$64*($B105*4)+'LINEST VARS'!$E$64*($B105*0.5)+'LINEST VARS'!$D$64*($B105*12.73)+'LINEST VARS'!$C$64*(4*0.5)+'LINEST VARS'!$B$64*(4*12.73)+'LINEST VARS'!$A$64*(0.5*12.73)</f>
        <v>164.18999999999988</v>
      </c>
      <c r="Q105" s="55">
        <f>'LINEST VARS'!$U$64+'LINEST VARS'!$T$64*($Q$104)+'LINEST VARS'!$S$64*($B105)+'LINEST VARS'!$R$64*(4)+'LINEST VARS'!$Q$64*(0.5)+'LINEST VARS'!$P$64*(12.73)+'LINEST VARS'!$O$64*($Q$104^2)+'LINEST VARS'!$N$64*($B105^2)+'LINEST VARS'!$M$64*(4^2)+'LINEST VARS'!$L$64*(0.5^2)+'LINEST VARS'!$K$64*(12.73^2)+'LINEST VARS'!$J$64*($Q$104*$B105)+'LINEST VARS'!$I$64*($Q$104*4)+'LINEST VARS'!$H$64*($Q$104*0.5)+'LINEST VARS'!$G$64*($Q$104*12.73)+'LINEST VARS'!$F$64*($B105*4)+'LINEST VARS'!$E$64*($B105*0.5)+'LINEST VARS'!$D$64*($B105*12.73)+'LINEST VARS'!$C$64*(4*0.5)+'LINEST VARS'!$B$64*(4*12.73)+'LINEST VARS'!$A$64*(0.5*12.73)</f>
        <v>164.18999999999988</v>
      </c>
      <c r="R105" s="55">
        <f>'LINEST VARS'!$U$64+'LINEST VARS'!$T$64*($R$104)+'LINEST VARS'!$S$64*($B105)+'LINEST VARS'!$R$64*(4)+'LINEST VARS'!$Q$64*(0.5)+'LINEST VARS'!$P$64*(12.73)+'LINEST VARS'!$O$64*($R$104^2)+'LINEST VARS'!$N$64*($B105^2)+'LINEST VARS'!$M$64*(4^2)+'LINEST VARS'!$L$64*(0.5^2)+'LINEST VARS'!$K$64*(12.73^2)+'LINEST VARS'!$J$64*($R$104*$B105)+'LINEST VARS'!$I$64*($R$104*4)+'LINEST VARS'!$H$64*($R$104*0.5)+'LINEST VARS'!$G$64*($R$104*12.73)+'LINEST VARS'!$F$64*($B105*4)+'LINEST VARS'!$E$64*($B105*0.5)+'LINEST VARS'!$D$64*($B105*12.73)+'LINEST VARS'!$C$64*(4*0.5)+'LINEST VARS'!$B$64*(4*12.73)+'LINEST VARS'!$A$64*(0.5*12.73)</f>
        <v>164.18999999999988</v>
      </c>
      <c r="S105" s="55">
        <f>'LINEST VARS'!$U$64+'LINEST VARS'!$T$64*($S$104)+'LINEST VARS'!$S$64*($B105)+'LINEST VARS'!$R$64*(4)+'LINEST VARS'!$Q$64*(0.5)+'LINEST VARS'!$P$64*(12.73)+'LINEST VARS'!$O$64*($S$104^2)+'LINEST VARS'!$N$64*($B105^2)+'LINEST VARS'!$M$64*(4^2)+'LINEST VARS'!$L$64*(0.5^2)+'LINEST VARS'!$K$64*(12.73^2)+'LINEST VARS'!$J$64*($S$104*$B105)+'LINEST VARS'!$I$64*($S$104*4)+'LINEST VARS'!$H$64*($S$104*0.5)+'LINEST VARS'!$G$64*($S$104*12.73)+'LINEST VARS'!$F$64*($B105*4)+'LINEST VARS'!$E$64*($B105*0.5)+'LINEST VARS'!$D$64*($B105*12.73)+'LINEST VARS'!$C$64*(4*0.5)+'LINEST VARS'!$B$64*(4*12.73)+'LINEST VARS'!$A$64*(0.5*12.73)</f>
        <v>164.18999999999988</v>
      </c>
      <c r="T105" s="55">
        <f>'LINEST VARS'!$U$64+'LINEST VARS'!$T$64*($T$104)+'LINEST VARS'!$S$64*($B105)+'LINEST VARS'!$R$64*(4)+'LINEST VARS'!$Q$64*(0.5)+'LINEST VARS'!$P$64*(12.73)+'LINEST VARS'!$O$64*($T$104^2)+'LINEST VARS'!$N$64*($B105^2)+'LINEST VARS'!$M$64*(4^2)+'LINEST VARS'!$L$64*(0.5^2)+'LINEST VARS'!$K$64*(12.73^2)+'LINEST VARS'!$J$64*($T$104*$B105)+'LINEST VARS'!$I$64*($T$104*4)+'LINEST VARS'!$H$64*($T$104*0.5)+'LINEST VARS'!$G$64*($T$104*12.73)+'LINEST VARS'!$F$64*($B105*4)+'LINEST VARS'!$E$64*($B105*0.5)+'LINEST VARS'!$D$64*($B105*12.73)+'LINEST VARS'!$C$64*(4*0.5)+'LINEST VARS'!$B$64*(4*12.73)+'LINEST VARS'!$A$64*(0.5*12.73)</f>
        <v>164.18999999999988</v>
      </c>
      <c r="U105" s="55">
        <f>'LINEST VARS'!$U$64+'LINEST VARS'!$T$64*($U$104)+'LINEST VARS'!$S$64*($B105)+'LINEST VARS'!$R$64*(4)+'LINEST VARS'!$Q$64*(0.5)+'LINEST VARS'!$P$64*(12.73)+'LINEST VARS'!$O$64*($U$104^2)+'LINEST VARS'!$N$64*($B105^2)+'LINEST VARS'!$M$64*(4^2)+'LINEST VARS'!$L$64*(0.5^2)+'LINEST VARS'!$K$64*(12.73^2)+'LINEST VARS'!$J$64*($U$104*$B105)+'LINEST VARS'!$I$64*($U$104*4)+'LINEST VARS'!$H$64*($U$104*0.5)+'LINEST VARS'!$G$64*($U$104*12.73)+'LINEST VARS'!$F$64*($B105*4)+'LINEST VARS'!$E$64*($B105*0.5)+'LINEST VARS'!$D$64*($B105*12.73)+'LINEST VARS'!$C$64*(4*0.5)+'LINEST VARS'!$B$64*(4*12.73)+'LINEST VARS'!$A$64*(0.5*12.73)</f>
        <v>164.18999999999988</v>
      </c>
      <c r="V105" s="55">
        <f>'LINEST VARS'!$U$64+'LINEST VARS'!$T$64*($V$104)+'LINEST VARS'!$S$64*($B105)+'LINEST VARS'!$R$64*(4)+'LINEST VARS'!$Q$64*(0.5)+'LINEST VARS'!$P$64*(12.73)+'LINEST VARS'!$O$64*($V$104^2)+'LINEST VARS'!$N$64*($B105^2)+'LINEST VARS'!$M$64*(4^2)+'LINEST VARS'!$L$64*(0.5^2)+'LINEST VARS'!$K$64*(12.73^2)+'LINEST VARS'!$J$64*($V$104*$B105)+'LINEST VARS'!$I$64*($V$104*4)+'LINEST VARS'!$H$64*($V$104*0.5)+'LINEST VARS'!$G$64*($V$104*12.73)+'LINEST VARS'!$F$64*($B105*4)+'LINEST VARS'!$E$64*($B105*0.5)+'LINEST VARS'!$D$64*($B105*12.73)+'LINEST VARS'!$C$64*(4*0.5)+'LINEST VARS'!$B$64*(4*12.73)+'LINEST VARS'!$A$64*(0.5*12.73)</f>
        <v>164.18999999999988</v>
      </c>
      <c r="W105" s="56">
        <f>'LINEST VARS'!$U$64+'LINEST VARS'!$T$64*($W$104)+'LINEST VARS'!$S$64*($B105)+'LINEST VARS'!$R$64*(4)+'LINEST VARS'!$Q$64*(0.5)+'LINEST VARS'!$P$64*(12.73)+'LINEST VARS'!$O$64*($W$104^2)+'LINEST VARS'!$N$64*($B105^2)+'LINEST VARS'!$M$64*(4^2)+'LINEST VARS'!$L$64*(0.5^2)+'LINEST VARS'!$K$64*(12.73^2)+'LINEST VARS'!$J$64*($W$104*$B105)+'LINEST VARS'!$I$64*($W$104*4)+'LINEST VARS'!$H$64*($W$104*0.5)+'LINEST VARS'!$G$64*($W$104*12.73)+'LINEST VARS'!$F$64*($B105*4)+'LINEST VARS'!$E$64*($B105*0.5)+'LINEST VARS'!$D$64*($B105*12.73)+'LINEST VARS'!$C$64*(4*0.5)+'LINEST VARS'!$B$64*(4*12.73)+'LINEST VARS'!$A$64*(0.5*12.73)</f>
        <v>164.18999999999988</v>
      </c>
      <c r="Z105" s="45">
        <v>7.4</v>
      </c>
      <c r="AA105" s="46">
        <f>'LINEST VARS'!$U$66+'LINEST VARS'!$T$66*($AA$104)+'LINEST VARS'!$S$66*($Z105)+'LINEST VARS'!$R$66*(4)+'LINEST VARS'!$Q$66*(0.5)+'LINEST VARS'!$P$66*(12.73)+'LINEST VARS'!$O$66*($AA$104^2)+'LINEST VARS'!$N$66*($Z105^2)+'LINEST VARS'!$M$66*(4^2)+'LINEST VARS'!$L$66*(0.5^2)+'LINEST VARS'!$K$66*(12.73^2)+'LINEST VARS'!$J$66*($AA$104*$Z105)+'LINEST VARS'!$I$66*($AA$104*4)+'LINEST VARS'!$H$66*($AA$104*0.5)+'LINEST VARS'!$G$66*($AA$104*12.73)+'LINEST VARS'!$F$66*($Z105*4)+'LINEST VARS'!$E$66*($Z105*0.5)+'LINEST VARS'!$D$66*($Z105*12.73)+'LINEST VARS'!$C$66*(4*0.5)+'LINEST VARS'!$B$66*(4*12.73)+'LINEST VARS'!$A$66*(0.5*12.73)</f>
        <v>134.20000000000007</v>
      </c>
      <c r="AB105" s="46">
        <f>'LINEST VARS'!$U$66+'LINEST VARS'!$T$66*($AB$104)+'LINEST VARS'!$S$66*($Z105)+'LINEST VARS'!$R$66*(4)+'LINEST VARS'!$Q$66*(0.5)+'LINEST VARS'!$P$66*(12.73)+'LINEST VARS'!$O$66*($AB$104^2)+'LINEST VARS'!$N$66*($Z105^2)+'LINEST VARS'!$M$66*(4^2)+'LINEST VARS'!$L$66*(0.5^2)+'LINEST VARS'!$K$66*(12.73^2)+'LINEST VARS'!$J$66*($AB$104*$Z105)+'LINEST VARS'!$I$66*($AB$104*4)+'LINEST VARS'!$H$66*($AB$104*0.5)+'LINEST VARS'!$G$66*($AB$104*12.73)+'LINEST VARS'!$F$66*($Z105*4)+'LINEST VARS'!$E$66*($Z105*0.5)+'LINEST VARS'!$D$66*($Z105*12.73)+'LINEST VARS'!$C$66*(4*0.5)+'LINEST VARS'!$B$66*(4*12.73)+'LINEST VARS'!$A$66*(0.5*12.73)</f>
        <v>134.38000000000008</v>
      </c>
      <c r="AC105" s="46">
        <f>'LINEST VARS'!$U$66+'LINEST VARS'!$T$66*($AC$104)+'LINEST VARS'!$S$66*($Z105)+'LINEST VARS'!$R$66*(4)+'LINEST VARS'!$Q$66*(0.5)+'LINEST VARS'!$P$66*(12.73)+'LINEST VARS'!$O$66*($AC$104^2)+'LINEST VARS'!$N$66*($Z105^2)+'LINEST VARS'!$M$66*(4^2)+'LINEST VARS'!$L$66*(0.5^2)+'LINEST VARS'!$K$66*(12.73^2)+'LINEST VARS'!$J$66*($AC$104*$Z105)+'LINEST VARS'!$I$66*($AC$104*4)+'LINEST VARS'!$H$66*($AC$104*0.5)+'LINEST VARS'!$G$66*($AC$104*12.73)+'LINEST VARS'!$F$66*($Z105*4)+'LINEST VARS'!$E$66*($Z105*0.5)+'LINEST VARS'!$D$66*($Z105*12.73)+'LINEST VARS'!$C$66*(4*0.5)+'LINEST VARS'!$B$66*(4*12.73)+'LINEST VARS'!$A$66*(0.5*12.73)</f>
        <v>134.56000000000006</v>
      </c>
      <c r="AD105" s="46">
        <f>'LINEST VARS'!$U$66+'LINEST VARS'!$T$66*($AD$104)+'LINEST VARS'!$S$66*($Z105)+'LINEST VARS'!$R$66*(4)+'LINEST VARS'!$Q$66*(0.5)+'LINEST VARS'!$P$66*(12.73)+'LINEST VARS'!$O$66*($AD$104^2)+'LINEST VARS'!$N$66*($Z105^2)+'LINEST VARS'!$M$66*(4^2)+'LINEST VARS'!$L$66*(0.5^2)+'LINEST VARS'!$K$66*(12.73^2)+'LINEST VARS'!$J$66*($AD$104*$Z105)+'LINEST VARS'!$I$66*($AD$104*4)+'LINEST VARS'!$H$66*($AD$104*0.5)+'LINEST VARS'!$G$66*($AD$104*12.73)+'LINEST VARS'!$F$66*($Z105*4)+'LINEST VARS'!$E$66*($Z105*0.5)+'LINEST VARS'!$D$66*($Z105*12.73)+'LINEST VARS'!$C$66*(4*0.5)+'LINEST VARS'!$B$66*(4*12.73)+'LINEST VARS'!$A$66*(0.5*12.73)</f>
        <v>134.74000000000007</v>
      </c>
      <c r="AE105" s="46">
        <f>'LINEST VARS'!$U$66+'LINEST VARS'!$T$66*($AE$104)+'LINEST VARS'!$S$66*($Z105)+'LINEST VARS'!$R$66*(4)+'LINEST VARS'!$Q$66*(0.5)+'LINEST VARS'!$P$66*(12.73)+'LINEST VARS'!$O$66*($AE$104^2)+'LINEST VARS'!$N$66*($Z105^2)+'LINEST VARS'!$M$66*(4^2)+'LINEST VARS'!$L$66*(0.5^2)+'LINEST VARS'!$K$66*(12.73^2)+'LINEST VARS'!$J$66*($AE$104*$Z105)+'LINEST VARS'!$I$66*($AE$104*4)+'LINEST VARS'!$H$66*($AE$104*0.5)+'LINEST VARS'!$G$66*($AE$104*12.73)+'LINEST VARS'!$F$66*($Z105*4)+'LINEST VARS'!$E$66*($Z105*0.5)+'LINEST VARS'!$D$66*($Z105*12.73)+'LINEST VARS'!$C$66*(4*0.5)+'LINEST VARS'!$B$66*(4*12.73)+'LINEST VARS'!$A$66*(0.5*12.73)</f>
        <v>134.92000000000007</v>
      </c>
      <c r="AF105" s="46">
        <f>'LINEST VARS'!$U$66+'LINEST VARS'!$T$66*($AF$104)+'LINEST VARS'!$S$66*($Z105)+'LINEST VARS'!$R$66*(4)+'LINEST VARS'!$Q$66*(0.5)+'LINEST VARS'!$P$66*(12.73)+'LINEST VARS'!$O$66*($AF$104^2)+'LINEST VARS'!$N$66*($Z105^2)+'LINEST VARS'!$M$66*(4^2)+'LINEST VARS'!$L$66*(0.5^2)+'LINEST VARS'!$K$66*(12.73^2)+'LINEST VARS'!$J$66*($AF$104*$Z105)+'LINEST VARS'!$I$66*($AF$104*4)+'LINEST VARS'!$H$66*($AF$104*0.5)+'LINEST VARS'!$G$66*($AF$104*12.73)+'LINEST VARS'!$F$66*($Z105*4)+'LINEST VARS'!$E$66*($Z105*0.5)+'LINEST VARS'!$D$66*($Z105*12.73)+'LINEST VARS'!$C$66*(4*0.5)+'LINEST VARS'!$B$66*(4*12.73)+'LINEST VARS'!$A$66*(0.5*12.73)</f>
        <v>135.10000000000008</v>
      </c>
      <c r="AG105" s="46">
        <f>'LINEST VARS'!$U$66+'LINEST VARS'!$T$66*($AG$104)+'LINEST VARS'!$S$66*($Z105)+'LINEST VARS'!$R$66*(4)+'LINEST VARS'!$Q$66*(0.5)+'LINEST VARS'!$P$66*(12.73)+'LINEST VARS'!$O$66*($AG$104^2)+'LINEST VARS'!$N$66*($Z105^2)+'LINEST VARS'!$M$66*(4^2)+'LINEST VARS'!$L$66*(0.5^2)+'LINEST VARS'!$K$66*(12.73^2)+'LINEST VARS'!$J$66*($AG$104*$Z105)+'LINEST VARS'!$I$66*($AG$104*4)+'LINEST VARS'!$H$66*($AG$104*0.5)+'LINEST VARS'!$G$66*($AG$104*12.73)+'LINEST VARS'!$F$66*($Z105*4)+'LINEST VARS'!$E$66*($Z105*0.5)+'LINEST VARS'!$D$66*($Z105*12.73)+'LINEST VARS'!$C$66*(4*0.5)+'LINEST VARS'!$B$66*(4*12.73)+'LINEST VARS'!$A$66*(0.5*12.73)</f>
        <v>135.28000000000006</v>
      </c>
      <c r="AH105" s="46">
        <f>'LINEST VARS'!$U$66+'LINEST VARS'!$T$66*($AH$104)+'LINEST VARS'!$S$66*($Z105)+'LINEST VARS'!$R$66*(4)+'LINEST VARS'!$Q$66*(0.5)+'LINEST VARS'!$P$66*(12.73)+'LINEST VARS'!$O$66*($AH$104^2)+'LINEST VARS'!$N$66*($Z105^2)+'LINEST VARS'!$M$66*(4^2)+'LINEST VARS'!$L$66*(0.5^2)+'LINEST VARS'!$K$66*(12.73^2)+'LINEST VARS'!$J$66*($AH$104*$Z105)+'LINEST VARS'!$I$66*($AH$104*4)+'LINEST VARS'!$H$66*($AH$104*0.5)+'LINEST VARS'!$G$66*($AH$104*12.73)+'LINEST VARS'!$F$66*($Z105*4)+'LINEST VARS'!$E$66*($Z105*0.5)+'LINEST VARS'!$D$66*($Z105*12.73)+'LINEST VARS'!$C$66*(4*0.5)+'LINEST VARS'!$B$66*(4*12.73)+'LINEST VARS'!$A$66*(0.5*12.73)</f>
        <v>135.46000000000006</v>
      </c>
      <c r="AI105" s="46">
        <f>'LINEST VARS'!$U$66+'LINEST VARS'!$T$66*($AI$104)+'LINEST VARS'!$S$66*($Z105)+'LINEST VARS'!$R$66*(4)+'LINEST VARS'!$Q$66*(0.5)+'LINEST VARS'!$P$66*(12.73)+'LINEST VARS'!$O$66*($AI$104^2)+'LINEST VARS'!$N$66*($Z105^2)+'LINEST VARS'!$M$66*(4^2)+'LINEST VARS'!$L$66*(0.5^2)+'LINEST VARS'!$K$66*(12.73^2)+'LINEST VARS'!$J$66*($AI$104*$Z105)+'LINEST VARS'!$I$66*($AI$104*4)+'LINEST VARS'!$H$66*($AI$104*0.5)+'LINEST VARS'!$G$66*($AI$104*12.73)+'LINEST VARS'!$F$66*($Z105*4)+'LINEST VARS'!$E$66*($Z105*0.5)+'LINEST VARS'!$D$66*($Z105*12.73)+'LINEST VARS'!$C$66*(4*0.5)+'LINEST VARS'!$B$66*(4*12.73)+'LINEST VARS'!$A$66*(0.5*12.73)</f>
        <v>135.64000000000007</v>
      </c>
      <c r="AJ105" s="46">
        <f>'LINEST VARS'!$U$66+'LINEST VARS'!$T$66*($AJ$104)+'LINEST VARS'!$S$66*($Z105)+'LINEST VARS'!$R$66*(4)+'LINEST VARS'!$Q$66*(0.5)+'LINEST VARS'!$P$66*(12.73)+'LINEST VARS'!$O$66*($AJ$104^2)+'LINEST VARS'!$N$66*($Z105^2)+'LINEST VARS'!$M$66*(4^2)+'LINEST VARS'!$L$66*(0.5^2)+'LINEST VARS'!$K$66*(12.73^2)+'LINEST VARS'!$J$66*($AJ$104*$Z105)+'LINEST VARS'!$I$66*($AJ$104*4)+'LINEST VARS'!$H$66*($AJ$104*0.5)+'LINEST VARS'!$G$66*($AJ$104*12.73)+'LINEST VARS'!$F$66*($Z105*4)+'LINEST VARS'!$E$66*($Z105*0.5)+'LINEST VARS'!$D$66*($Z105*12.73)+'LINEST VARS'!$C$66*(4*0.5)+'LINEST VARS'!$B$66*(4*12.73)+'LINEST VARS'!$A$66*(0.5*12.73)</f>
        <v>135.82000000000008</v>
      </c>
      <c r="AK105" s="46">
        <f>'LINEST VARS'!$U$66+'LINEST VARS'!$T$66*($AK$104)+'LINEST VARS'!$S$66*($Z105)+'LINEST VARS'!$R$66*(4)+'LINEST VARS'!$Q$66*(0.5)+'LINEST VARS'!$P$66*(12.73)+'LINEST VARS'!$O$66*($AK$104^2)+'LINEST VARS'!$N$66*($Z105^2)+'LINEST VARS'!$M$66*(4^2)+'LINEST VARS'!$L$66*(0.5^2)+'LINEST VARS'!$K$66*(12.73^2)+'LINEST VARS'!$J$66*($AK$104*$Z105)+'LINEST VARS'!$I$66*($AK$104*4)+'LINEST VARS'!$H$66*($AK$104*0.5)+'LINEST VARS'!$G$66*($AK$104*12.73)+'LINEST VARS'!$F$66*($Z105*4)+'LINEST VARS'!$E$66*($Z105*0.5)+'LINEST VARS'!$D$66*($Z105*12.73)+'LINEST VARS'!$C$66*(4*0.5)+'LINEST VARS'!$B$66*(4*12.73)+'LINEST VARS'!$A$66*(0.5*12.73)</f>
        <v>136.00000000000006</v>
      </c>
      <c r="AL105" s="46">
        <f>'LINEST VARS'!$U$66+'LINEST VARS'!$T$66*($AL$104)+'LINEST VARS'!$S$66*($Z105)+'LINEST VARS'!$R$66*(4)+'LINEST VARS'!$Q$66*(0.5)+'LINEST VARS'!$P$66*(12.73)+'LINEST VARS'!$O$66*($AL$104^2)+'LINEST VARS'!$N$66*($Z105^2)+'LINEST VARS'!$M$66*(4^2)+'LINEST VARS'!$L$66*(0.5^2)+'LINEST VARS'!$K$66*(12.73^2)+'LINEST VARS'!$J$66*($AL$104*$Z105)+'LINEST VARS'!$I$66*($AL$104*4)+'LINEST VARS'!$H$66*($AL$104*0.5)+'LINEST VARS'!$G$66*($AL$104*12.73)+'LINEST VARS'!$F$66*($Z105*4)+'LINEST VARS'!$E$66*($Z105*0.5)+'LINEST VARS'!$D$66*($Z105*12.73)+'LINEST VARS'!$C$66*(4*0.5)+'LINEST VARS'!$B$66*(4*12.73)+'LINEST VARS'!$A$66*(0.5*12.73)</f>
        <v>136.18000000000006</v>
      </c>
      <c r="AM105" s="46">
        <f>'LINEST VARS'!$U$66+'LINEST VARS'!$T$66*($AM$104)+'LINEST VARS'!$S$66*($Z105)+'LINEST VARS'!$R$66*(4)+'LINEST VARS'!$Q$66*(0.5)+'LINEST VARS'!$P$66*(12.73)+'LINEST VARS'!$O$66*($AM$104^2)+'LINEST VARS'!$N$66*($Z105^2)+'LINEST VARS'!$M$66*(4^2)+'LINEST VARS'!$L$66*(0.5^2)+'LINEST VARS'!$K$66*(12.73^2)+'LINEST VARS'!$J$66*($AM$104*$Z105)+'LINEST VARS'!$I$66*($AM$104*4)+'LINEST VARS'!$H$66*($AM$104*0.5)+'LINEST VARS'!$G$66*($AM$104*12.73)+'LINEST VARS'!$F$66*($Z105*4)+'LINEST VARS'!$E$66*($Z105*0.5)+'LINEST VARS'!$D$66*($Z105*12.73)+'LINEST VARS'!$C$66*(4*0.5)+'LINEST VARS'!$B$66*(4*12.73)+'LINEST VARS'!$A$66*(0.5*12.73)</f>
        <v>136.36000000000007</v>
      </c>
      <c r="AN105" s="46">
        <f>'LINEST VARS'!$U$66+'LINEST VARS'!$T$66*($AN$104)+'LINEST VARS'!$S$66*($Z105)+'LINEST VARS'!$R$66*(4)+'LINEST VARS'!$Q$66*(0.5)+'LINEST VARS'!$P$66*(12.73)+'LINEST VARS'!$O$66*($AN$104^2)+'LINEST VARS'!$N$66*($Z105^2)+'LINEST VARS'!$M$66*(4^2)+'LINEST VARS'!$L$66*(0.5^2)+'LINEST VARS'!$K$66*(12.73^2)+'LINEST VARS'!$J$66*($AN$104*$Z105)+'LINEST VARS'!$I$66*($AN$104*4)+'LINEST VARS'!$H$66*($AN$104*0.5)+'LINEST VARS'!$G$66*($AN$104*12.73)+'LINEST VARS'!$F$66*($Z105*4)+'LINEST VARS'!$E$66*($Z105*0.5)+'LINEST VARS'!$D$66*($Z105*12.73)+'LINEST VARS'!$C$66*(4*0.5)+'LINEST VARS'!$B$66*(4*12.73)+'LINEST VARS'!$A$66*(0.5*12.73)</f>
        <v>136.54000000000008</v>
      </c>
      <c r="AO105" s="46">
        <f>'LINEST VARS'!$U$66+'LINEST VARS'!$T$66*($AO$104)+'LINEST VARS'!$S$66*($Z105)+'LINEST VARS'!$R$66*(4)+'LINEST VARS'!$Q$66*(0.5)+'LINEST VARS'!$P$66*(12.73)+'LINEST VARS'!$O$66*($AO$104^2)+'LINEST VARS'!$N$66*($Z105^2)+'LINEST VARS'!$M$66*(4^2)+'LINEST VARS'!$L$66*(0.5^2)+'LINEST VARS'!$K$66*(12.73^2)+'LINEST VARS'!$J$66*($AO$104*$Z105)+'LINEST VARS'!$I$66*($AO$104*4)+'LINEST VARS'!$H$66*($AO$104*0.5)+'LINEST VARS'!$G$66*($AO$104*12.73)+'LINEST VARS'!$F$66*($Z105*4)+'LINEST VARS'!$E$66*($Z105*0.5)+'LINEST VARS'!$D$66*($Z105*12.73)+'LINEST VARS'!$C$66*(4*0.5)+'LINEST VARS'!$B$66*(4*12.73)+'LINEST VARS'!$A$66*(0.5*12.73)</f>
        <v>136.72000000000008</v>
      </c>
      <c r="AP105" s="46">
        <f>'LINEST VARS'!$U$66+'LINEST VARS'!$T$66*($AP$104)+'LINEST VARS'!$S$66*($Z105)+'LINEST VARS'!$R$66*(4)+'LINEST VARS'!$Q$66*(0.5)+'LINEST VARS'!$P$66*(12.73)+'LINEST VARS'!$O$66*($AP$104^2)+'LINEST VARS'!$N$66*($Z105^2)+'LINEST VARS'!$M$66*(4^2)+'LINEST VARS'!$L$66*(0.5^2)+'LINEST VARS'!$K$66*(12.73^2)+'LINEST VARS'!$J$66*($AP$104*$Z105)+'LINEST VARS'!$I$66*($AP$104*4)+'LINEST VARS'!$H$66*($AP$104*0.5)+'LINEST VARS'!$G$66*($AP$104*12.73)+'LINEST VARS'!$F$66*($Z105*4)+'LINEST VARS'!$E$66*($Z105*0.5)+'LINEST VARS'!$D$66*($Z105*12.73)+'LINEST VARS'!$C$66*(4*0.5)+'LINEST VARS'!$B$66*(4*12.73)+'LINEST VARS'!$A$66*(0.5*12.73)</f>
        <v>136.90000000000009</v>
      </c>
      <c r="AQ105" s="46">
        <f>'LINEST VARS'!$U$66+'LINEST VARS'!$T$66*($AQ$104)+'LINEST VARS'!$S$66*($Z105)+'LINEST VARS'!$R$66*(4)+'LINEST VARS'!$Q$66*(0.5)+'LINEST VARS'!$P$66*(12.73)+'LINEST VARS'!$O$66*($AQ$104^2)+'LINEST VARS'!$N$66*($Z105^2)+'LINEST VARS'!$M$66*(4^2)+'LINEST VARS'!$L$66*(0.5^2)+'LINEST VARS'!$K$66*(12.73^2)+'LINEST VARS'!$J$66*($AQ$104*$Z105)+'LINEST VARS'!$I$66*($AQ$104*4)+'LINEST VARS'!$H$66*($AQ$104*0.5)+'LINEST VARS'!$G$66*($AQ$104*12.73)+'LINEST VARS'!$F$66*($Z105*4)+'LINEST VARS'!$E$66*($Z105*0.5)+'LINEST VARS'!$D$66*($Z105*12.73)+'LINEST VARS'!$C$66*(4*0.5)+'LINEST VARS'!$B$66*(4*12.73)+'LINEST VARS'!$A$66*(0.5*12.73)</f>
        <v>137.0800000000001</v>
      </c>
      <c r="AR105" s="46">
        <f>'LINEST VARS'!$U$66+'LINEST VARS'!$T$66*($AR$104)+'LINEST VARS'!$S$66*($Z105)+'LINEST VARS'!$R$66*(4)+'LINEST VARS'!$Q$66*(0.5)+'LINEST VARS'!$P$66*(12.73)+'LINEST VARS'!$O$66*($AR$104^2)+'LINEST VARS'!$N$66*($Z105^2)+'LINEST VARS'!$M$66*(4^2)+'LINEST VARS'!$L$66*(0.5^2)+'LINEST VARS'!$K$66*(12.73^2)+'LINEST VARS'!$J$66*($AR$104*$Z105)+'LINEST VARS'!$I$66*($AR$104*4)+'LINEST VARS'!$H$66*($AR$104*0.5)+'LINEST VARS'!$G$66*($AR$104*12.73)+'LINEST VARS'!$F$66*($Z105*4)+'LINEST VARS'!$E$66*($Z105*0.5)+'LINEST VARS'!$D$66*($Z105*12.73)+'LINEST VARS'!$C$66*(4*0.5)+'LINEST VARS'!$B$66*(4*12.73)+'LINEST VARS'!$A$66*(0.5*12.73)</f>
        <v>137.2600000000001</v>
      </c>
      <c r="AS105" s="46">
        <f>'LINEST VARS'!$U$66+'LINEST VARS'!$T$66*($AS$104)+'LINEST VARS'!$S$66*($Z105)+'LINEST VARS'!$R$66*(4)+'LINEST VARS'!$Q$66*(0.5)+'LINEST VARS'!$P$66*(12.73)+'LINEST VARS'!$O$66*($AS$104^2)+'LINEST VARS'!$N$66*($Z105^2)+'LINEST VARS'!$M$66*(4^2)+'LINEST VARS'!$L$66*(0.5^2)+'LINEST VARS'!$K$66*(12.73^2)+'LINEST VARS'!$J$66*($AS$104*$Z105)+'LINEST VARS'!$I$66*($AS$104*4)+'LINEST VARS'!$H$66*($AS$104*0.5)+'LINEST VARS'!$G$66*($AS$104*12.73)+'LINEST VARS'!$F$66*($Z105*4)+'LINEST VARS'!$E$66*($Z105*0.5)+'LINEST VARS'!$D$66*($Z105*12.73)+'LINEST VARS'!$C$66*(4*0.5)+'LINEST VARS'!$B$66*(4*12.73)+'LINEST VARS'!$A$66*(0.5*12.73)</f>
        <v>137.44000000000008</v>
      </c>
      <c r="AT105" s="46">
        <f>'LINEST VARS'!$U$66+'LINEST VARS'!$T$66*($AT$104)+'LINEST VARS'!$S$66*($Z105)+'LINEST VARS'!$R$66*(4)+'LINEST VARS'!$Q$66*(0.5)+'LINEST VARS'!$P$66*(12.73)+'LINEST VARS'!$O$66*($AT$104^2)+'LINEST VARS'!$N$66*($Z105^2)+'LINEST VARS'!$M$66*(4^2)+'LINEST VARS'!$L$66*(0.5^2)+'LINEST VARS'!$K$66*(12.73^2)+'LINEST VARS'!$J$66*($AT$104*$Z105)+'LINEST VARS'!$I$66*($AT$104*4)+'LINEST VARS'!$H$66*($AT$104*0.5)+'LINEST VARS'!$G$66*($AT$104*12.73)+'LINEST VARS'!$F$66*($Z105*4)+'LINEST VARS'!$E$66*($Z105*0.5)+'LINEST VARS'!$D$66*($Z105*12.73)+'LINEST VARS'!$C$66*(4*0.5)+'LINEST VARS'!$B$66*(4*12.73)+'LINEST VARS'!$A$66*(0.5*12.73)</f>
        <v>137.62000000000009</v>
      </c>
      <c r="AU105" s="47">
        <f>'LINEST VARS'!$U$66+'LINEST VARS'!$T$66*($AU$104)+'LINEST VARS'!$S$66*($Z105)+'LINEST VARS'!$R$66*(4)+'LINEST VARS'!$Q$66*(0.5)+'LINEST VARS'!$P$66*(12.73)+'LINEST VARS'!$O$66*($AU$104^2)+'LINEST VARS'!$N$66*($Z105^2)+'LINEST VARS'!$M$66*(4^2)+'LINEST VARS'!$L$66*(0.5^2)+'LINEST VARS'!$K$66*(12.73^2)+'LINEST VARS'!$J$66*($AU$104*$Z105)+'LINEST VARS'!$I$66*($AU$104*4)+'LINEST VARS'!$H$66*($AU$104*0.5)+'LINEST VARS'!$G$66*($AU$104*12.73)+'LINEST VARS'!$F$66*($Z105*4)+'LINEST VARS'!$E$66*($Z105*0.5)+'LINEST VARS'!$D$66*($Z105*12.73)+'LINEST VARS'!$C$66*(4*0.5)+'LINEST VARS'!$B$66*(4*12.73)+'LINEST VARS'!$A$66*(0.5*12.73)</f>
        <v>137.8000000000001</v>
      </c>
      <c r="AZ105" s="45">
        <v>0</v>
      </c>
      <c r="BA105" s="55">
        <f>'LINEST VARS'!$U$64+'LINEST VARS'!$T$64*(8)+'LINEST VARS'!$S$64*(8)+'LINEST VARS'!$R$64*($BA$104)+'LINEST VARS'!$Q$64*($AZ105)+'LINEST VARS'!$P$64*(12.73)+'LINEST VARS'!$O$64*(8^2)+'LINEST VARS'!$N$64*(8^2)+'LINEST VARS'!$M$64*($BA$104^2)+'LINEST VARS'!$L$64*($AZ105^2)+'LINEST VARS'!$K$64*(12.73^2)+'LINEST VARS'!$J$64*(8*8)+'LINEST VARS'!$I$64*(8*$BA$104)+'LINEST VARS'!$H$64*(8*$AZ105)+'LINEST VARS'!$G$64*(8*12.73)+'LINEST VARS'!$F$64*(8*$BA$104)+'LINEST VARS'!$E$64*(8*$AZ105)+'LINEST VARS'!$D$64*(8*12.73)+'LINEST VARS'!$C$64*($BA$104*$AZ105)+'LINEST VARS'!$B$64*($BA$104*12.73)+'LINEST VARS'!$A$64*($AZ105*12.73)</f>
        <v>148.18999999999988</v>
      </c>
      <c r="BB105" s="55">
        <f>'LINEST VARS'!$U$64+'LINEST VARS'!$T$64*(8)+'LINEST VARS'!$S$64*(8)+'LINEST VARS'!$R$64*($BB$104)+'LINEST VARS'!$Q$64*($AZ105)+'LINEST VARS'!$P$64*(12.73)+'LINEST VARS'!$O$64*(8^2)+'LINEST VARS'!$N$64*(8^2)+'LINEST VARS'!$M$64*($BB$104^2)+'LINEST VARS'!$L$64*($AZ105^2)+'LINEST VARS'!$K$64*(12.73^2)+'LINEST VARS'!$J$64*(8*8)+'LINEST VARS'!$I$64*(8*$BB$104)+'LINEST VARS'!$H$64*(8*$AZ105)+'LINEST VARS'!$G$64*(8*12.73)+'LINEST VARS'!$F$64*(8*$BB$104)+'LINEST VARS'!$E$64*(8*$AZ105)+'LINEST VARS'!$D$64*(8*12.73)+'LINEST VARS'!$C$64*($BB$104*$AZ105)+'LINEST VARS'!$B$64*($BB$104*12.73)+'LINEST VARS'!$A$64*($AZ105*12.73)</f>
        <v>149.78999999999991</v>
      </c>
      <c r="BC105" s="55">
        <f>'LINEST VARS'!$U$64+'LINEST VARS'!$T$64*(8)+'LINEST VARS'!$S$64*(8)+'LINEST VARS'!$R$64*($BC$104)+'LINEST VARS'!$Q$64*($AZ105)+'LINEST VARS'!$P$64*(12.73)+'LINEST VARS'!$O$64*(8^2)+'LINEST VARS'!$N$64*(8^2)+'LINEST VARS'!$M$64*($BC$104^2)+'LINEST VARS'!$L$64*($AZ105^2)+'LINEST VARS'!$K$64*(12.73^2)+'LINEST VARS'!$J$64*(8*8)+'LINEST VARS'!$I$64*(8*$BC$104)+'LINEST VARS'!$H$64*(8*$AZ105)+'LINEST VARS'!$G$64*(8*12.73)+'LINEST VARS'!$F$64*(8*$BC$104)+'LINEST VARS'!$E$64*(8*$AZ105)+'LINEST VARS'!$D$64*(8*12.73)+'LINEST VARS'!$C$64*($BC$104*$AZ105)+'LINEST VARS'!$B$64*($BC$104*12.73)+'LINEST VARS'!$A$64*($AZ105*12.73)</f>
        <v>151.3899999999999</v>
      </c>
      <c r="BD105" s="55">
        <f>'LINEST VARS'!$U$64+'LINEST VARS'!$T$64*(8)+'LINEST VARS'!$S$64*(8)+'LINEST VARS'!$R$64*($BD$104)+'LINEST VARS'!$Q$64*($AZ105)+'LINEST VARS'!$P$64*(12.73)+'LINEST VARS'!$O$64*(8^2)+'LINEST VARS'!$N$64*(8^2)+'LINEST VARS'!$M$64*($BD$104^2)+'LINEST VARS'!$L$64*($AZ105^2)+'LINEST VARS'!$K$64*(12.73^2)+'LINEST VARS'!$J$64*(8*8)+'LINEST VARS'!$I$64*(8*$BD$104)+'LINEST VARS'!$H$64*(8*$AZ105)+'LINEST VARS'!$G$64*(8*12.73)+'LINEST VARS'!$F$64*(8*$BD$104)+'LINEST VARS'!$E$64*(8*$AZ105)+'LINEST VARS'!$D$64*(8*12.73)+'LINEST VARS'!$C$64*($BD$104*$AZ105)+'LINEST VARS'!$B$64*($BD$104*12.73)+'LINEST VARS'!$A$64*($AZ105*12.73)</f>
        <v>152.9899999999999</v>
      </c>
      <c r="BE105" s="55">
        <f>'LINEST VARS'!$U$64+'LINEST VARS'!$T$64*(8)+'LINEST VARS'!$S$64*(8)+'LINEST VARS'!$R$64*($BE$104)+'LINEST VARS'!$Q$64*($AZ105)+'LINEST VARS'!$P$64*(12.73)+'LINEST VARS'!$O$64*(8^2)+'LINEST VARS'!$N$64*(8^2)+'LINEST VARS'!$M$64*($BE$104^2)+'LINEST VARS'!$L$64*($AZ105^2)+'LINEST VARS'!$K$64*(12.73^2)+'LINEST VARS'!$J$64*(8*8)+'LINEST VARS'!$I$64*(8*$BE$104)+'LINEST VARS'!$H$64*(8*$AZ105)+'LINEST VARS'!$G$64*(8*12.73)+'LINEST VARS'!$F$64*(8*$BE$104)+'LINEST VARS'!$E$64*(8*$AZ105)+'LINEST VARS'!$D$64*(8*12.73)+'LINEST VARS'!$C$64*($BE$104*$AZ105)+'LINEST VARS'!$B$64*($BE$104*12.73)+'LINEST VARS'!$A$64*($AZ105*12.73)</f>
        <v>154.58999999999992</v>
      </c>
      <c r="BF105" s="55">
        <f>'LINEST VARS'!$U$64+'LINEST VARS'!$T$64*(8)+'LINEST VARS'!$S$64*(8)+'LINEST VARS'!$R$64*($BF$104)+'LINEST VARS'!$Q$64*($AZ105)+'LINEST VARS'!$P$64*(12.73)+'LINEST VARS'!$O$64*(8^2)+'LINEST VARS'!$N$64*(8^2)+'LINEST VARS'!$M$64*($BF$104^2)+'LINEST VARS'!$L$64*($AZ105^2)+'LINEST VARS'!$K$64*(12.73^2)+'LINEST VARS'!$J$64*(8*8)+'LINEST VARS'!$I$64*(8*$BF$104)+'LINEST VARS'!$H$64*(8*$AZ105)+'LINEST VARS'!$G$64*(8*12.73)+'LINEST VARS'!$F$64*(8*$BF$104)+'LINEST VARS'!$E$64*(8*$AZ105)+'LINEST VARS'!$D$64*(8*12.73)+'LINEST VARS'!$C$64*($BF$104*$AZ105)+'LINEST VARS'!$B$64*($BF$104*12.73)+'LINEST VARS'!$A$64*($AZ105*12.73)</f>
        <v>156.18999999999988</v>
      </c>
      <c r="BG105" s="55">
        <f>'LINEST VARS'!$U$64+'LINEST VARS'!$T$64*(8)+'LINEST VARS'!$S$64*(8)+'LINEST VARS'!$R$64*($BG$104)+'LINEST VARS'!$Q$64*($AZ105)+'LINEST VARS'!$P$64*(12.73)+'LINEST VARS'!$O$64*(8^2)+'LINEST VARS'!$N$64*(8^2)+'LINEST VARS'!$M$64*($BG$104^2)+'LINEST VARS'!$L$64*($AZ105^2)+'LINEST VARS'!$K$64*(12.73^2)+'LINEST VARS'!$J$64*(8*8)+'LINEST VARS'!$I$64*(8*$BG$104)+'LINEST VARS'!$H$64*(8*$AZ105)+'LINEST VARS'!$G$64*(8*12.73)+'LINEST VARS'!$F$64*(8*$BG$104)+'LINEST VARS'!$E$64*(8*$AZ105)+'LINEST VARS'!$D$64*(8*12.73)+'LINEST VARS'!$C$64*($BG$104*$AZ105)+'LINEST VARS'!$B$64*($BG$104*12.73)+'LINEST VARS'!$A$64*($AZ105*12.73)</f>
        <v>157.78999999999991</v>
      </c>
      <c r="BH105" s="55">
        <f>'LINEST VARS'!$U$64+'LINEST VARS'!$T$64*(8)+'LINEST VARS'!$S$64*(8)+'LINEST VARS'!$R$64*($BH$104)+'LINEST VARS'!$Q$64*($AZ105)+'LINEST VARS'!$P$64*(12.73)+'LINEST VARS'!$O$64*(8^2)+'LINEST VARS'!$N$64*(8^2)+'LINEST VARS'!$M$64*($BH$104^2)+'LINEST VARS'!$L$64*($AZ105^2)+'LINEST VARS'!$K$64*(12.73^2)+'LINEST VARS'!$J$64*(8*8)+'LINEST VARS'!$I$64*(8*$BH$104)+'LINEST VARS'!$H$64*(8*$AZ105)+'LINEST VARS'!$G$64*(8*12.73)+'LINEST VARS'!$F$64*(8*$BH$104)+'LINEST VARS'!$E$64*(8*$AZ105)+'LINEST VARS'!$D$64*(8*12.73)+'LINEST VARS'!$C$64*($BH$104*$AZ105)+'LINEST VARS'!$B$64*($BH$104*12.73)+'LINEST VARS'!$A$64*($AZ105*12.73)</f>
        <v>159.3899999999999</v>
      </c>
      <c r="BI105" s="55">
        <f>'LINEST VARS'!$U$64+'LINEST VARS'!$T$64*(8)+'LINEST VARS'!$S$64*(8)+'LINEST VARS'!$R$64*($BI$104)+'LINEST VARS'!$Q$64*($AZ105)+'LINEST VARS'!$P$64*(12.73)+'LINEST VARS'!$O$64*(8^2)+'LINEST VARS'!$N$64*(8^2)+'LINEST VARS'!$M$64*($BI$104^2)+'LINEST VARS'!$L$64*($AZ105^2)+'LINEST VARS'!$K$64*(12.73^2)+'LINEST VARS'!$J$64*(8*8)+'LINEST VARS'!$I$64*(8*$BI$104)+'LINEST VARS'!$H$64*(8*$AZ105)+'LINEST VARS'!$G$64*(8*12.73)+'LINEST VARS'!$F$64*(8*$BI$104)+'LINEST VARS'!$E$64*(8*$AZ105)+'LINEST VARS'!$D$64*(8*12.73)+'LINEST VARS'!$C$64*($BI$104*$AZ105)+'LINEST VARS'!$B$64*($BI$104*12.73)+'LINEST VARS'!$A$64*($AZ105*12.73)</f>
        <v>160.9899999999999</v>
      </c>
      <c r="BJ105" s="55">
        <f>'LINEST VARS'!$U$64+'LINEST VARS'!$T$64*(8)+'LINEST VARS'!$S$64*(8)+'LINEST VARS'!$R$64*($BJ$104)+'LINEST VARS'!$Q$64*($AZ105)+'LINEST VARS'!$P$64*(12.73)+'LINEST VARS'!$O$64*(8^2)+'LINEST VARS'!$N$64*(8^2)+'LINEST VARS'!$M$64*($BJ$104^2)+'LINEST VARS'!$L$64*($AZ105^2)+'LINEST VARS'!$K$64*(12.73^2)+'LINEST VARS'!$J$64*(8*8)+'LINEST VARS'!$I$64*(8*$BJ$104)+'LINEST VARS'!$H$64*(8*$AZ105)+'LINEST VARS'!$G$64*(8*12.73)+'LINEST VARS'!$F$64*(8*$BJ$104)+'LINEST VARS'!$E$64*(8*$AZ105)+'LINEST VARS'!$D$64*(8*12.73)+'LINEST VARS'!$C$64*($BJ$104*$AZ105)+'LINEST VARS'!$B$64*($BJ$104*12.73)+'LINEST VARS'!$A$64*($AZ105*12.73)</f>
        <v>162.58999999999992</v>
      </c>
      <c r="BK105" s="55">
        <f>'LINEST VARS'!$U$64+'LINEST VARS'!$T$64*(8)+'LINEST VARS'!$S$64*(8)+'LINEST VARS'!$R$64*($BK$104)+'LINEST VARS'!$Q$64*($AZ105)+'LINEST VARS'!$P$64*(12.73)+'LINEST VARS'!$O$64*(8^2)+'LINEST VARS'!$N$64*(8^2)+'LINEST VARS'!$M$64*($BK$104^2)+'LINEST VARS'!$L$64*($AZ105^2)+'LINEST VARS'!$K$64*(12.73^2)+'LINEST VARS'!$J$64*(8*8)+'LINEST VARS'!$I$64*(8*$BK$104)+'LINEST VARS'!$H$64*(8*$AZ105)+'LINEST VARS'!$G$64*(8*12.73)+'LINEST VARS'!$F$64*(8*$BK$104)+'LINEST VARS'!$E$64*(8*$AZ105)+'LINEST VARS'!$D$64*(8*12.73)+'LINEST VARS'!$C$64*($BK$104*$AZ105)+'LINEST VARS'!$B$64*($BK$104*12.73)+'LINEST VARS'!$A$64*($AZ105*12.73)</f>
        <v>164.18999999999988</v>
      </c>
      <c r="BL105" s="55">
        <f>'LINEST VARS'!$U$64+'LINEST VARS'!$T$64*(8)+'LINEST VARS'!$S$64*(8)+'LINEST VARS'!$R$64*($BL$104)+'LINEST VARS'!$Q$64*($AZ105)+'LINEST VARS'!$P$64*(12.73)+'LINEST VARS'!$O$64*(8^2)+'LINEST VARS'!$N$64*(8^2)+'LINEST VARS'!$M$64*($BL$104^2)+'LINEST VARS'!$L$64*($AZ105^2)+'LINEST VARS'!$K$64*(12.73^2)+'LINEST VARS'!$J$64*(8*8)+'LINEST VARS'!$I$64*(8*$BL$104)+'LINEST VARS'!$H$64*(8*$AZ105)+'LINEST VARS'!$G$64*(8*12.73)+'LINEST VARS'!$F$64*(8*$BL$104)+'LINEST VARS'!$E$64*(8*$AZ105)+'LINEST VARS'!$D$64*(8*12.73)+'LINEST VARS'!$C$64*($BL$104*$AZ105)+'LINEST VARS'!$B$64*($BL$104*12.73)+'LINEST VARS'!$A$64*($AZ105*12.73)</f>
        <v>165.78999999999991</v>
      </c>
      <c r="BM105" s="55">
        <f>'LINEST VARS'!$U$64+'LINEST VARS'!$T$64*(8)+'LINEST VARS'!$S$64*(8)+'LINEST VARS'!$R$64*($BM$104)+'LINEST VARS'!$Q$64*($AZ105)+'LINEST VARS'!$P$64*(12.73)+'LINEST VARS'!$O$64*(8^2)+'LINEST VARS'!$N$64*(8^2)+'LINEST VARS'!$M$64*($BM$104^2)+'LINEST VARS'!$L$64*($AZ105^2)+'LINEST VARS'!$K$64*(12.73^2)+'LINEST VARS'!$J$64*(8*8)+'LINEST VARS'!$I$64*(8*$BM$104)+'LINEST VARS'!$H$64*(8*$AZ105)+'LINEST VARS'!$G$64*(8*12.73)+'LINEST VARS'!$F$64*(8*$BM$104)+'LINEST VARS'!$E$64*(8*$AZ105)+'LINEST VARS'!$D$64*(8*12.73)+'LINEST VARS'!$C$64*($BM$104*$AZ105)+'LINEST VARS'!$B$64*($BM$104*12.73)+'LINEST VARS'!$A$64*($AZ105*12.73)</f>
        <v>167.38999999999987</v>
      </c>
      <c r="BN105" s="55">
        <f>'LINEST VARS'!$U$64+'LINEST VARS'!$T$64*(8)+'LINEST VARS'!$S$64*(8)+'LINEST VARS'!$R$64*($BN$104)+'LINEST VARS'!$Q$64*($AZ105)+'LINEST VARS'!$P$64*(12.73)+'LINEST VARS'!$O$64*(8^2)+'LINEST VARS'!$N$64*(8^2)+'LINEST VARS'!$M$64*($BN$104^2)+'LINEST VARS'!$L$64*($AZ105^2)+'LINEST VARS'!$K$64*(12.73^2)+'LINEST VARS'!$J$64*(8*8)+'LINEST VARS'!$I$64*(8*$BN$104)+'LINEST VARS'!$H$64*(8*$AZ105)+'LINEST VARS'!$G$64*(8*12.73)+'LINEST VARS'!$F$64*(8*$BN$104)+'LINEST VARS'!$E$64*(8*$AZ105)+'LINEST VARS'!$D$64*(8*12.73)+'LINEST VARS'!$C$64*($BN$104*$AZ105)+'LINEST VARS'!$B$64*($BN$104*12.73)+'LINEST VARS'!$A$64*($AZ105*12.73)</f>
        <v>168.9899999999999</v>
      </c>
      <c r="BO105" s="55">
        <f>'LINEST VARS'!$U$64+'LINEST VARS'!$T$64*(8)+'LINEST VARS'!$S$64*(8)+'LINEST VARS'!$R$64*($BO$104)+'LINEST VARS'!$Q$64*($AZ105)+'LINEST VARS'!$P$64*(12.73)+'LINEST VARS'!$O$64*(8^2)+'LINEST VARS'!$N$64*(8^2)+'LINEST VARS'!$M$64*($BO$104^2)+'LINEST VARS'!$L$64*($AZ105^2)+'LINEST VARS'!$K$64*(12.73^2)+'LINEST VARS'!$J$64*(8*8)+'LINEST VARS'!$I$64*(8*$BO$104)+'LINEST VARS'!$H$64*(8*$AZ105)+'LINEST VARS'!$G$64*(8*12.73)+'LINEST VARS'!$F$64*(8*$BO$104)+'LINEST VARS'!$E$64*(8*$AZ105)+'LINEST VARS'!$D$64*(8*12.73)+'LINEST VARS'!$C$64*($BO$104*$AZ105)+'LINEST VARS'!$B$64*($BO$104*12.73)+'LINEST VARS'!$A$64*($AZ105*12.73)</f>
        <v>170.58999999999989</v>
      </c>
      <c r="BP105" s="55">
        <f>'LINEST VARS'!$U$64+'LINEST VARS'!$T$64*(8)+'LINEST VARS'!$S$64*(8)+'LINEST VARS'!$R$64*($BP$104)+'LINEST VARS'!$Q$64*($AZ105)+'LINEST VARS'!$P$64*(12.73)+'LINEST VARS'!$O$64*(8^2)+'LINEST VARS'!$N$64*(8^2)+'LINEST VARS'!$M$64*($BP$104^2)+'LINEST VARS'!$L$64*($AZ105^2)+'LINEST VARS'!$K$64*(12.73^2)+'LINEST VARS'!$J$64*(8*8)+'LINEST VARS'!$I$64*(8*$BP$104)+'LINEST VARS'!$H$64*(8*$AZ105)+'LINEST VARS'!$G$64*(8*12.73)+'LINEST VARS'!$F$64*(8*$BP$104)+'LINEST VARS'!$E$64*(8*$AZ105)+'LINEST VARS'!$D$64*(8*12.73)+'LINEST VARS'!$C$64*($BP$104*$AZ105)+'LINEST VARS'!$B$64*($BP$104*12.73)+'LINEST VARS'!$A$64*($AZ105*12.73)</f>
        <v>172.18999999999986</v>
      </c>
      <c r="BQ105" s="55">
        <f>'LINEST VARS'!$U$64+'LINEST VARS'!$T$64*(8)+'LINEST VARS'!$S$64*(8)+'LINEST VARS'!$R$64*($BQ$104)+'LINEST VARS'!$Q$64*($AZ105)+'LINEST VARS'!$P$64*(12.73)+'LINEST VARS'!$O$64*(8^2)+'LINEST VARS'!$N$64*(8^2)+'LINEST VARS'!$M$64*($BQ$104^2)+'LINEST VARS'!$L$64*($AZ105^2)+'LINEST VARS'!$K$64*(12.73^2)+'LINEST VARS'!$J$64*(8*8)+'LINEST VARS'!$I$64*(8*$BQ$104)+'LINEST VARS'!$H$64*(8*$AZ105)+'LINEST VARS'!$G$64*(8*12.73)+'LINEST VARS'!$F$64*(8*$BQ$104)+'LINEST VARS'!$E$64*(8*$AZ105)+'LINEST VARS'!$D$64*(8*12.73)+'LINEST VARS'!$C$64*($BQ$104*$AZ105)+'LINEST VARS'!$B$64*($BQ$104*12.73)+'LINEST VARS'!$A$64*($AZ105*12.73)</f>
        <v>173.78999999999988</v>
      </c>
      <c r="BR105" s="55">
        <f>'LINEST VARS'!$U$64+'LINEST VARS'!$T$64*(8)+'LINEST VARS'!$S$64*(8)+'LINEST VARS'!$R$64*($BR$104)+'LINEST VARS'!$Q$64*($AZ105)+'LINEST VARS'!$P$64*(12.73)+'LINEST VARS'!$O$64*(8^2)+'LINEST VARS'!$N$64*(8^2)+'LINEST VARS'!$M$64*($BR$104^2)+'LINEST VARS'!$L$64*($AZ105^2)+'LINEST VARS'!$K$64*(12.73^2)+'LINEST VARS'!$J$64*(8*8)+'LINEST VARS'!$I$64*(8*$BR$104)+'LINEST VARS'!$H$64*(8*$AZ105)+'LINEST VARS'!$G$64*(8*12.73)+'LINEST VARS'!$F$64*(8*$BR$104)+'LINEST VARS'!$E$64*(8*$AZ105)+'LINEST VARS'!$D$64*(8*12.73)+'LINEST VARS'!$C$64*($BR$104*$AZ105)+'LINEST VARS'!$B$64*($BR$104*12.73)+'LINEST VARS'!$A$64*($AZ105*12.73)</f>
        <v>175.3899999999999</v>
      </c>
      <c r="BS105" s="55">
        <f>'LINEST VARS'!$U$64+'LINEST VARS'!$T$64*(8)+'LINEST VARS'!$S$64*(8)+'LINEST VARS'!$R$64*($BS$104)+'LINEST VARS'!$Q$64*($AZ105)+'LINEST VARS'!$P$64*(12.73)+'LINEST VARS'!$O$64*(8^2)+'LINEST VARS'!$N$64*(8^2)+'LINEST VARS'!$M$64*($BS$104^2)+'LINEST VARS'!$L$64*($AZ105^2)+'LINEST VARS'!$K$64*(12.73^2)+'LINEST VARS'!$J$64*(8*8)+'LINEST VARS'!$I$64*(8*$BS$104)+'LINEST VARS'!$H$64*(8*$AZ105)+'LINEST VARS'!$G$64*(8*12.73)+'LINEST VARS'!$F$64*(8*$BS$104)+'LINEST VARS'!$E$64*(8*$AZ105)+'LINEST VARS'!$D$64*(8*12.73)+'LINEST VARS'!$C$64*($BS$104*$AZ105)+'LINEST VARS'!$B$64*($BS$104*12.73)+'LINEST VARS'!$A$64*($AZ105*12.73)</f>
        <v>176.98999999999987</v>
      </c>
      <c r="BT105" s="55">
        <f>'LINEST VARS'!$U$64+'LINEST VARS'!$T$64*(8)+'LINEST VARS'!$S$64*(8)+'LINEST VARS'!$R$64*($BT$104)+'LINEST VARS'!$Q$64*($AZ105)+'LINEST VARS'!$P$64*(12.73)+'LINEST VARS'!$O$64*(8^2)+'LINEST VARS'!$N$64*(8^2)+'LINEST VARS'!$M$64*($BT$104^2)+'LINEST VARS'!$L$64*($AZ105^2)+'LINEST VARS'!$K$64*(12.73^2)+'LINEST VARS'!$J$64*(8*8)+'LINEST VARS'!$I$64*(8*$BT$104)+'LINEST VARS'!$H$64*(8*$AZ105)+'LINEST VARS'!$G$64*(8*12.73)+'LINEST VARS'!$F$64*(8*$BT$104)+'LINEST VARS'!$E$64*(8*$AZ105)+'LINEST VARS'!$D$64*(8*12.73)+'LINEST VARS'!$C$64*($BT$104*$AZ105)+'LINEST VARS'!$B$64*($BT$104*12.73)+'LINEST VARS'!$A$64*($AZ105*12.73)</f>
        <v>178.58999999999989</v>
      </c>
      <c r="BU105" s="56">
        <f>'LINEST VARS'!$U$64+'LINEST VARS'!$T$64*(8)+'LINEST VARS'!$S$64*(8)+'LINEST VARS'!$R$64*($BU$104)+'LINEST VARS'!$Q$64*($AZ105)+'LINEST VARS'!$P$64*(12.73)+'LINEST VARS'!$O$64*(8^2)+'LINEST VARS'!$N$64*(8^2)+'LINEST VARS'!$M$64*($BU$104^2)+'LINEST VARS'!$L$64*($AZ105^2)+'LINEST VARS'!$K$64*(12.73^2)+'LINEST VARS'!$J$64*(8*8)+'LINEST VARS'!$I$64*(8*$BU$104)+'LINEST VARS'!$H$64*(8*$AZ105)+'LINEST VARS'!$G$64*(8*12.73)+'LINEST VARS'!$F$64*(8*$BU$104)+'LINEST VARS'!$E$64*(8*$AZ105)+'LINEST VARS'!$D$64*(8*12.73)+'LINEST VARS'!$C$64*($BU$104*$AZ105)+'LINEST VARS'!$B$64*($BU$104*12.73)+'LINEST VARS'!$A$64*($AZ105*12.73)</f>
        <v>180.18999999999986</v>
      </c>
      <c r="BX105" s="45">
        <v>0</v>
      </c>
      <c r="BY105" s="46">
        <f>'LINEST VARS'!$U$66+'LINEST VARS'!$T$66*(8)+'LINEST VARS'!$S$66*(8)+'LINEST VARS'!$R$66*($BY$104)+'LINEST VARS'!$Q$66*($BX105)+'LINEST VARS'!$P$66*(12.73)+'LINEST VARS'!$O$66*(8^2)+'LINEST VARS'!$N$66*(8^2)+'LINEST VARS'!$M$66*($BY$104^2)+'LINEST VARS'!$L$66*($BX105^2)+'LINEST VARS'!$K$66*(12.73^2)+'LINEST VARS'!$J$66*(8*8)+'LINEST VARS'!$I$66*(8*$BY$104)+'LINEST VARS'!$H$66*(8*$BX105)+'LINEST VARS'!$G$66*(8*12.73)+'LINEST VARS'!$F$66*(8*$BY$104)+'LINEST VARS'!$E$66*(8*$BX105)+'LINEST VARS'!$D$66*(8*12.73)+'LINEST VARS'!$C$66*($BY$104*$BX105)+'LINEST VARS'!$B$66*($BY$104*12.73)+'LINEST VARS'!$A$66*($BX105*12.73)</f>
        <v>144.00000000000006</v>
      </c>
      <c r="BZ105" s="46">
        <f>'LINEST VARS'!$U$66+'LINEST VARS'!$T$66*(8)+'LINEST VARS'!$S$66*(8)+'LINEST VARS'!$R$66*($BZ$104)+'LINEST VARS'!$Q$66*($BX105)+'LINEST VARS'!$P$66*(12.73)+'LINEST VARS'!$O$66*(8^2)+'LINEST VARS'!$N$66*(8^2)+'LINEST VARS'!$M$66*($BZ$104^2)+'LINEST VARS'!$L$66*($BX105^2)+'LINEST VARS'!$K$66*(12.73^2)+'LINEST VARS'!$J$66*(8*8)+'LINEST VARS'!$I$66*(8*$BZ$104)+'LINEST VARS'!$H$66*(8*$BX105)+'LINEST VARS'!$G$66*(8*12.73)+'LINEST VARS'!$F$66*(8*$BZ$104)+'LINEST VARS'!$E$66*(8*$BX105)+'LINEST VARS'!$D$66*(8*12.73)+'LINEST VARS'!$C$66*($BZ$104*$BX105)+'LINEST VARS'!$B$66*($BZ$104*12.73)+'LINEST VARS'!$A$66*($BX105*12.73)</f>
        <v>143.20000000000007</v>
      </c>
      <c r="CA105" s="46">
        <f>'LINEST VARS'!$U$66+'LINEST VARS'!$T$66*(8)+'LINEST VARS'!$S$66*(8)+'LINEST VARS'!$R$66*($CA$104)+'LINEST VARS'!$Q$66*($BX105)+'LINEST VARS'!$P$66*(12.73)+'LINEST VARS'!$O$66*(8^2)+'LINEST VARS'!$N$66*(8^2)+'LINEST VARS'!$M$66*($CA$104^2)+'LINEST VARS'!$L$66*($BX105^2)+'LINEST VARS'!$K$66*(12.73^2)+'LINEST VARS'!$J$66*(8*8)+'LINEST VARS'!$I$66*(8*$CA$104)+'LINEST VARS'!$H$66*(8*$BX105)+'LINEST VARS'!$G$66*(8*12.73)+'LINEST VARS'!$F$66*(8*$CA$104)+'LINEST VARS'!$E$66*(8*$BX105)+'LINEST VARS'!$D$66*(8*12.73)+'LINEST VARS'!$C$66*($CA$104*$BX105)+'LINEST VARS'!$B$66*($CA$104*12.73)+'LINEST VARS'!$A$66*($BX105*12.73)</f>
        <v>142.40000000000006</v>
      </c>
      <c r="CB105" s="46">
        <f>'LINEST VARS'!$U$66+'LINEST VARS'!$T$66*(8)+'LINEST VARS'!$S$66*(8)+'LINEST VARS'!$R$66*($CB$104)+'LINEST VARS'!$Q$66*($BX105)+'LINEST VARS'!$P$66*(12.73)+'LINEST VARS'!$O$66*(8^2)+'LINEST VARS'!$N$66*(8^2)+'LINEST VARS'!$M$66*($CB$104^2)+'LINEST VARS'!$L$66*($BX105^2)+'LINEST VARS'!$K$66*(12.73^2)+'LINEST VARS'!$J$66*(8*8)+'LINEST VARS'!$I$66*(8*$CB$104)+'LINEST VARS'!$H$66*(8*$BX105)+'LINEST VARS'!$G$66*(8*12.73)+'LINEST VARS'!$F$66*(8*$CB$104)+'LINEST VARS'!$E$66*(8*$BX105)+'LINEST VARS'!$D$66*(8*12.73)+'LINEST VARS'!$C$66*($CB$104*$BX105)+'LINEST VARS'!$B$66*($CB$104*12.73)+'LINEST VARS'!$A$66*($BX105*12.73)</f>
        <v>141.60000000000008</v>
      </c>
      <c r="CC105" s="46">
        <f>'LINEST VARS'!$U$66+'LINEST VARS'!$T$66*(8)+'LINEST VARS'!$S$66*(8)+'LINEST VARS'!$R$66*($CC$104)+'LINEST VARS'!$Q$66*($BX105)+'LINEST VARS'!$P$66*(12.73)+'LINEST VARS'!$O$66*(8^2)+'LINEST VARS'!$N$66*(8^2)+'LINEST VARS'!$M$66*($CC$104^2)+'LINEST VARS'!$L$66*($BX105^2)+'LINEST VARS'!$K$66*(12.73^2)+'LINEST VARS'!$J$66*(8*8)+'LINEST VARS'!$I$66*(8*$CC$104)+'LINEST VARS'!$H$66*(8*$BX105)+'LINEST VARS'!$G$66*(8*12.73)+'LINEST VARS'!$F$66*(8*$CC$104)+'LINEST VARS'!$E$66*(8*$BX105)+'LINEST VARS'!$D$66*(8*12.73)+'LINEST VARS'!$C$66*($CC$104*$BX105)+'LINEST VARS'!$B$66*($CC$104*12.73)+'LINEST VARS'!$A$66*($BX105*12.73)</f>
        <v>140.80000000000007</v>
      </c>
      <c r="CD105" s="46">
        <f>'LINEST VARS'!$U$66+'LINEST VARS'!$T$66*(8)+'LINEST VARS'!$S$66*(8)+'LINEST VARS'!$R$66*($CD$104)+'LINEST VARS'!$Q$66*($BX105)+'LINEST VARS'!$P$66*(12.73)+'LINEST VARS'!$O$66*(8^2)+'LINEST VARS'!$N$66*(8^2)+'LINEST VARS'!$M$66*($CD$104^2)+'LINEST VARS'!$L$66*($BX105^2)+'LINEST VARS'!$K$66*(12.73^2)+'LINEST VARS'!$J$66*(8*8)+'LINEST VARS'!$I$66*(8*$CD$104)+'LINEST VARS'!$H$66*(8*$BX105)+'LINEST VARS'!$G$66*(8*12.73)+'LINEST VARS'!$F$66*(8*$CD$104)+'LINEST VARS'!$E$66*(8*$BX105)+'LINEST VARS'!$D$66*(8*12.73)+'LINEST VARS'!$C$66*($CD$104*$BX105)+'LINEST VARS'!$B$66*($CD$104*12.73)+'LINEST VARS'!$A$66*($BX105*12.73)</f>
        <v>140.00000000000009</v>
      </c>
      <c r="CE105" s="46">
        <f>'LINEST VARS'!$U$66+'LINEST VARS'!$T$66*(8)+'LINEST VARS'!$S$66*(8)+'LINEST VARS'!$R$66*($CE$104)+'LINEST VARS'!$Q$66*($BX105)+'LINEST VARS'!$P$66*(12.73)+'LINEST VARS'!$O$66*(8^2)+'LINEST VARS'!$N$66*(8^2)+'LINEST VARS'!$M$66*($CE$104^2)+'LINEST VARS'!$L$66*($BX105^2)+'LINEST VARS'!$K$66*(12.73^2)+'LINEST VARS'!$J$66*(8*8)+'LINEST VARS'!$I$66*(8*$CE$104)+'LINEST VARS'!$H$66*(8*$BX105)+'LINEST VARS'!$G$66*(8*12.73)+'LINEST VARS'!$F$66*(8*$CE$104)+'LINEST VARS'!$E$66*(8*$BX105)+'LINEST VARS'!$D$66*(8*12.73)+'LINEST VARS'!$C$66*($CE$104*$BX105)+'LINEST VARS'!$B$66*($CE$104*12.73)+'LINEST VARS'!$A$66*($BX105*12.73)</f>
        <v>139.20000000000007</v>
      </c>
      <c r="CF105" s="46">
        <f>'LINEST VARS'!$U$66+'LINEST VARS'!$T$66*(8)+'LINEST VARS'!$S$66*(8)+'LINEST VARS'!$R$66*($CF$104)+'LINEST VARS'!$Q$66*($BX105)+'LINEST VARS'!$P$66*(12.73)+'LINEST VARS'!$O$66*(8^2)+'LINEST VARS'!$N$66*(8^2)+'LINEST VARS'!$M$66*($CF$104^2)+'LINEST VARS'!$L$66*($BX105^2)+'LINEST VARS'!$K$66*(12.73^2)+'LINEST VARS'!$J$66*(8*8)+'LINEST VARS'!$I$66*(8*$CF$104)+'LINEST VARS'!$H$66*(8*$BX105)+'LINEST VARS'!$G$66*(8*12.73)+'LINEST VARS'!$F$66*(8*$CF$104)+'LINEST VARS'!$E$66*(8*$BX105)+'LINEST VARS'!$D$66*(8*12.73)+'LINEST VARS'!$C$66*($CF$104*$BX105)+'LINEST VARS'!$B$66*($CF$104*12.73)+'LINEST VARS'!$A$66*($BX105*12.73)</f>
        <v>138.40000000000009</v>
      </c>
      <c r="CG105" s="46">
        <f>'LINEST VARS'!$U$66+'LINEST VARS'!$T$66*(8)+'LINEST VARS'!$S$66*(8)+'LINEST VARS'!$R$66*($CG$104)+'LINEST VARS'!$Q$66*($BX105)+'LINEST VARS'!$P$66*(12.73)+'LINEST VARS'!$O$66*(8^2)+'LINEST VARS'!$N$66*(8^2)+'LINEST VARS'!$M$66*($CG$104^2)+'LINEST VARS'!$L$66*($BX105^2)+'LINEST VARS'!$K$66*(12.73^2)+'LINEST VARS'!$J$66*(8*8)+'LINEST VARS'!$I$66*(8*$CG$104)+'LINEST VARS'!$H$66*(8*$BX105)+'LINEST VARS'!$G$66*(8*12.73)+'LINEST VARS'!$F$66*(8*$CG$104)+'LINEST VARS'!$E$66*(8*$BX105)+'LINEST VARS'!$D$66*(8*12.73)+'LINEST VARS'!$C$66*($CG$104*$BX105)+'LINEST VARS'!$B$66*($CG$104*12.73)+'LINEST VARS'!$A$66*($BX105*12.73)</f>
        <v>137.60000000000008</v>
      </c>
      <c r="CH105" s="46">
        <f>'LINEST VARS'!$U$66+'LINEST VARS'!$T$66*(8)+'LINEST VARS'!$S$66*(8)+'LINEST VARS'!$R$66*($CH$104)+'LINEST VARS'!$Q$66*($BX105)+'LINEST VARS'!$P$66*(12.73)+'LINEST VARS'!$O$66*(8^2)+'LINEST VARS'!$N$66*(8^2)+'LINEST VARS'!$M$66*($CH$104^2)+'LINEST VARS'!$L$66*($BX105^2)+'LINEST VARS'!$K$66*(12.73^2)+'LINEST VARS'!$J$66*(8*8)+'LINEST VARS'!$I$66*(8*$CH$104)+'LINEST VARS'!$H$66*(8*$BX105)+'LINEST VARS'!$G$66*(8*12.73)+'LINEST VARS'!$F$66*(8*$CH$104)+'LINEST VARS'!$E$66*(8*$BX105)+'LINEST VARS'!$D$66*(8*12.73)+'LINEST VARS'!$C$66*($CH$104*$BX105)+'LINEST VARS'!$B$66*($CH$104*12.73)+'LINEST VARS'!$A$66*($BX105*12.73)</f>
        <v>136.80000000000007</v>
      </c>
      <c r="CI105" s="46">
        <f>'LINEST VARS'!$U$66+'LINEST VARS'!$T$66*(8)+'LINEST VARS'!$S$66*(8)+'LINEST VARS'!$R$66*($CI$104)+'LINEST VARS'!$Q$66*($BX105)+'LINEST VARS'!$P$66*(12.73)+'LINEST VARS'!$O$66*(8^2)+'LINEST VARS'!$N$66*(8^2)+'LINEST VARS'!$M$66*($CI$104^2)+'LINEST VARS'!$L$66*($BX105^2)+'LINEST VARS'!$K$66*(12.73^2)+'LINEST VARS'!$J$66*(8*8)+'LINEST VARS'!$I$66*(8*$CI$104)+'LINEST VARS'!$H$66*(8*$BX105)+'LINEST VARS'!$G$66*(8*12.73)+'LINEST VARS'!$F$66*(8*$CI$104)+'LINEST VARS'!$E$66*(8*$BX105)+'LINEST VARS'!$D$66*(8*12.73)+'LINEST VARS'!$C$66*($CI$104*$BX105)+'LINEST VARS'!$B$66*($CI$104*12.73)+'LINEST VARS'!$A$66*($BX105*12.73)</f>
        <v>136.00000000000006</v>
      </c>
      <c r="CJ105" s="46">
        <f>'LINEST VARS'!$U$66+'LINEST VARS'!$T$66*(8)+'LINEST VARS'!$S$66*(8)+'LINEST VARS'!$R$66*($CJ$104)+'LINEST VARS'!$Q$66*($BX105)+'LINEST VARS'!$P$66*(12.73)+'LINEST VARS'!$O$66*(8^2)+'LINEST VARS'!$N$66*(8^2)+'LINEST VARS'!$M$66*($CJ$104^2)+'LINEST VARS'!$L$66*($BX105^2)+'LINEST VARS'!$K$66*(12.73^2)+'LINEST VARS'!$J$66*(8*8)+'LINEST VARS'!$I$66*(8*$CJ$104)+'LINEST VARS'!$H$66*(8*$BX105)+'LINEST VARS'!$G$66*(8*12.73)+'LINEST VARS'!$F$66*(8*$CJ$104)+'LINEST VARS'!$E$66*(8*$BX105)+'LINEST VARS'!$D$66*(8*12.73)+'LINEST VARS'!$C$66*($CJ$104*$BX105)+'LINEST VARS'!$B$66*($CJ$104*12.73)+'LINEST VARS'!$A$66*($BX105*12.73)</f>
        <v>135.20000000000005</v>
      </c>
      <c r="CK105" s="46">
        <f>'LINEST VARS'!$U$66+'LINEST VARS'!$T$66*(8)+'LINEST VARS'!$S$66*(8)+'LINEST VARS'!$R$66*($CK$104)+'LINEST VARS'!$Q$66*($BX105)+'LINEST VARS'!$P$66*(12.73)+'LINEST VARS'!$O$66*(8^2)+'LINEST VARS'!$N$66*(8^2)+'LINEST VARS'!$M$66*($CK$104^2)+'LINEST VARS'!$L$66*($BX105^2)+'LINEST VARS'!$K$66*(12.73^2)+'LINEST VARS'!$J$66*(8*8)+'LINEST VARS'!$I$66*(8*$CK$104)+'LINEST VARS'!$H$66*(8*$BX105)+'LINEST VARS'!$G$66*(8*12.73)+'LINEST VARS'!$F$66*(8*$CK$104)+'LINEST VARS'!$E$66*(8*$BX105)+'LINEST VARS'!$D$66*(8*12.73)+'LINEST VARS'!$C$66*($CK$104*$BX105)+'LINEST VARS'!$B$66*($CK$104*12.73)+'LINEST VARS'!$A$66*($BX105*12.73)</f>
        <v>134.40000000000003</v>
      </c>
      <c r="CL105" s="46">
        <f>'LINEST VARS'!$U$66+'LINEST VARS'!$T$66*(8)+'LINEST VARS'!$S$66*(8)+'LINEST VARS'!$R$66*($CL$104)+'LINEST VARS'!$Q$66*($BX105)+'LINEST VARS'!$P$66*(12.73)+'LINEST VARS'!$O$66*(8^2)+'LINEST VARS'!$N$66*(8^2)+'LINEST VARS'!$M$66*($CL$104^2)+'LINEST VARS'!$L$66*($BX105^2)+'LINEST VARS'!$K$66*(12.73^2)+'LINEST VARS'!$J$66*(8*8)+'LINEST VARS'!$I$66*(8*$CL$104)+'LINEST VARS'!$H$66*(8*$BX105)+'LINEST VARS'!$G$66*(8*12.73)+'LINEST VARS'!$F$66*(8*$CL$104)+'LINEST VARS'!$E$66*(8*$BX105)+'LINEST VARS'!$D$66*(8*12.73)+'LINEST VARS'!$C$66*($CL$104*$BX105)+'LINEST VARS'!$B$66*($CL$104*12.73)+'LINEST VARS'!$A$66*($BX105*12.73)</f>
        <v>133.60000000000005</v>
      </c>
      <c r="CM105" s="46">
        <f>'LINEST VARS'!$U$66+'LINEST VARS'!$T$66*(8)+'LINEST VARS'!$S$66*(8)+'LINEST VARS'!$R$66*($CM$104)+'LINEST VARS'!$Q$66*($BX105)+'LINEST VARS'!$P$66*(12.73)+'LINEST VARS'!$O$66*(8^2)+'LINEST VARS'!$N$66*(8^2)+'LINEST VARS'!$M$66*($CM$104^2)+'LINEST VARS'!$L$66*($BX105^2)+'LINEST VARS'!$K$66*(12.73^2)+'LINEST VARS'!$J$66*(8*8)+'LINEST VARS'!$I$66*(8*$CM$104)+'LINEST VARS'!$H$66*(8*$BX105)+'LINEST VARS'!$G$66*(8*12.73)+'LINEST VARS'!$F$66*(8*$CM$104)+'LINEST VARS'!$E$66*(8*$BX105)+'LINEST VARS'!$D$66*(8*12.73)+'LINEST VARS'!$C$66*($CM$104*$BX105)+'LINEST VARS'!$B$66*($CM$104*12.73)+'LINEST VARS'!$A$66*($BX105*12.73)</f>
        <v>132.80000000000004</v>
      </c>
      <c r="CN105" s="46">
        <f>'LINEST VARS'!$U$66+'LINEST VARS'!$T$66*(8)+'LINEST VARS'!$S$66*(8)+'LINEST VARS'!$R$66*($CN$104)+'LINEST VARS'!$Q$66*($BX105)+'LINEST VARS'!$P$66*(12.73)+'LINEST VARS'!$O$66*(8^2)+'LINEST VARS'!$N$66*(8^2)+'LINEST VARS'!$M$66*($CN$104^2)+'LINEST VARS'!$L$66*($BX105^2)+'LINEST VARS'!$K$66*(12.73^2)+'LINEST VARS'!$J$66*(8*8)+'LINEST VARS'!$I$66*(8*$CN$104)+'LINEST VARS'!$H$66*(8*$BX105)+'LINEST VARS'!$G$66*(8*12.73)+'LINEST VARS'!$F$66*(8*$CN$104)+'LINEST VARS'!$E$66*(8*$BX105)+'LINEST VARS'!$D$66*(8*12.73)+'LINEST VARS'!$C$66*($CN$104*$BX105)+'LINEST VARS'!$B$66*($CN$104*12.73)+'LINEST VARS'!$A$66*($BX105*12.73)</f>
        <v>132.00000000000006</v>
      </c>
      <c r="CO105" s="46">
        <f>'LINEST VARS'!$U$66+'LINEST VARS'!$T$66*(8)+'LINEST VARS'!$S$66*(8)+'LINEST VARS'!$R$66*($CO$104)+'LINEST VARS'!$Q$66*($BX105)+'LINEST VARS'!$P$66*(12.73)+'LINEST VARS'!$O$66*(8^2)+'LINEST VARS'!$N$66*(8^2)+'LINEST VARS'!$M$66*($CO$104^2)+'LINEST VARS'!$L$66*($BX105^2)+'LINEST VARS'!$K$66*(12.73^2)+'LINEST VARS'!$J$66*(8*8)+'LINEST VARS'!$I$66*(8*$CO$104)+'LINEST VARS'!$H$66*(8*$BX105)+'LINEST VARS'!$G$66*(8*12.73)+'LINEST VARS'!$F$66*(8*$CO$104)+'LINEST VARS'!$E$66*(8*$BX105)+'LINEST VARS'!$D$66*(8*12.73)+'LINEST VARS'!$C$66*($CO$104*$BX105)+'LINEST VARS'!$B$66*($CO$104*12.73)+'LINEST VARS'!$A$66*($BX105*12.73)</f>
        <v>131.20000000000005</v>
      </c>
      <c r="CP105" s="46">
        <f>'LINEST VARS'!$U$66+'LINEST VARS'!$T$66*(8)+'LINEST VARS'!$S$66*(8)+'LINEST VARS'!$R$66*($CP$104)+'LINEST VARS'!$Q$66*($BX105)+'LINEST VARS'!$P$66*(12.73)+'LINEST VARS'!$O$66*(8^2)+'LINEST VARS'!$N$66*(8^2)+'LINEST VARS'!$M$66*($CP$104^2)+'LINEST VARS'!$L$66*($BX105^2)+'LINEST VARS'!$K$66*(12.73^2)+'LINEST VARS'!$J$66*(8*8)+'LINEST VARS'!$I$66*(8*$CP$104)+'LINEST VARS'!$H$66*(8*$BX105)+'LINEST VARS'!$G$66*(8*12.73)+'LINEST VARS'!$F$66*(8*$CP$104)+'LINEST VARS'!$E$66*(8*$BX105)+'LINEST VARS'!$D$66*(8*12.73)+'LINEST VARS'!$C$66*($CP$104*$BX105)+'LINEST VARS'!$B$66*($CP$104*12.73)+'LINEST VARS'!$A$66*($BX105*12.73)</f>
        <v>130.40000000000009</v>
      </c>
      <c r="CQ105" s="46">
        <f>'LINEST VARS'!$U$66+'LINEST VARS'!$T$66*(8)+'LINEST VARS'!$S$66*(8)+'LINEST VARS'!$R$66*($CQ$104)+'LINEST VARS'!$Q$66*($BX105)+'LINEST VARS'!$P$66*(12.73)+'LINEST VARS'!$O$66*(8^2)+'LINEST VARS'!$N$66*(8^2)+'LINEST VARS'!$M$66*($CQ$104^2)+'LINEST VARS'!$L$66*($BX105^2)+'LINEST VARS'!$K$66*(12.73^2)+'LINEST VARS'!$J$66*(8*8)+'LINEST VARS'!$I$66*(8*$CQ$104)+'LINEST VARS'!$H$66*(8*$BX105)+'LINEST VARS'!$G$66*(8*12.73)+'LINEST VARS'!$F$66*(8*$CQ$104)+'LINEST VARS'!$E$66*(8*$BX105)+'LINEST VARS'!$D$66*(8*12.73)+'LINEST VARS'!$C$66*($CQ$104*$BX105)+'LINEST VARS'!$B$66*($CQ$104*12.73)+'LINEST VARS'!$A$66*($BX105*12.73)</f>
        <v>129.60000000000008</v>
      </c>
      <c r="CR105" s="46">
        <f>'LINEST VARS'!$U$66+'LINEST VARS'!$T$66*(8)+'LINEST VARS'!$S$66*(8)+'LINEST VARS'!$R$66*($CR$104)+'LINEST VARS'!$Q$66*($BX105)+'LINEST VARS'!$P$66*(12.73)+'LINEST VARS'!$O$66*(8^2)+'LINEST VARS'!$N$66*(8^2)+'LINEST VARS'!$M$66*($CR$104^2)+'LINEST VARS'!$L$66*($BX105^2)+'LINEST VARS'!$K$66*(12.73^2)+'LINEST VARS'!$J$66*(8*8)+'LINEST VARS'!$I$66*(8*$CR$104)+'LINEST VARS'!$H$66*(8*$BX105)+'LINEST VARS'!$G$66*(8*12.73)+'LINEST VARS'!$F$66*(8*$CR$104)+'LINEST VARS'!$E$66*(8*$BX105)+'LINEST VARS'!$D$66*(8*12.73)+'LINEST VARS'!$C$66*($CR$104*$BX105)+'LINEST VARS'!$B$66*($CR$104*12.73)+'LINEST VARS'!$A$66*($BX105*12.73)</f>
        <v>128.8000000000001</v>
      </c>
      <c r="CS105" s="47">
        <f>'LINEST VARS'!$U$66+'LINEST VARS'!$T$66*(8)+'LINEST VARS'!$S$66*(8)+'LINEST VARS'!$R$66*($CS$104)+'LINEST VARS'!$Q$66*($BX105)+'LINEST VARS'!$P$66*(12.73)+'LINEST VARS'!$O$66*(8^2)+'LINEST VARS'!$N$66*(8^2)+'LINEST VARS'!$M$66*($CS$104^2)+'LINEST VARS'!$L$66*($BX105^2)+'LINEST VARS'!$K$66*(12.73^2)+'LINEST VARS'!$J$66*(8*8)+'LINEST VARS'!$I$66*(8*$CS$104)+'LINEST VARS'!$H$66*(8*$BX105)+'LINEST VARS'!$G$66*(8*12.73)+'LINEST VARS'!$F$66*(8*$CS$104)+'LINEST VARS'!$E$66*(8*$BX105)+'LINEST VARS'!$D$66*(8*12.73)+'LINEST VARS'!$C$66*($CS$104*$BX105)+'LINEST VARS'!$B$66*($CS$104*12.73)+'LINEST VARS'!$A$66*($BX105*12.73)</f>
        <v>128.00000000000006</v>
      </c>
      <c r="CX105" s="45">
        <v>0</v>
      </c>
      <c r="CY105" s="55">
        <f>'LINEST VARS'!$U$64+'LINEST VARS'!$T$64*(8)+'LINEST VARS'!$S$64*(8)+'LINEST VARS'!$R$64*($CY$104)+'LINEST VARS'!$Q$64*(0.5)+'LINEST VARS'!$P$64*($CX105)+'LINEST VARS'!$O$64*(8^2)+'LINEST VARS'!$N$64*(8^2)+'LINEST VARS'!$M$64*($CY$104^2)+'LINEST VARS'!$L$64*(0.5^2)+'LINEST VARS'!$K$64*($CX105^2)+'LINEST VARS'!$J$64*(8*8)+'LINEST VARS'!$I$64*(8*$CY$104)+'LINEST VARS'!$H$64*(8*0.5)+'LINEST VARS'!$G$64*(8*$CX105)+'LINEST VARS'!$F$64*(8*$CY$104)+'LINEST VARS'!$E$64*(8*0.5)+'LINEST VARS'!$D$64*(8*$CX105)+'LINEST VARS'!$C$64*($CY$104*0.5)+'LINEST VARS'!$B$64*($CY$104*$CX105)+'LINEST VARS'!$A$64*(0.5*$CX105)</f>
        <v>109.99999999999993</v>
      </c>
      <c r="CZ105" s="55">
        <f>'LINEST VARS'!$U$64+'LINEST VARS'!$T$64*(8)+'LINEST VARS'!$S$64*(8)+'LINEST VARS'!$R$64*($CZ$104)+'LINEST VARS'!$Q$64*(0.5)+'LINEST VARS'!$P$64*($CX105)+'LINEST VARS'!$O$64*(8^2)+'LINEST VARS'!$N$64*(8^2)+'LINEST VARS'!$M$64*($CZ$104^2)+'LINEST VARS'!$L$64*(0.5^2)+'LINEST VARS'!$K$64*($CX105^2)+'LINEST VARS'!$J$64*(8*8)+'LINEST VARS'!$I$64*(8*$CZ$104)+'LINEST VARS'!$H$64*(8*0.5)+'LINEST VARS'!$G$64*(8*$CX105)+'LINEST VARS'!$F$64*(8*$CZ$104)+'LINEST VARS'!$E$64*(8*0.5)+'LINEST VARS'!$D$64*(8*$CX105)+'LINEST VARS'!$C$64*($CZ$104*0.5)+'LINEST VARS'!$B$64*($CZ$104*$CX105)+'LINEST VARS'!$A$64*(0.5*$CX105)</f>
        <v>111.59999999999992</v>
      </c>
      <c r="DA105" s="55">
        <f>'LINEST VARS'!$U$64+'LINEST VARS'!$T$64*(8)+'LINEST VARS'!$S$64*(8)+'LINEST VARS'!$R$64*($DA$104)+'LINEST VARS'!$Q$64*(0.5)+'LINEST VARS'!$P$64*($CX105)+'LINEST VARS'!$O$64*(8^2)+'LINEST VARS'!$N$64*(8^2)+'LINEST VARS'!$M$64*($DA$104^2)+'LINEST VARS'!$L$64*(0.5^2)+'LINEST VARS'!$K$64*($CX105^2)+'LINEST VARS'!$J$64*(8*8)+'LINEST VARS'!$I$64*(8*$DA$104)+'LINEST VARS'!$H$64*(8*0.5)+'LINEST VARS'!$G$64*(8*$CX105)+'LINEST VARS'!$F$64*(8*$DA$104)+'LINEST VARS'!$E$64*(8*0.5)+'LINEST VARS'!$D$64*(8*$CX105)+'LINEST VARS'!$C$64*($DA$104*0.5)+'LINEST VARS'!$B$64*($DA$104*$CX105)+'LINEST VARS'!$A$64*(0.5*$CX105)</f>
        <v>113.19999999999993</v>
      </c>
      <c r="DB105" s="55">
        <f>'LINEST VARS'!$U$64+'LINEST VARS'!$T$64*(8)+'LINEST VARS'!$S$64*(8)+'LINEST VARS'!$R$64*($DB$104)+'LINEST VARS'!$Q$64*(0.5)+'LINEST VARS'!$P$64*($CX105)+'LINEST VARS'!$O$64*(8^2)+'LINEST VARS'!$N$64*(8^2)+'LINEST VARS'!$M$64*($DB$104^2)+'LINEST VARS'!$L$64*(0.5^2)+'LINEST VARS'!$K$64*($CX105^2)+'LINEST VARS'!$J$64*(8*8)+'LINEST VARS'!$I$64*(8*$DB$104)+'LINEST VARS'!$H$64*(8*0.5)+'LINEST VARS'!$G$64*(8*$CX105)+'LINEST VARS'!$F$64*(8*$DB$104)+'LINEST VARS'!$E$64*(8*0.5)+'LINEST VARS'!$D$64*(8*$CX105)+'LINEST VARS'!$C$64*($DB$104*0.5)+'LINEST VARS'!$B$64*($DB$104*$CX105)+'LINEST VARS'!$A$64*(0.5*$CX105)</f>
        <v>114.79999999999993</v>
      </c>
      <c r="DC105" s="55">
        <f>'LINEST VARS'!$U$64+'LINEST VARS'!$T$64*(8)+'LINEST VARS'!$S$64*(8)+'LINEST VARS'!$R$64*($DC$104)+'LINEST VARS'!$Q$64*(0.5)+'LINEST VARS'!$P$64*($CX105)+'LINEST VARS'!$O$64*(8^2)+'LINEST VARS'!$N$64*(8^2)+'LINEST VARS'!$M$64*($DC$104^2)+'LINEST VARS'!$L$64*(0.5^2)+'LINEST VARS'!$K$64*($CX105^2)+'LINEST VARS'!$J$64*(8*8)+'LINEST VARS'!$I$64*(8*$DC$104)+'LINEST VARS'!$H$64*(8*0.5)+'LINEST VARS'!$G$64*(8*$CX105)+'LINEST VARS'!$F$64*(8*$DC$104)+'LINEST VARS'!$E$64*(8*0.5)+'LINEST VARS'!$D$64*(8*$CX105)+'LINEST VARS'!$C$64*($DC$104*0.5)+'LINEST VARS'!$B$64*($DC$104*$CX105)+'LINEST VARS'!$A$64*(0.5*$CX105)</f>
        <v>116.39999999999993</v>
      </c>
      <c r="DD105" s="55">
        <f>'LINEST VARS'!$U$64+'LINEST VARS'!$T$64*(8)+'LINEST VARS'!$S$64*(8)+'LINEST VARS'!$R$64*($DD$104)+'LINEST VARS'!$Q$64*(0.5)+'LINEST VARS'!$P$64*($CX105)+'LINEST VARS'!$O$64*(8^2)+'LINEST VARS'!$N$64*(8^2)+'LINEST VARS'!$M$64*($DD$104^2)+'LINEST VARS'!$L$64*(0.5^2)+'LINEST VARS'!$K$64*($CX105^2)+'LINEST VARS'!$J$64*(8*8)+'LINEST VARS'!$I$64*(8*$DD$104)+'LINEST VARS'!$H$64*(8*0.5)+'LINEST VARS'!$G$64*(8*$CX105)+'LINEST VARS'!$F$64*(8*$DD$104)+'LINEST VARS'!$E$64*(8*0.5)+'LINEST VARS'!$D$64*(8*$CX105)+'LINEST VARS'!$C$64*($DD$104*0.5)+'LINEST VARS'!$B$64*($DD$104*$CX105)+'LINEST VARS'!$A$64*(0.5*$CX105)</f>
        <v>117.99999999999993</v>
      </c>
      <c r="DE105" s="55">
        <f>'LINEST VARS'!$U$64+'LINEST VARS'!$T$64*(8)+'LINEST VARS'!$S$64*(8)+'LINEST VARS'!$R$64*($DE$104)+'LINEST VARS'!$Q$64*(0.5)+'LINEST VARS'!$P$64*($CX105)+'LINEST VARS'!$O$64*(8^2)+'LINEST VARS'!$N$64*(8^2)+'LINEST VARS'!$M$64*($DE$104^2)+'LINEST VARS'!$L$64*(0.5^2)+'LINEST VARS'!$K$64*($CX105^2)+'LINEST VARS'!$J$64*(8*8)+'LINEST VARS'!$I$64*(8*$DE$104)+'LINEST VARS'!$H$64*(8*0.5)+'LINEST VARS'!$G$64*(8*$CX105)+'LINEST VARS'!$F$64*(8*$DE$104)+'LINEST VARS'!$E$64*(8*0.5)+'LINEST VARS'!$D$64*(8*$CX105)+'LINEST VARS'!$C$64*($DE$104*0.5)+'LINEST VARS'!$B$64*($DE$104*$CX105)+'LINEST VARS'!$A$64*(0.5*$CX105)</f>
        <v>119.59999999999992</v>
      </c>
      <c r="DF105" s="55">
        <f>'LINEST VARS'!$U$64+'LINEST VARS'!$T$64*(8)+'LINEST VARS'!$S$64*(8)+'LINEST VARS'!$R$64*($DF$104)+'LINEST VARS'!$Q$64*(0.5)+'LINEST VARS'!$P$64*($CX105)+'LINEST VARS'!$O$64*(8^2)+'LINEST VARS'!$N$64*(8^2)+'LINEST VARS'!$M$64*($DF$104^2)+'LINEST VARS'!$L$64*(0.5^2)+'LINEST VARS'!$K$64*($CX105^2)+'LINEST VARS'!$J$64*(8*8)+'LINEST VARS'!$I$64*(8*$DF$104)+'LINEST VARS'!$H$64*(8*0.5)+'LINEST VARS'!$G$64*(8*$CX105)+'LINEST VARS'!$F$64*(8*$DF$104)+'LINEST VARS'!$E$64*(8*0.5)+'LINEST VARS'!$D$64*(8*$CX105)+'LINEST VARS'!$C$64*($DF$104*0.5)+'LINEST VARS'!$B$64*($DF$104*$CX105)+'LINEST VARS'!$A$64*(0.5*$CX105)</f>
        <v>121.19999999999993</v>
      </c>
      <c r="DG105" s="55">
        <f>'LINEST VARS'!$U$64+'LINEST VARS'!$T$64*(8)+'LINEST VARS'!$S$64*(8)+'LINEST VARS'!$R$64*($DG$104)+'LINEST VARS'!$Q$64*(0.5)+'LINEST VARS'!$P$64*($CX105)+'LINEST VARS'!$O$64*(8^2)+'LINEST VARS'!$N$64*(8^2)+'LINEST VARS'!$M$64*($DG$104^2)+'LINEST VARS'!$L$64*(0.5^2)+'LINEST VARS'!$K$64*($CX105^2)+'LINEST VARS'!$J$64*(8*8)+'LINEST VARS'!$I$64*(8*$DG$104)+'LINEST VARS'!$H$64*(8*0.5)+'LINEST VARS'!$G$64*(8*$CX105)+'LINEST VARS'!$F$64*(8*$DG$104)+'LINEST VARS'!$E$64*(8*0.5)+'LINEST VARS'!$D$64*(8*$CX105)+'LINEST VARS'!$C$64*($DG$104*0.5)+'LINEST VARS'!$B$64*($DG$104*$CX105)+'LINEST VARS'!$A$64*(0.5*$CX105)</f>
        <v>122.79999999999994</v>
      </c>
      <c r="DH105" s="55">
        <f>'LINEST VARS'!$U$64+'LINEST VARS'!$T$64*(8)+'LINEST VARS'!$S$64*(8)+'LINEST VARS'!$R$64*($DH$104)+'LINEST VARS'!$Q$64*(0.5)+'LINEST VARS'!$P$64*($CX105)+'LINEST VARS'!$O$64*(8^2)+'LINEST VARS'!$N$64*(8^2)+'LINEST VARS'!$M$64*($DH$104^2)+'LINEST VARS'!$L$64*(0.5^2)+'LINEST VARS'!$K$64*($CX105^2)+'LINEST VARS'!$J$64*(8*8)+'LINEST VARS'!$I$64*(8*$DH$104)+'LINEST VARS'!$H$64*(8*0.5)+'LINEST VARS'!$G$64*(8*$CX105)+'LINEST VARS'!$F$64*(8*$DH$104)+'LINEST VARS'!$E$64*(8*0.5)+'LINEST VARS'!$D$64*(8*$CX105)+'LINEST VARS'!$C$64*($DH$104*0.5)+'LINEST VARS'!$B$64*($DH$104*$CX105)+'LINEST VARS'!$A$64*(0.5*$CX105)</f>
        <v>124.39999999999993</v>
      </c>
      <c r="DI105" s="55">
        <f>'LINEST VARS'!$U$64+'LINEST VARS'!$T$64*(8)+'LINEST VARS'!$S$64*(8)+'LINEST VARS'!$R$64*($DI$104)+'LINEST VARS'!$Q$64*(0.5)+'LINEST VARS'!$P$64*($CX105)+'LINEST VARS'!$O$64*(8^2)+'LINEST VARS'!$N$64*(8^2)+'LINEST VARS'!$M$64*($DI$104^2)+'LINEST VARS'!$L$64*(0.5^2)+'LINEST VARS'!$K$64*($CX105^2)+'LINEST VARS'!$J$64*(8*8)+'LINEST VARS'!$I$64*(8*$DI$104)+'LINEST VARS'!$H$64*(8*0.5)+'LINEST VARS'!$G$64*(8*$CX105)+'LINEST VARS'!$F$64*(8*$DI$104)+'LINEST VARS'!$E$64*(8*0.5)+'LINEST VARS'!$D$64*(8*$CX105)+'LINEST VARS'!$C$64*($DI$104*0.5)+'LINEST VARS'!$B$64*($DI$104*$CX105)+'LINEST VARS'!$A$64*(0.5*$CX105)</f>
        <v>125.99999999999991</v>
      </c>
      <c r="DJ105" s="55">
        <f>'LINEST VARS'!$U$64+'LINEST VARS'!$T$64*(8)+'LINEST VARS'!$S$64*(8)+'LINEST VARS'!$R$64*($DJ$104)+'LINEST VARS'!$Q$64*(0.5)+'LINEST VARS'!$P$64*($CX105)+'LINEST VARS'!$O$64*(8^2)+'LINEST VARS'!$N$64*(8^2)+'LINEST VARS'!$M$64*($DJ$104^2)+'LINEST VARS'!$L$64*(0.5^2)+'LINEST VARS'!$K$64*($CX105^2)+'LINEST VARS'!$J$64*(8*8)+'LINEST VARS'!$I$64*(8*$DJ$104)+'LINEST VARS'!$H$64*(8*0.5)+'LINEST VARS'!$G$64*(8*$CX105)+'LINEST VARS'!$F$64*(8*$DJ$104)+'LINEST VARS'!$E$64*(8*0.5)+'LINEST VARS'!$D$64*(8*$CX105)+'LINEST VARS'!$C$64*($DJ$104*0.5)+'LINEST VARS'!$B$64*($DJ$104*$CX105)+'LINEST VARS'!$A$64*(0.5*$CX105)</f>
        <v>127.59999999999992</v>
      </c>
      <c r="DK105" s="55">
        <f>'LINEST VARS'!$U$64+'LINEST VARS'!$T$64*(8)+'LINEST VARS'!$S$64*(8)+'LINEST VARS'!$R$64*($DK$104)+'LINEST VARS'!$Q$64*(0.5)+'LINEST VARS'!$P$64*($CX105)+'LINEST VARS'!$O$64*(8^2)+'LINEST VARS'!$N$64*(8^2)+'LINEST VARS'!$M$64*($DK$104^2)+'LINEST VARS'!$L$64*(0.5^2)+'LINEST VARS'!$K$64*($CX105^2)+'LINEST VARS'!$J$64*(8*8)+'LINEST VARS'!$I$64*(8*$DK$104)+'LINEST VARS'!$H$64*(8*0.5)+'LINEST VARS'!$G$64*(8*$CX105)+'LINEST VARS'!$F$64*(8*$DK$104)+'LINEST VARS'!$E$64*(8*0.5)+'LINEST VARS'!$D$64*(8*$CX105)+'LINEST VARS'!$C$64*($DK$104*0.5)+'LINEST VARS'!$B$64*($DK$104*$CX105)+'LINEST VARS'!$A$64*(0.5*$CX105)</f>
        <v>129.19999999999987</v>
      </c>
      <c r="DL105" s="55">
        <f>'LINEST VARS'!$U$64+'LINEST VARS'!$T$64*(8)+'LINEST VARS'!$S$64*(8)+'LINEST VARS'!$R$64*($DL$104)+'LINEST VARS'!$Q$64*(0.5)+'LINEST VARS'!$P$64*($CX105)+'LINEST VARS'!$O$64*(8^2)+'LINEST VARS'!$N$64*(8^2)+'LINEST VARS'!$M$64*($DL$104^2)+'LINEST VARS'!$L$64*(0.5^2)+'LINEST VARS'!$K$64*($CX105^2)+'LINEST VARS'!$J$64*(8*8)+'LINEST VARS'!$I$64*(8*$DL$104)+'LINEST VARS'!$H$64*(8*0.5)+'LINEST VARS'!$G$64*(8*$CX105)+'LINEST VARS'!$F$64*(8*$DL$104)+'LINEST VARS'!$E$64*(8*0.5)+'LINEST VARS'!$D$64*(8*$CX105)+'LINEST VARS'!$C$64*($DL$104*0.5)+'LINEST VARS'!$B$64*($DL$104*$CX105)+'LINEST VARS'!$A$64*(0.5*$CX105)</f>
        <v>130.7999999999999</v>
      </c>
      <c r="DM105" s="55">
        <f>'LINEST VARS'!$U$64+'LINEST VARS'!$T$64*(8)+'LINEST VARS'!$S$64*(8)+'LINEST VARS'!$R$64*($DM$104)+'LINEST VARS'!$Q$64*(0.5)+'LINEST VARS'!$P$64*($CX105)+'LINEST VARS'!$O$64*(8^2)+'LINEST VARS'!$N$64*(8^2)+'LINEST VARS'!$M$64*($DM$104^2)+'LINEST VARS'!$L$64*(0.5^2)+'LINEST VARS'!$K$64*($CX105^2)+'LINEST VARS'!$J$64*(8*8)+'LINEST VARS'!$I$64*(8*$DM$104)+'LINEST VARS'!$H$64*(8*0.5)+'LINEST VARS'!$G$64*(8*$CX105)+'LINEST VARS'!$F$64*(8*$DM$104)+'LINEST VARS'!$E$64*(8*0.5)+'LINEST VARS'!$D$64*(8*$CX105)+'LINEST VARS'!$C$64*($DM$104*0.5)+'LINEST VARS'!$B$64*($DM$104*$CX105)+'LINEST VARS'!$A$64*(0.5*$CX105)</f>
        <v>132.39999999999986</v>
      </c>
      <c r="DN105" s="55">
        <f>'LINEST VARS'!$U$64+'LINEST VARS'!$T$64*(8)+'LINEST VARS'!$S$64*(8)+'LINEST VARS'!$R$64*($DN$104)+'LINEST VARS'!$Q$64*(0.5)+'LINEST VARS'!$P$64*($CX105)+'LINEST VARS'!$O$64*(8^2)+'LINEST VARS'!$N$64*(8^2)+'LINEST VARS'!$M$64*($DN$104^2)+'LINEST VARS'!$L$64*(0.5^2)+'LINEST VARS'!$K$64*($CX105^2)+'LINEST VARS'!$J$64*(8*8)+'LINEST VARS'!$I$64*(8*$DN$104)+'LINEST VARS'!$H$64*(8*0.5)+'LINEST VARS'!$G$64*(8*$CX105)+'LINEST VARS'!$F$64*(8*$DN$104)+'LINEST VARS'!$E$64*(8*0.5)+'LINEST VARS'!$D$64*(8*$CX105)+'LINEST VARS'!$C$64*($DN$104*0.5)+'LINEST VARS'!$B$64*($DN$104*$CX105)+'LINEST VARS'!$A$64*(0.5*$CX105)</f>
        <v>133.99999999999986</v>
      </c>
      <c r="DO105" s="55">
        <f>'LINEST VARS'!$U$64+'LINEST VARS'!$T$64*(8)+'LINEST VARS'!$S$64*(8)+'LINEST VARS'!$R$64*($DO$104)+'LINEST VARS'!$Q$64*(0.5)+'LINEST VARS'!$P$64*($CX105)+'LINEST VARS'!$O$64*(8^2)+'LINEST VARS'!$N$64*(8^2)+'LINEST VARS'!$M$64*($DO$104^2)+'LINEST VARS'!$L$64*(0.5^2)+'LINEST VARS'!$K$64*($CX105^2)+'LINEST VARS'!$J$64*(8*8)+'LINEST VARS'!$I$64*(8*$DO$104)+'LINEST VARS'!$H$64*(8*0.5)+'LINEST VARS'!$G$64*(8*$CX105)+'LINEST VARS'!$F$64*(8*$DO$104)+'LINEST VARS'!$E$64*(8*0.5)+'LINEST VARS'!$D$64*(8*$CX105)+'LINEST VARS'!$C$64*($DO$104*0.5)+'LINEST VARS'!$B$64*($DO$104*$CX105)+'LINEST VARS'!$A$64*(0.5*$CX105)</f>
        <v>135.59999999999988</v>
      </c>
      <c r="DP105" s="55">
        <f>'LINEST VARS'!$U$64+'LINEST VARS'!$T$64*(8)+'LINEST VARS'!$S$64*(8)+'LINEST VARS'!$R$64*($DP$104)+'LINEST VARS'!$Q$64*(0.5)+'LINEST VARS'!$P$64*($CX105)+'LINEST VARS'!$O$64*(8^2)+'LINEST VARS'!$N$64*(8^2)+'LINEST VARS'!$M$64*($DP$104^2)+'LINEST VARS'!$L$64*(0.5^2)+'LINEST VARS'!$K$64*($CX105^2)+'LINEST VARS'!$J$64*(8*8)+'LINEST VARS'!$I$64*(8*$DP$104)+'LINEST VARS'!$H$64*(8*0.5)+'LINEST VARS'!$G$64*(8*$CX105)+'LINEST VARS'!$F$64*(8*$DP$104)+'LINEST VARS'!$E$64*(8*0.5)+'LINEST VARS'!$D$64*(8*$CX105)+'LINEST VARS'!$C$64*($DP$104*0.5)+'LINEST VARS'!$B$64*($DP$104*$CX105)+'LINEST VARS'!$A$64*(0.5*$CX105)</f>
        <v>137.19999999999987</v>
      </c>
      <c r="DQ105" s="55">
        <f>'LINEST VARS'!$U$64+'LINEST VARS'!$T$64*(8)+'LINEST VARS'!$S$64*(8)+'LINEST VARS'!$R$64*($DQ$104)+'LINEST VARS'!$Q$64*(0.5)+'LINEST VARS'!$P$64*($CX105)+'LINEST VARS'!$O$64*(8^2)+'LINEST VARS'!$N$64*(8^2)+'LINEST VARS'!$M$64*($DQ$104^2)+'LINEST VARS'!$L$64*(0.5^2)+'LINEST VARS'!$K$64*($CX105^2)+'LINEST VARS'!$J$64*(8*8)+'LINEST VARS'!$I$64*(8*$DQ$104)+'LINEST VARS'!$H$64*(8*0.5)+'LINEST VARS'!$G$64*(8*$CX105)+'LINEST VARS'!$F$64*(8*$DQ$104)+'LINEST VARS'!$E$64*(8*0.5)+'LINEST VARS'!$D$64*(8*$CX105)+'LINEST VARS'!$C$64*($DQ$104*0.5)+'LINEST VARS'!$B$64*($DQ$104*$CX105)+'LINEST VARS'!$A$64*(0.5*$CX105)</f>
        <v>138.79999999999987</v>
      </c>
      <c r="DR105" s="55">
        <f>'LINEST VARS'!$U$64+'LINEST VARS'!$T$64*(8)+'LINEST VARS'!$S$64*(8)+'LINEST VARS'!$R$64*($DR$104)+'LINEST VARS'!$Q$64*(0.5)+'LINEST VARS'!$P$64*($CX105)+'LINEST VARS'!$O$64*(8^2)+'LINEST VARS'!$N$64*(8^2)+'LINEST VARS'!$M$64*($DR$104^2)+'LINEST VARS'!$L$64*(0.5^2)+'LINEST VARS'!$K$64*($CX105^2)+'LINEST VARS'!$J$64*(8*8)+'LINEST VARS'!$I$64*(8*$DR$104)+'LINEST VARS'!$H$64*(8*0.5)+'LINEST VARS'!$G$64*(8*$CX105)+'LINEST VARS'!$F$64*(8*$DR$104)+'LINEST VARS'!$E$64*(8*0.5)+'LINEST VARS'!$D$64*(8*$CX105)+'LINEST VARS'!$C$64*($DR$104*0.5)+'LINEST VARS'!$B$64*($DR$104*$CX105)+'LINEST VARS'!$A$64*(0.5*$CX105)</f>
        <v>140.39999999999986</v>
      </c>
      <c r="DS105" s="56">
        <f>'LINEST VARS'!$U$64+'LINEST VARS'!$T$64*(8)+'LINEST VARS'!$S$64*(8)+'LINEST VARS'!$R$64*($DS$104)+'LINEST VARS'!$Q$64*(0.5)+'LINEST VARS'!$P$64*($CX105)+'LINEST VARS'!$O$64*(8^2)+'LINEST VARS'!$N$64*(8^2)+'LINEST VARS'!$M$64*($DS$104^2)+'LINEST VARS'!$L$64*(0.5^2)+'LINEST VARS'!$K$64*($CX105^2)+'LINEST VARS'!$J$64*(8*8)+'LINEST VARS'!$I$64*(8*$DS$104)+'LINEST VARS'!$H$64*(8*0.5)+'LINEST VARS'!$G$64*(8*$CX105)+'LINEST VARS'!$F$64*(8*$DS$104)+'LINEST VARS'!$E$64*(8*0.5)+'LINEST VARS'!$D$64*(8*$CX105)+'LINEST VARS'!$C$64*($DS$104*0.5)+'LINEST VARS'!$B$64*($DS$104*$CX105)+'LINEST VARS'!$A$64*(0.5*$CX105)</f>
        <v>141.99999999999986</v>
      </c>
      <c r="DV105" s="45">
        <v>0</v>
      </c>
      <c r="DW105" s="46">
        <f>'LINEST VARS'!$U$66+'LINEST VARS'!$T$66*(8)+'LINEST VARS'!$S$66*(8)+'LINEST VARS'!$R$66*($DW$104)+'LINEST VARS'!$Q$66*(0.5)+'LINEST VARS'!$P$66*($DV105)+'LINEST VARS'!$O$66*(8^2)+'LINEST VARS'!$N$66*(8^2)+'LINEST VARS'!$M$66*($DW$104^2)+'LINEST VARS'!$L$66*(0.5^2)+'LINEST VARS'!$K$66*($DV105^2)+'LINEST VARS'!$J$66*(8*8)+'LINEST VARS'!$I$66*(8*$DW$104)+'LINEST VARS'!$H$66*(8*0.5)+'LINEST VARS'!$G$66*(8*$DV105)+'LINEST VARS'!$F$66*(8*$DW$104)+'LINEST VARS'!$E$66*(8*0.5)+'LINEST VARS'!$D$66*(8*$DV105)+'LINEST VARS'!$C$66*($DW$104*0.5)+'LINEST VARS'!$B$66*($DW$104*$DV105)+'LINEST VARS'!$A$66*(0.5*$DV105)</f>
        <v>144.00000000000003</v>
      </c>
      <c r="DX105" s="46">
        <f>'LINEST VARS'!$U$66+'LINEST VARS'!$T$66*(8)+'LINEST VARS'!$S$66*(8)+'LINEST VARS'!$R$66*($DX$104)+'LINEST VARS'!$Q$66*(0.5)+'LINEST VARS'!$P$66*($DV105)+'LINEST VARS'!$O$66*(8^2)+'LINEST VARS'!$N$66*(8^2)+'LINEST VARS'!$M$66*($DX$104^2)+'LINEST VARS'!$L$66*(0.5^2)+'LINEST VARS'!$K$66*($DV105^2)+'LINEST VARS'!$J$66*(8*8)+'LINEST VARS'!$I$66*(8*$DX$104)+'LINEST VARS'!$H$66*(8*0.5)+'LINEST VARS'!$G$66*(8*$DV105)+'LINEST VARS'!$F$66*(8*$DX$104)+'LINEST VARS'!$E$66*(8*0.5)+'LINEST VARS'!$D$66*(8*$DV105)+'LINEST VARS'!$C$66*($DX$104*0.5)+'LINEST VARS'!$B$66*($DX$104*$DV105)+'LINEST VARS'!$A$66*(0.5*$DV105)</f>
        <v>143.20000000000005</v>
      </c>
      <c r="DY105" s="46">
        <f>'LINEST VARS'!$U$66+'LINEST VARS'!$T$66*(8)+'LINEST VARS'!$S$66*(8)+'LINEST VARS'!$R$66*($DY$104)+'LINEST VARS'!$Q$66*(0.5)+'LINEST VARS'!$P$66*($DV105)+'LINEST VARS'!$O$66*(8^2)+'LINEST VARS'!$N$66*(8^2)+'LINEST VARS'!$M$66*($DY$104^2)+'LINEST VARS'!$L$66*(0.5^2)+'LINEST VARS'!$K$66*($DV105^2)+'LINEST VARS'!$J$66*(8*8)+'LINEST VARS'!$I$66*(8*$DY$104)+'LINEST VARS'!$H$66*(8*0.5)+'LINEST VARS'!$G$66*(8*$DV105)+'LINEST VARS'!$F$66*(8*$DY$104)+'LINEST VARS'!$E$66*(8*0.5)+'LINEST VARS'!$D$66*(8*$DV105)+'LINEST VARS'!$C$66*($DY$104*0.5)+'LINEST VARS'!$B$66*($DY$104*$DV105)+'LINEST VARS'!$A$66*(0.5*$DV105)</f>
        <v>142.40000000000003</v>
      </c>
      <c r="DZ105" s="46">
        <f>'LINEST VARS'!$U$66+'LINEST VARS'!$T$66*(8)+'LINEST VARS'!$S$66*(8)+'LINEST VARS'!$R$66*($DZ$104)+'LINEST VARS'!$Q$66*(0.5)+'LINEST VARS'!$P$66*($DV105)+'LINEST VARS'!$O$66*(8^2)+'LINEST VARS'!$N$66*(8^2)+'LINEST VARS'!$M$66*($DZ$104^2)+'LINEST VARS'!$L$66*(0.5^2)+'LINEST VARS'!$K$66*($DV105^2)+'LINEST VARS'!$J$66*(8*8)+'LINEST VARS'!$I$66*(8*$DZ$104)+'LINEST VARS'!$H$66*(8*0.5)+'LINEST VARS'!$G$66*(8*$DV105)+'LINEST VARS'!$F$66*(8*$DZ$104)+'LINEST VARS'!$E$66*(8*0.5)+'LINEST VARS'!$D$66*(8*$DV105)+'LINEST VARS'!$C$66*($DZ$104*0.5)+'LINEST VARS'!$B$66*($DZ$104*$DV105)+'LINEST VARS'!$A$66*(0.5*$DV105)</f>
        <v>141.60000000000005</v>
      </c>
      <c r="EA105" s="46">
        <f>'LINEST VARS'!$U$66+'LINEST VARS'!$T$66*(8)+'LINEST VARS'!$S$66*(8)+'LINEST VARS'!$R$66*($EA$104)+'LINEST VARS'!$Q$66*(0.5)+'LINEST VARS'!$P$66*($DV105)+'LINEST VARS'!$O$66*(8^2)+'LINEST VARS'!$N$66*(8^2)+'LINEST VARS'!$M$66*($EA$104^2)+'LINEST VARS'!$L$66*(0.5^2)+'LINEST VARS'!$K$66*($DV105^2)+'LINEST VARS'!$J$66*(8*8)+'LINEST VARS'!$I$66*(8*$EA$104)+'LINEST VARS'!$H$66*(8*0.5)+'LINEST VARS'!$G$66*(8*$DV105)+'LINEST VARS'!$F$66*(8*$EA$104)+'LINEST VARS'!$E$66*(8*0.5)+'LINEST VARS'!$D$66*(8*$DV105)+'LINEST VARS'!$C$66*($EA$104*0.5)+'LINEST VARS'!$B$66*($EA$104*$DV105)+'LINEST VARS'!$A$66*(0.5*$DV105)</f>
        <v>140.80000000000004</v>
      </c>
      <c r="EB105" s="46">
        <f>'LINEST VARS'!$U$66+'LINEST VARS'!$T$66*(8)+'LINEST VARS'!$S$66*(8)+'LINEST VARS'!$R$66*($EB$104)+'LINEST VARS'!$Q$66*(0.5)+'LINEST VARS'!$P$66*($DV105)+'LINEST VARS'!$O$66*(8^2)+'LINEST VARS'!$N$66*(8^2)+'LINEST VARS'!$M$66*($EB$104^2)+'LINEST VARS'!$L$66*(0.5^2)+'LINEST VARS'!$K$66*($DV105^2)+'LINEST VARS'!$J$66*(8*8)+'LINEST VARS'!$I$66*(8*$EB$104)+'LINEST VARS'!$H$66*(8*0.5)+'LINEST VARS'!$G$66*(8*$DV105)+'LINEST VARS'!$F$66*(8*$EB$104)+'LINEST VARS'!$E$66*(8*0.5)+'LINEST VARS'!$D$66*(8*$DV105)+'LINEST VARS'!$C$66*($EB$104*0.5)+'LINEST VARS'!$B$66*($EB$104*$DV105)+'LINEST VARS'!$A$66*(0.5*$DV105)</f>
        <v>140.00000000000006</v>
      </c>
      <c r="EC105" s="46">
        <f>'LINEST VARS'!$U$66+'LINEST VARS'!$T$66*(8)+'LINEST VARS'!$S$66*(8)+'LINEST VARS'!$R$66*($EC$104)+'LINEST VARS'!$Q$66*(0.5)+'LINEST VARS'!$P$66*($DV105)+'LINEST VARS'!$O$66*(8^2)+'LINEST VARS'!$N$66*(8^2)+'LINEST VARS'!$M$66*($EC$104^2)+'LINEST VARS'!$L$66*(0.5^2)+'LINEST VARS'!$K$66*($DV105^2)+'LINEST VARS'!$J$66*(8*8)+'LINEST VARS'!$I$66*(8*$EC$104)+'LINEST VARS'!$H$66*(8*0.5)+'LINEST VARS'!$G$66*(8*$DV105)+'LINEST VARS'!$F$66*(8*$EC$104)+'LINEST VARS'!$E$66*(8*0.5)+'LINEST VARS'!$D$66*(8*$DV105)+'LINEST VARS'!$C$66*($EC$104*0.5)+'LINEST VARS'!$B$66*($EC$104*$DV105)+'LINEST VARS'!$A$66*(0.5*$DV105)</f>
        <v>139.20000000000005</v>
      </c>
      <c r="ED105" s="46">
        <f>'LINEST VARS'!$U$66+'LINEST VARS'!$T$66*(8)+'LINEST VARS'!$S$66*(8)+'LINEST VARS'!$R$66*($ED$104)+'LINEST VARS'!$Q$66*(0.5)+'LINEST VARS'!$P$66*($DV105)+'LINEST VARS'!$O$66*(8^2)+'LINEST VARS'!$N$66*(8^2)+'LINEST VARS'!$M$66*($ED$104^2)+'LINEST VARS'!$L$66*(0.5^2)+'LINEST VARS'!$K$66*($DV105^2)+'LINEST VARS'!$J$66*(8*8)+'LINEST VARS'!$I$66*(8*$ED$104)+'LINEST VARS'!$H$66*(8*0.5)+'LINEST VARS'!$G$66*(8*$DV105)+'LINEST VARS'!$F$66*(8*$ED$104)+'LINEST VARS'!$E$66*(8*0.5)+'LINEST VARS'!$D$66*(8*$DV105)+'LINEST VARS'!$C$66*($ED$104*0.5)+'LINEST VARS'!$B$66*($ED$104*$DV105)+'LINEST VARS'!$A$66*(0.5*$DV105)</f>
        <v>138.40000000000006</v>
      </c>
      <c r="EE105" s="46">
        <f>'LINEST VARS'!$U$66+'LINEST VARS'!$T$66*(8)+'LINEST VARS'!$S$66*(8)+'LINEST VARS'!$R$66*($EE$104)+'LINEST VARS'!$Q$66*(0.5)+'LINEST VARS'!$P$66*($DV105)+'LINEST VARS'!$O$66*(8^2)+'LINEST VARS'!$N$66*(8^2)+'LINEST VARS'!$M$66*($EE$104^2)+'LINEST VARS'!$L$66*(0.5^2)+'LINEST VARS'!$K$66*($DV105^2)+'LINEST VARS'!$J$66*(8*8)+'LINEST VARS'!$I$66*(8*$EE$104)+'LINEST VARS'!$H$66*(8*0.5)+'LINEST VARS'!$G$66*(8*$DV105)+'LINEST VARS'!$F$66*(8*$EE$104)+'LINEST VARS'!$E$66*(8*0.5)+'LINEST VARS'!$D$66*(8*$DV105)+'LINEST VARS'!$C$66*($EE$104*0.5)+'LINEST VARS'!$B$66*($EE$104*$DV105)+'LINEST VARS'!$A$66*(0.5*$DV105)</f>
        <v>137.60000000000005</v>
      </c>
      <c r="EF105" s="46">
        <f>'LINEST VARS'!$U$66+'LINEST VARS'!$T$66*(8)+'LINEST VARS'!$S$66*(8)+'LINEST VARS'!$R$66*($EF$104)+'LINEST VARS'!$Q$66*(0.5)+'LINEST VARS'!$P$66*($DV105)+'LINEST VARS'!$O$66*(8^2)+'LINEST VARS'!$N$66*(8^2)+'LINEST VARS'!$M$66*($EF$104^2)+'LINEST VARS'!$L$66*(0.5^2)+'LINEST VARS'!$K$66*($DV105^2)+'LINEST VARS'!$J$66*(8*8)+'LINEST VARS'!$I$66*(8*$EF$104)+'LINEST VARS'!$H$66*(8*0.5)+'LINEST VARS'!$G$66*(8*$DV105)+'LINEST VARS'!$F$66*(8*$EF$104)+'LINEST VARS'!$E$66*(8*0.5)+'LINEST VARS'!$D$66*(8*$DV105)+'LINEST VARS'!$C$66*($EF$104*0.5)+'LINEST VARS'!$B$66*($EF$104*$DV105)+'LINEST VARS'!$A$66*(0.5*$DV105)</f>
        <v>136.80000000000004</v>
      </c>
      <c r="EG105" s="46">
        <f>'LINEST VARS'!$U$66+'LINEST VARS'!$T$66*(8)+'LINEST VARS'!$S$66*(8)+'LINEST VARS'!$R$66*($EG$104)+'LINEST VARS'!$Q$66*(0.5)+'LINEST VARS'!$P$66*($DV105)+'LINEST VARS'!$O$66*(8^2)+'LINEST VARS'!$N$66*(8^2)+'LINEST VARS'!$M$66*($EG$104^2)+'LINEST VARS'!$L$66*(0.5^2)+'LINEST VARS'!$K$66*($DV105^2)+'LINEST VARS'!$J$66*(8*8)+'LINEST VARS'!$I$66*(8*$EG$104)+'LINEST VARS'!$H$66*(8*0.5)+'LINEST VARS'!$G$66*(8*$DV105)+'LINEST VARS'!$F$66*(8*$EG$104)+'LINEST VARS'!$E$66*(8*0.5)+'LINEST VARS'!$D$66*(8*$DV105)+'LINEST VARS'!$C$66*($EG$104*0.5)+'LINEST VARS'!$B$66*($EG$104*$DV105)+'LINEST VARS'!$A$66*(0.5*$DV105)</f>
        <v>136.00000000000003</v>
      </c>
      <c r="EH105" s="46">
        <f>'LINEST VARS'!$U$66+'LINEST VARS'!$T$66*(8)+'LINEST VARS'!$S$66*(8)+'LINEST VARS'!$R$66*($EH$104)+'LINEST VARS'!$Q$66*(0.5)+'LINEST VARS'!$P$66*($DV105)+'LINEST VARS'!$O$66*(8^2)+'LINEST VARS'!$N$66*(8^2)+'LINEST VARS'!$M$66*($EH$104^2)+'LINEST VARS'!$L$66*(0.5^2)+'LINEST VARS'!$K$66*($DV105^2)+'LINEST VARS'!$J$66*(8*8)+'LINEST VARS'!$I$66*(8*$EH$104)+'LINEST VARS'!$H$66*(8*0.5)+'LINEST VARS'!$G$66*(8*$DV105)+'LINEST VARS'!$F$66*(8*$EH$104)+'LINEST VARS'!$E$66*(8*0.5)+'LINEST VARS'!$D$66*(8*$DV105)+'LINEST VARS'!$C$66*($EH$104*0.5)+'LINEST VARS'!$B$66*($EH$104*$DV105)+'LINEST VARS'!$A$66*(0.5*$DV105)</f>
        <v>135.20000000000002</v>
      </c>
      <c r="EI105" s="46">
        <f>'LINEST VARS'!$U$66+'LINEST VARS'!$T$66*(8)+'LINEST VARS'!$S$66*(8)+'LINEST VARS'!$R$66*($EI$104)+'LINEST VARS'!$Q$66*(0.5)+'LINEST VARS'!$P$66*($DV105)+'LINEST VARS'!$O$66*(8^2)+'LINEST VARS'!$N$66*(8^2)+'LINEST VARS'!$M$66*($EI$104^2)+'LINEST VARS'!$L$66*(0.5^2)+'LINEST VARS'!$K$66*($DV105^2)+'LINEST VARS'!$J$66*(8*8)+'LINEST VARS'!$I$66*(8*$EI$104)+'LINEST VARS'!$H$66*(8*0.5)+'LINEST VARS'!$G$66*(8*$DV105)+'LINEST VARS'!$F$66*(8*$EI$104)+'LINEST VARS'!$E$66*(8*0.5)+'LINEST VARS'!$D$66*(8*$DV105)+'LINEST VARS'!$C$66*($EI$104*0.5)+'LINEST VARS'!$B$66*($EI$104*$DV105)+'LINEST VARS'!$A$66*(0.5*$DV105)</f>
        <v>134.4</v>
      </c>
      <c r="EJ105" s="46">
        <f>'LINEST VARS'!$U$66+'LINEST VARS'!$T$66*(8)+'LINEST VARS'!$S$66*(8)+'LINEST VARS'!$R$66*($EJ$104)+'LINEST VARS'!$Q$66*(0.5)+'LINEST VARS'!$P$66*($DV105)+'LINEST VARS'!$O$66*(8^2)+'LINEST VARS'!$N$66*(8^2)+'LINEST VARS'!$M$66*($EJ$104^2)+'LINEST VARS'!$L$66*(0.5^2)+'LINEST VARS'!$K$66*($DV105^2)+'LINEST VARS'!$J$66*(8*8)+'LINEST VARS'!$I$66*(8*$EJ$104)+'LINEST VARS'!$H$66*(8*0.5)+'LINEST VARS'!$G$66*(8*$DV105)+'LINEST VARS'!$F$66*(8*$EJ$104)+'LINEST VARS'!$E$66*(8*0.5)+'LINEST VARS'!$D$66*(8*$DV105)+'LINEST VARS'!$C$66*($EJ$104*0.5)+'LINEST VARS'!$B$66*($EJ$104*$DV105)+'LINEST VARS'!$A$66*(0.5*$DV105)</f>
        <v>133.60000000000002</v>
      </c>
      <c r="EK105" s="46">
        <f>'LINEST VARS'!$U$66+'LINEST VARS'!$T$66*(8)+'LINEST VARS'!$S$66*(8)+'LINEST VARS'!$R$66*($EK$104)+'LINEST VARS'!$Q$66*(0.5)+'LINEST VARS'!$P$66*($DV105)+'LINEST VARS'!$O$66*(8^2)+'LINEST VARS'!$N$66*(8^2)+'LINEST VARS'!$M$66*($EK$104^2)+'LINEST VARS'!$L$66*(0.5^2)+'LINEST VARS'!$K$66*($DV105^2)+'LINEST VARS'!$J$66*(8*8)+'LINEST VARS'!$I$66*(8*$EK$104)+'LINEST VARS'!$H$66*(8*0.5)+'LINEST VARS'!$G$66*(8*$DV105)+'LINEST VARS'!$F$66*(8*$EK$104)+'LINEST VARS'!$E$66*(8*0.5)+'LINEST VARS'!$D$66*(8*$DV105)+'LINEST VARS'!$C$66*($EK$104*0.5)+'LINEST VARS'!$B$66*($EK$104*$DV105)+'LINEST VARS'!$A$66*(0.5*$DV105)</f>
        <v>132.80000000000001</v>
      </c>
      <c r="EL105" s="46">
        <f>'LINEST VARS'!$U$66+'LINEST VARS'!$T$66*(8)+'LINEST VARS'!$S$66*(8)+'LINEST VARS'!$R$66*($EL$104)+'LINEST VARS'!$Q$66*(0.5)+'LINEST VARS'!$P$66*($DV105)+'LINEST VARS'!$O$66*(8^2)+'LINEST VARS'!$N$66*(8^2)+'LINEST VARS'!$M$66*($EL$104^2)+'LINEST VARS'!$L$66*(0.5^2)+'LINEST VARS'!$K$66*($DV105^2)+'LINEST VARS'!$J$66*(8*8)+'LINEST VARS'!$I$66*(8*$EL$104)+'LINEST VARS'!$H$66*(8*0.5)+'LINEST VARS'!$G$66*(8*$DV105)+'LINEST VARS'!$F$66*(8*$EL$104)+'LINEST VARS'!$E$66*(8*0.5)+'LINEST VARS'!$D$66*(8*$DV105)+'LINEST VARS'!$C$66*($EL$104*0.5)+'LINEST VARS'!$B$66*($EL$104*$DV105)+'LINEST VARS'!$A$66*(0.5*$DV105)</f>
        <v>132.00000000000003</v>
      </c>
      <c r="EM105" s="46">
        <f>'LINEST VARS'!$U$66+'LINEST VARS'!$T$66*(8)+'LINEST VARS'!$S$66*(8)+'LINEST VARS'!$R$66*($EM$104)+'LINEST VARS'!$Q$66*(0.5)+'LINEST VARS'!$P$66*($DV105)+'LINEST VARS'!$O$66*(8^2)+'LINEST VARS'!$N$66*(8^2)+'LINEST VARS'!$M$66*($EM$104^2)+'LINEST VARS'!$L$66*(0.5^2)+'LINEST VARS'!$K$66*($DV105^2)+'LINEST VARS'!$J$66*(8*8)+'LINEST VARS'!$I$66*(8*$EM$104)+'LINEST VARS'!$H$66*(8*0.5)+'LINEST VARS'!$G$66*(8*$DV105)+'LINEST VARS'!$F$66*(8*$EM$104)+'LINEST VARS'!$E$66*(8*0.5)+'LINEST VARS'!$D$66*(8*$DV105)+'LINEST VARS'!$C$66*($EM$104*0.5)+'LINEST VARS'!$B$66*($EM$104*$DV105)+'LINEST VARS'!$A$66*(0.5*$DV105)</f>
        <v>131.20000000000002</v>
      </c>
      <c r="EN105" s="46">
        <f>'LINEST VARS'!$U$66+'LINEST VARS'!$T$66*(8)+'LINEST VARS'!$S$66*(8)+'LINEST VARS'!$R$66*($EN$104)+'LINEST VARS'!$Q$66*(0.5)+'LINEST VARS'!$P$66*($DV105)+'LINEST VARS'!$O$66*(8^2)+'LINEST VARS'!$N$66*(8^2)+'LINEST VARS'!$M$66*($EN$104^2)+'LINEST VARS'!$L$66*(0.5^2)+'LINEST VARS'!$K$66*($DV105^2)+'LINEST VARS'!$J$66*(8*8)+'LINEST VARS'!$I$66*(8*$EN$104)+'LINEST VARS'!$H$66*(8*0.5)+'LINEST VARS'!$G$66*(8*$DV105)+'LINEST VARS'!$F$66*(8*$EN$104)+'LINEST VARS'!$E$66*(8*0.5)+'LINEST VARS'!$D$66*(8*$DV105)+'LINEST VARS'!$C$66*($EN$104*0.5)+'LINEST VARS'!$B$66*($EN$104*$DV105)+'LINEST VARS'!$A$66*(0.5*$DV105)</f>
        <v>130.40000000000006</v>
      </c>
      <c r="EO105" s="46">
        <f>'LINEST VARS'!$U$66+'LINEST VARS'!$T$66*(8)+'LINEST VARS'!$S$66*(8)+'LINEST VARS'!$R$66*($EO$104)+'LINEST VARS'!$Q$66*(0.5)+'LINEST VARS'!$P$66*($DV105)+'LINEST VARS'!$O$66*(8^2)+'LINEST VARS'!$N$66*(8^2)+'LINEST VARS'!$M$66*($EO$104^2)+'LINEST VARS'!$L$66*(0.5^2)+'LINEST VARS'!$K$66*($DV105^2)+'LINEST VARS'!$J$66*(8*8)+'LINEST VARS'!$I$66*(8*$EO$104)+'LINEST VARS'!$H$66*(8*0.5)+'LINEST VARS'!$G$66*(8*$DV105)+'LINEST VARS'!$F$66*(8*$EO$104)+'LINEST VARS'!$E$66*(8*0.5)+'LINEST VARS'!$D$66*(8*$DV105)+'LINEST VARS'!$C$66*($EO$104*0.5)+'LINEST VARS'!$B$66*($EO$104*$DV105)+'LINEST VARS'!$A$66*(0.5*$DV105)</f>
        <v>129.60000000000005</v>
      </c>
      <c r="EP105" s="46">
        <f>'LINEST VARS'!$U$66+'LINEST VARS'!$T$66*(8)+'LINEST VARS'!$S$66*(8)+'LINEST VARS'!$R$66*($EP$104)+'LINEST VARS'!$Q$66*(0.5)+'LINEST VARS'!$P$66*($DV105)+'LINEST VARS'!$O$66*(8^2)+'LINEST VARS'!$N$66*(8^2)+'LINEST VARS'!$M$66*($EP$104^2)+'LINEST VARS'!$L$66*(0.5^2)+'LINEST VARS'!$K$66*($DV105^2)+'LINEST VARS'!$J$66*(8*8)+'LINEST VARS'!$I$66*(8*$EP$104)+'LINEST VARS'!$H$66*(8*0.5)+'LINEST VARS'!$G$66*(8*$DV105)+'LINEST VARS'!$F$66*(8*$EP$104)+'LINEST VARS'!$E$66*(8*0.5)+'LINEST VARS'!$D$66*(8*$DV105)+'LINEST VARS'!$C$66*($EP$104*0.5)+'LINEST VARS'!$B$66*($EP$104*$DV105)+'LINEST VARS'!$A$66*(0.5*$DV105)</f>
        <v>128.80000000000007</v>
      </c>
      <c r="EQ105" s="47">
        <f>'LINEST VARS'!$U$66+'LINEST VARS'!$T$66*(8)+'LINEST VARS'!$S$66*(8)+'LINEST VARS'!$R$66*($EQ$104)+'LINEST VARS'!$Q$66*(0.5)+'LINEST VARS'!$P$66*($DV105)+'LINEST VARS'!$O$66*(8^2)+'LINEST VARS'!$N$66*(8^2)+'LINEST VARS'!$M$66*($EQ$104^2)+'LINEST VARS'!$L$66*(0.5^2)+'LINEST VARS'!$K$66*($DV105^2)+'LINEST VARS'!$J$66*(8*8)+'LINEST VARS'!$I$66*(8*$EQ$104)+'LINEST VARS'!$H$66*(8*0.5)+'LINEST VARS'!$G$66*(8*$DV105)+'LINEST VARS'!$F$66*(8*$EQ$104)+'LINEST VARS'!$E$66*(8*0.5)+'LINEST VARS'!$D$66*(8*$DV105)+'LINEST VARS'!$C$66*($EQ$104*0.5)+'LINEST VARS'!$B$66*($EQ$104*$DV105)+'LINEST VARS'!$A$66*(0.5*$DV105)</f>
        <v>128.00000000000006</v>
      </c>
    </row>
    <row r="106" spans="2:147" ht="15" customHeight="1" x14ac:dyDescent="0.25">
      <c r="B106" s="45">
        <v>7.46</v>
      </c>
      <c r="C106" s="55">
        <f>'LINEST VARS'!$U$64+'LINEST VARS'!$T$64*($C$104)+'LINEST VARS'!$S$64*($B106)+'LINEST VARS'!$R$64*(4)+'LINEST VARS'!$Q$64*(0.5)+'LINEST VARS'!$P$64*(12.73)+'LINEST VARS'!$O$64*($C$104^2)+'LINEST VARS'!$N$64*($B106^2)+'LINEST VARS'!$M$64*(4^2)+'LINEST VARS'!$L$64*(0.5^2)+'LINEST VARS'!$K$64*(12.73^2)+'LINEST VARS'!$J$64*($C$104*$B106)+'LINEST VARS'!$I$64*($C$104*4)+'LINEST VARS'!$H$64*($C$104*0.5)+'LINEST VARS'!$G$64*($C$104*12.73)+'LINEST VARS'!$F$64*($B106*4)+'LINEST VARS'!$E$64*($B106*0.5)+'LINEST VARS'!$D$64*($B106*12.73)+'LINEST VARS'!$C$64*(4*0.5)+'LINEST VARS'!$B$64*(4*12.73)+'LINEST VARS'!$A$64*(0.5*12.73)</f>
        <v>164.18999999999988</v>
      </c>
      <c r="D106" s="55">
        <f>'LINEST VARS'!$U$64+'LINEST VARS'!$T$64*($D$104)+'LINEST VARS'!$S$64*($B106)+'LINEST VARS'!$R$64*(4)+'LINEST VARS'!$Q$64*(0.5)+'LINEST VARS'!$P$64*(12.73)+'LINEST VARS'!$O$64*($D$104^2)+'LINEST VARS'!$N$64*($B106^2)+'LINEST VARS'!$M$64*(4^2)+'LINEST VARS'!$L$64*(0.5^2)+'LINEST VARS'!$K$64*(12.73^2)+'LINEST VARS'!$J$64*($D$104*$B106)+'LINEST VARS'!$I$64*($D$104*4)+'LINEST VARS'!$H$64*($D$104*0.5)+'LINEST VARS'!$G$64*($D$104*12.73)+'LINEST VARS'!$F$64*($B106*4)+'LINEST VARS'!$E$64*($B106*0.5)+'LINEST VARS'!$D$64*($B106*12.73)+'LINEST VARS'!$C$64*(4*0.5)+'LINEST VARS'!$B$64*(4*12.73)+'LINEST VARS'!$A$64*(0.5*12.73)</f>
        <v>164.18999999999988</v>
      </c>
      <c r="E106" s="55">
        <f>'LINEST VARS'!$U$64+'LINEST VARS'!$T$64*($E$104)+'LINEST VARS'!$S$64*($B106)+'LINEST VARS'!$R$64*(4)+'LINEST VARS'!$Q$64*(0.5)+'LINEST VARS'!$P$64*(12.73)+'LINEST VARS'!$O$64*($E$104^2)+'LINEST VARS'!$N$64*($B106^2)+'LINEST VARS'!$M$64*(4^2)+'LINEST VARS'!$L$64*(0.5^2)+'LINEST VARS'!$K$64*(12.73^2)+'LINEST VARS'!$J$64*($E$104*$B106)+'LINEST VARS'!$I$64*($E$104*4)+'LINEST VARS'!$H$64*($E$104*0.5)+'LINEST VARS'!$G$64*($E$104*12.73)+'LINEST VARS'!$F$64*($B106*4)+'LINEST VARS'!$E$64*($B106*0.5)+'LINEST VARS'!$D$64*($B106*12.73)+'LINEST VARS'!$C$64*(4*0.5)+'LINEST VARS'!$B$64*(4*12.73)+'LINEST VARS'!$A$64*(0.5*12.73)</f>
        <v>164.18999999999988</v>
      </c>
      <c r="F106" s="55">
        <f>'LINEST VARS'!$U$64+'LINEST VARS'!$T$64*($F$104)+'LINEST VARS'!$S$64*($B106)+'LINEST VARS'!$R$64*(4)+'LINEST VARS'!$Q$64*(0.5)+'LINEST VARS'!$P$64*(12.73)+'LINEST VARS'!$O$64*($F$104^2)+'LINEST VARS'!$N$64*($B106^2)+'LINEST VARS'!$M$64*(4^2)+'LINEST VARS'!$L$64*(0.5^2)+'LINEST VARS'!$K$64*(12.73^2)+'LINEST VARS'!$J$64*($F$104*$B106)+'LINEST VARS'!$I$64*($F$104*4)+'LINEST VARS'!$H$64*($F$104*0.5)+'LINEST VARS'!$G$64*($F$104*12.73)+'LINEST VARS'!$F$64*($B106*4)+'LINEST VARS'!$E$64*($B106*0.5)+'LINEST VARS'!$D$64*($B106*12.73)+'LINEST VARS'!$C$64*(4*0.5)+'LINEST VARS'!$B$64*(4*12.73)+'LINEST VARS'!$A$64*(0.5*12.73)</f>
        <v>164.18999999999988</v>
      </c>
      <c r="G106" s="55">
        <f>'LINEST VARS'!$U$64+'LINEST VARS'!$T$64*($G$104)+'LINEST VARS'!$S$64*($B106)+'LINEST VARS'!$R$64*(4)+'LINEST VARS'!$Q$64*(0.5)+'LINEST VARS'!$P$64*(12.73)+'LINEST VARS'!$O$64*($G$104^2)+'LINEST VARS'!$N$64*($B106^2)+'LINEST VARS'!$M$64*(4^2)+'LINEST VARS'!$L$64*(0.5^2)+'LINEST VARS'!$K$64*(12.73^2)+'LINEST VARS'!$J$64*($G$104*$B106)+'LINEST VARS'!$I$64*($G$104*4)+'LINEST VARS'!$H$64*($G$104*0.5)+'LINEST VARS'!$G$64*($G$104*12.73)+'LINEST VARS'!$F$64*($B106*4)+'LINEST VARS'!$E$64*($B106*0.5)+'LINEST VARS'!$D$64*($B106*12.73)+'LINEST VARS'!$C$64*(4*0.5)+'LINEST VARS'!$B$64*(4*12.73)+'LINEST VARS'!$A$64*(0.5*12.73)</f>
        <v>164.18999999999991</v>
      </c>
      <c r="H106" s="55">
        <f>'LINEST VARS'!$U$64+'LINEST VARS'!$T$64*($H$104)+'LINEST VARS'!$S$64*($B106)+'LINEST VARS'!$R$64*(4)+'LINEST VARS'!$Q$64*(0.5)+'LINEST VARS'!$P$64*(12.73)+'LINEST VARS'!$O$64*($H$104^2)+'LINEST VARS'!$N$64*($B106^2)+'LINEST VARS'!$M$64*(4^2)+'LINEST VARS'!$L$64*(0.5^2)+'LINEST VARS'!$K$64*(12.73^2)+'LINEST VARS'!$J$64*($H$104*$B106)+'LINEST VARS'!$I$64*($H$104*4)+'LINEST VARS'!$H$64*($H$104*0.5)+'LINEST VARS'!$G$64*($H$104*12.73)+'LINEST VARS'!$F$64*($B106*4)+'LINEST VARS'!$E$64*($B106*0.5)+'LINEST VARS'!$D$64*($B106*12.73)+'LINEST VARS'!$C$64*(4*0.5)+'LINEST VARS'!$B$64*(4*12.73)+'LINEST VARS'!$A$64*(0.5*12.73)</f>
        <v>164.18999999999991</v>
      </c>
      <c r="I106" s="55">
        <f>'LINEST VARS'!$U$64+'LINEST VARS'!$T$64*($I$104)+'LINEST VARS'!$S$64*($B106)+'LINEST VARS'!$R$64*(4)+'LINEST VARS'!$Q$64*(0.5)+'LINEST VARS'!$P$64*(12.73)+'LINEST VARS'!$O$64*($I$104^2)+'LINEST VARS'!$N$64*($B106^2)+'LINEST VARS'!$M$64*(4^2)+'LINEST VARS'!$L$64*(0.5^2)+'LINEST VARS'!$K$64*(12.73^2)+'LINEST VARS'!$J$64*($I$104*$B106)+'LINEST VARS'!$I$64*($I$104*4)+'LINEST VARS'!$H$64*($I$104*0.5)+'LINEST VARS'!$G$64*($I$104*12.73)+'LINEST VARS'!$F$64*($B106*4)+'LINEST VARS'!$E$64*($B106*0.5)+'LINEST VARS'!$D$64*($B106*12.73)+'LINEST VARS'!$C$64*(4*0.5)+'LINEST VARS'!$B$64*(4*12.73)+'LINEST VARS'!$A$64*(0.5*12.73)</f>
        <v>164.18999999999991</v>
      </c>
      <c r="J106" s="55">
        <f>'LINEST VARS'!$U$64+'LINEST VARS'!$T$64*($J$104)+'LINEST VARS'!$S$64*($B106)+'LINEST VARS'!$R$64*(4)+'LINEST VARS'!$Q$64*(0.5)+'LINEST VARS'!$P$64*(12.73)+'LINEST VARS'!$O$64*($J$104^2)+'LINEST VARS'!$N$64*($B106^2)+'LINEST VARS'!$M$64*(4^2)+'LINEST VARS'!$L$64*(0.5^2)+'LINEST VARS'!$K$64*(12.73^2)+'LINEST VARS'!$J$64*($J$104*$B106)+'LINEST VARS'!$I$64*($J$104*4)+'LINEST VARS'!$H$64*($J$104*0.5)+'LINEST VARS'!$G$64*($J$104*12.73)+'LINEST VARS'!$F$64*($B106*4)+'LINEST VARS'!$E$64*($B106*0.5)+'LINEST VARS'!$D$64*($B106*12.73)+'LINEST VARS'!$C$64*(4*0.5)+'LINEST VARS'!$B$64*(4*12.73)+'LINEST VARS'!$A$64*(0.5*12.73)</f>
        <v>164.18999999999991</v>
      </c>
      <c r="K106" s="55">
        <f>'LINEST VARS'!$U$64+'LINEST VARS'!$T$64*($K$104)+'LINEST VARS'!$S$64*($B106)+'LINEST VARS'!$R$64*(4)+'LINEST VARS'!$Q$64*(0.5)+'LINEST VARS'!$P$64*(12.73)+'LINEST VARS'!$O$64*($K$104^2)+'LINEST VARS'!$N$64*($B106^2)+'LINEST VARS'!$M$64*(4^2)+'LINEST VARS'!$L$64*(0.5^2)+'LINEST VARS'!$K$64*(12.73^2)+'LINEST VARS'!$J$64*($K$104*$B106)+'LINEST VARS'!$I$64*($K$104*4)+'LINEST VARS'!$H$64*($K$104*0.5)+'LINEST VARS'!$G$64*($K$104*12.73)+'LINEST VARS'!$F$64*($B106*4)+'LINEST VARS'!$E$64*($B106*0.5)+'LINEST VARS'!$D$64*($B106*12.73)+'LINEST VARS'!$C$64*(4*0.5)+'LINEST VARS'!$B$64*(4*12.73)+'LINEST VARS'!$A$64*(0.5*12.73)</f>
        <v>164.18999999999991</v>
      </c>
      <c r="L106" s="55">
        <f>'LINEST VARS'!$U$64+'LINEST VARS'!$T$64*($L$104)+'LINEST VARS'!$S$64*($B106)+'LINEST VARS'!$R$64*(4)+'LINEST VARS'!$Q$64*(0.5)+'LINEST VARS'!$P$64*(12.73)+'LINEST VARS'!$O$64*($L$104^2)+'LINEST VARS'!$N$64*($B106^2)+'LINEST VARS'!$M$64*(4^2)+'LINEST VARS'!$L$64*(0.5^2)+'LINEST VARS'!$K$64*(12.73^2)+'LINEST VARS'!$J$64*($L$104*$B106)+'LINEST VARS'!$I$64*($L$104*4)+'LINEST VARS'!$H$64*($L$104*0.5)+'LINEST VARS'!$G$64*($L$104*12.73)+'LINEST VARS'!$F$64*($B106*4)+'LINEST VARS'!$E$64*($B106*0.5)+'LINEST VARS'!$D$64*($B106*12.73)+'LINEST VARS'!$C$64*(4*0.5)+'LINEST VARS'!$B$64*(4*12.73)+'LINEST VARS'!$A$64*(0.5*12.73)</f>
        <v>164.18999999999991</v>
      </c>
      <c r="M106" s="55">
        <f>'LINEST VARS'!$U$64+'LINEST VARS'!$T$64*($M$104)+'LINEST VARS'!$S$64*($B106)+'LINEST VARS'!$R$64*(4)+'LINEST VARS'!$Q$64*(0.5)+'LINEST VARS'!$P$64*(12.73)+'LINEST VARS'!$O$64*($M$104^2)+'LINEST VARS'!$N$64*($B106^2)+'LINEST VARS'!$M$64*(4^2)+'LINEST VARS'!$L$64*(0.5^2)+'LINEST VARS'!$K$64*(12.73^2)+'LINEST VARS'!$J$64*($M$104*$B106)+'LINEST VARS'!$I$64*($M$104*4)+'LINEST VARS'!$H$64*($M$104*0.5)+'LINEST VARS'!$G$64*($M$104*12.73)+'LINEST VARS'!$F$64*($B106*4)+'LINEST VARS'!$E$64*($B106*0.5)+'LINEST VARS'!$D$64*($B106*12.73)+'LINEST VARS'!$C$64*(4*0.5)+'LINEST VARS'!$B$64*(4*12.73)+'LINEST VARS'!$A$64*(0.5*12.73)</f>
        <v>164.18999999999991</v>
      </c>
      <c r="N106" s="55">
        <f>'LINEST VARS'!$U$64+'LINEST VARS'!$T$64*($N$104)+'LINEST VARS'!$S$64*($B106)+'LINEST VARS'!$R$64*(4)+'LINEST VARS'!$Q$64*(0.5)+'LINEST VARS'!$P$64*(12.73)+'LINEST VARS'!$O$64*($N$104^2)+'LINEST VARS'!$N$64*($B106^2)+'LINEST VARS'!$M$64*(4^2)+'LINEST VARS'!$L$64*(0.5^2)+'LINEST VARS'!$K$64*(12.73^2)+'LINEST VARS'!$J$64*($N$104*$B106)+'LINEST VARS'!$I$64*($N$104*4)+'LINEST VARS'!$H$64*($N$104*0.5)+'LINEST VARS'!$G$64*($N$104*12.73)+'LINEST VARS'!$F$64*($B106*4)+'LINEST VARS'!$E$64*($B106*0.5)+'LINEST VARS'!$D$64*($B106*12.73)+'LINEST VARS'!$C$64*(4*0.5)+'LINEST VARS'!$B$64*(4*12.73)+'LINEST VARS'!$A$64*(0.5*12.73)</f>
        <v>164.18999999999991</v>
      </c>
      <c r="O106" s="55">
        <f>'LINEST VARS'!$U$64+'LINEST VARS'!$T$64*($O$104)+'LINEST VARS'!$S$64*($B106)+'LINEST VARS'!$R$64*(4)+'LINEST VARS'!$Q$64*(0.5)+'LINEST VARS'!$P$64*(12.73)+'LINEST VARS'!$O$64*($O$104^2)+'LINEST VARS'!$N$64*($B106^2)+'LINEST VARS'!$M$64*(4^2)+'LINEST VARS'!$L$64*(0.5^2)+'LINEST VARS'!$K$64*(12.73^2)+'LINEST VARS'!$J$64*($O$104*$B106)+'LINEST VARS'!$I$64*($O$104*4)+'LINEST VARS'!$H$64*($O$104*0.5)+'LINEST VARS'!$G$64*($O$104*12.73)+'LINEST VARS'!$F$64*($B106*4)+'LINEST VARS'!$E$64*($B106*0.5)+'LINEST VARS'!$D$64*($B106*12.73)+'LINEST VARS'!$C$64*(4*0.5)+'LINEST VARS'!$B$64*(4*12.73)+'LINEST VARS'!$A$64*(0.5*12.73)</f>
        <v>164.18999999999988</v>
      </c>
      <c r="P106" s="55">
        <f>'LINEST VARS'!$U$64+'LINEST VARS'!$T$64*($P$104)+'LINEST VARS'!$S$64*($B106)+'LINEST VARS'!$R$64*(4)+'LINEST VARS'!$Q$64*(0.5)+'LINEST VARS'!$P$64*(12.73)+'LINEST VARS'!$O$64*($P$104^2)+'LINEST VARS'!$N$64*($B106^2)+'LINEST VARS'!$M$64*(4^2)+'LINEST VARS'!$L$64*(0.5^2)+'LINEST VARS'!$K$64*(12.73^2)+'LINEST VARS'!$J$64*($P$104*$B106)+'LINEST VARS'!$I$64*($P$104*4)+'LINEST VARS'!$H$64*($P$104*0.5)+'LINEST VARS'!$G$64*($P$104*12.73)+'LINEST VARS'!$F$64*($B106*4)+'LINEST VARS'!$E$64*($B106*0.5)+'LINEST VARS'!$D$64*($B106*12.73)+'LINEST VARS'!$C$64*(4*0.5)+'LINEST VARS'!$B$64*(4*12.73)+'LINEST VARS'!$A$64*(0.5*12.73)</f>
        <v>164.18999999999991</v>
      </c>
      <c r="Q106" s="55">
        <f>'LINEST VARS'!$U$64+'LINEST VARS'!$T$64*($Q$104)+'LINEST VARS'!$S$64*($B106)+'LINEST VARS'!$R$64*(4)+'LINEST VARS'!$Q$64*(0.5)+'LINEST VARS'!$P$64*(12.73)+'LINEST VARS'!$O$64*($Q$104^2)+'LINEST VARS'!$N$64*($B106^2)+'LINEST VARS'!$M$64*(4^2)+'LINEST VARS'!$L$64*(0.5^2)+'LINEST VARS'!$K$64*(12.73^2)+'LINEST VARS'!$J$64*($Q$104*$B106)+'LINEST VARS'!$I$64*($Q$104*4)+'LINEST VARS'!$H$64*($Q$104*0.5)+'LINEST VARS'!$G$64*($Q$104*12.73)+'LINEST VARS'!$F$64*($B106*4)+'LINEST VARS'!$E$64*($B106*0.5)+'LINEST VARS'!$D$64*($B106*12.73)+'LINEST VARS'!$C$64*(4*0.5)+'LINEST VARS'!$B$64*(4*12.73)+'LINEST VARS'!$A$64*(0.5*12.73)</f>
        <v>164.18999999999991</v>
      </c>
      <c r="R106" s="55">
        <f>'LINEST VARS'!$U$64+'LINEST VARS'!$T$64*($R$104)+'LINEST VARS'!$S$64*($B106)+'LINEST VARS'!$R$64*(4)+'LINEST VARS'!$Q$64*(0.5)+'LINEST VARS'!$P$64*(12.73)+'LINEST VARS'!$O$64*($R$104^2)+'LINEST VARS'!$N$64*($B106^2)+'LINEST VARS'!$M$64*(4^2)+'LINEST VARS'!$L$64*(0.5^2)+'LINEST VARS'!$K$64*(12.73^2)+'LINEST VARS'!$J$64*($R$104*$B106)+'LINEST VARS'!$I$64*($R$104*4)+'LINEST VARS'!$H$64*($R$104*0.5)+'LINEST VARS'!$G$64*($R$104*12.73)+'LINEST VARS'!$F$64*($B106*4)+'LINEST VARS'!$E$64*($B106*0.5)+'LINEST VARS'!$D$64*($B106*12.73)+'LINEST VARS'!$C$64*(4*0.5)+'LINEST VARS'!$B$64*(4*12.73)+'LINEST VARS'!$A$64*(0.5*12.73)</f>
        <v>164.18999999999991</v>
      </c>
      <c r="S106" s="55">
        <f>'LINEST VARS'!$U$64+'LINEST VARS'!$T$64*($S$104)+'LINEST VARS'!$S$64*($B106)+'LINEST VARS'!$R$64*(4)+'LINEST VARS'!$Q$64*(0.5)+'LINEST VARS'!$P$64*(12.73)+'LINEST VARS'!$O$64*($S$104^2)+'LINEST VARS'!$N$64*($B106^2)+'LINEST VARS'!$M$64*(4^2)+'LINEST VARS'!$L$64*(0.5^2)+'LINEST VARS'!$K$64*(12.73^2)+'LINEST VARS'!$J$64*($S$104*$B106)+'LINEST VARS'!$I$64*($S$104*4)+'LINEST VARS'!$H$64*($S$104*0.5)+'LINEST VARS'!$G$64*($S$104*12.73)+'LINEST VARS'!$F$64*($B106*4)+'LINEST VARS'!$E$64*($B106*0.5)+'LINEST VARS'!$D$64*($B106*12.73)+'LINEST VARS'!$C$64*(4*0.5)+'LINEST VARS'!$B$64*(4*12.73)+'LINEST VARS'!$A$64*(0.5*12.73)</f>
        <v>164.18999999999991</v>
      </c>
      <c r="T106" s="55">
        <f>'LINEST VARS'!$U$64+'LINEST VARS'!$T$64*($T$104)+'LINEST VARS'!$S$64*($B106)+'LINEST VARS'!$R$64*(4)+'LINEST VARS'!$Q$64*(0.5)+'LINEST VARS'!$P$64*(12.73)+'LINEST VARS'!$O$64*($T$104^2)+'LINEST VARS'!$N$64*($B106^2)+'LINEST VARS'!$M$64*(4^2)+'LINEST VARS'!$L$64*(0.5^2)+'LINEST VARS'!$K$64*(12.73^2)+'LINEST VARS'!$J$64*($T$104*$B106)+'LINEST VARS'!$I$64*($T$104*4)+'LINEST VARS'!$H$64*($T$104*0.5)+'LINEST VARS'!$G$64*($T$104*12.73)+'LINEST VARS'!$F$64*($B106*4)+'LINEST VARS'!$E$64*($B106*0.5)+'LINEST VARS'!$D$64*($B106*12.73)+'LINEST VARS'!$C$64*(4*0.5)+'LINEST VARS'!$B$64*(4*12.73)+'LINEST VARS'!$A$64*(0.5*12.73)</f>
        <v>164.18999999999988</v>
      </c>
      <c r="U106" s="55">
        <f>'LINEST VARS'!$U$64+'LINEST VARS'!$T$64*($U$104)+'LINEST VARS'!$S$64*($B106)+'LINEST VARS'!$R$64*(4)+'LINEST VARS'!$Q$64*(0.5)+'LINEST VARS'!$P$64*(12.73)+'LINEST VARS'!$O$64*($U$104^2)+'LINEST VARS'!$N$64*($B106^2)+'LINEST VARS'!$M$64*(4^2)+'LINEST VARS'!$L$64*(0.5^2)+'LINEST VARS'!$K$64*(12.73^2)+'LINEST VARS'!$J$64*($U$104*$B106)+'LINEST VARS'!$I$64*($U$104*4)+'LINEST VARS'!$H$64*($U$104*0.5)+'LINEST VARS'!$G$64*($U$104*12.73)+'LINEST VARS'!$F$64*($B106*4)+'LINEST VARS'!$E$64*($B106*0.5)+'LINEST VARS'!$D$64*($B106*12.73)+'LINEST VARS'!$C$64*(4*0.5)+'LINEST VARS'!$B$64*(4*12.73)+'LINEST VARS'!$A$64*(0.5*12.73)</f>
        <v>164.18999999999988</v>
      </c>
      <c r="V106" s="55">
        <f>'LINEST VARS'!$U$64+'LINEST VARS'!$T$64*($V$104)+'LINEST VARS'!$S$64*($B106)+'LINEST VARS'!$R$64*(4)+'LINEST VARS'!$Q$64*(0.5)+'LINEST VARS'!$P$64*(12.73)+'LINEST VARS'!$O$64*($V$104^2)+'LINEST VARS'!$N$64*($B106^2)+'LINEST VARS'!$M$64*(4^2)+'LINEST VARS'!$L$64*(0.5^2)+'LINEST VARS'!$K$64*(12.73^2)+'LINEST VARS'!$J$64*($V$104*$B106)+'LINEST VARS'!$I$64*($V$104*4)+'LINEST VARS'!$H$64*($V$104*0.5)+'LINEST VARS'!$G$64*($V$104*12.73)+'LINEST VARS'!$F$64*($B106*4)+'LINEST VARS'!$E$64*($B106*0.5)+'LINEST VARS'!$D$64*($B106*12.73)+'LINEST VARS'!$C$64*(4*0.5)+'LINEST VARS'!$B$64*(4*12.73)+'LINEST VARS'!$A$64*(0.5*12.73)</f>
        <v>164.18999999999988</v>
      </c>
      <c r="W106" s="56">
        <f>'LINEST VARS'!$U$64+'LINEST VARS'!$T$64*($W$104)+'LINEST VARS'!$S$64*($B106)+'LINEST VARS'!$R$64*(4)+'LINEST VARS'!$Q$64*(0.5)+'LINEST VARS'!$P$64*(12.73)+'LINEST VARS'!$O$64*($W$104^2)+'LINEST VARS'!$N$64*($B106^2)+'LINEST VARS'!$M$64*(4^2)+'LINEST VARS'!$L$64*(0.5^2)+'LINEST VARS'!$K$64*(12.73^2)+'LINEST VARS'!$J$64*($W$104*$B106)+'LINEST VARS'!$I$64*($W$104*4)+'LINEST VARS'!$H$64*($W$104*0.5)+'LINEST VARS'!$G$64*($W$104*12.73)+'LINEST VARS'!$F$64*($B106*4)+'LINEST VARS'!$E$64*($B106*0.5)+'LINEST VARS'!$D$64*($B106*12.73)+'LINEST VARS'!$C$64*(4*0.5)+'LINEST VARS'!$B$64*(4*12.73)+'LINEST VARS'!$A$64*(0.5*12.73)</f>
        <v>164.18999999999988</v>
      </c>
      <c r="Z106" s="45">
        <v>7.46</v>
      </c>
      <c r="AA106" s="46">
        <f>'LINEST VARS'!$U$66+'LINEST VARS'!$T$66*($AA$104)+'LINEST VARS'!$S$66*($Z106)+'LINEST VARS'!$R$66*(4)+'LINEST VARS'!$Q$66*(0.5)+'LINEST VARS'!$P$66*(12.73)+'LINEST VARS'!$O$66*($AA$104^2)+'LINEST VARS'!$N$66*($Z106^2)+'LINEST VARS'!$M$66*(4^2)+'LINEST VARS'!$L$66*(0.5^2)+'LINEST VARS'!$K$66*(12.73^2)+'LINEST VARS'!$J$66*($AA$104*$Z106)+'LINEST VARS'!$I$66*($AA$104*4)+'LINEST VARS'!$H$66*($AA$104*0.5)+'LINEST VARS'!$G$66*($AA$104*12.73)+'LINEST VARS'!$F$66*($Z106*4)+'LINEST VARS'!$E$66*($Z106*0.5)+'LINEST VARS'!$D$66*($Z106*12.73)+'LINEST VARS'!$C$66*(4*0.5)+'LINEST VARS'!$B$66*(4*12.73)+'LINEST VARS'!$A$66*(0.5*12.73)</f>
        <v>134.20000000000007</v>
      </c>
      <c r="AB106" s="46">
        <f>'LINEST VARS'!$U$66+'LINEST VARS'!$T$66*($AB$104)+'LINEST VARS'!$S$66*($Z106)+'LINEST VARS'!$R$66*(4)+'LINEST VARS'!$Q$66*(0.5)+'LINEST VARS'!$P$66*(12.73)+'LINEST VARS'!$O$66*($AB$104^2)+'LINEST VARS'!$N$66*($Z106^2)+'LINEST VARS'!$M$66*(4^2)+'LINEST VARS'!$L$66*(0.5^2)+'LINEST VARS'!$K$66*(12.73^2)+'LINEST VARS'!$J$66*($AB$104*$Z106)+'LINEST VARS'!$I$66*($AB$104*4)+'LINEST VARS'!$H$66*($AB$104*0.5)+'LINEST VARS'!$G$66*($AB$104*12.73)+'LINEST VARS'!$F$66*($Z106*4)+'LINEST VARS'!$E$66*($Z106*0.5)+'LINEST VARS'!$D$66*($Z106*12.73)+'LINEST VARS'!$C$66*(4*0.5)+'LINEST VARS'!$B$66*(4*12.73)+'LINEST VARS'!$A$66*(0.5*12.73)</f>
        <v>134.38000000000008</v>
      </c>
      <c r="AC106" s="46">
        <f>'LINEST VARS'!$U$66+'LINEST VARS'!$T$66*($AC$104)+'LINEST VARS'!$S$66*($Z106)+'LINEST VARS'!$R$66*(4)+'LINEST VARS'!$Q$66*(0.5)+'LINEST VARS'!$P$66*(12.73)+'LINEST VARS'!$O$66*($AC$104^2)+'LINEST VARS'!$N$66*($Z106^2)+'LINEST VARS'!$M$66*(4^2)+'LINEST VARS'!$L$66*(0.5^2)+'LINEST VARS'!$K$66*(12.73^2)+'LINEST VARS'!$J$66*($AC$104*$Z106)+'LINEST VARS'!$I$66*($AC$104*4)+'LINEST VARS'!$H$66*($AC$104*0.5)+'LINEST VARS'!$G$66*($AC$104*12.73)+'LINEST VARS'!$F$66*($Z106*4)+'LINEST VARS'!$E$66*($Z106*0.5)+'LINEST VARS'!$D$66*($Z106*12.73)+'LINEST VARS'!$C$66*(4*0.5)+'LINEST VARS'!$B$66*(4*12.73)+'LINEST VARS'!$A$66*(0.5*12.73)</f>
        <v>134.56000000000006</v>
      </c>
      <c r="AD106" s="46">
        <f>'LINEST VARS'!$U$66+'LINEST VARS'!$T$66*($AD$104)+'LINEST VARS'!$S$66*($Z106)+'LINEST VARS'!$R$66*(4)+'LINEST VARS'!$Q$66*(0.5)+'LINEST VARS'!$P$66*(12.73)+'LINEST VARS'!$O$66*($AD$104^2)+'LINEST VARS'!$N$66*($Z106^2)+'LINEST VARS'!$M$66*(4^2)+'LINEST VARS'!$L$66*(0.5^2)+'LINEST VARS'!$K$66*(12.73^2)+'LINEST VARS'!$J$66*($AD$104*$Z106)+'LINEST VARS'!$I$66*($AD$104*4)+'LINEST VARS'!$H$66*($AD$104*0.5)+'LINEST VARS'!$G$66*($AD$104*12.73)+'LINEST VARS'!$F$66*($Z106*4)+'LINEST VARS'!$E$66*($Z106*0.5)+'LINEST VARS'!$D$66*($Z106*12.73)+'LINEST VARS'!$C$66*(4*0.5)+'LINEST VARS'!$B$66*(4*12.73)+'LINEST VARS'!$A$66*(0.5*12.73)</f>
        <v>134.74000000000007</v>
      </c>
      <c r="AE106" s="46">
        <f>'LINEST VARS'!$U$66+'LINEST VARS'!$T$66*($AE$104)+'LINEST VARS'!$S$66*($Z106)+'LINEST VARS'!$R$66*(4)+'LINEST VARS'!$Q$66*(0.5)+'LINEST VARS'!$P$66*(12.73)+'LINEST VARS'!$O$66*($AE$104^2)+'LINEST VARS'!$N$66*($Z106^2)+'LINEST VARS'!$M$66*(4^2)+'LINEST VARS'!$L$66*(0.5^2)+'LINEST VARS'!$K$66*(12.73^2)+'LINEST VARS'!$J$66*($AE$104*$Z106)+'LINEST VARS'!$I$66*($AE$104*4)+'LINEST VARS'!$H$66*($AE$104*0.5)+'LINEST VARS'!$G$66*($AE$104*12.73)+'LINEST VARS'!$F$66*($Z106*4)+'LINEST VARS'!$E$66*($Z106*0.5)+'LINEST VARS'!$D$66*($Z106*12.73)+'LINEST VARS'!$C$66*(4*0.5)+'LINEST VARS'!$B$66*(4*12.73)+'LINEST VARS'!$A$66*(0.5*12.73)</f>
        <v>134.92000000000007</v>
      </c>
      <c r="AF106" s="46">
        <f>'LINEST VARS'!$U$66+'LINEST VARS'!$T$66*($AF$104)+'LINEST VARS'!$S$66*($Z106)+'LINEST VARS'!$R$66*(4)+'LINEST VARS'!$Q$66*(0.5)+'LINEST VARS'!$P$66*(12.73)+'LINEST VARS'!$O$66*($AF$104^2)+'LINEST VARS'!$N$66*($Z106^2)+'LINEST VARS'!$M$66*(4^2)+'LINEST VARS'!$L$66*(0.5^2)+'LINEST VARS'!$K$66*(12.73^2)+'LINEST VARS'!$J$66*($AF$104*$Z106)+'LINEST VARS'!$I$66*($AF$104*4)+'LINEST VARS'!$H$66*($AF$104*0.5)+'LINEST VARS'!$G$66*($AF$104*12.73)+'LINEST VARS'!$F$66*($Z106*4)+'LINEST VARS'!$E$66*($Z106*0.5)+'LINEST VARS'!$D$66*($Z106*12.73)+'LINEST VARS'!$C$66*(4*0.5)+'LINEST VARS'!$B$66*(4*12.73)+'LINEST VARS'!$A$66*(0.5*12.73)</f>
        <v>135.10000000000008</v>
      </c>
      <c r="AG106" s="46">
        <f>'LINEST VARS'!$U$66+'LINEST VARS'!$T$66*($AG$104)+'LINEST VARS'!$S$66*($Z106)+'LINEST VARS'!$R$66*(4)+'LINEST VARS'!$Q$66*(0.5)+'LINEST VARS'!$P$66*(12.73)+'LINEST VARS'!$O$66*($AG$104^2)+'LINEST VARS'!$N$66*($Z106^2)+'LINEST VARS'!$M$66*(4^2)+'LINEST VARS'!$L$66*(0.5^2)+'LINEST VARS'!$K$66*(12.73^2)+'LINEST VARS'!$J$66*($AG$104*$Z106)+'LINEST VARS'!$I$66*($AG$104*4)+'LINEST VARS'!$H$66*($AG$104*0.5)+'LINEST VARS'!$G$66*($AG$104*12.73)+'LINEST VARS'!$F$66*($Z106*4)+'LINEST VARS'!$E$66*($Z106*0.5)+'LINEST VARS'!$D$66*($Z106*12.73)+'LINEST VARS'!$C$66*(4*0.5)+'LINEST VARS'!$B$66*(4*12.73)+'LINEST VARS'!$A$66*(0.5*12.73)</f>
        <v>135.28000000000006</v>
      </c>
      <c r="AH106" s="46">
        <f>'LINEST VARS'!$U$66+'LINEST VARS'!$T$66*($AH$104)+'LINEST VARS'!$S$66*($Z106)+'LINEST VARS'!$R$66*(4)+'LINEST VARS'!$Q$66*(0.5)+'LINEST VARS'!$P$66*(12.73)+'LINEST VARS'!$O$66*($AH$104^2)+'LINEST VARS'!$N$66*($Z106^2)+'LINEST VARS'!$M$66*(4^2)+'LINEST VARS'!$L$66*(0.5^2)+'LINEST VARS'!$K$66*(12.73^2)+'LINEST VARS'!$J$66*($AH$104*$Z106)+'LINEST VARS'!$I$66*($AH$104*4)+'LINEST VARS'!$H$66*($AH$104*0.5)+'LINEST VARS'!$G$66*($AH$104*12.73)+'LINEST VARS'!$F$66*($Z106*4)+'LINEST VARS'!$E$66*($Z106*0.5)+'LINEST VARS'!$D$66*($Z106*12.73)+'LINEST VARS'!$C$66*(4*0.5)+'LINEST VARS'!$B$66*(4*12.73)+'LINEST VARS'!$A$66*(0.5*12.73)</f>
        <v>135.46000000000006</v>
      </c>
      <c r="AI106" s="46">
        <f>'LINEST VARS'!$U$66+'LINEST VARS'!$T$66*($AI$104)+'LINEST VARS'!$S$66*($Z106)+'LINEST VARS'!$R$66*(4)+'LINEST VARS'!$Q$66*(0.5)+'LINEST VARS'!$P$66*(12.73)+'LINEST VARS'!$O$66*($AI$104^2)+'LINEST VARS'!$N$66*($Z106^2)+'LINEST VARS'!$M$66*(4^2)+'LINEST VARS'!$L$66*(0.5^2)+'LINEST VARS'!$K$66*(12.73^2)+'LINEST VARS'!$J$66*($AI$104*$Z106)+'LINEST VARS'!$I$66*($AI$104*4)+'LINEST VARS'!$H$66*($AI$104*0.5)+'LINEST VARS'!$G$66*($AI$104*12.73)+'LINEST VARS'!$F$66*($Z106*4)+'LINEST VARS'!$E$66*($Z106*0.5)+'LINEST VARS'!$D$66*($Z106*12.73)+'LINEST VARS'!$C$66*(4*0.5)+'LINEST VARS'!$B$66*(4*12.73)+'LINEST VARS'!$A$66*(0.5*12.73)</f>
        <v>135.64000000000007</v>
      </c>
      <c r="AJ106" s="46">
        <f>'LINEST VARS'!$U$66+'LINEST VARS'!$T$66*($AJ$104)+'LINEST VARS'!$S$66*($Z106)+'LINEST VARS'!$R$66*(4)+'LINEST VARS'!$Q$66*(0.5)+'LINEST VARS'!$P$66*(12.73)+'LINEST VARS'!$O$66*($AJ$104^2)+'LINEST VARS'!$N$66*($Z106^2)+'LINEST VARS'!$M$66*(4^2)+'LINEST VARS'!$L$66*(0.5^2)+'LINEST VARS'!$K$66*(12.73^2)+'LINEST VARS'!$J$66*($AJ$104*$Z106)+'LINEST VARS'!$I$66*($AJ$104*4)+'LINEST VARS'!$H$66*($AJ$104*0.5)+'LINEST VARS'!$G$66*($AJ$104*12.73)+'LINEST VARS'!$F$66*($Z106*4)+'LINEST VARS'!$E$66*($Z106*0.5)+'LINEST VARS'!$D$66*($Z106*12.73)+'LINEST VARS'!$C$66*(4*0.5)+'LINEST VARS'!$B$66*(4*12.73)+'LINEST VARS'!$A$66*(0.5*12.73)</f>
        <v>135.82000000000008</v>
      </c>
      <c r="AK106" s="46">
        <f>'LINEST VARS'!$U$66+'LINEST VARS'!$T$66*($AK$104)+'LINEST VARS'!$S$66*($Z106)+'LINEST VARS'!$R$66*(4)+'LINEST VARS'!$Q$66*(0.5)+'LINEST VARS'!$P$66*(12.73)+'LINEST VARS'!$O$66*($AK$104^2)+'LINEST VARS'!$N$66*($Z106^2)+'LINEST VARS'!$M$66*(4^2)+'LINEST VARS'!$L$66*(0.5^2)+'LINEST VARS'!$K$66*(12.73^2)+'LINEST VARS'!$J$66*($AK$104*$Z106)+'LINEST VARS'!$I$66*($AK$104*4)+'LINEST VARS'!$H$66*($AK$104*0.5)+'LINEST VARS'!$G$66*($AK$104*12.73)+'LINEST VARS'!$F$66*($Z106*4)+'LINEST VARS'!$E$66*($Z106*0.5)+'LINEST VARS'!$D$66*($Z106*12.73)+'LINEST VARS'!$C$66*(4*0.5)+'LINEST VARS'!$B$66*(4*12.73)+'LINEST VARS'!$A$66*(0.5*12.73)</f>
        <v>136.00000000000006</v>
      </c>
      <c r="AL106" s="46">
        <f>'LINEST VARS'!$U$66+'LINEST VARS'!$T$66*($AL$104)+'LINEST VARS'!$S$66*($Z106)+'LINEST VARS'!$R$66*(4)+'LINEST VARS'!$Q$66*(0.5)+'LINEST VARS'!$P$66*(12.73)+'LINEST VARS'!$O$66*($AL$104^2)+'LINEST VARS'!$N$66*($Z106^2)+'LINEST VARS'!$M$66*(4^2)+'LINEST VARS'!$L$66*(0.5^2)+'LINEST VARS'!$K$66*(12.73^2)+'LINEST VARS'!$J$66*($AL$104*$Z106)+'LINEST VARS'!$I$66*($AL$104*4)+'LINEST VARS'!$H$66*($AL$104*0.5)+'LINEST VARS'!$G$66*($AL$104*12.73)+'LINEST VARS'!$F$66*($Z106*4)+'LINEST VARS'!$E$66*($Z106*0.5)+'LINEST VARS'!$D$66*($Z106*12.73)+'LINEST VARS'!$C$66*(4*0.5)+'LINEST VARS'!$B$66*(4*12.73)+'LINEST VARS'!$A$66*(0.5*12.73)</f>
        <v>136.18000000000006</v>
      </c>
      <c r="AM106" s="46">
        <f>'LINEST VARS'!$U$66+'LINEST VARS'!$T$66*($AM$104)+'LINEST VARS'!$S$66*($Z106)+'LINEST VARS'!$R$66*(4)+'LINEST VARS'!$Q$66*(0.5)+'LINEST VARS'!$P$66*(12.73)+'LINEST VARS'!$O$66*($AM$104^2)+'LINEST VARS'!$N$66*($Z106^2)+'LINEST VARS'!$M$66*(4^2)+'LINEST VARS'!$L$66*(0.5^2)+'LINEST VARS'!$K$66*(12.73^2)+'LINEST VARS'!$J$66*($AM$104*$Z106)+'LINEST VARS'!$I$66*($AM$104*4)+'LINEST VARS'!$H$66*($AM$104*0.5)+'LINEST VARS'!$G$66*($AM$104*12.73)+'LINEST VARS'!$F$66*($Z106*4)+'LINEST VARS'!$E$66*($Z106*0.5)+'LINEST VARS'!$D$66*($Z106*12.73)+'LINEST VARS'!$C$66*(4*0.5)+'LINEST VARS'!$B$66*(4*12.73)+'LINEST VARS'!$A$66*(0.5*12.73)</f>
        <v>136.36000000000007</v>
      </c>
      <c r="AN106" s="46">
        <f>'LINEST VARS'!$U$66+'LINEST VARS'!$T$66*($AN$104)+'LINEST VARS'!$S$66*($Z106)+'LINEST VARS'!$R$66*(4)+'LINEST VARS'!$Q$66*(0.5)+'LINEST VARS'!$P$66*(12.73)+'LINEST VARS'!$O$66*($AN$104^2)+'LINEST VARS'!$N$66*($Z106^2)+'LINEST VARS'!$M$66*(4^2)+'LINEST VARS'!$L$66*(0.5^2)+'LINEST VARS'!$K$66*(12.73^2)+'LINEST VARS'!$J$66*($AN$104*$Z106)+'LINEST VARS'!$I$66*($AN$104*4)+'LINEST VARS'!$H$66*($AN$104*0.5)+'LINEST VARS'!$G$66*($AN$104*12.73)+'LINEST VARS'!$F$66*($Z106*4)+'LINEST VARS'!$E$66*($Z106*0.5)+'LINEST VARS'!$D$66*($Z106*12.73)+'LINEST VARS'!$C$66*(4*0.5)+'LINEST VARS'!$B$66*(4*12.73)+'LINEST VARS'!$A$66*(0.5*12.73)</f>
        <v>136.54000000000011</v>
      </c>
      <c r="AO106" s="46">
        <f>'LINEST VARS'!$U$66+'LINEST VARS'!$T$66*($AO$104)+'LINEST VARS'!$S$66*($Z106)+'LINEST VARS'!$R$66*(4)+'LINEST VARS'!$Q$66*(0.5)+'LINEST VARS'!$P$66*(12.73)+'LINEST VARS'!$O$66*($AO$104^2)+'LINEST VARS'!$N$66*($Z106^2)+'LINEST VARS'!$M$66*(4^2)+'LINEST VARS'!$L$66*(0.5^2)+'LINEST VARS'!$K$66*(12.73^2)+'LINEST VARS'!$J$66*($AO$104*$Z106)+'LINEST VARS'!$I$66*($AO$104*4)+'LINEST VARS'!$H$66*($AO$104*0.5)+'LINEST VARS'!$G$66*($AO$104*12.73)+'LINEST VARS'!$F$66*($Z106*4)+'LINEST VARS'!$E$66*($Z106*0.5)+'LINEST VARS'!$D$66*($Z106*12.73)+'LINEST VARS'!$C$66*(4*0.5)+'LINEST VARS'!$B$66*(4*12.73)+'LINEST VARS'!$A$66*(0.5*12.73)</f>
        <v>136.72000000000008</v>
      </c>
      <c r="AP106" s="46">
        <f>'LINEST VARS'!$U$66+'LINEST VARS'!$T$66*($AP$104)+'LINEST VARS'!$S$66*($Z106)+'LINEST VARS'!$R$66*(4)+'LINEST VARS'!$Q$66*(0.5)+'LINEST VARS'!$P$66*(12.73)+'LINEST VARS'!$O$66*($AP$104^2)+'LINEST VARS'!$N$66*($Z106^2)+'LINEST VARS'!$M$66*(4^2)+'LINEST VARS'!$L$66*(0.5^2)+'LINEST VARS'!$K$66*(12.73^2)+'LINEST VARS'!$J$66*($AP$104*$Z106)+'LINEST VARS'!$I$66*($AP$104*4)+'LINEST VARS'!$H$66*($AP$104*0.5)+'LINEST VARS'!$G$66*($AP$104*12.73)+'LINEST VARS'!$F$66*($Z106*4)+'LINEST VARS'!$E$66*($Z106*0.5)+'LINEST VARS'!$D$66*($Z106*12.73)+'LINEST VARS'!$C$66*(4*0.5)+'LINEST VARS'!$B$66*(4*12.73)+'LINEST VARS'!$A$66*(0.5*12.73)</f>
        <v>136.90000000000009</v>
      </c>
      <c r="AQ106" s="46">
        <f>'LINEST VARS'!$U$66+'LINEST VARS'!$T$66*($AQ$104)+'LINEST VARS'!$S$66*($Z106)+'LINEST VARS'!$R$66*(4)+'LINEST VARS'!$Q$66*(0.5)+'LINEST VARS'!$P$66*(12.73)+'LINEST VARS'!$O$66*($AQ$104^2)+'LINEST VARS'!$N$66*($Z106^2)+'LINEST VARS'!$M$66*(4^2)+'LINEST VARS'!$L$66*(0.5^2)+'LINEST VARS'!$K$66*(12.73^2)+'LINEST VARS'!$J$66*($AQ$104*$Z106)+'LINEST VARS'!$I$66*($AQ$104*4)+'LINEST VARS'!$H$66*($AQ$104*0.5)+'LINEST VARS'!$G$66*($AQ$104*12.73)+'LINEST VARS'!$F$66*($Z106*4)+'LINEST VARS'!$E$66*($Z106*0.5)+'LINEST VARS'!$D$66*($Z106*12.73)+'LINEST VARS'!$C$66*(4*0.5)+'LINEST VARS'!$B$66*(4*12.73)+'LINEST VARS'!$A$66*(0.5*12.73)</f>
        <v>137.0800000000001</v>
      </c>
      <c r="AR106" s="46">
        <f>'LINEST VARS'!$U$66+'LINEST VARS'!$T$66*($AR$104)+'LINEST VARS'!$S$66*($Z106)+'LINEST VARS'!$R$66*(4)+'LINEST VARS'!$Q$66*(0.5)+'LINEST VARS'!$P$66*(12.73)+'LINEST VARS'!$O$66*($AR$104^2)+'LINEST VARS'!$N$66*($Z106^2)+'LINEST VARS'!$M$66*(4^2)+'LINEST VARS'!$L$66*(0.5^2)+'LINEST VARS'!$K$66*(12.73^2)+'LINEST VARS'!$J$66*($AR$104*$Z106)+'LINEST VARS'!$I$66*($AR$104*4)+'LINEST VARS'!$H$66*($AR$104*0.5)+'LINEST VARS'!$G$66*($AR$104*12.73)+'LINEST VARS'!$F$66*($Z106*4)+'LINEST VARS'!$E$66*($Z106*0.5)+'LINEST VARS'!$D$66*($Z106*12.73)+'LINEST VARS'!$C$66*(4*0.5)+'LINEST VARS'!$B$66*(4*12.73)+'LINEST VARS'!$A$66*(0.5*12.73)</f>
        <v>137.2600000000001</v>
      </c>
      <c r="AS106" s="46">
        <f>'LINEST VARS'!$U$66+'LINEST VARS'!$T$66*($AS$104)+'LINEST VARS'!$S$66*($Z106)+'LINEST VARS'!$R$66*(4)+'LINEST VARS'!$Q$66*(0.5)+'LINEST VARS'!$P$66*(12.73)+'LINEST VARS'!$O$66*($AS$104^2)+'LINEST VARS'!$N$66*($Z106^2)+'LINEST VARS'!$M$66*(4^2)+'LINEST VARS'!$L$66*(0.5^2)+'LINEST VARS'!$K$66*(12.73^2)+'LINEST VARS'!$J$66*($AS$104*$Z106)+'LINEST VARS'!$I$66*($AS$104*4)+'LINEST VARS'!$H$66*($AS$104*0.5)+'LINEST VARS'!$G$66*($AS$104*12.73)+'LINEST VARS'!$F$66*($Z106*4)+'LINEST VARS'!$E$66*($Z106*0.5)+'LINEST VARS'!$D$66*($Z106*12.73)+'LINEST VARS'!$C$66*(4*0.5)+'LINEST VARS'!$B$66*(4*12.73)+'LINEST VARS'!$A$66*(0.5*12.73)</f>
        <v>137.44000000000008</v>
      </c>
      <c r="AT106" s="46">
        <f>'LINEST VARS'!$U$66+'LINEST VARS'!$T$66*($AT$104)+'LINEST VARS'!$S$66*($Z106)+'LINEST VARS'!$R$66*(4)+'LINEST VARS'!$Q$66*(0.5)+'LINEST VARS'!$P$66*(12.73)+'LINEST VARS'!$O$66*($AT$104^2)+'LINEST VARS'!$N$66*($Z106^2)+'LINEST VARS'!$M$66*(4^2)+'LINEST VARS'!$L$66*(0.5^2)+'LINEST VARS'!$K$66*(12.73^2)+'LINEST VARS'!$J$66*($AT$104*$Z106)+'LINEST VARS'!$I$66*($AT$104*4)+'LINEST VARS'!$H$66*($AT$104*0.5)+'LINEST VARS'!$G$66*($AT$104*12.73)+'LINEST VARS'!$F$66*($Z106*4)+'LINEST VARS'!$E$66*($Z106*0.5)+'LINEST VARS'!$D$66*($Z106*12.73)+'LINEST VARS'!$C$66*(4*0.5)+'LINEST VARS'!$B$66*(4*12.73)+'LINEST VARS'!$A$66*(0.5*12.73)</f>
        <v>137.62000000000009</v>
      </c>
      <c r="AU106" s="47">
        <f>'LINEST VARS'!$U$66+'LINEST VARS'!$T$66*($AU$104)+'LINEST VARS'!$S$66*($Z106)+'LINEST VARS'!$R$66*(4)+'LINEST VARS'!$Q$66*(0.5)+'LINEST VARS'!$P$66*(12.73)+'LINEST VARS'!$O$66*($AU$104^2)+'LINEST VARS'!$N$66*($Z106^2)+'LINEST VARS'!$M$66*(4^2)+'LINEST VARS'!$L$66*(0.5^2)+'LINEST VARS'!$K$66*(12.73^2)+'LINEST VARS'!$J$66*($AU$104*$Z106)+'LINEST VARS'!$I$66*($AU$104*4)+'LINEST VARS'!$H$66*($AU$104*0.5)+'LINEST VARS'!$G$66*($AU$104*12.73)+'LINEST VARS'!$F$66*($Z106*4)+'LINEST VARS'!$E$66*($Z106*0.5)+'LINEST VARS'!$D$66*($Z106*12.73)+'LINEST VARS'!$C$66*(4*0.5)+'LINEST VARS'!$B$66*(4*12.73)+'LINEST VARS'!$A$66*(0.5*12.73)</f>
        <v>137.8000000000001</v>
      </c>
      <c r="AZ106" s="45">
        <v>0.05</v>
      </c>
      <c r="BA106" s="55">
        <f>'LINEST VARS'!$U$64+'LINEST VARS'!$T$64*(8)+'LINEST VARS'!$S$64*(8)+'LINEST VARS'!$R$64*($BA$104)+'LINEST VARS'!$Q$64*($AZ106)+'LINEST VARS'!$P$64*(12.73)+'LINEST VARS'!$O$64*(8^2)+'LINEST VARS'!$N$64*(8^2)+'LINEST VARS'!$M$64*($BA$104^2)+'LINEST VARS'!$L$64*($AZ106^2)+'LINEST VARS'!$K$64*(12.73^2)+'LINEST VARS'!$J$64*(8*8)+'LINEST VARS'!$I$64*(8*$BA$104)+'LINEST VARS'!$H$64*(8*$AZ106)+'LINEST VARS'!$G$64*(8*12.73)+'LINEST VARS'!$F$64*(8*$BA$104)+'LINEST VARS'!$E$64*(8*$AZ106)+'LINEST VARS'!$D$64*(8*12.73)+'LINEST VARS'!$C$64*($BA$104*$AZ106)+'LINEST VARS'!$B$64*($BA$104*12.73)+'LINEST VARS'!$A$64*($AZ106*12.73)</f>
        <v>148.18999999999988</v>
      </c>
      <c r="BB106" s="55">
        <f>'LINEST VARS'!$U$64+'LINEST VARS'!$T$64*(8)+'LINEST VARS'!$S$64*(8)+'LINEST VARS'!$R$64*($BB$104)+'LINEST VARS'!$Q$64*($AZ106)+'LINEST VARS'!$P$64*(12.73)+'LINEST VARS'!$O$64*(8^2)+'LINEST VARS'!$N$64*(8^2)+'LINEST VARS'!$M$64*($BB$104^2)+'LINEST VARS'!$L$64*($AZ106^2)+'LINEST VARS'!$K$64*(12.73^2)+'LINEST VARS'!$J$64*(8*8)+'LINEST VARS'!$I$64*(8*$BB$104)+'LINEST VARS'!$H$64*(8*$AZ106)+'LINEST VARS'!$G$64*(8*12.73)+'LINEST VARS'!$F$64*(8*$BB$104)+'LINEST VARS'!$E$64*(8*$AZ106)+'LINEST VARS'!$D$64*(8*12.73)+'LINEST VARS'!$C$64*($BB$104*$AZ106)+'LINEST VARS'!$B$64*($BB$104*12.73)+'LINEST VARS'!$A$64*($AZ106*12.73)</f>
        <v>149.78999999999991</v>
      </c>
      <c r="BC106" s="55">
        <f>'LINEST VARS'!$U$64+'LINEST VARS'!$T$64*(8)+'LINEST VARS'!$S$64*(8)+'LINEST VARS'!$R$64*($BC$104)+'LINEST VARS'!$Q$64*($AZ106)+'LINEST VARS'!$P$64*(12.73)+'LINEST VARS'!$O$64*(8^2)+'LINEST VARS'!$N$64*(8^2)+'LINEST VARS'!$M$64*($BC$104^2)+'LINEST VARS'!$L$64*($AZ106^2)+'LINEST VARS'!$K$64*(12.73^2)+'LINEST VARS'!$J$64*(8*8)+'LINEST VARS'!$I$64*(8*$BC$104)+'LINEST VARS'!$H$64*(8*$AZ106)+'LINEST VARS'!$G$64*(8*12.73)+'LINEST VARS'!$F$64*(8*$BC$104)+'LINEST VARS'!$E$64*(8*$AZ106)+'LINEST VARS'!$D$64*(8*12.73)+'LINEST VARS'!$C$64*($BC$104*$AZ106)+'LINEST VARS'!$B$64*($BC$104*12.73)+'LINEST VARS'!$A$64*($AZ106*12.73)</f>
        <v>151.3899999999999</v>
      </c>
      <c r="BD106" s="55">
        <f>'LINEST VARS'!$U$64+'LINEST VARS'!$T$64*(8)+'LINEST VARS'!$S$64*(8)+'LINEST VARS'!$R$64*($BD$104)+'LINEST VARS'!$Q$64*($AZ106)+'LINEST VARS'!$P$64*(12.73)+'LINEST VARS'!$O$64*(8^2)+'LINEST VARS'!$N$64*(8^2)+'LINEST VARS'!$M$64*($BD$104^2)+'LINEST VARS'!$L$64*($AZ106^2)+'LINEST VARS'!$K$64*(12.73^2)+'LINEST VARS'!$J$64*(8*8)+'LINEST VARS'!$I$64*(8*$BD$104)+'LINEST VARS'!$H$64*(8*$AZ106)+'LINEST VARS'!$G$64*(8*12.73)+'LINEST VARS'!$F$64*(8*$BD$104)+'LINEST VARS'!$E$64*(8*$AZ106)+'LINEST VARS'!$D$64*(8*12.73)+'LINEST VARS'!$C$64*($BD$104*$AZ106)+'LINEST VARS'!$B$64*($BD$104*12.73)+'LINEST VARS'!$A$64*($AZ106*12.73)</f>
        <v>152.9899999999999</v>
      </c>
      <c r="BE106" s="55">
        <f>'LINEST VARS'!$U$64+'LINEST VARS'!$T$64*(8)+'LINEST VARS'!$S$64*(8)+'LINEST VARS'!$R$64*($BE$104)+'LINEST VARS'!$Q$64*($AZ106)+'LINEST VARS'!$P$64*(12.73)+'LINEST VARS'!$O$64*(8^2)+'LINEST VARS'!$N$64*(8^2)+'LINEST VARS'!$M$64*($BE$104^2)+'LINEST VARS'!$L$64*($AZ106^2)+'LINEST VARS'!$K$64*(12.73^2)+'LINEST VARS'!$J$64*(8*8)+'LINEST VARS'!$I$64*(8*$BE$104)+'LINEST VARS'!$H$64*(8*$AZ106)+'LINEST VARS'!$G$64*(8*12.73)+'LINEST VARS'!$F$64*(8*$BE$104)+'LINEST VARS'!$E$64*(8*$AZ106)+'LINEST VARS'!$D$64*(8*12.73)+'LINEST VARS'!$C$64*($BE$104*$AZ106)+'LINEST VARS'!$B$64*($BE$104*12.73)+'LINEST VARS'!$A$64*($AZ106*12.73)</f>
        <v>154.58999999999992</v>
      </c>
      <c r="BF106" s="55">
        <f>'LINEST VARS'!$U$64+'LINEST VARS'!$T$64*(8)+'LINEST VARS'!$S$64*(8)+'LINEST VARS'!$R$64*($BF$104)+'LINEST VARS'!$Q$64*($AZ106)+'LINEST VARS'!$P$64*(12.73)+'LINEST VARS'!$O$64*(8^2)+'LINEST VARS'!$N$64*(8^2)+'LINEST VARS'!$M$64*($BF$104^2)+'LINEST VARS'!$L$64*($AZ106^2)+'LINEST VARS'!$K$64*(12.73^2)+'LINEST VARS'!$J$64*(8*8)+'LINEST VARS'!$I$64*(8*$BF$104)+'LINEST VARS'!$H$64*(8*$AZ106)+'LINEST VARS'!$G$64*(8*12.73)+'LINEST VARS'!$F$64*(8*$BF$104)+'LINEST VARS'!$E$64*(8*$AZ106)+'LINEST VARS'!$D$64*(8*12.73)+'LINEST VARS'!$C$64*($BF$104*$AZ106)+'LINEST VARS'!$B$64*($BF$104*12.73)+'LINEST VARS'!$A$64*($AZ106*12.73)</f>
        <v>156.18999999999988</v>
      </c>
      <c r="BG106" s="55">
        <f>'LINEST VARS'!$U$64+'LINEST VARS'!$T$64*(8)+'LINEST VARS'!$S$64*(8)+'LINEST VARS'!$R$64*($BG$104)+'LINEST VARS'!$Q$64*($AZ106)+'LINEST VARS'!$P$64*(12.73)+'LINEST VARS'!$O$64*(8^2)+'LINEST VARS'!$N$64*(8^2)+'LINEST VARS'!$M$64*($BG$104^2)+'LINEST VARS'!$L$64*($AZ106^2)+'LINEST VARS'!$K$64*(12.73^2)+'LINEST VARS'!$J$64*(8*8)+'LINEST VARS'!$I$64*(8*$BG$104)+'LINEST VARS'!$H$64*(8*$AZ106)+'LINEST VARS'!$G$64*(8*12.73)+'LINEST VARS'!$F$64*(8*$BG$104)+'LINEST VARS'!$E$64*(8*$AZ106)+'LINEST VARS'!$D$64*(8*12.73)+'LINEST VARS'!$C$64*($BG$104*$AZ106)+'LINEST VARS'!$B$64*($BG$104*12.73)+'LINEST VARS'!$A$64*($AZ106*12.73)</f>
        <v>157.78999999999991</v>
      </c>
      <c r="BH106" s="55">
        <f>'LINEST VARS'!$U$64+'LINEST VARS'!$T$64*(8)+'LINEST VARS'!$S$64*(8)+'LINEST VARS'!$R$64*($BH$104)+'LINEST VARS'!$Q$64*($AZ106)+'LINEST VARS'!$P$64*(12.73)+'LINEST VARS'!$O$64*(8^2)+'LINEST VARS'!$N$64*(8^2)+'LINEST VARS'!$M$64*($BH$104^2)+'LINEST VARS'!$L$64*($AZ106^2)+'LINEST VARS'!$K$64*(12.73^2)+'LINEST VARS'!$J$64*(8*8)+'LINEST VARS'!$I$64*(8*$BH$104)+'LINEST VARS'!$H$64*(8*$AZ106)+'LINEST VARS'!$G$64*(8*12.73)+'LINEST VARS'!$F$64*(8*$BH$104)+'LINEST VARS'!$E$64*(8*$AZ106)+'LINEST VARS'!$D$64*(8*12.73)+'LINEST VARS'!$C$64*($BH$104*$AZ106)+'LINEST VARS'!$B$64*($BH$104*12.73)+'LINEST VARS'!$A$64*($AZ106*12.73)</f>
        <v>159.3899999999999</v>
      </c>
      <c r="BI106" s="55">
        <f>'LINEST VARS'!$U$64+'LINEST VARS'!$T$64*(8)+'LINEST VARS'!$S$64*(8)+'LINEST VARS'!$R$64*($BI$104)+'LINEST VARS'!$Q$64*($AZ106)+'LINEST VARS'!$P$64*(12.73)+'LINEST VARS'!$O$64*(8^2)+'LINEST VARS'!$N$64*(8^2)+'LINEST VARS'!$M$64*($BI$104^2)+'LINEST VARS'!$L$64*($AZ106^2)+'LINEST VARS'!$K$64*(12.73^2)+'LINEST VARS'!$J$64*(8*8)+'LINEST VARS'!$I$64*(8*$BI$104)+'LINEST VARS'!$H$64*(8*$AZ106)+'LINEST VARS'!$G$64*(8*12.73)+'LINEST VARS'!$F$64*(8*$BI$104)+'LINEST VARS'!$E$64*(8*$AZ106)+'LINEST VARS'!$D$64*(8*12.73)+'LINEST VARS'!$C$64*($BI$104*$AZ106)+'LINEST VARS'!$B$64*($BI$104*12.73)+'LINEST VARS'!$A$64*($AZ106*12.73)</f>
        <v>160.9899999999999</v>
      </c>
      <c r="BJ106" s="55">
        <f>'LINEST VARS'!$U$64+'LINEST VARS'!$T$64*(8)+'LINEST VARS'!$S$64*(8)+'LINEST VARS'!$R$64*($BJ$104)+'LINEST VARS'!$Q$64*($AZ106)+'LINEST VARS'!$P$64*(12.73)+'LINEST VARS'!$O$64*(8^2)+'LINEST VARS'!$N$64*(8^2)+'LINEST VARS'!$M$64*($BJ$104^2)+'LINEST VARS'!$L$64*($AZ106^2)+'LINEST VARS'!$K$64*(12.73^2)+'LINEST VARS'!$J$64*(8*8)+'LINEST VARS'!$I$64*(8*$BJ$104)+'LINEST VARS'!$H$64*(8*$AZ106)+'LINEST VARS'!$G$64*(8*12.73)+'LINEST VARS'!$F$64*(8*$BJ$104)+'LINEST VARS'!$E$64*(8*$AZ106)+'LINEST VARS'!$D$64*(8*12.73)+'LINEST VARS'!$C$64*($BJ$104*$AZ106)+'LINEST VARS'!$B$64*($BJ$104*12.73)+'LINEST VARS'!$A$64*($AZ106*12.73)</f>
        <v>162.58999999999992</v>
      </c>
      <c r="BK106" s="55">
        <f>'LINEST VARS'!$U$64+'LINEST VARS'!$T$64*(8)+'LINEST VARS'!$S$64*(8)+'LINEST VARS'!$R$64*($BK$104)+'LINEST VARS'!$Q$64*($AZ106)+'LINEST VARS'!$P$64*(12.73)+'LINEST VARS'!$O$64*(8^2)+'LINEST VARS'!$N$64*(8^2)+'LINEST VARS'!$M$64*($BK$104^2)+'LINEST VARS'!$L$64*($AZ106^2)+'LINEST VARS'!$K$64*(12.73^2)+'LINEST VARS'!$J$64*(8*8)+'LINEST VARS'!$I$64*(8*$BK$104)+'LINEST VARS'!$H$64*(8*$AZ106)+'LINEST VARS'!$G$64*(8*12.73)+'LINEST VARS'!$F$64*(8*$BK$104)+'LINEST VARS'!$E$64*(8*$AZ106)+'LINEST VARS'!$D$64*(8*12.73)+'LINEST VARS'!$C$64*($BK$104*$AZ106)+'LINEST VARS'!$B$64*($BK$104*12.73)+'LINEST VARS'!$A$64*($AZ106*12.73)</f>
        <v>164.18999999999988</v>
      </c>
      <c r="BL106" s="55">
        <f>'LINEST VARS'!$U$64+'LINEST VARS'!$T$64*(8)+'LINEST VARS'!$S$64*(8)+'LINEST VARS'!$R$64*($BL$104)+'LINEST VARS'!$Q$64*($AZ106)+'LINEST VARS'!$P$64*(12.73)+'LINEST VARS'!$O$64*(8^2)+'LINEST VARS'!$N$64*(8^2)+'LINEST VARS'!$M$64*($BL$104^2)+'LINEST VARS'!$L$64*($AZ106^2)+'LINEST VARS'!$K$64*(12.73^2)+'LINEST VARS'!$J$64*(8*8)+'LINEST VARS'!$I$64*(8*$BL$104)+'LINEST VARS'!$H$64*(8*$AZ106)+'LINEST VARS'!$G$64*(8*12.73)+'LINEST VARS'!$F$64*(8*$BL$104)+'LINEST VARS'!$E$64*(8*$AZ106)+'LINEST VARS'!$D$64*(8*12.73)+'LINEST VARS'!$C$64*($BL$104*$AZ106)+'LINEST VARS'!$B$64*($BL$104*12.73)+'LINEST VARS'!$A$64*($AZ106*12.73)</f>
        <v>165.78999999999991</v>
      </c>
      <c r="BM106" s="55">
        <f>'LINEST VARS'!$U$64+'LINEST VARS'!$T$64*(8)+'LINEST VARS'!$S$64*(8)+'LINEST VARS'!$R$64*($BM$104)+'LINEST VARS'!$Q$64*($AZ106)+'LINEST VARS'!$P$64*(12.73)+'LINEST VARS'!$O$64*(8^2)+'LINEST VARS'!$N$64*(8^2)+'LINEST VARS'!$M$64*($BM$104^2)+'LINEST VARS'!$L$64*($AZ106^2)+'LINEST VARS'!$K$64*(12.73^2)+'LINEST VARS'!$J$64*(8*8)+'LINEST VARS'!$I$64*(8*$BM$104)+'LINEST VARS'!$H$64*(8*$AZ106)+'LINEST VARS'!$G$64*(8*12.73)+'LINEST VARS'!$F$64*(8*$BM$104)+'LINEST VARS'!$E$64*(8*$AZ106)+'LINEST VARS'!$D$64*(8*12.73)+'LINEST VARS'!$C$64*($BM$104*$AZ106)+'LINEST VARS'!$B$64*($BM$104*12.73)+'LINEST VARS'!$A$64*($AZ106*12.73)</f>
        <v>167.38999999999987</v>
      </c>
      <c r="BN106" s="55">
        <f>'LINEST VARS'!$U$64+'LINEST VARS'!$T$64*(8)+'LINEST VARS'!$S$64*(8)+'LINEST VARS'!$R$64*($BN$104)+'LINEST VARS'!$Q$64*($AZ106)+'LINEST VARS'!$P$64*(12.73)+'LINEST VARS'!$O$64*(8^2)+'LINEST VARS'!$N$64*(8^2)+'LINEST VARS'!$M$64*($BN$104^2)+'LINEST VARS'!$L$64*($AZ106^2)+'LINEST VARS'!$K$64*(12.73^2)+'LINEST VARS'!$J$64*(8*8)+'LINEST VARS'!$I$64*(8*$BN$104)+'LINEST VARS'!$H$64*(8*$AZ106)+'LINEST VARS'!$G$64*(8*12.73)+'LINEST VARS'!$F$64*(8*$BN$104)+'LINEST VARS'!$E$64*(8*$AZ106)+'LINEST VARS'!$D$64*(8*12.73)+'LINEST VARS'!$C$64*($BN$104*$AZ106)+'LINEST VARS'!$B$64*($BN$104*12.73)+'LINEST VARS'!$A$64*($AZ106*12.73)</f>
        <v>168.9899999999999</v>
      </c>
      <c r="BO106" s="55">
        <f>'LINEST VARS'!$U$64+'LINEST VARS'!$T$64*(8)+'LINEST VARS'!$S$64*(8)+'LINEST VARS'!$R$64*($BO$104)+'LINEST VARS'!$Q$64*($AZ106)+'LINEST VARS'!$P$64*(12.73)+'LINEST VARS'!$O$64*(8^2)+'LINEST VARS'!$N$64*(8^2)+'LINEST VARS'!$M$64*($BO$104^2)+'LINEST VARS'!$L$64*($AZ106^2)+'LINEST VARS'!$K$64*(12.73^2)+'LINEST VARS'!$J$64*(8*8)+'LINEST VARS'!$I$64*(8*$BO$104)+'LINEST VARS'!$H$64*(8*$AZ106)+'LINEST VARS'!$G$64*(8*12.73)+'LINEST VARS'!$F$64*(8*$BO$104)+'LINEST VARS'!$E$64*(8*$AZ106)+'LINEST VARS'!$D$64*(8*12.73)+'LINEST VARS'!$C$64*($BO$104*$AZ106)+'LINEST VARS'!$B$64*($BO$104*12.73)+'LINEST VARS'!$A$64*($AZ106*12.73)</f>
        <v>170.58999999999989</v>
      </c>
      <c r="BP106" s="55">
        <f>'LINEST VARS'!$U$64+'LINEST VARS'!$T$64*(8)+'LINEST VARS'!$S$64*(8)+'LINEST VARS'!$R$64*($BP$104)+'LINEST VARS'!$Q$64*($AZ106)+'LINEST VARS'!$P$64*(12.73)+'LINEST VARS'!$O$64*(8^2)+'LINEST VARS'!$N$64*(8^2)+'LINEST VARS'!$M$64*($BP$104^2)+'LINEST VARS'!$L$64*($AZ106^2)+'LINEST VARS'!$K$64*(12.73^2)+'LINEST VARS'!$J$64*(8*8)+'LINEST VARS'!$I$64*(8*$BP$104)+'LINEST VARS'!$H$64*(8*$AZ106)+'LINEST VARS'!$G$64*(8*12.73)+'LINEST VARS'!$F$64*(8*$BP$104)+'LINEST VARS'!$E$64*(8*$AZ106)+'LINEST VARS'!$D$64*(8*12.73)+'LINEST VARS'!$C$64*($BP$104*$AZ106)+'LINEST VARS'!$B$64*($BP$104*12.73)+'LINEST VARS'!$A$64*($AZ106*12.73)</f>
        <v>172.18999999999986</v>
      </c>
      <c r="BQ106" s="55">
        <f>'LINEST VARS'!$U$64+'LINEST VARS'!$T$64*(8)+'LINEST VARS'!$S$64*(8)+'LINEST VARS'!$R$64*($BQ$104)+'LINEST VARS'!$Q$64*($AZ106)+'LINEST VARS'!$P$64*(12.73)+'LINEST VARS'!$O$64*(8^2)+'LINEST VARS'!$N$64*(8^2)+'LINEST VARS'!$M$64*($BQ$104^2)+'LINEST VARS'!$L$64*($AZ106^2)+'LINEST VARS'!$K$64*(12.73^2)+'LINEST VARS'!$J$64*(8*8)+'LINEST VARS'!$I$64*(8*$BQ$104)+'LINEST VARS'!$H$64*(8*$AZ106)+'LINEST VARS'!$G$64*(8*12.73)+'LINEST VARS'!$F$64*(8*$BQ$104)+'LINEST VARS'!$E$64*(8*$AZ106)+'LINEST VARS'!$D$64*(8*12.73)+'LINEST VARS'!$C$64*($BQ$104*$AZ106)+'LINEST VARS'!$B$64*($BQ$104*12.73)+'LINEST VARS'!$A$64*($AZ106*12.73)</f>
        <v>173.78999999999988</v>
      </c>
      <c r="BR106" s="55">
        <f>'LINEST VARS'!$U$64+'LINEST VARS'!$T$64*(8)+'LINEST VARS'!$S$64*(8)+'LINEST VARS'!$R$64*($BR$104)+'LINEST VARS'!$Q$64*($AZ106)+'LINEST VARS'!$P$64*(12.73)+'LINEST VARS'!$O$64*(8^2)+'LINEST VARS'!$N$64*(8^2)+'LINEST VARS'!$M$64*($BR$104^2)+'LINEST VARS'!$L$64*($AZ106^2)+'LINEST VARS'!$K$64*(12.73^2)+'LINEST VARS'!$J$64*(8*8)+'LINEST VARS'!$I$64*(8*$BR$104)+'LINEST VARS'!$H$64*(8*$AZ106)+'LINEST VARS'!$G$64*(8*12.73)+'LINEST VARS'!$F$64*(8*$BR$104)+'LINEST VARS'!$E$64*(8*$AZ106)+'LINEST VARS'!$D$64*(8*12.73)+'LINEST VARS'!$C$64*($BR$104*$AZ106)+'LINEST VARS'!$B$64*($BR$104*12.73)+'LINEST VARS'!$A$64*($AZ106*12.73)</f>
        <v>175.3899999999999</v>
      </c>
      <c r="BS106" s="55">
        <f>'LINEST VARS'!$U$64+'LINEST VARS'!$T$64*(8)+'LINEST VARS'!$S$64*(8)+'LINEST VARS'!$R$64*($BS$104)+'LINEST VARS'!$Q$64*($AZ106)+'LINEST VARS'!$P$64*(12.73)+'LINEST VARS'!$O$64*(8^2)+'LINEST VARS'!$N$64*(8^2)+'LINEST VARS'!$M$64*($BS$104^2)+'LINEST VARS'!$L$64*($AZ106^2)+'LINEST VARS'!$K$64*(12.73^2)+'LINEST VARS'!$J$64*(8*8)+'LINEST VARS'!$I$64*(8*$BS$104)+'LINEST VARS'!$H$64*(8*$AZ106)+'LINEST VARS'!$G$64*(8*12.73)+'LINEST VARS'!$F$64*(8*$BS$104)+'LINEST VARS'!$E$64*(8*$AZ106)+'LINEST VARS'!$D$64*(8*12.73)+'LINEST VARS'!$C$64*($BS$104*$AZ106)+'LINEST VARS'!$B$64*($BS$104*12.73)+'LINEST VARS'!$A$64*($AZ106*12.73)</f>
        <v>176.98999999999987</v>
      </c>
      <c r="BT106" s="55">
        <f>'LINEST VARS'!$U$64+'LINEST VARS'!$T$64*(8)+'LINEST VARS'!$S$64*(8)+'LINEST VARS'!$R$64*($BT$104)+'LINEST VARS'!$Q$64*($AZ106)+'LINEST VARS'!$P$64*(12.73)+'LINEST VARS'!$O$64*(8^2)+'LINEST VARS'!$N$64*(8^2)+'LINEST VARS'!$M$64*($BT$104^2)+'LINEST VARS'!$L$64*($AZ106^2)+'LINEST VARS'!$K$64*(12.73^2)+'LINEST VARS'!$J$64*(8*8)+'LINEST VARS'!$I$64*(8*$BT$104)+'LINEST VARS'!$H$64*(8*$AZ106)+'LINEST VARS'!$G$64*(8*12.73)+'LINEST VARS'!$F$64*(8*$BT$104)+'LINEST VARS'!$E$64*(8*$AZ106)+'LINEST VARS'!$D$64*(8*12.73)+'LINEST VARS'!$C$64*($BT$104*$AZ106)+'LINEST VARS'!$B$64*($BT$104*12.73)+'LINEST VARS'!$A$64*($AZ106*12.73)</f>
        <v>178.58999999999989</v>
      </c>
      <c r="BU106" s="56">
        <f>'LINEST VARS'!$U$64+'LINEST VARS'!$T$64*(8)+'LINEST VARS'!$S$64*(8)+'LINEST VARS'!$R$64*($BU$104)+'LINEST VARS'!$Q$64*($AZ106)+'LINEST VARS'!$P$64*(12.73)+'LINEST VARS'!$O$64*(8^2)+'LINEST VARS'!$N$64*(8^2)+'LINEST VARS'!$M$64*($BU$104^2)+'LINEST VARS'!$L$64*($AZ106^2)+'LINEST VARS'!$K$64*(12.73^2)+'LINEST VARS'!$J$64*(8*8)+'LINEST VARS'!$I$64*(8*$BU$104)+'LINEST VARS'!$H$64*(8*$AZ106)+'LINEST VARS'!$G$64*(8*12.73)+'LINEST VARS'!$F$64*(8*$BU$104)+'LINEST VARS'!$E$64*(8*$AZ106)+'LINEST VARS'!$D$64*(8*12.73)+'LINEST VARS'!$C$64*($BU$104*$AZ106)+'LINEST VARS'!$B$64*($BU$104*12.73)+'LINEST VARS'!$A$64*($AZ106*12.73)</f>
        <v>180.18999999999986</v>
      </c>
      <c r="BX106" s="45">
        <v>0.05</v>
      </c>
      <c r="BY106" s="46">
        <f>'LINEST VARS'!$U$66+'LINEST VARS'!$T$66*(8)+'LINEST VARS'!$S$66*(8)+'LINEST VARS'!$R$66*($BY$104)+'LINEST VARS'!$Q$66*($BX106)+'LINEST VARS'!$P$66*(12.73)+'LINEST VARS'!$O$66*(8^2)+'LINEST VARS'!$N$66*(8^2)+'LINEST VARS'!$M$66*($BY$104^2)+'LINEST VARS'!$L$66*($BX106^2)+'LINEST VARS'!$K$66*(12.73^2)+'LINEST VARS'!$J$66*(8*8)+'LINEST VARS'!$I$66*(8*$BY$104)+'LINEST VARS'!$H$66*(8*$BX106)+'LINEST VARS'!$G$66*(8*12.73)+'LINEST VARS'!$F$66*(8*$BY$104)+'LINEST VARS'!$E$66*(8*$BX106)+'LINEST VARS'!$D$66*(8*12.73)+'LINEST VARS'!$C$66*($BY$104*$BX106)+'LINEST VARS'!$B$66*($BY$104*12.73)+'LINEST VARS'!$A$66*($BX106*12.73)</f>
        <v>144.00000000000006</v>
      </c>
      <c r="BZ106" s="46">
        <f>'LINEST VARS'!$U$66+'LINEST VARS'!$T$66*(8)+'LINEST VARS'!$S$66*(8)+'LINEST VARS'!$R$66*($BZ$104)+'LINEST VARS'!$Q$66*($BX106)+'LINEST VARS'!$P$66*(12.73)+'LINEST VARS'!$O$66*(8^2)+'LINEST VARS'!$N$66*(8^2)+'LINEST VARS'!$M$66*($BZ$104^2)+'LINEST VARS'!$L$66*($BX106^2)+'LINEST VARS'!$K$66*(12.73^2)+'LINEST VARS'!$J$66*(8*8)+'LINEST VARS'!$I$66*(8*$BZ$104)+'LINEST VARS'!$H$66*(8*$BX106)+'LINEST VARS'!$G$66*(8*12.73)+'LINEST VARS'!$F$66*(8*$BZ$104)+'LINEST VARS'!$E$66*(8*$BX106)+'LINEST VARS'!$D$66*(8*12.73)+'LINEST VARS'!$C$66*($BZ$104*$BX106)+'LINEST VARS'!$B$66*($BZ$104*12.73)+'LINEST VARS'!$A$66*($BX106*12.73)</f>
        <v>143.20000000000007</v>
      </c>
      <c r="CA106" s="46">
        <f>'LINEST VARS'!$U$66+'LINEST VARS'!$T$66*(8)+'LINEST VARS'!$S$66*(8)+'LINEST VARS'!$R$66*($CA$104)+'LINEST VARS'!$Q$66*($BX106)+'LINEST VARS'!$P$66*(12.73)+'LINEST VARS'!$O$66*(8^2)+'LINEST VARS'!$N$66*(8^2)+'LINEST VARS'!$M$66*($CA$104^2)+'LINEST VARS'!$L$66*($BX106^2)+'LINEST VARS'!$K$66*(12.73^2)+'LINEST VARS'!$J$66*(8*8)+'LINEST VARS'!$I$66*(8*$CA$104)+'LINEST VARS'!$H$66*(8*$BX106)+'LINEST VARS'!$G$66*(8*12.73)+'LINEST VARS'!$F$66*(8*$CA$104)+'LINEST VARS'!$E$66*(8*$BX106)+'LINEST VARS'!$D$66*(8*12.73)+'LINEST VARS'!$C$66*($CA$104*$BX106)+'LINEST VARS'!$B$66*($CA$104*12.73)+'LINEST VARS'!$A$66*($BX106*12.73)</f>
        <v>142.40000000000006</v>
      </c>
      <c r="CB106" s="46">
        <f>'LINEST VARS'!$U$66+'LINEST VARS'!$T$66*(8)+'LINEST VARS'!$S$66*(8)+'LINEST VARS'!$R$66*($CB$104)+'LINEST VARS'!$Q$66*($BX106)+'LINEST VARS'!$P$66*(12.73)+'LINEST VARS'!$O$66*(8^2)+'LINEST VARS'!$N$66*(8^2)+'LINEST VARS'!$M$66*($CB$104^2)+'LINEST VARS'!$L$66*($BX106^2)+'LINEST VARS'!$K$66*(12.73^2)+'LINEST VARS'!$J$66*(8*8)+'LINEST VARS'!$I$66*(8*$CB$104)+'LINEST VARS'!$H$66*(8*$BX106)+'LINEST VARS'!$G$66*(8*12.73)+'LINEST VARS'!$F$66*(8*$CB$104)+'LINEST VARS'!$E$66*(8*$BX106)+'LINEST VARS'!$D$66*(8*12.73)+'LINEST VARS'!$C$66*($CB$104*$BX106)+'LINEST VARS'!$B$66*($CB$104*12.73)+'LINEST VARS'!$A$66*($BX106*12.73)</f>
        <v>141.60000000000008</v>
      </c>
      <c r="CC106" s="46">
        <f>'LINEST VARS'!$U$66+'LINEST VARS'!$T$66*(8)+'LINEST VARS'!$S$66*(8)+'LINEST VARS'!$R$66*($CC$104)+'LINEST VARS'!$Q$66*($BX106)+'LINEST VARS'!$P$66*(12.73)+'LINEST VARS'!$O$66*(8^2)+'LINEST VARS'!$N$66*(8^2)+'LINEST VARS'!$M$66*($CC$104^2)+'LINEST VARS'!$L$66*($BX106^2)+'LINEST VARS'!$K$66*(12.73^2)+'LINEST VARS'!$J$66*(8*8)+'LINEST VARS'!$I$66*(8*$CC$104)+'LINEST VARS'!$H$66*(8*$BX106)+'LINEST VARS'!$G$66*(8*12.73)+'LINEST VARS'!$F$66*(8*$CC$104)+'LINEST VARS'!$E$66*(8*$BX106)+'LINEST VARS'!$D$66*(8*12.73)+'LINEST VARS'!$C$66*($CC$104*$BX106)+'LINEST VARS'!$B$66*($CC$104*12.73)+'LINEST VARS'!$A$66*($BX106*12.73)</f>
        <v>140.80000000000007</v>
      </c>
      <c r="CD106" s="46">
        <f>'LINEST VARS'!$U$66+'LINEST VARS'!$T$66*(8)+'LINEST VARS'!$S$66*(8)+'LINEST VARS'!$R$66*($CD$104)+'LINEST VARS'!$Q$66*($BX106)+'LINEST VARS'!$P$66*(12.73)+'LINEST VARS'!$O$66*(8^2)+'LINEST VARS'!$N$66*(8^2)+'LINEST VARS'!$M$66*($CD$104^2)+'LINEST VARS'!$L$66*($BX106^2)+'LINEST VARS'!$K$66*(12.73^2)+'LINEST VARS'!$J$66*(8*8)+'LINEST VARS'!$I$66*(8*$CD$104)+'LINEST VARS'!$H$66*(8*$BX106)+'LINEST VARS'!$G$66*(8*12.73)+'LINEST VARS'!$F$66*(8*$CD$104)+'LINEST VARS'!$E$66*(8*$BX106)+'LINEST VARS'!$D$66*(8*12.73)+'LINEST VARS'!$C$66*($CD$104*$BX106)+'LINEST VARS'!$B$66*($CD$104*12.73)+'LINEST VARS'!$A$66*($BX106*12.73)</f>
        <v>140.00000000000009</v>
      </c>
      <c r="CE106" s="46">
        <f>'LINEST VARS'!$U$66+'LINEST VARS'!$T$66*(8)+'LINEST VARS'!$S$66*(8)+'LINEST VARS'!$R$66*($CE$104)+'LINEST VARS'!$Q$66*($BX106)+'LINEST VARS'!$P$66*(12.73)+'LINEST VARS'!$O$66*(8^2)+'LINEST VARS'!$N$66*(8^2)+'LINEST VARS'!$M$66*($CE$104^2)+'LINEST VARS'!$L$66*($BX106^2)+'LINEST VARS'!$K$66*(12.73^2)+'LINEST VARS'!$J$66*(8*8)+'LINEST VARS'!$I$66*(8*$CE$104)+'LINEST VARS'!$H$66*(8*$BX106)+'LINEST VARS'!$G$66*(8*12.73)+'LINEST VARS'!$F$66*(8*$CE$104)+'LINEST VARS'!$E$66*(8*$BX106)+'LINEST VARS'!$D$66*(8*12.73)+'LINEST VARS'!$C$66*($CE$104*$BX106)+'LINEST VARS'!$B$66*($CE$104*12.73)+'LINEST VARS'!$A$66*($BX106*12.73)</f>
        <v>139.20000000000007</v>
      </c>
      <c r="CF106" s="46">
        <f>'LINEST VARS'!$U$66+'LINEST VARS'!$T$66*(8)+'LINEST VARS'!$S$66*(8)+'LINEST VARS'!$R$66*($CF$104)+'LINEST VARS'!$Q$66*($BX106)+'LINEST VARS'!$P$66*(12.73)+'LINEST VARS'!$O$66*(8^2)+'LINEST VARS'!$N$66*(8^2)+'LINEST VARS'!$M$66*($CF$104^2)+'LINEST VARS'!$L$66*($BX106^2)+'LINEST VARS'!$K$66*(12.73^2)+'LINEST VARS'!$J$66*(8*8)+'LINEST VARS'!$I$66*(8*$CF$104)+'LINEST VARS'!$H$66*(8*$BX106)+'LINEST VARS'!$G$66*(8*12.73)+'LINEST VARS'!$F$66*(8*$CF$104)+'LINEST VARS'!$E$66*(8*$BX106)+'LINEST VARS'!$D$66*(8*12.73)+'LINEST VARS'!$C$66*($CF$104*$BX106)+'LINEST VARS'!$B$66*($CF$104*12.73)+'LINEST VARS'!$A$66*($BX106*12.73)</f>
        <v>138.40000000000009</v>
      </c>
      <c r="CG106" s="46">
        <f>'LINEST VARS'!$U$66+'LINEST VARS'!$T$66*(8)+'LINEST VARS'!$S$66*(8)+'LINEST VARS'!$R$66*($CG$104)+'LINEST VARS'!$Q$66*($BX106)+'LINEST VARS'!$P$66*(12.73)+'LINEST VARS'!$O$66*(8^2)+'LINEST VARS'!$N$66*(8^2)+'LINEST VARS'!$M$66*($CG$104^2)+'LINEST VARS'!$L$66*($BX106^2)+'LINEST VARS'!$K$66*(12.73^2)+'LINEST VARS'!$J$66*(8*8)+'LINEST VARS'!$I$66*(8*$CG$104)+'LINEST VARS'!$H$66*(8*$BX106)+'LINEST VARS'!$G$66*(8*12.73)+'LINEST VARS'!$F$66*(8*$CG$104)+'LINEST VARS'!$E$66*(8*$BX106)+'LINEST VARS'!$D$66*(8*12.73)+'LINEST VARS'!$C$66*($CG$104*$BX106)+'LINEST VARS'!$B$66*($CG$104*12.73)+'LINEST VARS'!$A$66*($BX106*12.73)</f>
        <v>137.60000000000008</v>
      </c>
      <c r="CH106" s="46">
        <f>'LINEST VARS'!$U$66+'LINEST VARS'!$T$66*(8)+'LINEST VARS'!$S$66*(8)+'LINEST VARS'!$R$66*($CH$104)+'LINEST VARS'!$Q$66*($BX106)+'LINEST VARS'!$P$66*(12.73)+'LINEST VARS'!$O$66*(8^2)+'LINEST VARS'!$N$66*(8^2)+'LINEST VARS'!$M$66*($CH$104^2)+'LINEST VARS'!$L$66*($BX106^2)+'LINEST VARS'!$K$66*(12.73^2)+'LINEST VARS'!$J$66*(8*8)+'LINEST VARS'!$I$66*(8*$CH$104)+'LINEST VARS'!$H$66*(8*$BX106)+'LINEST VARS'!$G$66*(8*12.73)+'LINEST VARS'!$F$66*(8*$CH$104)+'LINEST VARS'!$E$66*(8*$BX106)+'LINEST VARS'!$D$66*(8*12.73)+'LINEST VARS'!$C$66*($CH$104*$BX106)+'LINEST VARS'!$B$66*($CH$104*12.73)+'LINEST VARS'!$A$66*($BX106*12.73)</f>
        <v>136.80000000000007</v>
      </c>
      <c r="CI106" s="46">
        <f>'LINEST VARS'!$U$66+'LINEST VARS'!$T$66*(8)+'LINEST VARS'!$S$66*(8)+'LINEST VARS'!$R$66*($CI$104)+'LINEST VARS'!$Q$66*($BX106)+'LINEST VARS'!$P$66*(12.73)+'LINEST VARS'!$O$66*(8^2)+'LINEST VARS'!$N$66*(8^2)+'LINEST VARS'!$M$66*($CI$104^2)+'LINEST VARS'!$L$66*($BX106^2)+'LINEST VARS'!$K$66*(12.73^2)+'LINEST VARS'!$J$66*(8*8)+'LINEST VARS'!$I$66*(8*$CI$104)+'LINEST VARS'!$H$66*(8*$BX106)+'LINEST VARS'!$G$66*(8*12.73)+'LINEST VARS'!$F$66*(8*$CI$104)+'LINEST VARS'!$E$66*(8*$BX106)+'LINEST VARS'!$D$66*(8*12.73)+'LINEST VARS'!$C$66*($CI$104*$BX106)+'LINEST VARS'!$B$66*($CI$104*12.73)+'LINEST VARS'!$A$66*($BX106*12.73)</f>
        <v>136.00000000000006</v>
      </c>
      <c r="CJ106" s="46">
        <f>'LINEST VARS'!$U$66+'LINEST VARS'!$T$66*(8)+'LINEST VARS'!$S$66*(8)+'LINEST VARS'!$R$66*($CJ$104)+'LINEST VARS'!$Q$66*($BX106)+'LINEST VARS'!$P$66*(12.73)+'LINEST VARS'!$O$66*(8^2)+'LINEST VARS'!$N$66*(8^2)+'LINEST VARS'!$M$66*($CJ$104^2)+'LINEST VARS'!$L$66*($BX106^2)+'LINEST VARS'!$K$66*(12.73^2)+'LINEST VARS'!$J$66*(8*8)+'LINEST VARS'!$I$66*(8*$CJ$104)+'LINEST VARS'!$H$66*(8*$BX106)+'LINEST VARS'!$G$66*(8*12.73)+'LINEST VARS'!$F$66*(8*$CJ$104)+'LINEST VARS'!$E$66*(8*$BX106)+'LINEST VARS'!$D$66*(8*12.73)+'LINEST VARS'!$C$66*($CJ$104*$BX106)+'LINEST VARS'!$B$66*($CJ$104*12.73)+'LINEST VARS'!$A$66*($BX106*12.73)</f>
        <v>135.20000000000005</v>
      </c>
      <c r="CK106" s="46">
        <f>'LINEST VARS'!$U$66+'LINEST VARS'!$T$66*(8)+'LINEST VARS'!$S$66*(8)+'LINEST VARS'!$R$66*($CK$104)+'LINEST VARS'!$Q$66*($BX106)+'LINEST VARS'!$P$66*(12.73)+'LINEST VARS'!$O$66*(8^2)+'LINEST VARS'!$N$66*(8^2)+'LINEST VARS'!$M$66*($CK$104^2)+'LINEST VARS'!$L$66*($BX106^2)+'LINEST VARS'!$K$66*(12.73^2)+'LINEST VARS'!$J$66*(8*8)+'LINEST VARS'!$I$66*(8*$CK$104)+'LINEST VARS'!$H$66*(8*$BX106)+'LINEST VARS'!$G$66*(8*12.73)+'LINEST VARS'!$F$66*(8*$CK$104)+'LINEST VARS'!$E$66*(8*$BX106)+'LINEST VARS'!$D$66*(8*12.73)+'LINEST VARS'!$C$66*($CK$104*$BX106)+'LINEST VARS'!$B$66*($CK$104*12.73)+'LINEST VARS'!$A$66*($BX106*12.73)</f>
        <v>134.40000000000003</v>
      </c>
      <c r="CL106" s="46">
        <f>'LINEST VARS'!$U$66+'LINEST VARS'!$T$66*(8)+'LINEST VARS'!$S$66*(8)+'LINEST VARS'!$R$66*($CL$104)+'LINEST VARS'!$Q$66*($BX106)+'LINEST VARS'!$P$66*(12.73)+'LINEST VARS'!$O$66*(8^2)+'LINEST VARS'!$N$66*(8^2)+'LINEST VARS'!$M$66*($CL$104^2)+'LINEST VARS'!$L$66*($BX106^2)+'LINEST VARS'!$K$66*(12.73^2)+'LINEST VARS'!$J$66*(8*8)+'LINEST VARS'!$I$66*(8*$CL$104)+'LINEST VARS'!$H$66*(8*$BX106)+'LINEST VARS'!$G$66*(8*12.73)+'LINEST VARS'!$F$66*(8*$CL$104)+'LINEST VARS'!$E$66*(8*$BX106)+'LINEST VARS'!$D$66*(8*12.73)+'LINEST VARS'!$C$66*($CL$104*$BX106)+'LINEST VARS'!$B$66*($CL$104*12.73)+'LINEST VARS'!$A$66*($BX106*12.73)</f>
        <v>133.60000000000005</v>
      </c>
      <c r="CM106" s="46">
        <f>'LINEST VARS'!$U$66+'LINEST VARS'!$T$66*(8)+'LINEST VARS'!$S$66*(8)+'LINEST VARS'!$R$66*($CM$104)+'LINEST VARS'!$Q$66*($BX106)+'LINEST VARS'!$P$66*(12.73)+'LINEST VARS'!$O$66*(8^2)+'LINEST VARS'!$N$66*(8^2)+'LINEST VARS'!$M$66*($CM$104^2)+'LINEST VARS'!$L$66*($BX106^2)+'LINEST VARS'!$K$66*(12.73^2)+'LINEST VARS'!$J$66*(8*8)+'LINEST VARS'!$I$66*(8*$CM$104)+'LINEST VARS'!$H$66*(8*$BX106)+'LINEST VARS'!$G$66*(8*12.73)+'LINEST VARS'!$F$66*(8*$CM$104)+'LINEST VARS'!$E$66*(8*$BX106)+'LINEST VARS'!$D$66*(8*12.73)+'LINEST VARS'!$C$66*($CM$104*$BX106)+'LINEST VARS'!$B$66*($CM$104*12.73)+'LINEST VARS'!$A$66*($BX106*12.73)</f>
        <v>132.80000000000004</v>
      </c>
      <c r="CN106" s="46">
        <f>'LINEST VARS'!$U$66+'LINEST VARS'!$T$66*(8)+'LINEST VARS'!$S$66*(8)+'LINEST VARS'!$R$66*($CN$104)+'LINEST VARS'!$Q$66*($BX106)+'LINEST VARS'!$P$66*(12.73)+'LINEST VARS'!$O$66*(8^2)+'LINEST VARS'!$N$66*(8^2)+'LINEST VARS'!$M$66*($CN$104^2)+'LINEST VARS'!$L$66*($BX106^2)+'LINEST VARS'!$K$66*(12.73^2)+'LINEST VARS'!$J$66*(8*8)+'LINEST VARS'!$I$66*(8*$CN$104)+'LINEST VARS'!$H$66*(8*$BX106)+'LINEST VARS'!$G$66*(8*12.73)+'LINEST VARS'!$F$66*(8*$CN$104)+'LINEST VARS'!$E$66*(8*$BX106)+'LINEST VARS'!$D$66*(8*12.73)+'LINEST VARS'!$C$66*($CN$104*$BX106)+'LINEST VARS'!$B$66*($CN$104*12.73)+'LINEST VARS'!$A$66*($BX106*12.73)</f>
        <v>132.00000000000006</v>
      </c>
      <c r="CO106" s="46">
        <f>'LINEST VARS'!$U$66+'LINEST VARS'!$T$66*(8)+'LINEST VARS'!$S$66*(8)+'LINEST VARS'!$R$66*($CO$104)+'LINEST VARS'!$Q$66*($BX106)+'LINEST VARS'!$P$66*(12.73)+'LINEST VARS'!$O$66*(8^2)+'LINEST VARS'!$N$66*(8^2)+'LINEST VARS'!$M$66*($CO$104^2)+'LINEST VARS'!$L$66*($BX106^2)+'LINEST VARS'!$K$66*(12.73^2)+'LINEST VARS'!$J$66*(8*8)+'LINEST VARS'!$I$66*(8*$CO$104)+'LINEST VARS'!$H$66*(8*$BX106)+'LINEST VARS'!$G$66*(8*12.73)+'LINEST VARS'!$F$66*(8*$CO$104)+'LINEST VARS'!$E$66*(8*$BX106)+'LINEST VARS'!$D$66*(8*12.73)+'LINEST VARS'!$C$66*($CO$104*$BX106)+'LINEST VARS'!$B$66*($CO$104*12.73)+'LINEST VARS'!$A$66*($BX106*12.73)</f>
        <v>131.20000000000005</v>
      </c>
      <c r="CP106" s="46">
        <f>'LINEST VARS'!$U$66+'LINEST VARS'!$T$66*(8)+'LINEST VARS'!$S$66*(8)+'LINEST VARS'!$R$66*($CP$104)+'LINEST VARS'!$Q$66*($BX106)+'LINEST VARS'!$P$66*(12.73)+'LINEST VARS'!$O$66*(8^2)+'LINEST VARS'!$N$66*(8^2)+'LINEST VARS'!$M$66*($CP$104^2)+'LINEST VARS'!$L$66*($BX106^2)+'LINEST VARS'!$K$66*(12.73^2)+'LINEST VARS'!$J$66*(8*8)+'LINEST VARS'!$I$66*(8*$CP$104)+'LINEST VARS'!$H$66*(8*$BX106)+'LINEST VARS'!$G$66*(8*12.73)+'LINEST VARS'!$F$66*(8*$CP$104)+'LINEST VARS'!$E$66*(8*$BX106)+'LINEST VARS'!$D$66*(8*12.73)+'LINEST VARS'!$C$66*($CP$104*$BX106)+'LINEST VARS'!$B$66*($CP$104*12.73)+'LINEST VARS'!$A$66*($BX106*12.73)</f>
        <v>130.40000000000009</v>
      </c>
      <c r="CQ106" s="46">
        <f>'LINEST VARS'!$U$66+'LINEST VARS'!$T$66*(8)+'LINEST VARS'!$S$66*(8)+'LINEST VARS'!$R$66*($CQ$104)+'LINEST VARS'!$Q$66*($BX106)+'LINEST VARS'!$P$66*(12.73)+'LINEST VARS'!$O$66*(8^2)+'LINEST VARS'!$N$66*(8^2)+'LINEST VARS'!$M$66*($CQ$104^2)+'LINEST VARS'!$L$66*($BX106^2)+'LINEST VARS'!$K$66*(12.73^2)+'LINEST VARS'!$J$66*(8*8)+'LINEST VARS'!$I$66*(8*$CQ$104)+'LINEST VARS'!$H$66*(8*$BX106)+'LINEST VARS'!$G$66*(8*12.73)+'LINEST VARS'!$F$66*(8*$CQ$104)+'LINEST VARS'!$E$66*(8*$BX106)+'LINEST VARS'!$D$66*(8*12.73)+'LINEST VARS'!$C$66*($CQ$104*$BX106)+'LINEST VARS'!$B$66*($CQ$104*12.73)+'LINEST VARS'!$A$66*($BX106*12.73)</f>
        <v>129.60000000000008</v>
      </c>
      <c r="CR106" s="46">
        <f>'LINEST VARS'!$U$66+'LINEST VARS'!$T$66*(8)+'LINEST VARS'!$S$66*(8)+'LINEST VARS'!$R$66*($CR$104)+'LINEST VARS'!$Q$66*($BX106)+'LINEST VARS'!$P$66*(12.73)+'LINEST VARS'!$O$66*(8^2)+'LINEST VARS'!$N$66*(8^2)+'LINEST VARS'!$M$66*($CR$104^2)+'LINEST VARS'!$L$66*($BX106^2)+'LINEST VARS'!$K$66*(12.73^2)+'LINEST VARS'!$J$66*(8*8)+'LINEST VARS'!$I$66*(8*$CR$104)+'LINEST VARS'!$H$66*(8*$BX106)+'LINEST VARS'!$G$66*(8*12.73)+'LINEST VARS'!$F$66*(8*$CR$104)+'LINEST VARS'!$E$66*(8*$BX106)+'LINEST VARS'!$D$66*(8*12.73)+'LINEST VARS'!$C$66*($CR$104*$BX106)+'LINEST VARS'!$B$66*($CR$104*12.73)+'LINEST VARS'!$A$66*($BX106*12.73)</f>
        <v>128.8000000000001</v>
      </c>
      <c r="CS106" s="47">
        <f>'LINEST VARS'!$U$66+'LINEST VARS'!$T$66*(8)+'LINEST VARS'!$S$66*(8)+'LINEST VARS'!$R$66*($CS$104)+'LINEST VARS'!$Q$66*($BX106)+'LINEST VARS'!$P$66*(12.73)+'LINEST VARS'!$O$66*(8^2)+'LINEST VARS'!$N$66*(8^2)+'LINEST VARS'!$M$66*($CS$104^2)+'LINEST VARS'!$L$66*($BX106^2)+'LINEST VARS'!$K$66*(12.73^2)+'LINEST VARS'!$J$66*(8*8)+'LINEST VARS'!$I$66*(8*$CS$104)+'LINEST VARS'!$H$66*(8*$BX106)+'LINEST VARS'!$G$66*(8*12.73)+'LINEST VARS'!$F$66*(8*$CS$104)+'LINEST VARS'!$E$66*(8*$BX106)+'LINEST VARS'!$D$66*(8*12.73)+'LINEST VARS'!$C$66*($CS$104*$BX106)+'LINEST VARS'!$B$66*($CS$104*12.73)+'LINEST VARS'!$A$66*($BX106*12.73)</f>
        <v>128.00000000000006</v>
      </c>
      <c r="CX106" s="45">
        <v>1.2995000000000001</v>
      </c>
      <c r="CY106" s="55">
        <f>'LINEST VARS'!$U$64+'LINEST VARS'!$T$64*(8)+'LINEST VARS'!$S$64*(8)+'LINEST VARS'!$R$64*($CY$104)+'LINEST VARS'!$Q$64*(0.5)+'LINEST VARS'!$P$64*($CX106)+'LINEST VARS'!$O$64*(8^2)+'LINEST VARS'!$N$64*(8^2)+'LINEST VARS'!$M$64*($CY$104^2)+'LINEST VARS'!$L$64*(0.5^2)+'LINEST VARS'!$K$64*($CX106^2)+'LINEST VARS'!$J$64*(8*8)+'LINEST VARS'!$I$64*(8*$CY$104)+'LINEST VARS'!$H$64*(8*0.5)+'LINEST VARS'!$G$64*(8*$CX106)+'LINEST VARS'!$F$64*(8*$CY$104)+'LINEST VARS'!$E$64*(8*0.5)+'LINEST VARS'!$D$64*(8*$CX106)+'LINEST VARS'!$C$64*($CY$104*0.5)+'LINEST VARS'!$B$64*($CY$104*$CX106)+'LINEST VARS'!$A$64*(0.5*$CX106)</f>
        <v>113.89849999999993</v>
      </c>
      <c r="CZ106" s="55">
        <f>'LINEST VARS'!$U$64+'LINEST VARS'!$T$64*(8)+'LINEST VARS'!$S$64*(8)+'LINEST VARS'!$R$64*($CZ$104)+'LINEST VARS'!$Q$64*(0.5)+'LINEST VARS'!$P$64*($CX106)+'LINEST VARS'!$O$64*(8^2)+'LINEST VARS'!$N$64*(8^2)+'LINEST VARS'!$M$64*($CZ$104^2)+'LINEST VARS'!$L$64*(0.5^2)+'LINEST VARS'!$K$64*($CX106^2)+'LINEST VARS'!$J$64*(8*8)+'LINEST VARS'!$I$64*(8*$CZ$104)+'LINEST VARS'!$H$64*(8*0.5)+'LINEST VARS'!$G$64*(8*$CX106)+'LINEST VARS'!$F$64*(8*$CZ$104)+'LINEST VARS'!$E$64*(8*0.5)+'LINEST VARS'!$D$64*(8*$CX106)+'LINEST VARS'!$C$64*($CZ$104*0.5)+'LINEST VARS'!$B$64*($CZ$104*$CX106)+'LINEST VARS'!$A$64*(0.5*$CX106)</f>
        <v>115.49849999999992</v>
      </c>
      <c r="DA106" s="55">
        <f>'LINEST VARS'!$U$64+'LINEST VARS'!$T$64*(8)+'LINEST VARS'!$S$64*(8)+'LINEST VARS'!$R$64*($DA$104)+'LINEST VARS'!$Q$64*(0.5)+'LINEST VARS'!$P$64*($CX106)+'LINEST VARS'!$O$64*(8^2)+'LINEST VARS'!$N$64*(8^2)+'LINEST VARS'!$M$64*($DA$104^2)+'LINEST VARS'!$L$64*(0.5^2)+'LINEST VARS'!$K$64*($CX106^2)+'LINEST VARS'!$J$64*(8*8)+'LINEST VARS'!$I$64*(8*$DA$104)+'LINEST VARS'!$H$64*(8*0.5)+'LINEST VARS'!$G$64*(8*$CX106)+'LINEST VARS'!$F$64*(8*$DA$104)+'LINEST VARS'!$E$64*(8*0.5)+'LINEST VARS'!$D$64*(8*$CX106)+'LINEST VARS'!$C$64*($DA$104*0.5)+'LINEST VARS'!$B$64*($DA$104*$CX106)+'LINEST VARS'!$A$64*(0.5*$CX106)</f>
        <v>117.09849999999993</v>
      </c>
      <c r="DB106" s="55">
        <f>'LINEST VARS'!$U$64+'LINEST VARS'!$T$64*(8)+'LINEST VARS'!$S$64*(8)+'LINEST VARS'!$R$64*($DB$104)+'LINEST VARS'!$Q$64*(0.5)+'LINEST VARS'!$P$64*($CX106)+'LINEST VARS'!$O$64*(8^2)+'LINEST VARS'!$N$64*(8^2)+'LINEST VARS'!$M$64*($DB$104^2)+'LINEST VARS'!$L$64*(0.5^2)+'LINEST VARS'!$K$64*($CX106^2)+'LINEST VARS'!$J$64*(8*8)+'LINEST VARS'!$I$64*(8*$DB$104)+'LINEST VARS'!$H$64*(8*0.5)+'LINEST VARS'!$G$64*(8*$CX106)+'LINEST VARS'!$F$64*(8*$DB$104)+'LINEST VARS'!$E$64*(8*0.5)+'LINEST VARS'!$D$64*(8*$CX106)+'LINEST VARS'!$C$64*($DB$104*0.5)+'LINEST VARS'!$B$64*($DB$104*$CX106)+'LINEST VARS'!$A$64*(0.5*$CX106)</f>
        <v>118.69849999999992</v>
      </c>
      <c r="DC106" s="55">
        <f>'LINEST VARS'!$U$64+'LINEST VARS'!$T$64*(8)+'LINEST VARS'!$S$64*(8)+'LINEST VARS'!$R$64*($DC$104)+'LINEST VARS'!$Q$64*(0.5)+'LINEST VARS'!$P$64*($CX106)+'LINEST VARS'!$O$64*(8^2)+'LINEST VARS'!$N$64*(8^2)+'LINEST VARS'!$M$64*($DC$104^2)+'LINEST VARS'!$L$64*(0.5^2)+'LINEST VARS'!$K$64*($CX106^2)+'LINEST VARS'!$J$64*(8*8)+'LINEST VARS'!$I$64*(8*$DC$104)+'LINEST VARS'!$H$64*(8*0.5)+'LINEST VARS'!$G$64*(8*$CX106)+'LINEST VARS'!$F$64*(8*$DC$104)+'LINEST VARS'!$E$64*(8*0.5)+'LINEST VARS'!$D$64*(8*$CX106)+'LINEST VARS'!$C$64*($DC$104*0.5)+'LINEST VARS'!$B$64*($DC$104*$CX106)+'LINEST VARS'!$A$64*(0.5*$CX106)</f>
        <v>120.29849999999993</v>
      </c>
      <c r="DD106" s="55">
        <f>'LINEST VARS'!$U$64+'LINEST VARS'!$T$64*(8)+'LINEST VARS'!$S$64*(8)+'LINEST VARS'!$R$64*($DD$104)+'LINEST VARS'!$Q$64*(0.5)+'LINEST VARS'!$P$64*($CX106)+'LINEST VARS'!$O$64*(8^2)+'LINEST VARS'!$N$64*(8^2)+'LINEST VARS'!$M$64*($DD$104^2)+'LINEST VARS'!$L$64*(0.5^2)+'LINEST VARS'!$K$64*($CX106^2)+'LINEST VARS'!$J$64*(8*8)+'LINEST VARS'!$I$64*(8*$DD$104)+'LINEST VARS'!$H$64*(8*0.5)+'LINEST VARS'!$G$64*(8*$CX106)+'LINEST VARS'!$F$64*(8*$DD$104)+'LINEST VARS'!$E$64*(8*0.5)+'LINEST VARS'!$D$64*(8*$CX106)+'LINEST VARS'!$C$64*($DD$104*0.5)+'LINEST VARS'!$B$64*($DD$104*$CX106)+'LINEST VARS'!$A$64*(0.5*$CX106)</f>
        <v>121.89849999999993</v>
      </c>
      <c r="DE106" s="55">
        <f>'LINEST VARS'!$U$64+'LINEST VARS'!$T$64*(8)+'LINEST VARS'!$S$64*(8)+'LINEST VARS'!$R$64*($DE$104)+'LINEST VARS'!$Q$64*(0.5)+'LINEST VARS'!$P$64*($CX106)+'LINEST VARS'!$O$64*(8^2)+'LINEST VARS'!$N$64*(8^2)+'LINEST VARS'!$M$64*($DE$104^2)+'LINEST VARS'!$L$64*(0.5^2)+'LINEST VARS'!$K$64*($CX106^2)+'LINEST VARS'!$J$64*(8*8)+'LINEST VARS'!$I$64*(8*$DE$104)+'LINEST VARS'!$H$64*(8*0.5)+'LINEST VARS'!$G$64*(8*$CX106)+'LINEST VARS'!$F$64*(8*$DE$104)+'LINEST VARS'!$E$64*(8*0.5)+'LINEST VARS'!$D$64*(8*$CX106)+'LINEST VARS'!$C$64*($DE$104*0.5)+'LINEST VARS'!$B$64*($DE$104*$CX106)+'LINEST VARS'!$A$64*(0.5*$CX106)</f>
        <v>123.49849999999992</v>
      </c>
      <c r="DF106" s="55">
        <f>'LINEST VARS'!$U$64+'LINEST VARS'!$T$64*(8)+'LINEST VARS'!$S$64*(8)+'LINEST VARS'!$R$64*($DF$104)+'LINEST VARS'!$Q$64*(0.5)+'LINEST VARS'!$P$64*($CX106)+'LINEST VARS'!$O$64*(8^2)+'LINEST VARS'!$N$64*(8^2)+'LINEST VARS'!$M$64*($DF$104^2)+'LINEST VARS'!$L$64*(0.5^2)+'LINEST VARS'!$K$64*($CX106^2)+'LINEST VARS'!$J$64*(8*8)+'LINEST VARS'!$I$64*(8*$DF$104)+'LINEST VARS'!$H$64*(8*0.5)+'LINEST VARS'!$G$64*(8*$CX106)+'LINEST VARS'!$F$64*(8*$DF$104)+'LINEST VARS'!$E$64*(8*0.5)+'LINEST VARS'!$D$64*(8*$CX106)+'LINEST VARS'!$C$64*($DF$104*0.5)+'LINEST VARS'!$B$64*($DF$104*$CX106)+'LINEST VARS'!$A$64*(0.5*$CX106)</f>
        <v>125.09849999999993</v>
      </c>
      <c r="DG106" s="55">
        <f>'LINEST VARS'!$U$64+'LINEST VARS'!$T$64*(8)+'LINEST VARS'!$S$64*(8)+'LINEST VARS'!$R$64*($DG$104)+'LINEST VARS'!$Q$64*(0.5)+'LINEST VARS'!$P$64*($CX106)+'LINEST VARS'!$O$64*(8^2)+'LINEST VARS'!$N$64*(8^2)+'LINEST VARS'!$M$64*($DG$104^2)+'LINEST VARS'!$L$64*(0.5^2)+'LINEST VARS'!$K$64*($CX106^2)+'LINEST VARS'!$J$64*(8*8)+'LINEST VARS'!$I$64*(8*$DG$104)+'LINEST VARS'!$H$64*(8*0.5)+'LINEST VARS'!$G$64*(8*$CX106)+'LINEST VARS'!$F$64*(8*$DG$104)+'LINEST VARS'!$E$64*(8*0.5)+'LINEST VARS'!$D$64*(8*$CX106)+'LINEST VARS'!$C$64*($DG$104*0.5)+'LINEST VARS'!$B$64*($DG$104*$CX106)+'LINEST VARS'!$A$64*(0.5*$CX106)</f>
        <v>126.69849999999994</v>
      </c>
      <c r="DH106" s="55">
        <f>'LINEST VARS'!$U$64+'LINEST VARS'!$T$64*(8)+'LINEST VARS'!$S$64*(8)+'LINEST VARS'!$R$64*($DH$104)+'LINEST VARS'!$Q$64*(0.5)+'LINEST VARS'!$P$64*($CX106)+'LINEST VARS'!$O$64*(8^2)+'LINEST VARS'!$N$64*(8^2)+'LINEST VARS'!$M$64*($DH$104^2)+'LINEST VARS'!$L$64*(0.5^2)+'LINEST VARS'!$K$64*($CX106^2)+'LINEST VARS'!$J$64*(8*8)+'LINEST VARS'!$I$64*(8*$DH$104)+'LINEST VARS'!$H$64*(8*0.5)+'LINEST VARS'!$G$64*(8*$CX106)+'LINEST VARS'!$F$64*(8*$DH$104)+'LINEST VARS'!$E$64*(8*0.5)+'LINEST VARS'!$D$64*(8*$CX106)+'LINEST VARS'!$C$64*($DH$104*0.5)+'LINEST VARS'!$B$64*($DH$104*$CX106)+'LINEST VARS'!$A$64*(0.5*$CX106)</f>
        <v>128.2984999999999</v>
      </c>
      <c r="DI106" s="55">
        <f>'LINEST VARS'!$U$64+'LINEST VARS'!$T$64*(8)+'LINEST VARS'!$S$64*(8)+'LINEST VARS'!$R$64*($DI$104)+'LINEST VARS'!$Q$64*(0.5)+'LINEST VARS'!$P$64*($CX106)+'LINEST VARS'!$O$64*(8^2)+'LINEST VARS'!$N$64*(8^2)+'LINEST VARS'!$M$64*($DI$104^2)+'LINEST VARS'!$L$64*(0.5^2)+'LINEST VARS'!$K$64*($CX106^2)+'LINEST VARS'!$J$64*(8*8)+'LINEST VARS'!$I$64*(8*$DI$104)+'LINEST VARS'!$H$64*(8*0.5)+'LINEST VARS'!$G$64*(8*$CX106)+'LINEST VARS'!$F$64*(8*$DI$104)+'LINEST VARS'!$E$64*(8*0.5)+'LINEST VARS'!$D$64*(8*$CX106)+'LINEST VARS'!$C$64*($DI$104*0.5)+'LINEST VARS'!$B$64*($DI$104*$CX106)+'LINEST VARS'!$A$64*(0.5*$CX106)</f>
        <v>129.8984999999999</v>
      </c>
      <c r="DJ106" s="55">
        <f>'LINEST VARS'!$U$64+'LINEST VARS'!$T$64*(8)+'LINEST VARS'!$S$64*(8)+'LINEST VARS'!$R$64*($DJ$104)+'LINEST VARS'!$Q$64*(0.5)+'LINEST VARS'!$P$64*($CX106)+'LINEST VARS'!$O$64*(8^2)+'LINEST VARS'!$N$64*(8^2)+'LINEST VARS'!$M$64*($DJ$104^2)+'LINEST VARS'!$L$64*(0.5^2)+'LINEST VARS'!$K$64*($CX106^2)+'LINEST VARS'!$J$64*(8*8)+'LINEST VARS'!$I$64*(8*$DJ$104)+'LINEST VARS'!$H$64*(8*0.5)+'LINEST VARS'!$G$64*(8*$CX106)+'LINEST VARS'!$F$64*(8*$DJ$104)+'LINEST VARS'!$E$64*(8*0.5)+'LINEST VARS'!$D$64*(8*$CX106)+'LINEST VARS'!$C$64*($DJ$104*0.5)+'LINEST VARS'!$B$64*($DJ$104*$CX106)+'LINEST VARS'!$A$64*(0.5*$CX106)</f>
        <v>131.49849999999989</v>
      </c>
      <c r="DK106" s="55">
        <f>'LINEST VARS'!$U$64+'LINEST VARS'!$T$64*(8)+'LINEST VARS'!$S$64*(8)+'LINEST VARS'!$R$64*($DK$104)+'LINEST VARS'!$Q$64*(0.5)+'LINEST VARS'!$P$64*($CX106)+'LINEST VARS'!$O$64*(8^2)+'LINEST VARS'!$N$64*(8^2)+'LINEST VARS'!$M$64*($DK$104^2)+'LINEST VARS'!$L$64*(0.5^2)+'LINEST VARS'!$K$64*($CX106^2)+'LINEST VARS'!$J$64*(8*8)+'LINEST VARS'!$I$64*(8*$DK$104)+'LINEST VARS'!$H$64*(8*0.5)+'LINEST VARS'!$G$64*(8*$CX106)+'LINEST VARS'!$F$64*(8*$DK$104)+'LINEST VARS'!$E$64*(8*0.5)+'LINEST VARS'!$D$64*(8*$CX106)+'LINEST VARS'!$C$64*($DK$104*0.5)+'LINEST VARS'!$B$64*($DK$104*$CX106)+'LINEST VARS'!$A$64*(0.5*$CX106)</f>
        <v>133.09849999999986</v>
      </c>
      <c r="DL106" s="55">
        <f>'LINEST VARS'!$U$64+'LINEST VARS'!$T$64*(8)+'LINEST VARS'!$S$64*(8)+'LINEST VARS'!$R$64*($DL$104)+'LINEST VARS'!$Q$64*(0.5)+'LINEST VARS'!$P$64*($CX106)+'LINEST VARS'!$O$64*(8^2)+'LINEST VARS'!$N$64*(8^2)+'LINEST VARS'!$M$64*($DL$104^2)+'LINEST VARS'!$L$64*(0.5^2)+'LINEST VARS'!$K$64*($CX106^2)+'LINEST VARS'!$J$64*(8*8)+'LINEST VARS'!$I$64*(8*$DL$104)+'LINEST VARS'!$H$64*(8*0.5)+'LINEST VARS'!$G$64*(8*$CX106)+'LINEST VARS'!$F$64*(8*$DL$104)+'LINEST VARS'!$E$64*(8*0.5)+'LINEST VARS'!$D$64*(8*$CX106)+'LINEST VARS'!$C$64*($DL$104*0.5)+'LINEST VARS'!$B$64*($DL$104*$CX106)+'LINEST VARS'!$A$64*(0.5*$CX106)</f>
        <v>134.69849999999988</v>
      </c>
      <c r="DM106" s="55">
        <f>'LINEST VARS'!$U$64+'LINEST VARS'!$T$64*(8)+'LINEST VARS'!$S$64*(8)+'LINEST VARS'!$R$64*($DM$104)+'LINEST VARS'!$Q$64*(0.5)+'LINEST VARS'!$P$64*($CX106)+'LINEST VARS'!$O$64*(8^2)+'LINEST VARS'!$N$64*(8^2)+'LINEST VARS'!$M$64*($DM$104^2)+'LINEST VARS'!$L$64*(0.5^2)+'LINEST VARS'!$K$64*($CX106^2)+'LINEST VARS'!$J$64*(8*8)+'LINEST VARS'!$I$64*(8*$DM$104)+'LINEST VARS'!$H$64*(8*0.5)+'LINEST VARS'!$G$64*(8*$CX106)+'LINEST VARS'!$F$64*(8*$DM$104)+'LINEST VARS'!$E$64*(8*0.5)+'LINEST VARS'!$D$64*(8*$CX106)+'LINEST VARS'!$C$64*($DM$104*0.5)+'LINEST VARS'!$B$64*($DM$104*$CX106)+'LINEST VARS'!$A$64*(0.5*$CX106)</f>
        <v>136.29849999999985</v>
      </c>
      <c r="DN106" s="55">
        <f>'LINEST VARS'!$U$64+'LINEST VARS'!$T$64*(8)+'LINEST VARS'!$S$64*(8)+'LINEST VARS'!$R$64*($DN$104)+'LINEST VARS'!$Q$64*(0.5)+'LINEST VARS'!$P$64*($CX106)+'LINEST VARS'!$O$64*(8^2)+'LINEST VARS'!$N$64*(8^2)+'LINEST VARS'!$M$64*($DN$104^2)+'LINEST VARS'!$L$64*(0.5^2)+'LINEST VARS'!$K$64*($CX106^2)+'LINEST VARS'!$J$64*(8*8)+'LINEST VARS'!$I$64*(8*$DN$104)+'LINEST VARS'!$H$64*(8*0.5)+'LINEST VARS'!$G$64*(8*$CX106)+'LINEST VARS'!$F$64*(8*$DN$104)+'LINEST VARS'!$E$64*(8*0.5)+'LINEST VARS'!$D$64*(8*$CX106)+'LINEST VARS'!$C$64*($DN$104*0.5)+'LINEST VARS'!$B$64*($DN$104*$CX106)+'LINEST VARS'!$A$64*(0.5*$CX106)</f>
        <v>137.89849999999984</v>
      </c>
      <c r="DO106" s="55">
        <f>'LINEST VARS'!$U$64+'LINEST VARS'!$T$64*(8)+'LINEST VARS'!$S$64*(8)+'LINEST VARS'!$R$64*($DO$104)+'LINEST VARS'!$Q$64*(0.5)+'LINEST VARS'!$P$64*($CX106)+'LINEST VARS'!$O$64*(8^2)+'LINEST VARS'!$N$64*(8^2)+'LINEST VARS'!$M$64*($DO$104^2)+'LINEST VARS'!$L$64*(0.5^2)+'LINEST VARS'!$K$64*($CX106^2)+'LINEST VARS'!$J$64*(8*8)+'LINEST VARS'!$I$64*(8*$DO$104)+'LINEST VARS'!$H$64*(8*0.5)+'LINEST VARS'!$G$64*(8*$CX106)+'LINEST VARS'!$F$64*(8*$DO$104)+'LINEST VARS'!$E$64*(8*0.5)+'LINEST VARS'!$D$64*(8*$CX106)+'LINEST VARS'!$C$64*($DO$104*0.5)+'LINEST VARS'!$B$64*($DO$104*$CX106)+'LINEST VARS'!$A$64*(0.5*$CX106)</f>
        <v>139.49849999999986</v>
      </c>
      <c r="DP106" s="55">
        <f>'LINEST VARS'!$U$64+'LINEST VARS'!$T$64*(8)+'LINEST VARS'!$S$64*(8)+'LINEST VARS'!$R$64*($DP$104)+'LINEST VARS'!$Q$64*(0.5)+'LINEST VARS'!$P$64*($CX106)+'LINEST VARS'!$O$64*(8^2)+'LINEST VARS'!$N$64*(8^2)+'LINEST VARS'!$M$64*($DP$104^2)+'LINEST VARS'!$L$64*(0.5^2)+'LINEST VARS'!$K$64*($CX106^2)+'LINEST VARS'!$J$64*(8*8)+'LINEST VARS'!$I$64*(8*$DP$104)+'LINEST VARS'!$H$64*(8*0.5)+'LINEST VARS'!$G$64*(8*$CX106)+'LINEST VARS'!$F$64*(8*$DP$104)+'LINEST VARS'!$E$64*(8*0.5)+'LINEST VARS'!$D$64*(8*$CX106)+'LINEST VARS'!$C$64*($DP$104*0.5)+'LINEST VARS'!$B$64*($DP$104*$CX106)+'LINEST VARS'!$A$64*(0.5*$CX106)</f>
        <v>141.09849999999986</v>
      </c>
      <c r="DQ106" s="55">
        <f>'LINEST VARS'!$U$64+'LINEST VARS'!$T$64*(8)+'LINEST VARS'!$S$64*(8)+'LINEST VARS'!$R$64*($DQ$104)+'LINEST VARS'!$Q$64*(0.5)+'LINEST VARS'!$P$64*($CX106)+'LINEST VARS'!$O$64*(8^2)+'LINEST VARS'!$N$64*(8^2)+'LINEST VARS'!$M$64*($DQ$104^2)+'LINEST VARS'!$L$64*(0.5^2)+'LINEST VARS'!$K$64*($CX106^2)+'LINEST VARS'!$J$64*(8*8)+'LINEST VARS'!$I$64*(8*$DQ$104)+'LINEST VARS'!$H$64*(8*0.5)+'LINEST VARS'!$G$64*(8*$CX106)+'LINEST VARS'!$F$64*(8*$DQ$104)+'LINEST VARS'!$E$64*(8*0.5)+'LINEST VARS'!$D$64*(8*$CX106)+'LINEST VARS'!$C$64*($DQ$104*0.5)+'LINEST VARS'!$B$64*($DQ$104*$CX106)+'LINEST VARS'!$A$64*(0.5*$CX106)</f>
        <v>142.69849999999985</v>
      </c>
      <c r="DR106" s="55">
        <f>'LINEST VARS'!$U$64+'LINEST VARS'!$T$64*(8)+'LINEST VARS'!$S$64*(8)+'LINEST VARS'!$R$64*($DR$104)+'LINEST VARS'!$Q$64*(0.5)+'LINEST VARS'!$P$64*($CX106)+'LINEST VARS'!$O$64*(8^2)+'LINEST VARS'!$N$64*(8^2)+'LINEST VARS'!$M$64*($DR$104^2)+'LINEST VARS'!$L$64*(0.5^2)+'LINEST VARS'!$K$64*($CX106^2)+'LINEST VARS'!$J$64*(8*8)+'LINEST VARS'!$I$64*(8*$DR$104)+'LINEST VARS'!$H$64*(8*0.5)+'LINEST VARS'!$G$64*(8*$CX106)+'LINEST VARS'!$F$64*(8*$DR$104)+'LINEST VARS'!$E$64*(8*0.5)+'LINEST VARS'!$D$64*(8*$CX106)+'LINEST VARS'!$C$64*($DR$104*0.5)+'LINEST VARS'!$B$64*($DR$104*$CX106)+'LINEST VARS'!$A$64*(0.5*$CX106)</f>
        <v>144.29849999999985</v>
      </c>
      <c r="DS106" s="56">
        <f>'LINEST VARS'!$U$64+'LINEST VARS'!$T$64*(8)+'LINEST VARS'!$S$64*(8)+'LINEST VARS'!$R$64*($DS$104)+'LINEST VARS'!$Q$64*(0.5)+'LINEST VARS'!$P$64*($CX106)+'LINEST VARS'!$O$64*(8^2)+'LINEST VARS'!$N$64*(8^2)+'LINEST VARS'!$M$64*($DS$104^2)+'LINEST VARS'!$L$64*(0.5^2)+'LINEST VARS'!$K$64*($CX106^2)+'LINEST VARS'!$J$64*(8*8)+'LINEST VARS'!$I$64*(8*$DS$104)+'LINEST VARS'!$H$64*(8*0.5)+'LINEST VARS'!$G$64*(8*$CX106)+'LINEST VARS'!$F$64*(8*$DS$104)+'LINEST VARS'!$E$64*(8*0.5)+'LINEST VARS'!$D$64*(8*$CX106)+'LINEST VARS'!$C$64*($DS$104*0.5)+'LINEST VARS'!$B$64*($DS$104*$CX106)+'LINEST VARS'!$A$64*(0.5*$CX106)</f>
        <v>145.89849999999984</v>
      </c>
      <c r="DV106" s="45">
        <v>1.2995000000000001</v>
      </c>
      <c r="DW106" s="46">
        <f>'LINEST VARS'!$U$66+'LINEST VARS'!$T$66*(8)+'LINEST VARS'!$S$66*(8)+'LINEST VARS'!$R$66*($DW$104)+'LINEST VARS'!$Q$66*(0.5)+'LINEST VARS'!$P$66*($DV106)+'LINEST VARS'!$O$66*(8^2)+'LINEST VARS'!$N$66*(8^2)+'LINEST VARS'!$M$66*($DW$104^2)+'LINEST VARS'!$L$66*(0.5^2)+'LINEST VARS'!$K$66*($DV106^2)+'LINEST VARS'!$J$66*(8*8)+'LINEST VARS'!$I$66*(8*$DW$104)+'LINEST VARS'!$H$66*(8*0.5)+'LINEST VARS'!$G$66*(8*$DV106)+'LINEST VARS'!$F$66*(8*$DW$104)+'LINEST VARS'!$E$66*(8*0.5)+'LINEST VARS'!$D$66*(8*$DV106)+'LINEST VARS'!$C$66*($DW$104*0.5)+'LINEST VARS'!$B$66*($DW$104*$DV106)+'LINEST VARS'!$A$66*(0.5*$DV106)</f>
        <v>144.00000000000003</v>
      </c>
      <c r="DX106" s="46">
        <f>'LINEST VARS'!$U$66+'LINEST VARS'!$T$66*(8)+'LINEST VARS'!$S$66*(8)+'LINEST VARS'!$R$66*($DX$104)+'LINEST VARS'!$Q$66*(0.5)+'LINEST VARS'!$P$66*($DV106)+'LINEST VARS'!$O$66*(8^2)+'LINEST VARS'!$N$66*(8^2)+'LINEST VARS'!$M$66*($DX$104^2)+'LINEST VARS'!$L$66*(0.5^2)+'LINEST VARS'!$K$66*($DV106^2)+'LINEST VARS'!$J$66*(8*8)+'LINEST VARS'!$I$66*(8*$DX$104)+'LINEST VARS'!$H$66*(8*0.5)+'LINEST VARS'!$G$66*(8*$DV106)+'LINEST VARS'!$F$66*(8*$DX$104)+'LINEST VARS'!$E$66*(8*0.5)+'LINEST VARS'!$D$66*(8*$DV106)+'LINEST VARS'!$C$66*($DX$104*0.5)+'LINEST VARS'!$B$66*($DX$104*$DV106)+'LINEST VARS'!$A$66*(0.5*$DV106)</f>
        <v>143.20000000000005</v>
      </c>
      <c r="DY106" s="46">
        <f>'LINEST VARS'!$U$66+'LINEST VARS'!$T$66*(8)+'LINEST VARS'!$S$66*(8)+'LINEST VARS'!$R$66*($DY$104)+'LINEST VARS'!$Q$66*(0.5)+'LINEST VARS'!$P$66*($DV106)+'LINEST VARS'!$O$66*(8^2)+'LINEST VARS'!$N$66*(8^2)+'LINEST VARS'!$M$66*($DY$104^2)+'LINEST VARS'!$L$66*(0.5^2)+'LINEST VARS'!$K$66*($DV106^2)+'LINEST VARS'!$J$66*(8*8)+'LINEST VARS'!$I$66*(8*$DY$104)+'LINEST VARS'!$H$66*(8*0.5)+'LINEST VARS'!$G$66*(8*$DV106)+'LINEST VARS'!$F$66*(8*$DY$104)+'LINEST VARS'!$E$66*(8*0.5)+'LINEST VARS'!$D$66*(8*$DV106)+'LINEST VARS'!$C$66*($DY$104*0.5)+'LINEST VARS'!$B$66*($DY$104*$DV106)+'LINEST VARS'!$A$66*(0.5*$DV106)</f>
        <v>142.40000000000003</v>
      </c>
      <c r="DZ106" s="46">
        <f>'LINEST VARS'!$U$66+'LINEST VARS'!$T$66*(8)+'LINEST VARS'!$S$66*(8)+'LINEST VARS'!$R$66*($DZ$104)+'LINEST VARS'!$Q$66*(0.5)+'LINEST VARS'!$P$66*($DV106)+'LINEST VARS'!$O$66*(8^2)+'LINEST VARS'!$N$66*(8^2)+'LINEST VARS'!$M$66*($DZ$104^2)+'LINEST VARS'!$L$66*(0.5^2)+'LINEST VARS'!$K$66*($DV106^2)+'LINEST VARS'!$J$66*(8*8)+'LINEST VARS'!$I$66*(8*$DZ$104)+'LINEST VARS'!$H$66*(8*0.5)+'LINEST VARS'!$G$66*(8*$DV106)+'LINEST VARS'!$F$66*(8*$DZ$104)+'LINEST VARS'!$E$66*(8*0.5)+'LINEST VARS'!$D$66*(8*$DV106)+'LINEST VARS'!$C$66*($DZ$104*0.5)+'LINEST VARS'!$B$66*($DZ$104*$DV106)+'LINEST VARS'!$A$66*(0.5*$DV106)</f>
        <v>141.60000000000005</v>
      </c>
      <c r="EA106" s="46">
        <f>'LINEST VARS'!$U$66+'LINEST VARS'!$T$66*(8)+'LINEST VARS'!$S$66*(8)+'LINEST VARS'!$R$66*($EA$104)+'LINEST VARS'!$Q$66*(0.5)+'LINEST VARS'!$P$66*($DV106)+'LINEST VARS'!$O$66*(8^2)+'LINEST VARS'!$N$66*(8^2)+'LINEST VARS'!$M$66*($EA$104^2)+'LINEST VARS'!$L$66*(0.5^2)+'LINEST VARS'!$K$66*($DV106^2)+'LINEST VARS'!$J$66*(8*8)+'LINEST VARS'!$I$66*(8*$EA$104)+'LINEST VARS'!$H$66*(8*0.5)+'LINEST VARS'!$G$66*(8*$DV106)+'LINEST VARS'!$F$66*(8*$EA$104)+'LINEST VARS'!$E$66*(8*0.5)+'LINEST VARS'!$D$66*(8*$DV106)+'LINEST VARS'!$C$66*($EA$104*0.5)+'LINEST VARS'!$B$66*($EA$104*$DV106)+'LINEST VARS'!$A$66*(0.5*$DV106)</f>
        <v>140.80000000000004</v>
      </c>
      <c r="EB106" s="46">
        <f>'LINEST VARS'!$U$66+'LINEST VARS'!$T$66*(8)+'LINEST VARS'!$S$66*(8)+'LINEST VARS'!$R$66*($EB$104)+'LINEST VARS'!$Q$66*(0.5)+'LINEST VARS'!$P$66*($DV106)+'LINEST VARS'!$O$66*(8^2)+'LINEST VARS'!$N$66*(8^2)+'LINEST VARS'!$M$66*($EB$104^2)+'LINEST VARS'!$L$66*(0.5^2)+'LINEST VARS'!$K$66*($DV106^2)+'LINEST VARS'!$J$66*(8*8)+'LINEST VARS'!$I$66*(8*$EB$104)+'LINEST VARS'!$H$66*(8*0.5)+'LINEST VARS'!$G$66*(8*$DV106)+'LINEST VARS'!$F$66*(8*$EB$104)+'LINEST VARS'!$E$66*(8*0.5)+'LINEST VARS'!$D$66*(8*$DV106)+'LINEST VARS'!$C$66*($EB$104*0.5)+'LINEST VARS'!$B$66*($EB$104*$DV106)+'LINEST VARS'!$A$66*(0.5*$DV106)</f>
        <v>140.00000000000006</v>
      </c>
      <c r="EC106" s="46">
        <f>'LINEST VARS'!$U$66+'LINEST VARS'!$T$66*(8)+'LINEST VARS'!$S$66*(8)+'LINEST VARS'!$R$66*($EC$104)+'LINEST VARS'!$Q$66*(0.5)+'LINEST VARS'!$P$66*($DV106)+'LINEST VARS'!$O$66*(8^2)+'LINEST VARS'!$N$66*(8^2)+'LINEST VARS'!$M$66*($EC$104^2)+'LINEST VARS'!$L$66*(0.5^2)+'LINEST VARS'!$K$66*($DV106^2)+'LINEST VARS'!$J$66*(8*8)+'LINEST VARS'!$I$66*(8*$EC$104)+'LINEST VARS'!$H$66*(8*0.5)+'LINEST VARS'!$G$66*(8*$DV106)+'LINEST VARS'!$F$66*(8*$EC$104)+'LINEST VARS'!$E$66*(8*0.5)+'LINEST VARS'!$D$66*(8*$DV106)+'LINEST VARS'!$C$66*($EC$104*0.5)+'LINEST VARS'!$B$66*($EC$104*$DV106)+'LINEST VARS'!$A$66*(0.5*$DV106)</f>
        <v>139.20000000000005</v>
      </c>
      <c r="ED106" s="46">
        <f>'LINEST VARS'!$U$66+'LINEST VARS'!$T$66*(8)+'LINEST VARS'!$S$66*(8)+'LINEST VARS'!$R$66*($ED$104)+'LINEST VARS'!$Q$66*(0.5)+'LINEST VARS'!$P$66*($DV106)+'LINEST VARS'!$O$66*(8^2)+'LINEST VARS'!$N$66*(8^2)+'LINEST VARS'!$M$66*($ED$104^2)+'LINEST VARS'!$L$66*(0.5^2)+'LINEST VARS'!$K$66*($DV106^2)+'LINEST VARS'!$J$66*(8*8)+'LINEST VARS'!$I$66*(8*$ED$104)+'LINEST VARS'!$H$66*(8*0.5)+'LINEST VARS'!$G$66*(8*$DV106)+'LINEST VARS'!$F$66*(8*$ED$104)+'LINEST VARS'!$E$66*(8*0.5)+'LINEST VARS'!$D$66*(8*$DV106)+'LINEST VARS'!$C$66*($ED$104*0.5)+'LINEST VARS'!$B$66*($ED$104*$DV106)+'LINEST VARS'!$A$66*(0.5*$DV106)</f>
        <v>138.40000000000006</v>
      </c>
      <c r="EE106" s="46">
        <f>'LINEST VARS'!$U$66+'LINEST VARS'!$T$66*(8)+'LINEST VARS'!$S$66*(8)+'LINEST VARS'!$R$66*($EE$104)+'LINEST VARS'!$Q$66*(0.5)+'LINEST VARS'!$P$66*($DV106)+'LINEST VARS'!$O$66*(8^2)+'LINEST VARS'!$N$66*(8^2)+'LINEST VARS'!$M$66*($EE$104^2)+'LINEST VARS'!$L$66*(0.5^2)+'LINEST VARS'!$K$66*($DV106^2)+'LINEST VARS'!$J$66*(8*8)+'LINEST VARS'!$I$66*(8*$EE$104)+'LINEST VARS'!$H$66*(8*0.5)+'LINEST VARS'!$G$66*(8*$DV106)+'LINEST VARS'!$F$66*(8*$EE$104)+'LINEST VARS'!$E$66*(8*0.5)+'LINEST VARS'!$D$66*(8*$DV106)+'LINEST VARS'!$C$66*($EE$104*0.5)+'LINEST VARS'!$B$66*($EE$104*$DV106)+'LINEST VARS'!$A$66*(0.5*$DV106)</f>
        <v>137.60000000000005</v>
      </c>
      <c r="EF106" s="46">
        <f>'LINEST VARS'!$U$66+'LINEST VARS'!$T$66*(8)+'LINEST VARS'!$S$66*(8)+'LINEST VARS'!$R$66*($EF$104)+'LINEST VARS'!$Q$66*(0.5)+'LINEST VARS'!$P$66*($DV106)+'LINEST VARS'!$O$66*(8^2)+'LINEST VARS'!$N$66*(8^2)+'LINEST VARS'!$M$66*($EF$104^2)+'LINEST VARS'!$L$66*(0.5^2)+'LINEST VARS'!$K$66*($DV106^2)+'LINEST VARS'!$J$66*(8*8)+'LINEST VARS'!$I$66*(8*$EF$104)+'LINEST VARS'!$H$66*(8*0.5)+'LINEST VARS'!$G$66*(8*$DV106)+'LINEST VARS'!$F$66*(8*$EF$104)+'LINEST VARS'!$E$66*(8*0.5)+'LINEST VARS'!$D$66*(8*$DV106)+'LINEST VARS'!$C$66*($EF$104*0.5)+'LINEST VARS'!$B$66*($EF$104*$DV106)+'LINEST VARS'!$A$66*(0.5*$DV106)</f>
        <v>136.80000000000004</v>
      </c>
      <c r="EG106" s="46">
        <f>'LINEST VARS'!$U$66+'LINEST VARS'!$T$66*(8)+'LINEST VARS'!$S$66*(8)+'LINEST VARS'!$R$66*($EG$104)+'LINEST VARS'!$Q$66*(0.5)+'LINEST VARS'!$P$66*($DV106)+'LINEST VARS'!$O$66*(8^2)+'LINEST VARS'!$N$66*(8^2)+'LINEST VARS'!$M$66*($EG$104^2)+'LINEST VARS'!$L$66*(0.5^2)+'LINEST VARS'!$K$66*($DV106^2)+'LINEST VARS'!$J$66*(8*8)+'LINEST VARS'!$I$66*(8*$EG$104)+'LINEST VARS'!$H$66*(8*0.5)+'LINEST VARS'!$G$66*(8*$DV106)+'LINEST VARS'!$F$66*(8*$EG$104)+'LINEST VARS'!$E$66*(8*0.5)+'LINEST VARS'!$D$66*(8*$DV106)+'LINEST VARS'!$C$66*($EG$104*0.5)+'LINEST VARS'!$B$66*($EG$104*$DV106)+'LINEST VARS'!$A$66*(0.5*$DV106)</f>
        <v>136.00000000000003</v>
      </c>
      <c r="EH106" s="46">
        <f>'LINEST VARS'!$U$66+'LINEST VARS'!$T$66*(8)+'LINEST VARS'!$S$66*(8)+'LINEST VARS'!$R$66*($EH$104)+'LINEST VARS'!$Q$66*(0.5)+'LINEST VARS'!$P$66*($DV106)+'LINEST VARS'!$O$66*(8^2)+'LINEST VARS'!$N$66*(8^2)+'LINEST VARS'!$M$66*($EH$104^2)+'LINEST VARS'!$L$66*(0.5^2)+'LINEST VARS'!$K$66*($DV106^2)+'LINEST VARS'!$J$66*(8*8)+'LINEST VARS'!$I$66*(8*$EH$104)+'LINEST VARS'!$H$66*(8*0.5)+'LINEST VARS'!$G$66*(8*$DV106)+'LINEST VARS'!$F$66*(8*$EH$104)+'LINEST VARS'!$E$66*(8*0.5)+'LINEST VARS'!$D$66*(8*$DV106)+'LINEST VARS'!$C$66*($EH$104*0.5)+'LINEST VARS'!$B$66*($EH$104*$DV106)+'LINEST VARS'!$A$66*(0.5*$DV106)</f>
        <v>135.20000000000002</v>
      </c>
      <c r="EI106" s="46">
        <f>'LINEST VARS'!$U$66+'LINEST VARS'!$T$66*(8)+'LINEST VARS'!$S$66*(8)+'LINEST VARS'!$R$66*($EI$104)+'LINEST VARS'!$Q$66*(0.5)+'LINEST VARS'!$P$66*($DV106)+'LINEST VARS'!$O$66*(8^2)+'LINEST VARS'!$N$66*(8^2)+'LINEST VARS'!$M$66*($EI$104^2)+'LINEST VARS'!$L$66*(0.5^2)+'LINEST VARS'!$K$66*($DV106^2)+'LINEST VARS'!$J$66*(8*8)+'LINEST VARS'!$I$66*(8*$EI$104)+'LINEST VARS'!$H$66*(8*0.5)+'LINEST VARS'!$G$66*(8*$DV106)+'LINEST VARS'!$F$66*(8*$EI$104)+'LINEST VARS'!$E$66*(8*0.5)+'LINEST VARS'!$D$66*(8*$DV106)+'LINEST VARS'!$C$66*($EI$104*0.5)+'LINEST VARS'!$B$66*($EI$104*$DV106)+'LINEST VARS'!$A$66*(0.5*$DV106)</f>
        <v>134.4</v>
      </c>
      <c r="EJ106" s="46">
        <f>'LINEST VARS'!$U$66+'LINEST VARS'!$T$66*(8)+'LINEST VARS'!$S$66*(8)+'LINEST VARS'!$R$66*($EJ$104)+'LINEST VARS'!$Q$66*(0.5)+'LINEST VARS'!$P$66*($DV106)+'LINEST VARS'!$O$66*(8^2)+'LINEST VARS'!$N$66*(8^2)+'LINEST VARS'!$M$66*($EJ$104^2)+'LINEST VARS'!$L$66*(0.5^2)+'LINEST VARS'!$K$66*($DV106^2)+'LINEST VARS'!$J$66*(8*8)+'LINEST VARS'!$I$66*(8*$EJ$104)+'LINEST VARS'!$H$66*(8*0.5)+'LINEST VARS'!$G$66*(8*$DV106)+'LINEST VARS'!$F$66*(8*$EJ$104)+'LINEST VARS'!$E$66*(8*0.5)+'LINEST VARS'!$D$66*(8*$DV106)+'LINEST VARS'!$C$66*($EJ$104*0.5)+'LINEST VARS'!$B$66*($EJ$104*$DV106)+'LINEST VARS'!$A$66*(0.5*$DV106)</f>
        <v>133.60000000000002</v>
      </c>
      <c r="EK106" s="46">
        <f>'LINEST VARS'!$U$66+'LINEST VARS'!$T$66*(8)+'LINEST VARS'!$S$66*(8)+'LINEST VARS'!$R$66*($EK$104)+'LINEST VARS'!$Q$66*(0.5)+'LINEST VARS'!$P$66*($DV106)+'LINEST VARS'!$O$66*(8^2)+'LINEST VARS'!$N$66*(8^2)+'LINEST VARS'!$M$66*($EK$104^2)+'LINEST VARS'!$L$66*(0.5^2)+'LINEST VARS'!$K$66*($DV106^2)+'LINEST VARS'!$J$66*(8*8)+'LINEST VARS'!$I$66*(8*$EK$104)+'LINEST VARS'!$H$66*(8*0.5)+'LINEST VARS'!$G$66*(8*$DV106)+'LINEST VARS'!$F$66*(8*$EK$104)+'LINEST VARS'!$E$66*(8*0.5)+'LINEST VARS'!$D$66*(8*$DV106)+'LINEST VARS'!$C$66*($EK$104*0.5)+'LINEST VARS'!$B$66*($EK$104*$DV106)+'LINEST VARS'!$A$66*(0.5*$DV106)</f>
        <v>132.80000000000001</v>
      </c>
      <c r="EL106" s="46">
        <f>'LINEST VARS'!$U$66+'LINEST VARS'!$T$66*(8)+'LINEST VARS'!$S$66*(8)+'LINEST VARS'!$R$66*($EL$104)+'LINEST VARS'!$Q$66*(0.5)+'LINEST VARS'!$P$66*($DV106)+'LINEST VARS'!$O$66*(8^2)+'LINEST VARS'!$N$66*(8^2)+'LINEST VARS'!$M$66*($EL$104^2)+'LINEST VARS'!$L$66*(0.5^2)+'LINEST VARS'!$K$66*($DV106^2)+'LINEST VARS'!$J$66*(8*8)+'LINEST VARS'!$I$66*(8*$EL$104)+'LINEST VARS'!$H$66*(8*0.5)+'LINEST VARS'!$G$66*(8*$DV106)+'LINEST VARS'!$F$66*(8*$EL$104)+'LINEST VARS'!$E$66*(8*0.5)+'LINEST VARS'!$D$66*(8*$DV106)+'LINEST VARS'!$C$66*($EL$104*0.5)+'LINEST VARS'!$B$66*($EL$104*$DV106)+'LINEST VARS'!$A$66*(0.5*$DV106)</f>
        <v>132.00000000000003</v>
      </c>
      <c r="EM106" s="46">
        <f>'LINEST VARS'!$U$66+'LINEST VARS'!$T$66*(8)+'LINEST VARS'!$S$66*(8)+'LINEST VARS'!$R$66*($EM$104)+'LINEST VARS'!$Q$66*(0.5)+'LINEST VARS'!$P$66*($DV106)+'LINEST VARS'!$O$66*(8^2)+'LINEST VARS'!$N$66*(8^2)+'LINEST VARS'!$M$66*($EM$104^2)+'LINEST VARS'!$L$66*(0.5^2)+'LINEST VARS'!$K$66*($DV106^2)+'LINEST VARS'!$J$66*(8*8)+'LINEST VARS'!$I$66*(8*$EM$104)+'LINEST VARS'!$H$66*(8*0.5)+'LINEST VARS'!$G$66*(8*$DV106)+'LINEST VARS'!$F$66*(8*$EM$104)+'LINEST VARS'!$E$66*(8*0.5)+'LINEST VARS'!$D$66*(8*$DV106)+'LINEST VARS'!$C$66*($EM$104*0.5)+'LINEST VARS'!$B$66*($EM$104*$DV106)+'LINEST VARS'!$A$66*(0.5*$DV106)</f>
        <v>131.20000000000002</v>
      </c>
      <c r="EN106" s="46">
        <f>'LINEST VARS'!$U$66+'LINEST VARS'!$T$66*(8)+'LINEST VARS'!$S$66*(8)+'LINEST VARS'!$R$66*($EN$104)+'LINEST VARS'!$Q$66*(0.5)+'LINEST VARS'!$P$66*($DV106)+'LINEST VARS'!$O$66*(8^2)+'LINEST VARS'!$N$66*(8^2)+'LINEST VARS'!$M$66*($EN$104^2)+'LINEST VARS'!$L$66*(0.5^2)+'LINEST VARS'!$K$66*($DV106^2)+'LINEST VARS'!$J$66*(8*8)+'LINEST VARS'!$I$66*(8*$EN$104)+'LINEST VARS'!$H$66*(8*0.5)+'LINEST VARS'!$G$66*(8*$DV106)+'LINEST VARS'!$F$66*(8*$EN$104)+'LINEST VARS'!$E$66*(8*0.5)+'LINEST VARS'!$D$66*(8*$DV106)+'LINEST VARS'!$C$66*($EN$104*0.5)+'LINEST VARS'!$B$66*($EN$104*$DV106)+'LINEST VARS'!$A$66*(0.5*$DV106)</f>
        <v>130.40000000000006</v>
      </c>
      <c r="EO106" s="46">
        <f>'LINEST VARS'!$U$66+'LINEST VARS'!$T$66*(8)+'LINEST VARS'!$S$66*(8)+'LINEST VARS'!$R$66*($EO$104)+'LINEST VARS'!$Q$66*(0.5)+'LINEST VARS'!$P$66*($DV106)+'LINEST VARS'!$O$66*(8^2)+'LINEST VARS'!$N$66*(8^2)+'LINEST VARS'!$M$66*($EO$104^2)+'LINEST VARS'!$L$66*(0.5^2)+'LINEST VARS'!$K$66*($DV106^2)+'LINEST VARS'!$J$66*(8*8)+'LINEST VARS'!$I$66*(8*$EO$104)+'LINEST VARS'!$H$66*(8*0.5)+'LINEST VARS'!$G$66*(8*$DV106)+'LINEST VARS'!$F$66*(8*$EO$104)+'LINEST VARS'!$E$66*(8*0.5)+'LINEST VARS'!$D$66*(8*$DV106)+'LINEST VARS'!$C$66*($EO$104*0.5)+'LINEST VARS'!$B$66*($EO$104*$DV106)+'LINEST VARS'!$A$66*(0.5*$DV106)</f>
        <v>129.60000000000005</v>
      </c>
      <c r="EP106" s="46">
        <f>'LINEST VARS'!$U$66+'LINEST VARS'!$T$66*(8)+'LINEST VARS'!$S$66*(8)+'LINEST VARS'!$R$66*($EP$104)+'LINEST VARS'!$Q$66*(0.5)+'LINEST VARS'!$P$66*($DV106)+'LINEST VARS'!$O$66*(8^2)+'LINEST VARS'!$N$66*(8^2)+'LINEST VARS'!$M$66*($EP$104^2)+'LINEST VARS'!$L$66*(0.5^2)+'LINEST VARS'!$K$66*($DV106^2)+'LINEST VARS'!$J$66*(8*8)+'LINEST VARS'!$I$66*(8*$EP$104)+'LINEST VARS'!$H$66*(8*0.5)+'LINEST VARS'!$G$66*(8*$DV106)+'LINEST VARS'!$F$66*(8*$EP$104)+'LINEST VARS'!$E$66*(8*0.5)+'LINEST VARS'!$D$66*(8*$DV106)+'LINEST VARS'!$C$66*($EP$104*0.5)+'LINEST VARS'!$B$66*($EP$104*$DV106)+'LINEST VARS'!$A$66*(0.5*$DV106)</f>
        <v>128.80000000000007</v>
      </c>
      <c r="EQ106" s="47">
        <f>'LINEST VARS'!$U$66+'LINEST VARS'!$T$66*(8)+'LINEST VARS'!$S$66*(8)+'LINEST VARS'!$R$66*($EQ$104)+'LINEST VARS'!$Q$66*(0.5)+'LINEST VARS'!$P$66*($DV106)+'LINEST VARS'!$O$66*(8^2)+'LINEST VARS'!$N$66*(8^2)+'LINEST VARS'!$M$66*($EQ$104^2)+'LINEST VARS'!$L$66*(0.5^2)+'LINEST VARS'!$K$66*($DV106^2)+'LINEST VARS'!$J$66*(8*8)+'LINEST VARS'!$I$66*(8*$EQ$104)+'LINEST VARS'!$H$66*(8*0.5)+'LINEST VARS'!$G$66*(8*$DV106)+'LINEST VARS'!$F$66*(8*$EQ$104)+'LINEST VARS'!$E$66*(8*0.5)+'LINEST VARS'!$D$66*(8*$DV106)+'LINEST VARS'!$C$66*($EQ$104*0.5)+'LINEST VARS'!$B$66*($EQ$104*$DV106)+'LINEST VARS'!$A$66*(0.5*$DV106)</f>
        <v>128.00000000000006</v>
      </c>
    </row>
    <row r="107" spans="2:147" ht="15" customHeight="1" x14ac:dyDescent="0.25">
      <c r="B107" s="45">
        <v>7.52</v>
      </c>
      <c r="C107" s="55">
        <f>'LINEST VARS'!$U$64+'LINEST VARS'!$T$64*($C$104)+'LINEST VARS'!$S$64*($B107)+'LINEST VARS'!$R$64*(4)+'LINEST VARS'!$Q$64*(0.5)+'LINEST VARS'!$P$64*(12.73)+'LINEST VARS'!$O$64*($C$104^2)+'LINEST VARS'!$N$64*($B107^2)+'LINEST VARS'!$M$64*(4^2)+'LINEST VARS'!$L$64*(0.5^2)+'LINEST VARS'!$K$64*(12.73^2)+'LINEST VARS'!$J$64*($C$104*$B107)+'LINEST VARS'!$I$64*($C$104*4)+'LINEST VARS'!$H$64*($C$104*0.5)+'LINEST VARS'!$G$64*($C$104*12.73)+'LINEST VARS'!$F$64*($B107*4)+'LINEST VARS'!$E$64*($B107*0.5)+'LINEST VARS'!$D$64*($B107*12.73)+'LINEST VARS'!$C$64*(4*0.5)+'LINEST VARS'!$B$64*(4*12.73)+'LINEST VARS'!$A$64*(0.5*12.73)</f>
        <v>164.18999999999988</v>
      </c>
      <c r="D107" s="55">
        <f>'LINEST VARS'!$U$64+'LINEST VARS'!$T$64*($D$104)+'LINEST VARS'!$S$64*($B107)+'LINEST VARS'!$R$64*(4)+'LINEST VARS'!$Q$64*(0.5)+'LINEST VARS'!$P$64*(12.73)+'LINEST VARS'!$O$64*($D$104^2)+'LINEST VARS'!$N$64*($B107^2)+'LINEST VARS'!$M$64*(4^2)+'LINEST VARS'!$L$64*(0.5^2)+'LINEST VARS'!$K$64*(12.73^2)+'LINEST VARS'!$J$64*($D$104*$B107)+'LINEST VARS'!$I$64*($D$104*4)+'LINEST VARS'!$H$64*($D$104*0.5)+'LINEST VARS'!$G$64*($D$104*12.73)+'LINEST VARS'!$F$64*($B107*4)+'LINEST VARS'!$E$64*($B107*0.5)+'LINEST VARS'!$D$64*($B107*12.73)+'LINEST VARS'!$C$64*(4*0.5)+'LINEST VARS'!$B$64*(4*12.73)+'LINEST VARS'!$A$64*(0.5*12.73)</f>
        <v>164.18999999999988</v>
      </c>
      <c r="E107" s="55">
        <f>'LINEST VARS'!$U$64+'LINEST VARS'!$T$64*($E$104)+'LINEST VARS'!$S$64*($B107)+'LINEST VARS'!$R$64*(4)+'LINEST VARS'!$Q$64*(0.5)+'LINEST VARS'!$P$64*(12.73)+'LINEST VARS'!$O$64*($E$104^2)+'LINEST VARS'!$N$64*($B107^2)+'LINEST VARS'!$M$64*(4^2)+'LINEST VARS'!$L$64*(0.5^2)+'LINEST VARS'!$K$64*(12.73^2)+'LINEST VARS'!$J$64*($E$104*$B107)+'LINEST VARS'!$I$64*($E$104*4)+'LINEST VARS'!$H$64*($E$104*0.5)+'LINEST VARS'!$G$64*($E$104*12.73)+'LINEST VARS'!$F$64*($B107*4)+'LINEST VARS'!$E$64*($B107*0.5)+'LINEST VARS'!$D$64*($B107*12.73)+'LINEST VARS'!$C$64*(4*0.5)+'LINEST VARS'!$B$64*(4*12.73)+'LINEST VARS'!$A$64*(0.5*12.73)</f>
        <v>164.18999999999988</v>
      </c>
      <c r="F107" s="55">
        <f>'LINEST VARS'!$U$64+'LINEST VARS'!$T$64*($F$104)+'LINEST VARS'!$S$64*($B107)+'LINEST VARS'!$R$64*(4)+'LINEST VARS'!$Q$64*(0.5)+'LINEST VARS'!$P$64*(12.73)+'LINEST VARS'!$O$64*($F$104^2)+'LINEST VARS'!$N$64*($B107^2)+'LINEST VARS'!$M$64*(4^2)+'LINEST VARS'!$L$64*(0.5^2)+'LINEST VARS'!$K$64*(12.73^2)+'LINEST VARS'!$J$64*($F$104*$B107)+'LINEST VARS'!$I$64*($F$104*4)+'LINEST VARS'!$H$64*($F$104*0.5)+'LINEST VARS'!$G$64*($F$104*12.73)+'LINEST VARS'!$F$64*($B107*4)+'LINEST VARS'!$E$64*($B107*0.5)+'LINEST VARS'!$D$64*($B107*12.73)+'LINEST VARS'!$C$64*(4*0.5)+'LINEST VARS'!$B$64*(4*12.73)+'LINEST VARS'!$A$64*(0.5*12.73)</f>
        <v>164.18999999999988</v>
      </c>
      <c r="G107" s="55">
        <f>'LINEST VARS'!$U$64+'LINEST VARS'!$T$64*($G$104)+'LINEST VARS'!$S$64*($B107)+'LINEST VARS'!$R$64*(4)+'LINEST VARS'!$Q$64*(0.5)+'LINEST VARS'!$P$64*(12.73)+'LINEST VARS'!$O$64*($G$104^2)+'LINEST VARS'!$N$64*($B107^2)+'LINEST VARS'!$M$64*(4^2)+'LINEST VARS'!$L$64*(0.5^2)+'LINEST VARS'!$K$64*(12.73^2)+'LINEST VARS'!$J$64*($G$104*$B107)+'LINEST VARS'!$I$64*($G$104*4)+'LINEST VARS'!$H$64*($G$104*0.5)+'LINEST VARS'!$G$64*($G$104*12.73)+'LINEST VARS'!$F$64*($B107*4)+'LINEST VARS'!$E$64*($B107*0.5)+'LINEST VARS'!$D$64*($B107*12.73)+'LINEST VARS'!$C$64*(4*0.5)+'LINEST VARS'!$B$64*(4*12.73)+'LINEST VARS'!$A$64*(0.5*12.73)</f>
        <v>164.18999999999991</v>
      </c>
      <c r="H107" s="55">
        <f>'LINEST VARS'!$U$64+'LINEST VARS'!$T$64*($H$104)+'LINEST VARS'!$S$64*($B107)+'LINEST VARS'!$R$64*(4)+'LINEST VARS'!$Q$64*(0.5)+'LINEST VARS'!$P$64*(12.73)+'LINEST VARS'!$O$64*($H$104^2)+'LINEST VARS'!$N$64*($B107^2)+'LINEST VARS'!$M$64*(4^2)+'LINEST VARS'!$L$64*(0.5^2)+'LINEST VARS'!$K$64*(12.73^2)+'LINEST VARS'!$J$64*($H$104*$B107)+'LINEST VARS'!$I$64*($H$104*4)+'LINEST VARS'!$H$64*($H$104*0.5)+'LINEST VARS'!$G$64*($H$104*12.73)+'LINEST VARS'!$F$64*($B107*4)+'LINEST VARS'!$E$64*($B107*0.5)+'LINEST VARS'!$D$64*($B107*12.73)+'LINEST VARS'!$C$64*(4*0.5)+'LINEST VARS'!$B$64*(4*12.73)+'LINEST VARS'!$A$64*(0.5*12.73)</f>
        <v>164.18999999999991</v>
      </c>
      <c r="I107" s="55">
        <f>'LINEST VARS'!$U$64+'LINEST VARS'!$T$64*($I$104)+'LINEST VARS'!$S$64*($B107)+'LINEST VARS'!$R$64*(4)+'LINEST VARS'!$Q$64*(0.5)+'LINEST VARS'!$P$64*(12.73)+'LINEST VARS'!$O$64*($I$104^2)+'LINEST VARS'!$N$64*($B107^2)+'LINEST VARS'!$M$64*(4^2)+'LINEST VARS'!$L$64*(0.5^2)+'LINEST VARS'!$K$64*(12.73^2)+'LINEST VARS'!$J$64*($I$104*$B107)+'LINEST VARS'!$I$64*($I$104*4)+'LINEST VARS'!$H$64*($I$104*0.5)+'LINEST VARS'!$G$64*($I$104*12.73)+'LINEST VARS'!$F$64*($B107*4)+'LINEST VARS'!$E$64*($B107*0.5)+'LINEST VARS'!$D$64*($B107*12.73)+'LINEST VARS'!$C$64*(4*0.5)+'LINEST VARS'!$B$64*(4*12.73)+'LINEST VARS'!$A$64*(0.5*12.73)</f>
        <v>164.18999999999991</v>
      </c>
      <c r="J107" s="55">
        <f>'LINEST VARS'!$U$64+'LINEST VARS'!$T$64*($J$104)+'LINEST VARS'!$S$64*($B107)+'LINEST VARS'!$R$64*(4)+'LINEST VARS'!$Q$64*(0.5)+'LINEST VARS'!$P$64*(12.73)+'LINEST VARS'!$O$64*($J$104^2)+'LINEST VARS'!$N$64*($B107^2)+'LINEST VARS'!$M$64*(4^2)+'LINEST VARS'!$L$64*(0.5^2)+'LINEST VARS'!$K$64*(12.73^2)+'LINEST VARS'!$J$64*($J$104*$B107)+'LINEST VARS'!$I$64*($J$104*4)+'LINEST VARS'!$H$64*($J$104*0.5)+'LINEST VARS'!$G$64*($J$104*12.73)+'LINEST VARS'!$F$64*($B107*4)+'LINEST VARS'!$E$64*($B107*0.5)+'LINEST VARS'!$D$64*($B107*12.73)+'LINEST VARS'!$C$64*(4*0.5)+'LINEST VARS'!$B$64*(4*12.73)+'LINEST VARS'!$A$64*(0.5*12.73)</f>
        <v>164.18999999999991</v>
      </c>
      <c r="K107" s="55">
        <f>'LINEST VARS'!$U$64+'LINEST VARS'!$T$64*($K$104)+'LINEST VARS'!$S$64*($B107)+'LINEST VARS'!$R$64*(4)+'LINEST VARS'!$Q$64*(0.5)+'LINEST VARS'!$P$64*(12.73)+'LINEST VARS'!$O$64*($K$104^2)+'LINEST VARS'!$N$64*($B107^2)+'LINEST VARS'!$M$64*(4^2)+'LINEST VARS'!$L$64*(0.5^2)+'LINEST VARS'!$K$64*(12.73^2)+'LINEST VARS'!$J$64*($K$104*$B107)+'LINEST VARS'!$I$64*($K$104*4)+'LINEST VARS'!$H$64*($K$104*0.5)+'LINEST VARS'!$G$64*($K$104*12.73)+'LINEST VARS'!$F$64*($B107*4)+'LINEST VARS'!$E$64*($B107*0.5)+'LINEST VARS'!$D$64*($B107*12.73)+'LINEST VARS'!$C$64*(4*0.5)+'LINEST VARS'!$B$64*(4*12.73)+'LINEST VARS'!$A$64*(0.5*12.73)</f>
        <v>164.18999999999991</v>
      </c>
      <c r="L107" s="55">
        <f>'LINEST VARS'!$U$64+'LINEST VARS'!$T$64*($L$104)+'LINEST VARS'!$S$64*($B107)+'LINEST VARS'!$R$64*(4)+'LINEST VARS'!$Q$64*(0.5)+'LINEST VARS'!$P$64*(12.73)+'LINEST VARS'!$O$64*($L$104^2)+'LINEST VARS'!$N$64*($B107^2)+'LINEST VARS'!$M$64*(4^2)+'LINEST VARS'!$L$64*(0.5^2)+'LINEST VARS'!$K$64*(12.73^2)+'LINEST VARS'!$J$64*($L$104*$B107)+'LINEST VARS'!$I$64*($L$104*4)+'LINEST VARS'!$H$64*($L$104*0.5)+'LINEST VARS'!$G$64*($L$104*12.73)+'LINEST VARS'!$F$64*($B107*4)+'LINEST VARS'!$E$64*($B107*0.5)+'LINEST VARS'!$D$64*($B107*12.73)+'LINEST VARS'!$C$64*(4*0.5)+'LINEST VARS'!$B$64*(4*12.73)+'LINEST VARS'!$A$64*(0.5*12.73)</f>
        <v>164.18999999999991</v>
      </c>
      <c r="M107" s="55">
        <f>'LINEST VARS'!$U$64+'LINEST VARS'!$T$64*($M$104)+'LINEST VARS'!$S$64*($B107)+'LINEST VARS'!$R$64*(4)+'LINEST VARS'!$Q$64*(0.5)+'LINEST VARS'!$P$64*(12.73)+'LINEST VARS'!$O$64*($M$104^2)+'LINEST VARS'!$N$64*($B107^2)+'LINEST VARS'!$M$64*(4^2)+'LINEST VARS'!$L$64*(0.5^2)+'LINEST VARS'!$K$64*(12.73^2)+'LINEST VARS'!$J$64*($M$104*$B107)+'LINEST VARS'!$I$64*($M$104*4)+'LINEST VARS'!$H$64*($M$104*0.5)+'LINEST VARS'!$G$64*($M$104*12.73)+'LINEST VARS'!$F$64*($B107*4)+'LINEST VARS'!$E$64*($B107*0.5)+'LINEST VARS'!$D$64*($B107*12.73)+'LINEST VARS'!$C$64*(4*0.5)+'LINEST VARS'!$B$64*(4*12.73)+'LINEST VARS'!$A$64*(0.5*12.73)</f>
        <v>164.18999999999991</v>
      </c>
      <c r="N107" s="55">
        <f>'LINEST VARS'!$U$64+'LINEST VARS'!$T$64*($N$104)+'LINEST VARS'!$S$64*($B107)+'LINEST VARS'!$R$64*(4)+'LINEST VARS'!$Q$64*(0.5)+'LINEST VARS'!$P$64*(12.73)+'LINEST VARS'!$O$64*($N$104^2)+'LINEST VARS'!$N$64*($B107^2)+'LINEST VARS'!$M$64*(4^2)+'LINEST VARS'!$L$64*(0.5^2)+'LINEST VARS'!$K$64*(12.73^2)+'LINEST VARS'!$J$64*($N$104*$B107)+'LINEST VARS'!$I$64*($N$104*4)+'LINEST VARS'!$H$64*($N$104*0.5)+'LINEST VARS'!$G$64*($N$104*12.73)+'LINEST VARS'!$F$64*($B107*4)+'LINEST VARS'!$E$64*($B107*0.5)+'LINEST VARS'!$D$64*($B107*12.73)+'LINEST VARS'!$C$64*(4*0.5)+'LINEST VARS'!$B$64*(4*12.73)+'LINEST VARS'!$A$64*(0.5*12.73)</f>
        <v>164.18999999999991</v>
      </c>
      <c r="O107" s="55">
        <f>'LINEST VARS'!$U$64+'LINEST VARS'!$T$64*($O$104)+'LINEST VARS'!$S$64*($B107)+'LINEST VARS'!$R$64*(4)+'LINEST VARS'!$Q$64*(0.5)+'LINEST VARS'!$P$64*(12.73)+'LINEST VARS'!$O$64*($O$104^2)+'LINEST VARS'!$N$64*($B107^2)+'LINEST VARS'!$M$64*(4^2)+'LINEST VARS'!$L$64*(0.5^2)+'LINEST VARS'!$K$64*(12.73^2)+'LINEST VARS'!$J$64*($O$104*$B107)+'LINEST VARS'!$I$64*($O$104*4)+'LINEST VARS'!$H$64*($O$104*0.5)+'LINEST VARS'!$G$64*($O$104*12.73)+'LINEST VARS'!$F$64*($B107*4)+'LINEST VARS'!$E$64*($B107*0.5)+'LINEST VARS'!$D$64*($B107*12.73)+'LINEST VARS'!$C$64*(4*0.5)+'LINEST VARS'!$B$64*(4*12.73)+'LINEST VARS'!$A$64*(0.5*12.73)</f>
        <v>164.18999999999988</v>
      </c>
      <c r="P107" s="55">
        <f>'LINEST VARS'!$U$64+'LINEST VARS'!$T$64*($P$104)+'LINEST VARS'!$S$64*($B107)+'LINEST VARS'!$R$64*(4)+'LINEST VARS'!$Q$64*(0.5)+'LINEST VARS'!$P$64*(12.73)+'LINEST VARS'!$O$64*($P$104^2)+'LINEST VARS'!$N$64*($B107^2)+'LINEST VARS'!$M$64*(4^2)+'LINEST VARS'!$L$64*(0.5^2)+'LINEST VARS'!$K$64*(12.73^2)+'LINEST VARS'!$J$64*($P$104*$B107)+'LINEST VARS'!$I$64*($P$104*4)+'LINEST VARS'!$H$64*($P$104*0.5)+'LINEST VARS'!$G$64*($P$104*12.73)+'LINEST VARS'!$F$64*($B107*4)+'LINEST VARS'!$E$64*($B107*0.5)+'LINEST VARS'!$D$64*($B107*12.73)+'LINEST VARS'!$C$64*(4*0.5)+'LINEST VARS'!$B$64*(4*12.73)+'LINEST VARS'!$A$64*(0.5*12.73)</f>
        <v>164.18999999999991</v>
      </c>
      <c r="Q107" s="55">
        <f>'LINEST VARS'!$U$64+'LINEST VARS'!$T$64*($Q$104)+'LINEST VARS'!$S$64*($B107)+'LINEST VARS'!$R$64*(4)+'LINEST VARS'!$Q$64*(0.5)+'LINEST VARS'!$P$64*(12.73)+'LINEST VARS'!$O$64*($Q$104^2)+'LINEST VARS'!$N$64*($B107^2)+'LINEST VARS'!$M$64*(4^2)+'LINEST VARS'!$L$64*(0.5^2)+'LINEST VARS'!$K$64*(12.73^2)+'LINEST VARS'!$J$64*($Q$104*$B107)+'LINEST VARS'!$I$64*($Q$104*4)+'LINEST VARS'!$H$64*($Q$104*0.5)+'LINEST VARS'!$G$64*($Q$104*12.73)+'LINEST VARS'!$F$64*($B107*4)+'LINEST VARS'!$E$64*($B107*0.5)+'LINEST VARS'!$D$64*($B107*12.73)+'LINEST VARS'!$C$64*(4*0.5)+'LINEST VARS'!$B$64*(4*12.73)+'LINEST VARS'!$A$64*(0.5*12.73)</f>
        <v>164.18999999999991</v>
      </c>
      <c r="R107" s="55">
        <f>'LINEST VARS'!$U$64+'LINEST VARS'!$T$64*($R$104)+'LINEST VARS'!$S$64*($B107)+'LINEST VARS'!$R$64*(4)+'LINEST VARS'!$Q$64*(0.5)+'LINEST VARS'!$P$64*(12.73)+'LINEST VARS'!$O$64*($R$104^2)+'LINEST VARS'!$N$64*($B107^2)+'LINEST VARS'!$M$64*(4^2)+'LINEST VARS'!$L$64*(0.5^2)+'LINEST VARS'!$K$64*(12.73^2)+'LINEST VARS'!$J$64*($R$104*$B107)+'LINEST VARS'!$I$64*($R$104*4)+'LINEST VARS'!$H$64*($R$104*0.5)+'LINEST VARS'!$G$64*($R$104*12.73)+'LINEST VARS'!$F$64*($B107*4)+'LINEST VARS'!$E$64*($B107*0.5)+'LINEST VARS'!$D$64*($B107*12.73)+'LINEST VARS'!$C$64*(4*0.5)+'LINEST VARS'!$B$64*(4*12.73)+'LINEST VARS'!$A$64*(0.5*12.73)</f>
        <v>164.18999999999991</v>
      </c>
      <c r="S107" s="55">
        <f>'LINEST VARS'!$U$64+'LINEST VARS'!$T$64*($S$104)+'LINEST VARS'!$S$64*($B107)+'LINEST VARS'!$R$64*(4)+'LINEST VARS'!$Q$64*(0.5)+'LINEST VARS'!$P$64*(12.73)+'LINEST VARS'!$O$64*($S$104^2)+'LINEST VARS'!$N$64*($B107^2)+'LINEST VARS'!$M$64*(4^2)+'LINEST VARS'!$L$64*(0.5^2)+'LINEST VARS'!$K$64*(12.73^2)+'LINEST VARS'!$J$64*($S$104*$B107)+'LINEST VARS'!$I$64*($S$104*4)+'LINEST VARS'!$H$64*($S$104*0.5)+'LINEST VARS'!$G$64*($S$104*12.73)+'LINEST VARS'!$F$64*($B107*4)+'LINEST VARS'!$E$64*($B107*0.5)+'LINEST VARS'!$D$64*($B107*12.73)+'LINEST VARS'!$C$64*(4*0.5)+'LINEST VARS'!$B$64*(4*12.73)+'LINEST VARS'!$A$64*(0.5*12.73)</f>
        <v>164.18999999999991</v>
      </c>
      <c r="T107" s="55">
        <f>'LINEST VARS'!$U$64+'LINEST VARS'!$T$64*($T$104)+'LINEST VARS'!$S$64*($B107)+'LINEST VARS'!$R$64*(4)+'LINEST VARS'!$Q$64*(0.5)+'LINEST VARS'!$P$64*(12.73)+'LINEST VARS'!$O$64*($T$104^2)+'LINEST VARS'!$N$64*($B107^2)+'LINEST VARS'!$M$64*(4^2)+'LINEST VARS'!$L$64*(0.5^2)+'LINEST VARS'!$K$64*(12.73^2)+'LINEST VARS'!$J$64*($T$104*$B107)+'LINEST VARS'!$I$64*($T$104*4)+'LINEST VARS'!$H$64*($T$104*0.5)+'LINEST VARS'!$G$64*($T$104*12.73)+'LINEST VARS'!$F$64*($B107*4)+'LINEST VARS'!$E$64*($B107*0.5)+'LINEST VARS'!$D$64*($B107*12.73)+'LINEST VARS'!$C$64*(4*0.5)+'LINEST VARS'!$B$64*(4*12.73)+'LINEST VARS'!$A$64*(0.5*12.73)</f>
        <v>164.18999999999988</v>
      </c>
      <c r="U107" s="55">
        <f>'LINEST VARS'!$U$64+'LINEST VARS'!$T$64*($U$104)+'LINEST VARS'!$S$64*($B107)+'LINEST VARS'!$R$64*(4)+'LINEST VARS'!$Q$64*(0.5)+'LINEST VARS'!$P$64*(12.73)+'LINEST VARS'!$O$64*($U$104^2)+'LINEST VARS'!$N$64*($B107^2)+'LINEST VARS'!$M$64*(4^2)+'LINEST VARS'!$L$64*(0.5^2)+'LINEST VARS'!$K$64*(12.73^2)+'LINEST VARS'!$J$64*($U$104*$B107)+'LINEST VARS'!$I$64*($U$104*4)+'LINEST VARS'!$H$64*($U$104*0.5)+'LINEST VARS'!$G$64*($U$104*12.73)+'LINEST VARS'!$F$64*($B107*4)+'LINEST VARS'!$E$64*($B107*0.5)+'LINEST VARS'!$D$64*($B107*12.73)+'LINEST VARS'!$C$64*(4*0.5)+'LINEST VARS'!$B$64*(4*12.73)+'LINEST VARS'!$A$64*(0.5*12.73)</f>
        <v>164.18999999999988</v>
      </c>
      <c r="V107" s="55">
        <f>'LINEST VARS'!$U$64+'LINEST VARS'!$T$64*($V$104)+'LINEST VARS'!$S$64*($B107)+'LINEST VARS'!$R$64*(4)+'LINEST VARS'!$Q$64*(0.5)+'LINEST VARS'!$P$64*(12.73)+'LINEST VARS'!$O$64*($V$104^2)+'LINEST VARS'!$N$64*($B107^2)+'LINEST VARS'!$M$64*(4^2)+'LINEST VARS'!$L$64*(0.5^2)+'LINEST VARS'!$K$64*(12.73^2)+'LINEST VARS'!$J$64*($V$104*$B107)+'LINEST VARS'!$I$64*($V$104*4)+'LINEST VARS'!$H$64*($V$104*0.5)+'LINEST VARS'!$G$64*($V$104*12.73)+'LINEST VARS'!$F$64*($B107*4)+'LINEST VARS'!$E$64*($B107*0.5)+'LINEST VARS'!$D$64*($B107*12.73)+'LINEST VARS'!$C$64*(4*0.5)+'LINEST VARS'!$B$64*(4*12.73)+'LINEST VARS'!$A$64*(0.5*12.73)</f>
        <v>164.18999999999988</v>
      </c>
      <c r="W107" s="56">
        <f>'LINEST VARS'!$U$64+'LINEST VARS'!$T$64*($W$104)+'LINEST VARS'!$S$64*($B107)+'LINEST VARS'!$R$64*(4)+'LINEST VARS'!$Q$64*(0.5)+'LINEST VARS'!$P$64*(12.73)+'LINEST VARS'!$O$64*($W$104^2)+'LINEST VARS'!$N$64*($B107^2)+'LINEST VARS'!$M$64*(4^2)+'LINEST VARS'!$L$64*(0.5^2)+'LINEST VARS'!$K$64*(12.73^2)+'LINEST VARS'!$J$64*($W$104*$B107)+'LINEST VARS'!$I$64*($W$104*4)+'LINEST VARS'!$H$64*($W$104*0.5)+'LINEST VARS'!$G$64*($W$104*12.73)+'LINEST VARS'!$F$64*($B107*4)+'LINEST VARS'!$E$64*($B107*0.5)+'LINEST VARS'!$D$64*($B107*12.73)+'LINEST VARS'!$C$64*(4*0.5)+'LINEST VARS'!$B$64*(4*12.73)+'LINEST VARS'!$A$64*(0.5*12.73)</f>
        <v>164.18999999999988</v>
      </c>
      <c r="Z107" s="45">
        <v>7.52</v>
      </c>
      <c r="AA107" s="46">
        <f>'LINEST VARS'!$U$66+'LINEST VARS'!$T$66*($AA$104)+'LINEST VARS'!$S$66*($Z107)+'LINEST VARS'!$R$66*(4)+'LINEST VARS'!$Q$66*(0.5)+'LINEST VARS'!$P$66*(12.73)+'LINEST VARS'!$O$66*($AA$104^2)+'LINEST VARS'!$N$66*($Z107^2)+'LINEST VARS'!$M$66*(4^2)+'LINEST VARS'!$L$66*(0.5^2)+'LINEST VARS'!$K$66*(12.73^2)+'LINEST VARS'!$J$66*($AA$104*$Z107)+'LINEST VARS'!$I$66*($AA$104*4)+'LINEST VARS'!$H$66*($AA$104*0.5)+'LINEST VARS'!$G$66*($AA$104*12.73)+'LINEST VARS'!$F$66*($Z107*4)+'LINEST VARS'!$E$66*($Z107*0.5)+'LINEST VARS'!$D$66*($Z107*12.73)+'LINEST VARS'!$C$66*(4*0.5)+'LINEST VARS'!$B$66*(4*12.73)+'LINEST VARS'!$A$66*(0.5*12.73)</f>
        <v>134.20000000000007</v>
      </c>
      <c r="AB107" s="46">
        <f>'LINEST VARS'!$U$66+'LINEST VARS'!$T$66*($AB$104)+'LINEST VARS'!$S$66*($Z107)+'LINEST VARS'!$R$66*(4)+'LINEST VARS'!$Q$66*(0.5)+'LINEST VARS'!$P$66*(12.73)+'LINEST VARS'!$O$66*($AB$104^2)+'LINEST VARS'!$N$66*($Z107^2)+'LINEST VARS'!$M$66*(4^2)+'LINEST VARS'!$L$66*(0.5^2)+'LINEST VARS'!$K$66*(12.73^2)+'LINEST VARS'!$J$66*($AB$104*$Z107)+'LINEST VARS'!$I$66*($AB$104*4)+'LINEST VARS'!$H$66*($AB$104*0.5)+'LINEST VARS'!$G$66*($AB$104*12.73)+'LINEST VARS'!$F$66*($Z107*4)+'LINEST VARS'!$E$66*($Z107*0.5)+'LINEST VARS'!$D$66*($Z107*12.73)+'LINEST VARS'!$C$66*(4*0.5)+'LINEST VARS'!$B$66*(4*12.73)+'LINEST VARS'!$A$66*(0.5*12.73)</f>
        <v>134.38000000000008</v>
      </c>
      <c r="AC107" s="46">
        <f>'LINEST VARS'!$U$66+'LINEST VARS'!$T$66*($AC$104)+'LINEST VARS'!$S$66*($Z107)+'LINEST VARS'!$R$66*(4)+'LINEST VARS'!$Q$66*(0.5)+'LINEST VARS'!$P$66*(12.73)+'LINEST VARS'!$O$66*($AC$104^2)+'LINEST VARS'!$N$66*($Z107^2)+'LINEST VARS'!$M$66*(4^2)+'LINEST VARS'!$L$66*(0.5^2)+'LINEST VARS'!$K$66*(12.73^2)+'LINEST VARS'!$J$66*($AC$104*$Z107)+'LINEST VARS'!$I$66*($AC$104*4)+'LINEST VARS'!$H$66*($AC$104*0.5)+'LINEST VARS'!$G$66*($AC$104*12.73)+'LINEST VARS'!$F$66*($Z107*4)+'LINEST VARS'!$E$66*($Z107*0.5)+'LINEST VARS'!$D$66*($Z107*12.73)+'LINEST VARS'!$C$66*(4*0.5)+'LINEST VARS'!$B$66*(4*12.73)+'LINEST VARS'!$A$66*(0.5*12.73)</f>
        <v>134.56000000000006</v>
      </c>
      <c r="AD107" s="46">
        <f>'LINEST VARS'!$U$66+'LINEST VARS'!$T$66*($AD$104)+'LINEST VARS'!$S$66*($Z107)+'LINEST VARS'!$R$66*(4)+'LINEST VARS'!$Q$66*(0.5)+'LINEST VARS'!$P$66*(12.73)+'LINEST VARS'!$O$66*($AD$104^2)+'LINEST VARS'!$N$66*($Z107^2)+'LINEST VARS'!$M$66*(4^2)+'LINEST VARS'!$L$66*(0.5^2)+'LINEST VARS'!$K$66*(12.73^2)+'LINEST VARS'!$J$66*($AD$104*$Z107)+'LINEST VARS'!$I$66*($AD$104*4)+'LINEST VARS'!$H$66*($AD$104*0.5)+'LINEST VARS'!$G$66*($AD$104*12.73)+'LINEST VARS'!$F$66*($Z107*4)+'LINEST VARS'!$E$66*($Z107*0.5)+'LINEST VARS'!$D$66*($Z107*12.73)+'LINEST VARS'!$C$66*(4*0.5)+'LINEST VARS'!$B$66*(4*12.73)+'LINEST VARS'!$A$66*(0.5*12.73)</f>
        <v>134.74000000000007</v>
      </c>
      <c r="AE107" s="46">
        <f>'LINEST VARS'!$U$66+'LINEST VARS'!$T$66*($AE$104)+'LINEST VARS'!$S$66*($Z107)+'LINEST VARS'!$R$66*(4)+'LINEST VARS'!$Q$66*(0.5)+'LINEST VARS'!$P$66*(12.73)+'LINEST VARS'!$O$66*($AE$104^2)+'LINEST VARS'!$N$66*($Z107^2)+'LINEST VARS'!$M$66*(4^2)+'LINEST VARS'!$L$66*(0.5^2)+'LINEST VARS'!$K$66*(12.73^2)+'LINEST VARS'!$J$66*($AE$104*$Z107)+'LINEST VARS'!$I$66*($AE$104*4)+'LINEST VARS'!$H$66*($AE$104*0.5)+'LINEST VARS'!$G$66*($AE$104*12.73)+'LINEST VARS'!$F$66*($Z107*4)+'LINEST VARS'!$E$66*($Z107*0.5)+'LINEST VARS'!$D$66*($Z107*12.73)+'LINEST VARS'!$C$66*(4*0.5)+'LINEST VARS'!$B$66*(4*12.73)+'LINEST VARS'!$A$66*(0.5*12.73)</f>
        <v>134.92000000000007</v>
      </c>
      <c r="AF107" s="46">
        <f>'LINEST VARS'!$U$66+'LINEST VARS'!$T$66*($AF$104)+'LINEST VARS'!$S$66*($Z107)+'LINEST VARS'!$R$66*(4)+'LINEST VARS'!$Q$66*(0.5)+'LINEST VARS'!$P$66*(12.73)+'LINEST VARS'!$O$66*($AF$104^2)+'LINEST VARS'!$N$66*($Z107^2)+'LINEST VARS'!$M$66*(4^2)+'LINEST VARS'!$L$66*(0.5^2)+'LINEST VARS'!$K$66*(12.73^2)+'LINEST VARS'!$J$66*($AF$104*$Z107)+'LINEST VARS'!$I$66*($AF$104*4)+'LINEST VARS'!$H$66*($AF$104*0.5)+'LINEST VARS'!$G$66*($AF$104*12.73)+'LINEST VARS'!$F$66*($Z107*4)+'LINEST VARS'!$E$66*($Z107*0.5)+'LINEST VARS'!$D$66*($Z107*12.73)+'LINEST VARS'!$C$66*(4*0.5)+'LINEST VARS'!$B$66*(4*12.73)+'LINEST VARS'!$A$66*(0.5*12.73)</f>
        <v>135.10000000000008</v>
      </c>
      <c r="AG107" s="46">
        <f>'LINEST VARS'!$U$66+'LINEST VARS'!$T$66*($AG$104)+'LINEST VARS'!$S$66*($Z107)+'LINEST VARS'!$R$66*(4)+'LINEST VARS'!$Q$66*(0.5)+'LINEST VARS'!$P$66*(12.73)+'LINEST VARS'!$O$66*($AG$104^2)+'LINEST VARS'!$N$66*($Z107^2)+'LINEST VARS'!$M$66*(4^2)+'LINEST VARS'!$L$66*(0.5^2)+'LINEST VARS'!$K$66*(12.73^2)+'LINEST VARS'!$J$66*($AG$104*$Z107)+'LINEST VARS'!$I$66*($AG$104*4)+'LINEST VARS'!$H$66*($AG$104*0.5)+'LINEST VARS'!$G$66*($AG$104*12.73)+'LINEST VARS'!$F$66*($Z107*4)+'LINEST VARS'!$E$66*($Z107*0.5)+'LINEST VARS'!$D$66*($Z107*12.73)+'LINEST VARS'!$C$66*(4*0.5)+'LINEST VARS'!$B$66*(4*12.73)+'LINEST VARS'!$A$66*(0.5*12.73)</f>
        <v>135.28000000000006</v>
      </c>
      <c r="AH107" s="46">
        <f>'LINEST VARS'!$U$66+'LINEST VARS'!$T$66*($AH$104)+'LINEST VARS'!$S$66*($Z107)+'LINEST VARS'!$R$66*(4)+'LINEST VARS'!$Q$66*(0.5)+'LINEST VARS'!$P$66*(12.73)+'LINEST VARS'!$O$66*($AH$104^2)+'LINEST VARS'!$N$66*($Z107^2)+'LINEST VARS'!$M$66*(4^2)+'LINEST VARS'!$L$66*(0.5^2)+'LINEST VARS'!$K$66*(12.73^2)+'LINEST VARS'!$J$66*($AH$104*$Z107)+'LINEST VARS'!$I$66*($AH$104*4)+'LINEST VARS'!$H$66*($AH$104*0.5)+'LINEST VARS'!$G$66*($AH$104*12.73)+'LINEST VARS'!$F$66*($Z107*4)+'LINEST VARS'!$E$66*($Z107*0.5)+'LINEST VARS'!$D$66*($Z107*12.73)+'LINEST VARS'!$C$66*(4*0.5)+'LINEST VARS'!$B$66*(4*12.73)+'LINEST VARS'!$A$66*(0.5*12.73)</f>
        <v>135.46000000000006</v>
      </c>
      <c r="AI107" s="46">
        <f>'LINEST VARS'!$U$66+'LINEST VARS'!$T$66*($AI$104)+'LINEST VARS'!$S$66*($Z107)+'LINEST VARS'!$R$66*(4)+'LINEST VARS'!$Q$66*(0.5)+'LINEST VARS'!$P$66*(12.73)+'LINEST VARS'!$O$66*($AI$104^2)+'LINEST VARS'!$N$66*($Z107^2)+'LINEST VARS'!$M$66*(4^2)+'LINEST VARS'!$L$66*(0.5^2)+'LINEST VARS'!$K$66*(12.73^2)+'LINEST VARS'!$J$66*($AI$104*$Z107)+'LINEST VARS'!$I$66*($AI$104*4)+'LINEST VARS'!$H$66*($AI$104*0.5)+'LINEST VARS'!$G$66*($AI$104*12.73)+'LINEST VARS'!$F$66*($Z107*4)+'LINEST VARS'!$E$66*($Z107*0.5)+'LINEST VARS'!$D$66*($Z107*12.73)+'LINEST VARS'!$C$66*(4*0.5)+'LINEST VARS'!$B$66*(4*12.73)+'LINEST VARS'!$A$66*(0.5*12.73)</f>
        <v>135.64000000000007</v>
      </c>
      <c r="AJ107" s="46">
        <f>'LINEST VARS'!$U$66+'LINEST VARS'!$T$66*($AJ$104)+'LINEST VARS'!$S$66*($Z107)+'LINEST VARS'!$R$66*(4)+'LINEST VARS'!$Q$66*(0.5)+'LINEST VARS'!$P$66*(12.73)+'LINEST VARS'!$O$66*($AJ$104^2)+'LINEST VARS'!$N$66*($Z107^2)+'LINEST VARS'!$M$66*(4^2)+'LINEST VARS'!$L$66*(0.5^2)+'LINEST VARS'!$K$66*(12.73^2)+'LINEST VARS'!$J$66*($AJ$104*$Z107)+'LINEST VARS'!$I$66*($AJ$104*4)+'LINEST VARS'!$H$66*($AJ$104*0.5)+'LINEST VARS'!$G$66*($AJ$104*12.73)+'LINEST VARS'!$F$66*($Z107*4)+'LINEST VARS'!$E$66*($Z107*0.5)+'LINEST VARS'!$D$66*($Z107*12.73)+'LINEST VARS'!$C$66*(4*0.5)+'LINEST VARS'!$B$66*(4*12.73)+'LINEST VARS'!$A$66*(0.5*12.73)</f>
        <v>135.82000000000008</v>
      </c>
      <c r="AK107" s="46">
        <f>'LINEST VARS'!$U$66+'LINEST VARS'!$T$66*($AK$104)+'LINEST VARS'!$S$66*($Z107)+'LINEST VARS'!$R$66*(4)+'LINEST VARS'!$Q$66*(0.5)+'LINEST VARS'!$P$66*(12.73)+'LINEST VARS'!$O$66*($AK$104^2)+'LINEST VARS'!$N$66*($Z107^2)+'LINEST VARS'!$M$66*(4^2)+'LINEST VARS'!$L$66*(0.5^2)+'LINEST VARS'!$K$66*(12.73^2)+'LINEST VARS'!$J$66*($AK$104*$Z107)+'LINEST VARS'!$I$66*($AK$104*4)+'LINEST VARS'!$H$66*($AK$104*0.5)+'LINEST VARS'!$G$66*($AK$104*12.73)+'LINEST VARS'!$F$66*($Z107*4)+'LINEST VARS'!$E$66*($Z107*0.5)+'LINEST VARS'!$D$66*($Z107*12.73)+'LINEST VARS'!$C$66*(4*0.5)+'LINEST VARS'!$B$66*(4*12.73)+'LINEST VARS'!$A$66*(0.5*12.73)</f>
        <v>136.00000000000006</v>
      </c>
      <c r="AL107" s="46">
        <f>'LINEST VARS'!$U$66+'LINEST VARS'!$T$66*($AL$104)+'LINEST VARS'!$S$66*($Z107)+'LINEST VARS'!$R$66*(4)+'LINEST VARS'!$Q$66*(0.5)+'LINEST VARS'!$P$66*(12.73)+'LINEST VARS'!$O$66*($AL$104^2)+'LINEST VARS'!$N$66*($Z107^2)+'LINEST VARS'!$M$66*(4^2)+'LINEST VARS'!$L$66*(0.5^2)+'LINEST VARS'!$K$66*(12.73^2)+'LINEST VARS'!$J$66*($AL$104*$Z107)+'LINEST VARS'!$I$66*($AL$104*4)+'LINEST VARS'!$H$66*($AL$104*0.5)+'LINEST VARS'!$G$66*($AL$104*12.73)+'LINEST VARS'!$F$66*($Z107*4)+'LINEST VARS'!$E$66*($Z107*0.5)+'LINEST VARS'!$D$66*($Z107*12.73)+'LINEST VARS'!$C$66*(4*0.5)+'LINEST VARS'!$B$66*(4*12.73)+'LINEST VARS'!$A$66*(0.5*12.73)</f>
        <v>136.18000000000006</v>
      </c>
      <c r="AM107" s="46">
        <f>'LINEST VARS'!$U$66+'LINEST VARS'!$T$66*($AM$104)+'LINEST VARS'!$S$66*($Z107)+'LINEST VARS'!$R$66*(4)+'LINEST VARS'!$Q$66*(0.5)+'LINEST VARS'!$P$66*(12.73)+'LINEST VARS'!$O$66*($AM$104^2)+'LINEST VARS'!$N$66*($Z107^2)+'LINEST VARS'!$M$66*(4^2)+'LINEST VARS'!$L$66*(0.5^2)+'LINEST VARS'!$K$66*(12.73^2)+'LINEST VARS'!$J$66*($AM$104*$Z107)+'LINEST VARS'!$I$66*($AM$104*4)+'LINEST VARS'!$H$66*($AM$104*0.5)+'LINEST VARS'!$G$66*($AM$104*12.73)+'LINEST VARS'!$F$66*($Z107*4)+'LINEST VARS'!$E$66*($Z107*0.5)+'LINEST VARS'!$D$66*($Z107*12.73)+'LINEST VARS'!$C$66*(4*0.5)+'LINEST VARS'!$B$66*(4*12.73)+'LINEST VARS'!$A$66*(0.5*12.73)</f>
        <v>136.3600000000001</v>
      </c>
      <c r="AN107" s="46">
        <f>'LINEST VARS'!$U$66+'LINEST VARS'!$T$66*($AN$104)+'LINEST VARS'!$S$66*($Z107)+'LINEST VARS'!$R$66*(4)+'LINEST VARS'!$Q$66*(0.5)+'LINEST VARS'!$P$66*(12.73)+'LINEST VARS'!$O$66*($AN$104^2)+'LINEST VARS'!$N$66*($Z107^2)+'LINEST VARS'!$M$66*(4^2)+'LINEST VARS'!$L$66*(0.5^2)+'LINEST VARS'!$K$66*(12.73^2)+'LINEST VARS'!$J$66*($AN$104*$Z107)+'LINEST VARS'!$I$66*($AN$104*4)+'LINEST VARS'!$H$66*($AN$104*0.5)+'LINEST VARS'!$G$66*($AN$104*12.73)+'LINEST VARS'!$F$66*($Z107*4)+'LINEST VARS'!$E$66*($Z107*0.5)+'LINEST VARS'!$D$66*($Z107*12.73)+'LINEST VARS'!$C$66*(4*0.5)+'LINEST VARS'!$B$66*(4*12.73)+'LINEST VARS'!$A$66*(0.5*12.73)</f>
        <v>136.54000000000011</v>
      </c>
      <c r="AO107" s="46">
        <f>'LINEST VARS'!$U$66+'LINEST VARS'!$T$66*($AO$104)+'LINEST VARS'!$S$66*($Z107)+'LINEST VARS'!$R$66*(4)+'LINEST VARS'!$Q$66*(0.5)+'LINEST VARS'!$P$66*(12.73)+'LINEST VARS'!$O$66*($AO$104^2)+'LINEST VARS'!$N$66*($Z107^2)+'LINEST VARS'!$M$66*(4^2)+'LINEST VARS'!$L$66*(0.5^2)+'LINEST VARS'!$K$66*(12.73^2)+'LINEST VARS'!$J$66*($AO$104*$Z107)+'LINEST VARS'!$I$66*($AO$104*4)+'LINEST VARS'!$H$66*($AO$104*0.5)+'LINEST VARS'!$G$66*($AO$104*12.73)+'LINEST VARS'!$F$66*($Z107*4)+'LINEST VARS'!$E$66*($Z107*0.5)+'LINEST VARS'!$D$66*($Z107*12.73)+'LINEST VARS'!$C$66*(4*0.5)+'LINEST VARS'!$B$66*(4*12.73)+'LINEST VARS'!$A$66*(0.5*12.73)</f>
        <v>136.72000000000008</v>
      </c>
      <c r="AP107" s="46">
        <f>'LINEST VARS'!$U$66+'LINEST VARS'!$T$66*($AP$104)+'LINEST VARS'!$S$66*($Z107)+'LINEST VARS'!$R$66*(4)+'LINEST VARS'!$Q$66*(0.5)+'LINEST VARS'!$P$66*(12.73)+'LINEST VARS'!$O$66*($AP$104^2)+'LINEST VARS'!$N$66*($Z107^2)+'LINEST VARS'!$M$66*(4^2)+'LINEST VARS'!$L$66*(0.5^2)+'LINEST VARS'!$K$66*(12.73^2)+'LINEST VARS'!$J$66*($AP$104*$Z107)+'LINEST VARS'!$I$66*($AP$104*4)+'LINEST VARS'!$H$66*($AP$104*0.5)+'LINEST VARS'!$G$66*($AP$104*12.73)+'LINEST VARS'!$F$66*($Z107*4)+'LINEST VARS'!$E$66*($Z107*0.5)+'LINEST VARS'!$D$66*($Z107*12.73)+'LINEST VARS'!$C$66*(4*0.5)+'LINEST VARS'!$B$66*(4*12.73)+'LINEST VARS'!$A$66*(0.5*12.73)</f>
        <v>136.90000000000009</v>
      </c>
      <c r="AQ107" s="46">
        <f>'LINEST VARS'!$U$66+'LINEST VARS'!$T$66*($AQ$104)+'LINEST VARS'!$S$66*($Z107)+'LINEST VARS'!$R$66*(4)+'LINEST VARS'!$Q$66*(0.5)+'LINEST VARS'!$P$66*(12.73)+'LINEST VARS'!$O$66*($AQ$104^2)+'LINEST VARS'!$N$66*($Z107^2)+'LINEST VARS'!$M$66*(4^2)+'LINEST VARS'!$L$66*(0.5^2)+'LINEST VARS'!$K$66*(12.73^2)+'LINEST VARS'!$J$66*($AQ$104*$Z107)+'LINEST VARS'!$I$66*($AQ$104*4)+'LINEST VARS'!$H$66*($AQ$104*0.5)+'LINEST VARS'!$G$66*($AQ$104*12.73)+'LINEST VARS'!$F$66*($Z107*4)+'LINEST VARS'!$E$66*($Z107*0.5)+'LINEST VARS'!$D$66*($Z107*12.73)+'LINEST VARS'!$C$66*(4*0.5)+'LINEST VARS'!$B$66*(4*12.73)+'LINEST VARS'!$A$66*(0.5*12.73)</f>
        <v>137.0800000000001</v>
      </c>
      <c r="AR107" s="46">
        <f>'LINEST VARS'!$U$66+'LINEST VARS'!$T$66*($AR$104)+'LINEST VARS'!$S$66*($Z107)+'LINEST VARS'!$R$66*(4)+'LINEST VARS'!$Q$66*(0.5)+'LINEST VARS'!$P$66*(12.73)+'LINEST VARS'!$O$66*($AR$104^2)+'LINEST VARS'!$N$66*($Z107^2)+'LINEST VARS'!$M$66*(4^2)+'LINEST VARS'!$L$66*(0.5^2)+'LINEST VARS'!$K$66*(12.73^2)+'LINEST VARS'!$J$66*($AR$104*$Z107)+'LINEST VARS'!$I$66*($AR$104*4)+'LINEST VARS'!$H$66*($AR$104*0.5)+'LINEST VARS'!$G$66*($AR$104*12.73)+'LINEST VARS'!$F$66*($Z107*4)+'LINEST VARS'!$E$66*($Z107*0.5)+'LINEST VARS'!$D$66*($Z107*12.73)+'LINEST VARS'!$C$66*(4*0.5)+'LINEST VARS'!$B$66*(4*12.73)+'LINEST VARS'!$A$66*(0.5*12.73)</f>
        <v>137.2600000000001</v>
      </c>
      <c r="AS107" s="46">
        <f>'LINEST VARS'!$U$66+'LINEST VARS'!$T$66*($AS$104)+'LINEST VARS'!$S$66*($Z107)+'LINEST VARS'!$R$66*(4)+'LINEST VARS'!$Q$66*(0.5)+'LINEST VARS'!$P$66*(12.73)+'LINEST VARS'!$O$66*($AS$104^2)+'LINEST VARS'!$N$66*($Z107^2)+'LINEST VARS'!$M$66*(4^2)+'LINEST VARS'!$L$66*(0.5^2)+'LINEST VARS'!$K$66*(12.73^2)+'LINEST VARS'!$J$66*($AS$104*$Z107)+'LINEST VARS'!$I$66*($AS$104*4)+'LINEST VARS'!$H$66*($AS$104*0.5)+'LINEST VARS'!$G$66*($AS$104*12.73)+'LINEST VARS'!$F$66*($Z107*4)+'LINEST VARS'!$E$66*($Z107*0.5)+'LINEST VARS'!$D$66*($Z107*12.73)+'LINEST VARS'!$C$66*(4*0.5)+'LINEST VARS'!$B$66*(4*12.73)+'LINEST VARS'!$A$66*(0.5*12.73)</f>
        <v>137.44000000000008</v>
      </c>
      <c r="AT107" s="46">
        <f>'LINEST VARS'!$U$66+'LINEST VARS'!$T$66*($AT$104)+'LINEST VARS'!$S$66*($Z107)+'LINEST VARS'!$R$66*(4)+'LINEST VARS'!$Q$66*(0.5)+'LINEST VARS'!$P$66*(12.73)+'LINEST VARS'!$O$66*($AT$104^2)+'LINEST VARS'!$N$66*($Z107^2)+'LINEST VARS'!$M$66*(4^2)+'LINEST VARS'!$L$66*(0.5^2)+'LINEST VARS'!$K$66*(12.73^2)+'LINEST VARS'!$J$66*($AT$104*$Z107)+'LINEST VARS'!$I$66*($AT$104*4)+'LINEST VARS'!$H$66*($AT$104*0.5)+'LINEST VARS'!$G$66*($AT$104*12.73)+'LINEST VARS'!$F$66*($Z107*4)+'LINEST VARS'!$E$66*($Z107*0.5)+'LINEST VARS'!$D$66*($Z107*12.73)+'LINEST VARS'!$C$66*(4*0.5)+'LINEST VARS'!$B$66*(4*12.73)+'LINEST VARS'!$A$66*(0.5*12.73)</f>
        <v>137.62000000000009</v>
      </c>
      <c r="AU107" s="47">
        <f>'LINEST VARS'!$U$66+'LINEST VARS'!$T$66*($AU$104)+'LINEST VARS'!$S$66*($Z107)+'LINEST VARS'!$R$66*(4)+'LINEST VARS'!$Q$66*(0.5)+'LINEST VARS'!$P$66*(12.73)+'LINEST VARS'!$O$66*($AU$104^2)+'LINEST VARS'!$N$66*($Z107^2)+'LINEST VARS'!$M$66*(4^2)+'LINEST VARS'!$L$66*(0.5^2)+'LINEST VARS'!$K$66*(12.73^2)+'LINEST VARS'!$J$66*($AU$104*$Z107)+'LINEST VARS'!$I$66*($AU$104*4)+'LINEST VARS'!$H$66*($AU$104*0.5)+'LINEST VARS'!$G$66*($AU$104*12.73)+'LINEST VARS'!$F$66*($Z107*4)+'LINEST VARS'!$E$66*($Z107*0.5)+'LINEST VARS'!$D$66*($Z107*12.73)+'LINEST VARS'!$C$66*(4*0.5)+'LINEST VARS'!$B$66*(4*12.73)+'LINEST VARS'!$A$66*(0.5*12.73)</f>
        <v>137.8000000000001</v>
      </c>
      <c r="AZ107" s="45">
        <v>0.1</v>
      </c>
      <c r="BA107" s="55">
        <f>'LINEST VARS'!$U$64+'LINEST VARS'!$T$64*(8)+'LINEST VARS'!$S$64*(8)+'LINEST VARS'!$R$64*($BA$104)+'LINEST VARS'!$Q$64*($AZ107)+'LINEST VARS'!$P$64*(12.73)+'LINEST VARS'!$O$64*(8^2)+'LINEST VARS'!$N$64*(8^2)+'LINEST VARS'!$M$64*($BA$104^2)+'LINEST VARS'!$L$64*($AZ107^2)+'LINEST VARS'!$K$64*(12.73^2)+'LINEST VARS'!$J$64*(8*8)+'LINEST VARS'!$I$64*(8*$BA$104)+'LINEST VARS'!$H$64*(8*$AZ107)+'LINEST VARS'!$G$64*(8*12.73)+'LINEST VARS'!$F$64*(8*$BA$104)+'LINEST VARS'!$E$64*(8*$AZ107)+'LINEST VARS'!$D$64*(8*12.73)+'LINEST VARS'!$C$64*($BA$104*$AZ107)+'LINEST VARS'!$B$64*($BA$104*12.73)+'LINEST VARS'!$A$64*($AZ107*12.73)</f>
        <v>148.18999999999988</v>
      </c>
      <c r="BB107" s="55">
        <f>'LINEST VARS'!$U$64+'LINEST VARS'!$T$64*(8)+'LINEST VARS'!$S$64*(8)+'LINEST VARS'!$R$64*($BB$104)+'LINEST VARS'!$Q$64*($AZ107)+'LINEST VARS'!$P$64*(12.73)+'LINEST VARS'!$O$64*(8^2)+'LINEST VARS'!$N$64*(8^2)+'LINEST VARS'!$M$64*($BB$104^2)+'LINEST VARS'!$L$64*($AZ107^2)+'LINEST VARS'!$K$64*(12.73^2)+'LINEST VARS'!$J$64*(8*8)+'LINEST VARS'!$I$64*(8*$BB$104)+'LINEST VARS'!$H$64*(8*$AZ107)+'LINEST VARS'!$G$64*(8*12.73)+'LINEST VARS'!$F$64*(8*$BB$104)+'LINEST VARS'!$E$64*(8*$AZ107)+'LINEST VARS'!$D$64*(8*12.73)+'LINEST VARS'!$C$64*($BB$104*$AZ107)+'LINEST VARS'!$B$64*($BB$104*12.73)+'LINEST VARS'!$A$64*($AZ107*12.73)</f>
        <v>149.78999999999991</v>
      </c>
      <c r="BC107" s="55">
        <f>'LINEST VARS'!$U$64+'LINEST VARS'!$T$64*(8)+'LINEST VARS'!$S$64*(8)+'LINEST VARS'!$R$64*($BC$104)+'LINEST VARS'!$Q$64*($AZ107)+'LINEST VARS'!$P$64*(12.73)+'LINEST VARS'!$O$64*(8^2)+'LINEST VARS'!$N$64*(8^2)+'LINEST VARS'!$M$64*($BC$104^2)+'LINEST VARS'!$L$64*($AZ107^2)+'LINEST VARS'!$K$64*(12.73^2)+'LINEST VARS'!$J$64*(8*8)+'LINEST VARS'!$I$64*(8*$BC$104)+'LINEST VARS'!$H$64*(8*$AZ107)+'LINEST VARS'!$G$64*(8*12.73)+'LINEST VARS'!$F$64*(8*$BC$104)+'LINEST VARS'!$E$64*(8*$AZ107)+'LINEST VARS'!$D$64*(8*12.73)+'LINEST VARS'!$C$64*($BC$104*$AZ107)+'LINEST VARS'!$B$64*($BC$104*12.73)+'LINEST VARS'!$A$64*($AZ107*12.73)</f>
        <v>151.3899999999999</v>
      </c>
      <c r="BD107" s="55">
        <f>'LINEST VARS'!$U$64+'LINEST VARS'!$T$64*(8)+'LINEST VARS'!$S$64*(8)+'LINEST VARS'!$R$64*($BD$104)+'LINEST VARS'!$Q$64*($AZ107)+'LINEST VARS'!$P$64*(12.73)+'LINEST VARS'!$O$64*(8^2)+'LINEST VARS'!$N$64*(8^2)+'LINEST VARS'!$M$64*($BD$104^2)+'LINEST VARS'!$L$64*($AZ107^2)+'LINEST VARS'!$K$64*(12.73^2)+'LINEST VARS'!$J$64*(8*8)+'LINEST VARS'!$I$64*(8*$BD$104)+'LINEST VARS'!$H$64*(8*$AZ107)+'LINEST VARS'!$G$64*(8*12.73)+'LINEST VARS'!$F$64*(8*$BD$104)+'LINEST VARS'!$E$64*(8*$AZ107)+'LINEST VARS'!$D$64*(8*12.73)+'LINEST VARS'!$C$64*($BD$104*$AZ107)+'LINEST VARS'!$B$64*($BD$104*12.73)+'LINEST VARS'!$A$64*($AZ107*12.73)</f>
        <v>152.9899999999999</v>
      </c>
      <c r="BE107" s="55">
        <f>'LINEST VARS'!$U$64+'LINEST VARS'!$T$64*(8)+'LINEST VARS'!$S$64*(8)+'LINEST VARS'!$R$64*($BE$104)+'LINEST VARS'!$Q$64*($AZ107)+'LINEST VARS'!$P$64*(12.73)+'LINEST VARS'!$O$64*(8^2)+'LINEST VARS'!$N$64*(8^2)+'LINEST VARS'!$M$64*($BE$104^2)+'LINEST VARS'!$L$64*($AZ107^2)+'LINEST VARS'!$K$64*(12.73^2)+'LINEST VARS'!$J$64*(8*8)+'LINEST VARS'!$I$64*(8*$BE$104)+'LINEST VARS'!$H$64*(8*$AZ107)+'LINEST VARS'!$G$64*(8*12.73)+'LINEST VARS'!$F$64*(8*$BE$104)+'LINEST VARS'!$E$64*(8*$AZ107)+'LINEST VARS'!$D$64*(8*12.73)+'LINEST VARS'!$C$64*($BE$104*$AZ107)+'LINEST VARS'!$B$64*($BE$104*12.73)+'LINEST VARS'!$A$64*($AZ107*12.73)</f>
        <v>154.58999999999992</v>
      </c>
      <c r="BF107" s="55">
        <f>'LINEST VARS'!$U$64+'LINEST VARS'!$T$64*(8)+'LINEST VARS'!$S$64*(8)+'LINEST VARS'!$R$64*($BF$104)+'LINEST VARS'!$Q$64*($AZ107)+'LINEST VARS'!$P$64*(12.73)+'LINEST VARS'!$O$64*(8^2)+'LINEST VARS'!$N$64*(8^2)+'LINEST VARS'!$M$64*($BF$104^2)+'LINEST VARS'!$L$64*($AZ107^2)+'LINEST VARS'!$K$64*(12.73^2)+'LINEST VARS'!$J$64*(8*8)+'LINEST VARS'!$I$64*(8*$BF$104)+'LINEST VARS'!$H$64*(8*$AZ107)+'LINEST VARS'!$G$64*(8*12.73)+'LINEST VARS'!$F$64*(8*$BF$104)+'LINEST VARS'!$E$64*(8*$AZ107)+'LINEST VARS'!$D$64*(8*12.73)+'LINEST VARS'!$C$64*($BF$104*$AZ107)+'LINEST VARS'!$B$64*($BF$104*12.73)+'LINEST VARS'!$A$64*($AZ107*12.73)</f>
        <v>156.18999999999988</v>
      </c>
      <c r="BG107" s="55">
        <f>'LINEST VARS'!$U$64+'LINEST VARS'!$T$64*(8)+'LINEST VARS'!$S$64*(8)+'LINEST VARS'!$R$64*($BG$104)+'LINEST VARS'!$Q$64*($AZ107)+'LINEST VARS'!$P$64*(12.73)+'LINEST VARS'!$O$64*(8^2)+'LINEST VARS'!$N$64*(8^2)+'LINEST VARS'!$M$64*($BG$104^2)+'LINEST VARS'!$L$64*($AZ107^2)+'LINEST VARS'!$K$64*(12.73^2)+'LINEST VARS'!$J$64*(8*8)+'LINEST VARS'!$I$64*(8*$BG$104)+'LINEST VARS'!$H$64*(8*$AZ107)+'LINEST VARS'!$G$64*(8*12.73)+'LINEST VARS'!$F$64*(8*$BG$104)+'LINEST VARS'!$E$64*(8*$AZ107)+'LINEST VARS'!$D$64*(8*12.73)+'LINEST VARS'!$C$64*($BG$104*$AZ107)+'LINEST VARS'!$B$64*($BG$104*12.73)+'LINEST VARS'!$A$64*($AZ107*12.73)</f>
        <v>157.78999999999991</v>
      </c>
      <c r="BH107" s="55">
        <f>'LINEST VARS'!$U$64+'LINEST VARS'!$T$64*(8)+'LINEST VARS'!$S$64*(8)+'LINEST VARS'!$R$64*($BH$104)+'LINEST VARS'!$Q$64*($AZ107)+'LINEST VARS'!$P$64*(12.73)+'LINEST VARS'!$O$64*(8^2)+'LINEST VARS'!$N$64*(8^2)+'LINEST VARS'!$M$64*($BH$104^2)+'LINEST VARS'!$L$64*($AZ107^2)+'LINEST VARS'!$K$64*(12.73^2)+'LINEST VARS'!$J$64*(8*8)+'LINEST VARS'!$I$64*(8*$BH$104)+'LINEST VARS'!$H$64*(8*$AZ107)+'LINEST VARS'!$G$64*(8*12.73)+'LINEST VARS'!$F$64*(8*$BH$104)+'LINEST VARS'!$E$64*(8*$AZ107)+'LINEST VARS'!$D$64*(8*12.73)+'LINEST VARS'!$C$64*($BH$104*$AZ107)+'LINEST VARS'!$B$64*($BH$104*12.73)+'LINEST VARS'!$A$64*($AZ107*12.73)</f>
        <v>159.3899999999999</v>
      </c>
      <c r="BI107" s="55">
        <f>'LINEST VARS'!$U$64+'LINEST VARS'!$T$64*(8)+'LINEST VARS'!$S$64*(8)+'LINEST VARS'!$R$64*($BI$104)+'LINEST VARS'!$Q$64*($AZ107)+'LINEST VARS'!$P$64*(12.73)+'LINEST VARS'!$O$64*(8^2)+'LINEST VARS'!$N$64*(8^2)+'LINEST VARS'!$M$64*($BI$104^2)+'LINEST VARS'!$L$64*($AZ107^2)+'LINEST VARS'!$K$64*(12.73^2)+'LINEST VARS'!$J$64*(8*8)+'LINEST VARS'!$I$64*(8*$BI$104)+'LINEST VARS'!$H$64*(8*$AZ107)+'LINEST VARS'!$G$64*(8*12.73)+'LINEST VARS'!$F$64*(8*$BI$104)+'LINEST VARS'!$E$64*(8*$AZ107)+'LINEST VARS'!$D$64*(8*12.73)+'LINEST VARS'!$C$64*($BI$104*$AZ107)+'LINEST VARS'!$B$64*($BI$104*12.73)+'LINEST VARS'!$A$64*($AZ107*12.73)</f>
        <v>160.9899999999999</v>
      </c>
      <c r="BJ107" s="55">
        <f>'LINEST VARS'!$U$64+'LINEST VARS'!$T$64*(8)+'LINEST VARS'!$S$64*(8)+'LINEST VARS'!$R$64*($BJ$104)+'LINEST VARS'!$Q$64*($AZ107)+'LINEST VARS'!$P$64*(12.73)+'LINEST VARS'!$O$64*(8^2)+'LINEST VARS'!$N$64*(8^2)+'LINEST VARS'!$M$64*($BJ$104^2)+'LINEST VARS'!$L$64*($AZ107^2)+'LINEST VARS'!$K$64*(12.73^2)+'LINEST VARS'!$J$64*(8*8)+'LINEST VARS'!$I$64*(8*$BJ$104)+'LINEST VARS'!$H$64*(8*$AZ107)+'LINEST VARS'!$G$64*(8*12.73)+'LINEST VARS'!$F$64*(8*$BJ$104)+'LINEST VARS'!$E$64*(8*$AZ107)+'LINEST VARS'!$D$64*(8*12.73)+'LINEST VARS'!$C$64*($BJ$104*$AZ107)+'LINEST VARS'!$B$64*($BJ$104*12.73)+'LINEST VARS'!$A$64*($AZ107*12.73)</f>
        <v>162.58999999999992</v>
      </c>
      <c r="BK107" s="55">
        <f>'LINEST VARS'!$U$64+'LINEST VARS'!$T$64*(8)+'LINEST VARS'!$S$64*(8)+'LINEST VARS'!$R$64*($BK$104)+'LINEST VARS'!$Q$64*($AZ107)+'LINEST VARS'!$P$64*(12.73)+'LINEST VARS'!$O$64*(8^2)+'LINEST VARS'!$N$64*(8^2)+'LINEST VARS'!$M$64*($BK$104^2)+'LINEST VARS'!$L$64*($AZ107^2)+'LINEST VARS'!$K$64*(12.73^2)+'LINEST VARS'!$J$64*(8*8)+'LINEST VARS'!$I$64*(8*$BK$104)+'LINEST VARS'!$H$64*(8*$AZ107)+'LINEST VARS'!$G$64*(8*12.73)+'LINEST VARS'!$F$64*(8*$BK$104)+'LINEST VARS'!$E$64*(8*$AZ107)+'LINEST VARS'!$D$64*(8*12.73)+'LINEST VARS'!$C$64*($BK$104*$AZ107)+'LINEST VARS'!$B$64*($BK$104*12.73)+'LINEST VARS'!$A$64*($AZ107*12.73)</f>
        <v>164.18999999999988</v>
      </c>
      <c r="BL107" s="55">
        <f>'LINEST VARS'!$U$64+'LINEST VARS'!$T$64*(8)+'LINEST VARS'!$S$64*(8)+'LINEST VARS'!$R$64*($BL$104)+'LINEST VARS'!$Q$64*($AZ107)+'LINEST VARS'!$P$64*(12.73)+'LINEST VARS'!$O$64*(8^2)+'LINEST VARS'!$N$64*(8^2)+'LINEST VARS'!$M$64*($BL$104^2)+'LINEST VARS'!$L$64*($AZ107^2)+'LINEST VARS'!$K$64*(12.73^2)+'LINEST VARS'!$J$64*(8*8)+'LINEST VARS'!$I$64*(8*$BL$104)+'LINEST VARS'!$H$64*(8*$AZ107)+'LINEST VARS'!$G$64*(8*12.73)+'LINEST VARS'!$F$64*(8*$BL$104)+'LINEST VARS'!$E$64*(8*$AZ107)+'LINEST VARS'!$D$64*(8*12.73)+'LINEST VARS'!$C$64*($BL$104*$AZ107)+'LINEST VARS'!$B$64*($BL$104*12.73)+'LINEST VARS'!$A$64*($AZ107*12.73)</f>
        <v>165.78999999999991</v>
      </c>
      <c r="BM107" s="55">
        <f>'LINEST VARS'!$U$64+'LINEST VARS'!$T$64*(8)+'LINEST VARS'!$S$64*(8)+'LINEST VARS'!$R$64*($BM$104)+'LINEST VARS'!$Q$64*($AZ107)+'LINEST VARS'!$P$64*(12.73)+'LINEST VARS'!$O$64*(8^2)+'LINEST VARS'!$N$64*(8^2)+'LINEST VARS'!$M$64*($BM$104^2)+'LINEST VARS'!$L$64*($AZ107^2)+'LINEST VARS'!$K$64*(12.73^2)+'LINEST VARS'!$J$64*(8*8)+'LINEST VARS'!$I$64*(8*$BM$104)+'LINEST VARS'!$H$64*(8*$AZ107)+'LINEST VARS'!$G$64*(8*12.73)+'LINEST VARS'!$F$64*(8*$BM$104)+'LINEST VARS'!$E$64*(8*$AZ107)+'LINEST VARS'!$D$64*(8*12.73)+'LINEST VARS'!$C$64*($BM$104*$AZ107)+'LINEST VARS'!$B$64*($BM$104*12.73)+'LINEST VARS'!$A$64*($AZ107*12.73)</f>
        <v>167.38999999999987</v>
      </c>
      <c r="BN107" s="55">
        <f>'LINEST VARS'!$U$64+'LINEST VARS'!$T$64*(8)+'LINEST VARS'!$S$64*(8)+'LINEST VARS'!$R$64*($BN$104)+'LINEST VARS'!$Q$64*($AZ107)+'LINEST VARS'!$P$64*(12.73)+'LINEST VARS'!$O$64*(8^2)+'LINEST VARS'!$N$64*(8^2)+'LINEST VARS'!$M$64*($BN$104^2)+'LINEST VARS'!$L$64*($AZ107^2)+'LINEST VARS'!$K$64*(12.73^2)+'LINEST VARS'!$J$64*(8*8)+'LINEST VARS'!$I$64*(8*$BN$104)+'LINEST VARS'!$H$64*(8*$AZ107)+'LINEST VARS'!$G$64*(8*12.73)+'LINEST VARS'!$F$64*(8*$BN$104)+'LINEST VARS'!$E$64*(8*$AZ107)+'LINEST VARS'!$D$64*(8*12.73)+'LINEST VARS'!$C$64*($BN$104*$AZ107)+'LINEST VARS'!$B$64*($BN$104*12.73)+'LINEST VARS'!$A$64*($AZ107*12.73)</f>
        <v>168.9899999999999</v>
      </c>
      <c r="BO107" s="55">
        <f>'LINEST VARS'!$U$64+'LINEST VARS'!$T$64*(8)+'LINEST VARS'!$S$64*(8)+'LINEST VARS'!$R$64*($BO$104)+'LINEST VARS'!$Q$64*($AZ107)+'LINEST VARS'!$P$64*(12.73)+'LINEST VARS'!$O$64*(8^2)+'LINEST VARS'!$N$64*(8^2)+'LINEST VARS'!$M$64*($BO$104^2)+'LINEST VARS'!$L$64*($AZ107^2)+'LINEST VARS'!$K$64*(12.73^2)+'LINEST VARS'!$J$64*(8*8)+'LINEST VARS'!$I$64*(8*$BO$104)+'LINEST VARS'!$H$64*(8*$AZ107)+'LINEST VARS'!$G$64*(8*12.73)+'LINEST VARS'!$F$64*(8*$BO$104)+'LINEST VARS'!$E$64*(8*$AZ107)+'LINEST VARS'!$D$64*(8*12.73)+'LINEST VARS'!$C$64*($BO$104*$AZ107)+'LINEST VARS'!$B$64*($BO$104*12.73)+'LINEST VARS'!$A$64*($AZ107*12.73)</f>
        <v>170.58999999999989</v>
      </c>
      <c r="BP107" s="55">
        <f>'LINEST VARS'!$U$64+'LINEST VARS'!$T$64*(8)+'LINEST VARS'!$S$64*(8)+'LINEST VARS'!$R$64*($BP$104)+'LINEST VARS'!$Q$64*($AZ107)+'LINEST VARS'!$P$64*(12.73)+'LINEST VARS'!$O$64*(8^2)+'LINEST VARS'!$N$64*(8^2)+'LINEST VARS'!$M$64*($BP$104^2)+'LINEST VARS'!$L$64*($AZ107^2)+'LINEST VARS'!$K$64*(12.73^2)+'LINEST VARS'!$J$64*(8*8)+'LINEST VARS'!$I$64*(8*$BP$104)+'LINEST VARS'!$H$64*(8*$AZ107)+'LINEST VARS'!$G$64*(8*12.73)+'LINEST VARS'!$F$64*(8*$BP$104)+'LINEST VARS'!$E$64*(8*$AZ107)+'LINEST VARS'!$D$64*(8*12.73)+'LINEST VARS'!$C$64*($BP$104*$AZ107)+'LINEST VARS'!$B$64*($BP$104*12.73)+'LINEST VARS'!$A$64*($AZ107*12.73)</f>
        <v>172.18999999999986</v>
      </c>
      <c r="BQ107" s="55">
        <f>'LINEST VARS'!$U$64+'LINEST VARS'!$T$64*(8)+'LINEST VARS'!$S$64*(8)+'LINEST VARS'!$R$64*($BQ$104)+'LINEST VARS'!$Q$64*($AZ107)+'LINEST VARS'!$P$64*(12.73)+'LINEST VARS'!$O$64*(8^2)+'LINEST VARS'!$N$64*(8^2)+'LINEST VARS'!$M$64*($BQ$104^2)+'LINEST VARS'!$L$64*($AZ107^2)+'LINEST VARS'!$K$64*(12.73^2)+'LINEST VARS'!$J$64*(8*8)+'LINEST VARS'!$I$64*(8*$BQ$104)+'LINEST VARS'!$H$64*(8*$AZ107)+'LINEST VARS'!$G$64*(8*12.73)+'LINEST VARS'!$F$64*(8*$BQ$104)+'LINEST VARS'!$E$64*(8*$AZ107)+'LINEST VARS'!$D$64*(8*12.73)+'LINEST VARS'!$C$64*($BQ$104*$AZ107)+'LINEST VARS'!$B$64*($BQ$104*12.73)+'LINEST VARS'!$A$64*($AZ107*12.73)</f>
        <v>173.78999999999988</v>
      </c>
      <c r="BR107" s="55">
        <f>'LINEST VARS'!$U$64+'LINEST VARS'!$T$64*(8)+'LINEST VARS'!$S$64*(8)+'LINEST VARS'!$R$64*($BR$104)+'LINEST VARS'!$Q$64*($AZ107)+'LINEST VARS'!$P$64*(12.73)+'LINEST VARS'!$O$64*(8^2)+'LINEST VARS'!$N$64*(8^2)+'LINEST VARS'!$M$64*($BR$104^2)+'LINEST VARS'!$L$64*($AZ107^2)+'LINEST VARS'!$K$64*(12.73^2)+'LINEST VARS'!$J$64*(8*8)+'LINEST VARS'!$I$64*(8*$BR$104)+'LINEST VARS'!$H$64*(8*$AZ107)+'LINEST VARS'!$G$64*(8*12.73)+'LINEST VARS'!$F$64*(8*$BR$104)+'LINEST VARS'!$E$64*(8*$AZ107)+'LINEST VARS'!$D$64*(8*12.73)+'LINEST VARS'!$C$64*($BR$104*$AZ107)+'LINEST VARS'!$B$64*($BR$104*12.73)+'LINEST VARS'!$A$64*($AZ107*12.73)</f>
        <v>175.3899999999999</v>
      </c>
      <c r="BS107" s="55">
        <f>'LINEST VARS'!$U$64+'LINEST VARS'!$T$64*(8)+'LINEST VARS'!$S$64*(8)+'LINEST VARS'!$R$64*($BS$104)+'LINEST VARS'!$Q$64*($AZ107)+'LINEST VARS'!$P$64*(12.73)+'LINEST VARS'!$O$64*(8^2)+'LINEST VARS'!$N$64*(8^2)+'LINEST VARS'!$M$64*($BS$104^2)+'LINEST VARS'!$L$64*($AZ107^2)+'LINEST VARS'!$K$64*(12.73^2)+'LINEST VARS'!$J$64*(8*8)+'LINEST VARS'!$I$64*(8*$BS$104)+'LINEST VARS'!$H$64*(8*$AZ107)+'LINEST VARS'!$G$64*(8*12.73)+'LINEST VARS'!$F$64*(8*$BS$104)+'LINEST VARS'!$E$64*(8*$AZ107)+'LINEST VARS'!$D$64*(8*12.73)+'LINEST VARS'!$C$64*($BS$104*$AZ107)+'LINEST VARS'!$B$64*($BS$104*12.73)+'LINEST VARS'!$A$64*($AZ107*12.73)</f>
        <v>176.98999999999987</v>
      </c>
      <c r="BT107" s="55">
        <f>'LINEST VARS'!$U$64+'LINEST VARS'!$T$64*(8)+'LINEST VARS'!$S$64*(8)+'LINEST VARS'!$R$64*($BT$104)+'LINEST VARS'!$Q$64*($AZ107)+'LINEST VARS'!$P$64*(12.73)+'LINEST VARS'!$O$64*(8^2)+'LINEST VARS'!$N$64*(8^2)+'LINEST VARS'!$M$64*($BT$104^2)+'LINEST VARS'!$L$64*($AZ107^2)+'LINEST VARS'!$K$64*(12.73^2)+'LINEST VARS'!$J$64*(8*8)+'LINEST VARS'!$I$64*(8*$BT$104)+'LINEST VARS'!$H$64*(8*$AZ107)+'LINEST VARS'!$G$64*(8*12.73)+'LINEST VARS'!$F$64*(8*$BT$104)+'LINEST VARS'!$E$64*(8*$AZ107)+'LINEST VARS'!$D$64*(8*12.73)+'LINEST VARS'!$C$64*($BT$104*$AZ107)+'LINEST VARS'!$B$64*($BT$104*12.73)+'LINEST VARS'!$A$64*($AZ107*12.73)</f>
        <v>178.58999999999989</v>
      </c>
      <c r="BU107" s="56">
        <f>'LINEST VARS'!$U$64+'LINEST VARS'!$T$64*(8)+'LINEST VARS'!$S$64*(8)+'LINEST VARS'!$R$64*($BU$104)+'LINEST VARS'!$Q$64*($AZ107)+'LINEST VARS'!$P$64*(12.73)+'LINEST VARS'!$O$64*(8^2)+'LINEST VARS'!$N$64*(8^2)+'LINEST VARS'!$M$64*($BU$104^2)+'LINEST VARS'!$L$64*($AZ107^2)+'LINEST VARS'!$K$64*(12.73^2)+'LINEST VARS'!$J$64*(8*8)+'LINEST VARS'!$I$64*(8*$BU$104)+'LINEST VARS'!$H$64*(8*$AZ107)+'LINEST VARS'!$G$64*(8*12.73)+'LINEST VARS'!$F$64*(8*$BU$104)+'LINEST VARS'!$E$64*(8*$AZ107)+'LINEST VARS'!$D$64*(8*12.73)+'LINEST VARS'!$C$64*($BU$104*$AZ107)+'LINEST VARS'!$B$64*($BU$104*12.73)+'LINEST VARS'!$A$64*($AZ107*12.73)</f>
        <v>180.18999999999986</v>
      </c>
      <c r="BX107" s="45">
        <v>0.1</v>
      </c>
      <c r="BY107" s="46">
        <f>'LINEST VARS'!$U$66+'LINEST VARS'!$T$66*(8)+'LINEST VARS'!$S$66*(8)+'LINEST VARS'!$R$66*($BY$104)+'LINEST VARS'!$Q$66*($BX107)+'LINEST VARS'!$P$66*(12.73)+'LINEST VARS'!$O$66*(8^2)+'LINEST VARS'!$N$66*(8^2)+'LINEST VARS'!$M$66*($BY$104^2)+'LINEST VARS'!$L$66*($BX107^2)+'LINEST VARS'!$K$66*(12.73^2)+'LINEST VARS'!$J$66*(8*8)+'LINEST VARS'!$I$66*(8*$BY$104)+'LINEST VARS'!$H$66*(8*$BX107)+'LINEST VARS'!$G$66*(8*12.73)+'LINEST VARS'!$F$66*(8*$BY$104)+'LINEST VARS'!$E$66*(8*$BX107)+'LINEST VARS'!$D$66*(8*12.73)+'LINEST VARS'!$C$66*($BY$104*$BX107)+'LINEST VARS'!$B$66*($BY$104*12.73)+'LINEST VARS'!$A$66*($BX107*12.73)</f>
        <v>144.00000000000006</v>
      </c>
      <c r="BZ107" s="46">
        <f>'LINEST VARS'!$U$66+'LINEST VARS'!$T$66*(8)+'LINEST VARS'!$S$66*(8)+'LINEST VARS'!$R$66*($BZ$104)+'LINEST VARS'!$Q$66*($BX107)+'LINEST VARS'!$P$66*(12.73)+'LINEST VARS'!$O$66*(8^2)+'LINEST VARS'!$N$66*(8^2)+'LINEST VARS'!$M$66*($BZ$104^2)+'LINEST VARS'!$L$66*($BX107^2)+'LINEST VARS'!$K$66*(12.73^2)+'LINEST VARS'!$J$66*(8*8)+'LINEST VARS'!$I$66*(8*$BZ$104)+'LINEST VARS'!$H$66*(8*$BX107)+'LINEST VARS'!$G$66*(8*12.73)+'LINEST VARS'!$F$66*(8*$BZ$104)+'LINEST VARS'!$E$66*(8*$BX107)+'LINEST VARS'!$D$66*(8*12.73)+'LINEST VARS'!$C$66*($BZ$104*$BX107)+'LINEST VARS'!$B$66*($BZ$104*12.73)+'LINEST VARS'!$A$66*($BX107*12.73)</f>
        <v>143.20000000000007</v>
      </c>
      <c r="CA107" s="46">
        <f>'LINEST VARS'!$U$66+'LINEST VARS'!$T$66*(8)+'LINEST VARS'!$S$66*(8)+'LINEST VARS'!$R$66*($CA$104)+'LINEST VARS'!$Q$66*($BX107)+'LINEST VARS'!$P$66*(12.73)+'LINEST VARS'!$O$66*(8^2)+'LINEST VARS'!$N$66*(8^2)+'LINEST VARS'!$M$66*($CA$104^2)+'LINEST VARS'!$L$66*($BX107^2)+'LINEST VARS'!$K$66*(12.73^2)+'LINEST VARS'!$J$66*(8*8)+'LINEST VARS'!$I$66*(8*$CA$104)+'LINEST VARS'!$H$66*(8*$BX107)+'LINEST VARS'!$G$66*(8*12.73)+'LINEST VARS'!$F$66*(8*$CA$104)+'LINEST VARS'!$E$66*(8*$BX107)+'LINEST VARS'!$D$66*(8*12.73)+'LINEST VARS'!$C$66*($CA$104*$BX107)+'LINEST VARS'!$B$66*($CA$104*12.73)+'LINEST VARS'!$A$66*($BX107*12.73)</f>
        <v>142.40000000000006</v>
      </c>
      <c r="CB107" s="46">
        <f>'LINEST VARS'!$U$66+'LINEST VARS'!$T$66*(8)+'LINEST VARS'!$S$66*(8)+'LINEST VARS'!$R$66*($CB$104)+'LINEST VARS'!$Q$66*($BX107)+'LINEST VARS'!$P$66*(12.73)+'LINEST VARS'!$O$66*(8^2)+'LINEST VARS'!$N$66*(8^2)+'LINEST VARS'!$M$66*($CB$104^2)+'LINEST VARS'!$L$66*($BX107^2)+'LINEST VARS'!$K$66*(12.73^2)+'LINEST VARS'!$J$66*(8*8)+'LINEST VARS'!$I$66*(8*$CB$104)+'LINEST VARS'!$H$66*(8*$BX107)+'LINEST VARS'!$G$66*(8*12.73)+'LINEST VARS'!$F$66*(8*$CB$104)+'LINEST VARS'!$E$66*(8*$BX107)+'LINEST VARS'!$D$66*(8*12.73)+'LINEST VARS'!$C$66*($CB$104*$BX107)+'LINEST VARS'!$B$66*($CB$104*12.73)+'LINEST VARS'!$A$66*($BX107*12.73)</f>
        <v>141.60000000000008</v>
      </c>
      <c r="CC107" s="46">
        <f>'LINEST VARS'!$U$66+'LINEST VARS'!$T$66*(8)+'LINEST VARS'!$S$66*(8)+'LINEST VARS'!$R$66*($CC$104)+'LINEST VARS'!$Q$66*($BX107)+'LINEST VARS'!$P$66*(12.73)+'LINEST VARS'!$O$66*(8^2)+'LINEST VARS'!$N$66*(8^2)+'LINEST VARS'!$M$66*($CC$104^2)+'LINEST VARS'!$L$66*($BX107^2)+'LINEST VARS'!$K$66*(12.73^2)+'LINEST VARS'!$J$66*(8*8)+'LINEST VARS'!$I$66*(8*$CC$104)+'LINEST VARS'!$H$66*(8*$BX107)+'LINEST VARS'!$G$66*(8*12.73)+'LINEST VARS'!$F$66*(8*$CC$104)+'LINEST VARS'!$E$66*(8*$BX107)+'LINEST VARS'!$D$66*(8*12.73)+'LINEST VARS'!$C$66*($CC$104*$BX107)+'LINEST VARS'!$B$66*($CC$104*12.73)+'LINEST VARS'!$A$66*($BX107*12.73)</f>
        <v>140.80000000000007</v>
      </c>
      <c r="CD107" s="46">
        <f>'LINEST VARS'!$U$66+'LINEST VARS'!$T$66*(8)+'LINEST VARS'!$S$66*(8)+'LINEST VARS'!$R$66*($CD$104)+'LINEST VARS'!$Q$66*($BX107)+'LINEST VARS'!$P$66*(12.73)+'LINEST VARS'!$O$66*(8^2)+'LINEST VARS'!$N$66*(8^2)+'LINEST VARS'!$M$66*($CD$104^2)+'LINEST VARS'!$L$66*($BX107^2)+'LINEST VARS'!$K$66*(12.73^2)+'LINEST VARS'!$J$66*(8*8)+'LINEST VARS'!$I$66*(8*$CD$104)+'LINEST VARS'!$H$66*(8*$BX107)+'LINEST VARS'!$G$66*(8*12.73)+'LINEST VARS'!$F$66*(8*$CD$104)+'LINEST VARS'!$E$66*(8*$BX107)+'LINEST VARS'!$D$66*(8*12.73)+'LINEST VARS'!$C$66*($CD$104*$BX107)+'LINEST VARS'!$B$66*($CD$104*12.73)+'LINEST VARS'!$A$66*($BX107*12.73)</f>
        <v>140.00000000000009</v>
      </c>
      <c r="CE107" s="46">
        <f>'LINEST VARS'!$U$66+'LINEST VARS'!$T$66*(8)+'LINEST VARS'!$S$66*(8)+'LINEST VARS'!$R$66*($CE$104)+'LINEST VARS'!$Q$66*($BX107)+'LINEST VARS'!$P$66*(12.73)+'LINEST VARS'!$O$66*(8^2)+'LINEST VARS'!$N$66*(8^2)+'LINEST VARS'!$M$66*($CE$104^2)+'LINEST VARS'!$L$66*($BX107^2)+'LINEST VARS'!$K$66*(12.73^2)+'LINEST VARS'!$J$66*(8*8)+'LINEST VARS'!$I$66*(8*$CE$104)+'LINEST VARS'!$H$66*(8*$BX107)+'LINEST VARS'!$G$66*(8*12.73)+'LINEST VARS'!$F$66*(8*$CE$104)+'LINEST VARS'!$E$66*(8*$BX107)+'LINEST VARS'!$D$66*(8*12.73)+'LINEST VARS'!$C$66*($CE$104*$BX107)+'LINEST VARS'!$B$66*($CE$104*12.73)+'LINEST VARS'!$A$66*($BX107*12.73)</f>
        <v>139.20000000000007</v>
      </c>
      <c r="CF107" s="46">
        <f>'LINEST VARS'!$U$66+'LINEST VARS'!$T$66*(8)+'LINEST VARS'!$S$66*(8)+'LINEST VARS'!$R$66*($CF$104)+'LINEST VARS'!$Q$66*($BX107)+'LINEST VARS'!$P$66*(12.73)+'LINEST VARS'!$O$66*(8^2)+'LINEST VARS'!$N$66*(8^2)+'LINEST VARS'!$M$66*($CF$104^2)+'LINEST VARS'!$L$66*($BX107^2)+'LINEST VARS'!$K$66*(12.73^2)+'LINEST VARS'!$J$66*(8*8)+'LINEST VARS'!$I$66*(8*$CF$104)+'LINEST VARS'!$H$66*(8*$BX107)+'LINEST VARS'!$G$66*(8*12.73)+'LINEST VARS'!$F$66*(8*$CF$104)+'LINEST VARS'!$E$66*(8*$BX107)+'LINEST VARS'!$D$66*(8*12.73)+'LINEST VARS'!$C$66*($CF$104*$BX107)+'LINEST VARS'!$B$66*($CF$104*12.73)+'LINEST VARS'!$A$66*($BX107*12.73)</f>
        <v>138.40000000000009</v>
      </c>
      <c r="CG107" s="46">
        <f>'LINEST VARS'!$U$66+'LINEST VARS'!$T$66*(8)+'LINEST VARS'!$S$66*(8)+'LINEST VARS'!$R$66*($CG$104)+'LINEST VARS'!$Q$66*($BX107)+'LINEST VARS'!$P$66*(12.73)+'LINEST VARS'!$O$66*(8^2)+'LINEST VARS'!$N$66*(8^2)+'LINEST VARS'!$M$66*($CG$104^2)+'LINEST VARS'!$L$66*($BX107^2)+'LINEST VARS'!$K$66*(12.73^2)+'LINEST VARS'!$J$66*(8*8)+'LINEST VARS'!$I$66*(8*$CG$104)+'LINEST VARS'!$H$66*(8*$BX107)+'LINEST VARS'!$G$66*(8*12.73)+'LINEST VARS'!$F$66*(8*$CG$104)+'LINEST VARS'!$E$66*(8*$BX107)+'LINEST VARS'!$D$66*(8*12.73)+'LINEST VARS'!$C$66*($CG$104*$BX107)+'LINEST VARS'!$B$66*($CG$104*12.73)+'LINEST VARS'!$A$66*($BX107*12.73)</f>
        <v>137.60000000000008</v>
      </c>
      <c r="CH107" s="46">
        <f>'LINEST VARS'!$U$66+'LINEST VARS'!$T$66*(8)+'LINEST VARS'!$S$66*(8)+'LINEST VARS'!$R$66*($CH$104)+'LINEST VARS'!$Q$66*($BX107)+'LINEST VARS'!$P$66*(12.73)+'LINEST VARS'!$O$66*(8^2)+'LINEST VARS'!$N$66*(8^2)+'LINEST VARS'!$M$66*($CH$104^2)+'LINEST VARS'!$L$66*($BX107^2)+'LINEST VARS'!$K$66*(12.73^2)+'LINEST VARS'!$J$66*(8*8)+'LINEST VARS'!$I$66*(8*$CH$104)+'LINEST VARS'!$H$66*(8*$BX107)+'LINEST VARS'!$G$66*(8*12.73)+'LINEST VARS'!$F$66*(8*$CH$104)+'LINEST VARS'!$E$66*(8*$BX107)+'LINEST VARS'!$D$66*(8*12.73)+'LINEST VARS'!$C$66*($CH$104*$BX107)+'LINEST VARS'!$B$66*($CH$104*12.73)+'LINEST VARS'!$A$66*($BX107*12.73)</f>
        <v>136.80000000000007</v>
      </c>
      <c r="CI107" s="46">
        <f>'LINEST VARS'!$U$66+'LINEST VARS'!$T$66*(8)+'LINEST VARS'!$S$66*(8)+'LINEST VARS'!$R$66*($CI$104)+'LINEST VARS'!$Q$66*($BX107)+'LINEST VARS'!$P$66*(12.73)+'LINEST VARS'!$O$66*(8^2)+'LINEST VARS'!$N$66*(8^2)+'LINEST VARS'!$M$66*($CI$104^2)+'LINEST VARS'!$L$66*($BX107^2)+'LINEST VARS'!$K$66*(12.73^2)+'LINEST VARS'!$J$66*(8*8)+'LINEST VARS'!$I$66*(8*$CI$104)+'LINEST VARS'!$H$66*(8*$BX107)+'LINEST VARS'!$G$66*(8*12.73)+'LINEST VARS'!$F$66*(8*$CI$104)+'LINEST VARS'!$E$66*(8*$BX107)+'LINEST VARS'!$D$66*(8*12.73)+'LINEST VARS'!$C$66*($CI$104*$BX107)+'LINEST VARS'!$B$66*($CI$104*12.73)+'LINEST VARS'!$A$66*($BX107*12.73)</f>
        <v>136.00000000000006</v>
      </c>
      <c r="CJ107" s="46">
        <f>'LINEST VARS'!$U$66+'LINEST VARS'!$T$66*(8)+'LINEST VARS'!$S$66*(8)+'LINEST VARS'!$R$66*($CJ$104)+'LINEST VARS'!$Q$66*($BX107)+'LINEST VARS'!$P$66*(12.73)+'LINEST VARS'!$O$66*(8^2)+'LINEST VARS'!$N$66*(8^2)+'LINEST VARS'!$M$66*($CJ$104^2)+'LINEST VARS'!$L$66*($BX107^2)+'LINEST VARS'!$K$66*(12.73^2)+'LINEST VARS'!$J$66*(8*8)+'LINEST VARS'!$I$66*(8*$CJ$104)+'LINEST VARS'!$H$66*(8*$BX107)+'LINEST VARS'!$G$66*(8*12.73)+'LINEST VARS'!$F$66*(8*$CJ$104)+'LINEST VARS'!$E$66*(8*$BX107)+'LINEST VARS'!$D$66*(8*12.73)+'LINEST VARS'!$C$66*($CJ$104*$BX107)+'LINEST VARS'!$B$66*($CJ$104*12.73)+'LINEST VARS'!$A$66*($BX107*12.73)</f>
        <v>135.20000000000005</v>
      </c>
      <c r="CK107" s="46">
        <f>'LINEST VARS'!$U$66+'LINEST VARS'!$T$66*(8)+'LINEST VARS'!$S$66*(8)+'LINEST VARS'!$R$66*($CK$104)+'LINEST VARS'!$Q$66*($BX107)+'LINEST VARS'!$P$66*(12.73)+'LINEST VARS'!$O$66*(8^2)+'LINEST VARS'!$N$66*(8^2)+'LINEST VARS'!$M$66*($CK$104^2)+'LINEST VARS'!$L$66*($BX107^2)+'LINEST VARS'!$K$66*(12.73^2)+'LINEST VARS'!$J$66*(8*8)+'LINEST VARS'!$I$66*(8*$CK$104)+'LINEST VARS'!$H$66*(8*$BX107)+'LINEST VARS'!$G$66*(8*12.73)+'LINEST VARS'!$F$66*(8*$CK$104)+'LINEST VARS'!$E$66*(8*$BX107)+'LINEST VARS'!$D$66*(8*12.73)+'LINEST VARS'!$C$66*($CK$104*$BX107)+'LINEST VARS'!$B$66*($CK$104*12.73)+'LINEST VARS'!$A$66*($BX107*12.73)</f>
        <v>134.40000000000003</v>
      </c>
      <c r="CL107" s="46">
        <f>'LINEST VARS'!$U$66+'LINEST VARS'!$T$66*(8)+'LINEST VARS'!$S$66*(8)+'LINEST VARS'!$R$66*($CL$104)+'LINEST VARS'!$Q$66*($BX107)+'LINEST VARS'!$P$66*(12.73)+'LINEST VARS'!$O$66*(8^2)+'LINEST VARS'!$N$66*(8^2)+'LINEST VARS'!$M$66*($CL$104^2)+'LINEST VARS'!$L$66*($BX107^2)+'LINEST VARS'!$K$66*(12.73^2)+'LINEST VARS'!$J$66*(8*8)+'LINEST VARS'!$I$66*(8*$CL$104)+'LINEST VARS'!$H$66*(8*$BX107)+'LINEST VARS'!$G$66*(8*12.73)+'LINEST VARS'!$F$66*(8*$CL$104)+'LINEST VARS'!$E$66*(8*$BX107)+'LINEST VARS'!$D$66*(8*12.73)+'LINEST VARS'!$C$66*($CL$104*$BX107)+'LINEST VARS'!$B$66*($CL$104*12.73)+'LINEST VARS'!$A$66*($BX107*12.73)</f>
        <v>133.60000000000005</v>
      </c>
      <c r="CM107" s="46">
        <f>'LINEST VARS'!$U$66+'LINEST VARS'!$T$66*(8)+'LINEST VARS'!$S$66*(8)+'LINEST VARS'!$R$66*($CM$104)+'LINEST VARS'!$Q$66*($BX107)+'LINEST VARS'!$P$66*(12.73)+'LINEST VARS'!$O$66*(8^2)+'LINEST VARS'!$N$66*(8^2)+'LINEST VARS'!$M$66*($CM$104^2)+'LINEST VARS'!$L$66*($BX107^2)+'LINEST VARS'!$K$66*(12.73^2)+'LINEST VARS'!$J$66*(8*8)+'LINEST VARS'!$I$66*(8*$CM$104)+'LINEST VARS'!$H$66*(8*$BX107)+'LINEST VARS'!$G$66*(8*12.73)+'LINEST VARS'!$F$66*(8*$CM$104)+'LINEST VARS'!$E$66*(8*$BX107)+'LINEST VARS'!$D$66*(8*12.73)+'LINEST VARS'!$C$66*($CM$104*$BX107)+'LINEST VARS'!$B$66*($CM$104*12.73)+'LINEST VARS'!$A$66*($BX107*12.73)</f>
        <v>132.80000000000004</v>
      </c>
      <c r="CN107" s="46">
        <f>'LINEST VARS'!$U$66+'LINEST VARS'!$T$66*(8)+'LINEST VARS'!$S$66*(8)+'LINEST VARS'!$R$66*($CN$104)+'LINEST VARS'!$Q$66*($BX107)+'LINEST VARS'!$P$66*(12.73)+'LINEST VARS'!$O$66*(8^2)+'LINEST VARS'!$N$66*(8^2)+'LINEST VARS'!$M$66*($CN$104^2)+'LINEST VARS'!$L$66*($BX107^2)+'LINEST VARS'!$K$66*(12.73^2)+'LINEST VARS'!$J$66*(8*8)+'LINEST VARS'!$I$66*(8*$CN$104)+'LINEST VARS'!$H$66*(8*$BX107)+'LINEST VARS'!$G$66*(8*12.73)+'LINEST VARS'!$F$66*(8*$CN$104)+'LINEST VARS'!$E$66*(8*$BX107)+'LINEST VARS'!$D$66*(8*12.73)+'LINEST VARS'!$C$66*($CN$104*$BX107)+'LINEST VARS'!$B$66*($CN$104*12.73)+'LINEST VARS'!$A$66*($BX107*12.73)</f>
        <v>132.00000000000006</v>
      </c>
      <c r="CO107" s="46">
        <f>'LINEST VARS'!$U$66+'LINEST VARS'!$T$66*(8)+'LINEST VARS'!$S$66*(8)+'LINEST VARS'!$R$66*($CO$104)+'LINEST VARS'!$Q$66*($BX107)+'LINEST VARS'!$P$66*(12.73)+'LINEST VARS'!$O$66*(8^2)+'LINEST VARS'!$N$66*(8^2)+'LINEST VARS'!$M$66*($CO$104^2)+'LINEST VARS'!$L$66*($BX107^2)+'LINEST VARS'!$K$66*(12.73^2)+'LINEST VARS'!$J$66*(8*8)+'LINEST VARS'!$I$66*(8*$CO$104)+'LINEST VARS'!$H$66*(8*$BX107)+'LINEST VARS'!$G$66*(8*12.73)+'LINEST VARS'!$F$66*(8*$CO$104)+'LINEST VARS'!$E$66*(8*$BX107)+'LINEST VARS'!$D$66*(8*12.73)+'LINEST VARS'!$C$66*($CO$104*$BX107)+'LINEST VARS'!$B$66*($CO$104*12.73)+'LINEST VARS'!$A$66*($BX107*12.73)</f>
        <v>131.20000000000005</v>
      </c>
      <c r="CP107" s="46">
        <f>'LINEST VARS'!$U$66+'LINEST VARS'!$T$66*(8)+'LINEST VARS'!$S$66*(8)+'LINEST VARS'!$R$66*($CP$104)+'LINEST VARS'!$Q$66*($BX107)+'LINEST VARS'!$P$66*(12.73)+'LINEST VARS'!$O$66*(8^2)+'LINEST VARS'!$N$66*(8^2)+'LINEST VARS'!$M$66*($CP$104^2)+'LINEST VARS'!$L$66*($BX107^2)+'LINEST VARS'!$K$66*(12.73^2)+'LINEST VARS'!$J$66*(8*8)+'LINEST VARS'!$I$66*(8*$CP$104)+'LINEST VARS'!$H$66*(8*$BX107)+'LINEST VARS'!$G$66*(8*12.73)+'LINEST VARS'!$F$66*(8*$CP$104)+'LINEST VARS'!$E$66*(8*$BX107)+'LINEST VARS'!$D$66*(8*12.73)+'LINEST VARS'!$C$66*($CP$104*$BX107)+'LINEST VARS'!$B$66*($CP$104*12.73)+'LINEST VARS'!$A$66*($BX107*12.73)</f>
        <v>130.40000000000009</v>
      </c>
      <c r="CQ107" s="46">
        <f>'LINEST VARS'!$U$66+'LINEST VARS'!$T$66*(8)+'LINEST VARS'!$S$66*(8)+'LINEST VARS'!$R$66*($CQ$104)+'LINEST VARS'!$Q$66*($BX107)+'LINEST VARS'!$P$66*(12.73)+'LINEST VARS'!$O$66*(8^2)+'LINEST VARS'!$N$66*(8^2)+'LINEST VARS'!$M$66*($CQ$104^2)+'LINEST VARS'!$L$66*($BX107^2)+'LINEST VARS'!$K$66*(12.73^2)+'LINEST VARS'!$J$66*(8*8)+'LINEST VARS'!$I$66*(8*$CQ$104)+'LINEST VARS'!$H$66*(8*$BX107)+'LINEST VARS'!$G$66*(8*12.73)+'LINEST VARS'!$F$66*(8*$CQ$104)+'LINEST VARS'!$E$66*(8*$BX107)+'LINEST VARS'!$D$66*(8*12.73)+'LINEST VARS'!$C$66*($CQ$104*$BX107)+'LINEST VARS'!$B$66*($CQ$104*12.73)+'LINEST VARS'!$A$66*($BX107*12.73)</f>
        <v>129.60000000000008</v>
      </c>
      <c r="CR107" s="46">
        <f>'LINEST VARS'!$U$66+'LINEST VARS'!$T$66*(8)+'LINEST VARS'!$S$66*(8)+'LINEST VARS'!$R$66*($CR$104)+'LINEST VARS'!$Q$66*($BX107)+'LINEST VARS'!$P$66*(12.73)+'LINEST VARS'!$O$66*(8^2)+'LINEST VARS'!$N$66*(8^2)+'LINEST VARS'!$M$66*($CR$104^2)+'LINEST VARS'!$L$66*($BX107^2)+'LINEST VARS'!$K$66*(12.73^2)+'LINEST VARS'!$J$66*(8*8)+'LINEST VARS'!$I$66*(8*$CR$104)+'LINEST VARS'!$H$66*(8*$BX107)+'LINEST VARS'!$G$66*(8*12.73)+'LINEST VARS'!$F$66*(8*$CR$104)+'LINEST VARS'!$E$66*(8*$BX107)+'LINEST VARS'!$D$66*(8*12.73)+'LINEST VARS'!$C$66*($CR$104*$BX107)+'LINEST VARS'!$B$66*($CR$104*12.73)+'LINEST VARS'!$A$66*($BX107*12.73)</f>
        <v>128.8000000000001</v>
      </c>
      <c r="CS107" s="47">
        <f>'LINEST VARS'!$U$66+'LINEST VARS'!$T$66*(8)+'LINEST VARS'!$S$66*(8)+'LINEST VARS'!$R$66*($CS$104)+'LINEST VARS'!$Q$66*($BX107)+'LINEST VARS'!$P$66*(12.73)+'LINEST VARS'!$O$66*(8^2)+'LINEST VARS'!$N$66*(8^2)+'LINEST VARS'!$M$66*($CS$104^2)+'LINEST VARS'!$L$66*($BX107^2)+'LINEST VARS'!$K$66*(12.73^2)+'LINEST VARS'!$J$66*(8*8)+'LINEST VARS'!$I$66*(8*$CS$104)+'LINEST VARS'!$H$66*(8*$BX107)+'LINEST VARS'!$G$66*(8*12.73)+'LINEST VARS'!$F$66*(8*$CS$104)+'LINEST VARS'!$E$66*(8*$BX107)+'LINEST VARS'!$D$66*(8*12.73)+'LINEST VARS'!$C$66*($CS$104*$BX107)+'LINEST VARS'!$B$66*($CS$104*12.73)+'LINEST VARS'!$A$66*($BX107*12.73)</f>
        <v>128.00000000000006</v>
      </c>
      <c r="CX107" s="45">
        <v>2.5990000000000002</v>
      </c>
      <c r="CY107" s="55">
        <f>'LINEST VARS'!$U$64+'LINEST VARS'!$T$64*(8)+'LINEST VARS'!$S$64*(8)+'LINEST VARS'!$R$64*($CY$104)+'LINEST VARS'!$Q$64*(0.5)+'LINEST VARS'!$P$64*($CX107)+'LINEST VARS'!$O$64*(8^2)+'LINEST VARS'!$N$64*(8^2)+'LINEST VARS'!$M$64*($CY$104^2)+'LINEST VARS'!$L$64*(0.5^2)+'LINEST VARS'!$K$64*($CX107^2)+'LINEST VARS'!$J$64*(8*8)+'LINEST VARS'!$I$64*(8*$CY$104)+'LINEST VARS'!$H$64*(8*0.5)+'LINEST VARS'!$G$64*(8*$CX107)+'LINEST VARS'!$F$64*(8*$CY$104)+'LINEST VARS'!$E$64*(8*0.5)+'LINEST VARS'!$D$64*(8*$CX107)+'LINEST VARS'!$C$64*($CY$104*0.5)+'LINEST VARS'!$B$64*($CY$104*$CX107)+'LINEST VARS'!$A$64*(0.5*$CX107)</f>
        <v>117.79699999999993</v>
      </c>
      <c r="CZ107" s="55">
        <f>'LINEST VARS'!$U$64+'LINEST VARS'!$T$64*(8)+'LINEST VARS'!$S$64*(8)+'LINEST VARS'!$R$64*($CZ$104)+'LINEST VARS'!$Q$64*(0.5)+'LINEST VARS'!$P$64*($CX107)+'LINEST VARS'!$O$64*(8^2)+'LINEST VARS'!$N$64*(8^2)+'LINEST VARS'!$M$64*($CZ$104^2)+'LINEST VARS'!$L$64*(0.5^2)+'LINEST VARS'!$K$64*($CX107^2)+'LINEST VARS'!$J$64*(8*8)+'LINEST VARS'!$I$64*(8*$CZ$104)+'LINEST VARS'!$H$64*(8*0.5)+'LINEST VARS'!$G$64*(8*$CX107)+'LINEST VARS'!$F$64*(8*$CZ$104)+'LINEST VARS'!$E$64*(8*0.5)+'LINEST VARS'!$D$64*(8*$CX107)+'LINEST VARS'!$C$64*($CZ$104*0.5)+'LINEST VARS'!$B$64*($CZ$104*$CX107)+'LINEST VARS'!$A$64*(0.5*$CX107)</f>
        <v>119.39699999999992</v>
      </c>
      <c r="DA107" s="55">
        <f>'LINEST VARS'!$U$64+'LINEST VARS'!$T$64*(8)+'LINEST VARS'!$S$64*(8)+'LINEST VARS'!$R$64*($DA$104)+'LINEST VARS'!$Q$64*(0.5)+'LINEST VARS'!$P$64*($CX107)+'LINEST VARS'!$O$64*(8^2)+'LINEST VARS'!$N$64*(8^2)+'LINEST VARS'!$M$64*($DA$104^2)+'LINEST VARS'!$L$64*(0.5^2)+'LINEST VARS'!$K$64*($CX107^2)+'LINEST VARS'!$J$64*(8*8)+'LINEST VARS'!$I$64*(8*$DA$104)+'LINEST VARS'!$H$64*(8*0.5)+'LINEST VARS'!$G$64*(8*$CX107)+'LINEST VARS'!$F$64*(8*$DA$104)+'LINEST VARS'!$E$64*(8*0.5)+'LINEST VARS'!$D$64*(8*$CX107)+'LINEST VARS'!$C$64*($DA$104*0.5)+'LINEST VARS'!$B$64*($DA$104*$CX107)+'LINEST VARS'!$A$64*(0.5*$CX107)</f>
        <v>120.99699999999993</v>
      </c>
      <c r="DB107" s="55">
        <f>'LINEST VARS'!$U$64+'LINEST VARS'!$T$64*(8)+'LINEST VARS'!$S$64*(8)+'LINEST VARS'!$R$64*($DB$104)+'LINEST VARS'!$Q$64*(0.5)+'LINEST VARS'!$P$64*($CX107)+'LINEST VARS'!$O$64*(8^2)+'LINEST VARS'!$N$64*(8^2)+'LINEST VARS'!$M$64*($DB$104^2)+'LINEST VARS'!$L$64*(0.5^2)+'LINEST VARS'!$K$64*($CX107^2)+'LINEST VARS'!$J$64*(8*8)+'LINEST VARS'!$I$64*(8*$DB$104)+'LINEST VARS'!$H$64*(8*0.5)+'LINEST VARS'!$G$64*(8*$CX107)+'LINEST VARS'!$F$64*(8*$DB$104)+'LINEST VARS'!$E$64*(8*0.5)+'LINEST VARS'!$D$64*(8*$CX107)+'LINEST VARS'!$C$64*($DB$104*0.5)+'LINEST VARS'!$B$64*($DB$104*$CX107)+'LINEST VARS'!$A$64*(0.5*$CX107)</f>
        <v>122.59699999999992</v>
      </c>
      <c r="DC107" s="55">
        <f>'LINEST VARS'!$U$64+'LINEST VARS'!$T$64*(8)+'LINEST VARS'!$S$64*(8)+'LINEST VARS'!$R$64*($DC$104)+'LINEST VARS'!$Q$64*(0.5)+'LINEST VARS'!$P$64*($CX107)+'LINEST VARS'!$O$64*(8^2)+'LINEST VARS'!$N$64*(8^2)+'LINEST VARS'!$M$64*($DC$104^2)+'LINEST VARS'!$L$64*(0.5^2)+'LINEST VARS'!$K$64*($CX107^2)+'LINEST VARS'!$J$64*(8*8)+'LINEST VARS'!$I$64*(8*$DC$104)+'LINEST VARS'!$H$64*(8*0.5)+'LINEST VARS'!$G$64*(8*$CX107)+'LINEST VARS'!$F$64*(8*$DC$104)+'LINEST VARS'!$E$64*(8*0.5)+'LINEST VARS'!$D$64*(8*$CX107)+'LINEST VARS'!$C$64*($DC$104*0.5)+'LINEST VARS'!$B$64*($DC$104*$CX107)+'LINEST VARS'!$A$64*(0.5*$CX107)</f>
        <v>124.19699999999993</v>
      </c>
      <c r="DD107" s="55">
        <f>'LINEST VARS'!$U$64+'LINEST VARS'!$T$64*(8)+'LINEST VARS'!$S$64*(8)+'LINEST VARS'!$R$64*($DD$104)+'LINEST VARS'!$Q$64*(0.5)+'LINEST VARS'!$P$64*($CX107)+'LINEST VARS'!$O$64*(8^2)+'LINEST VARS'!$N$64*(8^2)+'LINEST VARS'!$M$64*($DD$104^2)+'LINEST VARS'!$L$64*(0.5^2)+'LINEST VARS'!$K$64*($CX107^2)+'LINEST VARS'!$J$64*(8*8)+'LINEST VARS'!$I$64*(8*$DD$104)+'LINEST VARS'!$H$64*(8*0.5)+'LINEST VARS'!$G$64*(8*$CX107)+'LINEST VARS'!$F$64*(8*$DD$104)+'LINEST VARS'!$E$64*(8*0.5)+'LINEST VARS'!$D$64*(8*$CX107)+'LINEST VARS'!$C$64*($DD$104*0.5)+'LINEST VARS'!$B$64*($DD$104*$CX107)+'LINEST VARS'!$A$64*(0.5*$CX107)</f>
        <v>125.79699999999993</v>
      </c>
      <c r="DE107" s="55">
        <f>'LINEST VARS'!$U$64+'LINEST VARS'!$T$64*(8)+'LINEST VARS'!$S$64*(8)+'LINEST VARS'!$R$64*($DE$104)+'LINEST VARS'!$Q$64*(0.5)+'LINEST VARS'!$P$64*($CX107)+'LINEST VARS'!$O$64*(8^2)+'LINEST VARS'!$N$64*(8^2)+'LINEST VARS'!$M$64*($DE$104^2)+'LINEST VARS'!$L$64*(0.5^2)+'LINEST VARS'!$K$64*($CX107^2)+'LINEST VARS'!$J$64*(8*8)+'LINEST VARS'!$I$64*(8*$DE$104)+'LINEST VARS'!$H$64*(8*0.5)+'LINEST VARS'!$G$64*(8*$CX107)+'LINEST VARS'!$F$64*(8*$DE$104)+'LINEST VARS'!$E$64*(8*0.5)+'LINEST VARS'!$D$64*(8*$CX107)+'LINEST VARS'!$C$64*($DE$104*0.5)+'LINEST VARS'!$B$64*($DE$104*$CX107)+'LINEST VARS'!$A$64*(0.5*$CX107)</f>
        <v>127.39699999999992</v>
      </c>
      <c r="DF107" s="55">
        <f>'LINEST VARS'!$U$64+'LINEST VARS'!$T$64*(8)+'LINEST VARS'!$S$64*(8)+'LINEST VARS'!$R$64*($DF$104)+'LINEST VARS'!$Q$64*(0.5)+'LINEST VARS'!$P$64*($CX107)+'LINEST VARS'!$O$64*(8^2)+'LINEST VARS'!$N$64*(8^2)+'LINEST VARS'!$M$64*($DF$104^2)+'LINEST VARS'!$L$64*(0.5^2)+'LINEST VARS'!$K$64*($CX107^2)+'LINEST VARS'!$J$64*(8*8)+'LINEST VARS'!$I$64*(8*$DF$104)+'LINEST VARS'!$H$64*(8*0.5)+'LINEST VARS'!$G$64*(8*$CX107)+'LINEST VARS'!$F$64*(8*$DF$104)+'LINEST VARS'!$E$64*(8*0.5)+'LINEST VARS'!$D$64*(8*$CX107)+'LINEST VARS'!$C$64*($DF$104*0.5)+'LINEST VARS'!$B$64*($DF$104*$CX107)+'LINEST VARS'!$A$64*(0.5*$CX107)</f>
        <v>128.9969999999999</v>
      </c>
      <c r="DG107" s="55">
        <f>'LINEST VARS'!$U$64+'LINEST VARS'!$T$64*(8)+'LINEST VARS'!$S$64*(8)+'LINEST VARS'!$R$64*($DG$104)+'LINEST VARS'!$Q$64*(0.5)+'LINEST VARS'!$P$64*($CX107)+'LINEST VARS'!$O$64*(8^2)+'LINEST VARS'!$N$64*(8^2)+'LINEST VARS'!$M$64*($DG$104^2)+'LINEST VARS'!$L$64*(0.5^2)+'LINEST VARS'!$K$64*($CX107^2)+'LINEST VARS'!$J$64*(8*8)+'LINEST VARS'!$I$64*(8*$DG$104)+'LINEST VARS'!$H$64*(8*0.5)+'LINEST VARS'!$G$64*(8*$CX107)+'LINEST VARS'!$F$64*(8*$DG$104)+'LINEST VARS'!$E$64*(8*0.5)+'LINEST VARS'!$D$64*(8*$CX107)+'LINEST VARS'!$C$64*($DG$104*0.5)+'LINEST VARS'!$B$64*($DG$104*$CX107)+'LINEST VARS'!$A$64*(0.5*$CX107)</f>
        <v>130.59699999999989</v>
      </c>
      <c r="DH107" s="55">
        <f>'LINEST VARS'!$U$64+'LINEST VARS'!$T$64*(8)+'LINEST VARS'!$S$64*(8)+'LINEST VARS'!$R$64*($DH$104)+'LINEST VARS'!$Q$64*(0.5)+'LINEST VARS'!$P$64*($CX107)+'LINEST VARS'!$O$64*(8^2)+'LINEST VARS'!$N$64*(8^2)+'LINEST VARS'!$M$64*($DH$104^2)+'LINEST VARS'!$L$64*(0.5^2)+'LINEST VARS'!$K$64*($CX107^2)+'LINEST VARS'!$J$64*(8*8)+'LINEST VARS'!$I$64*(8*$DH$104)+'LINEST VARS'!$H$64*(8*0.5)+'LINEST VARS'!$G$64*(8*$CX107)+'LINEST VARS'!$F$64*(8*$DH$104)+'LINEST VARS'!$E$64*(8*0.5)+'LINEST VARS'!$D$64*(8*$CX107)+'LINEST VARS'!$C$64*($DH$104*0.5)+'LINEST VARS'!$B$64*($DH$104*$CX107)+'LINEST VARS'!$A$64*(0.5*$CX107)</f>
        <v>132.19699999999989</v>
      </c>
      <c r="DI107" s="55">
        <f>'LINEST VARS'!$U$64+'LINEST VARS'!$T$64*(8)+'LINEST VARS'!$S$64*(8)+'LINEST VARS'!$R$64*($DI$104)+'LINEST VARS'!$Q$64*(0.5)+'LINEST VARS'!$P$64*($CX107)+'LINEST VARS'!$O$64*(8^2)+'LINEST VARS'!$N$64*(8^2)+'LINEST VARS'!$M$64*($DI$104^2)+'LINEST VARS'!$L$64*(0.5^2)+'LINEST VARS'!$K$64*($CX107^2)+'LINEST VARS'!$J$64*(8*8)+'LINEST VARS'!$I$64*(8*$DI$104)+'LINEST VARS'!$H$64*(8*0.5)+'LINEST VARS'!$G$64*(8*$CX107)+'LINEST VARS'!$F$64*(8*$DI$104)+'LINEST VARS'!$E$64*(8*0.5)+'LINEST VARS'!$D$64*(8*$CX107)+'LINEST VARS'!$C$64*($DI$104*0.5)+'LINEST VARS'!$B$64*($DI$104*$CX107)+'LINEST VARS'!$A$64*(0.5*$CX107)</f>
        <v>133.79699999999988</v>
      </c>
      <c r="DJ107" s="55">
        <f>'LINEST VARS'!$U$64+'LINEST VARS'!$T$64*(8)+'LINEST VARS'!$S$64*(8)+'LINEST VARS'!$R$64*($DJ$104)+'LINEST VARS'!$Q$64*(0.5)+'LINEST VARS'!$P$64*($CX107)+'LINEST VARS'!$O$64*(8^2)+'LINEST VARS'!$N$64*(8^2)+'LINEST VARS'!$M$64*($DJ$104^2)+'LINEST VARS'!$L$64*(0.5^2)+'LINEST VARS'!$K$64*($CX107^2)+'LINEST VARS'!$J$64*(8*8)+'LINEST VARS'!$I$64*(8*$DJ$104)+'LINEST VARS'!$H$64*(8*0.5)+'LINEST VARS'!$G$64*(8*$CX107)+'LINEST VARS'!$F$64*(8*$DJ$104)+'LINEST VARS'!$E$64*(8*0.5)+'LINEST VARS'!$D$64*(8*$CX107)+'LINEST VARS'!$C$64*($DJ$104*0.5)+'LINEST VARS'!$B$64*($DJ$104*$CX107)+'LINEST VARS'!$A$64*(0.5*$CX107)</f>
        <v>135.39699999999991</v>
      </c>
      <c r="DK107" s="55">
        <f>'LINEST VARS'!$U$64+'LINEST VARS'!$T$64*(8)+'LINEST VARS'!$S$64*(8)+'LINEST VARS'!$R$64*($DK$104)+'LINEST VARS'!$Q$64*(0.5)+'LINEST VARS'!$P$64*($CX107)+'LINEST VARS'!$O$64*(8^2)+'LINEST VARS'!$N$64*(8^2)+'LINEST VARS'!$M$64*($DK$104^2)+'LINEST VARS'!$L$64*(0.5^2)+'LINEST VARS'!$K$64*($CX107^2)+'LINEST VARS'!$J$64*(8*8)+'LINEST VARS'!$I$64*(8*$DK$104)+'LINEST VARS'!$H$64*(8*0.5)+'LINEST VARS'!$G$64*(8*$CX107)+'LINEST VARS'!$F$64*(8*$DK$104)+'LINEST VARS'!$E$64*(8*0.5)+'LINEST VARS'!$D$64*(8*$CX107)+'LINEST VARS'!$C$64*($DK$104*0.5)+'LINEST VARS'!$B$64*($DK$104*$CX107)+'LINEST VARS'!$A$64*(0.5*$CX107)</f>
        <v>136.99699999999987</v>
      </c>
      <c r="DL107" s="55">
        <f>'LINEST VARS'!$U$64+'LINEST VARS'!$T$64*(8)+'LINEST VARS'!$S$64*(8)+'LINEST VARS'!$R$64*($DL$104)+'LINEST VARS'!$Q$64*(0.5)+'LINEST VARS'!$P$64*($CX107)+'LINEST VARS'!$O$64*(8^2)+'LINEST VARS'!$N$64*(8^2)+'LINEST VARS'!$M$64*($DL$104^2)+'LINEST VARS'!$L$64*(0.5^2)+'LINEST VARS'!$K$64*($CX107^2)+'LINEST VARS'!$J$64*(8*8)+'LINEST VARS'!$I$64*(8*$DL$104)+'LINEST VARS'!$H$64*(8*0.5)+'LINEST VARS'!$G$64*(8*$CX107)+'LINEST VARS'!$F$64*(8*$DL$104)+'LINEST VARS'!$E$64*(8*0.5)+'LINEST VARS'!$D$64*(8*$CX107)+'LINEST VARS'!$C$64*($DL$104*0.5)+'LINEST VARS'!$B$64*($DL$104*$CX107)+'LINEST VARS'!$A$64*(0.5*$CX107)</f>
        <v>138.59699999999989</v>
      </c>
      <c r="DM107" s="55">
        <f>'LINEST VARS'!$U$64+'LINEST VARS'!$T$64*(8)+'LINEST VARS'!$S$64*(8)+'LINEST VARS'!$R$64*($DM$104)+'LINEST VARS'!$Q$64*(0.5)+'LINEST VARS'!$P$64*($CX107)+'LINEST VARS'!$O$64*(8^2)+'LINEST VARS'!$N$64*(8^2)+'LINEST VARS'!$M$64*($DM$104^2)+'LINEST VARS'!$L$64*(0.5^2)+'LINEST VARS'!$K$64*($CX107^2)+'LINEST VARS'!$J$64*(8*8)+'LINEST VARS'!$I$64*(8*$DM$104)+'LINEST VARS'!$H$64*(8*0.5)+'LINEST VARS'!$G$64*(8*$CX107)+'LINEST VARS'!$F$64*(8*$DM$104)+'LINEST VARS'!$E$64*(8*0.5)+'LINEST VARS'!$D$64*(8*$CX107)+'LINEST VARS'!$C$64*($DM$104*0.5)+'LINEST VARS'!$B$64*($DM$104*$CX107)+'LINEST VARS'!$A$64*(0.5*$CX107)</f>
        <v>140.19699999999986</v>
      </c>
      <c r="DN107" s="55">
        <f>'LINEST VARS'!$U$64+'LINEST VARS'!$T$64*(8)+'LINEST VARS'!$S$64*(8)+'LINEST VARS'!$R$64*($DN$104)+'LINEST VARS'!$Q$64*(0.5)+'LINEST VARS'!$P$64*($CX107)+'LINEST VARS'!$O$64*(8^2)+'LINEST VARS'!$N$64*(8^2)+'LINEST VARS'!$M$64*($DN$104^2)+'LINEST VARS'!$L$64*(0.5^2)+'LINEST VARS'!$K$64*($CX107^2)+'LINEST VARS'!$J$64*(8*8)+'LINEST VARS'!$I$64*(8*$DN$104)+'LINEST VARS'!$H$64*(8*0.5)+'LINEST VARS'!$G$64*(8*$CX107)+'LINEST VARS'!$F$64*(8*$DN$104)+'LINEST VARS'!$E$64*(8*0.5)+'LINEST VARS'!$D$64*(8*$CX107)+'LINEST VARS'!$C$64*($DN$104*0.5)+'LINEST VARS'!$B$64*($DN$104*$CX107)+'LINEST VARS'!$A$64*(0.5*$CX107)</f>
        <v>141.79699999999985</v>
      </c>
      <c r="DO107" s="55">
        <f>'LINEST VARS'!$U$64+'LINEST VARS'!$T$64*(8)+'LINEST VARS'!$S$64*(8)+'LINEST VARS'!$R$64*($DO$104)+'LINEST VARS'!$Q$64*(0.5)+'LINEST VARS'!$P$64*($CX107)+'LINEST VARS'!$O$64*(8^2)+'LINEST VARS'!$N$64*(8^2)+'LINEST VARS'!$M$64*($DO$104^2)+'LINEST VARS'!$L$64*(0.5^2)+'LINEST VARS'!$K$64*($CX107^2)+'LINEST VARS'!$J$64*(8*8)+'LINEST VARS'!$I$64*(8*$DO$104)+'LINEST VARS'!$H$64*(8*0.5)+'LINEST VARS'!$G$64*(8*$CX107)+'LINEST VARS'!$F$64*(8*$DO$104)+'LINEST VARS'!$E$64*(8*0.5)+'LINEST VARS'!$D$64*(8*$CX107)+'LINEST VARS'!$C$64*($DO$104*0.5)+'LINEST VARS'!$B$64*($DO$104*$CX107)+'LINEST VARS'!$A$64*(0.5*$CX107)</f>
        <v>143.39699999999988</v>
      </c>
      <c r="DP107" s="55">
        <f>'LINEST VARS'!$U$64+'LINEST VARS'!$T$64*(8)+'LINEST VARS'!$S$64*(8)+'LINEST VARS'!$R$64*($DP$104)+'LINEST VARS'!$Q$64*(0.5)+'LINEST VARS'!$P$64*($CX107)+'LINEST VARS'!$O$64*(8^2)+'LINEST VARS'!$N$64*(8^2)+'LINEST VARS'!$M$64*($DP$104^2)+'LINEST VARS'!$L$64*(0.5^2)+'LINEST VARS'!$K$64*($CX107^2)+'LINEST VARS'!$J$64*(8*8)+'LINEST VARS'!$I$64*(8*$DP$104)+'LINEST VARS'!$H$64*(8*0.5)+'LINEST VARS'!$G$64*(8*$CX107)+'LINEST VARS'!$F$64*(8*$DP$104)+'LINEST VARS'!$E$64*(8*0.5)+'LINEST VARS'!$D$64*(8*$CX107)+'LINEST VARS'!$C$64*($DP$104*0.5)+'LINEST VARS'!$B$64*($DP$104*$CX107)+'LINEST VARS'!$A$64*(0.5*$CX107)</f>
        <v>144.99699999999987</v>
      </c>
      <c r="DQ107" s="55">
        <f>'LINEST VARS'!$U$64+'LINEST VARS'!$T$64*(8)+'LINEST VARS'!$S$64*(8)+'LINEST VARS'!$R$64*($DQ$104)+'LINEST VARS'!$Q$64*(0.5)+'LINEST VARS'!$P$64*($CX107)+'LINEST VARS'!$O$64*(8^2)+'LINEST VARS'!$N$64*(8^2)+'LINEST VARS'!$M$64*($DQ$104^2)+'LINEST VARS'!$L$64*(0.5^2)+'LINEST VARS'!$K$64*($CX107^2)+'LINEST VARS'!$J$64*(8*8)+'LINEST VARS'!$I$64*(8*$DQ$104)+'LINEST VARS'!$H$64*(8*0.5)+'LINEST VARS'!$G$64*(8*$CX107)+'LINEST VARS'!$F$64*(8*$DQ$104)+'LINEST VARS'!$E$64*(8*0.5)+'LINEST VARS'!$D$64*(8*$CX107)+'LINEST VARS'!$C$64*($DQ$104*0.5)+'LINEST VARS'!$B$64*($DQ$104*$CX107)+'LINEST VARS'!$A$64*(0.5*$CX107)</f>
        <v>146.59699999999987</v>
      </c>
      <c r="DR107" s="55">
        <f>'LINEST VARS'!$U$64+'LINEST VARS'!$T$64*(8)+'LINEST VARS'!$S$64*(8)+'LINEST VARS'!$R$64*($DR$104)+'LINEST VARS'!$Q$64*(0.5)+'LINEST VARS'!$P$64*($CX107)+'LINEST VARS'!$O$64*(8^2)+'LINEST VARS'!$N$64*(8^2)+'LINEST VARS'!$M$64*($DR$104^2)+'LINEST VARS'!$L$64*(0.5^2)+'LINEST VARS'!$K$64*($CX107^2)+'LINEST VARS'!$J$64*(8*8)+'LINEST VARS'!$I$64*(8*$DR$104)+'LINEST VARS'!$H$64*(8*0.5)+'LINEST VARS'!$G$64*(8*$CX107)+'LINEST VARS'!$F$64*(8*$DR$104)+'LINEST VARS'!$E$64*(8*0.5)+'LINEST VARS'!$D$64*(8*$CX107)+'LINEST VARS'!$C$64*($DR$104*0.5)+'LINEST VARS'!$B$64*($DR$104*$CX107)+'LINEST VARS'!$A$64*(0.5*$CX107)</f>
        <v>148.19699999999986</v>
      </c>
      <c r="DS107" s="56">
        <f>'LINEST VARS'!$U$64+'LINEST VARS'!$T$64*(8)+'LINEST VARS'!$S$64*(8)+'LINEST VARS'!$R$64*($DS$104)+'LINEST VARS'!$Q$64*(0.5)+'LINEST VARS'!$P$64*($CX107)+'LINEST VARS'!$O$64*(8^2)+'LINEST VARS'!$N$64*(8^2)+'LINEST VARS'!$M$64*($DS$104^2)+'LINEST VARS'!$L$64*(0.5^2)+'LINEST VARS'!$K$64*($CX107^2)+'LINEST VARS'!$J$64*(8*8)+'LINEST VARS'!$I$64*(8*$DS$104)+'LINEST VARS'!$H$64*(8*0.5)+'LINEST VARS'!$G$64*(8*$CX107)+'LINEST VARS'!$F$64*(8*$DS$104)+'LINEST VARS'!$E$64*(8*0.5)+'LINEST VARS'!$D$64*(8*$CX107)+'LINEST VARS'!$C$64*($DS$104*0.5)+'LINEST VARS'!$B$64*($DS$104*$CX107)+'LINEST VARS'!$A$64*(0.5*$CX107)</f>
        <v>149.79699999999985</v>
      </c>
      <c r="DV107" s="45">
        <v>2.5990000000000002</v>
      </c>
      <c r="DW107" s="46">
        <f>'LINEST VARS'!$U$66+'LINEST VARS'!$T$66*(8)+'LINEST VARS'!$S$66*(8)+'LINEST VARS'!$R$66*($DW$104)+'LINEST VARS'!$Q$66*(0.5)+'LINEST VARS'!$P$66*($DV107)+'LINEST VARS'!$O$66*(8^2)+'LINEST VARS'!$N$66*(8^2)+'LINEST VARS'!$M$66*($DW$104^2)+'LINEST VARS'!$L$66*(0.5^2)+'LINEST VARS'!$K$66*($DV107^2)+'LINEST VARS'!$J$66*(8*8)+'LINEST VARS'!$I$66*(8*$DW$104)+'LINEST VARS'!$H$66*(8*0.5)+'LINEST VARS'!$G$66*(8*$DV107)+'LINEST VARS'!$F$66*(8*$DW$104)+'LINEST VARS'!$E$66*(8*0.5)+'LINEST VARS'!$D$66*(8*$DV107)+'LINEST VARS'!$C$66*($DW$104*0.5)+'LINEST VARS'!$B$66*($DW$104*$DV107)+'LINEST VARS'!$A$66*(0.5*$DV107)</f>
        <v>144.00000000000003</v>
      </c>
      <c r="DX107" s="46">
        <f>'LINEST VARS'!$U$66+'LINEST VARS'!$T$66*(8)+'LINEST VARS'!$S$66*(8)+'LINEST VARS'!$R$66*($DX$104)+'LINEST VARS'!$Q$66*(0.5)+'LINEST VARS'!$P$66*($DV107)+'LINEST VARS'!$O$66*(8^2)+'LINEST VARS'!$N$66*(8^2)+'LINEST VARS'!$M$66*($DX$104^2)+'LINEST VARS'!$L$66*(0.5^2)+'LINEST VARS'!$K$66*($DV107^2)+'LINEST VARS'!$J$66*(8*8)+'LINEST VARS'!$I$66*(8*$DX$104)+'LINEST VARS'!$H$66*(8*0.5)+'LINEST VARS'!$G$66*(8*$DV107)+'LINEST VARS'!$F$66*(8*$DX$104)+'LINEST VARS'!$E$66*(8*0.5)+'LINEST VARS'!$D$66*(8*$DV107)+'LINEST VARS'!$C$66*($DX$104*0.5)+'LINEST VARS'!$B$66*($DX$104*$DV107)+'LINEST VARS'!$A$66*(0.5*$DV107)</f>
        <v>143.20000000000005</v>
      </c>
      <c r="DY107" s="46">
        <f>'LINEST VARS'!$U$66+'LINEST VARS'!$T$66*(8)+'LINEST VARS'!$S$66*(8)+'LINEST VARS'!$R$66*($DY$104)+'LINEST VARS'!$Q$66*(0.5)+'LINEST VARS'!$P$66*($DV107)+'LINEST VARS'!$O$66*(8^2)+'LINEST VARS'!$N$66*(8^2)+'LINEST VARS'!$M$66*($DY$104^2)+'LINEST VARS'!$L$66*(0.5^2)+'LINEST VARS'!$K$66*($DV107^2)+'LINEST VARS'!$J$66*(8*8)+'LINEST VARS'!$I$66*(8*$DY$104)+'LINEST VARS'!$H$66*(8*0.5)+'LINEST VARS'!$G$66*(8*$DV107)+'LINEST VARS'!$F$66*(8*$DY$104)+'LINEST VARS'!$E$66*(8*0.5)+'LINEST VARS'!$D$66*(8*$DV107)+'LINEST VARS'!$C$66*($DY$104*0.5)+'LINEST VARS'!$B$66*($DY$104*$DV107)+'LINEST VARS'!$A$66*(0.5*$DV107)</f>
        <v>142.40000000000003</v>
      </c>
      <c r="DZ107" s="46">
        <f>'LINEST VARS'!$U$66+'LINEST VARS'!$T$66*(8)+'LINEST VARS'!$S$66*(8)+'LINEST VARS'!$R$66*($DZ$104)+'LINEST VARS'!$Q$66*(0.5)+'LINEST VARS'!$P$66*($DV107)+'LINEST VARS'!$O$66*(8^2)+'LINEST VARS'!$N$66*(8^2)+'LINEST VARS'!$M$66*($DZ$104^2)+'LINEST VARS'!$L$66*(0.5^2)+'LINEST VARS'!$K$66*($DV107^2)+'LINEST VARS'!$J$66*(8*8)+'LINEST VARS'!$I$66*(8*$DZ$104)+'LINEST VARS'!$H$66*(8*0.5)+'LINEST VARS'!$G$66*(8*$DV107)+'LINEST VARS'!$F$66*(8*$DZ$104)+'LINEST VARS'!$E$66*(8*0.5)+'LINEST VARS'!$D$66*(8*$DV107)+'LINEST VARS'!$C$66*($DZ$104*0.5)+'LINEST VARS'!$B$66*($DZ$104*$DV107)+'LINEST VARS'!$A$66*(0.5*$DV107)</f>
        <v>141.60000000000005</v>
      </c>
      <c r="EA107" s="46">
        <f>'LINEST VARS'!$U$66+'LINEST VARS'!$T$66*(8)+'LINEST VARS'!$S$66*(8)+'LINEST VARS'!$R$66*($EA$104)+'LINEST VARS'!$Q$66*(0.5)+'LINEST VARS'!$P$66*($DV107)+'LINEST VARS'!$O$66*(8^2)+'LINEST VARS'!$N$66*(8^2)+'LINEST VARS'!$M$66*($EA$104^2)+'LINEST VARS'!$L$66*(0.5^2)+'LINEST VARS'!$K$66*($DV107^2)+'LINEST VARS'!$J$66*(8*8)+'LINEST VARS'!$I$66*(8*$EA$104)+'LINEST VARS'!$H$66*(8*0.5)+'LINEST VARS'!$G$66*(8*$DV107)+'LINEST VARS'!$F$66*(8*$EA$104)+'LINEST VARS'!$E$66*(8*0.5)+'LINEST VARS'!$D$66*(8*$DV107)+'LINEST VARS'!$C$66*($EA$104*0.5)+'LINEST VARS'!$B$66*($EA$104*$DV107)+'LINEST VARS'!$A$66*(0.5*$DV107)</f>
        <v>140.80000000000004</v>
      </c>
      <c r="EB107" s="46">
        <f>'LINEST VARS'!$U$66+'LINEST VARS'!$T$66*(8)+'LINEST VARS'!$S$66*(8)+'LINEST VARS'!$R$66*($EB$104)+'LINEST VARS'!$Q$66*(0.5)+'LINEST VARS'!$P$66*($DV107)+'LINEST VARS'!$O$66*(8^2)+'LINEST VARS'!$N$66*(8^2)+'LINEST VARS'!$M$66*($EB$104^2)+'LINEST VARS'!$L$66*(0.5^2)+'LINEST VARS'!$K$66*($DV107^2)+'LINEST VARS'!$J$66*(8*8)+'LINEST VARS'!$I$66*(8*$EB$104)+'LINEST VARS'!$H$66*(8*0.5)+'LINEST VARS'!$G$66*(8*$DV107)+'LINEST VARS'!$F$66*(8*$EB$104)+'LINEST VARS'!$E$66*(8*0.5)+'LINEST VARS'!$D$66*(8*$DV107)+'LINEST VARS'!$C$66*($EB$104*0.5)+'LINEST VARS'!$B$66*($EB$104*$DV107)+'LINEST VARS'!$A$66*(0.5*$DV107)</f>
        <v>140.00000000000006</v>
      </c>
      <c r="EC107" s="46">
        <f>'LINEST VARS'!$U$66+'LINEST VARS'!$T$66*(8)+'LINEST VARS'!$S$66*(8)+'LINEST VARS'!$R$66*($EC$104)+'LINEST VARS'!$Q$66*(0.5)+'LINEST VARS'!$P$66*($DV107)+'LINEST VARS'!$O$66*(8^2)+'LINEST VARS'!$N$66*(8^2)+'LINEST VARS'!$M$66*($EC$104^2)+'LINEST VARS'!$L$66*(0.5^2)+'LINEST VARS'!$K$66*($DV107^2)+'LINEST VARS'!$J$66*(8*8)+'LINEST VARS'!$I$66*(8*$EC$104)+'LINEST VARS'!$H$66*(8*0.5)+'LINEST VARS'!$G$66*(8*$DV107)+'LINEST VARS'!$F$66*(8*$EC$104)+'LINEST VARS'!$E$66*(8*0.5)+'LINEST VARS'!$D$66*(8*$DV107)+'LINEST VARS'!$C$66*($EC$104*0.5)+'LINEST VARS'!$B$66*($EC$104*$DV107)+'LINEST VARS'!$A$66*(0.5*$DV107)</f>
        <v>139.20000000000005</v>
      </c>
      <c r="ED107" s="46">
        <f>'LINEST VARS'!$U$66+'LINEST VARS'!$T$66*(8)+'LINEST VARS'!$S$66*(8)+'LINEST VARS'!$R$66*($ED$104)+'LINEST VARS'!$Q$66*(0.5)+'LINEST VARS'!$P$66*($DV107)+'LINEST VARS'!$O$66*(8^2)+'LINEST VARS'!$N$66*(8^2)+'LINEST VARS'!$M$66*($ED$104^2)+'LINEST VARS'!$L$66*(0.5^2)+'LINEST VARS'!$K$66*($DV107^2)+'LINEST VARS'!$J$66*(8*8)+'LINEST VARS'!$I$66*(8*$ED$104)+'LINEST VARS'!$H$66*(8*0.5)+'LINEST VARS'!$G$66*(8*$DV107)+'LINEST VARS'!$F$66*(8*$ED$104)+'LINEST VARS'!$E$66*(8*0.5)+'LINEST VARS'!$D$66*(8*$DV107)+'LINEST VARS'!$C$66*($ED$104*0.5)+'LINEST VARS'!$B$66*($ED$104*$DV107)+'LINEST VARS'!$A$66*(0.5*$DV107)</f>
        <v>138.40000000000006</v>
      </c>
      <c r="EE107" s="46">
        <f>'LINEST VARS'!$U$66+'LINEST VARS'!$T$66*(8)+'LINEST VARS'!$S$66*(8)+'LINEST VARS'!$R$66*($EE$104)+'LINEST VARS'!$Q$66*(0.5)+'LINEST VARS'!$P$66*($DV107)+'LINEST VARS'!$O$66*(8^2)+'LINEST VARS'!$N$66*(8^2)+'LINEST VARS'!$M$66*($EE$104^2)+'LINEST VARS'!$L$66*(0.5^2)+'LINEST VARS'!$K$66*($DV107^2)+'LINEST VARS'!$J$66*(8*8)+'LINEST VARS'!$I$66*(8*$EE$104)+'LINEST VARS'!$H$66*(8*0.5)+'LINEST VARS'!$G$66*(8*$DV107)+'LINEST VARS'!$F$66*(8*$EE$104)+'LINEST VARS'!$E$66*(8*0.5)+'LINEST VARS'!$D$66*(8*$DV107)+'LINEST VARS'!$C$66*($EE$104*0.5)+'LINEST VARS'!$B$66*($EE$104*$DV107)+'LINEST VARS'!$A$66*(0.5*$DV107)</f>
        <v>137.60000000000005</v>
      </c>
      <c r="EF107" s="46">
        <f>'LINEST VARS'!$U$66+'LINEST VARS'!$T$66*(8)+'LINEST VARS'!$S$66*(8)+'LINEST VARS'!$R$66*($EF$104)+'LINEST VARS'!$Q$66*(0.5)+'LINEST VARS'!$P$66*($DV107)+'LINEST VARS'!$O$66*(8^2)+'LINEST VARS'!$N$66*(8^2)+'LINEST VARS'!$M$66*($EF$104^2)+'LINEST VARS'!$L$66*(0.5^2)+'LINEST VARS'!$K$66*($DV107^2)+'LINEST VARS'!$J$66*(8*8)+'LINEST VARS'!$I$66*(8*$EF$104)+'LINEST VARS'!$H$66*(8*0.5)+'LINEST VARS'!$G$66*(8*$DV107)+'LINEST VARS'!$F$66*(8*$EF$104)+'LINEST VARS'!$E$66*(8*0.5)+'LINEST VARS'!$D$66*(8*$DV107)+'LINEST VARS'!$C$66*($EF$104*0.5)+'LINEST VARS'!$B$66*($EF$104*$DV107)+'LINEST VARS'!$A$66*(0.5*$DV107)</f>
        <v>136.80000000000004</v>
      </c>
      <c r="EG107" s="46">
        <f>'LINEST VARS'!$U$66+'LINEST VARS'!$T$66*(8)+'LINEST VARS'!$S$66*(8)+'LINEST VARS'!$R$66*($EG$104)+'LINEST VARS'!$Q$66*(0.5)+'LINEST VARS'!$P$66*($DV107)+'LINEST VARS'!$O$66*(8^2)+'LINEST VARS'!$N$66*(8^2)+'LINEST VARS'!$M$66*($EG$104^2)+'LINEST VARS'!$L$66*(0.5^2)+'LINEST VARS'!$K$66*($DV107^2)+'LINEST VARS'!$J$66*(8*8)+'LINEST VARS'!$I$66*(8*$EG$104)+'LINEST VARS'!$H$66*(8*0.5)+'LINEST VARS'!$G$66*(8*$DV107)+'LINEST VARS'!$F$66*(8*$EG$104)+'LINEST VARS'!$E$66*(8*0.5)+'LINEST VARS'!$D$66*(8*$DV107)+'LINEST VARS'!$C$66*($EG$104*0.5)+'LINEST VARS'!$B$66*($EG$104*$DV107)+'LINEST VARS'!$A$66*(0.5*$DV107)</f>
        <v>136.00000000000003</v>
      </c>
      <c r="EH107" s="46">
        <f>'LINEST VARS'!$U$66+'LINEST VARS'!$T$66*(8)+'LINEST VARS'!$S$66*(8)+'LINEST VARS'!$R$66*($EH$104)+'LINEST VARS'!$Q$66*(0.5)+'LINEST VARS'!$P$66*($DV107)+'LINEST VARS'!$O$66*(8^2)+'LINEST VARS'!$N$66*(8^2)+'LINEST VARS'!$M$66*($EH$104^2)+'LINEST VARS'!$L$66*(0.5^2)+'LINEST VARS'!$K$66*($DV107^2)+'LINEST VARS'!$J$66*(8*8)+'LINEST VARS'!$I$66*(8*$EH$104)+'LINEST VARS'!$H$66*(8*0.5)+'LINEST VARS'!$G$66*(8*$DV107)+'LINEST VARS'!$F$66*(8*$EH$104)+'LINEST VARS'!$E$66*(8*0.5)+'LINEST VARS'!$D$66*(8*$DV107)+'LINEST VARS'!$C$66*($EH$104*0.5)+'LINEST VARS'!$B$66*($EH$104*$DV107)+'LINEST VARS'!$A$66*(0.5*$DV107)</f>
        <v>135.20000000000002</v>
      </c>
      <c r="EI107" s="46">
        <f>'LINEST VARS'!$U$66+'LINEST VARS'!$T$66*(8)+'LINEST VARS'!$S$66*(8)+'LINEST VARS'!$R$66*($EI$104)+'LINEST VARS'!$Q$66*(0.5)+'LINEST VARS'!$P$66*($DV107)+'LINEST VARS'!$O$66*(8^2)+'LINEST VARS'!$N$66*(8^2)+'LINEST VARS'!$M$66*($EI$104^2)+'LINEST VARS'!$L$66*(0.5^2)+'LINEST VARS'!$K$66*($DV107^2)+'LINEST VARS'!$J$66*(8*8)+'LINEST VARS'!$I$66*(8*$EI$104)+'LINEST VARS'!$H$66*(8*0.5)+'LINEST VARS'!$G$66*(8*$DV107)+'LINEST VARS'!$F$66*(8*$EI$104)+'LINEST VARS'!$E$66*(8*0.5)+'LINEST VARS'!$D$66*(8*$DV107)+'LINEST VARS'!$C$66*($EI$104*0.5)+'LINEST VARS'!$B$66*($EI$104*$DV107)+'LINEST VARS'!$A$66*(0.5*$DV107)</f>
        <v>134.4</v>
      </c>
      <c r="EJ107" s="46">
        <f>'LINEST VARS'!$U$66+'LINEST VARS'!$T$66*(8)+'LINEST VARS'!$S$66*(8)+'LINEST VARS'!$R$66*($EJ$104)+'LINEST VARS'!$Q$66*(0.5)+'LINEST VARS'!$P$66*($DV107)+'LINEST VARS'!$O$66*(8^2)+'LINEST VARS'!$N$66*(8^2)+'LINEST VARS'!$M$66*($EJ$104^2)+'LINEST VARS'!$L$66*(0.5^2)+'LINEST VARS'!$K$66*($DV107^2)+'LINEST VARS'!$J$66*(8*8)+'LINEST VARS'!$I$66*(8*$EJ$104)+'LINEST VARS'!$H$66*(8*0.5)+'LINEST VARS'!$G$66*(8*$DV107)+'LINEST VARS'!$F$66*(8*$EJ$104)+'LINEST VARS'!$E$66*(8*0.5)+'LINEST VARS'!$D$66*(8*$DV107)+'LINEST VARS'!$C$66*($EJ$104*0.5)+'LINEST VARS'!$B$66*($EJ$104*$DV107)+'LINEST VARS'!$A$66*(0.5*$DV107)</f>
        <v>133.60000000000002</v>
      </c>
      <c r="EK107" s="46">
        <f>'LINEST VARS'!$U$66+'LINEST VARS'!$T$66*(8)+'LINEST VARS'!$S$66*(8)+'LINEST VARS'!$R$66*($EK$104)+'LINEST VARS'!$Q$66*(0.5)+'LINEST VARS'!$P$66*($DV107)+'LINEST VARS'!$O$66*(8^2)+'LINEST VARS'!$N$66*(8^2)+'LINEST VARS'!$M$66*($EK$104^2)+'LINEST VARS'!$L$66*(0.5^2)+'LINEST VARS'!$K$66*($DV107^2)+'LINEST VARS'!$J$66*(8*8)+'LINEST VARS'!$I$66*(8*$EK$104)+'LINEST VARS'!$H$66*(8*0.5)+'LINEST VARS'!$G$66*(8*$DV107)+'LINEST VARS'!$F$66*(8*$EK$104)+'LINEST VARS'!$E$66*(8*0.5)+'LINEST VARS'!$D$66*(8*$DV107)+'LINEST VARS'!$C$66*($EK$104*0.5)+'LINEST VARS'!$B$66*($EK$104*$DV107)+'LINEST VARS'!$A$66*(0.5*$DV107)</f>
        <v>132.80000000000001</v>
      </c>
      <c r="EL107" s="46">
        <f>'LINEST VARS'!$U$66+'LINEST VARS'!$T$66*(8)+'LINEST VARS'!$S$66*(8)+'LINEST VARS'!$R$66*($EL$104)+'LINEST VARS'!$Q$66*(0.5)+'LINEST VARS'!$P$66*($DV107)+'LINEST VARS'!$O$66*(8^2)+'LINEST VARS'!$N$66*(8^2)+'LINEST VARS'!$M$66*($EL$104^2)+'LINEST VARS'!$L$66*(0.5^2)+'LINEST VARS'!$K$66*($DV107^2)+'LINEST VARS'!$J$66*(8*8)+'LINEST VARS'!$I$66*(8*$EL$104)+'LINEST VARS'!$H$66*(8*0.5)+'LINEST VARS'!$G$66*(8*$DV107)+'LINEST VARS'!$F$66*(8*$EL$104)+'LINEST VARS'!$E$66*(8*0.5)+'LINEST VARS'!$D$66*(8*$DV107)+'LINEST VARS'!$C$66*($EL$104*0.5)+'LINEST VARS'!$B$66*($EL$104*$DV107)+'LINEST VARS'!$A$66*(0.5*$DV107)</f>
        <v>132.00000000000003</v>
      </c>
      <c r="EM107" s="46">
        <f>'LINEST VARS'!$U$66+'LINEST VARS'!$T$66*(8)+'LINEST VARS'!$S$66*(8)+'LINEST VARS'!$R$66*($EM$104)+'LINEST VARS'!$Q$66*(0.5)+'LINEST VARS'!$P$66*($DV107)+'LINEST VARS'!$O$66*(8^2)+'LINEST VARS'!$N$66*(8^2)+'LINEST VARS'!$M$66*($EM$104^2)+'LINEST VARS'!$L$66*(0.5^2)+'LINEST VARS'!$K$66*($DV107^2)+'LINEST VARS'!$J$66*(8*8)+'LINEST VARS'!$I$66*(8*$EM$104)+'LINEST VARS'!$H$66*(8*0.5)+'LINEST VARS'!$G$66*(8*$DV107)+'LINEST VARS'!$F$66*(8*$EM$104)+'LINEST VARS'!$E$66*(8*0.5)+'LINEST VARS'!$D$66*(8*$DV107)+'LINEST VARS'!$C$66*($EM$104*0.5)+'LINEST VARS'!$B$66*($EM$104*$DV107)+'LINEST VARS'!$A$66*(0.5*$DV107)</f>
        <v>131.20000000000002</v>
      </c>
      <c r="EN107" s="46">
        <f>'LINEST VARS'!$U$66+'LINEST VARS'!$T$66*(8)+'LINEST VARS'!$S$66*(8)+'LINEST VARS'!$R$66*($EN$104)+'LINEST VARS'!$Q$66*(0.5)+'LINEST VARS'!$P$66*($DV107)+'LINEST VARS'!$O$66*(8^2)+'LINEST VARS'!$N$66*(8^2)+'LINEST VARS'!$M$66*($EN$104^2)+'LINEST VARS'!$L$66*(0.5^2)+'LINEST VARS'!$K$66*($DV107^2)+'LINEST VARS'!$J$66*(8*8)+'LINEST VARS'!$I$66*(8*$EN$104)+'LINEST VARS'!$H$66*(8*0.5)+'LINEST VARS'!$G$66*(8*$DV107)+'LINEST VARS'!$F$66*(8*$EN$104)+'LINEST VARS'!$E$66*(8*0.5)+'LINEST VARS'!$D$66*(8*$DV107)+'LINEST VARS'!$C$66*($EN$104*0.5)+'LINEST VARS'!$B$66*($EN$104*$DV107)+'LINEST VARS'!$A$66*(0.5*$DV107)</f>
        <v>130.40000000000006</v>
      </c>
      <c r="EO107" s="46">
        <f>'LINEST VARS'!$U$66+'LINEST VARS'!$T$66*(8)+'LINEST VARS'!$S$66*(8)+'LINEST VARS'!$R$66*($EO$104)+'LINEST VARS'!$Q$66*(0.5)+'LINEST VARS'!$P$66*($DV107)+'LINEST VARS'!$O$66*(8^2)+'LINEST VARS'!$N$66*(8^2)+'LINEST VARS'!$M$66*($EO$104^2)+'LINEST VARS'!$L$66*(0.5^2)+'LINEST VARS'!$K$66*($DV107^2)+'LINEST VARS'!$J$66*(8*8)+'LINEST VARS'!$I$66*(8*$EO$104)+'LINEST VARS'!$H$66*(8*0.5)+'LINEST VARS'!$G$66*(8*$DV107)+'LINEST VARS'!$F$66*(8*$EO$104)+'LINEST VARS'!$E$66*(8*0.5)+'LINEST VARS'!$D$66*(8*$DV107)+'LINEST VARS'!$C$66*($EO$104*0.5)+'LINEST VARS'!$B$66*($EO$104*$DV107)+'LINEST VARS'!$A$66*(0.5*$DV107)</f>
        <v>129.60000000000005</v>
      </c>
      <c r="EP107" s="46">
        <f>'LINEST VARS'!$U$66+'LINEST VARS'!$T$66*(8)+'LINEST VARS'!$S$66*(8)+'LINEST VARS'!$R$66*($EP$104)+'LINEST VARS'!$Q$66*(0.5)+'LINEST VARS'!$P$66*($DV107)+'LINEST VARS'!$O$66*(8^2)+'LINEST VARS'!$N$66*(8^2)+'LINEST VARS'!$M$66*($EP$104^2)+'LINEST VARS'!$L$66*(0.5^2)+'LINEST VARS'!$K$66*($DV107^2)+'LINEST VARS'!$J$66*(8*8)+'LINEST VARS'!$I$66*(8*$EP$104)+'LINEST VARS'!$H$66*(8*0.5)+'LINEST VARS'!$G$66*(8*$DV107)+'LINEST VARS'!$F$66*(8*$EP$104)+'LINEST VARS'!$E$66*(8*0.5)+'LINEST VARS'!$D$66*(8*$DV107)+'LINEST VARS'!$C$66*($EP$104*0.5)+'LINEST VARS'!$B$66*($EP$104*$DV107)+'LINEST VARS'!$A$66*(0.5*$DV107)</f>
        <v>128.80000000000007</v>
      </c>
      <c r="EQ107" s="47">
        <f>'LINEST VARS'!$U$66+'LINEST VARS'!$T$66*(8)+'LINEST VARS'!$S$66*(8)+'LINEST VARS'!$R$66*($EQ$104)+'LINEST VARS'!$Q$66*(0.5)+'LINEST VARS'!$P$66*($DV107)+'LINEST VARS'!$O$66*(8^2)+'LINEST VARS'!$N$66*(8^2)+'LINEST VARS'!$M$66*($EQ$104^2)+'LINEST VARS'!$L$66*(0.5^2)+'LINEST VARS'!$K$66*($DV107^2)+'LINEST VARS'!$J$66*(8*8)+'LINEST VARS'!$I$66*(8*$EQ$104)+'LINEST VARS'!$H$66*(8*0.5)+'LINEST VARS'!$G$66*(8*$DV107)+'LINEST VARS'!$F$66*(8*$EQ$104)+'LINEST VARS'!$E$66*(8*0.5)+'LINEST VARS'!$D$66*(8*$DV107)+'LINEST VARS'!$C$66*($EQ$104*0.5)+'LINEST VARS'!$B$66*($EQ$104*$DV107)+'LINEST VARS'!$A$66*(0.5*$DV107)</f>
        <v>128.00000000000006</v>
      </c>
    </row>
    <row r="108" spans="2:147" ht="15" customHeight="1" x14ac:dyDescent="0.25">
      <c r="B108" s="45">
        <v>7.58</v>
      </c>
      <c r="C108" s="55">
        <f>'LINEST VARS'!$U$64+'LINEST VARS'!$T$64*($C$104)+'LINEST VARS'!$S$64*($B108)+'LINEST VARS'!$R$64*(4)+'LINEST VARS'!$Q$64*(0.5)+'LINEST VARS'!$P$64*(12.73)+'LINEST VARS'!$O$64*($C$104^2)+'LINEST VARS'!$N$64*($B108^2)+'LINEST VARS'!$M$64*(4^2)+'LINEST VARS'!$L$64*(0.5^2)+'LINEST VARS'!$K$64*(12.73^2)+'LINEST VARS'!$J$64*($C$104*$B108)+'LINEST VARS'!$I$64*($C$104*4)+'LINEST VARS'!$H$64*($C$104*0.5)+'LINEST VARS'!$G$64*($C$104*12.73)+'LINEST VARS'!$F$64*($B108*4)+'LINEST VARS'!$E$64*($B108*0.5)+'LINEST VARS'!$D$64*($B108*12.73)+'LINEST VARS'!$C$64*(4*0.5)+'LINEST VARS'!$B$64*(4*12.73)+'LINEST VARS'!$A$64*(0.5*12.73)</f>
        <v>164.18999999999988</v>
      </c>
      <c r="D108" s="55">
        <f>'LINEST VARS'!$U$64+'LINEST VARS'!$T$64*($D$104)+'LINEST VARS'!$S$64*($B108)+'LINEST VARS'!$R$64*(4)+'LINEST VARS'!$Q$64*(0.5)+'LINEST VARS'!$P$64*(12.73)+'LINEST VARS'!$O$64*($D$104^2)+'LINEST VARS'!$N$64*($B108^2)+'LINEST VARS'!$M$64*(4^2)+'LINEST VARS'!$L$64*(0.5^2)+'LINEST VARS'!$K$64*(12.73^2)+'LINEST VARS'!$J$64*($D$104*$B108)+'LINEST VARS'!$I$64*($D$104*4)+'LINEST VARS'!$H$64*($D$104*0.5)+'LINEST VARS'!$G$64*($D$104*12.73)+'LINEST VARS'!$F$64*($B108*4)+'LINEST VARS'!$E$64*($B108*0.5)+'LINEST VARS'!$D$64*($B108*12.73)+'LINEST VARS'!$C$64*(4*0.5)+'LINEST VARS'!$B$64*(4*12.73)+'LINEST VARS'!$A$64*(0.5*12.73)</f>
        <v>164.18999999999988</v>
      </c>
      <c r="E108" s="55">
        <f>'LINEST VARS'!$U$64+'LINEST VARS'!$T$64*($E$104)+'LINEST VARS'!$S$64*($B108)+'LINEST VARS'!$R$64*(4)+'LINEST VARS'!$Q$64*(0.5)+'LINEST VARS'!$P$64*(12.73)+'LINEST VARS'!$O$64*($E$104^2)+'LINEST VARS'!$N$64*($B108^2)+'LINEST VARS'!$M$64*(4^2)+'LINEST VARS'!$L$64*(0.5^2)+'LINEST VARS'!$K$64*(12.73^2)+'LINEST VARS'!$J$64*($E$104*$B108)+'LINEST VARS'!$I$64*($E$104*4)+'LINEST VARS'!$H$64*($E$104*0.5)+'LINEST VARS'!$G$64*($E$104*12.73)+'LINEST VARS'!$F$64*($B108*4)+'LINEST VARS'!$E$64*($B108*0.5)+'LINEST VARS'!$D$64*($B108*12.73)+'LINEST VARS'!$C$64*(4*0.5)+'LINEST VARS'!$B$64*(4*12.73)+'LINEST VARS'!$A$64*(0.5*12.73)</f>
        <v>164.18999999999988</v>
      </c>
      <c r="F108" s="55">
        <f>'LINEST VARS'!$U$64+'LINEST VARS'!$T$64*($F$104)+'LINEST VARS'!$S$64*($B108)+'LINEST VARS'!$R$64*(4)+'LINEST VARS'!$Q$64*(0.5)+'LINEST VARS'!$P$64*(12.73)+'LINEST VARS'!$O$64*($F$104^2)+'LINEST VARS'!$N$64*($B108^2)+'LINEST VARS'!$M$64*(4^2)+'LINEST VARS'!$L$64*(0.5^2)+'LINEST VARS'!$K$64*(12.73^2)+'LINEST VARS'!$J$64*($F$104*$B108)+'LINEST VARS'!$I$64*($F$104*4)+'LINEST VARS'!$H$64*($F$104*0.5)+'LINEST VARS'!$G$64*($F$104*12.73)+'LINEST VARS'!$F$64*($B108*4)+'LINEST VARS'!$E$64*($B108*0.5)+'LINEST VARS'!$D$64*($B108*12.73)+'LINEST VARS'!$C$64*(4*0.5)+'LINEST VARS'!$B$64*(4*12.73)+'LINEST VARS'!$A$64*(0.5*12.73)</f>
        <v>164.18999999999988</v>
      </c>
      <c r="G108" s="55">
        <f>'LINEST VARS'!$U$64+'LINEST VARS'!$T$64*($G$104)+'LINEST VARS'!$S$64*($B108)+'LINEST VARS'!$R$64*(4)+'LINEST VARS'!$Q$64*(0.5)+'LINEST VARS'!$P$64*(12.73)+'LINEST VARS'!$O$64*($G$104^2)+'LINEST VARS'!$N$64*($B108^2)+'LINEST VARS'!$M$64*(4^2)+'LINEST VARS'!$L$64*(0.5^2)+'LINEST VARS'!$K$64*(12.73^2)+'LINEST VARS'!$J$64*($G$104*$B108)+'LINEST VARS'!$I$64*($G$104*4)+'LINEST VARS'!$H$64*($G$104*0.5)+'LINEST VARS'!$G$64*($G$104*12.73)+'LINEST VARS'!$F$64*($B108*4)+'LINEST VARS'!$E$64*($B108*0.5)+'LINEST VARS'!$D$64*($B108*12.73)+'LINEST VARS'!$C$64*(4*0.5)+'LINEST VARS'!$B$64*(4*12.73)+'LINEST VARS'!$A$64*(0.5*12.73)</f>
        <v>164.18999999999991</v>
      </c>
      <c r="H108" s="55">
        <f>'LINEST VARS'!$U$64+'LINEST VARS'!$T$64*($H$104)+'LINEST VARS'!$S$64*($B108)+'LINEST VARS'!$R$64*(4)+'LINEST VARS'!$Q$64*(0.5)+'LINEST VARS'!$P$64*(12.73)+'LINEST VARS'!$O$64*($H$104^2)+'LINEST VARS'!$N$64*($B108^2)+'LINEST VARS'!$M$64*(4^2)+'LINEST VARS'!$L$64*(0.5^2)+'LINEST VARS'!$K$64*(12.73^2)+'LINEST VARS'!$J$64*($H$104*$B108)+'LINEST VARS'!$I$64*($H$104*4)+'LINEST VARS'!$H$64*($H$104*0.5)+'LINEST VARS'!$G$64*($H$104*12.73)+'LINEST VARS'!$F$64*($B108*4)+'LINEST VARS'!$E$64*($B108*0.5)+'LINEST VARS'!$D$64*($B108*12.73)+'LINEST VARS'!$C$64*(4*0.5)+'LINEST VARS'!$B$64*(4*12.73)+'LINEST VARS'!$A$64*(0.5*12.73)</f>
        <v>164.18999999999991</v>
      </c>
      <c r="I108" s="55">
        <f>'LINEST VARS'!$U$64+'LINEST VARS'!$T$64*($I$104)+'LINEST VARS'!$S$64*($B108)+'LINEST VARS'!$R$64*(4)+'LINEST VARS'!$Q$64*(0.5)+'LINEST VARS'!$P$64*(12.73)+'LINEST VARS'!$O$64*($I$104^2)+'LINEST VARS'!$N$64*($B108^2)+'LINEST VARS'!$M$64*(4^2)+'LINEST VARS'!$L$64*(0.5^2)+'LINEST VARS'!$K$64*(12.73^2)+'LINEST VARS'!$J$64*($I$104*$B108)+'LINEST VARS'!$I$64*($I$104*4)+'LINEST VARS'!$H$64*($I$104*0.5)+'LINEST VARS'!$G$64*($I$104*12.73)+'LINEST VARS'!$F$64*($B108*4)+'LINEST VARS'!$E$64*($B108*0.5)+'LINEST VARS'!$D$64*($B108*12.73)+'LINEST VARS'!$C$64*(4*0.5)+'LINEST VARS'!$B$64*(4*12.73)+'LINEST VARS'!$A$64*(0.5*12.73)</f>
        <v>164.18999999999991</v>
      </c>
      <c r="J108" s="55">
        <f>'LINEST VARS'!$U$64+'LINEST VARS'!$T$64*($J$104)+'LINEST VARS'!$S$64*($B108)+'LINEST VARS'!$R$64*(4)+'LINEST VARS'!$Q$64*(0.5)+'LINEST VARS'!$P$64*(12.73)+'LINEST VARS'!$O$64*($J$104^2)+'LINEST VARS'!$N$64*($B108^2)+'LINEST VARS'!$M$64*(4^2)+'LINEST VARS'!$L$64*(0.5^2)+'LINEST VARS'!$K$64*(12.73^2)+'LINEST VARS'!$J$64*($J$104*$B108)+'LINEST VARS'!$I$64*($J$104*4)+'LINEST VARS'!$H$64*($J$104*0.5)+'LINEST VARS'!$G$64*($J$104*12.73)+'LINEST VARS'!$F$64*($B108*4)+'LINEST VARS'!$E$64*($B108*0.5)+'LINEST VARS'!$D$64*($B108*12.73)+'LINEST VARS'!$C$64*(4*0.5)+'LINEST VARS'!$B$64*(4*12.73)+'LINEST VARS'!$A$64*(0.5*12.73)</f>
        <v>164.18999999999991</v>
      </c>
      <c r="K108" s="55">
        <f>'LINEST VARS'!$U$64+'LINEST VARS'!$T$64*($K$104)+'LINEST VARS'!$S$64*($B108)+'LINEST VARS'!$R$64*(4)+'LINEST VARS'!$Q$64*(0.5)+'LINEST VARS'!$P$64*(12.73)+'LINEST VARS'!$O$64*($K$104^2)+'LINEST VARS'!$N$64*($B108^2)+'LINEST VARS'!$M$64*(4^2)+'LINEST VARS'!$L$64*(0.5^2)+'LINEST VARS'!$K$64*(12.73^2)+'LINEST VARS'!$J$64*($K$104*$B108)+'LINEST VARS'!$I$64*($K$104*4)+'LINEST VARS'!$H$64*($K$104*0.5)+'LINEST VARS'!$G$64*($K$104*12.73)+'LINEST VARS'!$F$64*($B108*4)+'LINEST VARS'!$E$64*($B108*0.5)+'LINEST VARS'!$D$64*($B108*12.73)+'LINEST VARS'!$C$64*(4*0.5)+'LINEST VARS'!$B$64*(4*12.73)+'LINEST VARS'!$A$64*(0.5*12.73)</f>
        <v>164.18999999999991</v>
      </c>
      <c r="L108" s="55">
        <f>'LINEST VARS'!$U$64+'LINEST VARS'!$T$64*($L$104)+'LINEST VARS'!$S$64*($B108)+'LINEST VARS'!$R$64*(4)+'LINEST VARS'!$Q$64*(0.5)+'LINEST VARS'!$P$64*(12.73)+'LINEST VARS'!$O$64*($L$104^2)+'LINEST VARS'!$N$64*($B108^2)+'LINEST VARS'!$M$64*(4^2)+'LINEST VARS'!$L$64*(0.5^2)+'LINEST VARS'!$K$64*(12.73^2)+'LINEST VARS'!$J$64*($L$104*$B108)+'LINEST VARS'!$I$64*($L$104*4)+'LINEST VARS'!$H$64*($L$104*0.5)+'LINEST VARS'!$G$64*($L$104*12.73)+'LINEST VARS'!$F$64*($B108*4)+'LINEST VARS'!$E$64*($B108*0.5)+'LINEST VARS'!$D$64*($B108*12.73)+'LINEST VARS'!$C$64*(4*0.5)+'LINEST VARS'!$B$64*(4*12.73)+'LINEST VARS'!$A$64*(0.5*12.73)</f>
        <v>164.18999999999991</v>
      </c>
      <c r="M108" s="55">
        <f>'LINEST VARS'!$U$64+'LINEST VARS'!$T$64*($M$104)+'LINEST VARS'!$S$64*($B108)+'LINEST VARS'!$R$64*(4)+'LINEST VARS'!$Q$64*(0.5)+'LINEST VARS'!$P$64*(12.73)+'LINEST VARS'!$O$64*($M$104^2)+'LINEST VARS'!$N$64*($B108^2)+'LINEST VARS'!$M$64*(4^2)+'LINEST VARS'!$L$64*(0.5^2)+'LINEST VARS'!$K$64*(12.73^2)+'LINEST VARS'!$J$64*($M$104*$B108)+'LINEST VARS'!$I$64*($M$104*4)+'LINEST VARS'!$H$64*($M$104*0.5)+'LINEST VARS'!$G$64*($M$104*12.73)+'LINEST VARS'!$F$64*($B108*4)+'LINEST VARS'!$E$64*($B108*0.5)+'LINEST VARS'!$D$64*($B108*12.73)+'LINEST VARS'!$C$64*(4*0.5)+'LINEST VARS'!$B$64*(4*12.73)+'LINEST VARS'!$A$64*(0.5*12.73)</f>
        <v>164.18999999999991</v>
      </c>
      <c r="N108" s="55">
        <f>'LINEST VARS'!$U$64+'LINEST VARS'!$T$64*($N$104)+'LINEST VARS'!$S$64*($B108)+'LINEST VARS'!$R$64*(4)+'LINEST VARS'!$Q$64*(0.5)+'LINEST VARS'!$P$64*(12.73)+'LINEST VARS'!$O$64*($N$104^2)+'LINEST VARS'!$N$64*($B108^2)+'LINEST VARS'!$M$64*(4^2)+'LINEST VARS'!$L$64*(0.5^2)+'LINEST VARS'!$K$64*(12.73^2)+'LINEST VARS'!$J$64*($N$104*$B108)+'LINEST VARS'!$I$64*($N$104*4)+'LINEST VARS'!$H$64*($N$104*0.5)+'LINEST VARS'!$G$64*($N$104*12.73)+'LINEST VARS'!$F$64*($B108*4)+'LINEST VARS'!$E$64*($B108*0.5)+'LINEST VARS'!$D$64*($B108*12.73)+'LINEST VARS'!$C$64*(4*0.5)+'LINEST VARS'!$B$64*(4*12.73)+'LINEST VARS'!$A$64*(0.5*12.73)</f>
        <v>164.18999999999991</v>
      </c>
      <c r="O108" s="55">
        <f>'LINEST VARS'!$U$64+'LINEST VARS'!$T$64*($O$104)+'LINEST VARS'!$S$64*($B108)+'LINEST VARS'!$R$64*(4)+'LINEST VARS'!$Q$64*(0.5)+'LINEST VARS'!$P$64*(12.73)+'LINEST VARS'!$O$64*($O$104^2)+'LINEST VARS'!$N$64*($B108^2)+'LINEST VARS'!$M$64*(4^2)+'LINEST VARS'!$L$64*(0.5^2)+'LINEST VARS'!$K$64*(12.73^2)+'LINEST VARS'!$J$64*($O$104*$B108)+'LINEST VARS'!$I$64*($O$104*4)+'LINEST VARS'!$H$64*($O$104*0.5)+'LINEST VARS'!$G$64*($O$104*12.73)+'LINEST VARS'!$F$64*($B108*4)+'LINEST VARS'!$E$64*($B108*0.5)+'LINEST VARS'!$D$64*($B108*12.73)+'LINEST VARS'!$C$64*(4*0.5)+'LINEST VARS'!$B$64*(4*12.73)+'LINEST VARS'!$A$64*(0.5*12.73)</f>
        <v>164.18999999999988</v>
      </c>
      <c r="P108" s="55">
        <f>'LINEST VARS'!$U$64+'LINEST VARS'!$T$64*($P$104)+'LINEST VARS'!$S$64*($B108)+'LINEST VARS'!$R$64*(4)+'LINEST VARS'!$Q$64*(0.5)+'LINEST VARS'!$P$64*(12.73)+'LINEST VARS'!$O$64*($P$104^2)+'LINEST VARS'!$N$64*($B108^2)+'LINEST VARS'!$M$64*(4^2)+'LINEST VARS'!$L$64*(0.5^2)+'LINEST VARS'!$K$64*(12.73^2)+'LINEST VARS'!$J$64*($P$104*$B108)+'LINEST VARS'!$I$64*($P$104*4)+'LINEST VARS'!$H$64*($P$104*0.5)+'LINEST VARS'!$G$64*($P$104*12.73)+'LINEST VARS'!$F$64*($B108*4)+'LINEST VARS'!$E$64*($B108*0.5)+'LINEST VARS'!$D$64*($B108*12.73)+'LINEST VARS'!$C$64*(4*0.5)+'LINEST VARS'!$B$64*(4*12.73)+'LINEST VARS'!$A$64*(0.5*12.73)</f>
        <v>164.18999999999991</v>
      </c>
      <c r="Q108" s="55">
        <f>'LINEST VARS'!$U$64+'LINEST VARS'!$T$64*($Q$104)+'LINEST VARS'!$S$64*($B108)+'LINEST VARS'!$R$64*(4)+'LINEST VARS'!$Q$64*(0.5)+'LINEST VARS'!$P$64*(12.73)+'LINEST VARS'!$O$64*($Q$104^2)+'LINEST VARS'!$N$64*($B108^2)+'LINEST VARS'!$M$64*(4^2)+'LINEST VARS'!$L$64*(0.5^2)+'LINEST VARS'!$K$64*(12.73^2)+'LINEST VARS'!$J$64*($Q$104*$B108)+'LINEST VARS'!$I$64*($Q$104*4)+'LINEST VARS'!$H$64*($Q$104*0.5)+'LINEST VARS'!$G$64*($Q$104*12.73)+'LINEST VARS'!$F$64*($B108*4)+'LINEST VARS'!$E$64*($B108*0.5)+'LINEST VARS'!$D$64*($B108*12.73)+'LINEST VARS'!$C$64*(4*0.5)+'LINEST VARS'!$B$64*(4*12.73)+'LINEST VARS'!$A$64*(0.5*12.73)</f>
        <v>164.18999999999991</v>
      </c>
      <c r="R108" s="55">
        <f>'LINEST VARS'!$U$64+'LINEST VARS'!$T$64*($R$104)+'LINEST VARS'!$S$64*($B108)+'LINEST VARS'!$R$64*(4)+'LINEST VARS'!$Q$64*(0.5)+'LINEST VARS'!$P$64*(12.73)+'LINEST VARS'!$O$64*($R$104^2)+'LINEST VARS'!$N$64*($B108^2)+'LINEST VARS'!$M$64*(4^2)+'LINEST VARS'!$L$64*(0.5^2)+'LINEST VARS'!$K$64*(12.73^2)+'LINEST VARS'!$J$64*($R$104*$B108)+'LINEST VARS'!$I$64*($R$104*4)+'LINEST VARS'!$H$64*($R$104*0.5)+'LINEST VARS'!$G$64*($R$104*12.73)+'LINEST VARS'!$F$64*($B108*4)+'LINEST VARS'!$E$64*($B108*0.5)+'LINEST VARS'!$D$64*($B108*12.73)+'LINEST VARS'!$C$64*(4*0.5)+'LINEST VARS'!$B$64*(4*12.73)+'LINEST VARS'!$A$64*(0.5*12.73)</f>
        <v>164.18999999999991</v>
      </c>
      <c r="S108" s="55">
        <f>'LINEST VARS'!$U$64+'LINEST VARS'!$T$64*($S$104)+'LINEST VARS'!$S$64*($B108)+'LINEST VARS'!$R$64*(4)+'LINEST VARS'!$Q$64*(0.5)+'LINEST VARS'!$P$64*(12.73)+'LINEST VARS'!$O$64*($S$104^2)+'LINEST VARS'!$N$64*($B108^2)+'LINEST VARS'!$M$64*(4^2)+'LINEST VARS'!$L$64*(0.5^2)+'LINEST VARS'!$K$64*(12.73^2)+'LINEST VARS'!$J$64*($S$104*$B108)+'LINEST VARS'!$I$64*($S$104*4)+'LINEST VARS'!$H$64*($S$104*0.5)+'LINEST VARS'!$G$64*($S$104*12.73)+'LINEST VARS'!$F$64*($B108*4)+'LINEST VARS'!$E$64*($B108*0.5)+'LINEST VARS'!$D$64*($B108*12.73)+'LINEST VARS'!$C$64*(4*0.5)+'LINEST VARS'!$B$64*(4*12.73)+'LINEST VARS'!$A$64*(0.5*12.73)</f>
        <v>164.18999999999991</v>
      </c>
      <c r="T108" s="55">
        <f>'LINEST VARS'!$U$64+'LINEST VARS'!$T$64*($T$104)+'LINEST VARS'!$S$64*($B108)+'LINEST VARS'!$R$64*(4)+'LINEST VARS'!$Q$64*(0.5)+'LINEST VARS'!$P$64*(12.73)+'LINEST VARS'!$O$64*($T$104^2)+'LINEST VARS'!$N$64*($B108^2)+'LINEST VARS'!$M$64*(4^2)+'LINEST VARS'!$L$64*(0.5^2)+'LINEST VARS'!$K$64*(12.73^2)+'LINEST VARS'!$J$64*($T$104*$B108)+'LINEST VARS'!$I$64*($T$104*4)+'LINEST VARS'!$H$64*($T$104*0.5)+'LINEST VARS'!$G$64*($T$104*12.73)+'LINEST VARS'!$F$64*($B108*4)+'LINEST VARS'!$E$64*($B108*0.5)+'LINEST VARS'!$D$64*($B108*12.73)+'LINEST VARS'!$C$64*(4*0.5)+'LINEST VARS'!$B$64*(4*12.73)+'LINEST VARS'!$A$64*(0.5*12.73)</f>
        <v>164.18999999999988</v>
      </c>
      <c r="U108" s="55">
        <f>'LINEST VARS'!$U$64+'LINEST VARS'!$T$64*($U$104)+'LINEST VARS'!$S$64*($B108)+'LINEST VARS'!$R$64*(4)+'LINEST VARS'!$Q$64*(0.5)+'LINEST VARS'!$P$64*(12.73)+'LINEST VARS'!$O$64*($U$104^2)+'LINEST VARS'!$N$64*($B108^2)+'LINEST VARS'!$M$64*(4^2)+'LINEST VARS'!$L$64*(0.5^2)+'LINEST VARS'!$K$64*(12.73^2)+'LINEST VARS'!$J$64*($U$104*$B108)+'LINEST VARS'!$I$64*($U$104*4)+'LINEST VARS'!$H$64*($U$104*0.5)+'LINEST VARS'!$G$64*($U$104*12.73)+'LINEST VARS'!$F$64*($B108*4)+'LINEST VARS'!$E$64*($B108*0.5)+'LINEST VARS'!$D$64*($B108*12.73)+'LINEST VARS'!$C$64*(4*0.5)+'LINEST VARS'!$B$64*(4*12.73)+'LINEST VARS'!$A$64*(0.5*12.73)</f>
        <v>164.18999999999988</v>
      </c>
      <c r="V108" s="55">
        <f>'LINEST VARS'!$U$64+'LINEST VARS'!$T$64*($V$104)+'LINEST VARS'!$S$64*($B108)+'LINEST VARS'!$R$64*(4)+'LINEST VARS'!$Q$64*(0.5)+'LINEST VARS'!$P$64*(12.73)+'LINEST VARS'!$O$64*($V$104^2)+'LINEST VARS'!$N$64*($B108^2)+'LINEST VARS'!$M$64*(4^2)+'LINEST VARS'!$L$64*(0.5^2)+'LINEST VARS'!$K$64*(12.73^2)+'LINEST VARS'!$J$64*($V$104*$B108)+'LINEST VARS'!$I$64*($V$104*4)+'LINEST VARS'!$H$64*($V$104*0.5)+'LINEST VARS'!$G$64*($V$104*12.73)+'LINEST VARS'!$F$64*($B108*4)+'LINEST VARS'!$E$64*($B108*0.5)+'LINEST VARS'!$D$64*($B108*12.73)+'LINEST VARS'!$C$64*(4*0.5)+'LINEST VARS'!$B$64*(4*12.73)+'LINEST VARS'!$A$64*(0.5*12.73)</f>
        <v>164.18999999999988</v>
      </c>
      <c r="W108" s="56">
        <f>'LINEST VARS'!$U$64+'LINEST VARS'!$T$64*($W$104)+'LINEST VARS'!$S$64*($B108)+'LINEST VARS'!$R$64*(4)+'LINEST VARS'!$Q$64*(0.5)+'LINEST VARS'!$P$64*(12.73)+'LINEST VARS'!$O$64*($W$104^2)+'LINEST VARS'!$N$64*($B108^2)+'LINEST VARS'!$M$64*(4^2)+'LINEST VARS'!$L$64*(0.5^2)+'LINEST VARS'!$K$64*(12.73^2)+'LINEST VARS'!$J$64*($W$104*$B108)+'LINEST VARS'!$I$64*($W$104*4)+'LINEST VARS'!$H$64*($W$104*0.5)+'LINEST VARS'!$G$64*($W$104*12.73)+'LINEST VARS'!$F$64*($B108*4)+'LINEST VARS'!$E$64*($B108*0.5)+'LINEST VARS'!$D$64*($B108*12.73)+'LINEST VARS'!$C$64*(4*0.5)+'LINEST VARS'!$B$64*(4*12.73)+'LINEST VARS'!$A$64*(0.5*12.73)</f>
        <v>164.18999999999988</v>
      </c>
      <c r="Z108" s="45">
        <v>7.58</v>
      </c>
      <c r="AA108" s="46">
        <f>'LINEST VARS'!$U$66+'LINEST VARS'!$T$66*($AA$104)+'LINEST VARS'!$S$66*($Z108)+'LINEST VARS'!$R$66*(4)+'LINEST VARS'!$Q$66*(0.5)+'LINEST VARS'!$P$66*(12.73)+'LINEST VARS'!$O$66*($AA$104^2)+'LINEST VARS'!$N$66*($Z108^2)+'LINEST VARS'!$M$66*(4^2)+'LINEST VARS'!$L$66*(0.5^2)+'LINEST VARS'!$K$66*(12.73^2)+'LINEST VARS'!$J$66*($AA$104*$Z108)+'LINEST VARS'!$I$66*($AA$104*4)+'LINEST VARS'!$H$66*($AA$104*0.5)+'LINEST VARS'!$G$66*($AA$104*12.73)+'LINEST VARS'!$F$66*($Z108*4)+'LINEST VARS'!$E$66*($Z108*0.5)+'LINEST VARS'!$D$66*($Z108*12.73)+'LINEST VARS'!$C$66*(4*0.5)+'LINEST VARS'!$B$66*(4*12.73)+'LINEST VARS'!$A$66*(0.5*12.73)</f>
        <v>134.20000000000007</v>
      </c>
      <c r="AB108" s="46">
        <f>'LINEST VARS'!$U$66+'LINEST VARS'!$T$66*($AB$104)+'LINEST VARS'!$S$66*($Z108)+'LINEST VARS'!$R$66*(4)+'LINEST VARS'!$Q$66*(0.5)+'LINEST VARS'!$P$66*(12.73)+'LINEST VARS'!$O$66*($AB$104^2)+'LINEST VARS'!$N$66*($Z108^2)+'LINEST VARS'!$M$66*(4^2)+'LINEST VARS'!$L$66*(0.5^2)+'LINEST VARS'!$K$66*(12.73^2)+'LINEST VARS'!$J$66*($AB$104*$Z108)+'LINEST VARS'!$I$66*($AB$104*4)+'LINEST VARS'!$H$66*($AB$104*0.5)+'LINEST VARS'!$G$66*($AB$104*12.73)+'LINEST VARS'!$F$66*($Z108*4)+'LINEST VARS'!$E$66*($Z108*0.5)+'LINEST VARS'!$D$66*($Z108*12.73)+'LINEST VARS'!$C$66*(4*0.5)+'LINEST VARS'!$B$66*(4*12.73)+'LINEST VARS'!$A$66*(0.5*12.73)</f>
        <v>134.38000000000008</v>
      </c>
      <c r="AC108" s="46">
        <f>'LINEST VARS'!$U$66+'LINEST VARS'!$T$66*($AC$104)+'LINEST VARS'!$S$66*($Z108)+'LINEST VARS'!$R$66*(4)+'LINEST VARS'!$Q$66*(0.5)+'LINEST VARS'!$P$66*(12.73)+'LINEST VARS'!$O$66*($AC$104^2)+'LINEST VARS'!$N$66*($Z108^2)+'LINEST VARS'!$M$66*(4^2)+'LINEST VARS'!$L$66*(0.5^2)+'LINEST VARS'!$K$66*(12.73^2)+'LINEST VARS'!$J$66*($AC$104*$Z108)+'LINEST VARS'!$I$66*($AC$104*4)+'LINEST VARS'!$H$66*($AC$104*0.5)+'LINEST VARS'!$G$66*($AC$104*12.73)+'LINEST VARS'!$F$66*($Z108*4)+'LINEST VARS'!$E$66*($Z108*0.5)+'LINEST VARS'!$D$66*($Z108*12.73)+'LINEST VARS'!$C$66*(4*0.5)+'LINEST VARS'!$B$66*(4*12.73)+'LINEST VARS'!$A$66*(0.5*12.73)</f>
        <v>134.56000000000006</v>
      </c>
      <c r="AD108" s="46">
        <f>'LINEST VARS'!$U$66+'LINEST VARS'!$T$66*($AD$104)+'LINEST VARS'!$S$66*($Z108)+'LINEST VARS'!$R$66*(4)+'LINEST VARS'!$Q$66*(0.5)+'LINEST VARS'!$P$66*(12.73)+'LINEST VARS'!$O$66*($AD$104^2)+'LINEST VARS'!$N$66*($Z108^2)+'LINEST VARS'!$M$66*(4^2)+'LINEST VARS'!$L$66*(0.5^2)+'LINEST VARS'!$K$66*(12.73^2)+'LINEST VARS'!$J$66*($AD$104*$Z108)+'LINEST VARS'!$I$66*($AD$104*4)+'LINEST VARS'!$H$66*($AD$104*0.5)+'LINEST VARS'!$G$66*($AD$104*12.73)+'LINEST VARS'!$F$66*($Z108*4)+'LINEST VARS'!$E$66*($Z108*0.5)+'LINEST VARS'!$D$66*($Z108*12.73)+'LINEST VARS'!$C$66*(4*0.5)+'LINEST VARS'!$B$66*(4*12.73)+'LINEST VARS'!$A$66*(0.5*12.73)</f>
        <v>134.74000000000007</v>
      </c>
      <c r="AE108" s="46">
        <f>'LINEST VARS'!$U$66+'LINEST VARS'!$T$66*($AE$104)+'LINEST VARS'!$S$66*($Z108)+'LINEST VARS'!$R$66*(4)+'LINEST VARS'!$Q$66*(0.5)+'LINEST VARS'!$P$66*(12.73)+'LINEST VARS'!$O$66*($AE$104^2)+'LINEST VARS'!$N$66*($Z108^2)+'LINEST VARS'!$M$66*(4^2)+'LINEST VARS'!$L$66*(0.5^2)+'LINEST VARS'!$K$66*(12.73^2)+'LINEST VARS'!$J$66*($AE$104*$Z108)+'LINEST VARS'!$I$66*($AE$104*4)+'LINEST VARS'!$H$66*($AE$104*0.5)+'LINEST VARS'!$G$66*($AE$104*12.73)+'LINEST VARS'!$F$66*($Z108*4)+'LINEST VARS'!$E$66*($Z108*0.5)+'LINEST VARS'!$D$66*($Z108*12.73)+'LINEST VARS'!$C$66*(4*0.5)+'LINEST VARS'!$B$66*(4*12.73)+'LINEST VARS'!$A$66*(0.5*12.73)</f>
        <v>134.92000000000007</v>
      </c>
      <c r="AF108" s="46">
        <f>'LINEST VARS'!$U$66+'LINEST VARS'!$T$66*($AF$104)+'LINEST VARS'!$S$66*($Z108)+'LINEST VARS'!$R$66*(4)+'LINEST VARS'!$Q$66*(0.5)+'LINEST VARS'!$P$66*(12.73)+'LINEST VARS'!$O$66*($AF$104^2)+'LINEST VARS'!$N$66*($Z108^2)+'LINEST VARS'!$M$66*(4^2)+'LINEST VARS'!$L$66*(0.5^2)+'LINEST VARS'!$K$66*(12.73^2)+'LINEST VARS'!$J$66*($AF$104*$Z108)+'LINEST VARS'!$I$66*($AF$104*4)+'LINEST VARS'!$H$66*($AF$104*0.5)+'LINEST VARS'!$G$66*($AF$104*12.73)+'LINEST VARS'!$F$66*($Z108*4)+'LINEST VARS'!$E$66*($Z108*0.5)+'LINEST VARS'!$D$66*($Z108*12.73)+'LINEST VARS'!$C$66*(4*0.5)+'LINEST VARS'!$B$66*(4*12.73)+'LINEST VARS'!$A$66*(0.5*12.73)</f>
        <v>135.10000000000008</v>
      </c>
      <c r="AG108" s="46">
        <f>'LINEST VARS'!$U$66+'LINEST VARS'!$T$66*($AG$104)+'LINEST VARS'!$S$66*($Z108)+'LINEST VARS'!$R$66*(4)+'LINEST VARS'!$Q$66*(0.5)+'LINEST VARS'!$P$66*(12.73)+'LINEST VARS'!$O$66*($AG$104^2)+'LINEST VARS'!$N$66*($Z108^2)+'LINEST VARS'!$M$66*(4^2)+'LINEST VARS'!$L$66*(0.5^2)+'LINEST VARS'!$K$66*(12.73^2)+'LINEST VARS'!$J$66*($AG$104*$Z108)+'LINEST VARS'!$I$66*($AG$104*4)+'LINEST VARS'!$H$66*($AG$104*0.5)+'LINEST VARS'!$G$66*($AG$104*12.73)+'LINEST VARS'!$F$66*($Z108*4)+'LINEST VARS'!$E$66*($Z108*0.5)+'LINEST VARS'!$D$66*($Z108*12.73)+'LINEST VARS'!$C$66*(4*0.5)+'LINEST VARS'!$B$66*(4*12.73)+'LINEST VARS'!$A$66*(0.5*12.73)</f>
        <v>135.28000000000006</v>
      </c>
      <c r="AH108" s="46">
        <f>'LINEST VARS'!$U$66+'LINEST VARS'!$T$66*($AH$104)+'LINEST VARS'!$S$66*($Z108)+'LINEST VARS'!$R$66*(4)+'LINEST VARS'!$Q$66*(0.5)+'LINEST VARS'!$P$66*(12.73)+'LINEST VARS'!$O$66*($AH$104^2)+'LINEST VARS'!$N$66*($Z108^2)+'LINEST VARS'!$M$66*(4^2)+'LINEST VARS'!$L$66*(0.5^2)+'LINEST VARS'!$K$66*(12.73^2)+'LINEST VARS'!$J$66*($AH$104*$Z108)+'LINEST VARS'!$I$66*($AH$104*4)+'LINEST VARS'!$H$66*($AH$104*0.5)+'LINEST VARS'!$G$66*($AH$104*12.73)+'LINEST VARS'!$F$66*($Z108*4)+'LINEST VARS'!$E$66*($Z108*0.5)+'LINEST VARS'!$D$66*($Z108*12.73)+'LINEST VARS'!$C$66*(4*0.5)+'LINEST VARS'!$B$66*(4*12.73)+'LINEST VARS'!$A$66*(0.5*12.73)</f>
        <v>135.46000000000006</v>
      </c>
      <c r="AI108" s="46">
        <f>'LINEST VARS'!$U$66+'LINEST VARS'!$T$66*($AI$104)+'LINEST VARS'!$S$66*($Z108)+'LINEST VARS'!$R$66*(4)+'LINEST VARS'!$Q$66*(0.5)+'LINEST VARS'!$P$66*(12.73)+'LINEST VARS'!$O$66*($AI$104^2)+'LINEST VARS'!$N$66*($Z108^2)+'LINEST VARS'!$M$66*(4^2)+'LINEST VARS'!$L$66*(0.5^2)+'LINEST VARS'!$K$66*(12.73^2)+'LINEST VARS'!$J$66*($AI$104*$Z108)+'LINEST VARS'!$I$66*($AI$104*4)+'LINEST VARS'!$H$66*($AI$104*0.5)+'LINEST VARS'!$G$66*($AI$104*12.73)+'LINEST VARS'!$F$66*($Z108*4)+'LINEST VARS'!$E$66*($Z108*0.5)+'LINEST VARS'!$D$66*($Z108*12.73)+'LINEST VARS'!$C$66*(4*0.5)+'LINEST VARS'!$B$66*(4*12.73)+'LINEST VARS'!$A$66*(0.5*12.73)</f>
        <v>135.64000000000007</v>
      </c>
      <c r="AJ108" s="46">
        <f>'LINEST VARS'!$U$66+'LINEST VARS'!$T$66*($AJ$104)+'LINEST VARS'!$S$66*($Z108)+'LINEST VARS'!$R$66*(4)+'LINEST VARS'!$Q$66*(0.5)+'LINEST VARS'!$P$66*(12.73)+'LINEST VARS'!$O$66*($AJ$104^2)+'LINEST VARS'!$N$66*($Z108^2)+'LINEST VARS'!$M$66*(4^2)+'LINEST VARS'!$L$66*(0.5^2)+'LINEST VARS'!$K$66*(12.73^2)+'LINEST VARS'!$J$66*($AJ$104*$Z108)+'LINEST VARS'!$I$66*($AJ$104*4)+'LINEST VARS'!$H$66*($AJ$104*0.5)+'LINEST VARS'!$G$66*($AJ$104*12.73)+'LINEST VARS'!$F$66*($Z108*4)+'LINEST VARS'!$E$66*($Z108*0.5)+'LINEST VARS'!$D$66*($Z108*12.73)+'LINEST VARS'!$C$66*(4*0.5)+'LINEST VARS'!$B$66*(4*12.73)+'LINEST VARS'!$A$66*(0.5*12.73)</f>
        <v>135.82000000000008</v>
      </c>
      <c r="AK108" s="46">
        <f>'LINEST VARS'!$U$66+'LINEST VARS'!$T$66*($AK$104)+'LINEST VARS'!$S$66*($Z108)+'LINEST VARS'!$R$66*(4)+'LINEST VARS'!$Q$66*(0.5)+'LINEST VARS'!$P$66*(12.73)+'LINEST VARS'!$O$66*($AK$104^2)+'LINEST VARS'!$N$66*($Z108^2)+'LINEST VARS'!$M$66*(4^2)+'LINEST VARS'!$L$66*(0.5^2)+'LINEST VARS'!$K$66*(12.73^2)+'LINEST VARS'!$J$66*($AK$104*$Z108)+'LINEST VARS'!$I$66*($AK$104*4)+'LINEST VARS'!$H$66*($AK$104*0.5)+'LINEST VARS'!$G$66*($AK$104*12.73)+'LINEST VARS'!$F$66*($Z108*4)+'LINEST VARS'!$E$66*($Z108*0.5)+'LINEST VARS'!$D$66*($Z108*12.73)+'LINEST VARS'!$C$66*(4*0.5)+'LINEST VARS'!$B$66*(4*12.73)+'LINEST VARS'!$A$66*(0.5*12.73)</f>
        <v>136.00000000000006</v>
      </c>
      <c r="AL108" s="46">
        <f>'LINEST VARS'!$U$66+'LINEST VARS'!$T$66*($AL$104)+'LINEST VARS'!$S$66*($Z108)+'LINEST VARS'!$R$66*(4)+'LINEST VARS'!$Q$66*(0.5)+'LINEST VARS'!$P$66*(12.73)+'LINEST VARS'!$O$66*($AL$104^2)+'LINEST VARS'!$N$66*($Z108^2)+'LINEST VARS'!$M$66*(4^2)+'LINEST VARS'!$L$66*(0.5^2)+'LINEST VARS'!$K$66*(12.73^2)+'LINEST VARS'!$J$66*($AL$104*$Z108)+'LINEST VARS'!$I$66*($AL$104*4)+'LINEST VARS'!$H$66*($AL$104*0.5)+'LINEST VARS'!$G$66*($AL$104*12.73)+'LINEST VARS'!$F$66*($Z108*4)+'LINEST VARS'!$E$66*($Z108*0.5)+'LINEST VARS'!$D$66*($Z108*12.73)+'LINEST VARS'!$C$66*(4*0.5)+'LINEST VARS'!$B$66*(4*12.73)+'LINEST VARS'!$A$66*(0.5*12.73)</f>
        <v>136.18000000000009</v>
      </c>
      <c r="AM108" s="46">
        <f>'LINEST VARS'!$U$66+'LINEST VARS'!$T$66*($AM$104)+'LINEST VARS'!$S$66*($Z108)+'LINEST VARS'!$R$66*(4)+'LINEST VARS'!$Q$66*(0.5)+'LINEST VARS'!$P$66*(12.73)+'LINEST VARS'!$O$66*($AM$104^2)+'LINEST VARS'!$N$66*($Z108^2)+'LINEST VARS'!$M$66*(4^2)+'LINEST VARS'!$L$66*(0.5^2)+'LINEST VARS'!$K$66*(12.73^2)+'LINEST VARS'!$J$66*($AM$104*$Z108)+'LINEST VARS'!$I$66*($AM$104*4)+'LINEST VARS'!$H$66*($AM$104*0.5)+'LINEST VARS'!$G$66*($AM$104*12.73)+'LINEST VARS'!$F$66*($Z108*4)+'LINEST VARS'!$E$66*($Z108*0.5)+'LINEST VARS'!$D$66*($Z108*12.73)+'LINEST VARS'!$C$66*(4*0.5)+'LINEST VARS'!$B$66*(4*12.73)+'LINEST VARS'!$A$66*(0.5*12.73)</f>
        <v>136.3600000000001</v>
      </c>
      <c r="AN108" s="46">
        <f>'LINEST VARS'!$U$66+'LINEST VARS'!$T$66*($AN$104)+'LINEST VARS'!$S$66*($Z108)+'LINEST VARS'!$R$66*(4)+'LINEST VARS'!$Q$66*(0.5)+'LINEST VARS'!$P$66*(12.73)+'LINEST VARS'!$O$66*($AN$104^2)+'LINEST VARS'!$N$66*($Z108^2)+'LINEST VARS'!$M$66*(4^2)+'LINEST VARS'!$L$66*(0.5^2)+'LINEST VARS'!$K$66*(12.73^2)+'LINEST VARS'!$J$66*($AN$104*$Z108)+'LINEST VARS'!$I$66*($AN$104*4)+'LINEST VARS'!$H$66*($AN$104*0.5)+'LINEST VARS'!$G$66*($AN$104*12.73)+'LINEST VARS'!$F$66*($Z108*4)+'LINEST VARS'!$E$66*($Z108*0.5)+'LINEST VARS'!$D$66*($Z108*12.73)+'LINEST VARS'!$C$66*(4*0.5)+'LINEST VARS'!$B$66*(4*12.73)+'LINEST VARS'!$A$66*(0.5*12.73)</f>
        <v>136.54000000000011</v>
      </c>
      <c r="AO108" s="46">
        <f>'LINEST VARS'!$U$66+'LINEST VARS'!$T$66*($AO$104)+'LINEST VARS'!$S$66*($Z108)+'LINEST VARS'!$R$66*(4)+'LINEST VARS'!$Q$66*(0.5)+'LINEST VARS'!$P$66*(12.73)+'LINEST VARS'!$O$66*($AO$104^2)+'LINEST VARS'!$N$66*($Z108^2)+'LINEST VARS'!$M$66*(4^2)+'LINEST VARS'!$L$66*(0.5^2)+'LINEST VARS'!$K$66*(12.73^2)+'LINEST VARS'!$J$66*($AO$104*$Z108)+'LINEST VARS'!$I$66*($AO$104*4)+'LINEST VARS'!$H$66*($AO$104*0.5)+'LINEST VARS'!$G$66*($AO$104*12.73)+'LINEST VARS'!$F$66*($Z108*4)+'LINEST VARS'!$E$66*($Z108*0.5)+'LINEST VARS'!$D$66*($Z108*12.73)+'LINEST VARS'!$C$66*(4*0.5)+'LINEST VARS'!$B$66*(4*12.73)+'LINEST VARS'!$A$66*(0.5*12.73)</f>
        <v>136.72000000000008</v>
      </c>
      <c r="AP108" s="46">
        <f>'LINEST VARS'!$U$66+'LINEST VARS'!$T$66*($AP$104)+'LINEST VARS'!$S$66*($Z108)+'LINEST VARS'!$R$66*(4)+'LINEST VARS'!$Q$66*(0.5)+'LINEST VARS'!$P$66*(12.73)+'LINEST VARS'!$O$66*($AP$104^2)+'LINEST VARS'!$N$66*($Z108^2)+'LINEST VARS'!$M$66*(4^2)+'LINEST VARS'!$L$66*(0.5^2)+'LINEST VARS'!$K$66*(12.73^2)+'LINEST VARS'!$J$66*($AP$104*$Z108)+'LINEST VARS'!$I$66*($AP$104*4)+'LINEST VARS'!$H$66*($AP$104*0.5)+'LINEST VARS'!$G$66*($AP$104*12.73)+'LINEST VARS'!$F$66*($Z108*4)+'LINEST VARS'!$E$66*($Z108*0.5)+'LINEST VARS'!$D$66*($Z108*12.73)+'LINEST VARS'!$C$66*(4*0.5)+'LINEST VARS'!$B$66*(4*12.73)+'LINEST VARS'!$A$66*(0.5*12.73)</f>
        <v>136.90000000000009</v>
      </c>
      <c r="AQ108" s="46">
        <f>'LINEST VARS'!$U$66+'LINEST VARS'!$T$66*($AQ$104)+'LINEST VARS'!$S$66*($Z108)+'LINEST VARS'!$R$66*(4)+'LINEST VARS'!$Q$66*(0.5)+'LINEST VARS'!$P$66*(12.73)+'LINEST VARS'!$O$66*($AQ$104^2)+'LINEST VARS'!$N$66*($Z108^2)+'LINEST VARS'!$M$66*(4^2)+'LINEST VARS'!$L$66*(0.5^2)+'LINEST VARS'!$K$66*(12.73^2)+'LINEST VARS'!$J$66*($AQ$104*$Z108)+'LINEST VARS'!$I$66*($AQ$104*4)+'LINEST VARS'!$H$66*($AQ$104*0.5)+'LINEST VARS'!$G$66*($AQ$104*12.73)+'LINEST VARS'!$F$66*($Z108*4)+'LINEST VARS'!$E$66*($Z108*0.5)+'LINEST VARS'!$D$66*($Z108*12.73)+'LINEST VARS'!$C$66*(4*0.5)+'LINEST VARS'!$B$66*(4*12.73)+'LINEST VARS'!$A$66*(0.5*12.73)</f>
        <v>137.0800000000001</v>
      </c>
      <c r="AR108" s="46">
        <f>'LINEST VARS'!$U$66+'LINEST VARS'!$T$66*($AR$104)+'LINEST VARS'!$S$66*($Z108)+'LINEST VARS'!$R$66*(4)+'LINEST VARS'!$Q$66*(0.5)+'LINEST VARS'!$P$66*(12.73)+'LINEST VARS'!$O$66*($AR$104^2)+'LINEST VARS'!$N$66*($Z108^2)+'LINEST VARS'!$M$66*(4^2)+'LINEST VARS'!$L$66*(0.5^2)+'LINEST VARS'!$K$66*(12.73^2)+'LINEST VARS'!$J$66*($AR$104*$Z108)+'LINEST VARS'!$I$66*($AR$104*4)+'LINEST VARS'!$H$66*($AR$104*0.5)+'LINEST VARS'!$G$66*($AR$104*12.73)+'LINEST VARS'!$F$66*($Z108*4)+'LINEST VARS'!$E$66*($Z108*0.5)+'LINEST VARS'!$D$66*($Z108*12.73)+'LINEST VARS'!$C$66*(4*0.5)+'LINEST VARS'!$B$66*(4*12.73)+'LINEST VARS'!$A$66*(0.5*12.73)</f>
        <v>137.2600000000001</v>
      </c>
      <c r="AS108" s="46">
        <f>'LINEST VARS'!$U$66+'LINEST VARS'!$T$66*($AS$104)+'LINEST VARS'!$S$66*($Z108)+'LINEST VARS'!$R$66*(4)+'LINEST VARS'!$Q$66*(0.5)+'LINEST VARS'!$P$66*(12.73)+'LINEST VARS'!$O$66*($AS$104^2)+'LINEST VARS'!$N$66*($Z108^2)+'LINEST VARS'!$M$66*(4^2)+'LINEST VARS'!$L$66*(0.5^2)+'LINEST VARS'!$K$66*(12.73^2)+'LINEST VARS'!$J$66*($AS$104*$Z108)+'LINEST VARS'!$I$66*($AS$104*4)+'LINEST VARS'!$H$66*($AS$104*0.5)+'LINEST VARS'!$G$66*($AS$104*12.73)+'LINEST VARS'!$F$66*($Z108*4)+'LINEST VARS'!$E$66*($Z108*0.5)+'LINEST VARS'!$D$66*($Z108*12.73)+'LINEST VARS'!$C$66*(4*0.5)+'LINEST VARS'!$B$66*(4*12.73)+'LINEST VARS'!$A$66*(0.5*12.73)</f>
        <v>137.44000000000008</v>
      </c>
      <c r="AT108" s="46">
        <f>'LINEST VARS'!$U$66+'LINEST VARS'!$T$66*($AT$104)+'LINEST VARS'!$S$66*($Z108)+'LINEST VARS'!$R$66*(4)+'LINEST VARS'!$Q$66*(0.5)+'LINEST VARS'!$P$66*(12.73)+'LINEST VARS'!$O$66*($AT$104^2)+'LINEST VARS'!$N$66*($Z108^2)+'LINEST VARS'!$M$66*(4^2)+'LINEST VARS'!$L$66*(0.5^2)+'LINEST VARS'!$K$66*(12.73^2)+'LINEST VARS'!$J$66*($AT$104*$Z108)+'LINEST VARS'!$I$66*($AT$104*4)+'LINEST VARS'!$H$66*($AT$104*0.5)+'LINEST VARS'!$G$66*($AT$104*12.73)+'LINEST VARS'!$F$66*($Z108*4)+'LINEST VARS'!$E$66*($Z108*0.5)+'LINEST VARS'!$D$66*($Z108*12.73)+'LINEST VARS'!$C$66*(4*0.5)+'LINEST VARS'!$B$66*(4*12.73)+'LINEST VARS'!$A$66*(0.5*12.73)</f>
        <v>137.62000000000009</v>
      </c>
      <c r="AU108" s="47">
        <f>'LINEST VARS'!$U$66+'LINEST VARS'!$T$66*($AU$104)+'LINEST VARS'!$S$66*($Z108)+'LINEST VARS'!$R$66*(4)+'LINEST VARS'!$Q$66*(0.5)+'LINEST VARS'!$P$66*(12.73)+'LINEST VARS'!$O$66*($AU$104^2)+'LINEST VARS'!$N$66*($Z108^2)+'LINEST VARS'!$M$66*(4^2)+'LINEST VARS'!$L$66*(0.5^2)+'LINEST VARS'!$K$66*(12.73^2)+'LINEST VARS'!$J$66*($AU$104*$Z108)+'LINEST VARS'!$I$66*($AU$104*4)+'LINEST VARS'!$H$66*($AU$104*0.5)+'LINEST VARS'!$G$66*($AU$104*12.73)+'LINEST VARS'!$F$66*($Z108*4)+'LINEST VARS'!$E$66*($Z108*0.5)+'LINEST VARS'!$D$66*($Z108*12.73)+'LINEST VARS'!$C$66*(4*0.5)+'LINEST VARS'!$B$66*(4*12.73)+'LINEST VARS'!$A$66*(0.5*12.73)</f>
        <v>137.8000000000001</v>
      </c>
      <c r="AZ108" s="45">
        <v>0.15</v>
      </c>
      <c r="BA108" s="55">
        <f>'LINEST VARS'!$U$64+'LINEST VARS'!$T$64*(8)+'LINEST VARS'!$S$64*(8)+'LINEST VARS'!$R$64*($BA$104)+'LINEST VARS'!$Q$64*($AZ108)+'LINEST VARS'!$P$64*(12.73)+'LINEST VARS'!$O$64*(8^2)+'LINEST VARS'!$N$64*(8^2)+'LINEST VARS'!$M$64*($BA$104^2)+'LINEST VARS'!$L$64*($AZ108^2)+'LINEST VARS'!$K$64*(12.73^2)+'LINEST VARS'!$J$64*(8*8)+'LINEST VARS'!$I$64*(8*$BA$104)+'LINEST VARS'!$H$64*(8*$AZ108)+'LINEST VARS'!$G$64*(8*12.73)+'LINEST VARS'!$F$64*(8*$BA$104)+'LINEST VARS'!$E$64*(8*$AZ108)+'LINEST VARS'!$D$64*(8*12.73)+'LINEST VARS'!$C$64*($BA$104*$AZ108)+'LINEST VARS'!$B$64*($BA$104*12.73)+'LINEST VARS'!$A$64*($AZ108*12.73)</f>
        <v>148.18999999999988</v>
      </c>
      <c r="BB108" s="55">
        <f>'LINEST VARS'!$U$64+'LINEST VARS'!$T$64*(8)+'LINEST VARS'!$S$64*(8)+'LINEST VARS'!$R$64*($BB$104)+'LINEST VARS'!$Q$64*($AZ108)+'LINEST VARS'!$P$64*(12.73)+'LINEST VARS'!$O$64*(8^2)+'LINEST VARS'!$N$64*(8^2)+'LINEST VARS'!$M$64*($BB$104^2)+'LINEST VARS'!$L$64*($AZ108^2)+'LINEST VARS'!$K$64*(12.73^2)+'LINEST VARS'!$J$64*(8*8)+'LINEST VARS'!$I$64*(8*$BB$104)+'LINEST VARS'!$H$64*(8*$AZ108)+'LINEST VARS'!$G$64*(8*12.73)+'LINEST VARS'!$F$64*(8*$BB$104)+'LINEST VARS'!$E$64*(8*$AZ108)+'LINEST VARS'!$D$64*(8*12.73)+'LINEST VARS'!$C$64*($BB$104*$AZ108)+'LINEST VARS'!$B$64*($BB$104*12.73)+'LINEST VARS'!$A$64*($AZ108*12.73)</f>
        <v>149.78999999999991</v>
      </c>
      <c r="BC108" s="55">
        <f>'LINEST VARS'!$U$64+'LINEST VARS'!$T$64*(8)+'LINEST VARS'!$S$64*(8)+'LINEST VARS'!$R$64*($BC$104)+'LINEST VARS'!$Q$64*($AZ108)+'LINEST VARS'!$P$64*(12.73)+'LINEST VARS'!$O$64*(8^2)+'LINEST VARS'!$N$64*(8^2)+'LINEST VARS'!$M$64*($BC$104^2)+'LINEST VARS'!$L$64*($AZ108^2)+'LINEST VARS'!$K$64*(12.73^2)+'LINEST VARS'!$J$64*(8*8)+'LINEST VARS'!$I$64*(8*$BC$104)+'LINEST VARS'!$H$64*(8*$AZ108)+'LINEST VARS'!$G$64*(8*12.73)+'LINEST VARS'!$F$64*(8*$BC$104)+'LINEST VARS'!$E$64*(8*$AZ108)+'LINEST VARS'!$D$64*(8*12.73)+'LINEST VARS'!$C$64*($BC$104*$AZ108)+'LINEST VARS'!$B$64*($BC$104*12.73)+'LINEST VARS'!$A$64*($AZ108*12.73)</f>
        <v>151.3899999999999</v>
      </c>
      <c r="BD108" s="55">
        <f>'LINEST VARS'!$U$64+'LINEST VARS'!$T$64*(8)+'LINEST VARS'!$S$64*(8)+'LINEST VARS'!$R$64*($BD$104)+'LINEST VARS'!$Q$64*($AZ108)+'LINEST VARS'!$P$64*(12.73)+'LINEST VARS'!$O$64*(8^2)+'LINEST VARS'!$N$64*(8^2)+'LINEST VARS'!$M$64*($BD$104^2)+'LINEST VARS'!$L$64*($AZ108^2)+'LINEST VARS'!$K$64*(12.73^2)+'LINEST VARS'!$J$64*(8*8)+'LINEST VARS'!$I$64*(8*$BD$104)+'LINEST VARS'!$H$64*(8*$AZ108)+'LINEST VARS'!$G$64*(8*12.73)+'LINEST VARS'!$F$64*(8*$BD$104)+'LINEST VARS'!$E$64*(8*$AZ108)+'LINEST VARS'!$D$64*(8*12.73)+'LINEST VARS'!$C$64*($BD$104*$AZ108)+'LINEST VARS'!$B$64*($BD$104*12.73)+'LINEST VARS'!$A$64*($AZ108*12.73)</f>
        <v>152.9899999999999</v>
      </c>
      <c r="BE108" s="55">
        <f>'LINEST VARS'!$U$64+'LINEST VARS'!$T$64*(8)+'LINEST VARS'!$S$64*(8)+'LINEST VARS'!$R$64*($BE$104)+'LINEST VARS'!$Q$64*($AZ108)+'LINEST VARS'!$P$64*(12.73)+'LINEST VARS'!$O$64*(8^2)+'LINEST VARS'!$N$64*(8^2)+'LINEST VARS'!$M$64*($BE$104^2)+'LINEST VARS'!$L$64*($AZ108^2)+'LINEST VARS'!$K$64*(12.73^2)+'LINEST VARS'!$J$64*(8*8)+'LINEST VARS'!$I$64*(8*$BE$104)+'LINEST VARS'!$H$64*(8*$AZ108)+'LINEST VARS'!$G$64*(8*12.73)+'LINEST VARS'!$F$64*(8*$BE$104)+'LINEST VARS'!$E$64*(8*$AZ108)+'LINEST VARS'!$D$64*(8*12.73)+'LINEST VARS'!$C$64*($BE$104*$AZ108)+'LINEST VARS'!$B$64*($BE$104*12.73)+'LINEST VARS'!$A$64*($AZ108*12.73)</f>
        <v>154.58999999999992</v>
      </c>
      <c r="BF108" s="55">
        <f>'LINEST VARS'!$U$64+'LINEST VARS'!$T$64*(8)+'LINEST VARS'!$S$64*(8)+'LINEST VARS'!$R$64*($BF$104)+'LINEST VARS'!$Q$64*($AZ108)+'LINEST VARS'!$P$64*(12.73)+'LINEST VARS'!$O$64*(8^2)+'LINEST VARS'!$N$64*(8^2)+'LINEST VARS'!$M$64*($BF$104^2)+'LINEST VARS'!$L$64*($AZ108^2)+'LINEST VARS'!$K$64*(12.73^2)+'LINEST VARS'!$J$64*(8*8)+'LINEST VARS'!$I$64*(8*$BF$104)+'LINEST VARS'!$H$64*(8*$AZ108)+'LINEST VARS'!$G$64*(8*12.73)+'LINEST VARS'!$F$64*(8*$BF$104)+'LINEST VARS'!$E$64*(8*$AZ108)+'LINEST VARS'!$D$64*(8*12.73)+'LINEST VARS'!$C$64*($BF$104*$AZ108)+'LINEST VARS'!$B$64*($BF$104*12.73)+'LINEST VARS'!$A$64*($AZ108*12.73)</f>
        <v>156.18999999999988</v>
      </c>
      <c r="BG108" s="55">
        <f>'LINEST VARS'!$U$64+'LINEST VARS'!$T$64*(8)+'LINEST VARS'!$S$64*(8)+'LINEST VARS'!$R$64*($BG$104)+'LINEST VARS'!$Q$64*($AZ108)+'LINEST VARS'!$P$64*(12.73)+'LINEST VARS'!$O$64*(8^2)+'LINEST VARS'!$N$64*(8^2)+'LINEST VARS'!$M$64*($BG$104^2)+'LINEST VARS'!$L$64*($AZ108^2)+'LINEST VARS'!$K$64*(12.73^2)+'LINEST VARS'!$J$64*(8*8)+'LINEST VARS'!$I$64*(8*$BG$104)+'LINEST VARS'!$H$64*(8*$AZ108)+'LINEST VARS'!$G$64*(8*12.73)+'LINEST VARS'!$F$64*(8*$BG$104)+'LINEST VARS'!$E$64*(8*$AZ108)+'LINEST VARS'!$D$64*(8*12.73)+'LINEST VARS'!$C$64*($BG$104*$AZ108)+'LINEST VARS'!$B$64*($BG$104*12.73)+'LINEST VARS'!$A$64*($AZ108*12.73)</f>
        <v>157.78999999999991</v>
      </c>
      <c r="BH108" s="55">
        <f>'LINEST VARS'!$U$64+'LINEST VARS'!$T$64*(8)+'LINEST VARS'!$S$64*(8)+'LINEST VARS'!$R$64*($BH$104)+'LINEST VARS'!$Q$64*($AZ108)+'LINEST VARS'!$P$64*(12.73)+'LINEST VARS'!$O$64*(8^2)+'LINEST VARS'!$N$64*(8^2)+'LINEST VARS'!$M$64*($BH$104^2)+'LINEST VARS'!$L$64*($AZ108^2)+'LINEST VARS'!$K$64*(12.73^2)+'LINEST VARS'!$J$64*(8*8)+'LINEST VARS'!$I$64*(8*$BH$104)+'LINEST VARS'!$H$64*(8*$AZ108)+'LINEST VARS'!$G$64*(8*12.73)+'LINEST VARS'!$F$64*(8*$BH$104)+'LINEST VARS'!$E$64*(8*$AZ108)+'LINEST VARS'!$D$64*(8*12.73)+'LINEST VARS'!$C$64*($BH$104*$AZ108)+'LINEST VARS'!$B$64*($BH$104*12.73)+'LINEST VARS'!$A$64*($AZ108*12.73)</f>
        <v>159.3899999999999</v>
      </c>
      <c r="BI108" s="55">
        <f>'LINEST VARS'!$U$64+'LINEST VARS'!$T$64*(8)+'LINEST VARS'!$S$64*(8)+'LINEST VARS'!$R$64*($BI$104)+'LINEST VARS'!$Q$64*($AZ108)+'LINEST VARS'!$P$64*(12.73)+'LINEST VARS'!$O$64*(8^2)+'LINEST VARS'!$N$64*(8^2)+'LINEST VARS'!$M$64*($BI$104^2)+'LINEST VARS'!$L$64*($AZ108^2)+'LINEST VARS'!$K$64*(12.73^2)+'LINEST VARS'!$J$64*(8*8)+'LINEST VARS'!$I$64*(8*$BI$104)+'LINEST VARS'!$H$64*(8*$AZ108)+'LINEST VARS'!$G$64*(8*12.73)+'LINEST VARS'!$F$64*(8*$BI$104)+'LINEST VARS'!$E$64*(8*$AZ108)+'LINEST VARS'!$D$64*(8*12.73)+'LINEST VARS'!$C$64*($BI$104*$AZ108)+'LINEST VARS'!$B$64*($BI$104*12.73)+'LINEST VARS'!$A$64*($AZ108*12.73)</f>
        <v>160.9899999999999</v>
      </c>
      <c r="BJ108" s="55">
        <f>'LINEST VARS'!$U$64+'LINEST VARS'!$T$64*(8)+'LINEST VARS'!$S$64*(8)+'LINEST VARS'!$R$64*($BJ$104)+'LINEST VARS'!$Q$64*($AZ108)+'LINEST VARS'!$P$64*(12.73)+'LINEST VARS'!$O$64*(8^2)+'LINEST VARS'!$N$64*(8^2)+'LINEST VARS'!$M$64*($BJ$104^2)+'LINEST VARS'!$L$64*($AZ108^2)+'LINEST VARS'!$K$64*(12.73^2)+'LINEST VARS'!$J$64*(8*8)+'LINEST VARS'!$I$64*(8*$BJ$104)+'LINEST VARS'!$H$64*(8*$AZ108)+'LINEST VARS'!$G$64*(8*12.73)+'LINEST VARS'!$F$64*(8*$BJ$104)+'LINEST VARS'!$E$64*(8*$AZ108)+'LINEST VARS'!$D$64*(8*12.73)+'LINEST VARS'!$C$64*($BJ$104*$AZ108)+'LINEST VARS'!$B$64*($BJ$104*12.73)+'LINEST VARS'!$A$64*($AZ108*12.73)</f>
        <v>162.58999999999992</v>
      </c>
      <c r="BK108" s="55">
        <f>'LINEST VARS'!$U$64+'LINEST VARS'!$T$64*(8)+'LINEST VARS'!$S$64*(8)+'LINEST VARS'!$R$64*($BK$104)+'LINEST VARS'!$Q$64*($AZ108)+'LINEST VARS'!$P$64*(12.73)+'LINEST VARS'!$O$64*(8^2)+'LINEST VARS'!$N$64*(8^2)+'LINEST VARS'!$M$64*($BK$104^2)+'LINEST VARS'!$L$64*($AZ108^2)+'LINEST VARS'!$K$64*(12.73^2)+'LINEST VARS'!$J$64*(8*8)+'LINEST VARS'!$I$64*(8*$BK$104)+'LINEST VARS'!$H$64*(8*$AZ108)+'LINEST VARS'!$G$64*(8*12.73)+'LINEST VARS'!$F$64*(8*$BK$104)+'LINEST VARS'!$E$64*(8*$AZ108)+'LINEST VARS'!$D$64*(8*12.73)+'LINEST VARS'!$C$64*($BK$104*$AZ108)+'LINEST VARS'!$B$64*($BK$104*12.73)+'LINEST VARS'!$A$64*($AZ108*12.73)</f>
        <v>164.18999999999988</v>
      </c>
      <c r="BL108" s="55">
        <f>'LINEST VARS'!$U$64+'LINEST VARS'!$T$64*(8)+'LINEST VARS'!$S$64*(8)+'LINEST VARS'!$R$64*($BL$104)+'LINEST VARS'!$Q$64*($AZ108)+'LINEST VARS'!$P$64*(12.73)+'LINEST VARS'!$O$64*(8^2)+'LINEST VARS'!$N$64*(8^2)+'LINEST VARS'!$M$64*($BL$104^2)+'LINEST VARS'!$L$64*($AZ108^2)+'LINEST VARS'!$K$64*(12.73^2)+'LINEST VARS'!$J$64*(8*8)+'LINEST VARS'!$I$64*(8*$BL$104)+'LINEST VARS'!$H$64*(8*$AZ108)+'LINEST VARS'!$G$64*(8*12.73)+'LINEST VARS'!$F$64*(8*$BL$104)+'LINEST VARS'!$E$64*(8*$AZ108)+'LINEST VARS'!$D$64*(8*12.73)+'LINEST VARS'!$C$64*($BL$104*$AZ108)+'LINEST VARS'!$B$64*($BL$104*12.73)+'LINEST VARS'!$A$64*($AZ108*12.73)</f>
        <v>165.78999999999991</v>
      </c>
      <c r="BM108" s="55">
        <f>'LINEST VARS'!$U$64+'LINEST VARS'!$T$64*(8)+'LINEST VARS'!$S$64*(8)+'LINEST VARS'!$R$64*($BM$104)+'LINEST VARS'!$Q$64*($AZ108)+'LINEST VARS'!$P$64*(12.73)+'LINEST VARS'!$O$64*(8^2)+'LINEST VARS'!$N$64*(8^2)+'LINEST VARS'!$M$64*($BM$104^2)+'LINEST VARS'!$L$64*($AZ108^2)+'LINEST VARS'!$K$64*(12.73^2)+'LINEST VARS'!$J$64*(8*8)+'LINEST VARS'!$I$64*(8*$BM$104)+'LINEST VARS'!$H$64*(8*$AZ108)+'LINEST VARS'!$G$64*(8*12.73)+'LINEST VARS'!$F$64*(8*$BM$104)+'LINEST VARS'!$E$64*(8*$AZ108)+'LINEST VARS'!$D$64*(8*12.73)+'LINEST VARS'!$C$64*($BM$104*$AZ108)+'LINEST VARS'!$B$64*($BM$104*12.73)+'LINEST VARS'!$A$64*($AZ108*12.73)</f>
        <v>167.38999999999987</v>
      </c>
      <c r="BN108" s="55">
        <f>'LINEST VARS'!$U$64+'LINEST VARS'!$T$64*(8)+'LINEST VARS'!$S$64*(8)+'LINEST VARS'!$R$64*($BN$104)+'LINEST VARS'!$Q$64*($AZ108)+'LINEST VARS'!$P$64*(12.73)+'LINEST VARS'!$O$64*(8^2)+'LINEST VARS'!$N$64*(8^2)+'LINEST VARS'!$M$64*($BN$104^2)+'LINEST VARS'!$L$64*($AZ108^2)+'LINEST VARS'!$K$64*(12.73^2)+'LINEST VARS'!$J$64*(8*8)+'LINEST VARS'!$I$64*(8*$BN$104)+'LINEST VARS'!$H$64*(8*$AZ108)+'LINEST VARS'!$G$64*(8*12.73)+'LINEST VARS'!$F$64*(8*$BN$104)+'LINEST VARS'!$E$64*(8*$AZ108)+'LINEST VARS'!$D$64*(8*12.73)+'LINEST VARS'!$C$64*($BN$104*$AZ108)+'LINEST VARS'!$B$64*($BN$104*12.73)+'LINEST VARS'!$A$64*($AZ108*12.73)</f>
        <v>168.9899999999999</v>
      </c>
      <c r="BO108" s="55">
        <f>'LINEST VARS'!$U$64+'LINEST VARS'!$T$64*(8)+'LINEST VARS'!$S$64*(8)+'LINEST VARS'!$R$64*($BO$104)+'LINEST VARS'!$Q$64*($AZ108)+'LINEST VARS'!$P$64*(12.73)+'LINEST VARS'!$O$64*(8^2)+'LINEST VARS'!$N$64*(8^2)+'LINEST VARS'!$M$64*($BO$104^2)+'LINEST VARS'!$L$64*($AZ108^2)+'LINEST VARS'!$K$64*(12.73^2)+'LINEST VARS'!$J$64*(8*8)+'LINEST VARS'!$I$64*(8*$BO$104)+'LINEST VARS'!$H$64*(8*$AZ108)+'LINEST VARS'!$G$64*(8*12.73)+'LINEST VARS'!$F$64*(8*$BO$104)+'LINEST VARS'!$E$64*(8*$AZ108)+'LINEST VARS'!$D$64*(8*12.73)+'LINEST VARS'!$C$64*($BO$104*$AZ108)+'LINEST VARS'!$B$64*($BO$104*12.73)+'LINEST VARS'!$A$64*($AZ108*12.73)</f>
        <v>170.58999999999989</v>
      </c>
      <c r="BP108" s="55">
        <f>'LINEST VARS'!$U$64+'LINEST VARS'!$T$64*(8)+'LINEST VARS'!$S$64*(8)+'LINEST VARS'!$R$64*($BP$104)+'LINEST VARS'!$Q$64*($AZ108)+'LINEST VARS'!$P$64*(12.73)+'LINEST VARS'!$O$64*(8^2)+'LINEST VARS'!$N$64*(8^2)+'LINEST VARS'!$M$64*($BP$104^2)+'LINEST VARS'!$L$64*($AZ108^2)+'LINEST VARS'!$K$64*(12.73^2)+'LINEST VARS'!$J$64*(8*8)+'LINEST VARS'!$I$64*(8*$BP$104)+'LINEST VARS'!$H$64*(8*$AZ108)+'LINEST VARS'!$G$64*(8*12.73)+'LINEST VARS'!$F$64*(8*$BP$104)+'LINEST VARS'!$E$64*(8*$AZ108)+'LINEST VARS'!$D$64*(8*12.73)+'LINEST VARS'!$C$64*($BP$104*$AZ108)+'LINEST VARS'!$B$64*($BP$104*12.73)+'LINEST VARS'!$A$64*($AZ108*12.73)</f>
        <v>172.18999999999986</v>
      </c>
      <c r="BQ108" s="55">
        <f>'LINEST VARS'!$U$64+'LINEST VARS'!$T$64*(8)+'LINEST VARS'!$S$64*(8)+'LINEST VARS'!$R$64*($BQ$104)+'LINEST VARS'!$Q$64*($AZ108)+'LINEST VARS'!$P$64*(12.73)+'LINEST VARS'!$O$64*(8^2)+'LINEST VARS'!$N$64*(8^2)+'LINEST VARS'!$M$64*($BQ$104^2)+'LINEST VARS'!$L$64*($AZ108^2)+'LINEST VARS'!$K$64*(12.73^2)+'LINEST VARS'!$J$64*(8*8)+'LINEST VARS'!$I$64*(8*$BQ$104)+'LINEST VARS'!$H$64*(8*$AZ108)+'LINEST VARS'!$G$64*(8*12.73)+'LINEST VARS'!$F$64*(8*$BQ$104)+'LINEST VARS'!$E$64*(8*$AZ108)+'LINEST VARS'!$D$64*(8*12.73)+'LINEST VARS'!$C$64*($BQ$104*$AZ108)+'LINEST VARS'!$B$64*($BQ$104*12.73)+'LINEST VARS'!$A$64*($AZ108*12.73)</f>
        <v>173.78999999999988</v>
      </c>
      <c r="BR108" s="55">
        <f>'LINEST VARS'!$U$64+'LINEST VARS'!$T$64*(8)+'LINEST VARS'!$S$64*(8)+'LINEST VARS'!$R$64*($BR$104)+'LINEST VARS'!$Q$64*($AZ108)+'LINEST VARS'!$P$64*(12.73)+'LINEST VARS'!$O$64*(8^2)+'LINEST VARS'!$N$64*(8^2)+'LINEST VARS'!$M$64*($BR$104^2)+'LINEST VARS'!$L$64*($AZ108^2)+'LINEST VARS'!$K$64*(12.73^2)+'LINEST VARS'!$J$64*(8*8)+'LINEST VARS'!$I$64*(8*$BR$104)+'LINEST VARS'!$H$64*(8*$AZ108)+'LINEST VARS'!$G$64*(8*12.73)+'LINEST VARS'!$F$64*(8*$BR$104)+'LINEST VARS'!$E$64*(8*$AZ108)+'LINEST VARS'!$D$64*(8*12.73)+'LINEST VARS'!$C$64*($BR$104*$AZ108)+'LINEST VARS'!$B$64*($BR$104*12.73)+'LINEST VARS'!$A$64*($AZ108*12.73)</f>
        <v>175.3899999999999</v>
      </c>
      <c r="BS108" s="55">
        <f>'LINEST VARS'!$U$64+'LINEST VARS'!$T$64*(8)+'LINEST VARS'!$S$64*(8)+'LINEST VARS'!$R$64*($BS$104)+'LINEST VARS'!$Q$64*($AZ108)+'LINEST VARS'!$P$64*(12.73)+'LINEST VARS'!$O$64*(8^2)+'LINEST VARS'!$N$64*(8^2)+'LINEST VARS'!$M$64*($BS$104^2)+'LINEST VARS'!$L$64*($AZ108^2)+'LINEST VARS'!$K$64*(12.73^2)+'LINEST VARS'!$J$64*(8*8)+'LINEST VARS'!$I$64*(8*$BS$104)+'LINEST VARS'!$H$64*(8*$AZ108)+'LINEST VARS'!$G$64*(8*12.73)+'LINEST VARS'!$F$64*(8*$BS$104)+'LINEST VARS'!$E$64*(8*$AZ108)+'LINEST VARS'!$D$64*(8*12.73)+'LINEST VARS'!$C$64*($BS$104*$AZ108)+'LINEST VARS'!$B$64*($BS$104*12.73)+'LINEST VARS'!$A$64*($AZ108*12.73)</f>
        <v>176.98999999999987</v>
      </c>
      <c r="BT108" s="55">
        <f>'LINEST VARS'!$U$64+'LINEST VARS'!$T$64*(8)+'LINEST VARS'!$S$64*(8)+'LINEST VARS'!$R$64*($BT$104)+'LINEST VARS'!$Q$64*($AZ108)+'LINEST VARS'!$P$64*(12.73)+'LINEST VARS'!$O$64*(8^2)+'LINEST VARS'!$N$64*(8^2)+'LINEST VARS'!$M$64*($BT$104^2)+'LINEST VARS'!$L$64*($AZ108^2)+'LINEST VARS'!$K$64*(12.73^2)+'LINEST VARS'!$J$64*(8*8)+'LINEST VARS'!$I$64*(8*$BT$104)+'LINEST VARS'!$H$64*(8*$AZ108)+'LINEST VARS'!$G$64*(8*12.73)+'LINEST VARS'!$F$64*(8*$BT$104)+'LINEST VARS'!$E$64*(8*$AZ108)+'LINEST VARS'!$D$64*(8*12.73)+'LINEST VARS'!$C$64*($BT$104*$AZ108)+'LINEST VARS'!$B$64*($BT$104*12.73)+'LINEST VARS'!$A$64*($AZ108*12.73)</f>
        <v>178.58999999999989</v>
      </c>
      <c r="BU108" s="56">
        <f>'LINEST VARS'!$U$64+'LINEST VARS'!$T$64*(8)+'LINEST VARS'!$S$64*(8)+'LINEST VARS'!$R$64*($BU$104)+'LINEST VARS'!$Q$64*($AZ108)+'LINEST VARS'!$P$64*(12.73)+'LINEST VARS'!$O$64*(8^2)+'LINEST VARS'!$N$64*(8^2)+'LINEST VARS'!$M$64*($BU$104^2)+'LINEST VARS'!$L$64*($AZ108^2)+'LINEST VARS'!$K$64*(12.73^2)+'LINEST VARS'!$J$64*(8*8)+'LINEST VARS'!$I$64*(8*$BU$104)+'LINEST VARS'!$H$64*(8*$AZ108)+'LINEST VARS'!$G$64*(8*12.73)+'LINEST VARS'!$F$64*(8*$BU$104)+'LINEST VARS'!$E$64*(8*$AZ108)+'LINEST VARS'!$D$64*(8*12.73)+'LINEST VARS'!$C$64*($BU$104*$AZ108)+'LINEST VARS'!$B$64*($BU$104*12.73)+'LINEST VARS'!$A$64*($AZ108*12.73)</f>
        <v>180.18999999999986</v>
      </c>
      <c r="BX108" s="45">
        <v>0.15</v>
      </c>
      <c r="BY108" s="46">
        <f>'LINEST VARS'!$U$66+'LINEST VARS'!$T$66*(8)+'LINEST VARS'!$S$66*(8)+'LINEST VARS'!$R$66*($BY$104)+'LINEST VARS'!$Q$66*($BX108)+'LINEST VARS'!$P$66*(12.73)+'LINEST VARS'!$O$66*(8^2)+'LINEST VARS'!$N$66*(8^2)+'LINEST VARS'!$M$66*($BY$104^2)+'LINEST VARS'!$L$66*($BX108^2)+'LINEST VARS'!$K$66*(12.73^2)+'LINEST VARS'!$J$66*(8*8)+'LINEST VARS'!$I$66*(8*$BY$104)+'LINEST VARS'!$H$66*(8*$BX108)+'LINEST VARS'!$G$66*(8*12.73)+'LINEST VARS'!$F$66*(8*$BY$104)+'LINEST VARS'!$E$66*(8*$BX108)+'LINEST VARS'!$D$66*(8*12.73)+'LINEST VARS'!$C$66*($BY$104*$BX108)+'LINEST VARS'!$B$66*($BY$104*12.73)+'LINEST VARS'!$A$66*($BX108*12.73)</f>
        <v>144.00000000000006</v>
      </c>
      <c r="BZ108" s="46">
        <f>'LINEST VARS'!$U$66+'LINEST VARS'!$T$66*(8)+'LINEST VARS'!$S$66*(8)+'LINEST VARS'!$R$66*($BZ$104)+'LINEST VARS'!$Q$66*($BX108)+'LINEST VARS'!$P$66*(12.73)+'LINEST VARS'!$O$66*(8^2)+'LINEST VARS'!$N$66*(8^2)+'LINEST VARS'!$M$66*($BZ$104^2)+'LINEST VARS'!$L$66*($BX108^2)+'LINEST VARS'!$K$66*(12.73^2)+'LINEST VARS'!$J$66*(8*8)+'LINEST VARS'!$I$66*(8*$BZ$104)+'LINEST VARS'!$H$66*(8*$BX108)+'LINEST VARS'!$G$66*(8*12.73)+'LINEST VARS'!$F$66*(8*$BZ$104)+'LINEST VARS'!$E$66*(8*$BX108)+'LINEST VARS'!$D$66*(8*12.73)+'LINEST VARS'!$C$66*($BZ$104*$BX108)+'LINEST VARS'!$B$66*($BZ$104*12.73)+'LINEST VARS'!$A$66*($BX108*12.73)</f>
        <v>143.20000000000007</v>
      </c>
      <c r="CA108" s="46">
        <f>'LINEST VARS'!$U$66+'LINEST VARS'!$T$66*(8)+'LINEST VARS'!$S$66*(8)+'LINEST VARS'!$R$66*($CA$104)+'LINEST VARS'!$Q$66*($BX108)+'LINEST VARS'!$P$66*(12.73)+'LINEST VARS'!$O$66*(8^2)+'LINEST VARS'!$N$66*(8^2)+'LINEST VARS'!$M$66*($CA$104^2)+'LINEST VARS'!$L$66*($BX108^2)+'LINEST VARS'!$K$66*(12.73^2)+'LINEST VARS'!$J$66*(8*8)+'LINEST VARS'!$I$66*(8*$CA$104)+'LINEST VARS'!$H$66*(8*$BX108)+'LINEST VARS'!$G$66*(8*12.73)+'LINEST VARS'!$F$66*(8*$CA$104)+'LINEST VARS'!$E$66*(8*$BX108)+'LINEST VARS'!$D$66*(8*12.73)+'LINEST VARS'!$C$66*($CA$104*$BX108)+'LINEST VARS'!$B$66*($CA$104*12.73)+'LINEST VARS'!$A$66*($BX108*12.73)</f>
        <v>142.40000000000006</v>
      </c>
      <c r="CB108" s="46">
        <f>'LINEST VARS'!$U$66+'LINEST VARS'!$T$66*(8)+'LINEST VARS'!$S$66*(8)+'LINEST VARS'!$R$66*($CB$104)+'LINEST VARS'!$Q$66*($BX108)+'LINEST VARS'!$P$66*(12.73)+'LINEST VARS'!$O$66*(8^2)+'LINEST VARS'!$N$66*(8^2)+'LINEST VARS'!$M$66*($CB$104^2)+'LINEST VARS'!$L$66*($BX108^2)+'LINEST VARS'!$K$66*(12.73^2)+'LINEST VARS'!$J$66*(8*8)+'LINEST VARS'!$I$66*(8*$CB$104)+'LINEST VARS'!$H$66*(8*$BX108)+'LINEST VARS'!$G$66*(8*12.73)+'LINEST VARS'!$F$66*(8*$CB$104)+'LINEST VARS'!$E$66*(8*$BX108)+'LINEST VARS'!$D$66*(8*12.73)+'LINEST VARS'!$C$66*($CB$104*$BX108)+'LINEST VARS'!$B$66*($CB$104*12.73)+'LINEST VARS'!$A$66*($BX108*12.73)</f>
        <v>141.60000000000008</v>
      </c>
      <c r="CC108" s="46">
        <f>'LINEST VARS'!$U$66+'LINEST VARS'!$T$66*(8)+'LINEST VARS'!$S$66*(8)+'LINEST VARS'!$R$66*($CC$104)+'LINEST VARS'!$Q$66*($BX108)+'LINEST VARS'!$P$66*(12.73)+'LINEST VARS'!$O$66*(8^2)+'LINEST VARS'!$N$66*(8^2)+'LINEST VARS'!$M$66*($CC$104^2)+'LINEST VARS'!$L$66*($BX108^2)+'LINEST VARS'!$K$66*(12.73^2)+'LINEST VARS'!$J$66*(8*8)+'LINEST VARS'!$I$66*(8*$CC$104)+'LINEST VARS'!$H$66*(8*$BX108)+'LINEST VARS'!$G$66*(8*12.73)+'LINEST VARS'!$F$66*(8*$CC$104)+'LINEST VARS'!$E$66*(8*$BX108)+'LINEST VARS'!$D$66*(8*12.73)+'LINEST VARS'!$C$66*($CC$104*$BX108)+'LINEST VARS'!$B$66*($CC$104*12.73)+'LINEST VARS'!$A$66*($BX108*12.73)</f>
        <v>140.80000000000007</v>
      </c>
      <c r="CD108" s="46">
        <f>'LINEST VARS'!$U$66+'LINEST VARS'!$T$66*(8)+'LINEST VARS'!$S$66*(8)+'LINEST VARS'!$R$66*($CD$104)+'LINEST VARS'!$Q$66*($BX108)+'LINEST VARS'!$P$66*(12.73)+'LINEST VARS'!$O$66*(8^2)+'LINEST VARS'!$N$66*(8^2)+'LINEST VARS'!$M$66*($CD$104^2)+'LINEST VARS'!$L$66*($BX108^2)+'LINEST VARS'!$K$66*(12.73^2)+'LINEST VARS'!$J$66*(8*8)+'LINEST VARS'!$I$66*(8*$CD$104)+'LINEST VARS'!$H$66*(8*$BX108)+'LINEST VARS'!$G$66*(8*12.73)+'LINEST VARS'!$F$66*(8*$CD$104)+'LINEST VARS'!$E$66*(8*$BX108)+'LINEST VARS'!$D$66*(8*12.73)+'LINEST VARS'!$C$66*($CD$104*$BX108)+'LINEST VARS'!$B$66*($CD$104*12.73)+'LINEST VARS'!$A$66*($BX108*12.73)</f>
        <v>140.00000000000009</v>
      </c>
      <c r="CE108" s="46">
        <f>'LINEST VARS'!$U$66+'LINEST VARS'!$T$66*(8)+'LINEST VARS'!$S$66*(8)+'LINEST VARS'!$R$66*($CE$104)+'LINEST VARS'!$Q$66*($BX108)+'LINEST VARS'!$P$66*(12.73)+'LINEST VARS'!$O$66*(8^2)+'LINEST VARS'!$N$66*(8^2)+'LINEST VARS'!$M$66*($CE$104^2)+'LINEST VARS'!$L$66*($BX108^2)+'LINEST VARS'!$K$66*(12.73^2)+'LINEST VARS'!$J$66*(8*8)+'LINEST VARS'!$I$66*(8*$CE$104)+'LINEST VARS'!$H$66*(8*$BX108)+'LINEST VARS'!$G$66*(8*12.73)+'LINEST VARS'!$F$66*(8*$CE$104)+'LINEST VARS'!$E$66*(8*$BX108)+'LINEST VARS'!$D$66*(8*12.73)+'LINEST VARS'!$C$66*($CE$104*$BX108)+'LINEST VARS'!$B$66*($CE$104*12.73)+'LINEST VARS'!$A$66*($BX108*12.73)</f>
        <v>139.20000000000007</v>
      </c>
      <c r="CF108" s="46">
        <f>'LINEST VARS'!$U$66+'LINEST VARS'!$T$66*(8)+'LINEST VARS'!$S$66*(8)+'LINEST VARS'!$R$66*($CF$104)+'LINEST VARS'!$Q$66*($BX108)+'LINEST VARS'!$P$66*(12.73)+'LINEST VARS'!$O$66*(8^2)+'LINEST VARS'!$N$66*(8^2)+'LINEST VARS'!$M$66*($CF$104^2)+'LINEST VARS'!$L$66*($BX108^2)+'LINEST VARS'!$K$66*(12.73^2)+'LINEST VARS'!$J$66*(8*8)+'LINEST VARS'!$I$66*(8*$CF$104)+'LINEST VARS'!$H$66*(8*$BX108)+'LINEST VARS'!$G$66*(8*12.73)+'LINEST VARS'!$F$66*(8*$CF$104)+'LINEST VARS'!$E$66*(8*$BX108)+'LINEST VARS'!$D$66*(8*12.73)+'LINEST VARS'!$C$66*($CF$104*$BX108)+'LINEST VARS'!$B$66*($CF$104*12.73)+'LINEST VARS'!$A$66*($BX108*12.73)</f>
        <v>138.40000000000009</v>
      </c>
      <c r="CG108" s="46">
        <f>'LINEST VARS'!$U$66+'LINEST VARS'!$T$66*(8)+'LINEST VARS'!$S$66*(8)+'LINEST VARS'!$R$66*($CG$104)+'LINEST VARS'!$Q$66*($BX108)+'LINEST VARS'!$P$66*(12.73)+'LINEST VARS'!$O$66*(8^2)+'LINEST VARS'!$N$66*(8^2)+'LINEST VARS'!$M$66*($CG$104^2)+'LINEST VARS'!$L$66*($BX108^2)+'LINEST VARS'!$K$66*(12.73^2)+'LINEST VARS'!$J$66*(8*8)+'LINEST VARS'!$I$66*(8*$CG$104)+'LINEST VARS'!$H$66*(8*$BX108)+'LINEST VARS'!$G$66*(8*12.73)+'LINEST VARS'!$F$66*(8*$CG$104)+'LINEST VARS'!$E$66*(8*$BX108)+'LINEST VARS'!$D$66*(8*12.73)+'LINEST VARS'!$C$66*($CG$104*$BX108)+'LINEST VARS'!$B$66*($CG$104*12.73)+'LINEST VARS'!$A$66*($BX108*12.73)</f>
        <v>137.60000000000008</v>
      </c>
      <c r="CH108" s="46">
        <f>'LINEST VARS'!$U$66+'LINEST VARS'!$T$66*(8)+'LINEST VARS'!$S$66*(8)+'LINEST VARS'!$R$66*($CH$104)+'LINEST VARS'!$Q$66*($BX108)+'LINEST VARS'!$P$66*(12.73)+'LINEST VARS'!$O$66*(8^2)+'LINEST VARS'!$N$66*(8^2)+'LINEST VARS'!$M$66*($CH$104^2)+'LINEST VARS'!$L$66*($BX108^2)+'LINEST VARS'!$K$66*(12.73^2)+'LINEST VARS'!$J$66*(8*8)+'LINEST VARS'!$I$66*(8*$CH$104)+'LINEST VARS'!$H$66*(8*$BX108)+'LINEST VARS'!$G$66*(8*12.73)+'LINEST VARS'!$F$66*(8*$CH$104)+'LINEST VARS'!$E$66*(8*$BX108)+'LINEST VARS'!$D$66*(8*12.73)+'LINEST VARS'!$C$66*($CH$104*$BX108)+'LINEST VARS'!$B$66*($CH$104*12.73)+'LINEST VARS'!$A$66*($BX108*12.73)</f>
        <v>136.80000000000007</v>
      </c>
      <c r="CI108" s="46">
        <f>'LINEST VARS'!$U$66+'LINEST VARS'!$T$66*(8)+'LINEST VARS'!$S$66*(8)+'LINEST VARS'!$R$66*($CI$104)+'LINEST VARS'!$Q$66*($BX108)+'LINEST VARS'!$P$66*(12.73)+'LINEST VARS'!$O$66*(8^2)+'LINEST VARS'!$N$66*(8^2)+'LINEST VARS'!$M$66*($CI$104^2)+'LINEST VARS'!$L$66*($BX108^2)+'LINEST VARS'!$K$66*(12.73^2)+'LINEST VARS'!$J$66*(8*8)+'LINEST VARS'!$I$66*(8*$CI$104)+'LINEST VARS'!$H$66*(8*$BX108)+'LINEST VARS'!$G$66*(8*12.73)+'LINEST VARS'!$F$66*(8*$CI$104)+'LINEST VARS'!$E$66*(8*$BX108)+'LINEST VARS'!$D$66*(8*12.73)+'LINEST VARS'!$C$66*($CI$104*$BX108)+'LINEST VARS'!$B$66*($CI$104*12.73)+'LINEST VARS'!$A$66*($BX108*12.73)</f>
        <v>136.00000000000006</v>
      </c>
      <c r="CJ108" s="46">
        <f>'LINEST VARS'!$U$66+'LINEST VARS'!$T$66*(8)+'LINEST VARS'!$S$66*(8)+'LINEST VARS'!$R$66*($CJ$104)+'LINEST VARS'!$Q$66*($BX108)+'LINEST VARS'!$P$66*(12.73)+'LINEST VARS'!$O$66*(8^2)+'LINEST VARS'!$N$66*(8^2)+'LINEST VARS'!$M$66*($CJ$104^2)+'LINEST VARS'!$L$66*($BX108^2)+'LINEST VARS'!$K$66*(12.73^2)+'LINEST VARS'!$J$66*(8*8)+'LINEST VARS'!$I$66*(8*$CJ$104)+'LINEST VARS'!$H$66*(8*$BX108)+'LINEST VARS'!$G$66*(8*12.73)+'LINEST VARS'!$F$66*(8*$CJ$104)+'LINEST VARS'!$E$66*(8*$BX108)+'LINEST VARS'!$D$66*(8*12.73)+'LINEST VARS'!$C$66*($CJ$104*$BX108)+'LINEST VARS'!$B$66*($CJ$104*12.73)+'LINEST VARS'!$A$66*($BX108*12.73)</f>
        <v>135.20000000000005</v>
      </c>
      <c r="CK108" s="46">
        <f>'LINEST VARS'!$U$66+'LINEST VARS'!$T$66*(8)+'LINEST VARS'!$S$66*(8)+'LINEST VARS'!$R$66*($CK$104)+'LINEST VARS'!$Q$66*($BX108)+'LINEST VARS'!$P$66*(12.73)+'LINEST VARS'!$O$66*(8^2)+'LINEST VARS'!$N$66*(8^2)+'LINEST VARS'!$M$66*($CK$104^2)+'LINEST VARS'!$L$66*($BX108^2)+'LINEST VARS'!$K$66*(12.73^2)+'LINEST VARS'!$J$66*(8*8)+'LINEST VARS'!$I$66*(8*$CK$104)+'LINEST VARS'!$H$66*(8*$BX108)+'LINEST VARS'!$G$66*(8*12.73)+'LINEST VARS'!$F$66*(8*$CK$104)+'LINEST VARS'!$E$66*(8*$BX108)+'LINEST VARS'!$D$66*(8*12.73)+'LINEST VARS'!$C$66*($CK$104*$BX108)+'LINEST VARS'!$B$66*($CK$104*12.73)+'LINEST VARS'!$A$66*($BX108*12.73)</f>
        <v>134.40000000000003</v>
      </c>
      <c r="CL108" s="46">
        <f>'LINEST VARS'!$U$66+'LINEST VARS'!$T$66*(8)+'LINEST VARS'!$S$66*(8)+'LINEST VARS'!$R$66*($CL$104)+'LINEST VARS'!$Q$66*($BX108)+'LINEST VARS'!$P$66*(12.73)+'LINEST VARS'!$O$66*(8^2)+'LINEST VARS'!$N$66*(8^2)+'LINEST VARS'!$M$66*($CL$104^2)+'LINEST VARS'!$L$66*($BX108^2)+'LINEST VARS'!$K$66*(12.73^2)+'LINEST VARS'!$J$66*(8*8)+'LINEST VARS'!$I$66*(8*$CL$104)+'LINEST VARS'!$H$66*(8*$BX108)+'LINEST VARS'!$G$66*(8*12.73)+'LINEST VARS'!$F$66*(8*$CL$104)+'LINEST VARS'!$E$66*(8*$BX108)+'LINEST VARS'!$D$66*(8*12.73)+'LINEST VARS'!$C$66*($CL$104*$BX108)+'LINEST VARS'!$B$66*($CL$104*12.73)+'LINEST VARS'!$A$66*($BX108*12.73)</f>
        <v>133.60000000000005</v>
      </c>
      <c r="CM108" s="46">
        <f>'LINEST VARS'!$U$66+'LINEST VARS'!$T$66*(8)+'LINEST VARS'!$S$66*(8)+'LINEST VARS'!$R$66*($CM$104)+'LINEST VARS'!$Q$66*($BX108)+'LINEST VARS'!$P$66*(12.73)+'LINEST VARS'!$O$66*(8^2)+'LINEST VARS'!$N$66*(8^2)+'LINEST VARS'!$M$66*($CM$104^2)+'LINEST VARS'!$L$66*($BX108^2)+'LINEST VARS'!$K$66*(12.73^2)+'LINEST VARS'!$J$66*(8*8)+'LINEST VARS'!$I$66*(8*$CM$104)+'LINEST VARS'!$H$66*(8*$BX108)+'LINEST VARS'!$G$66*(8*12.73)+'LINEST VARS'!$F$66*(8*$CM$104)+'LINEST VARS'!$E$66*(8*$BX108)+'LINEST VARS'!$D$66*(8*12.73)+'LINEST VARS'!$C$66*($CM$104*$BX108)+'LINEST VARS'!$B$66*($CM$104*12.73)+'LINEST VARS'!$A$66*($BX108*12.73)</f>
        <v>132.80000000000004</v>
      </c>
      <c r="CN108" s="46">
        <f>'LINEST VARS'!$U$66+'LINEST VARS'!$T$66*(8)+'LINEST VARS'!$S$66*(8)+'LINEST VARS'!$R$66*($CN$104)+'LINEST VARS'!$Q$66*($BX108)+'LINEST VARS'!$P$66*(12.73)+'LINEST VARS'!$O$66*(8^2)+'LINEST VARS'!$N$66*(8^2)+'LINEST VARS'!$M$66*($CN$104^2)+'LINEST VARS'!$L$66*($BX108^2)+'LINEST VARS'!$K$66*(12.73^2)+'LINEST VARS'!$J$66*(8*8)+'LINEST VARS'!$I$66*(8*$CN$104)+'LINEST VARS'!$H$66*(8*$BX108)+'LINEST VARS'!$G$66*(8*12.73)+'LINEST VARS'!$F$66*(8*$CN$104)+'LINEST VARS'!$E$66*(8*$BX108)+'LINEST VARS'!$D$66*(8*12.73)+'LINEST VARS'!$C$66*($CN$104*$BX108)+'LINEST VARS'!$B$66*($CN$104*12.73)+'LINEST VARS'!$A$66*($BX108*12.73)</f>
        <v>132.00000000000006</v>
      </c>
      <c r="CO108" s="46">
        <f>'LINEST VARS'!$U$66+'LINEST VARS'!$T$66*(8)+'LINEST VARS'!$S$66*(8)+'LINEST VARS'!$R$66*($CO$104)+'LINEST VARS'!$Q$66*($BX108)+'LINEST VARS'!$P$66*(12.73)+'LINEST VARS'!$O$66*(8^2)+'LINEST VARS'!$N$66*(8^2)+'LINEST VARS'!$M$66*($CO$104^2)+'LINEST VARS'!$L$66*($BX108^2)+'LINEST VARS'!$K$66*(12.73^2)+'LINEST VARS'!$J$66*(8*8)+'LINEST VARS'!$I$66*(8*$CO$104)+'LINEST VARS'!$H$66*(8*$BX108)+'LINEST VARS'!$G$66*(8*12.73)+'LINEST VARS'!$F$66*(8*$CO$104)+'LINEST VARS'!$E$66*(8*$BX108)+'LINEST VARS'!$D$66*(8*12.73)+'LINEST VARS'!$C$66*($CO$104*$BX108)+'LINEST VARS'!$B$66*($CO$104*12.73)+'LINEST VARS'!$A$66*($BX108*12.73)</f>
        <v>131.20000000000005</v>
      </c>
      <c r="CP108" s="46">
        <f>'LINEST VARS'!$U$66+'LINEST VARS'!$T$66*(8)+'LINEST VARS'!$S$66*(8)+'LINEST VARS'!$R$66*($CP$104)+'LINEST VARS'!$Q$66*($BX108)+'LINEST VARS'!$P$66*(12.73)+'LINEST VARS'!$O$66*(8^2)+'LINEST VARS'!$N$66*(8^2)+'LINEST VARS'!$M$66*($CP$104^2)+'LINEST VARS'!$L$66*($BX108^2)+'LINEST VARS'!$K$66*(12.73^2)+'LINEST VARS'!$J$66*(8*8)+'LINEST VARS'!$I$66*(8*$CP$104)+'LINEST VARS'!$H$66*(8*$BX108)+'LINEST VARS'!$G$66*(8*12.73)+'LINEST VARS'!$F$66*(8*$CP$104)+'LINEST VARS'!$E$66*(8*$BX108)+'LINEST VARS'!$D$66*(8*12.73)+'LINEST VARS'!$C$66*($CP$104*$BX108)+'LINEST VARS'!$B$66*($CP$104*12.73)+'LINEST VARS'!$A$66*($BX108*12.73)</f>
        <v>130.40000000000009</v>
      </c>
      <c r="CQ108" s="46">
        <f>'LINEST VARS'!$U$66+'LINEST VARS'!$T$66*(8)+'LINEST VARS'!$S$66*(8)+'LINEST VARS'!$R$66*($CQ$104)+'LINEST VARS'!$Q$66*($BX108)+'LINEST VARS'!$P$66*(12.73)+'LINEST VARS'!$O$66*(8^2)+'LINEST VARS'!$N$66*(8^2)+'LINEST VARS'!$M$66*($CQ$104^2)+'LINEST VARS'!$L$66*($BX108^2)+'LINEST VARS'!$K$66*(12.73^2)+'LINEST VARS'!$J$66*(8*8)+'LINEST VARS'!$I$66*(8*$CQ$104)+'LINEST VARS'!$H$66*(8*$BX108)+'LINEST VARS'!$G$66*(8*12.73)+'LINEST VARS'!$F$66*(8*$CQ$104)+'LINEST VARS'!$E$66*(8*$BX108)+'LINEST VARS'!$D$66*(8*12.73)+'LINEST VARS'!$C$66*($CQ$104*$BX108)+'LINEST VARS'!$B$66*($CQ$104*12.73)+'LINEST VARS'!$A$66*($BX108*12.73)</f>
        <v>129.60000000000008</v>
      </c>
      <c r="CR108" s="46">
        <f>'LINEST VARS'!$U$66+'LINEST VARS'!$T$66*(8)+'LINEST VARS'!$S$66*(8)+'LINEST VARS'!$R$66*($CR$104)+'LINEST VARS'!$Q$66*($BX108)+'LINEST VARS'!$P$66*(12.73)+'LINEST VARS'!$O$66*(8^2)+'LINEST VARS'!$N$66*(8^2)+'LINEST VARS'!$M$66*($CR$104^2)+'LINEST VARS'!$L$66*($BX108^2)+'LINEST VARS'!$K$66*(12.73^2)+'LINEST VARS'!$J$66*(8*8)+'LINEST VARS'!$I$66*(8*$CR$104)+'LINEST VARS'!$H$66*(8*$BX108)+'LINEST VARS'!$G$66*(8*12.73)+'LINEST VARS'!$F$66*(8*$CR$104)+'LINEST VARS'!$E$66*(8*$BX108)+'LINEST VARS'!$D$66*(8*12.73)+'LINEST VARS'!$C$66*($CR$104*$BX108)+'LINEST VARS'!$B$66*($CR$104*12.73)+'LINEST VARS'!$A$66*($BX108*12.73)</f>
        <v>128.8000000000001</v>
      </c>
      <c r="CS108" s="47">
        <f>'LINEST VARS'!$U$66+'LINEST VARS'!$T$66*(8)+'LINEST VARS'!$S$66*(8)+'LINEST VARS'!$R$66*($CS$104)+'LINEST VARS'!$Q$66*($BX108)+'LINEST VARS'!$P$66*(12.73)+'LINEST VARS'!$O$66*(8^2)+'LINEST VARS'!$N$66*(8^2)+'LINEST VARS'!$M$66*($CS$104^2)+'LINEST VARS'!$L$66*($BX108^2)+'LINEST VARS'!$K$66*(12.73^2)+'LINEST VARS'!$J$66*(8*8)+'LINEST VARS'!$I$66*(8*$CS$104)+'LINEST VARS'!$H$66*(8*$BX108)+'LINEST VARS'!$G$66*(8*12.73)+'LINEST VARS'!$F$66*(8*$CS$104)+'LINEST VARS'!$E$66*(8*$BX108)+'LINEST VARS'!$D$66*(8*12.73)+'LINEST VARS'!$C$66*($CS$104*$BX108)+'LINEST VARS'!$B$66*($CS$104*12.73)+'LINEST VARS'!$A$66*($BX108*12.73)</f>
        <v>128.00000000000006</v>
      </c>
      <c r="CX108" s="45">
        <v>3.8984999999999999</v>
      </c>
      <c r="CY108" s="55">
        <f>'LINEST VARS'!$U$64+'LINEST VARS'!$T$64*(8)+'LINEST VARS'!$S$64*(8)+'LINEST VARS'!$R$64*($CY$104)+'LINEST VARS'!$Q$64*(0.5)+'LINEST VARS'!$P$64*($CX108)+'LINEST VARS'!$O$64*(8^2)+'LINEST VARS'!$N$64*(8^2)+'LINEST VARS'!$M$64*($CY$104^2)+'LINEST VARS'!$L$64*(0.5^2)+'LINEST VARS'!$K$64*($CX108^2)+'LINEST VARS'!$J$64*(8*8)+'LINEST VARS'!$I$64*(8*$CY$104)+'LINEST VARS'!$H$64*(8*0.5)+'LINEST VARS'!$G$64*(8*$CX108)+'LINEST VARS'!$F$64*(8*$CY$104)+'LINEST VARS'!$E$64*(8*0.5)+'LINEST VARS'!$D$64*(8*$CX108)+'LINEST VARS'!$C$64*($CY$104*0.5)+'LINEST VARS'!$B$64*($CY$104*$CX108)+'LINEST VARS'!$A$64*(0.5*$CX108)</f>
        <v>121.69549999999991</v>
      </c>
      <c r="CZ108" s="55">
        <f>'LINEST VARS'!$U$64+'LINEST VARS'!$T$64*(8)+'LINEST VARS'!$S$64*(8)+'LINEST VARS'!$R$64*($CZ$104)+'LINEST VARS'!$Q$64*(0.5)+'LINEST VARS'!$P$64*($CX108)+'LINEST VARS'!$O$64*(8^2)+'LINEST VARS'!$N$64*(8^2)+'LINEST VARS'!$M$64*($CZ$104^2)+'LINEST VARS'!$L$64*(0.5^2)+'LINEST VARS'!$K$64*($CX108^2)+'LINEST VARS'!$J$64*(8*8)+'LINEST VARS'!$I$64*(8*$CZ$104)+'LINEST VARS'!$H$64*(8*0.5)+'LINEST VARS'!$G$64*(8*$CX108)+'LINEST VARS'!$F$64*(8*$CZ$104)+'LINEST VARS'!$E$64*(8*0.5)+'LINEST VARS'!$D$64*(8*$CX108)+'LINEST VARS'!$C$64*($CZ$104*0.5)+'LINEST VARS'!$B$64*($CZ$104*$CX108)+'LINEST VARS'!$A$64*(0.5*$CX108)</f>
        <v>123.2954999999999</v>
      </c>
      <c r="DA108" s="55">
        <f>'LINEST VARS'!$U$64+'LINEST VARS'!$T$64*(8)+'LINEST VARS'!$S$64*(8)+'LINEST VARS'!$R$64*($DA$104)+'LINEST VARS'!$Q$64*(0.5)+'LINEST VARS'!$P$64*($CX108)+'LINEST VARS'!$O$64*(8^2)+'LINEST VARS'!$N$64*(8^2)+'LINEST VARS'!$M$64*($DA$104^2)+'LINEST VARS'!$L$64*(0.5^2)+'LINEST VARS'!$K$64*($CX108^2)+'LINEST VARS'!$J$64*(8*8)+'LINEST VARS'!$I$64*(8*$DA$104)+'LINEST VARS'!$H$64*(8*0.5)+'LINEST VARS'!$G$64*(8*$CX108)+'LINEST VARS'!$F$64*(8*$DA$104)+'LINEST VARS'!$E$64*(8*0.5)+'LINEST VARS'!$D$64*(8*$CX108)+'LINEST VARS'!$C$64*($DA$104*0.5)+'LINEST VARS'!$B$64*($DA$104*$CX108)+'LINEST VARS'!$A$64*(0.5*$CX108)</f>
        <v>124.89549999999991</v>
      </c>
      <c r="DB108" s="55">
        <f>'LINEST VARS'!$U$64+'LINEST VARS'!$T$64*(8)+'LINEST VARS'!$S$64*(8)+'LINEST VARS'!$R$64*($DB$104)+'LINEST VARS'!$Q$64*(0.5)+'LINEST VARS'!$P$64*($CX108)+'LINEST VARS'!$O$64*(8^2)+'LINEST VARS'!$N$64*(8^2)+'LINEST VARS'!$M$64*($DB$104^2)+'LINEST VARS'!$L$64*(0.5^2)+'LINEST VARS'!$K$64*($CX108^2)+'LINEST VARS'!$J$64*(8*8)+'LINEST VARS'!$I$64*(8*$DB$104)+'LINEST VARS'!$H$64*(8*0.5)+'LINEST VARS'!$G$64*(8*$CX108)+'LINEST VARS'!$F$64*(8*$DB$104)+'LINEST VARS'!$E$64*(8*0.5)+'LINEST VARS'!$D$64*(8*$CX108)+'LINEST VARS'!$C$64*($DB$104*0.5)+'LINEST VARS'!$B$64*($DB$104*$CX108)+'LINEST VARS'!$A$64*(0.5*$CX108)</f>
        <v>126.49549999999991</v>
      </c>
      <c r="DC108" s="55">
        <f>'LINEST VARS'!$U$64+'LINEST VARS'!$T$64*(8)+'LINEST VARS'!$S$64*(8)+'LINEST VARS'!$R$64*($DC$104)+'LINEST VARS'!$Q$64*(0.5)+'LINEST VARS'!$P$64*($CX108)+'LINEST VARS'!$O$64*(8^2)+'LINEST VARS'!$N$64*(8^2)+'LINEST VARS'!$M$64*($DC$104^2)+'LINEST VARS'!$L$64*(0.5^2)+'LINEST VARS'!$K$64*($CX108^2)+'LINEST VARS'!$J$64*(8*8)+'LINEST VARS'!$I$64*(8*$DC$104)+'LINEST VARS'!$H$64*(8*0.5)+'LINEST VARS'!$G$64*(8*$CX108)+'LINEST VARS'!$F$64*(8*$DC$104)+'LINEST VARS'!$E$64*(8*0.5)+'LINEST VARS'!$D$64*(8*$CX108)+'LINEST VARS'!$C$64*($DC$104*0.5)+'LINEST VARS'!$B$64*($DC$104*$CX108)+'LINEST VARS'!$A$64*(0.5*$CX108)</f>
        <v>128.0954999999999</v>
      </c>
      <c r="DD108" s="55">
        <f>'LINEST VARS'!$U$64+'LINEST VARS'!$T$64*(8)+'LINEST VARS'!$S$64*(8)+'LINEST VARS'!$R$64*($DD$104)+'LINEST VARS'!$Q$64*(0.5)+'LINEST VARS'!$P$64*($CX108)+'LINEST VARS'!$O$64*(8^2)+'LINEST VARS'!$N$64*(8^2)+'LINEST VARS'!$M$64*($DD$104^2)+'LINEST VARS'!$L$64*(0.5^2)+'LINEST VARS'!$K$64*($CX108^2)+'LINEST VARS'!$J$64*(8*8)+'LINEST VARS'!$I$64*(8*$DD$104)+'LINEST VARS'!$H$64*(8*0.5)+'LINEST VARS'!$G$64*(8*$CX108)+'LINEST VARS'!$F$64*(8*$DD$104)+'LINEST VARS'!$E$64*(8*0.5)+'LINEST VARS'!$D$64*(8*$CX108)+'LINEST VARS'!$C$64*($DD$104*0.5)+'LINEST VARS'!$B$64*($DD$104*$CX108)+'LINEST VARS'!$A$64*(0.5*$CX108)</f>
        <v>129.6954999999999</v>
      </c>
      <c r="DE108" s="55">
        <f>'LINEST VARS'!$U$64+'LINEST VARS'!$T$64*(8)+'LINEST VARS'!$S$64*(8)+'LINEST VARS'!$R$64*($DE$104)+'LINEST VARS'!$Q$64*(0.5)+'LINEST VARS'!$P$64*($CX108)+'LINEST VARS'!$O$64*(8^2)+'LINEST VARS'!$N$64*(8^2)+'LINEST VARS'!$M$64*($DE$104^2)+'LINEST VARS'!$L$64*(0.5^2)+'LINEST VARS'!$K$64*($CX108^2)+'LINEST VARS'!$J$64*(8*8)+'LINEST VARS'!$I$64*(8*$DE$104)+'LINEST VARS'!$H$64*(8*0.5)+'LINEST VARS'!$G$64*(8*$CX108)+'LINEST VARS'!$F$64*(8*$DE$104)+'LINEST VARS'!$E$64*(8*0.5)+'LINEST VARS'!$D$64*(8*$CX108)+'LINEST VARS'!$C$64*($DE$104*0.5)+'LINEST VARS'!$B$64*($DE$104*$CX108)+'LINEST VARS'!$A$64*(0.5*$CX108)</f>
        <v>131.29549999999989</v>
      </c>
      <c r="DF108" s="55">
        <f>'LINEST VARS'!$U$64+'LINEST VARS'!$T$64*(8)+'LINEST VARS'!$S$64*(8)+'LINEST VARS'!$R$64*($DF$104)+'LINEST VARS'!$Q$64*(0.5)+'LINEST VARS'!$P$64*($CX108)+'LINEST VARS'!$O$64*(8^2)+'LINEST VARS'!$N$64*(8^2)+'LINEST VARS'!$M$64*($DF$104^2)+'LINEST VARS'!$L$64*(0.5^2)+'LINEST VARS'!$K$64*($CX108^2)+'LINEST VARS'!$J$64*(8*8)+'LINEST VARS'!$I$64*(8*$DF$104)+'LINEST VARS'!$H$64*(8*0.5)+'LINEST VARS'!$G$64*(8*$CX108)+'LINEST VARS'!$F$64*(8*$DF$104)+'LINEST VARS'!$E$64*(8*0.5)+'LINEST VARS'!$D$64*(8*$CX108)+'LINEST VARS'!$C$64*($DF$104*0.5)+'LINEST VARS'!$B$64*($DF$104*$CX108)+'LINEST VARS'!$A$64*(0.5*$CX108)</f>
        <v>132.89549999999988</v>
      </c>
      <c r="DG108" s="55">
        <f>'LINEST VARS'!$U$64+'LINEST VARS'!$T$64*(8)+'LINEST VARS'!$S$64*(8)+'LINEST VARS'!$R$64*($DG$104)+'LINEST VARS'!$Q$64*(0.5)+'LINEST VARS'!$P$64*($CX108)+'LINEST VARS'!$O$64*(8^2)+'LINEST VARS'!$N$64*(8^2)+'LINEST VARS'!$M$64*($DG$104^2)+'LINEST VARS'!$L$64*(0.5^2)+'LINEST VARS'!$K$64*($CX108^2)+'LINEST VARS'!$J$64*(8*8)+'LINEST VARS'!$I$64*(8*$DG$104)+'LINEST VARS'!$H$64*(8*0.5)+'LINEST VARS'!$G$64*(8*$CX108)+'LINEST VARS'!$F$64*(8*$DG$104)+'LINEST VARS'!$E$64*(8*0.5)+'LINEST VARS'!$D$64*(8*$CX108)+'LINEST VARS'!$C$64*($DG$104*0.5)+'LINEST VARS'!$B$64*($DG$104*$CX108)+'LINEST VARS'!$A$64*(0.5*$CX108)</f>
        <v>134.49549999999991</v>
      </c>
      <c r="DH108" s="55">
        <f>'LINEST VARS'!$U$64+'LINEST VARS'!$T$64*(8)+'LINEST VARS'!$S$64*(8)+'LINEST VARS'!$R$64*($DH$104)+'LINEST VARS'!$Q$64*(0.5)+'LINEST VARS'!$P$64*($CX108)+'LINEST VARS'!$O$64*(8^2)+'LINEST VARS'!$N$64*(8^2)+'LINEST VARS'!$M$64*($DH$104^2)+'LINEST VARS'!$L$64*(0.5^2)+'LINEST VARS'!$K$64*($CX108^2)+'LINEST VARS'!$J$64*(8*8)+'LINEST VARS'!$I$64*(8*$DH$104)+'LINEST VARS'!$H$64*(8*0.5)+'LINEST VARS'!$G$64*(8*$CX108)+'LINEST VARS'!$F$64*(8*$DH$104)+'LINEST VARS'!$E$64*(8*0.5)+'LINEST VARS'!$D$64*(8*$CX108)+'LINEST VARS'!$C$64*($DH$104*0.5)+'LINEST VARS'!$B$64*($DH$104*$CX108)+'LINEST VARS'!$A$64*(0.5*$CX108)</f>
        <v>136.0954999999999</v>
      </c>
      <c r="DI108" s="55">
        <f>'LINEST VARS'!$U$64+'LINEST VARS'!$T$64*(8)+'LINEST VARS'!$S$64*(8)+'LINEST VARS'!$R$64*($DI$104)+'LINEST VARS'!$Q$64*(0.5)+'LINEST VARS'!$P$64*($CX108)+'LINEST VARS'!$O$64*(8^2)+'LINEST VARS'!$N$64*(8^2)+'LINEST VARS'!$M$64*($DI$104^2)+'LINEST VARS'!$L$64*(0.5^2)+'LINEST VARS'!$K$64*($CX108^2)+'LINEST VARS'!$J$64*(8*8)+'LINEST VARS'!$I$64*(8*$DI$104)+'LINEST VARS'!$H$64*(8*0.5)+'LINEST VARS'!$G$64*(8*$CX108)+'LINEST VARS'!$F$64*(8*$DI$104)+'LINEST VARS'!$E$64*(8*0.5)+'LINEST VARS'!$D$64*(8*$CX108)+'LINEST VARS'!$C$64*($DI$104*0.5)+'LINEST VARS'!$B$64*($DI$104*$CX108)+'LINEST VARS'!$A$64*(0.5*$CX108)</f>
        <v>137.6954999999999</v>
      </c>
      <c r="DJ108" s="55">
        <f>'LINEST VARS'!$U$64+'LINEST VARS'!$T$64*(8)+'LINEST VARS'!$S$64*(8)+'LINEST VARS'!$R$64*($DJ$104)+'LINEST VARS'!$Q$64*(0.5)+'LINEST VARS'!$P$64*($CX108)+'LINEST VARS'!$O$64*(8^2)+'LINEST VARS'!$N$64*(8^2)+'LINEST VARS'!$M$64*($DJ$104^2)+'LINEST VARS'!$L$64*(0.5^2)+'LINEST VARS'!$K$64*($CX108^2)+'LINEST VARS'!$J$64*(8*8)+'LINEST VARS'!$I$64*(8*$DJ$104)+'LINEST VARS'!$H$64*(8*0.5)+'LINEST VARS'!$G$64*(8*$CX108)+'LINEST VARS'!$F$64*(8*$DJ$104)+'LINEST VARS'!$E$64*(8*0.5)+'LINEST VARS'!$D$64*(8*$CX108)+'LINEST VARS'!$C$64*($DJ$104*0.5)+'LINEST VARS'!$B$64*($DJ$104*$CX108)+'LINEST VARS'!$A$64*(0.5*$CX108)</f>
        <v>139.29549999999989</v>
      </c>
      <c r="DK108" s="55">
        <f>'LINEST VARS'!$U$64+'LINEST VARS'!$T$64*(8)+'LINEST VARS'!$S$64*(8)+'LINEST VARS'!$R$64*($DK$104)+'LINEST VARS'!$Q$64*(0.5)+'LINEST VARS'!$P$64*($CX108)+'LINEST VARS'!$O$64*(8^2)+'LINEST VARS'!$N$64*(8^2)+'LINEST VARS'!$M$64*($DK$104^2)+'LINEST VARS'!$L$64*(0.5^2)+'LINEST VARS'!$K$64*($CX108^2)+'LINEST VARS'!$J$64*(8*8)+'LINEST VARS'!$I$64*(8*$DK$104)+'LINEST VARS'!$H$64*(8*0.5)+'LINEST VARS'!$G$64*(8*$CX108)+'LINEST VARS'!$F$64*(8*$DK$104)+'LINEST VARS'!$E$64*(8*0.5)+'LINEST VARS'!$D$64*(8*$CX108)+'LINEST VARS'!$C$64*($DK$104*0.5)+'LINEST VARS'!$B$64*($DK$104*$CX108)+'LINEST VARS'!$A$64*(0.5*$CX108)</f>
        <v>140.89549999999986</v>
      </c>
      <c r="DL108" s="55">
        <f>'LINEST VARS'!$U$64+'LINEST VARS'!$T$64*(8)+'LINEST VARS'!$S$64*(8)+'LINEST VARS'!$R$64*($DL$104)+'LINEST VARS'!$Q$64*(0.5)+'LINEST VARS'!$P$64*($CX108)+'LINEST VARS'!$O$64*(8^2)+'LINEST VARS'!$N$64*(8^2)+'LINEST VARS'!$M$64*($DL$104^2)+'LINEST VARS'!$L$64*(0.5^2)+'LINEST VARS'!$K$64*($CX108^2)+'LINEST VARS'!$J$64*(8*8)+'LINEST VARS'!$I$64*(8*$DL$104)+'LINEST VARS'!$H$64*(8*0.5)+'LINEST VARS'!$G$64*(8*$CX108)+'LINEST VARS'!$F$64*(8*$DL$104)+'LINEST VARS'!$E$64*(8*0.5)+'LINEST VARS'!$D$64*(8*$CX108)+'LINEST VARS'!$C$64*($DL$104*0.5)+'LINEST VARS'!$B$64*($DL$104*$CX108)+'LINEST VARS'!$A$64*(0.5*$CX108)</f>
        <v>142.49549999999988</v>
      </c>
      <c r="DM108" s="55">
        <f>'LINEST VARS'!$U$64+'LINEST VARS'!$T$64*(8)+'LINEST VARS'!$S$64*(8)+'LINEST VARS'!$R$64*($DM$104)+'LINEST VARS'!$Q$64*(0.5)+'LINEST VARS'!$P$64*($CX108)+'LINEST VARS'!$O$64*(8^2)+'LINEST VARS'!$N$64*(8^2)+'LINEST VARS'!$M$64*($DM$104^2)+'LINEST VARS'!$L$64*(0.5^2)+'LINEST VARS'!$K$64*($CX108^2)+'LINEST VARS'!$J$64*(8*8)+'LINEST VARS'!$I$64*(8*$DM$104)+'LINEST VARS'!$H$64*(8*0.5)+'LINEST VARS'!$G$64*(8*$CX108)+'LINEST VARS'!$F$64*(8*$DM$104)+'LINEST VARS'!$E$64*(8*0.5)+'LINEST VARS'!$D$64*(8*$CX108)+'LINEST VARS'!$C$64*($DM$104*0.5)+'LINEST VARS'!$B$64*($DM$104*$CX108)+'LINEST VARS'!$A$64*(0.5*$CX108)</f>
        <v>144.09549999999984</v>
      </c>
      <c r="DN108" s="55">
        <f>'LINEST VARS'!$U$64+'LINEST VARS'!$T$64*(8)+'LINEST VARS'!$S$64*(8)+'LINEST VARS'!$R$64*($DN$104)+'LINEST VARS'!$Q$64*(0.5)+'LINEST VARS'!$P$64*($CX108)+'LINEST VARS'!$O$64*(8^2)+'LINEST VARS'!$N$64*(8^2)+'LINEST VARS'!$M$64*($DN$104^2)+'LINEST VARS'!$L$64*(0.5^2)+'LINEST VARS'!$K$64*($CX108^2)+'LINEST VARS'!$J$64*(8*8)+'LINEST VARS'!$I$64*(8*$DN$104)+'LINEST VARS'!$H$64*(8*0.5)+'LINEST VARS'!$G$64*(8*$CX108)+'LINEST VARS'!$F$64*(8*$DN$104)+'LINEST VARS'!$E$64*(8*0.5)+'LINEST VARS'!$D$64*(8*$CX108)+'LINEST VARS'!$C$64*($DN$104*0.5)+'LINEST VARS'!$B$64*($DN$104*$CX108)+'LINEST VARS'!$A$64*(0.5*$CX108)</f>
        <v>145.69549999999984</v>
      </c>
      <c r="DO108" s="55">
        <f>'LINEST VARS'!$U$64+'LINEST VARS'!$T$64*(8)+'LINEST VARS'!$S$64*(8)+'LINEST VARS'!$R$64*($DO$104)+'LINEST VARS'!$Q$64*(0.5)+'LINEST VARS'!$P$64*($CX108)+'LINEST VARS'!$O$64*(8^2)+'LINEST VARS'!$N$64*(8^2)+'LINEST VARS'!$M$64*($DO$104^2)+'LINEST VARS'!$L$64*(0.5^2)+'LINEST VARS'!$K$64*($CX108^2)+'LINEST VARS'!$J$64*(8*8)+'LINEST VARS'!$I$64*(8*$DO$104)+'LINEST VARS'!$H$64*(8*0.5)+'LINEST VARS'!$G$64*(8*$CX108)+'LINEST VARS'!$F$64*(8*$DO$104)+'LINEST VARS'!$E$64*(8*0.5)+'LINEST VARS'!$D$64*(8*$CX108)+'LINEST VARS'!$C$64*($DO$104*0.5)+'LINEST VARS'!$B$64*($DO$104*$CX108)+'LINEST VARS'!$A$64*(0.5*$CX108)</f>
        <v>147.29549999999986</v>
      </c>
      <c r="DP108" s="55">
        <f>'LINEST VARS'!$U$64+'LINEST VARS'!$T$64*(8)+'LINEST VARS'!$S$64*(8)+'LINEST VARS'!$R$64*($DP$104)+'LINEST VARS'!$Q$64*(0.5)+'LINEST VARS'!$P$64*($CX108)+'LINEST VARS'!$O$64*(8^2)+'LINEST VARS'!$N$64*(8^2)+'LINEST VARS'!$M$64*($DP$104^2)+'LINEST VARS'!$L$64*(0.5^2)+'LINEST VARS'!$K$64*($CX108^2)+'LINEST VARS'!$J$64*(8*8)+'LINEST VARS'!$I$64*(8*$DP$104)+'LINEST VARS'!$H$64*(8*0.5)+'LINEST VARS'!$G$64*(8*$CX108)+'LINEST VARS'!$F$64*(8*$DP$104)+'LINEST VARS'!$E$64*(8*0.5)+'LINEST VARS'!$D$64*(8*$CX108)+'LINEST VARS'!$C$64*($DP$104*0.5)+'LINEST VARS'!$B$64*($DP$104*$CX108)+'LINEST VARS'!$A$64*(0.5*$CX108)</f>
        <v>148.89549999999986</v>
      </c>
      <c r="DQ108" s="55">
        <f>'LINEST VARS'!$U$64+'LINEST VARS'!$T$64*(8)+'LINEST VARS'!$S$64*(8)+'LINEST VARS'!$R$64*($DQ$104)+'LINEST VARS'!$Q$64*(0.5)+'LINEST VARS'!$P$64*($CX108)+'LINEST VARS'!$O$64*(8^2)+'LINEST VARS'!$N$64*(8^2)+'LINEST VARS'!$M$64*($DQ$104^2)+'LINEST VARS'!$L$64*(0.5^2)+'LINEST VARS'!$K$64*($CX108^2)+'LINEST VARS'!$J$64*(8*8)+'LINEST VARS'!$I$64*(8*$DQ$104)+'LINEST VARS'!$H$64*(8*0.5)+'LINEST VARS'!$G$64*(8*$CX108)+'LINEST VARS'!$F$64*(8*$DQ$104)+'LINEST VARS'!$E$64*(8*0.5)+'LINEST VARS'!$D$64*(8*$CX108)+'LINEST VARS'!$C$64*($DQ$104*0.5)+'LINEST VARS'!$B$64*($DQ$104*$CX108)+'LINEST VARS'!$A$64*(0.5*$CX108)</f>
        <v>150.49549999999985</v>
      </c>
      <c r="DR108" s="55">
        <f>'LINEST VARS'!$U$64+'LINEST VARS'!$T$64*(8)+'LINEST VARS'!$S$64*(8)+'LINEST VARS'!$R$64*($DR$104)+'LINEST VARS'!$Q$64*(0.5)+'LINEST VARS'!$P$64*($CX108)+'LINEST VARS'!$O$64*(8^2)+'LINEST VARS'!$N$64*(8^2)+'LINEST VARS'!$M$64*($DR$104^2)+'LINEST VARS'!$L$64*(0.5^2)+'LINEST VARS'!$K$64*($CX108^2)+'LINEST VARS'!$J$64*(8*8)+'LINEST VARS'!$I$64*(8*$DR$104)+'LINEST VARS'!$H$64*(8*0.5)+'LINEST VARS'!$G$64*(8*$CX108)+'LINEST VARS'!$F$64*(8*$DR$104)+'LINEST VARS'!$E$64*(8*0.5)+'LINEST VARS'!$D$64*(8*$CX108)+'LINEST VARS'!$C$64*($DR$104*0.5)+'LINEST VARS'!$B$64*($DR$104*$CX108)+'LINEST VARS'!$A$64*(0.5*$CX108)</f>
        <v>152.09549999999984</v>
      </c>
      <c r="DS108" s="56">
        <f>'LINEST VARS'!$U$64+'LINEST VARS'!$T$64*(8)+'LINEST VARS'!$S$64*(8)+'LINEST VARS'!$R$64*($DS$104)+'LINEST VARS'!$Q$64*(0.5)+'LINEST VARS'!$P$64*($CX108)+'LINEST VARS'!$O$64*(8^2)+'LINEST VARS'!$N$64*(8^2)+'LINEST VARS'!$M$64*($DS$104^2)+'LINEST VARS'!$L$64*(0.5^2)+'LINEST VARS'!$K$64*($CX108^2)+'LINEST VARS'!$J$64*(8*8)+'LINEST VARS'!$I$64*(8*$DS$104)+'LINEST VARS'!$H$64*(8*0.5)+'LINEST VARS'!$G$64*(8*$CX108)+'LINEST VARS'!$F$64*(8*$DS$104)+'LINEST VARS'!$E$64*(8*0.5)+'LINEST VARS'!$D$64*(8*$CX108)+'LINEST VARS'!$C$64*($DS$104*0.5)+'LINEST VARS'!$B$64*($DS$104*$CX108)+'LINEST VARS'!$A$64*(0.5*$CX108)</f>
        <v>153.69549999999984</v>
      </c>
      <c r="DV108" s="45">
        <v>3.8984999999999999</v>
      </c>
      <c r="DW108" s="46">
        <f>'LINEST VARS'!$U$66+'LINEST VARS'!$T$66*(8)+'LINEST VARS'!$S$66*(8)+'LINEST VARS'!$R$66*($DW$104)+'LINEST VARS'!$Q$66*(0.5)+'LINEST VARS'!$P$66*($DV108)+'LINEST VARS'!$O$66*(8^2)+'LINEST VARS'!$N$66*(8^2)+'LINEST VARS'!$M$66*($DW$104^2)+'LINEST VARS'!$L$66*(0.5^2)+'LINEST VARS'!$K$66*($DV108^2)+'LINEST VARS'!$J$66*(8*8)+'LINEST VARS'!$I$66*(8*$DW$104)+'LINEST VARS'!$H$66*(8*0.5)+'LINEST VARS'!$G$66*(8*$DV108)+'LINEST VARS'!$F$66*(8*$DW$104)+'LINEST VARS'!$E$66*(8*0.5)+'LINEST VARS'!$D$66*(8*$DV108)+'LINEST VARS'!$C$66*($DW$104*0.5)+'LINEST VARS'!$B$66*($DW$104*$DV108)+'LINEST VARS'!$A$66*(0.5*$DV108)</f>
        <v>144.00000000000003</v>
      </c>
      <c r="DX108" s="46">
        <f>'LINEST VARS'!$U$66+'LINEST VARS'!$T$66*(8)+'LINEST VARS'!$S$66*(8)+'LINEST VARS'!$R$66*($DX$104)+'LINEST VARS'!$Q$66*(0.5)+'LINEST VARS'!$P$66*($DV108)+'LINEST VARS'!$O$66*(8^2)+'LINEST VARS'!$N$66*(8^2)+'LINEST VARS'!$M$66*($DX$104^2)+'LINEST VARS'!$L$66*(0.5^2)+'LINEST VARS'!$K$66*($DV108^2)+'LINEST VARS'!$J$66*(8*8)+'LINEST VARS'!$I$66*(8*$DX$104)+'LINEST VARS'!$H$66*(8*0.5)+'LINEST VARS'!$G$66*(8*$DV108)+'LINEST VARS'!$F$66*(8*$DX$104)+'LINEST VARS'!$E$66*(8*0.5)+'LINEST VARS'!$D$66*(8*$DV108)+'LINEST VARS'!$C$66*($DX$104*0.5)+'LINEST VARS'!$B$66*($DX$104*$DV108)+'LINEST VARS'!$A$66*(0.5*$DV108)</f>
        <v>143.20000000000005</v>
      </c>
      <c r="DY108" s="46">
        <f>'LINEST VARS'!$U$66+'LINEST VARS'!$T$66*(8)+'LINEST VARS'!$S$66*(8)+'LINEST VARS'!$R$66*($DY$104)+'LINEST VARS'!$Q$66*(0.5)+'LINEST VARS'!$P$66*($DV108)+'LINEST VARS'!$O$66*(8^2)+'LINEST VARS'!$N$66*(8^2)+'LINEST VARS'!$M$66*($DY$104^2)+'LINEST VARS'!$L$66*(0.5^2)+'LINEST VARS'!$K$66*($DV108^2)+'LINEST VARS'!$J$66*(8*8)+'LINEST VARS'!$I$66*(8*$DY$104)+'LINEST VARS'!$H$66*(8*0.5)+'LINEST VARS'!$G$66*(8*$DV108)+'LINEST VARS'!$F$66*(8*$DY$104)+'LINEST VARS'!$E$66*(8*0.5)+'LINEST VARS'!$D$66*(8*$DV108)+'LINEST VARS'!$C$66*($DY$104*0.5)+'LINEST VARS'!$B$66*($DY$104*$DV108)+'LINEST VARS'!$A$66*(0.5*$DV108)</f>
        <v>142.40000000000003</v>
      </c>
      <c r="DZ108" s="46">
        <f>'LINEST VARS'!$U$66+'LINEST VARS'!$T$66*(8)+'LINEST VARS'!$S$66*(8)+'LINEST VARS'!$R$66*($DZ$104)+'LINEST VARS'!$Q$66*(0.5)+'LINEST VARS'!$P$66*($DV108)+'LINEST VARS'!$O$66*(8^2)+'LINEST VARS'!$N$66*(8^2)+'LINEST VARS'!$M$66*($DZ$104^2)+'LINEST VARS'!$L$66*(0.5^2)+'LINEST VARS'!$K$66*($DV108^2)+'LINEST VARS'!$J$66*(8*8)+'LINEST VARS'!$I$66*(8*$DZ$104)+'LINEST VARS'!$H$66*(8*0.5)+'LINEST VARS'!$G$66*(8*$DV108)+'LINEST VARS'!$F$66*(8*$DZ$104)+'LINEST VARS'!$E$66*(8*0.5)+'LINEST VARS'!$D$66*(8*$DV108)+'LINEST VARS'!$C$66*($DZ$104*0.5)+'LINEST VARS'!$B$66*($DZ$104*$DV108)+'LINEST VARS'!$A$66*(0.5*$DV108)</f>
        <v>141.60000000000005</v>
      </c>
      <c r="EA108" s="46">
        <f>'LINEST VARS'!$U$66+'LINEST VARS'!$T$66*(8)+'LINEST VARS'!$S$66*(8)+'LINEST VARS'!$R$66*($EA$104)+'LINEST VARS'!$Q$66*(0.5)+'LINEST VARS'!$P$66*($DV108)+'LINEST VARS'!$O$66*(8^2)+'LINEST VARS'!$N$66*(8^2)+'LINEST VARS'!$M$66*($EA$104^2)+'LINEST VARS'!$L$66*(0.5^2)+'LINEST VARS'!$K$66*($DV108^2)+'LINEST VARS'!$J$66*(8*8)+'LINEST VARS'!$I$66*(8*$EA$104)+'LINEST VARS'!$H$66*(8*0.5)+'LINEST VARS'!$G$66*(8*$DV108)+'LINEST VARS'!$F$66*(8*$EA$104)+'LINEST VARS'!$E$66*(8*0.5)+'LINEST VARS'!$D$66*(8*$DV108)+'LINEST VARS'!$C$66*($EA$104*0.5)+'LINEST VARS'!$B$66*($EA$104*$DV108)+'LINEST VARS'!$A$66*(0.5*$DV108)</f>
        <v>140.80000000000004</v>
      </c>
      <c r="EB108" s="46">
        <f>'LINEST VARS'!$U$66+'LINEST VARS'!$T$66*(8)+'LINEST VARS'!$S$66*(8)+'LINEST VARS'!$R$66*($EB$104)+'LINEST VARS'!$Q$66*(0.5)+'LINEST VARS'!$P$66*($DV108)+'LINEST VARS'!$O$66*(8^2)+'LINEST VARS'!$N$66*(8^2)+'LINEST VARS'!$M$66*($EB$104^2)+'LINEST VARS'!$L$66*(0.5^2)+'LINEST VARS'!$K$66*($DV108^2)+'LINEST VARS'!$J$66*(8*8)+'LINEST VARS'!$I$66*(8*$EB$104)+'LINEST VARS'!$H$66*(8*0.5)+'LINEST VARS'!$G$66*(8*$DV108)+'LINEST VARS'!$F$66*(8*$EB$104)+'LINEST VARS'!$E$66*(8*0.5)+'LINEST VARS'!$D$66*(8*$DV108)+'LINEST VARS'!$C$66*($EB$104*0.5)+'LINEST VARS'!$B$66*($EB$104*$DV108)+'LINEST VARS'!$A$66*(0.5*$DV108)</f>
        <v>140.00000000000006</v>
      </c>
      <c r="EC108" s="46">
        <f>'LINEST VARS'!$U$66+'LINEST VARS'!$T$66*(8)+'LINEST VARS'!$S$66*(8)+'LINEST VARS'!$R$66*($EC$104)+'LINEST VARS'!$Q$66*(0.5)+'LINEST VARS'!$P$66*($DV108)+'LINEST VARS'!$O$66*(8^2)+'LINEST VARS'!$N$66*(8^2)+'LINEST VARS'!$M$66*($EC$104^2)+'LINEST VARS'!$L$66*(0.5^2)+'LINEST VARS'!$K$66*($DV108^2)+'LINEST VARS'!$J$66*(8*8)+'LINEST VARS'!$I$66*(8*$EC$104)+'LINEST VARS'!$H$66*(8*0.5)+'LINEST VARS'!$G$66*(8*$DV108)+'LINEST VARS'!$F$66*(8*$EC$104)+'LINEST VARS'!$E$66*(8*0.5)+'LINEST VARS'!$D$66*(8*$DV108)+'LINEST VARS'!$C$66*($EC$104*0.5)+'LINEST VARS'!$B$66*($EC$104*$DV108)+'LINEST VARS'!$A$66*(0.5*$DV108)</f>
        <v>139.20000000000005</v>
      </c>
      <c r="ED108" s="46">
        <f>'LINEST VARS'!$U$66+'LINEST VARS'!$T$66*(8)+'LINEST VARS'!$S$66*(8)+'LINEST VARS'!$R$66*($ED$104)+'LINEST VARS'!$Q$66*(0.5)+'LINEST VARS'!$P$66*($DV108)+'LINEST VARS'!$O$66*(8^2)+'LINEST VARS'!$N$66*(8^2)+'LINEST VARS'!$M$66*($ED$104^2)+'LINEST VARS'!$L$66*(0.5^2)+'LINEST VARS'!$K$66*($DV108^2)+'LINEST VARS'!$J$66*(8*8)+'LINEST VARS'!$I$66*(8*$ED$104)+'LINEST VARS'!$H$66*(8*0.5)+'LINEST VARS'!$G$66*(8*$DV108)+'LINEST VARS'!$F$66*(8*$ED$104)+'LINEST VARS'!$E$66*(8*0.5)+'LINEST VARS'!$D$66*(8*$DV108)+'LINEST VARS'!$C$66*($ED$104*0.5)+'LINEST VARS'!$B$66*($ED$104*$DV108)+'LINEST VARS'!$A$66*(0.5*$DV108)</f>
        <v>138.40000000000006</v>
      </c>
      <c r="EE108" s="46">
        <f>'LINEST VARS'!$U$66+'LINEST VARS'!$T$66*(8)+'LINEST VARS'!$S$66*(8)+'LINEST VARS'!$R$66*($EE$104)+'LINEST VARS'!$Q$66*(0.5)+'LINEST VARS'!$P$66*($DV108)+'LINEST VARS'!$O$66*(8^2)+'LINEST VARS'!$N$66*(8^2)+'LINEST VARS'!$M$66*($EE$104^2)+'LINEST VARS'!$L$66*(0.5^2)+'LINEST VARS'!$K$66*($DV108^2)+'LINEST VARS'!$J$66*(8*8)+'LINEST VARS'!$I$66*(8*$EE$104)+'LINEST VARS'!$H$66*(8*0.5)+'LINEST VARS'!$G$66*(8*$DV108)+'LINEST VARS'!$F$66*(8*$EE$104)+'LINEST VARS'!$E$66*(8*0.5)+'LINEST VARS'!$D$66*(8*$DV108)+'LINEST VARS'!$C$66*($EE$104*0.5)+'LINEST VARS'!$B$66*($EE$104*$DV108)+'LINEST VARS'!$A$66*(0.5*$DV108)</f>
        <v>137.60000000000005</v>
      </c>
      <c r="EF108" s="46">
        <f>'LINEST VARS'!$U$66+'LINEST VARS'!$T$66*(8)+'LINEST VARS'!$S$66*(8)+'LINEST VARS'!$R$66*($EF$104)+'LINEST VARS'!$Q$66*(0.5)+'LINEST VARS'!$P$66*($DV108)+'LINEST VARS'!$O$66*(8^2)+'LINEST VARS'!$N$66*(8^2)+'LINEST VARS'!$M$66*($EF$104^2)+'LINEST VARS'!$L$66*(0.5^2)+'LINEST VARS'!$K$66*($DV108^2)+'LINEST VARS'!$J$66*(8*8)+'LINEST VARS'!$I$66*(8*$EF$104)+'LINEST VARS'!$H$66*(8*0.5)+'LINEST VARS'!$G$66*(8*$DV108)+'LINEST VARS'!$F$66*(8*$EF$104)+'LINEST VARS'!$E$66*(8*0.5)+'LINEST VARS'!$D$66*(8*$DV108)+'LINEST VARS'!$C$66*($EF$104*0.5)+'LINEST VARS'!$B$66*($EF$104*$DV108)+'LINEST VARS'!$A$66*(0.5*$DV108)</f>
        <v>136.80000000000004</v>
      </c>
      <c r="EG108" s="46">
        <f>'LINEST VARS'!$U$66+'LINEST VARS'!$T$66*(8)+'LINEST VARS'!$S$66*(8)+'LINEST VARS'!$R$66*($EG$104)+'LINEST VARS'!$Q$66*(0.5)+'LINEST VARS'!$P$66*($DV108)+'LINEST VARS'!$O$66*(8^2)+'LINEST VARS'!$N$66*(8^2)+'LINEST VARS'!$M$66*($EG$104^2)+'LINEST VARS'!$L$66*(0.5^2)+'LINEST VARS'!$K$66*($DV108^2)+'LINEST VARS'!$J$66*(8*8)+'LINEST VARS'!$I$66*(8*$EG$104)+'LINEST VARS'!$H$66*(8*0.5)+'LINEST VARS'!$G$66*(8*$DV108)+'LINEST VARS'!$F$66*(8*$EG$104)+'LINEST VARS'!$E$66*(8*0.5)+'LINEST VARS'!$D$66*(8*$DV108)+'LINEST VARS'!$C$66*($EG$104*0.5)+'LINEST VARS'!$B$66*($EG$104*$DV108)+'LINEST VARS'!$A$66*(0.5*$DV108)</f>
        <v>136.00000000000003</v>
      </c>
      <c r="EH108" s="46">
        <f>'LINEST VARS'!$U$66+'LINEST VARS'!$T$66*(8)+'LINEST VARS'!$S$66*(8)+'LINEST VARS'!$R$66*($EH$104)+'LINEST VARS'!$Q$66*(0.5)+'LINEST VARS'!$P$66*($DV108)+'LINEST VARS'!$O$66*(8^2)+'LINEST VARS'!$N$66*(8^2)+'LINEST VARS'!$M$66*($EH$104^2)+'LINEST VARS'!$L$66*(0.5^2)+'LINEST VARS'!$K$66*($DV108^2)+'LINEST VARS'!$J$66*(8*8)+'LINEST VARS'!$I$66*(8*$EH$104)+'LINEST VARS'!$H$66*(8*0.5)+'LINEST VARS'!$G$66*(8*$DV108)+'LINEST VARS'!$F$66*(8*$EH$104)+'LINEST VARS'!$E$66*(8*0.5)+'LINEST VARS'!$D$66*(8*$DV108)+'LINEST VARS'!$C$66*($EH$104*0.5)+'LINEST VARS'!$B$66*($EH$104*$DV108)+'LINEST VARS'!$A$66*(0.5*$DV108)</f>
        <v>135.20000000000002</v>
      </c>
      <c r="EI108" s="46">
        <f>'LINEST VARS'!$U$66+'LINEST VARS'!$T$66*(8)+'LINEST VARS'!$S$66*(8)+'LINEST VARS'!$R$66*($EI$104)+'LINEST VARS'!$Q$66*(0.5)+'LINEST VARS'!$P$66*($DV108)+'LINEST VARS'!$O$66*(8^2)+'LINEST VARS'!$N$66*(8^2)+'LINEST VARS'!$M$66*($EI$104^2)+'LINEST VARS'!$L$66*(0.5^2)+'LINEST VARS'!$K$66*($DV108^2)+'LINEST VARS'!$J$66*(8*8)+'LINEST VARS'!$I$66*(8*$EI$104)+'LINEST VARS'!$H$66*(8*0.5)+'LINEST VARS'!$G$66*(8*$DV108)+'LINEST VARS'!$F$66*(8*$EI$104)+'LINEST VARS'!$E$66*(8*0.5)+'LINEST VARS'!$D$66*(8*$DV108)+'LINEST VARS'!$C$66*($EI$104*0.5)+'LINEST VARS'!$B$66*($EI$104*$DV108)+'LINEST VARS'!$A$66*(0.5*$DV108)</f>
        <v>134.4</v>
      </c>
      <c r="EJ108" s="46">
        <f>'LINEST VARS'!$U$66+'LINEST VARS'!$T$66*(8)+'LINEST VARS'!$S$66*(8)+'LINEST VARS'!$R$66*($EJ$104)+'LINEST VARS'!$Q$66*(0.5)+'LINEST VARS'!$P$66*($DV108)+'LINEST VARS'!$O$66*(8^2)+'LINEST VARS'!$N$66*(8^2)+'LINEST VARS'!$M$66*($EJ$104^2)+'LINEST VARS'!$L$66*(0.5^2)+'LINEST VARS'!$K$66*($DV108^2)+'LINEST VARS'!$J$66*(8*8)+'LINEST VARS'!$I$66*(8*$EJ$104)+'LINEST VARS'!$H$66*(8*0.5)+'LINEST VARS'!$G$66*(8*$DV108)+'LINEST VARS'!$F$66*(8*$EJ$104)+'LINEST VARS'!$E$66*(8*0.5)+'LINEST VARS'!$D$66*(8*$DV108)+'LINEST VARS'!$C$66*($EJ$104*0.5)+'LINEST VARS'!$B$66*($EJ$104*$DV108)+'LINEST VARS'!$A$66*(0.5*$DV108)</f>
        <v>133.60000000000002</v>
      </c>
      <c r="EK108" s="46">
        <f>'LINEST VARS'!$U$66+'LINEST VARS'!$T$66*(8)+'LINEST VARS'!$S$66*(8)+'LINEST VARS'!$R$66*($EK$104)+'LINEST VARS'!$Q$66*(0.5)+'LINEST VARS'!$P$66*($DV108)+'LINEST VARS'!$O$66*(8^2)+'LINEST VARS'!$N$66*(8^2)+'LINEST VARS'!$M$66*($EK$104^2)+'LINEST VARS'!$L$66*(0.5^2)+'LINEST VARS'!$K$66*($DV108^2)+'LINEST VARS'!$J$66*(8*8)+'LINEST VARS'!$I$66*(8*$EK$104)+'LINEST VARS'!$H$66*(8*0.5)+'LINEST VARS'!$G$66*(8*$DV108)+'LINEST VARS'!$F$66*(8*$EK$104)+'LINEST VARS'!$E$66*(8*0.5)+'LINEST VARS'!$D$66*(8*$DV108)+'LINEST VARS'!$C$66*($EK$104*0.5)+'LINEST VARS'!$B$66*($EK$104*$DV108)+'LINEST VARS'!$A$66*(0.5*$DV108)</f>
        <v>132.80000000000001</v>
      </c>
      <c r="EL108" s="46">
        <f>'LINEST VARS'!$U$66+'LINEST VARS'!$T$66*(8)+'LINEST VARS'!$S$66*(8)+'LINEST VARS'!$R$66*($EL$104)+'LINEST VARS'!$Q$66*(0.5)+'LINEST VARS'!$P$66*($DV108)+'LINEST VARS'!$O$66*(8^2)+'LINEST VARS'!$N$66*(8^2)+'LINEST VARS'!$M$66*($EL$104^2)+'LINEST VARS'!$L$66*(0.5^2)+'LINEST VARS'!$K$66*($DV108^2)+'LINEST VARS'!$J$66*(8*8)+'LINEST VARS'!$I$66*(8*$EL$104)+'LINEST VARS'!$H$66*(8*0.5)+'LINEST VARS'!$G$66*(8*$DV108)+'LINEST VARS'!$F$66*(8*$EL$104)+'LINEST VARS'!$E$66*(8*0.5)+'LINEST VARS'!$D$66*(8*$DV108)+'LINEST VARS'!$C$66*($EL$104*0.5)+'LINEST VARS'!$B$66*($EL$104*$DV108)+'LINEST VARS'!$A$66*(0.5*$DV108)</f>
        <v>132.00000000000003</v>
      </c>
      <c r="EM108" s="46">
        <f>'LINEST VARS'!$U$66+'LINEST VARS'!$T$66*(8)+'LINEST VARS'!$S$66*(8)+'LINEST VARS'!$R$66*($EM$104)+'LINEST VARS'!$Q$66*(0.5)+'LINEST VARS'!$P$66*($DV108)+'LINEST VARS'!$O$66*(8^2)+'LINEST VARS'!$N$66*(8^2)+'LINEST VARS'!$M$66*($EM$104^2)+'LINEST VARS'!$L$66*(0.5^2)+'LINEST VARS'!$K$66*($DV108^2)+'LINEST VARS'!$J$66*(8*8)+'LINEST VARS'!$I$66*(8*$EM$104)+'LINEST VARS'!$H$66*(8*0.5)+'LINEST VARS'!$G$66*(8*$DV108)+'LINEST VARS'!$F$66*(8*$EM$104)+'LINEST VARS'!$E$66*(8*0.5)+'LINEST VARS'!$D$66*(8*$DV108)+'LINEST VARS'!$C$66*($EM$104*0.5)+'LINEST VARS'!$B$66*($EM$104*$DV108)+'LINEST VARS'!$A$66*(0.5*$DV108)</f>
        <v>131.20000000000002</v>
      </c>
      <c r="EN108" s="46">
        <f>'LINEST VARS'!$U$66+'LINEST VARS'!$T$66*(8)+'LINEST VARS'!$S$66*(8)+'LINEST VARS'!$R$66*($EN$104)+'LINEST VARS'!$Q$66*(0.5)+'LINEST VARS'!$P$66*($DV108)+'LINEST VARS'!$O$66*(8^2)+'LINEST VARS'!$N$66*(8^2)+'LINEST VARS'!$M$66*($EN$104^2)+'LINEST VARS'!$L$66*(0.5^2)+'LINEST VARS'!$K$66*($DV108^2)+'LINEST VARS'!$J$66*(8*8)+'LINEST VARS'!$I$66*(8*$EN$104)+'LINEST VARS'!$H$66*(8*0.5)+'LINEST VARS'!$G$66*(8*$DV108)+'LINEST VARS'!$F$66*(8*$EN$104)+'LINEST VARS'!$E$66*(8*0.5)+'LINEST VARS'!$D$66*(8*$DV108)+'LINEST VARS'!$C$66*($EN$104*0.5)+'LINEST VARS'!$B$66*($EN$104*$DV108)+'LINEST VARS'!$A$66*(0.5*$DV108)</f>
        <v>130.40000000000006</v>
      </c>
      <c r="EO108" s="46">
        <f>'LINEST VARS'!$U$66+'LINEST VARS'!$T$66*(8)+'LINEST VARS'!$S$66*(8)+'LINEST VARS'!$R$66*($EO$104)+'LINEST VARS'!$Q$66*(0.5)+'LINEST VARS'!$P$66*($DV108)+'LINEST VARS'!$O$66*(8^2)+'LINEST VARS'!$N$66*(8^2)+'LINEST VARS'!$M$66*($EO$104^2)+'LINEST VARS'!$L$66*(0.5^2)+'LINEST VARS'!$K$66*($DV108^2)+'LINEST VARS'!$J$66*(8*8)+'LINEST VARS'!$I$66*(8*$EO$104)+'LINEST VARS'!$H$66*(8*0.5)+'LINEST VARS'!$G$66*(8*$DV108)+'LINEST VARS'!$F$66*(8*$EO$104)+'LINEST VARS'!$E$66*(8*0.5)+'LINEST VARS'!$D$66*(8*$DV108)+'LINEST VARS'!$C$66*($EO$104*0.5)+'LINEST VARS'!$B$66*($EO$104*$DV108)+'LINEST VARS'!$A$66*(0.5*$DV108)</f>
        <v>129.60000000000005</v>
      </c>
      <c r="EP108" s="46">
        <f>'LINEST VARS'!$U$66+'LINEST VARS'!$T$66*(8)+'LINEST VARS'!$S$66*(8)+'LINEST VARS'!$R$66*($EP$104)+'LINEST VARS'!$Q$66*(0.5)+'LINEST VARS'!$P$66*($DV108)+'LINEST VARS'!$O$66*(8^2)+'LINEST VARS'!$N$66*(8^2)+'LINEST VARS'!$M$66*($EP$104^2)+'LINEST VARS'!$L$66*(0.5^2)+'LINEST VARS'!$K$66*($DV108^2)+'LINEST VARS'!$J$66*(8*8)+'LINEST VARS'!$I$66*(8*$EP$104)+'LINEST VARS'!$H$66*(8*0.5)+'LINEST VARS'!$G$66*(8*$DV108)+'LINEST VARS'!$F$66*(8*$EP$104)+'LINEST VARS'!$E$66*(8*0.5)+'LINEST VARS'!$D$66*(8*$DV108)+'LINEST VARS'!$C$66*($EP$104*0.5)+'LINEST VARS'!$B$66*($EP$104*$DV108)+'LINEST VARS'!$A$66*(0.5*$DV108)</f>
        <v>128.80000000000007</v>
      </c>
      <c r="EQ108" s="47">
        <f>'LINEST VARS'!$U$66+'LINEST VARS'!$T$66*(8)+'LINEST VARS'!$S$66*(8)+'LINEST VARS'!$R$66*($EQ$104)+'LINEST VARS'!$Q$66*(0.5)+'LINEST VARS'!$P$66*($DV108)+'LINEST VARS'!$O$66*(8^2)+'LINEST VARS'!$N$66*(8^2)+'LINEST VARS'!$M$66*($EQ$104^2)+'LINEST VARS'!$L$66*(0.5^2)+'LINEST VARS'!$K$66*($DV108^2)+'LINEST VARS'!$J$66*(8*8)+'LINEST VARS'!$I$66*(8*$EQ$104)+'LINEST VARS'!$H$66*(8*0.5)+'LINEST VARS'!$G$66*(8*$DV108)+'LINEST VARS'!$F$66*(8*$EQ$104)+'LINEST VARS'!$E$66*(8*0.5)+'LINEST VARS'!$D$66*(8*$DV108)+'LINEST VARS'!$C$66*($EQ$104*0.5)+'LINEST VARS'!$B$66*($EQ$104*$DV108)+'LINEST VARS'!$A$66*(0.5*$DV108)</f>
        <v>128.00000000000006</v>
      </c>
    </row>
    <row r="109" spans="2:147" ht="15" customHeight="1" x14ac:dyDescent="0.25">
      <c r="B109" s="45">
        <v>7.64</v>
      </c>
      <c r="C109" s="55">
        <f>'LINEST VARS'!$U$64+'LINEST VARS'!$T$64*($C$104)+'LINEST VARS'!$S$64*($B109)+'LINEST VARS'!$R$64*(4)+'LINEST VARS'!$Q$64*(0.5)+'LINEST VARS'!$P$64*(12.73)+'LINEST VARS'!$O$64*($C$104^2)+'LINEST VARS'!$N$64*($B109^2)+'LINEST VARS'!$M$64*(4^2)+'LINEST VARS'!$L$64*(0.5^2)+'LINEST VARS'!$K$64*(12.73^2)+'LINEST VARS'!$J$64*($C$104*$B109)+'LINEST VARS'!$I$64*($C$104*4)+'LINEST VARS'!$H$64*($C$104*0.5)+'LINEST VARS'!$G$64*($C$104*12.73)+'LINEST VARS'!$F$64*($B109*4)+'LINEST VARS'!$E$64*($B109*0.5)+'LINEST VARS'!$D$64*($B109*12.73)+'LINEST VARS'!$C$64*(4*0.5)+'LINEST VARS'!$B$64*(4*12.73)+'LINEST VARS'!$A$64*(0.5*12.73)</f>
        <v>164.18999999999988</v>
      </c>
      <c r="D109" s="55">
        <f>'LINEST VARS'!$U$64+'LINEST VARS'!$T$64*($D$104)+'LINEST VARS'!$S$64*($B109)+'LINEST VARS'!$R$64*(4)+'LINEST VARS'!$Q$64*(0.5)+'LINEST VARS'!$P$64*(12.73)+'LINEST VARS'!$O$64*($D$104^2)+'LINEST VARS'!$N$64*($B109^2)+'LINEST VARS'!$M$64*(4^2)+'LINEST VARS'!$L$64*(0.5^2)+'LINEST VARS'!$K$64*(12.73^2)+'LINEST VARS'!$J$64*($D$104*$B109)+'LINEST VARS'!$I$64*($D$104*4)+'LINEST VARS'!$H$64*($D$104*0.5)+'LINEST VARS'!$G$64*($D$104*12.73)+'LINEST VARS'!$F$64*($B109*4)+'LINEST VARS'!$E$64*($B109*0.5)+'LINEST VARS'!$D$64*($B109*12.73)+'LINEST VARS'!$C$64*(4*0.5)+'LINEST VARS'!$B$64*(4*12.73)+'LINEST VARS'!$A$64*(0.5*12.73)</f>
        <v>164.18999999999988</v>
      </c>
      <c r="E109" s="55">
        <f>'LINEST VARS'!$U$64+'LINEST VARS'!$T$64*($E$104)+'LINEST VARS'!$S$64*($B109)+'LINEST VARS'!$R$64*(4)+'LINEST VARS'!$Q$64*(0.5)+'LINEST VARS'!$P$64*(12.73)+'LINEST VARS'!$O$64*($E$104^2)+'LINEST VARS'!$N$64*($B109^2)+'LINEST VARS'!$M$64*(4^2)+'LINEST VARS'!$L$64*(0.5^2)+'LINEST VARS'!$K$64*(12.73^2)+'LINEST VARS'!$J$64*($E$104*$B109)+'LINEST VARS'!$I$64*($E$104*4)+'LINEST VARS'!$H$64*($E$104*0.5)+'LINEST VARS'!$G$64*($E$104*12.73)+'LINEST VARS'!$F$64*($B109*4)+'LINEST VARS'!$E$64*($B109*0.5)+'LINEST VARS'!$D$64*($B109*12.73)+'LINEST VARS'!$C$64*(4*0.5)+'LINEST VARS'!$B$64*(4*12.73)+'LINEST VARS'!$A$64*(0.5*12.73)</f>
        <v>164.18999999999988</v>
      </c>
      <c r="F109" s="55">
        <f>'LINEST VARS'!$U$64+'LINEST VARS'!$T$64*($F$104)+'LINEST VARS'!$S$64*($B109)+'LINEST VARS'!$R$64*(4)+'LINEST VARS'!$Q$64*(0.5)+'LINEST VARS'!$P$64*(12.73)+'LINEST VARS'!$O$64*($F$104^2)+'LINEST VARS'!$N$64*($B109^2)+'LINEST VARS'!$M$64*(4^2)+'LINEST VARS'!$L$64*(0.5^2)+'LINEST VARS'!$K$64*(12.73^2)+'LINEST VARS'!$J$64*($F$104*$B109)+'LINEST VARS'!$I$64*($F$104*4)+'LINEST VARS'!$H$64*($F$104*0.5)+'LINEST VARS'!$G$64*($F$104*12.73)+'LINEST VARS'!$F$64*($B109*4)+'LINEST VARS'!$E$64*($B109*0.5)+'LINEST VARS'!$D$64*($B109*12.73)+'LINEST VARS'!$C$64*(4*0.5)+'LINEST VARS'!$B$64*(4*12.73)+'LINEST VARS'!$A$64*(0.5*12.73)</f>
        <v>164.18999999999988</v>
      </c>
      <c r="G109" s="55">
        <f>'LINEST VARS'!$U$64+'LINEST VARS'!$T$64*($G$104)+'LINEST VARS'!$S$64*($B109)+'LINEST VARS'!$R$64*(4)+'LINEST VARS'!$Q$64*(0.5)+'LINEST VARS'!$P$64*(12.73)+'LINEST VARS'!$O$64*($G$104^2)+'LINEST VARS'!$N$64*($B109^2)+'LINEST VARS'!$M$64*(4^2)+'LINEST VARS'!$L$64*(0.5^2)+'LINEST VARS'!$K$64*(12.73^2)+'LINEST VARS'!$J$64*($G$104*$B109)+'LINEST VARS'!$I$64*($G$104*4)+'LINEST VARS'!$H$64*($G$104*0.5)+'LINEST VARS'!$G$64*($G$104*12.73)+'LINEST VARS'!$F$64*($B109*4)+'LINEST VARS'!$E$64*($B109*0.5)+'LINEST VARS'!$D$64*($B109*12.73)+'LINEST VARS'!$C$64*(4*0.5)+'LINEST VARS'!$B$64*(4*12.73)+'LINEST VARS'!$A$64*(0.5*12.73)</f>
        <v>164.18999999999991</v>
      </c>
      <c r="H109" s="55">
        <f>'LINEST VARS'!$U$64+'LINEST VARS'!$T$64*($H$104)+'LINEST VARS'!$S$64*($B109)+'LINEST VARS'!$R$64*(4)+'LINEST VARS'!$Q$64*(0.5)+'LINEST VARS'!$P$64*(12.73)+'LINEST VARS'!$O$64*($H$104^2)+'LINEST VARS'!$N$64*($B109^2)+'LINEST VARS'!$M$64*(4^2)+'LINEST VARS'!$L$64*(0.5^2)+'LINEST VARS'!$K$64*(12.73^2)+'LINEST VARS'!$J$64*($H$104*$B109)+'LINEST VARS'!$I$64*($H$104*4)+'LINEST VARS'!$H$64*($H$104*0.5)+'LINEST VARS'!$G$64*($H$104*12.73)+'LINEST VARS'!$F$64*($B109*4)+'LINEST VARS'!$E$64*($B109*0.5)+'LINEST VARS'!$D$64*($B109*12.73)+'LINEST VARS'!$C$64*(4*0.5)+'LINEST VARS'!$B$64*(4*12.73)+'LINEST VARS'!$A$64*(0.5*12.73)</f>
        <v>164.18999999999991</v>
      </c>
      <c r="I109" s="55">
        <f>'LINEST VARS'!$U$64+'LINEST VARS'!$T$64*($I$104)+'LINEST VARS'!$S$64*($B109)+'LINEST VARS'!$R$64*(4)+'LINEST VARS'!$Q$64*(0.5)+'LINEST VARS'!$P$64*(12.73)+'LINEST VARS'!$O$64*($I$104^2)+'LINEST VARS'!$N$64*($B109^2)+'LINEST VARS'!$M$64*(4^2)+'LINEST VARS'!$L$64*(0.5^2)+'LINEST VARS'!$K$64*(12.73^2)+'LINEST VARS'!$J$64*($I$104*$B109)+'LINEST VARS'!$I$64*($I$104*4)+'LINEST VARS'!$H$64*($I$104*0.5)+'LINEST VARS'!$G$64*($I$104*12.73)+'LINEST VARS'!$F$64*($B109*4)+'LINEST VARS'!$E$64*($B109*0.5)+'LINEST VARS'!$D$64*($B109*12.73)+'LINEST VARS'!$C$64*(4*0.5)+'LINEST VARS'!$B$64*(4*12.73)+'LINEST VARS'!$A$64*(0.5*12.73)</f>
        <v>164.18999999999991</v>
      </c>
      <c r="J109" s="55">
        <f>'LINEST VARS'!$U$64+'LINEST VARS'!$T$64*($J$104)+'LINEST VARS'!$S$64*($B109)+'LINEST VARS'!$R$64*(4)+'LINEST VARS'!$Q$64*(0.5)+'LINEST VARS'!$P$64*(12.73)+'LINEST VARS'!$O$64*($J$104^2)+'LINEST VARS'!$N$64*($B109^2)+'LINEST VARS'!$M$64*(4^2)+'LINEST VARS'!$L$64*(0.5^2)+'LINEST VARS'!$K$64*(12.73^2)+'LINEST VARS'!$J$64*($J$104*$B109)+'LINEST VARS'!$I$64*($J$104*4)+'LINEST VARS'!$H$64*($J$104*0.5)+'LINEST VARS'!$G$64*($J$104*12.73)+'LINEST VARS'!$F$64*($B109*4)+'LINEST VARS'!$E$64*($B109*0.5)+'LINEST VARS'!$D$64*($B109*12.73)+'LINEST VARS'!$C$64*(4*0.5)+'LINEST VARS'!$B$64*(4*12.73)+'LINEST VARS'!$A$64*(0.5*12.73)</f>
        <v>164.18999999999991</v>
      </c>
      <c r="K109" s="55">
        <f>'LINEST VARS'!$U$64+'LINEST VARS'!$T$64*($K$104)+'LINEST VARS'!$S$64*($B109)+'LINEST VARS'!$R$64*(4)+'LINEST VARS'!$Q$64*(0.5)+'LINEST VARS'!$P$64*(12.73)+'LINEST VARS'!$O$64*($K$104^2)+'LINEST VARS'!$N$64*($B109^2)+'LINEST VARS'!$M$64*(4^2)+'LINEST VARS'!$L$64*(0.5^2)+'LINEST VARS'!$K$64*(12.73^2)+'LINEST VARS'!$J$64*($K$104*$B109)+'LINEST VARS'!$I$64*($K$104*4)+'LINEST VARS'!$H$64*($K$104*0.5)+'LINEST VARS'!$G$64*($K$104*12.73)+'LINEST VARS'!$F$64*($B109*4)+'LINEST VARS'!$E$64*($B109*0.5)+'LINEST VARS'!$D$64*($B109*12.73)+'LINEST VARS'!$C$64*(4*0.5)+'LINEST VARS'!$B$64*(4*12.73)+'LINEST VARS'!$A$64*(0.5*12.73)</f>
        <v>164.18999999999991</v>
      </c>
      <c r="L109" s="55">
        <f>'LINEST VARS'!$U$64+'LINEST VARS'!$T$64*($L$104)+'LINEST VARS'!$S$64*($B109)+'LINEST VARS'!$R$64*(4)+'LINEST VARS'!$Q$64*(0.5)+'LINEST VARS'!$P$64*(12.73)+'LINEST VARS'!$O$64*($L$104^2)+'LINEST VARS'!$N$64*($B109^2)+'LINEST VARS'!$M$64*(4^2)+'LINEST VARS'!$L$64*(0.5^2)+'LINEST VARS'!$K$64*(12.73^2)+'LINEST VARS'!$J$64*($L$104*$B109)+'LINEST VARS'!$I$64*($L$104*4)+'LINEST VARS'!$H$64*($L$104*0.5)+'LINEST VARS'!$G$64*($L$104*12.73)+'LINEST VARS'!$F$64*($B109*4)+'LINEST VARS'!$E$64*($B109*0.5)+'LINEST VARS'!$D$64*($B109*12.73)+'LINEST VARS'!$C$64*(4*0.5)+'LINEST VARS'!$B$64*(4*12.73)+'LINEST VARS'!$A$64*(0.5*12.73)</f>
        <v>164.18999999999991</v>
      </c>
      <c r="M109" s="55">
        <f>'LINEST VARS'!$U$64+'LINEST VARS'!$T$64*($M$104)+'LINEST VARS'!$S$64*($B109)+'LINEST VARS'!$R$64*(4)+'LINEST VARS'!$Q$64*(0.5)+'LINEST VARS'!$P$64*(12.73)+'LINEST VARS'!$O$64*($M$104^2)+'LINEST VARS'!$N$64*($B109^2)+'LINEST VARS'!$M$64*(4^2)+'LINEST VARS'!$L$64*(0.5^2)+'LINEST VARS'!$K$64*(12.73^2)+'LINEST VARS'!$J$64*($M$104*$B109)+'LINEST VARS'!$I$64*($M$104*4)+'LINEST VARS'!$H$64*($M$104*0.5)+'LINEST VARS'!$G$64*($M$104*12.73)+'LINEST VARS'!$F$64*($B109*4)+'LINEST VARS'!$E$64*($B109*0.5)+'LINEST VARS'!$D$64*($B109*12.73)+'LINEST VARS'!$C$64*(4*0.5)+'LINEST VARS'!$B$64*(4*12.73)+'LINEST VARS'!$A$64*(0.5*12.73)</f>
        <v>164.18999999999991</v>
      </c>
      <c r="N109" s="55">
        <f>'LINEST VARS'!$U$64+'LINEST VARS'!$T$64*($N$104)+'LINEST VARS'!$S$64*($B109)+'LINEST VARS'!$R$64*(4)+'LINEST VARS'!$Q$64*(0.5)+'LINEST VARS'!$P$64*(12.73)+'LINEST VARS'!$O$64*($N$104^2)+'LINEST VARS'!$N$64*($B109^2)+'LINEST VARS'!$M$64*(4^2)+'LINEST VARS'!$L$64*(0.5^2)+'LINEST VARS'!$K$64*(12.73^2)+'LINEST VARS'!$J$64*($N$104*$B109)+'LINEST VARS'!$I$64*($N$104*4)+'LINEST VARS'!$H$64*($N$104*0.5)+'LINEST VARS'!$G$64*($N$104*12.73)+'LINEST VARS'!$F$64*($B109*4)+'LINEST VARS'!$E$64*($B109*0.5)+'LINEST VARS'!$D$64*($B109*12.73)+'LINEST VARS'!$C$64*(4*0.5)+'LINEST VARS'!$B$64*(4*12.73)+'LINEST VARS'!$A$64*(0.5*12.73)</f>
        <v>164.18999999999991</v>
      </c>
      <c r="O109" s="55">
        <f>'LINEST VARS'!$U$64+'LINEST VARS'!$T$64*($O$104)+'LINEST VARS'!$S$64*($B109)+'LINEST VARS'!$R$64*(4)+'LINEST VARS'!$Q$64*(0.5)+'LINEST VARS'!$P$64*(12.73)+'LINEST VARS'!$O$64*($O$104^2)+'LINEST VARS'!$N$64*($B109^2)+'LINEST VARS'!$M$64*(4^2)+'LINEST VARS'!$L$64*(0.5^2)+'LINEST VARS'!$K$64*(12.73^2)+'LINEST VARS'!$J$64*($O$104*$B109)+'LINEST VARS'!$I$64*($O$104*4)+'LINEST VARS'!$H$64*($O$104*0.5)+'LINEST VARS'!$G$64*($O$104*12.73)+'LINEST VARS'!$F$64*($B109*4)+'LINEST VARS'!$E$64*($B109*0.5)+'LINEST VARS'!$D$64*($B109*12.73)+'LINEST VARS'!$C$64*(4*0.5)+'LINEST VARS'!$B$64*(4*12.73)+'LINEST VARS'!$A$64*(0.5*12.73)</f>
        <v>164.18999999999988</v>
      </c>
      <c r="P109" s="55">
        <f>'LINEST VARS'!$U$64+'LINEST VARS'!$T$64*($P$104)+'LINEST VARS'!$S$64*($B109)+'LINEST VARS'!$R$64*(4)+'LINEST VARS'!$Q$64*(0.5)+'LINEST VARS'!$P$64*(12.73)+'LINEST VARS'!$O$64*($P$104^2)+'LINEST VARS'!$N$64*($B109^2)+'LINEST VARS'!$M$64*(4^2)+'LINEST VARS'!$L$64*(0.5^2)+'LINEST VARS'!$K$64*(12.73^2)+'LINEST VARS'!$J$64*($P$104*$B109)+'LINEST VARS'!$I$64*($P$104*4)+'LINEST VARS'!$H$64*($P$104*0.5)+'LINEST VARS'!$G$64*($P$104*12.73)+'LINEST VARS'!$F$64*($B109*4)+'LINEST VARS'!$E$64*($B109*0.5)+'LINEST VARS'!$D$64*($B109*12.73)+'LINEST VARS'!$C$64*(4*0.5)+'LINEST VARS'!$B$64*(4*12.73)+'LINEST VARS'!$A$64*(0.5*12.73)</f>
        <v>164.18999999999991</v>
      </c>
      <c r="Q109" s="55">
        <f>'LINEST VARS'!$U$64+'LINEST VARS'!$T$64*($Q$104)+'LINEST VARS'!$S$64*($B109)+'LINEST VARS'!$R$64*(4)+'LINEST VARS'!$Q$64*(0.5)+'LINEST VARS'!$P$64*(12.73)+'LINEST VARS'!$O$64*($Q$104^2)+'LINEST VARS'!$N$64*($B109^2)+'LINEST VARS'!$M$64*(4^2)+'LINEST VARS'!$L$64*(0.5^2)+'LINEST VARS'!$K$64*(12.73^2)+'LINEST VARS'!$J$64*($Q$104*$B109)+'LINEST VARS'!$I$64*($Q$104*4)+'LINEST VARS'!$H$64*($Q$104*0.5)+'LINEST VARS'!$G$64*($Q$104*12.73)+'LINEST VARS'!$F$64*($B109*4)+'LINEST VARS'!$E$64*($B109*0.5)+'LINEST VARS'!$D$64*($B109*12.73)+'LINEST VARS'!$C$64*(4*0.5)+'LINEST VARS'!$B$64*(4*12.73)+'LINEST VARS'!$A$64*(0.5*12.73)</f>
        <v>164.18999999999991</v>
      </c>
      <c r="R109" s="55">
        <f>'LINEST VARS'!$U$64+'LINEST VARS'!$T$64*($R$104)+'LINEST VARS'!$S$64*($B109)+'LINEST VARS'!$R$64*(4)+'LINEST VARS'!$Q$64*(0.5)+'LINEST VARS'!$P$64*(12.73)+'LINEST VARS'!$O$64*($R$104^2)+'LINEST VARS'!$N$64*($B109^2)+'LINEST VARS'!$M$64*(4^2)+'LINEST VARS'!$L$64*(0.5^2)+'LINEST VARS'!$K$64*(12.73^2)+'LINEST VARS'!$J$64*($R$104*$B109)+'LINEST VARS'!$I$64*($R$104*4)+'LINEST VARS'!$H$64*($R$104*0.5)+'LINEST VARS'!$G$64*($R$104*12.73)+'LINEST VARS'!$F$64*($B109*4)+'LINEST VARS'!$E$64*($B109*0.5)+'LINEST VARS'!$D$64*($B109*12.73)+'LINEST VARS'!$C$64*(4*0.5)+'LINEST VARS'!$B$64*(4*12.73)+'LINEST VARS'!$A$64*(0.5*12.73)</f>
        <v>164.18999999999991</v>
      </c>
      <c r="S109" s="55">
        <f>'LINEST VARS'!$U$64+'LINEST VARS'!$T$64*($S$104)+'LINEST VARS'!$S$64*($B109)+'LINEST VARS'!$R$64*(4)+'LINEST VARS'!$Q$64*(0.5)+'LINEST VARS'!$P$64*(12.73)+'LINEST VARS'!$O$64*($S$104^2)+'LINEST VARS'!$N$64*($B109^2)+'LINEST VARS'!$M$64*(4^2)+'LINEST VARS'!$L$64*(0.5^2)+'LINEST VARS'!$K$64*(12.73^2)+'LINEST VARS'!$J$64*($S$104*$B109)+'LINEST VARS'!$I$64*($S$104*4)+'LINEST VARS'!$H$64*($S$104*0.5)+'LINEST VARS'!$G$64*($S$104*12.73)+'LINEST VARS'!$F$64*($B109*4)+'LINEST VARS'!$E$64*($B109*0.5)+'LINEST VARS'!$D$64*($B109*12.73)+'LINEST VARS'!$C$64*(4*0.5)+'LINEST VARS'!$B$64*(4*12.73)+'LINEST VARS'!$A$64*(0.5*12.73)</f>
        <v>164.18999999999991</v>
      </c>
      <c r="T109" s="55">
        <f>'LINEST VARS'!$U$64+'LINEST VARS'!$T$64*($T$104)+'LINEST VARS'!$S$64*($B109)+'LINEST VARS'!$R$64*(4)+'LINEST VARS'!$Q$64*(0.5)+'LINEST VARS'!$P$64*(12.73)+'LINEST VARS'!$O$64*($T$104^2)+'LINEST VARS'!$N$64*($B109^2)+'LINEST VARS'!$M$64*(4^2)+'LINEST VARS'!$L$64*(0.5^2)+'LINEST VARS'!$K$64*(12.73^2)+'LINEST VARS'!$J$64*($T$104*$B109)+'LINEST VARS'!$I$64*($T$104*4)+'LINEST VARS'!$H$64*($T$104*0.5)+'LINEST VARS'!$G$64*($T$104*12.73)+'LINEST VARS'!$F$64*($B109*4)+'LINEST VARS'!$E$64*($B109*0.5)+'LINEST VARS'!$D$64*($B109*12.73)+'LINEST VARS'!$C$64*(4*0.5)+'LINEST VARS'!$B$64*(4*12.73)+'LINEST VARS'!$A$64*(0.5*12.73)</f>
        <v>164.18999999999988</v>
      </c>
      <c r="U109" s="55">
        <f>'LINEST VARS'!$U$64+'LINEST VARS'!$T$64*($U$104)+'LINEST VARS'!$S$64*($B109)+'LINEST VARS'!$R$64*(4)+'LINEST VARS'!$Q$64*(0.5)+'LINEST VARS'!$P$64*(12.73)+'LINEST VARS'!$O$64*($U$104^2)+'LINEST VARS'!$N$64*($B109^2)+'LINEST VARS'!$M$64*(4^2)+'LINEST VARS'!$L$64*(0.5^2)+'LINEST VARS'!$K$64*(12.73^2)+'LINEST VARS'!$J$64*($U$104*$B109)+'LINEST VARS'!$I$64*($U$104*4)+'LINEST VARS'!$H$64*($U$104*0.5)+'LINEST VARS'!$G$64*($U$104*12.73)+'LINEST VARS'!$F$64*($B109*4)+'LINEST VARS'!$E$64*($B109*0.5)+'LINEST VARS'!$D$64*($B109*12.73)+'LINEST VARS'!$C$64*(4*0.5)+'LINEST VARS'!$B$64*(4*12.73)+'LINEST VARS'!$A$64*(0.5*12.73)</f>
        <v>164.18999999999988</v>
      </c>
      <c r="V109" s="55">
        <f>'LINEST VARS'!$U$64+'LINEST VARS'!$T$64*($V$104)+'LINEST VARS'!$S$64*($B109)+'LINEST VARS'!$R$64*(4)+'LINEST VARS'!$Q$64*(0.5)+'LINEST VARS'!$P$64*(12.73)+'LINEST VARS'!$O$64*($V$104^2)+'LINEST VARS'!$N$64*($B109^2)+'LINEST VARS'!$M$64*(4^2)+'LINEST VARS'!$L$64*(0.5^2)+'LINEST VARS'!$K$64*(12.73^2)+'LINEST VARS'!$J$64*($V$104*$B109)+'LINEST VARS'!$I$64*($V$104*4)+'LINEST VARS'!$H$64*($V$104*0.5)+'LINEST VARS'!$G$64*($V$104*12.73)+'LINEST VARS'!$F$64*($B109*4)+'LINEST VARS'!$E$64*($B109*0.5)+'LINEST VARS'!$D$64*($B109*12.73)+'LINEST VARS'!$C$64*(4*0.5)+'LINEST VARS'!$B$64*(4*12.73)+'LINEST VARS'!$A$64*(0.5*12.73)</f>
        <v>164.18999999999988</v>
      </c>
      <c r="W109" s="56">
        <f>'LINEST VARS'!$U$64+'LINEST VARS'!$T$64*($W$104)+'LINEST VARS'!$S$64*($B109)+'LINEST VARS'!$R$64*(4)+'LINEST VARS'!$Q$64*(0.5)+'LINEST VARS'!$P$64*(12.73)+'LINEST VARS'!$O$64*($W$104^2)+'LINEST VARS'!$N$64*($B109^2)+'LINEST VARS'!$M$64*(4^2)+'LINEST VARS'!$L$64*(0.5^2)+'LINEST VARS'!$K$64*(12.73^2)+'LINEST VARS'!$J$64*($W$104*$B109)+'LINEST VARS'!$I$64*($W$104*4)+'LINEST VARS'!$H$64*($W$104*0.5)+'LINEST VARS'!$G$64*($W$104*12.73)+'LINEST VARS'!$F$64*($B109*4)+'LINEST VARS'!$E$64*($B109*0.5)+'LINEST VARS'!$D$64*($B109*12.73)+'LINEST VARS'!$C$64*(4*0.5)+'LINEST VARS'!$B$64*(4*12.73)+'LINEST VARS'!$A$64*(0.5*12.73)</f>
        <v>164.18999999999988</v>
      </c>
      <c r="Z109" s="45">
        <v>7.64</v>
      </c>
      <c r="AA109" s="46">
        <f>'LINEST VARS'!$U$66+'LINEST VARS'!$T$66*($AA$104)+'LINEST VARS'!$S$66*($Z109)+'LINEST VARS'!$R$66*(4)+'LINEST VARS'!$Q$66*(0.5)+'LINEST VARS'!$P$66*(12.73)+'LINEST VARS'!$O$66*($AA$104^2)+'LINEST VARS'!$N$66*($Z109^2)+'LINEST VARS'!$M$66*(4^2)+'LINEST VARS'!$L$66*(0.5^2)+'LINEST VARS'!$K$66*(12.73^2)+'LINEST VARS'!$J$66*($AA$104*$Z109)+'LINEST VARS'!$I$66*($AA$104*4)+'LINEST VARS'!$H$66*($AA$104*0.5)+'LINEST VARS'!$G$66*($AA$104*12.73)+'LINEST VARS'!$F$66*($Z109*4)+'LINEST VARS'!$E$66*($Z109*0.5)+'LINEST VARS'!$D$66*($Z109*12.73)+'LINEST VARS'!$C$66*(4*0.5)+'LINEST VARS'!$B$66*(4*12.73)+'LINEST VARS'!$A$66*(0.5*12.73)</f>
        <v>134.20000000000007</v>
      </c>
      <c r="AB109" s="46">
        <f>'LINEST VARS'!$U$66+'LINEST VARS'!$T$66*($AB$104)+'LINEST VARS'!$S$66*($Z109)+'LINEST VARS'!$R$66*(4)+'LINEST VARS'!$Q$66*(0.5)+'LINEST VARS'!$P$66*(12.73)+'LINEST VARS'!$O$66*($AB$104^2)+'LINEST VARS'!$N$66*($Z109^2)+'LINEST VARS'!$M$66*(4^2)+'LINEST VARS'!$L$66*(0.5^2)+'LINEST VARS'!$K$66*(12.73^2)+'LINEST VARS'!$J$66*($AB$104*$Z109)+'LINEST VARS'!$I$66*($AB$104*4)+'LINEST VARS'!$H$66*($AB$104*0.5)+'LINEST VARS'!$G$66*($AB$104*12.73)+'LINEST VARS'!$F$66*($Z109*4)+'LINEST VARS'!$E$66*($Z109*0.5)+'LINEST VARS'!$D$66*($Z109*12.73)+'LINEST VARS'!$C$66*(4*0.5)+'LINEST VARS'!$B$66*(4*12.73)+'LINEST VARS'!$A$66*(0.5*12.73)</f>
        <v>134.38000000000008</v>
      </c>
      <c r="AC109" s="46">
        <f>'LINEST VARS'!$U$66+'LINEST VARS'!$T$66*($AC$104)+'LINEST VARS'!$S$66*($Z109)+'LINEST VARS'!$R$66*(4)+'LINEST VARS'!$Q$66*(0.5)+'LINEST VARS'!$P$66*(12.73)+'LINEST VARS'!$O$66*($AC$104^2)+'LINEST VARS'!$N$66*($Z109^2)+'LINEST VARS'!$M$66*(4^2)+'LINEST VARS'!$L$66*(0.5^2)+'LINEST VARS'!$K$66*(12.73^2)+'LINEST VARS'!$J$66*($AC$104*$Z109)+'LINEST VARS'!$I$66*($AC$104*4)+'LINEST VARS'!$H$66*($AC$104*0.5)+'LINEST VARS'!$G$66*($AC$104*12.73)+'LINEST VARS'!$F$66*($Z109*4)+'LINEST VARS'!$E$66*($Z109*0.5)+'LINEST VARS'!$D$66*($Z109*12.73)+'LINEST VARS'!$C$66*(4*0.5)+'LINEST VARS'!$B$66*(4*12.73)+'LINEST VARS'!$A$66*(0.5*12.73)</f>
        <v>134.56000000000006</v>
      </c>
      <c r="AD109" s="46">
        <f>'LINEST VARS'!$U$66+'LINEST VARS'!$T$66*($AD$104)+'LINEST VARS'!$S$66*($Z109)+'LINEST VARS'!$R$66*(4)+'LINEST VARS'!$Q$66*(0.5)+'LINEST VARS'!$P$66*(12.73)+'LINEST VARS'!$O$66*($AD$104^2)+'LINEST VARS'!$N$66*($Z109^2)+'LINEST VARS'!$M$66*(4^2)+'LINEST VARS'!$L$66*(0.5^2)+'LINEST VARS'!$K$66*(12.73^2)+'LINEST VARS'!$J$66*($AD$104*$Z109)+'LINEST VARS'!$I$66*($AD$104*4)+'LINEST VARS'!$H$66*($AD$104*0.5)+'LINEST VARS'!$G$66*($AD$104*12.73)+'LINEST VARS'!$F$66*($Z109*4)+'LINEST VARS'!$E$66*($Z109*0.5)+'LINEST VARS'!$D$66*($Z109*12.73)+'LINEST VARS'!$C$66*(4*0.5)+'LINEST VARS'!$B$66*(4*12.73)+'LINEST VARS'!$A$66*(0.5*12.73)</f>
        <v>134.74000000000007</v>
      </c>
      <c r="AE109" s="46">
        <f>'LINEST VARS'!$U$66+'LINEST VARS'!$T$66*($AE$104)+'LINEST VARS'!$S$66*($Z109)+'LINEST VARS'!$R$66*(4)+'LINEST VARS'!$Q$66*(0.5)+'LINEST VARS'!$P$66*(12.73)+'LINEST VARS'!$O$66*($AE$104^2)+'LINEST VARS'!$N$66*($Z109^2)+'LINEST VARS'!$M$66*(4^2)+'LINEST VARS'!$L$66*(0.5^2)+'LINEST VARS'!$K$66*(12.73^2)+'LINEST VARS'!$J$66*($AE$104*$Z109)+'LINEST VARS'!$I$66*($AE$104*4)+'LINEST VARS'!$H$66*($AE$104*0.5)+'LINEST VARS'!$G$66*($AE$104*12.73)+'LINEST VARS'!$F$66*($Z109*4)+'LINEST VARS'!$E$66*($Z109*0.5)+'LINEST VARS'!$D$66*($Z109*12.73)+'LINEST VARS'!$C$66*(4*0.5)+'LINEST VARS'!$B$66*(4*12.73)+'LINEST VARS'!$A$66*(0.5*12.73)</f>
        <v>134.92000000000007</v>
      </c>
      <c r="AF109" s="46">
        <f>'LINEST VARS'!$U$66+'LINEST VARS'!$T$66*($AF$104)+'LINEST VARS'!$S$66*($Z109)+'LINEST VARS'!$R$66*(4)+'LINEST VARS'!$Q$66*(0.5)+'LINEST VARS'!$P$66*(12.73)+'LINEST VARS'!$O$66*($AF$104^2)+'LINEST VARS'!$N$66*($Z109^2)+'LINEST VARS'!$M$66*(4^2)+'LINEST VARS'!$L$66*(0.5^2)+'LINEST VARS'!$K$66*(12.73^2)+'LINEST VARS'!$J$66*($AF$104*$Z109)+'LINEST VARS'!$I$66*($AF$104*4)+'LINEST VARS'!$H$66*($AF$104*0.5)+'LINEST VARS'!$G$66*($AF$104*12.73)+'LINEST VARS'!$F$66*($Z109*4)+'LINEST VARS'!$E$66*($Z109*0.5)+'LINEST VARS'!$D$66*($Z109*12.73)+'LINEST VARS'!$C$66*(4*0.5)+'LINEST VARS'!$B$66*(4*12.73)+'LINEST VARS'!$A$66*(0.5*12.73)</f>
        <v>135.10000000000008</v>
      </c>
      <c r="AG109" s="46">
        <f>'LINEST VARS'!$U$66+'LINEST VARS'!$T$66*($AG$104)+'LINEST VARS'!$S$66*($Z109)+'LINEST VARS'!$R$66*(4)+'LINEST VARS'!$Q$66*(0.5)+'LINEST VARS'!$P$66*(12.73)+'LINEST VARS'!$O$66*($AG$104^2)+'LINEST VARS'!$N$66*($Z109^2)+'LINEST VARS'!$M$66*(4^2)+'LINEST VARS'!$L$66*(0.5^2)+'LINEST VARS'!$K$66*(12.73^2)+'LINEST VARS'!$J$66*($AG$104*$Z109)+'LINEST VARS'!$I$66*($AG$104*4)+'LINEST VARS'!$H$66*($AG$104*0.5)+'LINEST VARS'!$G$66*($AG$104*12.73)+'LINEST VARS'!$F$66*($Z109*4)+'LINEST VARS'!$E$66*($Z109*0.5)+'LINEST VARS'!$D$66*($Z109*12.73)+'LINEST VARS'!$C$66*(4*0.5)+'LINEST VARS'!$B$66*(4*12.73)+'LINEST VARS'!$A$66*(0.5*12.73)</f>
        <v>135.28000000000006</v>
      </c>
      <c r="AH109" s="46">
        <f>'LINEST VARS'!$U$66+'LINEST VARS'!$T$66*($AH$104)+'LINEST VARS'!$S$66*($Z109)+'LINEST VARS'!$R$66*(4)+'LINEST VARS'!$Q$66*(0.5)+'LINEST VARS'!$P$66*(12.73)+'LINEST VARS'!$O$66*($AH$104^2)+'LINEST VARS'!$N$66*($Z109^2)+'LINEST VARS'!$M$66*(4^2)+'LINEST VARS'!$L$66*(0.5^2)+'LINEST VARS'!$K$66*(12.73^2)+'LINEST VARS'!$J$66*($AH$104*$Z109)+'LINEST VARS'!$I$66*($AH$104*4)+'LINEST VARS'!$H$66*($AH$104*0.5)+'LINEST VARS'!$G$66*($AH$104*12.73)+'LINEST VARS'!$F$66*($Z109*4)+'LINEST VARS'!$E$66*($Z109*0.5)+'LINEST VARS'!$D$66*($Z109*12.73)+'LINEST VARS'!$C$66*(4*0.5)+'LINEST VARS'!$B$66*(4*12.73)+'LINEST VARS'!$A$66*(0.5*12.73)</f>
        <v>135.46000000000006</v>
      </c>
      <c r="AI109" s="46">
        <f>'LINEST VARS'!$U$66+'LINEST VARS'!$T$66*($AI$104)+'LINEST VARS'!$S$66*($Z109)+'LINEST VARS'!$R$66*(4)+'LINEST VARS'!$Q$66*(0.5)+'LINEST VARS'!$P$66*(12.73)+'LINEST VARS'!$O$66*($AI$104^2)+'LINEST VARS'!$N$66*($Z109^2)+'LINEST VARS'!$M$66*(4^2)+'LINEST VARS'!$L$66*(0.5^2)+'LINEST VARS'!$K$66*(12.73^2)+'LINEST VARS'!$J$66*($AI$104*$Z109)+'LINEST VARS'!$I$66*($AI$104*4)+'LINEST VARS'!$H$66*($AI$104*0.5)+'LINEST VARS'!$G$66*($AI$104*12.73)+'LINEST VARS'!$F$66*($Z109*4)+'LINEST VARS'!$E$66*($Z109*0.5)+'LINEST VARS'!$D$66*($Z109*12.73)+'LINEST VARS'!$C$66*(4*0.5)+'LINEST VARS'!$B$66*(4*12.73)+'LINEST VARS'!$A$66*(0.5*12.73)</f>
        <v>135.64000000000007</v>
      </c>
      <c r="AJ109" s="46">
        <f>'LINEST VARS'!$U$66+'LINEST VARS'!$T$66*($AJ$104)+'LINEST VARS'!$S$66*($Z109)+'LINEST VARS'!$R$66*(4)+'LINEST VARS'!$Q$66*(0.5)+'LINEST VARS'!$P$66*(12.73)+'LINEST VARS'!$O$66*($AJ$104^2)+'LINEST VARS'!$N$66*($Z109^2)+'LINEST VARS'!$M$66*(4^2)+'LINEST VARS'!$L$66*(0.5^2)+'LINEST VARS'!$K$66*(12.73^2)+'LINEST VARS'!$J$66*($AJ$104*$Z109)+'LINEST VARS'!$I$66*($AJ$104*4)+'LINEST VARS'!$H$66*($AJ$104*0.5)+'LINEST VARS'!$G$66*($AJ$104*12.73)+'LINEST VARS'!$F$66*($Z109*4)+'LINEST VARS'!$E$66*($Z109*0.5)+'LINEST VARS'!$D$66*($Z109*12.73)+'LINEST VARS'!$C$66*(4*0.5)+'LINEST VARS'!$B$66*(4*12.73)+'LINEST VARS'!$A$66*(0.5*12.73)</f>
        <v>135.82000000000008</v>
      </c>
      <c r="AK109" s="46">
        <f>'LINEST VARS'!$U$66+'LINEST VARS'!$T$66*($AK$104)+'LINEST VARS'!$S$66*($Z109)+'LINEST VARS'!$R$66*(4)+'LINEST VARS'!$Q$66*(0.5)+'LINEST VARS'!$P$66*(12.73)+'LINEST VARS'!$O$66*($AK$104^2)+'LINEST VARS'!$N$66*($Z109^2)+'LINEST VARS'!$M$66*(4^2)+'LINEST VARS'!$L$66*(0.5^2)+'LINEST VARS'!$K$66*(12.73^2)+'LINEST VARS'!$J$66*($AK$104*$Z109)+'LINEST VARS'!$I$66*($AK$104*4)+'LINEST VARS'!$H$66*($AK$104*0.5)+'LINEST VARS'!$G$66*($AK$104*12.73)+'LINEST VARS'!$F$66*($Z109*4)+'LINEST VARS'!$E$66*($Z109*0.5)+'LINEST VARS'!$D$66*($Z109*12.73)+'LINEST VARS'!$C$66*(4*0.5)+'LINEST VARS'!$B$66*(4*12.73)+'LINEST VARS'!$A$66*(0.5*12.73)</f>
        <v>136.00000000000009</v>
      </c>
      <c r="AL109" s="46">
        <f>'LINEST VARS'!$U$66+'LINEST VARS'!$T$66*($AL$104)+'LINEST VARS'!$S$66*($Z109)+'LINEST VARS'!$R$66*(4)+'LINEST VARS'!$Q$66*(0.5)+'LINEST VARS'!$P$66*(12.73)+'LINEST VARS'!$O$66*($AL$104^2)+'LINEST VARS'!$N$66*($Z109^2)+'LINEST VARS'!$M$66*(4^2)+'LINEST VARS'!$L$66*(0.5^2)+'LINEST VARS'!$K$66*(12.73^2)+'LINEST VARS'!$J$66*($AL$104*$Z109)+'LINEST VARS'!$I$66*($AL$104*4)+'LINEST VARS'!$H$66*($AL$104*0.5)+'LINEST VARS'!$G$66*($AL$104*12.73)+'LINEST VARS'!$F$66*($Z109*4)+'LINEST VARS'!$E$66*($Z109*0.5)+'LINEST VARS'!$D$66*($Z109*12.73)+'LINEST VARS'!$C$66*(4*0.5)+'LINEST VARS'!$B$66*(4*12.73)+'LINEST VARS'!$A$66*(0.5*12.73)</f>
        <v>136.18000000000009</v>
      </c>
      <c r="AM109" s="46">
        <f>'LINEST VARS'!$U$66+'LINEST VARS'!$T$66*($AM$104)+'LINEST VARS'!$S$66*($Z109)+'LINEST VARS'!$R$66*(4)+'LINEST VARS'!$Q$66*(0.5)+'LINEST VARS'!$P$66*(12.73)+'LINEST VARS'!$O$66*($AM$104^2)+'LINEST VARS'!$N$66*($Z109^2)+'LINEST VARS'!$M$66*(4^2)+'LINEST VARS'!$L$66*(0.5^2)+'LINEST VARS'!$K$66*(12.73^2)+'LINEST VARS'!$J$66*($AM$104*$Z109)+'LINEST VARS'!$I$66*($AM$104*4)+'LINEST VARS'!$H$66*($AM$104*0.5)+'LINEST VARS'!$G$66*($AM$104*12.73)+'LINEST VARS'!$F$66*($Z109*4)+'LINEST VARS'!$E$66*($Z109*0.5)+'LINEST VARS'!$D$66*($Z109*12.73)+'LINEST VARS'!$C$66*(4*0.5)+'LINEST VARS'!$B$66*(4*12.73)+'LINEST VARS'!$A$66*(0.5*12.73)</f>
        <v>136.3600000000001</v>
      </c>
      <c r="AN109" s="46">
        <f>'LINEST VARS'!$U$66+'LINEST VARS'!$T$66*($AN$104)+'LINEST VARS'!$S$66*($Z109)+'LINEST VARS'!$R$66*(4)+'LINEST VARS'!$Q$66*(0.5)+'LINEST VARS'!$P$66*(12.73)+'LINEST VARS'!$O$66*($AN$104^2)+'LINEST VARS'!$N$66*($Z109^2)+'LINEST VARS'!$M$66*(4^2)+'LINEST VARS'!$L$66*(0.5^2)+'LINEST VARS'!$K$66*(12.73^2)+'LINEST VARS'!$J$66*($AN$104*$Z109)+'LINEST VARS'!$I$66*($AN$104*4)+'LINEST VARS'!$H$66*($AN$104*0.5)+'LINEST VARS'!$G$66*($AN$104*12.73)+'LINEST VARS'!$F$66*($Z109*4)+'LINEST VARS'!$E$66*($Z109*0.5)+'LINEST VARS'!$D$66*($Z109*12.73)+'LINEST VARS'!$C$66*(4*0.5)+'LINEST VARS'!$B$66*(4*12.73)+'LINEST VARS'!$A$66*(0.5*12.73)</f>
        <v>136.54000000000011</v>
      </c>
      <c r="AO109" s="46">
        <f>'LINEST VARS'!$U$66+'LINEST VARS'!$T$66*($AO$104)+'LINEST VARS'!$S$66*($Z109)+'LINEST VARS'!$R$66*(4)+'LINEST VARS'!$Q$66*(0.5)+'LINEST VARS'!$P$66*(12.73)+'LINEST VARS'!$O$66*($AO$104^2)+'LINEST VARS'!$N$66*($Z109^2)+'LINEST VARS'!$M$66*(4^2)+'LINEST VARS'!$L$66*(0.5^2)+'LINEST VARS'!$K$66*(12.73^2)+'LINEST VARS'!$J$66*($AO$104*$Z109)+'LINEST VARS'!$I$66*($AO$104*4)+'LINEST VARS'!$H$66*($AO$104*0.5)+'LINEST VARS'!$G$66*($AO$104*12.73)+'LINEST VARS'!$F$66*($Z109*4)+'LINEST VARS'!$E$66*($Z109*0.5)+'LINEST VARS'!$D$66*($Z109*12.73)+'LINEST VARS'!$C$66*(4*0.5)+'LINEST VARS'!$B$66*(4*12.73)+'LINEST VARS'!$A$66*(0.5*12.73)</f>
        <v>136.72000000000008</v>
      </c>
      <c r="AP109" s="46">
        <f>'LINEST VARS'!$U$66+'LINEST VARS'!$T$66*($AP$104)+'LINEST VARS'!$S$66*($Z109)+'LINEST VARS'!$R$66*(4)+'LINEST VARS'!$Q$66*(0.5)+'LINEST VARS'!$P$66*(12.73)+'LINEST VARS'!$O$66*($AP$104^2)+'LINEST VARS'!$N$66*($Z109^2)+'LINEST VARS'!$M$66*(4^2)+'LINEST VARS'!$L$66*(0.5^2)+'LINEST VARS'!$K$66*(12.73^2)+'LINEST VARS'!$J$66*($AP$104*$Z109)+'LINEST VARS'!$I$66*($AP$104*4)+'LINEST VARS'!$H$66*($AP$104*0.5)+'LINEST VARS'!$G$66*($AP$104*12.73)+'LINEST VARS'!$F$66*($Z109*4)+'LINEST VARS'!$E$66*($Z109*0.5)+'LINEST VARS'!$D$66*($Z109*12.73)+'LINEST VARS'!$C$66*(4*0.5)+'LINEST VARS'!$B$66*(4*12.73)+'LINEST VARS'!$A$66*(0.5*12.73)</f>
        <v>136.90000000000009</v>
      </c>
      <c r="AQ109" s="46">
        <f>'LINEST VARS'!$U$66+'LINEST VARS'!$T$66*($AQ$104)+'LINEST VARS'!$S$66*($Z109)+'LINEST VARS'!$R$66*(4)+'LINEST VARS'!$Q$66*(0.5)+'LINEST VARS'!$P$66*(12.73)+'LINEST VARS'!$O$66*($AQ$104^2)+'LINEST VARS'!$N$66*($Z109^2)+'LINEST VARS'!$M$66*(4^2)+'LINEST VARS'!$L$66*(0.5^2)+'LINEST VARS'!$K$66*(12.73^2)+'LINEST VARS'!$J$66*($AQ$104*$Z109)+'LINEST VARS'!$I$66*($AQ$104*4)+'LINEST VARS'!$H$66*($AQ$104*0.5)+'LINEST VARS'!$G$66*($AQ$104*12.73)+'LINEST VARS'!$F$66*($Z109*4)+'LINEST VARS'!$E$66*($Z109*0.5)+'LINEST VARS'!$D$66*($Z109*12.73)+'LINEST VARS'!$C$66*(4*0.5)+'LINEST VARS'!$B$66*(4*12.73)+'LINEST VARS'!$A$66*(0.5*12.73)</f>
        <v>137.0800000000001</v>
      </c>
      <c r="AR109" s="46">
        <f>'LINEST VARS'!$U$66+'LINEST VARS'!$T$66*($AR$104)+'LINEST VARS'!$S$66*($Z109)+'LINEST VARS'!$R$66*(4)+'LINEST VARS'!$Q$66*(0.5)+'LINEST VARS'!$P$66*(12.73)+'LINEST VARS'!$O$66*($AR$104^2)+'LINEST VARS'!$N$66*($Z109^2)+'LINEST VARS'!$M$66*(4^2)+'LINEST VARS'!$L$66*(0.5^2)+'LINEST VARS'!$K$66*(12.73^2)+'LINEST VARS'!$J$66*($AR$104*$Z109)+'LINEST VARS'!$I$66*($AR$104*4)+'LINEST VARS'!$H$66*($AR$104*0.5)+'LINEST VARS'!$G$66*($AR$104*12.73)+'LINEST VARS'!$F$66*($Z109*4)+'LINEST VARS'!$E$66*($Z109*0.5)+'LINEST VARS'!$D$66*($Z109*12.73)+'LINEST VARS'!$C$66*(4*0.5)+'LINEST VARS'!$B$66*(4*12.73)+'LINEST VARS'!$A$66*(0.5*12.73)</f>
        <v>137.2600000000001</v>
      </c>
      <c r="AS109" s="46">
        <f>'LINEST VARS'!$U$66+'LINEST VARS'!$T$66*($AS$104)+'LINEST VARS'!$S$66*($Z109)+'LINEST VARS'!$R$66*(4)+'LINEST VARS'!$Q$66*(0.5)+'LINEST VARS'!$P$66*(12.73)+'LINEST VARS'!$O$66*($AS$104^2)+'LINEST VARS'!$N$66*($Z109^2)+'LINEST VARS'!$M$66*(4^2)+'LINEST VARS'!$L$66*(0.5^2)+'LINEST VARS'!$K$66*(12.73^2)+'LINEST VARS'!$J$66*($AS$104*$Z109)+'LINEST VARS'!$I$66*($AS$104*4)+'LINEST VARS'!$H$66*($AS$104*0.5)+'LINEST VARS'!$G$66*($AS$104*12.73)+'LINEST VARS'!$F$66*($Z109*4)+'LINEST VARS'!$E$66*($Z109*0.5)+'LINEST VARS'!$D$66*($Z109*12.73)+'LINEST VARS'!$C$66*(4*0.5)+'LINEST VARS'!$B$66*(4*12.73)+'LINEST VARS'!$A$66*(0.5*12.73)</f>
        <v>137.44000000000008</v>
      </c>
      <c r="AT109" s="46">
        <f>'LINEST VARS'!$U$66+'LINEST VARS'!$T$66*($AT$104)+'LINEST VARS'!$S$66*($Z109)+'LINEST VARS'!$R$66*(4)+'LINEST VARS'!$Q$66*(0.5)+'LINEST VARS'!$P$66*(12.73)+'LINEST VARS'!$O$66*($AT$104^2)+'LINEST VARS'!$N$66*($Z109^2)+'LINEST VARS'!$M$66*(4^2)+'LINEST VARS'!$L$66*(0.5^2)+'LINEST VARS'!$K$66*(12.73^2)+'LINEST VARS'!$J$66*($AT$104*$Z109)+'LINEST VARS'!$I$66*($AT$104*4)+'LINEST VARS'!$H$66*($AT$104*0.5)+'LINEST VARS'!$G$66*($AT$104*12.73)+'LINEST VARS'!$F$66*($Z109*4)+'LINEST VARS'!$E$66*($Z109*0.5)+'LINEST VARS'!$D$66*($Z109*12.73)+'LINEST VARS'!$C$66*(4*0.5)+'LINEST VARS'!$B$66*(4*12.73)+'LINEST VARS'!$A$66*(0.5*12.73)</f>
        <v>137.62000000000009</v>
      </c>
      <c r="AU109" s="47">
        <f>'LINEST VARS'!$U$66+'LINEST VARS'!$T$66*($AU$104)+'LINEST VARS'!$S$66*($Z109)+'LINEST VARS'!$R$66*(4)+'LINEST VARS'!$Q$66*(0.5)+'LINEST VARS'!$P$66*(12.73)+'LINEST VARS'!$O$66*($AU$104^2)+'LINEST VARS'!$N$66*($Z109^2)+'LINEST VARS'!$M$66*(4^2)+'LINEST VARS'!$L$66*(0.5^2)+'LINEST VARS'!$K$66*(12.73^2)+'LINEST VARS'!$J$66*($AU$104*$Z109)+'LINEST VARS'!$I$66*($AU$104*4)+'LINEST VARS'!$H$66*($AU$104*0.5)+'LINEST VARS'!$G$66*($AU$104*12.73)+'LINEST VARS'!$F$66*($Z109*4)+'LINEST VARS'!$E$66*($Z109*0.5)+'LINEST VARS'!$D$66*($Z109*12.73)+'LINEST VARS'!$C$66*(4*0.5)+'LINEST VARS'!$B$66*(4*12.73)+'LINEST VARS'!$A$66*(0.5*12.73)</f>
        <v>137.8000000000001</v>
      </c>
      <c r="AZ109" s="45">
        <v>0.2</v>
      </c>
      <c r="BA109" s="55">
        <f>'LINEST VARS'!$U$64+'LINEST VARS'!$T$64*(8)+'LINEST VARS'!$S$64*(8)+'LINEST VARS'!$R$64*($BA$104)+'LINEST VARS'!$Q$64*($AZ109)+'LINEST VARS'!$P$64*(12.73)+'LINEST VARS'!$O$64*(8^2)+'LINEST VARS'!$N$64*(8^2)+'LINEST VARS'!$M$64*($BA$104^2)+'LINEST VARS'!$L$64*($AZ109^2)+'LINEST VARS'!$K$64*(12.73^2)+'LINEST VARS'!$J$64*(8*8)+'LINEST VARS'!$I$64*(8*$BA$104)+'LINEST VARS'!$H$64*(8*$AZ109)+'LINEST VARS'!$G$64*(8*12.73)+'LINEST VARS'!$F$64*(8*$BA$104)+'LINEST VARS'!$E$64*(8*$AZ109)+'LINEST VARS'!$D$64*(8*12.73)+'LINEST VARS'!$C$64*($BA$104*$AZ109)+'LINEST VARS'!$B$64*($BA$104*12.73)+'LINEST VARS'!$A$64*($AZ109*12.73)</f>
        <v>148.18999999999988</v>
      </c>
      <c r="BB109" s="55">
        <f>'LINEST VARS'!$U$64+'LINEST VARS'!$T$64*(8)+'LINEST VARS'!$S$64*(8)+'LINEST VARS'!$R$64*($BB$104)+'LINEST VARS'!$Q$64*($AZ109)+'LINEST VARS'!$P$64*(12.73)+'LINEST VARS'!$O$64*(8^2)+'LINEST VARS'!$N$64*(8^2)+'LINEST VARS'!$M$64*($BB$104^2)+'LINEST VARS'!$L$64*($AZ109^2)+'LINEST VARS'!$K$64*(12.73^2)+'LINEST VARS'!$J$64*(8*8)+'LINEST VARS'!$I$64*(8*$BB$104)+'LINEST VARS'!$H$64*(8*$AZ109)+'LINEST VARS'!$G$64*(8*12.73)+'LINEST VARS'!$F$64*(8*$BB$104)+'LINEST VARS'!$E$64*(8*$AZ109)+'LINEST VARS'!$D$64*(8*12.73)+'LINEST VARS'!$C$64*($BB$104*$AZ109)+'LINEST VARS'!$B$64*($BB$104*12.73)+'LINEST VARS'!$A$64*($AZ109*12.73)</f>
        <v>149.78999999999991</v>
      </c>
      <c r="BC109" s="55">
        <f>'LINEST VARS'!$U$64+'LINEST VARS'!$T$64*(8)+'LINEST VARS'!$S$64*(8)+'LINEST VARS'!$R$64*($BC$104)+'LINEST VARS'!$Q$64*($AZ109)+'LINEST VARS'!$P$64*(12.73)+'LINEST VARS'!$O$64*(8^2)+'LINEST VARS'!$N$64*(8^2)+'LINEST VARS'!$M$64*($BC$104^2)+'LINEST VARS'!$L$64*($AZ109^2)+'LINEST VARS'!$K$64*(12.73^2)+'LINEST VARS'!$J$64*(8*8)+'LINEST VARS'!$I$64*(8*$BC$104)+'LINEST VARS'!$H$64*(8*$AZ109)+'LINEST VARS'!$G$64*(8*12.73)+'LINEST VARS'!$F$64*(8*$BC$104)+'LINEST VARS'!$E$64*(8*$AZ109)+'LINEST VARS'!$D$64*(8*12.73)+'LINEST VARS'!$C$64*($BC$104*$AZ109)+'LINEST VARS'!$B$64*($BC$104*12.73)+'LINEST VARS'!$A$64*($AZ109*12.73)</f>
        <v>151.3899999999999</v>
      </c>
      <c r="BD109" s="55">
        <f>'LINEST VARS'!$U$64+'LINEST VARS'!$T$64*(8)+'LINEST VARS'!$S$64*(8)+'LINEST VARS'!$R$64*($BD$104)+'LINEST VARS'!$Q$64*($AZ109)+'LINEST VARS'!$P$64*(12.73)+'LINEST VARS'!$O$64*(8^2)+'LINEST VARS'!$N$64*(8^2)+'LINEST VARS'!$M$64*($BD$104^2)+'LINEST VARS'!$L$64*($AZ109^2)+'LINEST VARS'!$K$64*(12.73^2)+'LINEST VARS'!$J$64*(8*8)+'LINEST VARS'!$I$64*(8*$BD$104)+'LINEST VARS'!$H$64*(8*$AZ109)+'LINEST VARS'!$G$64*(8*12.73)+'LINEST VARS'!$F$64*(8*$BD$104)+'LINEST VARS'!$E$64*(8*$AZ109)+'LINEST VARS'!$D$64*(8*12.73)+'LINEST VARS'!$C$64*($BD$104*$AZ109)+'LINEST VARS'!$B$64*($BD$104*12.73)+'LINEST VARS'!$A$64*($AZ109*12.73)</f>
        <v>152.9899999999999</v>
      </c>
      <c r="BE109" s="55">
        <f>'LINEST VARS'!$U$64+'LINEST VARS'!$T$64*(8)+'LINEST VARS'!$S$64*(8)+'LINEST VARS'!$R$64*($BE$104)+'LINEST VARS'!$Q$64*($AZ109)+'LINEST VARS'!$P$64*(12.73)+'LINEST VARS'!$O$64*(8^2)+'LINEST VARS'!$N$64*(8^2)+'LINEST VARS'!$M$64*($BE$104^2)+'LINEST VARS'!$L$64*($AZ109^2)+'LINEST VARS'!$K$64*(12.73^2)+'LINEST VARS'!$J$64*(8*8)+'LINEST VARS'!$I$64*(8*$BE$104)+'LINEST VARS'!$H$64*(8*$AZ109)+'LINEST VARS'!$G$64*(8*12.73)+'LINEST VARS'!$F$64*(8*$BE$104)+'LINEST VARS'!$E$64*(8*$AZ109)+'LINEST VARS'!$D$64*(8*12.73)+'LINEST VARS'!$C$64*($BE$104*$AZ109)+'LINEST VARS'!$B$64*($BE$104*12.73)+'LINEST VARS'!$A$64*($AZ109*12.73)</f>
        <v>154.58999999999992</v>
      </c>
      <c r="BF109" s="55">
        <f>'LINEST VARS'!$U$64+'LINEST VARS'!$T$64*(8)+'LINEST VARS'!$S$64*(8)+'LINEST VARS'!$R$64*($BF$104)+'LINEST VARS'!$Q$64*($AZ109)+'LINEST VARS'!$P$64*(12.73)+'LINEST VARS'!$O$64*(8^2)+'LINEST VARS'!$N$64*(8^2)+'LINEST VARS'!$M$64*($BF$104^2)+'LINEST VARS'!$L$64*($AZ109^2)+'LINEST VARS'!$K$64*(12.73^2)+'LINEST VARS'!$J$64*(8*8)+'LINEST VARS'!$I$64*(8*$BF$104)+'LINEST VARS'!$H$64*(8*$AZ109)+'LINEST VARS'!$G$64*(8*12.73)+'LINEST VARS'!$F$64*(8*$BF$104)+'LINEST VARS'!$E$64*(8*$AZ109)+'LINEST VARS'!$D$64*(8*12.73)+'LINEST VARS'!$C$64*($BF$104*$AZ109)+'LINEST VARS'!$B$64*($BF$104*12.73)+'LINEST VARS'!$A$64*($AZ109*12.73)</f>
        <v>156.18999999999988</v>
      </c>
      <c r="BG109" s="55">
        <f>'LINEST VARS'!$U$64+'LINEST VARS'!$T$64*(8)+'LINEST VARS'!$S$64*(8)+'LINEST VARS'!$R$64*($BG$104)+'LINEST VARS'!$Q$64*($AZ109)+'LINEST VARS'!$P$64*(12.73)+'LINEST VARS'!$O$64*(8^2)+'LINEST VARS'!$N$64*(8^2)+'LINEST VARS'!$M$64*($BG$104^2)+'LINEST VARS'!$L$64*($AZ109^2)+'LINEST VARS'!$K$64*(12.73^2)+'LINEST VARS'!$J$64*(8*8)+'LINEST VARS'!$I$64*(8*$BG$104)+'LINEST VARS'!$H$64*(8*$AZ109)+'LINEST VARS'!$G$64*(8*12.73)+'LINEST VARS'!$F$64*(8*$BG$104)+'LINEST VARS'!$E$64*(8*$AZ109)+'LINEST VARS'!$D$64*(8*12.73)+'LINEST VARS'!$C$64*($BG$104*$AZ109)+'LINEST VARS'!$B$64*($BG$104*12.73)+'LINEST VARS'!$A$64*($AZ109*12.73)</f>
        <v>157.78999999999991</v>
      </c>
      <c r="BH109" s="55">
        <f>'LINEST VARS'!$U$64+'LINEST VARS'!$T$64*(8)+'LINEST VARS'!$S$64*(8)+'LINEST VARS'!$R$64*($BH$104)+'LINEST VARS'!$Q$64*($AZ109)+'LINEST VARS'!$P$64*(12.73)+'LINEST VARS'!$O$64*(8^2)+'LINEST VARS'!$N$64*(8^2)+'LINEST VARS'!$M$64*($BH$104^2)+'LINEST VARS'!$L$64*($AZ109^2)+'LINEST VARS'!$K$64*(12.73^2)+'LINEST VARS'!$J$64*(8*8)+'LINEST VARS'!$I$64*(8*$BH$104)+'LINEST VARS'!$H$64*(8*$AZ109)+'LINEST VARS'!$G$64*(8*12.73)+'LINEST VARS'!$F$64*(8*$BH$104)+'LINEST VARS'!$E$64*(8*$AZ109)+'LINEST VARS'!$D$64*(8*12.73)+'LINEST VARS'!$C$64*($BH$104*$AZ109)+'LINEST VARS'!$B$64*($BH$104*12.73)+'LINEST VARS'!$A$64*($AZ109*12.73)</f>
        <v>159.3899999999999</v>
      </c>
      <c r="BI109" s="55">
        <f>'LINEST VARS'!$U$64+'LINEST VARS'!$T$64*(8)+'LINEST VARS'!$S$64*(8)+'LINEST VARS'!$R$64*($BI$104)+'LINEST VARS'!$Q$64*($AZ109)+'LINEST VARS'!$P$64*(12.73)+'LINEST VARS'!$O$64*(8^2)+'LINEST VARS'!$N$64*(8^2)+'LINEST VARS'!$M$64*($BI$104^2)+'LINEST VARS'!$L$64*($AZ109^2)+'LINEST VARS'!$K$64*(12.73^2)+'LINEST VARS'!$J$64*(8*8)+'LINEST VARS'!$I$64*(8*$BI$104)+'LINEST VARS'!$H$64*(8*$AZ109)+'LINEST VARS'!$G$64*(8*12.73)+'LINEST VARS'!$F$64*(8*$BI$104)+'LINEST VARS'!$E$64*(8*$AZ109)+'LINEST VARS'!$D$64*(8*12.73)+'LINEST VARS'!$C$64*($BI$104*$AZ109)+'LINEST VARS'!$B$64*($BI$104*12.73)+'LINEST VARS'!$A$64*($AZ109*12.73)</f>
        <v>160.9899999999999</v>
      </c>
      <c r="BJ109" s="55">
        <f>'LINEST VARS'!$U$64+'LINEST VARS'!$T$64*(8)+'LINEST VARS'!$S$64*(8)+'LINEST VARS'!$R$64*($BJ$104)+'LINEST VARS'!$Q$64*($AZ109)+'LINEST VARS'!$P$64*(12.73)+'LINEST VARS'!$O$64*(8^2)+'LINEST VARS'!$N$64*(8^2)+'LINEST VARS'!$M$64*($BJ$104^2)+'LINEST VARS'!$L$64*($AZ109^2)+'LINEST VARS'!$K$64*(12.73^2)+'LINEST VARS'!$J$64*(8*8)+'LINEST VARS'!$I$64*(8*$BJ$104)+'LINEST VARS'!$H$64*(8*$AZ109)+'LINEST VARS'!$G$64*(8*12.73)+'LINEST VARS'!$F$64*(8*$BJ$104)+'LINEST VARS'!$E$64*(8*$AZ109)+'LINEST VARS'!$D$64*(8*12.73)+'LINEST VARS'!$C$64*($BJ$104*$AZ109)+'LINEST VARS'!$B$64*($BJ$104*12.73)+'LINEST VARS'!$A$64*($AZ109*12.73)</f>
        <v>162.58999999999992</v>
      </c>
      <c r="BK109" s="55">
        <f>'LINEST VARS'!$U$64+'LINEST VARS'!$T$64*(8)+'LINEST VARS'!$S$64*(8)+'LINEST VARS'!$R$64*($BK$104)+'LINEST VARS'!$Q$64*($AZ109)+'LINEST VARS'!$P$64*(12.73)+'LINEST VARS'!$O$64*(8^2)+'LINEST VARS'!$N$64*(8^2)+'LINEST VARS'!$M$64*($BK$104^2)+'LINEST VARS'!$L$64*($AZ109^2)+'LINEST VARS'!$K$64*(12.73^2)+'LINEST VARS'!$J$64*(8*8)+'LINEST VARS'!$I$64*(8*$BK$104)+'LINEST VARS'!$H$64*(8*$AZ109)+'LINEST VARS'!$G$64*(8*12.73)+'LINEST VARS'!$F$64*(8*$BK$104)+'LINEST VARS'!$E$64*(8*$AZ109)+'LINEST VARS'!$D$64*(8*12.73)+'LINEST VARS'!$C$64*($BK$104*$AZ109)+'LINEST VARS'!$B$64*($BK$104*12.73)+'LINEST VARS'!$A$64*($AZ109*12.73)</f>
        <v>164.18999999999988</v>
      </c>
      <c r="BL109" s="55">
        <f>'LINEST VARS'!$U$64+'LINEST VARS'!$T$64*(8)+'LINEST VARS'!$S$64*(8)+'LINEST VARS'!$R$64*($BL$104)+'LINEST VARS'!$Q$64*($AZ109)+'LINEST VARS'!$P$64*(12.73)+'LINEST VARS'!$O$64*(8^2)+'LINEST VARS'!$N$64*(8^2)+'LINEST VARS'!$M$64*($BL$104^2)+'LINEST VARS'!$L$64*($AZ109^2)+'LINEST VARS'!$K$64*(12.73^2)+'LINEST VARS'!$J$64*(8*8)+'LINEST VARS'!$I$64*(8*$BL$104)+'LINEST VARS'!$H$64*(8*$AZ109)+'LINEST VARS'!$G$64*(8*12.73)+'LINEST VARS'!$F$64*(8*$BL$104)+'LINEST VARS'!$E$64*(8*$AZ109)+'LINEST VARS'!$D$64*(8*12.73)+'LINEST VARS'!$C$64*($BL$104*$AZ109)+'LINEST VARS'!$B$64*($BL$104*12.73)+'LINEST VARS'!$A$64*($AZ109*12.73)</f>
        <v>165.78999999999991</v>
      </c>
      <c r="BM109" s="55">
        <f>'LINEST VARS'!$U$64+'LINEST VARS'!$T$64*(8)+'LINEST VARS'!$S$64*(8)+'LINEST VARS'!$R$64*($BM$104)+'LINEST VARS'!$Q$64*($AZ109)+'LINEST VARS'!$P$64*(12.73)+'LINEST VARS'!$O$64*(8^2)+'LINEST VARS'!$N$64*(8^2)+'LINEST VARS'!$M$64*($BM$104^2)+'LINEST VARS'!$L$64*($AZ109^2)+'LINEST VARS'!$K$64*(12.73^2)+'LINEST VARS'!$J$64*(8*8)+'LINEST VARS'!$I$64*(8*$BM$104)+'LINEST VARS'!$H$64*(8*$AZ109)+'LINEST VARS'!$G$64*(8*12.73)+'LINEST VARS'!$F$64*(8*$BM$104)+'LINEST VARS'!$E$64*(8*$AZ109)+'LINEST VARS'!$D$64*(8*12.73)+'LINEST VARS'!$C$64*($BM$104*$AZ109)+'LINEST VARS'!$B$64*($BM$104*12.73)+'LINEST VARS'!$A$64*($AZ109*12.73)</f>
        <v>167.38999999999987</v>
      </c>
      <c r="BN109" s="55">
        <f>'LINEST VARS'!$U$64+'LINEST VARS'!$T$64*(8)+'LINEST VARS'!$S$64*(8)+'LINEST VARS'!$R$64*($BN$104)+'LINEST VARS'!$Q$64*($AZ109)+'LINEST VARS'!$P$64*(12.73)+'LINEST VARS'!$O$64*(8^2)+'LINEST VARS'!$N$64*(8^2)+'LINEST VARS'!$M$64*($BN$104^2)+'LINEST VARS'!$L$64*($AZ109^2)+'LINEST VARS'!$K$64*(12.73^2)+'LINEST VARS'!$J$64*(8*8)+'LINEST VARS'!$I$64*(8*$BN$104)+'LINEST VARS'!$H$64*(8*$AZ109)+'LINEST VARS'!$G$64*(8*12.73)+'LINEST VARS'!$F$64*(8*$BN$104)+'LINEST VARS'!$E$64*(8*$AZ109)+'LINEST VARS'!$D$64*(8*12.73)+'LINEST VARS'!$C$64*($BN$104*$AZ109)+'LINEST VARS'!$B$64*($BN$104*12.73)+'LINEST VARS'!$A$64*($AZ109*12.73)</f>
        <v>168.9899999999999</v>
      </c>
      <c r="BO109" s="55">
        <f>'LINEST VARS'!$U$64+'LINEST VARS'!$T$64*(8)+'LINEST VARS'!$S$64*(8)+'LINEST VARS'!$R$64*($BO$104)+'LINEST VARS'!$Q$64*($AZ109)+'LINEST VARS'!$P$64*(12.73)+'LINEST VARS'!$O$64*(8^2)+'LINEST VARS'!$N$64*(8^2)+'LINEST VARS'!$M$64*($BO$104^2)+'LINEST VARS'!$L$64*($AZ109^2)+'LINEST VARS'!$K$64*(12.73^2)+'LINEST VARS'!$J$64*(8*8)+'LINEST VARS'!$I$64*(8*$BO$104)+'LINEST VARS'!$H$64*(8*$AZ109)+'LINEST VARS'!$G$64*(8*12.73)+'LINEST VARS'!$F$64*(8*$BO$104)+'LINEST VARS'!$E$64*(8*$AZ109)+'LINEST VARS'!$D$64*(8*12.73)+'LINEST VARS'!$C$64*($BO$104*$AZ109)+'LINEST VARS'!$B$64*($BO$104*12.73)+'LINEST VARS'!$A$64*($AZ109*12.73)</f>
        <v>170.58999999999989</v>
      </c>
      <c r="BP109" s="55">
        <f>'LINEST VARS'!$U$64+'LINEST VARS'!$T$64*(8)+'LINEST VARS'!$S$64*(8)+'LINEST VARS'!$R$64*($BP$104)+'LINEST VARS'!$Q$64*($AZ109)+'LINEST VARS'!$P$64*(12.73)+'LINEST VARS'!$O$64*(8^2)+'LINEST VARS'!$N$64*(8^2)+'LINEST VARS'!$M$64*($BP$104^2)+'LINEST VARS'!$L$64*($AZ109^2)+'LINEST VARS'!$K$64*(12.73^2)+'LINEST VARS'!$J$64*(8*8)+'LINEST VARS'!$I$64*(8*$BP$104)+'LINEST VARS'!$H$64*(8*$AZ109)+'LINEST VARS'!$G$64*(8*12.73)+'LINEST VARS'!$F$64*(8*$BP$104)+'LINEST VARS'!$E$64*(8*$AZ109)+'LINEST VARS'!$D$64*(8*12.73)+'LINEST VARS'!$C$64*($BP$104*$AZ109)+'LINEST VARS'!$B$64*($BP$104*12.73)+'LINEST VARS'!$A$64*($AZ109*12.73)</f>
        <v>172.18999999999986</v>
      </c>
      <c r="BQ109" s="55">
        <f>'LINEST VARS'!$U$64+'LINEST VARS'!$T$64*(8)+'LINEST VARS'!$S$64*(8)+'LINEST VARS'!$R$64*($BQ$104)+'LINEST VARS'!$Q$64*($AZ109)+'LINEST VARS'!$P$64*(12.73)+'LINEST VARS'!$O$64*(8^2)+'LINEST VARS'!$N$64*(8^2)+'LINEST VARS'!$M$64*($BQ$104^2)+'LINEST VARS'!$L$64*($AZ109^2)+'LINEST VARS'!$K$64*(12.73^2)+'LINEST VARS'!$J$64*(8*8)+'LINEST VARS'!$I$64*(8*$BQ$104)+'LINEST VARS'!$H$64*(8*$AZ109)+'LINEST VARS'!$G$64*(8*12.73)+'LINEST VARS'!$F$64*(8*$BQ$104)+'LINEST VARS'!$E$64*(8*$AZ109)+'LINEST VARS'!$D$64*(8*12.73)+'LINEST VARS'!$C$64*($BQ$104*$AZ109)+'LINEST VARS'!$B$64*($BQ$104*12.73)+'LINEST VARS'!$A$64*($AZ109*12.73)</f>
        <v>173.78999999999988</v>
      </c>
      <c r="BR109" s="55">
        <f>'LINEST VARS'!$U$64+'LINEST VARS'!$T$64*(8)+'LINEST VARS'!$S$64*(8)+'LINEST VARS'!$R$64*($BR$104)+'LINEST VARS'!$Q$64*($AZ109)+'LINEST VARS'!$P$64*(12.73)+'LINEST VARS'!$O$64*(8^2)+'LINEST VARS'!$N$64*(8^2)+'LINEST VARS'!$M$64*($BR$104^2)+'LINEST VARS'!$L$64*($AZ109^2)+'LINEST VARS'!$K$64*(12.73^2)+'LINEST VARS'!$J$64*(8*8)+'LINEST VARS'!$I$64*(8*$BR$104)+'LINEST VARS'!$H$64*(8*$AZ109)+'LINEST VARS'!$G$64*(8*12.73)+'LINEST VARS'!$F$64*(8*$BR$104)+'LINEST VARS'!$E$64*(8*$AZ109)+'LINEST VARS'!$D$64*(8*12.73)+'LINEST VARS'!$C$64*($BR$104*$AZ109)+'LINEST VARS'!$B$64*($BR$104*12.73)+'LINEST VARS'!$A$64*($AZ109*12.73)</f>
        <v>175.3899999999999</v>
      </c>
      <c r="BS109" s="55">
        <f>'LINEST VARS'!$U$64+'LINEST VARS'!$T$64*(8)+'LINEST VARS'!$S$64*(8)+'LINEST VARS'!$R$64*($BS$104)+'LINEST VARS'!$Q$64*($AZ109)+'LINEST VARS'!$P$64*(12.73)+'LINEST VARS'!$O$64*(8^2)+'LINEST VARS'!$N$64*(8^2)+'LINEST VARS'!$M$64*($BS$104^2)+'LINEST VARS'!$L$64*($AZ109^2)+'LINEST VARS'!$K$64*(12.73^2)+'LINEST VARS'!$J$64*(8*8)+'LINEST VARS'!$I$64*(8*$BS$104)+'LINEST VARS'!$H$64*(8*$AZ109)+'LINEST VARS'!$G$64*(8*12.73)+'LINEST VARS'!$F$64*(8*$BS$104)+'LINEST VARS'!$E$64*(8*$AZ109)+'LINEST VARS'!$D$64*(8*12.73)+'LINEST VARS'!$C$64*($BS$104*$AZ109)+'LINEST VARS'!$B$64*($BS$104*12.73)+'LINEST VARS'!$A$64*($AZ109*12.73)</f>
        <v>176.98999999999987</v>
      </c>
      <c r="BT109" s="55">
        <f>'LINEST VARS'!$U$64+'LINEST VARS'!$T$64*(8)+'LINEST VARS'!$S$64*(8)+'LINEST VARS'!$R$64*($BT$104)+'LINEST VARS'!$Q$64*($AZ109)+'LINEST VARS'!$P$64*(12.73)+'LINEST VARS'!$O$64*(8^2)+'LINEST VARS'!$N$64*(8^2)+'LINEST VARS'!$M$64*($BT$104^2)+'LINEST VARS'!$L$64*($AZ109^2)+'LINEST VARS'!$K$64*(12.73^2)+'LINEST VARS'!$J$64*(8*8)+'LINEST VARS'!$I$64*(8*$BT$104)+'LINEST VARS'!$H$64*(8*$AZ109)+'LINEST VARS'!$G$64*(8*12.73)+'LINEST VARS'!$F$64*(8*$BT$104)+'LINEST VARS'!$E$64*(8*$AZ109)+'LINEST VARS'!$D$64*(8*12.73)+'LINEST VARS'!$C$64*($BT$104*$AZ109)+'LINEST VARS'!$B$64*($BT$104*12.73)+'LINEST VARS'!$A$64*($AZ109*12.73)</f>
        <v>178.58999999999989</v>
      </c>
      <c r="BU109" s="56">
        <f>'LINEST VARS'!$U$64+'LINEST VARS'!$T$64*(8)+'LINEST VARS'!$S$64*(8)+'LINEST VARS'!$R$64*($BU$104)+'LINEST VARS'!$Q$64*($AZ109)+'LINEST VARS'!$P$64*(12.73)+'LINEST VARS'!$O$64*(8^2)+'LINEST VARS'!$N$64*(8^2)+'LINEST VARS'!$M$64*($BU$104^2)+'LINEST VARS'!$L$64*($AZ109^2)+'LINEST VARS'!$K$64*(12.73^2)+'LINEST VARS'!$J$64*(8*8)+'LINEST VARS'!$I$64*(8*$BU$104)+'LINEST VARS'!$H$64*(8*$AZ109)+'LINEST VARS'!$G$64*(8*12.73)+'LINEST VARS'!$F$64*(8*$BU$104)+'LINEST VARS'!$E$64*(8*$AZ109)+'LINEST VARS'!$D$64*(8*12.73)+'LINEST VARS'!$C$64*($BU$104*$AZ109)+'LINEST VARS'!$B$64*($BU$104*12.73)+'LINEST VARS'!$A$64*($AZ109*12.73)</f>
        <v>180.18999999999986</v>
      </c>
      <c r="BX109" s="45">
        <v>0.2</v>
      </c>
      <c r="BY109" s="46">
        <f>'LINEST VARS'!$U$66+'LINEST VARS'!$T$66*(8)+'LINEST VARS'!$S$66*(8)+'LINEST VARS'!$R$66*($BY$104)+'LINEST VARS'!$Q$66*($BX109)+'LINEST VARS'!$P$66*(12.73)+'LINEST VARS'!$O$66*(8^2)+'LINEST VARS'!$N$66*(8^2)+'LINEST VARS'!$M$66*($BY$104^2)+'LINEST VARS'!$L$66*($BX109^2)+'LINEST VARS'!$K$66*(12.73^2)+'LINEST VARS'!$J$66*(8*8)+'LINEST VARS'!$I$66*(8*$BY$104)+'LINEST VARS'!$H$66*(8*$BX109)+'LINEST VARS'!$G$66*(8*12.73)+'LINEST VARS'!$F$66*(8*$BY$104)+'LINEST VARS'!$E$66*(8*$BX109)+'LINEST VARS'!$D$66*(8*12.73)+'LINEST VARS'!$C$66*($BY$104*$BX109)+'LINEST VARS'!$B$66*($BY$104*12.73)+'LINEST VARS'!$A$66*($BX109*12.73)</f>
        <v>144.00000000000006</v>
      </c>
      <c r="BZ109" s="46">
        <f>'LINEST VARS'!$U$66+'LINEST VARS'!$T$66*(8)+'LINEST VARS'!$S$66*(8)+'LINEST VARS'!$R$66*($BZ$104)+'LINEST VARS'!$Q$66*($BX109)+'LINEST VARS'!$P$66*(12.73)+'LINEST VARS'!$O$66*(8^2)+'LINEST VARS'!$N$66*(8^2)+'LINEST VARS'!$M$66*($BZ$104^2)+'LINEST VARS'!$L$66*($BX109^2)+'LINEST VARS'!$K$66*(12.73^2)+'LINEST VARS'!$J$66*(8*8)+'LINEST VARS'!$I$66*(8*$BZ$104)+'LINEST VARS'!$H$66*(8*$BX109)+'LINEST VARS'!$G$66*(8*12.73)+'LINEST VARS'!$F$66*(8*$BZ$104)+'LINEST VARS'!$E$66*(8*$BX109)+'LINEST VARS'!$D$66*(8*12.73)+'LINEST VARS'!$C$66*($BZ$104*$BX109)+'LINEST VARS'!$B$66*($BZ$104*12.73)+'LINEST VARS'!$A$66*($BX109*12.73)</f>
        <v>143.20000000000007</v>
      </c>
      <c r="CA109" s="46">
        <f>'LINEST VARS'!$U$66+'LINEST VARS'!$T$66*(8)+'LINEST VARS'!$S$66*(8)+'LINEST VARS'!$R$66*($CA$104)+'LINEST VARS'!$Q$66*($BX109)+'LINEST VARS'!$P$66*(12.73)+'LINEST VARS'!$O$66*(8^2)+'LINEST VARS'!$N$66*(8^2)+'LINEST VARS'!$M$66*($CA$104^2)+'LINEST VARS'!$L$66*($BX109^2)+'LINEST VARS'!$K$66*(12.73^2)+'LINEST VARS'!$J$66*(8*8)+'LINEST VARS'!$I$66*(8*$CA$104)+'LINEST VARS'!$H$66*(8*$BX109)+'LINEST VARS'!$G$66*(8*12.73)+'LINEST VARS'!$F$66*(8*$CA$104)+'LINEST VARS'!$E$66*(8*$BX109)+'LINEST VARS'!$D$66*(8*12.73)+'LINEST VARS'!$C$66*($CA$104*$BX109)+'LINEST VARS'!$B$66*($CA$104*12.73)+'LINEST VARS'!$A$66*($BX109*12.73)</f>
        <v>142.40000000000006</v>
      </c>
      <c r="CB109" s="46">
        <f>'LINEST VARS'!$U$66+'LINEST VARS'!$T$66*(8)+'LINEST VARS'!$S$66*(8)+'LINEST VARS'!$R$66*($CB$104)+'LINEST VARS'!$Q$66*($BX109)+'LINEST VARS'!$P$66*(12.73)+'LINEST VARS'!$O$66*(8^2)+'LINEST VARS'!$N$66*(8^2)+'LINEST VARS'!$M$66*($CB$104^2)+'LINEST VARS'!$L$66*($BX109^2)+'LINEST VARS'!$K$66*(12.73^2)+'LINEST VARS'!$J$66*(8*8)+'LINEST VARS'!$I$66*(8*$CB$104)+'LINEST VARS'!$H$66*(8*$BX109)+'LINEST VARS'!$G$66*(8*12.73)+'LINEST VARS'!$F$66*(8*$CB$104)+'LINEST VARS'!$E$66*(8*$BX109)+'LINEST VARS'!$D$66*(8*12.73)+'LINEST VARS'!$C$66*($CB$104*$BX109)+'LINEST VARS'!$B$66*($CB$104*12.73)+'LINEST VARS'!$A$66*($BX109*12.73)</f>
        <v>141.60000000000008</v>
      </c>
      <c r="CC109" s="46">
        <f>'LINEST VARS'!$U$66+'LINEST VARS'!$T$66*(8)+'LINEST VARS'!$S$66*(8)+'LINEST VARS'!$R$66*($CC$104)+'LINEST VARS'!$Q$66*($BX109)+'LINEST VARS'!$P$66*(12.73)+'LINEST VARS'!$O$66*(8^2)+'LINEST VARS'!$N$66*(8^2)+'LINEST VARS'!$M$66*($CC$104^2)+'LINEST VARS'!$L$66*($BX109^2)+'LINEST VARS'!$K$66*(12.73^2)+'LINEST VARS'!$J$66*(8*8)+'LINEST VARS'!$I$66*(8*$CC$104)+'LINEST VARS'!$H$66*(8*$BX109)+'LINEST VARS'!$G$66*(8*12.73)+'LINEST VARS'!$F$66*(8*$CC$104)+'LINEST VARS'!$E$66*(8*$BX109)+'LINEST VARS'!$D$66*(8*12.73)+'LINEST VARS'!$C$66*($CC$104*$BX109)+'LINEST VARS'!$B$66*($CC$104*12.73)+'LINEST VARS'!$A$66*($BX109*12.73)</f>
        <v>140.80000000000007</v>
      </c>
      <c r="CD109" s="46">
        <f>'LINEST VARS'!$U$66+'LINEST VARS'!$T$66*(8)+'LINEST VARS'!$S$66*(8)+'LINEST VARS'!$R$66*($CD$104)+'LINEST VARS'!$Q$66*($BX109)+'LINEST VARS'!$P$66*(12.73)+'LINEST VARS'!$O$66*(8^2)+'LINEST VARS'!$N$66*(8^2)+'LINEST VARS'!$M$66*($CD$104^2)+'LINEST VARS'!$L$66*($BX109^2)+'LINEST VARS'!$K$66*(12.73^2)+'LINEST VARS'!$J$66*(8*8)+'LINEST VARS'!$I$66*(8*$CD$104)+'LINEST VARS'!$H$66*(8*$BX109)+'LINEST VARS'!$G$66*(8*12.73)+'LINEST VARS'!$F$66*(8*$CD$104)+'LINEST VARS'!$E$66*(8*$BX109)+'LINEST VARS'!$D$66*(8*12.73)+'LINEST VARS'!$C$66*($CD$104*$BX109)+'LINEST VARS'!$B$66*($CD$104*12.73)+'LINEST VARS'!$A$66*($BX109*12.73)</f>
        <v>140.00000000000009</v>
      </c>
      <c r="CE109" s="46">
        <f>'LINEST VARS'!$U$66+'LINEST VARS'!$T$66*(8)+'LINEST VARS'!$S$66*(8)+'LINEST VARS'!$R$66*($CE$104)+'LINEST VARS'!$Q$66*($BX109)+'LINEST VARS'!$P$66*(12.73)+'LINEST VARS'!$O$66*(8^2)+'LINEST VARS'!$N$66*(8^2)+'LINEST VARS'!$M$66*($CE$104^2)+'LINEST VARS'!$L$66*($BX109^2)+'LINEST VARS'!$K$66*(12.73^2)+'LINEST VARS'!$J$66*(8*8)+'LINEST VARS'!$I$66*(8*$CE$104)+'LINEST VARS'!$H$66*(8*$BX109)+'LINEST VARS'!$G$66*(8*12.73)+'LINEST VARS'!$F$66*(8*$CE$104)+'LINEST VARS'!$E$66*(8*$BX109)+'LINEST VARS'!$D$66*(8*12.73)+'LINEST VARS'!$C$66*($CE$104*$BX109)+'LINEST VARS'!$B$66*($CE$104*12.73)+'LINEST VARS'!$A$66*($BX109*12.73)</f>
        <v>139.20000000000007</v>
      </c>
      <c r="CF109" s="46">
        <f>'LINEST VARS'!$U$66+'LINEST VARS'!$T$66*(8)+'LINEST VARS'!$S$66*(8)+'LINEST VARS'!$R$66*($CF$104)+'LINEST VARS'!$Q$66*($BX109)+'LINEST VARS'!$P$66*(12.73)+'LINEST VARS'!$O$66*(8^2)+'LINEST VARS'!$N$66*(8^2)+'LINEST VARS'!$M$66*($CF$104^2)+'LINEST VARS'!$L$66*($BX109^2)+'LINEST VARS'!$K$66*(12.73^2)+'LINEST VARS'!$J$66*(8*8)+'LINEST VARS'!$I$66*(8*$CF$104)+'LINEST VARS'!$H$66*(8*$BX109)+'LINEST VARS'!$G$66*(8*12.73)+'LINEST VARS'!$F$66*(8*$CF$104)+'LINEST VARS'!$E$66*(8*$BX109)+'LINEST VARS'!$D$66*(8*12.73)+'LINEST VARS'!$C$66*($CF$104*$BX109)+'LINEST VARS'!$B$66*($CF$104*12.73)+'LINEST VARS'!$A$66*($BX109*12.73)</f>
        <v>138.40000000000009</v>
      </c>
      <c r="CG109" s="46">
        <f>'LINEST VARS'!$U$66+'LINEST VARS'!$T$66*(8)+'LINEST VARS'!$S$66*(8)+'LINEST VARS'!$R$66*($CG$104)+'LINEST VARS'!$Q$66*($BX109)+'LINEST VARS'!$P$66*(12.73)+'LINEST VARS'!$O$66*(8^2)+'LINEST VARS'!$N$66*(8^2)+'LINEST VARS'!$M$66*($CG$104^2)+'LINEST VARS'!$L$66*($BX109^2)+'LINEST VARS'!$K$66*(12.73^2)+'LINEST VARS'!$J$66*(8*8)+'LINEST VARS'!$I$66*(8*$CG$104)+'LINEST VARS'!$H$66*(8*$BX109)+'LINEST VARS'!$G$66*(8*12.73)+'LINEST VARS'!$F$66*(8*$CG$104)+'LINEST VARS'!$E$66*(8*$BX109)+'LINEST VARS'!$D$66*(8*12.73)+'LINEST VARS'!$C$66*($CG$104*$BX109)+'LINEST VARS'!$B$66*($CG$104*12.73)+'LINEST VARS'!$A$66*($BX109*12.73)</f>
        <v>137.60000000000008</v>
      </c>
      <c r="CH109" s="46">
        <f>'LINEST VARS'!$U$66+'LINEST VARS'!$T$66*(8)+'LINEST VARS'!$S$66*(8)+'LINEST VARS'!$R$66*($CH$104)+'LINEST VARS'!$Q$66*($BX109)+'LINEST VARS'!$P$66*(12.73)+'LINEST VARS'!$O$66*(8^2)+'LINEST VARS'!$N$66*(8^2)+'LINEST VARS'!$M$66*($CH$104^2)+'LINEST VARS'!$L$66*($BX109^2)+'LINEST VARS'!$K$66*(12.73^2)+'LINEST VARS'!$J$66*(8*8)+'LINEST VARS'!$I$66*(8*$CH$104)+'LINEST VARS'!$H$66*(8*$BX109)+'LINEST VARS'!$G$66*(8*12.73)+'LINEST VARS'!$F$66*(8*$CH$104)+'LINEST VARS'!$E$66*(8*$BX109)+'LINEST VARS'!$D$66*(8*12.73)+'LINEST VARS'!$C$66*($CH$104*$BX109)+'LINEST VARS'!$B$66*($CH$104*12.73)+'LINEST VARS'!$A$66*($BX109*12.73)</f>
        <v>136.80000000000007</v>
      </c>
      <c r="CI109" s="46">
        <f>'LINEST VARS'!$U$66+'LINEST VARS'!$T$66*(8)+'LINEST VARS'!$S$66*(8)+'LINEST VARS'!$R$66*($CI$104)+'LINEST VARS'!$Q$66*($BX109)+'LINEST VARS'!$P$66*(12.73)+'LINEST VARS'!$O$66*(8^2)+'LINEST VARS'!$N$66*(8^2)+'LINEST VARS'!$M$66*($CI$104^2)+'LINEST VARS'!$L$66*($BX109^2)+'LINEST VARS'!$K$66*(12.73^2)+'LINEST VARS'!$J$66*(8*8)+'LINEST VARS'!$I$66*(8*$CI$104)+'LINEST VARS'!$H$66*(8*$BX109)+'LINEST VARS'!$G$66*(8*12.73)+'LINEST VARS'!$F$66*(8*$CI$104)+'LINEST VARS'!$E$66*(8*$BX109)+'LINEST VARS'!$D$66*(8*12.73)+'LINEST VARS'!$C$66*($CI$104*$BX109)+'LINEST VARS'!$B$66*($CI$104*12.73)+'LINEST VARS'!$A$66*($BX109*12.73)</f>
        <v>136.00000000000006</v>
      </c>
      <c r="CJ109" s="46">
        <f>'LINEST VARS'!$U$66+'LINEST VARS'!$T$66*(8)+'LINEST VARS'!$S$66*(8)+'LINEST VARS'!$R$66*($CJ$104)+'LINEST VARS'!$Q$66*($BX109)+'LINEST VARS'!$P$66*(12.73)+'LINEST VARS'!$O$66*(8^2)+'LINEST VARS'!$N$66*(8^2)+'LINEST VARS'!$M$66*($CJ$104^2)+'LINEST VARS'!$L$66*($BX109^2)+'LINEST VARS'!$K$66*(12.73^2)+'LINEST VARS'!$J$66*(8*8)+'LINEST VARS'!$I$66*(8*$CJ$104)+'LINEST VARS'!$H$66*(8*$BX109)+'LINEST VARS'!$G$66*(8*12.73)+'LINEST VARS'!$F$66*(8*$CJ$104)+'LINEST VARS'!$E$66*(8*$BX109)+'LINEST VARS'!$D$66*(8*12.73)+'LINEST VARS'!$C$66*($CJ$104*$BX109)+'LINEST VARS'!$B$66*($CJ$104*12.73)+'LINEST VARS'!$A$66*($BX109*12.73)</f>
        <v>135.20000000000005</v>
      </c>
      <c r="CK109" s="46">
        <f>'LINEST VARS'!$U$66+'LINEST VARS'!$T$66*(8)+'LINEST VARS'!$S$66*(8)+'LINEST VARS'!$R$66*($CK$104)+'LINEST VARS'!$Q$66*($BX109)+'LINEST VARS'!$P$66*(12.73)+'LINEST VARS'!$O$66*(8^2)+'LINEST VARS'!$N$66*(8^2)+'LINEST VARS'!$M$66*($CK$104^2)+'LINEST VARS'!$L$66*($BX109^2)+'LINEST VARS'!$K$66*(12.73^2)+'LINEST VARS'!$J$66*(8*8)+'LINEST VARS'!$I$66*(8*$CK$104)+'LINEST VARS'!$H$66*(8*$BX109)+'LINEST VARS'!$G$66*(8*12.73)+'LINEST VARS'!$F$66*(8*$CK$104)+'LINEST VARS'!$E$66*(8*$BX109)+'LINEST VARS'!$D$66*(8*12.73)+'LINEST VARS'!$C$66*($CK$104*$BX109)+'LINEST VARS'!$B$66*($CK$104*12.73)+'LINEST VARS'!$A$66*($BX109*12.73)</f>
        <v>134.40000000000003</v>
      </c>
      <c r="CL109" s="46">
        <f>'LINEST VARS'!$U$66+'LINEST VARS'!$T$66*(8)+'LINEST VARS'!$S$66*(8)+'LINEST VARS'!$R$66*($CL$104)+'LINEST VARS'!$Q$66*($BX109)+'LINEST VARS'!$P$66*(12.73)+'LINEST VARS'!$O$66*(8^2)+'LINEST VARS'!$N$66*(8^2)+'LINEST VARS'!$M$66*($CL$104^2)+'LINEST VARS'!$L$66*($BX109^2)+'LINEST VARS'!$K$66*(12.73^2)+'LINEST VARS'!$J$66*(8*8)+'LINEST VARS'!$I$66*(8*$CL$104)+'LINEST VARS'!$H$66*(8*$BX109)+'LINEST VARS'!$G$66*(8*12.73)+'LINEST VARS'!$F$66*(8*$CL$104)+'LINEST VARS'!$E$66*(8*$BX109)+'LINEST VARS'!$D$66*(8*12.73)+'LINEST VARS'!$C$66*($CL$104*$BX109)+'LINEST VARS'!$B$66*($CL$104*12.73)+'LINEST VARS'!$A$66*($BX109*12.73)</f>
        <v>133.60000000000005</v>
      </c>
      <c r="CM109" s="46">
        <f>'LINEST VARS'!$U$66+'LINEST VARS'!$T$66*(8)+'LINEST VARS'!$S$66*(8)+'LINEST VARS'!$R$66*($CM$104)+'LINEST VARS'!$Q$66*($BX109)+'LINEST VARS'!$P$66*(12.73)+'LINEST VARS'!$O$66*(8^2)+'LINEST VARS'!$N$66*(8^2)+'LINEST VARS'!$M$66*($CM$104^2)+'LINEST VARS'!$L$66*($BX109^2)+'LINEST VARS'!$K$66*(12.73^2)+'LINEST VARS'!$J$66*(8*8)+'LINEST VARS'!$I$66*(8*$CM$104)+'LINEST VARS'!$H$66*(8*$BX109)+'LINEST VARS'!$G$66*(8*12.73)+'LINEST VARS'!$F$66*(8*$CM$104)+'LINEST VARS'!$E$66*(8*$BX109)+'LINEST VARS'!$D$66*(8*12.73)+'LINEST VARS'!$C$66*($CM$104*$BX109)+'LINEST VARS'!$B$66*($CM$104*12.73)+'LINEST VARS'!$A$66*($BX109*12.73)</f>
        <v>132.80000000000004</v>
      </c>
      <c r="CN109" s="46">
        <f>'LINEST VARS'!$U$66+'LINEST VARS'!$T$66*(8)+'LINEST VARS'!$S$66*(8)+'LINEST VARS'!$R$66*($CN$104)+'LINEST VARS'!$Q$66*($BX109)+'LINEST VARS'!$P$66*(12.73)+'LINEST VARS'!$O$66*(8^2)+'LINEST VARS'!$N$66*(8^2)+'LINEST VARS'!$M$66*($CN$104^2)+'LINEST VARS'!$L$66*($BX109^2)+'LINEST VARS'!$K$66*(12.73^2)+'LINEST VARS'!$J$66*(8*8)+'LINEST VARS'!$I$66*(8*$CN$104)+'LINEST VARS'!$H$66*(8*$BX109)+'LINEST VARS'!$G$66*(8*12.73)+'LINEST VARS'!$F$66*(8*$CN$104)+'LINEST VARS'!$E$66*(8*$BX109)+'LINEST VARS'!$D$66*(8*12.73)+'LINEST VARS'!$C$66*($CN$104*$BX109)+'LINEST VARS'!$B$66*($CN$104*12.73)+'LINEST VARS'!$A$66*($BX109*12.73)</f>
        <v>132.00000000000006</v>
      </c>
      <c r="CO109" s="46">
        <f>'LINEST VARS'!$U$66+'LINEST VARS'!$T$66*(8)+'LINEST VARS'!$S$66*(8)+'LINEST VARS'!$R$66*($CO$104)+'LINEST VARS'!$Q$66*($BX109)+'LINEST VARS'!$P$66*(12.73)+'LINEST VARS'!$O$66*(8^2)+'LINEST VARS'!$N$66*(8^2)+'LINEST VARS'!$M$66*($CO$104^2)+'LINEST VARS'!$L$66*($BX109^2)+'LINEST VARS'!$K$66*(12.73^2)+'LINEST VARS'!$J$66*(8*8)+'LINEST VARS'!$I$66*(8*$CO$104)+'LINEST VARS'!$H$66*(8*$BX109)+'LINEST VARS'!$G$66*(8*12.73)+'LINEST VARS'!$F$66*(8*$CO$104)+'LINEST VARS'!$E$66*(8*$BX109)+'LINEST VARS'!$D$66*(8*12.73)+'LINEST VARS'!$C$66*($CO$104*$BX109)+'LINEST VARS'!$B$66*($CO$104*12.73)+'LINEST VARS'!$A$66*($BX109*12.73)</f>
        <v>131.20000000000005</v>
      </c>
      <c r="CP109" s="46">
        <f>'LINEST VARS'!$U$66+'LINEST VARS'!$T$66*(8)+'LINEST VARS'!$S$66*(8)+'LINEST VARS'!$R$66*($CP$104)+'LINEST VARS'!$Q$66*($BX109)+'LINEST VARS'!$P$66*(12.73)+'LINEST VARS'!$O$66*(8^2)+'LINEST VARS'!$N$66*(8^2)+'LINEST VARS'!$M$66*($CP$104^2)+'LINEST VARS'!$L$66*($BX109^2)+'LINEST VARS'!$K$66*(12.73^2)+'LINEST VARS'!$J$66*(8*8)+'LINEST VARS'!$I$66*(8*$CP$104)+'LINEST VARS'!$H$66*(8*$BX109)+'LINEST VARS'!$G$66*(8*12.73)+'LINEST VARS'!$F$66*(8*$CP$104)+'LINEST VARS'!$E$66*(8*$BX109)+'LINEST VARS'!$D$66*(8*12.73)+'LINEST VARS'!$C$66*($CP$104*$BX109)+'LINEST VARS'!$B$66*($CP$104*12.73)+'LINEST VARS'!$A$66*($BX109*12.73)</f>
        <v>130.40000000000009</v>
      </c>
      <c r="CQ109" s="46">
        <f>'LINEST VARS'!$U$66+'LINEST VARS'!$T$66*(8)+'LINEST VARS'!$S$66*(8)+'LINEST VARS'!$R$66*($CQ$104)+'LINEST VARS'!$Q$66*($BX109)+'LINEST VARS'!$P$66*(12.73)+'LINEST VARS'!$O$66*(8^2)+'LINEST VARS'!$N$66*(8^2)+'LINEST VARS'!$M$66*($CQ$104^2)+'LINEST VARS'!$L$66*($BX109^2)+'LINEST VARS'!$K$66*(12.73^2)+'LINEST VARS'!$J$66*(8*8)+'LINEST VARS'!$I$66*(8*$CQ$104)+'LINEST VARS'!$H$66*(8*$BX109)+'LINEST VARS'!$G$66*(8*12.73)+'LINEST VARS'!$F$66*(8*$CQ$104)+'LINEST VARS'!$E$66*(8*$BX109)+'LINEST VARS'!$D$66*(8*12.73)+'LINEST VARS'!$C$66*($CQ$104*$BX109)+'LINEST VARS'!$B$66*($CQ$104*12.73)+'LINEST VARS'!$A$66*($BX109*12.73)</f>
        <v>129.60000000000008</v>
      </c>
      <c r="CR109" s="46">
        <f>'LINEST VARS'!$U$66+'LINEST VARS'!$T$66*(8)+'LINEST VARS'!$S$66*(8)+'LINEST VARS'!$R$66*($CR$104)+'LINEST VARS'!$Q$66*($BX109)+'LINEST VARS'!$P$66*(12.73)+'LINEST VARS'!$O$66*(8^2)+'LINEST VARS'!$N$66*(8^2)+'LINEST VARS'!$M$66*($CR$104^2)+'LINEST VARS'!$L$66*($BX109^2)+'LINEST VARS'!$K$66*(12.73^2)+'LINEST VARS'!$J$66*(8*8)+'LINEST VARS'!$I$66*(8*$CR$104)+'LINEST VARS'!$H$66*(8*$BX109)+'LINEST VARS'!$G$66*(8*12.73)+'LINEST VARS'!$F$66*(8*$CR$104)+'LINEST VARS'!$E$66*(8*$BX109)+'LINEST VARS'!$D$66*(8*12.73)+'LINEST VARS'!$C$66*($CR$104*$BX109)+'LINEST VARS'!$B$66*($CR$104*12.73)+'LINEST VARS'!$A$66*($BX109*12.73)</f>
        <v>128.8000000000001</v>
      </c>
      <c r="CS109" s="47">
        <f>'LINEST VARS'!$U$66+'LINEST VARS'!$T$66*(8)+'LINEST VARS'!$S$66*(8)+'LINEST VARS'!$R$66*($CS$104)+'LINEST VARS'!$Q$66*($BX109)+'LINEST VARS'!$P$66*(12.73)+'LINEST VARS'!$O$66*(8^2)+'LINEST VARS'!$N$66*(8^2)+'LINEST VARS'!$M$66*($CS$104^2)+'LINEST VARS'!$L$66*($BX109^2)+'LINEST VARS'!$K$66*(12.73^2)+'LINEST VARS'!$J$66*(8*8)+'LINEST VARS'!$I$66*(8*$CS$104)+'LINEST VARS'!$H$66*(8*$BX109)+'LINEST VARS'!$G$66*(8*12.73)+'LINEST VARS'!$F$66*(8*$CS$104)+'LINEST VARS'!$E$66*(8*$BX109)+'LINEST VARS'!$D$66*(8*12.73)+'LINEST VARS'!$C$66*($CS$104*$BX109)+'LINEST VARS'!$B$66*($CS$104*12.73)+'LINEST VARS'!$A$66*($BX109*12.73)</f>
        <v>128.00000000000006</v>
      </c>
      <c r="CX109" s="45">
        <v>5.1980000000000004</v>
      </c>
      <c r="CY109" s="55">
        <f>'LINEST VARS'!$U$64+'LINEST VARS'!$T$64*(8)+'LINEST VARS'!$S$64*(8)+'LINEST VARS'!$R$64*($CY$104)+'LINEST VARS'!$Q$64*(0.5)+'LINEST VARS'!$P$64*($CX109)+'LINEST VARS'!$O$64*(8^2)+'LINEST VARS'!$N$64*(8^2)+'LINEST VARS'!$M$64*($CY$104^2)+'LINEST VARS'!$L$64*(0.5^2)+'LINEST VARS'!$K$64*($CX109^2)+'LINEST VARS'!$J$64*(8*8)+'LINEST VARS'!$I$64*(8*$CY$104)+'LINEST VARS'!$H$64*(8*0.5)+'LINEST VARS'!$G$64*(8*$CX109)+'LINEST VARS'!$F$64*(8*$CY$104)+'LINEST VARS'!$E$64*(8*0.5)+'LINEST VARS'!$D$64*(8*$CX109)+'LINEST VARS'!$C$64*($CY$104*0.5)+'LINEST VARS'!$B$64*($CY$104*$CX109)+'LINEST VARS'!$A$64*(0.5*$CX109)</f>
        <v>125.59399999999992</v>
      </c>
      <c r="CZ109" s="55">
        <f>'LINEST VARS'!$U$64+'LINEST VARS'!$T$64*(8)+'LINEST VARS'!$S$64*(8)+'LINEST VARS'!$R$64*($CZ$104)+'LINEST VARS'!$Q$64*(0.5)+'LINEST VARS'!$P$64*($CX109)+'LINEST VARS'!$O$64*(8^2)+'LINEST VARS'!$N$64*(8^2)+'LINEST VARS'!$M$64*($CZ$104^2)+'LINEST VARS'!$L$64*(0.5^2)+'LINEST VARS'!$K$64*($CX109^2)+'LINEST VARS'!$J$64*(8*8)+'LINEST VARS'!$I$64*(8*$CZ$104)+'LINEST VARS'!$H$64*(8*0.5)+'LINEST VARS'!$G$64*(8*$CX109)+'LINEST VARS'!$F$64*(8*$CZ$104)+'LINEST VARS'!$E$64*(8*0.5)+'LINEST VARS'!$D$64*(8*$CX109)+'LINEST VARS'!$C$64*($CZ$104*0.5)+'LINEST VARS'!$B$64*($CZ$104*$CX109)+'LINEST VARS'!$A$64*(0.5*$CX109)</f>
        <v>127.19399999999992</v>
      </c>
      <c r="DA109" s="55">
        <f>'LINEST VARS'!$U$64+'LINEST VARS'!$T$64*(8)+'LINEST VARS'!$S$64*(8)+'LINEST VARS'!$R$64*($DA$104)+'LINEST VARS'!$Q$64*(0.5)+'LINEST VARS'!$P$64*($CX109)+'LINEST VARS'!$O$64*(8^2)+'LINEST VARS'!$N$64*(8^2)+'LINEST VARS'!$M$64*($DA$104^2)+'LINEST VARS'!$L$64*(0.5^2)+'LINEST VARS'!$K$64*($CX109^2)+'LINEST VARS'!$J$64*(8*8)+'LINEST VARS'!$I$64*(8*$DA$104)+'LINEST VARS'!$H$64*(8*0.5)+'LINEST VARS'!$G$64*(8*$CX109)+'LINEST VARS'!$F$64*(8*$DA$104)+'LINEST VARS'!$E$64*(8*0.5)+'LINEST VARS'!$D$64*(8*$CX109)+'LINEST VARS'!$C$64*($DA$104*0.5)+'LINEST VARS'!$B$64*($DA$104*$CX109)+'LINEST VARS'!$A$64*(0.5*$CX109)</f>
        <v>128.7939999999999</v>
      </c>
      <c r="DB109" s="55">
        <f>'LINEST VARS'!$U$64+'LINEST VARS'!$T$64*(8)+'LINEST VARS'!$S$64*(8)+'LINEST VARS'!$R$64*($DB$104)+'LINEST VARS'!$Q$64*(0.5)+'LINEST VARS'!$P$64*($CX109)+'LINEST VARS'!$O$64*(8^2)+'LINEST VARS'!$N$64*(8^2)+'LINEST VARS'!$M$64*($DB$104^2)+'LINEST VARS'!$L$64*(0.5^2)+'LINEST VARS'!$K$64*($CX109^2)+'LINEST VARS'!$J$64*(8*8)+'LINEST VARS'!$I$64*(8*$DB$104)+'LINEST VARS'!$H$64*(8*0.5)+'LINEST VARS'!$G$64*(8*$CX109)+'LINEST VARS'!$F$64*(8*$DB$104)+'LINEST VARS'!$E$64*(8*0.5)+'LINEST VARS'!$D$64*(8*$CX109)+'LINEST VARS'!$C$64*($DB$104*0.5)+'LINEST VARS'!$B$64*($DB$104*$CX109)+'LINEST VARS'!$A$64*(0.5*$CX109)</f>
        <v>130.39399999999989</v>
      </c>
      <c r="DC109" s="55">
        <f>'LINEST VARS'!$U$64+'LINEST VARS'!$T$64*(8)+'LINEST VARS'!$S$64*(8)+'LINEST VARS'!$R$64*($DC$104)+'LINEST VARS'!$Q$64*(0.5)+'LINEST VARS'!$P$64*($CX109)+'LINEST VARS'!$O$64*(8^2)+'LINEST VARS'!$N$64*(8^2)+'LINEST VARS'!$M$64*($DC$104^2)+'LINEST VARS'!$L$64*(0.5^2)+'LINEST VARS'!$K$64*($CX109^2)+'LINEST VARS'!$J$64*(8*8)+'LINEST VARS'!$I$64*(8*$DC$104)+'LINEST VARS'!$H$64*(8*0.5)+'LINEST VARS'!$G$64*(8*$CX109)+'LINEST VARS'!$F$64*(8*$DC$104)+'LINEST VARS'!$E$64*(8*0.5)+'LINEST VARS'!$D$64*(8*$CX109)+'LINEST VARS'!$C$64*($DC$104*0.5)+'LINEST VARS'!$B$64*($DC$104*$CX109)+'LINEST VARS'!$A$64*(0.5*$CX109)</f>
        <v>131.99399999999989</v>
      </c>
      <c r="DD109" s="55">
        <f>'LINEST VARS'!$U$64+'LINEST VARS'!$T$64*(8)+'LINEST VARS'!$S$64*(8)+'LINEST VARS'!$R$64*($DD$104)+'LINEST VARS'!$Q$64*(0.5)+'LINEST VARS'!$P$64*($CX109)+'LINEST VARS'!$O$64*(8^2)+'LINEST VARS'!$N$64*(8^2)+'LINEST VARS'!$M$64*($DD$104^2)+'LINEST VARS'!$L$64*(0.5^2)+'LINEST VARS'!$K$64*($CX109^2)+'LINEST VARS'!$J$64*(8*8)+'LINEST VARS'!$I$64*(8*$DD$104)+'LINEST VARS'!$H$64*(8*0.5)+'LINEST VARS'!$G$64*(8*$CX109)+'LINEST VARS'!$F$64*(8*$DD$104)+'LINEST VARS'!$E$64*(8*0.5)+'LINEST VARS'!$D$64*(8*$CX109)+'LINEST VARS'!$C$64*($DD$104*0.5)+'LINEST VARS'!$B$64*($DD$104*$CX109)+'LINEST VARS'!$A$64*(0.5*$CX109)</f>
        <v>133.59399999999988</v>
      </c>
      <c r="DE109" s="55">
        <f>'LINEST VARS'!$U$64+'LINEST VARS'!$T$64*(8)+'LINEST VARS'!$S$64*(8)+'LINEST VARS'!$R$64*($DE$104)+'LINEST VARS'!$Q$64*(0.5)+'LINEST VARS'!$P$64*($CX109)+'LINEST VARS'!$O$64*(8^2)+'LINEST VARS'!$N$64*(8^2)+'LINEST VARS'!$M$64*($DE$104^2)+'LINEST VARS'!$L$64*(0.5^2)+'LINEST VARS'!$K$64*($CX109^2)+'LINEST VARS'!$J$64*(8*8)+'LINEST VARS'!$I$64*(8*$DE$104)+'LINEST VARS'!$H$64*(8*0.5)+'LINEST VARS'!$G$64*(8*$CX109)+'LINEST VARS'!$F$64*(8*$DE$104)+'LINEST VARS'!$E$64*(8*0.5)+'LINEST VARS'!$D$64*(8*$CX109)+'LINEST VARS'!$C$64*($DE$104*0.5)+'LINEST VARS'!$B$64*($DE$104*$CX109)+'LINEST VARS'!$A$64*(0.5*$CX109)</f>
        <v>135.19399999999987</v>
      </c>
      <c r="DF109" s="55">
        <f>'LINEST VARS'!$U$64+'LINEST VARS'!$T$64*(8)+'LINEST VARS'!$S$64*(8)+'LINEST VARS'!$R$64*($DF$104)+'LINEST VARS'!$Q$64*(0.5)+'LINEST VARS'!$P$64*($CX109)+'LINEST VARS'!$O$64*(8^2)+'LINEST VARS'!$N$64*(8^2)+'LINEST VARS'!$M$64*($DF$104^2)+'LINEST VARS'!$L$64*(0.5^2)+'LINEST VARS'!$K$64*($CX109^2)+'LINEST VARS'!$J$64*(8*8)+'LINEST VARS'!$I$64*(8*$DF$104)+'LINEST VARS'!$H$64*(8*0.5)+'LINEST VARS'!$G$64*(8*$CX109)+'LINEST VARS'!$F$64*(8*$DF$104)+'LINEST VARS'!$E$64*(8*0.5)+'LINEST VARS'!$D$64*(8*$CX109)+'LINEST VARS'!$C$64*($DF$104*0.5)+'LINEST VARS'!$B$64*($DF$104*$CX109)+'LINEST VARS'!$A$64*(0.5*$CX109)</f>
        <v>136.7939999999999</v>
      </c>
      <c r="DG109" s="55">
        <f>'LINEST VARS'!$U$64+'LINEST VARS'!$T$64*(8)+'LINEST VARS'!$S$64*(8)+'LINEST VARS'!$R$64*($DG$104)+'LINEST VARS'!$Q$64*(0.5)+'LINEST VARS'!$P$64*($CX109)+'LINEST VARS'!$O$64*(8^2)+'LINEST VARS'!$N$64*(8^2)+'LINEST VARS'!$M$64*($DG$104^2)+'LINEST VARS'!$L$64*(0.5^2)+'LINEST VARS'!$K$64*($CX109^2)+'LINEST VARS'!$J$64*(8*8)+'LINEST VARS'!$I$64*(8*$DG$104)+'LINEST VARS'!$H$64*(8*0.5)+'LINEST VARS'!$G$64*(8*$CX109)+'LINEST VARS'!$F$64*(8*$DG$104)+'LINEST VARS'!$E$64*(8*0.5)+'LINEST VARS'!$D$64*(8*$CX109)+'LINEST VARS'!$C$64*($DG$104*0.5)+'LINEST VARS'!$B$64*($DG$104*$CX109)+'LINEST VARS'!$A$64*(0.5*$CX109)</f>
        <v>138.39399999999989</v>
      </c>
      <c r="DH109" s="55">
        <f>'LINEST VARS'!$U$64+'LINEST VARS'!$T$64*(8)+'LINEST VARS'!$S$64*(8)+'LINEST VARS'!$R$64*($DH$104)+'LINEST VARS'!$Q$64*(0.5)+'LINEST VARS'!$P$64*($CX109)+'LINEST VARS'!$O$64*(8^2)+'LINEST VARS'!$N$64*(8^2)+'LINEST VARS'!$M$64*($DH$104^2)+'LINEST VARS'!$L$64*(0.5^2)+'LINEST VARS'!$K$64*($CX109^2)+'LINEST VARS'!$J$64*(8*8)+'LINEST VARS'!$I$64*(8*$DH$104)+'LINEST VARS'!$H$64*(8*0.5)+'LINEST VARS'!$G$64*(8*$CX109)+'LINEST VARS'!$F$64*(8*$DH$104)+'LINEST VARS'!$E$64*(8*0.5)+'LINEST VARS'!$D$64*(8*$CX109)+'LINEST VARS'!$C$64*($DH$104*0.5)+'LINEST VARS'!$B$64*($DH$104*$CX109)+'LINEST VARS'!$A$64*(0.5*$CX109)</f>
        <v>139.99399999999989</v>
      </c>
      <c r="DI109" s="55">
        <f>'LINEST VARS'!$U$64+'LINEST VARS'!$T$64*(8)+'LINEST VARS'!$S$64*(8)+'LINEST VARS'!$R$64*($DI$104)+'LINEST VARS'!$Q$64*(0.5)+'LINEST VARS'!$P$64*($CX109)+'LINEST VARS'!$O$64*(8^2)+'LINEST VARS'!$N$64*(8^2)+'LINEST VARS'!$M$64*($DI$104^2)+'LINEST VARS'!$L$64*(0.5^2)+'LINEST VARS'!$K$64*($CX109^2)+'LINEST VARS'!$J$64*(8*8)+'LINEST VARS'!$I$64*(8*$DI$104)+'LINEST VARS'!$H$64*(8*0.5)+'LINEST VARS'!$G$64*(8*$CX109)+'LINEST VARS'!$F$64*(8*$DI$104)+'LINEST VARS'!$E$64*(8*0.5)+'LINEST VARS'!$D$64*(8*$CX109)+'LINEST VARS'!$C$64*($DI$104*0.5)+'LINEST VARS'!$B$64*($DI$104*$CX109)+'LINEST VARS'!$A$64*(0.5*$CX109)</f>
        <v>141.59399999999988</v>
      </c>
      <c r="DJ109" s="55">
        <f>'LINEST VARS'!$U$64+'LINEST VARS'!$T$64*(8)+'LINEST VARS'!$S$64*(8)+'LINEST VARS'!$R$64*($DJ$104)+'LINEST VARS'!$Q$64*(0.5)+'LINEST VARS'!$P$64*($CX109)+'LINEST VARS'!$O$64*(8^2)+'LINEST VARS'!$N$64*(8^2)+'LINEST VARS'!$M$64*($DJ$104^2)+'LINEST VARS'!$L$64*(0.5^2)+'LINEST VARS'!$K$64*($CX109^2)+'LINEST VARS'!$J$64*(8*8)+'LINEST VARS'!$I$64*(8*$DJ$104)+'LINEST VARS'!$H$64*(8*0.5)+'LINEST VARS'!$G$64*(8*$CX109)+'LINEST VARS'!$F$64*(8*$DJ$104)+'LINEST VARS'!$E$64*(8*0.5)+'LINEST VARS'!$D$64*(8*$CX109)+'LINEST VARS'!$C$64*($DJ$104*0.5)+'LINEST VARS'!$B$64*($DJ$104*$CX109)+'LINEST VARS'!$A$64*(0.5*$CX109)</f>
        <v>143.1939999999999</v>
      </c>
      <c r="DK109" s="55">
        <f>'LINEST VARS'!$U$64+'LINEST VARS'!$T$64*(8)+'LINEST VARS'!$S$64*(8)+'LINEST VARS'!$R$64*($DK$104)+'LINEST VARS'!$Q$64*(0.5)+'LINEST VARS'!$P$64*($CX109)+'LINEST VARS'!$O$64*(8^2)+'LINEST VARS'!$N$64*(8^2)+'LINEST VARS'!$M$64*($DK$104^2)+'LINEST VARS'!$L$64*(0.5^2)+'LINEST VARS'!$K$64*($CX109^2)+'LINEST VARS'!$J$64*(8*8)+'LINEST VARS'!$I$64*(8*$DK$104)+'LINEST VARS'!$H$64*(8*0.5)+'LINEST VARS'!$G$64*(8*$CX109)+'LINEST VARS'!$F$64*(8*$DK$104)+'LINEST VARS'!$E$64*(8*0.5)+'LINEST VARS'!$D$64*(8*$CX109)+'LINEST VARS'!$C$64*($DK$104*0.5)+'LINEST VARS'!$B$64*($DK$104*$CX109)+'LINEST VARS'!$A$64*(0.5*$CX109)</f>
        <v>144.79399999999987</v>
      </c>
      <c r="DL109" s="55">
        <f>'LINEST VARS'!$U$64+'LINEST VARS'!$T$64*(8)+'LINEST VARS'!$S$64*(8)+'LINEST VARS'!$R$64*($DL$104)+'LINEST VARS'!$Q$64*(0.5)+'LINEST VARS'!$P$64*($CX109)+'LINEST VARS'!$O$64*(8^2)+'LINEST VARS'!$N$64*(8^2)+'LINEST VARS'!$M$64*($DL$104^2)+'LINEST VARS'!$L$64*(0.5^2)+'LINEST VARS'!$K$64*($CX109^2)+'LINEST VARS'!$J$64*(8*8)+'LINEST VARS'!$I$64*(8*$DL$104)+'LINEST VARS'!$H$64*(8*0.5)+'LINEST VARS'!$G$64*(8*$CX109)+'LINEST VARS'!$F$64*(8*$DL$104)+'LINEST VARS'!$E$64*(8*0.5)+'LINEST VARS'!$D$64*(8*$CX109)+'LINEST VARS'!$C$64*($DL$104*0.5)+'LINEST VARS'!$B$64*($DL$104*$CX109)+'LINEST VARS'!$A$64*(0.5*$CX109)</f>
        <v>146.39399999999989</v>
      </c>
      <c r="DM109" s="55">
        <f>'LINEST VARS'!$U$64+'LINEST VARS'!$T$64*(8)+'LINEST VARS'!$S$64*(8)+'LINEST VARS'!$R$64*($DM$104)+'LINEST VARS'!$Q$64*(0.5)+'LINEST VARS'!$P$64*($CX109)+'LINEST VARS'!$O$64*(8^2)+'LINEST VARS'!$N$64*(8^2)+'LINEST VARS'!$M$64*($DM$104^2)+'LINEST VARS'!$L$64*(0.5^2)+'LINEST VARS'!$K$64*($CX109^2)+'LINEST VARS'!$J$64*(8*8)+'LINEST VARS'!$I$64*(8*$DM$104)+'LINEST VARS'!$H$64*(8*0.5)+'LINEST VARS'!$G$64*(8*$CX109)+'LINEST VARS'!$F$64*(8*$DM$104)+'LINEST VARS'!$E$64*(8*0.5)+'LINEST VARS'!$D$64*(8*$CX109)+'LINEST VARS'!$C$64*($DM$104*0.5)+'LINEST VARS'!$B$64*($DM$104*$CX109)+'LINEST VARS'!$A$64*(0.5*$CX109)</f>
        <v>147.99399999999986</v>
      </c>
      <c r="DN109" s="55">
        <f>'LINEST VARS'!$U$64+'LINEST VARS'!$T$64*(8)+'LINEST VARS'!$S$64*(8)+'LINEST VARS'!$R$64*($DN$104)+'LINEST VARS'!$Q$64*(0.5)+'LINEST VARS'!$P$64*($CX109)+'LINEST VARS'!$O$64*(8^2)+'LINEST VARS'!$N$64*(8^2)+'LINEST VARS'!$M$64*($DN$104^2)+'LINEST VARS'!$L$64*(0.5^2)+'LINEST VARS'!$K$64*($CX109^2)+'LINEST VARS'!$J$64*(8*8)+'LINEST VARS'!$I$64*(8*$DN$104)+'LINEST VARS'!$H$64*(8*0.5)+'LINEST VARS'!$G$64*(8*$CX109)+'LINEST VARS'!$F$64*(8*$DN$104)+'LINEST VARS'!$E$64*(8*0.5)+'LINEST VARS'!$D$64*(8*$CX109)+'LINEST VARS'!$C$64*($DN$104*0.5)+'LINEST VARS'!$B$64*($DN$104*$CX109)+'LINEST VARS'!$A$64*(0.5*$CX109)</f>
        <v>149.59399999999985</v>
      </c>
      <c r="DO109" s="55">
        <f>'LINEST VARS'!$U$64+'LINEST VARS'!$T$64*(8)+'LINEST VARS'!$S$64*(8)+'LINEST VARS'!$R$64*($DO$104)+'LINEST VARS'!$Q$64*(0.5)+'LINEST VARS'!$P$64*($CX109)+'LINEST VARS'!$O$64*(8^2)+'LINEST VARS'!$N$64*(8^2)+'LINEST VARS'!$M$64*($DO$104^2)+'LINEST VARS'!$L$64*(0.5^2)+'LINEST VARS'!$K$64*($CX109^2)+'LINEST VARS'!$J$64*(8*8)+'LINEST VARS'!$I$64*(8*$DO$104)+'LINEST VARS'!$H$64*(8*0.5)+'LINEST VARS'!$G$64*(8*$CX109)+'LINEST VARS'!$F$64*(8*$DO$104)+'LINEST VARS'!$E$64*(8*0.5)+'LINEST VARS'!$D$64*(8*$CX109)+'LINEST VARS'!$C$64*($DO$104*0.5)+'LINEST VARS'!$B$64*($DO$104*$CX109)+'LINEST VARS'!$A$64*(0.5*$CX109)</f>
        <v>151.19399999999987</v>
      </c>
      <c r="DP109" s="55">
        <f>'LINEST VARS'!$U$64+'LINEST VARS'!$T$64*(8)+'LINEST VARS'!$S$64*(8)+'LINEST VARS'!$R$64*($DP$104)+'LINEST VARS'!$Q$64*(0.5)+'LINEST VARS'!$P$64*($CX109)+'LINEST VARS'!$O$64*(8^2)+'LINEST VARS'!$N$64*(8^2)+'LINEST VARS'!$M$64*($DP$104^2)+'LINEST VARS'!$L$64*(0.5^2)+'LINEST VARS'!$K$64*($CX109^2)+'LINEST VARS'!$J$64*(8*8)+'LINEST VARS'!$I$64*(8*$DP$104)+'LINEST VARS'!$H$64*(8*0.5)+'LINEST VARS'!$G$64*(8*$CX109)+'LINEST VARS'!$F$64*(8*$DP$104)+'LINEST VARS'!$E$64*(8*0.5)+'LINEST VARS'!$D$64*(8*$CX109)+'LINEST VARS'!$C$64*($DP$104*0.5)+'LINEST VARS'!$B$64*($DP$104*$CX109)+'LINEST VARS'!$A$64*(0.5*$CX109)</f>
        <v>152.79399999999987</v>
      </c>
      <c r="DQ109" s="55">
        <f>'LINEST VARS'!$U$64+'LINEST VARS'!$T$64*(8)+'LINEST VARS'!$S$64*(8)+'LINEST VARS'!$R$64*($DQ$104)+'LINEST VARS'!$Q$64*(0.5)+'LINEST VARS'!$P$64*($CX109)+'LINEST VARS'!$O$64*(8^2)+'LINEST VARS'!$N$64*(8^2)+'LINEST VARS'!$M$64*($DQ$104^2)+'LINEST VARS'!$L$64*(0.5^2)+'LINEST VARS'!$K$64*($CX109^2)+'LINEST VARS'!$J$64*(8*8)+'LINEST VARS'!$I$64*(8*$DQ$104)+'LINEST VARS'!$H$64*(8*0.5)+'LINEST VARS'!$G$64*(8*$CX109)+'LINEST VARS'!$F$64*(8*$DQ$104)+'LINEST VARS'!$E$64*(8*0.5)+'LINEST VARS'!$D$64*(8*$CX109)+'LINEST VARS'!$C$64*($DQ$104*0.5)+'LINEST VARS'!$B$64*($DQ$104*$CX109)+'LINEST VARS'!$A$64*(0.5*$CX109)</f>
        <v>154.39399999999986</v>
      </c>
      <c r="DR109" s="55">
        <f>'LINEST VARS'!$U$64+'LINEST VARS'!$T$64*(8)+'LINEST VARS'!$S$64*(8)+'LINEST VARS'!$R$64*($DR$104)+'LINEST VARS'!$Q$64*(0.5)+'LINEST VARS'!$P$64*($CX109)+'LINEST VARS'!$O$64*(8^2)+'LINEST VARS'!$N$64*(8^2)+'LINEST VARS'!$M$64*($DR$104^2)+'LINEST VARS'!$L$64*(0.5^2)+'LINEST VARS'!$K$64*($CX109^2)+'LINEST VARS'!$J$64*(8*8)+'LINEST VARS'!$I$64*(8*$DR$104)+'LINEST VARS'!$H$64*(8*0.5)+'LINEST VARS'!$G$64*(8*$CX109)+'LINEST VARS'!$F$64*(8*$DR$104)+'LINEST VARS'!$E$64*(8*0.5)+'LINEST VARS'!$D$64*(8*$CX109)+'LINEST VARS'!$C$64*($DR$104*0.5)+'LINEST VARS'!$B$64*($DR$104*$CX109)+'LINEST VARS'!$A$64*(0.5*$CX109)</f>
        <v>155.99399999999986</v>
      </c>
      <c r="DS109" s="56">
        <f>'LINEST VARS'!$U$64+'LINEST VARS'!$T$64*(8)+'LINEST VARS'!$S$64*(8)+'LINEST VARS'!$R$64*($DS$104)+'LINEST VARS'!$Q$64*(0.5)+'LINEST VARS'!$P$64*($CX109)+'LINEST VARS'!$O$64*(8^2)+'LINEST VARS'!$N$64*(8^2)+'LINEST VARS'!$M$64*($DS$104^2)+'LINEST VARS'!$L$64*(0.5^2)+'LINEST VARS'!$K$64*($CX109^2)+'LINEST VARS'!$J$64*(8*8)+'LINEST VARS'!$I$64*(8*$DS$104)+'LINEST VARS'!$H$64*(8*0.5)+'LINEST VARS'!$G$64*(8*$CX109)+'LINEST VARS'!$F$64*(8*$DS$104)+'LINEST VARS'!$E$64*(8*0.5)+'LINEST VARS'!$D$64*(8*$CX109)+'LINEST VARS'!$C$64*($DS$104*0.5)+'LINEST VARS'!$B$64*($DS$104*$CX109)+'LINEST VARS'!$A$64*(0.5*$CX109)</f>
        <v>157.59399999999985</v>
      </c>
      <c r="DV109" s="45">
        <v>5.1980000000000004</v>
      </c>
      <c r="DW109" s="46">
        <f>'LINEST VARS'!$U$66+'LINEST VARS'!$T$66*(8)+'LINEST VARS'!$S$66*(8)+'LINEST VARS'!$R$66*($DW$104)+'LINEST VARS'!$Q$66*(0.5)+'LINEST VARS'!$P$66*($DV109)+'LINEST VARS'!$O$66*(8^2)+'LINEST VARS'!$N$66*(8^2)+'LINEST VARS'!$M$66*($DW$104^2)+'LINEST VARS'!$L$66*(0.5^2)+'LINEST VARS'!$K$66*($DV109^2)+'LINEST VARS'!$J$66*(8*8)+'LINEST VARS'!$I$66*(8*$DW$104)+'LINEST VARS'!$H$66*(8*0.5)+'LINEST VARS'!$G$66*(8*$DV109)+'LINEST VARS'!$F$66*(8*$DW$104)+'LINEST VARS'!$E$66*(8*0.5)+'LINEST VARS'!$D$66*(8*$DV109)+'LINEST VARS'!$C$66*($DW$104*0.5)+'LINEST VARS'!$B$66*($DW$104*$DV109)+'LINEST VARS'!$A$66*(0.5*$DV109)</f>
        <v>144.00000000000003</v>
      </c>
      <c r="DX109" s="46">
        <f>'LINEST VARS'!$U$66+'LINEST VARS'!$T$66*(8)+'LINEST VARS'!$S$66*(8)+'LINEST VARS'!$R$66*($DX$104)+'LINEST VARS'!$Q$66*(0.5)+'LINEST VARS'!$P$66*($DV109)+'LINEST VARS'!$O$66*(8^2)+'LINEST VARS'!$N$66*(8^2)+'LINEST VARS'!$M$66*($DX$104^2)+'LINEST VARS'!$L$66*(0.5^2)+'LINEST VARS'!$K$66*($DV109^2)+'LINEST VARS'!$J$66*(8*8)+'LINEST VARS'!$I$66*(8*$DX$104)+'LINEST VARS'!$H$66*(8*0.5)+'LINEST VARS'!$G$66*(8*$DV109)+'LINEST VARS'!$F$66*(8*$DX$104)+'LINEST VARS'!$E$66*(8*0.5)+'LINEST VARS'!$D$66*(8*$DV109)+'LINEST VARS'!$C$66*($DX$104*0.5)+'LINEST VARS'!$B$66*($DX$104*$DV109)+'LINEST VARS'!$A$66*(0.5*$DV109)</f>
        <v>143.20000000000005</v>
      </c>
      <c r="DY109" s="46">
        <f>'LINEST VARS'!$U$66+'LINEST VARS'!$T$66*(8)+'LINEST VARS'!$S$66*(8)+'LINEST VARS'!$R$66*($DY$104)+'LINEST VARS'!$Q$66*(0.5)+'LINEST VARS'!$P$66*($DV109)+'LINEST VARS'!$O$66*(8^2)+'LINEST VARS'!$N$66*(8^2)+'LINEST VARS'!$M$66*($DY$104^2)+'LINEST VARS'!$L$66*(0.5^2)+'LINEST VARS'!$K$66*($DV109^2)+'LINEST VARS'!$J$66*(8*8)+'LINEST VARS'!$I$66*(8*$DY$104)+'LINEST VARS'!$H$66*(8*0.5)+'LINEST VARS'!$G$66*(8*$DV109)+'LINEST VARS'!$F$66*(8*$DY$104)+'LINEST VARS'!$E$66*(8*0.5)+'LINEST VARS'!$D$66*(8*$DV109)+'LINEST VARS'!$C$66*($DY$104*0.5)+'LINEST VARS'!$B$66*($DY$104*$DV109)+'LINEST VARS'!$A$66*(0.5*$DV109)</f>
        <v>142.40000000000003</v>
      </c>
      <c r="DZ109" s="46">
        <f>'LINEST VARS'!$U$66+'LINEST VARS'!$T$66*(8)+'LINEST VARS'!$S$66*(8)+'LINEST VARS'!$R$66*($DZ$104)+'LINEST VARS'!$Q$66*(0.5)+'LINEST VARS'!$P$66*($DV109)+'LINEST VARS'!$O$66*(8^2)+'LINEST VARS'!$N$66*(8^2)+'LINEST VARS'!$M$66*($DZ$104^2)+'LINEST VARS'!$L$66*(0.5^2)+'LINEST VARS'!$K$66*($DV109^2)+'LINEST VARS'!$J$66*(8*8)+'LINEST VARS'!$I$66*(8*$DZ$104)+'LINEST VARS'!$H$66*(8*0.5)+'LINEST VARS'!$G$66*(8*$DV109)+'LINEST VARS'!$F$66*(8*$DZ$104)+'LINEST VARS'!$E$66*(8*0.5)+'LINEST VARS'!$D$66*(8*$DV109)+'LINEST VARS'!$C$66*($DZ$104*0.5)+'LINEST VARS'!$B$66*($DZ$104*$DV109)+'LINEST VARS'!$A$66*(0.5*$DV109)</f>
        <v>141.60000000000005</v>
      </c>
      <c r="EA109" s="46">
        <f>'LINEST VARS'!$U$66+'LINEST VARS'!$T$66*(8)+'LINEST VARS'!$S$66*(8)+'LINEST VARS'!$R$66*($EA$104)+'LINEST VARS'!$Q$66*(0.5)+'LINEST VARS'!$P$66*($DV109)+'LINEST VARS'!$O$66*(8^2)+'LINEST VARS'!$N$66*(8^2)+'LINEST VARS'!$M$66*($EA$104^2)+'LINEST VARS'!$L$66*(0.5^2)+'LINEST VARS'!$K$66*($DV109^2)+'LINEST VARS'!$J$66*(8*8)+'LINEST VARS'!$I$66*(8*$EA$104)+'LINEST VARS'!$H$66*(8*0.5)+'LINEST VARS'!$G$66*(8*$DV109)+'LINEST VARS'!$F$66*(8*$EA$104)+'LINEST VARS'!$E$66*(8*0.5)+'LINEST VARS'!$D$66*(8*$DV109)+'LINEST VARS'!$C$66*($EA$104*0.5)+'LINEST VARS'!$B$66*($EA$104*$DV109)+'LINEST VARS'!$A$66*(0.5*$DV109)</f>
        <v>140.80000000000004</v>
      </c>
      <c r="EB109" s="46">
        <f>'LINEST VARS'!$U$66+'LINEST VARS'!$T$66*(8)+'LINEST VARS'!$S$66*(8)+'LINEST VARS'!$R$66*($EB$104)+'LINEST VARS'!$Q$66*(0.5)+'LINEST VARS'!$P$66*($DV109)+'LINEST VARS'!$O$66*(8^2)+'LINEST VARS'!$N$66*(8^2)+'LINEST VARS'!$M$66*($EB$104^2)+'LINEST VARS'!$L$66*(0.5^2)+'LINEST VARS'!$K$66*($DV109^2)+'LINEST VARS'!$J$66*(8*8)+'LINEST VARS'!$I$66*(8*$EB$104)+'LINEST VARS'!$H$66*(8*0.5)+'LINEST VARS'!$G$66*(8*$DV109)+'LINEST VARS'!$F$66*(8*$EB$104)+'LINEST VARS'!$E$66*(8*0.5)+'LINEST VARS'!$D$66*(8*$DV109)+'LINEST VARS'!$C$66*($EB$104*0.5)+'LINEST VARS'!$B$66*($EB$104*$DV109)+'LINEST VARS'!$A$66*(0.5*$DV109)</f>
        <v>140.00000000000006</v>
      </c>
      <c r="EC109" s="46">
        <f>'LINEST VARS'!$U$66+'LINEST VARS'!$T$66*(8)+'LINEST VARS'!$S$66*(8)+'LINEST VARS'!$R$66*($EC$104)+'LINEST VARS'!$Q$66*(0.5)+'LINEST VARS'!$P$66*($DV109)+'LINEST VARS'!$O$66*(8^2)+'LINEST VARS'!$N$66*(8^2)+'LINEST VARS'!$M$66*($EC$104^2)+'LINEST VARS'!$L$66*(0.5^2)+'LINEST VARS'!$K$66*($DV109^2)+'LINEST VARS'!$J$66*(8*8)+'LINEST VARS'!$I$66*(8*$EC$104)+'LINEST VARS'!$H$66*(8*0.5)+'LINEST VARS'!$G$66*(8*$DV109)+'LINEST VARS'!$F$66*(8*$EC$104)+'LINEST VARS'!$E$66*(8*0.5)+'LINEST VARS'!$D$66*(8*$DV109)+'LINEST VARS'!$C$66*($EC$104*0.5)+'LINEST VARS'!$B$66*($EC$104*$DV109)+'LINEST VARS'!$A$66*(0.5*$DV109)</f>
        <v>139.20000000000005</v>
      </c>
      <c r="ED109" s="46">
        <f>'LINEST VARS'!$U$66+'LINEST VARS'!$T$66*(8)+'LINEST VARS'!$S$66*(8)+'LINEST VARS'!$R$66*($ED$104)+'LINEST VARS'!$Q$66*(0.5)+'LINEST VARS'!$P$66*($DV109)+'LINEST VARS'!$O$66*(8^2)+'LINEST VARS'!$N$66*(8^2)+'LINEST VARS'!$M$66*($ED$104^2)+'LINEST VARS'!$L$66*(0.5^2)+'LINEST VARS'!$K$66*($DV109^2)+'LINEST VARS'!$J$66*(8*8)+'LINEST VARS'!$I$66*(8*$ED$104)+'LINEST VARS'!$H$66*(8*0.5)+'LINEST VARS'!$G$66*(8*$DV109)+'LINEST VARS'!$F$66*(8*$ED$104)+'LINEST VARS'!$E$66*(8*0.5)+'LINEST VARS'!$D$66*(8*$DV109)+'LINEST VARS'!$C$66*($ED$104*0.5)+'LINEST VARS'!$B$66*($ED$104*$DV109)+'LINEST VARS'!$A$66*(0.5*$DV109)</f>
        <v>138.40000000000006</v>
      </c>
      <c r="EE109" s="46">
        <f>'LINEST VARS'!$U$66+'LINEST VARS'!$T$66*(8)+'LINEST VARS'!$S$66*(8)+'LINEST VARS'!$R$66*($EE$104)+'LINEST VARS'!$Q$66*(0.5)+'LINEST VARS'!$P$66*($DV109)+'LINEST VARS'!$O$66*(8^2)+'LINEST VARS'!$N$66*(8^2)+'LINEST VARS'!$M$66*($EE$104^2)+'LINEST VARS'!$L$66*(0.5^2)+'LINEST VARS'!$K$66*($DV109^2)+'LINEST VARS'!$J$66*(8*8)+'LINEST VARS'!$I$66*(8*$EE$104)+'LINEST VARS'!$H$66*(8*0.5)+'LINEST VARS'!$G$66*(8*$DV109)+'LINEST VARS'!$F$66*(8*$EE$104)+'LINEST VARS'!$E$66*(8*0.5)+'LINEST VARS'!$D$66*(8*$DV109)+'LINEST VARS'!$C$66*($EE$104*0.5)+'LINEST VARS'!$B$66*($EE$104*$DV109)+'LINEST VARS'!$A$66*(0.5*$DV109)</f>
        <v>137.60000000000005</v>
      </c>
      <c r="EF109" s="46">
        <f>'LINEST VARS'!$U$66+'LINEST VARS'!$T$66*(8)+'LINEST VARS'!$S$66*(8)+'LINEST VARS'!$R$66*($EF$104)+'LINEST VARS'!$Q$66*(0.5)+'LINEST VARS'!$P$66*($DV109)+'LINEST VARS'!$O$66*(8^2)+'LINEST VARS'!$N$66*(8^2)+'LINEST VARS'!$M$66*($EF$104^2)+'LINEST VARS'!$L$66*(0.5^2)+'LINEST VARS'!$K$66*($DV109^2)+'LINEST VARS'!$J$66*(8*8)+'LINEST VARS'!$I$66*(8*$EF$104)+'LINEST VARS'!$H$66*(8*0.5)+'LINEST VARS'!$G$66*(8*$DV109)+'LINEST VARS'!$F$66*(8*$EF$104)+'LINEST VARS'!$E$66*(8*0.5)+'LINEST VARS'!$D$66*(8*$DV109)+'LINEST VARS'!$C$66*($EF$104*0.5)+'LINEST VARS'!$B$66*($EF$104*$DV109)+'LINEST VARS'!$A$66*(0.5*$DV109)</f>
        <v>136.80000000000004</v>
      </c>
      <c r="EG109" s="46">
        <f>'LINEST VARS'!$U$66+'LINEST VARS'!$T$66*(8)+'LINEST VARS'!$S$66*(8)+'LINEST VARS'!$R$66*($EG$104)+'LINEST VARS'!$Q$66*(0.5)+'LINEST VARS'!$P$66*($DV109)+'LINEST VARS'!$O$66*(8^2)+'LINEST VARS'!$N$66*(8^2)+'LINEST VARS'!$M$66*($EG$104^2)+'LINEST VARS'!$L$66*(0.5^2)+'LINEST VARS'!$K$66*($DV109^2)+'LINEST VARS'!$J$66*(8*8)+'LINEST VARS'!$I$66*(8*$EG$104)+'LINEST VARS'!$H$66*(8*0.5)+'LINEST VARS'!$G$66*(8*$DV109)+'LINEST VARS'!$F$66*(8*$EG$104)+'LINEST VARS'!$E$66*(8*0.5)+'LINEST VARS'!$D$66*(8*$DV109)+'LINEST VARS'!$C$66*($EG$104*0.5)+'LINEST VARS'!$B$66*($EG$104*$DV109)+'LINEST VARS'!$A$66*(0.5*$DV109)</f>
        <v>136.00000000000003</v>
      </c>
      <c r="EH109" s="46">
        <f>'LINEST VARS'!$U$66+'LINEST VARS'!$T$66*(8)+'LINEST VARS'!$S$66*(8)+'LINEST VARS'!$R$66*($EH$104)+'LINEST VARS'!$Q$66*(0.5)+'LINEST VARS'!$P$66*($DV109)+'LINEST VARS'!$O$66*(8^2)+'LINEST VARS'!$N$66*(8^2)+'LINEST VARS'!$M$66*($EH$104^2)+'LINEST VARS'!$L$66*(0.5^2)+'LINEST VARS'!$K$66*($DV109^2)+'LINEST VARS'!$J$66*(8*8)+'LINEST VARS'!$I$66*(8*$EH$104)+'LINEST VARS'!$H$66*(8*0.5)+'LINEST VARS'!$G$66*(8*$DV109)+'LINEST VARS'!$F$66*(8*$EH$104)+'LINEST VARS'!$E$66*(8*0.5)+'LINEST VARS'!$D$66*(8*$DV109)+'LINEST VARS'!$C$66*($EH$104*0.5)+'LINEST VARS'!$B$66*($EH$104*$DV109)+'LINEST VARS'!$A$66*(0.5*$DV109)</f>
        <v>135.20000000000002</v>
      </c>
      <c r="EI109" s="46">
        <f>'LINEST VARS'!$U$66+'LINEST VARS'!$T$66*(8)+'LINEST VARS'!$S$66*(8)+'LINEST VARS'!$R$66*($EI$104)+'LINEST VARS'!$Q$66*(0.5)+'LINEST VARS'!$P$66*($DV109)+'LINEST VARS'!$O$66*(8^2)+'LINEST VARS'!$N$66*(8^2)+'LINEST VARS'!$M$66*($EI$104^2)+'LINEST VARS'!$L$66*(0.5^2)+'LINEST VARS'!$K$66*($DV109^2)+'LINEST VARS'!$J$66*(8*8)+'LINEST VARS'!$I$66*(8*$EI$104)+'LINEST VARS'!$H$66*(8*0.5)+'LINEST VARS'!$G$66*(8*$DV109)+'LINEST VARS'!$F$66*(8*$EI$104)+'LINEST VARS'!$E$66*(8*0.5)+'LINEST VARS'!$D$66*(8*$DV109)+'LINEST VARS'!$C$66*($EI$104*0.5)+'LINEST VARS'!$B$66*($EI$104*$DV109)+'LINEST VARS'!$A$66*(0.5*$DV109)</f>
        <v>134.4</v>
      </c>
      <c r="EJ109" s="46">
        <f>'LINEST VARS'!$U$66+'LINEST VARS'!$T$66*(8)+'LINEST VARS'!$S$66*(8)+'LINEST VARS'!$R$66*($EJ$104)+'LINEST VARS'!$Q$66*(0.5)+'LINEST VARS'!$P$66*($DV109)+'LINEST VARS'!$O$66*(8^2)+'LINEST VARS'!$N$66*(8^2)+'LINEST VARS'!$M$66*($EJ$104^2)+'LINEST VARS'!$L$66*(0.5^2)+'LINEST VARS'!$K$66*($DV109^2)+'LINEST VARS'!$J$66*(8*8)+'LINEST VARS'!$I$66*(8*$EJ$104)+'LINEST VARS'!$H$66*(8*0.5)+'LINEST VARS'!$G$66*(8*$DV109)+'LINEST VARS'!$F$66*(8*$EJ$104)+'LINEST VARS'!$E$66*(8*0.5)+'LINEST VARS'!$D$66*(8*$DV109)+'LINEST VARS'!$C$66*($EJ$104*0.5)+'LINEST VARS'!$B$66*($EJ$104*$DV109)+'LINEST VARS'!$A$66*(0.5*$DV109)</f>
        <v>133.60000000000002</v>
      </c>
      <c r="EK109" s="46">
        <f>'LINEST VARS'!$U$66+'LINEST VARS'!$T$66*(8)+'LINEST VARS'!$S$66*(8)+'LINEST VARS'!$R$66*($EK$104)+'LINEST VARS'!$Q$66*(0.5)+'LINEST VARS'!$P$66*($DV109)+'LINEST VARS'!$O$66*(8^2)+'LINEST VARS'!$N$66*(8^2)+'LINEST VARS'!$M$66*($EK$104^2)+'LINEST VARS'!$L$66*(0.5^2)+'LINEST VARS'!$K$66*($DV109^2)+'LINEST VARS'!$J$66*(8*8)+'LINEST VARS'!$I$66*(8*$EK$104)+'LINEST VARS'!$H$66*(8*0.5)+'LINEST VARS'!$G$66*(8*$DV109)+'LINEST VARS'!$F$66*(8*$EK$104)+'LINEST VARS'!$E$66*(8*0.5)+'LINEST VARS'!$D$66*(8*$DV109)+'LINEST VARS'!$C$66*($EK$104*0.5)+'LINEST VARS'!$B$66*($EK$104*$DV109)+'LINEST VARS'!$A$66*(0.5*$DV109)</f>
        <v>132.80000000000001</v>
      </c>
      <c r="EL109" s="46">
        <f>'LINEST VARS'!$U$66+'LINEST VARS'!$T$66*(8)+'LINEST VARS'!$S$66*(8)+'LINEST VARS'!$R$66*($EL$104)+'LINEST VARS'!$Q$66*(0.5)+'LINEST VARS'!$P$66*($DV109)+'LINEST VARS'!$O$66*(8^2)+'LINEST VARS'!$N$66*(8^2)+'LINEST VARS'!$M$66*($EL$104^2)+'LINEST VARS'!$L$66*(0.5^2)+'LINEST VARS'!$K$66*($DV109^2)+'LINEST VARS'!$J$66*(8*8)+'LINEST VARS'!$I$66*(8*$EL$104)+'LINEST VARS'!$H$66*(8*0.5)+'LINEST VARS'!$G$66*(8*$DV109)+'LINEST VARS'!$F$66*(8*$EL$104)+'LINEST VARS'!$E$66*(8*0.5)+'LINEST VARS'!$D$66*(8*$DV109)+'LINEST VARS'!$C$66*($EL$104*0.5)+'LINEST VARS'!$B$66*($EL$104*$DV109)+'LINEST VARS'!$A$66*(0.5*$DV109)</f>
        <v>132.00000000000003</v>
      </c>
      <c r="EM109" s="46">
        <f>'LINEST VARS'!$U$66+'LINEST VARS'!$T$66*(8)+'LINEST VARS'!$S$66*(8)+'LINEST VARS'!$R$66*($EM$104)+'LINEST VARS'!$Q$66*(0.5)+'LINEST VARS'!$P$66*($DV109)+'LINEST VARS'!$O$66*(8^2)+'LINEST VARS'!$N$66*(8^2)+'LINEST VARS'!$M$66*($EM$104^2)+'LINEST VARS'!$L$66*(0.5^2)+'LINEST VARS'!$K$66*($DV109^2)+'LINEST VARS'!$J$66*(8*8)+'LINEST VARS'!$I$66*(8*$EM$104)+'LINEST VARS'!$H$66*(8*0.5)+'LINEST VARS'!$G$66*(8*$DV109)+'LINEST VARS'!$F$66*(8*$EM$104)+'LINEST VARS'!$E$66*(8*0.5)+'LINEST VARS'!$D$66*(8*$DV109)+'LINEST VARS'!$C$66*($EM$104*0.5)+'LINEST VARS'!$B$66*($EM$104*$DV109)+'LINEST VARS'!$A$66*(0.5*$DV109)</f>
        <v>131.20000000000002</v>
      </c>
      <c r="EN109" s="46">
        <f>'LINEST VARS'!$U$66+'LINEST VARS'!$T$66*(8)+'LINEST VARS'!$S$66*(8)+'LINEST VARS'!$R$66*($EN$104)+'LINEST VARS'!$Q$66*(0.5)+'LINEST VARS'!$P$66*($DV109)+'LINEST VARS'!$O$66*(8^2)+'LINEST VARS'!$N$66*(8^2)+'LINEST VARS'!$M$66*($EN$104^2)+'LINEST VARS'!$L$66*(0.5^2)+'LINEST VARS'!$K$66*($DV109^2)+'LINEST VARS'!$J$66*(8*8)+'LINEST VARS'!$I$66*(8*$EN$104)+'LINEST VARS'!$H$66*(8*0.5)+'LINEST VARS'!$G$66*(8*$DV109)+'LINEST VARS'!$F$66*(8*$EN$104)+'LINEST VARS'!$E$66*(8*0.5)+'LINEST VARS'!$D$66*(8*$DV109)+'LINEST VARS'!$C$66*($EN$104*0.5)+'LINEST VARS'!$B$66*($EN$104*$DV109)+'LINEST VARS'!$A$66*(0.5*$DV109)</f>
        <v>130.40000000000006</v>
      </c>
      <c r="EO109" s="46">
        <f>'LINEST VARS'!$U$66+'LINEST VARS'!$T$66*(8)+'LINEST VARS'!$S$66*(8)+'LINEST VARS'!$R$66*($EO$104)+'LINEST VARS'!$Q$66*(0.5)+'LINEST VARS'!$P$66*($DV109)+'LINEST VARS'!$O$66*(8^2)+'LINEST VARS'!$N$66*(8^2)+'LINEST VARS'!$M$66*($EO$104^2)+'LINEST VARS'!$L$66*(0.5^2)+'LINEST VARS'!$K$66*($DV109^2)+'LINEST VARS'!$J$66*(8*8)+'LINEST VARS'!$I$66*(8*$EO$104)+'LINEST VARS'!$H$66*(8*0.5)+'LINEST VARS'!$G$66*(8*$DV109)+'LINEST VARS'!$F$66*(8*$EO$104)+'LINEST VARS'!$E$66*(8*0.5)+'LINEST VARS'!$D$66*(8*$DV109)+'LINEST VARS'!$C$66*($EO$104*0.5)+'LINEST VARS'!$B$66*($EO$104*$DV109)+'LINEST VARS'!$A$66*(0.5*$DV109)</f>
        <v>129.60000000000005</v>
      </c>
      <c r="EP109" s="46">
        <f>'LINEST VARS'!$U$66+'LINEST VARS'!$T$66*(8)+'LINEST VARS'!$S$66*(8)+'LINEST VARS'!$R$66*($EP$104)+'LINEST VARS'!$Q$66*(0.5)+'LINEST VARS'!$P$66*($DV109)+'LINEST VARS'!$O$66*(8^2)+'LINEST VARS'!$N$66*(8^2)+'LINEST VARS'!$M$66*($EP$104^2)+'LINEST VARS'!$L$66*(0.5^2)+'LINEST VARS'!$K$66*($DV109^2)+'LINEST VARS'!$J$66*(8*8)+'LINEST VARS'!$I$66*(8*$EP$104)+'LINEST VARS'!$H$66*(8*0.5)+'LINEST VARS'!$G$66*(8*$DV109)+'LINEST VARS'!$F$66*(8*$EP$104)+'LINEST VARS'!$E$66*(8*0.5)+'LINEST VARS'!$D$66*(8*$DV109)+'LINEST VARS'!$C$66*($EP$104*0.5)+'LINEST VARS'!$B$66*($EP$104*$DV109)+'LINEST VARS'!$A$66*(0.5*$DV109)</f>
        <v>128.80000000000007</v>
      </c>
      <c r="EQ109" s="47">
        <f>'LINEST VARS'!$U$66+'LINEST VARS'!$T$66*(8)+'LINEST VARS'!$S$66*(8)+'LINEST VARS'!$R$66*($EQ$104)+'LINEST VARS'!$Q$66*(0.5)+'LINEST VARS'!$P$66*($DV109)+'LINEST VARS'!$O$66*(8^2)+'LINEST VARS'!$N$66*(8^2)+'LINEST VARS'!$M$66*($EQ$104^2)+'LINEST VARS'!$L$66*(0.5^2)+'LINEST VARS'!$K$66*($DV109^2)+'LINEST VARS'!$J$66*(8*8)+'LINEST VARS'!$I$66*(8*$EQ$104)+'LINEST VARS'!$H$66*(8*0.5)+'LINEST VARS'!$G$66*(8*$DV109)+'LINEST VARS'!$F$66*(8*$EQ$104)+'LINEST VARS'!$E$66*(8*0.5)+'LINEST VARS'!$D$66*(8*$DV109)+'LINEST VARS'!$C$66*($EQ$104*0.5)+'LINEST VARS'!$B$66*($EQ$104*$DV109)+'LINEST VARS'!$A$66*(0.5*$DV109)</f>
        <v>128.00000000000006</v>
      </c>
    </row>
    <row r="110" spans="2:147" ht="15" customHeight="1" x14ac:dyDescent="0.25">
      <c r="B110" s="45">
        <v>7.7</v>
      </c>
      <c r="C110" s="55">
        <f>'LINEST VARS'!$U$64+'LINEST VARS'!$T$64*($C$104)+'LINEST VARS'!$S$64*($B110)+'LINEST VARS'!$R$64*(4)+'LINEST VARS'!$Q$64*(0.5)+'LINEST VARS'!$P$64*(12.73)+'LINEST VARS'!$O$64*($C$104^2)+'LINEST VARS'!$N$64*($B110^2)+'LINEST VARS'!$M$64*(4^2)+'LINEST VARS'!$L$64*(0.5^2)+'LINEST VARS'!$K$64*(12.73^2)+'LINEST VARS'!$J$64*($C$104*$B110)+'LINEST VARS'!$I$64*($C$104*4)+'LINEST VARS'!$H$64*($C$104*0.5)+'LINEST VARS'!$G$64*($C$104*12.73)+'LINEST VARS'!$F$64*($B110*4)+'LINEST VARS'!$E$64*($B110*0.5)+'LINEST VARS'!$D$64*($B110*12.73)+'LINEST VARS'!$C$64*(4*0.5)+'LINEST VARS'!$B$64*(4*12.73)+'LINEST VARS'!$A$64*(0.5*12.73)</f>
        <v>164.18999999999988</v>
      </c>
      <c r="D110" s="55">
        <f>'LINEST VARS'!$U$64+'LINEST VARS'!$T$64*($D$104)+'LINEST VARS'!$S$64*($B110)+'LINEST VARS'!$R$64*(4)+'LINEST VARS'!$Q$64*(0.5)+'LINEST VARS'!$P$64*(12.73)+'LINEST VARS'!$O$64*($D$104^2)+'LINEST VARS'!$N$64*($B110^2)+'LINEST VARS'!$M$64*(4^2)+'LINEST VARS'!$L$64*(0.5^2)+'LINEST VARS'!$K$64*(12.73^2)+'LINEST VARS'!$J$64*($D$104*$B110)+'LINEST VARS'!$I$64*($D$104*4)+'LINEST VARS'!$H$64*($D$104*0.5)+'LINEST VARS'!$G$64*($D$104*12.73)+'LINEST VARS'!$F$64*($B110*4)+'LINEST VARS'!$E$64*($B110*0.5)+'LINEST VARS'!$D$64*($B110*12.73)+'LINEST VARS'!$C$64*(4*0.5)+'LINEST VARS'!$B$64*(4*12.73)+'LINEST VARS'!$A$64*(0.5*12.73)</f>
        <v>164.18999999999988</v>
      </c>
      <c r="E110" s="55">
        <f>'LINEST VARS'!$U$64+'LINEST VARS'!$T$64*($E$104)+'LINEST VARS'!$S$64*($B110)+'LINEST VARS'!$R$64*(4)+'LINEST VARS'!$Q$64*(0.5)+'LINEST VARS'!$P$64*(12.73)+'LINEST VARS'!$O$64*($E$104^2)+'LINEST VARS'!$N$64*($B110^2)+'LINEST VARS'!$M$64*(4^2)+'LINEST VARS'!$L$64*(0.5^2)+'LINEST VARS'!$K$64*(12.73^2)+'LINEST VARS'!$J$64*($E$104*$B110)+'LINEST VARS'!$I$64*($E$104*4)+'LINEST VARS'!$H$64*($E$104*0.5)+'LINEST VARS'!$G$64*($E$104*12.73)+'LINEST VARS'!$F$64*($B110*4)+'LINEST VARS'!$E$64*($B110*0.5)+'LINEST VARS'!$D$64*($B110*12.73)+'LINEST VARS'!$C$64*(4*0.5)+'LINEST VARS'!$B$64*(4*12.73)+'LINEST VARS'!$A$64*(0.5*12.73)</f>
        <v>164.18999999999988</v>
      </c>
      <c r="F110" s="55">
        <f>'LINEST VARS'!$U$64+'LINEST VARS'!$T$64*($F$104)+'LINEST VARS'!$S$64*($B110)+'LINEST VARS'!$R$64*(4)+'LINEST VARS'!$Q$64*(0.5)+'LINEST VARS'!$P$64*(12.73)+'LINEST VARS'!$O$64*($F$104^2)+'LINEST VARS'!$N$64*($B110^2)+'LINEST VARS'!$M$64*(4^2)+'LINEST VARS'!$L$64*(0.5^2)+'LINEST VARS'!$K$64*(12.73^2)+'LINEST VARS'!$J$64*($F$104*$B110)+'LINEST VARS'!$I$64*($F$104*4)+'LINEST VARS'!$H$64*($F$104*0.5)+'LINEST VARS'!$G$64*($F$104*12.73)+'LINEST VARS'!$F$64*($B110*4)+'LINEST VARS'!$E$64*($B110*0.5)+'LINEST VARS'!$D$64*($B110*12.73)+'LINEST VARS'!$C$64*(4*0.5)+'LINEST VARS'!$B$64*(4*12.73)+'LINEST VARS'!$A$64*(0.5*12.73)</f>
        <v>164.18999999999988</v>
      </c>
      <c r="G110" s="55">
        <f>'LINEST VARS'!$U$64+'LINEST VARS'!$T$64*($G$104)+'LINEST VARS'!$S$64*($B110)+'LINEST VARS'!$R$64*(4)+'LINEST VARS'!$Q$64*(0.5)+'LINEST VARS'!$P$64*(12.73)+'LINEST VARS'!$O$64*($G$104^2)+'LINEST VARS'!$N$64*($B110^2)+'LINEST VARS'!$M$64*(4^2)+'LINEST VARS'!$L$64*(0.5^2)+'LINEST VARS'!$K$64*(12.73^2)+'LINEST VARS'!$J$64*($G$104*$B110)+'LINEST VARS'!$I$64*($G$104*4)+'LINEST VARS'!$H$64*($G$104*0.5)+'LINEST VARS'!$G$64*($G$104*12.73)+'LINEST VARS'!$F$64*($B110*4)+'LINEST VARS'!$E$64*($B110*0.5)+'LINEST VARS'!$D$64*($B110*12.73)+'LINEST VARS'!$C$64*(4*0.5)+'LINEST VARS'!$B$64*(4*12.73)+'LINEST VARS'!$A$64*(0.5*12.73)</f>
        <v>164.18999999999991</v>
      </c>
      <c r="H110" s="55">
        <f>'LINEST VARS'!$U$64+'LINEST VARS'!$T$64*($H$104)+'LINEST VARS'!$S$64*($B110)+'LINEST VARS'!$R$64*(4)+'LINEST VARS'!$Q$64*(0.5)+'LINEST VARS'!$P$64*(12.73)+'LINEST VARS'!$O$64*($H$104^2)+'LINEST VARS'!$N$64*($B110^2)+'LINEST VARS'!$M$64*(4^2)+'LINEST VARS'!$L$64*(0.5^2)+'LINEST VARS'!$K$64*(12.73^2)+'LINEST VARS'!$J$64*($H$104*$B110)+'LINEST VARS'!$I$64*($H$104*4)+'LINEST VARS'!$H$64*($H$104*0.5)+'LINEST VARS'!$G$64*($H$104*12.73)+'LINEST VARS'!$F$64*($B110*4)+'LINEST VARS'!$E$64*($B110*0.5)+'LINEST VARS'!$D$64*($B110*12.73)+'LINEST VARS'!$C$64*(4*0.5)+'LINEST VARS'!$B$64*(4*12.73)+'LINEST VARS'!$A$64*(0.5*12.73)</f>
        <v>164.18999999999991</v>
      </c>
      <c r="I110" s="55">
        <f>'LINEST VARS'!$U$64+'LINEST VARS'!$T$64*($I$104)+'LINEST VARS'!$S$64*($B110)+'LINEST VARS'!$R$64*(4)+'LINEST VARS'!$Q$64*(0.5)+'LINEST VARS'!$P$64*(12.73)+'LINEST VARS'!$O$64*($I$104^2)+'LINEST VARS'!$N$64*($B110^2)+'LINEST VARS'!$M$64*(4^2)+'LINEST VARS'!$L$64*(0.5^2)+'LINEST VARS'!$K$64*(12.73^2)+'LINEST VARS'!$J$64*($I$104*$B110)+'LINEST VARS'!$I$64*($I$104*4)+'LINEST VARS'!$H$64*($I$104*0.5)+'LINEST VARS'!$G$64*($I$104*12.73)+'LINEST VARS'!$F$64*($B110*4)+'LINEST VARS'!$E$64*($B110*0.5)+'LINEST VARS'!$D$64*($B110*12.73)+'LINEST VARS'!$C$64*(4*0.5)+'LINEST VARS'!$B$64*(4*12.73)+'LINEST VARS'!$A$64*(0.5*12.73)</f>
        <v>164.18999999999991</v>
      </c>
      <c r="J110" s="55">
        <f>'LINEST VARS'!$U$64+'LINEST VARS'!$T$64*($J$104)+'LINEST VARS'!$S$64*($B110)+'LINEST VARS'!$R$64*(4)+'LINEST VARS'!$Q$64*(0.5)+'LINEST VARS'!$P$64*(12.73)+'LINEST VARS'!$O$64*($J$104^2)+'LINEST VARS'!$N$64*($B110^2)+'LINEST VARS'!$M$64*(4^2)+'LINEST VARS'!$L$64*(0.5^2)+'LINEST VARS'!$K$64*(12.73^2)+'LINEST VARS'!$J$64*($J$104*$B110)+'LINEST VARS'!$I$64*($J$104*4)+'LINEST VARS'!$H$64*($J$104*0.5)+'LINEST VARS'!$G$64*($J$104*12.73)+'LINEST VARS'!$F$64*($B110*4)+'LINEST VARS'!$E$64*($B110*0.5)+'LINEST VARS'!$D$64*($B110*12.73)+'LINEST VARS'!$C$64*(4*0.5)+'LINEST VARS'!$B$64*(4*12.73)+'LINEST VARS'!$A$64*(0.5*12.73)</f>
        <v>164.18999999999991</v>
      </c>
      <c r="K110" s="55">
        <f>'LINEST VARS'!$U$64+'LINEST VARS'!$T$64*($K$104)+'LINEST VARS'!$S$64*($B110)+'LINEST VARS'!$R$64*(4)+'LINEST VARS'!$Q$64*(0.5)+'LINEST VARS'!$P$64*(12.73)+'LINEST VARS'!$O$64*($K$104^2)+'LINEST VARS'!$N$64*($B110^2)+'LINEST VARS'!$M$64*(4^2)+'LINEST VARS'!$L$64*(0.5^2)+'LINEST VARS'!$K$64*(12.73^2)+'LINEST VARS'!$J$64*($K$104*$B110)+'LINEST VARS'!$I$64*($K$104*4)+'LINEST VARS'!$H$64*($K$104*0.5)+'LINEST VARS'!$G$64*($K$104*12.73)+'LINEST VARS'!$F$64*($B110*4)+'LINEST VARS'!$E$64*($B110*0.5)+'LINEST VARS'!$D$64*($B110*12.73)+'LINEST VARS'!$C$64*(4*0.5)+'LINEST VARS'!$B$64*(4*12.73)+'LINEST VARS'!$A$64*(0.5*12.73)</f>
        <v>164.18999999999991</v>
      </c>
      <c r="L110" s="55">
        <f>'LINEST VARS'!$U$64+'LINEST VARS'!$T$64*($L$104)+'LINEST VARS'!$S$64*($B110)+'LINEST VARS'!$R$64*(4)+'LINEST VARS'!$Q$64*(0.5)+'LINEST VARS'!$P$64*(12.73)+'LINEST VARS'!$O$64*($L$104^2)+'LINEST VARS'!$N$64*($B110^2)+'LINEST VARS'!$M$64*(4^2)+'LINEST VARS'!$L$64*(0.5^2)+'LINEST VARS'!$K$64*(12.73^2)+'LINEST VARS'!$J$64*($L$104*$B110)+'LINEST VARS'!$I$64*($L$104*4)+'LINEST VARS'!$H$64*($L$104*0.5)+'LINEST VARS'!$G$64*($L$104*12.73)+'LINEST VARS'!$F$64*($B110*4)+'LINEST VARS'!$E$64*($B110*0.5)+'LINEST VARS'!$D$64*($B110*12.73)+'LINEST VARS'!$C$64*(4*0.5)+'LINEST VARS'!$B$64*(4*12.73)+'LINEST VARS'!$A$64*(0.5*12.73)</f>
        <v>164.18999999999991</v>
      </c>
      <c r="M110" s="55">
        <f>'LINEST VARS'!$U$64+'LINEST VARS'!$T$64*($M$104)+'LINEST VARS'!$S$64*($B110)+'LINEST VARS'!$R$64*(4)+'LINEST VARS'!$Q$64*(0.5)+'LINEST VARS'!$P$64*(12.73)+'LINEST VARS'!$O$64*($M$104^2)+'LINEST VARS'!$N$64*($B110^2)+'LINEST VARS'!$M$64*(4^2)+'LINEST VARS'!$L$64*(0.5^2)+'LINEST VARS'!$K$64*(12.73^2)+'LINEST VARS'!$J$64*($M$104*$B110)+'LINEST VARS'!$I$64*($M$104*4)+'LINEST VARS'!$H$64*($M$104*0.5)+'LINEST VARS'!$G$64*($M$104*12.73)+'LINEST VARS'!$F$64*($B110*4)+'LINEST VARS'!$E$64*($B110*0.5)+'LINEST VARS'!$D$64*($B110*12.73)+'LINEST VARS'!$C$64*(4*0.5)+'LINEST VARS'!$B$64*(4*12.73)+'LINEST VARS'!$A$64*(0.5*12.73)</f>
        <v>164.18999999999991</v>
      </c>
      <c r="N110" s="55">
        <f>'LINEST VARS'!$U$64+'LINEST VARS'!$T$64*($N$104)+'LINEST VARS'!$S$64*($B110)+'LINEST VARS'!$R$64*(4)+'LINEST VARS'!$Q$64*(0.5)+'LINEST VARS'!$P$64*(12.73)+'LINEST VARS'!$O$64*($N$104^2)+'LINEST VARS'!$N$64*($B110^2)+'LINEST VARS'!$M$64*(4^2)+'LINEST VARS'!$L$64*(0.5^2)+'LINEST VARS'!$K$64*(12.73^2)+'LINEST VARS'!$J$64*($N$104*$B110)+'LINEST VARS'!$I$64*($N$104*4)+'LINEST VARS'!$H$64*($N$104*0.5)+'LINEST VARS'!$G$64*($N$104*12.73)+'LINEST VARS'!$F$64*($B110*4)+'LINEST VARS'!$E$64*($B110*0.5)+'LINEST VARS'!$D$64*($B110*12.73)+'LINEST VARS'!$C$64*(4*0.5)+'LINEST VARS'!$B$64*(4*12.73)+'LINEST VARS'!$A$64*(0.5*12.73)</f>
        <v>164.18999999999991</v>
      </c>
      <c r="O110" s="55">
        <f>'LINEST VARS'!$U$64+'LINEST VARS'!$T$64*($O$104)+'LINEST VARS'!$S$64*($B110)+'LINEST VARS'!$R$64*(4)+'LINEST VARS'!$Q$64*(0.5)+'LINEST VARS'!$P$64*(12.73)+'LINEST VARS'!$O$64*($O$104^2)+'LINEST VARS'!$N$64*($B110^2)+'LINEST VARS'!$M$64*(4^2)+'LINEST VARS'!$L$64*(0.5^2)+'LINEST VARS'!$K$64*(12.73^2)+'LINEST VARS'!$J$64*($O$104*$B110)+'LINEST VARS'!$I$64*($O$104*4)+'LINEST VARS'!$H$64*($O$104*0.5)+'LINEST VARS'!$G$64*($O$104*12.73)+'LINEST VARS'!$F$64*($B110*4)+'LINEST VARS'!$E$64*($B110*0.5)+'LINEST VARS'!$D$64*($B110*12.73)+'LINEST VARS'!$C$64*(4*0.5)+'LINEST VARS'!$B$64*(4*12.73)+'LINEST VARS'!$A$64*(0.5*12.73)</f>
        <v>164.18999999999988</v>
      </c>
      <c r="P110" s="55">
        <f>'LINEST VARS'!$U$64+'LINEST VARS'!$T$64*($P$104)+'LINEST VARS'!$S$64*($B110)+'LINEST VARS'!$R$64*(4)+'LINEST VARS'!$Q$64*(0.5)+'LINEST VARS'!$P$64*(12.73)+'LINEST VARS'!$O$64*($P$104^2)+'LINEST VARS'!$N$64*($B110^2)+'LINEST VARS'!$M$64*(4^2)+'LINEST VARS'!$L$64*(0.5^2)+'LINEST VARS'!$K$64*(12.73^2)+'LINEST VARS'!$J$64*($P$104*$B110)+'LINEST VARS'!$I$64*($P$104*4)+'LINEST VARS'!$H$64*($P$104*0.5)+'LINEST VARS'!$G$64*($P$104*12.73)+'LINEST VARS'!$F$64*($B110*4)+'LINEST VARS'!$E$64*($B110*0.5)+'LINEST VARS'!$D$64*($B110*12.73)+'LINEST VARS'!$C$64*(4*0.5)+'LINEST VARS'!$B$64*(4*12.73)+'LINEST VARS'!$A$64*(0.5*12.73)</f>
        <v>164.18999999999991</v>
      </c>
      <c r="Q110" s="55">
        <f>'LINEST VARS'!$U$64+'LINEST VARS'!$T$64*($Q$104)+'LINEST VARS'!$S$64*($B110)+'LINEST VARS'!$R$64*(4)+'LINEST VARS'!$Q$64*(0.5)+'LINEST VARS'!$P$64*(12.73)+'LINEST VARS'!$O$64*($Q$104^2)+'LINEST VARS'!$N$64*($B110^2)+'LINEST VARS'!$M$64*(4^2)+'LINEST VARS'!$L$64*(0.5^2)+'LINEST VARS'!$K$64*(12.73^2)+'LINEST VARS'!$J$64*($Q$104*$B110)+'LINEST VARS'!$I$64*($Q$104*4)+'LINEST VARS'!$H$64*($Q$104*0.5)+'LINEST VARS'!$G$64*($Q$104*12.73)+'LINEST VARS'!$F$64*($B110*4)+'LINEST VARS'!$E$64*($B110*0.5)+'LINEST VARS'!$D$64*($B110*12.73)+'LINEST VARS'!$C$64*(4*0.5)+'LINEST VARS'!$B$64*(4*12.73)+'LINEST VARS'!$A$64*(0.5*12.73)</f>
        <v>164.18999999999991</v>
      </c>
      <c r="R110" s="55">
        <f>'LINEST VARS'!$U$64+'LINEST VARS'!$T$64*($R$104)+'LINEST VARS'!$S$64*($B110)+'LINEST VARS'!$R$64*(4)+'LINEST VARS'!$Q$64*(0.5)+'LINEST VARS'!$P$64*(12.73)+'LINEST VARS'!$O$64*($R$104^2)+'LINEST VARS'!$N$64*($B110^2)+'LINEST VARS'!$M$64*(4^2)+'LINEST VARS'!$L$64*(0.5^2)+'LINEST VARS'!$K$64*(12.73^2)+'LINEST VARS'!$J$64*($R$104*$B110)+'LINEST VARS'!$I$64*($R$104*4)+'LINEST VARS'!$H$64*($R$104*0.5)+'LINEST VARS'!$G$64*($R$104*12.73)+'LINEST VARS'!$F$64*($B110*4)+'LINEST VARS'!$E$64*($B110*0.5)+'LINEST VARS'!$D$64*($B110*12.73)+'LINEST VARS'!$C$64*(4*0.5)+'LINEST VARS'!$B$64*(4*12.73)+'LINEST VARS'!$A$64*(0.5*12.73)</f>
        <v>164.18999999999991</v>
      </c>
      <c r="S110" s="55">
        <f>'LINEST VARS'!$U$64+'LINEST VARS'!$T$64*($S$104)+'LINEST VARS'!$S$64*($B110)+'LINEST VARS'!$R$64*(4)+'LINEST VARS'!$Q$64*(0.5)+'LINEST VARS'!$P$64*(12.73)+'LINEST VARS'!$O$64*($S$104^2)+'LINEST VARS'!$N$64*($B110^2)+'LINEST VARS'!$M$64*(4^2)+'LINEST VARS'!$L$64*(0.5^2)+'LINEST VARS'!$K$64*(12.73^2)+'LINEST VARS'!$J$64*($S$104*$B110)+'LINEST VARS'!$I$64*($S$104*4)+'LINEST VARS'!$H$64*($S$104*0.5)+'LINEST VARS'!$G$64*($S$104*12.73)+'LINEST VARS'!$F$64*($B110*4)+'LINEST VARS'!$E$64*($B110*0.5)+'LINEST VARS'!$D$64*($B110*12.73)+'LINEST VARS'!$C$64*(4*0.5)+'LINEST VARS'!$B$64*(4*12.73)+'LINEST VARS'!$A$64*(0.5*12.73)</f>
        <v>164.18999999999991</v>
      </c>
      <c r="T110" s="55">
        <f>'LINEST VARS'!$U$64+'LINEST VARS'!$T$64*($T$104)+'LINEST VARS'!$S$64*($B110)+'LINEST VARS'!$R$64*(4)+'LINEST VARS'!$Q$64*(0.5)+'LINEST VARS'!$P$64*(12.73)+'LINEST VARS'!$O$64*($T$104^2)+'LINEST VARS'!$N$64*($B110^2)+'LINEST VARS'!$M$64*(4^2)+'LINEST VARS'!$L$64*(0.5^2)+'LINEST VARS'!$K$64*(12.73^2)+'LINEST VARS'!$J$64*($T$104*$B110)+'LINEST VARS'!$I$64*($T$104*4)+'LINEST VARS'!$H$64*($T$104*0.5)+'LINEST VARS'!$G$64*($T$104*12.73)+'LINEST VARS'!$F$64*($B110*4)+'LINEST VARS'!$E$64*($B110*0.5)+'LINEST VARS'!$D$64*($B110*12.73)+'LINEST VARS'!$C$64*(4*0.5)+'LINEST VARS'!$B$64*(4*12.73)+'LINEST VARS'!$A$64*(0.5*12.73)</f>
        <v>164.18999999999988</v>
      </c>
      <c r="U110" s="55">
        <f>'LINEST VARS'!$U$64+'LINEST VARS'!$T$64*($U$104)+'LINEST VARS'!$S$64*($B110)+'LINEST VARS'!$R$64*(4)+'LINEST VARS'!$Q$64*(0.5)+'LINEST VARS'!$P$64*(12.73)+'LINEST VARS'!$O$64*($U$104^2)+'LINEST VARS'!$N$64*($B110^2)+'LINEST VARS'!$M$64*(4^2)+'LINEST VARS'!$L$64*(0.5^2)+'LINEST VARS'!$K$64*(12.73^2)+'LINEST VARS'!$J$64*($U$104*$B110)+'LINEST VARS'!$I$64*($U$104*4)+'LINEST VARS'!$H$64*($U$104*0.5)+'LINEST VARS'!$G$64*($U$104*12.73)+'LINEST VARS'!$F$64*($B110*4)+'LINEST VARS'!$E$64*($B110*0.5)+'LINEST VARS'!$D$64*($B110*12.73)+'LINEST VARS'!$C$64*(4*0.5)+'LINEST VARS'!$B$64*(4*12.73)+'LINEST VARS'!$A$64*(0.5*12.73)</f>
        <v>164.18999999999988</v>
      </c>
      <c r="V110" s="55">
        <f>'LINEST VARS'!$U$64+'LINEST VARS'!$T$64*($V$104)+'LINEST VARS'!$S$64*($B110)+'LINEST VARS'!$R$64*(4)+'LINEST VARS'!$Q$64*(0.5)+'LINEST VARS'!$P$64*(12.73)+'LINEST VARS'!$O$64*($V$104^2)+'LINEST VARS'!$N$64*($B110^2)+'LINEST VARS'!$M$64*(4^2)+'LINEST VARS'!$L$64*(0.5^2)+'LINEST VARS'!$K$64*(12.73^2)+'LINEST VARS'!$J$64*($V$104*$B110)+'LINEST VARS'!$I$64*($V$104*4)+'LINEST VARS'!$H$64*($V$104*0.5)+'LINEST VARS'!$G$64*($V$104*12.73)+'LINEST VARS'!$F$64*($B110*4)+'LINEST VARS'!$E$64*($B110*0.5)+'LINEST VARS'!$D$64*($B110*12.73)+'LINEST VARS'!$C$64*(4*0.5)+'LINEST VARS'!$B$64*(4*12.73)+'LINEST VARS'!$A$64*(0.5*12.73)</f>
        <v>164.18999999999988</v>
      </c>
      <c r="W110" s="56">
        <f>'LINEST VARS'!$U$64+'LINEST VARS'!$T$64*($W$104)+'LINEST VARS'!$S$64*($B110)+'LINEST VARS'!$R$64*(4)+'LINEST VARS'!$Q$64*(0.5)+'LINEST VARS'!$P$64*(12.73)+'LINEST VARS'!$O$64*($W$104^2)+'LINEST VARS'!$N$64*($B110^2)+'LINEST VARS'!$M$64*(4^2)+'LINEST VARS'!$L$64*(0.5^2)+'LINEST VARS'!$K$64*(12.73^2)+'LINEST VARS'!$J$64*($W$104*$B110)+'LINEST VARS'!$I$64*($W$104*4)+'LINEST VARS'!$H$64*($W$104*0.5)+'LINEST VARS'!$G$64*($W$104*12.73)+'LINEST VARS'!$F$64*($B110*4)+'LINEST VARS'!$E$64*($B110*0.5)+'LINEST VARS'!$D$64*($B110*12.73)+'LINEST VARS'!$C$64*(4*0.5)+'LINEST VARS'!$B$64*(4*12.73)+'LINEST VARS'!$A$64*(0.5*12.73)</f>
        <v>164.18999999999988</v>
      </c>
      <c r="Z110" s="45">
        <v>7.7</v>
      </c>
      <c r="AA110" s="46">
        <f>'LINEST VARS'!$U$66+'LINEST VARS'!$T$66*($AA$104)+'LINEST VARS'!$S$66*($Z110)+'LINEST VARS'!$R$66*(4)+'LINEST VARS'!$Q$66*(0.5)+'LINEST VARS'!$P$66*(12.73)+'LINEST VARS'!$O$66*($AA$104^2)+'LINEST VARS'!$N$66*($Z110^2)+'LINEST VARS'!$M$66*(4^2)+'LINEST VARS'!$L$66*(0.5^2)+'LINEST VARS'!$K$66*(12.73^2)+'LINEST VARS'!$J$66*($AA$104*$Z110)+'LINEST VARS'!$I$66*($AA$104*4)+'LINEST VARS'!$H$66*($AA$104*0.5)+'LINEST VARS'!$G$66*($AA$104*12.73)+'LINEST VARS'!$F$66*($Z110*4)+'LINEST VARS'!$E$66*($Z110*0.5)+'LINEST VARS'!$D$66*($Z110*12.73)+'LINEST VARS'!$C$66*(4*0.5)+'LINEST VARS'!$B$66*(4*12.73)+'LINEST VARS'!$A$66*(0.5*12.73)</f>
        <v>134.20000000000007</v>
      </c>
      <c r="AB110" s="46">
        <f>'LINEST VARS'!$U$66+'LINEST VARS'!$T$66*($AB$104)+'LINEST VARS'!$S$66*($Z110)+'LINEST VARS'!$R$66*(4)+'LINEST VARS'!$Q$66*(0.5)+'LINEST VARS'!$P$66*(12.73)+'LINEST VARS'!$O$66*($AB$104^2)+'LINEST VARS'!$N$66*($Z110^2)+'LINEST VARS'!$M$66*(4^2)+'LINEST VARS'!$L$66*(0.5^2)+'LINEST VARS'!$K$66*(12.73^2)+'LINEST VARS'!$J$66*($AB$104*$Z110)+'LINEST VARS'!$I$66*($AB$104*4)+'LINEST VARS'!$H$66*($AB$104*0.5)+'LINEST VARS'!$G$66*($AB$104*12.73)+'LINEST VARS'!$F$66*($Z110*4)+'LINEST VARS'!$E$66*($Z110*0.5)+'LINEST VARS'!$D$66*($Z110*12.73)+'LINEST VARS'!$C$66*(4*0.5)+'LINEST VARS'!$B$66*(4*12.73)+'LINEST VARS'!$A$66*(0.5*12.73)</f>
        <v>134.38000000000008</v>
      </c>
      <c r="AC110" s="46">
        <f>'LINEST VARS'!$U$66+'LINEST VARS'!$T$66*($AC$104)+'LINEST VARS'!$S$66*($Z110)+'LINEST VARS'!$R$66*(4)+'LINEST VARS'!$Q$66*(0.5)+'LINEST VARS'!$P$66*(12.73)+'LINEST VARS'!$O$66*($AC$104^2)+'LINEST VARS'!$N$66*($Z110^2)+'LINEST VARS'!$M$66*(4^2)+'LINEST VARS'!$L$66*(0.5^2)+'LINEST VARS'!$K$66*(12.73^2)+'LINEST VARS'!$J$66*($AC$104*$Z110)+'LINEST VARS'!$I$66*($AC$104*4)+'LINEST VARS'!$H$66*($AC$104*0.5)+'LINEST VARS'!$G$66*($AC$104*12.73)+'LINEST VARS'!$F$66*($Z110*4)+'LINEST VARS'!$E$66*($Z110*0.5)+'LINEST VARS'!$D$66*($Z110*12.73)+'LINEST VARS'!$C$66*(4*0.5)+'LINEST VARS'!$B$66*(4*12.73)+'LINEST VARS'!$A$66*(0.5*12.73)</f>
        <v>134.56000000000006</v>
      </c>
      <c r="AD110" s="46">
        <f>'LINEST VARS'!$U$66+'LINEST VARS'!$T$66*($AD$104)+'LINEST VARS'!$S$66*($Z110)+'LINEST VARS'!$R$66*(4)+'LINEST VARS'!$Q$66*(0.5)+'LINEST VARS'!$P$66*(12.73)+'LINEST VARS'!$O$66*($AD$104^2)+'LINEST VARS'!$N$66*($Z110^2)+'LINEST VARS'!$M$66*(4^2)+'LINEST VARS'!$L$66*(0.5^2)+'LINEST VARS'!$K$66*(12.73^2)+'LINEST VARS'!$J$66*($AD$104*$Z110)+'LINEST VARS'!$I$66*($AD$104*4)+'LINEST VARS'!$H$66*($AD$104*0.5)+'LINEST VARS'!$G$66*($AD$104*12.73)+'LINEST VARS'!$F$66*($Z110*4)+'LINEST VARS'!$E$66*($Z110*0.5)+'LINEST VARS'!$D$66*($Z110*12.73)+'LINEST VARS'!$C$66*(4*0.5)+'LINEST VARS'!$B$66*(4*12.73)+'LINEST VARS'!$A$66*(0.5*12.73)</f>
        <v>134.74000000000007</v>
      </c>
      <c r="AE110" s="46">
        <f>'LINEST VARS'!$U$66+'LINEST VARS'!$T$66*($AE$104)+'LINEST VARS'!$S$66*($Z110)+'LINEST VARS'!$R$66*(4)+'LINEST VARS'!$Q$66*(0.5)+'LINEST VARS'!$P$66*(12.73)+'LINEST VARS'!$O$66*($AE$104^2)+'LINEST VARS'!$N$66*($Z110^2)+'LINEST VARS'!$M$66*(4^2)+'LINEST VARS'!$L$66*(0.5^2)+'LINEST VARS'!$K$66*(12.73^2)+'LINEST VARS'!$J$66*($AE$104*$Z110)+'LINEST VARS'!$I$66*($AE$104*4)+'LINEST VARS'!$H$66*($AE$104*0.5)+'LINEST VARS'!$G$66*($AE$104*12.73)+'LINEST VARS'!$F$66*($Z110*4)+'LINEST VARS'!$E$66*($Z110*0.5)+'LINEST VARS'!$D$66*($Z110*12.73)+'LINEST VARS'!$C$66*(4*0.5)+'LINEST VARS'!$B$66*(4*12.73)+'LINEST VARS'!$A$66*(0.5*12.73)</f>
        <v>134.92000000000007</v>
      </c>
      <c r="AF110" s="46">
        <f>'LINEST VARS'!$U$66+'LINEST VARS'!$T$66*($AF$104)+'LINEST VARS'!$S$66*($Z110)+'LINEST VARS'!$R$66*(4)+'LINEST VARS'!$Q$66*(0.5)+'LINEST VARS'!$P$66*(12.73)+'LINEST VARS'!$O$66*($AF$104^2)+'LINEST VARS'!$N$66*($Z110^2)+'LINEST VARS'!$M$66*(4^2)+'LINEST VARS'!$L$66*(0.5^2)+'LINEST VARS'!$K$66*(12.73^2)+'LINEST VARS'!$J$66*($AF$104*$Z110)+'LINEST VARS'!$I$66*($AF$104*4)+'LINEST VARS'!$H$66*($AF$104*0.5)+'LINEST VARS'!$G$66*($AF$104*12.73)+'LINEST VARS'!$F$66*($Z110*4)+'LINEST VARS'!$E$66*($Z110*0.5)+'LINEST VARS'!$D$66*($Z110*12.73)+'LINEST VARS'!$C$66*(4*0.5)+'LINEST VARS'!$B$66*(4*12.73)+'LINEST VARS'!$A$66*(0.5*12.73)</f>
        <v>135.10000000000008</v>
      </c>
      <c r="AG110" s="46">
        <f>'LINEST VARS'!$U$66+'LINEST VARS'!$T$66*($AG$104)+'LINEST VARS'!$S$66*($Z110)+'LINEST VARS'!$R$66*(4)+'LINEST VARS'!$Q$66*(0.5)+'LINEST VARS'!$P$66*(12.73)+'LINEST VARS'!$O$66*($AG$104^2)+'LINEST VARS'!$N$66*($Z110^2)+'LINEST VARS'!$M$66*(4^2)+'LINEST VARS'!$L$66*(0.5^2)+'LINEST VARS'!$K$66*(12.73^2)+'LINEST VARS'!$J$66*($AG$104*$Z110)+'LINEST VARS'!$I$66*($AG$104*4)+'LINEST VARS'!$H$66*($AG$104*0.5)+'LINEST VARS'!$G$66*($AG$104*12.73)+'LINEST VARS'!$F$66*($Z110*4)+'LINEST VARS'!$E$66*($Z110*0.5)+'LINEST VARS'!$D$66*($Z110*12.73)+'LINEST VARS'!$C$66*(4*0.5)+'LINEST VARS'!$B$66*(4*12.73)+'LINEST VARS'!$A$66*(0.5*12.73)</f>
        <v>135.28000000000006</v>
      </c>
      <c r="AH110" s="46">
        <f>'LINEST VARS'!$U$66+'LINEST VARS'!$T$66*($AH$104)+'LINEST VARS'!$S$66*($Z110)+'LINEST VARS'!$R$66*(4)+'LINEST VARS'!$Q$66*(0.5)+'LINEST VARS'!$P$66*(12.73)+'LINEST VARS'!$O$66*($AH$104^2)+'LINEST VARS'!$N$66*($Z110^2)+'LINEST VARS'!$M$66*(4^2)+'LINEST VARS'!$L$66*(0.5^2)+'LINEST VARS'!$K$66*(12.73^2)+'LINEST VARS'!$J$66*($AH$104*$Z110)+'LINEST VARS'!$I$66*($AH$104*4)+'LINEST VARS'!$H$66*($AH$104*0.5)+'LINEST VARS'!$G$66*($AH$104*12.73)+'LINEST VARS'!$F$66*($Z110*4)+'LINEST VARS'!$E$66*($Z110*0.5)+'LINEST VARS'!$D$66*($Z110*12.73)+'LINEST VARS'!$C$66*(4*0.5)+'LINEST VARS'!$B$66*(4*12.73)+'LINEST VARS'!$A$66*(0.5*12.73)</f>
        <v>135.46000000000006</v>
      </c>
      <c r="AI110" s="46">
        <f>'LINEST VARS'!$U$66+'LINEST VARS'!$T$66*($AI$104)+'LINEST VARS'!$S$66*($Z110)+'LINEST VARS'!$R$66*(4)+'LINEST VARS'!$Q$66*(0.5)+'LINEST VARS'!$P$66*(12.73)+'LINEST VARS'!$O$66*($AI$104^2)+'LINEST VARS'!$N$66*($Z110^2)+'LINEST VARS'!$M$66*(4^2)+'LINEST VARS'!$L$66*(0.5^2)+'LINEST VARS'!$K$66*(12.73^2)+'LINEST VARS'!$J$66*($AI$104*$Z110)+'LINEST VARS'!$I$66*($AI$104*4)+'LINEST VARS'!$H$66*($AI$104*0.5)+'LINEST VARS'!$G$66*($AI$104*12.73)+'LINEST VARS'!$F$66*($Z110*4)+'LINEST VARS'!$E$66*($Z110*0.5)+'LINEST VARS'!$D$66*($Z110*12.73)+'LINEST VARS'!$C$66*(4*0.5)+'LINEST VARS'!$B$66*(4*12.73)+'LINEST VARS'!$A$66*(0.5*12.73)</f>
        <v>135.64000000000007</v>
      </c>
      <c r="AJ110" s="46">
        <f>'LINEST VARS'!$U$66+'LINEST VARS'!$T$66*($AJ$104)+'LINEST VARS'!$S$66*($Z110)+'LINEST VARS'!$R$66*(4)+'LINEST VARS'!$Q$66*(0.5)+'LINEST VARS'!$P$66*(12.73)+'LINEST VARS'!$O$66*($AJ$104^2)+'LINEST VARS'!$N$66*($Z110^2)+'LINEST VARS'!$M$66*(4^2)+'LINEST VARS'!$L$66*(0.5^2)+'LINEST VARS'!$K$66*(12.73^2)+'LINEST VARS'!$J$66*($AJ$104*$Z110)+'LINEST VARS'!$I$66*($AJ$104*4)+'LINEST VARS'!$H$66*($AJ$104*0.5)+'LINEST VARS'!$G$66*($AJ$104*12.73)+'LINEST VARS'!$F$66*($Z110*4)+'LINEST VARS'!$E$66*($Z110*0.5)+'LINEST VARS'!$D$66*($Z110*12.73)+'LINEST VARS'!$C$66*(4*0.5)+'LINEST VARS'!$B$66*(4*12.73)+'LINEST VARS'!$A$66*(0.5*12.73)</f>
        <v>135.82000000000011</v>
      </c>
      <c r="AK110" s="46">
        <f>'LINEST VARS'!$U$66+'LINEST VARS'!$T$66*($AK$104)+'LINEST VARS'!$S$66*($Z110)+'LINEST VARS'!$R$66*(4)+'LINEST VARS'!$Q$66*(0.5)+'LINEST VARS'!$P$66*(12.73)+'LINEST VARS'!$O$66*($AK$104^2)+'LINEST VARS'!$N$66*($Z110^2)+'LINEST VARS'!$M$66*(4^2)+'LINEST VARS'!$L$66*(0.5^2)+'LINEST VARS'!$K$66*(12.73^2)+'LINEST VARS'!$J$66*($AK$104*$Z110)+'LINEST VARS'!$I$66*($AK$104*4)+'LINEST VARS'!$H$66*($AK$104*0.5)+'LINEST VARS'!$G$66*($AK$104*12.73)+'LINEST VARS'!$F$66*($Z110*4)+'LINEST VARS'!$E$66*($Z110*0.5)+'LINEST VARS'!$D$66*($Z110*12.73)+'LINEST VARS'!$C$66*(4*0.5)+'LINEST VARS'!$B$66*(4*12.73)+'LINEST VARS'!$A$66*(0.5*12.73)</f>
        <v>136.00000000000009</v>
      </c>
      <c r="AL110" s="46">
        <f>'LINEST VARS'!$U$66+'LINEST VARS'!$T$66*($AL$104)+'LINEST VARS'!$S$66*($Z110)+'LINEST VARS'!$R$66*(4)+'LINEST VARS'!$Q$66*(0.5)+'LINEST VARS'!$P$66*(12.73)+'LINEST VARS'!$O$66*($AL$104^2)+'LINEST VARS'!$N$66*($Z110^2)+'LINEST VARS'!$M$66*(4^2)+'LINEST VARS'!$L$66*(0.5^2)+'LINEST VARS'!$K$66*(12.73^2)+'LINEST VARS'!$J$66*($AL$104*$Z110)+'LINEST VARS'!$I$66*($AL$104*4)+'LINEST VARS'!$H$66*($AL$104*0.5)+'LINEST VARS'!$G$66*($AL$104*12.73)+'LINEST VARS'!$F$66*($Z110*4)+'LINEST VARS'!$E$66*($Z110*0.5)+'LINEST VARS'!$D$66*($Z110*12.73)+'LINEST VARS'!$C$66*(4*0.5)+'LINEST VARS'!$B$66*(4*12.73)+'LINEST VARS'!$A$66*(0.5*12.73)</f>
        <v>136.18000000000009</v>
      </c>
      <c r="AM110" s="46">
        <f>'LINEST VARS'!$U$66+'LINEST VARS'!$T$66*($AM$104)+'LINEST VARS'!$S$66*($Z110)+'LINEST VARS'!$R$66*(4)+'LINEST VARS'!$Q$66*(0.5)+'LINEST VARS'!$P$66*(12.73)+'LINEST VARS'!$O$66*($AM$104^2)+'LINEST VARS'!$N$66*($Z110^2)+'LINEST VARS'!$M$66*(4^2)+'LINEST VARS'!$L$66*(0.5^2)+'LINEST VARS'!$K$66*(12.73^2)+'LINEST VARS'!$J$66*($AM$104*$Z110)+'LINEST VARS'!$I$66*($AM$104*4)+'LINEST VARS'!$H$66*($AM$104*0.5)+'LINEST VARS'!$G$66*($AM$104*12.73)+'LINEST VARS'!$F$66*($Z110*4)+'LINEST VARS'!$E$66*($Z110*0.5)+'LINEST VARS'!$D$66*($Z110*12.73)+'LINEST VARS'!$C$66*(4*0.5)+'LINEST VARS'!$B$66*(4*12.73)+'LINEST VARS'!$A$66*(0.5*12.73)</f>
        <v>136.3600000000001</v>
      </c>
      <c r="AN110" s="46">
        <f>'LINEST VARS'!$U$66+'LINEST VARS'!$T$66*($AN$104)+'LINEST VARS'!$S$66*($Z110)+'LINEST VARS'!$R$66*(4)+'LINEST VARS'!$Q$66*(0.5)+'LINEST VARS'!$P$66*(12.73)+'LINEST VARS'!$O$66*($AN$104^2)+'LINEST VARS'!$N$66*($Z110^2)+'LINEST VARS'!$M$66*(4^2)+'LINEST VARS'!$L$66*(0.5^2)+'LINEST VARS'!$K$66*(12.73^2)+'LINEST VARS'!$J$66*($AN$104*$Z110)+'LINEST VARS'!$I$66*($AN$104*4)+'LINEST VARS'!$H$66*($AN$104*0.5)+'LINEST VARS'!$G$66*($AN$104*12.73)+'LINEST VARS'!$F$66*($Z110*4)+'LINEST VARS'!$E$66*($Z110*0.5)+'LINEST VARS'!$D$66*($Z110*12.73)+'LINEST VARS'!$C$66*(4*0.5)+'LINEST VARS'!$B$66*(4*12.73)+'LINEST VARS'!$A$66*(0.5*12.73)</f>
        <v>136.54000000000011</v>
      </c>
      <c r="AO110" s="46">
        <f>'LINEST VARS'!$U$66+'LINEST VARS'!$T$66*($AO$104)+'LINEST VARS'!$S$66*($Z110)+'LINEST VARS'!$R$66*(4)+'LINEST VARS'!$Q$66*(0.5)+'LINEST VARS'!$P$66*(12.73)+'LINEST VARS'!$O$66*($AO$104^2)+'LINEST VARS'!$N$66*($Z110^2)+'LINEST VARS'!$M$66*(4^2)+'LINEST VARS'!$L$66*(0.5^2)+'LINEST VARS'!$K$66*(12.73^2)+'LINEST VARS'!$J$66*($AO$104*$Z110)+'LINEST VARS'!$I$66*($AO$104*4)+'LINEST VARS'!$H$66*($AO$104*0.5)+'LINEST VARS'!$G$66*($AO$104*12.73)+'LINEST VARS'!$F$66*($Z110*4)+'LINEST VARS'!$E$66*($Z110*0.5)+'LINEST VARS'!$D$66*($Z110*12.73)+'LINEST VARS'!$C$66*(4*0.5)+'LINEST VARS'!$B$66*(4*12.73)+'LINEST VARS'!$A$66*(0.5*12.73)</f>
        <v>136.72000000000008</v>
      </c>
      <c r="AP110" s="46">
        <f>'LINEST VARS'!$U$66+'LINEST VARS'!$T$66*($AP$104)+'LINEST VARS'!$S$66*($Z110)+'LINEST VARS'!$R$66*(4)+'LINEST VARS'!$Q$66*(0.5)+'LINEST VARS'!$P$66*(12.73)+'LINEST VARS'!$O$66*($AP$104^2)+'LINEST VARS'!$N$66*($Z110^2)+'LINEST VARS'!$M$66*(4^2)+'LINEST VARS'!$L$66*(0.5^2)+'LINEST VARS'!$K$66*(12.73^2)+'LINEST VARS'!$J$66*($AP$104*$Z110)+'LINEST VARS'!$I$66*($AP$104*4)+'LINEST VARS'!$H$66*($AP$104*0.5)+'LINEST VARS'!$G$66*($AP$104*12.73)+'LINEST VARS'!$F$66*($Z110*4)+'LINEST VARS'!$E$66*($Z110*0.5)+'LINEST VARS'!$D$66*($Z110*12.73)+'LINEST VARS'!$C$66*(4*0.5)+'LINEST VARS'!$B$66*(4*12.73)+'LINEST VARS'!$A$66*(0.5*12.73)</f>
        <v>136.90000000000009</v>
      </c>
      <c r="AQ110" s="46">
        <f>'LINEST VARS'!$U$66+'LINEST VARS'!$T$66*($AQ$104)+'LINEST VARS'!$S$66*($Z110)+'LINEST VARS'!$R$66*(4)+'LINEST VARS'!$Q$66*(0.5)+'LINEST VARS'!$P$66*(12.73)+'LINEST VARS'!$O$66*($AQ$104^2)+'LINEST VARS'!$N$66*($Z110^2)+'LINEST VARS'!$M$66*(4^2)+'LINEST VARS'!$L$66*(0.5^2)+'LINEST VARS'!$K$66*(12.73^2)+'LINEST VARS'!$J$66*($AQ$104*$Z110)+'LINEST VARS'!$I$66*($AQ$104*4)+'LINEST VARS'!$H$66*($AQ$104*0.5)+'LINEST VARS'!$G$66*($AQ$104*12.73)+'LINEST VARS'!$F$66*($Z110*4)+'LINEST VARS'!$E$66*($Z110*0.5)+'LINEST VARS'!$D$66*($Z110*12.73)+'LINEST VARS'!$C$66*(4*0.5)+'LINEST VARS'!$B$66*(4*12.73)+'LINEST VARS'!$A$66*(0.5*12.73)</f>
        <v>137.0800000000001</v>
      </c>
      <c r="AR110" s="46">
        <f>'LINEST VARS'!$U$66+'LINEST VARS'!$T$66*($AR$104)+'LINEST VARS'!$S$66*($Z110)+'LINEST VARS'!$R$66*(4)+'LINEST VARS'!$Q$66*(0.5)+'LINEST VARS'!$P$66*(12.73)+'LINEST VARS'!$O$66*($AR$104^2)+'LINEST VARS'!$N$66*($Z110^2)+'LINEST VARS'!$M$66*(4^2)+'LINEST VARS'!$L$66*(0.5^2)+'LINEST VARS'!$K$66*(12.73^2)+'LINEST VARS'!$J$66*($AR$104*$Z110)+'LINEST VARS'!$I$66*($AR$104*4)+'LINEST VARS'!$H$66*($AR$104*0.5)+'LINEST VARS'!$G$66*($AR$104*12.73)+'LINEST VARS'!$F$66*($Z110*4)+'LINEST VARS'!$E$66*($Z110*0.5)+'LINEST VARS'!$D$66*($Z110*12.73)+'LINEST VARS'!$C$66*(4*0.5)+'LINEST VARS'!$B$66*(4*12.73)+'LINEST VARS'!$A$66*(0.5*12.73)</f>
        <v>137.2600000000001</v>
      </c>
      <c r="AS110" s="46">
        <f>'LINEST VARS'!$U$66+'LINEST VARS'!$T$66*($AS$104)+'LINEST VARS'!$S$66*($Z110)+'LINEST VARS'!$R$66*(4)+'LINEST VARS'!$Q$66*(0.5)+'LINEST VARS'!$P$66*(12.73)+'LINEST VARS'!$O$66*($AS$104^2)+'LINEST VARS'!$N$66*($Z110^2)+'LINEST VARS'!$M$66*(4^2)+'LINEST VARS'!$L$66*(0.5^2)+'LINEST VARS'!$K$66*(12.73^2)+'LINEST VARS'!$J$66*($AS$104*$Z110)+'LINEST VARS'!$I$66*($AS$104*4)+'LINEST VARS'!$H$66*($AS$104*0.5)+'LINEST VARS'!$G$66*($AS$104*12.73)+'LINEST VARS'!$F$66*($Z110*4)+'LINEST VARS'!$E$66*($Z110*0.5)+'LINEST VARS'!$D$66*($Z110*12.73)+'LINEST VARS'!$C$66*(4*0.5)+'LINEST VARS'!$B$66*(4*12.73)+'LINEST VARS'!$A$66*(0.5*12.73)</f>
        <v>137.44000000000008</v>
      </c>
      <c r="AT110" s="46">
        <f>'LINEST VARS'!$U$66+'LINEST VARS'!$T$66*($AT$104)+'LINEST VARS'!$S$66*($Z110)+'LINEST VARS'!$R$66*(4)+'LINEST VARS'!$Q$66*(0.5)+'LINEST VARS'!$P$66*(12.73)+'LINEST VARS'!$O$66*($AT$104^2)+'LINEST VARS'!$N$66*($Z110^2)+'LINEST VARS'!$M$66*(4^2)+'LINEST VARS'!$L$66*(0.5^2)+'LINEST VARS'!$K$66*(12.73^2)+'LINEST VARS'!$J$66*($AT$104*$Z110)+'LINEST VARS'!$I$66*($AT$104*4)+'LINEST VARS'!$H$66*($AT$104*0.5)+'LINEST VARS'!$G$66*($AT$104*12.73)+'LINEST VARS'!$F$66*($Z110*4)+'LINEST VARS'!$E$66*($Z110*0.5)+'LINEST VARS'!$D$66*($Z110*12.73)+'LINEST VARS'!$C$66*(4*0.5)+'LINEST VARS'!$B$66*(4*12.73)+'LINEST VARS'!$A$66*(0.5*12.73)</f>
        <v>137.62000000000009</v>
      </c>
      <c r="AU110" s="47">
        <f>'LINEST VARS'!$U$66+'LINEST VARS'!$T$66*($AU$104)+'LINEST VARS'!$S$66*($Z110)+'LINEST VARS'!$R$66*(4)+'LINEST VARS'!$Q$66*(0.5)+'LINEST VARS'!$P$66*(12.73)+'LINEST VARS'!$O$66*($AU$104^2)+'LINEST VARS'!$N$66*($Z110^2)+'LINEST VARS'!$M$66*(4^2)+'LINEST VARS'!$L$66*(0.5^2)+'LINEST VARS'!$K$66*(12.73^2)+'LINEST VARS'!$J$66*($AU$104*$Z110)+'LINEST VARS'!$I$66*($AU$104*4)+'LINEST VARS'!$H$66*($AU$104*0.5)+'LINEST VARS'!$G$66*($AU$104*12.73)+'LINEST VARS'!$F$66*($Z110*4)+'LINEST VARS'!$E$66*($Z110*0.5)+'LINEST VARS'!$D$66*($Z110*12.73)+'LINEST VARS'!$C$66*(4*0.5)+'LINEST VARS'!$B$66*(4*12.73)+'LINEST VARS'!$A$66*(0.5*12.73)</f>
        <v>137.8000000000001</v>
      </c>
      <c r="AZ110" s="45">
        <v>0.25</v>
      </c>
      <c r="BA110" s="55">
        <f>'LINEST VARS'!$U$64+'LINEST VARS'!$T$64*(8)+'LINEST VARS'!$S$64*(8)+'LINEST VARS'!$R$64*($BA$104)+'LINEST VARS'!$Q$64*($AZ110)+'LINEST VARS'!$P$64*(12.73)+'LINEST VARS'!$O$64*(8^2)+'LINEST VARS'!$N$64*(8^2)+'LINEST VARS'!$M$64*($BA$104^2)+'LINEST VARS'!$L$64*($AZ110^2)+'LINEST VARS'!$K$64*(12.73^2)+'LINEST VARS'!$J$64*(8*8)+'LINEST VARS'!$I$64*(8*$BA$104)+'LINEST VARS'!$H$64*(8*$AZ110)+'LINEST VARS'!$G$64*(8*12.73)+'LINEST VARS'!$F$64*(8*$BA$104)+'LINEST VARS'!$E$64*(8*$AZ110)+'LINEST VARS'!$D$64*(8*12.73)+'LINEST VARS'!$C$64*($BA$104*$AZ110)+'LINEST VARS'!$B$64*($BA$104*12.73)+'LINEST VARS'!$A$64*($AZ110*12.73)</f>
        <v>148.18999999999988</v>
      </c>
      <c r="BB110" s="55">
        <f>'LINEST VARS'!$U$64+'LINEST VARS'!$T$64*(8)+'LINEST VARS'!$S$64*(8)+'LINEST VARS'!$R$64*($BB$104)+'LINEST VARS'!$Q$64*($AZ110)+'LINEST VARS'!$P$64*(12.73)+'LINEST VARS'!$O$64*(8^2)+'LINEST VARS'!$N$64*(8^2)+'LINEST VARS'!$M$64*($BB$104^2)+'LINEST VARS'!$L$64*($AZ110^2)+'LINEST VARS'!$K$64*(12.73^2)+'LINEST VARS'!$J$64*(8*8)+'LINEST VARS'!$I$64*(8*$BB$104)+'LINEST VARS'!$H$64*(8*$AZ110)+'LINEST VARS'!$G$64*(8*12.73)+'LINEST VARS'!$F$64*(8*$BB$104)+'LINEST VARS'!$E$64*(8*$AZ110)+'LINEST VARS'!$D$64*(8*12.73)+'LINEST VARS'!$C$64*($BB$104*$AZ110)+'LINEST VARS'!$B$64*($BB$104*12.73)+'LINEST VARS'!$A$64*($AZ110*12.73)</f>
        <v>149.78999999999988</v>
      </c>
      <c r="BC110" s="55">
        <f>'LINEST VARS'!$U$64+'LINEST VARS'!$T$64*(8)+'LINEST VARS'!$S$64*(8)+'LINEST VARS'!$R$64*($BC$104)+'LINEST VARS'!$Q$64*($AZ110)+'LINEST VARS'!$P$64*(12.73)+'LINEST VARS'!$O$64*(8^2)+'LINEST VARS'!$N$64*(8^2)+'LINEST VARS'!$M$64*($BC$104^2)+'LINEST VARS'!$L$64*($AZ110^2)+'LINEST VARS'!$K$64*(12.73^2)+'LINEST VARS'!$J$64*(8*8)+'LINEST VARS'!$I$64*(8*$BC$104)+'LINEST VARS'!$H$64*(8*$AZ110)+'LINEST VARS'!$G$64*(8*12.73)+'LINEST VARS'!$F$64*(8*$BC$104)+'LINEST VARS'!$E$64*(8*$AZ110)+'LINEST VARS'!$D$64*(8*12.73)+'LINEST VARS'!$C$64*($BC$104*$AZ110)+'LINEST VARS'!$B$64*($BC$104*12.73)+'LINEST VARS'!$A$64*($AZ110*12.73)</f>
        <v>151.38999999999987</v>
      </c>
      <c r="BD110" s="55">
        <f>'LINEST VARS'!$U$64+'LINEST VARS'!$T$64*(8)+'LINEST VARS'!$S$64*(8)+'LINEST VARS'!$R$64*($BD$104)+'LINEST VARS'!$Q$64*($AZ110)+'LINEST VARS'!$P$64*(12.73)+'LINEST VARS'!$O$64*(8^2)+'LINEST VARS'!$N$64*(8^2)+'LINEST VARS'!$M$64*($BD$104^2)+'LINEST VARS'!$L$64*($AZ110^2)+'LINEST VARS'!$K$64*(12.73^2)+'LINEST VARS'!$J$64*(8*8)+'LINEST VARS'!$I$64*(8*$BD$104)+'LINEST VARS'!$H$64*(8*$AZ110)+'LINEST VARS'!$G$64*(8*12.73)+'LINEST VARS'!$F$64*(8*$BD$104)+'LINEST VARS'!$E$64*(8*$AZ110)+'LINEST VARS'!$D$64*(8*12.73)+'LINEST VARS'!$C$64*($BD$104*$AZ110)+'LINEST VARS'!$B$64*($BD$104*12.73)+'LINEST VARS'!$A$64*($AZ110*12.73)</f>
        <v>152.9899999999999</v>
      </c>
      <c r="BE110" s="55">
        <f>'LINEST VARS'!$U$64+'LINEST VARS'!$T$64*(8)+'LINEST VARS'!$S$64*(8)+'LINEST VARS'!$R$64*($BE$104)+'LINEST VARS'!$Q$64*($AZ110)+'LINEST VARS'!$P$64*(12.73)+'LINEST VARS'!$O$64*(8^2)+'LINEST VARS'!$N$64*(8^2)+'LINEST VARS'!$M$64*($BE$104^2)+'LINEST VARS'!$L$64*($AZ110^2)+'LINEST VARS'!$K$64*(12.73^2)+'LINEST VARS'!$J$64*(8*8)+'LINEST VARS'!$I$64*(8*$BE$104)+'LINEST VARS'!$H$64*(8*$AZ110)+'LINEST VARS'!$G$64*(8*12.73)+'LINEST VARS'!$F$64*(8*$BE$104)+'LINEST VARS'!$E$64*(8*$AZ110)+'LINEST VARS'!$D$64*(8*12.73)+'LINEST VARS'!$C$64*($BE$104*$AZ110)+'LINEST VARS'!$B$64*($BE$104*12.73)+'LINEST VARS'!$A$64*($AZ110*12.73)</f>
        <v>154.58999999999989</v>
      </c>
      <c r="BF110" s="55">
        <f>'LINEST VARS'!$U$64+'LINEST VARS'!$T$64*(8)+'LINEST VARS'!$S$64*(8)+'LINEST VARS'!$R$64*($BF$104)+'LINEST VARS'!$Q$64*($AZ110)+'LINEST VARS'!$P$64*(12.73)+'LINEST VARS'!$O$64*(8^2)+'LINEST VARS'!$N$64*(8^2)+'LINEST VARS'!$M$64*($BF$104^2)+'LINEST VARS'!$L$64*($AZ110^2)+'LINEST VARS'!$K$64*(12.73^2)+'LINEST VARS'!$J$64*(8*8)+'LINEST VARS'!$I$64*(8*$BF$104)+'LINEST VARS'!$H$64*(8*$AZ110)+'LINEST VARS'!$G$64*(8*12.73)+'LINEST VARS'!$F$64*(8*$BF$104)+'LINEST VARS'!$E$64*(8*$AZ110)+'LINEST VARS'!$D$64*(8*12.73)+'LINEST VARS'!$C$64*($BF$104*$AZ110)+'LINEST VARS'!$B$64*($BF$104*12.73)+'LINEST VARS'!$A$64*($AZ110*12.73)</f>
        <v>156.18999999999988</v>
      </c>
      <c r="BG110" s="55">
        <f>'LINEST VARS'!$U$64+'LINEST VARS'!$T$64*(8)+'LINEST VARS'!$S$64*(8)+'LINEST VARS'!$R$64*($BG$104)+'LINEST VARS'!$Q$64*($AZ110)+'LINEST VARS'!$P$64*(12.73)+'LINEST VARS'!$O$64*(8^2)+'LINEST VARS'!$N$64*(8^2)+'LINEST VARS'!$M$64*($BG$104^2)+'LINEST VARS'!$L$64*($AZ110^2)+'LINEST VARS'!$K$64*(12.73^2)+'LINEST VARS'!$J$64*(8*8)+'LINEST VARS'!$I$64*(8*$BG$104)+'LINEST VARS'!$H$64*(8*$AZ110)+'LINEST VARS'!$G$64*(8*12.73)+'LINEST VARS'!$F$64*(8*$BG$104)+'LINEST VARS'!$E$64*(8*$AZ110)+'LINEST VARS'!$D$64*(8*12.73)+'LINEST VARS'!$C$64*($BG$104*$AZ110)+'LINEST VARS'!$B$64*($BG$104*12.73)+'LINEST VARS'!$A$64*($AZ110*12.73)</f>
        <v>157.78999999999988</v>
      </c>
      <c r="BH110" s="55">
        <f>'LINEST VARS'!$U$64+'LINEST VARS'!$T$64*(8)+'LINEST VARS'!$S$64*(8)+'LINEST VARS'!$R$64*($BH$104)+'LINEST VARS'!$Q$64*($AZ110)+'LINEST VARS'!$P$64*(12.73)+'LINEST VARS'!$O$64*(8^2)+'LINEST VARS'!$N$64*(8^2)+'LINEST VARS'!$M$64*($BH$104^2)+'LINEST VARS'!$L$64*($AZ110^2)+'LINEST VARS'!$K$64*(12.73^2)+'LINEST VARS'!$J$64*(8*8)+'LINEST VARS'!$I$64*(8*$BH$104)+'LINEST VARS'!$H$64*(8*$AZ110)+'LINEST VARS'!$G$64*(8*12.73)+'LINEST VARS'!$F$64*(8*$BH$104)+'LINEST VARS'!$E$64*(8*$AZ110)+'LINEST VARS'!$D$64*(8*12.73)+'LINEST VARS'!$C$64*($BH$104*$AZ110)+'LINEST VARS'!$B$64*($BH$104*12.73)+'LINEST VARS'!$A$64*($AZ110*12.73)</f>
        <v>159.38999999999987</v>
      </c>
      <c r="BI110" s="55">
        <f>'LINEST VARS'!$U$64+'LINEST VARS'!$T$64*(8)+'LINEST VARS'!$S$64*(8)+'LINEST VARS'!$R$64*($BI$104)+'LINEST VARS'!$Q$64*($AZ110)+'LINEST VARS'!$P$64*(12.73)+'LINEST VARS'!$O$64*(8^2)+'LINEST VARS'!$N$64*(8^2)+'LINEST VARS'!$M$64*($BI$104^2)+'LINEST VARS'!$L$64*($AZ110^2)+'LINEST VARS'!$K$64*(12.73^2)+'LINEST VARS'!$J$64*(8*8)+'LINEST VARS'!$I$64*(8*$BI$104)+'LINEST VARS'!$H$64*(8*$AZ110)+'LINEST VARS'!$G$64*(8*12.73)+'LINEST VARS'!$F$64*(8*$BI$104)+'LINEST VARS'!$E$64*(8*$AZ110)+'LINEST VARS'!$D$64*(8*12.73)+'LINEST VARS'!$C$64*($BI$104*$AZ110)+'LINEST VARS'!$B$64*($BI$104*12.73)+'LINEST VARS'!$A$64*($AZ110*12.73)</f>
        <v>160.9899999999999</v>
      </c>
      <c r="BJ110" s="55">
        <f>'LINEST VARS'!$U$64+'LINEST VARS'!$T$64*(8)+'LINEST VARS'!$S$64*(8)+'LINEST VARS'!$R$64*($BJ$104)+'LINEST VARS'!$Q$64*($AZ110)+'LINEST VARS'!$P$64*(12.73)+'LINEST VARS'!$O$64*(8^2)+'LINEST VARS'!$N$64*(8^2)+'LINEST VARS'!$M$64*($BJ$104^2)+'LINEST VARS'!$L$64*($AZ110^2)+'LINEST VARS'!$K$64*(12.73^2)+'LINEST VARS'!$J$64*(8*8)+'LINEST VARS'!$I$64*(8*$BJ$104)+'LINEST VARS'!$H$64*(8*$AZ110)+'LINEST VARS'!$G$64*(8*12.73)+'LINEST VARS'!$F$64*(8*$BJ$104)+'LINEST VARS'!$E$64*(8*$AZ110)+'LINEST VARS'!$D$64*(8*12.73)+'LINEST VARS'!$C$64*($BJ$104*$AZ110)+'LINEST VARS'!$B$64*($BJ$104*12.73)+'LINEST VARS'!$A$64*($AZ110*12.73)</f>
        <v>162.58999999999989</v>
      </c>
      <c r="BK110" s="55">
        <f>'LINEST VARS'!$U$64+'LINEST VARS'!$T$64*(8)+'LINEST VARS'!$S$64*(8)+'LINEST VARS'!$R$64*($BK$104)+'LINEST VARS'!$Q$64*($AZ110)+'LINEST VARS'!$P$64*(12.73)+'LINEST VARS'!$O$64*(8^2)+'LINEST VARS'!$N$64*(8^2)+'LINEST VARS'!$M$64*($BK$104^2)+'LINEST VARS'!$L$64*($AZ110^2)+'LINEST VARS'!$K$64*(12.73^2)+'LINEST VARS'!$J$64*(8*8)+'LINEST VARS'!$I$64*(8*$BK$104)+'LINEST VARS'!$H$64*(8*$AZ110)+'LINEST VARS'!$G$64*(8*12.73)+'LINEST VARS'!$F$64*(8*$BK$104)+'LINEST VARS'!$E$64*(8*$AZ110)+'LINEST VARS'!$D$64*(8*12.73)+'LINEST VARS'!$C$64*($BK$104*$AZ110)+'LINEST VARS'!$B$64*($BK$104*12.73)+'LINEST VARS'!$A$64*($AZ110*12.73)</f>
        <v>164.18999999999988</v>
      </c>
      <c r="BL110" s="55">
        <f>'LINEST VARS'!$U$64+'LINEST VARS'!$T$64*(8)+'LINEST VARS'!$S$64*(8)+'LINEST VARS'!$R$64*($BL$104)+'LINEST VARS'!$Q$64*($AZ110)+'LINEST VARS'!$P$64*(12.73)+'LINEST VARS'!$O$64*(8^2)+'LINEST VARS'!$N$64*(8^2)+'LINEST VARS'!$M$64*($BL$104^2)+'LINEST VARS'!$L$64*($AZ110^2)+'LINEST VARS'!$K$64*(12.73^2)+'LINEST VARS'!$J$64*(8*8)+'LINEST VARS'!$I$64*(8*$BL$104)+'LINEST VARS'!$H$64*(8*$AZ110)+'LINEST VARS'!$G$64*(8*12.73)+'LINEST VARS'!$F$64*(8*$BL$104)+'LINEST VARS'!$E$64*(8*$AZ110)+'LINEST VARS'!$D$64*(8*12.73)+'LINEST VARS'!$C$64*($BL$104*$AZ110)+'LINEST VARS'!$B$64*($BL$104*12.73)+'LINEST VARS'!$A$64*($AZ110*12.73)</f>
        <v>165.78999999999991</v>
      </c>
      <c r="BM110" s="55">
        <f>'LINEST VARS'!$U$64+'LINEST VARS'!$T$64*(8)+'LINEST VARS'!$S$64*(8)+'LINEST VARS'!$R$64*($BM$104)+'LINEST VARS'!$Q$64*($AZ110)+'LINEST VARS'!$P$64*(12.73)+'LINEST VARS'!$O$64*(8^2)+'LINEST VARS'!$N$64*(8^2)+'LINEST VARS'!$M$64*($BM$104^2)+'LINEST VARS'!$L$64*($AZ110^2)+'LINEST VARS'!$K$64*(12.73^2)+'LINEST VARS'!$J$64*(8*8)+'LINEST VARS'!$I$64*(8*$BM$104)+'LINEST VARS'!$H$64*(8*$AZ110)+'LINEST VARS'!$G$64*(8*12.73)+'LINEST VARS'!$F$64*(8*$BM$104)+'LINEST VARS'!$E$64*(8*$AZ110)+'LINEST VARS'!$D$64*(8*12.73)+'LINEST VARS'!$C$64*($BM$104*$AZ110)+'LINEST VARS'!$B$64*($BM$104*12.73)+'LINEST VARS'!$A$64*($AZ110*12.73)</f>
        <v>167.38999999999987</v>
      </c>
      <c r="BN110" s="55">
        <f>'LINEST VARS'!$U$64+'LINEST VARS'!$T$64*(8)+'LINEST VARS'!$S$64*(8)+'LINEST VARS'!$R$64*($BN$104)+'LINEST VARS'!$Q$64*($AZ110)+'LINEST VARS'!$P$64*(12.73)+'LINEST VARS'!$O$64*(8^2)+'LINEST VARS'!$N$64*(8^2)+'LINEST VARS'!$M$64*($BN$104^2)+'LINEST VARS'!$L$64*($AZ110^2)+'LINEST VARS'!$K$64*(12.73^2)+'LINEST VARS'!$J$64*(8*8)+'LINEST VARS'!$I$64*(8*$BN$104)+'LINEST VARS'!$H$64*(8*$AZ110)+'LINEST VARS'!$G$64*(8*12.73)+'LINEST VARS'!$F$64*(8*$BN$104)+'LINEST VARS'!$E$64*(8*$AZ110)+'LINEST VARS'!$D$64*(8*12.73)+'LINEST VARS'!$C$64*($BN$104*$AZ110)+'LINEST VARS'!$B$64*($BN$104*12.73)+'LINEST VARS'!$A$64*($AZ110*12.73)</f>
        <v>168.9899999999999</v>
      </c>
      <c r="BO110" s="55">
        <f>'LINEST VARS'!$U$64+'LINEST VARS'!$T$64*(8)+'LINEST VARS'!$S$64*(8)+'LINEST VARS'!$R$64*($BO$104)+'LINEST VARS'!$Q$64*($AZ110)+'LINEST VARS'!$P$64*(12.73)+'LINEST VARS'!$O$64*(8^2)+'LINEST VARS'!$N$64*(8^2)+'LINEST VARS'!$M$64*($BO$104^2)+'LINEST VARS'!$L$64*($AZ110^2)+'LINEST VARS'!$K$64*(12.73^2)+'LINEST VARS'!$J$64*(8*8)+'LINEST VARS'!$I$64*(8*$BO$104)+'LINEST VARS'!$H$64*(8*$AZ110)+'LINEST VARS'!$G$64*(8*12.73)+'LINEST VARS'!$F$64*(8*$BO$104)+'LINEST VARS'!$E$64*(8*$AZ110)+'LINEST VARS'!$D$64*(8*12.73)+'LINEST VARS'!$C$64*($BO$104*$AZ110)+'LINEST VARS'!$B$64*($BO$104*12.73)+'LINEST VARS'!$A$64*($AZ110*12.73)</f>
        <v>170.58999999999989</v>
      </c>
      <c r="BP110" s="55">
        <f>'LINEST VARS'!$U$64+'LINEST VARS'!$T$64*(8)+'LINEST VARS'!$S$64*(8)+'LINEST VARS'!$R$64*($BP$104)+'LINEST VARS'!$Q$64*($AZ110)+'LINEST VARS'!$P$64*(12.73)+'LINEST VARS'!$O$64*(8^2)+'LINEST VARS'!$N$64*(8^2)+'LINEST VARS'!$M$64*($BP$104^2)+'LINEST VARS'!$L$64*($AZ110^2)+'LINEST VARS'!$K$64*(12.73^2)+'LINEST VARS'!$J$64*(8*8)+'LINEST VARS'!$I$64*(8*$BP$104)+'LINEST VARS'!$H$64*(8*$AZ110)+'LINEST VARS'!$G$64*(8*12.73)+'LINEST VARS'!$F$64*(8*$BP$104)+'LINEST VARS'!$E$64*(8*$AZ110)+'LINEST VARS'!$D$64*(8*12.73)+'LINEST VARS'!$C$64*($BP$104*$AZ110)+'LINEST VARS'!$B$64*($BP$104*12.73)+'LINEST VARS'!$A$64*($AZ110*12.73)</f>
        <v>172.18999999999986</v>
      </c>
      <c r="BQ110" s="55">
        <f>'LINEST VARS'!$U$64+'LINEST VARS'!$T$64*(8)+'LINEST VARS'!$S$64*(8)+'LINEST VARS'!$R$64*($BQ$104)+'LINEST VARS'!$Q$64*($AZ110)+'LINEST VARS'!$P$64*(12.73)+'LINEST VARS'!$O$64*(8^2)+'LINEST VARS'!$N$64*(8^2)+'LINEST VARS'!$M$64*($BQ$104^2)+'LINEST VARS'!$L$64*($AZ110^2)+'LINEST VARS'!$K$64*(12.73^2)+'LINEST VARS'!$J$64*(8*8)+'LINEST VARS'!$I$64*(8*$BQ$104)+'LINEST VARS'!$H$64*(8*$AZ110)+'LINEST VARS'!$G$64*(8*12.73)+'LINEST VARS'!$F$64*(8*$BQ$104)+'LINEST VARS'!$E$64*(8*$AZ110)+'LINEST VARS'!$D$64*(8*12.73)+'LINEST VARS'!$C$64*($BQ$104*$AZ110)+'LINEST VARS'!$B$64*($BQ$104*12.73)+'LINEST VARS'!$A$64*($AZ110*12.73)</f>
        <v>173.78999999999988</v>
      </c>
      <c r="BR110" s="55">
        <f>'LINEST VARS'!$U$64+'LINEST VARS'!$T$64*(8)+'LINEST VARS'!$S$64*(8)+'LINEST VARS'!$R$64*($BR$104)+'LINEST VARS'!$Q$64*($AZ110)+'LINEST VARS'!$P$64*(12.73)+'LINEST VARS'!$O$64*(8^2)+'LINEST VARS'!$N$64*(8^2)+'LINEST VARS'!$M$64*($BR$104^2)+'LINEST VARS'!$L$64*($AZ110^2)+'LINEST VARS'!$K$64*(12.73^2)+'LINEST VARS'!$J$64*(8*8)+'LINEST VARS'!$I$64*(8*$BR$104)+'LINEST VARS'!$H$64*(8*$AZ110)+'LINEST VARS'!$G$64*(8*12.73)+'LINEST VARS'!$F$64*(8*$BR$104)+'LINEST VARS'!$E$64*(8*$AZ110)+'LINEST VARS'!$D$64*(8*12.73)+'LINEST VARS'!$C$64*($BR$104*$AZ110)+'LINEST VARS'!$B$64*($BR$104*12.73)+'LINEST VARS'!$A$64*($AZ110*12.73)</f>
        <v>175.3899999999999</v>
      </c>
      <c r="BS110" s="55">
        <f>'LINEST VARS'!$U$64+'LINEST VARS'!$T$64*(8)+'LINEST VARS'!$S$64*(8)+'LINEST VARS'!$R$64*($BS$104)+'LINEST VARS'!$Q$64*($AZ110)+'LINEST VARS'!$P$64*(12.73)+'LINEST VARS'!$O$64*(8^2)+'LINEST VARS'!$N$64*(8^2)+'LINEST VARS'!$M$64*($BS$104^2)+'LINEST VARS'!$L$64*($AZ110^2)+'LINEST VARS'!$K$64*(12.73^2)+'LINEST VARS'!$J$64*(8*8)+'LINEST VARS'!$I$64*(8*$BS$104)+'LINEST VARS'!$H$64*(8*$AZ110)+'LINEST VARS'!$G$64*(8*12.73)+'LINEST VARS'!$F$64*(8*$BS$104)+'LINEST VARS'!$E$64*(8*$AZ110)+'LINEST VARS'!$D$64*(8*12.73)+'LINEST VARS'!$C$64*($BS$104*$AZ110)+'LINEST VARS'!$B$64*($BS$104*12.73)+'LINEST VARS'!$A$64*($AZ110*12.73)</f>
        <v>176.98999999999987</v>
      </c>
      <c r="BT110" s="55">
        <f>'LINEST VARS'!$U$64+'LINEST VARS'!$T$64*(8)+'LINEST VARS'!$S$64*(8)+'LINEST VARS'!$R$64*($BT$104)+'LINEST VARS'!$Q$64*($AZ110)+'LINEST VARS'!$P$64*(12.73)+'LINEST VARS'!$O$64*(8^2)+'LINEST VARS'!$N$64*(8^2)+'LINEST VARS'!$M$64*($BT$104^2)+'LINEST VARS'!$L$64*($AZ110^2)+'LINEST VARS'!$K$64*(12.73^2)+'LINEST VARS'!$J$64*(8*8)+'LINEST VARS'!$I$64*(8*$BT$104)+'LINEST VARS'!$H$64*(8*$AZ110)+'LINEST VARS'!$G$64*(8*12.73)+'LINEST VARS'!$F$64*(8*$BT$104)+'LINEST VARS'!$E$64*(8*$AZ110)+'LINEST VARS'!$D$64*(8*12.73)+'LINEST VARS'!$C$64*($BT$104*$AZ110)+'LINEST VARS'!$B$64*($BT$104*12.73)+'LINEST VARS'!$A$64*($AZ110*12.73)</f>
        <v>178.58999999999989</v>
      </c>
      <c r="BU110" s="56">
        <f>'LINEST VARS'!$U$64+'LINEST VARS'!$T$64*(8)+'LINEST VARS'!$S$64*(8)+'LINEST VARS'!$R$64*($BU$104)+'LINEST VARS'!$Q$64*($AZ110)+'LINEST VARS'!$P$64*(12.73)+'LINEST VARS'!$O$64*(8^2)+'LINEST VARS'!$N$64*(8^2)+'LINEST VARS'!$M$64*($BU$104^2)+'LINEST VARS'!$L$64*($AZ110^2)+'LINEST VARS'!$K$64*(12.73^2)+'LINEST VARS'!$J$64*(8*8)+'LINEST VARS'!$I$64*(8*$BU$104)+'LINEST VARS'!$H$64*(8*$AZ110)+'LINEST VARS'!$G$64*(8*12.73)+'LINEST VARS'!$F$64*(8*$BU$104)+'LINEST VARS'!$E$64*(8*$AZ110)+'LINEST VARS'!$D$64*(8*12.73)+'LINEST VARS'!$C$64*($BU$104*$AZ110)+'LINEST VARS'!$B$64*($BU$104*12.73)+'LINEST VARS'!$A$64*($AZ110*12.73)</f>
        <v>180.18999999999986</v>
      </c>
      <c r="BX110" s="45">
        <v>0.25</v>
      </c>
      <c r="BY110" s="46">
        <f>'LINEST VARS'!$U$66+'LINEST VARS'!$T$66*(8)+'LINEST VARS'!$S$66*(8)+'LINEST VARS'!$R$66*($BY$104)+'LINEST VARS'!$Q$66*($BX110)+'LINEST VARS'!$P$66*(12.73)+'LINEST VARS'!$O$66*(8^2)+'LINEST VARS'!$N$66*(8^2)+'LINEST VARS'!$M$66*($BY$104^2)+'LINEST VARS'!$L$66*($BX110^2)+'LINEST VARS'!$K$66*(12.73^2)+'LINEST VARS'!$J$66*(8*8)+'LINEST VARS'!$I$66*(8*$BY$104)+'LINEST VARS'!$H$66*(8*$BX110)+'LINEST VARS'!$G$66*(8*12.73)+'LINEST VARS'!$F$66*(8*$BY$104)+'LINEST VARS'!$E$66*(8*$BX110)+'LINEST VARS'!$D$66*(8*12.73)+'LINEST VARS'!$C$66*($BY$104*$BX110)+'LINEST VARS'!$B$66*($BY$104*12.73)+'LINEST VARS'!$A$66*($BX110*12.73)</f>
        <v>144.00000000000006</v>
      </c>
      <c r="BZ110" s="46">
        <f>'LINEST VARS'!$U$66+'LINEST VARS'!$T$66*(8)+'LINEST VARS'!$S$66*(8)+'LINEST VARS'!$R$66*($BZ$104)+'LINEST VARS'!$Q$66*($BX110)+'LINEST VARS'!$P$66*(12.73)+'LINEST VARS'!$O$66*(8^2)+'LINEST VARS'!$N$66*(8^2)+'LINEST VARS'!$M$66*($BZ$104^2)+'LINEST VARS'!$L$66*($BX110^2)+'LINEST VARS'!$K$66*(12.73^2)+'LINEST VARS'!$J$66*(8*8)+'LINEST VARS'!$I$66*(8*$BZ$104)+'LINEST VARS'!$H$66*(8*$BX110)+'LINEST VARS'!$G$66*(8*12.73)+'LINEST VARS'!$F$66*(8*$BZ$104)+'LINEST VARS'!$E$66*(8*$BX110)+'LINEST VARS'!$D$66*(8*12.73)+'LINEST VARS'!$C$66*($BZ$104*$BX110)+'LINEST VARS'!$B$66*($BZ$104*12.73)+'LINEST VARS'!$A$66*($BX110*12.73)</f>
        <v>143.20000000000007</v>
      </c>
      <c r="CA110" s="46">
        <f>'LINEST VARS'!$U$66+'LINEST VARS'!$T$66*(8)+'LINEST VARS'!$S$66*(8)+'LINEST VARS'!$R$66*($CA$104)+'LINEST VARS'!$Q$66*($BX110)+'LINEST VARS'!$P$66*(12.73)+'LINEST VARS'!$O$66*(8^2)+'LINEST VARS'!$N$66*(8^2)+'LINEST VARS'!$M$66*($CA$104^2)+'LINEST VARS'!$L$66*($BX110^2)+'LINEST VARS'!$K$66*(12.73^2)+'LINEST VARS'!$J$66*(8*8)+'LINEST VARS'!$I$66*(8*$CA$104)+'LINEST VARS'!$H$66*(8*$BX110)+'LINEST VARS'!$G$66*(8*12.73)+'LINEST VARS'!$F$66*(8*$CA$104)+'LINEST VARS'!$E$66*(8*$BX110)+'LINEST VARS'!$D$66*(8*12.73)+'LINEST VARS'!$C$66*($CA$104*$BX110)+'LINEST VARS'!$B$66*($CA$104*12.73)+'LINEST VARS'!$A$66*($BX110*12.73)</f>
        <v>142.40000000000006</v>
      </c>
      <c r="CB110" s="46">
        <f>'LINEST VARS'!$U$66+'LINEST VARS'!$T$66*(8)+'LINEST VARS'!$S$66*(8)+'LINEST VARS'!$R$66*($CB$104)+'LINEST VARS'!$Q$66*($BX110)+'LINEST VARS'!$P$66*(12.73)+'LINEST VARS'!$O$66*(8^2)+'LINEST VARS'!$N$66*(8^2)+'LINEST VARS'!$M$66*($CB$104^2)+'LINEST VARS'!$L$66*($BX110^2)+'LINEST VARS'!$K$66*(12.73^2)+'LINEST VARS'!$J$66*(8*8)+'LINEST VARS'!$I$66*(8*$CB$104)+'LINEST VARS'!$H$66*(8*$BX110)+'LINEST VARS'!$G$66*(8*12.73)+'LINEST VARS'!$F$66*(8*$CB$104)+'LINEST VARS'!$E$66*(8*$BX110)+'LINEST VARS'!$D$66*(8*12.73)+'LINEST VARS'!$C$66*($CB$104*$BX110)+'LINEST VARS'!$B$66*($CB$104*12.73)+'LINEST VARS'!$A$66*($BX110*12.73)</f>
        <v>141.60000000000008</v>
      </c>
      <c r="CC110" s="46">
        <f>'LINEST VARS'!$U$66+'LINEST VARS'!$T$66*(8)+'LINEST VARS'!$S$66*(8)+'LINEST VARS'!$R$66*($CC$104)+'LINEST VARS'!$Q$66*($BX110)+'LINEST VARS'!$P$66*(12.73)+'LINEST VARS'!$O$66*(8^2)+'LINEST VARS'!$N$66*(8^2)+'LINEST VARS'!$M$66*($CC$104^2)+'LINEST VARS'!$L$66*($BX110^2)+'LINEST VARS'!$K$66*(12.73^2)+'LINEST VARS'!$J$66*(8*8)+'LINEST VARS'!$I$66*(8*$CC$104)+'LINEST VARS'!$H$66*(8*$BX110)+'LINEST VARS'!$G$66*(8*12.73)+'LINEST VARS'!$F$66*(8*$CC$104)+'LINEST VARS'!$E$66*(8*$BX110)+'LINEST VARS'!$D$66*(8*12.73)+'LINEST VARS'!$C$66*($CC$104*$BX110)+'LINEST VARS'!$B$66*($CC$104*12.73)+'LINEST VARS'!$A$66*($BX110*12.73)</f>
        <v>140.80000000000007</v>
      </c>
      <c r="CD110" s="46">
        <f>'LINEST VARS'!$U$66+'LINEST VARS'!$T$66*(8)+'LINEST VARS'!$S$66*(8)+'LINEST VARS'!$R$66*($CD$104)+'LINEST VARS'!$Q$66*($BX110)+'LINEST VARS'!$P$66*(12.73)+'LINEST VARS'!$O$66*(8^2)+'LINEST VARS'!$N$66*(8^2)+'LINEST VARS'!$M$66*($CD$104^2)+'LINEST VARS'!$L$66*($BX110^2)+'LINEST VARS'!$K$66*(12.73^2)+'LINEST VARS'!$J$66*(8*8)+'LINEST VARS'!$I$66*(8*$CD$104)+'LINEST VARS'!$H$66*(8*$BX110)+'LINEST VARS'!$G$66*(8*12.73)+'LINEST VARS'!$F$66*(8*$CD$104)+'LINEST VARS'!$E$66*(8*$BX110)+'LINEST VARS'!$D$66*(8*12.73)+'LINEST VARS'!$C$66*($CD$104*$BX110)+'LINEST VARS'!$B$66*($CD$104*12.73)+'LINEST VARS'!$A$66*($BX110*12.73)</f>
        <v>140.00000000000009</v>
      </c>
      <c r="CE110" s="46">
        <f>'LINEST VARS'!$U$66+'LINEST VARS'!$T$66*(8)+'LINEST VARS'!$S$66*(8)+'LINEST VARS'!$R$66*($CE$104)+'LINEST VARS'!$Q$66*($BX110)+'LINEST VARS'!$P$66*(12.73)+'LINEST VARS'!$O$66*(8^2)+'LINEST VARS'!$N$66*(8^2)+'LINEST VARS'!$M$66*($CE$104^2)+'LINEST VARS'!$L$66*($BX110^2)+'LINEST VARS'!$K$66*(12.73^2)+'LINEST VARS'!$J$66*(8*8)+'LINEST VARS'!$I$66*(8*$CE$104)+'LINEST VARS'!$H$66*(8*$BX110)+'LINEST VARS'!$G$66*(8*12.73)+'LINEST VARS'!$F$66*(8*$CE$104)+'LINEST VARS'!$E$66*(8*$BX110)+'LINEST VARS'!$D$66*(8*12.73)+'LINEST VARS'!$C$66*($CE$104*$BX110)+'LINEST VARS'!$B$66*($CE$104*12.73)+'LINEST VARS'!$A$66*($BX110*12.73)</f>
        <v>139.20000000000007</v>
      </c>
      <c r="CF110" s="46">
        <f>'LINEST VARS'!$U$66+'LINEST VARS'!$T$66*(8)+'LINEST VARS'!$S$66*(8)+'LINEST VARS'!$R$66*($CF$104)+'LINEST VARS'!$Q$66*($BX110)+'LINEST VARS'!$P$66*(12.73)+'LINEST VARS'!$O$66*(8^2)+'LINEST VARS'!$N$66*(8^2)+'LINEST VARS'!$M$66*($CF$104^2)+'LINEST VARS'!$L$66*($BX110^2)+'LINEST VARS'!$K$66*(12.73^2)+'LINEST VARS'!$J$66*(8*8)+'LINEST VARS'!$I$66*(8*$CF$104)+'LINEST VARS'!$H$66*(8*$BX110)+'LINEST VARS'!$G$66*(8*12.73)+'LINEST VARS'!$F$66*(8*$CF$104)+'LINEST VARS'!$E$66*(8*$BX110)+'LINEST VARS'!$D$66*(8*12.73)+'LINEST VARS'!$C$66*($CF$104*$BX110)+'LINEST VARS'!$B$66*($CF$104*12.73)+'LINEST VARS'!$A$66*($BX110*12.73)</f>
        <v>138.40000000000009</v>
      </c>
      <c r="CG110" s="46">
        <f>'LINEST VARS'!$U$66+'LINEST VARS'!$T$66*(8)+'LINEST VARS'!$S$66*(8)+'LINEST VARS'!$R$66*($CG$104)+'LINEST VARS'!$Q$66*($BX110)+'LINEST VARS'!$P$66*(12.73)+'LINEST VARS'!$O$66*(8^2)+'LINEST VARS'!$N$66*(8^2)+'LINEST VARS'!$M$66*($CG$104^2)+'LINEST VARS'!$L$66*($BX110^2)+'LINEST VARS'!$K$66*(12.73^2)+'LINEST VARS'!$J$66*(8*8)+'LINEST VARS'!$I$66*(8*$CG$104)+'LINEST VARS'!$H$66*(8*$BX110)+'LINEST VARS'!$G$66*(8*12.73)+'LINEST VARS'!$F$66*(8*$CG$104)+'LINEST VARS'!$E$66*(8*$BX110)+'LINEST VARS'!$D$66*(8*12.73)+'LINEST VARS'!$C$66*($CG$104*$BX110)+'LINEST VARS'!$B$66*($CG$104*12.73)+'LINEST VARS'!$A$66*($BX110*12.73)</f>
        <v>137.60000000000008</v>
      </c>
      <c r="CH110" s="46">
        <f>'LINEST VARS'!$U$66+'LINEST VARS'!$T$66*(8)+'LINEST VARS'!$S$66*(8)+'LINEST VARS'!$R$66*($CH$104)+'LINEST VARS'!$Q$66*($BX110)+'LINEST VARS'!$P$66*(12.73)+'LINEST VARS'!$O$66*(8^2)+'LINEST VARS'!$N$66*(8^2)+'LINEST VARS'!$M$66*($CH$104^2)+'LINEST VARS'!$L$66*($BX110^2)+'LINEST VARS'!$K$66*(12.73^2)+'LINEST VARS'!$J$66*(8*8)+'LINEST VARS'!$I$66*(8*$CH$104)+'LINEST VARS'!$H$66*(8*$BX110)+'LINEST VARS'!$G$66*(8*12.73)+'LINEST VARS'!$F$66*(8*$CH$104)+'LINEST VARS'!$E$66*(8*$BX110)+'LINEST VARS'!$D$66*(8*12.73)+'LINEST VARS'!$C$66*($CH$104*$BX110)+'LINEST VARS'!$B$66*($CH$104*12.73)+'LINEST VARS'!$A$66*($BX110*12.73)</f>
        <v>136.80000000000007</v>
      </c>
      <c r="CI110" s="46">
        <f>'LINEST VARS'!$U$66+'LINEST VARS'!$T$66*(8)+'LINEST VARS'!$S$66*(8)+'LINEST VARS'!$R$66*($CI$104)+'LINEST VARS'!$Q$66*($BX110)+'LINEST VARS'!$P$66*(12.73)+'LINEST VARS'!$O$66*(8^2)+'LINEST VARS'!$N$66*(8^2)+'LINEST VARS'!$M$66*($CI$104^2)+'LINEST VARS'!$L$66*($BX110^2)+'LINEST VARS'!$K$66*(12.73^2)+'LINEST VARS'!$J$66*(8*8)+'LINEST VARS'!$I$66*(8*$CI$104)+'LINEST VARS'!$H$66*(8*$BX110)+'LINEST VARS'!$G$66*(8*12.73)+'LINEST VARS'!$F$66*(8*$CI$104)+'LINEST VARS'!$E$66*(8*$BX110)+'LINEST VARS'!$D$66*(8*12.73)+'LINEST VARS'!$C$66*($CI$104*$BX110)+'LINEST VARS'!$B$66*($CI$104*12.73)+'LINEST VARS'!$A$66*($BX110*12.73)</f>
        <v>136.00000000000006</v>
      </c>
      <c r="CJ110" s="46">
        <f>'LINEST VARS'!$U$66+'LINEST VARS'!$T$66*(8)+'LINEST VARS'!$S$66*(8)+'LINEST VARS'!$R$66*($CJ$104)+'LINEST VARS'!$Q$66*($BX110)+'LINEST VARS'!$P$66*(12.73)+'LINEST VARS'!$O$66*(8^2)+'LINEST VARS'!$N$66*(8^2)+'LINEST VARS'!$M$66*($CJ$104^2)+'LINEST VARS'!$L$66*($BX110^2)+'LINEST VARS'!$K$66*(12.73^2)+'LINEST VARS'!$J$66*(8*8)+'LINEST VARS'!$I$66*(8*$CJ$104)+'LINEST VARS'!$H$66*(8*$BX110)+'LINEST VARS'!$G$66*(8*12.73)+'LINEST VARS'!$F$66*(8*$CJ$104)+'LINEST VARS'!$E$66*(8*$BX110)+'LINEST VARS'!$D$66*(8*12.73)+'LINEST VARS'!$C$66*($CJ$104*$BX110)+'LINEST VARS'!$B$66*($CJ$104*12.73)+'LINEST VARS'!$A$66*($BX110*12.73)</f>
        <v>135.20000000000005</v>
      </c>
      <c r="CK110" s="46">
        <f>'LINEST VARS'!$U$66+'LINEST VARS'!$T$66*(8)+'LINEST VARS'!$S$66*(8)+'LINEST VARS'!$R$66*($CK$104)+'LINEST VARS'!$Q$66*($BX110)+'LINEST VARS'!$P$66*(12.73)+'LINEST VARS'!$O$66*(8^2)+'LINEST VARS'!$N$66*(8^2)+'LINEST VARS'!$M$66*($CK$104^2)+'LINEST VARS'!$L$66*($BX110^2)+'LINEST VARS'!$K$66*(12.73^2)+'LINEST VARS'!$J$66*(8*8)+'LINEST VARS'!$I$66*(8*$CK$104)+'LINEST VARS'!$H$66*(8*$BX110)+'LINEST VARS'!$G$66*(8*12.73)+'LINEST VARS'!$F$66*(8*$CK$104)+'LINEST VARS'!$E$66*(8*$BX110)+'LINEST VARS'!$D$66*(8*12.73)+'LINEST VARS'!$C$66*($CK$104*$BX110)+'LINEST VARS'!$B$66*($CK$104*12.73)+'LINEST VARS'!$A$66*($BX110*12.73)</f>
        <v>134.40000000000003</v>
      </c>
      <c r="CL110" s="46">
        <f>'LINEST VARS'!$U$66+'LINEST VARS'!$T$66*(8)+'LINEST VARS'!$S$66*(8)+'LINEST VARS'!$R$66*($CL$104)+'LINEST VARS'!$Q$66*($BX110)+'LINEST VARS'!$P$66*(12.73)+'LINEST VARS'!$O$66*(8^2)+'LINEST VARS'!$N$66*(8^2)+'LINEST VARS'!$M$66*($CL$104^2)+'LINEST VARS'!$L$66*($BX110^2)+'LINEST VARS'!$K$66*(12.73^2)+'LINEST VARS'!$J$66*(8*8)+'LINEST VARS'!$I$66*(8*$CL$104)+'LINEST VARS'!$H$66*(8*$BX110)+'LINEST VARS'!$G$66*(8*12.73)+'LINEST VARS'!$F$66*(8*$CL$104)+'LINEST VARS'!$E$66*(8*$BX110)+'LINEST VARS'!$D$66*(8*12.73)+'LINEST VARS'!$C$66*($CL$104*$BX110)+'LINEST VARS'!$B$66*($CL$104*12.73)+'LINEST VARS'!$A$66*($BX110*12.73)</f>
        <v>133.60000000000005</v>
      </c>
      <c r="CM110" s="46">
        <f>'LINEST VARS'!$U$66+'LINEST VARS'!$T$66*(8)+'LINEST VARS'!$S$66*(8)+'LINEST VARS'!$R$66*($CM$104)+'LINEST VARS'!$Q$66*($BX110)+'LINEST VARS'!$P$66*(12.73)+'LINEST VARS'!$O$66*(8^2)+'LINEST VARS'!$N$66*(8^2)+'LINEST VARS'!$M$66*($CM$104^2)+'LINEST VARS'!$L$66*($BX110^2)+'LINEST VARS'!$K$66*(12.73^2)+'LINEST VARS'!$J$66*(8*8)+'LINEST VARS'!$I$66*(8*$CM$104)+'LINEST VARS'!$H$66*(8*$BX110)+'LINEST VARS'!$G$66*(8*12.73)+'LINEST VARS'!$F$66*(8*$CM$104)+'LINEST VARS'!$E$66*(8*$BX110)+'LINEST VARS'!$D$66*(8*12.73)+'LINEST VARS'!$C$66*($CM$104*$BX110)+'LINEST VARS'!$B$66*($CM$104*12.73)+'LINEST VARS'!$A$66*($BX110*12.73)</f>
        <v>132.80000000000004</v>
      </c>
      <c r="CN110" s="46">
        <f>'LINEST VARS'!$U$66+'LINEST VARS'!$T$66*(8)+'LINEST VARS'!$S$66*(8)+'LINEST VARS'!$R$66*($CN$104)+'LINEST VARS'!$Q$66*($BX110)+'LINEST VARS'!$P$66*(12.73)+'LINEST VARS'!$O$66*(8^2)+'LINEST VARS'!$N$66*(8^2)+'LINEST VARS'!$M$66*($CN$104^2)+'LINEST VARS'!$L$66*($BX110^2)+'LINEST VARS'!$K$66*(12.73^2)+'LINEST VARS'!$J$66*(8*8)+'LINEST VARS'!$I$66*(8*$CN$104)+'LINEST VARS'!$H$66*(8*$BX110)+'LINEST VARS'!$G$66*(8*12.73)+'LINEST VARS'!$F$66*(8*$CN$104)+'LINEST VARS'!$E$66*(8*$BX110)+'LINEST VARS'!$D$66*(8*12.73)+'LINEST VARS'!$C$66*($CN$104*$BX110)+'LINEST VARS'!$B$66*($CN$104*12.73)+'LINEST VARS'!$A$66*($BX110*12.73)</f>
        <v>132.00000000000006</v>
      </c>
      <c r="CO110" s="46">
        <f>'LINEST VARS'!$U$66+'LINEST VARS'!$T$66*(8)+'LINEST VARS'!$S$66*(8)+'LINEST VARS'!$R$66*($CO$104)+'LINEST VARS'!$Q$66*($BX110)+'LINEST VARS'!$P$66*(12.73)+'LINEST VARS'!$O$66*(8^2)+'LINEST VARS'!$N$66*(8^2)+'LINEST VARS'!$M$66*($CO$104^2)+'LINEST VARS'!$L$66*($BX110^2)+'LINEST VARS'!$K$66*(12.73^2)+'LINEST VARS'!$J$66*(8*8)+'LINEST VARS'!$I$66*(8*$CO$104)+'LINEST VARS'!$H$66*(8*$BX110)+'LINEST VARS'!$G$66*(8*12.73)+'LINEST VARS'!$F$66*(8*$CO$104)+'LINEST VARS'!$E$66*(8*$BX110)+'LINEST VARS'!$D$66*(8*12.73)+'LINEST VARS'!$C$66*($CO$104*$BX110)+'LINEST VARS'!$B$66*($CO$104*12.73)+'LINEST VARS'!$A$66*($BX110*12.73)</f>
        <v>131.20000000000005</v>
      </c>
      <c r="CP110" s="46">
        <f>'LINEST VARS'!$U$66+'LINEST VARS'!$T$66*(8)+'LINEST VARS'!$S$66*(8)+'LINEST VARS'!$R$66*($CP$104)+'LINEST VARS'!$Q$66*($BX110)+'LINEST VARS'!$P$66*(12.73)+'LINEST VARS'!$O$66*(8^2)+'LINEST VARS'!$N$66*(8^2)+'LINEST VARS'!$M$66*($CP$104^2)+'LINEST VARS'!$L$66*($BX110^2)+'LINEST VARS'!$K$66*(12.73^2)+'LINEST VARS'!$J$66*(8*8)+'LINEST VARS'!$I$66*(8*$CP$104)+'LINEST VARS'!$H$66*(8*$BX110)+'LINEST VARS'!$G$66*(8*12.73)+'LINEST VARS'!$F$66*(8*$CP$104)+'LINEST VARS'!$E$66*(8*$BX110)+'LINEST VARS'!$D$66*(8*12.73)+'LINEST VARS'!$C$66*($CP$104*$BX110)+'LINEST VARS'!$B$66*($CP$104*12.73)+'LINEST VARS'!$A$66*($BX110*12.73)</f>
        <v>130.40000000000009</v>
      </c>
      <c r="CQ110" s="46">
        <f>'LINEST VARS'!$U$66+'LINEST VARS'!$T$66*(8)+'LINEST VARS'!$S$66*(8)+'LINEST VARS'!$R$66*($CQ$104)+'LINEST VARS'!$Q$66*($BX110)+'LINEST VARS'!$P$66*(12.73)+'LINEST VARS'!$O$66*(8^2)+'LINEST VARS'!$N$66*(8^2)+'LINEST VARS'!$M$66*($CQ$104^2)+'LINEST VARS'!$L$66*($BX110^2)+'LINEST VARS'!$K$66*(12.73^2)+'LINEST VARS'!$J$66*(8*8)+'LINEST VARS'!$I$66*(8*$CQ$104)+'LINEST VARS'!$H$66*(8*$BX110)+'LINEST VARS'!$G$66*(8*12.73)+'LINEST VARS'!$F$66*(8*$CQ$104)+'LINEST VARS'!$E$66*(8*$BX110)+'LINEST VARS'!$D$66*(8*12.73)+'LINEST VARS'!$C$66*($CQ$104*$BX110)+'LINEST VARS'!$B$66*($CQ$104*12.73)+'LINEST VARS'!$A$66*($BX110*12.73)</f>
        <v>129.60000000000008</v>
      </c>
      <c r="CR110" s="46">
        <f>'LINEST VARS'!$U$66+'LINEST VARS'!$T$66*(8)+'LINEST VARS'!$S$66*(8)+'LINEST VARS'!$R$66*($CR$104)+'LINEST VARS'!$Q$66*($BX110)+'LINEST VARS'!$P$66*(12.73)+'LINEST VARS'!$O$66*(8^2)+'LINEST VARS'!$N$66*(8^2)+'LINEST VARS'!$M$66*($CR$104^2)+'LINEST VARS'!$L$66*($BX110^2)+'LINEST VARS'!$K$66*(12.73^2)+'LINEST VARS'!$J$66*(8*8)+'LINEST VARS'!$I$66*(8*$CR$104)+'LINEST VARS'!$H$66*(8*$BX110)+'LINEST VARS'!$G$66*(8*12.73)+'LINEST VARS'!$F$66*(8*$CR$104)+'LINEST VARS'!$E$66*(8*$BX110)+'LINEST VARS'!$D$66*(8*12.73)+'LINEST VARS'!$C$66*($CR$104*$BX110)+'LINEST VARS'!$B$66*($CR$104*12.73)+'LINEST VARS'!$A$66*($BX110*12.73)</f>
        <v>128.8000000000001</v>
      </c>
      <c r="CS110" s="47">
        <f>'LINEST VARS'!$U$66+'LINEST VARS'!$T$66*(8)+'LINEST VARS'!$S$66*(8)+'LINEST VARS'!$R$66*($CS$104)+'LINEST VARS'!$Q$66*($BX110)+'LINEST VARS'!$P$66*(12.73)+'LINEST VARS'!$O$66*(8^2)+'LINEST VARS'!$N$66*(8^2)+'LINEST VARS'!$M$66*($CS$104^2)+'LINEST VARS'!$L$66*($BX110^2)+'LINEST VARS'!$K$66*(12.73^2)+'LINEST VARS'!$J$66*(8*8)+'LINEST VARS'!$I$66*(8*$CS$104)+'LINEST VARS'!$H$66*(8*$BX110)+'LINEST VARS'!$G$66*(8*12.73)+'LINEST VARS'!$F$66*(8*$CS$104)+'LINEST VARS'!$E$66*(8*$BX110)+'LINEST VARS'!$D$66*(8*12.73)+'LINEST VARS'!$C$66*($CS$104*$BX110)+'LINEST VARS'!$B$66*($CS$104*12.73)+'LINEST VARS'!$A$66*($BX110*12.73)</f>
        <v>128.00000000000006</v>
      </c>
      <c r="CX110" s="45">
        <v>6.4974999999999996</v>
      </c>
      <c r="CY110" s="55">
        <f>'LINEST VARS'!$U$64+'LINEST VARS'!$T$64*(8)+'LINEST VARS'!$S$64*(8)+'LINEST VARS'!$R$64*($CY$104)+'LINEST VARS'!$Q$64*(0.5)+'LINEST VARS'!$P$64*($CX110)+'LINEST VARS'!$O$64*(8^2)+'LINEST VARS'!$N$64*(8^2)+'LINEST VARS'!$M$64*($CY$104^2)+'LINEST VARS'!$L$64*(0.5^2)+'LINEST VARS'!$K$64*($CX110^2)+'LINEST VARS'!$J$64*(8*8)+'LINEST VARS'!$I$64*(8*$CY$104)+'LINEST VARS'!$H$64*(8*0.5)+'LINEST VARS'!$G$64*(8*$CX110)+'LINEST VARS'!$F$64*(8*$CY$104)+'LINEST VARS'!$E$64*(8*0.5)+'LINEST VARS'!$D$64*(8*$CX110)+'LINEST VARS'!$C$64*($CY$104*0.5)+'LINEST VARS'!$B$64*($CY$104*$CX110)+'LINEST VARS'!$A$64*(0.5*$CX110)</f>
        <v>129.49249999999986</v>
      </c>
      <c r="CZ110" s="55">
        <f>'LINEST VARS'!$U$64+'LINEST VARS'!$T$64*(8)+'LINEST VARS'!$S$64*(8)+'LINEST VARS'!$R$64*($CZ$104)+'LINEST VARS'!$Q$64*(0.5)+'LINEST VARS'!$P$64*($CX110)+'LINEST VARS'!$O$64*(8^2)+'LINEST VARS'!$N$64*(8^2)+'LINEST VARS'!$M$64*($CZ$104^2)+'LINEST VARS'!$L$64*(0.5^2)+'LINEST VARS'!$K$64*($CX110^2)+'LINEST VARS'!$J$64*(8*8)+'LINEST VARS'!$I$64*(8*$CZ$104)+'LINEST VARS'!$H$64*(8*0.5)+'LINEST VARS'!$G$64*(8*$CX110)+'LINEST VARS'!$F$64*(8*$CZ$104)+'LINEST VARS'!$E$64*(8*0.5)+'LINEST VARS'!$D$64*(8*$CX110)+'LINEST VARS'!$C$64*($CZ$104*0.5)+'LINEST VARS'!$B$64*($CZ$104*$CX110)+'LINEST VARS'!$A$64*(0.5*$CX110)</f>
        <v>131.09249999999986</v>
      </c>
      <c r="DA110" s="55">
        <f>'LINEST VARS'!$U$64+'LINEST VARS'!$T$64*(8)+'LINEST VARS'!$S$64*(8)+'LINEST VARS'!$R$64*($DA$104)+'LINEST VARS'!$Q$64*(0.5)+'LINEST VARS'!$P$64*($CX110)+'LINEST VARS'!$O$64*(8^2)+'LINEST VARS'!$N$64*(8^2)+'LINEST VARS'!$M$64*($DA$104^2)+'LINEST VARS'!$L$64*(0.5^2)+'LINEST VARS'!$K$64*($CX110^2)+'LINEST VARS'!$J$64*(8*8)+'LINEST VARS'!$I$64*(8*$DA$104)+'LINEST VARS'!$H$64*(8*0.5)+'LINEST VARS'!$G$64*(8*$CX110)+'LINEST VARS'!$F$64*(8*$DA$104)+'LINEST VARS'!$E$64*(8*0.5)+'LINEST VARS'!$D$64*(8*$CX110)+'LINEST VARS'!$C$64*($DA$104*0.5)+'LINEST VARS'!$B$64*($DA$104*$CX110)+'LINEST VARS'!$A$64*(0.5*$CX110)</f>
        <v>132.69249999999988</v>
      </c>
      <c r="DB110" s="55">
        <f>'LINEST VARS'!$U$64+'LINEST VARS'!$T$64*(8)+'LINEST VARS'!$S$64*(8)+'LINEST VARS'!$R$64*($DB$104)+'LINEST VARS'!$Q$64*(0.5)+'LINEST VARS'!$P$64*($CX110)+'LINEST VARS'!$O$64*(8^2)+'LINEST VARS'!$N$64*(8^2)+'LINEST VARS'!$M$64*($DB$104^2)+'LINEST VARS'!$L$64*(0.5^2)+'LINEST VARS'!$K$64*($CX110^2)+'LINEST VARS'!$J$64*(8*8)+'LINEST VARS'!$I$64*(8*$DB$104)+'LINEST VARS'!$H$64*(8*0.5)+'LINEST VARS'!$G$64*(8*$CX110)+'LINEST VARS'!$F$64*(8*$DB$104)+'LINEST VARS'!$E$64*(8*0.5)+'LINEST VARS'!$D$64*(8*$CX110)+'LINEST VARS'!$C$64*($DB$104*0.5)+'LINEST VARS'!$B$64*($DB$104*$CX110)+'LINEST VARS'!$A$64*(0.5*$CX110)</f>
        <v>134.29249999999988</v>
      </c>
      <c r="DC110" s="55">
        <f>'LINEST VARS'!$U$64+'LINEST VARS'!$T$64*(8)+'LINEST VARS'!$S$64*(8)+'LINEST VARS'!$R$64*($DC$104)+'LINEST VARS'!$Q$64*(0.5)+'LINEST VARS'!$P$64*($CX110)+'LINEST VARS'!$O$64*(8^2)+'LINEST VARS'!$N$64*(8^2)+'LINEST VARS'!$M$64*($DC$104^2)+'LINEST VARS'!$L$64*(0.5^2)+'LINEST VARS'!$K$64*($CX110^2)+'LINEST VARS'!$J$64*(8*8)+'LINEST VARS'!$I$64*(8*$DC$104)+'LINEST VARS'!$H$64*(8*0.5)+'LINEST VARS'!$G$64*(8*$CX110)+'LINEST VARS'!$F$64*(8*$DC$104)+'LINEST VARS'!$E$64*(8*0.5)+'LINEST VARS'!$D$64*(8*$CX110)+'LINEST VARS'!$C$64*($DC$104*0.5)+'LINEST VARS'!$B$64*($DC$104*$CX110)+'LINEST VARS'!$A$64*(0.5*$CX110)</f>
        <v>135.89249999999987</v>
      </c>
      <c r="DD110" s="55">
        <f>'LINEST VARS'!$U$64+'LINEST VARS'!$T$64*(8)+'LINEST VARS'!$S$64*(8)+'LINEST VARS'!$R$64*($DD$104)+'LINEST VARS'!$Q$64*(0.5)+'LINEST VARS'!$P$64*($CX110)+'LINEST VARS'!$O$64*(8^2)+'LINEST VARS'!$N$64*(8^2)+'LINEST VARS'!$M$64*($DD$104^2)+'LINEST VARS'!$L$64*(0.5^2)+'LINEST VARS'!$K$64*($CX110^2)+'LINEST VARS'!$J$64*(8*8)+'LINEST VARS'!$I$64*(8*$DD$104)+'LINEST VARS'!$H$64*(8*0.5)+'LINEST VARS'!$G$64*(8*$CX110)+'LINEST VARS'!$F$64*(8*$DD$104)+'LINEST VARS'!$E$64*(8*0.5)+'LINEST VARS'!$D$64*(8*$CX110)+'LINEST VARS'!$C$64*($DD$104*0.5)+'LINEST VARS'!$B$64*($DD$104*$CX110)+'LINEST VARS'!$A$64*(0.5*$CX110)</f>
        <v>137.49249999999986</v>
      </c>
      <c r="DE110" s="55">
        <f>'LINEST VARS'!$U$64+'LINEST VARS'!$T$64*(8)+'LINEST VARS'!$S$64*(8)+'LINEST VARS'!$R$64*($DE$104)+'LINEST VARS'!$Q$64*(0.5)+'LINEST VARS'!$P$64*($CX110)+'LINEST VARS'!$O$64*(8^2)+'LINEST VARS'!$N$64*(8^2)+'LINEST VARS'!$M$64*($DE$104^2)+'LINEST VARS'!$L$64*(0.5^2)+'LINEST VARS'!$K$64*($CX110^2)+'LINEST VARS'!$J$64*(8*8)+'LINEST VARS'!$I$64*(8*$DE$104)+'LINEST VARS'!$H$64*(8*0.5)+'LINEST VARS'!$G$64*(8*$CX110)+'LINEST VARS'!$F$64*(8*$DE$104)+'LINEST VARS'!$E$64*(8*0.5)+'LINEST VARS'!$D$64*(8*$CX110)+'LINEST VARS'!$C$64*($DE$104*0.5)+'LINEST VARS'!$B$64*($DE$104*$CX110)+'LINEST VARS'!$A$64*(0.5*$CX110)</f>
        <v>139.09249999999986</v>
      </c>
      <c r="DF110" s="55">
        <f>'LINEST VARS'!$U$64+'LINEST VARS'!$T$64*(8)+'LINEST VARS'!$S$64*(8)+'LINEST VARS'!$R$64*($DF$104)+'LINEST VARS'!$Q$64*(0.5)+'LINEST VARS'!$P$64*($CX110)+'LINEST VARS'!$O$64*(8^2)+'LINEST VARS'!$N$64*(8^2)+'LINEST VARS'!$M$64*($DF$104^2)+'LINEST VARS'!$L$64*(0.5^2)+'LINEST VARS'!$K$64*($CX110^2)+'LINEST VARS'!$J$64*(8*8)+'LINEST VARS'!$I$64*(8*$DF$104)+'LINEST VARS'!$H$64*(8*0.5)+'LINEST VARS'!$G$64*(8*$CX110)+'LINEST VARS'!$F$64*(8*$DF$104)+'LINEST VARS'!$E$64*(8*0.5)+'LINEST VARS'!$D$64*(8*$CX110)+'LINEST VARS'!$C$64*($DF$104*0.5)+'LINEST VARS'!$B$64*($DF$104*$CX110)+'LINEST VARS'!$A$64*(0.5*$CX110)</f>
        <v>140.69249999999988</v>
      </c>
      <c r="DG110" s="55">
        <f>'LINEST VARS'!$U$64+'LINEST VARS'!$T$64*(8)+'LINEST VARS'!$S$64*(8)+'LINEST VARS'!$R$64*($DG$104)+'LINEST VARS'!$Q$64*(0.5)+'LINEST VARS'!$P$64*($CX110)+'LINEST VARS'!$O$64*(8^2)+'LINEST VARS'!$N$64*(8^2)+'LINEST VARS'!$M$64*($DG$104^2)+'LINEST VARS'!$L$64*(0.5^2)+'LINEST VARS'!$K$64*($CX110^2)+'LINEST VARS'!$J$64*(8*8)+'LINEST VARS'!$I$64*(8*$DG$104)+'LINEST VARS'!$H$64*(8*0.5)+'LINEST VARS'!$G$64*(8*$CX110)+'LINEST VARS'!$F$64*(8*$DG$104)+'LINEST VARS'!$E$64*(8*0.5)+'LINEST VARS'!$D$64*(8*$CX110)+'LINEST VARS'!$C$64*($DG$104*0.5)+'LINEST VARS'!$B$64*($DG$104*$CX110)+'LINEST VARS'!$A$64*(0.5*$CX110)</f>
        <v>142.29249999999988</v>
      </c>
      <c r="DH110" s="55">
        <f>'LINEST VARS'!$U$64+'LINEST VARS'!$T$64*(8)+'LINEST VARS'!$S$64*(8)+'LINEST VARS'!$R$64*($DH$104)+'LINEST VARS'!$Q$64*(0.5)+'LINEST VARS'!$P$64*($CX110)+'LINEST VARS'!$O$64*(8^2)+'LINEST VARS'!$N$64*(8^2)+'LINEST VARS'!$M$64*($DH$104^2)+'LINEST VARS'!$L$64*(0.5^2)+'LINEST VARS'!$K$64*($CX110^2)+'LINEST VARS'!$J$64*(8*8)+'LINEST VARS'!$I$64*(8*$DH$104)+'LINEST VARS'!$H$64*(8*0.5)+'LINEST VARS'!$G$64*(8*$CX110)+'LINEST VARS'!$F$64*(8*$DH$104)+'LINEST VARS'!$E$64*(8*0.5)+'LINEST VARS'!$D$64*(8*$CX110)+'LINEST VARS'!$C$64*($DH$104*0.5)+'LINEST VARS'!$B$64*($DH$104*$CX110)+'LINEST VARS'!$A$64*(0.5*$CX110)</f>
        <v>143.89249999999987</v>
      </c>
      <c r="DI110" s="55">
        <f>'LINEST VARS'!$U$64+'LINEST VARS'!$T$64*(8)+'LINEST VARS'!$S$64*(8)+'LINEST VARS'!$R$64*($DI$104)+'LINEST VARS'!$Q$64*(0.5)+'LINEST VARS'!$P$64*($CX110)+'LINEST VARS'!$O$64*(8^2)+'LINEST VARS'!$N$64*(8^2)+'LINEST VARS'!$M$64*($DI$104^2)+'LINEST VARS'!$L$64*(0.5^2)+'LINEST VARS'!$K$64*($CX110^2)+'LINEST VARS'!$J$64*(8*8)+'LINEST VARS'!$I$64*(8*$DI$104)+'LINEST VARS'!$H$64*(8*0.5)+'LINEST VARS'!$G$64*(8*$CX110)+'LINEST VARS'!$F$64*(8*$DI$104)+'LINEST VARS'!$E$64*(8*0.5)+'LINEST VARS'!$D$64*(8*$CX110)+'LINEST VARS'!$C$64*($DI$104*0.5)+'LINEST VARS'!$B$64*($DI$104*$CX110)+'LINEST VARS'!$A$64*(0.5*$CX110)</f>
        <v>145.49249999999986</v>
      </c>
      <c r="DJ110" s="55">
        <f>'LINEST VARS'!$U$64+'LINEST VARS'!$T$64*(8)+'LINEST VARS'!$S$64*(8)+'LINEST VARS'!$R$64*($DJ$104)+'LINEST VARS'!$Q$64*(0.5)+'LINEST VARS'!$P$64*($CX110)+'LINEST VARS'!$O$64*(8^2)+'LINEST VARS'!$N$64*(8^2)+'LINEST VARS'!$M$64*($DJ$104^2)+'LINEST VARS'!$L$64*(0.5^2)+'LINEST VARS'!$K$64*($CX110^2)+'LINEST VARS'!$J$64*(8*8)+'LINEST VARS'!$I$64*(8*$DJ$104)+'LINEST VARS'!$H$64*(8*0.5)+'LINEST VARS'!$G$64*(8*$CX110)+'LINEST VARS'!$F$64*(8*$DJ$104)+'LINEST VARS'!$E$64*(8*0.5)+'LINEST VARS'!$D$64*(8*$CX110)+'LINEST VARS'!$C$64*($DJ$104*0.5)+'LINEST VARS'!$B$64*($DJ$104*$CX110)+'LINEST VARS'!$A$64*(0.5*$CX110)</f>
        <v>147.09249999999989</v>
      </c>
      <c r="DK110" s="55">
        <f>'LINEST VARS'!$U$64+'LINEST VARS'!$T$64*(8)+'LINEST VARS'!$S$64*(8)+'LINEST VARS'!$R$64*($DK$104)+'LINEST VARS'!$Q$64*(0.5)+'LINEST VARS'!$P$64*($CX110)+'LINEST VARS'!$O$64*(8^2)+'LINEST VARS'!$N$64*(8^2)+'LINEST VARS'!$M$64*($DK$104^2)+'LINEST VARS'!$L$64*(0.5^2)+'LINEST VARS'!$K$64*($CX110^2)+'LINEST VARS'!$J$64*(8*8)+'LINEST VARS'!$I$64*(8*$DK$104)+'LINEST VARS'!$H$64*(8*0.5)+'LINEST VARS'!$G$64*(8*$CX110)+'LINEST VARS'!$F$64*(8*$DK$104)+'LINEST VARS'!$E$64*(8*0.5)+'LINEST VARS'!$D$64*(8*$CX110)+'LINEST VARS'!$C$64*($DK$104*0.5)+'LINEST VARS'!$B$64*($DK$104*$CX110)+'LINEST VARS'!$A$64*(0.5*$CX110)</f>
        <v>148.69249999999985</v>
      </c>
      <c r="DL110" s="55">
        <f>'LINEST VARS'!$U$64+'LINEST VARS'!$T$64*(8)+'LINEST VARS'!$S$64*(8)+'LINEST VARS'!$R$64*($DL$104)+'LINEST VARS'!$Q$64*(0.5)+'LINEST VARS'!$P$64*($CX110)+'LINEST VARS'!$O$64*(8^2)+'LINEST VARS'!$N$64*(8^2)+'LINEST VARS'!$M$64*($DL$104^2)+'LINEST VARS'!$L$64*(0.5^2)+'LINEST VARS'!$K$64*($CX110^2)+'LINEST VARS'!$J$64*(8*8)+'LINEST VARS'!$I$64*(8*$DL$104)+'LINEST VARS'!$H$64*(8*0.5)+'LINEST VARS'!$G$64*(8*$CX110)+'LINEST VARS'!$F$64*(8*$DL$104)+'LINEST VARS'!$E$64*(8*0.5)+'LINEST VARS'!$D$64*(8*$CX110)+'LINEST VARS'!$C$64*($DL$104*0.5)+'LINEST VARS'!$B$64*($DL$104*$CX110)+'LINEST VARS'!$A$64*(0.5*$CX110)</f>
        <v>150.29249999999988</v>
      </c>
      <c r="DM110" s="55">
        <f>'LINEST VARS'!$U$64+'LINEST VARS'!$T$64*(8)+'LINEST VARS'!$S$64*(8)+'LINEST VARS'!$R$64*($DM$104)+'LINEST VARS'!$Q$64*(0.5)+'LINEST VARS'!$P$64*($CX110)+'LINEST VARS'!$O$64*(8^2)+'LINEST VARS'!$N$64*(8^2)+'LINEST VARS'!$M$64*($DM$104^2)+'LINEST VARS'!$L$64*(0.5^2)+'LINEST VARS'!$K$64*($CX110^2)+'LINEST VARS'!$J$64*(8*8)+'LINEST VARS'!$I$64*(8*$DM$104)+'LINEST VARS'!$H$64*(8*0.5)+'LINEST VARS'!$G$64*(8*$CX110)+'LINEST VARS'!$F$64*(8*$DM$104)+'LINEST VARS'!$E$64*(8*0.5)+'LINEST VARS'!$D$64*(8*$CX110)+'LINEST VARS'!$C$64*($DM$104*0.5)+'LINEST VARS'!$B$64*($DM$104*$CX110)+'LINEST VARS'!$A$64*(0.5*$CX110)</f>
        <v>151.89249999999984</v>
      </c>
      <c r="DN110" s="55">
        <f>'LINEST VARS'!$U$64+'LINEST VARS'!$T$64*(8)+'LINEST VARS'!$S$64*(8)+'LINEST VARS'!$R$64*($DN$104)+'LINEST VARS'!$Q$64*(0.5)+'LINEST VARS'!$P$64*($CX110)+'LINEST VARS'!$O$64*(8^2)+'LINEST VARS'!$N$64*(8^2)+'LINEST VARS'!$M$64*($DN$104^2)+'LINEST VARS'!$L$64*(0.5^2)+'LINEST VARS'!$K$64*($CX110^2)+'LINEST VARS'!$J$64*(8*8)+'LINEST VARS'!$I$64*(8*$DN$104)+'LINEST VARS'!$H$64*(8*0.5)+'LINEST VARS'!$G$64*(8*$CX110)+'LINEST VARS'!$F$64*(8*$DN$104)+'LINEST VARS'!$E$64*(8*0.5)+'LINEST VARS'!$D$64*(8*$CX110)+'LINEST VARS'!$C$64*($DN$104*0.5)+'LINEST VARS'!$B$64*($DN$104*$CX110)+'LINEST VARS'!$A$64*(0.5*$CX110)</f>
        <v>153.49249999999984</v>
      </c>
      <c r="DO110" s="55">
        <f>'LINEST VARS'!$U$64+'LINEST VARS'!$T$64*(8)+'LINEST VARS'!$S$64*(8)+'LINEST VARS'!$R$64*($DO$104)+'LINEST VARS'!$Q$64*(0.5)+'LINEST VARS'!$P$64*($CX110)+'LINEST VARS'!$O$64*(8^2)+'LINEST VARS'!$N$64*(8^2)+'LINEST VARS'!$M$64*($DO$104^2)+'LINEST VARS'!$L$64*(0.5^2)+'LINEST VARS'!$K$64*($CX110^2)+'LINEST VARS'!$J$64*(8*8)+'LINEST VARS'!$I$64*(8*$DO$104)+'LINEST VARS'!$H$64*(8*0.5)+'LINEST VARS'!$G$64*(8*$CX110)+'LINEST VARS'!$F$64*(8*$DO$104)+'LINEST VARS'!$E$64*(8*0.5)+'LINEST VARS'!$D$64*(8*$CX110)+'LINEST VARS'!$C$64*($DO$104*0.5)+'LINEST VARS'!$B$64*($DO$104*$CX110)+'LINEST VARS'!$A$64*(0.5*$CX110)</f>
        <v>155.09249999999986</v>
      </c>
      <c r="DP110" s="55">
        <f>'LINEST VARS'!$U$64+'LINEST VARS'!$T$64*(8)+'LINEST VARS'!$S$64*(8)+'LINEST VARS'!$R$64*($DP$104)+'LINEST VARS'!$Q$64*(0.5)+'LINEST VARS'!$P$64*($CX110)+'LINEST VARS'!$O$64*(8^2)+'LINEST VARS'!$N$64*(8^2)+'LINEST VARS'!$M$64*($DP$104^2)+'LINEST VARS'!$L$64*(0.5^2)+'LINEST VARS'!$K$64*($CX110^2)+'LINEST VARS'!$J$64*(8*8)+'LINEST VARS'!$I$64*(8*$DP$104)+'LINEST VARS'!$H$64*(8*0.5)+'LINEST VARS'!$G$64*(8*$CX110)+'LINEST VARS'!$F$64*(8*$DP$104)+'LINEST VARS'!$E$64*(8*0.5)+'LINEST VARS'!$D$64*(8*$CX110)+'LINEST VARS'!$C$64*($DP$104*0.5)+'LINEST VARS'!$B$64*($DP$104*$CX110)+'LINEST VARS'!$A$64*(0.5*$CX110)</f>
        <v>156.69249999999985</v>
      </c>
      <c r="DQ110" s="55">
        <f>'LINEST VARS'!$U$64+'LINEST VARS'!$T$64*(8)+'LINEST VARS'!$S$64*(8)+'LINEST VARS'!$R$64*($DQ$104)+'LINEST VARS'!$Q$64*(0.5)+'LINEST VARS'!$P$64*($CX110)+'LINEST VARS'!$O$64*(8^2)+'LINEST VARS'!$N$64*(8^2)+'LINEST VARS'!$M$64*($DQ$104^2)+'LINEST VARS'!$L$64*(0.5^2)+'LINEST VARS'!$K$64*($CX110^2)+'LINEST VARS'!$J$64*(8*8)+'LINEST VARS'!$I$64*(8*$DQ$104)+'LINEST VARS'!$H$64*(8*0.5)+'LINEST VARS'!$G$64*(8*$CX110)+'LINEST VARS'!$F$64*(8*$DQ$104)+'LINEST VARS'!$E$64*(8*0.5)+'LINEST VARS'!$D$64*(8*$CX110)+'LINEST VARS'!$C$64*($DQ$104*0.5)+'LINEST VARS'!$B$64*($DQ$104*$CX110)+'LINEST VARS'!$A$64*(0.5*$CX110)</f>
        <v>158.29249999999985</v>
      </c>
      <c r="DR110" s="55">
        <f>'LINEST VARS'!$U$64+'LINEST VARS'!$T$64*(8)+'LINEST VARS'!$S$64*(8)+'LINEST VARS'!$R$64*($DR$104)+'LINEST VARS'!$Q$64*(0.5)+'LINEST VARS'!$P$64*($CX110)+'LINEST VARS'!$O$64*(8^2)+'LINEST VARS'!$N$64*(8^2)+'LINEST VARS'!$M$64*($DR$104^2)+'LINEST VARS'!$L$64*(0.5^2)+'LINEST VARS'!$K$64*($CX110^2)+'LINEST VARS'!$J$64*(8*8)+'LINEST VARS'!$I$64*(8*$DR$104)+'LINEST VARS'!$H$64*(8*0.5)+'LINEST VARS'!$G$64*(8*$CX110)+'LINEST VARS'!$F$64*(8*$DR$104)+'LINEST VARS'!$E$64*(8*0.5)+'LINEST VARS'!$D$64*(8*$CX110)+'LINEST VARS'!$C$64*($DR$104*0.5)+'LINEST VARS'!$B$64*($DR$104*$CX110)+'LINEST VARS'!$A$64*(0.5*$CX110)</f>
        <v>159.89249999999984</v>
      </c>
      <c r="DS110" s="56">
        <f>'LINEST VARS'!$U$64+'LINEST VARS'!$T$64*(8)+'LINEST VARS'!$S$64*(8)+'LINEST VARS'!$R$64*($DS$104)+'LINEST VARS'!$Q$64*(0.5)+'LINEST VARS'!$P$64*($CX110)+'LINEST VARS'!$O$64*(8^2)+'LINEST VARS'!$N$64*(8^2)+'LINEST VARS'!$M$64*($DS$104^2)+'LINEST VARS'!$L$64*(0.5^2)+'LINEST VARS'!$K$64*($CX110^2)+'LINEST VARS'!$J$64*(8*8)+'LINEST VARS'!$I$64*(8*$DS$104)+'LINEST VARS'!$H$64*(8*0.5)+'LINEST VARS'!$G$64*(8*$CX110)+'LINEST VARS'!$F$64*(8*$DS$104)+'LINEST VARS'!$E$64*(8*0.5)+'LINEST VARS'!$D$64*(8*$CX110)+'LINEST VARS'!$C$64*($DS$104*0.5)+'LINEST VARS'!$B$64*($DS$104*$CX110)+'LINEST VARS'!$A$64*(0.5*$CX110)</f>
        <v>161.49249999999984</v>
      </c>
      <c r="DV110" s="45">
        <v>6.4974999999999996</v>
      </c>
      <c r="DW110" s="46">
        <f>'LINEST VARS'!$U$66+'LINEST VARS'!$T$66*(8)+'LINEST VARS'!$S$66*(8)+'LINEST VARS'!$R$66*($DW$104)+'LINEST VARS'!$Q$66*(0.5)+'LINEST VARS'!$P$66*($DV110)+'LINEST VARS'!$O$66*(8^2)+'LINEST VARS'!$N$66*(8^2)+'LINEST VARS'!$M$66*($DW$104^2)+'LINEST VARS'!$L$66*(0.5^2)+'LINEST VARS'!$K$66*($DV110^2)+'LINEST VARS'!$J$66*(8*8)+'LINEST VARS'!$I$66*(8*$DW$104)+'LINEST VARS'!$H$66*(8*0.5)+'LINEST VARS'!$G$66*(8*$DV110)+'LINEST VARS'!$F$66*(8*$DW$104)+'LINEST VARS'!$E$66*(8*0.5)+'LINEST VARS'!$D$66*(8*$DV110)+'LINEST VARS'!$C$66*($DW$104*0.5)+'LINEST VARS'!$B$66*($DW$104*$DV110)+'LINEST VARS'!$A$66*(0.5*$DV110)</f>
        <v>144.00000000000003</v>
      </c>
      <c r="DX110" s="46">
        <f>'LINEST VARS'!$U$66+'LINEST VARS'!$T$66*(8)+'LINEST VARS'!$S$66*(8)+'LINEST VARS'!$R$66*($DX$104)+'LINEST VARS'!$Q$66*(0.5)+'LINEST VARS'!$P$66*($DV110)+'LINEST VARS'!$O$66*(8^2)+'LINEST VARS'!$N$66*(8^2)+'LINEST VARS'!$M$66*($DX$104^2)+'LINEST VARS'!$L$66*(0.5^2)+'LINEST VARS'!$K$66*($DV110^2)+'LINEST VARS'!$J$66*(8*8)+'LINEST VARS'!$I$66*(8*$DX$104)+'LINEST VARS'!$H$66*(8*0.5)+'LINEST VARS'!$G$66*(8*$DV110)+'LINEST VARS'!$F$66*(8*$DX$104)+'LINEST VARS'!$E$66*(8*0.5)+'LINEST VARS'!$D$66*(8*$DV110)+'LINEST VARS'!$C$66*($DX$104*0.5)+'LINEST VARS'!$B$66*($DX$104*$DV110)+'LINEST VARS'!$A$66*(0.5*$DV110)</f>
        <v>143.20000000000005</v>
      </c>
      <c r="DY110" s="46">
        <f>'LINEST VARS'!$U$66+'LINEST VARS'!$T$66*(8)+'LINEST VARS'!$S$66*(8)+'LINEST VARS'!$R$66*($DY$104)+'LINEST VARS'!$Q$66*(0.5)+'LINEST VARS'!$P$66*($DV110)+'LINEST VARS'!$O$66*(8^2)+'LINEST VARS'!$N$66*(8^2)+'LINEST VARS'!$M$66*($DY$104^2)+'LINEST VARS'!$L$66*(0.5^2)+'LINEST VARS'!$K$66*($DV110^2)+'LINEST VARS'!$J$66*(8*8)+'LINEST VARS'!$I$66*(8*$DY$104)+'LINEST VARS'!$H$66*(8*0.5)+'LINEST VARS'!$G$66*(8*$DV110)+'LINEST VARS'!$F$66*(8*$DY$104)+'LINEST VARS'!$E$66*(8*0.5)+'LINEST VARS'!$D$66*(8*$DV110)+'LINEST VARS'!$C$66*($DY$104*0.5)+'LINEST VARS'!$B$66*($DY$104*$DV110)+'LINEST VARS'!$A$66*(0.5*$DV110)</f>
        <v>142.40000000000003</v>
      </c>
      <c r="DZ110" s="46">
        <f>'LINEST VARS'!$U$66+'LINEST VARS'!$T$66*(8)+'LINEST VARS'!$S$66*(8)+'LINEST VARS'!$R$66*($DZ$104)+'LINEST VARS'!$Q$66*(0.5)+'LINEST VARS'!$P$66*($DV110)+'LINEST VARS'!$O$66*(8^2)+'LINEST VARS'!$N$66*(8^2)+'LINEST VARS'!$M$66*($DZ$104^2)+'LINEST VARS'!$L$66*(0.5^2)+'LINEST VARS'!$K$66*($DV110^2)+'LINEST VARS'!$J$66*(8*8)+'LINEST VARS'!$I$66*(8*$DZ$104)+'LINEST VARS'!$H$66*(8*0.5)+'LINEST VARS'!$G$66*(8*$DV110)+'LINEST VARS'!$F$66*(8*$DZ$104)+'LINEST VARS'!$E$66*(8*0.5)+'LINEST VARS'!$D$66*(8*$DV110)+'LINEST VARS'!$C$66*($DZ$104*0.5)+'LINEST VARS'!$B$66*($DZ$104*$DV110)+'LINEST VARS'!$A$66*(0.5*$DV110)</f>
        <v>141.60000000000005</v>
      </c>
      <c r="EA110" s="46">
        <f>'LINEST VARS'!$U$66+'LINEST VARS'!$T$66*(8)+'LINEST VARS'!$S$66*(8)+'LINEST VARS'!$R$66*($EA$104)+'LINEST VARS'!$Q$66*(0.5)+'LINEST VARS'!$P$66*($DV110)+'LINEST VARS'!$O$66*(8^2)+'LINEST VARS'!$N$66*(8^2)+'LINEST VARS'!$M$66*($EA$104^2)+'LINEST VARS'!$L$66*(0.5^2)+'LINEST VARS'!$K$66*($DV110^2)+'LINEST VARS'!$J$66*(8*8)+'LINEST VARS'!$I$66*(8*$EA$104)+'LINEST VARS'!$H$66*(8*0.5)+'LINEST VARS'!$G$66*(8*$DV110)+'LINEST VARS'!$F$66*(8*$EA$104)+'LINEST VARS'!$E$66*(8*0.5)+'LINEST VARS'!$D$66*(8*$DV110)+'LINEST VARS'!$C$66*($EA$104*0.5)+'LINEST VARS'!$B$66*($EA$104*$DV110)+'LINEST VARS'!$A$66*(0.5*$DV110)</f>
        <v>140.80000000000004</v>
      </c>
      <c r="EB110" s="46">
        <f>'LINEST VARS'!$U$66+'LINEST VARS'!$T$66*(8)+'LINEST VARS'!$S$66*(8)+'LINEST VARS'!$R$66*($EB$104)+'LINEST VARS'!$Q$66*(0.5)+'LINEST VARS'!$P$66*($DV110)+'LINEST VARS'!$O$66*(8^2)+'LINEST VARS'!$N$66*(8^2)+'LINEST VARS'!$M$66*($EB$104^2)+'LINEST VARS'!$L$66*(0.5^2)+'LINEST VARS'!$K$66*($DV110^2)+'LINEST VARS'!$J$66*(8*8)+'LINEST VARS'!$I$66*(8*$EB$104)+'LINEST VARS'!$H$66*(8*0.5)+'LINEST VARS'!$G$66*(8*$DV110)+'LINEST VARS'!$F$66*(8*$EB$104)+'LINEST VARS'!$E$66*(8*0.5)+'LINEST VARS'!$D$66*(8*$DV110)+'LINEST VARS'!$C$66*($EB$104*0.5)+'LINEST VARS'!$B$66*($EB$104*$DV110)+'LINEST VARS'!$A$66*(0.5*$DV110)</f>
        <v>140.00000000000006</v>
      </c>
      <c r="EC110" s="46">
        <f>'LINEST VARS'!$U$66+'LINEST VARS'!$T$66*(8)+'LINEST VARS'!$S$66*(8)+'LINEST VARS'!$R$66*($EC$104)+'LINEST VARS'!$Q$66*(0.5)+'LINEST VARS'!$P$66*($DV110)+'LINEST VARS'!$O$66*(8^2)+'LINEST VARS'!$N$66*(8^2)+'LINEST VARS'!$M$66*($EC$104^2)+'LINEST VARS'!$L$66*(0.5^2)+'LINEST VARS'!$K$66*($DV110^2)+'LINEST VARS'!$J$66*(8*8)+'LINEST VARS'!$I$66*(8*$EC$104)+'LINEST VARS'!$H$66*(8*0.5)+'LINEST VARS'!$G$66*(8*$DV110)+'LINEST VARS'!$F$66*(8*$EC$104)+'LINEST VARS'!$E$66*(8*0.5)+'LINEST VARS'!$D$66*(8*$DV110)+'LINEST VARS'!$C$66*($EC$104*0.5)+'LINEST VARS'!$B$66*($EC$104*$DV110)+'LINEST VARS'!$A$66*(0.5*$DV110)</f>
        <v>139.20000000000005</v>
      </c>
      <c r="ED110" s="46">
        <f>'LINEST VARS'!$U$66+'LINEST VARS'!$T$66*(8)+'LINEST VARS'!$S$66*(8)+'LINEST VARS'!$R$66*($ED$104)+'LINEST VARS'!$Q$66*(0.5)+'LINEST VARS'!$P$66*($DV110)+'LINEST VARS'!$O$66*(8^2)+'LINEST VARS'!$N$66*(8^2)+'LINEST VARS'!$M$66*($ED$104^2)+'LINEST VARS'!$L$66*(0.5^2)+'LINEST VARS'!$K$66*($DV110^2)+'LINEST VARS'!$J$66*(8*8)+'LINEST VARS'!$I$66*(8*$ED$104)+'LINEST VARS'!$H$66*(8*0.5)+'LINEST VARS'!$G$66*(8*$DV110)+'LINEST VARS'!$F$66*(8*$ED$104)+'LINEST VARS'!$E$66*(8*0.5)+'LINEST VARS'!$D$66*(8*$DV110)+'LINEST VARS'!$C$66*($ED$104*0.5)+'LINEST VARS'!$B$66*($ED$104*$DV110)+'LINEST VARS'!$A$66*(0.5*$DV110)</f>
        <v>138.40000000000006</v>
      </c>
      <c r="EE110" s="46">
        <f>'LINEST VARS'!$U$66+'LINEST VARS'!$T$66*(8)+'LINEST VARS'!$S$66*(8)+'LINEST VARS'!$R$66*($EE$104)+'LINEST VARS'!$Q$66*(0.5)+'LINEST VARS'!$P$66*($DV110)+'LINEST VARS'!$O$66*(8^2)+'LINEST VARS'!$N$66*(8^2)+'LINEST VARS'!$M$66*($EE$104^2)+'LINEST VARS'!$L$66*(0.5^2)+'LINEST VARS'!$K$66*($DV110^2)+'LINEST VARS'!$J$66*(8*8)+'LINEST VARS'!$I$66*(8*$EE$104)+'LINEST VARS'!$H$66*(8*0.5)+'LINEST VARS'!$G$66*(8*$DV110)+'LINEST VARS'!$F$66*(8*$EE$104)+'LINEST VARS'!$E$66*(8*0.5)+'LINEST VARS'!$D$66*(8*$DV110)+'LINEST VARS'!$C$66*($EE$104*0.5)+'LINEST VARS'!$B$66*($EE$104*$DV110)+'LINEST VARS'!$A$66*(0.5*$DV110)</f>
        <v>137.60000000000005</v>
      </c>
      <c r="EF110" s="46">
        <f>'LINEST VARS'!$U$66+'LINEST VARS'!$T$66*(8)+'LINEST VARS'!$S$66*(8)+'LINEST VARS'!$R$66*($EF$104)+'LINEST VARS'!$Q$66*(0.5)+'LINEST VARS'!$P$66*($DV110)+'LINEST VARS'!$O$66*(8^2)+'LINEST VARS'!$N$66*(8^2)+'LINEST VARS'!$M$66*($EF$104^2)+'LINEST VARS'!$L$66*(0.5^2)+'LINEST VARS'!$K$66*($DV110^2)+'LINEST VARS'!$J$66*(8*8)+'LINEST VARS'!$I$66*(8*$EF$104)+'LINEST VARS'!$H$66*(8*0.5)+'LINEST VARS'!$G$66*(8*$DV110)+'LINEST VARS'!$F$66*(8*$EF$104)+'LINEST VARS'!$E$66*(8*0.5)+'LINEST VARS'!$D$66*(8*$DV110)+'LINEST VARS'!$C$66*($EF$104*0.5)+'LINEST VARS'!$B$66*($EF$104*$DV110)+'LINEST VARS'!$A$66*(0.5*$DV110)</f>
        <v>136.80000000000004</v>
      </c>
      <c r="EG110" s="46">
        <f>'LINEST VARS'!$U$66+'LINEST VARS'!$T$66*(8)+'LINEST VARS'!$S$66*(8)+'LINEST VARS'!$R$66*($EG$104)+'LINEST VARS'!$Q$66*(0.5)+'LINEST VARS'!$P$66*($DV110)+'LINEST VARS'!$O$66*(8^2)+'LINEST VARS'!$N$66*(8^2)+'LINEST VARS'!$M$66*($EG$104^2)+'LINEST VARS'!$L$66*(0.5^2)+'LINEST VARS'!$K$66*($DV110^2)+'LINEST VARS'!$J$66*(8*8)+'LINEST VARS'!$I$66*(8*$EG$104)+'LINEST VARS'!$H$66*(8*0.5)+'LINEST VARS'!$G$66*(8*$DV110)+'LINEST VARS'!$F$66*(8*$EG$104)+'LINEST VARS'!$E$66*(8*0.5)+'LINEST VARS'!$D$66*(8*$DV110)+'LINEST VARS'!$C$66*($EG$104*0.5)+'LINEST VARS'!$B$66*($EG$104*$DV110)+'LINEST VARS'!$A$66*(0.5*$DV110)</f>
        <v>136.00000000000003</v>
      </c>
      <c r="EH110" s="46">
        <f>'LINEST VARS'!$U$66+'LINEST VARS'!$T$66*(8)+'LINEST VARS'!$S$66*(8)+'LINEST VARS'!$R$66*($EH$104)+'LINEST VARS'!$Q$66*(0.5)+'LINEST VARS'!$P$66*($DV110)+'LINEST VARS'!$O$66*(8^2)+'LINEST VARS'!$N$66*(8^2)+'LINEST VARS'!$M$66*($EH$104^2)+'LINEST VARS'!$L$66*(0.5^2)+'LINEST VARS'!$K$66*($DV110^2)+'LINEST VARS'!$J$66*(8*8)+'LINEST VARS'!$I$66*(8*$EH$104)+'LINEST VARS'!$H$66*(8*0.5)+'LINEST VARS'!$G$66*(8*$DV110)+'LINEST VARS'!$F$66*(8*$EH$104)+'LINEST VARS'!$E$66*(8*0.5)+'LINEST VARS'!$D$66*(8*$DV110)+'LINEST VARS'!$C$66*($EH$104*0.5)+'LINEST VARS'!$B$66*($EH$104*$DV110)+'LINEST VARS'!$A$66*(0.5*$DV110)</f>
        <v>135.20000000000002</v>
      </c>
      <c r="EI110" s="46">
        <f>'LINEST VARS'!$U$66+'LINEST VARS'!$T$66*(8)+'LINEST VARS'!$S$66*(8)+'LINEST VARS'!$R$66*($EI$104)+'LINEST VARS'!$Q$66*(0.5)+'LINEST VARS'!$P$66*($DV110)+'LINEST VARS'!$O$66*(8^2)+'LINEST VARS'!$N$66*(8^2)+'LINEST VARS'!$M$66*($EI$104^2)+'LINEST VARS'!$L$66*(0.5^2)+'LINEST VARS'!$K$66*($DV110^2)+'LINEST VARS'!$J$66*(8*8)+'LINEST VARS'!$I$66*(8*$EI$104)+'LINEST VARS'!$H$66*(8*0.5)+'LINEST VARS'!$G$66*(8*$DV110)+'LINEST VARS'!$F$66*(8*$EI$104)+'LINEST VARS'!$E$66*(8*0.5)+'LINEST VARS'!$D$66*(8*$DV110)+'LINEST VARS'!$C$66*($EI$104*0.5)+'LINEST VARS'!$B$66*($EI$104*$DV110)+'LINEST VARS'!$A$66*(0.5*$DV110)</f>
        <v>134.4</v>
      </c>
      <c r="EJ110" s="46">
        <f>'LINEST VARS'!$U$66+'LINEST VARS'!$T$66*(8)+'LINEST VARS'!$S$66*(8)+'LINEST VARS'!$R$66*($EJ$104)+'LINEST VARS'!$Q$66*(0.5)+'LINEST VARS'!$P$66*($DV110)+'LINEST VARS'!$O$66*(8^2)+'LINEST VARS'!$N$66*(8^2)+'LINEST VARS'!$M$66*($EJ$104^2)+'LINEST VARS'!$L$66*(0.5^2)+'LINEST VARS'!$K$66*($DV110^2)+'LINEST VARS'!$J$66*(8*8)+'LINEST VARS'!$I$66*(8*$EJ$104)+'LINEST VARS'!$H$66*(8*0.5)+'LINEST VARS'!$G$66*(8*$DV110)+'LINEST VARS'!$F$66*(8*$EJ$104)+'LINEST VARS'!$E$66*(8*0.5)+'LINEST VARS'!$D$66*(8*$DV110)+'LINEST VARS'!$C$66*($EJ$104*0.5)+'LINEST VARS'!$B$66*($EJ$104*$DV110)+'LINEST VARS'!$A$66*(0.5*$DV110)</f>
        <v>133.60000000000002</v>
      </c>
      <c r="EK110" s="46">
        <f>'LINEST VARS'!$U$66+'LINEST VARS'!$T$66*(8)+'LINEST VARS'!$S$66*(8)+'LINEST VARS'!$R$66*($EK$104)+'LINEST VARS'!$Q$66*(0.5)+'LINEST VARS'!$P$66*($DV110)+'LINEST VARS'!$O$66*(8^2)+'LINEST VARS'!$N$66*(8^2)+'LINEST VARS'!$M$66*($EK$104^2)+'LINEST VARS'!$L$66*(0.5^2)+'LINEST VARS'!$K$66*($DV110^2)+'LINEST VARS'!$J$66*(8*8)+'LINEST VARS'!$I$66*(8*$EK$104)+'LINEST VARS'!$H$66*(8*0.5)+'LINEST VARS'!$G$66*(8*$DV110)+'LINEST VARS'!$F$66*(8*$EK$104)+'LINEST VARS'!$E$66*(8*0.5)+'LINEST VARS'!$D$66*(8*$DV110)+'LINEST VARS'!$C$66*($EK$104*0.5)+'LINEST VARS'!$B$66*($EK$104*$DV110)+'LINEST VARS'!$A$66*(0.5*$DV110)</f>
        <v>132.80000000000001</v>
      </c>
      <c r="EL110" s="46">
        <f>'LINEST VARS'!$U$66+'LINEST VARS'!$T$66*(8)+'LINEST VARS'!$S$66*(8)+'LINEST VARS'!$R$66*($EL$104)+'LINEST VARS'!$Q$66*(0.5)+'LINEST VARS'!$P$66*($DV110)+'LINEST VARS'!$O$66*(8^2)+'LINEST VARS'!$N$66*(8^2)+'LINEST VARS'!$M$66*($EL$104^2)+'LINEST VARS'!$L$66*(0.5^2)+'LINEST VARS'!$K$66*($DV110^2)+'LINEST VARS'!$J$66*(8*8)+'LINEST VARS'!$I$66*(8*$EL$104)+'LINEST VARS'!$H$66*(8*0.5)+'LINEST VARS'!$G$66*(8*$DV110)+'LINEST VARS'!$F$66*(8*$EL$104)+'LINEST VARS'!$E$66*(8*0.5)+'LINEST VARS'!$D$66*(8*$DV110)+'LINEST VARS'!$C$66*($EL$104*0.5)+'LINEST VARS'!$B$66*($EL$104*$DV110)+'LINEST VARS'!$A$66*(0.5*$DV110)</f>
        <v>132.00000000000003</v>
      </c>
      <c r="EM110" s="46">
        <f>'LINEST VARS'!$U$66+'LINEST VARS'!$T$66*(8)+'LINEST VARS'!$S$66*(8)+'LINEST VARS'!$R$66*($EM$104)+'LINEST VARS'!$Q$66*(0.5)+'LINEST VARS'!$P$66*($DV110)+'LINEST VARS'!$O$66*(8^2)+'LINEST VARS'!$N$66*(8^2)+'LINEST VARS'!$M$66*($EM$104^2)+'LINEST VARS'!$L$66*(0.5^2)+'LINEST VARS'!$K$66*($DV110^2)+'LINEST VARS'!$J$66*(8*8)+'LINEST VARS'!$I$66*(8*$EM$104)+'LINEST VARS'!$H$66*(8*0.5)+'LINEST VARS'!$G$66*(8*$DV110)+'LINEST VARS'!$F$66*(8*$EM$104)+'LINEST VARS'!$E$66*(8*0.5)+'LINEST VARS'!$D$66*(8*$DV110)+'LINEST VARS'!$C$66*($EM$104*0.5)+'LINEST VARS'!$B$66*($EM$104*$DV110)+'LINEST VARS'!$A$66*(0.5*$DV110)</f>
        <v>131.20000000000002</v>
      </c>
      <c r="EN110" s="46">
        <f>'LINEST VARS'!$U$66+'LINEST VARS'!$T$66*(8)+'LINEST VARS'!$S$66*(8)+'LINEST VARS'!$R$66*($EN$104)+'LINEST VARS'!$Q$66*(0.5)+'LINEST VARS'!$P$66*($DV110)+'LINEST VARS'!$O$66*(8^2)+'LINEST VARS'!$N$66*(8^2)+'LINEST VARS'!$M$66*($EN$104^2)+'LINEST VARS'!$L$66*(0.5^2)+'LINEST VARS'!$K$66*($DV110^2)+'LINEST VARS'!$J$66*(8*8)+'LINEST VARS'!$I$66*(8*$EN$104)+'LINEST VARS'!$H$66*(8*0.5)+'LINEST VARS'!$G$66*(8*$DV110)+'LINEST VARS'!$F$66*(8*$EN$104)+'LINEST VARS'!$E$66*(8*0.5)+'LINEST VARS'!$D$66*(8*$DV110)+'LINEST VARS'!$C$66*($EN$104*0.5)+'LINEST VARS'!$B$66*($EN$104*$DV110)+'LINEST VARS'!$A$66*(0.5*$DV110)</f>
        <v>130.40000000000006</v>
      </c>
      <c r="EO110" s="46">
        <f>'LINEST VARS'!$U$66+'LINEST VARS'!$T$66*(8)+'LINEST VARS'!$S$66*(8)+'LINEST VARS'!$R$66*($EO$104)+'LINEST VARS'!$Q$66*(0.5)+'LINEST VARS'!$P$66*($DV110)+'LINEST VARS'!$O$66*(8^2)+'LINEST VARS'!$N$66*(8^2)+'LINEST VARS'!$M$66*($EO$104^2)+'LINEST VARS'!$L$66*(0.5^2)+'LINEST VARS'!$K$66*($DV110^2)+'LINEST VARS'!$J$66*(8*8)+'LINEST VARS'!$I$66*(8*$EO$104)+'LINEST VARS'!$H$66*(8*0.5)+'LINEST VARS'!$G$66*(8*$DV110)+'LINEST VARS'!$F$66*(8*$EO$104)+'LINEST VARS'!$E$66*(8*0.5)+'LINEST VARS'!$D$66*(8*$DV110)+'LINEST VARS'!$C$66*($EO$104*0.5)+'LINEST VARS'!$B$66*($EO$104*$DV110)+'LINEST VARS'!$A$66*(0.5*$DV110)</f>
        <v>129.60000000000005</v>
      </c>
      <c r="EP110" s="46">
        <f>'LINEST VARS'!$U$66+'LINEST VARS'!$T$66*(8)+'LINEST VARS'!$S$66*(8)+'LINEST VARS'!$R$66*($EP$104)+'LINEST VARS'!$Q$66*(0.5)+'LINEST VARS'!$P$66*($DV110)+'LINEST VARS'!$O$66*(8^2)+'LINEST VARS'!$N$66*(8^2)+'LINEST VARS'!$M$66*($EP$104^2)+'LINEST VARS'!$L$66*(0.5^2)+'LINEST VARS'!$K$66*($DV110^2)+'LINEST VARS'!$J$66*(8*8)+'LINEST VARS'!$I$66*(8*$EP$104)+'LINEST VARS'!$H$66*(8*0.5)+'LINEST VARS'!$G$66*(8*$DV110)+'LINEST VARS'!$F$66*(8*$EP$104)+'LINEST VARS'!$E$66*(8*0.5)+'LINEST VARS'!$D$66*(8*$DV110)+'LINEST VARS'!$C$66*($EP$104*0.5)+'LINEST VARS'!$B$66*($EP$104*$DV110)+'LINEST VARS'!$A$66*(0.5*$DV110)</f>
        <v>128.80000000000007</v>
      </c>
      <c r="EQ110" s="47">
        <f>'LINEST VARS'!$U$66+'LINEST VARS'!$T$66*(8)+'LINEST VARS'!$S$66*(8)+'LINEST VARS'!$R$66*($EQ$104)+'LINEST VARS'!$Q$66*(0.5)+'LINEST VARS'!$P$66*($DV110)+'LINEST VARS'!$O$66*(8^2)+'LINEST VARS'!$N$66*(8^2)+'LINEST VARS'!$M$66*($EQ$104^2)+'LINEST VARS'!$L$66*(0.5^2)+'LINEST VARS'!$K$66*($DV110^2)+'LINEST VARS'!$J$66*(8*8)+'LINEST VARS'!$I$66*(8*$EQ$104)+'LINEST VARS'!$H$66*(8*0.5)+'LINEST VARS'!$G$66*(8*$DV110)+'LINEST VARS'!$F$66*(8*$EQ$104)+'LINEST VARS'!$E$66*(8*0.5)+'LINEST VARS'!$D$66*(8*$DV110)+'LINEST VARS'!$C$66*($EQ$104*0.5)+'LINEST VARS'!$B$66*($EQ$104*$DV110)+'LINEST VARS'!$A$66*(0.5*$DV110)</f>
        <v>128.00000000000006</v>
      </c>
    </row>
    <row r="111" spans="2:147" ht="15" customHeight="1" x14ac:dyDescent="0.25">
      <c r="B111" s="45">
        <v>7.76</v>
      </c>
      <c r="C111" s="55">
        <f>'LINEST VARS'!$U$64+'LINEST VARS'!$T$64*($C$104)+'LINEST VARS'!$S$64*($B111)+'LINEST VARS'!$R$64*(4)+'LINEST VARS'!$Q$64*(0.5)+'LINEST VARS'!$P$64*(12.73)+'LINEST VARS'!$O$64*($C$104^2)+'LINEST VARS'!$N$64*($B111^2)+'LINEST VARS'!$M$64*(4^2)+'LINEST VARS'!$L$64*(0.5^2)+'LINEST VARS'!$K$64*(12.73^2)+'LINEST VARS'!$J$64*($C$104*$B111)+'LINEST VARS'!$I$64*($C$104*4)+'LINEST VARS'!$H$64*($C$104*0.5)+'LINEST VARS'!$G$64*($C$104*12.73)+'LINEST VARS'!$F$64*($B111*4)+'LINEST VARS'!$E$64*($B111*0.5)+'LINEST VARS'!$D$64*($B111*12.73)+'LINEST VARS'!$C$64*(4*0.5)+'LINEST VARS'!$B$64*(4*12.73)+'LINEST VARS'!$A$64*(0.5*12.73)</f>
        <v>164.18999999999988</v>
      </c>
      <c r="D111" s="55">
        <f>'LINEST VARS'!$U$64+'LINEST VARS'!$T$64*($D$104)+'LINEST VARS'!$S$64*($B111)+'LINEST VARS'!$R$64*(4)+'LINEST VARS'!$Q$64*(0.5)+'LINEST VARS'!$P$64*(12.73)+'LINEST VARS'!$O$64*($D$104^2)+'LINEST VARS'!$N$64*($B111^2)+'LINEST VARS'!$M$64*(4^2)+'LINEST VARS'!$L$64*(0.5^2)+'LINEST VARS'!$K$64*(12.73^2)+'LINEST VARS'!$J$64*($D$104*$B111)+'LINEST VARS'!$I$64*($D$104*4)+'LINEST VARS'!$H$64*($D$104*0.5)+'LINEST VARS'!$G$64*($D$104*12.73)+'LINEST VARS'!$F$64*($B111*4)+'LINEST VARS'!$E$64*($B111*0.5)+'LINEST VARS'!$D$64*($B111*12.73)+'LINEST VARS'!$C$64*(4*0.5)+'LINEST VARS'!$B$64*(4*12.73)+'LINEST VARS'!$A$64*(0.5*12.73)</f>
        <v>164.18999999999988</v>
      </c>
      <c r="E111" s="55">
        <f>'LINEST VARS'!$U$64+'LINEST VARS'!$T$64*($E$104)+'LINEST VARS'!$S$64*($B111)+'LINEST VARS'!$R$64*(4)+'LINEST VARS'!$Q$64*(0.5)+'LINEST VARS'!$P$64*(12.73)+'LINEST VARS'!$O$64*($E$104^2)+'LINEST VARS'!$N$64*($B111^2)+'LINEST VARS'!$M$64*(4^2)+'LINEST VARS'!$L$64*(0.5^2)+'LINEST VARS'!$K$64*(12.73^2)+'LINEST VARS'!$J$64*($E$104*$B111)+'LINEST VARS'!$I$64*($E$104*4)+'LINEST VARS'!$H$64*($E$104*0.5)+'LINEST VARS'!$G$64*($E$104*12.73)+'LINEST VARS'!$F$64*($B111*4)+'LINEST VARS'!$E$64*($B111*0.5)+'LINEST VARS'!$D$64*($B111*12.73)+'LINEST VARS'!$C$64*(4*0.5)+'LINEST VARS'!$B$64*(4*12.73)+'LINEST VARS'!$A$64*(0.5*12.73)</f>
        <v>164.18999999999988</v>
      </c>
      <c r="F111" s="55">
        <f>'LINEST VARS'!$U$64+'LINEST VARS'!$T$64*($F$104)+'LINEST VARS'!$S$64*($B111)+'LINEST VARS'!$R$64*(4)+'LINEST VARS'!$Q$64*(0.5)+'LINEST VARS'!$P$64*(12.73)+'LINEST VARS'!$O$64*($F$104^2)+'LINEST VARS'!$N$64*($B111^2)+'LINEST VARS'!$M$64*(4^2)+'LINEST VARS'!$L$64*(0.5^2)+'LINEST VARS'!$K$64*(12.73^2)+'LINEST VARS'!$J$64*($F$104*$B111)+'LINEST VARS'!$I$64*($F$104*4)+'LINEST VARS'!$H$64*($F$104*0.5)+'LINEST VARS'!$G$64*($F$104*12.73)+'LINEST VARS'!$F$64*($B111*4)+'LINEST VARS'!$E$64*($B111*0.5)+'LINEST VARS'!$D$64*($B111*12.73)+'LINEST VARS'!$C$64*(4*0.5)+'LINEST VARS'!$B$64*(4*12.73)+'LINEST VARS'!$A$64*(0.5*12.73)</f>
        <v>164.18999999999988</v>
      </c>
      <c r="G111" s="55">
        <f>'LINEST VARS'!$U$64+'LINEST VARS'!$T$64*($G$104)+'LINEST VARS'!$S$64*($B111)+'LINEST VARS'!$R$64*(4)+'LINEST VARS'!$Q$64*(0.5)+'LINEST VARS'!$P$64*(12.73)+'LINEST VARS'!$O$64*($G$104^2)+'LINEST VARS'!$N$64*($B111^2)+'LINEST VARS'!$M$64*(4^2)+'LINEST VARS'!$L$64*(0.5^2)+'LINEST VARS'!$K$64*(12.73^2)+'LINEST VARS'!$J$64*($G$104*$B111)+'LINEST VARS'!$I$64*($G$104*4)+'LINEST VARS'!$H$64*($G$104*0.5)+'LINEST VARS'!$G$64*($G$104*12.73)+'LINEST VARS'!$F$64*($B111*4)+'LINEST VARS'!$E$64*($B111*0.5)+'LINEST VARS'!$D$64*($B111*12.73)+'LINEST VARS'!$C$64*(4*0.5)+'LINEST VARS'!$B$64*(4*12.73)+'LINEST VARS'!$A$64*(0.5*12.73)</f>
        <v>164.18999999999991</v>
      </c>
      <c r="H111" s="55">
        <f>'LINEST VARS'!$U$64+'LINEST VARS'!$T$64*($H$104)+'LINEST VARS'!$S$64*($B111)+'LINEST VARS'!$R$64*(4)+'LINEST VARS'!$Q$64*(0.5)+'LINEST VARS'!$P$64*(12.73)+'LINEST VARS'!$O$64*($H$104^2)+'LINEST VARS'!$N$64*($B111^2)+'LINEST VARS'!$M$64*(4^2)+'LINEST VARS'!$L$64*(0.5^2)+'LINEST VARS'!$K$64*(12.73^2)+'LINEST VARS'!$J$64*($H$104*$B111)+'LINEST VARS'!$I$64*($H$104*4)+'LINEST VARS'!$H$64*($H$104*0.5)+'LINEST VARS'!$G$64*($H$104*12.73)+'LINEST VARS'!$F$64*($B111*4)+'LINEST VARS'!$E$64*($B111*0.5)+'LINEST VARS'!$D$64*($B111*12.73)+'LINEST VARS'!$C$64*(4*0.5)+'LINEST VARS'!$B$64*(4*12.73)+'LINEST VARS'!$A$64*(0.5*12.73)</f>
        <v>164.18999999999991</v>
      </c>
      <c r="I111" s="55">
        <f>'LINEST VARS'!$U$64+'LINEST VARS'!$T$64*($I$104)+'LINEST VARS'!$S$64*($B111)+'LINEST VARS'!$R$64*(4)+'LINEST VARS'!$Q$64*(0.5)+'LINEST VARS'!$P$64*(12.73)+'LINEST VARS'!$O$64*($I$104^2)+'LINEST VARS'!$N$64*($B111^2)+'LINEST VARS'!$M$64*(4^2)+'LINEST VARS'!$L$64*(0.5^2)+'LINEST VARS'!$K$64*(12.73^2)+'LINEST VARS'!$J$64*($I$104*$B111)+'LINEST VARS'!$I$64*($I$104*4)+'LINEST VARS'!$H$64*($I$104*0.5)+'LINEST VARS'!$G$64*($I$104*12.73)+'LINEST VARS'!$F$64*($B111*4)+'LINEST VARS'!$E$64*($B111*0.5)+'LINEST VARS'!$D$64*($B111*12.73)+'LINEST VARS'!$C$64*(4*0.5)+'LINEST VARS'!$B$64*(4*12.73)+'LINEST VARS'!$A$64*(0.5*12.73)</f>
        <v>164.18999999999991</v>
      </c>
      <c r="J111" s="55">
        <f>'LINEST VARS'!$U$64+'LINEST VARS'!$T$64*($J$104)+'LINEST VARS'!$S$64*($B111)+'LINEST VARS'!$R$64*(4)+'LINEST VARS'!$Q$64*(0.5)+'LINEST VARS'!$P$64*(12.73)+'LINEST VARS'!$O$64*($J$104^2)+'LINEST VARS'!$N$64*($B111^2)+'LINEST VARS'!$M$64*(4^2)+'LINEST VARS'!$L$64*(0.5^2)+'LINEST VARS'!$K$64*(12.73^2)+'LINEST VARS'!$J$64*($J$104*$B111)+'LINEST VARS'!$I$64*($J$104*4)+'LINEST VARS'!$H$64*($J$104*0.5)+'LINEST VARS'!$G$64*($J$104*12.73)+'LINEST VARS'!$F$64*($B111*4)+'LINEST VARS'!$E$64*($B111*0.5)+'LINEST VARS'!$D$64*($B111*12.73)+'LINEST VARS'!$C$64*(4*0.5)+'LINEST VARS'!$B$64*(4*12.73)+'LINEST VARS'!$A$64*(0.5*12.73)</f>
        <v>164.18999999999991</v>
      </c>
      <c r="K111" s="55">
        <f>'LINEST VARS'!$U$64+'LINEST VARS'!$T$64*($K$104)+'LINEST VARS'!$S$64*($B111)+'LINEST VARS'!$R$64*(4)+'LINEST VARS'!$Q$64*(0.5)+'LINEST VARS'!$P$64*(12.73)+'LINEST VARS'!$O$64*($K$104^2)+'LINEST VARS'!$N$64*($B111^2)+'LINEST VARS'!$M$64*(4^2)+'LINEST VARS'!$L$64*(0.5^2)+'LINEST VARS'!$K$64*(12.73^2)+'LINEST VARS'!$J$64*($K$104*$B111)+'LINEST VARS'!$I$64*($K$104*4)+'LINEST VARS'!$H$64*($K$104*0.5)+'LINEST VARS'!$G$64*($K$104*12.73)+'LINEST VARS'!$F$64*($B111*4)+'LINEST VARS'!$E$64*($B111*0.5)+'LINEST VARS'!$D$64*($B111*12.73)+'LINEST VARS'!$C$64*(4*0.5)+'LINEST VARS'!$B$64*(4*12.73)+'LINEST VARS'!$A$64*(0.5*12.73)</f>
        <v>164.18999999999991</v>
      </c>
      <c r="L111" s="55">
        <f>'LINEST VARS'!$U$64+'LINEST VARS'!$T$64*($L$104)+'LINEST VARS'!$S$64*($B111)+'LINEST VARS'!$R$64*(4)+'LINEST VARS'!$Q$64*(0.5)+'LINEST VARS'!$P$64*(12.73)+'LINEST VARS'!$O$64*($L$104^2)+'LINEST VARS'!$N$64*($B111^2)+'LINEST VARS'!$M$64*(4^2)+'LINEST VARS'!$L$64*(0.5^2)+'LINEST VARS'!$K$64*(12.73^2)+'LINEST VARS'!$J$64*($L$104*$B111)+'LINEST VARS'!$I$64*($L$104*4)+'LINEST VARS'!$H$64*($L$104*0.5)+'LINEST VARS'!$G$64*($L$104*12.73)+'LINEST VARS'!$F$64*($B111*4)+'LINEST VARS'!$E$64*($B111*0.5)+'LINEST VARS'!$D$64*($B111*12.73)+'LINEST VARS'!$C$64*(4*0.5)+'LINEST VARS'!$B$64*(4*12.73)+'LINEST VARS'!$A$64*(0.5*12.73)</f>
        <v>164.18999999999991</v>
      </c>
      <c r="M111" s="55">
        <f>'LINEST VARS'!$U$64+'LINEST VARS'!$T$64*($M$104)+'LINEST VARS'!$S$64*($B111)+'LINEST VARS'!$R$64*(4)+'LINEST VARS'!$Q$64*(0.5)+'LINEST VARS'!$P$64*(12.73)+'LINEST VARS'!$O$64*($M$104^2)+'LINEST VARS'!$N$64*($B111^2)+'LINEST VARS'!$M$64*(4^2)+'LINEST VARS'!$L$64*(0.5^2)+'LINEST VARS'!$K$64*(12.73^2)+'LINEST VARS'!$J$64*($M$104*$B111)+'LINEST VARS'!$I$64*($M$104*4)+'LINEST VARS'!$H$64*($M$104*0.5)+'LINEST VARS'!$G$64*($M$104*12.73)+'LINEST VARS'!$F$64*($B111*4)+'LINEST VARS'!$E$64*($B111*0.5)+'LINEST VARS'!$D$64*($B111*12.73)+'LINEST VARS'!$C$64*(4*0.5)+'LINEST VARS'!$B$64*(4*12.73)+'LINEST VARS'!$A$64*(0.5*12.73)</f>
        <v>164.18999999999991</v>
      </c>
      <c r="N111" s="55">
        <f>'LINEST VARS'!$U$64+'LINEST VARS'!$T$64*($N$104)+'LINEST VARS'!$S$64*($B111)+'LINEST VARS'!$R$64*(4)+'LINEST VARS'!$Q$64*(0.5)+'LINEST VARS'!$P$64*(12.73)+'LINEST VARS'!$O$64*($N$104^2)+'LINEST VARS'!$N$64*($B111^2)+'LINEST VARS'!$M$64*(4^2)+'LINEST VARS'!$L$64*(0.5^2)+'LINEST VARS'!$K$64*(12.73^2)+'LINEST VARS'!$J$64*($N$104*$B111)+'LINEST VARS'!$I$64*($N$104*4)+'LINEST VARS'!$H$64*($N$104*0.5)+'LINEST VARS'!$G$64*($N$104*12.73)+'LINEST VARS'!$F$64*($B111*4)+'LINEST VARS'!$E$64*($B111*0.5)+'LINEST VARS'!$D$64*($B111*12.73)+'LINEST VARS'!$C$64*(4*0.5)+'LINEST VARS'!$B$64*(4*12.73)+'LINEST VARS'!$A$64*(0.5*12.73)</f>
        <v>164.18999999999991</v>
      </c>
      <c r="O111" s="55">
        <f>'LINEST VARS'!$U$64+'LINEST VARS'!$T$64*($O$104)+'LINEST VARS'!$S$64*($B111)+'LINEST VARS'!$R$64*(4)+'LINEST VARS'!$Q$64*(0.5)+'LINEST VARS'!$P$64*(12.73)+'LINEST VARS'!$O$64*($O$104^2)+'LINEST VARS'!$N$64*($B111^2)+'LINEST VARS'!$M$64*(4^2)+'LINEST VARS'!$L$64*(0.5^2)+'LINEST VARS'!$K$64*(12.73^2)+'LINEST VARS'!$J$64*($O$104*$B111)+'LINEST VARS'!$I$64*($O$104*4)+'LINEST VARS'!$H$64*($O$104*0.5)+'LINEST VARS'!$G$64*($O$104*12.73)+'LINEST VARS'!$F$64*($B111*4)+'LINEST VARS'!$E$64*($B111*0.5)+'LINEST VARS'!$D$64*($B111*12.73)+'LINEST VARS'!$C$64*(4*0.5)+'LINEST VARS'!$B$64*(4*12.73)+'LINEST VARS'!$A$64*(0.5*12.73)</f>
        <v>164.18999999999988</v>
      </c>
      <c r="P111" s="55">
        <f>'LINEST VARS'!$U$64+'LINEST VARS'!$T$64*($P$104)+'LINEST VARS'!$S$64*($B111)+'LINEST VARS'!$R$64*(4)+'LINEST VARS'!$Q$64*(0.5)+'LINEST VARS'!$P$64*(12.73)+'LINEST VARS'!$O$64*($P$104^2)+'LINEST VARS'!$N$64*($B111^2)+'LINEST VARS'!$M$64*(4^2)+'LINEST VARS'!$L$64*(0.5^2)+'LINEST VARS'!$K$64*(12.73^2)+'LINEST VARS'!$J$64*($P$104*$B111)+'LINEST VARS'!$I$64*($P$104*4)+'LINEST VARS'!$H$64*($P$104*0.5)+'LINEST VARS'!$G$64*($P$104*12.73)+'LINEST VARS'!$F$64*($B111*4)+'LINEST VARS'!$E$64*($B111*0.5)+'LINEST VARS'!$D$64*($B111*12.73)+'LINEST VARS'!$C$64*(4*0.5)+'LINEST VARS'!$B$64*(4*12.73)+'LINEST VARS'!$A$64*(0.5*12.73)</f>
        <v>164.18999999999991</v>
      </c>
      <c r="Q111" s="55">
        <f>'LINEST VARS'!$U$64+'LINEST VARS'!$T$64*($Q$104)+'LINEST VARS'!$S$64*($B111)+'LINEST VARS'!$R$64*(4)+'LINEST VARS'!$Q$64*(0.5)+'LINEST VARS'!$P$64*(12.73)+'LINEST VARS'!$O$64*($Q$104^2)+'LINEST VARS'!$N$64*($B111^2)+'LINEST VARS'!$M$64*(4^2)+'LINEST VARS'!$L$64*(0.5^2)+'LINEST VARS'!$K$64*(12.73^2)+'LINEST VARS'!$J$64*($Q$104*$B111)+'LINEST VARS'!$I$64*($Q$104*4)+'LINEST VARS'!$H$64*($Q$104*0.5)+'LINEST VARS'!$G$64*($Q$104*12.73)+'LINEST VARS'!$F$64*($B111*4)+'LINEST VARS'!$E$64*($B111*0.5)+'LINEST VARS'!$D$64*($B111*12.73)+'LINEST VARS'!$C$64*(4*0.5)+'LINEST VARS'!$B$64*(4*12.73)+'LINEST VARS'!$A$64*(0.5*12.73)</f>
        <v>164.18999999999991</v>
      </c>
      <c r="R111" s="55">
        <f>'LINEST VARS'!$U$64+'LINEST VARS'!$T$64*($R$104)+'LINEST VARS'!$S$64*($B111)+'LINEST VARS'!$R$64*(4)+'LINEST VARS'!$Q$64*(0.5)+'LINEST VARS'!$P$64*(12.73)+'LINEST VARS'!$O$64*($R$104^2)+'LINEST VARS'!$N$64*($B111^2)+'LINEST VARS'!$M$64*(4^2)+'LINEST VARS'!$L$64*(0.5^2)+'LINEST VARS'!$K$64*(12.73^2)+'LINEST VARS'!$J$64*($R$104*$B111)+'LINEST VARS'!$I$64*($R$104*4)+'LINEST VARS'!$H$64*($R$104*0.5)+'LINEST VARS'!$G$64*($R$104*12.73)+'LINEST VARS'!$F$64*($B111*4)+'LINEST VARS'!$E$64*($B111*0.5)+'LINEST VARS'!$D$64*($B111*12.73)+'LINEST VARS'!$C$64*(4*0.5)+'LINEST VARS'!$B$64*(4*12.73)+'LINEST VARS'!$A$64*(0.5*12.73)</f>
        <v>164.18999999999991</v>
      </c>
      <c r="S111" s="55">
        <f>'LINEST VARS'!$U$64+'LINEST VARS'!$T$64*($S$104)+'LINEST VARS'!$S$64*($B111)+'LINEST VARS'!$R$64*(4)+'LINEST VARS'!$Q$64*(0.5)+'LINEST VARS'!$P$64*(12.73)+'LINEST VARS'!$O$64*($S$104^2)+'LINEST VARS'!$N$64*($B111^2)+'LINEST VARS'!$M$64*(4^2)+'LINEST VARS'!$L$64*(0.5^2)+'LINEST VARS'!$K$64*(12.73^2)+'LINEST VARS'!$J$64*($S$104*$B111)+'LINEST VARS'!$I$64*($S$104*4)+'LINEST VARS'!$H$64*($S$104*0.5)+'LINEST VARS'!$G$64*($S$104*12.73)+'LINEST VARS'!$F$64*($B111*4)+'LINEST VARS'!$E$64*($B111*0.5)+'LINEST VARS'!$D$64*($B111*12.73)+'LINEST VARS'!$C$64*(4*0.5)+'LINEST VARS'!$B$64*(4*12.73)+'LINEST VARS'!$A$64*(0.5*12.73)</f>
        <v>164.18999999999991</v>
      </c>
      <c r="T111" s="55">
        <f>'LINEST VARS'!$U$64+'LINEST VARS'!$T$64*($T$104)+'LINEST VARS'!$S$64*($B111)+'LINEST VARS'!$R$64*(4)+'LINEST VARS'!$Q$64*(0.5)+'LINEST VARS'!$P$64*(12.73)+'LINEST VARS'!$O$64*($T$104^2)+'LINEST VARS'!$N$64*($B111^2)+'LINEST VARS'!$M$64*(4^2)+'LINEST VARS'!$L$64*(0.5^2)+'LINEST VARS'!$K$64*(12.73^2)+'LINEST VARS'!$J$64*($T$104*$B111)+'LINEST VARS'!$I$64*($T$104*4)+'LINEST VARS'!$H$64*($T$104*0.5)+'LINEST VARS'!$G$64*($T$104*12.73)+'LINEST VARS'!$F$64*($B111*4)+'LINEST VARS'!$E$64*($B111*0.5)+'LINEST VARS'!$D$64*($B111*12.73)+'LINEST VARS'!$C$64*(4*0.5)+'LINEST VARS'!$B$64*(4*12.73)+'LINEST VARS'!$A$64*(0.5*12.73)</f>
        <v>164.18999999999988</v>
      </c>
      <c r="U111" s="55">
        <f>'LINEST VARS'!$U$64+'LINEST VARS'!$T$64*($U$104)+'LINEST VARS'!$S$64*($B111)+'LINEST VARS'!$R$64*(4)+'LINEST VARS'!$Q$64*(0.5)+'LINEST VARS'!$P$64*(12.73)+'LINEST VARS'!$O$64*($U$104^2)+'LINEST VARS'!$N$64*($B111^2)+'LINEST VARS'!$M$64*(4^2)+'LINEST VARS'!$L$64*(0.5^2)+'LINEST VARS'!$K$64*(12.73^2)+'LINEST VARS'!$J$64*($U$104*$B111)+'LINEST VARS'!$I$64*($U$104*4)+'LINEST VARS'!$H$64*($U$104*0.5)+'LINEST VARS'!$G$64*($U$104*12.73)+'LINEST VARS'!$F$64*($B111*4)+'LINEST VARS'!$E$64*($B111*0.5)+'LINEST VARS'!$D$64*($B111*12.73)+'LINEST VARS'!$C$64*(4*0.5)+'LINEST VARS'!$B$64*(4*12.73)+'LINEST VARS'!$A$64*(0.5*12.73)</f>
        <v>164.18999999999988</v>
      </c>
      <c r="V111" s="55">
        <f>'LINEST VARS'!$U$64+'LINEST VARS'!$T$64*($V$104)+'LINEST VARS'!$S$64*($B111)+'LINEST VARS'!$R$64*(4)+'LINEST VARS'!$Q$64*(0.5)+'LINEST VARS'!$P$64*(12.73)+'LINEST VARS'!$O$64*($V$104^2)+'LINEST VARS'!$N$64*($B111^2)+'LINEST VARS'!$M$64*(4^2)+'LINEST VARS'!$L$64*(0.5^2)+'LINEST VARS'!$K$64*(12.73^2)+'LINEST VARS'!$J$64*($V$104*$B111)+'LINEST VARS'!$I$64*($V$104*4)+'LINEST VARS'!$H$64*($V$104*0.5)+'LINEST VARS'!$G$64*($V$104*12.73)+'LINEST VARS'!$F$64*($B111*4)+'LINEST VARS'!$E$64*($B111*0.5)+'LINEST VARS'!$D$64*($B111*12.73)+'LINEST VARS'!$C$64*(4*0.5)+'LINEST VARS'!$B$64*(4*12.73)+'LINEST VARS'!$A$64*(0.5*12.73)</f>
        <v>164.18999999999988</v>
      </c>
      <c r="W111" s="56">
        <f>'LINEST VARS'!$U$64+'LINEST VARS'!$T$64*($W$104)+'LINEST VARS'!$S$64*($B111)+'LINEST VARS'!$R$64*(4)+'LINEST VARS'!$Q$64*(0.5)+'LINEST VARS'!$P$64*(12.73)+'LINEST VARS'!$O$64*($W$104^2)+'LINEST VARS'!$N$64*($B111^2)+'LINEST VARS'!$M$64*(4^2)+'LINEST VARS'!$L$64*(0.5^2)+'LINEST VARS'!$K$64*(12.73^2)+'LINEST VARS'!$J$64*($W$104*$B111)+'LINEST VARS'!$I$64*($W$104*4)+'LINEST VARS'!$H$64*($W$104*0.5)+'LINEST VARS'!$G$64*($W$104*12.73)+'LINEST VARS'!$F$64*($B111*4)+'LINEST VARS'!$E$64*($B111*0.5)+'LINEST VARS'!$D$64*($B111*12.73)+'LINEST VARS'!$C$64*(4*0.5)+'LINEST VARS'!$B$64*(4*12.73)+'LINEST VARS'!$A$64*(0.5*12.73)</f>
        <v>164.18999999999988</v>
      </c>
      <c r="Z111" s="45">
        <v>7.76</v>
      </c>
      <c r="AA111" s="46">
        <f>'LINEST VARS'!$U$66+'LINEST VARS'!$T$66*($AA$104)+'LINEST VARS'!$S$66*($Z111)+'LINEST VARS'!$R$66*(4)+'LINEST VARS'!$Q$66*(0.5)+'LINEST VARS'!$P$66*(12.73)+'LINEST VARS'!$O$66*($AA$104^2)+'LINEST VARS'!$N$66*($Z111^2)+'LINEST VARS'!$M$66*(4^2)+'LINEST VARS'!$L$66*(0.5^2)+'LINEST VARS'!$K$66*(12.73^2)+'LINEST VARS'!$J$66*($AA$104*$Z111)+'LINEST VARS'!$I$66*($AA$104*4)+'LINEST VARS'!$H$66*($AA$104*0.5)+'LINEST VARS'!$G$66*($AA$104*12.73)+'LINEST VARS'!$F$66*($Z111*4)+'LINEST VARS'!$E$66*($Z111*0.5)+'LINEST VARS'!$D$66*($Z111*12.73)+'LINEST VARS'!$C$66*(4*0.5)+'LINEST VARS'!$B$66*(4*12.73)+'LINEST VARS'!$A$66*(0.5*12.73)</f>
        <v>134.20000000000007</v>
      </c>
      <c r="AB111" s="46">
        <f>'LINEST VARS'!$U$66+'LINEST VARS'!$T$66*($AB$104)+'LINEST VARS'!$S$66*($Z111)+'LINEST VARS'!$R$66*(4)+'LINEST VARS'!$Q$66*(0.5)+'LINEST VARS'!$P$66*(12.73)+'LINEST VARS'!$O$66*($AB$104^2)+'LINEST VARS'!$N$66*($Z111^2)+'LINEST VARS'!$M$66*(4^2)+'LINEST VARS'!$L$66*(0.5^2)+'LINEST VARS'!$K$66*(12.73^2)+'LINEST VARS'!$J$66*($AB$104*$Z111)+'LINEST VARS'!$I$66*($AB$104*4)+'LINEST VARS'!$H$66*($AB$104*0.5)+'LINEST VARS'!$G$66*($AB$104*12.73)+'LINEST VARS'!$F$66*($Z111*4)+'LINEST VARS'!$E$66*($Z111*0.5)+'LINEST VARS'!$D$66*($Z111*12.73)+'LINEST VARS'!$C$66*(4*0.5)+'LINEST VARS'!$B$66*(4*12.73)+'LINEST VARS'!$A$66*(0.5*12.73)</f>
        <v>134.38000000000008</v>
      </c>
      <c r="AC111" s="46">
        <f>'LINEST VARS'!$U$66+'LINEST VARS'!$T$66*($AC$104)+'LINEST VARS'!$S$66*($Z111)+'LINEST VARS'!$R$66*(4)+'LINEST VARS'!$Q$66*(0.5)+'LINEST VARS'!$P$66*(12.73)+'LINEST VARS'!$O$66*($AC$104^2)+'LINEST VARS'!$N$66*($Z111^2)+'LINEST VARS'!$M$66*(4^2)+'LINEST VARS'!$L$66*(0.5^2)+'LINEST VARS'!$K$66*(12.73^2)+'LINEST VARS'!$J$66*($AC$104*$Z111)+'LINEST VARS'!$I$66*($AC$104*4)+'LINEST VARS'!$H$66*($AC$104*0.5)+'LINEST VARS'!$G$66*($AC$104*12.73)+'LINEST VARS'!$F$66*($Z111*4)+'LINEST VARS'!$E$66*($Z111*0.5)+'LINEST VARS'!$D$66*($Z111*12.73)+'LINEST VARS'!$C$66*(4*0.5)+'LINEST VARS'!$B$66*(4*12.73)+'LINEST VARS'!$A$66*(0.5*12.73)</f>
        <v>134.56000000000006</v>
      </c>
      <c r="AD111" s="46">
        <f>'LINEST VARS'!$U$66+'LINEST VARS'!$T$66*($AD$104)+'LINEST VARS'!$S$66*($Z111)+'LINEST VARS'!$R$66*(4)+'LINEST VARS'!$Q$66*(0.5)+'LINEST VARS'!$P$66*(12.73)+'LINEST VARS'!$O$66*($AD$104^2)+'LINEST VARS'!$N$66*($Z111^2)+'LINEST VARS'!$M$66*(4^2)+'LINEST VARS'!$L$66*(0.5^2)+'LINEST VARS'!$K$66*(12.73^2)+'LINEST VARS'!$J$66*($AD$104*$Z111)+'LINEST VARS'!$I$66*($AD$104*4)+'LINEST VARS'!$H$66*($AD$104*0.5)+'LINEST VARS'!$G$66*($AD$104*12.73)+'LINEST VARS'!$F$66*($Z111*4)+'LINEST VARS'!$E$66*($Z111*0.5)+'LINEST VARS'!$D$66*($Z111*12.73)+'LINEST VARS'!$C$66*(4*0.5)+'LINEST VARS'!$B$66*(4*12.73)+'LINEST VARS'!$A$66*(0.5*12.73)</f>
        <v>134.74000000000007</v>
      </c>
      <c r="AE111" s="46">
        <f>'LINEST VARS'!$U$66+'LINEST VARS'!$T$66*($AE$104)+'LINEST VARS'!$S$66*($Z111)+'LINEST VARS'!$R$66*(4)+'LINEST VARS'!$Q$66*(0.5)+'LINEST VARS'!$P$66*(12.73)+'LINEST VARS'!$O$66*($AE$104^2)+'LINEST VARS'!$N$66*($Z111^2)+'LINEST VARS'!$M$66*(4^2)+'LINEST VARS'!$L$66*(0.5^2)+'LINEST VARS'!$K$66*(12.73^2)+'LINEST VARS'!$J$66*($AE$104*$Z111)+'LINEST VARS'!$I$66*($AE$104*4)+'LINEST VARS'!$H$66*($AE$104*0.5)+'LINEST VARS'!$G$66*($AE$104*12.73)+'LINEST VARS'!$F$66*($Z111*4)+'LINEST VARS'!$E$66*($Z111*0.5)+'LINEST VARS'!$D$66*($Z111*12.73)+'LINEST VARS'!$C$66*(4*0.5)+'LINEST VARS'!$B$66*(4*12.73)+'LINEST VARS'!$A$66*(0.5*12.73)</f>
        <v>134.92000000000007</v>
      </c>
      <c r="AF111" s="46">
        <f>'LINEST VARS'!$U$66+'LINEST VARS'!$T$66*($AF$104)+'LINEST VARS'!$S$66*($Z111)+'LINEST VARS'!$R$66*(4)+'LINEST VARS'!$Q$66*(0.5)+'LINEST VARS'!$P$66*(12.73)+'LINEST VARS'!$O$66*($AF$104^2)+'LINEST VARS'!$N$66*($Z111^2)+'LINEST VARS'!$M$66*(4^2)+'LINEST VARS'!$L$66*(0.5^2)+'LINEST VARS'!$K$66*(12.73^2)+'LINEST VARS'!$J$66*($AF$104*$Z111)+'LINEST VARS'!$I$66*($AF$104*4)+'LINEST VARS'!$H$66*($AF$104*0.5)+'LINEST VARS'!$G$66*($AF$104*12.73)+'LINEST VARS'!$F$66*($Z111*4)+'LINEST VARS'!$E$66*($Z111*0.5)+'LINEST VARS'!$D$66*($Z111*12.73)+'LINEST VARS'!$C$66*(4*0.5)+'LINEST VARS'!$B$66*(4*12.73)+'LINEST VARS'!$A$66*(0.5*12.73)</f>
        <v>135.10000000000008</v>
      </c>
      <c r="AG111" s="46">
        <f>'LINEST VARS'!$U$66+'LINEST VARS'!$T$66*($AG$104)+'LINEST VARS'!$S$66*($Z111)+'LINEST VARS'!$R$66*(4)+'LINEST VARS'!$Q$66*(0.5)+'LINEST VARS'!$P$66*(12.73)+'LINEST VARS'!$O$66*($AG$104^2)+'LINEST VARS'!$N$66*($Z111^2)+'LINEST VARS'!$M$66*(4^2)+'LINEST VARS'!$L$66*(0.5^2)+'LINEST VARS'!$K$66*(12.73^2)+'LINEST VARS'!$J$66*($AG$104*$Z111)+'LINEST VARS'!$I$66*($AG$104*4)+'LINEST VARS'!$H$66*($AG$104*0.5)+'LINEST VARS'!$G$66*($AG$104*12.73)+'LINEST VARS'!$F$66*($Z111*4)+'LINEST VARS'!$E$66*($Z111*0.5)+'LINEST VARS'!$D$66*($Z111*12.73)+'LINEST VARS'!$C$66*(4*0.5)+'LINEST VARS'!$B$66*(4*12.73)+'LINEST VARS'!$A$66*(0.5*12.73)</f>
        <v>135.28000000000006</v>
      </c>
      <c r="AH111" s="46">
        <f>'LINEST VARS'!$U$66+'LINEST VARS'!$T$66*($AH$104)+'LINEST VARS'!$S$66*($Z111)+'LINEST VARS'!$R$66*(4)+'LINEST VARS'!$Q$66*(0.5)+'LINEST VARS'!$P$66*(12.73)+'LINEST VARS'!$O$66*($AH$104^2)+'LINEST VARS'!$N$66*($Z111^2)+'LINEST VARS'!$M$66*(4^2)+'LINEST VARS'!$L$66*(0.5^2)+'LINEST VARS'!$K$66*(12.73^2)+'LINEST VARS'!$J$66*($AH$104*$Z111)+'LINEST VARS'!$I$66*($AH$104*4)+'LINEST VARS'!$H$66*($AH$104*0.5)+'LINEST VARS'!$G$66*($AH$104*12.73)+'LINEST VARS'!$F$66*($Z111*4)+'LINEST VARS'!$E$66*($Z111*0.5)+'LINEST VARS'!$D$66*($Z111*12.73)+'LINEST VARS'!$C$66*(4*0.5)+'LINEST VARS'!$B$66*(4*12.73)+'LINEST VARS'!$A$66*(0.5*12.73)</f>
        <v>135.46000000000006</v>
      </c>
      <c r="AI111" s="46">
        <f>'LINEST VARS'!$U$66+'LINEST VARS'!$T$66*($AI$104)+'LINEST VARS'!$S$66*($Z111)+'LINEST VARS'!$R$66*(4)+'LINEST VARS'!$Q$66*(0.5)+'LINEST VARS'!$P$66*(12.73)+'LINEST VARS'!$O$66*($AI$104^2)+'LINEST VARS'!$N$66*($Z111^2)+'LINEST VARS'!$M$66*(4^2)+'LINEST VARS'!$L$66*(0.5^2)+'LINEST VARS'!$K$66*(12.73^2)+'LINEST VARS'!$J$66*($AI$104*$Z111)+'LINEST VARS'!$I$66*($AI$104*4)+'LINEST VARS'!$H$66*($AI$104*0.5)+'LINEST VARS'!$G$66*($AI$104*12.73)+'LINEST VARS'!$F$66*($Z111*4)+'LINEST VARS'!$E$66*($Z111*0.5)+'LINEST VARS'!$D$66*($Z111*12.73)+'LINEST VARS'!$C$66*(4*0.5)+'LINEST VARS'!$B$66*(4*12.73)+'LINEST VARS'!$A$66*(0.5*12.73)</f>
        <v>135.6400000000001</v>
      </c>
      <c r="AJ111" s="46">
        <f>'LINEST VARS'!$U$66+'LINEST VARS'!$T$66*($AJ$104)+'LINEST VARS'!$S$66*($Z111)+'LINEST VARS'!$R$66*(4)+'LINEST VARS'!$Q$66*(0.5)+'LINEST VARS'!$P$66*(12.73)+'LINEST VARS'!$O$66*($AJ$104^2)+'LINEST VARS'!$N$66*($Z111^2)+'LINEST VARS'!$M$66*(4^2)+'LINEST VARS'!$L$66*(0.5^2)+'LINEST VARS'!$K$66*(12.73^2)+'LINEST VARS'!$J$66*($AJ$104*$Z111)+'LINEST VARS'!$I$66*($AJ$104*4)+'LINEST VARS'!$H$66*($AJ$104*0.5)+'LINEST VARS'!$G$66*($AJ$104*12.73)+'LINEST VARS'!$F$66*($Z111*4)+'LINEST VARS'!$E$66*($Z111*0.5)+'LINEST VARS'!$D$66*($Z111*12.73)+'LINEST VARS'!$C$66*(4*0.5)+'LINEST VARS'!$B$66*(4*12.73)+'LINEST VARS'!$A$66*(0.5*12.73)</f>
        <v>135.82000000000011</v>
      </c>
      <c r="AK111" s="46">
        <f>'LINEST VARS'!$U$66+'LINEST VARS'!$T$66*($AK$104)+'LINEST VARS'!$S$66*($Z111)+'LINEST VARS'!$R$66*(4)+'LINEST VARS'!$Q$66*(0.5)+'LINEST VARS'!$P$66*(12.73)+'LINEST VARS'!$O$66*($AK$104^2)+'LINEST VARS'!$N$66*($Z111^2)+'LINEST VARS'!$M$66*(4^2)+'LINEST VARS'!$L$66*(0.5^2)+'LINEST VARS'!$K$66*(12.73^2)+'LINEST VARS'!$J$66*($AK$104*$Z111)+'LINEST VARS'!$I$66*($AK$104*4)+'LINEST VARS'!$H$66*($AK$104*0.5)+'LINEST VARS'!$G$66*($AK$104*12.73)+'LINEST VARS'!$F$66*($Z111*4)+'LINEST VARS'!$E$66*($Z111*0.5)+'LINEST VARS'!$D$66*($Z111*12.73)+'LINEST VARS'!$C$66*(4*0.5)+'LINEST VARS'!$B$66*(4*12.73)+'LINEST VARS'!$A$66*(0.5*12.73)</f>
        <v>136.00000000000009</v>
      </c>
      <c r="AL111" s="46">
        <f>'LINEST VARS'!$U$66+'LINEST VARS'!$T$66*($AL$104)+'LINEST VARS'!$S$66*($Z111)+'LINEST VARS'!$R$66*(4)+'LINEST VARS'!$Q$66*(0.5)+'LINEST VARS'!$P$66*(12.73)+'LINEST VARS'!$O$66*($AL$104^2)+'LINEST VARS'!$N$66*($Z111^2)+'LINEST VARS'!$M$66*(4^2)+'LINEST VARS'!$L$66*(0.5^2)+'LINEST VARS'!$K$66*(12.73^2)+'LINEST VARS'!$J$66*($AL$104*$Z111)+'LINEST VARS'!$I$66*($AL$104*4)+'LINEST VARS'!$H$66*($AL$104*0.5)+'LINEST VARS'!$G$66*($AL$104*12.73)+'LINEST VARS'!$F$66*($Z111*4)+'LINEST VARS'!$E$66*($Z111*0.5)+'LINEST VARS'!$D$66*($Z111*12.73)+'LINEST VARS'!$C$66*(4*0.5)+'LINEST VARS'!$B$66*(4*12.73)+'LINEST VARS'!$A$66*(0.5*12.73)</f>
        <v>136.18000000000009</v>
      </c>
      <c r="AM111" s="46">
        <f>'LINEST VARS'!$U$66+'LINEST VARS'!$T$66*($AM$104)+'LINEST VARS'!$S$66*($Z111)+'LINEST VARS'!$R$66*(4)+'LINEST VARS'!$Q$66*(0.5)+'LINEST VARS'!$P$66*(12.73)+'LINEST VARS'!$O$66*($AM$104^2)+'LINEST VARS'!$N$66*($Z111^2)+'LINEST VARS'!$M$66*(4^2)+'LINEST VARS'!$L$66*(0.5^2)+'LINEST VARS'!$K$66*(12.73^2)+'LINEST VARS'!$J$66*($AM$104*$Z111)+'LINEST VARS'!$I$66*($AM$104*4)+'LINEST VARS'!$H$66*($AM$104*0.5)+'LINEST VARS'!$G$66*($AM$104*12.73)+'LINEST VARS'!$F$66*($Z111*4)+'LINEST VARS'!$E$66*($Z111*0.5)+'LINEST VARS'!$D$66*($Z111*12.73)+'LINEST VARS'!$C$66*(4*0.5)+'LINEST VARS'!$B$66*(4*12.73)+'LINEST VARS'!$A$66*(0.5*12.73)</f>
        <v>136.3600000000001</v>
      </c>
      <c r="AN111" s="46">
        <f>'LINEST VARS'!$U$66+'LINEST VARS'!$T$66*($AN$104)+'LINEST VARS'!$S$66*($Z111)+'LINEST VARS'!$R$66*(4)+'LINEST VARS'!$Q$66*(0.5)+'LINEST VARS'!$P$66*(12.73)+'LINEST VARS'!$O$66*($AN$104^2)+'LINEST VARS'!$N$66*($Z111^2)+'LINEST VARS'!$M$66*(4^2)+'LINEST VARS'!$L$66*(0.5^2)+'LINEST VARS'!$K$66*(12.73^2)+'LINEST VARS'!$J$66*($AN$104*$Z111)+'LINEST VARS'!$I$66*($AN$104*4)+'LINEST VARS'!$H$66*($AN$104*0.5)+'LINEST VARS'!$G$66*($AN$104*12.73)+'LINEST VARS'!$F$66*($Z111*4)+'LINEST VARS'!$E$66*($Z111*0.5)+'LINEST VARS'!$D$66*($Z111*12.73)+'LINEST VARS'!$C$66*(4*0.5)+'LINEST VARS'!$B$66*(4*12.73)+'LINEST VARS'!$A$66*(0.5*12.73)</f>
        <v>136.54000000000011</v>
      </c>
      <c r="AO111" s="46">
        <f>'LINEST VARS'!$U$66+'LINEST VARS'!$T$66*($AO$104)+'LINEST VARS'!$S$66*($Z111)+'LINEST VARS'!$R$66*(4)+'LINEST VARS'!$Q$66*(0.5)+'LINEST VARS'!$P$66*(12.73)+'LINEST VARS'!$O$66*($AO$104^2)+'LINEST VARS'!$N$66*($Z111^2)+'LINEST VARS'!$M$66*(4^2)+'LINEST VARS'!$L$66*(0.5^2)+'LINEST VARS'!$K$66*(12.73^2)+'LINEST VARS'!$J$66*($AO$104*$Z111)+'LINEST VARS'!$I$66*($AO$104*4)+'LINEST VARS'!$H$66*($AO$104*0.5)+'LINEST VARS'!$G$66*($AO$104*12.73)+'LINEST VARS'!$F$66*($Z111*4)+'LINEST VARS'!$E$66*($Z111*0.5)+'LINEST VARS'!$D$66*($Z111*12.73)+'LINEST VARS'!$C$66*(4*0.5)+'LINEST VARS'!$B$66*(4*12.73)+'LINEST VARS'!$A$66*(0.5*12.73)</f>
        <v>136.72000000000008</v>
      </c>
      <c r="AP111" s="46">
        <f>'LINEST VARS'!$U$66+'LINEST VARS'!$T$66*($AP$104)+'LINEST VARS'!$S$66*($Z111)+'LINEST VARS'!$R$66*(4)+'LINEST VARS'!$Q$66*(0.5)+'LINEST VARS'!$P$66*(12.73)+'LINEST VARS'!$O$66*($AP$104^2)+'LINEST VARS'!$N$66*($Z111^2)+'LINEST VARS'!$M$66*(4^2)+'LINEST VARS'!$L$66*(0.5^2)+'LINEST VARS'!$K$66*(12.73^2)+'LINEST VARS'!$J$66*($AP$104*$Z111)+'LINEST VARS'!$I$66*($AP$104*4)+'LINEST VARS'!$H$66*($AP$104*0.5)+'LINEST VARS'!$G$66*($AP$104*12.73)+'LINEST VARS'!$F$66*($Z111*4)+'LINEST VARS'!$E$66*($Z111*0.5)+'LINEST VARS'!$D$66*($Z111*12.73)+'LINEST VARS'!$C$66*(4*0.5)+'LINEST VARS'!$B$66*(4*12.73)+'LINEST VARS'!$A$66*(0.5*12.73)</f>
        <v>136.90000000000009</v>
      </c>
      <c r="AQ111" s="46">
        <f>'LINEST VARS'!$U$66+'LINEST VARS'!$T$66*($AQ$104)+'LINEST VARS'!$S$66*($Z111)+'LINEST VARS'!$R$66*(4)+'LINEST VARS'!$Q$66*(0.5)+'LINEST VARS'!$P$66*(12.73)+'LINEST VARS'!$O$66*($AQ$104^2)+'LINEST VARS'!$N$66*($Z111^2)+'LINEST VARS'!$M$66*(4^2)+'LINEST VARS'!$L$66*(0.5^2)+'LINEST VARS'!$K$66*(12.73^2)+'LINEST VARS'!$J$66*($AQ$104*$Z111)+'LINEST VARS'!$I$66*($AQ$104*4)+'LINEST VARS'!$H$66*($AQ$104*0.5)+'LINEST VARS'!$G$66*($AQ$104*12.73)+'LINEST VARS'!$F$66*($Z111*4)+'LINEST VARS'!$E$66*($Z111*0.5)+'LINEST VARS'!$D$66*($Z111*12.73)+'LINEST VARS'!$C$66*(4*0.5)+'LINEST VARS'!$B$66*(4*12.73)+'LINEST VARS'!$A$66*(0.5*12.73)</f>
        <v>137.0800000000001</v>
      </c>
      <c r="AR111" s="46">
        <f>'LINEST VARS'!$U$66+'LINEST VARS'!$T$66*($AR$104)+'LINEST VARS'!$S$66*($Z111)+'LINEST VARS'!$R$66*(4)+'LINEST VARS'!$Q$66*(0.5)+'LINEST VARS'!$P$66*(12.73)+'LINEST VARS'!$O$66*($AR$104^2)+'LINEST VARS'!$N$66*($Z111^2)+'LINEST VARS'!$M$66*(4^2)+'LINEST VARS'!$L$66*(0.5^2)+'LINEST VARS'!$K$66*(12.73^2)+'LINEST VARS'!$J$66*($AR$104*$Z111)+'LINEST VARS'!$I$66*($AR$104*4)+'LINEST VARS'!$H$66*($AR$104*0.5)+'LINEST VARS'!$G$66*($AR$104*12.73)+'LINEST VARS'!$F$66*($Z111*4)+'LINEST VARS'!$E$66*($Z111*0.5)+'LINEST VARS'!$D$66*($Z111*12.73)+'LINEST VARS'!$C$66*(4*0.5)+'LINEST VARS'!$B$66*(4*12.73)+'LINEST VARS'!$A$66*(0.5*12.73)</f>
        <v>137.2600000000001</v>
      </c>
      <c r="AS111" s="46">
        <f>'LINEST VARS'!$U$66+'LINEST VARS'!$T$66*($AS$104)+'LINEST VARS'!$S$66*($Z111)+'LINEST VARS'!$R$66*(4)+'LINEST VARS'!$Q$66*(0.5)+'LINEST VARS'!$P$66*(12.73)+'LINEST VARS'!$O$66*($AS$104^2)+'LINEST VARS'!$N$66*($Z111^2)+'LINEST VARS'!$M$66*(4^2)+'LINEST VARS'!$L$66*(0.5^2)+'LINEST VARS'!$K$66*(12.73^2)+'LINEST VARS'!$J$66*($AS$104*$Z111)+'LINEST VARS'!$I$66*($AS$104*4)+'LINEST VARS'!$H$66*($AS$104*0.5)+'LINEST VARS'!$G$66*($AS$104*12.73)+'LINEST VARS'!$F$66*($Z111*4)+'LINEST VARS'!$E$66*($Z111*0.5)+'LINEST VARS'!$D$66*($Z111*12.73)+'LINEST VARS'!$C$66*(4*0.5)+'LINEST VARS'!$B$66*(4*12.73)+'LINEST VARS'!$A$66*(0.5*12.73)</f>
        <v>137.44000000000008</v>
      </c>
      <c r="AT111" s="46">
        <f>'LINEST VARS'!$U$66+'LINEST VARS'!$T$66*($AT$104)+'LINEST VARS'!$S$66*($Z111)+'LINEST VARS'!$R$66*(4)+'LINEST VARS'!$Q$66*(0.5)+'LINEST VARS'!$P$66*(12.73)+'LINEST VARS'!$O$66*($AT$104^2)+'LINEST VARS'!$N$66*($Z111^2)+'LINEST VARS'!$M$66*(4^2)+'LINEST VARS'!$L$66*(0.5^2)+'LINEST VARS'!$K$66*(12.73^2)+'LINEST VARS'!$J$66*($AT$104*$Z111)+'LINEST VARS'!$I$66*($AT$104*4)+'LINEST VARS'!$H$66*($AT$104*0.5)+'LINEST VARS'!$G$66*($AT$104*12.73)+'LINEST VARS'!$F$66*($Z111*4)+'LINEST VARS'!$E$66*($Z111*0.5)+'LINEST VARS'!$D$66*($Z111*12.73)+'LINEST VARS'!$C$66*(4*0.5)+'LINEST VARS'!$B$66*(4*12.73)+'LINEST VARS'!$A$66*(0.5*12.73)</f>
        <v>137.62000000000009</v>
      </c>
      <c r="AU111" s="47">
        <f>'LINEST VARS'!$U$66+'LINEST VARS'!$T$66*($AU$104)+'LINEST VARS'!$S$66*($Z111)+'LINEST VARS'!$R$66*(4)+'LINEST VARS'!$Q$66*(0.5)+'LINEST VARS'!$P$66*(12.73)+'LINEST VARS'!$O$66*($AU$104^2)+'LINEST VARS'!$N$66*($Z111^2)+'LINEST VARS'!$M$66*(4^2)+'LINEST VARS'!$L$66*(0.5^2)+'LINEST VARS'!$K$66*(12.73^2)+'LINEST VARS'!$J$66*($AU$104*$Z111)+'LINEST VARS'!$I$66*($AU$104*4)+'LINEST VARS'!$H$66*($AU$104*0.5)+'LINEST VARS'!$G$66*($AU$104*12.73)+'LINEST VARS'!$F$66*($Z111*4)+'LINEST VARS'!$E$66*($Z111*0.5)+'LINEST VARS'!$D$66*($Z111*12.73)+'LINEST VARS'!$C$66*(4*0.5)+'LINEST VARS'!$B$66*(4*12.73)+'LINEST VARS'!$A$66*(0.5*12.73)</f>
        <v>137.8000000000001</v>
      </c>
      <c r="AZ111" s="45">
        <v>0.3</v>
      </c>
      <c r="BA111" s="55">
        <f>'LINEST VARS'!$U$64+'LINEST VARS'!$T$64*(8)+'LINEST VARS'!$S$64*(8)+'LINEST VARS'!$R$64*($BA$104)+'LINEST VARS'!$Q$64*($AZ111)+'LINEST VARS'!$P$64*(12.73)+'LINEST VARS'!$O$64*(8^2)+'LINEST VARS'!$N$64*(8^2)+'LINEST VARS'!$M$64*($BA$104^2)+'LINEST VARS'!$L$64*($AZ111^2)+'LINEST VARS'!$K$64*(12.73^2)+'LINEST VARS'!$J$64*(8*8)+'LINEST VARS'!$I$64*(8*$BA$104)+'LINEST VARS'!$H$64*(8*$AZ111)+'LINEST VARS'!$G$64*(8*12.73)+'LINEST VARS'!$F$64*(8*$BA$104)+'LINEST VARS'!$E$64*(8*$AZ111)+'LINEST VARS'!$D$64*(8*12.73)+'LINEST VARS'!$C$64*($BA$104*$AZ111)+'LINEST VARS'!$B$64*($BA$104*12.73)+'LINEST VARS'!$A$64*($AZ111*12.73)</f>
        <v>148.18999999999988</v>
      </c>
      <c r="BB111" s="55">
        <f>'LINEST VARS'!$U$64+'LINEST VARS'!$T$64*(8)+'LINEST VARS'!$S$64*(8)+'LINEST VARS'!$R$64*($BB$104)+'LINEST VARS'!$Q$64*($AZ111)+'LINEST VARS'!$P$64*(12.73)+'LINEST VARS'!$O$64*(8^2)+'LINEST VARS'!$N$64*(8^2)+'LINEST VARS'!$M$64*($BB$104^2)+'LINEST VARS'!$L$64*($AZ111^2)+'LINEST VARS'!$K$64*(12.73^2)+'LINEST VARS'!$J$64*(8*8)+'LINEST VARS'!$I$64*(8*$BB$104)+'LINEST VARS'!$H$64*(8*$AZ111)+'LINEST VARS'!$G$64*(8*12.73)+'LINEST VARS'!$F$64*(8*$BB$104)+'LINEST VARS'!$E$64*(8*$AZ111)+'LINEST VARS'!$D$64*(8*12.73)+'LINEST VARS'!$C$64*($BB$104*$AZ111)+'LINEST VARS'!$B$64*($BB$104*12.73)+'LINEST VARS'!$A$64*($AZ111*12.73)</f>
        <v>149.78999999999988</v>
      </c>
      <c r="BC111" s="55">
        <f>'LINEST VARS'!$U$64+'LINEST VARS'!$T$64*(8)+'LINEST VARS'!$S$64*(8)+'LINEST VARS'!$R$64*($BC$104)+'LINEST VARS'!$Q$64*($AZ111)+'LINEST VARS'!$P$64*(12.73)+'LINEST VARS'!$O$64*(8^2)+'LINEST VARS'!$N$64*(8^2)+'LINEST VARS'!$M$64*($BC$104^2)+'LINEST VARS'!$L$64*($AZ111^2)+'LINEST VARS'!$K$64*(12.73^2)+'LINEST VARS'!$J$64*(8*8)+'LINEST VARS'!$I$64*(8*$BC$104)+'LINEST VARS'!$H$64*(8*$AZ111)+'LINEST VARS'!$G$64*(8*12.73)+'LINEST VARS'!$F$64*(8*$BC$104)+'LINEST VARS'!$E$64*(8*$AZ111)+'LINEST VARS'!$D$64*(8*12.73)+'LINEST VARS'!$C$64*($BC$104*$AZ111)+'LINEST VARS'!$B$64*($BC$104*12.73)+'LINEST VARS'!$A$64*($AZ111*12.73)</f>
        <v>151.38999999999987</v>
      </c>
      <c r="BD111" s="55">
        <f>'LINEST VARS'!$U$64+'LINEST VARS'!$T$64*(8)+'LINEST VARS'!$S$64*(8)+'LINEST VARS'!$R$64*($BD$104)+'LINEST VARS'!$Q$64*($AZ111)+'LINEST VARS'!$P$64*(12.73)+'LINEST VARS'!$O$64*(8^2)+'LINEST VARS'!$N$64*(8^2)+'LINEST VARS'!$M$64*($BD$104^2)+'LINEST VARS'!$L$64*($AZ111^2)+'LINEST VARS'!$K$64*(12.73^2)+'LINEST VARS'!$J$64*(8*8)+'LINEST VARS'!$I$64*(8*$BD$104)+'LINEST VARS'!$H$64*(8*$AZ111)+'LINEST VARS'!$G$64*(8*12.73)+'LINEST VARS'!$F$64*(8*$BD$104)+'LINEST VARS'!$E$64*(8*$AZ111)+'LINEST VARS'!$D$64*(8*12.73)+'LINEST VARS'!$C$64*($BD$104*$AZ111)+'LINEST VARS'!$B$64*($BD$104*12.73)+'LINEST VARS'!$A$64*($AZ111*12.73)</f>
        <v>152.9899999999999</v>
      </c>
      <c r="BE111" s="55">
        <f>'LINEST VARS'!$U$64+'LINEST VARS'!$T$64*(8)+'LINEST VARS'!$S$64*(8)+'LINEST VARS'!$R$64*($BE$104)+'LINEST VARS'!$Q$64*($AZ111)+'LINEST VARS'!$P$64*(12.73)+'LINEST VARS'!$O$64*(8^2)+'LINEST VARS'!$N$64*(8^2)+'LINEST VARS'!$M$64*($BE$104^2)+'LINEST VARS'!$L$64*($AZ111^2)+'LINEST VARS'!$K$64*(12.73^2)+'LINEST VARS'!$J$64*(8*8)+'LINEST VARS'!$I$64*(8*$BE$104)+'LINEST VARS'!$H$64*(8*$AZ111)+'LINEST VARS'!$G$64*(8*12.73)+'LINEST VARS'!$F$64*(8*$BE$104)+'LINEST VARS'!$E$64*(8*$AZ111)+'LINEST VARS'!$D$64*(8*12.73)+'LINEST VARS'!$C$64*($BE$104*$AZ111)+'LINEST VARS'!$B$64*($BE$104*12.73)+'LINEST VARS'!$A$64*($AZ111*12.73)</f>
        <v>154.58999999999989</v>
      </c>
      <c r="BF111" s="55">
        <f>'LINEST VARS'!$U$64+'LINEST VARS'!$T$64*(8)+'LINEST VARS'!$S$64*(8)+'LINEST VARS'!$R$64*($BF$104)+'LINEST VARS'!$Q$64*($AZ111)+'LINEST VARS'!$P$64*(12.73)+'LINEST VARS'!$O$64*(8^2)+'LINEST VARS'!$N$64*(8^2)+'LINEST VARS'!$M$64*($BF$104^2)+'LINEST VARS'!$L$64*($AZ111^2)+'LINEST VARS'!$K$64*(12.73^2)+'LINEST VARS'!$J$64*(8*8)+'LINEST VARS'!$I$64*(8*$BF$104)+'LINEST VARS'!$H$64*(8*$AZ111)+'LINEST VARS'!$G$64*(8*12.73)+'LINEST VARS'!$F$64*(8*$BF$104)+'LINEST VARS'!$E$64*(8*$AZ111)+'LINEST VARS'!$D$64*(8*12.73)+'LINEST VARS'!$C$64*($BF$104*$AZ111)+'LINEST VARS'!$B$64*($BF$104*12.73)+'LINEST VARS'!$A$64*($AZ111*12.73)</f>
        <v>156.18999999999988</v>
      </c>
      <c r="BG111" s="55">
        <f>'LINEST VARS'!$U$64+'LINEST VARS'!$T$64*(8)+'LINEST VARS'!$S$64*(8)+'LINEST VARS'!$R$64*($BG$104)+'LINEST VARS'!$Q$64*($AZ111)+'LINEST VARS'!$P$64*(12.73)+'LINEST VARS'!$O$64*(8^2)+'LINEST VARS'!$N$64*(8^2)+'LINEST VARS'!$M$64*($BG$104^2)+'LINEST VARS'!$L$64*($AZ111^2)+'LINEST VARS'!$K$64*(12.73^2)+'LINEST VARS'!$J$64*(8*8)+'LINEST VARS'!$I$64*(8*$BG$104)+'LINEST VARS'!$H$64*(8*$AZ111)+'LINEST VARS'!$G$64*(8*12.73)+'LINEST VARS'!$F$64*(8*$BG$104)+'LINEST VARS'!$E$64*(8*$AZ111)+'LINEST VARS'!$D$64*(8*12.73)+'LINEST VARS'!$C$64*($BG$104*$AZ111)+'LINEST VARS'!$B$64*($BG$104*12.73)+'LINEST VARS'!$A$64*($AZ111*12.73)</f>
        <v>157.78999999999988</v>
      </c>
      <c r="BH111" s="55">
        <f>'LINEST VARS'!$U$64+'LINEST VARS'!$T$64*(8)+'LINEST VARS'!$S$64*(8)+'LINEST VARS'!$R$64*($BH$104)+'LINEST VARS'!$Q$64*($AZ111)+'LINEST VARS'!$P$64*(12.73)+'LINEST VARS'!$O$64*(8^2)+'LINEST VARS'!$N$64*(8^2)+'LINEST VARS'!$M$64*($BH$104^2)+'LINEST VARS'!$L$64*($AZ111^2)+'LINEST VARS'!$K$64*(12.73^2)+'LINEST VARS'!$J$64*(8*8)+'LINEST VARS'!$I$64*(8*$BH$104)+'LINEST VARS'!$H$64*(8*$AZ111)+'LINEST VARS'!$G$64*(8*12.73)+'LINEST VARS'!$F$64*(8*$BH$104)+'LINEST VARS'!$E$64*(8*$AZ111)+'LINEST VARS'!$D$64*(8*12.73)+'LINEST VARS'!$C$64*($BH$104*$AZ111)+'LINEST VARS'!$B$64*($BH$104*12.73)+'LINEST VARS'!$A$64*($AZ111*12.73)</f>
        <v>159.38999999999987</v>
      </c>
      <c r="BI111" s="55">
        <f>'LINEST VARS'!$U$64+'LINEST VARS'!$T$64*(8)+'LINEST VARS'!$S$64*(8)+'LINEST VARS'!$R$64*($BI$104)+'LINEST VARS'!$Q$64*($AZ111)+'LINEST VARS'!$P$64*(12.73)+'LINEST VARS'!$O$64*(8^2)+'LINEST VARS'!$N$64*(8^2)+'LINEST VARS'!$M$64*($BI$104^2)+'LINEST VARS'!$L$64*($AZ111^2)+'LINEST VARS'!$K$64*(12.73^2)+'LINEST VARS'!$J$64*(8*8)+'LINEST VARS'!$I$64*(8*$BI$104)+'LINEST VARS'!$H$64*(8*$AZ111)+'LINEST VARS'!$G$64*(8*12.73)+'LINEST VARS'!$F$64*(8*$BI$104)+'LINEST VARS'!$E$64*(8*$AZ111)+'LINEST VARS'!$D$64*(8*12.73)+'LINEST VARS'!$C$64*($BI$104*$AZ111)+'LINEST VARS'!$B$64*($BI$104*12.73)+'LINEST VARS'!$A$64*($AZ111*12.73)</f>
        <v>160.9899999999999</v>
      </c>
      <c r="BJ111" s="55">
        <f>'LINEST VARS'!$U$64+'LINEST VARS'!$T$64*(8)+'LINEST VARS'!$S$64*(8)+'LINEST VARS'!$R$64*($BJ$104)+'LINEST VARS'!$Q$64*($AZ111)+'LINEST VARS'!$P$64*(12.73)+'LINEST VARS'!$O$64*(8^2)+'LINEST VARS'!$N$64*(8^2)+'LINEST VARS'!$M$64*($BJ$104^2)+'LINEST VARS'!$L$64*($AZ111^2)+'LINEST VARS'!$K$64*(12.73^2)+'LINEST VARS'!$J$64*(8*8)+'LINEST VARS'!$I$64*(8*$BJ$104)+'LINEST VARS'!$H$64*(8*$AZ111)+'LINEST VARS'!$G$64*(8*12.73)+'LINEST VARS'!$F$64*(8*$BJ$104)+'LINEST VARS'!$E$64*(8*$AZ111)+'LINEST VARS'!$D$64*(8*12.73)+'LINEST VARS'!$C$64*($BJ$104*$AZ111)+'LINEST VARS'!$B$64*($BJ$104*12.73)+'LINEST VARS'!$A$64*($AZ111*12.73)</f>
        <v>162.58999999999989</v>
      </c>
      <c r="BK111" s="55">
        <f>'LINEST VARS'!$U$64+'LINEST VARS'!$T$64*(8)+'LINEST VARS'!$S$64*(8)+'LINEST VARS'!$R$64*($BK$104)+'LINEST VARS'!$Q$64*($AZ111)+'LINEST VARS'!$P$64*(12.73)+'LINEST VARS'!$O$64*(8^2)+'LINEST VARS'!$N$64*(8^2)+'LINEST VARS'!$M$64*($BK$104^2)+'LINEST VARS'!$L$64*($AZ111^2)+'LINEST VARS'!$K$64*(12.73^2)+'LINEST VARS'!$J$64*(8*8)+'LINEST VARS'!$I$64*(8*$BK$104)+'LINEST VARS'!$H$64*(8*$AZ111)+'LINEST VARS'!$G$64*(8*12.73)+'LINEST VARS'!$F$64*(8*$BK$104)+'LINEST VARS'!$E$64*(8*$AZ111)+'LINEST VARS'!$D$64*(8*12.73)+'LINEST VARS'!$C$64*($BK$104*$AZ111)+'LINEST VARS'!$B$64*($BK$104*12.73)+'LINEST VARS'!$A$64*($AZ111*12.73)</f>
        <v>164.18999999999988</v>
      </c>
      <c r="BL111" s="55">
        <f>'LINEST VARS'!$U$64+'LINEST VARS'!$T$64*(8)+'LINEST VARS'!$S$64*(8)+'LINEST VARS'!$R$64*($BL$104)+'LINEST VARS'!$Q$64*($AZ111)+'LINEST VARS'!$P$64*(12.73)+'LINEST VARS'!$O$64*(8^2)+'LINEST VARS'!$N$64*(8^2)+'LINEST VARS'!$M$64*($BL$104^2)+'LINEST VARS'!$L$64*($AZ111^2)+'LINEST VARS'!$K$64*(12.73^2)+'LINEST VARS'!$J$64*(8*8)+'LINEST VARS'!$I$64*(8*$BL$104)+'LINEST VARS'!$H$64*(8*$AZ111)+'LINEST VARS'!$G$64*(8*12.73)+'LINEST VARS'!$F$64*(8*$BL$104)+'LINEST VARS'!$E$64*(8*$AZ111)+'LINEST VARS'!$D$64*(8*12.73)+'LINEST VARS'!$C$64*($BL$104*$AZ111)+'LINEST VARS'!$B$64*($BL$104*12.73)+'LINEST VARS'!$A$64*($AZ111*12.73)</f>
        <v>165.78999999999991</v>
      </c>
      <c r="BM111" s="55">
        <f>'LINEST VARS'!$U$64+'LINEST VARS'!$T$64*(8)+'LINEST VARS'!$S$64*(8)+'LINEST VARS'!$R$64*($BM$104)+'LINEST VARS'!$Q$64*($AZ111)+'LINEST VARS'!$P$64*(12.73)+'LINEST VARS'!$O$64*(8^2)+'LINEST VARS'!$N$64*(8^2)+'LINEST VARS'!$M$64*($BM$104^2)+'LINEST VARS'!$L$64*($AZ111^2)+'LINEST VARS'!$K$64*(12.73^2)+'LINEST VARS'!$J$64*(8*8)+'LINEST VARS'!$I$64*(8*$BM$104)+'LINEST VARS'!$H$64*(8*$AZ111)+'LINEST VARS'!$G$64*(8*12.73)+'LINEST VARS'!$F$64*(8*$BM$104)+'LINEST VARS'!$E$64*(8*$AZ111)+'LINEST VARS'!$D$64*(8*12.73)+'LINEST VARS'!$C$64*($BM$104*$AZ111)+'LINEST VARS'!$B$64*($BM$104*12.73)+'LINEST VARS'!$A$64*($AZ111*12.73)</f>
        <v>167.38999999999987</v>
      </c>
      <c r="BN111" s="55">
        <f>'LINEST VARS'!$U$64+'LINEST VARS'!$T$64*(8)+'LINEST VARS'!$S$64*(8)+'LINEST VARS'!$R$64*($BN$104)+'LINEST VARS'!$Q$64*($AZ111)+'LINEST VARS'!$P$64*(12.73)+'LINEST VARS'!$O$64*(8^2)+'LINEST VARS'!$N$64*(8^2)+'LINEST VARS'!$M$64*($BN$104^2)+'LINEST VARS'!$L$64*($AZ111^2)+'LINEST VARS'!$K$64*(12.73^2)+'LINEST VARS'!$J$64*(8*8)+'LINEST VARS'!$I$64*(8*$BN$104)+'LINEST VARS'!$H$64*(8*$AZ111)+'LINEST VARS'!$G$64*(8*12.73)+'LINEST VARS'!$F$64*(8*$BN$104)+'LINEST VARS'!$E$64*(8*$AZ111)+'LINEST VARS'!$D$64*(8*12.73)+'LINEST VARS'!$C$64*($BN$104*$AZ111)+'LINEST VARS'!$B$64*($BN$104*12.73)+'LINEST VARS'!$A$64*($AZ111*12.73)</f>
        <v>168.9899999999999</v>
      </c>
      <c r="BO111" s="55">
        <f>'LINEST VARS'!$U$64+'LINEST VARS'!$T$64*(8)+'LINEST VARS'!$S$64*(8)+'LINEST VARS'!$R$64*($BO$104)+'LINEST VARS'!$Q$64*($AZ111)+'LINEST VARS'!$P$64*(12.73)+'LINEST VARS'!$O$64*(8^2)+'LINEST VARS'!$N$64*(8^2)+'LINEST VARS'!$M$64*($BO$104^2)+'LINEST VARS'!$L$64*($AZ111^2)+'LINEST VARS'!$K$64*(12.73^2)+'LINEST VARS'!$J$64*(8*8)+'LINEST VARS'!$I$64*(8*$BO$104)+'LINEST VARS'!$H$64*(8*$AZ111)+'LINEST VARS'!$G$64*(8*12.73)+'LINEST VARS'!$F$64*(8*$BO$104)+'LINEST VARS'!$E$64*(8*$AZ111)+'LINEST VARS'!$D$64*(8*12.73)+'LINEST VARS'!$C$64*($BO$104*$AZ111)+'LINEST VARS'!$B$64*($BO$104*12.73)+'LINEST VARS'!$A$64*($AZ111*12.73)</f>
        <v>170.58999999999989</v>
      </c>
      <c r="BP111" s="55">
        <f>'LINEST VARS'!$U$64+'LINEST VARS'!$T$64*(8)+'LINEST VARS'!$S$64*(8)+'LINEST VARS'!$R$64*($BP$104)+'LINEST VARS'!$Q$64*($AZ111)+'LINEST VARS'!$P$64*(12.73)+'LINEST VARS'!$O$64*(8^2)+'LINEST VARS'!$N$64*(8^2)+'LINEST VARS'!$M$64*($BP$104^2)+'LINEST VARS'!$L$64*($AZ111^2)+'LINEST VARS'!$K$64*(12.73^2)+'LINEST VARS'!$J$64*(8*8)+'LINEST VARS'!$I$64*(8*$BP$104)+'LINEST VARS'!$H$64*(8*$AZ111)+'LINEST VARS'!$G$64*(8*12.73)+'LINEST VARS'!$F$64*(8*$BP$104)+'LINEST VARS'!$E$64*(8*$AZ111)+'LINEST VARS'!$D$64*(8*12.73)+'LINEST VARS'!$C$64*($BP$104*$AZ111)+'LINEST VARS'!$B$64*($BP$104*12.73)+'LINEST VARS'!$A$64*($AZ111*12.73)</f>
        <v>172.18999999999986</v>
      </c>
      <c r="BQ111" s="55">
        <f>'LINEST VARS'!$U$64+'LINEST VARS'!$T$64*(8)+'LINEST VARS'!$S$64*(8)+'LINEST VARS'!$R$64*($BQ$104)+'LINEST VARS'!$Q$64*($AZ111)+'LINEST VARS'!$P$64*(12.73)+'LINEST VARS'!$O$64*(8^2)+'LINEST VARS'!$N$64*(8^2)+'LINEST VARS'!$M$64*($BQ$104^2)+'LINEST VARS'!$L$64*($AZ111^2)+'LINEST VARS'!$K$64*(12.73^2)+'LINEST VARS'!$J$64*(8*8)+'LINEST VARS'!$I$64*(8*$BQ$104)+'LINEST VARS'!$H$64*(8*$AZ111)+'LINEST VARS'!$G$64*(8*12.73)+'LINEST VARS'!$F$64*(8*$BQ$104)+'LINEST VARS'!$E$64*(8*$AZ111)+'LINEST VARS'!$D$64*(8*12.73)+'LINEST VARS'!$C$64*($BQ$104*$AZ111)+'LINEST VARS'!$B$64*($BQ$104*12.73)+'LINEST VARS'!$A$64*($AZ111*12.73)</f>
        <v>173.78999999999988</v>
      </c>
      <c r="BR111" s="55">
        <f>'LINEST VARS'!$U$64+'LINEST VARS'!$T$64*(8)+'LINEST VARS'!$S$64*(8)+'LINEST VARS'!$R$64*($BR$104)+'LINEST VARS'!$Q$64*($AZ111)+'LINEST VARS'!$P$64*(12.73)+'LINEST VARS'!$O$64*(8^2)+'LINEST VARS'!$N$64*(8^2)+'LINEST VARS'!$M$64*($BR$104^2)+'LINEST VARS'!$L$64*($AZ111^2)+'LINEST VARS'!$K$64*(12.73^2)+'LINEST VARS'!$J$64*(8*8)+'LINEST VARS'!$I$64*(8*$BR$104)+'LINEST VARS'!$H$64*(8*$AZ111)+'LINEST VARS'!$G$64*(8*12.73)+'LINEST VARS'!$F$64*(8*$BR$104)+'LINEST VARS'!$E$64*(8*$AZ111)+'LINEST VARS'!$D$64*(8*12.73)+'LINEST VARS'!$C$64*($BR$104*$AZ111)+'LINEST VARS'!$B$64*($BR$104*12.73)+'LINEST VARS'!$A$64*($AZ111*12.73)</f>
        <v>175.3899999999999</v>
      </c>
      <c r="BS111" s="55">
        <f>'LINEST VARS'!$U$64+'LINEST VARS'!$T$64*(8)+'LINEST VARS'!$S$64*(8)+'LINEST VARS'!$R$64*($BS$104)+'LINEST VARS'!$Q$64*($AZ111)+'LINEST VARS'!$P$64*(12.73)+'LINEST VARS'!$O$64*(8^2)+'LINEST VARS'!$N$64*(8^2)+'LINEST VARS'!$M$64*($BS$104^2)+'LINEST VARS'!$L$64*($AZ111^2)+'LINEST VARS'!$K$64*(12.73^2)+'LINEST VARS'!$J$64*(8*8)+'LINEST VARS'!$I$64*(8*$BS$104)+'LINEST VARS'!$H$64*(8*$AZ111)+'LINEST VARS'!$G$64*(8*12.73)+'LINEST VARS'!$F$64*(8*$BS$104)+'LINEST VARS'!$E$64*(8*$AZ111)+'LINEST VARS'!$D$64*(8*12.73)+'LINEST VARS'!$C$64*($BS$104*$AZ111)+'LINEST VARS'!$B$64*($BS$104*12.73)+'LINEST VARS'!$A$64*($AZ111*12.73)</f>
        <v>176.98999999999987</v>
      </c>
      <c r="BT111" s="55">
        <f>'LINEST VARS'!$U$64+'LINEST VARS'!$T$64*(8)+'LINEST VARS'!$S$64*(8)+'LINEST VARS'!$R$64*($BT$104)+'LINEST VARS'!$Q$64*($AZ111)+'LINEST VARS'!$P$64*(12.73)+'LINEST VARS'!$O$64*(8^2)+'LINEST VARS'!$N$64*(8^2)+'LINEST VARS'!$M$64*($BT$104^2)+'LINEST VARS'!$L$64*($AZ111^2)+'LINEST VARS'!$K$64*(12.73^2)+'LINEST VARS'!$J$64*(8*8)+'LINEST VARS'!$I$64*(8*$BT$104)+'LINEST VARS'!$H$64*(8*$AZ111)+'LINEST VARS'!$G$64*(8*12.73)+'LINEST VARS'!$F$64*(8*$BT$104)+'LINEST VARS'!$E$64*(8*$AZ111)+'LINEST VARS'!$D$64*(8*12.73)+'LINEST VARS'!$C$64*($BT$104*$AZ111)+'LINEST VARS'!$B$64*($BT$104*12.73)+'LINEST VARS'!$A$64*($AZ111*12.73)</f>
        <v>178.58999999999989</v>
      </c>
      <c r="BU111" s="56">
        <f>'LINEST VARS'!$U$64+'LINEST VARS'!$T$64*(8)+'LINEST VARS'!$S$64*(8)+'LINEST VARS'!$R$64*($BU$104)+'LINEST VARS'!$Q$64*($AZ111)+'LINEST VARS'!$P$64*(12.73)+'LINEST VARS'!$O$64*(8^2)+'LINEST VARS'!$N$64*(8^2)+'LINEST VARS'!$M$64*($BU$104^2)+'LINEST VARS'!$L$64*($AZ111^2)+'LINEST VARS'!$K$64*(12.73^2)+'LINEST VARS'!$J$64*(8*8)+'LINEST VARS'!$I$64*(8*$BU$104)+'LINEST VARS'!$H$64*(8*$AZ111)+'LINEST VARS'!$G$64*(8*12.73)+'LINEST VARS'!$F$64*(8*$BU$104)+'LINEST VARS'!$E$64*(8*$AZ111)+'LINEST VARS'!$D$64*(8*12.73)+'LINEST VARS'!$C$64*($BU$104*$AZ111)+'LINEST VARS'!$B$64*($BU$104*12.73)+'LINEST VARS'!$A$64*($AZ111*12.73)</f>
        <v>180.18999999999986</v>
      </c>
      <c r="BX111" s="45">
        <v>0.3</v>
      </c>
      <c r="BY111" s="46">
        <f>'LINEST VARS'!$U$66+'LINEST VARS'!$T$66*(8)+'LINEST VARS'!$S$66*(8)+'LINEST VARS'!$R$66*($BY$104)+'LINEST VARS'!$Q$66*($BX111)+'LINEST VARS'!$P$66*(12.73)+'LINEST VARS'!$O$66*(8^2)+'LINEST VARS'!$N$66*(8^2)+'LINEST VARS'!$M$66*($BY$104^2)+'LINEST VARS'!$L$66*($BX111^2)+'LINEST VARS'!$K$66*(12.73^2)+'LINEST VARS'!$J$66*(8*8)+'LINEST VARS'!$I$66*(8*$BY$104)+'LINEST VARS'!$H$66*(8*$BX111)+'LINEST VARS'!$G$66*(8*12.73)+'LINEST VARS'!$F$66*(8*$BY$104)+'LINEST VARS'!$E$66*(8*$BX111)+'LINEST VARS'!$D$66*(8*12.73)+'LINEST VARS'!$C$66*($BY$104*$BX111)+'LINEST VARS'!$B$66*($BY$104*12.73)+'LINEST VARS'!$A$66*($BX111*12.73)</f>
        <v>144.00000000000006</v>
      </c>
      <c r="BZ111" s="46">
        <f>'LINEST VARS'!$U$66+'LINEST VARS'!$T$66*(8)+'LINEST VARS'!$S$66*(8)+'LINEST VARS'!$R$66*($BZ$104)+'LINEST VARS'!$Q$66*($BX111)+'LINEST VARS'!$P$66*(12.73)+'LINEST VARS'!$O$66*(8^2)+'LINEST VARS'!$N$66*(8^2)+'LINEST VARS'!$M$66*($BZ$104^2)+'LINEST VARS'!$L$66*($BX111^2)+'LINEST VARS'!$K$66*(12.73^2)+'LINEST VARS'!$J$66*(8*8)+'LINEST VARS'!$I$66*(8*$BZ$104)+'LINEST VARS'!$H$66*(8*$BX111)+'LINEST VARS'!$G$66*(8*12.73)+'LINEST VARS'!$F$66*(8*$BZ$104)+'LINEST VARS'!$E$66*(8*$BX111)+'LINEST VARS'!$D$66*(8*12.73)+'LINEST VARS'!$C$66*($BZ$104*$BX111)+'LINEST VARS'!$B$66*($BZ$104*12.73)+'LINEST VARS'!$A$66*($BX111*12.73)</f>
        <v>143.20000000000007</v>
      </c>
      <c r="CA111" s="46">
        <f>'LINEST VARS'!$U$66+'LINEST VARS'!$T$66*(8)+'LINEST VARS'!$S$66*(8)+'LINEST VARS'!$R$66*($CA$104)+'LINEST VARS'!$Q$66*($BX111)+'LINEST VARS'!$P$66*(12.73)+'LINEST VARS'!$O$66*(8^2)+'LINEST VARS'!$N$66*(8^2)+'LINEST VARS'!$M$66*($CA$104^2)+'LINEST VARS'!$L$66*($BX111^2)+'LINEST VARS'!$K$66*(12.73^2)+'LINEST VARS'!$J$66*(8*8)+'LINEST VARS'!$I$66*(8*$CA$104)+'LINEST VARS'!$H$66*(8*$BX111)+'LINEST VARS'!$G$66*(8*12.73)+'LINEST VARS'!$F$66*(8*$CA$104)+'LINEST VARS'!$E$66*(8*$BX111)+'LINEST VARS'!$D$66*(8*12.73)+'LINEST VARS'!$C$66*($CA$104*$BX111)+'LINEST VARS'!$B$66*($CA$104*12.73)+'LINEST VARS'!$A$66*($BX111*12.73)</f>
        <v>142.40000000000006</v>
      </c>
      <c r="CB111" s="46">
        <f>'LINEST VARS'!$U$66+'LINEST VARS'!$T$66*(8)+'LINEST VARS'!$S$66*(8)+'LINEST VARS'!$R$66*($CB$104)+'LINEST VARS'!$Q$66*($BX111)+'LINEST VARS'!$P$66*(12.73)+'LINEST VARS'!$O$66*(8^2)+'LINEST VARS'!$N$66*(8^2)+'LINEST VARS'!$M$66*($CB$104^2)+'LINEST VARS'!$L$66*($BX111^2)+'LINEST VARS'!$K$66*(12.73^2)+'LINEST VARS'!$J$66*(8*8)+'LINEST VARS'!$I$66*(8*$CB$104)+'LINEST VARS'!$H$66*(8*$BX111)+'LINEST VARS'!$G$66*(8*12.73)+'LINEST VARS'!$F$66*(8*$CB$104)+'LINEST VARS'!$E$66*(8*$BX111)+'LINEST VARS'!$D$66*(8*12.73)+'LINEST VARS'!$C$66*($CB$104*$BX111)+'LINEST VARS'!$B$66*($CB$104*12.73)+'LINEST VARS'!$A$66*($BX111*12.73)</f>
        <v>141.60000000000008</v>
      </c>
      <c r="CC111" s="46">
        <f>'LINEST VARS'!$U$66+'LINEST VARS'!$T$66*(8)+'LINEST VARS'!$S$66*(8)+'LINEST VARS'!$R$66*($CC$104)+'LINEST VARS'!$Q$66*($BX111)+'LINEST VARS'!$P$66*(12.73)+'LINEST VARS'!$O$66*(8^2)+'LINEST VARS'!$N$66*(8^2)+'LINEST VARS'!$M$66*($CC$104^2)+'LINEST VARS'!$L$66*($BX111^2)+'LINEST VARS'!$K$66*(12.73^2)+'LINEST VARS'!$J$66*(8*8)+'LINEST VARS'!$I$66*(8*$CC$104)+'LINEST VARS'!$H$66*(8*$BX111)+'LINEST VARS'!$G$66*(8*12.73)+'LINEST VARS'!$F$66*(8*$CC$104)+'LINEST VARS'!$E$66*(8*$BX111)+'LINEST VARS'!$D$66*(8*12.73)+'LINEST VARS'!$C$66*($CC$104*$BX111)+'LINEST VARS'!$B$66*($CC$104*12.73)+'LINEST VARS'!$A$66*($BX111*12.73)</f>
        <v>140.80000000000007</v>
      </c>
      <c r="CD111" s="46">
        <f>'LINEST VARS'!$U$66+'LINEST VARS'!$T$66*(8)+'LINEST VARS'!$S$66*(8)+'LINEST VARS'!$R$66*($CD$104)+'LINEST VARS'!$Q$66*($BX111)+'LINEST VARS'!$P$66*(12.73)+'LINEST VARS'!$O$66*(8^2)+'LINEST VARS'!$N$66*(8^2)+'LINEST VARS'!$M$66*($CD$104^2)+'LINEST VARS'!$L$66*($BX111^2)+'LINEST VARS'!$K$66*(12.73^2)+'LINEST VARS'!$J$66*(8*8)+'LINEST VARS'!$I$66*(8*$CD$104)+'LINEST VARS'!$H$66*(8*$BX111)+'LINEST VARS'!$G$66*(8*12.73)+'LINEST VARS'!$F$66*(8*$CD$104)+'LINEST VARS'!$E$66*(8*$BX111)+'LINEST VARS'!$D$66*(8*12.73)+'LINEST VARS'!$C$66*($CD$104*$BX111)+'LINEST VARS'!$B$66*($CD$104*12.73)+'LINEST VARS'!$A$66*($BX111*12.73)</f>
        <v>140.00000000000009</v>
      </c>
      <c r="CE111" s="46">
        <f>'LINEST VARS'!$U$66+'LINEST VARS'!$T$66*(8)+'LINEST VARS'!$S$66*(8)+'LINEST VARS'!$R$66*($CE$104)+'LINEST VARS'!$Q$66*($BX111)+'LINEST VARS'!$P$66*(12.73)+'LINEST VARS'!$O$66*(8^2)+'LINEST VARS'!$N$66*(8^2)+'LINEST VARS'!$M$66*($CE$104^2)+'LINEST VARS'!$L$66*($BX111^2)+'LINEST VARS'!$K$66*(12.73^2)+'LINEST VARS'!$J$66*(8*8)+'LINEST VARS'!$I$66*(8*$CE$104)+'LINEST VARS'!$H$66*(8*$BX111)+'LINEST VARS'!$G$66*(8*12.73)+'LINEST VARS'!$F$66*(8*$CE$104)+'LINEST VARS'!$E$66*(8*$BX111)+'LINEST VARS'!$D$66*(8*12.73)+'LINEST VARS'!$C$66*($CE$104*$BX111)+'LINEST VARS'!$B$66*($CE$104*12.73)+'LINEST VARS'!$A$66*($BX111*12.73)</f>
        <v>139.20000000000007</v>
      </c>
      <c r="CF111" s="46">
        <f>'LINEST VARS'!$U$66+'LINEST VARS'!$T$66*(8)+'LINEST VARS'!$S$66*(8)+'LINEST VARS'!$R$66*($CF$104)+'LINEST VARS'!$Q$66*($BX111)+'LINEST VARS'!$P$66*(12.73)+'LINEST VARS'!$O$66*(8^2)+'LINEST VARS'!$N$66*(8^2)+'LINEST VARS'!$M$66*($CF$104^2)+'LINEST VARS'!$L$66*($BX111^2)+'LINEST VARS'!$K$66*(12.73^2)+'LINEST VARS'!$J$66*(8*8)+'LINEST VARS'!$I$66*(8*$CF$104)+'LINEST VARS'!$H$66*(8*$BX111)+'LINEST VARS'!$G$66*(8*12.73)+'LINEST VARS'!$F$66*(8*$CF$104)+'LINEST VARS'!$E$66*(8*$BX111)+'LINEST VARS'!$D$66*(8*12.73)+'LINEST VARS'!$C$66*($CF$104*$BX111)+'LINEST VARS'!$B$66*($CF$104*12.73)+'LINEST VARS'!$A$66*($BX111*12.73)</f>
        <v>138.40000000000009</v>
      </c>
      <c r="CG111" s="46">
        <f>'LINEST VARS'!$U$66+'LINEST VARS'!$T$66*(8)+'LINEST VARS'!$S$66*(8)+'LINEST VARS'!$R$66*($CG$104)+'LINEST VARS'!$Q$66*($BX111)+'LINEST VARS'!$P$66*(12.73)+'LINEST VARS'!$O$66*(8^2)+'LINEST VARS'!$N$66*(8^2)+'LINEST VARS'!$M$66*($CG$104^2)+'LINEST VARS'!$L$66*($BX111^2)+'LINEST VARS'!$K$66*(12.73^2)+'LINEST VARS'!$J$66*(8*8)+'LINEST VARS'!$I$66*(8*$CG$104)+'LINEST VARS'!$H$66*(8*$BX111)+'LINEST VARS'!$G$66*(8*12.73)+'LINEST VARS'!$F$66*(8*$CG$104)+'LINEST VARS'!$E$66*(8*$BX111)+'LINEST VARS'!$D$66*(8*12.73)+'LINEST VARS'!$C$66*($CG$104*$BX111)+'LINEST VARS'!$B$66*($CG$104*12.73)+'LINEST VARS'!$A$66*($BX111*12.73)</f>
        <v>137.60000000000008</v>
      </c>
      <c r="CH111" s="46">
        <f>'LINEST VARS'!$U$66+'LINEST VARS'!$T$66*(8)+'LINEST VARS'!$S$66*(8)+'LINEST VARS'!$R$66*($CH$104)+'LINEST VARS'!$Q$66*($BX111)+'LINEST VARS'!$P$66*(12.73)+'LINEST VARS'!$O$66*(8^2)+'LINEST VARS'!$N$66*(8^2)+'LINEST VARS'!$M$66*($CH$104^2)+'LINEST VARS'!$L$66*($BX111^2)+'LINEST VARS'!$K$66*(12.73^2)+'LINEST VARS'!$J$66*(8*8)+'LINEST VARS'!$I$66*(8*$CH$104)+'LINEST VARS'!$H$66*(8*$BX111)+'LINEST VARS'!$G$66*(8*12.73)+'LINEST VARS'!$F$66*(8*$CH$104)+'LINEST VARS'!$E$66*(8*$BX111)+'LINEST VARS'!$D$66*(8*12.73)+'LINEST VARS'!$C$66*($CH$104*$BX111)+'LINEST VARS'!$B$66*($CH$104*12.73)+'LINEST VARS'!$A$66*($BX111*12.73)</f>
        <v>136.80000000000007</v>
      </c>
      <c r="CI111" s="46">
        <f>'LINEST VARS'!$U$66+'LINEST VARS'!$T$66*(8)+'LINEST VARS'!$S$66*(8)+'LINEST VARS'!$R$66*($CI$104)+'LINEST VARS'!$Q$66*($BX111)+'LINEST VARS'!$P$66*(12.73)+'LINEST VARS'!$O$66*(8^2)+'LINEST VARS'!$N$66*(8^2)+'LINEST VARS'!$M$66*($CI$104^2)+'LINEST VARS'!$L$66*($BX111^2)+'LINEST VARS'!$K$66*(12.73^2)+'LINEST VARS'!$J$66*(8*8)+'LINEST VARS'!$I$66*(8*$CI$104)+'LINEST VARS'!$H$66*(8*$BX111)+'LINEST VARS'!$G$66*(8*12.73)+'LINEST VARS'!$F$66*(8*$CI$104)+'LINEST VARS'!$E$66*(8*$BX111)+'LINEST VARS'!$D$66*(8*12.73)+'LINEST VARS'!$C$66*($CI$104*$BX111)+'LINEST VARS'!$B$66*($CI$104*12.73)+'LINEST VARS'!$A$66*($BX111*12.73)</f>
        <v>136.00000000000006</v>
      </c>
      <c r="CJ111" s="46">
        <f>'LINEST VARS'!$U$66+'LINEST VARS'!$T$66*(8)+'LINEST VARS'!$S$66*(8)+'LINEST VARS'!$R$66*($CJ$104)+'LINEST VARS'!$Q$66*($BX111)+'LINEST VARS'!$P$66*(12.73)+'LINEST VARS'!$O$66*(8^2)+'LINEST VARS'!$N$66*(8^2)+'LINEST VARS'!$M$66*($CJ$104^2)+'LINEST VARS'!$L$66*($BX111^2)+'LINEST VARS'!$K$66*(12.73^2)+'LINEST VARS'!$J$66*(8*8)+'LINEST VARS'!$I$66*(8*$CJ$104)+'LINEST VARS'!$H$66*(8*$BX111)+'LINEST VARS'!$G$66*(8*12.73)+'LINEST VARS'!$F$66*(8*$CJ$104)+'LINEST VARS'!$E$66*(8*$BX111)+'LINEST VARS'!$D$66*(8*12.73)+'LINEST VARS'!$C$66*($CJ$104*$BX111)+'LINEST VARS'!$B$66*($CJ$104*12.73)+'LINEST VARS'!$A$66*($BX111*12.73)</f>
        <v>135.20000000000005</v>
      </c>
      <c r="CK111" s="46">
        <f>'LINEST VARS'!$U$66+'LINEST VARS'!$T$66*(8)+'LINEST VARS'!$S$66*(8)+'LINEST VARS'!$R$66*($CK$104)+'LINEST VARS'!$Q$66*($BX111)+'LINEST VARS'!$P$66*(12.73)+'LINEST VARS'!$O$66*(8^2)+'LINEST VARS'!$N$66*(8^2)+'LINEST VARS'!$M$66*($CK$104^2)+'LINEST VARS'!$L$66*($BX111^2)+'LINEST VARS'!$K$66*(12.73^2)+'LINEST VARS'!$J$66*(8*8)+'LINEST VARS'!$I$66*(8*$CK$104)+'LINEST VARS'!$H$66*(8*$BX111)+'LINEST VARS'!$G$66*(8*12.73)+'LINEST VARS'!$F$66*(8*$CK$104)+'LINEST VARS'!$E$66*(8*$BX111)+'LINEST VARS'!$D$66*(8*12.73)+'LINEST VARS'!$C$66*($CK$104*$BX111)+'LINEST VARS'!$B$66*($CK$104*12.73)+'LINEST VARS'!$A$66*($BX111*12.73)</f>
        <v>134.40000000000003</v>
      </c>
      <c r="CL111" s="46">
        <f>'LINEST VARS'!$U$66+'LINEST VARS'!$T$66*(8)+'LINEST VARS'!$S$66*(8)+'LINEST VARS'!$R$66*($CL$104)+'LINEST VARS'!$Q$66*($BX111)+'LINEST VARS'!$P$66*(12.73)+'LINEST VARS'!$O$66*(8^2)+'LINEST VARS'!$N$66*(8^2)+'LINEST VARS'!$M$66*($CL$104^2)+'LINEST VARS'!$L$66*($BX111^2)+'LINEST VARS'!$K$66*(12.73^2)+'LINEST VARS'!$J$66*(8*8)+'LINEST VARS'!$I$66*(8*$CL$104)+'LINEST VARS'!$H$66*(8*$BX111)+'LINEST VARS'!$G$66*(8*12.73)+'LINEST VARS'!$F$66*(8*$CL$104)+'LINEST VARS'!$E$66*(8*$BX111)+'LINEST VARS'!$D$66*(8*12.73)+'LINEST VARS'!$C$66*($CL$104*$BX111)+'LINEST VARS'!$B$66*($CL$104*12.73)+'LINEST VARS'!$A$66*($BX111*12.73)</f>
        <v>133.60000000000005</v>
      </c>
      <c r="CM111" s="46">
        <f>'LINEST VARS'!$U$66+'LINEST VARS'!$T$66*(8)+'LINEST VARS'!$S$66*(8)+'LINEST VARS'!$R$66*($CM$104)+'LINEST VARS'!$Q$66*($BX111)+'LINEST VARS'!$P$66*(12.73)+'LINEST VARS'!$O$66*(8^2)+'LINEST VARS'!$N$66*(8^2)+'LINEST VARS'!$M$66*($CM$104^2)+'LINEST VARS'!$L$66*($BX111^2)+'LINEST VARS'!$K$66*(12.73^2)+'LINEST VARS'!$J$66*(8*8)+'LINEST VARS'!$I$66*(8*$CM$104)+'LINEST VARS'!$H$66*(8*$BX111)+'LINEST VARS'!$G$66*(8*12.73)+'LINEST VARS'!$F$66*(8*$CM$104)+'LINEST VARS'!$E$66*(8*$BX111)+'LINEST VARS'!$D$66*(8*12.73)+'LINEST VARS'!$C$66*($CM$104*$BX111)+'LINEST VARS'!$B$66*($CM$104*12.73)+'LINEST VARS'!$A$66*($BX111*12.73)</f>
        <v>132.80000000000004</v>
      </c>
      <c r="CN111" s="46">
        <f>'LINEST VARS'!$U$66+'LINEST VARS'!$T$66*(8)+'LINEST VARS'!$S$66*(8)+'LINEST VARS'!$R$66*($CN$104)+'LINEST VARS'!$Q$66*($BX111)+'LINEST VARS'!$P$66*(12.73)+'LINEST VARS'!$O$66*(8^2)+'LINEST VARS'!$N$66*(8^2)+'LINEST VARS'!$M$66*($CN$104^2)+'LINEST VARS'!$L$66*($BX111^2)+'LINEST VARS'!$K$66*(12.73^2)+'LINEST VARS'!$J$66*(8*8)+'LINEST VARS'!$I$66*(8*$CN$104)+'LINEST VARS'!$H$66*(8*$BX111)+'LINEST VARS'!$G$66*(8*12.73)+'LINEST VARS'!$F$66*(8*$CN$104)+'LINEST VARS'!$E$66*(8*$BX111)+'LINEST VARS'!$D$66*(8*12.73)+'LINEST VARS'!$C$66*($CN$104*$BX111)+'LINEST VARS'!$B$66*($CN$104*12.73)+'LINEST VARS'!$A$66*($BX111*12.73)</f>
        <v>132.00000000000006</v>
      </c>
      <c r="CO111" s="46">
        <f>'LINEST VARS'!$U$66+'LINEST VARS'!$T$66*(8)+'LINEST VARS'!$S$66*(8)+'LINEST VARS'!$R$66*($CO$104)+'LINEST VARS'!$Q$66*($BX111)+'LINEST VARS'!$P$66*(12.73)+'LINEST VARS'!$O$66*(8^2)+'LINEST VARS'!$N$66*(8^2)+'LINEST VARS'!$M$66*($CO$104^2)+'LINEST VARS'!$L$66*($BX111^2)+'LINEST VARS'!$K$66*(12.73^2)+'LINEST VARS'!$J$66*(8*8)+'LINEST VARS'!$I$66*(8*$CO$104)+'LINEST VARS'!$H$66*(8*$BX111)+'LINEST VARS'!$G$66*(8*12.73)+'LINEST VARS'!$F$66*(8*$CO$104)+'LINEST VARS'!$E$66*(8*$BX111)+'LINEST VARS'!$D$66*(8*12.73)+'LINEST VARS'!$C$66*($CO$104*$BX111)+'LINEST VARS'!$B$66*($CO$104*12.73)+'LINEST VARS'!$A$66*($BX111*12.73)</f>
        <v>131.20000000000005</v>
      </c>
      <c r="CP111" s="46">
        <f>'LINEST VARS'!$U$66+'LINEST VARS'!$T$66*(8)+'LINEST VARS'!$S$66*(8)+'LINEST VARS'!$R$66*($CP$104)+'LINEST VARS'!$Q$66*($BX111)+'LINEST VARS'!$P$66*(12.73)+'LINEST VARS'!$O$66*(8^2)+'LINEST VARS'!$N$66*(8^2)+'LINEST VARS'!$M$66*($CP$104^2)+'LINEST VARS'!$L$66*($BX111^2)+'LINEST VARS'!$K$66*(12.73^2)+'LINEST VARS'!$J$66*(8*8)+'LINEST VARS'!$I$66*(8*$CP$104)+'LINEST VARS'!$H$66*(8*$BX111)+'LINEST VARS'!$G$66*(8*12.73)+'LINEST VARS'!$F$66*(8*$CP$104)+'LINEST VARS'!$E$66*(8*$BX111)+'LINEST VARS'!$D$66*(8*12.73)+'LINEST VARS'!$C$66*($CP$104*$BX111)+'LINEST VARS'!$B$66*($CP$104*12.73)+'LINEST VARS'!$A$66*($BX111*12.73)</f>
        <v>130.40000000000009</v>
      </c>
      <c r="CQ111" s="46">
        <f>'LINEST VARS'!$U$66+'LINEST VARS'!$T$66*(8)+'LINEST VARS'!$S$66*(8)+'LINEST VARS'!$R$66*($CQ$104)+'LINEST VARS'!$Q$66*($BX111)+'LINEST VARS'!$P$66*(12.73)+'LINEST VARS'!$O$66*(8^2)+'LINEST VARS'!$N$66*(8^2)+'LINEST VARS'!$M$66*($CQ$104^2)+'LINEST VARS'!$L$66*($BX111^2)+'LINEST VARS'!$K$66*(12.73^2)+'LINEST VARS'!$J$66*(8*8)+'LINEST VARS'!$I$66*(8*$CQ$104)+'LINEST VARS'!$H$66*(8*$BX111)+'LINEST VARS'!$G$66*(8*12.73)+'LINEST VARS'!$F$66*(8*$CQ$104)+'LINEST VARS'!$E$66*(8*$BX111)+'LINEST VARS'!$D$66*(8*12.73)+'LINEST VARS'!$C$66*($CQ$104*$BX111)+'LINEST VARS'!$B$66*($CQ$104*12.73)+'LINEST VARS'!$A$66*($BX111*12.73)</f>
        <v>129.60000000000008</v>
      </c>
      <c r="CR111" s="46">
        <f>'LINEST VARS'!$U$66+'LINEST VARS'!$T$66*(8)+'LINEST VARS'!$S$66*(8)+'LINEST VARS'!$R$66*($CR$104)+'LINEST VARS'!$Q$66*($BX111)+'LINEST VARS'!$P$66*(12.73)+'LINEST VARS'!$O$66*(8^2)+'LINEST VARS'!$N$66*(8^2)+'LINEST VARS'!$M$66*($CR$104^2)+'LINEST VARS'!$L$66*($BX111^2)+'LINEST VARS'!$K$66*(12.73^2)+'LINEST VARS'!$J$66*(8*8)+'LINEST VARS'!$I$66*(8*$CR$104)+'LINEST VARS'!$H$66*(8*$BX111)+'LINEST VARS'!$G$66*(8*12.73)+'LINEST VARS'!$F$66*(8*$CR$104)+'LINEST VARS'!$E$66*(8*$BX111)+'LINEST VARS'!$D$66*(8*12.73)+'LINEST VARS'!$C$66*($CR$104*$BX111)+'LINEST VARS'!$B$66*($CR$104*12.73)+'LINEST VARS'!$A$66*($BX111*12.73)</f>
        <v>128.8000000000001</v>
      </c>
      <c r="CS111" s="47">
        <f>'LINEST VARS'!$U$66+'LINEST VARS'!$T$66*(8)+'LINEST VARS'!$S$66*(8)+'LINEST VARS'!$R$66*($CS$104)+'LINEST VARS'!$Q$66*($BX111)+'LINEST VARS'!$P$66*(12.73)+'LINEST VARS'!$O$66*(8^2)+'LINEST VARS'!$N$66*(8^2)+'LINEST VARS'!$M$66*($CS$104^2)+'LINEST VARS'!$L$66*($BX111^2)+'LINEST VARS'!$K$66*(12.73^2)+'LINEST VARS'!$J$66*(8*8)+'LINEST VARS'!$I$66*(8*$CS$104)+'LINEST VARS'!$H$66*(8*$BX111)+'LINEST VARS'!$G$66*(8*12.73)+'LINEST VARS'!$F$66*(8*$CS$104)+'LINEST VARS'!$E$66*(8*$BX111)+'LINEST VARS'!$D$66*(8*12.73)+'LINEST VARS'!$C$66*($CS$104*$BX111)+'LINEST VARS'!$B$66*($CS$104*12.73)+'LINEST VARS'!$A$66*($BX111*12.73)</f>
        <v>128.00000000000006</v>
      </c>
      <c r="CX111" s="45">
        <v>7.7969999999999997</v>
      </c>
      <c r="CY111" s="55">
        <f>'LINEST VARS'!$U$64+'LINEST VARS'!$T$64*(8)+'LINEST VARS'!$S$64*(8)+'LINEST VARS'!$R$64*($CY$104)+'LINEST VARS'!$Q$64*(0.5)+'LINEST VARS'!$P$64*($CX111)+'LINEST VARS'!$O$64*(8^2)+'LINEST VARS'!$N$64*(8^2)+'LINEST VARS'!$M$64*($CY$104^2)+'LINEST VARS'!$L$64*(0.5^2)+'LINEST VARS'!$K$64*($CX111^2)+'LINEST VARS'!$J$64*(8*8)+'LINEST VARS'!$I$64*(8*$CY$104)+'LINEST VARS'!$H$64*(8*0.5)+'LINEST VARS'!$G$64*(8*$CX111)+'LINEST VARS'!$F$64*(8*$CY$104)+'LINEST VARS'!$E$64*(8*0.5)+'LINEST VARS'!$D$64*(8*$CX111)+'LINEST VARS'!$C$64*($CY$104*0.5)+'LINEST VARS'!$B$64*($CY$104*$CX111)+'LINEST VARS'!$A$64*(0.5*$CX111)</f>
        <v>133.39099999999988</v>
      </c>
      <c r="CZ111" s="55">
        <f>'LINEST VARS'!$U$64+'LINEST VARS'!$T$64*(8)+'LINEST VARS'!$S$64*(8)+'LINEST VARS'!$R$64*($CZ$104)+'LINEST VARS'!$Q$64*(0.5)+'LINEST VARS'!$P$64*($CX111)+'LINEST VARS'!$O$64*(8^2)+'LINEST VARS'!$N$64*(8^2)+'LINEST VARS'!$M$64*($CZ$104^2)+'LINEST VARS'!$L$64*(0.5^2)+'LINEST VARS'!$K$64*($CX111^2)+'LINEST VARS'!$J$64*(8*8)+'LINEST VARS'!$I$64*(8*$CZ$104)+'LINEST VARS'!$H$64*(8*0.5)+'LINEST VARS'!$G$64*(8*$CX111)+'LINEST VARS'!$F$64*(8*$CZ$104)+'LINEST VARS'!$E$64*(8*0.5)+'LINEST VARS'!$D$64*(8*$CX111)+'LINEST VARS'!$C$64*($CZ$104*0.5)+'LINEST VARS'!$B$64*($CZ$104*$CX111)+'LINEST VARS'!$A$64*(0.5*$CX111)</f>
        <v>134.99099999999987</v>
      </c>
      <c r="DA111" s="55">
        <f>'LINEST VARS'!$U$64+'LINEST VARS'!$T$64*(8)+'LINEST VARS'!$S$64*(8)+'LINEST VARS'!$R$64*($DA$104)+'LINEST VARS'!$Q$64*(0.5)+'LINEST VARS'!$P$64*($CX111)+'LINEST VARS'!$O$64*(8^2)+'LINEST VARS'!$N$64*(8^2)+'LINEST VARS'!$M$64*($DA$104^2)+'LINEST VARS'!$L$64*(0.5^2)+'LINEST VARS'!$K$64*($CX111^2)+'LINEST VARS'!$J$64*(8*8)+'LINEST VARS'!$I$64*(8*$DA$104)+'LINEST VARS'!$H$64*(8*0.5)+'LINEST VARS'!$G$64*(8*$CX111)+'LINEST VARS'!$F$64*(8*$DA$104)+'LINEST VARS'!$E$64*(8*0.5)+'LINEST VARS'!$D$64*(8*$CX111)+'LINEST VARS'!$C$64*($DA$104*0.5)+'LINEST VARS'!$B$64*($DA$104*$CX111)+'LINEST VARS'!$A$64*(0.5*$CX111)</f>
        <v>136.59099999999987</v>
      </c>
      <c r="DB111" s="55">
        <f>'LINEST VARS'!$U$64+'LINEST VARS'!$T$64*(8)+'LINEST VARS'!$S$64*(8)+'LINEST VARS'!$R$64*($DB$104)+'LINEST VARS'!$Q$64*(0.5)+'LINEST VARS'!$P$64*($CX111)+'LINEST VARS'!$O$64*(8^2)+'LINEST VARS'!$N$64*(8^2)+'LINEST VARS'!$M$64*($DB$104^2)+'LINEST VARS'!$L$64*(0.5^2)+'LINEST VARS'!$K$64*($CX111^2)+'LINEST VARS'!$J$64*(8*8)+'LINEST VARS'!$I$64*(8*$DB$104)+'LINEST VARS'!$H$64*(8*0.5)+'LINEST VARS'!$G$64*(8*$CX111)+'LINEST VARS'!$F$64*(8*$DB$104)+'LINEST VARS'!$E$64*(8*0.5)+'LINEST VARS'!$D$64*(8*$CX111)+'LINEST VARS'!$C$64*($DB$104*0.5)+'LINEST VARS'!$B$64*($DB$104*$CX111)+'LINEST VARS'!$A$64*(0.5*$CX111)</f>
        <v>138.19099999999986</v>
      </c>
      <c r="DC111" s="55">
        <f>'LINEST VARS'!$U$64+'LINEST VARS'!$T$64*(8)+'LINEST VARS'!$S$64*(8)+'LINEST VARS'!$R$64*($DC$104)+'LINEST VARS'!$Q$64*(0.5)+'LINEST VARS'!$P$64*($CX111)+'LINEST VARS'!$O$64*(8^2)+'LINEST VARS'!$N$64*(8^2)+'LINEST VARS'!$M$64*($DC$104^2)+'LINEST VARS'!$L$64*(0.5^2)+'LINEST VARS'!$K$64*($CX111^2)+'LINEST VARS'!$J$64*(8*8)+'LINEST VARS'!$I$64*(8*$DC$104)+'LINEST VARS'!$H$64*(8*0.5)+'LINEST VARS'!$G$64*(8*$CX111)+'LINEST VARS'!$F$64*(8*$DC$104)+'LINEST VARS'!$E$64*(8*0.5)+'LINEST VARS'!$D$64*(8*$CX111)+'LINEST VARS'!$C$64*($DC$104*0.5)+'LINEST VARS'!$B$64*($DC$104*$CX111)+'LINEST VARS'!$A$64*(0.5*$CX111)</f>
        <v>139.79099999999988</v>
      </c>
      <c r="DD111" s="55">
        <f>'LINEST VARS'!$U$64+'LINEST VARS'!$T$64*(8)+'LINEST VARS'!$S$64*(8)+'LINEST VARS'!$R$64*($DD$104)+'LINEST VARS'!$Q$64*(0.5)+'LINEST VARS'!$P$64*($CX111)+'LINEST VARS'!$O$64*(8^2)+'LINEST VARS'!$N$64*(8^2)+'LINEST VARS'!$M$64*($DD$104^2)+'LINEST VARS'!$L$64*(0.5^2)+'LINEST VARS'!$K$64*($CX111^2)+'LINEST VARS'!$J$64*(8*8)+'LINEST VARS'!$I$64*(8*$DD$104)+'LINEST VARS'!$H$64*(8*0.5)+'LINEST VARS'!$G$64*(8*$CX111)+'LINEST VARS'!$F$64*(8*$DD$104)+'LINEST VARS'!$E$64*(8*0.5)+'LINEST VARS'!$D$64*(8*$CX111)+'LINEST VARS'!$C$64*($DD$104*0.5)+'LINEST VARS'!$B$64*($DD$104*$CX111)+'LINEST VARS'!$A$64*(0.5*$CX111)</f>
        <v>141.39099999999988</v>
      </c>
      <c r="DE111" s="55">
        <f>'LINEST VARS'!$U$64+'LINEST VARS'!$T$64*(8)+'LINEST VARS'!$S$64*(8)+'LINEST VARS'!$R$64*($DE$104)+'LINEST VARS'!$Q$64*(0.5)+'LINEST VARS'!$P$64*($CX111)+'LINEST VARS'!$O$64*(8^2)+'LINEST VARS'!$N$64*(8^2)+'LINEST VARS'!$M$64*($DE$104^2)+'LINEST VARS'!$L$64*(0.5^2)+'LINEST VARS'!$K$64*($CX111^2)+'LINEST VARS'!$J$64*(8*8)+'LINEST VARS'!$I$64*(8*$DE$104)+'LINEST VARS'!$H$64*(8*0.5)+'LINEST VARS'!$G$64*(8*$CX111)+'LINEST VARS'!$F$64*(8*$DE$104)+'LINEST VARS'!$E$64*(8*0.5)+'LINEST VARS'!$D$64*(8*$CX111)+'LINEST VARS'!$C$64*($DE$104*0.5)+'LINEST VARS'!$B$64*($DE$104*$CX111)+'LINEST VARS'!$A$64*(0.5*$CX111)</f>
        <v>142.99099999999987</v>
      </c>
      <c r="DF111" s="55">
        <f>'LINEST VARS'!$U$64+'LINEST VARS'!$T$64*(8)+'LINEST VARS'!$S$64*(8)+'LINEST VARS'!$R$64*($DF$104)+'LINEST VARS'!$Q$64*(0.5)+'LINEST VARS'!$P$64*($CX111)+'LINEST VARS'!$O$64*(8^2)+'LINEST VARS'!$N$64*(8^2)+'LINEST VARS'!$M$64*($DF$104^2)+'LINEST VARS'!$L$64*(0.5^2)+'LINEST VARS'!$K$64*($CX111^2)+'LINEST VARS'!$J$64*(8*8)+'LINEST VARS'!$I$64*(8*$DF$104)+'LINEST VARS'!$H$64*(8*0.5)+'LINEST VARS'!$G$64*(8*$CX111)+'LINEST VARS'!$F$64*(8*$DF$104)+'LINEST VARS'!$E$64*(8*0.5)+'LINEST VARS'!$D$64*(8*$CX111)+'LINEST VARS'!$C$64*($DF$104*0.5)+'LINEST VARS'!$B$64*($DF$104*$CX111)+'LINEST VARS'!$A$64*(0.5*$CX111)</f>
        <v>144.59099999999987</v>
      </c>
      <c r="DG111" s="55">
        <f>'LINEST VARS'!$U$64+'LINEST VARS'!$T$64*(8)+'LINEST VARS'!$S$64*(8)+'LINEST VARS'!$R$64*($DG$104)+'LINEST VARS'!$Q$64*(0.5)+'LINEST VARS'!$P$64*($CX111)+'LINEST VARS'!$O$64*(8^2)+'LINEST VARS'!$N$64*(8^2)+'LINEST VARS'!$M$64*($DG$104^2)+'LINEST VARS'!$L$64*(0.5^2)+'LINEST VARS'!$K$64*($CX111^2)+'LINEST VARS'!$J$64*(8*8)+'LINEST VARS'!$I$64*(8*$DG$104)+'LINEST VARS'!$H$64*(8*0.5)+'LINEST VARS'!$G$64*(8*$CX111)+'LINEST VARS'!$F$64*(8*$DG$104)+'LINEST VARS'!$E$64*(8*0.5)+'LINEST VARS'!$D$64*(8*$CX111)+'LINEST VARS'!$C$64*($DG$104*0.5)+'LINEST VARS'!$B$64*($DG$104*$CX111)+'LINEST VARS'!$A$64*(0.5*$CX111)</f>
        <v>146.19099999999989</v>
      </c>
      <c r="DH111" s="55">
        <f>'LINEST VARS'!$U$64+'LINEST VARS'!$T$64*(8)+'LINEST VARS'!$S$64*(8)+'LINEST VARS'!$R$64*($DH$104)+'LINEST VARS'!$Q$64*(0.5)+'LINEST VARS'!$P$64*($CX111)+'LINEST VARS'!$O$64*(8^2)+'LINEST VARS'!$N$64*(8^2)+'LINEST VARS'!$M$64*($DH$104^2)+'LINEST VARS'!$L$64*(0.5^2)+'LINEST VARS'!$K$64*($CX111^2)+'LINEST VARS'!$J$64*(8*8)+'LINEST VARS'!$I$64*(8*$DH$104)+'LINEST VARS'!$H$64*(8*0.5)+'LINEST VARS'!$G$64*(8*$CX111)+'LINEST VARS'!$F$64*(8*$DH$104)+'LINEST VARS'!$E$64*(8*0.5)+'LINEST VARS'!$D$64*(8*$CX111)+'LINEST VARS'!$C$64*($DH$104*0.5)+'LINEST VARS'!$B$64*($DH$104*$CX111)+'LINEST VARS'!$A$64*(0.5*$CX111)</f>
        <v>147.79099999999988</v>
      </c>
      <c r="DI111" s="55">
        <f>'LINEST VARS'!$U$64+'LINEST VARS'!$T$64*(8)+'LINEST VARS'!$S$64*(8)+'LINEST VARS'!$R$64*($DI$104)+'LINEST VARS'!$Q$64*(0.5)+'LINEST VARS'!$P$64*($CX111)+'LINEST VARS'!$O$64*(8^2)+'LINEST VARS'!$N$64*(8^2)+'LINEST VARS'!$M$64*($DI$104^2)+'LINEST VARS'!$L$64*(0.5^2)+'LINEST VARS'!$K$64*($CX111^2)+'LINEST VARS'!$J$64*(8*8)+'LINEST VARS'!$I$64*(8*$DI$104)+'LINEST VARS'!$H$64*(8*0.5)+'LINEST VARS'!$G$64*(8*$CX111)+'LINEST VARS'!$F$64*(8*$DI$104)+'LINEST VARS'!$E$64*(8*0.5)+'LINEST VARS'!$D$64*(8*$CX111)+'LINEST VARS'!$C$64*($DI$104*0.5)+'LINEST VARS'!$B$64*($DI$104*$CX111)+'LINEST VARS'!$A$64*(0.5*$CX111)</f>
        <v>149.39099999999988</v>
      </c>
      <c r="DJ111" s="55">
        <f>'LINEST VARS'!$U$64+'LINEST VARS'!$T$64*(8)+'LINEST VARS'!$S$64*(8)+'LINEST VARS'!$R$64*($DJ$104)+'LINEST VARS'!$Q$64*(0.5)+'LINEST VARS'!$P$64*($CX111)+'LINEST VARS'!$O$64*(8^2)+'LINEST VARS'!$N$64*(8^2)+'LINEST VARS'!$M$64*($DJ$104^2)+'LINEST VARS'!$L$64*(0.5^2)+'LINEST VARS'!$K$64*($CX111^2)+'LINEST VARS'!$J$64*(8*8)+'LINEST VARS'!$I$64*(8*$DJ$104)+'LINEST VARS'!$H$64*(8*0.5)+'LINEST VARS'!$G$64*(8*$CX111)+'LINEST VARS'!$F$64*(8*$DJ$104)+'LINEST VARS'!$E$64*(8*0.5)+'LINEST VARS'!$D$64*(8*$CX111)+'LINEST VARS'!$C$64*($DJ$104*0.5)+'LINEST VARS'!$B$64*($DJ$104*$CX111)+'LINEST VARS'!$A$64*(0.5*$CX111)</f>
        <v>150.99099999999987</v>
      </c>
      <c r="DK111" s="55">
        <f>'LINEST VARS'!$U$64+'LINEST VARS'!$T$64*(8)+'LINEST VARS'!$S$64*(8)+'LINEST VARS'!$R$64*($DK$104)+'LINEST VARS'!$Q$64*(0.5)+'LINEST VARS'!$P$64*($CX111)+'LINEST VARS'!$O$64*(8^2)+'LINEST VARS'!$N$64*(8^2)+'LINEST VARS'!$M$64*($DK$104^2)+'LINEST VARS'!$L$64*(0.5^2)+'LINEST VARS'!$K$64*($CX111^2)+'LINEST VARS'!$J$64*(8*8)+'LINEST VARS'!$I$64*(8*$DK$104)+'LINEST VARS'!$H$64*(8*0.5)+'LINEST VARS'!$G$64*(8*$CX111)+'LINEST VARS'!$F$64*(8*$DK$104)+'LINEST VARS'!$E$64*(8*0.5)+'LINEST VARS'!$D$64*(8*$CX111)+'LINEST VARS'!$C$64*($DK$104*0.5)+'LINEST VARS'!$B$64*($DK$104*$CX111)+'LINEST VARS'!$A$64*(0.5*$CX111)</f>
        <v>152.59099999999984</v>
      </c>
      <c r="DL111" s="55">
        <f>'LINEST VARS'!$U$64+'LINEST VARS'!$T$64*(8)+'LINEST VARS'!$S$64*(8)+'LINEST VARS'!$R$64*($DL$104)+'LINEST VARS'!$Q$64*(0.5)+'LINEST VARS'!$P$64*($CX111)+'LINEST VARS'!$O$64*(8^2)+'LINEST VARS'!$N$64*(8^2)+'LINEST VARS'!$M$64*($DL$104^2)+'LINEST VARS'!$L$64*(0.5^2)+'LINEST VARS'!$K$64*($CX111^2)+'LINEST VARS'!$J$64*(8*8)+'LINEST VARS'!$I$64*(8*$DL$104)+'LINEST VARS'!$H$64*(8*0.5)+'LINEST VARS'!$G$64*(8*$CX111)+'LINEST VARS'!$F$64*(8*$DL$104)+'LINEST VARS'!$E$64*(8*0.5)+'LINEST VARS'!$D$64*(8*$CX111)+'LINEST VARS'!$C$64*($DL$104*0.5)+'LINEST VARS'!$B$64*($DL$104*$CX111)+'LINEST VARS'!$A$64*(0.5*$CX111)</f>
        <v>154.19099999999986</v>
      </c>
      <c r="DM111" s="55">
        <f>'LINEST VARS'!$U$64+'LINEST VARS'!$T$64*(8)+'LINEST VARS'!$S$64*(8)+'LINEST VARS'!$R$64*($DM$104)+'LINEST VARS'!$Q$64*(0.5)+'LINEST VARS'!$P$64*($CX111)+'LINEST VARS'!$O$64*(8^2)+'LINEST VARS'!$N$64*(8^2)+'LINEST VARS'!$M$64*($DM$104^2)+'LINEST VARS'!$L$64*(0.5^2)+'LINEST VARS'!$K$64*($CX111^2)+'LINEST VARS'!$J$64*(8*8)+'LINEST VARS'!$I$64*(8*$DM$104)+'LINEST VARS'!$H$64*(8*0.5)+'LINEST VARS'!$G$64*(8*$CX111)+'LINEST VARS'!$F$64*(8*$DM$104)+'LINEST VARS'!$E$64*(8*0.5)+'LINEST VARS'!$D$64*(8*$CX111)+'LINEST VARS'!$C$64*($DM$104*0.5)+'LINEST VARS'!$B$64*($DM$104*$CX111)+'LINEST VARS'!$A$64*(0.5*$CX111)</f>
        <v>155.79099999999983</v>
      </c>
      <c r="DN111" s="55">
        <f>'LINEST VARS'!$U$64+'LINEST VARS'!$T$64*(8)+'LINEST VARS'!$S$64*(8)+'LINEST VARS'!$R$64*($DN$104)+'LINEST VARS'!$Q$64*(0.5)+'LINEST VARS'!$P$64*($CX111)+'LINEST VARS'!$O$64*(8^2)+'LINEST VARS'!$N$64*(8^2)+'LINEST VARS'!$M$64*($DN$104^2)+'LINEST VARS'!$L$64*(0.5^2)+'LINEST VARS'!$K$64*($CX111^2)+'LINEST VARS'!$J$64*(8*8)+'LINEST VARS'!$I$64*(8*$DN$104)+'LINEST VARS'!$H$64*(8*0.5)+'LINEST VARS'!$G$64*(8*$CX111)+'LINEST VARS'!$F$64*(8*$DN$104)+'LINEST VARS'!$E$64*(8*0.5)+'LINEST VARS'!$D$64*(8*$CX111)+'LINEST VARS'!$C$64*($DN$104*0.5)+'LINEST VARS'!$B$64*($DN$104*$CX111)+'LINEST VARS'!$A$64*(0.5*$CX111)</f>
        <v>157.39099999999982</v>
      </c>
      <c r="DO111" s="55">
        <f>'LINEST VARS'!$U$64+'LINEST VARS'!$T$64*(8)+'LINEST VARS'!$S$64*(8)+'LINEST VARS'!$R$64*($DO$104)+'LINEST VARS'!$Q$64*(0.5)+'LINEST VARS'!$P$64*($CX111)+'LINEST VARS'!$O$64*(8^2)+'LINEST VARS'!$N$64*(8^2)+'LINEST VARS'!$M$64*($DO$104^2)+'LINEST VARS'!$L$64*(0.5^2)+'LINEST VARS'!$K$64*($CX111^2)+'LINEST VARS'!$J$64*(8*8)+'LINEST VARS'!$I$64*(8*$DO$104)+'LINEST VARS'!$H$64*(8*0.5)+'LINEST VARS'!$G$64*(8*$CX111)+'LINEST VARS'!$F$64*(8*$DO$104)+'LINEST VARS'!$E$64*(8*0.5)+'LINEST VARS'!$D$64*(8*$CX111)+'LINEST VARS'!$C$64*($DO$104*0.5)+'LINEST VARS'!$B$64*($DO$104*$CX111)+'LINEST VARS'!$A$64*(0.5*$CX111)</f>
        <v>158.99099999999984</v>
      </c>
      <c r="DP111" s="55">
        <f>'LINEST VARS'!$U$64+'LINEST VARS'!$T$64*(8)+'LINEST VARS'!$S$64*(8)+'LINEST VARS'!$R$64*($DP$104)+'LINEST VARS'!$Q$64*(0.5)+'LINEST VARS'!$P$64*($CX111)+'LINEST VARS'!$O$64*(8^2)+'LINEST VARS'!$N$64*(8^2)+'LINEST VARS'!$M$64*($DP$104^2)+'LINEST VARS'!$L$64*(0.5^2)+'LINEST VARS'!$K$64*($CX111^2)+'LINEST VARS'!$J$64*(8*8)+'LINEST VARS'!$I$64*(8*$DP$104)+'LINEST VARS'!$H$64*(8*0.5)+'LINEST VARS'!$G$64*(8*$CX111)+'LINEST VARS'!$F$64*(8*$DP$104)+'LINEST VARS'!$E$64*(8*0.5)+'LINEST VARS'!$D$64*(8*$CX111)+'LINEST VARS'!$C$64*($DP$104*0.5)+'LINEST VARS'!$B$64*($DP$104*$CX111)+'LINEST VARS'!$A$64*(0.5*$CX111)</f>
        <v>160.59099999999984</v>
      </c>
      <c r="DQ111" s="55">
        <f>'LINEST VARS'!$U$64+'LINEST VARS'!$T$64*(8)+'LINEST VARS'!$S$64*(8)+'LINEST VARS'!$R$64*($DQ$104)+'LINEST VARS'!$Q$64*(0.5)+'LINEST VARS'!$P$64*($CX111)+'LINEST VARS'!$O$64*(8^2)+'LINEST VARS'!$N$64*(8^2)+'LINEST VARS'!$M$64*($DQ$104^2)+'LINEST VARS'!$L$64*(0.5^2)+'LINEST VARS'!$K$64*($CX111^2)+'LINEST VARS'!$J$64*(8*8)+'LINEST VARS'!$I$64*(8*$DQ$104)+'LINEST VARS'!$H$64*(8*0.5)+'LINEST VARS'!$G$64*(8*$CX111)+'LINEST VARS'!$F$64*(8*$DQ$104)+'LINEST VARS'!$E$64*(8*0.5)+'LINEST VARS'!$D$64*(8*$CX111)+'LINEST VARS'!$C$64*($DQ$104*0.5)+'LINEST VARS'!$B$64*($DQ$104*$CX111)+'LINEST VARS'!$A$64*(0.5*$CX111)</f>
        <v>162.19099999999983</v>
      </c>
      <c r="DR111" s="55">
        <f>'LINEST VARS'!$U$64+'LINEST VARS'!$T$64*(8)+'LINEST VARS'!$S$64*(8)+'LINEST VARS'!$R$64*($DR$104)+'LINEST VARS'!$Q$64*(0.5)+'LINEST VARS'!$P$64*($CX111)+'LINEST VARS'!$O$64*(8^2)+'LINEST VARS'!$N$64*(8^2)+'LINEST VARS'!$M$64*($DR$104^2)+'LINEST VARS'!$L$64*(0.5^2)+'LINEST VARS'!$K$64*($CX111^2)+'LINEST VARS'!$J$64*(8*8)+'LINEST VARS'!$I$64*(8*$DR$104)+'LINEST VARS'!$H$64*(8*0.5)+'LINEST VARS'!$G$64*(8*$CX111)+'LINEST VARS'!$F$64*(8*$DR$104)+'LINEST VARS'!$E$64*(8*0.5)+'LINEST VARS'!$D$64*(8*$CX111)+'LINEST VARS'!$C$64*($DR$104*0.5)+'LINEST VARS'!$B$64*($DR$104*$CX111)+'LINEST VARS'!$A$64*(0.5*$CX111)</f>
        <v>163.79099999999983</v>
      </c>
      <c r="DS111" s="56">
        <f>'LINEST VARS'!$U$64+'LINEST VARS'!$T$64*(8)+'LINEST VARS'!$S$64*(8)+'LINEST VARS'!$R$64*($DS$104)+'LINEST VARS'!$Q$64*(0.5)+'LINEST VARS'!$P$64*($CX111)+'LINEST VARS'!$O$64*(8^2)+'LINEST VARS'!$N$64*(8^2)+'LINEST VARS'!$M$64*($DS$104^2)+'LINEST VARS'!$L$64*(0.5^2)+'LINEST VARS'!$K$64*($CX111^2)+'LINEST VARS'!$J$64*(8*8)+'LINEST VARS'!$I$64*(8*$DS$104)+'LINEST VARS'!$H$64*(8*0.5)+'LINEST VARS'!$G$64*(8*$CX111)+'LINEST VARS'!$F$64*(8*$DS$104)+'LINEST VARS'!$E$64*(8*0.5)+'LINEST VARS'!$D$64*(8*$CX111)+'LINEST VARS'!$C$64*($DS$104*0.5)+'LINEST VARS'!$B$64*($DS$104*$CX111)+'LINEST VARS'!$A$64*(0.5*$CX111)</f>
        <v>165.39099999999982</v>
      </c>
      <c r="DV111" s="45">
        <v>7.7969999999999997</v>
      </c>
      <c r="DW111" s="46">
        <f>'LINEST VARS'!$U$66+'LINEST VARS'!$T$66*(8)+'LINEST VARS'!$S$66*(8)+'LINEST VARS'!$R$66*($DW$104)+'LINEST VARS'!$Q$66*(0.5)+'LINEST VARS'!$P$66*($DV111)+'LINEST VARS'!$O$66*(8^2)+'LINEST VARS'!$N$66*(8^2)+'LINEST VARS'!$M$66*($DW$104^2)+'LINEST VARS'!$L$66*(0.5^2)+'LINEST VARS'!$K$66*($DV111^2)+'LINEST VARS'!$J$66*(8*8)+'LINEST VARS'!$I$66*(8*$DW$104)+'LINEST VARS'!$H$66*(8*0.5)+'LINEST VARS'!$G$66*(8*$DV111)+'LINEST VARS'!$F$66*(8*$DW$104)+'LINEST VARS'!$E$66*(8*0.5)+'LINEST VARS'!$D$66*(8*$DV111)+'LINEST VARS'!$C$66*($DW$104*0.5)+'LINEST VARS'!$B$66*($DW$104*$DV111)+'LINEST VARS'!$A$66*(0.5*$DV111)</f>
        <v>144.00000000000003</v>
      </c>
      <c r="DX111" s="46">
        <f>'LINEST VARS'!$U$66+'LINEST VARS'!$T$66*(8)+'LINEST VARS'!$S$66*(8)+'LINEST VARS'!$R$66*($DX$104)+'LINEST VARS'!$Q$66*(0.5)+'LINEST VARS'!$P$66*($DV111)+'LINEST VARS'!$O$66*(8^2)+'LINEST VARS'!$N$66*(8^2)+'LINEST VARS'!$M$66*($DX$104^2)+'LINEST VARS'!$L$66*(0.5^2)+'LINEST VARS'!$K$66*($DV111^2)+'LINEST VARS'!$J$66*(8*8)+'LINEST VARS'!$I$66*(8*$DX$104)+'LINEST VARS'!$H$66*(8*0.5)+'LINEST VARS'!$G$66*(8*$DV111)+'LINEST VARS'!$F$66*(8*$DX$104)+'LINEST VARS'!$E$66*(8*0.5)+'LINEST VARS'!$D$66*(8*$DV111)+'LINEST VARS'!$C$66*($DX$104*0.5)+'LINEST VARS'!$B$66*($DX$104*$DV111)+'LINEST VARS'!$A$66*(0.5*$DV111)</f>
        <v>143.20000000000005</v>
      </c>
      <c r="DY111" s="46">
        <f>'LINEST VARS'!$U$66+'LINEST VARS'!$T$66*(8)+'LINEST VARS'!$S$66*(8)+'LINEST VARS'!$R$66*($DY$104)+'LINEST VARS'!$Q$66*(0.5)+'LINEST VARS'!$P$66*($DV111)+'LINEST VARS'!$O$66*(8^2)+'LINEST VARS'!$N$66*(8^2)+'LINEST VARS'!$M$66*($DY$104^2)+'LINEST VARS'!$L$66*(0.5^2)+'LINEST VARS'!$K$66*($DV111^2)+'LINEST VARS'!$J$66*(8*8)+'LINEST VARS'!$I$66*(8*$DY$104)+'LINEST VARS'!$H$66*(8*0.5)+'LINEST VARS'!$G$66*(8*$DV111)+'LINEST VARS'!$F$66*(8*$DY$104)+'LINEST VARS'!$E$66*(8*0.5)+'LINEST VARS'!$D$66*(8*$DV111)+'LINEST VARS'!$C$66*($DY$104*0.5)+'LINEST VARS'!$B$66*($DY$104*$DV111)+'LINEST VARS'!$A$66*(0.5*$DV111)</f>
        <v>142.40000000000003</v>
      </c>
      <c r="DZ111" s="46">
        <f>'LINEST VARS'!$U$66+'LINEST VARS'!$T$66*(8)+'LINEST VARS'!$S$66*(8)+'LINEST VARS'!$R$66*($DZ$104)+'LINEST VARS'!$Q$66*(0.5)+'LINEST VARS'!$P$66*($DV111)+'LINEST VARS'!$O$66*(8^2)+'LINEST VARS'!$N$66*(8^2)+'LINEST VARS'!$M$66*($DZ$104^2)+'LINEST VARS'!$L$66*(0.5^2)+'LINEST VARS'!$K$66*($DV111^2)+'LINEST VARS'!$J$66*(8*8)+'LINEST VARS'!$I$66*(8*$DZ$104)+'LINEST VARS'!$H$66*(8*0.5)+'LINEST VARS'!$G$66*(8*$DV111)+'LINEST VARS'!$F$66*(8*$DZ$104)+'LINEST VARS'!$E$66*(8*0.5)+'LINEST VARS'!$D$66*(8*$DV111)+'LINEST VARS'!$C$66*($DZ$104*0.5)+'LINEST VARS'!$B$66*($DZ$104*$DV111)+'LINEST VARS'!$A$66*(0.5*$DV111)</f>
        <v>141.60000000000005</v>
      </c>
      <c r="EA111" s="46">
        <f>'LINEST VARS'!$U$66+'LINEST VARS'!$T$66*(8)+'LINEST VARS'!$S$66*(8)+'LINEST VARS'!$R$66*($EA$104)+'LINEST VARS'!$Q$66*(0.5)+'LINEST VARS'!$P$66*($DV111)+'LINEST VARS'!$O$66*(8^2)+'LINEST VARS'!$N$66*(8^2)+'LINEST VARS'!$M$66*($EA$104^2)+'LINEST VARS'!$L$66*(0.5^2)+'LINEST VARS'!$K$66*($DV111^2)+'LINEST VARS'!$J$66*(8*8)+'LINEST VARS'!$I$66*(8*$EA$104)+'LINEST VARS'!$H$66*(8*0.5)+'LINEST VARS'!$G$66*(8*$DV111)+'LINEST VARS'!$F$66*(8*$EA$104)+'LINEST VARS'!$E$66*(8*0.5)+'LINEST VARS'!$D$66*(8*$DV111)+'LINEST VARS'!$C$66*($EA$104*0.5)+'LINEST VARS'!$B$66*($EA$104*$DV111)+'LINEST VARS'!$A$66*(0.5*$DV111)</f>
        <v>140.80000000000004</v>
      </c>
      <c r="EB111" s="46">
        <f>'LINEST VARS'!$U$66+'LINEST VARS'!$T$66*(8)+'LINEST VARS'!$S$66*(8)+'LINEST VARS'!$R$66*($EB$104)+'LINEST VARS'!$Q$66*(0.5)+'LINEST VARS'!$P$66*($DV111)+'LINEST VARS'!$O$66*(8^2)+'LINEST VARS'!$N$66*(8^2)+'LINEST VARS'!$M$66*($EB$104^2)+'LINEST VARS'!$L$66*(0.5^2)+'LINEST VARS'!$K$66*($DV111^2)+'LINEST VARS'!$J$66*(8*8)+'LINEST VARS'!$I$66*(8*$EB$104)+'LINEST VARS'!$H$66*(8*0.5)+'LINEST VARS'!$G$66*(8*$DV111)+'LINEST VARS'!$F$66*(8*$EB$104)+'LINEST VARS'!$E$66*(8*0.5)+'LINEST VARS'!$D$66*(8*$DV111)+'LINEST VARS'!$C$66*($EB$104*0.5)+'LINEST VARS'!$B$66*($EB$104*$DV111)+'LINEST VARS'!$A$66*(0.5*$DV111)</f>
        <v>140.00000000000006</v>
      </c>
      <c r="EC111" s="46">
        <f>'LINEST VARS'!$U$66+'LINEST VARS'!$T$66*(8)+'LINEST VARS'!$S$66*(8)+'LINEST VARS'!$R$66*($EC$104)+'LINEST VARS'!$Q$66*(0.5)+'LINEST VARS'!$P$66*($DV111)+'LINEST VARS'!$O$66*(8^2)+'LINEST VARS'!$N$66*(8^2)+'LINEST VARS'!$M$66*($EC$104^2)+'LINEST VARS'!$L$66*(0.5^2)+'LINEST VARS'!$K$66*($DV111^2)+'LINEST VARS'!$J$66*(8*8)+'LINEST VARS'!$I$66*(8*$EC$104)+'LINEST VARS'!$H$66*(8*0.5)+'LINEST VARS'!$G$66*(8*$DV111)+'LINEST VARS'!$F$66*(8*$EC$104)+'LINEST VARS'!$E$66*(8*0.5)+'LINEST VARS'!$D$66*(8*$DV111)+'LINEST VARS'!$C$66*($EC$104*0.5)+'LINEST VARS'!$B$66*($EC$104*$DV111)+'LINEST VARS'!$A$66*(0.5*$DV111)</f>
        <v>139.20000000000005</v>
      </c>
      <c r="ED111" s="46">
        <f>'LINEST VARS'!$U$66+'LINEST VARS'!$T$66*(8)+'LINEST VARS'!$S$66*(8)+'LINEST VARS'!$R$66*($ED$104)+'LINEST VARS'!$Q$66*(0.5)+'LINEST VARS'!$P$66*($DV111)+'LINEST VARS'!$O$66*(8^2)+'LINEST VARS'!$N$66*(8^2)+'LINEST VARS'!$M$66*($ED$104^2)+'LINEST VARS'!$L$66*(0.5^2)+'LINEST VARS'!$K$66*($DV111^2)+'LINEST VARS'!$J$66*(8*8)+'LINEST VARS'!$I$66*(8*$ED$104)+'LINEST VARS'!$H$66*(8*0.5)+'LINEST VARS'!$G$66*(8*$DV111)+'LINEST VARS'!$F$66*(8*$ED$104)+'LINEST VARS'!$E$66*(8*0.5)+'LINEST VARS'!$D$66*(8*$DV111)+'LINEST VARS'!$C$66*($ED$104*0.5)+'LINEST VARS'!$B$66*($ED$104*$DV111)+'LINEST VARS'!$A$66*(0.5*$DV111)</f>
        <v>138.40000000000006</v>
      </c>
      <c r="EE111" s="46">
        <f>'LINEST VARS'!$U$66+'LINEST VARS'!$T$66*(8)+'LINEST VARS'!$S$66*(8)+'LINEST VARS'!$R$66*($EE$104)+'LINEST VARS'!$Q$66*(0.5)+'LINEST VARS'!$P$66*($DV111)+'LINEST VARS'!$O$66*(8^2)+'LINEST VARS'!$N$66*(8^2)+'LINEST VARS'!$M$66*($EE$104^2)+'LINEST VARS'!$L$66*(0.5^2)+'LINEST VARS'!$K$66*($DV111^2)+'LINEST VARS'!$J$66*(8*8)+'LINEST VARS'!$I$66*(8*$EE$104)+'LINEST VARS'!$H$66*(8*0.5)+'LINEST VARS'!$G$66*(8*$DV111)+'LINEST VARS'!$F$66*(8*$EE$104)+'LINEST VARS'!$E$66*(8*0.5)+'LINEST VARS'!$D$66*(8*$DV111)+'LINEST VARS'!$C$66*($EE$104*0.5)+'LINEST VARS'!$B$66*($EE$104*$DV111)+'LINEST VARS'!$A$66*(0.5*$DV111)</f>
        <v>137.60000000000005</v>
      </c>
      <c r="EF111" s="46">
        <f>'LINEST VARS'!$U$66+'LINEST VARS'!$T$66*(8)+'LINEST VARS'!$S$66*(8)+'LINEST VARS'!$R$66*($EF$104)+'LINEST VARS'!$Q$66*(0.5)+'LINEST VARS'!$P$66*($DV111)+'LINEST VARS'!$O$66*(8^2)+'LINEST VARS'!$N$66*(8^2)+'LINEST VARS'!$M$66*($EF$104^2)+'LINEST VARS'!$L$66*(0.5^2)+'LINEST VARS'!$K$66*($DV111^2)+'LINEST VARS'!$J$66*(8*8)+'LINEST VARS'!$I$66*(8*$EF$104)+'LINEST VARS'!$H$66*(8*0.5)+'LINEST VARS'!$G$66*(8*$DV111)+'LINEST VARS'!$F$66*(8*$EF$104)+'LINEST VARS'!$E$66*(8*0.5)+'LINEST VARS'!$D$66*(8*$DV111)+'LINEST VARS'!$C$66*($EF$104*0.5)+'LINEST VARS'!$B$66*($EF$104*$DV111)+'LINEST VARS'!$A$66*(0.5*$DV111)</f>
        <v>136.80000000000004</v>
      </c>
      <c r="EG111" s="46">
        <f>'LINEST VARS'!$U$66+'LINEST VARS'!$T$66*(8)+'LINEST VARS'!$S$66*(8)+'LINEST VARS'!$R$66*($EG$104)+'LINEST VARS'!$Q$66*(0.5)+'LINEST VARS'!$P$66*($DV111)+'LINEST VARS'!$O$66*(8^2)+'LINEST VARS'!$N$66*(8^2)+'LINEST VARS'!$M$66*($EG$104^2)+'LINEST VARS'!$L$66*(0.5^2)+'LINEST VARS'!$K$66*($DV111^2)+'LINEST VARS'!$J$66*(8*8)+'LINEST VARS'!$I$66*(8*$EG$104)+'LINEST VARS'!$H$66*(8*0.5)+'LINEST VARS'!$G$66*(8*$DV111)+'LINEST VARS'!$F$66*(8*$EG$104)+'LINEST VARS'!$E$66*(8*0.5)+'LINEST VARS'!$D$66*(8*$DV111)+'LINEST VARS'!$C$66*($EG$104*0.5)+'LINEST VARS'!$B$66*($EG$104*$DV111)+'LINEST VARS'!$A$66*(0.5*$DV111)</f>
        <v>136.00000000000003</v>
      </c>
      <c r="EH111" s="46">
        <f>'LINEST VARS'!$U$66+'LINEST VARS'!$T$66*(8)+'LINEST VARS'!$S$66*(8)+'LINEST VARS'!$R$66*($EH$104)+'LINEST VARS'!$Q$66*(0.5)+'LINEST VARS'!$P$66*($DV111)+'LINEST VARS'!$O$66*(8^2)+'LINEST VARS'!$N$66*(8^2)+'LINEST VARS'!$M$66*($EH$104^2)+'LINEST VARS'!$L$66*(0.5^2)+'LINEST VARS'!$K$66*($DV111^2)+'LINEST VARS'!$J$66*(8*8)+'LINEST VARS'!$I$66*(8*$EH$104)+'LINEST VARS'!$H$66*(8*0.5)+'LINEST VARS'!$G$66*(8*$DV111)+'LINEST VARS'!$F$66*(8*$EH$104)+'LINEST VARS'!$E$66*(8*0.5)+'LINEST VARS'!$D$66*(8*$DV111)+'LINEST VARS'!$C$66*($EH$104*0.5)+'LINEST VARS'!$B$66*($EH$104*$DV111)+'LINEST VARS'!$A$66*(0.5*$DV111)</f>
        <v>135.20000000000002</v>
      </c>
      <c r="EI111" s="46">
        <f>'LINEST VARS'!$U$66+'LINEST VARS'!$T$66*(8)+'LINEST VARS'!$S$66*(8)+'LINEST VARS'!$R$66*($EI$104)+'LINEST VARS'!$Q$66*(0.5)+'LINEST VARS'!$P$66*($DV111)+'LINEST VARS'!$O$66*(8^2)+'LINEST VARS'!$N$66*(8^2)+'LINEST VARS'!$M$66*($EI$104^2)+'LINEST VARS'!$L$66*(0.5^2)+'LINEST VARS'!$K$66*($DV111^2)+'LINEST VARS'!$J$66*(8*8)+'LINEST VARS'!$I$66*(8*$EI$104)+'LINEST VARS'!$H$66*(8*0.5)+'LINEST VARS'!$G$66*(8*$DV111)+'LINEST VARS'!$F$66*(8*$EI$104)+'LINEST VARS'!$E$66*(8*0.5)+'LINEST VARS'!$D$66*(8*$DV111)+'LINEST VARS'!$C$66*($EI$104*0.5)+'LINEST VARS'!$B$66*($EI$104*$DV111)+'LINEST VARS'!$A$66*(0.5*$DV111)</f>
        <v>134.4</v>
      </c>
      <c r="EJ111" s="46">
        <f>'LINEST VARS'!$U$66+'LINEST VARS'!$T$66*(8)+'LINEST VARS'!$S$66*(8)+'LINEST VARS'!$R$66*($EJ$104)+'LINEST VARS'!$Q$66*(0.5)+'LINEST VARS'!$P$66*($DV111)+'LINEST VARS'!$O$66*(8^2)+'LINEST VARS'!$N$66*(8^2)+'LINEST VARS'!$M$66*($EJ$104^2)+'LINEST VARS'!$L$66*(0.5^2)+'LINEST VARS'!$K$66*($DV111^2)+'LINEST VARS'!$J$66*(8*8)+'LINEST VARS'!$I$66*(8*$EJ$104)+'LINEST VARS'!$H$66*(8*0.5)+'LINEST VARS'!$G$66*(8*$DV111)+'LINEST VARS'!$F$66*(8*$EJ$104)+'LINEST VARS'!$E$66*(8*0.5)+'LINEST VARS'!$D$66*(8*$DV111)+'LINEST VARS'!$C$66*($EJ$104*0.5)+'LINEST VARS'!$B$66*($EJ$104*$DV111)+'LINEST VARS'!$A$66*(0.5*$DV111)</f>
        <v>133.60000000000002</v>
      </c>
      <c r="EK111" s="46">
        <f>'LINEST VARS'!$U$66+'LINEST VARS'!$T$66*(8)+'LINEST VARS'!$S$66*(8)+'LINEST VARS'!$R$66*($EK$104)+'LINEST VARS'!$Q$66*(0.5)+'LINEST VARS'!$P$66*($DV111)+'LINEST VARS'!$O$66*(8^2)+'LINEST VARS'!$N$66*(8^2)+'LINEST VARS'!$M$66*($EK$104^2)+'LINEST VARS'!$L$66*(0.5^2)+'LINEST VARS'!$K$66*($DV111^2)+'LINEST VARS'!$J$66*(8*8)+'LINEST VARS'!$I$66*(8*$EK$104)+'LINEST VARS'!$H$66*(8*0.5)+'LINEST VARS'!$G$66*(8*$DV111)+'LINEST VARS'!$F$66*(8*$EK$104)+'LINEST VARS'!$E$66*(8*0.5)+'LINEST VARS'!$D$66*(8*$DV111)+'LINEST VARS'!$C$66*($EK$104*0.5)+'LINEST VARS'!$B$66*($EK$104*$DV111)+'LINEST VARS'!$A$66*(0.5*$DV111)</f>
        <v>132.80000000000001</v>
      </c>
      <c r="EL111" s="46">
        <f>'LINEST VARS'!$U$66+'LINEST VARS'!$T$66*(8)+'LINEST VARS'!$S$66*(8)+'LINEST VARS'!$R$66*($EL$104)+'LINEST VARS'!$Q$66*(0.5)+'LINEST VARS'!$P$66*($DV111)+'LINEST VARS'!$O$66*(8^2)+'LINEST VARS'!$N$66*(8^2)+'LINEST VARS'!$M$66*($EL$104^2)+'LINEST VARS'!$L$66*(0.5^2)+'LINEST VARS'!$K$66*($DV111^2)+'LINEST VARS'!$J$66*(8*8)+'LINEST VARS'!$I$66*(8*$EL$104)+'LINEST VARS'!$H$66*(8*0.5)+'LINEST VARS'!$G$66*(8*$DV111)+'LINEST VARS'!$F$66*(8*$EL$104)+'LINEST VARS'!$E$66*(8*0.5)+'LINEST VARS'!$D$66*(8*$DV111)+'LINEST VARS'!$C$66*($EL$104*0.5)+'LINEST VARS'!$B$66*($EL$104*$DV111)+'LINEST VARS'!$A$66*(0.5*$DV111)</f>
        <v>132.00000000000003</v>
      </c>
      <c r="EM111" s="46">
        <f>'LINEST VARS'!$U$66+'LINEST VARS'!$T$66*(8)+'LINEST VARS'!$S$66*(8)+'LINEST VARS'!$R$66*($EM$104)+'LINEST VARS'!$Q$66*(0.5)+'LINEST VARS'!$P$66*($DV111)+'LINEST VARS'!$O$66*(8^2)+'LINEST VARS'!$N$66*(8^2)+'LINEST VARS'!$M$66*($EM$104^2)+'LINEST VARS'!$L$66*(0.5^2)+'LINEST VARS'!$K$66*($DV111^2)+'LINEST VARS'!$J$66*(8*8)+'LINEST VARS'!$I$66*(8*$EM$104)+'LINEST VARS'!$H$66*(8*0.5)+'LINEST VARS'!$G$66*(8*$DV111)+'LINEST VARS'!$F$66*(8*$EM$104)+'LINEST VARS'!$E$66*(8*0.5)+'LINEST VARS'!$D$66*(8*$DV111)+'LINEST VARS'!$C$66*($EM$104*0.5)+'LINEST VARS'!$B$66*($EM$104*$DV111)+'LINEST VARS'!$A$66*(0.5*$DV111)</f>
        <v>131.20000000000002</v>
      </c>
      <c r="EN111" s="46">
        <f>'LINEST VARS'!$U$66+'LINEST VARS'!$T$66*(8)+'LINEST VARS'!$S$66*(8)+'LINEST VARS'!$R$66*($EN$104)+'LINEST VARS'!$Q$66*(0.5)+'LINEST VARS'!$P$66*($DV111)+'LINEST VARS'!$O$66*(8^2)+'LINEST VARS'!$N$66*(8^2)+'LINEST VARS'!$M$66*($EN$104^2)+'LINEST VARS'!$L$66*(0.5^2)+'LINEST VARS'!$K$66*($DV111^2)+'LINEST VARS'!$J$66*(8*8)+'LINEST VARS'!$I$66*(8*$EN$104)+'LINEST VARS'!$H$66*(8*0.5)+'LINEST VARS'!$G$66*(8*$DV111)+'LINEST VARS'!$F$66*(8*$EN$104)+'LINEST VARS'!$E$66*(8*0.5)+'LINEST VARS'!$D$66*(8*$DV111)+'LINEST VARS'!$C$66*($EN$104*0.5)+'LINEST VARS'!$B$66*($EN$104*$DV111)+'LINEST VARS'!$A$66*(0.5*$DV111)</f>
        <v>130.40000000000006</v>
      </c>
      <c r="EO111" s="46">
        <f>'LINEST VARS'!$U$66+'LINEST VARS'!$T$66*(8)+'LINEST VARS'!$S$66*(8)+'LINEST VARS'!$R$66*($EO$104)+'LINEST VARS'!$Q$66*(0.5)+'LINEST VARS'!$P$66*($DV111)+'LINEST VARS'!$O$66*(8^2)+'LINEST VARS'!$N$66*(8^2)+'LINEST VARS'!$M$66*($EO$104^2)+'LINEST VARS'!$L$66*(0.5^2)+'LINEST VARS'!$K$66*($DV111^2)+'LINEST VARS'!$J$66*(8*8)+'LINEST VARS'!$I$66*(8*$EO$104)+'LINEST VARS'!$H$66*(8*0.5)+'LINEST VARS'!$G$66*(8*$DV111)+'LINEST VARS'!$F$66*(8*$EO$104)+'LINEST VARS'!$E$66*(8*0.5)+'LINEST VARS'!$D$66*(8*$DV111)+'LINEST VARS'!$C$66*($EO$104*0.5)+'LINEST VARS'!$B$66*($EO$104*$DV111)+'LINEST VARS'!$A$66*(0.5*$DV111)</f>
        <v>129.60000000000005</v>
      </c>
      <c r="EP111" s="46">
        <f>'LINEST VARS'!$U$66+'LINEST VARS'!$T$66*(8)+'LINEST VARS'!$S$66*(8)+'LINEST VARS'!$R$66*($EP$104)+'LINEST VARS'!$Q$66*(0.5)+'LINEST VARS'!$P$66*($DV111)+'LINEST VARS'!$O$66*(8^2)+'LINEST VARS'!$N$66*(8^2)+'LINEST VARS'!$M$66*($EP$104^2)+'LINEST VARS'!$L$66*(0.5^2)+'LINEST VARS'!$K$66*($DV111^2)+'LINEST VARS'!$J$66*(8*8)+'LINEST VARS'!$I$66*(8*$EP$104)+'LINEST VARS'!$H$66*(8*0.5)+'LINEST VARS'!$G$66*(8*$DV111)+'LINEST VARS'!$F$66*(8*$EP$104)+'LINEST VARS'!$E$66*(8*0.5)+'LINEST VARS'!$D$66*(8*$DV111)+'LINEST VARS'!$C$66*($EP$104*0.5)+'LINEST VARS'!$B$66*($EP$104*$DV111)+'LINEST VARS'!$A$66*(0.5*$DV111)</f>
        <v>128.80000000000007</v>
      </c>
      <c r="EQ111" s="47">
        <f>'LINEST VARS'!$U$66+'LINEST VARS'!$T$66*(8)+'LINEST VARS'!$S$66*(8)+'LINEST VARS'!$R$66*($EQ$104)+'LINEST VARS'!$Q$66*(0.5)+'LINEST VARS'!$P$66*($DV111)+'LINEST VARS'!$O$66*(8^2)+'LINEST VARS'!$N$66*(8^2)+'LINEST VARS'!$M$66*($EQ$104^2)+'LINEST VARS'!$L$66*(0.5^2)+'LINEST VARS'!$K$66*($DV111^2)+'LINEST VARS'!$J$66*(8*8)+'LINEST VARS'!$I$66*(8*$EQ$104)+'LINEST VARS'!$H$66*(8*0.5)+'LINEST VARS'!$G$66*(8*$DV111)+'LINEST VARS'!$F$66*(8*$EQ$104)+'LINEST VARS'!$E$66*(8*0.5)+'LINEST VARS'!$D$66*(8*$DV111)+'LINEST VARS'!$C$66*($EQ$104*0.5)+'LINEST VARS'!$B$66*($EQ$104*$DV111)+'LINEST VARS'!$A$66*(0.5*$DV111)</f>
        <v>128.00000000000003</v>
      </c>
    </row>
    <row r="112" spans="2:147" ht="15" customHeight="1" x14ac:dyDescent="0.25">
      <c r="B112" s="45">
        <v>7.82</v>
      </c>
      <c r="C112" s="55">
        <f>'LINEST VARS'!$U$64+'LINEST VARS'!$T$64*($C$104)+'LINEST VARS'!$S$64*($B112)+'LINEST VARS'!$R$64*(4)+'LINEST VARS'!$Q$64*(0.5)+'LINEST VARS'!$P$64*(12.73)+'LINEST VARS'!$O$64*($C$104^2)+'LINEST VARS'!$N$64*($B112^2)+'LINEST VARS'!$M$64*(4^2)+'LINEST VARS'!$L$64*(0.5^2)+'LINEST VARS'!$K$64*(12.73^2)+'LINEST VARS'!$J$64*($C$104*$B112)+'LINEST VARS'!$I$64*($C$104*4)+'LINEST VARS'!$H$64*($C$104*0.5)+'LINEST VARS'!$G$64*($C$104*12.73)+'LINEST VARS'!$F$64*($B112*4)+'LINEST VARS'!$E$64*($B112*0.5)+'LINEST VARS'!$D$64*($B112*12.73)+'LINEST VARS'!$C$64*(4*0.5)+'LINEST VARS'!$B$64*(4*12.73)+'LINEST VARS'!$A$64*(0.5*12.73)</f>
        <v>164.18999999999988</v>
      </c>
      <c r="D112" s="55">
        <f>'LINEST VARS'!$U$64+'LINEST VARS'!$T$64*($D$104)+'LINEST VARS'!$S$64*($B112)+'LINEST VARS'!$R$64*(4)+'LINEST VARS'!$Q$64*(0.5)+'LINEST VARS'!$P$64*(12.73)+'LINEST VARS'!$O$64*($D$104^2)+'LINEST VARS'!$N$64*($B112^2)+'LINEST VARS'!$M$64*(4^2)+'LINEST VARS'!$L$64*(0.5^2)+'LINEST VARS'!$K$64*(12.73^2)+'LINEST VARS'!$J$64*($D$104*$B112)+'LINEST VARS'!$I$64*($D$104*4)+'LINEST VARS'!$H$64*($D$104*0.5)+'LINEST VARS'!$G$64*($D$104*12.73)+'LINEST VARS'!$F$64*($B112*4)+'LINEST VARS'!$E$64*($B112*0.5)+'LINEST VARS'!$D$64*($B112*12.73)+'LINEST VARS'!$C$64*(4*0.5)+'LINEST VARS'!$B$64*(4*12.73)+'LINEST VARS'!$A$64*(0.5*12.73)</f>
        <v>164.18999999999988</v>
      </c>
      <c r="E112" s="55">
        <f>'LINEST VARS'!$U$64+'LINEST VARS'!$T$64*($E$104)+'LINEST VARS'!$S$64*($B112)+'LINEST VARS'!$R$64*(4)+'LINEST VARS'!$Q$64*(0.5)+'LINEST VARS'!$P$64*(12.73)+'LINEST VARS'!$O$64*($E$104^2)+'LINEST VARS'!$N$64*($B112^2)+'LINEST VARS'!$M$64*(4^2)+'LINEST VARS'!$L$64*(0.5^2)+'LINEST VARS'!$K$64*(12.73^2)+'LINEST VARS'!$J$64*($E$104*$B112)+'LINEST VARS'!$I$64*($E$104*4)+'LINEST VARS'!$H$64*($E$104*0.5)+'LINEST VARS'!$G$64*($E$104*12.73)+'LINEST VARS'!$F$64*($B112*4)+'LINEST VARS'!$E$64*($B112*0.5)+'LINEST VARS'!$D$64*($B112*12.73)+'LINEST VARS'!$C$64*(4*0.5)+'LINEST VARS'!$B$64*(4*12.73)+'LINEST VARS'!$A$64*(0.5*12.73)</f>
        <v>164.18999999999988</v>
      </c>
      <c r="F112" s="55">
        <f>'LINEST VARS'!$U$64+'LINEST VARS'!$T$64*($F$104)+'LINEST VARS'!$S$64*($B112)+'LINEST VARS'!$R$64*(4)+'LINEST VARS'!$Q$64*(0.5)+'LINEST VARS'!$P$64*(12.73)+'LINEST VARS'!$O$64*($F$104^2)+'LINEST VARS'!$N$64*($B112^2)+'LINEST VARS'!$M$64*(4^2)+'LINEST VARS'!$L$64*(0.5^2)+'LINEST VARS'!$K$64*(12.73^2)+'LINEST VARS'!$J$64*($F$104*$B112)+'LINEST VARS'!$I$64*($F$104*4)+'LINEST VARS'!$H$64*($F$104*0.5)+'LINEST VARS'!$G$64*($F$104*12.73)+'LINEST VARS'!$F$64*($B112*4)+'LINEST VARS'!$E$64*($B112*0.5)+'LINEST VARS'!$D$64*($B112*12.73)+'LINEST VARS'!$C$64*(4*0.5)+'LINEST VARS'!$B$64*(4*12.73)+'LINEST VARS'!$A$64*(0.5*12.73)</f>
        <v>164.18999999999988</v>
      </c>
      <c r="G112" s="55">
        <f>'LINEST VARS'!$U$64+'LINEST VARS'!$T$64*($G$104)+'LINEST VARS'!$S$64*($B112)+'LINEST VARS'!$R$64*(4)+'LINEST VARS'!$Q$64*(0.5)+'LINEST VARS'!$P$64*(12.73)+'LINEST VARS'!$O$64*($G$104^2)+'LINEST VARS'!$N$64*($B112^2)+'LINEST VARS'!$M$64*(4^2)+'LINEST VARS'!$L$64*(0.5^2)+'LINEST VARS'!$K$64*(12.73^2)+'LINEST VARS'!$J$64*($G$104*$B112)+'LINEST VARS'!$I$64*($G$104*4)+'LINEST VARS'!$H$64*($G$104*0.5)+'LINEST VARS'!$G$64*($G$104*12.73)+'LINEST VARS'!$F$64*($B112*4)+'LINEST VARS'!$E$64*($B112*0.5)+'LINEST VARS'!$D$64*($B112*12.73)+'LINEST VARS'!$C$64*(4*0.5)+'LINEST VARS'!$B$64*(4*12.73)+'LINEST VARS'!$A$64*(0.5*12.73)</f>
        <v>164.18999999999991</v>
      </c>
      <c r="H112" s="55">
        <f>'LINEST VARS'!$U$64+'LINEST VARS'!$T$64*($H$104)+'LINEST VARS'!$S$64*($B112)+'LINEST VARS'!$R$64*(4)+'LINEST VARS'!$Q$64*(0.5)+'LINEST VARS'!$P$64*(12.73)+'LINEST VARS'!$O$64*($H$104^2)+'LINEST VARS'!$N$64*($B112^2)+'LINEST VARS'!$M$64*(4^2)+'LINEST VARS'!$L$64*(0.5^2)+'LINEST VARS'!$K$64*(12.73^2)+'LINEST VARS'!$J$64*($H$104*$B112)+'LINEST VARS'!$I$64*($H$104*4)+'LINEST VARS'!$H$64*($H$104*0.5)+'LINEST VARS'!$G$64*($H$104*12.73)+'LINEST VARS'!$F$64*($B112*4)+'LINEST VARS'!$E$64*($B112*0.5)+'LINEST VARS'!$D$64*($B112*12.73)+'LINEST VARS'!$C$64*(4*0.5)+'LINEST VARS'!$B$64*(4*12.73)+'LINEST VARS'!$A$64*(0.5*12.73)</f>
        <v>164.18999999999991</v>
      </c>
      <c r="I112" s="55">
        <f>'LINEST VARS'!$U$64+'LINEST VARS'!$T$64*($I$104)+'LINEST VARS'!$S$64*($B112)+'LINEST VARS'!$R$64*(4)+'LINEST VARS'!$Q$64*(0.5)+'LINEST VARS'!$P$64*(12.73)+'LINEST VARS'!$O$64*($I$104^2)+'LINEST VARS'!$N$64*($B112^2)+'LINEST VARS'!$M$64*(4^2)+'LINEST VARS'!$L$64*(0.5^2)+'LINEST VARS'!$K$64*(12.73^2)+'LINEST VARS'!$J$64*($I$104*$B112)+'LINEST VARS'!$I$64*($I$104*4)+'LINEST VARS'!$H$64*($I$104*0.5)+'LINEST VARS'!$G$64*($I$104*12.73)+'LINEST VARS'!$F$64*($B112*4)+'LINEST VARS'!$E$64*($B112*0.5)+'LINEST VARS'!$D$64*($B112*12.73)+'LINEST VARS'!$C$64*(4*0.5)+'LINEST VARS'!$B$64*(4*12.73)+'LINEST VARS'!$A$64*(0.5*12.73)</f>
        <v>164.18999999999991</v>
      </c>
      <c r="J112" s="55">
        <f>'LINEST VARS'!$U$64+'LINEST VARS'!$T$64*($J$104)+'LINEST VARS'!$S$64*($B112)+'LINEST VARS'!$R$64*(4)+'LINEST VARS'!$Q$64*(0.5)+'LINEST VARS'!$P$64*(12.73)+'LINEST VARS'!$O$64*($J$104^2)+'LINEST VARS'!$N$64*($B112^2)+'LINEST VARS'!$M$64*(4^2)+'LINEST VARS'!$L$64*(0.5^2)+'LINEST VARS'!$K$64*(12.73^2)+'LINEST VARS'!$J$64*($J$104*$B112)+'LINEST VARS'!$I$64*($J$104*4)+'LINEST VARS'!$H$64*($J$104*0.5)+'LINEST VARS'!$G$64*($J$104*12.73)+'LINEST VARS'!$F$64*($B112*4)+'LINEST VARS'!$E$64*($B112*0.5)+'LINEST VARS'!$D$64*($B112*12.73)+'LINEST VARS'!$C$64*(4*0.5)+'LINEST VARS'!$B$64*(4*12.73)+'LINEST VARS'!$A$64*(0.5*12.73)</f>
        <v>164.18999999999991</v>
      </c>
      <c r="K112" s="55">
        <f>'LINEST VARS'!$U$64+'LINEST VARS'!$T$64*($K$104)+'LINEST VARS'!$S$64*($B112)+'LINEST VARS'!$R$64*(4)+'LINEST VARS'!$Q$64*(0.5)+'LINEST VARS'!$P$64*(12.73)+'LINEST VARS'!$O$64*($K$104^2)+'LINEST VARS'!$N$64*($B112^2)+'LINEST VARS'!$M$64*(4^2)+'LINEST VARS'!$L$64*(0.5^2)+'LINEST VARS'!$K$64*(12.73^2)+'LINEST VARS'!$J$64*($K$104*$B112)+'LINEST VARS'!$I$64*($K$104*4)+'LINEST VARS'!$H$64*($K$104*0.5)+'LINEST VARS'!$G$64*($K$104*12.73)+'LINEST VARS'!$F$64*($B112*4)+'LINEST VARS'!$E$64*($B112*0.5)+'LINEST VARS'!$D$64*($B112*12.73)+'LINEST VARS'!$C$64*(4*0.5)+'LINEST VARS'!$B$64*(4*12.73)+'LINEST VARS'!$A$64*(0.5*12.73)</f>
        <v>164.18999999999991</v>
      </c>
      <c r="L112" s="55">
        <f>'LINEST VARS'!$U$64+'LINEST VARS'!$T$64*($L$104)+'LINEST VARS'!$S$64*($B112)+'LINEST VARS'!$R$64*(4)+'LINEST VARS'!$Q$64*(0.5)+'LINEST VARS'!$P$64*(12.73)+'LINEST VARS'!$O$64*($L$104^2)+'LINEST VARS'!$N$64*($B112^2)+'LINEST VARS'!$M$64*(4^2)+'LINEST VARS'!$L$64*(0.5^2)+'LINEST VARS'!$K$64*(12.73^2)+'LINEST VARS'!$J$64*($L$104*$B112)+'LINEST VARS'!$I$64*($L$104*4)+'LINEST VARS'!$H$64*($L$104*0.5)+'LINEST VARS'!$G$64*($L$104*12.73)+'LINEST VARS'!$F$64*($B112*4)+'LINEST VARS'!$E$64*($B112*0.5)+'LINEST VARS'!$D$64*($B112*12.73)+'LINEST VARS'!$C$64*(4*0.5)+'LINEST VARS'!$B$64*(4*12.73)+'LINEST VARS'!$A$64*(0.5*12.73)</f>
        <v>164.18999999999991</v>
      </c>
      <c r="M112" s="55">
        <f>'LINEST VARS'!$U$64+'LINEST VARS'!$T$64*($M$104)+'LINEST VARS'!$S$64*($B112)+'LINEST VARS'!$R$64*(4)+'LINEST VARS'!$Q$64*(0.5)+'LINEST VARS'!$P$64*(12.73)+'LINEST VARS'!$O$64*($M$104^2)+'LINEST VARS'!$N$64*($B112^2)+'LINEST VARS'!$M$64*(4^2)+'LINEST VARS'!$L$64*(0.5^2)+'LINEST VARS'!$K$64*(12.73^2)+'LINEST VARS'!$J$64*($M$104*$B112)+'LINEST VARS'!$I$64*($M$104*4)+'LINEST VARS'!$H$64*($M$104*0.5)+'LINEST VARS'!$G$64*($M$104*12.73)+'LINEST VARS'!$F$64*($B112*4)+'LINEST VARS'!$E$64*($B112*0.5)+'LINEST VARS'!$D$64*($B112*12.73)+'LINEST VARS'!$C$64*(4*0.5)+'LINEST VARS'!$B$64*(4*12.73)+'LINEST VARS'!$A$64*(0.5*12.73)</f>
        <v>164.18999999999991</v>
      </c>
      <c r="N112" s="55">
        <f>'LINEST VARS'!$U$64+'LINEST VARS'!$T$64*($N$104)+'LINEST VARS'!$S$64*($B112)+'LINEST VARS'!$R$64*(4)+'LINEST VARS'!$Q$64*(0.5)+'LINEST VARS'!$P$64*(12.73)+'LINEST VARS'!$O$64*($N$104^2)+'LINEST VARS'!$N$64*($B112^2)+'LINEST VARS'!$M$64*(4^2)+'LINEST VARS'!$L$64*(0.5^2)+'LINEST VARS'!$K$64*(12.73^2)+'LINEST VARS'!$J$64*($N$104*$B112)+'LINEST VARS'!$I$64*($N$104*4)+'LINEST VARS'!$H$64*($N$104*0.5)+'LINEST VARS'!$G$64*($N$104*12.73)+'LINEST VARS'!$F$64*($B112*4)+'LINEST VARS'!$E$64*($B112*0.5)+'LINEST VARS'!$D$64*($B112*12.73)+'LINEST VARS'!$C$64*(4*0.5)+'LINEST VARS'!$B$64*(4*12.73)+'LINEST VARS'!$A$64*(0.5*12.73)</f>
        <v>164.18999999999991</v>
      </c>
      <c r="O112" s="55">
        <f>'LINEST VARS'!$U$64+'LINEST VARS'!$T$64*($O$104)+'LINEST VARS'!$S$64*($B112)+'LINEST VARS'!$R$64*(4)+'LINEST VARS'!$Q$64*(0.5)+'LINEST VARS'!$P$64*(12.73)+'LINEST VARS'!$O$64*($O$104^2)+'LINEST VARS'!$N$64*($B112^2)+'LINEST VARS'!$M$64*(4^2)+'LINEST VARS'!$L$64*(0.5^2)+'LINEST VARS'!$K$64*(12.73^2)+'LINEST VARS'!$J$64*($O$104*$B112)+'LINEST VARS'!$I$64*($O$104*4)+'LINEST VARS'!$H$64*($O$104*0.5)+'LINEST VARS'!$G$64*($O$104*12.73)+'LINEST VARS'!$F$64*($B112*4)+'LINEST VARS'!$E$64*($B112*0.5)+'LINEST VARS'!$D$64*($B112*12.73)+'LINEST VARS'!$C$64*(4*0.5)+'LINEST VARS'!$B$64*(4*12.73)+'LINEST VARS'!$A$64*(0.5*12.73)</f>
        <v>164.18999999999991</v>
      </c>
      <c r="P112" s="55">
        <f>'LINEST VARS'!$U$64+'LINEST VARS'!$T$64*($P$104)+'LINEST VARS'!$S$64*($B112)+'LINEST VARS'!$R$64*(4)+'LINEST VARS'!$Q$64*(0.5)+'LINEST VARS'!$P$64*(12.73)+'LINEST VARS'!$O$64*($P$104^2)+'LINEST VARS'!$N$64*($B112^2)+'LINEST VARS'!$M$64*(4^2)+'LINEST VARS'!$L$64*(0.5^2)+'LINEST VARS'!$K$64*(12.73^2)+'LINEST VARS'!$J$64*($P$104*$B112)+'LINEST VARS'!$I$64*($P$104*4)+'LINEST VARS'!$H$64*($P$104*0.5)+'LINEST VARS'!$G$64*($P$104*12.73)+'LINEST VARS'!$F$64*($B112*4)+'LINEST VARS'!$E$64*($B112*0.5)+'LINEST VARS'!$D$64*($B112*12.73)+'LINEST VARS'!$C$64*(4*0.5)+'LINEST VARS'!$B$64*(4*12.73)+'LINEST VARS'!$A$64*(0.5*12.73)</f>
        <v>164.18999999999994</v>
      </c>
      <c r="Q112" s="55">
        <f>'LINEST VARS'!$U$64+'LINEST VARS'!$T$64*($Q$104)+'LINEST VARS'!$S$64*($B112)+'LINEST VARS'!$R$64*(4)+'LINEST VARS'!$Q$64*(0.5)+'LINEST VARS'!$P$64*(12.73)+'LINEST VARS'!$O$64*($Q$104^2)+'LINEST VARS'!$N$64*($B112^2)+'LINEST VARS'!$M$64*(4^2)+'LINEST VARS'!$L$64*(0.5^2)+'LINEST VARS'!$K$64*(12.73^2)+'LINEST VARS'!$J$64*($Q$104*$B112)+'LINEST VARS'!$I$64*($Q$104*4)+'LINEST VARS'!$H$64*($Q$104*0.5)+'LINEST VARS'!$G$64*($Q$104*12.73)+'LINEST VARS'!$F$64*($B112*4)+'LINEST VARS'!$E$64*($B112*0.5)+'LINEST VARS'!$D$64*($B112*12.73)+'LINEST VARS'!$C$64*(4*0.5)+'LINEST VARS'!$B$64*(4*12.73)+'LINEST VARS'!$A$64*(0.5*12.73)</f>
        <v>164.18999999999994</v>
      </c>
      <c r="R112" s="55">
        <f>'LINEST VARS'!$U$64+'LINEST VARS'!$T$64*($R$104)+'LINEST VARS'!$S$64*($B112)+'LINEST VARS'!$R$64*(4)+'LINEST VARS'!$Q$64*(0.5)+'LINEST VARS'!$P$64*(12.73)+'LINEST VARS'!$O$64*($R$104^2)+'LINEST VARS'!$N$64*($B112^2)+'LINEST VARS'!$M$64*(4^2)+'LINEST VARS'!$L$64*(0.5^2)+'LINEST VARS'!$K$64*(12.73^2)+'LINEST VARS'!$J$64*($R$104*$B112)+'LINEST VARS'!$I$64*($R$104*4)+'LINEST VARS'!$H$64*($R$104*0.5)+'LINEST VARS'!$G$64*($R$104*12.73)+'LINEST VARS'!$F$64*($B112*4)+'LINEST VARS'!$E$64*($B112*0.5)+'LINEST VARS'!$D$64*($B112*12.73)+'LINEST VARS'!$C$64*(4*0.5)+'LINEST VARS'!$B$64*(4*12.73)+'LINEST VARS'!$A$64*(0.5*12.73)</f>
        <v>164.18999999999994</v>
      </c>
      <c r="S112" s="55">
        <f>'LINEST VARS'!$U$64+'LINEST VARS'!$T$64*($S$104)+'LINEST VARS'!$S$64*($B112)+'LINEST VARS'!$R$64*(4)+'LINEST VARS'!$Q$64*(0.5)+'LINEST VARS'!$P$64*(12.73)+'LINEST VARS'!$O$64*($S$104^2)+'LINEST VARS'!$N$64*($B112^2)+'LINEST VARS'!$M$64*(4^2)+'LINEST VARS'!$L$64*(0.5^2)+'LINEST VARS'!$K$64*(12.73^2)+'LINEST VARS'!$J$64*($S$104*$B112)+'LINEST VARS'!$I$64*($S$104*4)+'LINEST VARS'!$H$64*($S$104*0.5)+'LINEST VARS'!$G$64*($S$104*12.73)+'LINEST VARS'!$F$64*($B112*4)+'LINEST VARS'!$E$64*($B112*0.5)+'LINEST VARS'!$D$64*($B112*12.73)+'LINEST VARS'!$C$64*(4*0.5)+'LINEST VARS'!$B$64*(4*12.73)+'LINEST VARS'!$A$64*(0.5*12.73)</f>
        <v>164.18999999999994</v>
      </c>
      <c r="T112" s="55">
        <f>'LINEST VARS'!$U$64+'LINEST VARS'!$T$64*($T$104)+'LINEST VARS'!$S$64*($B112)+'LINEST VARS'!$R$64*(4)+'LINEST VARS'!$Q$64*(0.5)+'LINEST VARS'!$P$64*(12.73)+'LINEST VARS'!$O$64*($T$104^2)+'LINEST VARS'!$N$64*($B112^2)+'LINEST VARS'!$M$64*(4^2)+'LINEST VARS'!$L$64*(0.5^2)+'LINEST VARS'!$K$64*(12.73^2)+'LINEST VARS'!$J$64*($T$104*$B112)+'LINEST VARS'!$I$64*($T$104*4)+'LINEST VARS'!$H$64*($T$104*0.5)+'LINEST VARS'!$G$64*($T$104*12.73)+'LINEST VARS'!$F$64*($B112*4)+'LINEST VARS'!$E$64*($B112*0.5)+'LINEST VARS'!$D$64*($B112*12.73)+'LINEST VARS'!$C$64*(4*0.5)+'LINEST VARS'!$B$64*(4*12.73)+'LINEST VARS'!$A$64*(0.5*12.73)</f>
        <v>164.18999999999991</v>
      </c>
      <c r="U112" s="55">
        <f>'LINEST VARS'!$U$64+'LINEST VARS'!$T$64*($U$104)+'LINEST VARS'!$S$64*($B112)+'LINEST VARS'!$R$64*(4)+'LINEST VARS'!$Q$64*(0.5)+'LINEST VARS'!$P$64*(12.73)+'LINEST VARS'!$O$64*($U$104^2)+'LINEST VARS'!$N$64*($B112^2)+'LINEST VARS'!$M$64*(4^2)+'LINEST VARS'!$L$64*(0.5^2)+'LINEST VARS'!$K$64*(12.73^2)+'LINEST VARS'!$J$64*($U$104*$B112)+'LINEST VARS'!$I$64*($U$104*4)+'LINEST VARS'!$H$64*($U$104*0.5)+'LINEST VARS'!$G$64*($U$104*12.73)+'LINEST VARS'!$F$64*($B112*4)+'LINEST VARS'!$E$64*($B112*0.5)+'LINEST VARS'!$D$64*($B112*12.73)+'LINEST VARS'!$C$64*(4*0.5)+'LINEST VARS'!$B$64*(4*12.73)+'LINEST VARS'!$A$64*(0.5*12.73)</f>
        <v>164.18999999999991</v>
      </c>
      <c r="V112" s="55">
        <f>'LINEST VARS'!$U$64+'LINEST VARS'!$T$64*($V$104)+'LINEST VARS'!$S$64*($B112)+'LINEST VARS'!$R$64*(4)+'LINEST VARS'!$Q$64*(0.5)+'LINEST VARS'!$P$64*(12.73)+'LINEST VARS'!$O$64*($V$104^2)+'LINEST VARS'!$N$64*($B112^2)+'LINEST VARS'!$M$64*(4^2)+'LINEST VARS'!$L$64*(0.5^2)+'LINEST VARS'!$K$64*(12.73^2)+'LINEST VARS'!$J$64*($V$104*$B112)+'LINEST VARS'!$I$64*($V$104*4)+'LINEST VARS'!$H$64*($V$104*0.5)+'LINEST VARS'!$G$64*($V$104*12.73)+'LINEST VARS'!$F$64*($B112*4)+'LINEST VARS'!$E$64*($B112*0.5)+'LINEST VARS'!$D$64*($B112*12.73)+'LINEST VARS'!$C$64*(4*0.5)+'LINEST VARS'!$B$64*(4*12.73)+'LINEST VARS'!$A$64*(0.5*12.73)</f>
        <v>164.18999999999991</v>
      </c>
      <c r="W112" s="56">
        <f>'LINEST VARS'!$U$64+'LINEST VARS'!$T$64*($W$104)+'LINEST VARS'!$S$64*($B112)+'LINEST VARS'!$R$64*(4)+'LINEST VARS'!$Q$64*(0.5)+'LINEST VARS'!$P$64*(12.73)+'LINEST VARS'!$O$64*($W$104^2)+'LINEST VARS'!$N$64*($B112^2)+'LINEST VARS'!$M$64*(4^2)+'LINEST VARS'!$L$64*(0.5^2)+'LINEST VARS'!$K$64*(12.73^2)+'LINEST VARS'!$J$64*($W$104*$B112)+'LINEST VARS'!$I$64*($W$104*4)+'LINEST VARS'!$H$64*($W$104*0.5)+'LINEST VARS'!$G$64*($W$104*12.73)+'LINEST VARS'!$F$64*($B112*4)+'LINEST VARS'!$E$64*($B112*0.5)+'LINEST VARS'!$D$64*($B112*12.73)+'LINEST VARS'!$C$64*(4*0.5)+'LINEST VARS'!$B$64*(4*12.73)+'LINEST VARS'!$A$64*(0.5*12.73)</f>
        <v>164.18999999999991</v>
      </c>
      <c r="Z112" s="45">
        <v>7.82</v>
      </c>
      <c r="AA112" s="46">
        <f>'LINEST VARS'!$U$66+'LINEST VARS'!$T$66*($AA$104)+'LINEST VARS'!$S$66*($Z112)+'LINEST VARS'!$R$66*(4)+'LINEST VARS'!$Q$66*(0.5)+'LINEST VARS'!$P$66*(12.73)+'LINEST VARS'!$O$66*($AA$104^2)+'LINEST VARS'!$N$66*($Z112^2)+'LINEST VARS'!$M$66*(4^2)+'LINEST VARS'!$L$66*(0.5^2)+'LINEST VARS'!$K$66*(12.73^2)+'LINEST VARS'!$J$66*($AA$104*$Z112)+'LINEST VARS'!$I$66*($AA$104*4)+'LINEST VARS'!$H$66*($AA$104*0.5)+'LINEST VARS'!$G$66*($AA$104*12.73)+'LINEST VARS'!$F$66*($Z112*4)+'LINEST VARS'!$E$66*($Z112*0.5)+'LINEST VARS'!$D$66*($Z112*12.73)+'LINEST VARS'!$C$66*(4*0.5)+'LINEST VARS'!$B$66*(4*12.73)+'LINEST VARS'!$A$66*(0.5*12.73)</f>
        <v>134.20000000000005</v>
      </c>
      <c r="AB112" s="46">
        <f>'LINEST VARS'!$U$66+'LINEST VARS'!$T$66*($AB$104)+'LINEST VARS'!$S$66*($Z112)+'LINEST VARS'!$R$66*(4)+'LINEST VARS'!$Q$66*(0.5)+'LINEST VARS'!$P$66*(12.73)+'LINEST VARS'!$O$66*($AB$104^2)+'LINEST VARS'!$N$66*($Z112^2)+'LINEST VARS'!$M$66*(4^2)+'LINEST VARS'!$L$66*(0.5^2)+'LINEST VARS'!$K$66*(12.73^2)+'LINEST VARS'!$J$66*($AB$104*$Z112)+'LINEST VARS'!$I$66*($AB$104*4)+'LINEST VARS'!$H$66*($AB$104*0.5)+'LINEST VARS'!$G$66*($AB$104*12.73)+'LINEST VARS'!$F$66*($Z112*4)+'LINEST VARS'!$E$66*($Z112*0.5)+'LINEST VARS'!$D$66*($Z112*12.73)+'LINEST VARS'!$C$66*(4*0.5)+'LINEST VARS'!$B$66*(4*12.73)+'LINEST VARS'!$A$66*(0.5*12.73)</f>
        <v>134.38000000000005</v>
      </c>
      <c r="AC112" s="46">
        <f>'LINEST VARS'!$U$66+'LINEST VARS'!$T$66*($AC$104)+'LINEST VARS'!$S$66*($Z112)+'LINEST VARS'!$R$66*(4)+'LINEST VARS'!$Q$66*(0.5)+'LINEST VARS'!$P$66*(12.73)+'LINEST VARS'!$O$66*($AC$104^2)+'LINEST VARS'!$N$66*($Z112^2)+'LINEST VARS'!$M$66*(4^2)+'LINEST VARS'!$L$66*(0.5^2)+'LINEST VARS'!$K$66*(12.73^2)+'LINEST VARS'!$J$66*($AC$104*$Z112)+'LINEST VARS'!$I$66*($AC$104*4)+'LINEST VARS'!$H$66*($AC$104*0.5)+'LINEST VARS'!$G$66*($AC$104*12.73)+'LINEST VARS'!$F$66*($Z112*4)+'LINEST VARS'!$E$66*($Z112*0.5)+'LINEST VARS'!$D$66*($Z112*12.73)+'LINEST VARS'!$C$66*(4*0.5)+'LINEST VARS'!$B$66*(4*12.73)+'LINEST VARS'!$A$66*(0.5*12.73)</f>
        <v>134.56000000000003</v>
      </c>
      <c r="AD112" s="46">
        <f>'LINEST VARS'!$U$66+'LINEST VARS'!$T$66*($AD$104)+'LINEST VARS'!$S$66*($Z112)+'LINEST VARS'!$R$66*(4)+'LINEST VARS'!$Q$66*(0.5)+'LINEST VARS'!$P$66*(12.73)+'LINEST VARS'!$O$66*($AD$104^2)+'LINEST VARS'!$N$66*($Z112^2)+'LINEST VARS'!$M$66*(4^2)+'LINEST VARS'!$L$66*(0.5^2)+'LINEST VARS'!$K$66*(12.73^2)+'LINEST VARS'!$J$66*($AD$104*$Z112)+'LINEST VARS'!$I$66*($AD$104*4)+'LINEST VARS'!$H$66*($AD$104*0.5)+'LINEST VARS'!$G$66*($AD$104*12.73)+'LINEST VARS'!$F$66*($Z112*4)+'LINEST VARS'!$E$66*($Z112*0.5)+'LINEST VARS'!$D$66*($Z112*12.73)+'LINEST VARS'!$C$66*(4*0.5)+'LINEST VARS'!$B$66*(4*12.73)+'LINEST VARS'!$A$66*(0.5*12.73)</f>
        <v>134.74000000000004</v>
      </c>
      <c r="AE112" s="46">
        <f>'LINEST VARS'!$U$66+'LINEST VARS'!$T$66*($AE$104)+'LINEST VARS'!$S$66*($Z112)+'LINEST VARS'!$R$66*(4)+'LINEST VARS'!$Q$66*(0.5)+'LINEST VARS'!$P$66*(12.73)+'LINEST VARS'!$O$66*($AE$104^2)+'LINEST VARS'!$N$66*($Z112^2)+'LINEST VARS'!$M$66*(4^2)+'LINEST VARS'!$L$66*(0.5^2)+'LINEST VARS'!$K$66*(12.73^2)+'LINEST VARS'!$J$66*($AE$104*$Z112)+'LINEST VARS'!$I$66*($AE$104*4)+'LINEST VARS'!$H$66*($AE$104*0.5)+'LINEST VARS'!$G$66*($AE$104*12.73)+'LINEST VARS'!$F$66*($Z112*4)+'LINEST VARS'!$E$66*($Z112*0.5)+'LINEST VARS'!$D$66*($Z112*12.73)+'LINEST VARS'!$C$66*(4*0.5)+'LINEST VARS'!$B$66*(4*12.73)+'LINEST VARS'!$A$66*(0.5*12.73)</f>
        <v>134.92000000000004</v>
      </c>
      <c r="AF112" s="46">
        <f>'LINEST VARS'!$U$66+'LINEST VARS'!$T$66*($AF$104)+'LINEST VARS'!$S$66*($Z112)+'LINEST VARS'!$R$66*(4)+'LINEST VARS'!$Q$66*(0.5)+'LINEST VARS'!$P$66*(12.73)+'LINEST VARS'!$O$66*($AF$104^2)+'LINEST VARS'!$N$66*($Z112^2)+'LINEST VARS'!$M$66*(4^2)+'LINEST VARS'!$L$66*(0.5^2)+'LINEST VARS'!$K$66*(12.73^2)+'LINEST VARS'!$J$66*($AF$104*$Z112)+'LINEST VARS'!$I$66*($AF$104*4)+'LINEST VARS'!$H$66*($AF$104*0.5)+'LINEST VARS'!$G$66*($AF$104*12.73)+'LINEST VARS'!$F$66*($Z112*4)+'LINEST VARS'!$E$66*($Z112*0.5)+'LINEST VARS'!$D$66*($Z112*12.73)+'LINEST VARS'!$C$66*(4*0.5)+'LINEST VARS'!$B$66*(4*12.73)+'LINEST VARS'!$A$66*(0.5*12.73)</f>
        <v>135.10000000000005</v>
      </c>
      <c r="AG112" s="46">
        <f>'LINEST VARS'!$U$66+'LINEST VARS'!$T$66*($AG$104)+'LINEST VARS'!$S$66*($Z112)+'LINEST VARS'!$R$66*(4)+'LINEST VARS'!$Q$66*(0.5)+'LINEST VARS'!$P$66*(12.73)+'LINEST VARS'!$O$66*($AG$104^2)+'LINEST VARS'!$N$66*($Z112^2)+'LINEST VARS'!$M$66*(4^2)+'LINEST VARS'!$L$66*(0.5^2)+'LINEST VARS'!$K$66*(12.73^2)+'LINEST VARS'!$J$66*($AG$104*$Z112)+'LINEST VARS'!$I$66*($AG$104*4)+'LINEST VARS'!$H$66*($AG$104*0.5)+'LINEST VARS'!$G$66*($AG$104*12.73)+'LINEST VARS'!$F$66*($Z112*4)+'LINEST VARS'!$E$66*($Z112*0.5)+'LINEST VARS'!$D$66*($Z112*12.73)+'LINEST VARS'!$C$66*(4*0.5)+'LINEST VARS'!$B$66*(4*12.73)+'LINEST VARS'!$A$66*(0.5*12.73)</f>
        <v>135.28000000000003</v>
      </c>
      <c r="AH112" s="46">
        <f>'LINEST VARS'!$U$66+'LINEST VARS'!$T$66*($AH$104)+'LINEST VARS'!$S$66*($Z112)+'LINEST VARS'!$R$66*(4)+'LINEST VARS'!$Q$66*(0.5)+'LINEST VARS'!$P$66*(12.73)+'LINEST VARS'!$O$66*($AH$104^2)+'LINEST VARS'!$N$66*($Z112^2)+'LINEST VARS'!$M$66*(4^2)+'LINEST VARS'!$L$66*(0.5^2)+'LINEST VARS'!$K$66*(12.73^2)+'LINEST VARS'!$J$66*($AH$104*$Z112)+'LINEST VARS'!$I$66*($AH$104*4)+'LINEST VARS'!$H$66*($AH$104*0.5)+'LINEST VARS'!$G$66*($AH$104*12.73)+'LINEST VARS'!$F$66*($Z112*4)+'LINEST VARS'!$E$66*($Z112*0.5)+'LINEST VARS'!$D$66*($Z112*12.73)+'LINEST VARS'!$C$66*(4*0.5)+'LINEST VARS'!$B$66*(4*12.73)+'LINEST VARS'!$A$66*(0.5*12.73)</f>
        <v>135.46000000000006</v>
      </c>
      <c r="AI112" s="46">
        <f>'LINEST VARS'!$U$66+'LINEST VARS'!$T$66*($AI$104)+'LINEST VARS'!$S$66*($Z112)+'LINEST VARS'!$R$66*(4)+'LINEST VARS'!$Q$66*(0.5)+'LINEST VARS'!$P$66*(12.73)+'LINEST VARS'!$O$66*($AI$104^2)+'LINEST VARS'!$N$66*($Z112^2)+'LINEST VARS'!$M$66*(4^2)+'LINEST VARS'!$L$66*(0.5^2)+'LINEST VARS'!$K$66*(12.73^2)+'LINEST VARS'!$J$66*($AI$104*$Z112)+'LINEST VARS'!$I$66*($AI$104*4)+'LINEST VARS'!$H$66*($AI$104*0.5)+'LINEST VARS'!$G$66*($AI$104*12.73)+'LINEST VARS'!$F$66*($Z112*4)+'LINEST VARS'!$E$66*($Z112*0.5)+'LINEST VARS'!$D$66*($Z112*12.73)+'LINEST VARS'!$C$66*(4*0.5)+'LINEST VARS'!$B$66*(4*12.73)+'LINEST VARS'!$A$66*(0.5*12.73)</f>
        <v>135.64000000000007</v>
      </c>
      <c r="AJ112" s="46">
        <f>'LINEST VARS'!$U$66+'LINEST VARS'!$T$66*($AJ$104)+'LINEST VARS'!$S$66*($Z112)+'LINEST VARS'!$R$66*(4)+'LINEST VARS'!$Q$66*(0.5)+'LINEST VARS'!$P$66*(12.73)+'LINEST VARS'!$O$66*($AJ$104^2)+'LINEST VARS'!$N$66*($Z112^2)+'LINEST VARS'!$M$66*(4^2)+'LINEST VARS'!$L$66*(0.5^2)+'LINEST VARS'!$K$66*(12.73^2)+'LINEST VARS'!$J$66*($AJ$104*$Z112)+'LINEST VARS'!$I$66*($AJ$104*4)+'LINEST VARS'!$H$66*($AJ$104*0.5)+'LINEST VARS'!$G$66*($AJ$104*12.73)+'LINEST VARS'!$F$66*($Z112*4)+'LINEST VARS'!$E$66*($Z112*0.5)+'LINEST VARS'!$D$66*($Z112*12.73)+'LINEST VARS'!$C$66*(4*0.5)+'LINEST VARS'!$B$66*(4*12.73)+'LINEST VARS'!$A$66*(0.5*12.73)</f>
        <v>135.82000000000008</v>
      </c>
      <c r="AK112" s="46">
        <f>'LINEST VARS'!$U$66+'LINEST VARS'!$T$66*($AK$104)+'LINEST VARS'!$S$66*($Z112)+'LINEST VARS'!$R$66*(4)+'LINEST VARS'!$Q$66*(0.5)+'LINEST VARS'!$P$66*(12.73)+'LINEST VARS'!$O$66*($AK$104^2)+'LINEST VARS'!$N$66*($Z112^2)+'LINEST VARS'!$M$66*(4^2)+'LINEST VARS'!$L$66*(0.5^2)+'LINEST VARS'!$K$66*(12.73^2)+'LINEST VARS'!$J$66*($AK$104*$Z112)+'LINEST VARS'!$I$66*($AK$104*4)+'LINEST VARS'!$H$66*($AK$104*0.5)+'LINEST VARS'!$G$66*($AK$104*12.73)+'LINEST VARS'!$F$66*($Z112*4)+'LINEST VARS'!$E$66*($Z112*0.5)+'LINEST VARS'!$D$66*($Z112*12.73)+'LINEST VARS'!$C$66*(4*0.5)+'LINEST VARS'!$B$66*(4*12.73)+'LINEST VARS'!$A$66*(0.5*12.73)</f>
        <v>136.00000000000006</v>
      </c>
      <c r="AL112" s="46">
        <f>'LINEST VARS'!$U$66+'LINEST VARS'!$T$66*($AL$104)+'LINEST VARS'!$S$66*($Z112)+'LINEST VARS'!$R$66*(4)+'LINEST VARS'!$Q$66*(0.5)+'LINEST VARS'!$P$66*(12.73)+'LINEST VARS'!$O$66*($AL$104^2)+'LINEST VARS'!$N$66*($Z112^2)+'LINEST VARS'!$M$66*(4^2)+'LINEST VARS'!$L$66*(0.5^2)+'LINEST VARS'!$K$66*(12.73^2)+'LINEST VARS'!$J$66*($AL$104*$Z112)+'LINEST VARS'!$I$66*($AL$104*4)+'LINEST VARS'!$H$66*($AL$104*0.5)+'LINEST VARS'!$G$66*($AL$104*12.73)+'LINEST VARS'!$F$66*($Z112*4)+'LINEST VARS'!$E$66*($Z112*0.5)+'LINEST VARS'!$D$66*($Z112*12.73)+'LINEST VARS'!$C$66*(4*0.5)+'LINEST VARS'!$B$66*(4*12.73)+'LINEST VARS'!$A$66*(0.5*12.73)</f>
        <v>136.18000000000006</v>
      </c>
      <c r="AM112" s="46">
        <f>'LINEST VARS'!$U$66+'LINEST VARS'!$T$66*($AM$104)+'LINEST VARS'!$S$66*($Z112)+'LINEST VARS'!$R$66*(4)+'LINEST VARS'!$Q$66*(0.5)+'LINEST VARS'!$P$66*(12.73)+'LINEST VARS'!$O$66*($AM$104^2)+'LINEST VARS'!$N$66*($Z112^2)+'LINEST VARS'!$M$66*(4^2)+'LINEST VARS'!$L$66*(0.5^2)+'LINEST VARS'!$K$66*(12.73^2)+'LINEST VARS'!$J$66*($AM$104*$Z112)+'LINEST VARS'!$I$66*($AM$104*4)+'LINEST VARS'!$H$66*($AM$104*0.5)+'LINEST VARS'!$G$66*($AM$104*12.73)+'LINEST VARS'!$F$66*($Z112*4)+'LINEST VARS'!$E$66*($Z112*0.5)+'LINEST VARS'!$D$66*($Z112*12.73)+'LINEST VARS'!$C$66*(4*0.5)+'LINEST VARS'!$B$66*(4*12.73)+'LINEST VARS'!$A$66*(0.5*12.73)</f>
        <v>136.36000000000007</v>
      </c>
      <c r="AN112" s="46">
        <f>'LINEST VARS'!$U$66+'LINEST VARS'!$T$66*($AN$104)+'LINEST VARS'!$S$66*($Z112)+'LINEST VARS'!$R$66*(4)+'LINEST VARS'!$Q$66*(0.5)+'LINEST VARS'!$P$66*(12.73)+'LINEST VARS'!$O$66*($AN$104^2)+'LINEST VARS'!$N$66*($Z112^2)+'LINEST VARS'!$M$66*(4^2)+'LINEST VARS'!$L$66*(0.5^2)+'LINEST VARS'!$K$66*(12.73^2)+'LINEST VARS'!$J$66*($AN$104*$Z112)+'LINEST VARS'!$I$66*($AN$104*4)+'LINEST VARS'!$H$66*($AN$104*0.5)+'LINEST VARS'!$G$66*($AN$104*12.73)+'LINEST VARS'!$F$66*($Z112*4)+'LINEST VARS'!$E$66*($Z112*0.5)+'LINEST VARS'!$D$66*($Z112*12.73)+'LINEST VARS'!$C$66*(4*0.5)+'LINEST VARS'!$B$66*(4*12.73)+'LINEST VARS'!$A$66*(0.5*12.73)</f>
        <v>136.54000000000008</v>
      </c>
      <c r="AO112" s="46">
        <f>'LINEST VARS'!$U$66+'LINEST VARS'!$T$66*($AO$104)+'LINEST VARS'!$S$66*($Z112)+'LINEST VARS'!$R$66*(4)+'LINEST VARS'!$Q$66*(0.5)+'LINEST VARS'!$P$66*(12.73)+'LINEST VARS'!$O$66*($AO$104^2)+'LINEST VARS'!$N$66*($Z112^2)+'LINEST VARS'!$M$66*(4^2)+'LINEST VARS'!$L$66*(0.5^2)+'LINEST VARS'!$K$66*(12.73^2)+'LINEST VARS'!$J$66*($AO$104*$Z112)+'LINEST VARS'!$I$66*($AO$104*4)+'LINEST VARS'!$H$66*($AO$104*0.5)+'LINEST VARS'!$G$66*($AO$104*12.73)+'LINEST VARS'!$F$66*($Z112*4)+'LINEST VARS'!$E$66*($Z112*0.5)+'LINEST VARS'!$D$66*($Z112*12.73)+'LINEST VARS'!$C$66*(4*0.5)+'LINEST VARS'!$B$66*(4*12.73)+'LINEST VARS'!$A$66*(0.5*12.73)</f>
        <v>136.72000000000006</v>
      </c>
      <c r="AP112" s="46">
        <f>'LINEST VARS'!$U$66+'LINEST VARS'!$T$66*($AP$104)+'LINEST VARS'!$S$66*($Z112)+'LINEST VARS'!$R$66*(4)+'LINEST VARS'!$Q$66*(0.5)+'LINEST VARS'!$P$66*(12.73)+'LINEST VARS'!$O$66*($AP$104^2)+'LINEST VARS'!$N$66*($Z112^2)+'LINEST VARS'!$M$66*(4^2)+'LINEST VARS'!$L$66*(0.5^2)+'LINEST VARS'!$K$66*(12.73^2)+'LINEST VARS'!$J$66*($AP$104*$Z112)+'LINEST VARS'!$I$66*($AP$104*4)+'LINEST VARS'!$H$66*($AP$104*0.5)+'LINEST VARS'!$G$66*($AP$104*12.73)+'LINEST VARS'!$F$66*($Z112*4)+'LINEST VARS'!$E$66*($Z112*0.5)+'LINEST VARS'!$D$66*($Z112*12.73)+'LINEST VARS'!$C$66*(4*0.5)+'LINEST VARS'!$B$66*(4*12.73)+'LINEST VARS'!$A$66*(0.5*12.73)</f>
        <v>136.90000000000006</v>
      </c>
      <c r="AQ112" s="46">
        <f>'LINEST VARS'!$U$66+'LINEST VARS'!$T$66*($AQ$104)+'LINEST VARS'!$S$66*($Z112)+'LINEST VARS'!$R$66*(4)+'LINEST VARS'!$Q$66*(0.5)+'LINEST VARS'!$P$66*(12.73)+'LINEST VARS'!$O$66*($AQ$104^2)+'LINEST VARS'!$N$66*($Z112^2)+'LINEST VARS'!$M$66*(4^2)+'LINEST VARS'!$L$66*(0.5^2)+'LINEST VARS'!$K$66*(12.73^2)+'LINEST VARS'!$J$66*($AQ$104*$Z112)+'LINEST VARS'!$I$66*($AQ$104*4)+'LINEST VARS'!$H$66*($AQ$104*0.5)+'LINEST VARS'!$G$66*($AQ$104*12.73)+'LINEST VARS'!$F$66*($Z112*4)+'LINEST VARS'!$E$66*($Z112*0.5)+'LINEST VARS'!$D$66*($Z112*12.73)+'LINEST VARS'!$C$66*(4*0.5)+'LINEST VARS'!$B$66*(4*12.73)+'LINEST VARS'!$A$66*(0.5*12.73)</f>
        <v>137.08000000000007</v>
      </c>
      <c r="AR112" s="46">
        <f>'LINEST VARS'!$U$66+'LINEST VARS'!$T$66*($AR$104)+'LINEST VARS'!$S$66*($Z112)+'LINEST VARS'!$R$66*(4)+'LINEST VARS'!$Q$66*(0.5)+'LINEST VARS'!$P$66*(12.73)+'LINEST VARS'!$O$66*($AR$104^2)+'LINEST VARS'!$N$66*($Z112^2)+'LINEST VARS'!$M$66*(4^2)+'LINEST VARS'!$L$66*(0.5^2)+'LINEST VARS'!$K$66*(12.73^2)+'LINEST VARS'!$J$66*($AR$104*$Z112)+'LINEST VARS'!$I$66*($AR$104*4)+'LINEST VARS'!$H$66*($AR$104*0.5)+'LINEST VARS'!$G$66*($AR$104*12.73)+'LINEST VARS'!$F$66*($Z112*4)+'LINEST VARS'!$E$66*($Z112*0.5)+'LINEST VARS'!$D$66*($Z112*12.73)+'LINEST VARS'!$C$66*(4*0.5)+'LINEST VARS'!$B$66*(4*12.73)+'LINEST VARS'!$A$66*(0.5*12.73)</f>
        <v>137.26000000000008</v>
      </c>
      <c r="AS112" s="46">
        <f>'LINEST VARS'!$U$66+'LINEST VARS'!$T$66*($AS$104)+'LINEST VARS'!$S$66*($Z112)+'LINEST VARS'!$R$66*(4)+'LINEST VARS'!$Q$66*(0.5)+'LINEST VARS'!$P$66*(12.73)+'LINEST VARS'!$O$66*($AS$104^2)+'LINEST VARS'!$N$66*($Z112^2)+'LINEST VARS'!$M$66*(4^2)+'LINEST VARS'!$L$66*(0.5^2)+'LINEST VARS'!$K$66*(12.73^2)+'LINEST VARS'!$J$66*($AS$104*$Z112)+'LINEST VARS'!$I$66*($AS$104*4)+'LINEST VARS'!$H$66*($AS$104*0.5)+'LINEST VARS'!$G$66*($AS$104*12.73)+'LINEST VARS'!$F$66*($Z112*4)+'LINEST VARS'!$E$66*($Z112*0.5)+'LINEST VARS'!$D$66*($Z112*12.73)+'LINEST VARS'!$C$66*(4*0.5)+'LINEST VARS'!$B$66*(4*12.73)+'LINEST VARS'!$A$66*(0.5*12.73)</f>
        <v>137.44000000000005</v>
      </c>
      <c r="AT112" s="46">
        <f>'LINEST VARS'!$U$66+'LINEST VARS'!$T$66*($AT$104)+'LINEST VARS'!$S$66*($Z112)+'LINEST VARS'!$R$66*(4)+'LINEST VARS'!$Q$66*(0.5)+'LINEST VARS'!$P$66*(12.73)+'LINEST VARS'!$O$66*($AT$104^2)+'LINEST VARS'!$N$66*($Z112^2)+'LINEST VARS'!$M$66*(4^2)+'LINEST VARS'!$L$66*(0.5^2)+'LINEST VARS'!$K$66*(12.73^2)+'LINEST VARS'!$J$66*($AT$104*$Z112)+'LINEST VARS'!$I$66*($AT$104*4)+'LINEST VARS'!$H$66*($AT$104*0.5)+'LINEST VARS'!$G$66*($AT$104*12.73)+'LINEST VARS'!$F$66*($Z112*4)+'LINEST VARS'!$E$66*($Z112*0.5)+'LINEST VARS'!$D$66*($Z112*12.73)+'LINEST VARS'!$C$66*(4*0.5)+'LINEST VARS'!$B$66*(4*12.73)+'LINEST VARS'!$A$66*(0.5*12.73)</f>
        <v>137.62000000000006</v>
      </c>
      <c r="AU112" s="47">
        <f>'LINEST VARS'!$U$66+'LINEST VARS'!$T$66*($AU$104)+'LINEST VARS'!$S$66*($Z112)+'LINEST VARS'!$R$66*(4)+'LINEST VARS'!$Q$66*(0.5)+'LINEST VARS'!$P$66*(12.73)+'LINEST VARS'!$O$66*($AU$104^2)+'LINEST VARS'!$N$66*($Z112^2)+'LINEST VARS'!$M$66*(4^2)+'LINEST VARS'!$L$66*(0.5^2)+'LINEST VARS'!$K$66*(12.73^2)+'LINEST VARS'!$J$66*($AU$104*$Z112)+'LINEST VARS'!$I$66*($AU$104*4)+'LINEST VARS'!$H$66*($AU$104*0.5)+'LINEST VARS'!$G$66*($AU$104*12.73)+'LINEST VARS'!$F$66*($Z112*4)+'LINEST VARS'!$E$66*($Z112*0.5)+'LINEST VARS'!$D$66*($Z112*12.73)+'LINEST VARS'!$C$66*(4*0.5)+'LINEST VARS'!$B$66*(4*12.73)+'LINEST VARS'!$A$66*(0.5*12.73)</f>
        <v>137.80000000000007</v>
      </c>
      <c r="AZ112" s="45">
        <v>0.35</v>
      </c>
      <c r="BA112" s="55">
        <f>'LINEST VARS'!$U$64+'LINEST VARS'!$T$64*(8)+'LINEST VARS'!$S$64*(8)+'LINEST VARS'!$R$64*($BA$104)+'LINEST VARS'!$Q$64*($AZ112)+'LINEST VARS'!$P$64*(12.73)+'LINEST VARS'!$O$64*(8^2)+'LINEST VARS'!$N$64*(8^2)+'LINEST VARS'!$M$64*($BA$104^2)+'LINEST VARS'!$L$64*($AZ112^2)+'LINEST VARS'!$K$64*(12.73^2)+'LINEST VARS'!$J$64*(8*8)+'LINEST VARS'!$I$64*(8*$BA$104)+'LINEST VARS'!$H$64*(8*$AZ112)+'LINEST VARS'!$G$64*(8*12.73)+'LINEST VARS'!$F$64*(8*$BA$104)+'LINEST VARS'!$E$64*(8*$AZ112)+'LINEST VARS'!$D$64*(8*12.73)+'LINEST VARS'!$C$64*($BA$104*$AZ112)+'LINEST VARS'!$B$64*($BA$104*12.73)+'LINEST VARS'!$A$64*($AZ112*12.73)</f>
        <v>148.18999999999988</v>
      </c>
      <c r="BB112" s="55">
        <f>'LINEST VARS'!$U$64+'LINEST VARS'!$T$64*(8)+'LINEST VARS'!$S$64*(8)+'LINEST VARS'!$R$64*($BB$104)+'LINEST VARS'!$Q$64*($AZ112)+'LINEST VARS'!$P$64*(12.73)+'LINEST VARS'!$O$64*(8^2)+'LINEST VARS'!$N$64*(8^2)+'LINEST VARS'!$M$64*($BB$104^2)+'LINEST VARS'!$L$64*($AZ112^2)+'LINEST VARS'!$K$64*(12.73^2)+'LINEST VARS'!$J$64*(8*8)+'LINEST VARS'!$I$64*(8*$BB$104)+'LINEST VARS'!$H$64*(8*$AZ112)+'LINEST VARS'!$G$64*(8*12.73)+'LINEST VARS'!$F$64*(8*$BB$104)+'LINEST VARS'!$E$64*(8*$AZ112)+'LINEST VARS'!$D$64*(8*12.73)+'LINEST VARS'!$C$64*($BB$104*$AZ112)+'LINEST VARS'!$B$64*($BB$104*12.73)+'LINEST VARS'!$A$64*($AZ112*12.73)</f>
        <v>149.78999999999988</v>
      </c>
      <c r="BC112" s="55">
        <f>'LINEST VARS'!$U$64+'LINEST VARS'!$T$64*(8)+'LINEST VARS'!$S$64*(8)+'LINEST VARS'!$R$64*($BC$104)+'LINEST VARS'!$Q$64*($AZ112)+'LINEST VARS'!$P$64*(12.73)+'LINEST VARS'!$O$64*(8^2)+'LINEST VARS'!$N$64*(8^2)+'LINEST VARS'!$M$64*($BC$104^2)+'LINEST VARS'!$L$64*($AZ112^2)+'LINEST VARS'!$K$64*(12.73^2)+'LINEST VARS'!$J$64*(8*8)+'LINEST VARS'!$I$64*(8*$BC$104)+'LINEST VARS'!$H$64*(8*$AZ112)+'LINEST VARS'!$G$64*(8*12.73)+'LINEST VARS'!$F$64*(8*$BC$104)+'LINEST VARS'!$E$64*(8*$AZ112)+'LINEST VARS'!$D$64*(8*12.73)+'LINEST VARS'!$C$64*($BC$104*$AZ112)+'LINEST VARS'!$B$64*($BC$104*12.73)+'LINEST VARS'!$A$64*($AZ112*12.73)</f>
        <v>151.38999999999987</v>
      </c>
      <c r="BD112" s="55">
        <f>'LINEST VARS'!$U$64+'LINEST VARS'!$T$64*(8)+'LINEST VARS'!$S$64*(8)+'LINEST VARS'!$R$64*($BD$104)+'LINEST VARS'!$Q$64*($AZ112)+'LINEST VARS'!$P$64*(12.73)+'LINEST VARS'!$O$64*(8^2)+'LINEST VARS'!$N$64*(8^2)+'LINEST VARS'!$M$64*($BD$104^2)+'LINEST VARS'!$L$64*($AZ112^2)+'LINEST VARS'!$K$64*(12.73^2)+'LINEST VARS'!$J$64*(8*8)+'LINEST VARS'!$I$64*(8*$BD$104)+'LINEST VARS'!$H$64*(8*$AZ112)+'LINEST VARS'!$G$64*(8*12.73)+'LINEST VARS'!$F$64*(8*$BD$104)+'LINEST VARS'!$E$64*(8*$AZ112)+'LINEST VARS'!$D$64*(8*12.73)+'LINEST VARS'!$C$64*($BD$104*$AZ112)+'LINEST VARS'!$B$64*($BD$104*12.73)+'LINEST VARS'!$A$64*($AZ112*12.73)</f>
        <v>152.9899999999999</v>
      </c>
      <c r="BE112" s="55">
        <f>'LINEST VARS'!$U$64+'LINEST VARS'!$T$64*(8)+'LINEST VARS'!$S$64*(8)+'LINEST VARS'!$R$64*($BE$104)+'LINEST VARS'!$Q$64*($AZ112)+'LINEST VARS'!$P$64*(12.73)+'LINEST VARS'!$O$64*(8^2)+'LINEST VARS'!$N$64*(8^2)+'LINEST VARS'!$M$64*($BE$104^2)+'LINEST VARS'!$L$64*($AZ112^2)+'LINEST VARS'!$K$64*(12.73^2)+'LINEST VARS'!$J$64*(8*8)+'LINEST VARS'!$I$64*(8*$BE$104)+'LINEST VARS'!$H$64*(8*$AZ112)+'LINEST VARS'!$G$64*(8*12.73)+'LINEST VARS'!$F$64*(8*$BE$104)+'LINEST VARS'!$E$64*(8*$AZ112)+'LINEST VARS'!$D$64*(8*12.73)+'LINEST VARS'!$C$64*($BE$104*$AZ112)+'LINEST VARS'!$B$64*($BE$104*12.73)+'LINEST VARS'!$A$64*($AZ112*12.73)</f>
        <v>154.58999999999989</v>
      </c>
      <c r="BF112" s="55">
        <f>'LINEST VARS'!$U$64+'LINEST VARS'!$T$64*(8)+'LINEST VARS'!$S$64*(8)+'LINEST VARS'!$R$64*($BF$104)+'LINEST VARS'!$Q$64*($AZ112)+'LINEST VARS'!$P$64*(12.73)+'LINEST VARS'!$O$64*(8^2)+'LINEST VARS'!$N$64*(8^2)+'LINEST VARS'!$M$64*($BF$104^2)+'LINEST VARS'!$L$64*($AZ112^2)+'LINEST VARS'!$K$64*(12.73^2)+'LINEST VARS'!$J$64*(8*8)+'LINEST VARS'!$I$64*(8*$BF$104)+'LINEST VARS'!$H$64*(8*$AZ112)+'LINEST VARS'!$G$64*(8*12.73)+'LINEST VARS'!$F$64*(8*$BF$104)+'LINEST VARS'!$E$64*(8*$AZ112)+'LINEST VARS'!$D$64*(8*12.73)+'LINEST VARS'!$C$64*($BF$104*$AZ112)+'LINEST VARS'!$B$64*($BF$104*12.73)+'LINEST VARS'!$A$64*($AZ112*12.73)</f>
        <v>156.18999999999988</v>
      </c>
      <c r="BG112" s="55">
        <f>'LINEST VARS'!$U$64+'LINEST VARS'!$T$64*(8)+'LINEST VARS'!$S$64*(8)+'LINEST VARS'!$R$64*($BG$104)+'LINEST VARS'!$Q$64*($AZ112)+'LINEST VARS'!$P$64*(12.73)+'LINEST VARS'!$O$64*(8^2)+'LINEST VARS'!$N$64*(8^2)+'LINEST VARS'!$M$64*($BG$104^2)+'LINEST VARS'!$L$64*($AZ112^2)+'LINEST VARS'!$K$64*(12.73^2)+'LINEST VARS'!$J$64*(8*8)+'LINEST VARS'!$I$64*(8*$BG$104)+'LINEST VARS'!$H$64*(8*$AZ112)+'LINEST VARS'!$G$64*(8*12.73)+'LINEST VARS'!$F$64*(8*$BG$104)+'LINEST VARS'!$E$64*(8*$AZ112)+'LINEST VARS'!$D$64*(8*12.73)+'LINEST VARS'!$C$64*($BG$104*$AZ112)+'LINEST VARS'!$B$64*($BG$104*12.73)+'LINEST VARS'!$A$64*($AZ112*12.73)</f>
        <v>157.78999999999988</v>
      </c>
      <c r="BH112" s="55">
        <f>'LINEST VARS'!$U$64+'LINEST VARS'!$T$64*(8)+'LINEST VARS'!$S$64*(8)+'LINEST VARS'!$R$64*($BH$104)+'LINEST VARS'!$Q$64*($AZ112)+'LINEST VARS'!$P$64*(12.73)+'LINEST VARS'!$O$64*(8^2)+'LINEST VARS'!$N$64*(8^2)+'LINEST VARS'!$M$64*($BH$104^2)+'LINEST VARS'!$L$64*($AZ112^2)+'LINEST VARS'!$K$64*(12.73^2)+'LINEST VARS'!$J$64*(8*8)+'LINEST VARS'!$I$64*(8*$BH$104)+'LINEST VARS'!$H$64*(8*$AZ112)+'LINEST VARS'!$G$64*(8*12.73)+'LINEST VARS'!$F$64*(8*$BH$104)+'LINEST VARS'!$E$64*(8*$AZ112)+'LINEST VARS'!$D$64*(8*12.73)+'LINEST VARS'!$C$64*($BH$104*$AZ112)+'LINEST VARS'!$B$64*($BH$104*12.73)+'LINEST VARS'!$A$64*($AZ112*12.73)</f>
        <v>159.38999999999987</v>
      </c>
      <c r="BI112" s="55">
        <f>'LINEST VARS'!$U$64+'LINEST VARS'!$T$64*(8)+'LINEST VARS'!$S$64*(8)+'LINEST VARS'!$R$64*($BI$104)+'LINEST VARS'!$Q$64*($AZ112)+'LINEST VARS'!$P$64*(12.73)+'LINEST VARS'!$O$64*(8^2)+'LINEST VARS'!$N$64*(8^2)+'LINEST VARS'!$M$64*($BI$104^2)+'LINEST VARS'!$L$64*($AZ112^2)+'LINEST VARS'!$K$64*(12.73^2)+'LINEST VARS'!$J$64*(8*8)+'LINEST VARS'!$I$64*(8*$BI$104)+'LINEST VARS'!$H$64*(8*$AZ112)+'LINEST VARS'!$G$64*(8*12.73)+'LINEST VARS'!$F$64*(8*$BI$104)+'LINEST VARS'!$E$64*(8*$AZ112)+'LINEST VARS'!$D$64*(8*12.73)+'LINEST VARS'!$C$64*($BI$104*$AZ112)+'LINEST VARS'!$B$64*($BI$104*12.73)+'LINEST VARS'!$A$64*($AZ112*12.73)</f>
        <v>160.9899999999999</v>
      </c>
      <c r="BJ112" s="55">
        <f>'LINEST VARS'!$U$64+'LINEST VARS'!$T$64*(8)+'LINEST VARS'!$S$64*(8)+'LINEST VARS'!$R$64*($BJ$104)+'LINEST VARS'!$Q$64*($AZ112)+'LINEST VARS'!$P$64*(12.73)+'LINEST VARS'!$O$64*(8^2)+'LINEST VARS'!$N$64*(8^2)+'LINEST VARS'!$M$64*($BJ$104^2)+'LINEST VARS'!$L$64*($AZ112^2)+'LINEST VARS'!$K$64*(12.73^2)+'LINEST VARS'!$J$64*(8*8)+'LINEST VARS'!$I$64*(8*$BJ$104)+'LINEST VARS'!$H$64*(8*$AZ112)+'LINEST VARS'!$G$64*(8*12.73)+'LINEST VARS'!$F$64*(8*$BJ$104)+'LINEST VARS'!$E$64*(8*$AZ112)+'LINEST VARS'!$D$64*(8*12.73)+'LINEST VARS'!$C$64*($BJ$104*$AZ112)+'LINEST VARS'!$B$64*($BJ$104*12.73)+'LINEST VARS'!$A$64*($AZ112*12.73)</f>
        <v>162.58999999999989</v>
      </c>
      <c r="BK112" s="55">
        <f>'LINEST VARS'!$U$64+'LINEST VARS'!$T$64*(8)+'LINEST VARS'!$S$64*(8)+'LINEST VARS'!$R$64*($BK$104)+'LINEST VARS'!$Q$64*($AZ112)+'LINEST VARS'!$P$64*(12.73)+'LINEST VARS'!$O$64*(8^2)+'LINEST VARS'!$N$64*(8^2)+'LINEST VARS'!$M$64*($BK$104^2)+'LINEST VARS'!$L$64*($AZ112^2)+'LINEST VARS'!$K$64*(12.73^2)+'LINEST VARS'!$J$64*(8*8)+'LINEST VARS'!$I$64*(8*$BK$104)+'LINEST VARS'!$H$64*(8*$AZ112)+'LINEST VARS'!$G$64*(8*12.73)+'LINEST VARS'!$F$64*(8*$BK$104)+'LINEST VARS'!$E$64*(8*$AZ112)+'LINEST VARS'!$D$64*(8*12.73)+'LINEST VARS'!$C$64*($BK$104*$AZ112)+'LINEST VARS'!$B$64*($BK$104*12.73)+'LINEST VARS'!$A$64*($AZ112*12.73)</f>
        <v>164.18999999999988</v>
      </c>
      <c r="BL112" s="55">
        <f>'LINEST VARS'!$U$64+'LINEST VARS'!$T$64*(8)+'LINEST VARS'!$S$64*(8)+'LINEST VARS'!$R$64*($BL$104)+'LINEST VARS'!$Q$64*($AZ112)+'LINEST VARS'!$P$64*(12.73)+'LINEST VARS'!$O$64*(8^2)+'LINEST VARS'!$N$64*(8^2)+'LINEST VARS'!$M$64*($BL$104^2)+'LINEST VARS'!$L$64*($AZ112^2)+'LINEST VARS'!$K$64*(12.73^2)+'LINEST VARS'!$J$64*(8*8)+'LINEST VARS'!$I$64*(8*$BL$104)+'LINEST VARS'!$H$64*(8*$AZ112)+'LINEST VARS'!$G$64*(8*12.73)+'LINEST VARS'!$F$64*(8*$BL$104)+'LINEST VARS'!$E$64*(8*$AZ112)+'LINEST VARS'!$D$64*(8*12.73)+'LINEST VARS'!$C$64*($BL$104*$AZ112)+'LINEST VARS'!$B$64*($BL$104*12.73)+'LINEST VARS'!$A$64*($AZ112*12.73)</f>
        <v>165.78999999999991</v>
      </c>
      <c r="BM112" s="55">
        <f>'LINEST VARS'!$U$64+'LINEST VARS'!$T$64*(8)+'LINEST VARS'!$S$64*(8)+'LINEST VARS'!$R$64*($BM$104)+'LINEST VARS'!$Q$64*($AZ112)+'LINEST VARS'!$P$64*(12.73)+'LINEST VARS'!$O$64*(8^2)+'LINEST VARS'!$N$64*(8^2)+'LINEST VARS'!$M$64*($BM$104^2)+'LINEST VARS'!$L$64*($AZ112^2)+'LINEST VARS'!$K$64*(12.73^2)+'LINEST VARS'!$J$64*(8*8)+'LINEST VARS'!$I$64*(8*$BM$104)+'LINEST VARS'!$H$64*(8*$AZ112)+'LINEST VARS'!$G$64*(8*12.73)+'LINEST VARS'!$F$64*(8*$BM$104)+'LINEST VARS'!$E$64*(8*$AZ112)+'LINEST VARS'!$D$64*(8*12.73)+'LINEST VARS'!$C$64*($BM$104*$AZ112)+'LINEST VARS'!$B$64*($BM$104*12.73)+'LINEST VARS'!$A$64*($AZ112*12.73)</f>
        <v>167.38999999999987</v>
      </c>
      <c r="BN112" s="55">
        <f>'LINEST VARS'!$U$64+'LINEST VARS'!$T$64*(8)+'LINEST VARS'!$S$64*(8)+'LINEST VARS'!$R$64*($BN$104)+'LINEST VARS'!$Q$64*($AZ112)+'LINEST VARS'!$P$64*(12.73)+'LINEST VARS'!$O$64*(8^2)+'LINEST VARS'!$N$64*(8^2)+'LINEST VARS'!$M$64*($BN$104^2)+'LINEST VARS'!$L$64*($AZ112^2)+'LINEST VARS'!$K$64*(12.73^2)+'LINEST VARS'!$J$64*(8*8)+'LINEST VARS'!$I$64*(8*$BN$104)+'LINEST VARS'!$H$64*(8*$AZ112)+'LINEST VARS'!$G$64*(8*12.73)+'LINEST VARS'!$F$64*(8*$BN$104)+'LINEST VARS'!$E$64*(8*$AZ112)+'LINEST VARS'!$D$64*(8*12.73)+'LINEST VARS'!$C$64*($BN$104*$AZ112)+'LINEST VARS'!$B$64*($BN$104*12.73)+'LINEST VARS'!$A$64*($AZ112*12.73)</f>
        <v>168.9899999999999</v>
      </c>
      <c r="BO112" s="55">
        <f>'LINEST VARS'!$U$64+'LINEST VARS'!$T$64*(8)+'LINEST VARS'!$S$64*(8)+'LINEST VARS'!$R$64*($BO$104)+'LINEST VARS'!$Q$64*($AZ112)+'LINEST VARS'!$P$64*(12.73)+'LINEST VARS'!$O$64*(8^2)+'LINEST VARS'!$N$64*(8^2)+'LINEST VARS'!$M$64*($BO$104^2)+'LINEST VARS'!$L$64*($AZ112^2)+'LINEST VARS'!$K$64*(12.73^2)+'LINEST VARS'!$J$64*(8*8)+'LINEST VARS'!$I$64*(8*$BO$104)+'LINEST VARS'!$H$64*(8*$AZ112)+'LINEST VARS'!$G$64*(8*12.73)+'LINEST VARS'!$F$64*(8*$BO$104)+'LINEST VARS'!$E$64*(8*$AZ112)+'LINEST VARS'!$D$64*(8*12.73)+'LINEST VARS'!$C$64*($BO$104*$AZ112)+'LINEST VARS'!$B$64*($BO$104*12.73)+'LINEST VARS'!$A$64*($AZ112*12.73)</f>
        <v>170.58999999999989</v>
      </c>
      <c r="BP112" s="55">
        <f>'LINEST VARS'!$U$64+'LINEST VARS'!$T$64*(8)+'LINEST VARS'!$S$64*(8)+'LINEST VARS'!$R$64*($BP$104)+'LINEST VARS'!$Q$64*($AZ112)+'LINEST VARS'!$P$64*(12.73)+'LINEST VARS'!$O$64*(8^2)+'LINEST VARS'!$N$64*(8^2)+'LINEST VARS'!$M$64*($BP$104^2)+'LINEST VARS'!$L$64*($AZ112^2)+'LINEST VARS'!$K$64*(12.73^2)+'LINEST VARS'!$J$64*(8*8)+'LINEST VARS'!$I$64*(8*$BP$104)+'LINEST VARS'!$H$64*(8*$AZ112)+'LINEST VARS'!$G$64*(8*12.73)+'LINEST VARS'!$F$64*(8*$BP$104)+'LINEST VARS'!$E$64*(8*$AZ112)+'LINEST VARS'!$D$64*(8*12.73)+'LINEST VARS'!$C$64*($BP$104*$AZ112)+'LINEST VARS'!$B$64*($BP$104*12.73)+'LINEST VARS'!$A$64*($AZ112*12.73)</f>
        <v>172.18999999999986</v>
      </c>
      <c r="BQ112" s="55">
        <f>'LINEST VARS'!$U$64+'LINEST VARS'!$T$64*(8)+'LINEST VARS'!$S$64*(8)+'LINEST VARS'!$R$64*($BQ$104)+'LINEST VARS'!$Q$64*($AZ112)+'LINEST VARS'!$P$64*(12.73)+'LINEST VARS'!$O$64*(8^2)+'LINEST VARS'!$N$64*(8^2)+'LINEST VARS'!$M$64*($BQ$104^2)+'LINEST VARS'!$L$64*($AZ112^2)+'LINEST VARS'!$K$64*(12.73^2)+'LINEST VARS'!$J$64*(8*8)+'LINEST VARS'!$I$64*(8*$BQ$104)+'LINEST VARS'!$H$64*(8*$AZ112)+'LINEST VARS'!$G$64*(8*12.73)+'LINEST VARS'!$F$64*(8*$BQ$104)+'LINEST VARS'!$E$64*(8*$AZ112)+'LINEST VARS'!$D$64*(8*12.73)+'LINEST VARS'!$C$64*($BQ$104*$AZ112)+'LINEST VARS'!$B$64*($BQ$104*12.73)+'LINEST VARS'!$A$64*($AZ112*12.73)</f>
        <v>173.78999999999988</v>
      </c>
      <c r="BR112" s="55">
        <f>'LINEST VARS'!$U$64+'LINEST VARS'!$T$64*(8)+'LINEST VARS'!$S$64*(8)+'LINEST VARS'!$R$64*($BR$104)+'LINEST VARS'!$Q$64*($AZ112)+'LINEST VARS'!$P$64*(12.73)+'LINEST VARS'!$O$64*(8^2)+'LINEST VARS'!$N$64*(8^2)+'LINEST VARS'!$M$64*($BR$104^2)+'LINEST VARS'!$L$64*($AZ112^2)+'LINEST VARS'!$K$64*(12.73^2)+'LINEST VARS'!$J$64*(8*8)+'LINEST VARS'!$I$64*(8*$BR$104)+'LINEST VARS'!$H$64*(8*$AZ112)+'LINEST VARS'!$G$64*(8*12.73)+'LINEST VARS'!$F$64*(8*$BR$104)+'LINEST VARS'!$E$64*(8*$AZ112)+'LINEST VARS'!$D$64*(8*12.73)+'LINEST VARS'!$C$64*($BR$104*$AZ112)+'LINEST VARS'!$B$64*($BR$104*12.73)+'LINEST VARS'!$A$64*($AZ112*12.73)</f>
        <v>175.3899999999999</v>
      </c>
      <c r="BS112" s="55">
        <f>'LINEST VARS'!$U$64+'LINEST VARS'!$T$64*(8)+'LINEST VARS'!$S$64*(8)+'LINEST VARS'!$R$64*($BS$104)+'LINEST VARS'!$Q$64*($AZ112)+'LINEST VARS'!$P$64*(12.73)+'LINEST VARS'!$O$64*(8^2)+'LINEST VARS'!$N$64*(8^2)+'LINEST VARS'!$M$64*($BS$104^2)+'LINEST VARS'!$L$64*($AZ112^2)+'LINEST VARS'!$K$64*(12.73^2)+'LINEST VARS'!$J$64*(8*8)+'LINEST VARS'!$I$64*(8*$BS$104)+'LINEST VARS'!$H$64*(8*$AZ112)+'LINEST VARS'!$G$64*(8*12.73)+'LINEST VARS'!$F$64*(8*$BS$104)+'LINEST VARS'!$E$64*(8*$AZ112)+'LINEST VARS'!$D$64*(8*12.73)+'LINEST VARS'!$C$64*($BS$104*$AZ112)+'LINEST VARS'!$B$64*($BS$104*12.73)+'LINEST VARS'!$A$64*($AZ112*12.73)</f>
        <v>176.98999999999987</v>
      </c>
      <c r="BT112" s="55">
        <f>'LINEST VARS'!$U$64+'LINEST VARS'!$T$64*(8)+'LINEST VARS'!$S$64*(8)+'LINEST VARS'!$R$64*($BT$104)+'LINEST VARS'!$Q$64*($AZ112)+'LINEST VARS'!$P$64*(12.73)+'LINEST VARS'!$O$64*(8^2)+'LINEST VARS'!$N$64*(8^2)+'LINEST VARS'!$M$64*($BT$104^2)+'LINEST VARS'!$L$64*($AZ112^2)+'LINEST VARS'!$K$64*(12.73^2)+'LINEST VARS'!$J$64*(8*8)+'LINEST VARS'!$I$64*(8*$BT$104)+'LINEST VARS'!$H$64*(8*$AZ112)+'LINEST VARS'!$G$64*(8*12.73)+'LINEST VARS'!$F$64*(8*$BT$104)+'LINEST VARS'!$E$64*(8*$AZ112)+'LINEST VARS'!$D$64*(8*12.73)+'LINEST VARS'!$C$64*($BT$104*$AZ112)+'LINEST VARS'!$B$64*($BT$104*12.73)+'LINEST VARS'!$A$64*($AZ112*12.73)</f>
        <v>178.58999999999989</v>
      </c>
      <c r="BU112" s="56">
        <f>'LINEST VARS'!$U$64+'LINEST VARS'!$T$64*(8)+'LINEST VARS'!$S$64*(8)+'LINEST VARS'!$R$64*($BU$104)+'LINEST VARS'!$Q$64*($AZ112)+'LINEST VARS'!$P$64*(12.73)+'LINEST VARS'!$O$64*(8^2)+'LINEST VARS'!$N$64*(8^2)+'LINEST VARS'!$M$64*($BU$104^2)+'LINEST VARS'!$L$64*($AZ112^2)+'LINEST VARS'!$K$64*(12.73^2)+'LINEST VARS'!$J$64*(8*8)+'LINEST VARS'!$I$64*(8*$BU$104)+'LINEST VARS'!$H$64*(8*$AZ112)+'LINEST VARS'!$G$64*(8*12.73)+'LINEST VARS'!$F$64*(8*$BU$104)+'LINEST VARS'!$E$64*(8*$AZ112)+'LINEST VARS'!$D$64*(8*12.73)+'LINEST VARS'!$C$64*($BU$104*$AZ112)+'LINEST VARS'!$B$64*($BU$104*12.73)+'LINEST VARS'!$A$64*($AZ112*12.73)</f>
        <v>180.18999999999986</v>
      </c>
      <c r="BX112" s="45">
        <v>0.35</v>
      </c>
      <c r="BY112" s="46">
        <f>'LINEST VARS'!$U$66+'LINEST VARS'!$T$66*(8)+'LINEST VARS'!$S$66*(8)+'LINEST VARS'!$R$66*($BY$104)+'LINEST VARS'!$Q$66*($BX112)+'LINEST VARS'!$P$66*(12.73)+'LINEST VARS'!$O$66*(8^2)+'LINEST VARS'!$N$66*(8^2)+'LINEST VARS'!$M$66*($BY$104^2)+'LINEST VARS'!$L$66*($BX112^2)+'LINEST VARS'!$K$66*(12.73^2)+'LINEST VARS'!$J$66*(8*8)+'LINEST VARS'!$I$66*(8*$BY$104)+'LINEST VARS'!$H$66*(8*$BX112)+'LINEST VARS'!$G$66*(8*12.73)+'LINEST VARS'!$F$66*(8*$BY$104)+'LINEST VARS'!$E$66*(8*$BX112)+'LINEST VARS'!$D$66*(8*12.73)+'LINEST VARS'!$C$66*($BY$104*$BX112)+'LINEST VARS'!$B$66*($BY$104*12.73)+'LINEST VARS'!$A$66*($BX112*12.73)</f>
        <v>144.00000000000006</v>
      </c>
      <c r="BZ112" s="46">
        <f>'LINEST VARS'!$U$66+'LINEST VARS'!$T$66*(8)+'LINEST VARS'!$S$66*(8)+'LINEST VARS'!$R$66*($BZ$104)+'LINEST VARS'!$Q$66*($BX112)+'LINEST VARS'!$P$66*(12.73)+'LINEST VARS'!$O$66*(8^2)+'LINEST VARS'!$N$66*(8^2)+'LINEST VARS'!$M$66*($BZ$104^2)+'LINEST VARS'!$L$66*($BX112^2)+'LINEST VARS'!$K$66*(12.73^2)+'LINEST VARS'!$J$66*(8*8)+'LINEST VARS'!$I$66*(8*$BZ$104)+'LINEST VARS'!$H$66*(8*$BX112)+'LINEST VARS'!$G$66*(8*12.73)+'LINEST VARS'!$F$66*(8*$BZ$104)+'LINEST VARS'!$E$66*(8*$BX112)+'LINEST VARS'!$D$66*(8*12.73)+'LINEST VARS'!$C$66*($BZ$104*$BX112)+'LINEST VARS'!$B$66*($BZ$104*12.73)+'LINEST VARS'!$A$66*($BX112*12.73)</f>
        <v>143.20000000000007</v>
      </c>
      <c r="CA112" s="46">
        <f>'LINEST VARS'!$U$66+'LINEST VARS'!$T$66*(8)+'LINEST VARS'!$S$66*(8)+'LINEST VARS'!$R$66*($CA$104)+'LINEST VARS'!$Q$66*($BX112)+'LINEST VARS'!$P$66*(12.73)+'LINEST VARS'!$O$66*(8^2)+'LINEST VARS'!$N$66*(8^2)+'LINEST VARS'!$M$66*($CA$104^2)+'LINEST VARS'!$L$66*($BX112^2)+'LINEST VARS'!$K$66*(12.73^2)+'LINEST VARS'!$J$66*(8*8)+'LINEST VARS'!$I$66*(8*$CA$104)+'LINEST VARS'!$H$66*(8*$BX112)+'LINEST VARS'!$G$66*(8*12.73)+'LINEST VARS'!$F$66*(8*$CA$104)+'LINEST VARS'!$E$66*(8*$BX112)+'LINEST VARS'!$D$66*(8*12.73)+'LINEST VARS'!$C$66*($CA$104*$BX112)+'LINEST VARS'!$B$66*($CA$104*12.73)+'LINEST VARS'!$A$66*($BX112*12.73)</f>
        <v>142.40000000000006</v>
      </c>
      <c r="CB112" s="46">
        <f>'LINEST VARS'!$U$66+'LINEST VARS'!$T$66*(8)+'LINEST VARS'!$S$66*(8)+'LINEST VARS'!$R$66*($CB$104)+'LINEST VARS'!$Q$66*($BX112)+'LINEST VARS'!$P$66*(12.73)+'LINEST VARS'!$O$66*(8^2)+'LINEST VARS'!$N$66*(8^2)+'LINEST VARS'!$M$66*($CB$104^2)+'LINEST VARS'!$L$66*($BX112^2)+'LINEST VARS'!$K$66*(12.73^2)+'LINEST VARS'!$J$66*(8*8)+'LINEST VARS'!$I$66*(8*$CB$104)+'LINEST VARS'!$H$66*(8*$BX112)+'LINEST VARS'!$G$66*(8*12.73)+'LINEST VARS'!$F$66*(8*$CB$104)+'LINEST VARS'!$E$66*(8*$BX112)+'LINEST VARS'!$D$66*(8*12.73)+'LINEST VARS'!$C$66*($CB$104*$BX112)+'LINEST VARS'!$B$66*($CB$104*12.73)+'LINEST VARS'!$A$66*($BX112*12.73)</f>
        <v>141.60000000000008</v>
      </c>
      <c r="CC112" s="46">
        <f>'LINEST VARS'!$U$66+'LINEST VARS'!$T$66*(8)+'LINEST VARS'!$S$66*(8)+'LINEST VARS'!$R$66*($CC$104)+'LINEST VARS'!$Q$66*($BX112)+'LINEST VARS'!$P$66*(12.73)+'LINEST VARS'!$O$66*(8^2)+'LINEST VARS'!$N$66*(8^2)+'LINEST VARS'!$M$66*($CC$104^2)+'LINEST VARS'!$L$66*($BX112^2)+'LINEST VARS'!$K$66*(12.73^2)+'LINEST VARS'!$J$66*(8*8)+'LINEST VARS'!$I$66*(8*$CC$104)+'LINEST VARS'!$H$66*(8*$BX112)+'LINEST VARS'!$G$66*(8*12.73)+'LINEST VARS'!$F$66*(8*$CC$104)+'LINEST VARS'!$E$66*(8*$BX112)+'LINEST VARS'!$D$66*(8*12.73)+'LINEST VARS'!$C$66*($CC$104*$BX112)+'LINEST VARS'!$B$66*($CC$104*12.73)+'LINEST VARS'!$A$66*($BX112*12.73)</f>
        <v>140.80000000000007</v>
      </c>
      <c r="CD112" s="46">
        <f>'LINEST VARS'!$U$66+'LINEST VARS'!$T$66*(8)+'LINEST VARS'!$S$66*(8)+'LINEST VARS'!$R$66*($CD$104)+'LINEST VARS'!$Q$66*($BX112)+'LINEST VARS'!$P$66*(12.73)+'LINEST VARS'!$O$66*(8^2)+'LINEST VARS'!$N$66*(8^2)+'LINEST VARS'!$M$66*($CD$104^2)+'LINEST VARS'!$L$66*($BX112^2)+'LINEST VARS'!$K$66*(12.73^2)+'LINEST VARS'!$J$66*(8*8)+'LINEST VARS'!$I$66*(8*$CD$104)+'LINEST VARS'!$H$66*(8*$BX112)+'LINEST VARS'!$G$66*(8*12.73)+'LINEST VARS'!$F$66*(8*$CD$104)+'LINEST VARS'!$E$66*(8*$BX112)+'LINEST VARS'!$D$66*(8*12.73)+'LINEST VARS'!$C$66*($CD$104*$BX112)+'LINEST VARS'!$B$66*($CD$104*12.73)+'LINEST VARS'!$A$66*($BX112*12.73)</f>
        <v>140.00000000000009</v>
      </c>
      <c r="CE112" s="46">
        <f>'LINEST VARS'!$U$66+'LINEST VARS'!$T$66*(8)+'LINEST VARS'!$S$66*(8)+'LINEST VARS'!$R$66*($CE$104)+'LINEST VARS'!$Q$66*($BX112)+'LINEST VARS'!$P$66*(12.73)+'LINEST VARS'!$O$66*(8^2)+'LINEST VARS'!$N$66*(8^2)+'LINEST VARS'!$M$66*($CE$104^2)+'LINEST VARS'!$L$66*($BX112^2)+'LINEST VARS'!$K$66*(12.73^2)+'LINEST VARS'!$J$66*(8*8)+'LINEST VARS'!$I$66*(8*$CE$104)+'LINEST VARS'!$H$66*(8*$BX112)+'LINEST VARS'!$G$66*(8*12.73)+'LINEST VARS'!$F$66*(8*$CE$104)+'LINEST VARS'!$E$66*(8*$BX112)+'LINEST VARS'!$D$66*(8*12.73)+'LINEST VARS'!$C$66*($CE$104*$BX112)+'LINEST VARS'!$B$66*($CE$104*12.73)+'LINEST VARS'!$A$66*($BX112*12.73)</f>
        <v>139.20000000000007</v>
      </c>
      <c r="CF112" s="46">
        <f>'LINEST VARS'!$U$66+'LINEST VARS'!$T$66*(8)+'LINEST VARS'!$S$66*(8)+'LINEST VARS'!$R$66*($CF$104)+'LINEST VARS'!$Q$66*($BX112)+'LINEST VARS'!$P$66*(12.73)+'LINEST VARS'!$O$66*(8^2)+'LINEST VARS'!$N$66*(8^2)+'LINEST VARS'!$M$66*($CF$104^2)+'LINEST VARS'!$L$66*($BX112^2)+'LINEST VARS'!$K$66*(12.73^2)+'LINEST VARS'!$J$66*(8*8)+'LINEST VARS'!$I$66*(8*$CF$104)+'LINEST VARS'!$H$66*(8*$BX112)+'LINEST VARS'!$G$66*(8*12.73)+'LINEST VARS'!$F$66*(8*$CF$104)+'LINEST VARS'!$E$66*(8*$BX112)+'LINEST VARS'!$D$66*(8*12.73)+'LINEST VARS'!$C$66*($CF$104*$BX112)+'LINEST VARS'!$B$66*($CF$104*12.73)+'LINEST VARS'!$A$66*($BX112*12.73)</f>
        <v>138.40000000000009</v>
      </c>
      <c r="CG112" s="46">
        <f>'LINEST VARS'!$U$66+'LINEST VARS'!$T$66*(8)+'LINEST VARS'!$S$66*(8)+'LINEST VARS'!$R$66*($CG$104)+'LINEST VARS'!$Q$66*($BX112)+'LINEST VARS'!$P$66*(12.73)+'LINEST VARS'!$O$66*(8^2)+'LINEST VARS'!$N$66*(8^2)+'LINEST VARS'!$M$66*($CG$104^2)+'LINEST VARS'!$L$66*($BX112^2)+'LINEST VARS'!$K$66*(12.73^2)+'LINEST VARS'!$J$66*(8*8)+'LINEST VARS'!$I$66*(8*$CG$104)+'LINEST VARS'!$H$66*(8*$BX112)+'LINEST VARS'!$G$66*(8*12.73)+'LINEST VARS'!$F$66*(8*$CG$104)+'LINEST VARS'!$E$66*(8*$BX112)+'LINEST VARS'!$D$66*(8*12.73)+'LINEST VARS'!$C$66*($CG$104*$BX112)+'LINEST VARS'!$B$66*($CG$104*12.73)+'LINEST VARS'!$A$66*($BX112*12.73)</f>
        <v>137.60000000000008</v>
      </c>
      <c r="CH112" s="46">
        <f>'LINEST VARS'!$U$66+'LINEST VARS'!$T$66*(8)+'LINEST VARS'!$S$66*(8)+'LINEST VARS'!$R$66*($CH$104)+'LINEST VARS'!$Q$66*($BX112)+'LINEST VARS'!$P$66*(12.73)+'LINEST VARS'!$O$66*(8^2)+'LINEST VARS'!$N$66*(8^2)+'LINEST VARS'!$M$66*($CH$104^2)+'LINEST VARS'!$L$66*($BX112^2)+'LINEST VARS'!$K$66*(12.73^2)+'LINEST VARS'!$J$66*(8*8)+'LINEST VARS'!$I$66*(8*$CH$104)+'LINEST VARS'!$H$66*(8*$BX112)+'LINEST VARS'!$G$66*(8*12.73)+'LINEST VARS'!$F$66*(8*$CH$104)+'LINEST VARS'!$E$66*(8*$BX112)+'LINEST VARS'!$D$66*(8*12.73)+'LINEST VARS'!$C$66*($CH$104*$BX112)+'LINEST VARS'!$B$66*($CH$104*12.73)+'LINEST VARS'!$A$66*($BX112*12.73)</f>
        <v>136.80000000000007</v>
      </c>
      <c r="CI112" s="46">
        <f>'LINEST VARS'!$U$66+'LINEST VARS'!$T$66*(8)+'LINEST VARS'!$S$66*(8)+'LINEST VARS'!$R$66*($CI$104)+'LINEST VARS'!$Q$66*($BX112)+'LINEST VARS'!$P$66*(12.73)+'LINEST VARS'!$O$66*(8^2)+'LINEST VARS'!$N$66*(8^2)+'LINEST VARS'!$M$66*($CI$104^2)+'LINEST VARS'!$L$66*($BX112^2)+'LINEST VARS'!$K$66*(12.73^2)+'LINEST VARS'!$J$66*(8*8)+'LINEST VARS'!$I$66*(8*$CI$104)+'LINEST VARS'!$H$66*(8*$BX112)+'LINEST VARS'!$G$66*(8*12.73)+'LINEST VARS'!$F$66*(8*$CI$104)+'LINEST VARS'!$E$66*(8*$BX112)+'LINEST VARS'!$D$66*(8*12.73)+'LINEST VARS'!$C$66*($CI$104*$BX112)+'LINEST VARS'!$B$66*($CI$104*12.73)+'LINEST VARS'!$A$66*($BX112*12.73)</f>
        <v>136.00000000000006</v>
      </c>
      <c r="CJ112" s="46">
        <f>'LINEST VARS'!$U$66+'LINEST VARS'!$T$66*(8)+'LINEST VARS'!$S$66*(8)+'LINEST VARS'!$R$66*($CJ$104)+'LINEST VARS'!$Q$66*($BX112)+'LINEST VARS'!$P$66*(12.73)+'LINEST VARS'!$O$66*(8^2)+'LINEST VARS'!$N$66*(8^2)+'LINEST VARS'!$M$66*($CJ$104^2)+'LINEST VARS'!$L$66*($BX112^2)+'LINEST VARS'!$K$66*(12.73^2)+'LINEST VARS'!$J$66*(8*8)+'LINEST VARS'!$I$66*(8*$CJ$104)+'LINEST VARS'!$H$66*(8*$BX112)+'LINEST VARS'!$G$66*(8*12.73)+'LINEST VARS'!$F$66*(8*$CJ$104)+'LINEST VARS'!$E$66*(8*$BX112)+'LINEST VARS'!$D$66*(8*12.73)+'LINEST VARS'!$C$66*($CJ$104*$BX112)+'LINEST VARS'!$B$66*($CJ$104*12.73)+'LINEST VARS'!$A$66*($BX112*12.73)</f>
        <v>135.20000000000005</v>
      </c>
      <c r="CK112" s="46">
        <f>'LINEST VARS'!$U$66+'LINEST VARS'!$T$66*(8)+'LINEST VARS'!$S$66*(8)+'LINEST VARS'!$R$66*($CK$104)+'LINEST VARS'!$Q$66*($BX112)+'LINEST VARS'!$P$66*(12.73)+'LINEST VARS'!$O$66*(8^2)+'LINEST VARS'!$N$66*(8^2)+'LINEST VARS'!$M$66*($CK$104^2)+'LINEST VARS'!$L$66*($BX112^2)+'LINEST VARS'!$K$66*(12.73^2)+'LINEST VARS'!$J$66*(8*8)+'LINEST VARS'!$I$66*(8*$CK$104)+'LINEST VARS'!$H$66*(8*$BX112)+'LINEST VARS'!$G$66*(8*12.73)+'LINEST VARS'!$F$66*(8*$CK$104)+'LINEST VARS'!$E$66*(8*$BX112)+'LINEST VARS'!$D$66*(8*12.73)+'LINEST VARS'!$C$66*($CK$104*$BX112)+'LINEST VARS'!$B$66*($CK$104*12.73)+'LINEST VARS'!$A$66*($BX112*12.73)</f>
        <v>134.40000000000003</v>
      </c>
      <c r="CL112" s="46">
        <f>'LINEST VARS'!$U$66+'LINEST VARS'!$T$66*(8)+'LINEST VARS'!$S$66*(8)+'LINEST VARS'!$R$66*($CL$104)+'LINEST VARS'!$Q$66*($BX112)+'LINEST VARS'!$P$66*(12.73)+'LINEST VARS'!$O$66*(8^2)+'LINEST VARS'!$N$66*(8^2)+'LINEST VARS'!$M$66*($CL$104^2)+'LINEST VARS'!$L$66*($BX112^2)+'LINEST VARS'!$K$66*(12.73^2)+'LINEST VARS'!$J$66*(8*8)+'LINEST VARS'!$I$66*(8*$CL$104)+'LINEST VARS'!$H$66*(8*$BX112)+'LINEST VARS'!$G$66*(8*12.73)+'LINEST VARS'!$F$66*(8*$CL$104)+'LINEST VARS'!$E$66*(8*$BX112)+'LINEST VARS'!$D$66*(8*12.73)+'LINEST VARS'!$C$66*($CL$104*$BX112)+'LINEST VARS'!$B$66*($CL$104*12.73)+'LINEST VARS'!$A$66*($BX112*12.73)</f>
        <v>133.60000000000005</v>
      </c>
      <c r="CM112" s="46">
        <f>'LINEST VARS'!$U$66+'LINEST VARS'!$T$66*(8)+'LINEST VARS'!$S$66*(8)+'LINEST VARS'!$R$66*($CM$104)+'LINEST VARS'!$Q$66*($BX112)+'LINEST VARS'!$P$66*(12.73)+'LINEST VARS'!$O$66*(8^2)+'LINEST VARS'!$N$66*(8^2)+'LINEST VARS'!$M$66*($CM$104^2)+'LINEST VARS'!$L$66*($BX112^2)+'LINEST VARS'!$K$66*(12.73^2)+'LINEST VARS'!$J$66*(8*8)+'LINEST VARS'!$I$66*(8*$CM$104)+'LINEST VARS'!$H$66*(8*$BX112)+'LINEST VARS'!$G$66*(8*12.73)+'LINEST VARS'!$F$66*(8*$CM$104)+'LINEST VARS'!$E$66*(8*$BX112)+'LINEST VARS'!$D$66*(8*12.73)+'LINEST VARS'!$C$66*($CM$104*$BX112)+'LINEST VARS'!$B$66*($CM$104*12.73)+'LINEST VARS'!$A$66*($BX112*12.73)</f>
        <v>132.80000000000004</v>
      </c>
      <c r="CN112" s="46">
        <f>'LINEST VARS'!$U$66+'LINEST VARS'!$T$66*(8)+'LINEST VARS'!$S$66*(8)+'LINEST VARS'!$R$66*($CN$104)+'LINEST VARS'!$Q$66*($BX112)+'LINEST VARS'!$P$66*(12.73)+'LINEST VARS'!$O$66*(8^2)+'LINEST VARS'!$N$66*(8^2)+'LINEST VARS'!$M$66*($CN$104^2)+'LINEST VARS'!$L$66*($BX112^2)+'LINEST VARS'!$K$66*(12.73^2)+'LINEST VARS'!$J$66*(8*8)+'LINEST VARS'!$I$66*(8*$CN$104)+'LINEST VARS'!$H$66*(8*$BX112)+'LINEST VARS'!$G$66*(8*12.73)+'LINEST VARS'!$F$66*(8*$CN$104)+'LINEST VARS'!$E$66*(8*$BX112)+'LINEST VARS'!$D$66*(8*12.73)+'LINEST VARS'!$C$66*($CN$104*$BX112)+'LINEST VARS'!$B$66*($CN$104*12.73)+'LINEST VARS'!$A$66*($BX112*12.73)</f>
        <v>132.00000000000006</v>
      </c>
      <c r="CO112" s="46">
        <f>'LINEST VARS'!$U$66+'LINEST VARS'!$T$66*(8)+'LINEST VARS'!$S$66*(8)+'LINEST VARS'!$R$66*($CO$104)+'LINEST VARS'!$Q$66*($BX112)+'LINEST VARS'!$P$66*(12.73)+'LINEST VARS'!$O$66*(8^2)+'LINEST VARS'!$N$66*(8^2)+'LINEST VARS'!$M$66*($CO$104^2)+'LINEST VARS'!$L$66*($BX112^2)+'LINEST VARS'!$K$66*(12.73^2)+'LINEST VARS'!$J$66*(8*8)+'LINEST VARS'!$I$66*(8*$CO$104)+'LINEST VARS'!$H$66*(8*$BX112)+'LINEST VARS'!$G$66*(8*12.73)+'LINEST VARS'!$F$66*(8*$CO$104)+'LINEST VARS'!$E$66*(8*$BX112)+'LINEST VARS'!$D$66*(8*12.73)+'LINEST VARS'!$C$66*($CO$104*$BX112)+'LINEST VARS'!$B$66*($CO$104*12.73)+'LINEST VARS'!$A$66*($BX112*12.73)</f>
        <v>131.20000000000005</v>
      </c>
      <c r="CP112" s="46">
        <f>'LINEST VARS'!$U$66+'LINEST VARS'!$T$66*(8)+'LINEST VARS'!$S$66*(8)+'LINEST VARS'!$R$66*($CP$104)+'LINEST VARS'!$Q$66*($BX112)+'LINEST VARS'!$P$66*(12.73)+'LINEST VARS'!$O$66*(8^2)+'LINEST VARS'!$N$66*(8^2)+'LINEST VARS'!$M$66*($CP$104^2)+'LINEST VARS'!$L$66*($BX112^2)+'LINEST VARS'!$K$66*(12.73^2)+'LINEST VARS'!$J$66*(8*8)+'LINEST VARS'!$I$66*(8*$CP$104)+'LINEST VARS'!$H$66*(8*$BX112)+'LINEST VARS'!$G$66*(8*12.73)+'LINEST VARS'!$F$66*(8*$CP$104)+'LINEST VARS'!$E$66*(8*$BX112)+'LINEST VARS'!$D$66*(8*12.73)+'LINEST VARS'!$C$66*($CP$104*$BX112)+'LINEST VARS'!$B$66*($CP$104*12.73)+'LINEST VARS'!$A$66*($BX112*12.73)</f>
        <v>130.40000000000009</v>
      </c>
      <c r="CQ112" s="46">
        <f>'LINEST VARS'!$U$66+'LINEST VARS'!$T$66*(8)+'LINEST VARS'!$S$66*(8)+'LINEST VARS'!$R$66*($CQ$104)+'LINEST VARS'!$Q$66*($BX112)+'LINEST VARS'!$P$66*(12.73)+'LINEST VARS'!$O$66*(8^2)+'LINEST VARS'!$N$66*(8^2)+'LINEST VARS'!$M$66*($CQ$104^2)+'LINEST VARS'!$L$66*($BX112^2)+'LINEST VARS'!$K$66*(12.73^2)+'LINEST VARS'!$J$66*(8*8)+'LINEST VARS'!$I$66*(8*$CQ$104)+'LINEST VARS'!$H$66*(8*$BX112)+'LINEST VARS'!$G$66*(8*12.73)+'LINEST VARS'!$F$66*(8*$CQ$104)+'LINEST VARS'!$E$66*(8*$BX112)+'LINEST VARS'!$D$66*(8*12.73)+'LINEST VARS'!$C$66*($CQ$104*$BX112)+'LINEST VARS'!$B$66*($CQ$104*12.73)+'LINEST VARS'!$A$66*($BX112*12.73)</f>
        <v>129.60000000000008</v>
      </c>
      <c r="CR112" s="46">
        <f>'LINEST VARS'!$U$66+'LINEST VARS'!$T$66*(8)+'LINEST VARS'!$S$66*(8)+'LINEST VARS'!$R$66*($CR$104)+'LINEST VARS'!$Q$66*($BX112)+'LINEST VARS'!$P$66*(12.73)+'LINEST VARS'!$O$66*(8^2)+'LINEST VARS'!$N$66*(8^2)+'LINEST VARS'!$M$66*($CR$104^2)+'LINEST VARS'!$L$66*($BX112^2)+'LINEST VARS'!$K$66*(12.73^2)+'LINEST VARS'!$J$66*(8*8)+'LINEST VARS'!$I$66*(8*$CR$104)+'LINEST VARS'!$H$66*(8*$BX112)+'LINEST VARS'!$G$66*(8*12.73)+'LINEST VARS'!$F$66*(8*$CR$104)+'LINEST VARS'!$E$66*(8*$BX112)+'LINEST VARS'!$D$66*(8*12.73)+'LINEST VARS'!$C$66*($CR$104*$BX112)+'LINEST VARS'!$B$66*($CR$104*12.73)+'LINEST VARS'!$A$66*($BX112*12.73)</f>
        <v>128.8000000000001</v>
      </c>
      <c r="CS112" s="47">
        <f>'LINEST VARS'!$U$66+'LINEST VARS'!$T$66*(8)+'LINEST VARS'!$S$66*(8)+'LINEST VARS'!$R$66*($CS$104)+'LINEST VARS'!$Q$66*($BX112)+'LINEST VARS'!$P$66*(12.73)+'LINEST VARS'!$O$66*(8^2)+'LINEST VARS'!$N$66*(8^2)+'LINEST VARS'!$M$66*($CS$104^2)+'LINEST VARS'!$L$66*($BX112^2)+'LINEST VARS'!$K$66*(12.73^2)+'LINEST VARS'!$J$66*(8*8)+'LINEST VARS'!$I$66*(8*$CS$104)+'LINEST VARS'!$H$66*(8*$BX112)+'LINEST VARS'!$G$66*(8*12.73)+'LINEST VARS'!$F$66*(8*$CS$104)+'LINEST VARS'!$E$66*(8*$BX112)+'LINEST VARS'!$D$66*(8*12.73)+'LINEST VARS'!$C$66*($CS$104*$BX112)+'LINEST VARS'!$B$66*($CS$104*12.73)+'LINEST VARS'!$A$66*($BX112*12.73)</f>
        <v>128.00000000000006</v>
      </c>
      <c r="CX112" s="45">
        <v>9.0965000000000007</v>
      </c>
      <c r="CY112" s="55">
        <f>'LINEST VARS'!$U$64+'LINEST VARS'!$T$64*(8)+'LINEST VARS'!$S$64*(8)+'LINEST VARS'!$R$64*($CY$104)+'LINEST VARS'!$Q$64*(0.5)+'LINEST VARS'!$P$64*($CX112)+'LINEST VARS'!$O$64*(8^2)+'LINEST VARS'!$N$64*(8^2)+'LINEST VARS'!$M$64*($CY$104^2)+'LINEST VARS'!$L$64*(0.5^2)+'LINEST VARS'!$K$64*($CX112^2)+'LINEST VARS'!$J$64*(8*8)+'LINEST VARS'!$I$64*(8*$CY$104)+'LINEST VARS'!$H$64*(8*0.5)+'LINEST VARS'!$G$64*(8*$CX112)+'LINEST VARS'!$F$64*(8*$CY$104)+'LINEST VARS'!$E$64*(8*0.5)+'LINEST VARS'!$D$64*(8*$CX112)+'LINEST VARS'!$C$64*($CY$104*0.5)+'LINEST VARS'!$B$64*($CY$104*$CX112)+'LINEST VARS'!$A$64*(0.5*$CX112)</f>
        <v>137.28949999999989</v>
      </c>
      <c r="CZ112" s="55">
        <f>'LINEST VARS'!$U$64+'LINEST VARS'!$T$64*(8)+'LINEST VARS'!$S$64*(8)+'LINEST VARS'!$R$64*($CZ$104)+'LINEST VARS'!$Q$64*(0.5)+'LINEST VARS'!$P$64*($CX112)+'LINEST VARS'!$O$64*(8^2)+'LINEST VARS'!$N$64*(8^2)+'LINEST VARS'!$M$64*($CZ$104^2)+'LINEST VARS'!$L$64*(0.5^2)+'LINEST VARS'!$K$64*($CX112^2)+'LINEST VARS'!$J$64*(8*8)+'LINEST VARS'!$I$64*(8*$CZ$104)+'LINEST VARS'!$H$64*(8*0.5)+'LINEST VARS'!$G$64*(8*$CX112)+'LINEST VARS'!$F$64*(8*$CZ$104)+'LINEST VARS'!$E$64*(8*0.5)+'LINEST VARS'!$D$64*(8*$CX112)+'LINEST VARS'!$C$64*($CZ$104*0.5)+'LINEST VARS'!$B$64*($CZ$104*$CX112)+'LINEST VARS'!$A$64*(0.5*$CX112)</f>
        <v>138.88949999999988</v>
      </c>
      <c r="DA112" s="55">
        <f>'LINEST VARS'!$U$64+'LINEST VARS'!$T$64*(8)+'LINEST VARS'!$S$64*(8)+'LINEST VARS'!$R$64*($DA$104)+'LINEST VARS'!$Q$64*(0.5)+'LINEST VARS'!$P$64*($CX112)+'LINEST VARS'!$O$64*(8^2)+'LINEST VARS'!$N$64*(8^2)+'LINEST VARS'!$M$64*($DA$104^2)+'LINEST VARS'!$L$64*(0.5^2)+'LINEST VARS'!$K$64*($CX112^2)+'LINEST VARS'!$J$64*(8*8)+'LINEST VARS'!$I$64*(8*$DA$104)+'LINEST VARS'!$H$64*(8*0.5)+'LINEST VARS'!$G$64*(8*$CX112)+'LINEST VARS'!$F$64*(8*$DA$104)+'LINEST VARS'!$E$64*(8*0.5)+'LINEST VARS'!$D$64*(8*$CX112)+'LINEST VARS'!$C$64*($DA$104*0.5)+'LINEST VARS'!$B$64*($DA$104*$CX112)+'LINEST VARS'!$A$64*(0.5*$CX112)</f>
        <v>140.48949999999991</v>
      </c>
      <c r="DB112" s="55">
        <f>'LINEST VARS'!$U$64+'LINEST VARS'!$T$64*(8)+'LINEST VARS'!$S$64*(8)+'LINEST VARS'!$R$64*($DB$104)+'LINEST VARS'!$Q$64*(0.5)+'LINEST VARS'!$P$64*($CX112)+'LINEST VARS'!$O$64*(8^2)+'LINEST VARS'!$N$64*(8^2)+'LINEST VARS'!$M$64*($DB$104^2)+'LINEST VARS'!$L$64*(0.5^2)+'LINEST VARS'!$K$64*($CX112^2)+'LINEST VARS'!$J$64*(8*8)+'LINEST VARS'!$I$64*(8*$DB$104)+'LINEST VARS'!$H$64*(8*0.5)+'LINEST VARS'!$G$64*(8*$CX112)+'LINEST VARS'!$F$64*(8*$DB$104)+'LINEST VARS'!$E$64*(8*0.5)+'LINEST VARS'!$D$64*(8*$CX112)+'LINEST VARS'!$C$64*($DB$104*0.5)+'LINEST VARS'!$B$64*($DB$104*$CX112)+'LINEST VARS'!$A$64*(0.5*$CX112)</f>
        <v>142.0894999999999</v>
      </c>
      <c r="DC112" s="55">
        <f>'LINEST VARS'!$U$64+'LINEST VARS'!$T$64*(8)+'LINEST VARS'!$S$64*(8)+'LINEST VARS'!$R$64*($DC$104)+'LINEST VARS'!$Q$64*(0.5)+'LINEST VARS'!$P$64*($CX112)+'LINEST VARS'!$O$64*(8^2)+'LINEST VARS'!$N$64*(8^2)+'LINEST VARS'!$M$64*($DC$104^2)+'LINEST VARS'!$L$64*(0.5^2)+'LINEST VARS'!$K$64*($CX112^2)+'LINEST VARS'!$J$64*(8*8)+'LINEST VARS'!$I$64*(8*$DC$104)+'LINEST VARS'!$H$64*(8*0.5)+'LINEST VARS'!$G$64*(8*$CX112)+'LINEST VARS'!$F$64*(8*$DC$104)+'LINEST VARS'!$E$64*(8*0.5)+'LINEST VARS'!$D$64*(8*$CX112)+'LINEST VARS'!$C$64*($DC$104*0.5)+'LINEST VARS'!$B$64*($DC$104*$CX112)+'LINEST VARS'!$A$64*(0.5*$CX112)</f>
        <v>143.6894999999999</v>
      </c>
      <c r="DD112" s="55">
        <f>'LINEST VARS'!$U$64+'LINEST VARS'!$T$64*(8)+'LINEST VARS'!$S$64*(8)+'LINEST VARS'!$R$64*($DD$104)+'LINEST VARS'!$Q$64*(0.5)+'LINEST VARS'!$P$64*($CX112)+'LINEST VARS'!$O$64*(8^2)+'LINEST VARS'!$N$64*(8^2)+'LINEST VARS'!$M$64*($DD$104^2)+'LINEST VARS'!$L$64*(0.5^2)+'LINEST VARS'!$K$64*($CX112^2)+'LINEST VARS'!$J$64*(8*8)+'LINEST VARS'!$I$64*(8*$DD$104)+'LINEST VARS'!$H$64*(8*0.5)+'LINEST VARS'!$G$64*(8*$CX112)+'LINEST VARS'!$F$64*(8*$DD$104)+'LINEST VARS'!$E$64*(8*0.5)+'LINEST VARS'!$D$64*(8*$CX112)+'LINEST VARS'!$C$64*($DD$104*0.5)+'LINEST VARS'!$B$64*($DD$104*$CX112)+'LINEST VARS'!$A$64*(0.5*$CX112)</f>
        <v>145.28949999999989</v>
      </c>
      <c r="DE112" s="55">
        <f>'LINEST VARS'!$U$64+'LINEST VARS'!$T$64*(8)+'LINEST VARS'!$S$64*(8)+'LINEST VARS'!$R$64*($DE$104)+'LINEST VARS'!$Q$64*(0.5)+'LINEST VARS'!$P$64*($CX112)+'LINEST VARS'!$O$64*(8^2)+'LINEST VARS'!$N$64*(8^2)+'LINEST VARS'!$M$64*($DE$104^2)+'LINEST VARS'!$L$64*(0.5^2)+'LINEST VARS'!$K$64*($CX112^2)+'LINEST VARS'!$J$64*(8*8)+'LINEST VARS'!$I$64*(8*$DE$104)+'LINEST VARS'!$H$64*(8*0.5)+'LINEST VARS'!$G$64*(8*$CX112)+'LINEST VARS'!$F$64*(8*$DE$104)+'LINEST VARS'!$E$64*(8*0.5)+'LINEST VARS'!$D$64*(8*$CX112)+'LINEST VARS'!$C$64*($DE$104*0.5)+'LINEST VARS'!$B$64*($DE$104*$CX112)+'LINEST VARS'!$A$64*(0.5*$CX112)</f>
        <v>146.88949999999988</v>
      </c>
      <c r="DF112" s="55">
        <f>'LINEST VARS'!$U$64+'LINEST VARS'!$T$64*(8)+'LINEST VARS'!$S$64*(8)+'LINEST VARS'!$R$64*($DF$104)+'LINEST VARS'!$Q$64*(0.5)+'LINEST VARS'!$P$64*($CX112)+'LINEST VARS'!$O$64*(8^2)+'LINEST VARS'!$N$64*(8^2)+'LINEST VARS'!$M$64*($DF$104^2)+'LINEST VARS'!$L$64*(0.5^2)+'LINEST VARS'!$K$64*($CX112^2)+'LINEST VARS'!$J$64*(8*8)+'LINEST VARS'!$I$64*(8*$DF$104)+'LINEST VARS'!$H$64*(8*0.5)+'LINEST VARS'!$G$64*(8*$CX112)+'LINEST VARS'!$F$64*(8*$DF$104)+'LINEST VARS'!$E$64*(8*0.5)+'LINEST VARS'!$D$64*(8*$CX112)+'LINEST VARS'!$C$64*($DF$104*0.5)+'LINEST VARS'!$B$64*($DF$104*$CX112)+'LINEST VARS'!$A$64*(0.5*$CX112)</f>
        <v>148.48949999999991</v>
      </c>
      <c r="DG112" s="55">
        <f>'LINEST VARS'!$U$64+'LINEST VARS'!$T$64*(8)+'LINEST VARS'!$S$64*(8)+'LINEST VARS'!$R$64*($DG$104)+'LINEST VARS'!$Q$64*(0.5)+'LINEST VARS'!$P$64*($CX112)+'LINEST VARS'!$O$64*(8^2)+'LINEST VARS'!$N$64*(8^2)+'LINEST VARS'!$M$64*($DG$104^2)+'LINEST VARS'!$L$64*(0.5^2)+'LINEST VARS'!$K$64*($CX112^2)+'LINEST VARS'!$J$64*(8*8)+'LINEST VARS'!$I$64*(8*$DG$104)+'LINEST VARS'!$H$64*(8*0.5)+'LINEST VARS'!$G$64*(8*$CX112)+'LINEST VARS'!$F$64*(8*$DG$104)+'LINEST VARS'!$E$64*(8*0.5)+'LINEST VARS'!$D$64*(8*$CX112)+'LINEST VARS'!$C$64*($DG$104*0.5)+'LINEST VARS'!$B$64*($DG$104*$CX112)+'LINEST VARS'!$A$64*(0.5*$CX112)</f>
        <v>150.0894999999999</v>
      </c>
      <c r="DH112" s="55">
        <f>'LINEST VARS'!$U$64+'LINEST VARS'!$T$64*(8)+'LINEST VARS'!$S$64*(8)+'LINEST VARS'!$R$64*($DH$104)+'LINEST VARS'!$Q$64*(0.5)+'LINEST VARS'!$P$64*($CX112)+'LINEST VARS'!$O$64*(8^2)+'LINEST VARS'!$N$64*(8^2)+'LINEST VARS'!$M$64*($DH$104^2)+'LINEST VARS'!$L$64*(0.5^2)+'LINEST VARS'!$K$64*($CX112^2)+'LINEST VARS'!$J$64*(8*8)+'LINEST VARS'!$I$64*(8*$DH$104)+'LINEST VARS'!$H$64*(8*0.5)+'LINEST VARS'!$G$64*(8*$CX112)+'LINEST VARS'!$F$64*(8*$DH$104)+'LINEST VARS'!$E$64*(8*0.5)+'LINEST VARS'!$D$64*(8*$CX112)+'LINEST VARS'!$C$64*($DH$104*0.5)+'LINEST VARS'!$B$64*($DH$104*$CX112)+'LINEST VARS'!$A$64*(0.5*$CX112)</f>
        <v>151.6894999999999</v>
      </c>
      <c r="DI112" s="55">
        <f>'LINEST VARS'!$U$64+'LINEST VARS'!$T$64*(8)+'LINEST VARS'!$S$64*(8)+'LINEST VARS'!$R$64*($DI$104)+'LINEST VARS'!$Q$64*(0.5)+'LINEST VARS'!$P$64*($CX112)+'LINEST VARS'!$O$64*(8^2)+'LINEST VARS'!$N$64*(8^2)+'LINEST VARS'!$M$64*($DI$104^2)+'LINEST VARS'!$L$64*(0.5^2)+'LINEST VARS'!$K$64*($CX112^2)+'LINEST VARS'!$J$64*(8*8)+'LINEST VARS'!$I$64*(8*$DI$104)+'LINEST VARS'!$H$64*(8*0.5)+'LINEST VARS'!$G$64*(8*$CX112)+'LINEST VARS'!$F$64*(8*$DI$104)+'LINEST VARS'!$E$64*(8*0.5)+'LINEST VARS'!$D$64*(8*$CX112)+'LINEST VARS'!$C$64*($DI$104*0.5)+'LINEST VARS'!$B$64*($DI$104*$CX112)+'LINEST VARS'!$A$64*(0.5*$CX112)</f>
        <v>153.28949999999989</v>
      </c>
      <c r="DJ112" s="55">
        <f>'LINEST VARS'!$U$64+'LINEST VARS'!$T$64*(8)+'LINEST VARS'!$S$64*(8)+'LINEST VARS'!$R$64*($DJ$104)+'LINEST VARS'!$Q$64*(0.5)+'LINEST VARS'!$P$64*($CX112)+'LINEST VARS'!$O$64*(8^2)+'LINEST VARS'!$N$64*(8^2)+'LINEST VARS'!$M$64*($DJ$104^2)+'LINEST VARS'!$L$64*(0.5^2)+'LINEST VARS'!$K$64*($CX112^2)+'LINEST VARS'!$J$64*(8*8)+'LINEST VARS'!$I$64*(8*$DJ$104)+'LINEST VARS'!$H$64*(8*0.5)+'LINEST VARS'!$G$64*(8*$CX112)+'LINEST VARS'!$F$64*(8*$DJ$104)+'LINEST VARS'!$E$64*(8*0.5)+'LINEST VARS'!$D$64*(8*$CX112)+'LINEST VARS'!$C$64*($DJ$104*0.5)+'LINEST VARS'!$B$64*($DJ$104*$CX112)+'LINEST VARS'!$A$64*(0.5*$CX112)</f>
        <v>154.88949999999991</v>
      </c>
      <c r="DK112" s="55">
        <f>'LINEST VARS'!$U$64+'LINEST VARS'!$T$64*(8)+'LINEST VARS'!$S$64*(8)+'LINEST VARS'!$R$64*($DK$104)+'LINEST VARS'!$Q$64*(0.5)+'LINEST VARS'!$P$64*($CX112)+'LINEST VARS'!$O$64*(8^2)+'LINEST VARS'!$N$64*(8^2)+'LINEST VARS'!$M$64*($DK$104^2)+'LINEST VARS'!$L$64*(0.5^2)+'LINEST VARS'!$K$64*($CX112^2)+'LINEST VARS'!$J$64*(8*8)+'LINEST VARS'!$I$64*(8*$DK$104)+'LINEST VARS'!$H$64*(8*0.5)+'LINEST VARS'!$G$64*(8*$CX112)+'LINEST VARS'!$F$64*(8*$DK$104)+'LINEST VARS'!$E$64*(8*0.5)+'LINEST VARS'!$D$64*(8*$CX112)+'LINEST VARS'!$C$64*($DK$104*0.5)+'LINEST VARS'!$B$64*($DK$104*$CX112)+'LINEST VARS'!$A$64*(0.5*$CX112)</f>
        <v>156.48949999999988</v>
      </c>
      <c r="DL112" s="55">
        <f>'LINEST VARS'!$U$64+'LINEST VARS'!$T$64*(8)+'LINEST VARS'!$S$64*(8)+'LINEST VARS'!$R$64*($DL$104)+'LINEST VARS'!$Q$64*(0.5)+'LINEST VARS'!$P$64*($CX112)+'LINEST VARS'!$O$64*(8^2)+'LINEST VARS'!$N$64*(8^2)+'LINEST VARS'!$M$64*($DL$104^2)+'LINEST VARS'!$L$64*(0.5^2)+'LINEST VARS'!$K$64*($CX112^2)+'LINEST VARS'!$J$64*(8*8)+'LINEST VARS'!$I$64*(8*$DL$104)+'LINEST VARS'!$H$64*(8*0.5)+'LINEST VARS'!$G$64*(8*$CX112)+'LINEST VARS'!$F$64*(8*$DL$104)+'LINEST VARS'!$E$64*(8*0.5)+'LINEST VARS'!$D$64*(8*$CX112)+'LINEST VARS'!$C$64*($DL$104*0.5)+'LINEST VARS'!$B$64*($DL$104*$CX112)+'LINEST VARS'!$A$64*(0.5*$CX112)</f>
        <v>158.0894999999999</v>
      </c>
      <c r="DM112" s="55">
        <f>'LINEST VARS'!$U$64+'LINEST VARS'!$T$64*(8)+'LINEST VARS'!$S$64*(8)+'LINEST VARS'!$R$64*($DM$104)+'LINEST VARS'!$Q$64*(0.5)+'LINEST VARS'!$P$64*($CX112)+'LINEST VARS'!$O$64*(8^2)+'LINEST VARS'!$N$64*(8^2)+'LINEST VARS'!$M$64*($DM$104^2)+'LINEST VARS'!$L$64*(0.5^2)+'LINEST VARS'!$K$64*($CX112^2)+'LINEST VARS'!$J$64*(8*8)+'LINEST VARS'!$I$64*(8*$DM$104)+'LINEST VARS'!$H$64*(8*0.5)+'LINEST VARS'!$G$64*(8*$CX112)+'LINEST VARS'!$F$64*(8*$DM$104)+'LINEST VARS'!$E$64*(8*0.5)+'LINEST VARS'!$D$64*(8*$CX112)+'LINEST VARS'!$C$64*($DM$104*0.5)+'LINEST VARS'!$B$64*($DM$104*$CX112)+'LINEST VARS'!$A$64*(0.5*$CX112)</f>
        <v>159.68949999999987</v>
      </c>
      <c r="DN112" s="55">
        <f>'LINEST VARS'!$U$64+'LINEST VARS'!$T$64*(8)+'LINEST VARS'!$S$64*(8)+'LINEST VARS'!$R$64*($DN$104)+'LINEST VARS'!$Q$64*(0.5)+'LINEST VARS'!$P$64*($CX112)+'LINEST VARS'!$O$64*(8^2)+'LINEST VARS'!$N$64*(8^2)+'LINEST VARS'!$M$64*($DN$104^2)+'LINEST VARS'!$L$64*(0.5^2)+'LINEST VARS'!$K$64*($CX112^2)+'LINEST VARS'!$J$64*(8*8)+'LINEST VARS'!$I$64*(8*$DN$104)+'LINEST VARS'!$H$64*(8*0.5)+'LINEST VARS'!$G$64*(8*$CX112)+'LINEST VARS'!$F$64*(8*$DN$104)+'LINEST VARS'!$E$64*(8*0.5)+'LINEST VARS'!$D$64*(8*$CX112)+'LINEST VARS'!$C$64*($DN$104*0.5)+'LINEST VARS'!$B$64*($DN$104*$CX112)+'LINEST VARS'!$A$64*(0.5*$CX112)</f>
        <v>161.28949999999986</v>
      </c>
      <c r="DO112" s="55">
        <f>'LINEST VARS'!$U$64+'LINEST VARS'!$T$64*(8)+'LINEST VARS'!$S$64*(8)+'LINEST VARS'!$R$64*($DO$104)+'LINEST VARS'!$Q$64*(0.5)+'LINEST VARS'!$P$64*($CX112)+'LINEST VARS'!$O$64*(8^2)+'LINEST VARS'!$N$64*(8^2)+'LINEST VARS'!$M$64*($DO$104^2)+'LINEST VARS'!$L$64*(0.5^2)+'LINEST VARS'!$K$64*($CX112^2)+'LINEST VARS'!$J$64*(8*8)+'LINEST VARS'!$I$64*(8*$DO$104)+'LINEST VARS'!$H$64*(8*0.5)+'LINEST VARS'!$G$64*(8*$CX112)+'LINEST VARS'!$F$64*(8*$DO$104)+'LINEST VARS'!$E$64*(8*0.5)+'LINEST VARS'!$D$64*(8*$CX112)+'LINEST VARS'!$C$64*($DO$104*0.5)+'LINEST VARS'!$B$64*($DO$104*$CX112)+'LINEST VARS'!$A$64*(0.5*$CX112)</f>
        <v>162.88949999999988</v>
      </c>
      <c r="DP112" s="55">
        <f>'LINEST VARS'!$U$64+'LINEST VARS'!$T$64*(8)+'LINEST VARS'!$S$64*(8)+'LINEST VARS'!$R$64*($DP$104)+'LINEST VARS'!$Q$64*(0.5)+'LINEST VARS'!$P$64*($CX112)+'LINEST VARS'!$O$64*(8^2)+'LINEST VARS'!$N$64*(8^2)+'LINEST VARS'!$M$64*($DP$104^2)+'LINEST VARS'!$L$64*(0.5^2)+'LINEST VARS'!$K$64*($CX112^2)+'LINEST VARS'!$J$64*(8*8)+'LINEST VARS'!$I$64*(8*$DP$104)+'LINEST VARS'!$H$64*(8*0.5)+'LINEST VARS'!$G$64*(8*$CX112)+'LINEST VARS'!$F$64*(8*$DP$104)+'LINEST VARS'!$E$64*(8*0.5)+'LINEST VARS'!$D$64*(8*$CX112)+'LINEST VARS'!$C$64*($DP$104*0.5)+'LINEST VARS'!$B$64*($DP$104*$CX112)+'LINEST VARS'!$A$64*(0.5*$CX112)</f>
        <v>164.48949999999988</v>
      </c>
      <c r="DQ112" s="55">
        <f>'LINEST VARS'!$U$64+'LINEST VARS'!$T$64*(8)+'LINEST VARS'!$S$64*(8)+'LINEST VARS'!$R$64*($DQ$104)+'LINEST VARS'!$Q$64*(0.5)+'LINEST VARS'!$P$64*($CX112)+'LINEST VARS'!$O$64*(8^2)+'LINEST VARS'!$N$64*(8^2)+'LINEST VARS'!$M$64*($DQ$104^2)+'LINEST VARS'!$L$64*(0.5^2)+'LINEST VARS'!$K$64*($CX112^2)+'LINEST VARS'!$J$64*(8*8)+'LINEST VARS'!$I$64*(8*$DQ$104)+'LINEST VARS'!$H$64*(8*0.5)+'LINEST VARS'!$G$64*(8*$CX112)+'LINEST VARS'!$F$64*(8*$DQ$104)+'LINEST VARS'!$E$64*(8*0.5)+'LINEST VARS'!$D$64*(8*$CX112)+'LINEST VARS'!$C$64*($DQ$104*0.5)+'LINEST VARS'!$B$64*($DQ$104*$CX112)+'LINEST VARS'!$A$64*(0.5*$CX112)</f>
        <v>166.08949999999987</v>
      </c>
      <c r="DR112" s="55">
        <f>'LINEST VARS'!$U$64+'LINEST VARS'!$T$64*(8)+'LINEST VARS'!$S$64*(8)+'LINEST VARS'!$R$64*($DR$104)+'LINEST VARS'!$Q$64*(0.5)+'LINEST VARS'!$P$64*($CX112)+'LINEST VARS'!$O$64*(8^2)+'LINEST VARS'!$N$64*(8^2)+'LINEST VARS'!$M$64*($DR$104^2)+'LINEST VARS'!$L$64*(0.5^2)+'LINEST VARS'!$K$64*($CX112^2)+'LINEST VARS'!$J$64*(8*8)+'LINEST VARS'!$I$64*(8*$DR$104)+'LINEST VARS'!$H$64*(8*0.5)+'LINEST VARS'!$G$64*(8*$CX112)+'LINEST VARS'!$F$64*(8*$DR$104)+'LINEST VARS'!$E$64*(8*0.5)+'LINEST VARS'!$D$64*(8*$CX112)+'LINEST VARS'!$C$64*($DR$104*0.5)+'LINEST VARS'!$B$64*($DR$104*$CX112)+'LINEST VARS'!$A$64*(0.5*$CX112)</f>
        <v>167.68949999999987</v>
      </c>
      <c r="DS112" s="56">
        <f>'LINEST VARS'!$U$64+'LINEST VARS'!$T$64*(8)+'LINEST VARS'!$S$64*(8)+'LINEST VARS'!$R$64*($DS$104)+'LINEST VARS'!$Q$64*(0.5)+'LINEST VARS'!$P$64*($CX112)+'LINEST VARS'!$O$64*(8^2)+'LINEST VARS'!$N$64*(8^2)+'LINEST VARS'!$M$64*($DS$104^2)+'LINEST VARS'!$L$64*(0.5^2)+'LINEST VARS'!$K$64*($CX112^2)+'LINEST VARS'!$J$64*(8*8)+'LINEST VARS'!$I$64*(8*$DS$104)+'LINEST VARS'!$H$64*(8*0.5)+'LINEST VARS'!$G$64*(8*$CX112)+'LINEST VARS'!$F$64*(8*$DS$104)+'LINEST VARS'!$E$64*(8*0.5)+'LINEST VARS'!$D$64*(8*$CX112)+'LINEST VARS'!$C$64*($DS$104*0.5)+'LINEST VARS'!$B$64*($DS$104*$CX112)+'LINEST VARS'!$A$64*(0.5*$CX112)</f>
        <v>169.28949999999986</v>
      </c>
      <c r="DV112" s="45">
        <v>9.0965000000000007</v>
      </c>
      <c r="DW112" s="46">
        <f>'LINEST VARS'!$U$66+'LINEST VARS'!$T$66*(8)+'LINEST VARS'!$S$66*(8)+'LINEST VARS'!$R$66*($DW$104)+'LINEST VARS'!$Q$66*(0.5)+'LINEST VARS'!$P$66*($DV112)+'LINEST VARS'!$O$66*(8^2)+'LINEST VARS'!$N$66*(8^2)+'LINEST VARS'!$M$66*($DW$104^2)+'LINEST VARS'!$L$66*(0.5^2)+'LINEST VARS'!$K$66*($DV112^2)+'LINEST VARS'!$J$66*(8*8)+'LINEST VARS'!$I$66*(8*$DW$104)+'LINEST VARS'!$H$66*(8*0.5)+'LINEST VARS'!$G$66*(8*$DV112)+'LINEST VARS'!$F$66*(8*$DW$104)+'LINEST VARS'!$E$66*(8*0.5)+'LINEST VARS'!$D$66*(8*$DV112)+'LINEST VARS'!$C$66*($DW$104*0.5)+'LINEST VARS'!$B$66*($DW$104*$DV112)+'LINEST VARS'!$A$66*(0.5*$DV112)</f>
        <v>144.00000000000003</v>
      </c>
      <c r="DX112" s="46">
        <f>'LINEST VARS'!$U$66+'LINEST VARS'!$T$66*(8)+'LINEST VARS'!$S$66*(8)+'LINEST VARS'!$R$66*($DX$104)+'LINEST VARS'!$Q$66*(0.5)+'LINEST VARS'!$P$66*($DV112)+'LINEST VARS'!$O$66*(8^2)+'LINEST VARS'!$N$66*(8^2)+'LINEST VARS'!$M$66*($DX$104^2)+'LINEST VARS'!$L$66*(0.5^2)+'LINEST VARS'!$K$66*($DV112^2)+'LINEST VARS'!$J$66*(8*8)+'LINEST VARS'!$I$66*(8*$DX$104)+'LINEST VARS'!$H$66*(8*0.5)+'LINEST VARS'!$G$66*(8*$DV112)+'LINEST VARS'!$F$66*(8*$DX$104)+'LINEST VARS'!$E$66*(8*0.5)+'LINEST VARS'!$D$66*(8*$DV112)+'LINEST VARS'!$C$66*($DX$104*0.5)+'LINEST VARS'!$B$66*($DX$104*$DV112)+'LINEST VARS'!$A$66*(0.5*$DV112)</f>
        <v>143.20000000000005</v>
      </c>
      <c r="DY112" s="46">
        <f>'LINEST VARS'!$U$66+'LINEST VARS'!$T$66*(8)+'LINEST VARS'!$S$66*(8)+'LINEST VARS'!$R$66*($DY$104)+'LINEST VARS'!$Q$66*(0.5)+'LINEST VARS'!$P$66*($DV112)+'LINEST VARS'!$O$66*(8^2)+'LINEST VARS'!$N$66*(8^2)+'LINEST VARS'!$M$66*($DY$104^2)+'LINEST VARS'!$L$66*(0.5^2)+'LINEST VARS'!$K$66*($DV112^2)+'LINEST VARS'!$J$66*(8*8)+'LINEST VARS'!$I$66*(8*$DY$104)+'LINEST VARS'!$H$66*(8*0.5)+'LINEST VARS'!$G$66*(8*$DV112)+'LINEST VARS'!$F$66*(8*$DY$104)+'LINEST VARS'!$E$66*(8*0.5)+'LINEST VARS'!$D$66*(8*$DV112)+'LINEST VARS'!$C$66*($DY$104*0.5)+'LINEST VARS'!$B$66*($DY$104*$DV112)+'LINEST VARS'!$A$66*(0.5*$DV112)</f>
        <v>142.40000000000003</v>
      </c>
      <c r="DZ112" s="46">
        <f>'LINEST VARS'!$U$66+'LINEST VARS'!$T$66*(8)+'LINEST VARS'!$S$66*(8)+'LINEST VARS'!$R$66*($DZ$104)+'LINEST VARS'!$Q$66*(0.5)+'LINEST VARS'!$P$66*($DV112)+'LINEST VARS'!$O$66*(8^2)+'LINEST VARS'!$N$66*(8^2)+'LINEST VARS'!$M$66*($DZ$104^2)+'LINEST VARS'!$L$66*(0.5^2)+'LINEST VARS'!$K$66*($DV112^2)+'LINEST VARS'!$J$66*(8*8)+'LINEST VARS'!$I$66*(8*$DZ$104)+'LINEST VARS'!$H$66*(8*0.5)+'LINEST VARS'!$G$66*(8*$DV112)+'LINEST VARS'!$F$66*(8*$DZ$104)+'LINEST VARS'!$E$66*(8*0.5)+'LINEST VARS'!$D$66*(8*$DV112)+'LINEST VARS'!$C$66*($DZ$104*0.5)+'LINEST VARS'!$B$66*($DZ$104*$DV112)+'LINEST VARS'!$A$66*(0.5*$DV112)</f>
        <v>141.60000000000005</v>
      </c>
      <c r="EA112" s="46">
        <f>'LINEST VARS'!$U$66+'LINEST VARS'!$T$66*(8)+'LINEST VARS'!$S$66*(8)+'LINEST VARS'!$R$66*($EA$104)+'LINEST VARS'!$Q$66*(0.5)+'LINEST VARS'!$P$66*($DV112)+'LINEST VARS'!$O$66*(8^2)+'LINEST VARS'!$N$66*(8^2)+'LINEST VARS'!$M$66*($EA$104^2)+'LINEST VARS'!$L$66*(0.5^2)+'LINEST VARS'!$K$66*($DV112^2)+'LINEST VARS'!$J$66*(8*8)+'LINEST VARS'!$I$66*(8*$EA$104)+'LINEST VARS'!$H$66*(8*0.5)+'LINEST VARS'!$G$66*(8*$DV112)+'LINEST VARS'!$F$66*(8*$EA$104)+'LINEST VARS'!$E$66*(8*0.5)+'LINEST VARS'!$D$66*(8*$DV112)+'LINEST VARS'!$C$66*($EA$104*0.5)+'LINEST VARS'!$B$66*($EA$104*$DV112)+'LINEST VARS'!$A$66*(0.5*$DV112)</f>
        <v>140.80000000000004</v>
      </c>
      <c r="EB112" s="46">
        <f>'LINEST VARS'!$U$66+'LINEST VARS'!$T$66*(8)+'LINEST VARS'!$S$66*(8)+'LINEST VARS'!$R$66*($EB$104)+'LINEST VARS'!$Q$66*(0.5)+'LINEST VARS'!$P$66*($DV112)+'LINEST VARS'!$O$66*(8^2)+'LINEST VARS'!$N$66*(8^2)+'LINEST VARS'!$M$66*($EB$104^2)+'LINEST VARS'!$L$66*(0.5^2)+'LINEST VARS'!$K$66*($DV112^2)+'LINEST VARS'!$J$66*(8*8)+'LINEST VARS'!$I$66*(8*$EB$104)+'LINEST VARS'!$H$66*(8*0.5)+'LINEST VARS'!$G$66*(8*$DV112)+'LINEST VARS'!$F$66*(8*$EB$104)+'LINEST VARS'!$E$66*(8*0.5)+'LINEST VARS'!$D$66*(8*$DV112)+'LINEST VARS'!$C$66*($EB$104*0.5)+'LINEST VARS'!$B$66*($EB$104*$DV112)+'LINEST VARS'!$A$66*(0.5*$DV112)</f>
        <v>140.00000000000006</v>
      </c>
      <c r="EC112" s="46">
        <f>'LINEST VARS'!$U$66+'LINEST VARS'!$T$66*(8)+'LINEST VARS'!$S$66*(8)+'LINEST VARS'!$R$66*($EC$104)+'LINEST VARS'!$Q$66*(0.5)+'LINEST VARS'!$P$66*($DV112)+'LINEST VARS'!$O$66*(8^2)+'LINEST VARS'!$N$66*(8^2)+'LINEST VARS'!$M$66*($EC$104^2)+'LINEST VARS'!$L$66*(0.5^2)+'LINEST VARS'!$K$66*($DV112^2)+'LINEST VARS'!$J$66*(8*8)+'LINEST VARS'!$I$66*(8*$EC$104)+'LINEST VARS'!$H$66*(8*0.5)+'LINEST VARS'!$G$66*(8*$DV112)+'LINEST VARS'!$F$66*(8*$EC$104)+'LINEST VARS'!$E$66*(8*0.5)+'LINEST VARS'!$D$66*(8*$DV112)+'LINEST VARS'!$C$66*($EC$104*0.5)+'LINEST VARS'!$B$66*($EC$104*$DV112)+'LINEST VARS'!$A$66*(0.5*$DV112)</f>
        <v>139.20000000000005</v>
      </c>
      <c r="ED112" s="46">
        <f>'LINEST VARS'!$U$66+'LINEST VARS'!$T$66*(8)+'LINEST VARS'!$S$66*(8)+'LINEST VARS'!$R$66*($ED$104)+'LINEST VARS'!$Q$66*(0.5)+'LINEST VARS'!$P$66*($DV112)+'LINEST VARS'!$O$66*(8^2)+'LINEST VARS'!$N$66*(8^2)+'LINEST VARS'!$M$66*($ED$104^2)+'LINEST VARS'!$L$66*(0.5^2)+'LINEST VARS'!$K$66*($DV112^2)+'LINEST VARS'!$J$66*(8*8)+'LINEST VARS'!$I$66*(8*$ED$104)+'LINEST VARS'!$H$66*(8*0.5)+'LINEST VARS'!$G$66*(8*$DV112)+'LINEST VARS'!$F$66*(8*$ED$104)+'LINEST VARS'!$E$66*(8*0.5)+'LINEST VARS'!$D$66*(8*$DV112)+'LINEST VARS'!$C$66*($ED$104*0.5)+'LINEST VARS'!$B$66*($ED$104*$DV112)+'LINEST VARS'!$A$66*(0.5*$DV112)</f>
        <v>138.40000000000006</v>
      </c>
      <c r="EE112" s="46">
        <f>'LINEST VARS'!$U$66+'LINEST VARS'!$T$66*(8)+'LINEST VARS'!$S$66*(8)+'LINEST VARS'!$R$66*($EE$104)+'LINEST VARS'!$Q$66*(0.5)+'LINEST VARS'!$P$66*($DV112)+'LINEST VARS'!$O$66*(8^2)+'LINEST VARS'!$N$66*(8^2)+'LINEST VARS'!$M$66*($EE$104^2)+'LINEST VARS'!$L$66*(0.5^2)+'LINEST VARS'!$K$66*($DV112^2)+'LINEST VARS'!$J$66*(8*8)+'LINEST VARS'!$I$66*(8*$EE$104)+'LINEST VARS'!$H$66*(8*0.5)+'LINEST VARS'!$G$66*(8*$DV112)+'LINEST VARS'!$F$66*(8*$EE$104)+'LINEST VARS'!$E$66*(8*0.5)+'LINEST VARS'!$D$66*(8*$DV112)+'LINEST VARS'!$C$66*($EE$104*0.5)+'LINEST VARS'!$B$66*($EE$104*$DV112)+'LINEST VARS'!$A$66*(0.5*$DV112)</f>
        <v>137.60000000000005</v>
      </c>
      <c r="EF112" s="46">
        <f>'LINEST VARS'!$U$66+'LINEST VARS'!$T$66*(8)+'LINEST VARS'!$S$66*(8)+'LINEST VARS'!$R$66*($EF$104)+'LINEST VARS'!$Q$66*(0.5)+'LINEST VARS'!$P$66*($DV112)+'LINEST VARS'!$O$66*(8^2)+'LINEST VARS'!$N$66*(8^2)+'LINEST VARS'!$M$66*($EF$104^2)+'LINEST VARS'!$L$66*(0.5^2)+'LINEST VARS'!$K$66*($DV112^2)+'LINEST VARS'!$J$66*(8*8)+'LINEST VARS'!$I$66*(8*$EF$104)+'LINEST VARS'!$H$66*(8*0.5)+'LINEST VARS'!$G$66*(8*$DV112)+'LINEST VARS'!$F$66*(8*$EF$104)+'LINEST VARS'!$E$66*(8*0.5)+'LINEST VARS'!$D$66*(8*$DV112)+'LINEST VARS'!$C$66*($EF$104*0.5)+'LINEST VARS'!$B$66*($EF$104*$DV112)+'LINEST VARS'!$A$66*(0.5*$DV112)</f>
        <v>136.80000000000004</v>
      </c>
      <c r="EG112" s="46">
        <f>'LINEST VARS'!$U$66+'LINEST VARS'!$T$66*(8)+'LINEST VARS'!$S$66*(8)+'LINEST VARS'!$R$66*($EG$104)+'LINEST VARS'!$Q$66*(0.5)+'LINEST VARS'!$P$66*($DV112)+'LINEST VARS'!$O$66*(8^2)+'LINEST VARS'!$N$66*(8^2)+'LINEST VARS'!$M$66*($EG$104^2)+'LINEST VARS'!$L$66*(0.5^2)+'LINEST VARS'!$K$66*($DV112^2)+'LINEST VARS'!$J$66*(8*8)+'LINEST VARS'!$I$66*(8*$EG$104)+'LINEST VARS'!$H$66*(8*0.5)+'LINEST VARS'!$G$66*(8*$DV112)+'LINEST VARS'!$F$66*(8*$EG$104)+'LINEST VARS'!$E$66*(8*0.5)+'LINEST VARS'!$D$66*(8*$DV112)+'LINEST VARS'!$C$66*($EG$104*0.5)+'LINEST VARS'!$B$66*($EG$104*$DV112)+'LINEST VARS'!$A$66*(0.5*$DV112)</f>
        <v>136.00000000000003</v>
      </c>
      <c r="EH112" s="46">
        <f>'LINEST VARS'!$U$66+'LINEST VARS'!$T$66*(8)+'LINEST VARS'!$S$66*(8)+'LINEST VARS'!$R$66*($EH$104)+'LINEST VARS'!$Q$66*(0.5)+'LINEST VARS'!$P$66*($DV112)+'LINEST VARS'!$O$66*(8^2)+'LINEST VARS'!$N$66*(8^2)+'LINEST VARS'!$M$66*($EH$104^2)+'LINEST VARS'!$L$66*(0.5^2)+'LINEST VARS'!$K$66*($DV112^2)+'LINEST VARS'!$J$66*(8*8)+'LINEST VARS'!$I$66*(8*$EH$104)+'LINEST VARS'!$H$66*(8*0.5)+'LINEST VARS'!$G$66*(8*$DV112)+'LINEST VARS'!$F$66*(8*$EH$104)+'LINEST VARS'!$E$66*(8*0.5)+'LINEST VARS'!$D$66*(8*$DV112)+'LINEST VARS'!$C$66*($EH$104*0.5)+'LINEST VARS'!$B$66*($EH$104*$DV112)+'LINEST VARS'!$A$66*(0.5*$DV112)</f>
        <v>135.20000000000002</v>
      </c>
      <c r="EI112" s="46">
        <f>'LINEST VARS'!$U$66+'LINEST VARS'!$T$66*(8)+'LINEST VARS'!$S$66*(8)+'LINEST VARS'!$R$66*($EI$104)+'LINEST VARS'!$Q$66*(0.5)+'LINEST VARS'!$P$66*($DV112)+'LINEST VARS'!$O$66*(8^2)+'LINEST VARS'!$N$66*(8^2)+'LINEST VARS'!$M$66*($EI$104^2)+'LINEST VARS'!$L$66*(0.5^2)+'LINEST VARS'!$K$66*($DV112^2)+'LINEST VARS'!$J$66*(8*8)+'LINEST VARS'!$I$66*(8*$EI$104)+'LINEST VARS'!$H$66*(8*0.5)+'LINEST VARS'!$G$66*(8*$DV112)+'LINEST VARS'!$F$66*(8*$EI$104)+'LINEST VARS'!$E$66*(8*0.5)+'LINEST VARS'!$D$66*(8*$DV112)+'LINEST VARS'!$C$66*($EI$104*0.5)+'LINEST VARS'!$B$66*($EI$104*$DV112)+'LINEST VARS'!$A$66*(0.5*$DV112)</f>
        <v>134.4</v>
      </c>
      <c r="EJ112" s="46">
        <f>'LINEST VARS'!$U$66+'LINEST VARS'!$T$66*(8)+'LINEST VARS'!$S$66*(8)+'LINEST VARS'!$R$66*($EJ$104)+'LINEST VARS'!$Q$66*(0.5)+'LINEST VARS'!$P$66*($DV112)+'LINEST VARS'!$O$66*(8^2)+'LINEST VARS'!$N$66*(8^2)+'LINEST VARS'!$M$66*($EJ$104^2)+'LINEST VARS'!$L$66*(0.5^2)+'LINEST VARS'!$K$66*($DV112^2)+'LINEST VARS'!$J$66*(8*8)+'LINEST VARS'!$I$66*(8*$EJ$104)+'LINEST VARS'!$H$66*(8*0.5)+'LINEST VARS'!$G$66*(8*$DV112)+'LINEST VARS'!$F$66*(8*$EJ$104)+'LINEST VARS'!$E$66*(8*0.5)+'LINEST VARS'!$D$66*(8*$DV112)+'LINEST VARS'!$C$66*($EJ$104*0.5)+'LINEST VARS'!$B$66*($EJ$104*$DV112)+'LINEST VARS'!$A$66*(0.5*$DV112)</f>
        <v>133.60000000000002</v>
      </c>
      <c r="EK112" s="46">
        <f>'LINEST VARS'!$U$66+'LINEST VARS'!$T$66*(8)+'LINEST VARS'!$S$66*(8)+'LINEST VARS'!$R$66*($EK$104)+'LINEST VARS'!$Q$66*(0.5)+'LINEST VARS'!$P$66*($DV112)+'LINEST VARS'!$O$66*(8^2)+'LINEST VARS'!$N$66*(8^2)+'LINEST VARS'!$M$66*($EK$104^2)+'LINEST VARS'!$L$66*(0.5^2)+'LINEST VARS'!$K$66*($DV112^2)+'LINEST VARS'!$J$66*(8*8)+'LINEST VARS'!$I$66*(8*$EK$104)+'LINEST VARS'!$H$66*(8*0.5)+'LINEST VARS'!$G$66*(8*$DV112)+'LINEST VARS'!$F$66*(8*$EK$104)+'LINEST VARS'!$E$66*(8*0.5)+'LINEST VARS'!$D$66*(8*$DV112)+'LINEST VARS'!$C$66*($EK$104*0.5)+'LINEST VARS'!$B$66*($EK$104*$DV112)+'LINEST VARS'!$A$66*(0.5*$DV112)</f>
        <v>132.80000000000001</v>
      </c>
      <c r="EL112" s="46">
        <f>'LINEST VARS'!$U$66+'LINEST VARS'!$T$66*(8)+'LINEST VARS'!$S$66*(8)+'LINEST VARS'!$R$66*($EL$104)+'LINEST VARS'!$Q$66*(0.5)+'LINEST VARS'!$P$66*($DV112)+'LINEST VARS'!$O$66*(8^2)+'LINEST VARS'!$N$66*(8^2)+'LINEST VARS'!$M$66*($EL$104^2)+'LINEST VARS'!$L$66*(0.5^2)+'LINEST VARS'!$K$66*($DV112^2)+'LINEST VARS'!$J$66*(8*8)+'LINEST VARS'!$I$66*(8*$EL$104)+'LINEST VARS'!$H$66*(8*0.5)+'LINEST VARS'!$G$66*(8*$DV112)+'LINEST VARS'!$F$66*(8*$EL$104)+'LINEST VARS'!$E$66*(8*0.5)+'LINEST VARS'!$D$66*(8*$DV112)+'LINEST VARS'!$C$66*($EL$104*0.5)+'LINEST VARS'!$B$66*($EL$104*$DV112)+'LINEST VARS'!$A$66*(0.5*$DV112)</f>
        <v>132.00000000000003</v>
      </c>
      <c r="EM112" s="46">
        <f>'LINEST VARS'!$U$66+'LINEST VARS'!$T$66*(8)+'LINEST VARS'!$S$66*(8)+'LINEST VARS'!$R$66*($EM$104)+'LINEST VARS'!$Q$66*(0.5)+'LINEST VARS'!$P$66*($DV112)+'LINEST VARS'!$O$66*(8^2)+'LINEST VARS'!$N$66*(8^2)+'LINEST VARS'!$M$66*($EM$104^2)+'LINEST VARS'!$L$66*(0.5^2)+'LINEST VARS'!$K$66*($DV112^2)+'LINEST VARS'!$J$66*(8*8)+'LINEST VARS'!$I$66*(8*$EM$104)+'LINEST VARS'!$H$66*(8*0.5)+'LINEST VARS'!$G$66*(8*$DV112)+'LINEST VARS'!$F$66*(8*$EM$104)+'LINEST VARS'!$E$66*(8*0.5)+'LINEST VARS'!$D$66*(8*$DV112)+'LINEST VARS'!$C$66*($EM$104*0.5)+'LINEST VARS'!$B$66*($EM$104*$DV112)+'LINEST VARS'!$A$66*(0.5*$DV112)</f>
        <v>131.20000000000002</v>
      </c>
      <c r="EN112" s="46">
        <f>'LINEST VARS'!$U$66+'LINEST VARS'!$T$66*(8)+'LINEST VARS'!$S$66*(8)+'LINEST VARS'!$R$66*($EN$104)+'LINEST VARS'!$Q$66*(0.5)+'LINEST VARS'!$P$66*($DV112)+'LINEST VARS'!$O$66*(8^2)+'LINEST VARS'!$N$66*(8^2)+'LINEST VARS'!$M$66*($EN$104^2)+'LINEST VARS'!$L$66*(0.5^2)+'LINEST VARS'!$K$66*($DV112^2)+'LINEST VARS'!$J$66*(8*8)+'LINEST VARS'!$I$66*(8*$EN$104)+'LINEST VARS'!$H$66*(8*0.5)+'LINEST VARS'!$G$66*(8*$DV112)+'LINEST VARS'!$F$66*(8*$EN$104)+'LINEST VARS'!$E$66*(8*0.5)+'LINEST VARS'!$D$66*(8*$DV112)+'LINEST VARS'!$C$66*($EN$104*0.5)+'LINEST VARS'!$B$66*($EN$104*$DV112)+'LINEST VARS'!$A$66*(0.5*$DV112)</f>
        <v>130.40000000000006</v>
      </c>
      <c r="EO112" s="46">
        <f>'LINEST VARS'!$U$66+'LINEST VARS'!$T$66*(8)+'LINEST VARS'!$S$66*(8)+'LINEST VARS'!$R$66*($EO$104)+'LINEST VARS'!$Q$66*(0.5)+'LINEST VARS'!$P$66*($DV112)+'LINEST VARS'!$O$66*(8^2)+'LINEST VARS'!$N$66*(8^2)+'LINEST VARS'!$M$66*($EO$104^2)+'LINEST VARS'!$L$66*(0.5^2)+'LINEST VARS'!$K$66*($DV112^2)+'LINEST VARS'!$J$66*(8*8)+'LINEST VARS'!$I$66*(8*$EO$104)+'LINEST VARS'!$H$66*(8*0.5)+'LINEST VARS'!$G$66*(8*$DV112)+'LINEST VARS'!$F$66*(8*$EO$104)+'LINEST VARS'!$E$66*(8*0.5)+'LINEST VARS'!$D$66*(8*$DV112)+'LINEST VARS'!$C$66*($EO$104*0.5)+'LINEST VARS'!$B$66*($EO$104*$DV112)+'LINEST VARS'!$A$66*(0.5*$DV112)</f>
        <v>129.60000000000005</v>
      </c>
      <c r="EP112" s="46">
        <f>'LINEST VARS'!$U$66+'LINEST VARS'!$T$66*(8)+'LINEST VARS'!$S$66*(8)+'LINEST VARS'!$R$66*($EP$104)+'LINEST VARS'!$Q$66*(0.5)+'LINEST VARS'!$P$66*($DV112)+'LINEST VARS'!$O$66*(8^2)+'LINEST VARS'!$N$66*(8^2)+'LINEST VARS'!$M$66*($EP$104^2)+'LINEST VARS'!$L$66*(0.5^2)+'LINEST VARS'!$K$66*($DV112^2)+'LINEST VARS'!$J$66*(8*8)+'LINEST VARS'!$I$66*(8*$EP$104)+'LINEST VARS'!$H$66*(8*0.5)+'LINEST VARS'!$G$66*(8*$DV112)+'LINEST VARS'!$F$66*(8*$EP$104)+'LINEST VARS'!$E$66*(8*0.5)+'LINEST VARS'!$D$66*(8*$DV112)+'LINEST VARS'!$C$66*($EP$104*0.5)+'LINEST VARS'!$B$66*($EP$104*$DV112)+'LINEST VARS'!$A$66*(0.5*$DV112)</f>
        <v>128.80000000000007</v>
      </c>
      <c r="EQ112" s="47">
        <f>'LINEST VARS'!$U$66+'LINEST VARS'!$T$66*(8)+'LINEST VARS'!$S$66*(8)+'LINEST VARS'!$R$66*($EQ$104)+'LINEST VARS'!$Q$66*(0.5)+'LINEST VARS'!$P$66*($DV112)+'LINEST VARS'!$O$66*(8^2)+'LINEST VARS'!$N$66*(8^2)+'LINEST VARS'!$M$66*($EQ$104^2)+'LINEST VARS'!$L$66*(0.5^2)+'LINEST VARS'!$K$66*($DV112^2)+'LINEST VARS'!$J$66*(8*8)+'LINEST VARS'!$I$66*(8*$EQ$104)+'LINEST VARS'!$H$66*(8*0.5)+'LINEST VARS'!$G$66*(8*$DV112)+'LINEST VARS'!$F$66*(8*$EQ$104)+'LINEST VARS'!$E$66*(8*0.5)+'LINEST VARS'!$D$66*(8*$DV112)+'LINEST VARS'!$C$66*($EQ$104*0.5)+'LINEST VARS'!$B$66*($EQ$104*$DV112)+'LINEST VARS'!$A$66*(0.5*$DV112)</f>
        <v>128.00000000000003</v>
      </c>
    </row>
    <row r="113" spans="2:147" ht="15" customHeight="1" x14ac:dyDescent="0.25">
      <c r="B113" s="45">
        <v>7.88</v>
      </c>
      <c r="C113" s="55">
        <f>'LINEST VARS'!$U$64+'LINEST VARS'!$T$64*($C$104)+'LINEST VARS'!$S$64*($B113)+'LINEST VARS'!$R$64*(4)+'LINEST VARS'!$Q$64*(0.5)+'LINEST VARS'!$P$64*(12.73)+'LINEST VARS'!$O$64*($C$104^2)+'LINEST VARS'!$N$64*($B113^2)+'LINEST VARS'!$M$64*(4^2)+'LINEST VARS'!$L$64*(0.5^2)+'LINEST VARS'!$K$64*(12.73^2)+'LINEST VARS'!$J$64*($C$104*$B113)+'LINEST VARS'!$I$64*($C$104*4)+'LINEST VARS'!$H$64*($C$104*0.5)+'LINEST VARS'!$G$64*($C$104*12.73)+'LINEST VARS'!$F$64*($B113*4)+'LINEST VARS'!$E$64*($B113*0.5)+'LINEST VARS'!$D$64*($B113*12.73)+'LINEST VARS'!$C$64*(4*0.5)+'LINEST VARS'!$B$64*(4*12.73)+'LINEST VARS'!$A$64*(0.5*12.73)</f>
        <v>164.18999999999988</v>
      </c>
      <c r="D113" s="55">
        <f>'LINEST VARS'!$U$64+'LINEST VARS'!$T$64*($D$104)+'LINEST VARS'!$S$64*($B113)+'LINEST VARS'!$R$64*(4)+'LINEST VARS'!$Q$64*(0.5)+'LINEST VARS'!$P$64*(12.73)+'LINEST VARS'!$O$64*($D$104^2)+'LINEST VARS'!$N$64*($B113^2)+'LINEST VARS'!$M$64*(4^2)+'LINEST VARS'!$L$64*(0.5^2)+'LINEST VARS'!$K$64*(12.73^2)+'LINEST VARS'!$J$64*($D$104*$B113)+'LINEST VARS'!$I$64*($D$104*4)+'LINEST VARS'!$H$64*($D$104*0.5)+'LINEST VARS'!$G$64*($D$104*12.73)+'LINEST VARS'!$F$64*($B113*4)+'LINEST VARS'!$E$64*($B113*0.5)+'LINEST VARS'!$D$64*($B113*12.73)+'LINEST VARS'!$C$64*(4*0.5)+'LINEST VARS'!$B$64*(4*12.73)+'LINEST VARS'!$A$64*(0.5*12.73)</f>
        <v>164.18999999999988</v>
      </c>
      <c r="E113" s="55">
        <f>'LINEST VARS'!$U$64+'LINEST VARS'!$T$64*($E$104)+'LINEST VARS'!$S$64*($B113)+'LINEST VARS'!$R$64*(4)+'LINEST VARS'!$Q$64*(0.5)+'LINEST VARS'!$P$64*(12.73)+'LINEST VARS'!$O$64*($E$104^2)+'LINEST VARS'!$N$64*($B113^2)+'LINEST VARS'!$M$64*(4^2)+'LINEST VARS'!$L$64*(0.5^2)+'LINEST VARS'!$K$64*(12.73^2)+'LINEST VARS'!$J$64*($E$104*$B113)+'LINEST VARS'!$I$64*($E$104*4)+'LINEST VARS'!$H$64*($E$104*0.5)+'LINEST VARS'!$G$64*($E$104*12.73)+'LINEST VARS'!$F$64*($B113*4)+'LINEST VARS'!$E$64*($B113*0.5)+'LINEST VARS'!$D$64*($B113*12.73)+'LINEST VARS'!$C$64*(4*0.5)+'LINEST VARS'!$B$64*(4*12.73)+'LINEST VARS'!$A$64*(0.5*12.73)</f>
        <v>164.18999999999988</v>
      </c>
      <c r="F113" s="55">
        <f>'LINEST VARS'!$U$64+'LINEST VARS'!$T$64*($F$104)+'LINEST VARS'!$S$64*($B113)+'LINEST VARS'!$R$64*(4)+'LINEST VARS'!$Q$64*(0.5)+'LINEST VARS'!$P$64*(12.73)+'LINEST VARS'!$O$64*($F$104^2)+'LINEST VARS'!$N$64*($B113^2)+'LINEST VARS'!$M$64*(4^2)+'LINEST VARS'!$L$64*(0.5^2)+'LINEST VARS'!$K$64*(12.73^2)+'LINEST VARS'!$J$64*($F$104*$B113)+'LINEST VARS'!$I$64*($F$104*4)+'LINEST VARS'!$H$64*($F$104*0.5)+'LINEST VARS'!$G$64*($F$104*12.73)+'LINEST VARS'!$F$64*($B113*4)+'LINEST VARS'!$E$64*($B113*0.5)+'LINEST VARS'!$D$64*($B113*12.73)+'LINEST VARS'!$C$64*(4*0.5)+'LINEST VARS'!$B$64*(4*12.73)+'LINEST VARS'!$A$64*(0.5*12.73)</f>
        <v>164.18999999999988</v>
      </c>
      <c r="G113" s="55">
        <f>'LINEST VARS'!$U$64+'LINEST VARS'!$T$64*($G$104)+'LINEST VARS'!$S$64*($B113)+'LINEST VARS'!$R$64*(4)+'LINEST VARS'!$Q$64*(0.5)+'LINEST VARS'!$P$64*(12.73)+'LINEST VARS'!$O$64*($G$104^2)+'LINEST VARS'!$N$64*($B113^2)+'LINEST VARS'!$M$64*(4^2)+'LINEST VARS'!$L$64*(0.5^2)+'LINEST VARS'!$K$64*(12.73^2)+'LINEST VARS'!$J$64*($G$104*$B113)+'LINEST VARS'!$I$64*($G$104*4)+'LINEST VARS'!$H$64*($G$104*0.5)+'LINEST VARS'!$G$64*($G$104*12.73)+'LINEST VARS'!$F$64*($B113*4)+'LINEST VARS'!$E$64*($B113*0.5)+'LINEST VARS'!$D$64*($B113*12.73)+'LINEST VARS'!$C$64*(4*0.5)+'LINEST VARS'!$B$64*(4*12.73)+'LINEST VARS'!$A$64*(0.5*12.73)</f>
        <v>164.18999999999988</v>
      </c>
      <c r="H113" s="55">
        <f>'LINEST VARS'!$U$64+'LINEST VARS'!$T$64*($H$104)+'LINEST VARS'!$S$64*($B113)+'LINEST VARS'!$R$64*(4)+'LINEST VARS'!$Q$64*(0.5)+'LINEST VARS'!$P$64*(12.73)+'LINEST VARS'!$O$64*($H$104^2)+'LINEST VARS'!$N$64*($B113^2)+'LINEST VARS'!$M$64*(4^2)+'LINEST VARS'!$L$64*(0.5^2)+'LINEST VARS'!$K$64*(12.73^2)+'LINEST VARS'!$J$64*($H$104*$B113)+'LINEST VARS'!$I$64*($H$104*4)+'LINEST VARS'!$H$64*($H$104*0.5)+'LINEST VARS'!$G$64*($H$104*12.73)+'LINEST VARS'!$F$64*($B113*4)+'LINEST VARS'!$E$64*($B113*0.5)+'LINEST VARS'!$D$64*($B113*12.73)+'LINEST VARS'!$C$64*(4*0.5)+'LINEST VARS'!$B$64*(4*12.73)+'LINEST VARS'!$A$64*(0.5*12.73)</f>
        <v>164.18999999999988</v>
      </c>
      <c r="I113" s="55">
        <f>'LINEST VARS'!$U$64+'LINEST VARS'!$T$64*($I$104)+'LINEST VARS'!$S$64*($B113)+'LINEST VARS'!$R$64*(4)+'LINEST VARS'!$Q$64*(0.5)+'LINEST VARS'!$P$64*(12.73)+'LINEST VARS'!$O$64*($I$104^2)+'LINEST VARS'!$N$64*($B113^2)+'LINEST VARS'!$M$64*(4^2)+'LINEST VARS'!$L$64*(0.5^2)+'LINEST VARS'!$K$64*(12.73^2)+'LINEST VARS'!$J$64*($I$104*$B113)+'LINEST VARS'!$I$64*($I$104*4)+'LINEST VARS'!$H$64*($I$104*0.5)+'LINEST VARS'!$G$64*($I$104*12.73)+'LINEST VARS'!$F$64*($B113*4)+'LINEST VARS'!$E$64*($B113*0.5)+'LINEST VARS'!$D$64*($B113*12.73)+'LINEST VARS'!$C$64*(4*0.5)+'LINEST VARS'!$B$64*(4*12.73)+'LINEST VARS'!$A$64*(0.5*12.73)</f>
        <v>164.18999999999988</v>
      </c>
      <c r="J113" s="55">
        <f>'LINEST VARS'!$U$64+'LINEST VARS'!$T$64*($J$104)+'LINEST VARS'!$S$64*($B113)+'LINEST VARS'!$R$64*(4)+'LINEST VARS'!$Q$64*(0.5)+'LINEST VARS'!$P$64*(12.73)+'LINEST VARS'!$O$64*($J$104^2)+'LINEST VARS'!$N$64*($B113^2)+'LINEST VARS'!$M$64*(4^2)+'LINEST VARS'!$L$64*(0.5^2)+'LINEST VARS'!$K$64*(12.73^2)+'LINEST VARS'!$J$64*($J$104*$B113)+'LINEST VARS'!$I$64*($J$104*4)+'LINEST VARS'!$H$64*($J$104*0.5)+'LINEST VARS'!$G$64*($J$104*12.73)+'LINEST VARS'!$F$64*($B113*4)+'LINEST VARS'!$E$64*($B113*0.5)+'LINEST VARS'!$D$64*($B113*12.73)+'LINEST VARS'!$C$64*(4*0.5)+'LINEST VARS'!$B$64*(4*12.73)+'LINEST VARS'!$A$64*(0.5*12.73)</f>
        <v>164.18999999999988</v>
      </c>
      <c r="K113" s="55">
        <f>'LINEST VARS'!$U$64+'LINEST VARS'!$T$64*($K$104)+'LINEST VARS'!$S$64*($B113)+'LINEST VARS'!$R$64*(4)+'LINEST VARS'!$Q$64*(0.5)+'LINEST VARS'!$P$64*(12.73)+'LINEST VARS'!$O$64*($K$104^2)+'LINEST VARS'!$N$64*($B113^2)+'LINEST VARS'!$M$64*(4^2)+'LINEST VARS'!$L$64*(0.5^2)+'LINEST VARS'!$K$64*(12.73^2)+'LINEST VARS'!$J$64*($K$104*$B113)+'LINEST VARS'!$I$64*($K$104*4)+'LINEST VARS'!$H$64*($K$104*0.5)+'LINEST VARS'!$G$64*($K$104*12.73)+'LINEST VARS'!$F$64*($B113*4)+'LINEST VARS'!$E$64*($B113*0.5)+'LINEST VARS'!$D$64*($B113*12.73)+'LINEST VARS'!$C$64*(4*0.5)+'LINEST VARS'!$B$64*(4*12.73)+'LINEST VARS'!$A$64*(0.5*12.73)</f>
        <v>164.18999999999988</v>
      </c>
      <c r="L113" s="55">
        <f>'LINEST VARS'!$U$64+'LINEST VARS'!$T$64*($L$104)+'LINEST VARS'!$S$64*($B113)+'LINEST VARS'!$R$64*(4)+'LINEST VARS'!$Q$64*(0.5)+'LINEST VARS'!$P$64*(12.73)+'LINEST VARS'!$O$64*($L$104^2)+'LINEST VARS'!$N$64*($B113^2)+'LINEST VARS'!$M$64*(4^2)+'LINEST VARS'!$L$64*(0.5^2)+'LINEST VARS'!$K$64*(12.73^2)+'LINEST VARS'!$J$64*($L$104*$B113)+'LINEST VARS'!$I$64*($L$104*4)+'LINEST VARS'!$H$64*($L$104*0.5)+'LINEST VARS'!$G$64*($L$104*12.73)+'LINEST VARS'!$F$64*($B113*4)+'LINEST VARS'!$E$64*($B113*0.5)+'LINEST VARS'!$D$64*($B113*12.73)+'LINEST VARS'!$C$64*(4*0.5)+'LINEST VARS'!$B$64*(4*12.73)+'LINEST VARS'!$A$64*(0.5*12.73)</f>
        <v>164.18999999999988</v>
      </c>
      <c r="M113" s="55">
        <f>'LINEST VARS'!$U$64+'LINEST VARS'!$T$64*($M$104)+'LINEST VARS'!$S$64*($B113)+'LINEST VARS'!$R$64*(4)+'LINEST VARS'!$Q$64*(0.5)+'LINEST VARS'!$P$64*(12.73)+'LINEST VARS'!$O$64*($M$104^2)+'LINEST VARS'!$N$64*($B113^2)+'LINEST VARS'!$M$64*(4^2)+'LINEST VARS'!$L$64*(0.5^2)+'LINEST VARS'!$K$64*(12.73^2)+'LINEST VARS'!$J$64*($M$104*$B113)+'LINEST VARS'!$I$64*($M$104*4)+'LINEST VARS'!$H$64*($M$104*0.5)+'LINEST VARS'!$G$64*($M$104*12.73)+'LINEST VARS'!$F$64*($B113*4)+'LINEST VARS'!$E$64*($B113*0.5)+'LINEST VARS'!$D$64*($B113*12.73)+'LINEST VARS'!$C$64*(4*0.5)+'LINEST VARS'!$B$64*(4*12.73)+'LINEST VARS'!$A$64*(0.5*12.73)</f>
        <v>164.18999999999988</v>
      </c>
      <c r="N113" s="55">
        <f>'LINEST VARS'!$U$64+'LINEST VARS'!$T$64*($N$104)+'LINEST VARS'!$S$64*($B113)+'LINEST VARS'!$R$64*(4)+'LINEST VARS'!$Q$64*(0.5)+'LINEST VARS'!$P$64*(12.73)+'LINEST VARS'!$O$64*($N$104^2)+'LINEST VARS'!$N$64*($B113^2)+'LINEST VARS'!$M$64*(4^2)+'LINEST VARS'!$L$64*(0.5^2)+'LINEST VARS'!$K$64*(12.73^2)+'LINEST VARS'!$J$64*($N$104*$B113)+'LINEST VARS'!$I$64*($N$104*4)+'LINEST VARS'!$H$64*($N$104*0.5)+'LINEST VARS'!$G$64*($N$104*12.73)+'LINEST VARS'!$F$64*($B113*4)+'LINEST VARS'!$E$64*($B113*0.5)+'LINEST VARS'!$D$64*($B113*12.73)+'LINEST VARS'!$C$64*(4*0.5)+'LINEST VARS'!$B$64*(4*12.73)+'LINEST VARS'!$A$64*(0.5*12.73)</f>
        <v>164.18999999999988</v>
      </c>
      <c r="O113" s="55">
        <f>'LINEST VARS'!$U$64+'LINEST VARS'!$T$64*($O$104)+'LINEST VARS'!$S$64*($B113)+'LINEST VARS'!$R$64*(4)+'LINEST VARS'!$Q$64*(0.5)+'LINEST VARS'!$P$64*(12.73)+'LINEST VARS'!$O$64*($O$104^2)+'LINEST VARS'!$N$64*($B113^2)+'LINEST VARS'!$M$64*(4^2)+'LINEST VARS'!$L$64*(0.5^2)+'LINEST VARS'!$K$64*(12.73^2)+'LINEST VARS'!$J$64*($O$104*$B113)+'LINEST VARS'!$I$64*($O$104*4)+'LINEST VARS'!$H$64*($O$104*0.5)+'LINEST VARS'!$G$64*($O$104*12.73)+'LINEST VARS'!$F$64*($B113*4)+'LINEST VARS'!$E$64*($B113*0.5)+'LINEST VARS'!$D$64*($B113*12.73)+'LINEST VARS'!$C$64*(4*0.5)+'LINEST VARS'!$B$64*(4*12.73)+'LINEST VARS'!$A$64*(0.5*12.73)</f>
        <v>164.18999999999988</v>
      </c>
      <c r="P113" s="55">
        <f>'LINEST VARS'!$U$64+'LINEST VARS'!$T$64*($P$104)+'LINEST VARS'!$S$64*($B113)+'LINEST VARS'!$R$64*(4)+'LINEST VARS'!$Q$64*(0.5)+'LINEST VARS'!$P$64*(12.73)+'LINEST VARS'!$O$64*($P$104^2)+'LINEST VARS'!$N$64*($B113^2)+'LINEST VARS'!$M$64*(4^2)+'LINEST VARS'!$L$64*(0.5^2)+'LINEST VARS'!$K$64*(12.73^2)+'LINEST VARS'!$J$64*($P$104*$B113)+'LINEST VARS'!$I$64*($P$104*4)+'LINEST VARS'!$H$64*($P$104*0.5)+'LINEST VARS'!$G$64*($P$104*12.73)+'LINEST VARS'!$F$64*($B113*4)+'LINEST VARS'!$E$64*($B113*0.5)+'LINEST VARS'!$D$64*($B113*12.73)+'LINEST VARS'!$C$64*(4*0.5)+'LINEST VARS'!$B$64*(4*12.73)+'LINEST VARS'!$A$64*(0.5*12.73)</f>
        <v>164.18999999999994</v>
      </c>
      <c r="Q113" s="55">
        <f>'LINEST VARS'!$U$64+'LINEST VARS'!$T$64*($Q$104)+'LINEST VARS'!$S$64*($B113)+'LINEST VARS'!$R$64*(4)+'LINEST VARS'!$Q$64*(0.5)+'LINEST VARS'!$P$64*(12.73)+'LINEST VARS'!$O$64*($Q$104^2)+'LINEST VARS'!$N$64*($B113^2)+'LINEST VARS'!$M$64*(4^2)+'LINEST VARS'!$L$64*(0.5^2)+'LINEST VARS'!$K$64*(12.73^2)+'LINEST VARS'!$J$64*($Q$104*$B113)+'LINEST VARS'!$I$64*($Q$104*4)+'LINEST VARS'!$H$64*($Q$104*0.5)+'LINEST VARS'!$G$64*($Q$104*12.73)+'LINEST VARS'!$F$64*($B113*4)+'LINEST VARS'!$E$64*($B113*0.5)+'LINEST VARS'!$D$64*($B113*12.73)+'LINEST VARS'!$C$64*(4*0.5)+'LINEST VARS'!$B$64*(4*12.73)+'LINEST VARS'!$A$64*(0.5*12.73)</f>
        <v>164.18999999999994</v>
      </c>
      <c r="R113" s="55">
        <f>'LINEST VARS'!$U$64+'LINEST VARS'!$T$64*($R$104)+'LINEST VARS'!$S$64*($B113)+'LINEST VARS'!$R$64*(4)+'LINEST VARS'!$Q$64*(0.5)+'LINEST VARS'!$P$64*(12.73)+'LINEST VARS'!$O$64*($R$104^2)+'LINEST VARS'!$N$64*($B113^2)+'LINEST VARS'!$M$64*(4^2)+'LINEST VARS'!$L$64*(0.5^2)+'LINEST VARS'!$K$64*(12.73^2)+'LINEST VARS'!$J$64*($R$104*$B113)+'LINEST VARS'!$I$64*($R$104*4)+'LINEST VARS'!$H$64*($R$104*0.5)+'LINEST VARS'!$G$64*($R$104*12.73)+'LINEST VARS'!$F$64*($B113*4)+'LINEST VARS'!$E$64*($B113*0.5)+'LINEST VARS'!$D$64*($B113*12.73)+'LINEST VARS'!$C$64*(4*0.5)+'LINEST VARS'!$B$64*(4*12.73)+'LINEST VARS'!$A$64*(0.5*12.73)</f>
        <v>164.18999999999994</v>
      </c>
      <c r="S113" s="55">
        <f>'LINEST VARS'!$U$64+'LINEST VARS'!$T$64*($S$104)+'LINEST VARS'!$S$64*($B113)+'LINEST VARS'!$R$64*(4)+'LINEST VARS'!$Q$64*(0.5)+'LINEST VARS'!$P$64*(12.73)+'LINEST VARS'!$O$64*($S$104^2)+'LINEST VARS'!$N$64*($B113^2)+'LINEST VARS'!$M$64*(4^2)+'LINEST VARS'!$L$64*(0.5^2)+'LINEST VARS'!$K$64*(12.73^2)+'LINEST VARS'!$J$64*($S$104*$B113)+'LINEST VARS'!$I$64*($S$104*4)+'LINEST VARS'!$H$64*($S$104*0.5)+'LINEST VARS'!$G$64*($S$104*12.73)+'LINEST VARS'!$F$64*($B113*4)+'LINEST VARS'!$E$64*($B113*0.5)+'LINEST VARS'!$D$64*($B113*12.73)+'LINEST VARS'!$C$64*(4*0.5)+'LINEST VARS'!$B$64*(4*12.73)+'LINEST VARS'!$A$64*(0.5*12.73)</f>
        <v>164.18999999999994</v>
      </c>
      <c r="T113" s="55">
        <f>'LINEST VARS'!$U$64+'LINEST VARS'!$T$64*($T$104)+'LINEST VARS'!$S$64*($B113)+'LINEST VARS'!$R$64*(4)+'LINEST VARS'!$Q$64*(0.5)+'LINEST VARS'!$P$64*(12.73)+'LINEST VARS'!$O$64*($T$104^2)+'LINEST VARS'!$N$64*($B113^2)+'LINEST VARS'!$M$64*(4^2)+'LINEST VARS'!$L$64*(0.5^2)+'LINEST VARS'!$K$64*(12.73^2)+'LINEST VARS'!$J$64*($T$104*$B113)+'LINEST VARS'!$I$64*($T$104*4)+'LINEST VARS'!$H$64*($T$104*0.5)+'LINEST VARS'!$G$64*($T$104*12.73)+'LINEST VARS'!$F$64*($B113*4)+'LINEST VARS'!$E$64*($B113*0.5)+'LINEST VARS'!$D$64*($B113*12.73)+'LINEST VARS'!$C$64*(4*0.5)+'LINEST VARS'!$B$64*(4*12.73)+'LINEST VARS'!$A$64*(0.5*12.73)</f>
        <v>164.18999999999988</v>
      </c>
      <c r="U113" s="55">
        <f>'LINEST VARS'!$U$64+'LINEST VARS'!$T$64*($U$104)+'LINEST VARS'!$S$64*($B113)+'LINEST VARS'!$R$64*(4)+'LINEST VARS'!$Q$64*(0.5)+'LINEST VARS'!$P$64*(12.73)+'LINEST VARS'!$O$64*($U$104^2)+'LINEST VARS'!$N$64*($B113^2)+'LINEST VARS'!$M$64*(4^2)+'LINEST VARS'!$L$64*(0.5^2)+'LINEST VARS'!$K$64*(12.73^2)+'LINEST VARS'!$J$64*($U$104*$B113)+'LINEST VARS'!$I$64*($U$104*4)+'LINEST VARS'!$H$64*($U$104*0.5)+'LINEST VARS'!$G$64*($U$104*12.73)+'LINEST VARS'!$F$64*($B113*4)+'LINEST VARS'!$E$64*($B113*0.5)+'LINEST VARS'!$D$64*($B113*12.73)+'LINEST VARS'!$C$64*(4*0.5)+'LINEST VARS'!$B$64*(4*12.73)+'LINEST VARS'!$A$64*(0.5*12.73)</f>
        <v>164.18999999999988</v>
      </c>
      <c r="V113" s="55">
        <f>'LINEST VARS'!$U$64+'LINEST VARS'!$T$64*($V$104)+'LINEST VARS'!$S$64*($B113)+'LINEST VARS'!$R$64*(4)+'LINEST VARS'!$Q$64*(0.5)+'LINEST VARS'!$P$64*(12.73)+'LINEST VARS'!$O$64*($V$104^2)+'LINEST VARS'!$N$64*($B113^2)+'LINEST VARS'!$M$64*(4^2)+'LINEST VARS'!$L$64*(0.5^2)+'LINEST VARS'!$K$64*(12.73^2)+'LINEST VARS'!$J$64*($V$104*$B113)+'LINEST VARS'!$I$64*($V$104*4)+'LINEST VARS'!$H$64*($V$104*0.5)+'LINEST VARS'!$G$64*($V$104*12.73)+'LINEST VARS'!$F$64*($B113*4)+'LINEST VARS'!$E$64*($B113*0.5)+'LINEST VARS'!$D$64*($B113*12.73)+'LINEST VARS'!$C$64*(4*0.5)+'LINEST VARS'!$B$64*(4*12.73)+'LINEST VARS'!$A$64*(0.5*12.73)</f>
        <v>164.18999999999988</v>
      </c>
      <c r="W113" s="56">
        <f>'LINEST VARS'!$U$64+'LINEST VARS'!$T$64*($W$104)+'LINEST VARS'!$S$64*($B113)+'LINEST VARS'!$R$64*(4)+'LINEST VARS'!$Q$64*(0.5)+'LINEST VARS'!$P$64*(12.73)+'LINEST VARS'!$O$64*($W$104^2)+'LINEST VARS'!$N$64*($B113^2)+'LINEST VARS'!$M$64*(4^2)+'LINEST VARS'!$L$64*(0.5^2)+'LINEST VARS'!$K$64*(12.73^2)+'LINEST VARS'!$J$64*($W$104*$B113)+'LINEST VARS'!$I$64*($W$104*4)+'LINEST VARS'!$H$64*($W$104*0.5)+'LINEST VARS'!$G$64*($W$104*12.73)+'LINEST VARS'!$F$64*($B113*4)+'LINEST VARS'!$E$64*($B113*0.5)+'LINEST VARS'!$D$64*($B113*12.73)+'LINEST VARS'!$C$64*(4*0.5)+'LINEST VARS'!$B$64*(4*12.73)+'LINEST VARS'!$A$64*(0.5*12.73)</f>
        <v>164.18999999999988</v>
      </c>
      <c r="Z113" s="45">
        <v>7.88</v>
      </c>
      <c r="AA113" s="46">
        <f>'LINEST VARS'!$U$66+'LINEST VARS'!$T$66*($AA$104)+'LINEST VARS'!$S$66*($Z113)+'LINEST VARS'!$R$66*(4)+'LINEST VARS'!$Q$66*(0.5)+'LINEST VARS'!$P$66*(12.73)+'LINEST VARS'!$O$66*($AA$104^2)+'LINEST VARS'!$N$66*($Z113^2)+'LINEST VARS'!$M$66*(4^2)+'LINEST VARS'!$L$66*(0.5^2)+'LINEST VARS'!$K$66*(12.73^2)+'LINEST VARS'!$J$66*($AA$104*$Z113)+'LINEST VARS'!$I$66*($AA$104*4)+'LINEST VARS'!$H$66*($AA$104*0.5)+'LINEST VARS'!$G$66*($AA$104*12.73)+'LINEST VARS'!$F$66*($Z113*4)+'LINEST VARS'!$E$66*($Z113*0.5)+'LINEST VARS'!$D$66*($Z113*12.73)+'LINEST VARS'!$C$66*(4*0.5)+'LINEST VARS'!$B$66*(4*12.73)+'LINEST VARS'!$A$66*(0.5*12.73)</f>
        <v>134.20000000000005</v>
      </c>
      <c r="AB113" s="46">
        <f>'LINEST VARS'!$U$66+'LINEST VARS'!$T$66*($AB$104)+'LINEST VARS'!$S$66*($Z113)+'LINEST VARS'!$R$66*(4)+'LINEST VARS'!$Q$66*(0.5)+'LINEST VARS'!$P$66*(12.73)+'LINEST VARS'!$O$66*($AB$104^2)+'LINEST VARS'!$N$66*($Z113^2)+'LINEST VARS'!$M$66*(4^2)+'LINEST VARS'!$L$66*(0.5^2)+'LINEST VARS'!$K$66*(12.73^2)+'LINEST VARS'!$J$66*($AB$104*$Z113)+'LINEST VARS'!$I$66*($AB$104*4)+'LINEST VARS'!$H$66*($AB$104*0.5)+'LINEST VARS'!$G$66*($AB$104*12.73)+'LINEST VARS'!$F$66*($Z113*4)+'LINEST VARS'!$E$66*($Z113*0.5)+'LINEST VARS'!$D$66*($Z113*12.73)+'LINEST VARS'!$C$66*(4*0.5)+'LINEST VARS'!$B$66*(4*12.73)+'LINEST VARS'!$A$66*(0.5*12.73)</f>
        <v>134.38000000000005</v>
      </c>
      <c r="AC113" s="46">
        <f>'LINEST VARS'!$U$66+'LINEST VARS'!$T$66*($AC$104)+'LINEST VARS'!$S$66*($Z113)+'LINEST VARS'!$R$66*(4)+'LINEST VARS'!$Q$66*(0.5)+'LINEST VARS'!$P$66*(12.73)+'LINEST VARS'!$O$66*($AC$104^2)+'LINEST VARS'!$N$66*($Z113^2)+'LINEST VARS'!$M$66*(4^2)+'LINEST VARS'!$L$66*(0.5^2)+'LINEST VARS'!$K$66*(12.73^2)+'LINEST VARS'!$J$66*($AC$104*$Z113)+'LINEST VARS'!$I$66*($AC$104*4)+'LINEST VARS'!$H$66*($AC$104*0.5)+'LINEST VARS'!$G$66*($AC$104*12.73)+'LINEST VARS'!$F$66*($Z113*4)+'LINEST VARS'!$E$66*($Z113*0.5)+'LINEST VARS'!$D$66*($Z113*12.73)+'LINEST VARS'!$C$66*(4*0.5)+'LINEST VARS'!$B$66*(4*12.73)+'LINEST VARS'!$A$66*(0.5*12.73)</f>
        <v>134.56000000000003</v>
      </c>
      <c r="AD113" s="46">
        <f>'LINEST VARS'!$U$66+'LINEST VARS'!$T$66*($AD$104)+'LINEST VARS'!$S$66*($Z113)+'LINEST VARS'!$R$66*(4)+'LINEST VARS'!$Q$66*(0.5)+'LINEST VARS'!$P$66*(12.73)+'LINEST VARS'!$O$66*($AD$104^2)+'LINEST VARS'!$N$66*($Z113^2)+'LINEST VARS'!$M$66*(4^2)+'LINEST VARS'!$L$66*(0.5^2)+'LINEST VARS'!$K$66*(12.73^2)+'LINEST VARS'!$J$66*($AD$104*$Z113)+'LINEST VARS'!$I$66*($AD$104*4)+'LINEST VARS'!$H$66*($AD$104*0.5)+'LINEST VARS'!$G$66*($AD$104*12.73)+'LINEST VARS'!$F$66*($Z113*4)+'LINEST VARS'!$E$66*($Z113*0.5)+'LINEST VARS'!$D$66*($Z113*12.73)+'LINEST VARS'!$C$66*(4*0.5)+'LINEST VARS'!$B$66*(4*12.73)+'LINEST VARS'!$A$66*(0.5*12.73)</f>
        <v>134.74000000000004</v>
      </c>
      <c r="AE113" s="46">
        <f>'LINEST VARS'!$U$66+'LINEST VARS'!$T$66*($AE$104)+'LINEST VARS'!$S$66*($Z113)+'LINEST VARS'!$R$66*(4)+'LINEST VARS'!$Q$66*(0.5)+'LINEST VARS'!$P$66*(12.73)+'LINEST VARS'!$O$66*($AE$104^2)+'LINEST VARS'!$N$66*($Z113^2)+'LINEST VARS'!$M$66*(4^2)+'LINEST VARS'!$L$66*(0.5^2)+'LINEST VARS'!$K$66*(12.73^2)+'LINEST VARS'!$J$66*($AE$104*$Z113)+'LINEST VARS'!$I$66*($AE$104*4)+'LINEST VARS'!$H$66*($AE$104*0.5)+'LINEST VARS'!$G$66*($AE$104*12.73)+'LINEST VARS'!$F$66*($Z113*4)+'LINEST VARS'!$E$66*($Z113*0.5)+'LINEST VARS'!$D$66*($Z113*12.73)+'LINEST VARS'!$C$66*(4*0.5)+'LINEST VARS'!$B$66*(4*12.73)+'LINEST VARS'!$A$66*(0.5*12.73)</f>
        <v>134.92000000000004</v>
      </c>
      <c r="AF113" s="46">
        <f>'LINEST VARS'!$U$66+'LINEST VARS'!$T$66*($AF$104)+'LINEST VARS'!$S$66*($Z113)+'LINEST VARS'!$R$66*(4)+'LINEST VARS'!$Q$66*(0.5)+'LINEST VARS'!$P$66*(12.73)+'LINEST VARS'!$O$66*($AF$104^2)+'LINEST VARS'!$N$66*($Z113^2)+'LINEST VARS'!$M$66*(4^2)+'LINEST VARS'!$L$66*(0.5^2)+'LINEST VARS'!$K$66*(12.73^2)+'LINEST VARS'!$J$66*($AF$104*$Z113)+'LINEST VARS'!$I$66*($AF$104*4)+'LINEST VARS'!$H$66*($AF$104*0.5)+'LINEST VARS'!$G$66*($AF$104*12.73)+'LINEST VARS'!$F$66*($Z113*4)+'LINEST VARS'!$E$66*($Z113*0.5)+'LINEST VARS'!$D$66*($Z113*12.73)+'LINEST VARS'!$C$66*(4*0.5)+'LINEST VARS'!$B$66*(4*12.73)+'LINEST VARS'!$A$66*(0.5*12.73)</f>
        <v>135.10000000000005</v>
      </c>
      <c r="AG113" s="46">
        <f>'LINEST VARS'!$U$66+'LINEST VARS'!$T$66*($AG$104)+'LINEST VARS'!$S$66*($Z113)+'LINEST VARS'!$R$66*(4)+'LINEST VARS'!$Q$66*(0.5)+'LINEST VARS'!$P$66*(12.73)+'LINEST VARS'!$O$66*($AG$104^2)+'LINEST VARS'!$N$66*($Z113^2)+'LINEST VARS'!$M$66*(4^2)+'LINEST VARS'!$L$66*(0.5^2)+'LINEST VARS'!$K$66*(12.73^2)+'LINEST VARS'!$J$66*($AG$104*$Z113)+'LINEST VARS'!$I$66*($AG$104*4)+'LINEST VARS'!$H$66*($AG$104*0.5)+'LINEST VARS'!$G$66*($AG$104*12.73)+'LINEST VARS'!$F$66*($Z113*4)+'LINEST VARS'!$E$66*($Z113*0.5)+'LINEST VARS'!$D$66*($Z113*12.73)+'LINEST VARS'!$C$66*(4*0.5)+'LINEST VARS'!$B$66*(4*12.73)+'LINEST VARS'!$A$66*(0.5*12.73)</f>
        <v>135.28000000000006</v>
      </c>
      <c r="AH113" s="46">
        <f>'LINEST VARS'!$U$66+'LINEST VARS'!$T$66*($AH$104)+'LINEST VARS'!$S$66*($Z113)+'LINEST VARS'!$R$66*(4)+'LINEST VARS'!$Q$66*(0.5)+'LINEST VARS'!$P$66*(12.73)+'LINEST VARS'!$O$66*($AH$104^2)+'LINEST VARS'!$N$66*($Z113^2)+'LINEST VARS'!$M$66*(4^2)+'LINEST VARS'!$L$66*(0.5^2)+'LINEST VARS'!$K$66*(12.73^2)+'LINEST VARS'!$J$66*($AH$104*$Z113)+'LINEST VARS'!$I$66*($AH$104*4)+'LINEST VARS'!$H$66*($AH$104*0.5)+'LINEST VARS'!$G$66*($AH$104*12.73)+'LINEST VARS'!$F$66*($Z113*4)+'LINEST VARS'!$E$66*($Z113*0.5)+'LINEST VARS'!$D$66*($Z113*12.73)+'LINEST VARS'!$C$66*(4*0.5)+'LINEST VARS'!$B$66*(4*12.73)+'LINEST VARS'!$A$66*(0.5*12.73)</f>
        <v>135.46000000000006</v>
      </c>
      <c r="AI113" s="46">
        <f>'LINEST VARS'!$U$66+'LINEST VARS'!$T$66*($AI$104)+'LINEST VARS'!$S$66*($Z113)+'LINEST VARS'!$R$66*(4)+'LINEST VARS'!$Q$66*(0.5)+'LINEST VARS'!$P$66*(12.73)+'LINEST VARS'!$O$66*($AI$104^2)+'LINEST VARS'!$N$66*($Z113^2)+'LINEST VARS'!$M$66*(4^2)+'LINEST VARS'!$L$66*(0.5^2)+'LINEST VARS'!$K$66*(12.73^2)+'LINEST VARS'!$J$66*($AI$104*$Z113)+'LINEST VARS'!$I$66*($AI$104*4)+'LINEST VARS'!$H$66*($AI$104*0.5)+'LINEST VARS'!$G$66*($AI$104*12.73)+'LINEST VARS'!$F$66*($Z113*4)+'LINEST VARS'!$E$66*($Z113*0.5)+'LINEST VARS'!$D$66*($Z113*12.73)+'LINEST VARS'!$C$66*(4*0.5)+'LINEST VARS'!$B$66*(4*12.73)+'LINEST VARS'!$A$66*(0.5*12.73)</f>
        <v>135.64000000000007</v>
      </c>
      <c r="AJ113" s="46">
        <f>'LINEST VARS'!$U$66+'LINEST VARS'!$T$66*($AJ$104)+'LINEST VARS'!$S$66*($Z113)+'LINEST VARS'!$R$66*(4)+'LINEST VARS'!$Q$66*(0.5)+'LINEST VARS'!$P$66*(12.73)+'LINEST VARS'!$O$66*($AJ$104^2)+'LINEST VARS'!$N$66*($Z113^2)+'LINEST VARS'!$M$66*(4^2)+'LINEST VARS'!$L$66*(0.5^2)+'LINEST VARS'!$K$66*(12.73^2)+'LINEST VARS'!$J$66*($AJ$104*$Z113)+'LINEST VARS'!$I$66*($AJ$104*4)+'LINEST VARS'!$H$66*($AJ$104*0.5)+'LINEST VARS'!$G$66*($AJ$104*12.73)+'LINEST VARS'!$F$66*($Z113*4)+'LINEST VARS'!$E$66*($Z113*0.5)+'LINEST VARS'!$D$66*($Z113*12.73)+'LINEST VARS'!$C$66*(4*0.5)+'LINEST VARS'!$B$66*(4*12.73)+'LINEST VARS'!$A$66*(0.5*12.73)</f>
        <v>135.82000000000008</v>
      </c>
      <c r="AK113" s="46">
        <f>'LINEST VARS'!$U$66+'LINEST VARS'!$T$66*($AK$104)+'LINEST VARS'!$S$66*($Z113)+'LINEST VARS'!$R$66*(4)+'LINEST VARS'!$Q$66*(0.5)+'LINEST VARS'!$P$66*(12.73)+'LINEST VARS'!$O$66*($AK$104^2)+'LINEST VARS'!$N$66*($Z113^2)+'LINEST VARS'!$M$66*(4^2)+'LINEST VARS'!$L$66*(0.5^2)+'LINEST VARS'!$K$66*(12.73^2)+'LINEST VARS'!$J$66*($AK$104*$Z113)+'LINEST VARS'!$I$66*($AK$104*4)+'LINEST VARS'!$H$66*($AK$104*0.5)+'LINEST VARS'!$G$66*($AK$104*12.73)+'LINEST VARS'!$F$66*($Z113*4)+'LINEST VARS'!$E$66*($Z113*0.5)+'LINEST VARS'!$D$66*($Z113*12.73)+'LINEST VARS'!$C$66*(4*0.5)+'LINEST VARS'!$B$66*(4*12.73)+'LINEST VARS'!$A$66*(0.5*12.73)</f>
        <v>136.00000000000006</v>
      </c>
      <c r="AL113" s="46">
        <f>'LINEST VARS'!$U$66+'LINEST VARS'!$T$66*($AL$104)+'LINEST VARS'!$S$66*($Z113)+'LINEST VARS'!$R$66*(4)+'LINEST VARS'!$Q$66*(0.5)+'LINEST VARS'!$P$66*(12.73)+'LINEST VARS'!$O$66*($AL$104^2)+'LINEST VARS'!$N$66*($Z113^2)+'LINEST VARS'!$M$66*(4^2)+'LINEST VARS'!$L$66*(0.5^2)+'LINEST VARS'!$K$66*(12.73^2)+'LINEST VARS'!$J$66*($AL$104*$Z113)+'LINEST VARS'!$I$66*($AL$104*4)+'LINEST VARS'!$H$66*($AL$104*0.5)+'LINEST VARS'!$G$66*($AL$104*12.73)+'LINEST VARS'!$F$66*($Z113*4)+'LINEST VARS'!$E$66*($Z113*0.5)+'LINEST VARS'!$D$66*($Z113*12.73)+'LINEST VARS'!$C$66*(4*0.5)+'LINEST VARS'!$B$66*(4*12.73)+'LINEST VARS'!$A$66*(0.5*12.73)</f>
        <v>136.18000000000006</v>
      </c>
      <c r="AM113" s="46">
        <f>'LINEST VARS'!$U$66+'LINEST VARS'!$T$66*($AM$104)+'LINEST VARS'!$S$66*($Z113)+'LINEST VARS'!$R$66*(4)+'LINEST VARS'!$Q$66*(0.5)+'LINEST VARS'!$P$66*(12.73)+'LINEST VARS'!$O$66*($AM$104^2)+'LINEST VARS'!$N$66*($Z113^2)+'LINEST VARS'!$M$66*(4^2)+'LINEST VARS'!$L$66*(0.5^2)+'LINEST VARS'!$K$66*(12.73^2)+'LINEST VARS'!$J$66*($AM$104*$Z113)+'LINEST VARS'!$I$66*($AM$104*4)+'LINEST VARS'!$H$66*($AM$104*0.5)+'LINEST VARS'!$G$66*($AM$104*12.73)+'LINEST VARS'!$F$66*($Z113*4)+'LINEST VARS'!$E$66*($Z113*0.5)+'LINEST VARS'!$D$66*($Z113*12.73)+'LINEST VARS'!$C$66*(4*0.5)+'LINEST VARS'!$B$66*(4*12.73)+'LINEST VARS'!$A$66*(0.5*12.73)</f>
        <v>136.36000000000007</v>
      </c>
      <c r="AN113" s="46">
        <f>'LINEST VARS'!$U$66+'LINEST VARS'!$T$66*($AN$104)+'LINEST VARS'!$S$66*($Z113)+'LINEST VARS'!$R$66*(4)+'LINEST VARS'!$Q$66*(0.5)+'LINEST VARS'!$P$66*(12.73)+'LINEST VARS'!$O$66*($AN$104^2)+'LINEST VARS'!$N$66*($Z113^2)+'LINEST VARS'!$M$66*(4^2)+'LINEST VARS'!$L$66*(0.5^2)+'LINEST VARS'!$K$66*(12.73^2)+'LINEST VARS'!$J$66*($AN$104*$Z113)+'LINEST VARS'!$I$66*($AN$104*4)+'LINEST VARS'!$H$66*($AN$104*0.5)+'LINEST VARS'!$G$66*($AN$104*12.73)+'LINEST VARS'!$F$66*($Z113*4)+'LINEST VARS'!$E$66*($Z113*0.5)+'LINEST VARS'!$D$66*($Z113*12.73)+'LINEST VARS'!$C$66*(4*0.5)+'LINEST VARS'!$B$66*(4*12.73)+'LINEST VARS'!$A$66*(0.5*12.73)</f>
        <v>136.54000000000008</v>
      </c>
      <c r="AO113" s="46">
        <f>'LINEST VARS'!$U$66+'LINEST VARS'!$T$66*($AO$104)+'LINEST VARS'!$S$66*($Z113)+'LINEST VARS'!$R$66*(4)+'LINEST VARS'!$Q$66*(0.5)+'LINEST VARS'!$P$66*(12.73)+'LINEST VARS'!$O$66*($AO$104^2)+'LINEST VARS'!$N$66*($Z113^2)+'LINEST VARS'!$M$66*(4^2)+'LINEST VARS'!$L$66*(0.5^2)+'LINEST VARS'!$K$66*(12.73^2)+'LINEST VARS'!$J$66*($AO$104*$Z113)+'LINEST VARS'!$I$66*($AO$104*4)+'LINEST VARS'!$H$66*($AO$104*0.5)+'LINEST VARS'!$G$66*($AO$104*12.73)+'LINEST VARS'!$F$66*($Z113*4)+'LINEST VARS'!$E$66*($Z113*0.5)+'LINEST VARS'!$D$66*($Z113*12.73)+'LINEST VARS'!$C$66*(4*0.5)+'LINEST VARS'!$B$66*(4*12.73)+'LINEST VARS'!$A$66*(0.5*12.73)</f>
        <v>136.72000000000006</v>
      </c>
      <c r="AP113" s="46">
        <f>'LINEST VARS'!$U$66+'LINEST VARS'!$T$66*($AP$104)+'LINEST VARS'!$S$66*($Z113)+'LINEST VARS'!$R$66*(4)+'LINEST VARS'!$Q$66*(0.5)+'LINEST VARS'!$P$66*(12.73)+'LINEST VARS'!$O$66*($AP$104^2)+'LINEST VARS'!$N$66*($Z113^2)+'LINEST VARS'!$M$66*(4^2)+'LINEST VARS'!$L$66*(0.5^2)+'LINEST VARS'!$K$66*(12.73^2)+'LINEST VARS'!$J$66*($AP$104*$Z113)+'LINEST VARS'!$I$66*($AP$104*4)+'LINEST VARS'!$H$66*($AP$104*0.5)+'LINEST VARS'!$G$66*($AP$104*12.73)+'LINEST VARS'!$F$66*($Z113*4)+'LINEST VARS'!$E$66*($Z113*0.5)+'LINEST VARS'!$D$66*($Z113*12.73)+'LINEST VARS'!$C$66*(4*0.5)+'LINEST VARS'!$B$66*(4*12.73)+'LINEST VARS'!$A$66*(0.5*12.73)</f>
        <v>136.90000000000006</v>
      </c>
      <c r="AQ113" s="46">
        <f>'LINEST VARS'!$U$66+'LINEST VARS'!$T$66*($AQ$104)+'LINEST VARS'!$S$66*($Z113)+'LINEST VARS'!$R$66*(4)+'LINEST VARS'!$Q$66*(0.5)+'LINEST VARS'!$P$66*(12.73)+'LINEST VARS'!$O$66*($AQ$104^2)+'LINEST VARS'!$N$66*($Z113^2)+'LINEST VARS'!$M$66*(4^2)+'LINEST VARS'!$L$66*(0.5^2)+'LINEST VARS'!$K$66*(12.73^2)+'LINEST VARS'!$J$66*($AQ$104*$Z113)+'LINEST VARS'!$I$66*($AQ$104*4)+'LINEST VARS'!$H$66*($AQ$104*0.5)+'LINEST VARS'!$G$66*($AQ$104*12.73)+'LINEST VARS'!$F$66*($Z113*4)+'LINEST VARS'!$E$66*($Z113*0.5)+'LINEST VARS'!$D$66*($Z113*12.73)+'LINEST VARS'!$C$66*(4*0.5)+'LINEST VARS'!$B$66*(4*12.73)+'LINEST VARS'!$A$66*(0.5*12.73)</f>
        <v>137.08000000000007</v>
      </c>
      <c r="AR113" s="46">
        <f>'LINEST VARS'!$U$66+'LINEST VARS'!$T$66*($AR$104)+'LINEST VARS'!$S$66*($Z113)+'LINEST VARS'!$R$66*(4)+'LINEST VARS'!$Q$66*(0.5)+'LINEST VARS'!$P$66*(12.73)+'LINEST VARS'!$O$66*($AR$104^2)+'LINEST VARS'!$N$66*($Z113^2)+'LINEST VARS'!$M$66*(4^2)+'LINEST VARS'!$L$66*(0.5^2)+'LINEST VARS'!$K$66*(12.73^2)+'LINEST VARS'!$J$66*($AR$104*$Z113)+'LINEST VARS'!$I$66*($AR$104*4)+'LINEST VARS'!$H$66*($AR$104*0.5)+'LINEST VARS'!$G$66*($AR$104*12.73)+'LINEST VARS'!$F$66*($Z113*4)+'LINEST VARS'!$E$66*($Z113*0.5)+'LINEST VARS'!$D$66*($Z113*12.73)+'LINEST VARS'!$C$66*(4*0.5)+'LINEST VARS'!$B$66*(4*12.73)+'LINEST VARS'!$A$66*(0.5*12.73)</f>
        <v>137.26000000000008</v>
      </c>
      <c r="AS113" s="46">
        <f>'LINEST VARS'!$U$66+'LINEST VARS'!$T$66*($AS$104)+'LINEST VARS'!$S$66*($Z113)+'LINEST VARS'!$R$66*(4)+'LINEST VARS'!$Q$66*(0.5)+'LINEST VARS'!$P$66*(12.73)+'LINEST VARS'!$O$66*($AS$104^2)+'LINEST VARS'!$N$66*($Z113^2)+'LINEST VARS'!$M$66*(4^2)+'LINEST VARS'!$L$66*(0.5^2)+'LINEST VARS'!$K$66*(12.73^2)+'LINEST VARS'!$J$66*($AS$104*$Z113)+'LINEST VARS'!$I$66*($AS$104*4)+'LINEST VARS'!$H$66*($AS$104*0.5)+'LINEST VARS'!$G$66*($AS$104*12.73)+'LINEST VARS'!$F$66*($Z113*4)+'LINEST VARS'!$E$66*($Z113*0.5)+'LINEST VARS'!$D$66*($Z113*12.73)+'LINEST VARS'!$C$66*(4*0.5)+'LINEST VARS'!$B$66*(4*12.73)+'LINEST VARS'!$A$66*(0.5*12.73)</f>
        <v>137.44000000000005</v>
      </c>
      <c r="AT113" s="46">
        <f>'LINEST VARS'!$U$66+'LINEST VARS'!$T$66*($AT$104)+'LINEST VARS'!$S$66*($Z113)+'LINEST VARS'!$R$66*(4)+'LINEST VARS'!$Q$66*(0.5)+'LINEST VARS'!$P$66*(12.73)+'LINEST VARS'!$O$66*($AT$104^2)+'LINEST VARS'!$N$66*($Z113^2)+'LINEST VARS'!$M$66*(4^2)+'LINEST VARS'!$L$66*(0.5^2)+'LINEST VARS'!$K$66*(12.73^2)+'LINEST VARS'!$J$66*($AT$104*$Z113)+'LINEST VARS'!$I$66*($AT$104*4)+'LINEST VARS'!$H$66*($AT$104*0.5)+'LINEST VARS'!$G$66*($AT$104*12.73)+'LINEST VARS'!$F$66*($Z113*4)+'LINEST VARS'!$E$66*($Z113*0.5)+'LINEST VARS'!$D$66*($Z113*12.73)+'LINEST VARS'!$C$66*(4*0.5)+'LINEST VARS'!$B$66*(4*12.73)+'LINEST VARS'!$A$66*(0.5*12.73)</f>
        <v>137.62000000000006</v>
      </c>
      <c r="AU113" s="47">
        <f>'LINEST VARS'!$U$66+'LINEST VARS'!$T$66*($AU$104)+'LINEST VARS'!$S$66*($Z113)+'LINEST VARS'!$R$66*(4)+'LINEST VARS'!$Q$66*(0.5)+'LINEST VARS'!$P$66*(12.73)+'LINEST VARS'!$O$66*($AU$104^2)+'LINEST VARS'!$N$66*($Z113^2)+'LINEST VARS'!$M$66*(4^2)+'LINEST VARS'!$L$66*(0.5^2)+'LINEST VARS'!$K$66*(12.73^2)+'LINEST VARS'!$J$66*($AU$104*$Z113)+'LINEST VARS'!$I$66*($AU$104*4)+'LINEST VARS'!$H$66*($AU$104*0.5)+'LINEST VARS'!$G$66*($AU$104*12.73)+'LINEST VARS'!$F$66*($Z113*4)+'LINEST VARS'!$E$66*($Z113*0.5)+'LINEST VARS'!$D$66*($Z113*12.73)+'LINEST VARS'!$C$66*(4*0.5)+'LINEST VARS'!$B$66*(4*12.73)+'LINEST VARS'!$A$66*(0.5*12.73)</f>
        <v>137.80000000000007</v>
      </c>
      <c r="AZ113" s="45">
        <v>0.4</v>
      </c>
      <c r="BA113" s="55">
        <f>'LINEST VARS'!$U$64+'LINEST VARS'!$T$64*(8)+'LINEST VARS'!$S$64*(8)+'LINEST VARS'!$R$64*($BA$104)+'LINEST VARS'!$Q$64*($AZ113)+'LINEST VARS'!$P$64*(12.73)+'LINEST VARS'!$O$64*(8^2)+'LINEST VARS'!$N$64*(8^2)+'LINEST VARS'!$M$64*($BA$104^2)+'LINEST VARS'!$L$64*($AZ113^2)+'LINEST VARS'!$K$64*(12.73^2)+'LINEST VARS'!$J$64*(8*8)+'LINEST VARS'!$I$64*(8*$BA$104)+'LINEST VARS'!$H$64*(8*$AZ113)+'LINEST VARS'!$G$64*(8*12.73)+'LINEST VARS'!$F$64*(8*$BA$104)+'LINEST VARS'!$E$64*(8*$AZ113)+'LINEST VARS'!$D$64*(8*12.73)+'LINEST VARS'!$C$64*($BA$104*$AZ113)+'LINEST VARS'!$B$64*($BA$104*12.73)+'LINEST VARS'!$A$64*($AZ113*12.73)</f>
        <v>148.18999999999988</v>
      </c>
      <c r="BB113" s="55">
        <f>'LINEST VARS'!$U$64+'LINEST VARS'!$T$64*(8)+'LINEST VARS'!$S$64*(8)+'LINEST VARS'!$R$64*($BB$104)+'LINEST VARS'!$Q$64*($AZ113)+'LINEST VARS'!$P$64*(12.73)+'LINEST VARS'!$O$64*(8^2)+'LINEST VARS'!$N$64*(8^2)+'LINEST VARS'!$M$64*($BB$104^2)+'LINEST VARS'!$L$64*($AZ113^2)+'LINEST VARS'!$K$64*(12.73^2)+'LINEST VARS'!$J$64*(8*8)+'LINEST VARS'!$I$64*(8*$BB$104)+'LINEST VARS'!$H$64*(8*$AZ113)+'LINEST VARS'!$G$64*(8*12.73)+'LINEST VARS'!$F$64*(8*$BB$104)+'LINEST VARS'!$E$64*(8*$AZ113)+'LINEST VARS'!$D$64*(8*12.73)+'LINEST VARS'!$C$64*($BB$104*$AZ113)+'LINEST VARS'!$B$64*($BB$104*12.73)+'LINEST VARS'!$A$64*($AZ113*12.73)</f>
        <v>149.78999999999988</v>
      </c>
      <c r="BC113" s="55">
        <f>'LINEST VARS'!$U$64+'LINEST VARS'!$T$64*(8)+'LINEST VARS'!$S$64*(8)+'LINEST VARS'!$R$64*($BC$104)+'LINEST VARS'!$Q$64*($AZ113)+'LINEST VARS'!$P$64*(12.73)+'LINEST VARS'!$O$64*(8^2)+'LINEST VARS'!$N$64*(8^2)+'LINEST VARS'!$M$64*($BC$104^2)+'LINEST VARS'!$L$64*($AZ113^2)+'LINEST VARS'!$K$64*(12.73^2)+'LINEST VARS'!$J$64*(8*8)+'LINEST VARS'!$I$64*(8*$BC$104)+'LINEST VARS'!$H$64*(8*$AZ113)+'LINEST VARS'!$G$64*(8*12.73)+'LINEST VARS'!$F$64*(8*$BC$104)+'LINEST VARS'!$E$64*(8*$AZ113)+'LINEST VARS'!$D$64*(8*12.73)+'LINEST VARS'!$C$64*($BC$104*$AZ113)+'LINEST VARS'!$B$64*($BC$104*12.73)+'LINEST VARS'!$A$64*($AZ113*12.73)</f>
        <v>151.38999999999987</v>
      </c>
      <c r="BD113" s="55">
        <f>'LINEST VARS'!$U$64+'LINEST VARS'!$T$64*(8)+'LINEST VARS'!$S$64*(8)+'LINEST VARS'!$R$64*($BD$104)+'LINEST VARS'!$Q$64*($AZ113)+'LINEST VARS'!$P$64*(12.73)+'LINEST VARS'!$O$64*(8^2)+'LINEST VARS'!$N$64*(8^2)+'LINEST VARS'!$M$64*($BD$104^2)+'LINEST VARS'!$L$64*($AZ113^2)+'LINEST VARS'!$K$64*(12.73^2)+'LINEST VARS'!$J$64*(8*8)+'LINEST VARS'!$I$64*(8*$BD$104)+'LINEST VARS'!$H$64*(8*$AZ113)+'LINEST VARS'!$G$64*(8*12.73)+'LINEST VARS'!$F$64*(8*$BD$104)+'LINEST VARS'!$E$64*(8*$AZ113)+'LINEST VARS'!$D$64*(8*12.73)+'LINEST VARS'!$C$64*($BD$104*$AZ113)+'LINEST VARS'!$B$64*($BD$104*12.73)+'LINEST VARS'!$A$64*($AZ113*12.73)</f>
        <v>152.9899999999999</v>
      </c>
      <c r="BE113" s="55">
        <f>'LINEST VARS'!$U$64+'LINEST VARS'!$T$64*(8)+'LINEST VARS'!$S$64*(8)+'LINEST VARS'!$R$64*($BE$104)+'LINEST VARS'!$Q$64*($AZ113)+'LINEST VARS'!$P$64*(12.73)+'LINEST VARS'!$O$64*(8^2)+'LINEST VARS'!$N$64*(8^2)+'LINEST VARS'!$M$64*($BE$104^2)+'LINEST VARS'!$L$64*($AZ113^2)+'LINEST VARS'!$K$64*(12.73^2)+'LINEST VARS'!$J$64*(8*8)+'LINEST VARS'!$I$64*(8*$BE$104)+'LINEST VARS'!$H$64*(8*$AZ113)+'LINEST VARS'!$G$64*(8*12.73)+'LINEST VARS'!$F$64*(8*$BE$104)+'LINEST VARS'!$E$64*(8*$AZ113)+'LINEST VARS'!$D$64*(8*12.73)+'LINEST VARS'!$C$64*($BE$104*$AZ113)+'LINEST VARS'!$B$64*($BE$104*12.73)+'LINEST VARS'!$A$64*($AZ113*12.73)</f>
        <v>154.58999999999989</v>
      </c>
      <c r="BF113" s="55">
        <f>'LINEST VARS'!$U$64+'LINEST VARS'!$T$64*(8)+'LINEST VARS'!$S$64*(8)+'LINEST VARS'!$R$64*($BF$104)+'LINEST VARS'!$Q$64*($AZ113)+'LINEST VARS'!$P$64*(12.73)+'LINEST VARS'!$O$64*(8^2)+'LINEST VARS'!$N$64*(8^2)+'LINEST VARS'!$M$64*($BF$104^2)+'LINEST VARS'!$L$64*($AZ113^2)+'LINEST VARS'!$K$64*(12.73^2)+'LINEST VARS'!$J$64*(8*8)+'LINEST VARS'!$I$64*(8*$BF$104)+'LINEST VARS'!$H$64*(8*$AZ113)+'LINEST VARS'!$G$64*(8*12.73)+'LINEST VARS'!$F$64*(8*$BF$104)+'LINEST VARS'!$E$64*(8*$AZ113)+'LINEST VARS'!$D$64*(8*12.73)+'LINEST VARS'!$C$64*($BF$104*$AZ113)+'LINEST VARS'!$B$64*($BF$104*12.73)+'LINEST VARS'!$A$64*($AZ113*12.73)</f>
        <v>156.18999999999988</v>
      </c>
      <c r="BG113" s="55">
        <f>'LINEST VARS'!$U$64+'LINEST VARS'!$T$64*(8)+'LINEST VARS'!$S$64*(8)+'LINEST VARS'!$R$64*($BG$104)+'LINEST VARS'!$Q$64*($AZ113)+'LINEST VARS'!$P$64*(12.73)+'LINEST VARS'!$O$64*(8^2)+'LINEST VARS'!$N$64*(8^2)+'LINEST VARS'!$M$64*($BG$104^2)+'LINEST VARS'!$L$64*($AZ113^2)+'LINEST VARS'!$K$64*(12.73^2)+'LINEST VARS'!$J$64*(8*8)+'LINEST VARS'!$I$64*(8*$BG$104)+'LINEST VARS'!$H$64*(8*$AZ113)+'LINEST VARS'!$G$64*(8*12.73)+'LINEST VARS'!$F$64*(8*$BG$104)+'LINEST VARS'!$E$64*(8*$AZ113)+'LINEST VARS'!$D$64*(8*12.73)+'LINEST VARS'!$C$64*($BG$104*$AZ113)+'LINEST VARS'!$B$64*($BG$104*12.73)+'LINEST VARS'!$A$64*($AZ113*12.73)</f>
        <v>157.78999999999988</v>
      </c>
      <c r="BH113" s="55">
        <f>'LINEST VARS'!$U$64+'LINEST VARS'!$T$64*(8)+'LINEST VARS'!$S$64*(8)+'LINEST VARS'!$R$64*($BH$104)+'LINEST VARS'!$Q$64*($AZ113)+'LINEST VARS'!$P$64*(12.73)+'LINEST VARS'!$O$64*(8^2)+'LINEST VARS'!$N$64*(8^2)+'LINEST VARS'!$M$64*($BH$104^2)+'LINEST VARS'!$L$64*($AZ113^2)+'LINEST VARS'!$K$64*(12.73^2)+'LINEST VARS'!$J$64*(8*8)+'LINEST VARS'!$I$64*(8*$BH$104)+'LINEST VARS'!$H$64*(8*$AZ113)+'LINEST VARS'!$G$64*(8*12.73)+'LINEST VARS'!$F$64*(8*$BH$104)+'LINEST VARS'!$E$64*(8*$AZ113)+'LINEST VARS'!$D$64*(8*12.73)+'LINEST VARS'!$C$64*($BH$104*$AZ113)+'LINEST VARS'!$B$64*($BH$104*12.73)+'LINEST VARS'!$A$64*($AZ113*12.73)</f>
        <v>159.38999999999987</v>
      </c>
      <c r="BI113" s="55">
        <f>'LINEST VARS'!$U$64+'LINEST VARS'!$T$64*(8)+'LINEST VARS'!$S$64*(8)+'LINEST VARS'!$R$64*($BI$104)+'LINEST VARS'!$Q$64*($AZ113)+'LINEST VARS'!$P$64*(12.73)+'LINEST VARS'!$O$64*(8^2)+'LINEST VARS'!$N$64*(8^2)+'LINEST VARS'!$M$64*($BI$104^2)+'LINEST VARS'!$L$64*($AZ113^2)+'LINEST VARS'!$K$64*(12.73^2)+'LINEST VARS'!$J$64*(8*8)+'LINEST VARS'!$I$64*(8*$BI$104)+'LINEST VARS'!$H$64*(8*$AZ113)+'LINEST VARS'!$G$64*(8*12.73)+'LINEST VARS'!$F$64*(8*$BI$104)+'LINEST VARS'!$E$64*(8*$AZ113)+'LINEST VARS'!$D$64*(8*12.73)+'LINEST VARS'!$C$64*($BI$104*$AZ113)+'LINEST VARS'!$B$64*($BI$104*12.73)+'LINEST VARS'!$A$64*($AZ113*12.73)</f>
        <v>160.9899999999999</v>
      </c>
      <c r="BJ113" s="55">
        <f>'LINEST VARS'!$U$64+'LINEST VARS'!$T$64*(8)+'LINEST VARS'!$S$64*(8)+'LINEST VARS'!$R$64*($BJ$104)+'LINEST VARS'!$Q$64*($AZ113)+'LINEST VARS'!$P$64*(12.73)+'LINEST VARS'!$O$64*(8^2)+'LINEST VARS'!$N$64*(8^2)+'LINEST VARS'!$M$64*($BJ$104^2)+'LINEST VARS'!$L$64*($AZ113^2)+'LINEST VARS'!$K$64*(12.73^2)+'LINEST VARS'!$J$64*(8*8)+'LINEST VARS'!$I$64*(8*$BJ$104)+'LINEST VARS'!$H$64*(8*$AZ113)+'LINEST VARS'!$G$64*(8*12.73)+'LINEST VARS'!$F$64*(8*$BJ$104)+'LINEST VARS'!$E$64*(8*$AZ113)+'LINEST VARS'!$D$64*(8*12.73)+'LINEST VARS'!$C$64*($BJ$104*$AZ113)+'LINEST VARS'!$B$64*($BJ$104*12.73)+'LINEST VARS'!$A$64*($AZ113*12.73)</f>
        <v>162.58999999999989</v>
      </c>
      <c r="BK113" s="55">
        <f>'LINEST VARS'!$U$64+'LINEST VARS'!$T$64*(8)+'LINEST VARS'!$S$64*(8)+'LINEST VARS'!$R$64*($BK$104)+'LINEST VARS'!$Q$64*($AZ113)+'LINEST VARS'!$P$64*(12.73)+'LINEST VARS'!$O$64*(8^2)+'LINEST VARS'!$N$64*(8^2)+'LINEST VARS'!$M$64*($BK$104^2)+'LINEST VARS'!$L$64*($AZ113^2)+'LINEST VARS'!$K$64*(12.73^2)+'LINEST VARS'!$J$64*(8*8)+'LINEST VARS'!$I$64*(8*$BK$104)+'LINEST VARS'!$H$64*(8*$AZ113)+'LINEST VARS'!$G$64*(8*12.73)+'LINEST VARS'!$F$64*(8*$BK$104)+'LINEST VARS'!$E$64*(8*$AZ113)+'LINEST VARS'!$D$64*(8*12.73)+'LINEST VARS'!$C$64*($BK$104*$AZ113)+'LINEST VARS'!$B$64*($BK$104*12.73)+'LINEST VARS'!$A$64*($AZ113*12.73)</f>
        <v>164.18999999999988</v>
      </c>
      <c r="BL113" s="55">
        <f>'LINEST VARS'!$U$64+'LINEST VARS'!$T$64*(8)+'LINEST VARS'!$S$64*(8)+'LINEST VARS'!$R$64*($BL$104)+'LINEST VARS'!$Q$64*($AZ113)+'LINEST VARS'!$P$64*(12.73)+'LINEST VARS'!$O$64*(8^2)+'LINEST VARS'!$N$64*(8^2)+'LINEST VARS'!$M$64*($BL$104^2)+'LINEST VARS'!$L$64*($AZ113^2)+'LINEST VARS'!$K$64*(12.73^2)+'LINEST VARS'!$J$64*(8*8)+'LINEST VARS'!$I$64*(8*$BL$104)+'LINEST VARS'!$H$64*(8*$AZ113)+'LINEST VARS'!$G$64*(8*12.73)+'LINEST VARS'!$F$64*(8*$BL$104)+'LINEST VARS'!$E$64*(8*$AZ113)+'LINEST VARS'!$D$64*(8*12.73)+'LINEST VARS'!$C$64*($BL$104*$AZ113)+'LINEST VARS'!$B$64*($BL$104*12.73)+'LINEST VARS'!$A$64*($AZ113*12.73)</f>
        <v>165.78999999999991</v>
      </c>
      <c r="BM113" s="55">
        <f>'LINEST VARS'!$U$64+'LINEST VARS'!$T$64*(8)+'LINEST VARS'!$S$64*(8)+'LINEST VARS'!$R$64*($BM$104)+'LINEST VARS'!$Q$64*($AZ113)+'LINEST VARS'!$P$64*(12.73)+'LINEST VARS'!$O$64*(8^2)+'LINEST VARS'!$N$64*(8^2)+'LINEST VARS'!$M$64*($BM$104^2)+'LINEST VARS'!$L$64*($AZ113^2)+'LINEST VARS'!$K$64*(12.73^2)+'LINEST VARS'!$J$64*(8*8)+'LINEST VARS'!$I$64*(8*$BM$104)+'LINEST VARS'!$H$64*(8*$AZ113)+'LINEST VARS'!$G$64*(8*12.73)+'LINEST VARS'!$F$64*(8*$BM$104)+'LINEST VARS'!$E$64*(8*$AZ113)+'LINEST VARS'!$D$64*(8*12.73)+'LINEST VARS'!$C$64*($BM$104*$AZ113)+'LINEST VARS'!$B$64*($BM$104*12.73)+'LINEST VARS'!$A$64*($AZ113*12.73)</f>
        <v>167.38999999999987</v>
      </c>
      <c r="BN113" s="55">
        <f>'LINEST VARS'!$U$64+'LINEST VARS'!$T$64*(8)+'LINEST VARS'!$S$64*(8)+'LINEST VARS'!$R$64*($BN$104)+'LINEST VARS'!$Q$64*($AZ113)+'LINEST VARS'!$P$64*(12.73)+'LINEST VARS'!$O$64*(8^2)+'LINEST VARS'!$N$64*(8^2)+'LINEST VARS'!$M$64*($BN$104^2)+'LINEST VARS'!$L$64*($AZ113^2)+'LINEST VARS'!$K$64*(12.73^2)+'LINEST VARS'!$J$64*(8*8)+'LINEST VARS'!$I$64*(8*$BN$104)+'LINEST VARS'!$H$64*(8*$AZ113)+'LINEST VARS'!$G$64*(8*12.73)+'LINEST VARS'!$F$64*(8*$BN$104)+'LINEST VARS'!$E$64*(8*$AZ113)+'LINEST VARS'!$D$64*(8*12.73)+'LINEST VARS'!$C$64*($BN$104*$AZ113)+'LINEST VARS'!$B$64*($BN$104*12.73)+'LINEST VARS'!$A$64*($AZ113*12.73)</f>
        <v>168.9899999999999</v>
      </c>
      <c r="BO113" s="55">
        <f>'LINEST VARS'!$U$64+'LINEST VARS'!$T$64*(8)+'LINEST VARS'!$S$64*(8)+'LINEST VARS'!$R$64*($BO$104)+'LINEST VARS'!$Q$64*($AZ113)+'LINEST VARS'!$P$64*(12.73)+'LINEST VARS'!$O$64*(8^2)+'LINEST VARS'!$N$64*(8^2)+'LINEST VARS'!$M$64*($BO$104^2)+'LINEST VARS'!$L$64*($AZ113^2)+'LINEST VARS'!$K$64*(12.73^2)+'LINEST VARS'!$J$64*(8*8)+'LINEST VARS'!$I$64*(8*$BO$104)+'LINEST VARS'!$H$64*(8*$AZ113)+'LINEST VARS'!$G$64*(8*12.73)+'LINEST VARS'!$F$64*(8*$BO$104)+'LINEST VARS'!$E$64*(8*$AZ113)+'LINEST VARS'!$D$64*(8*12.73)+'LINEST VARS'!$C$64*($BO$104*$AZ113)+'LINEST VARS'!$B$64*($BO$104*12.73)+'LINEST VARS'!$A$64*($AZ113*12.73)</f>
        <v>170.58999999999989</v>
      </c>
      <c r="BP113" s="55">
        <f>'LINEST VARS'!$U$64+'LINEST VARS'!$T$64*(8)+'LINEST VARS'!$S$64*(8)+'LINEST VARS'!$R$64*($BP$104)+'LINEST VARS'!$Q$64*($AZ113)+'LINEST VARS'!$P$64*(12.73)+'LINEST VARS'!$O$64*(8^2)+'LINEST VARS'!$N$64*(8^2)+'LINEST VARS'!$M$64*($BP$104^2)+'LINEST VARS'!$L$64*($AZ113^2)+'LINEST VARS'!$K$64*(12.73^2)+'LINEST VARS'!$J$64*(8*8)+'LINEST VARS'!$I$64*(8*$BP$104)+'LINEST VARS'!$H$64*(8*$AZ113)+'LINEST VARS'!$G$64*(8*12.73)+'LINEST VARS'!$F$64*(8*$BP$104)+'LINEST VARS'!$E$64*(8*$AZ113)+'LINEST VARS'!$D$64*(8*12.73)+'LINEST VARS'!$C$64*($BP$104*$AZ113)+'LINEST VARS'!$B$64*($BP$104*12.73)+'LINEST VARS'!$A$64*($AZ113*12.73)</f>
        <v>172.18999999999986</v>
      </c>
      <c r="BQ113" s="55">
        <f>'LINEST VARS'!$U$64+'LINEST VARS'!$T$64*(8)+'LINEST VARS'!$S$64*(8)+'LINEST VARS'!$R$64*($BQ$104)+'LINEST VARS'!$Q$64*($AZ113)+'LINEST VARS'!$P$64*(12.73)+'LINEST VARS'!$O$64*(8^2)+'LINEST VARS'!$N$64*(8^2)+'LINEST VARS'!$M$64*($BQ$104^2)+'LINEST VARS'!$L$64*($AZ113^2)+'LINEST VARS'!$K$64*(12.73^2)+'LINEST VARS'!$J$64*(8*8)+'LINEST VARS'!$I$64*(8*$BQ$104)+'LINEST VARS'!$H$64*(8*$AZ113)+'LINEST VARS'!$G$64*(8*12.73)+'LINEST VARS'!$F$64*(8*$BQ$104)+'LINEST VARS'!$E$64*(8*$AZ113)+'LINEST VARS'!$D$64*(8*12.73)+'LINEST VARS'!$C$64*($BQ$104*$AZ113)+'LINEST VARS'!$B$64*($BQ$104*12.73)+'LINEST VARS'!$A$64*($AZ113*12.73)</f>
        <v>173.78999999999988</v>
      </c>
      <c r="BR113" s="55">
        <f>'LINEST VARS'!$U$64+'LINEST VARS'!$T$64*(8)+'LINEST VARS'!$S$64*(8)+'LINEST VARS'!$R$64*($BR$104)+'LINEST VARS'!$Q$64*($AZ113)+'LINEST VARS'!$P$64*(12.73)+'LINEST VARS'!$O$64*(8^2)+'LINEST VARS'!$N$64*(8^2)+'LINEST VARS'!$M$64*($BR$104^2)+'LINEST VARS'!$L$64*($AZ113^2)+'LINEST VARS'!$K$64*(12.73^2)+'LINEST VARS'!$J$64*(8*8)+'LINEST VARS'!$I$64*(8*$BR$104)+'LINEST VARS'!$H$64*(8*$AZ113)+'LINEST VARS'!$G$64*(8*12.73)+'LINEST VARS'!$F$64*(8*$BR$104)+'LINEST VARS'!$E$64*(8*$AZ113)+'LINEST VARS'!$D$64*(8*12.73)+'LINEST VARS'!$C$64*($BR$104*$AZ113)+'LINEST VARS'!$B$64*($BR$104*12.73)+'LINEST VARS'!$A$64*($AZ113*12.73)</f>
        <v>175.3899999999999</v>
      </c>
      <c r="BS113" s="55">
        <f>'LINEST VARS'!$U$64+'LINEST VARS'!$T$64*(8)+'LINEST VARS'!$S$64*(8)+'LINEST VARS'!$R$64*($BS$104)+'LINEST VARS'!$Q$64*($AZ113)+'LINEST VARS'!$P$64*(12.73)+'LINEST VARS'!$O$64*(8^2)+'LINEST VARS'!$N$64*(8^2)+'LINEST VARS'!$M$64*($BS$104^2)+'LINEST VARS'!$L$64*($AZ113^2)+'LINEST VARS'!$K$64*(12.73^2)+'LINEST VARS'!$J$64*(8*8)+'LINEST VARS'!$I$64*(8*$BS$104)+'LINEST VARS'!$H$64*(8*$AZ113)+'LINEST VARS'!$G$64*(8*12.73)+'LINEST VARS'!$F$64*(8*$BS$104)+'LINEST VARS'!$E$64*(8*$AZ113)+'LINEST VARS'!$D$64*(8*12.73)+'LINEST VARS'!$C$64*($BS$104*$AZ113)+'LINEST VARS'!$B$64*($BS$104*12.73)+'LINEST VARS'!$A$64*($AZ113*12.73)</f>
        <v>176.98999999999987</v>
      </c>
      <c r="BT113" s="55">
        <f>'LINEST VARS'!$U$64+'LINEST VARS'!$T$64*(8)+'LINEST VARS'!$S$64*(8)+'LINEST VARS'!$R$64*($BT$104)+'LINEST VARS'!$Q$64*($AZ113)+'LINEST VARS'!$P$64*(12.73)+'LINEST VARS'!$O$64*(8^2)+'LINEST VARS'!$N$64*(8^2)+'LINEST VARS'!$M$64*($BT$104^2)+'LINEST VARS'!$L$64*($AZ113^2)+'LINEST VARS'!$K$64*(12.73^2)+'LINEST VARS'!$J$64*(8*8)+'LINEST VARS'!$I$64*(8*$BT$104)+'LINEST VARS'!$H$64*(8*$AZ113)+'LINEST VARS'!$G$64*(8*12.73)+'LINEST VARS'!$F$64*(8*$BT$104)+'LINEST VARS'!$E$64*(8*$AZ113)+'LINEST VARS'!$D$64*(8*12.73)+'LINEST VARS'!$C$64*($BT$104*$AZ113)+'LINEST VARS'!$B$64*($BT$104*12.73)+'LINEST VARS'!$A$64*($AZ113*12.73)</f>
        <v>178.58999999999989</v>
      </c>
      <c r="BU113" s="56">
        <f>'LINEST VARS'!$U$64+'LINEST VARS'!$T$64*(8)+'LINEST VARS'!$S$64*(8)+'LINEST VARS'!$R$64*($BU$104)+'LINEST VARS'!$Q$64*($AZ113)+'LINEST VARS'!$P$64*(12.73)+'LINEST VARS'!$O$64*(8^2)+'LINEST VARS'!$N$64*(8^2)+'LINEST VARS'!$M$64*($BU$104^2)+'LINEST VARS'!$L$64*($AZ113^2)+'LINEST VARS'!$K$64*(12.73^2)+'LINEST VARS'!$J$64*(8*8)+'LINEST VARS'!$I$64*(8*$BU$104)+'LINEST VARS'!$H$64*(8*$AZ113)+'LINEST VARS'!$G$64*(8*12.73)+'LINEST VARS'!$F$64*(8*$BU$104)+'LINEST VARS'!$E$64*(8*$AZ113)+'LINEST VARS'!$D$64*(8*12.73)+'LINEST VARS'!$C$64*($BU$104*$AZ113)+'LINEST VARS'!$B$64*($BU$104*12.73)+'LINEST VARS'!$A$64*($AZ113*12.73)</f>
        <v>180.18999999999986</v>
      </c>
      <c r="BX113" s="45">
        <v>0.4</v>
      </c>
      <c r="BY113" s="46">
        <f>'LINEST VARS'!$U$66+'LINEST VARS'!$T$66*(8)+'LINEST VARS'!$S$66*(8)+'LINEST VARS'!$R$66*($BY$104)+'LINEST VARS'!$Q$66*($BX113)+'LINEST VARS'!$P$66*(12.73)+'LINEST VARS'!$O$66*(8^2)+'LINEST VARS'!$N$66*(8^2)+'LINEST VARS'!$M$66*($BY$104^2)+'LINEST VARS'!$L$66*($BX113^2)+'LINEST VARS'!$K$66*(12.73^2)+'LINEST VARS'!$J$66*(8*8)+'LINEST VARS'!$I$66*(8*$BY$104)+'LINEST VARS'!$H$66*(8*$BX113)+'LINEST VARS'!$G$66*(8*12.73)+'LINEST VARS'!$F$66*(8*$BY$104)+'LINEST VARS'!$E$66*(8*$BX113)+'LINEST VARS'!$D$66*(8*12.73)+'LINEST VARS'!$C$66*($BY$104*$BX113)+'LINEST VARS'!$B$66*($BY$104*12.73)+'LINEST VARS'!$A$66*($BX113*12.73)</f>
        <v>144.00000000000006</v>
      </c>
      <c r="BZ113" s="46">
        <f>'LINEST VARS'!$U$66+'LINEST VARS'!$T$66*(8)+'LINEST VARS'!$S$66*(8)+'LINEST VARS'!$R$66*($BZ$104)+'LINEST VARS'!$Q$66*($BX113)+'LINEST VARS'!$P$66*(12.73)+'LINEST VARS'!$O$66*(8^2)+'LINEST VARS'!$N$66*(8^2)+'LINEST VARS'!$M$66*($BZ$104^2)+'LINEST VARS'!$L$66*($BX113^2)+'LINEST VARS'!$K$66*(12.73^2)+'LINEST VARS'!$J$66*(8*8)+'LINEST VARS'!$I$66*(8*$BZ$104)+'LINEST VARS'!$H$66*(8*$BX113)+'LINEST VARS'!$G$66*(8*12.73)+'LINEST VARS'!$F$66*(8*$BZ$104)+'LINEST VARS'!$E$66*(8*$BX113)+'LINEST VARS'!$D$66*(8*12.73)+'LINEST VARS'!$C$66*($BZ$104*$BX113)+'LINEST VARS'!$B$66*($BZ$104*12.73)+'LINEST VARS'!$A$66*($BX113*12.73)</f>
        <v>143.20000000000007</v>
      </c>
      <c r="CA113" s="46">
        <f>'LINEST VARS'!$U$66+'LINEST VARS'!$T$66*(8)+'LINEST VARS'!$S$66*(8)+'LINEST VARS'!$R$66*($CA$104)+'LINEST VARS'!$Q$66*($BX113)+'LINEST VARS'!$P$66*(12.73)+'LINEST VARS'!$O$66*(8^2)+'LINEST VARS'!$N$66*(8^2)+'LINEST VARS'!$M$66*($CA$104^2)+'LINEST VARS'!$L$66*($BX113^2)+'LINEST VARS'!$K$66*(12.73^2)+'LINEST VARS'!$J$66*(8*8)+'LINEST VARS'!$I$66*(8*$CA$104)+'LINEST VARS'!$H$66*(8*$BX113)+'LINEST VARS'!$G$66*(8*12.73)+'LINEST VARS'!$F$66*(8*$CA$104)+'LINEST VARS'!$E$66*(8*$BX113)+'LINEST VARS'!$D$66*(8*12.73)+'LINEST VARS'!$C$66*($CA$104*$BX113)+'LINEST VARS'!$B$66*($CA$104*12.73)+'LINEST VARS'!$A$66*($BX113*12.73)</f>
        <v>142.40000000000006</v>
      </c>
      <c r="CB113" s="46">
        <f>'LINEST VARS'!$U$66+'LINEST VARS'!$T$66*(8)+'LINEST VARS'!$S$66*(8)+'LINEST VARS'!$R$66*($CB$104)+'LINEST VARS'!$Q$66*($BX113)+'LINEST VARS'!$P$66*(12.73)+'LINEST VARS'!$O$66*(8^2)+'LINEST VARS'!$N$66*(8^2)+'LINEST VARS'!$M$66*($CB$104^2)+'LINEST VARS'!$L$66*($BX113^2)+'LINEST VARS'!$K$66*(12.73^2)+'LINEST VARS'!$J$66*(8*8)+'LINEST VARS'!$I$66*(8*$CB$104)+'LINEST VARS'!$H$66*(8*$BX113)+'LINEST VARS'!$G$66*(8*12.73)+'LINEST VARS'!$F$66*(8*$CB$104)+'LINEST VARS'!$E$66*(8*$BX113)+'LINEST VARS'!$D$66*(8*12.73)+'LINEST VARS'!$C$66*($CB$104*$BX113)+'LINEST VARS'!$B$66*($CB$104*12.73)+'LINEST VARS'!$A$66*($BX113*12.73)</f>
        <v>141.60000000000008</v>
      </c>
      <c r="CC113" s="46">
        <f>'LINEST VARS'!$U$66+'LINEST VARS'!$T$66*(8)+'LINEST VARS'!$S$66*(8)+'LINEST VARS'!$R$66*($CC$104)+'LINEST VARS'!$Q$66*($BX113)+'LINEST VARS'!$P$66*(12.73)+'LINEST VARS'!$O$66*(8^2)+'LINEST VARS'!$N$66*(8^2)+'LINEST VARS'!$M$66*($CC$104^2)+'LINEST VARS'!$L$66*($BX113^2)+'LINEST VARS'!$K$66*(12.73^2)+'LINEST VARS'!$J$66*(8*8)+'LINEST VARS'!$I$66*(8*$CC$104)+'LINEST VARS'!$H$66*(8*$BX113)+'LINEST VARS'!$G$66*(8*12.73)+'LINEST VARS'!$F$66*(8*$CC$104)+'LINEST VARS'!$E$66*(8*$BX113)+'LINEST VARS'!$D$66*(8*12.73)+'LINEST VARS'!$C$66*($CC$104*$BX113)+'LINEST VARS'!$B$66*($CC$104*12.73)+'LINEST VARS'!$A$66*($BX113*12.73)</f>
        <v>140.80000000000007</v>
      </c>
      <c r="CD113" s="46">
        <f>'LINEST VARS'!$U$66+'LINEST VARS'!$T$66*(8)+'LINEST VARS'!$S$66*(8)+'LINEST VARS'!$R$66*($CD$104)+'LINEST VARS'!$Q$66*($BX113)+'LINEST VARS'!$P$66*(12.73)+'LINEST VARS'!$O$66*(8^2)+'LINEST VARS'!$N$66*(8^2)+'LINEST VARS'!$M$66*($CD$104^2)+'LINEST VARS'!$L$66*($BX113^2)+'LINEST VARS'!$K$66*(12.73^2)+'LINEST VARS'!$J$66*(8*8)+'LINEST VARS'!$I$66*(8*$CD$104)+'LINEST VARS'!$H$66*(8*$BX113)+'LINEST VARS'!$G$66*(8*12.73)+'LINEST VARS'!$F$66*(8*$CD$104)+'LINEST VARS'!$E$66*(8*$BX113)+'LINEST VARS'!$D$66*(8*12.73)+'LINEST VARS'!$C$66*($CD$104*$BX113)+'LINEST VARS'!$B$66*($CD$104*12.73)+'LINEST VARS'!$A$66*($BX113*12.73)</f>
        <v>140.00000000000009</v>
      </c>
      <c r="CE113" s="46">
        <f>'LINEST VARS'!$U$66+'LINEST VARS'!$T$66*(8)+'LINEST VARS'!$S$66*(8)+'LINEST VARS'!$R$66*($CE$104)+'LINEST VARS'!$Q$66*($BX113)+'LINEST VARS'!$P$66*(12.73)+'LINEST VARS'!$O$66*(8^2)+'LINEST VARS'!$N$66*(8^2)+'LINEST VARS'!$M$66*($CE$104^2)+'LINEST VARS'!$L$66*($BX113^2)+'LINEST VARS'!$K$66*(12.73^2)+'LINEST VARS'!$J$66*(8*8)+'LINEST VARS'!$I$66*(8*$CE$104)+'LINEST VARS'!$H$66*(8*$BX113)+'LINEST VARS'!$G$66*(8*12.73)+'LINEST VARS'!$F$66*(8*$CE$104)+'LINEST VARS'!$E$66*(8*$BX113)+'LINEST VARS'!$D$66*(8*12.73)+'LINEST VARS'!$C$66*($CE$104*$BX113)+'LINEST VARS'!$B$66*($CE$104*12.73)+'LINEST VARS'!$A$66*($BX113*12.73)</f>
        <v>139.20000000000007</v>
      </c>
      <c r="CF113" s="46">
        <f>'LINEST VARS'!$U$66+'LINEST VARS'!$T$66*(8)+'LINEST VARS'!$S$66*(8)+'LINEST VARS'!$R$66*($CF$104)+'LINEST VARS'!$Q$66*($BX113)+'LINEST VARS'!$P$66*(12.73)+'LINEST VARS'!$O$66*(8^2)+'LINEST VARS'!$N$66*(8^2)+'LINEST VARS'!$M$66*($CF$104^2)+'LINEST VARS'!$L$66*($BX113^2)+'LINEST VARS'!$K$66*(12.73^2)+'LINEST VARS'!$J$66*(8*8)+'LINEST VARS'!$I$66*(8*$CF$104)+'LINEST VARS'!$H$66*(8*$BX113)+'LINEST VARS'!$G$66*(8*12.73)+'LINEST VARS'!$F$66*(8*$CF$104)+'LINEST VARS'!$E$66*(8*$BX113)+'LINEST VARS'!$D$66*(8*12.73)+'LINEST VARS'!$C$66*($CF$104*$BX113)+'LINEST VARS'!$B$66*($CF$104*12.73)+'LINEST VARS'!$A$66*($BX113*12.73)</f>
        <v>138.40000000000009</v>
      </c>
      <c r="CG113" s="46">
        <f>'LINEST VARS'!$U$66+'LINEST VARS'!$T$66*(8)+'LINEST VARS'!$S$66*(8)+'LINEST VARS'!$R$66*($CG$104)+'LINEST VARS'!$Q$66*($BX113)+'LINEST VARS'!$P$66*(12.73)+'LINEST VARS'!$O$66*(8^2)+'LINEST VARS'!$N$66*(8^2)+'LINEST VARS'!$M$66*($CG$104^2)+'LINEST VARS'!$L$66*($BX113^2)+'LINEST VARS'!$K$66*(12.73^2)+'LINEST VARS'!$J$66*(8*8)+'LINEST VARS'!$I$66*(8*$CG$104)+'LINEST VARS'!$H$66*(8*$BX113)+'LINEST VARS'!$G$66*(8*12.73)+'LINEST VARS'!$F$66*(8*$CG$104)+'LINEST VARS'!$E$66*(8*$BX113)+'LINEST VARS'!$D$66*(8*12.73)+'LINEST VARS'!$C$66*($CG$104*$BX113)+'LINEST VARS'!$B$66*($CG$104*12.73)+'LINEST VARS'!$A$66*($BX113*12.73)</f>
        <v>137.60000000000008</v>
      </c>
      <c r="CH113" s="46">
        <f>'LINEST VARS'!$U$66+'LINEST VARS'!$T$66*(8)+'LINEST VARS'!$S$66*(8)+'LINEST VARS'!$R$66*($CH$104)+'LINEST VARS'!$Q$66*($BX113)+'LINEST VARS'!$P$66*(12.73)+'LINEST VARS'!$O$66*(8^2)+'LINEST VARS'!$N$66*(8^2)+'LINEST VARS'!$M$66*($CH$104^2)+'LINEST VARS'!$L$66*($BX113^2)+'LINEST VARS'!$K$66*(12.73^2)+'LINEST VARS'!$J$66*(8*8)+'LINEST VARS'!$I$66*(8*$CH$104)+'LINEST VARS'!$H$66*(8*$BX113)+'LINEST VARS'!$G$66*(8*12.73)+'LINEST VARS'!$F$66*(8*$CH$104)+'LINEST VARS'!$E$66*(8*$BX113)+'LINEST VARS'!$D$66*(8*12.73)+'LINEST VARS'!$C$66*($CH$104*$BX113)+'LINEST VARS'!$B$66*($CH$104*12.73)+'LINEST VARS'!$A$66*($BX113*12.73)</f>
        <v>136.80000000000007</v>
      </c>
      <c r="CI113" s="46">
        <f>'LINEST VARS'!$U$66+'LINEST VARS'!$T$66*(8)+'LINEST VARS'!$S$66*(8)+'LINEST VARS'!$R$66*($CI$104)+'LINEST VARS'!$Q$66*($BX113)+'LINEST VARS'!$P$66*(12.73)+'LINEST VARS'!$O$66*(8^2)+'LINEST VARS'!$N$66*(8^2)+'LINEST VARS'!$M$66*($CI$104^2)+'LINEST VARS'!$L$66*($BX113^2)+'LINEST VARS'!$K$66*(12.73^2)+'LINEST VARS'!$J$66*(8*8)+'LINEST VARS'!$I$66*(8*$CI$104)+'LINEST VARS'!$H$66*(8*$BX113)+'LINEST VARS'!$G$66*(8*12.73)+'LINEST VARS'!$F$66*(8*$CI$104)+'LINEST VARS'!$E$66*(8*$BX113)+'LINEST VARS'!$D$66*(8*12.73)+'LINEST VARS'!$C$66*($CI$104*$BX113)+'LINEST VARS'!$B$66*($CI$104*12.73)+'LINEST VARS'!$A$66*($BX113*12.73)</f>
        <v>136.00000000000006</v>
      </c>
      <c r="CJ113" s="46">
        <f>'LINEST VARS'!$U$66+'LINEST VARS'!$T$66*(8)+'LINEST VARS'!$S$66*(8)+'LINEST VARS'!$R$66*($CJ$104)+'LINEST VARS'!$Q$66*($BX113)+'LINEST VARS'!$P$66*(12.73)+'LINEST VARS'!$O$66*(8^2)+'LINEST VARS'!$N$66*(8^2)+'LINEST VARS'!$M$66*($CJ$104^2)+'LINEST VARS'!$L$66*($BX113^2)+'LINEST VARS'!$K$66*(12.73^2)+'LINEST VARS'!$J$66*(8*8)+'LINEST VARS'!$I$66*(8*$CJ$104)+'LINEST VARS'!$H$66*(8*$BX113)+'LINEST VARS'!$G$66*(8*12.73)+'LINEST VARS'!$F$66*(8*$CJ$104)+'LINEST VARS'!$E$66*(8*$BX113)+'LINEST VARS'!$D$66*(8*12.73)+'LINEST VARS'!$C$66*($CJ$104*$BX113)+'LINEST VARS'!$B$66*($CJ$104*12.73)+'LINEST VARS'!$A$66*($BX113*12.73)</f>
        <v>135.20000000000005</v>
      </c>
      <c r="CK113" s="46">
        <f>'LINEST VARS'!$U$66+'LINEST VARS'!$T$66*(8)+'LINEST VARS'!$S$66*(8)+'LINEST VARS'!$R$66*($CK$104)+'LINEST VARS'!$Q$66*($BX113)+'LINEST VARS'!$P$66*(12.73)+'LINEST VARS'!$O$66*(8^2)+'LINEST VARS'!$N$66*(8^2)+'LINEST VARS'!$M$66*($CK$104^2)+'LINEST VARS'!$L$66*($BX113^2)+'LINEST VARS'!$K$66*(12.73^2)+'LINEST VARS'!$J$66*(8*8)+'LINEST VARS'!$I$66*(8*$CK$104)+'LINEST VARS'!$H$66*(8*$BX113)+'LINEST VARS'!$G$66*(8*12.73)+'LINEST VARS'!$F$66*(8*$CK$104)+'LINEST VARS'!$E$66*(8*$BX113)+'LINEST VARS'!$D$66*(8*12.73)+'LINEST VARS'!$C$66*($CK$104*$BX113)+'LINEST VARS'!$B$66*($CK$104*12.73)+'LINEST VARS'!$A$66*($BX113*12.73)</f>
        <v>134.40000000000003</v>
      </c>
      <c r="CL113" s="46">
        <f>'LINEST VARS'!$U$66+'LINEST VARS'!$T$66*(8)+'LINEST VARS'!$S$66*(8)+'LINEST VARS'!$R$66*($CL$104)+'LINEST VARS'!$Q$66*($BX113)+'LINEST VARS'!$P$66*(12.73)+'LINEST VARS'!$O$66*(8^2)+'LINEST VARS'!$N$66*(8^2)+'LINEST VARS'!$M$66*($CL$104^2)+'LINEST VARS'!$L$66*($BX113^2)+'LINEST VARS'!$K$66*(12.73^2)+'LINEST VARS'!$J$66*(8*8)+'LINEST VARS'!$I$66*(8*$CL$104)+'LINEST VARS'!$H$66*(8*$BX113)+'LINEST VARS'!$G$66*(8*12.73)+'LINEST VARS'!$F$66*(8*$CL$104)+'LINEST VARS'!$E$66*(8*$BX113)+'LINEST VARS'!$D$66*(8*12.73)+'LINEST VARS'!$C$66*($CL$104*$BX113)+'LINEST VARS'!$B$66*($CL$104*12.73)+'LINEST VARS'!$A$66*($BX113*12.73)</f>
        <v>133.60000000000005</v>
      </c>
      <c r="CM113" s="46">
        <f>'LINEST VARS'!$U$66+'LINEST VARS'!$T$66*(8)+'LINEST VARS'!$S$66*(8)+'LINEST VARS'!$R$66*($CM$104)+'LINEST VARS'!$Q$66*($BX113)+'LINEST VARS'!$P$66*(12.73)+'LINEST VARS'!$O$66*(8^2)+'LINEST VARS'!$N$66*(8^2)+'LINEST VARS'!$M$66*($CM$104^2)+'LINEST VARS'!$L$66*($BX113^2)+'LINEST VARS'!$K$66*(12.73^2)+'LINEST VARS'!$J$66*(8*8)+'LINEST VARS'!$I$66*(8*$CM$104)+'LINEST VARS'!$H$66*(8*$BX113)+'LINEST VARS'!$G$66*(8*12.73)+'LINEST VARS'!$F$66*(8*$CM$104)+'LINEST VARS'!$E$66*(8*$BX113)+'LINEST VARS'!$D$66*(8*12.73)+'LINEST VARS'!$C$66*($CM$104*$BX113)+'LINEST VARS'!$B$66*($CM$104*12.73)+'LINEST VARS'!$A$66*($BX113*12.73)</f>
        <v>132.80000000000004</v>
      </c>
      <c r="CN113" s="46">
        <f>'LINEST VARS'!$U$66+'LINEST VARS'!$T$66*(8)+'LINEST VARS'!$S$66*(8)+'LINEST VARS'!$R$66*($CN$104)+'LINEST VARS'!$Q$66*($BX113)+'LINEST VARS'!$P$66*(12.73)+'LINEST VARS'!$O$66*(8^2)+'LINEST VARS'!$N$66*(8^2)+'LINEST VARS'!$M$66*($CN$104^2)+'LINEST VARS'!$L$66*($BX113^2)+'LINEST VARS'!$K$66*(12.73^2)+'LINEST VARS'!$J$66*(8*8)+'LINEST VARS'!$I$66*(8*$CN$104)+'LINEST VARS'!$H$66*(8*$BX113)+'LINEST VARS'!$G$66*(8*12.73)+'LINEST VARS'!$F$66*(8*$CN$104)+'LINEST VARS'!$E$66*(8*$BX113)+'LINEST VARS'!$D$66*(8*12.73)+'LINEST VARS'!$C$66*($CN$104*$BX113)+'LINEST VARS'!$B$66*($CN$104*12.73)+'LINEST VARS'!$A$66*($BX113*12.73)</f>
        <v>132.00000000000006</v>
      </c>
      <c r="CO113" s="46">
        <f>'LINEST VARS'!$U$66+'LINEST VARS'!$T$66*(8)+'LINEST VARS'!$S$66*(8)+'LINEST VARS'!$R$66*($CO$104)+'LINEST VARS'!$Q$66*($BX113)+'LINEST VARS'!$P$66*(12.73)+'LINEST VARS'!$O$66*(8^2)+'LINEST VARS'!$N$66*(8^2)+'LINEST VARS'!$M$66*($CO$104^2)+'LINEST VARS'!$L$66*($BX113^2)+'LINEST VARS'!$K$66*(12.73^2)+'LINEST VARS'!$J$66*(8*8)+'LINEST VARS'!$I$66*(8*$CO$104)+'LINEST VARS'!$H$66*(8*$BX113)+'LINEST VARS'!$G$66*(8*12.73)+'LINEST VARS'!$F$66*(8*$CO$104)+'LINEST VARS'!$E$66*(8*$BX113)+'LINEST VARS'!$D$66*(8*12.73)+'LINEST VARS'!$C$66*($CO$104*$BX113)+'LINEST VARS'!$B$66*($CO$104*12.73)+'LINEST VARS'!$A$66*($BX113*12.73)</f>
        <v>131.20000000000005</v>
      </c>
      <c r="CP113" s="46">
        <f>'LINEST VARS'!$U$66+'LINEST VARS'!$T$66*(8)+'LINEST VARS'!$S$66*(8)+'LINEST VARS'!$R$66*($CP$104)+'LINEST VARS'!$Q$66*($BX113)+'LINEST VARS'!$P$66*(12.73)+'LINEST VARS'!$O$66*(8^2)+'LINEST VARS'!$N$66*(8^2)+'LINEST VARS'!$M$66*($CP$104^2)+'LINEST VARS'!$L$66*($BX113^2)+'LINEST VARS'!$K$66*(12.73^2)+'LINEST VARS'!$J$66*(8*8)+'LINEST VARS'!$I$66*(8*$CP$104)+'LINEST VARS'!$H$66*(8*$BX113)+'LINEST VARS'!$G$66*(8*12.73)+'LINEST VARS'!$F$66*(8*$CP$104)+'LINEST VARS'!$E$66*(8*$BX113)+'LINEST VARS'!$D$66*(8*12.73)+'LINEST VARS'!$C$66*($CP$104*$BX113)+'LINEST VARS'!$B$66*($CP$104*12.73)+'LINEST VARS'!$A$66*($BX113*12.73)</f>
        <v>130.40000000000009</v>
      </c>
      <c r="CQ113" s="46">
        <f>'LINEST VARS'!$U$66+'LINEST VARS'!$T$66*(8)+'LINEST VARS'!$S$66*(8)+'LINEST VARS'!$R$66*($CQ$104)+'LINEST VARS'!$Q$66*($BX113)+'LINEST VARS'!$P$66*(12.73)+'LINEST VARS'!$O$66*(8^2)+'LINEST VARS'!$N$66*(8^2)+'LINEST VARS'!$M$66*($CQ$104^2)+'LINEST VARS'!$L$66*($BX113^2)+'LINEST VARS'!$K$66*(12.73^2)+'LINEST VARS'!$J$66*(8*8)+'LINEST VARS'!$I$66*(8*$CQ$104)+'LINEST VARS'!$H$66*(8*$BX113)+'LINEST VARS'!$G$66*(8*12.73)+'LINEST VARS'!$F$66*(8*$CQ$104)+'LINEST VARS'!$E$66*(8*$BX113)+'LINEST VARS'!$D$66*(8*12.73)+'LINEST VARS'!$C$66*($CQ$104*$BX113)+'LINEST VARS'!$B$66*($CQ$104*12.73)+'LINEST VARS'!$A$66*($BX113*12.73)</f>
        <v>129.60000000000008</v>
      </c>
      <c r="CR113" s="46">
        <f>'LINEST VARS'!$U$66+'LINEST VARS'!$T$66*(8)+'LINEST VARS'!$S$66*(8)+'LINEST VARS'!$R$66*($CR$104)+'LINEST VARS'!$Q$66*($BX113)+'LINEST VARS'!$P$66*(12.73)+'LINEST VARS'!$O$66*(8^2)+'LINEST VARS'!$N$66*(8^2)+'LINEST VARS'!$M$66*($CR$104^2)+'LINEST VARS'!$L$66*($BX113^2)+'LINEST VARS'!$K$66*(12.73^2)+'LINEST VARS'!$J$66*(8*8)+'LINEST VARS'!$I$66*(8*$CR$104)+'LINEST VARS'!$H$66*(8*$BX113)+'LINEST VARS'!$G$66*(8*12.73)+'LINEST VARS'!$F$66*(8*$CR$104)+'LINEST VARS'!$E$66*(8*$BX113)+'LINEST VARS'!$D$66*(8*12.73)+'LINEST VARS'!$C$66*($CR$104*$BX113)+'LINEST VARS'!$B$66*($CR$104*12.73)+'LINEST VARS'!$A$66*($BX113*12.73)</f>
        <v>128.8000000000001</v>
      </c>
      <c r="CS113" s="47">
        <f>'LINEST VARS'!$U$66+'LINEST VARS'!$T$66*(8)+'LINEST VARS'!$S$66*(8)+'LINEST VARS'!$R$66*($CS$104)+'LINEST VARS'!$Q$66*($BX113)+'LINEST VARS'!$P$66*(12.73)+'LINEST VARS'!$O$66*(8^2)+'LINEST VARS'!$N$66*(8^2)+'LINEST VARS'!$M$66*($CS$104^2)+'LINEST VARS'!$L$66*($BX113^2)+'LINEST VARS'!$K$66*(12.73^2)+'LINEST VARS'!$J$66*(8*8)+'LINEST VARS'!$I$66*(8*$CS$104)+'LINEST VARS'!$H$66*(8*$BX113)+'LINEST VARS'!$G$66*(8*12.73)+'LINEST VARS'!$F$66*(8*$CS$104)+'LINEST VARS'!$E$66*(8*$BX113)+'LINEST VARS'!$D$66*(8*12.73)+'LINEST VARS'!$C$66*($CS$104*$BX113)+'LINEST VARS'!$B$66*($CS$104*12.73)+'LINEST VARS'!$A$66*($BX113*12.73)</f>
        <v>128.00000000000006</v>
      </c>
      <c r="CX113" s="45">
        <v>10.396000000000001</v>
      </c>
      <c r="CY113" s="55">
        <f>'LINEST VARS'!$U$64+'LINEST VARS'!$T$64*(8)+'LINEST VARS'!$S$64*(8)+'LINEST VARS'!$R$64*($CY$104)+'LINEST VARS'!$Q$64*(0.5)+'LINEST VARS'!$P$64*($CX113)+'LINEST VARS'!$O$64*(8^2)+'LINEST VARS'!$N$64*(8^2)+'LINEST VARS'!$M$64*($CY$104^2)+'LINEST VARS'!$L$64*(0.5^2)+'LINEST VARS'!$K$64*($CX113^2)+'LINEST VARS'!$J$64*(8*8)+'LINEST VARS'!$I$64*(8*$CY$104)+'LINEST VARS'!$H$64*(8*0.5)+'LINEST VARS'!$G$64*(8*$CX113)+'LINEST VARS'!$F$64*(8*$CY$104)+'LINEST VARS'!$E$64*(8*0.5)+'LINEST VARS'!$D$64*(8*$CX113)+'LINEST VARS'!$C$64*($CY$104*0.5)+'LINEST VARS'!$B$64*($CY$104*$CX113)+'LINEST VARS'!$A$64*(0.5*$CX113)</f>
        <v>141.1879999999999</v>
      </c>
      <c r="CZ113" s="55">
        <f>'LINEST VARS'!$U$64+'LINEST VARS'!$T$64*(8)+'LINEST VARS'!$S$64*(8)+'LINEST VARS'!$R$64*($CZ$104)+'LINEST VARS'!$Q$64*(0.5)+'LINEST VARS'!$P$64*($CX113)+'LINEST VARS'!$O$64*(8^2)+'LINEST VARS'!$N$64*(8^2)+'LINEST VARS'!$M$64*($CZ$104^2)+'LINEST VARS'!$L$64*(0.5^2)+'LINEST VARS'!$K$64*($CX113^2)+'LINEST VARS'!$J$64*(8*8)+'LINEST VARS'!$I$64*(8*$CZ$104)+'LINEST VARS'!$H$64*(8*0.5)+'LINEST VARS'!$G$64*(8*$CX113)+'LINEST VARS'!$F$64*(8*$CZ$104)+'LINEST VARS'!$E$64*(8*0.5)+'LINEST VARS'!$D$64*(8*$CX113)+'LINEST VARS'!$C$64*($CZ$104*0.5)+'LINEST VARS'!$B$64*($CZ$104*$CX113)+'LINEST VARS'!$A$64*(0.5*$CX113)</f>
        <v>142.7879999999999</v>
      </c>
      <c r="DA113" s="55">
        <f>'LINEST VARS'!$U$64+'LINEST VARS'!$T$64*(8)+'LINEST VARS'!$S$64*(8)+'LINEST VARS'!$R$64*($DA$104)+'LINEST VARS'!$Q$64*(0.5)+'LINEST VARS'!$P$64*($CX113)+'LINEST VARS'!$O$64*(8^2)+'LINEST VARS'!$N$64*(8^2)+'LINEST VARS'!$M$64*($DA$104^2)+'LINEST VARS'!$L$64*(0.5^2)+'LINEST VARS'!$K$64*($CX113^2)+'LINEST VARS'!$J$64*(8*8)+'LINEST VARS'!$I$64*(8*$DA$104)+'LINEST VARS'!$H$64*(8*0.5)+'LINEST VARS'!$G$64*(8*$CX113)+'LINEST VARS'!$F$64*(8*$DA$104)+'LINEST VARS'!$E$64*(8*0.5)+'LINEST VARS'!$D$64*(8*$CX113)+'LINEST VARS'!$C$64*($DA$104*0.5)+'LINEST VARS'!$B$64*($DA$104*$CX113)+'LINEST VARS'!$A$64*(0.5*$CX113)</f>
        <v>144.38799999999989</v>
      </c>
      <c r="DB113" s="55">
        <f>'LINEST VARS'!$U$64+'LINEST VARS'!$T$64*(8)+'LINEST VARS'!$S$64*(8)+'LINEST VARS'!$R$64*($DB$104)+'LINEST VARS'!$Q$64*(0.5)+'LINEST VARS'!$P$64*($CX113)+'LINEST VARS'!$O$64*(8^2)+'LINEST VARS'!$N$64*(8^2)+'LINEST VARS'!$M$64*($DB$104^2)+'LINEST VARS'!$L$64*(0.5^2)+'LINEST VARS'!$K$64*($CX113^2)+'LINEST VARS'!$J$64*(8*8)+'LINEST VARS'!$I$64*(8*$DB$104)+'LINEST VARS'!$H$64*(8*0.5)+'LINEST VARS'!$G$64*(8*$CX113)+'LINEST VARS'!$F$64*(8*$DB$104)+'LINEST VARS'!$E$64*(8*0.5)+'LINEST VARS'!$D$64*(8*$CX113)+'LINEST VARS'!$C$64*($DB$104*0.5)+'LINEST VARS'!$B$64*($DB$104*$CX113)+'LINEST VARS'!$A$64*(0.5*$CX113)</f>
        <v>145.98799999999989</v>
      </c>
      <c r="DC113" s="55">
        <f>'LINEST VARS'!$U$64+'LINEST VARS'!$T$64*(8)+'LINEST VARS'!$S$64*(8)+'LINEST VARS'!$R$64*($DC$104)+'LINEST VARS'!$Q$64*(0.5)+'LINEST VARS'!$P$64*($CX113)+'LINEST VARS'!$O$64*(8^2)+'LINEST VARS'!$N$64*(8^2)+'LINEST VARS'!$M$64*($DC$104^2)+'LINEST VARS'!$L$64*(0.5^2)+'LINEST VARS'!$K$64*($CX113^2)+'LINEST VARS'!$J$64*(8*8)+'LINEST VARS'!$I$64*(8*$DC$104)+'LINEST VARS'!$H$64*(8*0.5)+'LINEST VARS'!$G$64*(8*$CX113)+'LINEST VARS'!$F$64*(8*$DC$104)+'LINEST VARS'!$E$64*(8*0.5)+'LINEST VARS'!$D$64*(8*$CX113)+'LINEST VARS'!$C$64*($DC$104*0.5)+'LINEST VARS'!$B$64*($DC$104*$CX113)+'LINEST VARS'!$A$64*(0.5*$CX113)</f>
        <v>147.58799999999991</v>
      </c>
      <c r="DD113" s="55">
        <f>'LINEST VARS'!$U$64+'LINEST VARS'!$T$64*(8)+'LINEST VARS'!$S$64*(8)+'LINEST VARS'!$R$64*($DD$104)+'LINEST VARS'!$Q$64*(0.5)+'LINEST VARS'!$P$64*($CX113)+'LINEST VARS'!$O$64*(8^2)+'LINEST VARS'!$N$64*(8^2)+'LINEST VARS'!$M$64*($DD$104^2)+'LINEST VARS'!$L$64*(0.5^2)+'LINEST VARS'!$K$64*($CX113^2)+'LINEST VARS'!$J$64*(8*8)+'LINEST VARS'!$I$64*(8*$DD$104)+'LINEST VARS'!$H$64*(8*0.5)+'LINEST VARS'!$G$64*(8*$CX113)+'LINEST VARS'!$F$64*(8*$DD$104)+'LINEST VARS'!$E$64*(8*0.5)+'LINEST VARS'!$D$64*(8*$CX113)+'LINEST VARS'!$C$64*($DD$104*0.5)+'LINEST VARS'!$B$64*($DD$104*$CX113)+'LINEST VARS'!$A$64*(0.5*$CX113)</f>
        <v>149.1879999999999</v>
      </c>
      <c r="DE113" s="55">
        <f>'LINEST VARS'!$U$64+'LINEST VARS'!$T$64*(8)+'LINEST VARS'!$S$64*(8)+'LINEST VARS'!$R$64*($DE$104)+'LINEST VARS'!$Q$64*(0.5)+'LINEST VARS'!$P$64*($CX113)+'LINEST VARS'!$O$64*(8^2)+'LINEST VARS'!$N$64*(8^2)+'LINEST VARS'!$M$64*($DE$104^2)+'LINEST VARS'!$L$64*(0.5^2)+'LINEST VARS'!$K$64*($CX113^2)+'LINEST VARS'!$J$64*(8*8)+'LINEST VARS'!$I$64*(8*$DE$104)+'LINEST VARS'!$H$64*(8*0.5)+'LINEST VARS'!$G$64*(8*$CX113)+'LINEST VARS'!$F$64*(8*$DE$104)+'LINEST VARS'!$E$64*(8*0.5)+'LINEST VARS'!$D$64*(8*$CX113)+'LINEST VARS'!$C$64*($DE$104*0.5)+'LINEST VARS'!$B$64*($DE$104*$CX113)+'LINEST VARS'!$A$64*(0.5*$CX113)</f>
        <v>150.7879999999999</v>
      </c>
      <c r="DF113" s="55">
        <f>'LINEST VARS'!$U$64+'LINEST VARS'!$T$64*(8)+'LINEST VARS'!$S$64*(8)+'LINEST VARS'!$R$64*($DF$104)+'LINEST VARS'!$Q$64*(0.5)+'LINEST VARS'!$P$64*($CX113)+'LINEST VARS'!$O$64*(8^2)+'LINEST VARS'!$N$64*(8^2)+'LINEST VARS'!$M$64*($DF$104^2)+'LINEST VARS'!$L$64*(0.5^2)+'LINEST VARS'!$K$64*($CX113^2)+'LINEST VARS'!$J$64*(8*8)+'LINEST VARS'!$I$64*(8*$DF$104)+'LINEST VARS'!$H$64*(8*0.5)+'LINEST VARS'!$G$64*(8*$CX113)+'LINEST VARS'!$F$64*(8*$DF$104)+'LINEST VARS'!$E$64*(8*0.5)+'LINEST VARS'!$D$64*(8*$CX113)+'LINEST VARS'!$C$64*($DF$104*0.5)+'LINEST VARS'!$B$64*($DF$104*$CX113)+'LINEST VARS'!$A$64*(0.5*$CX113)</f>
        <v>152.38799999999989</v>
      </c>
      <c r="DG113" s="55">
        <f>'LINEST VARS'!$U$64+'LINEST VARS'!$T$64*(8)+'LINEST VARS'!$S$64*(8)+'LINEST VARS'!$R$64*($DG$104)+'LINEST VARS'!$Q$64*(0.5)+'LINEST VARS'!$P$64*($CX113)+'LINEST VARS'!$O$64*(8^2)+'LINEST VARS'!$N$64*(8^2)+'LINEST VARS'!$M$64*($DG$104^2)+'LINEST VARS'!$L$64*(0.5^2)+'LINEST VARS'!$K$64*($CX113^2)+'LINEST VARS'!$J$64*(8*8)+'LINEST VARS'!$I$64*(8*$DG$104)+'LINEST VARS'!$H$64*(8*0.5)+'LINEST VARS'!$G$64*(8*$CX113)+'LINEST VARS'!$F$64*(8*$DG$104)+'LINEST VARS'!$E$64*(8*0.5)+'LINEST VARS'!$D$64*(8*$CX113)+'LINEST VARS'!$C$64*($DG$104*0.5)+'LINEST VARS'!$B$64*($DG$104*$CX113)+'LINEST VARS'!$A$64*(0.5*$CX113)</f>
        <v>153.98799999999991</v>
      </c>
      <c r="DH113" s="55">
        <f>'LINEST VARS'!$U$64+'LINEST VARS'!$T$64*(8)+'LINEST VARS'!$S$64*(8)+'LINEST VARS'!$R$64*($DH$104)+'LINEST VARS'!$Q$64*(0.5)+'LINEST VARS'!$P$64*($CX113)+'LINEST VARS'!$O$64*(8^2)+'LINEST VARS'!$N$64*(8^2)+'LINEST VARS'!$M$64*($DH$104^2)+'LINEST VARS'!$L$64*(0.5^2)+'LINEST VARS'!$K$64*($CX113^2)+'LINEST VARS'!$J$64*(8*8)+'LINEST VARS'!$I$64*(8*$DH$104)+'LINEST VARS'!$H$64*(8*0.5)+'LINEST VARS'!$G$64*(8*$CX113)+'LINEST VARS'!$F$64*(8*$DH$104)+'LINEST VARS'!$E$64*(8*0.5)+'LINEST VARS'!$D$64*(8*$CX113)+'LINEST VARS'!$C$64*($DH$104*0.5)+'LINEST VARS'!$B$64*($DH$104*$CX113)+'LINEST VARS'!$A$64*(0.5*$CX113)</f>
        <v>155.58799999999991</v>
      </c>
      <c r="DI113" s="55">
        <f>'LINEST VARS'!$U$64+'LINEST VARS'!$T$64*(8)+'LINEST VARS'!$S$64*(8)+'LINEST VARS'!$R$64*($DI$104)+'LINEST VARS'!$Q$64*(0.5)+'LINEST VARS'!$P$64*($CX113)+'LINEST VARS'!$O$64*(8^2)+'LINEST VARS'!$N$64*(8^2)+'LINEST VARS'!$M$64*($DI$104^2)+'LINEST VARS'!$L$64*(0.5^2)+'LINEST VARS'!$K$64*($CX113^2)+'LINEST VARS'!$J$64*(8*8)+'LINEST VARS'!$I$64*(8*$DI$104)+'LINEST VARS'!$H$64*(8*0.5)+'LINEST VARS'!$G$64*(8*$CX113)+'LINEST VARS'!$F$64*(8*$DI$104)+'LINEST VARS'!$E$64*(8*0.5)+'LINEST VARS'!$D$64*(8*$CX113)+'LINEST VARS'!$C$64*($DI$104*0.5)+'LINEST VARS'!$B$64*($DI$104*$CX113)+'LINEST VARS'!$A$64*(0.5*$CX113)</f>
        <v>157.1879999999999</v>
      </c>
      <c r="DJ113" s="55">
        <f>'LINEST VARS'!$U$64+'LINEST VARS'!$T$64*(8)+'LINEST VARS'!$S$64*(8)+'LINEST VARS'!$R$64*($DJ$104)+'LINEST VARS'!$Q$64*(0.5)+'LINEST VARS'!$P$64*($CX113)+'LINEST VARS'!$O$64*(8^2)+'LINEST VARS'!$N$64*(8^2)+'LINEST VARS'!$M$64*($DJ$104^2)+'LINEST VARS'!$L$64*(0.5^2)+'LINEST VARS'!$K$64*($CX113^2)+'LINEST VARS'!$J$64*(8*8)+'LINEST VARS'!$I$64*(8*$DJ$104)+'LINEST VARS'!$H$64*(8*0.5)+'LINEST VARS'!$G$64*(8*$CX113)+'LINEST VARS'!$F$64*(8*$DJ$104)+'LINEST VARS'!$E$64*(8*0.5)+'LINEST VARS'!$D$64*(8*$CX113)+'LINEST VARS'!$C$64*($DJ$104*0.5)+'LINEST VARS'!$B$64*($DJ$104*$CX113)+'LINEST VARS'!$A$64*(0.5*$CX113)</f>
        <v>158.7879999999999</v>
      </c>
      <c r="DK113" s="55">
        <f>'LINEST VARS'!$U$64+'LINEST VARS'!$T$64*(8)+'LINEST VARS'!$S$64*(8)+'LINEST VARS'!$R$64*($DK$104)+'LINEST VARS'!$Q$64*(0.5)+'LINEST VARS'!$P$64*($CX113)+'LINEST VARS'!$O$64*(8^2)+'LINEST VARS'!$N$64*(8^2)+'LINEST VARS'!$M$64*($DK$104^2)+'LINEST VARS'!$L$64*(0.5^2)+'LINEST VARS'!$K$64*($CX113^2)+'LINEST VARS'!$J$64*(8*8)+'LINEST VARS'!$I$64*(8*$DK$104)+'LINEST VARS'!$H$64*(8*0.5)+'LINEST VARS'!$G$64*(8*$CX113)+'LINEST VARS'!$F$64*(8*$DK$104)+'LINEST VARS'!$E$64*(8*0.5)+'LINEST VARS'!$D$64*(8*$CX113)+'LINEST VARS'!$C$64*($DK$104*0.5)+'LINEST VARS'!$B$64*($DK$104*$CX113)+'LINEST VARS'!$A$64*(0.5*$CX113)</f>
        <v>160.38799999999986</v>
      </c>
      <c r="DL113" s="55">
        <f>'LINEST VARS'!$U$64+'LINEST VARS'!$T$64*(8)+'LINEST VARS'!$S$64*(8)+'LINEST VARS'!$R$64*($DL$104)+'LINEST VARS'!$Q$64*(0.5)+'LINEST VARS'!$P$64*($CX113)+'LINEST VARS'!$O$64*(8^2)+'LINEST VARS'!$N$64*(8^2)+'LINEST VARS'!$M$64*($DL$104^2)+'LINEST VARS'!$L$64*(0.5^2)+'LINEST VARS'!$K$64*($CX113^2)+'LINEST VARS'!$J$64*(8*8)+'LINEST VARS'!$I$64*(8*$DL$104)+'LINEST VARS'!$H$64*(8*0.5)+'LINEST VARS'!$G$64*(8*$CX113)+'LINEST VARS'!$F$64*(8*$DL$104)+'LINEST VARS'!$E$64*(8*0.5)+'LINEST VARS'!$D$64*(8*$CX113)+'LINEST VARS'!$C$64*($DL$104*0.5)+'LINEST VARS'!$B$64*($DL$104*$CX113)+'LINEST VARS'!$A$64*(0.5*$CX113)</f>
        <v>161.98799999999989</v>
      </c>
      <c r="DM113" s="55">
        <f>'LINEST VARS'!$U$64+'LINEST VARS'!$T$64*(8)+'LINEST VARS'!$S$64*(8)+'LINEST VARS'!$R$64*($DM$104)+'LINEST VARS'!$Q$64*(0.5)+'LINEST VARS'!$P$64*($CX113)+'LINEST VARS'!$O$64*(8^2)+'LINEST VARS'!$N$64*(8^2)+'LINEST VARS'!$M$64*($DM$104^2)+'LINEST VARS'!$L$64*(0.5^2)+'LINEST VARS'!$K$64*($CX113^2)+'LINEST VARS'!$J$64*(8*8)+'LINEST VARS'!$I$64*(8*$DM$104)+'LINEST VARS'!$H$64*(8*0.5)+'LINEST VARS'!$G$64*(8*$CX113)+'LINEST VARS'!$F$64*(8*$DM$104)+'LINEST VARS'!$E$64*(8*0.5)+'LINEST VARS'!$D$64*(8*$CX113)+'LINEST VARS'!$C$64*($DM$104*0.5)+'LINEST VARS'!$B$64*($DM$104*$CX113)+'LINEST VARS'!$A$64*(0.5*$CX113)</f>
        <v>163.58799999999985</v>
      </c>
      <c r="DN113" s="55">
        <f>'LINEST VARS'!$U$64+'LINEST VARS'!$T$64*(8)+'LINEST VARS'!$S$64*(8)+'LINEST VARS'!$R$64*($DN$104)+'LINEST VARS'!$Q$64*(0.5)+'LINEST VARS'!$P$64*($CX113)+'LINEST VARS'!$O$64*(8^2)+'LINEST VARS'!$N$64*(8^2)+'LINEST VARS'!$M$64*($DN$104^2)+'LINEST VARS'!$L$64*(0.5^2)+'LINEST VARS'!$K$64*($CX113^2)+'LINEST VARS'!$J$64*(8*8)+'LINEST VARS'!$I$64*(8*$DN$104)+'LINEST VARS'!$H$64*(8*0.5)+'LINEST VARS'!$G$64*(8*$CX113)+'LINEST VARS'!$F$64*(8*$DN$104)+'LINEST VARS'!$E$64*(8*0.5)+'LINEST VARS'!$D$64*(8*$CX113)+'LINEST VARS'!$C$64*($DN$104*0.5)+'LINEST VARS'!$B$64*($DN$104*$CX113)+'LINEST VARS'!$A$64*(0.5*$CX113)</f>
        <v>165.18799999999985</v>
      </c>
      <c r="DO113" s="55">
        <f>'LINEST VARS'!$U$64+'LINEST VARS'!$T$64*(8)+'LINEST VARS'!$S$64*(8)+'LINEST VARS'!$R$64*($DO$104)+'LINEST VARS'!$Q$64*(0.5)+'LINEST VARS'!$P$64*($CX113)+'LINEST VARS'!$O$64*(8^2)+'LINEST VARS'!$N$64*(8^2)+'LINEST VARS'!$M$64*($DO$104^2)+'LINEST VARS'!$L$64*(0.5^2)+'LINEST VARS'!$K$64*($CX113^2)+'LINEST VARS'!$J$64*(8*8)+'LINEST VARS'!$I$64*(8*$DO$104)+'LINEST VARS'!$H$64*(8*0.5)+'LINEST VARS'!$G$64*(8*$CX113)+'LINEST VARS'!$F$64*(8*$DO$104)+'LINEST VARS'!$E$64*(8*0.5)+'LINEST VARS'!$D$64*(8*$CX113)+'LINEST VARS'!$C$64*($DO$104*0.5)+'LINEST VARS'!$B$64*($DO$104*$CX113)+'LINEST VARS'!$A$64*(0.5*$CX113)</f>
        <v>166.78799999999987</v>
      </c>
      <c r="DP113" s="55">
        <f>'LINEST VARS'!$U$64+'LINEST VARS'!$T$64*(8)+'LINEST VARS'!$S$64*(8)+'LINEST VARS'!$R$64*($DP$104)+'LINEST VARS'!$Q$64*(0.5)+'LINEST VARS'!$P$64*($CX113)+'LINEST VARS'!$O$64*(8^2)+'LINEST VARS'!$N$64*(8^2)+'LINEST VARS'!$M$64*($DP$104^2)+'LINEST VARS'!$L$64*(0.5^2)+'LINEST VARS'!$K$64*($CX113^2)+'LINEST VARS'!$J$64*(8*8)+'LINEST VARS'!$I$64*(8*$DP$104)+'LINEST VARS'!$H$64*(8*0.5)+'LINEST VARS'!$G$64*(8*$CX113)+'LINEST VARS'!$F$64*(8*$DP$104)+'LINEST VARS'!$E$64*(8*0.5)+'LINEST VARS'!$D$64*(8*$CX113)+'LINEST VARS'!$C$64*($DP$104*0.5)+'LINEST VARS'!$B$64*($DP$104*$CX113)+'LINEST VARS'!$A$64*(0.5*$CX113)</f>
        <v>168.38799999999986</v>
      </c>
      <c r="DQ113" s="55">
        <f>'LINEST VARS'!$U$64+'LINEST VARS'!$T$64*(8)+'LINEST VARS'!$S$64*(8)+'LINEST VARS'!$R$64*($DQ$104)+'LINEST VARS'!$Q$64*(0.5)+'LINEST VARS'!$P$64*($CX113)+'LINEST VARS'!$O$64*(8^2)+'LINEST VARS'!$N$64*(8^2)+'LINEST VARS'!$M$64*($DQ$104^2)+'LINEST VARS'!$L$64*(0.5^2)+'LINEST VARS'!$K$64*($CX113^2)+'LINEST VARS'!$J$64*(8*8)+'LINEST VARS'!$I$64*(8*$DQ$104)+'LINEST VARS'!$H$64*(8*0.5)+'LINEST VARS'!$G$64*(8*$CX113)+'LINEST VARS'!$F$64*(8*$DQ$104)+'LINEST VARS'!$E$64*(8*0.5)+'LINEST VARS'!$D$64*(8*$CX113)+'LINEST VARS'!$C$64*($DQ$104*0.5)+'LINEST VARS'!$B$64*($DQ$104*$CX113)+'LINEST VARS'!$A$64*(0.5*$CX113)</f>
        <v>169.98799999999986</v>
      </c>
      <c r="DR113" s="55">
        <f>'LINEST VARS'!$U$64+'LINEST VARS'!$T$64*(8)+'LINEST VARS'!$S$64*(8)+'LINEST VARS'!$R$64*($DR$104)+'LINEST VARS'!$Q$64*(0.5)+'LINEST VARS'!$P$64*($CX113)+'LINEST VARS'!$O$64*(8^2)+'LINEST VARS'!$N$64*(8^2)+'LINEST VARS'!$M$64*($DR$104^2)+'LINEST VARS'!$L$64*(0.5^2)+'LINEST VARS'!$K$64*($CX113^2)+'LINEST VARS'!$J$64*(8*8)+'LINEST VARS'!$I$64*(8*$DR$104)+'LINEST VARS'!$H$64*(8*0.5)+'LINEST VARS'!$G$64*(8*$CX113)+'LINEST VARS'!$F$64*(8*$DR$104)+'LINEST VARS'!$E$64*(8*0.5)+'LINEST VARS'!$D$64*(8*$CX113)+'LINEST VARS'!$C$64*($DR$104*0.5)+'LINEST VARS'!$B$64*($DR$104*$CX113)+'LINEST VARS'!$A$64*(0.5*$CX113)</f>
        <v>171.58799999999985</v>
      </c>
      <c r="DS113" s="56">
        <f>'LINEST VARS'!$U$64+'LINEST VARS'!$T$64*(8)+'LINEST VARS'!$S$64*(8)+'LINEST VARS'!$R$64*($DS$104)+'LINEST VARS'!$Q$64*(0.5)+'LINEST VARS'!$P$64*($CX113)+'LINEST VARS'!$O$64*(8^2)+'LINEST VARS'!$N$64*(8^2)+'LINEST VARS'!$M$64*($DS$104^2)+'LINEST VARS'!$L$64*(0.5^2)+'LINEST VARS'!$K$64*($CX113^2)+'LINEST VARS'!$J$64*(8*8)+'LINEST VARS'!$I$64*(8*$DS$104)+'LINEST VARS'!$H$64*(8*0.5)+'LINEST VARS'!$G$64*(8*$CX113)+'LINEST VARS'!$F$64*(8*$DS$104)+'LINEST VARS'!$E$64*(8*0.5)+'LINEST VARS'!$D$64*(8*$CX113)+'LINEST VARS'!$C$64*($DS$104*0.5)+'LINEST VARS'!$B$64*($DS$104*$CX113)+'LINEST VARS'!$A$64*(0.5*$CX113)</f>
        <v>173.18799999999985</v>
      </c>
      <c r="DV113" s="45">
        <v>10.396000000000001</v>
      </c>
      <c r="DW113" s="46">
        <f>'LINEST VARS'!$U$66+'LINEST VARS'!$T$66*(8)+'LINEST VARS'!$S$66*(8)+'LINEST VARS'!$R$66*($DW$104)+'LINEST VARS'!$Q$66*(0.5)+'LINEST VARS'!$P$66*($DV113)+'LINEST VARS'!$O$66*(8^2)+'LINEST VARS'!$N$66*(8^2)+'LINEST VARS'!$M$66*($DW$104^2)+'LINEST VARS'!$L$66*(0.5^2)+'LINEST VARS'!$K$66*($DV113^2)+'LINEST VARS'!$J$66*(8*8)+'LINEST VARS'!$I$66*(8*$DW$104)+'LINEST VARS'!$H$66*(8*0.5)+'LINEST VARS'!$G$66*(8*$DV113)+'LINEST VARS'!$F$66*(8*$DW$104)+'LINEST VARS'!$E$66*(8*0.5)+'LINEST VARS'!$D$66*(8*$DV113)+'LINEST VARS'!$C$66*($DW$104*0.5)+'LINEST VARS'!$B$66*($DW$104*$DV113)+'LINEST VARS'!$A$66*(0.5*$DV113)</f>
        <v>144.00000000000003</v>
      </c>
      <c r="DX113" s="46">
        <f>'LINEST VARS'!$U$66+'LINEST VARS'!$T$66*(8)+'LINEST VARS'!$S$66*(8)+'LINEST VARS'!$R$66*($DX$104)+'LINEST VARS'!$Q$66*(0.5)+'LINEST VARS'!$P$66*($DV113)+'LINEST VARS'!$O$66*(8^2)+'LINEST VARS'!$N$66*(8^2)+'LINEST VARS'!$M$66*($DX$104^2)+'LINEST VARS'!$L$66*(0.5^2)+'LINEST VARS'!$K$66*($DV113^2)+'LINEST VARS'!$J$66*(8*8)+'LINEST VARS'!$I$66*(8*$DX$104)+'LINEST VARS'!$H$66*(8*0.5)+'LINEST VARS'!$G$66*(8*$DV113)+'LINEST VARS'!$F$66*(8*$DX$104)+'LINEST VARS'!$E$66*(8*0.5)+'LINEST VARS'!$D$66*(8*$DV113)+'LINEST VARS'!$C$66*($DX$104*0.5)+'LINEST VARS'!$B$66*($DX$104*$DV113)+'LINEST VARS'!$A$66*(0.5*$DV113)</f>
        <v>143.20000000000005</v>
      </c>
      <c r="DY113" s="46">
        <f>'LINEST VARS'!$U$66+'LINEST VARS'!$T$66*(8)+'LINEST VARS'!$S$66*(8)+'LINEST VARS'!$R$66*($DY$104)+'LINEST VARS'!$Q$66*(0.5)+'LINEST VARS'!$P$66*($DV113)+'LINEST VARS'!$O$66*(8^2)+'LINEST VARS'!$N$66*(8^2)+'LINEST VARS'!$M$66*($DY$104^2)+'LINEST VARS'!$L$66*(0.5^2)+'LINEST VARS'!$K$66*($DV113^2)+'LINEST VARS'!$J$66*(8*8)+'LINEST VARS'!$I$66*(8*$DY$104)+'LINEST VARS'!$H$66*(8*0.5)+'LINEST VARS'!$G$66*(8*$DV113)+'LINEST VARS'!$F$66*(8*$DY$104)+'LINEST VARS'!$E$66*(8*0.5)+'LINEST VARS'!$D$66*(8*$DV113)+'LINEST VARS'!$C$66*($DY$104*0.5)+'LINEST VARS'!$B$66*($DY$104*$DV113)+'LINEST VARS'!$A$66*(0.5*$DV113)</f>
        <v>142.40000000000003</v>
      </c>
      <c r="DZ113" s="46">
        <f>'LINEST VARS'!$U$66+'LINEST VARS'!$T$66*(8)+'LINEST VARS'!$S$66*(8)+'LINEST VARS'!$R$66*($DZ$104)+'LINEST VARS'!$Q$66*(0.5)+'LINEST VARS'!$P$66*($DV113)+'LINEST VARS'!$O$66*(8^2)+'LINEST VARS'!$N$66*(8^2)+'LINEST VARS'!$M$66*($DZ$104^2)+'LINEST VARS'!$L$66*(0.5^2)+'LINEST VARS'!$K$66*($DV113^2)+'LINEST VARS'!$J$66*(8*8)+'LINEST VARS'!$I$66*(8*$DZ$104)+'LINEST VARS'!$H$66*(8*0.5)+'LINEST VARS'!$G$66*(8*$DV113)+'LINEST VARS'!$F$66*(8*$DZ$104)+'LINEST VARS'!$E$66*(8*0.5)+'LINEST VARS'!$D$66*(8*$DV113)+'LINEST VARS'!$C$66*($DZ$104*0.5)+'LINEST VARS'!$B$66*($DZ$104*$DV113)+'LINEST VARS'!$A$66*(0.5*$DV113)</f>
        <v>141.60000000000005</v>
      </c>
      <c r="EA113" s="46">
        <f>'LINEST VARS'!$U$66+'LINEST VARS'!$T$66*(8)+'LINEST VARS'!$S$66*(8)+'LINEST VARS'!$R$66*($EA$104)+'LINEST VARS'!$Q$66*(0.5)+'LINEST VARS'!$P$66*($DV113)+'LINEST VARS'!$O$66*(8^2)+'LINEST VARS'!$N$66*(8^2)+'LINEST VARS'!$M$66*($EA$104^2)+'LINEST VARS'!$L$66*(0.5^2)+'LINEST VARS'!$K$66*($DV113^2)+'LINEST VARS'!$J$66*(8*8)+'LINEST VARS'!$I$66*(8*$EA$104)+'LINEST VARS'!$H$66*(8*0.5)+'LINEST VARS'!$G$66*(8*$DV113)+'LINEST VARS'!$F$66*(8*$EA$104)+'LINEST VARS'!$E$66*(8*0.5)+'LINEST VARS'!$D$66*(8*$DV113)+'LINEST VARS'!$C$66*($EA$104*0.5)+'LINEST VARS'!$B$66*($EA$104*$DV113)+'LINEST VARS'!$A$66*(0.5*$DV113)</f>
        <v>140.80000000000004</v>
      </c>
      <c r="EB113" s="46">
        <f>'LINEST VARS'!$U$66+'LINEST VARS'!$T$66*(8)+'LINEST VARS'!$S$66*(8)+'LINEST VARS'!$R$66*($EB$104)+'LINEST VARS'!$Q$66*(0.5)+'LINEST VARS'!$P$66*($DV113)+'LINEST VARS'!$O$66*(8^2)+'LINEST VARS'!$N$66*(8^2)+'LINEST VARS'!$M$66*($EB$104^2)+'LINEST VARS'!$L$66*(0.5^2)+'LINEST VARS'!$K$66*($DV113^2)+'LINEST VARS'!$J$66*(8*8)+'LINEST VARS'!$I$66*(8*$EB$104)+'LINEST VARS'!$H$66*(8*0.5)+'LINEST VARS'!$G$66*(8*$DV113)+'LINEST VARS'!$F$66*(8*$EB$104)+'LINEST VARS'!$E$66*(8*0.5)+'LINEST VARS'!$D$66*(8*$DV113)+'LINEST VARS'!$C$66*($EB$104*0.5)+'LINEST VARS'!$B$66*($EB$104*$DV113)+'LINEST VARS'!$A$66*(0.5*$DV113)</f>
        <v>140.00000000000006</v>
      </c>
      <c r="EC113" s="46">
        <f>'LINEST VARS'!$U$66+'LINEST VARS'!$T$66*(8)+'LINEST VARS'!$S$66*(8)+'LINEST VARS'!$R$66*($EC$104)+'LINEST VARS'!$Q$66*(0.5)+'LINEST VARS'!$P$66*($DV113)+'LINEST VARS'!$O$66*(8^2)+'LINEST VARS'!$N$66*(8^2)+'LINEST VARS'!$M$66*($EC$104^2)+'LINEST VARS'!$L$66*(0.5^2)+'LINEST VARS'!$K$66*($DV113^2)+'LINEST VARS'!$J$66*(8*8)+'LINEST VARS'!$I$66*(8*$EC$104)+'LINEST VARS'!$H$66*(8*0.5)+'LINEST VARS'!$G$66*(8*$DV113)+'LINEST VARS'!$F$66*(8*$EC$104)+'LINEST VARS'!$E$66*(8*0.5)+'LINEST VARS'!$D$66*(8*$DV113)+'LINEST VARS'!$C$66*($EC$104*0.5)+'LINEST VARS'!$B$66*($EC$104*$DV113)+'LINEST VARS'!$A$66*(0.5*$DV113)</f>
        <v>139.20000000000005</v>
      </c>
      <c r="ED113" s="46">
        <f>'LINEST VARS'!$U$66+'LINEST VARS'!$T$66*(8)+'LINEST VARS'!$S$66*(8)+'LINEST VARS'!$R$66*($ED$104)+'LINEST VARS'!$Q$66*(0.5)+'LINEST VARS'!$P$66*($DV113)+'LINEST VARS'!$O$66*(8^2)+'LINEST VARS'!$N$66*(8^2)+'LINEST VARS'!$M$66*($ED$104^2)+'LINEST VARS'!$L$66*(0.5^2)+'LINEST VARS'!$K$66*($DV113^2)+'LINEST VARS'!$J$66*(8*8)+'LINEST VARS'!$I$66*(8*$ED$104)+'LINEST VARS'!$H$66*(8*0.5)+'LINEST VARS'!$G$66*(8*$DV113)+'LINEST VARS'!$F$66*(8*$ED$104)+'LINEST VARS'!$E$66*(8*0.5)+'LINEST VARS'!$D$66*(8*$DV113)+'LINEST VARS'!$C$66*($ED$104*0.5)+'LINEST VARS'!$B$66*($ED$104*$DV113)+'LINEST VARS'!$A$66*(0.5*$DV113)</f>
        <v>138.40000000000006</v>
      </c>
      <c r="EE113" s="46">
        <f>'LINEST VARS'!$U$66+'LINEST VARS'!$T$66*(8)+'LINEST VARS'!$S$66*(8)+'LINEST VARS'!$R$66*($EE$104)+'LINEST VARS'!$Q$66*(0.5)+'LINEST VARS'!$P$66*($DV113)+'LINEST VARS'!$O$66*(8^2)+'LINEST VARS'!$N$66*(8^2)+'LINEST VARS'!$M$66*($EE$104^2)+'LINEST VARS'!$L$66*(0.5^2)+'LINEST VARS'!$K$66*($DV113^2)+'LINEST VARS'!$J$66*(8*8)+'LINEST VARS'!$I$66*(8*$EE$104)+'LINEST VARS'!$H$66*(8*0.5)+'LINEST VARS'!$G$66*(8*$DV113)+'LINEST VARS'!$F$66*(8*$EE$104)+'LINEST VARS'!$E$66*(8*0.5)+'LINEST VARS'!$D$66*(8*$DV113)+'LINEST VARS'!$C$66*($EE$104*0.5)+'LINEST VARS'!$B$66*($EE$104*$DV113)+'LINEST VARS'!$A$66*(0.5*$DV113)</f>
        <v>137.60000000000005</v>
      </c>
      <c r="EF113" s="46">
        <f>'LINEST VARS'!$U$66+'LINEST VARS'!$T$66*(8)+'LINEST VARS'!$S$66*(8)+'LINEST VARS'!$R$66*($EF$104)+'LINEST VARS'!$Q$66*(0.5)+'LINEST VARS'!$P$66*($DV113)+'LINEST VARS'!$O$66*(8^2)+'LINEST VARS'!$N$66*(8^2)+'LINEST VARS'!$M$66*($EF$104^2)+'LINEST VARS'!$L$66*(0.5^2)+'LINEST VARS'!$K$66*($DV113^2)+'LINEST VARS'!$J$66*(8*8)+'LINEST VARS'!$I$66*(8*$EF$104)+'LINEST VARS'!$H$66*(8*0.5)+'LINEST VARS'!$G$66*(8*$DV113)+'LINEST VARS'!$F$66*(8*$EF$104)+'LINEST VARS'!$E$66*(8*0.5)+'LINEST VARS'!$D$66*(8*$DV113)+'LINEST VARS'!$C$66*($EF$104*0.5)+'LINEST VARS'!$B$66*($EF$104*$DV113)+'LINEST VARS'!$A$66*(0.5*$DV113)</f>
        <v>136.80000000000004</v>
      </c>
      <c r="EG113" s="46">
        <f>'LINEST VARS'!$U$66+'LINEST VARS'!$T$66*(8)+'LINEST VARS'!$S$66*(8)+'LINEST VARS'!$R$66*($EG$104)+'LINEST VARS'!$Q$66*(0.5)+'LINEST VARS'!$P$66*($DV113)+'LINEST VARS'!$O$66*(8^2)+'LINEST VARS'!$N$66*(8^2)+'LINEST VARS'!$M$66*($EG$104^2)+'LINEST VARS'!$L$66*(0.5^2)+'LINEST VARS'!$K$66*($DV113^2)+'LINEST VARS'!$J$66*(8*8)+'LINEST VARS'!$I$66*(8*$EG$104)+'LINEST VARS'!$H$66*(8*0.5)+'LINEST VARS'!$G$66*(8*$DV113)+'LINEST VARS'!$F$66*(8*$EG$104)+'LINEST VARS'!$E$66*(8*0.5)+'LINEST VARS'!$D$66*(8*$DV113)+'LINEST VARS'!$C$66*($EG$104*0.5)+'LINEST VARS'!$B$66*($EG$104*$DV113)+'LINEST VARS'!$A$66*(0.5*$DV113)</f>
        <v>136.00000000000003</v>
      </c>
      <c r="EH113" s="46">
        <f>'LINEST VARS'!$U$66+'LINEST VARS'!$T$66*(8)+'LINEST VARS'!$S$66*(8)+'LINEST VARS'!$R$66*($EH$104)+'LINEST VARS'!$Q$66*(0.5)+'LINEST VARS'!$P$66*($DV113)+'LINEST VARS'!$O$66*(8^2)+'LINEST VARS'!$N$66*(8^2)+'LINEST VARS'!$M$66*($EH$104^2)+'LINEST VARS'!$L$66*(0.5^2)+'LINEST VARS'!$K$66*($DV113^2)+'LINEST VARS'!$J$66*(8*8)+'LINEST VARS'!$I$66*(8*$EH$104)+'LINEST VARS'!$H$66*(8*0.5)+'LINEST VARS'!$G$66*(8*$DV113)+'LINEST VARS'!$F$66*(8*$EH$104)+'LINEST VARS'!$E$66*(8*0.5)+'LINEST VARS'!$D$66*(8*$DV113)+'LINEST VARS'!$C$66*($EH$104*0.5)+'LINEST VARS'!$B$66*($EH$104*$DV113)+'LINEST VARS'!$A$66*(0.5*$DV113)</f>
        <v>135.20000000000002</v>
      </c>
      <c r="EI113" s="46">
        <f>'LINEST VARS'!$U$66+'LINEST VARS'!$T$66*(8)+'LINEST VARS'!$S$66*(8)+'LINEST VARS'!$R$66*($EI$104)+'LINEST VARS'!$Q$66*(0.5)+'LINEST VARS'!$P$66*($DV113)+'LINEST VARS'!$O$66*(8^2)+'LINEST VARS'!$N$66*(8^2)+'LINEST VARS'!$M$66*($EI$104^2)+'LINEST VARS'!$L$66*(0.5^2)+'LINEST VARS'!$K$66*($DV113^2)+'LINEST VARS'!$J$66*(8*8)+'LINEST VARS'!$I$66*(8*$EI$104)+'LINEST VARS'!$H$66*(8*0.5)+'LINEST VARS'!$G$66*(8*$DV113)+'LINEST VARS'!$F$66*(8*$EI$104)+'LINEST VARS'!$E$66*(8*0.5)+'LINEST VARS'!$D$66*(8*$DV113)+'LINEST VARS'!$C$66*($EI$104*0.5)+'LINEST VARS'!$B$66*($EI$104*$DV113)+'LINEST VARS'!$A$66*(0.5*$DV113)</f>
        <v>134.4</v>
      </c>
      <c r="EJ113" s="46">
        <f>'LINEST VARS'!$U$66+'LINEST VARS'!$T$66*(8)+'LINEST VARS'!$S$66*(8)+'LINEST VARS'!$R$66*($EJ$104)+'LINEST VARS'!$Q$66*(0.5)+'LINEST VARS'!$P$66*($DV113)+'LINEST VARS'!$O$66*(8^2)+'LINEST VARS'!$N$66*(8^2)+'LINEST VARS'!$M$66*($EJ$104^2)+'LINEST VARS'!$L$66*(0.5^2)+'LINEST VARS'!$K$66*($DV113^2)+'LINEST VARS'!$J$66*(8*8)+'LINEST VARS'!$I$66*(8*$EJ$104)+'LINEST VARS'!$H$66*(8*0.5)+'LINEST VARS'!$G$66*(8*$DV113)+'LINEST VARS'!$F$66*(8*$EJ$104)+'LINEST VARS'!$E$66*(8*0.5)+'LINEST VARS'!$D$66*(8*$DV113)+'LINEST VARS'!$C$66*($EJ$104*0.5)+'LINEST VARS'!$B$66*($EJ$104*$DV113)+'LINEST VARS'!$A$66*(0.5*$DV113)</f>
        <v>133.60000000000002</v>
      </c>
      <c r="EK113" s="46">
        <f>'LINEST VARS'!$U$66+'LINEST VARS'!$T$66*(8)+'LINEST VARS'!$S$66*(8)+'LINEST VARS'!$R$66*($EK$104)+'LINEST VARS'!$Q$66*(0.5)+'LINEST VARS'!$P$66*($DV113)+'LINEST VARS'!$O$66*(8^2)+'LINEST VARS'!$N$66*(8^2)+'LINEST VARS'!$M$66*($EK$104^2)+'LINEST VARS'!$L$66*(0.5^2)+'LINEST VARS'!$K$66*($DV113^2)+'LINEST VARS'!$J$66*(8*8)+'LINEST VARS'!$I$66*(8*$EK$104)+'LINEST VARS'!$H$66*(8*0.5)+'LINEST VARS'!$G$66*(8*$DV113)+'LINEST VARS'!$F$66*(8*$EK$104)+'LINEST VARS'!$E$66*(8*0.5)+'LINEST VARS'!$D$66*(8*$DV113)+'LINEST VARS'!$C$66*($EK$104*0.5)+'LINEST VARS'!$B$66*($EK$104*$DV113)+'LINEST VARS'!$A$66*(0.5*$DV113)</f>
        <v>132.80000000000001</v>
      </c>
      <c r="EL113" s="46">
        <f>'LINEST VARS'!$U$66+'LINEST VARS'!$T$66*(8)+'LINEST VARS'!$S$66*(8)+'LINEST VARS'!$R$66*($EL$104)+'LINEST VARS'!$Q$66*(0.5)+'LINEST VARS'!$P$66*($DV113)+'LINEST VARS'!$O$66*(8^2)+'LINEST VARS'!$N$66*(8^2)+'LINEST VARS'!$M$66*($EL$104^2)+'LINEST VARS'!$L$66*(0.5^2)+'LINEST VARS'!$K$66*($DV113^2)+'LINEST VARS'!$J$66*(8*8)+'LINEST VARS'!$I$66*(8*$EL$104)+'LINEST VARS'!$H$66*(8*0.5)+'LINEST VARS'!$G$66*(8*$DV113)+'LINEST VARS'!$F$66*(8*$EL$104)+'LINEST VARS'!$E$66*(8*0.5)+'LINEST VARS'!$D$66*(8*$DV113)+'LINEST VARS'!$C$66*($EL$104*0.5)+'LINEST VARS'!$B$66*($EL$104*$DV113)+'LINEST VARS'!$A$66*(0.5*$DV113)</f>
        <v>132.00000000000003</v>
      </c>
      <c r="EM113" s="46">
        <f>'LINEST VARS'!$U$66+'LINEST VARS'!$T$66*(8)+'LINEST VARS'!$S$66*(8)+'LINEST VARS'!$R$66*($EM$104)+'LINEST VARS'!$Q$66*(0.5)+'LINEST VARS'!$P$66*($DV113)+'LINEST VARS'!$O$66*(8^2)+'LINEST VARS'!$N$66*(8^2)+'LINEST VARS'!$M$66*($EM$104^2)+'LINEST VARS'!$L$66*(0.5^2)+'LINEST VARS'!$K$66*($DV113^2)+'LINEST VARS'!$J$66*(8*8)+'LINEST VARS'!$I$66*(8*$EM$104)+'LINEST VARS'!$H$66*(8*0.5)+'LINEST VARS'!$G$66*(8*$DV113)+'LINEST VARS'!$F$66*(8*$EM$104)+'LINEST VARS'!$E$66*(8*0.5)+'LINEST VARS'!$D$66*(8*$DV113)+'LINEST VARS'!$C$66*($EM$104*0.5)+'LINEST VARS'!$B$66*($EM$104*$DV113)+'LINEST VARS'!$A$66*(0.5*$DV113)</f>
        <v>131.20000000000002</v>
      </c>
      <c r="EN113" s="46">
        <f>'LINEST VARS'!$U$66+'LINEST VARS'!$T$66*(8)+'LINEST VARS'!$S$66*(8)+'LINEST VARS'!$R$66*($EN$104)+'LINEST VARS'!$Q$66*(0.5)+'LINEST VARS'!$P$66*($DV113)+'LINEST VARS'!$O$66*(8^2)+'LINEST VARS'!$N$66*(8^2)+'LINEST VARS'!$M$66*($EN$104^2)+'LINEST VARS'!$L$66*(0.5^2)+'LINEST VARS'!$K$66*($DV113^2)+'LINEST VARS'!$J$66*(8*8)+'LINEST VARS'!$I$66*(8*$EN$104)+'LINEST VARS'!$H$66*(8*0.5)+'LINEST VARS'!$G$66*(8*$DV113)+'LINEST VARS'!$F$66*(8*$EN$104)+'LINEST VARS'!$E$66*(8*0.5)+'LINEST VARS'!$D$66*(8*$DV113)+'LINEST VARS'!$C$66*($EN$104*0.5)+'LINEST VARS'!$B$66*($EN$104*$DV113)+'LINEST VARS'!$A$66*(0.5*$DV113)</f>
        <v>130.40000000000006</v>
      </c>
      <c r="EO113" s="46">
        <f>'LINEST VARS'!$U$66+'LINEST VARS'!$T$66*(8)+'LINEST VARS'!$S$66*(8)+'LINEST VARS'!$R$66*($EO$104)+'LINEST VARS'!$Q$66*(0.5)+'LINEST VARS'!$P$66*($DV113)+'LINEST VARS'!$O$66*(8^2)+'LINEST VARS'!$N$66*(8^2)+'LINEST VARS'!$M$66*($EO$104^2)+'LINEST VARS'!$L$66*(0.5^2)+'LINEST VARS'!$K$66*($DV113^2)+'LINEST VARS'!$J$66*(8*8)+'LINEST VARS'!$I$66*(8*$EO$104)+'LINEST VARS'!$H$66*(8*0.5)+'LINEST VARS'!$G$66*(8*$DV113)+'LINEST VARS'!$F$66*(8*$EO$104)+'LINEST VARS'!$E$66*(8*0.5)+'LINEST VARS'!$D$66*(8*$DV113)+'LINEST VARS'!$C$66*($EO$104*0.5)+'LINEST VARS'!$B$66*($EO$104*$DV113)+'LINEST VARS'!$A$66*(0.5*$DV113)</f>
        <v>129.60000000000005</v>
      </c>
      <c r="EP113" s="46">
        <f>'LINEST VARS'!$U$66+'LINEST VARS'!$T$66*(8)+'LINEST VARS'!$S$66*(8)+'LINEST VARS'!$R$66*($EP$104)+'LINEST VARS'!$Q$66*(0.5)+'LINEST VARS'!$P$66*($DV113)+'LINEST VARS'!$O$66*(8^2)+'LINEST VARS'!$N$66*(8^2)+'LINEST VARS'!$M$66*($EP$104^2)+'LINEST VARS'!$L$66*(0.5^2)+'LINEST VARS'!$K$66*($DV113^2)+'LINEST VARS'!$J$66*(8*8)+'LINEST VARS'!$I$66*(8*$EP$104)+'LINEST VARS'!$H$66*(8*0.5)+'LINEST VARS'!$G$66*(8*$DV113)+'LINEST VARS'!$F$66*(8*$EP$104)+'LINEST VARS'!$E$66*(8*0.5)+'LINEST VARS'!$D$66*(8*$DV113)+'LINEST VARS'!$C$66*($EP$104*0.5)+'LINEST VARS'!$B$66*($EP$104*$DV113)+'LINEST VARS'!$A$66*(0.5*$DV113)</f>
        <v>128.80000000000007</v>
      </c>
      <c r="EQ113" s="47">
        <f>'LINEST VARS'!$U$66+'LINEST VARS'!$T$66*(8)+'LINEST VARS'!$S$66*(8)+'LINEST VARS'!$R$66*($EQ$104)+'LINEST VARS'!$Q$66*(0.5)+'LINEST VARS'!$P$66*($DV113)+'LINEST VARS'!$O$66*(8^2)+'LINEST VARS'!$N$66*(8^2)+'LINEST VARS'!$M$66*($EQ$104^2)+'LINEST VARS'!$L$66*(0.5^2)+'LINEST VARS'!$K$66*($DV113^2)+'LINEST VARS'!$J$66*(8*8)+'LINEST VARS'!$I$66*(8*$EQ$104)+'LINEST VARS'!$H$66*(8*0.5)+'LINEST VARS'!$G$66*(8*$DV113)+'LINEST VARS'!$F$66*(8*$EQ$104)+'LINEST VARS'!$E$66*(8*0.5)+'LINEST VARS'!$D$66*(8*$DV113)+'LINEST VARS'!$C$66*($EQ$104*0.5)+'LINEST VARS'!$B$66*($EQ$104*$DV113)+'LINEST VARS'!$A$66*(0.5*$DV113)</f>
        <v>128.00000000000003</v>
      </c>
    </row>
    <row r="114" spans="2:147" ht="15" customHeight="1" x14ac:dyDescent="0.25">
      <c r="B114" s="45">
        <v>7.94</v>
      </c>
      <c r="C114" s="55">
        <f>'LINEST VARS'!$U$64+'LINEST VARS'!$T$64*($C$104)+'LINEST VARS'!$S$64*($B114)+'LINEST VARS'!$R$64*(4)+'LINEST VARS'!$Q$64*(0.5)+'LINEST VARS'!$P$64*(12.73)+'LINEST VARS'!$O$64*($C$104^2)+'LINEST VARS'!$N$64*($B114^2)+'LINEST VARS'!$M$64*(4^2)+'LINEST VARS'!$L$64*(0.5^2)+'LINEST VARS'!$K$64*(12.73^2)+'LINEST VARS'!$J$64*($C$104*$B114)+'LINEST VARS'!$I$64*($C$104*4)+'LINEST VARS'!$H$64*($C$104*0.5)+'LINEST VARS'!$G$64*($C$104*12.73)+'LINEST VARS'!$F$64*($B114*4)+'LINEST VARS'!$E$64*($B114*0.5)+'LINEST VARS'!$D$64*($B114*12.73)+'LINEST VARS'!$C$64*(4*0.5)+'LINEST VARS'!$B$64*(4*12.73)+'LINEST VARS'!$A$64*(0.5*12.73)</f>
        <v>164.18999999999986</v>
      </c>
      <c r="D114" s="55">
        <f>'LINEST VARS'!$U$64+'LINEST VARS'!$T$64*($D$104)+'LINEST VARS'!$S$64*($B114)+'LINEST VARS'!$R$64*(4)+'LINEST VARS'!$Q$64*(0.5)+'LINEST VARS'!$P$64*(12.73)+'LINEST VARS'!$O$64*($D$104^2)+'LINEST VARS'!$N$64*($B114^2)+'LINEST VARS'!$M$64*(4^2)+'LINEST VARS'!$L$64*(0.5^2)+'LINEST VARS'!$K$64*(12.73^2)+'LINEST VARS'!$J$64*($D$104*$B114)+'LINEST VARS'!$I$64*($D$104*4)+'LINEST VARS'!$H$64*($D$104*0.5)+'LINEST VARS'!$G$64*($D$104*12.73)+'LINEST VARS'!$F$64*($B114*4)+'LINEST VARS'!$E$64*($B114*0.5)+'LINEST VARS'!$D$64*($B114*12.73)+'LINEST VARS'!$C$64*(4*0.5)+'LINEST VARS'!$B$64*(4*12.73)+'LINEST VARS'!$A$64*(0.5*12.73)</f>
        <v>164.18999999999986</v>
      </c>
      <c r="E114" s="55">
        <f>'LINEST VARS'!$U$64+'LINEST VARS'!$T$64*($E$104)+'LINEST VARS'!$S$64*($B114)+'LINEST VARS'!$R$64*(4)+'LINEST VARS'!$Q$64*(0.5)+'LINEST VARS'!$P$64*(12.73)+'LINEST VARS'!$O$64*($E$104^2)+'LINEST VARS'!$N$64*($B114^2)+'LINEST VARS'!$M$64*(4^2)+'LINEST VARS'!$L$64*(0.5^2)+'LINEST VARS'!$K$64*(12.73^2)+'LINEST VARS'!$J$64*($E$104*$B114)+'LINEST VARS'!$I$64*($E$104*4)+'LINEST VARS'!$H$64*($E$104*0.5)+'LINEST VARS'!$G$64*($E$104*12.73)+'LINEST VARS'!$F$64*($B114*4)+'LINEST VARS'!$E$64*($B114*0.5)+'LINEST VARS'!$D$64*($B114*12.73)+'LINEST VARS'!$C$64*(4*0.5)+'LINEST VARS'!$B$64*(4*12.73)+'LINEST VARS'!$A$64*(0.5*12.73)</f>
        <v>164.18999999999986</v>
      </c>
      <c r="F114" s="55">
        <f>'LINEST VARS'!$U$64+'LINEST VARS'!$T$64*($F$104)+'LINEST VARS'!$S$64*($B114)+'LINEST VARS'!$R$64*(4)+'LINEST VARS'!$Q$64*(0.5)+'LINEST VARS'!$P$64*(12.73)+'LINEST VARS'!$O$64*($F$104^2)+'LINEST VARS'!$N$64*($B114^2)+'LINEST VARS'!$M$64*(4^2)+'LINEST VARS'!$L$64*(0.5^2)+'LINEST VARS'!$K$64*(12.73^2)+'LINEST VARS'!$J$64*($F$104*$B114)+'LINEST VARS'!$I$64*($F$104*4)+'LINEST VARS'!$H$64*($F$104*0.5)+'LINEST VARS'!$G$64*($F$104*12.73)+'LINEST VARS'!$F$64*($B114*4)+'LINEST VARS'!$E$64*($B114*0.5)+'LINEST VARS'!$D$64*($B114*12.73)+'LINEST VARS'!$C$64*(4*0.5)+'LINEST VARS'!$B$64*(4*12.73)+'LINEST VARS'!$A$64*(0.5*12.73)</f>
        <v>164.18999999999986</v>
      </c>
      <c r="G114" s="55">
        <f>'LINEST VARS'!$U$64+'LINEST VARS'!$T$64*($G$104)+'LINEST VARS'!$S$64*($B114)+'LINEST VARS'!$R$64*(4)+'LINEST VARS'!$Q$64*(0.5)+'LINEST VARS'!$P$64*(12.73)+'LINEST VARS'!$O$64*($G$104^2)+'LINEST VARS'!$N$64*($B114^2)+'LINEST VARS'!$M$64*(4^2)+'LINEST VARS'!$L$64*(0.5^2)+'LINEST VARS'!$K$64*(12.73^2)+'LINEST VARS'!$J$64*($G$104*$B114)+'LINEST VARS'!$I$64*($G$104*4)+'LINEST VARS'!$H$64*($G$104*0.5)+'LINEST VARS'!$G$64*($G$104*12.73)+'LINEST VARS'!$F$64*($B114*4)+'LINEST VARS'!$E$64*($B114*0.5)+'LINEST VARS'!$D$64*($B114*12.73)+'LINEST VARS'!$C$64*(4*0.5)+'LINEST VARS'!$B$64*(4*12.73)+'LINEST VARS'!$A$64*(0.5*12.73)</f>
        <v>164.18999999999988</v>
      </c>
      <c r="H114" s="55">
        <f>'LINEST VARS'!$U$64+'LINEST VARS'!$T$64*($H$104)+'LINEST VARS'!$S$64*($B114)+'LINEST VARS'!$R$64*(4)+'LINEST VARS'!$Q$64*(0.5)+'LINEST VARS'!$P$64*(12.73)+'LINEST VARS'!$O$64*($H$104^2)+'LINEST VARS'!$N$64*($B114^2)+'LINEST VARS'!$M$64*(4^2)+'LINEST VARS'!$L$64*(0.5^2)+'LINEST VARS'!$K$64*(12.73^2)+'LINEST VARS'!$J$64*($H$104*$B114)+'LINEST VARS'!$I$64*($H$104*4)+'LINEST VARS'!$H$64*($H$104*0.5)+'LINEST VARS'!$G$64*($H$104*12.73)+'LINEST VARS'!$F$64*($B114*4)+'LINEST VARS'!$E$64*($B114*0.5)+'LINEST VARS'!$D$64*($B114*12.73)+'LINEST VARS'!$C$64*(4*0.5)+'LINEST VARS'!$B$64*(4*12.73)+'LINEST VARS'!$A$64*(0.5*12.73)</f>
        <v>164.18999999999988</v>
      </c>
      <c r="I114" s="55">
        <f>'LINEST VARS'!$U$64+'LINEST VARS'!$T$64*($I$104)+'LINEST VARS'!$S$64*($B114)+'LINEST VARS'!$R$64*(4)+'LINEST VARS'!$Q$64*(0.5)+'LINEST VARS'!$P$64*(12.73)+'LINEST VARS'!$O$64*($I$104^2)+'LINEST VARS'!$N$64*($B114^2)+'LINEST VARS'!$M$64*(4^2)+'LINEST VARS'!$L$64*(0.5^2)+'LINEST VARS'!$K$64*(12.73^2)+'LINEST VARS'!$J$64*($I$104*$B114)+'LINEST VARS'!$I$64*($I$104*4)+'LINEST VARS'!$H$64*($I$104*0.5)+'LINEST VARS'!$G$64*($I$104*12.73)+'LINEST VARS'!$F$64*($B114*4)+'LINEST VARS'!$E$64*($B114*0.5)+'LINEST VARS'!$D$64*($B114*12.73)+'LINEST VARS'!$C$64*(4*0.5)+'LINEST VARS'!$B$64*(4*12.73)+'LINEST VARS'!$A$64*(0.5*12.73)</f>
        <v>164.18999999999988</v>
      </c>
      <c r="J114" s="55">
        <f>'LINEST VARS'!$U$64+'LINEST VARS'!$T$64*($J$104)+'LINEST VARS'!$S$64*($B114)+'LINEST VARS'!$R$64*(4)+'LINEST VARS'!$Q$64*(0.5)+'LINEST VARS'!$P$64*(12.73)+'LINEST VARS'!$O$64*($J$104^2)+'LINEST VARS'!$N$64*($B114^2)+'LINEST VARS'!$M$64*(4^2)+'LINEST VARS'!$L$64*(0.5^2)+'LINEST VARS'!$K$64*(12.73^2)+'LINEST VARS'!$J$64*($J$104*$B114)+'LINEST VARS'!$I$64*($J$104*4)+'LINEST VARS'!$H$64*($J$104*0.5)+'LINEST VARS'!$G$64*($J$104*12.73)+'LINEST VARS'!$F$64*($B114*4)+'LINEST VARS'!$E$64*($B114*0.5)+'LINEST VARS'!$D$64*($B114*12.73)+'LINEST VARS'!$C$64*(4*0.5)+'LINEST VARS'!$B$64*(4*12.73)+'LINEST VARS'!$A$64*(0.5*12.73)</f>
        <v>164.18999999999988</v>
      </c>
      <c r="K114" s="55">
        <f>'LINEST VARS'!$U$64+'LINEST VARS'!$T$64*($K$104)+'LINEST VARS'!$S$64*($B114)+'LINEST VARS'!$R$64*(4)+'LINEST VARS'!$Q$64*(0.5)+'LINEST VARS'!$P$64*(12.73)+'LINEST VARS'!$O$64*($K$104^2)+'LINEST VARS'!$N$64*($B114^2)+'LINEST VARS'!$M$64*(4^2)+'LINEST VARS'!$L$64*(0.5^2)+'LINEST VARS'!$K$64*(12.73^2)+'LINEST VARS'!$J$64*($K$104*$B114)+'LINEST VARS'!$I$64*($K$104*4)+'LINEST VARS'!$H$64*($K$104*0.5)+'LINEST VARS'!$G$64*($K$104*12.73)+'LINEST VARS'!$F$64*($B114*4)+'LINEST VARS'!$E$64*($B114*0.5)+'LINEST VARS'!$D$64*($B114*12.73)+'LINEST VARS'!$C$64*(4*0.5)+'LINEST VARS'!$B$64*(4*12.73)+'LINEST VARS'!$A$64*(0.5*12.73)</f>
        <v>164.18999999999988</v>
      </c>
      <c r="L114" s="55">
        <f>'LINEST VARS'!$U$64+'LINEST VARS'!$T$64*($L$104)+'LINEST VARS'!$S$64*($B114)+'LINEST VARS'!$R$64*(4)+'LINEST VARS'!$Q$64*(0.5)+'LINEST VARS'!$P$64*(12.73)+'LINEST VARS'!$O$64*($L$104^2)+'LINEST VARS'!$N$64*($B114^2)+'LINEST VARS'!$M$64*(4^2)+'LINEST VARS'!$L$64*(0.5^2)+'LINEST VARS'!$K$64*(12.73^2)+'LINEST VARS'!$J$64*($L$104*$B114)+'LINEST VARS'!$I$64*($L$104*4)+'LINEST VARS'!$H$64*($L$104*0.5)+'LINEST VARS'!$G$64*($L$104*12.73)+'LINEST VARS'!$F$64*($B114*4)+'LINEST VARS'!$E$64*($B114*0.5)+'LINEST VARS'!$D$64*($B114*12.73)+'LINEST VARS'!$C$64*(4*0.5)+'LINEST VARS'!$B$64*(4*12.73)+'LINEST VARS'!$A$64*(0.5*12.73)</f>
        <v>164.18999999999988</v>
      </c>
      <c r="M114" s="55">
        <f>'LINEST VARS'!$U$64+'LINEST VARS'!$T$64*($M$104)+'LINEST VARS'!$S$64*($B114)+'LINEST VARS'!$R$64*(4)+'LINEST VARS'!$Q$64*(0.5)+'LINEST VARS'!$P$64*(12.73)+'LINEST VARS'!$O$64*($M$104^2)+'LINEST VARS'!$N$64*($B114^2)+'LINEST VARS'!$M$64*(4^2)+'LINEST VARS'!$L$64*(0.5^2)+'LINEST VARS'!$K$64*(12.73^2)+'LINEST VARS'!$J$64*($M$104*$B114)+'LINEST VARS'!$I$64*($M$104*4)+'LINEST VARS'!$H$64*($M$104*0.5)+'LINEST VARS'!$G$64*($M$104*12.73)+'LINEST VARS'!$F$64*($B114*4)+'LINEST VARS'!$E$64*($B114*0.5)+'LINEST VARS'!$D$64*($B114*12.73)+'LINEST VARS'!$C$64*(4*0.5)+'LINEST VARS'!$B$64*(4*12.73)+'LINEST VARS'!$A$64*(0.5*12.73)</f>
        <v>164.18999999999988</v>
      </c>
      <c r="N114" s="55">
        <f>'LINEST VARS'!$U$64+'LINEST VARS'!$T$64*($N$104)+'LINEST VARS'!$S$64*($B114)+'LINEST VARS'!$R$64*(4)+'LINEST VARS'!$Q$64*(0.5)+'LINEST VARS'!$P$64*(12.73)+'LINEST VARS'!$O$64*($N$104^2)+'LINEST VARS'!$N$64*($B114^2)+'LINEST VARS'!$M$64*(4^2)+'LINEST VARS'!$L$64*(0.5^2)+'LINEST VARS'!$K$64*(12.73^2)+'LINEST VARS'!$J$64*($N$104*$B114)+'LINEST VARS'!$I$64*($N$104*4)+'LINEST VARS'!$H$64*($N$104*0.5)+'LINEST VARS'!$G$64*($N$104*12.73)+'LINEST VARS'!$F$64*($B114*4)+'LINEST VARS'!$E$64*($B114*0.5)+'LINEST VARS'!$D$64*($B114*12.73)+'LINEST VARS'!$C$64*(4*0.5)+'LINEST VARS'!$B$64*(4*12.73)+'LINEST VARS'!$A$64*(0.5*12.73)</f>
        <v>164.18999999999988</v>
      </c>
      <c r="O114" s="55">
        <f>'LINEST VARS'!$U$64+'LINEST VARS'!$T$64*($O$104)+'LINEST VARS'!$S$64*($B114)+'LINEST VARS'!$R$64*(4)+'LINEST VARS'!$Q$64*(0.5)+'LINEST VARS'!$P$64*(12.73)+'LINEST VARS'!$O$64*($O$104^2)+'LINEST VARS'!$N$64*($B114^2)+'LINEST VARS'!$M$64*(4^2)+'LINEST VARS'!$L$64*(0.5^2)+'LINEST VARS'!$K$64*(12.73^2)+'LINEST VARS'!$J$64*($O$104*$B114)+'LINEST VARS'!$I$64*($O$104*4)+'LINEST VARS'!$H$64*($O$104*0.5)+'LINEST VARS'!$G$64*($O$104*12.73)+'LINEST VARS'!$F$64*($B114*4)+'LINEST VARS'!$E$64*($B114*0.5)+'LINEST VARS'!$D$64*($B114*12.73)+'LINEST VARS'!$C$64*(4*0.5)+'LINEST VARS'!$B$64*(4*12.73)+'LINEST VARS'!$A$64*(0.5*12.73)</f>
        <v>164.18999999999988</v>
      </c>
      <c r="P114" s="55">
        <f>'LINEST VARS'!$U$64+'LINEST VARS'!$T$64*($P$104)+'LINEST VARS'!$S$64*($B114)+'LINEST VARS'!$R$64*(4)+'LINEST VARS'!$Q$64*(0.5)+'LINEST VARS'!$P$64*(12.73)+'LINEST VARS'!$O$64*($P$104^2)+'LINEST VARS'!$N$64*($B114^2)+'LINEST VARS'!$M$64*(4^2)+'LINEST VARS'!$L$64*(0.5^2)+'LINEST VARS'!$K$64*(12.73^2)+'LINEST VARS'!$J$64*($P$104*$B114)+'LINEST VARS'!$I$64*($P$104*4)+'LINEST VARS'!$H$64*($P$104*0.5)+'LINEST VARS'!$G$64*($P$104*12.73)+'LINEST VARS'!$F$64*($B114*4)+'LINEST VARS'!$E$64*($B114*0.5)+'LINEST VARS'!$D$64*($B114*12.73)+'LINEST VARS'!$C$64*(4*0.5)+'LINEST VARS'!$B$64*(4*12.73)+'LINEST VARS'!$A$64*(0.5*12.73)</f>
        <v>164.18999999999991</v>
      </c>
      <c r="Q114" s="55">
        <f>'LINEST VARS'!$U$64+'LINEST VARS'!$T$64*($Q$104)+'LINEST VARS'!$S$64*($B114)+'LINEST VARS'!$R$64*(4)+'LINEST VARS'!$Q$64*(0.5)+'LINEST VARS'!$P$64*(12.73)+'LINEST VARS'!$O$64*($Q$104^2)+'LINEST VARS'!$N$64*($B114^2)+'LINEST VARS'!$M$64*(4^2)+'LINEST VARS'!$L$64*(0.5^2)+'LINEST VARS'!$K$64*(12.73^2)+'LINEST VARS'!$J$64*($Q$104*$B114)+'LINEST VARS'!$I$64*($Q$104*4)+'LINEST VARS'!$H$64*($Q$104*0.5)+'LINEST VARS'!$G$64*($Q$104*12.73)+'LINEST VARS'!$F$64*($B114*4)+'LINEST VARS'!$E$64*($B114*0.5)+'LINEST VARS'!$D$64*($B114*12.73)+'LINEST VARS'!$C$64*(4*0.5)+'LINEST VARS'!$B$64*(4*12.73)+'LINEST VARS'!$A$64*(0.5*12.73)</f>
        <v>164.18999999999991</v>
      </c>
      <c r="R114" s="55">
        <f>'LINEST VARS'!$U$64+'LINEST VARS'!$T$64*($R$104)+'LINEST VARS'!$S$64*($B114)+'LINEST VARS'!$R$64*(4)+'LINEST VARS'!$Q$64*(0.5)+'LINEST VARS'!$P$64*(12.73)+'LINEST VARS'!$O$64*($R$104^2)+'LINEST VARS'!$N$64*($B114^2)+'LINEST VARS'!$M$64*(4^2)+'LINEST VARS'!$L$64*(0.5^2)+'LINEST VARS'!$K$64*(12.73^2)+'LINEST VARS'!$J$64*($R$104*$B114)+'LINEST VARS'!$I$64*($R$104*4)+'LINEST VARS'!$H$64*($R$104*0.5)+'LINEST VARS'!$G$64*($R$104*12.73)+'LINEST VARS'!$F$64*($B114*4)+'LINEST VARS'!$E$64*($B114*0.5)+'LINEST VARS'!$D$64*($B114*12.73)+'LINEST VARS'!$C$64*(4*0.5)+'LINEST VARS'!$B$64*(4*12.73)+'LINEST VARS'!$A$64*(0.5*12.73)</f>
        <v>164.18999999999991</v>
      </c>
      <c r="S114" s="55">
        <f>'LINEST VARS'!$U$64+'LINEST VARS'!$T$64*($S$104)+'LINEST VARS'!$S$64*($B114)+'LINEST VARS'!$R$64*(4)+'LINEST VARS'!$Q$64*(0.5)+'LINEST VARS'!$P$64*(12.73)+'LINEST VARS'!$O$64*($S$104^2)+'LINEST VARS'!$N$64*($B114^2)+'LINEST VARS'!$M$64*(4^2)+'LINEST VARS'!$L$64*(0.5^2)+'LINEST VARS'!$K$64*(12.73^2)+'LINEST VARS'!$J$64*($S$104*$B114)+'LINEST VARS'!$I$64*($S$104*4)+'LINEST VARS'!$H$64*($S$104*0.5)+'LINEST VARS'!$G$64*($S$104*12.73)+'LINEST VARS'!$F$64*($B114*4)+'LINEST VARS'!$E$64*($B114*0.5)+'LINEST VARS'!$D$64*($B114*12.73)+'LINEST VARS'!$C$64*(4*0.5)+'LINEST VARS'!$B$64*(4*12.73)+'LINEST VARS'!$A$64*(0.5*12.73)</f>
        <v>164.18999999999991</v>
      </c>
      <c r="T114" s="55">
        <f>'LINEST VARS'!$U$64+'LINEST VARS'!$T$64*($T$104)+'LINEST VARS'!$S$64*($B114)+'LINEST VARS'!$R$64*(4)+'LINEST VARS'!$Q$64*(0.5)+'LINEST VARS'!$P$64*(12.73)+'LINEST VARS'!$O$64*($T$104^2)+'LINEST VARS'!$N$64*($B114^2)+'LINEST VARS'!$M$64*(4^2)+'LINEST VARS'!$L$64*(0.5^2)+'LINEST VARS'!$K$64*(12.73^2)+'LINEST VARS'!$J$64*($T$104*$B114)+'LINEST VARS'!$I$64*($T$104*4)+'LINEST VARS'!$H$64*($T$104*0.5)+'LINEST VARS'!$G$64*($T$104*12.73)+'LINEST VARS'!$F$64*($B114*4)+'LINEST VARS'!$E$64*($B114*0.5)+'LINEST VARS'!$D$64*($B114*12.73)+'LINEST VARS'!$C$64*(4*0.5)+'LINEST VARS'!$B$64*(4*12.73)+'LINEST VARS'!$A$64*(0.5*12.73)</f>
        <v>164.18999999999988</v>
      </c>
      <c r="U114" s="55">
        <f>'LINEST VARS'!$U$64+'LINEST VARS'!$T$64*($U$104)+'LINEST VARS'!$S$64*($B114)+'LINEST VARS'!$R$64*(4)+'LINEST VARS'!$Q$64*(0.5)+'LINEST VARS'!$P$64*(12.73)+'LINEST VARS'!$O$64*($U$104^2)+'LINEST VARS'!$N$64*($B114^2)+'LINEST VARS'!$M$64*(4^2)+'LINEST VARS'!$L$64*(0.5^2)+'LINEST VARS'!$K$64*(12.73^2)+'LINEST VARS'!$J$64*($U$104*$B114)+'LINEST VARS'!$I$64*($U$104*4)+'LINEST VARS'!$H$64*($U$104*0.5)+'LINEST VARS'!$G$64*($U$104*12.73)+'LINEST VARS'!$F$64*($B114*4)+'LINEST VARS'!$E$64*($B114*0.5)+'LINEST VARS'!$D$64*($B114*12.73)+'LINEST VARS'!$C$64*(4*0.5)+'LINEST VARS'!$B$64*(4*12.73)+'LINEST VARS'!$A$64*(0.5*12.73)</f>
        <v>164.18999999999988</v>
      </c>
      <c r="V114" s="55">
        <f>'LINEST VARS'!$U$64+'LINEST VARS'!$T$64*($V$104)+'LINEST VARS'!$S$64*($B114)+'LINEST VARS'!$R$64*(4)+'LINEST VARS'!$Q$64*(0.5)+'LINEST VARS'!$P$64*(12.73)+'LINEST VARS'!$O$64*($V$104^2)+'LINEST VARS'!$N$64*($B114^2)+'LINEST VARS'!$M$64*(4^2)+'LINEST VARS'!$L$64*(0.5^2)+'LINEST VARS'!$K$64*(12.73^2)+'LINEST VARS'!$J$64*($V$104*$B114)+'LINEST VARS'!$I$64*($V$104*4)+'LINEST VARS'!$H$64*($V$104*0.5)+'LINEST VARS'!$G$64*($V$104*12.73)+'LINEST VARS'!$F$64*($B114*4)+'LINEST VARS'!$E$64*($B114*0.5)+'LINEST VARS'!$D$64*($B114*12.73)+'LINEST VARS'!$C$64*(4*0.5)+'LINEST VARS'!$B$64*(4*12.73)+'LINEST VARS'!$A$64*(0.5*12.73)</f>
        <v>164.18999999999988</v>
      </c>
      <c r="W114" s="56">
        <f>'LINEST VARS'!$U$64+'LINEST VARS'!$T$64*($W$104)+'LINEST VARS'!$S$64*($B114)+'LINEST VARS'!$R$64*(4)+'LINEST VARS'!$Q$64*(0.5)+'LINEST VARS'!$P$64*(12.73)+'LINEST VARS'!$O$64*($W$104^2)+'LINEST VARS'!$N$64*($B114^2)+'LINEST VARS'!$M$64*(4^2)+'LINEST VARS'!$L$64*(0.5^2)+'LINEST VARS'!$K$64*(12.73^2)+'LINEST VARS'!$J$64*($W$104*$B114)+'LINEST VARS'!$I$64*($W$104*4)+'LINEST VARS'!$H$64*($W$104*0.5)+'LINEST VARS'!$G$64*($W$104*12.73)+'LINEST VARS'!$F$64*($B114*4)+'LINEST VARS'!$E$64*($B114*0.5)+'LINEST VARS'!$D$64*($B114*12.73)+'LINEST VARS'!$C$64*(4*0.5)+'LINEST VARS'!$B$64*(4*12.73)+'LINEST VARS'!$A$64*(0.5*12.73)</f>
        <v>164.18999999999988</v>
      </c>
      <c r="Z114" s="45">
        <v>7.94</v>
      </c>
      <c r="AA114" s="46">
        <f>'LINEST VARS'!$U$66+'LINEST VARS'!$T$66*($AA$104)+'LINEST VARS'!$S$66*($Z114)+'LINEST VARS'!$R$66*(4)+'LINEST VARS'!$Q$66*(0.5)+'LINEST VARS'!$P$66*(12.73)+'LINEST VARS'!$O$66*($AA$104^2)+'LINEST VARS'!$N$66*($Z114^2)+'LINEST VARS'!$M$66*(4^2)+'LINEST VARS'!$L$66*(0.5^2)+'LINEST VARS'!$K$66*(12.73^2)+'LINEST VARS'!$J$66*($AA$104*$Z114)+'LINEST VARS'!$I$66*($AA$104*4)+'LINEST VARS'!$H$66*($AA$104*0.5)+'LINEST VARS'!$G$66*($AA$104*12.73)+'LINEST VARS'!$F$66*($Z114*4)+'LINEST VARS'!$E$66*($Z114*0.5)+'LINEST VARS'!$D$66*($Z114*12.73)+'LINEST VARS'!$C$66*(4*0.5)+'LINEST VARS'!$B$66*(4*12.73)+'LINEST VARS'!$A$66*(0.5*12.73)</f>
        <v>134.20000000000005</v>
      </c>
      <c r="AB114" s="46">
        <f>'LINEST VARS'!$U$66+'LINEST VARS'!$T$66*($AB$104)+'LINEST VARS'!$S$66*($Z114)+'LINEST VARS'!$R$66*(4)+'LINEST VARS'!$Q$66*(0.5)+'LINEST VARS'!$P$66*(12.73)+'LINEST VARS'!$O$66*($AB$104^2)+'LINEST VARS'!$N$66*($Z114^2)+'LINEST VARS'!$M$66*(4^2)+'LINEST VARS'!$L$66*(0.5^2)+'LINEST VARS'!$K$66*(12.73^2)+'LINEST VARS'!$J$66*($AB$104*$Z114)+'LINEST VARS'!$I$66*($AB$104*4)+'LINEST VARS'!$H$66*($AB$104*0.5)+'LINEST VARS'!$G$66*($AB$104*12.73)+'LINEST VARS'!$F$66*($Z114*4)+'LINEST VARS'!$E$66*($Z114*0.5)+'LINEST VARS'!$D$66*($Z114*12.73)+'LINEST VARS'!$C$66*(4*0.5)+'LINEST VARS'!$B$66*(4*12.73)+'LINEST VARS'!$A$66*(0.5*12.73)</f>
        <v>134.38000000000005</v>
      </c>
      <c r="AC114" s="46">
        <f>'LINEST VARS'!$U$66+'LINEST VARS'!$T$66*($AC$104)+'LINEST VARS'!$S$66*($Z114)+'LINEST VARS'!$R$66*(4)+'LINEST VARS'!$Q$66*(0.5)+'LINEST VARS'!$P$66*(12.73)+'LINEST VARS'!$O$66*($AC$104^2)+'LINEST VARS'!$N$66*($Z114^2)+'LINEST VARS'!$M$66*(4^2)+'LINEST VARS'!$L$66*(0.5^2)+'LINEST VARS'!$K$66*(12.73^2)+'LINEST VARS'!$J$66*($AC$104*$Z114)+'LINEST VARS'!$I$66*($AC$104*4)+'LINEST VARS'!$H$66*($AC$104*0.5)+'LINEST VARS'!$G$66*($AC$104*12.73)+'LINEST VARS'!$F$66*($Z114*4)+'LINEST VARS'!$E$66*($Z114*0.5)+'LINEST VARS'!$D$66*($Z114*12.73)+'LINEST VARS'!$C$66*(4*0.5)+'LINEST VARS'!$B$66*(4*12.73)+'LINEST VARS'!$A$66*(0.5*12.73)</f>
        <v>134.56000000000003</v>
      </c>
      <c r="AD114" s="46">
        <f>'LINEST VARS'!$U$66+'LINEST VARS'!$T$66*($AD$104)+'LINEST VARS'!$S$66*($Z114)+'LINEST VARS'!$R$66*(4)+'LINEST VARS'!$Q$66*(0.5)+'LINEST VARS'!$P$66*(12.73)+'LINEST VARS'!$O$66*($AD$104^2)+'LINEST VARS'!$N$66*($Z114^2)+'LINEST VARS'!$M$66*(4^2)+'LINEST VARS'!$L$66*(0.5^2)+'LINEST VARS'!$K$66*(12.73^2)+'LINEST VARS'!$J$66*($AD$104*$Z114)+'LINEST VARS'!$I$66*($AD$104*4)+'LINEST VARS'!$H$66*($AD$104*0.5)+'LINEST VARS'!$G$66*($AD$104*12.73)+'LINEST VARS'!$F$66*($Z114*4)+'LINEST VARS'!$E$66*($Z114*0.5)+'LINEST VARS'!$D$66*($Z114*12.73)+'LINEST VARS'!$C$66*(4*0.5)+'LINEST VARS'!$B$66*(4*12.73)+'LINEST VARS'!$A$66*(0.5*12.73)</f>
        <v>134.74000000000004</v>
      </c>
      <c r="AE114" s="46">
        <f>'LINEST VARS'!$U$66+'LINEST VARS'!$T$66*($AE$104)+'LINEST VARS'!$S$66*($Z114)+'LINEST VARS'!$R$66*(4)+'LINEST VARS'!$Q$66*(0.5)+'LINEST VARS'!$P$66*(12.73)+'LINEST VARS'!$O$66*($AE$104^2)+'LINEST VARS'!$N$66*($Z114^2)+'LINEST VARS'!$M$66*(4^2)+'LINEST VARS'!$L$66*(0.5^2)+'LINEST VARS'!$K$66*(12.73^2)+'LINEST VARS'!$J$66*($AE$104*$Z114)+'LINEST VARS'!$I$66*($AE$104*4)+'LINEST VARS'!$H$66*($AE$104*0.5)+'LINEST VARS'!$G$66*($AE$104*12.73)+'LINEST VARS'!$F$66*($Z114*4)+'LINEST VARS'!$E$66*($Z114*0.5)+'LINEST VARS'!$D$66*($Z114*12.73)+'LINEST VARS'!$C$66*(4*0.5)+'LINEST VARS'!$B$66*(4*12.73)+'LINEST VARS'!$A$66*(0.5*12.73)</f>
        <v>134.92000000000004</v>
      </c>
      <c r="AF114" s="46">
        <f>'LINEST VARS'!$U$66+'LINEST VARS'!$T$66*($AF$104)+'LINEST VARS'!$S$66*($Z114)+'LINEST VARS'!$R$66*(4)+'LINEST VARS'!$Q$66*(0.5)+'LINEST VARS'!$P$66*(12.73)+'LINEST VARS'!$O$66*($AF$104^2)+'LINEST VARS'!$N$66*($Z114^2)+'LINEST VARS'!$M$66*(4^2)+'LINEST VARS'!$L$66*(0.5^2)+'LINEST VARS'!$K$66*(12.73^2)+'LINEST VARS'!$J$66*($AF$104*$Z114)+'LINEST VARS'!$I$66*($AF$104*4)+'LINEST VARS'!$H$66*($AF$104*0.5)+'LINEST VARS'!$G$66*($AF$104*12.73)+'LINEST VARS'!$F$66*($Z114*4)+'LINEST VARS'!$E$66*($Z114*0.5)+'LINEST VARS'!$D$66*($Z114*12.73)+'LINEST VARS'!$C$66*(4*0.5)+'LINEST VARS'!$B$66*(4*12.73)+'LINEST VARS'!$A$66*(0.5*12.73)</f>
        <v>135.10000000000008</v>
      </c>
      <c r="AG114" s="46">
        <f>'LINEST VARS'!$U$66+'LINEST VARS'!$T$66*($AG$104)+'LINEST VARS'!$S$66*($Z114)+'LINEST VARS'!$R$66*(4)+'LINEST VARS'!$Q$66*(0.5)+'LINEST VARS'!$P$66*(12.73)+'LINEST VARS'!$O$66*($AG$104^2)+'LINEST VARS'!$N$66*($Z114^2)+'LINEST VARS'!$M$66*(4^2)+'LINEST VARS'!$L$66*(0.5^2)+'LINEST VARS'!$K$66*(12.73^2)+'LINEST VARS'!$J$66*($AG$104*$Z114)+'LINEST VARS'!$I$66*($AG$104*4)+'LINEST VARS'!$H$66*($AG$104*0.5)+'LINEST VARS'!$G$66*($AG$104*12.73)+'LINEST VARS'!$F$66*($Z114*4)+'LINEST VARS'!$E$66*($Z114*0.5)+'LINEST VARS'!$D$66*($Z114*12.73)+'LINEST VARS'!$C$66*(4*0.5)+'LINEST VARS'!$B$66*(4*12.73)+'LINEST VARS'!$A$66*(0.5*12.73)</f>
        <v>135.28000000000006</v>
      </c>
      <c r="AH114" s="46">
        <f>'LINEST VARS'!$U$66+'LINEST VARS'!$T$66*($AH$104)+'LINEST VARS'!$S$66*($Z114)+'LINEST VARS'!$R$66*(4)+'LINEST VARS'!$Q$66*(0.5)+'LINEST VARS'!$P$66*(12.73)+'LINEST VARS'!$O$66*($AH$104^2)+'LINEST VARS'!$N$66*($Z114^2)+'LINEST VARS'!$M$66*(4^2)+'LINEST VARS'!$L$66*(0.5^2)+'LINEST VARS'!$K$66*(12.73^2)+'LINEST VARS'!$J$66*($AH$104*$Z114)+'LINEST VARS'!$I$66*($AH$104*4)+'LINEST VARS'!$H$66*($AH$104*0.5)+'LINEST VARS'!$G$66*($AH$104*12.73)+'LINEST VARS'!$F$66*($Z114*4)+'LINEST VARS'!$E$66*($Z114*0.5)+'LINEST VARS'!$D$66*($Z114*12.73)+'LINEST VARS'!$C$66*(4*0.5)+'LINEST VARS'!$B$66*(4*12.73)+'LINEST VARS'!$A$66*(0.5*12.73)</f>
        <v>135.46000000000006</v>
      </c>
      <c r="AI114" s="46">
        <f>'LINEST VARS'!$U$66+'LINEST VARS'!$T$66*($AI$104)+'LINEST VARS'!$S$66*($Z114)+'LINEST VARS'!$R$66*(4)+'LINEST VARS'!$Q$66*(0.5)+'LINEST VARS'!$P$66*(12.73)+'LINEST VARS'!$O$66*($AI$104^2)+'LINEST VARS'!$N$66*($Z114^2)+'LINEST VARS'!$M$66*(4^2)+'LINEST VARS'!$L$66*(0.5^2)+'LINEST VARS'!$K$66*(12.73^2)+'LINEST VARS'!$J$66*($AI$104*$Z114)+'LINEST VARS'!$I$66*($AI$104*4)+'LINEST VARS'!$H$66*($AI$104*0.5)+'LINEST VARS'!$G$66*($AI$104*12.73)+'LINEST VARS'!$F$66*($Z114*4)+'LINEST VARS'!$E$66*($Z114*0.5)+'LINEST VARS'!$D$66*($Z114*12.73)+'LINEST VARS'!$C$66*(4*0.5)+'LINEST VARS'!$B$66*(4*12.73)+'LINEST VARS'!$A$66*(0.5*12.73)</f>
        <v>135.64000000000007</v>
      </c>
      <c r="AJ114" s="46">
        <f>'LINEST VARS'!$U$66+'LINEST VARS'!$T$66*($AJ$104)+'LINEST VARS'!$S$66*($Z114)+'LINEST VARS'!$R$66*(4)+'LINEST VARS'!$Q$66*(0.5)+'LINEST VARS'!$P$66*(12.73)+'LINEST VARS'!$O$66*($AJ$104^2)+'LINEST VARS'!$N$66*($Z114^2)+'LINEST VARS'!$M$66*(4^2)+'LINEST VARS'!$L$66*(0.5^2)+'LINEST VARS'!$K$66*(12.73^2)+'LINEST VARS'!$J$66*($AJ$104*$Z114)+'LINEST VARS'!$I$66*($AJ$104*4)+'LINEST VARS'!$H$66*($AJ$104*0.5)+'LINEST VARS'!$G$66*($AJ$104*12.73)+'LINEST VARS'!$F$66*($Z114*4)+'LINEST VARS'!$E$66*($Z114*0.5)+'LINEST VARS'!$D$66*($Z114*12.73)+'LINEST VARS'!$C$66*(4*0.5)+'LINEST VARS'!$B$66*(4*12.73)+'LINEST VARS'!$A$66*(0.5*12.73)</f>
        <v>135.82000000000008</v>
      </c>
      <c r="AK114" s="46">
        <f>'LINEST VARS'!$U$66+'LINEST VARS'!$T$66*($AK$104)+'LINEST VARS'!$S$66*($Z114)+'LINEST VARS'!$R$66*(4)+'LINEST VARS'!$Q$66*(0.5)+'LINEST VARS'!$P$66*(12.73)+'LINEST VARS'!$O$66*($AK$104^2)+'LINEST VARS'!$N$66*($Z114^2)+'LINEST VARS'!$M$66*(4^2)+'LINEST VARS'!$L$66*(0.5^2)+'LINEST VARS'!$K$66*(12.73^2)+'LINEST VARS'!$J$66*($AK$104*$Z114)+'LINEST VARS'!$I$66*($AK$104*4)+'LINEST VARS'!$H$66*($AK$104*0.5)+'LINEST VARS'!$G$66*($AK$104*12.73)+'LINEST VARS'!$F$66*($Z114*4)+'LINEST VARS'!$E$66*($Z114*0.5)+'LINEST VARS'!$D$66*($Z114*12.73)+'LINEST VARS'!$C$66*(4*0.5)+'LINEST VARS'!$B$66*(4*12.73)+'LINEST VARS'!$A$66*(0.5*12.73)</f>
        <v>136.00000000000006</v>
      </c>
      <c r="AL114" s="46">
        <f>'LINEST VARS'!$U$66+'LINEST VARS'!$T$66*($AL$104)+'LINEST VARS'!$S$66*($Z114)+'LINEST VARS'!$R$66*(4)+'LINEST VARS'!$Q$66*(0.5)+'LINEST VARS'!$P$66*(12.73)+'LINEST VARS'!$O$66*($AL$104^2)+'LINEST VARS'!$N$66*($Z114^2)+'LINEST VARS'!$M$66*(4^2)+'LINEST VARS'!$L$66*(0.5^2)+'LINEST VARS'!$K$66*(12.73^2)+'LINEST VARS'!$J$66*($AL$104*$Z114)+'LINEST VARS'!$I$66*($AL$104*4)+'LINEST VARS'!$H$66*($AL$104*0.5)+'LINEST VARS'!$G$66*($AL$104*12.73)+'LINEST VARS'!$F$66*($Z114*4)+'LINEST VARS'!$E$66*($Z114*0.5)+'LINEST VARS'!$D$66*($Z114*12.73)+'LINEST VARS'!$C$66*(4*0.5)+'LINEST VARS'!$B$66*(4*12.73)+'LINEST VARS'!$A$66*(0.5*12.73)</f>
        <v>136.18000000000006</v>
      </c>
      <c r="AM114" s="46">
        <f>'LINEST VARS'!$U$66+'LINEST VARS'!$T$66*($AM$104)+'LINEST VARS'!$S$66*($Z114)+'LINEST VARS'!$R$66*(4)+'LINEST VARS'!$Q$66*(0.5)+'LINEST VARS'!$P$66*(12.73)+'LINEST VARS'!$O$66*($AM$104^2)+'LINEST VARS'!$N$66*($Z114^2)+'LINEST VARS'!$M$66*(4^2)+'LINEST VARS'!$L$66*(0.5^2)+'LINEST VARS'!$K$66*(12.73^2)+'LINEST VARS'!$J$66*($AM$104*$Z114)+'LINEST VARS'!$I$66*($AM$104*4)+'LINEST VARS'!$H$66*($AM$104*0.5)+'LINEST VARS'!$G$66*($AM$104*12.73)+'LINEST VARS'!$F$66*($Z114*4)+'LINEST VARS'!$E$66*($Z114*0.5)+'LINEST VARS'!$D$66*($Z114*12.73)+'LINEST VARS'!$C$66*(4*0.5)+'LINEST VARS'!$B$66*(4*12.73)+'LINEST VARS'!$A$66*(0.5*12.73)</f>
        <v>136.36000000000007</v>
      </c>
      <c r="AN114" s="46">
        <f>'LINEST VARS'!$U$66+'LINEST VARS'!$T$66*($AN$104)+'LINEST VARS'!$S$66*($Z114)+'LINEST VARS'!$R$66*(4)+'LINEST VARS'!$Q$66*(0.5)+'LINEST VARS'!$P$66*(12.73)+'LINEST VARS'!$O$66*($AN$104^2)+'LINEST VARS'!$N$66*($Z114^2)+'LINEST VARS'!$M$66*(4^2)+'LINEST VARS'!$L$66*(0.5^2)+'LINEST VARS'!$K$66*(12.73^2)+'LINEST VARS'!$J$66*($AN$104*$Z114)+'LINEST VARS'!$I$66*($AN$104*4)+'LINEST VARS'!$H$66*($AN$104*0.5)+'LINEST VARS'!$G$66*($AN$104*12.73)+'LINEST VARS'!$F$66*($Z114*4)+'LINEST VARS'!$E$66*($Z114*0.5)+'LINEST VARS'!$D$66*($Z114*12.73)+'LINEST VARS'!$C$66*(4*0.5)+'LINEST VARS'!$B$66*(4*12.73)+'LINEST VARS'!$A$66*(0.5*12.73)</f>
        <v>136.54000000000008</v>
      </c>
      <c r="AO114" s="46">
        <f>'LINEST VARS'!$U$66+'LINEST VARS'!$T$66*($AO$104)+'LINEST VARS'!$S$66*($Z114)+'LINEST VARS'!$R$66*(4)+'LINEST VARS'!$Q$66*(0.5)+'LINEST VARS'!$P$66*(12.73)+'LINEST VARS'!$O$66*($AO$104^2)+'LINEST VARS'!$N$66*($Z114^2)+'LINEST VARS'!$M$66*(4^2)+'LINEST VARS'!$L$66*(0.5^2)+'LINEST VARS'!$K$66*(12.73^2)+'LINEST VARS'!$J$66*($AO$104*$Z114)+'LINEST VARS'!$I$66*($AO$104*4)+'LINEST VARS'!$H$66*($AO$104*0.5)+'LINEST VARS'!$G$66*($AO$104*12.73)+'LINEST VARS'!$F$66*($Z114*4)+'LINEST VARS'!$E$66*($Z114*0.5)+'LINEST VARS'!$D$66*($Z114*12.73)+'LINEST VARS'!$C$66*(4*0.5)+'LINEST VARS'!$B$66*(4*12.73)+'LINEST VARS'!$A$66*(0.5*12.73)</f>
        <v>136.72000000000006</v>
      </c>
      <c r="AP114" s="46">
        <f>'LINEST VARS'!$U$66+'LINEST VARS'!$T$66*($AP$104)+'LINEST VARS'!$S$66*($Z114)+'LINEST VARS'!$R$66*(4)+'LINEST VARS'!$Q$66*(0.5)+'LINEST VARS'!$P$66*(12.73)+'LINEST VARS'!$O$66*($AP$104^2)+'LINEST VARS'!$N$66*($Z114^2)+'LINEST VARS'!$M$66*(4^2)+'LINEST VARS'!$L$66*(0.5^2)+'LINEST VARS'!$K$66*(12.73^2)+'LINEST VARS'!$J$66*($AP$104*$Z114)+'LINEST VARS'!$I$66*($AP$104*4)+'LINEST VARS'!$H$66*($AP$104*0.5)+'LINEST VARS'!$G$66*($AP$104*12.73)+'LINEST VARS'!$F$66*($Z114*4)+'LINEST VARS'!$E$66*($Z114*0.5)+'LINEST VARS'!$D$66*($Z114*12.73)+'LINEST VARS'!$C$66*(4*0.5)+'LINEST VARS'!$B$66*(4*12.73)+'LINEST VARS'!$A$66*(0.5*12.73)</f>
        <v>136.90000000000006</v>
      </c>
      <c r="AQ114" s="46">
        <f>'LINEST VARS'!$U$66+'LINEST VARS'!$T$66*($AQ$104)+'LINEST VARS'!$S$66*($Z114)+'LINEST VARS'!$R$66*(4)+'LINEST VARS'!$Q$66*(0.5)+'LINEST VARS'!$P$66*(12.73)+'LINEST VARS'!$O$66*($AQ$104^2)+'LINEST VARS'!$N$66*($Z114^2)+'LINEST VARS'!$M$66*(4^2)+'LINEST VARS'!$L$66*(0.5^2)+'LINEST VARS'!$K$66*(12.73^2)+'LINEST VARS'!$J$66*($AQ$104*$Z114)+'LINEST VARS'!$I$66*($AQ$104*4)+'LINEST VARS'!$H$66*($AQ$104*0.5)+'LINEST VARS'!$G$66*($AQ$104*12.73)+'LINEST VARS'!$F$66*($Z114*4)+'LINEST VARS'!$E$66*($Z114*0.5)+'LINEST VARS'!$D$66*($Z114*12.73)+'LINEST VARS'!$C$66*(4*0.5)+'LINEST VARS'!$B$66*(4*12.73)+'LINEST VARS'!$A$66*(0.5*12.73)</f>
        <v>137.08000000000007</v>
      </c>
      <c r="AR114" s="46">
        <f>'LINEST VARS'!$U$66+'LINEST VARS'!$T$66*($AR$104)+'LINEST VARS'!$S$66*($Z114)+'LINEST VARS'!$R$66*(4)+'LINEST VARS'!$Q$66*(0.5)+'LINEST VARS'!$P$66*(12.73)+'LINEST VARS'!$O$66*($AR$104^2)+'LINEST VARS'!$N$66*($Z114^2)+'LINEST VARS'!$M$66*(4^2)+'LINEST VARS'!$L$66*(0.5^2)+'LINEST VARS'!$K$66*(12.73^2)+'LINEST VARS'!$J$66*($AR$104*$Z114)+'LINEST VARS'!$I$66*($AR$104*4)+'LINEST VARS'!$H$66*($AR$104*0.5)+'LINEST VARS'!$G$66*($AR$104*12.73)+'LINEST VARS'!$F$66*($Z114*4)+'LINEST VARS'!$E$66*($Z114*0.5)+'LINEST VARS'!$D$66*($Z114*12.73)+'LINEST VARS'!$C$66*(4*0.5)+'LINEST VARS'!$B$66*(4*12.73)+'LINEST VARS'!$A$66*(0.5*12.73)</f>
        <v>137.26000000000008</v>
      </c>
      <c r="AS114" s="46">
        <f>'LINEST VARS'!$U$66+'LINEST VARS'!$T$66*($AS$104)+'LINEST VARS'!$S$66*($Z114)+'LINEST VARS'!$R$66*(4)+'LINEST VARS'!$Q$66*(0.5)+'LINEST VARS'!$P$66*(12.73)+'LINEST VARS'!$O$66*($AS$104^2)+'LINEST VARS'!$N$66*($Z114^2)+'LINEST VARS'!$M$66*(4^2)+'LINEST VARS'!$L$66*(0.5^2)+'LINEST VARS'!$K$66*(12.73^2)+'LINEST VARS'!$J$66*($AS$104*$Z114)+'LINEST VARS'!$I$66*($AS$104*4)+'LINEST VARS'!$H$66*($AS$104*0.5)+'LINEST VARS'!$G$66*($AS$104*12.73)+'LINEST VARS'!$F$66*($Z114*4)+'LINEST VARS'!$E$66*($Z114*0.5)+'LINEST VARS'!$D$66*($Z114*12.73)+'LINEST VARS'!$C$66*(4*0.5)+'LINEST VARS'!$B$66*(4*12.73)+'LINEST VARS'!$A$66*(0.5*12.73)</f>
        <v>137.44000000000005</v>
      </c>
      <c r="AT114" s="46">
        <f>'LINEST VARS'!$U$66+'LINEST VARS'!$T$66*($AT$104)+'LINEST VARS'!$S$66*($Z114)+'LINEST VARS'!$R$66*(4)+'LINEST VARS'!$Q$66*(0.5)+'LINEST VARS'!$P$66*(12.73)+'LINEST VARS'!$O$66*($AT$104^2)+'LINEST VARS'!$N$66*($Z114^2)+'LINEST VARS'!$M$66*(4^2)+'LINEST VARS'!$L$66*(0.5^2)+'LINEST VARS'!$K$66*(12.73^2)+'LINEST VARS'!$J$66*($AT$104*$Z114)+'LINEST VARS'!$I$66*($AT$104*4)+'LINEST VARS'!$H$66*($AT$104*0.5)+'LINEST VARS'!$G$66*($AT$104*12.73)+'LINEST VARS'!$F$66*($Z114*4)+'LINEST VARS'!$E$66*($Z114*0.5)+'LINEST VARS'!$D$66*($Z114*12.73)+'LINEST VARS'!$C$66*(4*0.5)+'LINEST VARS'!$B$66*(4*12.73)+'LINEST VARS'!$A$66*(0.5*12.73)</f>
        <v>137.62000000000006</v>
      </c>
      <c r="AU114" s="47">
        <f>'LINEST VARS'!$U$66+'LINEST VARS'!$T$66*($AU$104)+'LINEST VARS'!$S$66*($Z114)+'LINEST VARS'!$R$66*(4)+'LINEST VARS'!$Q$66*(0.5)+'LINEST VARS'!$P$66*(12.73)+'LINEST VARS'!$O$66*($AU$104^2)+'LINEST VARS'!$N$66*($Z114^2)+'LINEST VARS'!$M$66*(4^2)+'LINEST VARS'!$L$66*(0.5^2)+'LINEST VARS'!$K$66*(12.73^2)+'LINEST VARS'!$J$66*($AU$104*$Z114)+'LINEST VARS'!$I$66*($AU$104*4)+'LINEST VARS'!$H$66*($AU$104*0.5)+'LINEST VARS'!$G$66*($AU$104*12.73)+'LINEST VARS'!$F$66*($Z114*4)+'LINEST VARS'!$E$66*($Z114*0.5)+'LINEST VARS'!$D$66*($Z114*12.73)+'LINEST VARS'!$C$66*(4*0.5)+'LINEST VARS'!$B$66*(4*12.73)+'LINEST VARS'!$A$66*(0.5*12.73)</f>
        <v>137.80000000000007</v>
      </c>
      <c r="AZ114" s="45">
        <v>0.45</v>
      </c>
      <c r="BA114" s="55">
        <f>'LINEST VARS'!$U$64+'LINEST VARS'!$T$64*(8)+'LINEST VARS'!$S$64*(8)+'LINEST VARS'!$R$64*($BA$104)+'LINEST VARS'!$Q$64*($AZ114)+'LINEST VARS'!$P$64*(12.73)+'LINEST VARS'!$O$64*(8^2)+'LINEST VARS'!$N$64*(8^2)+'LINEST VARS'!$M$64*($BA$104^2)+'LINEST VARS'!$L$64*($AZ114^2)+'LINEST VARS'!$K$64*(12.73^2)+'LINEST VARS'!$J$64*(8*8)+'LINEST VARS'!$I$64*(8*$BA$104)+'LINEST VARS'!$H$64*(8*$AZ114)+'LINEST VARS'!$G$64*(8*12.73)+'LINEST VARS'!$F$64*(8*$BA$104)+'LINEST VARS'!$E$64*(8*$AZ114)+'LINEST VARS'!$D$64*(8*12.73)+'LINEST VARS'!$C$64*($BA$104*$AZ114)+'LINEST VARS'!$B$64*($BA$104*12.73)+'LINEST VARS'!$A$64*($AZ114*12.73)</f>
        <v>148.18999999999988</v>
      </c>
      <c r="BB114" s="55">
        <f>'LINEST VARS'!$U$64+'LINEST VARS'!$T$64*(8)+'LINEST VARS'!$S$64*(8)+'LINEST VARS'!$R$64*($BB$104)+'LINEST VARS'!$Q$64*($AZ114)+'LINEST VARS'!$P$64*(12.73)+'LINEST VARS'!$O$64*(8^2)+'LINEST VARS'!$N$64*(8^2)+'LINEST VARS'!$M$64*($BB$104^2)+'LINEST VARS'!$L$64*($AZ114^2)+'LINEST VARS'!$K$64*(12.73^2)+'LINEST VARS'!$J$64*(8*8)+'LINEST VARS'!$I$64*(8*$BB$104)+'LINEST VARS'!$H$64*(8*$AZ114)+'LINEST VARS'!$G$64*(8*12.73)+'LINEST VARS'!$F$64*(8*$BB$104)+'LINEST VARS'!$E$64*(8*$AZ114)+'LINEST VARS'!$D$64*(8*12.73)+'LINEST VARS'!$C$64*($BB$104*$AZ114)+'LINEST VARS'!$B$64*($BB$104*12.73)+'LINEST VARS'!$A$64*($AZ114*12.73)</f>
        <v>149.78999999999988</v>
      </c>
      <c r="BC114" s="55">
        <f>'LINEST VARS'!$U$64+'LINEST VARS'!$T$64*(8)+'LINEST VARS'!$S$64*(8)+'LINEST VARS'!$R$64*($BC$104)+'LINEST VARS'!$Q$64*($AZ114)+'LINEST VARS'!$P$64*(12.73)+'LINEST VARS'!$O$64*(8^2)+'LINEST VARS'!$N$64*(8^2)+'LINEST VARS'!$M$64*($BC$104^2)+'LINEST VARS'!$L$64*($AZ114^2)+'LINEST VARS'!$K$64*(12.73^2)+'LINEST VARS'!$J$64*(8*8)+'LINEST VARS'!$I$64*(8*$BC$104)+'LINEST VARS'!$H$64*(8*$AZ114)+'LINEST VARS'!$G$64*(8*12.73)+'LINEST VARS'!$F$64*(8*$BC$104)+'LINEST VARS'!$E$64*(8*$AZ114)+'LINEST VARS'!$D$64*(8*12.73)+'LINEST VARS'!$C$64*($BC$104*$AZ114)+'LINEST VARS'!$B$64*($BC$104*12.73)+'LINEST VARS'!$A$64*($AZ114*12.73)</f>
        <v>151.38999999999987</v>
      </c>
      <c r="BD114" s="55">
        <f>'LINEST VARS'!$U$64+'LINEST VARS'!$T$64*(8)+'LINEST VARS'!$S$64*(8)+'LINEST VARS'!$R$64*($BD$104)+'LINEST VARS'!$Q$64*($AZ114)+'LINEST VARS'!$P$64*(12.73)+'LINEST VARS'!$O$64*(8^2)+'LINEST VARS'!$N$64*(8^2)+'LINEST VARS'!$M$64*($BD$104^2)+'LINEST VARS'!$L$64*($AZ114^2)+'LINEST VARS'!$K$64*(12.73^2)+'LINEST VARS'!$J$64*(8*8)+'LINEST VARS'!$I$64*(8*$BD$104)+'LINEST VARS'!$H$64*(8*$AZ114)+'LINEST VARS'!$G$64*(8*12.73)+'LINEST VARS'!$F$64*(8*$BD$104)+'LINEST VARS'!$E$64*(8*$AZ114)+'LINEST VARS'!$D$64*(8*12.73)+'LINEST VARS'!$C$64*($BD$104*$AZ114)+'LINEST VARS'!$B$64*($BD$104*12.73)+'LINEST VARS'!$A$64*($AZ114*12.73)</f>
        <v>152.9899999999999</v>
      </c>
      <c r="BE114" s="55">
        <f>'LINEST VARS'!$U$64+'LINEST VARS'!$T$64*(8)+'LINEST VARS'!$S$64*(8)+'LINEST VARS'!$R$64*($BE$104)+'LINEST VARS'!$Q$64*($AZ114)+'LINEST VARS'!$P$64*(12.73)+'LINEST VARS'!$O$64*(8^2)+'LINEST VARS'!$N$64*(8^2)+'LINEST VARS'!$M$64*($BE$104^2)+'LINEST VARS'!$L$64*($AZ114^2)+'LINEST VARS'!$K$64*(12.73^2)+'LINEST VARS'!$J$64*(8*8)+'LINEST VARS'!$I$64*(8*$BE$104)+'LINEST VARS'!$H$64*(8*$AZ114)+'LINEST VARS'!$G$64*(8*12.73)+'LINEST VARS'!$F$64*(8*$BE$104)+'LINEST VARS'!$E$64*(8*$AZ114)+'LINEST VARS'!$D$64*(8*12.73)+'LINEST VARS'!$C$64*($BE$104*$AZ114)+'LINEST VARS'!$B$64*($BE$104*12.73)+'LINEST VARS'!$A$64*($AZ114*12.73)</f>
        <v>154.58999999999989</v>
      </c>
      <c r="BF114" s="55">
        <f>'LINEST VARS'!$U$64+'LINEST VARS'!$T$64*(8)+'LINEST VARS'!$S$64*(8)+'LINEST VARS'!$R$64*($BF$104)+'LINEST VARS'!$Q$64*($AZ114)+'LINEST VARS'!$P$64*(12.73)+'LINEST VARS'!$O$64*(8^2)+'LINEST VARS'!$N$64*(8^2)+'LINEST VARS'!$M$64*($BF$104^2)+'LINEST VARS'!$L$64*($AZ114^2)+'LINEST VARS'!$K$64*(12.73^2)+'LINEST VARS'!$J$64*(8*8)+'LINEST VARS'!$I$64*(8*$BF$104)+'LINEST VARS'!$H$64*(8*$AZ114)+'LINEST VARS'!$G$64*(8*12.73)+'LINEST VARS'!$F$64*(8*$BF$104)+'LINEST VARS'!$E$64*(8*$AZ114)+'LINEST VARS'!$D$64*(8*12.73)+'LINEST VARS'!$C$64*($BF$104*$AZ114)+'LINEST VARS'!$B$64*($BF$104*12.73)+'LINEST VARS'!$A$64*($AZ114*12.73)</f>
        <v>156.18999999999988</v>
      </c>
      <c r="BG114" s="55">
        <f>'LINEST VARS'!$U$64+'LINEST VARS'!$T$64*(8)+'LINEST VARS'!$S$64*(8)+'LINEST VARS'!$R$64*($BG$104)+'LINEST VARS'!$Q$64*($AZ114)+'LINEST VARS'!$P$64*(12.73)+'LINEST VARS'!$O$64*(8^2)+'LINEST VARS'!$N$64*(8^2)+'LINEST VARS'!$M$64*($BG$104^2)+'LINEST VARS'!$L$64*($AZ114^2)+'LINEST VARS'!$K$64*(12.73^2)+'LINEST VARS'!$J$64*(8*8)+'LINEST VARS'!$I$64*(8*$BG$104)+'LINEST VARS'!$H$64*(8*$AZ114)+'LINEST VARS'!$G$64*(8*12.73)+'LINEST VARS'!$F$64*(8*$BG$104)+'LINEST VARS'!$E$64*(8*$AZ114)+'LINEST VARS'!$D$64*(8*12.73)+'LINEST VARS'!$C$64*($BG$104*$AZ114)+'LINEST VARS'!$B$64*($BG$104*12.73)+'LINEST VARS'!$A$64*($AZ114*12.73)</f>
        <v>157.78999999999988</v>
      </c>
      <c r="BH114" s="55">
        <f>'LINEST VARS'!$U$64+'LINEST VARS'!$T$64*(8)+'LINEST VARS'!$S$64*(8)+'LINEST VARS'!$R$64*($BH$104)+'LINEST VARS'!$Q$64*($AZ114)+'LINEST VARS'!$P$64*(12.73)+'LINEST VARS'!$O$64*(8^2)+'LINEST VARS'!$N$64*(8^2)+'LINEST VARS'!$M$64*($BH$104^2)+'LINEST VARS'!$L$64*($AZ114^2)+'LINEST VARS'!$K$64*(12.73^2)+'LINEST VARS'!$J$64*(8*8)+'LINEST VARS'!$I$64*(8*$BH$104)+'LINEST VARS'!$H$64*(8*$AZ114)+'LINEST VARS'!$G$64*(8*12.73)+'LINEST VARS'!$F$64*(8*$BH$104)+'LINEST VARS'!$E$64*(8*$AZ114)+'LINEST VARS'!$D$64*(8*12.73)+'LINEST VARS'!$C$64*($BH$104*$AZ114)+'LINEST VARS'!$B$64*($BH$104*12.73)+'LINEST VARS'!$A$64*($AZ114*12.73)</f>
        <v>159.38999999999987</v>
      </c>
      <c r="BI114" s="55">
        <f>'LINEST VARS'!$U$64+'LINEST VARS'!$T$64*(8)+'LINEST VARS'!$S$64*(8)+'LINEST VARS'!$R$64*($BI$104)+'LINEST VARS'!$Q$64*($AZ114)+'LINEST VARS'!$P$64*(12.73)+'LINEST VARS'!$O$64*(8^2)+'LINEST VARS'!$N$64*(8^2)+'LINEST VARS'!$M$64*($BI$104^2)+'LINEST VARS'!$L$64*($AZ114^2)+'LINEST VARS'!$K$64*(12.73^2)+'LINEST VARS'!$J$64*(8*8)+'LINEST VARS'!$I$64*(8*$BI$104)+'LINEST VARS'!$H$64*(8*$AZ114)+'LINEST VARS'!$G$64*(8*12.73)+'LINEST VARS'!$F$64*(8*$BI$104)+'LINEST VARS'!$E$64*(8*$AZ114)+'LINEST VARS'!$D$64*(8*12.73)+'LINEST VARS'!$C$64*($BI$104*$AZ114)+'LINEST VARS'!$B$64*($BI$104*12.73)+'LINEST VARS'!$A$64*($AZ114*12.73)</f>
        <v>160.9899999999999</v>
      </c>
      <c r="BJ114" s="55">
        <f>'LINEST VARS'!$U$64+'LINEST VARS'!$T$64*(8)+'LINEST VARS'!$S$64*(8)+'LINEST VARS'!$R$64*($BJ$104)+'LINEST VARS'!$Q$64*($AZ114)+'LINEST VARS'!$P$64*(12.73)+'LINEST VARS'!$O$64*(8^2)+'LINEST VARS'!$N$64*(8^2)+'LINEST VARS'!$M$64*($BJ$104^2)+'LINEST VARS'!$L$64*($AZ114^2)+'LINEST VARS'!$K$64*(12.73^2)+'LINEST VARS'!$J$64*(8*8)+'LINEST VARS'!$I$64*(8*$BJ$104)+'LINEST VARS'!$H$64*(8*$AZ114)+'LINEST VARS'!$G$64*(8*12.73)+'LINEST VARS'!$F$64*(8*$BJ$104)+'LINEST VARS'!$E$64*(8*$AZ114)+'LINEST VARS'!$D$64*(8*12.73)+'LINEST VARS'!$C$64*($BJ$104*$AZ114)+'LINEST VARS'!$B$64*($BJ$104*12.73)+'LINEST VARS'!$A$64*($AZ114*12.73)</f>
        <v>162.58999999999989</v>
      </c>
      <c r="BK114" s="55">
        <f>'LINEST VARS'!$U$64+'LINEST VARS'!$T$64*(8)+'LINEST VARS'!$S$64*(8)+'LINEST VARS'!$R$64*($BK$104)+'LINEST VARS'!$Q$64*($AZ114)+'LINEST VARS'!$P$64*(12.73)+'LINEST VARS'!$O$64*(8^2)+'LINEST VARS'!$N$64*(8^2)+'LINEST VARS'!$M$64*($BK$104^2)+'LINEST VARS'!$L$64*($AZ114^2)+'LINEST VARS'!$K$64*(12.73^2)+'LINEST VARS'!$J$64*(8*8)+'LINEST VARS'!$I$64*(8*$BK$104)+'LINEST VARS'!$H$64*(8*$AZ114)+'LINEST VARS'!$G$64*(8*12.73)+'LINEST VARS'!$F$64*(8*$BK$104)+'LINEST VARS'!$E$64*(8*$AZ114)+'LINEST VARS'!$D$64*(8*12.73)+'LINEST VARS'!$C$64*($BK$104*$AZ114)+'LINEST VARS'!$B$64*($BK$104*12.73)+'LINEST VARS'!$A$64*($AZ114*12.73)</f>
        <v>164.18999999999988</v>
      </c>
      <c r="BL114" s="55">
        <f>'LINEST VARS'!$U$64+'LINEST VARS'!$T$64*(8)+'LINEST VARS'!$S$64*(8)+'LINEST VARS'!$R$64*($BL$104)+'LINEST VARS'!$Q$64*($AZ114)+'LINEST VARS'!$P$64*(12.73)+'LINEST VARS'!$O$64*(8^2)+'LINEST VARS'!$N$64*(8^2)+'LINEST VARS'!$M$64*($BL$104^2)+'LINEST VARS'!$L$64*($AZ114^2)+'LINEST VARS'!$K$64*(12.73^2)+'LINEST VARS'!$J$64*(8*8)+'LINEST VARS'!$I$64*(8*$BL$104)+'LINEST VARS'!$H$64*(8*$AZ114)+'LINEST VARS'!$G$64*(8*12.73)+'LINEST VARS'!$F$64*(8*$BL$104)+'LINEST VARS'!$E$64*(8*$AZ114)+'LINEST VARS'!$D$64*(8*12.73)+'LINEST VARS'!$C$64*($BL$104*$AZ114)+'LINEST VARS'!$B$64*($BL$104*12.73)+'LINEST VARS'!$A$64*($AZ114*12.73)</f>
        <v>165.78999999999991</v>
      </c>
      <c r="BM114" s="55">
        <f>'LINEST VARS'!$U$64+'LINEST VARS'!$T$64*(8)+'LINEST VARS'!$S$64*(8)+'LINEST VARS'!$R$64*($BM$104)+'LINEST VARS'!$Q$64*($AZ114)+'LINEST VARS'!$P$64*(12.73)+'LINEST VARS'!$O$64*(8^2)+'LINEST VARS'!$N$64*(8^2)+'LINEST VARS'!$M$64*($BM$104^2)+'LINEST VARS'!$L$64*($AZ114^2)+'LINEST VARS'!$K$64*(12.73^2)+'LINEST VARS'!$J$64*(8*8)+'LINEST VARS'!$I$64*(8*$BM$104)+'LINEST VARS'!$H$64*(8*$AZ114)+'LINEST VARS'!$G$64*(8*12.73)+'LINEST VARS'!$F$64*(8*$BM$104)+'LINEST VARS'!$E$64*(8*$AZ114)+'LINEST VARS'!$D$64*(8*12.73)+'LINEST VARS'!$C$64*($BM$104*$AZ114)+'LINEST VARS'!$B$64*($BM$104*12.73)+'LINEST VARS'!$A$64*($AZ114*12.73)</f>
        <v>167.38999999999987</v>
      </c>
      <c r="BN114" s="55">
        <f>'LINEST VARS'!$U$64+'LINEST VARS'!$T$64*(8)+'LINEST VARS'!$S$64*(8)+'LINEST VARS'!$R$64*($BN$104)+'LINEST VARS'!$Q$64*($AZ114)+'LINEST VARS'!$P$64*(12.73)+'LINEST VARS'!$O$64*(8^2)+'LINEST VARS'!$N$64*(8^2)+'LINEST VARS'!$M$64*($BN$104^2)+'LINEST VARS'!$L$64*($AZ114^2)+'LINEST VARS'!$K$64*(12.73^2)+'LINEST VARS'!$J$64*(8*8)+'LINEST VARS'!$I$64*(8*$BN$104)+'LINEST VARS'!$H$64*(8*$AZ114)+'LINEST VARS'!$G$64*(8*12.73)+'LINEST VARS'!$F$64*(8*$BN$104)+'LINEST VARS'!$E$64*(8*$AZ114)+'LINEST VARS'!$D$64*(8*12.73)+'LINEST VARS'!$C$64*($BN$104*$AZ114)+'LINEST VARS'!$B$64*($BN$104*12.73)+'LINEST VARS'!$A$64*($AZ114*12.73)</f>
        <v>168.9899999999999</v>
      </c>
      <c r="BO114" s="55">
        <f>'LINEST VARS'!$U$64+'LINEST VARS'!$T$64*(8)+'LINEST VARS'!$S$64*(8)+'LINEST VARS'!$R$64*($BO$104)+'LINEST VARS'!$Q$64*($AZ114)+'LINEST VARS'!$P$64*(12.73)+'LINEST VARS'!$O$64*(8^2)+'LINEST VARS'!$N$64*(8^2)+'LINEST VARS'!$M$64*($BO$104^2)+'LINEST VARS'!$L$64*($AZ114^2)+'LINEST VARS'!$K$64*(12.73^2)+'LINEST VARS'!$J$64*(8*8)+'LINEST VARS'!$I$64*(8*$BO$104)+'LINEST VARS'!$H$64*(8*$AZ114)+'LINEST VARS'!$G$64*(8*12.73)+'LINEST VARS'!$F$64*(8*$BO$104)+'LINEST VARS'!$E$64*(8*$AZ114)+'LINEST VARS'!$D$64*(8*12.73)+'LINEST VARS'!$C$64*($BO$104*$AZ114)+'LINEST VARS'!$B$64*($BO$104*12.73)+'LINEST VARS'!$A$64*($AZ114*12.73)</f>
        <v>170.58999999999983</v>
      </c>
      <c r="BP114" s="55">
        <f>'LINEST VARS'!$U$64+'LINEST VARS'!$T$64*(8)+'LINEST VARS'!$S$64*(8)+'LINEST VARS'!$R$64*($BP$104)+'LINEST VARS'!$Q$64*($AZ114)+'LINEST VARS'!$P$64*(12.73)+'LINEST VARS'!$O$64*(8^2)+'LINEST VARS'!$N$64*(8^2)+'LINEST VARS'!$M$64*($BP$104^2)+'LINEST VARS'!$L$64*($AZ114^2)+'LINEST VARS'!$K$64*(12.73^2)+'LINEST VARS'!$J$64*(8*8)+'LINEST VARS'!$I$64*(8*$BP$104)+'LINEST VARS'!$H$64*(8*$AZ114)+'LINEST VARS'!$G$64*(8*12.73)+'LINEST VARS'!$F$64*(8*$BP$104)+'LINEST VARS'!$E$64*(8*$AZ114)+'LINEST VARS'!$D$64*(8*12.73)+'LINEST VARS'!$C$64*($BP$104*$AZ114)+'LINEST VARS'!$B$64*($BP$104*12.73)+'LINEST VARS'!$A$64*($AZ114*12.73)</f>
        <v>172.18999999999986</v>
      </c>
      <c r="BQ114" s="55">
        <f>'LINEST VARS'!$U$64+'LINEST VARS'!$T$64*(8)+'LINEST VARS'!$S$64*(8)+'LINEST VARS'!$R$64*($BQ$104)+'LINEST VARS'!$Q$64*($AZ114)+'LINEST VARS'!$P$64*(12.73)+'LINEST VARS'!$O$64*(8^2)+'LINEST VARS'!$N$64*(8^2)+'LINEST VARS'!$M$64*($BQ$104^2)+'LINEST VARS'!$L$64*($AZ114^2)+'LINEST VARS'!$K$64*(12.73^2)+'LINEST VARS'!$J$64*(8*8)+'LINEST VARS'!$I$64*(8*$BQ$104)+'LINEST VARS'!$H$64*(8*$AZ114)+'LINEST VARS'!$G$64*(8*12.73)+'LINEST VARS'!$F$64*(8*$BQ$104)+'LINEST VARS'!$E$64*(8*$AZ114)+'LINEST VARS'!$D$64*(8*12.73)+'LINEST VARS'!$C$64*($BQ$104*$AZ114)+'LINEST VARS'!$B$64*($BQ$104*12.73)+'LINEST VARS'!$A$64*($AZ114*12.73)</f>
        <v>173.78999999999988</v>
      </c>
      <c r="BR114" s="55">
        <f>'LINEST VARS'!$U$64+'LINEST VARS'!$T$64*(8)+'LINEST VARS'!$S$64*(8)+'LINEST VARS'!$R$64*($BR$104)+'LINEST VARS'!$Q$64*($AZ114)+'LINEST VARS'!$P$64*(12.73)+'LINEST VARS'!$O$64*(8^2)+'LINEST VARS'!$N$64*(8^2)+'LINEST VARS'!$M$64*($BR$104^2)+'LINEST VARS'!$L$64*($AZ114^2)+'LINEST VARS'!$K$64*(12.73^2)+'LINEST VARS'!$J$64*(8*8)+'LINEST VARS'!$I$64*(8*$BR$104)+'LINEST VARS'!$H$64*(8*$AZ114)+'LINEST VARS'!$G$64*(8*12.73)+'LINEST VARS'!$F$64*(8*$BR$104)+'LINEST VARS'!$E$64*(8*$AZ114)+'LINEST VARS'!$D$64*(8*12.73)+'LINEST VARS'!$C$64*($BR$104*$AZ114)+'LINEST VARS'!$B$64*($BR$104*12.73)+'LINEST VARS'!$A$64*($AZ114*12.73)</f>
        <v>175.38999999999984</v>
      </c>
      <c r="BS114" s="55">
        <f>'LINEST VARS'!$U$64+'LINEST VARS'!$T$64*(8)+'LINEST VARS'!$S$64*(8)+'LINEST VARS'!$R$64*($BS$104)+'LINEST VARS'!$Q$64*($AZ114)+'LINEST VARS'!$P$64*(12.73)+'LINEST VARS'!$O$64*(8^2)+'LINEST VARS'!$N$64*(8^2)+'LINEST VARS'!$M$64*($BS$104^2)+'LINEST VARS'!$L$64*($AZ114^2)+'LINEST VARS'!$K$64*(12.73^2)+'LINEST VARS'!$J$64*(8*8)+'LINEST VARS'!$I$64*(8*$BS$104)+'LINEST VARS'!$H$64*(8*$AZ114)+'LINEST VARS'!$G$64*(8*12.73)+'LINEST VARS'!$F$64*(8*$BS$104)+'LINEST VARS'!$E$64*(8*$AZ114)+'LINEST VARS'!$D$64*(8*12.73)+'LINEST VARS'!$C$64*($BS$104*$AZ114)+'LINEST VARS'!$B$64*($BS$104*12.73)+'LINEST VARS'!$A$64*($AZ114*12.73)</f>
        <v>176.98999999999987</v>
      </c>
      <c r="BT114" s="55">
        <f>'LINEST VARS'!$U$64+'LINEST VARS'!$T$64*(8)+'LINEST VARS'!$S$64*(8)+'LINEST VARS'!$R$64*($BT$104)+'LINEST VARS'!$Q$64*($AZ114)+'LINEST VARS'!$P$64*(12.73)+'LINEST VARS'!$O$64*(8^2)+'LINEST VARS'!$N$64*(8^2)+'LINEST VARS'!$M$64*($BT$104^2)+'LINEST VARS'!$L$64*($AZ114^2)+'LINEST VARS'!$K$64*(12.73^2)+'LINEST VARS'!$J$64*(8*8)+'LINEST VARS'!$I$64*(8*$BT$104)+'LINEST VARS'!$H$64*(8*$AZ114)+'LINEST VARS'!$G$64*(8*12.73)+'LINEST VARS'!$F$64*(8*$BT$104)+'LINEST VARS'!$E$64*(8*$AZ114)+'LINEST VARS'!$D$64*(8*12.73)+'LINEST VARS'!$C$64*($BT$104*$AZ114)+'LINEST VARS'!$B$64*($BT$104*12.73)+'LINEST VARS'!$A$64*($AZ114*12.73)</f>
        <v>178.58999999999983</v>
      </c>
      <c r="BU114" s="56">
        <f>'LINEST VARS'!$U$64+'LINEST VARS'!$T$64*(8)+'LINEST VARS'!$S$64*(8)+'LINEST VARS'!$R$64*($BU$104)+'LINEST VARS'!$Q$64*($AZ114)+'LINEST VARS'!$P$64*(12.73)+'LINEST VARS'!$O$64*(8^2)+'LINEST VARS'!$N$64*(8^2)+'LINEST VARS'!$M$64*($BU$104^2)+'LINEST VARS'!$L$64*($AZ114^2)+'LINEST VARS'!$K$64*(12.73^2)+'LINEST VARS'!$J$64*(8*8)+'LINEST VARS'!$I$64*(8*$BU$104)+'LINEST VARS'!$H$64*(8*$AZ114)+'LINEST VARS'!$G$64*(8*12.73)+'LINEST VARS'!$F$64*(8*$BU$104)+'LINEST VARS'!$E$64*(8*$AZ114)+'LINEST VARS'!$D$64*(8*12.73)+'LINEST VARS'!$C$64*($BU$104*$AZ114)+'LINEST VARS'!$B$64*($BU$104*12.73)+'LINEST VARS'!$A$64*($AZ114*12.73)</f>
        <v>180.18999999999986</v>
      </c>
      <c r="BX114" s="45">
        <v>0.45</v>
      </c>
      <c r="BY114" s="46">
        <f>'LINEST VARS'!$U$66+'LINEST VARS'!$T$66*(8)+'LINEST VARS'!$S$66*(8)+'LINEST VARS'!$R$66*($BY$104)+'LINEST VARS'!$Q$66*($BX114)+'LINEST VARS'!$P$66*(12.73)+'LINEST VARS'!$O$66*(8^2)+'LINEST VARS'!$N$66*(8^2)+'LINEST VARS'!$M$66*($BY$104^2)+'LINEST VARS'!$L$66*($BX114^2)+'LINEST VARS'!$K$66*(12.73^2)+'LINEST VARS'!$J$66*(8*8)+'LINEST VARS'!$I$66*(8*$BY$104)+'LINEST VARS'!$H$66*(8*$BX114)+'LINEST VARS'!$G$66*(8*12.73)+'LINEST VARS'!$F$66*(8*$BY$104)+'LINEST VARS'!$E$66*(8*$BX114)+'LINEST VARS'!$D$66*(8*12.73)+'LINEST VARS'!$C$66*($BY$104*$BX114)+'LINEST VARS'!$B$66*($BY$104*12.73)+'LINEST VARS'!$A$66*($BX114*12.73)</f>
        <v>144.00000000000006</v>
      </c>
      <c r="BZ114" s="46">
        <f>'LINEST VARS'!$U$66+'LINEST VARS'!$T$66*(8)+'LINEST VARS'!$S$66*(8)+'LINEST VARS'!$R$66*($BZ$104)+'LINEST VARS'!$Q$66*($BX114)+'LINEST VARS'!$P$66*(12.73)+'LINEST VARS'!$O$66*(8^2)+'LINEST VARS'!$N$66*(8^2)+'LINEST VARS'!$M$66*($BZ$104^2)+'LINEST VARS'!$L$66*($BX114^2)+'LINEST VARS'!$K$66*(12.73^2)+'LINEST VARS'!$J$66*(8*8)+'LINEST VARS'!$I$66*(8*$BZ$104)+'LINEST VARS'!$H$66*(8*$BX114)+'LINEST VARS'!$G$66*(8*12.73)+'LINEST VARS'!$F$66*(8*$BZ$104)+'LINEST VARS'!$E$66*(8*$BX114)+'LINEST VARS'!$D$66*(8*12.73)+'LINEST VARS'!$C$66*($BZ$104*$BX114)+'LINEST VARS'!$B$66*($BZ$104*12.73)+'LINEST VARS'!$A$66*($BX114*12.73)</f>
        <v>143.20000000000007</v>
      </c>
      <c r="CA114" s="46">
        <f>'LINEST VARS'!$U$66+'LINEST VARS'!$T$66*(8)+'LINEST VARS'!$S$66*(8)+'LINEST VARS'!$R$66*($CA$104)+'LINEST VARS'!$Q$66*($BX114)+'LINEST VARS'!$P$66*(12.73)+'LINEST VARS'!$O$66*(8^2)+'LINEST VARS'!$N$66*(8^2)+'LINEST VARS'!$M$66*($CA$104^2)+'LINEST VARS'!$L$66*($BX114^2)+'LINEST VARS'!$K$66*(12.73^2)+'LINEST VARS'!$J$66*(8*8)+'LINEST VARS'!$I$66*(8*$CA$104)+'LINEST VARS'!$H$66*(8*$BX114)+'LINEST VARS'!$G$66*(8*12.73)+'LINEST VARS'!$F$66*(8*$CA$104)+'LINEST VARS'!$E$66*(8*$BX114)+'LINEST VARS'!$D$66*(8*12.73)+'LINEST VARS'!$C$66*($CA$104*$BX114)+'LINEST VARS'!$B$66*($CA$104*12.73)+'LINEST VARS'!$A$66*($BX114*12.73)</f>
        <v>142.40000000000006</v>
      </c>
      <c r="CB114" s="46">
        <f>'LINEST VARS'!$U$66+'LINEST VARS'!$T$66*(8)+'LINEST VARS'!$S$66*(8)+'LINEST VARS'!$R$66*($CB$104)+'LINEST VARS'!$Q$66*($BX114)+'LINEST VARS'!$P$66*(12.73)+'LINEST VARS'!$O$66*(8^2)+'LINEST VARS'!$N$66*(8^2)+'LINEST VARS'!$M$66*($CB$104^2)+'LINEST VARS'!$L$66*($BX114^2)+'LINEST VARS'!$K$66*(12.73^2)+'LINEST VARS'!$J$66*(8*8)+'LINEST VARS'!$I$66*(8*$CB$104)+'LINEST VARS'!$H$66*(8*$BX114)+'LINEST VARS'!$G$66*(8*12.73)+'LINEST VARS'!$F$66*(8*$CB$104)+'LINEST VARS'!$E$66*(8*$BX114)+'LINEST VARS'!$D$66*(8*12.73)+'LINEST VARS'!$C$66*($CB$104*$BX114)+'LINEST VARS'!$B$66*($CB$104*12.73)+'LINEST VARS'!$A$66*($BX114*12.73)</f>
        <v>141.60000000000008</v>
      </c>
      <c r="CC114" s="46">
        <f>'LINEST VARS'!$U$66+'LINEST VARS'!$T$66*(8)+'LINEST VARS'!$S$66*(8)+'LINEST VARS'!$R$66*($CC$104)+'LINEST VARS'!$Q$66*($BX114)+'LINEST VARS'!$P$66*(12.73)+'LINEST VARS'!$O$66*(8^2)+'LINEST VARS'!$N$66*(8^2)+'LINEST VARS'!$M$66*($CC$104^2)+'LINEST VARS'!$L$66*($BX114^2)+'LINEST VARS'!$K$66*(12.73^2)+'LINEST VARS'!$J$66*(8*8)+'LINEST VARS'!$I$66*(8*$CC$104)+'LINEST VARS'!$H$66*(8*$BX114)+'LINEST VARS'!$G$66*(8*12.73)+'LINEST VARS'!$F$66*(8*$CC$104)+'LINEST VARS'!$E$66*(8*$BX114)+'LINEST VARS'!$D$66*(8*12.73)+'LINEST VARS'!$C$66*($CC$104*$BX114)+'LINEST VARS'!$B$66*($CC$104*12.73)+'LINEST VARS'!$A$66*($BX114*12.73)</f>
        <v>140.80000000000007</v>
      </c>
      <c r="CD114" s="46">
        <f>'LINEST VARS'!$U$66+'LINEST VARS'!$T$66*(8)+'LINEST VARS'!$S$66*(8)+'LINEST VARS'!$R$66*($CD$104)+'LINEST VARS'!$Q$66*($BX114)+'LINEST VARS'!$P$66*(12.73)+'LINEST VARS'!$O$66*(8^2)+'LINEST VARS'!$N$66*(8^2)+'LINEST VARS'!$M$66*($CD$104^2)+'LINEST VARS'!$L$66*($BX114^2)+'LINEST VARS'!$K$66*(12.73^2)+'LINEST VARS'!$J$66*(8*8)+'LINEST VARS'!$I$66*(8*$CD$104)+'LINEST VARS'!$H$66*(8*$BX114)+'LINEST VARS'!$G$66*(8*12.73)+'LINEST VARS'!$F$66*(8*$CD$104)+'LINEST VARS'!$E$66*(8*$BX114)+'LINEST VARS'!$D$66*(8*12.73)+'LINEST VARS'!$C$66*($CD$104*$BX114)+'LINEST VARS'!$B$66*($CD$104*12.73)+'LINEST VARS'!$A$66*($BX114*12.73)</f>
        <v>140.00000000000009</v>
      </c>
      <c r="CE114" s="46">
        <f>'LINEST VARS'!$U$66+'LINEST VARS'!$T$66*(8)+'LINEST VARS'!$S$66*(8)+'LINEST VARS'!$R$66*($CE$104)+'LINEST VARS'!$Q$66*($BX114)+'LINEST VARS'!$P$66*(12.73)+'LINEST VARS'!$O$66*(8^2)+'LINEST VARS'!$N$66*(8^2)+'LINEST VARS'!$M$66*($CE$104^2)+'LINEST VARS'!$L$66*($BX114^2)+'LINEST VARS'!$K$66*(12.73^2)+'LINEST VARS'!$J$66*(8*8)+'LINEST VARS'!$I$66*(8*$CE$104)+'LINEST VARS'!$H$66*(8*$BX114)+'LINEST VARS'!$G$66*(8*12.73)+'LINEST VARS'!$F$66*(8*$CE$104)+'LINEST VARS'!$E$66*(8*$BX114)+'LINEST VARS'!$D$66*(8*12.73)+'LINEST VARS'!$C$66*($CE$104*$BX114)+'LINEST VARS'!$B$66*($CE$104*12.73)+'LINEST VARS'!$A$66*($BX114*12.73)</f>
        <v>139.20000000000007</v>
      </c>
      <c r="CF114" s="46">
        <f>'LINEST VARS'!$U$66+'LINEST VARS'!$T$66*(8)+'LINEST VARS'!$S$66*(8)+'LINEST VARS'!$R$66*($CF$104)+'LINEST VARS'!$Q$66*($BX114)+'LINEST VARS'!$P$66*(12.73)+'LINEST VARS'!$O$66*(8^2)+'LINEST VARS'!$N$66*(8^2)+'LINEST VARS'!$M$66*($CF$104^2)+'LINEST VARS'!$L$66*($BX114^2)+'LINEST VARS'!$K$66*(12.73^2)+'LINEST VARS'!$J$66*(8*8)+'LINEST VARS'!$I$66*(8*$CF$104)+'LINEST VARS'!$H$66*(8*$BX114)+'LINEST VARS'!$G$66*(8*12.73)+'LINEST VARS'!$F$66*(8*$CF$104)+'LINEST VARS'!$E$66*(8*$BX114)+'LINEST VARS'!$D$66*(8*12.73)+'LINEST VARS'!$C$66*($CF$104*$BX114)+'LINEST VARS'!$B$66*($CF$104*12.73)+'LINEST VARS'!$A$66*($BX114*12.73)</f>
        <v>138.40000000000009</v>
      </c>
      <c r="CG114" s="46">
        <f>'LINEST VARS'!$U$66+'LINEST VARS'!$T$66*(8)+'LINEST VARS'!$S$66*(8)+'LINEST VARS'!$R$66*($CG$104)+'LINEST VARS'!$Q$66*($BX114)+'LINEST VARS'!$P$66*(12.73)+'LINEST VARS'!$O$66*(8^2)+'LINEST VARS'!$N$66*(8^2)+'LINEST VARS'!$M$66*($CG$104^2)+'LINEST VARS'!$L$66*($BX114^2)+'LINEST VARS'!$K$66*(12.73^2)+'LINEST VARS'!$J$66*(8*8)+'LINEST VARS'!$I$66*(8*$CG$104)+'LINEST VARS'!$H$66*(8*$BX114)+'LINEST VARS'!$G$66*(8*12.73)+'LINEST VARS'!$F$66*(8*$CG$104)+'LINEST VARS'!$E$66*(8*$BX114)+'LINEST VARS'!$D$66*(8*12.73)+'LINEST VARS'!$C$66*($CG$104*$BX114)+'LINEST VARS'!$B$66*($CG$104*12.73)+'LINEST VARS'!$A$66*($BX114*12.73)</f>
        <v>137.60000000000008</v>
      </c>
      <c r="CH114" s="46">
        <f>'LINEST VARS'!$U$66+'LINEST VARS'!$T$66*(8)+'LINEST VARS'!$S$66*(8)+'LINEST VARS'!$R$66*($CH$104)+'LINEST VARS'!$Q$66*($BX114)+'LINEST VARS'!$P$66*(12.73)+'LINEST VARS'!$O$66*(8^2)+'LINEST VARS'!$N$66*(8^2)+'LINEST VARS'!$M$66*($CH$104^2)+'LINEST VARS'!$L$66*($BX114^2)+'LINEST VARS'!$K$66*(12.73^2)+'LINEST VARS'!$J$66*(8*8)+'LINEST VARS'!$I$66*(8*$CH$104)+'LINEST VARS'!$H$66*(8*$BX114)+'LINEST VARS'!$G$66*(8*12.73)+'LINEST VARS'!$F$66*(8*$CH$104)+'LINEST VARS'!$E$66*(8*$BX114)+'LINEST VARS'!$D$66*(8*12.73)+'LINEST VARS'!$C$66*($CH$104*$BX114)+'LINEST VARS'!$B$66*($CH$104*12.73)+'LINEST VARS'!$A$66*($BX114*12.73)</f>
        <v>136.80000000000007</v>
      </c>
      <c r="CI114" s="46">
        <f>'LINEST VARS'!$U$66+'LINEST VARS'!$T$66*(8)+'LINEST VARS'!$S$66*(8)+'LINEST VARS'!$R$66*($CI$104)+'LINEST VARS'!$Q$66*($BX114)+'LINEST VARS'!$P$66*(12.73)+'LINEST VARS'!$O$66*(8^2)+'LINEST VARS'!$N$66*(8^2)+'LINEST VARS'!$M$66*($CI$104^2)+'LINEST VARS'!$L$66*($BX114^2)+'LINEST VARS'!$K$66*(12.73^2)+'LINEST VARS'!$J$66*(8*8)+'LINEST VARS'!$I$66*(8*$CI$104)+'LINEST VARS'!$H$66*(8*$BX114)+'LINEST VARS'!$G$66*(8*12.73)+'LINEST VARS'!$F$66*(8*$CI$104)+'LINEST VARS'!$E$66*(8*$BX114)+'LINEST VARS'!$D$66*(8*12.73)+'LINEST VARS'!$C$66*($CI$104*$BX114)+'LINEST VARS'!$B$66*($CI$104*12.73)+'LINEST VARS'!$A$66*($BX114*12.73)</f>
        <v>136.00000000000006</v>
      </c>
      <c r="CJ114" s="46">
        <f>'LINEST VARS'!$U$66+'LINEST VARS'!$T$66*(8)+'LINEST VARS'!$S$66*(8)+'LINEST VARS'!$R$66*($CJ$104)+'LINEST VARS'!$Q$66*($BX114)+'LINEST VARS'!$P$66*(12.73)+'LINEST VARS'!$O$66*(8^2)+'LINEST VARS'!$N$66*(8^2)+'LINEST VARS'!$M$66*($CJ$104^2)+'LINEST VARS'!$L$66*($BX114^2)+'LINEST VARS'!$K$66*(12.73^2)+'LINEST VARS'!$J$66*(8*8)+'LINEST VARS'!$I$66*(8*$CJ$104)+'LINEST VARS'!$H$66*(8*$BX114)+'LINEST VARS'!$G$66*(8*12.73)+'LINEST VARS'!$F$66*(8*$CJ$104)+'LINEST VARS'!$E$66*(8*$BX114)+'LINEST VARS'!$D$66*(8*12.73)+'LINEST VARS'!$C$66*($CJ$104*$BX114)+'LINEST VARS'!$B$66*($CJ$104*12.73)+'LINEST VARS'!$A$66*($BX114*12.73)</f>
        <v>135.20000000000005</v>
      </c>
      <c r="CK114" s="46">
        <f>'LINEST VARS'!$U$66+'LINEST VARS'!$T$66*(8)+'LINEST VARS'!$S$66*(8)+'LINEST VARS'!$R$66*($CK$104)+'LINEST VARS'!$Q$66*($BX114)+'LINEST VARS'!$P$66*(12.73)+'LINEST VARS'!$O$66*(8^2)+'LINEST VARS'!$N$66*(8^2)+'LINEST VARS'!$M$66*($CK$104^2)+'LINEST VARS'!$L$66*($BX114^2)+'LINEST VARS'!$K$66*(12.73^2)+'LINEST VARS'!$J$66*(8*8)+'LINEST VARS'!$I$66*(8*$CK$104)+'LINEST VARS'!$H$66*(8*$BX114)+'LINEST VARS'!$G$66*(8*12.73)+'LINEST VARS'!$F$66*(8*$CK$104)+'LINEST VARS'!$E$66*(8*$BX114)+'LINEST VARS'!$D$66*(8*12.73)+'LINEST VARS'!$C$66*($CK$104*$BX114)+'LINEST VARS'!$B$66*($CK$104*12.73)+'LINEST VARS'!$A$66*($BX114*12.73)</f>
        <v>134.40000000000003</v>
      </c>
      <c r="CL114" s="46">
        <f>'LINEST VARS'!$U$66+'LINEST VARS'!$T$66*(8)+'LINEST VARS'!$S$66*(8)+'LINEST VARS'!$R$66*($CL$104)+'LINEST VARS'!$Q$66*($BX114)+'LINEST VARS'!$P$66*(12.73)+'LINEST VARS'!$O$66*(8^2)+'LINEST VARS'!$N$66*(8^2)+'LINEST VARS'!$M$66*($CL$104^2)+'LINEST VARS'!$L$66*($BX114^2)+'LINEST VARS'!$K$66*(12.73^2)+'LINEST VARS'!$J$66*(8*8)+'LINEST VARS'!$I$66*(8*$CL$104)+'LINEST VARS'!$H$66*(8*$BX114)+'LINEST VARS'!$G$66*(8*12.73)+'LINEST VARS'!$F$66*(8*$CL$104)+'LINEST VARS'!$E$66*(8*$BX114)+'LINEST VARS'!$D$66*(8*12.73)+'LINEST VARS'!$C$66*($CL$104*$BX114)+'LINEST VARS'!$B$66*($CL$104*12.73)+'LINEST VARS'!$A$66*($BX114*12.73)</f>
        <v>133.60000000000005</v>
      </c>
      <c r="CM114" s="46">
        <f>'LINEST VARS'!$U$66+'LINEST VARS'!$T$66*(8)+'LINEST VARS'!$S$66*(8)+'LINEST VARS'!$R$66*($CM$104)+'LINEST VARS'!$Q$66*($BX114)+'LINEST VARS'!$P$66*(12.73)+'LINEST VARS'!$O$66*(8^2)+'LINEST VARS'!$N$66*(8^2)+'LINEST VARS'!$M$66*($CM$104^2)+'LINEST VARS'!$L$66*($BX114^2)+'LINEST VARS'!$K$66*(12.73^2)+'LINEST VARS'!$J$66*(8*8)+'LINEST VARS'!$I$66*(8*$CM$104)+'LINEST VARS'!$H$66*(8*$BX114)+'LINEST VARS'!$G$66*(8*12.73)+'LINEST VARS'!$F$66*(8*$CM$104)+'LINEST VARS'!$E$66*(8*$BX114)+'LINEST VARS'!$D$66*(8*12.73)+'LINEST VARS'!$C$66*($CM$104*$BX114)+'LINEST VARS'!$B$66*($CM$104*12.73)+'LINEST VARS'!$A$66*($BX114*12.73)</f>
        <v>132.80000000000004</v>
      </c>
      <c r="CN114" s="46">
        <f>'LINEST VARS'!$U$66+'LINEST VARS'!$T$66*(8)+'LINEST VARS'!$S$66*(8)+'LINEST VARS'!$R$66*($CN$104)+'LINEST VARS'!$Q$66*($BX114)+'LINEST VARS'!$P$66*(12.73)+'LINEST VARS'!$O$66*(8^2)+'LINEST VARS'!$N$66*(8^2)+'LINEST VARS'!$M$66*($CN$104^2)+'LINEST VARS'!$L$66*($BX114^2)+'LINEST VARS'!$K$66*(12.73^2)+'LINEST VARS'!$J$66*(8*8)+'LINEST VARS'!$I$66*(8*$CN$104)+'LINEST VARS'!$H$66*(8*$BX114)+'LINEST VARS'!$G$66*(8*12.73)+'LINEST VARS'!$F$66*(8*$CN$104)+'LINEST VARS'!$E$66*(8*$BX114)+'LINEST VARS'!$D$66*(8*12.73)+'LINEST VARS'!$C$66*($CN$104*$BX114)+'LINEST VARS'!$B$66*($CN$104*12.73)+'LINEST VARS'!$A$66*($BX114*12.73)</f>
        <v>132.00000000000006</v>
      </c>
      <c r="CO114" s="46">
        <f>'LINEST VARS'!$U$66+'LINEST VARS'!$T$66*(8)+'LINEST VARS'!$S$66*(8)+'LINEST VARS'!$R$66*($CO$104)+'LINEST VARS'!$Q$66*($BX114)+'LINEST VARS'!$P$66*(12.73)+'LINEST VARS'!$O$66*(8^2)+'LINEST VARS'!$N$66*(8^2)+'LINEST VARS'!$M$66*($CO$104^2)+'LINEST VARS'!$L$66*($BX114^2)+'LINEST VARS'!$K$66*(12.73^2)+'LINEST VARS'!$J$66*(8*8)+'LINEST VARS'!$I$66*(8*$CO$104)+'LINEST VARS'!$H$66*(8*$BX114)+'LINEST VARS'!$G$66*(8*12.73)+'LINEST VARS'!$F$66*(8*$CO$104)+'LINEST VARS'!$E$66*(8*$BX114)+'LINEST VARS'!$D$66*(8*12.73)+'LINEST VARS'!$C$66*($CO$104*$BX114)+'LINEST VARS'!$B$66*($CO$104*12.73)+'LINEST VARS'!$A$66*($BX114*12.73)</f>
        <v>131.20000000000005</v>
      </c>
      <c r="CP114" s="46">
        <f>'LINEST VARS'!$U$66+'LINEST VARS'!$T$66*(8)+'LINEST VARS'!$S$66*(8)+'LINEST VARS'!$R$66*($CP$104)+'LINEST VARS'!$Q$66*($BX114)+'LINEST VARS'!$P$66*(12.73)+'LINEST VARS'!$O$66*(8^2)+'LINEST VARS'!$N$66*(8^2)+'LINEST VARS'!$M$66*($CP$104^2)+'LINEST VARS'!$L$66*($BX114^2)+'LINEST VARS'!$K$66*(12.73^2)+'LINEST VARS'!$J$66*(8*8)+'LINEST VARS'!$I$66*(8*$CP$104)+'LINEST VARS'!$H$66*(8*$BX114)+'LINEST VARS'!$G$66*(8*12.73)+'LINEST VARS'!$F$66*(8*$CP$104)+'LINEST VARS'!$E$66*(8*$BX114)+'LINEST VARS'!$D$66*(8*12.73)+'LINEST VARS'!$C$66*($CP$104*$BX114)+'LINEST VARS'!$B$66*($CP$104*12.73)+'LINEST VARS'!$A$66*($BX114*12.73)</f>
        <v>130.40000000000009</v>
      </c>
      <c r="CQ114" s="46">
        <f>'LINEST VARS'!$U$66+'LINEST VARS'!$T$66*(8)+'LINEST VARS'!$S$66*(8)+'LINEST VARS'!$R$66*($CQ$104)+'LINEST VARS'!$Q$66*($BX114)+'LINEST VARS'!$P$66*(12.73)+'LINEST VARS'!$O$66*(8^2)+'LINEST VARS'!$N$66*(8^2)+'LINEST VARS'!$M$66*($CQ$104^2)+'LINEST VARS'!$L$66*($BX114^2)+'LINEST VARS'!$K$66*(12.73^2)+'LINEST VARS'!$J$66*(8*8)+'LINEST VARS'!$I$66*(8*$CQ$104)+'LINEST VARS'!$H$66*(8*$BX114)+'LINEST VARS'!$G$66*(8*12.73)+'LINEST VARS'!$F$66*(8*$CQ$104)+'LINEST VARS'!$E$66*(8*$BX114)+'LINEST VARS'!$D$66*(8*12.73)+'LINEST VARS'!$C$66*($CQ$104*$BX114)+'LINEST VARS'!$B$66*($CQ$104*12.73)+'LINEST VARS'!$A$66*($BX114*12.73)</f>
        <v>129.60000000000008</v>
      </c>
      <c r="CR114" s="46">
        <f>'LINEST VARS'!$U$66+'LINEST VARS'!$T$66*(8)+'LINEST VARS'!$S$66*(8)+'LINEST VARS'!$R$66*($CR$104)+'LINEST VARS'!$Q$66*($BX114)+'LINEST VARS'!$P$66*(12.73)+'LINEST VARS'!$O$66*(8^2)+'LINEST VARS'!$N$66*(8^2)+'LINEST VARS'!$M$66*($CR$104^2)+'LINEST VARS'!$L$66*($BX114^2)+'LINEST VARS'!$K$66*(12.73^2)+'LINEST VARS'!$J$66*(8*8)+'LINEST VARS'!$I$66*(8*$CR$104)+'LINEST VARS'!$H$66*(8*$BX114)+'LINEST VARS'!$G$66*(8*12.73)+'LINEST VARS'!$F$66*(8*$CR$104)+'LINEST VARS'!$E$66*(8*$BX114)+'LINEST VARS'!$D$66*(8*12.73)+'LINEST VARS'!$C$66*($CR$104*$BX114)+'LINEST VARS'!$B$66*($CR$104*12.73)+'LINEST VARS'!$A$66*($BX114*12.73)</f>
        <v>128.8000000000001</v>
      </c>
      <c r="CS114" s="47">
        <f>'LINEST VARS'!$U$66+'LINEST VARS'!$T$66*(8)+'LINEST VARS'!$S$66*(8)+'LINEST VARS'!$R$66*($CS$104)+'LINEST VARS'!$Q$66*($BX114)+'LINEST VARS'!$P$66*(12.73)+'LINEST VARS'!$O$66*(8^2)+'LINEST VARS'!$N$66*(8^2)+'LINEST VARS'!$M$66*($CS$104^2)+'LINEST VARS'!$L$66*($BX114^2)+'LINEST VARS'!$K$66*(12.73^2)+'LINEST VARS'!$J$66*(8*8)+'LINEST VARS'!$I$66*(8*$CS$104)+'LINEST VARS'!$H$66*(8*$BX114)+'LINEST VARS'!$G$66*(8*12.73)+'LINEST VARS'!$F$66*(8*$CS$104)+'LINEST VARS'!$E$66*(8*$BX114)+'LINEST VARS'!$D$66*(8*12.73)+'LINEST VARS'!$C$66*($CS$104*$BX114)+'LINEST VARS'!$B$66*($CS$104*12.73)+'LINEST VARS'!$A$66*($BX114*12.73)</f>
        <v>128.00000000000006</v>
      </c>
      <c r="CX114" s="45">
        <v>11.695499999999999</v>
      </c>
      <c r="CY114" s="55">
        <f>'LINEST VARS'!$U$64+'LINEST VARS'!$T$64*(8)+'LINEST VARS'!$S$64*(8)+'LINEST VARS'!$R$64*($CY$104)+'LINEST VARS'!$Q$64*(0.5)+'LINEST VARS'!$P$64*($CX114)+'LINEST VARS'!$O$64*(8^2)+'LINEST VARS'!$N$64*(8^2)+'LINEST VARS'!$M$64*($CY$104^2)+'LINEST VARS'!$L$64*(0.5^2)+'LINEST VARS'!$K$64*($CX114^2)+'LINEST VARS'!$J$64*(8*8)+'LINEST VARS'!$I$64*(8*$CY$104)+'LINEST VARS'!$H$64*(8*0.5)+'LINEST VARS'!$G$64*(8*$CX114)+'LINEST VARS'!$F$64*(8*$CY$104)+'LINEST VARS'!$E$64*(8*0.5)+'LINEST VARS'!$D$64*(8*$CX114)+'LINEST VARS'!$C$64*($CY$104*0.5)+'LINEST VARS'!$B$64*($CY$104*$CX114)+'LINEST VARS'!$A$64*(0.5*$CX114)</f>
        <v>145.08649999999989</v>
      </c>
      <c r="CZ114" s="55">
        <f>'LINEST VARS'!$U$64+'LINEST VARS'!$T$64*(8)+'LINEST VARS'!$S$64*(8)+'LINEST VARS'!$R$64*($CZ$104)+'LINEST VARS'!$Q$64*(0.5)+'LINEST VARS'!$P$64*($CX114)+'LINEST VARS'!$O$64*(8^2)+'LINEST VARS'!$N$64*(8^2)+'LINEST VARS'!$M$64*($CZ$104^2)+'LINEST VARS'!$L$64*(0.5^2)+'LINEST VARS'!$K$64*($CX114^2)+'LINEST VARS'!$J$64*(8*8)+'LINEST VARS'!$I$64*(8*$CZ$104)+'LINEST VARS'!$H$64*(8*0.5)+'LINEST VARS'!$G$64*(8*$CX114)+'LINEST VARS'!$F$64*(8*$CZ$104)+'LINEST VARS'!$E$64*(8*0.5)+'LINEST VARS'!$D$64*(8*$CX114)+'LINEST VARS'!$C$64*($CZ$104*0.5)+'LINEST VARS'!$B$64*($CZ$104*$CX114)+'LINEST VARS'!$A$64*(0.5*$CX114)</f>
        <v>146.68649999999988</v>
      </c>
      <c r="DA114" s="55">
        <f>'LINEST VARS'!$U$64+'LINEST VARS'!$T$64*(8)+'LINEST VARS'!$S$64*(8)+'LINEST VARS'!$R$64*($DA$104)+'LINEST VARS'!$Q$64*(0.5)+'LINEST VARS'!$P$64*($CX114)+'LINEST VARS'!$O$64*(8^2)+'LINEST VARS'!$N$64*(8^2)+'LINEST VARS'!$M$64*($DA$104^2)+'LINEST VARS'!$L$64*(0.5^2)+'LINEST VARS'!$K$64*($CX114^2)+'LINEST VARS'!$J$64*(8*8)+'LINEST VARS'!$I$64*(8*$DA$104)+'LINEST VARS'!$H$64*(8*0.5)+'LINEST VARS'!$G$64*(8*$CX114)+'LINEST VARS'!$F$64*(8*$DA$104)+'LINEST VARS'!$E$64*(8*0.5)+'LINEST VARS'!$D$64*(8*$CX114)+'LINEST VARS'!$C$64*($DA$104*0.5)+'LINEST VARS'!$B$64*($DA$104*$CX114)+'LINEST VARS'!$A$64*(0.5*$CX114)</f>
        <v>148.28649999999988</v>
      </c>
      <c r="DB114" s="55">
        <f>'LINEST VARS'!$U$64+'LINEST VARS'!$T$64*(8)+'LINEST VARS'!$S$64*(8)+'LINEST VARS'!$R$64*($DB$104)+'LINEST VARS'!$Q$64*(0.5)+'LINEST VARS'!$P$64*($CX114)+'LINEST VARS'!$O$64*(8^2)+'LINEST VARS'!$N$64*(8^2)+'LINEST VARS'!$M$64*($DB$104^2)+'LINEST VARS'!$L$64*(0.5^2)+'LINEST VARS'!$K$64*($CX114^2)+'LINEST VARS'!$J$64*(8*8)+'LINEST VARS'!$I$64*(8*$DB$104)+'LINEST VARS'!$H$64*(8*0.5)+'LINEST VARS'!$G$64*(8*$CX114)+'LINEST VARS'!$F$64*(8*$DB$104)+'LINEST VARS'!$E$64*(8*0.5)+'LINEST VARS'!$D$64*(8*$CX114)+'LINEST VARS'!$C$64*($DB$104*0.5)+'LINEST VARS'!$B$64*($DB$104*$CX114)+'LINEST VARS'!$A$64*(0.5*$CX114)</f>
        <v>149.8864999999999</v>
      </c>
      <c r="DC114" s="55">
        <f>'LINEST VARS'!$U$64+'LINEST VARS'!$T$64*(8)+'LINEST VARS'!$S$64*(8)+'LINEST VARS'!$R$64*($DC$104)+'LINEST VARS'!$Q$64*(0.5)+'LINEST VARS'!$P$64*($CX114)+'LINEST VARS'!$O$64*(8^2)+'LINEST VARS'!$N$64*(8^2)+'LINEST VARS'!$M$64*($DC$104^2)+'LINEST VARS'!$L$64*(0.5^2)+'LINEST VARS'!$K$64*($CX114^2)+'LINEST VARS'!$J$64*(8*8)+'LINEST VARS'!$I$64*(8*$DC$104)+'LINEST VARS'!$H$64*(8*0.5)+'LINEST VARS'!$G$64*(8*$CX114)+'LINEST VARS'!$F$64*(8*$DC$104)+'LINEST VARS'!$E$64*(8*0.5)+'LINEST VARS'!$D$64*(8*$CX114)+'LINEST VARS'!$C$64*($DC$104*0.5)+'LINEST VARS'!$B$64*($DC$104*$CX114)+'LINEST VARS'!$A$64*(0.5*$CX114)</f>
        <v>151.48649999999989</v>
      </c>
      <c r="DD114" s="55">
        <f>'LINEST VARS'!$U$64+'LINEST VARS'!$T$64*(8)+'LINEST VARS'!$S$64*(8)+'LINEST VARS'!$R$64*($DD$104)+'LINEST VARS'!$Q$64*(0.5)+'LINEST VARS'!$P$64*($CX114)+'LINEST VARS'!$O$64*(8^2)+'LINEST VARS'!$N$64*(8^2)+'LINEST VARS'!$M$64*($DD$104^2)+'LINEST VARS'!$L$64*(0.5^2)+'LINEST VARS'!$K$64*($CX114^2)+'LINEST VARS'!$J$64*(8*8)+'LINEST VARS'!$I$64*(8*$DD$104)+'LINEST VARS'!$H$64*(8*0.5)+'LINEST VARS'!$G$64*(8*$CX114)+'LINEST VARS'!$F$64*(8*$DD$104)+'LINEST VARS'!$E$64*(8*0.5)+'LINEST VARS'!$D$64*(8*$CX114)+'LINEST VARS'!$C$64*($DD$104*0.5)+'LINEST VARS'!$B$64*($DD$104*$CX114)+'LINEST VARS'!$A$64*(0.5*$CX114)</f>
        <v>153.08649999999989</v>
      </c>
      <c r="DE114" s="55">
        <f>'LINEST VARS'!$U$64+'LINEST VARS'!$T$64*(8)+'LINEST VARS'!$S$64*(8)+'LINEST VARS'!$R$64*($DE$104)+'LINEST VARS'!$Q$64*(0.5)+'LINEST VARS'!$P$64*($CX114)+'LINEST VARS'!$O$64*(8^2)+'LINEST VARS'!$N$64*(8^2)+'LINEST VARS'!$M$64*($DE$104^2)+'LINEST VARS'!$L$64*(0.5^2)+'LINEST VARS'!$K$64*($CX114^2)+'LINEST VARS'!$J$64*(8*8)+'LINEST VARS'!$I$64*(8*$DE$104)+'LINEST VARS'!$H$64*(8*0.5)+'LINEST VARS'!$G$64*(8*$CX114)+'LINEST VARS'!$F$64*(8*$DE$104)+'LINEST VARS'!$E$64*(8*0.5)+'LINEST VARS'!$D$64*(8*$CX114)+'LINEST VARS'!$C$64*($DE$104*0.5)+'LINEST VARS'!$B$64*($DE$104*$CX114)+'LINEST VARS'!$A$64*(0.5*$CX114)</f>
        <v>154.68649999999988</v>
      </c>
      <c r="DF114" s="55">
        <f>'LINEST VARS'!$U$64+'LINEST VARS'!$T$64*(8)+'LINEST VARS'!$S$64*(8)+'LINEST VARS'!$R$64*($DF$104)+'LINEST VARS'!$Q$64*(0.5)+'LINEST VARS'!$P$64*($CX114)+'LINEST VARS'!$O$64*(8^2)+'LINEST VARS'!$N$64*(8^2)+'LINEST VARS'!$M$64*($DF$104^2)+'LINEST VARS'!$L$64*(0.5^2)+'LINEST VARS'!$K$64*($CX114^2)+'LINEST VARS'!$J$64*(8*8)+'LINEST VARS'!$I$64*(8*$DF$104)+'LINEST VARS'!$H$64*(8*0.5)+'LINEST VARS'!$G$64*(8*$CX114)+'LINEST VARS'!$F$64*(8*$DF$104)+'LINEST VARS'!$E$64*(8*0.5)+'LINEST VARS'!$D$64*(8*$CX114)+'LINEST VARS'!$C$64*($DF$104*0.5)+'LINEST VARS'!$B$64*($DF$104*$CX114)+'LINEST VARS'!$A$64*(0.5*$CX114)</f>
        <v>156.28649999999988</v>
      </c>
      <c r="DG114" s="55">
        <f>'LINEST VARS'!$U$64+'LINEST VARS'!$T$64*(8)+'LINEST VARS'!$S$64*(8)+'LINEST VARS'!$R$64*($DG$104)+'LINEST VARS'!$Q$64*(0.5)+'LINEST VARS'!$P$64*($CX114)+'LINEST VARS'!$O$64*(8^2)+'LINEST VARS'!$N$64*(8^2)+'LINEST VARS'!$M$64*($DG$104^2)+'LINEST VARS'!$L$64*(0.5^2)+'LINEST VARS'!$K$64*($CX114^2)+'LINEST VARS'!$J$64*(8*8)+'LINEST VARS'!$I$64*(8*$DG$104)+'LINEST VARS'!$H$64*(8*0.5)+'LINEST VARS'!$G$64*(8*$CX114)+'LINEST VARS'!$F$64*(8*$DG$104)+'LINEST VARS'!$E$64*(8*0.5)+'LINEST VARS'!$D$64*(8*$CX114)+'LINEST VARS'!$C$64*($DG$104*0.5)+'LINEST VARS'!$B$64*($DG$104*$CX114)+'LINEST VARS'!$A$64*(0.5*$CX114)</f>
        <v>157.8864999999999</v>
      </c>
      <c r="DH114" s="55">
        <f>'LINEST VARS'!$U$64+'LINEST VARS'!$T$64*(8)+'LINEST VARS'!$S$64*(8)+'LINEST VARS'!$R$64*($DH$104)+'LINEST VARS'!$Q$64*(0.5)+'LINEST VARS'!$P$64*($CX114)+'LINEST VARS'!$O$64*(8^2)+'LINEST VARS'!$N$64*(8^2)+'LINEST VARS'!$M$64*($DH$104^2)+'LINEST VARS'!$L$64*(0.5^2)+'LINEST VARS'!$K$64*($CX114^2)+'LINEST VARS'!$J$64*(8*8)+'LINEST VARS'!$I$64*(8*$DH$104)+'LINEST VARS'!$H$64*(8*0.5)+'LINEST VARS'!$G$64*(8*$CX114)+'LINEST VARS'!$F$64*(8*$DH$104)+'LINEST VARS'!$E$64*(8*0.5)+'LINEST VARS'!$D$64*(8*$CX114)+'LINEST VARS'!$C$64*($DH$104*0.5)+'LINEST VARS'!$B$64*($DH$104*$CX114)+'LINEST VARS'!$A$64*(0.5*$CX114)</f>
        <v>159.48649999999989</v>
      </c>
      <c r="DI114" s="55">
        <f>'LINEST VARS'!$U$64+'LINEST VARS'!$T$64*(8)+'LINEST VARS'!$S$64*(8)+'LINEST VARS'!$R$64*($DI$104)+'LINEST VARS'!$Q$64*(0.5)+'LINEST VARS'!$P$64*($CX114)+'LINEST VARS'!$O$64*(8^2)+'LINEST VARS'!$N$64*(8^2)+'LINEST VARS'!$M$64*($DI$104^2)+'LINEST VARS'!$L$64*(0.5^2)+'LINEST VARS'!$K$64*($CX114^2)+'LINEST VARS'!$J$64*(8*8)+'LINEST VARS'!$I$64*(8*$DI$104)+'LINEST VARS'!$H$64*(8*0.5)+'LINEST VARS'!$G$64*(8*$CX114)+'LINEST VARS'!$F$64*(8*$DI$104)+'LINEST VARS'!$E$64*(8*0.5)+'LINEST VARS'!$D$64*(8*$CX114)+'LINEST VARS'!$C$64*($DI$104*0.5)+'LINEST VARS'!$B$64*($DI$104*$CX114)+'LINEST VARS'!$A$64*(0.5*$CX114)</f>
        <v>161.08649999999989</v>
      </c>
      <c r="DJ114" s="55">
        <f>'LINEST VARS'!$U$64+'LINEST VARS'!$T$64*(8)+'LINEST VARS'!$S$64*(8)+'LINEST VARS'!$R$64*($DJ$104)+'LINEST VARS'!$Q$64*(0.5)+'LINEST VARS'!$P$64*($CX114)+'LINEST VARS'!$O$64*(8^2)+'LINEST VARS'!$N$64*(8^2)+'LINEST VARS'!$M$64*($DJ$104^2)+'LINEST VARS'!$L$64*(0.5^2)+'LINEST VARS'!$K$64*($CX114^2)+'LINEST VARS'!$J$64*(8*8)+'LINEST VARS'!$I$64*(8*$DJ$104)+'LINEST VARS'!$H$64*(8*0.5)+'LINEST VARS'!$G$64*(8*$CX114)+'LINEST VARS'!$F$64*(8*$DJ$104)+'LINEST VARS'!$E$64*(8*0.5)+'LINEST VARS'!$D$64*(8*$CX114)+'LINEST VARS'!$C$64*($DJ$104*0.5)+'LINEST VARS'!$B$64*($DJ$104*$CX114)+'LINEST VARS'!$A$64*(0.5*$CX114)</f>
        <v>162.68649999999991</v>
      </c>
      <c r="DK114" s="55">
        <f>'LINEST VARS'!$U$64+'LINEST VARS'!$T$64*(8)+'LINEST VARS'!$S$64*(8)+'LINEST VARS'!$R$64*($DK$104)+'LINEST VARS'!$Q$64*(0.5)+'LINEST VARS'!$P$64*($CX114)+'LINEST VARS'!$O$64*(8^2)+'LINEST VARS'!$N$64*(8^2)+'LINEST VARS'!$M$64*($DK$104^2)+'LINEST VARS'!$L$64*(0.5^2)+'LINEST VARS'!$K$64*($CX114^2)+'LINEST VARS'!$J$64*(8*8)+'LINEST VARS'!$I$64*(8*$DK$104)+'LINEST VARS'!$H$64*(8*0.5)+'LINEST VARS'!$G$64*(8*$CX114)+'LINEST VARS'!$F$64*(8*$DK$104)+'LINEST VARS'!$E$64*(8*0.5)+'LINEST VARS'!$D$64*(8*$CX114)+'LINEST VARS'!$C$64*($DK$104*0.5)+'LINEST VARS'!$B$64*($DK$104*$CX114)+'LINEST VARS'!$A$64*(0.5*$CX114)</f>
        <v>164.28649999999988</v>
      </c>
      <c r="DL114" s="55">
        <f>'LINEST VARS'!$U$64+'LINEST VARS'!$T$64*(8)+'LINEST VARS'!$S$64*(8)+'LINEST VARS'!$R$64*($DL$104)+'LINEST VARS'!$Q$64*(0.5)+'LINEST VARS'!$P$64*($CX114)+'LINEST VARS'!$O$64*(8^2)+'LINEST VARS'!$N$64*(8^2)+'LINEST VARS'!$M$64*($DL$104^2)+'LINEST VARS'!$L$64*(0.5^2)+'LINEST VARS'!$K$64*($CX114^2)+'LINEST VARS'!$J$64*(8*8)+'LINEST VARS'!$I$64*(8*$DL$104)+'LINEST VARS'!$H$64*(8*0.5)+'LINEST VARS'!$G$64*(8*$CX114)+'LINEST VARS'!$F$64*(8*$DL$104)+'LINEST VARS'!$E$64*(8*0.5)+'LINEST VARS'!$D$64*(8*$CX114)+'LINEST VARS'!$C$64*($DL$104*0.5)+'LINEST VARS'!$B$64*($DL$104*$CX114)+'LINEST VARS'!$A$64*(0.5*$CX114)</f>
        <v>165.8864999999999</v>
      </c>
      <c r="DM114" s="55">
        <f>'LINEST VARS'!$U$64+'LINEST VARS'!$T$64*(8)+'LINEST VARS'!$S$64*(8)+'LINEST VARS'!$R$64*($DM$104)+'LINEST VARS'!$Q$64*(0.5)+'LINEST VARS'!$P$64*($CX114)+'LINEST VARS'!$O$64*(8^2)+'LINEST VARS'!$N$64*(8^2)+'LINEST VARS'!$M$64*($DM$104^2)+'LINEST VARS'!$L$64*(0.5^2)+'LINEST VARS'!$K$64*($CX114^2)+'LINEST VARS'!$J$64*(8*8)+'LINEST VARS'!$I$64*(8*$DM$104)+'LINEST VARS'!$H$64*(8*0.5)+'LINEST VARS'!$G$64*(8*$CX114)+'LINEST VARS'!$F$64*(8*$DM$104)+'LINEST VARS'!$E$64*(8*0.5)+'LINEST VARS'!$D$64*(8*$CX114)+'LINEST VARS'!$C$64*($DM$104*0.5)+'LINEST VARS'!$B$64*($DM$104*$CX114)+'LINEST VARS'!$A$64*(0.5*$CX114)</f>
        <v>167.48649999999984</v>
      </c>
      <c r="DN114" s="55">
        <f>'LINEST VARS'!$U$64+'LINEST VARS'!$T$64*(8)+'LINEST VARS'!$S$64*(8)+'LINEST VARS'!$R$64*($DN$104)+'LINEST VARS'!$Q$64*(0.5)+'LINEST VARS'!$P$64*($CX114)+'LINEST VARS'!$O$64*(8^2)+'LINEST VARS'!$N$64*(8^2)+'LINEST VARS'!$M$64*($DN$104^2)+'LINEST VARS'!$L$64*(0.5^2)+'LINEST VARS'!$K$64*($CX114^2)+'LINEST VARS'!$J$64*(8*8)+'LINEST VARS'!$I$64*(8*$DN$104)+'LINEST VARS'!$H$64*(8*0.5)+'LINEST VARS'!$G$64*(8*$CX114)+'LINEST VARS'!$F$64*(8*$DN$104)+'LINEST VARS'!$E$64*(8*0.5)+'LINEST VARS'!$D$64*(8*$CX114)+'LINEST VARS'!$C$64*($DN$104*0.5)+'LINEST VARS'!$B$64*($DN$104*$CX114)+'LINEST VARS'!$A$64*(0.5*$CX114)</f>
        <v>169.08649999999986</v>
      </c>
      <c r="DO114" s="55">
        <f>'LINEST VARS'!$U$64+'LINEST VARS'!$T$64*(8)+'LINEST VARS'!$S$64*(8)+'LINEST VARS'!$R$64*($DO$104)+'LINEST VARS'!$Q$64*(0.5)+'LINEST VARS'!$P$64*($CX114)+'LINEST VARS'!$O$64*(8^2)+'LINEST VARS'!$N$64*(8^2)+'LINEST VARS'!$M$64*($DO$104^2)+'LINEST VARS'!$L$64*(0.5^2)+'LINEST VARS'!$K$64*($CX114^2)+'LINEST VARS'!$J$64*(8*8)+'LINEST VARS'!$I$64*(8*$DO$104)+'LINEST VARS'!$H$64*(8*0.5)+'LINEST VARS'!$G$64*(8*$CX114)+'LINEST VARS'!$F$64*(8*$DO$104)+'LINEST VARS'!$E$64*(8*0.5)+'LINEST VARS'!$D$64*(8*$CX114)+'LINEST VARS'!$C$64*($DO$104*0.5)+'LINEST VARS'!$B$64*($DO$104*$CX114)+'LINEST VARS'!$A$64*(0.5*$CX114)</f>
        <v>170.68649999999988</v>
      </c>
      <c r="DP114" s="55">
        <f>'LINEST VARS'!$U$64+'LINEST VARS'!$T$64*(8)+'LINEST VARS'!$S$64*(8)+'LINEST VARS'!$R$64*($DP$104)+'LINEST VARS'!$Q$64*(0.5)+'LINEST VARS'!$P$64*($CX114)+'LINEST VARS'!$O$64*(8^2)+'LINEST VARS'!$N$64*(8^2)+'LINEST VARS'!$M$64*($DP$104^2)+'LINEST VARS'!$L$64*(0.5^2)+'LINEST VARS'!$K$64*($CX114^2)+'LINEST VARS'!$J$64*(8*8)+'LINEST VARS'!$I$64*(8*$DP$104)+'LINEST VARS'!$H$64*(8*0.5)+'LINEST VARS'!$G$64*(8*$CX114)+'LINEST VARS'!$F$64*(8*$DP$104)+'LINEST VARS'!$E$64*(8*0.5)+'LINEST VARS'!$D$64*(8*$CX114)+'LINEST VARS'!$C$64*($DP$104*0.5)+'LINEST VARS'!$B$64*($DP$104*$CX114)+'LINEST VARS'!$A$64*(0.5*$CX114)</f>
        <v>172.28649999999985</v>
      </c>
      <c r="DQ114" s="55">
        <f>'LINEST VARS'!$U$64+'LINEST VARS'!$T$64*(8)+'LINEST VARS'!$S$64*(8)+'LINEST VARS'!$R$64*($DQ$104)+'LINEST VARS'!$Q$64*(0.5)+'LINEST VARS'!$P$64*($CX114)+'LINEST VARS'!$O$64*(8^2)+'LINEST VARS'!$N$64*(8^2)+'LINEST VARS'!$M$64*($DQ$104^2)+'LINEST VARS'!$L$64*(0.5^2)+'LINEST VARS'!$K$64*($CX114^2)+'LINEST VARS'!$J$64*(8*8)+'LINEST VARS'!$I$64*(8*$DQ$104)+'LINEST VARS'!$H$64*(8*0.5)+'LINEST VARS'!$G$64*(8*$CX114)+'LINEST VARS'!$F$64*(8*$DQ$104)+'LINEST VARS'!$E$64*(8*0.5)+'LINEST VARS'!$D$64*(8*$CX114)+'LINEST VARS'!$C$64*($DQ$104*0.5)+'LINEST VARS'!$B$64*($DQ$104*$CX114)+'LINEST VARS'!$A$64*(0.5*$CX114)</f>
        <v>173.88649999999987</v>
      </c>
      <c r="DR114" s="55">
        <f>'LINEST VARS'!$U$64+'LINEST VARS'!$T$64*(8)+'LINEST VARS'!$S$64*(8)+'LINEST VARS'!$R$64*($DR$104)+'LINEST VARS'!$Q$64*(0.5)+'LINEST VARS'!$P$64*($CX114)+'LINEST VARS'!$O$64*(8^2)+'LINEST VARS'!$N$64*(8^2)+'LINEST VARS'!$M$64*($DR$104^2)+'LINEST VARS'!$L$64*(0.5^2)+'LINEST VARS'!$K$64*($CX114^2)+'LINEST VARS'!$J$64*(8*8)+'LINEST VARS'!$I$64*(8*$DR$104)+'LINEST VARS'!$H$64*(8*0.5)+'LINEST VARS'!$G$64*(8*$CX114)+'LINEST VARS'!$F$64*(8*$DR$104)+'LINEST VARS'!$E$64*(8*0.5)+'LINEST VARS'!$D$64*(8*$CX114)+'LINEST VARS'!$C$64*($DR$104*0.5)+'LINEST VARS'!$B$64*($DR$104*$CX114)+'LINEST VARS'!$A$64*(0.5*$CX114)</f>
        <v>175.48649999999984</v>
      </c>
      <c r="DS114" s="56">
        <f>'LINEST VARS'!$U$64+'LINEST VARS'!$T$64*(8)+'LINEST VARS'!$S$64*(8)+'LINEST VARS'!$R$64*($DS$104)+'LINEST VARS'!$Q$64*(0.5)+'LINEST VARS'!$P$64*($CX114)+'LINEST VARS'!$O$64*(8^2)+'LINEST VARS'!$N$64*(8^2)+'LINEST VARS'!$M$64*($DS$104^2)+'LINEST VARS'!$L$64*(0.5^2)+'LINEST VARS'!$K$64*($CX114^2)+'LINEST VARS'!$J$64*(8*8)+'LINEST VARS'!$I$64*(8*$DS$104)+'LINEST VARS'!$H$64*(8*0.5)+'LINEST VARS'!$G$64*(8*$CX114)+'LINEST VARS'!$F$64*(8*$DS$104)+'LINEST VARS'!$E$64*(8*0.5)+'LINEST VARS'!$D$64*(8*$CX114)+'LINEST VARS'!$C$64*($DS$104*0.5)+'LINEST VARS'!$B$64*($DS$104*$CX114)+'LINEST VARS'!$A$64*(0.5*$CX114)</f>
        <v>177.08649999999986</v>
      </c>
      <c r="DV114" s="45">
        <v>11.695499999999999</v>
      </c>
      <c r="DW114" s="46">
        <f>'LINEST VARS'!$U$66+'LINEST VARS'!$T$66*(8)+'LINEST VARS'!$S$66*(8)+'LINEST VARS'!$R$66*($DW$104)+'LINEST VARS'!$Q$66*(0.5)+'LINEST VARS'!$P$66*($DV114)+'LINEST VARS'!$O$66*(8^2)+'LINEST VARS'!$N$66*(8^2)+'LINEST VARS'!$M$66*($DW$104^2)+'LINEST VARS'!$L$66*(0.5^2)+'LINEST VARS'!$K$66*($DV114^2)+'LINEST VARS'!$J$66*(8*8)+'LINEST VARS'!$I$66*(8*$DW$104)+'LINEST VARS'!$H$66*(8*0.5)+'LINEST VARS'!$G$66*(8*$DV114)+'LINEST VARS'!$F$66*(8*$DW$104)+'LINEST VARS'!$E$66*(8*0.5)+'LINEST VARS'!$D$66*(8*$DV114)+'LINEST VARS'!$C$66*($DW$104*0.5)+'LINEST VARS'!$B$66*($DW$104*$DV114)+'LINEST VARS'!$A$66*(0.5*$DV114)</f>
        <v>144.00000000000006</v>
      </c>
      <c r="DX114" s="46">
        <f>'LINEST VARS'!$U$66+'LINEST VARS'!$T$66*(8)+'LINEST VARS'!$S$66*(8)+'LINEST VARS'!$R$66*($DX$104)+'LINEST VARS'!$Q$66*(0.5)+'LINEST VARS'!$P$66*($DV114)+'LINEST VARS'!$O$66*(8^2)+'LINEST VARS'!$N$66*(8^2)+'LINEST VARS'!$M$66*($DX$104^2)+'LINEST VARS'!$L$66*(0.5^2)+'LINEST VARS'!$K$66*($DV114^2)+'LINEST VARS'!$J$66*(8*8)+'LINEST VARS'!$I$66*(8*$DX$104)+'LINEST VARS'!$H$66*(8*0.5)+'LINEST VARS'!$G$66*(8*$DV114)+'LINEST VARS'!$F$66*(8*$DX$104)+'LINEST VARS'!$E$66*(8*0.5)+'LINEST VARS'!$D$66*(8*$DV114)+'LINEST VARS'!$C$66*($DX$104*0.5)+'LINEST VARS'!$B$66*($DX$104*$DV114)+'LINEST VARS'!$A$66*(0.5*$DV114)</f>
        <v>143.20000000000005</v>
      </c>
      <c r="DY114" s="46">
        <f>'LINEST VARS'!$U$66+'LINEST VARS'!$T$66*(8)+'LINEST VARS'!$S$66*(8)+'LINEST VARS'!$R$66*($DY$104)+'LINEST VARS'!$Q$66*(0.5)+'LINEST VARS'!$P$66*($DV114)+'LINEST VARS'!$O$66*(8^2)+'LINEST VARS'!$N$66*(8^2)+'LINEST VARS'!$M$66*($DY$104^2)+'LINEST VARS'!$L$66*(0.5^2)+'LINEST VARS'!$K$66*($DV114^2)+'LINEST VARS'!$J$66*(8*8)+'LINEST VARS'!$I$66*(8*$DY$104)+'LINEST VARS'!$H$66*(8*0.5)+'LINEST VARS'!$G$66*(8*$DV114)+'LINEST VARS'!$F$66*(8*$DY$104)+'LINEST VARS'!$E$66*(8*0.5)+'LINEST VARS'!$D$66*(8*$DV114)+'LINEST VARS'!$C$66*($DY$104*0.5)+'LINEST VARS'!$B$66*($DY$104*$DV114)+'LINEST VARS'!$A$66*(0.5*$DV114)</f>
        <v>142.40000000000003</v>
      </c>
      <c r="DZ114" s="46">
        <f>'LINEST VARS'!$U$66+'LINEST VARS'!$T$66*(8)+'LINEST VARS'!$S$66*(8)+'LINEST VARS'!$R$66*($DZ$104)+'LINEST VARS'!$Q$66*(0.5)+'LINEST VARS'!$P$66*($DV114)+'LINEST VARS'!$O$66*(8^2)+'LINEST VARS'!$N$66*(8^2)+'LINEST VARS'!$M$66*($DZ$104^2)+'LINEST VARS'!$L$66*(0.5^2)+'LINEST VARS'!$K$66*($DV114^2)+'LINEST VARS'!$J$66*(8*8)+'LINEST VARS'!$I$66*(8*$DZ$104)+'LINEST VARS'!$H$66*(8*0.5)+'LINEST VARS'!$G$66*(8*$DV114)+'LINEST VARS'!$F$66*(8*$DZ$104)+'LINEST VARS'!$E$66*(8*0.5)+'LINEST VARS'!$D$66*(8*$DV114)+'LINEST VARS'!$C$66*($DZ$104*0.5)+'LINEST VARS'!$B$66*($DZ$104*$DV114)+'LINEST VARS'!$A$66*(0.5*$DV114)</f>
        <v>141.60000000000008</v>
      </c>
      <c r="EA114" s="46">
        <f>'LINEST VARS'!$U$66+'LINEST VARS'!$T$66*(8)+'LINEST VARS'!$S$66*(8)+'LINEST VARS'!$R$66*($EA$104)+'LINEST VARS'!$Q$66*(0.5)+'LINEST VARS'!$P$66*($DV114)+'LINEST VARS'!$O$66*(8^2)+'LINEST VARS'!$N$66*(8^2)+'LINEST VARS'!$M$66*($EA$104^2)+'LINEST VARS'!$L$66*(0.5^2)+'LINEST VARS'!$K$66*($DV114^2)+'LINEST VARS'!$J$66*(8*8)+'LINEST VARS'!$I$66*(8*$EA$104)+'LINEST VARS'!$H$66*(8*0.5)+'LINEST VARS'!$G$66*(8*$DV114)+'LINEST VARS'!$F$66*(8*$EA$104)+'LINEST VARS'!$E$66*(8*0.5)+'LINEST VARS'!$D$66*(8*$DV114)+'LINEST VARS'!$C$66*($EA$104*0.5)+'LINEST VARS'!$B$66*($EA$104*$DV114)+'LINEST VARS'!$A$66*(0.5*$DV114)</f>
        <v>140.80000000000007</v>
      </c>
      <c r="EB114" s="46">
        <f>'LINEST VARS'!$U$66+'LINEST VARS'!$T$66*(8)+'LINEST VARS'!$S$66*(8)+'LINEST VARS'!$R$66*($EB$104)+'LINEST VARS'!$Q$66*(0.5)+'LINEST VARS'!$P$66*($DV114)+'LINEST VARS'!$O$66*(8^2)+'LINEST VARS'!$N$66*(8^2)+'LINEST VARS'!$M$66*($EB$104^2)+'LINEST VARS'!$L$66*(0.5^2)+'LINEST VARS'!$K$66*($DV114^2)+'LINEST VARS'!$J$66*(8*8)+'LINEST VARS'!$I$66*(8*$EB$104)+'LINEST VARS'!$H$66*(8*0.5)+'LINEST VARS'!$G$66*(8*$DV114)+'LINEST VARS'!$F$66*(8*$EB$104)+'LINEST VARS'!$E$66*(8*0.5)+'LINEST VARS'!$D$66*(8*$DV114)+'LINEST VARS'!$C$66*($EB$104*0.5)+'LINEST VARS'!$B$66*($EB$104*$DV114)+'LINEST VARS'!$A$66*(0.5*$DV114)</f>
        <v>140.00000000000006</v>
      </c>
      <c r="EC114" s="46">
        <f>'LINEST VARS'!$U$66+'LINEST VARS'!$T$66*(8)+'LINEST VARS'!$S$66*(8)+'LINEST VARS'!$R$66*($EC$104)+'LINEST VARS'!$Q$66*(0.5)+'LINEST VARS'!$P$66*($DV114)+'LINEST VARS'!$O$66*(8^2)+'LINEST VARS'!$N$66*(8^2)+'LINEST VARS'!$M$66*($EC$104^2)+'LINEST VARS'!$L$66*(0.5^2)+'LINEST VARS'!$K$66*($DV114^2)+'LINEST VARS'!$J$66*(8*8)+'LINEST VARS'!$I$66*(8*$EC$104)+'LINEST VARS'!$H$66*(8*0.5)+'LINEST VARS'!$G$66*(8*$DV114)+'LINEST VARS'!$F$66*(8*$EC$104)+'LINEST VARS'!$E$66*(8*0.5)+'LINEST VARS'!$D$66*(8*$DV114)+'LINEST VARS'!$C$66*($EC$104*0.5)+'LINEST VARS'!$B$66*($EC$104*$DV114)+'LINEST VARS'!$A$66*(0.5*$DV114)</f>
        <v>139.20000000000005</v>
      </c>
      <c r="ED114" s="46">
        <f>'LINEST VARS'!$U$66+'LINEST VARS'!$T$66*(8)+'LINEST VARS'!$S$66*(8)+'LINEST VARS'!$R$66*($ED$104)+'LINEST VARS'!$Q$66*(0.5)+'LINEST VARS'!$P$66*($DV114)+'LINEST VARS'!$O$66*(8^2)+'LINEST VARS'!$N$66*(8^2)+'LINEST VARS'!$M$66*($ED$104^2)+'LINEST VARS'!$L$66*(0.5^2)+'LINEST VARS'!$K$66*($DV114^2)+'LINEST VARS'!$J$66*(8*8)+'LINEST VARS'!$I$66*(8*$ED$104)+'LINEST VARS'!$H$66*(8*0.5)+'LINEST VARS'!$G$66*(8*$DV114)+'LINEST VARS'!$F$66*(8*$ED$104)+'LINEST VARS'!$E$66*(8*0.5)+'LINEST VARS'!$D$66*(8*$DV114)+'LINEST VARS'!$C$66*($ED$104*0.5)+'LINEST VARS'!$B$66*($ED$104*$DV114)+'LINEST VARS'!$A$66*(0.5*$DV114)</f>
        <v>138.40000000000009</v>
      </c>
      <c r="EE114" s="46">
        <f>'LINEST VARS'!$U$66+'LINEST VARS'!$T$66*(8)+'LINEST VARS'!$S$66*(8)+'LINEST VARS'!$R$66*($EE$104)+'LINEST VARS'!$Q$66*(0.5)+'LINEST VARS'!$P$66*($DV114)+'LINEST VARS'!$O$66*(8^2)+'LINEST VARS'!$N$66*(8^2)+'LINEST VARS'!$M$66*($EE$104^2)+'LINEST VARS'!$L$66*(0.5^2)+'LINEST VARS'!$K$66*($DV114^2)+'LINEST VARS'!$J$66*(8*8)+'LINEST VARS'!$I$66*(8*$EE$104)+'LINEST VARS'!$H$66*(8*0.5)+'LINEST VARS'!$G$66*(8*$DV114)+'LINEST VARS'!$F$66*(8*$EE$104)+'LINEST VARS'!$E$66*(8*0.5)+'LINEST VARS'!$D$66*(8*$DV114)+'LINEST VARS'!$C$66*($EE$104*0.5)+'LINEST VARS'!$B$66*($EE$104*$DV114)+'LINEST VARS'!$A$66*(0.5*$DV114)</f>
        <v>137.60000000000008</v>
      </c>
      <c r="EF114" s="46">
        <f>'LINEST VARS'!$U$66+'LINEST VARS'!$T$66*(8)+'LINEST VARS'!$S$66*(8)+'LINEST VARS'!$R$66*($EF$104)+'LINEST VARS'!$Q$66*(0.5)+'LINEST VARS'!$P$66*($DV114)+'LINEST VARS'!$O$66*(8^2)+'LINEST VARS'!$N$66*(8^2)+'LINEST VARS'!$M$66*($EF$104^2)+'LINEST VARS'!$L$66*(0.5^2)+'LINEST VARS'!$K$66*($DV114^2)+'LINEST VARS'!$J$66*(8*8)+'LINEST VARS'!$I$66*(8*$EF$104)+'LINEST VARS'!$H$66*(8*0.5)+'LINEST VARS'!$G$66*(8*$DV114)+'LINEST VARS'!$F$66*(8*$EF$104)+'LINEST VARS'!$E$66*(8*0.5)+'LINEST VARS'!$D$66*(8*$DV114)+'LINEST VARS'!$C$66*($EF$104*0.5)+'LINEST VARS'!$B$66*($EF$104*$DV114)+'LINEST VARS'!$A$66*(0.5*$DV114)</f>
        <v>136.80000000000007</v>
      </c>
      <c r="EG114" s="46">
        <f>'LINEST VARS'!$U$66+'LINEST VARS'!$T$66*(8)+'LINEST VARS'!$S$66*(8)+'LINEST VARS'!$R$66*($EG$104)+'LINEST VARS'!$Q$66*(0.5)+'LINEST VARS'!$P$66*($DV114)+'LINEST VARS'!$O$66*(8^2)+'LINEST VARS'!$N$66*(8^2)+'LINEST VARS'!$M$66*($EG$104^2)+'LINEST VARS'!$L$66*(0.5^2)+'LINEST VARS'!$K$66*($DV114^2)+'LINEST VARS'!$J$66*(8*8)+'LINEST VARS'!$I$66*(8*$EG$104)+'LINEST VARS'!$H$66*(8*0.5)+'LINEST VARS'!$G$66*(8*$DV114)+'LINEST VARS'!$F$66*(8*$EG$104)+'LINEST VARS'!$E$66*(8*0.5)+'LINEST VARS'!$D$66*(8*$DV114)+'LINEST VARS'!$C$66*($EG$104*0.5)+'LINEST VARS'!$B$66*($EG$104*$DV114)+'LINEST VARS'!$A$66*(0.5*$DV114)</f>
        <v>136.00000000000006</v>
      </c>
      <c r="EH114" s="46">
        <f>'LINEST VARS'!$U$66+'LINEST VARS'!$T$66*(8)+'LINEST VARS'!$S$66*(8)+'LINEST VARS'!$R$66*($EH$104)+'LINEST VARS'!$Q$66*(0.5)+'LINEST VARS'!$P$66*($DV114)+'LINEST VARS'!$O$66*(8^2)+'LINEST VARS'!$N$66*(8^2)+'LINEST VARS'!$M$66*($EH$104^2)+'LINEST VARS'!$L$66*(0.5^2)+'LINEST VARS'!$K$66*($DV114^2)+'LINEST VARS'!$J$66*(8*8)+'LINEST VARS'!$I$66*(8*$EH$104)+'LINEST VARS'!$H$66*(8*0.5)+'LINEST VARS'!$G$66*(8*$DV114)+'LINEST VARS'!$F$66*(8*$EH$104)+'LINEST VARS'!$E$66*(8*0.5)+'LINEST VARS'!$D$66*(8*$DV114)+'LINEST VARS'!$C$66*($EH$104*0.5)+'LINEST VARS'!$B$66*($EH$104*$DV114)+'LINEST VARS'!$A$66*(0.5*$DV114)</f>
        <v>135.20000000000002</v>
      </c>
      <c r="EI114" s="46">
        <f>'LINEST VARS'!$U$66+'LINEST VARS'!$T$66*(8)+'LINEST VARS'!$S$66*(8)+'LINEST VARS'!$R$66*($EI$104)+'LINEST VARS'!$Q$66*(0.5)+'LINEST VARS'!$P$66*($DV114)+'LINEST VARS'!$O$66*(8^2)+'LINEST VARS'!$N$66*(8^2)+'LINEST VARS'!$M$66*($EI$104^2)+'LINEST VARS'!$L$66*(0.5^2)+'LINEST VARS'!$K$66*($DV114^2)+'LINEST VARS'!$J$66*(8*8)+'LINEST VARS'!$I$66*(8*$EI$104)+'LINEST VARS'!$H$66*(8*0.5)+'LINEST VARS'!$G$66*(8*$DV114)+'LINEST VARS'!$F$66*(8*$EI$104)+'LINEST VARS'!$E$66*(8*0.5)+'LINEST VARS'!$D$66*(8*$DV114)+'LINEST VARS'!$C$66*($EI$104*0.5)+'LINEST VARS'!$B$66*($EI$104*$DV114)+'LINEST VARS'!$A$66*(0.5*$DV114)</f>
        <v>134.4</v>
      </c>
      <c r="EJ114" s="46">
        <f>'LINEST VARS'!$U$66+'LINEST VARS'!$T$66*(8)+'LINEST VARS'!$S$66*(8)+'LINEST VARS'!$R$66*($EJ$104)+'LINEST VARS'!$Q$66*(0.5)+'LINEST VARS'!$P$66*($DV114)+'LINEST VARS'!$O$66*(8^2)+'LINEST VARS'!$N$66*(8^2)+'LINEST VARS'!$M$66*($EJ$104^2)+'LINEST VARS'!$L$66*(0.5^2)+'LINEST VARS'!$K$66*($DV114^2)+'LINEST VARS'!$J$66*(8*8)+'LINEST VARS'!$I$66*(8*$EJ$104)+'LINEST VARS'!$H$66*(8*0.5)+'LINEST VARS'!$G$66*(8*$DV114)+'LINEST VARS'!$F$66*(8*$EJ$104)+'LINEST VARS'!$E$66*(8*0.5)+'LINEST VARS'!$D$66*(8*$DV114)+'LINEST VARS'!$C$66*($EJ$104*0.5)+'LINEST VARS'!$B$66*($EJ$104*$DV114)+'LINEST VARS'!$A$66*(0.5*$DV114)</f>
        <v>133.60000000000005</v>
      </c>
      <c r="EK114" s="46">
        <f>'LINEST VARS'!$U$66+'LINEST VARS'!$T$66*(8)+'LINEST VARS'!$S$66*(8)+'LINEST VARS'!$R$66*($EK$104)+'LINEST VARS'!$Q$66*(0.5)+'LINEST VARS'!$P$66*($DV114)+'LINEST VARS'!$O$66*(8^2)+'LINEST VARS'!$N$66*(8^2)+'LINEST VARS'!$M$66*($EK$104^2)+'LINEST VARS'!$L$66*(0.5^2)+'LINEST VARS'!$K$66*($DV114^2)+'LINEST VARS'!$J$66*(8*8)+'LINEST VARS'!$I$66*(8*$EK$104)+'LINEST VARS'!$H$66*(8*0.5)+'LINEST VARS'!$G$66*(8*$DV114)+'LINEST VARS'!$F$66*(8*$EK$104)+'LINEST VARS'!$E$66*(8*0.5)+'LINEST VARS'!$D$66*(8*$DV114)+'LINEST VARS'!$C$66*($EK$104*0.5)+'LINEST VARS'!$B$66*($EK$104*$DV114)+'LINEST VARS'!$A$66*(0.5*$DV114)</f>
        <v>132.80000000000004</v>
      </c>
      <c r="EL114" s="46">
        <f>'LINEST VARS'!$U$66+'LINEST VARS'!$T$66*(8)+'LINEST VARS'!$S$66*(8)+'LINEST VARS'!$R$66*($EL$104)+'LINEST VARS'!$Q$66*(0.5)+'LINEST VARS'!$P$66*($DV114)+'LINEST VARS'!$O$66*(8^2)+'LINEST VARS'!$N$66*(8^2)+'LINEST VARS'!$M$66*($EL$104^2)+'LINEST VARS'!$L$66*(0.5^2)+'LINEST VARS'!$K$66*($DV114^2)+'LINEST VARS'!$J$66*(8*8)+'LINEST VARS'!$I$66*(8*$EL$104)+'LINEST VARS'!$H$66*(8*0.5)+'LINEST VARS'!$G$66*(8*$DV114)+'LINEST VARS'!$F$66*(8*$EL$104)+'LINEST VARS'!$E$66*(8*0.5)+'LINEST VARS'!$D$66*(8*$DV114)+'LINEST VARS'!$C$66*($EL$104*0.5)+'LINEST VARS'!$B$66*($EL$104*$DV114)+'LINEST VARS'!$A$66*(0.5*$DV114)</f>
        <v>132.00000000000003</v>
      </c>
      <c r="EM114" s="46">
        <f>'LINEST VARS'!$U$66+'LINEST VARS'!$T$66*(8)+'LINEST VARS'!$S$66*(8)+'LINEST VARS'!$R$66*($EM$104)+'LINEST VARS'!$Q$66*(0.5)+'LINEST VARS'!$P$66*($DV114)+'LINEST VARS'!$O$66*(8^2)+'LINEST VARS'!$N$66*(8^2)+'LINEST VARS'!$M$66*($EM$104^2)+'LINEST VARS'!$L$66*(0.5^2)+'LINEST VARS'!$K$66*($DV114^2)+'LINEST VARS'!$J$66*(8*8)+'LINEST VARS'!$I$66*(8*$EM$104)+'LINEST VARS'!$H$66*(8*0.5)+'LINEST VARS'!$G$66*(8*$DV114)+'LINEST VARS'!$F$66*(8*$EM$104)+'LINEST VARS'!$E$66*(8*0.5)+'LINEST VARS'!$D$66*(8*$DV114)+'LINEST VARS'!$C$66*($EM$104*0.5)+'LINEST VARS'!$B$66*($EM$104*$DV114)+'LINEST VARS'!$A$66*(0.5*$DV114)</f>
        <v>131.20000000000002</v>
      </c>
      <c r="EN114" s="46">
        <f>'LINEST VARS'!$U$66+'LINEST VARS'!$T$66*(8)+'LINEST VARS'!$S$66*(8)+'LINEST VARS'!$R$66*($EN$104)+'LINEST VARS'!$Q$66*(0.5)+'LINEST VARS'!$P$66*($DV114)+'LINEST VARS'!$O$66*(8^2)+'LINEST VARS'!$N$66*(8^2)+'LINEST VARS'!$M$66*($EN$104^2)+'LINEST VARS'!$L$66*(0.5^2)+'LINEST VARS'!$K$66*($DV114^2)+'LINEST VARS'!$J$66*(8*8)+'LINEST VARS'!$I$66*(8*$EN$104)+'LINEST VARS'!$H$66*(8*0.5)+'LINEST VARS'!$G$66*(8*$DV114)+'LINEST VARS'!$F$66*(8*$EN$104)+'LINEST VARS'!$E$66*(8*0.5)+'LINEST VARS'!$D$66*(8*$DV114)+'LINEST VARS'!$C$66*($EN$104*0.5)+'LINEST VARS'!$B$66*($EN$104*$DV114)+'LINEST VARS'!$A$66*(0.5*$DV114)</f>
        <v>130.40000000000006</v>
      </c>
      <c r="EO114" s="46">
        <f>'LINEST VARS'!$U$66+'LINEST VARS'!$T$66*(8)+'LINEST VARS'!$S$66*(8)+'LINEST VARS'!$R$66*($EO$104)+'LINEST VARS'!$Q$66*(0.5)+'LINEST VARS'!$P$66*($DV114)+'LINEST VARS'!$O$66*(8^2)+'LINEST VARS'!$N$66*(8^2)+'LINEST VARS'!$M$66*($EO$104^2)+'LINEST VARS'!$L$66*(0.5^2)+'LINEST VARS'!$K$66*($DV114^2)+'LINEST VARS'!$J$66*(8*8)+'LINEST VARS'!$I$66*(8*$EO$104)+'LINEST VARS'!$H$66*(8*0.5)+'LINEST VARS'!$G$66*(8*$DV114)+'LINEST VARS'!$F$66*(8*$EO$104)+'LINEST VARS'!$E$66*(8*0.5)+'LINEST VARS'!$D$66*(8*$DV114)+'LINEST VARS'!$C$66*($EO$104*0.5)+'LINEST VARS'!$B$66*($EO$104*$DV114)+'LINEST VARS'!$A$66*(0.5*$DV114)</f>
        <v>129.60000000000005</v>
      </c>
      <c r="EP114" s="46">
        <f>'LINEST VARS'!$U$66+'LINEST VARS'!$T$66*(8)+'LINEST VARS'!$S$66*(8)+'LINEST VARS'!$R$66*($EP$104)+'LINEST VARS'!$Q$66*(0.5)+'LINEST VARS'!$P$66*($DV114)+'LINEST VARS'!$O$66*(8^2)+'LINEST VARS'!$N$66*(8^2)+'LINEST VARS'!$M$66*($EP$104^2)+'LINEST VARS'!$L$66*(0.5^2)+'LINEST VARS'!$K$66*($DV114^2)+'LINEST VARS'!$J$66*(8*8)+'LINEST VARS'!$I$66*(8*$EP$104)+'LINEST VARS'!$H$66*(8*0.5)+'LINEST VARS'!$G$66*(8*$DV114)+'LINEST VARS'!$F$66*(8*$EP$104)+'LINEST VARS'!$E$66*(8*0.5)+'LINEST VARS'!$D$66*(8*$DV114)+'LINEST VARS'!$C$66*($EP$104*0.5)+'LINEST VARS'!$B$66*($EP$104*$DV114)+'LINEST VARS'!$A$66*(0.5*$DV114)</f>
        <v>128.8000000000001</v>
      </c>
      <c r="EQ114" s="47">
        <f>'LINEST VARS'!$U$66+'LINEST VARS'!$T$66*(8)+'LINEST VARS'!$S$66*(8)+'LINEST VARS'!$R$66*($EQ$104)+'LINEST VARS'!$Q$66*(0.5)+'LINEST VARS'!$P$66*($DV114)+'LINEST VARS'!$O$66*(8^2)+'LINEST VARS'!$N$66*(8^2)+'LINEST VARS'!$M$66*($EQ$104^2)+'LINEST VARS'!$L$66*(0.5^2)+'LINEST VARS'!$K$66*($DV114^2)+'LINEST VARS'!$J$66*(8*8)+'LINEST VARS'!$I$66*(8*$EQ$104)+'LINEST VARS'!$H$66*(8*0.5)+'LINEST VARS'!$G$66*(8*$DV114)+'LINEST VARS'!$F$66*(8*$EQ$104)+'LINEST VARS'!$E$66*(8*0.5)+'LINEST VARS'!$D$66*(8*$DV114)+'LINEST VARS'!$C$66*($EQ$104*0.5)+'LINEST VARS'!$B$66*($EQ$104*$DV114)+'LINEST VARS'!$A$66*(0.5*$DV114)</f>
        <v>128.00000000000003</v>
      </c>
    </row>
    <row r="115" spans="2:147" ht="15" customHeight="1" x14ac:dyDescent="0.25">
      <c r="B115" s="45">
        <v>8</v>
      </c>
      <c r="C115" s="55">
        <f>'LINEST VARS'!$U$64+'LINEST VARS'!$T$64*($C$104)+'LINEST VARS'!$S$64*($B115)+'LINEST VARS'!$R$64*(4)+'LINEST VARS'!$Q$64*(0.5)+'LINEST VARS'!$P$64*(12.73)+'LINEST VARS'!$O$64*($C$104^2)+'LINEST VARS'!$N$64*($B115^2)+'LINEST VARS'!$M$64*(4^2)+'LINEST VARS'!$L$64*(0.5^2)+'LINEST VARS'!$K$64*(12.73^2)+'LINEST VARS'!$J$64*($C$104*$B115)+'LINEST VARS'!$I$64*($C$104*4)+'LINEST VARS'!$H$64*($C$104*0.5)+'LINEST VARS'!$G$64*($C$104*12.73)+'LINEST VARS'!$F$64*($B115*4)+'LINEST VARS'!$E$64*($B115*0.5)+'LINEST VARS'!$D$64*($B115*12.73)+'LINEST VARS'!$C$64*(4*0.5)+'LINEST VARS'!$B$64*(4*12.73)+'LINEST VARS'!$A$64*(0.5*12.73)</f>
        <v>164.18999999999986</v>
      </c>
      <c r="D115" s="55">
        <f>'LINEST VARS'!$U$64+'LINEST VARS'!$T$64*($D$104)+'LINEST VARS'!$S$64*($B115)+'LINEST VARS'!$R$64*(4)+'LINEST VARS'!$Q$64*(0.5)+'LINEST VARS'!$P$64*(12.73)+'LINEST VARS'!$O$64*($D$104^2)+'LINEST VARS'!$N$64*($B115^2)+'LINEST VARS'!$M$64*(4^2)+'LINEST VARS'!$L$64*(0.5^2)+'LINEST VARS'!$K$64*(12.73^2)+'LINEST VARS'!$J$64*($D$104*$B115)+'LINEST VARS'!$I$64*($D$104*4)+'LINEST VARS'!$H$64*($D$104*0.5)+'LINEST VARS'!$G$64*($D$104*12.73)+'LINEST VARS'!$F$64*($B115*4)+'LINEST VARS'!$E$64*($B115*0.5)+'LINEST VARS'!$D$64*($B115*12.73)+'LINEST VARS'!$C$64*(4*0.5)+'LINEST VARS'!$B$64*(4*12.73)+'LINEST VARS'!$A$64*(0.5*12.73)</f>
        <v>164.18999999999986</v>
      </c>
      <c r="E115" s="55">
        <f>'LINEST VARS'!$U$64+'LINEST VARS'!$T$64*($E$104)+'LINEST VARS'!$S$64*($B115)+'LINEST VARS'!$R$64*(4)+'LINEST VARS'!$Q$64*(0.5)+'LINEST VARS'!$P$64*(12.73)+'LINEST VARS'!$O$64*($E$104^2)+'LINEST VARS'!$N$64*($B115^2)+'LINEST VARS'!$M$64*(4^2)+'LINEST VARS'!$L$64*(0.5^2)+'LINEST VARS'!$K$64*(12.73^2)+'LINEST VARS'!$J$64*($E$104*$B115)+'LINEST VARS'!$I$64*($E$104*4)+'LINEST VARS'!$H$64*($E$104*0.5)+'LINEST VARS'!$G$64*($E$104*12.73)+'LINEST VARS'!$F$64*($B115*4)+'LINEST VARS'!$E$64*($B115*0.5)+'LINEST VARS'!$D$64*($B115*12.73)+'LINEST VARS'!$C$64*(4*0.5)+'LINEST VARS'!$B$64*(4*12.73)+'LINEST VARS'!$A$64*(0.5*12.73)</f>
        <v>164.18999999999986</v>
      </c>
      <c r="F115" s="55">
        <f>'LINEST VARS'!$U$64+'LINEST VARS'!$T$64*($F$104)+'LINEST VARS'!$S$64*($B115)+'LINEST VARS'!$R$64*(4)+'LINEST VARS'!$Q$64*(0.5)+'LINEST VARS'!$P$64*(12.73)+'LINEST VARS'!$O$64*($F$104^2)+'LINEST VARS'!$N$64*($B115^2)+'LINEST VARS'!$M$64*(4^2)+'LINEST VARS'!$L$64*(0.5^2)+'LINEST VARS'!$K$64*(12.73^2)+'LINEST VARS'!$J$64*($F$104*$B115)+'LINEST VARS'!$I$64*($F$104*4)+'LINEST VARS'!$H$64*($F$104*0.5)+'LINEST VARS'!$G$64*($F$104*12.73)+'LINEST VARS'!$F$64*($B115*4)+'LINEST VARS'!$E$64*($B115*0.5)+'LINEST VARS'!$D$64*($B115*12.73)+'LINEST VARS'!$C$64*(4*0.5)+'LINEST VARS'!$B$64*(4*12.73)+'LINEST VARS'!$A$64*(0.5*12.73)</f>
        <v>164.18999999999986</v>
      </c>
      <c r="G115" s="55">
        <f>'LINEST VARS'!$U$64+'LINEST VARS'!$T$64*($G$104)+'LINEST VARS'!$S$64*($B115)+'LINEST VARS'!$R$64*(4)+'LINEST VARS'!$Q$64*(0.5)+'LINEST VARS'!$P$64*(12.73)+'LINEST VARS'!$O$64*($G$104^2)+'LINEST VARS'!$N$64*($B115^2)+'LINEST VARS'!$M$64*(4^2)+'LINEST VARS'!$L$64*(0.5^2)+'LINEST VARS'!$K$64*(12.73^2)+'LINEST VARS'!$J$64*($G$104*$B115)+'LINEST VARS'!$I$64*($G$104*4)+'LINEST VARS'!$H$64*($G$104*0.5)+'LINEST VARS'!$G$64*($G$104*12.73)+'LINEST VARS'!$F$64*($B115*4)+'LINEST VARS'!$E$64*($B115*0.5)+'LINEST VARS'!$D$64*($B115*12.73)+'LINEST VARS'!$C$64*(4*0.5)+'LINEST VARS'!$B$64*(4*12.73)+'LINEST VARS'!$A$64*(0.5*12.73)</f>
        <v>164.18999999999988</v>
      </c>
      <c r="H115" s="55">
        <f>'LINEST VARS'!$U$64+'LINEST VARS'!$T$64*($H$104)+'LINEST VARS'!$S$64*($B115)+'LINEST VARS'!$R$64*(4)+'LINEST VARS'!$Q$64*(0.5)+'LINEST VARS'!$P$64*(12.73)+'LINEST VARS'!$O$64*($H$104^2)+'LINEST VARS'!$N$64*($B115^2)+'LINEST VARS'!$M$64*(4^2)+'LINEST VARS'!$L$64*(0.5^2)+'LINEST VARS'!$K$64*(12.73^2)+'LINEST VARS'!$J$64*($H$104*$B115)+'LINEST VARS'!$I$64*($H$104*4)+'LINEST VARS'!$H$64*($H$104*0.5)+'LINEST VARS'!$G$64*($H$104*12.73)+'LINEST VARS'!$F$64*($B115*4)+'LINEST VARS'!$E$64*($B115*0.5)+'LINEST VARS'!$D$64*($B115*12.73)+'LINEST VARS'!$C$64*(4*0.5)+'LINEST VARS'!$B$64*(4*12.73)+'LINEST VARS'!$A$64*(0.5*12.73)</f>
        <v>164.18999999999988</v>
      </c>
      <c r="I115" s="55">
        <f>'LINEST VARS'!$U$64+'LINEST VARS'!$T$64*($I$104)+'LINEST VARS'!$S$64*($B115)+'LINEST VARS'!$R$64*(4)+'LINEST VARS'!$Q$64*(0.5)+'LINEST VARS'!$P$64*(12.73)+'LINEST VARS'!$O$64*($I$104^2)+'LINEST VARS'!$N$64*($B115^2)+'LINEST VARS'!$M$64*(4^2)+'LINEST VARS'!$L$64*(0.5^2)+'LINEST VARS'!$K$64*(12.73^2)+'LINEST VARS'!$J$64*($I$104*$B115)+'LINEST VARS'!$I$64*($I$104*4)+'LINEST VARS'!$H$64*($I$104*0.5)+'LINEST VARS'!$G$64*($I$104*12.73)+'LINEST VARS'!$F$64*($B115*4)+'LINEST VARS'!$E$64*($B115*0.5)+'LINEST VARS'!$D$64*($B115*12.73)+'LINEST VARS'!$C$64*(4*0.5)+'LINEST VARS'!$B$64*(4*12.73)+'LINEST VARS'!$A$64*(0.5*12.73)</f>
        <v>164.18999999999988</v>
      </c>
      <c r="J115" s="55">
        <f>'LINEST VARS'!$U$64+'LINEST VARS'!$T$64*($J$104)+'LINEST VARS'!$S$64*($B115)+'LINEST VARS'!$R$64*(4)+'LINEST VARS'!$Q$64*(0.5)+'LINEST VARS'!$P$64*(12.73)+'LINEST VARS'!$O$64*($J$104^2)+'LINEST VARS'!$N$64*($B115^2)+'LINEST VARS'!$M$64*(4^2)+'LINEST VARS'!$L$64*(0.5^2)+'LINEST VARS'!$K$64*(12.73^2)+'LINEST VARS'!$J$64*($J$104*$B115)+'LINEST VARS'!$I$64*($J$104*4)+'LINEST VARS'!$H$64*($J$104*0.5)+'LINEST VARS'!$G$64*($J$104*12.73)+'LINEST VARS'!$F$64*($B115*4)+'LINEST VARS'!$E$64*($B115*0.5)+'LINEST VARS'!$D$64*($B115*12.73)+'LINEST VARS'!$C$64*(4*0.5)+'LINEST VARS'!$B$64*(4*12.73)+'LINEST VARS'!$A$64*(0.5*12.73)</f>
        <v>164.18999999999988</v>
      </c>
      <c r="K115" s="55">
        <f>'LINEST VARS'!$U$64+'LINEST VARS'!$T$64*($K$104)+'LINEST VARS'!$S$64*($B115)+'LINEST VARS'!$R$64*(4)+'LINEST VARS'!$Q$64*(0.5)+'LINEST VARS'!$P$64*(12.73)+'LINEST VARS'!$O$64*($K$104^2)+'LINEST VARS'!$N$64*($B115^2)+'LINEST VARS'!$M$64*(4^2)+'LINEST VARS'!$L$64*(0.5^2)+'LINEST VARS'!$K$64*(12.73^2)+'LINEST VARS'!$J$64*($K$104*$B115)+'LINEST VARS'!$I$64*($K$104*4)+'LINEST VARS'!$H$64*($K$104*0.5)+'LINEST VARS'!$G$64*($K$104*12.73)+'LINEST VARS'!$F$64*($B115*4)+'LINEST VARS'!$E$64*($B115*0.5)+'LINEST VARS'!$D$64*($B115*12.73)+'LINEST VARS'!$C$64*(4*0.5)+'LINEST VARS'!$B$64*(4*12.73)+'LINEST VARS'!$A$64*(0.5*12.73)</f>
        <v>164.18999999999988</v>
      </c>
      <c r="L115" s="55">
        <f>'LINEST VARS'!$U$64+'LINEST VARS'!$T$64*($L$104)+'LINEST VARS'!$S$64*($B115)+'LINEST VARS'!$R$64*(4)+'LINEST VARS'!$Q$64*(0.5)+'LINEST VARS'!$P$64*(12.73)+'LINEST VARS'!$O$64*($L$104^2)+'LINEST VARS'!$N$64*($B115^2)+'LINEST VARS'!$M$64*(4^2)+'LINEST VARS'!$L$64*(0.5^2)+'LINEST VARS'!$K$64*(12.73^2)+'LINEST VARS'!$J$64*($L$104*$B115)+'LINEST VARS'!$I$64*($L$104*4)+'LINEST VARS'!$H$64*($L$104*0.5)+'LINEST VARS'!$G$64*($L$104*12.73)+'LINEST VARS'!$F$64*($B115*4)+'LINEST VARS'!$E$64*($B115*0.5)+'LINEST VARS'!$D$64*($B115*12.73)+'LINEST VARS'!$C$64*(4*0.5)+'LINEST VARS'!$B$64*(4*12.73)+'LINEST VARS'!$A$64*(0.5*12.73)</f>
        <v>164.18999999999988</v>
      </c>
      <c r="M115" s="55">
        <f>'LINEST VARS'!$U$64+'LINEST VARS'!$T$64*($M$104)+'LINEST VARS'!$S$64*($B115)+'LINEST VARS'!$R$64*(4)+'LINEST VARS'!$Q$64*(0.5)+'LINEST VARS'!$P$64*(12.73)+'LINEST VARS'!$O$64*($M$104^2)+'LINEST VARS'!$N$64*($B115^2)+'LINEST VARS'!$M$64*(4^2)+'LINEST VARS'!$L$64*(0.5^2)+'LINEST VARS'!$K$64*(12.73^2)+'LINEST VARS'!$J$64*($M$104*$B115)+'LINEST VARS'!$I$64*($M$104*4)+'LINEST VARS'!$H$64*($M$104*0.5)+'LINEST VARS'!$G$64*($M$104*12.73)+'LINEST VARS'!$F$64*($B115*4)+'LINEST VARS'!$E$64*($B115*0.5)+'LINEST VARS'!$D$64*($B115*12.73)+'LINEST VARS'!$C$64*(4*0.5)+'LINEST VARS'!$B$64*(4*12.73)+'LINEST VARS'!$A$64*(0.5*12.73)</f>
        <v>164.18999999999988</v>
      </c>
      <c r="N115" s="55">
        <f>'LINEST VARS'!$U$64+'LINEST VARS'!$T$64*($N$104)+'LINEST VARS'!$S$64*($B115)+'LINEST VARS'!$R$64*(4)+'LINEST VARS'!$Q$64*(0.5)+'LINEST VARS'!$P$64*(12.73)+'LINEST VARS'!$O$64*($N$104^2)+'LINEST VARS'!$N$64*($B115^2)+'LINEST VARS'!$M$64*(4^2)+'LINEST VARS'!$L$64*(0.5^2)+'LINEST VARS'!$K$64*(12.73^2)+'LINEST VARS'!$J$64*($N$104*$B115)+'LINEST VARS'!$I$64*($N$104*4)+'LINEST VARS'!$H$64*($N$104*0.5)+'LINEST VARS'!$G$64*($N$104*12.73)+'LINEST VARS'!$F$64*($B115*4)+'LINEST VARS'!$E$64*($B115*0.5)+'LINEST VARS'!$D$64*($B115*12.73)+'LINEST VARS'!$C$64*(4*0.5)+'LINEST VARS'!$B$64*(4*12.73)+'LINEST VARS'!$A$64*(0.5*12.73)</f>
        <v>164.18999999999988</v>
      </c>
      <c r="O115" s="55">
        <f>'LINEST VARS'!$U$64+'LINEST VARS'!$T$64*($O$104)+'LINEST VARS'!$S$64*($B115)+'LINEST VARS'!$R$64*(4)+'LINEST VARS'!$Q$64*(0.5)+'LINEST VARS'!$P$64*(12.73)+'LINEST VARS'!$O$64*($O$104^2)+'LINEST VARS'!$N$64*($B115^2)+'LINEST VARS'!$M$64*(4^2)+'LINEST VARS'!$L$64*(0.5^2)+'LINEST VARS'!$K$64*(12.73^2)+'LINEST VARS'!$J$64*($O$104*$B115)+'LINEST VARS'!$I$64*($O$104*4)+'LINEST VARS'!$H$64*($O$104*0.5)+'LINEST VARS'!$G$64*($O$104*12.73)+'LINEST VARS'!$F$64*($B115*4)+'LINEST VARS'!$E$64*($B115*0.5)+'LINEST VARS'!$D$64*($B115*12.73)+'LINEST VARS'!$C$64*(4*0.5)+'LINEST VARS'!$B$64*(4*12.73)+'LINEST VARS'!$A$64*(0.5*12.73)</f>
        <v>164.18999999999988</v>
      </c>
      <c r="P115" s="55">
        <f>'LINEST VARS'!$U$64+'LINEST VARS'!$T$64*($P$104)+'LINEST VARS'!$S$64*($B115)+'LINEST VARS'!$R$64*(4)+'LINEST VARS'!$Q$64*(0.5)+'LINEST VARS'!$P$64*(12.73)+'LINEST VARS'!$O$64*($P$104^2)+'LINEST VARS'!$N$64*($B115^2)+'LINEST VARS'!$M$64*(4^2)+'LINEST VARS'!$L$64*(0.5^2)+'LINEST VARS'!$K$64*(12.73^2)+'LINEST VARS'!$J$64*($P$104*$B115)+'LINEST VARS'!$I$64*($P$104*4)+'LINEST VARS'!$H$64*($P$104*0.5)+'LINEST VARS'!$G$64*($P$104*12.73)+'LINEST VARS'!$F$64*($B115*4)+'LINEST VARS'!$E$64*($B115*0.5)+'LINEST VARS'!$D$64*($B115*12.73)+'LINEST VARS'!$C$64*(4*0.5)+'LINEST VARS'!$B$64*(4*12.73)+'LINEST VARS'!$A$64*(0.5*12.73)</f>
        <v>164.18999999999991</v>
      </c>
      <c r="Q115" s="55">
        <f>'LINEST VARS'!$U$64+'LINEST VARS'!$T$64*($Q$104)+'LINEST VARS'!$S$64*($B115)+'LINEST VARS'!$R$64*(4)+'LINEST VARS'!$Q$64*(0.5)+'LINEST VARS'!$P$64*(12.73)+'LINEST VARS'!$O$64*($Q$104^2)+'LINEST VARS'!$N$64*($B115^2)+'LINEST VARS'!$M$64*(4^2)+'LINEST VARS'!$L$64*(0.5^2)+'LINEST VARS'!$K$64*(12.73^2)+'LINEST VARS'!$J$64*($Q$104*$B115)+'LINEST VARS'!$I$64*($Q$104*4)+'LINEST VARS'!$H$64*($Q$104*0.5)+'LINEST VARS'!$G$64*($Q$104*12.73)+'LINEST VARS'!$F$64*($B115*4)+'LINEST VARS'!$E$64*($B115*0.5)+'LINEST VARS'!$D$64*($B115*12.73)+'LINEST VARS'!$C$64*(4*0.5)+'LINEST VARS'!$B$64*(4*12.73)+'LINEST VARS'!$A$64*(0.5*12.73)</f>
        <v>164.18999999999991</v>
      </c>
      <c r="R115" s="55">
        <f>'LINEST VARS'!$U$64+'LINEST VARS'!$T$64*($R$104)+'LINEST VARS'!$S$64*($B115)+'LINEST VARS'!$R$64*(4)+'LINEST VARS'!$Q$64*(0.5)+'LINEST VARS'!$P$64*(12.73)+'LINEST VARS'!$O$64*($R$104^2)+'LINEST VARS'!$N$64*($B115^2)+'LINEST VARS'!$M$64*(4^2)+'LINEST VARS'!$L$64*(0.5^2)+'LINEST VARS'!$K$64*(12.73^2)+'LINEST VARS'!$J$64*($R$104*$B115)+'LINEST VARS'!$I$64*($R$104*4)+'LINEST VARS'!$H$64*($R$104*0.5)+'LINEST VARS'!$G$64*($R$104*12.73)+'LINEST VARS'!$F$64*($B115*4)+'LINEST VARS'!$E$64*($B115*0.5)+'LINEST VARS'!$D$64*($B115*12.73)+'LINEST VARS'!$C$64*(4*0.5)+'LINEST VARS'!$B$64*(4*12.73)+'LINEST VARS'!$A$64*(0.5*12.73)</f>
        <v>164.18999999999991</v>
      </c>
      <c r="S115" s="55">
        <f>'LINEST VARS'!$U$64+'LINEST VARS'!$T$64*($S$104)+'LINEST VARS'!$S$64*($B115)+'LINEST VARS'!$R$64*(4)+'LINEST VARS'!$Q$64*(0.5)+'LINEST VARS'!$P$64*(12.73)+'LINEST VARS'!$O$64*($S$104^2)+'LINEST VARS'!$N$64*($B115^2)+'LINEST VARS'!$M$64*(4^2)+'LINEST VARS'!$L$64*(0.5^2)+'LINEST VARS'!$K$64*(12.73^2)+'LINEST VARS'!$J$64*($S$104*$B115)+'LINEST VARS'!$I$64*($S$104*4)+'LINEST VARS'!$H$64*($S$104*0.5)+'LINEST VARS'!$G$64*($S$104*12.73)+'LINEST VARS'!$F$64*($B115*4)+'LINEST VARS'!$E$64*($B115*0.5)+'LINEST VARS'!$D$64*($B115*12.73)+'LINEST VARS'!$C$64*(4*0.5)+'LINEST VARS'!$B$64*(4*12.73)+'LINEST VARS'!$A$64*(0.5*12.73)</f>
        <v>164.18999999999991</v>
      </c>
      <c r="T115" s="55">
        <f>'LINEST VARS'!$U$64+'LINEST VARS'!$T$64*($T$104)+'LINEST VARS'!$S$64*($B115)+'LINEST VARS'!$R$64*(4)+'LINEST VARS'!$Q$64*(0.5)+'LINEST VARS'!$P$64*(12.73)+'LINEST VARS'!$O$64*($T$104^2)+'LINEST VARS'!$N$64*($B115^2)+'LINEST VARS'!$M$64*(4^2)+'LINEST VARS'!$L$64*(0.5^2)+'LINEST VARS'!$K$64*(12.73^2)+'LINEST VARS'!$J$64*($T$104*$B115)+'LINEST VARS'!$I$64*($T$104*4)+'LINEST VARS'!$H$64*($T$104*0.5)+'LINEST VARS'!$G$64*($T$104*12.73)+'LINEST VARS'!$F$64*($B115*4)+'LINEST VARS'!$E$64*($B115*0.5)+'LINEST VARS'!$D$64*($B115*12.73)+'LINEST VARS'!$C$64*(4*0.5)+'LINEST VARS'!$B$64*(4*12.73)+'LINEST VARS'!$A$64*(0.5*12.73)</f>
        <v>164.18999999999988</v>
      </c>
      <c r="U115" s="55">
        <f>'LINEST VARS'!$U$64+'LINEST VARS'!$T$64*($U$104)+'LINEST VARS'!$S$64*($B115)+'LINEST VARS'!$R$64*(4)+'LINEST VARS'!$Q$64*(0.5)+'LINEST VARS'!$P$64*(12.73)+'LINEST VARS'!$O$64*($U$104^2)+'LINEST VARS'!$N$64*($B115^2)+'LINEST VARS'!$M$64*(4^2)+'LINEST VARS'!$L$64*(0.5^2)+'LINEST VARS'!$K$64*(12.73^2)+'LINEST VARS'!$J$64*($U$104*$B115)+'LINEST VARS'!$I$64*($U$104*4)+'LINEST VARS'!$H$64*($U$104*0.5)+'LINEST VARS'!$G$64*($U$104*12.73)+'LINEST VARS'!$F$64*($B115*4)+'LINEST VARS'!$E$64*($B115*0.5)+'LINEST VARS'!$D$64*($B115*12.73)+'LINEST VARS'!$C$64*(4*0.5)+'LINEST VARS'!$B$64*(4*12.73)+'LINEST VARS'!$A$64*(0.5*12.73)</f>
        <v>164.18999999999988</v>
      </c>
      <c r="V115" s="55">
        <f>'LINEST VARS'!$U$64+'LINEST VARS'!$T$64*($V$104)+'LINEST VARS'!$S$64*($B115)+'LINEST VARS'!$R$64*(4)+'LINEST VARS'!$Q$64*(0.5)+'LINEST VARS'!$P$64*(12.73)+'LINEST VARS'!$O$64*($V$104^2)+'LINEST VARS'!$N$64*($B115^2)+'LINEST VARS'!$M$64*(4^2)+'LINEST VARS'!$L$64*(0.5^2)+'LINEST VARS'!$K$64*(12.73^2)+'LINEST VARS'!$J$64*($V$104*$B115)+'LINEST VARS'!$I$64*($V$104*4)+'LINEST VARS'!$H$64*($V$104*0.5)+'LINEST VARS'!$G$64*($V$104*12.73)+'LINEST VARS'!$F$64*($B115*4)+'LINEST VARS'!$E$64*($B115*0.5)+'LINEST VARS'!$D$64*($B115*12.73)+'LINEST VARS'!$C$64*(4*0.5)+'LINEST VARS'!$B$64*(4*12.73)+'LINEST VARS'!$A$64*(0.5*12.73)</f>
        <v>164.18999999999988</v>
      </c>
      <c r="W115" s="56">
        <f>'LINEST VARS'!$U$64+'LINEST VARS'!$T$64*($W$104)+'LINEST VARS'!$S$64*($B115)+'LINEST VARS'!$R$64*(4)+'LINEST VARS'!$Q$64*(0.5)+'LINEST VARS'!$P$64*(12.73)+'LINEST VARS'!$O$64*($W$104^2)+'LINEST VARS'!$N$64*($B115^2)+'LINEST VARS'!$M$64*(4^2)+'LINEST VARS'!$L$64*(0.5^2)+'LINEST VARS'!$K$64*(12.73^2)+'LINEST VARS'!$J$64*($W$104*$B115)+'LINEST VARS'!$I$64*($W$104*4)+'LINEST VARS'!$H$64*($W$104*0.5)+'LINEST VARS'!$G$64*($W$104*12.73)+'LINEST VARS'!$F$64*($B115*4)+'LINEST VARS'!$E$64*($B115*0.5)+'LINEST VARS'!$D$64*($B115*12.73)+'LINEST VARS'!$C$64*(4*0.5)+'LINEST VARS'!$B$64*(4*12.73)+'LINEST VARS'!$A$64*(0.5*12.73)</f>
        <v>164.18999999999988</v>
      </c>
      <c r="Z115" s="45">
        <v>8</v>
      </c>
      <c r="AA115" s="46">
        <f>'LINEST VARS'!$U$66+'LINEST VARS'!$T$66*($AA$104)+'LINEST VARS'!$S$66*($Z115)+'LINEST VARS'!$R$66*(4)+'LINEST VARS'!$Q$66*(0.5)+'LINEST VARS'!$P$66*(12.73)+'LINEST VARS'!$O$66*($AA$104^2)+'LINEST VARS'!$N$66*($Z115^2)+'LINEST VARS'!$M$66*(4^2)+'LINEST VARS'!$L$66*(0.5^2)+'LINEST VARS'!$K$66*(12.73^2)+'LINEST VARS'!$J$66*($AA$104*$Z115)+'LINEST VARS'!$I$66*($AA$104*4)+'LINEST VARS'!$H$66*($AA$104*0.5)+'LINEST VARS'!$G$66*($AA$104*12.73)+'LINEST VARS'!$F$66*($Z115*4)+'LINEST VARS'!$E$66*($Z115*0.5)+'LINEST VARS'!$D$66*($Z115*12.73)+'LINEST VARS'!$C$66*(4*0.5)+'LINEST VARS'!$B$66*(4*12.73)+'LINEST VARS'!$A$66*(0.5*12.73)</f>
        <v>134.20000000000005</v>
      </c>
      <c r="AB115" s="46">
        <f>'LINEST VARS'!$U$66+'LINEST VARS'!$T$66*($AB$104)+'LINEST VARS'!$S$66*($Z115)+'LINEST VARS'!$R$66*(4)+'LINEST VARS'!$Q$66*(0.5)+'LINEST VARS'!$P$66*(12.73)+'LINEST VARS'!$O$66*($AB$104^2)+'LINEST VARS'!$N$66*($Z115^2)+'LINEST VARS'!$M$66*(4^2)+'LINEST VARS'!$L$66*(0.5^2)+'LINEST VARS'!$K$66*(12.73^2)+'LINEST VARS'!$J$66*($AB$104*$Z115)+'LINEST VARS'!$I$66*($AB$104*4)+'LINEST VARS'!$H$66*($AB$104*0.5)+'LINEST VARS'!$G$66*($AB$104*12.73)+'LINEST VARS'!$F$66*($Z115*4)+'LINEST VARS'!$E$66*($Z115*0.5)+'LINEST VARS'!$D$66*($Z115*12.73)+'LINEST VARS'!$C$66*(4*0.5)+'LINEST VARS'!$B$66*(4*12.73)+'LINEST VARS'!$A$66*(0.5*12.73)</f>
        <v>134.38000000000005</v>
      </c>
      <c r="AC115" s="46">
        <f>'LINEST VARS'!$U$66+'LINEST VARS'!$T$66*($AC$104)+'LINEST VARS'!$S$66*($Z115)+'LINEST VARS'!$R$66*(4)+'LINEST VARS'!$Q$66*(0.5)+'LINEST VARS'!$P$66*(12.73)+'LINEST VARS'!$O$66*($AC$104^2)+'LINEST VARS'!$N$66*($Z115^2)+'LINEST VARS'!$M$66*(4^2)+'LINEST VARS'!$L$66*(0.5^2)+'LINEST VARS'!$K$66*(12.73^2)+'LINEST VARS'!$J$66*($AC$104*$Z115)+'LINEST VARS'!$I$66*($AC$104*4)+'LINEST VARS'!$H$66*($AC$104*0.5)+'LINEST VARS'!$G$66*($AC$104*12.73)+'LINEST VARS'!$F$66*($Z115*4)+'LINEST VARS'!$E$66*($Z115*0.5)+'LINEST VARS'!$D$66*($Z115*12.73)+'LINEST VARS'!$C$66*(4*0.5)+'LINEST VARS'!$B$66*(4*12.73)+'LINEST VARS'!$A$66*(0.5*12.73)</f>
        <v>134.56000000000003</v>
      </c>
      <c r="AD115" s="46">
        <f>'LINEST VARS'!$U$66+'LINEST VARS'!$T$66*($AD$104)+'LINEST VARS'!$S$66*($Z115)+'LINEST VARS'!$R$66*(4)+'LINEST VARS'!$Q$66*(0.5)+'LINEST VARS'!$P$66*(12.73)+'LINEST VARS'!$O$66*($AD$104^2)+'LINEST VARS'!$N$66*($Z115^2)+'LINEST VARS'!$M$66*(4^2)+'LINEST VARS'!$L$66*(0.5^2)+'LINEST VARS'!$K$66*(12.73^2)+'LINEST VARS'!$J$66*($AD$104*$Z115)+'LINEST VARS'!$I$66*($AD$104*4)+'LINEST VARS'!$H$66*($AD$104*0.5)+'LINEST VARS'!$G$66*($AD$104*12.73)+'LINEST VARS'!$F$66*($Z115*4)+'LINEST VARS'!$E$66*($Z115*0.5)+'LINEST VARS'!$D$66*($Z115*12.73)+'LINEST VARS'!$C$66*(4*0.5)+'LINEST VARS'!$B$66*(4*12.73)+'LINEST VARS'!$A$66*(0.5*12.73)</f>
        <v>134.74000000000004</v>
      </c>
      <c r="AE115" s="46">
        <f>'LINEST VARS'!$U$66+'LINEST VARS'!$T$66*($AE$104)+'LINEST VARS'!$S$66*($Z115)+'LINEST VARS'!$R$66*(4)+'LINEST VARS'!$Q$66*(0.5)+'LINEST VARS'!$P$66*(12.73)+'LINEST VARS'!$O$66*($AE$104^2)+'LINEST VARS'!$N$66*($Z115^2)+'LINEST VARS'!$M$66*(4^2)+'LINEST VARS'!$L$66*(0.5^2)+'LINEST VARS'!$K$66*(12.73^2)+'LINEST VARS'!$J$66*($AE$104*$Z115)+'LINEST VARS'!$I$66*($AE$104*4)+'LINEST VARS'!$H$66*($AE$104*0.5)+'LINEST VARS'!$G$66*($AE$104*12.73)+'LINEST VARS'!$F$66*($Z115*4)+'LINEST VARS'!$E$66*($Z115*0.5)+'LINEST VARS'!$D$66*($Z115*12.73)+'LINEST VARS'!$C$66*(4*0.5)+'LINEST VARS'!$B$66*(4*12.73)+'LINEST VARS'!$A$66*(0.5*12.73)</f>
        <v>134.92000000000007</v>
      </c>
      <c r="AF115" s="46">
        <f>'LINEST VARS'!$U$66+'LINEST VARS'!$T$66*($AF$104)+'LINEST VARS'!$S$66*($Z115)+'LINEST VARS'!$R$66*(4)+'LINEST VARS'!$Q$66*(0.5)+'LINEST VARS'!$P$66*(12.73)+'LINEST VARS'!$O$66*($AF$104^2)+'LINEST VARS'!$N$66*($Z115^2)+'LINEST VARS'!$M$66*(4^2)+'LINEST VARS'!$L$66*(0.5^2)+'LINEST VARS'!$K$66*(12.73^2)+'LINEST VARS'!$J$66*($AF$104*$Z115)+'LINEST VARS'!$I$66*($AF$104*4)+'LINEST VARS'!$H$66*($AF$104*0.5)+'LINEST VARS'!$G$66*($AF$104*12.73)+'LINEST VARS'!$F$66*($Z115*4)+'LINEST VARS'!$E$66*($Z115*0.5)+'LINEST VARS'!$D$66*($Z115*12.73)+'LINEST VARS'!$C$66*(4*0.5)+'LINEST VARS'!$B$66*(4*12.73)+'LINEST VARS'!$A$66*(0.5*12.73)</f>
        <v>135.10000000000008</v>
      </c>
      <c r="AG115" s="46">
        <f>'LINEST VARS'!$U$66+'LINEST VARS'!$T$66*($AG$104)+'LINEST VARS'!$S$66*($Z115)+'LINEST VARS'!$R$66*(4)+'LINEST VARS'!$Q$66*(0.5)+'LINEST VARS'!$P$66*(12.73)+'LINEST VARS'!$O$66*($AG$104^2)+'LINEST VARS'!$N$66*($Z115^2)+'LINEST VARS'!$M$66*(4^2)+'LINEST VARS'!$L$66*(0.5^2)+'LINEST VARS'!$K$66*(12.73^2)+'LINEST VARS'!$J$66*($AG$104*$Z115)+'LINEST VARS'!$I$66*($AG$104*4)+'LINEST VARS'!$H$66*($AG$104*0.5)+'LINEST VARS'!$G$66*($AG$104*12.73)+'LINEST VARS'!$F$66*($Z115*4)+'LINEST VARS'!$E$66*($Z115*0.5)+'LINEST VARS'!$D$66*($Z115*12.73)+'LINEST VARS'!$C$66*(4*0.5)+'LINEST VARS'!$B$66*(4*12.73)+'LINEST VARS'!$A$66*(0.5*12.73)</f>
        <v>135.28000000000006</v>
      </c>
      <c r="AH115" s="46">
        <f>'LINEST VARS'!$U$66+'LINEST VARS'!$T$66*($AH$104)+'LINEST VARS'!$S$66*($Z115)+'LINEST VARS'!$R$66*(4)+'LINEST VARS'!$Q$66*(0.5)+'LINEST VARS'!$P$66*(12.73)+'LINEST VARS'!$O$66*($AH$104^2)+'LINEST VARS'!$N$66*($Z115^2)+'LINEST VARS'!$M$66*(4^2)+'LINEST VARS'!$L$66*(0.5^2)+'LINEST VARS'!$K$66*(12.73^2)+'LINEST VARS'!$J$66*($AH$104*$Z115)+'LINEST VARS'!$I$66*($AH$104*4)+'LINEST VARS'!$H$66*($AH$104*0.5)+'LINEST VARS'!$G$66*($AH$104*12.73)+'LINEST VARS'!$F$66*($Z115*4)+'LINEST VARS'!$E$66*($Z115*0.5)+'LINEST VARS'!$D$66*($Z115*12.73)+'LINEST VARS'!$C$66*(4*0.5)+'LINEST VARS'!$B$66*(4*12.73)+'LINEST VARS'!$A$66*(0.5*12.73)</f>
        <v>135.46000000000006</v>
      </c>
      <c r="AI115" s="46">
        <f>'LINEST VARS'!$U$66+'LINEST VARS'!$T$66*($AI$104)+'LINEST VARS'!$S$66*($Z115)+'LINEST VARS'!$R$66*(4)+'LINEST VARS'!$Q$66*(0.5)+'LINEST VARS'!$P$66*(12.73)+'LINEST VARS'!$O$66*($AI$104^2)+'LINEST VARS'!$N$66*($Z115^2)+'LINEST VARS'!$M$66*(4^2)+'LINEST VARS'!$L$66*(0.5^2)+'LINEST VARS'!$K$66*(12.73^2)+'LINEST VARS'!$J$66*($AI$104*$Z115)+'LINEST VARS'!$I$66*($AI$104*4)+'LINEST VARS'!$H$66*($AI$104*0.5)+'LINEST VARS'!$G$66*($AI$104*12.73)+'LINEST VARS'!$F$66*($Z115*4)+'LINEST VARS'!$E$66*($Z115*0.5)+'LINEST VARS'!$D$66*($Z115*12.73)+'LINEST VARS'!$C$66*(4*0.5)+'LINEST VARS'!$B$66*(4*12.73)+'LINEST VARS'!$A$66*(0.5*12.73)</f>
        <v>135.64000000000007</v>
      </c>
      <c r="AJ115" s="46">
        <f>'LINEST VARS'!$U$66+'LINEST VARS'!$T$66*($AJ$104)+'LINEST VARS'!$S$66*($Z115)+'LINEST VARS'!$R$66*(4)+'LINEST VARS'!$Q$66*(0.5)+'LINEST VARS'!$P$66*(12.73)+'LINEST VARS'!$O$66*($AJ$104^2)+'LINEST VARS'!$N$66*($Z115^2)+'LINEST VARS'!$M$66*(4^2)+'LINEST VARS'!$L$66*(0.5^2)+'LINEST VARS'!$K$66*(12.73^2)+'LINEST VARS'!$J$66*($AJ$104*$Z115)+'LINEST VARS'!$I$66*($AJ$104*4)+'LINEST VARS'!$H$66*($AJ$104*0.5)+'LINEST VARS'!$G$66*($AJ$104*12.73)+'LINEST VARS'!$F$66*($Z115*4)+'LINEST VARS'!$E$66*($Z115*0.5)+'LINEST VARS'!$D$66*($Z115*12.73)+'LINEST VARS'!$C$66*(4*0.5)+'LINEST VARS'!$B$66*(4*12.73)+'LINEST VARS'!$A$66*(0.5*12.73)</f>
        <v>135.82000000000008</v>
      </c>
      <c r="AK115" s="46">
        <f>'LINEST VARS'!$U$66+'LINEST VARS'!$T$66*($AK$104)+'LINEST VARS'!$S$66*($Z115)+'LINEST VARS'!$R$66*(4)+'LINEST VARS'!$Q$66*(0.5)+'LINEST VARS'!$P$66*(12.73)+'LINEST VARS'!$O$66*($AK$104^2)+'LINEST VARS'!$N$66*($Z115^2)+'LINEST VARS'!$M$66*(4^2)+'LINEST VARS'!$L$66*(0.5^2)+'LINEST VARS'!$K$66*(12.73^2)+'LINEST VARS'!$J$66*($AK$104*$Z115)+'LINEST VARS'!$I$66*($AK$104*4)+'LINEST VARS'!$H$66*($AK$104*0.5)+'LINEST VARS'!$G$66*($AK$104*12.73)+'LINEST VARS'!$F$66*($Z115*4)+'LINEST VARS'!$E$66*($Z115*0.5)+'LINEST VARS'!$D$66*($Z115*12.73)+'LINEST VARS'!$C$66*(4*0.5)+'LINEST VARS'!$B$66*(4*12.73)+'LINEST VARS'!$A$66*(0.5*12.73)</f>
        <v>136.00000000000006</v>
      </c>
      <c r="AL115" s="46">
        <f>'LINEST VARS'!$U$66+'LINEST VARS'!$T$66*($AL$104)+'LINEST VARS'!$S$66*($Z115)+'LINEST VARS'!$R$66*(4)+'LINEST VARS'!$Q$66*(0.5)+'LINEST VARS'!$P$66*(12.73)+'LINEST VARS'!$O$66*($AL$104^2)+'LINEST VARS'!$N$66*($Z115^2)+'LINEST VARS'!$M$66*(4^2)+'LINEST VARS'!$L$66*(0.5^2)+'LINEST VARS'!$K$66*(12.73^2)+'LINEST VARS'!$J$66*($AL$104*$Z115)+'LINEST VARS'!$I$66*($AL$104*4)+'LINEST VARS'!$H$66*($AL$104*0.5)+'LINEST VARS'!$G$66*($AL$104*12.73)+'LINEST VARS'!$F$66*($Z115*4)+'LINEST VARS'!$E$66*($Z115*0.5)+'LINEST VARS'!$D$66*($Z115*12.73)+'LINEST VARS'!$C$66*(4*0.5)+'LINEST VARS'!$B$66*(4*12.73)+'LINEST VARS'!$A$66*(0.5*12.73)</f>
        <v>136.18000000000006</v>
      </c>
      <c r="AM115" s="46">
        <f>'LINEST VARS'!$U$66+'LINEST VARS'!$T$66*($AM$104)+'LINEST VARS'!$S$66*($Z115)+'LINEST VARS'!$R$66*(4)+'LINEST VARS'!$Q$66*(0.5)+'LINEST VARS'!$P$66*(12.73)+'LINEST VARS'!$O$66*($AM$104^2)+'LINEST VARS'!$N$66*($Z115^2)+'LINEST VARS'!$M$66*(4^2)+'LINEST VARS'!$L$66*(0.5^2)+'LINEST VARS'!$K$66*(12.73^2)+'LINEST VARS'!$J$66*($AM$104*$Z115)+'LINEST VARS'!$I$66*($AM$104*4)+'LINEST VARS'!$H$66*($AM$104*0.5)+'LINEST VARS'!$G$66*($AM$104*12.73)+'LINEST VARS'!$F$66*($Z115*4)+'LINEST VARS'!$E$66*($Z115*0.5)+'LINEST VARS'!$D$66*($Z115*12.73)+'LINEST VARS'!$C$66*(4*0.5)+'LINEST VARS'!$B$66*(4*12.73)+'LINEST VARS'!$A$66*(0.5*12.73)</f>
        <v>136.36000000000007</v>
      </c>
      <c r="AN115" s="46">
        <f>'LINEST VARS'!$U$66+'LINEST VARS'!$T$66*($AN$104)+'LINEST VARS'!$S$66*($Z115)+'LINEST VARS'!$R$66*(4)+'LINEST VARS'!$Q$66*(0.5)+'LINEST VARS'!$P$66*(12.73)+'LINEST VARS'!$O$66*($AN$104^2)+'LINEST VARS'!$N$66*($Z115^2)+'LINEST VARS'!$M$66*(4^2)+'LINEST VARS'!$L$66*(0.5^2)+'LINEST VARS'!$K$66*(12.73^2)+'LINEST VARS'!$J$66*($AN$104*$Z115)+'LINEST VARS'!$I$66*($AN$104*4)+'LINEST VARS'!$H$66*($AN$104*0.5)+'LINEST VARS'!$G$66*($AN$104*12.73)+'LINEST VARS'!$F$66*($Z115*4)+'LINEST VARS'!$E$66*($Z115*0.5)+'LINEST VARS'!$D$66*($Z115*12.73)+'LINEST VARS'!$C$66*(4*0.5)+'LINEST VARS'!$B$66*(4*12.73)+'LINEST VARS'!$A$66*(0.5*12.73)</f>
        <v>136.54000000000008</v>
      </c>
      <c r="AO115" s="46">
        <f>'LINEST VARS'!$U$66+'LINEST VARS'!$T$66*($AO$104)+'LINEST VARS'!$S$66*($Z115)+'LINEST VARS'!$R$66*(4)+'LINEST VARS'!$Q$66*(0.5)+'LINEST VARS'!$P$66*(12.73)+'LINEST VARS'!$O$66*($AO$104^2)+'LINEST VARS'!$N$66*($Z115^2)+'LINEST VARS'!$M$66*(4^2)+'LINEST VARS'!$L$66*(0.5^2)+'LINEST VARS'!$K$66*(12.73^2)+'LINEST VARS'!$J$66*($AO$104*$Z115)+'LINEST VARS'!$I$66*($AO$104*4)+'LINEST VARS'!$H$66*($AO$104*0.5)+'LINEST VARS'!$G$66*($AO$104*12.73)+'LINEST VARS'!$F$66*($Z115*4)+'LINEST VARS'!$E$66*($Z115*0.5)+'LINEST VARS'!$D$66*($Z115*12.73)+'LINEST VARS'!$C$66*(4*0.5)+'LINEST VARS'!$B$66*(4*12.73)+'LINEST VARS'!$A$66*(0.5*12.73)</f>
        <v>136.72000000000006</v>
      </c>
      <c r="AP115" s="46">
        <f>'LINEST VARS'!$U$66+'LINEST VARS'!$T$66*($AP$104)+'LINEST VARS'!$S$66*($Z115)+'LINEST VARS'!$R$66*(4)+'LINEST VARS'!$Q$66*(0.5)+'LINEST VARS'!$P$66*(12.73)+'LINEST VARS'!$O$66*($AP$104^2)+'LINEST VARS'!$N$66*($Z115^2)+'LINEST VARS'!$M$66*(4^2)+'LINEST VARS'!$L$66*(0.5^2)+'LINEST VARS'!$K$66*(12.73^2)+'LINEST VARS'!$J$66*($AP$104*$Z115)+'LINEST VARS'!$I$66*($AP$104*4)+'LINEST VARS'!$H$66*($AP$104*0.5)+'LINEST VARS'!$G$66*($AP$104*12.73)+'LINEST VARS'!$F$66*($Z115*4)+'LINEST VARS'!$E$66*($Z115*0.5)+'LINEST VARS'!$D$66*($Z115*12.73)+'LINEST VARS'!$C$66*(4*0.5)+'LINEST VARS'!$B$66*(4*12.73)+'LINEST VARS'!$A$66*(0.5*12.73)</f>
        <v>136.90000000000006</v>
      </c>
      <c r="AQ115" s="46">
        <f>'LINEST VARS'!$U$66+'LINEST VARS'!$T$66*($AQ$104)+'LINEST VARS'!$S$66*($Z115)+'LINEST VARS'!$R$66*(4)+'LINEST VARS'!$Q$66*(0.5)+'LINEST VARS'!$P$66*(12.73)+'LINEST VARS'!$O$66*($AQ$104^2)+'LINEST VARS'!$N$66*($Z115^2)+'LINEST VARS'!$M$66*(4^2)+'LINEST VARS'!$L$66*(0.5^2)+'LINEST VARS'!$K$66*(12.73^2)+'LINEST VARS'!$J$66*($AQ$104*$Z115)+'LINEST VARS'!$I$66*($AQ$104*4)+'LINEST VARS'!$H$66*($AQ$104*0.5)+'LINEST VARS'!$G$66*($AQ$104*12.73)+'LINEST VARS'!$F$66*($Z115*4)+'LINEST VARS'!$E$66*($Z115*0.5)+'LINEST VARS'!$D$66*($Z115*12.73)+'LINEST VARS'!$C$66*(4*0.5)+'LINEST VARS'!$B$66*(4*12.73)+'LINEST VARS'!$A$66*(0.5*12.73)</f>
        <v>137.08000000000007</v>
      </c>
      <c r="AR115" s="46">
        <f>'LINEST VARS'!$U$66+'LINEST VARS'!$T$66*($AR$104)+'LINEST VARS'!$S$66*($Z115)+'LINEST VARS'!$R$66*(4)+'LINEST VARS'!$Q$66*(0.5)+'LINEST VARS'!$P$66*(12.73)+'LINEST VARS'!$O$66*($AR$104^2)+'LINEST VARS'!$N$66*($Z115^2)+'LINEST VARS'!$M$66*(4^2)+'LINEST VARS'!$L$66*(0.5^2)+'LINEST VARS'!$K$66*(12.73^2)+'LINEST VARS'!$J$66*($AR$104*$Z115)+'LINEST VARS'!$I$66*($AR$104*4)+'LINEST VARS'!$H$66*($AR$104*0.5)+'LINEST VARS'!$G$66*($AR$104*12.73)+'LINEST VARS'!$F$66*($Z115*4)+'LINEST VARS'!$E$66*($Z115*0.5)+'LINEST VARS'!$D$66*($Z115*12.73)+'LINEST VARS'!$C$66*(4*0.5)+'LINEST VARS'!$B$66*(4*12.73)+'LINEST VARS'!$A$66*(0.5*12.73)</f>
        <v>137.26000000000008</v>
      </c>
      <c r="AS115" s="46">
        <f>'LINEST VARS'!$U$66+'LINEST VARS'!$T$66*($AS$104)+'LINEST VARS'!$S$66*($Z115)+'LINEST VARS'!$R$66*(4)+'LINEST VARS'!$Q$66*(0.5)+'LINEST VARS'!$P$66*(12.73)+'LINEST VARS'!$O$66*($AS$104^2)+'LINEST VARS'!$N$66*($Z115^2)+'LINEST VARS'!$M$66*(4^2)+'LINEST VARS'!$L$66*(0.5^2)+'LINEST VARS'!$K$66*(12.73^2)+'LINEST VARS'!$J$66*($AS$104*$Z115)+'LINEST VARS'!$I$66*($AS$104*4)+'LINEST VARS'!$H$66*($AS$104*0.5)+'LINEST VARS'!$G$66*($AS$104*12.73)+'LINEST VARS'!$F$66*($Z115*4)+'LINEST VARS'!$E$66*($Z115*0.5)+'LINEST VARS'!$D$66*($Z115*12.73)+'LINEST VARS'!$C$66*(4*0.5)+'LINEST VARS'!$B$66*(4*12.73)+'LINEST VARS'!$A$66*(0.5*12.73)</f>
        <v>137.44000000000005</v>
      </c>
      <c r="AT115" s="46">
        <f>'LINEST VARS'!$U$66+'LINEST VARS'!$T$66*($AT$104)+'LINEST VARS'!$S$66*($Z115)+'LINEST VARS'!$R$66*(4)+'LINEST VARS'!$Q$66*(0.5)+'LINEST VARS'!$P$66*(12.73)+'LINEST VARS'!$O$66*($AT$104^2)+'LINEST VARS'!$N$66*($Z115^2)+'LINEST VARS'!$M$66*(4^2)+'LINEST VARS'!$L$66*(0.5^2)+'LINEST VARS'!$K$66*(12.73^2)+'LINEST VARS'!$J$66*($AT$104*$Z115)+'LINEST VARS'!$I$66*($AT$104*4)+'LINEST VARS'!$H$66*($AT$104*0.5)+'LINEST VARS'!$G$66*($AT$104*12.73)+'LINEST VARS'!$F$66*($Z115*4)+'LINEST VARS'!$E$66*($Z115*0.5)+'LINEST VARS'!$D$66*($Z115*12.73)+'LINEST VARS'!$C$66*(4*0.5)+'LINEST VARS'!$B$66*(4*12.73)+'LINEST VARS'!$A$66*(0.5*12.73)</f>
        <v>137.62000000000006</v>
      </c>
      <c r="AU115" s="47">
        <f>'LINEST VARS'!$U$66+'LINEST VARS'!$T$66*($AU$104)+'LINEST VARS'!$S$66*($Z115)+'LINEST VARS'!$R$66*(4)+'LINEST VARS'!$Q$66*(0.5)+'LINEST VARS'!$P$66*(12.73)+'LINEST VARS'!$O$66*($AU$104^2)+'LINEST VARS'!$N$66*($Z115^2)+'LINEST VARS'!$M$66*(4^2)+'LINEST VARS'!$L$66*(0.5^2)+'LINEST VARS'!$K$66*(12.73^2)+'LINEST VARS'!$J$66*($AU$104*$Z115)+'LINEST VARS'!$I$66*($AU$104*4)+'LINEST VARS'!$H$66*($AU$104*0.5)+'LINEST VARS'!$G$66*($AU$104*12.73)+'LINEST VARS'!$F$66*($Z115*4)+'LINEST VARS'!$E$66*($Z115*0.5)+'LINEST VARS'!$D$66*($Z115*12.73)+'LINEST VARS'!$C$66*(4*0.5)+'LINEST VARS'!$B$66*(4*12.73)+'LINEST VARS'!$A$66*(0.5*12.73)</f>
        <v>137.80000000000007</v>
      </c>
      <c r="AZ115" s="45">
        <v>0.5</v>
      </c>
      <c r="BA115" s="55">
        <f>'LINEST VARS'!$U$64+'LINEST VARS'!$T$64*(8)+'LINEST VARS'!$S$64*(8)+'LINEST VARS'!$R$64*($BA$104)+'LINEST VARS'!$Q$64*($AZ115)+'LINEST VARS'!$P$64*(12.73)+'LINEST VARS'!$O$64*(8^2)+'LINEST VARS'!$N$64*(8^2)+'LINEST VARS'!$M$64*($BA$104^2)+'LINEST VARS'!$L$64*($AZ115^2)+'LINEST VARS'!$K$64*(12.73^2)+'LINEST VARS'!$J$64*(8*8)+'LINEST VARS'!$I$64*(8*$BA$104)+'LINEST VARS'!$H$64*(8*$AZ115)+'LINEST VARS'!$G$64*(8*12.73)+'LINEST VARS'!$F$64*(8*$BA$104)+'LINEST VARS'!$E$64*(8*$AZ115)+'LINEST VARS'!$D$64*(8*12.73)+'LINEST VARS'!$C$64*($BA$104*$AZ115)+'LINEST VARS'!$B$64*($BA$104*12.73)+'LINEST VARS'!$A$64*($AZ115*12.73)</f>
        <v>148.18999999999988</v>
      </c>
      <c r="BB115" s="55">
        <f>'LINEST VARS'!$U$64+'LINEST VARS'!$T$64*(8)+'LINEST VARS'!$S$64*(8)+'LINEST VARS'!$R$64*($BB$104)+'LINEST VARS'!$Q$64*($AZ115)+'LINEST VARS'!$P$64*(12.73)+'LINEST VARS'!$O$64*(8^2)+'LINEST VARS'!$N$64*(8^2)+'LINEST VARS'!$M$64*($BB$104^2)+'LINEST VARS'!$L$64*($AZ115^2)+'LINEST VARS'!$K$64*(12.73^2)+'LINEST VARS'!$J$64*(8*8)+'LINEST VARS'!$I$64*(8*$BB$104)+'LINEST VARS'!$H$64*(8*$AZ115)+'LINEST VARS'!$G$64*(8*12.73)+'LINEST VARS'!$F$64*(8*$BB$104)+'LINEST VARS'!$E$64*(8*$AZ115)+'LINEST VARS'!$D$64*(8*12.73)+'LINEST VARS'!$C$64*($BB$104*$AZ115)+'LINEST VARS'!$B$64*($BB$104*12.73)+'LINEST VARS'!$A$64*($AZ115*12.73)</f>
        <v>149.78999999999988</v>
      </c>
      <c r="BC115" s="55">
        <f>'LINEST VARS'!$U$64+'LINEST VARS'!$T$64*(8)+'LINEST VARS'!$S$64*(8)+'LINEST VARS'!$R$64*($BC$104)+'LINEST VARS'!$Q$64*($AZ115)+'LINEST VARS'!$P$64*(12.73)+'LINEST VARS'!$O$64*(8^2)+'LINEST VARS'!$N$64*(8^2)+'LINEST VARS'!$M$64*($BC$104^2)+'LINEST VARS'!$L$64*($AZ115^2)+'LINEST VARS'!$K$64*(12.73^2)+'LINEST VARS'!$J$64*(8*8)+'LINEST VARS'!$I$64*(8*$BC$104)+'LINEST VARS'!$H$64*(8*$AZ115)+'LINEST VARS'!$G$64*(8*12.73)+'LINEST VARS'!$F$64*(8*$BC$104)+'LINEST VARS'!$E$64*(8*$AZ115)+'LINEST VARS'!$D$64*(8*12.73)+'LINEST VARS'!$C$64*($BC$104*$AZ115)+'LINEST VARS'!$B$64*($BC$104*12.73)+'LINEST VARS'!$A$64*($AZ115*12.73)</f>
        <v>151.38999999999987</v>
      </c>
      <c r="BD115" s="55">
        <f>'LINEST VARS'!$U$64+'LINEST VARS'!$T$64*(8)+'LINEST VARS'!$S$64*(8)+'LINEST VARS'!$R$64*($BD$104)+'LINEST VARS'!$Q$64*($AZ115)+'LINEST VARS'!$P$64*(12.73)+'LINEST VARS'!$O$64*(8^2)+'LINEST VARS'!$N$64*(8^2)+'LINEST VARS'!$M$64*($BD$104^2)+'LINEST VARS'!$L$64*($AZ115^2)+'LINEST VARS'!$K$64*(12.73^2)+'LINEST VARS'!$J$64*(8*8)+'LINEST VARS'!$I$64*(8*$BD$104)+'LINEST VARS'!$H$64*(8*$AZ115)+'LINEST VARS'!$G$64*(8*12.73)+'LINEST VARS'!$F$64*(8*$BD$104)+'LINEST VARS'!$E$64*(8*$AZ115)+'LINEST VARS'!$D$64*(8*12.73)+'LINEST VARS'!$C$64*($BD$104*$AZ115)+'LINEST VARS'!$B$64*($BD$104*12.73)+'LINEST VARS'!$A$64*($AZ115*12.73)</f>
        <v>152.9899999999999</v>
      </c>
      <c r="BE115" s="55">
        <f>'LINEST VARS'!$U$64+'LINEST VARS'!$T$64*(8)+'LINEST VARS'!$S$64*(8)+'LINEST VARS'!$R$64*($BE$104)+'LINEST VARS'!$Q$64*($AZ115)+'LINEST VARS'!$P$64*(12.73)+'LINEST VARS'!$O$64*(8^2)+'LINEST VARS'!$N$64*(8^2)+'LINEST VARS'!$M$64*($BE$104^2)+'LINEST VARS'!$L$64*($AZ115^2)+'LINEST VARS'!$K$64*(12.73^2)+'LINEST VARS'!$J$64*(8*8)+'LINEST VARS'!$I$64*(8*$BE$104)+'LINEST VARS'!$H$64*(8*$AZ115)+'LINEST VARS'!$G$64*(8*12.73)+'LINEST VARS'!$F$64*(8*$BE$104)+'LINEST VARS'!$E$64*(8*$AZ115)+'LINEST VARS'!$D$64*(8*12.73)+'LINEST VARS'!$C$64*($BE$104*$AZ115)+'LINEST VARS'!$B$64*($BE$104*12.73)+'LINEST VARS'!$A$64*($AZ115*12.73)</f>
        <v>154.58999999999989</v>
      </c>
      <c r="BF115" s="55">
        <f>'LINEST VARS'!$U$64+'LINEST VARS'!$T$64*(8)+'LINEST VARS'!$S$64*(8)+'LINEST VARS'!$R$64*($BF$104)+'LINEST VARS'!$Q$64*($AZ115)+'LINEST VARS'!$P$64*(12.73)+'LINEST VARS'!$O$64*(8^2)+'LINEST VARS'!$N$64*(8^2)+'LINEST VARS'!$M$64*($BF$104^2)+'LINEST VARS'!$L$64*($AZ115^2)+'LINEST VARS'!$K$64*(12.73^2)+'LINEST VARS'!$J$64*(8*8)+'LINEST VARS'!$I$64*(8*$BF$104)+'LINEST VARS'!$H$64*(8*$AZ115)+'LINEST VARS'!$G$64*(8*12.73)+'LINEST VARS'!$F$64*(8*$BF$104)+'LINEST VARS'!$E$64*(8*$AZ115)+'LINEST VARS'!$D$64*(8*12.73)+'LINEST VARS'!$C$64*($BF$104*$AZ115)+'LINEST VARS'!$B$64*($BF$104*12.73)+'LINEST VARS'!$A$64*($AZ115*12.73)</f>
        <v>156.18999999999988</v>
      </c>
      <c r="BG115" s="55">
        <f>'LINEST VARS'!$U$64+'LINEST VARS'!$T$64*(8)+'LINEST VARS'!$S$64*(8)+'LINEST VARS'!$R$64*($BG$104)+'LINEST VARS'!$Q$64*($AZ115)+'LINEST VARS'!$P$64*(12.73)+'LINEST VARS'!$O$64*(8^2)+'LINEST VARS'!$N$64*(8^2)+'LINEST VARS'!$M$64*($BG$104^2)+'LINEST VARS'!$L$64*($AZ115^2)+'LINEST VARS'!$K$64*(12.73^2)+'LINEST VARS'!$J$64*(8*8)+'LINEST VARS'!$I$64*(8*$BG$104)+'LINEST VARS'!$H$64*(8*$AZ115)+'LINEST VARS'!$G$64*(8*12.73)+'LINEST VARS'!$F$64*(8*$BG$104)+'LINEST VARS'!$E$64*(8*$AZ115)+'LINEST VARS'!$D$64*(8*12.73)+'LINEST VARS'!$C$64*($BG$104*$AZ115)+'LINEST VARS'!$B$64*($BG$104*12.73)+'LINEST VARS'!$A$64*($AZ115*12.73)</f>
        <v>157.78999999999988</v>
      </c>
      <c r="BH115" s="55">
        <f>'LINEST VARS'!$U$64+'LINEST VARS'!$T$64*(8)+'LINEST VARS'!$S$64*(8)+'LINEST VARS'!$R$64*($BH$104)+'LINEST VARS'!$Q$64*($AZ115)+'LINEST VARS'!$P$64*(12.73)+'LINEST VARS'!$O$64*(8^2)+'LINEST VARS'!$N$64*(8^2)+'LINEST VARS'!$M$64*($BH$104^2)+'LINEST VARS'!$L$64*($AZ115^2)+'LINEST VARS'!$K$64*(12.73^2)+'LINEST VARS'!$J$64*(8*8)+'LINEST VARS'!$I$64*(8*$BH$104)+'LINEST VARS'!$H$64*(8*$AZ115)+'LINEST VARS'!$G$64*(8*12.73)+'LINEST VARS'!$F$64*(8*$BH$104)+'LINEST VARS'!$E$64*(8*$AZ115)+'LINEST VARS'!$D$64*(8*12.73)+'LINEST VARS'!$C$64*($BH$104*$AZ115)+'LINEST VARS'!$B$64*($BH$104*12.73)+'LINEST VARS'!$A$64*($AZ115*12.73)</f>
        <v>159.38999999999987</v>
      </c>
      <c r="BI115" s="55">
        <f>'LINEST VARS'!$U$64+'LINEST VARS'!$T$64*(8)+'LINEST VARS'!$S$64*(8)+'LINEST VARS'!$R$64*($BI$104)+'LINEST VARS'!$Q$64*($AZ115)+'LINEST VARS'!$P$64*(12.73)+'LINEST VARS'!$O$64*(8^2)+'LINEST VARS'!$N$64*(8^2)+'LINEST VARS'!$M$64*($BI$104^2)+'LINEST VARS'!$L$64*($AZ115^2)+'LINEST VARS'!$K$64*(12.73^2)+'LINEST VARS'!$J$64*(8*8)+'LINEST VARS'!$I$64*(8*$BI$104)+'LINEST VARS'!$H$64*(8*$AZ115)+'LINEST VARS'!$G$64*(8*12.73)+'LINEST VARS'!$F$64*(8*$BI$104)+'LINEST VARS'!$E$64*(8*$AZ115)+'LINEST VARS'!$D$64*(8*12.73)+'LINEST VARS'!$C$64*($BI$104*$AZ115)+'LINEST VARS'!$B$64*($BI$104*12.73)+'LINEST VARS'!$A$64*($AZ115*12.73)</f>
        <v>160.9899999999999</v>
      </c>
      <c r="BJ115" s="55">
        <f>'LINEST VARS'!$U$64+'LINEST VARS'!$T$64*(8)+'LINEST VARS'!$S$64*(8)+'LINEST VARS'!$R$64*($BJ$104)+'LINEST VARS'!$Q$64*($AZ115)+'LINEST VARS'!$P$64*(12.73)+'LINEST VARS'!$O$64*(8^2)+'LINEST VARS'!$N$64*(8^2)+'LINEST VARS'!$M$64*($BJ$104^2)+'LINEST VARS'!$L$64*($AZ115^2)+'LINEST VARS'!$K$64*(12.73^2)+'LINEST VARS'!$J$64*(8*8)+'LINEST VARS'!$I$64*(8*$BJ$104)+'LINEST VARS'!$H$64*(8*$AZ115)+'LINEST VARS'!$G$64*(8*12.73)+'LINEST VARS'!$F$64*(8*$BJ$104)+'LINEST VARS'!$E$64*(8*$AZ115)+'LINEST VARS'!$D$64*(8*12.73)+'LINEST VARS'!$C$64*($BJ$104*$AZ115)+'LINEST VARS'!$B$64*($BJ$104*12.73)+'LINEST VARS'!$A$64*($AZ115*12.73)</f>
        <v>162.58999999999989</v>
      </c>
      <c r="BK115" s="55">
        <f>'LINEST VARS'!$U$64+'LINEST VARS'!$T$64*(8)+'LINEST VARS'!$S$64*(8)+'LINEST VARS'!$R$64*($BK$104)+'LINEST VARS'!$Q$64*($AZ115)+'LINEST VARS'!$P$64*(12.73)+'LINEST VARS'!$O$64*(8^2)+'LINEST VARS'!$N$64*(8^2)+'LINEST VARS'!$M$64*($BK$104^2)+'LINEST VARS'!$L$64*($AZ115^2)+'LINEST VARS'!$K$64*(12.73^2)+'LINEST VARS'!$J$64*(8*8)+'LINEST VARS'!$I$64*(8*$BK$104)+'LINEST VARS'!$H$64*(8*$AZ115)+'LINEST VARS'!$G$64*(8*12.73)+'LINEST VARS'!$F$64*(8*$BK$104)+'LINEST VARS'!$E$64*(8*$AZ115)+'LINEST VARS'!$D$64*(8*12.73)+'LINEST VARS'!$C$64*($BK$104*$AZ115)+'LINEST VARS'!$B$64*($BK$104*12.73)+'LINEST VARS'!$A$64*($AZ115*12.73)</f>
        <v>164.18999999999988</v>
      </c>
      <c r="BL115" s="55">
        <f>'LINEST VARS'!$U$64+'LINEST VARS'!$T$64*(8)+'LINEST VARS'!$S$64*(8)+'LINEST VARS'!$R$64*($BL$104)+'LINEST VARS'!$Q$64*($AZ115)+'LINEST VARS'!$P$64*(12.73)+'LINEST VARS'!$O$64*(8^2)+'LINEST VARS'!$N$64*(8^2)+'LINEST VARS'!$M$64*($BL$104^2)+'LINEST VARS'!$L$64*($AZ115^2)+'LINEST VARS'!$K$64*(12.73^2)+'LINEST VARS'!$J$64*(8*8)+'LINEST VARS'!$I$64*(8*$BL$104)+'LINEST VARS'!$H$64*(8*$AZ115)+'LINEST VARS'!$G$64*(8*12.73)+'LINEST VARS'!$F$64*(8*$BL$104)+'LINEST VARS'!$E$64*(8*$AZ115)+'LINEST VARS'!$D$64*(8*12.73)+'LINEST VARS'!$C$64*($BL$104*$AZ115)+'LINEST VARS'!$B$64*($BL$104*12.73)+'LINEST VARS'!$A$64*($AZ115*12.73)</f>
        <v>165.78999999999991</v>
      </c>
      <c r="BM115" s="55">
        <f>'LINEST VARS'!$U$64+'LINEST VARS'!$T$64*(8)+'LINEST VARS'!$S$64*(8)+'LINEST VARS'!$R$64*($BM$104)+'LINEST VARS'!$Q$64*($AZ115)+'LINEST VARS'!$P$64*(12.73)+'LINEST VARS'!$O$64*(8^2)+'LINEST VARS'!$N$64*(8^2)+'LINEST VARS'!$M$64*($BM$104^2)+'LINEST VARS'!$L$64*($AZ115^2)+'LINEST VARS'!$K$64*(12.73^2)+'LINEST VARS'!$J$64*(8*8)+'LINEST VARS'!$I$64*(8*$BM$104)+'LINEST VARS'!$H$64*(8*$AZ115)+'LINEST VARS'!$G$64*(8*12.73)+'LINEST VARS'!$F$64*(8*$BM$104)+'LINEST VARS'!$E$64*(8*$AZ115)+'LINEST VARS'!$D$64*(8*12.73)+'LINEST VARS'!$C$64*($BM$104*$AZ115)+'LINEST VARS'!$B$64*($BM$104*12.73)+'LINEST VARS'!$A$64*($AZ115*12.73)</f>
        <v>167.38999999999987</v>
      </c>
      <c r="BN115" s="55">
        <f>'LINEST VARS'!$U$64+'LINEST VARS'!$T$64*(8)+'LINEST VARS'!$S$64*(8)+'LINEST VARS'!$R$64*($BN$104)+'LINEST VARS'!$Q$64*($AZ115)+'LINEST VARS'!$P$64*(12.73)+'LINEST VARS'!$O$64*(8^2)+'LINEST VARS'!$N$64*(8^2)+'LINEST VARS'!$M$64*($BN$104^2)+'LINEST VARS'!$L$64*($AZ115^2)+'LINEST VARS'!$K$64*(12.73^2)+'LINEST VARS'!$J$64*(8*8)+'LINEST VARS'!$I$64*(8*$BN$104)+'LINEST VARS'!$H$64*(8*$AZ115)+'LINEST VARS'!$G$64*(8*12.73)+'LINEST VARS'!$F$64*(8*$BN$104)+'LINEST VARS'!$E$64*(8*$AZ115)+'LINEST VARS'!$D$64*(8*12.73)+'LINEST VARS'!$C$64*($BN$104*$AZ115)+'LINEST VARS'!$B$64*($BN$104*12.73)+'LINEST VARS'!$A$64*($AZ115*12.73)</f>
        <v>168.9899999999999</v>
      </c>
      <c r="BO115" s="55">
        <f>'LINEST VARS'!$U$64+'LINEST VARS'!$T$64*(8)+'LINEST VARS'!$S$64*(8)+'LINEST VARS'!$R$64*($BO$104)+'LINEST VARS'!$Q$64*($AZ115)+'LINEST VARS'!$P$64*(12.73)+'LINEST VARS'!$O$64*(8^2)+'LINEST VARS'!$N$64*(8^2)+'LINEST VARS'!$M$64*($BO$104^2)+'LINEST VARS'!$L$64*($AZ115^2)+'LINEST VARS'!$K$64*(12.73^2)+'LINEST VARS'!$J$64*(8*8)+'LINEST VARS'!$I$64*(8*$BO$104)+'LINEST VARS'!$H$64*(8*$AZ115)+'LINEST VARS'!$G$64*(8*12.73)+'LINEST VARS'!$F$64*(8*$BO$104)+'LINEST VARS'!$E$64*(8*$AZ115)+'LINEST VARS'!$D$64*(8*12.73)+'LINEST VARS'!$C$64*($BO$104*$AZ115)+'LINEST VARS'!$B$64*($BO$104*12.73)+'LINEST VARS'!$A$64*($AZ115*12.73)</f>
        <v>170.58999999999983</v>
      </c>
      <c r="BP115" s="55">
        <f>'LINEST VARS'!$U$64+'LINEST VARS'!$T$64*(8)+'LINEST VARS'!$S$64*(8)+'LINEST VARS'!$R$64*($BP$104)+'LINEST VARS'!$Q$64*($AZ115)+'LINEST VARS'!$P$64*(12.73)+'LINEST VARS'!$O$64*(8^2)+'LINEST VARS'!$N$64*(8^2)+'LINEST VARS'!$M$64*($BP$104^2)+'LINEST VARS'!$L$64*($AZ115^2)+'LINEST VARS'!$K$64*(12.73^2)+'LINEST VARS'!$J$64*(8*8)+'LINEST VARS'!$I$64*(8*$BP$104)+'LINEST VARS'!$H$64*(8*$AZ115)+'LINEST VARS'!$G$64*(8*12.73)+'LINEST VARS'!$F$64*(8*$BP$104)+'LINEST VARS'!$E$64*(8*$AZ115)+'LINEST VARS'!$D$64*(8*12.73)+'LINEST VARS'!$C$64*($BP$104*$AZ115)+'LINEST VARS'!$B$64*($BP$104*12.73)+'LINEST VARS'!$A$64*($AZ115*12.73)</f>
        <v>172.18999999999986</v>
      </c>
      <c r="BQ115" s="55">
        <f>'LINEST VARS'!$U$64+'LINEST VARS'!$T$64*(8)+'LINEST VARS'!$S$64*(8)+'LINEST VARS'!$R$64*($BQ$104)+'LINEST VARS'!$Q$64*($AZ115)+'LINEST VARS'!$P$64*(12.73)+'LINEST VARS'!$O$64*(8^2)+'LINEST VARS'!$N$64*(8^2)+'LINEST VARS'!$M$64*($BQ$104^2)+'LINEST VARS'!$L$64*($AZ115^2)+'LINEST VARS'!$K$64*(12.73^2)+'LINEST VARS'!$J$64*(8*8)+'LINEST VARS'!$I$64*(8*$BQ$104)+'LINEST VARS'!$H$64*(8*$AZ115)+'LINEST VARS'!$G$64*(8*12.73)+'LINEST VARS'!$F$64*(8*$BQ$104)+'LINEST VARS'!$E$64*(8*$AZ115)+'LINEST VARS'!$D$64*(8*12.73)+'LINEST VARS'!$C$64*($BQ$104*$AZ115)+'LINEST VARS'!$B$64*($BQ$104*12.73)+'LINEST VARS'!$A$64*($AZ115*12.73)</f>
        <v>173.78999999999988</v>
      </c>
      <c r="BR115" s="55">
        <f>'LINEST VARS'!$U$64+'LINEST VARS'!$T$64*(8)+'LINEST VARS'!$S$64*(8)+'LINEST VARS'!$R$64*($BR$104)+'LINEST VARS'!$Q$64*($AZ115)+'LINEST VARS'!$P$64*(12.73)+'LINEST VARS'!$O$64*(8^2)+'LINEST VARS'!$N$64*(8^2)+'LINEST VARS'!$M$64*($BR$104^2)+'LINEST VARS'!$L$64*($AZ115^2)+'LINEST VARS'!$K$64*(12.73^2)+'LINEST VARS'!$J$64*(8*8)+'LINEST VARS'!$I$64*(8*$BR$104)+'LINEST VARS'!$H$64*(8*$AZ115)+'LINEST VARS'!$G$64*(8*12.73)+'LINEST VARS'!$F$64*(8*$BR$104)+'LINEST VARS'!$E$64*(8*$AZ115)+'LINEST VARS'!$D$64*(8*12.73)+'LINEST VARS'!$C$64*($BR$104*$AZ115)+'LINEST VARS'!$B$64*($BR$104*12.73)+'LINEST VARS'!$A$64*($AZ115*12.73)</f>
        <v>175.38999999999984</v>
      </c>
      <c r="BS115" s="55">
        <f>'LINEST VARS'!$U$64+'LINEST VARS'!$T$64*(8)+'LINEST VARS'!$S$64*(8)+'LINEST VARS'!$R$64*($BS$104)+'LINEST VARS'!$Q$64*($AZ115)+'LINEST VARS'!$P$64*(12.73)+'LINEST VARS'!$O$64*(8^2)+'LINEST VARS'!$N$64*(8^2)+'LINEST VARS'!$M$64*($BS$104^2)+'LINEST VARS'!$L$64*($AZ115^2)+'LINEST VARS'!$K$64*(12.73^2)+'LINEST VARS'!$J$64*(8*8)+'LINEST VARS'!$I$64*(8*$BS$104)+'LINEST VARS'!$H$64*(8*$AZ115)+'LINEST VARS'!$G$64*(8*12.73)+'LINEST VARS'!$F$64*(8*$BS$104)+'LINEST VARS'!$E$64*(8*$AZ115)+'LINEST VARS'!$D$64*(8*12.73)+'LINEST VARS'!$C$64*($BS$104*$AZ115)+'LINEST VARS'!$B$64*($BS$104*12.73)+'LINEST VARS'!$A$64*($AZ115*12.73)</f>
        <v>176.98999999999987</v>
      </c>
      <c r="BT115" s="55">
        <f>'LINEST VARS'!$U$64+'LINEST VARS'!$T$64*(8)+'LINEST VARS'!$S$64*(8)+'LINEST VARS'!$R$64*($BT$104)+'LINEST VARS'!$Q$64*($AZ115)+'LINEST VARS'!$P$64*(12.73)+'LINEST VARS'!$O$64*(8^2)+'LINEST VARS'!$N$64*(8^2)+'LINEST VARS'!$M$64*($BT$104^2)+'LINEST VARS'!$L$64*($AZ115^2)+'LINEST VARS'!$K$64*(12.73^2)+'LINEST VARS'!$J$64*(8*8)+'LINEST VARS'!$I$64*(8*$BT$104)+'LINEST VARS'!$H$64*(8*$AZ115)+'LINEST VARS'!$G$64*(8*12.73)+'LINEST VARS'!$F$64*(8*$BT$104)+'LINEST VARS'!$E$64*(8*$AZ115)+'LINEST VARS'!$D$64*(8*12.73)+'LINEST VARS'!$C$64*($BT$104*$AZ115)+'LINEST VARS'!$B$64*($BT$104*12.73)+'LINEST VARS'!$A$64*($AZ115*12.73)</f>
        <v>178.58999999999983</v>
      </c>
      <c r="BU115" s="56">
        <f>'LINEST VARS'!$U$64+'LINEST VARS'!$T$64*(8)+'LINEST VARS'!$S$64*(8)+'LINEST VARS'!$R$64*($BU$104)+'LINEST VARS'!$Q$64*($AZ115)+'LINEST VARS'!$P$64*(12.73)+'LINEST VARS'!$O$64*(8^2)+'LINEST VARS'!$N$64*(8^2)+'LINEST VARS'!$M$64*($BU$104^2)+'LINEST VARS'!$L$64*($AZ115^2)+'LINEST VARS'!$K$64*(12.73^2)+'LINEST VARS'!$J$64*(8*8)+'LINEST VARS'!$I$64*(8*$BU$104)+'LINEST VARS'!$H$64*(8*$AZ115)+'LINEST VARS'!$G$64*(8*12.73)+'LINEST VARS'!$F$64*(8*$BU$104)+'LINEST VARS'!$E$64*(8*$AZ115)+'LINEST VARS'!$D$64*(8*12.73)+'LINEST VARS'!$C$64*($BU$104*$AZ115)+'LINEST VARS'!$B$64*($BU$104*12.73)+'LINEST VARS'!$A$64*($AZ115*12.73)</f>
        <v>180.18999999999986</v>
      </c>
      <c r="BX115" s="45">
        <v>0.5</v>
      </c>
      <c r="BY115" s="46">
        <f>'LINEST VARS'!$U$66+'LINEST VARS'!$T$66*(8)+'LINEST VARS'!$S$66*(8)+'LINEST VARS'!$R$66*($BY$104)+'LINEST VARS'!$Q$66*($BX115)+'LINEST VARS'!$P$66*(12.73)+'LINEST VARS'!$O$66*(8^2)+'LINEST VARS'!$N$66*(8^2)+'LINEST VARS'!$M$66*($BY$104^2)+'LINEST VARS'!$L$66*($BX115^2)+'LINEST VARS'!$K$66*(12.73^2)+'LINEST VARS'!$J$66*(8*8)+'LINEST VARS'!$I$66*(8*$BY$104)+'LINEST VARS'!$H$66*(8*$BX115)+'LINEST VARS'!$G$66*(8*12.73)+'LINEST VARS'!$F$66*(8*$BY$104)+'LINEST VARS'!$E$66*(8*$BX115)+'LINEST VARS'!$D$66*(8*12.73)+'LINEST VARS'!$C$66*($BY$104*$BX115)+'LINEST VARS'!$B$66*($BY$104*12.73)+'LINEST VARS'!$A$66*($BX115*12.73)</f>
        <v>144.00000000000006</v>
      </c>
      <c r="BZ115" s="46">
        <f>'LINEST VARS'!$U$66+'LINEST VARS'!$T$66*(8)+'LINEST VARS'!$S$66*(8)+'LINEST VARS'!$R$66*($BZ$104)+'LINEST VARS'!$Q$66*($BX115)+'LINEST VARS'!$P$66*(12.73)+'LINEST VARS'!$O$66*(8^2)+'LINEST VARS'!$N$66*(8^2)+'LINEST VARS'!$M$66*($BZ$104^2)+'LINEST VARS'!$L$66*($BX115^2)+'LINEST VARS'!$K$66*(12.73^2)+'LINEST VARS'!$J$66*(8*8)+'LINEST VARS'!$I$66*(8*$BZ$104)+'LINEST VARS'!$H$66*(8*$BX115)+'LINEST VARS'!$G$66*(8*12.73)+'LINEST VARS'!$F$66*(8*$BZ$104)+'LINEST VARS'!$E$66*(8*$BX115)+'LINEST VARS'!$D$66*(8*12.73)+'LINEST VARS'!$C$66*($BZ$104*$BX115)+'LINEST VARS'!$B$66*($BZ$104*12.73)+'LINEST VARS'!$A$66*($BX115*12.73)</f>
        <v>143.20000000000007</v>
      </c>
      <c r="CA115" s="46">
        <f>'LINEST VARS'!$U$66+'LINEST VARS'!$T$66*(8)+'LINEST VARS'!$S$66*(8)+'LINEST VARS'!$R$66*($CA$104)+'LINEST VARS'!$Q$66*($BX115)+'LINEST VARS'!$P$66*(12.73)+'LINEST VARS'!$O$66*(8^2)+'LINEST VARS'!$N$66*(8^2)+'LINEST VARS'!$M$66*($CA$104^2)+'LINEST VARS'!$L$66*($BX115^2)+'LINEST VARS'!$K$66*(12.73^2)+'LINEST VARS'!$J$66*(8*8)+'LINEST VARS'!$I$66*(8*$CA$104)+'LINEST VARS'!$H$66*(8*$BX115)+'LINEST VARS'!$G$66*(8*12.73)+'LINEST VARS'!$F$66*(8*$CA$104)+'LINEST VARS'!$E$66*(8*$BX115)+'LINEST VARS'!$D$66*(8*12.73)+'LINEST VARS'!$C$66*($CA$104*$BX115)+'LINEST VARS'!$B$66*($CA$104*12.73)+'LINEST VARS'!$A$66*($BX115*12.73)</f>
        <v>142.40000000000006</v>
      </c>
      <c r="CB115" s="46">
        <f>'LINEST VARS'!$U$66+'LINEST VARS'!$T$66*(8)+'LINEST VARS'!$S$66*(8)+'LINEST VARS'!$R$66*($CB$104)+'LINEST VARS'!$Q$66*($BX115)+'LINEST VARS'!$P$66*(12.73)+'LINEST VARS'!$O$66*(8^2)+'LINEST VARS'!$N$66*(8^2)+'LINEST VARS'!$M$66*($CB$104^2)+'LINEST VARS'!$L$66*($BX115^2)+'LINEST VARS'!$K$66*(12.73^2)+'LINEST VARS'!$J$66*(8*8)+'LINEST VARS'!$I$66*(8*$CB$104)+'LINEST VARS'!$H$66*(8*$BX115)+'LINEST VARS'!$G$66*(8*12.73)+'LINEST VARS'!$F$66*(8*$CB$104)+'LINEST VARS'!$E$66*(8*$BX115)+'LINEST VARS'!$D$66*(8*12.73)+'LINEST VARS'!$C$66*($CB$104*$BX115)+'LINEST VARS'!$B$66*($CB$104*12.73)+'LINEST VARS'!$A$66*($BX115*12.73)</f>
        <v>141.60000000000008</v>
      </c>
      <c r="CC115" s="46">
        <f>'LINEST VARS'!$U$66+'LINEST VARS'!$T$66*(8)+'LINEST VARS'!$S$66*(8)+'LINEST VARS'!$R$66*($CC$104)+'LINEST VARS'!$Q$66*($BX115)+'LINEST VARS'!$P$66*(12.73)+'LINEST VARS'!$O$66*(8^2)+'LINEST VARS'!$N$66*(8^2)+'LINEST VARS'!$M$66*($CC$104^2)+'LINEST VARS'!$L$66*($BX115^2)+'LINEST VARS'!$K$66*(12.73^2)+'LINEST VARS'!$J$66*(8*8)+'LINEST VARS'!$I$66*(8*$CC$104)+'LINEST VARS'!$H$66*(8*$BX115)+'LINEST VARS'!$G$66*(8*12.73)+'LINEST VARS'!$F$66*(8*$CC$104)+'LINEST VARS'!$E$66*(8*$BX115)+'LINEST VARS'!$D$66*(8*12.73)+'LINEST VARS'!$C$66*($CC$104*$BX115)+'LINEST VARS'!$B$66*($CC$104*12.73)+'LINEST VARS'!$A$66*($BX115*12.73)</f>
        <v>140.80000000000007</v>
      </c>
      <c r="CD115" s="46">
        <f>'LINEST VARS'!$U$66+'LINEST VARS'!$T$66*(8)+'LINEST VARS'!$S$66*(8)+'LINEST VARS'!$R$66*($CD$104)+'LINEST VARS'!$Q$66*($BX115)+'LINEST VARS'!$P$66*(12.73)+'LINEST VARS'!$O$66*(8^2)+'LINEST VARS'!$N$66*(8^2)+'LINEST VARS'!$M$66*($CD$104^2)+'LINEST VARS'!$L$66*($BX115^2)+'LINEST VARS'!$K$66*(12.73^2)+'LINEST VARS'!$J$66*(8*8)+'LINEST VARS'!$I$66*(8*$CD$104)+'LINEST VARS'!$H$66*(8*$BX115)+'LINEST VARS'!$G$66*(8*12.73)+'LINEST VARS'!$F$66*(8*$CD$104)+'LINEST VARS'!$E$66*(8*$BX115)+'LINEST VARS'!$D$66*(8*12.73)+'LINEST VARS'!$C$66*($CD$104*$BX115)+'LINEST VARS'!$B$66*($CD$104*12.73)+'LINEST VARS'!$A$66*($BX115*12.73)</f>
        <v>140.00000000000009</v>
      </c>
      <c r="CE115" s="46">
        <f>'LINEST VARS'!$U$66+'LINEST VARS'!$T$66*(8)+'LINEST VARS'!$S$66*(8)+'LINEST VARS'!$R$66*($CE$104)+'LINEST VARS'!$Q$66*($BX115)+'LINEST VARS'!$P$66*(12.73)+'LINEST VARS'!$O$66*(8^2)+'LINEST VARS'!$N$66*(8^2)+'LINEST VARS'!$M$66*($CE$104^2)+'LINEST VARS'!$L$66*($BX115^2)+'LINEST VARS'!$K$66*(12.73^2)+'LINEST VARS'!$J$66*(8*8)+'LINEST VARS'!$I$66*(8*$CE$104)+'LINEST VARS'!$H$66*(8*$BX115)+'LINEST VARS'!$G$66*(8*12.73)+'LINEST VARS'!$F$66*(8*$CE$104)+'LINEST VARS'!$E$66*(8*$BX115)+'LINEST VARS'!$D$66*(8*12.73)+'LINEST VARS'!$C$66*($CE$104*$BX115)+'LINEST VARS'!$B$66*($CE$104*12.73)+'LINEST VARS'!$A$66*($BX115*12.73)</f>
        <v>139.20000000000007</v>
      </c>
      <c r="CF115" s="46">
        <f>'LINEST VARS'!$U$66+'LINEST VARS'!$T$66*(8)+'LINEST VARS'!$S$66*(8)+'LINEST VARS'!$R$66*($CF$104)+'LINEST VARS'!$Q$66*($BX115)+'LINEST VARS'!$P$66*(12.73)+'LINEST VARS'!$O$66*(8^2)+'LINEST VARS'!$N$66*(8^2)+'LINEST VARS'!$M$66*($CF$104^2)+'LINEST VARS'!$L$66*($BX115^2)+'LINEST VARS'!$K$66*(12.73^2)+'LINEST VARS'!$J$66*(8*8)+'LINEST VARS'!$I$66*(8*$CF$104)+'LINEST VARS'!$H$66*(8*$BX115)+'LINEST VARS'!$G$66*(8*12.73)+'LINEST VARS'!$F$66*(8*$CF$104)+'LINEST VARS'!$E$66*(8*$BX115)+'LINEST VARS'!$D$66*(8*12.73)+'LINEST VARS'!$C$66*($CF$104*$BX115)+'LINEST VARS'!$B$66*($CF$104*12.73)+'LINEST VARS'!$A$66*($BX115*12.73)</f>
        <v>138.40000000000009</v>
      </c>
      <c r="CG115" s="46">
        <f>'LINEST VARS'!$U$66+'LINEST VARS'!$T$66*(8)+'LINEST VARS'!$S$66*(8)+'LINEST VARS'!$R$66*($CG$104)+'LINEST VARS'!$Q$66*($BX115)+'LINEST VARS'!$P$66*(12.73)+'LINEST VARS'!$O$66*(8^2)+'LINEST VARS'!$N$66*(8^2)+'LINEST VARS'!$M$66*($CG$104^2)+'LINEST VARS'!$L$66*($BX115^2)+'LINEST VARS'!$K$66*(12.73^2)+'LINEST VARS'!$J$66*(8*8)+'LINEST VARS'!$I$66*(8*$CG$104)+'LINEST VARS'!$H$66*(8*$BX115)+'LINEST VARS'!$G$66*(8*12.73)+'LINEST VARS'!$F$66*(8*$CG$104)+'LINEST VARS'!$E$66*(8*$BX115)+'LINEST VARS'!$D$66*(8*12.73)+'LINEST VARS'!$C$66*($CG$104*$BX115)+'LINEST VARS'!$B$66*($CG$104*12.73)+'LINEST VARS'!$A$66*($BX115*12.73)</f>
        <v>137.60000000000008</v>
      </c>
      <c r="CH115" s="46">
        <f>'LINEST VARS'!$U$66+'LINEST VARS'!$T$66*(8)+'LINEST VARS'!$S$66*(8)+'LINEST VARS'!$R$66*($CH$104)+'LINEST VARS'!$Q$66*($BX115)+'LINEST VARS'!$P$66*(12.73)+'LINEST VARS'!$O$66*(8^2)+'LINEST VARS'!$N$66*(8^2)+'LINEST VARS'!$M$66*($CH$104^2)+'LINEST VARS'!$L$66*($BX115^2)+'LINEST VARS'!$K$66*(12.73^2)+'LINEST VARS'!$J$66*(8*8)+'LINEST VARS'!$I$66*(8*$CH$104)+'LINEST VARS'!$H$66*(8*$BX115)+'LINEST VARS'!$G$66*(8*12.73)+'LINEST VARS'!$F$66*(8*$CH$104)+'LINEST VARS'!$E$66*(8*$BX115)+'LINEST VARS'!$D$66*(8*12.73)+'LINEST VARS'!$C$66*($CH$104*$BX115)+'LINEST VARS'!$B$66*($CH$104*12.73)+'LINEST VARS'!$A$66*($BX115*12.73)</f>
        <v>136.80000000000007</v>
      </c>
      <c r="CI115" s="46">
        <f>'LINEST VARS'!$U$66+'LINEST VARS'!$T$66*(8)+'LINEST VARS'!$S$66*(8)+'LINEST VARS'!$R$66*($CI$104)+'LINEST VARS'!$Q$66*($BX115)+'LINEST VARS'!$P$66*(12.73)+'LINEST VARS'!$O$66*(8^2)+'LINEST VARS'!$N$66*(8^2)+'LINEST VARS'!$M$66*($CI$104^2)+'LINEST VARS'!$L$66*($BX115^2)+'LINEST VARS'!$K$66*(12.73^2)+'LINEST VARS'!$J$66*(8*8)+'LINEST VARS'!$I$66*(8*$CI$104)+'LINEST VARS'!$H$66*(8*$BX115)+'LINEST VARS'!$G$66*(8*12.73)+'LINEST VARS'!$F$66*(8*$CI$104)+'LINEST VARS'!$E$66*(8*$BX115)+'LINEST VARS'!$D$66*(8*12.73)+'LINEST VARS'!$C$66*($CI$104*$BX115)+'LINEST VARS'!$B$66*($CI$104*12.73)+'LINEST VARS'!$A$66*($BX115*12.73)</f>
        <v>136.00000000000006</v>
      </c>
      <c r="CJ115" s="46">
        <f>'LINEST VARS'!$U$66+'LINEST VARS'!$T$66*(8)+'LINEST VARS'!$S$66*(8)+'LINEST VARS'!$R$66*($CJ$104)+'LINEST VARS'!$Q$66*($BX115)+'LINEST VARS'!$P$66*(12.73)+'LINEST VARS'!$O$66*(8^2)+'LINEST VARS'!$N$66*(8^2)+'LINEST VARS'!$M$66*($CJ$104^2)+'LINEST VARS'!$L$66*($BX115^2)+'LINEST VARS'!$K$66*(12.73^2)+'LINEST VARS'!$J$66*(8*8)+'LINEST VARS'!$I$66*(8*$CJ$104)+'LINEST VARS'!$H$66*(8*$BX115)+'LINEST VARS'!$G$66*(8*12.73)+'LINEST VARS'!$F$66*(8*$CJ$104)+'LINEST VARS'!$E$66*(8*$BX115)+'LINEST VARS'!$D$66*(8*12.73)+'LINEST VARS'!$C$66*($CJ$104*$BX115)+'LINEST VARS'!$B$66*($CJ$104*12.73)+'LINEST VARS'!$A$66*($BX115*12.73)</f>
        <v>135.20000000000005</v>
      </c>
      <c r="CK115" s="46">
        <f>'LINEST VARS'!$U$66+'LINEST VARS'!$T$66*(8)+'LINEST VARS'!$S$66*(8)+'LINEST VARS'!$R$66*($CK$104)+'LINEST VARS'!$Q$66*($BX115)+'LINEST VARS'!$P$66*(12.73)+'LINEST VARS'!$O$66*(8^2)+'LINEST VARS'!$N$66*(8^2)+'LINEST VARS'!$M$66*($CK$104^2)+'LINEST VARS'!$L$66*($BX115^2)+'LINEST VARS'!$K$66*(12.73^2)+'LINEST VARS'!$J$66*(8*8)+'LINEST VARS'!$I$66*(8*$CK$104)+'LINEST VARS'!$H$66*(8*$BX115)+'LINEST VARS'!$G$66*(8*12.73)+'LINEST VARS'!$F$66*(8*$CK$104)+'LINEST VARS'!$E$66*(8*$BX115)+'LINEST VARS'!$D$66*(8*12.73)+'LINEST VARS'!$C$66*($CK$104*$BX115)+'LINEST VARS'!$B$66*($CK$104*12.73)+'LINEST VARS'!$A$66*($BX115*12.73)</f>
        <v>134.40000000000003</v>
      </c>
      <c r="CL115" s="46">
        <f>'LINEST VARS'!$U$66+'LINEST VARS'!$T$66*(8)+'LINEST VARS'!$S$66*(8)+'LINEST VARS'!$R$66*($CL$104)+'LINEST VARS'!$Q$66*($BX115)+'LINEST VARS'!$P$66*(12.73)+'LINEST VARS'!$O$66*(8^2)+'LINEST VARS'!$N$66*(8^2)+'LINEST VARS'!$M$66*($CL$104^2)+'LINEST VARS'!$L$66*($BX115^2)+'LINEST VARS'!$K$66*(12.73^2)+'LINEST VARS'!$J$66*(8*8)+'LINEST VARS'!$I$66*(8*$CL$104)+'LINEST VARS'!$H$66*(8*$BX115)+'LINEST VARS'!$G$66*(8*12.73)+'LINEST VARS'!$F$66*(8*$CL$104)+'LINEST VARS'!$E$66*(8*$BX115)+'LINEST VARS'!$D$66*(8*12.73)+'LINEST VARS'!$C$66*($CL$104*$BX115)+'LINEST VARS'!$B$66*($CL$104*12.73)+'LINEST VARS'!$A$66*($BX115*12.73)</f>
        <v>133.60000000000005</v>
      </c>
      <c r="CM115" s="46">
        <f>'LINEST VARS'!$U$66+'LINEST VARS'!$T$66*(8)+'LINEST VARS'!$S$66*(8)+'LINEST VARS'!$R$66*($CM$104)+'LINEST VARS'!$Q$66*($BX115)+'LINEST VARS'!$P$66*(12.73)+'LINEST VARS'!$O$66*(8^2)+'LINEST VARS'!$N$66*(8^2)+'LINEST VARS'!$M$66*($CM$104^2)+'LINEST VARS'!$L$66*($BX115^2)+'LINEST VARS'!$K$66*(12.73^2)+'LINEST VARS'!$J$66*(8*8)+'LINEST VARS'!$I$66*(8*$CM$104)+'LINEST VARS'!$H$66*(8*$BX115)+'LINEST VARS'!$G$66*(8*12.73)+'LINEST VARS'!$F$66*(8*$CM$104)+'LINEST VARS'!$E$66*(8*$BX115)+'LINEST VARS'!$D$66*(8*12.73)+'LINEST VARS'!$C$66*($CM$104*$BX115)+'LINEST VARS'!$B$66*($CM$104*12.73)+'LINEST VARS'!$A$66*($BX115*12.73)</f>
        <v>132.80000000000004</v>
      </c>
      <c r="CN115" s="46">
        <f>'LINEST VARS'!$U$66+'LINEST VARS'!$T$66*(8)+'LINEST VARS'!$S$66*(8)+'LINEST VARS'!$R$66*($CN$104)+'LINEST VARS'!$Q$66*($BX115)+'LINEST VARS'!$P$66*(12.73)+'LINEST VARS'!$O$66*(8^2)+'LINEST VARS'!$N$66*(8^2)+'LINEST VARS'!$M$66*($CN$104^2)+'LINEST VARS'!$L$66*($BX115^2)+'LINEST VARS'!$K$66*(12.73^2)+'LINEST VARS'!$J$66*(8*8)+'LINEST VARS'!$I$66*(8*$CN$104)+'LINEST VARS'!$H$66*(8*$BX115)+'LINEST VARS'!$G$66*(8*12.73)+'LINEST VARS'!$F$66*(8*$CN$104)+'LINEST VARS'!$E$66*(8*$BX115)+'LINEST VARS'!$D$66*(8*12.73)+'LINEST VARS'!$C$66*($CN$104*$BX115)+'LINEST VARS'!$B$66*($CN$104*12.73)+'LINEST VARS'!$A$66*($BX115*12.73)</f>
        <v>132.00000000000006</v>
      </c>
      <c r="CO115" s="46">
        <f>'LINEST VARS'!$U$66+'LINEST VARS'!$T$66*(8)+'LINEST VARS'!$S$66*(8)+'LINEST VARS'!$R$66*($CO$104)+'LINEST VARS'!$Q$66*($BX115)+'LINEST VARS'!$P$66*(12.73)+'LINEST VARS'!$O$66*(8^2)+'LINEST VARS'!$N$66*(8^2)+'LINEST VARS'!$M$66*($CO$104^2)+'LINEST VARS'!$L$66*($BX115^2)+'LINEST VARS'!$K$66*(12.73^2)+'LINEST VARS'!$J$66*(8*8)+'LINEST VARS'!$I$66*(8*$CO$104)+'LINEST VARS'!$H$66*(8*$BX115)+'LINEST VARS'!$G$66*(8*12.73)+'LINEST VARS'!$F$66*(8*$CO$104)+'LINEST VARS'!$E$66*(8*$BX115)+'LINEST VARS'!$D$66*(8*12.73)+'LINEST VARS'!$C$66*($CO$104*$BX115)+'LINEST VARS'!$B$66*($CO$104*12.73)+'LINEST VARS'!$A$66*($BX115*12.73)</f>
        <v>131.20000000000005</v>
      </c>
      <c r="CP115" s="46">
        <f>'LINEST VARS'!$U$66+'LINEST VARS'!$T$66*(8)+'LINEST VARS'!$S$66*(8)+'LINEST VARS'!$R$66*($CP$104)+'LINEST VARS'!$Q$66*($BX115)+'LINEST VARS'!$P$66*(12.73)+'LINEST VARS'!$O$66*(8^2)+'LINEST VARS'!$N$66*(8^2)+'LINEST VARS'!$M$66*($CP$104^2)+'LINEST VARS'!$L$66*($BX115^2)+'LINEST VARS'!$K$66*(12.73^2)+'LINEST VARS'!$J$66*(8*8)+'LINEST VARS'!$I$66*(8*$CP$104)+'LINEST VARS'!$H$66*(8*$BX115)+'LINEST VARS'!$G$66*(8*12.73)+'LINEST VARS'!$F$66*(8*$CP$104)+'LINEST VARS'!$E$66*(8*$BX115)+'LINEST VARS'!$D$66*(8*12.73)+'LINEST VARS'!$C$66*($CP$104*$BX115)+'LINEST VARS'!$B$66*($CP$104*12.73)+'LINEST VARS'!$A$66*($BX115*12.73)</f>
        <v>130.40000000000009</v>
      </c>
      <c r="CQ115" s="46">
        <f>'LINEST VARS'!$U$66+'LINEST VARS'!$T$66*(8)+'LINEST VARS'!$S$66*(8)+'LINEST VARS'!$R$66*($CQ$104)+'LINEST VARS'!$Q$66*($BX115)+'LINEST VARS'!$P$66*(12.73)+'LINEST VARS'!$O$66*(8^2)+'LINEST VARS'!$N$66*(8^2)+'LINEST VARS'!$M$66*($CQ$104^2)+'LINEST VARS'!$L$66*($BX115^2)+'LINEST VARS'!$K$66*(12.73^2)+'LINEST VARS'!$J$66*(8*8)+'LINEST VARS'!$I$66*(8*$CQ$104)+'LINEST VARS'!$H$66*(8*$BX115)+'LINEST VARS'!$G$66*(8*12.73)+'LINEST VARS'!$F$66*(8*$CQ$104)+'LINEST VARS'!$E$66*(8*$BX115)+'LINEST VARS'!$D$66*(8*12.73)+'LINEST VARS'!$C$66*($CQ$104*$BX115)+'LINEST VARS'!$B$66*($CQ$104*12.73)+'LINEST VARS'!$A$66*($BX115*12.73)</f>
        <v>129.60000000000008</v>
      </c>
      <c r="CR115" s="46">
        <f>'LINEST VARS'!$U$66+'LINEST VARS'!$T$66*(8)+'LINEST VARS'!$S$66*(8)+'LINEST VARS'!$R$66*($CR$104)+'LINEST VARS'!$Q$66*($BX115)+'LINEST VARS'!$P$66*(12.73)+'LINEST VARS'!$O$66*(8^2)+'LINEST VARS'!$N$66*(8^2)+'LINEST VARS'!$M$66*($CR$104^2)+'LINEST VARS'!$L$66*($BX115^2)+'LINEST VARS'!$K$66*(12.73^2)+'LINEST VARS'!$J$66*(8*8)+'LINEST VARS'!$I$66*(8*$CR$104)+'LINEST VARS'!$H$66*(8*$BX115)+'LINEST VARS'!$G$66*(8*12.73)+'LINEST VARS'!$F$66*(8*$CR$104)+'LINEST VARS'!$E$66*(8*$BX115)+'LINEST VARS'!$D$66*(8*12.73)+'LINEST VARS'!$C$66*($CR$104*$BX115)+'LINEST VARS'!$B$66*($CR$104*12.73)+'LINEST VARS'!$A$66*($BX115*12.73)</f>
        <v>128.8000000000001</v>
      </c>
      <c r="CS115" s="47">
        <f>'LINEST VARS'!$U$66+'LINEST VARS'!$T$66*(8)+'LINEST VARS'!$S$66*(8)+'LINEST VARS'!$R$66*($CS$104)+'LINEST VARS'!$Q$66*($BX115)+'LINEST VARS'!$P$66*(12.73)+'LINEST VARS'!$O$66*(8^2)+'LINEST VARS'!$N$66*(8^2)+'LINEST VARS'!$M$66*($CS$104^2)+'LINEST VARS'!$L$66*($BX115^2)+'LINEST VARS'!$K$66*(12.73^2)+'LINEST VARS'!$J$66*(8*8)+'LINEST VARS'!$I$66*(8*$CS$104)+'LINEST VARS'!$H$66*(8*$BX115)+'LINEST VARS'!$G$66*(8*12.73)+'LINEST VARS'!$F$66*(8*$CS$104)+'LINEST VARS'!$E$66*(8*$BX115)+'LINEST VARS'!$D$66*(8*12.73)+'LINEST VARS'!$C$66*($CS$104*$BX115)+'LINEST VARS'!$B$66*($CS$104*12.73)+'LINEST VARS'!$A$66*($BX115*12.73)</f>
        <v>128.00000000000006</v>
      </c>
      <c r="CX115" s="45">
        <v>12.994999999999999</v>
      </c>
      <c r="CY115" s="55">
        <f>'LINEST VARS'!$U$64+'LINEST VARS'!$T$64*(8)+'LINEST VARS'!$S$64*(8)+'LINEST VARS'!$R$64*($CY$104)+'LINEST VARS'!$Q$64*(0.5)+'LINEST VARS'!$P$64*($CX115)+'LINEST VARS'!$O$64*(8^2)+'LINEST VARS'!$N$64*(8^2)+'LINEST VARS'!$M$64*($CY$104^2)+'LINEST VARS'!$L$64*(0.5^2)+'LINEST VARS'!$K$64*($CX115^2)+'LINEST VARS'!$J$64*(8*8)+'LINEST VARS'!$I$64*(8*$CY$104)+'LINEST VARS'!$H$64*(8*0.5)+'LINEST VARS'!$G$64*(8*$CX115)+'LINEST VARS'!$F$64*(8*$CY$104)+'LINEST VARS'!$E$64*(8*0.5)+'LINEST VARS'!$D$64*(8*$CX115)+'LINEST VARS'!$C$64*($CY$104*0.5)+'LINEST VARS'!$B$64*($CY$104*$CX115)+'LINEST VARS'!$A$64*(0.5*$CX115)</f>
        <v>148.98499999999987</v>
      </c>
      <c r="CZ115" s="55">
        <f>'LINEST VARS'!$U$64+'LINEST VARS'!$T$64*(8)+'LINEST VARS'!$S$64*(8)+'LINEST VARS'!$R$64*($CZ$104)+'LINEST VARS'!$Q$64*(0.5)+'LINEST VARS'!$P$64*($CX115)+'LINEST VARS'!$O$64*(8^2)+'LINEST VARS'!$N$64*(8^2)+'LINEST VARS'!$M$64*($CZ$104^2)+'LINEST VARS'!$L$64*(0.5^2)+'LINEST VARS'!$K$64*($CX115^2)+'LINEST VARS'!$J$64*(8*8)+'LINEST VARS'!$I$64*(8*$CZ$104)+'LINEST VARS'!$H$64*(8*0.5)+'LINEST VARS'!$G$64*(8*$CX115)+'LINEST VARS'!$F$64*(8*$CZ$104)+'LINEST VARS'!$E$64*(8*0.5)+'LINEST VARS'!$D$64*(8*$CX115)+'LINEST VARS'!$C$64*($CZ$104*0.5)+'LINEST VARS'!$B$64*($CZ$104*$CX115)+'LINEST VARS'!$A$64*(0.5*$CX115)</f>
        <v>150.58499999999987</v>
      </c>
      <c r="DA115" s="55">
        <f>'LINEST VARS'!$U$64+'LINEST VARS'!$T$64*(8)+'LINEST VARS'!$S$64*(8)+'LINEST VARS'!$R$64*($DA$104)+'LINEST VARS'!$Q$64*(0.5)+'LINEST VARS'!$P$64*($CX115)+'LINEST VARS'!$O$64*(8^2)+'LINEST VARS'!$N$64*(8^2)+'LINEST VARS'!$M$64*($DA$104^2)+'LINEST VARS'!$L$64*(0.5^2)+'LINEST VARS'!$K$64*($CX115^2)+'LINEST VARS'!$J$64*(8*8)+'LINEST VARS'!$I$64*(8*$DA$104)+'LINEST VARS'!$H$64*(8*0.5)+'LINEST VARS'!$G$64*(8*$CX115)+'LINEST VARS'!$F$64*(8*$DA$104)+'LINEST VARS'!$E$64*(8*0.5)+'LINEST VARS'!$D$64*(8*$CX115)+'LINEST VARS'!$C$64*($DA$104*0.5)+'LINEST VARS'!$B$64*($DA$104*$CX115)+'LINEST VARS'!$A$64*(0.5*$CX115)</f>
        <v>152.18499999999989</v>
      </c>
      <c r="DB115" s="55">
        <f>'LINEST VARS'!$U$64+'LINEST VARS'!$T$64*(8)+'LINEST VARS'!$S$64*(8)+'LINEST VARS'!$R$64*($DB$104)+'LINEST VARS'!$Q$64*(0.5)+'LINEST VARS'!$P$64*($CX115)+'LINEST VARS'!$O$64*(8^2)+'LINEST VARS'!$N$64*(8^2)+'LINEST VARS'!$M$64*($DB$104^2)+'LINEST VARS'!$L$64*(0.5^2)+'LINEST VARS'!$K$64*($CX115^2)+'LINEST VARS'!$J$64*(8*8)+'LINEST VARS'!$I$64*(8*$DB$104)+'LINEST VARS'!$H$64*(8*0.5)+'LINEST VARS'!$G$64*(8*$CX115)+'LINEST VARS'!$F$64*(8*$DB$104)+'LINEST VARS'!$E$64*(8*0.5)+'LINEST VARS'!$D$64*(8*$CX115)+'LINEST VARS'!$C$64*($DB$104*0.5)+'LINEST VARS'!$B$64*($DB$104*$CX115)+'LINEST VARS'!$A$64*(0.5*$CX115)</f>
        <v>153.78499999999988</v>
      </c>
      <c r="DC115" s="55">
        <f>'LINEST VARS'!$U$64+'LINEST VARS'!$T$64*(8)+'LINEST VARS'!$S$64*(8)+'LINEST VARS'!$R$64*($DC$104)+'LINEST VARS'!$Q$64*(0.5)+'LINEST VARS'!$P$64*($CX115)+'LINEST VARS'!$O$64*(8^2)+'LINEST VARS'!$N$64*(8^2)+'LINEST VARS'!$M$64*($DC$104^2)+'LINEST VARS'!$L$64*(0.5^2)+'LINEST VARS'!$K$64*($CX115^2)+'LINEST VARS'!$J$64*(8*8)+'LINEST VARS'!$I$64*(8*$DC$104)+'LINEST VARS'!$H$64*(8*0.5)+'LINEST VARS'!$G$64*(8*$CX115)+'LINEST VARS'!$F$64*(8*$DC$104)+'LINEST VARS'!$E$64*(8*0.5)+'LINEST VARS'!$D$64*(8*$CX115)+'LINEST VARS'!$C$64*($DC$104*0.5)+'LINEST VARS'!$B$64*($DC$104*$CX115)+'LINEST VARS'!$A$64*(0.5*$CX115)</f>
        <v>155.38499999999988</v>
      </c>
      <c r="DD115" s="55">
        <f>'LINEST VARS'!$U$64+'LINEST VARS'!$T$64*(8)+'LINEST VARS'!$S$64*(8)+'LINEST VARS'!$R$64*($DD$104)+'LINEST VARS'!$Q$64*(0.5)+'LINEST VARS'!$P$64*($CX115)+'LINEST VARS'!$O$64*(8^2)+'LINEST VARS'!$N$64*(8^2)+'LINEST VARS'!$M$64*($DD$104^2)+'LINEST VARS'!$L$64*(0.5^2)+'LINEST VARS'!$K$64*($CX115^2)+'LINEST VARS'!$J$64*(8*8)+'LINEST VARS'!$I$64*(8*$DD$104)+'LINEST VARS'!$H$64*(8*0.5)+'LINEST VARS'!$G$64*(8*$CX115)+'LINEST VARS'!$F$64*(8*$DD$104)+'LINEST VARS'!$E$64*(8*0.5)+'LINEST VARS'!$D$64*(8*$CX115)+'LINEST VARS'!$C$64*($DD$104*0.5)+'LINEST VARS'!$B$64*($DD$104*$CX115)+'LINEST VARS'!$A$64*(0.5*$CX115)</f>
        <v>156.98499999999987</v>
      </c>
      <c r="DE115" s="55">
        <f>'LINEST VARS'!$U$64+'LINEST VARS'!$T$64*(8)+'LINEST VARS'!$S$64*(8)+'LINEST VARS'!$R$64*($DE$104)+'LINEST VARS'!$Q$64*(0.5)+'LINEST VARS'!$P$64*($CX115)+'LINEST VARS'!$O$64*(8^2)+'LINEST VARS'!$N$64*(8^2)+'LINEST VARS'!$M$64*($DE$104^2)+'LINEST VARS'!$L$64*(0.5^2)+'LINEST VARS'!$K$64*($CX115^2)+'LINEST VARS'!$J$64*(8*8)+'LINEST VARS'!$I$64*(8*$DE$104)+'LINEST VARS'!$H$64*(8*0.5)+'LINEST VARS'!$G$64*(8*$CX115)+'LINEST VARS'!$F$64*(8*$DE$104)+'LINEST VARS'!$E$64*(8*0.5)+'LINEST VARS'!$D$64*(8*$CX115)+'LINEST VARS'!$C$64*($DE$104*0.5)+'LINEST VARS'!$B$64*($DE$104*$CX115)+'LINEST VARS'!$A$64*(0.5*$CX115)</f>
        <v>158.58499999999987</v>
      </c>
      <c r="DF115" s="55">
        <f>'LINEST VARS'!$U$64+'LINEST VARS'!$T$64*(8)+'LINEST VARS'!$S$64*(8)+'LINEST VARS'!$R$64*($DF$104)+'LINEST VARS'!$Q$64*(0.5)+'LINEST VARS'!$P$64*($CX115)+'LINEST VARS'!$O$64*(8^2)+'LINEST VARS'!$N$64*(8^2)+'LINEST VARS'!$M$64*($DF$104^2)+'LINEST VARS'!$L$64*(0.5^2)+'LINEST VARS'!$K$64*($CX115^2)+'LINEST VARS'!$J$64*(8*8)+'LINEST VARS'!$I$64*(8*$DF$104)+'LINEST VARS'!$H$64*(8*0.5)+'LINEST VARS'!$G$64*(8*$CX115)+'LINEST VARS'!$F$64*(8*$DF$104)+'LINEST VARS'!$E$64*(8*0.5)+'LINEST VARS'!$D$64*(8*$CX115)+'LINEST VARS'!$C$64*($DF$104*0.5)+'LINEST VARS'!$B$64*($DF$104*$CX115)+'LINEST VARS'!$A$64*(0.5*$CX115)</f>
        <v>160.18499999999989</v>
      </c>
      <c r="DG115" s="55">
        <f>'LINEST VARS'!$U$64+'LINEST VARS'!$T$64*(8)+'LINEST VARS'!$S$64*(8)+'LINEST VARS'!$R$64*($DG$104)+'LINEST VARS'!$Q$64*(0.5)+'LINEST VARS'!$P$64*($CX115)+'LINEST VARS'!$O$64*(8^2)+'LINEST VARS'!$N$64*(8^2)+'LINEST VARS'!$M$64*($DG$104^2)+'LINEST VARS'!$L$64*(0.5^2)+'LINEST VARS'!$K$64*($CX115^2)+'LINEST VARS'!$J$64*(8*8)+'LINEST VARS'!$I$64*(8*$DG$104)+'LINEST VARS'!$H$64*(8*0.5)+'LINEST VARS'!$G$64*(8*$CX115)+'LINEST VARS'!$F$64*(8*$DG$104)+'LINEST VARS'!$E$64*(8*0.5)+'LINEST VARS'!$D$64*(8*$CX115)+'LINEST VARS'!$C$64*($DG$104*0.5)+'LINEST VARS'!$B$64*($DG$104*$CX115)+'LINEST VARS'!$A$64*(0.5*$CX115)</f>
        <v>161.78499999999988</v>
      </c>
      <c r="DH115" s="55">
        <f>'LINEST VARS'!$U$64+'LINEST VARS'!$T$64*(8)+'LINEST VARS'!$S$64*(8)+'LINEST VARS'!$R$64*($DH$104)+'LINEST VARS'!$Q$64*(0.5)+'LINEST VARS'!$P$64*($CX115)+'LINEST VARS'!$O$64*(8^2)+'LINEST VARS'!$N$64*(8^2)+'LINEST VARS'!$M$64*($DH$104^2)+'LINEST VARS'!$L$64*(0.5^2)+'LINEST VARS'!$K$64*($CX115^2)+'LINEST VARS'!$J$64*(8*8)+'LINEST VARS'!$I$64*(8*$DH$104)+'LINEST VARS'!$H$64*(8*0.5)+'LINEST VARS'!$G$64*(8*$CX115)+'LINEST VARS'!$F$64*(8*$DH$104)+'LINEST VARS'!$E$64*(8*0.5)+'LINEST VARS'!$D$64*(8*$CX115)+'LINEST VARS'!$C$64*($DH$104*0.5)+'LINEST VARS'!$B$64*($DH$104*$CX115)+'LINEST VARS'!$A$64*(0.5*$CX115)</f>
        <v>163.38499999999988</v>
      </c>
      <c r="DI115" s="55">
        <f>'LINEST VARS'!$U$64+'LINEST VARS'!$T$64*(8)+'LINEST VARS'!$S$64*(8)+'LINEST VARS'!$R$64*($DI$104)+'LINEST VARS'!$Q$64*(0.5)+'LINEST VARS'!$P$64*($CX115)+'LINEST VARS'!$O$64*(8^2)+'LINEST VARS'!$N$64*(8^2)+'LINEST VARS'!$M$64*($DI$104^2)+'LINEST VARS'!$L$64*(0.5^2)+'LINEST VARS'!$K$64*($CX115^2)+'LINEST VARS'!$J$64*(8*8)+'LINEST VARS'!$I$64*(8*$DI$104)+'LINEST VARS'!$H$64*(8*0.5)+'LINEST VARS'!$G$64*(8*$CX115)+'LINEST VARS'!$F$64*(8*$DI$104)+'LINEST VARS'!$E$64*(8*0.5)+'LINEST VARS'!$D$64*(8*$CX115)+'LINEST VARS'!$C$64*($DI$104*0.5)+'LINEST VARS'!$B$64*($DI$104*$CX115)+'LINEST VARS'!$A$64*(0.5*$CX115)</f>
        <v>164.98499999999987</v>
      </c>
      <c r="DJ115" s="55">
        <f>'LINEST VARS'!$U$64+'LINEST VARS'!$T$64*(8)+'LINEST VARS'!$S$64*(8)+'LINEST VARS'!$R$64*($DJ$104)+'LINEST VARS'!$Q$64*(0.5)+'LINEST VARS'!$P$64*($CX115)+'LINEST VARS'!$O$64*(8^2)+'LINEST VARS'!$N$64*(8^2)+'LINEST VARS'!$M$64*($DJ$104^2)+'LINEST VARS'!$L$64*(0.5^2)+'LINEST VARS'!$K$64*($CX115^2)+'LINEST VARS'!$J$64*(8*8)+'LINEST VARS'!$I$64*(8*$DJ$104)+'LINEST VARS'!$H$64*(8*0.5)+'LINEST VARS'!$G$64*(8*$CX115)+'LINEST VARS'!$F$64*(8*$DJ$104)+'LINEST VARS'!$E$64*(8*0.5)+'LINEST VARS'!$D$64*(8*$CX115)+'LINEST VARS'!$C$64*($DJ$104*0.5)+'LINEST VARS'!$B$64*($DJ$104*$CX115)+'LINEST VARS'!$A$64*(0.5*$CX115)</f>
        <v>166.58499999999989</v>
      </c>
      <c r="DK115" s="55">
        <f>'LINEST VARS'!$U$64+'LINEST VARS'!$T$64*(8)+'LINEST VARS'!$S$64*(8)+'LINEST VARS'!$R$64*($DK$104)+'LINEST VARS'!$Q$64*(0.5)+'LINEST VARS'!$P$64*($CX115)+'LINEST VARS'!$O$64*(8^2)+'LINEST VARS'!$N$64*(8^2)+'LINEST VARS'!$M$64*($DK$104^2)+'LINEST VARS'!$L$64*(0.5^2)+'LINEST VARS'!$K$64*($CX115^2)+'LINEST VARS'!$J$64*(8*8)+'LINEST VARS'!$I$64*(8*$DK$104)+'LINEST VARS'!$H$64*(8*0.5)+'LINEST VARS'!$G$64*(8*$CX115)+'LINEST VARS'!$F$64*(8*$DK$104)+'LINEST VARS'!$E$64*(8*0.5)+'LINEST VARS'!$D$64*(8*$CX115)+'LINEST VARS'!$C$64*($DK$104*0.5)+'LINEST VARS'!$B$64*($DK$104*$CX115)+'LINEST VARS'!$A$64*(0.5*$CX115)</f>
        <v>168.18499999999986</v>
      </c>
      <c r="DL115" s="55">
        <f>'LINEST VARS'!$U$64+'LINEST VARS'!$T$64*(8)+'LINEST VARS'!$S$64*(8)+'LINEST VARS'!$R$64*($DL$104)+'LINEST VARS'!$Q$64*(0.5)+'LINEST VARS'!$P$64*($CX115)+'LINEST VARS'!$O$64*(8^2)+'LINEST VARS'!$N$64*(8^2)+'LINEST VARS'!$M$64*($DL$104^2)+'LINEST VARS'!$L$64*(0.5^2)+'LINEST VARS'!$K$64*($CX115^2)+'LINEST VARS'!$J$64*(8*8)+'LINEST VARS'!$I$64*(8*$DL$104)+'LINEST VARS'!$H$64*(8*0.5)+'LINEST VARS'!$G$64*(8*$CX115)+'LINEST VARS'!$F$64*(8*$DL$104)+'LINEST VARS'!$E$64*(8*0.5)+'LINEST VARS'!$D$64*(8*$CX115)+'LINEST VARS'!$C$64*($DL$104*0.5)+'LINEST VARS'!$B$64*($DL$104*$CX115)+'LINEST VARS'!$A$64*(0.5*$CX115)</f>
        <v>169.78499999999988</v>
      </c>
      <c r="DM115" s="55">
        <f>'LINEST VARS'!$U$64+'LINEST VARS'!$T$64*(8)+'LINEST VARS'!$S$64*(8)+'LINEST VARS'!$R$64*($DM$104)+'LINEST VARS'!$Q$64*(0.5)+'LINEST VARS'!$P$64*($CX115)+'LINEST VARS'!$O$64*(8^2)+'LINEST VARS'!$N$64*(8^2)+'LINEST VARS'!$M$64*($DM$104^2)+'LINEST VARS'!$L$64*(0.5^2)+'LINEST VARS'!$K$64*($CX115^2)+'LINEST VARS'!$J$64*(8*8)+'LINEST VARS'!$I$64*(8*$DM$104)+'LINEST VARS'!$H$64*(8*0.5)+'LINEST VARS'!$G$64*(8*$CX115)+'LINEST VARS'!$F$64*(8*$DM$104)+'LINEST VARS'!$E$64*(8*0.5)+'LINEST VARS'!$D$64*(8*$CX115)+'LINEST VARS'!$C$64*($DM$104*0.5)+'LINEST VARS'!$B$64*($DM$104*$CX115)+'LINEST VARS'!$A$64*(0.5*$CX115)</f>
        <v>171.38499999999985</v>
      </c>
      <c r="DN115" s="55">
        <f>'LINEST VARS'!$U$64+'LINEST VARS'!$T$64*(8)+'LINEST VARS'!$S$64*(8)+'LINEST VARS'!$R$64*($DN$104)+'LINEST VARS'!$Q$64*(0.5)+'LINEST VARS'!$P$64*($CX115)+'LINEST VARS'!$O$64*(8^2)+'LINEST VARS'!$N$64*(8^2)+'LINEST VARS'!$M$64*($DN$104^2)+'LINEST VARS'!$L$64*(0.5^2)+'LINEST VARS'!$K$64*($CX115^2)+'LINEST VARS'!$J$64*(8*8)+'LINEST VARS'!$I$64*(8*$DN$104)+'LINEST VARS'!$H$64*(8*0.5)+'LINEST VARS'!$G$64*(8*$CX115)+'LINEST VARS'!$F$64*(8*$DN$104)+'LINEST VARS'!$E$64*(8*0.5)+'LINEST VARS'!$D$64*(8*$CX115)+'LINEST VARS'!$C$64*($DN$104*0.5)+'LINEST VARS'!$B$64*($DN$104*$CX115)+'LINEST VARS'!$A$64*(0.5*$CX115)</f>
        <v>172.98499999999984</v>
      </c>
      <c r="DO115" s="55">
        <f>'LINEST VARS'!$U$64+'LINEST VARS'!$T$64*(8)+'LINEST VARS'!$S$64*(8)+'LINEST VARS'!$R$64*($DO$104)+'LINEST VARS'!$Q$64*(0.5)+'LINEST VARS'!$P$64*($CX115)+'LINEST VARS'!$O$64*(8^2)+'LINEST VARS'!$N$64*(8^2)+'LINEST VARS'!$M$64*($DO$104^2)+'LINEST VARS'!$L$64*(0.5^2)+'LINEST VARS'!$K$64*($CX115^2)+'LINEST VARS'!$J$64*(8*8)+'LINEST VARS'!$I$64*(8*$DO$104)+'LINEST VARS'!$H$64*(8*0.5)+'LINEST VARS'!$G$64*(8*$CX115)+'LINEST VARS'!$F$64*(8*$DO$104)+'LINEST VARS'!$E$64*(8*0.5)+'LINEST VARS'!$D$64*(8*$CX115)+'LINEST VARS'!$C$64*($DO$104*0.5)+'LINEST VARS'!$B$64*($DO$104*$CX115)+'LINEST VARS'!$A$64*(0.5*$CX115)</f>
        <v>174.58499999999987</v>
      </c>
      <c r="DP115" s="55">
        <f>'LINEST VARS'!$U$64+'LINEST VARS'!$T$64*(8)+'LINEST VARS'!$S$64*(8)+'LINEST VARS'!$R$64*($DP$104)+'LINEST VARS'!$Q$64*(0.5)+'LINEST VARS'!$P$64*($CX115)+'LINEST VARS'!$O$64*(8^2)+'LINEST VARS'!$N$64*(8^2)+'LINEST VARS'!$M$64*($DP$104^2)+'LINEST VARS'!$L$64*(0.5^2)+'LINEST VARS'!$K$64*($CX115^2)+'LINEST VARS'!$J$64*(8*8)+'LINEST VARS'!$I$64*(8*$DP$104)+'LINEST VARS'!$H$64*(8*0.5)+'LINEST VARS'!$G$64*(8*$CX115)+'LINEST VARS'!$F$64*(8*$DP$104)+'LINEST VARS'!$E$64*(8*0.5)+'LINEST VARS'!$D$64*(8*$CX115)+'LINEST VARS'!$C$64*($DP$104*0.5)+'LINEST VARS'!$B$64*($DP$104*$CX115)+'LINEST VARS'!$A$64*(0.5*$CX115)</f>
        <v>176.18499999999986</v>
      </c>
      <c r="DQ115" s="55">
        <f>'LINEST VARS'!$U$64+'LINEST VARS'!$T$64*(8)+'LINEST VARS'!$S$64*(8)+'LINEST VARS'!$R$64*($DQ$104)+'LINEST VARS'!$Q$64*(0.5)+'LINEST VARS'!$P$64*($CX115)+'LINEST VARS'!$O$64*(8^2)+'LINEST VARS'!$N$64*(8^2)+'LINEST VARS'!$M$64*($DQ$104^2)+'LINEST VARS'!$L$64*(0.5^2)+'LINEST VARS'!$K$64*($CX115^2)+'LINEST VARS'!$J$64*(8*8)+'LINEST VARS'!$I$64*(8*$DQ$104)+'LINEST VARS'!$H$64*(8*0.5)+'LINEST VARS'!$G$64*(8*$CX115)+'LINEST VARS'!$F$64*(8*$DQ$104)+'LINEST VARS'!$E$64*(8*0.5)+'LINEST VARS'!$D$64*(8*$CX115)+'LINEST VARS'!$C$64*($DQ$104*0.5)+'LINEST VARS'!$B$64*($DQ$104*$CX115)+'LINEST VARS'!$A$64*(0.5*$CX115)</f>
        <v>177.78499999999985</v>
      </c>
      <c r="DR115" s="55">
        <f>'LINEST VARS'!$U$64+'LINEST VARS'!$T$64*(8)+'LINEST VARS'!$S$64*(8)+'LINEST VARS'!$R$64*($DR$104)+'LINEST VARS'!$Q$64*(0.5)+'LINEST VARS'!$P$64*($CX115)+'LINEST VARS'!$O$64*(8^2)+'LINEST VARS'!$N$64*(8^2)+'LINEST VARS'!$M$64*($DR$104^2)+'LINEST VARS'!$L$64*(0.5^2)+'LINEST VARS'!$K$64*($CX115^2)+'LINEST VARS'!$J$64*(8*8)+'LINEST VARS'!$I$64*(8*$DR$104)+'LINEST VARS'!$H$64*(8*0.5)+'LINEST VARS'!$G$64*(8*$CX115)+'LINEST VARS'!$F$64*(8*$DR$104)+'LINEST VARS'!$E$64*(8*0.5)+'LINEST VARS'!$D$64*(8*$CX115)+'LINEST VARS'!$C$64*($DR$104*0.5)+'LINEST VARS'!$B$64*($DR$104*$CX115)+'LINEST VARS'!$A$64*(0.5*$CX115)</f>
        <v>179.38499999999985</v>
      </c>
      <c r="DS115" s="56">
        <f>'LINEST VARS'!$U$64+'LINEST VARS'!$T$64*(8)+'LINEST VARS'!$S$64*(8)+'LINEST VARS'!$R$64*($DS$104)+'LINEST VARS'!$Q$64*(0.5)+'LINEST VARS'!$P$64*($CX115)+'LINEST VARS'!$O$64*(8^2)+'LINEST VARS'!$N$64*(8^2)+'LINEST VARS'!$M$64*($DS$104^2)+'LINEST VARS'!$L$64*(0.5^2)+'LINEST VARS'!$K$64*($CX115^2)+'LINEST VARS'!$J$64*(8*8)+'LINEST VARS'!$I$64*(8*$DS$104)+'LINEST VARS'!$H$64*(8*0.5)+'LINEST VARS'!$G$64*(8*$CX115)+'LINEST VARS'!$F$64*(8*$DS$104)+'LINEST VARS'!$E$64*(8*0.5)+'LINEST VARS'!$D$64*(8*$CX115)+'LINEST VARS'!$C$64*($DS$104*0.5)+'LINEST VARS'!$B$64*($DS$104*$CX115)+'LINEST VARS'!$A$64*(0.5*$CX115)</f>
        <v>180.98499999999984</v>
      </c>
      <c r="DV115" s="45">
        <v>12.994999999999999</v>
      </c>
      <c r="DW115" s="46">
        <f>'LINEST VARS'!$U$66+'LINEST VARS'!$T$66*(8)+'LINEST VARS'!$S$66*(8)+'LINEST VARS'!$R$66*($DW$104)+'LINEST VARS'!$Q$66*(0.5)+'LINEST VARS'!$P$66*($DV115)+'LINEST VARS'!$O$66*(8^2)+'LINEST VARS'!$N$66*(8^2)+'LINEST VARS'!$M$66*($DW$104^2)+'LINEST VARS'!$L$66*(0.5^2)+'LINEST VARS'!$K$66*($DV115^2)+'LINEST VARS'!$J$66*(8*8)+'LINEST VARS'!$I$66*(8*$DW$104)+'LINEST VARS'!$H$66*(8*0.5)+'LINEST VARS'!$G$66*(8*$DV115)+'LINEST VARS'!$F$66*(8*$DW$104)+'LINEST VARS'!$E$66*(8*0.5)+'LINEST VARS'!$D$66*(8*$DV115)+'LINEST VARS'!$C$66*($DW$104*0.5)+'LINEST VARS'!$B$66*($DW$104*$DV115)+'LINEST VARS'!$A$66*(0.5*$DV115)</f>
        <v>144.00000000000006</v>
      </c>
      <c r="DX115" s="46">
        <f>'LINEST VARS'!$U$66+'LINEST VARS'!$T$66*(8)+'LINEST VARS'!$S$66*(8)+'LINEST VARS'!$R$66*($DX$104)+'LINEST VARS'!$Q$66*(0.5)+'LINEST VARS'!$P$66*($DV115)+'LINEST VARS'!$O$66*(8^2)+'LINEST VARS'!$N$66*(8^2)+'LINEST VARS'!$M$66*($DX$104^2)+'LINEST VARS'!$L$66*(0.5^2)+'LINEST VARS'!$K$66*($DV115^2)+'LINEST VARS'!$J$66*(8*8)+'LINEST VARS'!$I$66*(8*$DX$104)+'LINEST VARS'!$H$66*(8*0.5)+'LINEST VARS'!$G$66*(8*$DV115)+'LINEST VARS'!$F$66*(8*$DX$104)+'LINEST VARS'!$E$66*(8*0.5)+'LINEST VARS'!$D$66*(8*$DV115)+'LINEST VARS'!$C$66*($DX$104*0.5)+'LINEST VARS'!$B$66*($DX$104*$DV115)+'LINEST VARS'!$A$66*(0.5*$DV115)</f>
        <v>143.20000000000007</v>
      </c>
      <c r="DY115" s="46">
        <f>'LINEST VARS'!$U$66+'LINEST VARS'!$T$66*(8)+'LINEST VARS'!$S$66*(8)+'LINEST VARS'!$R$66*($DY$104)+'LINEST VARS'!$Q$66*(0.5)+'LINEST VARS'!$P$66*($DV115)+'LINEST VARS'!$O$66*(8^2)+'LINEST VARS'!$N$66*(8^2)+'LINEST VARS'!$M$66*($DY$104^2)+'LINEST VARS'!$L$66*(0.5^2)+'LINEST VARS'!$K$66*($DV115^2)+'LINEST VARS'!$J$66*(8*8)+'LINEST VARS'!$I$66*(8*$DY$104)+'LINEST VARS'!$H$66*(8*0.5)+'LINEST VARS'!$G$66*(8*$DV115)+'LINEST VARS'!$F$66*(8*$DY$104)+'LINEST VARS'!$E$66*(8*0.5)+'LINEST VARS'!$D$66*(8*$DV115)+'LINEST VARS'!$C$66*($DY$104*0.5)+'LINEST VARS'!$B$66*($DY$104*$DV115)+'LINEST VARS'!$A$66*(0.5*$DV115)</f>
        <v>142.40000000000006</v>
      </c>
      <c r="DZ115" s="46">
        <f>'LINEST VARS'!$U$66+'LINEST VARS'!$T$66*(8)+'LINEST VARS'!$S$66*(8)+'LINEST VARS'!$R$66*($DZ$104)+'LINEST VARS'!$Q$66*(0.5)+'LINEST VARS'!$P$66*($DV115)+'LINEST VARS'!$O$66*(8^2)+'LINEST VARS'!$N$66*(8^2)+'LINEST VARS'!$M$66*($DZ$104^2)+'LINEST VARS'!$L$66*(0.5^2)+'LINEST VARS'!$K$66*($DV115^2)+'LINEST VARS'!$J$66*(8*8)+'LINEST VARS'!$I$66*(8*$DZ$104)+'LINEST VARS'!$H$66*(8*0.5)+'LINEST VARS'!$G$66*(8*$DV115)+'LINEST VARS'!$F$66*(8*$DZ$104)+'LINEST VARS'!$E$66*(8*0.5)+'LINEST VARS'!$D$66*(8*$DV115)+'LINEST VARS'!$C$66*($DZ$104*0.5)+'LINEST VARS'!$B$66*($DZ$104*$DV115)+'LINEST VARS'!$A$66*(0.5*$DV115)</f>
        <v>141.60000000000008</v>
      </c>
      <c r="EA115" s="46">
        <f>'LINEST VARS'!$U$66+'LINEST VARS'!$T$66*(8)+'LINEST VARS'!$S$66*(8)+'LINEST VARS'!$R$66*($EA$104)+'LINEST VARS'!$Q$66*(0.5)+'LINEST VARS'!$P$66*($DV115)+'LINEST VARS'!$O$66*(8^2)+'LINEST VARS'!$N$66*(8^2)+'LINEST VARS'!$M$66*($EA$104^2)+'LINEST VARS'!$L$66*(0.5^2)+'LINEST VARS'!$K$66*($DV115^2)+'LINEST VARS'!$J$66*(8*8)+'LINEST VARS'!$I$66*(8*$EA$104)+'LINEST VARS'!$H$66*(8*0.5)+'LINEST VARS'!$G$66*(8*$DV115)+'LINEST VARS'!$F$66*(8*$EA$104)+'LINEST VARS'!$E$66*(8*0.5)+'LINEST VARS'!$D$66*(8*$DV115)+'LINEST VARS'!$C$66*($EA$104*0.5)+'LINEST VARS'!$B$66*($EA$104*$DV115)+'LINEST VARS'!$A$66*(0.5*$DV115)</f>
        <v>140.80000000000007</v>
      </c>
      <c r="EB115" s="46">
        <f>'LINEST VARS'!$U$66+'LINEST VARS'!$T$66*(8)+'LINEST VARS'!$S$66*(8)+'LINEST VARS'!$R$66*($EB$104)+'LINEST VARS'!$Q$66*(0.5)+'LINEST VARS'!$P$66*($DV115)+'LINEST VARS'!$O$66*(8^2)+'LINEST VARS'!$N$66*(8^2)+'LINEST VARS'!$M$66*($EB$104^2)+'LINEST VARS'!$L$66*(0.5^2)+'LINEST VARS'!$K$66*($DV115^2)+'LINEST VARS'!$J$66*(8*8)+'LINEST VARS'!$I$66*(8*$EB$104)+'LINEST VARS'!$H$66*(8*0.5)+'LINEST VARS'!$G$66*(8*$DV115)+'LINEST VARS'!$F$66*(8*$EB$104)+'LINEST VARS'!$E$66*(8*0.5)+'LINEST VARS'!$D$66*(8*$DV115)+'LINEST VARS'!$C$66*($EB$104*0.5)+'LINEST VARS'!$B$66*($EB$104*$DV115)+'LINEST VARS'!$A$66*(0.5*$DV115)</f>
        <v>140.00000000000009</v>
      </c>
      <c r="EC115" s="46">
        <f>'LINEST VARS'!$U$66+'LINEST VARS'!$T$66*(8)+'LINEST VARS'!$S$66*(8)+'LINEST VARS'!$R$66*($EC$104)+'LINEST VARS'!$Q$66*(0.5)+'LINEST VARS'!$P$66*($DV115)+'LINEST VARS'!$O$66*(8^2)+'LINEST VARS'!$N$66*(8^2)+'LINEST VARS'!$M$66*($EC$104^2)+'LINEST VARS'!$L$66*(0.5^2)+'LINEST VARS'!$K$66*($DV115^2)+'LINEST VARS'!$J$66*(8*8)+'LINEST VARS'!$I$66*(8*$EC$104)+'LINEST VARS'!$H$66*(8*0.5)+'LINEST VARS'!$G$66*(8*$DV115)+'LINEST VARS'!$F$66*(8*$EC$104)+'LINEST VARS'!$E$66*(8*0.5)+'LINEST VARS'!$D$66*(8*$DV115)+'LINEST VARS'!$C$66*($EC$104*0.5)+'LINEST VARS'!$B$66*($EC$104*$DV115)+'LINEST VARS'!$A$66*(0.5*$DV115)</f>
        <v>139.20000000000007</v>
      </c>
      <c r="ED115" s="46">
        <f>'LINEST VARS'!$U$66+'LINEST VARS'!$T$66*(8)+'LINEST VARS'!$S$66*(8)+'LINEST VARS'!$R$66*($ED$104)+'LINEST VARS'!$Q$66*(0.5)+'LINEST VARS'!$P$66*($DV115)+'LINEST VARS'!$O$66*(8^2)+'LINEST VARS'!$N$66*(8^2)+'LINEST VARS'!$M$66*($ED$104^2)+'LINEST VARS'!$L$66*(0.5^2)+'LINEST VARS'!$K$66*($DV115^2)+'LINEST VARS'!$J$66*(8*8)+'LINEST VARS'!$I$66*(8*$ED$104)+'LINEST VARS'!$H$66*(8*0.5)+'LINEST VARS'!$G$66*(8*$DV115)+'LINEST VARS'!$F$66*(8*$ED$104)+'LINEST VARS'!$E$66*(8*0.5)+'LINEST VARS'!$D$66*(8*$DV115)+'LINEST VARS'!$C$66*($ED$104*0.5)+'LINEST VARS'!$B$66*($ED$104*$DV115)+'LINEST VARS'!$A$66*(0.5*$DV115)</f>
        <v>138.40000000000009</v>
      </c>
      <c r="EE115" s="46">
        <f>'LINEST VARS'!$U$66+'LINEST VARS'!$T$66*(8)+'LINEST VARS'!$S$66*(8)+'LINEST VARS'!$R$66*($EE$104)+'LINEST VARS'!$Q$66*(0.5)+'LINEST VARS'!$P$66*($DV115)+'LINEST VARS'!$O$66*(8^2)+'LINEST VARS'!$N$66*(8^2)+'LINEST VARS'!$M$66*($EE$104^2)+'LINEST VARS'!$L$66*(0.5^2)+'LINEST VARS'!$K$66*($DV115^2)+'LINEST VARS'!$J$66*(8*8)+'LINEST VARS'!$I$66*(8*$EE$104)+'LINEST VARS'!$H$66*(8*0.5)+'LINEST VARS'!$G$66*(8*$DV115)+'LINEST VARS'!$F$66*(8*$EE$104)+'LINEST VARS'!$E$66*(8*0.5)+'LINEST VARS'!$D$66*(8*$DV115)+'LINEST VARS'!$C$66*($EE$104*0.5)+'LINEST VARS'!$B$66*($EE$104*$DV115)+'LINEST VARS'!$A$66*(0.5*$DV115)</f>
        <v>137.60000000000008</v>
      </c>
      <c r="EF115" s="46">
        <f>'LINEST VARS'!$U$66+'LINEST VARS'!$T$66*(8)+'LINEST VARS'!$S$66*(8)+'LINEST VARS'!$R$66*($EF$104)+'LINEST VARS'!$Q$66*(0.5)+'LINEST VARS'!$P$66*($DV115)+'LINEST VARS'!$O$66*(8^2)+'LINEST VARS'!$N$66*(8^2)+'LINEST VARS'!$M$66*($EF$104^2)+'LINEST VARS'!$L$66*(0.5^2)+'LINEST VARS'!$K$66*($DV115^2)+'LINEST VARS'!$J$66*(8*8)+'LINEST VARS'!$I$66*(8*$EF$104)+'LINEST VARS'!$H$66*(8*0.5)+'LINEST VARS'!$G$66*(8*$DV115)+'LINEST VARS'!$F$66*(8*$EF$104)+'LINEST VARS'!$E$66*(8*0.5)+'LINEST VARS'!$D$66*(8*$DV115)+'LINEST VARS'!$C$66*($EF$104*0.5)+'LINEST VARS'!$B$66*($EF$104*$DV115)+'LINEST VARS'!$A$66*(0.5*$DV115)</f>
        <v>136.80000000000007</v>
      </c>
      <c r="EG115" s="46">
        <f>'LINEST VARS'!$U$66+'LINEST VARS'!$T$66*(8)+'LINEST VARS'!$S$66*(8)+'LINEST VARS'!$R$66*($EG$104)+'LINEST VARS'!$Q$66*(0.5)+'LINEST VARS'!$P$66*($DV115)+'LINEST VARS'!$O$66*(8^2)+'LINEST VARS'!$N$66*(8^2)+'LINEST VARS'!$M$66*($EG$104^2)+'LINEST VARS'!$L$66*(0.5^2)+'LINEST VARS'!$K$66*($DV115^2)+'LINEST VARS'!$J$66*(8*8)+'LINEST VARS'!$I$66*(8*$EG$104)+'LINEST VARS'!$H$66*(8*0.5)+'LINEST VARS'!$G$66*(8*$DV115)+'LINEST VARS'!$F$66*(8*$EG$104)+'LINEST VARS'!$E$66*(8*0.5)+'LINEST VARS'!$D$66*(8*$DV115)+'LINEST VARS'!$C$66*($EG$104*0.5)+'LINEST VARS'!$B$66*($EG$104*$DV115)+'LINEST VARS'!$A$66*(0.5*$DV115)</f>
        <v>136.00000000000006</v>
      </c>
      <c r="EH115" s="46">
        <f>'LINEST VARS'!$U$66+'LINEST VARS'!$T$66*(8)+'LINEST VARS'!$S$66*(8)+'LINEST VARS'!$R$66*($EH$104)+'LINEST VARS'!$Q$66*(0.5)+'LINEST VARS'!$P$66*($DV115)+'LINEST VARS'!$O$66*(8^2)+'LINEST VARS'!$N$66*(8^2)+'LINEST VARS'!$M$66*($EH$104^2)+'LINEST VARS'!$L$66*(0.5^2)+'LINEST VARS'!$K$66*($DV115^2)+'LINEST VARS'!$J$66*(8*8)+'LINEST VARS'!$I$66*(8*$EH$104)+'LINEST VARS'!$H$66*(8*0.5)+'LINEST VARS'!$G$66*(8*$DV115)+'LINEST VARS'!$F$66*(8*$EH$104)+'LINEST VARS'!$E$66*(8*0.5)+'LINEST VARS'!$D$66*(8*$DV115)+'LINEST VARS'!$C$66*($EH$104*0.5)+'LINEST VARS'!$B$66*($EH$104*$DV115)+'LINEST VARS'!$A$66*(0.5*$DV115)</f>
        <v>135.20000000000005</v>
      </c>
      <c r="EI115" s="46">
        <f>'LINEST VARS'!$U$66+'LINEST VARS'!$T$66*(8)+'LINEST VARS'!$S$66*(8)+'LINEST VARS'!$R$66*($EI$104)+'LINEST VARS'!$Q$66*(0.5)+'LINEST VARS'!$P$66*($DV115)+'LINEST VARS'!$O$66*(8^2)+'LINEST VARS'!$N$66*(8^2)+'LINEST VARS'!$M$66*($EI$104^2)+'LINEST VARS'!$L$66*(0.5^2)+'LINEST VARS'!$K$66*($DV115^2)+'LINEST VARS'!$J$66*(8*8)+'LINEST VARS'!$I$66*(8*$EI$104)+'LINEST VARS'!$H$66*(8*0.5)+'LINEST VARS'!$G$66*(8*$DV115)+'LINEST VARS'!$F$66*(8*$EI$104)+'LINEST VARS'!$E$66*(8*0.5)+'LINEST VARS'!$D$66*(8*$DV115)+'LINEST VARS'!$C$66*($EI$104*0.5)+'LINEST VARS'!$B$66*($EI$104*$DV115)+'LINEST VARS'!$A$66*(0.5*$DV115)</f>
        <v>134.40000000000003</v>
      </c>
      <c r="EJ115" s="46">
        <f>'LINEST VARS'!$U$66+'LINEST VARS'!$T$66*(8)+'LINEST VARS'!$S$66*(8)+'LINEST VARS'!$R$66*($EJ$104)+'LINEST VARS'!$Q$66*(0.5)+'LINEST VARS'!$P$66*($DV115)+'LINEST VARS'!$O$66*(8^2)+'LINEST VARS'!$N$66*(8^2)+'LINEST VARS'!$M$66*($EJ$104^2)+'LINEST VARS'!$L$66*(0.5^2)+'LINEST VARS'!$K$66*($DV115^2)+'LINEST VARS'!$J$66*(8*8)+'LINEST VARS'!$I$66*(8*$EJ$104)+'LINEST VARS'!$H$66*(8*0.5)+'LINEST VARS'!$G$66*(8*$DV115)+'LINEST VARS'!$F$66*(8*$EJ$104)+'LINEST VARS'!$E$66*(8*0.5)+'LINEST VARS'!$D$66*(8*$DV115)+'LINEST VARS'!$C$66*($EJ$104*0.5)+'LINEST VARS'!$B$66*($EJ$104*$DV115)+'LINEST VARS'!$A$66*(0.5*$DV115)</f>
        <v>133.60000000000005</v>
      </c>
      <c r="EK115" s="46">
        <f>'LINEST VARS'!$U$66+'LINEST VARS'!$T$66*(8)+'LINEST VARS'!$S$66*(8)+'LINEST VARS'!$R$66*($EK$104)+'LINEST VARS'!$Q$66*(0.5)+'LINEST VARS'!$P$66*($DV115)+'LINEST VARS'!$O$66*(8^2)+'LINEST VARS'!$N$66*(8^2)+'LINEST VARS'!$M$66*($EK$104^2)+'LINEST VARS'!$L$66*(0.5^2)+'LINEST VARS'!$K$66*($DV115^2)+'LINEST VARS'!$J$66*(8*8)+'LINEST VARS'!$I$66*(8*$EK$104)+'LINEST VARS'!$H$66*(8*0.5)+'LINEST VARS'!$G$66*(8*$DV115)+'LINEST VARS'!$F$66*(8*$EK$104)+'LINEST VARS'!$E$66*(8*0.5)+'LINEST VARS'!$D$66*(8*$DV115)+'LINEST VARS'!$C$66*($EK$104*0.5)+'LINEST VARS'!$B$66*($EK$104*$DV115)+'LINEST VARS'!$A$66*(0.5*$DV115)</f>
        <v>132.80000000000004</v>
      </c>
      <c r="EL115" s="46">
        <f>'LINEST VARS'!$U$66+'LINEST VARS'!$T$66*(8)+'LINEST VARS'!$S$66*(8)+'LINEST VARS'!$R$66*($EL$104)+'LINEST VARS'!$Q$66*(0.5)+'LINEST VARS'!$P$66*($DV115)+'LINEST VARS'!$O$66*(8^2)+'LINEST VARS'!$N$66*(8^2)+'LINEST VARS'!$M$66*($EL$104^2)+'LINEST VARS'!$L$66*(0.5^2)+'LINEST VARS'!$K$66*($DV115^2)+'LINEST VARS'!$J$66*(8*8)+'LINEST VARS'!$I$66*(8*$EL$104)+'LINEST VARS'!$H$66*(8*0.5)+'LINEST VARS'!$G$66*(8*$DV115)+'LINEST VARS'!$F$66*(8*$EL$104)+'LINEST VARS'!$E$66*(8*0.5)+'LINEST VARS'!$D$66*(8*$DV115)+'LINEST VARS'!$C$66*($EL$104*0.5)+'LINEST VARS'!$B$66*($EL$104*$DV115)+'LINEST VARS'!$A$66*(0.5*$DV115)</f>
        <v>132.00000000000006</v>
      </c>
      <c r="EM115" s="46">
        <f>'LINEST VARS'!$U$66+'LINEST VARS'!$T$66*(8)+'LINEST VARS'!$S$66*(8)+'LINEST VARS'!$R$66*($EM$104)+'LINEST VARS'!$Q$66*(0.5)+'LINEST VARS'!$P$66*($DV115)+'LINEST VARS'!$O$66*(8^2)+'LINEST VARS'!$N$66*(8^2)+'LINEST VARS'!$M$66*($EM$104^2)+'LINEST VARS'!$L$66*(0.5^2)+'LINEST VARS'!$K$66*($DV115^2)+'LINEST VARS'!$J$66*(8*8)+'LINEST VARS'!$I$66*(8*$EM$104)+'LINEST VARS'!$H$66*(8*0.5)+'LINEST VARS'!$G$66*(8*$DV115)+'LINEST VARS'!$F$66*(8*$EM$104)+'LINEST VARS'!$E$66*(8*0.5)+'LINEST VARS'!$D$66*(8*$DV115)+'LINEST VARS'!$C$66*($EM$104*0.5)+'LINEST VARS'!$B$66*($EM$104*$DV115)+'LINEST VARS'!$A$66*(0.5*$DV115)</f>
        <v>131.20000000000005</v>
      </c>
      <c r="EN115" s="46">
        <f>'LINEST VARS'!$U$66+'LINEST VARS'!$T$66*(8)+'LINEST VARS'!$S$66*(8)+'LINEST VARS'!$R$66*($EN$104)+'LINEST VARS'!$Q$66*(0.5)+'LINEST VARS'!$P$66*($DV115)+'LINEST VARS'!$O$66*(8^2)+'LINEST VARS'!$N$66*(8^2)+'LINEST VARS'!$M$66*($EN$104^2)+'LINEST VARS'!$L$66*(0.5^2)+'LINEST VARS'!$K$66*($DV115^2)+'LINEST VARS'!$J$66*(8*8)+'LINEST VARS'!$I$66*(8*$EN$104)+'LINEST VARS'!$H$66*(8*0.5)+'LINEST VARS'!$G$66*(8*$DV115)+'LINEST VARS'!$F$66*(8*$EN$104)+'LINEST VARS'!$E$66*(8*0.5)+'LINEST VARS'!$D$66*(8*$DV115)+'LINEST VARS'!$C$66*($EN$104*0.5)+'LINEST VARS'!$B$66*($EN$104*$DV115)+'LINEST VARS'!$A$66*(0.5*$DV115)</f>
        <v>130.40000000000009</v>
      </c>
      <c r="EO115" s="46">
        <f>'LINEST VARS'!$U$66+'LINEST VARS'!$T$66*(8)+'LINEST VARS'!$S$66*(8)+'LINEST VARS'!$R$66*($EO$104)+'LINEST VARS'!$Q$66*(0.5)+'LINEST VARS'!$P$66*($DV115)+'LINEST VARS'!$O$66*(8^2)+'LINEST VARS'!$N$66*(8^2)+'LINEST VARS'!$M$66*($EO$104^2)+'LINEST VARS'!$L$66*(0.5^2)+'LINEST VARS'!$K$66*($DV115^2)+'LINEST VARS'!$J$66*(8*8)+'LINEST VARS'!$I$66*(8*$EO$104)+'LINEST VARS'!$H$66*(8*0.5)+'LINEST VARS'!$G$66*(8*$DV115)+'LINEST VARS'!$F$66*(8*$EO$104)+'LINEST VARS'!$E$66*(8*0.5)+'LINEST VARS'!$D$66*(8*$DV115)+'LINEST VARS'!$C$66*($EO$104*0.5)+'LINEST VARS'!$B$66*($EO$104*$DV115)+'LINEST VARS'!$A$66*(0.5*$DV115)</f>
        <v>129.60000000000008</v>
      </c>
      <c r="EP115" s="46">
        <f>'LINEST VARS'!$U$66+'LINEST VARS'!$T$66*(8)+'LINEST VARS'!$S$66*(8)+'LINEST VARS'!$R$66*($EP$104)+'LINEST VARS'!$Q$66*(0.5)+'LINEST VARS'!$P$66*($DV115)+'LINEST VARS'!$O$66*(8^2)+'LINEST VARS'!$N$66*(8^2)+'LINEST VARS'!$M$66*($EP$104^2)+'LINEST VARS'!$L$66*(0.5^2)+'LINEST VARS'!$K$66*($DV115^2)+'LINEST VARS'!$J$66*(8*8)+'LINEST VARS'!$I$66*(8*$EP$104)+'LINEST VARS'!$H$66*(8*0.5)+'LINEST VARS'!$G$66*(8*$DV115)+'LINEST VARS'!$F$66*(8*$EP$104)+'LINEST VARS'!$E$66*(8*0.5)+'LINEST VARS'!$D$66*(8*$DV115)+'LINEST VARS'!$C$66*($EP$104*0.5)+'LINEST VARS'!$B$66*($EP$104*$DV115)+'LINEST VARS'!$A$66*(0.5*$DV115)</f>
        <v>128.8000000000001</v>
      </c>
      <c r="EQ115" s="47">
        <f>'LINEST VARS'!$U$66+'LINEST VARS'!$T$66*(8)+'LINEST VARS'!$S$66*(8)+'LINEST VARS'!$R$66*($EQ$104)+'LINEST VARS'!$Q$66*(0.5)+'LINEST VARS'!$P$66*($DV115)+'LINEST VARS'!$O$66*(8^2)+'LINEST VARS'!$N$66*(8^2)+'LINEST VARS'!$M$66*($EQ$104^2)+'LINEST VARS'!$L$66*(0.5^2)+'LINEST VARS'!$K$66*($DV115^2)+'LINEST VARS'!$J$66*(8*8)+'LINEST VARS'!$I$66*(8*$EQ$104)+'LINEST VARS'!$H$66*(8*0.5)+'LINEST VARS'!$G$66*(8*$DV115)+'LINEST VARS'!$F$66*(8*$EQ$104)+'LINEST VARS'!$E$66*(8*0.5)+'LINEST VARS'!$D$66*(8*$DV115)+'LINEST VARS'!$C$66*($EQ$104*0.5)+'LINEST VARS'!$B$66*($EQ$104*$DV115)+'LINEST VARS'!$A$66*(0.5*$DV115)</f>
        <v>128.00000000000006</v>
      </c>
    </row>
    <row r="116" spans="2:147" ht="15" customHeight="1" x14ac:dyDescent="0.25">
      <c r="B116" s="45">
        <v>8.06</v>
      </c>
      <c r="C116" s="55">
        <f>'LINEST VARS'!$U$64+'LINEST VARS'!$T$64*($C$104)+'LINEST VARS'!$S$64*($B116)+'LINEST VARS'!$R$64*(4)+'LINEST VARS'!$Q$64*(0.5)+'LINEST VARS'!$P$64*(12.73)+'LINEST VARS'!$O$64*($C$104^2)+'LINEST VARS'!$N$64*($B116^2)+'LINEST VARS'!$M$64*(4^2)+'LINEST VARS'!$L$64*(0.5^2)+'LINEST VARS'!$K$64*(12.73^2)+'LINEST VARS'!$J$64*($C$104*$B116)+'LINEST VARS'!$I$64*($C$104*4)+'LINEST VARS'!$H$64*($C$104*0.5)+'LINEST VARS'!$G$64*($C$104*12.73)+'LINEST VARS'!$F$64*($B116*4)+'LINEST VARS'!$E$64*($B116*0.5)+'LINEST VARS'!$D$64*($B116*12.73)+'LINEST VARS'!$C$64*(4*0.5)+'LINEST VARS'!$B$64*(4*12.73)+'LINEST VARS'!$A$64*(0.5*12.73)</f>
        <v>164.18999999999986</v>
      </c>
      <c r="D116" s="55">
        <f>'LINEST VARS'!$U$64+'LINEST VARS'!$T$64*($D$104)+'LINEST VARS'!$S$64*($B116)+'LINEST VARS'!$R$64*(4)+'LINEST VARS'!$Q$64*(0.5)+'LINEST VARS'!$P$64*(12.73)+'LINEST VARS'!$O$64*($D$104^2)+'LINEST VARS'!$N$64*($B116^2)+'LINEST VARS'!$M$64*(4^2)+'LINEST VARS'!$L$64*(0.5^2)+'LINEST VARS'!$K$64*(12.73^2)+'LINEST VARS'!$J$64*($D$104*$B116)+'LINEST VARS'!$I$64*($D$104*4)+'LINEST VARS'!$H$64*($D$104*0.5)+'LINEST VARS'!$G$64*($D$104*12.73)+'LINEST VARS'!$F$64*($B116*4)+'LINEST VARS'!$E$64*($B116*0.5)+'LINEST VARS'!$D$64*($B116*12.73)+'LINEST VARS'!$C$64*(4*0.5)+'LINEST VARS'!$B$64*(4*12.73)+'LINEST VARS'!$A$64*(0.5*12.73)</f>
        <v>164.18999999999986</v>
      </c>
      <c r="E116" s="55">
        <f>'LINEST VARS'!$U$64+'LINEST VARS'!$T$64*($E$104)+'LINEST VARS'!$S$64*($B116)+'LINEST VARS'!$R$64*(4)+'LINEST VARS'!$Q$64*(0.5)+'LINEST VARS'!$P$64*(12.73)+'LINEST VARS'!$O$64*($E$104^2)+'LINEST VARS'!$N$64*($B116^2)+'LINEST VARS'!$M$64*(4^2)+'LINEST VARS'!$L$64*(0.5^2)+'LINEST VARS'!$K$64*(12.73^2)+'LINEST VARS'!$J$64*($E$104*$B116)+'LINEST VARS'!$I$64*($E$104*4)+'LINEST VARS'!$H$64*($E$104*0.5)+'LINEST VARS'!$G$64*($E$104*12.73)+'LINEST VARS'!$F$64*($B116*4)+'LINEST VARS'!$E$64*($B116*0.5)+'LINEST VARS'!$D$64*($B116*12.73)+'LINEST VARS'!$C$64*(4*0.5)+'LINEST VARS'!$B$64*(4*12.73)+'LINEST VARS'!$A$64*(0.5*12.73)</f>
        <v>164.18999999999986</v>
      </c>
      <c r="F116" s="55">
        <f>'LINEST VARS'!$U$64+'LINEST VARS'!$T$64*($F$104)+'LINEST VARS'!$S$64*($B116)+'LINEST VARS'!$R$64*(4)+'LINEST VARS'!$Q$64*(0.5)+'LINEST VARS'!$P$64*(12.73)+'LINEST VARS'!$O$64*($F$104^2)+'LINEST VARS'!$N$64*($B116^2)+'LINEST VARS'!$M$64*(4^2)+'LINEST VARS'!$L$64*(0.5^2)+'LINEST VARS'!$K$64*(12.73^2)+'LINEST VARS'!$J$64*($F$104*$B116)+'LINEST VARS'!$I$64*($F$104*4)+'LINEST VARS'!$H$64*($F$104*0.5)+'LINEST VARS'!$G$64*($F$104*12.73)+'LINEST VARS'!$F$64*($B116*4)+'LINEST VARS'!$E$64*($B116*0.5)+'LINEST VARS'!$D$64*($B116*12.73)+'LINEST VARS'!$C$64*(4*0.5)+'LINEST VARS'!$B$64*(4*12.73)+'LINEST VARS'!$A$64*(0.5*12.73)</f>
        <v>164.18999999999986</v>
      </c>
      <c r="G116" s="55">
        <f>'LINEST VARS'!$U$64+'LINEST VARS'!$T$64*($G$104)+'LINEST VARS'!$S$64*($B116)+'LINEST VARS'!$R$64*(4)+'LINEST VARS'!$Q$64*(0.5)+'LINEST VARS'!$P$64*(12.73)+'LINEST VARS'!$O$64*($G$104^2)+'LINEST VARS'!$N$64*($B116^2)+'LINEST VARS'!$M$64*(4^2)+'LINEST VARS'!$L$64*(0.5^2)+'LINEST VARS'!$K$64*(12.73^2)+'LINEST VARS'!$J$64*($G$104*$B116)+'LINEST VARS'!$I$64*($G$104*4)+'LINEST VARS'!$H$64*($G$104*0.5)+'LINEST VARS'!$G$64*($G$104*12.73)+'LINEST VARS'!$F$64*($B116*4)+'LINEST VARS'!$E$64*($B116*0.5)+'LINEST VARS'!$D$64*($B116*12.73)+'LINEST VARS'!$C$64*(4*0.5)+'LINEST VARS'!$B$64*(4*12.73)+'LINEST VARS'!$A$64*(0.5*12.73)</f>
        <v>164.18999999999988</v>
      </c>
      <c r="H116" s="55">
        <f>'LINEST VARS'!$U$64+'LINEST VARS'!$T$64*($H$104)+'LINEST VARS'!$S$64*($B116)+'LINEST VARS'!$R$64*(4)+'LINEST VARS'!$Q$64*(0.5)+'LINEST VARS'!$P$64*(12.73)+'LINEST VARS'!$O$64*($H$104^2)+'LINEST VARS'!$N$64*($B116^2)+'LINEST VARS'!$M$64*(4^2)+'LINEST VARS'!$L$64*(0.5^2)+'LINEST VARS'!$K$64*(12.73^2)+'LINEST VARS'!$J$64*($H$104*$B116)+'LINEST VARS'!$I$64*($H$104*4)+'LINEST VARS'!$H$64*($H$104*0.5)+'LINEST VARS'!$G$64*($H$104*12.73)+'LINEST VARS'!$F$64*($B116*4)+'LINEST VARS'!$E$64*($B116*0.5)+'LINEST VARS'!$D$64*($B116*12.73)+'LINEST VARS'!$C$64*(4*0.5)+'LINEST VARS'!$B$64*(4*12.73)+'LINEST VARS'!$A$64*(0.5*12.73)</f>
        <v>164.18999999999988</v>
      </c>
      <c r="I116" s="55">
        <f>'LINEST VARS'!$U$64+'LINEST VARS'!$T$64*($I$104)+'LINEST VARS'!$S$64*($B116)+'LINEST VARS'!$R$64*(4)+'LINEST VARS'!$Q$64*(0.5)+'LINEST VARS'!$P$64*(12.73)+'LINEST VARS'!$O$64*($I$104^2)+'LINEST VARS'!$N$64*($B116^2)+'LINEST VARS'!$M$64*(4^2)+'LINEST VARS'!$L$64*(0.5^2)+'LINEST VARS'!$K$64*(12.73^2)+'LINEST VARS'!$J$64*($I$104*$B116)+'LINEST VARS'!$I$64*($I$104*4)+'LINEST VARS'!$H$64*($I$104*0.5)+'LINEST VARS'!$G$64*($I$104*12.73)+'LINEST VARS'!$F$64*($B116*4)+'LINEST VARS'!$E$64*($B116*0.5)+'LINEST VARS'!$D$64*($B116*12.73)+'LINEST VARS'!$C$64*(4*0.5)+'LINEST VARS'!$B$64*(4*12.73)+'LINEST VARS'!$A$64*(0.5*12.73)</f>
        <v>164.18999999999988</v>
      </c>
      <c r="J116" s="55">
        <f>'LINEST VARS'!$U$64+'LINEST VARS'!$T$64*($J$104)+'LINEST VARS'!$S$64*($B116)+'LINEST VARS'!$R$64*(4)+'LINEST VARS'!$Q$64*(0.5)+'LINEST VARS'!$P$64*(12.73)+'LINEST VARS'!$O$64*($J$104^2)+'LINEST VARS'!$N$64*($B116^2)+'LINEST VARS'!$M$64*(4^2)+'LINEST VARS'!$L$64*(0.5^2)+'LINEST VARS'!$K$64*(12.73^2)+'LINEST VARS'!$J$64*($J$104*$B116)+'LINEST VARS'!$I$64*($J$104*4)+'LINEST VARS'!$H$64*($J$104*0.5)+'LINEST VARS'!$G$64*($J$104*12.73)+'LINEST VARS'!$F$64*($B116*4)+'LINEST VARS'!$E$64*($B116*0.5)+'LINEST VARS'!$D$64*($B116*12.73)+'LINEST VARS'!$C$64*(4*0.5)+'LINEST VARS'!$B$64*(4*12.73)+'LINEST VARS'!$A$64*(0.5*12.73)</f>
        <v>164.18999999999988</v>
      </c>
      <c r="K116" s="55">
        <f>'LINEST VARS'!$U$64+'LINEST VARS'!$T$64*($K$104)+'LINEST VARS'!$S$64*($B116)+'LINEST VARS'!$R$64*(4)+'LINEST VARS'!$Q$64*(0.5)+'LINEST VARS'!$P$64*(12.73)+'LINEST VARS'!$O$64*($K$104^2)+'LINEST VARS'!$N$64*($B116^2)+'LINEST VARS'!$M$64*(4^2)+'LINEST VARS'!$L$64*(0.5^2)+'LINEST VARS'!$K$64*(12.73^2)+'LINEST VARS'!$J$64*($K$104*$B116)+'LINEST VARS'!$I$64*($K$104*4)+'LINEST VARS'!$H$64*($K$104*0.5)+'LINEST VARS'!$G$64*($K$104*12.73)+'LINEST VARS'!$F$64*($B116*4)+'LINEST VARS'!$E$64*($B116*0.5)+'LINEST VARS'!$D$64*($B116*12.73)+'LINEST VARS'!$C$64*(4*0.5)+'LINEST VARS'!$B$64*(4*12.73)+'LINEST VARS'!$A$64*(0.5*12.73)</f>
        <v>164.18999999999988</v>
      </c>
      <c r="L116" s="55">
        <f>'LINEST VARS'!$U$64+'LINEST VARS'!$T$64*($L$104)+'LINEST VARS'!$S$64*($B116)+'LINEST VARS'!$R$64*(4)+'LINEST VARS'!$Q$64*(0.5)+'LINEST VARS'!$P$64*(12.73)+'LINEST VARS'!$O$64*($L$104^2)+'LINEST VARS'!$N$64*($B116^2)+'LINEST VARS'!$M$64*(4^2)+'LINEST VARS'!$L$64*(0.5^2)+'LINEST VARS'!$K$64*(12.73^2)+'LINEST VARS'!$J$64*($L$104*$B116)+'LINEST VARS'!$I$64*($L$104*4)+'LINEST VARS'!$H$64*($L$104*0.5)+'LINEST VARS'!$G$64*($L$104*12.73)+'LINEST VARS'!$F$64*($B116*4)+'LINEST VARS'!$E$64*($B116*0.5)+'LINEST VARS'!$D$64*($B116*12.73)+'LINEST VARS'!$C$64*(4*0.5)+'LINEST VARS'!$B$64*(4*12.73)+'LINEST VARS'!$A$64*(0.5*12.73)</f>
        <v>164.18999999999988</v>
      </c>
      <c r="M116" s="55">
        <f>'LINEST VARS'!$U$64+'LINEST VARS'!$T$64*($M$104)+'LINEST VARS'!$S$64*($B116)+'LINEST VARS'!$R$64*(4)+'LINEST VARS'!$Q$64*(0.5)+'LINEST VARS'!$P$64*(12.73)+'LINEST VARS'!$O$64*($M$104^2)+'LINEST VARS'!$N$64*($B116^2)+'LINEST VARS'!$M$64*(4^2)+'LINEST VARS'!$L$64*(0.5^2)+'LINEST VARS'!$K$64*(12.73^2)+'LINEST VARS'!$J$64*($M$104*$B116)+'LINEST VARS'!$I$64*($M$104*4)+'LINEST VARS'!$H$64*($M$104*0.5)+'LINEST VARS'!$G$64*($M$104*12.73)+'LINEST VARS'!$F$64*($B116*4)+'LINEST VARS'!$E$64*($B116*0.5)+'LINEST VARS'!$D$64*($B116*12.73)+'LINEST VARS'!$C$64*(4*0.5)+'LINEST VARS'!$B$64*(4*12.73)+'LINEST VARS'!$A$64*(0.5*12.73)</f>
        <v>164.18999999999988</v>
      </c>
      <c r="N116" s="55">
        <f>'LINEST VARS'!$U$64+'LINEST VARS'!$T$64*($N$104)+'LINEST VARS'!$S$64*($B116)+'LINEST VARS'!$R$64*(4)+'LINEST VARS'!$Q$64*(0.5)+'LINEST VARS'!$P$64*(12.73)+'LINEST VARS'!$O$64*($N$104^2)+'LINEST VARS'!$N$64*($B116^2)+'LINEST VARS'!$M$64*(4^2)+'LINEST VARS'!$L$64*(0.5^2)+'LINEST VARS'!$K$64*(12.73^2)+'LINEST VARS'!$J$64*($N$104*$B116)+'LINEST VARS'!$I$64*($N$104*4)+'LINEST VARS'!$H$64*($N$104*0.5)+'LINEST VARS'!$G$64*($N$104*12.73)+'LINEST VARS'!$F$64*($B116*4)+'LINEST VARS'!$E$64*($B116*0.5)+'LINEST VARS'!$D$64*($B116*12.73)+'LINEST VARS'!$C$64*(4*0.5)+'LINEST VARS'!$B$64*(4*12.73)+'LINEST VARS'!$A$64*(0.5*12.73)</f>
        <v>164.18999999999988</v>
      </c>
      <c r="O116" s="55">
        <f>'LINEST VARS'!$U$64+'LINEST VARS'!$T$64*($O$104)+'LINEST VARS'!$S$64*($B116)+'LINEST VARS'!$R$64*(4)+'LINEST VARS'!$Q$64*(0.5)+'LINEST VARS'!$P$64*(12.73)+'LINEST VARS'!$O$64*($O$104^2)+'LINEST VARS'!$N$64*($B116^2)+'LINEST VARS'!$M$64*(4^2)+'LINEST VARS'!$L$64*(0.5^2)+'LINEST VARS'!$K$64*(12.73^2)+'LINEST VARS'!$J$64*($O$104*$B116)+'LINEST VARS'!$I$64*($O$104*4)+'LINEST VARS'!$H$64*($O$104*0.5)+'LINEST VARS'!$G$64*($O$104*12.73)+'LINEST VARS'!$F$64*($B116*4)+'LINEST VARS'!$E$64*($B116*0.5)+'LINEST VARS'!$D$64*($B116*12.73)+'LINEST VARS'!$C$64*(4*0.5)+'LINEST VARS'!$B$64*(4*12.73)+'LINEST VARS'!$A$64*(0.5*12.73)</f>
        <v>164.18999999999988</v>
      </c>
      <c r="P116" s="55">
        <f>'LINEST VARS'!$U$64+'LINEST VARS'!$T$64*($P$104)+'LINEST VARS'!$S$64*($B116)+'LINEST VARS'!$R$64*(4)+'LINEST VARS'!$Q$64*(0.5)+'LINEST VARS'!$P$64*(12.73)+'LINEST VARS'!$O$64*($P$104^2)+'LINEST VARS'!$N$64*($B116^2)+'LINEST VARS'!$M$64*(4^2)+'LINEST VARS'!$L$64*(0.5^2)+'LINEST VARS'!$K$64*(12.73^2)+'LINEST VARS'!$J$64*($P$104*$B116)+'LINEST VARS'!$I$64*($P$104*4)+'LINEST VARS'!$H$64*($P$104*0.5)+'LINEST VARS'!$G$64*($P$104*12.73)+'LINEST VARS'!$F$64*($B116*4)+'LINEST VARS'!$E$64*($B116*0.5)+'LINEST VARS'!$D$64*($B116*12.73)+'LINEST VARS'!$C$64*(4*0.5)+'LINEST VARS'!$B$64*(4*12.73)+'LINEST VARS'!$A$64*(0.5*12.73)</f>
        <v>164.18999999999991</v>
      </c>
      <c r="Q116" s="55">
        <f>'LINEST VARS'!$U$64+'LINEST VARS'!$T$64*($Q$104)+'LINEST VARS'!$S$64*($B116)+'LINEST VARS'!$R$64*(4)+'LINEST VARS'!$Q$64*(0.5)+'LINEST VARS'!$P$64*(12.73)+'LINEST VARS'!$O$64*($Q$104^2)+'LINEST VARS'!$N$64*($B116^2)+'LINEST VARS'!$M$64*(4^2)+'LINEST VARS'!$L$64*(0.5^2)+'LINEST VARS'!$K$64*(12.73^2)+'LINEST VARS'!$J$64*($Q$104*$B116)+'LINEST VARS'!$I$64*($Q$104*4)+'LINEST VARS'!$H$64*($Q$104*0.5)+'LINEST VARS'!$G$64*($Q$104*12.73)+'LINEST VARS'!$F$64*($B116*4)+'LINEST VARS'!$E$64*($B116*0.5)+'LINEST VARS'!$D$64*($B116*12.73)+'LINEST VARS'!$C$64*(4*0.5)+'LINEST VARS'!$B$64*(4*12.73)+'LINEST VARS'!$A$64*(0.5*12.73)</f>
        <v>164.18999999999991</v>
      </c>
      <c r="R116" s="55">
        <f>'LINEST VARS'!$U$64+'LINEST VARS'!$T$64*($R$104)+'LINEST VARS'!$S$64*($B116)+'LINEST VARS'!$R$64*(4)+'LINEST VARS'!$Q$64*(0.5)+'LINEST VARS'!$P$64*(12.73)+'LINEST VARS'!$O$64*($R$104^2)+'LINEST VARS'!$N$64*($B116^2)+'LINEST VARS'!$M$64*(4^2)+'LINEST VARS'!$L$64*(0.5^2)+'LINEST VARS'!$K$64*(12.73^2)+'LINEST VARS'!$J$64*($R$104*$B116)+'LINEST VARS'!$I$64*($R$104*4)+'LINEST VARS'!$H$64*($R$104*0.5)+'LINEST VARS'!$G$64*($R$104*12.73)+'LINEST VARS'!$F$64*($B116*4)+'LINEST VARS'!$E$64*($B116*0.5)+'LINEST VARS'!$D$64*($B116*12.73)+'LINEST VARS'!$C$64*(4*0.5)+'LINEST VARS'!$B$64*(4*12.73)+'LINEST VARS'!$A$64*(0.5*12.73)</f>
        <v>164.18999999999991</v>
      </c>
      <c r="S116" s="55">
        <f>'LINEST VARS'!$U$64+'LINEST VARS'!$T$64*($S$104)+'LINEST VARS'!$S$64*($B116)+'LINEST VARS'!$R$64*(4)+'LINEST VARS'!$Q$64*(0.5)+'LINEST VARS'!$P$64*(12.73)+'LINEST VARS'!$O$64*($S$104^2)+'LINEST VARS'!$N$64*($B116^2)+'LINEST VARS'!$M$64*(4^2)+'LINEST VARS'!$L$64*(0.5^2)+'LINEST VARS'!$K$64*(12.73^2)+'LINEST VARS'!$J$64*($S$104*$B116)+'LINEST VARS'!$I$64*($S$104*4)+'LINEST VARS'!$H$64*($S$104*0.5)+'LINEST VARS'!$G$64*($S$104*12.73)+'LINEST VARS'!$F$64*($B116*4)+'LINEST VARS'!$E$64*($B116*0.5)+'LINEST VARS'!$D$64*($B116*12.73)+'LINEST VARS'!$C$64*(4*0.5)+'LINEST VARS'!$B$64*(4*12.73)+'LINEST VARS'!$A$64*(0.5*12.73)</f>
        <v>164.18999999999991</v>
      </c>
      <c r="T116" s="55">
        <f>'LINEST VARS'!$U$64+'LINEST VARS'!$T$64*($T$104)+'LINEST VARS'!$S$64*($B116)+'LINEST VARS'!$R$64*(4)+'LINEST VARS'!$Q$64*(0.5)+'LINEST VARS'!$P$64*(12.73)+'LINEST VARS'!$O$64*($T$104^2)+'LINEST VARS'!$N$64*($B116^2)+'LINEST VARS'!$M$64*(4^2)+'LINEST VARS'!$L$64*(0.5^2)+'LINEST VARS'!$K$64*(12.73^2)+'LINEST VARS'!$J$64*($T$104*$B116)+'LINEST VARS'!$I$64*($T$104*4)+'LINEST VARS'!$H$64*($T$104*0.5)+'LINEST VARS'!$G$64*($T$104*12.73)+'LINEST VARS'!$F$64*($B116*4)+'LINEST VARS'!$E$64*($B116*0.5)+'LINEST VARS'!$D$64*($B116*12.73)+'LINEST VARS'!$C$64*(4*0.5)+'LINEST VARS'!$B$64*(4*12.73)+'LINEST VARS'!$A$64*(0.5*12.73)</f>
        <v>164.18999999999988</v>
      </c>
      <c r="U116" s="55">
        <f>'LINEST VARS'!$U$64+'LINEST VARS'!$T$64*($U$104)+'LINEST VARS'!$S$64*($B116)+'LINEST VARS'!$R$64*(4)+'LINEST VARS'!$Q$64*(0.5)+'LINEST VARS'!$P$64*(12.73)+'LINEST VARS'!$O$64*($U$104^2)+'LINEST VARS'!$N$64*($B116^2)+'LINEST VARS'!$M$64*(4^2)+'LINEST VARS'!$L$64*(0.5^2)+'LINEST VARS'!$K$64*(12.73^2)+'LINEST VARS'!$J$64*($U$104*$B116)+'LINEST VARS'!$I$64*($U$104*4)+'LINEST VARS'!$H$64*($U$104*0.5)+'LINEST VARS'!$G$64*($U$104*12.73)+'LINEST VARS'!$F$64*($B116*4)+'LINEST VARS'!$E$64*($B116*0.5)+'LINEST VARS'!$D$64*($B116*12.73)+'LINEST VARS'!$C$64*(4*0.5)+'LINEST VARS'!$B$64*(4*12.73)+'LINEST VARS'!$A$64*(0.5*12.73)</f>
        <v>164.18999999999988</v>
      </c>
      <c r="V116" s="55">
        <f>'LINEST VARS'!$U$64+'LINEST VARS'!$T$64*($V$104)+'LINEST VARS'!$S$64*($B116)+'LINEST VARS'!$R$64*(4)+'LINEST VARS'!$Q$64*(0.5)+'LINEST VARS'!$P$64*(12.73)+'LINEST VARS'!$O$64*($V$104^2)+'LINEST VARS'!$N$64*($B116^2)+'LINEST VARS'!$M$64*(4^2)+'LINEST VARS'!$L$64*(0.5^2)+'LINEST VARS'!$K$64*(12.73^2)+'LINEST VARS'!$J$64*($V$104*$B116)+'LINEST VARS'!$I$64*($V$104*4)+'LINEST VARS'!$H$64*($V$104*0.5)+'LINEST VARS'!$G$64*($V$104*12.73)+'LINEST VARS'!$F$64*($B116*4)+'LINEST VARS'!$E$64*($B116*0.5)+'LINEST VARS'!$D$64*($B116*12.73)+'LINEST VARS'!$C$64*(4*0.5)+'LINEST VARS'!$B$64*(4*12.73)+'LINEST VARS'!$A$64*(0.5*12.73)</f>
        <v>164.18999999999988</v>
      </c>
      <c r="W116" s="56">
        <f>'LINEST VARS'!$U$64+'LINEST VARS'!$T$64*($W$104)+'LINEST VARS'!$S$64*($B116)+'LINEST VARS'!$R$64*(4)+'LINEST VARS'!$Q$64*(0.5)+'LINEST VARS'!$P$64*(12.73)+'LINEST VARS'!$O$64*($W$104^2)+'LINEST VARS'!$N$64*($B116^2)+'LINEST VARS'!$M$64*(4^2)+'LINEST VARS'!$L$64*(0.5^2)+'LINEST VARS'!$K$64*(12.73^2)+'LINEST VARS'!$J$64*($W$104*$B116)+'LINEST VARS'!$I$64*($W$104*4)+'LINEST VARS'!$H$64*($W$104*0.5)+'LINEST VARS'!$G$64*($W$104*12.73)+'LINEST VARS'!$F$64*($B116*4)+'LINEST VARS'!$E$64*($B116*0.5)+'LINEST VARS'!$D$64*($B116*12.73)+'LINEST VARS'!$C$64*(4*0.5)+'LINEST VARS'!$B$64*(4*12.73)+'LINEST VARS'!$A$64*(0.5*12.73)</f>
        <v>164.18999999999988</v>
      </c>
      <c r="Z116" s="45">
        <v>8.06</v>
      </c>
      <c r="AA116" s="46">
        <f>'LINEST VARS'!$U$66+'LINEST VARS'!$T$66*($AA$104)+'LINEST VARS'!$S$66*($Z116)+'LINEST VARS'!$R$66*(4)+'LINEST VARS'!$Q$66*(0.5)+'LINEST VARS'!$P$66*(12.73)+'LINEST VARS'!$O$66*($AA$104^2)+'LINEST VARS'!$N$66*($Z116^2)+'LINEST VARS'!$M$66*(4^2)+'LINEST VARS'!$L$66*(0.5^2)+'LINEST VARS'!$K$66*(12.73^2)+'LINEST VARS'!$J$66*($AA$104*$Z116)+'LINEST VARS'!$I$66*($AA$104*4)+'LINEST VARS'!$H$66*($AA$104*0.5)+'LINEST VARS'!$G$66*($AA$104*12.73)+'LINEST VARS'!$F$66*($Z116*4)+'LINEST VARS'!$E$66*($Z116*0.5)+'LINEST VARS'!$D$66*($Z116*12.73)+'LINEST VARS'!$C$66*(4*0.5)+'LINEST VARS'!$B$66*(4*12.73)+'LINEST VARS'!$A$66*(0.5*12.73)</f>
        <v>134.20000000000005</v>
      </c>
      <c r="AB116" s="46">
        <f>'LINEST VARS'!$U$66+'LINEST VARS'!$T$66*($AB$104)+'LINEST VARS'!$S$66*($Z116)+'LINEST VARS'!$R$66*(4)+'LINEST VARS'!$Q$66*(0.5)+'LINEST VARS'!$P$66*(12.73)+'LINEST VARS'!$O$66*($AB$104^2)+'LINEST VARS'!$N$66*($Z116^2)+'LINEST VARS'!$M$66*(4^2)+'LINEST VARS'!$L$66*(0.5^2)+'LINEST VARS'!$K$66*(12.73^2)+'LINEST VARS'!$J$66*($AB$104*$Z116)+'LINEST VARS'!$I$66*($AB$104*4)+'LINEST VARS'!$H$66*($AB$104*0.5)+'LINEST VARS'!$G$66*($AB$104*12.73)+'LINEST VARS'!$F$66*($Z116*4)+'LINEST VARS'!$E$66*($Z116*0.5)+'LINEST VARS'!$D$66*($Z116*12.73)+'LINEST VARS'!$C$66*(4*0.5)+'LINEST VARS'!$B$66*(4*12.73)+'LINEST VARS'!$A$66*(0.5*12.73)</f>
        <v>134.38000000000005</v>
      </c>
      <c r="AC116" s="46">
        <f>'LINEST VARS'!$U$66+'LINEST VARS'!$T$66*($AC$104)+'LINEST VARS'!$S$66*($Z116)+'LINEST VARS'!$R$66*(4)+'LINEST VARS'!$Q$66*(0.5)+'LINEST VARS'!$P$66*(12.73)+'LINEST VARS'!$O$66*($AC$104^2)+'LINEST VARS'!$N$66*($Z116^2)+'LINEST VARS'!$M$66*(4^2)+'LINEST VARS'!$L$66*(0.5^2)+'LINEST VARS'!$K$66*(12.73^2)+'LINEST VARS'!$J$66*($AC$104*$Z116)+'LINEST VARS'!$I$66*($AC$104*4)+'LINEST VARS'!$H$66*($AC$104*0.5)+'LINEST VARS'!$G$66*($AC$104*12.73)+'LINEST VARS'!$F$66*($Z116*4)+'LINEST VARS'!$E$66*($Z116*0.5)+'LINEST VARS'!$D$66*($Z116*12.73)+'LINEST VARS'!$C$66*(4*0.5)+'LINEST VARS'!$B$66*(4*12.73)+'LINEST VARS'!$A$66*(0.5*12.73)</f>
        <v>134.56000000000003</v>
      </c>
      <c r="AD116" s="46">
        <f>'LINEST VARS'!$U$66+'LINEST VARS'!$T$66*($AD$104)+'LINEST VARS'!$S$66*($Z116)+'LINEST VARS'!$R$66*(4)+'LINEST VARS'!$Q$66*(0.5)+'LINEST VARS'!$P$66*(12.73)+'LINEST VARS'!$O$66*($AD$104^2)+'LINEST VARS'!$N$66*($Z116^2)+'LINEST VARS'!$M$66*(4^2)+'LINEST VARS'!$L$66*(0.5^2)+'LINEST VARS'!$K$66*(12.73^2)+'LINEST VARS'!$J$66*($AD$104*$Z116)+'LINEST VARS'!$I$66*($AD$104*4)+'LINEST VARS'!$H$66*($AD$104*0.5)+'LINEST VARS'!$G$66*($AD$104*12.73)+'LINEST VARS'!$F$66*($Z116*4)+'LINEST VARS'!$E$66*($Z116*0.5)+'LINEST VARS'!$D$66*($Z116*12.73)+'LINEST VARS'!$C$66*(4*0.5)+'LINEST VARS'!$B$66*(4*12.73)+'LINEST VARS'!$A$66*(0.5*12.73)</f>
        <v>134.74000000000007</v>
      </c>
      <c r="AE116" s="46">
        <f>'LINEST VARS'!$U$66+'LINEST VARS'!$T$66*($AE$104)+'LINEST VARS'!$S$66*($Z116)+'LINEST VARS'!$R$66*(4)+'LINEST VARS'!$Q$66*(0.5)+'LINEST VARS'!$P$66*(12.73)+'LINEST VARS'!$O$66*($AE$104^2)+'LINEST VARS'!$N$66*($Z116^2)+'LINEST VARS'!$M$66*(4^2)+'LINEST VARS'!$L$66*(0.5^2)+'LINEST VARS'!$K$66*(12.73^2)+'LINEST VARS'!$J$66*($AE$104*$Z116)+'LINEST VARS'!$I$66*($AE$104*4)+'LINEST VARS'!$H$66*($AE$104*0.5)+'LINEST VARS'!$G$66*($AE$104*12.73)+'LINEST VARS'!$F$66*($Z116*4)+'LINEST VARS'!$E$66*($Z116*0.5)+'LINEST VARS'!$D$66*($Z116*12.73)+'LINEST VARS'!$C$66*(4*0.5)+'LINEST VARS'!$B$66*(4*12.73)+'LINEST VARS'!$A$66*(0.5*12.73)</f>
        <v>134.92000000000007</v>
      </c>
      <c r="AF116" s="46">
        <f>'LINEST VARS'!$U$66+'LINEST VARS'!$T$66*($AF$104)+'LINEST VARS'!$S$66*($Z116)+'LINEST VARS'!$R$66*(4)+'LINEST VARS'!$Q$66*(0.5)+'LINEST VARS'!$P$66*(12.73)+'LINEST VARS'!$O$66*($AF$104^2)+'LINEST VARS'!$N$66*($Z116^2)+'LINEST VARS'!$M$66*(4^2)+'LINEST VARS'!$L$66*(0.5^2)+'LINEST VARS'!$K$66*(12.73^2)+'LINEST VARS'!$J$66*($AF$104*$Z116)+'LINEST VARS'!$I$66*($AF$104*4)+'LINEST VARS'!$H$66*($AF$104*0.5)+'LINEST VARS'!$G$66*($AF$104*12.73)+'LINEST VARS'!$F$66*($Z116*4)+'LINEST VARS'!$E$66*($Z116*0.5)+'LINEST VARS'!$D$66*($Z116*12.73)+'LINEST VARS'!$C$66*(4*0.5)+'LINEST VARS'!$B$66*(4*12.73)+'LINEST VARS'!$A$66*(0.5*12.73)</f>
        <v>135.10000000000008</v>
      </c>
      <c r="AG116" s="46">
        <f>'LINEST VARS'!$U$66+'LINEST VARS'!$T$66*($AG$104)+'LINEST VARS'!$S$66*($Z116)+'LINEST VARS'!$R$66*(4)+'LINEST VARS'!$Q$66*(0.5)+'LINEST VARS'!$P$66*(12.73)+'LINEST VARS'!$O$66*($AG$104^2)+'LINEST VARS'!$N$66*($Z116^2)+'LINEST VARS'!$M$66*(4^2)+'LINEST VARS'!$L$66*(0.5^2)+'LINEST VARS'!$K$66*(12.73^2)+'LINEST VARS'!$J$66*($AG$104*$Z116)+'LINEST VARS'!$I$66*($AG$104*4)+'LINEST VARS'!$H$66*($AG$104*0.5)+'LINEST VARS'!$G$66*($AG$104*12.73)+'LINEST VARS'!$F$66*($Z116*4)+'LINEST VARS'!$E$66*($Z116*0.5)+'LINEST VARS'!$D$66*($Z116*12.73)+'LINEST VARS'!$C$66*(4*0.5)+'LINEST VARS'!$B$66*(4*12.73)+'LINEST VARS'!$A$66*(0.5*12.73)</f>
        <v>135.28000000000006</v>
      </c>
      <c r="AH116" s="46">
        <f>'LINEST VARS'!$U$66+'LINEST VARS'!$T$66*($AH$104)+'LINEST VARS'!$S$66*($Z116)+'LINEST VARS'!$R$66*(4)+'LINEST VARS'!$Q$66*(0.5)+'LINEST VARS'!$P$66*(12.73)+'LINEST VARS'!$O$66*($AH$104^2)+'LINEST VARS'!$N$66*($Z116^2)+'LINEST VARS'!$M$66*(4^2)+'LINEST VARS'!$L$66*(0.5^2)+'LINEST VARS'!$K$66*(12.73^2)+'LINEST VARS'!$J$66*($AH$104*$Z116)+'LINEST VARS'!$I$66*($AH$104*4)+'LINEST VARS'!$H$66*($AH$104*0.5)+'LINEST VARS'!$G$66*($AH$104*12.73)+'LINEST VARS'!$F$66*($Z116*4)+'LINEST VARS'!$E$66*($Z116*0.5)+'LINEST VARS'!$D$66*($Z116*12.73)+'LINEST VARS'!$C$66*(4*0.5)+'LINEST VARS'!$B$66*(4*12.73)+'LINEST VARS'!$A$66*(0.5*12.73)</f>
        <v>135.46000000000006</v>
      </c>
      <c r="AI116" s="46">
        <f>'LINEST VARS'!$U$66+'LINEST VARS'!$T$66*($AI$104)+'LINEST VARS'!$S$66*($Z116)+'LINEST VARS'!$R$66*(4)+'LINEST VARS'!$Q$66*(0.5)+'LINEST VARS'!$P$66*(12.73)+'LINEST VARS'!$O$66*($AI$104^2)+'LINEST VARS'!$N$66*($Z116^2)+'LINEST VARS'!$M$66*(4^2)+'LINEST VARS'!$L$66*(0.5^2)+'LINEST VARS'!$K$66*(12.73^2)+'LINEST VARS'!$J$66*($AI$104*$Z116)+'LINEST VARS'!$I$66*($AI$104*4)+'LINEST VARS'!$H$66*($AI$104*0.5)+'LINEST VARS'!$G$66*($AI$104*12.73)+'LINEST VARS'!$F$66*($Z116*4)+'LINEST VARS'!$E$66*($Z116*0.5)+'LINEST VARS'!$D$66*($Z116*12.73)+'LINEST VARS'!$C$66*(4*0.5)+'LINEST VARS'!$B$66*(4*12.73)+'LINEST VARS'!$A$66*(0.5*12.73)</f>
        <v>135.64000000000007</v>
      </c>
      <c r="AJ116" s="46">
        <f>'LINEST VARS'!$U$66+'LINEST VARS'!$T$66*($AJ$104)+'LINEST VARS'!$S$66*($Z116)+'LINEST VARS'!$R$66*(4)+'LINEST VARS'!$Q$66*(0.5)+'LINEST VARS'!$P$66*(12.73)+'LINEST VARS'!$O$66*($AJ$104^2)+'LINEST VARS'!$N$66*($Z116^2)+'LINEST VARS'!$M$66*(4^2)+'LINEST VARS'!$L$66*(0.5^2)+'LINEST VARS'!$K$66*(12.73^2)+'LINEST VARS'!$J$66*($AJ$104*$Z116)+'LINEST VARS'!$I$66*($AJ$104*4)+'LINEST VARS'!$H$66*($AJ$104*0.5)+'LINEST VARS'!$G$66*($AJ$104*12.73)+'LINEST VARS'!$F$66*($Z116*4)+'LINEST VARS'!$E$66*($Z116*0.5)+'LINEST VARS'!$D$66*($Z116*12.73)+'LINEST VARS'!$C$66*(4*0.5)+'LINEST VARS'!$B$66*(4*12.73)+'LINEST VARS'!$A$66*(0.5*12.73)</f>
        <v>135.82000000000008</v>
      </c>
      <c r="AK116" s="46">
        <f>'LINEST VARS'!$U$66+'LINEST VARS'!$T$66*($AK$104)+'LINEST VARS'!$S$66*($Z116)+'LINEST VARS'!$R$66*(4)+'LINEST VARS'!$Q$66*(0.5)+'LINEST VARS'!$P$66*(12.73)+'LINEST VARS'!$O$66*($AK$104^2)+'LINEST VARS'!$N$66*($Z116^2)+'LINEST VARS'!$M$66*(4^2)+'LINEST VARS'!$L$66*(0.5^2)+'LINEST VARS'!$K$66*(12.73^2)+'LINEST VARS'!$J$66*($AK$104*$Z116)+'LINEST VARS'!$I$66*($AK$104*4)+'LINEST VARS'!$H$66*($AK$104*0.5)+'LINEST VARS'!$G$66*($AK$104*12.73)+'LINEST VARS'!$F$66*($Z116*4)+'LINEST VARS'!$E$66*($Z116*0.5)+'LINEST VARS'!$D$66*($Z116*12.73)+'LINEST VARS'!$C$66*(4*0.5)+'LINEST VARS'!$B$66*(4*12.73)+'LINEST VARS'!$A$66*(0.5*12.73)</f>
        <v>136.00000000000006</v>
      </c>
      <c r="AL116" s="46">
        <f>'LINEST VARS'!$U$66+'LINEST VARS'!$T$66*($AL$104)+'LINEST VARS'!$S$66*($Z116)+'LINEST VARS'!$R$66*(4)+'LINEST VARS'!$Q$66*(0.5)+'LINEST VARS'!$P$66*(12.73)+'LINEST VARS'!$O$66*($AL$104^2)+'LINEST VARS'!$N$66*($Z116^2)+'LINEST VARS'!$M$66*(4^2)+'LINEST VARS'!$L$66*(0.5^2)+'LINEST VARS'!$K$66*(12.73^2)+'LINEST VARS'!$J$66*($AL$104*$Z116)+'LINEST VARS'!$I$66*($AL$104*4)+'LINEST VARS'!$H$66*($AL$104*0.5)+'LINEST VARS'!$G$66*($AL$104*12.73)+'LINEST VARS'!$F$66*($Z116*4)+'LINEST VARS'!$E$66*($Z116*0.5)+'LINEST VARS'!$D$66*($Z116*12.73)+'LINEST VARS'!$C$66*(4*0.5)+'LINEST VARS'!$B$66*(4*12.73)+'LINEST VARS'!$A$66*(0.5*12.73)</f>
        <v>136.18000000000006</v>
      </c>
      <c r="AM116" s="46">
        <f>'LINEST VARS'!$U$66+'LINEST VARS'!$T$66*($AM$104)+'LINEST VARS'!$S$66*($Z116)+'LINEST VARS'!$R$66*(4)+'LINEST VARS'!$Q$66*(0.5)+'LINEST VARS'!$P$66*(12.73)+'LINEST VARS'!$O$66*($AM$104^2)+'LINEST VARS'!$N$66*($Z116^2)+'LINEST VARS'!$M$66*(4^2)+'LINEST VARS'!$L$66*(0.5^2)+'LINEST VARS'!$K$66*(12.73^2)+'LINEST VARS'!$J$66*($AM$104*$Z116)+'LINEST VARS'!$I$66*($AM$104*4)+'LINEST VARS'!$H$66*($AM$104*0.5)+'LINEST VARS'!$G$66*($AM$104*12.73)+'LINEST VARS'!$F$66*($Z116*4)+'LINEST VARS'!$E$66*($Z116*0.5)+'LINEST VARS'!$D$66*($Z116*12.73)+'LINEST VARS'!$C$66*(4*0.5)+'LINEST VARS'!$B$66*(4*12.73)+'LINEST VARS'!$A$66*(0.5*12.73)</f>
        <v>136.36000000000007</v>
      </c>
      <c r="AN116" s="46">
        <f>'LINEST VARS'!$U$66+'LINEST VARS'!$T$66*($AN$104)+'LINEST VARS'!$S$66*($Z116)+'LINEST VARS'!$R$66*(4)+'LINEST VARS'!$Q$66*(0.5)+'LINEST VARS'!$P$66*(12.73)+'LINEST VARS'!$O$66*($AN$104^2)+'LINEST VARS'!$N$66*($Z116^2)+'LINEST VARS'!$M$66*(4^2)+'LINEST VARS'!$L$66*(0.5^2)+'LINEST VARS'!$K$66*(12.73^2)+'LINEST VARS'!$J$66*($AN$104*$Z116)+'LINEST VARS'!$I$66*($AN$104*4)+'LINEST VARS'!$H$66*($AN$104*0.5)+'LINEST VARS'!$G$66*($AN$104*12.73)+'LINEST VARS'!$F$66*($Z116*4)+'LINEST VARS'!$E$66*($Z116*0.5)+'LINEST VARS'!$D$66*($Z116*12.73)+'LINEST VARS'!$C$66*(4*0.5)+'LINEST VARS'!$B$66*(4*12.73)+'LINEST VARS'!$A$66*(0.5*12.73)</f>
        <v>136.54000000000008</v>
      </c>
      <c r="AO116" s="46">
        <f>'LINEST VARS'!$U$66+'LINEST VARS'!$T$66*($AO$104)+'LINEST VARS'!$S$66*($Z116)+'LINEST VARS'!$R$66*(4)+'LINEST VARS'!$Q$66*(0.5)+'LINEST VARS'!$P$66*(12.73)+'LINEST VARS'!$O$66*($AO$104^2)+'LINEST VARS'!$N$66*($Z116^2)+'LINEST VARS'!$M$66*(4^2)+'LINEST VARS'!$L$66*(0.5^2)+'LINEST VARS'!$K$66*(12.73^2)+'LINEST VARS'!$J$66*($AO$104*$Z116)+'LINEST VARS'!$I$66*($AO$104*4)+'LINEST VARS'!$H$66*($AO$104*0.5)+'LINEST VARS'!$G$66*($AO$104*12.73)+'LINEST VARS'!$F$66*($Z116*4)+'LINEST VARS'!$E$66*($Z116*0.5)+'LINEST VARS'!$D$66*($Z116*12.73)+'LINEST VARS'!$C$66*(4*0.5)+'LINEST VARS'!$B$66*(4*12.73)+'LINEST VARS'!$A$66*(0.5*12.73)</f>
        <v>136.72000000000006</v>
      </c>
      <c r="AP116" s="46">
        <f>'LINEST VARS'!$U$66+'LINEST VARS'!$T$66*($AP$104)+'LINEST VARS'!$S$66*($Z116)+'LINEST VARS'!$R$66*(4)+'LINEST VARS'!$Q$66*(0.5)+'LINEST VARS'!$P$66*(12.73)+'LINEST VARS'!$O$66*($AP$104^2)+'LINEST VARS'!$N$66*($Z116^2)+'LINEST VARS'!$M$66*(4^2)+'LINEST VARS'!$L$66*(0.5^2)+'LINEST VARS'!$K$66*(12.73^2)+'LINEST VARS'!$J$66*($AP$104*$Z116)+'LINEST VARS'!$I$66*($AP$104*4)+'LINEST VARS'!$H$66*($AP$104*0.5)+'LINEST VARS'!$G$66*($AP$104*12.73)+'LINEST VARS'!$F$66*($Z116*4)+'LINEST VARS'!$E$66*($Z116*0.5)+'LINEST VARS'!$D$66*($Z116*12.73)+'LINEST VARS'!$C$66*(4*0.5)+'LINEST VARS'!$B$66*(4*12.73)+'LINEST VARS'!$A$66*(0.5*12.73)</f>
        <v>136.90000000000006</v>
      </c>
      <c r="AQ116" s="46">
        <f>'LINEST VARS'!$U$66+'LINEST VARS'!$T$66*($AQ$104)+'LINEST VARS'!$S$66*($Z116)+'LINEST VARS'!$R$66*(4)+'LINEST VARS'!$Q$66*(0.5)+'LINEST VARS'!$P$66*(12.73)+'LINEST VARS'!$O$66*($AQ$104^2)+'LINEST VARS'!$N$66*($Z116^2)+'LINEST VARS'!$M$66*(4^2)+'LINEST VARS'!$L$66*(0.5^2)+'LINEST VARS'!$K$66*(12.73^2)+'LINEST VARS'!$J$66*($AQ$104*$Z116)+'LINEST VARS'!$I$66*($AQ$104*4)+'LINEST VARS'!$H$66*($AQ$104*0.5)+'LINEST VARS'!$G$66*($AQ$104*12.73)+'LINEST VARS'!$F$66*($Z116*4)+'LINEST VARS'!$E$66*($Z116*0.5)+'LINEST VARS'!$D$66*($Z116*12.73)+'LINEST VARS'!$C$66*(4*0.5)+'LINEST VARS'!$B$66*(4*12.73)+'LINEST VARS'!$A$66*(0.5*12.73)</f>
        <v>137.08000000000007</v>
      </c>
      <c r="AR116" s="46">
        <f>'LINEST VARS'!$U$66+'LINEST VARS'!$T$66*($AR$104)+'LINEST VARS'!$S$66*($Z116)+'LINEST VARS'!$R$66*(4)+'LINEST VARS'!$Q$66*(0.5)+'LINEST VARS'!$P$66*(12.73)+'LINEST VARS'!$O$66*($AR$104^2)+'LINEST VARS'!$N$66*($Z116^2)+'LINEST VARS'!$M$66*(4^2)+'LINEST VARS'!$L$66*(0.5^2)+'LINEST VARS'!$K$66*(12.73^2)+'LINEST VARS'!$J$66*($AR$104*$Z116)+'LINEST VARS'!$I$66*($AR$104*4)+'LINEST VARS'!$H$66*($AR$104*0.5)+'LINEST VARS'!$G$66*($AR$104*12.73)+'LINEST VARS'!$F$66*($Z116*4)+'LINEST VARS'!$E$66*($Z116*0.5)+'LINEST VARS'!$D$66*($Z116*12.73)+'LINEST VARS'!$C$66*(4*0.5)+'LINEST VARS'!$B$66*(4*12.73)+'LINEST VARS'!$A$66*(0.5*12.73)</f>
        <v>137.26000000000008</v>
      </c>
      <c r="AS116" s="46">
        <f>'LINEST VARS'!$U$66+'LINEST VARS'!$T$66*($AS$104)+'LINEST VARS'!$S$66*($Z116)+'LINEST VARS'!$R$66*(4)+'LINEST VARS'!$Q$66*(0.5)+'LINEST VARS'!$P$66*(12.73)+'LINEST VARS'!$O$66*($AS$104^2)+'LINEST VARS'!$N$66*($Z116^2)+'LINEST VARS'!$M$66*(4^2)+'LINEST VARS'!$L$66*(0.5^2)+'LINEST VARS'!$K$66*(12.73^2)+'LINEST VARS'!$J$66*($AS$104*$Z116)+'LINEST VARS'!$I$66*($AS$104*4)+'LINEST VARS'!$H$66*($AS$104*0.5)+'LINEST VARS'!$G$66*($AS$104*12.73)+'LINEST VARS'!$F$66*($Z116*4)+'LINEST VARS'!$E$66*($Z116*0.5)+'LINEST VARS'!$D$66*($Z116*12.73)+'LINEST VARS'!$C$66*(4*0.5)+'LINEST VARS'!$B$66*(4*12.73)+'LINEST VARS'!$A$66*(0.5*12.73)</f>
        <v>137.44000000000005</v>
      </c>
      <c r="AT116" s="46">
        <f>'LINEST VARS'!$U$66+'LINEST VARS'!$T$66*($AT$104)+'LINEST VARS'!$S$66*($Z116)+'LINEST VARS'!$R$66*(4)+'LINEST VARS'!$Q$66*(0.5)+'LINEST VARS'!$P$66*(12.73)+'LINEST VARS'!$O$66*($AT$104^2)+'LINEST VARS'!$N$66*($Z116^2)+'LINEST VARS'!$M$66*(4^2)+'LINEST VARS'!$L$66*(0.5^2)+'LINEST VARS'!$K$66*(12.73^2)+'LINEST VARS'!$J$66*($AT$104*$Z116)+'LINEST VARS'!$I$66*($AT$104*4)+'LINEST VARS'!$H$66*($AT$104*0.5)+'LINEST VARS'!$G$66*($AT$104*12.73)+'LINEST VARS'!$F$66*($Z116*4)+'LINEST VARS'!$E$66*($Z116*0.5)+'LINEST VARS'!$D$66*($Z116*12.73)+'LINEST VARS'!$C$66*(4*0.5)+'LINEST VARS'!$B$66*(4*12.73)+'LINEST VARS'!$A$66*(0.5*12.73)</f>
        <v>137.62000000000006</v>
      </c>
      <c r="AU116" s="47">
        <f>'LINEST VARS'!$U$66+'LINEST VARS'!$T$66*($AU$104)+'LINEST VARS'!$S$66*($Z116)+'LINEST VARS'!$R$66*(4)+'LINEST VARS'!$Q$66*(0.5)+'LINEST VARS'!$P$66*(12.73)+'LINEST VARS'!$O$66*($AU$104^2)+'LINEST VARS'!$N$66*($Z116^2)+'LINEST VARS'!$M$66*(4^2)+'LINEST VARS'!$L$66*(0.5^2)+'LINEST VARS'!$K$66*(12.73^2)+'LINEST VARS'!$J$66*($AU$104*$Z116)+'LINEST VARS'!$I$66*($AU$104*4)+'LINEST VARS'!$H$66*($AU$104*0.5)+'LINEST VARS'!$G$66*($AU$104*12.73)+'LINEST VARS'!$F$66*($Z116*4)+'LINEST VARS'!$E$66*($Z116*0.5)+'LINEST VARS'!$D$66*($Z116*12.73)+'LINEST VARS'!$C$66*(4*0.5)+'LINEST VARS'!$B$66*(4*12.73)+'LINEST VARS'!$A$66*(0.5*12.73)</f>
        <v>137.80000000000007</v>
      </c>
      <c r="AZ116" s="45">
        <v>0.55000000000000004</v>
      </c>
      <c r="BA116" s="55">
        <f>'LINEST VARS'!$U$64+'LINEST VARS'!$T$64*(8)+'LINEST VARS'!$S$64*(8)+'LINEST VARS'!$R$64*($BA$104)+'LINEST VARS'!$Q$64*($AZ116)+'LINEST VARS'!$P$64*(12.73)+'LINEST VARS'!$O$64*(8^2)+'LINEST VARS'!$N$64*(8^2)+'LINEST VARS'!$M$64*($BA$104^2)+'LINEST VARS'!$L$64*($AZ116^2)+'LINEST VARS'!$K$64*(12.73^2)+'LINEST VARS'!$J$64*(8*8)+'LINEST VARS'!$I$64*(8*$BA$104)+'LINEST VARS'!$H$64*(8*$AZ116)+'LINEST VARS'!$G$64*(8*12.73)+'LINEST VARS'!$F$64*(8*$BA$104)+'LINEST VARS'!$E$64*(8*$AZ116)+'LINEST VARS'!$D$64*(8*12.73)+'LINEST VARS'!$C$64*($BA$104*$AZ116)+'LINEST VARS'!$B$64*($BA$104*12.73)+'LINEST VARS'!$A$64*($AZ116*12.73)</f>
        <v>148.18999999999988</v>
      </c>
      <c r="BB116" s="55">
        <f>'LINEST VARS'!$U$64+'LINEST VARS'!$T$64*(8)+'LINEST VARS'!$S$64*(8)+'LINEST VARS'!$R$64*($BB$104)+'LINEST VARS'!$Q$64*($AZ116)+'LINEST VARS'!$P$64*(12.73)+'LINEST VARS'!$O$64*(8^2)+'LINEST VARS'!$N$64*(8^2)+'LINEST VARS'!$M$64*($BB$104^2)+'LINEST VARS'!$L$64*($AZ116^2)+'LINEST VARS'!$K$64*(12.73^2)+'LINEST VARS'!$J$64*(8*8)+'LINEST VARS'!$I$64*(8*$BB$104)+'LINEST VARS'!$H$64*(8*$AZ116)+'LINEST VARS'!$G$64*(8*12.73)+'LINEST VARS'!$F$64*(8*$BB$104)+'LINEST VARS'!$E$64*(8*$AZ116)+'LINEST VARS'!$D$64*(8*12.73)+'LINEST VARS'!$C$64*($BB$104*$AZ116)+'LINEST VARS'!$B$64*($BB$104*12.73)+'LINEST VARS'!$A$64*($AZ116*12.73)</f>
        <v>149.78999999999988</v>
      </c>
      <c r="BC116" s="55">
        <f>'LINEST VARS'!$U$64+'LINEST VARS'!$T$64*(8)+'LINEST VARS'!$S$64*(8)+'LINEST VARS'!$R$64*($BC$104)+'LINEST VARS'!$Q$64*($AZ116)+'LINEST VARS'!$P$64*(12.73)+'LINEST VARS'!$O$64*(8^2)+'LINEST VARS'!$N$64*(8^2)+'LINEST VARS'!$M$64*($BC$104^2)+'LINEST VARS'!$L$64*($AZ116^2)+'LINEST VARS'!$K$64*(12.73^2)+'LINEST VARS'!$J$64*(8*8)+'LINEST VARS'!$I$64*(8*$BC$104)+'LINEST VARS'!$H$64*(8*$AZ116)+'LINEST VARS'!$G$64*(8*12.73)+'LINEST VARS'!$F$64*(8*$BC$104)+'LINEST VARS'!$E$64*(8*$AZ116)+'LINEST VARS'!$D$64*(8*12.73)+'LINEST VARS'!$C$64*($BC$104*$AZ116)+'LINEST VARS'!$B$64*($BC$104*12.73)+'LINEST VARS'!$A$64*($AZ116*12.73)</f>
        <v>151.38999999999987</v>
      </c>
      <c r="BD116" s="55">
        <f>'LINEST VARS'!$U$64+'LINEST VARS'!$T$64*(8)+'LINEST VARS'!$S$64*(8)+'LINEST VARS'!$R$64*($BD$104)+'LINEST VARS'!$Q$64*($AZ116)+'LINEST VARS'!$P$64*(12.73)+'LINEST VARS'!$O$64*(8^2)+'LINEST VARS'!$N$64*(8^2)+'LINEST VARS'!$M$64*($BD$104^2)+'LINEST VARS'!$L$64*($AZ116^2)+'LINEST VARS'!$K$64*(12.73^2)+'LINEST VARS'!$J$64*(8*8)+'LINEST VARS'!$I$64*(8*$BD$104)+'LINEST VARS'!$H$64*(8*$AZ116)+'LINEST VARS'!$G$64*(8*12.73)+'LINEST VARS'!$F$64*(8*$BD$104)+'LINEST VARS'!$E$64*(8*$AZ116)+'LINEST VARS'!$D$64*(8*12.73)+'LINEST VARS'!$C$64*($BD$104*$AZ116)+'LINEST VARS'!$B$64*($BD$104*12.73)+'LINEST VARS'!$A$64*($AZ116*12.73)</f>
        <v>152.9899999999999</v>
      </c>
      <c r="BE116" s="55">
        <f>'LINEST VARS'!$U$64+'LINEST VARS'!$T$64*(8)+'LINEST VARS'!$S$64*(8)+'LINEST VARS'!$R$64*($BE$104)+'LINEST VARS'!$Q$64*($AZ116)+'LINEST VARS'!$P$64*(12.73)+'LINEST VARS'!$O$64*(8^2)+'LINEST VARS'!$N$64*(8^2)+'LINEST VARS'!$M$64*($BE$104^2)+'LINEST VARS'!$L$64*($AZ116^2)+'LINEST VARS'!$K$64*(12.73^2)+'LINEST VARS'!$J$64*(8*8)+'LINEST VARS'!$I$64*(8*$BE$104)+'LINEST VARS'!$H$64*(8*$AZ116)+'LINEST VARS'!$G$64*(8*12.73)+'LINEST VARS'!$F$64*(8*$BE$104)+'LINEST VARS'!$E$64*(8*$AZ116)+'LINEST VARS'!$D$64*(8*12.73)+'LINEST VARS'!$C$64*($BE$104*$AZ116)+'LINEST VARS'!$B$64*($BE$104*12.73)+'LINEST VARS'!$A$64*($AZ116*12.73)</f>
        <v>154.58999999999989</v>
      </c>
      <c r="BF116" s="55">
        <f>'LINEST VARS'!$U$64+'LINEST VARS'!$T$64*(8)+'LINEST VARS'!$S$64*(8)+'LINEST VARS'!$R$64*($BF$104)+'LINEST VARS'!$Q$64*($AZ116)+'LINEST VARS'!$P$64*(12.73)+'LINEST VARS'!$O$64*(8^2)+'LINEST VARS'!$N$64*(8^2)+'LINEST VARS'!$M$64*($BF$104^2)+'LINEST VARS'!$L$64*($AZ116^2)+'LINEST VARS'!$K$64*(12.73^2)+'LINEST VARS'!$J$64*(8*8)+'LINEST VARS'!$I$64*(8*$BF$104)+'LINEST VARS'!$H$64*(8*$AZ116)+'LINEST VARS'!$G$64*(8*12.73)+'LINEST VARS'!$F$64*(8*$BF$104)+'LINEST VARS'!$E$64*(8*$AZ116)+'LINEST VARS'!$D$64*(8*12.73)+'LINEST VARS'!$C$64*($BF$104*$AZ116)+'LINEST VARS'!$B$64*($BF$104*12.73)+'LINEST VARS'!$A$64*($AZ116*12.73)</f>
        <v>156.18999999999988</v>
      </c>
      <c r="BG116" s="55">
        <f>'LINEST VARS'!$U$64+'LINEST VARS'!$T$64*(8)+'LINEST VARS'!$S$64*(8)+'LINEST VARS'!$R$64*($BG$104)+'LINEST VARS'!$Q$64*($AZ116)+'LINEST VARS'!$P$64*(12.73)+'LINEST VARS'!$O$64*(8^2)+'LINEST VARS'!$N$64*(8^2)+'LINEST VARS'!$M$64*($BG$104^2)+'LINEST VARS'!$L$64*($AZ116^2)+'LINEST VARS'!$K$64*(12.73^2)+'LINEST VARS'!$J$64*(8*8)+'LINEST VARS'!$I$64*(8*$BG$104)+'LINEST VARS'!$H$64*(8*$AZ116)+'LINEST VARS'!$G$64*(8*12.73)+'LINEST VARS'!$F$64*(8*$BG$104)+'LINEST VARS'!$E$64*(8*$AZ116)+'LINEST VARS'!$D$64*(8*12.73)+'LINEST VARS'!$C$64*($BG$104*$AZ116)+'LINEST VARS'!$B$64*($BG$104*12.73)+'LINEST VARS'!$A$64*($AZ116*12.73)</f>
        <v>157.78999999999988</v>
      </c>
      <c r="BH116" s="55">
        <f>'LINEST VARS'!$U$64+'LINEST VARS'!$T$64*(8)+'LINEST VARS'!$S$64*(8)+'LINEST VARS'!$R$64*($BH$104)+'LINEST VARS'!$Q$64*($AZ116)+'LINEST VARS'!$P$64*(12.73)+'LINEST VARS'!$O$64*(8^2)+'LINEST VARS'!$N$64*(8^2)+'LINEST VARS'!$M$64*($BH$104^2)+'LINEST VARS'!$L$64*($AZ116^2)+'LINEST VARS'!$K$64*(12.73^2)+'LINEST VARS'!$J$64*(8*8)+'LINEST VARS'!$I$64*(8*$BH$104)+'LINEST VARS'!$H$64*(8*$AZ116)+'LINEST VARS'!$G$64*(8*12.73)+'LINEST VARS'!$F$64*(8*$BH$104)+'LINEST VARS'!$E$64*(8*$AZ116)+'LINEST VARS'!$D$64*(8*12.73)+'LINEST VARS'!$C$64*($BH$104*$AZ116)+'LINEST VARS'!$B$64*($BH$104*12.73)+'LINEST VARS'!$A$64*($AZ116*12.73)</f>
        <v>159.38999999999987</v>
      </c>
      <c r="BI116" s="55">
        <f>'LINEST VARS'!$U$64+'LINEST VARS'!$T$64*(8)+'LINEST VARS'!$S$64*(8)+'LINEST VARS'!$R$64*($BI$104)+'LINEST VARS'!$Q$64*($AZ116)+'LINEST VARS'!$P$64*(12.73)+'LINEST VARS'!$O$64*(8^2)+'LINEST VARS'!$N$64*(8^2)+'LINEST VARS'!$M$64*($BI$104^2)+'LINEST VARS'!$L$64*($AZ116^2)+'LINEST VARS'!$K$64*(12.73^2)+'LINEST VARS'!$J$64*(8*8)+'LINEST VARS'!$I$64*(8*$BI$104)+'LINEST VARS'!$H$64*(8*$AZ116)+'LINEST VARS'!$G$64*(8*12.73)+'LINEST VARS'!$F$64*(8*$BI$104)+'LINEST VARS'!$E$64*(8*$AZ116)+'LINEST VARS'!$D$64*(8*12.73)+'LINEST VARS'!$C$64*($BI$104*$AZ116)+'LINEST VARS'!$B$64*($BI$104*12.73)+'LINEST VARS'!$A$64*($AZ116*12.73)</f>
        <v>160.9899999999999</v>
      </c>
      <c r="BJ116" s="55">
        <f>'LINEST VARS'!$U$64+'LINEST VARS'!$T$64*(8)+'LINEST VARS'!$S$64*(8)+'LINEST VARS'!$R$64*($BJ$104)+'LINEST VARS'!$Q$64*($AZ116)+'LINEST VARS'!$P$64*(12.73)+'LINEST VARS'!$O$64*(8^2)+'LINEST VARS'!$N$64*(8^2)+'LINEST VARS'!$M$64*($BJ$104^2)+'LINEST VARS'!$L$64*($AZ116^2)+'LINEST VARS'!$K$64*(12.73^2)+'LINEST VARS'!$J$64*(8*8)+'LINEST VARS'!$I$64*(8*$BJ$104)+'LINEST VARS'!$H$64*(8*$AZ116)+'LINEST VARS'!$G$64*(8*12.73)+'LINEST VARS'!$F$64*(8*$BJ$104)+'LINEST VARS'!$E$64*(8*$AZ116)+'LINEST VARS'!$D$64*(8*12.73)+'LINEST VARS'!$C$64*($BJ$104*$AZ116)+'LINEST VARS'!$B$64*($BJ$104*12.73)+'LINEST VARS'!$A$64*($AZ116*12.73)</f>
        <v>162.58999999999989</v>
      </c>
      <c r="BK116" s="55">
        <f>'LINEST VARS'!$U$64+'LINEST VARS'!$T$64*(8)+'LINEST VARS'!$S$64*(8)+'LINEST VARS'!$R$64*($BK$104)+'LINEST VARS'!$Q$64*($AZ116)+'LINEST VARS'!$P$64*(12.73)+'LINEST VARS'!$O$64*(8^2)+'LINEST VARS'!$N$64*(8^2)+'LINEST VARS'!$M$64*($BK$104^2)+'LINEST VARS'!$L$64*($AZ116^2)+'LINEST VARS'!$K$64*(12.73^2)+'LINEST VARS'!$J$64*(8*8)+'LINEST VARS'!$I$64*(8*$BK$104)+'LINEST VARS'!$H$64*(8*$AZ116)+'LINEST VARS'!$G$64*(8*12.73)+'LINEST VARS'!$F$64*(8*$BK$104)+'LINEST VARS'!$E$64*(8*$AZ116)+'LINEST VARS'!$D$64*(8*12.73)+'LINEST VARS'!$C$64*($BK$104*$AZ116)+'LINEST VARS'!$B$64*($BK$104*12.73)+'LINEST VARS'!$A$64*($AZ116*12.73)</f>
        <v>164.18999999999988</v>
      </c>
      <c r="BL116" s="55">
        <f>'LINEST VARS'!$U$64+'LINEST VARS'!$T$64*(8)+'LINEST VARS'!$S$64*(8)+'LINEST VARS'!$R$64*($BL$104)+'LINEST VARS'!$Q$64*($AZ116)+'LINEST VARS'!$P$64*(12.73)+'LINEST VARS'!$O$64*(8^2)+'LINEST VARS'!$N$64*(8^2)+'LINEST VARS'!$M$64*($BL$104^2)+'LINEST VARS'!$L$64*($AZ116^2)+'LINEST VARS'!$K$64*(12.73^2)+'LINEST VARS'!$J$64*(8*8)+'LINEST VARS'!$I$64*(8*$BL$104)+'LINEST VARS'!$H$64*(8*$AZ116)+'LINEST VARS'!$G$64*(8*12.73)+'LINEST VARS'!$F$64*(8*$BL$104)+'LINEST VARS'!$E$64*(8*$AZ116)+'LINEST VARS'!$D$64*(8*12.73)+'LINEST VARS'!$C$64*($BL$104*$AZ116)+'LINEST VARS'!$B$64*($BL$104*12.73)+'LINEST VARS'!$A$64*($AZ116*12.73)</f>
        <v>165.78999999999991</v>
      </c>
      <c r="BM116" s="55">
        <f>'LINEST VARS'!$U$64+'LINEST VARS'!$T$64*(8)+'LINEST VARS'!$S$64*(8)+'LINEST VARS'!$R$64*($BM$104)+'LINEST VARS'!$Q$64*($AZ116)+'LINEST VARS'!$P$64*(12.73)+'LINEST VARS'!$O$64*(8^2)+'LINEST VARS'!$N$64*(8^2)+'LINEST VARS'!$M$64*($BM$104^2)+'LINEST VARS'!$L$64*($AZ116^2)+'LINEST VARS'!$K$64*(12.73^2)+'LINEST VARS'!$J$64*(8*8)+'LINEST VARS'!$I$64*(8*$BM$104)+'LINEST VARS'!$H$64*(8*$AZ116)+'LINEST VARS'!$G$64*(8*12.73)+'LINEST VARS'!$F$64*(8*$BM$104)+'LINEST VARS'!$E$64*(8*$AZ116)+'LINEST VARS'!$D$64*(8*12.73)+'LINEST VARS'!$C$64*($BM$104*$AZ116)+'LINEST VARS'!$B$64*($BM$104*12.73)+'LINEST VARS'!$A$64*($AZ116*12.73)</f>
        <v>167.38999999999987</v>
      </c>
      <c r="BN116" s="55">
        <f>'LINEST VARS'!$U$64+'LINEST VARS'!$T$64*(8)+'LINEST VARS'!$S$64*(8)+'LINEST VARS'!$R$64*($BN$104)+'LINEST VARS'!$Q$64*($AZ116)+'LINEST VARS'!$P$64*(12.73)+'LINEST VARS'!$O$64*(8^2)+'LINEST VARS'!$N$64*(8^2)+'LINEST VARS'!$M$64*($BN$104^2)+'LINEST VARS'!$L$64*($AZ116^2)+'LINEST VARS'!$K$64*(12.73^2)+'LINEST VARS'!$J$64*(8*8)+'LINEST VARS'!$I$64*(8*$BN$104)+'LINEST VARS'!$H$64*(8*$AZ116)+'LINEST VARS'!$G$64*(8*12.73)+'LINEST VARS'!$F$64*(8*$BN$104)+'LINEST VARS'!$E$64*(8*$AZ116)+'LINEST VARS'!$D$64*(8*12.73)+'LINEST VARS'!$C$64*($BN$104*$AZ116)+'LINEST VARS'!$B$64*($BN$104*12.73)+'LINEST VARS'!$A$64*($AZ116*12.73)</f>
        <v>168.9899999999999</v>
      </c>
      <c r="BO116" s="55">
        <f>'LINEST VARS'!$U$64+'LINEST VARS'!$T$64*(8)+'LINEST VARS'!$S$64*(8)+'LINEST VARS'!$R$64*($BO$104)+'LINEST VARS'!$Q$64*($AZ116)+'LINEST VARS'!$P$64*(12.73)+'LINEST VARS'!$O$64*(8^2)+'LINEST VARS'!$N$64*(8^2)+'LINEST VARS'!$M$64*($BO$104^2)+'LINEST VARS'!$L$64*($AZ116^2)+'LINEST VARS'!$K$64*(12.73^2)+'LINEST VARS'!$J$64*(8*8)+'LINEST VARS'!$I$64*(8*$BO$104)+'LINEST VARS'!$H$64*(8*$AZ116)+'LINEST VARS'!$G$64*(8*12.73)+'LINEST VARS'!$F$64*(8*$BO$104)+'LINEST VARS'!$E$64*(8*$AZ116)+'LINEST VARS'!$D$64*(8*12.73)+'LINEST VARS'!$C$64*($BO$104*$AZ116)+'LINEST VARS'!$B$64*($BO$104*12.73)+'LINEST VARS'!$A$64*($AZ116*12.73)</f>
        <v>170.58999999999983</v>
      </c>
      <c r="BP116" s="55">
        <f>'LINEST VARS'!$U$64+'LINEST VARS'!$T$64*(8)+'LINEST VARS'!$S$64*(8)+'LINEST VARS'!$R$64*($BP$104)+'LINEST VARS'!$Q$64*($AZ116)+'LINEST VARS'!$P$64*(12.73)+'LINEST VARS'!$O$64*(8^2)+'LINEST VARS'!$N$64*(8^2)+'LINEST VARS'!$M$64*($BP$104^2)+'LINEST VARS'!$L$64*($AZ116^2)+'LINEST VARS'!$K$64*(12.73^2)+'LINEST VARS'!$J$64*(8*8)+'LINEST VARS'!$I$64*(8*$BP$104)+'LINEST VARS'!$H$64*(8*$AZ116)+'LINEST VARS'!$G$64*(8*12.73)+'LINEST VARS'!$F$64*(8*$BP$104)+'LINEST VARS'!$E$64*(8*$AZ116)+'LINEST VARS'!$D$64*(8*12.73)+'LINEST VARS'!$C$64*($BP$104*$AZ116)+'LINEST VARS'!$B$64*($BP$104*12.73)+'LINEST VARS'!$A$64*($AZ116*12.73)</f>
        <v>172.18999999999986</v>
      </c>
      <c r="BQ116" s="55">
        <f>'LINEST VARS'!$U$64+'LINEST VARS'!$T$64*(8)+'LINEST VARS'!$S$64*(8)+'LINEST VARS'!$R$64*($BQ$104)+'LINEST VARS'!$Q$64*($AZ116)+'LINEST VARS'!$P$64*(12.73)+'LINEST VARS'!$O$64*(8^2)+'LINEST VARS'!$N$64*(8^2)+'LINEST VARS'!$M$64*($BQ$104^2)+'LINEST VARS'!$L$64*($AZ116^2)+'LINEST VARS'!$K$64*(12.73^2)+'LINEST VARS'!$J$64*(8*8)+'LINEST VARS'!$I$64*(8*$BQ$104)+'LINEST VARS'!$H$64*(8*$AZ116)+'LINEST VARS'!$G$64*(8*12.73)+'LINEST VARS'!$F$64*(8*$BQ$104)+'LINEST VARS'!$E$64*(8*$AZ116)+'LINEST VARS'!$D$64*(8*12.73)+'LINEST VARS'!$C$64*($BQ$104*$AZ116)+'LINEST VARS'!$B$64*($BQ$104*12.73)+'LINEST VARS'!$A$64*($AZ116*12.73)</f>
        <v>173.78999999999988</v>
      </c>
      <c r="BR116" s="55">
        <f>'LINEST VARS'!$U$64+'LINEST VARS'!$T$64*(8)+'LINEST VARS'!$S$64*(8)+'LINEST VARS'!$R$64*($BR$104)+'LINEST VARS'!$Q$64*($AZ116)+'LINEST VARS'!$P$64*(12.73)+'LINEST VARS'!$O$64*(8^2)+'LINEST VARS'!$N$64*(8^2)+'LINEST VARS'!$M$64*($BR$104^2)+'LINEST VARS'!$L$64*($AZ116^2)+'LINEST VARS'!$K$64*(12.73^2)+'LINEST VARS'!$J$64*(8*8)+'LINEST VARS'!$I$64*(8*$BR$104)+'LINEST VARS'!$H$64*(8*$AZ116)+'LINEST VARS'!$G$64*(8*12.73)+'LINEST VARS'!$F$64*(8*$BR$104)+'LINEST VARS'!$E$64*(8*$AZ116)+'LINEST VARS'!$D$64*(8*12.73)+'LINEST VARS'!$C$64*($BR$104*$AZ116)+'LINEST VARS'!$B$64*($BR$104*12.73)+'LINEST VARS'!$A$64*($AZ116*12.73)</f>
        <v>175.38999999999984</v>
      </c>
      <c r="BS116" s="55">
        <f>'LINEST VARS'!$U$64+'LINEST VARS'!$T$64*(8)+'LINEST VARS'!$S$64*(8)+'LINEST VARS'!$R$64*($BS$104)+'LINEST VARS'!$Q$64*($AZ116)+'LINEST VARS'!$P$64*(12.73)+'LINEST VARS'!$O$64*(8^2)+'LINEST VARS'!$N$64*(8^2)+'LINEST VARS'!$M$64*($BS$104^2)+'LINEST VARS'!$L$64*($AZ116^2)+'LINEST VARS'!$K$64*(12.73^2)+'LINEST VARS'!$J$64*(8*8)+'LINEST VARS'!$I$64*(8*$BS$104)+'LINEST VARS'!$H$64*(8*$AZ116)+'LINEST VARS'!$G$64*(8*12.73)+'LINEST VARS'!$F$64*(8*$BS$104)+'LINEST VARS'!$E$64*(8*$AZ116)+'LINEST VARS'!$D$64*(8*12.73)+'LINEST VARS'!$C$64*($BS$104*$AZ116)+'LINEST VARS'!$B$64*($BS$104*12.73)+'LINEST VARS'!$A$64*($AZ116*12.73)</f>
        <v>176.98999999999987</v>
      </c>
      <c r="BT116" s="55">
        <f>'LINEST VARS'!$U$64+'LINEST VARS'!$T$64*(8)+'LINEST VARS'!$S$64*(8)+'LINEST VARS'!$R$64*($BT$104)+'LINEST VARS'!$Q$64*($AZ116)+'LINEST VARS'!$P$64*(12.73)+'LINEST VARS'!$O$64*(8^2)+'LINEST VARS'!$N$64*(8^2)+'LINEST VARS'!$M$64*($BT$104^2)+'LINEST VARS'!$L$64*($AZ116^2)+'LINEST VARS'!$K$64*(12.73^2)+'LINEST VARS'!$J$64*(8*8)+'LINEST VARS'!$I$64*(8*$BT$104)+'LINEST VARS'!$H$64*(8*$AZ116)+'LINEST VARS'!$G$64*(8*12.73)+'LINEST VARS'!$F$64*(8*$BT$104)+'LINEST VARS'!$E$64*(8*$AZ116)+'LINEST VARS'!$D$64*(8*12.73)+'LINEST VARS'!$C$64*($BT$104*$AZ116)+'LINEST VARS'!$B$64*($BT$104*12.73)+'LINEST VARS'!$A$64*($AZ116*12.73)</f>
        <v>178.58999999999983</v>
      </c>
      <c r="BU116" s="56">
        <f>'LINEST VARS'!$U$64+'LINEST VARS'!$T$64*(8)+'LINEST VARS'!$S$64*(8)+'LINEST VARS'!$R$64*($BU$104)+'LINEST VARS'!$Q$64*($AZ116)+'LINEST VARS'!$P$64*(12.73)+'LINEST VARS'!$O$64*(8^2)+'LINEST VARS'!$N$64*(8^2)+'LINEST VARS'!$M$64*($BU$104^2)+'LINEST VARS'!$L$64*($AZ116^2)+'LINEST VARS'!$K$64*(12.73^2)+'LINEST VARS'!$J$64*(8*8)+'LINEST VARS'!$I$64*(8*$BU$104)+'LINEST VARS'!$H$64*(8*$AZ116)+'LINEST VARS'!$G$64*(8*12.73)+'LINEST VARS'!$F$64*(8*$BU$104)+'LINEST VARS'!$E$64*(8*$AZ116)+'LINEST VARS'!$D$64*(8*12.73)+'LINEST VARS'!$C$64*($BU$104*$AZ116)+'LINEST VARS'!$B$64*($BU$104*12.73)+'LINEST VARS'!$A$64*($AZ116*12.73)</f>
        <v>180.18999999999986</v>
      </c>
      <c r="BX116" s="45">
        <v>0.55000000000000004</v>
      </c>
      <c r="BY116" s="46">
        <f>'LINEST VARS'!$U$66+'LINEST VARS'!$T$66*(8)+'LINEST VARS'!$S$66*(8)+'LINEST VARS'!$R$66*($BY$104)+'LINEST VARS'!$Q$66*($BX116)+'LINEST VARS'!$P$66*(12.73)+'LINEST VARS'!$O$66*(8^2)+'LINEST VARS'!$N$66*(8^2)+'LINEST VARS'!$M$66*($BY$104^2)+'LINEST VARS'!$L$66*($BX116^2)+'LINEST VARS'!$K$66*(12.73^2)+'LINEST VARS'!$J$66*(8*8)+'LINEST VARS'!$I$66*(8*$BY$104)+'LINEST VARS'!$H$66*(8*$BX116)+'LINEST VARS'!$G$66*(8*12.73)+'LINEST VARS'!$F$66*(8*$BY$104)+'LINEST VARS'!$E$66*(8*$BX116)+'LINEST VARS'!$D$66*(8*12.73)+'LINEST VARS'!$C$66*($BY$104*$BX116)+'LINEST VARS'!$B$66*($BY$104*12.73)+'LINEST VARS'!$A$66*($BX116*12.73)</f>
        <v>144.00000000000006</v>
      </c>
      <c r="BZ116" s="46">
        <f>'LINEST VARS'!$U$66+'LINEST VARS'!$T$66*(8)+'LINEST VARS'!$S$66*(8)+'LINEST VARS'!$R$66*($BZ$104)+'LINEST VARS'!$Q$66*($BX116)+'LINEST VARS'!$P$66*(12.73)+'LINEST VARS'!$O$66*(8^2)+'LINEST VARS'!$N$66*(8^2)+'LINEST VARS'!$M$66*($BZ$104^2)+'LINEST VARS'!$L$66*($BX116^2)+'LINEST VARS'!$K$66*(12.73^2)+'LINEST VARS'!$J$66*(8*8)+'LINEST VARS'!$I$66*(8*$BZ$104)+'LINEST VARS'!$H$66*(8*$BX116)+'LINEST VARS'!$G$66*(8*12.73)+'LINEST VARS'!$F$66*(8*$BZ$104)+'LINEST VARS'!$E$66*(8*$BX116)+'LINEST VARS'!$D$66*(8*12.73)+'LINEST VARS'!$C$66*($BZ$104*$BX116)+'LINEST VARS'!$B$66*($BZ$104*12.73)+'LINEST VARS'!$A$66*($BX116*12.73)</f>
        <v>143.20000000000007</v>
      </c>
      <c r="CA116" s="46">
        <f>'LINEST VARS'!$U$66+'LINEST VARS'!$T$66*(8)+'LINEST VARS'!$S$66*(8)+'LINEST VARS'!$R$66*($CA$104)+'LINEST VARS'!$Q$66*($BX116)+'LINEST VARS'!$P$66*(12.73)+'LINEST VARS'!$O$66*(8^2)+'LINEST VARS'!$N$66*(8^2)+'LINEST VARS'!$M$66*($CA$104^2)+'LINEST VARS'!$L$66*($BX116^2)+'LINEST VARS'!$K$66*(12.73^2)+'LINEST VARS'!$J$66*(8*8)+'LINEST VARS'!$I$66*(8*$CA$104)+'LINEST VARS'!$H$66*(8*$BX116)+'LINEST VARS'!$G$66*(8*12.73)+'LINEST VARS'!$F$66*(8*$CA$104)+'LINEST VARS'!$E$66*(8*$BX116)+'LINEST VARS'!$D$66*(8*12.73)+'LINEST VARS'!$C$66*($CA$104*$BX116)+'LINEST VARS'!$B$66*($CA$104*12.73)+'LINEST VARS'!$A$66*($BX116*12.73)</f>
        <v>142.40000000000006</v>
      </c>
      <c r="CB116" s="46">
        <f>'LINEST VARS'!$U$66+'LINEST VARS'!$T$66*(8)+'LINEST VARS'!$S$66*(8)+'LINEST VARS'!$R$66*($CB$104)+'LINEST VARS'!$Q$66*($BX116)+'LINEST VARS'!$P$66*(12.73)+'LINEST VARS'!$O$66*(8^2)+'LINEST VARS'!$N$66*(8^2)+'LINEST VARS'!$M$66*($CB$104^2)+'LINEST VARS'!$L$66*($BX116^2)+'LINEST VARS'!$K$66*(12.73^2)+'LINEST VARS'!$J$66*(8*8)+'LINEST VARS'!$I$66*(8*$CB$104)+'LINEST VARS'!$H$66*(8*$BX116)+'LINEST VARS'!$G$66*(8*12.73)+'LINEST VARS'!$F$66*(8*$CB$104)+'LINEST VARS'!$E$66*(8*$BX116)+'LINEST VARS'!$D$66*(8*12.73)+'LINEST VARS'!$C$66*($CB$104*$BX116)+'LINEST VARS'!$B$66*($CB$104*12.73)+'LINEST VARS'!$A$66*($BX116*12.73)</f>
        <v>141.60000000000008</v>
      </c>
      <c r="CC116" s="46">
        <f>'LINEST VARS'!$U$66+'LINEST VARS'!$T$66*(8)+'LINEST VARS'!$S$66*(8)+'LINEST VARS'!$R$66*($CC$104)+'LINEST VARS'!$Q$66*($BX116)+'LINEST VARS'!$P$66*(12.73)+'LINEST VARS'!$O$66*(8^2)+'LINEST VARS'!$N$66*(8^2)+'LINEST VARS'!$M$66*($CC$104^2)+'LINEST VARS'!$L$66*($BX116^2)+'LINEST VARS'!$K$66*(12.73^2)+'LINEST VARS'!$J$66*(8*8)+'LINEST VARS'!$I$66*(8*$CC$104)+'LINEST VARS'!$H$66*(8*$BX116)+'LINEST VARS'!$G$66*(8*12.73)+'LINEST VARS'!$F$66*(8*$CC$104)+'LINEST VARS'!$E$66*(8*$BX116)+'LINEST VARS'!$D$66*(8*12.73)+'LINEST VARS'!$C$66*($CC$104*$BX116)+'LINEST VARS'!$B$66*($CC$104*12.73)+'LINEST VARS'!$A$66*($BX116*12.73)</f>
        <v>140.80000000000007</v>
      </c>
      <c r="CD116" s="46">
        <f>'LINEST VARS'!$U$66+'LINEST VARS'!$T$66*(8)+'LINEST VARS'!$S$66*(8)+'LINEST VARS'!$R$66*($CD$104)+'LINEST VARS'!$Q$66*($BX116)+'LINEST VARS'!$P$66*(12.73)+'LINEST VARS'!$O$66*(8^2)+'LINEST VARS'!$N$66*(8^2)+'LINEST VARS'!$M$66*($CD$104^2)+'LINEST VARS'!$L$66*($BX116^2)+'LINEST VARS'!$K$66*(12.73^2)+'LINEST VARS'!$J$66*(8*8)+'LINEST VARS'!$I$66*(8*$CD$104)+'LINEST VARS'!$H$66*(8*$BX116)+'LINEST VARS'!$G$66*(8*12.73)+'LINEST VARS'!$F$66*(8*$CD$104)+'LINEST VARS'!$E$66*(8*$BX116)+'LINEST VARS'!$D$66*(8*12.73)+'LINEST VARS'!$C$66*($CD$104*$BX116)+'LINEST VARS'!$B$66*($CD$104*12.73)+'LINEST VARS'!$A$66*($BX116*12.73)</f>
        <v>140.00000000000009</v>
      </c>
      <c r="CE116" s="46">
        <f>'LINEST VARS'!$U$66+'LINEST VARS'!$T$66*(8)+'LINEST VARS'!$S$66*(8)+'LINEST VARS'!$R$66*($CE$104)+'LINEST VARS'!$Q$66*($BX116)+'LINEST VARS'!$P$66*(12.73)+'LINEST VARS'!$O$66*(8^2)+'LINEST VARS'!$N$66*(8^2)+'LINEST VARS'!$M$66*($CE$104^2)+'LINEST VARS'!$L$66*($BX116^2)+'LINEST VARS'!$K$66*(12.73^2)+'LINEST VARS'!$J$66*(8*8)+'LINEST VARS'!$I$66*(8*$CE$104)+'LINEST VARS'!$H$66*(8*$BX116)+'LINEST VARS'!$G$66*(8*12.73)+'LINEST VARS'!$F$66*(8*$CE$104)+'LINEST VARS'!$E$66*(8*$BX116)+'LINEST VARS'!$D$66*(8*12.73)+'LINEST VARS'!$C$66*($CE$104*$BX116)+'LINEST VARS'!$B$66*($CE$104*12.73)+'LINEST VARS'!$A$66*($BX116*12.73)</f>
        <v>139.20000000000007</v>
      </c>
      <c r="CF116" s="46">
        <f>'LINEST VARS'!$U$66+'LINEST VARS'!$T$66*(8)+'LINEST VARS'!$S$66*(8)+'LINEST VARS'!$R$66*($CF$104)+'LINEST VARS'!$Q$66*($BX116)+'LINEST VARS'!$P$66*(12.73)+'LINEST VARS'!$O$66*(8^2)+'LINEST VARS'!$N$66*(8^2)+'LINEST VARS'!$M$66*($CF$104^2)+'LINEST VARS'!$L$66*($BX116^2)+'LINEST VARS'!$K$66*(12.73^2)+'LINEST VARS'!$J$66*(8*8)+'LINEST VARS'!$I$66*(8*$CF$104)+'LINEST VARS'!$H$66*(8*$BX116)+'LINEST VARS'!$G$66*(8*12.73)+'LINEST VARS'!$F$66*(8*$CF$104)+'LINEST VARS'!$E$66*(8*$BX116)+'LINEST VARS'!$D$66*(8*12.73)+'LINEST VARS'!$C$66*($CF$104*$BX116)+'LINEST VARS'!$B$66*($CF$104*12.73)+'LINEST VARS'!$A$66*($BX116*12.73)</f>
        <v>138.40000000000009</v>
      </c>
      <c r="CG116" s="46">
        <f>'LINEST VARS'!$U$66+'LINEST VARS'!$T$66*(8)+'LINEST VARS'!$S$66*(8)+'LINEST VARS'!$R$66*($CG$104)+'LINEST VARS'!$Q$66*($BX116)+'LINEST VARS'!$P$66*(12.73)+'LINEST VARS'!$O$66*(8^2)+'LINEST VARS'!$N$66*(8^2)+'LINEST VARS'!$M$66*($CG$104^2)+'LINEST VARS'!$L$66*($BX116^2)+'LINEST VARS'!$K$66*(12.73^2)+'LINEST VARS'!$J$66*(8*8)+'LINEST VARS'!$I$66*(8*$CG$104)+'LINEST VARS'!$H$66*(8*$BX116)+'LINEST VARS'!$G$66*(8*12.73)+'LINEST VARS'!$F$66*(8*$CG$104)+'LINEST VARS'!$E$66*(8*$BX116)+'LINEST VARS'!$D$66*(8*12.73)+'LINEST VARS'!$C$66*($CG$104*$BX116)+'LINEST VARS'!$B$66*($CG$104*12.73)+'LINEST VARS'!$A$66*($BX116*12.73)</f>
        <v>137.60000000000008</v>
      </c>
      <c r="CH116" s="46">
        <f>'LINEST VARS'!$U$66+'LINEST VARS'!$T$66*(8)+'LINEST VARS'!$S$66*(8)+'LINEST VARS'!$R$66*($CH$104)+'LINEST VARS'!$Q$66*($BX116)+'LINEST VARS'!$P$66*(12.73)+'LINEST VARS'!$O$66*(8^2)+'LINEST VARS'!$N$66*(8^2)+'LINEST VARS'!$M$66*($CH$104^2)+'LINEST VARS'!$L$66*($BX116^2)+'LINEST VARS'!$K$66*(12.73^2)+'LINEST VARS'!$J$66*(8*8)+'LINEST VARS'!$I$66*(8*$CH$104)+'LINEST VARS'!$H$66*(8*$BX116)+'LINEST VARS'!$G$66*(8*12.73)+'LINEST VARS'!$F$66*(8*$CH$104)+'LINEST VARS'!$E$66*(8*$BX116)+'LINEST VARS'!$D$66*(8*12.73)+'LINEST VARS'!$C$66*($CH$104*$BX116)+'LINEST VARS'!$B$66*($CH$104*12.73)+'LINEST VARS'!$A$66*($BX116*12.73)</f>
        <v>136.80000000000007</v>
      </c>
      <c r="CI116" s="46">
        <f>'LINEST VARS'!$U$66+'LINEST VARS'!$T$66*(8)+'LINEST VARS'!$S$66*(8)+'LINEST VARS'!$R$66*($CI$104)+'LINEST VARS'!$Q$66*($BX116)+'LINEST VARS'!$P$66*(12.73)+'LINEST VARS'!$O$66*(8^2)+'LINEST VARS'!$N$66*(8^2)+'LINEST VARS'!$M$66*($CI$104^2)+'LINEST VARS'!$L$66*($BX116^2)+'LINEST VARS'!$K$66*(12.73^2)+'LINEST VARS'!$J$66*(8*8)+'LINEST VARS'!$I$66*(8*$CI$104)+'LINEST VARS'!$H$66*(8*$BX116)+'LINEST VARS'!$G$66*(8*12.73)+'LINEST VARS'!$F$66*(8*$CI$104)+'LINEST VARS'!$E$66*(8*$BX116)+'LINEST VARS'!$D$66*(8*12.73)+'LINEST VARS'!$C$66*($CI$104*$BX116)+'LINEST VARS'!$B$66*($CI$104*12.73)+'LINEST VARS'!$A$66*($BX116*12.73)</f>
        <v>136.00000000000006</v>
      </c>
      <c r="CJ116" s="46">
        <f>'LINEST VARS'!$U$66+'LINEST VARS'!$T$66*(8)+'LINEST VARS'!$S$66*(8)+'LINEST VARS'!$R$66*($CJ$104)+'LINEST VARS'!$Q$66*($BX116)+'LINEST VARS'!$P$66*(12.73)+'LINEST VARS'!$O$66*(8^2)+'LINEST VARS'!$N$66*(8^2)+'LINEST VARS'!$M$66*($CJ$104^2)+'LINEST VARS'!$L$66*($BX116^2)+'LINEST VARS'!$K$66*(12.73^2)+'LINEST VARS'!$J$66*(8*8)+'LINEST VARS'!$I$66*(8*$CJ$104)+'LINEST VARS'!$H$66*(8*$BX116)+'LINEST VARS'!$G$66*(8*12.73)+'LINEST VARS'!$F$66*(8*$CJ$104)+'LINEST VARS'!$E$66*(8*$BX116)+'LINEST VARS'!$D$66*(8*12.73)+'LINEST VARS'!$C$66*($CJ$104*$BX116)+'LINEST VARS'!$B$66*($CJ$104*12.73)+'LINEST VARS'!$A$66*($BX116*12.73)</f>
        <v>135.20000000000005</v>
      </c>
      <c r="CK116" s="46">
        <f>'LINEST VARS'!$U$66+'LINEST VARS'!$T$66*(8)+'LINEST VARS'!$S$66*(8)+'LINEST VARS'!$R$66*($CK$104)+'LINEST VARS'!$Q$66*($BX116)+'LINEST VARS'!$P$66*(12.73)+'LINEST VARS'!$O$66*(8^2)+'LINEST VARS'!$N$66*(8^2)+'LINEST VARS'!$M$66*($CK$104^2)+'LINEST VARS'!$L$66*($BX116^2)+'LINEST VARS'!$K$66*(12.73^2)+'LINEST VARS'!$J$66*(8*8)+'LINEST VARS'!$I$66*(8*$CK$104)+'LINEST VARS'!$H$66*(8*$BX116)+'LINEST VARS'!$G$66*(8*12.73)+'LINEST VARS'!$F$66*(8*$CK$104)+'LINEST VARS'!$E$66*(8*$BX116)+'LINEST VARS'!$D$66*(8*12.73)+'LINEST VARS'!$C$66*($CK$104*$BX116)+'LINEST VARS'!$B$66*($CK$104*12.73)+'LINEST VARS'!$A$66*($BX116*12.73)</f>
        <v>134.40000000000003</v>
      </c>
      <c r="CL116" s="46">
        <f>'LINEST VARS'!$U$66+'LINEST VARS'!$T$66*(8)+'LINEST VARS'!$S$66*(8)+'LINEST VARS'!$R$66*($CL$104)+'LINEST VARS'!$Q$66*($BX116)+'LINEST VARS'!$P$66*(12.73)+'LINEST VARS'!$O$66*(8^2)+'LINEST VARS'!$N$66*(8^2)+'LINEST VARS'!$M$66*($CL$104^2)+'LINEST VARS'!$L$66*($BX116^2)+'LINEST VARS'!$K$66*(12.73^2)+'LINEST VARS'!$J$66*(8*8)+'LINEST VARS'!$I$66*(8*$CL$104)+'LINEST VARS'!$H$66*(8*$BX116)+'LINEST VARS'!$G$66*(8*12.73)+'LINEST VARS'!$F$66*(8*$CL$104)+'LINEST VARS'!$E$66*(8*$BX116)+'LINEST VARS'!$D$66*(8*12.73)+'LINEST VARS'!$C$66*($CL$104*$BX116)+'LINEST VARS'!$B$66*($CL$104*12.73)+'LINEST VARS'!$A$66*($BX116*12.73)</f>
        <v>133.60000000000005</v>
      </c>
      <c r="CM116" s="46">
        <f>'LINEST VARS'!$U$66+'LINEST VARS'!$T$66*(8)+'LINEST VARS'!$S$66*(8)+'LINEST VARS'!$R$66*($CM$104)+'LINEST VARS'!$Q$66*($BX116)+'LINEST VARS'!$P$66*(12.73)+'LINEST VARS'!$O$66*(8^2)+'LINEST VARS'!$N$66*(8^2)+'LINEST VARS'!$M$66*($CM$104^2)+'LINEST VARS'!$L$66*($BX116^2)+'LINEST VARS'!$K$66*(12.73^2)+'LINEST VARS'!$J$66*(8*8)+'LINEST VARS'!$I$66*(8*$CM$104)+'LINEST VARS'!$H$66*(8*$BX116)+'LINEST VARS'!$G$66*(8*12.73)+'LINEST VARS'!$F$66*(8*$CM$104)+'LINEST VARS'!$E$66*(8*$BX116)+'LINEST VARS'!$D$66*(8*12.73)+'LINEST VARS'!$C$66*($CM$104*$BX116)+'LINEST VARS'!$B$66*($CM$104*12.73)+'LINEST VARS'!$A$66*($BX116*12.73)</f>
        <v>132.80000000000004</v>
      </c>
      <c r="CN116" s="46">
        <f>'LINEST VARS'!$U$66+'LINEST VARS'!$T$66*(8)+'LINEST VARS'!$S$66*(8)+'LINEST VARS'!$R$66*($CN$104)+'LINEST VARS'!$Q$66*($BX116)+'LINEST VARS'!$P$66*(12.73)+'LINEST VARS'!$O$66*(8^2)+'LINEST VARS'!$N$66*(8^2)+'LINEST VARS'!$M$66*($CN$104^2)+'LINEST VARS'!$L$66*($BX116^2)+'LINEST VARS'!$K$66*(12.73^2)+'LINEST VARS'!$J$66*(8*8)+'LINEST VARS'!$I$66*(8*$CN$104)+'LINEST VARS'!$H$66*(8*$BX116)+'LINEST VARS'!$G$66*(8*12.73)+'LINEST VARS'!$F$66*(8*$CN$104)+'LINEST VARS'!$E$66*(8*$BX116)+'LINEST VARS'!$D$66*(8*12.73)+'LINEST VARS'!$C$66*($CN$104*$BX116)+'LINEST VARS'!$B$66*($CN$104*12.73)+'LINEST VARS'!$A$66*($BX116*12.73)</f>
        <v>132.00000000000006</v>
      </c>
      <c r="CO116" s="46">
        <f>'LINEST VARS'!$U$66+'LINEST VARS'!$T$66*(8)+'LINEST VARS'!$S$66*(8)+'LINEST VARS'!$R$66*($CO$104)+'LINEST VARS'!$Q$66*($BX116)+'LINEST VARS'!$P$66*(12.73)+'LINEST VARS'!$O$66*(8^2)+'LINEST VARS'!$N$66*(8^2)+'LINEST VARS'!$M$66*($CO$104^2)+'LINEST VARS'!$L$66*($BX116^2)+'LINEST VARS'!$K$66*(12.73^2)+'LINEST VARS'!$J$66*(8*8)+'LINEST VARS'!$I$66*(8*$CO$104)+'LINEST VARS'!$H$66*(8*$BX116)+'LINEST VARS'!$G$66*(8*12.73)+'LINEST VARS'!$F$66*(8*$CO$104)+'LINEST VARS'!$E$66*(8*$BX116)+'LINEST VARS'!$D$66*(8*12.73)+'LINEST VARS'!$C$66*($CO$104*$BX116)+'LINEST VARS'!$B$66*($CO$104*12.73)+'LINEST VARS'!$A$66*($BX116*12.73)</f>
        <v>131.20000000000005</v>
      </c>
      <c r="CP116" s="46">
        <f>'LINEST VARS'!$U$66+'LINEST VARS'!$T$66*(8)+'LINEST VARS'!$S$66*(8)+'LINEST VARS'!$R$66*($CP$104)+'LINEST VARS'!$Q$66*($BX116)+'LINEST VARS'!$P$66*(12.73)+'LINEST VARS'!$O$66*(8^2)+'LINEST VARS'!$N$66*(8^2)+'LINEST VARS'!$M$66*($CP$104^2)+'LINEST VARS'!$L$66*($BX116^2)+'LINEST VARS'!$K$66*(12.73^2)+'LINEST VARS'!$J$66*(8*8)+'LINEST VARS'!$I$66*(8*$CP$104)+'LINEST VARS'!$H$66*(8*$BX116)+'LINEST VARS'!$G$66*(8*12.73)+'LINEST VARS'!$F$66*(8*$CP$104)+'LINEST VARS'!$E$66*(8*$BX116)+'LINEST VARS'!$D$66*(8*12.73)+'LINEST VARS'!$C$66*($CP$104*$BX116)+'LINEST VARS'!$B$66*($CP$104*12.73)+'LINEST VARS'!$A$66*($BX116*12.73)</f>
        <v>130.40000000000009</v>
      </c>
      <c r="CQ116" s="46">
        <f>'LINEST VARS'!$U$66+'LINEST VARS'!$T$66*(8)+'LINEST VARS'!$S$66*(8)+'LINEST VARS'!$R$66*($CQ$104)+'LINEST VARS'!$Q$66*($BX116)+'LINEST VARS'!$P$66*(12.73)+'LINEST VARS'!$O$66*(8^2)+'LINEST VARS'!$N$66*(8^2)+'LINEST VARS'!$M$66*($CQ$104^2)+'LINEST VARS'!$L$66*($BX116^2)+'LINEST VARS'!$K$66*(12.73^2)+'LINEST VARS'!$J$66*(8*8)+'LINEST VARS'!$I$66*(8*$CQ$104)+'LINEST VARS'!$H$66*(8*$BX116)+'LINEST VARS'!$G$66*(8*12.73)+'LINEST VARS'!$F$66*(8*$CQ$104)+'LINEST VARS'!$E$66*(8*$BX116)+'LINEST VARS'!$D$66*(8*12.73)+'LINEST VARS'!$C$66*($CQ$104*$BX116)+'LINEST VARS'!$B$66*($CQ$104*12.73)+'LINEST VARS'!$A$66*($BX116*12.73)</f>
        <v>129.60000000000008</v>
      </c>
      <c r="CR116" s="46">
        <f>'LINEST VARS'!$U$66+'LINEST VARS'!$T$66*(8)+'LINEST VARS'!$S$66*(8)+'LINEST VARS'!$R$66*($CR$104)+'LINEST VARS'!$Q$66*($BX116)+'LINEST VARS'!$P$66*(12.73)+'LINEST VARS'!$O$66*(8^2)+'LINEST VARS'!$N$66*(8^2)+'LINEST VARS'!$M$66*($CR$104^2)+'LINEST VARS'!$L$66*($BX116^2)+'LINEST VARS'!$K$66*(12.73^2)+'LINEST VARS'!$J$66*(8*8)+'LINEST VARS'!$I$66*(8*$CR$104)+'LINEST VARS'!$H$66*(8*$BX116)+'LINEST VARS'!$G$66*(8*12.73)+'LINEST VARS'!$F$66*(8*$CR$104)+'LINEST VARS'!$E$66*(8*$BX116)+'LINEST VARS'!$D$66*(8*12.73)+'LINEST VARS'!$C$66*($CR$104*$BX116)+'LINEST VARS'!$B$66*($CR$104*12.73)+'LINEST VARS'!$A$66*($BX116*12.73)</f>
        <v>128.8000000000001</v>
      </c>
      <c r="CS116" s="47">
        <f>'LINEST VARS'!$U$66+'LINEST VARS'!$T$66*(8)+'LINEST VARS'!$S$66*(8)+'LINEST VARS'!$R$66*($CS$104)+'LINEST VARS'!$Q$66*($BX116)+'LINEST VARS'!$P$66*(12.73)+'LINEST VARS'!$O$66*(8^2)+'LINEST VARS'!$N$66*(8^2)+'LINEST VARS'!$M$66*($CS$104^2)+'LINEST VARS'!$L$66*($BX116^2)+'LINEST VARS'!$K$66*(12.73^2)+'LINEST VARS'!$J$66*(8*8)+'LINEST VARS'!$I$66*(8*$CS$104)+'LINEST VARS'!$H$66*(8*$BX116)+'LINEST VARS'!$G$66*(8*12.73)+'LINEST VARS'!$F$66*(8*$CS$104)+'LINEST VARS'!$E$66*(8*$BX116)+'LINEST VARS'!$D$66*(8*12.73)+'LINEST VARS'!$C$66*($CS$104*$BX116)+'LINEST VARS'!$B$66*($CS$104*12.73)+'LINEST VARS'!$A$66*($BX116*12.73)</f>
        <v>128.00000000000006</v>
      </c>
      <c r="CX116" s="45">
        <v>14.294499999999999</v>
      </c>
      <c r="CY116" s="55">
        <f>'LINEST VARS'!$U$64+'LINEST VARS'!$T$64*(8)+'LINEST VARS'!$S$64*(8)+'LINEST VARS'!$R$64*($CY$104)+'LINEST VARS'!$Q$64*(0.5)+'LINEST VARS'!$P$64*($CX116)+'LINEST VARS'!$O$64*(8^2)+'LINEST VARS'!$N$64*(8^2)+'LINEST VARS'!$M$64*($CY$104^2)+'LINEST VARS'!$L$64*(0.5^2)+'LINEST VARS'!$K$64*($CX116^2)+'LINEST VARS'!$J$64*(8*8)+'LINEST VARS'!$I$64*(8*$CY$104)+'LINEST VARS'!$H$64*(8*0.5)+'LINEST VARS'!$G$64*(8*$CX116)+'LINEST VARS'!$F$64*(8*$CY$104)+'LINEST VARS'!$E$64*(8*0.5)+'LINEST VARS'!$D$64*(8*$CX116)+'LINEST VARS'!$C$64*($CY$104*0.5)+'LINEST VARS'!$B$64*($CY$104*$CX116)+'LINEST VARS'!$A$64*(0.5*$CX116)</f>
        <v>152.88349999999988</v>
      </c>
      <c r="CZ116" s="55">
        <f>'LINEST VARS'!$U$64+'LINEST VARS'!$T$64*(8)+'LINEST VARS'!$S$64*(8)+'LINEST VARS'!$R$64*($CZ$104)+'LINEST VARS'!$Q$64*(0.5)+'LINEST VARS'!$P$64*($CX116)+'LINEST VARS'!$O$64*(8^2)+'LINEST VARS'!$N$64*(8^2)+'LINEST VARS'!$M$64*($CZ$104^2)+'LINEST VARS'!$L$64*(0.5^2)+'LINEST VARS'!$K$64*($CX116^2)+'LINEST VARS'!$J$64*(8*8)+'LINEST VARS'!$I$64*(8*$CZ$104)+'LINEST VARS'!$H$64*(8*0.5)+'LINEST VARS'!$G$64*(8*$CX116)+'LINEST VARS'!$F$64*(8*$CZ$104)+'LINEST VARS'!$E$64*(8*0.5)+'LINEST VARS'!$D$64*(8*$CX116)+'LINEST VARS'!$C$64*($CZ$104*0.5)+'LINEST VARS'!$B$64*($CZ$104*$CX116)+'LINEST VARS'!$A$64*(0.5*$CX116)</f>
        <v>154.48349999999988</v>
      </c>
      <c r="DA116" s="55">
        <f>'LINEST VARS'!$U$64+'LINEST VARS'!$T$64*(8)+'LINEST VARS'!$S$64*(8)+'LINEST VARS'!$R$64*($DA$104)+'LINEST VARS'!$Q$64*(0.5)+'LINEST VARS'!$P$64*($CX116)+'LINEST VARS'!$O$64*(8^2)+'LINEST VARS'!$N$64*(8^2)+'LINEST VARS'!$M$64*($DA$104^2)+'LINEST VARS'!$L$64*(0.5^2)+'LINEST VARS'!$K$64*($CX116^2)+'LINEST VARS'!$J$64*(8*8)+'LINEST VARS'!$I$64*(8*$DA$104)+'LINEST VARS'!$H$64*(8*0.5)+'LINEST VARS'!$G$64*(8*$CX116)+'LINEST VARS'!$F$64*(8*$DA$104)+'LINEST VARS'!$E$64*(8*0.5)+'LINEST VARS'!$D$64*(8*$CX116)+'LINEST VARS'!$C$64*($DA$104*0.5)+'LINEST VARS'!$B$64*($DA$104*$CX116)+'LINEST VARS'!$A$64*(0.5*$CX116)</f>
        <v>156.08349999999987</v>
      </c>
      <c r="DB116" s="55">
        <f>'LINEST VARS'!$U$64+'LINEST VARS'!$T$64*(8)+'LINEST VARS'!$S$64*(8)+'LINEST VARS'!$R$64*($DB$104)+'LINEST VARS'!$Q$64*(0.5)+'LINEST VARS'!$P$64*($CX116)+'LINEST VARS'!$O$64*(8^2)+'LINEST VARS'!$N$64*(8^2)+'LINEST VARS'!$M$64*($DB$104^2)+'LINEST VARS'!$L$64*(0.5^2)+'LINEST VARS'!$K$64*($CX116^2)+'LINEST VARS'!$J$64*(8*8)+'LINEST VARS'!$I$64*(8*$DB$104)+'LINEST VARS'!$H$64*(8*0.5)+'LINEST VARS'!$G$64*(8*$CX116)+'LINEST VARS'!$F$64*(8*$DB$104)+'LINEST VARS'!$E$64*(8*0.5)+'LINEST VARS'!$D$64*(8*$CX116)+'LINEST VARS'!$C$64*($DB$104*0.5)+'LINEST VARS'!$B$64*($DB$104*$CX116)+'LINEST VARS'!$A$64*(0.5*$CX116)</f>
        <v>157.68349999999987</v>
      </c>
      <c r="DC116" s="55">
        <f>'LINEST VARS'!$U$64+'LINEST VARS'!$T$64*(8)+'LINEST VARS'!$S$64*(8)+'LINEST VARS'!$R$64*($DC$104)+'LINEST VARS'!$Q$64*(0.5)+'LINEST VARS'!$P$64*($CX116)+'LINEST VARS'!$O$64*(8^2)+'LINEST VARS'!$N$64*(8^2)+'LINEST VARS'!$M$64*($DC$104^2)+'LINEST VARS'!$L$64*(0.5^2)+'LINEST VARS'!$K$64*($CX116^2)+'LINEST VARS'!$J$64*(8*8)+'LINEST VARS'!$I$64*(8*$DC$104)+'LINEST VARS'!$H$64*(8*0.5)+'LINEST VARS'!$G$64*(8*$CX116)+'LINEST VARS'!$F$64*(8*$DC$104)+'LINEST VARS'!$E$64*(8*0.5)+'LINEST VARS'!$D$64*(8*$CX116)+'LINEST VARS'!$C$64*($DC$104*0.5)+'LINEST VARS'!$B$64*($DC$104*$CX116)+'LINEST VARS'!$A$64*(0.5*$CX116)</f>
        <v>159.28349999999989</v>
      </c>
      <c r="DD116" s="55">
        <f>'LINEST VARS'!$U$64+'LINEST VARS'!$T$64*(8)+'LINEST VARS'!$S$64*(8)+'LINEST VARS'!$R$64*($DD$104)+'LINEST VARS'!$Q$64*(0.5)+'LINEST VARS'!$P$64*($CX116)+'LINEST VARS'!$O$64*(8^2)+'LINEST VARS'!$N$64*(8^2)+'LINEST VARS'!$M$64*($DD$104^2)+'LINEST VARS'!$L$64*(0.5^2)+'LINEST VARS'!$K$64*($CX116^2)+'LINEST VARS'!$J$64*(8*8)+'LINEST VARS'!$I$64*(8*$DD$104)+'LINEST VARS'!$H$64*(8*0.5)+'LINEST VARS'!$G$64*(8*$CX116)+'LINEST VARS'!$F$64*(8*$DD$104)+'LINEST VARS'!$E$64*(8*0.5)+'LINEST VARS'!$D$64*(8*$CX116)+'LINEST VARS'!$C$64*($DD$104*0.5)+'LINEST VARS'!$B$64*($DD$104*$CX116)+'LINEST VARS'!$A$64*(0.5*$CX116)</f>
        <v>160.88349999999988</v>
      </c>
      <c r="DE116" s="55">
        <f>'LINEST VARS'!$U$64+'LINEST VARS'!$T$64*(8)+'LINEST VARS'!$S$64*(8)+'LINEST VARS'!$R$64*($DE$104)+'LINEST VARS'!$Q$64*(0.5)+'LINEST VARS'!$P$64*($CX116)+'LINEST VARS'!$O$64*(8^2)+'LINEST VARS'!$N$64*(8^2)+'LINEST VARS'!$M$64*($DE$104^2)+'LINEST VARS'!$L$64*(0.5^2)+'LINEST VARS'!$K$64*($CX116^2)+'LINEST VARS'!$J$64*(8*8)+'LINEST VARS'!$I$64*(8*$DE$104)+'LINEST VARS'!$H$64*(8*0.5)+'LINEST VARS'!$G$64*(8*$CX116)+'LINEST VARS'!$F$64*(8*$DE$104)+'LINEST VARS'!$E$64*(8*0.5)+'LINEST VARS'!$D$64*(8*$CX116)+'LINEST VARS'!$C$64*($DE$104*0.5)+'LINEST VARS'!$B$64*($DE$104*$CX116)+'LINEST VARS'!$A$64*(0.5*$CX116)</f>
        <v>162.48349999999988</v>
      </c>
      <c r="DF116" s="55">
        <f>'LINEST VARS'!$U$64+'LINEST VARS'!$T$64*(8)+'LINEST VARS'!$S$64*(8)+'LINEST VARS'!$R$64*($DF$104)+'LINEST VARS'!$Q$64*(0.5)+'LINEST VARS'!$P$64*($CX116)+'LINEST VARS'!$O$64*(8^2)+'LINEST VARS'!$N$64*(8^2)+'LINEST VARS'!$M$64*($DF$104^2)+'LINEST VARS'!$L$64*(0.5^2)+'LINEST VARS'!$K$64*($CX116^2)+'LINEST VARS'!$J$64*(8*8)+'LINEST VARS'!$I$64*(8*$DF$104)+'LINEST VARS'!$H$64*(8*0.5)+'LINEST VARS'!$G$64*(8*$CX116)+'LINEST VARS'!$F$64*(8*$DF$104)+'LINEST VARS'!$E$64*(8*0.5)+'LINEST VARS'!$D$64*(8*$CX116)+'LINEST VARS'!$C$64*($DF$104*0.5)+'LINEST VARS'!$B$64*($DF$104*$CX116)+'LINEST VARS'!$A$64*(0.5*$CX116)</f>
        <v>164.08349999999987</v>
      </c>
      <c r="DG116" s="55">
        <f>'LINEST VARS'!$U$64+'LINEST VARS'!$T$64*(8)+'LINEST VARS'!$S$64*(8)+'LINEST VARS'!$R$64*($DG$104)+'LINEST VARS'!$Q$64*(0.5)+'LINEST VARS'!$P$64*($CX116)+'LINEST VARS'!$O$64*(8^2)+'LINEST VARS'!$N$64*(8^2)+'LINEST VARS'!$M$64*($DG$104^2)+'LINEST VARS'!$L$64*(0.5^2)+'LINEST VARS'!$K$64*($CX116^2)+'LINEST VARS'!$J$64*(8*8)+'LINEST VARS'!$I$64*(8*$DG$104)+'LINEST VARS'!$H$64*(8*0.5)+'LINEST VARS'!$G$64*(8*$CX116)+'LINEST VARS'!$F$64*(8*$DG$104)+'LINEST VARS'!$E$64*(8*0.5)+'LINEST VARS'!$D$64*(8*$CX116)+'LINEST VARS'!$C$64*($DG$104*0.5)+'LINEST VARS'!$B$64*($DG$104*$CX116)+'LINEST VARS'!$A$64*(0.5*$CX116)</f>
        <v>165.6834999999999</v>
      </c>
      <c r="DH116" s="55">
        <f>'LINEST VARS'!$U$64+'LINEST VARS'!$T$64*(8)+'LINEST VARS'!$S$64*(8)+'LINEST VARS'!$R$64*($DH$104)+'LINEST VARS'!$Q$64*(0.5)+'LINEST VARS'!$P$64*($CX116)+'LINEST VARS'!$O$64*(8^2)+'LINEST VARS'!$N$64*(8^2)+'LINEST VARS'!$M$64*($DH$104^2)+'LINEST VARS'!$L$64*(0.5^2)+'LINEST VARS'!$K$64*($CX116^2)+'LINEST VARS'!$J$64*(8*8)+'LINEST VARS'!$I$64*(8*$DH$104)+'LINEST VARS'!$H$64*(8*0.5)+'LINEST VARS'!$G$64*(8*$CX116)+'LINEST VARS'!$F$64*(8*$DH$104)+'LINEST VARS'!$E$64*(8*0.5)+'LINEST VARS'!$D$64*(8*$CX116)+'LINEST VARS'!$C$64*($DH$104*0.5)+'LINEST VARS'!$B$64*($DH$104*$CX116)+'LINEST VARS'!$A$64*(0.5*$CX116)</f>
        <v>167.28349999999989</v>
      </c>
      <c r="DI116" s="55">
        <f>'LINEST VARS'!$U$64+'LINEST VARS'!$T$64*(8)+'LINEST VARS'!$S$64*(8)+'LINEST VARS'!$R$64*($DI$104)+'LINEST VARS'!$Q$64*(0.5)+'LINEST VARS'!$P$64*($CX116)+'LINEST VARS'!$O$64*(8^2)+'LINEST VARS'!$N$64*(8^2)+'LINEST VARS'!$M$64*($DI$104^2)+'LINEST VARS'!$L$64*(0.5^2)+'LINEST VARS'!$K$64*($CX116^2)+'LINEST VARS'!$J$64*(8*8)+'LINEST VARS'!$I$64*(8*$DI$104)+'LINEST VARS'!$H$64*(8*0.5)+'LINEST VARS'!$G$64*(8*$CX116)+'LINEST VARS'!$F$64*(8*$DI$104)+'LINEST VARS'!$E$64*(8*0.5)+'LINEST VARS'!$D$64*(8*$CX116)+'LINEST VARS'!$C$64*($DI$104*0.5)+'LINEST VARS'!$B$64*($DI$104*$CX116)+'LINEST VARS'!$A$64*(0.5*$CX116)</f>
        <v>168.88349999999988</v>
      </c>
      <c r="DJ116" s="55">
        <f>'LINEST VARS'!$U$64+'LINEST VARS'!$T$64*(8)+'LINEST VARS'!$S$64*(8)+'LINEST VARS'!$R$64*($DJ$104)+'LINEST VARS'!$Q$64*(0.5)+'LINEST VARS'!$P$64*($CX116)+'LINEST VARS'!$O$64*(8^2)+'LINEST VARS'!$N$64*(8^2)+'LINEST VARS'!$M$64*($DJ$104^2)+'LINEST VARS'!$L$64*(0.5^2)+'LINEST VARS'!$K$64*($CX116^2)+'LINEST VARS'!$J$64*(8*8)+'LINEST VARS'!$I$64*(8*$DJ$104)+'LINEST VARS'!$H$64*(8*0.5)+'LINEST VARS'!$G$64*(8*$CX116)+'LINEST VARS'!$F$64*(8*$DJ$104)+'LINEST VARS'!$E$64*(8*0.5)+'LINEST VARS'!$D$64*(8*$CX116)+'LINEST VARS'!$C$64*($DJ$104*0.5)+'LINEST VARS'!$B$64*($DJ$104*$CX116)+'LINEST VARS'!$A$64*(0.5*$CX116)</f>
        <v>170.48349999999988</v>
      </c>
      <c r="DK116" s="55">
        <f>'LINEST VARS'!$U$64+'LINEST VARS'!$T$64*(8)+'LINEST VARS'!$S$64*(8)+'LINEST VARS'!$R$64*($DK$104)+'LINEST VARS'!$Q$64*(0.5)+'LINEST VARS'!$P$64*($CX116)+'LINEST VARS'!$O$64*(8^2)+'LINEST VARS'!$N$64*(8^2)+'LINEST VARS'!$M$64*($DK$104^2)+'LINEST VARS'!$L$64*(0.5^2)+'LINEST VARS'!$K$64*($CX116^2)+'LINEST VARS'!$J$64*(8*8)+'LINEST VARS'!$I$64*(8*$DK$104)+'LINEST VARS'!$H$64*(8*0.5)+'LINEST VARS'!$G$64*(8*$CX116)+'LINEST VARS'!$F$64*(8*$DK$104)+'LINEST VARS'!$E$64*(8*0.5)+'LINEST VARS'!$D$64*(8*$CX116)+'LINEST VARS'!$C$64*($DK$104*0.5)+'LINEST VARS'!$B$64*($DK$104*$CX116)+'LINEST VARS'!$A$64*(0.5*$CX116)</f>
        <v>172.08349999999984</v>
      </c>
      <c r="DL116" s="55">
        <f>'LINEST VARS'!$U$64+'LINEST VARS'!$T$64*(8)+'LINEST VARS'!$S$64*(8)+'LINEST VARS'!$R$64*($DL$104)+'LINEST VARS'!$Q$64*(0.5)+'LINEST VARS'!$P$64*($CX116)+'LINEST VARS'!$O$64*(8^2)+'LINEST VARS'!$N$64*(8^2)+'LINEST VARS'!$M$64*($DL$104^2)+'LINEST VARS'!$L$64*(0.5^2)+'LINEST VARS'!$K$64*($CX116^2)+'LINEST VARS'!$J$64*(8*8)+'LINEST VARS'!$I$64*(8*$DL$104)+'LINEST VARS'!$H$64*(8*0.5)+'LINEST VARS'!$G$64*(8*$CX116)+'LINEST VARS'!$F$64*(8*$DL$104)+'LINEST VARS'!$E$64*(8*0.5)+'LINEST VARS'!$D$64*(8*$CX116)+'LINEST VARS'!$C$64*($DL$104*0.5)+'LINEST VARS'!$B$64*($DL$104*$CX116)+'LINEST VARS'!$A$64*(0.5*$CX116)</f>
        <v>173.68349999999987</v>
      </c>
      <c r="DM116" s="55">
        <f>'LINEST VARS'!$U$64+'LINEST VARS'!$T$64*(8)+'LINEST VARS'!$S$64*(8)+'LINEST VARS'!$R$64*($DM$104)+'LINEST VARS'!$Q$64*(0.5)+'LINEST VARS'!$P$64*($CX116)+'LINEST VARS'!$O$64*(8^2)+'LINEST VARS'!$N$64*(8^2)+'LINEST VARS'!$M$64*($DM$104^2)+'LINEST VARS'!$L$64*(0.5^2)+'LINEST VARS'!$K$64*($CX116^2)+'LINEST VARS'!$J$64*(8*8)+'LINEST VARS'!$I$64*(8*$DM$104)+'LINEST VARS'!$H$64*(8*0.5)+'LINEST VARS'!$G$64*(8*$CX116)+'LINEST VARS'!$F$64*(8*$DM$104)+'LINEST VARS'!$E$64*(8*0.5)+'LINEST VARS'!$D$64*(8*$CX116)+'LINEST VARS'!$C$64*($DM$104*0.5)+'LINEST VARS'!$B$64*($DM$104*$CX116)+'LINEST VARS'!$A$64*(0.5*$CX116)</f>
        <v>175.28349999999983</v>
      </c>
      <c r="DN116" s="55">
        <f>'LINEST VARS'!$U$64+'LINEST VARS'!$T$64*(8)+'LINEST VARS'!$S$64*(8)+'LINEST VARS'!$R$64*($DN$104)+'LINEST VARS'!$Q$64*(0.5)+'LINEST VARS'!$P$64*($CX116)+'LINEST VARS'!$O$64*(8^2)+'LINEST VARS'!$N$64*(8^2)+'LINEST VARS'!$M$64*($DN$104^2)+'LINEST VARS'!$L$64*(0.5^2)+'LINEST VARS'!$K$64*($CX116^2)+'LINEST VARS'!$J$64*(8*8)+'LINEST VARS'!$I$64*(8*$DN$104)+'LINEST VARS'!$H$64*(8*0.5)+'LINEST VARS'!$G$64*(8*$CX116)+'LINEST VARS'!$F$64*(8*$DN$104)+'LINEST VARS'!$E$64*(8*0.5)+'LINEST VARS'!$D$64*(8*$CX116)+'LINEST VARS'!$C$64*($DN$104*0.5)+'LINEST VARS'!$B$64*($DN$104*$CX116)+'LINEST VARS'!$A$64*(0.5*$CX116)</f>
        <v>176.88349999999983</v>
      </c>
      <c r="DO116" s="55">
        <f>'LINEST VARS'!$U$64+'LINEST VARS'!$T$64*(8)+'LINEST VARS'!$S$64*(8)+'LINEST VARS'!$R$64*($DO$104)+'LINEST VARS'!$Q$64*(0.5)+'LINEST VARS'!$P$64*($CX116)+'LINEST VARS'!$O$64*(8^2)+'LINEST VARS'!$N$64*(8^2)+'LINEST VARS'!$M$64*($DO$104^2)+'LINEST VARS'!$L$64*(0.5^2)+'LINEST VARS'!$K$64*($CX116^2)+'LINEST VARS'!$J$64*(8*8)+'LINEST VARS'!$I$64*(8*$DO$104)+'LINEST VARS'!$H$64*(8*0.5)+'LINEST VARS'!$G$64*(8*$CX116)+'LINEST VARS'!$F$64*(8*$DO$104)+'LINEST VARS'!$E$64*(8*0.5)+'LINEST VARS'!$D$64*(8*$CX116)+'LINEST VARS'!$C$64*($DO$104*0.5)+'LINEST VARS'!$B$64*($DO$104*$CX116)+'LINEST VARS'!$A$64*(0.5*$CX116)</f>
        <v>178.48349999999985</v>
      </c>
      <c r="DP116" s="55">
        <f>'LINEST VARS'!$U$64+'LINEST VARS'!$T$64*(8)+'LINEST VARS'!$S$64*(8)+'LINEST VARS'!$R$64*($DP$104)+'LINEST VARS'!$Q$64*(0.5)+'LINEST VARS'!$P$64*($CX116)+'LINEST VARS'!$O$64*(8^2)+'LINEST VARS'!$N$64*(8^2)+'LINEST VARS'!$M$64*($DP$104^2)+'LINEST VARS'!$L$64*(0.5^2)+'LINEST VARS'!$K$64*($CX116^2)+'LINEST VARS'!$J$64*(8*8)+'LINEST VARS'!$I$64*(8*$DP$104)+'LINEST VARS'!$H$64*(8*0.5)+'LINEST VARS'!$G$64*(8*$CX116)+'LINEST VARS'!$F$64*(8*$DP$104)+'LINEST VARS'!$E$64*(8*0.5)+'LINEST VARS'!$D$64*(8*$CX116)+'LINEST VARS'!$C$64*($DP$104*0.5)+'LINEST VARS'!$B$64*($DP$104*$CX116)+'LINEST VARS'!$A$64*(0.5*$CX116)</f>
        <v>180.08349999999984</v>
      </c>
      <c r="DQ116" s="55">
        <f>'LINEST VARS'!$U$64+'LINEST VARS'!$T$64*(8)+'LINEST VARS'!$S$64*(8)+'LINEST VARS'!$R$64*($DQ$104)+'LINEST VARS'!$Q$64*(0.5)+'LINEST VARS'!$P$64*($CX116)+'LINEST VARS'!$O$64*(8^2)+'LINEST VARS'!$N$64*(8^2)+'LINEST VARS'!$M$64*($DQ$104^2)+'LINEST VARS'!$L$64*(0.5^2)+'LINEST VARS'!$K$64*($CX116^2)+'LINEST VARS'!$J$64*(8*8)+'LINEST VARS'!$I$64*(8*$DQ$104)+'LINEST VARS'!$H$64*(8*0.5)+'LINEST VARS'!$G$64*(8*$CX116)+'LINEST VARS'!$F$64*(8*$DQ$104)+'LINEST VARS'!$E$64*(8*0.5)+'LINEST VARS'!$D$64*(8*$CX116)+'LINEST VARS'!$C$64*($DQ$104*0.5)+'LINEST VARS'!$B$64*($DQ$104*$CX116)+'LINEST VARS'!$A$64*(0.5*$CX116)</f>
        <v>181.68349999999984</v>
      </c>
      <c r="DR116" s="55">
        <f>'LINEST VARS'!$U$64+'LINEST VARS'!$T$64*(8)+'LINEST VARS'!$S$64*(8)+'LINEST VARS'!$R$64*($DR$104)+'LINEST VARS'!$Q$64*(0.5)+'LINEST VARS'!$P$64*($CX116)+'LINEST VARS'!$O$64*(8^2)+'LINEST VARS'!$N$64*(8^2)+'LINEST VARS'!$M$64*($DR$104^2)+'LINEST VARS'!$L$64*(0.5^2)+'LINEST VARS'!$K$64*($CX116^2)+'LINEST VARS'!$J$64*(8*8)+'LINEST VARS'!$I$64*(8*$DR$104)+'LINEST VARS'!$H$64*(8*0.5)+'LINEST VARS'!$G$64*(8*$CX116)+'LINEST VARS'!$F$64*(8*$DR$104)+'LINEST VARS'!$E$64*(8*0.5)+'LINEST VARS'!$D$64*(8*$CX116)+'LINEST VARS'!$C$64*($DR$104*0.5)+'LINEST VARS'!$B$64*($DR$104*$CX116)+'LINEST VARS'!$A$64*(0.5*$CX116)</f>
        <v>183.28349999999983</v>
      </c>
      <c r="DS116" s="56">
        <f>'LINEST VARS'!$U$64+'LINEST VARS'!$T$64*(8)+'LINEST VARS'!$S$64*(8)+'LINEST VARS'!$R$64*($DS$104)+'LINEST VARS'!$Q$64*(0.5)+'LINEST VARS'!$P$64*($CX116)+'LINEST VARS'!$O$64*(8^2)+'LINEST VARS'!$N$64*(8^2)+'LINEST VARS'!$M$64*($DS$104^2)+'LINEST VARS'!$L$64*(0.5^2)+'LINEST VARS'!$K$64*($CX116^2)+'LINEST VARS'!$J$64*(8*8)+'LINEST VARS'!$I$64*(8*$DS$104)+'LINEST VARS'!$H$64*(8*0.5)+'LINEST VARS'!$G$64*(8*$CX116)+'LINEST VARS'!$F$64*(8*$DS$104)+'LINEST VARS'!$E$64*(8*0.5)+'LINEST VARS'!$D$64*(8*$CX116)+'LINEST VARS'!$C$64*($DS$104*0.5)+'LINEST VARS'!$B$64*($DS$104*$CX116)+'LINEST VARS'!$A$64*(0.5*$CX116)</f>
        <v>184.88349999999983</v>
      </c>
      <c r="DV116" s="45">
        <v>14.294499999999999</v>
      </c>
      <c r="DW116" s="46">
        <f>'LINEST VARS'!$U$66+'LINEST VARS'!$T$66*(8)+'LINEST VARS'!$S$66*(8)+'LINEST VARS'!$R$66*($DW$104)+'LINEST VARS'!$Q$66*(0.5)+'LINEST VARS'!$P$66*($DV116)+'LINEST VARS'!$O$66*(8^2)+'LINEST VARS'!$N$66*(8^2)+'LINEST VARS'!$M$66*($DW$104^2)+'LINEST VARS'!$L$66*(0.5^2)+'LINEST VARS'!$K$66*($DV116^2)+'LINEST VARS'!$J$66*(8*8)+'LINEST VARS'!$I$66*(8*$DW$104)+'LINEST VARS'!$H$66*(8*0.5)+'LINEST VARS'!$G$66*(8*$DV116)+'LINEST VARS'!$F$66*(8*$DW$104)+'LINEST VARS'!$E$66*(8*0.5)+'LINEST VARS'!$D$66*(8*$DV116)+'LINEST VARS'!$C$66*($DW$104*0.5)+'LINEST VARS'!$B$66*($DW$104*$DV116)+'LINEST VARS'!$A$66*(0.5*$DV116)</f>
        <v>144.00000000000006</v>
      </c>
      <c r="DX116" s="46">
        <f>'LINEST VARS'!$U$66+'LINEST VARS'!$T$66*(8)+'LINEST VARS'!$S$66*(8)+'LINEST VARS'!$R$66*($DX$104)+'LINEST VARS'!$Q$66*(0.5)+'LINEST VARS'!$P$66*($DV116)+'LINEST VARS'!$O$66*(8^2)+'LINEST VARS'!$N$66*(8^2)+'LINEST VARS'!$M$66*($DX$104^2)+'LINEST VARS'!$L$66*(0.5^2)+'LINEST VARS'!$K$66*($DV116^2)+'LINEST VARS'!$J$66*(8*8)+'LINEST VARS'!$I$66*(8*$DX$104)+'LINEST VARS'!$H$66*(8*0.5)+'LINEST VARS'!$G$66*(8*$DV116)+'LINEST VARS'!$F$66*(8*$DX$104)+'LINEST VARS'!$E$66*(8*0.5)+'LINEST VARS'!$D$66*(8*$DV116)+'LINEST VARS'!$C$66*($DX$104*0.5)+'LINEST VARS'!$B$66*($DX$104*$DV116)+'LINEST VARS'!$A$66*(0.5*$DV116)</f>
        <v>143.20000000000007</v>
      </c>
      <c r="DY116" s="46">
        <f>'LINEST VARS'!$U$66+'LINEST VARS'!$T$66*(8)+'LINEST VARS'!$S$66*(8)+'LINEST VARS'!$R$66*($DY$104)+'LINEST VARS'!$Q$66*(0.5)+'LINEST VARS'!$P$66*($DV116)+'LINEST VARS'!$O$66*(8^2)+'LINEST VARS'!$N$66*(8^2)+'LINEST VARS'!$M$66*($DY$104^2)+'LINEST VARS'!$L$66*(0.5^2)+'LINEST VARS'!$K$66*($DV116^2)+'LINEST VARS'!$J$66*(8*8)+'LINEST VARS'!$I$66*(8*$DY$104)+'LINEST VARS'!$H$66*(8*0.5)+'LINEST VARS'!$G$66*(8*$DV116)+'LINEST VARS'!$F$66*(8*$DY$104)+'LINEST VARS'!$E$66*(8*0.5)+'LINEST VARS'!$D$66*(8*$DV116)+'LINEST VARS'!$C$66*($DY$104*0.5)+'LINEST VARS'!$B$66*($DY$104*$DV116)+'LINEST VARS'!$A$66*(0.5*$DV116)</f>
        <v>142.40000000000006</v>
      </c>
      <c r="DZ116" s="46">
        <f>'LINEST VARS'!$U$66+'LINEST VARS'!$T$66*(8)+'LINEST VARS'!$S$66*(8)+'LINEST VARS'!$R$66*($DZ$104)+'LINEST VARS'!$Q$66*(0.5)+'LINEST VARS'!$P$66*($DV116)+'LINEST VARS'!$O$66*(8^2)+'LINEST VARS'!$N$66*(8^2)+'LINEST VARS'!$M$66*($DZ$104^2)+'LINEST VARS'!$L$66*(0.5^2)+'LINEST VARS'!$K$66*($DV116^2)+'LINEST VARS'!$J$66*(8*8)+'LINEST VARS'!$I$66*(8*$DZ$104)+'LINEST VARS'!$H$66*(8*0.5)+'LINEST VARS'!$G$66*(8*$DV116)+'LINEST VARS'!$F$66*(8*$DZ$104)+'LINEST VARS'!$E$66*(8*0.5)+'LINEST VARS'!$D$66*(8*$DV116)+'LINEST VARS'!$C$66*($DZ$104*0.5)+'LINEST VARS'!$B$66*($DZ$104*$DV116)+'LINEST VARS'!$A$66*(0.5*$DV116)</f>
        <v>141.60000000000008</v>
      </c>
      <c r="EA116" s="46">
        <f>'LINEST VARS'!$U$66+'LINEST VARS'!$T$66*(8)+'LINEST VARS'!$S$66*(8)+'LINEST VARS'!$R$66*($EA$104)+'LINEST VARS'!$Q$66*(0.5)+'LINEST VARS'!$P$66*($DV116)+'LINEST VARS'!$O$66*(8^2)+'LINEST VARS'!$N$66*(8^2)+'LINEST VARS'!$M$66*($EA$104^2)+'LINEST VARS'!$L$66*(0.5^2)+'LINEST VARS'!$K$66*($DV116^2)+'LINEST VARS'!$J$66*(8*8)+'LINEST VARS'!$I$66*(8*$EA$104)+'LINEST VARS'!$H$66*(8*0.5)+'LINEST VARS'!$G$66*(8*$DV116)+'LINEST VARS'!$F$66*(8*$EA$104)+'LINEST VARS'!$E$66*(8*0.5)+'LINEST VARS'!$D$66*(8*$DV116)+'LINEST VARS'!$C$66*($EA$104*0.5)+'LINEST VARS'!$B$66*($EA$104*$DV116)+'LINEST VARS'!$A$66*(0.5*$DV116)</f>
        <v>140.80000000000007</v>
      </c>
      <c r="EB116" s="46">
        <f>'LINEST VARS'!$U$66+'LINEST VARS'!$T$66*(8)+'LINEST VARS'!$S$66*(8)+'LINEST VARS'!$R$66*($EB$104)+'LINEST VARS'!$Q$66*(0.5)+'LINEST VARS'!$P$66*($DV116)+'LINEST VARS'!$O$66*(8^2)+'LINEST VARS'!$N$66*(8^2)+'LINEST VARS'!$M$66*($EB$104^2)+'LINEST VARS'!$L$66*(0.5^2)+'LINEST VARS'!$K$66*($DV116^2)+'LINEST VARS'!$J$66*(8*8)+'LINEST VARS'!$I$66*(8*$EB$104)+'LINEST VARS'!$H$66*(8*0.5)+'LINEST VARS'!$G$66*(8*$DV116)+'LINEST VARS'!$F$66*(8*$EB$104)+'LINEST VARS'!$E$66*(8*0.5)+'LINEST VARS'!$D$66*(8*$DV116)+'LINEST VARS'!$C$66*($EB$104*0.5)+'LINEST VARS'!$B$66*($EB$104*$DV116)+'LINEST VARS'!$A$66*(0.5*$DV116)</f>
        <v>140.00000000000009</v>
      </c>
      <c r="EC116" s="46">
        <f>'LINEST VARS'!$U$66+'LINEST VARS'!$T$66*(8)+'LINEST VARS'!$S$66*(8)+'LINEST VARS'!$R$66*($EC$104)+'LINEST VARS'!$Q$66*(0.5)+'LINEST VARS'!$P$66*($DV116)+'LINEST VARS'!$O$66*(8^2)+'LINEST VARS'!$N$66*(8^2)+'LINEST VARS'!$M$66*($EC$104^2)+'LINEST VARS'!$L$66*(0.5^2)+'LINEST VARS'!$K$66*($DV116^2)+'LINEST VARS'!$J$66*(8*8)+'LINEST VARS'!$I$66*(8*$EC$104)+'LINEST VARS'!$H$66*(8*0.5)+'LINEST VARS'!$G$66*(8*$DV116)+'LINEST VARS'!$F$66*(8*$EC$104)+'LINEST VARS'!$E$66*(8*0.5)+'LINEST VARS'!$D$66*(8*$DV116)+'LINEST VARS'!$C$66*($EC$104*0.5)+'LINEST VARS'!$B$66*($EC$104*$DV116)+'LINEST VARS'!$A$66*(0.5*$DV116)</f>
        <v>139.20000000000007</v>
      </c>
      <c r="ED116" s="46">
        <f>'LINEST VARS'!$U$66+'LINEST VARS'!$T$66*(8)+'LINEST VARS'!$S$66*(8)+'LINEST VARS'!$R$66*($ED$104)+'LINEST VARS'!$Q$66*(0.5)+'LINEST VARS'!$P$66*($DV116)+'LINEST VARS'!$O$66*(8^2)+'LINEST VARS'!$N$66*(8^2)+'LINEST VARS'!$M$66*($ED$104^2)+'LINEST VARS'!$L$66*(0.5^2)+'LINEST VARS'!$K$66*($DV116^2)+'LINEST VARS'!$J$66*(8*8)+'LINEST VARS'!$I$66*(8*$ED$104)+'LINEST VARS'!$H$66*(8*0.5)+'LINEST VARS'!$G$66*(8*$DV116)+'LINEST VARS'!$F$66*(8*$ED$104)+'LINEST VARS'!$E$66*(8*0.5)+'LINEST VARS'!$D$66*(8*$DV116)+'LINEST VARS'!$C$66*($ED$104*0.5)+'LINEST VARS'!$B$66*($ED$104*$DV116)+'LINEST VARS'!$A$66*(0.5*$DV116)</f>
        <v>138.40000000000009</v>
      </c>
      <c r="EE116" s="46">
        <f>'LINEST VARS'!$U$66+'LINEST VARS'!$T$66*(8)+'LINEST VARS'!$S$66*(8)+'LINEST VARS'!$R$66*($EE$104)+'LINEST VARS'!$Q$66*(0.5)+'LINEST VARS'!$P$66*($DV116)+'LINEST VARS'!$O$66*(8^2)+'LINEST VARS'!$N$66*(8^2)+'LINEST VARS'!$M$66*($EE$104^2)+'LINEST VARS'!$L$66*(0.5^2)+'LINEST VARS'!$K$66*($DV116^2)+'LINEST VARS'!$J$66*(8*8)+'LINEST VARS'!$I$66*(8*$EE$104)+'LINEST VARS'!$H$66*(8*0.5)+'LINEST VARS'!$G$66*(8*$DV116)+'LINEST VARS'!$F$66*(8*$EE$104)+'LINEST VARS'!$E$66*(8*0.5)+'LINEST VARS'!$D$66*(8*$DV116)+'LINEST VARS'!$C$66*($EE$104*0.5)+'LINEST VARS'!$B$66*($EE$104*$DV116)+'LINEST VARS'!$A$66*(0.5*$DV116)</f>
        <v>137.60000000000008</v>
      </c>
      <c r="EF116" s="46">
        <f>'LINEST VARS'!$U$66+'LINEST VARS'!$T$66*(8)+'LINEST VARS'!$S$66*(8)+'LINEST VARS'!$R$66*($EF$104)+'LINEST VARS'!$Q$66*(0.5)+'LINEST VARS'!$P$66*($DV116)+'LINEST VARS'!$O$66*(8^2)+'LINEST VARS'!$N$66*(8^2)+'LINEST VARS'!$M$66*($EF$104^2)+'LINEST VARS'!$L$66*(0.5^2)+'LINEST VARS'!$K$66*($DV116^2)+'LINEST VARS'!$J$66*(8*8)+'LINEST VARS'!$I$66*(8*$EF$104)+'LINEST VARS'!$H$66*(8*0.5)+'LINEST VARS'!$G$66*(8*$DV116)+'LINEST VARS'!$F$66*(8*$EF$104)+'LINEST VARS'!$E$66*(8*0.5)+'LINEST VARS'!$D$66*(8*$DV116)+'LINEST VARS'!$C$66*($EF$104*0.5)+'LINEST VARS'!$B$66*($EF$104*$DV116)+'LINEST VARS'!$A$66*(0.5*$DV116)</f>
        <v>136.80000000000007</v>
      </c>
      <c r="EG116" s="46">
        <f>'LINEST VARS'!$U$66+'LINEST VARS'!$T$66*(8)+'LINEST VARS'!$S$66*(8)+'LINEST VARS'!$R$66*($EG$104)+'LINEST VARS'!$Q$66*(0.5)+'LINEST VARS'!$P$66*($DV116)+'LINEST VARS'!$O$66*(8^2)+'LINEST VARS'!$N$66*(8^2)+'LINEST VARS'!$M$66*($EG$104^2)+'LINEST VARS'!$L$66*(0.5^2)+'LINEST VARS'!$K$66*($DV116^2)+'LINEST VARS'!$J$66*(8*8)+'LINEST VARS'!$I$66*(8*$EG$104)+'LINEST VARS'!$H$66*(8*0.5)+'LINEST VARS'!$G$66*(8*$DV116)+'LINEST VARS'!$F$66*(8*$EG$104)+'LINEST VARS'!$E$66*(8*0.5)+'LINEST VARS'!$D$66*(8*$DV116)+'LINEST VARS'!$C$66*($EG$104*0.5)+'LINEST VARS'!$B$66*($EG$104*$DV116)+'LINEST VARS'!$A$66*(0.5*$DV116)</f>
        <v>136.00000000000006</v>
      </c>
      <c r="EH116" s="46">
        <f>'LINEST VARS'!$U$66+'LINEST VARS'!$T$66*(8)+'LINEST VARS'!$S$66*(8)+'LINEST VARS'!$R$66*($EH$104)+'LINEST VARS'!$Q$66*(0.5)+'LINEST VARS'!$P$66*($DV116)+'LINEST VARS'!$O$66*(8^2)+'LINEST VARS'!$N$66*(8^2)+'LINEST VARS'!$M$66*($EH$104^2)+'LINEST VARS'!$L$66*(0.5^2)+'LINEST VARS'!$K$66*($DV116^2)+'LINEST VARS'!$J$66*(8*8)+'LINEST VARS'!$I$66*(8*$EH$104)+'LINEST VARS'!$H$66*(8*0.5)+'LINEST VARS'!$G$66*(8*$DV116)+'LINEST VARS'!$F$66*(8*$EH$104)+'LINEST VARS'!$E$66*(8*0.5)+'LINEST VARS'!$D$66*(8*$DV116)+'LINEST VARS'!$C$66*($EH$104*0.5)+'LINEST VARS'!$B$66*($EH$104*$DV116)+'LINEST VARS'!$A$66*(0.5*$DV116)</f>
        <v>135.20000000000005</v>
      </c>
      <c r="EI116" s="46">
        <f>'LINEST VARS'!$U$66+'LINEST VARS'!$T$66*(8)+'LINEST VARS'!$S$66*(8)+'LINEST VARS'!$R$66*($EI$104)+'LINEST VARS'!$Q$66*(0.5)+'LINEST VARS'!$P$66*($DV116)+'LINEST VARS'!$O$66*(8^2)+'LINEST VARS'!$N$66*(8^2)+'LINEST VARS'!$M$66*($EI$104^2)+'LINEST VARS'!$L$66*(0.5^2)+'LINEST VARS'!$K$66*($DV116^2)+'LINEST VARS'!$J$66*(8*8)+'LINEST VARS'!$I$66*(8*$EI$104)+'LINEST VARS'!$H$66*(8*0.5)+'LINEST VARS'!$G$66*(8*$DV116)+'LINEST VARS'!$F$66*(8*$EI$104)+'LINEST VARS'!$E$66*(8*0.5)+'LINEST VARS'!$D$66*(8*$DV116)+'LINEST VARS'!$C$66*($EI$104*0.5)+'LINEST VARS'!$B$66*($EI$104*$DV116)+'LINEST VARS'!$A$66*(0.5*$DV116)</f>
        <v>134.40000000000003</v>
      </c>
      <c r="EJ116" s="46">
        <f>'LINEST VARS'!$U$66+'LINEST VARS'!$T$66*(8)+'LINEST VARS'!$S$66*(8)+'LINEST VARS'!$R$66*($EJ$104)+'LINEST VARS'!$Q$66*(0.5)+'LINEST VARS'!$P$66*($DV116)+'LINEST VARS'!$O$66*(8^2)+'LINEST VARS'!$N$66*(8^2)+'LINEST VARS'!$M$66*($EJ$104^2)+'LINEST VARS'!$L$66*(0.5^2)+'LINEST VARS'!$K$66*($DV116^2)+'LINEST VARS'!$J$66*(8*8)+'LINEST VARS'!$I$66*(8*$EJ$104)+'LINEST VARS'!$H$66*(8*0.5)+'LINEST VARS'!$G$66*(8*$DV116)+'LINEST VARS'!$F$66*(8*$EJ$104)+'LINEST VARS'!$E$66*(8*0.5)+'LINEST VARS'!$D$66*(8*$DV116)+'LINEST VARS'!$C$66*($EJ$104*0.5)+'LINEST VARS'!$B$66*($EJ$104*$DV116)+'LINEST VARS'!$A$66*(0.5*$DV116)</f>
        <v>133.60000000000005</v>
      </c>
      <c r="EK116" s="46">
        <f>'LINEST VARS'!$U$66+'LINEST VARS'!$T$66*(8)+'LINEST VARS'!$S$66*(8)+'LINEST VARS'!$R$66*($EK$104)+'LINEST VARS'!$Q$66*(0.5)+'LINEST VARS'!$P$66*($DV116)+'LINEST VARS'!$O$66*(8^2)+'LINEST VARS'!$N$66*(8^2)+'LINEST VARS'!$M$66*($EK$104^2)+'LINEST VARS'!$L$66*(0.5^2)+'LINEST VARS'!$K$66*($DV116^2)+'LINEST VARS'!$J$66*(8*8)+'LINEST VARS'!$I$66*(8*$EK$104)+'LINEST VARS'!$H$66*(8*0.5)+'LINEST VARS'!$G$66*(8*$DV116)+'LINEST VARS'!$F$66*(8*$EK$104)+'LINEST VARS'!$E$66*(8*0.5)+'LINEST VARS'!$D$66*(8*$DV116)+'LINEST VARS'!$C$66*($EK$104*0.5)+'LINEST VARS'!$B$66*($EK$104*$DV116)+'LINEST VARS'!$A$66*(0.5*$DV116)</f>
        <v>132.80000000000004</v>
      </c>
      <c r="EL116" s="46">
        <f>'LINEST VARS'!$U$66+'LINEST VARS'!$T$66*(8)+'LINEST VARS'!$S$66*(8)+'LINEST VARS'!$R$66*($EL$104)+'LINEST VARS'!$Q$66*(0.5)+'LINEST VARS'!$P$66*($DV116)+'LINEST VARS'!$O$66*(8^2)+'LINEST VARS'!$N$66*(8^2)+'LINEST VARS'!$M$66*($EL$104^2)+'LINEST VARS'!$L$66*(0.5^2)+'LINEST VARS'!$K$66*($DV116^2)+'LINEST VARS'!$J$66*(8*8)+'LINEST VARS'!$I$66*(8*$EL$104)+'LINEST VARS'!$H$66*(8*0.5)+'LINEST VARS'!$G$66*(8*$DV116)+'LINEST VARS'!$F$66*(8*$EL$104)+'LINEST VARS'!$E$66*(8*0.5)+'LINEST VARS'!$D$66*(8*$DV116)+'LINEST VARS'!$C$66*($EL$104*0.5)+'LINEST VARS'!$B$66*($EL$104*$DV116)+'LINEST VARS'!$A$66*(0.5*$DV116)</f>
        <v>132.00000000000006</v>
      </c>
      <c r="EM116" s="46">
        <f>'LINEST VARS'!$U$66+'LINEST VARS'!$T$66*(8)+'LINEST VARS'!$S$66*(8)+'LINEST VARS'!$R$66*($EM$104)+'LINEST VARS'!$Q$66*(0.5)+'LINEST VARS'!$P$66*($DV116)+'LINEST VARS'!$O$66*(8^2)+'LINEST VARS'!$N$66*(8^2)+'LINEST VARS'!$M$66*($EM$104^2)+'LINEST VARS'!$L$66*(0.5^2)+'LINEST VARS'!$K$66*($DV116^2)+'LINEST VARS'!$J$66*(8*8)+'LINEST VARS'!$I$66*(8*$EM$104)+'LINEST VARS'!$H$66*(8*0.5)+'LINEST VARS'!$G$66*(8*$DV116)+'LINEST VARS'!$F$66*(8*$EM$104)+'LINEST VARS'!$E$66*(8*0.5)+'LINEST VARS'!$D$66*(8*$DV116)+'LINEST VARS'!$C$66*($EM$104*0.5)+'LINEST VARS'!$B$66*($EM$104*$DV116)+'LINEST VARS'!$A$66*(0.5*$DV116)</f>
        <v>131.20000000000005</v>
      </c>
      <c r="EN116" s="46">
        <f>'LINEST VARS'!$U$66+'LINEST VARS'!$T$66*(8)+'LINEST VARS'!$S$66*(8)+'LINEST VARS'!$R$66*($EN$104)+'LINEST VARS'!$Q$66*(0.5)+'LINEST VARS'!$P$66*($DV116)+'LINEST VARS'!$O$66*(8^2)+'LINEST VARS'!$N$66*(8^2)+'LINEST VARS'!$M$66*($EN$104^2)+'LINEST VARS'!$L$66*(0.5^2)+'LINEST VARS'!$K$66*($DV116^2)+'LINEST VARS'!$J$66*(8*8)+'LINEST VARS'!$I$66*(8*$EN$104)+'LINEST VARS'!$H$66*(8*0.5)+'LINEST VARS'!$G$66*(8*$DV116)+'LINEST VARS'!$F$66*(8*$EN$104)+'LINEST VARS'!$E$66*(8*0.5)+'LINEST VARS'!$D$66*(8*$DV116)+'LINEST VARS'!$C$66*($EN$104*0.5)+'LINEST VARS'!$B$66*($EN$104*$DV116)+'LINEST VARS'!$A$66*(0.5*$DV116)</f>
        <v>130.40000000000009</v>
      </c>
      <c r="EO116" s="46">
        <f>'LINEST VARS'!$U$66+'LINEST VARS'!$T$66*(8)+'LINEST VARS'!$S$66*(8)+'LINEST VARS'!$R$66*($EO$104)+'LINEST VARS'!$Q$66*(0.5)+'LINEST VARS'!$P$66*($DV116)+'LINEST VARS'!$O$66*(8^2)+'LINEST VARS'!$N$66*(8^2)+'LINEST VARS'!$M$66*($EO$104^2)+'LINEST VARS'!$L$66*(0.5^2)+'LINEST VARS'!$K$66*($DV116^2)+'LINEST VARS'!$J$66*(8*8)+'LINEST VARS'!$I$66*(8*$EO$104)+'LINEST VARS'!$H$66*(8*0.5)+'LINEST VARS'!$G$66*(8*$DV116)+'LINEST VARS'!$F$66*(8*$EO$104)+'LINEST VARS'!$E$66*(8*0.5)+'LINEST VARS'!$D$66*(8*$DV116)+'LINEST VARS'!$C$66*($EO$104*0.5)+'LINEST VARS'!$B$66*($EO$104*$DV116)+'LINEST VARS'!$A$66*(0.5*$DV116)</f>
        <v>129.60000000000008</v>
      </c>
      <c r="EP116" s="46">
        <f>'LINEST VARS'!$U$66+'LINEST VARS'!$T$66*(8)+'LINEST VARS'!$S$66*(8)+'LINEST VARS'!$R$66*($EP$104)+'LINEST VARS'!$Q$66*(0.5)+'LINEST VARS'!$P$66*($DV116)+'LINEST VARS'!$O$66*(8^2)+'LINEST VARS'!$N$66*(8^2)+'LINEST VARS'!$M$66*($EP$104^2)+'LINEST VARS'!$L$66*(0.5^2)+'LINEST VARS'!$K$66*($DV116^2)+'LINEST VARS'!$J$66*(8*8)+'LINEST VARS'!$I$66*(8*$EP$104)+'LINEST VARS'!$H$66*(8*0.5)+'LINEST VARS'!$G$66*(8*$DV116)+'LINEST VARS'!$F$66*(8*$EP$104)+'LINEST VARS'!$E$66*(8*0.5)+'LINEST VARS'!$D$66*(8*$DV116)+'LINEST VARS'!$C$66*($EP$104*0.5)+'LINEST VARS'!$B$66*($EP$104*$DV116)+'LINEST VARS'!$A$66*(0.5*$DV116)</f>
        <v>128.8000000000001</v>
      </c>
      <c r="EQ116" s="47">
        <f>'LINEST VARS'!$U$66+'LINEST VARS'!$T$66*(8)+'LINEST VARS'!$S$66*(8)+'LINEST VARS'!$R$66*($EQ$104)+'LINEST VARS'!$Q$66*(0.5)+'LINEST VARS'!$P$66*($DV116)+'LINEST VARS'!$O$66*(8^2)+'LINEST VARS'!$N$66*(8^2)+'LINEST VARS'!$M$66*($EQ$104^2)+'LINEST VARS'!$L$66*(0.5^2)+'LINEST VARS'!$K$66*($DV116^2)+'LINEST VARS'!$J$66*(8*8)+'LINEST VARS'!$I$66*(8*$EQ$104)+'LINEST VARS'!$H$66*(8*0.5)+'LINEST VARS'!$G$66*(8*$DV116)+'LINEST VARS'!$F$66*(8*$EQ$104)+'LINEST VARS'!$E$66*(8*0.5)+'LINEST VARS'!$D$66*(8*$DV116)+'LINEST VARS'!$C$66*($EQ$104*0.5)+'LINEST VARS'!$B$66*($EQ$104*$DV116)+'LINEST VARS'!$A$66*(0.5*$DV116)</f>
        <v>128.00000000000009</v>
      </c>
    </row>
    <row r="117" spans="2:147" ht="15" customHeight="1" x14ac:dyDescent="0.25">
      <c r="B117" s="45">
        <v>8.1199999999999992</v>
      </c>
      <c r="C117" s="55">
        <f>'LINEST VARS'!$U$64+'LINEST VARS'!$T$64*($C$104)+'LINEST VARS'!$S$64*($B117)+'LINEST VARS'!$R$64*(4)+'LINEST VARS'!$Q$64*(0.5)+'LINEST VARS'!$P$64*(12.73)+'LINEST VARS'!$O$64*($C$104^2)+'LINEST VARS'!$N$64*($B117^2)+'LINEST VARS'!$M$64*(4^2)+'LINEST VARS'!$L$64*(0.5^2)+'LINEST VARS'!$K$64*(12.73^2)+'LINEST VARS'!$J$64*($C$104*$B117)+'LINEST VARS'!$I$64*($C$104*4)+'LINEST VARS'!$H$64*($C$104*0.5)+'LINEST VARS'!$G$64*($C$104*12.73)+'LINEST VARS'!$F$64*($B117*4)+'LINEST VARS'!$E$64*($B117*0.5)+'LINEST VARS'!$D$64*($B117*12.73)+'LINEST VARS'!$C$64*(4*0.5)+'LINEST VARS'!$B$64*(4*12.73)+'LINEST VARS'!$A$64*(0.5*12.73)</f>
        <v>164.18999999999986</v>
      </c>
      <c r="D117" s="55">
        <f>'LINEST VARS'!$U$64+'LINEST VARS'!$T$64*($D$104)+'LINEST VARS'!$S$64*($B117)+'LINEST VARS'!$R$64*(4)+'LINEST VARS'!$Q$64*(0.5)+'LINEST VARS'!$P$64*(12.73)+'LINEST VARS'!$O$64*($D$104^2)+'LINEST VARS'!$N$64*($B117^2)+'LINEST VARS'!$M$64*(4^2)+'LINEST VARS'!$L$64*(0.5^2)+'LINEST VARS'!$K$64*(12.73^2)+'LINEST VARS'!$J$64*($D$104*$B117)+'LINEST VARS'!$I$64*($D$104*4)+'LINEST VARS'!$H$64*($D$104*0.5)+'LINEST VARS'!$G$64*($D$104*12.73)+'LINEST VARS'!$F$64*($B117*4)+'LINEST VARS'!$E$64*($B117*0.5)+'LINEST VARS'!$D$64*($B117*12.73)+'LINEST VARS'!$C$64*(4*0.5)+'LINEST VARS'!$B$64*(4*12.73)+'LINEST VARS'!$A$64*(0.5*12.73)</f>
        <v>164.18999999999986</v>
      </c>
      <c r="E117" s="55">
        <f>'LINEST VARS'!$U$64+'LINEST VARS'!$T$64*($E$104)+'LINEST VARS'!$S$64*($B117)+'LINEST VARS'!$R$64*(4)+'LINEST VARS'!$Q$64*(0.5)+'LINEST VARS'!$P$64*(12.73)+'LINEST VARS'!$O$64*($E$104^2)+'LINEST VARS'!$N$64*($B117^2)+'LINEST VARS'!$M$64*(4^2)+'LINEST VARS'!$L$64*(0.5^2)+'LINEST VARS'!$K$64*(12.73^2)+'LINEST VARS'!$J$64*($E$104*$B117)+'LINEST VARS'!$I$64*($E$104*4)+'LINEST VARS'!$H$64*($E$104*0.5)+'LINEST VARS'!$G$64*($E$104*12.73)+'LINEST VARS'!$F$64*($B117*4)+'LINEST VARS'!$E$64*($B117*0.5)+'LINEST VARS'!$D$64*($B117*12.73)+'LINEST VARS'!$C$64*(4*0.5)+'LINEST VARS'!$B$64*(4*12.73)+'LINEST VARS'!$A$64*(0.5*12.73)</f>
        <v>164.18999999999986</v>
      </c>
      <c r="F117" s="55">
        <f>'LINEST VARS'!$U$64+'LINEST VARS'!$T$64*($F$104)+'LINEST VARS'!$S$64*($B117)+'LINEST VARS'!$R$64*(4)+'LINEST VARS'!$Q$64*(0.5)+'LINEST VARS'!$P$64*(12.73)+'LINEST VARS'!$O$64*($F$104^2)+'LINEST VARS'!$N$64*($B117^2)+'LINEST VARS'!$M$64*(4^2)+'LINEST VARS'!$L$64*(0.5^2)+'LINEST VARS'!$K$64*(12.73^2)+'LINEST VARS'!$J$64*($F$104*$B117)+'LINEST VARS'!$I$64*($F$104*4)+'LINEST VARS'!$H$64*($F$104*0.5)+'LINEST VARS'!$G$64*($F$104*12.73)+'LINEST VARS'!$F$64*($B117*4)+'LINEST VARS'!$E$64*($B117*0.5)+'LINEST VARS'!$D$64*($B117*12.73)+'LINEST VARS'!$C$64*(4*0.5)+'LINEST VARS'!$B$64*(4*12.73)+'LINEST VARS'!$A$64*(0.5*12.73)</f>
        <v>164.18999999999986</v>
      </c>
      <c r="G117" s="55">
        <f>'LINEST VARS'!$U$64+'LINEST VARS'!$T$64*($G$104)+'LINEST VARS'!$S$64*($B117)+'LINEST VARS'!$R$64*(4)+'LINEST VARS'!$Q$64*(0.5)+'LINEST VARS'!$P$64*(12.73)+'LINEST VARS'!$O$64*($G$104^2)+'LINEST VARS'!$N$64*($B117^2)+'LINEST VARS'!$M$64*(4^2)+'LINEST VARS'!$L$64*(0.5^2)+'LINEST VARS'!$K$64*(12.73^2)+'LINEST VARS'!$J$64*($G$104*$B117)+'LINEST VARS'!$I$64*($G$104*4)+'LINEST VARS'!$H$64*($G$104*0.5)+'LINEST VARS'!$G$64*($G$104*12.73)+'LINEST VARS'!$F$64*($B117*4)+'LINEST VARS'!$E$64*($B117*0.5)+'LINEST VARS'!$D$64*($B117*12.73)+'LINEST VARS'!$C$64*(4*0.5)+'LINEST VARS'!$B$64*(4*12.73)+'LINEST VARS'!$A$64*(0.5*12.73)</f>
        <v>164.18999999999988</v>
      </c>
      <c r="H117" s="55">
        <f>'LINEST VARS'!$U$64+'LINEST VARS'!$T$64*($H$104)+'LINEST VARS'!$S$64*($B117)+'LINEST VARS'!$R$64*(4)+'LINEST VARS'!$Q$64*(0.5)+'LINEST VARS'!$P$64*(12.73)+'LINEST VARS'!$O$64*($H$104^2)+'LINEST VARS'!$N$64*($B117^2)+'LINEST VARS'!$M$64*(4^2)+'LINEST VARS'!$L$64*(0.5^2)+'LINEST VARS'!$K$64*(12.73^2)+'LINEST VARS'!$J$64*($H$104*$B117)+'LINEST VARS'!$I$64*($H$104*4)+'LINEST VARS'!$H$64*($H$104*0.5)+'LINEST VARS'!$G$64*($H$104*12.73)+'LINEST VARS'!$F$64*($B117*4)+'LINEST VARS'!$E$64*($B117*0.5)+'LINEST VARS'!$D$64*($B117*12.73)+'LINEST VARS'!$C$64*(4*0.5)+'LINEST VARS'!$B$64*(4*12.73)+'LINEST VARS'!$A$64*(0.5*12.73)</f>
        <v>164.18999999999988</v>
      </c>
      <c r="I117" s="55">
        <f>'LINEST VARS'!$U$64+'LINEST VARS'!$T$64*($I$104)+'LINEST VARS'!$S$64*($B117)+'LINEST VARS'!$R$64*(4)+'LINEST VARS'!$Q$64*(0.5)+'LINEST VARS'!$P$64*(12.73)+'LINEST VARS'!$O$64*($I$104^2)+'LINEST VARS'!$N$64*($B117^2)+'LINEST VARS'!$M$64*(4^2)+'LINEST VARS'!$L$64*(0.5^2)+'LINEST VARS'!$K$64*(12.73^2)+'LINEST VARS'!$J$64*($I$104*$B117)+'LINEST VARS'!$I$64*($I$104*4)+'LINEST VARS'!$H$64*($I$104*0.5)+'LINEST VARS'!$G$64*($I$104*12.73)+'LINEST VARS'!$F$64*($B117*4)+'LINEST VARS'!$E$64*($B117*0.5)+'LINEST VARS'!$D$64*($B117*12.73)+'LINEST VARS'!$C$64*(4*0.5)+'LINEST VARS'!$B$64*(4*12.73)+'LINEST VARS'!$A$64*(0.5*12.73)</f>
        <v>164.18999999999988</v>
      </c>
      <c r="J117" s="55">
        <f>'LINEST VARS'!$U$64+'LINEST VARS'!$T$64*($J$104)+'LINEST VARS'!$S$64*($B117)+'LINEST VARS'!$R$64*(4)+'LINEST VARS'!$Q$64*(0.5)+'LINEST VARS'!$P$64*(12.73)+'LINEST VARS'!$O$64*($J$104^2)+'LINEST VARS'!$N$64*($B117^2)+'LINEST VARS'!$M$64*(4^2)+'LINEST VARS'!$L$64*(0.5^2)+'LINEST VARS'!$K$64*(12.73^2)+'LINEST VARS'!$J$64*($J$104*$B117)+'LINEST VARS'!$I$64*($J$104*4)+'LINEST VARS'!$H$64*($J$104*0.5)+'LINEST VARS'!$G$64*($J$104*12.73)+'LINEST VARS'!$F$64*($B117*4)+'LINEST VARS'!$E$64*($B117*0.5)+'LINEST VARS'!$D$64*($B117*12.73)+'LINEST VARS'!$C$64*(4*0.5)+'LINEST VARS'!$B$64*(4*12.73)+'LINEST VARS'!$A$64*(0.5*12.73)</f>
        <v>164.18999999999988</v>
      </c>
      <c r="K117" s="55">
        <f>'LINEST VARS'!$U$64+'LINEST VARS'!$T$64*($K$104)+'LINEST VARS'!$S$64*($B117)+'LINEST VARS'!$R$64*(4)+'LINEST VARS'!$Q$64*(0.5)+'LINEST VARS'!$P$64*(12.73)+'LINEST VARS'!$O$64*($K$104^2)+'LINEST VARS'!$N$64*($B117^2)+'LINEST VARS'!$M$64*(4^2)+'LINEST VARS'!$L$64*(0.5^2)+'LINEST VARS'!$K$64*(12.73^2)+'LINEST VARS'!$J$64*($K$104*$B117)+'LINEST VARS'!$I$64*($K$104*4)+'LINEST VARS'!$H$64*($K$104*0.5)+'LINEST VARS'!$G$64*($K$104*12.73)+'LINEST VARS'!$F$64*($B117*4)+'LINEST VARS'!$E$64*($B117*0.5)+'LINEST VARS'!$D$64*($B117*12.73)+'LINEST VARS'!$C$64*(4*0.5)+'LINEST VARS'!$B$64*(4*12.73)+'LINEST VARS'!$A$64*(0.5*12.73)</f>
        <v>164.18999999999988</v>
      </c>
      <c r="L117" s="55">
        <f>'LINEST VARS'!$U$64+'LINEST VARS'!$T$64*($L$104)+'LINEST VARS'!$S$64*($B117)+'LINEST VARS'!$R$64*(4)+'LINEST VARS'!$Q$64*(0.5)+'LINEST VARS'!$P$64*(12.73)+'LINEST VARS'!$O$64*($L$104^2)+'LINEST VARS'!$N$64*($B117^2)+'LINEST VARS'!$M$64*(4^2)+'LINEST VARS'!$L$64*(0.5^2)+'LINEST VARS'!$K$64*(12.73^2)+'LINEST VARS'!$J$64*($L$104*$B117)+'LINEST VARS'!$I$64*($L$104*4)+'LINEST VARS'!$H$64*($L$104*0.5)+'LINEST VARS'!$G$64*($L$104*12.73)+'LINEST VARS'!$F$64*($B117*4)+'LINEST VARS'!$E$64*($B117*0.5)+'LINEST VARS'!$D$64*($B117*12.73)+'LINEST VARS'!$C$64*(4*0.5)+'LINEST VARS'!$B$64*(4*12.73)+'LINEST VARS'!$A$64*(0.5*12.73)</f>
        <v>164.18999999999988</v>
      </c>
      <c r="M117" s="55">
        <f>'LINEST VARS'!$U$64+'LINEST VARS'!$T$64*($M$104)+'LINEST VARS'!$S$64*($B117)+'LINEST VARS'!$R$64*(4)+'LINEST VARS'!$Q$64*(0.5)+'LINEST VARS'!$P$64*(12.73)+'LINEST VARS'!$O$64*($M$104^2)+'LINEST VARS'!$N$64*($B117^2)+'LINEST VARS'!$M$64*(4^2)+'LINEST VARS'!$L$64*(0.5^2)+'LINEST VARS'!$K$64*(12.73^2)+'LINEST VARS'!$J$64*($M$104*$B117)+'LINEST VARS'!$I$64*($M$104*4)+'LINEST VARS'!$H$64*($M$104*0.5)+'LINEST VARS'!$G$64*($M$104*12.73)+'LINEST VARS'!$F$64*($B117*4)+'LINEST VARS'!$E$64*($B117*0.5)+'LINEST VARS'!$D$64*($B117*12.73)+'LINEST VARS'!$C$64*(4*0.5)+'LINEST VARS'!$B$64*(4*12.73)+'LINEST VARS'!$A$64*(0.5*12.73)</f>
        <v>164.18999999999988</v>
      </c>
      <c r="N117" s="55">
        <f>'LINEST VARS'!$U$64+'LINEST VARS'!$T$64*($N$104)+'LINEST VARS'!$S$64*($B117)+'LINEST VARS'!$R$64*(4)+'LINEST VARS'!$Q$64*(0.5)+'LINEST VARS'!$P$64*(12.73)+'LINEST VARS'!$O$64*($N$104^2)+'LINEST VARS'!$N$64*($B117^2)+'LINEST VARS'!$M$64*(4^2)+'LINEST VARS'!$L$64*(0.5^2)+'LINEST VARS'!$K$64*(12.73^2)+'LINEST VARS'!$J$64*($N$104*$B117)+'LINEST VARS'!$I$64*($N$104*4)+'LINEST VARS'!$H$64*($N$104*0.5)+'LINEST VARS'!$G$64*($N$104*12.73)+'LINEST VARS'!$F$64*($B117*4)+'LINEST VARS'!$E$64*($B117*0.5)+'LINEST VARS'!$D$64*($B117*12.73)+'LINEST VARS'!$C$64*(4*0.5)+'LINEST VARS'!$B$64*(4*12.73)+'LINEST VARS'!$A$64*(0.5*12.73)</f>
        <v>164.18999999999988</v>
      </c>
      <c r="O117" s="55">
        <f>'LINEST VARS'!$U$64+'LINEST VARS'!$T$64*($O$104)+'LINEST VARS'!$S$64*($B117)+'LINEST VARS'!$R$64*(4)+'LINEST VARS'!$Q$64*(0.5)+'LINEST VARS'!$P$64*(12.73)+'LINEST VARS'!$O$64*($O$104^2)+'LINEST VARS'!$N$64*($B117^2)+'LINEST VARS'!$M$64*(4^2)+'LINEST VARS'!$L$64*(0.5^2)+'LINEST VARS'!$K$64*(12.73^2)+'LINEST VARS'!$J$64*($O$104*$B117)+'LINEST VARS'!$I$64*($O$104*4)+'LINEST VARS'!$H$64*($O$104*0.5)+'LINEST VARS'!$G$64*($O$104*12.73)+'LINEST VARS'!$F$64*($B117*4)+'LINEST VARS'!$E$64*($B117*0.5)+'LINEST VARS'!$D$64*($B117*12.73)+'LINEST VARS'!$C$64*(4*0.5)+'LINEST VARS'!$B$64*(4*12.73)+'LINEST VARS'!$A$64*(0.5*12.73)</f>
        <v>164.18999999999988</v>
      </c>
      <c r="P117" s="55">
        <f>'LINEST VARS'!$U$64+'LINEST VARS'!$T$64*($P$104)+'LINEST VARS'!$S$64*($B117)+'LINEST VARS'!$R$64*(4)+'LINEST VARS'!$Q$64*(0.5)+'LINEST VARS'!$P$64*(12.73)+'LINEST VARS'!$O$64*($P$104^2)+'LINEST VARS'!$N$64*($B117^2)+'LINEST VARS'!$M$64*(4^2)+'LINEST VARS'!$L$64*(0.5^2)+'LINEST VARS'!$K$64*(12.73^2)+'LINEST VARS'!$J$64*($P$104*$B117)+'LINEST VARS'!$I$64*($P$104*4)+'LINEST VARS'!$H$64*($P$104*0.5)+'LINEST VARS'!$G$64*($P$104*12.73)+'LINEST VARS'!$F$64*($B117*4)+'LINEST VARS'!$E$64*($B117*0.5)+'LINEST VARS'!$D$64*($B117*12.73)+'LINEST VARS'!$C$64*(4*0.5)+'LINEST VARS'!$B$64*(4*12.73)+'LINEST VARS'!$A$64*(0.5*12.73)</f>
        <v>164.18999999999991</v>
      </c>
      <c r="Q117" s="55">
        <f>'LINEST VARS'!$U$64+'LINEST VARS'!$T$64*($Q$104)+'LINEST VARS'!$S$64*($B117)+'LINEST VARS'!$R$64*(4)+'LINEST VARS'!$Q$64*(0.5)+'LINEST VARS'!$P$64*(12.73)+'LINEST VARS'!$O$64*($Q$104^2)+'LINEST VARS'!$N$64*($B117^2)+'LINEST VARS'!$M$64*(4^2)+'LINEST VARS'!$L$64*(0.5^2)+'LINEST VARS'!$K$64*(12.73^2)+'LINEST VARS'!$J$64*($Q$104*$B117)+'LINEST VARS'!$I$64*($Q$104*4)+'LINEST VARS'!$H$64*($Q$104*0.5)+'LINEST VARS'!$G$64*($Q$104*12.73)+'LINEST VARS'!$F$64*($B117*4)+'LINEST VARS'!$E$64*($B117*0.5)+'LINEST VARS'!$D$64*($B117*12.73)+'LINEST VARS'!$C$64*(4*0.5)+'LINEST VARS'!$B$64*(4*12.73)+'LINEST VARS'!$A$64*(0.5*12.73)</f>
        <v>164.18999999999991</v>
      </c>
      <c r="R117" s="55">
        <f>'LINEST VARS'!$U$64+'LINEST VARS'!$T$64*($R$104)+'LINEST VARS'!$S$64*($B117)+'LINEST VARS'!$R$64*(4)+'LINEST VARS'!$Q$64*(0.5)+'LINEST VARS'!$P$64*(12.73)+'LINEST VARS'!$O$64*($R$104^2)+'LINEST VARS'!$N$64*($B117^2)+'LINEST VARS'!$M$64*(4^2)+'LINEST VARS'!$L$64*(0.5^2)+'LINEST VARS'!$K$64*(12.73^2)+'LINEST VARS'!$J$64*($R$104*$B117)+'LINEST VARS'!$I$64*($R$104*4)+'LINEST VARS'!$H$64*($R$104*0.5)+'LINEST VARS'!$G$64*($R$104*12.73)+'LINEST VARS'!$F$64*($B117*4)+'LINEST VARS'!$E$64*($B117*0.5)+'LINEST VARS'!$D$64*($B117*12.73)+'LINEST VARS'!$C$64*(4*0.5)+'LINEST VARS'!$B$64*(4*12.73)+'LINEST VARS'!$A$64*(0.5*12.73)</f>
        <v>164.18999999999991</v>
      </c>
      <c r="S117" s="55">
        <f>'LINEST VARS'!$U$64+'LINEST VARS'!$T$64*($S$104)+'LINEST VARS'!$S$64*($B117)+'LINEST VARS'!$R$64*(4)+'LINEST VARS'!$Q$64*(0.5)+'LINEST VARS'!$P$64*(12.73)+'LINEST VARS'!$O$64*($S$104^2)+'LINEST VARS'!$N$64*($B117^2)+'LINEST VARS'!$M$64*(4^2)+'LINEST VARS'!$L$64*(0.5^2)+'LINEST VARS'!$K$64*(12.73^2)+'LINEST VARS'!$J$64*($S$104*$B117)+'LINEST VARS'!$I$64*($S$104*4)+'LINEST VARS'!$H$64*($S$104*0.5)+'LINEST VARS'!$G$64*($S$104*12.73)+'LINEST VARS'!$F$64*($B117*4)+'LINEST VARS'!$E$64*($B117*0.5)+'LINEST VARS'!$D$64*($B117*12.73)+'LINEST VARS'!$C$64*(4*0.5)+'LINEST VARS'!$B$64*(4*12.73)+'LINEST VARS'!$A$64*(0.5*12.73)</f>
        <v>164.18999999999991</v>
      </c>
      <c r="T117" s="55">
        <f>'LINEST VARS'!$U$64+'LINEST VARS'!$T$64*($T$104)+'LINEST VARS'!$S$64*($B117)+'LINEST VARS'!$R$64*(4)+'LINEST VARS'!$Q$64*(0.5)+'LINEST VARS'!$P$64*(12.73)+'LINEST VARS'!$O$64*($T$104^2)+'LINEST VARS'!$N$64*($B117^2)+'LINEST VARS'!$M$64*(4^2)+'LINEST VARS'!$L$64*(0.5^2)+'LINEST VARS'!$K$64*(12.73^2)+'LINEST VARS'!$J$64*($T$104*$B117)+'LINEST VARS'!$I$64*($T$104*4)+'LINEST VARS'!$H$64*($T$104*0.5)+'LINEST VARS'!$G$64*($T$104*12.73)+'LINEST VARS'!$F$64*($B117*4)+'LINEST VARS'!$E$64*($B117*0.5)+'LINEST VARS'!$D$64*($B117*12.73)+'LINEST VARS'!$C$64*(4*0.5)+'LINEST VARS'!$B$64*(4*12.73)+'LINEST VARS'!$A$64*(0.5*12.73)</f>
        <v>164.18999999999988</v>
      </c>
      <c r="U117" s="55">
        <f>'LINEST VARS'!$U$64+'LINEST VARS'!$T$64*($U$104)+'LINEST VARS'!$S$64*($B117)+'LINEST VARS'!$R$64*(4)+'LINEST VARS'!$Q$64*(0.5)+'LINEST VARS'!$P$64*(12.73)+'LINEST VARS'!$O$64*($U$104^2)+'LINEST VARS'!$N$64*($B117^2)+'LINEST VARS'!$M$64*(4^2)+'LINEST VARS'!$L$64*(0.5^2)+'LINEST VARS'!$K$64*(12.73^2)+'LINEST VARS'!$J$64*($U$104*$B117)+'LINEST VARS'!$I$64*($U$104*4)+'LINEST VARS'!$H$64*($U$104*0.5)+'LINEST VARS'!$G$64*($U$104*12.73)+'LINEST VARS'!$F$64*($B117*4)+'LINEST VARS'!$E$64*($B117*0.5)+'LINEST VARS'!$D$64*($B117*12.73)+'LINEST VARS'!$C$64*(4*0.5)+'LINEST VARS'!$B$64*(4*12.73)+'LINEST VARS'!$A$64*(0.5*12.73)</f>
        <v>164.18999999999988</v>
      </c>
      <c r="V117" s="55">
        <f>'LINEST VARS'!$U$64+'LINEST VARS'!$T$64*($V$104)+'LINEST VARS'!$S$64*($B117)+'LINEST VARS'!$R$64*(4)+'LINEST VARS'!$Q$64*(0.5)+'LINEST VARS'!$P$64*(12.73)+'LINEST VARS'!$O$64*($V$104^2)+'LINEST VARS'!$N$64*($B117^2)+'LINEST VARS'!$M$64*(4^2)+'LINEST VARS'!$L$64*(0.5^2)+'LINEST VARS'!$K$64*(12.73^2)+'LINEST VARS'!$J$64*($V$104*$B117)+'LINEST VARS'!$I$64*($V$104*4)+'LINEST VARS'!$H$64*($V$104*0.5)+'LINEST VARS'!$G$64*($V$104*12.73)+'LINEST VARS'!$F$64*($B117*4)+'LINEST VARS'!$E$64*($B117*0.5)+'LINEST VARS'!$D$64*($B117*12.73)+'LINEST VARS'!$C$64*(4*0.5)+'LINEST VARS'!$B$64*(4*12.73)+'LINEST VARS'!$A$64*(0.5*12.73)</f>
        <v>164.18999999999988</v>
      </c>
      <c r="W117" s="56">
        <f>'LINEST VARS'!$U$64+'LINEST VARS'!$T$64*($W$104)+'LINEST VARS'!$S$64*($B117)+'LINEST VARS'!$R$64*(4)+'LINEST VARS'!$Q$64*(0.5)+'LINEST VARS'!$P$64*(12.73)+'LINEST VARS'!$O$64*($W$104^2)+'LINEST VARS'!$N$64*($B117^2)+'LINEST VARS'!$M$64*(4^2)+'LINEST VARS'!$L$64*(0.5^2)+'LINEST VARS'!$K$64*(12.73^2)+'LINEST VARS'!$J$64*($W$104*$B117)+'LINEST VARS'!$I$64*($W$104*4)+'LINEST VARS'!$H$64*($W$104*0.5)+'LINEST VARS'!$G$64*($W$104*12.73)+'LINEST VARS'!$F$64*($B117*4)+'LINEST VARS'!$E$64*($B117*0.5)+'LINEST VARS'!$D$64*($B117*12.73)+'LINEST VARS'!$C$64*(4*0.5)+'LINEST VARS'!$B$64*(4*12.73)+'LINEST VARS'!$A$64*(0.5*12.73)</f>
        <v>164.18999999999988</v>
      </c>
      <c r="Z117" s="45">
        <v>8.1199999999999992</v>
      </c>
      <c r="AA117" s="46">
        <f>'LINEST VARS'!$U$66+'LINEST VARS'!$T$66*($AA$104)+'LINEST VARS'!$S$66*($Z117)+'LINEST VARS'!$R$66*(4)+'LINEST VARS'!$Q$66*(0.5)+'LINEST VARS'!$P$66*(12.73)+'LINEST VARS'!$O$66*($AA$104^2)+'LINEST VARS'!$N$66*($Z117^2)+'LINEST VARS'!$M$66*(4^2)+'LINEST VARS'!$L$66*(0.5^2)+'LINEST VARS'!$K$66*(12.73^2)+'LINEST VARS'!$J$66*($AA$104*$Z117)+'LINEST VARS'!$I$66*($AA$104*4)+'LINEST VARS'!$H$66*($AA$104*0.5)+'LINEST VARS'!$G$66*($AA$104*12.73)+'LINEST VARS'!$F$66*($Z117*4)+'LINEST VARS'!$E$66*($Z117*0.5)+'LINEST VARS'!$D$66*($Z117*12.73)+'LINEST VARS'!$C$66*(4*0.5)+'LINEST VARS'!$B$66*(4*12.73)+'LINEST VARS'!$A$66*(0.5*12.73)</f>
        <v>134.20000000000005</v>
      </c>
      <c r="AB117" s="46">
        <f>'LINEST VARS'!$U$66+'LINEST VARS'!$T$66*($AB$104)+'LINEST VARS'!$S$66*($Z117)+'LINEST VARS'!$R$66*(4)+'LINEST VARS'!$Q$66*(0.5)+'LINEST VARS'!$P$66*(12.73)+'LINEST VARS'!$O$66*($AB$104^2)+'LINEST VARS'!$N$66*($Z117^2)+'LINEST VARS'!$M$66*(4^2)+'LINEST VARS'!$L$66*(0.5^2)+'LINEST VARS'!$K$66*(12.73^2)+'LINEST VARS'!$J$66*($AB$104*$Z117)+'LINEST VARS'!$I$66*($AB$104*4)+'LINEST VARS'!$H$66*($AB$104*0.5)+'LINEST VARS'!$G$66*($AB$104*12.73)+'LINEST VARS'!$F$66*($Z117*4)+'LINEST VARS'!$E$66*($Z117*0.5)+'LINEST VARS'!$D$66*($Z117*12.73)+'LINEST VARS'!$C$66*(4*0.5)+'LINEST VARS'!$B$66*(4*12.73)+'LINEST VARS'!$A$66*(0.5*12.73)</f>
        <v>134.38000000000005</v>
      </c>
      <c r="AC117" s="46">
        <f>'LINEST VARS'!$U$66+'LINEST VARS'!$T$66*($AC$104)+'LINEST VARS'!$S$66*($Z117)+'LINEST VARS'!$R$66*(4)+'LINEST VARS'!$Q$66*(0.5)+'LINEST VARS'!$P$66*(12.73)+'LINEST VARS'!$O$66*($AC$104^2)+'LINEST VARS'!$N$66*($Z117^2)+'LINEST VARS'!$M$66*(4^2)+'LINEST VARS'!$L$66*(0.5^2)+'LINEST VARS'!$K$66*(12.73^2)+'LINEST VARS'!$J$66*($AC$104*$Z117)+'LINEST VARS'!$I$66*($AC$104*4)+'LINEST VARS'!$H$66*($AC$104*0.5)+'LINEST VARS'!$G$66*($AC$104*12.73)+'LINEST VARS'!$F$66*($Z117*4)+'LINEST VARS'!$E$66*($Z117*0.5)+'LINEST VARS'!$D$66*($Z117*12.73)+'LINEST VARS'!$C$66*(4*0.5)+'LINEST VARS'!$B$66*(4*12.73)+'LINEST VARS'!$A$66*(0.5*12.73)</f>
        <v>134.56000000000006</v>
      </c>
      <c r="AD117" s="46">
        <f>'LINEST VARS'!$U$66+'LINEST VARS'!$T$66*($AD$104)+'LINEST VARS'!$S$66*($Z117)+'LINEST VARS'!$R$66*(4)+'LINEST VARS'!$Q$66*(0.5)+'LINEST VARS'!$P$66*(12.73)+'LINEST VARS'!$O$66*($AD$104^2)+'LINEST VARS'!$N$66*($Z117^2)+'LINEST VARS'!$M$66*(4^2)+'LINEST VARS'!$L$66*(0.5^2)+'LINEST VARS'!$K$66*(12.73^2)+'LINEST VARS'!$J$66*($AD$104*$Z117)+'LINEST VARS'!$I$66*($AD$104*4)+'LINEST VARS'!$H$66*($AD$104*0.5)+'LINEST VARS'!$G$66*($AD$104*12.73)+'LINEST VARS'!$F$66*($Z117*4)+'LINEST VARS'!$E$66*($Z117*0.5)+'LINEST VARS'!$D$66*($Z117*12.73)+'LINEST VARS'!$C$66*(4*0.5)+'LINEST VARS'!$B$66*(4*12.73)+'LINEST VARS'!$A$66*(0.5*12.73)</f>
        <v>134.74000000000007</v>
      </c>
      <c r="AE117" s="46">
        <f>'LINEST VARS'!$U$66+'LINEST VARS'!$T$66*($AE$104)+'LINEST VARS'!$S$66*($Z117)+'LINEST VARS'!$R$66*(4)+'LINEST VARS'!$Q$66*(0.5)+'LINEST VARS'!$P$66*(12.73)+'LINEST VARS'!$O$66*($AE$104^2)+'LINEST VARS'!$N$66*($Z117^2)+'LINEST VARS'!$M$66*(4^2)+'LINEST VARS'!$L$66*(0.5^2)+'LINEST VARS'!$K$66*(12.73^2)+'LINEST VARS'!$J$66*($AE$104*$Z117)+'LINEST VARS'!$I$66*($AE$104*4)+'LINEST VARS'!$H$66*($AE$104*0.5)+'LINEST VARS'!$G$66*($AE$104*12.73)+'LINEST VARS'!$F$66*($Z117*4)+'LINEST VARS'!$E$66*($Z117*0.5)+'LINEST VARS'!$D$66*($Z117*12.73)+'LINEST VARS'!$C$66*(4*0.5)+'LINEST VARS'!$B$66*(4*12.73)+'LINEST VARS'!$A$66*(0.5*12.73)</f>
        <v>134.92000000000007</v>
      </c>
      <c r="AF117" s="46">
        <f>'LINEST VARS'!$U$66+'LINEST VARS'!$T$66*($AF$104)+'LINEST VARS'!$S$66*($Z117)+'LINEST VARS'!$R$66*(4)+'LINEST VARS'!$Q$66*(0.5)+'LINEST VARS'!$P$66*(12.73)+'LINEST VARS'!$O$66*($AF$104^2)+'LINEST VARS'!$N$66*($Z117^2)+'LINEST VARS'!$M$66*(4^2)+'LINEST VARS'!$L$66*(0.5^2)+'LINEST VARS'!$K$66*(12.73^2)+'LINEST VARS'!$J$66*($AF$104*$Z117)+'LINEST VARS'!$I$66*($AF$104*4)+'LINEST VARS'!$H$66*($AF$104*0.5)+'LINEST VARS'!$G$66*($AF$104*12.73)+'LINEST VARS'!$F$66*($Z117*4)+'LINEST VARS'!$E$66*($Z117*0.5)+'LINEST VARS'!$D$66*($Z117*12.73)+'LINEST VARS'!$C$66*(4*0.5)+'LINEST VARS'!$B$66*(4*12.73)+'LINEST VARS'!$A$66*(0.5*12.73)</f>
        <v>135.10000000000008</v>
      </c>
      <c r="AG117" s="46">
        <f>'LINEST VARS'!$U$66+'LINEST VARS'!$T$66*($AG$104)+'LINEST VARS'!$S$66*($Z117)+'LINEST VARS'!$R$66*(4)+'LINEST VARS'!$Q$66*(0.5)+'LINEST VARS'!$P$66*(12.73)+'LINEST VARS'!$O$66*($AG$104^2)+'LINEST VARS'!$N$66*($Z117^2)+'LINEST VARS'!$M$66*(4^2)+'LINEST VARS'!$L$66*(0.5^2)+'LINEST VARS'!$K$66*(12.73^2)+'LINEST VARS'!$J$66*($AG$104*$Z117)+'LINEST VARS'!$I$66*($AG$104*4)+'LINEST VARS'!$H$66*($AG$104*0.5)+'LINEST VARS'!$G$66*($AG$104*12.73)+'LINEST VARS'!$F$66*($Z117*4)+'LINEST VARS'!$E$66*($Z117*0.5)+'LINEST VARS'!$D$66*($Z117*12.73)+'LINEST VARS'!$C$66*(4*0.5)+'LINEST VARS'!$B$66*(4*12.73)+'LINEST VARS'!$A$66*(0.5*12.73)</f>
        <v>135.28000000000006</v>
      </c>
      <c r="AH117" s="46">
        <f>'LINEST VARS'!$U$66+'LINEST VARS'!$T$66*($AH$104)+'LINEST VARS'!$S$66*($Z117)+'LINEST VARS'!$R$66*(4)+'LINEST VARS'!$Q$66*(0.5)+'LINEST VARS'!$P$66*(12.73)+'LINEST VARS'!$O$66*($AH$104^2)+'LINEST VARS'!$N$66*($Z117^2)+'LINEST VARS'!$M$66*(4^2)+'LINEST VARS'!$L$66*(0.5^2)+'LINEST VARS'!$K$66*(12.73^2)+'LINEST VARS'!$J$66*($AH$104*$Z117)+'LINEST VARS'!$I$66*($AH$104*4)+'LINEST VARS'!$H$66*($AH$104*0.5)+'LINEST VARS'!$G$66*($AH$104*12.73)+'LINEST VARS'!$F$66*($Z117*4)+'LINEST VARS'!$E$66*($Z117*0.5)+'LINEST VARS'!$D$66*($Z117*12.73)+'LINEST VARS'!$C$66*(4*0.5)+'LINEST VARS'!$B$66*(4*12.73)+'LINEST VARS'!$A$66*(0.5*12.73)</f>
        <v>135.46000000000006</v>
      </c>
      <c r="AI117" s="46">
        <f>'LINEST VARS'!$U$66+'LINEST VARS'!$T$66*($AI$104)+'LINEST VARS'!$S$66*($Z117)+'LINEST VARS'!$R$66*(4)+'LINEST VARS'!$Q$66*(0.5)+'LINEST VARS'!$P$66*(12.73)+'LINEST VARS'!$O$66*($AI$104^2)+'LINEST VARS'!$N$66*($Z117^2)+'LINEST VARS'!$M$66*(4^2)+'LINEST VARS'!$L$66*(0.5^2)+'LINEST VARS'!$K$66*(12.73^2)+'LINEST VARS'!$J$66*($AI$104*$Z117)+'LINEST VARS'!$I$66*($AI$104*4)+'LINEST VARS'!$H$66*($AI$104*0.5)+'LINEST VARS'!$G$66*($AI$104*12.73)+'LINEST VARS'!$F$66*($Z117*4)+'LINEST VARS'!$E$66*($Z117*0.5)+'LINEST VARS'!$D$66*($Z117*12.73)+'LINEST VARS'!$C$66*(4*0.5)+'LINEST VARS'!$B$66*(4*12.73)+'LINEST VARS'!$A$66*(0.5*12.73)</f>
        <v>135.64000000000007</v>
      </c>
      <c r="AJ117" s="46">
        <f>'LINEST VARS'!$U$66+'LINEST VARS'!$T$66*($AJ$104)+'LINEST VARS'!$S$66*($Z117)+'LINEST VARS'!$R$66*(4)+'LINEST VARS'!$Q$66*(0.5)+'LINEST VARS'!$P$66*(12.73)+'LINEST VARS'!$O$66*($AJ$104^2)+'LINEST VARS'!$N$66*($Z117^2)+'LINEST VARS'!$M$66*(4^2)+'LINEST VARS'!$L$66*(0.5^2)+'LINEST VARS'!$K$66*(12.73^2)+'LINEST VARS'!$J$66*($AJ$104*$Z117)+'LINEST VARS'!$I$66*($AJ$104*4)+'LINEST VARS'!$H$66*($AJ$104*0.5)+'LINEST VARS'!$G$66*($AJ$104*12.73)+'LINEST VARS'!$F$66*($Z117*4)+'LINEST VARS'!$E$66*($Z117*0.5)+'LINEST VARS'!$D$66*($Z117*12.73)+'LINEST VARS'!$C$66*(4*0.5)+'LINEST VARS'!$B$66*(4*12.73)+'LINEST VARS'!$A$66*(0.5*12.73)</f>
        <v>135.82000000000008</v>
      </c>
      <c r="AK117" s="46">
        <f>'LINEST VARS'!$U$66+'LINEST VARS'!$T$66*($AK$104)+'LINEST VARS'!$S$66*($Z117)+'LINEST VARS'!$R$66*(4)+'LINEST VARS'!$Q$66*(0.5)+'LINEST VARS'!$P$66*(12.73)+'LINEST VARS'!$O$66*($AK$104^2)+'LINEST VARS'!$N$66*($Z117^2)+'LINEST VARS'!$M$66*(4^2)+'LINEST VARS'!$L$66*(0.5^2)+'LINEST VARS'!$K$66*(12.73^2)+'LINEST VARS'!$J$66*($AK$104*$Z117)+'LINEST VARS'!$I$66*($AK$104*4)+'LINEST VARS'!$H$66*($AK$104*0.5)+'LINEST VARS'!$G$66*($AK$104*12.73)+'LINEST VARS'!$F$66*($Z117*4)+'LINEST VARS'!$E$66*($Z117*0.5)+'LINEST VARS'!$D$66*($Z117*12.73)+'LINEST VARS'!$C$66*(4*0.5)+'LINEST VARS'!$B$66*(4*12.73)+'LINEST VARS'!$A$66*(0.5*12.73)</f>
        <v>136.00000000000006</v>
      </c>
      <c r="AL117" s="46">
        <f>'LINEST VARS'!$U$66+'LINEST VARS'!$T$66*($AL$104)+'LINEST VARS'!$S$66*($Z117)+'LINEST VARS'!$R$66*(4)+'LINEST VARS'!$Q$66*(0.5)+'LINEST VARS'!$P$66*(12.73)+'LINEST VARS'!$O$66*($AL$104^2)+'LINEST VARS'!$N$66*($Z117^2)+'LINEST VARS'!$M$66*(4^2)+'LINEST VARS'!$L$66*(0.5^2)+'LINEST VARS'!$K$66*(12.73^2)+'LINEST VARS'!$J$66*($AL$104*$Z117)+'LINEST VARS'!$I$66*($AL$104*4)+'LINEST VARS'!$H$66*($AL$104*0.5)+'LINEST VARS'!$G$66*($AL$104*12.73)+'LINEST VARS'!$F$66*($Z117*4)+'LINEST VARS'!$E$66*($Z117*0.5)+'LINEST VARS'!$D$66*($Z117*12.73)+'LINEST VARS'!$C$66*(4*0.5)+'LINEST VARS'!$B$66*(4*12.73)+'LINEST VARS'!$A$66*(0.5*12.73)</f>
        <v>136.18000000000006</v>
      </c>
      <c r="AM117" s="46">
        <f>'LINEST VARS'!$U$66+'LINEST VARS'!$T$66*($AM$104)+'LINEST VARS'!$S$66*($Z117)+'LINEST VARS'!$R$66*(4)+'LINEST VARS'!$Q$66*(0.5)+'LINEST VARS'!$P$66*(12.73)+'LINEST VARS'!$O$66*($AM$104^2)+'LINEST VARS'!$N$66*($Z117^2)+'LINEST VARS'!$M$66*(4^2)+'LINEST VARS'!$L$66*(0.5^2)+'LINEST VARS'!$K$66*(12.73^2)+'LINEST VARS'!$J$66*($AM$104*$Z117)+'LINEST VARS'!$I$66*($AM$104*4)+'LINEST VARS'!$H$66*($AM$104*0.5)+'LINEST VARS'!$G$66*($AM$104*12.73)+'LINEST VARS'!$F$66*($Z117*4)+'LINEST VARS'!$E$66*($Z117*0.5)+'LINEST VARS'!$D$66*($Z117*12.73)+'LINEST VARS'!$C$66*(4*0.5)+'LINEST VARS'!$B$66*(4*12.73)+'LINEST VARS'!$A$66*(0.5*12.73)</f>
        <v>136.36000000000007</v>
      </c>
      <c r="AN117" s="46">
        <f>'LINEST VARS'!$U$66+'LINEST VARS'!$T$66*($AN$104)+'LINEST VARS'!$S$66*($Z117)+'LINEST VARS'!$R$66*(4)+'LINEST VARS'!$Q$66*(0.5)+'LINEST VARS'!$P$66*(12.73)+'LINEST VARS'!$O$66*($AN$104^2)+'LINEST VARS'!$N$66*($Z117^2)+'LINEST VARS'!$M$66*(4^2)+'LINEST VARS'!$L$66*(0.5^2)+'LINEST VARS'!$K$66*(12.73^2)+'LINEST VARS'!$J$66*($AN$104*$Z117)+'LINEST VARS'!$I$66*($AN$104*4)+'LINEST VARS'!$H$66*($AN$104*0.5)+'LINEST VARS'!$G$66*($AN$104*12.73)+'LINEST VARS'!$F$66*($Z117*4)+'LINEST VARS'!$E$66*($Z117*0.5)+'LINEST VARS'!$D$66*($Z117*12.73)+'LINEST VARS'!$C$66*(4*0.5)+'LINEST VARS'!$B$66*(4*12.73)+'LINEST VARS'!$A$66*(0.5*12.73)</f>
        <v>136.54000000000008</v>
      </c>
      <c r="AO117" s="46">
        <f>'LINEST VARS'!$U$66+'LINEST VARS'!$T$66*($AO$104)+'LINEST VARS'!$S$66*($Z117)+'LINEST VARS'!$R$66*(4)+'LINEST VARS'!$Q$66*(0.5)+'LINEST VARS'!$P$66*(12.73)+'LINEST VARS'!$O$66*($AO$104^2)+'LINEST VARS'!$N$66*($Z117^2)+'LINEST VARS'!$M$66*(4^2)+'LINEST VARS'!$L$66*(0.5^2)+'LINEST VARS'!$K$66*(12.73^2)+'LINEST VARS'!$J$66*($AO$104*$Z117)+'LINEST VARS'!$I$66*($AO$104*4)+'LINEST VARS'!$H$66*($AO$104*0.5)+'LINEST VARS'!$G$66*($AO$104*12.73)+'LINEST VARS'!$F$66*($Z117*4)+'LINEST VARS'!$E$66*($Z117*0.5)+'LINEST VARS'!$D$66*($Z117*12.73)+'LINEST VARS'!$C$66*(4*0.5)+'LINEST VARS'!$B$66*(4*12.73)+'LINEST VARS'!$A$66*(0.5*12.73)</f>
        <v>136.72000000000006</v>
      </c>
      <c r="AP117" s="46">
        <f>'LINEST VARS'!$U$66+'LINEST VARS'!$T$66*($AP$104)+'LINEST VARS'!$S$66*($Z117)+'LINEST VARS'!$R$66*(4)+'LINEST VARS'!$Q$66*(0.5)+'LINEST VARS'!$P$66*(12.73)+'LINEST VARS'!$O$66*($AP$104^2)+'LINEST VARS'!$N$66*($Z117^2)+'LINEST VARS'!$M$66*(4^2)+'LINEST VARS'!$L$66*(0.5^2)+'LINEST VARS'!$K$66*(12.73^2)+'LINEST VARS'!$J$66*($AP$104*$Z117)+'LINEST VARS'!$I$66*($AP$104*4)+'LINEST VARS'!$H$66*($AP$104*0.5)+'LINEST VARS'!$G$66*($AP$104*12.73)+'LINEST VARS'!$F$66*($Z117*4)+'LINEST VARS'!$E$66*($Z117*0.5)+'LINEST VARS'!$D$66*($Z117*12.73)+'LINEST VARS'!$C$66*(4*0.5)+'LINEST VARS'!$B$66*(4*12.73)+'LINEST VARS'!$A$66*(0.5*12.73)</f>
        <v>136.90000000000006</v>
      </c>
      <c r="AQ117" s="46">
        <f>'LINEST VARS'!$U$66+'LINEST VARS'!$T$66*($AQ$104)+'LINEST VARS'!$S$66*($Z117)+'LINEST VARS'!$R$66*(4)+'LINEST VARS'!$Q$66*(0.5)+'LINEST VARS'!$P$66*(12.73)+'LINEST VARS'!$O$66*($AQ$104^2)+'LINEST VARS'!$N$66*($Z117^2)+'LINEST VARS'!$M$66*(4^2)+'LINEST VARS'!$L$66*(0.5^2)+'LINEST VARS'!$K$66*(12.73^2)+'LINEST VARS'!$J$66*($AQ$104*$Z117)+'LINEST VARS'!$I$66*($AQ$104*4)+'LINEST VARS'!$H$66*($AQ$104*0.5)+'LINEST VARS'!$G$66*($AQ$104*12.73)+'LINEST VARS'!$F$66*($Z117*4)+'LINEST VARS'!$E$66*($Z117*0.5)+'LINEST VARS'!$D$66*($Z117*12.73)+'LINEST VARS'!$C$66*(4*0.5)+'LINEST VARS'!$B$66*(4*12.73)+'LINEST VARS'!$A$66*(0.5*12.73)</f>
        <v>137.08000000000007</v>
      </c>
      <c r="AR117" s="46">
        <f>'LINEST VARS'!$U$66+'LINEST VARS'!$T$66*($AR$104)+'LINEST VARS'!$S$66*($Z117)+'LINEST VARS'!$R$66*(4)+'LINEST VARS'!$Q$66*(0.5)+'LINEST VARS'!$P$66*(12.73)+'LINEST VARS'!$O$66*($AR$104^2)+'LINEST VARS'!$N$66*($Z117^2)+'LINEST VARS'!$M$66*(4^2)+'LINEST VARS'!$L$66*(0.5^2)+'LINEST VARS'!$K$66*(12.73^2)+'LINEST VARS'!$J$66*($AR$104*$Z117)+'LINEST VARS'!$I$66*($AR$104*4)+'LINEST VARS'!$H$66*($AR$104*0.5)+'LINEST VARS'!$G$66*($AR$104*12.73)+'LINEST VARS'!$F$66*($Z117*4)+'LINEST VARS'!$E$66*($Z117*0.5)+'LINEST VARS'!$D$66*($Z117*12.73)+'LINEST VARS'!$C$66*(4*0.5)+'LINEST VARS'!$B$66*(4*12.73)+'LINEST VARS'!$A$66*(0.5*12.73)</f>
        <v>137.26000000000008</v>
      </c>
      <c r="AS117" s="46">
        <f>'LINEST VARS'!$U$66+'LINEST VARS'!$T$66*($AS$104)+'LINEST VARS'!$S$66*($Z117)+'LINEST VARS'!$R$66*(4)+'LINEST VARS'!$Q$66*(0.5)+'LINEST VARS'!$P$66*(12.73)+'LINEST VARS'!$O$66*($AS$104^2)+'LINEST VARS'!$N$66*($Z117^2)+'LINEST VARS'!$M$66*(4^2)+'LINEST VARS'!$L$66*(0.5^2)+'LINEST VARS'!$K$66*(12.73^2)+'LINEST VARS'!$J$66*($AS$104*$Z117)+'LINEST VARS'!$I$66*($AS$104*4)+'LINEST VARS'!$H$66*($AS$104*0.5)+'LINEST VARS'!$G$66*($AS$104*12.73)+'LINEST VARS'!$F$66*($Z117*4)+'LINEST VARS'!$E$66*($Z117*0.5)+'LINEST VARS'!$D$66*($Z117*12.73)+'LINEST VARS'!$C$66*(4*0.5)+'LINEST VARS'!$B$66*(4*12.73)+'LINEST VARS'!$A$66*(0.5*12.73)</f>
        <v>137.44000000000005</v>
      </c>
      <c r="AT117" s="46">
        <f>'LINEST VARS'!$U$66+'LINEST VARS'!$T$66*($AT$104)+'LINEST VARS'!$S$66*($Z117)+'LINEST VARS'!$R$66*(4)+'LINEST VARS'!$Q$66*(0.5)+'LINEST VARS'!$P$66*(12.73)+'LINEST VARS'!$O$66*($AT$104^2)+'LINEST VARS'!$N$66*($Z117^2)+'LINEST VARS'!$M$66*(4^2)+'LINEST VARS'!$L$66*(0.5^2)+'LINEST VARS'!$K$66*(12.73^2)+'LINEST VARS'!$J$66*($AT$104*$Z117)+'LINEST VARS'!$I$66*($AT$104*4)+'LINEST VARS'!$H$66*($AT$104*0.5)+'LINEST VARS'!$G$66*($AT$104*12.73)+'LINEST VARS'!$F$66*($Z117*4)+'LINEST VARS'!$E$66*($Z117*0.5)+'LINEST VARS'!$D$66*($Z117*12.73)+'LINEST VARS'!$C$66*(4*0.5)+'LINEST VARS'!$B$66*(4*12.73)+'LINEST VARS'!$A$66*(0.5*12.73)</f>
        <v>137.62000000000006</v>
      </c>
      <c r="AU117" s="47">
        <f>'LINEST VARS'!$U$66+'LINEST VARS'!$T$66*($AU$104)+'LINEST VARS'!$S$66*($Z117)+'LINEST VARS'!$R$66*(4)+'LINEST VARS'!$Q$66*(0.5)+'LINEST VARS'!$P$66*(12.73)+'LINEST VARS'!$O$66*($AU$104^2)+'LINEST VARS'!$N$66*($Z117^2)+'LINEST VARS'!$M$66*(4^2)+'LINEST VARS'!$L$66*(0.5^2)+'LINEST VARS'!$K$66*(12.73^2)+'LINEST VARS'!$J$66*($AU$104*$Z117)+'LINEST VARS'!$I$66*($AU$104*4)+'LINEST VARS'!$H$66*($AU$104*0.5)+'LINEST VARS'!$G$66*($AU$104*12.73)+'LINEST VARS'!$F$66*($Z117*4)+'LINEST VARS'!$E$66*($Z117*0.5)+'LINEST VARS'!$D$66*($Z117*12.73)+'LINEST VARS'!$C$66*(4*0.5)+'LINEST VARS'!$B$66*(4*12.73)+'LINEST VARS'!$A$66*(0.5*12.73)</f>
        <v>137.80000000000007</v>
      </c>
      <c r="AZ117" s="45">
        <v>0.6</v>
      </c>
      <c r="BA117" s="55">
        <f>'LINEST VARS'!$U$64+'LINEST VARS'!$T$64*(8)+'LINEST VARS'!$S$64*(8)+'LINEST VARS'!$R$64*($BA$104)+'LINEST VARS'!$Q$64*($AZ117)+'LINEST VARS'!$P$64*(12.73)+'LINEST VARS'!$O$64*(8^2)+'LINEST VARS'!$N$64*(8^2)+'LINEST VARS'!$M$64*($BA$104^2)+'LINEST VARS'!$L$64*($AZ117^2)+'LINEST VARS'!$K$64*(12.73^2)+'LINEST VARS'!$J$64*(8*8)+'LINEST VARS'!$I$64*(8*$BA$104)+'LINEST VARS'!$H$64*(8*$AZ117)+'LINEST VARS'!$G$64*(8*12.73)+'LINEST VARS'!$F$64*(8*$BA$104)+'LINEST VARS'!$E$64*(8*$AZ117)+'LINEST VARS'!$D$64*(8*12.73)+'LINEST VARS'!$C$64*($BA$104*$AZ117)+'LINEST VARS'!$B$64*($BA$104*12.73)+'LINEST VARS'!$A$64*($AZ117*12.73)</f>
        <v>148.18999999999988</v>
      </c>
      <c r="BB117" s="55">
        <f>'LINEST VARS'!$U$64+'LINEST VARS'!$T$64*(8)+'LINEST VARS'!$S$64*(8)+'LINEST VARS'!$R$64*($BB$104)+'LINEST VARS'!$Q$64*($AZ117)+'LINEST VARS'!$P$64*(12.73)+'LINEST VARS'!$O$64*(8^2)+'LINEST VARS'!$N$64*(8^2)+'LINEST VARS'!$M$64*($BB$104^2)+'LINEST VARS'!$L$64*($AZ117^2)+'LINEST VARS'!$K$64*(12.73^2)+'LINEST VARS'!$J$64*(8*8)+'LINEST VARS'!$I$64*(8*$BB$104)+'LINEST VARS'!$H$64*(8*$AZ117)+'LINEST VARS'!$G$64*(8*12.73)+'LINEST VARS'!$F$64*(8*$BB$104)+'LINEST VARS'!$E$64*(8*$AZ117)+'LINEST VARS'!$D$64*(8*12.73)+'LINEST VARS'!$C$64*($BB$104*$AZ117)+'LINEST VARS'!$B$64*($BB$104*12.73)+'LINEST VARS'!$A$64*($AZ117*12.73)</f>
        <v>149.78999999999988</v>
      </c>
      <c r="BC117" s="55">
        <f>'LINEST VARS'!$U$64+'LINEST VARS'!$T$64*(8)+'LINEST VARS'!$S$64*(8)+'LINEST VARS'!$R$64*($BC$104)+'LINEST VARS'!$Q$64*($AZ117)+'LINEST VARS'!$P$64*(12.73)+'LINEST VARS'!$O$64*(8^2)+'LINEST VARS'!$N$64*(8^2)+'LINEST VARS'!$M$64*($BC$104^2)+'LINEST VARS'!$L$64*($AZ117^2)+'LINEST VARS'!$K$64*(12.73^2)+'LINEST VARS'!$J$64*(8*8)+'LINEST VARS'!$I$64*(8*$BC$104)+'LINEST VARS'!$H$64*(8*$AZ117)+'LINEST VARS'!$G$64*(8*12.73)+'LINEST VARS'!$F$64*(8*$BC$104)+'LINEST VARS'!$E$64*(8*$AZ117)+'LINEST VARS'!$D$64*(8*12.73)+'LINEST VARS'!$C$64*($BC$104*$AZ117)+'LINEST VARS'!$B$64*($BC$104*12.73)+'LINEST VARS'!$A$64*($AZ117*12.73)</f>
        <v>151.38999999999987</v>
      </c>
      <c r="BD117" s="55">
        <f>'LINEST VARS'!$U$64+'LINEST VARS'!$T$64*(8)+'LINEST VARS'!$S$64*(8)+'LINEST VARS'!$R$64*($BD$104)+'LINEST VARS'!$Q$64*($AZ117)+'LINEST VARS'!$P$64*(12.73)+'LINEST VARS'!$O$64*(8^2)+'LINEST VARS'!$N$64*(8^2)+'LINEST VARS'!$M$64*($BD$104^2)+'LINEST VARS'!$L$64*($AZ117^2)+'LINEST VARS'!$K$64*(12.73^2)+'LINEST VARS'!$J$64*(8*8)+'LINEST VARS'!$I$64*(8*$BD$104)+'LINEST VARS'!$H$64*(8*$AZ117)+'LINEST VARS'!$G$64*(8*12.73)+'LINEST VARS'!$F$64*(8*$BD$104)+'LINEST VARS'!$E$64*(8*$AZ117)+'LINEST VARS'!$D$64*(8*12.73)+'LINEST VARS'!$C$64*($BD$104*$AZ117)+'LINEST VARS'!$B$64*($BD$104*12.73)+'LINEST VARS'!$A$64*($AZ117*12.73)</f>
        <v>152.9899999999999</v>
      </c>
      <c r="BE117" s="55">
        <f>'LINEST VARS'!$U$64+'LINEST VARS'!$T$64*(8)+'LINEST VARS'!$S$64*(8)+'LINEST VARS'!$R$64*($BE$104)+'LINEST VARS'!$Q$64*($AZ117)+'LINEST VARS'!$P$64*(12.73)+'LINEST VARS'!$O$64*(8^2)+'LINEST VARS'!$N$64*(8^2)+'LINEST VARS'!$M$64*($BE$104^2)+'LINEST VARS'!$L$64*($AZ117^2)+'LINEST VARS'!$K$64*(12.73^2)+'LINEST VARS'!$J$64*(8*8)+'LINEST VARS'!$I$64*(8*$BE$104)+'LINEST VARS'!$H$64*(8*$AZ117)+'LINEST VARS'!$G$64*(8*12.73)+'LINEST VARS'!$F$64*(8*$BE$104)+'LINEST VARS'!$E$64*(8*$AZ117)+'LINEST VARS'!$D$64*(8*12.73)+'LINEST VARS'!$C$64*($BE$104*$AZ117)+'LINEST VARS'!$B$64*($BE$104*12.73)+'LINEST VARS'!$A$64*($AZ117*12.73)</f>
        <v>154.58999999999989</v>
      </c>
      <c r="BF117" s="55">
        <f>'LINEST VARS'!$U$64+'LINEST VARS'!$T$64*(8)+'LINEST VARS'!$S$64*(8)+'LINEST VARS'!$R$64*($BF$104)+'LINEST VARS'!$Q$64*($AZ117)+'LINEST VARS'!$P$64*(12.73)+'LINEST VARS'!$O$64*(8^2)+'LINEST VARS'!$N$64*(8^2)+'LINEST VARS'!$M$64*($BF$104^2)+'LINEST VARS'!$L$64*($AZ117^2)+'LINEST VARS'!$K$64*(12.73^2)+'LINEST VARS'!$J$64*(8*8)+'LINEST VARS'!$I$64*(8*$BF$104)+'LINEST VARS'!$H$64*(8*$AZ117)+'LINEST VARS'!$G$64*(8*12.73)+'LINEST VARS'!$F$64*(8*$BF$104)+'LINEST VARS'!$E$64*(8*$AZ117)+'LINEST VARS'!$D$64*(8*12.73)+'LINEST VARS'!$C$64*($BF$104*$AZ117)+'LINEST VARS'!$B$64*($BF$104*12.73)+'LINEST VARS'!$A$64*($AZ117*12.73)</f>
        <v>156.18999999999988</v>
      </c>
      <c r="BG117" s="55">
        <f>'LINEST VARS'!$U$64+'LINEST VARS'!$T$64*(8)+'LINEST VARS'!$S$64*(8)+'LINEST VARS'!$R$64*($BG$104)+'LINEST VARS'!$Q$64*($AZ117)+'LINEST VARS'!$P$64*(12.73)+'LINEST VARS'!$O$64*(8^2)+'LINEST VARS'!$N$64*(8^2)+'LINEST VARS'!$M$64*($BG$104^2)+'LINEST VARS'!$L$64*($AZ117^2)+'LINEST VARS'!$K$64*(12.73^2)+'LINEST VARS'!$J$64*(8*8)+'LINEST VARS'!$I$64*(8*$BG$104)+'LINEST VARS'!$H$64*(8*$AZ117)+'LINEST VARS'!$G$64*(8*12.73)+'LINEST VARS'!$F$64*(8*$BG$104)+'LINEST VARS'!$E$64*(8*$AZ117)+'LINEST VARS'!$D$64*(8*12.73)+'LINEST VARS'!$C$64*($BG$104*$AZ117)+'LINEST VARS'!$B$64*($BG$104*12.73)+'LINEST VARS'!$A$64*($AZ117*12.73)</f>
        <v>157.78999999999988</v>
      </c>
      <c r="BH117" s="55">
        <f>'LINEST VARS'!$U$64+'LINEST VARS'!$T$64*(8)+'LINEST VARS'!$S$64*(8)+'LINEST VARS'!$R$64*($BH$104)+'LINEST VARS'!$Q$64*($AZ117)+'LINEST VARS'!$P$64*(12.73)+'LINEST VARS'!$O$64*(8^2)+'LINEST VARS'!$N$64*(8^2)+'LINEST VARS'!$M$64*($BH$104^2)+'LINEST VARS'!$L$64*($AZ117^2)+'LINEST VARS'!$K$64*(12.73^2)+'LINEST VARS'!$J$64*(8*8)+'LINEST VARS'!$I$64*(8*$BH$104)+'LINEST VARS'!$H$64*(8*$AZ117)+'LINEST VARS'!$G$64*(8*12.73)+'LINEST VARS'!$F$64*(8*$BH$104)+'LINEST VARS'!$E$64*(8*$AZ117)+'LINEST VARS'!$D$64*(8*12.73)+'LINEST VARS'!$C$64*($BH$104*$AZ117)+'LINEST VARS'!$B$64*($BH$104*12.73)+'LINEST VARS'!$A$64*($AZ117*12.73)</f>
        <v>159.38999999999987</v>
      </c>
      <c r="BI117" s="55">
        <f>'LINEST VARS'!$U$64+'LINEST VARS'!$T$64*(8)+'LINEST VARS'!$S$64*(8)+'LINEST VARS'!$R$64*($BI$104)+'LINEST VARS'!$Q$64*($AZ117)+'LINEST VARS'!$P$64*(12.73)+'LINEST VARS'!$O$64*(8^2)+'LINEST VARS'!$N$64*(8^2)+'LINEST VARS'!$M$64*($BI$104^2)+'LINEST VARS'!$L$64*($AZ117^2)+'LINEST VARS'!$K$64*(12.73^2)+'LINEST VARS'!$J$64*(8*8)+'LINEST VARS'!$I$64*(8*$BI$104)+'LINEST VARS'!$H$64*(8*$AZ117)+'LINEST VARS'!$G$64*(8*12.73)+'LINEST VARS'!$F$64*(8*$BI$104)+'LINEST VARS'!$E$64*(8*$AZ117)+'LINEST VARS'!$D$64*(8*12.73)+'LINEST VARS'!$C$64*($BI$104*$AZ117)+'LINEST VARS'!$B$64*($BI$104*12.73)+'LINEST VARS'!$A$64*($AZ117*12.73)</f>
        <v>160.9899999999999</v>
      </c>
      <c r="BJ117" s="55">
        <f>'LINEST VARS'!$U$64+'LINEST VARS'!$T$64*(8)+'LINEST VARS'!$S$64*(8)+'LINEST VARS'!$R$64*($BJ$104)+'LINEST VARS'!$Q$64*($AZ117)+'LINEST VARS'!$P$64*(12.73)+'LINEST VARS'!$O$64*(8^2)+'LINEST VARS'!$N$64*(8^2)+'LINEST VARS'!$M$64*($BJ$104^2)+'LINEST VARS'!$L$64*($AZ117^2)+'LINEST VARS'!$K$64*(12.73^2)+'LINEST VARS'!$J$64*(8*8)+'LINEST VARS'!$I$64*(8*$BJ$104)+'LINEST VARS'!$H$64*(8*$AZ117)+'LINEST VARS'!$G$64*(8*12.73)+'LINEST VARS'!$F$64*(8*$BJ$104)+'LINEST VARS'!$E$64*(8*$AZ117)+'LINEST VARS'!$D$64*(8*12.73)+'LINEST VARS'!$C$64*($BJ$104*$AZ117)+'LINEST VARS'!$B$64*($BJ$104*12.73)+'LINEST VARS'!$A$64*($AZ117*12.73)</f>
        <v>162.58999999999989</v>
      </c>
      <c r="BK117" s="55">
        <f>'LINEST VARS'!$U$64+'LINEST VARS'!$T$64*(8)+'LINEST VARS'!$S$64*(8)+'LINEST VARS'!$R$64*($BK$104)+'LINEST VARS'!$Q$64*($AZ117)+'LINEST VARS'!$P$64*(12.73)+'LINEST VARS'!$O$64*(8^2)+'LINEST VARS'!$N$64*(8^2)+'LINEST VARS'!$M$64*($BK$104^2)+'LINEST VARS'!$L$64*($AZ117^2)+'LINEST VARS'!$K$64*(12.73^2)+'LINEST VARS'!$J$64*(8*8)+'LINEST VARS'!$I$64*(8*$BK$104)+'LINEST VARS'!$H$64*(8*$AZ117)+'LINEST VARS'!$G$64*(8*12.73)+'LINEST VARS'!$F$64*(8*$BK$104)+'LINEST VARS'!$E$64*(8*$AZ117)+'LINEST VARS'!$D$64*(8*12.73)+'LINEST VARS'!$C$64*($BK$104*$AZ117)+'LINEST VARS'!$B$64*($BK$104*12.73)+'LINEST VARS'!$A$64*($AZ117*12.73)</f>
        <v>164.18999999999988</v>
      </c>
      <c r="BL117" s="55">
        <f>'LINEST VARS'!$U$64+'LINEST VARS'!$T$64*(8)+'LINEST VARS'!$S$64*(8)+'LINEST VARS'!$R$64*($BL$104)+'LINEST VARS'!$Q$64*($AZ117)+'LINEST VARS'!$P$64*(12.73)+'LINEST VARS'!$O$64*(8^2)+'LINEST VARS'!$N$64*(8^2)+'LINEST VARS'!$M$64*($BL$104^2)+'LINEST VARS'!$L$64*($AZ117^2)+'LINEST VARS'!$K$64*(12.73^2)+'LINEST VARS'!$J$64*(8*8)+'LINEST VARS'!$I$64*(8*$BL$104)+'LINEST VARS'!$H$64*(8*$AZ117)+'LINEST VARS'!$G$64*(8*12.73)+'LINEST VARS'!$F$64*(8*$BL$104)+'LINEST VARS'!$E$64*(8*$AZ117)+'LINEST VARS'!$D$64*(8*12.73)+'LINEST VARS'!$C$64*($BL$104*$AZ117)+'LINEST VARS'!$B$64*($BL$104*12.73)+'LINEST VARS'!$A$64*($AZ117*12.73)</f>
        <v>165.78999999999991</v>
      </c>
      <c r="BM117" s="55">
        <f>'LINEST VARS'!$U$64+'LINEST VARS'!$T$64*(8)+'LINEST VARS'!$S$64*(8)+'LINEST VARS'!$R$64*($BM$104)+'LINEST VARS'!$Q$64*($AZ117)+'LINEST VARS'!$P$64*(12.73)+'LINEST VARS'!$O$64*(8^2)+'LINEST VARS'!$N$64*(8^2)+'LINEST VARS'!$M$64*($BM$104^2)+'LINEST VARS'!$L$64*($AZ117^2)+'LINEST VARS'!$K$64*(12.73^2)+'LINEST VARS'!$J$64*(8*8)+'LINEST VARS'!$I$64*(8*$BM$104)+'LINEST VARS'!$H$64*(8*$AZ117)+'LINEST VARS'!$G$64*(8*12.73)+'LINEST VARS'!$F$64*(8*$BM$104)+'LINEST VARS'!$E$64*(8*$AZ117)+'LINEST VARS'!$D$64*(8*12.73)+'LINEST VARS'!$C$64*($BM$104*$AZ117)+'LINEST VARS'!$B$64*($BM$104*12.73)+'LINEST VARS'!$A$64*($AZ117*12.73)</f>
        <v>167.38999999999987</v>
      </c>
      <c r="BN117" s="55">
        <f>'LINEST VARS'!$U$64+'LINEST VARS'!$T$64*(8)+'LINEST VARS'!$S$64*(8)+'LINEST VARS'!$R$64*($BN$104)+'LINEST VARS'!$Q$64*($AZ117)+'LINEST VARS'!$P$64*(12.73)+'LINEST VARS'!$O$64*(8^2)+'LINEST VARS'!$N$64*(8^2)+'LINEST VARS'!$M$64*($BN$104^2)+'LINEST VARS'!$L$64*($AZ117^2)+'LINEST VARS'!$K$64*(12.73^2)+'LINEST VARS'!$J$64*(8*8)+'LINEST VARS'!$I$64*(8*$BN$104)+'LINEST VARS'!$H$64*(8*$AZ117)+'LINEST VARS'!$G$64*(8*12.73)+'LINEST VARS'!$F$64*(8*$BN$104)+'LINEST VARS'!$E$64*(8*$AZ117)+'LINEST VARS'!$D$64*(8*12.73)+'LINEST VARS'!$C$64*($BN$104*$AZ117)+'LINEST VARS'!$B$64*($BN$104*12.73)+'LINEST VARS'!$A$64*($AZ117*12.73)</f>
        <v>168.9899999999999</v>
      </c>
      <c r="BO117" s="55">
        <f>'LINEST VARS'!$U$64+'LINEST VARS'!$T$64*(8)+'LINEST VARS'!$S$64*(8)+'LINEST VARS'!$R$64*($BO$104)+'LINEST VARS'!$Q$64*($AZ117)+'LINEST VARS'!$P$64*(12.73)+'LINEST VARS'!$O$64*(8^2)+'LINEST VARS'!$N$64*(8^2)+'LINEST VARS'!$M$64*($BO$104^2)+'LINEST VARS'!$L$64*($AZ117^2)+'LINEST VARS'!$K$64*(12.73^2)+'LINEST VARS'!$J$64*(8*8)+'LINEST VARS'!$I$64*(8*$BO$104)+'LINEST VARS'!$H$64*(8*$AZ117)+'LINEST VARS'!$G$64*(8*12.73)+'LINEST VARS'!$F$64*(8*$BO$104)+'LINEST VARS'!$E$64*(8*$AZ117)+'LINEST VARS'!$D$64*(8*12.73)+'LINEST VARS'!$C$64*($BO$104*$AZ117)+'LINEST VARS'!$B$64*($BO$104*12.73)+'LINEST VARS'!$A$64*($AZ117*12.73)</f>
        <v>170.58999999999983</v>
      </c>
      <c r="BP117" s="55">
        <f>'LINEST VARS'!$U$64+'LINEST VARS'!$T$64*(8)+'LINEST VARS'!$S$64*(8)+'LINEST VARS'!$R$64*($BP$104)+'LINEST VARS'!$Q$64*($AZ117)+'LINEST VARS'!$P$64*(12.73)+'LINEST VARS'!$O$64*(8^2)+'LINEST VARS'!$N$64*(8^2)+'LINEST VARS'!$M$64*($BP$104^2)+'LINEST VARS'!$L$64*($AZ117^2)+'LINEST VARS'!$K$64*(12.73^2)+'LINEST VARS'!$J$64*(8*8)+'LINEST VARS'!$I$64*(8*$BP$104)+'LINEST VARS'!$H$64*(8*$AZ117)+'LINEST VARS'!$G$64*(8*12.73)+'LINEST VARS'!$F$64*(8*$BP$104)+'LINEST VARS'!$E$64*(8*$AZ117)+'LINEST VARS'!$D$64*(8*12.73)+'LINEST VARS'!$C$64*($BP$104*$AZ117)+'LINEST VARS'!$B$64*($BP$104*12.73)+'LINEST VARS'!$A$64*($AZ117*12.73)</f>
        <v>172.18999999999986</v>
      </c>
      <c r="BQ117" s="55">
        <f>'LINEST VARS'!$U$64+'LINEST VARS'!$T$64*(8)+'LINEST VARS'!$S$64*(8)+'LINEST VARS'!$R$64*($BQ$104)+'LINEST VARS'!$Q$64*($AZ117)+'LINEST VARS'!$P$64*(12.73)+'LINEST VARS'!$O$64*(8^2)+'LINEST VARS'!$N$64*(8^2)+'LINEST VARS'!$M$64*($BQ$104^2)+'LINEST VARS'!$L$64*($AZ117^2)+'LINEST VARS'!$K$64*(12.73^2)+'LINEST VARS'!$J$64*(8*8)+'LINEST VARS'!$I$64*(8*$BQ$104)+'LINEST VARS'!$H$64*(8*$AZ117)+'LINEST VARS'!$G$64*(8*12.73)+'LINEST VARS'!$F$64*(8*$BQ$104)+'LINEST VARS'!$E$64*(8*$AZ117)+'LINEST VARS'!$D$64*(8*12.73)+'LINEST VARS'!$C$64*($BQ$104*$AZ117)+'LINEST VARS'!$B$64*($BQ$104*12.73)+'LINEST VARS'!$A$64*($AZ117*12.73)</f>
        <v>173.78999999999988</v>
      </c>
      <c r="BR117" s="55">
        <f>'LINEST VARS'!$U$64+'LINEST VARS'!$T$64*(8)+'LINEST VARS'!$S$64*(8)+'LINEST VARS'!$R$64*($BR$104)+'LINEST VARS'!$Q$64*($AZ117)+'LINEST VARS'!$P$64*(12.73)+'LINEST VARS'!$O$64*(8^2)+'LINEST VARS'!$N$64*(8^2)+'LINEST VARS'!$M$64*($BR$104^2)+'LINEST VARS'!$L$64*($AZ117^2)+'LINEST VARS'!$K$64*(12.73^2)+'LINEST VARS'!$J$64*(8*8)+'LINEST VARS'!$I$64*(8*$BR$104)+'LINEST VARS'!$H$64*(8*$AZ117)+'LINEST VARS'!$G$64*(8*12.73)+'LINEST VARS'!$F$64*(8*$BR$104)+'LINEST VARS'!$E$64*(8*$AZ117)+'LINEST VARS'!$D$64*(8*12.73)+'LINEST VARS'!$C$64*($BR$104*$AZ117)+'LINEST VARS'!$B$64*($BR$104*12.73)+'LINEST VARS'!$A$64*($AZ117*12.73)</f>
        <v>175.38999999999984</v>
      </c>
      <c r="BS117" s="55">
        <f>'LINEST VARS'!$U$64+'LINEST VARS'!$T$64*(8)+'LINEST VARS'!$S$64*(8)+'LINEST VARS'!$R$64*($BS$104)+'LINEST VARS'!$Q$64*($AZ117)+'LINEST VARS'!$P$64*(12.73)+'LINEST VARS'!$O$64*(8^2)+'LINEST VARS'!$N$64*(8^2)+'LINEST VARS'!$M$64*($BS$104^2)+'LINEST VARS'!$L$64*($AZ117^2)+'LINEST VARS'!$K$64*(12.73^2)+'LINEST VARS'!$J$64*(8*8)+'LINEST VARS'!$I$64*(8*$BS$104)+'LINEST VARS'!$H$64*(8*$AZ117)+'LINEST VARS'!$G$64*(8*12.73)+'LINEST VARS'!$F$64*(8*$BS$104)+'LINEST VARS'!$E$64*(8*$AZ117)+'LINEST VARS'!$D$64*(8*12.73)+'LINEST VARS'!$C$64*($BS$104*$AZ117)+'LINEST VARS'!$B$64*($BS$104*12.73)+'LINEST VARS'!$A$64*($AZ117*12.73)</f>
        <v>176.98999999999987</v>
      </c>
      <c r="BT117" s="55">
        <f>'LINEST VARS'!$U$64+'LINEST VARS'!$T$64*(8)+'LINEST VARS'!$S$64*(8)+'LINEST VARS'!$R$64*($BT$104)+'LINEST VARS'!$Q$64*($AZ117)+'LINEST VARS'!$P$64*(12.73)+'LINEST VARS'!$O$64*(8^2)+'LINEST VARS'!$N$64*(8^2)+'LINEST VARS'!$M$64*($BT$104^2)+'LINEST VARS'!$L$64*($AZ117^2)+'LINEST VARS'!$K$64*(12.73^2)+'LINEST VARS'!$J$64*(8*8)+'LINEST VARS'!$I$64*(8*$BT$104)+'LINEST VARS'!$H$64*(8*$AZ117)+'LINEST VARS'!$G$64*(8*12.73)+'LINEST VARS'!$F$64*(8*$BT$104)+'LINEST VARS'!$E$64*(8*$AZ117)+'LINEST VARS'!$D$64*(8*12.73)+'LINEST VARS'!$C$64*($BT$104*$AZ117)+'LINEST VARS'!$B$64*($BT$104*12.73)+'LINEST VARS'!$A$64*($AZ117*12.73)</f>
        <v>178.58999999999983</v>
      </c>
      <c r="BU117" s="56">
        <f>'LINEST VARS'!$U$64+'LINEST VARS'!$T$64*(8)+'LINEST VARS'!$S$64*(8)+'LINEST VARS'!$R$64*($BU$104)+'LINEST VARS'!$Q$64*($AZ117)+'LINEST VARS'!$P$64*(12.73)+'LINEST VARS'!$O$64*(8^2)+'LINEST VARS'!$N$64*(8^2)+'LINEST VARS'!$M$64*($BU$104^2)+'LINEST VARS'!$L$64*($AZ117^2)+'LINEST VARS'!$K$64*(12.73^2)+'LINEST VARS'!$J$64*(8*8)+'LINEST VARS'!$I$64*(8*$BU$104)+'LINEST VARS'!$H$64*(8*$AZ117)+'LINEST VARS'!$G$64*(8*12.73)+'LINEST VARS'!$F$64*(8*$BU$104)+'LINEST VARS'!$E$64*(8*$AZ117)+'LINEST VARS'!$D$64*(8*12.73)+'LINEST VARS'!$C$64*($BU$104*$AZ117)+'LINEST VARS'!$B$64*($BU$104*12.73)+'LINEST VARS'!$A$64*($AZ117*12.73)</f>
        <v>180.18999999999986</v>
      </c>
      <c r="BX117" s="45">
        <v>0.6</v>
      </c>
      <c r="BY117" s="46">
        <f>'LINEST VARS'!$U$66+'LINEST VARS'!$T$66*(8)+'LINEST VARS'!$S$66*(8)+'LINEST VARS'!$R$66*($BY$104)+'LINEST VARS'!$Q$66*($BX117)+'LINEST VARS'!$P$66*(12.73)+'LINEST VARS'!$O$66*(8^2)+'LINEST VARS'!$N$66*(8^2)+'LINEST VARS'!$M$66*($BY$104^2)+'LINEST VARS'!$L$66*($BX117^2)+'LINEST VARS'!$K$66*(12.73^2)+'LINEST VARS'!$J$66*(8*8)+'LINEST VARS'!$I$66*(8*$BY$104)+'LINEST VARS'!$H$66*(8*$BX117)+'LINEST VARS'!$G$66*(8*12.73)+'LINEST VARS'!$F$66*(8*$BY$104)+'LINEST VARS'!$E$66*(8*$BX117)+'LINEST VARS'!$D$66*(8*12.73)+'LINEST VARS'!$C$66*($BY$104*$BX117)+'LINEST VARS'!$B$66*($BY$104*12.73)+'LINEST VARS'!$A$66*($BX117*12.73)</f>
        <v>144.00000000000006</v>
      </c>
      <c r="BZ117" s="46">
        <f>'LINEST VARS'!$U$66+'LINEST VARS'!$T$66*(8)+'LINEST VARS'!$S$66*(8)+'LINEST VARS'!$R$66*($BZ$104)+'LINEST VARS'!$Q$66*($BX117)+'LINEST VARS'!$P$66*(12.73)+'LINEST VARS'!$O$66*(8^2)+'LINEST VARS'!$N$66*(8^2)+'LINEST VARS'!$M$66*($BZ$104^2)+'LINEST VARS'!$L$66*($BX117^2)+'LINEST VARS'!$K$66*(12.73^2)+'LINEST VARS'!$J$66*(8*8)+'LINEST VARS'!$I$66*(8*$BZ$104)+'LINEST VARS'!$H$66*(8*$BX117)+'LINEST VARS'!$G$66*(8*12.73)+'LINEST VARS'!$F$66*(8*$BZ$104)+'LINEST VARS'!$E$66*(8*$BX117)+'LINEST VARS'!$D$66*(8*12.73)+'LINEST VARS'!$C$66*($BZ$104*$BX117)+'LINEST VARS'!$B$66*($BZ$104*12.73)+'LINEST VARS'!$A$66*($BX117*12.73)</f>
        <v>143.20000000000007</v>
      </c>
      <c r="CA117" s="46">
        <f>'LINEST VARS'!$U$66+'LINEST VARS'!$T$66*(8)+'LINEST VARS'!$S$66*(8)+'LINEST VARS'!$R$66*($CA$104)+'LINEST VARS'!$Q$66*($BX117)+'LINEST VARS'!$P$66*(12.73)+'LINEST VARS'!$O$66*(8^2)+'LINEST VARS'!$N$66*(8^2)+'LINEST VARS'!$M$66*($CA$104^2)+'LINEST VARS'!$L$66*($BX117^2)+'LINEST VARS'!$K$66*(12.73^2)+'LINEST VARS'!$J$66*(8*8)+'LINEST VARS'!$I$66*(8*$CA$104)+'LINEST VARS'!$H$66*(8*$BX117)+'LINEST VARS'!$G$66*(8*12.73)+'LINEST VARS'!$F$66*(8*$CA$104)+'LINEST VARS'!$E$66*(8*$BX117)+'LINEST VARS'!$D$66*(8*12.73)+'LINEST VARS'!$C$66*($CA$104*$BX117)+'LINEST VARS'!$B$66*($CA$104*12.73)+'LINEST VARS'!$A$66*($BX117*12.73)</f>
        <v>142.40000000000006</v>
      </c>
      <c r="CB117" s="46">
        <f>'LINEST VARS'!$U$66+'LINEST VARS'!$T$66*(8)+'LINEST VARS'!$S$66*(8)+'LINEST VARS'!$R$66*($CB$104)+'LINEST VARS'!$Q$66*($BX117)+'LINEST VARS'!$P$66*(12.73)+'LINEST VARS'!$O$66*(8^2)+'LINEST VARS'!$N$66*(8^2)+'LINEST VARS'!$M$66*($CB$104^2)+'LINEST VARS'!$L$66*($BX117^2)+'LINEST VARS'!$K$66*(12.73^2)+'LINEST VARS'!$J$66*(8*8)+'LINEST VARS'!$I$66*(8*$CB$104)+'LINEST VARS'!$H$66*(8*$BX117)+'LINEST VARS'!$G$66*(8*12.73)+'LINEST VARS'!$F$66*(8*$CB$104)+'LINEST VARS'!$E$66*(8*$BX117)+'LINEST VARS'!$D$66*(8*12.73)+'LINEST VARS'!$C$66*($CB$104*$BX117)+'LINEST VARS'!$B$66*($CB$104*12.73)+'LINEST VARS'!$A$66*($BX117*12.73)</f>
        <v>141.60000000000008</v>
      </c>
      <c r="CC117" s="46">
        <f>'LINEST VARS'!$U$66+'LINEST VARS'!$T$66*(8)+'LINEST VARS'!$S$66*(8)+'LINEST VARS'!$R$66*($CC$104)+'LINEST VARS'!$Q$66*($BX117)+'LINEST VARS'!$P$66*(12.73)+'LINEST VARS'!$O$66*(8^2)+'LINEST VARS'!$N$66*(8^2)+'LINEST VARS'!$M$66*($CC$104^2)+'LINEST VARS'!$L$66*($BX117^2)+'LINEST VARS'!$K$66*(12.73^2)+'LINEST VARS'!$J$66*(8*8)+'LINEST VARS'!$I$66*(8*$CC$104)+'LINEST VARS'!$H$66*(8*$BX117)+'LINEST VARS'!$G$66*(8*12.73)+'LINEST VARS'!$F$66*(8*$CC$104)+'LINEST VARS'!$E$66*(8*$BX117)+'LINEST VARS'!$D$66*(8*12.73)+'LINEST VARS'!$C$66*($CC$104*$BX117)+'LINEST VARS'!$B$66*($CC$104*12.73)+'LINEST VARS'!$A$66*($BX117*12.73)</f>
        <v>140.80000000000007</v>
      </c>
      <c r="CD117" s="46">
        <f>'LINEST VARS'!$U$66+'LINEST VARS'!$T$66*(8)+'LINEST VARS'!$S$66*(8)+'LINEST VARS'!$R$66*($CD$104)+'LINEST VARS'!$Q$66*($BX117)+'LINEST VARS'!$P$66*(12.73)+'LINEST VARS'!$O$66*(8^2)+'LINEST VARS'!$N$66*(8^2)+'LINEST VARS'!$M$66*($CD$104^2)+'LINEST VARS'!$L$66*($BX117^2)+'LINEST VARS'!$K$66*(12.73^2)+'LINEST VARS'!$J$66*(8*8)+'LINEST VARS'!$I$66*(8*$CD$104)+'LINEST VARS'!$H$66*(8*$BX117)+'LINEST VARS'!$G$66*(8*12.73)+'LINEST VARS'!$F$66*(8*$CD$104)+'LINEST VARS'!$E$66*(8*$BX117)+'LINEST VARS'!$D$66*(8*12.73)+'LINEST VARS'!$C$66*($CD$104*$BX117)+'LINEST VARS'!$B$66*($CD$104*12.73)+'LINEST VARS'!$A$66*($BX117*12.73)</f>
        <v>140.00000000000009</v>
      </c>
      <c r="CE117" s="46">
        <f>'LINEST VARS'!$U$66+'LINEST VARS'!$T$66*(8)+'LINEST VARS'!$S$66*(8)+'LINEST VARS'!$R$66*($CE$104)+'LINEST VARS'!$Q$66*($BX117)+'LINEST VARS'!$P$66*(12.73)+'LINEST VARS'!$O$66*(8^2)+'LINEST VARS'!$N$66*(8^2)+'LINEST VARS'!$M$66*($CE$104^2)+'LINEST VARS'!$L$66*($BX117^2)+'LINEST VARS'!$K$66*(12.73^2)+'LINEST VARS'!$J$66*(8*8)+'LINEST VARS'!$I$66*(8*$CE$104)+'LINEST VARS'!$H$66*(8*$BX117)+'LINEST VARS'!$G$66*(8*12.73)+'LINEST VARS'!$F$66*(8*$CE$104)+'LINEST VARS'!$E$66*(8*$BX117)+'LINEST VARS'!$D$66*(8*12.73)+'LINEST VARS'!$C$66*($CE$104*$BX117)+'LINEST VARS'!$B$66*($CE$104*12.73)+'LINEST VARS'!$A$66*($BX117*12.73)</f>
        <v>139.20000000000007</v>
      </c>
      <c r="CF117" s="46">
        <f>'LINEST VARS'!$U$66+'LINEST VARS'!$T$66*(8)+'LINEST VARS'!$S$66*(8)+'LINEST VARS'!$R$66*($CF$104)+'LINEST VARS'!$Q$66*($BX117)+'LINEST VARS'!$P$66*(12.73)+'LINEST VARS'!$O$66*(8^2)+'LINEST VARS'!$N$66*(8^2)+'LINEST VARS'!$M$66*($CF$104^2)+'LINEST VARS'!$L$66*($BX117^2)+'LINEST VARS'!$K$66*(12.73^2)+'LINEST VARS'!$J$66*(8*8)+'LINEST VARS'!$I$66*(8*$CF$104)+'LINEST VARS'!$H$66*(8*$BX117)+'LINEST VARS'!$G$66*(8*12.73)+'LINEST VARS'!$F$66*(8*$CF$104)+'LINEST VARS'!$E$66*(8*$BX117)+'LINEST VARS'!$D$66*(8*12.73)+'LINEST VARS'!$C$66*($CF$104*$BX117)+'LINEST VARS'!$B$66*($CF$104*12.73)+'LINEST VARS'!$A$66*($BX117*12.73)</f>
        <v>138.40000000000009</v>
      </c>
      <c r="CG117" s="46">
        <f>'LINEST VARS'!$U$66+'LINEST VARS'!$T$66*(8)+'LINEST VARS'!$S$66*(8)+'LINEST VARS'!$R$66*($CG$104)+'LINEST VARS'!$Q$66*($BX117)+'LINEST VARS'!$P$66*(12.73)+'LINEST VARS'!$O$66*(8^2)+'LINEST VARS'!$N$66*(8^2)+'LINEST VARS'!$M$66*($CG$104^2)+'LINEST VARS'!$L$66*($BX117^2)+'LINEST VARS'!$K$66*(12.73^2)+'LINEST VARS'!$J$66*(8*8)+'LINEST VARS'!$I$66*(8*$CG$104)+'LINEST VARS'!$H$66*(8*$BX117)+'LINEST VARS'!$G$66*(8*12.73)+'LINEST VARS'!$F$66*(8*$CG$104)+'LINEST VARS'!$E$66*(8*$BX117)+'LINEST VARS'!$D$66*(8*12.73)+'LINEST VARS'!$C$66*($CG$104*$BX117)+'LINEST VARS'!$B$66*($CG$104*12.73)+'LINEST VARS'!$A$66*($BX117*12.73)</f>
        <v>137.60000000000008</v>
      </c>
      <c r="CH117" s="46">
        <f>'LINEST VARS'!$U$66+'LINEST VARS'!$T$66*(8)+'LINEST VARS'!$S$66*(8)+'LINEST VARS'!$R$66*($CH$104)+'LINEST VARS'!$Q$66*($BX117)+'LINEST VARS'!$P$66*(12.73)+'LINEST VARS'!$O$66*(8^2)+'LINEST VARS'!$N$66*(8^2)+'LINEST VARS'!$M$66*($CH$104^2)+'LINEST VARS'!$L$66*($BX117^2)+'LINEST VARS'!$K$66*(12.73^2)+'LINEST VARS'!$J$66*(8*8)+'LINEST VARS'!$I$66*(8*$CH$104)+'LINEST VARS'!$H$66*(8*$BX117)+'LINEST VARS'!$G$66*(8*12.73)+'LINEST VARS'!$F$66*(8*$CH$104)+'LINEST VARS'!$E$66*(8*$BX117)+'LINEST VARS'!$D$66*(8*12.73)+'LINEST VARS'!$C$66*($CH$104*$BX117)+'LINEST VARS'!$B$66*($CH$104*12.73)+'LINEST VARS'!$A$66*($BX117*12.73)</f>
        <v>136.80000000000007</v>
      </c>
      <c r="CI117" s="46">
        <f>'LINEST VARS'!$U$66+'LINEST VARS'!$T$66*(8)+'LINEST VARS'!$S$66*(8)+'LINEST VARS'!$R$66*($CI$104)+'LINEST VARS'!$Q$66*($BX117)+'LINEST VARS'!$P$66*(12.73)+'LINEST VARS'!$O$66*(8^2)+'LINEST VARS'!$N$66*(8^2)+'LINEST VARS'!$M$66*($CI$104^2)+'LINEST VARS'!$L$66*($BX117^2)+'LINEST VARS'!$K$66*(12.73^2)+'LINEST VARS'!$J$66*(8*8)+'LINEST VARS'!$I$66*(8*$CI$104)+'LINEST VARS'!$H$66*(8*$BX117)+'LINEST VARS'!$G$66*(8*12.73)+'LINEST VARS'!$F$66*(8*$CI$104)+'LINEST VARS'!$E$66*(8*$BX117)+'LINEST VARS'!$D$66*(8*12.73)+'LINEST VARS'!$C$66*($CI$104*$BX117)+'LINEST VARS'!$B$66*($CI$104*12.73)+'LINEST VARS'!$A$66*($BX117*12.73)</f>
        <v>136.00000000000006</v>
      </c>
      <c r="CJ117" s="46">
        <f>'LINEST VARS'!$U$66+'LINEST VARS'!$T$66*(8)+'LINEST VARS'!$S$66*(8)+'LINEST VARS'!$R$66*($CJ$104)+'LINEST VARS'!$Q$66*($BX117)+'LINEST VARS'!$P$66*(12.73)+'LINEST VARS'!$O$66*(8^2)+'LINEST VARS'!$N$66*(8^2)+'LINEST VARS'!$M$66*($CJ$104^2)+'LINEST VARS'!$L$66*($BX117^2)+'LINEST VARS'!$K$66*(12.73^2)+'LINEST VARS'!$J$66*(8*8)+'LINEST VARS'!$I$66*(8*$CJ$104)+'LINEST VARS'!$H$66*(8*$BX117)+'LINEST VARS'!$G$66*(8*12.73)+'LINEST VARS'!$F$66*(8*$CJ$104)+'LINEST VARS'!$E$66*(8*$BX117)+'LINEST VARS'!$D$66*(8*12.73)+'LINEST VARS'!$C$66*($CJ$104*$BX117)+'LINEST VARS'!$B$66*($CJ$104*12.73)+'LINEST VARS'!$A$66*($BX117*12.73)</f>
        <v>135.20000000000005</v>
      </c>
      <c r="CK117" s="46">
        <f>'LINEST VARS'!$U$66+'LINEST VARS'!$T$66*(8)+'LINEST VARS'!$S$66*(8)+'LINEST VARS'!$R$66*($CK$104)+'LINEST VARS'!$Q$66*($BX117)+'LINEST VARS'!$P$66*(12.73)+'LINEST VARS'!$O$66*(8^2)+'LINEST VARS'!$N$66*(8^2)+'LINEST VARS'!$M$66*($CK$104^2)+'LINEST VARS'!$L$66*($BX117^2)+'LINEST VARS'!$K$66*(12.73^2)+'LINEST VARS'!$J$66*(8*8)+'LINEST VARS'!$I$66*(8*$CK$104)+'LINEST VARS'!$H$66*(8*$BX117)+'LINEST VARS'!$G$66*(8*12.73)+'LINEST VARS'!$F$66*(8*$CK$104)+'LINEST VARS'!$E$66*(8*$BX117)+'LINEST VARS'!$D$66*(8*12.73)+'LINEST VARS'!$C$66*($CK$104*$BX117)+'LINEST VARS'!$B$66*($CK$104*12.73)+'LINEST VARS'!$A$66*($BX117*12.73)</f>
        <v>134.40000000000003</v>
      </c>
      <c r="CL117" s="46">
        <f>'LINEST VARS'!$U$66+'LINEST VARS'!$T$66*(8)+'LINEST VARS'!$S$66*(8)+'LINEST VARS'!$R$66*($CL$104)+'LINEST VARS'!$Q$66*($BX117)+'LINEST VARS'!$P$66*(12.73)+'LINEST VARS'!$O$66*(8^2)+'LINEST VARS'!$N$66*(8^2)+'LINEST VARS'!$M$66*($CL$104^2)+'LINEST VARS'!$L$66*($BX117^2)+'LINEST VARS'!$K$66*(12.73^2)+'LINEST VARS'!$J$66*(8*8)+'LINEST VARS'!$I$66*(8*$CL$104)+'LINEST VARS'!$H$66*(8*$BX117)+'LINEST VARS'!$G$66*(8*12.73)+'LINEST VARS'!$F$66*(8*$CL$104)+'LINEST VARS'!$E$66*(8*$BX117)+'LINEST VARS'!$D$66*(8*12.73)+'LINEST VARS'!$C$66*($CL$104*$BX117)+'LINEST VARS'!$B$66*($CL$104*12.73)+'LINEST VARS'!$A$66*($BX117*12.73)</f>
        <v>133.60000000000005</v>
      </c>
      <c r="CM117" s="46">
        <f>'LINEST VARS'!$U$66+'LINEST VARS'!$T$66*(8)+'LINEST VARS'!$S$66*(8)+'LINEST VARS'!$R$66*($CM$104)+'LINEST VARS'!$Q$66*($BX117)+'LINEST VARS'!$P$66*(12.73)+'LINEST VARS'!$O$66*(8^2)+'LINEST VARS'!$N$66*(8^2)+'LINEST VARS'!$M$66*($CM$104^2)+'LINEST VARS'!$L$66*($BX117^2)+'LINEST VARS'!$K$66*(12.73^2)+'LINEST VARS'!$J$66*(8*8)+'LINEST VARS'!$I$66*(8*$CM$104)+'LINEST VARS'!$H$66*(8*$BX117)+'LINEST VARS'!$G$66*(8*12.73)+'LINEST VARS'!$F$66*(8*$CM$104)+'LINEST VARS'!$E$66*(8*$BX117)+'LINEST VARS'!$D$66*(8*12.73)+'LINEST VARS'!$C$66*($CM$104*$BX117)+'LINEST VARS'!$B$66*($CM$104*12.73)+'LINEST VARS'!$A$66*($BX117*12.73)</f>
        <v>132.80000000000004</v>
      </c>
      <c r="CN117" s="46">
        <f>'LINEST VARS'!$U$66+'LINEST VARS'!$T$66*(8)+'LINEST VARS'!$S$66*(8)+'LINEST VARS'!$R$66*($CN$104)+'LINEST VARS'!$Q$66*($BX117)+'LINEST VARS'!$P$66*(12.73)+'LINEST VARS'!$O$66*(8^2)+'LINEST VARS'!$N$66*(8^2)+'LINEST VARS'!$M$66*($CN$104^2)+'LINEST VARS'!$L$66*($BX117^2)+'LINEST VARS'!$K$66*(12.73^2)+'LINEST VARS'!$J$66*(8*8)+'LINEST VARS'!$I$66*(8*$CN$104)+'LINEST VARS'!$H$66*(8*$BX117)+'LINEST VARS'!$G$66*(8*12.73)+'LINEST VARS'!$F$66*(8*$CN$104)+'LINEST VARS'!$E$66*(8*$BX117)+'LINEST VARS'!$D$66*(8*12.73)+'LINEST VARS'!$C$66*($CN$104*$BX117)+'LINEST VARS'!$B$66*($CN$104*12.73)+'LINEST VARS'!$A$66*($BX117*12.73)</f>
        <v>132.00000000000006</v>
      </c>
      <c r="CO117" s="46">
        <f>'LINEST VARS'!$U$66+'LINEST VARS'!$T$66*(8)+'LINEST VARS'!$S$66*(8)+'LINEST VARS'!$R$66*($CO$104)+'LINEST VARS'!$Q$66*($BX117)+'LINEST VARS'!$P$66*(12.73)+'LINEST VARS'!$O$66*(8^2)+'LINEST VARS'!$N$66*(8^2)+'LINEST VARS'!$M$66*($CO$104^2)+'LINEST VARS'!$L$66*($BX117^2)+'LINEST VARS'!$K$66*(12.73^2)+'LINEST VARS'!$J$66*(8*8)+'LINEST VARS'!$I$66*(8*$CO$104)+'LINEST VARS'!$H$66*(8*$BX117)+'LINEST VARS'!$G$66*(8*12.73)+'LINEST VARS'!$F$66*(8*$CO$104)+'LINEST VARS'!$E$66*(8*$BX117)+'LINEST VARS'!$D$66*(8*12.73)+'LINEST VARS'!$C$66*($CO$104*$BX117)+'LINEST VARS'!$B$66*($CO$104*12.73)+'LINEST VARS'!$A$66*($BX117*12.73)</f>
        <v>131.20000000000005</v>
      </c>
      <c r="CP117" s="46">
        <f>'LINEST VARS'!$U$66+'LINEST VARS'!$T$66*(8)+'LINEST VARS'!$S$66*(8)+'LINEST VARS'!$R$66*($CP$104)+'LINEST VARS'!$Q$66*($BX117)+'LINEST VARS'!$P$66*(12.73)+'LINEST VARS'!$O$66*(8^2)+'LINEST VARS'!$N$66*(8^2)+'LINEST VARS'!$M$66*($CP$104^2)+'LINEST VARS'!$L$66*($BX117^2)+'LINEST VARS'!$K$66*(12.73^2)+'LINEST VARS'!$J$66*(8*8)+'LINEST VARS'!$I$66*(8*$CP$104)+'LINEST VARS'!$H$66*(8*$BX117)+'LINEST VARS'!$G$66*(8*12.73)+'LINEST VARS'!$F$66*(8*$CP$104)+'LINEST VARS'!$E$66*(8*$BX117)+'LINEST VARS'!$D$66*(8*12.73)+'LINEST VARS'!$C$66*($CP$104*$BX117)+'LINEST VARS'!$B$66*($CP$104*12.73)+'LINEST VARS'!$A$66*($BX117*12.73)</f>
        <v>130.40000000000009</v>
      </c>
      <c r="CQ117" s="46">
        <f>'LINEST VARS'!$U$66+'LINEST VARS'!$T$66*(8)+'LINEST VARS'!$S$66*(8)+'LINEST VARS'!$R$66*($CQ$104)+'LINEST VARS'!$Q$66*($BX117)+'LINEST VARS'!$P$66*(12.73)+'LINEST VARS'!$O$66*(8^2)+'LINEST VARS'!$N$66*(8^2)+'LINEST VARS'!$M$66*($CQ$104^2)+'LINEST VARS'!$L$66*($BX117^2)+'LINEST VARS'!$K$66*(12.73^2)+'LINEST VARS'!$J$66*(8*8)+'LINEST VARS'!$I$66*(8*$CQ$104)+'LINEST VARS'!$H$66*(8*$BX117)+'LINEST VARS'!$G$66*(8*12.73)+'LINEST VARS'!$F$66*(8*$CQ$104)+'LINEST VARS'!$E$66*(8*$BX117)+'LINEST VARS'!$D$66*(8*12.73)+'LINEST VARS'!$C$66*($CQ$104*$BX117)+'LINEST VARS'!$B$66*($CQ$104*12.73)+'LINEST VARS'!$A$66*($BX117*12.73)</f>
        <v>129.60000000000008</v>
      </c>
      <c r="CR117" s="46">
        <f>'LINEST VARS'!$U$66+'LINEST VARS'!$T$66*(8)+'LINEST VARS'!$S$66*(8)+'LINEST VARS'!$R$66*($CR$104)+'LINEST VARS'!$Q$66*($BX117)+'LINEST VARS'!$P$66*(12.73)+'LINEST VARS'!$O$66*(8^2)+'LINEST VARS'!$N$66*(8^2)+'LINEST VARS'!$M$66*($CR$104^2)+'LINEST VARS'!$L$66*($BX117^2)+'LINEST VARS'!$K$66*(12.73^2)+'LINEST VARS'!$J$66*(8*8)+'LINEST VARS'!$I$66*(8*$CR$104)+'LINEST VARS'!$H$66*(8*$BX117)+'LINEST VARS'!$G$66*(8*12.73)+'LINEST VARS'!$F$66*(8*$CR$104)+'LINEST VARS'!$E$66*(8*$BX117)+'LINEST VARS'!$D$66*(8*12.73)+'LINEST VARS'!$C$66*($CR$104*$BX117)+'LINEST VARS'!$B$66*($CR$104*12.73)+'LINEST VARS'!$A$66*($BX117*12.73)</f>
        <v>128.8000000000001</v>
      </c>
      <c r="CS117" s="47">
        <f>'LINEST VARS'!$U$66+'LINEST VARS'!$T$66*(8)+'LINEST VARS'!$S$66*(8)+'LINEST VARS'!$R$66*($CS$104)+'LINEST VARS'!$Q$66*($BX117)+'LINEST VARS'!$P$66*(12.73)+'LINEST VARS'!$O$66*(8^2)+'LINEST VARS'!$N$66*(8^2)+'LINEST VARS'!$M$66*($CS$104^2)+'LINEST VARS'!$L$66*($BX117^2)+'LINEST VARS'!$K$66*(12.73^2)+'LINEST VARS'!$J$66*(8*8)+'LINEST VARS'!$I$66*(8*$CS$104)+'LINEST VARS'!$H$66*(8*$BX117)+'LINEST VARS'!$G$66*(8*12.73)+'LINEST VARS'!$F$66*(8*$CS$104)+'LINEST VARS'!$E$66*(8*$BX117)+'LINEST VARS'!$D$66*(8*12.73)+'LINEST VARS'!$C$66*($CS$104*$BX117)+'LINEST VARS'!$B$66*($CS$104*12.73)+'LINEST VARS'!$A$66*($BX117*12.73)</f>
        <v>128.00000000000006</v>
      </c>
      <c r="CX117" s="45">
        <v>15.593999999999999</v>
      </c>
      <c r="CY117" s="55">
        <f>'LINEST VARS'!$U$64+'LINEST VARS'!$T$64*(8)+'LINEST VARS'!$S$64*(8)+'LINEST VARS'!$R$64*($CY$104)+'LINEST VARS'!$Q$64*(0.5)+'LINEST VARS'!$P$64*($CX117)+'LINEST VARS'!$O$64*(8^2)+'LINEST VARS'!$N$64*(8^2)+'LINEST VARS'!$M$64*($CY$104^2)+'LINEST VARS'!$L$64*(0.5^2)+'LINEST VARS'!$K$64*($CX117^2)+'LINEST VARS'!$J$64*(8*8)+'LINEST VARS'!$I$64*(8*$CY$104)+'LINEST VARS'!$H$64*(8*0.5)+'LINEST VARS'!$G$64*(8*$CX117)+'LINEST VARS'!$F$64*(8*$CY$104)+'LINEST VARS'!$E$64*(8*0.5)+'LINEST VARS'!$D$64*(8*$CX117)+'LINEST VARS'!$C$64*($CY$104*0.5)+'LINEST VARS'!$B$64*($CY$104*$CX117)+'LINEST VARS'!$A$64*(0.5*$CX117)</f>
        <v>156.78199999999987</v>
      </c>
      <c r="CZ117" s="55">
        <f>'LINEST VARS'!$U$64+'LINEST VARS'!$T$64*(8)+'LINEST VARS'!$S$64*(8)+'LINEST VARS'!$R$64*($CZ$104)+'LINEST VARS'!$Q$64*(0.5)+'LINEST VARS'!$P$64*($CX117)+'LINEST VARS'!$O$64*(8^2)+'LINEST VARS'!$N$64*(8^2)+'LINEST VARS'!$M$64*($CZ$104^2)+'LINEST VARS'!$L$64*(0.5^2)+'LINEST VARS'!$K$64*($CX117^2)+'LINEST VARS'!$J$64*(8*8)+'LINEST VARS'!$I$64*(8*$CZ$104)+'LINEST VARS'!$H$64*(8*0.5)+'LINEST VARS'!$G$64*(8*$CX117)+'LINEST VARS'!$F$64*(8*$CZ$104)+'LINEST VARS'!$E$64*(8*0.5)+'LINEST VARS'!$D$64*(8*$CX117)+'LINEST VARS'!$C$64*($CZ$104*0.5)+'LINEST VARS'!$B$64*($CZ$104*$CX117)+'LINEST VARS'!$A$64*(0.5*$CX117)</f>
        <v>158.38199999999986</v>
      </c>
      <c r="DA117" s="55">
        <f>'LINEST VARS'!$U$64+'LINEST VARS'!$T$64*(8)+'LINEST VARS'!$S$64*(8)+'LINEST VARS'!$R$64*($DA$104)+'LINEST VARS'!$Q$64*(0.5)+'LINEST VARS'!$P$64*($CX117)+'LINEST VARS'!$O$64*(8^2)+'LINEST VARS'!$N$64*(8^2)+'LINEST VARS'!$M$64*($DA$104^2)+'LINEST VARS'!$L$64*(0.5^2)+'LINEST VARS'!$K$64*($CX117^2)+'LINEST VARS'!$J$64*(8*8)+'LINEST VARS'!$I$64*(8*$DA$104)+'LINEST VARS'!$H$64*(8*0.5)+'LINEST VARS'!$G$64*(8*$CX117)+'LINEST VARS'!$F$64*(8*$DA$104)+'LINEST VARS'!$E$64*(8*0.5)+'LINEST VARS'!$D$64*(8*$CX117)+'LINEST VARS'!$C$64*($DA$104*0.5)+'LINEST VARS'!$B$64*($DA$104*$CX117)+'LINEST VARS'!$A$64*(0.5*$CX117)</f>
        <v>159.98199999999986</v>
      </c>
      <c r="DB117" s="55">
        <f>'LINEST VARS'!$U$64+'LINEST VARS'!$T$64*(8)+'LINEST VARS'!$S$64*(8)+'LINEST VARS'!$R$64*($DB$104)+'LINEST VARS'!$Q$64*(0.5)+'LINEST VARS'!$P$64*($CX117)+'LINEST VARS'!$O$64*(8^2)+'LINEST VARS'!$N$64*(8^2)+'LINEST VARS'!$M$64*($DB$104^2)+'LINEST VARS'!$L$64*(0.5^2)+'LINEST VARS'!$K$64*($CX117^2)+'LINEST VARS'!$J$64*(8*8)+'LINEST VARS'!$I$64*(8*$DB$104)+'LINEST VARS'!$H$64*(8*0.5)+'LINEST VARS'!$G$64*(8*$CX117)+'LINEST VARS'!$F$64*(8*$DB$104)+'LINEST VARS'!$E$64*(8*0.5)+'LINEST VARS'!$D$64*(8*$CX117)+'LINEST VARS'!$C$64*($DB$104*0.5)+'LINEST VARS'!$B$64*($DB$104*$CX117)+'LINEST VARS'!$A$64*(0.5*$CX117)</f>
        <v>161.58199999999988</v>
      </c>
      <c r="DC117" s="55">
        <f>'LINEST VARS'!$U$64+'LINEST VARS'!$T$64*(8)+'LINEST VARS'!$S$64*(8)+'LINEST VARS'!$R$64*($DC$104)+'LINEST VARS'!$Q$64*(0.5)+'LINEST VARS'!$P$64*($CX117)+'LINEST VARS'!$O$64*(8^2)+'LINEST VARS'!$N$64*(8^2)+'LINEST VARS'!$M$64*($DC$104^2)+'LINEST VARS'!$L$64*(0.5^2)+'LINEST VARS'!$K$64*($CX117^2)+'LINEST VARS'!$J$64*(8*8)+'LINEST VARS'!$I$64*(8*$DC$104)+'LINEST VARS'!$H$64*(8*0.5)+'LINEST VARS'!$G$64*(8*$CX117)+'LINEST VARS'!$F$64*(8*$DC$104)+'LINEST VARS'!$E$64*(8*0.5)+'LINEST VARS'!$D$64*(8*$CX117)+'LINEST VARS'!$C$64*($DC$104*0.5)+'LINEST VARS'!$B$64*($DC$104*$CX117)+'LINEST VARS'!$A$64*(0.5*$CX117)</f>
        <v>163.18199999999987</v>
      </c>
      <c r="DD117" s="55">
        <f>'LINEST VARS'!$U$64+'LINEST VARS'!$T$64*(8)+'LINEST VARS'!$S$64*(8)+'LINEST VARS'!$R$64*($DD$104)+'LINEST VARS'!$Q$64*(0.5)+'LINEST VARS'!$P$64*($CX117)+'LINEST VARS'!$O$64*(8^2)+'LINEST VARS'!$N$64*(8^2)+'LINEST VARS'!$M$64*($DD$104^2)+'LINEST VARS'!$L$64*(0.5^2)+'LINEST VARS'!$K$64*($CX117^2)+'LINEST VARS'!$J$64*(8*8)+'LINEST VARS'!$I$64*(8*$DD$104)+'LINEST VARS'!$H$64*(8*0.5)+'LINEST VARS'!$G$64*(8*$CX117)+'LINEST VARS'!$F$64*(8*$DD$104)+'LINEST VARS'!$E$64*(8*0.5)+'LINEST VARS'!$D$64*(8*$CX117)+'LINEST VARS'!$C$64*($DD$104*0.5)+'LINEST VARS'!$B$64*($DD$104*$CX117)+'LINEST VARS'!$A$64*(0.5*$CX117)</f>
        <v>164.78199999999987</v>
      </c>
      <c r="DE117" s="55">
        <f>'LINEST VARS'!$U$64+'LINEST VARS'!$T$64*(8)+'LINEST VARS'!$S$64*(8)+'LINEST VARS'!$R$64*($DE$104)+'LINEST VARS'!$Q$64*(0.5)+'LINEST VARS'!$P$64*($CX117)+'LINEST VARS'!$O$64*(8^2)+'LINEST VARS'!$N$64*(8^2)+'LINEST VARS'!$M$64*($DE$104^2)+'LINEST VARS'!$L$64*(0.5^2)+'LINEST VARS'!$K$64*($CX117^2)+'LINEST VARS'!$J$64*(8*8)+'LINEST VARS'!$I$64*(8*$DE$104)+'LINEST VARS'!$H$64*(8*0.5)+'LINEST VARS'!$G$64*(8*$CX117)+'LINEST VARS'!$F$64*(8*$DE$104)+'LINEST VARS'!$E$64*(8*0.5)+'LINEST VARS'!$D$64*(8*$CX117)+'LINEST VARS'!$C$64*($DE$104*0.5)+'LINEST VARS'!$B$64*($DE$104*$CX117)+'LINEST VARS'!$A$64*(0.5*$CX117)</f>
        <v>166.38199999999986</v>
      </c>
      <c r="DF117" s="55">
        <f>'LINEST VARS'!$U$64+'LINEST VARS'!$T$64*(8)+'LINEST VARS'!$S$64*(8)+'LINEST VARS'!$R$64*($DF$104)+'LINEST VARS'!$Q$64*(0.5)+'LINEST VARS'!$P$64*($CX117)+'LINEST VARS'!$O$64*(8^2)+'LINEST VARS'!$N$64*(8^2)+'LINEST VARS'!$M$64*($DF$104^2)+'LINEST VARS'!$L$64*(0.5^2)+'LINEST VARS'!$K$64*($CX117^2)+'LINEST VARS'!$J$64*(8*8)+'LINEST VARS'!$I$64*(8*$DF$104)+'LINEST VARS'!$H$64*(8*0.5)+'LINEST VARS'!$G$64*(8*$CX117)+'LINEST VARS'!$F$64*(8*$DF$104)+'LINEST VARS'!$E$64*(8*0.5)+'LINEST VARS'!$D$64*(8*$CX117)+'LINEST VARS'!$C$64*($DF$104*0.5)+'LINEST VARS'!$B$64*($DF$104*$CX117)+'LINEST VARS'!$A$64*(0.5*$CX117)</f>
        <v>167.98199999999986</v>
      </c>
      <c r="DG117" s="55">
        <f>'LINEST VARS'!$U$64+'LINEST VARS'!$T$64*(8)+'LINEST VARS'!$S$64*(8)+'LINEST VARS'!$R$64*($DG$104)+'LINEST VARS'!$Q$64*(0.5)+'LINEST VARS'!$P$64*($CX117)+'LINEST VARS'!$O$64*(8^2)+'LINEST VARS'!$N$64*(8^2)+'LINEST VARS'!$M$64*($DG$104^2)+'LINEST VARS'!$L$64*(0.5^2)+'LINEST VARS'!$K$64*($CX117^2)+'LINEST VARS'!$J$64*(8*8)+'LINEST VARS'!$I$64*(8*$DG$104)+'LINEST VARS'!$H$64*(8*0.5)+'LINEST VARS'!$G$64*(8*$CX117)+'LINEST VARS'!$F$64*(8*$DG$104)+'LINEST VARS'!$E$64*(8*0.5)+'LINEST VARS'!$D$64*(8*$CX117)+'LINEST VARS'!$C$64*($DG$104*0.5)+'LINEST VARS'!$B$64*($DG$104*$CX117)+'LINEST VARS'!$A$64*(0.5*$CX117)</f>
        <v>169.58199999999988</v>
      </c>
      <c r="DH117" s="55">
        <f>'LINEST VARS'!$U$64+'LINEST VARS'!$T$64*(8)+'LINEST VARS'!$S$64*(8)+'LINEST VARS'!$R$64*($DH$104)+'LINEST VARS'!$Q$64*(0.5)+'LINEST VARS'!$P$64*($CX117)+'LINEST VARS'!$O$64*(8^2)+'LINEST VARS'!$N$64*(8^2)+'LINEST VARS'!$M$64*($DH$104^2)+'LINEST VARS'!$L$64*(0.5^2)+'LINEST VARS'!$K$64*($CX117^2)+'LINEST VARS'!$J$64*(8*8)+'LINEST VARS'!$I$64*(8*$DH$104)+'LINEST VARS'!$H$64*(8*0.5)+'LINEST VARS'!$G$64*(8*$CX117)+'LINEST VARS'!$F$64*(8*$DH$104)+'LINEST VARS'!$E$64*(8*0.5)+'LINEST VARS'!$D$64*(8*$CX117)+'LINEST VARS'!$C$64*($DH$104*0.5)+'LINEST VARS'!$B$64*($DH$104*$CX117)+'LINEST VARS'!$A$64*(0.5*$CX117)</f>
        <v>171.18199999999987</v>
      </c>
      <c r="DI117" s="55">
        <f>'LINEST VARS'!$U$64+'LINEST VARS'!$T$64*(8)+'LINEST VARS'!$S$64*(8)+'LINEST VARS'!$R$64*($DI$104)+'LINEST VARS'!$Q$64*(0.5)+'LINEST VARS'!$P$64*($CX117)+'LINEST VARS'!$O$64*(8^2)+'LINEST VARS'!$N$64*(8^2)+'LINEST VARS'!$M$64*($DI$104^2)+'LINEST VARS'!$L$64*(0.5^2)+'LINEST VARS'!$K$64*($CX117^2)+'LINEST VARS'!$J$64*(8*8)+'LINEST VARS'!$I$64*(8*$DI$104)+'LINEST VARS'!$H$64*(8*0.5)+'LINEST VARS'!$G$64*(8*$CX117)+'LINEST VARS'!$F$64*(8*$DI$104)+'LINEST VARS'!$E$64*(8*0.5)+'LINEST VARS'!$D$64*(8*$CX117)+'LINEST VARS'!$C$64*($DI$104*0.5)+'LINEST VARS'!$B$64*($DI$104*$CX117)+'LINEST VARS'!$A$64*(0.5*$CX117)</f>
        <v>172.78199999999987</v>
      </c>
      <c r="DJ117" s="55">
        <f>'LINEST VARS'!$U$64+'LINEST VARS'!$T$64*(8)+'LINEST VARS'!$S$64*(8)+'LINEST VARS'!$R$64*($DJ$104)+'LINEST VARS'!$Q$64*(0.5)+'LINEST VARS'!$P$64*($CX117)+'LINEST VARS'!$O$64*(8^2)+'LINEST VARS'!$N$64*(8^2)+'LINEST VARS'!$M$64*($DJ$104^2)+'LINEST VARS'!$L$64*(0.5^2)+'LINEST VARS'!$K$64*($CX117^2)+'LINEST VARS'!$J$64*(8*8)+'LINEST VARS'!$I$64*(8*$DJ$104)+'LINEST VARS'!$H$64*(8*0.5)+'LINEST VARS'!$G$64*(8*$CX117)+'LINEST VARS'!$F$64*(8*$DJ$104)+'LINEST VARS'!$E$64*(8*0.5)+'LINEST VARS'!$D$64*(8*$CX117)+'LINEST VARS'!$C$64*($DJ$104*0.5)+'LINEST VARS'!$B$64*($DJ$104*$CX117)+'LINEST VARS'!$A$64*(0.5*$CX117)</f>
        <v>174.38199999999989</v>
      </c>
      <c r="DK117" s="55">
        <f>'LINEST VARS'!$U$64+'LINEST VARS'!$T$64*(8)+'LINEST VARS'!$S$64*(8)+'LINEST VARS'!$R$64*($DK$104)+'LINEST VARS'!$Q$64*(0.5)+'LINEST VARS'!$P$64*($CX117)+'LINEST VARS'!$O$64*(8^2)+'LINEST VARS'!$N$64*(8^2)+'LINEST VARS'!$M$64*($DK$104^2)+'LINEST VARS'!$L$64*(0.5^2)+'LINEST VARS'!$K$64*($CX117^2)+'LINEST VARS'!$J$64*(8*8)+'LINEST VARS'!$I$64*(8*$DK$104)+'LINEST VARS'!$H$64*(8*0.5)+'LINEST VARS'!$G$64*(8*$CX117)+'LINEST VARS'!$F$64*(8*$DK$104)+'LINEST VARS'!$E$64*(8*0.5)+'LINEST VARS'!$D$64*(8*$CX117)+'LINEST VARS'!$C$64*($DK$104*0.5)+'LINEST VARS'!$B$64*($DK$104*$CX117)+'LINEST VARS'!$A$64*(0.5*$CX117)</f>
        <v>175.98199999999986</v>
      </c>
      <c r="DL117" s="55">
        <f>'LINEST VARS'!$U$64+'LINEST VARS'!$T$64*(8)+'LINEST VARS'!$S$64*(8)+'LINEST VARS'!$R$64*($DL$104)+'LINEST VARS'!$Q$64*(0.5)+'LINEST VARS'!$P$64*($CX117)+'LINEST VARS'!$O$64*(8^2)+'LINEST VARS'!$N$64*(8^2)+'LINEST VARS'!$M$64*($DL$104^2)+'LINEST VARS'!$L$64*(0.5^2)+'LINEST VARS'!$K$64*($CX117^2)+'LINEST VARS'!$J$64*(8*8)+'LINEST VARS'!$I$64*(8*$DL$104)+'LINEST VARS'!$H$64*(8*0.5)+'LINEST VARS'!$G$64*(8*$CX117)+'LINEST VARS'!$F$64*(8*$DL$104)+'LINEST VARS'!$E$64*(8*0.5)+'LINEST VARS'!$D$64*(8*$CX117)+'LINEST VARS'!$C$64*($DL$104*0.5)+'LINEST VARS'!$B$64*($DL$104*$CX117)+'LINEST VARS'!$A$64*(0.5*$CX117)</f>
        <v>177.58199999999988</v>
      </c>
      <c r="DM117" s="55">
        <f>'LINEST VARS'!$U$64+'LINEST VARS'!$T$64*(8)+'LINEST VARS'!$S$64*(8)+'LINEST VARS'!$R$64*($DM$104)+'LINEST VARS'!$Q$64*(0.5)+'LINEST VARS'!$P$64*($CX117)+'LINEST VARS'!$O$64*(8^2)+'LINEST VARS'!$N$64*(8^2)+'LINEST VARS'!$M$64*($DM$104^2)+'LINEST VARS'!$L$64*(0.5^2)+'LINEST VARS'!$K$64*($CX117^2)+'LINEST VARS'!$J$64*(8*8)+'LINEST VARS'!$I$64*(8*$DM$104)+'LINEST VARS'!$H$64*(8*0.5)+'LINEST VARS'!$G$64*(8*$CX117)+'LINEST VARS'!$F$64*(8*$DM$104)+'LINEST VARS'!$E$64*(8*0.5)+'LINEST VARS'!$D$64*(8*$CX117)+'LINEST VARS'!$C$64*($DM$104*0.5)+'LINEST VARS'!$B$64*($DM$104*$CX117)+'LINEST VARS'!$A$64*(0.5*$CX117)</f>
        <v>179.18199999999982</v>
      </c>
      <c r="DN117" s="55">
        <f>'LINEST VARS'!$U$64+'LINEST VARS'!$T$64*(8)+'LINEST VARS'!$S$64*(8)+'LINEST VARS'!$R$64*($DN$104)+'LINEST VARS'!$Q$64*(0.5)+'LINEST VARS'!$P$64*($CX117)+'LINEST VARS'!$O$64*(8^2)+'LINEST VARS'!$N$64*(8^2)+'LINEST VARS'!$M$64*($DN$104^2)+'LINEST VARS'!$L$64*(0.5^2)+'LINEST VARS'!$K$64*($CX117^2)+'LINEST VARS'!$J$64*(8*8)+'LINEST VARS'!$I$64*(8*$DN$104)+'LINEST VARS'!$H$64*(8*0.5)+'LINEST VARS'!$G$64*(8*$CX117)+'LINEST VARS'!$F$64*(8*$DN$104)+'LINEST VARS'!$E$64*(8*0.5)+'LINEST VARS'!$D$64*(8*$CX117)+'LINEST VARS'!$C$64*($DN$104*0.5)+'LINEST VARS'!$B$64*($DN$104*$CX117)+'LINEST VARS'!$A$64*(0.5*$CX117)</f>
        <v>180.78199999999984</v>
      </c>
      <c r="DO117" s="55">
        <f>'LINEST VARS'!$U$64+'LINEST VARS'!$T$64*(8)+'LINEST VARS'!$S$64*(8)+'LINEST VARS'!$R$64*($DO$104)+'LINEST VARS'!$Q$64*(0.5)+'LINEST VARS'!$P$64*($CX117)+'LINEST VARS'!$O$64*(8^2)+'LINEST VARS'!$N$64*(8^2)+'LINEST VARS'!$M$64*($DO$104^2)+'LINEST VARS'!$L$64*(0.5^2)+'LINEST VARS'!$K$64*($CX117^2)+'LINEST VARS'!$J$64*(8*8)+'LINEST VARS'!$I$64*(8*$DO$104)+'LINEST VARS'!$H$64*(8*0.5)+'LINEST VARS'!$G$64*(8*$CX117)+'LINEST VARS'!$F$64*(8*$DO$104)+'LINEST VARS'!$E$64*(8*0.5)+'LINEST VARS'!$D$64*(8*$CX117)+'LINEST VARS'!$C$64*($DO$104*0.5)+'LINEST VARS'!$B$64*($DO$104*$CX117)+'LINEST VARS'!$A$64*(0.5*$CX117)</f>
        <v>182.38199999999986</v>
      </c>
      <c r="DP117" s="55">
        <f>'LINEST VARS'!$U$64+'LINEST VARS'!$T$64*(8)+'LINEST VARS'!$S$64*(8)+'LINEST VARS'!$R$64*($DP$104)+'LINEST VARS'!$Q$64*(0.5)+'LINEST VARS'!$P$64*($CX117)+'LINEST VARS'!$O$64*(8^2)+'LINEST VARS'!$N$64*(8^2)+'LINEST VARS'!$M$64*($DP$104^2)+'LINEST VARS'!$L$64*(0.5^2)+'LINEST VARS'!$K$64*($CX117^2)+'LINEST VARS'!$J$64*(8*8)+'LINEST VARS'!$I$64*(8*$DP$104)+'LINEST VARS'!$H$64*(8*0.5)+'LINEST VARS'!$G$64*(8*$CX117)+'LINEST VARS'!$F$64*(8*$DP$104)+'LINEST VARS'!$E$64*(8*0.5)+'LINEST VARS'!$D$64*(8*$CX117)+'LINEST VARS'!$C$64*($DP$104*0.5)+'LINEST VARS'!$B$64*($DP$104*$CX117)+'LINEST VARS'!$A$64*(0.5*$CX117)</f>
        <v>183.98199999999983</v>
      </c>
      <c r="DQ117" s="55">
        <f>'LINEST VARS'!$U$64+'LINEST VARS'!$T$64*(8)+'LINEST VARS'!$S$64*(8)+'LINEST VARS'!$R$64*($DQ$104)+'LINEST VARS'!$Q$64*(0.5)+'LINEST VARS'!$P$64*($CX117)+'LINEST VARS'!$O$64*(8^2)+'LINEST VARS'!$N$64*(8^2)+'LINEST VARS'!$M$64*($DQ$104^2)+'LINEST VARS'!$L$64*(0.5^2)+'LINEST VARS'!$K$64*($CX117^2)+'LINEST VARS'!$J$64*(8*8)+'LINEST VARS'!$I$64*(8*$DQ$104)+'LINEST VARS'!$H$64*(8*0.5)+'LINEST VARS'!$G$64*(8*$CX117)+'LINEST VARS'!$F$64*(8*$DQ$104)+'LINEST VARS'!$E$64*(8*0.5)+'LINEST VARS'!$D$64*(8*$CX117)+'LINEST VARS'!$C$64*($DQ$104*0.5)+'LINEST VARS'!$B$64*($DQ$104*$CX117)+'LINEST VARS'!$A$64*(0.5*$CX117)</f>
        <v>185.58199999999985</v>
      </c>
      <c r="DR117" s="55">
        <f>'LINEST VARS'!$U$64+'LINEST VARS'!$T$64*(8)+'LINEST VARS'!$S$64*(8)+'LINEST VARS'!$R$64*($DR$104)+'LINEST VARS'!$Q$64*(0.5)+'LINEST VARS'!$P$64*($CX117)+'LINEST VARS'!$O$64*(8^2)+'LINEST VARS'!$N$64*(8^2)+'LINEST VARS'!$M$64*($DR$104^2)+'LINEST VARS'!$L$64*(0.5^2)+'LINEST VARS'!$K$64*($CX117^2)+'LINEST VARS'!$J$64*(8*8)+'LINEST VARS'!$I$64*(8*$DR$104)+'LINEST VARS'!$H$64*(8*0.5)+'LINEST VARS'!$G$64*(8*$CX117)+'LINEST VARS'!$F$64*(8*$DR$104)+'LINEST VARS'!$E$64*(8*0.5)+'LINEST VARS'!$D$64*(8*$CX117)+'LINEST VARS'!$C$64*($DR$104*0.5)+'LINEST VARS'!$B$64*($DR$104*$CX117)+'LINEST VARS'!$A$64*(0.5*$CX117)</f>
        <v>187.18199999999982</v>
      </c>
      <c r="DS117" s="56">
        <f>'LINEST VARS'!$U$64+'LINEST VARS'!$T$64*(8)+'LINEST VARS'!$S$64*(8)+'LINEST VARS'!$R$64*($DS$104)+'LINEST VARS'!$Q$64*(0.5)+'LINEST VARS'!$P$64*($CX117)+'LINEST VARS'!$O$64*(8^2)+'LINEST VARS'!$N$64*(8^2)+'LINEST VARS'!$M$64*($DS$104^2)+'LINEST VARS'!$L$64*(0.5^2)+'LINEST VARS'!$K$64*($CX117^2)+'LINEST VARS'!$J$64*(8*8)+'LINEST VARS'!$I$64*(8*$DS$104)+'LINEST VARS'!$H$64*(8*0.5)+'LINEST VARS'!$G$64*(8*$CX117)+'LINEST VARS'!$F$64*(8*$DS$104)+'LINEST VARS'!$E$64*(8*0.5)+'LINEST VARS'!$D$64*(8*$CX117)+'LINEST VARS'!$C$64*($DS$104*0.5)+'LINEST VARS'!$B$64*($DS$104*$CX117)+'LINEST VARS'!$A$64*(0.5*$CX117)</f>
        <v>188.78199999999984</v>
      </c>
      <c r="DV117" s="45">
        <v>15.593999999999999</v>
      </c>
      <c r="DW117" s="46">
        <f>'LINEST VARS'!$U$66+'LINEST VARS'!$T$66*(8)+'LINEST VARS'!$S$66*(8)+'LINEST VARS'!$R$66*($DW$104)+'LINEST VARS'!$Q$66*(0.5)+'LINEST VARS'!$P$66*($DV117)+'LINEST VARS'!$O$66*(8^2)+'LINEST VARS'!$N$66*(8^2)+'LINEST VARS'!$M$66*($DW$104^2)+'LINEST VARS'!$L$66*(0.5^2)+'LINEST VARS'!$K$66*($DV117^2)+'LINEST VARS'!$J$66*(8*8)+'LINEST VARS'!$I$66*(8*$DW$104)+'LINEST VARS'!$H$66*(8*0.5)+'LINEST VARS'!$G$66*(8*$DV117)+'LINEST VARS'!$F$66*(8*$DW$104)+'LINEST VARS'!$E$66*(8*0.5)+'LINEST VARS'!$D$66*(8*$DV117)+'LINEST VARS'!$C$66*($DW$104*0.5)+'LINEST VARS'!$B$66*($DW$104*$DV117)+'LINEST VARS'!$A$66*(0.5*$DV117)</f>
        <v>144.00000000000006</v>
      </c>
      <c r="DX117" s="46">
        <f>'LINEST VARS'!$U$66+'LINEST VARS'!$T$66*(8)+'LINEST VARS'!$S$66*(8)+'LINEST VARS'!$R$66*($DX$104)+'LINEST VARS'!$Q$66*(0.5)+'LINEST VARS'!$P$66*($DV117)+'LINEST VARS'!$O$66*(8^2)+'LINEST VARS'!$N$66*(8^2)+'LINEST VARS'!$M$66*($DX$104^2)+'LINEST VARS'!$L$66*(0.5^2)+'LINEST VARS'!$K$66*($DV117^2)+'LINEST VARS'!$J$66*(8*8)+'LINEST VARS'!$I$66*(8*$DX$104)+'LINEST VARS'!$H$66*(8*0.5)+'LINEST VARS'!$G$66*(8*$DV117)+'LINEST VARS'!$F$66*(8*$DX$104)+'LINEST VARS'!$E$66*(8*0.5)+'LINEST VARS'!$D$66*(8*$DV117)+'LINEST VARS'!$C$66*($DX$104*0.5)+'LINEST VARS'!$B$66*($DX$104*$DV117)+'LINEST VARS'!$A$66*(0.5*$DV117)</f>
        <v>143.20000000000007</v>
      </c>
      <c r="DY117" s="46">
        <f>'LINEST VARS'!$U$66+'LINEST VARS'!$T$66*(8)+'LINEST VARS'!$S$66*(8)+'LINEST VARS'!$R$66*($DY$104)+'LINEST VARS'!$Q$66*(0.5)+'LINEST VARS'!$P$66*($DV117)+'LINEST VARS'!$O$66*(8^2)+'LINEST VARS'!$N$66*(8^2)+'LINEST VARS'!$M$66*($DY$104^2)+'LINEST VARS'!$L$66*(0.5^2)+'LINEST VARS'!$K$66*($DV117^2)+'LINEST VARS'!$J$66*(8*8)+'LINEST VARS'!$I$66*(8*$DY$104)+'LINEST VARS'!$H$66*(8*0.5)+'LINEST VARS'!$G$66*(8*$DV117)+'LINEST VARS'!$F$66*(8*$DY$104)+'LINEST VARS'!$E$66*(8*0.5)+'LINEST VARS'!$D$66*(8*$DV117)+'LINEST VARS'!$C$66*($DY$104*0.5)+'LINEST VARS'!$B$66*($DY$104*$DV117)+'LINEST VARS'!$A$66*(0.5*$DV117)</f>
        <v>142.40000000000006</v>
      </c>
      <c r="DZ117" s="46">
        <f>'LINEST VARS'!$U$66+'LINEST VARS'!$T$66*(8)+'LINEST VARS'!$S$66*(8)+'LINEST VARS'!$R$66*($DZ$104)+'LINEST VARS'!$Q$66*(0.5)+'LINEST VARS'!$P$66*($DV117)+'LINEST VARS'!$O$66*(8^2)+'LINEST VARS'!$N$66*(8^2)+'LINEST VARS'!$M$66*($DZ$104^2)+'LINEST VARS'!$L$66*(0.5^2)+'LINEST VARS'!$K$66*($DV117^2)+'LINEST VARS'!$J$66*(8*8)+'LINEST VARS'!$I$66*(8*$DZ$104)+'LINEST VARS'!$H$66*(8*0.5)+'LINEST VARS'!$G$66*(8*$DV117)+'LINEST VARS'!$F$66*(8*$DZ$104)+'LINEST VARS'!$E$66*(8*0.5)+'LINEST VARS'!$D$66*(8*$DV117)+'LINEST VARS'!$C$66*($DZ$104*0.5)+'LINEST VARS'!$B$66*($DZ$104*$DV117)+'LINEST VARS'!$A$66*(0.5*$DV117)</f>
        <v>141.60000000000008</v>
      </c>
      <c r="EA117" s="46">
        <f>'LINEST VARS'!$U$66+'LINEST VARS'!$T$66*(8)+'LINEST VARS'!$S$66*(8)+'LINEST VARS'!$R$66*($EA$104)+'LINEST VARS'!$Q$66*(0.5)+'LINEST VARS'!$P$66*($DV117)+'LINEST VARS'!$O$66*(8^2)+'LINEST VARS'!$N$66*(8^2)+'LINEST VARS'!$M$66*($EA$104^2)+'LINEST VARS'!$L$66*(0.5^2)+'LINEST VARS'!$K$66*($DV117^2)+'LINEST VARS'!$J$66*(8*8)+'LINEST VARS'!$I$66*(8*$EA$104)+'LINEST VARS'!$H$66*(8*0.5)+'LINEST VARS'!$G$66*(8*$DV117)+'LINEST VARS'!$F$66*(8*$EA$104)+'LINEST VARS'!$E$66*(8*0.5)+'LINEST VARS'!$D$66*(8*$DV117)+'LINEST VARS'!$C$66*($EA$104*0.5)+'LINEST VARS'!$B$66*($EA$104*$DV117)+'LINEST VARS'!$A$66*(0.5*$DV117)</f>
        <v>140.80000000000007</v>
      </c>
      <c r="EB117" s="46">
        <f>'LINEST VARS'!$U$66+'LINEST VARS'!$T$66*(8)+'LINEST VARS'!$S$66*(8)+'LINEST VARS'!$R$66*($EB$104)+'LINEST VARS'!$Q$66*(0.5)+'LINEST VARS'!$P$66*($DV117)+'LINEST VARS'!$O$66*(8^2)+'LINEST VARS'!$N$66*(8^2)+'LINEST VARS'!$M$66*($EB$104^2)+'LINEST VARS'!$L$66*(0.5^2)+'LINEST VARS'!$K$66*($DV117^2)+'LINEST VARS'!$J$66*(8*8)+'LINEST VARS'!$I$66*(8*$EB$104)+'LINEST VARS'!$H$66*(8*0.5)+'LINEST VARS'!$G$66*(8*$DV117)+'LINEST VARS'!$F$66*(8*$EB$104)+'LINEST VARS'!$E$66*(8*0.5)+'LINEST VARS'!$D$66*(8*$DV117)+'LINEST VARS'!$C$66*($EB$104*0.5)+'LINEST VARS'!$B$66*($EB$104*$DV117)+'LINEST VARS'!$A$66*(0.5*$DV117)</f>
        <v>140.00000000000009</v>
      </c>
      <c r="EC117" s="46">
        <f>'LINEST VARS'!$U$66+'LINEST VARS'!$T$66*(8)+'LINEST VARS'!$S$66*(8)+'LINEST VARS'!$R$66*($EC$104)+'LINEST VARS'!$Q$66*(0.5)+'LINEST VARS'!$P$66*($DV117)+'LINEST VARS'!$O$66*(8^2)+'LINEST VARS'!$N$66*(8^2)+'LINEST VARS'!$M$66*($EC$104^2)+'LINEST VARS'!$L$66*(0.5^2)+'LINEST VARS'!$K$66*($DV117^2)+'LINEST VARS'!$J$66*(8*8)+'LINEST VARS'!$I$66*(8*$EC$104)+'LINEST VARS'!$H$66*(8*0.5)+'LINEST VARS'!$G$66*(8*$DV117)+'LINEST VARS'!$F$66*(8*$EC$104)+'LINEST VARS'!$E$66*(8*0.5)+'LINEST VARS'!$D$66*(8*$DV117)+'LINEST VARS'!$C$66*($EC$104*0.5)+'LINEST VARS'!$B$66*($EC$104*$DV117)+'LINEST VARS'!$A$66*(0.5*$DV117)</f>
        <v>139.20000000000007</v>
      </c>
      <c r="ED117" s="46">
        <f>'LINEST VARS'!$U$66+'LINEST VARS'!$T$66*(8)+'LINEST VARS'!$S$66*(8)+'LINEST VARS'!$R$66*($ED$104)+'LINEST VARS'!$Q$66*(0.5)+'LINEST VARS'!$P$66*($DV117)+'LINEST VARS'!$O$66*(8^2)+'LINEST VARS'!$N$66*(8^2)+'LINEST VARS'!$M$66*($ED$104^2)+'LINEST VARS'!$L$66*(0.5^2)+'LINEST VARS'!$K$66*($DV117^2)+'LINEST VARS'!$J$66*(8*8)+'LINEST VARS'!$I$66*(8*$ED$104)+'LINEST VARS'!$H$66*(8*0.5)+'LINEST VARS'!$G$66*(8*$DV117)+'LINEST VARS'!$F$66*(8*$ED$104)+'LINEST VARS'!$E$66*(8*0.5)+'LINEST VARS'!$D$66*(8*$DV117)+'LINEST VARS'!$C$66*($ED$104*0.5)+'LINEST VARS'!$B$66*($ED$104*$DV117)+'LINEST VARS'!$A$66*(0.5*$DV117)</f>
        <v>138.40000000000009</v>
      </c>
      <c r="EE117" s="46">
        <f>'LINEST VARS'!$U$66+'LINEST VARS'!$T$66*(8)+'LINEST VARS'!$S$66*(8)+'LINEST VARS'!$R$66*($EE$104)+'LINEST VARS'!$Q$66*(0.5)+'LINEST VARS'!$P$66*($DV117)+'LINEST VARS'!$O$66*(8^2)+'LINEST VARS'!$N$66*(8^2)+'LINEST VARS'!$M$66*($EE$104^2)+'LINEST VARS'!$L$66*(0.5^2)+'LINEST VARS'!$K$66*($DV117^2)+'LINEST VARS'!$J$66*(8*8)+'LINEST VARS'!$I$66*(8*$EE$104)+'LINEST VARS'!$H$66*(8*0.5)+'LINEST VARS'!$G$66*(8*$DV117)+'LINEST VARS'!$F$66*(8*$EE$104)+'LINEST VARS'!$E$66*(8*0.5)+'LINEST VARS'!$D$66*(8*$DV117)+'LINEST VARS'!$C$66*($EE$104*0.5)+'LINEST VARS'!$B$66*($EE$104*$DV117)+'LINEST VARS'!$A$66*(0.5*$DV117)</f>
        <v>137.60000000000008</v>
      </c>
      <c r="EF117" s="46">
        <f>'LINEST VARS'!$U$66+'LINEST VARS'!$T$66*(8)+'LINEST VARS'!$S$66*(8)+'LINEST VARS'!$R$66*($EF$104)+'LINEST VARS'!$Q$66*(0.5)+'LINEST VARS'!$P$66*($DV117)+'LINEST VARS'!$O$66*(8^2)+'LINEST VARS'!$N$66*(8^2)+'LINEST VARS'!$M$66*($EF$104^2)+'LINEST VARS'!$L$66*(0.5^2)+'LINEST VARS'!$K$66*($DV117^2)+'LINEST VARS'!$J$66*(8*8)+'LINEST VARS'!$I$66*(8*$EF$104)+'LINEST VARS'!$H$66*(8*0.5)+'LINEST VARS'!$G$66*(8*$DV117)+'LINEST VARS'!$F$66*(8*$EF$104)+'LINEST VARS'!$E$66*(8*0.5)+'LINEST VARS'!$D$66*(8*$DV117)+'LINEST VARS'!$C$66*($EF$104*0.5)+'LINEST VARS'!$B$66*($EF$104*$DV117)+'LINEST VARS'!$A$66*(0.5*$DV117)</f>
        <v>136.80000000000007</v>
      </c>
      <c r="EG117" s="46">
        <f>'LINEST VARS'!$U$66+'LINEST VARS'!$T$66*(8)+'LINEST VARS'!$S$66*(8)+'LINEST VARS'!$R$66*($EG$104)+'LINEST VARS'!$Q$66*(0.5)+'LINEST VARS'!$P$66*($DV117)+'LINEST VARS'!$O$66*(8^2)+'LINEST VARS'!$N$66*(8^2)+'LINEST VARS'!$M$66*($EG$104^2)+'LINEST VARS'!$L$66*(0.5^2)+'LINEST VARS'!$K$66*($DV117^2)+'LINEST VARS'!$J$66*(8*8)+'LINEST VARS'!$I$66*(8*$EG$104)+'LINEST VARS'!$H$66*(8*0.5)+'LINEST VARS'!$G$66*(8*$DV117)+'LINEST VARS'!$F$66*(8*$EG$104)+'LINEST VARS'!$E$66*(8*0.5)+'LINEST VARS'!$D$66*(8*$DV117)+'LINEST VARS'!$C$66*($EG$104*0.5)+'LINEST VARS'!$B$66*($EG$104*$DV117)+'LINEST VARS'!$A$66*(0.5*$DV117)</f>
        <v>136.00000000000006</v>
      </c>
      <c r="EH117" s="46">
        <f>'LINEST VARS'!$U$66+'LINEST VARS'!$T$66*(8)+'LINEST VARS'!$S$66*(8)+'LINEST VARS'!$R$66*($EH$104)+'LINEST VARS'!$Q$66*(0.5)+'LINEST VARS'!$P$66*($DV117)+'LINEST VARS'!$O$66*(8^2)+'LINEST VARS'!$N$66*(8^2)+'LINEST VARS'!$M$66*($EH$104^2)+'LINEST VARS'!$L$66*(0.5^2)+'LINEST VARS'!$K$66*($DV117^2)+'LINEST VARS'!$J$66*(8*8)+'LINEST VARS'!$I$66*(8*$EH$104)+'LINEST VARS'!$H$66*(8*0.5)+'LINEST VARS'!$G$66*(8*$DV117)+'LINEST VARS'!$F$66*(8*$EH$104)+'LINEST VARS'!$E$66*(8*0.5)+'LINEST VARS'!$D$66*(8*$DV117)+'LINEST VARS'!$C$66*($EH$104*0.5)+'LINEST VARS'!$B$66*($EH$104*$DV117)+'LINEST VARS'!$A$66*(0.5*$DV117)</f>
        <v>135.20000000000005</v>
      </c>
      <c r="EI117" s="46">
        <f>'LINEST VARS'!$U$66+'LINEST VARS'!$T$66*(8)+'LINEST VARS'!$S$66*(8)+'LINEST VARS'!$R$66*($EI$104)+'LINEST VARS'!$Q$66*(0.5)+'LINEST VARS'!$P$66*($DV117)+'LINEST VARS'!$O$66*(8^2)+'LINEST VARS'!$N$66*(8^2)+'LINEST VARS'!$M$66*($EI$104^2)+'LINEST VARS'!$L$66*(0.5^2)+'LINEST VARS'!$K$66*($DV117^2)+'LINEST VARS'!$J$66*(8*8)+'LINEST VARS'!$I$66*(8*$EI$104)+'LINEST VARS'!$H$66*(8*0.5)+'LINEST VARS'!$G$66*(8*$DV117)+'LINEST VARS'!$F$66*(8*$EI$104)+'LINEST VARS'!$E$66*(8*0.5)+'LINEST VARS'!$D$66*(8*$DV117)+'LINEST VARS'!$C$66*($EI$104*0.5)+'LINEST VARS'!$B$66*($EI$104*$DV117)+'LINEST VARS'!$A$66*(0.5*$DV117)</f>
        <v>134.40000000000003</v>
      </c>
      <c r="EJ117" s="46">
        <f>'LINEST VARS'!$U$66+'LINEST VARS'!$T$66*(8)+'LINEST VARS'!$S$66*(8)+'LINEST VARS'!$R$66*($EJ$104)+'LINEST VARS'!$Q$66*(0.5)+'LINEST VARS'!$P$66*($DV117)+'LINEST VARS'!$O$66*(8^2)+'LINEST VARS'!$N$66*(8^2)+'LINEST VARS'!$M$66*($EJ$104^2)+'LINEST VARS'!$L$66*(0.5^2)+'LINEST VARS'!$K$66*($DV117^2)+'LINEST VARS'!$J$66*(8*8)+'LINEST VARS'!$I$66*(8*$EJ$104)+'LINEST VARS'!$H$66*(8*0.5)+'LINEST VARS'!$G$66*(8*$DV117)+'LINEST VARS'!$F$66*(8*$EJ$104)+'LINEST VARS'!$E$66*(8*0.5)+'LINEST VARS'!$D$66*(8*$DV117)+'LINEST VARS'!$C$66*($EJ$104*0.5)+'LINEST VARS'!$B$66*($EJ$104*$DV117)+'LINEST VARS'!$A$66*(0.5*$DV117)</f>
        <v>133.60000000000005</v>
      </c>
      <c r="EK117" s="46">
        <f>'LINEST VARS'!$U$66+'LINEST VARS'!$T$66*(8)+'LINEST VARS'!$S$66*(8)+'LINEST VARS'!$R$66*($EK$104)+'LINEST VARS'!$Q$66*(0.5)+'LINEST VARS'!$P$66*($DV117)+'LINEST VARS'!$O$66*(8^2)+'LINEST VARS'!$N$66*(8^2)+'LINEST VARS'!$M$66*($EK$104^2)+'LINEST VARS'!$L$66*(0.5^2)+'LINEST VARS'!$K$66*($DV117^2)+'LINEST VARS'!$J$66*(8*8)+'LINEST VARS'!$I$66*(8*$EK$104)+'LINEST VARS'!$H$66*(8*0.5)+'LINEST VARS'!$G$66*(8*$DV117)+'LINEST VARS'!$F$66*(8*$EK$104)+'LINEST VARS'!$E$66*(8*0.5)+'LINEST VARS'!$D$66*(8*$DV117)+'LINEST VARS'!$C$66*($EK$104*0.5)+'LINEST VARS'!$B$66*($EK$104*$DV117)+'LINEST VARS'!$A$66*(0.5*$DV117)</f>
        <v>132.80000000000004</v>
      </c>
      <c r="EL117" s="46">
        <f>'LINEST VARS'!$U$66+'LINEST VARS'!$T$66*(8)+'LINEST VARS'!$S$66*(8)+'LINEST VARS'!$R$66*($EL$104)+'LINEST VARS'!$Q$66*(0.5)+'LINEST VARS'!$P$66*($DV117)+'LINEST VARS'!$O$66*(8^2)+'LINEST VARS'!$N$66*(8^2)+'LINEST VARS'!$M$66*($EL$104^2)+'LINEST VARS'!$L$66*(0.5^2)+'LINEST VARS'!$K$66*($DV117^2)+'LINEST VARS'!$J$66*(8*8)+'LINEST VARS'!$I$66*(8*$EL$104)+'LINEST VARS'!$H$66*(8*0.5)+'LINEST VARS'!$G$66*(8*$DV117)+'LINEST VARS'!$F$66*(8*$EL$104)+'LINEST VARS'!$E$66*(8*0.5)+'LINEST VARS'!$D$66*(8*$DV117)+'LINEST VARS'!$C$66*($EL$104*0.5)+'LINEST VARS'!$B$66*($EL$104*$DV117)+'LINEST VARS'!$A$66*(0.5*$DV117)</f>
        <v>132.00000000000006</v>
      </c>
      <c r="EM117" s="46">
        <f>'LINEST VARS'!$U$66+'LINEST VARS'!$T$66*(8)+'LINEST VARS'!$S$66*(8)+'LINEST VARS'!$R$66*($EM$104)+'LINEST VARS'!$Q$66*(0.5)+'LINEST VARS'!$P$66*($DV117)+'LINEST VARS'!$O$66*(8^2)+'LINEST VARS'!$N$66*(8^2)+'LINEST VARS'!$M$66*($EM$104^2)+'LINEST VARS'!$L$66*(0.5^2)+'LINEST VARS'!$K$66*($DV117^2)+'LINEST VARS'!$J$66*(8*8)+'LINEST VARS'!$I$66*(8*$EM$104)+'LINEST VARS'!$H$66*(8*0.5)+'LINEST VARS'!$G$66*(8*$DV117)+'LINEST VARS'!$F$66*(8*$EM$104)+'LINEST VARS'!$E$66*(8*0.5)+'LINEST VARS'!$D$66*(8*$DV117)+'LINEST VARS'!$C$66*($EM$104*0.5)+'LINEST VARS'!$B$66*($EM$104*$DV117)+'LINEST VARS'!$A$66*(0.5*$DV117)</f>
        <v>131.20000000000005</v>
      </c>
      <c r="EN117" s="46">
        <f>'LINEST VARS'!$U$66+'LINEST VARS'!$T$66*(8)+'LINEST VARS'!$S$66*(8)+'LINEST VARS'!$R$66*($EN$104)+'LINEST VARS'!$Q$66*(0.5)+'LINEST VARS'!$P$66*($DV117)+'LINEST VARS'!$O$66*(8^2)+'LINEST VARS'!$N$66*(8^2)+'LINEST VARS'!$M$66*($EN$104^2)+'LINEST VARS'!$L$66*(0.5^2)+'LINEST VARS'!$K$66*($DV117^2)+'LINEST VARS'!$J$66*(8*8)+'LINEST VARS'!$I$66*(8*$EN$104)+'LINEST VARS'!$H$66*(8*0.5)+'LINEST VARS'!$G$66*(8*$DV117)+'LINEST VARS'!$F$66*(8*$EN$104)+'LINEST VARS'!$E$66*(8*0.5)+'LINEST VARS'!$D$66*(8*$DV117)+'LINEST VARS'!$C$66*($EN$104*0.5)+'LINEST VARS'!$B$66*($EN$104*$DV117)+'LINEST VARS'!$A$66*(0.5*$DV117)</f>
        <v>130.40000000000009</v>
      </c>
      <c r="EO117" s="46">
        <f>'LINEST VARS'!$U$66+'LINEST VARS'!$T$66*(8)+'LINEST VARS'!$S$66*(8)+'LINEST VARS'!$R$66*($EO$104)+'LINEST VARS'!$Q$66*(0.5)+'LINEST VARS'!$P$66*($DV117)+'LINEST VARS'!$O$66*(8^2)+'LINEST VARS'!$N$66*(8^2)+'LINEST VARS'!$M$66*($EO$104^2)+'LINEST VARS'!$L$66*(0.5^2)+'LINEST VARS'!$K$66*($DV117^2)+'LINEST VARS'!$J$66*(8*8)+'LINEST VARS'!$I$66*(8*$EO$104)+'LINEST VARS'!$H$66*(8*0.5)+'LINEST VARS'!$G$66*(8*$DV117)+'LINEST VARS'!$F$66*(8*$EO$104)+'LINEST VARS'!$E$66*(8*0.5)+'LINEST VARS'!$D$66*(8*$DV117)+'LINEST VARS'!$C$66*($EO$104*0.5)+'LINEST VARS'!$B$66*($EO$104*$DV117)+'LINEST VARS'!$A$66*(0.5*$DV117)</f>
        <v>129.60000000000008</v>
      </c>
      <c r="EP117" s="46">
        <f>'LINEST VARS'!$U$66+'LINEST VARS'!$T$66*(8)+'LINEST VARS'!$S$66*(8)+'LINEST VARS'!$R$66*($EP$104)+'LINEST VARS'!$Q$66*(0.5)+'LINEST VARS'!$P$66*($DV117)+'LINEST VARS'!$O$66*(8^2)+'LINEST VARS'!$N$66*(8^2)+'LINEST VARS'!$M$66*($EP$104^2)+'LINEST VARS'!$L$66*(0.5^2)+'LINEST VARS'!$K$66*($DV117^2)+'LINEST VARS'!$J$66*(8*8)+'LINEST VARS'!$I$66*(8*$EP$104)+'LINEST VARS'!$H$66*(8*0.5)+'LINEST VARS'!$G$66*(8*$DV117)+'LINEST VARS'!$F$66*(8*$EP$104)+'LINEST VARS'!$E$66*(8*0.5)+'LINEST VARS'!$D$66*(8*$DV117)+'LINEST VARS'!$C$66*($EP$104*0.5)+'LINEST VARS'!$B$66*($EP$104*$DV117)+'LINEST VARS'!$A$66*(0.5*$DV117)</f>
        <v>128.8000000000001</v>
      </c>
      <c r="EQ117" s="47">
        <f>'LINEST VARS'!$U$66+'LINEST VARS'!$T$66*(8)+'LINEST VARS'!$S$66*(8)+'LINEST VARS'!$R$66*($EQ$104)+'LINEST VARS'!$Q$66*(0.5)+'LINEST VARS'!$P$66*($DV117)+'LINEST VARS'!$O$66*(8^2)+'LINEST VARS'!$N$66*(8^2)+'LINEST VARS'!$M$66*($EQ$104^2)+'LINEST VARS'!$L$66*(0.5^2)+'LINEST VARS'!$K$66*($DV117^2)+'LINEST VARS'!$J$66*(8*8)+'LINEST VARS'!$I$66*(8*$EQ$104)+'LINEST VARS'!$H$66*(8*0.5)+'LINEST VARS'!$G$66*(8*$DV117)+'LINEST VARS'!$F$66*(8*$EQ$104)+'LINEST VARS'!$E$66*(8*0.5)+'LINEST VARS'!$D$66*(8*$DV117)+'LINEST VARS'!$C$66*($EQ$104*0.5)+'LINEST VARS'!$B$66*($EQ$104*$DV117)+'LINEST VARS'!$A$66*(0.5*$DV117)</f>
        <v>128.00000000000009</v>
      </c>
    </row>
    <row r="118" spans="2:147" ht="15" customHeight="1" x14ac:dyDescent="0.25">
      <c r="B118" s="45">
        <v>8.18</v>
      </c>
      <c r="C118" s="55">
        <f>'LINEST VARS'!$U$64+'LINEST VARS'!$T$64*($C$104)+'LINEST VARS'!$S$64*($B118)+'LINEST VARS'!$R$64*(4)+'LINEST VARS'!$Q$64*(0.5)+'LINEST VARS'!$P$64*(12.73)+'LINEST VARS'!$O$64*($C$104^2)+'LINEST VARS'!$N$64*($B118^2)+'LINEST VARS'!$M$64*(4^2)+'LINEST VARS'!$L$64*(0.5^2)+'LINEST VARS'!$K$64*(12.73^2)+'LINEST VARS'!$J$64*($C$104*$B118)+'LINEST VARS'!$I$64*($C$104*4)+'LINEST VARS'!$H$64*($C$104*0.5)+'LINEST VARS'!$G$64*($C$104*12.73)+'LINEST VARS'!$F$64*($B118*4)+'LINEST VARS'!$E$64*($B118*0.5)+'LINEST VARS'!$D$64*($B118*12.73)+'LINEST VARS'!$C$64*(4*0.5)+'LINEST VARS'!$B$64*(4*12.73)+'LINEST VARS'!$A$64*(0.5*12.73)</f>
        <v>164.18999999999988</v>
      </c>
      <c r="D118" s="55">
        <f>'LINEST VARS'!$U$64+'LINEST VARS'!$T$64*($D$104)+'LINEST VARS'!$S$64*($B118)+'LINEST VARS'!$R$64*(4)+'LINEST VARS'!$Q$64*(0.5)+'LINEST VARS'!$P$64*(12.73)+'LINEST VARS'!$O$64*($D$104^2)+'LINEST VARS'!$N$64*($B118^2)+'LINEST VARS'!$M$64*(4^2)+'LINEST VARS'!$L$64*(0.5^2)+'LINEST VARS'!$K$64*(12.73^2)+'LINEST VARS'!$J$64*($D$104*$B118)+'LINEST VARS'!$I$64*($D$104*4)+'LINEST VARS'!$H$64*($D$104*0.5)+'LINEST VARS'!$G$64*($D$104*12.73)+'LINEST VARS'!$F$64*($B118*4)+'LINEST VARS'!$E$64*($B118*0.5)+'LINEST VARS'!$D$64*($B118*12.73)+'LINEST VARS'!$C$64*(4*0.5)+'LINEST VARS'!$B$64*(4*12.73)+'LINEST VARS'!$A$64*(0.5*12.73)</f>
        <v>164.18999999999988</v>
      </c>
      <c r="E118" s="55">
        <f>'LINEST VARS'!$U$64+'LINEST VARS'!$T$64*($E$104)+'LINEST VARS'!$S$64*($B118)+'LINEST VARS'!$R$64*(4)+'LINEST VARS'!$Q$64*(0.5)+'LINEST VARS'!$P$64*(12.73)+'LINEST VARS'!$O$64*($E$104^2)+'LINEST VARS'!$N$64*($B118^2)+'LINEST VARS'!$M$64*(4^2)+'LINEST VARS'!$L$64*(0.5^2)+'LINEST VARS'!$K$64*(12.73^2)+'LINEST VARS'!$J$64*($E$104*$B118)+'LINEST VARS'!$I$64*($E$104*4)+'LINEST VARS'!$H$64*($E$104*0.5)+'LINEST VARS'!$G$64*($E$104*12.73)+'LINEST VARS'!$F$64*($B118*4)+'LINEST VARS'!$E$64*($B118*0.5)+'LINEST VARS'!$D$64*($B118*12.73)+'LINEST VARS'!$C$64*(4*0.5)+'LINEST VARS'!$B$64*(4*12.73)+'LINEST VARS'!$A$64*(0.5*12.73)</f>
        <v>164.18999999999988</v>
      </c>
      <c r="F118" s="55">
        <f>'LINEST VARS'!$U$64+'LINEST VARS'!$T$64*($F$104)+'LINEST VARS'!$S$64*($B118)+'LINEST VARS'!$R$64*(4)+'LINEST VARS'!$Q$64*(0.5)+'LINEST VARS'!$P$64*(12.73)+'LINEST VARS'!$O$64*($F$104^2)+'LINEST VARS'!$N$64*($B118^2)+'LINEST VARS'!$M$64*(4^2)+'LINEST VARS'!$L$64*(0.5^2)+'LINEST VARS'!$K$64*(12.73^2)+'LINEST VARS'!$J$64*($F$104*$B118)+'LINEST VARS'!$I$64*($F$104*4)+'LINEST VARS'!$H$64*($F$104*0.5)+'LINEST VARS'!$G$64*($F$104*12.73)+'LINEST VARS'!$F$64*($B118*4)+'LINEST VARS'!$E$64*($B118*0.5)+'LINEST VARS'!$D$64*($B118*12.73)+'LINEST VARS'!$C$64*(4*0.5)+'LINEST VARS'!$B$64*(4*12.73)+'LINEST VARS'!$A$64*(0.5*12.73)</f>
        <v>164.18999999999988</v>
      </c>
      <c r="G118" s="55">
        <f>'LINEST VARS'!$U$64+'LINEST VARS'!$T$64*($G$104)+'LINEST VARS'!$S$64*($B118)+'LINEST VARS'!$R$64*(4)+'LINEST VARS'!$Q$64*(0.5)+'LINEST VARS'!$P$64*(12.73)+'LINEST VARS'!$O$64*($G$104^2)+'LINEST VARS'!$N$64*($B118^2)+'LINEST VARS'!$M$64*(4^2)+'LINEST VARS'!$L$64*(0.5^2)+'LINEST VARS'!$K$64*(12.73^2)+'LINEST VARS'!$J$64*($G$104*$B118)+'LINEST VARS'!$I$64*($G$104*4)+'LINEST VARS'!$H$64*($G$104*0.5)+'LINEST VARS'!$G$64*($G$104*12.73)+'LINEST VARS'!$F$64*($B118*4)+'LINEST VARS'!$E$64*($B118*0.5)+'LINEST VARS'!$D$64*($B118*12.73)+'LINEST VARS'!$C$64*(4*0.5)+'LINEST VARS'!$B$64*(4*12.73)+'LINEST VARS'!$A$64*(0.5*12.73)</f>
        <v>164.18999999999991</v>
      </c>
      <c r="H118" s="55">
        <f>'LINEST VARS'!$U$64+'LINEST VARS'!$T$64*($H$104)+'LINEST VARS'!$S$64*($B118)+'LINEST VARS'!$R$64*(4)+'LINEST VARS'!$Q$64*(0.5)+'LINEST VARS'!$P$64*(12.73)+'LINEST VARS'!$O$64*($H$104^2)+'LINEST VARS'!$N$64*($B118^2)+'LINEST VARS'!$M$64*(4^2)+'LINEST VARS'!$L$64*(0.5^2)+'LINEST VARS'!$K$64*(12.73^2)+'LINEST VARS'!$J$64*($H$104*$B118)+'LINEST VARS'!$I$64*($H$104*4)+'LINEST VARS'!$H$64*($H$104*0.5)+'LINEST VARS'!$G$64*($H$104*12.73)+'LINEST VARS'!$F$64*($B118*4)+'LINEST VARS'!$E$64*($B118*0.5)+'LINEST VARS'!$D$64*($B118*12.73)+'LINEST VARS'!$C$64*(4*0.5)+'LINEST VARS'!$B$64*(4*12.73)+'LINEST VARS'!$A$64*(0.5*12.73)</f>
        <v>164.18999999999991</v>
      </c>
      <c r="I118" s="55">
        <f>'LINEST VARS'!$U$64+'LINEST VARS'!$T$64*($I$104)+'LINEST VARS'!$S$64*($B118)+'LINEST VARS'!$R$64*(4)+'LINEST VARS'!$Q$64*(0.5)+'LINEST VARS'!$P$64*(12.73)+'LINEST VARS'!$O$64*($I$104^2)+'LINEST VARS'!$N$64*($B118^2)+'LINEST VARS'!$M$64*(4^2)+'LINEST VARS'!$L$64*(0.5^2)+'LINEST VARS'!$K$64*(12.73^2)+'LINEST VARS'!$J$64*($I$104*$B118)+'LINEST VARS'!$I$64*($I$104*4)+'LINEST VARS'!$H$64*($I$104*0.5)+'LINEST VARS'!$G$64*($I$104*12.73)+'LINEST VARS'!$F$64*($B118*4)+'LINEST VARS'!$E$64*($B118*0.5)+'LINEST VARS'!$D$64*($B118*12.73)+'LINEST VARS'!$C$64*(4*0.5)+'LINEST VARS'!$B$64*(4*12.73)+'LINEST VARS'!$A$64*(0.5*12.73)</f>
        <v>164.18999999999988</v>
      </c>
      <c r="J118" s="55">
        <f>'LINEST VARS'!$U$64+'LINEST VARS'!$T$64*($J$104)+'LINEST VARS'!$S$64*($B118)+'LINEST VARS'!$R$64*(4)+'LINEST VARS'!$Q$64*(0.5)+'LINEST VARS'!$P$64*(12.73)+'LINEST VARS'!$O$64*($J$104^2)+'LINEST VARS'!$N$64*($B118^2)+'LINEST VARS'!$M$64*(4^2)+'LINEST VARS'!$L$64*(0.5^2)+'LINEST VARS'!$K$64*(12.73^2)+'LINEST VARS'!$J$64*($J$104*$B118)+'LINEST VARS'!$I$64*($J$104*4)+'LINEST VARS'!$H$64*($J$104*0.5)+'LINEST VARS'!$G$64*($J$104*12.73)+'LINEST VARS'!$F$64*($B118*4)+'LINEST VARS'!$E$64*($B118*0.5)+'LINEST VARS'!$D$64*($B118*12.73)+'LINEST VARS'!$C$64*(4*0.5)+'LINEST VARS'!$B$64*(4*12.73)+'LINEST VARS'!$A$64*(0.5*12.73)</f>
        <v>164.18999999999988</v>
      </c>
      <c r="K118" s="55">
        <f>'LINEST VARS'!$U$64+'LINEST VARS'!$T$64*($K$104)+'LINEST VARS'!$S$64*($B118)+'LINEST VARS'!$R$64*(4)+'LINEST VARS'!$Q$64*(0.5)+'LINEST VARS'!$P$64*(12.73)+'LINEST VARS'!$O$64*($K$104^2)+'LINEST VARS'!$N$64*($B118^2)+'LINEST VARS'!$M$64*(4^2)+'LINEST VARS'!$L$64*(0.5^2)+'LINEST VARS'!$K$64*(12.73^2)+'LINEST VARS'!$J$64*($K$104*$B118)+'LINEST VARS'!$I$64*($K$104*4)+'LINEST VARS'!$H$64*($K$104*0.5)+'LINEST VARS'!$G$64*($K$104*12.73)+'LINEST VARS'!$F$64*($B118*4)+'LINEST VARS'!$E$64*($B118*0.5)+'LINEST VARS'!$D$64*($B118*12.73)+'LINEST VARS'!$C$64*(4*0.5)+'LINEST VARS'!$B$64*(4*12.73)+'LINEST VARS'!$A$64*(0.5*12.73)</f>
        <v>164.18999999999988</v>
      </c>
      <c r="L118" s="55">
        <f>'LINEST VARS'!$U$64+'LINEST VARS'!$T$64*($L$104)+'LINEST VARS'!$S$64*($B118)+'LINEST VARS'!$R$64*(4)+'LINEST VARS'!$Q$64*(0.5)+'LINEST VARS'!$P$64*(12.73)+'LINEST VARS'!$O$64*($L$104^2)+'LINEST VARS'!$N$64*($B118^2)+'LINEST VARS'!$M$64*(4^2)+'LINEST VARS'!$L$64*(0.5^2)+'LINEST VARS'!$K$64*(12.73^2)+'LINEST VARS'!$J$64*($L$104*$B118)+'LINEST VARS'!$I$64*($L$104*4)+'LINEST VARS'!$H$64*($L$104*0.5)+'LINEST VARS'!$G$64*($L$104*12.73)+'LINEST VARS'!$F$64*($B118*4)+'LINEST VARS'!$E$64*($B118*0.5)+'LINEST VARS'!$D$64*($B118*12.73)+'LINEST VARS'!$C$64*(4*0.5)+'LINEST VARS'!$B$64*(4*12.73)+'LINEST VARS'!$A$64*(0.5*12.73)</f>
        <v>164.18999999999988</v>
      </c>
      <c r="M118" s="55">
        <f>'LINEST VARS'!$U$64+'LINEST VARS'!$T$64*($M$104)+'LINEST VARS'!$S$64*($B118)+'LINEST VARS'!$R$64*(4)+'LINEST VARS'!$Q$64*(0.5)+'LINEST VARS'!$P$64*(12.73)+'LINEST VARS'!$O$64*($M$104^2)+'LINEST VARS'!$N$64*($B118^2)+'LINEST VARS'!$M$64*(4^2)+'LINEST VARS'!$L$64*(0.5^2)+'LINEST VARS'!$K$64*(12.73^2)+'LINEST VARS'!$J$64*($M$104*$B118)+'LINEST VARS'!$I$64*($M$104*4)+'LINEST VARS'!$H$64*($M$104*0.5)+'LINEST VARS'!$G$64*($M$104*12.73)+'LINEST VARS'!$F$64*($B118*4)+'LINEST VARS'!$E$64*($B118*0.5)+'LINEST VARS'!$D$64*($B118*12.73)+'LINEST VARS'!$C$64*(4*0.5)+'LINEST VARS'!$B$64*(4*12.73)+'LINEST VARS'!$A$64*(0.5*12.73)</f>
        <v>164.18999999999988</v>
      </c>
      <c r="N118" s="55">
        <f>'LINEST VARS'!$U$64+'LINEST VARS'!$T$64*($N$104)+'LINEST VARS'!$S$64*($B118)+'LINEST VARS'!$R$64*(4)+'LINEST VARS'!$Q$64*(0.5)+'LINEST VARS'!$P$64*(12.73)+'LINEST VARS'!$O$64*($N$104^2)+'LINEST VARS'!$N$64*($B118^2)+'LINEST VARS'!$M$64*(4^2)+'LINEST VARS'!$L$64*(0.5^2)+'LINEST VARS'!$K$64*(12.73^2)+'LINEST VARS'!$J$64*($N$104*$B118)+'LINEST VARS'!$I$64*($N$104*4)+'LINEST VARS'!$H$64*($N$104*0.5)+'LINEST VARS'!$G$64*($N$104*12.73)+'LINEST VARS'!$F$64*($B118*4)+'LINEST VARS'!$E$64*($B118*0.5)+'LINEST VARS'!$D$64*($B118*12.73)+'LINEST VARS'!$C$64*(4*0.5)+'LINEST VARS'!$B$64*(4*12.73)+'LINEST VARS'!$A$64*(0.5*12.73)</f>
        <v>164.18999999999988</v>
      </c>
      <c r="O118" s="55">
        <f>'LINEST VARS'!$U$64+'LINEST VARS'!$T$64*($O$104)+'LINEST VARS'!$S$64*($B118)+'LINEST VARS'!$R$64*(4)+'LINEST VARS'!$Q$64*(0.5)+'LINEST VARS'!$P$64*(12.73)+'LINEST VARS'!$O$64*($O$104^2)+'LINEST VARS'!$N$64*($B118^2)+'LINEST VARS'!$M$64*(4^2)+'LINEST VARS'!$L$64*(0.5^2)+'LINEST VARS'!$K$64*(12.73^2)+'LINEST VARS'!$J$64*($O$104*$B118)+'LINEST VARS'!$I$64*($O$104*4)+'LINEST VARS'!$H$64*($O$104*0.5)+'LINEST VARS'!$G$64*($O$104*12.73)+'LINEST VARS'!$F$64*($B118*4)+'LINEST VARS'!$E$64*($B118*0.5)+'LINEST VARS'!$D$64*($B118*12.73)+'LINEST VARS'!$C$64*(4*0.5)+'LINEST VARS'!$B$64*(4*12.73)+'LINEST VARS'!$A$64*(0.5*12.73)</f>
        <v>164.18999999999988</v>
      </c>
      <c r="P118" s="55">
        <f>'LINEST VARS'!$U$64+'LINEST VARS'!$T$64*($P$104)+'LINEST VARS'!$S$64*($B118)+'LINEST VARS'!$R$64*(4)+'LINEST VARS'!$Q$64*(0.5)+'LINEST VARS'!$P$64*(12.73)+'LINEST VARS'!$O$64*($P$104^2)+'LINEST VARS'!$N$64*($B118^2)+'LINEST VARS'!$M$64*(4^2)+'LINEST VARS'!$L$64*(0.5^2)+'LINEST VARS'!$K$64*(12.73^2)+'LINEST VARS'!$J$64*($P$104*$B118)+'LINEST VARS'!$I$64*($P$104*4)+'LINEST VARS'!$H$64*($P$104*0.5)+'LINEST VARS'!$G$64*($P$104*12.73)+'LINEST VARS'!$F$64*($B118*4)+'LINEST VARS'!$E$64*($B118*0.5)+'LINEST VARS'!$D$64*($B118*12.73)+'LINEST VARS'!$C$64*(4*0.5)+'LINEST VARS'!$B$64*(4*12.73)+'LINEST VARS'!$A$64*(0.5*12.73)</f>
        <v>164.18999999999991</v>
      </c>
      <c r="Q118" s="55">
        <f>'LINEST VARS'!$U$64+'LINEST VARS'!$T$64*($Q$104)+'LINEST VARS'!$S$64*($B118)+'LINEST VARS'!$R$64*(4)+'LINEST VARS'!$Q$64*(0.5)+'LINEST VARS'!$P$64*(12.73)+'LINEST VARS'!$O$64*($Q$104^2)+'LINEST VARS'!$N$64*($B118^2)+'LINEST VARS'!$M$64*(4^2)+'LINEST VARS'!$L$64*(0.5^2)+'LINEST VARS'!$K$64*(12.73^2)+'LINEST VARS'!$J$64*($Q$104*$B118)+'LINEST VARS'!$I$64*($Q$104*4)+'LINEST VARS'!$H$64*($Q$104*0.5)+'LINEST VARS'!$G$64*($Q$104*12.73)+'LINEST VARS'!$F$64*($B118*4)+'LINEST VARS'!$E$64*($B118*0.5)+'LINEST VARS'!$D$64*($B118*12.73)+'LINEST VARS'!$C$64*(4*0.5)+'LINEST VARS'!$B$64*(4*12.73)+'LINEST VARS'!$A$64*(0.5*12.73)</f>
        <v>164.18999999999991</v>
      </c>
      <c r="R118" s="55">
        <f>'LINEST VARS'!$U$64+'LINEST VARS'!$T$64*($R$104)+'LINEST VARS'!$S$64*($B118)+'LINEST VARS'!$R$64*(4)+'LINEST VARS'!$Q$64*(0.5)+'LINEST VARS'!$P$64*(12.73)+'LINEST VARS'!$O$64*($R$104^2)+'LINEST VARS'!$N$64*($B118^2)+'LINEST VARS'!$M$64*(4^2)+'LINEST VARS'!$L$64*(0.5^2)+'LINEST VARS'!$K$64*(12.73^2)+'LINEST VARS'!$J$64*($R$104*$B118)+'LINEST VARS'!$I$64*($R$104*4)+'LINEST VARS'!$H$64*($R$104*0.5)+'LINEST VARS'!$G$64*($R$104*12.73)+'LINEST VARS'!$F$64*($B118*4)+'LINEST VARS'!$E$64*($B118*0.5)+'LINEST VARS'!$D$64*($B118*12.73)+'LINEST VARS'!$C$64*(4*0.5)+'LINEST VARS'!$B$64*(4*12.73)+'LINEST VARS'!$A$64*(0.5*12.73)</f>
        <v>164.18999999999991</v>
      </c>
      <c r="S118" s="55">
        <f>'LINEST VARS'!$U$64+'LINEST VARS'!$T$64*($S$104)+'LINEST VARS'!$S$64*($B118)+'LINEST VARS'!$R$64*(4)+'LINEST VARS'!$Q$64*(0.5)+'LINEST VARS'!$P$64*(12.73)+'LINEST VARS'!$O$64*($S$104^2)+'LINEST VARS'!$N$64*($B118^2)+'LINEST VARS'!$M$64*(4^2)+'LINEST VARS'!$L$64*(0.5^2)+'LINEST VARS'!$K$64*(12.73^2)+'LINEST VARS'!$J$64*($S$104*$B118)+'LINEST VARS'!$I$64*($S$104*4)+'LINEST VARS'!$H$64*($S$104*0.5)+'LINEST VARS'!$G$64*($S$104*12.73)+'LINEST VARS'!$F$64*($B118*4)+'LINEST VARS'!$E$64*($B118*0.5)+'LINEST VARS'!$D$64*($B118*12.73)+'LINEST VARS'!$C$64*(4*0.5)+'LINEST VARS'!$B$64*(4*12.73)+'LINEST VARS'!$A$64*(0.5*12.73)</f>
        <v>164.18999999999991</v>
      </c>
      <c r="T118" s="55">
        <f>'LINEST VARS'!$U$64+'LINEST VARS'!$T$64*($T$104)+'LINEST VARS'!$S$64*($B118)+'LINEST VARS'!$R$64*(4)+'LINEST VARS'!$Q$64*(0.5)+'LINEST VARS'!$P$64*(12.73)+'LINEST VARS'!$O$64*($T$104^2)+'LINEST VARS'!$N$64*($B118^2)+'LINEST VARS'!$M$64*(4^2)+'LINEST VARS'!$L$64*(0.5^2)+'LINEST VARS'!$K$64*(12.73^2)+'LINEST VARS'!$J$64*($T$104*$B118)+'LINEST VARS'!$I$64*($T$104*4)+'LINEST VARS'!$H$64*($T$104*0.5)+'LINEST VARS'!$G$64*($T$104*12.73)+'LINEST VARS'!$F$64*($B118*4)+'LINEST VARS'!$E$64*($B118*0.5)+'LINEST VARS'!$D$64*($B118*12.73)+'LINEST VARS'!$C$64*(4*0.5)+'LINEST VARS'!$B$64*(4*12.73)+'LINEST VARS'!$A$64*(0.5*12.73)</f>
        <v>164.18999999999991</v>
      </c>
      <c r="U118" s="55">
        <f>'LINEST VARS'!$U$64+'LINEST VARS'!$T$64*($U$104)+'LINEST VARS'!$S$64*($B118)+'LINEST VARS'!$R$64*(4)+'LINEST VARS'!$Q$64*(0.5)+'LINEST VARS'!$P$64*(12.73)+'LINEST VARS'!$O$64*($U$104^2)+'LINEST VARS'!$N$64*($B118^2)+'LINEST VARS'!$M$64*(4^2)+'LINEST VARS'!$L$64*(0.5^2)+'LINEST VARS'!$K$64*(12.73^2)+'LINEST VARS'!$J$64*($U$104*$B118)+'LINEST VARS'!$I$64*($U$104*4)+'LINEST VARS'!$H$64*($U$104*0.5)+'LINEST VARS'!$G$64*($U$104*12.73)+'LINEST VARS'!$F$64*($B118*4)+'LINEST VARS'!$E$64*($B118*0.5)+'LINEST VARS'!$D$64*($B118*12.73)+'LINEST VARS'!$C$64*(4*0.5)+'LINEST VARS'!$B$64*(4*12.73)+'LINEST VARS'!$A$64*(0.5*12.73)</f>
        <v>164.18999999999991</v>
      </c>
      <c r="V118" s="55">
        <f>'LINEST VARS'!$U$64+'LINEST VARS'!$T$64*($V$104)+'LINEST VARS'!$S$64*($B118)+'LINEST VARS'!$R$64*(4)+'LINEST VARS'!$Q$64*(0.5)+'LINEST VARS'!$P$64*(12.73)+'LINEST VARS'!$O$64*($V$104^2)+'LINEST VARS'!$N$64*($B118^2)+'LINEST VARS'!$M$64*(4^2)+'LINEST VARS'!$L$64*(0.5^2)+'LINEST VARS'!$K$64*(12.73^2)+'LINEST VARS'!$J$64*($V$104*$B118)+'LINEST VARS'!$I$64*($V$104*4)+'LINEST VARS'!$H$64*($V$104*0.5)+'LINEST VARS'!$G$64*($V$104*12.73)+'LINEST VARS'!$F$64*($B118*4)+'LINEST VARS'!$E$64*($B118*0.5)+'LINEST VARS'!$D$64*($B118*12.73)+'LINEST VARS'!$C$64*(4*0.5)+'LINEST VARS'!$B$64*(4*12.73)+'LINEST VARS'!$A$64*(0.5*12.73)</f>
        <v>164.18999999999991</v>
      </c>
      <c r="W118" s="56">
        <f>'LINEST VARS'!$U$64+'LINEST VARS'!$T$64*($W$104)+'LINEST VARS'!$S$64*($B118)+'LINEST VARS'!$R$64*(4)+'LINEST VARS'!$Q$64*(0.5)+'LINEST VARS'!$P$64*(12.73)+'LINEST VARS'!$O$64*($W$104^2)+'LINEST VARS'!$N$64*($B118^2)+'LINEST VARS'!$M$64*(4^2)+'LINEST VARS'!$L$64*(0.5^2)+'LINEST VARS'!$K$64*(12.73^2)+'LINEST VARS'!$J$64*($W$104*$B118)+'LINEST VARS'!$I$64*($W$104*4)+'LINEST VARS'!$H$64*($W$104*0.5)+'LINEST VARS'!$G$64*($W$104*12.73)+'LINEST VARS'!$F$64*($B118*4)+'LINEST VARS'!$E$64*($B118*0.5)+'LINEST VARS'!$D$64*($B118*12.73)+'LINEST VARS'!$C$64*(4*0.5)+'LINEST VARS'!$B$64*(4*12.73)+'LINEST VARS'!$A$64*(0.5*12.73)</f>
        <v>164.18999999999991</v>
      </c>
      <c r="Z118" s="45">
        <v>8.18</v>
      </c>
      <c r="AA118" s="46">
        <f>'LINEST VARS'!$U$66+'LINEST VARS'!$T$66*($AA$104)+'LINEST VARS'!$S$66*($Z118)+'LINEST VARS'!$R$66*(4)+'LINEST VARS'!$Q$66*(0.5)+'LINEST VARS'!$P$66*(12.73)+'LINEST VARS'!$O$66*($AA$104^2)+'LINEST VARS'!$N$66*($Z118^2)+'LINEST VARS'!$M$66*(4^2)+'LINEST VARS'!$L$66*(0.5^2)+'LINEST VARS'!$K$66*(12.73^2)+'LINEST VARS'!$J$66*($AA$104*$Z118)+'LINEST VARS'!$I$66*($AA$104*4)+'LINEST VARS'!$H$66*($AA$104*0.5)+'LINEST VARS'!$G$66*($AA$104*12.73)+'LINEST VARS'!$F$66*($Z118*4)+'LINEST VARS'!$E$66*($Z118*0.5)+'LINEST VARS'!$D$66*($Z118*12.73)+'LINEST VARS'!$C$66*(4*0.5)+'LINEST VARS'!$B$66*(4*12.73)+'LINEST VARS'!$A$66*(0.5*12.73)</f>
        <v>134.20000000000002</v>
      </c>
      <c r="AB118" s="46">
        <f>'LINEST VARS'!$U$66+'LINEST VARS'!$T$66*($AB$104)+'LINEST VARS'!$S$66*($Z118)+'LINEST VARS'!$R$66*(4)+'LINEST VARS'!$Q$66*(0.5)+'LINEST VARS'!$P$66*(12.73)+'LINEST VARS'!$O$66*($AB$104^2)+'LINEST VARS'!$N$66*($Z118^2)+'LINEST VARS'!$M$66*(4^2)+'LINEST VARS'!$L$66*(0.5^2)+'LINEST VARS'!$K$66*(12.73^2)+'LINEST VARS'!$J$66*($AB$104*$Z118)+'LINEST VARS'!$I$66*($AB$104*4)+'LINEST VARS'!$H$66*($AB$104*0.5)+'LINEST VARS'!$G$66*($AB$104*12.73)+'LINEST VARS'!$F$66*($Z118*4)+'LINEST VARS'!$E$66*($Z118*0.5)+'LINEST VARS'!$D$66*($Z118*12.73)+'LINEST VARS'!$C$66*(4*0.5)+'LINEST VARS'!$B$66*(4*12.73)+'LINEST VARS'!$A$66*(0.5*12.73)</f>
        <v>134.38000000000005</v>
      </c>
      <c r="AC118" s="46">
        <f>'LINEST VARS'!$U$66+'LINEST VARS'!$T$66*($AC$104)+'LINEST VARS'!$S$66*($Z118)+'LINEST VARS'!$R$66*(4)+'LINEST VARS'!$Q$66*(0.5)+'LINEST VARS'!$P$66*(12.73)+'LINEST VARS'!$O$66*($AC$104^2)+'LINEST VARS'!$N$66*($Z118^2)+'LINEST VARS'!$M$66*(4^2)+'LINEST VARS'!$L$66*(0.5^2)+'LINEST VARS'!$K$66*(12.73^2)+'LINEST VARS'!$J$66*($AC$104*$Z118)+'LINEST VARS'!$I$66*($AC$104*4)+'LINEST VARS'!$H$66*($AC$104*0.5)+'LINEST VARS'!$G$66*($AC$104*12.73)+'LINEST VARS'!$F$66*($Z118*4)+'LINEST VARS'!$E$66*($Z118*0.5)+'LINEST VARS'!$D$66*($Z118*12.73)+'LINEST VARS'!$C$66*(4*0.5)+'LINEST VARS'!$B$66*(4*12.73)+'LINEST VARS'!$A$66*(0.5*12.73)</f>
        <v>134.56000000000003</v>
      </c>
      <c r="AD118" s="46">
        <f>'LINEST VARS'!$U$66+'LINEST VARS'!$T$66*($AD$104)+'LINEST VARS'!$S$66*($Z118)+'LINEST VARS'!$R$66*(4)+'LINEST VARS'!$Q$66*(0.5)+'LINEST VARS'!$P$66*(12.73)+'LINEST VARS'!$O$66*($AD$104^2)+'LINEST VARS'!$N$66*($Z118^2)+'LINEST VARS'!$M$66*(4^2)+'LINEST VARS'!$L$66*(0.5^2)+'LINEST VARS'!$K$66*(12.73^2)+'LINEST VARS'!$J$66*($AD$104*$Z118)+'LINEST VARS'!$I$66*($AD$104*4)+'LINEST VARS'!$H$66*($AD$104*0.5)+'LINEST VARS'!$G$66*($AD$104*12.73)+'LINEST VARS'!$F$66*($Z118*4)+'LINEST VARS'!$E$66*($Z118*0.5)+'LINEST VARS'!$D$66*($Z118*12.73)+'LINEST VARS'!$C$66*(4*0.5)+'LINEST VARS'!$B$66*(4*12.73)+'LINEST VARS'!$A$66*(0.5*12.73)</f>
        <v>134.74000000000004</v>
      </c>
      <c r="AE118" s="46">
        <f>'LINEST VARS'!$U$66+'LINEST VARS'!$T$66*($AE$104)+'LINEST VARS'!$S$66*($Z118)+'LINEST VARS'!$R$66*(4)+'LINEST VARS'!$Q$66*(0.5)+'LINEST VARS'!$P$66*(12.73)+'LINEST VARS'!$O$66*($AE$104^2)+'LINEST VARS'!$N$66*($Z118^2)+'LINEST VARS'!$M$66*(4^2)+'LINEST VARS'!$L$66*(0.5^2)+'LINEST VARS'!$K$66*(12.73^2)+'LINEST VARS'!$J$66*($AE$104*$Z118)+'LINEST VARS'!$I$66*($AE$104*4)+'LINEST VARS'!$H$66*($AE$104*0.5)+'LINEST VARS'!$G$66*($AE$104*12.73)+'LINEST VARS'!$F$66*($Z118*4)+'LINEST VARS'!$E$66*($Z118*0.5)+'LINEST VARS'!$D$66*($Z118*12.73)+'LINEST VARS'!$C$66*(4*0.5)+'LINEST VARS'!$B$66*(4*12.73)+'LINEST VARS'!$A$66*(0.5*12.73)</f>
        <v>134.92000000000004</v>
      </c>
      <c r="AF118" s="46">
        <f>'LINEST VARS'!$U$66+'LINEST VARS'!$T$66*($AF$104)+'LINEST VARS'!$S$66*($Z118)+'LINEST VARS'!$R$66*(4)+'LINEST VARS'!$Q$66*(0.5)+'LINEST VARS'!$P$66*(12.73)+'LINEST VARS'!$O$66*($AF$104^2)+'LINEST VARS'!$N$66*($Z118^2)+'LINEST VARS'!$M$66*(4^2)+'LINEST VARS'!$L$66*(0.5^2)+'LINEST VARS'!$K$66*(12.73^2)+'LINEST VARS'!$J$66*($AF$104*$Z118)+'LINEST VARS'!$I$66*($AF$104*4)+'LINEST VARS'!$H$66*($AF$104*0.5)+'LINEST VARS'!$G$66*($AF$104*12.73)+'LINEST VARS'!$F$66*($Z118*4)+'LINEST VARS'!$E$66*($Z118*0.5)+'LINEST VARS'!$D$66*($Z118*12.73)+'LINEST VARS'!$C$66*(4*0.5)+'LINEST VARS'!$B$66*(4*12.73)+'LINEST VARS'!$A$66*(0.5*12.73)</f>
        <v>135.10000000000005</v>
      </c>
      <c r="AG118" s="46">
        <f>'LINEST VARS'!$U$66+'LINEST VARS'!$T$66*($AG$104)+'LINEST VARS'!$S$66*($Z118)+'LINEST VARS'!$R$66*(4)+'LINEST VARS'!$Q$66*(0.5)+'LINEST VARS'!$P$66*(12.73)+'LINEST VARS'!$O$66*($AG$104^2)+'LINEST VARS'!$N$66*($Z118^2)+'LINEST VARS'!$M$66*(4^2)+'LINEST VARS'!$L$66*(0.5^2)+'LINEST VARS'!$K$66*(12.73^2)+'LINEST VARS'!$J$66*($AG$104*$Z118)+'LINEST VARS'!$I$66*($AG$104*4)+'LINEST VARS'!$H$66*($AG$104*0.5)+'LINEST VARS'!$G$66*($AG$104*12.73)+'LINEST VARS'!$F$66*($Z118*4)+'LINEST VARS'!$E$66*($Z118*0.5)+'LINEST VARS'!$D$66*($Z118*12.73)+'LINEST VARS'!$C$66*(4*0.5)+'LINEST VARS'!$B$66*(4*12.73)+'LINEST VARS'!$A$66*(0.5*12.73)</f>
        <v>135.28000000000003</v>
      </c>
      <c r="AH118" s="46">
        <f>'LINEST VARS'!$U$66+'LINEST VARS'!$T$66*($AH$104)+'LINEST VARS'!$S$66*($Z118)+'LINEST VARS'!$R$66*(4)+'LINEST VARS'!$Q$66*(0.5)+'LINEST VARS'!$P$66*(12.73)+'LINEST VARS'!$O$66*($AH$104^2)+'LINEST VARS'!$N$66*($Z118^2)+'LINEST VARS'!$M$66*(4^2)+'LINEST VARS'!$L$66*(0.5^2)+'LINEST VARS'!$K$66*(12.73^2)+'LINEST VARS'!$J$66*($AH$104*$Z118)+'LINEST VARS'!$I$66*($AH$104*4)+'LINEST VARS'!$H$66*($AH$104*0.5)+'LINEST VARS'!$G$66*($AH$104*12.73)+'LINEST VARS'!$F$66*($Z118*4)+'LINEST VARS'!$E$66*($Z118*0.5)+'LINEST VARS'!$D$66*($Z118*12.73)+'LINEST VARS'!$C$66*(4*0.5)+'LINEST VARS'!$B$66*(4*12.73)+'LINEST VARS'!$A$66*(0.5*12.73)</f>
        <v>135.46000000000004</v>
      </c>
      <c r="AI118" s="46">
        <f>'LINEST VARS'!$U$66+'LINEST VARS'!$T$66*($AI$104)+'LINEST VARS'!$S$66*($Z118)+'LINEST VARS'!$R$66*(4)+'LINEST VARS'!$Q$66*(0.5)+'LINEST VARS'!$P$66*(12.73)+'LINEST VARS'!$O$66*($AI$104^2)+'LINEST VARS'!$N$66*($Z118^2)+'LINEST VARS'!$M$66*(4^2)+'LINEST VARS'!$L$66*(0.5^2)+'LINEST VARS'!$K$66*(12.73^2)+'LINEST VARS'!$J$66*($AI$104*$Z118)+'LINEST VARS'!$I$66*($AI$104*4)+'LINEST VARS'!$H$66*($AI$104*0.5)+'LINEST VARS'!$G$66*($AI$104*12.73)+'LINEST VARS'!$F$66*($Z118*4)+'LINEST VARS'!$E$66*($Z118*0.5)+'LINEST VARS'!$D$66*($Z118*12.73)+'LINEST VARS'!$C$66*(4*0.5)+'LINEST VARS'!$B$66*(4*12.73)+'LINEST VARS'!$A$66*(0.5*12.73)</f>
        <v>135.64000000000004</v>
      </c>
      <c r="AJ118" s="46">
        <f>'LINEST VARS'!$U$66+'LINEST VARS'!$T$66*($AJ$104)+'LINEST VARS'!$S$66*($Z118)+'LINEST VARS'!$R$66*(4)+'LINEST VARS'!$Q$66*(0.5)+'LINEST VARS'!$P$66*(12.73)+'LINEST VARS'!$O$66*($AJ$104^2)+'LINEST VARS'!$N$66*($Z118^2)+'LINEST VARS'!$M$66*(4^2)+'LINEST VARS'!$L$66*(0.5^2)+'LINEST VARS'!$K$66*(12.73^2)+'LINEST VARS'!$J$66*($AJ$104*$Z118)+'LINEST VARS'!$I$66*($AJ$104*4)+'LINEST VARS'!$H$66*($AJ$104*0.5)+'LINEST VARS'!$G$66*($AJ$104*12.73)+'LINEST VARS'!$F$66*($Z118*4)+'LINEST VARS'!$E$66*($Z118*0.5)+'LINEST VARS'!$D$66*($Z118*12.73)+'LINEST VARS'!$C$66*(4*0.5)+'LINEST VARS'!$B$66*(4*12.73)+'LINEST VARS'!$A$66*(0.5*12.73)</f>
        <v>135.82000000000005</v>
      </c>
      <c r="AK118" s="46">
        <f>'LINEST VARS'!$U$66+'LINEST VARS'!$T$66*($AK$104)+'LINEST VARS'!$S$66*($Z118)+'LINEST VARS'!$R$66*(4)+'LINEST VARS'!$Q$66*(0.5)+'LINEST VARS'!$P$66*(12.73)+'LINEST VARS'!$O$66*($AK$104^2)+'LINEST VARS'!$N$66*($Z118^2)+'LINEST VARS'!$M$66*(4^2)+'LINEST VARS'!$L$66*(0.5^2)+'LINEST VARS'!$K$66*(12.73^2)+'LINEST VARS'!$J$66*($AK$104*$Z118)+'LINEST VARS'!$I$66*($AK$104*4)+'LINEST VARS'!$H$66*($AK$104*0.5)+'LINEST VARS'!$G$66*($AK$104*12.73)+'LINEST VARS'!$F$66*($Z118*4)+'LINEST VARS'!$E$66*($Z118*0.5)+'LINEST VARS'!$D$66*($Z118*12.73)+'LINEST VARS'!$C$66*(4*0.5)+'LINEST VARS'!$B$66*(4*12.73)+'LINEST VARS'!$A$66*(0.5*12.73)</f>
        <v>136.00000000000003</v>
      </c>
      <c r="AL118" s="46">
        <f>'LINEST VARS'!$U$66+'LINEST VARS'!$T$66*($AL$104)+'LINEST VARS'!$S$66*($Z118)+'LINEST VARS'!$R$66*(4)+'LINEST VARS'!$Q$66*(0.5)+'LINEST VARS'!$P$66*(12.73)+'LINEST VARS'!$O$66*($AL$104^2)+'LINEST VARS'!$N$66*($Z118^2)+'LINEST VARS'!$M$66*(4^2)+'LINEST VARS'!$L$66*(0.5^2)+'LINEST VARS'!$K$66*(12.73^2)+'LINEST VARS'!$J$66*($AL$104*$Z118)+'LINEST VARS'!$I$66*($AL$104*4)+'LINEST VARS'!$H$66*($AL$104*0.5)+'LINEST VARS'!$G$66*($AL$104*12.73)+'LINEST VARS'!$F$66*($Z118*4)+'LINEST VARS'!$E$66*($Z118*0.5)+'LINEST VARS'!$D$66*($Z118*12.73)+'LINEST VARS'!$C$66*(4*0.5)+'LINEST VARS'!$B$66*(4*12.73)+'LINEST VARS'!$A$66*(0.5*12.73)</f>
        <v>136.18000000000004</v>
      </c>
      <c r="AM118" s="46">
        <f>'LINEST VARS'!$U$66+'LINEST VARS'!$T$66*($AM$104)+'LINEST VARS'!$S$66*($Z118)+'LINEST VARS'!$R$66*(4)+'LINEST VARS'!$Q$66*(0.5)+'LINEST VARS'!$P$66*(12.73)+'LINEST VARS'!$O$66*($AM$104^2)+'LINEST VARS'!$N$66*($Z118^2)+'LINEST VARS'!$M$66*(4^2)+'LINEST VARS'!$L$66*(0.5^2)+'LINEST VARS'!$K$66*(12.73^2)+'LINEST VARS'!$J$66*($AM$104*$Z118)+'LINEST VARS'!$I$66*($AM$104*4)+'LINEST VARS'!$H$66*($AM$104*0.5)+'LINEST VARS'!$G$66*($AM$104*12.73)+'LINEST VARS'!$F$66*($Z118*4)+'LINEST VARS'!$E$66*($Z118*0.5)+'LINEST VARS'!$D$66*($Z118*12.73)+'LINEST VARS'!$C$66*(4*0.5)+'LINEST VARS'!$B$66*(4*12.73)+'LINEST VARS'!$A$66*(0.5*12.73)</f>
        <v>136.36000000000004</v>
      </c>
      <c r="AN118" s="46">
        <f>'LINEST VARS'!$U$66+'LINEST VARS'!$T$66*($AN$104)+'LINEST VARS'!$S$66*($Z118)+'LINEST VARS'!$R$66*(4)+'LINEST VARS'!$Q$66*(0.5)+'LINEST VARS'!$P$66*(12.73)+'LINEST VARS'!$O$66*($AN$104^2)+'LINEST VARS'!$N$66*($Z118^2)+'LINEST VARS'!$M$66*(4^2)+'LINEST VARS'!$L$66*(0.5^2)+'LINEST VARS'!$K$66*(12.73^2)+'LINEST VARS'!$J$66*($AN$104*$Z118)+'LINEST VARS'!$I$66*($AN$104*4)+'LINEST VARS'!$H$66*($AN$104*0.5)+'LINEST VARS'!$G$66*($AN$104*12.73)+'LINEST VARS'!$F$66*($Z118*4)+'LINEST VARS'!$E$66*($Z118*0.5)+'LINEST VARS'!$D$66*($Z118*12.73)+'LINEST VARS'!$C$66*(4*0.5)+'LINEST VARS'!$B$66*(4*12.73)+'LINEST VARS'!$A$66*(0.5*12.73)</f>
        <v>136.54000000000005</v>
      </c>
      <c r="AO118" s="46">
        <f>'LINEST VARS'!$U$66+'LINEST VARS'!$T$66*($AO$104)+'LINEST VARS'!$S$66*($Z118)+'LINEST VARS'!$R$66*(4)+'LINEST VARS'!$Q$66*(0.5)+'LINEST VARS'!$P$66*(12.73)+'LINEST VARS'!$O$66*($AO$104^2)+'LINEST VARS'!$N$66*($Z118^2)+'LINEST VARS'!$M$66*(4^2)+'LINEST VARS'!$L$66*(0.5^2)+'LINEST VARS'!$K$66*(12.73^2)+'LINEST VARS'!$J$66*($AO$104*$Z118)+'LINEST VARS'!$I$66*($AO$104*4)+'LINEST VARS'!$H$66*($AO$104*0.5)+'LINEST VARS'!$G$66*($AO$104*12.73)+'LINEST VARS'!$F$66*($Z118*4)+'LINEST VARS'!$E$66*($Z118*0.5)+'LINEST VARS'!$D$66*($Z118*12.73)+'LINEST VARS'!$C$66*(4*0.5)+'LINEST VARS'!$B$66*(4*12.73)+'LINEST VARS'!$A$66*(0.5*12.73)</f>
        <v>136.72000000000003</v>
      </c>
      <c r="AP118" s="46">
        <f>'LINEST VARS'!$U$66+'LINEST VARS'!$T$66*($AP$104)+'LINEST VARS'!$S$66*($Z118)+'LINEST VARS'!$R$66*(4)+'LINEST VARS'!$Q$66*(0.5)+'LINEST VARS'!$P$66*(12.73)+'LINEST VARS'!$O$66*($AP$104^2)+'LINEST VARS'!$N$66*($Z118^2)+'LINEST VARS'!$M$66*(4^2)+'LINEST VARS'!$L$66*(0.5^2)+'LINEST VARS'!$K$66*(12.73^2)+'LINEST VARS'!$J$66*($AP$104*$Z118)+'LINEST VARS'!$I$66*($AP$104*4)+'LINEST VARS'!$H$66*($AP$104*0.5)+'LINEST VARS'!$G$66*($AP$104*12.73)+'LINEST VARS'!$F$66*($Z118*4)+'LINEST VARS'!$E$66*($Z118*0.5)+'LINEST VARS'!$D$66*($Z118*12.73)+'LINEST VARS'!$C$66*(4*0.5)+'LINEST VARS'!$B$66*(4*12.73)+'LINEST VARS'!$A$66*(0.5*12.73)</f>
        <v>136.90000000000003</v>
      </c>
      <c r="AQ118" s="46">
        <f>'LINEST VARS'!$U$66+'LINEST VARS'!$T$66*($AQ$104)+'LINEST VARS'!$S$66*($Z118)+'LINEST VARS'!$R$66*(4)+'LINEST VARS'!$Q$66*(0.5)+'LINEST VARS'!$P$66*(12.73)+'LINEST VARS'!$O$66*($AQ$104^2)+'LINEST VARS'!$N$66*($Z118^2)+'LINEST VARS'!$M$66*(4^2)+'LINEST VARS'!$L$66*(0.5^2)+'LINEST VARS'!$K$66*(12.73^2)+'LINEST VARS'!$J$66*($AQ$104*$Z118)+'LINEST VARS'!$I$66*($AQ$104*4)+'LINEST VARS'!$H$66*($AQ$104*0.5)+'LINEST VARS'!$G$66*($AQ$104*12.73)+'LINEST VARS'!$F$66*($Z118*4)+'LINEST VARS'!$E$66*($Z118*0.5)+'LINEST VARS'!$D$66*($Z118*12.73)+'LINEST VARS'!$C$66*(4*0.5)+'LINEST VARS'!$B$66*(4*12.73)+'LINEST VARS'!$A$66*(0.5*12.73)</f>
        <v>137.08000000000004</v>
      </c>
      <c r="AR118" s="46">
        <f>'LINEST VARS'!$U$66+'LINEST VARS'!$T$66*($AR$104)+'LINEST VARS'!$S$66*($Z118)+'LINEST VARS'!$R$66*(4)+'LINEST VARS'!$Q$66*(0.5)+'LINEST VARS'!$P$66*(12.73)+'LINEST VARS'!$O$66*($AR$104^2)+'LINEST VARS'!$N$66*($Z118^2)+'LINEST VARS'!$M$66*(4^2)+'LINEST VARS'!$L$66*(0.5^2)+'LINEST VARS'!$K$66*(12.73^2)+'LINEST VARS'!$J$66*($AR$104*$Z118)+'LINEST VARS'!$I$66*($AR$104*4)+'LINEST VARS'!$H$66*($AR$104*0.5)+'LINEST VARS'!$G$66*($AR$104*12.73)+'LINEST VARS'!$F$66*($Z118*4)+'LINEST VARS'!$E$66*($Z118*0.5)+'LINEST VARS'!$D$66*($Z118*12.73)+'LINEST VARS'!$C$66*(4*0.5)+'LINEST VARS'!$B$66*(4*12.73)+'LINEST VARS'!$A$66*(0.5*12.73)</f>
        <v>137.26000000000005</v>
      </c>
      <c r="AS118" s="46">
        <f>'LINEST VARS'!$U$66+'LINEST VARS'!$T$66*($AS$104)+'LINEST VARS'!$S$66*($Z118)+'LINEST VARS'!$R$66*(4)+'LINEST VARS'!$Q$66*(0.5)+'LINEST VARS'!$P$66*(12.73)+'LINEST VARS'!$O$66*($AS$104^2)+'LINEST VARS'!$N$66*($Z118^2)+'LINEST VARS'!$M$66*(4^2)+'LINEST VARS'!$L$66*(0.5^2)+'LINEST VARS'!$K$66*(12.73^2)+'LINEST VARS'!$J$66*($AS$104*$Z118)+'LINEST VARS'!$I$66*($AS$104*4)+'LINEST VARS'!$H$66*($AS$104*0.5)+'LINEST VARS'!$G$66*($AS$104*12.73)+'LINEST VARS'!$F$66*($Z118*4)+'LINEST VARS'!$E$66*($Z118*0.5)+'LINEST VARS'!$D$66*($Z118*12.73)+'LINEST VARS'!$C$66*(4*0.5)+'LINEST VARS'!$B$66*(4*12.73)+'LINEST VARS'!$A$66*(0.5*12.73)</f>
        <v>137.44000000000003</v>
      </c>
      <c r="AT118" s="46">
        <f>'LINEST VARS'!$U$66+'LINEST VARS'!$T$66*($AT$104)+'LINEST VARS'!$S$66*($Z118)+'LINEST VARS'!$R$66*(4)+'LINEST VARS'!$Q$66*(0.5)+'LINEST VARS'!$P$66*(12.73)+'LINEST VARS'!$O$66*($AT$104^2)+'LINEST VARS'!$N$66*($Z118^2)+'LINEST VARS'!$M$66*(4^2)+'LINEST VARS'!$L$66*(0.5^2)+'LINEST VARS'!$K$66*(12.73^2)+'LINEST VARS'!$J$66*($AT$104*$Z118)+'LINEST VARS'!$I$66*($AT$104*4)+'LINEST VARS'!$H$66*($AT$104*0.5)+'LINEST VARS'!$G$66*($AT$104*12.73)+'LINEST VARS'!$F$66*($Z118*4)+'LINEST VARS'!$E$66*($Z118*0.5)+'LINEST VARS'!$D$66*($Z118*12.73)+'LINEST VARS'!$C$66*(4*0.5)+'LINEST VARS'!$B$66*(4*12.73)+'LINEST VARS'!$A$66*(0.5*12.73)</f>
        <v>137.62000000000003</v>
      </c>
      <c r="AU118" s="47">
        <f>'LINEST VARS'!$U$66+'LINEST VARS'!$T$66*($AU$104)+'LINEST VARS'!$S$66*($Z118)+'LINEST VARS'!$R$66*(4)+'LINEST VARS'!$Q$66*(0.5)+'LINEST VARS'!$P$66*(12.73)+'LINEST VARS'!$O$66*($AU$104^2)+'LINEST VARS'!$N$66*($Z118^2)+'LINEST VARS'!$M$66*(4^2)+'LINEST VARS'!$L$66*(0.5^2)+'LINEST VARS'!$K$66*(12.73^2)+'LINEST VARS'!$J$66*($AU$104*$Z118)+'LINEST VARS'!$I$66*($AU$104*4)+'LINEST VARS'!$H$66*($AU$104*0.5)+'LINEST VARS'!$G$66*($AU$104*12.73)+'LINEST VARS'!$F$66*($Z118*4)+'LINEST VARS'!$E$66*($Z118*0.5)+'LINEST VARS'!$D$66*($Z118*12.73)+'LINEST VARS'!$C$66*(4*0.5)+'LINEST VARS'!$B$66*(4*12.73)+'LINEST VARS'!$A$66*(0.5*12.73)</f>
        <v>137.80000000000004</v>
      </c>
      <c r="AZ118" s="45">
        <v>0.65</v>
      </c>
      <c r="BA118" s="55">
        <f>'LINEST VARS'!$U$64+'LINEST VARS'!$T$64*(8)+'LINEST VARS'!$S$64*(8)+'LINEST VARS'!$R$64*($BA$104)+'LINEST VARS'!$Q$64*($AZ118)+'LINEST VARS'!$P$64*(12.73)+'LINEST VARS'!$O$64*(8^2)+'LINEST VARS'!$N$64*(8^2)+'LINEST VARS'!$M$64*($BA$104^2)+'LINEST VARS'!$L$64*($AZ118^2)+'LINEST VARS'!$K$64*(12.73^2)+'LINEST VARS'!$J$64*(8*8)+'LINEST VARS'!$I$64*(8*$BA$104)+'LINEST VARS'!$H$64*(8*$AZ118)+'LINEST VARS'!$G$64*(8*12.73)+'LINEST VARS'!$F$64*(8*$BA$104)+'LINEST VARS'!$E$64*(8*$AZ118)+'LINEST VARS'!$D$64*(8*12.73)+'LINEST VARS'!$C$64*($BA$104*$AZ118)+'LINEST VARS'!$B$64*($BA$104*12.73)+'LINEST VARS'!$A$64*($AZ118*12.73)</f>
        <v>148.18999999999988</v>
      </c>
      <c r="BB118" s="55">
        <f>'LINEST VARS'!$U$64+'LINEST VARS'!$T$64*(8)+'LINEST VARS'!$S$64*(8)+'LINEST VARS'!$R$64*($BB$104)+'LINEST VARS'!$Q$64*($AZ118)+'LINEST VARS'!$P$64*(12.73)+'LINEST VARS'!$O$64*(8^2)+'LINEST VARS'!$N$64*(8^2)+'LINEST VARS'!$M$64*($BB$104^2)+'LINEST VARS'!$L$64*($AZ118^2)+'LINEST VARS'!$K$64*(12.73^2)+'LINEST VARS'!$J$64*(8*8)+'LINEST VARS'!$I$64*(8*$BB$104)+'LINEST VARS'!$H$64*(8*$AZ118)+'LINEST VARS'!$G$64*(8*12.73)+'LINEST VARS'!$F$64*(8*$BB$104)+'LINEST VARS'!$E$64*(8*$AZ118)+'LINEST VARS'!$D$64*(8*12.73)+'LINEST VARS'!$C$64*($BB$104*$AZ118)+'LINEST VARS'!$B$64*($BB$104*12.73)+'LINEST VARS'!$A$64*($AZ118*12.73)</f>
        <v>149.78999999999988</v>
      </c>
      <c r="BC118" s="55">
        <f>'LINEST VARS'!$U$64+'LINEST VARS'!$T$64*(8)+'LINEST VARS'!$S$64*(8)+'LINEST VARS'!$R$64*($BC$104)+'LINEST VARS'!$Q$64*($AZ118)+'LINEST VARS'!$P$64*(12.73)+'LINEST VARS'!$O$64*(8^2)+'LINEST VARS'!$N$64*(8^2)+'LINEST VARS'!$M$64*($BC$104^2)+'LINEST VARS'!$L$64*($AZ118^2)+'LINEST VARS'!$K$64*(12.73^2)+'LINEST VARS'!$J$64*(8*8)+'LINEST VARS'!$I$64*(8*$BC$104)+'LINEST VARS'!$H$64*(8*$AZ118)+'LINEST VARS'!$G$64*(8*12.73)+'LINEST VARS'!$F$64*(8*$BC$104)+'LINEST VARS'!$E$64*(8*$AZ118)+'LINEST VARS'!$D$64*(8*12.73)+'LINEST VARS'!$C$64*($BC$104*$AZ118)+'LINEST VARS'!$B$64*($BC$104*12.73)+'LINEST VARS'!$A$64*($AZ118*12.73)</f>
        <v>151.38999999999987</v>
      </c>
      <c r="BD118" s="55">
        <f>'LINEST VARS'!$U$64+'LINEST VARS'!$T$64*(8)+'LINEST VARS'!$S$64*(8)+'LINEST VARS'!$R$64*($BD$104)+'LINEST VARS'!$Q$64*($AZ118)+'LINEST VARS'!$P$64*(12.73)+'LINEST VARS'!$O$64*(8^2)+'LINEST VARS'!$N$64*(8^2)+'LINEST VARS'!$M$64*($BD$104^2)+'LINEST VARS'!$L$64*($AZ118^2)+'LINEST VARS'!$K$64*(12.73^2)+'LINEST VARS'!$J$64*(8*8)+'LINEST VARS'!$I$64*(8*$BD$104)+'LINEST VARS'!$H$64*(8*$AZ118)+'LINEST VARS'!$G$64*(8*12.73)+'LINEST VARS'!$F$64*(8*$BD$104)+'LINEST VARS'!$E$64*(8*$AZ118)+'LINEST VARS'!$D$64*(8*12.73)+'LINEST VARS'!$C$64*($BD$104*$AZ118)+'LINEST VARS'!$B$64*($BD$104*12.73)+'LINEST VARS'!$A$64*($AZ118*12.73)</f>
        <v>152.9899999999999</v>
      </c>
      <c r="BE118" s="55">
        <f>'LINEST VARS'!$U$64+'LINEST VARS'!$T$64*(8)+'LINEST VARS'!$S$64*(8)+'LINEST VARS'!$R$64*($BE$104)+'LINEST VARS'!$Q$64*($AZ118)+'LINEST VARS'!$P$64*(12.73)+'LINEST VARS'!$O$64*(8^2)+'LINEST VARS'!$N$64*(8^2)+'LINEST VARS'!$M$64*($BE$104^2)+'LINEST VARS'!$L$64*($AZ118^2)+'LINEST VARS'!$K$64*(12.73^2)+'LINEST VARS'!$J$64*(8*8)+'LINEST VARS'!$I$64*(8*$BE$104)+'LINEST VARS'!$H$64*(8*$AZ118)+'LINEST VARS'!$G$64*(8*12.73)+'LINEST VARS'!$F$64*(8*$BE$104)+'LINEST VARS'!$E$64*(8*$AZ118)+'LINEST VARS'!$D$64*(8*12.73)+'LINEST VARS'!$C$64*($BE$104*$AZ118)+'LINEST VARS'!$B$64*($BE$104*12.73)+'LINEST VARS'!$A$64*($AZ118*12.73)</f>
        <v>154.58999999999989</v>
      </c>
      <c r="BF118" s="55">
        <f>'LINEST VARS'!$U$64+'LINEST VARS'!$T$64*(8)+'LINEST VARS'!$S$64*(8)+'LINEST VARS'!$R$64*($BF$104)+'LINEST VARS'!$Q$64*($AZ118)+'LINEST VARS'!$P$64*(12.73)+'LINEST VARS'!$O$64*(8^2)+'LINEST VARS'!$N$64*(8^2)+'LINEST VARS'!$M$64*($BF$104^2)+'LINEST VARS'!$L$64*($AZ118^2)+'LINEST VARS'!$K$64*(12.73^2)+'LINEST VARS'!$J$64*(8*8)+'LINEST VARS'!$I$64*(8*$BF$104)+'LINEST VARS'!$H$64*(8*$AZ118)+'LINEST VARS'!$G$64*(8*12.73)+'LINEST VARS'!$F$64*(8*$BF$104)+'LINEST VARS'!$E$64*(8*$AZ118)+'LINEST VARS'!$D$64*(8*12.73)+'LINEST VARS'!$C$64*($BF$104*$AZ118)+'LINEST VARS'!$B$64*($BF$104*12.73)+'LINEST VARS'!$A$64*($AZ118*12.73)</f>
        <v>156.18999999999988</v>
      </c>
      <c r="BG118" s="55">
        <f>'LINEST VARS'!$U$64+'LINEST VARS'!$T$64*(8)+'LINEST VARS'!$S$64*(8)+'LINEST VARS'!$R$64*($BG$104)+'LINEST VARS'!$Q$64*($AZ118)+'LINEST VARS'!$P$64*(12.73)+'LINEST VARS'!$O$64*(8^2)+'LINEST VARS'!$N$64*(8^2)+'LINEST VARS'!$M$64*($BG$104^2)+'LINEST VARS'!$L$64*($AZ118^2)+'LINEST VARS'!$K$64*(12.73^2)+'LINEST VARS'!$J$64*(8*8)+'LINEST VARS'!$I$64*(8*$BG$104)+'LINEST VARS'!$H$64*(8*$AZ118)+'LINEST VARS'!$G$64*(8*12.73)+'LINEST VARS'!$F$64*(8*$BG$104)+'LINEST VARS'!$E$64*(8*$AZ118)+'LINEST VARS'!$D$64*(8*12.73)+'LINEST VARS'!$C$64*($BG$104*$AZ118)+'LINEST VARS'!$B$64*($BG$104*12.73)+'LINEST VARS'!$A$64*($AZ118*12.73)</f>
        <v>157.78999999999988</v>
      </c>
      <c r="BH118" s="55">
        <f>'LINEST VARS'!$U$64+'LINEST VARS'!$T$64*(8)+'LINEST VARS'!$S$64*(8)+'LINEST VARS'!$R$64*($BH$104)+'LINEST VARS'!$Q$64*($AZ118)+'LINEST VARS'!$P$64*(12.73)+'LINEST VARS'!$O$64*(8^2)+'LINEST VARS'!$N$64*(8^2)+'LINEST VARS'!$M$64*($BH$104^2)+'LINEST VARS'!$L$64*($AZ118^2)+'LINEST VARS'!$K$64*(12.73^2)+'LINEST VARS'!$J$64*(8*8)+'LINEST VARS'!$I$64*(8*$BH$104)+'LINEST VARS'!$H$64*(8*$AZ118)+'LINEST VARS'!$G$64*(8*12.73)+'LINEST VARS'!$F$64*(8*$BH$104)+'LINEST VARS'!$E$64*(8*$AZ118)+'LINEST VARS'!$D$64*(8*12.73)+'LINEST VARS'!$C$64*($BH$104*$AZ118)+'LINEST VARS'!$B$64*($BH$104*12.73)+'LINEST VARS'!$A$64*($AZ118*12.73)</f>
        <v>159.38999999999987</v>
      </c>
      <c r="BI118" s="55">
        <f>'LINEST VARS'!$U$64+'LINEST VARS'!$T$64*(8)+'LINEST VARS'!$S$64*(8)+'LINEST VARS'!$R$64*($BI$104)+'LINEST VARS'!$Q$64*($AZ118)+'LINEST VARS'!$P$64*(12.73)+'LINEST VARS'!$O$64*(8^2)+'LINEST VARS'!$N$64*(8^2)+'LINEST VARS'!$M$64*($BI$104^2)+'LINEST VARS'!$L$64*($AZ118^2)+'LINEST VARS'!$K$64*(12.73^2)+'LINEST VARS'!$J$64*(8*8)+'LINEST VARS'!$I$64*(8*$BI$104)+'LINEST VARS'!$H$64*(8*$AZ118)+'LINEST VARS'!$G$64*(8*12.73)+'LINEST VARS'!$F$64*(8*$BI$104)+'LINEST VARS'!$E$64*(8*$AZ118)+'LINEST VARS'!$D$64*(8*12.73)+'LINEST VARS'!$C$64*($BI$104*$AZ118)+'LINEST VARS'!$B$64*($BI$104*12.73)+'LINEST VARS'!$A$64*($AZ118*12.73)</f>
        <v>160.9899999999999</v>
      </c>
      <c r="BJ118" s="55">
        <f>'LINEST VARS'!$U$64+'LINEST VARS'!$T$64*(8)+'LINEST VARS'!$S$64*(8)+'LINEST VARS'!$R$64*($BJ$104)+'LINEST VARS'!$Q$64*($AZ118)+'LINEST VARS'!$P$64*(12.73)+'LINEST VARS'!$O$64*(8^2)+'LINEST VARS'!$N$64*(8^2)+'LINEST VARS'!$M$64*($BJ$104^2)+'LINEST VARS'!$L$64*($AZ118^2)+'LINEST VARS'!$K$64*(12.73^2)+'LINEST VARS'!$J$64*(8*8)+'LINEST VARS'!$I$64*(8*$BJ$104)+'LINEST VARS'!$H$64*(8*$AZ118)+'LINEST VARS'!$G$64*(8*12.73)+'LINEST VARS'!$F$64*(8*$BJ$104)+'LINEST VARS'!$E$64*(8*$AZ118)+'LINEST VARS'!$D$64*(8*12.73)+'LINEST VARS'!$C$64*($BJ$104*$AZ118)+'LINEST VARS'!$B$64*($BJ$104*12.73)+'LINEST VARS'!$A$64*($AZ118*12.73)</f>
        <v>162.58999999999989</v>
      </c>
      <c r="BK118" s="55">
        <f>'LINEST VARS'!$U$64+'LINEST VARS'!$T$64*(8)+'LINEST VARS'!$S$64*(8)+'LINEST VARS'!$R$64*($BK$104)+'LINEST VARS'!$Q$64*($AZ118)+'LINEST VARS'!$P$64*(12.73)+'LINEST VARS'!$O$64*(8^2)+'LINEST VARS'!$N$64*(8^2)+'LINEST VARS'!$M$64*($BK$104^2)+'LINEST VARS'!$L$64*($AZ118^2)+'LINEST VARS'!$K$64*(12.73^2)+'LINEST VARS'!$J$64*(8*8)+'LINEST VARS'!$I$64*(8*$BK$104)+'LINEST VARS'!$H$64*(8*$AZ118)+'LINEST VARS'!$G$64*(8*12.73)+'LINEST VARS'!$F$64*(8*$BK$104)+'LINEST VARS'!$E$64*(8*$AZ118)+'LINEST VARS'!$D$64*(8*12.73)+'LINEST VARS'!$C$64*($BK$104*$AZ118)+'LINEST VARS'!$B$64*($BK$104*12.73)+'LINEST VARS'!$A$64*($AZ118*12.73)</f>
        <v>164.18999999999988</v>
      </c>
      <c r="BL118" s="55">
        <f>'LINEST VARS'!$U$64+'LINEST VARS'!$T$64*(8)+'LINEST VARS'!$S$64*(8)+'LINEST VARS'!$R$64*($BL$104)+'LINEST VARS'!$Q$64*($AZ118)+'LINEST VARS'!$P$64*(12.73)+'LINEST VARS'!$O$64*(8^2)+'LINEST VARS'!$N$64*(8^2)+'LINEST VARS'!$M$64*($BL$104^2)+'LINEST VARS'!$L$64*($AZ118^2)+'LINEST VARS'!$K$64*(12.73^2)+'LINEST VARS'!$J$64*(8*8)+'LINEST VARS'!$I$64*(8*$BL$104)+'LINEST VARS'!$H$64*(8*$AZ118)+'LINEST VARS'!$G$64*(8*12.73)+'LINEST VARS'!$F$64*(8*$BL$104)+'LINEST VARS'!$E$64*(8*$AZ118)+'LINEST VARS'!$D$64*(8*12.73)+'LINEST VARS'!$C$64*($BL$104*$AZ118)+'LINEST VARS'!$B$64*($BL$104*12.73)+'LINEST VARS'!$A$64*($AZ118*12.73)</f>
        <v>165.78999999999991</v>
      </c>
      <c r="BM118" s="55">
        <f>'LINEST VARS'!$U$64+'LINEST VARS'!$T$64*(8)+'LINEST VARS'!$S$64*(8)+'LINEST VARS'!$R$64*($BM$104)+'LINEST VARS'!$Q$64*($AZ118)+'LINEST VARS'!$P$64*(12.73)+'LINEST VARS'!$O$64*(8^2)+'LINEST VARS'!$N$64*(8^2)+'LINEST VARS'!$M$64*($BM$104^2)+'LINEST VARS'!$L$64*($AZ118^2)+'LINEST VARS'!$K$64*(12.73^2)+'LINEST VARS'!$J$64*(8*8)+'LINEST VARS'!$I$64*(8*$BM$104)+'LINEST VARS'!$H$64*(8*$AZ118)+'LINEST VARS'!$G$64*(8*12.73)+'LINEST VARS'!$F$64*(8*$BM$104)+'LINEST VARS'!$E$64*(8*$AZ118)+'LINEST VARS'!$D$64*(8*12.73)+'LINEST VARS'!$C$64*($BM$104*$AZ118)+'LINEST VARS'!$B$64*($BM$104*12.73)+'LINEST VARS'!$A$64*($AZ118*12.73)</f>
        <v>167.38999999999987</v>
      </c>
      <c r="BN118" s="55">
        <f>'LINEST VARS'!$U$64+'LINEST VARS'!$T$64*(8)+'LINEST VARS'!$S$64*(8)+'LINEST VARS'!$R$64*($BN$104)+'LINEST VARS'!$Q$64*($AZ118)+'LINEST VARS'!$P$64*(12.73)+'LINEST VARS'!$O$64*(8^2)+'LINEST VARS'!$N$64*(8^2)+'LINEST VARS'!$M$64*($BN$104^2)+'LINEST VARS'!$L$64*($AZ118^2)+'LINEST VARS'!$K$64*(12.73^2)+'LINEST VARS'!$J$64*(8*8)+'LINEST VARS'!$I$64*(8*$BN$104)+'LINEST VARS'!$H$64*(8*$AZ118)+'LINEST VARS'!$G$64*(8*12.73)+'LINEST VARS'!$F$64*(8*$BN$104)+'LINEST VARS'!$E$64*(8*$AZ118)+'LINEST VARS'!$D$64*(8*12.73)+'LINEST VARS'!$C$64*($BN$104*$AZ118)+'LINEST VARS'!$B$64*($BN$104*12.73)+'LINEST VARS'!$A$64*($AZ118*12.73)</f>
        <v>168.9899999999999</v>
      </c>
      <c r="BO118" s="55">
        <f>'LINEST VARS'!$U$64+'LINEST VARS'!$T$64*(8)+'LINEST VARS'!$S$64*(8)+'LINEST VARS'!$R$64*($BO$104)+'LINEST VARS'!$Q$64*($AZ118)+'LINEST VARS'!$P$64*(12.73)+'LINEST VARS'!$O$64*(8^2)+'LINEST VARS'!$N$64*(8^2)+'LINEST VARS'!$M$64*($BO$104^2)+'LINEST VARS'!$L$64*($AZ118^2)+'LINEST VARS'!$K$64*(12.73^2)+'LINEST VARS'!$J$64*(8*8)+'LINEST VARS'!$I$64*(8*$BO$104)+'LINEST VARS'!$H$64*(8*$AZ118)+'LINEST VARS'!$G$64*(8*12.73)+'LINEST VARS'!$F$64*(8*$BO$104)+'LINEST VARS'!$E$64*(8*$AZ118)+'LINEST VARS'!$D$64*(8*12.73)+'LINEST VARS'!$C$64*($BO$104*$AZ118)+'LINEST VARS'!$B$64*($BO$104*12.73)+'LINEST VARS'!$A$64*($AZ118*12.73)</f>
        <v>170.58999999999983</v>
      </c>
      <c r="BP118" s="55">
        <f>'LINEST VARS'!$U$64+'LINEST VARS'!$T$64*(8)+'LINEST VARS'!$S$64*(8)+'LINEST VARS'!$R$64*($BP$104)+'LINEST VARS'!$Q$64*($AZ118)+'LINEST VARS'!$P$64*(12.73)+'LINEST VARS'!$O$64*(8^2)+'LINEST VARS'!$N$64*(8^2)+'LINEST VARS'!$M$64*($BP$104^2)+'LINEST VARS'!$L$64*($AZ118^2)+'LINEST VARS'!$K$64*(12.73^2)+'LINEST VARS'!$J$64*(8*8)+'LINEST VARS'!$I$64*(8*$BP$104)+'LINEST VARS'!$H$64*(8*$AZ118)+'LINEST VARS'!$G$64*(8*12.73)+'LINEST VARS'!$F$64*(8*$BP$104)+'LINEST VARS'!$E$64*(8*$AZ118)+'LINEST VARS'!$D$64*(8*12.73)+'LINEST VARS'!$C$64*($BP$104*$AZ118)+'LINEST VARS'!$B$64*($BP$104*12.73)+'LINEST VARS'!$A$64*($AZ118*12.73)</f>
        <v>172.18999999999986</v>
      </c>
      <c r="BQ118" s="55">
        <f>'LINEST VARS'!$U$64+'LINEST VARS'!$T$64*(8)+'LINEST VARS'!$S$64*(8)+'LINEST VARS'!$R$64*($BQ$104)+'LINEST VARS'!$Q$64*($AZ118)+'LINEST VARS'!$P$64*(12.73)+'LINEST VARS'!$O$64*(8^2)+'LINEST VARS'!$N$64*(8^2)+'LINEST VARS'!$M$64*($BQ$104^2)+'LINEST VARS'!$L$64*($AZ118^2)+'LINEST VARS'!$K$64*(12.73^2)+'LINEST VARS'!$J$64*(8*8)+'LINEST VARS'!$I$64*(8*$BQ$104)+'LINEST VARS'!$H$64*(8*$AZ118)+'LINEST VARS'!$G$64*(8*12.73)+'LINEST VARS'!$F$64*(8*$BQ$104)+'LINEST VARS'!$E$64*(8*$AZ118)+'LINEST VARS'!$D$64*(8*12.73)+'LINEST VARS'!$C$64*($BQ$104*$AZ118)+'LINEST VARS'!$B$64*($BQ$104*12.73)+'LINEST VARS'!$A$64*($AZ118*12.73)</f>
        <v>173.78999999999988</v>
      </c>
      <c r="BR118" s="55">
        <f>'LINEST VARS'!$U$64+'LINEST VARS'!$T$64*(8)+'LINEST VARS'!$S$64*(8)+'LINEST VARS'!$R$64*($BR$104)+'LINEST VARS'!$Q$64*($AZ118)+'LINEST VARS'!$P$64*(12.73)+'LINEST VARS'!$O$64*(8^2)+'LINEST VARS'!$N$64*(8^2)+'LINEST VARS'!$M$64*($BR$104^2)+'LINEST VARS'!$L$64*($AZ118^2)+'LINEST VARS'!$K$64*(12.73^2)+'LINEST VARS'!$J$64*(8*8)+'LINEST VARS'!$I$64*(8*$BR$104)+'LINEST VARS'!$H$64*(8*$AZ118)+'LINEST VARS'!$G$64*(8*12.73)+'LINEST VARS'!$F$64*(8*$BR$104)+'LINEST VARS'!$E$64*(8*$AZ118)+'LINEST VARS'!$D$64*(8*12.73)+'LINEST VARS'!$C$64*($BR$104*$AZ118)+'LINEST VARS'!$B$64*($BR$104*12.73)+'LINEST VARS'!$A$64*($AZ118*12.73)</f>
        <v>175.38999999999984</v>
      </c>
      <c r="BS118" s="55">
        <f>'LINEST VARS'!$U$64+'LINEST VARS'!$T$64*(8)+'LINEST VARS'!$S$64*(8)+'LINEST VARS'!$R$64*($BS$104)+'LINEST VARS'!$Q$64*($AZ118)+'LINEST VARS'!$P$64*(12.73)+'LINEST VARS'!$O$64*(8^2)+'LINEST VARS'!$N$64*(8^2)+'LINEST VARS'!$M$64*($BS$104^2)+'LINEST VARS'!$L$64*($AZ118^2)+'LINEST VARS'!$K$64*(12.73^2)+'LINEST VARS'!$J$64*(8*8)+'LINEST VARS'!$I$64*(8*$BS$104)+'LINEST VARS'!$H$64*(8*$AZ118)+'LINEST VARS'!$G$64*(8*12.73)+'LINEST VARS'!$F$64*(8*$BS$104)+'LINEST VARS'!$E$64*(8*$AZ118)+'LINEST VARS'!$D$64*(8*12.73)+'LINEST VARS'!$C$64*($BS$104*$AZ118)+'LINEST VARS'!$B$64*($BS$104*12.73)+'LINEST VARS'!$A$64*($AZ118*12.73)</f>
        <v>176.98999999999987</v>
      </c>
      <c r="BT118" s="55">
        <f>'LINEST VARS'!$U$64+'LINEST VARS'!$T$64*(8)+'LINEST VARS'!$S$64*(8)+'LINEST VARS'!$R$64*($BT$104)+'LINEST VARS'!$Q$64*($AZ118)+'LINEST VARS'!$P$64*(12.73)+'LINEST VARS'!$O$64*(8^2)+'LINEST VARS'!$N$64*(8^2)+'LINEST VARS'!$M$64*($BT$104^2)+'LINEST VARS'!$L$64*($AZ118^2)+'LINEST VARS'!$K$64*(12.73^2)+'LINEST VARS'!$J$64*(8*8)+'LINEST VARS'!$I$64*(8*$BT$104)+'LINEST VARS'!$H$64*(8*$AZ118)+'LINEST VARS'!$G$64*(8*12.73)+'LINEST VARS'!$F$64*(8*$BT$104)+'LINEST VARS'!$E$64*(8*$AZ118)+'LINEST VARS'!$D$64*(8*12.73)+'LINEST VARS'!$C$64*($BT$104*$AZ118)+'LINEST VARS'!$B$64*($BT$104*12.73)+'LINEST VARS'!$A$64*($AZ118*12.73)</f>
        <v>178.58999999999983</v>
      </c>
      <c r="BU118" s="56">
        <f>'LINEST VARS'!$U$64+'LINEST VARS'!$T$64*(8)+'LINEST VARS'!$S$64*(8)+'LINEST VARS'!$R$64*($BU$104)+'LINEST VARS'!$Q$64*($AZ118)+'LINEST VARS'!$P$64*(12.73)+'LINEST VARS'!$O$64*(8^2)+'LINEST VARS'!$N$64*(8^2)+'LINEST VARS'!$M$64*($BU$104^2)+'LINEST VARS'!$L$64*($AZ118^2)+'LINEST VARS'!$K$64*(12.73^2)+'LINEST VARS'!$J$64*(8*8)+'LINEST VARS'!$I$64*(8*$BU$104)+'LINEST VARS'!$H$64*(8*$AZ118)+'LINEST VARS'!$G$64*(8*12.73)+'LINEST VARS'!$F$64*(8*$BU$104)+'LINEST VARS'!$E$64*(8*$AZ118)+'LINEST VARS'!$D$64*(8*12.73)+'LINEST VARS'!$C$64*($BU$104*$AZ118)+'LINEST VARS'!$B$64*($BU$104*12.73)+'LINEST VARS'!$A$64*($AZ118*12.73)</f>
        <v>180.18999999999986</v>
      </c>
      <c r="BX118" s="45">
        <v>0.65</v>
      </c>
      <c r="BY118" s="46">
        <f>'LINEST VARS'!$U$66+'LINEST VARS'!$T$66*(8)+'LINEST VARS'!$S$66*(8)+'LINEST VARS'!$R$66*($BY$104)+'LINEST VARS'!$Q$66*($BX118)+'LINEST VARS'!$P$66*(12.73)+'LINEST VARS'!$O$66*(8^2)+'LINEST VARS'!$N$66*(8^2)+'LINEST VARS'!$M$66*($BY$104^2)+'LINEST VARS'!$L$66*($BX118^2)+'LINEST VARS'!$K$66*(12.73^2)+'LINEST VARS'!$J$66*(8*8)+'LINEST VARS'!$I$66*(8*$BY$104)+'LINEST VARS'!$H$66*(8*$BX118)+'LINEST VARS'!$G$66*(8*12.73)+'LINEST VARS'!$F$66*(8*$BY$104)+'LINEST VARS'!$E$66*(8*$BX118)+'LINEST VARS'!$D$66*(8*12.73)+'LINEST VARS'!$C$66*($BY$104*$BX118)+'LINEST VARS'!$B$66*($BY$104*12.73)+'LINEST VARS'!$A$66*($BX118*12.73)</f>
        <v>144.00000000000006</v>
      </c>
      <c r="BZ118" s="46">
        <f>'LINEST VARS'!$U$66+'LINEST VARS'!$T$66*(8)+'LINEST VARS'!$S$66*(8)+'LINEST VARS'!$R$66*($BZ$104)+'LINEST VARS'!$Q$66*($BX118)+'LINEST VARS'!$P$66*(12.73)+'LINEST VARS'!$O$66*(8^2)+'LINEST VARS'!$N$66*(8^2)+'LINEST VARS'!$M$66*($BZ$104^2)+'LINEST VARS'!$L$66*($BX118^2)+'LINEST VARS'!$K$66*(12.73^2)+'LINEST VARS'!$J$66*(8*8)+'LINEST VARS'!$I$66*(8*$BZ$104)+'LINEST VARS'!$H$66*(8*$BX118)+'LINEST VARS'!$G$66*(8*12.73)+'LINEST VARS'!$F$66*(8*$BZ$104)+'LINEST VARS'!$E$66*(8*$BX118)+'LINEST VARS'!$D$66*(8*12.73)+'LINEST VARS'!$C$66*($BZ$104*$BX118)+'LINEST VARS'!$B$66*($BZ$104*12.73)+'LINEST VARS'!$A$66*($BX118*12.73)</f>
        <v>143.20000000000007</v>
      </c>
      <c r="CA118" s="46">
        <f>'LINEST VARS'!$U$66+'LINEST VARS'!$T$66*(8)+'LINEST VARS'!$S$66*(8)+'LINEST VARS'!$R$66*($CA$104)+'LINEST VARS'!$Q$66*($BX118)+'LINEST VARS'!$P$66*(12.73)+'LINEST VARS'!$O$66*(8^2)+'LINEST VARS'!$N$66*(8^2)+'LINEST VARS'!$M$66*($CA$104^2)+'LINEST VARS'!$L$66*($BX118^2)+'LINEST VARS'!$K$66*(12.73^2)+'LINEST VARS'!$J$66*(8*8)+'LINEST VARS'!$I$66*(8*$CA$104)+'LINEST VARS'!$H$66*(8*$BX118)+'LINEST VARS'!$G$66*(8*12.73)+'LINEST VARS'!$F$66*(8*$CA$104)+'LINEST VARS'!$E$66*(8*$BX118)+'LINEST VARS'!$D$66*(8*12.73)+'LINEST VARS'!$C$66*($CA$104*$BX118)+'LINEST VARS'!$B$66*($CA$104*12.73)+'LINEST VARS'!$A$66*($BX118*12.73)</f>
        <v>142.40000000000006</v>
      </c>
      <c r="CB118" s="46">
        <f>'LINEST VARS'!$U$66+'LINEST VARS'!$T$66*(8)+'LINEST VARS'!$S$66*(8)+'LINEST VARS'!$R$66*($CB$104)+'LINEST VARS'!$Q$66*($BX118)+'LINEST VARS'!$P$66*(12.73)+'LINEST VARS'!$O$66*(8^2)+'LINEST VARS'!$N$66*(8^2)+'LINEST VARS'!$M$66*($CB$104^2)+'LINEST VARS'!$L$66*($BX118^2)+'LINEST VARS'!$K$66*(12.73^2)+'LINEST VARS'!$J$66*(8*8)+'LINEST VARS'!$I$66*(8*$CB$104)+'LINEST VARS'!$H$66*(8*$BX118)+'LINEST VARS'!$G$66*(8*12.73)+'LINEST VARS'!$F$66*(8*$CB$104)+'LINEST VARS'!$E$66*(8*$BX118)+'LINEST VARS'!$D$66*(8*12.73)+'LINEST VARS'!$C$66*($CB$104*$BX118)+'LINEST VARS'!$B$66*($CB$104*12.73)+'LINEST VARS'!$A$66*($BX118*12.73)</f>
        <v>141.60000000000008</v>
      </c>
      <c r="CC118" s="46">
        <f>'LINEST VARS'!$U$66+'LINEST VARS'!$T$66*(8)+'LINEST VARS'!$S$66*(8)+'LINEST VARS'!$R$66*($CC$104)+'LINEST VARS'!$Q$66*($BX118)+'LINEST VARS'!$P$66*(12.73)+'LINEST VARS'!$O$66*(8^2)+'LINEST VARS'!$N$66*(8^2)+'LINEST VARS'!$M$66*($CC$104^2)+'LINEST VARS'!$L$66*($BX118^2)+'LINEST VARS'!$K$66*(12.73^2)+'LINEST VARS'!$J$66*(8*8)+'LINEST VARS'!$I$66*(8*$CC$104)+'LINEST VARS'!$H$66*(8*$BX118)+'LINEST VARS'!$G$66*(8*12.73)+'LINEST VARS'!$F$66*(8*$CC$104)+'LINEST VARS'!$E$66*(8*$BX118)+'LINEST VARS'!$D$66*(8*12.73)+'LINEST VARS'!$C$66*($CC$104*$BX118)+'LINEST VARS'!$B$66*($CC$104*12.73)+'LINEST VARS'!$A$66*($BX118*12.73)</f>
        <v>140.80000000000007</v>
      </c>
      <c r="CD118" s="46">
        <f>'LINEST VARS'!$U$66+'LINEST VARS'!$T$66*(8)+'LINEST VARS'!$S$66*(8)+'LINEST VARS'!$R$66*($CD$104)+'LINEST VARS'!$Q$66*($BX118)+'LINEST VARS'!$P$66*(12.73)+'LINEST VARS'!$O$66*(8^2)+'LINEST VARS'!$N$66*(8^2)+'LINEST VARS'!$M$66*($CD$104^2)+'LINEST VARS'!$L$66*($BX118^2)+'LINEST VARS'!$K$66*(12.73^2)+'LINEST VARS'!$J$66*(8*8)+'LINEST VARS'!$I$66*(8*$CD$104)+'LINEST VARS'!$H$66*(8*$BX118)+'LINEST VARS'!$G$66*(8*12.73)+'LINEST VARS'!$F$66*(8*$CD$104)+'LINEST VARS'!$E$66*(8*$BX118)+'LINEST VARS'!$D$66*(8*12.73)+'LINEST VARS'!$C$66*($CD$104*$BX118)+'LINEST VARS'!$B$66*($CD$104*12.73)+'LINEST VARS'!$A$66*($BX118*12.73)</f>
        <v>140.00000000000009</v>
      </c>
      <c r="CE118" s="46">
        <f>'LINEST VARS'!$U$66+'LINEST VARS'!$T$66*(8)+'LINEST VARS'!$S$66*(8)+'LINEST VARS'!$R$66*($CE$104)+'LINEST VARS'!$Q$66*($BX118)+'LINEST VARS'!$P$66*(12.73)+'LINEST VARS'!$O$66*(8^2)+'LINEST VARS'!$N$66*(8^2)+'LINEST VARS'!$M$66*($CE$104^2)+'LINEST VARS'!$L$66*($BX118^2)+'LINEST VARS'!$K$66*(12.73^2)+'LINEST VARS'!$J$66*(8*8)+'LINEST VARS'!$I$66*(8*$CE$104)+'LINEST VARS'!$H$66*(8*$BX118)+'LINEST VARS'!$G$66*(8*12.73)+'LINEST VARS'!$F$66*(8*$CE$104)+'LINEST VARS'!$E$66*(8*$BX118)+'LINEST VARS'!$D$66*(8*12.73)+'LINEST VARS'!$C$66*($CE$104*$BX118)+'LINEST VARS'!$B$66*($CE$104*12.73)+'LINEST VARS'!$A$66*($BX118*12.73)</f>
        <v>139.20000000000007</v>
      </c>
      <c r="CF118" s="46">
        <f>'LINEST VARS'!$U$66+'LINEST VARS'!$T$66*(8)+'LINEST VARS'!$S$66*(8)+'LINEST VARS'!$R$66*($CF$104)+'LINEST VARS'!$Q$66*($BX118)+'LINEST VARS'!$P$66*(12.73)+'LINEST VARS'!$O$66*(8^2)+'LINEST VARS'!$N$66*(8^2)+'LINEST VARS'!$M$66*($CF$104^2)+'LINEST VARS'!$L$66*($BX118^2)+'LINEST VARS'!$K$66*(12.73^2)+'LINEST VARS'!$J$66*(8*8)+'LINEST VARS'!$I$66*(8*$CF$104)+'LINEST VARS'!$H$66*(8*$BX118)+'LINEST VARS'!$G$66*(8*12.73)+'LINEST VARS'!$F$66*(8*$CF$104)+'LINEST VARS'!$E$66*(8*$BX118)+'LINEST VARS'!$D$66*(8*12.73)+'LINEST VARS'!$C$66*($CF$104*$BX118)+'LINEST VARS'!$B$66*($CF$104*12.73)+'LINEST VARS'!$A$66*($BX118*12.73)</f>
        <v>138.40000000000009</v>
      </c>
      <c r="CG118" s="46">
        <f>'LINEST VARS'!$U$66+'LINEST VARS'!$T$66*(8)+'LINEST VARS'!$S$66*(8)+'LINEST VARS'!$R$66*($CG$104)+'LINEST VARS'!$Q$66*($BX118)+'LINEST VARS'!$P$66*(12.73)+'LINEST VARS'!$O$66*(8^2)+'LINEST VARS'!$N$66*(8^2)+'LINEST VARS'!$M$66*($CG$104^2)+'LINEST VARS'!$L$66*($BX118^2)+'LINEST VARS'!$K$66*(12.73^2)+'LINEST VARS'!$J$66*(8*8)+'LINEST VARS'!$I$66*(8*$CG$104)+'LINEST VARS'!$H$66*(8*$BX118)+'LINEST VARS'!$G$66*(8*12.73)+'LINEST VARS'!$F$66*(8*$CG$104)+'LINEST VARS'!$E$66*(8*$BX118)+'LINEST VARS'!$D$66*(8*12.73)+'LINEST VARS'!$C$66*($CG$104*$BX118)+'LINEST VARS'!$B$66*($CG$104*12.73)+'LINEST VARS'!$A$66*($BX118*12.73)</f>
        <v>137.60000000000008</v>
      </c>
      <c r="CH118" s="46">
        <f>'LINEST VARS'!$U$66+'LINEST VARS'!$T$66*(8)+'LINEST VARS'!$S$66*(8)+'LINEST VARS'!$R$66*($CH$104)+'LINEST VARS'!$Q$66*($BX118)+'LINEST VARS'!$P$66*(12.73)+'LINEST VARS'!$O$66*(8^2)+'LINEST VARS'!$N$66*(8^2)+'LINEST VARS'!$M$66*($CH$104^2)+'LINEST VARS'!$L$66*($BX118^2)+'LINEST VARS'!$K$66*(12.73^2)+'LINEST VARS'!$J$66*(8*8)+'LINEST VARS'!$I$66*(8*$CH$104)+'LINEST VARS'!$H$66*(8*$BX118)+'LINEST VARS'!$G$66*(8*12.73)+'LINEST VARS'!$F$66*(8*$CH$104)+'LINEST VARS'!$E$66*(8*$BX118)+'LINEST VARS'!$D$66*(8*12.73)+'LINEST VARS'!$C$66*($CH$104*$BX118)+'LINEST VARS'!$B$66*($CH$104*12.73)+'LINEST VARS'!$A$66*($BX118*12.73)</f>
        <v>136.80000000000007</v>
      </c>
      <c r="CI118" s="46">
        <f>'LINEST VARS'!$U$66+'LINEST VARS'!$T$66*(8)+'LINEST VARS'!$S$66*(8)+'LINEST VARS'!$R$66*($CI$104)+'LINEST VARS'!$Q$66*($BX118)+'LINEST VARS'!$P$66*(12.73)+'LINEST VARS'!$O$66*(8^2)+'LINEST VARS'!$N$66*(8^2)+'LINEST VARS'!$M$66*($CI$104^2)+'LINEST VARS'!$L$66*($BX118^2)+'LINEST VARS'!$K$66*(12.73^2)+'LINEST VARS'!$J$66*(8*8)+'LINEST VARS'!$I$66*(8*$CI$104)+'LINEST VARS'!$H$66*(8*$BX118)+'LINEST VARS'!$G$66*(8*12.73)+'LINEST VARS'!$F$66*(8*$CI$104)+'LINEST VARS'!$E$66*(8*$BX118)+'LINEST VARS'!$D$66*(8*12.73)+'LINEST VARS'!$C$66*($CI$104*$BX118)+'LINEST VARS'!$B$66*($CI$104*12.73)+'LINEST VARS'!$A$66*($BX118*12.73)</f>
        <v>136.00000000000006</v>
      </c>
      <c r="CJ118" s="46">
        <f>'LINEST VARS'!$U$66+'LINEST VARS'!$T$66*(8)+'LINEST VARS'!$S$66*(8)+'LINEST VARS'!$R$66*($CJ$104)+'LINEST VARS'!$Q$66*($BX118)+'LINEST VARS'!$P$66*(12.73)+'LINEST VARS'!$O$66*(8^2)+'LINEST VARS'!$N$66*(8^2)+'LINEST VARS'!$M$66*($CJ$104^2)+'LINEST VARS'!$L$66*($BX118^2)+'LINEST VARS'!$K$66*(12.73^2)+'LINEST VARS'!$J$66*(8*8)+'LINEST VARS'!$I$66*(8*$CJ$104)+'LINEST VARS'!$H$66*(8*$BX118)+'LINEST VARS'!$G$66*(8*12.73)+'LINEST VARS'!$F$66*(8*$CJ$104)+'LINEST VARS'!$E$66*(8*$BX118)+'LINEST VARS'!$D$66*(8*12.73)+'LINEST VARS'!$C$66*($CJ$104*$BX118)+'LINEST VARS'!$B$66*($CJ$104*12.73)+'LINEST VARS'!$A$66*($BX118*12.73)</f>
        <v>135.20000000000005</v>
      </c>
      <c r="CK118" s="46">
        <f>'LINEST VARS'!$U$66+'LINEST VARS'!$T$66*(8)+'LINEST VARS'!$S$66*(8)+'LINEST VARS'!$R$66*($CK$104)+'LINEST VARS'!$Q$66*($BX118)+'LINEST VARS'!$P$66*(12.73)+'LINEST VARS'!$O$66*(8^2)+'LINEST VARS'!$N$66*(8^2)+'LINEST VARS'!$M$66*($CK$104^2)+'LINEST VARS'!$L$66*($BX118^2)+'LINEST VARS'!$K$66*(12.73^2)+'LINEST VARS'!$J$66*(8*8)+'LINEST VARS'!$I$66*(8*$CK$104)+'LINEST VARS'!$H$66*(8*$BX118)+'LINEST VARS'!$G$66*(8*12.73)+'LINEST VARS'!$F$66*(8*$CK$104)+'LINEST VARS'!$E$66*(8*$BX118)+'LINEST VARS'!$D$66*(8*12.73)+'LINEST VARS'!$C$66*($CK$104*$BX118)+'LINEST VARS'!$B$66*($CK$104*12.73)+'LINEST VARS'!$A$66*($BX118*12.73)</f>
        <v>134.40000000000003</v>
      </c>
      <c r="CL118" s="46">
        <f>'LINEST VARS'!$U$66+'LINEST VARS'!$T$66*(8)+'LINEST VARS'!$S$66*(8)+'LINEST VARS'!$R$66*($CL$104)+'LINEST VARS'!$Q$66*($BX118)+'LINEST VARS'!$P$66*(12.73)+'LINEST VARS'!$O$66*(8^2)+'LINEST VARS'!$N$66*(8^2)+'LINEST VARS'!$M$66*($CL$104^2)+'LINEST VARS'!$L$66*($BX118^2)+'LINEST VARS'!$K$66*(12.73^2)+'LINEST VARS'!$J$66*(8*8)+'LINEST VARS'!$I$66*(8*$CL$104)+'LINEST VARS'!$H$66*(8*$BX118)+'LINEST VARS'!$G$66*(8*12.73)+'LINEST VARS'!$F$66*(8*$CL$104)+'LINEST VARS'!$E$66*(8*$BX118)+'LINEST VARS'!$D$66*(8*12.73)+'LINEST VARS'!$C$66*($CL$104*$BX118)+'LINEST VARS'!$B$66*($CL$104*12.73)+'LINEST VARS'!$A$66*($BX118*12.73)</f>
        <v>133.60000000000005</v>
      </c>
      <c r="CM118" s="46">
        <f>'LINEST VARS'!$U$66+'LINEST VARS'!$T$66*(8)+'LINEST VARS'!$S$66*(8)+'LINEST VARS'!$R$66*($CM$104)+'LINEST VARS'!$Q$66*($BX118)+'LINEST VARS'!$P$66*(12.73)+'LINEST VARS'!$O$66*(8^2)+'LINEST VARS'!$N$66*(8^2)+'LINEST VARS'!$M$66*($CM$104^2)+'LINEST VARS'!$L$66*($BX118^2)+'LINEST VARS'!$K$66*(12.73^2)+'LINEST VARS'!$J$66*(8*8)+'LINEST VARS'!$I$66*(8*$CM$104)+'LINEST VARS'!$H$66*(8*$BX118)+'LINEST VARS'!$G$66*(8*12.73)+'LINEST VARS'!$F$66*(8*$CM$104)+'LINEST VARS'!$E$66*(8*$BX118)+'LINEST VARS'!$D$66*(8*12.73)+'LINEST VARS'!$C$66*($CM$104*$BX118)+'LINEST VARS'!$B$66*($CM$104*12.73)+'LINEST VARS'!$A$66*($BX118*12.73)</f>
        <v>132.80000000000004</v>
      </c>
      <c r="CN118" s="46">
        <f>'LINEST VARS'!$U$66+'LINEST VARS'!$T$66*(8)+'LINEST VARS'!$S$66*(8)+'LINEST VARS'!$R$66*($CN$104)+'LINEST VARS'!$Q$66*($BX118)+'LINEST VARS'!$P$66*(12.73)+'LINEST VARS'!$O$66*(8^2)+'LINEST VARS'!$N$66*(8^2)+'LINEST VARS'!$M$66*($CN$104^2)+'LINEST VARS'!$L$66*($BX118^2)+'LINEST VARS'!$K$66*(12.73^2)+'LINEST VARS'!$J$66*(8*8)+'LINEST VARS'!$I$66*(8*$CN$104)+'LINEST VARS'!$H$66*(8*$BX118)+'LINEST VARS'!$G$66*(8*12.73)+'LINEST VARS'!$F$66*(8*$CN$104)+'LINEST VARS'!$E$66*(8*$BX118)+'LINEST VARS'!$D$66*(8*12.73)+'LINEST VARS'!$C$66*($CN$104*$BX118)+'LINEST VARS'!$B$66*($CN$104*12.73)+'LINEST VARS'!$A$66*($BX118*12.73)</f>
        <v>132.00000000000006</v>
      </c>
      <c r="CO118" s="46">
        <f>'LINEST VARS'!$U$66+'LINEST VARS'!$T$66*(8)+'LINEST VARS'!$S$66*(8)+'LINEST VARS'!$R$66*($CO$104)+'LINEST VARS'!$Q$66*($BX118)+'LINEST VARS'!$P$66*(12.73)+'LINEST VARS'!$O$66*(8^2)+'LINEST VARS'!$N$66*(8^2)+'LINEST VARS'!$M$66*($CO$104^2)+'LINEST VARS'!$L$66*($BX118^2)+'LINEST VARS'!$K$66*(12.73^2)+'LINEST VARS'!$J$66*(8*8)+'LINEST VARS'!$I$66*(8*$CO$104)+'LINEST VARS'!$H$66*(8*$BX118)+'LINEST VARS'!$G$66*(8*12.73)+'LINEST VARS'!$F$66*(8*$CO$104)+'LINEST VARS'!$E$66*(8*$BX118)+'LINEST VARS'!$D$66*(8*12.73)+'LINEST VARS'!$C$66*($CO$104*$BX118)+'LINEST VARS'!$B$66*($CO$104*12.73)+'LINEST VARS'!$A$66*($BX118*12.73)</f>
        <v>131.20000000000005</v>
      </c>
      <c r="CP118" s="46">
        <f>'LINEST VARS'!$U$66+'LINEST VARS'!$T$66*(8)+'LINEST VARS'!$S$66*(8)+'LINEST VARS'!$R$66*($CP$104)+'LINEST VARS'!$Q$66*($BX118)+'LINEST VARS'!$P$66*(12.73)+'LINEST VARS'!$O$66*(8^2)+'LINEST VARS'!$N$66*(8^2)+'LINEST VARS'!$M$66*($CP$104^2)+'LINEST VARS'!$L$66*($BX118^2)+'LINEST VARS'!$K$66*(12.73^2)+'LINEST VARS'!$J$66*(8*8)+'LINEST VARS'!$I$66*(8*$CP$104)+'LINEST VARS'!$H$66*(8*$BX118)+'LINEST VARS'!$G$66*(8*12.73)+'LINEST VARS'!$F$66*(8*$CP$104)+'LINEST VARS'!$E$66*(8*$BX118)+'LINEST VARS'!$D$66*(8*12.73)+'LINEST VARS'!$C$66*($CP$104*$BX118)+'LINEST VARS'!$B$66*($CP$104*12.73)+'LINEST VARS'!$A$66*($BX118*12.73)</f>
        <v>130.40000000000009</v>
      </c>
      <c r="CQ118" s="46">
        <f>'LINEST VARS'!$U$66+'LINEST VARS'!$T$66*(8)+'LINEST VARS'!$S$66*(8)+'LINEST VARS'!$R$66*($CQ$104)+'LINEST VARS'!$Q$66*($BX118)+'LINEST VARS'!$P$66*(12.73)+'LINEST VARS'!$O$66*(8^2)+'LINEST VARS'!$N$66*(8^2)+'LINEST VARS'!$M$66*($CQ$104^2)+'LINEST VARS'!$L$66*($BX118^2)+'LINEST VARS'!$K$66*(12.73^2)+'LINEST VARS'!$J$66*(8*8)+'LINEST VARS'!$I$66*(8*$CQ$104)+'LINEST VARS'!$H$66*(8*$BX118)+'LINEST VARS'!$G$66*(8*12.73)+'LINEST VARS'!$F$66*(8*$CQ$104)+'LINEST VARS'!$E$66*(8*$BX118)+'LINEST VARS'!$D$66*(8*12.73)+'LINEST VARS'!$C$66*($CQ$104*$BX118)+'LINEST VARS'!$B$66*($CQ$104*12.73)+'LINEST VARS'!$A$66*($BX118*12.73)</f>
        <v>129.60000000000008</v>
      </c>
      <c r="CR118" s="46">
        <f>'LINEST VARS'!$U$66+'LINEST VARS'!$T$66*(8)+'LINEST VARS'!$S$66*(8)+'LINEST VARS'!$R$66*($CR$104)+'LINEST VARS'!$Q$66*($BX118)+'LINEST VARS'!$P$66*(12.73)+'LINEST VARS'!$O$66*(8^2)+'LINEST VARS'!$N$66*(8^2)+'LINEST VARS'!$M$66*($CR$104^2)+'LINEST VARS'!$L$66*($BX118^2)+'LINEST VARS'!$K$66*(12.73^2)+'LINEST VARS'!$J$66*(8*8)+'LINEST VARS'!$I$66*(8*$CR$104)+'LINEST VARS'!$H$66*(8*$BX118)+'LINEST VARS'!$G$66*(8*12.73)+'LINEST VARS'!$F$66*(8*$CR$104)+'LINEST VARS'!$E$66*(8*$BX118)+'LINEST VARS'!$D$66*(8*12.73)+'LINEST VARS'!$C$66*($CR$104*$BX118)+'LINEST VARS'!$B$66*($CR$104*12.73)+'LINEST VARS'!$A$66*($BX118*12.73)</f>
        <v>128.8000000000001</v>
      </c>
      <c r="CS118" s="47">
        <f>'LINEST VARS'!$U$66+'LINEST VARS'!$T$66*(8)+'LINEST VARS'!$S$66*(8)+'LINEST VARS'!$R$66*($CS$104)+'LINEST VARS'!$Q$66*($BX118)+'LINEST VARS'!$P$66*(12.73)+'LINEST VARS'!$O$66*(8^2)+'LINEST VARS'!$N$66*(8^2)+'LINEST VARS'!$M$66*($CS$104^2)+'LINEST VARS'!$L$66*($BX118^2)+'LINEST VARS'!$K$66*(12.73^2)+'LINEST VARS'!$J$66*(8*8)+'LINEST VARS'!$I$66*(8*$CS$104)+'LINEST VARS'!$H$66*(8*$BX118)+'LINEST VARS'!$G$66*(8*12.73)+'LINEST VARS'!$F$66*(8*$CS$104)+'LINEST VARS'!$E$66*(8*$BX118)+'LINEST VARS'!$D$66*(8*12.73)+'LINEST VARS'!$C$66*($CS$104*$BX118)+'LINEST VARS'!$B$66*($CS$104*12.73)+'LINEST VARS'!$A$66*($BX118*12.73)</f>
        <v>128.00000000000006</v>
      </c>
      <c r="CX118" s="45">
        <v>16.8935</v>
      </c>
      <c r="CY118" s="55">
        <f>'LINEST VARS'!$U$64+'LINEST VARS'!$T$64*(8)+'LINEST VARS'!$S$64*(8)+'LINEST VARS'!$R$64*($CY$104)+'LINEST VARS'!$Q$64*(0.5)+'LINEST VARS'!$P$64*($CX118)+'LINEST VARS'!$O$64*(8^2)+'LINEST VARS'!$N$64*(8^2)+'LINEST VARS'!$M$64*($CY$104^2)+'LINEST VARS'!$L$64*(0.5^2)+'LINEST VARS'!$K$64*($CX118^2)+'LINEST VARS'!$J$64*(8*8)+'LINEST VARS'!$I$64*(8*$CY$104)+'LINEST VARS'!$H$64*(8*0.5)+'LINEST VARS'!$G$64*(8*$CX118)+'LINEST VARS'!$F$64*(8*$CY$104)+'LINEST VARS'!$E$64*(8*0.5)+'LINEST VARS'!$D$64*(8*$CX118)+'LINEST VARS'!$C$64*($CY$104*0.5)+'LINEST VARS'!$B$64*($CY$104*$CX118)+'LINEST VARS'!$A$64*(0.5*$CX118)</f>
        <v>160.68049999999991</v>
      </c>
      <c r="CZ118" s="55">
        <f>'LINEST VARS'!$U$64+'LINEST VARS'!$T$64*(8)+'LINEST VARS'!$S$64*(8)+'LINEST VARS'!$R$64*($CZ$104)+'LINEST VARS'!$Q$64*(0.5)+'LINEST VARS'!$P$64*($CX118)+'LINEST VARS'!$O$64*(8^2)+'LINEST VARS'!$N$64*(8^2)+'LINEST VARS'!$M$64*($CZ$104^2)+'LINEST VARS'!$L$64*(0.5^2)+'LINEST VARS'!$K$64*($CX118^2)+'LINEST VARS'!$J$64*(8*8)+'LINEST VARS'!$I$64*(8*$CZ$104)+'LINEST VARS'!$H$64*(8*0.5)+'LINEST VARS'!$G$64*(8*$CX118)+'LINEST VARS'!$F$64*(8*$CZ$104)+'LINEST VARS'!$E$64*(8*0.5)+'LINEST VARS'!$D$64*(8*$CX118)+'LINEST VARS'!$C$64*($CZ$104*0.5)+'LINEST VARS'!$B$64*($CZ$104*$CX118)+'LINEST VARS'!$A$64*(0.5*$CX118)</f>
        <v>162.28049999999988</v>
      </c>
      <c r="DA118" s="55">
        <f>'LINEST VARS'!$U$64+'LINEST VARS'!$T$64*(8)+'LINEST VARS'!$S$64*(8)+'LINEST VARS'!$R$64*($DA$104)+'LINEST VARS'!$Q$64*(0.5)+'LINEST VARS'!$P$64*($CX118)+'LINEST VARS'!$O$64*(8^2)+'LINEST VARS'!$N$64*(8^2)+'LINEST VARS'!$M$64*($DA$104^2)+'LINEST VARS'!$L$64*(0.5^2)+'LINEST VARS'!$K$64*($CX118^2)+'LINEST VARS'!$J$64*(8*8)+'LINEST VARS'!$I$64*(8*$DA$104)+'LINEST VARS'!$H$64*(8*0.5)+'LINEST VARS'!$G$64*(8*$CX118)+'LINEST VARS'!$F$64*(8*$DA$104)+'LINEST VARS'!$E$64*(8*0.5)+'LINEST VARS'!$D$64*(8*$CX118)+'LINEST VARS'!$C$64*($DA$104*0.5)+'LINEST VARS'!$B$64*($DA$104*$CX118)+'LINEST VARS'!$A$64*(0.5*$CX118)</f>
        <v>163.8804999999999</v>
      </c>
      <c r="DB118" s="55">
        <f>'LINEST VARS'!$U$64+'LINEST VARS'!$T$64*(8)+'LINEST VARS'!$S$64*(8)+'LINEST VARS'!$R$64*($DB$104)+'LINEST VARS'!$Q$64*(0.5)+'LINEST VARS'!$P$64*($CX118)+'LINEST VARS'!$O$64*(8^2)+'LINEST VARS'!$N$64*(8^2)+'LINEST VARS'!$M$64*($DB$104^2)+'LINEST VARS'!$L$64*(0.5^2)+'LINEST VARS'!$K$64*($CX118^2)+'LINEST VARS'!$J$64*(8*8)+'LINEST VARS'!$I$64*(8*$DB$104)+'LINEST VARS'!$H$64*(8*0.5)+'LINEST VARS'!$G$64*(8*$CX118)+'LINEST VARS'!$F$64*(8*$DB$104)+'LINEST VARS'!$E$64*(8*0.5)+'LINEST VARS'!$D$64*(8*$CX118)+'LINEST VARS'!$C$64*($DB$104*0.5)+'LINEST VARS'!$B$64*($DB$104*$CX118)+'LINEST VARS'!$A$64*(0.5*$CX118)</f>
        <v>165.48049999999989</v>
      </c>
      <c r="DC118" s="55">
        <f>'LINEST VARS'!$U$64+'LINEST VARS'!$T$64*(8)+'LINEST VARS'!$S$64*(8)+'LINEST VARS'!$R$64*($DC$104)+'LINEST VARS'!$Q$64*(0.5)+'LINEST VARS'!$P$64*($CX118)+'LINEST VARS'!$O$64*(8^2)+'LINEST VARS'!$N$64*(8^2)+'LINEST VARS'!$M$64*($DC$104^2)+'LINEST VARS'!$L$64*(0.5^2)+'LINEST VARS'!$K$64*($CX118^2)+'LINEST VARS'!$J$64*(8*8)+'LINEST VARS'!$I$64*(8*$DC$104)+'LINEST VARS'!$H$64*(8*0.5)+'LINEST VARS'!$G$64*(8*$CX118)+'LINEST VARS'!$F$64*(8*$DC$104)+'LINEST VARS'!$E$64*(8*0.5)+'LINEST VARS'!$D$64*(8*$CX118)+'LINEST VARS'!$C$64*($DC$104*0.5)+'LINEST VARS'!$B$64*($DC$104*$CX118)+'LINEST VARS'!$A$64*(0.5*$CX118)</f>
        <v>167.08049999999989</v>
      </c>
      <c r="DD118" s="55">
        <f>'LINEST VARS'!$U$64+'LINEST VARS'!$T$64*(8)+'LINEST VARS'!$S$64*(8)+'LINEST VARS'!$R$64*($DD$104)+'LINEST VARS'!$Q$64*(0.5)+'LINEST VARS'!$P$64*($CX118)+'LINEST VARS'!$O$64*(8^2)+'LINEST VARS'!$N$64*(8^2)+'LINEST VARS'!$M$64*($DD$104^2)+'LINEST VARS'!$L$64*(0.5^2)+'LINEST VARS'!$K$64*($CX118^2)+'LINEST VARS'!$J$64*(8*8)+'LINEST VARS'!$I$64*(8*$DD$104)+'LINEST VARS'!$H$64*(8*0.5)+'LINEST VARS'!$G$64*(8*$CX118)+'LINEST VARS'!$F$64*(8*$DD$104)+'LINEST VARS'!$E$64*(8*0.5)+'LINEST VARS'!$D$64*(8*$CX118)+'LINEST VARS'!$C$64*($DD$104*0.5)+'LINEST VARS'!$B$64*($DD$104*$CX118)+'LINEST VARS'!$A$64*(0.5*$CX118)</f>
        <v>168.68049999999991</v>
      </c>
      <c r="DE118" s="55">
        <f>'LINEST VARS'!$U$64+'LINEST VARS'!$T$64*(8)+'LINEST VARS'!$S$64*(8)+'LINEST VARS'!$R$64*($DE$104)+'LINEST VARS'!$Q$64*(0.5)+'LINEST VARS'!$P$64*($CX118)+'LINEST VARS'!$O$64*(8^2)+'LINEST VARS'!$N$64*(8^2)+'LINEST VARS'!$M$64*($DE$104^2)+'LINEST VARS'!$L$64*(0.5^2)+'LINEST VARS'!$K$64*($CX118^2)+'LINEST VARS'!$J$64*(8*8)+'LINEST VARS'!$I$64*(8*$DE$104)+'LINEST VARS'!$H$64*(8*0.5)+'LINEST VARS'!$G$64*(8*$CX118)+'LINEST VARS'!$F$64*(8*$DE$104)+'LINEST VARS'!$E$64*(8*0.5)+'LINEST VARS'!$D$64*(8*$CX118)+'LINEST VARS'!$C$64*($DE$104*0.5)+'LINEST VARS'!$B$64*($DE$104*$CX118)+'LINEST VARS'!$A$64*(0.5*$CX118)</f>
        <v>170.28049999999988</v>
      </c>
      <c r="DF118" s="55">
        <f>'LINEST VARS'!$U$64+'LINEST VARS'!$T$64*(8)+'LINEST VARS'!$S$64*(8)+'LINEST VARS'!$R$64*($DF$104)+'LINEST VARS'!$Q$64*(0.5)+'LINEST VARS'!$P$64*($CX118)+'LINEST VARS'!$O$64*(8^2)+'LINEST VARS'!$N$64*(8^2)+'LINEST VARS'!$M$64*($DF$104^2)+'LINEST VARS'!$L$64*(0.5^2)+'LINEST VARS'!$K$64*($CX118^2)+'LINEST VARS'!$J$64*(8*8)+'LINEST VARS'!$I$64*(8*$DF$104)+'LINEST VARS'!$H$64*(8*0.5)+'LINEST VARS'!$G$64*(8*$CX118)+'LINEST VARS'!$F$64*(8*$DF$104)+'LINEST VARS'!$E$64*(8*0.5)+'LINEST VARS'!$D$64*(8*$CX118)+'LINEST VARS'!$C$64*($DF$104*0.5)+'LINEST VARS'!$B$64*($DF$104*$CX118)+'LINEST VARS'!$A$64*(0.5*$CX118)</f>
        <v>171.8804999999999</v>
      </c>
      <c r="DG118" s="55">
        <f>'LINEST VARS'!$U$64+'LINEST VARS'!$T$64*(8)+'LINEST VARS'!$S$64*(8)+'LINEST VARS'!$R$64*($DG$104)+'LINEST VARS'!$Q$64*(0.5)+'LINEST VARS'!$P$64*($CX118)+'LINEST VARS'!$O$64*(8^2)+'LINEST VARS'!$N$64*(8^2)+'LINEST VARS'!$M$64*($DG$104^2)+'LINEST VARS'!$L$64*(0.5^2)+'LINEST VARS'!$K$64*($CX118^2)+'LINEST VARS'!$J$64*(8*8)+'LINEST VARS'!$I$64*(8*$DG$104)+'LINEST VARS'!$H$64*(8*0.5)+'LINEST VARS'!$G$64*(8*$CX118)+'LINEST VARS'!$F$64*(8*$DG$104)+'LINEST VARS'!$E$64*(8*0.5)+'LINEST VARS'!$D$64*(8*$CX118)+'LINEST VARS'!$C$64*($DG$104*0.5)+'LINEST VARS'!$B$64*($DG$104*$CX118)+'LINEST VARS'!$A$64*(0.5*$CX118)</f>
        <v>173.48049999999992</v>
      </c>
      <c r="DH118" s="55">
        <f>'LINEST VARS'!$U$64+'LINEST VARS'!$T$64*(8)+'LINEST VARS'!$S$64*(8)+'LINEST VARS'!$R$64*($DH$104)+'LINEST VARS'!$Q$64*(0.5)+'LINEST VARS'!$P$64*($CX118)+'LINEST VARS'!$O$64*(8^2)+'LINEST VARS'!$N$64*(8^2)+'LINEST VARS'!$M$64*($DH$104^2)+'LINEST VARS'!$L$64*(0.5^2)+'LINEST VARS'!$K$64*($CX118^2)+'LINEST VARS'!$J$64*(8*8)+'LINEST VARS'!$I$64*(8*$DH$104)+'LINEST VARS'!$H$64*(8*0.5)+'LINEST VARS'!$G$64*(8*$CX118)+'LINEST VARS'!$F$64*(8*$DH$104)+'LINEST VARS'!$E$64*(8*0.5)+'LINEST VARS'!$D$64*(8*$CX118)+'LINEST VARS'!$C$64*($DH$104*0.5)+'LINEST VARS'!$B$64*($DH$104*$CX118)+'LINEST VARS'!$A$64*(0.5*$CX118)</f>
        <v>175.08049999999989</v>
      </c>
      <c r="DI118" s="55">
        <f>'LINEST VARS'!$U$64+'LINEST VARS'!$T$64*(8)+'LINEST VARS'!$S$64*(8)+'LINEST VARS'!$R$64*($DI$104)+'LINEST VARS'!$Q$64*(0.5)+'LINEST VARS'!$P$64*($CX118)+'LINEST VARS'!$O$64*(8^2)+'LINEST VARS'!$N$64*(8^2)+'LINEST VARS'!$M$64*($DI$104^2)+'LINEST VARS'!$L$64*(0.5^2)+'LINEST VARS'!$K$64*($CX118^2)+'LINEST VARS'!$J$64*(8*8)+'LINEST VARS'!$I$64*(8*$DI$104)+'LINEST VARS'!$H$64*(8*0.5)+'LINEST VARS'!$G$64*(8*$CX118)+'LINEST VARS'!$F$64*(8*$DI$104)+'LINEST VARS'!$E$64*(8*0.5)+'LINEST VARS'!$D$64*(8*$CX118)+'LINEST VARS'!$C$64*($DI$104*0.5)+'LINEST VARS'!$B$64*($DI$104*$CX118)+'LINEST VARS'!$A$64*(0.5*$CX118)</f>
        <v>176.68049999999991</v>
      </c>
      <c r="DJ118" s="55">
        <f>'LINEST VARS'!$U$64+'LINEST VARS'!$T$64*(8)+'LINEST VARS'!$S$64*(8)+'LINEST VARS'!$R$64*($DJ$104)+'LINEST VARS'!$Q$64*(0.5)+'LINEST VARS'!$P$64*($CX118)+'LINEST VARS'!$O$64*(8^2)+'LINEST VARS'!$N$64*(8^2)+'LINEST VARS'!$M$64*($DJ$104^2)+'LINEST VARS'!$L$64*(0.5^2)+'LINEST VARS'!$K$64*($CX118^2)+'LINEST VARS'!$J$64*(8*8)+'LINEST VARS'!$I$64*(8*$DJ$104)+'LINEST VARS'!$H$64*(8*0.5)+'LINEST VARS'!$G$64*(8*$CX118)+'LINEST VARS'!$F$64*(8*$DJ$104)+'LINEST VARS'!$E$64*(8*0.5)+'LINEST VARS'!$D$64*(8*$CX118)+'LINEST VARS'!$C$64*($DJ$104*0.5)+'LINEST VARS'!$B$64*($DJ$104*$CX118)+'LINEST VARS'!$A$64*(0.5*$CX118)</f>
        <v>178.2804999999999</v>
      </c>
      <c r="DK118" s="55">
        <f>'LINEST VARS'!$U$64+'LINEST VARS'!$T$64*(8)+'LINEST VARS'!$S$64*(8)+'LINEST VARS'!$R$64*($DK$104)+'LINEST VARS'!$Q$64*(0.5)+'LINEST VARS'!$P$64*($CX118)+'LINEST VARS'!$O$64*(8^2)+'LINEST VARS'!$N$64*(8^2)+'LINEST VARS'!$M$64*($DK$104^2)+'LINEST VARS'!$L$64*(0.5^2)+'LINEST VARS'!$K$64*($CX118^2)+'LINEST VARS'!$J$64*(8*8)+'LINEST VARS'!$I$64*(8*$DK$104)+'LINEST VARS'!$H$64*(8*0.5)+'LINEST VARS'!$G$64*(8*$CX118)+'LINEST VARS'!$F$64*(8*$DK$104)+'LINEST VARS'!$E$64*(8*0.5)+'LINEST VARS'!$D$64*(8*$CX118)+'LINEST VARS'!$C$64*($DK$104*0.5)+'LINEST VARS'!$B$64*($DK$104*$CX118)+'LINEST VARS'!$A$64*(0.5*$CX118)</f>
        <v>179.88049999999987</v>
      </c>
      <c r="DL118" s="55">
        <f>'LINEST VARS'!$U$64+'LINEST VARS'!$T$64*(8)+'LINEST VARS'!$S$64*(8)+'LINEST VARS'!$R$64*($DL$104)+'LINEST VARS'!$Q$64*(0.5)+'LINEST VARS'!$P$64*($CX118)+'LINEST VARS'!$O$64*(8^2)+'LINEST VARS'!$N$64*(8^2)+'LINEST VARS'!$M$64*($DL$104^2)+'LINEST VARS'!$L$64*(0.5^2)+'LINEST VARS'!$K$64*($CX118^2)+'LINEST VARS'!$J$64*(8*8)+'LINEST VARS'!$I$64*(8*$DL$104)+'LINEST VARS'!$H$64*(8*0.5)+'LINEST VARS'!$G$64*(8*$CX118)+'LINEST VARS'!$F$64*(8*$DL$104)+'LINEST VARS'!$E$64*(8*0.5)+'LINEST VARS'!$D$64*(8*$CX118)+'LINEST VARS'!$C$64*($DL$104*0.5)+'LINEST VARS'!$B$64*($DL$104*$CX118)+'LINEST VARS'!$A$64*(0.5*$CX118)</f>
        <v>181.48049999999989</v>
      </c>
      <c r="DM118" s="55">
        <f>'LINEST VARS'!$U$64+'LINEST VARS'!$T$64*(8)+'LINEST VARS'!$S$64*(8)+'LINEST VARS'!$R$64*($DM$104)+'LINEST VARS'!$Q$64*(0.5)+'LINEST VARS'!$P$64*($CX118)+'LINEST VARS'!$O$64*(8^2)+'LINEST VARS'!$N$64*(8^2)+'LINEST VARS'!$M$64*($DM$104^2)+'LINEST VARS'!$L$64*(0.5^2)+'LINEST VARS'!$K$64*($CX118^2)+'LINEST VARS'!$J$64*(8*8)+'LINEST VARS'!$I$64*(8*$DM$104)+'LINEST VARS'!$H$64*(8*0.5)+'LINEST VARS'!$G$64*(8*$CX118)+'LINEST VARS'!$F$64*(8*$DM$104)+'LINEST VARS'!$E$64*(8*0.5)+'LINEST VARS'!$D$64*(8*$CX118)+'LINEST VARS'!$C$64*($DM$104*0.5)+'LINEST VARS'!$B$64*($DM$104*$CX118)+'LINEST VARS'!$A$64*(0.5*$CX118)</f>
        <v>183.08049999999986</v>
      </c>
      <c r="DN118" s="55">
        <f>'LINEST VARS'!$U$64+'LINEST VARS'!$T$64*(8)+'LINEST VARS'!$S$64*(8)+'LINEST VARS'!$R$64*($DN$104)+'LINEST VARS'!$Q$64*(0.5)+'LINEST VARS'!$P$64*($CX118)+'LINEST VARS'!$O$64*(8^2)+'LINEST VARS'!$N$64*(8^2)+'LINEST VARS'!$M$64*($DN$104^2)+'LINEST VARS'!$L$64*(0.5^2)+'LINEST VARS'!$K$64*($CX118^2)+'LINEST VARS'!$J$64*(8*8)+'LINEST VARS'!$I$64*(8*$DN$104)+'LINEST VARS'!$H$64*(8*0.5)+'LINEST VARS'!$G$64*(8*$CX118)+'LINEST VARS'!$F$64*(8*$DN$104)+'LINEST VARS'!$E$64*(8*0.5)+'LINEST VARS'!$D$64*(8*$CX118)+'LINEST VARS'!$C$64*($DN$104*0.5)+'LINEST VARS'!$B$64*($DN$104*$CX118)+'LINEST VARS'!$A$64*(0.5*$CX118)</f>
        <v>184.68049999999985</v>
      </c>
      <c r="DO118" s="55">
        <f>'LINEST VARS'!$U$64+'LINEST VARS'!$T$64*(8)+'LINEST VARS'!$S$64*(8)+'LINEST VARS'!$R$64*($DO$104)+'LINEST VARS'!$Q$64*(0.5)+'LINEST VARS'!$P$64*($CX118)+'LINEST VARS'!$O$64*(8^2)+'LINEST VARS'!$N$64*(8^2)+'LINEST VARS'!$M$64*($DO$104^2)+'LINEST VARS'!$L$64*(0.5^2)+'LINEST VARS'!$K$64*($CX118^2)+'LINEST VARS'!$J$64*(8*8)+'LINEST VARS'!$I$64*(8*$DO$104)+'LINEST VARS'!$H$64*(8*0.5)+'LINEST VARS'!$G$64*(8*$CX118)+'LINEST VARS'!$F$64*(8*$DO$104)+'LINEST VARS'!$E$64*(8*0.5)+'LINEST VARS'!$D$64*(8*$CX118)+'LINEST VARS'!$C$64*($DO$104*0.5)+'LINEST VARS'!$B$64*($DO$104*$CX118)+'LINEST VARS'!$A$64*(0.5*$CX118)</f>
        <v>186.28049999999988</v>
      </c>
      <c r="DP118" s="55">
        <f>'LINEST VARS'!$U$64+'LINEST VARS'!$T$64*(8)+'LINEST VARS'!$S$64*(8)+'LINEST VARS'!$R$64*($DP$104)+'LINEST VARS'!$Q$64*(0.5)+'LINEST VARS'!$P$64*($CX118)+'LINEST VARS'!$O$64*(8^2)+'LINEST VARS'!$N$64*(8^2)+'LINEST VARS'!$M$64*($DP$104^2)+'LINEST VARS'!$L$64*(0.5^2)+'LINEST VARS'!$K$64*($CX118^2)+'LINEST VARS'!$J$64*(8*8)+'LINEST VARS'!$I$64*(8*$DP$104)+'LINEST VARS'!$H$64*(8*0.5)+'LINEST VARS'!$G$64*(8*$CX118)+'LINEST VARS'!$F$64*(8*$DP$104)+'LINEST VARS'!$E$64*(8*0.5)+'LINEST VARS'!$D$64*(8*$CX118)+'LINEST VARS'!$C$64*($DP$104*0.5)+'LINEST VARS'!$B$64*($DP$104*$CX118)+'LINEST VARS'!$A$64*(0.5*$CX118)</f>
        <v>187.88049999999987</v>
      </c>
      <c r="DQ118" s="55">
        <f>'LINEST VARS'!$U$64+'LINEST VARS'!$T$64*(8)+'LINEST VARS'!$S$64*(8)+'LINEST VARS'!$R$64*($DQ$104)+'LINEST VARS'!$Q$64*(0.5)+'LINEST VARS'!$P$64*($CX118)+'LINEST VARS'!$O$64*(8^2)+'LINEST VARS'!$N$64*(8^2)+'LINEST VARS'!$M$64*($DQ$104^2)+'LINEST VARS'!$L$64*(0.5^2)+'LINEST VARS'!$K$64*($CX118^2)+'LINEST VARS'!$J$64*(8*8)+'LINEST VARS'!$I$64*(8*$DQ$104)+'LINEST VARS'!$H$64*(8*0.5)+'LINEST VARS'!$G$64*(8*$CX118)+'LINEST VARS'!$F$64*(8*$DQ$104)+'LINEST VARS'!$E$64*(8*0.5)+'LINEST VARS'!$D$64*(8*$CX118)+'LINEST VARS'!$C$64*($DQ$104*0.5)+'LINEST VARS'!$B$64*($DQ$104*$CX118)+'LINEST VARS'!$A$64*(0.5*$CX118)</f>
        <v>189.48049999999986</v>
      </c>
      <c r="DR118" s="55">
        <f>'LINEST VARS'!$U$64+'LINEST VARS'!$T$64*(8)+'LINEST VARS'!$S$64*(8)+'LINEST VARS'!$R$64*($DR$104)+'LINEST VARS'!$Q$64*(0.5)+'LINEST VARS'!$P$64*($CX118)+'LINEST VARS'!$O$64*(8^2)+'LINEST VARS'!$N$64*(8^2)+'LINEST VARS'!$M$64*($DR$104^2)+'LINEST VARS'!$L$64*(0.5^2)+'LINEST VARS'!$K$64*($CX118^2)+'LINEST VARS'!$J$64*(8*8)+'LINEST VARS'!$I$64*(8*$DR$104)+'LINEST VARS'!$H$64*(8*0.5)+'LINEST VARS'!$G$64*(8*$CX118)+'LINEST VARS'!$F$64*(8*$DR$104)+'LINEST VARS'!$E$64*(8*0.5)+'LINEST VARS'!$D$64*(8*$CX118)+'LINEST VARS'!$C$64*($DR$104*0.5)+'LINEST VARS'!$B$64*($DR$104*$CX118)+'LINEST VARS'!$A$64*(0.5*$CX118)</f>
        <v>191.08049999999986</v>
      </c>
      <c r="DS118" s="56">
        <f>'LINEST VARS'!$U$64+'LINEST VARS'!$T$64*(8)+'LINEST VARS'!$S$64*(8)+'LINEST VARS'!$R$64*($DS$104)+'LINEST VARS'!$Q$64*(0.5)+'LINEST VARS'!$P$64*($CX118)+'LINEST VARS'!$O$64*(8^2)+'LINEST VARS'!$N$64*(8^2)+'LINEST VARS'!$M$64*($DS$104^2)+'LINEST VARS'!$L$64*(0.5^2)+'LINEST VARS'!$K$64*($CX118^2)+'LINEST VARS'!$J$64*(8*8)+'LINEST VARS'!$I$64*(8*$DS$104)+'LINEST VARS'!$H$64*(8*0.5)+'LINEST VARS'!$G$64*(8*$CX118)+'LINEST VARS'!$F$64*(8*$DS$104)+'LINEST VARS'!$E$64*(8*0.5)+'LINEST VARS'!$D$64*(8*$CX118)+'LINEST VARS'!$C$64*($DS$104*0.5)+'LINEST VARS'!$B$64*($DS$104*$CX118)+'LINEST VARS'!$A$64*(0.5*$CX118)</f>
        <v>192.68049999999985</v>
      </c>
      <c r="DV118" s="45">
        <v>16.8935</v>
      </c>
      <c r="DW118" s="46">
        <f>'LINEST VARS'!$U$66+'LINEST VARS'!$T$66*(8)+'LINEST VARS'!$S$66*(8)+'LINEST VARS'!$R$66*($DW$104)+'LINEST VARS'!$Q$66*(0.5)+'LINEST VARS'!$P$66*($DV118)+'LINEST VARS'!$O$66*(8^2)+'LINEST VARS'!$N$66*(8^2)+'LINEST VARS'!$M$66*($DW$104^2)+'LINEST VARS'!$L$66*(0.5^2)+'LINEST VARS'!$K$66*($DV118^2)+'LINEST VARS'!$J$66*(8*8)+'LINEST VARS'!$I$66*(8*$DW$104)+'LINEST VARS'!$H$66*(8*0.5)+'LINEST VARS'!$G$66*(8*$DV118)+'LINEST VARS'!$F$66*(8*$DW$104)+'LINEST VARS'!$E$66*(8*0.5)+'LINEST VARS'!$D$66*(8*$DV118)+'LINEST VARS'!$C$66*($DW$104*0.5)+'LINEST VARS'!$B$66*($DW$104*$DV118)+'LINEST VARS'!$A$66*(0.5*$DV118)</f>
        <v>144.00000000000006</v>
      </c>
      <c r="DX118" s="46">
        <f>'LINEST VARS'!$U$66+'LINEST VARS'!$T$66*(8)+'LINEST VARS'!$S$66*(8)+'LINEST VARS'!$R$66*($DX$104)+'LINEST VARS'!$Q$66*(0.5)+'LINEST VARS'!$P$66*($DV118)+'LINEST VARS'!$O$66*(8^2)+'LINEST VARS'!$N$66*(8^2)+'LINEST VARS'!$M$66*($DX$104^2)+'LINEST VARS'!$L$66*(0.5^2)+'LINEST VARS'!$K$66*($DV118^2)+'LINEST VARS'!$J$66*(8*8)+'LINEST VARS'!$I$66*(8*$DX$104)+'LINEST VARS'!$H$66*(8*0.5)+'LINEST VARS'!$G$66*(8*$DV118)+'LINEST VARS'!$F$66*(8*$DX$104)+'LINEST VARS'!$E$66*(8*0.5)+'LINEST VARS'!$D$66*(8*$DV118)+'LINEST VARS'!$C$66*($DX$104*0.5)+'LINEST VARS'!$B$66*($DX$104*$DV118)+'LINEST VARS'!$A$66*(0.5*$DV118)</f>
        <v>143.20000000000007</v>
      </c>
      <c r="DY118" s="46">
        <f>'LINEST VARS'!$U$66+'LINEST VARS'!$T$66*(8)+'LINEST VARS'!$S$66*(8)+'LINEST VARS'!$R$66*($DY$104)+'LINEST VARS'!$Q$66*(0.5)+'LINEST VARS'!$P$66*($DV118)+'LINEST VARS'!$O$66*(8^2)+'LINEST VARS'!$N$66*(8^2)+'LINEST VARS'!$M$66*($DY$104^2)+'LINEST VARS'!$L$66*(0.5^2)+'LINEST VARS'!$K$66*($DV118^2)+'LINEST VARS'!$J$66*(8*8)+'LINEST VARS'!$I$66*(8*$DY$104)+'LINEST VARS'!$H$66*(8*0.5)+'LINEST VARS'!$G$66*(8*$DV118)+'LINEST VARS'!$F$66*(8*$DY$104)+'LINEST VARS'!$E$66*(8*0.5)+'LINEST VARS'!$D$66*(8*$DV118)+'LINEST VARS'!$C$66*($DY$104*0.5)+'LINEST VARS'!$B$66*($DY$104*$DV118)+'LINEST VARS'!$A$66*(0.5*$DV118)</f>
        <v>142.40000000000006</v>
      </c>
      <c r="DZ118" s="46">
        <f>'LINEST VARS'!$U$66+'LINEST VARS'!$T$66*(8)+'LINEST VARS'!$S$66*(8)+'LINEST VARS'!$R$66*($DZ$104)+'LINEST VARS'!$Q$66*(0.5)+'LINEST VARS'!$P$66*($DV118)+'LINEST VARS'!$O$66*(8^2)+'LINEST VARS'!$N$66*(8^2)+'LINEST VARS'!$M$66*($DZ$104^2)+'LINEST VARS'!$L$66*(0.5^2)+'LINEST VARS'!$K$66*($DV118^2)+'LINEST VARS'!$J$66*(8*8)+'LINEST VARS'!$I$66*(8*$DZ$104)+'LINEST VARS'!$H$66*(8*0.5)+'LINEST VARS'!$G$66*(8*$DV118)+'LINEST VARS'!$F$66*(8*$DZ$104)+'LINEST VARS'!$E$66*(8*0.5)+'LINEST VARS'!$D$66*(8*$DV118)+'LINEST VARS'!$C$66*($DZ$104*0.5)+'LINEST VARS'!$B$66*($DZ$104*$DV118)+'LINEST VARS'!$A$66*(0.5*$DV118)</f>
        <v>141.60000000000008</v>
      </c>
      <c r="EA118" s="46">
        <f>'LINEST VARS'!$U$66+'LINEST VARS'!$T$66*(8)+'LINEST VARS'!$S$66*(8)+'LINEST VARS'!$R$66*($EA$104)+'LINEST VARS'!$Q$66*(0.5)+'LINEST VARS'!$P$66*($DV118)+'LINEST VARS'!$O$66*(8^2)+'LINEST VARS'!$N$66*(8^2)+'LINEST VARS'!$M$66*($EA$104^2)+'LINEST VARS'!$L$66*(0.5^2)+'LINEST VARS'!$K$66*($DV118^2)+'LINEST VARS'!$J$66*(8*8)+'LINEST VARS'!$I$66*(8*$EA$104)+'LINEST VARS'!$H$66*(8*0.5)+'LINEST VARS'!$G$66*(8*$DV118)+'LINEST VARS'!$F$66*(8*$EA$104)+'LINEST VARS'!$E$66*(8*0.5)+'LINEST VARS'!$D$66*(8*$DV118)+'LINEST VARS'!$C$66*($EA$104*0.5)+'LINEST VARS'!$B$66*($EA$104*$DV118)+'LINEST VARS'!$A$66*(0.5*$DV118)</f>
        <v>140.80000000000007</v>
      </c>
      <c r="EB118" s="46">
        <f>'LINEST VARS'!$U$66+'LINEST VARS'!$T$66*(8)+'LINEST VARS'!$S$66*(8)+'LINEST VARS'!$R$66*($EB$104)+'LINEST VARS'!$Q$66*(0.5)+'LINEST VARS'!$P$66*($DV118)+'LINEST VARS'!$O$66*(8^2)+'LINEST VARS'!$N$66*(8^2)+'LINEST VARS'!$M$66*($EB$104^2)+'LINEST VARS'!$L$66*(0.5^2)+'LINEST VARS'!$K$66*($DV118^2)+'LINEST VARS'!$J$66*(8*8)+'LINEST VARS'!$I$66*(8*$EB$104)+'LINEST VARS'!$H$66*(8*0.5)+'LINEST VARS'!$G$66*(8*$DV118)+'LINEST VARS'!$F$66*(8*$EB$104)+'LINEST VARS'!$E$66*(8*0.5)+'LINEST VARS'!$D$66*(8*$DV118)+'LINEST VARS'!$C$66*($EB$104*0.5)+'LINEST VARS'!$B$66*($EB$104*$DV118)+'LINEST VARS'!$A$66*(0.5*$DV118)</f>
        <v>140.00000000000009</v>
      </c>
      <c r="EC118" s="46">
        <f>'LINEST VARS'!$U$66+'LINEST VARS'!$T$66*(8)+'LINEST VARS'!$S$66*(8)+'LINEST VARS'!$R$66*($EC$104)+'LINEST VARS'!$Q$66*(0.5)+'LINEST VARS'!$P$66*($DV118)+'LINEST VARS'!$O$66*(8^2)+'LINEST VARS'!$N$66*(8^2)+'LINEST VARS'!$M$66*($EC$104^2)+'LINEST VARS'!$L$66*(0.5^2)+'LINEST VARS'!$K$66*($DV118^2)+'LINEST VARS'!$J$66*(8*8)+'LINEST VARS'!$I$66*(8*$EC$104)+'LINEST VARS'!$H$66*(8*0.5)+'LINEST VARS'!$G$66*(8*$DV118)+'LINEST VARS'!$F$66*(8*$EC$104)+'LINEST VARS'!$E$66*(8*0.5)+'LINEST VARS'!$D$66*(8*$DV118)+'LINEST VARS'!$C$66*($EC$104*0.5)+'LINEST VARS'!$B$66*($EC$104*$DV118)+'LINEST VARS'!$A$66*(0.5*$DV118)</f>
        <v>139.20000000000007</v>
      </c>
      <c r="ED118" s="46">
        <f>'LINEST VARS'!$U$66+'LINEST VARS'!$T$66*(8)+'LINEST VARS'!$S$66*(8)+'LINEST VARS'!$R$66*($ED$104)+'LINEST VARS'!$Q$66*(0.5)+'LINEST VARS'!$P$66*($DV118)+'LINEST VARS'!$O$66*(8^2)+'LINEST VARS'!$N$66*(8^2)+'LINEST VARS'!$M$66*($ED$104^2)+'LINEST VARS'!$L$66*(0.5^2)+'LINEST VARS'!$K$66*($DV118^2)+'LINEST VARS'!$J$66*(8*8)+'LINEST VARS'!$I$66*(8*$ED$104)+'LINEST VARS'!$H$66*(8*0.5)+'LINEST VARS'!$G$66*(8*$DV118)+'LINEST VARS'!$F$66*(8*$ED$104)+'LINEST VARS'!$E$66*(8*0.5)+'LINEST VARS'!$D$66*(8*$DV118)+'LINEST VARS'!$C$66*($ED$104*0.5)+'LINEST VARS'!$B$66*($ED$104*$DV118)+'LINEST VARS'!$A$66*(0.5*$DV118)</f>
        <v>138.40000000000009</v>
      </c>
      <c r="EE118" s="46">
        <f>'LINEST VARS'!$U$66+'LINEST VARS'!$T$66*(8)+'LINEST VARS'!$S$66*(8)+'LINEST VARS'!$R$66*($EE$104)+'LINEST VARS'!$Q$66*(0.5)+'LINEST VARS'!$P$66*($DV118)+'LINEST VARS'!$O$66*(8^2)+'LINEST VARS'!$N$66*(8^2)+'LINEST VARS'!$M$66*($EE$104^2)+'LINEST VARS'!$L$66*(0.5^2)+'LINEST VARS'!$K$66*($DV118^2)+'LINEST VARS'!$J$66*(8*8)+'LINEST VARS'!$I$66*(8*$EE$104)+'LINEST VARS'!$H$66*(8*0.5)+'LINEST VARS'!$G$66*(8*$DV118)+'LINEST VARS'!$F$66*(8*$EE$104)+'LINEST VARS'!$E$66*(8*0.5)+'LINEST VARS'!$D$66*(8*$DV118)+'LINEST VARS'!$C$66*($EE$104*0.5)+'LINEST VARS'!$B$66*($EE$104*$DV118)+'LINEST VARS'!$A$66*(0.5*$DV118)</f>
        <v>137.60000000000008</v>
      </c>
      <c r="EF118" s="46">
        <f>'LINEST VARS'!$U$66+'LINEST VARS'!$T$66*(8)+'LINEST VARS'!$S$66*(8)+'LINEST VARS'!$R$66*($EF$104)+'LINEST VARS'!$Q$66*(0.5)+'LINEST VARS'!$P$66*($DV118)+'LINEST VARS'!$O$66*(8^2)+'LINEST VARS'!$N$66*(8^2)+'LINEST VARS'!$M$66*($EF$104^2)+'LINEST VARS'!$L$66*(0.5^2)+'LINEST VARS'!$K$66*($DV118^2)+'LINEST VARS'!$J$66*(8*8)+'LINEST VARS'!$I$66*(8*$EF$104)+'LINEST VARS'!$H$66*(8*0.5)+'LINEST VARS'!$G$66*(8*$DV118)+'LINEST VARS'!$F$66*(8*$EF$104)+'LINEST VARS'!$E$66*(8*0.5)+'LINEST VARS'!$D$66*(8*$DV118)+'LINEST VARS'!$C$66*($EF$104*0.5)+'LINEST VARS'!$B$66*($EF$104*$DV118)+'LINEST VARS'!$A$66*(0.5*$DV118)</f>
        <v>136.80000000000007</v>
      </c>
      <c r="EG118" s="46">
        <f>'LINEST VARS'!$U$66+'LINEST VARS'!$T$66*(8)+'LINEST VARS'!$S$66*(8)+'LINEST VARS'!$R$66*($EG$104)+'LINEST VARS'!$Q$66*(0.5)+'LINEST VARS'!$P$66*($DV118)+'LINEST VARS'!$O$66*(8^2)+'LINEST VARS'!$N$66*(8^2)+'LINEST VARS'!$M$66*($EG$104^2)+'LINEST VARS'!$L$66*(0.5^2)+'LINEST VARS'!$K$66*($DV118^2)+'LINEST VARS'!$J$66*(8*8)+'LINEST VARS'!$I$66*(8*$EG$104)+'LINEST VARS'!$H$66*(8*0.5)+'LINEST VARS'!$G$66*(8*$DV118)+'LINEST VARS'!$F$66*(8*$EG$104)+'LINEST VARS'!$E$66*(8*0.5)+'LINEST VARS'!$D$66*(8*$DV118)+'LINEST VARS'!$C$66*($EG$104*0.5)+'LINEST VARS'!$B$66*($EG$104*$DV118)+'LINEST VARS'!$A$66*(0.5*$DV118)</f>
        <v>136.00000000000006</v>
      </c>
      <c r="EH118" s="46">
        <f>'LINEST VARS'!$U$66+'LINEST VARS'!$T$66*(8)+'LINEST VARS'!$S$66*(8)+'LINEST VARS'!$R$66*($EH$104)+'LINEST VARS'!$Q$66*(0.5)+'LINEST VARS'!$P$66*($DV118)+'LINEST VARS'!$O$66*(8^2)+'LINEST VARS'!$N$66*(8^2)+'LINEST VARS'!$M$66*($EH$104^2)+'LINEST VARS'!$L$66*(0.5^2)+'LINEST VARS'!$K$66*($DV118^2)+'LINEST VARS'!$J$66*(8*8)+'LINEST VARS'!$I$66*(8*$EH$104)+'LINEST VARS'!$H$66*(8*0.5)+'LINEST VARS'!$G$66*(8*$DV118)+'LINEST VARS'!$F$66*(8*$EH$104)+'LINEST VARS'!$E$66*(8*0.5)+'LINEST VARS'!$D$66*(8*$DV118)+'LINEST VARS'!$C$66*($EH$104*0.5)+'LINEST VARS'!$B$66*($EH$104*$DV118)+'LINEST VARS'!$A$66*(0.5*$DV118)</f>
        <v>135.20000000000005</v>
      </c>
      <c r="EI118" s="46">
        <f>'LINEST VARS'!$U$66+'LINEST VARS'!$T$66*(8)+'LINEST VARS'!$S$66*(8)+'LINEST VARS'!$R$66*($EI$104)+'LINEST VARS'!$Q$66*(0.5)+'LINEST VARS'!$P$66*($DV118)+'LINEST VARS'!$O$66*(8^2)+'LINEST VARS'!$N$66*(8^2)+'LINEST VARS'!$M$66*($EI$104^2)+'LINEST VARS'!$L$66*(0.5^2)+'LINEST VARS'!$K$66*($DV118^2)+'LINEST VARS'!$J$66*(8*8)+'LINEST VARS'!$I$66*(8*$EI$104)+'LINEST VARS'!$H$66*(8*0.5)+'LINEST VARS'!$G$66*(8*$DV118)+'LINEST VARS'!$F$66*(8*$EI$104)+'LINEST VARS'!$E$66*(8*0.5)+'LINEST VARS'!$D$66*(8*$DV118)+'LINEST VARS'!$C$66*($EI$104*0.5)+'LINEST VARS'!$B$66*($EI$104*$DV118)+'LINEST VARS'!$A$66*(0.5*$DV118)</f>
        <v>134.40000000000003</v>
      </c>
      <c r="EJ118" s="46">
        <f>'LINEST VARS'!$U$66+'LINEST VARS'!$T$66*(8)+'LINEST VARS'!$S$66*(8)+'LINEST VARS'!$R$66*($EJ$104)+'LINEST VARS'!$Q$66*(0.5)+'LINEST VARS'!$P$66*($DV118)+'LINEST VARS'!$O$66*(8^2)+'LINEST VARS'!$N$66*(8^2)+'LINEST VARS'!$M$66*($EJ$104^2)+'LINEST VARS'!$L$66*(0.5^2)+'LINEST VARS'!$K$66*($DV118^2)+'LINEST VARS'!$J$66*(8*8)+'LINEST VARS'!$I$66*(8*$EJ$104)+'LINEST VARS'!$H$66*(8*0.5)+'LINEST VARS'!$G$66*(8*$DV118)+'LINEST VARS'!$F$66*(8*$EJ$104)+'LINEST VARS'!$E$66*(8*0.5)+'LINEST VARS'!$D$66*(8*$DV118)+'LINEST VARS'!$C$66*($EJ$104*0.5)+'LINEST VARS'!$B$66*($EJ$104*$DV118)+'LINEST VARS'!$A$66*(0.5*$DV118)</f>
        <v>133.60000000000005</v>
      </c>
      <c r="EK118" s="46">
        <f>'LINEST VARS'!$U$66+'LINEST VARS'!$T$66*(8)+'LINEST VARS'!$S$66*(8)+'LINEST VARS'!$R$66*($EK$104)+'LINEST VARS'!$Q$66*(0.5)+'LINEST VARS'!$P$66*($DV118)+'LINEST VARS'!$O$66*(8^2)+'LINEST VARS'!$N$66*(8^2)+'LINEST VARS'!$M$66*($EK$104^2)+'LINEST VARS'!$L$66*(0.5^2)+'LINEST VARS'!$K$66*($DV118^2)+'LINEST VARS'!$J$66*(8*8)+'LINEST VARS'!$I$66*(8*$EK$104)+'LINEST VARS'!$H$66*(8*0.5)+'LINEST VARS'!$G$66*(8*$DV118)+'LINEST VARS'!$F$66*(8*$EK$104)+'LINEST VARS'!$E$66*(8*0.5)+'LINEST VARS'!$D$66*(8*$DV118)+'LINEST VARS'!$C$66*($EK$104*0.5)+'LINEST VARS'!$B$66*($EK$104*$DV118)+'LINEST VARS'!$A$66*(0.5*$DV118)</f>
        <v>132.80000000000004</v>
      </c>
      <c r="EL118" s="46">
        <f>'LINEST VARS'!$U$66+'LINEST VARS'!$T$66*(8)+'LINEST VARS'!$S$66*(8)+'LINEST VARS'!$R$66*($EL$104)+'LINEST VARS'!$Q$66*(0.5)+'LINEST VARS'!$P$66*($DV118)+'LINEST VARS'!$O$66*(8^2)+'LINEST VARS'!$N$66*(8^2)+'LINEST VARS'!$M$66*($EL$104^2)+'LINEST VARS'!$L$66*(0.5^2)+'LINEST VARS'!$K$66*($DV118^2)+'LINEST VARS'!$J$66*(8*8)+'LINEST VARS'!$I$66*(8*$EL$104)+'LINEST VARS'!$H$66*(8*0.5)+'LINEST VARS'!$G$66*(8*$DV118)+'LINEST VARS'!$F$66*(8*$EL$104)+'LINEST VARS'!$E$66*(8*0.5)+'LINEST VARS'!$D$66*(8*$DV118)+'LINEST VARS'!$C$66*($EL$104*0.5)+'LINEST VARS'!$B$66*($EL$104*$DV118)+'LINEST VARS'!$A$66*(0.5*$DV118)</f>
        <v>132.00000000000006</v>
      </c>
      <c r="EM118" s="46">
        <f>'LINEST VARS'!$U$66+'LINEST VARS'!$T$66*(8)+'LINEST VARS'!$S$66*(8)+'LINEST VARS'!$R$66*($EM$104)+'LINEST VARS'!$Q$66*(0.5)+'LINEST VARS'!$P$66*($DV118)+'LINEST VARS'!$O$66*(8^2)+'LINEST VARS'!$N$66*(8^2)+'LINEST VARS'!$M$66*($EM$104^2)+'LINEST VARS'!$L$66*(0.5^2)+'LINEST VARS'!$K$66*($DV118^2)+'LINEST VARS'!$J$66*(8*8)+'LINEST VARS'!$I$66*(8*$EM$104)+'LINEST VARS'!$H$66*(8*0.5)+'LINEST VARS'!$G$66*(8*$DV118)+'LINEST VARS'!$F$66*(8*$EM$104)+'LINEST VARS'!$E$66*(8*0.5)+'LINEST VARS'!$D$66*(8*$DV118)+'LINEST VARS'!$C$66*($EM$104*0.5)+'LINEST VARS'!$B$66*($EM$104*$DV118)+'LINEST VARS'!$A$66*(0.5*$DV118)</f>
        <v>131.20000000000005</v>
      </c>
      <c r="EN118" s="46">
        <f>'LINEST VARS'!$U$66+'LINEST VARS'!$T$66*(8)+'LINEST VARS'!$S$66*(8)+'LINEST VARS'!$R$66*($EN$104)+'LINEST VARS'!$Q$66*(0.5)+'LINEST VARS'!$P$66*($DV118)+'LINEST VARS'!$O$66*(8^2)+'LINEST VARS'!$N$66*(8^2)+'LINEST VARS'!$M$66*($EN$104^2)+'LINEST VARS'!$L$66*(0.5^2)+'LINEST VARS'!$K$66*($DV118^2)+'LINEST VARS'!$J$66*(8*8)+'LINEST VARS'!$I$66*(8*$EN$104)+'LINEST VARS'!$H$66*(8*0.5)+'LINEST VARS'!$G$66*(8*$DV118)+'LINEST VARS'!$F$66*(8*$EN$104)+'LINEST VARS'!$E$66*(8*0.5)+'LINEST VARS'!$D$66*(8*$DV118)+'LINEST VARS'!$C$66*($EN$104*0.5)+'LINEST VARS'!$B$66*($EN$104*$DV118)+'LINEST VARS'!$A$66*(0.5*$DV118)</f>
        <v>130.40000000000009</v>
      </c>
      <c r="EO118" s="46">
        <f>'LINEST VARS'!$U$66+'LINEST VARS'!$T$66*(8)+'LINEST VARS'!$S$66*(8)+'LINEST VARS'!$R$66*($EO$104)+'LINEST VARS'!$Q$66*(0.5)+'LINEST VARS'!$P$66*($DV118)+'LINEST VARS'!$O$66*(8^2)+'LINEST VARS'!$N$66*(8^2)+'LINEST VARS'!$M$66*($EO$104^2)+'LINEST VARS'!$L$66*(0.5^2)+'LINEST VARS'!$K$66*($DV118^2)+'LINEST VARS'!$J$66*(8*8)+'LINEST VARS'!$I$66*(8*$EO$104)+'LINEST VARS'!$H$66*(8*0.5)+'LINEST VARS'!$G$66*(8*$DV118)+'LINEST VARS'!$F$66*(8*$EO$104)+'LINEST VARS'!$E$66*(8*0.5)+'LINEST VARS'!$D$66*(8*$DV118)+'LINEST VARS'!$C$66*($EO$104*0.5)+'LINEST VARS'!$B$66*($EO$104*$DV118)+'LINEST VARS'!$A$66*(0.5*$DV118)</f>
        <v>129.60000000000008</v>
      </c>
      <c r="EP118" s="46">
        <f>'LINEST VARS'!$U$66+'LINEST VARS'!$T$66*(8)+'LINEST VARS'!$S$66*(8)+'LINEST VARS'!$R$66*($EP$104)+'LINEST VARS'!$Q$66*(0.5)+'LINEST VARS'!$P$66*($DV118)+'LINEST VARS'!$O$66*(8^2)+'LINEST VARS'!$N$66*(8^2)+'LINEST VARS'!$M$66*($EP$104^2)+'LINEST VARS'!$L$66*(0.5^2)+'LINEST VARS'!$K$66*($DV118^2)+'LINEST VARS'!$J$66*(8*8)+'LINEST VARS'!$I$66*(8*$EP$104)+'LINEST VARS'!$H$66*(8*0.5)+'LINEST VARS'!$G$66*(8*$DV118)+'LINEST VARS'!$F$66*(8*$EP$104)+'LINEST VARS'!$E$66*(8*0.5)+'LINEST VARS'!$D$66*(8*$DV118)+'LINEST VARS'!$C$66*($EP$104*0.5)+'LINEST VARS'!$B$66*($EP$104*$DV118)+'LINEST VARS'!$A$66*(0.5*$DV118)</f>
        <v>128.8000000000001</v>
      </c>
      <c r="EQ118" s="47">
        <f>'LINEST VARS'!$U$66+'LINEST VARS'!$T$66*(8)+'LINEST VARS'!$S$66*(8)+'LINEST VARS'!$R$66*($EQ$104)+'LINEST VARS'!$Q$66*(0.5)+'LINEST VARS'!$P$66*($DV118)+'LINEST VARS'!$O$66*(8^2)+'LINEST VARS'!$N$66*(8^2)+'LINEST VARS'!$M$66*($EQ$104^2)+'LINEST VARS'!$L$66*(0.5^2)+'LINEST VARS'!$K$66*($DV118^2)+'LINEST VARS'!$J$66*(8*8)+'LINEST VARS'!$I$66*(8*$EQ$104)+'LINEST VARS'!$H$66*(8*0.5)+'LINEST VARS'!$G$66*(8*$DV118)+'LINEST VARS'!$F$66*(8*$EQ$104)+'LINEST VARS'!$E$66*(8*0.5)+'LINEST VARS'!$D$66*(8*$DV118)+'LINEST VARS'!$C$66*($EQ$104*0.5)+'LINEST VARS'!$B$66*($EQ$104*$DV118)+'LINEST VARS'!$A$66*(0.5*$DV118)</f>
        <v>128.00000000000006</v>
      </c>
    </row>
    <row r="119" spans="2:147" ht="15" customHeight="1" x14ac:dyDescent="0.25">
      <c r="B119" s="45">
        <v>8.24</v>
      </c>
      <c r="C119" s="55">
        <f>'LINEST VARS'!$U$64+'LINEST VARS'!$T$64*($C$104)+'LINEST VARS'!$S$64*($B119)+'LINEST VARS'!$R$64*(4)+'LINEST VARS'!$Q$64*(0.5)+'LINEST VARS'!$P$64*(12.73)+'LINEST VARS'!$O$64*($C$104^2)+'LINEST VARS'!$N$64*($B119^2)+'LINEST VARS'!$M$64*(4^2)+'LINEST VARS'!$L$64*(0.5^2)+'LINEST VARS'!$K$64*(12.73^2)+'LINEST VARS'!$J$64*($C$104*$B119)+'LINEST VARS'!$I$64*($C$104*4)+'LINEST VARS'!$H$64*($C$104*0.5)+'LINEST VARS'!$G$64*($C$104*12.73)+'LINEST VARS'!$F$64*($B119*4)+'LINEST VARS'!$E$64*($B119*0.5)+'LINEST VARS'!$D$64*($B119*12.73)+'LINEST VARS'!$C$64*(4*0.5)+'LINEST VARS'!$B$64*(4*12.73)+'LINEST VARS'!$A$64*(0.5*12.73)</f>
        <v>164.18999999999988</v>
      </c>
      <c r="D119" s="55">
        <f>'LINEST VARS'!$U$64+'LINEST VARS'!$T$64*($D$104)+'LINEST VARS'!$S$64*($B119)+'LINEST VARS'!$R$64*(4)+'LINEST VARS'!$Q$64*(0.5)+'LINEST VARS'!$P$64*(12.73)+'LINEST VARS'!$O$64*($D$104^2)+'LINEST VARS'!$N$64*($B119^2)+'LINEST VARS'!$M$64*(4^2)+'LINEST VARS'!$L$64*(0.5^2)+'LINEST VARS'!$K$64*(12.73^2)+'LINEST VARS'!$J$64*($D$104*$B119)+'LINEST VARS'!$I$64*($D$104*4)+'LINEST VARS'!$H$64*($D$104*0.5)+'LINEST VARS'!$G$64*($D$104*12.73)+'LINEST VARS'!$F$64*($B119*4)+'LINEST VARS'!$E$64*($B119*0.5)+'LINEST VARS'!$D$64*($B119*12.73)+'LINEST VARS'!$C$64*(4*0.5)+'LINEST VARS'!$B$64*(4*12.73)+'LINEST VARS'!$A$64*(0.5*12.73)</f>
        <v>164.18999999999988</v>
      </c>
      <c r="E119" s="55">
        <f>'LINEST VARS'!$U$64+'LINEST VARS'!$T$64*($E$104)+'LINEST VARS'!$S$64*($B119)+'LINEST VARS'!$R$64*(4)+'LINEST VARS'!$Q$64*(0.5)+'LINEST VARS'!$P$64*(12.73)+'LINEST VARS'!$O$64*($E$104^2)+'LINEST VARS'!$N$64*($B119^2)+'LINEST VARS'!$M$64*(4^2)+'LINEST VARS'!$L$64*(0.5^2)+'LINEST VARS'!$K$64*(12.73^2)+'LINEST VARS'!$J$64*($E$104*$B119)+'LINEST VARS'!$I$64*($E$104*4)+'LINEST VARS'!$H$64*($E$104*0.5)+'LINEST VARS'!$G$64*($E$104*12.73)+'LINEST VARS'!$F$64*($B119*4)+'LINEST VARS'!$E$64*($B119*0.5)+'LINEST VARS'!$D$64*($B119*12.73)+'LINEST VARS'!$C$64*(4*0.5)+'LINEST VARS'!$B$64*(4*12.73)+'LINEST VARS'!$A$64*(0.5*12.73)</f>
        <v>164.18999999999988</v>
      </c>
      <c r="F119" s="55">
        <f>'LINEST VARS'!$U$64+'LINEST VARS'!$T$64*($F$104)+'LINEST VARS'!$S$64*($B119)+'LINEST VARS'!$R$64*(4)+'LINEST VARS'!$Q$64*(0.5)+'LINEST VARS'!$P$64*(12.73)+'LINEST VARS'!$O$64*($F$104^2)+'LINEST VARS'!$N$64*($B119^2)+'LINEST VARS'!$M$64*(4^2)+'LINEST VARS'!$L$64*(0.5^2)+'LINEST VARS'!$K$64*(12.73^2)+'LINEST VARS'!$J$64*($F$104*$B119)+'LINEST VARS'!$I$64*($F$104*4)+'LINEST VARS'!$H$64*($F$104*0.5)+'LINEST VARS'!$G$64*($F$104*12.73)+'LINEST VARS'!$F$64*($B119*4)+'LINEST VARS'!$E$64*($B119*0.5)+'LINEST VARS'!$D$64*($B119*12.73)+'LINEST VARS'!$C$64*(4*0.5)+'LINEST VARS'!$B$64*(4*12.73)+'LINEST VARS'!$A$64*(0.5*12.73)</f>
        <v>164.18999999999988</v>
      </c>
      <c r="G119" s="55">
        <f>'LINEST VARS'!$U$64+'LINEST VARS'!$T$64*($G$104)+'LINEST VARS'!$S$64*($B119)+'LINEST VARS'!$R$64*(4)+'LINEST VARS'!$Q$64*(0.5)+'LINEST VARS'!$P$64*(12.73)+'LINEST VARS'!$O$64*($G$104^2)+'LINEST VARS'!$N$64*($B119^2)+'LINEST VARS'!$M$64*(4^2)+'LINEST VARS'!$L$64*(0.5^2)+'LINEST VARS'!$K$64*(12.73^2)+'LINEST VARS'!$J$64*($G$104*$B119)+'LINEST VARS'!$I$64*($G$104*4)+'LINEST VARS'!$H$64*($G$104*0.5)+'LINEST VARS'!$G$64*($G$104*12.73)+'LINEST VARS'!$F$64*($B119*4)+'LINEST VARS'!$E$64*($B119*0.5)+'LINEST VARS'!$D$64*($B119*12.73)+'LINEST VARS'!$C$64*(4*0.5)+'LINEST VARS'!$B$64*(4*12.73)+'LINEST VARS'!$A$64*(0.5*12.73)</f>
        <v>164.18999999999991</v>
      </c>
      <c r="H119" s="55">
        <f>'LINEST VARS'!$U$64+'LINEST VARS'!$T$64*($H$104)+'LINEST VARS'!$S$64*($B119)+'LINEST VARS'!$R$64*(4)+'LINEST VARS'!$Q$64*(0.5)+'LINEST VARS'!$P$64*(12.73)+'LINEST VARS'!$O$64*($H$104^2)+'LINEST VARS'!$N$64*($B119^2)+'LINEST VARS'!$M$64*(4^2)+'LINEST VARS'!$L$64*(0.5^2)+'LINEST VARS'!$K$64*(12.73^2)+'LINEST VARS'!$J$64*($H$104*$B119)+'LINEST VARS'!$I$64*($H$104*4)+'LINEST VARS'!$H$64*($H$104*0.5)+'LINEST VARS'!$G$64*($H$104*12.73)+'LINEST VARS'!$F$64*($B119*4)+'LINEST VARS'!$E$64*($B119*0.5)+'LINEST VARS'!$D$64*($B119*12.73)+'LINEST VARS'!$C$64*(4*0.5)+'LINEST VARS'!$B$64*(4*12.73)+'LINEST VARS'!$A$64*(0.5*12.73)</f>
        <v>164.18999999999991</v>
      </c>
      <c r="I119" s="55">
        <f>'LINEST VARS'!$U$64+'LINEST VARS'!$T$64*($I$104)+'LINEST VARS'!$S$64*($B119)+'LINEST VARS'!$R$64*(4)+'LINEST VARS'!$Q$64*(0.5)+'LINEST VARS'!$P$64*(12.73)+'LINEST VARS'!$O$64*($I$104^2)+'LINEST VARS'!$N$64*($B119^2)+'LINEST VARS'!$M$64*(4^2)+'LINEST VARS'!$L$64*(0.5^2)+'LINEST VARS'!$K$64*(12.73^2)+'LINEST VARS'!$J$64*($I$104*$B119)+'LINEST VARS'!$I$64*($I$104*4)+'LINEST VARS'!$H$64*($I$104*0.5)+'LINEST VARS'!$G$64*($I$104*12.73)+'LINEST VARS'!$F$64*($B119*4)+'LINEST VARS'!$E$64*($B119*0.5)+'LINEST VARS'!$D$64*($B119*12.73)+'LINEST VARS'!$C$64*(4*0.5)+'LINEST VARS'!$B$64*(4*12.73)+'LINEST VARS'!$A$64*(0.5*12.73)</f>
        <v>164.18999999999988</v>
      </c>
      <c r="J119" s="55">
        <f>'LINEST VARS'!$U$64+'LINEST VARS'!$T$64*($J$104)+'LINEST VARS'!$S$64*($B119)+'LINEST VARS'!$R$64*(4)+'LINEST VARS'!$Q$64*(0.5)+'LINEST VARS'!$P$64*(12.73)+'LINEST VARS'!$O$64*($J$104^2)+'LINEST VARS'!$N$64*($B119^2)+'LINEST VARS'!$M$64*(4^2)+'LINEST VARS'!$L$64*(0.5^2)+'LINEST VARS'!$K$64*(12.73^2)+'LINEST VARS'!$J$64*($J$104*$B119)+'LINEST VARS'!$I$64*($J$104*4)+'LINEST VARS'!$H$64*($J$104*0.5)+'LINEST VARS'!$G$64*($J$104*12.73)+'LINEST VARS'!$F$64*($B119*4)+'LINEST VARS'!$E$64*($B119*0.5)+'LINEST VARS'!$D$64*($B119*12.73)+'LINEST VARS'!$C$64*(4*0.5)+'LINEST VARS'!$B$64*(4*12.73)+'LINEST VARS'!$A$64*(0.5*12.73)</f>
        <v>164.18999999999988</v>
      </c>
      <c r="K119" s="55">
        <f>'LINEST VARS'!$U$64+'LINEST VARS'!$T$64*($K$104)+'LINEST VARS'!$S$64*($B119)+'LINEST VARS'!$R$64*(4)+'LINEST VARS'!$Q$64*(0.5)+'LINEST VARS'!$P$64*(12.73)+'LINEST VARS'!$O$64*($K$104^2)+'LINEST VARS'!$N$64*($B119^2)+'LINEST VARS'!$M$64*(4^2)+'LINEST VARS'!$L$64*(0.5^2)+'LINEST VARS'!$K$64*(12.73^2)+'LINEST VARS'!$J$64*($K$104*$B119)+'LINEST VARS'!$I$64*($K$104*4)+'LINEST VARS'!$H$64*($K$104*0.5)+'LINEST VARS'!$G$64*($K$104*12.73)+'LINEST VARS'!$F$64*($B119*4)+'LINEST VARS'!$E$64*($B119*0.5)+'LINEST VARS'!$D$64*($B119*12.73)+'LINEST VARS'!$C$64*(4*0.5)+'LINEST VARS'!$B$64*(4*12.73)+'LINEST VARS'!$A$64*(0.5*12.73)</f>
        <v>164.18999999999988</v>
      </c>
      <c r="L119" s="55">
        <f>'LINEST VARS'!$U$64+'LINEST VARS'!$T$64*($L$104)+'LINEST VARS'!$S$64*($B119)+'LINEST VARS'!$R$64*(4)+'LINEST VARS'!$Q$64*(0.5)+'LINEST VARS'!$P$64*(12.73)+'LINEST VARS'!$O$64*($L$104^2)+'LINEST VARS'!$N$64*($B119^2)+'LINEST VARS'!$M$64*(4^2)+'LINEST VARS'!$L$64*(0.5^2)+'LINEST VARS'!$K$64*(12.73^2)+'LINEST VARS'!$J$64*($L$104*$B119)+'LINEST VARS'!$I$64*($L$104*4)+'LINEST VARS'!$H$64*($L$104*0.5)+'LINEST VARS'!$G$64*($L$104*12.73)+'LINEST VARS'!$F$64*($B119*4)+'LINEST VARS'!$E$64*($B119*0.5)+'LINEST VARS'!$D$64*($B119*12.73)+'LINEST VARS'!$C$64*(4*0.5)+'LINEST VARS'!$B$64*(4*12.73)+'LINEST VARS'!$A$64*(0.5*12.73)</f>
        <v>164.18999999999988</v>
      </c>
      <c r="M119" s="55">
        <f>'LINEST VARS'!$U$64+'LINEST VARS'!$T$64*($M$104)+'LINEST VARS'!$S$64*($B119)+'LINEST VARS'!$R$64*(4)+'LINEST VARS'!$Q$64*(0.5)+'LINEST VARS'!$P$64*(12.73)+'LINEST VARS'!$O$64*($M$104^2)+'LINEST VARS'!$N$64*($B119^2)+'LINEST VARS'!$M$64*(4^2)+'LINEST VARS'!$L$64*(0.5^2)+'LINEST VARS'!$K$64*(12.73^2)+'LINEST VARS'!$J$64*($M$104*$B119)+'LINEST VARS'!$I$64*($M$104*4)+'LINEST VARS'!$H$64*($M$104*0.5)+'LINEST VARS'!$G$64*($M$104*12.73)+'LINEST VARS'!$F$64*($B119*4)+'LINEST VARS'!$E$64*($B119*0.5)+'LINEST VARS'!$D$64*($B119*12.73)+'LINEST VARS'!$C$64*(4*0.5)+'LINEST VARS'!$B$64*(4*12.73)+'LINEST VARS'!$A$64*(0.5*12.73)</f>
        <v>164.18999999999988</v>
      </c>
      <c r="N119" s="55">
        <f>'LINEST VARS'!$U$64+'LINEST VARS'!$T$64*($N$104)+'LINEST VARS'!$S$64*($B119)+'LINEST VARS'!$R$64*(4)+'LINEST VARS'!$Q$64*(0.5)+'LINEST VARS'!$P$64*(12.73)+'LINEST VARS'!$O$64*($N$104^2)+'LINEST VARS'!$N$64*($B119^2)+'LINEST VARS'!$M$64*(4^2)+'LINEST VARS'!$L$64*(0.5^2)+'LINEST VARS'!$K$64*(12.73^2)+'LINEST VARS'!$J$64*($N$104*$B119)+'LINEST VARS'!$I$64*($N$104*4)+'LINEST VARS'!$H$64*($N$104*0.5)+'LINEST VARS'!$G$64*($N$104*12.73)+'LINEST VARS'!$F$64*($B119*4)+'LINEST VARS'!$E$64*($B119*0.5)+'LINEST VARS'!$D$64*($B119*12.73)+'LINEST VARS'!$C$64*(4*0.5)+'LINEST VARS'!$B$64*(4*12.73)+'LINEST VARS'!$A$64*(0.5*12.73)</f>
        <v>164.18999999999988</v>
      </c>
      <c r="O119" s="55">
        <f>'LINEST VARS'!$U$64+'LINEST VARS'!$T$64*($O$104)+'LINEST VARS'!$S$64*($B119)+'LINEST VARS'!$R$64*(4)+'LINEST VARS'!$Q$64*(0.5)+'LINEST VARS'!$P$64*(12.73)+'LINEST VARS'!$O$64*($O$104^2)+'LINEST VARS'!$N$64*($B119^2)+'LINEST VARS'!$M$64*(4^2)+'LINEST VARS'!$L$64*(0.5^2)+'LINEST VARS'!$K$64*(12.73^2)+'LINEST VARS'!$J$64*($O$104*$B119)+'LINEST VARS'!$I$64*($O$104*4)+'LINEST VARS'!$H$64*($O$104*0.5)+'LINEST VARS'!$G$64*($O$104*12.73)+'LINEST VARS'!$F$64*($B119*4)+'LINEST VARS'!$E$64*($B119*0.5)+'LINEST VARS'!$D$64*($B119*12.73)+'LINEST VARS'!$C$64*(4*0.5)+'LINEST VARS'!$B$64*(4*12.73)+'LINEST VARS'!$A$64*(0.5*12.73)</f>
        <v>164.18999999999988</v>
      </c>
      <c r="P119" s="55">
        <f>'LINEST VARS'!$U$64+'LINEST VARS'!$T$64*($P$104)+'LINEST VARS'!$S$64*($B119)+'LINEST VARS'!$R$64*(4)+'LINEST VARS'!$Q$64*(0.5)+'LINEST VARS'!$P$64*(12.73)+'LINEST VARS'!$O$64*($P$104^2)+'LINEST VARS'!$N$64*($B119^2)+'LINEST VARS'!$M$64*(4^2)+'LINEST VARS'!$L$64*(0.5^2)+'LINEST VARS'!$K$64*(12.73^2)+'LINEST VARS'!$J$64*($P$104*$B119)+'LINEST VARS'!$I$64*($P$104*4)+'LINEST VARS'!$H$64*($P$104*0.5)+'LINEST VARS'!$G$64*($P$104*12.73)+'LINEST VARS'!$F$64*($B119*4)+'LINEST VARS'!$E$64*($B119*0.5)+'LINEST VARS'!$D$64*($B119*12.73)+'LINEST VARS'!$C$64*(4*0.5)+'LINEST VARS'!$B$64*(4*12.73)+'LINEST VARS'!$A$64*(0.5*12.73)</f>
        <v>164.18999999999991</v>
      </c>
      <c r="Q119" s="55">
        <f>'LINEST VARS'!$U$64+'LINEST VARS'!$T$64*($Q$104)+'LINEST VARS'!$S$64*($B119)+'LINEST VARS'!$R$64*(4)+'LINEST VARS'!$Q$64*(0.5)+'LINEST VARS'!$P$64*(12.73)+'LINEST VARS'!$O$64*($Q$104^2)+'LINEST VARS'!$N$64*($B119^2)+'LINEST VARS'!$M$64*(4^2)+'LINEST VARS'!$L$64*(0.5^2)+'LINEST VARS'!$K$64*(12.73^2)+'LINEST VARS'!$J$64*($Q$104*$B119)+'LINEST VARS'!$I$64*($Q$104*4)+'LINEST VARS'!$H$64*($Q$104*0.5)+'LINEST VARS'!$G$64*($Q$104*12.73)+'LINEST VARS'!$F$64*($B119*4)+'LINEST VARS'!$E$64*($B119*0.5)+'LINEST VARS'!$D$64*($B119*12.73)+'LINEST VARS'!$C$64*(4*0.5)+'LINEST VARS'!$B$64*(4*12.73)+'LINEST VARS'!$A$64*(0.5*12.73)</f>
        <v>164.18999999999991</v>
      </c>
      <c r="R119" s="55">
        <f>'LINEST VARS'!$U$64+'LINEST VARS'!$T$64*($R$104)+'LINEST VARS'!$S$64*($B119)+'LINEST VARS'!$R$64*(4)+'LINEST VARS'!$Q$64*(0.5)+'LINEST VARS'!$P$64*(12.73)+'LINEST VARS'!$O$64*($R$104^2)+'LINEST VARS'!$N$64*($B119^2)+'LINEST VARS'!$M$64*(4^2)+'LINEST VARS'!$L$64*(0.5^2)+'LINEST VARS'!$K$64*(12.73^2)+'LINEST VARS'!$J$64*($R$104*$B119)+'LINEST VARS'!$I$64*($R$104*4)+'LINEST VARS'!$H$64*($R$104*0.5)+'LINEST VARS'!$G$64*($R$104*12.73)+'LINEST VARS'!$F$64*($B119*4)+'LINEST VARS'!$E$64*($B119*0.5)+'LINEST VARS'!$D$64*($B119*12.73)+'LINEST VARS'!$C$64*(4*0.5)+'LINEST VARS'!$B$64*(4*12.73)+'LINEST VARS'!$A$64*(0.5*12.73)</f>
        <v>164.18999999999991</v>
      </c>
      <c r="S119" s="55">
        <f>'LINEST VARS'!$U$64+'LINEST VARS'!$T$64*($S$104)+'LINEST VARS'!$S$64*($B119)+'LINEST VARS'!$R$64*(4)+'LINEST VARS'!$Q$64*(0.5)+'LINEST VARS'!$P$64*(12.73)+'LINEST VARS'!$O$64*($S$104^2)+'LINEST VARS'!$N$64*($B119^2)+'LINEST VARS'!$M$64*(4^2)+'LINEST VARS'!$L$64*(0.5^2)+'LINEST VARS'!$K$64*(12.73^2)+'LINEST VARS'!$J$64*($S$104*$B119)+'LINEST VARS'!$I$64*($S$104*4)+'LINEST VARS'!$H$64*($S$104*0.5)+'LINEST VARS'!$G$64*($S$104*12.73)+'LINEST VARS'!$F$64*($B119*4)+'LINEST VARS'!$E$64*($B119*0.5)+'LINEST VARS'!$D$64*($B119*12.73)+'LINEST VARS'!$C$64*(4*0.5)+'LINEST VARS'!$B$64*(4*12.73)+'LINEST VARS'!$A$64*(0.5*12.73)</f>
        <v>164.18999999999991</v>
      </c>
      <c r="T119" s="55">
        <f>'LINEST VARS'!$U$64+'LINEST VARS'!$T$64*($T$104)+'LINEST VARS'!$S$64*($B119)+'LINEST VARS'!$R$64*(4)+'LINEST VARS'!$Q$64*(0.5)+'LINEST VARS'!$P$64*(12.73)+'LINEST VARS'!$O$64*($T$104^2)+'LINEST VARS'!$N$64*($B119^2)+'LINEST VARS'!$M$64*(4^2)+'LINEST VARS'!$L$64*(0.5^2)+'LINEST VARS'!$K$64*(12.73^2)+'LINEST VARS'!$J$64*($T$104*$B119)+'LINEST VARS'!$I$64*($T$104*4)+'LINEST VARS'!$H$64*($T$104*0.5)+'LINEST VARS'!$G$64*($T$104*12.73)+'LINEST VARS'!$F$64*($B119*4)+'LINEST VARS'!$E$64*($B119*0.5)+'LINEST VARS'!$D$64*($B119*12.73)+'LINEST VARS'!$C$64*(4*0.5)+'LINEST VARS'!$B$64*(4*12.73)+'LINEST VARS'!$A$64*(0.5*12.73)</f>
        <v>164.18999999999991</v>
      </c>
      <c r="U119" s="55">
        <f>'LINEST VARS'!$U$64+'LINEST VARS'!$T$64*($U$104)+'LINEST VARS'!$S$64*($B119)+'LINEST VARS'!$R$64*(4)+'LINEST VARS'!$Q$64*(0.5)+'LINEST VARS'!$P$64*(12.73)+'LINEST VARS'!$O$64*($U$104^2)+'LINEST VARS'!$N$64*($B119^2)+'LINEST VARS'!$M$64*(4^2)+'LINEST VARS'!$L$64*(0.5^2)+'LINEST VARS'!$K$64*(12.73^2)+'LINEST VARS'!$J$64*($U$104*$B119)+'LINEST VARS'!$I$64*($U$104*4)+'LINEST VARS'!$H$64*($U$104*0.5)+'LINEST VARS'!$G$64*($U$104*12.73)+'LINEST VARS'!$F$64*($B119*4)+'LINEST VARS'!$E$64*($B119*0.5)+'LINEST VARS'!$D$64*($B119*12.73)+'LINEST VARS'!$C$64*(4*0.5)+'LINEST VARS'!$B$64*(4*12.73)+'LINEST VARS'!$A$64*(0.5*12.73)</f>
        <v>164.18999999999991</v>
      </c>
      <c r="V119" s="55">
        <f>'LINEST VARS'!$U$64+'LINEST VARS'!$T$64*($V$104)+'LINEST VARS'!$S$64*($B119)+'LINEST VARS'!$R$64*(4)+'LINEST VARS'!$Q$64*(0.5)+'LINEST VARS'!$P$64*(12.73)+'LINEST VARS'!$O$64*($V$104^2)+'LINEST VARS'!$N$64*($B119^2)+'LINEST VARS'!$M$64*(4^2)+'LINEST VARS'!$L$64*(0.5^2)+'LINEST VARS'!$K$64*(12.73^2)+'LINEST VARS'!$J$64*($V$104*$B119)+'LINEST VARS'!$I$64*($V$104*4)+'LINEST VARS'!$H$64*($V$104*0.5)+'LINEST VARS'!$G$64*($V$104*12.73)+'LINEST VARS'!$F$64*($B119*4)+'LINEST VARS'!$E$64*($B119*0.5)+'LINEST VARS'!$D$64*($B119*12.73)+'LINEST VARS'!$C$64*(4*0.5)+'LINEST VARS'!$B$64*(4*12.73)+'LINEST VARS'!$A$64*(0.5*12.73)</f>
        <v>164.18999999999991</v>
      </c>
      <c r="W119" s="56">
        <f>'LINEST VARS'!$U$64+'LINEST VARS'!$T$64*($W$104)+'LINEST VARS'!$S$64*($B119)+'LINEST VARS'!$R$64*(4)+'LINEST VARS'!$Q$64*(0.5)+'LINEST VARS'!$P$64*(12.73)+'LINEST VARS'!$O$64*($W$104^2)+'LINEST VARS'!$N$64*($B119^2)+'LINEST VARS'!$M$64*(4^2)+'LINEST VARS'!$L$64*(0.5^2)+'LINEST VARS'!$K$64*(12.73^2)+'LINEST VARS'!$J$64*($W$104*$B119)+'LINEST VARS'!$I$64*($W$104*4)+'LINEST VARS'!$H$64*($W$104*0.5)+'LINEST VARS'!$G$64*($W$104*12.73)+'LINEST VARS'!$F$64*($B119*4)+'LINEST VARS'!$E$64*($B119*0.5)+'LINEST VARS'!$D$64*($B119*12.73)+'LINEST VARS'!$C$64*(4*0.5)+'LINEST VARS'!$B$64*(4*12.73)+'LINEST VARS'!$A$64*(0.5*12.73)</f>
        <v>164.18999999999991</v>
      </c>
      <c r="Z119" s="45">
        <v>8.24</v>
      </c>
      <c r="AA119" s="46">
        <f>'LINEST VARS'!$U$66+'LINEST VARS'!$T$66*($AA$104)+'LINEST VARS'!$S$66*($Z119)+'LINEST VARS'!$R$66*(4)+'LINEST VARS'!$Q$66*(0.5)+'LINEST VARS'!$P$66*(12.73)+'LINEST VARS'!$O$66*($AA$104^2)+'LINEST VARS'!$N$66*($Z119^2)+'LINEST VARS'!$M$66*(4^2)+'LINEST VARS'!$L$66*(0.5^2)+'LINEST VARS'!$K$66*(12.73^2)+'LINEST VARS'!$J$66*($AA$104*$Z119)+'LINEST VARS'!$I$66*($AA$104*4)+'LINEST VARS'!$H$66*($AA$104*0.5)+'LINEST VARS'!$G$66*($AA$104*12.73)+'LINEST VARS'!$F$66*($Z119*4)+'LINEST VARS'!$E$66*($Z119*0.5)+'LINEST VARS'!$D$66*($Z119*12.73)+'LINEST VARS'!$C$66*(4*0.5)+'LINEST VARS'!$B$66*(4*12.73)+'LINEST VARS'!$A$66*(0.5*12.73)</f>
        <v>134.20000000000002</v>
      </c>
      <c r="AB119" s="46">
        <f>'LINEST VARS'!$U$66+'LINEST VARS'!$T$66*($AB$104)+'LINEST VARS'!$S$66*($Z119)+'LINEST VARS'!$R$66*(4)+'LINEST VARS'!$Q$66*(0.5)+'LINEST VARS'!$P$66*(12.73)+'LINEST VARS'!$O$66*($AB$104^2)+'LINEST VARS'!$N$66*($Z119^2)+'LINEST VARS'!$M$66*(4^2)+'LINEST VARS'!$L$66*(0.5^2)+'LINEST VARS'!$K$66*(12.73^2)+'LINEST VARS'!$J$66*($AB$104*$Z119)+'LINEST VARS'!$I$66*($AB$104*4)+'LINEST VARS'!$H$66*($AB$104*0.5)+'LINEST VARS'!$G$66*($AB$104*12.73)+'LINEST VARS'!$F$66*($Z119*4)+'LINEST VARS'!$E$66*($Z119*0.5)+'LINEST VARS'!$D$66*($Z119*12.73)+'LINEST VARS'!$C$66*(4*0.5)+'LINEST VARS'!$B$66*(4*12.73)+'LINEST VARS'!$A$66*(0.5*12.73)</f>
        <v>134.38000000000005</v>
      </c>
      <c r="AC119" s="46">
        <f>'LINEST VARS'!$U$66+'LINEST VARS'!$T$66*($AC$104)+'LINEST VARS'!$S$66*($Z119)+'LINEST VARS'!$R$66*(4)+'LINEST VARS'!$Q$66*(0.5)+'LINEST VARS'!$P$66*(12.73)+'LINEST VARS'!$O$66*($AC$104^2)+'LINEST VARS'!$N$66*($Z119^2)+'LINEST VARS'!$M$66*(4^2)+'LINEST VARS'!$L$66*(0.5^2)+'LINEST VARS'!$K$66*(12.73^2)+'LINEST VARS'!$J$66*($AC$104*$Z119)+'LINEST VARS'!$I$66*($AC$104*4)+'LINEST VARS'!$H$66*($AC$104*0.5)+'LINEST VARS'!$G$66*($AC$104*12.73)+'LINEST VARS'!$F$66*($Z119*4)+'LINEST VARS'!$E$66*($Z119*0.5)+'LINEST VARS'!$D$66*($Z119*12.73)+'LINEST VARS'!$C$66*(4*0.5)+'LINEST VARS'!$B$66*(4*12.73)+'LINEST VARS'!$A$66*(0.5*12.73)</f>
        <v>134.56000000000003</v>
      </c>
      <c r="AD119" s="46">
        <f>'LINEST VARS'!$U$66+'LINEST VARS'!$T$66*($AD$104)+'LINEST VARS'!$S$66*($Z119)+'LINEST VARS'!$R$66*(4)+'LINEST VARS'!$Q$66*(0.5)+'LINEST VARS'!$P$66*(12.73)+'LINEST VARS'!$O$66*($AD$104^2)+'LINEST VARS'!$N$66*($Z119^2)+'LINEST VARS'!$M$66*(4^2)+'LINEST VARS'!$L$66*(0.5^2)+'LINEST VARS'!$K$66*(12.73^2)+'LINEST VARS'!$J$66*($AD$104*$Z119)+'LINEST VARS'!$I$66*($AD$104*4)+'LINEST VARS'!$H$66*($AD$104*0.5)+'LINEST VARS'!$G$66*($AD$104*12.73)+'LINEST VARS'!$F$66*($Z119*4)+'LINEST VARS'!$E$66*($Z119*0.5)+'LINEST VARS'!$D$66*($Z119*12.73)+'LINEST VARS'!$C$66*(4*0.5)+'LINEST VARS'!$B$66*(4*12.73)+'LINEST VARS'!$A$66*(0.5*12.73)</f>
        <v>134.74000000000004</v>
      </c>
      <c r="AE119" s="46">
        <f>'LINEST VARS'!$U$66+'LINEST VARS'!$T$66*($AE$104)+'LINEST VARS'!$S$66*($Z119)+'LINEST VARS'!$R$66*(4)+'LINEST VARS'!$Q$66*(0.5)+'LINEST VARS'!$P$66*(12.73)+'LINEST VARS'!$O$66*($AE$104^2)+'LINEST VARS'!$N$66*($Z119^2)+'LINEST VARS'!$M$66*(4^2)+'LINEST VARS'!$L$66*(0.5^2)+'LINEST VARS'!$K$66*(12.73^2)+'LINEST VARS'!$J$66*($AE$104*$Z119)+'LINEST VARS'!$I$66*($AE$104*4)+'LINEST VARS'!$H$66*($AE$104*0.5)+'LINEST VARS'!$G$66*($AE$104*12.73)+'LINEST VARS'!$F$66*($Z119*4)+'LINEST VARS'!$E$66*($Z119*0.5)+'LINEST VARS'!$D$66*($Z119*12.73)+'LINEST VARS'!$C$66*(4*0.5)+'LINEST VARS'!$B$66*(4*12.73)+'LINEST VARS'!$A$66*(0.5*12.73)</f>
        <v>134.92000000000004</v>
      </c>
      <c r="AF119" s="46">
        <f>'LINEST VARS'!$U$66+'LINEST VARS'!$T$66*($AF$104)+'LINEST VARS'!$S$66*($Z119)+'LINEST VARS'!$R$66*(4)+'LINEST VARS'!$Q$66*(0.5)+'LINEST VARS'!$P$66*(12.73)+'LINEST VARS'!$O$66*($AF$104^2)+'LINEST VARS'!$N$66*($Z119^2)+'LINEST VARS'!$M$66*(4^2)+'LINEST VARS'!$L$66*(0.5^2)+'LINEST VARS'!$K$66*(12.73^2)+'LINEST VARS'!$J$66*($AF$104*$Z119)+'LINEST VARS'!$I$66*($AF$104*4)+'LINEST VARS'!$H$66*($AF$104*0.5)+'LINEST VARS'!$G$66*($AF$104*12.73)+'LINEST VARS'!$F$66*($Z119*4)+'LINEST VARS'!$E$66*($Z119*0.5)+'LINEST VARS'!$D$66*($Z119*12.73)+'LINEST VARS'!$C$66*(4*0.5)+'LINEST VARS'!$B$66*(4*12.73)+'LINEST VARS'!$A$66*(0.5*12.73)</f>
        <v>135.10000000000005</v>
      </c>
      <c r="AG119" s="46">
        <f>'LINEST VARS'!$U$66+'LINEST VARS'!$T$66*($AG$104)+'LINEST VARS'!$S$66*($Z119)+'LINEST VARS'!$R$66*(4)+'LINEST VARS'!$Q$66*(0.5)+'LINEST VARS'!$P$66*(12.73)+'LINEST VARS'!$O$66*($AG$104^2)+'LINEST VARS'!$N$66*($Z119^2)+'LINEST VARS'!$M$66*(4^2)+'LINEST VARS'!$L$66*(0.5^2)+'LINEST VARS'!$K$66*(12.73^2)+'LINEST VARS'!$J$66*($AG$104*$Z119)+'LINEST VARS'!$I$66*($AG$104*4)+'LINEST VARS'!$H$66*($AG$104*0.5)+'LINEST VARS'!$G$66*($AG$104*12.73)+'LINEST VARS'!$F$66*($Z119*4)+'LINEST VARS'!$E$66*($Z119*0.5)+'LINEST VARS'!$D$66*($Z119*12.73)+'LINEST VARS'!$C$66*(4*0.5)+'LINEST VARS'!$B$66*(4*12.73)+'LINEST VARS'!$A$66*(0.5*12.73)</f>
        <v>135.28000000000003</v>
      </c>
      <c r="AH119" s="46">
        <f>'LINEST VARS'!$U$66+'LINEST VARS'!$T$66*($AH$104)+'LINEST VARS'!$S$66*($Z119)+'LINEST VARS'!$R$66*(4)+'LINEST VARS'!$Q$66*(0.5)+'LINEST VARS'!$P$66*(12.73)+'LINEST VARS'!$O$66*($AH$104^2)+'LINEST VARS'!$N$66*($Z119^2)+'LINEST VARS'!$M$66*(4^2)+'LINEST VARS'!$L$66*(0.5^2)+'LINEST VARS'!$K$66*(12.73^2)+'LINEST VARS'!$J$66*($AH$104*$Z119)+'LINEST VARS'!$I$66*($AH$104*4)+'LINEST VARS'!$H$66*($AH$104*0.5)+'LINEST VARS'!$G$66*($AH$104*12.73)+'LINEST VARS'!$F$66*($Z119*4)+'LINEST VARS'!$E$66*($Z119*0.5)+'LINEST VARS'!$D$66*($Z119*12.73)+'LINEST VARS'!$C$66*(4*0.5)+'LINEST VARS'!$B$66*(4*12.73)+'LINEST VARS'!$A$66*(0.5*12.73)</f>
        <v>135.46000000000004</v>
      </c>
      <c r="AI119" s="46">
        <f>'LINEST VARS'!$U$66+'LINEST VARS'!$T$66*($AI$104)+'LINEST VARS'!$S$66*($Z119)+'LINEST VARS'!$R$66*(4)+'LINEST VARS'!$Q$66*(0.5)+'LINEST VARS'!$P$66*(12.73)+'LINEST VARS'!$O$66*($AI$104^2)+'LINEST VARS'!$N$66*($Z119^2)+'LINEST VARS'!$M$66*(4^2)+'LINEST VARS'!$L$66*(0.5^2)+'LINEST VARS'!$K$66*(12.73^2)+'LINEST VARS'!$J$66*($AI$104*$Z119)+'LINEST VARS'!$I$66*($AI$104*4)+'LINEST VARS'!$H$66*($AI$104*0.5)+'LINEST VARS'!$G$66*($AI$104*12.73)+'LINEST VARS'!$F$66*($Z119*4)+'LINEST VARS'!$E$66*($Z119*0.5)+'LINEST VARS'!$D$66*($Z119*12.73)+'LINEST VARS'!$C$66*(4*0.5)+'LINEST VARS'!$B$66*(4*12.73)+'LINEST VARS'!$A$66*(0.5*12.73)</f>
        <v>135.64000000000004</v>
      </c>
      <c r="AJ119" s="46">
        <f>'LINEST VARS'!$U$66+'LINEST VARS'!$T$66*($AJ$104)+'LINEST VARS'!$S$66*($Z119)+'LINEST VARS'!$R$66*(4)+'LINEST VARS'!$Q$66*(0.5)+'LINEST VARS'!$P$66*(12.73)+'LINEST VARS'!$O$66*($AJ$104^2)+'LINEST VARS'!$N$66*($Z119^2)+'LINEST VARS'!$M$66*(4^2)+'LINEST VARS'!$L$66*(0.5^2)+'LINEST VARS'!$K$66*(12.73^2)+'LINEST VARS'!$J$66*($AJ$104*$Z119)+'LINEST VARS'!$I$66*($AJ$104*4)+'LINEST VARS'!$H$66*($AJ$104*0.5)+'LINEST VARS'!$G$66*($AJ$104*12.73)+'LINEST VARS'!$F$66*($Z119*4)+'LINEST VARS'!$E$66*($Z119*0.5)+'LINEST VARS'!$D$66*($Z119*12.73)+'LINEST VARS'!$C$66*(4*0.5)+'LINEST VARS'!$B$66*(4*12.73)+'LINEST VARS'!$A$66*(0.5*12.73)</f>
        <v>135.82000000000005</v>
      </c>
      <c r="AK119" s="46">
        <f>'LINEST VARS'!$U$66+'LINEST VARS'!$T$66*($AK$104)+'LINEST VARS'!$S$66*($Z119)+'LINEST VARS'!$R$66*(4)+'LINEST VARS'!$Q$66*(0.5)+'LINEST VARS'!$P$66*(12.73)+'LINEST VARS'!$O$66*($AK$104^2)+'LINEST VARS'!$N$66*($Z119^2)+'LINEST VARS'!$M$66*(4^2)+'LINEST VARS'!$L$66*(0.5^2)+'LINEST VARS'!$K$66*(12.73^2)+'LINEST VARS'!$J$66*($AK$104*$Z119)+'LINEST VARS'!$I$66*($AK$104*4)+'LINEST VARS'!$H$66*($AK$104*0.5)+'LINEST VARS'!$G$66*($AK$104*12.73)+'LINEST VARS'!$F$66*($Z119*4)+'LINEST VARS'!$E$66*($Z119*0.5)+'LINEST VARS'!$D$66*($Z119*12.73)+'LINEST VARS'!$C$66*(4*0.5)+'LINEST VARS'!$B$66*(4*12.73)+'LINEST VARS'!$A$66*(0.5*12.73)</f>
        <v>136.00000000000003</v>
      </c>
      <c r="AL119" s="46">
        <f>'LINEST VARS'!$U$66+'LINEST VARS'!$T$66*($AL$104)+'LINEST VARS'!$S$66*($Z119)+'LINEST VARS'!$R$66*(4)+'LINEST VARS'!$Q$66*(0.5)+'LINEST VARS'!$P$66*(12.73)+'LINEST VARS'!$O$66*($AL$104^2)+'LINEST VARS'!$N$66*($Z119^2)+'LINEST VARS'!$M$66*(4^2)+'LINEST VARS'!$L$66*(0.5^2)+'LINEST VARS'!$K$66*(12.73^2)+'LINEST VARS'!$J$66*($AL$104*$Z119)+'LINEST VARS'!$I$66*($AL$104*4)+'LINEST VARS'!$H$66*($AL$104*0.5)+'LINEST VARS'!$G$66*($AL$104*12.73)+'LINEST VARS'!$F$66*($Z119*4)+'LINEST VARS'!$E$66*($Z119*0.5)+'LINEST VARS'!$D$66*($Z119*12.73)+'LINEST VARS'!$C$66*(4*0.5)+'LINEST VARS'!$B$66*(4*12.73)+'LINEST VARS'!$A$66*(0.5*12.73)</f>
        <v>136.18000000000004</v>
      </c>
      <c r="AM119" s="46">
        <f>'LINEST VARS'!$U$66+'LINEST VARS'!$T$66*($AM$104)+'LINEST VARS'!$S$66*($Z119)+'LINEST VARS'!$R$66*(4)+'LINEST VARS'!$Q$66*(0.5)+'LINEST VARS'!$P$66*(12.73)+'LINEST VARS'!$O$66*($AM$104^2)+'LINEST VARS'!$N$66*($Z119^2)+'LINEST VARS'!$M$66*(4^2)+'LINEST VARS'!$L$66*(0.5^2)+'LINEST VARS'!$K$66*(12.73^2)+'LINEST VARS'!$J$66*($AM$104*$Z119)+'LINEST VARS'!$I$66*($AM$104*4)+'LINEST VARS'!$H$66*($AM$104*0.5)+'LINEST VARS'!$G$66*($AM$104*12.73)+'LINEST VARS'!$F$66*($Z119*4)+'LINEST VARS'!$E$66*($Z119*0.5)+'LINEST VARS'!$D$66*($Z119*12.73)+'LINEST VARS'!$C$66*(4*0.5)+'LINEST VARS'!$B$66*(4*12.73)+'LINEST VARS'!$A$66*(0.5*12.73)</f>
        <v>136.36000000000004</v>
      </c>
      <c r="AN119" s="46">
        <f>'LINEST VARS'!$U$66+'LINEST VARS'!$T$66*($AN$104)+'LINEST VARS'!$S$66*($Z119)+'LINEST VARS'!$R$66*(4)+'LINEST VARS'!$Q$66*(0.5)+'LINEST VARS'!$P$66*(12.73)+'LINEST VARS'!$O$66*($AN$104^2)+'LINEST VARS'!$N$66*($Z119^2)+'LINEST VARS'!$M$66*(4^2)+'LINEST VARS'!$L$66*(0.5^2)+'LINEST VARS'!$K$66*(12.73^2)+'LINEST VARS'!$J$66*($AN$104*$Z119)+'LINEST VARS'!$I$66*($AN$104*4)+'LINEST VARS'!$H$66*($AN$104*0.5)+'LINEST VARS'!$G$66*($AN$104*12.73)+'LINEST VARS'!$F$66*($Z119*4)+'LINEST VARS'!$E$66*($Z119*0.5)+'LINEST VARS'!$D$66*($Z119*12.73)+'LINEST VARS'!$C$66*(4*0.5)+'LINEST VARS'!$B$66*(4*12.73)+'LINEST VARS'!$A$66*(0.5*12.73)</f>
        <v>136.54000000000005</v>
      </c>
      <c r="AO119" s="46">
        <f>'LINEST VARS'!$U$66+'LINEST VARS'!$T$66*($AO$104)+'LINEST VARS'!$S$66*($Z119)+'LINEST VARS'!$R$66*(4)+'LINEST VARS'!$Q$66*(0.5)+'LINEST VARS'!$P$66*(12.73)+'LINEST VARS'!$O$66*($AO$104^2)+'LINEST VARS'!$N$66*($Z119^2)+'LINEST VARS'!$M$66*(4^2)+'LINEST VARS'!$L$66*(0.5^2)+'LINEST VARS'!$K$66*(12.73^2)+'LINEST VARS'!$J$66*($AO$104*$Z119)+'LINEST VARS'!$I$66*($AO$104*4)+'LINEST VARS'!$H$66*($AO$104*0.5)+'LINEST VARS'!$G$66*($AO$104*12.73)+'LINEST VARS'!$F$66*($Z119*4)+'LINEST VARS'!$E$66*($Z119*0.5)+'LINEST VARS'!$D$66*($Z119*12.73)+'LINEST VARS'!$C$66*(4*0.5)+'LINEST VARS'!$B$66*(4*12.73)+'LINEST VARS'!$A$66*(0.5*12.73)</f>
        <v>136.72000000000003</v>
      </c>
      <c r="AP119" s="46">
        <f>'LINEST VARS'!$U$66+'LINEST VARS'!$T$66*($AP$104)+'LINEST VARS'!$S$66*($Z119)+'LINEST VARS'!$R$66*(4)+'LINEST VARS'!$Q$66*(0.5)+'LINEST VARS'!$P$66*(12.73)+'LINEST VARS'!$O$66*($AP$104^2)+'LINEST VARS'!$N$66*($Z119^2)+'LINEST VARS'!$M$66*(4^2)+'LINEST VARS'!$L$66*(0.5^2)+'LINEST VARS'!$K$66*(12.73^2)+'LINEST VARS'!$J$66*($AP$104*$Z119)+'LINEST VARS'!$I$66*($AP$104*4)+'LINEST VARS'!$H$66*($AP$104*0.5)+'LINEST VARS'!$G$66*($AP$104*12.73)+'LINEST VARS'!$F$66*($Z119*4)+'LINEST VARS'!$E$66*($Z119*0.5)+'LINEST VARS'!$D$66*($Z119*12.73)+'LINEST VARS'!$C$66*(4*0.5)+'LINEST VARS'!$B$66*(4*12.73)+'LINEST VARS'!$A$66*(0.5*12.73)</f>
        <v>136.90000000000003</v>
      </c>
      <c r="AQ119" s="46">
        <f>'LINEST VARS'!$U$66+'LINEST VARS'!$T$66*($AQ$104)+'LINEST VARS'!$S$66*($Z119)+'LINEST VARS'!$R$66*(4)+'LINEST VARS'!$Q$66*(0.5)+'LINEST VARS'!$P$66*(12.73)+'LINEST VARS'!$O$66*($AQ$104^2)+'LINEST VARS'!$N$66*($Z119^2)+'LINEST VARS'!$M$66*(4^2)+'LINEST VARS'!$L$66*(0.5^2)+'LINEST VARS'!$K$66*(12.73^2)+'LINEST VARS'!$J$66*($AQ$104*$Z119)+'LINEST VARS'!$I$66*($AQ$104*4)+'LINEST VARS'!$H$66*($AQ$104*0.5)+'LINEST VARS'!$G$66*($AQ$104*12.73)+'LINEST VARS'!$F$66*($Z119*4)+'LINEST VARS'!$E$66*($Z119*0.5)+'LINEST VARS'!$D$66*($Z119*12.73)+'LINEST VARS'!$C$66*(4*0.5)+'LINEST VARS'!$B$66*(4*12.73)+'LINEST VARS'!$A$66*(0.5*12.73)</f>
        <v>137.08000000000004</v>
      </c>
      <c r="AR119" s="46">
        <f>'LINEST VARS'!$U$66+'LINEST VARS'!$T$66*($AR$104)+'LINEST VARS'!$S$66*($Z119)+'LINEST VARS'!$R$66*(4)+'LINEST VARS'!$Q$66*(0.5)+'LINEST VARS'!$P$66*(12.73)+'LINEST VARS'!$O$66*($AR$104^2)+'LINEST VARS'!$N$66*($Z119^2)+'LINEST VARS'!$M$66*(4^2)+'LINEST VARS'!$L$66*(0.5^2)+'LINEST VARS'!$K$66*(12.73^2)+'LINEST VARS'!$J$66*($AR$104*$Z119)+'LINEST VARS'!$I$66*($AR$104*4)+'LINEST VARS'!$H$66*($AR$104*0.5)+'LINEST VARS'!$G$66*($AR$104*12.73)+'LINEST VARS'!$F$66*($Z119*4)+'LINEST VARS'!$E$66*($Z119*0.5)+'LINEST VARS'!$D$66*($Z119*12.73)+'LINEST VARS'!$C$66*(4*0.5)+'LINEST VARS'!$B$66*(4*12.73)+'LINEST VARS'!$A$66*(0.5*12.73)</f>
        <v>137.26000000000005</v>
      </c>
      <c r="AS119" s="46">
        <f>'LINEST VARS'!$U$66+'LINEST VARS'!$T$66*($AS$104)+'LINEST VARS'!$S$66*($Z119)+'LINEST VARS'!$R$66*(4)+'LINEST VARS'!$Q$66*(0.5)+'LINEST VARS'!$P$66*(12.73)+'LINEST VARS'!$O$66*($AS$104^2)+'LINEST VARS'!$N$66*($Z119^2)+'LINEST VARS'!$M$66*(4^2)+'LINEST VARS'!$L$66*(0.5^2)+'LINEST VARS'!$K$66*(12.73^2)+'LINEST VARS'!$J$66*($AS$104*$Z119)+'LINEST VARS'!$I$66*($AS$104*4)+'LINEST VARS'!$H$66*($AS$104*0.5)+'LINEST VARS'!$G$66*($AS$104*12.73)+'LINEST VARS'!$F$66*($Z119*4)+'LINEST VARS'!$E$66*($Z119*0.5)+'LINEST VARS'!$D$66*($Z119*12.73)+'LINEST VARS'!$C$66*(4*0.5)+'LINEST VARS'!$B$66*(4*12.73)+'LINEST VARS'!$A$66*(0.5*12.73)</f>
        <v>137.44000000000003</v>
      </c>
      <c r="AT119" s="46">
        <f>'LINEST VARS'!$U$66+'LINEST VARS'!$T$66*($AT$104)+'LINEST VARS'!$S$66*($Z119)+'LINEST VARS'!$R$66*(4)+'LINEST VARS'!$Q$66*(0.5)+'LINEST VARS'!$P$66*(12.73)+'LINEST VARS'!$O$66*($AT$104^2)+'LINEST VARS'!$N$66*($Z119^2)+'LINEST VARS'!$M$66*(4^2)+'LINEST VARS'!$L$66*(0.5^2)+'LINEST VARS'!$K$66*(12.73^2)+'LINEST VARS'!$J$66*($AT$104*$Z119)+'LINEST VARS'!$I$66*($AT$104*4)+'LINEST VARS'!$H$66*($AT$104*0.5)+'LINEST VARS'!$G$66*($AT$104*12.73)+'LINEST VARS'!$F$66*($Z119*4)+'LINEST VARS'!$E$66*($Z119*0.5)+'LINEST VARS'!$D$66*($Z119*12.73)+'LINEST VARS'!$C$66*(4*0.5)+'LINEST VARS'!$B$66*(4*12.73)+'LINEST VARS'!$A$66*(0.5*12.73)</f>
        <v>137.62000000000003</v>
      </c>
      <c r="AU119" s="47">
        <f>'LINEST VARS'!$U$66+'LINEST VARS'!$T$66*($AU$104)+'LINEST VARS'!$S$66*($Z119)+'LINEST VARS'!$R$66*(4)+'LINEST VARS'!$Q$66*(0.5)+'LINEST VARS'!$P$66*(12.73)+'LINEST VARS'!$O$66*($AU$104^2)+'LINEST VARS'!$N$66*($Z119^2)+'LINEST VARS'!$M$66*(4^2)+'LINEST VARS'!$L$66*(0.5^2)+'LINEST VARS'!$K$66*(12.73^2)+'LINEST VARS'!$J$66*($AU$104*$Z119)+'LINEST VARS'!$I$66*($AU$104*4)+'LINEST VARS'!$H$66*($AU$104*0.5)+'LINEST VARS'!$G$66*($AU$104*12.73)+'LINEST VARS'!$F$66*($Z119*4)+'LINEST VARS'!$E$66*($Z119*0.5)+'LINEST VARS'!$D$66*($Z119*12.73)+'LINEST VARS'!$C$66*(4*0.5)+'LINEST VARS'!$B$66*(4*12.73)+'LINEST VARS'!$A$66*(0.5*12.73)</f>
        <v>137.80000000000004</v>
      </c>
      <c r="AZ119" s="45">
        <v>0.7</v>
      </c>
      <c r="BA119" s="55">
        <f>'LINEST VARS'!$U$64+'LINEST VARS'!$T$64*(8)+'LINEST VARS'!$S$64*(8)+'LINEST VARS'!$R$64*($BA$104)+'LINEST VARS'!$Q$64*($AZ119)+'LINEST VARS'!$P$64*(12.73)+'LINEST VARS'!$O$64*(8^2)+'LINEST VARS'!$N$64*(8^2)+'LINEST VARS'!$M$64*($BA$104^2)+'LINEST VARS'!$L$64*($AZ119^2)+'LINEST VARS'!$K$64*(12.73^2)+'LINEST VARS'!$J$64*(8*8)+'LINEST VARS'!$I$64*(8*$BA$104)+'LINEST VARS'!$H$64*(8*$AZ119)+'LINEST VARS'!$G$64*(8*12.73)+'LINEST VARS'!$F$64*(8*$BA$104)+'LINEST VARS'!$E$64*(8*$AZ119)+'LINEST VARS'!$D$64*(8*12.73)+'LINEST VARS'!$C$64*($BA$104*$AZ119)+'LINEST VARS'!$B$64*($BA$104*12.73)+'LINEST VARS'!$A$64*($AZ119*12.73)</f>
        <v>148.18999999999988</v>
      </c>
      <c r="BB119" s="55">
        <f>'LINEST VARS'!$U$64+'LINEST VARS'!$T$64*(8)+'LINEST VARS'!$S$64*(8)+'LINEST VARS'!$R$64*($BB$104)+'LINEST VARS'!$Q$64*($AZ119)+'LINEST VARS'!$P$64*(12.73)+'LINEST VARS'!$O$64*(8^2)+'LINEST VARS'!$N$64*(8^2)+'LINEST VARS'!$M$64*($BB$104^2)+'LINEST VARS'!$L$64*($AZ119^2)+'LINEST VARS'!$K$64*(12.73^2)+'LINEST VARS'!$J$64*(8*8)+'LINEST VARS'!$I$64*(8*$BB$104)+'LINEST VARS'!$H$64*(8*$AZ119)+'LINEST VARS'!$G$64*(8*12.73)+'LINEST VARS'!$F$64*(8*$BB$104)+'LINEST VARS'!$E$64*(8*$AZ119)+'LINEST VARS'!$D$64*(8*12.73)+'LINEST VARS'!$C$64*($BB$104*$AZ119)+'LINEST VARS'!$B$64*($BB$104*12.73)+'LINEST VARS'!$A$64*($AZ119*12.73)</f>
        <v>149.78999999999985</v>
      </c>
      <c r="BC119" s="55">
        <f>'LINEST VARS'!$U$64+'LINEST VARS'!$T$64*(8)+'LINEST VARS'!$S$64*(8)+'LINEST VARS'!$R$64*($BC$104)+'LINEST VARS'!$Q$64*($AZ119)+'LINEST VARS'!$P$64*(12.73)+'LINEST VARS'!$O$64*(8^2)+'LINEST VARS'!$N$64*(8^2)+'LINEST VARS'!$M$64*($BC$104^2)+'LINEST VARS'!$L$64*($AZ119^2)+'LINEST VARS'!$K$64*(12.73^2)+'LINEST VARS'!$J$64*(8*8)+'LINEST VARS'!$I$64*(8*$BC$104)+'LINEST VARS'!$H$64*(8*$AZ119)+'LINEST VARS'!$G$64*(8*12.73)+'LINEST VARS'!$F$64*(8*$BC$104)+'LINEST VARS'!$E$64*(8*$AZ119)+'LINEST VARS'!$D$64*(8*12.73)+'LINEST VARS'!$C$64*($BC$104*$AZ119)+'LINEST VARS'!$B$64*($BC$104*12.73)+'LINEST VARS'!$A$64*($AZ119*12.73)</f>
        <v>151.38999999999987</v>
      </c>
      <c r="BD119" s="55">
        <f>'LINEST VARS'!$U$64+'LINEST VARS'!$T$64*(8)+'LINEST VARS'!$S$64*(8)+'LINEST VARS'!$R$64*($BD$104)+'LINEST VARS'!$Q$64*($AZ119)+'LINEST VARS'!$P$64*(12.73)+'LINEST VARS'!$O$64*(8^2)+'LINEST VARS'!$N$64*(8^2)+'LINEST VARS'!$M$64*($BD$104^2)+'LINEST VARS'!$L$64*($AZ119^2)+'LINEST VARS'!$K$64*(12.73^2)+'LINEST VARS'!$J$64*(8*8)+'LINEST VARS'!$I$64*(8*$BD$104)+'LINEST VARS'!$H$64*(8*$AZ119)+'LINEST VARS'!$G$64*(8*12.73)+'LINEST VARS'!$F$64*(8*$BD$104)+'LINEST VARS'!$E$64*(8*$AZ119)+'LINEST VARS'!$D$64*(8*12.73)+'LINEST VARS'!$C$64*($BD$104*$AZ119)+'LINEST VARS'!$B$64*($BD$104*12.73)+'LINEST VARS'!$A$64*($AZ119*12.73)</f>
        <v>152.98999999999987</v>
      </c>
      <c r="BE119" s="55">
        <f>'LINEST VARS'!$U$64+'LINEST VARS'!$T$64*(8)+'LINEST VARS'!$S$64*(8)+'LINEST VARS'!$R$64*($BE$104)+'LINEST VARS'!$Q$64*($AZ119)+'LINEST VARS'!$P$64*(12.73)+'LINEST VARS'!$O$64*(8^2)+'LINEST VARS'!$N$64*(8^2)+'LINEST VARS'!$M$64*($BE$104^2)+'LINEST VARS'!$L$64*($AZ119^2)+'LINEST VARS'!$K$64*(12.73^2)+'LINEST VARS'!$J$64*(8*8)+'LINEST VARS'!$I$64*(8*$BE$104)+'LINEST VARS'!$H$64*(8*$AZ119)+'LINEST VARS'!$G$64*(8*12.73)+'LINEST VARS'!$F$64*(8*$BE$104)+'LINEST VARS'!$E$64*(8*$AZ119)+'LINEST VARS'!$D$64*(8*12.73)+'LINEST VARS'!$C$64*($BE$104*$AZ119)+'LINEST VARS'!$B$64*($BE$104*12.73)+'LINEST VARS'!$A$64*($AZ119*12.73)</f>
        <v>154.58999999999986</v>
      </c>
      <c r="BF119" s="55">
        <f>'LINEST VARS'!$U$64+'LINEST VARS'!$T$64*(8)+'LINEST VARS'!$S$64*(8)+'LINEST VARS'!$R$64*($BF$104)+'LINEST VARS'!$Q$64*($AZ119)+'LINEST VARS'!$P$64*(12.73)+'LINEST VARS'!$O$64*(8^2)+'LINEST VARS'!$N$64*(8^2)+'LINEST VARS'!$M$64*($BF$104^2)+'LINEST VARS'!$L$64*($AZ119^2)+'LINEST VARS'!$K$64*(12.73^2)+'LINEST VARS'!$J$64*(8*8)+'LINEST VARS'!$I$64*(8*$BF$104)+'LINEST VARS'!$H$64*(8*$AZ119)+'LINEST VARS'!$G$64*(8*12.73)+'LINEST VARS'!$F$64*(8*$BF$104)+'LINEST VARS'!$E$64*(8*$AZ119)+'LINEST VARS'!$D$64*(8*12.73)+'LINEST VARS'!$C$64*($BF$104*$AZ119)+'LINEST VARS'!$B$64*($BF$104*12.73)+'LINEST VARS'!$A$64*($AZ119*12.73)</f>
        <v>156.18999999999988</v>
      </c>
      <c r="BG119" s="55">
        <f>'LINEST VARS'!$U$64+'LINEST VARS'!$T$64*(8)+'LINEST VARS'!$S$64*(8)+'LINEST VARS'!$R$64*($BG$104)+'LINEST VARS'!$Q$64*($AZ119)+'LINEST VARS'!$P$64*(12.73)+'LINEST VARS'!$O$64*(8^2)+'LINEST VARS'!$N$64*(8^2)+'LINEST VARS'!$M$64*($BG$104^2)+'LINEST VARS'!$L$64*($AZ119^2)+'LINEST VARS'!$K$64*(12.73^2)+'LINEST VARS'!$J$64*(8*8)+'LINEST VARS'!$I$64*(8*$BG$104)+'LINEST VARS'!$H$64*(8*$AZ119)+'LINEST VARS'!$G$64*(8*12.73)+'LINEST VARS'!$F$64*(8*$BG$104)+'LINEST VARS'!$E$64*(8*$AZ119)+'LINEST VARS'!$D$64*(8*12.73)+'LINEST VARS'!$C$64*($BG$104*$AZ119)+'LINEST VARS'!$B$64*($BG$104*12.73)+'LINEST VARS'!$A$64*($AZ119*12.73)</f>
        <v>157.78999999999985</v>
      </c>
      <c r="BH119" s="55">
        <f>'LINEST VARS'!$U$64+'LINEST VARS'!$T$64*(8)+'LINEST VARS'!$S$64*(8)+'LINEST VARS'!$R$64*($BH$104)+'LINEST VARS'!$Q$64*($AZ119)+'LINEST VARS'!$P$64*(12.73)+'LINEST VARS'!$O$64*(8^2)+'LINEST VARS'!$N$64*(8^2)+'LINEST VARS'!$M$64*($BH$104^2)+'LINEST VARS'!$L$64*($AZ119^2)+'LINEST VARS'!$K$64*(12.73^2)+'LINEST VARS'!$J$64*(8*8)+'LINEST VARS'!$I$64*(8*$BH$104)+'LINEST VARS'!$H$64*(8*$AZ119)+'LINEST VARS'!$G$64*(8*12.73)+'LINEST VARS'!$F$64*(8*$BH$104)+'LINEST VARS'!$E$64*(8*$AZ119)+'LINEST VARS'!$D$64*(8*12.73)+'LINEST VARS'!$C$64*($BH$104*$AZ119)+'LINEST VARS'!$B$64*($BH$104*12.73)+'LINEST VARS'!$A$64*($AZ119*12.73)</f>
        <v>159.38999999999987</v>
      </c>
      <c r="BI119" s="55">
        <f>'LINEST VARS'!$U$64+'LINEST VARS'!$T$64*(8)+'LINEST VARS'!$S$64*(8)+'LINEST VARS'!$R$64*($BI$104)+'LINEST VARS'!$Q$64*($AZ119)+'LINEST VARS'!$P$64*(12.73)+'LINEST VARS'!$O$64*(8^2)+'LINEST VARS'!$N$64*(8^2)+'LINEST VARS'!$M$64*($BI$104^2)+'LINEST VARS'!$L$64*($AZ119^2)+'LINEST VARS'!$K$64*(12.73^2)+'LINEST VARS'!$J$64*(8*8)+'LINEST VARS'!$I$64*(8*$BI$104)+'LINEST VARS'!$H$64*(8*$AZ119)+'LINEST VARS'!$G$64*(8*12.73)+'LINEST VARS'!$F$64*(8*$BI$104)+'LINEST VARS'!$E$64*(8*$AZ119)+'LINEST VARS'!$D$64*(8*12.73)+'LINEST VARS'!$C$64*($BI$104*$AZ119)+'LINEST VARS'!$B$64*($BI$104*12.73)+'LINEST VARS'!$A$64*($AZ119*12.73)</f>
        <v>160.9899999999999</v>
      </c>
      <c r="BJ119" s="55">
        <f>'LINEST VARS'!$U$64+'LINEST VARS'!$T$64*(8)+'LINEST VARS'!$S$64*(8)+'LINEST VARS'!$R$64*($BJ$104)+'LINEST VARS'!$Q$64*($AZ119)+'LINEST VARS'!$P$64*(12.73)+'LINEST VARS'!$O$64*(8^2)+'LINEST VARS'!$N$64*(8^2)+'LINEST VARS'!$M$64*($BJ$104^2)+'LINEST VARS'!$L$64*($AZ119^2)+'LINEST VARS'!$K$64*(12.73^2)+'LINEST VARS'!$J$64*(8*8)+'LINEST VARS'!$I$64*(8*$BJ$104)+'LINEST VARS'!$H$64*(8*$AZ119)+'LINEST VARS'!$G$64*(8*12.73)+'LINEST VARS'!$F$64*(8*$BJ$104)+'LINEST VARS'!$E$64*(8*$AZ119)+'LINEST VARS'!$D$64*(8*12.73)+'LINEST VARS'!$C$64*($BJ$104*$AZ119)+'LINEST VARS'!$B$64*($BJ$104*12.73)+'LINEST VARS'!$A$64*($AZ119*12.73)</f>
        <v>162.58999999999986</v>
      </c>
      <c r="BK119" s="55">
        <f>'LINEST VARS'!$U$64+'LINEST VARS'!$T$64*(8)+'LINEST VARS'!$S$64*(8)+'LINEST VARS'!$R$64*($BK$104)+'LINEST VARS'!$Q$64*($AZ119)+'LINEST VARS'!$P$64*(12.73)+'LINEST VARS'!$O$64*(8^2)+'LINEST VARS'!$N$64*(8^2)+'LINEST VARS'!$M$64*($BK$104^2)+'LINEST VARS'!$L$64*($AZ119^2)+'LINEST VARS'!$K$64*(12.73^2)+'LINEST VARS'!$J$64*(8*8)+'LINEST VARS'!$I$64*(8*$BK$104)+'LINEST VARS'!$H$64*(8*$AZ119)+'LINEST VARS'!$G$64*(8*12.73)+'LINEST VARS'!$F$64*(8*$BK$104)+'LINEST VARS'!$E$64*(8*$AZ119)+'LINEST VARS'!$D$64*(8*12.73)+'LINEST VARS'!$C$64*($BK$104*$AZ119)+'LINEST VARS'!$B$64*($BK$104*12.73)+'LINEST VARS'!$A$64*($AZ119*12.73)</f>
        <v>164.18999999999988</v>
      </c>
      <c r="BL119" s="55">
        <f>'LINEST VARS'!$U$64+'LINEST VARS'!$T$64*(8)+'LINEST VARS'!$S$64*(8)+'LINEST VARS'!$R$64*($BL$104)+'LINEST VARS'!$Q$64*($AZ119)+'LINEST VARS'!$P$64*(12.73)+'LINEST VARS'!$O$64*(8^2)+'LINEST VARS'!$N$64*(8^2)+'LINEST VARS'!$M$64*($BL$104^2)+'LINEST VARS'!$L$64*($AZ119^2)+'LINEST VARS'!$K$64*(12.73^2)+'LINEST VARS'!$J$64*(8*8)+'LINEST VARS'!$I$64*(8*$BL$104)+'LINEST VARS'!$H$64*(8*$AZ119)+'LINEST VARS'!$G$64*(8*12.73)+'LINEST VARS'!$F$64*(8*$BL$104)+'LINEST VARS'!$E$64*(8*$AZ119)+'LINEST VARS'!$D$64*(8*12.73)+'LINEST VARS'!$C$64*($BL$104*$AZ119)+'LINEST VARS'!$B$64*($BL$104*12.73)+'LINEST VARS'!$A$64*($AZ119*12.73)</f>
        <v>165.78999999999988</v>
      </c>
      <c r="BM119" s="55">
        <f>'LINEST VARS'!$U$64+'LINEST VARS'!$T$64*(8)+'LINEST VARS'!$S$64*(8)+'LINEST VARS'!$R$64*($BM$104)+'LINEST VARS'!$Q$64*($AZ119)+'LINEST VARS'!$P$64*(12.73)+'LINEST VARS'!$O$64*(8^2)+'LINEST VARS'!$N$64*(8^2)+'LINEST VARS'!$M$64*($BM$104^2)+'LINEST VARS'!$L$64*($AZ119^2)+'LINEST VARS'!$K$64*(12.73^2)+'LINEST VARS'!$J$64*(8*8)+'LINEST VARS'!$I$64*(8*$BM$104)+'LINEST VARS'!$H$64*(8*$AZ119)+'LINEST VARS'!$G$64*(8*12.73)+'LINEST VARS'!$F$64*(8*$BM$104)+'LINEST VARS'!$E$64*(8*$AZ119)+'LINEST VARS'!$D$64*(8*12.73)+'LINEST VARS'!$C$64*($BM$104*$AZ119)+'LINEST VARS'!$B$64*($BM$104*12.73)+'LINEST VARS'!$A$64*($AZ119*12.73)</f>
        <v>167.38999999999987</v>
      </c>
      <c r="BN119" s="55">
        <f>'LINEST VARS'!$U$64+'LINEST VARS'!$T$64*(8)+'LINEST VARS'!$S$64*(8)+'LINEST VARS'!$R$64*($BN$104)+'LINEST VARS'!$Q$64*($AZ119)+'LINEST VARS'!$P$64*(12.73)+'LINEST VARS'!$O$64*(8^2)+'LINEST VARS'!$N$64*(8^2)+'LINEST VARS'!$M$64*($BN$104^2)+'LINEST VARS'!$L$64*($AZ119^2)+'LINEST VARS'!$K$64*(12.73^2)+'LINEST VARS'!$J$64*(8*8)+'LINEST VARS'!$I$64*(8*$BN$104)+'LINEST VARS'!$H$64*(8*$AZ119)+'LINEST VARS'!$G$64*(8*12.73)+'LINEST VARS'!$F$64*(8*$BN$104)+'LINEST VARS'!$E$64*(8*$AZ119)+'LINEST VARS'!$D$64*(8*12.73)+'LINEST VARS'!$C$64*($BN$104*$AZ119)+'LINEST VARS'!$B$64*($BN$104*12.73)+'LINEST VARS'!$A$64*($AZ119*12.73)</f>
        <v>168.9899999999999</v>
      </c>
      <c r="BO119" s="55">
        <f>'LINEST VARS'!$U$64+'LINEST VARS'!$T$64*(8)+'LINEST VARS'!$S$64*(8)+'LINEST VARS'!$R$64*($BO$104)+'LINEST VARS'!$Q$64*($AZ119)+'LINEST VARS'!$P$64*(12.73)+'LINEST VARS'!$O$64*(8^2)+'LINEST VARS'!$N$64*(8^2)+'LINEST VARS'!$M$64*($BO$104^2)+'LINEST VARS'!$L$64*($AZ119^2)+'LINEST VARS'!$K$64*(12.73^2)+'LINEST VARS'!$J$64*(8*8)+'LINEST VARS'!$I$64*(8*$BO$104)+'LINEST VARS'!$H$64*(8*$AZ119)+'LINEST VARS'!$G$64*(8*12.73)+'LINEST VARS'!$F$64*(8*$BO$104)+'LINEST VARS'!$E$64*(8*$AZ119)+'LINEST VARS'!$D$64*(8*12.73)+'LINEST VARS'!$C$64*($BO$104*$AZ119)+'LINEST VARS'!$B$64*($BO$104*12.73)+'LINEST VARS'!$A$64*($AZ119*12.73)</f>
        <v>170.58999999999983</v>
      </c>
      <c r="BP119" s="55">
        <f>'LINEST VARS'!$U$64+'LINEST VARS'!$T$64*(8)+'LINEST VARS'!$S$64*(8)+'LINEST VARS'!$R$64*($BP$104)+'LINEST VARS'!$Q$64*($AZ119)+'LINEST VARS'!$P$64*(12.73)+'LINEST VARS'!$O$64*(8^2)+'LINEST VARS'!$N$64*(8^2)+'LINEST VARS'!$M$64*($BP$104^2)+'LINEST VARS'!$L$64*($AZ119^2)+'LINEST VARS'!$K$64*(12.73^2)+'LINEST VARS'!$J$64*(8*8)+'LINEST VARS'!$I$64*(8*$BP$104)+'LINEST VARS'!$H$64*(8*$AZ119)+'LINEST VARS'!$G$64*(8*12.73)+'LINEST VARS'!$F$64*(8*$BP$104)+'LINEST VARS'!$E$64*(8*$AZ119)+'LINEST VARS'!$D$64*(8*12.73)+'LINEST VARS'!$C$64*($BP$104*$AZ119)+'LINEST VARS'!$B$64*($BP$104*12.73)+'LINEST VARS'!$A$64*($AZ119*12.73)</f>
        <v>172.18999999999986</v>
      </c>
      <c r="BQ119" s="55">
        <f>'LINEST VARS'!$U$64+'LINEST VARS'!$T$64*(8)+'LINEST VARS'!$S$64*(8)+'LINEST VARS'!$R$64*($BQ$104)+'LINEST VARS'!$Q$64*($AZ119)+'LINEST VARS'!$P$64*(12.73)+'LINEST VARS'!$O$64*(8^2)+'LINEST VARS'!$N$64*(8^2)+'LINEST VARS'!$M$64*($BQ$104^2)+'LINEST VARS'!$L$64*($AZ119^2)+'LINEST VARS'!$K$64*(12.73^2)+'LINEST VARS'!$J$64*(8*8)+'LINEST VARS'!$I$64*(8*$BQ$104)+'LINEST VARS'!$H$64*(8*$AZ119)+'LINEST VARS'!$G$64*(8*12.73)+'LINEST VARS'!$F$64*(8*$BQ$104)+'LINEST VARS'!$E$64*(8*$AZ119)+'LINEST VARS'!$D$64*(8*12.73)+'LINEST VARS'!$C$64*($BQ$104*$AZ119)+'LINEST VARS'!$B$64*($BQ$104*12.73)+'LINEST VARS'!$A$64*($AZ119*12.73)</f>
        <v>173.78999999999988</v>
      </c>
      <c r="BR119" s="55">
        <f>'LINEST VARS'!$U$64+'LINEST VARS'!$T$64*(8)+'LINEST VARS'!$S$64*(8)+'LINEST VARS'!$R$64*($BR$104)+'LINEST VARS'!$Q$64*($AZ119)+'LINEST VARS'!$P$64*(12.73)+'LINEST VARS'!$O$64*(8^2)+'LINEST VARS'!$N$64*(8^2)+'LINEST VARS'!$M$64*($BR$104^2)+'LINEST VARS'!$L$64*($AZ119^2)+'LINEST VARS'!$K$64*(12.73^2)+'LINEST VARS'!$J$64*(8*8)+'LINEST VARS'!$I$64*(8*$BR$104)+'LINEST VARS'!$H$64*(8*$AZ119)+'LINEST VARS'!$G$64*(8*12.73)+'LINEST VARS'!$F$64*(8*$BR$104)+'LINEST VARS'!$E$64*(8*$AZ119)+'LINEST VARS'!$D$64*(8*12.73)+'LINEST VARS'!$C$64*($BR$104*$AZ119)+'LINEST VARS'!$B$64*($BR$104*12.73)+'LINEST VARS'!$A$64*($AZ119*12.73)</f>
        <v>175.38999999999984</v>
      </c>
      <c r="BS119" s="55">
        <f>'LINEST VARS'!$U$64+'LINEST VARS'!$T$64*(8)+'LINEST VARS'!$S$64*(8)+'LINEST VARS'!$R$64*($BS$104)+'LINEST VARS'!$Q$64*($AZ119)+'LINEST VARS'!$P$64*(12.73)+'LINEST VARS'!$O$64*(8^2)+'LINEST VARS'!$N$64*(8^2)+'LINEST VARS'!$M$64*($BS$104^2)+'LINEST VARS'!$L$64*($AZ119^2)+'LINEST VARS'!$K$64*(12.73^2)+'LINEST VARS'!$J$64*(8*8)+'LINEST VARS'!$I$64*(8*$BS$104)+'LINEST VARS'!$H$64*(8*$AZ119)+'LINEST VARS'!$G$64*(8*12.73)+'LINEST VARS'!$F$64*(8*$BS$104)+'LINEST VARS'!$E$64*(8*$AZ119)+'LINEST VARS'!$D$64*(8*12.73)+'LINEST VARS'!$C$64*($BS$104*$AZ119)+'LINEST VARS'!$B$64*($BS$104*12.73)+'LINEST VARS'!$A$64*($AZ119*12.73)</f>
        <v>176.98999999999987</v>
      </c>
      <c r="BT119" s="55">
        <f>'LINEST VARS'!$U$64+'LINEST VARS'!$T$64*(8)+'LINEST VARS'!$S$64*(8)+'LINEST VARS'!$R$64*($BT$104)+'LINEST VARS'!$Q$64*($AZ119)+'LINEST VARS'!$P$64*(12.73)+'LINEST VARS'!$O$64*(8^2)+'LINEST VARS'!$N$64*(8^2)+'LINEST VARS'!$M$64*($BT$104^2)+'LINEST VARS'!$L$64*($AZ119^2)+'LINEST VARS'!$K$64*(12.73^2)+'LINEST VARS'!$J$64*(8*8)+'LINEST VARS'!$I$64*(8*$BT$104)+'LINEST VARS'!$H$64*(8*$AZ119)+'LINEST VARS'!$G$64*(8*12.73)+'LINEST VARS'!$F$64*(8*$BT$104)+'LINEST VARS'!$E$64*(8*$AZ119)+'LINEST VARS'!$D$64*(8*12.73)+'LINEST VARS'!$C$64*($BT$104*$AZ119)+'LINEST VARS'!$B$64*($BT$104*12.73)+'LINEST VARS'!$A$64*($AZ119*12.73)</f>
        <v>178.58999999999983</v>
      </c>
      <c r="BU119" s="56">
        <f>'LINEST VARS'!$U$64+'LINEST VARS'!$T$64*(8)+'LINEST VARS'!$S$64*(8)+'LINEST VARS'!$R$64*($BU$104)+'LINEST VARS'!$Q$64*($AZ119)+'LINEST VARS'!$P$64*(12.73)+'LINEST VARS'!$O$64*(8^2)+'LINEST VARS'!$N$64*(8^2)+'LINEST VARS'!$M$64*($BU$104^2)+'LINEST VARS'!$L$64*($AZ119^2)+'LINEST VARS'!$K$64*(12.73^2)+'LINEST VARS'!$J$64*(8*8)+'LINEST VARS'!$I$64*(8*$BU$104)+'LINEST VARS'!$H$64*(8*$AZ119)+'LINEST VARS'!$G$64*(8*12.73)+'LINEST VARS'!$F$64*(8*$BU$104)+'LINEST VARS'!$E$64*(8*$AZ119)+'LINEST VARS'!$D$64*(8*12.73)+'LINEST VARS'!$C$64*($BU$104*$AZ119)+'LINEST VARS'!$B$64*($BU$104*12.73)+'LINEST VARS'!$A$64*($AZ119*12.73)</f>
        <v>180.18999999999986</v>
      </c>
      <c r="BX119" s="45">
        <v>0.7</v>
      </c>
      <c r="BY119" s="46">
        <f>'LINEST VARS'!$U$66+'LINEST VARS'!$T$66*(8)+'LINEST VARS'!$S$66*(8)+'LINEST VARS'!$R$66*($BY$104)+'LINEST VARS'!$Q$66*($BX119)+'LINEST VARS'!$P$66*(12.73)+'LINEST VARS'!$O$66*(8^2)+'LINEST VARS'!$N$66*(8^2)+'LINEST VARS'!$M$66*($BY$104^2)+'LINEST VARS'!$L$66*($BX119^2)+'LINEST VARS'!$K$66*(12.73^2)+'LINEST VARS'!$J$66*(8*8)+'LINEST VARS'!$I$66*(8*$BY$104)+'LINEST VARS'!$H$66*(8*$BX119)+'LINEST VARS'!$G$66*(8*12.73)+'LINEST VARS'!$F$66*(8*$BY$104)+'LINEST VARS'!$E$66*(8*$BX119)+'LINEST VARS'!$D$66*(8*12.73)+'LINEST VARS'!$C$66*($BY$104*$BX119)+'LINEST VARS'!$B$66*($BY$104*12.73)+'LINEST VARS'!$A$66*($BX119*12.73)</f>
        <v>144.00000000000006</v>
      </c>
      <c r="BZ119" s="46">
        <f>'LINEST VARS'!$U$66+'LINEST VARS'!$T$66*(8)+'LINEST VARS'!$S$66*(8)+'LINEST VARS'!$R$66*($BZ$104)+'LINEST VARS'!$Q$66*($BX119)+'LINEST VARS'!$P$66*(12.73)+'LINEST VARS'!$O$66*(8^2)+'LINEST VARS'!$N$66*(8^2)+'LINEST VARS'!$M$66*($BZ$104^2)+'LINEST VARS'!$L$66*($BX119^2)+'LINEST VARS'!$K$66*(12.73^2)+'LINEST VARS'!$J$66*(8*8)+'LINEST VARS'!$I$66*(8*$BZ$104)+'LINEST VARS'!$H$66*(8*$BX119)+'LINEST VARS'!$G$66*(8*12.73)+'LINEST VARS'!$F$66*(8*$BZ$104)+'LINEST VARS'!$E$66*(8*$BX119)+'LINEST VARS'!$D$66*(8*12.73)+'LINEST VARS'!$C$66*($BZ$104*$BX119)+'LINEST VARS'!$B$66*($BZ$104*12.73)+'LINEST VARS'!$A$66*($BX119*12.73)</f>
        <v>143.20000000000007</v>
      </c>
      <c r="CA119" s="46">
        <f>'LINEST VARS'!$U$66+'LINEST VARS'!$T$66*(8)+'LINEST VARS'!$S$66*(8)+'LINEST VARS'!$R$66*($CA$104)+'LINEST VARS'!$Q$66*($BX119)+'LINEST VARS'!$P$66*(12.73)+'LINEST VARS'!$O$66*(8^2)+'LINEST VARS'!$N$66*(8^2)+'LINEST VARS'!$M$66*($CA$104^2)+'LINEST VARS'!$L$66*($BX119^2)+'LINEST VARS'!$K$66*(12.73^2)+'LINEST VARS'!$J$66*(8*8)+'LINEST VARS'!$I$66*(8*$CA$104)+'LINEST VARS'!$H$66*(8*$BX119)+'LINEST VARS'!$G$66*(8*12.73)+'LINEST VARS'!$F$66*(8*$CA$104)+'LINEST VARS'!$E$66*(8*$BX119)+'LINEST VARS'!$D$66*(8*12.73)+'LINEST VARS'!$C$66*($CA$104*$BX119)+'LINEST VARS'!$B$66*($CA$104*12.73)+'LINEST VARS'!$A$66*($BX119*12.73)</f>
        <v>142.40000000000006</v>
      </c>
      <c r="CB119" s="46">
        <f>'LINEST VARS'!$U$66+'LINEST VARS'!$T$66*(8)+'LINEST VARS'!$S$66*(8)+'LINEST VARS'!$R$66*($CB$104)+'LINEST VARS'!$Q$66*($BX119)+'LINEST VARS'!$P$66*(12.73)+'LINEST VARS'!$O$66*(8^2)+'LINEST VARS'!$N$66*(8^2)+'LINEST VARS'!$M$66*($CB$104^2)+'LINEST VARS'!$L$66*($BX119^2)+'LINEST VARS'!$K$66*(12.73^2)+'LINEST VARS'!$J$66*(8*8)+'LINEST VARS'!$I$66*(8*$CB$104)+'LINEST VARS'!$H$66*(8*$BX119)+'LINEST VARS'!$G$66*(8*12.73)+'LINEST VARS'!$F$66*(8*$CB$104)+'LINEST VARS'!$E$66*(8*$BX119)+'LINEST VARS'!$D$66*(8*12.73)+'LINEST VARS'!$C$66*($CB$104*$BX119)+'LINEST VARS'!$B$66*($CB$104*12.73)+'LINEST VARS'!$A$66*($BX119*12.73)</f>
        <v>141.60000000000008</v>
      </c>
      <c r="CC119" s="46">
        <f>'LINEST VARS'!$U$66+'LINEST VARS'!$T$66*(8)+'LINEST VARS'!$S$66*(8)+'LINEST VARS'!$R$66*($CC$104)+'LINEST VARS'!$Q$66*($BX119)+'LINEST VARS'!$P$66*(12.73)+'LINEST VARS'!$O$66*(8^2)+'LINEST VARS'!$N$66*(8^2)+'LINEST VARS'!$M$66*($CC$104^2)+'LINEST VARS'!$L$66*($BX119^2)+'LINEST VARS'!$K$66*(12.73^2)+'LINEST VARS'!$J$66*(8*8)+'LINEST VARS'!$I$66*(8*$CC$104)+'LINEST VARS'!$H$66*(8*$BX119)+'LINEST VARS'!$G$66*(8*12.73)+'LINEST VARS'!$F$66*(8*$CC$104)+'LINEST VARS'!$E$66*(8*$BX119)+'LINEST VARS'!$D$66*(8*12.73)+'LINEST VARS'!$C$66*($CC$104*$BX119)+'LINEST VARS'!$B$66*($CC$104*12.73)+'LINEST VARS'!$A$66*($BX119*12.73)</f>
        <v>140.80000000000007</v>
      </c>
      <c r="CD119" s="46">
        <f>'LINEST VARS'!$U$66+'LINEST VARS'!$T$66*(8)+'LINEST VARS'!$S$66*(8)+'LINEST VARS'!$R$66*($CD$104)+'LINEST VARS'!$Q$66*($BX119)+'LINEST VARS'!$P$66*(12.73)+'LINEST VARS'!$O$66*(8^2)+'LINEST VARS'!$N$66*(8^2)+'LINEST VARS'!$M$66*($CD$104^2)+'LINEST VARS'!$L$66*($BX119^2)+'LINEST VARS'!$K$66*(12.73^2)+'LINEST VARS'!$J$66*(8*8)+'LINEST VARS'!$I$66*(8*$CD$104)+'LINEST VARS'!$H$66*(8*$BX119)+'LINEST VARS'!$G$66*(8*12.73)+'LINEST VARS'!$F$66*(8*$CD$104)+'LINEST VARS'!$E$66*(8*$BX119)+'LINEST VARS'!$D$66*(8*12.73)+'LINEST VARS'!$C$66*($CD$104*$BX119)+'LINEST VARS'!$B$66*($CD$104*12.73)+'LINEST VARS'!$A$66*($BX119*12.73)</f>
        <v>140.00000000000009</v>
      </c>
      <c r="CE119" s="46">
        <f>'LINEST VARS'!$U$66+'LINEST VARS'!$T$66*(8)+'LINEST VARS'!$S$66*(8)+'LINEST VARS'!$R$66*($CE$104)+'LINEST VARS'!$Q$66*($BX119)+'LINEST VARS'!$P$66*(12.73)+'LINEST VARS'!$O$66*(8^2)+'LINEST VARS'!$N$66*(8^2)+'LINEST VARS'!$M$66*($CE$104^2)+'LINEST VARS'!$L$66*($BX119^2)+'LINEST VARS'!$K$66*(12.73^2)+'LINEST VARS'!$J$66*(8*8)+'LINEST VARS'!$I$66*(8*$CE$104)+'LINEST VARS'!$H$66*(8*$BX119)+'LINEST VARS'!$G$66*(8*12.73)+'LINEST VARS'!$F$66*(8*$CE$104)+'LINEST VARS'!$E$66*(8*$BX119)+'LINEST VARS'!$D$66*(8*12.73)+'LINEST VARS'!$C$66*($CE$104*$BX119)+'LINEST VARS'!$B$66*($CE$104*12.73)+'LINEST VARS'!$A$66*($BX119*12.73)</f>
        <v>139.20000000000007</v>
      </c>
      <c r="CF119" s="46">
        <f>'LINEST VARS'!$U$66+'LINEST VARS'!$T$66*(8)+'LINEST VARS'!$S$66*(8)+'LINEST VARS'!$R$66*($CF$104)+'LINEST VARS'!$Q$66*($BX119)+'LINEST VARS'!$P$66*(12.73)+'LINEST VARS'!$O$66*(8^2)+'LINEST VARS'!$N$66*(8^2)+'LINEST VARS'!$M$66*($CF$104^2)+'LINEST VARS'!$L$66*($BX119^2)+'LINEST VARS'!$K$66*(12.73^2)+'LINEST VARS'!$J$66*(8*8)+'LINEST VARS'!$I$66*(8*$CF$104)+'LINEST VARS'!$H$66*(8*$BX119)+'LINEST VARS'!$G$66*(8*12.73)+'LINEST VARS'!$F$66*(8*$CF$104)+'LINEST VARS'!$E$66*(8*$BX119)+'LINEST VARS'!$D$66*(8*12.73)+'LINEST VARS'!$C$66*($CF$104*$BX119)+'LINEST VARS'!$B$66*($CF$104*12.73)+'LINEST VARS'!$A$66*($BX119*12.73)</f>
        <v>138.40000000000009</v>
      </c>
      <c r="CG119" s="46">
        <f>'LINEST VARS'!$U$66+'LINEST VARS'!$T$66*(8)+'LINEST VARS'!$S$66*(8)+'LINEST VARS'!$R$66*($CG$104)+'LINEST VARS'!$Q$66*($BX119)+'LINEST VARS'!$P$66*(12.73)+'LINEST VARS'!$O$66*(8^2)+'LINEST VARS'!$N$66*(8^2)+'LINEST VARS'!$M$66*($CG$104^2)+'LINEST VARS'!$L$66*($BX119^2)+'LINEST VARS'!$K$66*(12.73^2)+'LINEST VARS'!$J$66*(8*8)+'LINEST VARS'!$I$66*(8*$CG$104)+'LINEST VARS'!$H$66*(8*$BX119)+'LINEST VARS'!$G$66*(8*12.73)+'LINEST VARS'!$F$66*(8*$CG$104)+'LINEST VARS'!$E$66*(8*$BX119)+'LINEST VARS'!$D$66*(8*12.73)+'LINEST VARS'!$C$66*($CG$104*$BX119)+'LINEST VARS'!$B$66*($CG$104*12.73)+'LINEST VARS'!$A$66*($BX119*12.73)</f>
        <v>137.60000000000008</v>
      </c>
      <c r="CH119" s="46">
        <f>'LINEST VARS'!$U$66+'LINEST VARS'!$T$66*(8)+'LINEST VARS'!$S$66*(8)+'LINEST VARS'!$R$66*($CH$104)+'LINEST VARS'!$Q$66*($BX119)+'LINEST VARS'!$P$66*(12.73)+'LINEST VARS'!$O$66*(8^2)+'LINEST VARS'!$N$66*(8^2)+'LINEST VARS'!$M$66*($CH$104^2)+'LINEST VARS'!$L$66*($BX119^2)+'LINEST VARS'!$K$66*(12.73^2)+'LINEST VARS'!$J$66*(8*8)+'LINEST VARS'!$I$66*(8*$CH$104)+'LINEST VARS'!$H$66*(8*$BX119)+'LINEST VARS'!$G$66*(8*12.73)+'LINEST VARS'!$F$66*(8*$CH$104)+'LINEST VARS'!$E$66*(8*$BX119)+'LINEST VARS'!$D$66*(8*12.73)+'LINEST VARS'!$C$66*($CH$104*$BX119)+'LINEST VARS'!$B$66*($CH$104*12.73)+'LINEST VARS'!$A$66*($BX119*12.73)</f>
        <v>136.80000000000007</v>
      </c>
      <c r="CI119" s="46">
        <f>'LINEST VARS'!$U$66+'LINEST VARS'!$T$66*(8)+'LINEST VARS'!$S$66*(8)+'LINEST VARS'!$R$66*($CI$104)+'LINEST VARS'!$Q$66*($BX119)+'LINEST VARS'!$P$66*(12.73)+'LINEST VARS'!$O$66*(8^2)+'LINEST VARS'!$N$66*(8^2)+'LINEST VARS'!$M$66*($CI$104^2)+'LINEST VARS'!$L$66*($BX119^2)+'LINEST VARS'!$K$66*(12.73^2)+'LINEST VARS'!$J$66*(8*8)+'LINEST VARS'!$I$66*(8*$CI$104)+'LINEST VARS'!$H$66*(8*$BX119)+'LINEST VARS'!$G$66*(8*12.73)+'LINEST VARS'!$F$66*(8*$CI$104)+'LINEST VARS'!$E$66*(8*$BX119)+'LINEST VARS'!$D$66*(8*12.73)+'LINEST VARS'!$C$66*($CI$104*$BX119)+'LINEST VARS'!$B$66*($CI$104*12.73)+'LINEST VARS'!$A$66*($BX119*12.73)</f>
        <v>136.00000000000006</v>
      </c>
      <c r="CJ119" s="46">
        <f>'LINEST VARS'!$U$66+'LINEST VARS'!$T$66*(8)+'LINEST VARS'!$S$66*(8)+'LINEST VARS'!$R$66*($CJ$104)+'LINEST VARS'!$Q$66*($BX119)+'LINEST VARS'!$P$66*(12.73)+'LINEST VARS'!$O$66*(8^2)+'LINEST VARS'!$N$66*(8^2)+'LINEST VARS'!$M$66*($CJ$104^2)+'LINEST VARS'!$L$66*($BX119^2)+'LINEST VARS'!$K$66*(12.73^2)+'LINEST VARS'!$J$66*(8*8)+'LINEST VARS'!$I$66*(8*$CJ$104)+'LINEST VARS'!$H$66*(8*$BX119)+'LINEST VARS'!$G$66*(8*12.73)+'LINEST VARS'!$F$66*(8*$CJ$104)+'LINEST VARS'!$E$66*(8*$BX119)+'LINEST VARS'!$D$66*(8*12.73)+'LINEST VARS'!$C$66*($CJ$104*$BX119)+'LINEST VARS'!$B$66*($CJ$104*12.73)+'LINEST VARS'!$A$66*($BX119*12.73)</f>
        <v>135.20000000000005</v>
      </c>
      <c r="CK119" s="46">
        <f>'LINEST VARS'!$U$66+'LINEST VARS'!$T$66*(8)+'LINEST VARS'!$S$66*(8)+'LINEST VARS'!$R$66*($CK$104)+'LINEST VARS'!$Q$66*($BX119)+'LINEST VARS'!$P$66*(12.73)+'LINEST VARS'!$O$66*(8^2)+'LINEST VARS'!$N$66*(8^2)+'LINEST VARS'!$M$66*($CK$104^2)+'LINEST VARS'!$L$66*($BX119^2)+'LINEST VARS'!$K$66*(12.73^2)+'LINEST VARS'!$J$66*(8*8)+'LINEST VARS'!$I$66*(8*$CK$104)+'LINEST VARS'!$H$66*(8*$BX119)+'LINEST VARS'!$G$66*(8*12.73)+'LINEST VARS'!$F$66*(8*$CK$104)+'LINEST VARS'!$E$66*(8*$BX119)+'LINEST VARS'!$D$66*(8*12.73)+'LINEST VARS'!$C$66*($CK$104*$BX119)+'LINEST VARS'!$B$66*($CK$104*12.73)+'LINEST VARS'!$A$66*($BX119*12.73)</f>
        <v>134.40000000000003</v>
      </c>
      <c r="CL119" s="46">
        <f>'LINEST VARS'!$U$66+'LINEST VARS'!$T$66*(8)+'LINEST VARS'!$S$66*(8)+'LINEST VARS'!$R$66*($CL$104)+'LINEST VARS'!$Q$66*($BX119)+'LINEST VARS'!$P$66*(12.73)+'LINEST VARS'!$O$66*(8^2)+'LINEST VARS'!$N$66*(8^2)+'LINEST VARS'!$M$66*($CL$104^2)+'LINEST VARS'!$L$66*($BX119^2)+'LINEST VARS'!$K$66*(12.73^2)+'LINEST VARS'!$J$66*(8*8)+'LINEST VARS'!$I$66*(8*$CL$104)+'LINEST VARS'!$H$66*(8*$BX119)+'LINEST VARS'!$G$66*(8*12.73)+'LINEST VARS'!$F$66*(8*$CL$104)+'LINEST VARS'!$E$66*(8*$BX119)+'LINEST VARS'!$D$66*(8*12.73)+'LINEST VARS'!$C$66*($CL$104*$BX119)+'LINEST VARS'!$B$66*($CL$104*12.73)+'LINEST VARS'!$A$66*($BX119*12.73)</f>
        <v>133.60000000000005</v>
      </c>
      <c r="CM119" s="46">
        <f>'LINEST VARS'!$U$66+'LINEST VARS'!$T$66*(8)+'LINEST VARS'!$S$66*(8)+'LINEST VARS'!$R$66*($CM$104)+'LINEST VARS'!$Q$66*($BX119)+'LINEST VARS'!$P$66*(12.73)+'LINEST VARS'!$O$66*(8^2)+'LINEST VARS'!$N$66*(8^2)+'LINEST VARS'!$M$66*($CM$104^2)+'LINEST VARS'!$L$66*($BX119^2)+'LINEST VARS'!$K$66*(12.73^2)+'LINEST VARS'!$J$66*(8*8)+'LINEST VARS'!$I$66*(8*$CM$104)+'LINEST VARS'!$H$66*(8*$BX119)+'LINEST VARS'!$G$66*(8*12.73)+'LINEST VARS'!$F$66*(8*$CM$104)+'LINEST VARS'!$E$66*(8*$BX119)+'LINEST VARS'!$D$66*(8*12.73)+'LINEST VARS'!$C$66*($CM$104*$BX119)+'LINEST VARS'!$B$66*($CM$104*12.73)+'LINEST VARS'!$A$66*($BX119*12.73)</f>
        <v>132.80000000000004</v>
      </c>
      <c r="CN119" s="46">
        <f>'LINEST VARS'!$U$66+'LINEST VARS'!$T$66*(8)+'LINEST VARS'!$S$66*(8)+'LINEST VARS'!$R$66*($CN$104)+'LINEST VARS'!$Q$66*($BX119)+'LINEST VARS'!$P$66*(12.73)+'LINEST VARS'!$O$66*(8^2)+'LINEST VARS'!$N$66*(8^2)+'LINEST VARS'!$M$66*($CN$104^2)+'LINEST VARS'!$L$66*($BX119^2)+'LINEST VARS'!$K$66*(12.73^2)+'LINEST VARS'!$J$66*(8*8)+'LINEST VARS'!$I$66*(8*$CN$104)+'LINEST VARS'!$H$66*(8*$BX119)+'LINEST VARS'!$G$66*(8*12.73)+'LINEST VARS'!$F$66*(8*$CN$104)+'LINEST VARS'!$E$66*(8*$BX119)+'LINEST VARS'!$D$66*(8*12.73)+'LINEST VARS'!$C$66*($CN$104*$BX119)+'LINEST VARS'!$B$66*($CN$104*12.73)+'LINEST VARS'!$A$66*($BX119*12.73)</f>
        <v>132.00000000000006</v>
      </c>
      <c r="CO119" s="46">
        <f>'LINEST VARS'!$U$66+'LINEST VARS'!$T$66*(8)+'LINEST VARS'!$S$66*(8)+'LINEST VARS'!$R$66*($CO$104)+'LINEST VARS'!$Q$66*($BX119)+'LINEST VARS'!$P$66*(12.73)+'LINEST VARS'!$O$66*(8^2)+'LINEST VARS'!$N$66*(8^2)+'LINEST VARS'!$M$66*($CO$104^2)+'LINEST VARS'!$L$66*($BX119^2)+'LINEST VARS'!$K$66*(12.73^2)+'LINEST VARS'!$J$66*(8*8)+'LINEST VARS'!$I$66*(8*$CO$104)+'LINEST VARS'!$H$66*(8*$BX119)+'LINEST VARS'!$G$66*(8*12.73)+'LINEST VARS'!$F$66*(8*$CO$104)+'LINEST VARS'!$E$66*(8*$BX119)+'LINEST VARS'!$D$66*(8*12.73)+'LINEST VARS'!$C$66*($CO$104*$BX119)+'LINEST VARS'!$B$66*($CO$104*12.73)+'LINEST VARS'!$A$66*($BX119*12.73)</f>
        <v>131.20000000000005</v>
      </c>
      <c r="CP119" s="46">
        <f>'LINEST VARS'!$U$66+'LINEST VARS'!$T$66*(8)+'LINEST VARS'!$S$66*(8)+'LINEST VARS'!$R$66*($CP$104)+'LINEST VARS'!$Q$66*($BX119)+'LINEST VARS'!$P$66*(12.73)+'LINEST VARS'!$O$66*(8^2)+'LINEST VARS'!$N$66*(8^2)+'LINEST VARS'!$M$66*($CP$104^2)+'LINEST VARS'!$L$66*($BX119^2)+'LINEST VARS'!$K$66*(12.73^2)+'LINEST VARS'!$J$66*(8*8)+'LINEST VARS'!$I$66*(8*$CP$104)+'LINEST VARS'!$H$66*(8*$BX119)+'LINEST VARS'!$G$66*(8*12.73)+'LINEST VARS'!$F$66*(8*$CP$104)+'LINEST VARS'!$E$66*(8*$BX119)+'LINEST VARS'!$D$66*(8*12.73)+'LINEST VARS'!$C$66*($CP$104*$BX119)+'LINEST VARS'!$B$66*($CP$104*12.73)+'LINEST VARS'!$A$66*($BX119*12.73)</f>
        <v>130.40000000000009</v>
      </c>
      <c r="CQ119" s="46">
        <f>'LINEST VARS'!$U$66+'LINEST VARS'!$T$66*(8)+'LINEST VARS'!$S$66*(8)+'LINEST VARS'!$R$66*($CQ$104)+'LINEST VARS'!$Q$66*($BX119)+'LINEST VARS'!$P$66*(12.73)+'LINEST VARS'!$O$66*(8^2)+'LINEST VARS'!$N$66*(8^2)+'LINEST VARS'!$M$66*($CQ$104^2)+'LINEST VARS'!$L$66*($BX119^2)+'LINEST VARS'!$K$66*(12.73^2)+'LINEST VARS'!$J$66*(8*8)+'LINEST VARS'!$I$66*(8*$CQ$104)+'LINEST VARS'!$H$66*(8*$BX119)+'LINEST VARS'!$G$66*(8*12.73)+'LINEST VARS'!$F$66*(8*$CQ$104)+'LINEST VARS'!$E$66*(8*$BX119)+'LINEST VARS'!$D$66*(8*12.73)+'LINEST VARS'!$C$66*($CQ$104*$BX119)+'LINEST VARS'!$B$66*($CQ$104*12.73)+'LINEST VARS'!$A$66*($BX119*12.73)</f>
        <v>129.60000000000008</v>
      </c>
      <c r="CR119" s="46">
        <f>'LINEST VARS'!$U$66+'LINEST VARS'!$T$66*(8)+'LINEST VARS'!$S$66*(8)+'LINEST VARS'!$R$66*($CR$104)+'LINEST VARS'!$Q$66*($BX119)+'LINEST VARS'!$P$66*(12.73)+'LINEST VARS'!$O$66*(8^2)+'LINEST VARS'!$N$66*(8^2)+'LINEST VARS'!$M$66*($CR$104^2)+'LINEST VARS'!$L$66*($BX119^2)+'LINEST VARS'!$K$66*(12.73^2)+'LINEST VARS'!$J$66*(8*8)+'LINEST VARS'!$I$66*(8*$CR$104)+'LINEST VARS'!$H$66*(8*$BX119)+'LINEST VARS'!$G$66*(8*12.73)+'LINEST VARS'!$F$66*(8*$CR$104)+'LINEST VARS'!$E$66*(8*$BX119)+'LINEST VARS'!$D$66*(8*12.73)+'LINEST VARS'!$C$66*($CR$104*$BX119)+'LINEST VARS'!$B$66*($CR$104*12.73)+'LINEST VARS'!$A$66*($BX119*12.73)</f>
        <v>128.8000000000001</v>
      </c>
      <c r="CS119" s="47">
        <f>'LINEST VARS'!$U$66+'LINEST VARS'!$T$66*(8)+'LINEST VARS'!$S$66*(8)+'LINEST VARS'!$R$66*($CS$104)+'LINEST VARS'!$Q$66*($BX119)+'LINEST VARS'!$P$66*(12.73)+'LINEST VARS'!$O$66*(8^2)+'LINEST VARS'!$N$66*(8^2)+'LINEST VARS'!$M$66*($CS$104^2)+'LINEST VARS'!$L$66*($BX119^2)+'LINEST VARS'!$K$66*(12.73^2)+'LINEST VARS'!$J$66*(8*8)+'LINEST VARS'!$I$66*(8*$CS$104)+'LINEST VARS'!$H$66*(8*$BX119)+'LINEST VARS'!$G$66*(8*12.73)+'LINEST VARS'!$F$66*(8*$CS$104)+'LINEST VARS'!$E$66*(8*$BX119)+'LINEST VARS'!$D$66*(8*12.73)+'LINEST VARS'!$C$66*($CS$104*$BX119)+'LINEST VARS'!$B$66*($CS$104*12.73)+'LINEST VARS'!$A$66*($BX119*12.73)</f>
        <v>128.00000000000006</v>
      </c>
      <c r="CX119" s="45">
        <v>18.193000000000001</v>
      </c>
      <c r="CY119" s="55">
        <f>'LINEST VARS'!$U$64+'LINEST VARS'!$T$64*(8)+'LINEST VARS'!$S$64*(8)+'LINEST VARS'!$R$64*($CY$104)+'LINEST VARS'!$Q$64*(0.5)+'LINEST VARS'!$P$64*($CX119)+'LINEST VARS'!$O$64*(8^2)+'LINEST VARS'!$N$64*(8^2)+'LINEST VARS'!$M$64*($CY$104^2)+'LINEST VARS'!$L$64*(0.5^2)+'LINEST VARS'!$K$64*($CX119^2)+'LINEST VARS'!$J$64*(8*8)+'LINEST VARS'!$I$64*(8*$CY$104)+'LINEST VARS'!$H$64*(8*0.5)+'LINEST VARS'!$G$64*(8*$CX119)+'LINEST VARS'!$F$64*(8*$CY$104)+'LINEST VARS'!$E$64*(8*0.5)+'LINEST VARS'!$D$64*(8*$CX119)+'LINEST VARS'!$C$64*($CY$104*0.5)+'LINEST VARS'!$B$64*($CY$104*$CX119)+'LINEST VARS'!$A$64*(0.5*$CX119)</f>
        <v>164.57899999999989</v>
      </c>
      <c r="CZ119" s="55">
        <f>'LINEST VARS'!$U$64+'LINEST VARS'!$T$64*(8)+'LINEST VARS'!$S$64*(8)+'LINEST VARS'!$R$64*($CZ$104)+'LINEST VARS'!$Q$64*(0.5)+'LINEST VARS'!$P$64*($CX119)+'LINEST VARS'!$O$64*(8^2)+'LINEST VARS'!$N$64*(8^2)+'LINEST VARS'!$M$64*($CZ$104^2)+'LINEST VARS'!$L$64*(0.5^2)+'LINEST VARS'!$K$64*($CX119^2)+'LINEST VARS'!$J$64*(8*8)+'LINEST VARS'!$I$64*(8*$CZ$104)+'LINEST VARS'!$H$64*(8*0.5)+'LINEST VARS'!$G$64*(8*$CX119)+'LINEST VARS'!$F$64*(8*$CZ$104)+'LINEST VARS'!$E$64*(8*0.5)+'LINEST VARS'!$D$64*(8*$CX119)+'LINEST VARS'!$C$64*($CZ$104*0.5)+'LINEST VARS'!$B$64*($CZ$104*$CX119)+'LINEST VARS'!$A$64*(0.5*$CX119)</f>
        <v>166.17899999999989</v>
      </c>
      <c r="DA119" s="55">
        <f>'LINEST VARS'!$U$64+'LINEST VARS'!$T$64*(8)+'LINEST VARS'!$S$64*(8)+'LINEST VARS'!$R$64*($DA$104)+'LINEST VARS'!$Q$64*(0.5)+'LINEST VARS'!$P$64*($CX119)+'LINEST VARS'!$O$64*(8^2)+'LINEST VARS'!$N$64*(8^2)+'LINEST VARS'!$M$64*($DA$104^2)+'LINEST VARS'!$L$64*(0.5^2)+'LINEST VARS'!$K$64*($CX119^2)+'LINEST VARS'!$J$64*(8*8)+'LINEST VARS'!$I$64*(8*$DA$104)+'LINEST VARS'!$H$64*(8*0.5)+'LINEST VARS'!$G$64*(8*$CX119)+'LINEST VARS'!$F$64*(8*$DA$104)+'LINEST VARS'!$E$64*(8*0.5)+'LINEST VARS'!$D$64*(8*$CX119)+'LINEST VARS'!$C$64*($DA$104*0.5)+'LINEST VARS'!$B$64*($DA$104*$CX119)+'LINEST VARS'!$A$64*(0.5*$CX119)</f>
        <v>167.77899999999991</v>
      </c>
      <c r="DB119" s="55">
        <f>'LINEST VARS'!$U$64+'LINEST VARS'!$T$64*(8)+'LINEST VARS'!$S$64*(8)+'LINEST VARS'!$R$64*($DB$104)+'LINEST VARS'!$Q$64*(0.5)+'LINEST VARS'!$P$64*($CX119)+'LINEST VARS'!$O$64*(8^2)+'LINEST VARS'!$N$64*(8^2)+'LINEST VARS'!$M$64*($DB$104^2)+'LINEST VARS'!$L$64*(0.5^2)+'LINEST VARS'!$K$64*($CX119^2)+'LINEST VARS'!$J$64*(8*8)+'LINEST VARS'!$I$64*(8*$DB$104)+'LINEST VARS'!$H$64*(8*0.5)+'LINEST VARS'!$G$64*(8*$CX119)+'LINEST VARS'!$F$64*(8*$DB$104)+'LINEST VARS'!$E$64*(8*0.5)+'LINEST VARS'!$D$64*(8*$CX119)+'LINEST VARS'!$C$64*($DB$104*0.5)+'LINEST VARS'!$B$64*($DB$104*$CX119)+'LINEST VARS'!$A$64*(0.5*$CX119)</f>
        <v>169.37899999999988</v>
      </c>
      <c r="DC119" s="55">
        <f>'LINEST VARS'!$U$64+'LINEST VARS'!$T$64*(8)+'LINEST VARS'!$S$64*(8)+'LINEST VARS'!$R$64*($DC$104)+'LINEST VARS'!$Q$64*(0.5)+'LINEST VARS'!$P$64*($CX119)+'LINEST VARS'!$O$64*(8^2)+'LINEST VARS'!$N$64*(8^2)+'LINEST VARS'!$M$64*($DC$104^2)+'LINEST VARS'!$L$64*(0.5^2)+'LINEST VARS'!$K$64*($CX119^2)+'LINEST VARS'!$J$64*(8*8)+'LINEST VARS'!$I$64*(8*$DC$104)+'LINEST VARS'!$H$64*(8*0.5)+'LINEST VARS'!$G$64*(8*$CX119)+'LINEST VARS'!$F$64*(8*$DC$104)+'LINEST VARS'!$E$64*(8*0.5)+'LINEST VARS'!$D$64*(8*$CX119)+'LINEST VARS'!$C$64*($DC$104*0.5)+'LINEST VARS'!$B$64*($DC$104*$CX119)+'LINEST VARS'!$A$64*(0.5*$CX119)</f>
        <v>170.9789999999999</v>
      </c>
      <c r="DD119" s="55">
        <f>'LINEST VARS'!$U$64+'LINEST VARS'!$T$64*(8)+'LINEST VARS'!$S$64*(8)+'LINEST VARS'!$R$64*($DD$104)+'LINEST VARS'!$Q$64*(0.5)+'LINEST VARS'!$P$64*($CX119)+'LINEST VARS'!$O$64*(8^2)+'LINEST VARS'!$N$64*(8^2)+'LINEST VARS'!$M$64*($DD$104^2)+'LINEST VARS'!$L$64*(0.5^2)+'LINEST VARS'!$K$64*($CX119^2)+'LINEST VARS'!$J$64*(8*8)+'LINEST VARS'!$I$64*(8*$DD$104)+'LINEST VARS'!$H$64*(8*0.5)+'LINEST VARS'!$G$64*(8*$CX119)+'LINEST VARS'!$F$64*(8*$DD$104)+'LINEST VARS'!$E$64*(8*0.5)+'LINEST VARS'!$D$64*(8*$CX119)+'LINEST VARS'!$C$64*($DD$104*0.5)+'LINEST VARS'!$B$64*($DD$104*$CX119)+'LINEST VARS'!$A$64*(0.5*$CX119)</f>
        <v>172.57899999999989</v>
      </c>
      <c r="DE119" s="55">
        <f>'LINEST VARS'!$U$64+'LINEST VARS'!$T$64*(8)+'LINEST VARS'!$S$64*(8)+'LINEST VARS'!$R$64*($DE$104)+'LINEST VARS'!$Q$64*(0.5)+'LINEST VARS'!$P$64*($CX119)+'LINEST VARS'!$O$64*(8^2)+'LINEST VARS'!$N$64*(8^2)+'LINEST VARS'!$M$64*($DE$104^2)+'LINEST VARS'!$L$64*(0.5^2)+'LINEST VARS'!$K$64*($CX119^2)+'LINEST VARS'!$J$64*(8*8)+'LINEST VARS'!$I$64*(8*$DE$104)+'LINEST VARS'!$H$64*(8*0.5)+'LINEST VARS'!$G$64*(8*$CX119)+'LINEST VARS'!$F$64*(8*$DE$104)+'LINEST VARS'!$E$64*(8*0.5)+'LINEST VARS'!$D$64*(8*$CX119)+'LINEST VARS'!$C$64*($DE$104*0.5)+'LINEST VARS'!$B$64*($DE$104*$CX119)+'LINEST VARS'!$A$64*(0.5*$CX119)</f>
        <v>174.17899999999989</v>
      </c>
      <c r="DF119" s="55">
        <f>'LINEST VARS'!$U$64+'LINEST VARS'!$T$64*(8)+'LINEST VARS'!$S$64*(8)+'LINEST VARS'!$R$64*($DF$104)+'LINEST VARS'!$Q$64*(0.5)+'LINEST VARS'!$P$64*($CX119)+'LINEST VARS'!$O$64*(8^2)+'LINEST VARS'!$N$64*(8^2)+'LINEST VARS'!$M$64*($DF$104^2)+'LINEST VARS'!$L$64*(0.5^2)+'LINEST VARS'!$K$64*($CX119^2)+'LINEST VARS'!$J$64*(8*8)+'LINEST VARS'!$I$64*(8*$DF$104)+'LINEST VARS'!$H$64*(8*0.5)+'LINEST VARS'!$G$64*(8*$CX119)+'LINEST VARS'!$F$64*(8*$DF$104)+'LINEST VARS'!$E$64*(8*0.5)+'LINEST VARS'!$D$64*(8*$CX119)+'LINEST VARS'!$C$64*($DF$104*0.5)+'LINEST VARS'!$B$64*($DF$104*$CX119)+'LINEST VARS'!$A$64*(0.5*$CX119)</f>
        <v>175.77899999999991</v>
      </c>
      <c r="DG119" s="55">
        <f>'LINEST VARS'!$U$64+'LINEST VARS'!$T$64*(8)+'LINEST VARS'!$S$64*(8)+'LINEST VARS'!$R$64*($DG$104)+'LINEST VARS'!$Q$64*(0.5)+'LINEST VARS'!$P$64*($CX119)+'LINEST VARS'!$O$64*(8^2)+'LINEST VARS'!$N$64*(8^2)+'LINEST VARS'!$M$64*($DG$104^2)+'LINEST VARS'!$L$64*(0.5^2)+'LINEST VARS'!$K$64*($CX119^2)+'LINEST VARS'!$J$64*(8*8)+'LINEST VARS'!$I$64*(8*$DG$104)+'LINEST VARS'!$H$64*(8*0.5)+'LINEST VARS'!$G$64*(8*$CX119)+'LINEST VARS'!$F$64*(8*$DG$104)+'LINEST VARS'!$E$64*(8*0.5)+'LINEST VARS'!$D$64*(8*$CX119)+'LINEST VARS'!$C$64*($DG$104*0.5)+'LINEST VARS'!$B$64*($DG$104*$CX119)+'LINEST VARS'!$A$64*(0.5*$CX119)</f>
        <v>177.37899999999991</v>
      </c>
      <c r="DH119" s="55">
        <f>'LINEST VARS'!$U$64+'LINEST VARS'!$T$64*(8)+'LINEST VARS'!$S$64*(8)+'LINEST VARS'!$R$64*($DH$104)+'LINEST VARS'!$Q$64*(0.5)+'LINEST VARS'!$P$64*($CX119)+'LINEST VARS'!$O$64*(8^2)+'LINEST VARS'!$N$64*(8^2)+'LINEST VARS'!$M$64*($DH$104^2)+'LINEST VARS'!$L$64*(0.5^2)+'LINEST VARS'!$K$64*($CX119^2)+'LINEST VARS'!$J$64*(8*8)+'LINEST VARS'!$I$64*(8*$DH$104)+'LINEST VARS'!$H$64*(8*0.5)+'LINEST VARS'!$G$64*(8*$CX119)+'LINEST VARS'!$F$64*(8*$DH$104)+'LINEST VARS'!$E$64*(8*0.5)+'LINEST VARS'!$D$64*(8*$CX119)+'LINEST VARS'!$C$64*($DH$104*0.5)+'LINEST VARS'!$B$64*($DH$104*$CX119)+'LINEST VARS'!$A$64*(0.5*$CX119)</f>
        <v>178.9789999999999</v>
      </c>
      <c r="DI119" s="55">
        <f>'LINEST VARS'!$U$64+'LINEST VARS'!$T$64*(8)+'LINEST VARS'!$S$64*(8)+'LINEST VARS'!$R$64*($DI$104)+'LINEST VARS'!$Q$64*(0.5)+'LINEST VARS'!$P$64*($CX119)+'LINEST VARS'!$O$64*(8^2)+'LINEST VARS'!$N$64*(8^2)+'LINEST VARS'!$M$64*($DI$104^2)+'LINEST VARS'!$L$64*(0.5^2)+'LINEST VARS'!$K$64*($CX119^2)+'LINEST VARS'!$J$64*(8*8)+'LINEST VARS'!$I$64*(8*$DI$104)+'LINEST VARS'!$H$64*(8*0.5)+'LINEST VARS'!$G$64*(8*$CX119)+'LINEST VARS'!$F$64*(8*$DI$104)+'LINEST VARS'!$E$64*(8*0.5)+'LINEST VARS'!$D$64*(8*$CX119)+'LINEST VARS'!$C$64*($DI$104*0.5)+'LINEST VARS'!$B$64*($DI$104*$CX119)+'LINEST VARS'!$A$64*(0.5*$CX119)</f>
        <v>180.57899999999989</v>
      </c>
      <c r="DJ119" s="55">
        <f>'LINEST VARS'!$U$64+'LINEST VARS'!$T$64*(8)+'LINEST VARS'!$S$64*(8)+'LINEST VARS'!$R$64*($DJ$104)+'LINEST VARS'!$Q$64*(0.5)+'LINEST VARS'!$P$64*($CX119)+'LINEST VARS'!$O$64*(8^2)+'LINEST VARS'!$N$64*(8^2)+'LINEST VARS'!$M$64*($DJ$104^2)+'LINEST VARS'!$L$64*(0.5^2)+'LINEST VARS'!$K$64*($CX119^2)+'LINEST VARS'!$J$64*(8*8)+'LINEST VARS'!$I$64*(8*$DJ$104)+'LINEST VARS'!$H$64*(8*0.5)+'LINEST VARS'!$G$64*(8*$CX119)+'LINEST VARS'!$F$64*(8*$DJ$104)+'LINEST VARS'!$E$64*(8*0.5)+'LINEST VARS'!$D$64*(8*$CX119)+'LINEST VARS'!$C$64*($DJ$104*0.5)+'LINEST VARS'!$B$64*($DJ$104*$CX119)+'LINEST VARS'!$A$64*(0.5*$CX119)</f>
        <v>182.17899999999989</v>
      </c>
      <c r="DK119" s="55">
        <f>'LINEST VARS'!$U$64+'LINEST VARS'!$T$64*(8)+'LINEST VARS'!$S$64*(8)+'LINEST VARS'!$R$64*($DK$104)+'LINEST VARS'!$Q$64*(0.5)+'LINEST VARS'!$P$64*($CX119)+'LINEST VARS'!$O$64*(8^2)+'LINEST VARS'!$N$64*(8^2)+'LINEST VARS'!$M$64*($DK$104^2)+'LINEST VARS'!$L$64*(0.5^2)+'LINEST VARS'!$K$64*($CX119^2)+'LINEST VARS'!$J$64*(8*8)+'LINEST VARS'!$I$64*(8*$DK$104)+'LINEST VARS'!$H$64*(8*0.5)+'LINEST VARS'!$G$64*(8*$CX119)+'LINEST VARS'!$F$64*(8*$DK$104)+'LINEST VARS'!$E$64*(8*0.5)+'LINEST VARS'!$D$64*(8*$CX119)+'LINEST VARS'!$C$64*($DK$104*0.5)+'LINEST VARS'!$B$64*($DK$104*$CX119)+'LINEST VARS'!$A$64*(0.5*$CX119)</f>
        <v>183.77899999999985</v>
      </c>
      <c r="DL119" s="55">
        <f>'LINEST VARS'!$U$64+'LINEST VARS'!$T$64*(8)+'LINEST VARS'!$S$64*(8)+'LINEST VARS'!$R$64*($DL$104)+'LINEST VARS'!$Q$64*(0.5)+'LINEST VARS'!$P$64*($CX119)+'LINEST VARS'!$O$64*(8^2)+'LINEST VARS'!$N$64*(8^2)+'LINEST VARS'!$M$64*($DL$104^2)+'LINEST VARS'!$L$64*(0.5^2)+'LINEST VARS'!$K$64*($CX119^2)+'LINEST VARS'!$J$64*(8*8)+'LINEST VARS'!$I$64*(8*$DL$104)+'LINEST VARS'!$H$64*(8*0.5)+'LINEST VARS'!$G$64*(8*$CX119)+'LINEST VARS'!$F$64*(8*$DL$104)+'LINEST VARS'!$E$64*(8*0.5)+'LINEST VARS'!$D$64*(8*$CX119)+'LINEST VARS'!$C$64*($DL$104*0.5)+'LINEST VARS'!$B$64*($DL$104*$CX119)+'LINEST VARS'!$A$64*(0.5*$CX119)</f>
        <v>185.37899999999988</v>
      </c>
      <c r="DM119" s="55">
        <f>'LINEST VARS'!$U$64+'LINEST VARS'!$T$64*(8)+'LINEST VARS'!$S$64*(8)+'LINEST VARS'!$R$64*($DM$104)+'LINEST VARS'!$Q$64*(0.5)+'LINEST VARS'!$P$64*($CX119)+'LINEST VARS'!$O$64*(8^2)+'LINEST VARS'!$N$64*(8^2)+'LINEST VARS'!$M$64*($DM$104^2)+'LINEST VARS'!$L$64*(0.5^2)+'LINEST VARS'!$K$64*($CX119^2)+'LINEST VARS'!$J$64*(8*8)+'LINEST VARS'!$I$64*(8*$DM$104)+'LINEST VARS'!$H$64*(8*0.5)+'LINEST VARS'!$G$64*(8*$CX119)+'LINEST VARS'!$F$64*(8*$DM$104)+'LINEST VARS'!$E$64*(8*0.5)+'LINEST VARS'!$D$64*(8*$CX119)+'LINEST VARS'!$C$64*($DM$104*0.5)+'LINEST VARS'!$B$64*($DM$104*$CX119)+'LINEST VARS'!$A$64*(0.5*$CX119)</f>
        <v>186.97899999999987</v>
      </c>
      <c r="DN119" s="55">
        <f>'LINEST VARS'!$U$64+'LINEST VARS'!$T$64*(8)+'LINEST VARS'!$S$64*(8)+'LINEST VARS'!$R$64*($DN$104)+'LINEST VARS'!$Q$64*(0.5)+'LINEST VARS'!$P$64*($CX119)+'LINEST VARS'!$O$64*(8^2)+'LINEST VARS'!$N$64*(8^2)+'LINEST VARS'!$M$64*($DN$104^2)+'LINEST VARS'!$L$64*(0.5^2)+'LINEST VARS'!$K$64*($CX119^2)+'LINEST VARS'!$J$64*(8*8)+'LINEST VARS'!$I$64*(8*$DN$104)+'LINEST VARS'!$H$64*(8*0.5)+'LINEST VARS'!$G$64*(8*$CX119)+'LINEST VARS'!$F$64*(8*$DN$104)+'LINEST VARS'!$E$64*(8*0.5)+'LINEST VARS'!$D$64*(8*$CX119)+'LINEST VARS'!$C$64*($DN$104*0.5)+'LINEST VARS'!$B$64*($DN$104*$CX119)+'LINEST VARS'!$A$64*(0.5*$CX119)</f>
        <v>188.57899999999984</v>
      </c>
      <c r="DO119" s="55">
        <f>'LINEST VARS'!$U$64+'LINEST VARS'!$T$64*(8)+'LINEST VARS'!$S$64*(8)+'LINEST VARS'!$R$64*($DO$104)+'LINEST VARS'!$Q$64*(0.5)+'LINEST VARS'!$P$64*($CX119)+'LINEST VARS'!$O$64*(8^2)+'LINEST VARS'!$N$64*(8^2)+'LINEST VARS'!$M$64*($DO$104^2)+'LINEST VARS'!$L$64*(0.5^2)+'LINEST VARS'!$K$64*($CX119^2)+'LINEST VARS'!$J$64*(8*8)+'LINEST VARS'!$I$64*(8*$DO$104)+'LINEST VARS'!$H$64*(8*0.5)+'LINEST VARS'!$G$64*(8*$CX119)+'LINEST VARS'!$F$64*(8*$DO$104)+'LINEST VARS'!$E$64*(8*0.5)+'LINEST VARS'!$D$64*(8*$CX119)+'LINEST VARS'!$C$64*($DO$104*0.5)+'LINEST VARS'!$B$64*($DO$104*$CX119)+'LINEST VARS'!$A$64*(0.5*$CX119)</f>
        <v>190.17899999999986</v>
      </c>
      <c r="DP119" s="55">
        <f>'LINEST VARS'!$U$64+'LINEST VARS'!$T$64*(8)+'LINEST VARS'!$S$64*(8)+'LINEST VARS'!$R$64*($DP$104)+'LINEST VARS'!$Q$64*(0.5)+'LINEST VARS'!$P$64*($CX119)+'LINEST VARS'!$O$64*(8^2)+'LINEST VARS'!$N$64*(8^2)+'LINEST VARS'!$M$64*($DP$104^2)+'LINEST VARS'!$L$64*(0.5^2)+'LINEST VARS'!$K$64*($CX119^2)+'LINEST VARS'!$J$64*(8*8)+'LINEST VARS'!$I$64*(8*$DP$104)+'LINEST VARS'!$H$64*(8*0.5)+'LINEST VARS'!$G$64*(8*$CX119)+'LINEST VARS'!$F$64*(8*$DP$104)+'LINEST VARS'!$E$64*(8*0.5)+'LINEST VARS'!$D$64*(8*$CX119)+'LINEST VARS'!$C$64*($DP$104*0.5)+'LINEST VARS'!$B$64*($DP$104*$CX119)+'LINEST VARS'!$A$64*(0.5*$CX119)</f>
        <v>191.77899999999988</v>
      </c>
      <c r="DQ119" s="55">
        <f>'LINEST VARS'!$U$64+'LINEST VARS'!$T$64*(8)+'LINEST VARS'!$S$64*(8)+'LINEST VARS'!$R$64*($DQ$104)+'LINEST VARS'!$Q$64*(0.5)+'LINEST VARS'!$P$64*($CX119)+'LINEST VARS'!$O$64*(8^2)+'LINEST VARS'!$N$64*(8^2)+'LINEST VARS'!$M$64*($DQ$104^2)+'LINEST VARS'!$L$64*(0.5^2)+'LINEST VARS'!$K$64*($CX119^2)+'LINEST VARS'!$J$64*(8*8)+'LINEST VARS'!$I$64*(8*$DQ$104)+'LINEST VARS'!$H$64*(8*0.5)+'LINEST VARS'!$G$64*(8*$CX119)+'LINEST VARS'!$F$64*(8*$DQ$104)+'LINEST VARS'!$E$64*(8*0.5)+'LINEST VARS'!$D$64*(8*$CX119)+'LINEST VARS'!$C$64*($DQ$104*0.5)+'LINEST VARS'!$B$64*($DQ$104*$CX119)+'LINEST VARS'!$A$64*(0.5*$CX119)</f>
        <v>193.37899999999985</v>
      </c>
      <c r="DR119" s="55">
        <f>'LINEST VARS'!$U$64+'LINEST VARS'!$T$64*(8)+'LINEST VARS'!$S$64*(8)+'LINEST VARS'!$R$64*($DR$104)+'LINEST VARS'!$Q$64*(0.5)+'LINEST VARS'!$P$64*($CX119)+'LINEST VARS'!$O$64*(8^2)+'LINEST VARS'!$N$64*(8^2)+'LINEST VARS'!$M$64*($DR$104^2)+'LINEST VARS'!$L$64*(0.5^2)+'LINEST VARS'!$K$64*($CX119^2)+'LINEST VARS'!$J$64*(8*8)+'LINEST VARS'!$I$64*(8*$DR$104)+'LINEST VARS'!$H$64*(8*0.5)+'LINEST VARS'!$G$64*(8*$CX119)+'LINEST VARS'!$F$64*(8*$DR$104)+'LINEST VARS'!$E$64*(8*0.5)+'LINEST VARS'!$D$64*(8*$CX119)+'LINEST VARS'!$C$64*($DR$104*0.5)+'LINEST VARS'!$B$64*($DR$104*$CX119)+'LINEST VARS'!$A$64*(0.5*$CX119)</f>
        <v>194.97899999999987</v>
      </c>
      <c r="DS119" s="56">
        <f>'LINEST VARS'!$U$64+'LINEST VARS'!$T$64*(8)+'LINEST VARS'!$S$64*(8)+'LINEST VARS'!$R$64*($DS$104)+'LINEST VARS'!$Q$64*(0.5)+'LINEST VARS'!$P$64*($CX119)+'LINEST VARS'!$O$64*(8^2)+'LINEST VARS'!$N$64*(8^2)+'LINEST VARS'!$M$64*($DS$104^2)+'LINEST VARS'!$L$64*(0.5^2)+'LINEST VARS'!$K$64*($CX119^2)+'LINEST VARS'!$J$64*(8*8)+'LINEST VARS'!$I$64*(8*$DS$104)+'LINEST VARS'!$H$64*(8*0.5)+'LINEST VARS'!$G$64*(8*$CX119)+'LINEST VARS'!$F$64*(8*$DS$104)+'LINEST VARS'!$E$64*(8*0.5)+'LINEST VARS'!$D$64*(8*$CX119)+'LINEST VARS'!$C$64*($DS$104*0.5)+'LINEST VARS'!$B$64*($DS$104*$CX119)+'LINEST VARS'!$A$64*(0.5*$CX119)</f>
        <v>196.57899999999987</v>
      </c>
      <c r="DV119" s="45">
        <v>18.193000000000001</v>
      </c>
      <c r="DW119" s="46">
        <f>'LINEST VARS'!$U$66+'LINEST VARS'!$T$66*(8)+'LINEST VARS'!$S$66*(8)+'LINEST VARS'!$R$66*($DW$104)+'LINEST VARS'!$Q$66*(0.5)+'LINEST VARS'!$P$66*($DV119)+'LINEST VARS'!$O$66*(8^2)+'LINEST VARS'!$N$66*(8^2)+'LINEST VARS'!$M$66*($DW$104^2)+'LINEST VARS'!$L$66*(0.5^2)+'LINEST VARS'!$K$66*($DV119^2)+'LINEST VARS'!$J$66*(8*8)+'LINEST VARS'!$I$66*(8*$DW$104)+'LINEST VARS'!$H$66*(8*0.5)+'LINEST VARS'!$G$66*(8*$DV119)+'LINEST VARS'!$F$66*(8*$DW$104)+'LINEST VARS'!$E$66*(8*0.5)+'LINEST VARS'!$D$66*(8*$DV119)+'LINEST VARS'!$C$66*($DW$104*0.5)+'LINEST VARS'!$B$66*($DW$104*$DV119)+'LINEST VARS'!$A$66*(0.5*$DV119)</f>
        <v>144.00000000000006</v>
      </c>
      <c r="DX119" s="46">
        <f>'LINEST VARS'!$U$66+'LINEST VARS'!$T$66*(8)+'LINEST VARS'!$S$66*(8)+'LINEST VARS'!$R$66*($DX$104)+'LINEST VARS'!$Q$66*(0.5)+'LINEST VARS'!$P$66*($DV119)+'LINEST VARS'!$O$66*(8^2)+'LINEST VARS'!$N$66*(8^2)+'LINEST VARS'!$M$66*($DX$104^2)+'LINEST VARS'!$L$66*(0.5^2)+'LINEST VARS'!$K$66*($DV119^2)+'LINEST VARS'!$J$66*(8*8)+'LINEST VARS'!$I$66*(8*$DX$104)+'LINEST VARS'!$H$66*(8*0.5)+'LINEST VARS'!$G$66*(8*$DV119)+'LINEST VARS'!$F$66*(8*$DX$104)+'LINEST VARS'!$E$66*(8*0.5)+'LINEST VARS'!$D$66*(8*$DV119)+'LINEST VARS'!$C$66*($DX$104*0.5)+'LINEST VARS'!$B$66*($DX$104*$DV119)+'LINEST VARS'!$A$66*(0.5*$DV119)</f>
        <v>143.20000000000007</v>
      </c>
      <c r="DY119" s="46">
        <f>'LINEST VARS'!$U$66+'LINEST VARS'!$T$66*(8)+'LINEST VARS'!$S$66*(8)+'LINEST VARS'!$R$66*($DY$104)+'LINEST VARS'!$Q$66*(0.5)+'LINEST VARS'!$P$66*($DV119)+'LINEST VARS'!$O$66*(8^2)+'LINEST VARS'!$N$66*(8^2)+'LINEST VARS'!$M$66*($DY$104^2)+'LINEST VARS'!$L$66*(0.5^2)+'LINEST VARS'!$K$66*($DV119^2)+'LINEST VARS'!$J$66*(8*8)+'LINEST VARS'!$I$66*(8*$DY$104)+'LINEST VARS'!$H$66*(8*0.5)+'LINEST VARS'!$G$66*(8*$DV119)+'LINEST VARS'!$F$66*(8*$DY$104)+'LINEST VARS'!$E$66*(8*0.5)+'LINEST VARS'!$D$66*(8*$DV119)+'LINEST VARS'!$C$66*($DY$104*0.5)+'LINEST VARS'!$B$66*($DY$104*$DV119)+'LINEST VARS'!$A$66*(0.5*$DV119)</f>
        <v>142.40000000000006</v>
      </c>
      <c r="DZ119" s="46">
        <f>'LINEST VARS'!$U$66+'LINEST VARS'!$T$66*(8)+'LINEST VARS'!$S$66*(8)+'LINEST VARS'!$R$66*($DZ$104)+'LINEST VARS'!$Q$66*(0.5)+'LINEST VARS'!$P$66*($DV119)+'LINEST VARS'!$O$66*(8^2)+'LINEST VARS'!$N$66*(8^2)+'LINEST VARS'!$M$66*($DZ$104^2)+'LINEST VARS'!$L$66*(0.5^2)+'LINEST VARS'!$K$66*($DV119^2)+'LINEST VARS'!$J$66*(8*8)+'LINEST VARS'!$I$66*(8*$DZ$104)+'LINEST VARS'!$H$66*(8*0.5)+'LINEST VARS'!$G$66*(8*$DV119)+'LINEST VARS'!$F$66*(8*$DZ$104)+'LINEST VARS'!$E$66*(8*0.5)+'LINEST VARS'!$D$66*(8*$DV119)+'LINEST VARS'!$C$66*($DZ$104*0.5)+'LINEST VARS'!$B$66*($DZ$104*$DV119)+'LINEST VARS'!$A$66*(0.5*$DV119)</f>
        <v>141.60000000000008</v>
      </c>
      <c r="EA119" s="46">
        <f>'LINEST VARS'!$U$66+'LINEST VARS'!$T$66*(8)+'LINEST VARS'!$S$66*(8)+'LINEST VARS'!$R$66*($EA$104)+'LINEST VARS'!$Q$66*(0.5)+'LINEST VARS'!$P$66*($DV119)+'LINEST VARS'!$O$66*(8^2)+'LINEST VARS'!$N$66*(8^2)+'LINEST VARS'!$M$66*($EA$104^2)+'LINEST VARS'!$L$66*(0.5^2)+'LINEST VARS'!$K$66*($DV119^2)+'LINEST VARS'!$J$66*(8*8)+'LINEST VARS'!$I$66*(8*$EA$104)+'LINEST VARS'!$H$66*(8*0.5)+'LINEST VARS'!$G$66*(8*$DV119)+'LINEST VARS'!$F$66*(8*$EA$104)+'LINEST VARS'!$E$66*(8*0.5)+'LINEST VARS'!$D$66*(8*$DV119)+'LINEST VARS'!$C$66*($EA$104*0.5)+'LINEST VARS'!$B$66*($EA$104*$DV119)+'LINEST VARS'!$A$66*(0.5*$DV119)</f>
        <v>140.80000000000007</v>
      </c>
      <c r="EB119" s="46">
        <f>'LINEST VARS'!$U$66+'LINEST VARS'!$T$66*(8)+'LINEST VARS'!$S$66*(8)+'LINEST VARS'!$R$66*($EB$104)+'LINEST VARS'!$Q$66*(0.5)+'LINEST VARS'!$P$66*($DV119)+'LINEST VARS'!$O$66*(8^2)+'LINEST VARS'!$N$66*(8^2)+'LINEST VARS'!$M$66*($EB$104^2)+'LINEST VARS'!$L$66*(0.5^2)+'LINEST VARS'!$K$66*($DV119^2)+'LINEST VARS'!$J$66*(8*8)+'LINEST VARS'!$I$66*(8*$EB$104)+'LINEST VARS'!$H$66*(8*0.5)+'LINEST VARS'!$G$66*(8*$DV119)+'LINEST VARS'!$F$66*(8*$EB$104)+'LINEST VARS'!$E$66*(8*0.5)+'LINEST VARS'!$D$66*(8*$DV119)+'LINEST VARS'!$C$66*($EB$104*0.5)+'LINEST VARS'!$B$66*($EB$104*$DV119)+'LINEST VARS'!$A$66*(0.5*$DV119)</f>
        <v>140.00000000000009</v>
      </c>
      <c r="EC119" s="46">
        <f>'LINEST VARS'!$U$66+'LINEST VARS'!$T$66*(8)+'LINEST VARS'!$S$66*(8)+'LINEST VARS'!$R$66*($EC$104)+'LINEST VARS'!$Q$66*(0.5)+'LINEST VARS'!$P$66*($DV119)+'LINEST VARS'!$O$66*(8^2)+'LINEST VARS'!$N$66*(8^2)+'LINEST VARS'!$M$66*($EC$104^2)+'LINEST VARS'!$L$66*(0.5^2)+'LINEST VARS'!$K$66*($DV119^2)+'LINEST VARS'!$J$66*(8*8)+'LINEST VARS'!$I$66*(8*$EC$104)+'LINEST VARS'!$H$66*(8*0.5)+'LINEST VARS'!$G$66*(8*$DV119)+'LINEST VARS'!$F$66*(8*$EC$104)+'LINEST VARS'!$E$66*(8*0.5)+'LINEST VARS'!$D$66*(8*$DV119)+'LINEST VARS'!$C$66*($EC$104*0.5)+'LINEST VARS'!$B$66*($EC$104*$DV119)+'LINEST VARS'!$A$66*(0.5*$DV119)</f>
        <v>139.20000000000007</v>
      </c>
      <c r="ED119" s="46">
        <f>'LINEST VARS'!$U$66+'LINEST VARS'!$T$66*(8)+'LINEST VARS'!$S$66*(8)+'LINEST VARS'!$R$66*($ED$104)+'LINEST VARS'!$Q$66*(0.5)+'LINEST VARS'!$P$66*($DV119)+'LINEST VARS'!$O$66*(8^2)+'LINEST VARS'!$N$66*(8^2)+'LINEST VARS'!$M$66*($ED$104^2)+'LINEST VARS'!$L$66*(0.5^2)+'LINEST VARS'!$K$66*($DV119^2)+'LINEST VARS'!$J$66*(8*8)+'LINEST VARS'!$I$66*(8*$ED$104)+'LINEST VARS'!$H$66*(8*0.5)+'LINEST VARS'!$G$66*(8*$DV119)+'LINEST VARS'!$F$66*(8*$ED$104)+'LINEST VARS'!$E$66*(8*0.5)+'LINEST VARS'!$D$66*(8*$DV119)+'LINEST VARS'!$C$66*($ED$104*0.5)+'LINEST VARS'!$B$66*($ED$104*$DV119)+'LINEST VARS'!$A$66*(0.5*$DV119)</f>
        <v>138.40000000000009</v>
      </c>
      <c r="EE119" s="46">
        <f>'LINEST VARS'!$U$66+'LINEST VARS'!$T$66*(8)+'LINEST VARS'!$S$66*(8)+'LINEST VARS'!$R$66*($EE$104)+'LINEST VARS'!$Q$66*(0.5)+'LINEST VARS'!$P$66*($DV119)+'LINEST VARS'!$O$66*(8^2)+'LINEST VARS'!$N$66*(8^2)+'LINEST VARS'!$M$66*($EE$104^2)+'LINEST VARS'!$L$66*(0.5^2)+'LINEST VARS'!$K$66*($DV119^2)+'LINEST VARS'!$J$66*(8*8)+'LINEST VARS'!$I$66*(8*$EE$104)+'LINEST VARS'!$H$66*(8*0.5)+'LINEST VARS'!$G$66*(8*$DV119)+'LINEST VARS'!$F$66*(8*$EE$104)+'LINEST VARS'!$E$66*(8*0.5)+'LINEST VARS'!$D$66*(8*$DV119)+'LINEST VARS'!$C$66*($EE$104*0.5)+'LINEST VARS'!$B$66*($EE$104*$DV119)+'LINEST VARS'!$A$66*(0.5*$DV119)</f>
        <v>137.60000000000008</v>
      </c>
      <c r="EF119" s="46">
        <f>'LINEST VARS'!$U$66+'LINEST VARS'!$T$66*(8)+'LINEST VARS'!$S$66*(8)+'LINEST VARS'!$R$66*($EF$104)+'LINEST VARS'!$Q$66*(0.5)+'LINEST VARS'!$P$66*($DV119)+'LINEST VARS'!$O$66*(8^2)+'LINEST VARS'!$N$66*(8^2)+'LINEST VARS'!$M$66*($EF$104^2)+'LINEST VARS'!$L$66*(0.5^2)+'LINEST VARS'!$K$66*($DV119^2)+'LINEST VARS'!$J$66*(8*8)+'LINEST VARS'!$I$66*(8*$EF$104)+'LINEST VARS'!$H$66*(8*0.5)+'LINEST VARS'!$G$66*(8*$DV119)+'LINEST VARS'!$F$66*(8*$EF$104)+'LINEST VARS'!$E$66*(8*0.5)+'LINEST VARS'!$D$66*(8*$DV119)+'LINEST VARS'!$C$66*($EF$104*0.5)+'LINEST VARS'!$B$66*($EF$104*$DV119)+'LINEST VARS'!$A$66*(0.5*$DV119)</f>
        <v>136.80000000000007</v>
      </c>
      <c r="EG119" s="46">
        <f>'LINEST VARS'!$U$66+'LINEST VARS'!$T$66*(8)+'LINEST VARS'!$S$66*(8)+'LINEST VARS'!$R$66*($EG$104)+'LINEST VARS'!$Q$66*(0.5)+'LINEST VARS'!$P$66*($DV119)+'LINEST VARS'!$O$66*(8^2)+'LINEST VARS'!$N$66*(8^2)+'LINEST VARS'!$M$66*($EG$104^2)+'LINEST VARS'!$L$66*(0.5^2)+'LINEST VARS'!$K$66*($DV119^2)+'LINEST VARS'!$J$66*(8*8)+'LINEST VARS'!$I$66*(8*$EG$104)+'LINEST VARS'!$H$66*(8*0.5)+'LINEST VARS'!$G$66*(8*$DV119)+'LINEST VARS'!$F$66*(8*$EG$104)+'LINEST VARS'!$E$66*(8*0.5)+'LINEST VARS'!$D$66*(8*$DV119)+'LINEST VARS'!$C$66*($EG$104*0.5)+'LINEST VARS'!$B$66*($EG$104*$DV119)+'LINEST VARS'!$A$66*(0.5*$DV119)</f>
        <v>136.00000000000006</v>
      </c>
      <c r="EH119" s="46">
        <f>'LINEST VARS'!$U$66+'LINEST VARS'!$T$66*(8)+'LINEST VARS'!$S$66*(8)+'LINEST VARS'!$R$66*($EH$104)+'LINEST VARS'!$Q$66*(0.5)+'LINEST VARS'!$P$66*($DV119)+'LINEST VARS'!$O$66*(8^2)+'LINEST VARS'!$N$66*(8^2)+'LINEST VARS'!$M$66*($EH$104^2)+'LINEST VARS'!$L$66*(0.5^2)+'LINEST VARS'!$K$66*($DV119^2)+'LINEST VARS'!$J$66*(8*8)+'LINEST VARS'!$I$66*(8*$EH$104)+'LINEST VARS'!$H$66*(8*0.5)+'LINEST VARS'!$G$66*(8*$DV119)+'LINEST VARS'!$F$66*(8*$EH$104)+'LINEST VARS'!$E$66*(8*0.5)+'LINEST VARS'!$D$66*(8*$DV119)+'LINEST VARS'!$C$66*($EH$104*0.5)+'LINEST VARS'!$B$66*($EH$104*$DV119)+'LINEST VARS'!$A$66*(0.5*$DV119)</f>
        <v>135.20000000000005</v>
      </c>
      <c r="EI119" s="46">
        <f>'LINEST VARS'!$U$66+'LINEST VARS'!$T$66*(8)+'LINEST VARS'!$S$66*(8)+'LINEST VARS'!$R$66*($EI$104)+'LINEST VARS'!$Q$66*(0.5)+'LINEST VARS'!$P$66*($DV119)+'LINEST VARS'!$O$66*(8^2)+'LINEST VARS'!$N$66*(8^2)+'LINEST VARS'!$M$66*($EI$104^2)+'LINEST VARS'!$L$66*(0.5^2)+'LINEST VARS'!$K$66*($DV119^2)+'LINEST VARS'!$J$66*(8*8)+'LINEST VARS'!$I$66*(8*$EI$104)+'LINEST VARS'!$H$66*(8*0.5)+'LINEST VARS'!$G$66*(8*$DV119)+'LINEST VARS'!$F$66*(8*$EI$104)+'LINEST VARS'!$E$66*(8*0.5)+'LINEST VARS'!$D$66*(8*$DV119)+'LINEST VARS'!$C$66*($EI$104*0.5)+'LINEST VARS'!$B$66*($EI$104*$DV119)+'LINEST VARS'!$A$66*(0.5*$DV119)</f>
        <v>134.40000000000003</v>
      </c>
      <c r="EJ119" s="46">
        <f>'LINEST VARS'!$U$66+'LINEST VARS'!$T$66*(8)+'LINEST VARS'!$S$66*(8)+'LINEST VARS'!$R$66*($EJ$104)+'LINEST VARS'!$Q$66*(0.5)+'LINEST VARS'!$P$66*($DV119)+'LINEST VARS'!$O$66*(8^2)+'LINEST VARS'!$N$66*(8^2)+'LINEST VARS'!$M$66*($EJ$104^2)+'LINEST VARS'!$L$66*(0.5^2)+'LINEST VARS'!$K$66*($DV119^2)+'LINEST VARS'!$J$66*(8*8)+'LINEST VARS'!$I$66*(8*$EJ$104)+'LINEST VARS'!$H$66*(8*0.5)+'LINEST VARS'!$G$66*(8*$DV119)+'LINEST VARS'!$F$66*(8*$EJ$104)+'LINEST VARS'!$E$66*(8*0.5)+'LINEST VARS'!$D$66*(8*$DV119)+'LINEST VARS'!$C$66*($EJ$104*0.5)+'LINEST VARS'!$B$66*($EJ$104*$DV119)+'LINEST VARS'!$A$66*(0.5*$DV119)</f>
        <v>133.60000000000005</v>
      </c>
      <c r="EK119" s="46">
        <f>'LINEST VARS'!$U$66+'LINEST VARS'!$T$66*(8)+'LINEST VARS'!$S$66*(8)+'LINEST VARS'!$R$66*($EK$104)+'LINEST VARS'!$Q$66*(0.5)+'LINEST VARS'!$P$66*($DV119)+'LINEST VARS'!$O$66*(8^2)+'LINEST VARS'!$N$66*(8^2)+'LINEST VARS'!$M$66*($EK$104^2)+'LINEST VARS'!$L$66*(0.5^2)+'LINEST VARS'!$K$66*($DV119^2)+'LINEST VARS'!$J$66*(8*8)+'LINEST VARS'!$I$66*(8*$EK$104)+'LINEST VARS'!$H$66*(8*0.5)+'LINEST VARS'!$G$66*(8*$DV119)+'LINEST VARS'!$F$66*(8*$EK$104)+'LINEST VARS'!$E$66*(8*0.5)+'LINEST VARS'!$D$66*(8*$DV119)+'LINEST VARS'!$C$66*($EK$104*0.5)+'LINEST VARS'!$B$66*($EK$104*$DV119)+'LINEST VARS'!$A$66*(0.5*$DV119)</f>
        <v>132.80000000000004</v>
      </c>
      <c r="EL119" s="46">
        <f>'LINEST VARS'!$U$66+'LINEST VARS'!$T$66*(8)+'LINEST VARS'!$S$66*(8)+'LINEST VARS'!$R$66*($EL$104)+'LINEST VARS'!$Q$66*(0.5)+'LINEST VARS'!$P$66*($DV119)+'LINEST VARS'!$O$66*(8^2)+'LINEST VARS'!$N$66*(8^2)+'LINEST VARS'!$M$66*($EL$104^2)+'LINEST VARS'!$L$66*(0.5^2)+'LINEST VARS'!$K$66*($DV119^2)+'LINEST VARS'!$J$66*(8*8)+'LINEST VARS'!$I$66*(8*$EL$104)+'LINEST VARS'!$H$66*(8*0.5)+'LINEST VARS'!$G$66*(8*$DV119)+'LINEST VARS'!$F$66*(8*$EL$104)+'LINEST VARS'!$E$66*(8*0.5)+'LINEST VARS'!$D$66*(8*$DV119)+'LINEST VARS'!$C$66*($EL$104*0.5)+'LINEST VARS'!$B$66*($EL$104*$DV119)+'LINEST VARS'!$A$66*(0.5*$DV119)</f>
        <v>132.00000000000006</v>
      </c>
      <c r="EM119" s="46">
        <f>'LINEST VARS'!$U$66+'LINEST VARS'!$T$66*(8)+'LINEST VARS'!$S$66*(8)+'LINEST VARS'!$R$66*($EM$104)+'LINEST VARS'!$Q$66*(0.5)+'LINEST VARS'!$P$66*($DV119)+'LINEST VARS'!$O$66*(8^2)+'LINEST VARS'!$N$66*(8^2)+'LINEST VARS'!$M$66*($EM$104^2)+'LINEST VARS'!$L$66*(0.5^2)+'LINEST VARS'!$K$66*($DV119^2)+'LINEST VARS'!$J$66*(8*8)+'LINEST VARS'!$I$66*(8*$EM$104)+'LINEST VARS'!$H$66*(8*0.5)+'LINEST VARS'!$G$66*(8*$DV119)+'LINEST VARS'!$F$66*(8*$EM$104)+'LINEST VARS'!$E$66*(8*0.5)+'LINEST VARS'!$D$66*(8*$DV119)+'LINEST VARS'!$C$66*($EM$104*0.5)+'LINEST VARS'!$B$66*($EM$104*$DV119)+'LINEST VARS'!$A$66*(0.5*$DV119)</f>
        <v>131.20000000000005</v>
      </c>
      <c r="EN119" s="46">
        <f>'LINEST VARS'!$U$66+'LINEST VARS'!$T$66*(8)+'LINEST VARS'!$S$66*(8)+'LINEST VARS'!$R$66*($EN$104)+'LINEST VARS'!$Q$66*(0.5)+'LINEST VARS'!$P$66*($DV119)+'LINEST VARS'!$O$66*(8^2)+'LINEST VARS'!$N$66*(8^2)+'LINEST VARS'!$M$66*($EN$104^2)+'LINEST VARS'!$L$66*(0.5^2)+'LINEST VARS'!$K$66*($DV119^2)+'LINEST VARS'!$J$66*(8*8)+'LINEST VARS'!$I$66*(8*$EN$104)+'LINEST VARS'!$H$66*(8*0.5)+'LINEST VARS'!$G$66*(8*$DV119)+'LINEST VARS'!$F$66*(8*$EN$104)+'LINEST VARS'!$E$66*(8*0.5)+'LINEST VARS'!$D$66*(8*$DV119)+'LINEST VARS'!$C$66*($EN$104*0.5)+'LINEST VARS'!$B$66*($EN$104*$DV119)+'LINEST VARS'!$A$66*(0.5*$DV119)</f>
        <v>130.40000000000009</v>
      </c>
      <c r="EO119" s="46">
        <f>'LINEST VARS'!$U$66+'LINEST VARS'!$T$66*(8)+'LINEST VARS'!$S$66*(8)+'LINEST VARS'!$R$66*($EO$104)+'LINEST VARS'!$Q$66*(0.5)+'LINEST VARS'!$P$66*($DV119)+'LINEST VARS'!$O$66*(8^2)+'LINEST VARS'!$N$66*(8^2)+'LINEST VARS'!$M$66*($EO$104^2)+'LINEST VARS'!$L$66*(0.5^2)+'LINEST VARS'!$K$66*($DV119^2)+'LINEST VARS'!$J$66*(8*8)+'LINEST VARS'!$I$66*(8*$EO$104)+'LINEST VARS'!$H$66*(8*0.5)+'LINEST VARS'!$G$66*(8*$DV119)+'LINEST VARS'!$F$66*(8*$EO$104)+'LINEST VARS'!$E$66*(8*0.5)+'LINEST VARS'!$D$66*(8*$DV119)+'LINEST VARS'!$C$66*($EO$104*0.5)+'LINEST VARS'!$B$66*($EO$104*$DV119)+'LINEST VARS'!$A$66*(0.5*$DV119)</f>
        <v>129.60000000000008</v>
      </c>
      <c r="EP119" s="46">
        <f>'LINEST VARS'!$U$66+'LINEST VARS'!$T$66*(8)+'LINEST VARS'!$S$66*(8)+'LINEST VARS'!$R$66*($EP$104)+'LINEST VARS'!$Q$66*(0.5)+'LINEST VARS'!$P$66*($DV119)+'LINEST VARS'!$O$66*(8^2)+'LINEST VARS'!$N$66*(8^2)+'LINEST VARS'!$M$66*($EP$104^2)+'LINEST VARS'!$L$66*(0.5^2)+'LINEST VARS'!$K$66*($DV119^2)+'LINEST VARS'!$J$66*(8*8)+'LINEST VARS'!$I$66*(8*$EP$104)+'LINEST VARS'!$H$66*(8*0.5)+'LINEST VARS'!$G$66*(8*$DV119)+'LINEST VARS'!$F$66*(8*$EP$104)+'LINEST VARS'!$E$66*(8*0.5)+'LINEST VARS'!$D$66*(8*$DV119)+'LINEST VARS'!$C$66*($EP$104*0.5)+'LINEST VARS'!$B$66*($EP$104*$DV119)+'LINEST VARS'!$A$66*(0.5*$DV119)</f>
        <v>128.8000000000001</v>
      </c>
      <c r="EQ119" s="47">
        <f>'LINEST VARS'!$U$66+'LINEST VARS'!$T$66*(8)+'LINEST VARS'!$S$66*(8)+'LINEST VARS'!$R$66*($EQ$104)+'LINEST VARS'!$Q$66*(0.5)+'LINEST VARS'!$P$66*($DV119)+'LINEST VARS'!$O$66*(8^2)+'LINEST VARS'!$N$66*(8^2)+'LINEST VARS'!$M$66*($EQ$104^2)+'LINEST VARS'!$L$66*(0.5^2)+'LINEST VARS'!$K$66*($DV119^2)+'LINEST VARS'!$J$66*(8*8)+'LINEST VARS'!$I$66*(8*$EQ$104)+'LINEST VARS'!$H$66*(8*0.5)+'LINEST VARS'!$G$66*(8*$DV119)+'LINEST VARS'!$F$66*(8*$EQ$104)+'LINEST VARS'!$E$66*(8*0.5)+'LINEST VARS'!$D$66*(8*$DV119)+'LINEST VARS'!$C$66*($EQ$104*0.5)+'LINEST VARS'!$B$66*($EQ$104*$DV119)+'LINEST VARS'!$A$66*(0.5*$DV119)</f>
        <v>128.00000000000006</v>
      </c>
    </row>
    <row r="120" spans="2:147" ht="15" customHeight="1" x14ac:dyDescent="0.25">
      <c r="B120" s="45">
        <v>8.3000000000000007</v>
      </c>
      <c r="C120" s="55">
        <f>'LINEST VARS'!$U$64+'LINEST VARS'!$T$64*($C$104)+'LINEST VARS'!$S$64*($B120)+'LINEST VARS'!$R$64*(4)+'LINEST VARS'!$Q$64*(0.5)+'LINEST VARS'!$P$64*(12.73)+'LINEST VARS'!$O$64*($C$104^2)+'LINEST VARS'!$N$64*($B120^2)+'LINEST VARS'!$M$64*(4^2)+'LINEST VARS'!$L$64*(0.5^2)+'LINEST VARS'!$K$64*(12.73^2)+'LINEST VARS'!$J$64*($C$104*$B120)+'LINEST VARS'!$I$64*($C$104*4)+'LINEST VARS'!$H$64*($C$104*0.5)+'LINEST VARS'!$G$64*($C$104*12.73)+'LINEST VARS'!$F$64*($B120*4)+'LINEST VARS'!$E$64*($B120*0.5)+'LINEST VARS'!$D$64*($B120*12.73)+'LINEST VARS'!$C$64*(4*0.5)+'LINEST VARS'!$B$64*(4*12.73)+'LINEST VARS'!$A$64*(0.5*12.73)</f>
        <v>164.18999999999988</v>
      </c>
      <c r="D120" s="55">
        <f>'LINEST VARS'!$U$64+'LINEST VARS'!$T$64*($D$104)+'LINEST VARS'!$S$64*($B120)+'LINEST VARS'!$R$64*(4)+'LINEST VARS'!$Q$64*(0.5)+'LINEST VARS'!$P$64*(12.73)+'LINEST VARS'!$O$64*($D$104^2)+'LINEST VARS'!$N$64*($B120^2)+'LINEST VARS'!$M$64*(4^2)+'LINEST VARS'!$L$64*(0.5^2)+'LINEST VARS'!$K$64*(12.73^2)+'LINEST VARS'!$J$64*($D$104*$B120)+'LINEST VARS'!$I$64*($D$104*4)+'LINEST VARS'!$H$64*($D$104*0.5)+'LINEST VARS'!$G$64*($D$104*12.73)+'LINEST VARS'!$F$64*($B120*4)+'LINEST VARS'!$E$64*($B120*0.5)+'LINEST VARS'!$D$64*($B120*12.73)+'LINEST VARS'!$C$64*(4*0.5)+'LINEST VARS'!$B$64*(4*12.73)+'LINEST VARS'!$A$64*(0.5*12.73)</f>
        <v>164.18999999999988</v>
      </c>
      <c r="E120" s="55">
        <f>'LINEST VARS'!$U$64+'LINEST VARS'!$T$64*($E$104)+'LINEST VARS'!$S$64*($B120)+'LINEST VARS'!$R$64*(4)+'LINEST VARS'!$Q$64*(0.5)+'LINEST VARS'!$P$64*(12.73)+'LINEST VARS'!$O$64*($E$104^2)+'LINEST VARS'!$N$64*($B120^2)+'LINEST VARS'!$M$64*(4^2)+'LINEST VARS'!$L$64*(0.5^2)+'LINEST VARS'!$K$64*(12.73^2)+'LINEST VARS'!$J$64*($E$104*$B120)+'LINEST VARS'!$I$64*($E$104*4)+'LINEST VARS'!$H$64*($E$104*0.5)+'LINEST VARS'!$G$64*($E$104*12.73)+'LINEST VARS'!$F$64*($B120*4)+'LINEST VARS'!$E$64*($B120*0.5)+'LINEST VARS'!$D$64*($B120*12.73)+'LINEST VARS'!$C$64*(4*0.5)+'LINEST VARS'!$B$64*(4*12.73)+'LINEST VARS'!$A$64*(0.5*12.73)</f>
        <v>164.18999999999988</v>
      </c>
      <c r="F120" s="55">
        <f>'LINEST VARS'!$U$64+'LINEST VARS'!$T$64*($F$104)+'LINEST VARS'!$S$64*($B120)+'LINEST VARS'!$R$64*(4)+'LINEST VARS'!$Q$64*(0.5)+'LINEST VARS'!$P$64*(12.73)+'LINEST VARS'!$O$64*($F$104^2)+'LINEST VARS'!$N$64*($B120^2)+'LINEST VARS'!$M$64*(4^2)+'LINEST VARS'!$L$64*(0.5^2)+'LINEST VARS'!$K$64*(12.73^2)+'LINEST VARS'!$J$64*($F$104*$B120)+'LINEST VARS'!$I$64*($F$104*4)+'LINEST VARS'!$H$64*($F$104*0.5)+'LINEST VARS'!$G$64*($F$104*12.73)+'LINEST VARS'!$F$64*($B120*4)+'LINEST VARS'!$E$64*($B120*0.5)+'LINEST VARS'!$D$64*($B120*12.73)+'LINEST VARS'!$C$64*(4*0.5)+'LINEST VARS'!$B$64*(4*12.73)+'LINEST VARS'!$A$64*(0.5*12.73)</f>
        <v>164.18999999999988</v>
      </c>
      <c r="G120" s="55">
        <f>'LINEST VARS'!$U$64+'LINEST VARS'!$T$64*($G$104)+'LINEST VARS'!$S$64*($B120)+'LINEST VARS'!$R$64*(4)+'LINEST VARS'!$Q$64*(0.5)+'LINEST VARS'!$P$64*(12.73)+'LINEST VARS'!$O$64*($G$104^2)+'LINEST VARS'!$N$64*($B120^2)+'LINEST VARS'!$M$64*(4^2)+'LINEST VARS'!$L$64*(0.5^2)+'LINEST VARS'!$K$64*(12.73^2)+'LINEST VARS'!$J$64*($G$104*$B120)+'LINEST VARS'!$I$64*($G$104*4)+'LINEST VARS'!$H$64*($G$104*0.5)+'LINEST VARS'!$G$64*($G$104*12.73)+'LINEST VARS'!$F$64*($B120*4)+'LINEST VARS'!$E$64*($B120*0.5)+'LINEST VARS'!$D$64*($B120*12.73)+'LINEST VARS'!$C$64*(4*0.5)+'LINEST VARS'!$B$64*(4*12.73)+'LINEST VARS'!$A$64*(0.5*12.73)</f>
        <v>164.18999999999991</v>
      </c>
      <c r="H120" s="55">
        <f>'LINEST VARS'!$U$64+'LINEST VARS'!$T$64*($H$104)+'LINEST VARS'!$S$64*($B120)+'LINEST VARS'!$R$64*(4)+'LINEST VARS'!$Q$64*(0.5)+'LINEST VARS'!$P$64*(12.73)+'LINEST VARS'!$O$64*($H$104^2)+'LINEST VARS'!$N$64*($B120^2)+'LINEST VARS'!$M$64*(4^2)+'LINEST VARS'!$L$64*(0.5^2)+'LINEST VARS'!$K$64*(12.73^2)+'LINEST VARS'!$J$64*($H$104*$B120)+'LINEST VARS'!$I$64*($H$104*4)+'LINEST VARS'!$H$64*($H$104*0.5)+'LINEST VARS'!$G$64*($H$104*12.73)+'LINEST VARS'!$F$64*($B120*4)+'LINEST VARS'!$E$64*($B120*0.5)+'LINEST VARS'!$D$64*($B120*12.73)+'LINEST VARS'!$C$64*(4*0.5)+'LINEST VARS'!$B$64*(4*12.73)+'LINEST VARS'!$A$64*(0.5*12.73)</f>
        <v>164.18999999999991</v>
      </c>
      <c r="I120" s="55">
        <f>'LINEST VARS'!$U$64+'LINEST VARS'!$T$64*($I$104)+'LINEST VARS'!$S$64*($B120)+'LINEST VARS'!$R$64*(4)+'LINEST VARS'!$Q$64*(0.5)+'LINEST VARS'!$P$64*(12.73)+'LINEST VARS'!$O$64*($I$104^2)+'LINEST VARS'!$N$64*($B120^2)+'LINEST VARS'!$M$64*(4^2)+'LINEST VARS'!$L$64*(0.5^2)+'LINEST VARS'!$K$64*(12.73^2)+'LINEST VARS'!$J$64*($I$104*$B120)+'LINEST VARS'!$I$64*($I$104*4)+'LINEST VARS'!$H$64*($I$104*0.5)+'LINEST VARS'!$G$64*($I$104*12.73)+'LINEST VARS'!$F$64*($B120*4)+'LINEST VARS'!$E$64*($B120*0.5)+'LINEST VARS'!$D$64*($B120*12.73)+'LINEST VARS'!$C$64*(4*0.5)+'LINEST VARS'!$B$64*(4*12.73)+'LINEST VARS'!$A$64*(0.5*12.73)</f>
        <v>164.18999999999988</v>
      </c>
      <c r="J120" s="55">
        <f>'LINEST VARS'!$U$64+'LINEST VARS'!$T$64*($J$104)+'LINEST VARS'!$S$64*($B120)+'LINEST VARS'!$R$64*(4)+'LINEST VARS'!$Q$64*(0.5)+'LINEST VARS'!$P$64*(12.73)+'LINEST VARS'!$O$64*($J$104^2)+'LINEST VARS'!$N$64*($B120^2)+'LINEST VARS'!$M$64*(4^2)+'LINEST VARS'!$L$64*(0.5^2)+'LINEST VARS'!$K$64*(12.73^2)+'LINEST VARS'!$J$64*($J$104*$B120)+'LINEST VARS'!$I$64*($J$104*4)+'LINEST VARS'!$H$64*($J$104*0.5)+'LINEST VARS'!$G$64*($J$104*12.73)+'LINEST VARS'!$F$64*($B120*4)+'LINEST VARS'!$E$64*($B120*0.5)+'LINEST VARS'!$D$64*($B120*12.73)+'LINEST VARS'!$C$64*(4*0.5)+'LINEST VARS'!$B$64*(4*12.73)+'LINEST VARS'!$A$64*(0.5*12.73)</f>
        <v>164.18999999999988</v>
      </c>
      <c r="K120" s="55">
        <f>'LINEST VARS'!$U$64+'LINEST VARS'!$T$64*($K$104)+'LINEST VARS'!$S$64*($B120)+'LINEST VARS'!$R$64*(4)+'LINEST VARS'!$Q$64*(0.5)+'LINEST VARS'!$P$64*(12.73)+'LINEST VARS'!$O$64*($K$104^2)+'LINEST VARS'!$N$64*($B120^2)+'LINEST VARS'!$M$64*(4^2)+'LINEST VARS'!$L$64*(0.5^2)+'LINEST VARS'!$K$64*(12.73^2)+'LINEST VARS'!$J$64*($K$104*$B120)+'LINEST VARS'!$I$64*($K$104*4)+'LINEST VARS'!$H$64*($K$104*0.5)+'LINEST VARS'!$G$64*($K$104*12.73)+'LINEST VARS'!$F$64*($B120*4)+'LINEST VARS'!$E$64*($B120*0.5)+'LINEST VARS'!$D$64*($B120*12.73)+'LINEST VARS'!$C$64*(4*0.5)+'LINEST VARS'!$B$64*(4*12.73)+'LINEST VARS'!$A$64*(0.5*12.73)</f>
        <v>164.18999999999988</v>
      </c>
      <c r="L120" s="55">
        <f>'LINEST VARS'!$U$64+'LINEST VARS'!$T$64*($L$104)+'LINEST VARS'!$S$64*($B120)+'LINEST VARS'!$R$64*(4)+'LINEST VARS'!$Q$64*(0.5)+'LINEST VARS'!$P$64*(12.73)+'LINEST VARS'!$O$64*($L$104^2)+'LINEST VARS'!$N$64*($B120^2)+'LINEST VARS'!$M$64*(4^2)+'LINEST VARS'!$L$64*(0.5^2)+'LINEST VARS'!$K$64*(12.73^2)+'LINEST VARS'!$J$64*($L$104*$B120)+'LINEST VARS'!$I$64*($L$104*4)+'LINEST VARS'!$H$64*($L$104*0.5)+'LINEST VARS'!$G$64*($L$104*12.73)+'LINEST VARS'!$F$64*($B120*4)+'LINEST VARS'!$E$64*($B120*0.5)+'LINEST VARS'!$D$64*($B120*12.73)+'LINEST VARS'!$C$64*(4*0.5)+'LINEST VARS'!$B$64*(4*12.73)+'LINEST VARS'!$A$64*(0.5*12.73)</f>
        <v>164.18999999999988</v>
      </c>
      <c r="M120" s="55">
        <f>'LINEST VARS'!$U$64+'LINEST VARS'!$T$64*($M$104)+'LINEST VARS'!$S$64*($B120)+'LINEST VARS'!$R$64*(4)+'LINEST VARS'!$Q$64*(0.5)+'LINEST VARS'!$P$64*(12.73)+'LINEST VARS'!$O$64*($M$104^2)+'LINEST VARS'!$N$64*($B120^2)+'LINEST VARS'!$M$64*(4^2)+'LINEST VARS'!$L$64*(0.5^2)+'LINEST VARS'!$K$64*(12.73^2)+'LINEST VARS'!$J$64*($M$104*$B120)+'LINEST VARS'!$I$64*($M$104*4)+'LINEST VARS'!$H$64*($M$104*0.5)+'LINEST VARS'!$G$64*($M$104*12.73)+'LINEST VARS'!$F$64*($B120*4)+'LINEST VARS'!$E$64*($B120*0.5)+'LINEST VARS'!$D$64*($B120*12.73)+'LINEST VARS'!$C$64*(4*0.5)+'LINEST VARS'!$B$64*(4*12.73)+'LINEST VARS'!$A$64*(0.5*12.73)</f>
        <v>164.18999999999988</v>
      </c>
      <c r="N120" s="55">
        <f>'LINEST VARS'!$U$64+'LINEST VARS'!$T$64*($N$104)+'LINEST VARS'!$S$64*($B120)+'LINEST VARS'!$R$64*(4)+'LINEST VARS'!$Q$64*(0.5)+'LINEST VARS'!$P$64*(12.73)+'LINEST VARS'!$O$64*($N$104^2)+'LINEST VARS'!$N$64*($B120^2)+'LINEST VARS'!$M$64*(4^2)+'LINEST VARS'!$L$64*(0.5^2)+'LINEST VARS'!$K$64*(12.73^2)+'LINEST VARS'!$J$64*($N$104*$B120)+'LINEST VARS'!$I$64*($N$104*4)+'LINEST VARS'!$H$64*($N$104*0.5)+'LINEST VARS'!$G$64*($N$104*12.73)+'LINEST VARS'!$F$64*($B120*4)+'LINEST VARS'!$E$64*($B120*0.5)+'LINEST VARS'!$D$64*($B120*12.73)+'LINEST VARS'!$C$64*(4*0.5)+'LINEST VARS'!$B$64*(4*12.73)+'LINEST VARS'!$A$64*(0.5*12.73)</f>
        <v>164.18999999999988</v>
      </c>
      <c r="O120" s="55">
        <f>'LINEST VARS'!$U$64+'LINEST VARS'!$T$64*($O$104)+'LINEST VARS'!$S$64*($B120)+'LINEST VARS'!$R$64*(4)+'LINEST VARS'!$Q$64*(0.5)+'LINEST VARS'!$P$64*(12.73)+'LINEST VARS'!$O$64*($O$104^2)+'LINEST VARS'!$N$64*($B120^2)+'LINEST VARS'!$M$64*(4^2)+'LINEST VARS'!$L$64*(0.5^2)+'LINEST VARS'!$K$64*(12.73^2)+'LINEST VARS'!$J$64*($O$104*$B120)+'LINEST VARS'!$I$64*($O$104*4)+'LINEST VARS'!$H$64*($O$104*0.5)+'LINEST VARS'!$G$64*($O$104*12.73)+'LINEST VARS'!$F$64*($B120*4)+'LINEST VARS'!$E$64*($B120*0.5)+'LINEST VARS'!$D$64*($B120*12.73)+'LINEST VARS'!$C$64*(4*0.5)+'LINEST VARS'!$B$64*(4*12.73)+'LINEST VARS'!$A$64*(0.5*12.73)</f>
        <v>164.18999999999988</v>
      </c>
      <c r="P120" s="55">
        <f>'LINEST VARS'!$U$64+'LINEST VARS'!$T$64*($P$104)+'LINEST VARS'!$S$64*($B120)+'LINEST VARS'!$R$64*(4)+'LINEST VARS'!$Q$64*(0.5)+'LINEST VARS'!$P$64*(12.73)+'LINEST VARS'!$O$64*($P$104^2)+'LINEST VARS'!$N$64*($B120^2)+'LINEST VARS'!$M$64*(4^2)+'LINEST VARS'!$L$64*(0.5^2)+'LINEST VARS'!$K$64*(12.73^2)+'LINEST VARS'!$J$64*($P$104*$B120)+'LINEST VARS'!$I$64*($P$104*4)+'LINEST VARS'!$H$64*($P$104*0.5)+'LINEST VARS'!$G$64*($P$104*12.73)+'LINEST VARS'!$F$64*($B120*4)+'LINEST VARS'!$E$64*($B120*0.5)+'LINEST VARS'!$D$64*($B120*12.73)+'LINEST VARS'!$C$64*(4*0.5)+'LINEST VARS'!$B$64*(4*12.73)+'LINEST VARS'!$A$64*(0.5*12.73)</f>
        <v>164.18999999999991</v>
      </c>
      <c r="Q120" s="55">
        <f>'LINEST VARS'!$U$64+'LINEST VARS'!$T$64*($Q$104)+'LINEST VARS'!$S$64*($B120)+'LINEST VARS'!$R$64*(4)+'LINEST VARS'!$Q$64*(0.5)+'LINEST VARS'!$P$64*(12.73)+'LINEST VARS'!$O$64*($Q$104^2)+'LINEST VARS'!$N$64*($B120^2)+'LINEST VARS'!$M$64*(4^2)+'LINEST VARS'!$L$64*(0.5^2)+'LINEST VARS'!$K$64*(12.73^2)+'LINEST VARS'!$J$64*($Q$104*$B120)+'LINEST VARS'!$I$64*($Q$104*4)+'LINEST VARS'!$H$64*($Q$104*0.5)+'LINEST VARS'!$G$64*($Q$104*12.73)+'LINEST VARS'!$F$64*($B120*4)+'LINEST VARS'!$E$64*($B120*0.5)+'LINEST VARS'!$D$64*($B120*12.73)+'LINEST VARS'!$C$64*(4*0.5)+'LINEST VARS'!$B$64*(4*12.73)+'LINEST VARS'!$A$64*(0.5*12.73)</f>
        <v>164.18999999999991</v>
      </c>
      <c r="R120" s="55">
        <f>'LINEST VARS'!$U$64+'LINEST VARS'!$T$64*($R$104)+'LINEST VARS'!$S$64*($B120)+'LINEST VARS'!$R$64*(4)+'LINEST VARS'!$Q$64*(0.5)+'LINEST VARS'!$P$64*(12.73)+'LINEST VARS'!$O$64*($R$104^2)+'LINEST VARS'!$N$64*($B120^2)+'LINEST VARS'!$M$64*(4^2)+'LINEST VARS'!$L$64*(0.5^2)+'LINEST VARS'!$K$64*(12.73^2)+'LINEST VARS'!$J$64*($R$104*$B120)+'LINEST VARS'!$I$64*($R$104*4)+'LINEST VARS'!$H$64*($R$104*0.5)+'LINEST VARS'!$G$64*($R$104*12.73)+'LINEST VARS'!$F$64*($B120*4)+'LINEST VARS'!$E$64*($B120*0.5)+'LINEST VARS'!$D$64*($B120*12.73)+'LINEST VARS'!$C$64*(4*0.5)+'LINEST VARS'!$B$64*(4*12.73)+'LINEST VARS'!$A$64*(0.5*12.73)</f>
        <v>164.18999999999991</v>
      </c>
      <c r="S120" s="55">
        <f>'LINEST VARS'!$U$64+'LINEST VARS'!$T$64*($S$104)+'LINEST VARS'!$S$64*($B120)+'LINEST VARS'!$R$64*(4)+'LINEST VARS'!$Q$64*(0.5)+'LINEST VARS'!$P$64*(12.73)+'LINEST VARS'!$O$64*($S$104^2)+'LINEST VARS'!$N$64*($B120^2)+'LINEST VARS'!$M$64*(4^2)+'LINEST VARS'!$L$64*(0.5^2)+'LINEST VARS'!$K$64*(12.73^2)+'LINEST VARS'!$J$64*($S$104*$B120)+'LINEST VARS'!$I$64*($S$104*4)+'LINEST VARS'!$H$64*($S$104*0.5)+'LINEST VARS'!$G$64*($S$104*12.73)+'LINEST VARS'!$F$64*($B120*4)+'LINEST VARS'!$E$64*($B120*0.5)+'LINEST VARS'!$D$64*($B120*12.73)+'LINEST VARS'!$C$64*(4*0.5)+'LINEST VARS'!$B$64*(4*12.73)+'LINEST VARS'!$A$64*(0.5*12.73)</f>
        <v>164.18999999999991</v>
      </c>
      <c r="T120" s="55">
        <f>'LINEST VARS'!$U$64+'LINEST VARS'!$T$64*($T$104)+'LINEST VARS'!$S$64*($B120)+'LINEST VARS'!$R$64*(4)+'LINEST VARS'!$Q$64*(0.5)+'LINEST VARS'!$P$64*(12.73)+'LINEST VARS'!$O$64*($T$104^2)+'LINEST VARS'!$N$64*($B120^2)+'LINEST VARS'!$M$64*(4^2)+'LINEST VARS'!$L$64*(0.5^2)+'LINEST VARS'!$K$64*(12.73^2)+'LINEST VARS'!$J$64*($T$104*$B120)+'LINEST VARS'!$I$64*($T$104*4)+'LINEST VARS'!$H$64*($T$104*0.5)+'LINEST VARS'!$G$64*($T$104*12.73)+'LINEST VARS'!$F$64*($B120*4)+'LINEST VARS'!$E$64*($B120*0.5)+'LINEST VARS'!$D$64*($B120*12.73)+'LINEST VARS'!$C$64*(4*0.5)+'LINEST VARS'!$B$64*(4*12.73)+'LINEST VARS'!$A$64*(0.5*12.73)</f>
        <v>164.18999999999991</v>
      </c>
      <c r="U120" s="55">
        <f>'LINEST VARS'!$U$64+'LINEST VARS'!$T$64*($U$104)+'LINEST VARS'!$S$64*($B120)+'LINEST VARS'!$R$64*(4)+'LINEST VARS'!$Q$64*(0.5)+'LINEST VARS'!$P$64*(12.73)+'LINEST VARS'!$O$64*($U$104^2)+'LINEST VARS'!$N$64*($B120^2)+'LINEST VARS'!$M$64*(4^2)+'LINEST VARS'!$L$64*(0.5^2)+'LINEST VARS'!$K$64*(12.73^2)+'LINEST VARS'!$J$64*($U$104*$B120)+'LINEST VARS'!$I$64*($U$104*4)+'LINEST VARS'!$H$64*($U$104*0.5)+'LINEST VARS'!$G$64*($U$104*12.73)+'LINEST VARS'!$F$64*($B120*4)+'LINEST VARS'!$E$64*($B120*0.5)+'LINEST VARS'!$D$64*($B120*12.73)+'LINEST VARS'!$C$64*(4*0.5)+'LINEST VARS'!$B$64*(4*12.73)+'LINEST VARS'!$A$64*(0.5*12.73)</f>
        <v>164.18999999999991</v>
      </c>
      <c r="V120" s="55">
        <f>'LINEST VARS'!$U$64+'LINEST VARS'!$T$64*($V$104)+'LINEST VARS'!$S$64*($B120)+'LINEST VARS'!$R$64*(4)+'LINEST VARS'!$Q$64*(0.5)+'LINEST VARS'!$P$64*(12.73)+'LINEST VARS'!$O$64*($V$104^2)+'LINEST VARS'!$N$64*($B120^2)+'LINEST VARS'!$M$64*(4^2)+'LINEST VARS'!$L$64*(0.5^2)+'LINEST VARS'!$K$64*(12.73^2)+'LINEST VARS'!$J$64*($V$104*$B120)+'LINEST VARS'!$I$64*($V$104*4)+'LINEST VARS'!$H$64*($V$104*0.5)+'LINEST VARS'!$G$64*($V$104*12.73)+'LINEST VARS'!$F$64*($B120*4)+'LINEST VARS'!$E$64*($B120*0.5)+'LINEST VARS'!$D$64*($B120*12.73)+'LINEST VARS'!$C$64*(4*0.5)+'LINEST VARS'!$B$64*(4*12.73)+'LINEST VARS'!$A$64*(0.5*12.73)</f>
        <v>164.18999999999991</v>
      </c>
      <c r="W120" s="56">
        <f>'LINEST VARS'!$U$64+'LINEST VARS'!$T$64*($W$104)+'LINEST VARS'!$S$64*($B120)+'LINEST VARS'!$R$64*(4)+'LINEST VARS'!$Q$64*(0.5)+'LINEST VARS'!$P$64*(12.73)+'LINEST VARS'!$O$64*($W$104^2)+'LINEST VARS'!$N$64*($B120^2)+'LINEST VARS'!$M$64*(4^2)+'LINEST VARS'!$L$64*(0.5^2)+'LINEST VARS'!$K$64*(12.73^2)+'LINEST VARS'!$J$64*($W$104*$B120)+'LINEST VARS'!$I$64*($W$104*4)+'LINEST VARS'!$H$64*($W$104*0.5)+'LINEST VARS'!$G$64*($W$104*12.73)+'LINEST VARS'!$F$64*($B120*4)+'LINEST VARS'!$E$64*($B120*0.5)+'LINEST VARS'!$D$64*($B120*12.73)+'LINEST VARS'!$C$64*(4*0.5)+'LINEST VARS'!$B$64*(4*12.73)+'LINEST VARS'!$A$64*(0.5*12.73)</f>
        <v>164.18999999999991</v>
      </c>
      <c r="Z120" s="45">
        <v>8.3000000000000007</v>
      </c>
      <c r="AA120" s="46">
        <f>'LINEST VARS'!$U$66+'LINEST VARS'!$T$66*($AA$104)+'LINEST VARS'!$S$66*($Z120)+'LINEST VARS'!$R$66*(4)+'LINEST VARS'!$Q$66*(0.5)+'LINEST VARS'!$P$66*(12.73)+'LINEST VARS'!$O$66*($AA$104^2)+'LINEST VARS'!$N$66*($Z120^2)+'LINEST VARS'!$M$66*(4^2)+'LINEST VARS'!$L$66*(0.5^2)+'LINEST VARS'!$K$66*(12.73^2)+'LINEST VARS'!$J$66*($AA$104*$Z120)+'LINEST VARS'!$I$66*($AA$104*4)+'LINEST VARS'!$H$66*($AA$104*0.5)+'LINEST VARS'!$G$66*($AA$104*12.73)+'LINEST VARS'!$F$66*($Z120*4)+'LINEST VARS'!$E$66*($Z120*0.5)+'LINEST VARS'!$D$66*($Z120*12.73)+'LINEST VARS'!$C$66*(4*0.5)+'LINEST VARS'!$B$66*(4*12.73)+'LINEST VARS'!$A$66*(0.5*12.73)</f>
        <v>134.20000000000005</v>
      </c>
      <c r="AB120" s="46">
        <f>'LINEST VARS'!$U$66+'LINEST VARS'!$T$66*($AB$104)+'LINEST VARS'!$S$66*($Z120)+'LINEST VARS'!$R$66*(4)+'LINEST VARS'!$Q$66*(0.5)+'LINEST VARS'!$P$66*(12.73)+'LINEST VARS'!$O$66*($AB$104^2)+'LINEST VARS'!$N$66*($Z120^2)+'LINEST VARS'!$M$66*(4^2)+'LINEST VARS'!$L$66*(0.5^2)+'LINEST VARS'!$K$66*(12.73^2)+'LINEST VARS'!$J$66*($AB$104*$Z120)+'LINEST VARS'!$I$66*($AB$104*4)+'LINEST VARS'!$H$66*($AB$104*0.5)+'LINEST VARS'!$G$66*($AB$104*12.73)+'LINEST VARS'!$F$66*($Z120*4)+'LINEST VARS'!$E$66*($Z120*0.5)+'LINEST VARS'!$D$66*($Z120*12.73)+'LINEST VARS'!$C$66*(4*0.5)+'LINEST VARS'!$B$66*(4*12.73)+'LINEST VARS'!$A$66*(0.5*12.73)</f>
        <v>134.38000000000005</v>
      </c>
      <c r="AC120" s="46">
        <f>'LINEST VARS'!$U$66+'LINEST VARS'!$T$66*($AC$104)+'LINEST VARS'!$S$66*($Z120)+'LINEST VARS'!$R$66*(4)+'LINEST VARS'!$Q$66*(0.5)+'LINEST VARS'!$P$66*(12.73)+'LINEST VARS'!$O$66*($AC$104^2)+'LINEST VARS'!$N$66*($Z120^2)+'LINEST VARS'!$M$66*(4^2)+'LINEST VARS'!$L$66*(0.5^2)+'LINEST VARS'!$K$66*(12.73^2)+'LINEST VARS'!$J$66*($AC$104*$Z120)+'LINEST VARS'!$I$66*($AC$104*4)+'LINEST VARS'!$H$66*($AC$104*0.5)+'LINEST VARS'!$G$66*($AC$104*12.73)+'LINEST VARS'!$F$66*($Z120*4)+'LINEST VARS'!$E$66*($Z120*0.5)+'LINEST VARS'!$D$66*($Z120*12.73)+'LINEST VARS'!$C$66*(4*0.5)+'LINEST VARS'!$B$66*(4*12.73)+'LINEST VARS'!$A$66*(0.5*12.73)</f>
        <v>134.56000000000003</v>
      </c>
      <c r="AD120" s="46">
        <f>'LINEST VARS'!$U$66+'LINEST VARS'!$T$66*($AD$104)+'LINEST VARS'!$S$66*($Z120)+'LINEST VARS'!$R$66*(4)+'LINEST VARS'!$Q$66*(0.5)+'LINEST VARS'!$P$66*(12.73)+'LINEST VARS'!$O$66*($AD$104^2)+'LINEST VARS'!$N$66*($Z120^2)+'LINEST VARS'!$M$66*(4^2)+'LINEST VARS'!$L$66*(0.5^2)+'LINEST VARS'!$K$66*(12.73^2)+'LINEST VARS'!$J$66*($AD$104*$Z120)+'LINEST VARS'!$I$66*($AD$104*4)+'LINEST VARS'!$H$66*($AD$104*0.5)+'LINEST VARS'!$G$66*($AD$104*12.73)+'LINEST VARS'!$F$66*($Z120*4)+'LINEST VARS'!$E$66*($Z120*0.5)+'LINEST VARS'!$D$66*($Z120*12.73)+'LINEST VARS'!$C$66*(4*0.5)+'LINEST VARS'!$B$66*(4*12.73)+'LINEST VARS'!$A$66*(0.5*12.73)</f>
        <v>134.74000000000004</v>
      </c>
      <c r="AE120" s="46">
        <f>'LINEST VARS'!$U$66+'LINEST VARS'!$T$66*($AE$104)+'LINEST VARS'!$S$66*($Z120)+'LINEST VARS'!$R$66*(4)+'LINEST VARS'!$Q$66*(0.5)+'LINEST VARS'!$P$66*(12.73)+'LINEST VARS'!$O$66*($AE$104^2)+'LINEST VARS'!$N$66*($Z120^2)+'LINEST VARS'!$M$66*(4^2)+'LINEST VARS'!$L$66*(0.5^2)+'LINEST VARS'!$K$66*(12.73^2)+'LINEST VARS'!$J$66*($AE$104*$Z120)+'LINEST VARS'!$I$66*($AE$104*4)+'LINEST VARS'!$H$66*($AE$104*0.5)+'LINEST VARS'!$G$66*($AE$104*12.73)+'LINEST VARS'!$F$66*($Z120*4)+'LINEST VARS'!$E$66*($Z120*0.5)+'LINEST VARS'!$D$66*($Z120*12.73)+'LINEST VARS'!$C$66*(4*0.5)+'LINEST VARS'!$B$66*(4*12.73)+'LINEST VARS'!$A$66*(0.5*12.73)</f>
        <v>134.92000000000004</v>
      </c>
      <c r="AF120" s="46">
        <f>'LINEST VARS'!$U$66+'LINEST VARS'!$T$66*($AF$104)+'LINEST VARS'!$S$66*($Z120)+'LINEST VARS'!$R$66*(4)+'LINEST VARS'!$Q$66*(0.5)+'LINEST VARS'!$P$66*(12.73)+'LINEST VARS'!$O$66*($AF$104^2)+'LINEST VARS'!$N$66*($Z120^2)+'LINEST VARS'!$M$66*(4^2)+'LINEST VARS'!$L$66*(0.5^2)+'LINEST VARS'!$K$66*(12.73^2)+'LINEST VARS'!$J$66*($AF$104*$Z120)+'LINEST VARS'!$I$66*($AF$104*4)+'LINEST VARS'!$H$66*($AF$104*0.5)+'LINEST VARS'!$G$66*($AF$104*12.73)+'LINEST VARS'!$F$66*($Z120*4)+'LINEST VARS'!$E$66*($Z120*0.5)+'LINEST VARS'!$D$66*($Z120*12.73)+'LINEST VARS'!$C$66*(4*0.5)+'LINEST VARS'!$B$66*(4*12.73)+'LINEST VARS'!$A$66*(0.5*12.73)</f>
        <v>135.10000000000005</v>
      </c>
      <c r="AG120" s="46">
        <f>'LINEST VARS'!$U$66+'LINEST VARS'!$T$66*($AG$104)+'LINEST VARS'!$S$66*($Z120)+'LINEST VARS'!$R$66*(4)+'LINEST VARS'!$Q$66*(0.5)+'LINEST VARS'!$P$66*(12.73)+'LINEST VARS'!$O$66*($AG$104^2)+'LINEST VARS'!$N$66*($Z120^2)+'LINEST VARS'!$M$66*(4^2)+'LINEST VARS'!$L$66*(0.5^2)+'LINEST VARS'!$K$66*(12.73^2)+'LINEST VARS'!$J$66*($AG$104*$Z120)+'LINEST VARS'!$I$66*($AG$104*4)+'LINEST VARS'!$H$66*($AG$104*0.5)+'LINEST VARS'!$G$66*($AG$104*12.73)+'LINEST VARS'!$F$66*($Z120*4)+'LINEST VARS'!$E$66*($Z120*0.5)+'LINEST VARS'!$D$66*($Z120*12.73)+'LINEST VARS'!$C$66*(4*0.5)+'LINEST VARS'!$B$66*(4*12.73)+'LINEST VARS'!$A$66*(0.5*12.73)</f>
        <v>135.28000000000003</v>
      </c>
      <c r="AH120" s="46">
        <f>'LINEST VARS'!$U$66+'LINEST VARS'!$T$66*($AH$104)+'LINEST VARS'!$S$66*($Z120)+'LINEST VARS'!$R$66*(4)+'LINEST VARS'!$Q$66*(0.5)+'LINEST VARS'!$P$66*(12.73)+'LINEST VARS'!$O$66*($AH$104^2)+'LINEST VARS'!$N$66*($Z120^2)+'LINEST VARS'!$M$66*(4^2)+'LINEST VARS'!$L$66*(0.5^2)+'LINEST VARS'!$K$66*(12.73^2)+'LINEST VARS'!$J$66*($AH$104*$Z120)+'LINEST VARS'!$I$66*($AH$104*4)+'LINEST VARS'!$H$66*($AH$104*0.5)+'LINEST VARS'!$G$66*($AH$104*12.73)+'LINEST VARS'!$F$66*($Z120*4)+'LINEST VARS'!$E$66*($Z120*0.5)+'LINEST VARS'!$D$66*($Z120*12.73)+'LINEST VARS'!$C$66*(4*0.5)+'LINEST VARS'!$B$66*(4*12.73)+'LINEST VARS'!$A$66*(0.5*12.73)</f>
        <v>135.46000000000004</v>
      </c>
      <c r="AI120" s="46">
        <f>'LINEST VARS'!$U$66+'LINEST VARS'!$T$66*($AI$104)+'LINEST VARS'!$S$66*($Z120)+'LINEST VARS'!$R$66*(4)+'LINEST VARS'!$Q$66*(0.5)+'LINEST VARS'!$P$66*(12.73)+'LINEST VARS'!$O$66*($AI$104^2)+'LINEST VARS'!$N$66*($Z120^2)+'LINEST VARS'!$M$66*(4^2)+'LINEST VARS'!$L$66*(0.5^2)+'LINEST VARS'!$K$66*(12.73^2)+'LINEST VARS'!$J$66*($AI$104*$Z120)+'LINEST VARS'!$I$66*($AI$104*4)+'LINEST VARS'!$H$66*($AI$104*0.5)+'LINEST VARS'!$G$66*($AI$104*12.73)+'LINEST VARS'!$F$66*($Z120*4)+'LINEST VARS'!$E$66*($Z120*0.5)+'LINEST VARS'!$D$66*($Z120*12.73)+'LINEST VARS'!$C$66*(4*0.5)+'LINEST VARS'!$B$66*(4*12.73)+'LINEST VARS'!$A$66*(0.5*12.73)</f>
        <v>135.64000000000004</v>
      </c>
      <c r="AJ120" s="46">
        <f>'LINEST VARS'!$U$66+'LINEST VARS'!$T$66*($AJ$104)+'LINEST VARS'!$S$66*($Z120)+'LINEST VARS'!$R$66*(4)+'LINEST VARS'!$Q$66*(0.5)+'LINEST VARS'!$P$66*(12.73)+'LINEST VARS'!$O$66*($AJ$104^2)+'LINEST VARS'!$N$66*($Z120^2)+'LINEST VARS'!$M$66*(4^2)+'LINEST VARS'!$L$66*(0.5^2)+'LINEST VARS'!$K$66*(12.73^2)+'LINEST VARS'!$J$66*($AJ$104*$Z120)+'LINEST VARS'!$I$66*($AJ$104*4)+'LINEST VARS'!$H$66*($AJ$104*0.5)+'LINEST VARS'!$G$66*($AJ$104*12.73)+'LINEST VARS'!$F$66*($Z120*4)+'LINEST VARS'!$E$66*($Z120*0.5)+'LINEST VARS'!$D$66*($Z120*12.73)+'LINEST VARS'!$C$66*(4*0.5)+'LINEST VARS'!$B$66*(4*12.73)+'LINEST VARS'!$A$66*(0.5*12.73)</f>
        <v>135.82000000000005</v>
      </c>
      <c r="AK120" s="46">
        <f>'LINEST VARS'!$U$66+'LINEST VARS'!$T$66*($AK$104)+'LINEST VARS'!$S$66*($Z120)+'LINEST VARS'!$R$66*(4)+'LINEST VARS'!$Q$66*(0.5)+'LINEST VARS'!$P$66*(12.73)+'LINEST VARS'!$O$66*($AK$104^2)+'LINEST VARS'!$N$66*($Z120^2)+'LINEST VARS'!$M$66*(4^2)+'LINEST VARS'!$L$66*(0.5^2)+'LINEST VARS'!$K$66*(12.73^2)+'LINEST VARS'!$J$66*($AK$104*$Z120)+'LINEST VARS'!$I$66*($AK$104*4)+'LINEST VARS'!$H$66*($AK$104*0.5)+'LINEST VARS'!$G$66*($AK$104*12.73)+'LINEST VARS'!$F$66*($Z120*4)+'LINEST VARS'!$E$66*($Z120*0.5)+'LINEST VARS'!$D$66*($Z120*12.73)+'LINEST VARS'!$C$66*(4*0.5)+'LINEST VARS'!$B$66*(4*12.73)+'LINEST VARS'!$A$66*(0.5*12.73)</f>
        <v>136.00000000000003</v>
      </c>
      <c r="AL120" s="46">
        <f>'LINEST VARS'!$U$66+'LINEST VARS'!$T$66*($AL$104)+'LINEST VARS'!$S$66*($Z120)+'LINEST VARS'!$R$66*(4)+'LINEST VARS'!$Q$66*(0.5)+'LINEST VARS'!$P$66*(12.73)+'LINEST VARS'!$O$66*($AL$104^2)+'LINEST VARS'!$N$66*($Z120^2)+'LINEST VARS'!$M$66*(4^2)+'LINEST VARS'!$L$66*(0.5^2)+'LINEST VARS'!$K$66*(12.73^2)+'LINEST VARS'!$J$66*($AL$104*$Z120)+'LINEST VARS'!$I$66*($AL$104*4)+'LINEST VARS'!$H$66*($AL$104*0.5)+'LINEST VARS'!$G$66*($AL$104*12.73)+'LINEST VARS'!$F$66*($Z120*4)+'LINEST VARS'!$E$66*($Z120*0.5)+'LINEST VARS'!$D$66*($Z120*12.73)+'LINEST VARS'!$C$66*(4*0.5)+'LINEST VARS'!$B$66*(4*12.73)+'LINEST VARS'!$A$66*(0.5*12.73)</f>
        <v>136.18000000000004</v>
      </c>
      <c r="AM120" s="46">
        <f>'LINEST VARS'!$U$66+'LINEST VARS'!$T$66*($AM$104)+'LINEST VARS'!$S$66*($Z120)+'LINEST VARS'!$R$66*(4)+'LINEST VARS'!$Q$66*(0.5)+'LINEST VARS'!$P$66*(12.73)+'LINEST VARS'!$O$66*($AM$104^2)+'LINEST VARS'!$N$66*($Z120^2)+'LINEST VARS'!$M$66*(4^2)+'LINEST VARS'!$L$66*(0.5^2)+'LINEST VARS'!$K$66*(12.73^2)+'LINEST VARS'!$J$66*($AM$104*$Z120)+'LINEST VARS'!$I$66*($AM$104*4)+'LINEST VARS'!$H$66*($AM$104*0.5)+'LINEST VARS'!$G$66*($AM$104*12.73)+'LINEST VARS'!$F$66*($Z120*4)+'LINEST VARS'!$E$66*($Z120*0.5)+'LINEST VARS'!$D$66*($Z120*12.73)+'LINEST VARS'!$C$66*(4*0.5)+'LINEST VARS'!$B$66*(4*12.73)+'LINEST VARS'!$A$66*(0.5*12.73)</f>
        <v>136.36000000000004</v>
      </c>
      <c r="AN120" s="46">
        <f>'LINEST VARS'!$U$66+'LINEST VARS'!$T$66*($AN$104)+'LINEST VARS'!$S$66*($Z120)+'LINEST VARS'!$R$66*(4)+'LINEST VARS'!$Q$66*(0.5)+'LINEST VARS'!$P$66*(12.73)+'LINEST VARS'!$O$66*($AN$104^2)+'LINEST VARS'!$N$66*($Z120^2)+'LINEST VARS'!$M$66*(4^2)+'LINEST VARS'!$L$66*(0.5^2)+'LINEST VARS'!$K$66*(12.73^2)+'LINEST VARS'!$J$66*($AN$104*$Z120)+'LINEST VARS'!$I$66*($AN$104*4)+'LINEST VARS'!$H$66*($AN$104*0.5)+'LINEST VARS'!$G$66*($AN$104*12.73)+'LINEST VARS'!$F$66*($Z120*4)+'LINEST VARS'!$E$66*($Z120*0.5)+'LINEST VARS'!$D$66*($Z120*12.73)+'LINEST VARS'!$C$66*(4*0.5)+'LINEST VARS'!$B$66*(4*12.73)+'LINEST VARS'!$A$66*(0.5*12.73)</f>
        <v>136.54000000000005</v>
      </c>
      <c r="AO120" s="46">
        <f>'LINEST VARS'!$U$66+'LINEST VARS'!$T$66*($AO$104)+'LINEST VARS'!$S$66*($Z120)+'LINEST VARS'!$R$66*(4)+'LINEST VARS'!$Q$66*(0.5)+'LINEST VARS'!$P$66*(12.73)+'LINEST VARS'!$O$66*($AO$104^2)+'LINEST VARS'!$N$66*($Z120^2)+'LINEST VARS'!$M$66*(4^2)+'LINEST VARS'!$L$66*(0.5^2)+'LINEST VARS'!$K$66*(12.73^2)+'LINEST VARS'!$J$66*($AO$104*$Z120)+'LINEST VARS'!$I$66*($AO$104*4)+'LINEST VARS'!$H$66*($AO$104*0.5)+'LINEST VARS'!$G$66*($AO$104*12.73)+'LINEST VARS'!$F$66*($Z120*4)+'LINEST VARS'!$E$66*($Z120*0.5)+'LINEST VARS'!$D$66*($Z120*12.73)+'LINEST VARS'!$C$66*(4*0.5)+'LINEST VARS'!$B$66*(4*12.73)+'LINEST VARS'!$A$66*(0.5*12.73)</f>
        <v>136.72000000000003</v>
      </c>
      <c r="AP120" s="46">
        <f>'LINEST VARS'!$U$66+'LINEST VARS'!$T$66*($AP$104)+'LINEST VARS'!$S$66*($Z120)+'LINEST VARS'!$R$66*(4)+'LINEST VARS'!$Q$66*(0.5)+'LINEST VARS'!$P$66*(12.73)+'LINEST VARS'!$O$66*($AP$104^2)+'LINEST VARS'!$N$66*($Z120^2)+'LINEST VARS'!$M$66*(4^2)+'LINEST VARS'!$L$66*(0.5^2)+'LINEST VARS'!$K$66*(12.73^2)+'LINEST VARS'!$J$66*($AP$104*$Z120)+'LINEST VARS'!$I$66*($AP$104*4)+'LINEST VARS'!$H$66*($AP$104*0.5)+'LINEST VARS'!$G$66*($AP$104*12.73)+'LINEST VARS'!$F$66*($Z120*4)+'LINEST VARS'!$E$66*($Z120*0.5)+'LINEST VARS'!$D$66*($Z120*12.73)+'LINEST VARS'!$C$66*(4*0.5)+'LINEST VARS'!$B$66*(4*12.73)+'LINEST VARS'!$A$66*(0.5*12.73)</f>
        <v>136.90000000000003</v>
      </c>
      <c r="AQ120" s="46">
        <f>'LINEST VARS'!$U$66+'LINEST VARS'!$T$66*($AQ$104)+'LINEST VARS'!$S$66*($Z120)+'LINEST VARS'!$R$66*(4)+'LINEST VARS'!$Q$66*(0.5)+'LINEST VARS'!$P$66*(12.73)+'LINEST VARS'!$O$66*($AQ$104^2)+'LINEST VARS'!$N$66*($Z120^2)+'LINEST VARS'!$M$66*(4^2)+'LINEST VARS'!$L$66*(0.5^2)+'LINEST VARS'!$K$66*(12.73^2)+'LINEST VARS'!$J$66*($AQ$104*$Z120)+'LINEST VARS'!$I$66*($AQ$104*4)+'LINEST VARS'!$H$66*($AQ$104*0.5)+'LINEST VARS'!$G$66*($AQ$104*12.73)+'LINEST VARS'!$F$66*($Z120*4)+'LINEST VARS'!$E$66*($Z120*0.5)+'LINEST VARS'!$D$66*($Z120*12.73)+'LINEST VARS'!$C$66*(4*0.5)+'LINEST VARS'!$B$66*(4*12.73)+'LINEST VARS'!$A$66*(0.5*12.73)</f>
        <v>137.08000000000004</v>
      </c>
      <c r="AR120" s="46">
        <f>'LINEST VARS'!$U$66+'LINEST VARS'!$T$66*($AR$104)+'LINEST VARS'!$S$66*($Z120)+'LINEST VARS'!$R$66*(4)+'LINEST VARS'!$Q$66*(0.5)+'LINEST VARS'!$P$66*(12.73)+'LINEST VARS'!$O$66*($AR$104^2)+'LINEST VARS'!$N$66*($Z120^2)+'LINEST VARS'!$M$66*(4^2)+'LINEST VARS'!$L$66*(0.5^2)+'LINEST VARS'!$K$66*(12.73^2)+'LINEST VARS'!$J$66*($AR$104*$Z120)+'LINEST VARS'!$I$66*($AR$104*4)+'LINEST VARS'!$H$66*($AR$104*0.5)+'LINEST VARS'!$G$66*($AR$104*12.73)+'LINEST VARS'!$F$66*($Z120*4)+'LINEST VARS'!$E$66*($Z120*0.5)+'LINEST VARS'!$D$66*($Z120*12.73)+'LINEST VARS'!$C$66*(4*0.5)+'LINEST VARS'!$B$66*(4*12.73)+'LINEST VARS'!$A$66*(0.5*12.73)</f>
        <v>137.26000000000005</v>
      </c>
      <c r="AS120" s="46">
        <f>'LINEST VARS'!$U$66+'LINEST VARS'!$T$66*($AS$104)+'LINEST VARS'!$S$66*($Z120)+'LINEST VARS'!$R$66*(4)+'LINEST VARS'!$Q$66*(0.5)+'LINEST VARS'!$P$66*(12.73)+'LINEST VARS'!$O$66*($AS$104^2)+'LINEST VARS'!$N$66*($Z120^2)+'LINEST VARS'!$M$66*(4^2)+'LINEST VARS'!$L$66*(0.5^2)+'LINEST VARS'!$K$66*(12.73^2)+'LINEST VARS'!$J$66*($AS$104*$Z120)+'LINEST VARS'!$I$66*($AS$104*4)+'LINEST VARS'!$H$66*($AS$104*0.5)+'LINEST VARS'!$G$66*($AS$104*12.73)+'LINEST VARS'!$F$66*($Z120*4)+'LINEST VARS'!$E$66*($Z120*0.5)+'LINEST VARS'!$D$66*($Z120*12.73)+'LINEST VARS'!$C$66*(4*0.5)+'LINEST VARS'!$B$66*(4*12.73)+'LINEST VARS'!$A$66*(0.5*12.73)</f>
        <v>137.44000000000003</v>
      </c>
      <c r="AT120" s="46">
        <f>'LINEST VARS'!$U$66+'LINEST VARS'!$T$66*($AT$104)+'LINEST VARS'!$S$66*($Z120)+'LINEST VARS'!$R$66*(4)+'LINEST VARS'!$Q$66*(0.5)+'LINEST VARS'!$P$66*(12.73)+'LINEST VARS'!$O$66*($AT$104^2)+'LINEST VARS'!$N$66*($Z120^2)+'LINEST VARS'!$M$66*(4^2)+'LINEST VARS'!$L$66*(0.5^2)+'LINEST VARS'!$K$66*(12.73^2)+'LINEST VARS'!$J$66*($AT$104*$Z120)+'LINEST VARS'!$I$66*($AT$104*4)+'LINEST VARS'!$H$66*($AT$104*0.5)+'LINEST VARS'!$G$66*($AT$104*12.73)+'LINEST VARS'!$F$66*($Z120*4)+'LINEST VARS'!$E$66*($Z120*0.5)+'LINEST VARS'!$D$66*($Z120*12.73)+'LINEST VARS'!$C$66*(4*0.5)+'LINEST VARS'!$B$66*(4*12.73)+'LINEST VARS'!$A$66*(0.5*12.73)</f>
        <v>137.62000000000003</v>
      </c>
      <c r="AU120" s="47">
        <f>'LINEST VARS'!$U$66+'LINEST VARS'!$T$66*($AU$104)+'LINEST VARS'!$S$66*($Z120)+'LINEST VARS'!$R$66*(4)+'LINEST VARS'!$Q$66*(0.5)+'LINEST VARS'!$P$66*(12.73)+'LINEST VARS'!$O$66*($AU$104^2)+'LINEST VARS'!$N$66*($Z120^2)+'LINEST VARS'!$M$66*(4^2)+'LINEST VARS'!$L$66*(0.5^2)+'LINEST VARS'!$K$66*(12.73^2)+'LINEST VARS'!$J$66*($AU$104*$Z120)+'LINEST VARS'!$I$66*($AU$104*4)+'LINEST VARS'!$H$66*($AU$104*0.5)+'LINEST VARS'!$G$66*($AU$104*12.73)+'LINEST VARS'!$F$66*($Z120*4)+'LINEST VARS'!$E$66*($Z120*0.5)+'LINEST VARS'!$D$66*($Z120*12.73)+'LINEST VARS'!$C$66*(4*0.5)+'LINEST VARS'!$B$66*(4*12.73)+'LINEST VARS'!$A$66*(0.5*12.73)</f>
        <v>137.80000000000004</v>
      </c>
      <c r="AZ120" s="45">
        <v>0.75</v>
      </c>
      <c r="BA120" s="55">
        <f>'LINEST VARS'!$U$64+'LINEST VARS'!$T$64*(8)+'LINEST VARS'!$S$64*(8)+'LINEST VARS'!$R$64*($BA$104)+'LINEST VARS'!$Q$64*($AZ120)+'LINEST VARS'!$P$64*(12.73)+'LINEST VARS'!$O$64*(8^2)+'LINEST VARS'!$N$64*(8^2)+'LINEST VARS'!$M$64*($BA$104^2)+'LINEST VARS'!$L$64*($AZ120^2)+'LINEST VARS'!$K$64*(12.73^2)+'LINEST VARS'!$J$64*(8*8)+'LINEST VARS'!$I$64*(8*$BA$104)+'LINEST VARS'!$H$64*(8*$AZ120)+'LINEST VARS'!$G$64*(8*12.73)+'LINEST VARS'!$F$64*(8*$BA$104)+'LINEST VARS'!$E$64*(8*$AZ120)+'LINEST VARS'!$D$64*(8*12.73)+'LINEST VARS'!$C$64*($BA$104*$AZ120)+'LINEST VARS'!$B$64*($BA$104*12.73)+'LINEST VARS'!$A$64*($AZ120*12.73)</f>
        <v>148.18999999999988</v>
      </c>
      <c r="BB120" s="55">
        <f>'LINEST VARS'!$U$64+'LINEST VARS'!$T$64*(8)+'LINEST VARS'!$S$64*(8)+'LINEST VARS'!$R$64*($BB$104)+'LINEST VARS'!$Q$64*($AZ120)+'LINEST VARS'!$P$64*(12.73)+'LINEST VARS'!$O$64*(8^2)+'LINEST VARS'!$N$64*(8^2)+'LINEST VARS'!$M$64*($BB$104^2)+'LINEST VARS'!$L$64*($AZ120^2)+'LINEST VARS'!$K$64*(12.73^2)+'LINEST VARS'!$J$64*(8*8)+'LINEST VARS'!$I$64*(8*$BB$104)+'LINEST VARS'!$H$64*(8*$AZ120)+'LINEST VARS'!$G$64*(8*12.73)+'LINEST VARS'!$F$64*(8*$BB$104)+'LINEST VARS'!$E$64*(8*$AZ120)+'LINEST VARS'!$D$64*(8*12.73)+'LINEST VARS'!$C$64*($BB$104*$AZ120)+'LINEST VARS'!$B$64*($BB$104*12.73)+'LINEST VARS'!$A$64*($AZ120*12.73)</f>
        <v>149.78999999999985</v>
      </c>
      <c r="BC120" s="55">
        <f>'LINEST VARS'!$U$64+'LINEST VARS'!$T$64*(8)+'LINEST VARS'!$S$64*(8)+'LINEST VARS'!$R$64*($BC$104)+'LINEST VARS'!$Q$64*($AZ120)+'LINEST VARS'!$P$64*(12.73)+'LINEST VARS'!$O$64*(8^2)+'LINEST VARS'!$N$64*(8^2)+'LINEST VARS'!$M$64*($BC$104^2)+'LINEST VARS'!$L$64*($AZ120^2)+'LINEST VARS'!$K$64*(12.73^2)+'LINEST VARS'!$J$64*(8*8)+'LINEST VARS'!$I$64*(8*$BC$104)+'LINEST VARS'!$H$64*(8*$AZ120)+'LINEST VARS'!$G$64*(8*12.73)+'LINEST VARS'!$F$64*(8*$BC$104)+'LINEST VARS'!$E$64*(8*$AZ120)+'LINEST VARS'!$D$64*(8*12.73)+'LINEST VARS'!$C$64*($BC$104*$AZ120)+'LINEST VARS'!$B$64*($BC$104*12.73)+'LINEST VARS'!$A$64*($AZ120*12.73)</f>
        <v>151.38999999999987</v>
      </c>
      <c r="BD120" s="55">
        <f>'LINEST VARS'!$U$64+'LINEST VARS'!$T$64*(8)+'LINEST VARS'!$S$64*(8)+'LINEST VARS'!$R$64*($BD$104)+'LINEST VARS'!$Q$64*($AZ120)+'LINEST VARS'!$P$64*(12.73)+'LINEST VARS'!$O$64*(8^2)+'LINEST VARS'!$N$64*(8^2)+'LINEST VARS'!$M$64*($BD$104^2)+'LINEST VARS'!$L$64*($AZ120^2)+'LINEST VARS'!$K$64*(12.73^2)+'LINEST VARS'!$J$64*(8*8)+'LINEST VARS'!$I$64*(8*$BD$104)+'LINEST VARS'!$H$64*(8*$AZ120)+'LINEST VARS'!$G$64*(8*12.73)+'LINEST VARS'!$F$64*(8*$BD$104)+'LINEST VARS'!$E$64*(8*$AZ120)+'LINEST VARS'!$D$64*(8*12.73)+'LINEST VARS'!$C$64*($BD$104*$AZ120)+'LINEST VARS'!$B$64*($BD$104*12.73)+'LINEST VARS'!$A$64*($AZ120*12.73)</f>
        <v>152.98999999999987</v>
      </c>
      <c r="BE120" s="55">
        <f>'LINEST VARS'!$U$64+'LINEST VARS'!$T$64*(8)+'LINEST VARS'!$S$64*(8)+'LINEST VARS'!$R$64*($BE$104)+'LINEST VARS'!$Q$64*($AZ120)+'LINEST VARS'!$P$64*(12.73)+'LINEST VARS'!$O$64*(8^2)+'LINEST VARS'!$N$64*(8^2)+'LINEST VARS'!$M$64*($BE$104^2)+'LINEST VARS'!$L$64*($AZ120^2)+'LINEST VARS'!$K$64*(12.73^2)+'LINEST VARS'!$J$64*(8*8)+'LINEST VARS'!$I$64*(8*$BE$104)+'LINEST VARS'!$H$64*(8*$AZ120)+'LINEST VARS'!$G$64*(8*12.73)+'LINEST VARS'!$F$64*(8*$BE$104)+'LINEST VARS'!$E$64*(8*$AZ120)+'LINEST VARS'!$D$64*(8*12.73)+'LINEST VARS'!$C$64*($BE$104*$AZ120)+'LINEST VARS'!$B$64*($BE$104*12.73)+'LINEST VARS'!$A$64*($AZ120*12.73)</f>
        <v>154.58999999999986</v>
      </c>
      <c r="BF120" s="55">
        <f>'LINEST VARS'!$U$64+'LINEST VARS'!$T$64*(8)+'LINEST VARS'!$S$64*(8)+'LINEST VARS'!$R$64*($BF$104)+'LINEST VARS'!$Q$64*($AZ120)+'LINEST VARS'!$P$64*(12.73)+'LINEST VARS'!$O$64*(8^2)+'LINEST VARS'!$N$64*(8^2)+'LINEST VARS'!$M$64*($BF$104^2)+'LINEST VARS'!$L$64*($AZ120^2)+'LINEST VARS'!$K$64*(12.73^2)+'LINEST VARS'!$J$64*(8*8)+'LINEST VARS'!$I$64*(8*$BF$104)+'LINEST VARS'!$H$64*(8*$AZ120)+'LINEST VARS'!$G$64*(8*12.73)+'LINEST VARS'!$F$64*(8*$BF$104)+'LINEST VARS'!$E$64*(8*$AZ120)+'LINEST VARS'!$D$64*(8*12.73)+'LINEST VARS'!$C$64*($BF$104*$AZ120)+'LINEST VARS'!$B$64*($BF$104*12.73)+'LINEST VARS'!$A$64*($AZ120*12.73)</f>
        <v>156.18999999999988</v>
      </c>
      <c r="BG120" s="55">
        <f>'LINEST VARS'!$U$64+'LINEST VARS'!$T$64*(8)+'LINEST VARS'!$S$64*(8)+'LINEST VARS'!$R$64*($BG$104)+'LINEST VARS'!$Q$64*($AZ120)+'LINEST VARS'!$P$64*(12.73)+'LINEST VARS'!$O$64*(8^2)+'LINEST VARS'!$N$64*(8^2)+'LINEST VARS'!$M$64*($BG$104^2)+'LINEST VARS'!$L$64*($AZ120^2)+'LINEST VARS'!$K$64*(12.73^2)+'LINEST VARS'!$J$64*(8*8)+'LINEST VARS'!$I$64*(8*$BG$104)+'LINEST VARS'!$H$64*(8*$AZ120)+'LINEST VARS'!$G$64*(8*12.73)+'LINEST VARS'!$F$64*(8*$BG$104)+'LINEST VARS'!$E$64*(8*$AZ120)+'LINEST VARS'!$D$64*(8*12.73)+'LINEST VARS'!$C$64*($BG$104*$AZ120)+'LINEST VARS'!$B$64*($BG$104*12.73)+'LINEST VARS'!$A$64*($AZ120*12.73)</f>
        <v>157.78999999999985</v>
      </c>
      <c r="BH120" s="55">
        <f>'LINEST VARS'!$U$64+'LINEST VARS'!$T$64*(8)+'LINEST VARS'!$S$64*(8)+'LINEST VARS'!$R$64*($BH$104)+'LINEST VARS'!$Q$64*($AZ120)+'LINEST VARS'!$P$64*(12.73)+'LINEST VARS'!$O$64*(8^2)+'LINEST VARS'!$N$64*(8^2)+'LINEST VARS'!$M$64*($BH$104^2)+'LINEST VARS'!$L$64*($AZ120^2)+'LINEST VARS'!$K$64*(12.73^2)+'LINEST VARS'!$J$64*(8*8)+'LINEST VARS'!$I$64*(8*$BH$104)+'LINEST VARS'!$H$64*(8*$AZ120)+'LINEST VARS'!$G$64*(8*12.73)+'LINEST VARS'!$F$64*(8*$BH$104)+'LINEST VARS'!$E$64*(8*$AZ120)+'LINEST VARS'!$D$64*(8*12.73)+'LINEST VARS'!$C$64*($BH$104*$AZ120)+'LINEST VARS'!$B$64*($BH$104*12.73)+'LINEST VARS'!$A$64*($AZ120*12.73)</f>
        <v>159.38999999999987</v>
      </c>
      <c r="BI120" s="55">
        <f>'LINEST VARS'!$U$64+'LINEST VARS'!$T$64*(8)+'LINEST VARS'!$S$64*(8)+'LINEST VARS'!$R$64*($BI$104)+'LINEST VARS'!$Q$64*($AZ120)+'LINEST VARS'!$P$64*(12.73)+'LINEST VARS'!$O$64*(8^2)+'LINEST VARS'!$N$64*(8^2)+'LINEST VARS'!$M$64*($BI$104^2)+'LINEST VARS'!$L$64*($AZ120^2)+'LINEST VARS'!$K$64*(12.73^2)+'LINEST VARS'!$J$64*(8*8)+'LINEST VARS'!$I$64*(8*$BI$104)+'LINEST VARS'!$H$64*(8*$AZ120)+'LINEST VARS'!$G$64*(8*12.73)+'LINEST VARS'!$F$64*(8*$BI$104)+'LINEST VARS'!$E$64*(8*$AZ120)+'LINEST VARS'!$D$64*(8*12.73)+'LINEST VARS'!$C$64*($BI$104*$AZ120)+'LINEST VARS'!$B$64*($BI$104*12.73)+'LINEST VARS'!$A$64*($AZ120*12.73)</f>
        <v>160.9899999999999</v>
      </c>
      <c r="BJ120" s="55">
        <f>'LINEST VARS'!$U$64+'LINEST VARS'!$T$64*(8)+'LINEST VARS'!$S$64*(8)+'LINEST VARS'!$R$64*($BJ$104)+'LINEST VARS'!$Q$64*($AZ120)+'LINEST VARS'!$P$64*(12.73)+'LINEST VARS'!$O$64*(8^2)+'LINEST VARS'!$N$64*(8^2)+'LINEST VARS'!$M$64*($BJ$104^2)+'LINEST VARS'!$L$64*($AZ120^2)+'LINEST VARS'!$K$64*(12.73^2)+'LINEST VARS'!$J$64*(8*8)+'LINEST VARS'!$I$64*(8*$BJ$104)+'LINEST VARS'!$H$64*(8*$AZ120)+'LINEST VARS'!$G$64*(8*12.73)+'LINEST VARS'!$F$64*(8*$BJ$104)+'LINEST VARS'!$E$64*(8*$AZ120)+'LINEST VARS'!$D$64*(8*12.73)+'LINEST VARS'!$C$64*($BJ$104*$AZ120)+'LINEST VARS'!$B$64*($BJ$104*12.73)+'LINEST VARS'!$A$64*($AZ120*12.73)</f>
        <v>162.58999999999986</v>
      </c>
      <c r="BK120" s="55">
        <f>'LINEST VARS'!$U$64+'LINEST VARS'!$T$64*(8)+'LINEST VARS'!$S$64*(8)+'LINEST VARS'!$R$64*($BK$104)+'LINEST VARS'!$Q$64*($AZ120)+'LINEST VARS'!$P$64*(12.73)+'LINEST VARS'!$O$64*(8^2)+'LINEST VARS'!$N$64*(8^2)+'LINEST VARS'!$M$64*($BK$104^2)+'LINEST VARS'!$L$64*($AZ120^2)+'LINEST VARS'!$K$64*(12.73^2)+'LINEST VARS'!$J$64*(8*8)+'LINEST VARS'!$I$64*(8*$BK$104)+'LINEST VARS'!$H$64*(8*$AZ120)+'LINEST VARS'!$G$64*(8*12.73)+'LINEST VARS'!$F$64*(8*$BK$104)+'LINEST VARS'!$E$64*(8*$AZ120)+'LINEST VARS'!$D$64*(8*12.73)+'LINEST VARS'!$C$64*($BK$104*$AZ120)+'LINEST VARS'!$B$64*($BK$104*12.73)+'LINEST VARS'!$A$64*($AZ120*12.73)</f>
        <v>164.18999999999988</v>
      </c>
      <c r="BL120" s="55">
        <f>'LINEST VARS'!$U$64+'LINEST VARS'!$T$64*(8)+'LINEST VARS'!$S$64*(8)+'LINEST VARS'!$R$64*($BL$104)+'LINEST VARS'!$Q$64*($AZ120)+'LINEST VARS'!$P$64*(12.73)+'LINEST VARS'!$O$64*(8^2)+'LINEST VARS'!$N$64*(8^2)+'LINEST VARS'!$M$64*($BL$104^2)+'LINEST VARS'!$L$64*($AZ120^2)+'LINEST VARS'!$K$64*(12.73^2)+'LINEST VARS'!$J$64*(8*8)+'LINEST VARS'!$I$64*(8*$BL$104)+'LINEST VARS'!$H$64*(8*$AZ120)+'LINEST VARS'!$G$64*(8*12.73)+'LINEST VARS'!$F$64*(8*$BL$104)+'LINEST VARS'!$E$64*(8*$AZ120)+'LINEST VARS'!$D$64*(8*12.73)+'LINEST VARS'!$C$64*($BL$104*$AZ120)+'LINEST VARS'!$B$64*($BL$104*12.73)+'LINEST VARS'!$A$64*($AZ120*12.73)</f>
        <v>165.78999999999988</v>
      </c>
      <c r="BM120" s="55">
        <f>'LINEST VARS'!$U$64+'LINEST VARS'!$T$64*(8)+'LINEST VARS'!$S$64*(8)+'LINEST VARS'!$R$64*($BM$104)+'LINEST VARS'!$Q$64*($AZ120)+'LINEST VARS'!$P$64*(12.73)+'LINEST VARS'!$O$64*(8^2)+'LINEST VARS'!$N$64*(8^2)+'LINEST VARS'!$M$64*($BM$104^2)+'LINEST VARS'!$L$64*($AZ120^2)+'LINEST VARS'!$K$64*(12.73^2)+'LINEST VARS'!$J$64*(8*8)+'LINEST VARS'!$I$64*(8*$BM$104)+'LINEST VARS'!$H$64*(8*$AZ120)+'LINEST VARS'!$G$64*(8*12.73)+'LINEST VARS'!$F$64*(8*$BM$104)+'LINEST VARS'!$E$64*(8*$AZ120)+'LINEST VARS'!$D$64*(8*12.73)+'LINEST VARS'!$C$64*($BM$104*$AZ120)+'LINEST VARS'!$B$64*($BM$104*12.73)+'LINEST VARS'!$A$64*($AZ120*12.73)</f>
        <v>167.38999999999987</v>
      </c>
      <c r="BN120" s="55">
        <f>'LINEST VARS'!$U$64+'LINEST VARS'!$T$64*(8)+'LINEST VARS'!$S$64*(8)+'LINEST VARS'!$R$64*($BN$104)+'LINEST VARS'!$Q$64*($AZ120)+'LINEST VARS'!$P$64*(12.73)+'LINEST VARS'!$O$64*(8^2)+'LINEST VARS'!$N$64*(8^2)+'LINEST VARS'!$M$64*($BN$104^2)+'LINEST VARS'!$L$64*($AZ120^2)+'LINEST VARS'!$K$64*(12.73^2)+'LINEST VARS'!$J$64*(8*8)+'LINEST VARS'!$I$64*(8*$BN$104)+'LINEST VARS'!$H$64*(8*$AZ120)+'LINEST VARS'!$G$64*(8*12.73)+'LINEST VARS'!$F$64*(8*$BN$104)+'LINEST VARS'!$E$64*(8*$AZ120)+'LINEST VARS'!$D$64*(8*12.73)+'LINEST VARS'!$C$64*($BN$104*$AZ120)+'LINEST VARS'!$B$64*($BN$104*12.73)+'LINEST VARS'!$A$64*($AZ120*12.73)</f>
        <v>168.9899999999999</v>
      </c>
      <c r="BO120" s="55">
        <f>'LINEST VARS'!$U$64+'LINEST VARS'!$T$64*(8)+'LINEST VARS'!$S$64*(8)+'LINEST VARS'!$R$64*($BO$104)+'LINEST VARS'!$Q$64*($AZ120)+'LINEST VARS'!$P$64*(12.73)+'LINEST VARS'!$O$64*(8^2)+'LINEST VARS'!$N$64*(8^2)+'LINEST VARS'!$M$64*($BO$104^2)+'LINEST VARS'!$L$64*($AZ120^2)+'LINEST VARS'!$K$64*(12.73^2)+'LINEST VARS'!$J$64*(8*8)+'LINEST VARS'!$I$64*(8*$BO$104)+'LINEST VARS'!$H$64*(8*$AZ120)+'LINEST VARS'!$G$64*(8*12.73)+'LINEST VARS'!$F$64*(8*$BO$104)+'LINEST VARS'!$E$64*(8*$AZ120)+'LINEST VARS'!$D$64*(8*12.73)+'LINEST VARS'!$C$64*($BO$104*$AZ120)+'LINEST VARS'!$B$64*($BO$104*12.73)+'LINEST VARS'!$A$64*($AZ120*12.73)</f>
        <v>170.58999999999983</v>
      </c>
      <c r="BP120" s="55">
        <f>'LINEST VARS'!$U$64+'LINEST VARS'!$T$64*(8)+'LINEST VARS'!$S$64*(8)+'LINEST VARS'!$R$64*($BP$104)+'LINEST VARS'!$Q$64*($AZ120)+'LINEST VARS'!$P$64*(12.73)+'LINEST VARS'!$O$64*(8^2)+'LINEST VARS'!$N$64*(8^2)+'LINEST VARS'!$M$64*($BP$104^2)+'LINEST VARS'!$L$64*($AZ120^2)+'LINEST VARS'!$K$64*(12.73^2)+'LINEST VARS'!$J$64*(8*8)+'LINEST VARS'!$I$64*(8*$BP$104)+'LINEST VARS'!$H$64*(8*$AZ120)+'LINEST VARS'!$G$64*(8*12.73)+'LINEST VARS'!$F$64*(8*$BP$104)+'LINEST VARS'!$E$64*(8*$AZ120)+'LINEST VARS'!$D$64*(8*12.73)+'LINEST VARS'!$C$64*($BP$104*$AZ120)+'LINEST VARS'!$B$64*($BP$104*12.73)+'LINEST VARS'!$A$64*($AZ120*12.73)</f>
        <v>172.18999999999986</v>
      </c>
      <c r="BQ120" s="55">
        <f>'LINEST VARS'!$U$64+'LINEST VARS'!$T$64*(8)+'LINEST VARS'!$S$64*(8)+'LINEST VARS'!$R$64*($BQ$104)+'LINEST VARS'!$Q$64*($AZ120)+'LINEST VARS'!$P$64*(12.73)+'LINEST VARS'!$O$64*(8^2)+'LINEST VARS'!$N$64*(8^2)+'LINEST VARS'!$M$64*($BQ$104^2)+'LINEST VARS'!$L$64*($AZ120^2)+'LINEST VARS'!$K$64*(12.73^2)+'LINEST VARS'!$J$64*(8*8)+'LINEST VARS'!$I$64*(8*$BQ$104)+'LINEST VARS'!$H$64*(8*$AZ120)+'LINEST VARS'!$G$64*(8*12.73)+'LINEST VARS'!$F$64*(8*$BQ$104)+'LINEST VARS'!$E$64*(8*$AZ120)+'LINEST VARS'!$D$64*(8*12.73)+'LINEST VARS'!$C$64*($BQ$104*$AZ120)+'LINEST VARS'!$B$64*($BQ$104*12.73)+'LINEST VARS'!$A$64*($AZ120*12.73)</f>
        <v>173.78999999999988</v>
      </c>
      <c r="BR120" s="55">
        <f>'LINEST VARS'!$U$64+'LINEST VARS'!$T$64*(8)+'LINEST VARS'!$S$64*(8)+'LINEST VARS'!$R$64*($BR$104)+'LINEST VARS'!$Q$64*($AZ120)+'LINEST VARS'!$P$64*(12.73)+'LINEST VARS'!$O$64*(8^2)+'LINEST VARS'!$N$64*(8^2)+'LINEST VARS'!$M$64*($BR$104^2)+'LINEST VARS'!$L$64*($AZ120^2)+'LINEST VARS'!$K$64*(12.73^2)+'LINEST VARS'!$J$64*(8*8)+'LINEST VARS'!$I$64*(8*$BR$104)+'LINEST VARS'!$H$64*(8*$AZ120)+'LINEST VARS'!$G$64*(8*12.73)+'LINEST VARS'!$F$64*(8*$BR$104)+'LINEST VARS'!$E$64*(8*$AZ120)+'LINEST VARS'!$D$64*(8*12.73)+'LINEST VARS'!$C$64*($BR$104*$AZ120)+'LINEST VARS'!$B$64*($BR$104*12.73)+'LINEST VARS'!$A$64*($AZ120*12.73)</f>
        <v>175.38999999999984</v>
      </c>
      <c r="BS120" s="55">
        <f>'LINEST VARS'!$U$64+'LINEST VARS'!$T$64*(8)+'LINEST VARS'!$S$64*(8)+'LINEST VARS'!$R$64*($BS$104)+'LINEST VARS'!$Q$64*($AZ120)+'LINEST VARS'!$P$64*(12.73)+'LINEST VARS'!$O$64*(8^2)+'LINEST VARS'!$N$64*(8^2)+'LINEST VARS'!$M$64*($BS$104^2)+'LINEST VARS'!$L$64*($AZ120^2)+'LINEST VARS'!$K$64*(12.73^2)+'LINEST VARS'!$J$64*(8*8)+'LINEST VARS'!$I$64*(8*$BS$104)+'LINEST VARS'!$H$64*(8*$AZ120)+'LINEST VARS'!$G$64*(8*12.73)+'LINEST VARS'!$F$64*(8*$BS$104)+'LINEST VARS'!$E$64*(8*$AZ120)+'LINEST VARS'!$D$64*(8*12.73)+'LINEST VARS'!$C$64*($BS$104*$AZ120)+'LINEST VARS'!$B$64*($BS$104*12.73)+'LINEST VARS'!$A$64*($AZ120*12.73)</f>
        <v>176.98999999999987</v>
      </c>
      <c r="BT120" s="55">
        <f>'LINEST VARS'!$U$64+'LINEST VARS'!$T$64*(8)+'LINEST VARS'!$S$64*(8)+'LINEST VARS'!$R$64*($BT$104)+'LINEST VARS'!$Q$64*($AZ120)+'LINEST VARS'!$P$64*(12.73)+'LINEST VARS'!$O$64*(8^2)+'LINEST VARS'!$N$64*(8^2)+'LINEST VARS'!$M$64*($BT$104^2)+'LINEST VARS'!$L$64*($AZ120^2)+'LINEST VARS'!$K$64*(12.73^2)+'LINEST VARS'!$J$64*(8*8)+'LINEST VARS'!$I$64*(8*$BT$104)+'LINEST VARS'!$H$64*(8*$AZ120)+'LINEST VARS'!$G$64*(8*12.73)+'LINEST VARS'!$F$64*(8*$BT$104)+'LINEST VARS'!$E$64*(8*$AZ120)+'LINEST VARS'!$D$64*(8*12.73)+'LINEST VARS'!$C$64*($BT$104*$AZ120)+'LINEST VARS'!$B$64*($BT$104*12.73)+'LINEST VARS'!$A$64*($AZ120*12.73)</f>
        <v>178.58999999999983</v>
      </c>
      <c r="BU120" s="56">
        <f>'LINEST VARS'!$U$64+'LINEST VARS'!$T$64*(8)+'LINEST VARS'!$S$64*(8)+'LINEST VARS'!$R$64*($BU$104)+'LINEST VARS'!$Q$64*($AZ120)+'LINEST VARS'!$P$64*(12.73)+'LINEST VARS'!$O$64*(8^2)+'LINEST VARS'!$N$64*(8^2)+'LINEST VARS'!$M$64*($BU$104^2)+'LINEST VARS'!$L$64*($AZ120^2)+'LINEST VARS'!$K$64*(12.73^2)+'LINEST VARS'!$J$64*(8*8)+'LINEST VARS'!$I$64*(8*$BU$104)+'LINEST VARS'!$H$64*(8*$AZ120)+'LINEST VARS'!$G$64*(8*12.73)+'LINEST VARS'!$F$64*(8*$BU$104)+'LINEST VARS'!$E$64*(8*$AZ120)+'LINEST VARS'!$D$64*(8*12.73)+'LINEST VARS'!$C$64*($BU$104*$AZ120)+'LINEST VARS'!$B$64*($BU$104*12.73)+'LINEST VARS'!$A$64*($AZ120*12.73)</f>
        <v>180.18999999999986</v>
      </c>
      <c r="BX120" s="45">
        <v>0.75</v>
      </c>
      <c r="BY120" s="46">
        <f>'LINEST VARS'!$U$66+'LINEST VARS'!$T$66*(8)+'LINEST VARS'!$S$66*(8)+'LINEST VARS'!$R$66*($BY$104)+'LINEST VARS'!$Q$66*($BX120)+'LINEST VARS'!$P$66*(12.73)+'LINEST VARS'!$O$66*(8^2)+'LINEST VARS'!$N$66*(8^2)+'LINEST VARS'!$M$66*($BY$104^2)+'LINEST VARS'!$L$66*($BX120^2)+'LINEST VARS'!$K$66*(12.73^2)+'LINEST VARS'!$J$66*(8*8)+'LINEST VARS'!$I$66*(8*$BY$104)+'LINEST VARS'!$H$66*(8*$BX120)+'LINEST VARS'!$G$66*(8*12.73)+'LINEST VARS'!$F$66*(8*$BY$104)+'LINEST VARS'!$E$66*(8*$BX120)+'LINEST VARS'!$D$66*(8*12.73)+'LINEST VARS'!$C$66*($BY$104*$BX120)+'LINEST VARS'!$B$66*($BY$104*12.73)+'LINEST VARS'!$A$66*($BX120*12.73)</f>
        <v>144.00000000000006</v>
      </c>
      <c r="BZ120" s="46">
        <f>'LINEST VARS'!$U$66+'LINEST VARS'!$T$66*(8)+'LINEST VARS'!$S$66*(8)+'LINEST VARS'!$R$66*($BZ$104)+'LINEST VARS'!$Q$66*($BX120)+'LINEST VARS'!$P$66*(12.73)+'LINEST VARS'!$O$66*(8^2)+'LINEST VARS'!$N$66*(8^2)+'LINEST VARS'!$M$66*($BZ$104^2)+'LINEST VARS'!$L$66*($BX120^2)+'LINEST VARS'!$K$66*(12.73^2)+'LINEST VARS'!$J$66*(8*8)+'LINEST VARS'!$I$66*(8*$BZ$104)+'LINEST VARS'!$H$66*(8*$BX120)+'LINEST VARS'!$G$66*(8*12.73)+'LINEST VARS'!$F$66*(8*$BZ$104)+'LINEST VARS'!$E$66*(8*$BX120)+'LINEST VARS'!$D$66*(8*12.73)+'LINEST VARS'!$C$66*($BZ$104*$BX120)+'LINEST VARS'!$B$66*($BZ$104*12.73)+'LINEST VARS'!$A$66*($BX120*12.73)</f>
        <v>143.20000000000007</v>
      </c>
      <c r="CA120" s="46">
        <f>'LINEST VARS'!$U$66+'LINEST VARS'!$T$66*(8)+'LINEST VARS'!$S$66*(8)+'LINEST VARS'!$R$66*($CA$104)+'LINEST VARS'!$Q$66*($BX120)+'LINEST VARS'!$P$66*(12.73)+'LINEST VARS'!$O$66*(8^2)+'LINEST VARS'!$N$66*(8^2)+'LINEST VARS'!$M$66*($CA$104^2)+'LINEST VARS'!$L$66*($BX120^2)+'LINEST VARS'!$K$66*(12.73^2)+'LINEST VARS'!$J$66*(8*8)+'LINEST VARS'!$I$66*(8*$CA$104)+'LINEST VARS'!$H$66*(8*$BX120)+'LINEST VARS'!$G$66*(8*12.73)+'LINEST VARS'!$F$66*(8*$CA$104)+'LINEST VARS'!$E$66*(8*$BX120)+'LINEST VARS'!$D$66*(8*12.73)+'LINEST VARS'!$C$66*($CA$104*$BX120)+'LINEST VARS'!$B$66*($CA$104*12.73)+'LINEST VARS'!$A$66*($BX120*12.73)</f>
        <v>142.40000000000006</v>
      </c>
      <c r="CB120" s="46">
        <f>'LINEST VARS'!$U$66+'LINEST VARS'!$T$66*(8)+'LINEST VARS'!$S$66*(8)+'LINEST VARS'!$R$66*($CB$104)+'LINEST VARS'!$Q$66*($BX120)+'LINEST VARS'!$P$66*(12.73)+'LINEST VARS'!$O$66*(8^2)+'LINEST VARS'!$N$66*(8^2)+'LINEST VARS'!$M$66*($CB$104^2)+'LINEST VARS'!$L$66*($BX120^2)+'LINEST VARS'!$K$66*(12.73^2)+'LINEST VARS'!$J$66*(8*8)+'LINEST VARS'!$I$66*(8*$CB$104)+'LINEST VARS'!$H$66*(8*$BX120)+'LINEST VARS'!$G$66*(8*12.73)+'LINEST VARS'!$F$66*(8*$CB$104)+'LINEST VARS'!$E$66*(8*$BX120)+'LINEST VARS'!$D$66*(8*12.73)+'LINEST VARS'!$C$66*($CB$104*$BX120)+'LINEST VARS'!$B$66*($CB$104*12.73)+'LINEST VARS'!$A$66*($BX120*12.73)</f>
        <v>141.60000000000008</v>
      </c>
      <c r="CC120" s="46">
        <f>'LINEST VARS'!$U$66+'LINEST VARS'!$T$66*(8)+'LINEST VARS'!$S$66*(8)+'LINEST VARS'!$R$66*($CC$104)+'LINEST VARS'!$Q$66*($BX120)+'LINEST VARS'!$P$66*(12.73)+'LINEST VARS'!$O$66*(8^2)+'LINEST VARS'!$N$66*(8^2)+'LINEST VARS'!$M$66*($CC$104^2)+'LINEST VARS'!$L$66*($BX120^2)+'LINEST VARS'!$K$66*(12.73^2)+'LINEST VARS'!$J$66*(8*8)+'LINEST VARS'!$I$66*(8*$CC$104)+'LINEST VARS'!$H$66*(8*$BX120)+'LINEST VARS'!$G$66*(8*12.73)+'LINEST VARS'!$F$66*(8*$CC$104)+'LINEST VARS'!$E$66*(8*$BX120)+'LINEST VARS'!$D$66*(8*12.73)+'LINEST VARS'!$C$66*($CC$104*$BX120)+'LINEST VARS'!$B$66*($CC$104*12.73)+'LINEST VARS'!$A$66*($BX120*12.73)</f>
        <v>140.80000000000007</v>
      </c>
      <c r="CD120" s="46">
        <f>'LINEST VARS'!$U$66+'LINEST VARS'!$T$66*(8)+'LINEST VARS'!$S$66*(8)+'LINEST VARS'!$R$66*($CD$104)+'LINEST VARS'!$Q$66*($BX120)+'LINEST VARS'!$P$66*(12.73)+'LINEST VARS'!$O$66*(8^2)+'LINEST VARS'!$N$66*(8^2)+'LINEST VARS'!$M$66*($CD$104^2)+'LINEST VARS'!$L$66*($BX120^2)+'LINEST VARS'!$K$66*(12.73^2)+'LINEST VARS'!$J$66*(8*8)+'LINEST VARS'!$I$66*(8*$CD$104)+'LINEST VARS'!$H$66*(8*$BX120)+'LINEST VARS'!$G$66*(8*12.73)+'LINEST VARS'!$F$66*(8*$CD$104)+'LINEST VARS'!$E$66*(8*$BX120)+'LINEST VARS'!$D$66*(8*12.73)+'LINEST VARS'!$C$66*($CD$104*$BX120)+'LINEST VARS'!$B$66*($CD$104*12.73)+'LINEST VARS'!$A$66*($BX120*12.73)</f>
        <v>140.00000000000009</v>
      </c>
      <c r="CE120" s="46">
        <f>'LINEST VARS'!$U$66+'LINEST VARS'!$T$66*(8)+'LINEST VARS'!$S$66*(8)+'LINEST VARS'!$R$66*($CE$104)+'LINEST VARS'!$Q$66*($BX120)+'LINEST VARS'!$P$66*(12.73)+'LINEST VARS'!$O$66*(8^2)+'LINEST VARS'!$N$66*(8^2)+'LINEST VARS'!$M$66*($CE$104^2)+'LINEST VARS'!$L$66*($BX120^2)+'LINEST VARS'!$K$66*(12.73^2)+'LINEST VARS'!$J$66*(8*8)+'LINEST VARS'!$I$66*(8*$CE$104)+'LINEST VARS'!$H$66*(8*$BX120)+'LINEST VARS'!$G$66*(8*12.73)+'LINEST VARS'!$F$66*(8*$CE$104)+'LINEST VARS'!$E$66*(8*$BX120)+'LINEST VARS'!$D$66*(8*12.73)+'LINEST VARS'!$C$66*($CE$104*$BX120)+'LINEST VARS'!$B$66*($CE$104*12.73)+'LINEST VARS'!$A$66*($BX120*12.73)</f>
        <v>139.20000000000007</v>
      </c>
      <c r="CF120" s="46">
        <f>'LINEST VARS'!$U$66+'LINEST VARS'!$T$66*(8)+'LINEST VARS'!$S$66*(8)+'LINEST VARS'!$R$66*($CF$104)+'LINEST VARS'!$Q$66*($BX120)+'LINEST VARS'!$P$66*(12.73)+'LINEST VARS'!$O$66*(8^2)+'LINEST VARS'!$N$66*(8^2)+'LINEST VARS'!$M$66*($CF$104^2)+'LINEST VARS'!$L$66*($BX120^2)+'LINEST VARS'!$K$66*(12.73^2)+'LINEST VARS'!$J$66*(8*8)+'LINEST VARS'!$I$66*(8*$CF$104)+'LINEST VARS'!$H$66*(8*$BX120)+'LINEST VARS'!$G$66*(8*12.73)+'LINEST VARS'!$F$66*(8*$CF$104)+'LINEST VARS'!$E$66*(8*$BX120)+'LINEST VARS'!$D$66*(8*12.73)+'LINEST VARS'!$C$66*($CF$104*$BX120)+'LINEST VARS'!$B$66*($CF$104*12.73)+'LINEST VARS'!$A$66*($BX120*12.73)</f>
        <v>138.40000000000009</v>
      </c>
      <c r="CG120" s="46">
        <f>'LINEST VARS'!$U$66+'LINEST VARS'!$T$66*(8)+'LINEST VARS'!$S$66*(8)+'LINEST VARS'!$R$66*($CG$104)+'LINEST VARS'!$Q$66*($BX120)+'LINEST VARS'!$P$66*(12.73)+'LINEST VARS'!$O$66*(8^2)+'LINEST VARS'!$N$66*(8^2)+'LINEST VARS'!$M$66*($CG$104^2)+'LINEST VARS'!$L$66*($BX120^2)+'LINEST VARS'!$K$66*(12.73^2)+'LINEST VARS'!$J$66*(8*8)+'LINEST VARS'!$I$66*(8*$CG$104)+'LINEST VARS'!$H$66*(8*$BX120)+'LINEST VARS'!$G$66*(8*12.73)+'LINEST VARS'!$F$66*(8*$CG$104)+'LINEST VARS'!$E$66*(8*$BX120)+'LINEST VARS'!$D$66*(8*12.73)+'LINEST VARS'!$C$66*($CG$104*$BX120)+'LINEST VARS'!$B$66*($CG$104*12.73)+'LINEST VARS'!$A$66*($BX120*12.73)</f>
        <v>137.60000000000008</v>
      </c>
      <c r="CH120" s="46">
        <f>'LINEST VARS'!$U$66+'LINEST VARS'!$T$66*(8)+'LINEST VARS'!$S$66*(8)+'LINEST VARS'!$R$66*($CH$104)+'LINEST VARS'!$Q$66*($BX120)+'LINEST VARS'!$P$66*(12.73)+'LINEST VARS'!$O$66*(8^2)+'LINEST VARS'!$N$66*(8^2)+'LINEST VARS'!$M$66*($CH$104^2)+'LINEST VARS'!$L$66*($BX120^2)+'LINEST VARS'!$K$66*(12.73^2)+'LINEST VARS'!$J$66*(8*8)+'LINEST VARS'!$I$66*(8*$CH$104)+'LINEST VARS'!$H$66*(8*$BX120)+'LINEST VARS'!$G$66*(8*12.73)+'LINEST VARS'!$F$66*(8*$CH$104)+'LINEST VARS'!$E$66*(8*$BX120)+'LINEST VARS'!$D$66*(8*12.73)+'LINEST VARS'!$C$66*($CH$104*$BX120)+'LINEST VARS'!$B$66*($CH$104*12.73)+'LINEST VARS'!$A$66*($BX120*12.73)</f>
        <v>136.80000000000007</v>
      </c>
      <c r="CI120" s="46">
        <f>'LINEST VARS'!$U$66+'LINEST VARS'!$T$66*(8)+'LINEST VARS'!$S$66*(8)+'LINEST VARS'!$R$66*($CI$104)+'LINEST VARS'!$Q$66*($BX120)+'LINEST VARS'!$P$66*(12.73)+'LINEST VARS'!$O$66*(8^2)+'LINEST VARS'!$N$66*(8^2)+'LINEST VARS'!$M$66*($CI$104^2)+'LINEST VARS'!$L$66*($BX120^2)+'LINEST VARS'!$K$66*(12.73^2)+'LINEST VARS'!$J$66*(8*8)+'LINEST VARS'!$I$66*(8*$CI$104)+'LINEST VARS'!$H$66*(8*$BX120)+'LINEST VARS'!$G$66*(8*12.73)+'LINEST VARS'!$F$66*(8*$CI$104)+'LINEST VARS'!$E$66*(8*$BX120)+'LINEST VARS'!$D$66*(8*12.73)+'LINEST VARS'!$C$66*($CI$104*$BX120)+'LINEST VARS'!$B$66*($CI$104*12.73)+'LINEST VARS'!$A$66*($BX120*12.73)</f>
        <v>136.00000000000006</v>
      </c>
      <c r="CJ120" s="46">
        <f>'LINEST VARS'!$U$66+'LINEST VARS'!$T$66*(8)+'LINEST VARS'!$S$66*(8)+'LINEST VARS'!$R$66*($CJ$104)+'LINEST VARS'!$Q$66*($BX120)+'LINEST VARS'!$P$66*(12.73)+'LINEST VARS'!$O$66*(8^2)+'LINEST VARS'!$N$66*(8^2)+'LINEST VARS'!$M$66*($CJ$104^2)+'LINEST VARS'!$L$66*($BX120^2)+'LINEST VARS'!$K$66*(12.73^2)+'LINEST VARS'!$J$66*(8*8)+'LINEST VARS'!$I$66*(8*$CJ$104)+'LINEST VARS'!$H$66*(8*$BX120)+'LINEST VARS'!$G$66*(8*12.73)+'LINEST VARS'!$F$66*(8*$CJ$104)+'LINEST VARS'!$E$66*(8*$BX120)+'LINEST VARS'!$D$66*(8*12.73)+'LINEST VARS'!$C$66*($CJ$104*$BX120)+'LINEST VARS'!$B$66*($CJ$104*12.73)+'LINEST VARS'!$A$66*($BX120*12.73)</f>
        <v>135.20000000000005</v>
      </c>
      <c r="CK120" s="46">
        <f>'LINEST VARS'!$U$66+'LINEST VARS'!$T$66*(8)+'LINEST VARS'!$S$66*(8)+'LINEST VARS'!$R$66*($CK$104)+'LINEST VARS'!$Q$66*($BX120)+'LINEST VARS'!$P$66*(12.73)+'LINEST VARS'!$O$66*(8^2)+'LINEST VARS'!$N$66*(8^2)+'LINEST VARS'!$M$66*($CK$104^2)+'LINEST VARS'!$L$66*($BX120^2)+'LINEST VARS'!$K$66*(12.73^2)+'LINEST VARS'!$J$66*(8*8)+'LINEST VARS'!$I$66*(8*$CK$104)+'LINEST VARS'!$H$66*(8*$BX120)+'LINEST VARS'!$G$66*(8*12.73)+'LINEST VARS'!$F$66*(8*$CK$104)+'LINEST VARS'!$E$66*(8*$BX120)+'LINEST VARS'!$D$66*(8*12.73)+'LINEST VARS'!$C$66*($CK$104*$BX120)+'LINEST VARS'!$B$66*($CK$104*12.73)+'LINEST VARS'!$A$66*($BX120*12.73)</f>
        <v>134.40000000000003</v>
      </c>
      <c r="CL120" s="46">
        <f>'LINEST VARS'!$U$66+'LINEST VARS'!$T$66*(8)+'LINEST VARS'!$S$66*(8)+'LINEST VARS'!$R$66*($CL$104)+'LINEST VARS'!$Q$66*($BX120)+'LINEST VARS'!$P$66*(12.73)+'LINEST VARS'!$O$66*(8^2)+'LINEST VARS'!$N$66*(8^2)+'LINEST VARS'!$M$66*($CL$104^2)+'LINEST VARS'!$L$66*($BX120^2)+'LINEST VARS'!$K$66*(12.73^2)+'LINEST VARS'!$J$66*(8*8)+'LINEST VARS'!$I$66*(8*$CL$104)+'LINEST VARS'!$H$66*(8*$BX120)+'LINEST VARS'!$G$66*(8*12.73)+'LINEST VARS'!$F$66*(8*$CL$104)+'LINEST VARS'!$E$66*(8*$BX120)+'LINEST VARS'!$D$66*(8*12.73)+'LINEST VARS'!$C$66*($CL$104*$BX120)+'LINEST VARS'!$B$66*($CL$104*12.73)+'LINEST VARS'!$A$66*($BX120*12.73)</f>
        <v>133.60000000000005</v>
      </c>
      <c r="CM120" s="46">
        <f>'LINEST VARS'!$U$66+'LINEST VARS'!$T$66*(8)+'LINEST VARS'!$S$66*(8)+'LINEST VARS'!$R$66*($CM$104)+'LINEST VARS'!$Q$66*($BX120)+'LINEST VARS'!$P$66*(12.73)+'LINEST VARS'!$O$66*(8^2)+'LINEST VARS'!$N$66*(8^2)+'LINEST VARS'!$M$66*($CM$104^2)+'LINEST VARS'!$L$66*($BX120^2)+'LINEST VARS'!$K$66*(12.73^2)+'LINEST VARS'!$J$66*(8*8)+'LINEST VARS'!$I$66*(8*$CM$104)+'LINEST VARS'!$H$66*(8*$BX120)+'LINEST VARS'!$G$66*(8*12.73)+'LINEST VARS'!$F$66*(8*$CM$104)+'LINEST VARS'!$E$66*(8*$BX120)+'LINEST VARS'!$D$66*(8*12.73)+'LINEST VARS'!$C$66*($CM$104*$BX120)+'LINEST VARS'!$B$66*($CM$104*12.73)+'LINEST VARS'!$A$66*($BX120*12.73)</f>
        <v>132.80000000000004</v>
      </c>
      <c r="CN120" s="46">
        <f>'LINEST VARS'!$U$66+'LINEST VARS'!$T$66*(8)+'LINEST VARS'!$S$66*(8)+'LINEST VARS'!$R$66*($CN$104)+'LINEST VARS'!$Q$66*($BX120)+'LINEST VARS'!$P$66*(12.73)+'LINEST VARS'!$O$66*(8^2)+'LINEST VARS'!$N$66*(8^2)+'LINEST VARS'!$M$66*($CN$104^2)+'LINEST VARS'!$L$66*($BX120^2)+'LINEST VARS'!$K$66*(12.73^2)+'LINEST VARS'!$J$66*(8*8)+'LINEST VARS'!$I$66*(8*$CN$104)+'LINEST VARS'!$H$66*(8*$BX120)+'LINEST VARS'!$G$66*(8*12.73)+'LINEST VARS'!$F$66*(8*$CN$104)+'LINEST VARS'!$E$66*(8*$BX120)+'LINEST VARS'!$D$66*(8*12.73)+'LINEST VARS'!$C$66*($CN$104*$BX120)+'LINEST VARS'!$B$66*($CN$104*12.73)+'LINEST VARS'!$A$66*($BX120*12.73)</f>
        <v>132.00000000000006</v>
      </c>
      <c r="CO120" s="46">
        <f>'LINEST VARS'!$U$66+'LINEST VARS'!$T$66*(8)+'LINEST VARS'!$S$66*(8)+'LINEST VARS'!$R$66*($CO$104)+'LINEST VARS'!$Q$66*($BX120)+'LINEST VARS'!$P$66*(12.73)+'LINEST VARS'!$O$66*(8^2)+'LINEST VARS'!$N$66*(8^2)+'LINEST VARS'!$M$66*($CO$104^2)+'LINEST VARS'!$L$66*($BX120^2)+'LINEST VARS'!$K$66*(12.73^2)+'LINEST VARS'!$J$66*(8*8)+'LINEST VARS'!$I$66*(8*$CO$104)+'LINEST VARS'!$H$66*(8*$BX120)+'LINEST VARS'!$G$66*(8*12.73)+'LINEST VARS'!$F$66*(8*$CO$104)+'LINEST VARS'!$E$66*(8*$BX120)+'LINEST VARS'!$D$66*(8*12.73)+'LINEST VARS'!$C$66*($CO$104*$BX120)+'LINEST VARS'!$B$66*($CO$104*12.73)+'LINEST VARS'!$A$66*($BX120*12.73)</f>
        <v>131.20000000000005</v>
      </c>
      <c r="CP120" s="46">
        <f>'LINEST VARS'!$U$66+'LINEST VARS'!$T$66*(8)+'LINEST VARS'!$S$66*(8)+'LINEST VARS'!$R$66*($CP$104)+'LINEST VARS'!$Q$66*($BX120)+'LINEST VARS'!$P$66*(12.73)+'LINEST VARS'!$O$66*(8^2)+'LINEST VARS'!$N$66*(8^2)+'LINEST VARS'!$M$66*($CP$104^2)+'LINEST VARS'!$L$66*($BX120^2)+'LINEST VARS'!$K$66*(12.73^2)+'LINEST VARS'!$J$66*(8*8)+'LINEST VARS'!$I$66*(8*$CP$104)+'LINEST VARS'!$H$66*(8*$BX120)+'LINEST VARS'!$G$66*(8*12.73)+'LINEST VARS'!$F$66*(8*$CP$104)+'LINEST VARS'!$E$66*(8*$BX120)+'LINEST VARS'!$D$66*(8*12.73)+'LINEST VARS'!$C$66*($CP$104*$BX120)+'LINEST VARS'!$B$66*($CP$104*12.73)+'LINEST VARS'!$A$66*($BX120*12.73)</f>
        <v>130.40000000000009</v>
      </c>
      <c r="CQ120" s="46">
        <f>'LINEST VARS'!$U$66+'LINEST VARS'!$T$66*(8)+'LINEST VARS'!$S$66*(8)+'LINEST VARS'!$R$66*($CQ$104)+'LINEST VARS'!$Q$66*($BX120)+'LINEST VARS'!$P$66*(12.73)+'LINEST VARS'!$O$66*(8^2)+'LINEST VARS'!$N$66*(8^2)+'LINEST VARS'!$M$66*($CQ$104^2)+'LINEST VARS'!$L$66*($BX120^2)+'LINEST VARS'!$K$66*(12.73^2)+'LINEST VARS'!$J$66*(8*8)+'LINEST VARS'!$I$66*(8*$CQ$104)+'LINEST VARS'!$H$66*(8*$BX120)+'LINEST VARS'!$G$66*(8*12.73)+'LINEST VARS'!$F$66*(8*$CQ$104)+'LINEST VARS'!$E$66*(8*$BX120)+'LINEST VARS'!$D$66*(8*12.73)+'LINEST VARS'!$C$66*($CQ$104*$BX120)+'LINEST VARS'!$B$66*($CQ$104*12.73)+'LINEST VARS'!$A$66*($BX120*12.73)</f>
        <v>129.60000000000008</v>
      </c>
      <c r="CR120" s="46">
        <f>'LINEST VARS'!$U$66+'LINEST VARS'!$T$66*(8)+'LINEST VARS'!$S$66*(8)+'LINEST VARS'!$R$66*($CR$104)+'LINEST VARS'!$Q$66*($BX120)+'LINEST VARS'!$P$66*(12.73)+'LINEST VARS'!$O$66*(8^2)+'LINEST VARS'!$N$66*(8^2)+'LINEST VARS'!$M$66*($CR$104^2)+'LINEST VARS'!$L$66*($BX120^2)+'LINEST VARS'!$K$66*(12.73^2)+'LINEST VARS'!$J$66*(8*8)+'LINEST VARS'!$I$66*(8*$CR$104)+'LINEST VARS'!$H$66*(8*$BX120)+'LINEST VARS'!$G$66*(8*12.73)+'LINEST VARS'!$F$66*(8*$CR$104)+'LINEST VARS'!$E$66*(8*$BX120)+'LINEST VARS'!$D$66*(8*12.73)+'LINEST VARS'!$C$66*($CR$104*$BX120)+'LINEST VARS'!$B$66*($CR$104*12.73)+'LINEST VARS'!$A$66*($BX120*12.73)</f>
        <v>128.8000000000001</v>
      </c>
      <c r="CS120" s="47">
        <f>'LINEST VARS'!$U$66+'LINEST VARS'!$T$66*(8)+'LINEST VARS'!$S$66*(8)+'LINEST VARS'!$R$66*($CS$104)+'LINEST VARS'!$Q$66*($BX120)+'LINEST VARS'!$P$66*(12.73)+'LINEST VARS'!$O$66*(8^2)+'LINEST VARS'!$N$66*(8^2)+'LINEST VARS'!$M$66*($CS$104^2)+'LINEST VARS'!$L$66*($BX120^2)+'LINEST VARS'!$K$66*(12.73^2)+'LINEST VARS'!$J$66*(8*8)+'LINEST VARS'!$I$66*(8*$CS$104)+'LINEST VARS'!$H$66*(8*$BX120)+'LINEST VARS'!$G$66*(8*12.73)+'LINEST VARS'!$F$66*(8*$CS$104)+'LINEST VARS'!$E$66*(8*$BX120)+'LINEST VARS'!$D$66*(8*12.73)+'LINEST VARS'!$C$66*($CS$104*$BX120)+'LINEST VARS'!$B$66*($CS$104*12.73)+'LINEST VARS'!$A$66*($BX120*12.73)</f>
        <v>128.00000000000006</v>
      </c>
      <c r="CX120" s="45">
        <v>19.4925</v>
      </c>
      <c r="CY120" s="55">
        <f>'LINEST VARS'!$U$64+'LINEST VARS'!$T$64*(8)+'LINEST VARS'!$S$64*(8)+'LINEST VARS'!$R$64*($CY$104)+'LINEST VARS'!$Q$64*(0.5)+'LINEST VARS'!$P$64*($CX120)+'LINEST VARS'!$O$64*(8^2)+'LINEST VARS'!$N$64*(8^2)+'LINEST VARS'!$M$64*($CY$104^2)+'LINEST VARS'!$L$64*(0.5^2)+'LINEST VARS'!$K$64*($CX120^2)+'LINEST VARS'!$J$64*(8*8)+'LINEST VARS'!$I$64*(8*$CY$104)+'LINEST VARS'!$H$64*(8*0.5)+'LINEST VARS'!$G$64*(8*$CX120)+'LINEST VARS'!$F$64*(8*$CY$104)+'LINEST VARS'!$E$64*(8*0.5)+'LINEST VARS'!$D$64*(8*$CX120)+'LINEST VARS'!$C$64*($CY$104*0.5)+'LINEST VARS'!$B$64*($CY$104*$CX120)+'LINEST VARS'!$A$64*(0.5*$CX120)</f>
        <v>168.47749999999985</v>
      </c>
      <c r="CZ120" s="55">
        <f>'LINEST VARS'!$U$64+'LINEST VARS'!$T$64*(8)+'LINEST VARS'!$S$64*(8)+'LINEST VARS'!$R$64*($CZ$104)+'LINEST VARS'!$Q$64*(0.5)+'LINEST VARS'!$P$64*($CX120)+'LINEST VARS'!$O$64*(8^2)+'LINEST VARS'!$N$64*(8^2)+'LINEST VARS'!$M$64*($CZ$104^2)+'LINEST VARS'!$L$64*(0.5^2)+'LINEST VARS'!$K$64*($CX120^2)+'LINEST VARS'!$J$64*(8*8)+'LINEST VARS'!$I$64*(8*$CZ$104)+'LINEST VARS'!$H$64*(8*0.5)+'LINEST VARS'!$G$64*(8*$CX120)+'LINEST VARS'!$F$64*(8*$CZ$104)+'LINEST VARS'!$E$64*(8*0.5)+'LINEST VARS'!$D$64*(8*$CX120)+'LINEST VARS'!$C$64*($CZ$104*0.5)+'LINEST VARS'!$B$64*($CZ$104*$CX120)+'LINEST VARS'!$A$64*(0.5*$CX120)</f>
        <v>170.07749999999984</v>
      </c>
      <c r="DA120" s="55">
        <f>'LINEST VARS'!$U$64+'LINEST VARS'!$T$64*(8)+'LINEST VARS'!$S$64*(8)+'LINEST VARS'!$R$64*($DA$104)+'LINEST VARS'!$Q$64*(0.5)+'LINEST VARS'!$P$64*($CX120)+'LINEST VARS'!$O$64*(8^2)+'LINEST VARS'!$N$64*(8^2)+'LINEST VARS'!$M$64*($DA$104^2)+'LINEST VARS'!$L$64*(0.5^2)+'LINEST VARS'!$K$64*($CX120^2)+'LINEST VARS'!$J$64*(8*8)+'LINEST VARS'!$I$64*(8*$DA$104)+'LINEST VARS'!$H$64*(8*0.5)+'LINEST VARS'!$G$64*(8*$CX120)+'LINEST VARS'!$F$64*(8*$DA$104)+'LINEST VARS'!$E$64*(8*0.5)+'LINEST VARS'!$D$64*(8*$CX120)+'LINEST VARS'!$C$64*($DA$104*0.5)+'LINEST VARS'!$B$64*($DA$104*$CX120)+'LINEST VARS'!$A$64*(0.5*$CX120)</f>
        <v>171.67749999999987</v>
      </c>
      <c r="DB120" s="55">
        <f>'LINEST VARS'!$U$64+'LINEST VARS'!$T$64*(8)+'LINEST VARS'!$S$64*(8)+'LINEST VARS'!$R$64*($DB$104)+'LINEST VARS'!$Q$64*(0.5)+'LINEST VARS'!$P$64*($CX120)+'LINEST VARS'!$O$64*(8^2)+'LINEST VARS'!$N$64*(8^2)+'LINEST VARS'!$M$64*($DB$104^2)+'LINEST VARS'!$L$64*(0.5^2)+'LINEST VARS'!$K$64*($CX120^2)+'LINEST VARS'!$J$64*(8*8)+'LINEST VARS'!$I$64*(8*$DB$104)+'LINEST VARS'!$H$64*(8*0.5)+'LINEST VARS'!$G$64*(8*$CX120)+'LINEST VARS'!$F$64*(8*$DB$104)+'LINEST VARS'!$E$64*(8*0.5)+'LINEST VARS'!$D$64*(8*$CX120)+'LINEST VARS'!$C$64*($DB$104*0.5)+'LINEST VARS'!$B$64*($DB$104*$CX120)+'LINEST VARS'!$A$64*(0.5*$CX120)</f>
        <v>173.27749999999986</v>
      </c>
      <c r="DC120" s="55">
        <f>'LINEST VARS'!$U$64+'LINEST VARS'!$T$64*(8)+'LINEST VARS'!$S$64*(8)+'LINEST VARS'!$R$64*($DC$104)+'LINEST VARS'!$Q$64*(0.5)+'LINEST VARS'!$P$64*($CX120)+'LINEST VARS'!$O$64*(8^2)+'LINEST VARS'!$N$64*(8^2)+'LINEST VARS'!$M$64*($DC$104^2)+'LINEST VARS'!$L$64*(0.5^2)+'LINEST VARS'!$K$64*($CX120^2)+'LINEST VARS'!$J$64*(8*8)+'LINEST VARS'!$I$64*(8*$DC$104)+'LINEST VARS'!$H$64*(8*0.5)+'LINEST VARS'!$G$64*(8*$CX120)+'LINEST VARS'!$F$64*(8*$DC$104)+'LINEST VARS'!$E$64*(8*0.5)+'LINEST VARS'!$D$64*(8*$CX120)+'LINEST VARS'!$C$64*($DC$104*0.5)+'LINEST VARS'!$B$64*($DC$104*$CX120)+'LINEST VARS'!$A$64*(0.5*$CX120)</f>
        <v>174.87749999999986</v>
      </c>
      <c r="DD120" s="55">
        <f>'LINEST VARS'!$U$64+'LINEST VARS'!$T$64*(8)+'LINEST VARS'!$S$64*(8)+'LINEST VARS'!$R$64*($DD$104)+'LINEST VARS'!$Q$64*(0.5)+'LINEST VARS'!$P$64*($CX120)+'LINEST VARS'!$O$64*(8^2)+'LINEST VARS'!$N$64*(8^2)+'LINEST VARS'!$M$64*($DD$104^2)+'LINEST VARS'!$L$64*(0.5^2)+'LINEST VARS'!$K$64*($CX120^2)+'LINEST VARS'!$J$64*(8*8)+'LINEST VARS'!$I$64*(8*$DD$104)+'LINEST VARS'!$H$64*(8*0.5)+'LINEST VARS'!$G$64*(8*$CX120)+'LINEST VARS'!$F$64*(8*$DD$104)+'LINEST VARS'!$E$64*(8*0.5)+'LINEST VARS'!$D$64*(8*$CX120)+'LINEST VARS'!$C$64*($DD$104*0.5)+'LINEST VARS'!$B$64*($DD$104*$CX120)+'LINEST VARS'!$A$64*(0.5*$CX120)</f>
        <v>176.47749999999985</v>
      </c>
      <c r="DE120" s="55">
        <f>'LINEST VARS'!$U$64+'LINEST VARS'!$T$64*(8)+'LINEST VARS'!$S$64*(8)+'LINEST VARS'!$R$64*($DE$104)+'LINEST VARS'!$Q$64*(0.5)+'LINEST VARS'!$P$64*($CX120)+'LINEST VARS'!$O$64*(8^2)+'LINEST VARS'!$N$64*(8^2)+'LINEST VARS'!$M$64*($DE$104^2)+'LINEST VARS'!$L$64*(0.5^2)+'LINEST VARS'!$K$64*($CX120^2)+'LINEST VARS'!$J$64*(8*8)+'LINEST VARS'!$I$64*(8*$DE$104)+'LINEST VARS'!$H$64*(8*0.5)+'LINEST VARS'!$G$64*(8*$CX120)+'LINEST VARS'!$F$64*(8*$DE$104)+'LINEST VARS'!$E$64*(8*0.5)+'LINEST VARS'!$D$64*(8*$CX120)+'LINEST VARS'!$C$64*($DE$104*0.5)+'LINEST VARS'!$B$64*($DE$104*$CX120)+'LINEST VARS'!$A$64*(0.5*$CX120)</f>
        <v>178.07749999999984</v>
      </c>
      <c r="DF120" s="55">
        <f>'LINEST VARS'!$U$64+'LINEST VARS'!$T$64*(8)+'LINEST VARS'!$S$64*(8)+'LINEST VARS'!$R$64*($DF$104)+'LINEST VARS'!$Q$64*(0.5)+'LINEST VARS'!$P$64*($CX120)+'LINEST VARS'!$O$64*(8^2)+'LINEST VARS'!$N$64*(8^2)+'LINEST VARS'!$M$64*($DF$104^2)+'LINEST VARS'!$L$64*(0.5^2)+'LINEST VARS'!$K$64*($CX120^2)+'LINEST VARS'!$J$64*(8*8)+'LINEST VARS'!$I$64*(8*$DF$104)+'LINEST VARS'!$H$64*(8*0.5)+'LINEST VARS'!$G$64*(8*$CX120)+'LINEST VARS'!$F$64*(8*$DF$104)+'LINEST VARS'!$E$64*(8*0.5)+'LINEST VARS'!$D$64*(8*$CX120)+'LINEST VARS'!$C$64*($DF$104*0.5)+'LINEST VARS'!$B$64*($DF$104*$CX120)+'LINEST VARS'!$A$64*(0.5*$CX120)</f>
        <v>179.67749999999987</v>
      </c>
      <c r="DG120" s="55">
        <f>'LINEST VARS'!$U$64+'LINEST VARS'!$T$64*(8)+'LINEST VARS'!$S$64*(8)+'LINEST VARS'!$R$64*($DG$104)+'LINEST VARS'!$Q$64*(0.5)+'LINEST VARS'!$P$64*($CX120)+'LINEST VARS'!$O$64*(8^2)+'LINEST VARS'!$N$64*(8^2)+'LINEST VARS'!$M$64*($DG$104^2)+'LINEST VARS'!$L$64*(0.5^2)+'LINEST VARS'!$K$64*($CX120^2)+'LINEST VARS'!$J$64*(8*8)+'LINEST VARS'!$I$64*(8*$DG$104)+'LINEST VARS'!$H$64*(8*0.5)+'LINEST VARS'!$G$64*(8*$CX120)+'LINEST VARS'!$F$64*(8*$DG$104)+'LINEST VARS'!$E$64*(8*0.5)+'LINEST VARS'!$D$64*(8*$CX120)+'LINEST VARS'!$C$64*($DG$104*0.5)+'LINEST VARS'!$B$64*($DG$104*$CX120)+'LINEST VARS'!$A$64*(0.5*$CX120)</f>
        <v>181.27749999999986</v>
      </c>
      <c r="DH120" s="55">
        <f>'LINEST VARS'!$U$64+'LINEST VARS'!$T$64*(8)+'LINEST VARS'!$S$64*(8)+'LINEST VARS'!$R$64*($DH$104)+'LINEST VARS'!$Q$64*(0.5)+'LINEST VARS'!$P$64*($CX120)+'LINEST VARS'!$O$64*(8^2)+'LINEST VARS'!$N$64*(8^2)+'LINEST VARS'!$M$64*($DH$104^2)+'LINEST VARS'!$L$64*(0.5^2)+'LINEST VARS'!$K$64*($CX120^2)+'LINEST VARS'!$J$64*(8*8)+'LINEST VARS'!$I$64*(8*$DH$104)+'LINEST VARS'!$H$64*(8*0.5)+'LINEST VARS'!$G$64*(8*$CX120)+'LINEST VARS'!$F$64*(8*$DH$104)+'LINEST VARS'!$E$64*(8*0.5)+'LINEST VARS'!$D$64*(8*$CX120)+'LINEST VARS'!$C$64*($DH$104*0.5)+'LINEST VARS'!$B$64*($DH$104*$CX120)+'LINEST VARS'!$A$64*(0.5*$CX120)</f>
        <v>182.87749999999986</v>
      </c>
      <c r="DI120" s="55">
        <f>'LINEST VARS'!$U$64+'LINEST VARS'!$T$64*(8)+'LINEST VARS'!$S$64*(8)+'LINEST VARS'!$R$64*($DI$104)+'LINEST VARS'!$Q$64*(0.5)+'LINEST VARS'!$P$64*($CX120)+'LINEST VARS'!$O$64*(8^2)+'LINEST VARS'!$N$64*(8^2)+'LINEST VARS'!$M$64*($DI$104^2)+'LINEST VARS'!$L$64*(0.5^2)+'LINEST VARS'!$K$64*($CX120^2)+'LINEST VARS'!$J$64*(8*8)+'LINEST VARS'!$I$64*(8*$DI$104)+'LINEST VARS'!$H$64*(8*0.5)+'LINEST VARS'!$G$64*(8*$CX120)+'LINEST VARS'!$F$64*(8*$DI$104)+'LINEST VARS'!$E$64*(8*0.5)+'LINEST VARS'!$D$64*(8*$CX120)+'LINEST VARS'!$C$64*($DI$104*0.5)+'LINEST VARS'!$B$64*($DI$104*$CX120)+'LINEST VARS'!$A$64*(0.5*$CX120)</f>
        <v>184.47749999999985</v>
      </c>
      <c r="DJ120" s="55">
        <f>'LINEST VARS'!$U$64+'LINEST VARS'!$T$64*(8)+'LINEST VARS'!$S$64*(8)+'LINEST VARS'!$R$64*($DJ$104)+'LINEST VARS'!$Q$64*(0.5)+'LINEST VARS'!$P$64*($CX120)+'LINEST VARS'!$O$64*(8^2)+'LINEST VARS'!$N$64*(8^2)+'LINEST VARS'!$M$64*($DJ$104^2)+'LINEST VARS'!$L$64*(0.5^2)+'LINEST VARS'!$K$64*($CX120^2)+'LINEST VARS'!$J$64*(8*8)+'LINEST VARS'!$I$64*(8*$DJ$104)+'LINEST VARS'!$H$64*(8*0.5)+'LINEST VARS'!$G$64*(8*$CX120)+'LINEST VARS'!$F$64*(8*$DJ$104)+'LINEST VARS'!$E$64*(8*0.5)+'LINEST VARS'!$D$64*(8*$CX120)+'LINEST VARS'!$C$64*($DJ$104*0.5)+'LINEST VARS'!$B$64*($DJ$104*$CX120)+'LINEST VARS'!$A$64*(0.5*$CX120)</f>
        <v>186.07749999999987</v>
      </c>
      <c r="DK120" s="55">
        <f>'LINEST VARS'!$U$64+'LINEST VARS'!$T$64*(8)+'LINEST VARS'!$S$64*(8)+'LINEST VARS'!$R$64*($DK$104)+'LINEST VARS'!$Q$64*(0.5)+'LINEST VARS'!$P$64*($CX120)+'LINEST VARS'!$O$64*(8^2)+'LINEST VARS'!$N$64*(8^2)+'LINEST VARS'!$M$64*($DK$104^2)+'LINEST VARS'!$L$64*(0.5^2)+'LINEST VARS'!$K$64*($CX120^2)+'LINEST VARS'!$J$64*(8*8)+'LINEST VARS'!$I$64*(8*$DK$104)+'LINEST VARS'!$H$64*(8*0.5)+'LINEST VARS'!$G$64*(8*$CX120)+'LINEST VARS'!$F$64*(8*$DK$104)+'LINEST VARS'!$E$64*(8*0.5)+'LINEST VARS'!$D$64*(8*$CX120)+'LINEST VARS'!$C$64*($DK$104*0.5)+'LINEST VARS'!$B$64*($DK$104*$CX120)+'LINEST VARS'!$A$64*(0.5*$CX120)</f>
        <v>187.67749999999984</v>
      </c>
      <c r="DL120" s="55">
        <f>'LINEST VARS'!$U$64+'LINEST VARS'!$T$64*(8)+'LINEST VARS'!$S$64*(8)+'LINEST VARS'!$R$64*($DL$104)+'LINEST VARS'!$Q$64*(0.5)+'LINEST VARS'!$P$64*($CX120)+'LINEST VARS'!$O$64*(8^2)+'LINEST VARS'!$N$64*(8^2)+'LINEST VARS'!$M$64*($DL$104^2)+'LINEST VARS'!$L$64*(0.5^2)+'LINEST VARS'!$K$64*($CX120^2)+'LINEST VARS'!$J$64*(8*8)+'LINEST VARS'!$I$64*(8*$DL$104)+'LINEST VARS'!$H$64*(8*0.5)+'LINEST VARS'!$G$64*(8*$CX120)+'LINEST VARS'!$F$64*(8*$DL$104)+'LINEST VARS'!$E$64*(8*0.5)+'LINEST VARS'!$D$64*(8*$CX120)+'LINEST VARS'!$C$64*($DL$104*0.5)+'LINEST VARS'!$B$64*($DL$104*$CX120)+'LINEST VARS'!$A$64*(0.5*$CX120)</f>
        <v>189.27749999999986</v>
      </c>
      <c r="DM120" s="55">
        <f>'LINEST VARS'!$U$64+'LINEST VARS'!$T$64*(8)+'LINEST VARS'!$S$64*(8)+'LINEST VARS'!$R$64*($DM$104)+'LINEST VARS'!$Q$64*(0.5)+'LINEST VARS'!$P$64*($CX120)+'LINEST VARS'!$O$64*(8^2)+'LINEST VARS'!$N$64*(8^2)+'LINEST VARS'!$M$64*($DM$104^2)+'LINEST VARS'!$L$64*(0.5^2)+'LINEST VARS'!$K$64*($CX120^2)+'LINEST VARS'!$J$64*(8*8)+'LINEST VARS'!$I$64*(8*$DM$104)+'LINEST VARS'!$H$64*(8*0.5)+'LINEST VARS'!$G$64*(8*$CX120)+'LINEST VARS'!$F$64*(8*$DM$104)+'LINEST VARS'!$E$64*(8*0.5)+'LINEST VARS'!$D$64*(8*$CX120)+'LINEST VARS'!$C$64*($DM$104*0.5)+'LINEST VARS'!$B$64*($DM$104*$CX120)+'LINEST VARS'!$A$64*(0.5*$CX120)</f>
        <v>190.87749999999983</v>
      </c>
      <c r="DN120" s="55">
        <f>'LINEST VARS'!$U$64+'LINEST VARS'!$T$64*(8)+'LINEST VARS'!$S$64*(8)+'LINEST VARS'!$R$64*($DN$104)+'LINEST VARS'!$Q$64*(0.5)+'LINEST VARS'!$P$64*($CX120)+'LINEST VARS'!$O$64*(8^2)+'LINEST VARS'!$N$64*(8^2)+'LINEST VARS'!$M$64*($DN$104^2)+'LINEST VARS'!$L$64*(0.5^2)+'LINEST VARS'!$K$64*($CX120^2)+'LINEST VARS'!$J$64*(8*8)+'LINEST VARS'!$I$64*(8*$DN$104)+'LINEST VARS'!$H$64*(8*0.5)+'LINEST VARS'!$G$64*(8*$CX120)+'LINEST VARS'!$F$64*(8*$DN$104)+'LINEST VARS'!$E$64*(8*0.5)+'LINEST VARS'!$D$64*(8*$CX120)+'LINEST VARS'!$C$64*($DN$104*0.5)+'LINEST VARS'!$B$64*($DN$104*$CX120)+'LINEST VARS'!$A$64*(0.5*$CX120)</f>
        <v>192.47749999999982</v>
      </c>
      <c r="DO120" s="55">
        <f>'LINEST VARS'!$U$64+'LINEST VARS'!$T$64*(8)+'LINEST VARS'!$S$64*(8)+'LINEST VARS'!$R$64*($DO$104)+'LINEST VARS'!$Q$64*(0.5)+'LINEST VARS'!$P$64*($CX120)+'LINEST VARS'!$O$64*(8^2)+'LINEST VARS'!$N$64*(8^2)+'LINEST VARS'!$M$64*($DO$104^2)+'LINEST VARS'!$L$64*(0.5^2)+'LINEST VARS'!$K$64*($CX120^2)+'LINEST VARS'!$J$64*(8*8)+'LINEST VARS'!$I$64*(8*$DO$104)+'LINEST VARS'!$H$64*(8*0.5)+'LINEST VARS'!$G$64*(8*$CX120)+'LINEST VARS'!$F$64*(8*$DO$104)+'LINEST VARS'!$E$64*(8*0.5)+'LINEST VARS'!$D$64*(8*$CX120)+'LINEST VARS'!$C$64*($DO$104*0.5)+'LINEST VARS'!$B$64*($DO$104*$CX120)+'LINEST VARS'!$A$64*(0.5*$CX120)</f>
        <v>194.07749999999984</v>
      </c>
      <c r="DP120" s="55">
        <f>'LINEST VARS'!$U$64+'LINEST VARS'!$T$64*(8)+'LINEST VARS'!$S$64*(8)+'LINEST VARS'!$R$64*($DP$104)+'LINEST VARS'!$Q$64*(0.5)+'LINEST VARS'!$P$64*($CX120)+'LINEST VARS'!$O$64*(8^2)+'LINEST VARS'!$N$64*(8^2)+'LINEST VARS'!$M$64*($DP$104^2)+'LINEST VARS'!$L$64*(0.5^2)+'LINEST VARS'!$K$64*($CX120^2)+'LINEST VARS'!$J$64*(8*8)+'LINEST VARS'!$I$64*(8*$DP$104)+'LINEST VARS'!$H$64*(8*0.5)+'LINEST VARS'!$G$64*(8*$CX120)+'LINEST VARS'!$F$64*(8*$DP$104)+'LINEST VARS'!$E$64*(8*0.5)+'LINEST VARS'!$D$64*(8*$CX120)+'LINEST VARS'!$C$64*($DP$104*0.5)+'LINEST VARS'!$B$64*($DP$104*$CX120)+'LINEST VARS'!$A$64*(0.5*$CX120)</f>
        <v>195.67749999999984</v>
      </c>
      <c r="DQ120" s="55">
        <f>'LINEST VARS'!$U$64+'LINEST VARS'!$T$64*(8)+'LINEST VARS'!$S$64*(8)+'LINEST VARS'!$R$64*($DQ$104)+'LINEST VARS'!$Q$64*(0.5)+'LINEST VARS'!$P$64*($CX120)+'LINEST VARS'!$O$64*(8^2)+'LINEST VARS'!$N$64*(8^2)+'LINEST VARS'!$M$64*($DQ$104^2)+'LINEST VARS'!$L$64*(0.5^2)+'LINEST VARS'!$K$64*($CX120^2)+'LINEST VARS'!$J$64*(8*8)+'LINEST VARS'!$I$64*(8*$DQ$104)+'LINEST VARS'!$H$64*(8*0.5)+'LINEST VARS'!$G$64*(8*$CX120)+'LINEST VARS'!$F$64*(8*$DQ$104)+'LINEST VARS'!$E$64*(8*0.5)+'LINEST VARS'!$D$64*(8*$CX120)+'LINEST VARS'!$C$64*($DQ$104*0.5)+'LINEST VARS'!$B$64*($DQ$104*$CX120)+'LINEST VARS'!$A$64*(0.5*$CX120)</f>
        <v>197.27749999999983</v>
      </c>
      <c r="DR120" s="55">
        <f>'LINEST VARS'!$U$64+'LINEST VARS'!$T$64*(8)+'LINEST VARS'!$S$64*(8)+'LINEST VARS'!$R$64*($DR$104)+'LINEST VARS'!$Q$64*(0.5)+'LINEST VARS'!$P$64*($CX120)+'LINEST VARS'!$O$64*(8^2)+'LINEST VARS'!$N$64*(8^2)+'LINEST VARS'!$M$64*($DR$104^2)+'LINEST VARS'!$L$64*(0.5^2)+'LINEST VARS'!$K$64*($CX120^2)+'LINEST VARS'!$J$64*(8*8)+'LINEST VARS'!$I$64*(8*$DR$104)+'LINEST VARS'!$H$64*(8*0.5)+'LINEST VARS'!$G$64*(8*$CX120)+'LINEST VARS'!$F$64*(8*$DR$104)+'LINEST VARS'!$E$64*(8*0.5)+'LINEST VARS'!$D$64*(8*$CX120)+'LINEST VARS'!$C$64*($DR$104*0.5)+'LINEST VARS'!$B$64*($DR$104*$CX120)+'LINEST VARS'!$A$64*(0.5*$CX120)</f>
        <v>198.87749999999986</v>
      </c>
      <c r="DS120" s="56">
        <f>'LINEST VARS'!$U$64+'LINEST VARS'!$T$64*(8)+'LINEST VARS'!$S$64*(8)+'LINEST VARS'!$R$64*($DS$104)+'LINEST VARS'!$Q$64*(0.5)+'LINEST VARS'!$P$64*($CX120)+'LINEST VARS'!$O$64*(8^2)+'LINEST VARS'!$N$64*(8^2)+'LINEST VARS'!$M$64*($DS$104^2)+'LINEST VARS'!$L$64*(0.5^2)+'LINEST VARS'!$K$64*($CX120^2)+'LINEST VARS'!$J$64*(8*8)+'LINEST VARS'!$I$64*(8*$DS$104)+'LINEST VARS'!$H$64*(8*0.5)+'LINEST VARS'!$G$64*(8*$CX120)+'LINEST VARS'!$F$64*(8*$DS$104)+'LINEST VARS'!$E$64*(8*0.5)+'LINEST VARS'!$D$64*(8*$CX120)+'LINEST VARS'!$C$64*($DS$104*0.5)+'LINEST VARS'!$B$64*($DS$104*$CX120)+'LINEST VARS'!$A$64*(0.5*$CX120)</f>
        <v>200.47749999999985</v>
      </c>
      <c r="DV120" s="45">
        <v>19.4925</v>
      </c>
      <c r="DW120" s="46">
        <f>'LINEST VARS'!$U$66+'LINEST VARS'!$T$66*(8)+'LINEST VARS'!$S$66*(8)+'LINEST VARS'!$R$66*($DW$104)+'LINEST VARS'!$Q$66*(0.5)+'LINEST VARS'!$P$66*($DV120)+'LINEST VARS'!$O$66*(8^2)+'LINEST VARS'!$N$66*(8^2)+'LINEST VARS'!$M$66*($DW$104^2)+'LINEST VARS'!$L$66*(0.5^2)+'LINEST VARS'!$K$66*($DV120^2)+'LINEST VARS'!$J$66*(8*8)+'LINEST VARS'!$I$66*(8*$DW$104)+'LINEST VARS'!$H$66*(8*0.5)+'LINEST VARS'!$G$66*(8*$DV120)+'LINEST VARS'!$F$66*(8*$DW$104)+'LINEST VARS'!$E$66*(8*0.5)+'LINEST VARS'!$D$66*(8*$DV120)+'LINEST VARS'!$C$66*($DW$104*0.5)+'LINEST VARS'!$B$66*($DW$104*$DV120)+'LINEST VARS'!$A$66*(0.5*$DV120)</f>
        <v>144.00000000000006</v>
      </c>
      <c r="DX120" s="46">
        <f>'LINEST VARS'!$U$66+'LINEST VARS'!$T$66*(8)+'LINEST VARS'!$S$66*(8)+'LINEST VARS'!$R$66*($DX$104)+'LINEST VARS'!$Q$66*(0.5)+'LINEST VARS'!$P$66*($DV120)+'LINEST VARS'!$O$66*(8^2)+'LINEST VARS'!$N$66*(8^2)+'LINEST VARS'!$M$66*($DX$104^2)+'LINEST VARS'!$L$66*(0.5^2)+'LINEST VARS'!$K$66*($DV120^2)+'LINEST VARS'!$J$66*(8*8)+'LINEST VARS'!$I$66*(8*$DX$104)+'LINEST VARS'!$H$66*(8*0.5)+'LINEST VARS'!$G$66*(8*$DV120)+'LINEST VARS'!$F$66*(8*$DX$104)+'LINEST VARS'!$E$66*(8*0.5)+'LINEST VARS'!$D$66*(8*$DV120)+'LINEST VARS'!$C$66*($DX$104*0.5)+'LINEST VARS'!$B$66*($DX$104*$DV120)+'LINEST VARS'!$A$66*(0.5*$DV120)</f>
        <v>143.20000000000007</v>
      </c>
      <c r="DY120" s="46">
        <f>'LINEST VARS'!$U$66+'LINEST VARS'!$T$66*(8)+'LINEST VARS'!$S$66*(8)+'LINEST VARS'!$R$66*($DY$104)+'LINEST VARS'!$Q$66*(0.5)+'LINEST VARS'!$P$66*($DV120)+'LINEST VARS'!$O$66*(8^2)+'LINEST VARS'!$N$66*(8^2)+'LINEST VARS'!$M$66*($DY$104^2)+'LINEST VARS'!$L$66*(0.5^2)+'LINEST VARS'!$K$66*($DV120^2)+'LINEST VARS'!$J$66*(8*8)+'LINEST VARS'!$I$66*(8*$DY$104)+'LINEST VARS'!$H$66*(8*0.5)+'LINEST VARS'!$G$66*(8*$DV120)+'LINEST VARS'!$F$66*(8*$DY$104)+'LINEST VARS'!$E$66*(8*0.5)+'LINEST VARS'!$D$66*(8*$DV120)+'LINEST VARS'!$C$66*($DY$104*0.5)+'LINEST VARS'!$B$66*($DY$104*$DV120)+'LINEST VARS'!$A$66*(0.5*$DV120)</f>
        <v>142.40000000000006</v>
      </c>
      <c r="DZ120" s="46">
        <f>'LINEST VARS'!$U$66+'LINEST VARS'!$T$66*(8)+'LINEST VARS'!$S$66*(8)+'LINEST VARS'!$R$66*($DZ$104)+'LINEST VARS'!$Q$66*(0.5)+'LINEST VARS'!$P$66*($DV120)+'LINEST VARS'!$O$66*(8^2)+'LINEST VARS'!$N$66*(8^2)+'LINEST VARS'!$M$66*($DZ$104^2)+'LINEST VARS'!$L$66*(0.5^2)+'LINEST VARS'!$K$66*($DV120^2)+'LINEST VARS'!$J$66*(8*8)+'LINEST VARS'!$I$66*(8*$DZ$104)+'LINEST VARS'!$H$66*(8*0.5)+'LINEST VARS'!$G$66*(8*$DV120)+'LINEST VARS'!$F$66*(8*$DZ$104)+'LINEST VARS'!$E$66*(8*0.5)+'LINEST VARS'!$D$66*(8*$DV120)+'LINEST VARS'!$C$66*($DZ$104*0.5)+'LINEST VARS'!$B$66*($DZ$104*$DV120)+'LINEST VARS'!$A$66*(0.5*$DV120)</f>
        <v>141.60000000000008</v>
      </c>
      <c r="EA120" s="46">
        <f>'LINEST VARS'!$U$66+'LINEST VARS'!$T$66*(8)+'LINEST VARS'!$S$66*(8)+'LINEST VARS'!$R$66*($EA$104)+'LINEST VARS'!$Q$66*(0.5)+'LINEST VARS'!$P$66*($DV120)+'LINEST VARS'!$O$66*(8^2)+'LINEST VARS'!$N$66*(8^2)+'LINEST VARS'!$M$66*($EA$104^2)+'LINEST VARS'!$L$66*(0.5^2)+'LINEST VARS'!$K$66*($DV120^2)+'LINEST VARS'!$J$66*(8*8)+'LINEST VARS'!$I$66*(8*$EA$104)+'LINEST VARS'!$H$66*(8*0.5)+'LINEST VARS'!$G$66*(8*$DV120)+'LINEST VARS'!$F$66*(8*$EA$104)+'LINEST VARS'!$E$66*(8*0.5)+'LINEST VARS'!$D$66*(8*$DV120)+'LINEST VARS'!$C$66*($EA$104*0.5)+'LINEST VARS'!$B$66*($EA$104*$DV120)+'LINEST VARS'!$A$66*(0.5*$DV120)</f>
        <v>140.80000000000007</v>
      </c>
      <c r="EB120" s="46">
        <f>'LINEST VARS'!$U$66+'LINEST VARS'!$T$66*(8)+'LINEST VARS'!$S$66*(8)+'LINEST VARS'!$R$66*($EB$104)+'LINEST VARS'!$Q$66*(0.5)+'LINEST VARS'!$P$66*($DV120)+'LINEST VARS'!$O$66*(8^2)+'LINEST VARS'!$N$66*(8^2)+'LINEST VARS'!$M$66*($EB$104^2)+'LINEST VARS'!$L$66*(0.5^2)+'LINEST VARS'!$K$66*($DV120^2)+'LINEST VARS'!$J$66*(8*8)+'LINEST VARS'!$I$66*(8*$EB$104)+'LINEST VARS'!$H$66*(8*0.5)+'LINEST VARS'!$G$66*(8*$DV120)+'LINEST VARS'!$F$66*(8*$EB$104)+'LINEST VARS'!$E$66*(8*0.5)+'LINEST VARS'!$D$66*(8*$DV120)+'LINEST VARS'!$C$66*($EB$104*0.5)+'LINEST VARS'!$B$66*($EB$104*$DV120)+'LINEST VARS'!$A$66*(0.5*$DV120)</f>
        <v>140.00000000000009</v>
      </c>
      <c r="EC120" s="46">
        <f>'LINEST VARS'!$U$66+'LINEST VARS'!$T$66*(8)+'LINEST VARS'!$S$66*(8)+'LINEST VARS'!$R$66*($EC$104)+'LINEST VARS'!$Q$66*(0.5)+'LINEST VARS'!$P$66*($DV120)+'LINEST VARS'!$O$66*(8^2)+'LINEST VARS'!$N$66*(8^2)+'LINEST VARS'!$M$66*($EC$104^2)+'LINEST VARS'!$L$66*(0.5^2)+'LINEST VARS'!$K$66*($DV120^2)+'LINEST VARS'!$J$66*(8*8)+'LINEST VARS'!$I$66*(8*$EC$104)+'LINEST VARS'!$H$66*(8*0.5)+'LINEST VARS'!$G$66*(8*$DV120)+'LINEST VARS'!$F$66*(8*$EC$104)+'LINEST VARS'!$E$66*(8*0.5)+'LINEST VARS'!$D$66*(8*$DV120)+'LINEST VARS'!$C$66*($EC$104*0.5)+'LINEST VARS'!$B$66*($EC$104*$DV120)+'LINEST VARS'!$A$66*(0.5*$DV120)</f>
        <v>139.20000000000007</v>
      </c>
      <c r="ED120" s="46">
        <f>'LINEST VARS'!$U$66+'LINEST VARS'!$T$66*(8)+'LINEST VARS'!$S$66*(8)+'LINEST VARS'!$R$66*($ED$104)+'LINEST VARS'!$Q$66*(0.5)+'LINEST VARS'!$P$66*($DV120)+'LINEST VARS'!$O$66*(8^2)+'LINEST VARS'!$N$66*(8^2)+'LINEST VARS'!$M$66*($ED$104^2)+'LINEST VARS'!$L$66*(0.5^2)+'LINEST VARS'!$K$66*($DV120^2)+'LINEST VARS'!$J$66*(8*8)+'LINEST VARS'!$I$66*(8*$ED$104)+'LINEST VARS'!$H$66*(8*0.5)+'LINEST VARS'!$G$66*(8*$DV120)+'LINEST VARS'!$F$66*(8*$ED$104)+'LINEST VARS'!$E$66*(8*0.5)+'LINEST VARS'!$D$66*(8*$DV120)+'LINEST VARS'!$C$66*($ED$104*0.5)+'LINEST VARS'!$B$66*($ED$104*$DV120)+'LINEST VARS'!$A$66*(0.5*$DV120)</f>
        <v>138.40000000000009</v>
      </c>
      <c r="EE120" s="46">
        <f>'LINEST VARS'!$U$66+'LINEST VARS'!$T$66*(8)+'LINEST VARS'!$S$66*(8)+'LINEST VARS'!$R$66*($EE$104)+'LINEST VARS'!$Q$66*(0.5)+'LINEST VARS'!$P$66*($DV120)+'LINEST VARS'!$O$66*(8^2)+'LINEST VARS'!$N$66*(8^2)+'LINEST VARS'!$M$66*($EE$104^2)+'LINEST VARS'!$L$66*(0.5^2)+'LINEST VARS'!$K$66*($DV120^2)+'LINEST VARS'!$J$66*(8*8)+'LINEST VARS'!$I$66*(8*$EE$104)+'LINEST VARS'!$H$66*(8*0.5)+'LINEST VARS'!$G$66*(8*$DV120)+'LINEST VARS'!$F$66*(8*$EE$104)+'LINEST VARS'!$E$66*(8*0.5)+'LINEST VARS'!$D$66*(8*$DV120)+'LINEST VARS'!$C$66*($EE$104*0.5)+'LINEST VARS'!$B$66*($EE$104*$DV120)+'LINEST VARS'!$A$66*(0.5*$DV120)</f>
        <v>137.60000000000008</v>
      </c>
      <c r="EF120" s="46">
        <f>'LINEST VARS'!$U$66+'LINEST VARS'!$T$66*(8)+'LINEST VARS'!$S$66*(8)+'LINEST VARS'!$R$66*($EF$104)+'LINEST VARS'!$Q$66*(0.5)+'LINEST VARS'!$P$66*($DV120)+'LINEST VARS'!$O$66*(8^2)+'LINEST VARS'!$N$66*(8^2)+'LINEST VARS'!$M$66*($EF$104^2)+'LINEST VARS'!$L$66*(0.5^2)+'LINEST VARS'!$K$66*($DV120^2)+'LINEST VARS'!$J$66*(8*8)+'LINEST VARS'!$I$66*(8*$EF$104)+'LINEST VARS'!$H$66*(8*0.5)+'LINEST VARS'!$G$66*(8*$DV120)+'LINEST VARS'!$F$66*(8*$EF$104)+'LINEST VARS'!$E$66*(8*0.5)+'LINEST VARS'!$D$66*(8*$DV120)+'LINEST VARS'!$C$66*($EF$104*0.5)+'LINEST VARS'!$B$66*($EF$104*$DV120)+'LINEST VARS'!$A$66*(0.5*$DV120)</f>
        <v>136.80000000000007</v>
      </c>
      <c r="EG120" s="46">
        <f>'LINEST VARS'!$U$66+'LINEST VARS'!$T$66*(8)+'LINEST VARS'!$S$66*(8)+'LINEST VARS'!$R$66*($EG$104)+'LINEST VARS'!$Q$66*(0.5)+'LINEST VARS'!$P$66*($DV120)+'LINEST VARS'!$O$66*(8^2)+'LINEST VARS'!$N$66*(8^2)+'LINEST VARS'!$M$66*($EG$104^2)+'LINEST VARS'!$L$66*(0.5^2)+'LINEST VARS'!$K$66*($DV120^2)+'LINEST VARS'!$J$66*(8*8)+'LINEST VARS'!$I$66*(8*$EG$104)+'LINEST VARS'!$H$66*(8*0.5)+'LINEST VARS'!$G$66*(8*$DV120)+'LINEST VARS'!$F$66*(8*$EG$104)+'LINEST VARS'!$E$66*(8*0.5)+'LINEST VARS'!$D$66*(8*$DV120)+'LINEST VARS'!$C$66*($EG$104*0.5)+'LINEST VARS'!$B$66*($EG$104*$DV120)+'LINEST VARS'!$A$66*(0.5*$DV120)</f>
        <v>136.00000000000006</v>
      </c>
      <c r="EH120" s="46">
        <f>'LINEST VARS'!$U$66+'LINEST VARS'!$T$66*(8)+'LINEST VARS'!$S$66*(8)+'LINEST VARS'!$R$66*($EH$104)+'LINEST VARS'!$Q$66*(0.5)+'LINEST VARS'!$P$66*($DV120)+'LINEST VARS'!$O$66*(8^2)+'LINEST VARS'!$N$66*(8^2)+'LINEST VARS'!$M$66*($EH$104^2)+'LINEST VARS'!$L$66*(0.5^2)+'LINEST VARS'!$K$66*($DV120^2)+'LINEST VARS'!$J$66*(8*8)+'LINEST VARS'!$I$66*(8*$EH$104)+'LINEST VARS'!$H$66*(8*0.5)+'LINEST VARS'!$G$66*(8*$DV120)+'LINEST VARS'!$F$66*(8*$EH$104)+'LINEST VARS'!$E$66*(8*0.5)+'LINEST VARS'!$D$66*(8*$DV120)+'LINEST VARS'!$C$66*($EH$104*0.5)+'LINEST VARS'!$B$66*($EH$104*$DV120)+'LINEST VARS'!$A$66*(0.5*$DV120)</f>
        <v>135.20000000000005</v>
      </c>
      <c r="EI120" s="46">
        <f>'LINEST VARS'!$U$66+'LINEST VARS'!$T$66*(8)+'LINEST VARS'!$S$66*(8)+'LINEST VARS'!$R$66*($EI$104)+'LINEST VARS'!$Q$66*(0.5)+'LINEST VARS'!$P$66*($DV120)+'LINEST VARS'!$O$66*(8^2)+'LINEST VARS'!$N$66*(8^2)+'LINEST VARS'!$M$66*($EI$104^2)+'LINEST VARS'!$L$66*(0.5^2)+'LINEST VARS'!$K$66*($DV120^2)+'LINEST VARS'!$J$66*(8*8)+'LINEST VARS'!$I$66*(8*$EI$104)+'LINEST VARS'!$H$66*(8*0.5)+'LINEST VARS'!$G$66*(8*$DV120)+'LINEST VARS'!$F$66*(8*$EI$104)+'LINEST VARS'!$E$66*(8*0.5)+'LINEST VARS'!$D$66*(8*$DV120)+'LINEST VARS'!$C$66*($EI$104*0.5)+'LINEST VARS'!$B$66*($EI$104*$DV120)+'LINEST VARS'!$A$66*(0.5*$DV120)</f>
        <v>134.40000000000003</v>
      </c>
      <c r="EJ120" s="46">
        <f>'LINEST VARS'!$U$66+'LINEST VARS'!$T$66*(8)+'LINEST VARS'!$S$66*(8)+'LINEST VARS'!$R$66*($EJ$104)+'LINEST VARS'!$Q$66*(0.5)+'LINEST VARS'!$P$66*($DV120)+'LINEST VARS'!$O$66*(8^2)+'LINEST VARS'!$N$66*(8^2)+'LINEST VARS'!$M$66*($EJ$104^2)+'LINEST VARS'!$L$66*(0.5^2)+'LINEST VARS'!$K$66*($DV120^2)+'LINEST VARS'!$J$66*(8*8)+'LINEST VARS'!$I$66*(8*$EJ$104)+'LINEST VARS'!$H$66*(8*0.5)+'LINEST VARS'!$G$66*(8*$DV120)+'LINEST VARS'!$F$66*(8*$EJ$104)+'LINEST VARS'!$E$66*(8*0.5)+'LINEST VARS'!$D$66*(8*$DV120)+'LINEST VARS'!$C$66*($EJ$104*0.5)+'LINEST VARS'!$B$66*($EJ$104*$DV120)+'LINEST VARS'!$A$66*(0.5*$DV120)</f>
        <v>133.60000000000005</v>
      </c>
      <c r="EK120" s="46">
        <f>'LINEST VARS'!$U$66+'LINEST VARS'!$T$66*(8)+'LINEST VARS'!$S$66*(8)+'LINEST VARS'!$R$66*($EK$104)+'LINEST VARS'!$Q$66*(0.5)+'LINEST VARS'!$P$66*($DV120)+'LINEST VARS'!$O$66*(8^2)+'LINEST VARS'!$N$66*(8^2)+'LINEST VARS'!$M$66*($EK$104^2)+'LINEST VARS'!$L$66*(0.5^2)+'LINEST VARS'!$K$66*($DV120^2)+'LINEST VARS'!$J$66*(8*8)+'LINEST VARS'!$I$66*(8*$EK$104)+'LINEST VARS'!$H$66*(8*0.5)+'LINEST VARS'!$G$66*(8*$DV120)+'LINEST VARS'!$F$66*(8*$EK$104)+'LINEST VARS'!$E$66*(8*0.5)+'LINEST VARS'!$D$66*(8*$DV120)+'LINEST VARS'!$C$66*($EK$104*0.5)+'LINEST VARS'!$B$66*($EK$104*$DV120)+'LINEST VARS'!$A$66*(0.5*$DV120)</f>
        <v>132.80000000000004</v>
      </c>
      <c r="EL120" s="46">
        <f>'LINEST VARS'!$U$66+'LINEST VARS'!$T$66*(8)+'LINEST VARS'!$S$66*(8)+'LINEST VARS'!$R$66*($EL$104)+'LINEST VARS'!$Q$66*(0.5)+'LINEST VARS'!$P$66*($DV120)+'LINEST VARS'!$O$66*(8^2)+'LINEST VARS'!$N$66*(8^2)+'LINEST VARS'!$M$66*($EL$104^2)+'LINEST VARS'!$L$66*(0.5^2)+'LINEST VARS'!$K$66*($DV120^2)+'LINEST VARS'!$J$66*(8*8)+'LINEST VARS'!$I$66*(8*$EL$104)+'LINEST VARS'!$H$66*(8*0.5)+'LINEST VARS'!$G$66*(8*$DV120)+'LINEST VARS'!$F$66*(8*$EL$104)+'LINEST VARS'!$E$66*(8*0.5)+'LINEST VARS'!$D$66*(8*$DV120)+'LINEST VARS'!$C$66*($EL$104*0.5)+'LINEST VARS'!$B$66*($EL$104*$DV120)+'LINEST VARS'!$A$66*(0.5*$DV120)</f>
        <v>132.00000000000006</v>
      </c>
      <c r="EM120" s="46">
        <f>'LINEST VARS'!$U$66+'LINEST VARS'!$T$66*(8)+'LINEST VARS'!$S$66*(8)+'LINEST VARS'!$R$66*($EM$104)+'LINEST VARS'!$Q$66*(0.5)+'LINEST VARS'!$P$66*($DV120)+'LINEST VARS'!$O$66*(8^2)+'LINEST VARS'!$N$66*(8^2)+'LINEST VARS'!$M$66*($EM$104^2)+'LINEST VARS'!$L$66*(0.5^2)+'LINEST VARS'!$K$66*($DV120^2)+'LINEST VARS'!$J$66*(8*8)+'LINEST VARS'!$I$66*(8*$EM$104)+'LINEST VARS'!$H$66*(8*0.5)+'LINEST VARS'!$G$66*(8*$DV120)+'LINEST VARS'!$F$66*(8*$EM$104)+'LINEST VARS'!$E$66*(8*0.5)+'LINEST VARS'!$D$66*(8*$DV120)+'LINEST VARS'!$C$66*($EM$104*0.5)+'LINEST VARS'!$B$66*($EM$104*$DV120)+'LINEST VARS'!$A$66*(0.5*$DV120)</f>
        <v>131.20000000000005</v>
      </c>
      <c r="EN120" s="46">
        <f>'LINEST VARS'!$U$66+'LINEST VARS'!$T$66*(8)+'LINEST VARS'!$S$66*(8)+'LINEST VARS'!$R$66*($EN$104)+'LINEST VARS'!$Q$66*(0.5)+'LINEST VARS'!$P$66*($DV120)+'LINEST VARS'!$O$66*(8^2)+'LINEST VARS'!$N$66*(8^2)+'LINEST VARS'!$M$66*($EN$104^2)+'LINEST VARS'!$L$66*(0.5^2)+'LINEST VARS'!$K$66*($DV120^2)+'LINEST VARS'!$J$66*(8*8)+'LINEST VARS'!$I$66*(8*$EN$104)+'LINEST VARS'!$H$66*(8*0.5)+'LINEST VARS'!$G$66*(8*$DV120)+'LINEST VARS'!$F$66*(8*$EN$104)+'LINEST VARS'!$E$66*(8*0.5)+'LINEST VARS'!$D$66*(8*$DV120)+'LINEST VARS'!$C$66*($EN$104*0.5)+'LINEST VARS'!$B$66*($EN$104*$DV120)+'LINEST VARS'!$A$66*(0.5*$DV120)</f>
        <v>130.40000000000009</v>
      </c>
      <c r="EO120" s="46">
        <f>'LINEST VARS'!$U$66+'LINEST VARS'!$T$66*(8)+'LINEST VARS'!$S$66*(8)+'LINEST VARS'!$R$66*($EO$104)+'LINEST VARS'!$Q$66*(0.5)+'LINEST VARS'!$P$66*($DV120)+'LINEST VARS'!$O$66*(8^2)+'LINEST VARS'!$N$66*(8^2)+'LINEST VARS'!$M$66*($EO$104^2)+'LINEST VARS'!$L$66*(0.5^2)+'LINEST VARS'!$K$66*($DV120^2)+'LINEST VARS'!$J$66*(8*8)+'LINEST VARS'!$I$66*(8*$EO$104)+'LINEST VARS'!$H$66*(8*0.5)+'LINEST VARS'!$G$66*(8*$DV120)+'LINEST VARS'!$F$66*(8*$EO$104)+'LINEST VARS'!$E$66*(8*0.5)+'LINEST VARS'!$D$66*(8*$DV120)+'LINEST VARS'!$C$66*($EO$104*0.5)+'LINEST VARS'!$B$66*($EO$104*$DV120)+'LINEST VARS'!$A$66*(0.5*$DV120)</f>
        <v>129.60000000000008</v>
      </c>
      <c r="EP120" s="46">
        <f>'LINEST VARS'!$U$66+'LINEST VARS'!$T$66*(8)+'LINEST VARS'!$S$66*(8)+'LINEST VARS'!$R$66*($EP$104)+'LINEST VARS'!$Q$66*(0.5)+'LINEST VARS'!$P$66*($DV120)+'LINEST VARS'!$O$66*(8^2)+'LINEST VARS'!$N$66*(8^2)+'LINEST VARS'!$M$66*($EP$104^2)+'LINEST VARS'!$L$66*(0.5^2)+'LINEST VARS'!$K$66*($DV120^2)+'LINEST VARS'!$J$66*(8*8)+'LINEST VARS'!$I$66*(8*$EP$104)+'LINEST VARS'!$H$66*(8*0.5)+'LINEST VARS'!$G$66*(8*$DV120)+'LINEST VARS'!$F$66*(8*$EP$104)+'LINEST VARS'!$E$66*(8*0.5)+'LINEST VARS'!$D$66*(8*$DV120)+'LINEST VARS'!$C$66*($EP$104*0.5)+'LINEST VARS'!$B$66*($EP$104*$DV120)+'LINEST VARS'!$A$66*(0.5*$DV120)</f>
        <v>128.8000000000001</v>
      </c>
      <c r="EQ120" s="47">
        <f>'LINEST VARS'!$U$66+'LINEST VARS'!$T$66*(8)+'LINEST VARS'!$S$66*(8)+'LINEST VARS'!$R$66*($EQ$104)+'LINEST VARS'!$Q$66*(0.5)+'LINEST VARS'!$P$66*($DV120)+'LINEST VARS'!$O$66*(8^2)+'LINEST VARS'!$N$66*(8^2)+'LINEST VARS'!$M$66*($EQ$104^2)+'LINEST VARS'!$L$66*(0.5^2)+'LINEST VARS'!$K$66*($DV120^2)+'LINEST VARS'!$J$66*(8*8)+'LINEST VARS'!$I$66*(8*$EQ$104)+'LINEST VARS'!$H$66*(8*0.5)+'LINEST VARS'!$G$66*(8*$DV120)+'LINEST VARS'!$F$66*(8*$EQ$104)+'LINEST VARS'!$E$66*(8*0.5)+'LINEST VARS'!$D$66*(8*$DV120)+'LINEST VARS'!$C$66*($EQ$104*0.5)+'LINEST VARS'!$B$66*($EQ$104*$DV120)+'LINEST VARS'!$A$66*(0.5*$DV120)</f>
        <v>128.00000000000006</v>
      </c>
    </row>
    <row r="121" spans="2:147" ht="15" customHeight="1" x14ac:dyDescent="0.25">
      <c r="B121" s="45">
        <v>8.36</v>
      </c>
      <c r="C121" s="55">
        <f>'LINEST VARS'!$U$64+'LINEST VARS'!$T$64*($C$104)+'LINEST VARS'!$S$64*($B121)+'LINEST VARS'!$R$64*(4)+'LINEST VARS'!$Q$64*(0.5)+'LINEST VARS'!$P$64*(12.73)+'LINEST VARS'!$O$64*($C$104^2)+'LINEST VARS'!$N$64*($B121^2)+'LINEST VARS'!$M$64*(4^2)+'LINEST VARS'!$L$64*(0.5^2)+'LINEST VARS'!$K$64*(12.73^2)+'LINEST VARS'!$J$64*($C$104*$B121)+'LINEST VARS'!$I$64*($C$104*4)+'LINEST VARS'!$H$64*($C$104*0.5)+'LINEST VARS'!$G$64*($C$104*12.73)+'LINEST VARS'!$F$64*($B121*4)+'LINEST VARS'!$E$64*($B121*0.5)+'LINEST VARS'!$D$64*($B121*12.73)+'LINEST VARS'!$C$64*(4*0.5)+'LINEST VARS'!$B$64*(4*12.73)+'LINEST VARS'!$A$64*(0.5*12.73)</f>
        <v>164.18999999999988</v>
      </c>
      <c r="D121" s="55">
        <f>'LINEST VARS'!$U$64+'LINEST VARS'!$T$64*($D$104)+'LINEST VARS'!$S$64*($B121)+'LINEST VARS'!$R$64*(4)+'LINEST VARS'!$Q$64*(0.5)+'LINEST VARS'!$P$64*(12.73)+'LINEST VARS'!$O$64*($D$104^2)+'LINEST VARS'!$N$64*($B121^2)+'LINEST VARS'!$M$64*(4^2)+'LINEST VARS'!$L$64*(0.5^2)+'LINEST VARS'!$K$64*(12.73^2)+'LINEST VARS'!$J$64*($D$104*$B121)+'LINEST VARS'!$I$64*($D$104*4)+'LINEST VARS'!$H$64*($D$104*0.5)+'LINEST VARS'!$G$64*($D$104*12.73)+'LINEST VARS'!$F$64*($B121*4)+'LINEST VARS'!$E$64*($B121*0.5)+'LINEST VARS'!$D$64*($B121*12.73)+'LINEST VARS'!$C$64*(4*0.5)+'LINEST VARS'!$B$64*(4*12.73)+'LINEST VARS'!$A$64*(0.5*12.73)</f>
        <v>164.18999999999988</v>
      </c>
      <c r="E121" s="55">
        <f>'LINEST VARS'!$U$64+'LINEST VARS'!$T$64*($E$104)+'LINEST VARS'!$S$64*($B121)+'LINEST VARS'!$R$64*(4)+'LINEST VARS'!$Q$64*(0.5)+'LINEST VARS'!$P$64*(12.73)+'LINEST VARS'!$O$64*($E$104^2)+'LINEST VARS'!$N$64*($B121^2)+'LINEST VARS'!$M$64*(4^2)+'LINEST VARS'!$L$64*(0.5^2)+'LINEST VARS'!$K$64*(12.73^2)+'LINEST VARS'!$J$64*($E$104*$B121)+'LINEST VARS'!$I$64*($E$104*4)+'LINEST VARS'!$H$64*($E$104*0.5)+'LINEST VARS'!$G$64*($E$104*12.73)+'LINEST VARS'!$F$64*($B121*4)+'LINEST VARS'!$E$64*($B121*0.5)+'LINEST VARS'!$D$64*($B121*12.73)+'LINEST VARS'!$C$64*(4*0.5)+'LINEST VARS'!$B$64*(4*12.73)+'LINEST VARS'!$A$64*(0.5*12.73)</f>
        <v>164.18999999999988</v>
      </c>
      <c r="F121" s="55">
        <f>'LINEST VARS'!$U$64+'LINEST VARS'!$T$64*($F$104)+'LINEST VARS'!$S$64*($B121)+'LINEST VARS'!$R$64*(4)+'LINEST VARS'!$Q$64*(0.5)+'LINEST VARS'!$P$64*(12.73)+'LINEST VARS'!$O$64*($F$104^2)+'LINEST VARS'!$N$64*($B121^2)+'LINEST VARS'!$M$64*(4^2)+'LINEST VARS'!$L$64*(0.5^2)+'LINEST VARS'!$K$64*(12.73^2)+'LINEST VARS'!$J$64*($F$104*$B121)+'LINEST VARS'!$I$64*($F$104*4)+'LINEST VARS'!$H$64*($F$104*0.5)+'LINEST VARS'!$G$64*($F$104*12.73)+'LINEST VARS'!$F$64*($B121*4)+'LINEST VARS'!$E$64*($B121*0.5)+'LINEST VARS'!$D$64*($B121*12.73)+'LINEST VARS'!$C$64*(4*0.5)+'LINEST VARS'!$B$64*(4*12.73)+'LINEST VARS'!$A$64*(0.5*12.73)</f>
        <v>164.18999999999988</v>
      </c>
      <c r="G121" s="55">
        <f>'LINEST VARS'!$U$64+'LINEST VARS'!$T$64*($G$104)+'LINEST VARS'!$S$64*($B121)+'LINEST VARS'!$R$64*(4)+'LINEST VARS'!$Q$64*(0.5)+'LINEST VARS'!$P$64*(12.73)+'LINEST VARS'!$O$64*($G$104^2)+'LINEST VARS'!$N$64*($B121^2)+'LINEST VARS'!$M$64*(4^2)+'LINEST VARS'!$L$64*(0.5^2)+'LINEST VARS'!$K$64*(12.73^2)+'LINEST VARS'!$J$64*($G$104*$B121)+'LINEST VARS'!$I$64*($G$104*4)+'LINEST VARS'!$H$64*($G$104*0.5)+'LINEST VARS'!$G$64*($G$104*12.73)+'LINEST VARS'!$F$64*($B121*4)+'LINEST VARS'!$E$64*($B121*0.5)+'LINEST VARS'!$D$64*($B121*12.73)+'LINEST VARS'!$C$64*(4*0.5)+'LINEST VARS'!$B$64*(4*12.73)+'LINEST VARS'!$A$64*(0.5*12.73)</f>
        <v>164.18999999999991</v>
      </c>
      <c r="H121" s="55">
        <f>'LINEST VARS'!$U$64+'LINEST VARS'!$T$64*($H$104)+'LINEST VARS'!$S$64*($B121)+'LINEST VARS'!$R$64*(4)+'LINEST VARS'!$Q$64*(0.5)+'LINEST VARS'!$P$64*(12.73)+'LINEST VARS'!$O$64*($H$104^2)+'LINEST VARS'!$N$64*($B121^2)+'LINEST VARS'!$M$64*(4^2)+'LINEST VARS'!$L$64*(0.5^2)+'LINEST VARS'!$K$64*(12.73^2)+'LINEST VARS'!$J$64*($H$104*$B121)+'LINEST VARS'!$I$64*($H$104*4)+'LINEST VARS'!$H$64*($H$104*0.5)+'LINEST VARS'!$G$64*($H$104*12.73)+'LINEST VARS'!$F$64*($B121*4)+'LINEST VARS'!$E$64*($B121*0.5)+'LINEST VARS'!$D$64*($B121*12.73)+'LINEST VARS'!$C$64*(4*0.5)+'LINEST VARS'!$B$64*(4*12.73)+'LINEST VARS'!$A$64*(0.5*12.73)</f>
        <v>164.18999999999991</v>
      </c>
      <c r="I121" s="55">
        <f>'LINEST VARS'!$U$64+'LINEST VARS'!$T$64*($I$104)+'LINEST VARS'!$S$64*($B121)+'LINEST VARS'!$R$64*(4)+'LINEST VARS'!$Q$64*(0.5)+'LINEST VARS'!$P$64*(12.73)+'LINEST VARS'!$O$64*($I$104^2)+'LINEST VARS'!$N$64*($B121^2)+'LINEST VARS'!$M$64*(4^2)+'LINEST VARS'!$L$64*(0.5^2)+'LINEST VARS'!$K$64*(12.73^2)+'LINEST VARS'!$J$64*($I$104*$B121)+'LINEST VARS'!$I$64*($I$104*4)+'LINEST VARS'!$H$64*($I$104*0.5)+'LINEST VARS'!$G$64*($I$104*12.73)+'LINEST VARS'!$F$64*($B121*4)+'LINEST VARS'!$E$64*($B121*0.5)+'LINEST VARS'!$D$64*($B121*12.73)+'LINEST VARS'!$C$64*(4*0.5)+'LINEST VARS'!$B$64*(4*12.73)+'LINEST VARS'!$A$64*(0.5*12.73)</f>
        <v>164.18999999999988</v>
      </c>
      <c r="J121" s="55">
        <f>'LINEST VARS'!$U$64+'LINEST VARS'!$T$64*($J$104)+'LINEST VARS'!$S$64*($B121)+'LINEST VARS'!$R$64*(4)+'LINEST VARS'!$Q$64*(0.5)+'LINEST VARS'!$P$64*(12.73)+'LINEST VARS'!$O$64*($J$104^2)+'LINEST VARS'!$N$64*($B121^2)+'LINEST VARS'!$M$64*(4^2)+'LINEST VARS'!$L$64*(0.5^2)+'LINEST VARS'!$K$64*(12.73^2)+'LINEST VARS'!$J$64*($J$104*$B121)+'LINEST VARS'!$I$64*($J$104*4)+'LINEST VARS'!$H$64*($J$104*0.5)+'LINEST VARS'!$G$64*($J$104*12.73)+'LINEST VARS'!$F$64*($B121*4)+'LINEST VARS'!$E$64*($B121*0.5)+'LINEST VARS'!$D$64*($B121*12.73)+'LINEST VARS'!$C$64*(4*0.5)+'LINEST VARS'!$B$64*(4*12.73)+'LINEST VARS'!$A$64*(0.5*12.73)</f>
        <v>164.18999999999988</v>
      </c>
      <c r="K121" s="55">
        <f>'LINEST VARS'!$U$64+'LINEST VARS'!$T$64*($K$104)+'LINEST VARS'!$S$64*($B121)+'LINEST VARS'!$R$64*(4)+'LINEST VARS'!$Q$64*(0.5)+'LINEST VARS'!$P$64*(12.73)+'LINEST VARS'!$O$64*($K$104^2)+'LINEST VARS'!$N$64*($B121^2)+'LINEST VARS'!$M$64*(4^2)+'LINEST VARS'!$L$64*(0.5^2)+'LINEST VARS'!$K$64*(12.73^2)+'LINEST VARS'!$J$64*($K$104*$B121)+'LINEST VARS'!$I$64*($K$104*4)+'LINEST VARS'!$H$64*($K$104*0.5)+'LINEST VARS'!$G$64*($K$104*12.73)+'LINEST VARS'!$F$64*($B121*4)+'LINEST VARS'!$E$64*($B121*0.5)+'LINEST VARS'!$D$64*($B121*12.73)+'LINEST VARS'!$C$64*(4*0.5)+'LINEST VARS'!$B$64*(4*12.73)+'LINEST VARS'!$A$64*(0.5*12.73)</f>
        <v>164.18999999999988</v>
      </c>
      <c r="L121" s="55">
        <f>'LINEST VARS'!$U$64+'LINEST VARS'!$T$64*($L$104)+'LINEST VARS'!$S$64*($B121)+'LINEST VARS'!$R$64*(4)+'LINEST VARS'!$Q$64*(0.5)+'LINEST VARS'!$P$64*(12.73)+'LINEST VARS'!$O$64*($L$104^2)+'LINEST VARS'!$N$64*($B121^2)+'LINEST VARS'!$M$64*(4^2)+'LINEST VARS'!$L$64*(0.5^2)+'LINEST VARS'!$K$64*(12.73^2)+'LINEST VARS'!$J$64*($L$104*$B121)+'LINEST VARS'!$I$64*($L$104*4)+'LINEST VARS'!$H$64*($L$104*0.5)+'LINEST VARS'!$G$64*($L$104*12.73)+'LINEST VARS'!$F$64*($B121*4)+'LINEST VARS'!$E$64*($B121*0.5)+'LINEST VARS'!$D$64*($B121*12.73)+'LINEST VARS'!$C$64*(4*0.5)+'LINEST VARS'!$B$64*(4*12.73)+'LINEST VARS'!$A$64*(0.5*12.73)</f>
        <v>164.18999999999988</v>
      </c>
      <c r="M121" s="55">
        <f>'LINEST VARS'!$U$64+'LINEST VARS'!$T$64*($M$104)+'LINEST VARS'!$S$64*($B121)+'LINEST VARS'!$R$64*(4)+'LINEST VARS'!$Q$64*(0.5)+'LINEST VARS'!$P$64*(12.73)+'LINEST VARS'!$O$64*($M$104^2)+'LINEST VARS'!$N$64*($B121^2)+'LINEST VARS'!$M$64*(4^2)+'LINEST VARS'!$L$64*(0.5^2)+'LINEST VARS'!$K$64*(12.73^2)+'LINEST VARS'!$J$64*($M$104*$B121)+'LINEST VARS'!$I$64*($M$104*4)+'LINEST VARS'!$H$64*($M$104*0.5)+'LINEST VARS'!$G$64*($M$104*12.73)+'LINEST VARS'!$F$64*($B121*4)+'LINEST VARS'!$E$64*($B121*0.5)+'LINEST VARS'!$D$64*($B121*12.73)+'LINEST VARS'!$C$64*(4*0.5)+'LINEST VARS'!$B$64*(4*12.73)+'LINEST VARS'!$A$64*(0.5*12.73)</f>
        <v>164.18999999999988</v>
      </c>
      <c r="N121" s="55">
        <f>'LINEST VARS'!$U$64+'LINEST VARS'!$T$64*($N$104)+'LINEST VARS'!$S$64*($B121)+'LINEST VARS'!$R$64*(4)+'LINEST VARS'!$Q$64*(0.5)+'LINEST VARS'!$P$64*(12.73)+'LINEST VARS'!$O$64*($N$104^2)+'LINEST VARS'!$N$64*($B121^2)+'LINEST VARS'!$M$64*(4^2)+'LINEST VARS'!$L$64*(0.5^2)+'LINEST VARS'!$K$64*(12.73^2)+'LINEST VARS'!$J$64*($N$104*$B121)+'LINEST VARS'!$I$64*($N$104*4)+'LINEST VARS'!$H$64*($N$104*0.5)+'LINEST VARS'!$G$64*($N$104*12.73)+'LINEST VARS'!$F$64*($B121*4)+'LINEST VARS'!$E$64*($B121*0.5)+'LINEST VARS'!$D$64*($B121*12.73)+'LINEST VARS'!$C$64*(4*0.5)+'LINEST VARS'!$B$64*(4*12.73)+'LINEST VARS'!$A$64*(0.5*12.73)</f>
        <v>164.18999999999988</v>
      </c>
      <c r="O121" s="55">
        <f>'LINEST VARS'!$U$64+'LINEST VARS'!$T$64*($O$104)+'LINEST VARS'!$S$64*($B121)+'LINEST VARS'!$R$64*(4)+'LINEST VARS'!$Q$64*(0.5)+'LINEST VARS'!$P$64*(12.73)+'LINEST VARS'!$O$64*($O$104^2)+'LINEST VARS'!$N$64*($B121^2)+'LINEST VARS'!$M$64*(4^2)+'LINEST VARS'!$L$64*(0.5^2)+'LINEST VARS'!$K$64*(12.73^2)+'LINEST VARS'!$J$64*($O$104*$B121)+'LINEST VARS'!$I$64*($O$104*4)+'LINEST VARS'!$H$64*($O$104*0.5)+'LINEST VARS'!$G$64*($O$104*12.73)+'LINEST VARS'!$F$64*($B121*4)+'LINEST VARS'!$E$64*($B121*0.5)+'LINEST VARS'!$D$64*($B121*12.73)+'LINEST VARS'!$C$64*(4*0.5)+'LINEST VARS'!$B$64*(4*12.73)+'LINEST VARS'!$A$64*(0.5*12.73)</f>
        <v>164.18999999999988</v>
      </c>
      <c r="P121" s="55">
        <f>'LINEST VARS'!$U$64+'LINEST VARS'!$T$64*($P$104)+'LINEST VARS'!$S$64*($B121)+'LINEST VARS'!$R$64*(4)+'LINEST VARS'!$Q$64*(0.5)+'LINEST VARS'!$P$64*(12.73)+'LINEST VARS'!$O$64*($P$104^2)+'LINEST VARS'!$N$64*($B121^2)+'LINEST VARS'!$M$64*(4^2)+'LINEST VARS'!$L$64*(0.5^2)+'LINEST VARS'!$K$64*(12.73^2)+'LINEST VARS'!$J$64*($P$104*$B121)+'LINEST VARS'!$I$64*($P$104*4)+'LINEST VARS'!$H$64*($P$104*0.5)+'LINEST VARS'!$G$64*($P$104*12.73)+'LINEST VARS'!$F$64*($B121*4)+'LINEST VARS'!$E$64*($B121*0.5)+'LINEST VARS'!$D$64*($B121*12.73)+'LINEST VARS'!$C$64*(4*0.5)+'LINEST VARS'!$B$64*(4*12.73)+'LINEST VARS'!$A$64*(0.5*12.73)</f>
        <v>164.18999999999991</v>
      </c>
      <c r="Q121" s="55">
        <f>'LINEST VARS'!$U$64+'LINEST VARS'!$T$64*($Q$104)+'LINEST VARS'!$S$64*($B121)+'LINEST VARS'!$R$64*(4)+'LINEST VARS'!$Q$64*(0.5)+'LINEST VARS'!$P$64*(12.73)+'LINEST VARS'!$O$64*($Q$104^2)+'LINEST VARS'!$N$64*($B121^2)+'LINEST VARS'!$M$64*(4^2)+'LINEST VARS'!$L$64*(0.5^2)+'LINEST VARS'!$K$64*(12.73^2)+'LINEST VARS'!$J$64*($Q$104*$B121)+'LINEST VARS'!$I$64*($Q$104*4)+'LINEST VARS'!$H$64*($Q$104*0.5)+'LINEST VARS'!$G$64*($Q$104*12.73)+'LINEST VARS'!$F$64*($B121*4)+'LINEST VARS'!$E$64*($B121*0.5)+'LINEST VARS'!$D$64*($B121*12.73)+'LINEST VARS'!$C$64*(4*0.5)+'LINEST VARS'!$B$64*(4*12.73)+'LINEST VARS'!$A$64*(0.5*12.73)</f>
        <v>164.18999999999991</v>
      </c>
      <c r="R121" s="55">
        <f>'LINEST VARS'!$U$64+'LINEST VARS'!$T$64*($R$104)+'LINEST VARS'!$S$64*($B121)+'LINEST VARS'!$R$64*(4)+'LINEST VARS'!$Q$64*(0.5)+'LINEST VARS'!$P$64*(12.73)+'LINEST VARS'!$O$64*($R$104^2)+'LINEST VARS'!$N$64*($B121^2)+'LINEST VARS'!$M$64*(4^2)+'LINEST VARS'!$L$64*(0.5^2)+'LINEST VARS'!$K$64*(12.73^2)+'LINEST VARS'!$J$64*($R$104*$B121)+'LINEST VARS'!$I$64*($R$104*4)+'LINEST VARS'!$H$64*($R$104*0.5)+'LINEST VARS'!$G$64*($R$104*12.73)+'LINEST VARS'!$F$64*($B121*4)+'LINEST VARS'!$E$64*($B121*0.5)+'LINEST VARS'!$D$64*($B121*12.73)+'LINEST VARS'!$C$64*(4*0.5)+'LINEST VARS'!$B$64*(4*12.73)+'LINEST VARS'!$A$64*(0.5*12.73)</f>
        <v>164.18999999999991</v>
      </c>
      <c r="S121" s="55">
        <f>'LINEST VARS'!$U$64+'LINEST VARS'!$T$64*($S$104)+'LINEST VARS'!$S$64*($B121)+'LINEST VARS'!$R$64*(4)+'LINEST VARS'!$Q$64*(0.5)+'LINEST VARS'!$P$64*(12.73)+'LINEST VARS'!$O$64*($S$104^2)+'LINEST VARS'!$N$64*($B121^2)+'LINEST VARS'!$M$64*(4^2)+'LINEST VARS'!$L$64*(0.5^2)+'LINEST VARS'!$K$64*(12.73^2)+'LINEST VARS'!$J$64*($S$104*$B121)+'LINEST VARS'!$I$64*($S$104*4)+'LINEST VARS'!$H$64*($S$104*0.5)+'LINEST VARS'!$G$64*($S$104*12.73)+'LINEST VARS'!$F$64*($B121*4)+'LINEST VARS'!$E$64*($B121*0.5)+'LINEST VARS'!$D$64*($B121*12.73)+'LINEST VARS'!$C$64*(4*0.5)+'LINEST VARS'!$B$64*(4*12.73)+'LINEST VARS'!$A$64*(0.5*12.73)</f>
        <v>164.18999999999991</v>
      </c>
      <c r="T121" s="55">
        <f>'LINEST VARS'!$U$64+'LINEST VARS'!$T$64*($T$104)+'LINEST VARS'!$S$64*($B121)+'LINEST VARS'!$R$64*(4)+'LINEST VARS'!$Q$64*(0.5)+'LINEST VARS'!$P$64*(12.73)+'LINEST VARS'!$O$64*($T$104^2)+'LINEST VARS'!$N$64*($B121^2)+'LINEST VARS'!$M$64*(4^2)+'LINEST VARS'!$L$64*(0.5^2)+'LINEST VARS'!$K$64*(12.73^2)+'LINEST VARS'!$J$64*($T$104*$B121)+'LINEST VARS'!$I$64*($T$104*4)+'LINEST VARS'!$H$64*($T$104*0.5)+'LINEST VARS'!$G$64*($T$104*12.73)+'LINEST VARS'!$F$64*($B121*4)+'LINEST VARS'!$E$64*($B121*0.5)+'LINEST VARS'!$D$64*($B121*12.73)+'LINEST VARS'!$C$64*(4*0.5)+'LINEST VARS'!$B$64*(4*12.73)+'LINEST VARS'!$A$64*(0.5*12.73)</f>
        <v>164.18999999999991</v>
      </c>
      <c r="U121" s="55">
        <f>'LINEST VARS'!$U$64+'LINEST VARS'!$T$64*($U$104)+'LINEST VARS'!$S$64*($B121)+'LINEST VARS'!$R$64*(4)+'LINEST VARS'!$Q$64*(0.5)+'LINEST VARS'!$P$64*(12.73)+'LINEST VARS'!$O$64*($U$104^2)+'LINEST VARS'!$N$64*($B121^2)+'LINEST VARS'!$M$64*(4^2)+'LINEST VARS'!$L$64*(0.5^2)+'LINEST VARS'!$K$64*(12.73^2)+'LINEST VARS'!$J$64*($U$104*$B121)+'LINEST VARS'!$I$64*($U$104*4)+'LINEST VARS'!$H$64*($U$104*0.5)+'LINEST VARS'!$G$64*($U$104*12.73)+'LINEST VARS'!$F$64*($B121*4)+'LINEST VARS'!$E$64*($B121*0.5)+'LINEST VARS'!$D$64*($B121*12.73)+'LINEST VARS'!$C$64*(4*0.5)+'LINEST VARS'!$B$64*(4*12.73)+'LINEST VARS'!$A$64*(0.5*12.73)</f>
        <v>164.18999999999991</v>
      </c>
      <c r="V121" s="55">
        <f>'LINEST VARS'!$U$64+'LINEST VARS'!$T$64*($V$104)+'LINEST VARS'!$S$64*($B121)+'LINEST VARS'!$R$64*(4)+'LINEST VARS'!$Q$64*(0.5)+'LINEST VARS'!$P$64*(12.73)+'LINEST VARS'!$O$64*($V$104^2)+'LINEST VARS'!$N$64*($B121^2)+'LINEST VARS'!$M$64*(4^2)+'LINEST VARS'!$L$64*(0.5^2)+'LINEST VARS'!$K$64*(12.73^2)+'LINEST VARS'!$J$64*($V$104*$B121)+'LINEST VARS'!$I$64*($V$104*4)+'LINEST VARS'!$H$64*($V$104*0.5)+'LINEST VARS'!$G$64*($V$104*12.73)+'LINEST VARS'!$F$64*($B121*4)+'LINEST VARS'!$E$64*($B121*0.5)+'LINEST VARS'!$D$64*($B121*12.73)+'LINEST VARS'!$C$64*(4*0.5)+'LINEST VARS'!$B$64*(4*12.73)+'LINEST VARS'!$A$64*(0.5*12.73)</f>
        <v>164.18999999999991</v>
      </c>
      <c r="W121" s="56">
        <f>'LINEST VARS'!$U$64+'LINEST VARS'!$T$64*($W$104)+'LINEST VARS'!$S$64*($B121)+'LINEST VARS'!$R$64*(4)+'LINEST VARS'!$Q$64*(0.5)+'LINEST VARS'!$P$64*(12.73)+'LINEST VARS'!$O$64*($W$104^2)+'LINEST VARS'!$N$64*($B121^2)+'LINEST VARS'!$M$64*(4^2)+'LINEST VARS'!$L$64*(0.5^2)+'LINEST VARS'!$K$64*(12.73^2)+'LINEST VARS'!$J$64*($W$104*$B121)+'LINEST VARS'!$I$64*($W$104*4)+'LINEST VARS'!$H$64*($W$104*0.5)+'LINEST VARS'!$G$64*($W$104*12.73)+'LINEST VARS'!$F$64*($B121*4)+'LINEST VARS'!$E$64*($B121*0.5)+'LINEST VARS'!$D$64*($B121*12.73)+'LINEST VARS'!$C$64*(4*0.5)+'LINEST VARS'!$B$64*(4*12.73)+'LINEST VARS'!$A$64*(0.5*12.73)</f>
        <v>164.18999999999991</v>
      </c>
      <c r="Z121" s="45">
        <v>8.36</v>
      </c>
      <c r="AA121" s="46">
        <f>'LINEST VARS'!$U$66+'LINEST VARS'!$T$66*($AA$104)+'LINEST VARS'!$S$66*($Z121)+'LINEST VARS'!$R$66*(4)+'LINEST VARS'!$Q$66*(0.5)+'LINEST VARS'!$P$66*(12.73)+'LINEST VARS'!$O$66*($AA$104^2)+'LINEST VARS'!$N$66*($Z121^2)+'LINEST VARS'!$M$66*(4^2)+'LINEST VARS'!$L$66*(0.5^2)+'LINEST VARS'!$K$66*(12.73^2)+'LINEST VARS'!$J$66*($AA$104*$Z121)+'LINEST VARS'!$I$66*($AA$104*4)+'LINEST VARS'!$H$66*($AA$104*0.5)+'LINEST VARS'!$G$66*($AA$104*12.73)+'LINEST VARS'!$F$66*($Z121*4)+'LINEST VARS'!$E$66*($Z121*0.5)+'LINEST VARS'!$D$66*($Z121*12.73)+'LINEST VARS'!$C$66*(4*0.5)+'LINEST VARS'!$B$66*(4*12.73)+'LINEST VARS'!$A$66*(0.5*12.73)</f>
        <v>134.20000000000005</v>
      </c>
      <c r="AB121" s="46">
        <f>'LINEST VARS'!$U$66+'LINEST VARS'!$T$66*($AB$104)+'LINEST VARS'!$S$66*($Z121)+'LINEST VARS'!$R$66*(4)+'LINEST VARS'!$Q$66*(0.5)+'LINEST VARS'!$P$66*(12.73)+'LINEST VARS'!$O$66*($AB$104^2)+'LINEST VARS'!$N$66*($Z121^2)+'LINEST VARS'!$M$66*(4^2)+'LINEST VARS'!$L$66*(0.5^2)+'LINEST VARS'!$K$66*(12.73^2)+'LINEST VARS'!$J$66*($AB$104*$Z121)+'LINEST VARS'!$I$66*($AB$104*4)+'LINEST VARS'!$H$66*($AB$104*0.5)+'LINEST VARS'!$G$66*($AB$104*12.73)+'LINEST VARS'!$F$66*($Z121*4)+'LINEST VARS'!$E$66*($Z121*0.5)+'LINEST VARS'!$D$66*($Z121*12.73)+'LINEST VARS'!$C$66*(4*0.5)+'LINEST VARS'!$B$66*(4*12.73)+'LINEST VARS'!$A$66*(0.5*12.73)</f>
        <v>134.38000000000005</v>
      </c>
      <c r="AC121" s="46">
        <f>'LINEST VARS'!$U$66+'LINEST VARS'!$T$66*($AC$104)+'LINEST VARS'!$S$66*($Z121)+'LINEST VARS'!$R$66*(4)+'LINEST VARS'!$Q$66*(0.5)+'LINEST VARS'!$P$66*(12.73)+'LINEST VARS'!$O$66*($AC$104^2)+'LINEST VARS'!$N$66*($Z121^2)+'LINEST VARS'!$M$66*(4^2)+'LINEST VARS'!$L$66*(0.5^2)+'LINEST VARS'!$K$66*(12.73^2)+'LINEST VARS'!$J$66*($AC$104*$Z121)+'LINEST VARS'!$I$66*($AC$104*4)+'LINEST VARS'!$H$66*($AC$104*0.5)+'LINEST VARS'!$G$66*($AC$104*12.73)+'LINEST VARS'!$F$66*($Z121*4)+'LINEST VARS'!$E$66*($Z121*0.5)+'LINEST VARS'!$D$66*($Z121*12.73)+'LINEST VARS'!$C$66*(4*0.5)+'LINEST VARS'!$B$66*(4*12.73)+'LINEST VARS'!$A$66*(0.5*12.73)</f>
        <v>134.56000000000003</v>
      </c>
      <c r="AD121" s="46">
        <f>'LINEST VARS'!$U$66+'LINEST VARS'!$T$66*($AD$104)+'LINEST VARS'!$S$66*($Z121)+'LINEST VARS'!$R$66*(4)+'LINEST VARS'!$Q$66*(0.5)+'LINEST VARS'!$P$66*(12.73)+'LINEST VARS'!$O$66*($AD$104^2)+'LINEST VARS'!$N$66*($Z121^2)+'LINEST VARS'!$M$66*(4^2)+'LINEST VARS'!$L$66*(0.5^2)+'LINEST VARS'!$K$66*(12.73^2)+'LINEST VARS'!$J$66*($AD$104*$Z121)+'LINEST VARS'!$I$66*($AD$104*4)+'LINEST VARS'!$H$66*($AD$104*0.5)+'LINEST VARS'!$G$66*($AD$104*12.73)+'LINEST VARS'!$F$66*($Z121*4)+'LINEST VARS'!$E$66*($Z121*0.5)+'LINEST VARS'!$D$66*($Z121*12.73)+'LINEST VARS'!$C$66*(4*0.5)+'LINEST VARS'!$B$66*(4*12.73)+'LINEST VARS'!$A$66*(0.5*12.73)</f>
        <v>134.74000000000004</v>
      </c>
      <c r="AE121" s="46">
        <f>'LINEST VARS'!$U$66+'LINEST VARS'!$T$66*($AE$104)+'LINEST VARS'!$S$66*($Z121)+'LINEST VARS'!$R$66*(4)+'LINEST VARS'!$Q$66*(0.5)+'LINEST VARS'!$P$66*(12.73)+'LINEST VARS'!$O$66*($AE$104^2)+'LINEST VARS'!$N$66*($Z121^2)+'LINEST VARS'!$M$66*(4^2)+'LINEST VARS'!$L$66*(0.5^2)+'LINEST VARS'!$K$66*(12.73^2)+'LINEST VARS'!$J$66*($AE$104*$Z121)+'LINEST VARS'!$I$66*($AE$104*4)+'LINEST VARS'!$H$66*($AE$104*0.5)+'LINEST VARS'!$G$66*($AE$104*12.73)+'LINEST VARS'!$F$66*($Z121*4)+'LINEST VARS'!$E$66*($Z121*0.5)+'LINEST VARS'!$D$66*($Z121*12.73)+'LINEST VARS'!$C$66*(4*0.5)+'LINEST VARS'!$B$66*(4*12.73)+'LINEST VARS'!$A$66*(0.5*12.73)</f>
        <v>134.92000000000004</v>
      </c>
      <c r="AF121" s="46">
        <f>'LINEST VARS'!$U$66+'LINEST VARS'!$T$66*($AF$104)+'LINEST VARS'!$S$66*($Z121)+'LINEST VARS'!$R$66*(4)+'LINEST VARS'!$Q$66*(0.5)+'LINEST VARS'!$P$66*(12.73)+'LINEST VARS'!$O$66*($AF$104^2)+'LINEST VARS'!$N$66*($Z121^2)+'LINEST VARS'!$M$66*(4^2)+'LINEST VARS'!$L$66*(0.5^2)+'LINEST VARS'!$K$66*(12.73^2)+'LINEST VARS'!$J$66*($AF$104*$Z121)+'LINEST VARS'!$I$66*($AF$104*4)+'LINEST VARS'!$H$66*($AF$104*0.5)+'LINEST VARS'!$G$66*($AF$104*12.73)+'LINEST VARS'!$F$66*($Z121*4)+'LINEST VARS'!$E$66*($Z121*0.5)+'LINEST VARS'!$D$66*($Z121*12.73)+'LINEST VARS'!$C$66*(4*0.5)+'LINEST VARS'!$B$66*(4*12.73)+'LINEST VARS'!$A$66*(0.5*12.73)</f>
        <v>135.10000000000005</v>
      </c>
      <c r="AG121" s="46">
        <f>'LINEST VARS'!$U$66+'LINEST VARS'!$T$66*($AG$104)+'LINEST VARS'!$S$66*($Z121)+'LINEST VARS'!$R$66*(4)+'LINEST VARS'!$Q$66*(0.5)+'LINEST VARS'!$P$66*(12.73)+'LINEST VARS'!$O$66*($AG$104^2)+'LINEST VARS'!$N$66*($Z121^2)+'LINEST VARS'!$M$66*(4^2)+'LINEST VARS'!$L$66*(0.5^2)+'LINEST VARS'!$K$66*(12.73^2)+'LINEST VARS'!$J$66*($AG$104*$Z121)+'LINEST VARS'!$I$66*($AG$104*4)+'LINEST VARS'!$H$66*($AG$104*0.5)+'LINEST VARS'!$G$66*($AG$104*12.73)+'LINEST VARS'!$F$66*($Z121*4)+'LINEST VARS'!$E$66*($Z121*0.5)+'LINEST VARS'!$D$66*($Z121*12.73)+'LINEST VARS'!$C$66*(4*0.5)+'LINEST VARS'!$B$66*(4*12.73)+'LINEST VARS'!$A$66*(0.5*12.73)</f>
        <v>135.28000000000003</v>
      </c>
      <c r="AH121" s="46">
        <f>'LINEST VARS'!$U$66+'LINEST VARS'!$T$66*($AH$104)+'LINEST VARS'!$S$66*($Z121)+'LINEST VARS'!$R$66*(4)+'LINEST VARS'!$Q$66*(0.5)+'LINEST VARS'!$P$66*(12.73)+'LINEST VARS'!$O$66*($AH$104^2)+'LINEST VARS'!$N$66*($Z121^2)+'LINEST VARS'!$M$66*(4^2)+'LINEST VARS'!$L$66*(0.5^2)+'LINEST VARS'!$K$66*(12.73^2)+'LINEST VARS'!$J$66*($AH$104*$Z121)+'LINEST VARS'!$I$66*($AH$104*4)+'LINEST VARS'!$H$66*($AH$104*0.5)+'LINEST VARS'!$G$66*($AH$104*12.73)+'LINEST VARS'!$F$66*($Z121*4)+'LINEST VARS'!$E$66*($Z121*0.5)+'LINEST VARS'!$D$66*($Z121*12.73)+'LINEST VARS'!$C$66*(4*0.5)+'LINEST VARS'!$B$66*(4*12.73)+'LINEST VARS'!$A$66*(0.5*12.73)</f>
        <v>135.46000000000004</v>
      </c>
      <c r="AI121" s="46">
        <f>'LINEST VARS'!$U$66+'LINEST VARS'!$T$66*($AI$104)+'LINEST VARS'!$S$66*($Z121)+'LINEST VARS'!$R$66*(4)+'LINEST VARS'!$Q$66*(0.5)+'LINEST VARS'!$P$66*(12.73)+'LINEST VARS'!$O$66*($AI$104^2)+'LINEST VARS'!$N$66*($Z121^2)+'LINEST VARS'!$M$66*(4^2)+'LINEST VARS'!$L$66*(0.5^2)+'LINEST VARS'!$K$66*(12.73^2)+'LINEST VARS'!$J$66*($AI$104*$Z121)+'LINEST VARS'!$I$66*($AI$104*4)+'LINEST VARS'!$H$66*($AI$104*0.5)+'LINEST VARS'!$G$66*($AI$104*12.73)+'LINEST VARS'!$F$66*($Z121*4)+'LINEST VARS'!$E$66*($Z121*0.5)+'LINEST VARS'!$D$66*($Z121*12.73)+'LINEST VARS'!$C$66*(4*0.5)+'LINEST VARS'!$B$66*(4*12.73)+'LINEST VARS'!$A$66*(0.5*12.73)</f>
        <v>135.64000000000004</v>
      </c>
      <c r="AJ121" s="46">
        <f>'LINEST VARS'!$U$66+'LINEST VARS'!$T$66*($AJ$104)+'LINEST VARS'!$S$66*($Z121)+'LINEST VARS'!$R$66*(4)+'LINEST VARS'!$Q$66*(0.5)+'LINEST VARS'!$P$66*(12.73)+'LINEST VARS'!$O$66*($AJ$104^2)+'LINEST VARS'!$N$66*($Z121^2)+'LINEST VARS'!$M$66*(4^2)+'LINEST VARS'!$L$66*(0.5^2)+'LINEST VARS'!$K$66*(12.73^2)+'LINEST VARS'!$J$66*($AJ$104*$Z121)+'LINEST VARS'!$I$66*($AJ$104*4)+'LINEST VARS'!$H$66*($AJ$104*0.5)+'LINEST VARS'!$G$66*($AJ$104*12.73)+'LINEST VARS'!$F$66*($Z121*4)+'LINEST VARS'!$E$66*($Z121*0.5)+'LINEST VARS'!$D$66*($Z121*12.73)+'LINEST VARS'!$C$66*(4*0.5)+'LINEST VARS'!$B$66*(4*12.73)+'LINEST VARS'!$A$66*(0.5*12.73)</f>
        <v>135.82000000000005</v>
      </c>
      <c r="AK121" s="46">
        <f>'LINEST VARS'!$U$66+'LINEST VARS'!$T$66*($AK$104)+'LINEST VARS'!$S$66*($Z121)+'LINEST VARS'!$R$66*(4)+'LINEST VARS'!$Q$66*(0.5)+'LINEST VARS'!$P$66*(12.73)+'LINEST VARS'!$O$66*($AK$104^2)+'LINEST VARS'!$N$66*($Z121^2)+'LINEST VARS'!$M$66*(4^2)+'LINEST VARS'!$L$66*(0.5^2)+'LINEST VARS'!$K$66*(12.73^2)+'LINEST VARS'!$J$66*($AK$104*$Z121)+'LINEST VARS'!$I$66*($AK$104*4)+'LINEST VARS'!$H$66*($AK$104*0.5)+'LINEST VARS'!$G$66*($AK$104*12.73)+'LINEST VARS'!$F$66*($Z121*4)+'LINEST VARS'!$E$66*($Z121*0.5)+'LINEST VARS'!$D$66*($Z121*12.73)+'LINEST VARS'!$C$66*(4*0.5)+'LINEST VARS'!$B$66*(4*12.73)+'LINEST VARS'!$A$66*(0.5*12.73)</f>
        <v>136.00000000000003</v>
      </c>
      <c r="AL121" s="46">
        <f>'LINEST VARS'!$U$66+'LINEST VARS'!$T$66*($AL$104)+'LINEST VARS'!$S$66*($Z121)+'LINEST VARS'!$R$66*(4)+'LINEST VARS'!$Q$66*(0.5)+'LINEST VARS'!$P$66*(12.73)+'LINEST VARS'!$O$66*($AL$104^2)+'LINEST VARS'!$N$66*($Z121^2)+'LINEST VARS'!$M$66*(4^2)+'LINEST VARS'!$L$66*(0.5^2)+'LINEST VARS'!$K$66*(12.73^2)+'LINEST VARS'!$J$66*($AL$104*$Z121)+'LINEST VARS'!$I$66*($AL$104*4)+'LINEST VARS'!$H$66*($AL$104*0.5)+'LINEST VARS'!$G$66*($AL$104*12.73)+'LINEST VARS'!$F$66*($Z121*4)+'LINEST VARS'!$E$66*($Z121*0.5)+'LINEST VARS'!$D$66*($Z121*12.73)+'LINEST VARS'!$C$66*(4*0.5)+'LINEST VARS'!$B$66*(4*12.73)+'LINEST VARS'!$A$66*(0.5*12.73)</f>
        <v>136.18000000000004</v>
      </c>
      <c r="AM121" s="46">
        <f>'LINEST VARS'!$U$66+'LINEST VARS'!$T$66*($AM$104)+'LINEST VARS'!$S$66*($Z121)+'LINEST VARS'!$R$66*(4)+'LINEST VARS'!$Q$66*(0.5)+'LINEST VARS'!$P$66*(12.73)+'LINEST VARS'!$O$66*($AM$104^2)+'LINEST VARS'!$N$66*($Z121^2)+'LINEST VARS'!$M$66*(4^2)+'LINEST VARS'!$L$66*(0.5^2)+'LINEST VARS'!$K$66*(12.73^2)+'LINEST VARS'!$J$66*($AM$104*$Z121)+'LINEST VARS'!$I$66*($AM$104*4)+'LINEST VARS'!$H$66*($AM$104*0.5)+'LINEST VARS'!$G$66*($AM$104*12.73)+'LINEST VARS'!$F$66*($Z121*4)+'LINEST VARS'!$E$66*($Z121*0.5)+'LINEST VARS'!$D$66*($Z121*12.73)+'LINEST VARS'!$C$66*(4*0.5)+'LINEST VARS'!$B$66*(4*12.73)+'LINEST VARS'!$A$66*(0.5*12.73)</f>
        <v>136.36000000000004</v>
      </c>
      <c r="AN121" s="46">
        <f>'LINEST VARS'!$U$66+'LINEST VARS'!$T$66*($AN$104)+'LINEST VARS'!$S$66*($Z121)+'LINEST VARS'!$R$66*(4)+'LINEST VARS'!$Q$66*(0.5)+'LINEST VARS'!$P$66*(12.73)+'LINEST VARS'!$O$66*($AN$104^2)+'LINEST VARS'!$N$66*($Z121^2)+'LINEST VARS'!$M$66*(4^2)+'LINEST VARS'!$L$66*(0.5^2)+'LINEST VARS'!$K$66*(12.73^2)+'LINEST VARS'!$J$66*($AN$104*$Z121)+'LINEST VARS'!$I$66*($AN$104*4)+'LINEST VARS'!$H$66*($AN$104*0.5)+'LINEST VARS'!$G$66*($AN$104*12.73)+'LINEST VARS'!$F$66*($Z121*4)+'LINEST VARS'!$E$66*($Z121*0.5)+'LINEST VARS'!$D$66*($Z121*12.73)+'LINEST VARS'!$C$66*(4*0.5)+'LINEST VARS'!$B$66*(4*12.73)+'LINEST VARS'!$A$66*(0.5*12.73)</f>
        <v>136.54000000000005</v>
      </c>
      <c r="AO121" s="46">
        <f>'LINEST VARS'!$U$66+'LINEST VARS'!$T$66*($AO$104)+'LINEST VARS'!$S$66*($Z121)+'LINEST VARS'!$R$66*(4)+'LINEST VARS'!$Q$66*(0.5)+'LINEST VARS'!$P$66*(12.73)+'LINEST VARS'!$O$66*($AO$104^2)+'LINEST VARS'!$N$66*($Z121^2)+'LINEST VARS'!$M$66*(4^2)+'LINEST VARS'!$L$66*(0.5^2)+'LINEST VARS'!$K$66*(12.73^2)+'LINEST VARS'!$J$66*($AO$104*$Z121)+'LINEST VARS'!$I$66*($AO$104*4)+'LINEST VARS'!$H$66*($AO$104*0.5)+'LINEST VARS'!$G$66*($AO$104*12.73)+'LINEST VARS'!$F$66*($Z121*4)+'LINEST VARS'!$E$66*($Z121*0.5)+'LINEST VARS'!$D$66*($Z121*12.73)+'LINEST VARS'!$C$66*(4*0.5)+'LINEST VARS'!$B$66*(4*12.73)+'LINEST VARS'!$A$66*(0.5*12.73)</f>
        <v>136.72000000000003</v>
      </c>
      <c r="AP121" s="46">
        <f>'LINEST VARS'!$U$66+'LINEST VARS'!$T$66*($AP$104)+'LINEST VARS'!$S$66*($Z121)+'LINEST VARS'!$R$66*(4)+'LINEST VARS'!$Q$66*(0.5)+'LINEST VARS'!$P$66*(12.73)+'LINEST VARS'!$O$66*($AP$104^2)+'LINEST VARS'!$N$66*($Z121^2)+'LINEST VARS'!$M$66*(4^2)+'LINEST VARS'!$L$66*(0.5^2)+'LINEST VARS'!$K$66*(12.73^2)+'LINEST VARS'!$J$66*($AP$104*$Z121)+'LINEST VARS'!$I$66*($AP$104*4)+'LINEST VARS'!$H$66*($AP$104*0.5)+'LINEST VARS'!$G$66*($AP$104*12.73)+'LINEST VARS'!$F$66*($Z121*4)+'LINEST VARS'!$E$66*($Z121*0.5)+'LINEST VARS'!$D$66*($Z121*12.73)+'LINEST VARS'!$C$66*(4*0.5)+'LINEST VARS'!$B$66*(4*12.73)+'LINEST VARS'!$A$66*(0.5*12.73)</f>
        <v>136.90000000000003</v>
      </c>
      <c r="AQ121" s="46">
        <f>'LINEST VARS'!$U$66+'LINEST VARS'!$T$66*($AQ$104)+'LINEST VARS'!$S$66*($Z121)+'LINEST VARS'!$R$66*(4)+'LINEST VARS'!$Q$66*(0.5)+'LINEST VARS'!$P$66*(12.73)+'LINEST VARS'!$O$66*($AQ$104^2)+'LINEST VARS'!$N$66*($Z121^2)+'LINEST VARS'!$M$66*(4^2)+'LINEST VARS'!$L$66*(0.5^2)+'LINEST VARS'!$K$66*(12.73^2)+'LINEST VARS'!$J$66*($AQ$104*$Z121)+'LINEST VARS'!$I$66*($AQ$104*4)+'LINEST VARS'!$H$66*($AQ$104*0.5)+'LINEST VARS'!$G$66*($AQ$104*12.73)+'LINEST VARS'!$F$66*($Z121*4)+'LINEST VARS'!$E$66*($Z121*0.5)+'LINEST VARS'!$D$66*($Z121*12.73)+'LINEST VARS'!$C$66*(4*0.5)+'LINEST VARS'!$B$66*(4*12.73)+'LINEST VARS'!$A$66*(0.5*12.73)</f>
        <v>137.08000000000004</v>
      </c>
      <c r="AR121" s="46">
        <f>'LINEST VARS'!$U$66+'LINEST VARS'!$T$66*($AR$104)+'LINEST VARS'!$S$66*($Z121)+'LINEST VARS'!$R$66*(4)+'LINEST VARS'!$Q$66*(0.5)+'LINEST VARS'!$P$66*(12.73)+'LINEST VARS'!$O$66*($AR$104^2)+'LINEST VARS'!$N$66*($Z121^2)+'LINEST VARS'!$M$66*(4^2)+'LINEST VARS'!$L$66*(0.5^2)+'LINEST VARS'!$K$66*(12.73^2)+'LINEST VARS'!$J$66*($AR$104*$Z121)+'LINEST VARS'!$I$66*($AR$104*4)+'LINEST VARS'!$H$66*($AR$104*0.5)+'LINEST VARS'!$G$66*($AR$104*12.73)+'LINEST VARS'!$F$66*($Z121*4)+'LINEST VARS'!$E$66*($Z121*0.5)+'LINEST VARS'!$D$66*($Z121*12.73)+'LINEST VARS'!$C$66*(4*0.5)+'LINEST VARS'!$B$66*(4*12.73)+'LINEST VARS'!$A$66*(0.5*12.73)</f>
        <v>137.26000000000005</v>
      </c>
      <c r="AS121" s="46">
        <f>'LINEST VARS'!$U$66+'LINEST VARS'!$T$66*($AS$104)+'LINEST VARS'!$S$66*($Z121)+'LINEST VARS'!$R$66*(4)+'LINEST VARS'!$Q$66*(0.5)+'LINEST VARS'!$P$66*(12.73)+'LINEST VARS'!$O$66*($AS$104^2)+'LINEST VARS'!$N$66*($Z121^2)+'LINEST VARS'!$M$66*(4^2)+'LINEST VARS'!$L$66*(0.5^2)+'LINEST VARS'!$K$66*(12.73^2)+'LINEST VARS'!$J$66*($AS$104*$Z121)+'LINEST VARS'!$I$66*($AS$104*4)+'LINEST VARS'!$H$66*($AS$104*0.5)+'LINEST VARS'!$G$66*($AS$104*12.73)+'LINEST VARS'!$F$66*($Z121*4)+'LINEST VARS'!$E$66*($Z121*0.5)+'LINEST VARS'!$D$66*($Z121*12.73)+'LINEST VARS'!$C$66*(4*0.5)+'LINEST VARS'!$B$66*(4*12.73)+'LINEST VARS'!$A$66*(0.5*12.73)</f>
        <v>137.44000000000003</v>
      </c>
      <c r="AT121" s="46">
        <f>'LINEST VARS'!$U$66+'LINEST VARS'!$T$66*($AT$104)+'LINEST VARS'!$S$66*($Z121)+'LINEST VARS'!$R$66*(4)+'LINEST VARS'!$Q$66*(0.5)+'LINEST VARS'!$P$66*(12.73)+'LINEST VARS'!$O$66*($AT$104^2)+'LINEST VARS'!$N$66*($Z121^2)+'LINEST VARS'!$M$66*(4^2)+'LINEST VARS'!$L$66*(0.5^2)+'LINEST VARS'!$K$66*(12.73^2)+'LINEST VARS'!$J$66*($AT$104*$Z121)+'LINEST VARS'!$I$66*($AT$104*4)+'LINEST VARS'!$H$66*($AT$104*0.5)+'LINEST VARS'!$G$66*($AT$104*12.73)+'LINEST VARS'!$F$66*($Z121*4)+'LINEST VARS'!$E$66*($Z121*0.5)+'LINEST VARS'!$D$66*($Z121*12.73)+'LINEST VARS'!$C$66*(4*0.5)+'LINEST VARS'!$B$66*(4*12.73)+'LINEST VARS'!$A$66*(0.5*12.73)</f>
        <v>137.62000000000003</v>
      </c>
      <c r="AU121" s="47">
        <f>'LINEST VARS'!$U$66+'LINEST VARS'!$T$66*($AU$104)+'LINEST VARS'!$S$66*($Z121)+'LINEST VARS'!$R$66*(4)+'LINEST VARS'!$Q$66*(0.5)+'LINEST VARS'!$P$66*(12.73)+'LINEST VARS'!$O$66*($AU$104^2)+'LINEST VARS'!$N$66*($Z121^2)+'LINEST VARS'!$M$66*(4^2)+'LINEST VARS'!$L$66*(0.5^2)+'LINEST VARS'!$K$66*(12.73^2)+'LINEST VARS'!$J$66*($AU$104*$Z121)+'LINEST VARS'!$I$66*($AU$104*4)+'LINEST VARS'!$H$66*($AU$104*0.5)+'LINEST VARS'!$G$66*($AU$104*12.73)+'LINEST VARS'!$F$66*($Z121*4)+'LINEST VARS'!$E$66*($Z121*0.5)+'LINEST VARS'!$D$66*($Z121*12.73)+'LINEST VARS'!$C$66*(4*0.5)+'LINEST VARS'!$B$66*(4*12.73)+'LINEST VARS'!$A$66*(0.5*12.73)</f>
        <v>137.80000000000004</v>
      </c>
      <c r="AZ121" s="45">
        <v>0.8</v>
      </c>
      <c r="BA121" s="55">
        <f>'LINEST VARS'!$U$64+'LINEST VARS'!$T$64*(8)+'LINEST VARS'!$S$64*(8)+'LINEST VARS'!$R$64*($BA$104)+'LINEST VARS'!$Q$64*($AZ121)+'LINEST VARS'!$P$64*(12.73)+'LINEST VARS'!$O$64*(8^2)+'LINEST VARS'!$N$64*(8^2)+'LINEST VARS'!$M$64*($BA$104^2)+'LINEST VARS'!$L$64*($AZ121^2)+'LINEST VARS'!$K$64*(12.73^2)+'LINEST VARS'!$J$64*(8*8)+'LINEST VARS'!$I$64*(8*$BA$104)+'LINEST VARS'!$H$64*(8*$AZ121)+'LINEST VARS'!$G$64*(8*12.73)+'LINEST VARS'!$F$64*(8*$BA$104)+'LINEST VARS'!$E$64*(8*$AZ121)+'LINEST VARS'!$D$64*(8*12.73)+'LINEST VARS'!$C$64*($BA$104*$AZ121)+'LINEST VARS'!$B$64*($BA$104*12.73)+'LINEST VARS'!$A$64*($AZ121*12.73)</f>
        <v>148.18999999999988</v>
      </c>
      <c r="BB121" s="55">
        <f>'LINEST VARS'!$U$64+'LINEST VARS'!$T$64*(8)+'LINEST VARS'!$S$64*(8)+'LINEST VARS'!$R$64*($BB$104)+'LINEST VARS'!$Q$64*($AZ121)+'LINEST VARS'!$P$64*(12.73)+'LINEST VARS'!$O$64*(8^2)+'LINEST VARS'!$N$64*(8^2)+'LINEST VARS'!$M$64*($BB$104^2)+'LINEST VARS'!$L$64*($AZ121^2)+'LINEST VARS'!$K$64*(12.73^2)+'LINEST VARS'!$J$64*(8*8)+'LINEST VARS'!$I$64*(8*$BB$104)+'LINEST VARS'!$H$64*(8*$AZ121)+'LINEST VARS'!$G$64*(8*12.73)+'LINEST VARS'!$F$64*(8*$BB$104)+'LINEST VARS'!$E$64*(8*$AZ121)+'LINEST VARS'!$D$64*(8*12.73)+'LINEST VARS'!$C$64*($BB$104*$AZ121)+'LINEST VARS'!$B$64*($BB$104*12.73)+'LINEST VARS'!$A$64*($AZ121*12.73)</f>
        <v>149.78999999999985</v>
      </c>
      <c r="BC121" s="55">
        <f>'LINEST VARS'!$U$64+'LINEST VARS'!$T$64*(8)+'LINEST VARS'!$S$64*(8)+'LINEST VARS'!$R$64*($BC$104)+'LINEST VARS'!$Q$64*($AZ121)+'LINEST VARS'!$P$64*(12.73)+'LINEST VARS'!$O$64*(8^2)+'LINEST VARS'!$N$64*(8^2)+'LINEST VARS'!$M$64*($BC$104^2)+'LINEST VARS'!$L$64*($AZ121^2)+'LINEST VARS'!$K$64*(12.73^2)+'LINEST VARS'!$J$64*(8*8)+'LINEST VARS'!$I$64*(8*$BC$104)+'LINEST VARS'!$H$64*(8*$AZ121)+'LINEST VARS'!$G$64*(8*12.73)+'LINEST VARS'!$F$64*(8*$BC$104)+'LINEST VARS'!$E$64*(8*$AZ121)+'LINEST VARS'!$D$64*(8*12.73)+'LINEST VARS'!$C$64*($BC$104*$AZ121)+'LINEST VARS'!$B$64*($BC$104*12.73)+'LINEST VARS'!$A$64*($AZ121*12.73)</f>
        <v>151.38999999999987</v>
      </c>
      <c r="BD121" s="55">
        <f>'LINEST VARS'!$U$64+'LINEST VARS'!$T$64*(8)+'LINEST VARS'!$S$64*(8)+'LINEST VARS'!$R$64*($BD$104)+'LINEST VARS'!$Q$64*($AZ121)+'LINEST VARS'!$P$64*(12.73)+'LINEST VARS'!$O$64*(8^2)+'LINEST VARS'!$N$64*(8^2)+'LINEST VARS'!$M$64*($BD$104^2)+'LINEST VARS'!$L$64*($AZ121^2)+'LINEST VARS'!$K$64*(12.73^2)+'LINEST VARS'!$J$64*(8*8)+'LINEST VARS'!$I$64*(8*$BD$104)+'LINEST VARS'!$H$64*(8*$AZ121)+'LINEST VARS'!$G$64*(8*12.73)+'LINEST VARS'!$F$64*(8*$BD$104)+'LINEST VARS'!$E$64*(8*$AZ121)+'LINEST VARS'!$D$64*(8*12.73)+'LINEST VARS'!$C$64*($BD$104*$AZ121)+'LINEST VARS'!$B$64*($BD$104*12.73)+'LINEST VARS'!$A$64*($AZ121*12.73)</f>
        <v>152.98999999999987</v>
      </c>
      <c r="BE121" s="55">
        <f>'LINEST VARS'!$U$64+'LINEST VARS'!$T$64*(8)+'LINEST VARS'!$S$64*(8)+'LINEST VARS'!$R$64*($BE$104)+'LINEST VARS'!$Q$64*($AZ121)+'LINEST VARS'!$P$64*(12.73)+'LINEST VARS'!$O$64*(8^2)+'LINEST VARS'!$N$64*(8^2)+'LINEST VARS'!$M$64*($BE$104^2)+'LINEST VARS'!$L$64*($AZ121^2)+'LINEST VARS'!$K$64*(12.73^2)+'LINEST VARS'!$J$64*(8*8)+'LINEST VARS'!$I$64*(8*$BE$104)+'LINEST VARS'!$H$64*(8*$AZ121)+'LINEST VARS'!$G$64*(8*12.73)+'LINEST VARS'!$F$64*(8*$BE$104)+'LINEST VARS'!$E$64*(8*$AZ121)+'LINEST VARS'!$D$64*(8*12.73)+'LINEST VARS'!$C$64*($BE$104*$AZ121)+'LINEST VARS'!$B$64*($BE$104*12.73)+'LINEST VARS'!$A$64*($AZ121*12.73)</f>
        <v>154.58999999999986</v>
      </c>
      <c r="BF121" s="55">
        <f>'LINEST VARS'!$U$64+'LINEST VARS'!$T$64*(8)+'LINEST VARS'!$S$64*(8)+'LINEST VARS'!$R$64*($BF$104)+'LINEST VARS'!$Q$64*($AZ121)+'LINEST VARS'!$P$64*(12.73)+'LINEST VARS'!$O$64*(8^2)+'LINEST VARS'!$N$64*(8^2)+'LINEST VARS'!$M$64*($BF$104^2)+'LINEST VARS'!$L$64*($AZ121^2)+'LINEST VARS'!$K$64*(12.73^2)+'LINEST VARS'!$J$64*(8*8)+'LINEST VARS'!$I$64*(8*$BF$104)+'LINEST VARS'!$H$64*(8*$AZ121)+'LINEST VARS'!$G$64*(8*12.73)+'LINEST VARS'!$F$64*(8*$BF$104)+'LINEST VARS'!$E$64*(8*$AZ121)+'LINEST VARS'!$D$64*(8*12.73)+'LINEST VARS'!$C$64*($BF$104*$AZ121)+'LINEST VARS'!$B$64*($BF$104*12.73)+'LINEST VARS'!$A$64*($AZ121*12.73)</f>
        <v>156.18999999999988</v>
      </c>
      <c r="BG121" s="55">
        <f>'LINEST VARS'!$U$64+'LINEST VARS'!$T$64*(8)+'LINEST VARS'!$S$64*(8)+'LINEST VARS'!$R$64*($BG$104)+'LINEST VARS'!$Q$64*($AZ121)+'LINEST VARS'!$P$64*(12.73)+'LINEST VARS'!$O$64*(8^2)+'LINEST VARS'!$N$64*(8^2)+'LINEST VARS'!$M$64*($BG$104^2)+'LINEST VARS'!$L$64*($AZ121^2)+'LINEST VARS'!$K$64*(12.73^2)+'LINEST VARS'!$J$64*(8*8)+'LINEST VARS'!$I$64*(8*$BG$104)+'LINEST VARS'!$H$64*(8*$AZ121)+'LINEST VARS'!$G$64*(8*12.73)+'LINEST VARS'!$F$64*(8*$BG$104)+'LINEST VARS'!$E$64*(8*$AZ121)+'LINEST VARS'!$D$64*(8*12.73)+'LINEST VARS'!$C$64*($BG$104*$AZ121)+'LINEST VARS'!$B$64*($BG$104*12.73)+'LINEST VARS'!$A$64*($AZ121*12.73)</f>
        <v>157.78999999999985</v>
      </c>
      <c r="BH121" s="55">
        <f>'LINEST VARS'!$U$64+'LINEST VARS'!$T$64*(8)+'LINEST VARS'!$S$64*(8)+'LINEST VARS'!$R$64*($BH$104)+'LINEST VARS'!$Q$64*($AZ121)+'LINEST VARS'!$P$64*(12.73)+'LINEST VARS'!$O$64*(8^2)+'LINEST VARS'!$N$64*(8^2)+'LINEST VARS'!$M$64*($BH$104^2)+'LINEST VARS'!$L$64*($AZ121^2)+'LINEST VARS'!$K$64*(12.73^2)+'LINEST VARS'!$J$64*(8*8)+'LINEST VARS'!$I$64*(8*$BH$104)+'LINEST VARS'!$H$64*(8*$AZ121)+'LINEST VARS'!$G$64*(8*12.73)+'LINEST VARS'!$F$64*(8*$BH$104)+'LINEST VARS'!$E$64*(8*$AZ121)+'LINEST VARS'!$D$64*(8*12.73)+'LINEST VARS'!$C$64*($BH$104*$AZ121)+'LINEST VARS'!$B$64*($BH$104*12.73)+'LINEST VARS'!$A$64*($AZ121*12.73)</f>
        <v>159.38999999999987</v>
      </c>
      <c r="BI121" s="55">
        <f>'LINEST VARS'!$U$64+'LINEST VARS'!$T$64*(8)+'LINEST VARS'!$S$64*(8)+'LINEST VARS'!$R$64*($BI$104)+'LINEST VARS'!$Q$64*($AZ121)+'LINEST VARS'!$P$64*(12.73)+'LINEST VARS'!$O$64*(8^2)+'LINEST VARS'!$N$64*(8^2)+'LINEST VARS'!$M$64*($BI$104^2)+'LINEST VARS'!$L$64*($AZ121^2)+'LINEST VARS'!$K$64*(12.73^2)+'LINEST VARS'!$J$64*(8*8)+'LINEST VARS'!$I$64*(8*$BI$104)+'LINEST VARS'!$H$64*(8*$AZ121)+'LINEST VARS'!$G$64*(8*12.73)+'LINEST VARS'!$F$64*(8*$BI$104)+'LINEST VARS'!$E$64*(8*$AZ121)+'LINEST VARS'!$D$64*(8*12.73)+'LINEST VARS'!$C$64*($BI$104*$AZ121)+'LINEST VARS'!$B$64*($BI$104*12.73)+'LINEST VARS'!$A$64*($AZ121*12.73)</f>
        <v>160.9899999999999</v>
      </c>
      <c r="BJ121" s="55">
        <f>'LINEST VARS'!$U$64+'LINEST VARS'!$T$64*(8)+'LINEST VARS'!$S$64*(8)+'LINEST VARS'!$R$64*($BJ$104)+'LINEST VARS'!$Q$64*($AZ121)+'LINEST VARS'!$P$64*(12.73)+'LINEST VARS'!$O$64*(8^2)+'LINEST VARS'!$N$64*(8^2)+'LINEST VARS'!$M$64*($BJ$104^2)+'LINEST VARS'!$L$64*($AZ121^2)+'LINEST VARS'!$K$64*(12.73^2)+'LINEST VARS'!$J$64*(8*8)+'LINEST VARS'!$I$64*(8*$BJ$104)+'LINEST VARS'!$H$64*(8*$AZ121)+'LINEST VARS'!$G$64*(8*12.73)+'LINEST VARS'!$F$64*(8*$BJ$104)+'LINEST VARS'!$E$64*(8*$AZ121)+'LINEST VARS'!$D$64*(8*12.73)+'LINEST VARS'!$C$64*($BJ$104*$AZ121)+'LINEST VARS'!$B$64*($BJ$104*12.73)+'LINEST VARS'!$A$64*($AZ121*12.73)</f>
        <v>162.58999999999986</v>
      </c>
      <c r="BK121" s="55">
        <f>'LINEST VARS'!$U$64+'LINEST VARS'!$T$64*(8)+'LINEST VARS'!$S$64*(8)+'LINEST VARS'!$R$64*($BK$104)+'LINEST VARS'!$Q$64*($AZ121)+'LINEST VARS'!$P$64*(12.73)+'LINEST VARS'!$O$64*(8^2)+'LINEST VARS'!$N$64*(8^2)+'LINEST VARS'!$M$64*($BK$104^2)+'LINEST VARS'!$L$64*($AZ121^2)+'LINEST VARS'!$K$64*(12.73^2)+'LINEST VARS'!$J$64*(8*8)+'LINEST VARS'!$I$64*(8*$BK$104)+'LINEST VARS'!$H$64*(8*$AZ121)+'LINEST VARS'!$G$64*(8*12.73)+'LINEST VARS'!$F$64*(8*$BK$104)+'LINEST VARS'!$E$64*(8*$AZ121)+'LINEST VARS'!$D$64*(8*12.73)+'LINEST VARS'!$C$64*($BK$104*$AZ121)+'LINEST VARS'!$B$64*($BK$104*12.73)+'LINEST VARS'!$A$64*($AZ121*12.73)</f>
        <v>164.18999999999988</v>
      </c>
      <c r="BL121" s="55">
        <f>'LINEST VARS'!$U$64+'LINEST VARS'!$T$64*(8)+'LINEST VARS'!$S$64*(8)+'LINEST VARS'!$R$64*($BL$104)+'LINEST VARS'!$Q$64*($AZ121)+'LINEST VARS'!$P$64*(12.73)+'LINEST VARS'!$O$64*(8^2)+'LINEST VARS'!$N$64*(8^2)+'LINEST VARS'!$M$64*($BL$104^2)+'LINEST VARS'!$L$64*($AZ121^2)+'LINEST VARS'!$K$64*(12.73^2)+'LINEST VARS'!$J$64*(8*8)+'LINEST VARS'!$I$64*(8*$BL$104)+'LINEST VARS'!$H$64*(8*$AZ121)+'LINEST VARS'!$G$64*(8*12.73)+'LINEST VARS'!$F$64*(8*$BL$104)+'LINEST VARS'!$E$64*(8*$AZ121)+'LINEST VARS'!$D$64*(8*12.73)+'LINEST VARS'!$C$64*($BL$104*$AZ121)+'LINEST VARS'!$B$64*($BL$104*12.73)+'LINEST VARS'!$A$64*($AZ121*12.73)</f>
        <v>165.78999999999988</v>
      </c>
      <c r="BM121" s="55">
        <f>'LINEST VARS'!$U$64+'LINEST VARS'!$T$64*(8)+'LINEST VARS'!$S$64*(8)+'LINEST VARS'!$R$64*($BM$104)+'LINEST VARS'!$Q$64*($AZ121)+'LINEST VARS'!$P$64*(12.73)+'LINEST VARS'!$O$64*(8^2)+'LINEST VARS'!$N$64*(8^2)+'LINEST VARS'!$M$64*($BM$104^2)+'LINEST VARS'!$L$64*($AZ121^2)+'LINEST VARS'!$K$64*(12.73^2)+'LINEST VARS'!$J$64*(8*8)+'LINEST VARS'!$I$64*(8*$BM$104)+'LINEST VARS'!$H$64*(8*$AZ121)+'LINEST VARS'!$G$64*(8*12.73)+'LINEST VARS'!$F$64*(8*$BM$104)+'LINEST VARS'!$E$64*(8*$AZ121)+'LINEST VARS'!$D$64*(8*12.73)+'LINEST VARS'!$C$64*($BM$104*$AZ121)+'LINEST VARS'!$B$64*($BM$104*12.73)+'LINEST VARS'!$A$64*($AZ121*12.73)</f>
        <v>167.38999999999987</v>
      </c>
      <c r="BN121" s="55">
        <f>'LINEST VARS'!$U$64+'LINEST VARS'!$T$64*(8)+'LINEST VARS'!$S$64*(8)+'LINEST VARS'!$R$64*($BN$104)+'LINEST VARS'!$Q$64*($AZ121)+'LINEST VARS'!$P$64*(12.73)+'LINEST VARS'!$O$64*(8^2)+'LINEST VARS'!$N$64*(8^2)+'LINEST VARS'!$M$64*($BN$104^2)+'LINEST VARS'!$L$64*($AZ121^2)+'LINEST VARS'!$K$64*(12.73^2)+'LINEST VARS'!$J$64*(8*8)+'LINEST VARS'!$I$64*(8*$BN$104)+'LINEST VARS'!$H$64*(8*$AZ121)+'LINEST VARS'!$G$64*(8*12.73)+'LINEST VARS'!$F$64*(8*$BN$104)+'LINEST VARS'!$E$64*(8*$AZ121)+'LINEST VARS'!$D$64*(8*12.73)+'LINEST VARS'!$C$64*($BN$104*$AZ121)+'LINEST VARS'!$B$64*($BN$104*12.73)+'LINEST VARS'!$A$64*($AZ121*12.73)</f>
        <v>168.9899999999999</v>
      </c>
      <c r="BO121" s="55">
        <f>'LINEST VARS'!$U$64+'LINEST VARS'!$T$64*(8)+'LINEST VARS'!$S$64*(8)+'LINEST VARS'!$R$64*($BO$104)+'LINEST VARS'!$Q$64*($AZ121)+'LINEST VARS'!$P$64*(12.73)+'LINEST VARS'!$O$64*(8^2)+'LINEST VARS'!$N$64*(8^2)+'LINEST VARS'!$M$64*($BO$104^2)+'LINEST VARS'!$L$64*($AZ121^2)+'LINEST VARS'!$K$64*(12.73^2)+'LINEST VARS'!$J$64*(8*8)+'LINEST VARS'!$I$64*(8*$BO$104)+'LINEST VARS'!$H$64*(8*$AZ121)+'LINEST VARS'!$G$64*(8*12.73)+'LINEST VARS'!$F$64*(8*$BO$104)+'LINEST VARS'!$E$64*(8*$AZ121)+'LINEST VARS'!$D$64*(8*12.73)+'LINEST VARS'!$C$64*($BO$104*$AZ121)+'LINEST VARS'!$B$64*($BO$104*12.73)+'LINEST VARS'!$A$64*($AZ121*12.73)</f>
        <v>170.58999999999983</v>
      </c>
      <c r="BP121" s="55">
        <f>'LINEST VARS'!$U$64+'LINEST VARS'!$T$64*(8)+'LINEST VARS'!$S$64*(8)+'LINEST VARS'!$R$64*($BP$104)+'LINEST VARS'!$Q$64*($AZ121)+'LINEST VARS'!$P$64*(12.73)+'LINEST VARS'!$O$64*(8^2)+'LINEST VARS'!$N$64*(8^2)+'LINEST VARS'!$M$64*($BP$104^2)+'LINEST VARS'!$L$64*($AZ121^2)+'LINEST VARS'!$K$64*(12.73^2)+'LINEST VARS'!$J$64*(8*8)+'LINEST VARS'!$I$64*(8*$BP$104)+'LINEST VARS'!$H$64*(8*$AZ121)+'LINEST VARS'!$G$64*(8*12.73)+'LINEST VARS'!$F$64*(8*$BP$104)+'LINEST VARS'!$E$64*(8*$AZ121)+'LINEST VARS'!$D$64*(8*12.73)+'LINEST VARS'!$C$64*($BP$104*$AZ121)+'LINEST VARS'!$B$64*($BP$104*12.73)+'LINEST VARS'!$A$64*($AZ121*12.73)</f>
        <v>172.18999999999986</v>
      </c>
      <c r="BQ121" s="55">
        <f>'LINEST VARS'!$U$64+'LINEST VARS'!$T$64*(8)+'LINEST VARS'!$S$64*(8)+'LINEST VARS'!$R$64*($BQ$104)+'LINEST VARS'!$Q$64*($AZ121)+'LINEST VARS'!$P$64*(12.73)+'LINEST VARS'!$O$64*(8^2)+'LINEST VARS'!$N$64*(8^2)+'LINEST VARS'!$M$64*($BQ$104^2)+'LINEST VARS'!$L$64*($AZ121^2)+'LINEST VARS'!$K$64*(12.73^2)+'LINEST VARS'!$J$64*(8*8)+'LINEST VARS'!$I$64*(8*$BQ$104)+'LINEST VARS'!$H$64*(8*$AZ121)+'LINEST VARS'!$G$64*(8*12.73)+'LINEST VARS'!$F$64*(8*$BQ$104)+'LINEST VARS'!$E$64*(8*$AZ121)+'LINEST VARS'!$D$64*(8*12.73)+'LINEST VARS'!$C$64*($BQ$104*$AZ121)+'LINEST VARS'!$B$64*($BQ$104*12.73)+'LINEST VARS'!$A$64*($AZ121*12.73)</f>
        <v>173.78999999999988</v>
      </c>
      <c r="BR121" s="55">
        <f>'LINEST VARS'!$U$64+'LINEST VARS'!$T$64*(8)+'LINEST VARS'!$S$64*(8)+'LINEST VARS'!$R$64*($BR$104)+'LINEST VARS'!$Q$64*($AZ121)+'LINEST VARS'!$P$64*(12.73)+'LINEST VARS'!$O$64*(8^2)+'LINEST VARS'!$N$64*(8^2)+'LINEST VARS'!$M$64*($BR$104^2)+'LINEST VARS'!$L$64*($AZ121^2)+'LINEST VARS'!$K$64*(12.73^2)+'LINEST VARS'!$J$64*(8*8)+'LINEST VARS'!$I$64*(8*$BR$104)+'LINEST VARS'!$H$64*(8*$AZ121)+'LINEST VARS'!$G$64*(8*12.73)+'LINEST VARS'!$F$64*(8*$BR$104)+'LINEST VARS'!$E$64*(8*$AZ121)+'LINEST VARS'!$D$64*(8*12.73)+'LINEST VARS'!$C$64*($BR$104*$AZ121)+'LINEST VARS'!$B$64*($BR$104*12.73)+'LINEST VARS'!$A$64*($AZ121*12.73)</f>
        <v>175.38999999999984</v>
      </c>
      <c r="BS121" s="55">
        <f>'LINEST VARS'!$U$64+'LINEST VARS'!$T$64*(8)+'LINEST VARS'!$S$64*(8)+'LINEST VARS'!$R$64*($BS$104)+'LINEST VARS'!$Q$64*($AZ121)+'LINEST VARS'!$P$64*(12.73)+'LINEST VARS'!$O$64*(8^2)+'LINEST VARS'!$N$64*(8^2)+'LINEST VARS'!$M$64*($BS$104^2)+'LINEST VARS'!$L$64*($AZ121^2)+'LINEST VARS'!$K$64*(12.73^2)+'LINEST VARS'!$J$64*(8*8)+'LINEST VARS'!$I$64*(8*$BS$104)+'LINEST VARS'!$H$64*(8*$AZ121)+'LINEST VARS'!$G$64*(8*12.73)+'LINEST VARS'!$F$64*(8*$BS$104)+'LINEST VARS'!$E$64*(8*$AZ121)+'LINEST VARS'!$D$64*(8*12.73)+'LINEST VARS'!$C$64*($BS$104*$AZ121)+'LINEST VARS'!$B$64*($BS$104*12.73)+'LINEST VARS'!$A$64*($AZ121*12.73)</f>
        <v>176.98999999999987</v>
      </c>
      <c r="BT121" s="55">
        <f>'LINEST VARS'!$U$64+'LINEST VARS'!$T$64*(8)+'LINEST VARS'!$S$64*(8)+'LINEST VARS'!$R$64*($BT$104)+'LINEST VARS'!$Q$64*($AZ121)+'LINEST VARS'!$P$64*(12.73)+'LINEST VARS'!$O$64*(8^2)+'LINEST VARS'!$N$64*(8^2)+'LINEST VARS'!$M$64*($BT$104^2)+'LINEST VARS'!$L$64*($AZ121^2)+'LINEST VARS'!$K$64*(12.73^2)+'LINEST VARS'!$J$64*(8*8)+'LINEST VARS'!$I$64*(8*$BT$104)+'LINEST VARS'!$H$64*(8*$AZ121)+'LINEST VARS'!$G$64*(8*12.73)+'LINEST VARS'!$F$64*(8*$BT$104)+'LINEST VARS'!$E$64*(8*$AZ121)+'LINEST VARS'!$D$64*(8*12.73)+'LINEST VARS'!$C$64*($BT$104*$AZ121)+'LINEST VARS'!$B$64*($BT$104*12.73)+'LINEST VARS'!$A$64*($AZ121*12.73)</f>
        <v>178.58999999999983</v>
      </c>
      <c r="BU121" s="56">
        <f>'LINEST VARS'!$U$64+'LINEST VARS'!$T$64*(8)+'LINEST VARS'!$S$64*(8)+'LINEST VARS'!$R$64*($BU$104)+'LINEST VARS'!$Q$64*($AZ121)+'LINEST VARS'!$P$64*(12.73)+'LINEST VARS'!$O$64*(8^2)+'LINEST VARS'!$N$64*(8^2)+'LINEST VARS'!$M$64*($BU$104^2)+'LINEST VARS'!$L$64*($AZ121^2)+'LINEST VARS'!$K$64*(12.73^2)+'LINEST VARS'!$J$64*(8*8)+'LINEST VARS'!$I$64*(8*$BU$104)+'LINEST VARS'!$H$64*(8*$AZ121)+'LINEST VARS'!$G$64*(8*12.73)+'LINEST VARS'!$F$64*(8*$BU$104)+'LINEST VARS'!$E$64*(8*$AZ121)+'LINEST VARS'!$D$64*(8*12.73)+'LINEST VARS'!$C$64*($BU$104*$AZ121)+'LINEST VARS'!$B$64*($BU$104*12.73)+'LINEST VARS'!$A$64*($AZ121*12.73)</f>
        <v>180.18999999999986</v>
      </c>
      <c r="BX121" s="45">
        <v>0.8</v>
      </c>
      <c r="BY121" s="46">
        <f>'LINEST VARS'!$U$66+'LINEST VARS'!$T$66*(8)+'LINEST VARS'!$S$66*(8)+'LINEST VARS'!$R$66*($BY$104)+'LINEST VARS'!$Q$66*($BX121)+'LINEST VARS'!$P$66*(12.73)+'LINEST VARS'!$O$66*(8^2)+'LINEST VARS'!$N$66*(8^2)+'LINEST VARS'!$M$66*($BY$104^2)+'LINEST VARS'!$L$66*($BX121^2)+'LINEST VARS'!$K$66*(12.73^2)+'LINEST VARS'!$J$66*(8*8)+'LINEST VARS'!$I$66*(8*$BY$104)+'LINEST VARS'!$H$66*(8*$BX121)+'LINEST VARS'!$G$66*(8*12.73)+'LINEST VARS'!$F$66*(8*$BY$104)+'LINEST VARS'!$E$66*(8*$BX121)+'LINEST VARS'!$D$66*(8*12.73)+'LINEST VARS'!$C$66*($BY$104*$BX121)+'LINEST VARS'!$B$66*($BY$104*12.73)+'LINEST VARS'!$A$66*($BX121*12.73)</f>
        <v>144.00000000000006</v>
      </c>
      <c r="BZ121" s="46">
        <f>'LINEST VARS'!$U$66+'LINEST VARS'!$T$66*(8)+'LINEST VARS'!$S$66*(8)+'LINEST VARS'!$R$66*($BZ$104)+'LINEST VARS'!$Q$66*($BX121)+'LINEST VARS'!$P$66*(12.73)+'LINEST VARS'!$O$66*(8^2)+'LINEST VARS'!$N$66*(8^2)+'LINEST VARS'!$M$66*($BZ$104^2)+'LINEST VARS'!$L$66*($BX121^2)+'LINEST VARS'!$K$66*(12.73^2)+'LINEST VARS'!$J$66*(8*8)+'LINEST VARS'!$I$66*(8*$BZ$104)+'LINEST VARS'!$H$66*(8*$BX121)+'LINEST VARS'!$G$66*(8*12.73)+'LINEST VARS'!$F$66*(8*$BZ$104)+'LINEST VARS'!$E$66*(8*$BX121)+'LINEST VARS'!$D$66*(8*12.73)+'LINEST VARS'!$C$66*($BZ$104*$BX121)+'LINEST VARS'!$B$66*($BZ$104*12.73)+'LINEST VARS'!$A$66*($BX121*12.73)</f>
        <v>143.20000000000007</v>
      </c>
      <c r="CA121" s="46">
        <f>'LINEST VARS'!$U$66+'LINEST VARS'!$T$66*(8)+'LINEST VARS'!$S$66*(8)+'LINEST VARS'!$R$66*($CA$104)+'LINEST VARS'!$Q$66*($BX121)+'LINEST VARS'!$P$66*(12.73)+'LINEST VARS'!$O$66*(8^2)+'LINEST VARS'!$N$66*(8^2)+'LINEST VARS'!$M$66*($CA$104^2)+'LINEST VARS'!$L$66*($BX121^2)+'LINEST VARS'!$K$66*(12.73^2)+'LINEST VARS'!$J$66*(8*8)+'LINEST VARS'!$I$66*(8*$CA$104)+'LINEST VARS'!$H$66*(8*$BX121)+'LINEST VARS'!$G$66*(8*12.73)+'LINEST VARS'!$F$66*(8*$CA$104)+'LINEST VARS'!$E$66*(8*$BX121)+'LINEST VARS'!$D$66*(8*12.73)+'LINEST VARS'!$C$66*($CA$104*$BX121)+'LINEST VARS'!$B$66*($CA$104*12.73)+'LINEST VARS'!$A$66*($BX121*12.73)</f>
        <v>142.40000000000006</v>
      </c>
      <c r="CB121" s="46">
        <f>'LINEST VARS'!$U$66+'LINEST VARS'!$T$66*(8)+'LINEST VARS'!$S$66*(8)+'LINEST VARS'!$R$66*($CB$104)+'LINEST VARS'!$Q$66*($BX121)+'LINEST VARS'!$P$66*(12.73)+'LINEST VARS'!$O$66*(8^2)+'LINEST VARS'!$N$66*(8^2)+'LINEST VARS'!$M$66*($CB$104^2)+'LINEST VARS'!$L$66*($BX121^2)+'LINEST VARS'!$K$66*(12.73^2)+'LINEST VARS'!$J$66*(8*8)+'LINEST VARS'!$I$66*(8*$CB$104)+'LINEST VARS'!$H$66*(8*$BX121)+'LINEST VARS'!$G$66*(8*12.73)+'LINEST VARS'!$F$66*(8*$CB$104)+'LINEST VARS'!$E$66*(8*$BX121)+'LINEST VARS'!$D$66*(8*12.73)+'LINEST VARS'!$C$66*($CB$104*$BX121)+'LINEST VARS'!$B$66*($CB$104*12.73)+'LINEST VARS'!$A$66*($BX121*12.73)</f>
        <v>141.60000000000008</v>
      </c>
      <c r="CC121" s="46">
        <f>'LINEST VARS'!$U$66+'LINEST VARS'!$T$66*(8)+'LINEST VARS'!$S$66*(8)+'LINEST VARS'!$R$66*($CC$104)+'LINEST VARS'!$Q$66*($BX121)+'LINEST VARS'!$P$66*(12.73)+'LINEST VARS'!$O$66*(8^2)+'LINEST VARS'!$N$66*(8^2)+'LINEST VARS'!$M$66*($CC$104^2)+'LINEST VARS'!$L$66*($BX121^2)+'LINEST VARS'!$K$66*(12.73^2)+'LINEST VARS'!$J$66*(8*8)+'LINEST VARS'!$I$66*(8*$CC$104)+'LINEST VARS'!$H$66*(8*$BX121)+'LINEST VARS'!$G$66*(8*12.73)+'LINEST VARS'!$F$66*(8*$CC$104)+'LINEST VARS'!$E$66*(8*$BX121)+'LINEST VARS'!$D$66*(8*12.73)+'LINEST VARS'!$C$66*($CC$104*$BX121)+'LINEST VARS'!$B$66*($CC$104*12.73)+'LINEST VARS'!$A$66*($BX121*12.73)</f>
        <v>140.80000000000007</v>
      </c>
      <c r="CD121" s="46">
        <f>'LINEST VARS'!$U$66+'LINEST VARS'!$T$66*(8)+'LINEST VARS'!$S$66*(8)+'LINEST VARS'!$R$66*($CD$104)+'LINEST VARS'!$Q$66*($BX121)+'LINEST VARS'!$P$66*(12.73)+'LINEST VARS'!$O$66*(8^2)+'LINEST VARS'!$N$66*(8^2)+'LINEST VARS'!$M$66*($CD$104^2)+'LINEST VARS'!$L$66*($BX121^2)+'LINEST VARS'!$K$66*(12.73^2)+'LINEST VARS'!$J$66*(8*8)+'LINEST VARS'!$I$66*(8*$CD$104)+'LINEST VARS'!$H$66*(8*$BX121)+'LINEST VARS'!$G$66*(8*12.73)+'LINEST VARS'!$F$66*(8*$CD$104)+'LINEST VARS'!$E$66*(8*$BX121)+'LINEST VARS'!$D$66*(8*12.73)+'LINEST VARS'!$C$66*($CD$104*$BX121)+'LINEST VARS'!$B$66*($CD$104*12.73)+'LINEST VARS'!$A$66*($BX121*12.73)</f>
        <v>140.00000000000009</v>
      </c>
      <c r="CE121" s="46">
        <f>'LINEST VARS'!$U$66+'LINEST VARS'!$T$66*(8)+'LINEST VARS'!$S$66*(8)+'LINEST VARS'!$R$66*($CE$104)+'LINEST VARS'!$Q$66*($BX121)+'LINEST VARS'!$P$66*(12.73)+'LINEST VARS'!$O$66*(8^2)+'LINEST VARS'!$N$66*(8^2)+'LINEST VARS'!$M$66*($CE$104^2)+'LINEST VARS'!$L$66*($BX121^2)+'LINEST VARS'!$K$66*(12.73^2)+'LINEST VARS'!$J$66*(8*8)+'LINEST VARS'!$I$66*(8*$CE$104)+'LINEST VARS'!$H$66*(8*$BX121)+'LINEST VARS'!$G$66*(8*12.73)+'LINEST VARS'!$F$66*(8*$CE$104)+'LINEST VARS'!$E$66*(8*$BX121)+'LINEST VARS'!$D$66*(8*12.73)+'LINEST VARS'!$C$66*($CE$104*$BX121)+'LINEST VARS'!$B$66*($CE$104*12.73)+'LINEST VARS'!$A$66*($BX121*12.73)</f>
        <v>139.20000000000007</v>
      </c>
      <c r="CF121" s="46">
        <f>'LINEST VARS'!$U$66+'LINEST VARS'!$T$66*(8)+'LINEST VARS'!$S$66*(8)+'LINEST VARS'!$R$66*($CF$104)+'LINEST VARS'!$Q$66*($BX121)+'LINEST VARS'!$P$66*(12.73)+'LINEST VARS'!$O$66*(8^2)+'LINEST VARS'!$N$66*(8^2)+'LINEST VARS'!$M$66*($CF$104^2)+'LINEST VARS'!$L$66*($BX121^2)+'LINEST VARS'!$K$66*(12.73^2)+'LINEST VARS'!$J$66*(8*8)+'LINEST VARS'!$I$66*(8*$CF$104)+'LINEST VARS'!$H$66*(8*$BX121)+'LINEST VARS'!$G$66*(8*12.73)+'LINEST VARS'!$F$66*(8*$CF$104)+'LINEST VARS'!$E$66*(8*$BX121)+'LINEST VARS'!$D$66*(8*12.73)+'LINEST VARS'!$C$66*($CF$104*$BX121)+'LINEST VARS'!$B$66*($CF$104*12.73)+'LINEST VARS'!$A$66*($BX121*12.73)</f>
        <v>138.40000000000009</v>
      </c>
      <c r="CG121" s="46">
        <f>'LINEST VARS'!$U$66+'LINEST VARS'!$T$66*(8)+'LINEST VARS'!$S$66*(8)+'LINEST VARS'!$R$66*($CG$104)+'LINEST VARS'!$Q$66*($BX121)+'LINEST VARS'!$P$66*(12.73)+'LINEST VARS'!$O$66*(8^2)+'LINEST VARS'!$N$66*(8^2)+'LINEST VARS'!$M$66*($CG$104^2)+'LINEST VARS'!$L$66*($BX121^2)+'LINEST VARS'!$K$66*(12.73^2)+'LINEST VARS'!$J$66*(8*8)+'LINEST VARS'!$I$66*(8*$CG$104)+'LINEST VARS'!$H$66*(8*$BX121)+'LINEST VARS'!$G$66*(8*12.73)+'LINEST VARS'!$F$66*(8*$CG$104)+'LINEST VARS'!$E$66*(8*$BX121)+'LINEST VARS'!$D$66*(8*12.73)+'LINEST VARS'!$C$66*($CG$104*$BX121)+'LINEST VARS'!$B$66*($CG$104*12.73)+'LINEST VARS'!$A$66*($BX121*12.73)</f>
        <v>137.60000000000008</v>
      </c>
      <c r="CH121" s="46">
        <f>'LINEST VARS'!$U$66+'LINEST VARS'!$T$66*(8)+'LINEST VARS'!$S$66*(8)+'LINEST VARS'!$R$66*($CH$104)+'LINEST VARS'!$Q$66*($BX121)+'LINEST VARS'!$P$66*(12.73)+'LINEST VARS'!$O$66*(8^2)+'LINEST VARS'!$N$66*(8^2)+'LINEST VARS'!$M$66*($CH$104^2)+'LINEST VARS'!$L$66*($BX121^2)+'LINEST VARS'!$K$66*(12.73^2)+'LINEST VARS'!$J$66*(8*8)+'LINEST VARS'!$I$66*(8*$CH$104)+'LINEST VARS'!$H$66*(8*$BX121)+'LINEST VARS'!$G$66*(8*12.73)+'LINEST VARS'!$F$66*(8*$CH$104)+'LINEST VARS'!$E$66*(8*$BX121)+'LINEST VARS'!$D$66*(8*12.73)+'LINEST VARS'!$C$66*($CH$104*$BX121)+'LINEST VARS'!$B$66*($CH$104*12.73)+'LINEST VARS'!$A$66*($BX121*12.73)</f>
        <v>136.80000000000007</v>
      </c>
      <c r="CI121" s="46">
        <f>'LINEST VARS'!$U$66+'LINEST VARS'!$T$66*(8)+'LINEST VARS'!$S$66*(8)+'LINEST VARS'!$R$66*($CI$104)+'LINEST VARS'!$Q$66*($BX121)+'LINEST VARS'!$P$66*(12.73)+'LINEST VARS'!$O$66*(8^2)+'LINEST VARS'!$N$66*(8^2)+'LINEST VARS'!$M$66*($CI$104^2)+'LINEST VARS'!$L$66*($BX121^2)+'LINEST VARS'!$K$66*(12.73^2)+'LINEST VARS'!$J$66*(8*8)+'LINEST VARS'!$I$66*(8*$CI$104)+'LINEST VARS'!$H$66*(8*$BX121)+'LINEST VARS'!$G$66*(8*12.73)+'LINEST VARS'!$F$66*(8*$CI$104)+'LINEST VARS'!$E$66*(8*$BX121)+'LINEST VARS'!$D$66*(8*12.73)+'LINEST VARS'!$C$66*($CI$104*$BX121)+'LINEST VARS'!$B$66*($CI$104*12.73)+'LINEST VARS'!$A$66*($BX121*12.73)</f>
        <v>136.00000000000006</v>
      </c>
      <c r="CJ121" s="46">
        <f>'LINEST VARS'!$U$66+'LINEST VARS'!$T$66*(8)+'LINEST VARS'!$S$66*(8)+'LINEST VARS'!$R$66*($CJ$104)+'LINEST VARS'!$Q$66*($BX121)+'LINEST VARS'!$P$66*(12.73)+'LINEST VARS'!$O$66*(8^2)+'LINEST VARS'!$N$66*(8^2)+'LINEST VARS'!$M$66*($CJ$104^2)+'LINEST VARS'!$L$66*($BX121^2)+'LINEST VARS'!$K$66*(12.73^2)+'LINEST VARS'!$J$66*(8*8)+'LINEST VARS'!$I$66*(8*$CJ$104)+'LINEST VARS'!$H$66*(8*$BX121)+'LINEST VARS'!$G$66*(8*12.73)+'LINEST VARS'!$F$66*(8*$CJ$104)+'LINEST VARS'!$E$66*(8*$BX121)+'LINEST VARS'!$D$66*(8*12.73)+'LINEST VARS'!$C$66*($CJ$104*$BX121)+'LINEST VARS'!$B$66*($CJ$104*12.73)+'LINEST VARS'!$A$66*($BX121*12.73)</f>
        <v>135.20000000000005</v>
      </c>
      <c r="CK121" s="46">
        <f>'LINEST VARS'!$U$66+'LINEST VARS'!$T$66*(8)+'LINEST VARS'!$S$66*(8)+'LINEST VARS'!$R$66*($CK$104)+'LINEST VARS'!$Q$66*($BX121)+'LINEST VARS'!$P$66*(12.73)+'LINEST VARS'!$O$66*(8^2)+'LINEST VARS'!$N$66*(8^2)+'LINEST VARS'!$M$66*($CK$104^2)+'LINEST VARS'!$L$66*($BX121^2)+'LINEST VARS'!$K$66*(12.73^2)+'LINEST VARS'!$J$66*(8*8)+'LINEST VARS'!$I$66*(8*$CK$104)+'LINEST VARS'!$H$66*(8*$BX121)+'LINEST VARS'!$G$66*(8*12.73)+'LINEST VARS'!$F$66*(8*$CK$104)+'LINEST VARS'!$E$66*(8*$BX121)+'LINEST VARS'!$D$66*(8*12.73)+'LINEST VARS'!$C$66*($CK$104*$BX121)+'LINEST VARS'!$B$66*($CK$104*12.73)+'LINEST VARS'!$A$66*($BX121*12.73)</f>
        <v>134.40000000000003</v>
      </c>
      <c r="CL121" s="46">
        <f>'LINEST VARS'!$U$66+'LINEST VARS'!$T$66*(8)+'LINEST VARS'!$S$66*(8)+'LINEST VARS'!$R$66*($CL$104)+'LINEST VARS'!$Q$66*($BX121)+'LINEST VARS'!$P$66*(12.73)+'LINEST VARS'!$O$66*(8^2)+'LINEST VARS'!$N$66*(8^2)+'LINEST VARS'!$M$66*($CL$104^2)+'LINEST VARS'!$L$66*($BX121^2)+'LINEST VARS'!$K$66*(12.73^2)+'LINEST VARS'!$J$66*(8*8)+'LINEST VARS'!$I$66*(8*$CL$104)+'LINEST VARS'!$H$66*(8*$BX121)+'LINEST VARS'!$G$66*(8*12.73)+'LINEST VARS'!$F$66*(8*$CL$104)+'LINEST VARS'!$E$66*(8*$BX121)+'LINEST VARS'!$D$66*(8*12.73)+'LINEST VARS'!$C$66*($CL$104*$BX121)+'LINEST VARS'!$B$66*($CL$104*12.73)+'LINEST VARS'!$A$66*($BX121*12.73)</f>
        <v>133.60000000000005</v>
      </c>
      <c r="CM121" s="46">
        <f>'LINEST VARS'!$U$66+'LINEST VARS'!$T$66*(8)+'LINEST VARS'!$S$66*(8)+'LINEST VARS'!$R$66*($CM$104)+'LINEST VARS'!$Q$66*($BX121)+'LINEST VARS'!$P$66*(12.73)+'LINEST VARS'!$O$66*(8^2)+'LINEST VARS'!$N$66*(8^2)+'LINEST VARS'!$M$66*($CM$104^2)+'LINEST VARS'!$L$66*($BX121^2)+'LINEST VARS'!$K$66*(12.73^2)+'LINEST VARS'!$J$66*(8*8)+'LINEST VARS'!$I$66*(8*$CM$104)+'LINEST VARS'!$H$66*(8*$BX121)+'LINEST VARS'!$G$66*(8*12.73)+'LINEST VARS'!$F$66*(8*$CM$104)+'LINEST VARS'!$E$66*(8*$BX121)+'LINEST VARS'!$D$66*(8*12.73)+'LINEST VARS'!$C$66*($CM$104*$BX121)+'LINEST VARS'!$B$66*($CM$104*12.73)+'LINEST VARS'!$A$66*($BX121*12.73)</f>
        <v>132.80000000000004</v>
      </c>
      <c r="CN121" s="46">
        <f>'LINEST VARS'!$U$66+'LINEST VARS'!$T$66*(8)+'LINEST VARS'!$S$66*(8)+'LINEST VARS'!$R$66*($CN$104)+'LINEST VARS'!$Q$66*($BX121)+'LINEST VARS'!$P$66*(12.73)+'LINEST VARS'!$O$66*(8^2)+'LINEST VARS'!$N$66*(8^2)+'LINEST VARS'!$M$66*($CN$104^2)+'LINEST VARS'!$L$66*($BX121^2)+'LINEST VARS'!$K$66*(12.73^2)+'LINEST VARS'!$J$66*(8*8)+'LINEST VARS'!$I$66*(8*$CN$104)+'LINEST VARS'!$H$66*(8*$BX121)+'LINEST VARS'!$G$66*(8*12.73)+'LINEST VARS'!$F$66*(8*$CN$104)+'LINEST VARS'!$E$66*(8*$BX121)+'LINEST VARS'!$D$66*(8*12.73)+'LINEST VARS'!$C$66*($CN$104*$BX121)+'LINEST VARS'!$B$66*($CN$104*12.73)+'LINEST VARS'!$A$66*($BX121*12.73)</f>
        <v>132.00000000000006</v>
      </c>
      <c r="CO121" s="46">
        <f>'LINEST VARS'!$U$66+'LINEST VARS'!$T$66*(8)+'LINEST VARS'!$S$66*(8)+'LINEST VARS'!$R$66*($CO$104)+'LINEST VARS'!$Q$66*($BX121)+'LINEST VARS'!$P$66*(12.73)+'LINEST VARS'!$O$66*(8^2)+'LINEST VARS'!$N$66*(8^2)+'LINEST VARS'!$M$66*($CO$104^2)+'LINEST VARS'!$L$66*($BX121^2)+'LINEST VARS'!$K$66*(12.73^2)+'LINEST VARS'!$J$66*(8*8)+'LINEST VARS'!$I$66*(8*$CO$104)+'LINEST VARS'!$H$66*(8*$BX121)+'LINEST VARS'!$G$66*(8*12.73)+'LINEST VARS'!$F$66*(8*$CO$104)+'LINEST VARS'!$E$66*(8*$BX121)+'LINEST VARS'!$D$66*(8*12.73)+'LINEST VARS'!$C$66*($CO$104*$BX121)+'LINEST VARS'!$B$66*($CO$104*12.73)+'LINEST VARS'!$A$66*($BX121*12.73)</f>
        <v>131.20000000000005</v>
      </c>
      <c r="CP121" s="46">
        <f>'LINEST VARS'!$U$66+'LINEST VARS'!$T$66*(8)+'LINEST VARS'!$S$66*(8)+'LINEST VARS'!$R$66*($CP$104)+'LINEST VARS'!$Q$66*($BX121)+'LINEST VARS'!$P$66*(12.73)+'LINEST VARS'!$O$66*(8^2)+'LINEST VARS'!$N$66*(8^2)+'LINEST VARS'!$M$66*($CP$104^2)+'LINEST VARS'!$L$66*($BX121^2)+'LINEST VARS'!$K$66*(12.73^2)+'LINEST VARS'!$J$66*(8*8)+'LINEST VARS'!$I$66*(8*$CP$104)+'LINEST VARS'!$H$66*(8*$BX121)+'LINEST VARS'!$G$66*(8*12.73)+'LINEST VARS'!$F$66*(8*$CP$104)+'LINEST VARS'!$E$66*(8*$BX121)+'LINEST VARS'!$D$66*(8*12.73)+'LINEST VARS'!$C$66*($CP$104*$BX121)+'LINEST VARS'!$B$66*($CP$104*12.73)+'LINEST VARS'!$A$66*($BX121*12.73)</f>
        <v>130.40000000000009</v>
      </c>
      <c r="CQ121" s="46">
        <f>'LINEST VARS'!$U$66+'LINEST VARS'!$T$66*(8)+'LINEST VARS'!$S$66*(8)+'LINEST VARS'!$R$66*($CQ$104)+'LINEST VARS'!$Q$66*($BX121)+'LINEST VARS'!$P$66*(12.73)+'LINEST VARS'!$O$66*(8^2)+'LINEST VARS'!$N$66*(8^2)+'LINEST VARS'!$M$66*($CQ$104^2)+'LINEST VARS'!$L$66*($BX121^2)+'LINEST VARS'!$K$66*(12.73^2)+'LINEST VARS'!$J$66*(8*8)+'LINEST VARS'!$I$66*(8*$CQ$104)+'LINEST VARS'!$H$66*(8*$BX121)+'LINEST VARS'!$G$66*(8*12.73)+'LINEST VARS'!$F$66*(8*$CQ$104)+'LINEST VARS'!$E$66*(8*$BX121)+'LINEST VARS'!$D$66*(8*12.73)+'LINEST VARS'!$C$66*($CQ$104*$BX121)+'LINEST VARS'!$B$66*($CQ$104*12.73)+'LINEST VARS'!$A$66*($BX121*12.73)</f>
        <v>129.60000000000008</v>
      </c>
      <c r="CR121" s="46">
        <f>'LINEST VARS'!$U$66+'LINEST VARS'!$T$66*(8)+'LINEST VARS'!$S$66*(8)+'LINEST VARS'!$R$66*($CR$104)+'LINEST VARS'!$Q$66*($BX121)+'LINEST VARS'!$P$66*(12.73)+'LINEST VARS'!$O$66*(8^2)+'LINEST VARS'!$N$66*(8^2)+'LINEST VARS'!$M$66*($CR$104^2)+'LINEST VARS'!$L$66*($BX121^2)+'LINEST VARS'!$K$66*(12.73^2)+'LINEST VARS'!$J$66*(8*8)+'LINEST VARS'!$I$66*(8*$CR$104)+'LINEST VARS'!$H$66*(8*$BX121)+'LINEST VARS'!$G$66*(8*12.73)+'LINEST VARS'!$F$66*(8*$CR$104)+'LINEST VARS'!$E$66*(8*$BX121)+'LINEST VARS'!$D$66*(8*12.73)+'LINEST VARS'!$C$66*($CR$104*$BX121)+'LINEST VARS'!$B$66*($CR$104*12.73)+'LINEST VARS'!$A$66*($BX121*12.73)</f>
        <v>128.8000000000001</v>
      </c>
      <c r="CS121" s="47">
        <f>'LINEST VARS'!$U$66+'LINEST VARS'!$T$66*(8)+'LINEST VARS'!$S$66*(8)+'LINEST VARS'!$R$66*($CS$104)+'LINEST VARS'!$Q$66*($BX121)+'LINEST VARS'!$P$66*(12.73)+'LINEST VARS'!$O$66*(8^2)+'LINEST VARS'!$N$66*(8^2)+'LINEST VARS'!$M$66*($CS$104^2)+'LINEST VARS'!$L$66*($BX121^2)+'LINEST VARS'!$K$66*(12.73^2)+'LINEST VARS'!$J$66*(8*8)+'LINEST VARS'!$I$66*(8*$CS$104)+'LINEST VARS'!$H$66*(8*$BX121)+'LINEST VARS'!$G$66*(8*12.73)+'LINEST VARS'!$F$66*(8*$CS$104)+'LINEST VARS'!$E$66*(8*$BX121)+'LINEST VARS'!$D$66*(8*12.73)+'LINEST VARS'!$C$66*($CS$104*$BX121)+'LINEST VARS'!$B$66*($CS$104*12.73)+'LINEST VARS'!$A$66*($BX121*12.73)</f>
        <v>128.00000000000006</v>
      </c>
      <c r="CX121" s="45">
        <v>20.792000000000002</v>
      </c>
      <c r="CY121" s="55">
        <f>'LINEST VARS'!$U$64+'LINEST VARS'!$T$64*(8)+'LINEST VARS'!$S$64*(8)+'LINEST VARS'!$R$64*($CY$104)+'LINEST VARS'!$Q$64*(0.5)+'LINEST VARS'!$P$64*($CX121)+'LINEST VARS'!$O$64*(8^2)+'LINEST VARS'!$N$64*(8^2)+'LINEST VARS'!$M$64*($CY$104^2)+'LINEST VARS'!$L$64*(0.5^2)+'LINEST VARS'!$K$64*($CX121^2)+'LINEST VARS'!$J$64*(8*8)+'LINEST VARS'!$I$64*(8*$CY$104)+'LINEST VARS'!$H$64*(8*0.5)+'LINEST VARS'!$G$64*(8*$CX121)+'LINEST VARS'!$F$64*(8*$CY$104)+'LINEST VARS'!$E$64*(8*0.5)+'LINEST VARS'!$D$64*(8*$CX121)+'LINEST VARS'!$C$64*($CY$104*0.5)+'LINEST VARS'!$B$64*($CY$104*$CX121)+'LINEST VARS'!$A$64*(0.5*$CX121)</f>
        <v>172.37599999999986</v>
      </c>
      <c r="CZ121" s="55">
        <f>'LINEST VARS'!$U$64+'LINEST VARS'!$T$64*(8)+'LINEST VARS'!$S$64*(8)+'LINEST VARS'!$R$64*($CZ$104)+'LINEST VARS'!$Q$64*(0.5)+'LINEST VARS'!$P$64*($CX121)+'LINEST VARS'!$O$64*(8^2)+'LINEST VARS'!$N$64*(8^2)+'LINEST VARS'!$M$64*($CZ$104^2)+'LINEST VARS'!$L$64*(0.5^2)+'LINEST VARS'!$K$64*($CX121^2)+'LINEST VARS'!$J$64*(8*8)+'LINEST VARS'!$I$64*(8*$CZ$104)+'LINEST VARS'!$H$64*(8*0.5)+'LINEST VARS'!$G$64*(8*$CX121)+'LINEST VARS'!$F$64*(8*$CZ$104)+'LINEST VARS'!$E$64*(8*0.5)+'LINEST VARS'!$D$64*(8*$CX121)+'LINEST VARS'!$C$64*($CZ$104*0.5)+'LINEST VARS'!$B$64*($CZ$104*$CX121)+'LINEST VARS'!$A$64*(0.5*$CX121)</f>
        <v>173.97599999999986</v>
      </c>
      <c r="DA121" s="55">
        <f>'LINEST VARS'!$U$64+'LINEST VARS'!$T$64*(8)+'LINEST VARS'!$S$64*(8)+'LINEST VARS'!$R$64*($DA$104)+'LINEST VARS'!$Q$64*(0.5)+'LINEST VARS'!$P$64*($CX121)+'LINEST VARS'!$O$64*(8^2)+'LINEST VARS'!$N$64*(8^2)+'LINEST VARS'!$M$64*($DA$104^2)+'LINEST VARS'!$L$64*(0.5^2)+'LINEST VARS'!$K$64*($CX121^2)+'LINEST VARS'!$J$64*(8*8)+'LINEST VARS'!$I$64*(8*$DA$104)+'LINEST VARS'!$H$64*(8*0.5)+'LINEST VARS'!$G$64*(8*$CX121)+'LINEST VARS'!$F$64*(8*$DA$104)+'LINEST VARS'!$E$64*(8*0.5)+'LINEST VARS'!$D$64*(8*$CX121)+'LINEST VARS'!$C$64*($DA$104*0.5)+'LINEST VARS'!$B$64*($DA$104*$CX121)+'LINEST VARS'!$A$64*(0.5*$CX121)</f>
        <v>175.57599999999985</v>
      </c>
      <c r="DB121" s="55">
        <f>'LINEST VARS'!$U$64+'LINEST VARS'!$T$64*(8)+'LINEST VARS'!$S$64*(8)+'LINEST VARS'!$R$64*($DB$104)+'LINEST VARS'!$Q$64*(0.5)+'LINEST VARS'!$P$64*($CX121)+'LINEST VARS'!$O$64*(8^2)+'LINEST VARS'!$N$64*(8^2)+'LINEST VARS'!$M$64*($DB$104^2)+'LINEST VARS'!$L$64*(0.5^2)+'LINEST VARS'!$K$64*($CX121^2)+'LINEST VARS'!$J$64*(8*8)+'LINEST VARS'!$I$64*(8*$DB$104)+'LINEST VARS'!$H$64*(8*0.5)+'LINEST VARS'!$G$64*(8*$CX121)+'LINEST VARS'!$F$64*(8*$DB$104)+'LINEST VARS'!$E$64*(8*0.5)+'LINEST VARS'!$D$64*(8*$CX121)+'LINEST VARS'!$C$64*($DB$104*0.5)+'LINEST VARS'!$B$64*($DB$104*$CX121)+'LINEST VARS'!$A$64*(0.5*$CX121)</f>
        <v>177.17599999999987</v>
      </c>
      <c r="DC121" s="55">
        <f>'LINEST VARS'!$U$64+'LINEST VARS'!$T$64*(8)+'LINEST VARS'!$S$64*(8)+'LINEST VARS'!$R$64*($DC$104)+'LINEST VARS'!$Q$64*(0.5)+'LINEST VARS'!$P$64*($CX121)+'LINEST VARS'!$O$64*(8^2)+'LINEST VARS'!$N$64*(8^2)+'LINEST VARS'!$M$64*($DC$104^2)+'LINEST VARS'!$L$64*(0.5^2)+'LINEST VARS'!$K$64*($CX121^2)+'LINEST VARS'!$J$64*(8*8)+'LINEST VARS'!$I$64*(8*$DC$104)+'LINEST VARS'!$H$64*(8*0.5)+'LINEST VARS'!$G$64*(8*$CX121)+'LINEST VARS'!$F$64*(8*$DC$104)+'LINEST VARS'!$E$64*(8*0.5)+'LINEST VARS'!$D$64*(8*$CX121)+'LINEST VARS'!$C$64*($DC$104*0.5)+'LINEST VARS'!$B$64*($DC$104*$CX121)+'LINEST VARS'!$A$64*(0.5*$CX121)</f>
        <v>178.77599999999987</v>
      </c>
      <c r="DD121" s="55">
        <f>'LINEST VARS'!$U$64+'LINEST VARS'!$T$64*(8)+'LINEST VARS'!$S$64*(8)+'LINEST VARS'!$R$64*($DD$104)+'LINEST VARS'!$Q$64*(0.5)+'LINEST VARS'!$P$64*($CX121)+'LINEST VARS'!$O$64*(8^2)+'LINEST VARS'!$N$64*(8^2)+'LINEST VARS'!$M$64*($DD$104^2)+'LINEST VARS'!$L$64*(0.5^2)+'LINEST VARS'!$K$64*($CX121^2)+'LINEST VARS'!$J$64*(8*8)+'LINEST VARS'!$I$64*(8*$DD$104)+'LINEST VARS'!$H$64*(8*0.5)+'LINEST VARS'!$G$64*(8*$CX121)+'LINEST VARS'!$F$64*(8*$DD$104)+'LINEST VARS'!$E$64*(8*0.5)+'LINEST VARS'!$D$64*(8*$CX121)+'LINEST VARS'!$C$64*($DD$104*0.5)+'LINEST VARS'!$B$64*($DD$104*$CX121)+'LINEST VARS'!$A$64*(0.5*$CX121)</f>
        <v>180.37599999999986</v>
      </c>
      <c r="DE121" s="55">
        <f>'LINEST VARS'!$U$64+'LINEST VARS'!$T$64*(8)+'LINEST VARS'!$S$64*(8)+'LINEST VARS'!$R$64*($DE$104)+'LINEST VARS'!$Q$64*(0.5)+'LINEST VARS'!$P$64*($CX121)+'LINEST VARS'!$O$64*(8^2)+'LINEST VARS'!$N$64*(8^2)+'LINEST VARS'!$M$64*($DE$104^2)+'LINEST VARS'!$L$64*(0.5^2)+'LINEST VARS'!$K$64*($CX121^2)+'LINEST VARS'!$J$64*(8*8)+'LINEST VARS'!$I$64*(8*$DE$104)+'LINEST VARS'!$H$64*(8*0.5)+'LINEST VARS'!$G$64*(8*$CX121)+'LINEST VARS'!$F$64*(8*$DE$104)+'LINEST VARS'!$E$64*(8*0.5)+'LINEST VARS'!$D$64*(8*$CX121)+'LINEST VARS'!$C$64*($DE$104*0.5)+'LINEST VARS'!$B$64*($DE$104*$CX121)+'LINEST VARS'!$A$64*(0.5*$CX121)</f>
        <v>181.97599999999986</v>
      </c>
      <c r="DF121" s="55">
        <f>'LINEST VARS'!$U$64+'LINEST VARS'!$T$64*(8)+'LINEST VARS'!$S$64*(8)+'LINEST VARS'!$R$64*($DF$104)+'LINEST VARS'!$Q$64*(0.5)+'LINEST VARS'!$P$64*($CX121)+'LINEST VARS'!$O$64*(8^2)+'LINEST VARS'!$N$64*(8^2)+'LINEST VARS'!$M$64*($DF$104^2)+'LINEST VARS'!$L$64*(0.5^2)+'LINEST VARS'!$K$64*($CX121^2)+'LINEST VARS'!$J$64*(8*8)+'LINEST VARS'!$I$64*(8*$DF$104)+'LINEST VARS'!$H$64*(8*0.5)+'LINEST VARS'!$G$64*(8*$CX121)+'LINEST VARS'!$F$64*(8*$DF$104)+'LINEST VARS'!$E$64*(8*0.5)+'LINEST VARS'!$D$64*(8*$CX121)+'LINEST VARS'!$C$64*($DF$104*0.5)+'LINEST VARS'!$B$64*($DF$104*$CX121)+'LINEST VARS'!$A$64*(0.5*$CX121)</f>
        <v>183.57599999999985</v>
      </c>
      <c r="DG121" s="55">
        <f>'LINEST VARS'!$U$64+'LINEST VARS'!$T$64*(8)+'LINEST VARS'!$S$64*(8)+'LINEST VARS'!$R$64*($DG$104)+'LINEST VARS'!$Q$64*(0.5)+'LINEST VARS'!$P$64*($CX121)+'LINEST VARS'!$O$64*(8^2)+'LINEST VARS'!$N$64*(8^2)+'LINEST VARS'!$M$64*($DG$104^2)+'LINEST VARS'!$L$64*(0.5^2)+'LINEST VARS'!$K$64*($CX121^2)+'LINEST VARS'!$J$64*(8*8)+'LINEST VARS'!$I$64*(8*$DG$104)+'LINEST VARS'!$H$64*(8*0.5)+'LINEST VARS'!$G$64*(8*$CX121)+'LINEST VARS'!$F$64*(8*$DG$104)+'LINEST VARS'!$E$64*(8*0.5)+'LINEST VARS'!$D$64*(8*$CX121)+'LINEST VARS'!$C$64*($DG$104*0.5)+'LINEST VARS'!$B$64*($DG$104*$CX121)+'LINEST VARS'!$A$64*(0.5*$CX121)</f>
        <v>185.17599999999987</v>
      </c>
      <c r="DH121" s="55">
        <f>'LINEST VARS'!$U$64+'LINEST VARS'!$T$64*(8)+'LINEST VARS'!$S$64*(8)+'LINEST VARS'!$R$64*($DH$104)+'LINEST VARS'!$Q$64*(0.5)+'LINEST VARS'!$P$64*($CX121)+'LINEST VARS'!$O$64*(8^2)+'LINEST VARS'!$N$64*(8^2)+'LINEST VARS'!$M$64*($DH$104^2)+'LINEST VARS'!$L$64*(0.5^2)+'LINEST VARS'!$K$64*($CX121^2)+'LINEST VARS'!$J$64*(8*8)+'LINEST VARS'!$I$64*(8*$DH$104)+'LINEST VARS'!$H$64*(8*0.5)+'LINEST VARS'!$G$64*(8*$CX121)+'LINEST VARS'!$F$64*(8*$DH$104)+'LINEST VARS'!$E$64*(8*0.5)+'LINEST VARS'!$D$64*(8*$CX121)+'LINEST VARS'!$C$64*($DH$104*0.5)+'LINEST VARS'!$B$64*($DH$104*$CX121)+'LINEST VARS'!$A$64*(0.5*$CX121)</f>
        <v>186.77599999999987</v>
      </c>
      <c r="DI121" s="55">
        <f>'LINEST VARS'!$U$64+'LINEST VARS'!$T$64*(8)+'LINEST VARS'!$S$64*(8)+'LINEST VARS'!$R$64*($DI$104)+'LINEST VARS'!$Q$64*(0.5)+'LINEST VARS'!$P$64*($CX121)+'LINEST VARS'!$O$64*(8^2)+'LINEST VARS'!$N$64*(8^2)+'LINEST VARS'!$M$64*($DI$104^2)+'LINEST VARS'!$L$64*(0.5^2)+'LINEST VARS'!$K$64*($CX121^2)+'LINEST VARS'!$J$64*(8*8)+'LINEST VARS'!$I$64*(8*$DI$104)+'LINEST VARS'!$H$64*(8*0.5)+'LINEST VARS'!$G$64*(8*$CX121)+'LINEST VARS'!$F$64*(8*$DI$104)+'LINEST VARS'!$E$64*(8*0.5)+'LINEST VARS'!$D$64*(8*$CX121)+'LINEST VARS'!$C$64*($DI$104*0.5)+'LINEST VARS'!$B$64*($DI$104*$CX121)+'LINEST VARS'!$A$64*(0.5*$CX121)</f>
        <v>188.37599999999986</v>
      </c>
      <c r="DJ121" s="55">
        <f>'LINEST VARS'!$U$64+'LINEST VARS'!$T$64*(8)+'LINEST VARS'!$S$64*(8)+'LINEST VARS'!$R$64*($DJ$104)+'LINEST VARS'!$Q$64*(0.5)+'LINEST VARS'!$P$64*($CX121)+'LINEST VARS'!$O$64*(8^2)+'LINEST VARS'!$N$64*(8^2)+'LINEST VARS'!$M$64*($DJ$104^2)+'LINEST VARS'!$L$64*(0.5^2)+'LINEST VARS'!$K$64*($CX121^2)+'LINEST VARS'!$J$64*(8*8)+'LINEST VARS'!$I$64*(8*$DJ$104)+'LINEST VARS'!$H$64*(8*0.5)+'LINEST VARS'!$G$64*(8*$CX121)+'LINEST VARS'!$F$64*(8*$DJ$104)+'LINEST VARS'!$E$64*(8*0.5)+'LINEST VARS'!$D$64*(8*$CX121)+'LINEST VARS'!$C$64*($DJ$104*0.5)+'LINEST VARS'!$B$64*($DJ$104*$CX121)+'LINEST VARS'!$A$64*(0.5*$CX121)</f>
        <v>189.97599999999989</v>
      </c>
      <c r="DK121" s="55">
        <f>'LINEST VARS'!$U$64+'LINEST VARS'!$T$64*(8)+'LINEST VARS'!$S$64*(8)+'LINEST VARS'!$R$64*($DK$104)+'LINEST VARS'!$Q$64*(0.5)+'LINEST VARS'!$P$64*($CX121)+'LINEST VARS'!$O$64*(8^2)+'LINEST VARS'!$N$64*(8^2)+'LINEST VARS'!$M$64*($DK$104^2)+'LINEST VARS'!$L$64*(0.5^2)+'LINEST VARS'!$K$64*($CX121^2)+'LINEST VARS'!$J$64*(8*8)+'LINEST VARS'!$I$64*(8*$DK$104)+'LINEST VARS'!$H$64*(8*0.5)+'LINEST VARS'!$G$64*(8*$CX121)+'LINEST VARS'!$F$64*(8*$DK$104)+'LINEST VARS'!$E$64*(8*0.5)+'LINEST VARS'!$D$64*(8*$CX121)+'LINEST VARS'!$C$64*($DK$104*0.5)+'LINEST VARS'!$B$64*($DK$104*$CX121)+'LINEST VARS'!$A$64*(0.5*$CX121)</f>
        <v>191.57599999999985</v>
      </c>
      <c r="DL121" s="55">
        <f>'LINEST VARS'!$U$64+'LINEST VARS'!$T$64*(8)+'LINEST VARS'!$S$64*(8)+'LINEST VARS'!$R$64*($DL$104)+'LINEST VARS'!$Q$64*(0.5)+'LINEST VARS'!$P$64*($CX121)+'LINEST VARS'!$O$64*(8^2)+'LINEST VARS'!$N$64*(8^2)+'LINEST VARS'!$M$64*($DL$104^2)+'LINEST VARS'!$L$64*(0.5^2)+'LINEST VARS'!$K$64*($CX121^2)+'LINEST VARS'!$J$64*(8*8)+'LINEST VARS'!$I$64*(8*$DL$104)+'LINEST VARS'!$H$64*(8*0.5)+'LINEST VARS'!$G$64*(8*$CX121)+'LINEST VARS'!$F$64*(8*$DL$104)+'LINEST VARS'!$E$64*(8*0.5)+'LINEST VARS'!$D$64*(8*$CX121)+'LINEST VARS'!$C$64*($DL$104*0.5)+'LINEST VARS'!$B$64*($DL$104*$CX121)+'LINEST VARS'!$A$64*(0.5*$CX121)</f>
        <v>193.17599999999987</v>
      </c>
      <c r="DM121" s="55">
        <f>'LINEST VARS'!$U$64+'LINEST VARS'!$T$64*(8)+'LINEST VARS'!$S$64*(8)+'LINEST VARS'!$R$64*($DM$104)+'LINEST VARS'!$Q$64*(0.5)+'LINEST VARS'!$P$64*($CX121)+'LINEST VARS'!$O$64*(8^2)+'LINEST VARS'!$N$64*(8^2)+'LINEST VARS'!$M$64*($DM$104^2)+'LINEST VARS'!$L$64*(0.5^2)+'LINEST VARS'!$K$64*($CX121^2)+'LINEST VARS'!$J$64*(8*8)+'LINEST VARS'!$I$64*(8*$DM$104)+'LINEST VARS'!$H$64*(8*0.5)+'LINEST VARS'!$G$64*(8*$CX121)+'LINEST VARS'!$F$64*(8*$DM$104)+'LINEST VARS'!$E$64*(8*0.5)+'LINEST VARS'!$D$64*(8*$CX121)+'LINEST VARS'!$C$64*($DM$104*0.5)+'LINEST VARS'!$B$64*($DM$104*$CX121)+'LINEST VARS'!$A$64*(0.5*$CX121)</f>
        <v>194.77599999999981</v>
      </c>
      <c r="DN121" s="55">
        <f>'LINEST VARS'!$U$64+'LINEST VARS'!$T$64*(8)+'LINEST VARS'!$S$64*(8)+'LINEST VARS'!$R$64*($DN$104)+'LINEST VARS'!$Q$64*(0.5)+'LINEST VARS'!$P$64*($CX121)+'LINEST VARS'!$O$64*(8^2)+'LINEST VARS'!$N$64*(8^2)+'LINEST VARS'!$M$64*($DN$104^2)+'LINEST VARS'!$L$64*(0.5^2)+'LINEST VARS'!$K$64*($CX121^2)+'LINEST VARS'!$J$64*(8*8)+'LINEST VARS'!$I$64*(8*$DN$104)+'LINEST VARS'!$H$64*(8*0.5)+'LINEST VARS'!$G$64*(8*$CX121)+'LINEST VARS'!$F$64*(8*$DN$104)+'LINEST VARS'!$E$64*(8*0.5)+'LINEST VARS'!$D$64*(8*$CX121)+'LINEST VARS'!$C$64*($DN$104*0.5)+'LINEST VARS'!$B$64*($DN$104*$CX121)+'LINEST VARS'!$A$64*(0.5*$CX121)</f>
        <v>196.37599999999983</v>
      </c>
      <c r="DO121" s="55">
        <f>'LINEST VARS'!$U$64+'LINEST VARS'!$T$64*(8)+'LINEST VARS'!$S$64*(8)+'LINEST VARS'!$R$64*($DO$104)+'LINEST VARS'!$Q$64*(0.5)+'LINEST VARS'!$P$64*($CX121)+'LINEST VARS'!$O$64*(8^2)+'LINEST VARS'!$N$64*(8^2)+'LINEST VARS'!$M$64*($DO$104^2)+'LINEST VARS'!$L$64*(0.5^2)+'LINEST VARS'!$K$64*($CX121^2)+'LINEST VARS'!$J$64*(8*8)+'LINEST VARS'!$I$64*(8*$DO$104)+'LINEST VARS'!$H$64*(8*0.5)+'LINEST VARS'!$G$64*(8*$CX121)+'LINEST VARS'!$F$64*(8*$DO$104)+'LINEST VARS'!$E$64*(8*0.5)+'LINEST VARS'!$D$64*(8*$CX121)+'LINEST VARS'!$C$64*($DO$104*0.5)+'LINEST VARS'!$B$64*($DO$104*$CX121)+'LINEST VARS'!$A$64*(0.5*$CX121)</f>
        <v>197.97599999999986</v>
      </c>
      <c r="DP121" s="55">
        <f>'LINEST VARS'!$U$64+'LINEST VARS'!$T$64*(8)+'LINEST VARS'!$S$64*(8)+'LINEST VARS'!$R$64*($DP$104)+'LINEST VARS'!$Q$64*(0.5)+'LINEST VARS'!$P$64*($CX121)+'LINEST VARS'!$O$64*(8^2)+'LINEST VARS'!$N$64*(8^2)+'LINEST VARS'!$M$64*($DP$104^2)+'LINEST VARS'!$L$64*(0.5^2)+'LINEST VARS'!$K$64*($CX121^2)+'LINEST VARS'!$J$64*(8*8)+'LINEST VARS'!$I$64*(8*$DP$104)+'LINEST VARS'!$H$64*(8*0.5)+'LINEST VARS'!$G$64*(8*$CX121)+'LINEST VARS'!$F$64*(8*$DP$104)+'LINEST VARS'!$E$64*(8*0.5)+'LINEST VARS'!$D$64*(8*$CX121)+'LINEST VARS'!$C$64*($DP$104*0.5)+'LINEST VARS'!$B$64*($DP$104*$CX121)+'LINEST VARS'!$A$64*(0.5*$CX121)</f>
        <v>199.57599999999982</v>
      </c>
      <c r="DQ121" s="55">
        <f>'LINEST VARS'!$U$64+'LINEST VARS'!$T$64*(8)+'LINEST VARS'!$S$64*(8)+'LINEST VARS'!$R$64*($DQ$104)+'LINEST VARS'!$Q$64*(0.5)+'LINEST VARS'!$P$64*($CX121)+'LINEST VARS'!$O$64*(8^2)+'LINEST VARS'!$N$64*(8^2)+'LINEST VARS'!$M$64*($DQ$104^2)+'LINEST VARS'!$L$64*(0.5^2)+'LINEST VARS'!$K$64*($CX121^2)+'LINEST VARS'!$J$64*(8*8)+'LINEST VARS'!$I$64*(8*$DQ$104)+'LINEST VARS'!$H$64*(8*0.5)+'LINEST VARS'!$G$64*(8*$CX121)+'LINEST VARS'!$F$64*(8*$DQ$104)+'LINEST VARS'!$E$64*(8*0.5)+'LINEST VARS'!$D$64*(8*$CX121)+'LINEST VARS'!$C$64*($DQ$104*0.5)+'LINEST VARS'!$B$64*($DQ$104*$CX121)+'LINEST VARS'!$A$64*(0.5*$CX121)</f>
        <v>201.17599999999987</v>
      </c>
      <c r="DR121" s="55">
        <f>'LINEST VARS'!$U$64+'LINEST VARS'!$T$64*(8)+'LINEST VARS'!$S$64*(8)+'LINEST VARS'!$R$64*($DR$104)+'LINEST VARS'!$Q$64*(0.5)+'LINEST VARS'!$P$64*($CX121)+'LINEST VARS'!$O$64*(8^2)+'LINEST VARS'!$N$64*(8^2)+'LINEST VARS'!$M$64*($DR$104^2)+'LINEST VARS'!$L$64*(0.5^2)+'LINEST VARS'!$K$64*($CX121^2)+'LINEST VARS'!$J$64*(8*8)+'LINEST VARS'!$I$64*(8*$DR$104)+'LINEST VARS'!$H$64*(8*0.5)+'LINEST VARS'!$G$64*(8*$CX121)+'LINEST VARS'!$F$64*(8*$DR$104)+'LINEST VARS'!$E$64*(8*0.5)+'LINEST VARS'!$D$64*(8*$CX121)+'LINEST VARS'!$C$64*($DR$104*0.5)+'LINEST VARS'!$B$64*($DR$104*$CX121)+'LINEST VARS'!$A$64*(0.5*$CX121)</f>
        <v>202.77599999999984</v>
      </c>
      <c r="DS121" s="56">
        <f>'LINEST VARS'!$U$64+'LINEST VARS'!$T$64*(8)+'LINEST VARS'!$S$64*(8)+'LINEST VARS'!$R$64*($DS$104)+'LINEST VARS'!$Q$64*(0.5)+'LINEST VARS'!$P$64*($CX121)+'LINEST VARS'!$O$64*(8^2)+'LINEST VARS'!$N$64*(8^2)+'LINEST VARS'!$M$64*($DS$104^2)+'LINEST VARS'!$L$64*(0.5^2)+'LINEST VARS'!$K$64*($CX121^2)+'LINEST VARS'!$J$64*(8*8)+'LINEST VARS'!$I$64*(8*$DS$104)+'LINEST VARS'!$H$64*(8*0.5)+'LINEST VARS'!$G$64*(8*$CX121)+'LINEST VARS'!$F$64*(8*$DS$104)+'LINEST VARS'!$E$64*(8*0.5)+'LINEST VARS'!$D$64*(8*$CX121)+'LINEST VARS'!$C$64*($DS$104*0.5)+'LINEST VARS'!$B$64*($DS$104*$CX121)+'LINEST VARS'!$A$64*(0.5*$CX121)</f>
        <v>204.37599999999986</v>
      </c>
      <c r="DV121" s="45">
        <v>20.792000000000002</v>
      </c>
      <c r="DW121" s="46">
        <f>'LINEST VARS'!$U$66+'LINEST VARS'!$T$66*(8)+'LINEST VARS'!$S$66*(8)+'LINEST VARS'!$R$66*($DW$104)+'LINEST VARS'!$Q$66*(0.5)+'LINEST VARS'!$P$66*($DV121)+'LINEST VARS'!$O$66*(8^2)+'LINEST VARS'!$N$66*(8^2)+'LINEST VARS'!$M$66*($DW$104^2)+'LINEST VARS'!$L$66*(0.5^2)+'LINEST VARS'!$K$66*($DV121^2)+'LINEST VARS'!$J$66*(8*8)+'LINEST VARS'!$I$66*(8*$DW$104)+'LINEST VARS'!$H$66*(8*0.5)+'LINEST VARS'!$G$66*(8*$DV121)+'LINEST VARS'!$F$66*(8*$DW$104)+'LINEST VARS'!$E$66*(8*0.5)+'LINEST VARS'!$D$66*(8*$DV121)+'LINEST VARS'!$C$66*($DW$104*0.5)+'LINEST VARS'!$B$66*($DW$104*$DV121)+'LINEST VARS'!$A$66*(0.5*$DV121)</f>
        <v>144.00000000000006</v>
      </c>
      <c r="DX121" s="46">
        <f>'LINEST VARS'!$U$66+'LINEST VARS'!$T$66*(8)+'LINEST VARS'!$S$66*(8)+'LINEST VARS'!$R$66*($DX$104)+'LINEST VARS'!$Q$66*(0.5)+'LINEST VARS'!$P$66*($DV121)+'LINEST VARS'!$O$66*(8^2)+'LINEST VARS'!$N$66*(8^2)+'LINEST VARS'!$M$66*($DX$104^2)+'LINEST VARS'!$L$66*(0.5^2)+'LINEST VARS'!$K$66*($DV121^2)+'LINEST VARS'!$J$66*(8*8)+'LINEST VARS'!$I$66*(8*$DX$104)+'LINEST VARS'!$H$66*(8*0.5)+'LINEST VARS'!$G$66*(8*$DV121)+'LINEST VARS'!$F$66*(8*$DX$104)+'LINEST VARS'!$E$66*(8*0.5)+'LINEST VARS'!$D$66*(8*$DV121)+'LINEST VARS'!$C$66*($DX$104*0.5)+'LINEST VARS'!$B$66*($DX$104*$DV121)+'LINEST VARS'!$A$66*(0.5*$DV121)</f>
        <v>143.20000000000007</v>
      </c>
      <c r="DY121" s="46">
        <f>'LINEST VARS'!$U$66+'LINEST VARS'!$T$66*(8)+'LINEST VARS'!$S$66*(8)+'LINEST VARS'!$R$66*($DY$104)+'LINEST VARS'!$Q$66*(0.5)+'LINEST VARS'!$P$66*($DV121)+'LINEST VARS'!$O$66*(8^2)+'LINEST VARS'!$N$66*(8^2)+'LINEST VARS'!$M$66*($DY$104^2)+'LINEST VARS'!$L$66*(0.5^2)+'LINEST VARS'!$K$66*($DV121^2)+'LINEST VARS'!$J$66*(8*8)+'LINEST VARS'!$I$66*(8*$DY$104)+'LINEST VARS'!$H$66*(8*0.5)+'LINEST VARS'!$G$66*(8*$DV121)+'LINEST VARS'!$F$66*(8*$DY$104)+'LINEST VARS'!$E$66*(8*0.5)+'LINEST VARS'!$D$66*(8*$DV121)+'LINEST VARS'!$C$66*($DY$104*0.5)+'LINEST VARS'!$B$66*($DY$104*$DV121)+'LINEST VARS'!$A$66*(0.5*$DV121)</f>
        <v>142.40000000000006</v>
      </c>
      <c r="DZ121" s="46">
        <f>'LINEST VARS'!$U$66+'LINEST VARS'!$T$66*(8)+'LINEST VARS'!$S$66*(8)+'LINEST VARS'!$R$66*($DZ$104)+'LINEST VARS'!$Q$66*(0.5)+'LINEST VARS'!$P$66*($DV121)+'LINEST VARS'!$O$66*(8^2)+'LINEST VARS'!$N$66*(8^2)+'LINEST VARS'!$M$66*($DZ$104^2)+'LINEST VARS'!$L$66*(0.5^2)+'LINEST VARS'!$K$66*($DV121^2)+'LINEST VARS'!$J$66*(8*8)+'LINEST VARS'!$I$66*(8*$DZ$104)+'LINEST VARS'!$H$66*(8*0.5)+'LINEST VARS'!$G$66*(8*$DV121)+'LINEST VARS'!$F$66*(8*$DZ$104)+'LINEST VARS'!$E$66*(8*0.5)+'LINEST VARS'!$D$66*(8*$DV121)+'LINEST VARS'!$C$66*($DZ$104*0.5)+'LINEST VARS'!$B$66*($DZ$104*$DV121)+'LINEST VARS'!$A$66*(0.5*$DV121)</f>
        <v>141.60000000000008</v>
      </c>
      <c r="EA121" s="46">
        <f>'LINEST VARS'!$U$66+'LINEST VARS'!$T$66*(8)+'LINEST VARS'!$S$66*(8)+'LINEST VARS'!$R$66*($EA$104)+'LINEST VARS'!$Q$66*(0.5)+'LINEST VARS'!$P$66*($DV121)+'LINEST VARS'!$O$66*(8^2)+'LINEST VARS'!$N$66*(8^2)+'LINEST VARS'!$M$66*($EA$104^2)+'LINEST VARS'!$L$66*(0.5^2)+'LINEST VARS'!$K$66*($DV121^2)+'LINEST VARS'!$J$66*(8*8)+'LINEST VARS'!$I$66*(8*$EA$104)+'LINEST VARS'!$H$66*(8*0.5)+'LINEST VARS'!$G$66*(8*$DV121)+'LINEST VARS'!$F$66*(8*$EA$104)+'LINEST VARS'!$E$66*(8*0.5)+'LINEST VARS'!$D$66*(8*$DV121)+'LINEST VARS'!$C$66*($EA$104*0.5)+'LINEST VARS'!$B$66*($EA$104*$DV121)+'LINEST VARS'!$A$66*(0.5*$DV121)</f>
        <v>140.80000000000007</v>
      </c>
      <c r="EB121" s="46">
        <f>'LINEST VARS'!$U$66+'LINEST VARS'!$T$66*(8)+'LINEST VARS'!$S$66*(8)+'LINEST VARS'!$R$66*($EB$104)+'LINEST VARS'!$Q$66*(0.5)+'LINEST VARS'!$P$66*($DV121)+'LINEST VARS'!$O$66*(8^2)+'LINEST VARS'!$N$66*(8^2)+'LINEST VARS'!$M$66*($EB$104^2)+'LINEST VARS'!$L$66*(0.5^2)+'LINEST VARS'!$K$66*($DV121^2)+'LINEST VARS'!$J$66*(8*8)+'LINEST VARS'!$I$66*(8*$EB$104)+'LINEST VARS'!$H$66*(8*0.5)+'LINEST VARS'!$G$66*(8*$DV121)+'LINEST VARS'!$F$66*(8*$EB$104)+'LINEST VARS'!$E$66*(8*0.5)+'LINEST VARS'!$D$66*(8*$DV121)+'LINEST VARS'!$C$66*($EB$104*0.5)+'LINEST VARS'!$B$66*($EB$104*$DV121)+'LINEST VARS'!$A$66*(0.5*$DV121)</f>
        <v>140.00000000000009</v>
      </c>
      <c r="EC121" s="46">
        <f>'LINEST VARS'!$U$66+'LINEST VARS'!$T$66*(8)+'LINEST VARS'!$S$66*(8)+'LINEST VARS'!$R$66*($EC$104)+'LINEST VARS'!$Q$66*(0.5)+'LINEST VARS'!$P$66*($DV121)+'LINEST VARS'!$O$66*(8^2)+'LINEST VARS'!$N$66*(8^2)+'LINEST VARS'!$M$66*($EC$104^2)+'LINEST VARS'!$L$66*(0.5^2)+'LINEST VARS'!$K$66*($DV121^2)+'LINEST VARS'!$J$66*(8*8)+'LINEST VARS'!$I$66*(8*$EC$104)+'LINEST VARS'!$H$66*(8*0.5)+'LINEST VARS'!$G$66*(8*$DV121)+'LINEST VARS'!$F$66*(8*$EC$104)+'LINEST VARS'!$E$66*(8*0.5)+'LINEST VARS'!$D$66*(8*$DV121)+'LINEST VARS'!$C$66*($EC$104*0.5)+'LINEST VARS'!$B$66*($EC$104*$DV121)+'LINEST VARS'!$A$66*(0.5*$DV121)</f>
        <v>139.20000000000007</v>
      </c>
      <c r="ED121" s="46">
        <f>'LINEST VARS'!$U$66+'LINEST VARS'!$T$66*(8)+'LINEST VARS'!$S$66*(8)+'LINEST VARS'!$R$66*($ED$104)+'LINEST VARS'!$Q$66*(0.5)+'LINEST VARS'!$P$66*($DV121)+'LINEST VARS'!$O$66*(8^2)+'LINEST VARS'!$N$66*(8^2)+'LINEST VARS'!$M$66*($ED$104^2)+'LINEST VARS'!$L$66*(0.5^2)+'LINEST VARS'!$K$66*($DV121^2)+'LINEST VARS'!$J$66*(8*8)+'LINEST VARS'!$I$66*(8*$ED$104)+'LINEST VARS'!$H$66*(8*0.5)+'LINEST VARS'!$G$66*(8*$DV121)+'LINEST VARS'!$F$66*(8*$ED$104)+'LINEST VARS'!$E$66*(8*0.5)+'LINEST VARS'!$D$66*(8*$DV121)+'LINEST VARS'!$C$66*($ED$104*0.5)+'LINEST VARS'!$B$66*($ED$104*$DV121)+'LINEST VARS'!$A$66*(0.5*$DV121)</f>
        <v>138.40000000000009</v>
      </c>
      <c r="EE121" s="46">
        <f>'LINEST VARS'!$U$66+'LINEST VARS'!$T$66*(8)+'LINEST VARS'!$S$66*(8)+'LINEST VARS'!$R$66*($EE$104)+'LINEST VARS'!$Q$66*(0.5)+'LINEST VARS'!$P$66*($DV121)+'LINEST VARS'!$O$66*(8^2)+'LINEST VARS'!$N$66*(8^2)+'LINEST VARS'!$M$66*($EE$104^2)+'LINEST VARS'!$L$66*(0.5^2)+'LINEST VARS'!$K$66*($DV121^2)+'LINEST VARS'!$J$66*(8*8)+'LINEST VARS'!$I$66*(8*$EE$104)+'LINEST VARS'!$H$66*(8*0.5)+'LINEST VARS'!$G$66*(8*$DV121)+'LINEST VARS'!$F$66*(8*$EE$104)+'LINEST VARS'!$E$66*(8*0.5)+'LINEST VARS'!$D$66*(8*$DV121)+'LINEST VARS'!$C$66*($EE$104*0.5)+'LINEST VARS'!$B$66*($EE$104*$DV121)+'LINEST VARS'!$A$66*(0.5*$DV121)</f>
        <v>137.60000000000008</v>
      </c>
      <c r="EF121" s="46">
        <f>'LINEST VARS'!$U$66+'LINEST VARS'!$T$66*(8)+'LINEST VARS'!$S$66*(8)+'LINEST VARS'!$R$66*($EF$104)+'LINEST VARS'!$Q$66*(0.5)+'LINEST VARS'!$P$66*($DV121)+'LINEST VARS'!$O$66*(8^2)+'LINEST VARS'!$N$66*(8^2)+'LINEST VARS'!$M$66*($EF$104^2)+'LINEST VARS'!$L$66*(0.5^2)+'LINEST VARS'!$K$66*($DV121^2)+'LINEST VARS'!$J$66*(8*8)+'LINEST VARS'!$I$66*(8*$EF$104)+'LINEST VARS'!$H$66*(8*0.5)+'LINEST VARS'!$G$66*(8*$DV121)+'LINEST VARS'!$F$66*(8*$EF$104)+'LINEST VARS'!$E$66*(8*0.5)+'LINEST VARS'!$D$66*(8*$DV121)+'LINEST VARS'!$C$66*($EF$104*0.5)+'LINEST VARS'!$B$66*($EF$104*$DV121)+'LINEST VARS'!$A$66*(0.5*$DV121)</f>
        <v>136.80000000000007</v>
      </c>
      <c r="EG121" s="46">
        <f>'LINEST VARS'!$U$66+'LINEST VARS'!$T$66*(8)+'LINEST VARS'!$S$66*(8)+'LINEST VARS'!$R$66*($EG$104)+'LINEST VARS'!$Q$66*(0.5)+'LINEST VARS'!$P$66*($DV121)+'LINEST VARS'!$O$66*(8^2)+'LINEST VARS'!$N$66*(8^2)+'LINEST VARS'!$M$66*($EG$104^2)+'LINEST VARS'!$L$66*(0.5^2)+'LINEST VARS'!$K$66*($DV121^2)+'LINEST VARS'!$J$66*(8*8)+'LINEST VARS'!$I$66*(8*$EG$104)+'LINEST VARS'!$H$66*(8*0.5)+'LINEST VARS'!$G$66*(8*$DV121)+'LINEST VARS'!$F$66*(8*$EG$104)+'LINEST VARS'!$E$66*(8*0.5)+'LINEST VARS'!$D$66*(8*$DV121)+'LINEST VARS'!$C$66*($EG$104*0.5)+'LINEST VARS'!$B$66*($EG$104*$DV121)+'LINEST VARS'!$A$66*(0.5*$DV121)</f>
        <v>136.00000000000006</v>
      </c>
      <c r="EH121" s="46">
        <f>'LINEST VARS'!$U$66+'LINEST VARS'!$T$66*(8)+'LINEST VARS'!$S$66*(8)+'LINEST VARS'!$R$66*($EH$104)+'LINEST VARS'!$Q$66*(0.5)+'LINEST VARS'!$P$66*($DV121)+'LINEST VARS'!$O$66*(8^2)+'LINEST VARS'!$N$66*(8^2)+'LINEST VARS'!$M$66*($EH$104^2)+'LINEST VARS'!$L$66*(0.5^2)+'LINEST VARS'!$K$66*($DV121^2)+'LINEST VARS'!$J$66*(8*8)+'LINEST VARS'!$I$66*(8*$EH$104)+'LINEST VARS'!$H$66*(8*0.5)+'LINEST VARS'!$G$66*(8*$DV121)+'LINEST VARS'!$F$66*(8*$EH$104)+'LINEST VARS'!$E$66*(8*0.5)+'LINEST VARS'!$D$66*(8*$DV121)+'LINEST VARS'!$C$66*($EH$104*0.5)+'LINEST VARS'!$B$66*($EH$104*$DV121)+'LINEST VARS'!$A$66*(0.5*$DV121)</f>
        <v>135.20000000000005</v>
      </c>
      <c r="EI121" s="46">
        <f>'LINEST VARS'!$U$66+'LINEST VARS'!$T$66*(8)+'LINEST VARS'!$S$66*(8)+'LINEST VARS'!$R$66*($EI$104)+'LINEST VARS'!$Q$66*(0.5)+'LINEST VARS'!$P$66*($DV121)+'LINEST VARS'!$O$66*(8^2)+'LINEST VARS'!$N$66*(8^2)+'LINEST VARS'!$M$66*($EI$104^2)+'LINEST VARS'!$L$66*(0.5^2)+'LINEST VARS'!$K$66*($DV121^2)+'LINEST VARS'!$J$66*(8*8)+'LINEST VARS'!$I$66*(8*$EI$104)+'LINEST VARS'!$H$66*(8*0.5)+'LINEST VARS'!$G$66*(8*$DV121)+'LINEST VARS'!$F$66*(8*$EI$104)+'LINEST VARS'!$E$66*(8*0.5)+'LINEST VARS'!$D$66*(8*$DV121)+'LINEST VARS'!$C$66*($EI$104*0.5)+'LINEST VARS'!$B$66*($EI$104*$DV121)+'LINEST VARS'!$A$66*(0.5*$DV121)</f>
        <v>134.40000000000003</v>
      </c>
      <c r="EJ121" s="46">
        <f>'LINEST VARS'!$U$66+'LINEST VARS'!$T$66*(8)+'LINEST VARS'!$S$66*(8)+'LINEST VARS'!$R$66*($EJ$104)+'LINEST VARS'!$Q$66*(0.5)+'LINEST VARS'!$P$66*($DV121)+'LINEST VARS'!$O$66*(8^2)+'LINEST VARS'!$N$66*(8^2)+'LINEST VARS'!$M$66*($EJ$104^2)+'LINEST VARS'!$L$66*(0.5^2)+'LINEST VARS'!$K$66*($DV121^2)+'LINEST VARS'!$J$66*(8*8)+'LINEST VARS'!$I$66*(8*$EJ$104)+'LINEST VARS'!$H$66*(8*0.5)+'LINEST VARS'!$G$66*(8*$DV121)+'LINEST VARS'!$F$66*(8*$EJ$104)+'LINEST VARS'!$E$66*(8*0.5)+'LINEST VARS'!$D$66*(8*$DV121)+'LINEST VARS'!$C$66*($EJ$104*0.5)+'LINEST VARS'!$B$66*($EJ$104*$DV121)+'LINEST VARS'!$A$66*(0.5*$DV121)</f>
        <v>133.60000000000005</v>
      </c>
      <c r="EK121" s="46">
        <f>'LINEST VARS'!$U$66+'LINEST VARS'!$T$66*(8)+'LINEST VARS'!$S$66*(8)+'LINEST VARS'!$R$66*($EK$104)+'LINEST VARS'!$Q$66*(0.5)+'LINEST VARS'!$P$66*($DV121)+'LINEST VARS'!$O$66*(8^2)+'LINEST VARS'!$N$66*(8^2)+'LINEST VARS'!$M$66*($EK$104^2)+'LINEST VARS'!$L$66*(0.5^2)+'LINEST VARS'!$K$66*($DV121^2)+'LINEST VARS'!$J$66*(8*8)+'LINEST VARS'!$I$66*(8*$EK$104)+'LINEST VARS'!$H$66*(8*0.5)+'LINEST VARS'!$G$66*(8*$DV121)+'LINEST VARS'!$F$66*(8*$EK$104)+'LINEST VARS'!$E$66*(8*0.5)+'LINEST VARS'!$D$66*(8*$DV121)+'LINEST VARS'!$C$66*($EK$104*0.5)+'LINEST VARS'!$B$66*($EK$104*$DV121)+'LINEST VARS'!$A$66*(0.5*$DV121)</f>
        <v>132.80000000000004</v>
      </c>
      <c r="EL121" s="46">
        <f>'LINEST VARS'!$U$66+'LINEST VARS'!$T$66*(8)+'LINEST VARS'!$S$66*(8)+'LINEST VARS'!$R$66*($EL$104)+'LINEST VARS'!$Q$66*(0.5)+'LINEST VARS'!$P$66*($DV121)+'LINEST VARS'!$O$66*(8^2)+'LINEST VARS'!$N$66*(8^2)+'LINEST VARS'!$M$66*($EL$104^2)+'LINEST VARS'!$L$66*(0.5^2)+'LINEST VARS'!$K$66*($DV121^2)+'LINEST VARS'!$J$66*(8*8)+'LINEST VARS'!$I$66*(8*$EL$104)+'LINEST VARS'!$H$66*(8*0.5)+'LINEST VARS'!$G$66*(8*$DV121)+'LINEST VARS'!$F$66*(8*$EL$104)+'LINEST VARS'!$E$66*(8*0.5)+'LINEST VARS'!$D$66*(8*$DV121)+'LINEST VARS'!$C$66*($EL$104*0.5)+'LINEST VARS'!$B$66*($EL$104*$DV121)+'LINEST VARS'!$A$66*(0.5*$DV121)</f>
        <v>132.00000000000006</v>
      </c>
      <c r="EM121" s="46">
        <f>'LINEST VARS'!$U$66+'LINEST VARS'!$T$66*(8)+'LINEST VARS'!$S$66*(8)+'LINEST VARS'!$R$66*($EM$104)+'LINEST VARS'!$Q$66*(0.5)+'LINEST VARS'!$P$66*($DV121)+'LINEST VARS'!$O$66*(8^2)+'LINEST VARS'!$N$66*(8^2)+'LINEST VARS'!$M$66*($EM$104^2)+'LINEST VARS'!$L$66*(0.5^2)+'LINEST VARS'!$K$66*($DV121^2)+'LINEST VARS'!$J$66*(8*8)+'LINEST VARS'!$I$66*(8*$EM$104)+'LINEST VARS'!$H$66*(8*0.5)+'LINEST VARS'!$G$66*(8*$DV121)+'LINEST VARS'!$F$66*(8*$EM$104)+'LINEST VARS'!$E$66*(8*0.5)+'LINEST VARS'!$D$66*(8*$DV121)+'LINEST VARS'!$C$66*($EM$104*0.5)+'LINEST VARS'!$B$66*($EM$104*$DV121)+'LINEST VARS'!$A$66*(0.5*$DV121)</f>
        <v>131.20000000000005</v>
      </c>
      <c r="EN121" s="46">
        <f>'LINEST VARS'!$U$66+'LINEST VARS'!$T$66*(8)+'LINEST VARS'!$S$66*(8)+'LINEST VARS'!$R$66*($EN$104)+'LINEST VARS'!$Q$66*(0.5)+'LINEST VARS'!$P$66*($DV121)+'LINEST VARS'!$O$66*(8^2)+'LINEST VARS'!$N$66*(8^2)+'LINEST VARS'!$M$66*($EN$104^2)+'LINEST VARS'!$L$66*(0.5^2)+'LINEST VARS'!$K$66*($DV121^2)+'LINEST VARS'!$J$66*(8*8)+'LINEST VARS'!$I$66*(8*$EN$104)+'LINEST VARS'!$H$66*(8*0.5)+'LINEST VARS'!$G$66*(8*$DV121)+'LINEST VARS'!$F$66*(8*$EN$104)+'LINEST VARS'!$E$66*(8*0.5)+'LINEST VARS'!$D$66*(8*$DV121)+'LINEST VARS'!$C$66*($EN$104*0.5)+'LINEST VARS'!$B$66*($EN$104*$DV121)+'LINEST VARS'!$A$66*(0.5*$DV121)</f>
        <v>130.40000000000009</v>
      </c>
      <c r="EO121" s="46">
        <f>'LINEST VARS'!$U$66+'LINEST VARS'!$T$66*(8)+'LINEST VARS'!$S$66*(8)+'LINEST VARS'!$R$66*($EO$104)+'LINEST VARS'!$Q$66*(0.5)+'LINEST VARS'!$P$66*($DV121)+'LINEST VARS'!$O$66*(8^2)+'LINEST VARS'!$N$66*(8^2)+'LINEST VARS'!$M$66*($EO$104^2)+'LINEST VARS'!$L$66*(0.5^2)+'LINEST VARS'!$K$66*($DV121^2)+'LINEST VARS'!$J$66*(8*8)+'LINEST VARS'!$I$66*(8*$EO$104)+'LINEST VARS'!$H$66*(8*0.5)+'LINEST VARS'!$G$66*(8*$DV121)+'LINEST VARS'!$F$66*(8*$EO$104)+'LINEST VARS'!$E$66*(8*0.5)+'LINEST VARS'!$D$66*(8*$DV121)+'LINEST VARS'!$C$66*($EO$104*0.5)+'LINEST VARS'!$B$66*($EO$104*$DV121)+'LINEST VARS'!$A$66*(0.5*$DV121)</f>
        <v>129.60000000000008</v>
      </c>
      <c r="EP121" s="46">
        <f>'LINEST VARS'!$U$66+'LINEST VARS'!$T$66*(8)+'LINEST VARS'!$S$66*(8)+'LINEST VARS'!$R$66*($EP$104)+'LINEST VARS'!$Q$66*(0.5)+'LINEST VARS'!$P$66*($DV121)+'LINEST VARS'!$O$66*(8^2)+'LINEST VARS'!$N$66*(8^2)+'LINEST VARS'!$M$66*($EP$104^2)+'LINEST VARS'!$L$66*(0.5^2)+'LINEST VARS'!$K$66*($DV121^2)+'LINEST VARS'!$J$66*(8*8)+'LINEST VARS'!$I$66*(8*$EP$104)+'LINEST VARS'!$H$66*(8*0.5)+'LINEST VARS'!$G$66*(8*$DV121)+'LINEST VARS'!$F$66*(8*$EP$104)+'LINEST VARS'!$E$66*(8*0.5)+'LINEST VARS'!$D$66*(8*$DV121)+'LINEST VARS'!$C$66*($EP$104*0.5)+'LINEST VARS'!$B$66*($EP$104*$DV121)+'LINEST VARS'!$A$66*(0.5*$DV121)</f>
        <v>128.8000000000001</v>
      </c>
      <c r="EQ121" s="47">
        <f>'LINEST VARS'!$U$66+'LINEST VARS'!$T$66*(8)+'LINEST VARS'!$S$66*(8)+'LINEST VARS'!$R$66*($EQ$104)+'LINEST VARS'!$Q$66*(0.5)+'LINEST VARS'!$P$66*($DV121)+'LINEST VARS'!$O$66*(8^2)+'LINEST VARS'!$N$66*(8^2)+'LINEST VARS'!$M$66*($EQ$104^2)+'LINEST VARS'!$L$66*(0.5^2)+'LINEST VARS'!$K$66*($DV121^2)+'LINEST VARS'!$J$66*(8*8)+'LINEST VARS'!$I$66*(8*$EQ$104)+'LINEST VARS'!$H$66*(8*0.5)+'LINEST VARS'!$G$66*(8*$DV121)+'LINEST VARS'!$F$66*(8*$EQ$104)+'LINEST VARS'!$E$66*(8*0.5)+'LINEST VARS'!$D$66*(8*$DV121)+'LINEST VARS'!$C$66*($EQ$104*0.5)+'LINEST VARS'!$B$66*($EQ$104*$DV121)+'LINEST VARS'!$A$66*(0.5*$DV121)</f>
        <v>128.00000000000006</v>
      </c>
    </row>
    <row r="122" spans="2:147" ht="15" customHeight="1" x14ac:dyDescent="0.25">
      <c r="B122" s="45">
        <v>8.42</v>
      </c>
      <c r="C122" s="55">
        <f>'LINEST VARS'!$U$64+'LINEST VARS'!$T$64*($C$104)+'LINEST VARS'!$S$64*($B122)+'LINEST VARS'!$R$64*(4)+'LINEST VARS'!$Q$64*(0.5)+'LINEST VARS'!$P$64*(12.73)+'LINEST VARS'!$O$64*($C$104^2)+'LINEST VARS'!$N$64*($B122^2)+'LINEST VARS'!$M$64*(4^2)+'LINEST VARS'!$L$64*(0.5^2)+'LINEST VARS'!$K$64*(12.73^2)+'LINEST VARS'!$J$64*($C$104*$B122)+'LINEST VARS'!$I$64*($C$104*4)+'LINEST VARS'!$H$64*($C$104*0.5)+'LINEST VARS'!$G$64*($C$104*12.73)+'LINEST VARS'!$F$64*($B122*4)+'LINEST VARS'!$E$64*($B122*0.5)+'LINEST VARS'!$D$64*($B122*12.73)+'LINEST VARS'!$C$64*(4*0.5)+'LINEST VARS'!$B$64*(4*12.73)+'LINEST VARS'!$A$64*(0.5*12.73)</f>
        <v>164.18999999999988</v>
      </c>
      <c r="D122" s="55">
        <f>'LINEST VARS'!$U$64+'LINEST VARS'!$T$64*($D$104)+'LINEST VARS'!$S$64*($B122)+'LINEST VARS'!$R$64*(4)+'LINEST VARS'!$Q$64*(0.5)+'LINEST VARS'!$P$64*(12.73)+'LINEST VARS'!$O$64*($D$104^2)+'LINEST VARS'!$N$64*($B122^2)+'LINEST VARS'!$M$64*(4^2)+'LINEST VARS'!$L$64*(0.5^2)+'LINEST VARS'!$K$64*(12.73^2)+'LINEST VARS'!$J$64*($D$104*$B122)+'LINEST VARS'!$I$64*($D$104*4)+'LINEST VARS'!$H$64*($D$104*0.5)+'LINEST VARS'!$G$64*($D$104*12.73)+'LINEST VARS'!$F$64*($B122*4)+'LINEST VARS'!$E$64*($B122*0.5)+'LINEST VARS'!$D$64*($B122*12.73)+'LINEST VARS'!$C$64*(4*0.5)+'LINEST VARS'!$B$64*(4*12.73)+'LINEST VARS'!$A$64*(0.5*12.73)</f>
        <v>164.18999999999988</v>
      </c>
      <c r="E122" s="55">
        <f>'LINEST VARS'!$U$64+'LINEST VARS'!$T$64*($E$104)+'LINEST VARS'!$S$64*($B122)+'LINEST VARS'!$R$64*(4)+'LINEST VARS'!$Q$64*(0.5)+'LINEST VARS'!$P$64*(12.73)+'LINEST VARS'!$O$64*($E$104^2)+'LINEST VARS'!$N$64*($B122^2)+'LINEST VARS'!$M$64*(4^2)+'LINEST VARS'!$L$64*(0.5^2)+'LINEST VARS'!$K$64*(12.73^2)+'LINEST VARS'!$J$64*($E$104*$B122)+'LINEST VARS'!$I$64*($E$104*4)+'LINEST VARS'!$H$64*($E$104*0.5)+'LINEST VARS'!$G$64*($E$104*12.73)+'LINEST VARS'!$F$64*($B122*4)+'LINEST VARS'!$E$64*($B122*0.5)+'LINEST VARS'!$D$64*($B122*12.73)+'LINEST VARS'!$C$64*(4*0.5)+'LINEST VARS'!$B$64*(4*12.73)+'LINEST VARS'!$A$64*(0.5*12.73)</f>
        <v>164.18999999999988</v>
      </c>
      <c r="F122" s="55">
        <f>'LINEST VARS'!$U$64+'LINEST VARS'!$T$64*($F$104)+'LINEST VARS'!$S$64*($B122)+'LINEST VARS'!$R$64*(4)+'LINEST VARS'!$Q$64*(0.5)+'LINEST VARS'!$P$64*(12.73)+'LINEST VARS'!$O$64*($F$104^2)+'LINEST VARS'!$N$64*($B122^2)+'LINEST VARS'!$M$64*(4^2)+'LINEST VARS'!$L$64*(0.5^2)+'LINEST VARS'!$K$64*(12.73^2)+'LINEST VARS'!$J$64*($F$104*$B122)+'LINEST VARS'!$I$64*($F$104*4)+'LINEST VARS'!$H$64*($F$104*0.5)+'LINEST VARS'!$G$64*($F$104*12.73)+'LINEST VARS'!$F$64*($B122*4)+'LINEST VARS'!$E$64*($B122*0.5)+'LINEST VARS'!$D$64*($B122*12.73)+'LINEST VARS'!$C$64*(4*0.5)+'LINEST VARS'!$B$64*(4*12.73)+'LINEST VARS'!$A$64*(0.5*12.73)</f>
        <v>164.18999999999988</v>
      </c>
      <c r="G122" s="55">
        <f>'LINEST VARS'!$U$64+'LINEST VARS'!$T$64*($G$104)+'LINEST VARS'!$S$64*($B122)+'LINEST VARS'!$R$64*(4)+'LINEST VARS'!$Q$64*(0.5)+'LINEST VARS'!$P$64*(12.73)+'LINEST VARS'!$O$64*($G$104^2)+'LINEST VARS'!$N$64*($B122^2)+'LINEST VARS'!$M$64*(4^2)+'LINEST VARS'!$L$64*(0.5^2)+'LINEST VARS'!$K$64*(12.73^2)+'LINEST VARS'!$J$64*($G$104*$B122)+'LINEST VARS'!$I$64*($G$104*4)+'LINEST VARS'!$H$64*($G$104*0.5)+'LINEST VARS'!$G$64*($G$104*12.73)+'LINEST VARS'!$F$64*($B122*4)+'LINEST VARS'!$E$64*($B122*0.5)+'LINEST VARS'!$D$64*($B122*12.73)+'LINEST VARS'!$C$64*(4*0.5)+'LINEST VARS'!$B$64*(4*12.73)+'LINEST VARS'!$A$64*(0.5*12.73)</f>
        <v>164.18999999999991</v>
      </c>
      <c r="H122" s="55">
        <f>'LINEST VARS'!$U$64+'LINEST VARS'!$T$64*($H$104)+'LINEST VARS'!$S$64*($B122)+'LINEST VARS'!$R$64*(4)+'LINEST VARS'!$Q$64*(0.5)+'LINEST VARS'!$P$64*(12.73)+'LINEST VARS'!$O$64*($H$104^2)+'LINEST VARS'!$N$64*($B122^2)+'LINEST VARS'!$M$64*(4^2)+'LINEST VARS'!$L$64*(0.5^2)+'LINEST VARS'!$K$64*(12.73^2)+'LINEST VARS'!$J$64*($H$104*$B122)+'LINEST VARS'!$I$64*($H$104*4)+'LINEST VARS'!$H$64*($H$104*0.5)+'LINEST VARS'!$G$64*($H$104*12.73)+'LINEST VARS'!$F$64*($B122*4)+'LINEST VARS'!$E$64*($B122*0.5)+'LINEST VARS'!$D$64*($B122*12.73)+'LINEST VARS'!$C$64*(4*0.5)+'LINEST VARS'!$B$64*(4*12.73)+'LINEST VARS'!$A$64*(0.5*12.73)</f>
        <v>164.18999999999991</v>
      </c>
      <c r="I122" s="55">
        <f>'LINEST VARS'!$U$64+'LINEST VARS'!$T$64*($I$104)+'LINEST VARS'!$S$64*($B122)+'LINEST VARS'!$R$64*(4)+'LINEST VARS'!$Q$64*(0.5)+'LINEST VARS'!$P$64*(12.73)+'LINEST VARS'!$O$64*($I$104^2)+'LINEST VARS'!$N$64*($B122^2)+'LINEST VARS'!$M$64*(4^2)+'LINEST VARS'!$L$64*(0.5^2)+'LINEST VARS'!$K$64*(12.73^2)+'LINEST VARS'!$J$64*($I$104*$B122)+'LINEST VARS'!$I$64*($I$104*4)+'LINEST VARS'!$H$64*($I$104*0.5)+'LINEST VARS'!$G$64*($I$104*12.73)+'LINEST VARS'!$F$64*($B122*4)+'LINEST VARS'!$E$64*($B122*0.5)+'LINEST VARS'!$D$64*($B122*12.73)+'LINEST VARS'!$C$64*(4*0.5)+'LINEST VARS'!$B$64*(4*12.73)+'LINEST VARS'!$A$64*(0.5*12.73)</f>
        <v>164.18999999999988</v>
      </c>
      <c r="J122" s="55">
        <f>'LINEST VARS'!$U$64+'LINEST VARS'!$T$64*($J$104)+'LINEST VARS'!$S$64*($B122)+'LINEST VARS'!$R$64*(4)+'LINEST VARS'!$Q$64*(0.5)+'LINEST VARS'!$P$64*(12.73)+'LINEST VARS'!$O$64*($J$104^2)+'LINEST VARS'!$N$64*($B122^2)+'LINEST VARS'!$M$64*(4^2)+'LINEST VARS'!$L$64*(0.5^2)+'LINEST VARS'!$K$64*(12.73^2)+'LINEST VARS'!$J$64*($J$104*$B122)+'LINEST VARS'!$I$64*($J$104*4)+'LINEST VARS'!$H$64*($J$104*0.5)+'LINEST VARS'!$G$64*($J$104*12.73)+'LINEST VARS'!$F$64*($B122*4)+'LINEST VARS'!$E$64*($B122*0.5)+'LINEST VARS'!$D$64*($B122*12.73)+'LINEST VARS'!$C$64*(4*0.5)+'LINEST VARS'!$B$64*(4*12.73)+'LINEST VARS'!$A$64*(0.5*12.73)</f>
        <v>164.18999999999988</v>
      </c>
      <c r="K122" s="55">
        <f>'LINEST VARS'!$U$64+'LINEST VARS'!$T$64*($K$104)+'LINEST VARS'!$S$64*($B122)+'LINEST VARS'!$R$64*(4)+'LINEST VARS'!$Q$64*(0.5)+'LINEST VARS'!$P$64*(12.73)+'LINEST VARS'!$O$64*($K$104^2)+'LINEST VARS'!$N$64*($B122^2)+'LINEST VARS'!$M$64*(4^2)+'LINEST VARS'!$L$64*(0.5^2)+'LINEST VARS'!$K$64*(12.73^2)+'LINEST VARS'!$J$64*($K$104*$B122)+'LINEST VARS'!$I$64*($K$104*4)+'LINEST VARS'!$H$64*($K$104*0.5)+'LINEST VARS'!$G$64*($K$104*12.73)+'LINEST VARS'!$F$64*($B122*4)+'LINEST VARS'!$E$64*($B122*0.5)+'LINEST VARS'!$D$64*($B122*12.73)+'LINEST VARS'!$C$64*(4*0.5)+'LINEST VARS'!$B$64*(4*12.73)+'LINEST VARS'!$A$64*(0.5*12.73)</f>
        <v>164.18999999999988</v>
      </c>
      <c r="L122" s="55">
        <f>'LINEST VARS'!$U$64+'LINEST VARS'!$T$64*($L$104)+'LINEST VARS'!$S$64*($B122)+'LINEST VARS'!$R$64*(4)+'LINEST VARS'!$Q$64*(0.5)+'LINEST VARS'!$P$64*(12.73)+'LINEST VARS'!$O$64*($L$104^2)+'LINEST VARS'!$N$64*($B122^2)+'LINEST VARS'!$M$64*(4^2)+'LINEST VARS'!$L$64*(0.5^2)+'LINEST VARS'!$K$64*(12.73^2)+'LINEST VARS'!$J$64*($L$104*$B122)+'LINEST VARS'!$I$64*($L$104*4)+'LINEST VARS'!$H$64*($L$104*0.5)+'LINEST VARS'!$G$64*($L$104*12.73)+'LINEST VARS'!$F$64*($B122*4)+'LINEST VARS'!$E$64*($B122*0.5)+'LINEST VARS'!$D$64*($B122*12.73)+'LINEST VARS'!$C$64*(4*0.5)+'LINEST VARS'!$B$64*(4*12.73)+'LINEST VARS'!$A$64*(0.5*12.73)</f>
        <v>164.18999999999988</v>
      </c>
      <c r="M122" s="55">
        <f>'LINEST VARS'!$U$64+'LINEST VARS'!$T$64*($M$104)+'LINEST VARS'!$S$64*($B122)+'LINEST VARS'!$R$64*(4)+'LINEST VARS'!$Q$64*(0.5)+'LINEST VARS'!$P$64*(12.73)+'LINEST VARS'!$O$64*($M$104^2)+'LINEST VARS'!$N$64*($B122^2)+'LINEST VARS'!$M$64*(4^2)+'LINEST VARS'!$L$64*(0.5^2)+'LINEST VARS'!$K$64*(12.73^2)+'LINEST VARS'!$J$64*($M$104*$B122)+'LINEST VARS'!$I$64*($M$104*4)+'LINEST VARS'!$H$64*($M$104*0.5)+'LINEST VARS'!$G$64*($M$104*12.73)+'LINEST VARS'!$F$64*($B122*4)+'LINEST VARS'!$E$64*($B122*0.5)+'LINEST VARS'!$D$64*($B122*12.73)+'LINEST VARS'!$C$64*(4*0.5)+'LINEST VARS'!$B$64*(4*12.73)+'LINEST VARS'!$A$64*(0.5*12.73)</f>
        <v>164.18999999999988</v>
      </c>
      <c r="N122" s="55">
        <f>'LINEST VARS'!$U$64+'LINEST VARS'!$T$64*($N$104)+'LINEST VARS'!$S$64*($B122)+'LINEST VARS'!$R$64*(4)+'LINEST VARS'!$Q$64*(0.5)+'LINEST VARS'!$P$64*(12.73)+'LINEST VARS'!$O$64*($N$104^2)+'LINEST VARS'!$N$64*($B122^2)+'LINEST VARS'!$M$64*(4^2)+'LINEST VARS'!$L$64*(0.5^2)+'LINEST VARS'!$K$64*(12.73^2)+'LINEST VARS'!$J$64*($N$104*$B122)+'LINEST VARS'!$I$64*($N$104*4)+'LINEST VARS'!$H$64*($N$104*0.5)+'LINEST VARS'!$G$64*($N$104*12.73)+'LINEST VARS'!$F$64*($B122*4)+'LINEST VARS'!$E$64*($B122*0.5)+'LINEST VARS'!$D$64*($B122*12.73)+'LINEST VARS'!$C$64*(4*0.5)+'LINEST VARS'!$B$64*(4*12.73)+'LINEST VARS'!$A$64*(0.5*12.73)</f>
        <v>164.18999999999988</v>
      </c>
      <c r="O122" s="55">
        <f>'LINEST VARS'!$U$64+'LINEST VARS'!$T$64*($O$104)+'LINEST VARS'!$S$64*($B122)+'LINEST VARS'!$R$64*(4)+'LINEST VARS'!$Q$64*(0.5)+'LINEST VARS'!$P$64*(12.73)+'LINEST VARS'!$O$64*($O$104^2)+'LINEST VARS'!$N$64*($B122^2)+'LINEST VARS'!$M$64*(4^2)+'LINEST VARS'!$L$64*(0.5^2)+'LINEST VARS'!$K$64*(12.73^2)+'LINEST VARS'!$J$64*($O$104*$B122)+'LINEST VARS'!$I$64*($O$104*4)+'LINEST VARS'!$H$64*($O$104*0.5)+'LINEST VARS'!$G$64*($O$104*12.73)+'LINEST VARS'!$F$64*($B122*4)+'LINEST VARS'!$E$64*($B122*0.5)+'LINEST VARS'!$D$64*($B122*12.73)+'LINEST VARS'!$C$64*(4*0.5)+'LINEST VARS'!$B$64*(4*12.73)+'LINEST VARS'!$A$64*(0.5*12.73)</f>
        <v>164.18999999999988</v>
      </c>
      <c r="P122" s="55">
        <f>'LINEST VARS'!$U$64+'LINEST VARS'!$T$64*($P$104)+'LINEST VARS'!$S$64*($B122)+'LINEST VARS'!$R$64*(4)+'LINEST VARS'!$Q$64*(0.5)+'LINEST VARS'!$P$64*(12.73)+'LINEST VARS'!$O$64*($P$104^2)+'LINEST VARS'!$N$64*($B122^2)+'LINEST VARS'!$M$64*(4^2)+'LINEST VARS'!$L$64*(0.5^2)+'LINEST VARS'!$K$64*(12.73^2)+'LINEST VARS'!$J$64*($P$104*$B122)+'LINEST VARS'!$I$64*($P$104*4)+'LINEST VARS'!$H$64*($P$104*0.5)+'LINEST VARS'!$G$64*($P$104*12.73)+'LINEST VARS'!$F$64*($B122*4)+'LINEST VARS'!$E$64*($B122*0.5)+'LINEST VARS'!$D$64*($B122*12.73)+'LINEST VARS'!$C$64*(4*0.5)+'LINEST VARS'!$B$64*(4*12.73)+'LINEST VARS'!$A$64*(0.5*12.73)</f>
        <v>164.18999999999991</v>
      </c>
      <c r="Q122" s="55">
        <f>'LINEST VARS'!$U$64+'LINEST VARS'!$T$64*($Q$104)+'LINEST VARS'!$S$64*($B122)+'LINEST VARS'!$R$64*(4)+'LINEST VARS'!$Q$64*(0.5)+'LINEST VARS'!$P$64*(12.73)+'LINEST VARS'!$O$64*($Q$104^2)+'LINEST VARS'!$N$64*($B122^2)+'LINEST VARS'!$M$64*(4^2)+'LINEST VARS'!$L$64*(0.5^2)+'LINEST VARS'!$K$64*(12.73^2)+'LINEST VARS'!$J$64*($Q$104*$B122)+'LINEST VARS'!$I$64*($Q$104*4)+'LINEST VARS'!$H$64*($Q$104*0.5)+'LINEST VARS'!$G$64*($Q$104*12.73)+'LINEST VARS'!$F$64*($B122*4)+'LINEST VARS'!$E$64*($B122*0.5)+'LINEST VARS'!$D$64*($B122*12.73)+'LINEST VARS'!$C$64*(4*0.5)+'LINEST VARS'!$B$64*(4*12.73)+'LINEST VARS'!$A$64*(0.5*12.73)</f>
        <v>164.18999999999991</v>
      </c>
      <c r="R122" s="55">
        <f>'LINEST VARS'!$U$64+'LINEST VARS'!$T$64*($R$104)+'LINEST VARS'!$S$64*($B122)+'LINEST VARS'!$R$64*(4)+'LINEST VARS'!$Q$64*(0.5)+'LINEST VARS'!$P$64*(12.73)+'LINEST VARS'!$O$64*($R$104^2)+'LINEST VARS'!$N$64*($B122^2)+'LINEST VARS'!$M$64*(4^2)+'LINEST VARS'!$L$64*(0.5^2)+'LINEST VARS'!$K$64*(12.73^2)+'LINEST VARS'!$J$64*($R$104*$B122)+'LINEST VARS'!$I$64*($R$104*4)+'LINEST VARS'!$H$64*($R$104*0.5)+'LINEST VARS'!$G$64*($R$104*12.73)+'LINEST VARS'!$F$64*($B122*4)+'LINEST VARS'!$E$64*($B122*0.5)+'LINEST VARS'!$D$64*($B122*12.73)+'LINEST VARS'!$C$64*(4*0.5)+'LINEST VARS'!$B$64*(4*12.73)+'LINEST VARS'!$A$64*(0.5*12.73)</f>
        <v>164.18999999999991</v>
      </c>
      <c r="S122" s="55">
        <f>'LINEST VARS'!$U$64+'LINEST VARS'!$T$64*($S$104)+'LINEST VARS'!$S$64*($B122)+'LINEST VARS'!$R$64*(4)+'LINEST VARS'!$Q$64*(0.5)+'LINEST VARS'!$P$64*(12.73)+'LINEST VARS'!$O$64*($S$104^2)+'LINEST VARS'!$N$64*($B122^2)+'LINEST VARS'!$M$64*(4^2)+'LINEST VARS'!$L$64*(0.5^2)+'LINEST VARS'!$K$64*(12.73^2)+'LINEST VARS'!$J$64*($S$104*$B122)+'LINEST VARS'!$I$64*($S$104*4)+'LINEST VARS'!$H$64*($S$104*0.5)+'LINEST VARS'!$G$64*($S$104*12.73)+'LINEST VARS'!$F$64*($B122*4)+'LINEST VARS'!$E$64*($B122*0.5)+'LINEST VARS'!$D$64*($B122*12.73)+'LINEST VARS'!$C$64*(4*0.5)+'LINEST VARS'!$B$64*(4*12.73)+'LINEST VARS'!$A$64*(0.5*12.73)</f>
        <v>164.18999999999991</v>
      </c>
      <c r="T122" s="55">
        <f>'LINEST VARS'!$U$64+'LINEST VARS'!$T$64*($T$104)+'LINEST VARS'!$S$64*($B122)+'LINEST VARS'!$R$64*(4)+'LINEST VARS'!$Q$64*(0.5)+'LINEST VARS'!$P$64*(12.73)+'LINEST VARS'!$O$64*($T$104^2)+'LINEST VARS'!$N$64*($B122^2)+'LINEST VARS'!$M$64*(4^2)+'LINEST VARS'!$L$64*(0.5^2)+'LINEST VARS'!$K$64*(12.73^2)+'LINEST VARS'!$J$64*($T$104*$B122)+'LINEST VARS'!$I$64*($T$104*4)+'LINEST VARS'!$H$64*($T$104*0.5)+'LINEST VARS'!$G$64*($T$104*12.73)+'LINEST VARS'!$F$64*($B122*4)+'LINEST VARS'!$E$64*($B122*0.5)+'LINEST VARS'!$D$64*($B122*12.73)+'LINEST VARS'!$C$64*(4*0.5)+'LINEST VARS'!$B$64*(4*12.73)+'LINEST VARS'!$A$64*(0.5*12.73)</f>
        <v>164.18999999999991</v>
      </c>
      <c r="U122" s="55">
        <f>'LINEST VARS'!$U$64+'LINEST VARS'!$T$64*($U$104)+'LINEST VARS'!$S$64*($B122)+'LINEST VARS'!$R$64*(4)+'LINEST VARS'!$Q$64*(0.5)+'LINEST VARS'!$P$64*(12.73)+'LINEST VARS'!$O$64*($U$104^2)+'LINEST VARS'!$N$64*($B122^2)+'LINEST VARS'!$M$64*(4^2)+'LINEST VARS'!$L$64*(0.5^2)+'LINEST VARS'!$K$64*(12.73^2)+'LINEST VARS'!$J$64*($U$104*$B122)+'LINEST VARS'!$I$64*($U$104*4)+'LINEST VARS'!$H$64*($U$104*0.5)+'LINEST VARS'!$G$64*($U$104*12.73)+'LINEST VARS'!$F$64*($B122*4)+'LINEST VARS'!$E$64*($B122*0.5)+'LINEST VARS'!$D$64*($B122*12.73)+'LINEST VARS'!$C$64*(4*0.5)+'LINEST VARS'!$B$64*(4*12.73)+'LINEST VARS'!$A$64*(0.5*12.73)</f>
        <v>164.18999999999991</v>
      </c>
      <c r="V122" s="55">
        <f>'LINEST VARS'!$U$64+'LINEST VARS'!$T$64*($V$104)+'LINEST VARS'!$S$64*($B122)+'LINEST VARS'!$R$64*(4)+'LINEST VARS'!$Q$64*(0.5)+'LINEST VARS'!$P$64*(12.73)+'LINEST VARS'!$O$64*($V$104^2)+'LINEST VARS'!$N$64*($B122^2)+'LINEST VARS'!$M$64*(4^2)+'LINEST VARS'!$L$64*(0.5^2)+'LINEST VARS'!$K$64*(12.73^2)+'LINEST VARS'!$J$64*($V$104*$B122)+'LINEST VARS'!$I$64*($V$104*4)+'LINEST VARS'!$H$64*($V$104*0.5)+'LINEST VARS'!$G$64*($V$104*12.73)+'LINEST VARS'!$F$64*($B122*4)+'LINEST VARS'!$E$64*($B122*0.5)+'LINEST VARS'!$D$64*($B122*12.73)+'LINEST VARS'!$C$64*(4*0.5)+'LINEST VARS'!$B$64*(4*12.73)+'LINEST VARS'!$A$64*(0.5*12.73)</f>
        <v>164.18999999999991</v>
      </c>
      <c r="W122" s="56">
        <f>'LINEST VARS'!$U$64+'LINEST VARS'!$T$64*($W$104)+'LINEST VARS'!$S$64*($B122)+'LINEST VARS'!$R$64*(4)+'LINEST VARS'!$Q$64*(0.5)+'LINEST VARS'!$P$64*(12.73)+'LINEST VARS'!$O$64*($W$104^2)+'LINEST VARS'!$N$64*($B122^2)+'LINEST VARS'!$M$64*(4^2)+'LINEST VARS'!$L$64*(0.5^2)+'LINEST VARS'!$K$64*(12.73^2)+'LINEST VARS'!$J$64*($W$104*$B122)+'LINEST VARS'!$I$64*($W$104*4)+'LINEST VARS'!$H$64*($W$104*0.5)+'LINEST VARS'!$G$64*($W$104*12.73)+'LINEST VARS'!$F$64*($B122*4)+'LINEST VARS'!$E$64*($B122*0.5)+'LINEST VARS'!$D$64*($B122*12.73)+'LINEST VARS'!$C$64*(4*0.5)+'LINEST VARS'!$B$64*(4*12.73)+'LINEST VARS'!$A$64*(0.5*12.73)</f>
        <v>164.18999999999991</v>
      </c>
      <c r="Z122" s="45">
        <v>8.42</v>
      </c>
      <c r="AA122" s="46">
        <f>'LINEST VARS'!$U$66+'LINEST VARS'!$T$66*($AA$104)+'LINEST VARS'!$S$66*($Z122)+'LINEST VARS'!$R$66*(4)+'LINEST VARS'!$Q$66*(0.5)+'LINEST VARS'!$P$66*(12.73)+'LINEST VARS'!$O$66*($AA$104^2)+'LINEST VARS'!$N$66*($Z122^2)+'LINEST VARS'!$M$66*(4^2)+'LINEST VARS'!$L$66*(0.5^2)+'LINEST VARS'!$K$66*(12.73^2)+'LINEST VARS'!$J$66*($AA$104*$Z122)+'LINEST VARS'!$I$66*($AA$104*4)+'LINEST VARS'!$H$66*($AA$104*0.5)+'LINEST VARS'!$G$66*($AA$104*12.73)+'LINEST VARS'!$F$66*($Z122*4)+'LINEST VARS'!$E$66*($Z122*0.5)+'LINEST VARS'!$D$66*($Z122*12.73)+'LINEST VARS'!$C$66*(4*0.5)+'LINEST VARS'!$B$66*(4*12.73)+'LINEST VARS'!$A$66*(0.5*12.73)</f>
        <v>134.20000000000005</v>
      </c>
      <c r="AB122" s="46">
        <f>'LINEST VARS'!$U$66+'LINEST VARS'!$T$66*($AB$104)+'LINEST VARS'!$S$66*($Z122)+'LINEST VARS'!$R$66*(4)+'LINEST VARS'!$Q$66*(0.5)+'LINEST VARS'!$P$66*(12.73)+'LINEST VARS'!$O$66*($AB$104^2)+'LINEST VARS'!$N$66*($Z122^2)+'LINEST VARS'!$M$66*(4^2)+'LINEST VARS'!$L$66*(0.5^2)+'LINEST VARS'!$K$66*(12.73^2)+'LINEST VARS'!$J$66*($AB$104*$Z122)+'LINEST VARS'!$I$66*($AB$104*4)+'LINEST VARS'!$H$66*($AB$104*0.5)+'LINEST VARS'!$G$66*($AB$104*12.73)+'LINEST VARS'!$F$66*($Z122*4)+'LINEST VARS'!$E$66*($Z122*0.5)+'LINEST VARS'!$D$66*($Z122*12.73)+'LINEST VARS'!$C$66*(4*0.5)+'LINEST VARS'!$B$66*(4*12.73)+'LINEST VARS'!$A$66*(0.5*12.73)</f>
        <v>134.38000000000005</v>
      </c>
      <c r="AC122" s="46">
        <f>'LINEST VARS'!$U$66+'LINEST VARS'!$T$66*($AC$104)+'LINEST VARS'!$S$66*($Z122)+'LINEST VARS'!$R$66*(4)+'LINEST VARS'!$Q$66*(0.5)+'LINEST VARS'!$P$66*(12.73)+'LINEST VARS'!$O$66*($AC$104^2)+'LINEST VARS'!$N$66*($Z122^2)+'LINEST VARS'!$M$66*(4^2)+'LINEST VARS'!$L$66*(0.5^2)+'LINEST VARS'!$K$66*(12.73^2)+'LINEST VARS'!$J$66*($AC$104*$Z122)+'LINEST VARS'!$I$66*($AC$104*4)+'LINEST VARS'!$H$66*($AC$104*0.5)+'LINEST VARS'!$G$66*($AC$104*12.73)+'LINEST VARS'!$F$66*($Z122*4)+'LINEST VARS'!$E$66*($Z122*0.5)+'LINEST VARS'!$D$66*($Z122*12.73)+'LINEST VARS'!$C$66*(4*0.5)+'LINEST VARS'!$B$66*(4*12.73)+'LINEST VARS'!$A$66*(0.5*12.73)</f>
        <v>134.56000000000003</v>
      </c>
      <c r="AD122" s="46">
        <f>'LINEST VARS'!$U$66+'LINEST VARS'!$T$66*($AD$104)+'LINEST VARS'!$S$66*($Z122)+'LINEST VARS'!$R$66*(4)+'LINEST VARS'!$Q$66*(0.5)+'LINEST VARS'!$P$66*(12.73)+'LINEST VARS'!$O$66*($AD$104^2)+'LINEST VARS'!$N$66*($Z122^2)+'LINEST VARS'!$M$66*(4^2)+'LINEST VARS'!$L$66*(0.5^2)+'LINEST VARS'!$K$66*(12.73^2)+'LINEST VARS'!$J$66*($AD$104*$Z122)+'LINEST VARS'!$I$66*($AD$104*4)+'LINEST VARS'!$H$66*($AD$104*0.5)+'LINEST VARS'!$G$66*($AD$104*12.73)+'LINEST VARS'!$F$66*($Z122*4)+'LINEST VARS'!$E$66*($Z122*0.5)+'LINEST VARS'!$D$66*($Z122*12.73)+'LINEST VARS'!$C$66*(4*0.5)+'LINEST VARS'!$B$66*(4*12.73)+'LINEST VARS'!$A$66*(0.5*12.73)</f>
        <v>134.74000000000004</v>
      </c>
      <c r="AE122" s="46">
        <f>'LINEST VARS'!$U$66+'LINEST VARS'!$T$66*($AE$104)+'LINEST VARS'!$S$66*($Z122)+'LINEST VARS'!$R$66*(4)+'LINEST VARS'!$Q$66*(0.5)+'LINEST VARS'!$P$66*(12.73)+'LINEST VARS'!$O$66*($AE$104^2)+'LINEST VARS'!$N$66*($Z122^2)+'LINEST VARS'!$M$66*(4^2)+'LINEST VARS'!$L$66*(0.5^2)+'LINEST VARS'!$K$66*(12.73^2)+'LINEST VARS'!$J$66*($AE$104*$Z122)+'LINEST VARS'!$I$66*($AE$104*4)+'LINEST VARS'!$H$66*($AE$104*0.5)+'LINEST VARS'!$G$66*($AE$104*12.73)+'LINEST VARS'!$F$66*($Z122*4)+'LINEST VARS'!$E$66*($Z122*0.5)+'LINEST VARS'!$D$66*($Z122*12.73)+'LINEST VARS'!$C$66*(4*0.5)+'LINEST VARS'!$B$66*(4*12.73)+'LINEST VARS'!$A$66*(0.5*12.73)</f>
        <v>134.92000000000004</v>
      </c>
      <c r="AF122" s="46">
        <f>'LINEST VARS'!$U$66+'LINEST VARS'!$T$66*($AF$104)+'LINEST VARS'!$S$66*($Z122)+'LINEST VARS'!$R$66*(4)+'LINEST VARS'!$Q$66*(0.5)+'LINEST VARS'!$P$66*(12.73)+'LINEST VARS'!$O$66*($AF$104^2)+'LINEST VARS'!$N$66*($Z122^2)+'LINEST VARS'!$M$66*(4^2)+'LINEST VARS'!$L$66*(0.5^2)+'LINEST VARS'!$K$66*(12.73^2)+'LINEST VARS'!$J$66*($AF$104*$Z122)+'LINEST VARS'!$I$66*($AF$104*4)+'LINEST VARS'!$H$66*($AF$104*0.5)+'LINEST VARS'!$G$66*($AF$104*12.73)+'LINEST VARS'!$F$66*($Z122*4)+'LINEST VARS'!$E$66*($Z122*0.5)+'LINEST VARS'!$D$66*($Z122*12.73)+'LINEST VARS'!$C$66*(4*0.5)+'LINEST VARS'!$B$66*(4*12.73)+'LINEST VARS'!$A$66*(0.5*12.73)</f>
        <v>135.10000000000005</v>
      </c>
      <c r="AG122" s="46">
        <f>'LINEST VARS'!$U$66+'LINEST VARS'!$T$66*($AG$104)+'LINEST VARS'!$S$66*($Z122)+'LINEST VARS'!$R$66*(4)+'LINEST VARS'!$Q$66*(0.5)+'LINEST VARS'!$P$66*(12.73)+'LINEST VARS'!$O$66*($AG$104^2)+'LINEST VARS'!$N$66*($Z122^2)+'LINEST VARS'!$M$66*(4^2)+'LINEST VARS'!$L$66*(0.5^2)+'LINEST VARS'!$K$66*(12.73^2)+'LINEST VARS'!$J$66*($AG$104*$Z122)+'LINEST VARS'!$I$66*($AG$104*4)+'LINEST VARS'!$H$66*($AG$104*0.5)+'LINEST VARS'!$G$66*($AG$104*12.73)+'LINEST VARS'!$F$66*($Z122*4)+'LINEST VARS'!$E$66*($Z122*0.5)+'LINEST VARS'!$D$66*($Z122*12.73)+'LINEST VARS'!$C$66*(4*0.5)+'LINEST VARS'!$B$66*(4*12.73)+'LINEST VARS'!$A$66*(0.5*12.73)</f>
        <v>135.28000000000003</v>
      </c>
      <c r="AH122" s="46">
        <f>'LINEST VARS'!$U$66+'LINEST VARS'!$T$66*($AH$104)+'LINEST VARS'!$S$66*($Z122)+'LINEST VARS'!$R$66*(4)+'LINEST VARS'!$Q$66*(0.5)+'LINEST VARS'!$P$66*(12.73)+'LINEST VARS'!$O$66*($AH$104^2)+'LINEST VARS'!$N$66*($Z122^2)+'LINEST VARS'!$M$66*(4^2)+'LINEST VARS'!$L$66*(0.5^2)+'LINEST VARS'!$K$66*(12.73^2)+'LINEST VARS'!$J$66*($AH$104*$Z122)+'LINEST VARS'!$I$66*($AH$104*4)+'LINEST VARS'!$H$66*($AH$104*0.5)+'LINEST VARS'!$G$66*($AH$104*12.73)+'LINEST VARS'!$F$66*($Z122*4)+'LINEST VARS'!$E$66*($Z122*0.5)+'LINEST VARS'!$D$66*($Z122*12.73)+'LINEST VARS'!$C$66*(4*0.5)+'LINEST VARS'!$B$66*(4*12.73)+'LINEST VARS'!$A$66*(0.5*12.73)</f>
        <v>135.46000000000004</v>
      </c>
      <c r="AI122" s="46">
        <f>'LINEST VARS'!$U$66+'LINEST VARS'!$T$66*($AI$104)+'LINEST VARS'!$S$66*($Z122)+'LINEST VARS'!$R$66*(4)+'LINEST VARS'!$Q$66*(0.5)+'LINEST VARS'!$P$66*(12.73)+'LINEST VARS'!$O$66*($AI$104^2)+'LINEST VARS'!$N$66*($Z122^2)+'LINEST VARS'!$M$66*(4^2)+'LINEST VARS'!$L$66*(0.5^2)+'LINEST VARS'!$K$66*(12.73^2)+'LINEST VARS'!$J$66*($AI$104*$Z122)+'LINEST VARS'!$I$66*($AI$104*4)+'LINEST VARS'!$H$66*($AI$104*0.5)+'LINEST VARS'!$G$66*($AI$104*12.73)+'LINEST VARS'!$F$66*($Z122*4)+'LINEST VARS'!$E$66*($Z122*0.5)+'LINEST VARS'!$D$66*($Z122*12.73)+'LINEST VARS'!$C$66*(4*0.5)+'LINEST VARS'!$B$66*(4*12.73)+'LINEST VARS'!$A$66*(0.5*12.73)</f>
        <v>135.64000000000004</v>
      </c>
      <c r="AJ122" s="46">
        <f>'LINEST VARS'!$U$66+'LINEST VARS'!$T$66*($AJ$104)+'LINEST VARS'!$S$66*($Z122)+'LINEST VARS'!$R$66*(4)+'LINEST VARS'!$Q$66*(0.5)+'LINEST VARS'!$P$66*(12.73)+'LINEST VARS'!$O$66*($AJ$104^2)+'LINEST VARS'!$N$66*($Z122^2)+'LINEST VARS'!$M$66*(4^2)+'LINEST VARS'!$L$66*(0.5^2)+'LINEST VARS'!$K$66*(12.73^2)+'LINEST VARS'!$J$66*($AJ$104*$Z122)+'LINEST VARS'!$I$66*($AJ$104*4)+'LINEST VARS'!$H$66*($AJ$104*0.5)+'LINEST VARS'!$G$66*($AJ$104*12.73)+'LINEST VARS'!$F$66*($Z122*4)+'LINEST VARS'!$E$66*($Z122*0.5)+'LINEST VARS'!$D$66*($Z122*12.73)+'LINEST VARS'!$C$66*(4*0.5)+'LINEST VARS'!$B$66*(4*12.73)+'LINEST VARS'!$A$66*(0.5*12.73)</f>
        <v>135.82000000000005</v>
      </c>
      <c r="AK122" s="46">
        <f>'LINEST VARS'!$U$66+'LINEST VARS'!$T$66*($AK$104)+'LINEST VARS'!$S$66*($Z122)+'LINEST VARS'!$R$66*(4)+'LINEST VARS'!$Q$66*(0.5)+'LINEST VARS'!$P$66*(12.73)+'LINEST VARS'!$O$66*($AK$104^2)+'LINEST VARS'!$N$66*($Z122^2)+'LINEST VARS'!$M$66*(4^2)+'LINEST VARS'!$L$66*(0.5^2)+'LINEST VARS'!$K$66*(12.73^2)+'LINEST VARS'!$J$66*($AK$104*$Z122)+'LINEST VARS'!$I$66*($AK$104*4)+'LINEST VARS'!$H$66*($AK$104*0.5)+'LINEST VARS'!$G$66*($AK$104*12.73)+'LINEST VARS'!$F$66*($Z122*4)+'LINEST VARS'!$E$66*($Z122*0.5)+'LINEST VARS'!$D$66*($Z122*12.73)+'LINEST VARS'!$C$66*(4*0.5)+'LINEST VARS'!$B$66*(4*12.73)+'LINEST VARS'!$A$66*(0.5*12.73)</f>
        <v>136.00000000000003</v>
      </c>
      <c r="AL122" s="46">
        <f>'LINEST VARS'!$U$66+'LINEST VARS'!$T$66*($AL$104)+'LINEST VARS'!$S$66*($Z122)+'LINEST VARS'!$R$66*(4)+'LINEST VARS'!$Q$66*(0.5)+'LINEST VARS'!$P$66*(12.73)+'LINEST VARS'!$O$66*($AL$104^2)+'LINEST VARS'!$N$66*($Z122^2)+'LINEST VARS'!$M$66*(4^2)+'LINEST VARS'!$L$66*(0.5^2)+'LINEST VARS'!$K$66*(12.73^2)+'LINEST VARS'!$J$66*($AL$104*$Z122)+'LINEST VARS'!$I$66*($AL$104*4)+'LINEST VARS'!$H$66*($AL$104*0.5)+'LINEST VARS'!$G$66*($AL$104*12.73)+'LINEST VARS'!$F$66*($Z122*4)+'LINEST VARS'!$E$66*($Z122*0.5)+'LINEST VARS'!$D$66*($Z122*12.73)+'LINEST VARS'!$C$66*(4*0.5)+'LINEST VARS'!$B$66*(4*12.73)+'LINEST VARS'!$A$66*(0.5*12.73)</f>
        <v>136.18000000000004</v>
      </c>
      <c r="AM122" s="46">
        <f>'LINEST VARS'!$U$66+'LINEST VARS'!$T$66*($AM$104)+'LINEST VARS'!$S$66*($Z122)+'LINEST VARS'!$R$66*(4)+'LINEST VARS'!$Q$66*(0.5)+'LINEST VARS'!$P$66*(12.73)+'LINEST VARS'!$O$66*($AM$104^2)+'LINEST VARS'!$N$66*($Z122^2)+'LINEST VARS'!$M$66*(4^2)+'LINEST VARS'!$L$66*(0.5^2)+'LINEST VARS'!$K$66*(12.73^2)+'LINEST VARS'!$J$66*($AM$104*$Z122)+'LINEST VARS'!$I$66*($AM$104*4)+'LINEST VARS'!$H$66*($AM$104*0.5)+'LINEST VARS'!$G$66*($AM$104*12.73)+'LINEST VARS'!$F$66*($Z122*4)+'LINEST VARS'!$E$66*($Z122*0.5)+'LINEST VARS'!$D$66*($Z122*12.73)+'LINEST VARS'!$C$66*(4*0.5)+'LINEST VARS'!$B$66*(4*12.73)+'LINEST VARS'!$A$66*(0.5*12.73)</f>
        <v>136.36000000000004</v>
      </c>
      <c r="AN122" s="46">
        <f>'LINEST VARS'!$U$66+'LINEST VARS'!$T$66*($AN$104)+'LINEST VARS'!$S$66*($Z122)+'LINEST VARS'!$R$66*(4)+'LINEST VARS'!$Q$66*(0.5)+'LINEST VARS'!$P$66*(12.73)+'LINEST VARS'!$O$66*($AN$104^2)+'LINEST VARS'!$N$66*($Z122^2)+'LINEST VARS'!$M$66*(4^2)+'LINEST VARS'!$L$66*(0.5^2)+'LINEST VARS'!$K$66*(12.73^2)+'LINEST VARS'!$J$66*($AN$104*$Z122)+'LINEST VARS'!$I$66*($AN$104*4)+'LINEST VARS'!$H$66*($AN$104*0.5)+'LINEST VARS'!$G$66*($AN$104*12.73)+'LINEST VARS'!$F$66*($Z122*4)+'LINEST VARS'!$E$66*($Z122*0.5)+'LINEST VARS'!$D$66*($Z122*12.73)+'LINEST VARS'!$C$66*(4*0.5)+'LINEST VARS'!$B$66*(4*12.73)+'LINEST VARS'!$A$66*(0.5*12.73)</f>
        <v>136.54000000000005</v>
      </c>
      <c r="AO122" s="46">
        <f>'LINEST VARS'!$U$66+'LINEST VARS'!$T$66*($AO$104)+'LINEST VARS'!$S$66*($Z122)+'LINEST VARS'!$R$66*(4)+'LINEST VARS'!$Q$66*(0.5)+'LINEST VARS'!$P$66*(12.73)+'LINEST VARS'!$O$66*($AO$104^2)+'LINEST VARS'!$N$66*($Z122^2)+'LINEST VARS'!$M$66*(4^2)+'LINEST VARS'!$L$66*(0.5^2)+'LINEST VARS'!$K$66*(12.73^2)+'LINEST VARS'!$J$66*($AO$104*$Z122)+'LINEST VARS'!$I$66*($AO$104*4)+'LINEST VARS'!$H$66*($AO$104*0.5)+'LINEST VARS'!$G$66*($AO$104*12.73)+'LINEST VARS'!$F$66*($Z122*4)+'LINEST VARS'!$E$66*($Z122*0.5)+'LINEST VARS'!$D$66*($Z122*12.73)+'LINEST VARS'!$C$66*(4*0.5)+'LINEST VARS'!$B$66*(4*12.73)+'LINEST VARS'!$A$66*(0.5*12.73)</f>
        <v>136.72000000000003</v>
      </c>
      <c r="AP122" s="46">
        <f>'LINEST VARS'!$U$66+'LINEST VARS'!$T$66*($AP$104)+'LINEST VARS'!$S$66*($Z122)+'LINEST VARS'!$R$66*(4)+'LINEST VARS'!$Q$66*(0.5)+'LINEST VARS'!$P$66*(12.73)+'LINEST VARS'!$O$66*($AP$104^2)+'LINEST VARS'!$N$66*($Z122^2)+'LINEST VARS'!$M$66*(4^2)+'LINEST VARS'!$L$66*(0.5^2)+'LINEST VARS'!$K$66*(12.73^2)+'LINEST VARS'!$J$66*($AP$104*$Z122)+'LINEST VARS'!$I$66*($AP$104*4)+'LINEST VARS'!$H$66*($AP$104*0.5)+'LINEST VARS'!$G$66*($AP$104*12.73)+'LINEST VARS'!$F$66*($Z122*4)+'LINEST VARS'!$E$66*($Z122*0.5)+'LINEST VARS'!$D$66*($Z122*12.73)+'LINEST VARS'!$C$66*(4*0.5)+'LINEST VARS'!$B$66*(4*12.73)+'LINEST VARS'!$A$66*(0.5*12.73)</f>
        <v>136.90000000000003</v>
      </c>
      <c r="AQ122" s="46">
        <f>'LINEST VARS'!$U$66+'LINEST VARS'!$T$66*($AQ$104)+'LINEST VARS'!$S$66*($Z122)+'LINEST VARS'!$R$66*(4)+'LINEST VARS'!$Q$66*(0.5)+'LINEST VARS'!$P$66*(12.73)+'LINEST VARS'!$O$66*($AQ$104^2)+'LINEST VARS'!$N$66*($Z122^2)+'LINEST VARS'!$M$66*(4^2)+'LINEST VARS'!$L$66*(0.5^2)+'LINEST VARS'!$K$66*(12.73^2)+'LINEST VARS'!$J$66*($AQ$104*$Z122)+'LINEST VARS'!$I$66*($AQ$104*4)+'LINEST VARS'!$H$66*($AQ$104*0.5)+'LINEST VARS'!$G$66*($AQ$104*12.73)+'LINEST VARS'!$F$66*($Z122*4)+'LINEST VARS'!$E$66*($Z122*0.5)+'LINEST VARS'!$D$66*($Z122*12.73)+'LINEST VARS'!$C$66*(4*0.5)+'LINEST VARS'!$B$66*(4*12.73)+'LINEST VARS'!$A$66*(0.5*12.73)</f>
        <v>137.08000000000004</v>
      </c>
      <c r="AR122" s="46">
        <f>'LINEST VARS'!$U$66+'LINEST VARS'!$T$66*($AR$104)+'LINEST VARS'!$S$66*($Z122)+'LINEST VARS'!$R$66*(4)+'LINEST VARS'!$Q$66*(0.5)+'LINEST VARS'!$P$66*(12.73)+'LINEST VARS'!$O$66*($AR$104^2)+'LINEST VARS'!$N$66*($Z122^2)+'LINEST VARS'!$M$66*(4^2)+'LINEST VARS'!$L$66*(0.5^2)+'LINEST VARS'!$K$66*(12.73^2)+'LINEST VARS'!$J$66*($AR$104*$Z122)+'LINEST VARS'!$I$66*($AR$104*4)+'LINEST VARS'!$H$66*($AR$104*0.5)+'LINEST VARS'!$G$66*($AR$104*12.73)+'LINEST VARS'!$F$66*($Z122*4)+'LINEST VARS'!$E$66*($Z122*0.5)+'LINEST VARS'!$D$66*($Z122*12.73)+'LINEST VARS'!$C$66*(4*0.5)+'LINEST VARS'!$B$66*(4*12.73)+'LINEST VARS'!$A$66*(0.5*12.73)</f>
        <v>137.26000000000005</v>
      </c>
      <c r="AS122" s="46">
        <f>'LINEST VARS'!$U$66+'LINEST VARS'!$T$66*($AS$104)+'LINEST VARS'!$S$66*($Z122)+'LINEST VARS'!$R$66*(4)+'LINEST VARS'!$Q$66*(0.5)+'LINEST VARS'!$P$66*(12.73)+'LINEST VARS'!$O$66*($AS$104^2)+'LINEST VARS'!$N$66*($Z122^2)+'LINEST VARS'!$M$66*(4^2)+'LINEST VARS'!$L$66*(0.5^2)+'LINEST VARS'!$K$66*(12.73^2)+'LINEST VARS'!$J$66*($AS$104*$Z122)+'LINEST VARS'!$I$66*($AS$104*4)+'LINEST VARS'!$H$66*($AS$104*0.5)+'LINEST VARS'!$G$66*($AS$104*12.73)+'LINEST VARS'!$F$66*($Z122*4)+'LINEST VARS'!$E$66*($Z122*0.5)+'LINEST VARS'!$D$66*($Z122*12.73)+'LINEST VARS'!$C$66*(4*0.5)+'LINEST VARS'!$B$66*(4*12.73)+'LINEST VARS'!$A$66*(0.5*12.73)</f>
        <v>137.44000000000003</v>
      </c>
      <c r="AT122" s="46">
        <f>'LINEST VARS'!$U$66+'LINEST VARS'!$T$66*($AT$104)+'LINEST VARS'!$S$66*($Z122)+'LINEST VARS'!$R$66*(4)+'LINEST VARS'!$Q$66*(0.5)+'LINEST VARS'!$P$66*(12.73)+'LINEST VARS'!$O$66*($AT$104^2)+'LINEST VARS'!$N$66*($Z122^2)+'LINEST VARS'!$M$66*(4^2)+'LINEST VARS'!$L$66*(0.5^2)+'LINEST VARS'!$K$66*(12.73^2)+'LINEST VARS'!$J$66*($AT$104*$Z122)+'LINEST VARS'!$I$66*($AT$104*4)+'LINEST VARS'!$H$66*($AT$104*0.5)+'LINEST VARS'!$G$66*($AT$104*12.73)+'LINEST VARS'!$F$66*($Z122*4)+'LINEST VARS'!$E$66*($Z122*0.5)+'LINEST VARS'!$D$66*($Z122*12.73)+'LINEST VARS'!$C$66*(4*0.5)+'LINEST VARS'!$B$66*(4*12.73)+'LINEST VARS'!$A$66*(0.5*12.73)</f>
        <v>137.62000000000003</v>
      </c>
      <c r="AU122" s="47">
        <f>'LINEST VARS'!$U$66+'LINEST VARS'!$T$66*($AU$104)+'LINEST VARS'!$S$66*($Z122)+'LINEST VARS'!$R$66*(4)+'LINEST VARS'!$Q$66*(0.5)+'LINEST VARS'!$P$66*(12.73)+'LINEST VARS'!$O$66*($AU$104^2)+'LINEST VARS'!$N$66*($Z122^2)+'LINEST VARS'!$M$66*(4^2)+'LINEST VARS'!$L$66*(0.5^2)+'LINEST VARS'!$K$66*(12.73^2)+'LINEST VARS'!$J$66*($AU$104*$Z122)+'LINEST VARS'!$I$66*($AU$104*4)+'LINEST VARS'!$H$66*($AU$104*0.5)+'LINEST VARS'!$G$66*($AU$104*12.73)+'LINEST VARS'!$F$66*($Z122*4)+'LINEST VARS'!$E$66*($Z122*0.5)+'LINEST VARS'!$D$66*($Z122*12.73)+'LINEST VARS'!$C$66*(4*0.5)+'LINEST VARS'!$B$66*(4*12.73)+'LINEST VARS'!$A$66*(0.5*12.73)</f>
        <v>137.80000000000004</v>
      </c>
      <c r="AZ122" s="45">
        <v>0.85</v>
      </c>
      <c r="BA122" s="55">
        <f>'LINEST VARS'!$U$64+'LINEST VARS'!$T$64*(8)+'LINEST VARS'!$S$64*(8)+'LINEST VARS'!$R$64*($BA$104)+'LINEST VARS'!$Q$64*($AZ122)+'LINEST VARS'!$P$64*(12.73)+'LINEST VARS'!$O$64*(8^2)+'LINEST VARS'!$N$64*(8^2)+'LINEST VARS'!$M$64*($BA$104^2)+'LINEST VARS'!$L$64*($AZ122^2)+'LINEST VARS'!$K$64*(12.73^2)+'LINEST VARS'!$J$64*(8*8)+'LINEST VARS'!$I$64*(8*$BA$104)+'LINEST VARS'!$H$64*(8*$AZ122)+'LINEST VARS'!$G$64*(8*12.73)+'LINEST VARS'!$F$64*(8*$BA$104)+'LINEST VARS'!$E$64*(8*$AZ122)+'LINEST VARS'!$D$64*(8*12.73)+'LINEST VARS'!$C$64*($BA$104*$AZ122)+'LINEST VARS'!$B$64*($BA$104*12.73)+'LINEST VARS'!$A$64*($AZ122*12.73)</f>
        <v>148.18999999999988</v>
      </c>
      <c r="BB122" s="55">
        <f>'LINEST VARS'!$U$64+'LINEST VARS'!$T$64*(8)+'LINEST VARS'!$S$64*(8)+'LINEST VARS'!$R$64*($BB$104)+'LINEST VARS'!$Q$64*($AZ122)+'LINEST VARS'!$P$64*(12.73)+'LINEST VARS'!$O$64*(8^2)+'LINEST VARS'!$N$64*(8^2)+'LINEST VARS'!$M$64*($BB$104^2)+'LINEST VARS'!$L$64*($AZ122^2)+'LINEST VARS'!$K$64*(12.73^2)+'LINEST VARS'!$J$64*(8*8)+'LINEST VARS'!$I$64*(8*$BB$104)+'LINEST VARS'!$H$64*(8*$AZ122)+'LINEST VARS'!$G$64*(8*12.73)+'LINEST VARS'!$F$64*(8*$BB$104)+'LINEST VARS'!$E$64*(8*$AZ122)+'LINEST VARS'!$D$64*(8*12.73)+'LINEST VARS'!$C$64*($BB$104*$AZ122)+'LINEST VARS'!$B$64*($BB$104*12.73)+'LINEST VARS'!$A$64*($AZ122*12.73)</f>
        <v>149.78999999999985</v>
      </c>
      <c r="BC122" s="55">
        <f>'LINEST VARS'!$U$64+'LINEST VARS'!$T$64*(8)+'LINEST VARS'!$S$64*(8)+'LINEST VARS'!$R$64*($BC$104)+'LINEST VARS'!$Q$64*($AZ122)+'LINEST VARS'!$P$64*(12.73)+'LINEST VARS'!$O$64*(8^2)+'LINEST VARS'!$N$64*(8^2)+'LINEST VARS'!$M$64*($BC$104^2)+'LINEST VARS'!$L$64*($AZ122^2)+'LINEST VARS'!$K$64*(12.73^2)+'LINEST VARS'!$J$64*(8*8)+'LINEST VARS'!$I$64*(8*$BC$104)+'LINEST VARS'!$H$64*(8*$AZ122)+'LINEST VARS'!$G$64*(8*12.73)+'LINEST VARS'!$F$64*(8*$BC$104)+'LINEST VARS'!$E$64*(8*$AZ122)+'LINEST VARS'!$D$64*(8*12.73)+'LINEST VARS'!$C$64*($BC$104*$AZ122)+'LINEST VARS'!$B$64*($BC$104*12.73)+'LINEST VARS'!$A$64*($AZ122*12.73)</f>
        <v>151.38999999999987</v>
      </c>
      <c r="BD122" s="55">
        <f>'LINEST VARS'!$U$64+'LINEST VARS'!$T$64*(8)+'LINEST VARS'!$S$64*(8)+'LINEST VARS'!$R$64*($BD$104)+'LINEST VARS'!$Q$64*($AZ122)+'LINEST VARS'!$P$64*(12.73)+'LINEST VARS'!$O$64*(8^2)+'LINEST VARS'!$N$64*(8^2)+'LINEST VARS'!$M$64*($BD$104^2)+'LINEST VARS'!$L$64*($AZ122^2)+'LINEST VARS'!$K$64*(12.73^2)+'LINEST VARS'!$J$64*(8*8)+'LINEST VARS'!$I$64*(8*$BD$104)+'LINEST VARS'!$H$64*(8*$AZ122)+'LINEST VARS'!$G$64*(8*12.73)+'LINEST VARS'!$F$64*(8*$BD$104)+'LINEST VARS'!$E$64*(8*$AZ122)+'LINEST VARS'!$D$64*(8*12.73)+'LINEST VARS'!$C$64*($BD$104*$AZ122)+'LINEST VARS'!$B$64*($BD$104*12.73)+'LINEST VARS'!$A$64*($AZ122*12.73)</f>
        <v>152.98999999999987</v>
      </c>
      <c r="BE122" s="55">
        <f>'LINEST VARS'!$U$64+'LINEST VARS'!$T$64*(8)+'LINEST VARS'!$S$64*(8)+'LINEST VARS'!$R$64*($BE$104)+'LINEST VARS'!$Q$64*($AZ122)+'LINEST VARS'!$P$64*(12.73)+'LINEST VARS'!$O$64*(8^2)+'LINEST VARS'!$N$64*(8^2)+'LINEST VARS'!$M$64*($BE$104^2)+'LINEST VARS'!$L$64*($AZ122^2)+'LINEST VARS'!$K$64*(12.73^2)+'LINEST VARS'!$J$64*(8*8)+'LINEST VARS'!$I$64*(8*$BE$104)+'LINEST VARS'!$H$64*(8*$AZ122)+'LINEST VARS'!$G$64*(8*12.73)+'LINEST VARS'!$F$64*(8*$BE$104)+'LINEST VARS'!$E$64*(8*$AZ122)+'LINEST VARS'!$D$64*(8*12.73)+'LINEST VARS'!$C$64*($BE$104*$AZ122)+'LINEST VARS'!$B$64*($BE$104*12.73)+'LINEST VARS'!$A$64*($AZ122*12.73)</f>
        <v>154.58999999999986</v>
      </c>
      <c r="BF122" s="55">
        <f>'LINEST VARS'!$U$64+'LINEST VARS'!$T$64*(8)+'LINEST VARS'!$S$64*(8)+'LINEST VARS'!$R$64*($BF$104)+'LINEST VARS'!$Q$64*($AZ122)+'LINEST VARS'!$P$64*(12.73)+'LINEST VARS'!$O$64*(8^2)+'LINEST VARS'!$N$64*(8^2)+'LINEST VARS'!$M$64*($BF$104^2)+'LINEST VARS'!$L$64*($AZ122^2)+'LINEST VARS'!$K$64*(12.73^2)+'LINEST VARS'!$J$64*(8*8)+'LINEST VARS'!$I$64*(8*$BF$104)+'LINEST VARS'!$H$64*(8*$AZ122)+'LINEST VARS'!$G$64*(8*12.73)+'LINEST VARS'!$F$64*(8*$BF$104)+'LINEST VARS'!$E$64*(8*$AZ122)+'LINEST VARS'!$D$64*(8*12.73)+'LINEST VARS'!$C$64*($BF$104*$AZ122)+'LINEST VARS'!$B$64*($BF$104*12.73)+'LINEST VARS'!$A$64*($AZ122*12.73)</f>
        <v>156.18999999999988</v>
      </c>
      <c r="BG122" s="55">
        <f>'LINEST VARS'!$U$64+'LINEST VARS'!$T$64*(8)+'LINEST VARS'!$S$64*(8)+'LINEST VARS'!$R$64*($BG$104)+'LINEST VARS'!$Q$64*($AZ122)+'LINEST VARS'!$P$64*(12.73)+'LINEST VARS'!$O$64*(8^2)+'LINEST VARS'!$N$64*(8^2)+'LINEST VARS'!$M$64*($BG$104^2)+'LINEST VARS'!$L$64*($AZ122^2)+'LINEST VARS'!$K$64*(12.73^2)+'LINEST VARS'!$J$64*(8*8)+'LINEST VARS'!$I$64*(8*$BG$104)+'LINEST VARS'!$H$64*(8*$AZ122)+'LINEST VARS'!$G$64*(8*12.73)+'LINEST VARS'!$F$64*(8*$BG$104)+'LINEST VARS'!$E$64*(8*$AZ122)+'LINEST VARS'!$D$64*(8*12.73)+'LINEST VARS'!$C$64*($BG$104*$AZ122)+'LINEST VARS'!$B$64*($BG$104*12.73)+'LINEST VARS'!$A$64*($AZ122*12.73)</f>
        <v>157.78999999999985</v>
      </c>
      <c r="BH122" s="55">
        <f>'LINEST VARS'!$U$64+'LINEST VARS'!$T$64*(8)+'LINEST VARS'!$S$64*(8)+'LINEST VARS'!$R$64*($BH$104)+'LINEST VARS'!$Q$64*($AZ122)+'LINEST VARS'!$P$64*(12.73)+'LINEST VARS'!$O$64*(8^2)+'LINEST VARS'!$N$64*(8^2)+'LINEST VARS'!$M$64*($BH$104^2)+'LINEST VARS'!$L$64*($AZ122^2)+'LINEST VARS'!$K$64*(12.73^2)+'LINEST VARS'!$J$64*(8*8)+'LINEST VARS'!$I$64*(8*$BH$104)+'LINEST VARS'!$H$64*(8*$AZ122)+'LINEST VARS'!$G$64*(8*12.73)+'LINEST VARS'!$F$64*(8*$BH$104)+'LINEST VARS'!$E$64*(8*$AZ122)+'LINEST VARS'!$D$64*(8*12.73)+'LINEST VARS'!$C$64*($BH$104*$AZ122)+'LINEST VARS'!$B$64*($BH$104*12.73)+'LINEST VARS'!$A$64*($AZ122*12.73)</f>
        <v>159.38999999999987</v>
      </c>
      <c r="BI122" s="55">
        <f>'LINEST VARS'!$U$64+'LINEST VARS'!$T$64*(8)+'LINEST VARS'!$S$64*(8)+'LINEST VARS'!$R$64*($BI$104)+'LINEST VARS'!$Q$64*($AZ122)+'LINEST VARS'!$P$64*(12.73)+'LINEST VARS'!$O$64*(8^2)+'LINEST VARS'!$N$64*(8^2)+'LINEST VARS'!$M$64*($BI$104^2)+'LINEST VARS'!$L$64*($AZ122^2)+'LINEST VARS'!$K$64*(12.73^2)+'LINEST VARS'!$J$64*(8*8)+'LINEST VARS'!$I$64*(8*$BI$104)+'LINEST VARS'!$H$64*(8*$AZ122)+'LINEST VARS'!$G$64*(8*12.73)+'LINEST VARS'!$F$64*(8*$BI$104)+'LINEST VARS'!$E$64*(8*$AZ122)+'LINEST VARS'!$D$64*(8*12.73)+'LINEST VARS'!$C$64*($BI$104*$AZ122)+'LINEST VARS'!$B$64*($BI$104*12.73)+'LINEST VARS'!$A$64*($AZ122*12.73)</f>
        <v>160.9899999999999</v>
      </c>
      <c r="BJ122" s="55">
        <f>'LINEST VARS'!$U$64+'LINEST VARS'!$T$64*(8)+'LINEST VARS'!$S$64*(8)+'LINEST VARS'!$R$64*($BJ$104)+'LINEST VARS'!$Q$64*($AZ122)+'LINEST VARS'!$P$64*(12.73)+'LINEST VARS'!$O$64*(8^2)+'LINEST VARS'!$N$64*(8^2)+'LINEST VARS'!$M$64*($BJ$104^2)+'LINEST VARS'!$L$64*($AZ122^2)+'LINEST VARS'!$K$64*(12.73^2)+'LINEST VARS'!$J$64*(8*8)+'LINEST VARS'!$I$64*(8*$BJ$104)+'LINEST VARS'!$H$64*(8*$AZ122)+'LINEST VARS'!$G$64*(8*12.73)+'LINEST VARS'!$F$64*(8*$BJ$104)+'LINEST VARS'!$E$64*(8*$AZ122)+'LINEST VARS'!$D$64*(8*12.73)+'LINEST VARS'!$C$64*($BJ$104*$AZ122)+'LINEST VARS'!$B$64*($BJ$104*12.73)+'LINEST VARS'!$A$64*($AZ122*12.73)</f>
        <v>162.58999999999986</v>
      </c>
      <c r="BK122" s="55">
        <f>'LINEST VARS'!$U$64+'LINEST VARS'!$T$64*(8)+'LINEST VARS'!$S$64*(8)+'LINEST VARS'!$R$64*($BK$104)+'LINEST VARS'!$Q$64*($AZ122)+'LINEST VARS'!$P$64*(12.73)+'LINEST VARS'!$O$64*(8^2)+'LINEST VARS'!$N$64*(8^2)+'LINEST VARS'!$M$64*($BK$104^2)+'LINEST VARS'!$L$64*($AZ122^2)+'LINEST VARS'!$K$64*(12.73^2)+'LINEST VARS'!$J$64*(8*8)+'LINEST VARS'!$I$64*(8*$BK$104)+'LINEST VARS'!$H$64*(8*$AZ122)+'LINEST VARS'!$G$64*(8*12.73)+'LINEST VARS'!$F$64*(8*$BK$104)+'LINEST VARS'!$E$64*(8*$AZ122)+'LINEST VARS'!$D$64*(8*12.73)+'LINEST VARS'!$C$64*($BK$104*$AZ122)+'LINEST VARS'!$B$64*($BK$104*12.73)+'LINEST VARS'!$A$64*($AZ122*12.73)</f>
        <v>164.18999999999988</v>
      </c>
      <c r="BL122" s="55">
        <f>'LINEST VARS'!$U$64+'LINEST VARS'!$T$64*(8)+'LINEST VARS'!$S$64*(8)+'LINEST VARS'!$R$64*($BL$104)+'LINEST VARS'!$Q$64*($AZ122)+'LINEST VARS'!$P$64*(12.73)+'LINEST VARS'!$O$64*(8^2)+'LINEST VARS'!$N$64*(8^2)+'LINEST VARS'!$M$64*($BL$104^2)+'LINEST VARS'!$L$64*($AZ122^2)+'LINEST VARS'!$K$64*(12.73^2)+'LINEST VARS'!$J$64*(8*8)+'LINEST VARS'!$I$64*(8*$BL$104)+'LINEST VARS'!$H$64*(8*$AZ122)+'LINEST VARS'!$G$64*(8*12.73)+'LINEST VARS'!$F$64*(8*$BL$104)+'LINEST VARS'!$E$64*(8*$AZ122)+'LINEST VARS'!$D$64*(8*12.73)+'LINEST VARS'!$C$64*($BL$104*$AZ122)+'LINEST VARS'!$B$64*($BL$104*12.73)+'LINEST VARS'!$A$64*($AZ122*12.73)</f>
        <v>165.78999999999988</v>
      </c>
      <c r="BM122" s="55">
        <f>'LINEST VARS'!$U$64+'LINEST VARS'!$T$64*(8)+'LINEST VARS'!$S$64*(8)+'LINEST VARS'!$R$64*($BM$104)+'LINEST VARS'!$Q$64*($AZ122)+'LINEST VARS'!$P$64*(12.73)+'LINEST VARS'!$O$64*(8^2)+'LINEST VARS'!$N$64*(8^2)+'LINEST VARS'!$M$64*($BM$104^2)+'LINEST VARS'!$L$64*($AZ122^2)+'LINEST VARS'!$K$64*(12.73^2)+'LINEST VARS'!$J$64*(8*8)+'LINEST VARS'!$I$64*(8*$BM$104)+'LINEST VARS'!$H$64*(8*$AZ122)+'LINEST VARS'!$G$64*(8*12.73)+'LINEST VARS'!$F$64*(8*$BM$104)+'LINEST VARS'!$E$64*(8*$AZ122)+'LINEST VARS'!$D$64*(8*12.73)+'LINEST VARS'!$C$64*($BM$104*$AZ122)+'LINEST VARS'!$B$64*($BM$104*12.73)+'LINEST VARS'!$A$64*($AZ122*12.73)</f>
        <v>167.38999999999987</v>
      </c>
      <c r="BN122" s="55">
        <f>'LINEST VARS'!$U$64+'LINEST VARS'!$T$64*(8)+'LINEST VARS'!$S$64*(8)+'LINEST VARS'!$R$64*($BN$104)+'LINEST VARS'!$Q$64*($AZ122)+'LINEST VARS'!$P$64*(12.73)+'LINEST VARS'!$O$64*(8^2)+'LINEST VARS'!$N$64*(8^2)+'LINEST VARS'!$M$64*($BN$104^2)+'LINEST VARS'!$L$64*($AZ122^2)+'LINEST VARS'!$K$64*(12.73^2)+'LINEST VARS'!$J$64*(8*8)+'LINEST VARS'!$I$64*(8*$BN$104)+'LINEST VARS'!$H$64*(8*$AZ122)+'LINEST VARS'!$G$64*(8*12.73)+'LINEST VARS'!$F$64*(8*$BN$104)+'LINEST VARS'!$E$64*(8*$AZ122)+'LINEST VARS'!$D$64*(8*12.73)+'LINEST VARS'!$C$64*($BN$104*$AZ122)+'LINEST VARS'!$B$64*($BN$104*12.73)+'LINEST VARS'!$A$64*($AZ122*12.73)</f>
        <v>168.9899999999999</v>
      </c>
      <c r="BO122" s="55">
        <f>'LINEST VARS'!$U$64+'LINEST VARS'!$T$64*(8)+'LINEST VARS'!$S$64*(8)+'LINEST VARS'!$R$64*($BO$104)+'LINEST VARS'!$Q$64*($AZ122)+'LINEST VARS'!$P$64*(12.73)+'LINEST VARS'!$O$64*(8^2)+'LINEST VARS'!$N$64*(8^2)+'LINEST VARS'!$M$64*($BO$104^2)+'LINEST VARS'!$L$64*($AZ122^2)+'LINEST VARS'!$K$64*(12.73^2)+'LINEST VARS'!$J$64*(8*8)+'LINEST VARS'!$I$64*(8*$BO$104)+'LINEST VARS'!$H$64*(8*$AZ122)+'LINEST VARS'!$G$64*(8*12.73)+'LINEST VARS'!$F$64*(8*$BO$104)+'LINEST VARS'!$E$64*(8*$AZ122)+'LINEST VARS'!$D$64*(8*12.73)+'LINEST VARS'!$C$64*($BO$104*$AZ122)+'LINEST VARS'!$B$64*($BO$104*12.73)+'LINEST VARS'!$A$64*($AZ122*12.73)</f>
        <v>170.58999999999983</v>
      </c>
      <c r="BP122" s="55">
        <f>'LINEST VARS'!$U$64+'LINEST VARS'!$T$64*(8)+'LINEST VARS'!$S$64*(8)+'LINEST VARS'!$R$64*($BP$104)+'LINEST VARS'!$Q$64*($AZ122)+'LINEST VARS'!$P$64*(12.73)+'LINEST VARS'!$O$64*(8^2)+'LINEST VARS'!$N$64*(8^2)+'LINEST VARS'!$M$64*($BP$104^2)+'LINEST VARS'!$L$64*($AZ122^2)+'LINEST VARS'!$K$64*(12.73^2)+'LINEST VARS'!$J$64*(8*8)+'LINEST VARS'!$I$64*(8*$BP$104)+'LINEST VARS'!$H$64*(8*$AZ122)+'LINEST VARS'!$G$64*(8*12.73)+'LINEST VARS'!$F$64*(8*$BP$104)+'LINEST VARS'!$E$64*(8*$AZ122)+'LINEST VARS'!$D$64*(8*12.73)+'LINEST VARS'!$C$64*($BP$104*$AZ122)+'LINEST VARS'!$B$64*($BP$104*12.73)+'LINEST VARS'!$A$64*($AZ122*12.73)</f>
        <v>172.18999999999986</v>
      </c>
      <c r="BQ122" s="55">
        <f>'LINEST VARS'!$U$64+'LINEST VARS'!$T$64*(8)+'LINEST VARS'!$S$64*(8)+'LINEST VARS'!$R$64*($BQ$104)+'LINEST VARS'!$Q$64*($AZ122)+'LINEST VARS'!$P$64*(12.73)+'LINEST VARS'!$O$64*(8^2)+'LINEST VARS'!$N$64*(8^2)+'LINEST VARS'!$M$64*($BQ$104^2)+'LINEST VARS'!$L$64*($AZ122^2)+'LINEST VARS'!$K$64*(12.73^2)+'LINEST VARS'!$J$64*(8*8)+'LINEST VARS'!$I$64*(8*$BQ$104)+'LINEST VARS'!$H$64*(8*$AZ122)+'LINEST VARS'!$G$64*(8*12.73)+'LINEST VARS'!$F$64*(8*$BQ$104)+'LINEST VARS'!$E$64*(8*$AZ122)+'LINEST VARS'!$D$64*(8*12.73)+'LINEST VARS'!$C$64*($BQ$104*$AZ122)+'LINEST VARS'!$B$64*($BQ$104*12.73)+'LINEST VARS'!$A$64*($AZ122*12.73)</f>
        <v>173.78999999999988</v>
      </c>
      <c r="BR122" s="55">
        <f>'LINEST VARS'!$U$64+'LINEST VARS'!$T$64*(8)+'LINEST VARS'!$S$64*(8)+'LINEST VARS'!$R$64*($BR$104)+'LINEST VARS'!$Q$64*($AZ122)+'LINEST VARS'!$P$64*(12.73)+'LINEST VARS'!$O$64*(8^2)+'LINEST VARS'!$N$64*(8^2)+'LINEST VARS'!$M$64*($BR$104^2)+'LINEST VARS'!$L$64*($AZ122^2)+'LINEST VARS'!$K$64*(12.73^2)+'LINEST VARS'!$J$64*(8*8)+'LINEST VARS'!$I$64*(8*$BR$104)+'LINEST VARS'!$H$64*(8*$AZ122)+'LINEST VARS'!$G$64*(8*12.73)+'LINEST VARS'!$F$64*(8*$BR$104)+'LINEST VARS'!$E$64*(8*$AZ122)+'LINEST VARS'!$D$64*(8*12.73)+'LINEST VARS'!$C$64*($BR$104*$AZ122)+'LINEST VARS'!$B$64*($BR$104*12.73)+'LINEST VARS'!$A$64*($AZ122*12.73)</f>
        <v>175.38999999999984</v>
      </c>
      <c r="BS122" s="55">
        <f>'LINEST VARS'!$U$64+'LINEST VARS'!$T$64*(8)+'LINEST VARS'!$S$64*(8)+'LINEST VARS'!$R$64*($BS$104)+'LINEST VARS'!$Q$64*($AZ122)+'LINEST VARS'!$P$64*(12.73)+'LINEST VARS'!$O$64*(8^2)+'LINEST VARS'!$N$64*(8^2)+'LINEST VARS'!$M$64*($BS$104^2)+'LINEST VARS'!$L$64*($AZ122^2)+'LINEST VARS'!$K$64*(12.73^2)+'LINEST VARS'!$J$64*(8*8)+'LINEST VARS'!$I$64*(8*$BS$104)+'LINEST VARS'!$H$64*(8*$AZ122)+'LINEST VARS'!$G$64*(8*12.73)+'LINEST VARS'!$F$64*(8*$BS$104)+'LINEST VARS'!$E$64*(8*$AZ122)+'LINEST VARS'!$D$64*(8*12.73)+'LINEST VARS'!$C$64*($BS$104*$AZ122)+'LINEST VARS'!$B$64*($BS$104*12.73)+'LINEST VARS'!$A$64*($AZ122*12.73)</f>
        <v>176.98999999999987</v>
      </c>
      <c r="BT122" s="55">
        <f>'LINEST VARS'!$U$64+'LINEST VARS'!$T$64*(8)+'LINEST VARS'!$S$64*(8)+'LINEST VARS'!$R$64*($BT$104)+'LINEST VARS'!$Q$64*($AZ122)+'LINEST VARS'!$P$64*(12.73)+'LINEST VARS'!$O$64*(8^2)+'LINEST VARS'!$N$64*(8^2)+'LINEST VARS'!$M$64*($BT$104^2)+'LINEST VARS'!$L$64*($AZ122^2)+'LINEST VARS'!$K$64*(12.73^2)+'LINEST VARS'!$J$64*(8*8)+'LINEST VARS'!$I$64*(8*$BT$104)+'LINEST VARS'!$H$64*(8*$AZ122)+'LINEST VARS'!$G$64*(8*12.73)+'LINEST VARS'!$F$64*(8*$BT$104)+'LINEST VARS'!$E$64*(8*$AZ122)+'LINEST VARS'!$D$64*(8*12.73)+'LINEST VARS'!$C$64*($BT$104*$AZ122)+'LINEST VARS'!$B$64*($BT$104*12.73)+'LINEST VARS'!$A$64*($AZ122*12.73)</f>
        <v>178.58999999999983</v>
      </c>
      <c r="BU122" s="56">
        <f>'LINEST VARS'!$U$64+'LINEST VARS'!$T$64*(8)+'LINEST VARS'!$S$64*(8)+'LINEST VARS'!$R$64*($BU$104)+'LINEST VARS'!$Q$64*($AZ122)+'LINEST VARS'!$P$64*(12.73)+'LINEST VARS'!$O$64*(8^2)+'LINEST VARS'!$N$64*(8^2)+'LINEST VARS'!$M$64*($BU$104^2)+'LINEST VARS'!$L$64*($AZ122^2)+'LINEST VARS'!$K$64*(12.73^2)+'LINEST VARS'!$J$64*(8*8)+'LINEST VARS'!$I$64*(8*$BU$104)+'LINEST VARS'!$H$64*(8*$AZ122)+'LINEST VARS'!$G$64*(8*12.73)+'LINEST VARS'!$F$64*(8*$BU$104)+'LINEST VARS'!$E$64*(8*$AZ122)+'LINEST VARS'!$D$64*(8*12.73)+'LINEST VARS'!$C$64*($BU$104*$AZ122)+'LINEST VARS'!$B$64*($BU$104*12.73)+'LINEST VARS'!$A$64*($AZ122*12.73)</f>
        <v>180.18999999999986</v>
      </c>
      <c r="BX122" s="45">
        <v>0.85</v>
      </c>
      <c r="BY122" s="46">
        <f>'LINEST VARS'!$U$66+'LINEST VARS'!$T$66*(8)+'LINEST VARS'!$S$66*(8)+'LINEST VARS'!$R$66*($BY$104)+'LINEST VARS'!$Q$66*($BX122)+'LINEST VARS'!$P$66*(12.73)+'LINEST VARS'!$O$66*(8^2)+'LINEST VARS'!$N$66*(8^2)+'LINEST VARS'!$M$66*($BY$104^2)+'LINEST VARS'!$L$66*($BX122^2)+'LINEST VARS'!$K$66*(12.73^2)+'LINEST VARS'!$J$66*(8*8)+'LINEST VARS'!$I$66*(8*$BY$104)+'LINEST VARS'!$H$66*(8*$BX122)+'LINEST VARS'!$G$66*(8*12.73)+'LINEST VARS'!$F$66*(8*$BY$104)+'LINEST VARS'!$E$66*(8*$BX122)+'LINEST VARS'!$D$66*(8*12.73)+'LINEST VARS'!$C$66*($BY$104*$BX122)+'LINEST VARS'!$B$66*($BY$104*12.73)+'LINEST VARS'!$A$66*($BX122*12.73)</f>
        <v>144.00000000000006</v>
      </c>
      <c r="BZ122" s="46">
        <f>'LINEST VARS'!$U$66+'LINEST VARS'!$T$66*(8)+'LINEST VARS'!$S$66*(8)+'LINEST VARS'!$R$66*($BZ$104)+'LINEST VARS'!$Q$66*($BX122)+'LINEST VARS'!$P$66*(12.73)+'LINEST VARS'!$O$66*(8^2)+'LINEST VARS'!$N$66*(8^2)+'LINEST VARS'!$M$66*($BZ$104^2)+'LINEST VARS'!$L$66*($BX122^2)+'LINEST VARS'!$K$66*(12.73^2)+'LINEST VARS'!$J$66*(8*8)+'LINEST VARS'!$I$66*(8*$BZ$104)+'LINEST VARS'!$H$66*(8*$BX122)+'LINEST VARS'!$G$66*(8*12.73)+'LINEST VARS'!$F$66*(8*$BZ$104)+'LINEST VARS'!$E$66*(8*$BX122)+'LINEST VARS'!$D$66*(8*12.73)+'LINEST VARS'!$C$66*($BZ$104*$BX122)+'LINEST VARS'!$B$66*($BZ$104*12.73)+'LINEST VARS'!$A$66*($BX122*12.73)</f>
        <v>143.20000000000007</v>
      </c>
      <c r="CA122" s="46">
        <f>'LINEST VARS'!$U$66+'LINEST VARS'!$T$66*(8)+'LINEST VARS'!$S$66*(8)+'LINEST VARS'!$R$66*($CA$104)+'LINEST VARS'!$Q$66*($BX122)+'LINEST VARS'!$P$66*(12.73)+'LINEST VARS'!$O$66*(8^2)+'LINEST VARS'!$N$66*(8^2)+'LINEST VARS'!$M$66*($CA$104^2)+'LINEST VARS'!$L$66*($BX122^2)+'LINEST VARS'!$K$66*(12.73^2)+'LINEST VARS'!$J$66*(8*8)+'LINEST VARS'!$I$66*(8*$CA$104)+'LINEST VARS'!$H$66*(8*$BX122)+'LINEST VARS'!$G$66*(8*12.73)+'LINEST VARS'!$F$66*(8*$CA$104)+'LINEST VARS'!$E$66*(8*$BX122)+'LINEST VARS'!$D$66*(8*12.73)+'LINEST VARS'!$C$66*($CA$104*$BX122)+'LINEST VARS'!$B$66*($CA$104*12.73)+'LINEST VARS'!$A$66*($BX122*12.73)</f>
        <v>142.40000000000006</v>
      </c>
      <c r="CB122" s="46">
        <f>'LINEST VARS'!$U$66+'LINEST VARS'!$T$66*(8)+'LINEST VARS'!$S$66*(8)+'LINEST VARS'!$R$66*($CB$104)+'LINEST VARS'!$Q$66*($BX122)+'LINEST VARS'!$P$66*(12.73)+'LINEST VARS'!$O$66*(8^2)+'LINEST VARS'!$N$66*(8^2)+'LINEST VARS'!$M$66*($CB$104^2)+'LINEST VARS'!$L$66*($BX122^2)+'LINEST VARS'!$K$66*(12.73^2)+'LINEST VARS'!$J$66*(8*8)+'LINEST VARS'!$I$66*(8*$CB$104)+'LINEST VARS'!$H$66*(8*$BX122)+'LINEST VARS'!$G$66*(8*12.73)+'LINEST VARS'!$F$66*(8*$CB$104)+'LINEST VARS'!$E$66*(8*$BX122)+'LINEST VARS'!$D$66*(8*12.73)+'LINEST VARS'!$C$66*($CB$104*$BX122)+'LINEST VARS'!$B$66*($CB$104*12.73)+'LINEST VARS'!$A$66*($BX122*12.73)</f>
        <v>141.60000000000008</v>
      </c>
      <c r="CC122" s="46">
        <f>'LINEST VARS'!$U$66+'LINEST VARS'!$T$66*(8)+'LINEST VARS'!$S$66*(8)+'LINEST VARS'!$R$66*($CC$104)+'LINEST VARS'!$Q$66*($BX122)+'LINEST VARS'!$P$66*(12.73)+'LINEST VARS'!$O$66*(8^2)+'LINEST VARS'!$N$66*(8^2)+'LINEST VARS'!$M$66*($CC$104^2)+'LINEST VARS'!$L$66*($BX122^2)+'LINEST VARS'!$K$66*(12.73^2)+'LINEST VARS'!$J$66*(8*8)+'LINEST VARS'!$I$66*(8*$CC$104)+'LINEST VARS'!$H$66*(8*$BX122)+'LINEST VARS'!$G$66*(8*12.73)+'LINEST VARS'!$F$66*(8*$CC$104)+'LINEST VARS'!$E$66*(8*$BX122)+'LINEST VARS'!$D$66*(8*12.73)+'LINEST VARS'!$C$66*($CC$104*$BX122)+'LINEST VARS'!$B$66*($CC$104*12.73)+'LINEST VARS'!$A$66*($BX122*12.73)</f>
        <v>140.80000000000007</v>
      </c>
      <c r="CD122" s="46">
        <f>'LINEST VARS'!$U$66+'LINEST VARS'!$T$66*(8)+'LINEST VARS'!$S$66*(8)+'LINEST VARS'!$R$66*($CD$104)+'LINEST VARS'!$Q$66*($BX122)+'LINEST VARS'!$P$66*(12.73)+'LINEST VARS'!$O$66*(8^2)+'LINEST VARS'!$N$66*(8^2)+'LINEST VARS'!$M$66*($CD$104^2)+'LINEST VARS'!$L$66*($BX122^2)+'LINEST VARS'!$K$66*(12.73^2)+'LINEST VARS'!$J$66*(8*8)+'LINEST VARS'!$I$66*(8*$CD$104)+'LINEST VARS'!$H$66*(8*$BX122)+'LINEST VARS'!$G$66*(8*12.73)+'LINEST VARS'!$F$66*(8*$CD$104)+'LINEST VARS'!$E$66*(8*$BX122)+'LINEST VARS'!$D$66*(8*12.73)+'LINEST VARS'!$C$66*($CD$104*$BX122)+'LINEST VARS'!$B$66*($CD$104*12.73)+'LINEST VARS'!$A$66*($BX122*12.73)</f>
        <v>140.00000000000009</v>
      </c>
      <c r="CE122" s="46">
        <f>'LINEST VARS'!$U$66+'LINEST VARS'!$T$66*(8)+'LINEST VARS'!$S$66*(8)+'LINEST VARS'!$R$66*($CE$104)+'LINEST VARS'!$Q$66*($BX122)+'LINEST VARS'!$P$66*(12.73)+'LINEST VARS'!$O$66*(8^2)+'LINEST VARS'!$N$66*(8^2)+'LINEST VARS'!$M$66*($CE$104^2)+'LINEST VARS'!$L$66*($BX122^2)+'LINEST VARS'!$K$66*(12.73^2)+'LINEST VARS'!$J$66*(8*8)+'LINEST VARS'!$I$66*(8*$CE$104)+'LINEST VARS'!$H$66*(8*$BX122)+'LINEST VARS'!$G$66*(8*12.73)+'LINEST VARS'!$F$66*(8*$CE$104)+'LINEST VARS'!$E$66*(8*$BX122)+'LINEST VARS'!$D$66*(8*12.73)+'LINEST VARS'!$C$66*($CE$104*$BX122)+'LINEST VARS'!$B$66*($CE$104*12.73)+'LINEST VARS'!$A$66*($BX122*12.73)</f>
        <v>139.20000000000007</v>
      </c>
      <c r="CF122" s="46">
        <f>'LINEST VARS'!$U$66+'LINEST VARS'!$T$66*(8)+'LINEST VARS'!$S$66*(8)+'LINEST VARS'!$R$66*($CF$104)+'LINEST VARS'!$Q$66*($BX122)+'LINEST VARS'!$P$66*(12.73)+'LINEST VARS'!$O$66*(8^2)+'LINEST VARS'!$N$66*(8^2)+'LINEST VARS'!$M$66*($CF$104^2)+'LINEST VARS'!$L$66*($BX122^2)+'LINEST VARS'!$K$66*(12.73^2)+'LINEST VARS'!$J$66*(8*8)+'LINEST VARS'!$I$66*(8*$CF$104)+'LINEST VARS'!$H$66*(8*$BX122)+'LINEST VARS'!$G$66*(8*12.73)+'LINEST VARS'!$F$66*(8*$CF$104)+'LINEST VARS'!$E$66*(8*$BX122)+'LINEST VARS'!$D$66*(8*12.73)+'LINEST VARS'!$C$66*($CF$104*$BX122)+'LINEST VARS'!$B$66*($CF$104*12.73)+'LINEST VARS'!$A$66*($BX122*12.73)</f>
        <v>138.40000000000009</v>
      </c>
      <c r="CG122" s="46">
        <f>'LINEST VARS'!$U$66+'LINEST VARS'!$T$66*(8)+'LINEST VARS'!$S$66*(8)+'LINEST VARS'!$R$66*($CG$104)+'LINEST VARS'!$Q$66*($BX122)+'LINEST VARS'!$P$66*(12.73)+'LINEST VARS'!$O$66*(8^2)+'LINEST VARS'!$N$66*(8^2)+'LINEST VARS'!$M$66*($CG$104^2)+'LINEST VARS'!$L$66*($BX122^2)+'LINEST VARS'!$K$66*(12.73^2)+'LINEST VARS'!$J$66*(8*8)+'LINEST VARS'!$I$66*(8*$CG$104)+'LINEST VARS'!$H$66*(8*$BX122)+'LINEST VARS'!$G$66*(8*12.73)+'LINEST VARS'!$F$66*(8*$CG$104)+'LINEST VARS'!$E$66*(8*$BX122)+'LINEST VARS'!$D$66*(8*12.73)+'LINEST VARS'!$C$66*($CG$104*$BX122)+'LINEST VARS'!$B$66*($CG$104*12.73)+'LINEST VARS'!$A$66*($BX122*12.73)</f>
        <v>137.60000000000008</v>
      </c>
      <c r="CH122" s="46">
        <f>'LINEST VARS'!$U$66+'LINEST VARS'!$T$66*(8)+'LINEST VARS'!$S$66*(8)+'LINEST VARS'!$R$66*($CH$104)+'LINEST VARS'!$Q$66*($BX122)+'LINEST VARS'!$P$66*(12.73)+'LINEST VARS'!$O$66*(8^2)+'LINEST VARS'!$N$66*(8^2)+'LINEST VARS'!$M$66*($CH$104^2)+'LINEST VARS'!$L$66*($BX122^2)+'LINEST VARS'!$K$66*(12.73^2)+'LINEST VARS'!$J$66*(8*8)+'LINEST VARS'!$I$66*(8*$CH$104)+'LINEST VARS'!$H$66*(8*$BX122)+'LINEST VARS'!$G$66*(8*12.73)+'LINEST VARS'!$F$66*(8*$CH$104)+'LINEST VARS'!$E$66*(8*$BX122)+'LINEST VARS'!$D$66*(8*12.73)+'LINEST VARS'!$C$66*($CH$104*$BX122)+'LINEST VARS'!$B$66*($CH$104*12.73)+'LINEST VARS'!$A$66*($BX122*12.73)</f>
        <v>136.80000000000007</v>
      </c>
      <c r="CI122" s="46">
        <f>'LINEST VARS'!$U$66+'LINEST VARS'!$T$66*(8)+'LINEST VARS'!$S$66*(8)+'LINEST VARS'!$R$66*($CI$104)+'LINEST VARS'!$Q$66*($BX122)+'LINEST VARS'!$P$66*(12.73)+'LINEST VARS'!$O$66*(8^2)+'LINEST VARS'!$N$66*(8^2)+'LINEST VARS'!$M$66*($CI$104^2)+'LINEST VARS'!$L$66*($BX122^2)+'LINEST VARS'!$K$66*(12.73^2)+'LINEST VARS'!$J$66*(8*8)+'LINEST VARS'!$I$66*(8*$CI$104)+'LINEST VARS'!$H$66*(8*$BX122)+'LINEST VARS'!$G$66*(8*12.73)+'LINEST VARS'!$F$66*(8*$CI$104)+'LINEST VARS'!$E$66*(8*$BX122)+'LINEST VARS'!$D$66*(8*12.73)+'LINEST VARS'!$C$66*($CI$104*$BX122)+'LINEST VARS'!$B$66*($CI$104*12.73)+'LINEST VARS'!$A$66*($BX122*12.73)</f>
        <v>136.00000000000006</v>
      </c>
      <c r="CJ122" s="46">
        <f>'LINEST VARS'!$U$66+'LINEST VARS'!$T$66*(8)+'LINEST VARS'!$S$66*(8)+'LINEST VARS'!$R$66*($CJ$104)+'LINEST VARS'!$Q$66*($BX122)+'LINEST VARS'!$P$66*(12.73)+'LINEST VARS'!$O$66*(8^2)+'LINEST VARS'!$N$66*(8^2)+'LINEST VARS'!$M$66*($CJ$104^2)+'LINEST VARS'!$L$66*($BX122^2)+'LINEST VARS'!$K$66*(12.73^2)+'LINEST VARS'!$J$66*(8*8)+'LINEST VARS'!$I$66*(8*$CJ$104)+'LINEST VARS'!$H$66*(8*$BX122)+'LINEST VARS'!$G$66*(8*12.73)+'LINEST VARS'!$F$66*(8*$CJ$104)+'LINEST VARS'!$E$66*(8*$BX122)+'LINEST VARS'!$D$66*(8*12.73)+'LINEST VARS'!$C$66*($CJ$104*$BX122)+'LINEST VARS'!$B$66*($CJ$104*12.73)+'LINEST VARS'!$A$66*($BX122*12.73)</f>
        <v>135.20000000000005</v>
      </c>
      <c r="CK122" s="46">
        <f>'LINEST VARS'!$U$66+'LINEST VARS'!$T$66*(8)+'LINEST VARS'!$S$66*(8)+'LINEST VARS'!$R$66*($CK$104)+'LINEST VARS'!$Q$66*($BX122)+'LINEST VARS'!$P$66*(12.73)+'LINEST VARS'!$O$66*(8^2)+'LINEST VARS'!$N$66*(8^2)+'LINEST VARS'!$M$66*($CK$104^2)+'LINEST VARS'!$L$66*($BX122^2)+'LINEST VARS'!$K$66*(12.73^2)+'LINEST VARS'!$J$66*(8*8)+'LINEST VARS'!$I$66*(8*$CK$104)+'LINEST VARS'!$H$66*(8*$BX122)+'LINEST VARS'!$G$66*(8*12.73)+'LINEST VARS'!$F$66*(8*$CK$104)+'LINEST VARS'!$E$66*(8*$BX122)+'LINEST VARS'!$D$66*(8*12.73)+'LINEST VARS'!$C$66*($CK$104*$BX122)+'LINEST VARS'!$B$66*($CK$104*12.73)+'LINEST VARS'!$A$66*($BX122*12.73)</f>
        <v>134.40000000000003</v>
      </c>
      <c r="CL122" s="46">
        <f>'LINEST VARS'!$U$66+'LINEST VARS'!$T$66*(8)+'LINEST VARS'!$S$66*(8)+'LINEST VARS'!$R$66*($CL$104)+'LINEST VARS'!$Q$66*($BX122)+'LINEST VARS'!$P$66*(12.73)+'LINEST VARS'!$O$66*(8^2)+'LINEST VARS'!$N$66*(8^2)+'LINEST VARS'!$M$66*($CL$104^2)+'LINEST VARS'!$L$66*($BX122^2)+'LINEST VARS'!$K$66*(12.73^2)+'LINEST VARS'!$J$66*(8*8)+'LINEST VARS'!$I$66*(8*$CL$104)+'LINEST VARS'!$H$66*(8*$BX122)+'LINEST VARS'!$G$66*(8*12.73)+'LINEST VARS'!$F$66*(8*$CL$104)+'LINEST VARS'!$E$66*(8*$BX122)+'LINEST VARS'!$D$66*(8*12.73)+'LINEST VARS'!$C$66*($CL$104*$BX122)+'LINEST VARS'!$B$66*($CL$104*12.73)+'LINEST VARS'!$A$66*($BX122*12.73)</f>
        <v>133.60000000000005</v>
      </c>
      <c r="CM122" s="46">
        <f>'LINEST VARS'!$U$66+'LINEST VARS'!$T$66*(8)+'LINEST VARS'!$S$66*(8)+'LINEST VARS'!$R$66*($CM$104)+'LINEST VARS'!$Q$66*($BX122)+'LINEST VARS'!$P$66*(12.73)+'LINEST VARS'!$O$66*(8^2)+'LINEST VARS'!$N$66*(8^2)+'LINEST VARS'!$M$66*($CM$104^2)+'LINEST VARS'!$L$66*($BX122^2)+'LINEST VARS'!$K$66*(12.73^2)+'LINEST VARS'!$J$66*(8*8)+'LINEST VARS'!$I$66*(8*$CM$104)+'LINEST VARS'!$H$66*(8*$BX122)+'LINEST VARS'!$G$66*(8*12.73)+'LINEST VARS'!$F$66*(8*$CM$104)+'LINEST VARS'!$E$66*(8*$BX122)+'LINEST VARS'!$D$66*(8*12.73)+'LINEST VARS'!$C$66*($CM$104*$BX122)+'LINEST VARS'!$B$66*($CM$104*12.73)+'LINEST VARS'!$A$66*($BX122*12.73)</f>
        <v>132.80000000000004</v>
      </c>
      <c r="CN122" s="46">
        <f>'LINEST VARS'!$U$66+'LINEST VARS'!$T$66*(8)+'LINEST VARS'!$S$66*(8)+'LINEST VARS'!$R$66*($CN$104)+'LINEST VARS'!$Q$66*($BX122)+'LINEST VARS'!$P$66*(12.73)+'LINEST VARS'!$O$66*(8^2)+'LINEST VARS'!$N$66*(8^2)+'LINEST VARS'!$M$66*($CN$104^2)+'LINEST VARS'!$L$66*($BX122^2)+'LINEST VARS'!$K$66*(12.73^2)+'LINEST VARS'!$J$66*(8*8)+'LINEST VARS'!$I$66*(8*$CN$104)+'LINEST VARS'!$H$66*(8*$BX122)+'LINEST VARS'!$G$66*(8*12.73)+'LINEST VARS'!$F$66*(8*$CN$104)+'LINEST VARS'!$E$66*(8*$BX122)+'LINEST VARS'!$D$66*(8*12.73)+'LINEST VARS'!$C$66*($CN$104*$BX122)+'LINEST VARS'!$B$66*($CN$104*12.73)+'LINEST VARS'!$A$66*($BX122*12.73)</f>
        <v>132.00000000000006</v>
      </c>
      <c r="CO122" s="46">
        <f>'LINEST VARS'!$U$66+'LINEST VARS'!$T$66*(8)+'LINEST VARS'!$S$66*(8)+'LINEST VARS'!$R$66*($CO$104)+'LINEST VARS'!$Q$66*($BX122)+'LINEST VARS'!$P$66*(12.73)+'LINEST VARS'!$O$66*(8^2)+'LINEST VARS'!$N$66*(8^2)+'LINEST VARS'!$M$66*($CO$104^2)+'LINEST VARS'!$L$66*($BX122^2)+'LINEST VARS'!$K$66*(12.73^2)+'LINEST VARS'!$J$66*(8*8)+'LINEST VARS'!$I$66*(8*$CO$104)+'LINEST VARS'!$H$66*(8*$BX122)+'LINEST VARS'!$G$66*(8*12.73)+'LINEST VARS'!$F$66*(8*$CO$104)+'LINEST VARS'!$E$66*(8*$BX122)+'LINEST VARS'!$D$66*(8*12.73)+'LINEST VARS'!$C$66*($CO$104*$BX122)+'LINEST VARS'!$B$66*($CO$104*12.73)+'LINEST VARS'!$A$66*($BX122*12.73)</f>
        <v>131.20000000000005</v>
      </c>
      <c r="CP122" s="46">
        <f>'LINEST VARS'!$U$66+'LINEST VARS'!$T$66*(8)+'LINEST VARS'!$S$66*(8)+'LINEST VARS'!$R$66*($CP$104)+'LINEST VARS'!$Q$66*($BX122)+'LINEST VARS'!$P$66*(12.73)+'LINEST VARS'!$O$66*(8^2)+'LINEST VARS'!$N$66*(8^2)+'LINEST VARS'!$M$66*($CP$104^2)+'LINEST VARS'!$L$66*($BX122^2)+'LINEST VARS'!$K$66*(12.73^2)+'LINEST VARS'!$J$66*(8*8)+'LINEST VARS'!$I$66*(8*$CP$104)+'LINEST VARS'!$H$66*(8*$BX122)+'LINEST VARS'!$G$66*(8*12.73)+'LINEST VARS'!$F$66*(8*$CP$104)+'LINEST VARS'!$E$66*(8*$BX122)+'LINEST VARS'!$D$66*(8*12.73)+'LINEST VARS'!$C$66*($CP$104*$BX122)+'LINEST VARS'!$B$66*($CP$104*12.73)+'LINEST VARS'!$A$66*($BX122*12.73)</f>
        <v>130.40000000000009</v>
      </c>
      <c r="CQ122" s="46">
        <f>'LINEST VARS'!$U$66+'LINEST VARS'!$T$66*(8)+'LINEST VARS'!$S$66*(8)+'LINEST VARS'!$R$66*($CQ$104)+'LINEST VARS'!$Q$66*($BX122)+'LINEST VARS'!$P$66*(12.73)+'LINEST VARS'!$O$66*(8^2)+'LINEST VARS'!$N$66*(8^2)+'LINEST VARS'!$M$66*($CQ$104^2)+'LINEST VARS'!$L$66*($BX122^2)+'LINEST VARS'!$K$66*(12.73^2)+'LINEST VARS'!$J$66*(8*8)+'LINEST VARS'!$I$66*(8*$CQ$104)+'LINEST VARS'!$H$66*(8*$BX122)+'LINEST VARS'!$G$66*(8*12.73)+'LINEST VARS'!$F$66*(8*$CQ$104)+'LINEST VARS'!$E$66*(8*$BX122)+'LINEST VARS'!$D$66*(8*12.73)+'LINEST VARS'!$C$66*($CQ$104*$BX122)+'LINEST VARS'!$B$66*($CQ$104*12.73)+'LINEST VARS'!$A$66*($BX122*12.73)</f>
        <v>129.60000000000008</v>
      </c>
      <c r="CR122" s="46">
        <f>'LINEST VARS'!$U$66+'LINEST VARS'!$T$66*(8)+'LINEST VARS'!$S$66*(8)+'LINEST VARS'!$R$66*($CR$104)+'LINEST VARS'!$Q$66*($BX122)+'LINEST VARS'!$P$66*(12.73)+'LINEST VARS'!$O$66*(8^2)+'LINEST VARS'!$N$66*(8^2)+'LINEST VARS'!$M$66*($CR$104^2)+'LINEST VARS'!$L$66*($BX122^2)+'LINEST VARS'!$K$66*(12.73^2)+'LINEST VARS'!$J$66*(8*8)+'LINEST VARS'!$I$66*(8*$CR$104)+'LINEST VARS'!$H$66*(8*$BX122)+'LINEST VARS'!$G$66*(8*12.73)+'LINEST VARS'!$F$66*(8*$CR$104)+'LINEST VARS'!$E$66*(8*$BX122)+'LINEST VARS'!$D$66*(8*12.73)+'LINEST VARS'!$C$66*($CR$104*$BX122)+'LINEST VARS'!$B$66*($CR$104*12.73)+'LINEST VARS'!$A$66*($BX122*12.73)</f>
        <v>128.8000000000001</v>
      </c>
      <c r="CS122" s="47">
        <f>'LINEST VARS'!$U$66+'LINEST VARS'!$T$66*(8)+'LINEST VARS'!$S$66*(8)+'LINEST VARS'!$R$66*($CS$104)+'LINEST VARS'!$Q$66*($BX122)+'LINEST VARS'!$P$66*(12.73)+'LINEST VARS'!$O$66*(8^2)+'LINEST VARS'!$N$66*(8^2)+'LINEST VARS'!$M$66*($CS$104^2)+'LINEST VARS'!$L$66*($BX122^2)+'LINEST VARS'!$K$66*(12.73^2)+'LINEST VARS'!$J$66*(8*8)+'LINEST VARS'!$I$66*(8*$CS$104)+'LINEST VARS'!$H$66*(8*$BX122)+'LINEST VARS'!$G$66*(8*12.73)+'LINEST VARS'!$F$66*(8*$CS$104)+'LINEST VARS'!$E$66*(8*$BX122)+'LINEST VARS'!$D$66*(8*12.73)+'LINEST VARS'!$C$66*($CS$104*$BX122)+'LINEST VARS'!$B$66*($CS$104*12.73)+'LINEST VARS'!$A$66*($BX122*12.73)</f>
        <v>128.00000000000006</v>
      </c>
      <c r="CX122" s="45">
        <v>22.0915</v>
      </c>
      <c r="CY122" s="55">
        <f>'LINEST VARS'!$U$64+'LINEST VARS'!$T$64*(8)+'LINEST VARS'!$S$64*(8)+'LINEST VARS'!$R$64*($CY$104)+'LINEST VARS'!$Q$64*(0.5)+'LINEST VARS'!$P$64*($CX122)+'LINEST VARS'!$O$64*(8^2)+'LINEST VARS'!$N$64*(8^2)+'LINEST VARS'!$M$64*($CY$104^2)+'LINEST VARS'!$L$64*(0.5^2)+'LINEST VARS'!$K$64*($CX122^2)+'LINEST VARS'!$J$64*(8*8)+'LINEST VARS'!$I$64*(8*$CY$104)+'LINEST VARS'!$H$64*(8*0.5)+'LINEST VARS'!$G$64*(8*$CX122)+'LINEST VARS'!$F$64*(8*$CY$104)+'LINEST VARS'!$E$64*(8*0.5)+'LINEST VARS'!$D$64*(8*$CX122)+'LINEST VARS'!$C$64*($CY$104*0.5)+'LINEST VARS'!$B$64*($CY$104*$CX122)+'LINEST VARS'!$A$64*(0.5*$CX122)</f>
        <v>176.27449999999985</v>
      </c>
      <c r="CZ122" s="55">
        <f>'LINEST VARS'!$U$64+'LINEST VARS'!$T$64*(8)+'LINEST VARS'!$S$64*(8)+'LINEST VARS'!$R$64*($CZ$104)+'LINEST VARS'!$Q$64*(0.5)+'LINEST VARS'!$P$64*($CX122)+'LINEST VARS'!$O$64*(8^2)+'LINEST VARS'!$N$64*(8^2)+'LINEST VARS'!$M$64*($CZ$104^2)+'LINEST VARS'!$L$64*(0.5^2)+'LINEST VARS'!$K$64*($CX122^2)+'LINEST VARS'!$J$64*(8*8)+'LINEST VARS'!$I$64*(8*$CZ$104)+'LINEST VARS'!$H$64*(8*0.5)+'LINEST VARS'!$G$64*(8*$CX122)+'LINEST VARS'!$F$64*(8*$CZ$104)+'LINEST VARS'!$E$64*(8*0.5)+'LINEST VARS'!$D$64*(8*$CX122)+'LINEST VARS'!$C$64*($CZ$104*0.5)+'LINEST VARS'!$B$64*($CZ$104*$CX122)+'LINEST VARS'!$A$64*(0.5*$CX122)</f>
        <v>177.87449999999984</v>
      </c>
      <c r="DA122" s="55">
        <f>'LINEST VARS'!$U$64+'LINEST VARS'!$T$64*(8)+'LINEST VARS'!$S$64*(8)+'LINEST VARS'!$R$64*($DA$104)+'LINEST VARS'!$Q$64*(0.5)+'LINEST VARS'!$P$64*($CX122)+'LINEST VARS'!$O$64*(8^2)+'LINEST VARS'!$N$64*(8^2)+'LINEST VARS'!$M$64*($DA$104^2)+'LINEST VARS'!$L$64*(0.5^2)+'LINEST VARS'!$K$64*($CX122^2)+'LINEST VARS'!$J$64*(8*8)+'LINEST VARS'!$I$64*(8*$DA$104)+'LINEST VARS'!$H$64*(8*0.5)+'LINEST VARS'!$G$64*(8*$CX122)+'LINEST VARS'!$F$64*(8*$DA$104)+'LINEST VARS'!$E$64*(8*0.5)+'LINEST VARS'!$D$64*(8*$CX122)+'LINEST VARS'!$C$64*($DA$104*0.5)+'LINEST VARS'!$B$64*($DA$104*$CX122)+'LINEST VARS'!$A$64*(0.5*$CX122)</f>
        <v>179.47449999999986</v>
      </c>
      <c r="DB122" s="55">
        <f>'LINEST VARS'!$U$64+'LINEST VARS'!$T$64*(8)+'LINEST VARS'!$S$64*(8)+'LINEST VARS'!$R$64*($DB$104)+'LINEST VARS'!$Q$64*(0.5)+'LINEST VARS'!$P$64*($CX122)+'LINEST VARS'!$O$64*(8^2)+'LINEST VARS'!$N$64*(8^2)+'LINEST VARS'!$M$64*($DB$104^2)+'LINEST VARS'!$L$64*(0.5^2)+'LINEST VARS'!$K$64*($CX122^2)+'LINEST VARS'!$J$64*(8*8)+'LINEST VARS'!$I$64*(8*$DB$104)+'LINEST VARS'!$H$64*(8*0.5)+'LINEST VARS'!$G$64*(8*$CX122)+'LINEST VARS'!$F$64*(8*$DB$104)+'LINEST VARS'!$E$64*(8*0.5)+'LINEST VARS'!$D$64*(8*$CX122)+'LINEST VARS'!$C$64*($DB$104*0.5)+'LINEST VARS'!$B$64*($DB$104*$CX122)+'LINEST VARS'!$A$64*(0.5*$CX122)</f>
        <v>181.07449999999983</v>
      </c>
      <c r="DC122" s="55">
        <f>'LINEST VARS'!$U$64+'LINEST VARS'!$T$64*(8)+'LINEST VARS'!$S$64*(8)+'LINEST VARS'!$R$64*($DC$104)+'LINEST VARS'!$Q$64*(0.5)+'LINEST VARS'!$P$64*($CX122)+'LINEST VARS'!$O$64*(8^2)+'LINEST VARS'!$N$64*(8^2)+'LINEST VARS'!$M$64*($DC$104^2)+'LINEST VARS'!$L$64*(0.5^2)+'LINEST VARS'!$K$64*($CX122^2)+'LINEST VARS'!$J$64*(8*8)+'LINEST VARS'!$I$64*(8*$DC$104)+'LINEST VARS'!$H$64*(8*0.5)+'LINEST VARS'!$G$64*(8*$CX122)+'LINEST VARS'!$F$64*(8*$DC$104)+'LINEST VARS'!$E$64*(8*0.5)+'LINEST VARS'!$D$64*(8*$CX122)+'LINEST VARS'!$C$64*($DC$104*0.5)+'LINEST VARS'!$B$64*($DC$104*$CX122)+'LINEST VARS'!$A$64*(0.5*$CX122)</f>
        <v>182.67449999999985</v>
      </c>
      <c r="DD122" s="55">
        <f>'LINEST VARS'!$U$64+'LINEST VARS'!$T$64*(8)+'LINEST VARS'!$S$64*(8)+'LINEST VARS'!$R$64*($DD$104)+'LINEST VARS'!$Q$64*(0.5)+'LINEST VARS'!$P$64*($CX122)+'LINEST VARS'!$O$64*(8^2)+'LINEST VARS'!$N$64*(8^2)+'LINEST VARS'!$M$64*($DD$104^2)+'LINEST VARS'!$L$64*(0.5^2)+'LINEST VARS'!$K$64*($CX122^2)+'LINEST VARS'!$J$64*(8*8)+'LINEST VARS'!$I$64*(8*$DD$104)+'LINEST VARS'!$H$64*(8*0.5)+'LINEST VARS'!$G$64*(8*$CX122)+'LINEST VARS'!$F$64*(8*$DD$104)+'LINEST VARS'!$E$64*(8*0.5)+'LINEST VARS'!$D$64*(8*$CX122)+'LINEST VARS'!$C$64*($DD$104*0.5)+'LINEST VARS'!$B$64*($DD$104*$CX122)+'LINEST VARS'!$A$64*(0.5*$CX122)</f>
        <v>184.27449999999985</v>
      </c>
      <c r="DE122" s="55">
        <f>'LINEST VARS'!$U$64+'LINEST VARS'!$T$64*(8)+'LINEST VARS'!$S$64*(8)+'LINEST VARS'!$R$64*($DE$104)+'LINEST VARS'!$Q$64*(0.5)+'LINEST VARS'!$P$64*($CX122)+'LINEST VARS'!$O$64*(8^2)+'LINEST VARS'!$N$64*(8^2)+'LINEST VARS'!$M$64*($DE$104^2)+'LINEST VARS'!$L$64*(0.5^2)+'LINEST VARS'!$K$64*($CX122^2)+'LINEST VARS'!$J$64*(8*8)+'LINEST VARS'!$I$64*(8*$DE$104)+'LINEST VARS'!$H$64*(8*0.5)+'LINEST VARS'!$G$64*(8*$CX122)+'LINEST VARS'!$F$64*(8*$DE$104)+'LINEST VARS'!$E$64*(8*0.5)+'LINEST VARS'!$D$64*(8*$CX122)+'LINEST VARS'!$C$64*($DE$104*0.5)+'LINEST VARS'!$B$64*($DE$104*$CX122)+'LINEST VARS'!$A$64*(0.5*$CX122)</f>
        <v>185.87449999999984</v>
      </c>
      <c r="DF122" s="55">
        <f>'LINEST VARS'!$U$64+'LINEST VARS'!$T$64*(8)+'LINEST VARS'!$S$64*(8)+'LINEST VARS'!$R$64*($DF$104)+'LINEST VARS'!$Q$64*(0.5)+'LINEST VARS'!$P$64*($CX122)+'LINEST VARS'!$O$64*(8^2)+'LINEST VARS'!$N$64*(8^2)+'LINEST VARS'!$M$64*($DF$104^2)+'LINEST VARS'!$L$64*(0.5^2)+'LINEST VARS'!$K$64*($CX122^2)+'LINEST VARS'!$J$64*(8*8)+'LINEST VARS'!$I$64*(8*$DF$104)+'LINEST VARS'!$H$64*(8*0.5)+'LINEST VARS'!$G$64*(8*$CX122)+'LINEST VARS'!$F$64*(8*$DF$104)+'LINEST VARS'!$E$64*(8*0.5)+'LINEST VARS'!$D$64*(8*$CX122)+'LINEST VARS'!$C$64*($DF$104*0.5)+'LINEST VARS'!$B$64*($DF$104*$CX122)+'LINEST VARS'!$A$64*(0.5*$CX122)</f>
        <v>187.47449999999986</v>
      </c>
      <c r="DG122" s="55">
        <f>'LINEST VARS'!$U$64+'LINEST VARS'!$T$64*(8)+'LINEST VARS'!$S$64*(8)+'LINEST VARS'!$R$64*($DG$104)+'LINEST VARS'!$Q$64*(0.5)+'LINEST VARS'!$P$64*($CX122)+'LINEST VARS'!$O$64*(8^2)+'LINEST VARS'!$N$64*(8^2)+'LINEST VARS'!$M$64*($DG$104^2)+'LINEST VARS'!$L$64*(0.5^2)+'LINEST VARS'!$K$64*($CX122^2)+'LINEST VARS'!$J$64*(8*8)+'LINEST VARS'!$I$64*(8*$DG$104)+'LINEST VARS'!$H$64*(8*0.5)+'LINEST VARS'!$G$64*(8*$CX122)+'LINEST VARS'!$F$64*(8*$DG$104)+'LINEST VARS'!$E$64*(8*0.5)+'LINEST VARS'!$D$64*(8*$CX122)+'LINEST VARS'!$C$64*($DG$104*0.5)+'LINEST VARS'!$B$64*($DG$104*$CX122)+'LINEST VARS'!$A$64*(0.5*$CX122)</f>
        <v>189.07449999999986</v>
      </c>
      <c r="DH122" s="55">
        <f>'LINEST VARS'!$U$64+'LINEST VARS'!$T$64*(8)+'LINEST VARS'!$S$64*(8)+'LINEST VARS'!$R$64*($DH$104)+'LINEST VARS'!$Q$64*(0.5)+'LINEST VARS'!$P$64*($CX122)+'LINEST VARS'!$O$64*(8^2)+'LINEST VARS'!$N$64*(8^2)+'LINEST VARS'!$M$64*($DH$104^2)+'LINEST VARS'!$L$64*(0.5^2)+'LINEST VARS'!$K$64*($CX122^2)+'LINEST VARS'!$J$64*(8*8)+'LINEST VARS'!$I$64*(8*$DH$104)+'LINEST VARS'!$H$64*(8*0.5)+'LINEST VARS'!$G$64*(8*$CX122)+'LINEST VARS'!$F$64*(8*$DH$104)+'LINEST VARS'!$E$64*(8*0.5)+'LINEST VARS'!$D$64*(8*$CX122)+'LINEST VARS'!$C$64*($DH$104*0.5)+'LINEST VARS'!$B$64*($DH$104*$CX122)+'LINEST VARS'!$A$64*(0.5*$CX122)</f>
        <v>190.67449999999985</v>
      </c>
      <c r="DI122" s="55">
        <f>'LINEST VARS'!$U$64+'LINEST VARS'!$T$64*(8)+'LINEST VARS'!$S$64*(8)+'LINEST VARS'!$R$64*($DI$104)+'LINEST VARS'!$Q$64*(0.5)+'LINEST VARS'!$P$64*($CX122)+'LINEST VARS'!$O$64*(8^2)+'LINEST VARS'!$N$64*(8^2)+'LINEST VARS'!$M$64*($DI$104^2)+'LINEST VARS'!$L$64*(0.5^2)+'LINEST VARS'!$K$64*($CX122^2)+'LINEST VARS'!$J$64*(8*8)+'LINEST VARS'!$I$64*(8*$DI$104)+'LINEST VARS'!$H$64*(8*0.5)+'LINEST VARS'!$G$64*(8*$CX122)+'LINEST VARS'!$F$64*(8*$DI$104)+'LINEST VARS'!$E$64*(8*0.5)+'LINEST VARS'!$D$64*(8*$CX122)+'LINEST VARS'!$C$64*($DI$104*0.5)+'LINEST VARS'!$B$64*($DI$104*$CX122)+'LINEST VARS'!$A$64*(0.5*$CX122)</f>
        <v>192.27449999999985</v>
      </c>
      <c r="DJ122" s="55">
        <f>'LINEST VARS'!$U$64+'LINEST VARS'!$T$64*(8)+'LINEST VARS'!$S$64*(8)+'LINEST VARS'!$R$64*($DJ$104)+'LINEST VARS'!$Q$64*(0.5)+'LINEST VARS'!$P$64*($CX122)+'LINEST VARS'!$O$64*(8^2)+'LINEST VARS'!$N$64*(8^2)+'LINEST VARS'!$M$64*($DJ$104^2)+'LINEST VARS'!$L$64*(0.5^2)+'LINEST VARS'!$K$64*($CX122^2)+'LINEST VARS'!$J$64*(8*8)+'LINEST VARS'!$I$64*(8*$DJ$104)+'LINEST VARS'!$H$64*(8*0.5)+'LINEST VARS'!$G$64*(8*$CX122)+'LINEST VARS'!$F$64*(8*$DJ$104)+'LINEST VARS'!$E$64*(8*0.5)+'LINEST VARS'!$D$64*(8*$CX122)+'LINEST VARS'!$C$64*($DJ$104*0.5)+'LINEST VARS'!$B$64*($DJ$104*$CX122)+'LINEST VARS'!$A$64*(0.5*$CX122)</f>
        <v>193.87449999999984</v>
      </c>
      <c r="DK122" s="55">
        <f>'LINEST VARS'!$U$64+'LINEST VARS'!$T$64*(8)+'LINEST VARS'!$S$64*(8)+'LINEST VARS'!$R$64*($DK$104)+'LINEST VARS'!$Q$64*(0.5)+'LINEST VARS'!$P$64*($CX122)+'LINEST VARS'!$O$64*(8^2)+'LINEST VARS'!$N$64*(8^2)+'LINEST VARS'!$M$64*($DK$104^2)+'LINEST VARS'!$L$64*(0.5^2)+'LINEST VARS'!$K$64*($CX122^2)+'LINEST VARS'!$J$64*(8*8)+'LINEST VARS'!$I$64*(8*$DK$104)+'LINEST VARS'!$H$64*(8*0.5)+'LINEST VARS'!$G$64*(8*$CX122)+'LINEST VARS'!$F$64*(8*$DK$104)+'LINEST VARS'!$E$64*(8*0.5)+'LINEST VARS'!$D$64*(8*$CX122)+'LINEST VARS'!$C$64*($DK$104*0.5)+'LINEST VARS'!$B$64*($DK$104*$CX122)+'LINEST VARS'!$A$64*(0.5*$CX122)</f>
        <v>195.47449999999981</v>
      </c>
      <c r="DL122" s="55">
        <f>'LINEST VARS'!$U$64+'LINEST VARS'!$T$64*(8)+'LINEST VARS'!$S$64*(8)+'LINEST VARS'!$R$64*($DL$104)+'LINEST VARS'!$Q$64*(0.5)+'LINEST VARS'!$P$64*($CX122)+'LINEST VARS'!$O$64*(8^2)+'LINEST VARS'!$N$64*(8^2)+'LINEST VARS'!$M$64*($DL$104^2)+'LINEST VARS'!$L$64*(0.5^2)+'LINEST VARS'!$K$64*($CX122^2)+'LINEST VARS'!$J$64*(8*8)+'LINEST VARS'!$I$64*(8*$DL$104)+'LINEST VARS'!$H$64*(8*0.5)+'LINEST VARS'!$G$64*(8*$CX122)+'LINEST VARS'!$F$64*(8*$DL$104)+'LINEST VARS'!$E$64*(8*0.5)+'LINEST VARS'!$D$64*(8*$CX122)+'LINEST VARS'!$C$64*($DL$104*0.5)+'LINEST VARS'!$B$64*($DL$104*$CX122)+'LINEST VARS'!$A$64*(0.5*$CX122)</f>
        <v>197.07449999999983</v>
      </c>
      <c r="DM122" s="55">
        <f>'LINEST VARS'!$U$64+'LINEST VARS'!$T$64*(8)+'LINEST VARS'!$S$64*(8)+'LINEST VARS'!$R$64*($DM$104)+'LINEST VARS'!$Q$64*(0.5)+'LINEST VARS'!$P$64*($CX122)+'LINEST VARS'!$O$64*(8^2)+'LINEST VARS'!$N$64*(8^2)+'LINEST VARS'!$M$64*($DM$104^2)+'LINEST VARS'!$L$64*(0.5^2)+'LINEST VARS'!$K$64*($CX122^2)+'LINEST VARS'!$J$64*(8*8)+'LINEST VARS'!$I$64*(8*$DM$104)+'LINEST VARS'!$H$64*(8*0.5)+'LINEST VARS'!$G$64*(8*$CX122)+'LINEST VARS'!$F$64*(8*$DM$104)+'LINEST VARS'!$E$64*(8*0.5)+'LINEST VARS'!$D$64*(8*$CX122)+'LINEST VARS'!$C$64*($DM$104*0.5)+'LINEST VARS'!$B$64*($DM$104*$CX122)+'LINEST VARS'!$A$64*(0.5*$CX122)</f>
        <v>198.67449999999982</v>
      </c>
      <c r="DN122" s="55">
        <f>'LINEST VARS'!$U$64+'LINEST VARS'!$T$64*(8)+'LINEST VARS'!$S$64*(8)+'LINEST VARS'!$R$64*($DN$104)+'LINEST VARS'!$Q$64*(0.5)+'LINEST VARS'!$P$64*($CX122)+'LINEST VARS'!$O$64*(8^2)+'LINEST VARS'!$N$64*(8^2)+'LINEST VARS'!$M$64*($DN$104^2)+'LINEST VARS'!$L$64*(0.5^2)+'LINEST VARS'!$K$64*($CX122^2)+'LINEST VARS'!$J$64*(8*8)+'LINEST VARS'!$I$64*(8*$DN$104)+'LINEST VARS'!$H$64*(8*0.5)+'LINEST VARS'!$G$64*(8*$CX122)+'LINEST VARS'!$F$64*(8*$DN$104)+'LINEST VARS'!$E$64*(8*0.5)+'LINEST VARS'!$D$64*(8*$CX122)+'LINEST VARS'!$C$64*($DN$104*0.5)+'LINEST VARS'!$B$64*($DN$104*$CX122)+'LINEST VARS'!$A$64*(0.5*$CX122)</f>
        <v>200.27449999999979</v>
      </c>
      <c r="DO122" s="55">
        <f>'LINEST VARS'!$U$64+'LINEST VARS'!$T$64*(8)+'LINEST VARS'!$S$64*(8)+'LINEST VARS'!$R$64*($DO$104)+'LINEST VARS'!$Q$64*(0.5)+'LINEST VARS'!$P$64*($CX122)+'LINEST VARS'!$O$64*(8^2)+'LINEST VARS'!$N$64*(8^2)+'LINEST VARS'!$M$64*($DO$104^2)+'LINEST VARS'!$L$64*(0.5^2)+'LINEST VARS'!$K$64*($CX122^2)+'LINEST VARS'!$J$64*(8*8)+'LINEST VARS'!$I$64*(8*$DO$104)+'LINEST VARS'!$H$64*(8*0.5)+'LINEST VARS'!$G$64*(8*$CX122)+'LINEST VARS'!$F$64*(8*$DO$104)+'LINEST VARS'!$E$64*(8*0.5)+'LINEST VARS'!$D$64*(8*$CX122)+'LINEST VARS'!$C$64*($DO$104*0.5)+'LINEST VARS'!$B$64*($DO$104*$CX122)+'LINEST VARS'!$A$64*(0.5*$CX122)</f>
        <v>201.87449999999981</v>
      </c>
      <c r="DP122" s="55">
        <f>'LINEST VARS'!$U$64+'LINEST VARS'!$T$64*(8)+'LINEST VARS'!$S$64*(8)+'LINEST VARS'!$R$64*($DP$104)+'LINEST VARS'!$Q$64*(0.5)+'LINEST VARS'!$P$64*($CX122)+'LINEST VARS'!$O$64*(8^2)+'LINEST VARS'!$N$64*(8^2)+'LINEST VARS'!$M$64*($DP$104^2)+'LINEST VARS'!$L$64*(0.5^2)+'LINEST VARS'!$K$64*($CX122^2)+'LINEST VARS'!$J$64*(8*8)+'LINEST VARS'!$I$64*(8*$DP$104)+'LINEST VARS'!$H$64*(8*0.5)+'LINEST VARS'!$G$64*(8*$CX122)+'LINEST VARS'!$F$64*(8*$DP$104)+'LINEST VARS'!$E$64*(8*0.5)+'LINEST VARS'!$D$64*(8*$CX122)+'LINEST VARS'!$C$64*($DP$104*0.5)+'LINEST VARS'!$B$64*($DP$104*$CX122)+'LINEST VARS'!$A$64*(0.5*$CX122)</f>
        <v>203.47449999999986</v>
      </c>
      <c r="DQ122" s="55">
        <f>'LINEST VARS'!$U$64+'LINEST VARS'!$T$64*(8)+'LINEST VARS'!$S$64*(8)+'LINEST VARS'!$R$64*($DQ$104)+'LINEST VARS'!$Q$64*(0.5)+'LINEST VARS'!$P$64*($CX122)+'LINEST VARS'!$O$64*(8^2)+'LINEST VARS'!$N$64*(8^2)+'LINEST VARS'!$M$64*($DQ$104^2)+'LINEST VARS'!$L$64*(0.5^2)+'LINEST VARS'!$K$64*($CX122^2)+'LINEST VARS'!$J$64*(8*8)+'LINEST VARS'!$I$64*(8*$DQ$104)+'LINEST VARS'!$H$64*(8*0.5)+'LINEST VARS'!$G$64*(8*$CX122)+'LINEST VARS'!$F$64*(8*$DQ$104)+'LINEST VARS'!$E$64*(8*0.5)+'LINEST VARS'!$D$64*(8*$CX122)+'LINEST VARS'!$C$64*($DQ$104*0.5)+'LINEST VARS'!$B$64*($DQ$104*$CX122)+'LINEST VARS'!$A$64*(0.5*$CX122)</f>
        <v>205.07449999999983</v>
      </c>
      <c r="DR122" s="55">
        <f>'LINEST VARS'!$U$64+'LINEST VARS'!$T$64*(8)+'LINEST VARS'!$S$64*(8)+'LINEST VARS'!$R$64*($DR$104)+'LINEST VARS'!$Q$64*(0.5)+'LINEST VARS'!$P$64*($CX122)+'LINEST VARS'!$O$64*(8^2)+'LINEST VARS'!$N$64*(8^2)+'LINEST VARS'!$M$64*($DR$104^2)+'LINEST VARS'!$L$64*(0.5^2)+'LINEST VARS'!$K$64*($CX122^2)+'LINEST VARS'!$J$64*(8*8)+'LINEST VARS'!$I$64*(8*$DR$104)+'LINEST VARS'!$H$64*(8*0.5)+'LINEST VARS'!$G$64*(8*$CX122)+'LINEST VARS'!$F$64*(8*$DR$104)+'LINEST VARS'!$E$64*(8*0.5)+'LINEST VARS'!$D$64*(8*$CX122)+'LINEST VARS'!$C$64*($DR$104*0.5)+'LINEST VARS'!$B$64*($DR$104*$CX122)+'LINEST VARS'!$A$64*(0.5*$CX122)</f>
        <v>206.67449999999985</v>
      </c>
      <c r="DS122" s="56">
        <f>'LINEST VARS'!$U$64+'LINEST VARS'!$T$64*(8)+'LINEST VARS'!$S$64*(8)+'LINEST VARS'!$R$64*($DS$104)+'LINEST VARS'!$Q$64*(0.5)+'LINEST VARS'!$P$64*($CX122)+'LINEST VARS'!$O$64*(8^2)+'LINEST VARS'!$N$64*(8^2)+'LINEST VARS'!$M$64*($DS$104^2)+'LINEST VARS'!$L$64*(0.5^2)+'LINEST VARS'!$K$64*($CX122^2)+'LINEST VARS'!$J$64*(8*8)+'LINEST VARS'!$I$64*(8*$DS$104)+'LINEST VARS'!$H$64*(8*0.5)+'LINEST VARS'!$G$64*(8*$CX122)+'LINEST VARS'!$F$64*(8*$DS$104)+'LINEST VARS'!$E$64*(8*0.5)+'LINEST VARS'!$D$64*(8*$CX122)+'LINEST VARS'!$C$64*($DS$104*0.5)+'LINEST VARS'!$B$64*($DS$104*$CX122)+'LINEST VARS'!$A$64*(0.5*$CX122)</f>
        <v>208.27449999999982</v>
      </c>
      <c r="DV122" s="45">
        <v>22.0915</v>
      </c>
      <c r="DW122" s="46">
        <f>'LINEST VARS'!$U$66+'LINEST VARS'!$T$66*(8)+'LINEST VARS'!$S$66*(8)+'LINEST VARS'!$R$66*($DW$104)+'LINEST VARS'!$Q$66*(0.5)+'LINEST VARS'!$P$66*($DV122)+'LINEST VARS'!$O$66*(8^2)+'LINEST VARS'!$N$66*(8^2)+'LINEST VARS'!$M$66*($DW$104^2)+'LINEST VARS'!$L$66*(0.5^2)+'LINEST VARS'!$K$66*($DV122^2)+'LINEST VARS'!$J$66*(8*8)+'LINEST VARS'!$I$66*(8*$DW$104)+'LINEST VARS'!$H$66*(8*0.5)+'LINEST VARS'!$G$66*(8*$DV122)+'LINEST VARS'!$F$66*(8*$DW$104)+'LINEST VARS'!$E$66*(8*0.5)+'LINEST VARS'!$D$66*(8*$DV122)+'LINEST VARS'!$C$66*($DW$104*0.5)+'LINEST VARS'!$B$66*($DW$104*$DV122)+'LINEST VARS'!$A$66*(0.5*$DV122)</f>
        <v>144.00000000000006</v>
      </c>
      <c r="DX122" s="46">
        <f>'LINEST VARS'!$U$66+'LINEST VARS'!$T$66*(8)+'LINEST VARS'!$S$66*(8)+'LINEST VARS'!$R$66*($DX$104)+'LINEST VARS'!$Q$66*(0.5)+'LINEST VARS'!$P$66*($DV122)+'LINEST VARS'!$O$66*(8^2)+'LINEST VARS'!$N$66*(8^2)+'LINEST VARS'!$M$66*($DX$104^2)+'LINEST VARS'!$L$66*(0.5^2)+'LINEST VARS'!$K$66*($DV122^2)+'LINEST VARS'!$J$66*(8*8)+'LINEST VARS'!$I$66*(8*$DX$104)+'LINEST VARS'!$H$66*(8*0.5)+'LINEST VARS'!$G$66*(8*$DV122)+'LINEST VARS'!$F$66*(8*$DX$104)+'LINEST VARS'!$E$66*(8*0.5)+'LINEST VARS'!$D$66*(8*$DV122)+'LINEST VARS'!$C$66*($DX$104*0.5)+'LINEST VARS'!$B$66*($DX$104*$DV122)+'LINEST VARS'!$A$66*(0.5*$DV122)</f>
        <v>143.20000000000007</v>
      </c>
      <c r="DY122" s="46">
        <f>'LINEST VARS'!$U$66+'LINEST VARS'!$T$66*(8)+'LINEST VARS'!$S$66*(8)+'LINEST VARS'!$R$66*($DY$104)+'LINEST VARS'!$Q$66*(0.5)+'LINEST VARS'!$P$66*($DV122)+'LINEST VARS'!$O$66*(8^2)+'LINEST VARS'!$N$66*(8^2)+'LINEST VARS'!$M$66*($DY$104^2)+'LINEST VARS'!$L$66*(0.5^2)+'LINEST VARS'!$K$66*($DV122^2)+'LINEST VARS'!$J$66*(8*8)+'LINEST VARS'!$I$66*(8*$DY$104)+'LINEST VARS'!$H$66*(8*0.5)+'LINEST VARS'!$G$66*(8*$DV122)+'LINEST VARS'!$F$66*(8*$DY$104)+'LINEST VARS'!$E$66*(8*0.5)+'LINEST VARS'!$D$66*(8*$DV122)+'LINEST VARS'!$C$66*($DY$104*0.5)+'LINEST VARS'!$B$66*($DY$104*$DV122)+'LINEST VARS'!$A$66*(0.5*$DV122)</f>
        <v>142.40000000000006</v>
      </c>
      <c r="DZ122" s="46">
        <f>'LINEST VARS'!$U$66+'LINEST VARS'!$T$66*(8)+'LINEST VARS'!$S$66*(8)+'LINEST VARS'!$R$66*($DZ$104)+'LINEST VARS'!$Q$66*(0.5)+'LINEST VARS'!$P$66*($DV122)+'LINEST VARS'!$O$66*(8^2)+'LINEST VARS'!$N$66*(8^2)+'LINEST VARS'!$M$66*($DZ$104^2)+'LINEST VARS'!$L$66*(0.5^2)+'LINEST VARS'!$K$66*($DV122^2)+'LINEST VARS'!$J$66*(8*8)+'LINEST VARS'!$I$66*(8*$DZ$104)+'LINEST VARS'!$H$66*(8*0.5)+'LINEST VARS'!$G$66*(8*$DV122)+'LINEST VARS'!$F$66*(8*$DZ$104)+'LINEST VARS'!$E$66*(8*0.5)+'LINEST VARS'!$D$66*(8*$DV122)+'LINEST VARS'!$C$66*($DZ$104*0.5)+'LINEST VARS'!$B$66*($DZ$104*$DV122)+'LINEST VARS'!$A$66*(0.5*$DV122)</f>
        <v>141.60000000000008</v>
      </c>
      <c r="EA122" s="46">
        <f>'LINEST VARS'!$U$66+'LINEST VARS'!$T$66*(8)+'LINEST VARS'!$S$66*(8)+'LINEST VARS'!$R$66*($EA$104)+'LINEST VARS'!$Q$66*(0.5)+'LINEST VARS'!$P$66*($DV122)+'LINEST VARS'!$O$66*(8^2)+'LINEST VARS'!$N$66*(8^2)+'LINEST VARS'!$M$66*($EA$104^2)+'LINEST VARS'!$L$66*(0.5^2)+'LINEST VARS'!$K$66*($DV122^2)+'LINEST VARS'!$J$66*(8*8)+'LINEST VARS'!$I$66*(8*$EA$104)+'LINEST VARS'!$H$66*(8*0.5)+'LINEST VARS'!$G$66*(8*$DV122)+'LINEST VARS'!$F$66*(8*$EA$104)+'LINEST VARS'!$E$66*(8*0.5)+'LINEST VARS'!$D$66*(8*$DV122)+'LINEST VARS'!$C$66*($EA$104*0.5)+'LINEST VARS'!$B$66*($EA$104*$DV122)+'LINEST VARS'!$A$66*(0.5*$DV122)</f>
        <v>140.80000000000007</v>
      </c>
      <c r="EB122" s="46">
        <f>'LINEST VARS'!$U$66+'LINEST VARS'!$T$66*(8)+'LINEST VARS'!$S$66*(8)+'LINEST VARS'!$R$66*($EB$104)+'LINEST VARS'!$Q$66*(0.5)+'LINEST VARS'!$P$66*($DV122)+'LINEST VARS'!$O$66*(8^2)+'LINEST VARS'!$N$66*(8^2)+'LINEST VARS'!$M$66*($EB$104^2)+'LINEST VARS'!$L$66*(0.5^2)+'LINEST VARS'!$K$66*($DV122^2)+'LINEST VARS'!$J$66*(8*8)+'LINEST VARS'!$I$66*(8*$EB$104)+'LINEST VARS'!$H$66*(8*0.5)+'LINEST VARS'!$G$66*(8*$DV122)+'LINEST VARS'!$F$66*(8*$EB$104)+'LINEST VARS'!$E$66*(8*0.5)+'LINEST VARS'!$D$66*(8*$DV122)+'LINEST VARS'!$C$66*($EB$104*0.5)+'LINEST VARS'!$B$66*($EB$104*$DV122)+'LINEST VARS'!$A$66*(0.5*$DV122)</f>
        <v>140.00000000000009</v>
      </c>
      <c r="EC122" s="46">
        <f>'LINEST VARS'!$U$66+'LINEST VARS'!$T$66*(8)+'LINEST VARS'!$S$66*(8)+'LINEST VARS'!$R$66*($EC$104)+'LINEST VARS'!$Q$66*(0.5)+'LINEST VARS'!$P$66*($DV122)+'LINEST VARS'!$O$66*(8^2)+'LINEST VARS'!$N$66*(8^2)+'LINEST VARS'!$M$66*($EC$104^2)+'LINEST VARS'!$L$66*(0.5^2)+'LINEST VARS'!$K$66*($DV122^2)+'LINEST VARS'!$J$66*(8*8)+'LINEST VARS'!$I$66*(8*$EC$104)+'LINEST VARS'!$H$66*(8*0.5)+'LINEST VARS'!$G$66*(8*$DV122)+'LINEST VARS'!$F$66*(8*$EC$104)+'LINEST VARS'!$E$66*(8*0.5)+'LINEST VARS'!$D$66*(8*$DV122)+'LINEST VARS'!$C$66*($EC$104*0.5)+'LINEST VARS'!$B$66*($EC$104*$DV122)+'LINEST VARS'!$A$66*(0.5*$DV122)</f>
        <v>139.20000000000007</v>
      </c>
      <c r="ED122" s="46">
        <f>'LINEST VARS'!$U$66+'LINEST VARS'!$T$66*(8)+'LINEST VARS'!$S$66*(8)+'LINEST VARS'!$R$66*($ED$104)+'LINEST VARS'!$Q$66*(0.5)+'LINEST VARS'!$P$66*($DV122)+'LINEST VARS'!$O$66*(8^2)+'LINEST VARS'!$N$66*(8^2)+'LINEST VARS'!$M$66*($ED$104^2)+'LINEST VARS'!$L$66*(0.5^2)+'LINEST VARS'!$K$66*($DV122^2)+'LINEST VARS'!$J$66*(8*8)+'LINEST VARS'!$I$66*(8*$ED$104)+'LINEST VARS'!$H$66*(8*0.5)+'LINEST VARS'!$G$66*(8*$DV122)+'LINEST VARS'!$F$66*(8*$ED$104)+'LINEST VARS'!$E$66*(8*0.5)+'LINEST VARS'!$D$66*(8*$DV122)+'LINEST VARS'!$C$66*($ED$104*0.5)+'LINEST VARS'!$B$66*($ED$104*$DV122)+'LINEST VARS'!$A$66*(0.5*$DV122)</f>
        <v>138.40000000000009</v>
      </c>
      <c r="EE122" s="46">
        <f>'LINEST VARS'!$U$66+'LINEST VARS'!$T$66*(8)+'LINEST VARS'!$S$66*(8)+'LINEST VARS'!$R$66*($EE$104)+'LINEST VARS'!$Q$66*(0.5)+'LINEST VARS'!$P$66*($DV122)+'LINEST VARS'!$O$66*(8^2)+'LINEST VARS'!$N$66*(8^2)+'LINEST VARS'!$M$66*($EE$104^2)+'LINEST VARS'!$L$66*(0.5^2)+'LINEST VARS'!$K$66*($DV122^2)+'LINEST VARS'!$J$66*(8*8)+'LINEST VARS'!$I$66*(8*$EE$104)+'LINEST VARS'!$H$66*(8*0.5)+'LINEST VARS'!$G$66*(8*$DV122)+'LINEST VARS'!$F$66*(8*$EE$104)+'LINEST VARS'!$E$66*(8*0.5)+'LINEST VARS'!$D$66*(8*$DV122)+'LINEST VARS'!$C$66*($EE$104*0.5)+'LINEST VARS'!$B$66*($EE$104*$DV122)+'LINEST VARS'!$A$66*(0.5*$DV122)</f>
        <v>137.60000000000008</v>
      </c>
      <c r="EF122" s="46">
        <f>'LINEST VARS'!$U$66+'LINEST VARS'!$T$66*(8)+'LINEST VARS'!$S$66*(8)+'LINEST VARS'!$R$66*($EF$104)+'LINEST VARS'!$Q$66*(0.5)+'LINEST VARS'!$P$66*($DV122)+'LINEST VARS'!$O$66*(8^2)+'LINEST VARS'!$N$66*(8^2)+'LINEST VARS'!$M$66*($EF$104^2)+'LINEST VARS'!$L$66*(0.5^2)+'LINEST VARS'!$K$66*($DV122^2)+'LINEST VARS'!$J$66*(8*8)+'LINEST VARS'!$I$66*(8*$EF$104)+'LINEST VARS'!$H$66*(8*0.5)+'LINEST VARS'!$G$66*(8*$DV122)+'LINEST VARS'!$F$66*(8*$EF$104)+'LINEST VARS'!$E$66*(8*0.5)+'LINEST VARS'!$D$66*(8*$DV122)+'LINEST VARS'!$C$66*($EF$104*0.5)+'LINEST VARS'!$B$66*($EF$104*$DV122)+'LINEST VARS'!$A$66*(0.5*$DV122)</f>
        <v>136.80000000000007</v>
      </c>
      <c r="EG122" s="46">
        <f>'LINEST VARS'!$U$66+'LINEST VARS'!$T$66*(8)+'LINEST VARS'!$S$66*(8)+'LINEST VARS'!$R$66*($EG$104)+'LINEST VARS'!$Q$66*(0.5)+'LINEST VARS'!$P$66*($DV122)+'LINEST VARS'!$O$66*(8^2)+'LINEST VARS'!$N$66*(8^2)+'LINEST VARS'!$M$66*($EG$104^2)+'LINEST VARS'!$L$66*(0.5^2)+'LINEST VARS'!$K$66*($DV122^2)+'LINEST VARS'!$J$66*(8*8)+'LINEST VARS'!$I$66*(8*$EG$104)+'LINEST VARS'!$H$66*(8*0.5)+'LINEST VARS'!$G$66*(8*$DV122)+'LINEST VARS'!$F$66*(8*$EG$104)+'LINEST VARS'!$E$66*(8*0.5)+'LINEST VARS'!$D$66*(8*$DV122)+'LINEST VARS'!$C$66*($EG$104*0.5)+'LINEST VARS'!$B$66*($EG$104*$DV122)+'LINEST VARS'!$A$66*(0.5*$DV122)</f>
        <v>136.00000000000006</v>
      </c>
      <c r="EH122" s="46">
        <f>'LINEST VARS'!$U$66+'LINEST VARS'!$T$66*(8)+'LINEST VARS'!$S$66*(8)+'LINEST VARS'!$R$66*($EH$104)+'LINEST VARS'!$Q$66*(0.5)+'LINEST VARS'!$P$66*($DV122)+'LINEST VARS'!$O$66*(8^2)+'LINEST VARS'!$N$66*(8^2)+'LINEST VARS'!$M$66*($EH$104^2)+'LINEST VARS'!$L$66*(0.5^2)+'LINEST VARS'!$K$66*($DV122^2)+'LINEST VARS'!$J$66*(8*8)+'LINEST VARS'!$I$66*(8*$EH$104)+'LINEST VARS'!$H$66*(8*0.5)+'LINEST VARS'!$G$66*(8*$DV122)+'LINEST VARS'!$F$66*(8*$EH$104)+'LINEST VARS'!$E$66*(8*0.5)+'LINEST VARS'!$D$66*(8*$DV122)+'LINEST VARS'!$C$66*($EH$104*0.5)+'LINEST VARS'!$B$66*($EH$104*$DV122)+'LINEST VARS'!$A$66*(0.5*$DV122)</f>
        <v>135.20000000000005</v>
      </c>
      <c r="EI122" s="46">
        <f>'LINEST VARS'!$U$66+'LINEST VARS'!$T$66*(8)+'LINEST VARS'!$S$66*(8)+'LINEST VARS'!$R$66*($EI$104)+'LINEST VARS'!$Q$66*(0.5)+'LINEST VARS'!$P$66*($DV122)+'LINEST VARS'!$O$66*(8^2)+'LINEST VARS'!$N$66*(8^2)+'LINEST VARS'!$M$66*($EI$104^2)+'LINEST VARS'!$L$66*(0.5^2)+'LINEST VARS'!$K$66*($DV122^2)+'LINEST VARS'!$J$66*(8*8)+'LINEST VARS'!$I$66*(8*$EI$104)+'LINEST VARS'!$H$66*(8*0.5)+'LINEST VARS'!$G$66*(8*$DV122)+'LINEST VARS'!$F$66*(8*$EI$104)+'LINEST VARS'!$E$66*(8*0.5)+'LINEST VARS'!$D$66*(8*$DV122)+'LINEST VARS'!$C$66*($EI$104*0.5)+'LINEST VARS'!$B$66*($EI$104*$DV122)+'LINEST VARS'!$A$66*(0.5*$DV122)</f>
        <v>134.40000000000003</v>
      </c>
      <c r="EJ122" s="46">
        <f>'LINEST VARS'!$U$66+'LINEST VARS'!$T$66*(8)+'LINEST VARS'!$S$66*(8)+'LINEST VARS'!$R$66*($EJ$104)+'LINEST VARS'!$Q$66*(0.5)+'LINEST VARS'!$P$66*($DV122)+'LINEST VARS'!$O$66*(8^2)+'LINEST VARS'!$N$66*(8^2)+'LINEST VARS'!$M$66*($EJ$104^2)+'LINEST VARS'!$L$66*(0.5^2)+'LINEST VARS'!$K$66*($DV122^2)+'LINEST VARS'!$J$66*(8*8)+'LINEST VARS'!$I$66*(8*$EJ$104)+'LINEST VARS'!$H$66*(8*0.5)+'LINEST VARS'!$G$66*(8*$DV122)+'LINEST VARS'!$F$66*(8*$EJ$104)+'LINEST VARS'!$E$66*(8*0.5)+'LINEST VARS'!$D$66*(8*$DV122)+'LINEST VARS'!$C$66*($EJ$104*0.5)+'LINEST VARS'!$B$66*($EJ$104*$DV122)+'LINEST VARS'!$A$66*(0.5*$DV122)</f>
        <v>133.60000000000005</v>
      </c>
      <c r="EK122" s="46">
        <f>'LINEST VARS'!$U$66+'LINEST VARS'!$T$66*(8)+'LINEST VARS'!$S$66*(8)+'LINEST VARS'!$R$66*($EK$104)+'LINEST VARS'!$Q$66*(0.5)+'LINEST VARS'!$P$66*($DV122)+'LINEST VARS'!$O$66*(8^2)+'LINEST VARS'!$N$66*(8^2)+'LINEST VARS'!$M$66*($EK$104^2)+'LINEST VARS'!$L$66*(0.5^2)+'LINEST VARS'!$K$66*($DV122^2)+'LINEST VARS'!$J$66*(8*8)+'LINEST VARS'!$I$66*(8*$EK$104)+'LINEST VARS'!$H$66*(8*0.5)+'LINEST VARS'!$G$66*(8*$DV122)+'LINEST VARS'!$F$66*(8*$EK$104)+'LINEST VARS'!$E$66*(8*0.5)+'LINEST VARS'!$D$66*(8*$DV122)+'LINEST VARS'!$C$66*($EK$104*0.5)+'LINEST VARS'!$B$66*($EK$104*$DV122)+'LINEST VARS'!$A$66*(0.5*$DV122)</f>
        <v>132.80000000000004</v>
      </c>
      <c r="EL122" s="46">
        <f>'LINEST VARS'!$U$66+'LINEST VARS'!$T$66*(8)+'LINEST VARS'!$S$66*(8)+'LINEST VARS'!$R$66*($EL$104)+'LINEST VARS'!$Q$66*(0.5)+'LINEST VARS'!$P$66*($DV122)+'LINEST VARS'!$O$66*(8^2)+'LINEST VARS'!$N$66*(8^2)+'LINEST VARS'!$M$66*($EL$104^2)+'LINEST VARS'!$L$66*(0.5^2)+'LINEST VARS'!$K$66*($DV122^2)+'LINEST VARS'!$J$66*(8*8)+'LINEST VARS'!$I$66*(8*$EL$104)+'LINEST VARS'!$H$66*(8*0.5)+'LINEST VARS'!$G$66*(8*$DV122)+'LINEST VARS'!$F$66*(8*$EL$104)+'LINEST VARS'!$E$66*(8*0.5)+'LINEST VARS'!$D$66*(8*$DV122)+'LINEST VARS'!$C$66*($EL$104*0.5)+'LINEST VARS'!$B$66*($EL$104*$DV122)+'LINEST VARS'!$A$66*(0.5*$DV122)</f>
        <v>132.00000000000006</v>
      </c>
      <c r="EM122" s="46">
        <f>'LINEST VARS'!$U$66+'LINEST VARS'!$T$66*(8)+'LINEST VARS'!$S$66*(8)+'LINEST VARS'!$R$66*($EM$104)+'LINEST VARS'!$Q$66*(0.5)+'LINEST VARS'!$P$66*($DV122)+'LINEST VARS'!$O$66*(8^2)+'LINEST VARS'!$N$66*(8^2)+'LINEST VARS'!$M$66*($EM$104^2)+'LINEST VARS'!$L$66*(0.5^2)+'LINEST VARS'!$K$66*($DV122^2)+'LINEST VARS'!$J$66*(8*8)+'LINEST VARS'!$I$66*(8*$EM$104)+'LINEST VARS'!$H$66*(8*0.5)+'LINEST VARS'!$G$66*(8*$DV122)+'LINEST VARS'!$F$66*(8*$EM$104)+'LINEST VARS'!$E$66*(8*0.5)+'LINEST VARS'!$D$66*(8*$DV122)+'LINEST VARS'!$C$66*($EM$104*0.5)+'LINEST VARS'!$B$66*($EM$104*$DV122)+'LINEST VARS'!$A$66*(0.5*$DV122)</f>
        <v>131.20000000000005</v>
      </c>
      <c r="EN122" s="46">
        <f>'LINEST VARS'!$U$66+'LINEST VARS'!$T$66*(8)+'LINEST VARS'!$S$66*(8)+'LINEST VARS'!$R$66*($EN$104)+'LINEST VARS'!$Q$66*(0.5)+'LINEST VARS'!$P$66*($DV122)+'LINEST VARS'!$O$66*(8^2)+'LINEST VARS'!$N$66*(8^2)+'LINEST VARS'!$M$66*($EN$104^2)+'LINEST VARS'!$L$66*(0.5^2)+'LINEST VARS'!$K$66*($DV122^2)+'LINEST VARS'!$J$66*(8*8)+'LINEST VARS'!$I$66*(8*$EN$104)+'LINEST VARS'!$H$66*(8*0.5)+'LINEST VARS'!$G$66*(8*$DV122)+'LINEST VARS'!$F$66*(8*$EN$104)+'LINEST VARS'!$E$66*(8*0.5)+'LINEST VARS'!$D$66*(8*$DV122)+'LINEST VARS'!$C$66*($EN$104*0.5)+'LINEST VARS'!$B$66*($EN$104*$DV122)+'LINEST VARS'!$A$66*(0.5*$DV122)</f>
        <v>130.40000000000009</v>
      </c>
      <c r="EO122" s="46">
        <f>'LINEST VARS'!$U$66+'LINEST VARS'!$T$66*(8)+'LINEST VARS'!$S$66*(8)+'LINEST VARS'!$R$66*($EO$104)+'LINEST VARS'!$Q$66*(0.5)+'LINEST VARS'!$P$66*($DV122)+'LINEST VARS'!$O$66*(8^2)+'LINEST VARS'!$N$66*(8^2)+'LINEST VARS'!$M$66*($EO$104^2)+'LINEST VARS'!$L$66*(0.5^2)+'LINEST VARS'!$K$66*($DV122^2)+'LINEST VARS'!$J$66*(8*8)+'LINEST VARS'!$I$66*(8*$EO$104)+'LINEST VARS'!$H$66*(8*0.5)+'LINEST VARS'!$G$66*(8*$DV122)+'LINEST VARS'!$F$66*(8*$EO$104)+'LINEST VARS'!$E$66*(8*0.5)+'LINEST VARS'!$D$66*(8*$DV122)+'LINEST VARS'!$C$66*($EO$104*0.5)+'LINEST VARS'!$B$66*($EO$104*$DV122)+'LINEST VARS'!$A$66*(0.5*$DV122)</f>
        <v>129.60000000000008</v>
      </c>
      <c r="EP122" s="46">
        <f>'LINEST VARS'!$U$66+'LINEST VARS'!$T$66*(8)+'LINEST VARS'!$S$66*(8)+'LINEST VARS'!$R$66*($EP$104)+'LINEST VARS'!$Q$66*(0.5)+'LINEST VARS'!$P$66*($DV122)+'LINEST VARS'!$O$66*(8^2)+'LINEST VARS'!$N$66*(8^2)+'LINEST VARS'!$M$66*($EP$104^2)+'LINEST VARS'!$L$66*(0.5^2)+'LINEST VARS'!$K$66*($DV122^2)+'LINEST VARS'!$J$66*(8*8)+'LINEST VARS'!$I$66*(8*$EP$104)+'LINEST VARS'!$H$66*(8*0.5)+'LINEST VARS'!$G$66*(8*$DV122)+'LINEST VARS'!$F$66*(8*$EP$104)+'LINEST VARS'!$E$66*(8*0.5)+'LINEST VARS'!$D$66*(8*$DV122)+'LINEST VARS'!$C$66*($EP$104*0.5)+'LINEST VARS'!$B$66*($EP$104*$DV122)+'LINEST VARS'!$A$66*(0.5*$DV122)</f>
        <v>128.8000000000001</v>
      </c>
      <c r="EQ122" s="47">
        <f>'LINEST VARS'!$U$66+'LINEST VARS'!$T$66*(8)+'LINEST VARS'!$S$66*(8)+'LINEST VARS'!$R$66*($EQ$104)+'LINEST VARS'!$Q$66*(0.5)+'LINEST VARS'!$P$66*($DV122)+'LINEST VARS'!$O$66*(8^2)+'LINEST VARS'!$N$66*(8^2)+'LINEST VARS'!$M$66*($EQ$104^2)+'LINEST VARS'!$L$66*(0.5^2)+'LINEST VARS'!$K$66*($DV122^2)+'LINEST VARS'!$J$66*(8*8)+'LINEST VARS'!$I$66*(8*$EQ$104)+'LINEST VARS'!$H$66*(8*0.5)+'LINEST VARS'!$G$66*(8*$DV122)+'LINEST VARS'!$F$66*(8*$EQ$104)+'LINEST VARS'!$E$66*(8*0.5)+'LINEST VARS'!$D$66*(8*$DV122)+'LINEST VARS'!$C$66*($EQ$104*0.5)+'LINEST VARS'!$B$66*($EQ$104*$DV122)+'LINEST VARS'!$A$66*(0.5*$DV122)</f>
        <v>128.00000000000003</v>
      </c>
    </row>
    <row r="123" spans="2:147" ht="15" customHeight="1" x14ac:dyDescent="0.25">
      <c r="B123" s="45">
        <v>8.48</v>
      </c>
      <c r="C123" s="55">
        <f>'LINEST VARS'!$U$64+'LINEST VARS'!$T$64*($C$104)+'LINEST VARS'!$S$64*($B123)+'LINEST VARS'!$R$64*(4)+'LINEST VARS'!$Q$64*(0.5)+'LINEST VARS'!$P$64*(12.73)+'LINEST VARS'!$O$64*($C$104^2)+'LINEST VARS'!$N$64*($B123^2)+'LINEST VARS'!$M$64*(4^2)+'LINEST VARS'!$L$64*(0.5^2)+'LINEST VARS'!$K$64*(12.73^2)+'LINEST VARS'!$J$64*($C$104*$B123)+'LINEST VARS'!$I$64*($C$104*4)+'LINEST VARS'!$H$64*($C$104*0.5)+'LINEST VARS'!$G$64*($C$104*12.73)+'LINEST VARS'!$F$64*($B123*4)+'LINEST VARS'!$E$64*($B123*0.5)+'LINEST VARS'!$D$64*($B123*12.73)+'LINEST VARS'!$C$64*(4*0.5)+'LINEST VARS'!$B$64*(4*12.73)+'LINEST VARS'!$A$64*(0.5*12.73)</f>
        <v>164.18999999999988</v>
      </c>
      <c r="D123" s="55">
        <f>'LINEST VARS'!$U$64+'LINEST VARS'!$T$64*($D$104)+'LINEST VARS'!$S$64*($B123)+'LINEST VARS'!$R$64*(4)+'LINEST VARS'!$Q$64*(0.5)+'LINEST VARS'!$P$64*(12.73)+'LINEST VARS'!$O$64*($D$104^2)+'LINEST VARS'!$N$64*($B123^2)+'LINEST VARS'!$M$64*(4^2)+'LINEST VARS'!$L$64*(0.5^2)+'LINEST VARS'!$K$64*(12.73^2)+'LINEST VARS'!$J$64*($D$104*$B123)+'LINEST VARS'!$I$64*($D$104*4)+'LINEST VARS'!$H$64*($D$104*0.5)+'LINEST VARS'!$G$64*($D$104*12.73)+'LINEST VARS'!$F$64*($B123*4)+'LINEST VARS'!$E$64*($B123*0.5)+'LINEST VARS'!$D$64*($B123*12.73)+'LINEST VARS'!$C$64*(4*0.5)+'LINEST VARS'!$B$64*(4*12.73)+'LINEST VARS'!$A$64*(0.5*12.73)</f>
        <v>164.18999999999988</v>
      </c>
      <c r="E123" s="55">
        <f>'LINEST VARS'!$U$64+'LINEST VARS'!$T$64*($E$104)+'LINEST VARS'!$S$64*($B123)+'LINEST VARS'!$R$64*(4)+'LINEST VARS'!$Q$64*(0.5)+'LINEST VARS'!$P$64*(12.73)+'LINEST VARS'!$O$64*($E$104^2)+'LINEST VARS'!$N$64*($B123^2)+'LINEST VARS'!$M$64*(4^2)+'LINEST VARS'!$L$64*(0.5^2)+'LINEST VARS'!$K$64*(12.73^2)+'LINEST VARS'!$J$64*($E$104*$B123)+'LINEST VARS'!$I$64*($E$104*4)+'LINEST VARS'!$H$64*($E$104*0.5)+'LINEST VARS'!$G$64*($E$104*12.73)+'LINEST VARS'!$F$64*($B123*4)+'LINEST VARS'!$E$64*($B123*0.5)+'LINEST VARS'!$D$64*($B123*12.73)+'LINEST VARS'!$C$64*(4*0.5)+'LINEST VARS'!$B$64*(4*12.73)+'LINEST VARS'!$A$64*(0.5*12.73)</f>
        <v>164.18999999999988</v>
      </c>
      <c r="F123" s="55">
        <f>'LINEST VARS'!$U$64+'LINEST VARS'!$T$64*($F$104)+'LINEST VARS'!$S$64*($B123)+'LINEST VARS'!$R$64*(4)+'LINEST VARS'!$Q$64*(0.5)+'LINEST VARS'!$P$64*(12.73)+'LINEST VARS'!$O$64*($F$104^2)+'LINEST VARS'!$N$64*($B123^2)+'LINEST VARS'!$M$64*(4^2)+'LINEST VARS'!$L$64*(0.5^2)+'LINEST VARS'!$K$64*(12.73^2)+'LINEST VARS'!$J$64*($F$104*$B123)+'LINEST VARS'!$I$64*($F$104*4)+'LINEST VARS'!$H$64*($F$104*0.5)+'LINEST VARS'!$G$64*($F$104*12.73)+'LINEST VARS'!$F$64*($B123*4)+'LINEST VARS'!$E$64*($B123*0.5)+'LINEST VARS'!$D$64*($B123*12.73)+'LINEST VARS'!$C$64*(4*0.5)+'LINEST VARS'!$B$64*(4*12.73)+'LINEST VARS'!$A$64*(0.5*12.73)</f>
        <v>164.18999999999988</v>
      </c>
      <c r="G123" s="55">
        <f>'LINEST VARS'!$U$64+'LINEST VARS'!$T$64*($G$104)+'LINEST VARS'!$S$64*($B123)+'LINEST VARS'!$R$64*(4)+'LINEST VARS'!$Q$64*(0.5)+'LINEST VARS'!$P$64*(12.73)+'LINEST VARS'!$O$64*($G$104^2)+'LINEST VARS'!$N$64*($B123^2)+'LINEST VARS'!$M$64*(4^2)+'LINEST VARS'!$L$64*(0.5^2)+'LINEST VARS'!$K$64*(12.73^2)+'LINEST VARS'!$J$64*($G$104*$B123)+'LINEST VARS'!$I$64*($G$104*4)+'LINEST VARS'!$H$64*($G$104*0.5)+'LINEST VARS'!$G$64*($G$104*12.73)+'LINEST VARS'!$F$64*($B123*4)+'LINEST VARS'!$E$64*($B123*0.5)+'LINEST VARS'!$D$64*($B123*12.73)+'LINEST VARS'!$C$64*(4*0.5)+'LINEST VARS'!$B$64*(4*12.73)+'LINEST VARS'!$A$64*(0.5*12.73)</f>
        <v>164.18999999999991</v>
      </c>
      <c r="H123" s="55">
        <f>'LINEST VARS'!$U$64+'LINEST VARS'!$T$64*($H$104)+'LINEST VARS'!$S$64*($B123)+'LINEST VARS'!$R$64*(4)+'LINEST VARS'!$Q$64*(0.5)+'LINEST VARS'!$P$64*(12.73)+'LINEST VARS'!$O$64*($H$104^2)+'LINEST VARS'!$N$64*($B123^2)+'LINEST VARS'!$M$64*(4^2)+'LINEST VARS'!$L$64*(0.5^2)+'LINEST VARS'!$K$64*(12.73^2)+'LINEST VARS'!$J$64*($H$104*$B123)+'LINEST VARS'!$I$64*($H$104*4)+'LINEST VARS'!$H$64*($H$104*0.5)+'LINEST VARS'!$G$64*($H$104*12.73)+'LINEST VARS'!$F$64*($B123*4)+'LINEST VARS'!$E$64*($B123*0.5)+'LINEST VARS'!$D$64*($B123*12.73)+'LINEST VARS'!$C$64*(4*0.5)+'LINEST VARS'!$B$64*(4*12.73)+'LINEST VARS'!$A$64*(0.5*12.73)</f>
        <v>164.18999999999991</v>
      </c>
      <c r="I123" s="55">
        <f>'LINEST VARS'!$U$64+'LINEST VARS'!$T$64*($I$104)+'LINEST VARS'!$S$64*($B123)+'LINEST VARS'!$R$64*(4)+'LINEST VARS'!$Q$64*(0.5)+'LINEST VARS'!$P$64*(12.73)+'LINEST VARS'!$O$64*($I$104^2)+'LINEST VARS'!$N$64*($B123^2)+'LINEST VARS'!$M$64*(4^2)+'LINEST VARS'!$L$64*(0.5^2)+'LINEST VARS'!$K$64*(12.73^2)+'LINEST VARS'!$J$64*($I$104*$B123)+'LINEST VARS'!$I$64*($I$104*4)+'LINEST VARS'!$H$64*($I$104*0.5)+'LINEST VARS'!$G$64*($I$104*12.73)+'LINEST VARS'!$F$64*($B123*4)+'LINEST VARS'!$E$64*($B123*0.5)+'LINEST VARS'!$D$64*($B123*12.73)+'LINEST VARS'!$C$64*(4*0.5)+'LINEST VARS'!$B$64*(4*12.73)+'LINEST VARS'!$A$64*(0.5*12.73)</f>
        <v>164.18999999999988</v>
      </c>
      <c r="J123" s="55">
        <f>'LINEST VARS'!$U$64+'LINEST VARS'!$T$64*($J$104)+'LINEST VARS'!$S$64*($B123)+'LINEST VARS'!$R$64*(4)+'LINEST VARS'!$Q$64*(0.5)+'LINEST VARS'!$P$64*(12.73)+'LINEST VARS'!$O$64*($J$104^2)+'LINEST VARS'!$N$64*($B123^2)+'LINEST VARS'!$M$64*(4^2)+'LINEST VARS'!$L$64*(0.5^2)+'LINEST VARS'!$K$64*(12.73^2)+'LINEST VARS'!$J$64*($J$104*$B123)+'LINEST VARS'!$I$64*($J$104*4)+'LINEST VARS'!$H$64*($J$104*0.5)+'LINEST VARS'!$G$64*($J$104*12.73)+'LINEST VARS'!$F$64*($B123*4)+'LINEST VARS'!$E$64*($B123*0.5)+'LINEST VARS'!$D$64*($B123*12.73)+'LINEST VARS'!$C$64*(4*0.5)+'LINEST VARS'!$B$64*(4*12.73)+'LINEST VARS'!$A$64*(0.5*12.73)</f>
        <v>164.18999999999988</v>
      </c>
      <c r="K123" s="55">
        <f>'LINEST VARS'!$U$64+'LINEST VARS'!$T$64*($K$104)+'LINEST VARS'!$S$64*($B123)+'LINEST VARS'!$R$64*(4)+'LINEST VARS'!$Q$64*(0.5)+'LINEST VARS'!$P$64*(12.73)+'LINEST VARS'!$O$64*($K$104^2)+'LINEST VARS'!$N$64*($B123^2)+'LINEST VARS'!$M$64*(4^2)+'LINEST VARS'!$L$64*(0.5^2)+'LINEST VARS'!$K$64*(12.73^2)+'LINEST VARS'!$J$64*($K$104*$B123)+'LINEST VARS'!$I$64*($K$104*4)+'LINEST VARS'!$H$64*($K$104*0.5)+'LINEST VARS'!$G$64*($K$104*12.73)+'LINEST VARS'!$F$64*($B123*4)+'LINEST VARS'!$E$64*($B123*0.5)+'LINEST VARS'!$D$64*($B123*12.73)+'LINEST VARS'!$C$64*(4*0.5)+'LINEST VARS'!$B$64*(4*12.73)+'LINEST VARS'!$A$64*(0.5*12.73)</f>
        <v>164.18999999999988</v>
      </c>
      <c r="L123" s="55">
        <f>'LINEST VARS'!$U$64+'LINEST VARS'!$T$64*($L$104)+'LINEST VARS'!$S$64*($B123)+'LINEST VARS'!$R$64*(4)+'LINEST VARS'!$Q$64*(0.5)+'LINEST VARS'!$P$64*(12.73)+'LINEST VARS'!$O$64*($L$104^2)+'LINEST VARS'!$N$64*($B123^2)+'LINEST VARS'!$M$64*(4^2)+'LINEST VARS'!$L$64*(0.5^2)+'LINEST VARS'!$K$64*(12.73^2)+'LINEST VARS'!$J$64*($L$104*$B123)+'LINEST VARS'!$I$64*($L$104*4)+'LINEST VARS'!$H$64*($L$104*0.5)+'LINEST VARS'!$G$64*($L$104*12.73)+'LINEST VARS'!$F$64*($B123*4)+'LINEST VARS'!$E$64*($B123*0.5)+'LINEST VARS'!$D$64*($B123*12.73)+'LINEST VARS'!$C$64*(4*0.5)+'LINEST VARS'!$B$64*(4*12.73)+'LINEST VARS'!$A$64*(0.5*12.73)</f>
        <v>164.18999999999988</v>
      </c>
      <c r="M123" s="55">
        <f>'LINEST VARS'!$U$64+'LINEST VARS'!$T$64*($M$104)+'LINEST VARS'!$S$64*($B123)+'LINEST VARS'!$R$64*(4)+'LINEST VARS'!$Q$64*(0.5)+'LINEST VARS'!$P$64*(12.73)+'LINEST VARS'!$O$64*($M$104^2)+'LINEST VARS'!$N$64*($B123^2)+'LINEST VARS'!$M$64*(4^2)+'LINEST VARS'!$L$64*(0.5^2)+'LINEST VARS'!$K$64*(12.73^2)+'LINEST VARS'!$J$64*($M$104*$B123)+'LINEST VARS'!$I$64*($M$104*4)+'LINEST VARS'!$H$64*($M$104*0.5)+'LINEST VARS'!$G$64*($M$104*12.73)+'LINEST VARS'!$F$64*($B123*4)+'LINEST VARS'!$E$64*($B123*0.5)+'LINEST VARS'!$D$64*($B123*12.73)+'LINEST VARS'!$C$64*(4*0.5)+'LINEST VARS'!$B$64*(4*12.73)+'LINEST VARS'!$A$64*(0.5*12.73)</f>
        <v>164.18999999999988</v>
      </c>
      <c r="N123" s="55">
        <f>'LINEST VARS'!$U$64+'LINEST VARS'!$T$64*($N$104)+'LINEST VARS'!$S$64*($B123)+'LINEST VARS'!$R$64*(4)+'LINEST VARS'!$Q$64*(0.5)+'LINEST VARS'!$P$64*(12.73)+'LINEST VARS'!$O$64*($N$104^2)+'LINEST VARS'!$N$64*($B123^2)+'LINEST VARS'!$M$64*(4^2)+'LINEST VARS'!$L$64*(0.5^2)+'LINEST VARS'!$K$64*(12.73^2)+'LINEST VARS'!$J$64*($N$104*$B123)+'LINEST VARS'!$I$64*($N$104*4)+'LINEST VARS'!$H$64*($N$104*0.5)+'LINEST VARS'!$G$64*($N$104*12.73)+'LINEST VARS'!$F$64*($B123*4)+'LINEST VARS'!$E$64*($B123*0.5)+'LINEST VARS'!$D$64*($B123*12.73)+'LINEST VARS'!$C$64*(4*0.5)+'LINEST VARS'!$B$64*(4*12.73)+'LINEST VARS'!$A$64*(0.5*12.73)</f>
        <v>164.18999999999988</v>
      </c>
      <c r="O123" s="55">
        <f>'LINEST VARS'!$U$64+'LINEST VARS'!$T$64*($O$104)+'LINEST VARS'!$S$64*($B123)+'LINEST VARS'!$R$64*(4)+'LINEST VARS'!$Q$64*(0.5)+'LINEST VARS'!$P$64*(12.73)+'LINEST VARS'!$O$64*($O$104^2)+'LINEST VARS'!$N$64*($B123^2)+'LINEST VARS'!$M$64*(4^2)+'LINEST VARS'!$L$64*(0.5^2)+'LINEST VARS'!$K$64*(12.73^2)+'LINEST VARS'!$J$64*($O$104*$B123)+'LINEST VARS'!$I$64*($O$104*4)+'LINEST VARS'!$H$64*($O$104*0.5)+'LINEST VARS'!$G$64*($O$104*12.73)+'LINEST VARS'!$F$64*($B123*4)+'LINEST VARS'!$E$64*($B123*0.5)+'LINEST VARS'!$D$64*($B123*12.73)+'LINEST VARS'!$C$64*(4*0.5)+'LINEST VARS'!$B$64*(4*12.73)+'LINEST VARS'!$A$64*(0.5*12.73)</f>
        <v>164.18999999999988</v>
      </c>
      <c r="P123" s="55">
        <f>'LINEST VARS'!$U$64+'LINEST VARS'!$T$64*($P$104)+'LINEST VARS'!$S$64*($B123)+'LINEST VARS'!$R$64*(4)+'LINEST VARS'!$Q$64*(0.5)+'LINEST VARS'!$P$64*(12.73)+'LINEST VARS'!$O$64*($P$104^2)+'LINEST VARS'!$N$64*($B123^2)+'LINEST VARS'!$M$64*(4^2)+'LINEST VARS'!$L$64*(0.5^2)+'LINEST VARS'!$K$64*(12.73^2)+'LINEST VARS'!$J$64*($P$104*$B123)+'LINEST VARS'!$I$64*($P$104*4)+'LINEST VARS'!$H$64*($P$104*0.5)+'LINEST VARS'!$G$64*($P$104*12.73)+'LINEST VARS'!$F$64*($B123*4)+'LINEST VARS'!$E$64*($B123*0.5)+'LINEST VARS'!$D$64*($B123*12.73)+'LINEST VARS'!$C$64*(4*0.5)+'LINEST VARS'!$B$64*(4*12.73)+'LINEST VARS'!$A$64*(0.5*12.73)</f>
        <v>164.18999999999991</v>
      </c>
      <c r="Q123" s="55">
        <f>'LINEST VARS'!$U$64+'LINEST VARS'!$T$64*($Q$104)+'LINEST VARS'!$S$64*($B123)+'LINEST VARS'!$R$64*(4)+'LINEST VARS'!$Q$64*(0.5)+'LINEST VARS'!$P$64*(12.73)+'LINEST VARS'!$O$64*($Q$104^2)+'LINEST VARS'!$N$64*($B123^2)+'LINEST VARS'!$M$64*(4^2)+'LINEST VARS'!$L$64*(0.5^2)+'LINEST VARS'!$K$64*(12.73^2)+'LINEST VARS'!$J$64*($Q$104*$B123)+'LINEST VARS'!$I$64*($Q$104*4)+'LINEST VARS'!$H$64*($Q$104*0.5)+'LINEST VARS'!$G$64*($Q$104*12.73)+'LINEST VARS'!$F$64*($B123*4)+'LINEST VARS'!$E$64*($B123*0.5)+'LINEST VARS'!$D$64*($B123*12.73)+'LINEST VARS'!$C$64*(4*0.5)+'LINEST VARS'!$B$64*(4*12.73)+'LINEST VARS'!$A$64*(0.5*12.73)</f>
        <v>164.18999999999991</v>
      </c>
      <c r="R123" s="55">
        <f>'LINEST VARS'!$U$64+'LINEST VARS'!$T$64*($R$104)+'LINEST VARS'!$S$64*($B123)+'LINEST VARS'!$R$64*(4)+'LINEST VARS'!$Q$64*(0.5)+'LINEST VARS'!$P$64*(12.73)+'LINEST VARS'!$O$64*($R$104^2)+'LINEST VARS'!$N$64*($B123^2)+'LINEST VARS'!$M$64*(4^2)+'LINEST VARS'!$L$64*(0.5^2)+'LINEST VARS'!$K$64*(12.73^2)+'LINEST VARS'!$J$64*($R$104*$B123)+'LINEST VARS'!$I$64*($R$104*4)+'LINEST VARS'!$H$64*($R$104*0.5)+'LINEST VARS'!$G$64*($R$104*12.73)+'LINEST VARS'!$F$64*($B123*4)+'LINEST VARS'!$E$64*($B123*0.5)+'LINEST VARS'!$D$64*($B123*12.73)+'LINEST VARS'!$C$64*(4*0.5)+'LINEST VARS'!$B$64*(4*12.73)+'LINEST VARS'!$A$64*(0.5*12.73)</f>
        <v>164.18999999999991</v>
      </c>
      <c r="S123" s="55">
        <f>'LINEST VARS'!$U$64+'LINEST VARS'!$T$64*($S$104)+'LINEST VARS'!$S$64*($B123)+'LINEST VARS'!$R$64*(4)+'LINEST VARS'!$Q$64*(0.5)+'LINEST VARS'!$P$64*(12.73)+'LINEST VARS'!$O$64*($S$104^2)+'LINEST VARS'!$N$64*($B123^2)+'LINEST VARS'!$M$64*(4^2)+'LINEST VARS'!$L$64*(0.5^2)+'LINEST VARS'!$K$64*(12.73^2)+'LINEST VARS'!$J$64*($S$104*$B123)+'LINEST VARS'!$I$64*($S$104*4)+'LINEST VARS'!$H$64*($S$104*0.5)+'LINEST VARS'!$G$64*($S$104*12.73)+'LINEST VARS'!$F$64*($B123*4)+'LINEST VARS'!$E$64*($B123*0.5)+'LINEST VARS'!$D$64*($B123*12.73)+'LINEST VARS'!$C$64*(4*0.5)+'LINEST VARS'!$B$64*(4*12.73)+'LINEST VARS'!$A$64*(0.5*12.73)</f>
        <v>164.18999999999991</v>
      </c>
      <c r="T123" s="55">
        <f>'LINEST VARS'!$U$64+'LINEST VARS'!$T$64*($T$104)+'LINEST VARS'!$S$64*($B123)+'LINEST VARS'!$R$64*(4)+'LINEST VARS'!$Q$64*(0.5)+'LINEST VARS'!$P$64*(12.73)+'LINEST VARS'!$O$64*($T$104^2)+'LINEST VARS'!$N$64*($B123^2)+'LINEST VARS'!$M$64*(4^2)+'LINEST VARS'!$L$64*(0.5^2)+'LINEST VARS'!$K$64*(12.73^2)+'LINEST VARS'!$J$64*($T$104*$B123)+'LINEST VARS'!$I$64*($T$104*4)+'LINEST VARS'!$H$64*($T$104*0.5)+'LINEST VARS'!$G$64*($T$104*12.73)+'LINEST VARS'!$F$64*($B123*4)+'LINEST VARS'!$E$64*($B123*0.5)+'LINEST VARS'!$D$64*($B123*12.73)+'LINEST VARS'!$C$64*(4*0.5)+'LINEST VARS'!$B$64*(4*12.73)+'LINEST VARS'!$A$64*(0.5*12.73)</f>
        <v>164.18999999999991</v>
      </c>
      <c r="U123" s="55">
        <f>'LINEST VARS'!$U$64+'LINEST VARS'!$T$64*($U$104)+'LINEST VARS'!$S$64*($B123)+'LINEST VARS'!$R$64*(4)+'LINEST VARS'!$Q$64*(0.5)+'LINEST VARS'!$P$64*(12.73)+'LINEST VARS'!$O$64*($U$104^2)+'LINEST VARS'!$N$64*($B123^2)+'LINEST VARS'!$M$64*(4^2)+'LINEST VARS'!$L$64*(0.5^2)+'LINEST VARS'!$K$64*(12.73^2)+'LINEST VARS'!$J$64*($U$104*$B123)+'LINEST VARS'!$I$64*($U$104*4)+'LINEST VARS'!$H$64*($U$104*0.5)+'LINEST VARS'!$G$64*($U$104*12.73)+'LINEST VARS'!$F$64*($B123*4)+'LINEST VARS'!$E$64*($B123*0.5)+'LINEST VARS'!$D$64*($B123*12.73)+'LINEST VARS'!$C$64*(4*0.5)+'LINEST VARS'!$B$64*(4*12.73)+'LINEST VARS'!$A$64*(0.5*12.73)</f>
        <v>164.18999999999991</v>
      </c>
      <c r="V123" s="55">
        <f>'LINEST VARS'!$U$64+'LINEST VARS'!$T$64*($V$104)+'LINEST VARS'!$S$64*($B123)+'LINEST VARS'!$R$64*(4)+'LINEST VARS'!$Q$64*(0.5)+'LINEST VARS'!$P$64*(12.73)+'LINEST VARS'!$O$64*($V$104^2)+'LINEST VARS'!$N$64*($B123^2)+'LINEST VARS'!$M$64*(4^2)+'LINEST VARS'!$L$64*(0.5^2)+'LINEST VARS'!$K$64*(12.73^2)+'LINEST VARS'!$J$64*($V$104*$B123)+'LINEST VARS'!$I$64*($V$104*4)+'LINEST VARS'!$H$64*($V$104*0.5)+'LINEST VARS'!$G$64*($V$104*12.73)+'LINEST VARS'!$F$64*($B123*4)+'LINEST VARS'!$E$64*($B123*0.5)+'LINEST VARS'!$D$64*($B123*12.73)+'LINEST VARS'!$C$64*(4*0.5)+'LINEST VARS'!$B$64*(4*12.73)+'LINEST VARS'!$A$64*(0.5*12.73)</f>
        <v>164.18999999999991</v>
      </c>
      <c r="W123" s="56">
        <f>'LINEST VARS'!$U$64+'LINEST VARS'!$T$64*($W$104)+'LINEST VARS'!$S$64*($B123)+'LINEST VARS'!$R$64*(4)+'LINEST VARS'!$Q$64*(0.5)+'LINEST VARS'!$P$64*(12.73)+'LINEST VARS'!$O$64*($W$104^2)+'LINEST VARS'!$N$64*($B123^2)+'LINEST VARS'!$M$64*(4^2)+'LINEST VARS'!$L$64*(0.5^2)+'LINEST VARS'!$K$64*(12.73^2)+'LINEST VARS'!$J$64*($W$104*$B123)+'LINEST VARS'!$I$64*($W$104*4)+'LINEST VARS'!$H$64*($W$104*0.5)+'LINEST VARS'!$G$64*($W$104*12.73)+'LINEST VARS'!$F$64*($B123*4)+'LINEST VARS'!$E$64*($B123*0.5)+'LINEST VARS'!$D$64*($B123*12.73)+'LINEST VARS'!$C$64*(4*0.5)+'LINEST VARS'!$B$64*(4*12.73)+'LINEST VARS'!$A$64*(0.5*12.73)</f>
        <v>164.18999999999991</v>
      </c>
      <c r="Z123" s="45">
        <v>8.48</v>
      </c>
      <c r="AA123" s="46">
        <f>'LINEST VARS'!$U$66+'LINEST VARS'!$T$66*($AA$104)+'LINEST VARS'!$S$66*($Z123)+'LINEST VARS'!$R$66*(4)+'LINEST VARS'!$Q$66*(0.5)+'LINEST VARS'!$P$66*(12.73)+'LINEST VARS'!$O$66*($AA$104^2)+'LINEST VARS'!$N$66*($Z123^2)+'LINEST VARS'!$M$66*(4^2)+'LINEST VARS'!$L$66*(0.5^2)+'LINEST VARS'!$K$66*(12.73^2)+'LINEST VARS'!$J$66*($AA$104*$Z123)+'LINEST VARS'!$I$66*($AA$104*4)+'LINEST VARS'!$H$66*($AA$104*0.5)+'LINEST VARS'!$G$66*($AA$104*12.73)+'LINEST VARS'!$F$66*($Z123*4)+'LINEST VARS'!$E$66*($Z123*0.5)+'LINEST VARS'!$D$66*($Z123*12.73)+'LINEST VARS'!$C$66*(4*0.5)+'LINEST VARS'!$B$66*(4*12.73)+'LINEST VARS'!$A$66*(0.5*12.73)</f>
        <v>134.20000000000005</v>
      </c>
      <c r="AB123" s="46">
        <f>'LINEST VARS'!$U$66+'LINEST VARS'!$T$66*($AB$104)+'LINEST VARS'!$S$66*($Z123)+'LINEST VARS'!$R$66*(4)+'LINEST VARS'!$Q$66*(0.5)+'LINEST VARS'!$P$66*(12.73)+'LINEST VARS'!$O$66*($AB$104^2)+'LINEST VARS'!$N$66*($Z123^2)+'LINEST VARS'!$M$66*(4^2)+'LINEST VARS'!$L$66*(0.5^2)+'LINEST VARS'!$K$66*(12.73^2)+'LINEST VARS'!$J$66*($AB$104*$Z123)+'LINEST VARS'!$I$66*($AB$104*4)+'LINEST VARS'!$H$66*($AB$104*0.5)+'LINEST VARS'!$G$66*($AB$104*12.73)+'LINEST VARS'!$F$66*($Z123*4)+'LINEST VARS'!$E$66*($Z123*0.5)+'LINEST VARS'!$D$66*($Z123*12.73)+'LINEST VARS'!$C$66*(4*0.5)+'LINEST VARS'!$B$66*(4*12.73)+'LINEST VARS'!$A$66*(0.5*12.73)</f>
        <v>134.38000000000005</v>
      </c>
      <c r="AC123" s="46">
        <f>'LINEST VARS'!$U$66+'LINEST VARS'!$T$66*($AC$104)+'LINEST VARS'!$S$66*($Z123)+'LINEST VARS'!$R$66*(4)+'LINEST VARS'!$Q$66*(0.5)+'LINEST VARS'!$P$66*(12.73)+'LINEST VARS'!$O$66*($AC$104^2)+'LINEST VARS'!$N$66*($Z123^2)+'LINEST VARS'!$M$66*(4^2)+'LINEST VARS'!$L$66*(0.5^2)+'LINEST VARS'!$K$66*(12.73^2)+'LINEST VARS'!$J$66*($AC$104*$Z123)+'LINEST VARS'!$I$66*($AC$104*4)+'LINEST VARS'!$H$66*($AC$104*0.5)+'LINEST VARS'!$G$66*($AC$104*12.73)+'LINEST VARS'!$F$66*($Z123*4)+'LINEST VARS'!$E$66*($Z123*0.5)+'LINEST VARS'!$D$66*($Z123*12.73)+'LINEST VARS'!$C$66*(4*0.5)+'LINEST VARS'!$B$66*(4*12.73)+'LINEST VARS'!$A$66*(0.5*12.73)</f>
        <v>134.56000000000003</v>
      </c>
      <c r="AD123" s="46">
        <f>'LINEST VARS'!$U$66+'LINEST VARS'!$T$66*($AD$104)+'LINEST VARS'!$S$66*($Z123)+'LINEST VARS'!$R$66*(4)+'LINEST VARS'!$Q$66*(0.5)+'LINEST VARS'!$P$66*(12.73)+'LINEST VARS'!$O$66*($AD$104^2)+'LINEST VARS'!$N$66*($Z123^2)+'LINEST VARS'!$M$66*(4^2)+'LINEST VARS'!$L$66*(0.5^2)+'LINEST VARS'!$K$66*(12.73^2)+'LINEST VARS'!$J$66*($AD$104*$Z123)+'LINEST VARS'!$I$66*($AD$104*4)+'LINEST VARS'!$H$66*($AD$104*0.5)+'LINEST VARS'!$G$66*($AD$104*12.73)+'LINEST VARS'!$F$66*($Z123*4)+'LINEST VARS'!$E$66*($Z123*0.5)+'LINEST VARS'!$D$66*($Z123*12.73)+'LINEST VARS'!$C$66*(4*0.5)+'LINEST VARS'!$B$66*(4*12.73)+'LINEST VARS'!$A$66*(0.5*12.73)</f>
        <v>134.74000000000004</v>
      </c>
      <c r="AE123" s="46">
        <f>'LINEST VARS'!$U$66+'LINEST VARS'!$T$66*($AE$104)+'LINEST VARS'!$S$66*($Z123)+'LINEST VARS'!$R$66*(4)+'LINEST VARS'!$Q$66*(0.5)+'LINEST VARS'!$P$66*(12.73)+'LINEST VARS'!$O$66*($AE$104^2)+'LINEST VARS'!$N$66*($Z123^2)+'LINEST VARS'!$M$66*(4^2)+'LINEST VARS'!$L$66*(0.5^2)+'LINEST VARS'!$K$66*(12.73^2)+'LINEST VARS'!$J$66*($AE$104*$Z123)+'LINEST VARS'!$I$66*($AE$104*4)+'LINEST VARS'!$H$66*($AE$104*0.5)+'LINEST VARS'!$G$66*($AE$104*12.73)+'LINEST VARS'!$F$66*($Z123*4)+'LINEST VARS'!$E$66*($Z123*0.5)+'LINEST VARS'!$D$66*($Z123*12.73)+'LINEST VARS'!$C$66*(4*0.5)+'LINEST VARS'!$B$66*(4*12.73)+'LINEST VARS'!$A$66*(0.5*12.73)</f>
        <v>134.92000000000004</v>
      </c>
      <c r="AF123" s="46">
        <f>'LINEST VARS'!$U$66+'LINEST VARS'!$T$66*($AF$104)+'LINEST VARS'!$S$66*($Z123)+'LINEST VARS'!$R$66*(4)+'LINEST VARS'!$Q$66*(0.5)+'LINEST VARS'!$P$66*(12.73)+'LINEST VARS'!$O$66*($AF$104^2)+'LINEST VARS'!$N$66*($Z123^2)+'LINEST VARS'!$M$66*(4^2)+'LINEST VARS'!$L$66*(0.5^2)+'LINEST VARS'!$K$66*(12.73^2)+'LINEST VARS'!$J$66*($AF$104*$Z123)+'LINEST VARS'!$I$66*($AF$104*4)+'LINEST VARS'!$H$66*($AF$104*0.5)+'LINEST VARS'!$G$66*($AF$104*12.73)+'LINEST VARS'!$F$66*($Z123*4)+'LINEST VARS'!$E$66*($Z123*0.5)+'LINEST VARS'!$D$66*($Z123*12.73)+'LINEST VARS'!$C$66*(4*0.5)+'LINEST VARS'!$B$66*(4*12.73)+'LINEST VARS'!$A$66*(0.5*12.73)</f>
        <v>135.10000000000005</v>
      </c>
      <c r="AG123" s="46">
        <f>'LINEST VARS'!$U$66+'LINEST VARS'!$T$66*($AG$104)+'LINEST VARS'!$S$66*($Z123)+'LINEST VARS'!$R$66*(4)+'LINEST VARS'!$Q$66*(0.5)+'LINEST VARS'!$P$66*(12.73)+'LINEST VARS'!$O$66*($AG$104^2)+'LINEST VARS'!$N$66*($Z123^2)+'LINEST VARS'!$M$66*(4^2)+'LINEST VARS'!$L$66*(0.5^2)+'LINEST VARS'!$K$66*(12.73^2)+'LINEST VARS'!$J$66*($AG$104*$Z123)+'LINEST VARS'!$I$66*($AG$104*4)+'LINEST VARS'!$H$66*($AG$104*0.5)+'LINEST VARS'!$G$66*($AG$104*12.73)+'LINEST VARS'!$F$66*($Z123*4)+'LINEST VARS'!$E$66*($Z123*0.5)+'LINEST VARS'!$D$66*($Z123*12.73)+'LINEST VARS'!$C$66*(4*0.5)+'LINEST VARS'!$B$66*(4*12.73)+'LINEST VARS'!$A$66*(0.5*12.73)</f>
        <v>135.28000000000003</v>
      </c>
      <c r="AH123" s="46">
        <f>'LINEST VARS'!$U$66+'LINEST VARS'!$T$66*($AH$104)+'LINEST VARS'!$S$66*($Z123)+'LINEST VARS'!$R$66*(4)+'LINEST VARS'!$Q$66*(0.5)+'LINEST VARS'!$P$66*(12.73)+'LINEST VARS'!$O$66*($AH$104^2)+'LINEST VARS'!$N$66*($Z123^2)+'LINEST VARS'!$M$66*(4^2)+'LINEST VARS'!$L$66*(0.5^2)+'LINEST VARS'!$K$66*(12.73^2)+'LINEST VARS'!$J$66*($AH$104*$Z123)+'LINEST VARS'!$I$66*($AH$104*4)+'LINEST VARS'!$H$66*($AH$104*0.5)+'LINEST VARS'!$G$66*($AH$104*12.73)+'LINEST VARS'!$F$66*($Z123*4)+'LINEST VARS'!$E$66*($Z123*0.5)+'LINEST VARS'!$D$66*($Z123*12.73)+'LINEST VARS'!$C$66*(4*0.5)+'LINEST VARS'!$B$66*(4*12.73)+'LINEST VARS'!$A$66*(0.5*12.73)</f>
        <v>135.46000000000004</v>
      </c>
      <c r="AI123" s="46">
        <f>'LINEST VARS'!$U$66+'LINEST VARS'!$T$66*($AI$104)+'LINEST VARS'!$S$66*($Z123)+'LINEST VARS'!$R$66*(4)+'LINEST VARS'!$Q$66*(0.5)+'LINEST VARS'!$P$66*(12.73)+'LINEST VARS'!$O$66*($AI$104^2)+'LINEST VARS'!$N$66*($Z123^2)+'LINEST VARS'!$M$66*(4^2)+'LINEST VARS'!$L$66*(0.5^2)+'LINEST VARS'!$K$66*(12.73^2)+'LINEST VARS'!$J$66*($AI$104*$Z123)+'LINEST VARS'!$I$66*($AI$104*4)+'LINEST VARS'!$H$66*($AI$104*0.5)+'LINEST VARS'!$G$66*($AI$104*12.73)+'LINEST VARS'!$F$66*($Z123*4)+'LINEST VARS'!$E$66*($Z123*0.5)+'LINEST VARS'!$D$66*($Z123*12.73)+'LINEST VARS'!$C$66*(4*0.5)+'LINEST VARS'!$B$66*(4*12.73)+'LINEST VARS'!$A$66*(0.5*12.73)</f>
        <v>135.64000000000004</v>
      </c>
      <c r="AJ123" s="46">
        <f>'LINEST VARS'!$U$66+'LINEST VARS'!$T$66*($AJ$104)+'LINEST VARS'!$S$66*($Z123)+'LINEST VARS'!$R$66*(4)+'LINEST VARS'!$Q$66*(0.5)+'LINEST VARS'!$P$66*(12.73)+'LINEST VARS'!$O$66*($AJ$104^2)+'LINEST VARS'!$N$66*($Z123^2)+'LINEST VARS'!$M$66*(4^2)+'LINEST VARS'!$L$66*(0.5^2)+'LINEST VARS'!$K$66*(12.73^2)+'LINEST VARS'!$J$66*($AJ$104*$Z123)+'LINEST VARS'!$I$66*($AJ$104*4)+'LINEST VARS'!$H$66*($AJ$104*0.5)+'LINEST VARS'!$G$66*($AJ$104*12.73)+'LINEST VARS'!$F$66*($Z123*4)+'LINEST VARS'!$E$66*($Z123*0.5)+'LINEST VARS'!$D$66*($Z123*12.73)+'LINEST VARS'!$C$66*(4*0.5)+'LINEST VARS'!$B$66*(4*12.73)+'LINEST VARS'!$A$66*(0.5*12.73)</f>
        <v>135.82000000000005</v>
      </c>
      <c r="AK123" s="46">
        <f>'LINEST VARS'!$U$66+'LINEST VARS'!$T$66*($AK$104)+'LINEST VARS'!$S$66*($Z123)+'LINEST VARS'!$R$66*(4)+'LINEST VARS'!$Q$66*(0.5)+'LINEST VARS'!$P$66*(12.73)+'LINEST VARS'!$O$66*($AK$104^2)+'LINEST VARS'!$N$66*($Z123^2)+'LINEST VARS'!$M$66*(4^2)+'LINEST VARS'!$L$66*(0.5^2)+'LINEST VARS'!$K$66*(12.73^2)+'LINEST VARS'!$J$66*($AK$104*$Z123)+'LINEST VARS'!$I$66*($AK$104*4)+'LINEST VARS'!$H$66*($AK$104*0.5)+'LINEST VARS'!$G$66*($AK$104*12.73)+'LINEST VARS'!$F$66*($Z123*4)+'LINEST VARS'!$E$66*($Z123*0.5)+'LINEST VARS'!$D$66*($Z123*12.73)+'LINEST VARS'!$C$66*(4*0.5)+'LINEST VARS'!$B$66*(4*12.73)+'LINEST VARS'!$A$66*(0.5*12.73)</f>
        <v>136.00000000000003</v>
      </c>
      <c r="AL123" s="46">
        <f>'LINEST VARS'!$U$66+'LINEST VARS'!$T$66*($AL$104)+'LINEST VARS'!$S$66*($Z123)+'LINEST VARS'!$R$66*(4)+'LINEST VARS'!$Q$66*(0.5)+'LINEST VARS'!$P$66*(12.73)+'LINEST VARS'!$O$66*($AL$104^2)+'LINEST VARS'!$N$66*($Z123^2)+'LINEST VARS'!$M$66*(4^2)+'LINEST VARS'!$L$66*(0.5^2)+'LINEST VARS'!$K$66*(12.73^2)+'LINEST VARS'!$J$66*($AL$104*$Z123)+'LINEST VARS'!$I$66*($AL$104*4)+'LINEST VARS'!$H$66*($AL$104*0.5)+'LINEST VARS'!$G$66*($AL$104*12.73)+'LINEST VARS'!$F$66*($Z123*4)+'LINEST VARS'!$E$66*($Z123*0.5)+'LINEST VARS'!$D$66*($Z123*12.73)+'LINEST VARS'!$C$66*(4*0.5)+'LINEST VARS'!$B$66*(4*12.73)+'LINEST VARS'!$A$66*(0.5*12.73)</f>
        <v>136.18000000000004</v>
      </c>
      <c r="AM123" s="46">
        <f>'LINEST VARS'!$U$66+'LINEST VARS'!$T$66*($AM$104)+'LINEST VARS'!$S$66*($Z123)+'LINEST VARS'!$R$66*(4)+'LINEST VARS'!$Q$66*(0.5)+'LINEST VARS'!$P$66*(12.73)+'LINEST VARS'!$O$66*($AM$104^2)+'LINEST VARS'!$N$66*($Z123^2)+'LINEST VARS'!$M$66*(4^2)+'LINEST VARS'!$L$66*(0.5^2)+'LINEST VARS'!$K$66*(12.73^2)+'LINEST VARS'!$J$66*($AM$104*$Z123)+'LINEST VARS'!$I$66*($AM$104*4)+'LINEST VARS'!$H$66*($AM$104*0.5)+'LINEST VARS'!$G$66*($AM$104*12.73)+'LINEST VARS'!$F$66*($Z123*4)+'LINEST VARS'!$E$66*($Z123*0.5)+'LINEST VARS'!$D$66*($Z123*12.73)+'LINEST VARS'!$C$66*(4*0.5)+'LINEST VARS'!$B$66*(4*12.73)+'LINEST VARS'!$A$66*(0.5*12.73)</f>
        <v>136.36000000000004</v>
      </c>
      <c r="AN123" s="46">
        <f>'LINEST VARS'!$U$66+'LINEST VARS'!$T$66*($AN$104)+'LINEST VARS'!$S$66*($Z123)+'LINEST VARS'!$R$66*(4)+'LINEST VARS'!$Q$66*(0.5)+'LINEST VARS'!$P$66*(12.73)+'LINEST VARS'!$O$66*($AN$104^2)+'LINEST VARS'!$N$66*($Z123^2)+'LINEST VARS'!$M$66*(4^2)+'LINEST VARS'!$L$66*(0.5^2)+'LINEST VARS'!$K$66*(12.73^2)+'LINEST VARS'!$J$66*($AN$104*$Z123)+'LINEST VARS'!$I$66*($AN$104*4)+'LINEST VARS'!$H$66*($AN$104*0.5)+'LINEST VARS'!$G$66*($AN$104*12.73)+'LINEST VARS'!$F$66*($Z123*4)+'LINEST VARS'!$E$66*($Z123*0.5)+'LINEST VARS'!$D$66*($Z123*12.73)+'LINEST VARS'!$C$66*(4*0.5)+'LINEST VARS'!$B$66*(4*12.73)+'LINEST VARS'!$A$66*(0.5*12.73)</f>
        <v>136.54000000000005</v>
      </c>
      <c r="AO123" s="46">
        <f>'LINEST VARS'!$U$66+'LINEST VARS'!$T$66*($AO$104)+'LINEST VARS'!$S$66*($Z123)+'LINEST VARS'!$R$66*(4)+'LINEST VARS'!$Q$66*(0.5)+'LINEST VARS'!$P$66*(12.73)+'LINEST VARS'!$O$66*($AO$104^2)+'LINEST VARS'!$N$66*($Z123^2)+'LINEST VARS'!$M$66*(4^2)+'LINEST VARS'!$L$66*(0.5^2)+'LINEST VARS'!$K$66*(12.73^2)+'LINEST VARS'!$J$66*($AO$104*$Z123)+'LINEST VARS'!$I$66*($AO$104*4)+'LINEST VARS'!$H$66*($AO$104*0.5)+'LINEST VARS'!$G$66*($AO$104*12.73)+'LINEST VARS'!$F$66*($Z123*4)+'LINEST VARS'!$E$66*($Z123*0.5)+'LINEST VARS'!$D$66*($Z123*12.73)+'LINEST VARS'!$C$66*(4*0.5)+'LINEST VARS'!$B$66*(4*12.73)+'LINEST VARS'!$A$66*(0.5*12.73)</f>
        <v>136.72000000000003</v>
      </c>
      <c r="AP123" s="46">
        <f>'LINEST VARS'!$U$66+'LINEST VARS'!$T$66*($AP$104)+'LINEST VARS'!$S$66*($Z123)+'LINEST VARS'!$R$66*(4)+'LINEST VARS'!$Q$66*(0.5)+'LINEST VARS'!$P$66*(12.73)+'LINEST VARS'!$O$66*($AP$104^2)+'LINEST VARS'!$N$66*($Z123^2)+'LINEST VARS'!$M$66*(4^2)+'LINEST VARS'!$L$66*(0.5^2)+'LINEST VARS'!$K$66*(12.73^2)+'LINEST VARS'!$J$66*($AP$104*$Z123)+'LINEST VARS'!$I$66*($AP$104*4)+'LINEST VARS'!$H$66*($AP$104*0.5)+'LINEST VARS'!$G$66*($AP$104*12.73)+'LINEST VARS'!$F$66*($Z123*4)+'LINEST VARS'!$E$66*($Z123*0.5)+'LINEST VARS'!$D$66*($Z123*12.73)+'LINEST VARS'!$C$66*(4*0.5)+'LINEST VARS'!$B$66*(4*12.73)+'LINEST VARS'!$A$66*(0.5*12.73)</f>
        <v>136.90000000000003</v>
      </c>
      <c r="AQ123" s="46">
        <f>'LINEST VARS'!$U$66+'LINEST VARS'!$T$66*($AQ$104)+'LINEST VARS'!$S$66*($Z123)+'LINEST VARS'!$R$66*(4)+'LINEST VARS'!$Q$66*(0.5)+'LINEST VARS'!$P$66*(12.73)+'LINEST VARS'!$O$66*($AQ$104^2)+'LINEST VARS'!$N$66*($Z123^2)+'LINEST VARS'!$M$66*(4^2)+'LINEST VARS'!$L$66*(0.5^2)+'LINEST VARS'!$K$66*(12.73^2)+'LINEST VARS'!$J$66*($AQ$104*$Z123)+'LINEST VARS'!$I$66*($AQ$104*4)+'LINEST VARS'!$H$66*($AQ$104*0.5)+'LINEST VARS'!$G$66*($AQ$104*12.73)+'LINEST VARS'!$F$66*($Z123*4)+'LINEST VARS'!$E$66*($Z123*0.5)+'LINEST VARS'!$D$66*($Z123*12.73)+'LINEST VARS'!$C$66*(4*0.5)+'LINEST VARS'!$B$66*(4*12.73)+'LINEST VARS'!$A$66*(0.5*12.73)</f>
        <v>137.08000000000004</v>
      </c>
      <c r="AR123" s="46">
        <f>'LINEST VARS'!$U$66+'LINEST VARS'!$T$66*($AR$104)+'LINEST VARS'!$S$66*($Z123)+'LINEST VARS'!$R$66*(4)+'LINEST VARS'!$Q$66*(0.5)+'LINEST VARS'!$P$66*(12.73)+'LINEST VARS'!$O$66*($AR$104^2)+'LINEST VARS'!$N$66*($Z123^2)+'LINEST VARS'!$M$66*(4^2)+'LINEST VARS'!$L$66*(0.5^2)+'LINEST VARS'!$K$66*(12.73^2)+'LINEST VARS'!$J$66*($AR$104*$Z123)+'LINEST VARS'!$I$66*($AR$104*4)+'LINEST VARS'!$H$66*($AR$104*0.5)+'LINEST VARS'!$G$66*($AR$104*12.73)+'LINEST VARS'!$F$66*($Z123*4)+'LINEST VARS'!$E$66*($Z123*0.5)+'LINEST VARS'!$D$66*($Z123*12.73)+'LINEST VARS'!$C$66*(4*0.5)+'LINEST VARS'!$B$66*(4*12.73)+'LINEST VARS'!$A$66*(0.5*12.73)</f>
        <v>137.26000000000005</v>
      </c>
      <c r="AS123" s="46">
        <f>'LINEST VARS'!$U$66+'LINEST VARS'!$T$66*($AS$104)+'LINEST VARS'!$S$66*($Z123)+'LINEST VARS'!$R$66*(4)+'LINEST VARS'!$Q$66*(0.5)+'LINEST VARS'!$P$66*(12.73)+'LINEST VARS'!$O$66*($AS$104^2)+'LINEST VARS'!$N$66*($Z123^2)+'LINEST VARS'!$M$66*(4^2)+'LINEST VARS'!$L$66*(0.5^2)+'LINEST VARS'!$K$66*(12.73^2)+'LINEST VARS'!$J$66*($AS$104*$Z123)+'LINEST VARS'!$I$66*($AS$104*4)+'LINEST VARS'!$H$66*($AS$104*0.5)+'LINEST VARS'!$G$66*($AS$104*12.73)+'LINEST VARS'!$F$66*($Z123*4)+'LINEST VARS'!$E$66*($Z123*0.5)+'LINEST VARS'!$D$66*($Z123*12.73)+'LINEST VARS'!$C$66*(4*0.5)+'LINEST VARS'!$B$66*(4*12.73)+'LINEST VARS'!$A$66*(0.5*12.73)</f>
        <v>137.44000000000003</v>
      </c>
      <c r="AT123" s="46">
        <f>'LINEST VARS'!$U$66+'LINEST VARS'!$T$66*($AT$104)+'LINEST VARS'!$S$66*($Z123)+'LINEST VARS'!$R$66*(4)+'LINEST VARS'!$Q$66*(0.5)+'LINEST VARS'!$P$66*(12.73)+'LINEST VARS'!$O$66*($AT$104^2)+'LINEST VARS'!$N$66*($Z123^2)+'LINEST VARS'!$M$66*(4^2)+'LINEST VARS'!$L$66*(0.5^2)+'LINEST VARS'!$K$66*(12.73^2)+'LINEST VARS'!$J$66*($AT$104*$Z123)+'LINEST VARS'!$I$66*($AT$104*4)+'LINEST VARS'!$H$66*($AT$104*0.5)+'LINEST VARS'!$G$66*($AT$104*12.73)+'LINEST VARS'!$F$66*($Z123*4)+'LINEST VARS'!$E$66*($Z123*0.5)+'LINEST VARS'!$D$66*($Z123*12.73)+'LINEST VARS'!$C$66*(4*0.5)+'LINEST VARS'!$B$66*(4*12.73)+'LINEST VARS'!$A$66*(0.5*12.73)</f>
        <v>137.62000000000003</v>
      </c>
      <c r="AU123" s="47">
        <f>'LINEST VARS'!$U$66+'LINEST VARS'!$T$66*($AU$104)+'LINEST VARS'!$S$66*($Z123)+'LINEST VARS'!$R$66*(4)+'LINEST VARS'!$Q$66*(0.5)+'LINEST VARS'!$P$66*(12.73)+'LINEST VARS'!$O$66*($AU$104^2)+'LINEST VARS'!$N$66*($Z123^2)+'LINEST VARS'!$M$66*(4^2)+'LINEST VARS'!$L$66*(0.5^2)+'LINEST VARS'!$K$66*(12.73^2)+'LINEST VARS'!$J$66*($AU$104*$Z123)+'LINEST VARS'!$I$66*($AU$104*4)+'LINEST VARS'!$H$66*($AU$104*0.5)+'LINEST VARS'!$G$66*($AU$104*12.73)+'LINEST VARS'!$F$66*($Z123*4)+'LINEST VARS'!$E$66*($Z123*0.5)+'LINEST VARS'!$D$66*($Z123*12.73)+'LINEST VARS'!$C$66*(4*0.5)+'LINEST VARS'!$B$66*(4*12.73)+'LINEST VARS'!$A$66*(0.5*12.73)</f>
        <v>137.80000000000004</v>
      </c>
      <c r="AZ123" s="45">
        <v>0.9</v>
      </c>
      <c r="BA123" s="55">
        <f>'LINEST VARS'!$U$64+'LINEST VARS'!$T$64*(8)+'LINEST VARS'!$S$64*(8)+'LINEST VARS'!$R$64*($BA$104)+'LINEST VARS'!$Q$64*($AZ123)+'LINEST VARS'!$P$64*(12.73)+'LINEST VARS'!$O$64*(8^2)+'LINEST VARS'!$N$64*(8^2)+'LINEST VARS'!$M$64*($BA$104^2)+'LINEST VARS'!$L$64*($AZ123^2)+'LINEST VARS'!$K$64*(12.73^2)+'LINEST VARS'!$J$64*(8*8)+'LINEST VARS'!$I$64*(8*$BA$104)+'LINEST VARS'!$H$64*(8*$AZ123)+'LINEST VARS'!$G$64*(8*12.73)+'LINEST VARS'!$F$64*(8*$BA$104)+'LINEST VARS'!$E$64*(8*$AZ123)+'LINEST VARS'!$D$64*(8*12.73)+'LINEST VARS'!$C$64*($BA$104*$AZ123)+'LINEST VARS'!$B$64*($BA$104*12.73)+'LINEST VARS'!$A$64*($AZ123*12.73)</f>
        <v>148.18999999999988</v>
      </c>
      <c r="BB123" s="55">
        <f>'LINEST VARS'!$U$64+'LINEST VARS'!$T$64*(8)+'LINEST VARS'!$S$64*(8)+'LINEST VARS'!$R$64*($BB$104)+'LINEST VARS'!$Q$64*($AZ123)+'LINEST VARS'!$P$64*(12.73)+'LINEST VARS'!$O$64*(8^2)+'LINEST VARS'!$N$64*(8^2)+'LINEST VARS'!$M$64*($BB$104^2)+'LINEST VARS'!$L$64*($AZ123^2)+'LINEST VARS'!$K$64*(12.73^2)+'LINEST VARS'!$J$64*(8*8)+'LINEST VARS'!$I$64*(8*$BB$104)+'LINEST VARS'!$H$64*(8*$AZ123)+'LINEST VARS'!$G$64*(8*12.73)+'LINEST VARS'!$F$64*(8*$BB$104)+'LINEST VARS'!$E$64*(8*$AZ123)+'LINEST VARS'!$D$64*(8*12.73)+'LINEST VARS'!$C$64*($BB$104*$AZ123)+'LINEST VARS'!$B$64*($BB$104*12.73)+'LINEST VARS'!$A$64*($AZ123*12.73)</f>
        <v>149.78999999999985</v>
      </c>
      <c r="BC123" s="55">
        <f>'LINEST VARS'!$U$64+'LINEST VARS'!$T$64*(8)+'LINEST VARS'!$S$64*(8)+'LINEST VARS'!$R$64*($BC$104)+'LINEST VARS'!$Q$64*($AZ123)+'LINEST VARS'!$P$64*(12.73)+'LINEST VARS'!$O$64*(8^2)+'LINEST VARS'!$N$64*(8^2)+'LINEST VARS'!$M$64*($BC$104^2)+'LINEST VARS'!$L$64*($AZ123^2)+'LINEST VARS'!$K$64*(12.73^2)+'LINEST VARS'!$J$64*(8*8)+'LINEST VARS'!$I$64*(8*$BC$104)+'LINEST VARS'!$H$64*(8*$AZ123)+'LINEST VARS'!$G$64*(8*12.73)+'LINEST VARS'!$F$64*(8*$BC$104)+'LINEST VARS'!$E$64*(8*$AZ123)+'LINEST VARS'!$D$64*(8*12.73)+'LINEST VARS'!$C$64*($BC$104*$AZ123)+'LINEST VARS'!$B$64*($BC$104*12.73)+'LINEST VARS'!$A$64*($AZ123*12.73)</f>
        <v>151.38999999999987</v>
      </c>
      <c r="BD123" s="55">
        <f>'LINEST VARS'!$U$64+'LINEST VARS'!$T$64*(8)+'LINEST VARS'!$S$64*(8)+'LINEST VARS'!$R$64*($BD$104)+'LINEST VARS'!$Q$64*($AZ123)+'LINEST VARS'!$P$64*(12.73)+'LINEST VARS'!$O$64*(8^2)+'LINEST VARS'!$N$64*(8^2)+'LINEST VARS'!$M$64*($BD$104^2)+'LINEST VARS'!$L$64*($AZ123^2)+'LINEST VARS'!$K$64*(12.73^2)+'LINEST VARS'!$J$64*(8*8)+'LINEST VARS'!$I$64*(8*$BD$104)+'LINEST VARS'!$H$64*(8*$AZ123)+'LINEST VARS'!$G$64*(8*12.73)+'LINEST VARS'!$F$64*(8*$BD$104)+'LINEST VARS'!$E$64*(8*$AZ123)+'LINEST VARS'!$D$64*(8*12.73)+'LINEST VARS'!$C$64*($BD$104*$AZ123)+'LINEST VARS'!$B$64*($BD$104*12.73)+'LINEST VARS'!$A$64*($AZ123*12.73)</f>
        <v>152.98999999999987</v>
      </c>
      <c r="BE123" s="55">
        <f>'LINEST VARS'!$U$64+'LINEST VARS'!$T$64*(8)+'LINEST VARS'!$S$64*(8)+'LINEST VARS'!$R$64*($BE$104)+'LINEST VARS'!$Q$64*($AZ123)+'LINEST VARS'!$P$64*(12.73)+'LINEST VARS'!$O$64*(8^2)+'LINEST VARS'!$N$64*(8^2)+'LINEST VARS'!$M$64*($BE$104^2)+'LINEST VARS'!$L$64*($AZ123^2)+'LINEST VARS'!$K$64*(12.73^2)+'LINEST VARS'!$J$64*(8*8)+'LINEST VARS'!$I$64*(8*$BE$104)+'LINEST VARS'!$H$64*(8*$AZ123)+'LINEST VARS'!$G$64*(8*12.73)+'LINEST VARS'!$F$64*(8*$BE$104)+'LINEST VARS'!$E$64*(8*$AZ123)+'LINEST VARS'!$D$64*(8*12.73)+'LINEST VARS'!$C$64*($BE$104*$AZ123)+'LINEST VARS'!$B$64*($BE$104*12.73)+'LINEST VARS'!$A$64*($AZ123*12.73)</f>
        <v>154.58999999999986</v>
      </c>
      <c r="BF123" s="55">
        <f>'LINEST VARS'!$U$64+'LINEST VARS'!$T$64*(8)+'LINEST VARS'!$S$64*(8)+'LINEST VARS'!$R$64*($BF$104)+'LINEST VARS'!$Q$64*($AZ123)+'LINEST VARS'!$P$64*(12.73)+'LINEST VARS'!$O$64*(8^2)+'LINEST VARS'!$N$64*(8^2)+'LINEST VARS'!$M$64*($BF$104^2)+'LINEST VARS'!$L$64*($AZ123^2)+'LINEST VARS'!$K$64*(12.73^2)+'LINEST VARS'!$J$64*(8*8)+'LINEST VARS'!$I$64*(8*$BF$104)+'LINEST VARS'!$H$64*(8*$AZ123)+'LINEST VARS'!$G$64*(8*12.73)+'LINEST VARS'!$F$64*(8*$BF$104)+'LINEST VARS'!$E$64*(8*$AZ123)+'LINEST VARS'!$D$64*(8*12.73)+'LINEST VARS'!$C$64*($BF$104*$AZ123)+'LINEST VARS'!$B$64*($BF$104*12.73)+'LINEST VARS'!$A$64*($AZ123*12.73)</f>
        <v>156.18999999999988</v>
      </c>
      <c r="BG123" s="55">
        <f>'LINEST VARS'!$U$64+'LINEST VARS'!$T$64*(8)+'LINEST VARS'!$S$64*(8)+'LINEST VARS'!$R$64*($BG$104)+'LINEST VARS'!$Q$64*($AZ123)+'LINEST VARS'!$P$64*(12.73)+'LINEST VARS'!$O$64*(8^2)+'LINEST VARS'!$N$64*(8^2)+'LINEST VARS'!$M$64*($BG$104^2)+'LINEST VARS'!$L$64*($AZ123^2)+'LINEST VARS'!$K$64*(12.73^2)+'LINEST VARS'!$J$64*(8*8)+'LINEST VARS'!$I$64*(8*$BG$104)+'LINEST VARS'!$H$64*(8*$AZ123)+'LINEST VARS'!$G$64*(8*12.73)+'LINEST VARS'!$F$64*(8*$BG$104)+'LINEST VARS'!$E$64*(8*$AZ123)+'LINEST VARS'!$D$64*(8*12.73)+'LINEST VARS'!$C$64*($BG$104*$AZ123)+'LINEST VARS'!$B$64*($BG$104*12.73)+'LINEST VARS'!$A$64*($AZ123*12.73)</f>
        <v>157.78999999999985</v>
      </c>
      <c r="BH123" s="55">
        <f>'LINEST VARS'!$U$64+'LINEST VARS'!$T$64*(8)+'LINEST VARS'!$S$64*(8)+'LINEST VARS'!$R$64*($BH$104)+'LINEST VARS'!$Q$64*($AZ123)+'LINEST VARS'!$P$64*(12.73)+'LINEST VARS'!$O$64*(8^2)+'LINEST VARS'!$N$64*(8^2)+'LINEST VARS'!$M$64*($BH$104^2)+'LINEST VARS'!$L$64*($AZ123^2)+'LINEST VARS'!$K$64*(12.73^2)+'LINEST VARS'!$J$64*(8*8)+'LINEST VARS'!$I$64*(8*$BH$104)+'LINEST VARS'!$H$64*(8*$AZ123)+'LINEST VARS'!$G$64*(8*12.73)+'LINEST VARS'!$F$64*(8*$BH$104)+'LINEST VARS'!$E$64*(8*$AZ123)+'LINEST VARS'!$D$64*(8*12.73)+'LINEST VARS'!$C$64*($BH$104*$AZ123)+'LINEST VARS'!$B$64*($BH$104*12.73)+'LINEST VARS'!$A$64*($AZ123*12.73)</f>
        <v>159.38999999999987</v>
      </c>
      <c r="BI123" s="55">
        <f>'LINEST VARS'!$U$64+'LINEST VARS'!$T$64*(8)+'LINEST VARS'!$S$64*(8)+'LINEST VARS'!$R$64*($BI$104)+'LINEST VARS'!$Q$64*($AZ123)+'LINEST VARS'!$P$64*(12.73)+'LINEST VARS'!$O$64*(8^2)+'LINEST VARS'!$N$64*(8^2)+'LINEST VARS'!$M$64*($BI$104^2)+'LINEST VARS'!$L$64*($AZ123^2)+'LINEST VARS'!$K$64*(12.73^2)+'LINEST VARS'!$J$64*(8*8)+'LINEST VARS'!$I$64*(8*$BI$104)+'LINEST VARS'!$H$64*(8*$AZ123)+'LINEST VARS'!$G$64*(8*12.73)+'LINEST VARS'!$F$64*(8*$BI$104)+'LINEST VARS'!$E$64*(8*$AZ123)+'LINEST VARS'!$D$64*(8*12.73)+'LINEST VARS'!$C$64*($BI$104*$AZ123)+'LINEST VARS'!$B$64*($BI$104*12.73)+'LINEST VARS'!$A$64*($AZ123*12.73)</f>
        <v>160.9899999999999</v>
      </c>
      <c r="BJ123" s="55">
        <f>'LINEST VARS'!$U$64+'LINEST VARS'!$T$64*(8)+'LINEST VARS'!$S$64*(8)+'LINEST VARS'!$R$64*($BJ$104)+'LINEST VARS'!$Q$64*($AZ123)+'LINEST VARS'!$P$64*(12.73)+'LINEST VARS'!$O$64*(8^2)+'LINEST VARS'!$N$64*(8^2)+'LINEST VARS'!$M$64*($BJ$104^2)+'LINEST VARS'!$L$64*($AZ123^2)+'LINEST VARS'!$K$64*(12.73^2)+'LINEST VARS'!$J$64*(8*8)+'LINEST VARS'!$I$64*(8*$BJ$104)+'LINEST VARS'!$H$64*(8*$AZ123)+'LINEST VARS'!$G$64*(8*12.73)+'LINEST VARS'!$F$64*(8*$BJ$104)+'LINEST VARS'!$E$64*(8*$AZ123)+'LINEST VARS'!$D$64*(8*12.73)+'LINEST VARS'!$C$64*($BJ$104*$AZ123)+'LINEST VARS'!$B$64*($BJ$104*12.73)+'LINEST VARS'!$A$64*($AZ123*12.73)</f>
        <v>162.58999999999986</v>
      </c>
      <c r="BK123" s="55">
        <f>'LINEST VARS'!$U$64+'LINEST VARS'!$T$64*(8)+'LINEST VARS'!$S$64*(8)+'LINEST VARS'!$R$64*($BK$104)+'LINEST VARS'!$Q$64*($AZ123)+'LINEST VARS'!$P$64*(12.73)+'LINEST VARS'!$O$64*(8^2)+'LINEST VARS'!$N$64*(8^2)+'LINEST VARS'!$M$64*($BK$104^2)+'LINEST VARS'!$L$64*($AZ123^2)+'LINEST VARS'!$K$64*(12.73^2)+'LINEST VARS'!$J$64*(8*8)+'LINEST VARS'!$I$64*(8*$BK$104)+'LINEST VARS'!$H$64*(8*$AZ123)+'LINEST VARS'!$G$64*(8*12.73)+'LINEST VARS'!$F$64*(8*$BK$104)+'LINEST VARS'!$E$64*(8*$AZ123)+'LINEST VARS'!$D$64*(8*12.73)+'LINEST VARS'!$C$64*($BK$104*$AZ123)+'LINEST VARS'!$B$64*($BK$104*12.73)+'LINEST VARS'!$A$64*($AZ123*12.73)</f>
        <v>164.18999999999988</v>
      </c>
      <c r="BL123" s="55">
        <f>'LINEST VARS'!$U$64+'LINEST VARS'!$T$64*(8)+'LINEST VARS'!$S$64*(8)+'LINEST VARS'!$R$64*($BL$104)+'LINEST VARS'!$Q$64*($AZ123)+'LINEST VARS'!$P$64*(12.73)+'LINEST VARS'!$O$64*(8^2)+'LINEST VARS'!$N$64*(8^2)+'LINEST VARS'!$M$64*($BL$104^2)+'LINEST VARS'!$L$64*($AZ123^2)+'LINEST VARS'!$K$64*(12.73^2)+'LINEST VARS'!$J$64*(8*8)+'LINEST VARS'!$I$64*(8*$BL$104)+'LINEST VARS'!$H$64*(8*$AZ123)+'LINEST VARS'!$G$64*(8*12.73)+'LINEST VARS'!$F$64*(8*$BL$104)+'LINEST VARS'!$E$64*(8*$AZ123)+'LINEST VARS'!$D$64*(8*12.73)+'LINEST VARS'!$C$64*($BL$104*$AZ123)+'LINEST VARS'!$B$64*($BL$104*12.73)+'LINEST VARS'!$A$64*($AZ123*12.73)</f>
        <v>165.78999999999988</v>
      </c>
      <c r="BM123" s="55">
        <f>'LINEST VARS'!$U$64+'LINEST VARS'!$T$64*(8)+'LINEST VARS'!$S$64*(8)+'LINEST VARS'!$R$64*($BM$104)+'LINEST VARS'!$Q$64*($AZ123)+'LINEST VARS'!$P$64*(12.73)+'LINEST VARS'!$O$64*(8^2)+'LINEST VARS'!$N$64*(8^2)+'LINEST VARS'!$M$64*($BM$104^2)+'LINEST VARS'!$L$64*($AZ123^2)+'LINEST VARS'!$K$64*(12.73^2)+'LINEST VARS'!$J$64*(8*8)+'LINEST VARS'!$I$64*(8*$BM$104)+'LINEST VARS'!$H$64*(8*$AZ123)+'LINEST VARS'!$G$64*(8*12.73)+'LINEST VARS'!$F$64*(8*$BM$104)+'LINEST VARS'!$E$64*(8*$AZ123)+'LINEST VARS'!$D$64*(8*12.73)+'LINEST VARS'!$C$64*($BM$104*$AZ123)+'LINEST VARS'!$B$64*($BM$104*12.73)+'LINEST VARS'!$A$64*($AZ123*12.73)</f>
        <v>167.38999999999987</v>
      </c>
      <c r="BN123" s="55">
        <f>'LINEST VARS'!$U$64+'LINEST VARS'!$T$64*(8)+'LINEST VARS'!$S$64*(8)+'LINEST VARS'!$R$64*($BN$104)+'LINEST VARS'!$Q$64*($AZ123)+'LINEST VARS'!$P$64*(12.73)+'LINEST VARS'!$O$64*(8^2)+'LINEST VARS'!$N$64*(8^2)+'LINEST VARS'!$M$64*($BN$104^2)+'LINEST VARS'!$L$64*($AZ123^2)+'LINEST VARS'!$K$64*(12.73^2)+'LINEST VARS'!$J$64*(8*8)+'LINEST VARS'!$I$64*(8*$BN$104)+'LINEST VARS'!$H$64*(8*$AZ123)+'LINEST VARS'!$G$64*(8*12.73)+'LINEST VARS'!$F$64*(8*$BN$104)+'LINEST VARS'!$E$64*(8*$AZ123)+'LINEST VARS'!$D$64*(8*12.73)+'LINEST VARS'!$C$64*($BN$104*$AZ123)+'LINEST VARS'!$B$64*($BN$104*12.73)+'LINEST VARS'!$A$64*($AZ123*12.73)</f>
        <v>168.9899999999999</v>
      </c>
      <c r="BO123" s="55">
        <f>'LINEST VARS'!$U$64+'LINEST VARS'!$T$64*(8)+'LINEST VARS'!$S$64*(8)+'LINEST VARS'!$R$64*($BO$104)+'LINEST VARS'!$Q$64*($AZ123)+'LINEST VARS'!$P$64*(12.73)+'LINEST VARS'!$O$64*(8^2)+'LINEST VARS'!$N$64*(8^2)+'LINEST VARS'!$M$64*($BO$104^2)+'LINEST VARS'!$L$64*($AZ123^2)+'LINEST VARS'!$K$64*(12.73^2)+'LINEST VARS'!$J$64*(8*8)+'LINEST VARS'!$I$64*(8*$BO$104)+'LINEST VARS'!$H$64*(8*$AZ123)+'LINEST VARS'!$G$64*(8*12.73)+'LINEST VARS'!$F$64*(8*$BO$104)+'LINEST VARS'!$E$64*(8*$AZ123)+'LINEST VARS'!$D$64*(8*12.73)+'LINEST VARS'!$C$64*($BO$104*$AZ123)+'LINEST VARS'!$B$64*($BO$104*12.73)+'LINEST VARS'!$A$64*($AZ123*12.73)</f>
        <v>170.58999999999983</v>
      </c>
      <c r="BP123" s="55">
        <f>'LINEST VARS'!$U$64+'LINEST VARS'!$T$64*(8)+'LINEST VARS'!$S$64*(8)+'LINEST VARS'!$R$64*($BP$104)+'LINEST VARS'!$Q$64*($AZ123)+'LINEST VARS'!$P$64*(12.73)+'LINEST VARS'!$O$64*(8^2)+'LINEST VARS'!$N$64*(8^2)+'LINEST VARS'!$M$64*($BP$104^2)+'LINEST VARS'!$L$64*($AZ123^2)+'LINEST VARS'!$K$64*(12.73^2)+'LINEST VARS'!$J$64*(8*8)+'LINEST VARS'!$I$64*(8*$BP$104)+'LINEST VARS'!$H$64*(8*$AZ123)+'LINEST VARS'!$G$64*(8*12.73)+'LINEST VARS'!$F$64*(8*$BP$104)+'LINEST VARS'!$E$64*(8*$AZ123)+'LINEST VARS'!$D$64*(8*12.73)+'LINEST VARS'!$C$64*($BP$104*$AZ123)+'LINEST VARS'!$B$64*($BP$104*12.73)+'LINEST VARS'!$A$64*($AZ123*12.73)</f>
        <v>172.18999999999986</v>
      </c>
      <c r="BQ123" s="55">
        <f>'LINEST VARS'!$U$64+'LINEST VARS'!$T$64*(8)+'LINEST VARS'!$S$64*(8)+'LINEST VARS'!$R$64*($BQ$104)+'LINEST VARS'!$Q$64*($AZ123)+'LINEST VARS'!$P$64*(12.73)+'LINEST VARS'!$O$64*(8^2)+'LINEST VARS'!$N$64*(8^2)+'LINEST VARS'!$M$64*($BQ$104^2)+'LINEST VARS'!$L$64*($AZ123^2)+'LINEST VARS'!$K$64*(12.73^2)+'LINEST VARS'!$J$64*(8*8)+'LINEST VARS'!$I$64*(8*$BQ$104)+'LINEST VARS'!$H$64*(8*$AZ123)+'LINEST VARS'!$G$64*(8*12.73)+'LINEST VARS'!$F$64*(8*$BQ$104)+'LINEST VARS'!$E$64*(8*$AZ123)+'LINEST VARS'!$D$64*(8*12.73)+'LINEST VARS'!$C$64*($BQ$104*$AZ123)+'LINEST VARS'!$B$64*($BQ$104*12.73)+'LINEST VARS'!$A$64*($AZ123*12.73)</f>
        <v>173.78999999999988</v>
      </c>
      <c r="BR123" s="55">
        <f>'LINEST VARS'!$U$64+'LINEST VARS'!$T$64*(8)+'LINEST VARS'!$S$64*(8)+'LINEST VARS'!$R$64*($BR$104)+'LINEST VARS'!$Q$64*($AZ123)+'LINEST VARS'!$P$64*(12.73)+'LINEST VARS'!$O$64*(8^2)+'LINEST VARS'!$N$64*(8^2)+'LINEST VARS'!$M$64*($BR$104^2)+'LINEST VARS'!$L$64*($AZ123^2)+'LINEST VARS'!$K$64*(12.73^2)+'LINEST VARS'!$J$64*(8*8)+'LINEST VARS'!$I$64*(8*$BR$104)+'LINEST VARS'!$H$64*(8*$AZ123)+'LINEST VARS'!$G$64*(8*12.73)+'LINEST VARS'!$F$64*(8*$BR$104)+'LINEST VARS'!$E$64*(8*$AZ123)+'LINEST VARS'!$D$64*(8*12.73)+'LINEST VARS'!$C$64*($BR$104*$AZ123)+'LINEST VARS'!$B$64*($BR$104*12.73)+'LINEST VARS'!$A$64*($AZ123*12.73)</f>
        <v>175.38999999999984</v>
      </c>
      <c r="BS123" s="55">
        <f>'LINEST VARS'!$U$64+'LINEST VARS'!$T$64*(8)+'LINEST VARS'!$S$64*(8)+'LINEST VARS'!$R$64*($BS$104)+'LINEST VARS'!$Q$64*($AZ123)+'LINEST VARS'!$P$64*(12.73)+'LINEST VARS'!$O$64*(8^2)+'LINEST VARS'!$N$64*(8^2)+'LINEST VARS'!$M$64*($BS$104^2)+'LINEST VARS'!$L$64*($AZ123^2)+'LINEST VARS'!$K$64*(12.73^2)+'LINEST VARS'!$J$64*(8*8)+'LINEST VARS'!$I$64*(8*$BS$104)+'LINEST VARS'!$H$64*(8*$AZ123)+'LINEST VARS'!$G$64*(8*12.73)+'LINEST VARS'!$F$64*(8*$BS$104)+'LINEST VARS'!$E$64*(8*$AZ123)+'LINEST VARS'!$D$64*(8*12.73)+'LINEST VARS'!$C$64*($BS$104*$AZ123)+'LINEST VARS'!$B$64*($BS$104*12.73)+'LINEST VARS'!$A$64*($AZ123*12.73)</f>
        <v>176.98999999999987</v>
      </c>
      <c r="BT123" s="55">
        <f>'LINEST VARS'!$U$64+'LINEST VARS'!$T$64*(8)+'LINEST VARS'!$S$64*(8)+'LINEST VARS'!$R$64*($BT$104)+'LINEST VARS'!$Q$64*($AZ123)+'LINEST VARS'!$P$64*(12.73)+'LINEST VARS'!$O$64*(8^2)+'LINEST VARS'!$N$64*(8^2)+'LINEST VARS'!$M$64*($BT$104^2)+'LINEST VARS'!$L$64*($AZ123^2)+'LINEST VARS'!$K$64*(12.73^2)+'LINEST VARS'!$J$64*(8*8)+'LINEST VARS'!$I$64*(8*$BT$104)+'LINEST VARS'!$H$64*(8*$AZ123)+'LINEST VARS'!$G$64*(8*12.73)+'LINEST VARS'!$F$64*(8*$BT$104)+'LINEST VARS'!$E$64*(8*$AZ123)+'LINEST VARS'!$D$64*(8*12.73)+'LINEST VARS'!$C$64*($BT$104*$AZ123)+'LINEST VARS'!$B$64*($BT$104*12.73)+'LINEST VARS'!$A$64*($AZ123*12.73)</f>
        <v>178.58999999999983</v>
      </c>
      <c r="BU123" s="56">
        <f>'LINEST VARS'!$U$64+'LINEST VARS'!$T$64*(8)+'LINEST VARS'!$S$64*(8)+'LINEST VARS'!$R$64*($BU$104)+'LINEST VARS'!$Q$64*($AZ123)+'LINEST VARS'!$P$64*(12.73)+'LINEST VARS'!$O$64*(8^2)+'LINEST VARS'!$N$64*(8^2)+'LINEST VARS'!$M$64*($BU$104^2)+'LINEST VARS'!$L$64*($AZ123^2)+'LINEST VARS'!$K$64*(12.73^2)+'LINEST VARS'!$J$64*(8*8)+'LINEST VARS'!$I$64*(8*$BU$104)+'LINEST VARS'!$H$64*(8*$AZ123)+'LINEST VARS'!$G$64*(8*12.73)+'LINEST VARS'!$F$64*(8*$BU$104)+'LINEST VARS'!$E$64*(8*$AZ123)+'LINEST VARS'!$D$64*(8*12.73)+'LINEST VARS'!$C$64*($BU$104*$AZ123)+'LINEST VARS'!$B$64*($BU$104*12.73)+'LINEST VARS'!$A$64*($AZ123*12.73)</f>
        <v>180.18999999999986</v>
      </c>
      <c r="BX123" s="45">
        <v>0.9</v>
      </c>
      <c r="BY123" s="46">
        <f>'LINEST VARS'!$U$66+'LINEST VARS'!$T$66*(8)+'LINEST VARS'!$S$66*(8)+'LINEST VARS'!$R$66*($BY$104)+'LINEST VARS'!$Q$66*($BX123)+'LINEST VARS'!$P$66*(12.73)+'LINEST VARS'!$O$66*(8^2)+'LINEST VARS'!$N$66*(8^2)+'LINEST VARS'!$M$66*($BY$104^2)+'LINEST VARS'!$L$66*($BX123^2)+'LINEST VARS'!$K$66*(12.73^2)+'LINEST VARS'!$J$66*(8*8)+'LINEST VARS'!$I$66*(8*$BY$104)+'LINEST VARS'!$H$66*(8*$BX123)+'LINEST VARS'!$G$66*(8*12.73)+'LINEST VARS'!$F$66*(8*$BY$104)+'LINEST VARS'!$E$66*(8*$BX123)+'LINEST VARS'!$D$66*(8*12.73)+'LINEST VARS'!$C$66*($BY$104*$BX123)+'LINEST VARS'!$B$66*($BY$104*12.73)+'LINEST VARS'!$A$66*($BX123*12.73)</f>
        <v>144.00000000000006</v>
      </c>
      <c r="BZ123" s="46">
        <f>'LINEST VARS'!$U$66+'LINEST VARS'!$T$66*(8)+'LINEST VARS'!$S$66*(8)+'LINEST VARS'!$R$66*($BZ$104)+'LINEST VARS'!$Q$66*($BX123)+'LINEST VARS'!$P$66*(12.73)+'LINEST VARS'!$O$66*(8^2)+'LINEST VARS'!$N$66*(8^2)+'LINEST VARS'!$M$66*($BZ$104^2)+'LINEST VARS'!$L$66*($BX123^2)+'LINEST VARS'!$K$66*(12.73^2)+'LINEST VARS'!$J$66*(8*8)+'LINEST VARS'!$I$66*(8*$BZ$104)+'LINEST VARS'!$H$66*(8*$BX123)+'LINEST VARS'!$G$66*(8*12.73)+'LINEST VARS'!$F$66*(8*$BZ$104)+'LINEST VARS'!$E$66*(8*$BX123)+'LINEST VARS'!$D$66*(8*12.73)+'LINEST VARS'!$C$66*($BZ$104*$BX123)+'LINEST VARS'!$B$66*($BZ$104*12.73)+'LINEST VARS'!$A$66*($BX123*12.73)</f>
        <v>143.20000000000007</v>
      </c>
      <c r="CA123" s="46">
        <f>'LINEST VARS'!$U$66+'LINEST VARS'!$T$66*(8)+'LINEST VARS'!$S$66*(8)+'LINEST VARS'!$R$66*($CA$104)+'LINEST VARS'!$Q$66*($BX123)+'LINEST VARS'!$P$66*(12.73)+'LINEST VARS'!$O$66*(8^2)+'LINEST VARS'!$N$66*(8^2)+'LINEST VARS'!$M$66*($CA$104^2)+'LINEST VARS'!$L$66*($BX123^2)+'LINEST VARS'!$K$66*(12.73^2)+'LINEST VARS'!$J$66*(8*8)+'LINEST VARS'!$I$66*(8*$CA$104)+'LINEST VARS'!$H$66*(8*$BX123)+'LINEST VARS'!$G$66*(8*12.73)+'LINEST VARS'!$F$66*(8*$CA$104)+'LINEST VARS'!$E$66*(8*$BX123)+'LINEST VARS'!$D$66*(8*12.73)+'LINEST VARS'!$C$66*($CA$104*$BX123)+'LINEST VARS'!$B$66*($CA$104*12.73)+'LINEST VARS'!$A$66*($BX123*12.73)</f>
        <v>142.40000000000006</v>
      </c>
      <c r="CB123" s="46">
        <f>'LINEST VARS'!$U$66+'LINEST VARS'!$T$66*(8)+'LINEST VARS'!$S$66*(8)+'LINEST VARS'!$R$66*($CB$104)+'LINEST VARS'!$Q$66*($BX123)+'LINEST VARS'!$P$66*(12.73)+'LINEST VARS'!$O$66*(8^2)+'LINEST VARS'!$N$66*(8^2)+'LINEST VARS'!$M$66*($CB$104^2)+'LINEST VARS'!$L$66*($BX123^2)+'LINEST VARS'!$K$66*(12.73^2)+'LINEST VARS'!$J$66*(8*8)+'LINEST VARS'!$I$66*(8*$CB$104)+'LINEST VARS'!$H$66*(8*$BX123)+'LINEST VARS'!$G$66*(8*12.73)+'LINEST VARS'!$F$66*(8*$CB$104)+'LINEST VARS'!$E$66*(8*$BX123)+'LINEST VARS'!$D$66*(8*12.73)+'LINEST VARS'!$C$66*($CB$104*$BX123)+'LINEST VARS'!$B$66*($CB$104*12.73)+'LINEST VARS'!$A$66*($BX123*12.73)</f>
        <v>141.60000000000008</v>
      </c>
      <c r="CC123" s="46">
        <f>'LINEST VARS'!$U$66+'LINEST VARS'!$T$66*(8)+'LINEST VARS'!$S$66*(8)+'LINEST VARS'!$R$66*($CC$104)+'LINEST VARS'!$Q$66*($BX123)+'LINEST VARS'!$P$66*(12.73)+'LINEST VARS'!$O$66*(8^2)+'LINEST VARS'!$N$66*(8^2)+'LINEST VARS'!$M$66*($CC$104^2)+'LINEST VARS'!$L$66*($BX123^2)+'LINEST VARS'!$K$66*(12.73^2)+'LINEST VARS'!$J$66*(8*8)+'LINEST VARS'!$I$66*(8*$CC$104)+'LINEST VARS'!$H$66*(8*$BX123)+'LINEST VARS'!$G$66*(8*12.73)+'LINEST VARS'!$F$66*(8*$CC$104)+'LINEST VARS'!$E$66*(8*$BX123)+'LINEST VARS'!$D$66*(8*12.73)+'LINEST VARS'!$C$66*($CC$104*$BX123)+'LINEST VARS'!$B$66*($CC$104*12.73)+'LINEST VARS'!$A$66*($BX123*12.73)</f>
        <v>140.80000000000007</v>
      </c>
      <c r="CD123" s="46">
        <f>'LINEST VARS'!$U$66+'LINEST VARS'!$T$66*(8)+'LINEST VARS'!$S$66*(8)+'LINEST VARS'!$R$66*($CD$104)+'LINEST VARS'!$Q$66*($BX123)+'LINEST VARS'!$P$66*(12.73)+'LINEST VARS'!$O$66*(8^2)+'LINEST VARS'!$N$66*(8^2)+'LINEST VARS'!$M$66*($CD$104^2)+'LINEST VARS'!$L$66*($BX123^2)+'LINEST VARS'!$K$66*(12.73^2)+'LINEST VARS'!$J$66*(8*8)+'LINEST VARS'!$I$66*(8*$CD$104)+'LINEST VARS'!$H$66*(8*$BX123)+'LINEST VARS'!$G$66*(8*12.73)+'LINEST VARS'!$F$66*(8*$CD$104)+'LINEST VARS'!$E$66*(8*$BX123)+'LINEST VARS'!$D$66*(8*12.73)+'LINEST VARS'!$C$66*($CD$104*$BX123)+'LINEST VARS'!$B$66*($CD$104*12.73)+'LINEST VARS'!$A$66*($BX123*12.73)</f>
        <v>140.00000000000009</v>
      </c>
      <c r="CE123" s="46">
        <f>'LINEST VARS'!$U$66+'LINEST VARS'!$T$66*(8)+'LINEST VARS'!$S$66*(8)+'LINEST VARS'!$R$66*($CE$104)+'LINEST VARS'!$Q$66*($BX123)+'LINEST VARS'!$P$66*(12.73)+'LINEST VARS'!$O$66*(8^2)+'LINEST VARS'!$N$66*(8^2)+'LINEST VARS'!$M$66*($CE$104^2)+'LINEST VARS'!$L$66*($BX123^2)+'LINEST VARS'!$K$66*(12.73^2)+'LINEST VARS'!$J$66*(8*8)+'LINEST VARS'!$I$66*(8*$CE$104)+'LINEST VARS'!$H$66*(8*$BX123)+'LINEST VARS'!$G$66*(8*12.73)+'LINEST VARS'!$F$66*(8*$CE$104)+'LINEST VARS'!$E$66*(8*$BX123)+'LINEST VARS'!$D$66*(8*12.73)+'LINEST VARS'!$C$66*($CE$104*$BX123)+'LINEST VARS'!$B$66*($CE$104*12.73)+'LINEST VARS'!$A$66*($BX123*12.73)</f>
        <v>139.20000000000007</v>
      </c>
      <c r="CF123" s="46">
        <f>'LINEST VARS'!$U$66+'LINEST VARS'!$T$66*(8)+'LINEST VARS'!$S$66*(8)+'LINEST VARS'!$R$66*($CF$104)+'LINEST VARS'!$Q$66*($BX123)+'LINEST VARS'!$P$66*(12.73)+'LINEST VARS'!$O$66*(8^2)+'LINEST VARS'!$N$66*(8^2)+'LINEST VARS'!$M$66*($CF$104^2)+'LINEST VARS'!$L$66*($BX123^2)+'LINEST VARS'!$K$66*(12.73^2)+'LINEST VARS'!$J$66*(8*8)+'LINEST VARS'!$I$66*(8*$CF$104)+'LINEST VARS'!$H$66*(8*$BX123)+'LINEST VARS'!$G$66*(8*12.73)+'LINEST VARS'!$F$66*(8*$CF$104)+'LINEST VARS'!$E$66*(8*$BX123)+'LINEST VARS'!$D$66*(8*12.73)+'LINEST VARS'!$C$66*($CF$104*$BX123)+'LINEST VARS'!$B$66*($CF$104*12.73)+'LINEST VARS'!$A$66*($BX123*12.73)</f>
        <v>138.40000000000009</v>
      </c>
      <c r="CG123" s="46">
        <f>'LINEST VARS'!$U$66+'LINEST VARS'!$T$66*(8)+'LINEST VARS'!$S$66*(8)+'LINEST VARS'!$R$66*($CG$104)+'LINEST VARS'!$Q$66*($BX123)+'LINEST VARS'!$P$66*(12.73)+'LINEST VARS'!$O$66*(8^2)+'LINEST VARS'!$N$66*(8^2)+'LINEST VARS'!$M$66*($CG$104^2)+'LINEST VARS'!$L$66*($BX123^2)+'LINEST VARS'!$K$66*(12.73^2)+'LINEST VARS'!$J$66*(8*8)+'LINEST VARS'!$I$66*(8*$CG$104)+'LINEST VARS'!$H$66*(8*$BX123)+'LINEST VARS'!$G$66*(8*12.73)+'LINEST VARS'!$F$66*(8*$CG$104)+'LINEST VARS'!$E$66*(8*$BX123)+'LINEST VARS'!$D$66*(8*12.73)+'LINEST VARS'!$C$66*($CG$104*$BX123)+'LINEST VARS'!$B$66*($CG$104*12.73)+'LINEST VARS'!$A$66*($BX123*12.73)</f>
        <v>137.60000000000008</v>
      </c>
      <c r="CH123" s="46">
        <f>'LINEST VARS'!$U$66+'LINEST VARS'!$T$66*(8)+'LINEST VARS'!$S$66*(8)+'LINEST VARS'!$R$66*($CH$104)+'LINEST VARS'!$Q$66*($BX123)+'LINEST VARS'!$P$66*(12.73)+'LINEST VARS'!$O$66*(8^2)+'LINEST VARS'!$N$66*(8^2)+'LINEST VARS'!$M$66*($CH$104^2)+'LINEST VARS'!$L$66*($BX123^2)+'LINEST VARS'!$K$66*(12.73^2)+'LINEST VARS'!$J$66*(8*8)+'LINEST VARS'!$I$66*(8*$CH$104)+'LINEST VARS'!$H$66*(8*$BX123)+'LINEST VARS'!$G$66*(8*12.73)+'LINEST VARS'!$F$66*(8*$CH$104)+'LINEST VARS'!$E$66*(8*$BX123)+'LINEST VARS'!$D$66*(8*12.73)+'LINEST VARS'!$C$66*($CH$104*$BX123)+'LINEST VARS'!$B$66*($CH$104*12.73)+'LINEST VARS'!$A$66*($BX123*12.73)</f>
        <v>136.80000000000007</v>
      </c>
      <c r="CI123" s="46">
        <f>'LINEST VARS'!$U$66+'LINEST VARS'!$T$66*(8)+'LINEST VARS'!$S$66*(8)+'LINEST VARS'!$R$66*($CI$104)+'LINEST VARS'!$Q$66*($BX123)+'LINEST VARS'!$P$66*(12.73)+'LINEST VARS'!$O$66*(8^2)+'LINEST VARS'!$N$66*(8^2)+'LINEST VARS'!$M$66*($CI$104^2)+'LINEST VARS'!$L$66*($BX123^2)+'LINEST VARS'!$K$66*(12.73^2)+'LINEST VARS'!$J$66*(8*8)+'LINEST VARS'!$I$66*(8*$CI$104)+'LINEST VARS'!$H$66*(8*$BX123)+'LINEST VARS'!$G$66*(8*12.73)+'LINEST VARS'!$F$66*(8*$CI$104)+'LINEST VARS'!$E$66*(8*$BX123)+'LINEST VARS'!$D$66*(8*12.73)+'LINEST VARS'!$C$66*($CI$104*$BX123)+'LINEST VARS'!$B$66*($CI$104*12.73)+'LINEST VARS'!$A$66*($BX123*12.73)</f>
        <v>136.00000000000006</v>
      </c>
      <c r="CJ123" s="46">
        <f>'LINEST VARS'!$U$66+'LINEST VARS'!$T$66*(8)+'LINEST VARS'!$S$66*(8)+'LINEST VARS'!$R$66*($CJ$104)+'LINEST VARS'!$Q$66*($BX123)+'LINEST VARS'!$P$66*(12.73)+'LINEST VARS'!$O$66*(8^2)+'LINEST VARS'!$N$66*(8^2)+'LINEST VARS'!$M$66*($CJ$104^2)+'LINEST VARS'!$L$66*($BX123^2)+'LINEST VARS'!$K$66*(12.73^2)+'LINEST VARS'!$J$66*(8*8)+'LINEST VARS'!$I$66*(8*$CJ$104)+'LINEST VARS'!$H$66*(8*$BX123)+'LINEST VARS'!$G$66*(8*12.73)+'LINEST VARS'!$F$66*(8*$CJ$104)+'LINEST VARS'!$E$66*(8*$BX123)+'LINEST VARS'!$D$66*(8*12.73)+'LINEST VARS'!$C$66*($CJ$104*$BX123)+'LINEST VARS'!$B$66*($CJ$104*12.73)+'LINEST VARS'!$A$66*($BX123*12.73)</f>
        <v>135.20000000000005</v>
      </c>
      <c r="CK123" s="46">
        <f>'LINEST VARS'!$U$66+'LINEST VARS'!$T$66*(8)+'LINEST VARS'!$S$66*(8)+'LINEST VARS'!$R$66*($CK$104)+'LINEST VARS'!$Q$66*($BX123)+'LINEST VARS'!$P$66*(12.73)+'LINEST VARS'!$O$66*(8^2)+'LINEST VARS'!$N$66*(8^2)+'LINEST VARS'!$M$66*($CK$104^2)+'LINEST VARS'!$L$66*($BX123^2)+'LINEST VARS'!$K$66*(12.73^2)+'LINEST VARS'!$J$66*(8*8)+'LINEST VARS'!$I$66*(8*$CK$104)+'LINEST VARS'!$H$66*(8*$BX123)+'LINEST VARS'!$G$66*(8*12.73)+'LINEST VARS'!$F$66*(8*$CK$104)+'LINEST VARS'!$E$66*(8*$BX123)+'LINEST VARS'!$D$66*(8*12.73)+'LINEST VARS'!$C$66*($CK$104*$BX123)+'LINEST VARS'!$B$66*($CK$104*12.73)+'LINEST VARS'!$A$66*($BX123*12.73)</f>
        <v>134.40000000000003</v>
      </c>
      <c r="CL123" s="46">
        <f>'LINEST VARS'!$U$66+'LINEST VARS'!$T$66*(8)+'LINEST VARS'!$S$66*(8)+'LINEST VARS'!$R$66*($CL$104)+'LINEST VARS'!$Q$66*($BX123)+'LINEST VARS'!$P$66*(12.73)+'LINEST VARS'!$O$66*(8^2)+'LINEST VARS'!$N$66*(8^2)+'LINEST VARS'!$M$66*($CL$104^2)+'LINEST VARS'!$L$66*($BX123^2)+'LINEST VARS'!$K$66*(12.73^2)+'LINEST VARS'!$J$66*(8*8)+'LINEST VARS'!$I$66*(8*$CL$104)+'LINEST VARS'!$H$66*(8*$BX123)+'LINEST VARS'!$G$66*(8*12.73)+'LINEST VARS'!$F$66*(8*$CL$104)+'LINEST VARS'!$E$66*(8*$BX123)+'LINEST VARS'!$D$66*(8*12.73)+'LINEST VARS'!$C$66*($CL$104*$BX123)+'LINEST VARS'!$B$66*($CL$104*12.73)+'LINEST VARS'!$A$66*($BX123*12.73)</f>
        <v>133.60000000000005</v>
      </c>
      <c r="CM123" s="46">
        <f>'LINEST VARS'!$U$66+'LINEST VARS'!$T$66*(8)+'LINEST VARS'!$S$66*(8)+'LINEST VARS'!$R$66*($CM$104)+'LINEST VARS'!$Q$66*($BX123)+'LINEST VARS'!$P$66*(12.73)+'LINEST VARS'!$O$66*(8^2)+'LINEST VARS'!$N$66*(8^2)+'LINEST VARS'!$M$66*($CM$104^2)+'LINEST VARS'!$L$66*($BX123^2)+'LINEST VARS'!$K$66*(12.73^2)+'LINEST VARS'!$J$66*(8*8)+'LINEST VARS'!$I$66*(8*$CM$104)+'LINEST VARS'!$H$66*(8*$BX123)+'LINEST VARS'!$G$66*(8*12.73)+'LINEST VARS'!$F$66*(8*$CM$104)+'LINEST VARS'!$E$66*(8*$BX123)+'LINEST VARS'!$D$66*(8*12.73)+'LINEST VARS'!$C$66*($CM$104*$BX123)+'LINEST VARS'!$B$66*($CM$104*12.73)+'LINEST VARS'!$A$66*($BX123*12.73)</f>
        <v>132.80000000000004</v>
      </c>
      <c r="CN123" s="46">
        <f>'LINEST VARS'!$U$66+'LINEST VARS'!$T$66*(8)+'LINEST VARS'!$S$66*(8)+'LINEST VARS'!$R$66*($CN$104)+'LINEST VARS'!$Q$66*($BX123)+'LINEST VARS'!$P$66*(12.73)+'LINEST VARS'!$O$66*(8^2)+'LINEST VARS'!$N$66*(8^2)+'LINEST VARS'!$M$66*($CN$104^2)+'LINEST VARS'!$L$66*($BX123^2)+'LINEST VARS'!$K$66*(12.73^2)+'LINEST VARS'!$J$66*(8*8)+'LINEST VARS'!$I$66*(8*$CN$104)+'LINEST VARS'!$H$66*(8*$BX123)+'LINEST VARS'!$G$66*(8*12.73)+'LINEST VARS'!$F$66*(8*$CN$104)+'LINEST VARS'!$E$66*(8*$BX123)+'LINEST VARS'!$D$66*(8*12.73)+'LINEST VARS'!$C$66*($CN$104*$BX123)+'LINEST VARS'!$B$66*($CN$104*12.73)+'LINEST VARS'!$A$66*($BX123*12.73)</f>
        <v>132.00000000000006</v>
      </c>
      <c r="CO123" s="46">
        <f>'LINEST VARS'!$U$66+'LINEST VARS'!$T$66*(8)+'LINEST VARS'!$S$66*(8)+'LINEST VARS'!$R$66*($CO$104)+'LINEST VARS'!$Q$66*($BX123)+'LINEST VARS'!$P$66*(12.73)+'LINEST VARS'!$O$66*(8^2)+'LINEST VARS'!$N$66*(8^2)+'LINEST VARS'!$M$66*($CO$104^2)+'LINEST VARS'!$L$66*($BX123^2)+'LINEST VARS'!$K$66*(12.73^2)+'LINEST VARS'!$J$66*(8*8)+'LINEST VARS'!$I$66*(8*$CO$104)+'LINEST VARS'!$H$66*(8*$BX123)+'LINEST VARS'!$G$66*(8*12.73)+'LINEST VARS'!$F$66*(8*$CO$104)+'LINEST VARS'!$E$66*(8*$BX123)+'LINEST VARS'!$D$66*(8*12.73)+'LINEST VARS'!$C$66*($CO$104*$BX123)+'LINEST VARS'!$B$66*($CO$104*12.73)+'LINEST VARS'!$A$66*($BX123*12.73)</f>
        <v>131.20000000000005</v>
      </c>
      <c r="CP123" s="46">
        <f>'LINEST VARS'!$U$66+'LINEST VARS'!$T$66*(8)+'LINEST VARS'!$S$66*(8)+'LINEST VARS'!$R$66*($CP$104)+'LINEST VARS'!$Q$66*($BX123)+'LINEST VARS'!$P$66*(12.73)+'LINEST VARS'!$O$66*(8^2)+'LINEST VARS'!$N$66*(8^2)+'LINEST VARS'!$M$66*($CP$104^2)+'LINEST VARS'!$L$66*($BX123^2)+'LINEST VARS'!$K$66*(12.73^2)+'LINEST VARS'!$J$66*(8*8)+'LINEST VARS'!$I$66*(8*$CP$104)+'LINEST VARS'!$H$66*(8*$BX123)+'LINEST VARS'!$G$66*(8*12.73)+'LINEST VARS'!$F$66*(8*$CP$104)+'LINEST VARS'!$E$66*(8*$BX123)+'LINEST VARS'!$D$66*(8*12.73)+'LINEST VARS'!$C$66*($CP$104*$BX123)+'LINEST VARS'!$B$66*($CP$104*12.73)+'LINEST VARS'!$A$66*($BX123*12.73)</f>
        <v>130.40000000000009</v>
      </c>
      <c r="CQ123" s="46">
        <f>'LINEST VARS'!$U$66+'LINEST VARS'!$T$66*(8)+'LINEST VARS'!$S$66*(8)+'LINEST VARS'!$R$66*($CQ$104)+'LINEST VARS'!$Q$66*($BX123)+'LINEST VARS'!$P$66*(12.73)+'LINEST VARS'!$O$66*(8^2)+'LINEST VARS'!$N$66*(8^2)+'LINEST VARS'!$M$66*($CQ$104^2)+'LINEST VARS'!$L$66*($BX123^2)+'LINEST VARS'!$K$66*(12.73^2)+'LINEST VARS'!$J$66*(8*8)+'LINEST VARS'!$I$66*(8*$CQ$104)+'LINEST VARS'!$H$66*(8*$BX123)+'LINEST VARS'!$G$66*(8*12.73)+'LINEST VARS'!$F$66*(8*$CQ$104)+'LINEST VARS'!$E$66*(8*$BX123)+'LINEST VARS'!$D$66*(8*12.73)+'LINEST VARS'!$C$66*($CQ$104*$BX123)+'LINEST VARS'!$B$66*($CQ$104*12.73)+'LINEST VARS'!$A$66*($BX123*12.73)</f>
        <v>129.60000000000008</v>
      </c>
      <c r="CR123" s="46">
        <f>'LINEST VARS'!$U$66+'LINEST VARS'!$T$66*(8)+'LINEST VARS'!$S$66*(8)+'LINEST VARS'!$R$66*($CR$104)+'LINEST VARS'!$Q$66*($BX123)+'LINEST VARS'!$P$66*(12.73)+'LINEST VARS'!$O$66*(8^2)+'LINEST VARS'!$N$66*(8^2)+'LINEST VARS'!$M$66*($CR$104^2)+'LINEST VARS'!$L$66*($BX123^2)+'LINEST VARS'!$K$66*(12.73^2)+'LINEST VARS'!$J$66*(8*8)+'LINEST VARS'!$I$66*(8*$CR$104)+'LINEST VARS'!$H$66*(8*$BX123)+'LINEST VARS'!$G$66*(8*12.73)+'LINEST VARS'!$F$66*(8*$CR$104)+'LINEST VARS'!$E$66*(8*$BX123)+'LINEST VARS'!$D$66*(8*12.73)+'LINEST VARS'!$C$66*($CR$104*$BX123)+'LINEST VARS'!$B$66*($CR$104*12.73)+'LINEST VARS'!$A$66*($BX123*12.73)</f>
        <v>128.8000000000001</v>
      </c>
      <c r="CS123" s="47">
        <f>'LINEST VARS'!$U$66+'LINEST VARS'!$T$66*(8)+'LINEST VARS'!$S$66*(8)+'LINEST VARS'!$R$66*($CS$104)+'LINEST VARS'!$Q$66*($BX123)+'LINEST VARS'!$P$66*(12.73)+'LINEST VARS'!$O$66*(8^2)+'LINEST VARS'!$N$66*(8^2)+'LINEST VARS'!$M$66*($CS$104^2)+'LINEST VARS'!$L$66*($BX123^2)+'LINEST VARS'!$K$66*(12.73^2)+'LINEST VARS'!$J$66*(8*8)+'LINEST VARS'!$I$66*(8*$CS$104)+'LINEST VARS'!$H$66*(8*$BX123)+'LINEST VARS'!$G$66*(8*12.73)+'LINEST VARS'!$F$66*(8*$CS$104)+'LINEST VARS'!$E$66*(8*$BX123)+'LINEST VARS'!$D$66*(8*12.73)+'LINEST VARS'!$C$66*($CS$104*$BX123)+'LINEST VARS'!$B$66*($CS$104*12.73)+'LINEST VARS'!$A$66*($BX123*12.73)</f>
        <v>128.00000000000006</v>
      </c>
      <c r="CX123" s="45">
        <v>23.390999999999998</v>
      </c>
      <c r="CY123" s="55">
        <f>'LINEST VARS'!$U$64+'LINEST VARS'!$T$64*(8)+'LINEST VARS'!$S$64*(8)+'LINEST VARS'!$R$64*($CY$104)+'LINEST VARS'!$Q$64*(0.5)+'LINEST VARS'!$P$64*($CX123)+'LINEST VARS'!$O$64*(8^2)+'LINEST VARS'!$N$64*(8^2)+'LINEST VARS'!$M$64*($CY$104^2)+'LINEST VARS'!$L$64*(0.5^2)+'LINEST VARS'!$K$64*($CX123^2)+'LINEST VARS'!$J$64*(8*8)+'LINEST VARS'!$I$64*(8*$CY$104)+'LINEST VARS'!$H$64*(8*0.5)+'LINEST VARS'!$G$64*(8*$CX123)+'LINEST VARS'!$F$64*(8*$CY$104)+'LINEST VARS'!$E$64*(8*0.5)+'LINEST VARS'!$D$64*(8*$CX123)+'LINEST VARS'!$C$64*($CY$104*0.5)+'LINEST VARS'!$B$64*($CY$104*$CX123)+'LINEST VARS'!$A$64*(0.5*$CX123)</f>
        <v>180.17299999999983</v>
      </c>
      <c r="CZ123" s="55">
        <f>'LINEST VARS'!$U$64+'LINEST VARS'!$T$64*(8)+'LINEST VARS'!$S$64*(8)+'LINEST VARS'!$R$64*($CZ$104)+'LINEST VARS'!$Q$64*(0.5)+'LINEST VARS'!$P$64*($CX123)+'LINEST VARS'!$O$64*(8^2)+'LINEST VARS'!$N$64*(8^2)+'LINEST VARS'!$M$64*($CZ$104^2)+'LINEST VARS'!$L$64*(0.5^2)+'LINEST VARS'!$K$64*($CX123^2)+'LINEST VARS'!$J$64*(8*8)+'LINEST VARS'!$I$64*(8*$CZ$104)+'LINEST VARS'!$H$64*(8*0.5)+'LINEST VARS'!$G$64*(8*$CX123)+'LINEST VARS'!$F$64*(8*$CZ$104)+'LINEST VARS'!$E$64*(8*0.5)+'LINEST VARS'!$D$64*(8*$CX123)+'LINEST VARS'!$C$64*($CZ$104*0.5)+'LINEST VARS'!$B$64*($CZ$104*$CX123)+'LINEST VARS'!$A$64*(0.5*$CX123)</f>
        <v>181.77299999999985</v>
      </c>
      <c r="DA123" s="55">
        <f>'LINEST VARS'!$U$64+'LINEST VARS'!$T$64*(8)+'LINEST VARS'!$S$64*(8)+'LINEST VARS'!$R$64*($DA$104)+'LINEST VARS'!$Q$64*(0.5)+'LINEST VARS'!$P$64*($CX123)+'LINEST VARS'!$O$64*(8^2)+'LINEST VARS'!$N$64*(8^2)+'LINEST VARS'!$M$64*($DA$104^2)+'LINEST VARS'!$L$64*(0.5^2)+'LINEST VARS'!$K$64*($CX123^2)+'LINEST VARS'!$J$64*(8*8)+'LINEST VARS'!$I$64*(8*$DA$104)+'LINEST VARS'!$H$64*(8*0.5)+'LINEST VARS'!$G$64*(8*$CX123)+'LINEST VARS'!$F$64*(8*$DA$104)+'LINEST VARS'!$E$64*(8*0.5)+'LINEST VARS'!$D$64*(8*$CX123)+'LINEST VARS'!$C$64*($DA$104*0.5)+'LINEST VARS'!$B$64*($DA$104*$CX123)+'LINEST VARS'!$A$64*(0.5*$CX123)</f>
        <v>183.37299999999985</v>
      </c>
      <c r="DB123" s="55">
        <f>'LINEST VARS'!$U$64+'LINEST VARS'!$T$64*(8)+'LINEST VARS'!$S$64*(8)+'LINEST VARS'!$R$64*($DB$104)+'LINEST VARS'!$Q$64*(0.5)+'LINEST VARS'!$P$64*($CX123)+'LINEST VARS'!$O$64*(8^2)+'LINEST VARS'!$N$64*(8^2)+'LINEST VARS'!$M$64*($DB$104^2)+'LINEST VARS'!$L$64*(0.5^2)+'LINEST VARS'!$K$64*($CX123^2)+'LINEST VARS'!$J$64*(8*8)+'LINEST VARS'!$I$64*(8*$DB$104)+'LINEST VARS'!$H$64*(8*0.5)+'LINEST VARS'!$G$64*(8*$CX123)+'LINEST VARS'!$F$64*(8*$DB$104)+'LINEST VARS'!$E$64*(8*0.5)+'LINEST VARS'!$D$64*(8*$CX123)+'LINEST VARS'!$C$64*($DB$104*0.5)+'LINEST VARS'!$B$64*($DB$104*$CX123)+'LINEST VARS'!$A$64*(0.5*$CX123)</f>
        <v>184.97299999999984</v>
      </c>
      <c r="DC123" s="55">
        <f>'LINEST VARS'!$U$64+'LINEST VARS'!$T$64*(8)+'LINEST VARS'!$S$64*(8)+'LINEST VARS'!$R$64*($DC$104)+'LINEST VARS'!$Q$64*(0.5)+'LINEST VARS'!$P$64*($CX123)+'LINEST VARS'!$O$64*(8^2)+'LINEST VARS'!$N$64*(8^2)+'LINEST VARS'!$M$64*($DC$104^2)+'LINEST VARS'!$L$64*(0.5^2)+'LINEST VARS'!$K$64*($CX123^2)+'LINEST VARS'!$J$64*(8*8)+'LINEST VARS'!$I$64*(8*$DC$104)+'LINEST VARS'!$H$64*(8*0.5)+'LINEST VARS'!$G$64*(8*$CX123)+'LINEST VARS'!$F$64*(8*$DC$104)+'LINEST VARS'!$E$64*(8*0.5)+'LINEST VARS'!$D$64*(8*$CX123)+'LINEST VARS'!$C$64*($DC$104*0.5)+'LINEST VARS'!$B$64*($DC$104*$CX123)+'LINEST VARS'!$A$64*(0.5*$CX123)</f>
        <v>186.57299999999987</v>
      </c>
      <c r="DD123" s="55">
        <f>'LINEST VARS'!$U$64+'LINEST VARS'!$T$64*(8)+'LINEST VARS'!$S$64*(8)+'LINEST VARS'!$R$64*($DD$104)+'LINEST VARS'!$Q$64*(0.5)+'LINEST VARS'!$P$64*($CX123)+'LINEST VARS'!$O$64*(8^2)+'LINEST VARS'!$N$64*(8^2)+'LINEST VARS'!$M$64*($DD$104^2)+'LINEST VARS'!$L$64*(0.5^2)+'LINEST VARS'!$K$64*($CX123^2)+'LINEST VARS'!$J$64*(8*8)+'LINEST VARS'!$I$64*(8*$DD$104)+'LINEST VARS'!$H$64*(8*0.5)+'LINEST VARS'!$G$64*(8*$CX123)+'LINEST VARS'!$F$64*(8*$DD$104)+'LINEST VARS'!$E$64*(8*0.5)+'LINEST VARS'!$D$64*(8*$CX123)+'LINEST VARS'!$C$64*($DD$104*0.5)+'LINEST VARS'!$B$64*($DD$104*$CX123)+'LINEST VARS'!$A$64*(0.5*$CX123)</f>
        <v>188.17299999999983</v>
      </c>
      <c r="DE123" s="55">
        <f>'LINEST VARS'!$U$64+'LINEST VARS'!$T$64*(8)+'LINEST VARS'!$S$64*(8)+'LINEST VARS'!$R$64*($DE$104)+'LINEST VARS'!$Q$64*(0.5)+'LINEST VARS'!$P$64*($CX123)+'LINEST VARS'!$O$64*(8^2)+'LINEST VARS'!$N$64*(8^2)+'LINEST VARS'!$M$64*($DE$104^2)+'LINEST VARS'!$L$64*(0.5^2)+'LINEST VARS'!$K$64*($CX123^2)+'LINEST VARS'!$J$64*(8*8)+'LINEST VARS'!$I$64*(8*$DE$104)+'LINEST VARS'!$H$64*(8*0.5)+'LINEST VARS'!$G$64*(8*$CX123)+'LINEST VARS'!$F$64*(8*$DE$104)+'LINEST VARS'!$E$64*(8*0.5)+'LINEST VARS'!$D$64*(8*$CX123)+'LINEST VARS'!$C$64*($DE$104*0.5)+'LINEST VARS'!$B$64*($DE$104*$CX123)+'LINEST VARS'!$A$64*(0.5*$CX123)</f>
        <v>189.77299999999985</v>
      </c>
      <c r="DF123" s="55">
        <f>'LINEST VARS'!$U$64+'LINEST VARS'!$T$64*(8)+'LINEST VARS'!$S$64*(8)+'LINEST VARS'!$R$64*($DF$104)+'LINEST VARS'!$Q$64*(0.5)+'LINEST VARS'!$P$64*($CX123)+'LINEST VARS'!$O$64*(8^2)+'LINEST VARS'!$N$64*(8^2)+'LINEST VARS'!$M$64*($DF$104^2)+'LINEST VARS'!$L$64*(0.5^2)+'LINEST VARS'!$K$64*($CX123^2)+'LINEST VARS'!$J$64*(8*8)+'LINEST VARS'!$I$64*(8*$DF$104)+'LINEST VARS'!$H$64*(8*0.5)+'LINEST VARS'!$G$64*(8*$CX123)+'LINEST VARS'!$F$64*(8*$DF$104)+'LINEST VARS'!$E$64*(8*0.5)+'LINEST VARS'!$D$64*(8*$CX123)+'LINEST VARS'!$C$64*($DF$104*0.5)+'LINEST VARS'!$B$64*($DF$104*$CX123)+'LINEST VARS'!$A$64*(0.5*$CX123)</f>
        <v>191.37299999999985</v>
      </c>
      <c r="DG123" s="55">
        <f>'LINEST VARS'!$U$64+'LINEST VARS'!$T$64*(8)+'LINEST VARS'!$S$64*(8)+'LINEST VARS'!$R$64*($DG$104)+'LINEST VARS'!$Q$64*(0.5)+'LINEST VARS'!$P$64*($CX123)+'LINEST VARS'!$O$64*(8^2)+'LINEST VARS'!$N$64*(8^2)+'LINEST VARS'!$M$64*($DG$104^2)+'LINEST VARS'!$L$64*(0.5^2)+'LINEST VARS'!$K$64*($CX123^2)+'LINEST VARS'!$J$64*(8*8)+'LINEST VARS'!$I$64*(8*$DG$104)+'LINEST VARS'!$H$64*(8*0.5)+'LINEST VARS'!$G$64*(8*$CX123)+'LINEST VARS'!$F$64*(8*$DG$104)+'LINEST VARS'!$E$64*(8*0.5)+'LINEST VARS'!$D$64*(8*$CX123)+'LINEST VARS'!$C$64*($DG$104*0.5)+'LINEST VARS'!$B$64*($DG$104*$CX123)+'LINEST VARS'!$A$64*(0.5*$CX123)</f>
        <v>192.97299999999984</v>
      </c>
      <c r="DH123" s="55">
        <f>'LINEST VARS'!$U$64+'LINEST VARS'!$T$64*(8)+'LINEST VARS'!$S$64*(8)+'LINEST VARS'!$R$64*($DH$104)+'LINEST VARS'!$Q$64*(0.5)+'LINEST VARS'!$P$64*($CX123)+'LINEST VARS'!$O$64*(8^2)+'LINEST VARS'!$N$64*(8^2)+'LINEST VARS'!$M$64*($DH$104^2)+'LINEST VARS'!$L$64*(0.5^2)+'LINEST VARS'!$K$64*($CX123^2)+'LINEST VARS'!$J$64*(8*8)+'LINEST VARS'!$I$64*(8*$DH$104)+'LINEST VARS'!$H$64*(8*0.5)+'LINEST VARS'!$G$64*(8*$CX123)+'LINEST VARS'!$F$64*(8*$DH$104)+'LINEST VARS'!$E$64*(8*0.5)+'LINEST VARS'!$D$64*(8*$CX123)+'LINEST VARS'!$C$64*($DH$104*0.5)+'LINEST VARS'!$B$64*($DH$104*$CX123)+'LINEST VARS'!$A$64*(0.5*$CX123)</f>
        <v>194.57299999999987</v>
      </c>
      <c r="DI123" s="55">
        <f>'LINEST VARS'!$U$64+'LINEST VARS'!$T$64*(8)+'LINEST VARS'!$S$64*(8)+'LINEST VARS'!$R$64*($DI$104)+'LINEST VARS'!$Q$64*(0.5)+'LINEST VARS'!$P$64*($CX123)+'LINEST VARS'!$O$64*(8^2)+'LINEST VARS'!$N$64*(8^2)+'LINEST VARS'!$M$64*($DI$104^2)+'LINEST VARS'!$L$64*(0.5^2)+'LINEST VARS'!$K$64*($CX123^2)+'LINEST VARS'!$J$64*(8*8)+'LINEST VARS'!$I$64*(8*$DI$104)+'LINEST VARS'!$H$64*(8*0.5)+'LINEST VARS'!$G$64*(8*$CX123)+'LINEST VARS'!$F$64*(8*$DI$104)+'LINEST VARS'!$E$64*(8*0.5)+'LINEST VARS'!$D$64*(8*$CX123)+'LINEST VARS'!$C$64*($DI$104*0.5)+'LINEST VARS'!$B$64*($DI$104*$CX123)+'LINEST VARS'!$A$64*(0.5*$CX123)</f>
        <v>196.17299999999983</v>
      </c>
      <c r="DJ123" s="55">
        <f>'LINEST VARS'!$U$64+'LINEST VARS'!$T$64*(8)+'LINEST VARS'!$S$64*(8)+'LINEST VARS'!$R$64*($DJ$104)+'LINEST VARS'!$Q$64*(0.5)+'LINEST VARS'!$P$64*($CX123)+'LINEST VARS'!$O$64*(8^2)+'LINEST VARS'!$N$64*(8^2)+'LINEST VARS'!$M$64*($DJ$104^2)+'LINEST VARS'!$L$64*(0.5^2)+'LINEST VARS'!$K$64*($CX123^2)+'LINEST VARS'!$J$64*(8*8)+'LINEST VARS'!$I$64*(8*$DJ$104)+'LINEST VARS'!$H$64*(8*0.5)+'LINEST VARS'!$G$64*(8*$CX123)+'LINEST VARS'!$F$64*(8*$DJ$104)+'LINEST VARS'!$E$64*(8*0.5)+'LINEST VARS'!$D$64*(8*$CX123)+'LINEST VARS'!$C$64*($DJ$104*0.5)+'LINEST VARS'!$B$64*($DJ$104*$CX123)+'LINEST VARS'!$A$64*(0.5*$CX123)</f>
        <v>197.77299999999985</v>
      </c>
      <c r="DK123" s="55">
        <f>'LINEST VARS'!$U$64+'LINEST VARS'!$T$64*(8)+'LINEST VARS'!$S$64*(8)+'LINEST VARS'!$R$64*($DK$104)+'LINEST VARS'!$Q$64*(0.5)+'LINEST VARS'!$P$64*($CX123)+'LINEST VARS'!$O$64*(8^2)+'LINEST VARS'!$N$64*(8^2)+'LINEST VARS'!$M$64*($DK$104^2)+'LINEST VARS'!$L$64*(0.5^2)+'LINEST VARS'!$K$64*($CX123^2)+'LINEST VARS'!$J$64*(8*8)+'LINEST VARS'!$I$64*(8*$DK$104)+'LINEST VARS'!$H$64*(8*0.5)+'LINEST VARS'!$G$64*(8*$CX123)+'LINEST VARS'!$F$64*(8*$DK$104)+'LINEST VARS'!$E$64*(8*0.5)+'LINEST VARS'!$D$64*(8*$CX123)+'LINEST VARS'!$C$64*($DK$104*0.5)+'LINEST VARS'!$B$64*($DK$104*$CX123)+'LINEST VARS'!$A$64*(0.5*$CX123)</f>
        <v>199.37299999999982</v>
      </c>
      <c r="DL123" s="55">
        <f>'LINEST VARS'!$U$64+'LINEST VARS'!$T$64*(8)+'LINEST VARS'!$S$64*(8)+'LINEST VARS'!$R$64*($DL$104)+'LINEST VARS'!$Q$64*(0.5)+'LINEST VARS'!$P$64*($CX123)+'LINEST VARS'!$O$64*(8^2)+'LINEST VARS'!$N$64*(8^2)+'LINEST VARS'!$M$64*($DL$104^2)+'LINEST VARS'!$L$64*(0.5^2)+'LINEST VARS'!$K$64*($CX123^2)+'LINEST VARS'!$J$64*(8*8)+'LINEST VARS'!$I$64*(8*$DL$104)+'LINEST VARS'!$H$64*(8*0.5)+'LINEST VARS'!$G$64*(8*$CX123)+'LINEST VARS'!$F$64*(8*$DL$104)+'LINEST VARS'!$E$64*(8*0.5)+'LINEST VARS'!$D$64*(8*$CX123)+'LINEST VARS'!$C$64*($DL$104*0.5)+'LINEST VARS'!$B$64*($DL$104*$CX123)+'LINEST VARS'!$A$64*(0.5*$CX123)</f>
        <v>200.97299999999984</v>
      </c>
      <c r="DM123" s="55">
        <f>'LINEST VARS'!$U$64+'LINEST VARS'!$T$64*(8)+'LINEST VARS'!$S$64*(8)+'LINEST VARS'!$R$64*($DM$104)+'LINEST VARS'!$Q$64*(0.5)+'LINEST VARS'!$P$64*($CX123)+'LINEST VARS'!$O$64*(8^2)+'LINEST VARS'!$N$64*(8^2)+'LINEST VARS'!$M$64*($DM$104^2)+'LINEST VARS'!$L$64*(0.5^2)+'LINEST VARS'!$K$64*($CX123^2)+'LINEST VARS'!$J$64*(8*8)+'LINEST VARS'!$I$64*(8*$DM$104)+'LINEST VARS'!$H$64*(8*0.5)+'LINEST VARS'!$G$64*(8*$CX123)+'LINEST VARS'!$F$64*(8*$DM$104)+'LINEST VARS'!$E$64*(8*0.5)+'LINEST VARS'!$D$64*(8*$CX123)+'LINEST VARS'!$C$64*($DM$104*0.5)+'LINEST VARS'!$B$64*($DM$104*$CX123)+'LINEST VARS'!$A$64*(0.5*$CX123)</f>
        <v>202.57299999999981</v>
      </c>
      <c r="DN123" s="55">
        <f>'LINEST VARS'!$U$64+'LINEST VARS'!$T$64*(8)+'LINEST VARS'!$S$64*(8)+'LINEST VARS'!$R$64*($DN$104)+'LINEST VARS'!$Q$64*(0.5)+'LINEST VARS'!$P$64*($CX123)+'LINEST VARS'!$O$64*(8^2)+'LINEST VARS'!$N$64*(8^2)+'LINEST VARS'!$M$64*($DN$104^2)+'LINEST VARS'!$L$64*(0.5^2)+'LINEST VARS'!$K$64*($CX123^2)+'LINEST VARS'!$J$64*(8*8)+'LINEST VARS'!$I$64*(8*$DN$104)+'LINEST VARS'!$H$64*(8*0.5)+'LINEST VARS'!$G$64*(8*$CX123)+'LINEST VARS'!$F$64*(8*$DN$104)+'LINEST VARS'!$E$64*(8*0.5)+'LINEST VARS'!$D$64*(8*$CX123)+'LINEST VARS'!$C$64*($DN$104*0.5)+'LINEST VARS'!$B$64*($DN$104*$CX123)+'LINEST VARS'!$A$64*(0.5*$CX123)</f>
        <v>204.1729999999998</v>
      </c>
      <c r="DO123" s="55">
        <f>'LINEST VARS'!$U$64+'LINEST VARS'!$T$64*(8)+'LINEST VARS'!$S$64*(8)+'LINEST VARS'!$R$64*($DO$104)+'LINEST VARS'!$Q$64*(0.5)+'LINEST VARS'!$P$64*($CX123)+'LINEST VARS'!$O$64*(8^2)+'LINEST VARS'!$N$64*(8^2)+'LINEST VARS'!$M$64*($DO$104^2)+'LINEST VARS'!$L$64*(0.5^2)+'LINEST VARS'!$K$64*($CX123^2)+'LINEST VARS'!$J$64*(8*8)+'LINEST VARS'!$I$64*(8*$DO$104)+'LINEST VARS'!$H$64*(8*0.5)+'LINEST VARS'!$G$64*(8*$CX123)+'LINEST VARS'!$F$64*(8*$DO$104)+'LINEST VARS'!$E$64*(8*0.5)+'LINEST VARS'!$D$64*(8*$CX123)+'LINEST VARS'!$C$64*($DO$104*0.5)+'LINEST VARS'!$B$64*($DO$104*$CX123)+'LINEST VARS'!$A$64*(0.5*$CX123)</f>
        <v>205.77299999999985</v>
      </c>
      <c r="DP123" s="55">
        <f>'LINEST VARS'!$U$64+'LINEST VARS'!$T$64*(8)+'LINEST VARS'!$S$64*(8)+'LINEST VARS'!$R$64*($DP$104)+'LINEST VARS'!$Q$64*(0.5)+'LINEST VARS'!$P$64*($CX123)+'LINEST VARS'!$O$64*(8^2)+'LINEST VARS'!$N$64*(8^2)+'LINEST VARS'!$M$64*($DP$104^2)+'LINEST VARS'!$L$64*(0.5^2)+'LINEST VARS'!$K$64*($CX123^2)+'LINEST VARS'!$J$64*(8*8)+'LINEST VARS'!$I$64*(8*$DP$104)+'LINEST VARS'!$H$64*(8*0.5)+'LINEST VARS'!$G$64*(8*$CX123)+'LINEST VARS'!$F$64*(8*$DP$104)+'LINEST VARS'!$E$64*(8*0.5)+'LINEST VARS'!$D$64*(8*$CX123)+'LINEST VARS'!$C$64*($DP$104*0.5)+'LINEST VARS'!$B$64*($DP$104*$CX123)+'LINEST VARS'!$A$64*(0.5*$CX123)</f>
        <v>207.37299999999985</v>
      </c>
      <c r="DQ123" s="55">
        <f>'LINEST VARS'!$U$64+'LINEST VARS'!$T$64*(8)+'LINEST VARS'!$S$64*(8)+'LINEST VARS'!$R$64*($DQ$104)+'LINEST VARS'!$Q$64*(0.5)+'LINEST VARS'!$P$64*($CX123)+'LINEST VARS'!$O$64*(8^2)+'LINEST VARS'!$N$64*(8^2)+'LINEST VARS'!$M$64*($DQ$104^2)+'LINEST VARS'!$L$64*(0.5^2)+'LINEST VARS'!$K$64*($CX123^2)+'LINEST VARS'!$J$64*(8*8)+'LINEST VARS'!$I$64*(8*$DQ$104)+'LINEST VARS'!$H$64*(8*0.5)+'LINEST VARS'!$G$64*(8*$CX123)+'LINEST VARS'!$F$64*(8*$DQ$104)+'LINEST VARS'!$E$64*(8*0.5)+'LINEST VARS'!$D$64*(8*$CX123)+'LINEST VARS'!$C$64*($DQ$104*0.5)+'LINEST VARS'!$B$64*($DQ$104*$CX123)+'LINEST VARS'!$A$64*(0.5*$CX123)</f>
        <v>208.97299999999984</v>
      </c>
      <c r="DR123" s="55">
        <f>'LINEST VARS'!$U$64+'LINEST VARS'!$T$64*(8)+'LINEST VARS'!$S$64*(8)+'LINEST VARS'!$R$64*($DR$104)+'LINEST VARS'!$Q$64*(0.5)+'LINEST VARS'!$P$64*($CX123)+'LINEST VARS'!$O$64*(8^2)+'LINEST VARS'!$N$64*(8^2)+'LINEST VARS'!$M$64*($DR$104^2)+'LINEST VARS'!$L$64*(0.5^2)+'LINEST VARS'!$K$64*($CX123^2)+'LINEST VARS'!$J$64*(8*8)+'LINEST VARS'!$I$64*(8*$DR$104)+'LINEST VARS'!$H$64*(8*0.5)+'LINEST VARS'!$G$64*(8*$CX123)+'LINEST VARS'!$F$64*(8*$DR$104)+'LINEST VARS'!$E$64*(8*0.5)+'LINEST VARS'!$D$64*(8*$CX123)+'LINEST VARS'!$C$64*($DR$104*0.5)+'LINEST VARS'!$B$64*($DR$104*$CX123)+'LINEST VARS'!$A$64*(0.5*$CX123)</f>
        <v>210.57299999999984</v>
      </c>
      <c r="DS123" s="56">
        <f>'LINEST VARS'!$U$64+'LINEST VARS'!$T$64*(8)+'LINEST VARS'!$S$64*(8)+'LINEST VARS'!$R$64*($DS$104)+'LINEST VARS'!$Q$64*(0.5)+'LINEST VARS'!$P$64*($CX123)+'LINEST VARS'!$O$64*(8^2)+'LINEST VARS'!$N$64*(8^2)+'LINEST VARS'!$M$64*($DS$104^2)+'LINEST VARS'!$L$64*(0.5^2)+'LINEST VARS'!$K$64*($CX123^2)+'LINEST VARS'!$J$64*(8*8)+'LINEST VARS'!$I$64*(8*$DS$104)+'LINEST VARS'!$H$64*(8*0.5)+'LINEST VARS'!$G$64*(8*$CX123)+'LINEST VARS'!$F$64*(8*$DS$104)+'LINEST VARS'!$E$64*(8*0.5)+'LINEST VARS'!$D$64*(8*$CX123)+'LINEST VARS'!$C$64*($DS$104*0.5)+'LINEST VARS'!$B$64*($DS$104*$CX123)+'LINEST VARS'!$A$64*(0.5*$CX123)</f>
        <v>212.17299999999983</v>
      </c>
      <c r="DV123" s="45">
        <v>23.390999999999998</v>
      </c>
      <c r="DW123" s="46">
        <f>'LINEST VARS'!$U$66+'LINEST VARS'!$T$66*(8)+'LINEST VARS'!$S$66*(8)+'LINEST VARS'!$R$66*($DW$104)+'LINEST VARS'!$Q$66*(0.5)+'LINEST VARS'!$P$66*($DV123)+'LINEST VARS'!$O$66*(8^2)+'LINEST VARS'!$N$66*(8^2)+'LINEST VARS'!$M$66*($DW$104^2)+'LINEST VARS'!$L$66*(0.5^2)+'LINEST VARS'!$K$66*($DV123^2)+'LINEST VARS'!$J$66*(8*8)+'LINEST VARS'!$I$66*(8*$DW$104)+'LINEST VARS'!$H$66*(8*0.5)+'LINEST VARS'!$G$66*(8*$DV123)+'LINEST VARS'!$F$66*(8*$DW$104)+'LINEST VARS'!$E$66*(8*0.5)+'LINEST VARS'!$D$66*(8*$DV123)+'LINEST VARS'!$C$66*($DW$104*0.5)+'LINEST VARS'!$B$66*($DW$104*$DV123)+'LINEST VARS'!$A$66*(0.5*$DV123)</f>
        <v>144.00000000000003</v>
      </c>
      <c r="DX123" s="46">
        <f>'LINEST VARS'!$U$66+'LINEST VARS'!$T$66*(8)+'LINEST VARS'!$S$66*(8)+'LINEST VARS'!$R$66*($DX$104)+'LINEST VARS'!$Q$66*(0.5)+'LINEST VARS'!$P$66*($DV123)+'LINEST VARS'!$O$66*(8^2)+'LINEST VARS'!$N$66*(8^2)+'LINEST VARS'!$M$66*($DX$104^2)+'LINEST VARS'!$L$66*(0.5^2)+'LINEST VARS'!$K$66*($DV123^2)+'LINEST VARS'!$J$66*(8*8)+'LINEST VARS'!$I$66*(8*$DX$104)+'LINEST VARS'!$H$66*(8*0.5)+'LINEST VARS'!$G$66*(8*$DV123)+'LINEST VARS'!$F$66*(8*$DX$104)+'LINEST VARS'!$E$66*(8*0.5)+'LINEST VARS'!$D$66*(8*$DV123)+'LINEST VARS'!$C$66*($DX$104*0.5)+'LINEST VARS'!$B$66*($DX$104*$DV123)+'LINEST VARS'!$A$66*(0.5*$DV123)</f>
        <v>143.20000000000005</v>
      </c>
      <c r="DY123" s="46">
        <f>'LINEST VARS'!$U$66+'LINEST VARS'!$T$66*(8)+'LINEST VARS'!$S$66*(8)+'LINEST VARS'!$R$66*($DY$104)+'LINEST VARS'!$Q$66*(0.5)+'LINEST VARS'!$P$66*($DV123)+'LINEST VARS'!$O$66*(8^2)+'LINEST VARS'!$N$66*(8^2)+'LINEST VARS'!$M$66*($DY$104^2)+'LINEST VARS'!$L$66*(0.5^2)+'LINEST VARS'!$K$66*($DV123^2)+'LINEST VARS'!$J$66*(8*8)+'LINEST VARS'!$I$66*(8*$DY$104)+'LINEST VARS'!$H$66*(8*0.5)+'LINEST VARS'!$G$66*(8*$DV123)+'LINEST VARS'!$F$66*(8*$DY$104)+'LINEST VARS'!$E$66*(8*0.5)+'LINEST VARS'!$D$66*(8*$DV123)+'LINEST VARS'!$C$66*($DY$104*0.5)+'LINEST VARS'!$B$66*($DY$104*$DV123)+'LINEST VARS'!$A$66*(0.5*$DV123)</f>
        <v>142.40000000000003</v>
      </c>
      <c r="DZ123" s="46">
        <f>'LINEST VARS'!$U$66+'LINEST VARS'!$T$66*(8)+'LINEST VARS'!$S$66*(8)+'LINEST VARS'!$R$66*($DZ$104)+'LINEST VARS'!$Q$66*(0.5)+'LINEST VARS'!$P$66*($DV123)+'LINEST VARS'!$O$66*(8^2)+'LINEST VARS'!$N$66*(8^2)+'LINEST VARS'!$M$66*($DZ$104^2)+'LINEST VARS'!$L$66*(0.5^2)+'LINEST VARS'!$K$66*($DV123^2)+'LINEST VARS'!$J$66*(8*8)+'LINEST VARS'!$I$66*(8*$DZ$104)+'LINEST VARS'!$H$66*(8*0.5)+'LINEST VARS'!$G$66*(8*$DV123)+'LINEST VARS'!$F$66*(8*$DZ$104)+'LINEST VARS'!$E$66*(8*0.5)+'LINEST VARS'!$D$66*(8*$DV123)+'LINEST VARS'!$C$66*($DZ$104*0.5)+'LINEST VARS'!$B$66*($DZ$104*$DV123)+'LINEST VARS'!$A$66*(0.5*$DV123)</f>
        <v>141.60000000000005</v>
      </c>
      <c r="EA123" s="46">
        <f>'LINEST VARS'!$U$66+'LINEST VARS'!$T$66*(8)+'LINEST VARS'!$S$66*(8)+'LINEST VARS'!$R$66*($EA$104)+'LINEST VARS'!$Q$66*(0.5)+'LINEST VARS'!$P$66*($DV123)+'LINEST VARS'!$O$66*(8^2)+'LINEST VARS'!$N$66*(8^2)+'LINEST VARS'!$M$66*($EA$104^2)+'LINEST VARS'!$L$66*(0.5^2)+'LINEST VARS'!$K$66*($DV123^2)+'LINEST VARS'!$J$66*(8*8)+'LINEST VARS'!$I$66*(8*$EA$104)+'LINEST VARS'!$H$66*(8*0.5)+'LINEST VARS'!$G$66*(8*$DV123)+'LINEST VARS'!$F$66*(8*$EA$104)+'LINEST VARS'!$E$66*(8*0.5)+'LINEST VARS'!$D$66*(8*$DV123)+'LINEST VARS'!$C$66*($EA$104*0.5)+'LINEST VARS'!$B$66*($EA$104*$DV123)+'LINEST VARS'!$A$66*(0.5*$DV123)</f>
        <v>140.80000000000004</v>
      </c>
      <c r="EB123" s="46">
        <f>'LINEST VARS'!$U$66+'LINEST VARS'!$T$66*(8)+'LINEST VARS'!$S$66*(8)+'LINEST VARS'!$R$66*($EB$104)+'LINEST VARS'!$Q$66*(0.5)+'LINEST VARS'!$P$66*($DV123)+'LINEST VARS'!$O$66*(8^2)+'LINEST VARS'!$N$66*(8^2)+'LINEST VARS'!$M$66*($EB$104^2)+'LINEST VARS'!$L$66*(0.5^2)+'LINEST VARS'!$K$66*($DV123^2)+'LINEST VARS'!$J$66*(8*8)+'LINEST VARS'!$I$66*(8*$EB$104)+'LINEST VARS'!$H$66*(8*0.5)+'LINEST VARS'!$G$66*(8*$DV123)+'LINEST VARS'!$F$66*(8*$EB$104)+'LINEST VARS'!$E$66*(8*0.5)+'LINEST VARS'!$D$66*(8*$DV123)+'LINEST VARS'!$C$66*($EB$104*0.5)+'LINEST VARS'!$B$66*($EB$104*$DV123)+'LINEST VARS'!$A$66*(0.5*$DV123)</f>
        <v>140.00000000000006</v>
      </c>
      <c r="EC123" s="46">
        <f>'LINEST VARS'!$U$66+'LINEST VARS'!$T$66*(8)+'LINEST VARS'!$S$66*(8)+'LINEST VARS'!$R$66*($EC$104)+'LINEST VARS'!$Q$66*(0.5)+'LINEST VARS'!$P$66*($DV123)+'LINEST VARS'!$O$66*(8^2)+'LINEST VARS'!$N$66*(8^2)+'LINEST VARS'!$M$66*($EC$104^2)+'LINEST VARS'!$L$66*(0.5^2)+'LINEST VARS'!$K$66*($DV123^2)+'LINEST VARS'!$J$66*(8*8)+'LINEST VARS'!$I$66*(8*$EC$104)+'LINEST VARS'!$H$66*(8*0.5)+'LINEST VARS'!$G$66*(8*$DV123)+'LINEST VARS'!$F$66*(8*$EC$104)+'LINEST VARS'!$E$66*(8*0.5)+'LINEST VARS'!$D$66*(8*$DV123)+'LINEST VARS'!$C$66*($EC$104*0.5)+'LINEST VARS'!$B$66*($EC$104*$DV123)+'LINEST VARS'!$A$66*(0.5*$DV123)</f>
        <v>139.20000000000005</v>
      </c>
      <c r="ED123" s="46">
        <f>'LINEST VARS'!$U$66+'LINEST VARS'!$T$66*(8)+'LINEST VARS'!$S$66*(8)+'LINEST VARS'!$R$66*($ED$104)+'LINEST VARS'!$Q$66*(0.5)+'LINEST VARS'!$P$66*($DV123)+'LINEST VARS'!$O$66*(8^2)+'LINEST VARS'!$N$66*(8^2)+'LINEST VARS'!$M$66*($ED$104^2)+'LINEST VARS'!$L$66*(0.5^2)+'LINEST VARS'!$K$66*($DV123^2)+'LINEST VARS'!$J$66*(8*8)+'LINEST VARS'!$I$66*(8*$ED$104)+'LINEST VARS'!$H$66*(8*0.5)+'LINEST VARS'!$G$66*(8*$DV123)+'LINEST VARS'!$F$66*(8*$ED$104)+'LINEST VARS'!$E$66*(8*0.5)+'LINEST VARS'!$D$66*(8*$DV123)+'LINEST VARS'!$C$66*($ED$104*0.5)+'LINEST VARS'!$B$66*($ED$104*$DV123)+'LINEST VARS'!$A$66*(0.5*$DV123)</f>
        <v>138.40000000000006</v>
      </c>
      <c r="EE123" s="46">
        <f>'LINEST VARS'!$U$66+'LINEST VARS'!$T$66*(8)+'LINEST VARS'!$S$66*(8)+'LINEST VARS'!$R$66*($EE$104)+'LINEST VARS'!$Q$66*(0.5)+'LINEST VARS'!$P$66*($DV123)+'LINEST VARS'!$O$66*(8^2)+'LINEST VARS'!$N$66*(8^2)+'LINEST VARS'!$M$66*($EE$104^2)+'LINEST VARS'!$L$66*(0.5^2)+'LINEST VARS'!$K$66*($DV123^2)+'LINEST VARS'!$J$66*(8*8)+'LINEST VARS'!$I$66*(8*$EE$104)+'LINEST VARS'!$H$66*(8*0.5)+'LINEST VARS'!$G$66*(8*$DV123)+'LINEST VARS'!$F$66*(8*$EE$104)+'LINEST VARS'!$E$66*(8*0.5)+'LINEST VARS'!$D$66*(8*$DV123)+'LINEST VARS'!$C$66*($EE$104*0.5)+'LINEST VARS'!$B$66*($EE$104*$DV123)+'LINEST VARS'!$A$66*(0.5*$DV123)</f>
        <v>137.60000000000005</v>
      </c>
      <c r="EF123" s="46">
        <f>'LINEST VARS'!$U$66+'LINEST VARS'!$T$66*(8)+'LINEST VARS'!$S$66*(8)+'LINEST VARS'!$R$66*($EF$104)+'LINEST VARS'!$Q$66*(0.5)+'LINEST VARS'!$P$66*($DV123)+'LINEST VARS'!$O$66*(8^2)+'LINEST VARS'!$N$66*(8^2)+'LINEST VARS'!$M$66*($EF$104^2)+'LINEST VARS'!$L$66*(0.5^2)+'LINEST VARS'!$K$66*($DV123^2)+'LINEST VARS'!$J$66*(8*8)+'LINEST VARS'!$I$66*(8*$EF$104)+'LINEST VARS'!$H$66*(8*0.5)+'LINEST VARS'!$G$66*(8*$DV123)+'LINEST VARS'!$F$66*(8*$EF$104)+'LINEST VARS'!$E$66*(8*0.5)+'LINEST VARS'!$D$66*(8*$DV123)+'LINEST VARS'!$C$66*($EF$104*0.5)+'LINEST VARS'!$B$66*($EF$104*$DV123)+'LINEST VARS'!$A$66*(0.5*$DV123)</f>
        <v>136.80000000000004</v>
      </c>
      <c r="EG123" s="46">
        <f>'LINEST VARS'!$U$66+'LINEST VARS'!$T$66*(8)+'LINEST VARS'!$S$66*(8)+'LINEST VARS'!$R$66*($EG$104)+'LINEST VARS'!$Q$66*(0.5)+'LINEST VARS'!$P$66*($DV123)+'LINEST VARS'!$O$66*(8^2)+'LINEST VARS'!$N$66*(8^2)+'LINEST VARS'!$M$66*($EG$104^2)+'LINEST VARS'!$L$66*(0.5^2)+'LINEST VARS'!$K$66*($DV123^2)+'LINEST VARS'!$J$66*(8*8)+'LINEST VARS'!$I$66*(8*$EG$104)+'LINEST VARS'!$H$66*(8*0.5)+'LINEST VARS'!$G$66*(8*$DV123)+'LINEST VARS'!$F$66*(8*$EG$104)+'LINEST VARS'!$E$66*(8*0.5)+'LINEST VARS'!$D$66*(8*$DV123)+'LINEST VARS'!$C$66*($EG$104*0.5)+'LINEST VARS'!$B$66*($EG$104*$DV123)+'LINEST VARS'!$A$66*(0.5*$DV123)</f>
        <v>136.00000000000003</v>
      </c>
      <c r="EH123" s="46">
        <f>'LINEST VARS'!$U$66+'LINEST VARS'!$T$66*(8)+'LINEST VARS'!$S$66*(8)+'LINEST VARS'!$R$66*($EH$104)+'LINEST VARS'!$Q$66*(0.5)+'LINEST VARS'!$P$66*($DV123)+'LINEST VARS'!$O$66*(8^2)+'LINEST VARS'!$N$66*(8^2)+'LINEST VARS'!$M$66*($EH$104^2)+'LINEST VARS'!$L$66*(0.5^2)+'LINEST VARS'!$K$66*($DV123^2)+'LINEST VARS'!$J$66*(8*8)+'LINEST VARS'!$I$66*(8*$EH$104)+'LINEST VARS'!$H$66*(8*0.5)+'LINEST VARS'!$G$66*(8*$DV123)+'LINEST VARS'!$F$66*(8*$EH$104)+'LINEST VARS'!$E$66*(8*0.5)+'LINEST VARS'!$D$66*(8*$DV123)+'LINEST VARS'!$C$66*($EH$104*0.5)+'LINEST VARS'!$B$66*($EH$104*$DV123)+'LINEST VARS'!$A$66*(0.5*$DV123)</f>
        <v>135.20000000000002</v>
      </c>
      <c r="EI123" s="46">
        <f>'LINEST VARS'!$U$66+'LINEST VARS'!$T$66*(8)+'LINEST VARS'!$S$66*(8)+'LINEST VARS'!$R$66*($EI$104)+'LINEST VARS'!$Q$66*(0.5)+'LINEST VARS'!$P$66*($DV123)+'LINEST VARS'!$O$66*(8^2)+'LINEST VARS'!$N$66*(8^2)+'LINEST VARS'!$M$66*($EI$104^2)+'LINEST VARS'!$L$66*(0.5^2)+'LINEST VARS'!$K$66*($DV123^2)+'LINEST VARS'!$J$66*(8*8)+'LINEST VARS'!$I$66*(8*$EI$104)+'LINEST VARS'!$H$66*(8*0.5)+'LINEST VARS'!$G$66*(8*$DV123)+'LINEST VARS'!$F$66*(8*$EI$104)+'LINEST VARS'!$E$66*(8*0.5)+'LINEST VARS'!$D$66*(8*$DV123)+'LINEST VARS'!$C$66*($EI$104*0.5)+'LINEST VARS'!$B$66*($EI$104*$DV123)+'LINEST VARS'!$A$66*(0.5*$DV123)</f>
        <v>134.4</v>
      </c>
      <c r="EJ123" s="46">
        <f>'LINEST VARS'!$U$66+'LINEST VARS'!$T$66*(8)+'LINEST VARS'!$S$66*(8)+'LINEST VARS'!$R$66*($EJ$104)+'LINEST VARS'!$Q$66*(0.5)+'LINEST VARS'!$P$66*($DV123)+'LINEST VARS'!$O$66*(8^2)+'LINEST VARS'!$N$66*(8^2)+'LINEST VARS'!$M$66*($EJ$104^2)+'LINEST VARS'!$L$66*(0.5^2)+'LINEST VARS'!$K$66*($DV123^2)+'LINEST VARS'!$J$66*(8*8)+'LINEST VARS'!$I$66*(8*$EJ$104)+'LINEST VARS'!$H$66*(8*0.5)+'LINEST VARS'!$G$66*(8*$DV123)+'LINEST VARS'!$F$66*(8*$EJ$104)+'LINEST VARS'!$E$66*(8*0.5)+'LINEST VARS'!$D$66*(8*$DV123)+'LINEST VARS'!$C$66*($EJ$104*0.5)+'LINEST VARS'!$B$66*($EJ$104*$DV123)+'LINEST VARS'!$A$66*(0.5*$DV123)</f>
        <v>133.60000000000002</v>
      </c>
      <c r="EK123" s="46">
        <f>'LINEST VARS'!$U$66+'LINEST VARS'!$T$66*(8)+'LINEST VARS'!$S$66*(8)+'LINEST VARS'!$R$66*($EK$104)+'LINEST VARS'!$Q$66*(0.5)+'LINEST VARS'!$P$66*($DV123)+'LINEST VARS'!$O$66*(8^2)+'LINEST VARS'!$N$66*(8^2)+'LINEST VARS'!$M$66*($EK$104^2)+'LINEST VARS'!$L$66*(0.5^2)+'LINEST VARS'!$K$66*($DV123^2)+'LINEST VARS'!$J$66*(8*8)+'LINEST VARS'!$I$66*(8*$EK$104)+'LINEST VARS'!$H$66*(8*0.5)+'LINEST VARS'!$G$66*(8*$DV123)+'LINEST VARS'!$F$66*(8*$EK$104)+'LINEST VARS'!$E$66*(8*0.5)+'LINEST VARS'!$D$66*(8*$DV123)+'LINEST VARS'!$C$66*($EK$104*0.5)+'LINEST VARS'!$B$66*($EK$104*$DV123)+'LINEST VARS'!$A$66*(0.5*$DV123)</f>
        <v>132.80000000000001</v>
      </c>
      <c r="EL123" s="46">
        <f>'LINEST VARS'!$U$66+'LINEST VARS'!$T$66*(8)+'LINEST VARS'!$S$66*(8)+'LINEST VARS'!$R$66*($EL$104)+'LINEST VARS'!$Q$66*(0.5)+'LINEST VARS'!$P$66*($DV123)+'LINEST VARS'!$O$66*(8^2)+'LINEST VARS'!$N$66*(8^2)+'LINEST VARS'!$M$66*($EL$104^2)+'LINEST VARS'!$L$66*(0.5^2)+'LINEST VARS'!$K$66*($DV123^2)+'LINEST VARS'!$J$66*(8*8)+'LINEST VARS'!$I$66*(8*$EL$104)+'LINEST VARS'!$H$66*(8*0.5)+'LINEST VARS'!$G$66*(8*$DV123)+'LINEST VARS'!$F$66*(8*$EL$104)+'LINEST VARS'!$E$66*(8*0.5)+'LINEST VARS'!$D$66*(8*$DV123)+'LINEST VARS'!$C$66*($EL$104*0.5)+'LINEST VARS'!$B$66*($EL$104*$DV123)+'LINEST VARS'!$A$66*(0.5*$DV123)</f>
        <v>132.00000000000003</v>
      </c>
      <c r="EM123" s="46">
        <f>'LINEST VARS'!$U$66+'LINEST VARS'!$T$66*(8)+'LINEST VARS'!$S$66*(8)+'LINEST VARS'!$R$66*($EM$104)+'LINEST VARS'!$Q$66*(0.5)+'LINEST VARS'!$P$66*($DV123)+'LINEST VARS'!$O$66*(8^2)+'LINEST VARS'!$N$66*(8^2)+'LINEST VARS'!$M$66*($EM$104^2)+'LINEST VARS'!$L$66*(0.5^2)+'LINEST VARS'!$K$66*($DV123^2)+'LINEST VARS'!$J$66*(8*8)+'LINEST VARS'!$I$66*(8*$EM$104)+'LINEST VARS'!$H$66*(8*0.5)+'LINEST VARS'!$G$66*(8*$DV123)+'LINEST VARS'!$F$66*(8*$EM$104)+'LINEST VARS'!$E$66*(8*0.5)+'LINEST VARS'!$D$66*(8*$DV123)+'LINEST VARS'!$C$66*($EM$104*0.5)+'LINEST VARS'!$B$66*($EM$104*$DV123)+'LINEST VARS'!$A$66*(0.5*$DV123)</f>
        <v>131.20000000000002</v>
      </c>
      <c r="EN123" s="46">
        <f>'LINEST VARS'!$U$66+'LINEST VARS'!$T$66*(8)+'LINEST VARS'!$S$66*(8)+'LINEST VARS'!$R$66*($EN$104)+'LINEST VARS'!$Q$66*(0.5)+'LINEST VARS'!$P$66*($DV123)+'LINEST VARS'!$O$66*(8^2)+'LINEST VARS'!$N$66*(8^2)+'LINEST VARS'!$M$66*($EN$104^2)+'LINEST VARS'!$L$66*(0.5^2)+'LINEST VARS'!$K$66*($DV123^2)+'LINEST VARS'!$J$66*(8*8)+'LINEST VARS'!$I$66*(8*$EN$104)+'LINEST VARS'!$H$66*(8*0.5)+'LINEST VARS'!$G$66*(8*$DV123)+'LINEST VARS'!$F$66*(8*$EN$104)+'LINEST VARS'!$E$66*(8*0.5)+'LINEST VARS'!$D$66*(8*$DV123)+'LINEST VARS'!$C$66*($EN$104*0.5)+'LINEST VARS'!$B$66*($EN$104*$DV123)+'LINEST VARS'!$A$66*(0.5*$DV123)</f>
        <v>130.40000000000006</v>
      </c>
      <c r="EO123" s="46">
        <f>'LINEST VARS'!$U$66+'LINEST VARS'!$T$66*(8)+'LINEST VARS'!$S$66*(8)+'LINEST VARS'!$R$66*($EO$104)+'LINEST VARS'!$Q$66*(0.5)+'LINEST VARS'!$P$66*($DV123)+'LINEST VARS'!$O$66*(8^2)+'LINEST VARS'!$N$66*(8^2)+'LINEST VARS'!$M$66*($EO$104^2)+'LINEST VARS'!$L$66*(0.5^2)+'LINEST VARS'!$K$66*($DV123^2)+'LINEST VARS'!$J$66*(8*8)+'LINEST VARS'!$I$66*(8*$EO$104)+'LINEST VARS'!$H$66*(8*0.5)+'LINEST VARS'!$G$66*(8*$DV123)+'LINEST VARS'!$F$66*(8*$EO$104)+'LINEST VARS'!$E$66*(8*0.5)+'LINEST VARS'!$D$66*(8*$DV123)+'LINEST VARS'!$C$66*($EO$104*0.5)+'LINEST VARS'!$B$66*($EO$104*$DV123)+'LINEST VARS'!$A$66*(0.5*$DV123)</f>
        <v>129.60000000000005</v>
      </c>
      <c r="EP123" s="46">
        <f>'LINEST VARS'!$U$66+'LINEST VARS'!$T$66*(8)+'LINEST VARS'!$S$66*(8)+'LINEST VARS'!$R$66*($EP$104)+'LINEST VARS'!$Q$66*(0.5)+'LINEST VARS'!$P$66*($DV123)+'LINEST VARS'!$O$66*(8^2)+'LINEST VARS'!$N$66*(8^2)+'LINEST VARS'!$M$66*($EP$104^2)+'LINEST VARS'!$L$66*(0.5^2)+'LINEST VARS'!$K$66*($DV123^2)+'LINEST VARS'!$J$66*(8*8)+'LINEST VARS'!$I$66*(8*$EP$104)+'LINEST VARS'!$H$66*(8*0.5)+'LINEST VARS'!$G$66*(8*$DV123)+'LINEST VARS'!$F$66*(8*$EP$104)+'LINEST VARS'!$E$66*(8*0.5)+'LINEST VARS'!$D$66*(8*$DV123)+'LINEST VARS'!$C$66*($EP$104*0.5)+'LINEST VARS'!$B$66*($EP$104*$DV123)+'LINEST VARS'!$A$66*(0.5*$DV123)</f>
        <v>128.80000000000004</v>
      </c>
      <c r="EQ123" s="47">
        <f>'LINEST VARS'!$U$66+'LINEST VARS'!$T$66*(8)+'LINEST VARS'!$S$66*(8)+'LINEST VARS'!$R$66*($EQ$104)+'LINEST VARS'!$Q$66*(0.5)+'LINEST VARS'!$P$66*($DV123)+'LINEST VARS'!$O$66*(8^2)+'LINEST VARS'!$N$66*(8^2)+'LINEST VARS'!$M$66*($EQ$104^2)+'LINEST VARS'!$L$66*(0.5^2)+'LINEST VARS'!$K$66*($DV123^2)+'LINEST VARS'!$J$66*(8*8)+'LINEST VARS'!$I$66*(8*$EQ$104)+'LINEST VARS'!$H$66*(8*0.5)+'LINEST VARS'!$G$66*(8*$DV123)+'LINEST VARS'!$F$66*(8*$EQ$104)+'LINEST VARS'!$E$66*(8*0.5)+'LINEST VARS'!$D$66*(8*$DV123)+'LINEST VARS'!$C$66*($EQ$104*0.5)+'LINEST VARS'!$B$66*($EQ$104*$DV123)+'LINEST VARS'!$A$66*(0.5*$DV123)</f>
        <v>128.00000000000003</v>
      </c>
    </row>
    <row r="124" spans="2:147" ht="15" customHeight="1" x14ac:dyDescent="0.25">
      <c r="B124" s="45">
        <v>8.5399999999999991</v>
      </c>
      <c r="C124" s="55">
        <f>'LINEST VARS'!$U$64+'LINEST VARS'!$T$64*($C$104)+'LINEST VARS'!$S$64*($B124)+'LINEST VARS'!$R$64*(4)+'LINEST VARS'!$Q$64*(0.5)+'LINEST VARS'!$P$64*(12.73)+'LINEST VARS'!$O$64*($C$104^2)+'LINEST VARS'!$N$64*($B124^2)+'LINEST VARS'!$M$64*(4^2)+'LINEST VARS'!$L$64*(0.5^2)+'LINEST VARS'!$K$64*(12.73^2)+'LINEST VARS'!$J$64*($C$104*$B124)+'LINEST VARS'!$I$64*($C$104*4)+'LINEST VARS'!$H$64*($C$104*0.5)+'LINEST VARS'!$G$64*($C$104*12.73)+'LINEST VARS'!$F$64*($B124*4)+'LINEST VARS'!$E$64*($B124*0.5)+'LINEST VARS'!$D$64*($B124*12.73)+'LINEST VARS'!$C$64*(4*0.5)+'LINEST VARS'!$B$64*(4*12.73)+'LINEST VARS'!$A$64*(0.5*12.73)</f>
        <v>164.18999999999991</v>
      </c>
      <c r="D124" s="55">
        <f>'LINEST VARS'!$U$64+'LINEST VARS'!$T$64*($D$104)+'LINEST VARS'!$S$64*($B124)+'LINEST VARS'!$R$64*(4)+'LINEST VARS'!$Q$64*(0.5)+'LINEST VARS'!$P$64*(12.73)+'LINEST VARS'!$O$64*($D$104^2)+'LINEST VARS'!$N$64*($B124^2)+'LINEST VARS'!$M$64*(4^2)+'LINEST VARS'!$L$64*(0.5^2)+'LINEST VARS'!$K$64*(12.73^2)+'LINEST VARS'!$J$64*($D$104*$B124)+'LINEST VARS'!$I$64*($D$104*4)+'LINEST VARS'!$H$64*($D$104*0.5)+'LINEST VARS'!$G$64*($D$104*12.73)+'LINEST VARS'!$F$64*($B124*4)+'LINEST VARS'!$E$64*($B124*0.5)+'LINEST VARS'!$D$64*($B124*12.73)+'LINEST VARS'!$C$64*(4*0.5)+'LINEST VARS'!$B$64*(4*12.73)+'LINEST VARS'!$A$64*(0.5*12.73)</f>
        <v>164.18999999999991</v>
      </c>
      <c r="E124" s="55">
        <f>'LINEST VARS'!$U$64+'LINEST VARS'!$T$64*($E$104)+'LINEST VARS'!$S$64*($B124)+'LINEST VARS'!$R$64*(4)+'LINEST VARS'!$Q$64*(0.5)+'LINEST VARS'!$P$64*(12.73)+'LINEST VARS'!$O$64*($E$104^2)+'LINEST VARS'!$N$64*($B124^2)+'LINEST VARS'!$M$64*(4^2)+'LINEST VARS'!$L$64*(0.5^2)+'LINEST VARS'!$K$64*(12.73^2)+'LINEST VARS'!$J$64*($E$104*$B124)+'LINEST VARS'!$I$64*($E$104*4)+'LINEST VARS'!$H$64*($E$104*0.5)+'LINEST VARS'!$G$64*($E$104*12.73)+'LINEST VARS'!$F$64*($B124*4)+'LINEST VARS'!$E$64*($B124*0.5)+'LINEST VARS'!$D$64*($B124*12.73)+'LINEST VARS'!$C$64*(4*0.5)+'LINEST VARS'!$B$64*(4*12.73)+'LINEST VARS'!$A$64*(0.5*12.73)</f>
        <v>164.18999999999991</v>
      </c>
      <c r="F124" s="55">
        <f>'LINEST VARS'!$U$64+'LINEST VARS'!$T$64*($F$104)+'LINEST VARS'!$S$64*($B124)+'LINEST VARS'!$R$64*(4)+'LINEST VARS'!$Q$64*(0.5)+'LINEST VARS'!$P$64*(12.73)+'LINEST VARS'!$O$64*($F$104^2)+'LINEST VARS'!$N$64*($B124^2)+'LINEST VARS'!$M$64*(4^2)+'LINEST VARS'!$L$64*(0.5^2)+'LINEST VARS'!$K$64*(12.73^2)+'LINEST VARS'!$J$64*($F$104*$B124)+'LINEST VARS'!$I$64*($F$104*4)+'LINEST VARS'!$H$64*($F$104*0.5)+'LINEST VARS'!$G$64*($F$104*12.73)+'LINEST VARS'!$F$64*($B124*4)+'LINEST VARS'!$E$64*($B124*0.5)+'LINEST VARS'!$D$64*($B124*12.73)+'LINEST VARS'!$C$64*(4*0.5)+'LINEST VARS'!$B$64*(4*12.73)+'LINEST VARS'!$A$64*(0.5*12.73)</f>
        <v>164.18999999999991</v>
      </c>
      <c r="G124" s="55">
        <f>'LINEST VARS'!$U$64+'LINEST VARS'!$T$64*($G$104)+'LINEST VARS'!$S$64*($B124)+'LINEST VARS'!$R$64*(4)+'LINEST VARS'!$Q$64*(0.5)+'LINEST VARS'!$P$64*(12.73)+'LINEST VARS'!$O$64*($G$104^2)+'LINEST VARS'!$N$64*($B124^2)+'LINEST VARS'!$M$64*(4^2)+'LINEST VARS'!$L$64*(0.5^2)+'LINEST VARS'!$K$64*(12.73^2)+'LINEST VARS'!$J$64*($G$104*$B124)+'LINEST VARS'!$I$64*($G$104*4)+'LINEST VARS'!$H$64*($G$104*0.5)+'LINEST VARS'!$G$64*($G$104*12.73)+'LINEST VARS'!$F$64*($B124*4)+'LINEST VARS'!$E$64*($B124*0.5)+'LINEST VARS'!$D$64*($B124*12.73)+'LINEST VARS'!$C$64*(4*0.5)+'LINEST VARS'!$B$64*(4*12.73)+'LINEST VARS'!$A$64*(0.5*12.73)</f>
        <v>164.18999999999994</v>
      </c>
      <c r="H124" s="55">
        <f>'LINEST VARS'!$U$64+'LINEST VARS'!$T$64*($H$104)+'LINEST VARS'!$S$64*($B124)+'LINEST VARS'!$R$64*(4)+'LINEST VARS'!$Q$64*(0.5)+'LINEST VARS'!$P$64*(12.73)+'LINEST VARS'!$O$64*($H$104^2)+'LINEST VARS'!$N$64*($B124^2)+'LINEST VARS'!$M$64*(4^2)+'LINEST VARS'!$L$64*(0.5^2)+'LINEST VARS'!$K$64*(12.73^2)+'LINEST VARS'!$J$64*($H$104*$B124)+'LINEST VARS'!$I$64*($H$104*4)+'LINEST VARS'!$H$64*($H$104*0.5)+'LINEST VARS'!$G$64*($H$104*12.73)+'LINEST VARS'!$F$64*($B124*4)+'LINEST VARS'!$E$64*($B124*0.5)+'LINEST VARS'!$D$64*($B124*12.73)+'LINEST VARS'!$C$64*(4*0.5)+'LINEST VARS'!$B$64*(4*12.73)+'LINEST VARS'!$A$64*(0.5*12.73)</f>
        <v>164.18999999999994</v>
      </c>
      <c r="I124" s="55">
        <f>'LINEST VARS'!$U$64+'LINEST VARS'!$T$64*($I$104)+'LINEST VARS'!$S$64*($B124)+'LINEST VARS'!$R$64*(4)+'LINEST VARS'!$Q$64*(0.5)+'LINEST VARS'!$P$64*(12.73)+'LINEST VARS'!$O$64*($I$104^2)+'LINEST VARS'!$N$64*($B124^2)+'LINEST VARS'!$M$64*(4^2)+'LINEST VARS'!$L$64*(0.5^2)+'LINEST VARS'!$K$64*(12.73^2)+'LINEST VARS'!$J$64*($I$104*$B124)+'LINEST VARS'!$I$64*($I$104*4)+'LINEST VARS'!$H$64*($I$104*0.5)+'LINEST VARS'!$G$64*($I$104*12.73)+'LINEST VARS'!$F$64*($B124*4)+'LINEST VARS'!$E$64*($B124*0.5)+'LINEST VARS'!$D$64*($B124*12.73)+'LINEST VARS'!$C$64*(4*0.5)+'LINEST VARS'!$B$64*(4*12.73)+'LINEST VARS'!$A$64*(0.5*12.73)</f>
        <v>164.18999999999991</v>
      </c>
      <c r="J124" s="55">
        <f>'LINEST VARS'!$U$64+'LINEST VARS'!$T$64*($J$104)+'LINEST VARS'!$S$64*($B124)+'LINEST VARS'!$R$64*(4)+'LINEST VARS'!$Q$64*(0.5)+'LINEST VARS'!$P$64*(12.73)+'LINEST VARS'!$O$64*($J$104^2)+'LINEST VARS'!$N$64*($B124^2)+'LINEST VARS'!$M$64*(4^2)+'LINEST VARS'!$L$64*(0.5^2)+'LINEST VARS'!$K$64*(12.73^2)+'LINEST VARS'!$J$64*($J$104*$B124)+'LINEST VARS'!$I$64*($J$104*4)+'LINEST VARS'!$H$64*($J$104*0.5)+'LINEST VARS'!$G$64*($J$104*12.73)+'LINEST VARS'!$F$64*($B124*4)+'LINEST VARS'!$E$64*($B124*0.5)+'LINEST VARS'!$D$64*($B124*12.73)+'LINEST VARS'!$C$64*(4*0.5)+'LINEST VARS'!$B$64*(4*12.73)+'LINEST VARS'!$A$64*(0.5*12.73)</f>
        <v>164.18999999999991</v>
      </c>
      <c r="K124" s="55">
        <f>'LINEST VARS'!$U$64+'LINEST VARS'!$T$64*($K$104)+'LINEST VARS'!$S$64*($B124)+'LINEST VARS'!$R$64*(4)+'LINEST VARS'!$Q$64*(0.5)+'LINEST VARS'!$P$64*(12.73)+'LINEST VARS'!$O$64*($K$104^2)+'LINEST VARS'!$N$64*($B124^2)+'LINEST VARS'!$M$64*(4^2)+'LINEST VARS'!$L$64*(0.5^2)+'LINEST VARS'!$K$64*(12.73^2)+'LINEST VARS'!$J$64*($K$104*$B124)+'LINEST VARS'!$I$64*($K$104*4)+'LINEST VARS'!$H$64*($K$104*0.5)+'LINEST VARS'!$G$64*($K$104*12.73)+'LINEST VARS'!$F$64*($B124*4)+'LINEST VARS'!$E$64*($B124*0.5)+'LINEST VARS'!$D$64*($B124*12.73)+'LINEST VARS'!$C$64*(4*0.5)+'LINEST VARS'!$B$64*(4*12.73)+'LINEST VARS'!$A$64*(0.5*12.73)</f>
        <v>164.18999999999991</v>
      </c>
      <c r="L124" s="55">
        <f>'LINEST VARS'!$U$64+'LINEST VARS'!$T$64*($L$104)+'LINEST VARS'!$S$64*($B124)+'LINEST VARS'!$R$64*(4)+'LINEST VARS'!$Q$64*(0.5)+'LINEST VARS'!$P$64*(12.73)+'LINEST VARS'!$O$64*($L$104^2)+'LINEST VARS'!$N$64*($B124^2)+'LINEST VARS'!$M$64*(4^2)+'LINEST VARS'!$L$64*(0.5^2)+'LINEST VARS'!$K$64*(12.73^2)+'LINEST VARS'!$J$64*($L$104*$B124)+'LINEST VARS'!$I$64*($L$104*4)+'LINEST VARS'!$H$64*($L$104*0.5)+'LINEST VARS'!$G$64*($L$104*12.73)+'LINEST VARS'!$F$64*($B124*4)+'LINEST VARS'!$E$64*($B124*0.5)+'LINEST VARS'!$D$64*($B124*12.73)+'LINEST VARS'!$C$64*(4*0.5)+'LINEST VARS'!$B$64*(4*12.73)+'LINEST VARS'!$A$64*(0.5*12.73)</f>
        <v>164.18999999999991</v>
      </c>
      <c r="M124" s="55">
        <f>'LINEST VARS'!$U$64+'LINEST VARS'!$T$64*($M$104)+'LINEST VARS'!$S$64*($B124)+'LINEST VARS'!$R$64*(4)+'LINEST VARS'!$Q$64*(0.5)+'LINEST VARS'!$P$64*(12.73)+'LINEST VARS'!$O$64*($M$104^2)+'LINEST VARS'!$N$64*($B124^2)+'LINEST VARS'!$M$64*(4^2)+'LINEST VARS'!$L$64*(0.5^2)+'LINEST VARS'!$K$64*(12.73^2)+'LINEST VARS'!$J$64*($M$104*$B124)+'LINEST VARS'!$I$64*($M$104*4)+'LINEST VARS'!$H$64*($M$104*0.5)+'LINEST VARS'!$G$64*($M$104*12.73)+'LINEST VARS'!$F$64*($B124*4)+'LINEST VARS'!$E$64*($B124*0.5)+'LINEST VARS'!$D$64*($B124*12.73)+'LINEST VARS'!$C$64*(4*0.5)+'LINEST VARS'!$B$64*(4*12.73)+'LINEST VARS'!$A$64*(0.5*12.73)</f>
        <v>164.18999999999991</v>
      </c>
      <c r="N124" s="55">
        <f>'LINEST VARS'!$U$64+'LINEST VARS'!$T$64*($N$104)+'LINEST VARS'!$S$64*($B124)+'LINEST VARS'!$R$64*(4)+'LINEST VARS'!$Q$64*(0.5)+'LINEST VARS'!$P$64*(12.73)+'LINEST VARS'!$O$64*($N$104^2)+'LINEST VARS'!$N$64*($B124^2)+'LINEST VARS'!$M$64*(4^2)+'LINEST VARS'!$L$64*(0.5^2)+'LINEST VARS'!$K$64*(12.73^2)+'LINEST VARS'!$J$64*($N$104*$B124)+'LINEST VARS'!$I$64*($N$104*4)+'LINEST VARS'!$H$64*($N$104*0.5)+'LINEST VARS'!$G$64*($N$104*12.73)+'LINEST VARS'!$F$64*($B124*4)+'LINEST VARS'!$E$64*($B124*0.5)+'LINEST VARS'!$D$64*($B124*12.73)+'LINEST VARS'!$C$64*(4*0.5)+'LINEST VARS'!$B$64*(4*12.73)+'LINEST VARS'!$A$64*(0.5*12.73)</f>
        <v>164.18999999999991</v>
      </c>
      <c r="O124" s="55">
        <f>'LINEST VARS'!$U$64+'LINEST VARS'!$T$64*($O$104)+'LINEST VARS'!$S$64*($B124)+'LINEST VARS'!$R$64*(4)+'LINEST VARS'!$Q$64*(0.5)+'LINEST VARS'!$P$64*(12.73)+'LINEST VARS'!$O$64*($O$104^2)+'LINEST VARS'!$N$64*($B124^2)+'LINEST VARS'!$M$64*(4^2)+'LINEST VARS'!$L$64*(0.5^2)+'LINEST VARS'!$K$64*(12.73^2)+'LINEST VARS'!$J$64*($O$104*$B124)+'LINEST VARS'!$I$64*($O$104*4)+'LINEST VARS'!$H$64*($O$104*0.5)+'LINEST VARS'!$G$64*($O$104*12.73)+'LINEST VARS'!$F$64*($B124*4)+'LINEST VARS'!$E$64*($B124*0.5)+'LINEST VARS'!$D$64*($B124*12.73)+'LINEST VARS'!$C$64*(4*0.5)+'LINEST VARS'!$B$64*(4*12.73)+'LINEST VARS'!$A$64*(0.5*12.73)</f>
        <v>164.18999999999988</v>
      </c>
      <c r="P124" s="55">
        <f>'LINEST VARS'!$U$64+'LINEST VARS'!$T$64*($P$104)+'LINEST VARS'!$S$64*($B124)+'LINEST VARS'!$R$64*(4)+'LINEST VARS'!$Q$64*(0.5)+'LINEST VARS'!$P$64*(12.73)+'LINEST VARS'!$O$64*($P$104^2)+'LINEST VARS'!$N$64*($B124^2)+'LINEST VARS'!$M$64*(4^2)+'LINEST VARS'!$L$64*(0.5^2)+'LINEST VARS'!$K$64*(12.73^2)+'LINEST VARS'!$J$64*($P$104*$B124)+'LINEST VARS'!$I$64*($P$104*4)+'LINEST VARS'!$H$64*($P$104*0.5)+'LINEST VARS'!$G$64*($P$104*12.73)+'LINEST VARS'!$F$64*($B124*4)+'LINEST VARS'!$E$64*($B124*0.5)+'LINEST VARS'!$D$64*($B124*12.73)+'LINEST VARS'!$C$64*(4*0.5)+'LINEST VARS'!$B$64*(4*12.73)+'LINEST VARS'!$A$64*(0.5*12.73)</f>
        <v>164.18999999999991</v>
      </c>
      <c r="Q124" s="55">
        <f>'LINEST VARS'!$U$64+'LINEST VARS'!$T$64*($Q$104)+'LINEST VARS'!$S$64*($B124)+'LINEST VARS'!$R$64*(4)+'LINEST VARS'!$Q$64*(0.5)+'LINEST VARS'!$P$64*(12.73)+'LINEST VARS'!$O$64*($Q$104^2)+'LINEST VARS'!$N$64*($B124^2)+'LINEST VARS'!$M$64*(4^2)+'LINEST VARS'!$L$64*(0.5^2)+'LINEST VARS'!$K$64*(12.73^2)+'LINEST VARS'!$J$64*($Q$104*$B124)+'LINEST VARS'!$I$64*($Q$104*4)+'LINEST VARS'!$H$64*($Q$104*0.5)+'LINEST VARS'!$G$64*($Q$104*12.73)+'LINEST VARS'!$F$64*($B124*4)+'LINEST VARS'!$E$64*($B124*0.5)+'LINEST VARS'!$D$64*($B124*12.73)+'LINEST VARS'!$C$64*(4*0.5)+'LINEST VARS'!$B$64*(4*12.73)+'LINEST VARS'!$A$64*(0.5*12.73)</f>
        <v>164.18999999999991</v>
      </c>
      <c r="R124" s="55">
        <f>'LINEST VARS'!$U$64+'LINEST VARS'!$T$64*($R$104)+'LINEST VARS'!$S$64*($B124)+'LINEST VARS'!$R$64*(4)+'LINEST VARS'!$Q$64*(0.5)+'LINEST VARS'!$P$64*(12.73)+'LINEST VARS'!$O$64*($R$104^2)+'LINEST VARS'!$N$64*($B124^2)+'LINEST VARS'!$M$64*(4^2)+'LINEST VARS'!$L$64*(0.5^2)+'LINEST VARS'!$K$64*(12.73^2)+'LINEST VARS'!$J$64*($R$104*$B124)+'LINEST VARS'!$I$64*($R$104*4)+'LINEST VARS'!$H$64*($R$104*0.5)+'LINEST VARS'!$G$64*($R$104*12.73)+'LINEST VARS'!$F$64*($B124*4)+'LINEST VARS'!$E$64*($B124*0.5)+'LINEST VARS'!$D$64*($B124*12.73)+'LINEST VARS'!$C$64*(4*0.5)+'LINEST VARS'!$B$64*(4*12.73)+'LINEST VARS'!$A$64*(0.5*12.73)</f>
        <v>164.18999999999991</v>
      </c>
      <c r="S124" s="55">
        <f>'LINEST VARS'!$U$64+'LINEST VARS'!$T$64*($S$104)+'LINEST VARS'!$S$64*($B124)+'LINEST VARS'!$R$64*(4)+'LINEST VARS'!$Q$64*(0.5)+'LINEST VARS'!$P$64*(12.73)+'LINEST VARS'!$O$64*($S$104^2)+'LINEST VARS'!$N$64*($B124^2)+'LINEST VARS'!$M$64*(4^2)+'LINEST VARS'!$L$64*(0.5^2)+'LINEST VARS'!$K$64*(12.73^2)+'LINEST VARS'!$J$64*($S$104*$B124)+'LINEST VARS'!$I$64*($S$104*4)+'LINEST VARS'!$H$64*($S$104*0.5)+'LINEST VARS'!$G$64*($S$104*12.73)+'LINEST VARS'!$F$64*($B124*4)+'LINEST VARS'!$E$64*($B124*0.5)+'LINEST VARS'!$D$64*($B124*12.73)+'LINEST VARS'!$C$64*(4*0.5)+'LINEST VARS'!$B$64*(4*12.73)+'LINEST VARS'!$A$64*(0.5*12.73)</f>
        <v>164.18999999999991</v>
      </c>
      <c r="T124" s="55">
        <f>'LINEST VARS'!$U$64+'LINEST VARS'!$T$64*($T$104)+'LINEST VARS'!$S$64*($B124)+'LINEST VARS'!$R$64*(4)+'LINEST VARS'!$Q$64*(0.5)+'LINEST VARS'!$P$64*(12.73)+'LINEST VARS'!$O$64*($T$104^2)+'LINEST VARS'!$N$64*($B124^2)+'LINEST VARS'!$M$64*(4^2)+'LINEST VARS'!$L$64*(0.5^2)+'LINEST VARS'!$K$64*(12.73^2)+'LINEST VARS'!$J$64*($T$104*$B124)+'LINEST VARS'!$I$64*($T$104*4)+'LINEST VARS'!$H$64*($T$104*0.5)+'LINEST VARS'!$G$64*($T$104*12.73)+'LINEST VARS'!$F$64*($B124*4)+'LINEST VARS'!$E$64*($B124*0.5)+'LINEST VARS'!$D$64*($B124*12.73)+'LINEST VARS'!$C$64*(4*0.5)+'LINEST VARS'!$B$64*(4*12.73)+'LINEST VARS'!$A$64*(0.5*12.73)</f>
        <v>164.18999999999991</v>
      </c>
      <c r="U124" s="55">
        <f>'LINEST VARS'!$U$64+'LINEST VARS'!$T$64*($U$104)+'LINEST VARS'!$S$64*($B124)+'LINEST VARS'!$R$64*(4)+'LINEST VARS'!$Q$64*(0.5)+'LINEST VARS'!$P$64*(12.73)+'LINEST VARS'!$O$64*($U$104^2)+'LINEST VARS'!$N$64*($B124^2)+'LINEST VARS'!$M$64*(4^2)+'LINEST VARS'!$L$64*(0.5^2)+'LINEST VARS'!$K$64*(12.73^2)+'LINEST VARS'!$J$64*($U$104*$B124)+'LINEST VARS'!$I$64*($U$104*4)+'LINEST VARS'!$H$64*($U$104*0.5)+'LINEST VARS'!$G$64*($U$104*12.73)+'LINEST VARS'!$F$64*($B124*4)+'LINEST VARS'!$E$64*($B124*0.5)+'LINEST VARS'!$D$64*($B124*12.73)+'LINEST VARS'!$C$64*(4*0.5)+'LINEST VARS'!$B$64*(4*12.73)+'LINEST VARS'!$A$64*(0.5*12.73)</f>
        <v>164.18999999999991</v>
      </c>
      <c r="V124" s="55">
        <f>'LINEST VARS'!$U$64+'LINEST VARS'!$T$64*($V$104)+'LINEST VARS'!$S$64*($B124)+'LINEST VARS'!$R$64*(4)+'LINEST VARS'!$Q$64*(0.5)+'LINEST VARS'!$P$64*(12.73)+'LINEST VARS'!$O$64*($V$104^2)+'LINEST VARS'!$N$64*($B124^2)+'LINEST VARS'!$M$64*(4^2)+'LINEST VARS'!$L$64*(0.5^2)+'LINEST VARS'!$K$64*(12.73^2)+'LINEST VARS'!$J$64*($V$104*$B124)+'LINEST VARS'!$I$64*($V$104*4)+'LINEST VARS'!$H$64*($V$104*0.5)+'LINEST VARS'!$G$64*($V$104*12.73)+'LINEST VARS'!$F$64*($B124*4)+'LINEST VARS'!$E$64*($B124*0.5)+'LINEST VARS'!$D$64*($B124*12.73)+'LINEST VARS'!$C$64*(4*0.5)+'LINEST VARS'!$B$64*(4*12.73)+'LINEST VARS'!$A$64*(0.5*12.73)</f>
        <v>164.18999999999991</v>
      </c>
      <c r="W124" s="56">
        <f>'LINEST VARS'!$U$64+'LINEST VARS'!$T$64*($W$104)+'LINEST VARS'!$S$64*($B124)+'LINEST VARS'!$R$64*(4)+'LINEST VARS'!$Q$64*(0.5)+'LINEST VARS'!$P$64*(12.73)+'LINEST VARS'!$O$64*($W$104^2)+'LINEST VARS'!$N$64*($B124^2)+'LINEST VARS'!$M$64*(4^2)+'LINEST VARS'!$L$64*(0.5^2)+'LINEST VARS'!$K$64*(12.73^2)+'LINEST VARS'!$J$64*($W$104*$B124)+'LINEST VARS'!$I$64*($W$104*4)+'LINEST VARS'!$H$64*($W$104*0.5)+'LINEST VARS'!$G$64*($W$104*12.73)+'LINEST VARS'!$F$64*($B124*4)+'LINEST VARS'!$E$64*($B124*0.5)+'LINEST VARS'!$D$64*($B124*12.73)+'LINEST VARS'!$C$64*(4*0.5)+'LINEST VARS'!$B$64*(4*12.73)+'LINEST VARS'!$A$64*(0.5*12.73)</f>
        <v>164.18999999999991</v>
      </c>
      <c r="Z124" s="45">
        <v>8.5399999999999991</v>
      </c>
      <c r="AA124" s="46">
        <f>'LINEST VARS'!$U$66+'LINEST VARS'!$T$66*($AA$104)+'LINEST VARS'!$S$66*($Z124)+'LINEST VARS'!$R$66*(4)+'LINEST VARS'!$Q$66*(0.5)+'LINEST VARS'!$P$66*(12.73)+'LINEST VARS'!$O$66*($AA$104^2)+'LINEST VARS'!$N$66*($Z124^2)+'LINEST VARS'!$M$66*(4^2)+'LINEST VARS'!$L$66*(0.5^2)+'LINEST VARS'!$K$66*(12.73^2)+'LINEST VARS'!$J$66*($AA$104*$Z124)+'LINEST VARS'!$I$66*($AA$104*4)+'LINEST VARS'!$H$66*($AA$104*0.5)+'LINEST VARS'!$G$66*($AA$104*12.73)+'LINEST VARS'!$F$66*($Z124*4)+'LINEST VARS'!$E$66*($Z124*0.5)+'LINEST VARS'!$D$66*($Z124*12.73)+'LINEST VARS'!$C$66*(4*0.5)+'LINEST VARS'!$B$66*(4*12.73)+'LINEST VARS'!$A$66*(0.5*12.73)</f>
        <v>134.20000000000005</v>
      </c>
      <c r="AB124" s="46">
        <f>'LINEST VARS'!$U$66+'LINEST VARS'!$T$66*($AB$104)+'LINEST VARS'!$S$66*($Z124)+'LINEST VARS'!$R$66*(4)+'LINEST VARS'!$Q$66*(0.5)+'LINEST VARS'!$P$66*(12.73)+'LINEST VARS'!$O$66*($AB$104^2)+'LINEST VARS'!$N$66*($Z124^2)+'LINEST VARS'!$M$66*(4^2)+'LINEST VARS'!$L$66*(0.5^2)+'LINEST VARS'!$K$66*(12.73^2)+'LINEST VARS'!$J$66*($AB$104*$Z124)+'LINEST VARS'!$I$66*($AB$104*4)+'LINEST VARS'!$H$66*($AB$104*0.5)+'LINEST VARS'!$G$66*($AB$104*12.73)+'LINEST VARS'!$F$66*($Z124*4)+'LINEST VARS'!$E$66*($Z124*0.5)+'LINEST VARS'!$D$66*($Z124*12.73)+'LINEST VARS'!$C$66*(4*0.5)+'LINEST VARS'!$B$66*(4*12.73)+'LINEST VARS'!$A$66*(0.5*12.73)</f>
        <v>134.38000000000005</v>
      </c>
      <c r="AC124" s="46">
        <f>'LINEST VARS'!$U$66+'LINEST VARS'!$T$66*($AC$104)+'LINEST VARS'!$S$66*($Z124)+'LINEST VARS'!$R$66*(4)+'LINEST VARS'!$Q$66*(0.5)+'LINEST VARS'!$P$66*(12.73)+'LINEST VARS'!$O$66*($AC$104^2)+'LINEST VARS'!$N$66*($Z124^2)+'LINEST VARS'!$M$66*(4^2)+'LINEST VARS'!$L$66*(0.5^2)+'LINEST VARS'!$K$66*(12.73^2)+'LINEST VARS'!$J$66*($AC$104*$Z124)+'LINEST VARS'!$I$66*($AC$104*4)+'LINEST VARS'!$H$66*($AC$104*0.5)+'LINEST VARS'!$G$66*($AC$104*12.73)+'LINEST VARS'!$F$66*($Z124*4)+'LINEST VARS'!$E$66*($Z124*0.5)+'LINEST VARS'!$D$66*($Z124*12.73)+'LINEST VARS'!$C$66*(4*0.5)+'LINEST VARS'!$B$66*(4*12.73)+'LINEST VARS'!$A$66*(0.5*12.73)</f>
        <v>134.56000000000003</v>
      </c>
      <c r="AD124" s="46">
        <f>'LINEST VARS'!$U$66+'LINEST VARS'!$T$66*($AD$104)+'LINEST VARS'!$S$66*($Z124)+'LINEST VARS'!$R$66*(4)+'LINEST VARS'!$Q$66*(0.5)+'LINEST VARS'!$P$66*(12.73)+'LINEST VARS'!$O$66*($AD$104^2)+'LINEST VARS'!$N$66*($Z124^2)+'LINEST VARS'!$M$66*(4^2)+'LINEST VARS'!$L$66*(0.5^2)+'LINEST VARS'!$K$66*(12.73^2)+'LINEST VARS'!$J$66*($AD$104*$Z124)+'LINEST VARS'!$I$66*($AD$104*4)+'LINEST VARS'!$H$66*($AD$104*0.5)+'LINEST VARS'!$G$66*($AD$104*12.73)+'LINEST VARS'!$F$66*($Z124*4)+'LINEST VARS'!$E$66*($Z124*0.5)+'LINEST VARS'!$D$66*($Z124*12.73)+'LINEST VARS'!$C$66*(4*0.5)+'LINEST VARS'!$B$66*(4*12.73)+'LINEST VARS'!$A$66*(0.5*12.73)</f>
        <v>134.74000000000004</v>
      </c>
      <c r="AE124" s="46">
        <f>'LINEST VARS'!$U$66+'LINEST VARS'!$T$66*($AE$104)+'LINEST VARS'!$S$66*($Z124)+'LINEST VARS'!$R$66*(4)+'LINEST VARS'!$Q$66*(0.5)+'LINEST VARS'!$P$66*(12.73)+'LINEST VARS'!$O$66*($AE$104^2)+'LINEST VARS'!$N$66*($Z124^2)+'LINEST VARS'!$M$66*(4^2)+'LINEST VARS'!$L$66*(0.5^2)+'LINEST VARS'!$K$66*(12.73^2)+'LINEST VARS'!$J$66*($AE$104*$Z124)+'LINEST VARS'!$I$66*($AE$104*4)+'LINEST VARS'!$H$66*($AE$104*0.5)+'LINEST VARS'!$G$66*($AE$104*12.73)+'LINEST VARS'!$F$66*($Z124*4)+'LINEST VARS'!$E$66*($Z124*0.5)+'LINEST VARS'!$D$66*($Z124*12.73)+'LINEST VARS'!$C$66*(4*0.5)+'LINEST VARS'!$B$66*(4*12.73)+'LINEST VARS'!$A$66*(0.5*12.73)</f>
        <v>134.92000000000004</v>
      </c>
      <c r="AF124" s="46">
        <f>'LINEST VARS'!$U$66+'LINEST VARS'!$T$66*($AF$104)+'LINEST VARS'!$S$66*($Z124)+'LINEST VARS'!$R$66*(4)+'LINEST VARS'!$Q$66*(0.5)+'LINEST VARS'!$P$66*(12.73)+'LINEST VARS'!$O$66*($AF$104^2)+'LINEST VARS'!$N$66*($Z124^2)+'LINEST VARS'!$M$66*(4^2)+'LINEST VARS'!$L$66*(0.5^2)+'LINEST VARS'!$K$66*(12.73^2)+'LINEST VARS'!$J$66*($AF$104*$Z124)+'LINEST VARS'!$I$66*($AF$104*4)+'LINEST VARS'!$H$66*($AF$104*0.5)+'LINEST VARS'!$G$66*($AF$104*12.73)+'LINEST VARS'!$F$66*($Z124*4)+'LINEST VARS'!$E$66*($Z124*0.5)+'LINEST VARS'!$D$66*($Z124*12.73)+'LINEST VARS'!$C$66*(4*0.5)+'LINEST VARS'!$B$66*(4*12.73)+'LINEST VARS'!$A$66*(0.5*12.73)</f>
        <v>135.10000000000005</v>
      </c>
      <c r="AG124" s="46">
        <f>'LINEST VARS'!$U$66+'LINEST VARS'!$T$66*($AG$104)+'LINEST VARS'!$S$66*($Z124)+'LINEST VARS'!$R$66*(4)+'LINEST VARS'!$Q$66*(0.5)+'LINEST VARS'!$P$66*(12.73)+'LINEST VARS'!$O$66*($AG$104^2)+'LINEST VARS'!$N$66*($Z124^2)+'LINEST VARS'!$M$66*(4^2)+'LINEST VARS'!$L$66*(0.5^2)+'LINEST VARS'!$K$66*(12.73^2)+'LINEST VARS'!$J$66*($AG$104*$Z124)+'LINEST VARS'!$I$66*($AG$104*4)+'LINEST VARS'!$H$66*($AG$104*0.5)+'LINEST VARS'!$G$66*($AG$104*12.73)+'LINEST VARS'!$F$66*($Z124*4)+'LINEST VARS'!$E$66*($Z124*0.5)+'LINEST VARS'!$D$66*($Z124*12.73)+'LINEST VARS'!$C$66*(4*0.5)+'LINEST VARS'!$B$66*(4*12.73)+'LINEST VARS'!$A$66*(0.5*12.73)</f>
        <v>135.28000000000003</v>
      </c>
      <c r="AH124" s="46">
        <f>'LINEST VARS'!$U$66+'LINEST VARS'!$T$66*($AH$104)+'LINEST VARS'!$S$66*($Z124)+'LINEST VARS'!$R$66*(4)+'LINEST VARS'!$Q$66*(0.5)+'LINEST VARS'!$P$66*(12.73)+'LINEST VARS'!$O$66*($AH$104^2)+'LINEST VARS'!$N$66*($Z124^2)+'LINEST VARS'!$M$66*(4^2)+'LINEST VARS'!$L$66*(0.5^2)+'LINEST VARS'!$K$66*(12.73^2)+'LINEST VARS'!$J$66*($AH$104*$Z124)+'LINEST VARS'!$I$66*($AH$104*4)+'LINEST VARS'!$H$66*($AH$104*0.5)+'LINEST VARS'!$G$66*($AH$104*12.73)+'LINEST VARS'!$F$66*($Z124*4)+'LINEST VARS'!$E$66*($Z124*0.5)+'LINEST VARS'!$D$66*($Z124*12.73)+'LINEST VARS'!$C$66*(4*0.5)+'LINEST VARS'!$B$66*(4*12.73)+'LINEST VARS'!$A$66*(0.5*12.73)</f>
        <v>135.46000000000004</v>
      </c>
      <c r="AI124" s="46">
        <f>'LINEST VARS'!$U$66+'LINEST VARS'!$T$66*($AI$104)+'LINEST VARS'!$S$66*($Z124)+'LINEST VARS'!$R$66*(4)+'LINEST VARS'!$Q$66*(0.5)+'LINEST VARS'!$P$66*(12.73)+'LINEST VARS'!$O$66*($AI$104^2)+'LINEST VARS'!$N$66*($Z124^2)+'LINEST VARS'!$M$66*(4^2)+'LINEST VARS'!$L$66*(0.5^2)+'LINEST VARS'!$K$66*(12.73^2)+'LINEST VARS'!$J$66*($AI$104*$Z124)+'LINEST VARS'!$I$66*($AI$104*4)+'LINEST VARS'!$H$66*($AI$104*0.5)+'LINEST VARS'!$G$66*($AI$104*12.73)+'LINEST VARS'!$F$66*($Z124*4)+'LINEST VARS'!$E$66*($Z124*0.5)+'LINEST VARS'!$D$66*($Z124*12.73)+'LINEST VARS'!$C$66*(4*0.5)+'LINEST VARS'!$B$66*(4*12.73)+'LINEST VARS'!$A$66*(0.5*12.73)</f>
        <v>135.64000000000004</v>
      </c>
      <c r="AJ124" s="46">
        <f>'LINEST VARS'!$U$66+'LINEST VARS'!$T$66*($AJ$104)+'LINEST VARS'!$S$66*($Z124)+'LINEST VARS'!$R$66*(4)+'LINEST VARS'!$Q$66*(0.5)+'LINEST VARS'!$P$66*(12.73)+'LINEST VARS'!$O$66*($AJ$104^2)+'LINEST VARS'!$N$66*($Z124^2)+'LINEST VARS'!$M$66*(4^2)+'LINEST VARS'!$L$66*(0.5^2)+'LINEST VARS'!$K$66*(12.73^2)+'LINEST VARS'!$J$66*($AJ$104*$Z124)+'LINEST VARS'!$I$66*($AJ$104*4)+'LINEST VARS'!$H$66*($AJ$104*0.5)+'LINEST VARS'!$G$66*($AJ$104*12.73)+'LINEST VARS'!$F$66*($Z124*4)+'LINEST VARS'!$E$66*($Z124*0.5)+'LINEST VARS'!$D$66*($Z124*12.73)+'LINEST VARS'!$C$66*(4*0.5)+'LINEST VARS'!$B$66*(4*12.73)+'LINEST VARS'!$A$66*(0.5*12.73)</f>
        <v>135.82000000000005</v>
      </c>
      <c r="AK124" s="46">
        <f>'LINEST VARS'!$U$66+'LINEST VARS'!$T$66*($AK$104)+'LINEST VARS'!$S$66*($Z124)+'LINEST VARS'!$R$66*(4)+'LINEST VARS'!$Q$66*(0.5)+'LINEST VARS'!$P$66*(12.73)+'LINEST VARS'!$O$66*($AK$104^2)+'LINEST VARS'!$N$66*($Z124^2)+'LINEST VARS'!$M$66*(4^2)+'LINEST VARS'!$L$66*(0.5^2)+'LINEST VARS'!$K$66*(12.73^2)+'LINEST VARS'!$J$66*($AK$104*$Z124)+'LINEST VARS'!$I$66*($AK$104*4)+'LINEST VARS'!$H$66*($AK$104*0.5)+'LINEST VARS'!$G$66*($AK$104*12.73)+'LINEST VARS'!$F$66*($Z124*4)+'LINEST VARS'!$E$66*($Z124*0.5)+'LINEST VARS'!$D$66*($Z124*12.73)+'LINEST VARS'!$C$66*(4*0.5)+'LINEST VARS'!$B$66*(4*12.73)+'LINEST VARS'!$A$66*(0.5*12.73)</f>
        <v>136.00000000000003</v>
      </c>
      <c r="AL124" s="46">
        <f>'LINEST VARS'!$U$66+'LINEST VARS'!$T$66*($AL$104)+'LINEST VARS'!$S$66*($Z124)+'LINEST VARS'!$R$66*(4)+'LINEST VARS'!$Q$66*(0.5)+'LINEST VARS'!$P$66*(12.73)+'LINEST VARS'!$O$66*($AL$104^2)+'LINEST VARS'!$N$66*($Z124^2)+'LINEST VARS'!$M$66*(4^2)+'LINEST VARS'!$L$66*(0.5^2)+'LINEST VARS'!$K$66*(12.73^2)+'LINEST VARS'!$J$66*($AL$104*$Z124)+'LINEST VARS'!$I$66*($AL$104*4)+'LINEST VARS'!$H$66*($AL$104*0.5)+'LINEST VARS'!$G$66*($AL$104*12.73)+'LINEST VARS'!$F$66*($Z124*4)+'LINEST VARS'!$E$66*($Z124*0.5)+'LINEST VARS'!$D$66*($Z124*12.73)+'LINEST VARS'!$C$66*(4*0.5)+'LINEST VARS'!$B$66*(4*12.73)+'LINEST VARS'!$A$66*(0.5*12.73)</f>
        <v>136.18000000000004</v>
      </c>
      <c r="AM124" s="46">
        <f>'LINEST VARS'!$U$66+'LINEST VARS'!$T$66*($AM$104)+'LINEST VARS'!$S$66*($Z124)+'LINEST VARS'!$R$66*(4)+'LINEST VARS'!$Q$66*(0.5)+'LINEST VARS'!$P$66*(12.73)+'LINEST VARS'!$O$66*($AM$104^2)+'LINEST VARS'!$N$66*($Z124^2)+'LINEST VARS'!$M$66*(4^2)+'LINEST VARS'!$L$66*(0.5^2)+'LINEST VARS'!$K$66*(12.73^2)+'LINEST VARS'!$J$66*($AM$104*$Z124)+'LINEST VARS'!$I$66*($AM$104*4)+'LINEST VARS'!$H$66*($AM$104*0.5)+'LINEST VARS'!$G$66*($AM$104*12.73)+'LINEST VARS'!$F$66*($Z124*4)+'LINEST VARS'!$E$66*($Z124*0.5)+'LINEST VARS'!$D$66*($Z124*12.73)+'LINEST VARS'!$C$66*(4*0.5)+'LINEST VARS'!$B$66*(4*12.73)+'LINEST VARS'!$A$66*(0.5*12.73)</f>
        <v>136.36000000000004</v>
      </c>
      <c r="AN124" s="46">
        <f>'LINEST VARS'!$U$66+'LINEST VARS'!$T$66*($AN$104)+'LINEST VARS'!$S$66*($Z124)+'LINEST VARS'!$R$66*(4)+'LINEST VARS'!$Q$66*(0.5)+'LINEST VARS'!$P$66*(12.73)+'LINEST VARS'!$O$66*($AN$104^2)+'LINEST VARS'!$N$66*($Z124^2)+'LINEST VARS'!$M$66*(4^2)+'LINEST VARS'!$L$66*(0.5^2)+'LINEST VARS'!$K$66*(12.73^2)+'LINEST VARS'!$J$66*($AN$104*$Z124)+'LINEST VARS'!$I$66*($AN$104*4)+'LINEST VARS'!$H$66*($AN$104*0.5)+'LINEST VARS'!$G$66*($AN$104*12.73)+'LINEST VARS'!$F$66*($Z124*4)+'LINEST VARS'!$E$66*($Z124*0.5)+'LINEST VARS'!$D$66*($Z124*12.73)+'LINEST VARS'!$C$66*(4*0.5)+'LINEST VARS'!$B$66*(4*12.73)+'LINEST VARS'!$A$66*(0.5*12.73)</f>
        <v>136.54000000000005</v>
      </c>
      <c r="AO124" s="46">
        <f>'LINEST VARS'!$U$66+'LINEST VARS'!$T$66*($AO$104)+'LINEST VARS'!$S$66*($Z124)+'LINEST VARS'!$R$66*(4)+'LINEST VARS'!$Q$66*(0.5)+'LINEST VARS'!$P$66*(12.73)+'LINEST VARS'!$O$66*($AO$104^2)+'LINEST VARS'!$N$66*($Z124^2)+'LINEST VARS'!$M$66*(4^2)+'LINEST VARS'!$L$66*(0.5^2)+'LINEST VARS'!$K$66*(12.73^2)+'LINEST VARS'!$J$66*($AO$104*$Z124)+'LINEST VARS'!$I$66*($AO$104*4)+'LINEST VARS'!$H$66*($AO$104*0.5)+'LINEST VARS'!$G$66*($AO$104*12.73)+'LINEST VARS'!$F$66*($Z124*4)+'LINEST VARS'!$E$66*($Z124*0.5)+'LINEST VARS'!$D$66*($Z124*12.73)+'LINEST VARS'!$C$66*(4*0.5)+'LINEST VARS'!$B$66*(4*12.73)+'LINEST VARS'!$A$66*(0.5*12.73)</f>
        <v>136.72000000000003</v>
      </c>
      <c r="AP124" s="46">
        <f>'LINEST VARS'!$U$66+'LINEST VARS'!$T$66*($AP$104)+'LINEST VARS'!$S$66*($Z124)+'LINEST VARS'!$R$66*(4)+'LINEST VARS'!$Q$66*(0.5)+'LINEST VARS'!$P$66*(12.73)+'LINEST VARS'!$O$66*($AP$104^2)+'LINEST VARS'!$N$66*($Z124^2)+'LINEST VARS'!$M$66*(4^2)+'LINEST VARS'!$L$66*(0.5^2)+'LINEST VARS'!$K$66*(12.73^2)+'LINEST VARS'!$J$66*($AP$104*$Z124)+'LINEST VARS'!$I$66*($AP$104*4)+'LINEST VARS'!$H$66*($AP$104*0.5)+'LINEST VARS'!$G$66*($AP$104*12.73)+'LINEST VARS'!$F$66*($Z124*4)+'LINEST VARS'!$E$66*($Z124*0.5)+'LINEST VARS'!$D$66*($Z124*12.73)+'LINEST VARS'!$C$66*(4*0.5)+'LINEST VARS'!$B$66*(4*12.73)+'LINEST VARS'!$A$66*(0.5*12.73)</f>
        <v>136.90000000000003</v>
      </c>
      <c r="AQ124" s="46">
        <f>'LINEST VARS'!$U$66+'LINEST VARS'!$T$66*($AQ$104)+'LINEST VARS'!$S$66*($Z124)+'LINEST VARS'!$R$66*(4)+'LINEST VARS'!$Q$66*(0.5)+'LINEST VARS'!$P$66*(12.73)+'LINEST VARS'!$O$66*($AQ$104^2)+'LINEST VARS'!$N$66*($Z124^2)+'LINEST VARS'!$M$66*(4^2)+'LINEST VARS'!$L$66*(0.5^2)+'LINEST VARS'!$K$66*(12.73^2)+'LINEST VARS'!$J$66*($AQ$104*$Z124)+'LINEST VARS'!$I$66*($AQ$104*4)+'LINEST VARS'!$H$66*($AQ$104*0.5)+'LINEST VARS'!$G$66*($AQ$104*12.73)+'LINEST VARS'!$F$66*($Z124*4)+'LINEST VARS'!$E$66*($Z124*0.5)+'LINEST VARS'!$D$66*($Z124*12.73)+'LINEST VARS'!$C$66*(4*0.5)+'LINEST VARS'!$B$66*(4*12.73)+'LINEST VARS'!$A$66*(0.5*12.73)</f>
        <v>137.08000000000004</v>
      </c>
      <c r="AR124" s="46">
        <f>'LINEST VARS'!$U$66+'LINEST VARS'!$T$66*($AR$104)+'LINEST VARS'!$S$66*($Z124)+'LINEST VARS'!$R$66*(4)+'LINEST VARS'!$Q$66*(0.5)+'LINEST VARS'!$P$66*(12.73)+'LINEST VARS'!$O$66*($AR$104^2)+'LINEST VARS'!$N$66*($Z124^2)+'LINEST VARS'!$M$66*(4^2)+'LINEST VARS'!$L$66*(0.5^2)+'LINEST VARS'!$K$66*(12.73^2)+'LINEST VARS'!$J$66*($AR$104*$Z124)+'LINEST VARS'!$I$66*($AR$104*4)+'LINEST VARS'!$H$66*($AR$104*0.5)+'LINEST VARS'!$G$66*($AR$104*12.73)+'LINEST VARS'!$F$66*($Z124*4)+'LINEST VARS'!$E$66*($Z124*0.5)+'LINEST VARS'!$D$66*($Z124*12.73)+'LINEST VARS'!$C$66*(4*0.5)+'LINEST VARS'!$B$66*(4*12.73)+'LINEST VARS'!$A$66*(0.5*12.73)</f>
        <v>137.26000000000005</v>
      </c>
      <c r="AS124" s="46">
        <f>'LINEST VARS'!$U$66+'LINEST VARS'!$T$66*($AS$104)+'LINEST VARS'!$S$66*($Z124)+'LINEST VARS'!$R$66*(4)+'LINEST VARS'!$Q$66*(0.5)+'LINEST VARS'!$P$66*(12.73)+'LINEST VARS'!$O$66*($AS$104^2)+'LINEST VARS'!$N$66*($Z124^2)+'LINEST VARS'!$M$66*(4^2)+'LINEST VARS'!$L$66*(0.5^2)+'LINEST VARS'!$K$66*(12.73^2)+'LINEST VARS'!$J$66*($AS$104*$Z124)+'LINEST VARS'!$I$66*($AS$104*4)+'LINEST VARS'!$H$66*($AS$104*0.5)+'LINEST VARS'!$G$66*($AS$104*12.73)+'LINEST VARS'!$F$66*($Z124*4)+'LINEST VARS'!$E$66*($Z124*0.5)+'LINEST VARS'!$D$66*($Z124*12.73)+'LINEST VARS'!$C$66*(4*0.5)+'LINEST VARS'!$B$66*(4*12.73)+'LINEST VARS'!$A$66*(0.5*12.73)</f>
        <v>137.44000000000003</v>
      </c>
      <c r="AT124" s="46">
        <f>'LINEST VARS'!$U$66+'LINEST VARS'!$T$66*($AT$104)+'LINEST VARS'!$S$66*($Z124)+'LINEST VARS'!$R$66*(4)+'LINEST VARS'!$Q$66*(0.5)+'LINEST VARS'!$P$66*(12.73)+'LINEST VARS'!$O$66*($AT$104^2)+'LINEST VARS'!$N$66*($Z124^2)+'LINEST VARS'!$M$66*(4^2)+'LINEST VARS'!$L$66*(0.5^2)+'LINEST VARS'!$K$66*(12.73^2)+'LINEST VARS'!$J$66*($AT$104*$Z124)+'LINEST VARS'!$I$66*($AT$104*4)+'LINEST VARS'!$H$66*($AT$104*0.5)+'LINEST VARS'!$G$66*($AT$104*12.73)+'LINEST VARS'!$F$66*($Z124*4)+'LINEST VARS'!$E$66*($Z124*0.5)+'LINEST VARS'!$D$66*($Z124*12.73)+'LINEST VARS'!$C$66*(4*0.5)+'LINEST VARS'!$B$66*(4*12.73)+'LINEST VARS'!$A$66*(0.5*12.73)</f>
        <v>137.62000000000003</v>
      </c>
      <c r="AU124" s="47">
        <f>'LINEST VARS'!$U$66+'LINEST VARS'!$T$66*($AU$104)+'LINEST VARS'!$S$66*($Z124)+'LINEST VARS'!$R$66*(4)+'LINEST VARS'!$Q$66*(0.5)+'LINEST VARS'!$P$66*(12.73)+'LINEST VARS'!$O$66*($AU$104^2)+'LINEST VARS'!$N$66*($Z124^2)+'LINEST VARS'!$M$66*(4^2)+'LINEST VARS'!$L$66*(0.5^2)+'LINEST VARS'!$K$66*(12.73^2)+'LINEST VARS'!$J$66*($AU$104*$Z124)+'LINEST VARS'!$I$66*($AU$104*4)+'LINEST VARS'!$H$66*($AU$104*0.5)+'LINEST VARS'!$G$66*($AU$104*12.73)+'LINEST VARS'!$F$66*($Z124*4)+'LINEST VARS'!$E$66*($Z124*0.5)+'LINEST VARS'!$D$66*($Z124*12.73)+'LINEST VARS'!$C$66*(4*0.5)+'LINEST VARS'!$B$66*(4*12.73)+'LINEST VARS'!$A$66*(0.5*12.73)</f>
        <v>137.80000000000004</v>
      </c>
      <c r="AZ124" s="45">
        <v>0.95</v>
      </c>
      <c r="BA124" s="55">
        <f>'LINEST VARS'!$U$64+'LINEST VARS'!$T$64*(8)+'LINEST VARS'!$S$64*(8)+'LINEST VARS'!$R$64*($BA$104)+'LINEST VARS'!$Q$64*($AZ124)+'LINEST VARS'!$P$64*(12.73)+'LINEST VARS'!$O$64*(8^2)+'LINEST VARS'!$N$64*(8^2)+'LINEST VARS'!$M$64*($BA$104^2)+'LINEST VARS'!$L$64*($AZ124^2)+'LINEST VARS'!$K$64*(12.73^2)+'LINEST VARS'!$J$64*(8*8)+'LINEST VARS'!$I$64*(8*$BA$104)+'LINEST VARS'!$H$64*(8*$AZ124)+'LINEST VARS'!$G$64*(8*12.73)+'LINEST VARS'!$F$64*(8*$BA$104)+'LINEST VARS'!$E$64*(8*$AZ124)+'LINEST VARS'!$D$64*(8*12.73)+'LINEST VARS'!$C$64*($BA$104*$AZ124)+'LINEST VARS'!$B$64*($BA$104*12.73)+'LINEST VARS'!$A$64*($AZ124*12.73)</f>
        <v>148.18999999999991</v>
      </c>
      <c r="BB124" s="55">
        <f>'LINEST VARS'!$U$64+'LINEST VARS'!$T$64*(8)+'LINEST VARS'!$S$64*(8)+'LINEST VARS'!$R$64*($BB$104)+'LINEST VARS'!$Q$64*($AZ124)+'LINEST VARS'!$P$64*(12.73)+'LINEST VARS'!$O$64*(8^2)+'LINEST VARS'!$N$64*(8^2)+'LINEST VARS'!$M$64*($BB$104^2)+'LINEST VARS'!$L$64*($AZ124^2)+'LINEST VARS'!$K$64*(12.73^2)+'LINEST VARS'!$J$64*(8*8)+'LINEST VARS'!$I$64*(8*$BB$104)+'LINEST VARS'!$H$64*(8*$AZ124)+'LINEST VARS'!$G$64*(8*12.73)+'LINEST VARS'!$F$64*(8*$BB$104)+'LINEST VARS'!$E$64*(8*$AZ124)+'LINEST VARS'!$D$64*(8*12.73)+'LINEST VARS'!$C$64*($BB$104*$AZ124)+'LINEST VARS'!$B$64*($BB$104*12.73)+'LINEST VARS'!$A$64*($AZ124*12.73)</f>
        <v>149.78999999999988</v>
      </c>
      <c r="BC124" s="55">
        <f>'LINEST VARS'!$U$64+'LINEST VARS'!$T$64*(8)+'LINEST VARS'!$S$64*(8)+'LINEST VARS'!$R$64*($BC$104)+'LINEST VARS'!$Q$64*($AZ124)+'LINEST VARS'!$P$64*(12.73)+'LINEST VARS'!$O$64*(8^2)+'LINEST VARS'!$N$64*(8^2)+'LINEST VARS'!$M$64*($BC$104^2)+'LINEST VARS'!$L$64*($AZ124^2)+'LINEST VARS'!$K$64*(12.73^2)+'LINEST VARS'!$J$64*(8*8)+'LINEST VARS'!$I$64*(8*$BC$104)+'LINEST VARS'!$H$64*(8*$AZ124)+'LINEST VARS'!$G$64*(8*12.73)+'LINEST VARS'!$F$64*(8*$BC$104)+'LINEST VARS'!$E$64*(8*$AZ124)+'LINEST VARS'!$D$64*(8*12.73)+'LINEST VARS'!$C$64*($BC$104*$AZ124)+'LINEST VARS'!$B$64*($BC$104*12.73)+'LINEST VARS'!$A$64*($AZ124*12.73)</f>
        <v>151.3899999999999</v>
      </c>
      <c r="BD124" s="55">
        <f>'LINEST VARS'!$U$64+'LINEST VARS'!$T$64*(8)+'LINEST VARS'!$S$64*(8)+'LINEST VARS'!$R$64*($BD$104)+'LINEST VARS'!$Q$64*($AZ124)+'LINEST VARS'!$P$64*(12.73)+'LINEST VARS'!$O$64*(8^2)+'LINEST VARS'!$N$64*(8^2)+'LINEST VARS'!$M$64*($BD$104^2)+'LINEST VARS'!$L$64*($AZ124^2)+'LINEST VARS'!$K$64*(12.73^2)+'LINEST VARS'!$J$64*(8*8)+'LINEST VARS'!$I$64*(8*$BD$104)+'LINEST VARS'!$H$64*(8*$AZ124)+'LINEST VARS'!$G$64*(8*12.73)+'LINEST VARS'!$F$64*(8*$BD$104)+'LINEST VARS'!$E$64*(8*$AZ124)+'LINEST VARS'!$D$64*(8*12.73)+'LINEST VARS'!$C$64*($BD$104*$AZ124)+'LINEST VARS'!$B$64*($BD$104*12.73)+'LINEST VARS'!$A$64*($AZ124*12.73)</f>
        <v>152.9899999999999</v>
      </c>
      <c r="BE124" s="55">
        <f>'LINEST VARS'!$U$64+'LINEST VARS'!$T$64*(8)+'LINEST VARS'!$S$64*(8)+'LINEST VARS'!$R$64*($BE$104)+'LINEST VARS'!$Q$64*($AZ124)+'LINEST VARS'!$P$64*(12.73)+'LINEST VARS'!$O$64*(8^2)+'LINEST VARS'!$N$64*(8^2)+'LINEST VARS'!$M$64*($BE$104^2)+'LINEST VARS'!$L$64*($AZ124^2)+'LINEST VARS'!$K$64*(12.73^2)+'LINEST VARS'!$J$64*(8*8)+'LINEST VARS'!$I$64*(8*$BE$104)+'LINEST VARS'!$H$64*(8*$AZ124)+'LINEST VARS'!$G$64*(8*12.73)+'LINEST VARS'!$F$64*(8*$BE$104)+'LINEST VARS'!$E$64*(8*$AZ124)+'LINEST VARS'!$D$64*(8*12.73)+'LINEST VARS'!$C$64*($BE$104*$AZ124)+'LINEST VARS'!$B$64*($BE$104*12.73)+'LINEST VARS'!$A$64*($AZ124*12.73)</f>
        <v>154.58999999999989</v>
      </c>
      <c r="BF124" s="55">
        <f>'LINEST VARS'!$U$64+'LINEST VARS'!$T$64*(8)+'LINEST VARS'!$S$64*(8)+'LINEST VARS'!$R$64*($BF$104)+'LINEST VARS'!$Q$64*($AZ124)+'LINEST VARS'!$P$64*(12.73)+'LINEST VARS'!$O$64*(8^2)+'LINEST VARS'!$N$64*(8^2)+'LINEST VARS'!$M$64*($BF$104^2)+'LINEST VARS'!$L$64*($AZ124^2)+'LINEST VARS'!$K$64*(12.73^2)+'LINEST VARS'!$J$64*(8*8)+'LINEST VARS'!$I$64*(8*$BF$104)+'LINEST VARS'!$H$64*(8*$AZ124)+'LINEST VARS'!$G$64*(8*12.73)+'LINEST VARS'!$F$64*(8*$BF$104)+'LINEST VARS'!$E$64*(8*$AZ124)+'LINEST VARS'!$D$64*(8*12.73)+'LINEST VARS'!$C$64*($BF$104*$AZ124)+'LINEST VARS'!$B$64*($BF$104*12.73)+'LINEST VARS'!$A$64*($AZ124*12.73)</f>
        <v>156.18999999999991</v>
      </c>
      <c r="BG124" s="55">
        <f>'LINEST VARS'!$U$64+'LINEST VARS'!$T$64*(8)+'LINEST VARS'!$S$64*(8)+'LINEST VARS'!$R$64*($BG$104)+'LINEST VARS'!$Q$64*($AZ124)+'LINEST VARS'!$P$64*(12.73)+'LINEST VARS'!$O$64*(8^2)+'LINEST VARS'!$N$64*(8^2)+'LINEST VARS'!$M$64*($BG$104^2)+'LINEST VARS'!$L$64*($AZ124^2)+'LINEST VARS'!$K$64*(12.73^2)+'LINEST VARS'!$J$64*(8*8)+'LINEST VARS'!$I$64*(8*$BG$104)+'LINEST VARS'!$H$64*(8*$AZ124)+'LINEST VARS'!$G$64*(8*12.73)+'LINEST VARS'!$F$64*(8*$BG$104)+'LINEST VARS'!$E$64*(8*$AZ124)+'LINEST VARS'!$D$64*(8*12.73)+'LINEST VARS'!$C$64*($BG$104*$AZ124)+'LINEST VARS'!$B$64*($BG$104*12.73)+'LINEST VARS'!$A$64*($AZ124*12.73)</f>
        <v>157.78999999999988</v>
      </c>
      <c r="BH124" s="55">
        <f>'LINEST VARS'!$U$64+'LINEST VARS'!$T$64*(8)+'LINEST VARS'!$S$64*(8)+'LINEST VARS'!$R$64*($BH$104)+'LINEST VARS'!$Q$64*($AZ124)+'LINEST VARS'!$P$64*(12.73)+'LINEST VARS'!$O$64*(8^2)+'LINEST VARS'!$N$64*(8^2)+'LINEST VARS'!$M$64*($BH$104^2)+'LINEST VARS'!$L$64*($AZ124^2)+'LINEST VARS'!$K$64*(12.73^2)+'LINEST VARS'!$J$64*(8*8)+'LINEST VARS'!$I$64*(8*$BH$104)+'LINEST VARS'!$H$64*(8*$AZ124)+'LINEST VARS'!$G$64*(8*12.73)+'LINEST VARS'!$F$64*(8*$BH$104)+'LINEST VARS'!$E$64*(8*$AZ124)+'LINEST VARS'!$D$64*(8*12.73)+'LINEST VARS'!$C$64*($BH$104*$AZ124)+'LINEST VARS'!$B$64*($BH$104*12.73)+'LINEST VARS'!$A$64*($AZ124*12.73)</f>
        <v>159.3899999999999</v>
      </c>
      <c r="BI124" s="55">
        <f>'LINEST VARS'!$U$64+'LINEST VARS'!$T$64*(8)+'LINEST VARS'!$S$64*(8)+'LINEST VARS'!$R$64*($BI$104)+'LINEST VARS'!$Q$64*($AZ124)+'LINEST VARS'!$P$64*(12.73)+'LINEST VARS'!$O$64*(8^2)+'LINEST VARS'!$N$64*(8^2)+'LINEST VARS'!$M$64*($BI$104^2)+'LINEST VARS'!$L$64*($AZ124^2)+'LINEST VARS'!$K$64*(12.73^2)+'LINEST VARS'!$J$64*(8*8)+'LINEST VARS'!$I$64*(8*$BI$104)+'LINEST VARS'!$H$64*(8*$AZ124)+'LINEST VARS'!$G$64*(8*12.73)+'LINEST VARS'!$F$64*(8*$BI$104)+'LINEST VARS'!$E$64*(8*$AZ124)+'LINEST VARS'!$D$64*(8*12.73)+'LINEST VARS'!$C$64*($BI$104*$AZ124)+'LINEST VARS'!$B$64*($BI$104*12.73)+'LINEST VARS'!$A$64*($AZ124*12.73)</f>
        <v>160.98999999999992</v>
      </c>
      <c r="BJ124" s="55">
        <f>'LINEST VARS'!$U$64+'LINEST VARS'!$T$64*(8)+'LINEST VARS'!$S$64*(8)+'LINEST VARS'!$R$64*($BJ$104)+'LINEST VARS'!$Q$64*($AZ124)+'LINEST VARS'!$P$64*(12.73)+'LINEST VARS'!$O$64*(8^2)+'LINEST VARS'!$N$64*(8^2)+'LINEST VARS'!$M$64*($BJ$104^2)+'LINEST VARS'!$L$64*($AZ124^2)+'LINEST VARS'!$K$64*(12.73^2)+'LINEST VARS'!$J$64*(8*8)+'LINEST VARS'!$I$64*(8*$BJ$104)+'LINEST VARS'!$H$64*(8*$AZ124)+'LINEST VARS'!$G$64*(8*12.73)+'LINEST VARS'!$F$64*(8*$BJ$104)+'LINEST VARS'!$E$64*(8*$AZ124)+'LINEST VARS'!$D$64*(8*12.73)+'LINEST VARS'!$C$64*($BJ$104*$AZ124)+'LINEST VARS'!$B$64*($BJ$104*12.73)+'LINEST VARS'!$A$64*($AZ124*12.73)</f>
        <v>162.58999999999989</v>
      </c>
      <c r="BK124" s="55">
        <f>'LINEST VARS'!$U$64+'LINEST VARS'!$T$64*(8)+'LINEST VARS'!$S$64*(8)+'LINEST VARS'!$R$64*($BK$104)+'LINEST VARS'!$Q$64*($AZ124)+'LINEST VARS'!$P$64*(12.73)+'LINEST VARS'!$O$64*(8^2)+'LINEST VARS'!$N$64*(8^2)+'LINEST VARS'!$M$64*($BK$104^2)+'LINEST VARS'!$L$64*($AZ124^2)+'LINEST VARS'!$K$64*(12.73^2)+'LINEST VARS'!$J$64*(8*8)+'LINEST VARS'!$I$64*(8*$BK$104)+'LINEST VARS'!$H$64*(8*$AZ124)+'LINEST VARS'!$G$64*(8*12.73)+'LINEST VARS'!$F$64*(8*$BK$104)+'LINEST VARS'!$E$64*(8*$AZ124)+'LINEST VARS'!$D$64*(8*12.73)+'LINEST VARS'!$C$64*($BK$104*$AZ124)+'LINEST VARS'!$B$64*($BK$104*12.73)+'LINEST VARS'!$A$64*($AZ124*12.73)</f>
        <v>164.18999999999991</v>
      </c>
      <c r="BL124" s="55">
        <f>'LINEST VARS'!$U$64+'LINEST VARS'!$T$64*(8)+'LINEST VARS'!$S$64*(8)+'LINEST VARS'!$R$64*($BL$104)+'LINEST VARS'!$Q$64*($AZ124)+'LINEST VARS'!$P$64*(12.73)+'LINEST VARS'!$O$64*(8^2)+'LINEST VARS'!$N$64*(8^2)+'LINEST VARS'!$M$64*($BL$104^2)+'LINEST VARS'!$L$64*($AZ124^2)+'LINEST VARS'!$K$64*(12.73^2)+'LINEST VARS'!$J$64*(8*8)+'LINEST VARS'!$I$64*(8*$BL$104)+'LINEST VARS'!$H$64*(8*$AZ124)+'LINEST VARS'!$G$64*(8*12.73)+'LINEST VARS'!$F$64*(8*$BL$104)+'LINEST VARS'!$E$64*(8*$AZ124)+'LINEST VARS'!$D$64*(8*12.73)+'LINEST VARS'!$C$64*($BL$104*$AZ124)+'LINEST VARS'!$B$64*($BL$104*12.73)+'LINEST VARS'!$A$64*($AZ124*12.73)</f>
        <v>165.78999999999991</v>
      </c>
      <c r="BM124" s="55">
        <f>'LINEST VARS'!$U$64+'LINEST VARS'!$T$64*(8)+'LINEST VARS'!$S$64*(8)+'LINEST VARS'!$R$64*($BM$104)+'LINEST VARS'!$Q$64*($AZ124)+'LINEST VARS'!$P$64*(12.73)+'LINEST VARS'!$O$64*(8^2)+'LINEST VARS'!$N$64*(8^2)+'LINEST VARS'!$M$64*($BM$104^2)+'LINEST VARS'!$L$64*($AZ124^2)+'LINEST VARS'!$K$64*(12.73^2)+'LINEST VARS'!$J$64*(8*8)+'LINEST VARS'!$I$64*(8*$BM$104)+'LINEST VARS'!$H$64*(8*$AZ124)+'LINEST VARS'!$G$64*(8*12.73)+'LINEST VARS'!$F$64*(8*$BM$104)+'LINEST VARS'!$E$64*(8*$AZ124)+'LINEST VARS'!$D$64*(8*12.73)+'LINEST VARS'!$C$64*($BM$104*$AZ124)+'LINEST VARS'!$B$64*($BM$104*12.73)+'LINEST VARS'!$A$64*($AZ124*12.73)</f>
        <v>167.3899999999999</v>
      </c>
      <c r="BN124" s="55">
        <f>'LINEST VARS'!$U$64+'LINEST VARS'!$T$64*(8)+'LINEST VARS'!$S$64*(8)+'LINEST VARS'!$R$64*($BN$104)+'LINEST VARS'!$Q$64*($AZ124)+'LINEST VARS'!$P$64*(12.73)+'LINEST VARS'!$O$64*(8^2)+'LINEST VARS'!$N$64*(8^2)+'LINEST VARS'!$M$64*($BN$104^2)+'LINEST VARS'!$L$64*($AZ124^2)+'LINEST VARS'!$K$64*(12.73^2)+'LINEST VARS'!$J$64*(8*8)+'LINEST VARS'!$I$64*(8*$BN$104)+'LINEST VARS'!$H$64*(8*$AZ124)+'LINEST VARS'!$G$64*(8*12.73)+'LINEST VARS'!$F$64*(8*$BN$104)+'LINEST VARS'!$E$64*(8*$AZ124)+'LINEST VARS'!$D$64*(8*12.73)+'LINEST VARS'!$C$64*($BN$104*$AZ124)+'LINEST VARS'!$B$64*($BN$104*12.73)+'LINEST VARS'!$A$64*($AZ124*12.73)</f>
        <v>168.98999999999992</v>
      </c>
      <c r="BO124" s="55">
        <f>'LINEST VARS'!$U$64+'LINEST VARS'!$T$64*(8)+'LINEST VARS'!$S$64*(8)+'LINEST VARS'!$R$64*($BO$104)+'LINEST VARS'!$Q$64*($AZ124)+'LINEST VARS'!$P$64*(12.73)+'LINEST VARS'!$O$64*(8^2)+'LINEST VARS'!$N$64*(8^2)+'LINEST VARS'!$M$64*($BO$104^2)+'LINEST VARS'!$L$64*($AZ124^2)+'LINEST VARS'!$K$64*(12.73^2)+'LINEST VARS'!$J$64*(8*8)+'LINEST VARS'!$I$64*(8*$BO$104)+'LINEST VARS'!$H$64*(8*$AZ124)+'LINEST VARS'!$G$64*(8*12.73)+'LINEST VARS'!$F$64*(8*$BO$104)+'LINEST VARS'!$E$64*(8*$AZ124)+'LINEST VARS'!$D$64*(8*12.73)+'LINEST VARS'!$C$64*($BO$104*$AZ124)+'LINEST VARS'!$B$64*($BO$104*12.73)+'LINEST VARS'!$A$64*($AZ124*12.73)</f>
        <v>170.58999999999986</v>
      </c>
      <c r="BP124" s="55">
        <f>'LINEST VARS'!$U$64+'LINEST VARS'!$T$64*(8)+'LINEST VARS'!$S$64*(8)+'LINEST VARS'!$R$64*($BP$104)+'LINEST VARS'!$Q$64*($AZ124)+'LINEST VARS'!$P$64*(12.73)+'LINEST VARS'!$O$64*(8^2)+'LINEST VARS'!$N$64*(8^2)+'LINEST VARS'!$M$64*($BP$104^2)+'LINEST VARS'!$L$64*($AZ124^2)+'LINEST VARS'!$K$64*(12.73^2)+'LINEST VARS'!$J$64*(8*8)+'LINEST VARS'!$I$64*(8*$BP$104)+'LINEST VARS'!$H$64*(8*$AZ124)+'LINEST VARS'!$G$64*(8*12.73)+'LINEST VARS'!$F$64*(8*$BP$104)+'LINEST VARS'!$E$64*(8*$AZ124)+'LINEST VARS'!$D$64*(8*12.73)+'LINEST VARS'!$C$64*($BP$104*$AZ124)+'LINEST VARS'!$B$64*($BP$104*12.73)+'LINEST VARS'!$A$64*($AZ124*12.73)</f>
        <v>172.18999999999988</v>
      </c>
      <c r="BQ124" s="55">
        <f>'LINEST VARS'!$U$64+'LINEST VARS'!$T$64*(8)+'LINEST VARS'!$S$64*(8)+'LINEST VARS'!$R$64*($BQ$104)+'LINEST VARS'!$Q$64*($AZ124)+'LINEST VARS'!$P$64*(12.73)+'LINEST VARS'!$O$64*(8^2)+'LINEST VARS'!$N$64*(8^2)+'LINEST VARS'!$M$64*($BQ$104^2)+'LINEST VARS'!$L$64*($AZ124^2)+'LINEST VARS'!$K$64*(12.73^2)+'LINEST VARS'!$J$64*(8*8)+'LINEST VARS'!$I$64*(8*$BQ$104)+'LINEST VARS'!$H$64*(8*$AZ124)+'LINEST VARS'!$G$64*(8*12.73)+'LINEST VARS'!$F$64*(8*$BQ$104)+'LINEST VARS'!$E$64*(8*$AZ124)+'LINEST VARS'!$D$64*(8*12.73)+'LINEST VARS'!$C$64*($BQ$104*$AZ124)+'LINEST VARS'!$B$64*($BQ$104*12.73)+'LINEST VARS'!$A$64*($AZ124*12.73)</f>
        <v>173.78999999999991</v>
      </c>
      <c r="BR124" s="55">
        <f>'LINEST VARS'!$U$64+'LINEST VARS'!$T$64*(8)+'LINEST VARS'!$S$64*(8)+'LINEST VARS'!$R$64*($BR$104)+'LINEST VARS'!$Q$64*($AZ124)+'LINEST VARS'!$P$64*(12.73)+'LINEST VARS'!$O$64*(8^2)+'LINEST VARS'!$N$64*(8^2)+'LINEST VARS'!$M$64*($BR$104^2)+'LINEST VARS'!$L$64*($AZ124^2)+'LINEST VARS'!$K$64*(12.73^2)+'LINEST VARS'!$J$64*(8*8)+'LINEST VARS'!$I$64*(8*$BR$104)+'LINEST VARS'!$H$64*(8*$AZ124)+'LINEST VARS'!$G$64*(8*12.73)+'LINEST VARS'!$F$64*(8*$BR$104)+'LINEST VARS'!$E$64*(8*$AZ124)+'LINEST VARS'!$D$64*(8*12.73)+'LINEST VARS'!$C$64*($BR$104*$AZ124)+'LINEST VARS'!$B$64*($BR$104*12.73)+'LINEST VARS'!$A$64*($AZ124*12.73)</f>
        <v>175.38999999999987</v>
      </c>
      <c r="BS124" s="55">
        <f>'LINEST VARS'!$U$64+'LINEST VARS'!$T$64*(8)+'LINEST VARS'!$S$64*(8)+'LINEST VARS'!$R$64*($BS$104)+'LINEST VARS'!$Q$64*($AZ124)+'LINEST VARS'!$P$64*(12.73)+'LINEST VARS'!$O$64*(8^2)+'LINEST VARS'!$N$64*(8^2)+'LINEST VARS'!$M$64*($BS$104^2)+'LINEST VARS'!$L$64*($AZ124^2)+'LINEST VARS'!$K$64*(12.73^2)+'LINEST VARS'!$J$64*(8*8)+'LINEST VARS'!$I$64*(8*$BS$104)+'LINEST VARS'!$H$64*(8*$AZ124)+'LINEST VARS'!$G$64*(8*12.73)+'LINEST VARS'!$F$64*(8*$BS$104)+'LINEST VARS'!$E$64*(8*$AZ124)+'LINEST VARS'!$D$64*(8*12.73)+'LINEST VARS'!$C$64*($BS$104*$AZ124)+'LINEST VARS'!$B$64*($BS$104*12.73)+'LINEST VARS'!$A$64*($AZ124*12.73)</f>
        <v>176.9899999999999</v>
      </c>
      <c r="BT124" s="55">
        <f>'LINEST VARS'!$U$64+'LINEST VARS'!$T$64*(8)+'LINEST VARS'!$S$64*(8)+'LINEST VARS'!$R$64*($BT$104)+'LINEST VARS'!$Q$64*($AZ124)+'LINEST VARS'!$P$64*(12.73)+'LINEST VARS'!$O$64*(8^2)+'LINEST VARS'!$N$64*(8^2)+'LINEST VARS'!$M$64*($BT$104^2)+'LINEST VARS'!$L$64*($AZ124^2)+'LINEST VARS'!$K$64*(12.73^2)+'LINEST VARS'!$J$64*(8*8)+'LINEST VARS'!$I$64*(8*$BT$104)+'LINEST VARS'!$H$64*(8*$AZ124)+'LINEST VARS'!$G$64*(8*12.73)+'LINEST VARS'!$F$64*(8*$BT$104)+'LINEST VARS'!$E$64*(8*$AZ124)+'LINEST VARS'!$D$64*(8*12.73)+'LINEST VARS'!$C$64*($BT$104*$AZ124)+'LINEST VARS'!$B$64*($BT$104*12.73)+'LINEST VARS'!$A$64*($AZ124*12.73)</f>
        <v>178.58999999999986</v>
      </c>
      <c r="BU124" s="56">
        <f>'LINEST VARS'!$U$64+'LINEST VARS'!$T$64*(8)+'LINEST VARS'!$S$64*(8)+'LINEST VARS'!$R$64*($BU$104)+'LINEST VARS'!$Q$64*($AZ124)+'LINEST VARS'!$P$64*(12.73)+'LINEST VARS'!$O$64*(8^2)+'LINEST VARS'!$N$64*(8^2)+'LINEST VARS'!$M$64*($BU$104^2)+'LINEST VARS'!$L$64*($AZ124^2)+'LINEST VARS'!$K$64*(12.73^2)+'LINEST VARS'!$J$64*(8*8)+'LINEST VARS'!$I$64*(8*$BU$104)+'LINEST VARS'!$H$64*(8*$AZ124)+'LINEST VARS'!$G$64*(8*12.73)+'LINEST VARS'!$F$64*(8*$BU$104)+'LINEST VARS'!$E$64*(8*$AZ124)+'LINEST VARS'!$D$64*(8*12.73)+'LINEST VARS'!$C$64*($BU$104*$AZ124)+'LINEST VARS'!$B$64*($BU$104*12.73)+'LINEST VARS'!$A$64*($AZ124*12.73)</f>
        <v>180.18999999999988</v>
      </c>
      <c r="BX124" s="45">
        <v>0.95</v>
      </c>
      <c r="BY124" s="46">
        <f>'LINEST VARS'!$U$66+'LINEST VARS'!$T$66*(8)+'LINEST VARS'!$S$66*(8)+'LINEST VARS'!$R$66*($BY$104)+'LINEST VARS'!$Q$66*($BX124)+'LINEST VARS'!$P$66*(12.73)+'LINEST VARS'!$O$66*(8^2)+'LINEST VARS'!$N$66*(8^2)+'LINEST VARS'!$M$66*($BY$104^2)+'LINEST VARS'!$L$66*($BX124^2)+'LINEST VARS'!$K$66*(12.73^2)+'LINEST VARS'!$J$66*(8*8)+'LINEST VARS'!$I$66*(8*$BY$104)+'LINEST VARS'!$H$66*(8*$BX124)+'LINEST VARS'!$G$66*(8*12.73)+'LINEST VARS'!$F$66*(8*$BY$104)+'LINEST VARS'!$E$66*(8*$BX124)+'LINEST VARS'!$D$66*(8*12.73)+'LINEST VARS'!$C$66*($BY$104*$BX124)+'LINEST VARS'!$B$66*($BY$104*12.73)+'LINEST VARS'!$A$66*($BX124*12.73)</f>
        <v>144.00000000000006</v>
      </c>
      <c r="BZ124" s="46">
        <f>'LINEST VARS'!$U$66+'LINEST VARS'!$T$66*(8)+'LINEST VARS'!$S$66*(8)+'LINEST VARS'!$R$66*($BZ$104)+'LINEST VARS'!$Q$66*($BX124)+'LINEST VARS'!$P$66*(12.73)+'LINEST VARS'!$O$66*(8^2)+'LINEST VARS'!$N$66*(8^2)+'LINEST VARS'!$M$66*($BZ$104^2)+'LINEST VARS'!$L$66*($BX124^2)+'LINEST VARS'!$K$66*(12.73^2)+'LINEST VARS'!$J$66*(8*8)+'LINEST VARS'!$I$66*(8*$BZ$104)+'LINEST VARS'!$H$66*(8*$BX124)+'LINEST VARS'!$G$66*(8*12.73)+'LINEST VARS'!$F$66*(8*$BZ$104)+'LINEST VARS'!$E$66*(8*$BX124)+'LINEST VARS'!$D$66*(8*12.73)+'LINEST VARS'!$C$66*($BZ$104*$BX124)+'LINEST VARS'!$B$66*($BZ$104*12.73)+'LINEST VARS'!$A$66*($BX124*12.73)</f>
        <v>143.20000000000007</v>
      </c>
      <c r="CA124" s="46">
        <f>'LINEST VARS'!$U$66+'LINEST VARS'!$T$66*(8)+'LINEST VARS'!$S$66*(8)+'LINEST VARS'!$R$66*($CA$104)+'LINEST VARS'!$Q$66*($BX124)+'LINEST VARS'!$P$66*(12.73)+'LINEST VARS'!$O$66*(8^2)+'LINEST VARS'!$N$66*(8^2)+'LINEST VARS'!$M$66*($CA$104^2)+'LINEST VARS'!$L$66*($BX124^2)+'LINEST VARS'!$K$66*(12.73^2)+'LINEST VARS'!$J$66*(8*8)+'LINEST VARS'!$I$66*(8*$CA$104)+'LINEST VARS'!$H$66*(8*$BX124)+'LINEST VARS'!$G$66*(8*12.73)+'LINEST VARS'!$F$66*(8*$CA$104)+'LINEST VARS'!$E$66*(8*$BX124)+'LINEST VARS'!$D$66*(8*12.73)+'LINEST VARS'!$C$66*($CA$104*$BX124)+'LINEST VARS'!$B$66*($CA$104*12.73)+'LINEST VARS'!$A$66*($BX124*12.73)</f>
        <v>142.40000000000006</v>
      </c>
      <c r="CB124" s="46">
        <f>'LINEST VARS'!$U$66+'LINEST VARS'!$T$66*(8)+'LINEST VARS'!$S$66*(8)+'LINEST VARS'!$R$66*($CB$104)+'LINEST VARS'!$Q$66*($BX124)+'LINEST VARS'!$P$66*(12.73)+'LINEST VARS'!$O$66*(8^2)+'LINEST VARS'!$N$66*(8^2)+'LINEST VARS'!$M$66*($CB$104^2)+'LINEST VARS'!$L$66*($BX124^2)+'LINEST VARS'!$K$66*(12.73^2)+'LINEST VARS'!$J$66*(8*8)+'LINEST VARS'!$I$66*(8*$CB$104)+'LINEST VARS'!$H$66*(8*$BX124)+'LINEST VARS'!$G$66*(8*12.73)+'LINEST VARS'!$F$66*(8*$CB$104)+'LINEST VARS'!$E$66*(8*$BX124)+'LINEST VARS'!$D$66*(8*12.73)+'LINEST VARS'!$C$66*($CB$104*$BX124)+'LINEST VARS'!$B$66*($CB$104*12.73)+'LINEST VARS'!$A$66*($BX124*12.73)</f>
        <v>141.60000000000008</v>
      </c>
      <c r="CC124" s="46">
        <f>'LINEST VARS'!$U$66+'LINEST VARS'!$T$66*(8)+'LINEST VARS'!$S$66*(8)+'LINEST VARS'!$R$66*($CC$104)+'LINEST VARS'!$Q$66*($BX124)+'LINEST VARS'!$P$66*(12.73)+'LINEST VARS'!$O$66*(8^2)+'LINEST VARS'!$N$66*(8^2)+'LINEST VARS'!$M$66*($CC$104^2)+'LINEST VARS'!$L$66*($BX124^2)+'LINEST VARS'!$K$66*(12.73^2)+'LINEST VARS'!$J$66*(8*8)+'LINEST VARS'!$I$66*(8*$CC$104)+'LINEST VARS'!$H$66*(8*$BX124)+'LINEST VARS'!$G$66*(8*12.73)+'LINEST VARS'!$F$66*(8*$CC$104)+'LINEST VARS'!$E$66*(8*$BX124)+'LINEST VARS'!$D$66*(8*12.73)+'LINEST VARS'!$C$66*($CC$104*$BX124)+'LINEST VARS'!$B$66*($CC$104*12.73)+'LINEST VARS'!$A$66*($BX124*12.73)</f>
        <v>140.80000000000007</v>
      </c>
      <c r="CD124" s="46">
        <f>'LINEST VARS'!$U$66+'LINEST VARS'!$T$66*(8)+'LINEST VARS'!$S$66*(8)+'LINEST VARS'!$R$66*($CD$104)+'LINEST VARS'!$Q$66*($BX124)+'LINEST VARS'!$P$66*(12.73)+'LINEST VARS'!$O$66*(8^2)+'LINEST VARS'!$N$66*(8^2)+'LINEST VARS'!$M$66*($CD$104^2)+'LINEST VARS'!$L$66*($BX124^2)+'LINEST VARS'!$K$66*(12.73^2)+'LINEST VARS'!$J$66*(8*8)+'LINEST VARS'!$I$66*(8*$CD$104)+'LINEST VARS'!$H$66*(8*$BX124)+'LINEST VARS'!$G$66*(8*12.73)+'LINEST VARS'!$F$66*(8*$CD$104)+'LINEST VARS'!$E$66*(8*$BX124)+'LINEST VARS'!$D$66*(8*12.73)+'LINEST VARS'!$C$66*($CD$104*$BX124)+'LINEST VARS'!$B$66*($CD$104*12.73)+'LINEST VARS'!$A$66*($BX124*12.73)</f>
        <v>140.00000000000009</v>
      </c>
      <c r="CE124" s="46">
        <f>'LINEST VARS'!$U$66+'LINEST VARS'!$T$66*(8)+'LINEST VARS'!$S$66*(8)+'LINEST VARS'!$R$66*($CE$104)+'LINEST VARS'!$Q$66*($BX124)+'LINEST VARS'!$P$66*(12.73)+'LINEST VARS'!$O$66*(8^2)+'LINEST VARS'!$N$66*(8^2)+'LINEST VARS'!$M$66*($CE$104^2)+'LINEST VARS'!$L$66*($BX124^2)+'LINEST VARS'!$K$66*(12.73^2)+'LINEST VARS'!$J$66*(8*8)+'LINEST VARS'!$I$66*(8*$CE$104)+'LINEST VARS'!$H$66*(8*$BX124)+'LINEST VARS'!$G$66*(8*12.73)+'LINEST VARS'!$F$66*(8*$CE$104)+'LINEST VARS'!$E$66*(8*$BX124)+'LINEST VARS'!$D$66*(8*12.73)+'LINEST VARS'!$C$66*($CE$104*$BX124)+'LINEST VARS'!$B$66*($CE$104*12.73)+'LINEST VARS'!$A$66*($BX124*12.73)</f>
        <v>139.20000000000007</v>
      </c>
      <c r="CF124" s="46">
        <f>'LINEST VARS'!$U$66+'LINEST VARS'!$T$66*(8)+'LINEST VARS'!$S$66*(8)+'LINEST VARS'!$R$66*($CF$104)+'LINEST VARS'!$Q$66*($BX124)+'LINEST VARS'!$P$66*(12.73)+'LINEST VARS'!$O$66*(8^2)+'LINEST VARS'!$N$66*(8^2)+'LINEST VARS'!$M$66*($CF$104^2)+'LINEST VARS'!$L$66*($BX124^2)+'LINEST VARS'!$K$66*(12.73^2)+'LINEST VARS'!$J$66*(8*8)+'LINEST VARS'!$I$66*(8*$CF$104)+'LINEST VARS'!$H$66*(8*$BX124)+'LINEST VARS'!$G$66*(8*12.73)+'LINEST VARS'!$F$66*(8*$CF$104)+'LINEST VARS'!$E$66*(8*$BX124)+'LINEST VARS'!$D$66*(8*12.73)+'LINEST VARS'!$C$66*($CF$104*$BX124)+'LINEST VARS'!$B$66*($CF$104*12.73)+'LINEST VARS'!$A$66*($BX124*12.73)</f>
        <v>138.40000000000009</v>
      </c>
      <c r="CG124" s="46">
        <f>'LINEST VARS'!$U$66+'LINEST VARS'!$T$66*(8)+'LINEST VARS'!$S$66*(8)+'LINEST VARS'!$R$66*($CG$104)+'LINEST VARS'!$Q$66*($BX124)+'LINEST VARS'!$P$66*(12.73)+'LINEST VARS'!$O$66*(8^2)+'LINEST VARS'!$N$66*(8^2)+'LINEST VARS'!$M$66*($CG$104^2)+'LINEST VARS'!$L$66*($BX124^2)+'LINEST VARS'!$K$66*(12.73^2)+'LINEST VARS'!$J$66*(8*8)+'LINEST VARS'!$I$66*(8*$CG$104)+'LINEST VARS'!$H$66*(8*$BX124)+'LINEST VARS'!$G$66*(8*12.73)+'LINEST VARS'!$F$66*(8*$CG$104)+'LINEST VARS'!$E$66*(8*$BX124)+'LINEST VARS'!$D$66*(8*12.73)+'LINEST VARS'!$C$66*($CG$104*$BX124)+'LINEST VARS'!$B$66*($CG$104*12.73)+'LINEST VARS'!$A$66*($BX124*12.73)</f>
        <v>137.60000000000008</v>
      </c>
      <c r="CH124" s="46">
        <f>'LINEST VARS'!$U$66+'LINEST VARS'!$T$66*(8)+'LINEST VARS'!$S$66*(8)+'LINEST VARS'!$R$66*($CH$104)+'LINEST VARS'!$Q$66*($BX124)+'LINEST VARS'!$P$66*(12.73)+'LINEST VARS'!$O$66*(8^2)+'LINEST VARS'!$N$66*(8^2)+'LINEST VARS'!$M$66*($CH$104^2)+'LINEST VARS'!$L$66*($BX124^2)+'LINEST VARS'!$K$66*(12.73^2)+'LINEST VARS'!$J$66*(8*8)+'LINEST VARS'!$I$66*(8*$CH$104)+'LINEST VARS'!$H$66*(8*$BX124)+'LINEST VARS'!$G$66*(8*12.73)+'LINEST VARS'!$F$66*(8*$CH$104)+'LINEST VARS'!$E$66*(8*$BX124)+'LINEST VARS'!$D$66*(8*12.73)+'LINEST VARS'!$C$66*($CH$104*$BX124)+'LINEST VARS'!$B$66*($CH$104*12.73)+'LINEST VARS'!$A$66*($BX124*12.73)</f>
        <v>136.80000000000007</v>
      </c>
      <c r="CI124" s="46">
        <f>'LINEST VARS'!$U$66+'LINEST VARS'!$T$66*(8)+'LINEST VARS'!$S$66*(8)+'LINEST VARS'!$R$66*($CI$104)+'LINEST VARS'!$Q$66*($BX124)+'LINEST VARS'!$P$66*(12.73)+'LINEST VARS'!$O$66*(8^2)+'LINEST VARS'!$N$66*(8^2)+'LINEST VARS'!$M$66*($CI$104^2)+'LINEST VARS'!$L$66*($BX124^2)+'LINEST VARS'!$K$66*(12.73^2)+'LINEST VARS'!$J$66*(8*8)+'LINEST VARS'!$I$66*(8*$CI$104)+'LINEST VARS'!$H$66*(8*$BX124)+'LINEST VARS'!$G$66*(8*12.73)+'LINEST VARS'!$F$66*(8*$CI$104)+'LINEST VARS'!$E$66*(8*$BX124)+'LINEST VARS'!$D$66*(8*12.73)+'LINEST VARS'!$C$66*($CI$104*$BX124)+'LINEST VARS'!$B$66*($CI$104*12.73)+'LINEST VARS'!$A$66*($BX124*12.73)</f>
        <v>136.00000000000006</v>
      </c>
      <c r="CJ124" s="46">
        <f>'LINEST VARS'!$U$66+'LINEST VARS'!$T$66*(8)+'LINEST VARS'!$S$66*(8)+'LINEST VARS'!$R$66*($CJ$104)+'LINEST VARS'!$Q$66*($BX124)+'LINEST VARS'!$P$66*(12.73)+'LINEST VARS'!$O$66*(8^2)+'LINEST VARS'!$N$66*(8^2)+'LINEST VARS'!$M$66*($CJ$104^2)+'LINEST VARS'!$L$66*($BX124^2)+'LINEST VARS'!$K$66*(12.73^2)+'LINEST VARS'!$J$66*(8*8)+'LINEST VARS'!$I$66*(8*$CJ$104)+'LINEST VARS'!$H$66*(8*$BX124)+'LINEST VARS'!$G$66*(8*12.73)+'LINEST VARS'!$F$66*(8*$CJ$104)+'LINEST VARS'!$E$66*(8*$BX124)+'LINEST VARS'!$D$66*(8*12.73)+'LINEST VARS'!$C$66*($CJ$104*$BX124)+'LINEST VARS'!$B$66*($CJ$104*12.73)+'LINEST VARS'!$A$66*($BX124*12.73)</f>
        <v>135.20000000000005</v>
      </c>
      <c r="CK124" s="46">
        <f>'LINEST VARS'!$U$66+'LINEST VARS'!$T$66*(8)+'LINEST VARS'!$S$66*(8)+'LINEST VARS'!$R$66*($CK$104)+'LINEST VARS'!$Q$66*($BX124)+'LINEST VARS'!$P$66*(12.73)+'LINEST VARS'!$O$66*(8^2)+'LINEST VARS'!$N$66*(8^2)+'LINEST VARS'!$M$66*($CK$104^2)+'LINEST VARS'!$L$66*($BX124^2)+'LINEST VARS'!$K$66*(12.73^2)+'LINEST VARS'!$J$66*(8*8)+'LINEST VARS'!$I$66*(8*$CK$104)+'LINEST VARS'!$H$66*(8*$BX124)+'LINEST VARS'!$G$66*(8*12.73)+'LINEST VARS'!$F$66*(8*$CK$104)+'LINEST VARS'!$E$66*(8*$BX124)+'LINEST VARS'!$D$66*(8*12.73)+'LINEST VARS'!$C$66*($CK$104*$BX124)+'LINEST VARS'!$B$66*($CK$104*12.73)+'LINEST VARS'!$A$66*($BX124*12.73)</f>
        <v>134.40000000000003</v>
      </c>
      <c r="CL124" s="46">
        <f>'LINEST VARS'!$U$66+'LINEST VARS'!$T$66*(8)+'LINEST VARS'!$S$66*(8)+'LINEST VARS'!$R$66*($CL$104)+'LINEST VARS'!$Q$66*($BX124)+'LINEST VARS'!$P$66*(12.73)+'LINEST VARS'!$O$66*(8^2)+'LINEST VARS'!$N$66*(8^2)+'LINEST VARS'!$M$66*($CL$104^2)+'LINEST VARS'!$L$66*($BX124^2)+'LINEST VARS'!$K$66*(12.73^2)+'LINEST VARS'!$J$66*(8*8)+'LINEST VARS'!$I$66*(8*$CL$104)+'LINEST VARS'!$H$66*(8*$BX124)+'LINEST VARS'!$G$66*(8*12.73)+'LINEST VARS'!$F$66*(8*$CL$104)+'LINEST VARS'!$E$66*(8*$BX124)+'LINEST VARS'!$D$66*(8*12.73)+'LINEST VARS'!$C$66*($CL$104*$BX124)+'LINEST VARS'!$B$66*($CL$104*12.73)+'LINEST VARS'!$A$66*($BX124*12.73)</f>
        <v>133.60000000000005</v>
      </c>
      <c r="CM124" s="46">
        <f>'LINEST VARS'!$U$66+'LINEST VARS'!$T$66*(8)+'LINEST VARS'!$S$66*(8)+'LINEST VARS'!$R$66*($CM$104)+'LINEST VARS'!$Q$66*($BX124)+'LINEST VARS'!$P$66*(12.73)+'LINEST VARS'!$O$66*(8^2)+'LINEST VARS'!$N$66*(8^2)+'LINEST VARS'!$M$66*($CM$104^2)+'LINEST VARS'!$L$66*($BX124^2)+'LINEST VARS'!$K$66*(12.73^2)+'LINEST VARS'!$J$66*(8*8)+'LINEST VARS'!$I$66*(8*$CM$104)+'LINEST VARS'!$H$66*(8*$BX124)+'LINEST VARS'!$G$66*(8*12.73)+'LINEST VARS'!$F$66*(8*$CM$104)+'LINEST VARS'!$E$66*(8*$BX124)+'LINEST VARS'!$D$66*(8*12.73)+'LINEST VARS'!$C$66*($CM$104*$BX124)+'LINEST VARS'!$B$66*($CM$104*12.73)+'LINEST VARS'!$A$66*($BX124*12.73)</f>
        <v>132.80000000000004</v>
      </c>
      <c r="CN124" s="46">
        <f>'LINEST VARS'!$U$66+'LINEST VARS'!$T$66*(8)+'LINEST VARS'!$S$66*(8)+'LINEST VARS'!$R$66*($CN$104)+'LINEST VARS'!$Q$66*($BX124)+'LINEST VARS'!$P$66*(12.73)+'LINEST VARS'!$O$66*(8^2)+'LINEST VARS'!$N$66*(8^2)+'LINEST VARS'!$M$66*($CN$104^2)+'LINEST VARS'!$L$66*($BX124^2)+'LINEST VARS'!$K$66*(12.73^2)+'LINEST VARS'!$J$66*(8*8)+'LINEST VARS'!$I$66*(8*$CN$104)+'LINEST VARS'!$H$66*(8*$BX124)+'LINEST VARS'!$G$66*(8*12.73)+'LINEST VARS'!$F$66*(8*$CN$104)+'LINEST VARS'!$E$66*(8*$BX124)+'LINEST VARS'!$D$66*(8*12.73)+'LINEST VARS'!$C$66*($CN$104*$BX124)+'LINEST VARS'!$B$66*($CN$104*12.73)+'LINEST VARS'!$A$66*($BX124*12.73)</f>
        <v>132.00000000000006</v>
      </c>
      <c r="CO124" s="46">
        <f>'LINEST VARS'!$U$66+'LINEST VARS'!$T$66*(8)+'LINEST VARS'!$S$66*(8)+'LINEST VARS'!$R$66*($CO$104)+'LINEST VARS'!$Q$66*($BX124)+'LINEST VARS'!$P$66*(12.73)+'LINEST VARS'!$O$66*(8^2)+'LINEST VARS'!$N$66*(8^2)+'LINEST VARS'!$M$66*($CO$104^2)+'LINEST VARS'!$L$66*($BX124^2)+'LINEST VARS'!$K$66*(12.73^2)+'LINEST VARS'!$J$66*(8*8)+'LINEST VARS'!$I$66*(8*$CO$104)+'LINEST VARS'!$H$66*(8*$BX124)+'LINEST VARS'!$G$66*(8*12.73)+'LINEST VARS'!$F$66*(8*$CO$104)+'LINEST VARS'!$E$66*(8*$BX124)+'LINEST VARS'!$D$66*(8*12.73)+'LINEST VARS'!$C$66*($CO$104*$BX124)+'LINEST VARS'!$B$66*($CO$104*12.73)+'LINEST VARS'!$A$66*($BX124*12.73)</f>
        <v>131.20000000000005</v>
      </c>
      <c r="CP124" s="46">
        <f>'LINEST VARS'!$U$66+'LINEST VARS'!$T$66*(8)+'LINEST VARS'!$S$66*(8)+'LINEST VARS'!$R$66*($CP$104)+'LINEST VARS'!$Q$66*($BX124)+'LINEST VARS'!$P$66*(12.73)+'LINEST VARS'!$O$66*(8^2)+'LINEST VARS'!$N$66*(8^2)+'LINEST VARS'!$M$66*($CP$104^2)+'LINEST VARS'!$L$66*($BX124^2)+'LINEST VARS'!$K$66*(12.73^2)+'LINEST VARS'!$J$66*(8*8)+'LINEST VARS'!$I$66*(8*$CP$104)+'LINEST VARS'!$H$66*(8*$BX124)+'LINEST VARS'!$G$66*(8*12.73)+'LINEST VARS'!$F$66*(8*$CP$104)+'LINEST VARS'!$E$66*(8*$BX124)+'LINEST VARS'!$D$66*(8*12.73)+'LINEST VARS'!$C$66*($CP$104*$BX124)+'LINEST VARS'!$B$66*($CP$104*12.73)+'LINEST VARS'!$A$66*($BX124*12.73)</f>
        <v>130.40000000000009</v>
      </c>
      <c r="CQ124" s="46">
        <f>'LINEST VARS'!$U$66+'LINEST VARS'!$T$66*(8)+'LINEST VARS'!$S$66*(8)+'LINEST VARS'!$R$66*($CQ$104)+'LINEST VARS'!$Q$66*($BX124)+'LINEST VARS'!$P$66*(12.73)+'LINEST VARS'!$O$66*(8^2)+'LINEST VARS'!$N$66*(8^2)+'LINEST VARS'!$M$66*($CQ$104^2)+'LINEST VARS'!$L$66*($BX124^2)+'LINEST VARS'!$K$66*(12.73^2)+'LINEST VARS'!$J$66*(8*8)+'LINEST VARS'!$I$66*(8*$CQ$104)+'LINEST VARS'!$H$66*(8*$BX124)+'LINEST VARS'!$G$66*(8*12.73)+'LINEST VARS'!$F$66*(8*$CQ$104)+'LINEST VARS'!$E$66*(8*$BX124)+'LINEST VARS'!$D$66*(8*12.73)+'LINEST VARS'!$C$66*($CQ$104*$BX124)+'LINEST VARS'!$B$66*($CQ$104*12.73)+'LINEST VARS'!$A$66*($BX124*12.73)</f>
        <v>129.60000000000008</v>
      </c>
      <c r="CR124" s="46">
        <f>'LINEST VARS'!$U$66+'LINEST VARS'!$T$66*(8)+'LINEST VARS'!$S$66*(8)+'LINEST VARS'!$R$66*($CR$104)+'LINEST VARS'!$Q$66*($BX124)+'LINEST VARS'!$P$66*(12.73)+'LINEST VARS'!$O$66*(8^2)+'LINEST VARS'!$N$66*(8^2)+'LINEST VARS'!$M$66*($CR$104^2)+'LINEST VARS'!$L$66*($BX124^2)+'LINEST VARS'!$K$66*(12.73^2)+'LINEST VARS'!$J$66*(8*8)+'LINEST VARS'!$I$66*(8*$CR$104)+'LINEST VARS'!$H$66*(8*$BX124)+'LINEST VARS'!$G$66*(8*12.73)+'LINEST VARS'!$F$66*(8*$CR$104)+'LINEST VARS'!$E$66*(8*$BX124)+'LINEST VARS'!$D$66*(8*12.73)+'LINEST VARS'!$C$66*($CR$104*$BX124)+'LINEST VARS'!$B$66*($CR$104*12.73)+'LINEST VARS'!$A$66*($BX124*12.73)</f>
        <v>128.8000000000001</v>
      </c>
      <c r="CS124" s="47">
        <f>'LINEST VARS'!$U$66+'LINEST VARS'!$T$66*(8)+'LINEST VARS'!$S$66*(8)+'LINEST VARS'!$R$66*($CS$104)+'LINEST VARS'!$Q$66*($BX124)+'LINEST VARS'!$P$66*(12.73)+'LINEST VARS'!$O$66*(8^2)+'LINEST VARS'!$N$66*(8^2)+'LINEST VARS'!$M$66*($CS$104^2)+'LINEST VARS'!$L$66*($BX124^2)+'LINEST VARS'!$K$66*(12.73^2)+'LINEST VARS'!$J$66*(8*8)+'LINEST VARS'!$I$66*(8*$CS$104)+'LINEST VARS'!$H$66*(8*$BX124)+'LINEST VARS'!$G$66*(8*12.73)+'LINEST VARS'!$F$66*(8*$CS$104)+'LINEST VARS'!$E$66*(8*$BX124)+'LINEST VARS'!$D$66*(8*12.73)+'LINEST VARS'!$C$66*($CS$104*$BX124)+'LINEST VARS'!$B$66*($CS$104*12.73)+'LINEST VARS'!$A$66*($BX124*12.73)</f>
        <v>128.00000000000006</v>
      </c>
      <c r="CX124" s="45">
        <v>24.6905</v>
      </c>
      <c r="CY124" s="55">
        <f>'LINEST VARS'!$U$64+'LINEST VARS'!$T$64*(8)+'LINEST VARS'!$S$64*(8)+'LINEST VARS'!$R$64*($CY$104)+'LINEST VARS'!$Q$64*(0.5)+'LINEST VARS'!$P$64*($CX124)+'LINEST VARS'!$O$64*(8^2)+'LINEST VARS'!$N$64*(8^2)+'LINEST VARS'!$M$64*($CY$104^2)+'LINEST VARS'!$L$64*(0.5^2)+'LINEST VARS'!$K$64*($CX124^2)+'LINEST VARS'!$J$64*(8*8)+'LINEST VARS'!$I$64*(8*$CY$104)+'LINEST VARS'!$H$64*(8*0.5)+'LINEST VARS'!$G$64*(8*$CX124)+'LINEST VARS'!$F$64*(8*$CY$104)+'LINEST VARS'!$E$64*(8*0.5)+'LINEST VARS'!$D$64*(8*$CX124)+'LINEST VARS'!$C$64*($CY$104*0.5)+'LINEST VARS'!$B$64*($CY$104*$CX124)+'LINEST VARS'!$A$64*(0.5*$CX124)</f>
        <v>184.07149999999984</v>
      </c>
      <c r="CZ124" s="55">
        <f>'LINEST VARS'!$U$64+'LINEST VARS'!$T$64*(8)+'LINEST VARS'!$S$64*(8)+'LINEST VARS'!$R$64*($CZ$104)+'LINEST VARS'!$Q$64*(0.5)+'LINEST VARS'!$P$64*($CX124)+'LINEST VARS'!$O$64*(8^2)+'LINEST VARS'!$N$64*(8^2)+'LINEST VARS'!$M$64*($CZ$104^2)+'LINEST VARS'!$L$64*(0.5^2)+'LINEST VARS'!$K$64*($CX124^2)+'LINEST VARS'!$J$64*(8*8)+'LINEST VARS'!$I$64*(8*$CZ$104)+'LINEST VARS'!$H$64*(8*0.5)+'LINEST VARS'!$G$64*(8*$CX124)+'LINEST VARS'!$F$64*(8*$CZ$104)+'LINEST VARS'!$E$64*(8*0.5)+'LINEST VARS'!$D$64*(8*$CX124)+'LINEST VARS'!$C$64*($CZ$104*0.5)+'LINEST VARS'!$B$64*($CZ$104*$CX124)+'LINEST VARS'!$A$64*(0.5*$CX124)</f>
        <v>185.67149999999984</v>
      </c>
      <c r="DA124" s="55">
        <f>'LINEST VARS'!$U$64+'LINEST VARS'!$T$64*(8)+'LINEST VARS'!$S$64*(8)+'LINEST VARS'!$R$64*($DA$104)+'LINEST VARS'!$Q$64*(0.5)+'LINEST VARS'!$P$64*($CX124)+'LINEST VARS'!$O$64*(8^2)+'LINEST VARS'!$N$64*(8^2)+'LINEST VARS'!$M$64*($DA$104^2)+'LINEST VARS'!$L$64*(0.5^2)+'LINEST VARS'!$K$64*($CX124^2)+'LINEST VARS'!$J$64*(8*8)+'LINEST VARS'!$I$64*(8*$DA$104)+'LINEST VARS'!$H$64*(8*0.5)+'LINEST VARS'!$G$64*(8*$CX124)+'LINEST VARS'!$F$64*(8*$DA$104)+'LINEST VARS'!$E$64*(8*0.5)+'LINEST VARS'!$D$64*(8*$CX124)+'LINEST VARS'!$C$64*($DA$104*0.5)+'LINEST VARS'!$B$64*($DA$104*$CX124)+'LINEST VARS'!$A$64*(0.5*$CX124)</f>
        <v>187.27149999999983</v>
      </c>
      <c r="DB124" s="55">
        <f>'LINEST VARS'!$U$64+'LINEST VARS'!$T$64*(8)+'LINEST VARS'!$S$64*(8)+'LINEST VARS'!$R$64*($DB$104)+'LINEST VARS'!$Q$64*(0.5)+'LINEST VARS'!$P$64*($CX124)+'LINEST VARS'!$O$64*(8^2)+'LINEST VARS'!$N$64*(8^2)+'LINEST VARS'!$M$64*($DB$104^2)+'LINEST VARS'!$L$64*(0.5^2)+'LINEST VARS'!$K$64*($CX124^2)+'LINEST VARS'!$J$64*(8*8)+'LINEST VARS'!$I$64*(8*$DB$104)+'LINEST VARS'!$H$64*(8*0.5)+'LINEST VARS'!$G$64*(8*$CX124)+'LINEST VARS'!$F$64*(8*$DB$104)+'LINEST VARS'!$E$64*(8*0.5)+'LINEST VARS'!$D$64*(8*$CX124)+'LINEST VARS'!$C$64*($DB$104*0.5)+'LINEST VARS'!$B$64*($DB$104*$CX124)+'LINEST VARS'!$A$64*(0.5*$CX124)</f>
        <v>188.87149999999986</v>
      </c>
      <c r="DC124" s="55">
        <f>'LINEST VARS'!$U$64+'LINEST VARS'!$T$64*(8)+'LINEST VARS'!$S$64*(8)+'LINEST VARS'!$R$64*($DC$104)+'LINEST VARS'!$Q$64*(0.5)+'LINEST VARS'!$P$64*($CX124)+'LINEST VARS'!$O$64*(8^2)+'LINEST VARS'!$N$64*(8^2)+'LINEST VARS'!$M$64*($DC$104^2)+'LINEST VARS'!$L$64*(0.5^2)+'LINEST VARS'!$K$64*($CX124^2)+'LINEST VARS'!$J$64*(8*8)+'LINEST VARS'!$I$64*(8*$DC$104)+'LINEST VARS'!$H$64*(8*0.5)+'LINEST VARS'!$G$64*(8*$CX124)+'LINEST VARS'!$F$64*(8*$DC$104)+'LINEST VARS'!$E$64*(8*0.5)+'LINEST VARS'!$D$64*(8*$CX124)+'LINEST VARS'!$C$64*($DC$104*0.5)+'LINEST VARS'!$B$64*($DC$104*$CX124)+'LINEST VARS'!$A$64*(0.5*$CX124)</f>
        <v>190.47149999999985</v>
      </c>
      <c r="DD124" s="55">
        <f>'LINEST VARS'!$U$64+'LINEST VARS'!$T$64*(8)+'LINEST VARS'!$S$64*(8)+'LINEST VARS'!$R$64*($DD$104)+'LINEST VARS'!$Q$64*(0.5)+'LINEST VARS'!$P$64*($CX124)+'LINEST VARS'!$O$64*(8^2)+'LINEST VARS'!$N$64*(8^2)+'LINEST VARS'!$M$64*($DD$104^2)+'LINEST VARS'!$L$64*(0.5^2)+'LINEST VARS'!$K$64*($CX124^2)+'LINEST VARS'!$J$64*(8*8)+'LINEST VARS'!$I$64*(8*$DD$104)+'LINEST VARS'!$H$64*(8*0.5)+'LINEST VARS'!$G$64*(8*$CX124)+'LINEST VARS'!$F$64*(8*$DD$104)+'LINEST VARS'!$E$64*(8*0.5)+'LINEST VARS'!$D$64*(8*$CX124)+'LINEST VARS'!$C$64*($DD$104*0.5)+'LINEST VARS'!$B$64*($DD$104*$CX124)+'LINEST VARS'!$A$64*(0.5*$CX124)</f>
        <v>192.07149999999984</v>
      </c>
      <c r="DE124" s="55">
        <f>'LINEST VARS'!$U$64+'LINEST VARS'!$T$64*(8)+'LINEST VARS'!$S$64*(8)+'LINEST VARS'!$R$64*($DE$104)+'LINEST VARS'!$Q$64*(0.5)+'LINEST VARS'!$P$64*($CX124)+'LINEST VARS'!$O$64*(8^2)+'LINEST VARS'!$N$64*(8^2)+'LINEST VARS'!$M$64*($DE$104^2)+'LINEST VARS'!$L$64*(0.5^2)+'LINEST VARS'!$K$64*($CX124^2)+'LINEST VARS'!$J$64*(8*8)+'LINEST VARS'!$I$64*(8*$DE$104)+'LINEST VARS'!$H$64*(8*0.5)+'LINEST VARS'!$G$64*(8*$CX124)+'LINEST VARS'!$F$64*(8*$DE$104)+'LINEST VARS'!$E$64*(8*0.5)+'LINEST VARS'!$D$64*(8*$CX124)+'LINEST VARS'!$C$64*($DE$104*0.5)+'LINEST VARS'!$B$64*($DE$104*$CX124)+'LINEST VARS'!$A$64*(0.5*$CX124)</f>
        <v>193.67149999999984</v>
      </c>
      <c r="DF124" s="55">
        <f>'LINEST VARS'!$U$64+'LINEST VARS'!$T$64*(8)+'LINEST VARS'!$S$64*(8)+'LINEST VARS'!$R$64*($DF$104)+'LINEST VARS'!$Q$64*(0.5)+'LINEST VARS'!$P$64*($CX124)+'LINEST VARS'!$O$64*(8^2)+'LINEST VARS'!$N$64*(8^2)+'LINEST VARS'!$M$64*($DF$104^2)+'LINEST VARS'!$L$64*(0.5^2)+'LINEST VARS'!$K$64*($CX124^2)+'LINEST VARS'!$J$64*(8*8)+'LINEST VARS'!$I$64*(8*$DF$104)+'LINEST VARS'!$H$64*(8*0.5)+'LINEST VARS'!$G$64*(8*$CX124)+'LINEST VARS'!$F$64*(8*$DF$104)+'LINEST VARS'!$E$64*(8*0.5)+'LINEST VARS'!$D$64*(8*$CX124)+'LINEST VARS'!$C$64*($DF$104*0.5)+'LINEST VARS'!$B$64*($DF$104*$CX124)+'LINEST VARS'!$A$64*(0.5*$CX124)</f>
        <v>195.27149999999983</v>
      </c>
      <c r="DG124" s="55">
        <f>'LINEST VARS'!$U$64+'LINEST VARS'!$T$64*(8)+'LINEST VARS'!$S$64*(8)+'LINEST VARS'!$R$64*($DG$104)+'LINEST VARS'!$Q$64*(0.5)+'LINEST VARS'!$P$64*($CX124)+'LINEST VARS'!$O$64*(8^2)+'LINEST VARS'!$N$64*(8^2)+'LINEST VARS'!$M$64*($DG$104^2)+'LINEST VARS'!$L$64*(0.5^2)+'LINEST VARS'!$K$64*($CX124^2)+'LINEST VARS'!$J$64*(8*8)+'LINEST VARS'!$I$64*(8*$DG$104)+'LINEST VARS'!$H$64*(8*0.5)+'LINEST VARS'!$G$64*(8*$CX124)+'LINEST VARS'!$F$64*(8*$DG$104)+'LINEST VARS'!$E$64*(8*0.5)+'LINEST VARS'!$D$64*(8*$CX124)+'LINEST VARS'!$C$64*($DG$104*0.5)+'LINEST VARS'!$B$64*($DG$104*$CX124)+'LINEST VARS'!$A$64*(0.5*$CX124)</f>
        <v>196.87149999999986</v>
      </c>
      <c r="DH124" s="55">
        <f>'LINEST VARS'!$U$64+'LINEST VARS'!$T$64*(8)+'LINEST VARS'!$S$64*(8)+'LINEST VARS'!$R$64*($DH$104)+'LINEST VARS'!$Q$64*(0.5)+'LINEST VARS'!$P$64*($CX124)+'LINEST VARS'!$O$64*(8^2)+'LINEST VARS'!$N$64*(8^2)+'LINEST VARS'!$M$64*($DH$104^2)+'LINEST VARS'!$L$64*(0.5^2)+'LINEST VARS'!$K$64*($CX124^2)+'LINEST VARS'!$J$64*(8*8)+'LINEST VARS'!$I$64*(8*$DH$104)+'LINEST VARS'!$H$64*(8*0.5)+'LINEST VARS'!$G$64*(8*$CX124)+'LINEST VARS'!$F$64*(8*$DH$104)+'LINEST VARS'!$E$64*(8*0.5)+'LINEST VARS'!$D$64*(8*$CX124)+'LINEST VARS'!$C$64*($DH$104*0.5)+'LINEST VARS'!$B$64*($DH$104*$CX124)+'LINEST VARS'!$A$64*(0.5*$CX124)</f>
        <v>198.47149999999985</v>
      </c>
      <c r="DI124" s="55">
        <f>'LINEST VARS'!$U$64+'LINEST VARS'!$T$64*(8)+'LINEST VARS'!$S$64*(8)+'LINEST VARS'!$R$64*($DI$104)+'LINEST VARS'!$Q$64*(0.5)+'LINEST VARS'!$P$64*($CX124)+'LINEST VARS'!$O$64*(8^2)+'LINEST VARS'!$N$64*(8^2)+'LINEST VARS'!$M$64*($DI$104^2)+'LINEST VARS'!$L$64*(0.5^2)+'LINEST VARS'!$K$64*($CX124^2)+'LINEST VARS'!$J$64*(8*8)+'LINEST VARS'!$I$64*(8*$DI$104)+'LINEST VARS'!$H$64*(8*0.5)+'LINEST VARS'!$G$64*(8*$CX124)+'LINEST VARS'!$F$64*(8*$DI$104)+'LINEST VARS'!$E$64*(8*0.5)+'LINEST VARS'!$D$64*(8*$CX124)+'LINEST VARS'!$C$64*($DI$104*0.5)+'LINEST VARS'!$B$64*($DI$104*$CX124)+'LINEST VARS'!$A$64*(0.5*$CX124)</f>
        <v>200.07149999999984</v>
      </c>
      <c r="DJ124" s="55">
        <f>'LINEST VARS'!$U$64+'LINEST VARS'!$T$64*(8)+'LINEST VARS'!$S$64*(8)+'LINEST VARS'!$R$64*($DJ$104)+'LINEST VARS'!$Q$64*(0.5)+'LINEST VARS'!$P$64*($CX124)+'LINEST VARS'!$O$64*(8^2)+'LINEST VARS'!$N$64*(8^2)+'LINEST VARS'!$M$64*($DJ$104^2)+'LINEST VARS'!$L$64*(0.5^2)+'LINEST VARS'!$K$64*($CX124^2)+'LINEST VARS'!$J$64*(8*8)+'LINEST VARS'!$I$64*(8*$DJ$104)+'LINEST VARS'!$H$64*(8*0.5)+'LINEST VARS'!$G$64*(8*$CX124)+'LINEST VARS'!$F$64*(8*$DJ$104)+'LINEST VARS'!$E$64*(8*0.5)+'LINEST VARS'!$D$64*(8*$CX124)+'LINEST VARS'!$C$64*($DJ$104*0.5)+'LINEST VARS'!$B$64*($DJ$104*$CX124)+'LINEST VARS'!$A$64*(0.5*$CX124)</f>
        <v>201.67149999999987</v>
      </c>
      <c r="DK124" s="55">
        <f>'LINEST VARS'!$U$64+'LINEST VARS'!$T$64*(8)+'LINEST VARS'!$S$64*(8)+'LINEST VARS'!$R$64*($DK$104)+'LINEST VARS'!$Q$64*(0.5)+'LINEST VARS'!$P$64*($CX124)+'LINEST VARS'!$O$64*(8^2)+'LINEST VARS'!$N$64*(8^2)+'LINEST VARS'!$M$64*($DK$104^2)+'LINEST VARS'!$L$64*(0.5^2)+'LINEST VARS'!$K$64*($CX124^2)+'LINEST VARS'!$J$64*(8*8)+'LINEST VARS'!$I$64*(8*$DK$104)+'LINEST VARS'!$H$64*(8*0.5)+'LINEST VARS'!$G$64*(8*$CX124)+'LINEST VARS'!$F$64*(8*$DK$104)+'LINEST VARS'!$E$64*(8*0.5)+'LINEST VARS'!$D$64*(8*$CX124)+'LINEST VARS'!$C$64*($DK$104*0.5)+'LINEST VARS'!$B$64*($DK$104*$CX124)+'LINEST VARS'!$A$64*(0.5*$CX124)</f>
        <v>203.27149999999983</v>
      </c>
      <c r="DL124" s="55">
        <f>'LINEST VARS'!$U$64+'LINEST VARS'!$T$64*(8)+'LINEST VARS'!$S$64*(8)+'LINEST VARS'!$R$64*($DL$104)+'LINEST VARS'!$Q$64*(0.5)+'LINEST VARS'!$P$64*($CX124)+'LINEST VARS'!$O$64*(8^2)+'LINEST VARS'!$N$64*(8^2)+'LINEST VARS'!$M$64*($DL$104^2)+'LINEST VARS'!$L$64*(0.5^2)+'LINEST VARS'!$K$64*($CX124^2)+'LINEST VARS'!$J$64*(8*8)+'LINEST VARS'!$I$64*(8*$DL$104)+'LINEST VARS'!$H$64*(8*0.5)+'LINEST VARS'!$G$64*(8*$CX124)+'LINEST VARS'!$F$64*(8*$DL$104)+'LINEST VARS'!$E$64*(8*0.5)+'LINEST VARS'!$D$64*(8*$CX124)+'LINEST VARS'!$C$64*($DL$104*0.5)+'LINEST VARS'!$B$64*($DL$104*$CX124)+'LINEST VARS'!$A$64*(0.5*$CX124)</f>
        <v>204.87149999999986</v>
      </c>
      <c r="DM124" s="55">
        <f>'LINEST VARS'!$U$64+'LINEST VARS'!$T$64*(8)+'LINEST VARS'!$S$64*(8)+'LINEST VARS'!$R$64*($DM$104)+'LINEST VARS'!$Q$64*(0.5)+'LINEST VARS'!$P$64*($CX124)+'LINEST VARS'!$O$64*(8^2)+'LINEST VARS'!$N$64*(8^2)+'LINEST VARS'!$M$64*($DM$104^2)+'LINEST VARS'!$L$64*(0.5^2)+'LINEST VARS'!$K$64*($CX124^2)+'LINEST VARS'!$J$64*(8*8)+'LINEST VARS'!$I$64*(8*$DM$104)+'LINEST VARS'!$H$64*(8*0.5)+'LINEST VARS'!$G$64*(8*$CX124)+'LINEST VARS'!$F$64*(8*$DM$104)+'LINEST VARS'!$E$64*(8*0.5)+'LINEST VARS'!$D$64*(8*$CX124)+'LINEST VARS'!$C$64*($DM$104*0.5)+'LINEST VARS'!$B$64*($DM$104*$CX124)+'LINEST VARS'!$A$64*(0.5*$CX124)</f>
        <v>206.47149999999979</v>
      </c>
      <c r="DN124" s="55">
        <f>'LINEST VARS'!$U$64+'LINEST VARS'!$T$64*(8)+'LINEST VARS'!$S$64*(8)+'LINEST VARS'!$R$64*($DN$104)+'LINEST VARS'!$Q$64*(0.5)+'LINEST VARS'!$P$64*($CX124)+'LINEST VARS'!$O$64*(8^2)+'LINEST VARS'!$N$64*(8^2)+'LINEST VARS'!$M$64*($DN$104^2)+'LINEST VARS'!$L$64*(0.5^2)+'LINEST VARS'!$K$64*($CX124^2)+'LINEST VARS'!$J$64*(8*8)+'LINEST VARS'!$I$64*(8*$DN$104)+'LINEST VARS'!$H$64*(8*0.5)+'LINEST VARS'!$G$64*(8*$CX124)+'LINEST VARS'!$F$64*(8*$DN$104)+'LINEST VARS'!$E$64*(8*0.5)+'LINEST VARS'!$D$64*(8*$CX124)+'LINEST VARS'!$C$64*($DN$104*0.5)+'LINEST VARS'!$B$64*($DN$104*$CX124)+'LINEST VARS'!$A$64*(0.5*$CX124)</f>
        <v>208.07149999999984</v>
      </c>
      <c r="DO124" s="55">
        <f>'LINEST VARS'!$U$64+'LINEST VARS'!$T$64*(8)+'LINEST VARS'!$S$64*(8)+'LINEST VARS'!$R$64*($DO$104)+'LINEST VARS'!$Q$64*(0.5)+'LINEST VARS'!$P$64*($CX124)+'LINEST VARS'!$O$64*(8^2)+'LINEST VARS'!$N$64*(8^2)+'LINEST VARS'!$M$64*($DO$104^2)+'LINEST VARS'!$L$64*(0.5^2)+'LINEST VARS'!$K$64*($CX124^2)+'LINEST VARS'!$J$64*(8*8)+'LINEST VARS'!$I$64*(8*$DO$104)+'LINEST VARS'!$H$64*(8*0.5)+'LINEST VARS'!$G$64*(8*$CX124)+'LINEST VARS'!$F$64*(8*$DO$104)+'LINEST VARS'!$E$64*(8*0.5)+'LINEST VARS'!$D$64*(8*$CX124)+'LINEST VARS'!$C$64*($DO$104*0.5)+'LINEST VARS'!$B$64*($DO$104*$CX124)+'LINEST VARS'!$A$64*(0.5*$CX124)</f>
        <v>209.67149999999987</v>
      </c>
      <c r="DP124" s="55">
        <f>'LINEST VARS'!$U$64+'LINEST VARS'!$T$64*(8)+'LINEST VARS'!$S$64*(8)+'LINEST VARS'!$R$64*($DP$104)+'LINEST VARS'!$Q$64*(0.5)+'LINEST VARS'!$P$64*($CX124)+'LINEST VARS'!$O$64*(8^2)+'LINEST VARS'!$N$64*(8^2)+'LINEST VARS'!$M$64*($DP$104^2)+'LINEST VARS'!$L$64*(0.5^2)+'LINEST VARS'!$K$64*($CX124^2)+'LINEST VARS'!$J$64*(8*8)+'LINEST VARS'!$I$64*(8*$DP$104)+'LINEST VARS'!$H$64*(8*0.5)+'LINEST VARS'!$G$64*(8*$CX124)+'LINEST VARS'!$F$64*(8*$DP$104)+'LINEST VARS'!$E$64*(8*0.5)+'LINEST VARS'!$D$64*(8*$CX124)+'LINEST VARS'!$C$64*($DP$104*0.5)+'LINEST VARS'!$B$64*($DP$104*$CX124)+'LINEST VARS'!$A$64*(0.5*$CX124)</f>
        <v>211.27149999999983</v>
      </c>
      <c r="DQ124" s="55">
        <f>'LINEST VARS'!$U$64+'LINEST VARS'!$T$64*(8)+'LINEST VARS'!$S$64*(8)+'LINEST VARS'!$R$64*($DQ$104)+'LINEST VARS'!$Q$64*(0.5)+'LINEST VARS'!$P$64*($CX124)+'LINEST VARS'!$O$64*(8^2)+'LINEST VARS'!$N$64*(8^2)+'LINEST VARS'!$M$64*($DQ$104^2)+'LINEST VARS'!$L$64*(0.5^2)+'LINEST VARS'!$K$64*($CX124^2)+'LINEST VARS'!$J$64*(8*8)+'LINEST VARS'!$I$64*(8*$DQ$104)+'LINEST VARS'!$H$64*(8*0.5)+'LINEST VARS'!$G$64*(8*$CX124)+'LINEST VARS'!$F$64*(8*$DQ$104)+'LINEST VARS'!$E$64*(8*0.5)+'LINEST VARS'!$D$64*(8*$CX124)+'LINEST VARS'!$C$64*($DQ$104*0.5)+'LINEST VARS'!$B$64*($DQ$104*$CX124)+'LINEST VARS'!$A$64*(0.5*$CX124)</f>
        <v>212.87149999999986</v>
      </c>
      <c r="DR124" s="55">
        <f>'LINEST VARS'!$U$64+'LINEST VARS'!$T$64*(8)+'LINEST VARS'!$S$64*(8)+'LINEST VARS'!$R$64*($DR$104)+'LINEST VARS'!$Q$64*(0.5)+'LINEST VARS'!$P$64*($CX124)+'LINEST VARS'!$O$64*(8^2)+'LINEST VARS'!$N$64*(8^2)+'LINEST VARS'!$M$64*($DR$104^2)+'LINEST VARS'!$L$64*(0.5^2)+'LINEST VARS'!$K$64*($CX124^2)+'LINEST VARS'!$J$64*(8*8)+'LINEST VARS'!$I$64*(8*$DR$104)+'LINEST VARS'!$H$64*(8*0.5)+'LINEST VARS'!$G$64*(8*$CX124)+'LINEST VARS'!$F$64*(8*$DR$104)+'LINEST VARS'!$E$64*(8*0.5)+'LINEST VARS'!$D$64*(8*$CX124)+'LINEST VARS'!$C$64*($DR$104*0.5)+'LINEST VARS'!$B$64*($DR$104*$CX124)+'LINEST VARS'!$A$64*(0.5*$CX124)</f>
        <v>214.47149999999982</v>
      </c>
      <c r="DS124" s="56">
        <f>'LINEST VARS'!$U$64+'LINEST VARS'!$T$64*(8)+'LINEST VARS'!$S$64*(8)+'LINEST VARS'!$R$64*($DS$104)+'LINEST VARS'!$Q$64*(0.5)+'LINEST VARS'!$P$64*($CX124)+'LINEST VARS'!$O$64*(8^2)+'LINEST VARS'!$N$64*(8^2)+'LINEST VARS'!$M$64*($DS$104^2)+'LINEST VARS'!$L$64*(0.5^2)+'LINEST VARS'!$K$64*($CX124^2)+'LINEST VARS'!$J$64*(8*8)+'LINEST VARS'!$I$64*(8*$DS$104)+'LINEST VARS'!$H$64*(8*0.5)+'LINEST VARS'!$G$64*(8*$CX124)+'LINEST VARS'!$F$64*(8*$DS$104)+'LINEST VARS'!$E$64*(8*0.5)+'LINEST VARS'!$D$64*(8*$CX124)+'LINEST VARS'!$C$64*($DS$104*0.5)+'LINEST VARS'!$B$64*($DS$104*$CX124)+'LINEST VARS'!$A$64*(0.5*$CX124)</f>
        <v>216.07149999999984</v>
      </c>
      <c r="DV124" s="45">
        <v>24.6905</v>
      </c>
      <c r="DW124" s="46">
        <f>'LINEST VARS'!$U$66+'LINEST VARS'!$T$66*(8)+'LINEST VARS'!$S$66*(8)+'LINEST VARS'!$R$66*($DW$104)+'LINEST VARS'!$Q$66*(0.5)+'LINEST VARS'!$P$66*($DV124)+'LINEST VARS'!$O$66*(8^2)+'LINEST VARS'!$N$66*(8^2)+'LINEST VARS'!$M$66*($DW$104^2)+'LINEST VARS'!$L$66*(0.5^2)+'LINEST VARS'!$K$66*($DV124^2)+'LINEST VARS'!$J$66*(8*8)+'LINEST VARS'!$I$66*(8*$DW$104)+'LINEST VARS'!$H$66*(8*0.5)+'LINEST VARS'!$G$66*(8*$DV124)+'LINEST VARS'!$F$66*(8*$DW$104)+'LINEST VARS'!$E$66*(8*0.5)+'LINEST VARS'!$D$66*(8*$DV124)+'LINEST VARS'!$C$66*($DW$104*0.5)+'LINEST VARS'!$B$66*($DW$104*$DV124)+'LINEST VARS'!$A$66*(0.5*$DV124)</f>
        <v>144.00000000000003</v>
      </c>
      <c r="DX124" s="46">
        <f>'LINEST VARS'!$U$66+'LINEST VARS'!$T$66*(8)+'LINEST VARS'!$S$66*(8)+'LINEST VARS'!$R$66*($DX$104)+'LINEST VARS'!$Q$66*(0.5)+'LINEST VARS'!$P$66*($DV124)+'LINEST VARS'!$O$66*(8^2)+'LINEST VARS'!$N$66*(8^2)+'LINEST VARS'!$M$66*($DX$104^2)+'LINEST VARS'!$L$66*(0.5^2)+'LINEST VARS'!$K$66*($DV124^2)+'LINEST VARS'!$J$66*(8*8)+'LINEST VARS'!$I$66*(8*$DX$104)+'LINEST VARS'!$H$66*(8*0.5)+'LINEST VARS'!$G$66*(8*$DV124)+'LINEST VARS'!$F$66*(8*$DX$104)+'LINEST VARS'!$E$66*(8*0.5)+'LINEST VARS'!$D$66*(8*$DV124)+'LINEST VARS'!$C$66*($DX$104*0.5)+'LINEST VARS'!$B$66*($DX$104*$DV124)+'LINEST VARS'!$A$66*(0.5*$DV124)</f>
        <v>143.20000000000005</v>
      </c>
      <c r="DY124" s="46">
        <f>'LINEST VARS'!$U$66+'LINEST VARS'!$T$66*(8)+'LINEST VARS'!$S$66*(8)+'LINEST VARS'!$R$66*($DY$104)+'LINEST VARS'!$Q$66*(0.5)+'LINEST VARS'!$P$66*($DV124)+'LINEST VARS'!$O$66*(8^2)+'LINEST VARS'!$N$66*(8^2)+'LINEST VARS'!$M$66*($DY$104^2)+'LINEST VARS'!$L$66*(0.5^2)+'LINEST VARS'!$K$66*($DV124^2)+'LINEST VARS'!$J$66*(8*8)+'LINEST VARS'!$I$66*(8*$DY$104)+'LINEST VARS'!$H$66*(8*0.5)+'LINEST VARS'!$G$66*(8*$DV124)+'LINEST VARS'!$F$66*(8*$DY$104)+'LINEST VARS'!$E$66*(8*0.5)+'LINEST VARS'!$D$66*(8*$DV124)+'LINEST VARS'!$C$66*($DY$104*0.5)+'LINEST VARS'!$B$66*($DY$104*$DV124)+'LINEST VARS'!$A$66*(0.5*$DV124)</f>
        <v>142.40000000000003</v>
      </c>
      <c r="DZ124" s="46">
        <f>'LINEST VARS'!$U$66+'LINEST VARS'!$T$66*(8)+'LINEST VARS'!$S$66*(8)+'LINEST VARS'!$R$66*($DZ$104)+'LINEST VARS'!$Q$66*(0.5)+'LINEST VARS'!$P$66*($DV124)+'LINEST VARS'!$O$66*(8^2)+'LINEST VARS'!$N$66*(8^2)+'LINEST VARS'!$M$66*($DZ$104^2)+'LINEST VARS'!$L$66*(0.5^2)+'LINEST VARS'!$K$66*($DV124^2)+'LINEST VARS'!$J$66*(8*8)+'LINEST VARS'!$I$66*(8*$DZ$104)+'LINEST VARS'!$H$66*(8*0.5)+'LINEST VARS'!$G$66*(8*$DV124)+'LINEST VARS'!$F$66*(8*$DZ$104)+'LINEST VARS'!$E$66*(8*0.5)+'LINEST VARS'!$D$66*(8*$DV124)+'LINEST VARS'!$C$66*($DZ$104*0.5)+'LINEST VARS'!$B$66*($DZ$104*$DV124)+'LINEST VARS'!$A$66*(0.5*$DV124)</f>
        <v>141.60000000000005</v>
      </c>
      <c r="EA124" s="46">
        <f>'LINEST VARS'!$U$66+'LINEST VARS'!$T$66*(8)+'LINEST VARS'!$S$66*(8)+'LINEST VARS'!$R$66*($EA$104)+'LINEST VARS'!$Q$66*(0.5)+'LINEST VARS'!$P$66*($DV124)+'LINEST VARS'!$O$66*(8^2)+'LINEST VARS'!$N$66*(8^2)+'LINEST VARS'!$M$66*($EA$104^2)+'LINEST VARS'!$L$66*(0.5^2)+'LINEST VARS'!$K$66*($DV124^2)+'LINEST VARS'!$J$66*(8*8)+'LINEST VARS'!$I$66*(8*$EA$104)+'LINEST VARS'!$H$66*(8*0.5)+'LINEST VARS'!$G$66*(8*$DV124)+'LINEST VARS'!$F$66*(8*$EA$104)+'LINEST VARS'!$E$66*(8*0.5)+'LINEST VARS'!$D$66*(8*$DV124)+'LINEST VARS'!$C$66*($EA$104*0.5)+'LINEST VARS'!$B$66*($EA$104*$DV124)+'LINEST VARS'!$A$66*(0.5*$DV124)</f>
        <v>140.80000000000004</v>
      </c>
      <c r="EB124" s="46">
        <f>'LINEST VARS'!$U$66+'LINEST VARS'!$T$66*(8)+'LINEST VARS'!$S$66*(8)+'LINEST VARS'!$R$66*($EB$104)+'LINEST VARS'!$Q$66*(0.5)+'LINEST VARS'!$P$66*($DV124)+'LINEST VARS'!$O$66*(8^2)+'LINEST VARS'!$N$66*(8^2)+'LINEST VARS'!$M$66*($EB$104^2)+'LINEST VARS'!$L$66*(0.5^2)+'LINEST VARS'!$K$66*($DV124^2)+'LINEST VARS'!$J$66*(8*8)+'LINEST VARS'!$I$66*(8*$EB$104)+'LINEST VARS'!$H$66*(8*0.5)+'LINEST VARS'!$G$66*(8*$DV124)+'LINEST VARS'!$F$66*(8*$EB$104)+'LINEST VARS'!$E$66*(8*0.5)+'LINEST VARS'!$D$66*(8*$DV124)+'LINEST VARS'!$C$66*($EB$104*0.5)+'LINEST VARS'!$B$66*($EB$104*$DV124)+'LINEST VARS'!$A$66*(0.5*$DV124)</f>
        <v>140.00000000000006</v>
      </c>
      <c r="EC124" s="46">
        <f>'LINEST VARS'!$U$66+'LINEST VARS'!$T$66*(8)+'LINEST VARS'!$S$66*(8)+'LINEST VARS'!$R$66*($EC$104)+'LINEST VARS'!$Q$66*(0.5)+'LINEST VARS'!$P$66*($DV124)+'LINEST VARS'!$O$66*(8^2)+'LINEST VARS'!$N$66*(8^2)+'LINEST VARS'!$M$66*($EC$104^2)+'LINEST VARS'!$L$66*(0.5^2)+'LINEST VARS'!$K$66*($DV124^2)+'LINEST VARS'!$J$66*(8*8)+'LINEST VARS'!$I$66*(8*$EC$104)+'LINEST VARS'!$H$66*(8*0.5)+'LINEST VARS'!$G$66*(8*$DV124)+'LINEST VARS'!$F$66*(8*$EC$104)+'LINEST VARS'!$E$66*(8*0.5)+'LINEST VARS'!$D$66*(8*$DV124)+'LINEST VARS'!$C$66*($EC$104*0.5)+'LINEST VARS'!$B$66*($EC$104*$DV124)+'LINEST VARS'!$A$66*(0.5*$DV124)</f>
        <v>139.20000000000005</v>
      </c>
      <c r="ED124" s="46">
        <f>'LINEST VARS'!$U$66+'LINEST VARS'!$T$66*(8)+'LINEST VARS'!$S$66*(8)+'LINEST VARS'!$R$66*($ED$104)+'LINEST VARS'!$Q$66*(0.5)+'LINEST VARS'!$P$66*($DV124)+'LINEST VARS'!$O$66*(8^2)+'LINEST VARS'!$N$66*(8^2)+'LINEST VARS'!$M$66*($ED$104^2)+'LINEST VARS'!$L$66*(0.5^2)+'LINEST VARS'!$K$66*($DV124^2)+'LINEST VARS'!$J$66*(8*8)+'LINEST VARS'!$I$66*(8*$ED$104)+'LINEST VARS'!$H$66*(8*0.5)+'LINEST VARS'!$G$66*(8*$DV124)+'LINEST VARS'!$F$66*(8*$ED$104)+'LINEST VARS'!$E$66*(8*0.5)+'LINEST VARS'!$D$66*(8*$DV124)+'LINEST VARS'!$C$66*($ED$104*0.5)+'LINEST VARS'!$B$66*($ED$104*$DV124)+'LINEST VARS'!$A$66*(0.5*$DV124)</f>
        <v>138.40000000000006</v>
      </c>
      <c r="EE124" s="46">
        <f>'LINEST VARS'!$U$66+'LINEST VARS'!$T$66*(8)+'LINEST VARS'!$S$66*(8)+'LINEST VARS'!$R$66*($EE$104)+'LINEST VARS'!$Q$66*(0.5)+'LINEST VARS'!$P$66*($DV124)+'LINEST VARS'!$O$66*(8^2)+'LINEST VARS'!$N$66*(8^2)+'LINEST VARS'!$M$66*($EE$104^2)+'LINEST VARS'!$L$66*(0.5^2)+'LINEST VARS'!$K$66*($DV124^2)+'LINEST VARS'!$J$66*(8*8)+'LINEST VARS'!$I$66*(8*$EE$104)+'LINEST VARS'!$H$66*(8*0.5)+'LINEST VARS'!$G$66*(8*$DV124)+'LINEST VARS'!$F$66*(8*$EE$104)+'LINEST VARS'!$E$66*(8*0.5)+'LINEST VARS'!$D$66*(8*$DV124)+'LINEST VARS'!$C$66*($EE$104*0.5)+'LINEST VARS'!$B$66*($EE$104*$DV124)+'LINEST VARS'!$A$66*(0.5*$DV124)</f>
        <v>137.60000000000005</v>
      </c>
      <c r="EF124" s="46">
        <f>'LINEST VARS'!$U$66+'LINEST VARS'!$T$66*(8)+'LINEST VARS'!$S$66*(8)+'LINEST VARS'!$R$66*($EF$104)+'LINEST VARS'!$Q$66*(0.5)+'LINEST VARS'!$P$66*($DV124)+'LINEST VARS'!$O$66*(8^2)+'LINEST VARS'!$N$66*(8^2)+'LINEST VARS'!$M$66*($EF$104^2)+'LINEST VARS'!$L$66*(0.5^2)+'LINEST VARS'!$K$66*($DV124^2)+'LINEST VARS'!$J$66*(8*8)+'LINEST VARS'!$I$66*(8*$EF$104)+'LINEST VARS'!$H$66*(8*0.5)+'LINEST VARS'!$G$66*(8*$DV124)+'LINEST VARS'!$F$66*(8*$EF$104)+'LINEST VARS'!$E$66*(8*0.5)+'LINEST VARS'!$D$66*(8*$DV124)+'LINEST VARS'!$C$66*($EF$104*0.5)+'LINEST VARS'!$B$66*($EF$104*$DV124)+'LINEST VARS'!$A$66*(0.5*$DV124)</f>
        <v>136.80000000000004</v>
      </c>
      <c r="EG124" s="46">
        <f>'LINEST VARS'!$U$66+'LINEST VARS'!$T$66*(8)+'LINEST VARS'!$S$66*(8)+'LINEST VARS'!$R$66*($EG$104)+'LINEST VARS'!$Q$66*(0.5)+'LINEST VARS'!$P$66*($DV124)+'LINEST VARS'!$O$66*(8^2)+'LINEST VARS'!$N$66*(8^2)+'LINEST VARS'!$M$66*($EG$104^2)+'LINEST VARS'!$L$66*(0.5^2)+'LINEST VARS'!$K$66*($DV124^2)+'LINEST VARS'!$J$66*(8*8)+'LINEST VARS'!$I$66*(8*$EG$104)+'LINEST VARS'!$H$66*(8*0.5)+'LINEST VARS'!$G$66*(8*$DV124)+'LINEST VARS'!$F$66*(8*$EG$104)+'LINEST VARS'!$E$66*(8*0.5)+'LINEST VARS'!$D$66*(8*$DV124)+'LINEST VARS'!$C$66*($EG$104*0.5)+'LINEST VARS'!$B$66*($EG$104*$DV124)+'LINEST VARS'!$A$66*(0.5*$DV124)</f>
        <v>136.00000000000003</v>
      </c>
      <c r="EH124" s="46">
        <f>'LINEST VARS'!$U$66+'LINEST VARS'!$T$66*(8)+'LINEST VARS'!$S$66*(8)+'LINEST VARS'!$R$66*($EH$104)+'LINEST VARS'!$Q$66*(0.5)+'LINEST VARS'!$P$66*($DV124)+'LINEST VARS'!$O$66*(8^2)+'LINEST VARS'!$N$66*(8^2)+'LINEST VARS'!$M$66*($EH$104^2)+'LINEST VARS'!$L$66*(0.5^2)+'LINEST VARS'!$K$66*($DV124^2)+'LINEST VARS'!$J$66*(8*8)+'LINEST VARS'!$I$66*(8*$EH$104)+'LINEST VARS'!$H$66*(8*0.5)+'LINEST VARS'!$G$66*(8*$DV124)+'LINEST VARS'!$F$66*(8*$EH$104)+'LINEST VARS'!$E$66*(8*0.5)+'LINEST VARS'!$D$66*(8*$DV124)+'LINEST VARS'!$C$66*($EH$104*0.5)+'LINEST VARS'!$B$66*($EH$104*$DV124)+'LINEST VARS'!$A$66*(0.5*$DV124)</f>
        <v>135.20000000000002</v>
      </c>
      <c r="EI124" s="46">
        <f>'LINEST VARS'!$U$66+'LINEST VARS'!$T$66*(8)+'LINEST VARS'!$S$66*(8)+'LINEST VARS'!$R$66*($EI$104)+'LINEST VARS'!$Q$66*(0.5)+'LINEST VARS'!$P$66*($DV124)+'LINEST VARS'!$O$66*(8^2)+'LINEST VARS'!$N$66*(8^2)+'LINEST VARS'!$M$66*($EI$104^2)+'LINEST VARS'!$L$66*(0.5^2)+'LINEST VARS'!$K$66*($DV124^2)+'LINEST VARS'!$J$66*(8*8)+'LINEST VARS'!$I$66*(8*$EI$104)+'LINEST VARS'!$H$66*(8*0.5)+'LINEST VARS'!$G$66*(8*$DV124)+'LINEST VARS'!$F$66*(8*$EI$104)+'LINEST VARS'!$E$66*(8*0.5)+'LINEST VARS'!$D$66*(8*$DV124)+'LINEST VARS'!$C$66*($EI$104*0.5)+'LINEST VARS'!$B$66*($EI$104*$DV124)+'LINEST VARS'!$A$66*(0.5*$DV124)</f>
        <v>134.4</v>
      </c>
      <c r="EJ124" s="46">
        <f>'LINEST VARS'!$U$66+'LINEST VARS'!$T$66*(8)+'LINEST VARS'!$S$66*(8)+'LINEST VARS'!$R$66*($EJ$104)+'LINEST VARS'!$Q$66*(0.5)+'LINEST VARS'!$P$66*($DV124)+'LINEST VARS'!$O$66*(8^2)+'LINEST VARS'!$N$66*(8^2)+'LINEST VARS'!$M$66*($EJ$104^2)+'LINEST VARS'!$L$66*(0.5^2)+'LINEST VARS'!$K$66*($DV124^2)+'LINEST VARS'!$J$66*(8*8)+'LINEST VARS'!$I$66*(8*$EJ$104)+'LINEST VARS'!$H$66*(8*0.5)+'LINEST VARS'!$G$66*(8*$DV124)+'LINEST VARS'!$F$66*(8*$EJ$104)+'LINEST VARS'!$E$66*(8*0.5)+'LINEST VARS'!$D$66*(8*$DV124)+'LINEST VARS'!$C$66*($EJ$104*0.5)+'LINEST VARS'!$B$66*($EJ$104*$DV124)+'LINEST VARS'!$A$66*(0.5*$DV124)</f>
        <v>133.60000000000002</v>
      </c>
      <c r="EK124" s="46">
        <f>'LINEST VARS'!$U$66+'LINEST VARS'!$T$66*(8)+'LINEST VARS'!$S$66*(8)+'LINEST VARS'!$R$66*($EK$104)+'LINEST VARS'!$Q$66*(0.5)+'LINEST VARS'!$P$66*($DV124)+'LINEST VARS'!$O$66*(8^2)+'LINEST VARS'!$N$66*(8^2)+'LINEST VARS'!$M$66*($EK$104^2)+'LINEST VARS'!$L$66*(0.5^2)+'LINEST VARS'!$K$66*($DV124^2)+'LINEST VARS'!$J$66*(8*8)+'LINEST VARS'!$I$66*(8*$EK$104)+'LINEST VARS'!$H$66*(8*0.5)+'LINEST VARS'!$G$66*(8*$DV124)+'LINEST VARS'!$F$66*(8*$EK$104)+'LINEST VARS'!$E$66*(8*0.5)+'LINEST VARS'!$D$66*(8*$DV124)+'LINEST VARS'!$C$66*($EK$104*0.5)+'LINEST VARS'!$B$66*($EK$104*$DV124)+'LINEST VARS'!$A$66*(0.5*$DV124)</f>
        <v>132.80000000000001</v>
      </c>
      <c r="EL124" s="46">
        <f>'LINEST VARS'!$U$66+'LINEST VARS'!$T$66*(8)+'LINEST VARS'!$S$66*(8)+'LINEST VARS'!$R$66*($EL$104)+'LINEST VARS'!$Q$66*(0.5)+'LINEST VARS'!$P$66*($DV124)+'LINEST VARS'!$O$66*(8^2)+'LINEST VARS'!$N$66*(8^2)+'LINEST VARS'!$M$66*($EL$104^2)+'LINEST VARS'!$L$66*(0.5^2)+'LINEST VARS'!$K$66*($DV124^2)+'LINEST VARS'!$J$66*(8*8)+'LINEST VARS'!$I$66*(8*$EL$104)+'LINEST VARS'!$H$66*(8*0.5)+'LINEST VARS'!$G$66*(8*$DV124)+'LINEST VARS'!$F$66*(8*$EL$104)+'LINEST VARS'!$E$66*(8*0.5)+'LINEST VARS'!$D$66*(8*$DV124)+'LINEST VARS'!$C$66*($EL$104*0.5)+'LINEST VARS'!$B$66*($EL$104*$DV124)+'LINEST VARS'!$A$66*(0.5*$DV124)</f>
        <v>132.00000000000003</v>
      </c>
      <c r="EM124" s="46">
        <f>'LINEST VARS'!$U$66+'LINEST VARS'!$T$66*(8)+'LINEST VARS'!$S$66*(8)+'LINEST VARS'!$R$66*($EM$104)+'LINEST VARS'!$Q$66*(0.5)+'LINEST VARS'!$P$66*($DV124)+'LINEST VARS'!$O$66*(8^2)+'LINEST VARS'!$N$66*(8^2)+'LINEST VARS'!$M$66*($EM$104^2)+'LINEST VARS'!$L$66*(0.5^2)+'LINEST VARS'!$K$66*($DV124^2)+'LINEST VARS'!$J$66*(8*8)+'LINEST VARS'!$I$66*(8*$EM$104)+'LINEST VARS'!$H$66*(8*0.5)+'LINEST VARS'!$G$66*(8*$DV124)+'LINEST VARS'!$F$66*(8*$EM$104)+'LINEST VARS'!$E$66*(8*0.5)+'LINEST VARS'!$D$66*(8*$DV124)+'LINEST VARS'!$C$66*($EM$104*0.5)+'LINEST VARS'!$B$66*($EM$104*$DV124)+'LINEST VARS'!$A$66*(0.5*$DV124)</f>
        <v>131.20000000000002</v>
      </c>
      <c r="EN124" s="46">
        <f>'LINEST VARS'!$U$66+'LINEST VARS'!$T$66*(8)+'LINEST VARS'!$S$66*(8)+'LINEST VARS'!$R$66*($EN$104)+'LINEST VARS'!$Q$66*(0.5)+'LINEST VARS'!$P$66*($DV124)+'LINEST VARS'!$O$66*(8^2)+'LINEST VARS'!$N$66*(8^2)+'LINEST VARS'!$M$66*($EN$104^2)+'LINEST VARS'!$L$66*(0.5^2)+'LINEST VARS'!$K$66*($DV124^2)+'LINEST VARS'!$J$66*(8*8)+'LINEST VARS'!$I$66*(8*$EN$104)+'LINEST VARS'!$H$66*(8*0.5)+'LINEST VARS'!$G$66*(8*$DV124)+'LINEST VARS'!$F$66*(8*$EN$104)+'LINEST VARS'!$E$66*(8*0.5)+'LINEST VARS'!$D$66*(8*$DV124)+'LINEST VARS'!$C$66*($EN$104*0.5)+'LINEST VARS'!$B$66*($EN$104*$DV124)+'LINEST VARS'!$A$66*(0.5*$DV124)</f>
        <v>130.40000000000006</v>
      </c>
      <c r="EO124" s="46">
        <f>'LINEST VARS'!$U$66+'LINEST VARS'!$T$66*(8)+'LINEST VARS'!$S$66*(8)+'LINEST VARS'!$R$66*($EO$104)+'LINEST VARS'!$Q$66*(0.5)+'LINEST VARS'!$P$66*($DV124)+'LINEST VARS'!$O$66*(8^2)+'LINEST VARS'!$N$66*(8^2)+'LINEST VARS'!$M$66*($EO$104^2)+'LINEST VARS'!$L$66*(0.5^2)+'LINEST VARS'!$K$66*($DV124^2)+'LINEST VARS'!$J$66*(8*8)+'LINEST VARS'!$I$66*(8*$EO$104)+'LINEST VARS'!$H$66*(8*0.5)+'LINEST VARS'!$G$66*(8*$DV124)+'LINEST VARS'!$F$66*(8*$EO$104)+'LINEST VARS'!$E$66*(8*0.5)+'LINEST VARS'!$D$66*(8*$DV124)+'LINEST VARS'!$C$66*($EO$104*0.5)+'LINEST VARS'!$B$66*($EO$104*$DV124)+'LINEST VARS'!$A$66*(0.5*$DV124)</f>
        <v>129.60000000000002</v>
      </c>
      <c r="EP124" s="46">
        <f>'LINEST VARS'!$U$66+'LINEST VARS'!$T$66*(8)+'LINEST VARS'!$S$66*(8)+'LINEST VARS'!$R$66*($EP$104)+'LINEST VARS'!$Q$66*(0.5)+'LINEST VARS'!$P$66*($DV124)+'LINEST VARS'!$O$66*(8^2)+'LINEST VARS'!$N$66*(8^2)+'LINEST VARS'!$M$66*($EP$104^2)+'LINEST VARS'!$L$66*(0.5^2)+'LINEST VARS'!$K$66*($DV124^2)+'LINEST VARS'!$J$66*(8*8)+'LINEST VARS'!$I$66*(8*$EP$104)+'LINEST VARS'!$H$66*(8*0.5)+'LINEST VARS'!$G$66*(8*$DV124)+'LINEST VARS'!$F$66*(8*$EP$104)+'LINEST VARS'!$E$66*(8*0.5)+'LINEST VARS'!$D$66*(8*$DV124)+'LINEST VARS'!$C$66*($EP$104*0.5)+'LINEST VARS'!$B$66*($EP$104*$DV124)+'LINEST VARS'!$A$66*(0.5*$DV124)</f>
        <v>128.80000000000004</v>
      </c>
      <c r="EQ124" s="47">
        <f>'LINEST VARS'!$U$66+'LINEST VARS'!$T$66*(8)+'LINEST VARS'!$S$66*(8)+'LINEST VARS'!$R$66*($EQ$104)+'LINEST VARS'!$Q$66*(0.5)+'LINEST VARS'!$P$66*($DV124)+'LINEST VARS'!$O$66*(8^2)+'LINEST VARS'!$N$66*(8^2)+'LINEST VARS'!$M$66*($EQ$104^2)+'LINEST VARS'!$L$66*(0.5^2)+'LINEST VARS'!$K$66*($DV124^2)+'LINEST VARS'!$J$66*(8*8)+'LINEST VARS'!$I$66*(8*$EQ$104)+'LINEST VARS'!$H$66*(8*0.5)+'LINEST VARS'!$G$66*(8*$DV124)+'LINEST VARS'!$F$66*(8*$EQ$104)+'LINEST VARS'!$E$66*(8*0.5)+'LINEST VARS'!$D$66*(8*$DV124)+'LINEST VARS'!$C$66*($EQ$104*0.5)+'LINEST VARS'!$B$66*($EQ$104*$DV124)+'LINEST VARS'!$A$66*(0.5*$DV124)</f>
        <v>128.00000000000003</v>
      </c>
    </row>
    <row r="125" spans="2:147" ht="15" customHeight="1" thickBot="1" x14ac:dyDescent="0.3">
      <c r="B125" s="48">
        <v>8.6</v>
      </c>
      <c r="C125" s="57">
        <f>'LINEST VARS'!$U$64+'LINEST VARS'!$T$64*($C$104)+'LINEST VARS'!$S$64*($B125)+'LINEST VARS'!$R$64*(4)+'LINEST VARS'!$Q$64*(0.5)+'LINEST VARS'!$P$64*(12.73)+'LINEST VARS'!$O$64*($C$104^2)+'LINEST VARS'!$N$64*($B125^2)+'LINEST VARS'!$M$64*(4^2)+'LINEST VARS'!$L$64*(0.5^2)+'LINEST VARS'!$K$64*(12.73^2)+'LINEST VARS'!$J$64*($C$104*$B125)+'LINEST VARS'!$I$64*($C$104*4)+'LINEST VARS'!$H$64*($C$104*0.5)+'LINEST VARS'!$G$64*($C$104*12.73)+'LINEST VARS'!$F$64*($B125*4)+'LINEST VARS'!$E$64*($B125*0.5)+'LINEST VARS'!$D$64*($B125*12.73)+'LINEST VARS'!$C$64*(4*0.5)+'LINEST VARS'!$B$64*(4*12.73)+'LINEST VARS'!$A$64*(0.5*12.73)</f>
        <v>164.18999999999991</v>
      </c>
      <c r="D125" s="57">
        <f>'LINEST VARS'!$U$64+'LINEST VARS'!$T$64*($D$104)+'LINEST VARS'!$S$64*($B125)+'LINEST VARS'!$R$64*(4)+'LINEST VARS'!$Q$64*(0.5)+'LINEST VARS'!$P$64*(12.73)+'LINEST VARS'!$O$64*($D$104^2)+'LINEST VARS'!$N$64*($B125^2)+'LINEST VARS'!$M$64*(4^2)+'LINEST VARS'!$L$64*(0.5^2)+'LINEST VARS'!$K$64*(12.73^2)+'LINEST VARS'!$J$64*($D$104*$B125)+'LINEST VARS'!$I$64*($D$104*4)+'LINEST VARS'!$H$64*($D$104*0.5)+'LINEST VARS'!$G$64*($D$104*12.73)+'LINEST VARS'!$F$64*($B125*4)+'LINEST VARS'!$E$64*($B125*0.5)+'LINEST VARS'!$D$64*($B125*12.73)+'LINEST VARS'!$C$64*(4*0.5)+'LINEST VARS'!$B$64*(4*12.73)+'LINEST VARS'!$A$64*(0.5*12.73)</f>
        <v>164.18999999999991</v>
      </c>
      <c r="E125" s="57">
        <f>'LINEST VARS'!$U$64+'LINEST VARS'!$T$64*($E$104)+'LINEST VARS'!$S$64*($B125)+'LINEST VARS'!$R$64*(4)+'LINEST VARS'!$Q$64*(0.5)+'LINEST VARS'!$P$64*(12.73)+'LINEST VARS'!$O$64*($E$104^2)+'LINEST VARS'!$N$64*($B125^2)+'LINEST VARS'!$M$64*(4^2)+'LINEST VARS'!$L$64*(0.5^2)+'LINEST VARS'!$K$64*(12.73^2)+'LINEST VARS'!$J$64*($E$104*$B125)+'LINEST VARS'!$I$64*($E$104*4)+'LINEST VARS'!$H$64*($E$104*0.5)+'LINEST VARS'!$G$64*($E$104*12.73)+'LINEST VARS'!$F$64*($B125*4)+'LINEST VARS'!$E$64*($B125*0.5)+'LINEST VARS'!$D$64*($B125*12.73)+'LINEST VARS'!$C$64*(4*0.5)+'LINEST VARS'!$B$64*(4*12.73)+'LINEST VARS'!$A$64*(0.5*12.73)</f>
        <v>164.18999999999991</v>
      </c>
      <c r="F125" s="57">
        <f>'LINEST VARS'!$U$64+'LINEST VARS'!$T$64*($F$104)+'LINEST VARS'!$S$64*($B125)+'LINEST VARS'!$R$64*(4)+'LINEST VARS'!$Q$64*(0.5)+'LINEST VARS'!$P$64*(12.73)+'LINEST VARS'!$O$64*($F$104^2)+'LINEST VARS'!$N$64*($B125^2)+'LINEST VARS'!$M$64*(4^2)+'LINEST VARS'!$L$64*(0.5^2)+'LINEST VARS'!$K$64*(12.73^2)+'LINEST VARS'!$J$64*($F$104*$B125)+'LINEST VARS'!$I$64*($F$104*4)+'LINEST VARS'!$H$64*($F$104*0.5)+'LINEST VARS'!$G$64*($F$104*12.73)+'LINEST VARS'!$F$64*($B125*4)+'LINEST VARS'!$E$64*($B125*0.5)+'LINEST VARS'!$D$64*($B125*12.73)+'LINEST VARS'!$C$64*(4*0.5)+'LINEST VARS'!$B$64*(4*12.73)+'LINEST VARS'!$A$64*(0.5*12.73)</f>
        <v>164.18999999999991</v>
      </c>
      <c r="G125" s="57">
        <f>'LINEST VARS'!$U$64+'LINEST VARS'!$T$64*($G$104)+'LINEST VARS'!$S$64*($B125)+'LINEST VARS'!$R$64*(4)+'LINEST VARS'!$Q$64*(0.5)+'LINEST VARS'!$P$64*(12.73)+'LINEST VARS'!$O$64*($G$104^2)+'LINEST VARS'!$N$64*($B125^2)+'LINEST VARS'!$M$64*(4^2)+'LINEST VARS'!$L$64*(0.5^2)+'LINEST VARS'!$K$64*(12.73^2)+'LINEST VARS'!$J$64*($G$104*$B125)+'LINEST VARS'!$I$64*($G$104*4)+'LINEST VARS'!$H$64*($G$104*0.5)+'LINEST VARS'!$G$64*($G$104*12.73)+'LINEST VARS'!$F$64*($B125*4)+'LINEST VARS'!$E$64*($B125*0.5)+'LINEST VARS'!$D$64*($B125*12.73)+'LINEST VARS'!$C$64*(4*0.5)+'LINEST VARS'!$B$64*(4*12.73)+'LINEST VARS'!$A$64*(0.5*12.73)</f>
        <v>164.18999999999994</v>
      </c>
      <c r="H125" s="57">
        <f>'LINEST VARS'!$U$64+'LINEST VARS'!$T$64*($H$104)+'LINEST VARS'!$S$64*($B125)+'LINEST VARS'!$R$64*(4)+'LINEST VARS'!$Q$64*(0.5)+'LINEST VARS'!$P$64*(12.73)+'LINEST VARS'!$O$64*($H$104^2)+'LINEST VARS'!$N$64*($B125^2)+'LINEST VARS'!$M$64*(4^2)+'LINEST VARS'!$L$64*(0.5^2)+'LINEST VARS'!$K$64*(12.73^2)+'LINEST VARS'!$J$64*($H$104*$B125)+'LINEST VARS'!$I$64*($H$104*4)+'LINEST VARS'!$H$64*($H$104*0.5)+'LINEST VARS'!$G$64*($H$104*12.73)+'LINEST VARS'!$F$64*($B125*4)+'LINEST VARS'!$E$64*($B125*0.5)+'LINEST VARS'!$D$64*($B125*12.73)+'LINEST VARS'!$C$64*(4*0.5)+'LINEST VARS'!$B$64*(4*12.73)+'LINEST VARS'!$A$64*(0.5*12.73)</f>
        <v>164.18999999999994</v>
      </c>
      <c r="I125" s="57">
        <f>'LINEST VARS'!$U$64+'LINEST VARS'!$T$64*($I$104)+'LINEST VARS'!$S$64*($B125)+'LINEST VARS'!$R$64*(4)+'LINEST VARS'!$Q$64*(0.5)+'LINEST VARS'!$P$64*(12.73)+'LINEST VARS'!$O$64*($I$104^2)+'LINEST VARS'!$N$64*($B125^2)+'LINEST VARS'!$M$64*(4^2)+'LINEST VARS'!$L$64*(0.5^2)+'LINEST VARS'!$K$64*(12.73^2)+'LINEST VARS'!$J$64*($I$104*$B125)+'LINEST VARS'!$I$64*($I$104*4)+'LINEST VARS'!$H$64*($I$104*0.5)+'LINEST VARS'!$G$64*($I$104*12.73)+'LINEST VARS'!$F$64*($B125*4)+'LINEST VARS'!$E$64*($B125*0.5)+'LINEST VARS'!$D$64*($B125*12.73)+'LINEST VARS'!$C$64*(4*0.5)+'LINEST VARS'!$B$64*(4*12.73)+'LINEST VARS'!$A$64*(0.5*12.73)</f>
        <v>164.18999999999991</v>
      </c>
      <c r="J125" s="57">
        <f>'LINEST VARS'!$U$64+'LINEST VARS'!$T$64*($J$104)+'LINEST VARS'!$S$64*($B125)+'LINEST VARS'!$R$64*(4)+'LINEST VARS'!$Q$64*(0.5)+'LINEST VARS'!$P$64*(12.73)+'LINEST VARS'!$O$64*($J$104^2)+'LINEST VARS'!$N$64*($B125^2)+'LINEST VARS'!$M$64*(4^2)+'LINEST VARS'!$L$64*(0.5^2)+'LINEST VARS'!$K$64*(12.73^2)+'LINEST VARS'!$J$64*($J$104*$B125)+'LINEST VARS'!$I$64*($J$104*4)+'LINEST VARS'!$H$64*($J$104*0.5)+'LINEST VARS'!$G$64*($J$104*12.73)+'LINEST VARS'!$F$64*($B125*4)+'LINEST VARS'!$E$64*($B125*0.5)+'LINEST VARS'!$D$64*($B125*12.73)+'LINEST VARS'!$C$64*(4*0.5)+'LINEST VARS'!$B$64*(4*12.73)+'LINEST VARS'!$A$64*(0.5*12.73)</f>
        <v>164.18999999999991</v>
      </c>
      <c r="K125" s="57">
        <f>'LINEST VARS'!$U$64+'LINEST VARS'!$T$64*($K$104)+'LINEST VARS'!$S$64*($B125)+'LINEST VARS'!$R$64*(4)+'LINEST VARS'!$Q$64*(0.5)+'LINEST VARS'!$P$64*(12.73)+'LINEST VARS'!$O$64*($K$104^2)+'LINEST VARS'!$N$64*($B125^2)+'LINEST VARS'!$M$64*(4^2)+'LINEST VARS'!$L$64*(0.5^2)+'LINEST VARS'!$K$64*(12.73^2)+'LINEST VARS'!$J$64*($K$104*$B125)+'LINEST VARS'!$I$64*($K$104*4)+'LINEST VARS'!$H$64*($K$104*0.5)+'LINEST VARS'!$G$64*($K$104*12.73)+'LINEST VARS'!$F$64*($B125*4)+'LINEST VARS'!$E$64*($B125*0.5)+'LINEST VARS'!$D$64*($B125*12.73)+'LINEST VARS'!$C$64*(4*0.5)+'LINEST VARS'!$B$64*(4*12.73)+'LINEST VARS'!$A$64*(0.5*12.73)</f>
        <v>164.18999999999991</v>
      </c>
      <c r="L125" s="57">
        <f>'LINEST VARS'!$U$64+'LINEST VARS'!$T$64*($L$104)+'LINEST VARS'!$S$64*($B125)+'LINEST VARS'!$R$64*(4)+'LINEST VARS'!$Q$64*(0.5)+'LINEST VARS'!$P$64*(12.73)+'LINEST VARS'!$O$64*($L$104^2)+'LINEST VARS'!$N$64*($B125^2)+'LINEST VARS'!$M$64*(4^2)+'LINEST VARS'!$L$64*(0.5^2)+'LINEST VARS'!$K$64*(12.73^2)+'LINEST VARS'!$J$64*($L$104*$B125)+'LINEST VARS'!$I$64*($L$104*4)+'LINEST VARS'!$H$64*($L$104*0.5)+'LINEST VARS'!$G$64*($L$104*12.73)+'LINEST VARS'!$F$64*($B125*4)+'LINEST VARS'!$E$64*($B125*0.5)+'LINEST VARS'!$D$64*($B125*12.73)+'LINEST VARS'!$C$64*(4*0.5)+'LINEST VARS'!$B$64*(4*12.73)+'LINEST VARS'!$A$64*(0.5*12.73)</f>
        <v>164.18999999999991</v>
      </c>
      <c r="M125" s="57">
        <f>'LINEST VARS'!$U$64+'LINEST VARS'!$T$64*($M$104)+'LINEST VARS'!$S$64*($B125)+'LINEST VARS'!$R$64*(4)+'LINEST VARS'!$Q$64*(0.5)+'LINEST VARS'!$P$64*(12.73)+'LINEST VARS'!$O$64*($M$104^2)+'LINEST VARS'!$N$64*($B125^2)+'LINEST VARS'!$M$64*(4^2)+'LINEST VARS'!$L$64*(0.5^2)+'LINEST VARS'!$K$64*(12.73^2)+'LINEST VARS'!$J$64*($M$104*$B125)+'LINEST VARS'!$I$64*($M$104*4)+'LINEST VARS'!$H$64*($M$104*0.5)+'LINEST VARS'!$G$64*($M$104*12.73)+'LINEST VARS'!$F$64*($B125*4)+'LINEST VARS'!$E$64*($B125*0.5)+'LINEST VARS'!$D$64*($B125*12.73)+'LINEST VARS'!$C$64*(4*0.5)+'LINEST VARS'!$B$64*(4*12.73)+'LINEST VARS'!$A$64*(0.5*12.73)</f>
        <v>164.18999999999991</v>
      </c>
      <c r="N125" s="57">
        <f>'LINEST VARS'!$U$64+'LINEST VARS'!$T$64*($N$104)+'LINEST VARS'!$S$64*($B125)+'LINEST VARS'!$R$64*(4)+'LINEST VARS'!$Q$64*(0.5)+'LINEST VARS'!$P$64*(12.73)+'LINEST VARS'!$O$64*($N$104^2)+'LINEST VARS'!$N$64*($B125^2)+'LINEST VARS'!$M$64*(4^2)+'LINEST VARS'!$L$64*(0.5^2)+'LINEST VARS'!$K$64*(12.73^2)+'LINEST VARS'!$J$64*($N$104*$B125)+'LINEST VARS'!$I$64*($N$104*4)+'LINEST VARS'!$H$64*($N$104*0.5)+'LINEST VARS'!$G$64*($N$104*12.73)+'LINEST VARS'!$F$64*($B125*4)+'LINEST VARS'!$E$64*($B125*0.5)+'LINEST VARS'!$D$64*($B125*12.73)+'LINEST VARS'!$C$64*(4*0.5)+'LINEST VARS'!$B$64*(4*12.73)+'LINEST VARS'!$A$64*(0.5*12.73)</f>
        <v>164.18999999999991</v>
      </c>
      <c r="O125" s="57">
        <f>'LINEST VARS'!$U$64+'LINEST VARS'!$T$64*($O$104)+'LINEST VARS'!$S$64*($B125)+'LINEST VARS'!$R$64*(4)+'LINEST VARS'!$Q$64*(0.5)+'LINEST VARS'!$P$64*(12.73)+'LINEST VARS'!$O$64*($O$104^2)+'LINEST VARS'!$N$64*($B125^2)+'LINEST VARS'!$M$64*(4^2)+'LINEST VARS'!$L$64*(0.5^2)+'LINEST VARS'!$K$64*(12.73^2)+'LINEST VARS'!$J$64*($O$104*$B125)+'LINEST VARS'!$I$64*($O$104*4)+'LINEST VARS'!$H$64*($O$104*0.5)+'LINEST VARS'!$G$64*($O$104*12.73)+'LINEST VARS'!$F$64*($B125*4)+'LINEST VARS'!$E$64*($B125*0.5)+'LINEST VARS'!$D$64*($B125*12.73)+'LINEST VARS'!$C$64*(4*0.5)+'LINEST VARS'!$B$64*(4*12.73)+'LINEST VARS'!$A$64*(0.5*12.73)</f>
        <v>164.18999999999988</v>
      </c>
      <c r="P125" s="57">
        <f>'LINEST VARS'!$U$64+'LINEST VARS'!$T$64*($P$104)+'LINEST VARS'!$S$64*($B125)+'LINEST VARS'!$R$64*(4)+'LINEST VARS'!$Q$64*(0.5)+'LINEST VARS'!$P$64*(12.73)+'LINEST VARS'!$O$64*($P$104^2)+'LINEST VARS'!$N$64*($B125^2)+'LINEST VARS'!$M$64*(4^2)+'LINEST VARS'!$L$64*(0.5^2)+'LINEST VARS'!$K$64*(12.73^2)+'LINEST VARS'!$J$64*($P$104*$B125)+'LINEST VARS'!$I$64*($P$104*4)+'LINEST VARS'!$H$64*($P$104*0.5)+'LINEST VARS'!$G$64*($P$104*12.73)+'LINEST VARS'!$F$64*($B125*4)+'LINEST VARS'!$E$64*($B125*0.5)+'LINEST VARS'!$D$64*($B125*12.73)+'LINEST VARS'!$C$64*(4*0.5)+'LINEST VARS'!$B$64*(4*12.73)+'LINEST VARS'!$A$64*(0.5*12.73)</f>
        <v>164.18999999999991</v>
      </c>
      <c r="Q125" s="57">
        <f>'LINEST VARS'!$U$64+'LINEST VARS'!$T$64*($Q$104)+'LINEST VARS'!$S$64*($B125)+'LINEST VARS'!$R$64*(4)+'LINEST VARS'!$Q$64*(0.5)+'LINEST VARS'!$P$64*(12.73)+'LINEST VARS'!$O$64*($Q$104^2)+'LINEST VARS'!$N$64*($B125^2)+'LINEST VARS'!$M$64*(4^2)+'LINEST VARS'!$L$64*(0.5^2)+'LINEST VARS'!$K$64*(12.73^2)+'LINEST VARS'!$J$64*($Q$104*$B125)+'LINEST VARS'!$I$64*($Q$104*4)+'LINEST VARS'!$H$64*($Q$104*0.5)+'LINEST VARS'!$G$64*($Q$104*12.73)+'LINEST VARS'!$F$64*($B125*4)+'LINEST VARS'!$E$64*($B125*0.5)+'LINEST VARS'!$D$64*($B125*12.73)+'LINEST VARS'!$C$64*(4*0.5)+'LINEST VARS'!$B$64*(4*12.73)+'LINEST VARS'!$A$64*(0.5*12.73)</f>
        <v>164.18999999999991</v>
      </c>
      <c r="R125" s="57">
        <f>'LINEST VARS'!$U$64+'LINEST VARS'!$T$64*($R$104)+'LINEST VARS'!$S$64*($B125)+'LINEST VARS'!$R$64*(4)+'LINEST VARS'!$Q$64*(0.5)+'LINEST VARS'!$P$64*(12.73)+'LINEST VARS'!$O$64*($R$104^2)+'LINEST VARS'!$N$64*($B125^2)+'LINEST VARS'!$M$64*(4^2)+'LINEST VARS'!$L$64*(0.5^2)+'LINEST VARS'!$K$64*(12.73^2)+'LINEST VARS'!$J$64*($R$104*$B125)+'LINEST VARS'!$I$64*($R$104*4)+'LINEST VARS'!$H$64*($R$104*0.5)+'LINEST VARS'!$G$64*($R$104*12.73)+'LINEST VARS'!$F$64*($B125*4)+'LINEST VARS'!$E$64*($B125*0.5)+'LINEST VARS'!$D$64*($B125*12.73)+'LINEST VARS'!$C$64*(4*0.5)+'LINEST VARS'!$B$64*(4*12.73)+'LINEST VARS'!$A$64*(0.5*12.73)</f>
        <v>164.18999999999991</v>
      </c>
      <c r="S125" s="57">
        <f>'LINEST VARS'!$U$64+'LINEST VARS'!$T$64*($S$104)+'LINEST VARS'!$S$64*($B125)+'LINEST VARS'!$R$64*(4)+'LINEST VARS'!$Q$64*(0.5)+'LINEST VARS'!$P$64*(12.73)+'LINEST VARS'!$O$64*($S$104^2)+'LINEST VARS'!$N$64*($B125^2)+'LINEST VARS'!$M$64*(4^2)+'LINEST VARS'!$L$64*(0.5^2)+'LINEST VARS'!$K$64*(12.73^2)+'LINEST VARS'!$J$64*($S$104*$B125)+'LINEST VARS'!$I$64*($S$104*4)+'LINEST VARS'!$H$64*($S$104*0.5)+'LINEST VARS'!$G$64*($S$104*12.73)+'LINEST VARS'!$F$64*($B125*4)+'LINEST VARS'!$E$64*($B125*0.5)+'LINEST VARS'!$D$64*($B125*12.73)+'LINEST VARS'!$C$64*(4*0.5)+'LINEST VARS'!$B$64*(4*12.73)+'LINEST VARS'!$A$64*(0.5*12.73)</f>
        <v>164.18999999999991</v>
      </c>
      <c r="T125" s="57">
        <f>'LINEST VARS'!$U$64+'LINEST VARS'!$T$64*($T$104)+'LINEST VARS'!$S$64*($B125)+'LINEST VARS'!$R$64*(4)+'LINEST VARS'!$Q$64*(0.5)+'LINEST VARS'!$P$64*(12.73)+'LINEST VARS'!$O$64*($T$104^2)+'LINEST VARS'!$N$64*($B125^2)+'LINEST VARS'!$M$64*(4^2)+'LINEST VARS'!$L$64*(0.5^2)+'LINEST VARS'!$K$64*(12.73^2)+'LINEST VARS'!$J$64*($T$104*$B125)+'LINEST VARS'!$I$64*($T$104*4)+'LINEST VARS'!$H$64*($T$104*0.5)+'LINEST VARS'!$G$64*($T$104*12.73)+'LINEST VARS'!$F$64*($B125*4)+'LINEST VARS'!$E$64*($B125*0.5)+'LINEST VARS'!$D$64*($B125*12.73)+'LINEST VARS'!$C$64*(4*0.5)+'LINEST VARS'!$B$64*(4*12.73)+'LINEST VARS'!$A$64*(0.5*12.73)</f>
        <v>164.18999999999991</v>
      </c>
      <c r="U125" s="57">
        <f>'LINEST VARS'!$U$64+'LINEST VARS'!$T$64*($U$104)+'LINEST VARS'!$S$64*($B125)+'LINEST VARS'!$R$64*(4)+'LINEST VARS'!$Q$64*(0.5)+'LINEST VARS'!$P$64*(12.73)+'LINEST VARS'!$O$64*($U$104^2)+'LINEST VARS'!$N$64*($B125^2)+'LINEST VARS'!$M$64*(4^2)+'LINEST VARS'!$L$64*(0.5^2)+'LINEST VARS'!$K$64*(12.73^2)+'LINEST VARS'!$J$64*($U$104*$B125)+'LINEST VARS'!$I$64*($U$104*4)+'LINEST VARS'!$H$64*($U$104*0.5)+'LINEST VARS'!$G$64*($U$104*12.73)+'LINEST VARS'!$F$64*($B125*4)+'LINEST VARS'!$E$64*($B125*0.5)+'LINEST VARS'!$D$64*($B125*12.73)+'LINEST VARS'!$C$64*(4*0.5)+'LINEST VARS'!$B$64*(4*12.73)+'LINEST VARS'!$A$64*(0.5*12.73)</f>
        <v>164.18999999999991</v>
      </c>
      <c r="V125" s="57">
        <f>'LINEST VARS'!$U$64+'LINEST VARS'!$T$64*($V$104)+'LINEST VARS'!$S$64*($B125)+'LINEST VARS'!$R$64*(4)+'LINEST VARS'!$Q$64*(0.5)+'LINEST VARS'!$P$64*(12.73)+'LINEST VARS'!$O$64*($V$104^2)+'LINEST VARS'!$N$64*($B125^2)+'LINEST VARS'!$M$64*(4^2)+'LINEST VARS'!$L$64*(0.5^2)+'LINEST VARS'!$K$64*(12.73^2)+'LINEST VARS'!$J$64*($V$104*$B125)+'LINEST VARS'!$I$64*($V$104*4)+'LINEST VARS'!$H$64*($V$104*0.5)+'LINEST VARS'!$G$64*($V$104*12.73)+'LINEST VARS'!$F$64*($B125*4)+'LINEST VARS'!$E$64*($B125*0.5)+'LINEST VARS'!$D$64*($B125*12.73)+'LINEST VARS'!$C$64*(4*0.5)+'LINEST VARS'!$B$64*(4*12.73)+'LINEST VARS'!$A$64*(0.5*12.73)</f>
        <v>164.18999999999991</v>
      </c>
      <c r="W125" s="58">
        <f>'LINEST VARS'!$U$64+'LINEST VARS'!$T$64*($W$104)+'LINEST VARS'!$S$64*($B125)+'LINEST VARS'!$R$64*(4)+'LINEST VARS'!$Q$64*(0.5)+'LINEST VARS'!$P$64*(12.73)+'LINEST VARS'!$O$64*($W$104^2)+'LINEST VARS'!$N$64*($B125^2)+'LINEST VARS'!$M$64*(4^2)+'LINEST VARS'!$L$64*(0.5^2)+'LINEST VARS'!$K$64*(12.73^2)+'LINEST VARS'!$J$64*($W$104*$B125)+'LINEST VARS'!$I$64*($W$104*4)+'LINEST VARS'!$H$64*($W$104*0.5)+'LINEST VARS'!$G$64*($W$104*12.73)+'LINEST VARS'!$F$64*($B125*4)+'LINEST VARS'!$E$64*($B125*0.5)+'LINEST VARS'!$D$64*($B125*12.73)+'LINEST VARS'!$C$64*(4*0.5)+'LINEST VARS'!$B$64*(4*12.73)+'LINEST VARS'!$A$64*(0.5*12.73)</f>
        <v>164.18999999999988</v>
      </c>
      <c r="Z125" s="48">
        <v>8.6</v>
      </c>
      <c r="AA125" s="49">
        <f>'LINEST VARS'!$U$66+'LINEST VARS'!$T$66*($AA$104)+'LINEST VARS'!$S$66*($Z125)+'LINEST VARS'!$R$66*(4)+'LINEST VARS'!$Q$66*(0.5)+'LINEST VARS'!$P$66*(12.73)+'LINEST VARS'!$O$66*($AA$104^2)+'LINEST VARS'!$N$66*($Z125^2)+'LINEST VARS'!$M$66*(4^2)+'LINEST VARS'!$L$66*(0.5^2)+'LINEST VARS'!$K$66*(12.73^2)+'LINEST VARS'!$J$66*($AA$104*$Z125)+'LINEST VARS'!$I$66*($AA$104*4)+'LINEST VARS'!$H$66*($AA$104*0.5)+'LINEST VARS'!$G$66*($AA$104*12.73)+'LINEST VARS'!$F$66*($Z125*4)+'LINEST VARS'!$E$66*($Z125*0.5)+'LINEST VARS'!$D$66*($Z125*12.73)+'LINEST VARS'!$C$66*(4*0.5)+'LINEST VARS'!$B$66*(4*12.73)+'LINEST VARS'!$A$66*(0.5*12.73)</f>
        <v>134.20000000000005</v>
      </c>
      <c r="AB125" s="49">
        <f>'LINEST VARS'!$U$66+'LINEST VARS'!$T$66*($AB$104)+'LINEST VARS'!$S$66*($Z125)+'LINEST VARS'!$R$66*(4)+'LINEST VARS'!$Q$66*(0.5)+'LINEST VARS'!$P$66*(12.73)+'LINEST VARS'!$O$66*($AB$104^2)+'LINEST VARS'!$N$66*($Z125^2)+'LINEST VARS'!$M$66*(4^2)+'LINEST VARS'!$L$66*(0.5^2)+'LINEST VARS'!$K$66*(12.73^2)+'LINEST VARS'!$J$66*($AB$104*$Z125)+'LINEST VARS'!$I$66*($AB$104*4)+'LINEST VARS'!$H$66*($AB$104*0.5)+'LINEST VARS'!$G$66*($AB$104*12.73)+'LINEST VARS'!$F$66*($Z125*4)+'LINEST VARS'!$E$66*($Z125*0.5)+'LINEST VARS'!$D$66*($Z125*12.73)+'LINEST VARS'!$C$66*(4*0.5)+'LINEST VARS'!$B$66*(4*12.73)+'LINEST VARS'!$A$66*(0.5*12.73)</f>
        <v>134.38000000000005</v>
      </c>
      <c r="AC125" s="49">
        <f>'LINEST VARS'!$U$66+'LINEST VARS'!$T$66*($AC$104)+'LINEST VARS'!$S$66*($Z125)+'LINEST VARS'!$R$66*(4)+'LINEST VARS'!$Q$66*(0.5)+'LINEST VARS'!$P$66*(12.73)+'LINEST VARS'!$O$66*($AC$104^2)+'LINEST VARS'!$N$66*($Z125^2)+'LINEST VARS'!$M$66*(4^2)+'LINEST VARS'!$L$66*(0.5^2)+'LINEST VARS'!$K$66*(12.73^2)+'LINEST VARS'!$J$66*($AC$104*$Z125)+'LINEST VARS'!$I$66*($AC$104*4)+'LINEST VARS'!$H$66*($AC$104*0.5)+'LINEST VARS'!$G$66*($AC$104*12.73)+'LINEST VARS'!$F$66*($Z125*4)+'LINEST VARS'!$E$66*($Z125*0.5)+'LINEST VARS'!$D$66*($Z125*12.73)+'LINEST VARS'!$C$66*(4*0.5)+'LINEST VARS'!$B$66*(4*12.73)+'LINEST VARS'!$A$66*(0.5*12.73)</f>
        <v>134.56000000000003</v>
      </c>
      <c r="AD125" s="49">
        <f>'LINEST VARS'!$U$66+'LINEST VARS'!$T$66*($AD$104)+'LINEST VARS'!$S$66*($Z125)+'LINEST VARS'!$R$66*(4)+'LINEST VARS'!$Q$66*(0.5)+'LINEST VARS'!$P$66*(12.73)+'LINEST VARS'!$O$66*($AD$104^2)+'LINEST VARS'!$N$66*($Z125^2)+'LINEST VARS'!$M$66*(4^2)+'LINEST VARS'!$L$66*(0.5^2)+'LINEST VARS'!$K$66*(12.73^2)+'LINEST VARS'!$J$66*($AD$104*$Z125)+'LINEST VARS'!$I$66*($AD$104*4)+'LINEST VARS'!$H$66*($AD$104*0.5)+'LINEST VARS'!$G$66*($AD$104*12.73)+'LINEST VARS'!$F$66*($Z125*4)+'LINEST VARS'!$E$66*($Z125*0.5)+'LINEST VARS'!$D$66*($Z125*12.73)+'LINEST VARS'!$C$66*(4*0.5)+'LINEST VARS'!$B$66*(4*12.73)+'LINEST VARS'!$A$66*(0.5*12.73)</f>
        <v>134.74000000000004</v>
      </c>
      <c r="AE125" s="49">
        <f>'LINEST VARS'!$U$66+'LINEST VARS'!$T$66*($AE$104)+'LINEST VARS'!$S$66*($Z125)+'LINEST VARS'!$R$66*(4)+'LINEST VARS'!$Q$66*(0.5)+'LINEST VARS'!$P$66*(12.73)+'LINEST VARS'!$O$66*($AE$104^2)+'LINEST VARS'!$N$66*($Z125^2)+'LINEST VARS'!$M$66*(4^2)+'LINEST VARS'!$L$66*(0.5^2)+'LINEST VARS'!$K$66*(12.73^2)+'LINEST VARS'!$J$66*($AE$104*$Z125)+'LINEST VARS'!$I$66*($AE$104*4)+'LINEST VARS'!$H$66*($AE$104*0.5)+'LINEST VARS'!$G$66*($AE$104*12.73)+'LINEST VARS'!$F$66*($Z125*4)+'LINEST VARS'!$E$66*($Z125*0.5)+'LINEST VARS'!$D$66*($Z125*12.73)+'LINEST VARS'!$C$66*(4*0.5)+'LINEST VARS'!$B$66*(4*12.73)+'LINEST VARS'!$A$66*(0.5*12.73)</f>
        <v>134.92000000000004</v>
      </c>
      <c r="AF125" s="49">
        <f>'LINEST VARS'!$U$66+'LINEST VARS'!$T$66*($AF$104)+'LINEST VARS'!$S$66*($Z125)+'LINEST VARS'!$R$66*(4)+'LINEST VARS'!$Q$66*(0.5)+'LINEST VARS'!$P$66*(12.73)+'LINEST VARS'!$O$66*($AF$104^2)+'LINEST VARS'!$N$66*($Z125^2)+'LINEST VARS'!$M$66*(4^2)+'LINEST VARS'!$L$66*(0.5^2)+'LINEST VARS'!$K$66*(12.73^2)+'LINEST VARS'!$J$66*($AF$104*$Z125)+'LINEST VARS'!$I$66*($AF$104*4)+'LINEST VARS'!$H$66*($AF$104*0.5)+'LINEST VARS'!$G$66*($AF$104*12.73)+'LINEST VARS'!$F$66*($Z125*4)+'LINEST VARS'!$E$66*($Z125*0.5)+'LINEST VARS'!$D$66*($Z125*12.73)+'LINEST VARS'!$C$66*(4*0.5)+'LINEST VARS'!$B$66*(4*12.73)+'LINEST VARS'!$A$66*(0.5*12.73)</f>
        <v>135.10000000000005</v>
      </c>
      <c r="AG125" s="49">
        <f>'LINEST VARS'!$U$66+'LINEST VARS'!$T$66*($AG$104)+'LINEST VARS'!$S$66*($Z125)+'LINEST VARS'!$R$66*(4)+'LINEST VARS'!$Q$66*(0.5)+'LINEST VARS'!$P$66*(12.73)+'LINEST VARS'!$O$66*($AG$104^2)+'LINEST VARS'!$N$66*($Z125^2)+'LINEST VARS'!$M$66*(4^2)+'LINEST VARS'!$L$66*(0.5^2)+'LINEST VARS'!$K$66*(12.73^2)+'LINEST VARS'!$J$66*($AG$104*$Z125)+'LINEST VARS'!$I$66*($AG$104*4)+'LINEST VARS'!$H$66*($AG$104*0.5)+'LINEST VARS'!$G$66*($AG$104*12.73)+'LINEST VARS'!$F$66*($Z125*4)+'LINEST VARS'!$E$66*($Z125*0.5)+'LINEST VARS'!$D$66*($Z125*12.73)+'LINEST VARS'!$C$66*(4*0.5)+'LINEST VARS'!$B$66*(4*12.73)+'LINEST VARS'!$A$66*(0.5*12.73)</f>
        <v>135.28000000000003</v>
      </c>
      <c r="AH125" s="49">
        <f>'LINEST VARS'!$U$66+'LINEST VARS'!$T$66*($AH$104)+'LINEST VARS'!$S$66*($Z125)+'LINEST VARS'!$R$66*(4)+'LINEST VARS'!$Q$66*(0.5)+'LINEST VARS'!$P$66*(12.73)+'LINEST VARS'!$O$66*($AH$104^2)+'LINEST VARS'!$N$66*($Z125^2)+'LINEST VARS'!$M$66*(4^2)+'LINEST VARS'!$L$66*(0.5^2)+'LINEST VARS'!$K$66*(12.73^2)+'LINEST VARS'!$J$66*($AH$104*$Z125)+'LINEST VARS'!$I$66*($AH$104*4)+'LINEST VARS'!$H$66*($AH$104*0.5)+'LINEST VARS'!$G$66*($AH$104*12.73)+'LINEST VARS'!$F$66*($Z125*4)+'LINEST VARS'!$E$66*($Z125*0.5)+'LINEST VARS'!$D$66*($Z125*12.73)+'LINEST VARS'!$C$66*(4*0.5)+'LINEST VARS'!$B$66*(4*12.73)+'LINEST VARS'!$A$66*(0.5*12.73)</f>
        <v>135.46000000000004</v>
      </c>
      <c r="AI125" s="49">
        <f>'LINEST VARS'!$U$66+'LINEST VARS'!$T$66*($AI$104)+'LINEST VARS'!$S$66*($Z125)+'LINEST VARS'!$R$66*(4)+'LINEST VARS'!$Q$66*(0.5)+'LINEST VARS'!$P$66*(12.73)+'LINEST VARS'!$O$66*($AI$104^2)+'LINEST VARS'!$N$66*($Z125^2)+'LINEST VARS'!$M$66*(4^2)+'LINEST VARS'!$L$66*(0.5^2)+'LINEST VARS'!$K$66*(12.73^2)+'LINEST VARS'!$J$66*($AI$104*$Z125)+'LINEST VARS'!$I$66*($AI$104*4)+'LINEST VARS'!$H$66*($AI$104*0.5)+'LINEST VARS'!$G$66*($AI$104*12.73)+'LINEST VARS'!$F$66*($Z125*4)+'LINEST VARS'!$E$66*($Z125*0.5)+'LINEST VARS'!$D$66*($Z125*12.73)+'LINEST VARS'!$C$66*(4*0.5)+'LINEST VARS'!$B$66*(4*12.73)+'LINEST VARS'!$A$66*(0.5*12.73)</f>
        <v>135.64000000000004</v>
      </c>
      <c r="AJ125" s="49">
        <f>'LINEST VARS'!$U$66+'LINEST VARS'!$T$66*($AJ$104)+'LINEST VARS'!$S$66*($Z125)+'LINEST VARS'!$R$66*(4)+'LINEST VARS'!$Q$66*(0.5)+'LINEST VARS'!$P$66*(12.73)+'LINEST VARS'!$O$66*($AJ$104^2)+'LINEST VARS'!$N$66*($Z125^2)+'LINEST VARS'!$M$66*(4^2)+'LINEST VARS'!$L$66*(0.5^2)+'LINEST VARS'!$K$66*(12.73^2)+'LINEST VARS'!$J$66*($AJ$104*$Z125)+'LINEST VARS'!$I$66*($AJ$104*4)+'LINEST VARS'!$H$66*($AJ$104*0.5)+'LINEST VARS'!$G$66*($AJ$104*12.73)+'LINEST VARS'!$F$66*($Z125*4)+'LINEST VARS'!$E$66*($Z125*0.5)+'LINEST VARS'!$D$66*($Z125*12.73)+'LINEST VARS'!$C$66*(4*0.5)+'LINEST VARS'!$B$66*(4*12.73)+'LINEST VARS'!$A$66*(0.5*12.73)</f>
        <v>135.82000000000005</v>
      </c>
      <c r="AK125" s="49">
        <f>'LINEST VARS'!$U$66+'LINEST VARS'!$T$66*($AK$104)+'LINEST VARS'!$S$66*($Z125)+'LINEST VARS'!$R$66*(4)+'LINEST VARS'!$Q$66*(0.5)+'LINEST VARS'!$P$66*(12.73)+'LINEST VARS'!$O$66*($AK$104^2)+'LINEST VARS'!$N$66*($Z125^2)+'LINEST VARS'!$M$66*(4^2)+'LINEST VARS'!$L$66*(0.5^2)+'LINEST VARS'!$K$66*(12.73^2)+'LINEST VARS'!$J$66*($AK$104*$Z125)+'LINEST VARS'!$I$66*($AK$104*4)+'LINEST VARS'!$H$66*($AK$104*0.5)+'LINEST VARS'!$G$66*($AK$104*12.73)+'LINEST VARS'!$F$66*($Z125*4)+'LINEST VARS'!$E$66*($Z125*0.5)+'LINEST VARS'!$D$66*($Z125*12.73)+'LINEST VARS'!$C$66*(4*0.5)+'LINEST VARS'!$B$66*(4*12.73)+'LINEST VARS'!$A$66*(0.5*12.73)</f>
        <v>136.00000000000003</v>
      </c>
      <c r="AL125" s="49">
        <f>'LINEST VARS'!$U$66+'LINEST VARS'!$T$66*($AL$104)+'LINEST VARS'!$S$66*($Z125)+'LINEST VARS'!$R$66*(4)+'LINEST VARS'!$Q$66*(0.5)+'LINEST VARS'!$P$66*(12.73)+'LINEST VARS'!$O$66*($AL$104^2)+'LINEST VARS'!$N$66*($Z125^2)+'LINEST VARS'!$M$66*(4^2)+'LINEST VARS'!$L$66*(0.5^2)+'LINEST VARS'!$K$66*(12.73^2)+'LINEST VARS'!$J$66*($AL$104*$Z125)+'LINEST VARS'!$I$66*($AL$104*4)+'LINEST VARS'!$H$66*($AL$104*0.5)+'LINEST VARS'!$G$66*($AL$104*12.73)+'LINEST VARS'!$F$66*($Z125*4)+'LINEST VARS'!$E$66*($Z125*0.5)+'LINEST VARS'!$D$66*($Z125*12.73)+'LINEST VARS'!$C$66*(4*0.5)+'LINEST VARS'!$B$66*(4*12.73)+'LINEST VARS'!$A$66*(0.5*12.73)</f>
        <v>136.18000000000004</v>
      </c>
      <c r="AM125" s="49">
        <f>'LINEST VARS'!$U$66+'LINEST VARS'!$T$66*($AM$104)+'LINEST VARS'!$S$66*($Z125)+'LINEST VARS'!$R$66*(4)+'LINEST VARS'!$Q$66*(0.5)+'LINEST VARS'!$P$66*(12.73)+'LINEST VARS'!$O$66*($AM$104^2)+'LINEST VARS'!$N$66*($Z125^2)+'LINEST VARS'!$M$66*(4^2)+'LINEST VARS'!$L$66*(0.5^2)+'LINEST VARS'!$K$66*(12.73^2)+'LINEST VARS'!$J$66*($AM$104*$Z125)+'LINEST VARS'!$I$66*($AM$104*4)+'LINEST VARS'!$H$66*($AM$104*0.5)+'LINEST VARS'!$G$66*($AM$104*12.73)+'LINEST VARS'!$F$66*($Z125*4)+'LINEST VARS'!$E$66*($Z125*0.5)+'LINEST VARS'!$D$66*($Z125*12.73)+'LINEST VARS'!$C$66*(4*0.5)+'LINEST VARS'!$B$66*(4*12.73)+'LINEST VARS'!$A$66*(0.5*12.73)</f>
        <v>136.36000000000004</v>
      </c>
      <c r="AN125" s="49">
        <f>'LINEST VARS'!$U$66+'LINEST VARS'!$T$66*($AN$104)+'LINEST VARS'!$S$66*($Z125)+'LINEST VARS'!$R$66*(4)+'LINEST VARS'!$Q$66*(0.5)+'LINEST VARS'!$P$66*(12.73)+'LINEST VARS'!$O$66*($AN$104^2)+'LINEST VARS'!$N$66*($Z125^2)+'LINEST VARS'!$M$66*(4^2)+'LINEST VARS'!$L$66*(0.5^2)+'LINEST VARS'!$K$66*(12.73^2)+'LINEST VARS'!$J$66*($AN$104*$Z125)+'LINEST VARS'!$I$66*($AN$104*4)+'LINEST VARS'!$H$66*($AN$104*0.5)+'LINEST VARS'!$G$66*($AN$104*12.73)+'LINEST VARS'!$F$66*($Z125*4)+'LINEST VARS'!$E$66*($Z125*0.5)+'LINEST VARS'!$D$66*($Z125*12.73)+'LINEST VARS'!$C$66*(4*0.5)+'LINEST VARS'!$B$66*(4*12.73)+'LINEST VARS'!$A$66*(0.5*12.73)</f>
        <v>136.54000000000005</v>
      </c>
      <c r="AO125" s="49">
        <f>'LINEST VARS'!$U$66+'LINEST VARS'!$T$66*($AO$104)+'LINEST VARS'!$S$66*($Z125)+'LINEST VARS'!$R$66*(4)+'LINEST VARS'!$Q$66*(0.5)+'LINEST VARS'!$P$66*(12.73)+'LINEST VARS'!$O$66*($AO$104^2)+'LINEST VARS'!$N$66*($Z125^2)+'LINEST VARS'!$M$66*(4^2)+'LINEST VARS'!$L$66*(0.5^2)+'LINEST VARS'!$K$66*(12.73^2)+'LINEST VARS'!$J$66*($AO$104*$Z125)+'LINEST VARS'!$I$66*($AO$104*4)+'LINEST VARS'!$H$66*($AO$104*0.5)+'LINEST VARS'!$G$66*($AO$104*12.73)+'LINEST VARS'!$F$66*($Z125*4)+'LINEST VARS'!$E$66*($Z125*0.5)+'LINEST VARS'!$D$66*($Z125*12.73)+'LINEST VARS'!$C$66*(4*0.5)+'LINEST VARS'!$B$66*(4*12.73)+'LINEST VARS'!$A$66*(0.5*12.73)</f>
        <v>136.72000000000003</v>
      </c>
      <c r="AP125" s="49">
        <f>'LINEST VARS'!$U$66+'LINEST VARS'!$T$66*($AP$104)+'LINEST VARS'!$S$66*($Z125)+'LINEST VARS'!$R$66*(4)+'LINEST VARS'!$Q$66*(0.5)+'LINEST VARS'!$P$66*(12.73)+'LINEST VARS'!$O$66*($AP$104^2)+'LINEST VARS'!$N$66*($Z125^2)+'LINEST VARS'!$M$66*(4^2)+'LINEST VARS'!$L$66*(0.5^2)+'LINEST VARS'!$K$66*(12.73^2)+'LINEST VARS'!$J$66*($AP$104*$Z125)+'LINEST VARS'!$I$66*($AP$104*4)+'LINEST VARS'!$H$66*($AP$104*0.5)+'LINEST VARS'!$G$66*($AP$104*12.73)+'LINEST VARS'!$F$66*($Z125*4)+'LINEST VARS'!$E$66*($Z125*0.5)+'LINEST VARS'!$D$66*($Z125*12.73)+'LINEST VARS'!$C$66*(4*0.5)+'LINEST VARS'!$B$66*(4*12.73)+'LINEST VARS'!$A$66*(0.5*12.73)</f>
        <v>136.90000000000003</v>
      </c>
      <c r="AQ125" s="49">
        <f>'LINEST VARS'!$U$66+'LINEST VARS'!$T$66*($AQ$104)+'LINEST VARS'!$S$66*($Z125)+'LINEST VARS'!$R$66*(4)+'LINEST VARS'!$Q$66*(0.5)+'LINEST VARS'!$P$66*(12.73)+'LINEST VARS'!$O$66*($AQ$104^2)+'LINEST VARS'!$N$66*($Z125^2)+'LINEST VARS'!$M$66*(4^2)+'LINEST VARS'!$L$66*(0.5^2)+'LINEST VARS'!$K$66*(12.73^2)+'LINEST VARS'!$J$66*($AQ$104*$Z125)+'LINEST VARS'!$I$66*($AQ$104*4)+'LINEST VARS'!$H$66*($AQ$104*0.5)+'LINEST VARS'!$G$66*($AQ$104*12.73)+'LINEST VARS'!$F$66*($Z125*4)+'LINEST VARS'!$E$66*($Z125*0.5)+'LINEST VARS'!$D$66*($Z125*12.73)+'LINEST VARS'!$C$66*(4*0.5)+'LINEST VARS'!$B$66*(4*12.73)+'LINEST VARS'!$A$66*(0.5*12.73)</f>
        <v>137.08000000000004</v>
      </c>
      <c r="AR125" s="49">
        <f>'LINEST VARS'!$U$66+'LINEST VARS'!$T$66*($AR$104)+'LINEST VARS'!$S$66*($Z125)+'LINEST VARS'!$R$66*(4)+'LINEST VARS'!$Q$66*(0.5)+'LINEST VARS'!$P$66*(12.73)+'LINEST VARS'!$O$66*($AR$104^2)+'LINEST VARS'!$N$66*($Z125^2)+'LINEST VARS'!$M$66*(4^2)+'LINEST VARS'!$L$66*(0.5^2)+'LINEST VARS'!$K$66*(12.73^2)+'LINEST VARS'!$J$66*($AR$104*$Z125)+'LINEST VARS'!$I$66*($AR$104*4)+'LINEST VARS'!$H$66*($AR$104*0.5)+'LINEST VARS'!$G$66*($AR$104*12.73)+'LINEST VARS'!$F$66*($Z125*4)+'LINEST VARS'!$E$66*($Z125*0.5)+'LINEST VARS'!$D$66*($Z125*12.73)+'LINEST VARS'!$C$66*(4*0.5)+'LINEST VARS'!$B$66*(4*12.73)+'LINEST VARS'!$A$66*(0.5*12.73)</f>
        <v>137.26000000000005</v>
      </c>
      <c r="AS125" s="49">
        <f>'LINEST VARS'!$U$66+'LINEST VARS'!$T$66*($AS$104)+'LINEST VARS'!$S$66*($Z125)+'LINEST VARS'!$R$66*(4)+'LINEST VARS'!$Q$66*(0.5)+'LINEST VARS'!$P$66*(12.73)+'LINEST VARS'!$O$66*($AS$104^2)+'LINEST VARS'!$N$66*($Z125^2)+'LINEST VARS'!$M$66*(4^2)+'LINEST VARS'!$L$66*(0.5^2)+'LINEST VARS'!$K$66*(12.73^2)+'LINEST VARS'!$J$66*($AS$104*$Z125)+'LINEST VARS'!$I$66*($AS$104*4)+'LINEST VARS'!$H$66*($AS$104*0.5)+'LINEST VARS'!$G$66*($AS$104*12.73)+'LINEST VARS'!$F$66*($Z125*4)+'LINEST VARS'!$E$66*($Z125*0.5)+'LINEST VARS'!$D$66*($Z125*12.73)+'LINEST VARS'!$C$66*(4*0.5)+'LINEST VARS'!$B$66*(4*12.73)+'LINEST VARS'!$A$66*(0.5*12.73)</f>
        <v>137.44000000000003</v>
      </c>
      <c r="AT125" s="49">
        <f>'LINEST VARS'!$U$66+'LINEST VARS'!$T$66*($AT$104)+'LINEST VARS'!$S$66*($Z125)+'LINEST VARS'!$R$66*(4)+'LINEST VARS'!$Q$66*(0.5)+'LINEST VARS'!$P$66*(12.73)+'LINEST VARS'!$O$66*($AT$104^2)+'LINEST VARS'!$N$66*($Z125^2)+'LINEST VARS'!$M$66*(4^2)+'LINEST VARS'!$L$66*(0.5^2)+'LINEST VARS'!$K$66*(12.73^2)+'LINEST VARS'!$J$66*($AT$104*$Z125)+'LINEST VARS'!$I$66*($AT$104*4)+'LINEST VARS'!$H$66*($AT$104*0.5)+'LINEST VARS'!$G$66*($AT$104*12.73)+'LINEST VARS'!$F$66*($Z125*4)+'LINEST VARS'!$E$66*($Z125*0.5)+'LINEST VARS'!$D$66*($Z125*12.73)+'LINEST VARS'!$C$66*(4*0.5)+'LINEST VARS'!$B$66*(4*12.73)+'LINEST VARS'!$A$66*(0.5*12.73)</f>
        <v>137.62000000000003</v>
      </c>
      <c r="AU125" s="50">
        <f>'LINEST VARS'!$U$66+'LINEST VARS'!$T$66*($AU$104)+'LINEST VARS'!$S$66*($Z125)+'LINEST VARS'!$R$66*(4)+'LINEST VARS'!$Q$66*(0.5)+'LINEST VARS'!$P$66*(12.73)+'LINEST VARS'!$O$66*($AU$104^2)+'LINEST VARS'!$N$66*($Z125^2)+'LINEST VARS'!$M$66*(4^2)+'LINEST VARS'!$L$66*(0.5^2)+'LINEST VARS'!$K$66*(12.73^2)+'LINEST VARS'!$J$66*($AU$104*$Z125)+'LINEST VARS'!$I$66*($AU$104*4)+'LINEST VARS'!$H$66*($AU$104*0.5)+'LINEST VARS'!$G$66*($AU$104*12.73)+'LINEST VARS'!$F$66*($Z125*4)+'LINEST VARS'!$E$66*($Z125*0.5)+'LINEST VARS'!$D$66*($Z125*12.73)+'LINEST VARS'!$C$66*(4*0.5)+'LINEST VARS'!$B$66*(4*12.73)+'LINEST VARS'!$A$66*(0.5*12.73)</f>
        <v>137.80000000000004</v>
      </c>
      <c r="AZ125" s="48">
        <v>1</v>
      </c>
      <c r="BA125" s="57">
        <f>'LINEST VARS'!$U$64+'LINEST VARS'!$T$64*(8)+'LINEST VARS'!$S$64*(8)+'LINEST VARS'!$R$64*($BA$104)+'LINEST VARS'!$Q$64*($AZ125)+'LINEST VARS'!$P$64*(12.73)+'LINEST VARS'!$O$64*(8^2)+'LINEST VARS'!$N$64*(8^2)+'LINEST VARS'!$M$64*($BA$104^2)+'LINEST VARS'!$L$64*($AZ125^2)+'LINEST VARS'!$K$64*(12.73^2)+'LINEST VARS'!$J$64*(8*8)+'LINEST VARS'!$I$64*(8*$BA$104)+'LINEST VARS'!$H$64*(8*$AZ125)+'LINEST VARS'!$G$64*(8*12.73)+'LINEST VARS'!$F$64*(8*$BA$104)+'LINEST VARS'!$E$64*(8*$AZ125)+'LINEST VARS'!$D$64*(8*12.73)+'LINEST VARS'!$C$64*($BA$104*$AZ125)+'LINEST VARS'!$B$64*($BA$104*12.73)+'LINEST VARS'!$A$64*($AZ125*12.73)</f>
        <v>148.18999999999991</v>
      </c>
      <c r="BB125" s="57">
        <f>'LINEST VARS'!$U$64+'LINEST VARS'!$T$64*(8)+'LINEST VARS'!$S$64*(8)+'LINEST VARS'!$R$64*($BB$104)+'LINEST VARS'!$Q$64*($AZ125)+'LINEST VARS'!$P$64*(12.73)+'LINEST VARS'!$O$64*(8^2)+'LINEST VARS'!$N$64*(8^2)+'LINEST VARS'!$M$64*($BB$104^2)+'LINEST VARS'!$L$64*($AZ125^2)+'LINEST VARS'!$K$64*(12.73^2)+'LINEST VARS'!$J$64*(8*8)+'LINEST VARS'!$I$64*(8*$BB$104)+'LINEST VARS'!$H$64*(8*$AZ125)+'LINEST VARS'!$G$64*(8*12.73)+'LINEST VARS'!$F$64*(8*$BB$104)+'LINEST VARS'!$E$64*(8*$AZ125)+'LINEST VARS'!$D$64*(8*12.73)+'LINEST VARS'!$C$64*($BB$104*$AZ125)+'LINEST VARS'!$B$64*($BB$104*12.73)+'LINEST VARS'!$A$64*($AZ125*12.73)</f>
        <v>149.78999999999988</v>
      </c>
      <c r="BC125" s="57">
        <f>'LINEST VARS'!$U$64+'LINEST VARS'!$T$64*(8)+'LINEST VARS'!$S$64*(8)+'LINEST VARS'!$R$64*($BC$104)+'LINEST VARS'!$Q$64*($AZ125)+'LINEST VARS'!$P$64*(12.73)+'LINEST VARS'!$O$64*(8^2)+'LINEST VARS'!$N$64*(8^2)+'LINEST VARS'!$M$64*($BC$104^2)+'LINEST VARS'!$L$64*($AZ125^2)+'LINEST VARS'!$K$64*(12.73^2)+'LINEST VARS'!$J$64*(8*8)+'LINEST VARS'!$I$64*(8*$BC$104)+'LINEST VARS'!$H$64*(8*$AZ125)+'LINEST VARS'!$G$64*(8*12.73)+'LINEST VARS'!$F$64*(8*$BC$104)+'LINEST VARS'!$E$64*(8*$AZ125)+'LINEST VARS'!$D$64*(8*12.73)+'LINEST VARS'!$C$64*($BC$104*$AZ125)+'LINEST VARS'!$B$64*($BC$104*12.73)+'LINEST VARS'!$A$64*($AZ125*12.73)</f>
        <v>151.3899999999999</v>
      </c>
      <c r="BD125" s="57">
        <f>'LINEST VARS'!$U$64+'LINEST VARS'!$T$64*(8)+'LINEST VARS'!$S$64*(8)+'LINEST VARS'!$R$64*($BD$104)+'LINEST VARS'!$Q$64*($AZ125)+'LINEST VARS'!$P$64*(12.73)+'LINEST VARS'!$O$64*(8^2)+'LINEST VARS'!$N$64*(8^2)+'LINEST VARS'!$M$64*($BD$104^2)+'LINEST VARS'!$L$64*($AZ125^2)+'LINEST VARS'!$K$64*(12.73^2)+'LINEST VARS'!$J$64*(8*8)+'LINEST VARS'!$I$64*(8*$BD$104)+'LINEST VARS'!$H$64*(8*$AZ125)+'LINEST VARS'!$G$64*(8*12.73)+'LINEST VARS'!$F$64*(8*$BD$104)+'LINEST VARS'!$E$64*(8*$AZ125)+'LINEST VARS'!$D$64*(8*12.73)+'LINEST VARS'!$C$64*($BD$104*$AZ125)+'LINEST VARS'!$B$64*($BD$104*12.73)+'LINEST VARS'!$A$64*($AZ125*12.73)</f>
        <v>152.9899999999999</v>
      </c>
      <c r="BE125" s="57">
        <f>'LINEST VARS'!$U$64+'LINEST VARS'!$T$64*(8)+'LINEST VARS'!$S$64*(8)+'LINEST VARS'!$R$64*($BE$104)+'LINEST VARS'!$Q$64*($AZ125)+'LINEST VARS'!$P$64*(12.73)+'LINEST VARS'!$O$64*(8^2)+'LINEST VARS'!$N$64*(8^2)+'LINEST VARS'!$M$64*($BE$104^2)+'LINEST VARS'!$L$64*($AZ125^2)+'LINEST VARS'!$K$64*(12.73^2)+'LINEST VARS'!$J$64*(8*8)+'LINEST VARS'!$I$64*(8*$BE$104)+'LINEST VARS'!$H$64*(8*$AZ125)+'LINEST VARS'!$G$64*(8*12.73)+'LINEST VARS'!$F$64*(8*$BE$104)+'LINEST VARS'!$E$64*(8*$AZ125)+'LINEST VARS'!$D$64*(8*12.73)+'LINEST VARS'!$C$64*($BE$104*$AZ125)+'LINEST VARS'!$B$64*($BE$104*12.73)+'LINEST VARS'!$A$64*($AZ125*12.73)</f>
        <v>154.58999999999989</v>
      </c>
      <c r="BF125" s="57">
        <f>'LINEST VARS'!$U$64+'LINEST VARS'!$T$64*(8)+'LINEST VARS'!$S$64*(8)+'LINEST VARS'!$R$64*($BF$104)+'LINEST VARS'!$Q$64*($AZ125)+'LINEST VARS'!$P$64*(12.73)+'LINEST VARS'!$O$64*(8^2)+'LINEST VARS'!$N$64*(8^2)+'LINEST VARS'!$M$64*($BF$104^2)+'LINEST VARS'!$L$64*($AZ125^2)+'LINEST VARS'!$K$64*(12.73^2)+'LINEST VARS'!$J$64*(8*8)+'LINEST VARS'!$I$64*(8*$BF$104)+'LINEST VARS'!$H$64*(8*$AZ125)+'LINEST VARS'!$G$64*(8*12.73)+'LINEST VARS'!$F$64*(8*$BF$104)+'LINEST VARS'!$E$64*(8*$AZ125)+'LINEST VARS'!$D$64*(8*12.73)+'LINEST VARS'!$C$64*($BF$104*$AZ125)+'LINEST VARS'!$B$64*($BF$104*12.73)+'LINEST VARS'!$A$64*($AZ125*12.73)</f>
        <v>156.18999999999991</v>
      </c>
      <c r="BG125" s="57">
        <f>'LINEST VARS'!$U$64+'LINEST VARS'!$T$64*(8)+'LINEST VARS'!$S$64*(8)+'LINEST VARS'!$R$64*($BG$104)+'LINEST VARS'!$Q$64*($AZ125)+'LINEST VARS'!$P$64*(12.73)+'LINEST VARS'!$O$64*(8^2)+'LINEST VARS'!$N$64*(8^2)+'LINEST VARS'!$M$64*($BG$104^2)+'LINEST VARS'!$L$64*($AZ125^2)+'LINEST VARS'!$K$64*(12.73^2)+'LINEST VARS'!$J$64*(8*8)+'LINEST VARS'!$I$64*(8*$BG$104)+'LINEST VARS'!$H$64*(8*$AZ125)+'LINEST VARS'!$G$64*(8*12.73)+'LINEST VARS'!$F$64*(8*$BG$104)+'LINEST VARS'!$E$64*(8*$AZ125)+'LINEST VARS'!$D$64*(8*12.73)+'LINEST VARS'!$C$64*($BG$104*$AZ125)+'LINEST VARS'!$B$64*($BG$104*12.73)+'LINEST VARS'!$A$64*($AZ125*12.73)</f>
        <v>157.78999999999988</v>
      </c>
      <c r="BH125" s="57">
        <f>'LINEST VARS'!$U$64+'LINEST VARS'!$T$64*(8)+'LINEST VARS'!$S$64*(8)+'LINEST VARS'!$R$64*($BH$104)+'LINEST VARS'!$Q$64*($AZ125)+'LINEST VARS'!$P$64*(12.73)+'LINEST VARS'!$O$64*(8^2)+'LINEST VARS'!$N$64*(8^2)+'LINEST VARS'!$M$64*($BH$104^2)+'LINEST VARS'!$L$64*($AZ125^2)+'LINEST VARS'!$K$64*(12.73^2)+'LINEST VARS'!$J$64*(8*8)+'LINEST VARS'!$I$64*(8*$BH$104)+'LINEST VARS'!$H$64*(8*$AZ125)+'LINEST VARS'!$G$64*(8*12.73)+'LINEST VARS'!$F$64*(8*$BH$104)+'LINEST VARS'!$E$64*(8*$AZ125)+'LINEST VARS'!$D$64*(8*12.73)+'LINEST VARS'!$C$64*($BH$104*$AZ125)+'LINEST VARS'!$B$64*($BH$104*12.73)+'LINEST VARS'!$A$64*($AZ125*12.73)</f>
        <v>159.3899999999999</v>
      </c>
      <c r="BI125" s="57">
        <f>'LINEST VARS'!$U$64+'LINEST VARS'!$T$64*(8)+'LINEST VARS'!$S$64*(8)+'LINEST VARS'!$R$64*($BI$104)+'LINEST VARS'!$Q$64*($AZ125)+'LINEST VARS'!$P$64*(12.73)+'LINEST VARS'!$O$64*(8^2)+'LINEST VARS'!$N$64*(8^2)+'LINEST VARS'!$M$64*($BI$104^2)+'LINEST VARS'!$L$64*($AZ125^2)+'LINEST VARS'!$K$64*(12.73^2)+'LINEST VARS'!$J$64*(8*8)+'LINEST VARS'!$I$64*(8*$BI$104)+'LINEST VARS'!$H$64*(8*$AZ125)+'LINEST VARS'!$G$64*(8*12.73)+'LINEST VARS'!$F$64*(8*$BI$104)+'LINEST VARS'!$E$64*(8*$AZ125)+'LINEST VARS'!$D$64*(8*12.73)+'LINEST VARS'!$C$64*($BI$104*$AZ125)+'LINEST VARS'!$B$64*($BI$104*12.73)+'LINEST VARS'!$A$64*($AZ125*12.73)</f>
        <v>160.98999999999992</v>
      </c>
      <c r="BJ125" s="57">
        <f>'LINEST VARS'!$U$64+'LINEST VARS'!$T$64*(8)+'LINEST VARS'!$S$64*(8)+'LINEST VARS'!$R$64*($BJ$104)+'LINEST VARS'!$Q$64*($AZ125)+'LINEST VARS'!$P$64*(12.73)+'LINEST VARS'!$O$64*(8^2)+'LINEST VARS'!$N$64*(8^2)+'LINEST VARS'!$M$64*($BJ$104^2)+'LINEST VARS'!$L$64*($AZ125^2)+'LINEST VARS'!$K$64*(12.73^2)+'LINEST VARS'!$J$64*(8*8)+'LINEST VARS'!$I$64*(8*$BJ$104)+'LINEST VARS'!$H$64*(8*$AZ125)+'LINEST VARS'!$G$64*(8*12.73)+'LINEST VARS'!$F$64*(8*$BJ$104)+'LINEST VARS'!$E$64*(8*$AZ125)+'LINEST VARS'!$D$64*(8*12.73)+'LINEST VARS'!$C$64*($BJ$104*$AZ125)+'LINEST VARS'!$B$64*($BJ$104*12.73)+'LINEST VARS'!$A$64*($AZ125*12.73)</f>
        <v>162.58999999999989</v>
      </c>
      <c r="BK125" s="57">
        <f>'LINEST VARS'!$U$64+'LINEST VARS'!$T$64*(8)+'LINEST VARS'!$S$64*(8)+'LINEST VARS'!$R$64*($BK$104)+'LINEST VARS'!$Q$64*($AZ125)+'LINEST VARS'!$P$64*(12.73)+'LINEST VARS'!$O$64*(8^2)+'LINEST VARS'!$N$64*(8^2)+'LINEST VARS'!$M$64*($BK$104^2)+'LINEST VARS'!$L$64*($AZ125^2)+'LINEST VARS'!$K$64*(12.73^2)+'LINEST VARS'!$J$64*(8*8)+'LINEST VARS'!$I$64*(8*$BK$104)+'LINEST VARS'!$H$64*(8*$AZ125)+'LINEST VARS'!$G$64*(8*12.73)+'LINEST VARS'!$F$64*(8*$BK$104)+'LINEST VARS'!$E$64*(8*$AZ125)+'LINEST VARS'!$D$64*(8*12.73)+'LINEST VARS'!$C$64*($BK$104*$AZ125)+'LINEST VARS'!$B$64*($BK$104*12.73)+'LINEST VARS'!$A$64*($AZ125*12.73)</f>
        <v>164.18999999999991</v>
      </c>
      <c r="BL125" s="57">
        <f>'LINEST VARS'!$U$64+'LINEST VARS'!$T$64*(8)+'LINEST VARS'!$S$64*(8)+'LINEST VARS'!$R$64*($BL$104)+'LINEST VARS'!$Q$64*($AZ125)+'LINEST VARS'!$P$64*(12.73)+'LINEST VARS'!$O$64*(8^2)+'LINEST VARS'!$N$64*(8^2)+'LINEST VARS'!$M$64*($BL$104^2)+'LINEST VARS'!$L$64*($AZ125^2)+'LINEST VARS'!$K$64*(12.73^2)+'LINEST VARS'!$J$64*(8*8)+'LINEST VARS'!$I$64*(8*$BL$104)+'LINEST VARS'!$H$64*(8*$AZ125)+'LINEST VARS'!$G$64*(8*12.73)+'LINEST VARS'!$F$64*(8*$BL$104)+'LINEST VARS'!$E$64*(8*$AZ125)+'LINEST VARS'!$D$64*(8*12.73)+'LINEST VARS'!$C$64*($BL$104*$AZ125)+'LINEST VARS'!$B$64*($BL$104*12.73)+'LINEST VARS'!$A$64*($AZ125*12.73)</f>
        <v>165.78999999999991</v>
      </c>
      <c r="BM125" s="57">
        <f>'LINEST VARS'!$U$64+'LINEST VARS'!$T$64*(8)+'LINEST VARS'!$S$64*(8)+'LINEST VARS'!$R$64*($BM$104)+'LINEST VARS'!$Q$64*($AZ125)+'LINEST VARS'!$P$64*(12.73)+'LINEST VARS'!$O$64*(8^2)+'LINEST VARS'!$N$64*(8^2)+'LINEST VARS'!$M$64*($BM$104^2)+'LINEST VARS'!$L$64*($AZ125^2)+'LINEST VARS'!$K$64*(12.73^2)+'LINEST VARS'!$J$64*(8*8)+'LINEST VARS'!$I$64*(8*$BM$104)+'LINEST VARS'!$H$64*(8*$AZ125)+'LINEST VARS'!$G$64*(8*12.73)+'LINEST VARS'!$F$64*(8*$BM$104)+'LINEST VARS'!$E$64*(8*$AZ125)+'LINEST VARS'!$D$64*(8*12.73)+'LINEST VARS'!$C$64*($BM$104*$AZ125)+'LINEST VARS'!$B$64*($BM$104*12.73)+'LINEST VARS'!$A$64*($AZ125*12.73)</f>
        <v>167.3899999999999</v>
      </c>
      <c r="BN125" s="57">
        <f>'LINEST VARS'!$U$64+'LINEST VARS'!$T$64*(8)+'LINEST VARS'!$S$64*(8)+'LINEST VARS'!$R$64*($BN$104)+'LINEST VARS'!$Q$64*($AZ125)+'LINEST VARS'!$P$64*(12.73)+'LINEST VARS'!$O$64*(8^2)+'LINEST VARS'!$N$64*(8^2)+'LINEST VARS'!$M$64*($BN$104^2)+'LINEST VARS'!$L$64*($AZ125^2)+'LINEST VARS'!$K$64*(12.73^2)+'LINEST VARS'!$J$64*(8*8)+'LINEST VARS'!$I$64*(8*$BN$104)+'LINEST VARS'!$H$64*(8*$AZ125)+'LINEST VARS'!$G$64*(8*12.73)+'LINEST VARS'!$F$64*(8*$BN$104)+'LINEST VARS'!$E$64*(8*$AZ125)+'LINEST VARS'!$D$64*(8*12.73)+'LINEST VARS'!$C$64*($BN$104*$AZ125)+'LINEST VARS'!$B$64*($BN$104*12.73)+'LINEST VARS'!$A$64*($AZ125*12.73)</f>
        <v>168.98999999999992</v>
      </c>
      <c r="BO125" s="57">
        <f>'LINEST VARS'!$U$64+'LINEST VARS'!$T$64*(8)+'LINEST VARS'!$S$64*(8)+'LINEST VARS'!$R$64*($BO$104)+'LINEST VARS'!$Q$64*($AZ125)+'LINEST VARS'!$P$64*(12.73)+'LINEST VARS'!$O$64*(8^2)+'LINEST VARS'!$N$64*(8^2)+'LINEST VARS'!$M$64*($BO$104^2)+'LINEST VARS'!$L$64*($AZ125^2)+'LINEST VARS'!$K$64*(12.73^2)+'LINEST VARS'!$J$64*(8*8)+'LINEST VARS'!$I$64*(8*$BO$104)+'LINEST VARS'!$H$64*(8*$AZ125)+'LINEST VARS'!$G$64*(8*12.73)+'LINEST VARS'!$F$64*(8*$BO$104)+'LINEST VARS'!$E$64*(8*$AZ125)+'LINEST VARS'!$D$64*(8*12.73)+'LINEST VARS'!$C$64*($BO$104*$AZ125)+'LINEST VARS'!$B$64*($BO$104*12.73)+'LINEST VARS'!$A$64*($AZ125*12.73)</f>
        <v>170.58999999999986</v>
      </c>
      <c r="BP125" s="57">
        <f>'LINEST VARS'!$U$64+'LINEST VARS'!$T$64*(8)+'LINEST VARS'!$S$64*(8)+'LINEST VARS'!$R$64*($BP$104)+'LINEST VARS'!$Q$64*($AZ125)+'LINEST VARS'!$P$64*(12.73)+'LINEST VARS'!$O$64*(8^2)+'LINEST VARS'!$N$64*(8^2)+'LINEST VARS'!$M$64*($BP$104^2)+'LINEST VARS'!$L$64*($AZ125^2)+'LINEST VARS'!$K$64*(12.73^2)+'LINEST VARS'!$J$64*(8*8)+'LINEST VARS'!$I$64*(8*$BP$104)+'LINEST VARS'!$H$64*(8*$AZ125)+'LINEST VARS'!$G$64*(8*12.73)+'LINEST VARS'!$F$64*(8*$BP$104)+'LINEST VARS'!$E$64*(8*$AZ125)+'LINEST VARS'!$D$64*(8*12.73)+'LINEST VARS'!$C$64*($BP$104*$AZ125)+'LINEST VARS'!$B$64*($BP$104*12.73)+'LINEST VARS'!$A$64*($AZ125*12.73)</f>
        <v>172.18999999999988</v>
      </c>
      <c r="BQ125" s="57">
        <f>'LINEST VARS'!$U$64+'LINEST VARS'!$T$64*(8)+'LINEST VARS'!$S$64*(8)+'LINEST VARS'!$R$64*($BQ$104)+'LINEST VARS'!$Q$64*($AZ125)+'LINEST VARS'!$P$64*(12.73)+'LINEST VARS'!$O$64*(8^2)+'LINEST VARS'!$N$64*(8^2)+'LINEST VARS'!$M$64*($BQ$104^2)+'LINEST VARS'!$L$64*($AZ125^2)+'LINEST VARS'!$K$64*(12.73^2)+'LINEST VARS'!$J$64*(8*8)+'LINEST VARS'!$I$64*(8*$BQ$104)+'LINEST VARS'!$H$64*(8*$AZ125)+'LINEST VARS'!$G$64*(8*12.73)+'LINEST VARS'!$F$64*(8*$BQ$104)+'LINEST VARS'!$E$64*(8*$AZ125)+'LINEST VARS'!$D$64*(8*12.73)+'LINEST VARS'!$C$64*($BQ$104*$AZ125)+'LINEST VARS'!$B$64*($BQ$104*12.73)+'LINEST VARS'!$A$64*($AZ125*12.73)</f>
        <v>173.78999999999991</v>
      </c>
      <c r="BR125" s="57">
        <f>'LINEST VARS'!$U$64+'LINEST VARS'!$T$64*(8)+'LINEST VARS'!$S$64*(8)+'LINEST VARS'!$R$64*($BR$104)+'LINEST VARS'!$Q$64*($AZ125)+'LINEST VARS'!$P$64*(12.73)+'LINEST VARS'!$O$64*(8^2)+'LINEST VARS'!$N$64*(8^2)+'LINEST VARS'!$M$64*($BR$104^2)+'LINEST VARS'!$L$64*($AZ125^2)+'LINEST VARS'!$K$64*(12.73^2)+'LINEST VARS'!$J$64*(8*8)+'LINEST VARS'!$I$64*(8*$BR$104)+'LINEST VARS'!$H$64*(8*$AZ125)+'LINEST VARS'!$G$64*(8*12.73)+'LINEST VARS'!$F$64*(8*$BR$104)+'LINEST VARS'!$E$64*(8*$AZ125)+'LINEST VARS'!$D$64*(8*12.73)+'LINEST VARS'!$C$64*($BR$104*$AZ125)+'LINEST VARS'!$B$64*($BR$104*12.73)+'LINEST VARS'!$A$64*($AZ125*12.73)</f>
        <v>175.38999999999987</v>
      </c>
      <c r="BS125" s="57">
        <f>'LINEST VARS'!$U$64+'LINEST VARS'!$T$64*(8)+'LINEST VARS'!$S$64*(8)+'LINEST VARS'!$R$64*($BS$104)+'LINEST VARS'!$Q$64*($AZ125)+'LINEST VARS'!$P$64*(12.73)+'LINEST VARS'!$O$64*(8^2)+'LINEST VARS'!$N$64*(8^2)+'LINEST VARS'!$M$64*($BS$104^2)+'LINEST VARS'!$L$64*($AZ125^2)+'LINEST VARS'!$K$64*(12.73^2)+'LINEST VARS'!$J$64*(8*8)+'LINEST VARS'!$I$64*(8*$BS$104)+'LINEST VARS'!$H$64*(8*$AZ125)+'LINEST VARS'!$G$64*(8*12.73)+'LINEST VARS'!$F$64*(8*$BS$104)+'LINEST VARS'!$E$64*(8*$AZ125)+'LINEST VARS'!$D$64*(8*12.73)+'LINEST VARS'!$C$64*($BS$104*$AZ125)+'LINEST VARS'!$B$64*($BS$104*12.73)+'LINEST VARS'!$A$64*($AZ125*12.73)</f>
        <v>176.9899999999999</v>
      </c>
      <c r="BT125" s="57">
        <f>'LINEST VARS'!$U$64+'LINEST VARS'!$T$64*(8)+'LINEST VARS'!$S$64*(8)+'LINEST VARS'!$R$64*($BT$104)+'LINEST VARS'!$Q$64*($AZ125)+'LINEST VARS'!$P$64*(12.73)+'LINEST VARS'!$O$64*(8^2)+'LINEST VARS'!$N$64*(8^2)+'LINEST VARS'!$M$64*($BT$104^2)+'LINEST VARS'!$L$64*($AZ125^2)+'LINEST VARS'!$K$64*(12.73^2)+'LINEST VARS'!$J$64*(8*8)+'LINEST VARS'!$I$64*(8*$BT$104)+'LINEST VARS'!$H$64*(8*$AZ125)+'LINEST VARS'!$G$64*(8*12.73)+'LINEST VARS'!$F$64*(8*$BT$104)+'LINEST VARS'!$E$64*(8*$AZ125)+'LINEST VARS'!$D$64*(8*12.73)+'LINEST VARS'!$C$64*($BT$104*$AZ125)+'LINEST VARS'!$B$64*($BT$104*12.73)+'LINEST VARS'!$A$64*($AZ125*12.73)</f>
        <v>178.58999999999986</v>
      </c>
      <c r="BU125" s="58">
        <f>'LINEST VARS'!$U$64+'LINEST VARS'!$T$64*(8)+'LINEST VARS'!$S$64*(8)+'LINEST VARS'!$R$64*($BU$104)+'LINEST VARS'!$Q$64*($AZ125)+'LINEST VARS'!$P$64*(12.73)+'LINEST VARS'!$O$64*(8^2)+'LINEST VARS'!$N$64*(8^2)+'LINEST VARS'!$M$64*($BU$104^2)+'LINEST VARS'!$L$64*($AZ125^2)+'LINEST VARS'!$K$64*(12.73^2)+'LINEST VARS'!$J$64*(8*8)+'LINEST VARS'!$I$64*(8*$BU$104)+'LINEST VARS'!$H$64*(8*$AZ125)+'LINEST VARS'!$G$64*(8*12.73)+'LINEST VARS'!$F$64*(8*$BU$104)+'LINEST VARS'!$E$64*(8*$AZ125)+'LINEST VARS'!$D$64*(8*12.73)+'LINEST VARS'!$C$64*($BU$104*$AZ125)+'LINEST VARS'!$B$64*($BU$104*12.73)+'LINEST VARS'!$A$64*($AZ125*12.73)</f>
        <v>180.18999999999988</v>
      </c>
      <c r="BX125" s="48">
        <v>1</v>
      </c>
      <c r="BY125" s="49">
        <f>'LINEST VARS'!$U$66+'LINEST VARS'!$T$66*(8)+'LINEST VARS'!$S$66*(8)+'LINEST VARS'!$R$66*($BY$104)+'LINEST VARS'!$Q$66*($BX125)+'LINEST VARS'!$P$66*(12.73)+'LINEST VARS'!$O$66*(8^2)+'LINEST VARS'!$N$66*(8^2)+'LINEST VARS'!$M$66*($BY$104^2)+'LINEST VARS'!$L$66*($BX125^2)+'LINEST VARS'!$K$66*(12.73^2)+'LINEST VARS'!$J$66*(8*8)+'LINEST VARS'!$I$66*(8*$BY$104)+'LINEST VARS'!$H$66*(8*$BX125)+'LINEST VARS'!$G$66*(8*12.73)+'LINEST VARS'!$F$66*(8*$BY$104)+'LINEST VARS'!$E$66*(8*$BX125)+'LINEST VARS'!$D$66*(8*12.73)+'LINEST VARS'!$C$66*($BY$104*$BX125)+'LINEST VARS'!$B$66*($BY$104*12.73)+'LINEST VARS'!$A$66*($BX125*12.73)</f>
        <v>144.00000000000006</v>
      </c>
      <c r="BZ125" s="49">
        <f>'LINEST VARS'!$U$66+'LINEST VARS'!$T$66*(8)+'LINEST VARS'!$S$66*(8)+'LINEST VARS'!$R$66*($BZ$104)+'LINEST VARS'!$Q$66*($BX125)+'LINEST VARS'!$P$66*(12.73)+'LINEST VARS'!$O$66*(8^2)+'LINEST VARS'!$N$66*(8^2)+'LINEST VARS'!$M$66*($BZ$104^2)+'LINEST VARS'!$L$66*($BX125^2)+'LINEST VARS'!$K$66*(12.73^2)+'LINEST VARS'!$J$66*(8*8)+'LINEST VARS'!$I$66*(8*$BZ$104)+'LINEST VARS'!$H$66*(8*$BX125)+'LINEST VARS'!$G$66*(8*12.73)+'LINEST VARS'!$F$66*(8*$BZ$104)+'LINEST VARS'!$E$66*(8*$BX125)+'LINEST VARS'!$D$66*(8*12.73)+'LINEST VARS'!$C$66*($BZ$104*$BX125)+'LINEST VARS'!$B$66*($BZ$104*12.73)+'LINEST VARS'!$A$66*($BX125*12.73)</f>
        <v>143.20000000000007</v>
      </c>
      <c r="CA125" s="49">
        <f>'LINEST VARS'!$U$66+'LINEST VARS'!$T$66*(8)+'LINEST VARS'!$S$66*(8)+'LINEST VARS'!$R$66*($CA$104)+'LINEST VARS'!$Q$66*($BX125)+'LINEST VARS'!$P$66*(12.73)+'LINEST VARS'!$O$66*(8^2)+'LINEST VARS'!$N$66*(8^2)+'LINEST VARS'!$M$66*($CA$104^2)+'LINEST VARS'!$L$66*($BX125^2)+'LINEST VARS'!$K$66*(12.73^2)+'LINEST VARS'!$J$66*(8*8)+'LINEST VARS'!$I$66*(8*$CA$104)+'LINEST VARS'!$H$66*(8*$BX125)+'LINEST VARS'!$G$66*(8*12.73)+'LINEST VARS'!$F$66*(8*$CA$104)+'LINEST VARS'!$E$66*(8*$BX125)+'LINEST VARS'!$D$66*(8*12.73)+'LINEST VARS'!$C$66*($CA$104*$BX125)+'LINEST VARS'!$B$66*($CA$104*12.73)+'LINEST VARS'!$A$66*($BX125*12.73)</f>
        <v>142.40000000000006</v>
      </c>
      <c r="CB125" s="49">
        <f>'LINEST VARS'!$U$66+'LINEST VARS'!$T$66*(8)+'LINEST VARS'!$S$66*(8)+'LINEST VARS'!$R$66*($CB$104)+'LINEST VARS'!$Q$66*($BX125)+'LINEST VARS'!$P$66*(12.73)+'LINEST VARS'!$O$66*(8^2)+'LINEST VARS'!$N$66*(8^2)+'LINEST VARS'!$M$66*($CB$104^2)+'LINEST VARS'!$L$66*($BX125^2)+'LINEST VARS'!$K$66*(12.73^2)+'LINEST VARS'!$J$66*(8*8)+'LINEST VARS'!$I$66*(8*$CB$104)+'LINEST VARS'!$H$66*(8*$BX125)+'LINEST VARS'!$G$66*(8*12.73)+'LINEST VARS'!$F$66*(8*$CB$104)+'LINEST VARS'!$E$66*(8*$BX125)+'LINEST VARS'!$D$66*(8*12.73)+'LINEST VARS'!$C$66*($CB$104*$BX125)+'LINEST VARS'!$B$66*($CB$104*12.73)+'LINEST VARS'!$A$66*($BX125*12.73)</f>
        <v>141.60000000000008</v>
      </c>
      <c r="CC125" s="49">
        <f>'LINEST VARS'!$U$66+'LINEST VARS'!$T$66*(8)+'LINEST VARS'!$S$66*(8)+'LINEST VARS'!$R$66*($CC$104)+'LINEST VARS'!$Q$66*($BX125)+'LINEST VARS'!$P$66*(12.73)+'LINEST VARS'!$O$66*(8^2)+'LINEST VARS'!$N$66*(8^2)+'LINEST VARS'!$M$66*($CC$104^2)+'LINEST VARS'!$L$66*($BX125^2)+'LINEST VARS'!$K$66*(12.73^2)+'LINEST VARS'!$J$66*(8*8)+'LINEST VARS'!$I$66*(8*$CC$104)+'LINEST VARS'!$H$66*(8*$BX125)+'LINEST VARS'!$G$66*(8*12.73)+'LINEST VARS'!$F$66*(8*$CC$104)+'LINEST VARS'!$E$66*(8*$BX125)+'LINEST VARS'!$D$66*(8*12.73)+'LINEST VARS'!$C$66*($CC$104*$BX125)+'LINEST VARS'!$B$66*($CC$104*12.73)+'LINEST VARS'!$A$66*($BX125*12.73)</f>
        <v>140.80000000000007</v>
      </c>
      <c r="CD125" s="49">
        <f>'LINEST VARS'!$U$66+'LINEST VARS'!$T$66*(8)+'LINEST VARS'!$S$66*(8)+'LINEST VARS'!$R$66*($CD$104)+'LINEST VARS'!$Q$66*($BX125)+'LINEST VARS'!$P$66*(12.73)+'LINEST VARS'!$O$66*(8^2)+'LINEST VARS'!$N$66*(8^2)+'LINEST VARS'!$M$66*($CD$104^2)+'LINEST VARS'!$L$66*($BX125^2)+'LINEST VARS'!$K$66*(12.73^2)+'LINEST VARS'!$J$66*(8*8)+'LINEST VARS'!$I$66*(8*$CD$104)+'LINEST VARS'!$H$66*(8*$BX125)+'LINEST VARS'!$G$66*(8*12.73)+'LINEST VARS'!$F$66*(8*$CD$104)+'LINEST VARS'!$E$66*(8*$BX125)+'LINEST VARS'!$D$66*(8*12.73)+'LINEST VARS'!$C$66*($CD$104*$BX125)+'LINEST VARS'!$B$66*($CD$104*12.73)+'LINEST VARS'!$A$66*($BX125*12.73)</f>
        <v>140.00000000000009</v>
      </c>
      <c r="CE125" s="49">
        <f>'LINEST VARS'!$U$66+'LINEST VARS'!$T$66*(8)+'LINEST VARS'!$S$66*(8)+'LINEST VARS'!$R$66*($CE$104)+'LINEST VARS'!$Q$66*($BX125)+'LINEST VARS'!$P$66*(12.73)+'LINEST VARS'!$O$66*(8^2)+'LINEST VARS'!$N$66*(8^2)+'LINEST VARS'!$M$66*($CE$104^2)+'LINEST VARS'!$L$66*($BX125^2)+'LINEST VARS'!$K$66*(12.73^2)+'LINEST VARS'!$J$66*(8*8)+'LINEST VARS'!$I$66*(8*$CE$104)+'LINEST VARS'!$H$66*(8*$BX125)+'LINEST VARS'!$G$66*(8*12.73)+'LINEST VARS'!$F$66*(8*$CE$104)+'LINEST VARS'!$E$66*(8*$BX125)+'LINEST VARS'!$D$66*(8*12.73)+'LINEST VARS'!$C$66*($CE$104*$BX125)+'LINEST VARS'!$B$66*($CE$104*12.73)+'LINEST VARS'!$A$66*($BX125*12.73)</f>
        <v>139.20000000000007</v>
      </c>
      <c r="CF125" s="49">
        <f>'LINEST VARS'!$U$66+'LINEST VARS'!$T$66*(8)+'LINEST VARS'!$S$66*(8)+'LINEST VARS'!$R$66*($CF$104)+'LINEST VARS'!$Q$66*($BX125)+'LINEST VARS'!$P$66*(12.73)+'LINEST VARS'!$O$66*(8^2)+'LINEST VARS'!$N$66*(8^2)+'LINEST VARS'!$M$66*($CF$104^2)+'LINEST VARS'!$L$66*($BX125^2)+'LINEST VARS'!$K$66*(12.73^2)+'LINEST VARS'!$J$66*(8*8)+'LINEST VARS'!$I$66*(8*$CF$104)+'LINEST VARS'!$H$66*(8*$BX125)+'LINEST VARS'!$G$66*(8*12.73)+'LINEST VARS'!$F$66*(8*$CF$104)+'LINEST VARS'!$E$66*(8*$BX125)+'LINEST VARS'!$D$66*(8*12.73)+'LINEST VARS'!$C$66*($CF$104*$BX125)+'LINEST VARS'!$B$66*($CF$104*12.73)+'LINEST VARS'!$A$66*($BX125*12.73)</f>
        <v>138.40000000000009</v>
      </c>
      <c r="CG125" s="49">
        <f>'LINEST VARS'!$U$66+'LINEST VARS'!$T$66*(8)+'LINEST VARS'!$S$66*(8)+'LINEST VARS'!$R$66*($CG$104)+'LINEST VARS'!$Q$66*($BX125)+'LINEST VARS'!$P$66*(12.73)+'LINEST VARS'!$O$66*(8^2)+'LINEST VARS'!$N$66*(8^2)+'LINEST VARS'!$M$66*($CG$104^2)+'LINEST VARS'!$L$66*($BX125^2)+'LINEST VARS'!$K$66*(12.73^2)+'LINEST VARS'!$J$66*(8*8)+'LINEST VARS'!$I$66*(8*$CG$104)+'LINEST VARS'!$H$66*(8*$BX125)+'LINEST VARS'!$G$66*(8*12.73)+'LINEST VARS'!$F$66*(8*$CG$104)+'LINEST VARS'!$E$66*(8*$BX125)+'LINEST VARS'!$D$66*(8*12.73)+'LINEST VARS'!$C$66*($CG$104*$BX125)+'LINEST VARS'!$B$66*($CG$104*12.73)+'LINEST VARS'!$A$66*($BX125*12.73)</f>
        <v>137.60000000000008</v>
      </c>
      <c r="CH125" s="49">
        <f>'LINEST VARS'!$U$66+'LINEST VARS'!$T$66*(8)+'LINEST VARS'!$S$66*(8)+'LINEST VARS'!$R$66*($CH$104)+'LINEST VARS'!$Q$66*($BX125)+'LINEST VARS'!$P$66*(12.73)+'LINEST VARS'!$O$66*(8^2)+'LINEST VARS'!$N$66*(8^2)+'LINEST VARS'!$M$66*($CH$104^2)+'LINEST VARS'!$L$66*($BX125^2)+'LINEST VARS'!$K$66*(12.73^2)+'LINEST VARS'!$J$66*(8*8)+'LINEST VARS'!$I$66*(8*$CH$104)+'LINEST VARS'!$H$66*(8*$BX125)+'LINEST VARS'!$G$66*(8*12.73)+'LINEST VARS'!$F$66*(8*$CH$104)+'LINEST VARS'!$E$66*(8*$BX125)+'LINEST VARS'!$D$66*(8*12.73)+'LINEST VARS'!$C$66*($CH$104*$BX125)+'LINEST VARS'!$B$66*($CH$104*12.73)+'LINEST VARS'!$A$66*($BX125*12.73)</f>
        <v>136.80000000000007</v>
      </c>
      <c r="CI125" s="49">
        <f>'LINEST VARS'!$U$66+'LINEST VARS'!$T$66*(8)+'LINEST VARS'!$S$66*(8)+'LINEST VARS'!$R$66*($CI$104)+'LINEST VARS'!$Q$66*($BX125)+'LINEST VARS'!$P$66*(12.73)+'LINEST VARS'!$O$66*(8^2)+'LINEST VARS'!$N$66*(8^2)+'LINEST VARS'!$M$66*($CI$104^2)+'LINEST VARS'!$L$66*($BX125^2)+'LINEST VARS'!$K$66*(12.73^2)+'LINEST VARS'!$J$66*(8*8)+'LINEST VARS'!$I$66*(8*$CI$104)+'LINEST VARS'!$H$66*(8*$BX125)+'LINEST VARS'!$G$66*(8*12.73)+'LINEST VARS'!$F$66*(8*$CI$104)+'LINEST VARS'!$E$66*(8*$BX125)+'LINEST VARS'!$D$66*(8*12.73)+'LINEST VARS'!$C$66*($CI$104*$BX125)+'LINEST VARS'!$B$66*($CI$104*12.73)+'LINEST VARS'!$A$66*($BX125*12.73)</f>
        <v>136.00000000000006</v>
      </c>
      <c r="CJ125" s="49">
        <f>'LINEST VARS'!$U$66+'LINEST VARS'!$T$66*(8)+'LINEST VARS'!$S$66*(8)+'LINEST VARS'!$R$66*($CJ$104)+'LINEST VARS'!$Q$66*($BX125)+'LINEST VARS'!$P$66*(12.73)+'LINEST VARS'!$O$66*(8^2)+'LINEST VARS'!$N$66*(8^2)+'LINEST VARS'!$M$66*($CJ$104^2)+'LINEST VARS'!$L$66*($BX125^2)+'LINEST VARS'!$K$66*(12.73^2)+'LINEST VARS'!$J$66*(8*8)+'LINEST VARS'!$I$66*(8*$CJ$104)+'LINEST VARS'!$H$66*(8*$BX125)+'LINEST VARS'!$G$66*(8*12.73)+'LINEST VARS'!$F$66*(8*$CJ$104)+'LINEST VARS'!$E$66*(8*$BX125)+'LINEST VARS'!$D$66*(8*12.73)+'LINEST VARS'!$C$66*($CJ$104*$BX125)+'LINEST VARS'!$B$66*($CJ$104*12.73)+'LINEST VARS'!$A$66*($BX125*12.73)</f>
        <v>135.20000000000005</v>
      </c>
      <c r="CK125" s="49">
        <f>'LINEST VARS'!$U$66+'LINEST VARS'!$T$66*(8)+'LINEST VARS'!$S$66*(8)+'LINEST VARS'!$R$66*($CK$104)+'LINEST VARS'!$Q$66*($BX125)+'LINEST VARS'!$P$66*(12.73)+'LINEST VARS'!$O$66*(8^2)+'LINEST VARS'!$N$66*(8^2)+'LINEST VARS'!$M$66*($CK$104^2)+'LINEST VARS'!$L$66*($BX125^2)+'LINEST VARS'!$K$66*(12.73^2)+'LINEST VARS'!$J$66*(8*8)+'LINEST VARS'!$I$66*(8*$CK$104)+'LINEST VARS'!$H$66*(8*$BX125)+'LINEST VARS'!$G$66*(8*12.73)+'LINEST VARS'!$F$66*(8*$CK$104)+'LINEST VARS'!$E$66*(8*$BX125)+'LINEST VARS'!$D$66*(8*12.73)+'LINEST VARS'!$C$66*($CK$104*$BX125)+'LINEST VARS'!$B$66*($CK$104*12.73)+'LINEST VARS'!$A$66*($BX125*12.73)</f>
        <v>134.40000000000003</v>
      </c>
      <c r="CL125" s="49">
        <f>'LINEST VARS'!$U$66+'LINEST VARS'!$T$66*(8)+'LINEST VARS'!$S$66*(8)+'LINEST VARS'!$R$66*($CL$104)+'LINEST VARS'!$Q$66*($BX125)+'LINEST VARS'!$P$66*(12.73)+'LINEST VARS'!$O$66*(8^2)+'LINEST VARS'!$N$66*(8^2)+'LINEST VARS'!$M$66*($CL$104^2)+'LINEST VARS'!$L$66*($BX125^2)+'LINEST VARS'!$K$66*(12.73^2)+'LINEST VARS'!$J$66*(8*8)+'LINEST VARS'!$I$66*(8*$CL$104)+'LINEST VARS'!$H$66*(8*$BX125)+'LINEST VARS'!$G$66*(8*12.73)+'LINEST VARS'!$F$66*(8*$CL$104)+'LINEST VARS'!$E$66*(8*$BX125)+'LINEST VARS'!$D$66*(8*12.73)+'LINEST VARS'!$C$66*($CL$104*$BX125)+'LINEST VARS'!$B$66*($CL$104*12.73)+'LINEST VARS'!$A$66*($BX125*12.73)</f>
        <v>133.60000000000005</v>
      </c>
      <c r="CM125" s="49">
        <f>'LINEST VARS'!$U$66+'LINEST VARS'!$T$66*(8)+'LINEST VARS'!$S$66*(8)+'LINEST VARS'!$R$66*($CM$104)+'LINEST VARS'!$Q$66*($BX125)+'LINEST VARS'!$P$66*(12.73)+'LINEST VARS'!$O$66*(8^2)+'LINEST VARS'!$N$66*(8^2)+'LINEST VARS'!$M$66*($CM$104^2)+'LINEST VARS'!$L$66*($BX125^2)+'LINEST VARS'!$K$66*(12.73^2)+'LINEST VARS'!$J$66*(8*8)+'LINEST VARS'!$I$66*(8*$CM$104)+'LINEST VARS'!$H$66*(8*$BX125)+'LINEST VARS'!$G$66*(8*12.73)+'LINEST VARS'!$F$66*(8*$CM$104)+'LINEST VARS'!$E$66*(8*$BX125)+'LINEST VARS'!$D$66*(8*12.73)+'LINEST VARS'!$C$66*($CM$104*$BX125)+'LINEST VARS'!$B$66*($CM$104*12.73)+'LINEST VARS'!$A$66*($BX125*12.73)</f>
        <v>132.80000000000004</v>
      </c>
      <c r="CN125" s="49">
        <f>'LINEST VARS'!$U$66+'LINEST VARS'!$T$66*(8)+'LINEST VARS'!$S$66*(8)+'LINEST VARS'!$R$66*($CN$104)+'LINEST VARS'!$Q$66*($BX125)+'LINEST VARS'!$P$66*(12.73)+'LINEST VARS'!$O$66*(8^2)+'LINEST VARS'!$N$66*(8^2)+'LINEST VARS'!$M$66*($CN$104^2)+'LINEST VARS'!$L$66*($BX125^2)+'LINEST VARS'!$K$66*(12.73^2)+'LINEST VARS'!$J$66*(8*8)+'LINEST VARS'!$I$66*(8*$CN$104)+'LINEST VARS'!$H$66*(8*$BX125)+'LINEST VARS'!$G$66*(8*12.73)+'LINEST VARS'!$F$66*(8*$CN$104)+'LINEST VARS'!$E$66*(8*$BX125)+'LINEST VARS'!$D$66*(8*12.73)+'LINEST VARS'!$C$66*($CN$104*$BX125)+'LINEST VARS'!$B$66*($CN$104*12.73)+'LINEST VARS'!$A$66*($BX125*12.73)</f>
        <v>132.00000000000006</v>
      </c>
      <c r="CO125" s="49">
        <f>'LINEST VARS'!$U$66+'LINEST VARS'!$T$66*(8)+'LINEST VARS'!$S$66*(8)+'LINEST VARS'!$R$66*($CO$104)+'LINEST VARS'!$Q$66*($BX125)+'LINEST VARS'!$P$66*(12.73)+'LINEST VARS'!$O$66*(8^2)+'LINEST VARS'!$N$66*(8^2)+'LINEST VARS'!$M$66*($CO$104^2)+'LINEST VARS'!$L$66*($BX125^2)+'LINEST VARS'!$K$66*(12.73^2)+'LINEST VARS'!$J$66*(8*8)+'LINEST VARS'!$I$66*(8*$CO$104)+'LINEST VARS'!$H$66*(8*$BX125)+'LINEST VARS'!$G$66*(8*12.73)+'LINEST VARS'!$F$66*(8*$CO$104)+'LINEST VARS'!$E$66*(8*$BX125)+'LINEST VARS'!$D$66*(8*12.73)+'LINEST VARS'!$C$66*($CO$104*$BX125)+'LINEST VARS'!$B$66*($CO$104*12.73)+'LINEST VARS'!$A$66*($BX125*12.73)</f>
        <v>131.20000000000005</v>
      </c>
      <c r="CP125" s="49">
        <f>'LINEST VARS'!$U$66+'LINEST VARS'!$T$66*(8)+'LINEST VARS'!$S$66*(8)+'LINEST VARS'!$R$66*($CP$104)+'LINEST VARS'!$Q$66*($BX125)+'LINEST VARS'!$P$66*(12.73)+'LINEST VARS'!$O$66*(8^2)+'LINEST VARS'!$N$66*(8^2)+'LINEST VARS'!$M$66*($CP$104^2)+'LINEST VARS'!$L$66*($BX125^2)+'LINEST VARS'!$K$66*(12.73^2)+'LINEST VARS'!$J$66*(8*8)+'LINEST VARS'!$I$66*(8*$CP$104)+'LINEST VARS'!$H$66*(8*$BX125)+'LINEST VARS'!$G$66*(8*12.73)+'LINEST VARS'!$F$66*(8*$CP$104)+'LINEST VARS'!$E$66*(8*$BX125)+'LINEST VARS'!$D$66*(8*12.73)+'LINEST VARS'!$C$66*($CP$104*$BX125)+'LINEST VARS'!$B$66*($CP$104*12.73)+'LINEST VARS'!$A$66*($BX125*12.73)</f>
        <v>130.40000000000009</v>
      </c>
      <c r="CQ125" s="49">
        <f>'LINEST VARS'!$U$66+'LINEST VARS'!$T$66*(8)+'LINEST VARS'!$S$66*(8)+'LINEST VARS'!$R$66*($CQ$104)+'LINEST VARS'!$Q$66*($BX125)+'LINEST VARS'!$P$66*(12.73)+'LINEST VARS'!$O$66*(8^2)+'LINEST VARS'!$N$66*(8^2)+'LINEST VARS'!$M$66*($CQ$104^2)+'LINEST VARS'!$L$66*($BX125^2)+'LINEST VARS'!$K$66*(12.73^2)+'LINEST VARS'!$J$66*(8*8)+'LINEST VARS'!$I$66*(8*$CQ$104)+'LINEST VARS'!$H$66*(8*$BX125)+'LINEST VARS'!$G$66*(8*12.73)+'LINEST VARS'!$F$66*(8*$CQ$104)+'LINEST VARS'!$E$66*(8*$BX125)+'LINEST VARS'!$D$66*(8*12.73)+'LINEST VARS'!$C$66*($CQ$104*$BX125)+'LINEST VARS'!$B$66*($CQ$104*12.73)+'LINEST VARS'!$A$66*($BX125*12.73)</f>
        <v>129.60000000000008</v>
      </c>
      <c r="CR125" s="49">
        <f>'LINEST VARS'!$U$66+'LINEST VARS'!$T$66*(8)+'LINEST VARS'!$S$66*(8)+'LINEST VARS'!$R$66*($CR$104)+'LINEST VARS'!$Q$66*($BX125)+'LINEST VARS'!$P$66*(12.73)+'LINEST VARS'!$O$66*(8^2)+'LINEST VARS'!$N$66*(8^2)+'LINEST VARS'!$M$66*($CR$104^2)+'LINEST VARS'!$L$66*($BX125^2)+'LINEST VARS'!$K$66*(12.73^2)+'LINEST VARS'!$J$66*(8*8)+'LINEST VARS'!$I$66*(8*$CR$104)+'LINEST VARS'!$H$66*(8*$BX125)+'LINEST VARS'!$G$66*(8*12.73)+'LINEST VARS'!$F$66*(8*$CR$104)+'LINEST VARS'!$E$66*(8*$BX125)+'LINEST VARS'!$D$66*(8*12.73)+'LINEST VARS'!$C$66*($CR$104*$BX125)+'LINEST VARS'!$B$66*($CR$104*12.73)+'LINEST VARS'!$A$66*($BX125*12.73)</f>
        <v>128.8000000000001</v>
      </c>
      <c r="CS125" s="50">
        <f>'LINEST VARS'!$U$66+'LINEST VARS'!$T$66*(8)+'LINEST VARS'!$S$66*(8)+'LINEST VARS'!$R$66*($CS$104)+'LINEST VARS'!$Q$66*($BX125)+'LINEST VARS'!$P$66*(12.73)+'LINEST VARS'!$O$66*(8^2)+'LINEST VARS'!$N$66*(8^2)+'LINEST VARS'!$M$66*($CS$104^2)+'LINEST VARS'!$L$66*($BX125^2)+'LINEST VARS'!$K$66*(12.73^2)+'LINEST VARS'!$J$66*(8*8)+'LINEST VARS'!$I$66*(8*$CS$104)+'LINEST VARS'!$H$66*(8*$BX125)+'LINEST VARS'!$G$66*(8*12.73)+'LINEST VARS'!$F$66*(8*$CS$104)+'LINEST VARS'!$E$66*(8*$BX125)+'LINEST VARS'!$D$66*(8*12.73)+'LINEST VARS'!$C$66*($CS$104*$BX125)+'LINEST VARS'!$B$66*($CS$104*12.73)+'LINEST VARS'!$A$66*($BX125*12.73)</f>
        <v>128.00000000000006</v>
      </c>
      <c r="CX125" s="48">
        <v>25.99</v>
      </c>
      <c r="CY125" s="57">
        <f>'LINEST VARS'!$U$64+'LINEST VARS'!$T$64*(8)+'LINEST VARS'!$S$64*(8)+'LINEST VARS'!$R$64*($CY$104)+'LINEST VARS'!$Q$64*(0.5)+'LINEST VARS'!$P$64*($CX125)+'LINEST VARS'!$O$64*(8^2)+'LINEST VARS'!$N$64*(8^2)+'LINEST VARS'!$M$64*($CY$104^2)+'LINEST VARS'!$L$64*(0.5^2)+'LINEST VARS'!$K$64*($CX125^2)+'LINEST VARS'!$J$64*(8*8)+'LINEST VARS'!$I$64*(8*$CY$104)+'LINEST VARS'!$H$64*(8*0.5)+'LINEST VARS'!$G$64*(8*$CX125)+'LINEST VARS'!$F$64*(8*$CY$104)+'LINEST VARS'!$E$64*(8*0.5)+'LINEST VARS'!$D$64*(8*$CX125)+'LINEST VARS'!$C$64*($CY$104*0.5)+'LINEST VARS'!$B$64*($CY$104*$CX125)+'LINEST VARS'!$A$64*(0.5*$CX125)</f>
        <v>187.96999999999986</v>
      </c>
      <c r="CZ125" s="57">
        <f>'LINEST VARS'!$U$64+'LINEST VARS'!$T$64*(8)+'LINEST VARS'!$S$64*(8)+'LINEST VARS'!$R$64*($CZ$104)+'LINEST VARS'!$Q$64*(0.5)+'LINEST VARS'!$P$64*($CX125)+'LINEST VARS'!$O$64*(8^2)+'LINEST VARS'!$N$64*(8^2)+'LINEST VARS'!$M$64*($CZ$104^2)+'LINEST VARS'!$L$64*(0.5^2)+'LINEST VARS'!$K$64*($CX125^2)+'LINEST VARS'!$J$64*(8*8)+'LINEST VARS'!$I$64*(8*$CZ$104)+'LINEST VARS'!$H$64*(8*0.5)+'LINEST VARS'!$G$64*(8*$CX125)+'LINEST VARS'!$F$64*(8*$CZ$104)+'LINEST VARS'!$E$64*(8*0.5)+'LINEST VARS'!$D$64*(8*$CX125)+'LINEST VARS'!$C$64*($CZ$104*0.5)+'LINEST VARS'!$B$64*($CZ$104*$CX125)+'LINEST VARS'!$A$64*(0.5*$CX125)</f>
        <v>189.56999999999985</v>
      </c>
      <c r="DA125" s="57">
        <f>'LINEST VARS'!$U$64+'LINEST VARS'!$T$64*(8)+'LINEST VARS'!$S$64*(8)+'LINEST VARS'!$R$64*($DA$104)+'LINEST VARS'!$Q$64*(0.5)+'LINEST VARS'!$P$64*($CX125)+'LINEST VARS'!$O$64*(8^2)+'LINEST VARS'!$N$64*(8^2)+'LINEST VARS'!$M$64*($DA$104^2)+'LINEST VARS'!$L$64*(0.5^2)+'LINEST VARS'!$K$64*($CX125^2)+'LINEST VARS'!$J$64*(8*8)+'LINEST VARS'!$I$64*(8*$DA$104)+'LINEST VARS'!$H$64*(8*0.5)+'LINEST VARS'!$G$64*(8*$CX125)+'LINEST VARS'!$F$64*(8*$DA$104)+'LINEST VARS'!$E$64*(8*0.5)+'LINEST VARS'!$D$64*(8*$CX125)+'LINEST VARS'!$C$64*($DA$104*0.5)+'LINEST VARS'!$B$64*($DA$104*$CX125)+'LINEST VARS'!$A$64*(0.5*$CX125)</f>
        <v>191.16999999999987</v>
      </c>
      <c r="DB125" s="57">
        <f>'LINEST VARS'!$U$64+'LINEST VARS'!$T$64*(8)+'LINEST VARS'!$S$64*(8)+'LINEST VARS'!$R$64*($DB$104)+'LINEST VARS'!$Q$64*(0.5)+'LINEST VARS'!$P$64*($CX125)+'LINEST VARS'!$O$64*(8^2)+'LINEST VARS'!$N$64*(8^2)+'LINEST VARS'!$M$64*($DB$104^2)+'LINEST VARS'!$L$64*(0.5^2)+'LINEST VARS'!$K$64*($CX125^2)+'LINEST VARS'!$J$64*(8*8)+'LINEST VARS'!$I$64*(8*$DB$104)+'LINEST VARS'!$H$64*(8*0.5)+'LINEST VARS'!$G$64*(8*$CX125)+'LINEST VARS'!$F$64*(8*$DB$104)+'LINEST VARS'!$E$64*(8*0.5)+'LINEST VARS'!$D$64*(8*$CX125)+'LINEST VARS'!$C$64*($DB$104*0.5)+'LINEST VARS'!$B$64*($DB$104*$CX125)+'LINEST VARS'!$A$64*(0.5*$CX125)</f>
        <v>192.76999999999984</v>
      </c>
      <c r="DC125" s="57">
        <f>'LINEST VARS'!$U$64+'LINEST VARS'!$T$64*(8)+'LINEST VARS'!$S$64*(8)+'LINEST VARS'!$R$64*($DC$104)+'LINEST VARS'!$Q$64*(0.5)+'LINEST VARS'!$P$64*($CX125)+'LINEST VARS'!$O$64*(8^2)+'LINEST VARS'!$N$64*(8^2)+'LINEST VARS'!$M$64*($DC$104^2)+'LINEST VARS'!$L$64*(0.5^2)+'LINEST VARS'!$K$64*($CX125^2)+'LINEST VARS'!$J$64*(8*8)+'LINEST VARS'!$I$64*(8*$DC$104)+'LINEST VARS'!$H$64*(8*0.5)+'LINEST VARS'!$G$64*(8*$CX125)+'LINEST VARS'!$F$64*(8*$DC$104)+'LINEST VARS'!$E$64*(8*0.5)+'LINEST VARS'!$D$64*(8*$CX125)+'LINEST VARS'!$C$64*($DC$104*0.5)+'LINEST VARS'!$B$64*($DC$104*$CX125)+'LINEST VARS'!$A$64*(0.5*$CX125)</f>
        <v>194.36999999999986</v>
      </c>
      <c r="DD125" s="57">
        <f>'LINEST VARS'!$U$64+'LINEST VARS'!$T$64*(8)+'LINEST VARS'!$S$64*(8)+'LINEST VARS'!$R$64*($DD$104)+'LINEST VARS'!$Q$64*(0.5)+'LINEST VARS'!$P$64*($CX125)+'LINEST VARS'!$O$64*(8^2)+'LINEST VARS'!$N$64*(8^2)+'LINEST VARS'!$M$64*($DD$104^2)+'LINEST VARS'!$L$64*(0.5^2)+'LINEST VARS'!$K$64*($CX125^2)+'LINEST VARS'!$J$64*(8*8)+'LINEST VARS'!$I$64*(8*$DD$104)+'LINEST VARS'!$H$64*(8*0.5)+'LINEST VARS'!$G$64*(8*$CX125)+'LINEST VARS'!$F$64*(8*$DD$104)+'LINEST VARS'!$E$64*(8*0.5)+'LINEST VARS'!$D$64*(8*$CX125)+'LINEST VARS'!$C$64*($DD$104*0.5)+'LINEST VARS'!$B$64*($DD$104*$CX125)+'LINEST VARS'!$A$64*(0.5*$CX125)</f>
        <v>195.96999999999986</v>
      </c>
      <c r="DE125" s="57">
        <f>'LINEST VARS'!$U$64+'LINEST VARS'!$T$64*(8)+'LINEST VARS'!$S$64*(8)+'LINEST VARS'!$R$64*($DE$104)+'LINEST VARS'!$Q$64*(0.5)+'LINEST VARS'!$P$64*($CX125)+'LINEST VARS'!$O$64*(8^2)+'LINEST VARS'!$N$64*(8^2)+'LINEST VARS'!$M$64*($DE$104^2)+'LINEST VARS'!$L$64*(0.5^2)+'LINEST VARS'!$K$64*($CX125^2)+'LINEST VARS'!$J$64*(8*8)+'LINEST VARS'!$I$64*(8*$DE$104)+'LINEST VARS'!$H$64*(8*0.5)+'LINEST VARS'!$G$64*(8*$CX125)+'LINEST VARS'!$F$64*(8*$DE$104)+'LINEST VARS'!$E$64*(8*0.5)+'LINEST VARS'!$D$64*(8*$CX125)+'LINEST VARS'!$C$64*($DE$104*0.5)+'LINEST VARS'!$B$64*($DE$104*$CX125)+'LINEST VARS'!$A$64*(0.5*$CX125)</f>
        <v>197.56999999999985</v>
      </c>
      <c r="DF125" s="57">
        <f>'LINEST VARS'!$U$64+'LINEST VARS'!$T$64*(8)+'LINEST VARS'!$S$64*(8)+'LINEST VARS'!$R$64*($DF$104)+'LINEST VARS'!$Q$64*(0.5)+'LINEST VARS'!$P$64*($CX125)+'LINEST VARS'!$O$64*(8^2)+'LINEST VARS'!$N$64*(8^2)+'LINEST VARS'!$M$64*($DF$104^2)+'LINEST VARS'!$L$64*(0.5^2)+'LINEST VARS'!$K$64*($CX125^2)+'LINEST VARS'!$J$64*(8*8)+'LINEST VARS'!$I$64*(8*$DF$104)+'LINEST VARS'!$H$64*(8*0.5)+'LINEST VARS'!$G$64*(8*$CX125)+'LINEST VARS'!$F$64*(8*$DF$104)+'LINEST VARS'!$E$64*(8*0.5)+'LINEST VARS'!$D$64*(8*$CX125)+'LINEST VARS'!$C$64*($DF$104*0.5)+'LINEST VARS'!$B$64*($DF$104*$CX125)+'LINEST VARS'!$A$64*(0.5*$CX125)</f>
        <v>199.16999999999987</v>
      </c>
      <c r="DG125" s="57">
        <f>'LINEST VARS'!$U$64+'LINEST VARS'!$T$64*(8)+'LINEST VARS'!$S$64*(8)+'LINEST VARS'!$R$64*($DG$104)+'LINEST VARS'!$Q$64*(0.5)+'LINEST VARS'!$P$64*($CX125)+'LINEST VARS'!$O$64*(8^2)+'LINEST VARS'!$N$64*(8^2)+'LINEST VARS'!$M$64*($DG$104^2)+'LINEST VARS'!$L$64*(0.5^2)+'LINEST VARS'!$K$64*($CX125^2)+'LINEST VARS'!$J$64*(8*8)+'LINEST VARS'!$I$64*(8*$DG$104)+'LINEST VARS'!$H$64*(8*0.5)+'LINEST VARS'!$G$64*(8*$CX125)+'LINEST VARS'!$F$64*(8*$DG$104)+'LINEST VARS'!$E$64*(8*0.5)+'LINEST VARS'!$D$64*(8*$CX125)+'LINEST VARS'!$C$64*($DG$104*0.5)+'LINEST VARS'!$B$64*($DG$104*$CX125)+'LINEST VARS'!$A$64*(0.5*$CX125)</f>
        <v>200.76999999999987</v>
      </c>
      <c r="DH125" s="57">
        <f>'LINEST VARS'!$U$64+'LINEST VARS'!$T$64*(8)+'LINEST VARS'!$S$64*(8)+'LINEST VARS'!$R$64*($DH$104)+'LINEST VARS'!$Q$64*(0.5)+'LINEST VARS'!$P$64*($CX125)+'LINEST VARS'!$O$64*(8^2)+'LINEST VARS'!$N$64*(8^2)+'LINEST VARS'!$M$64*($DH$104^2)+'LINEST VARS'!$L$64*(0.5^2)+'LINEST VARS'!$K$64*($CX125^2)+'LINEST VARS'!$J$64*(8*8)+'LINEST VARS'!$I$64*(8*$DH$104)+'LINEST VARS'!$H$64*(8*0.5)+'LINEST VARS'!$G$64*(8*$CX125)+'LINEST VARS'!$F$64*(8*$DH$104)+'LINEST VARS'!$E$64*(8*0.5)+'LINEST VARS'!$D$64*(8*$CX125)+'LINEST VARS'!$C$64*($DH$104*0.5)+'LINEST VARS'!$B$64*($DH$104*$CX125)+'LINEST VARS'!$A$64*(0.5*$CX125)</f>
        <v>202.36999999999986</v>
      </c>
      <c r="DI125" s="57">
        <f>'LINEST VARS'!$U$64+'LINEST VARS'!$T$64*(8)+'LINEST VARS'!$S$64*(8)+'LINEST VARS'!$R$64*($DI$104)+'LINEST VARS'!$Q$64*(0.5)+'LINEST VARS'!$P$64*($CX125)+'LINEST VARS'!$O$64*(8^2)+'LINEST VARS'!$N$64*(8^2)+'LINEST VARS'!$M$64*($DI$104^2)+'LINEST VARS'!$L$64*(0.5^2)+'LINEST VARS'!$K$64*($CX125^2)+'LINEST VARS'!$J$64*(8*8)+'LINEST VARS'!$I$64*(8*$DI$104)+'LINEST VARS'!$H$64*(8*0.5)+'LINEST VARS'!$G$64*(8*$CX125)+'LINEST VARS'!$F$64*(8*$DI$104)+'LINEST VARS'!$E$64*(8*0.5)+'LINEST VARS'!$D$64*(8*$CX125)+'LINEST VARS'!$C$64*($DI$104*0.5)+'LINEST VARS'!$B$64*($DI$104*$CX125)+'LINEST VARS'!$A$64*(0.5*$CX125)</f>
        <v>203.96999999999986</v>
      </c>
      <c r="DJ125" s="57">
        <f>'LINEST VARS'!$U$64+'LINEST VARS'!$T$64*(8)+'LINEST VARS'!$S$64*(8)+'LINEST VARS'!$R$64*($DJ$104)+'LINEST VARS'!$Q$64*(0.5)+'LINEST VARS'!$P$64*($CX125)+'LINEST VARS'!$O$64*(8^2)+'LINEST VARS'!$N$64*(8^2)+'LINEST VARS'!$M$64*($DJ$104^2)+'LINEST VARS'!$L$64*(0.5^2)+'LINEST VARS'!$K$64*($CX125^2)+'LINEST VARS'!$J$64*(8*8)+'LINEST VARS'!$I$64*(8*$DJ$104)+'LINEST VARS'!$H$64*(8*0.5)+'LINEST VARS'!$G$64*(8*$CX125)+'LINEST VARS'!$F$64*(8*$DJ$104)+'LINEST VARS'!$E$64*(8*0.5)+'LINEST VARS'!$D$64*(8*$CX125)+'LINEST VARS'!$C$64*($DJ$104*0.5)+'LINEST VARS'!$B$64*($DJ$104*$CX125)+'LINEST VARS'!$A$64*(0.5*$CX125)</f>
        <v>205.56999999999985</v>
      </c>
      <c r="DK125" s="57">
        <f>'LINEST VARS'!$U$64+'LINEST VARS'!$T$64*(8)+'LINEST VARS'!$S$64*(8)+'LINEST VARS'!$R$64*($DK$104)+'LINEST VARS'!$Q$64*(0.5)+'LINEST VARS'!$P$64*($CX125)+'LINEST VARS'!$O$64*(8^2)+'LINEST VARS'!$N$64*(8^2)+'LINEST VARS'!$M$64*($DK$104^2)+'LINEST VARS'!$L$64*(0.5^2)+'LINEST VARS'!$K$64*($CX125^2)+'LINEST VARS'!$J$64*(8*8)+'LINEST VARS'!$I$64*(8*$DK$104)+'LINEST VARS'!$H$64*(8*0.5)+'LINEST VARS'!$G$64*(8*$CX125)+'LINEST VARS'!$F$64*(8*$DK$104)+'LINEST VARS'!$E$64*(8*0.5)+'LINEST VARS'!$D$64*(8*$CX125)+'LINEST VARS'!$C$64*($DK$104*0.5)+'LINEST VARS'!$B$64*($DK$104*$CX125)+'LINEST VARS'!$A$64*(0.5*$CX125)</f>
        <v>207.16999999999982</v>
      </c>
      <c r="DL125" s="57">
        <f>'LINEST VARS'!$U$64+'LINEST VARS'!$T$64*(8)+'LINEST VARS'!$S$64*(8)+'LINEST VARS'!$R$64*($DL$104)+'LINEST VARS'!$Q$64*(0.5)+'LINEST VARS'!$P$64*($CX125)+'LINEST VARS'!$O$64*(8^2)+'LINEST VARS'!$N$64*(8^2)+'LINEST VARS'!$M$64*($DL$104^2)+'LINEST VARS'!$L$64*(0.5^2)+'LINEST VARS'!$K$64*($CX125^2)+'LINEST VARS'!$J$64*(8*8)+'LINEST VARS'!$I$64*(8*$DL$104)+'LINEST VARS'!$H$64*(8*0.5)+'LINEST VARS'!$G$64*(8*$CX125)+'LINEST VARS'!$F$64*(8*$DL$104)+'LINEST VARS'!$E$64*(8*0.5)+'LINEST VARS'!$D$64*(8*$CX125)+'LINEST VARS'!$C$64*($DL$104*0.5)+'LINEST VARS'!$B$64*($DL$104*$CX125)+'LINEST VARS'!$A$64*(0.5*$CX125)</f>
        <v>208.76999999999984</v>
      </c>
      <c r="DM125" s="57">
        <f>'LINEST VARS'!$U$64+'LINEST VARS'!$T$64*(8)+'LINEST VARS'!$S$64*(8)+'LINEST VARS'!$R$64*($DM$104)+'LINEST VARS'!$Q$64*(0.5)+'LINEST VARS'!$P$64*($CX125)+'LINEST VARS'!$O$64*(8^2)+'LINEST VARS'!$N$64*(8^2)+'LINEST VARS'!$M$64*($DM$104^2)+'LINEST VARS'!$L$64*(0.5^2)+'LINEST VARS'!$K$64*($CX125^2)+'LINEST VARS'!$J$64*(8*8)+'LINEST VARS'!$I$64*(8*$DM$104)+'LINEST VARS'!$H$64*(8*0.5)+'LINEST VARS'!$G$64*(8*$CX125)+'LINEST VARS'!$F$64*(8*$DM$104)+'LINEST VARS'!$E$64*(8*0.5)+'LINEST VARS'!$D$64*(8*$CX125)+'LINEST VARS'!$C$64*($DM$104*0.5)+'LINEST VARS'!$B$64*($DM$104*$CX125)+'LINEST VARS'!$A$64*(0.5*$CX125)</f>
        <v>210.36999999999986</v>
      </c>
      <c r="DN125" s="57">
        <f>'LINEST VARS'!$U$64+'LINEST VARS'!$T$64*(8)+'LINEST VARS'!$S$64*(8)+'LINEST VARS'!$R$64*($DN$104)+'LINEST VARS'!$Q$64*(0.5)+'LINEST VARS'!$P$64*($CX125)+'LINEST VARS'!$O$64*(8^2)+'LINEST VARS'!$N$64*(8^2)+'LINEST VARS'!$M$64*($DN$104^2)+'LINEST VARS'!$L$64*(0.5^2)+'LINEST VARS'!$K$64*($CX125^2)+'LINEST VARS'!$J$64*(8*8)+'LINEST VARS'!$I$64*(8*$DN$104)+'LINEST VARS'!$H$64*(8*0.5)+'LINEST VARS'!$G$64*(8*$CX125)+'LINEST VARS'!$F$64*(8*$DN$104)+'LINEST VARS'!$E$64*(8*0.5)+'LINEST VARS'!$D$64*(8*$CX125)+'LINEST VARS'!$C$64*($DN$104*0.5)+'LINEST VARS'!$B$64*($DN$104*$CX125)+'LINEST VARS'!$A$64*(0.5*$CX125)</f>
        <v>211.96999999999983</v>
      </c>
      <c r="DO125" s="57">
        <f>'LINEST VARS'!$U$64+'LINEST VARS'!$T$64*(8)+'LINEST VARS'!$S$64*(8)+'LINEST VARS'!$R$64*($DO$104)+'LINEST VARS'!$Q$64*(0.5)+'LINEST VARS'!$P$64*($CX125)+'LINEST VARS'!$O$64*(8^2)+'LINEST VARS'!$N$64*(8^2)+'LINEST VARS'!$M$64*($DO$104^2)+'LINEST VARS'!$L$64*(0.5^2)+'LINEST VARS'!$K$64*($CX125^2)+'LINEST VARS'!$J$64*(8*8)+'LINEST VARS'!$I$64*(8*$DO$104)+'LINEST VARS'!$H$64*(8*0.5)+'LINEST VARS'!$G$64*(8*$CX125)+'LINEST VARS'!$F$64*(8*$DO$104)+'LINEST VARS'!$E$64*(8*0.5)+'LINEST VARS'!$D$64*(8*$CX125)+'LINEST VARS'!$C$64*($DO$104*0.5)+'LINEST VARS'!$B$64*($DO$104*$CX125)+'LINEST VARS'!$A$64*(0.5*$CX125)</f>
        <v>213.56999999999985</v>
      </c>
      <c r="DP125" s="57">
        <f>'LINEST VARS'!$U$64+'LINEST VARS'!$T$64*(8)+'LINEST VARS'!$S$64*(8)+'LINEST VARS'!$R$64*($DP$104)+'LINEST VARS'!$Q$64*(0.5)+'LINEST VARS'!$P$64*($CX125)+'LINEST VARS'!$O$64*(8^2)+'LINEST VARS'!$N$64*(8^2)+'LINEST VARS'!$M$64*($DP$104^2)+'LINEST VARS'!$L$64*(0.5^2)+'LINEST VARS'!$K$64*($CX125^2)+'LINEST VARS'!$J$64*(8*8)+'LINEST VARS'!$I$64*(8*$DP$104)+'LINEST VARS'!$H$64*(8*0.5)+'LINEST VARS'!$G$64*(8*$CX125)+'LINEST VARS'!$F$64*(8*$DP$104)+'LINEST VARS'!$E$64*(8*0.5)+'LINEST VARS'!$D$64*(8*$CX125)+'LINEST VARS'!$C$64*($DP$104*0.5)+'LINEST VARS'!$B$64*($DP$104*$CX125)+'LINEST VARS'!$A$64*(0.5*$CX125)</f>
        <v>215.16999999999987</v>
      </c>
      <c r="DQ125" s="57">
        <f>'LINEST VARS'!$U$64+'LINEST VARS'!$T$64*(8)+'LINEST VARS'!$S$64*(8)+'LINEST VARS'!$R$64*($DQ$104)+'LINEST VARS'!$Q$64*(0.5)+'LINEST VARS'!$P$64*($CX125)+'LINEST VARS'!$O$64*(8^2)+'LINEST VARS'!$N$64*(8^2)+'LINEST VARS'!$M$64*($DQ$104^2)+'LINEST VARS'!$L$64*(0.5^2)+'LINEST VARS'!$K$64*($CX125^2)+'LINEST VARS'!$J$64*(8*8)+'LINEST VARS'!$I$64*(8*$DQ$104)+'LINEST VARS'!$H$64*(8*0.5)+'LINEST VARS'!$G$64*(8*$CX125)+'LINEST VARS'!$F$64*(8*$DQ$104)+'LINEST VARS'!$E$64*(8*0.5)+'LINEST VARS'!$D$64*(8*$CX125)+'LINEST VARS'!$C$64*($DQ$104*0.5)+'LINEST VARS'!$B$64*($DQ$104*$CX125)+'LINEST VARS'!$A$64*(0.5*$CX125)</f>
        <v>216.76999999999984</v>
      </c>
      <c r="DR125" s="57">
        <f>'LINEST VARS'!$U$64+'LINEST VARS'!$T$64*(8)+'LINEST VARS'!$S$64*(8)+'LINEST VARS'!$R$64*($DR$104)+'LINEST VARS'!$Q$64*(0.5)+'LINEST VARS'!$P$64*($CX125)+'LINEST VARS'!$O$64*(8^2)+'LINEST VARS'!$N$64*(8^2)+'LINEST VARS'!$M$64*($DR$104^2)+'LINEST VARS'!$L$64*(0.5^2)+'LINEST VARS'!$K$64*($CX125^2)+'LINEST VARS'!$J$64*(8*8)+'LINEST VARS'!$I$64*(8*$DR$104)+'LINEST VARS'!$H$64*(8*0.5)+'LINEST VARS'!$G$64*(8*$CX125)+'LINEST VARS'!$F$64*(8*$DR$104)+'LINEST VARS'!$E$64*(8*0.5)+'LINEST VARS'!$D$64*(8*$CX125)+'LINEST VARS'!$C$64*($DR$104*0.5)+'LINEST VARS'!$B$64*($DR$104*$CX125)+'LINEST VARS'!$A$64*(0.5*$CX125)</f>
        <v>218.36999999999986</v>
      </c>
      <c r="DS125" s="58">
        <f>'LINEST VARS'!$U$64+'LINEST VARS'!$T$64*(8)+'LINEST VARS'!$S$64*(8)+'LINEST VARS'!$R$64*($DS$104)+'LINEST VARS'!$Q$64*(0.5)+'LINEST VARS'!$P$64*($CX125)+'LINEST VARS'!$O$64*(8^2)+'LINEST VARS'!$N$64*(8^2)+'LINEST VARS'!$M$64*($DS$104^2)+'LINEST VARS'!$L$64*(0.5^2)+'LINEST VARS'!$K$64*($CX125^2)+'LINEST VARS'!$J$64*(8*8)+'LINEST VARS'!$I$64*(8*$DS$104)+'LINEST VARS'!$H$64*(8*0.5)+'LINEST VARS'!$G$64*(8*$CX125)+'LINEST VARS'!$F$64*(8*$DS$104)+'LINEST VARS'!$E$64*(8*0.5)+'LINEST VARS'!$D$64*(8*$CX125)+'LINEST VARS'!$C$64*($DS$104*0.5)+'LINEST VARS'!$B$64*($DS$104*$CX125)+'LINEST VARS'!$A$64*(0.5*$CX125)</f>
        <v>219.96999999999983</v>
      </c>
      <c r="DV125" s="48">
        <v>25.99</v>
      </c>
      <c r="DW125" s="49">
        <f>'LINEST VARS'!$U$66+'LINEST VARS'!$T$66*(8)+'LINEST VARS'!$S$66*(8)+'LINEST VARS'!$R$66*($DW$104)+'LINEST VARS'!$Q$66*(0.5)+'LINEST VARS'!$P$66*($DV125)+'LINEST VARS'!$O$66*(8^2)+'LINEST VARS'!$N$66*(8^2)+'LINEST VARS'!$M$66*($DW$104^2)+'LINEST VARS'!$L$66*(0.5^2)+'LINEST VARS'!$K$66*($DV125^2)+'LINEST VARS'!$J$66*(8*8)+'LINEST VARS'!$I$66*(8*$DW$104)+'LINEST VARS'!$H$66*(8*0.5)+'LINEST VARS'!$G$66*(8*$DV125)+'LINEST VARS'!$F$66*(8*$DW$104)+'LINEST VARS'!$E$66*(8*0.5)+'LINEST VARS'!$D$66*(8*$DV125)+'LINEST VARS'!$C$66*($DW$104*0.5)+'LINEST VARS'!$B$66*($DW$104*$DV125)+'LINEST VARS'!$A$66*(0.5*$DV125)</f>
        <v>144.00000000000003</v>
      </c>
      <c r="DX125" s="49">
        <f>'LINEST VARS'!$U$66+'LINEST VARS'!$T$66*(8)+'LINEST VARS'!$S$66*(8)+'LINEST VARS'!$R$66*($DX$104)+'LINEST VARS'!$Q$66*(0.5)+'LINEST VARS'!$P$66*($DV125)+'LINEST VARS'!$O$66*(8^2)+'LINEST VARS'!$N$66*(8^2)+'LINEST VARS'!$M$66*($DX$104^2)+'LINEST VARS'!$L$66*(0.5^2)+'LINEST VARS'!$K$66*($DV125^2)+'LINEST VARS'!$J$66*(8*8)+'LINEST VARS'!$I$66*(8*$DX$104)+'LINEST VARS'!$H$66*(8*0.5)+'LINEST VARS'!$G$66*(8*$DV125)+'LINEST VARS'!$F$66*(8*$DX$104)+'LINEST VARS'!$E$66*(8*0.5)+'LINEST VARS'!$D$66*(8*$DV125)+'LINEST VARS'!$C$66*($DX$104*0.5)+'LINEST VARS'!$B$66*($DX$104*$DV125)+'LINEST VARS'!$A$66*(0.5*$DV125)</f>
        <v>143.20000000000005</v>
      </c>
      <c r="DY125" s="49">
        <f>'LINEST VARS'!$U$66+'LINEST VARS'!$T$66*(8)+'LINEST VARS'!$S$66*(8)+'LINEST VARS'!$R$66*($DY$104)+'LINEST VARS'!$Q$66*(0.5)+'LINEST VARS'!$P$66*($DV125)+'LINEST VARS'!$O$66*(8^2)+'LINEST VARS'!$N$66*(8^2)+'LINEST VARS'!$M$66*($DY$104^2)+'LINEST VARS'!$L$66*(0.5^2)+'LINEST VARS'!$K$66*($DV125^2)+'LINEST VARS'!$J$66*(8*8)+'LINEST VARS'!$I$66*(8*$DY$104)+'LINEST VARS'!$H$66*(8*0.5)+'LINEST VARS'!$G$66*(8*$DV125)+'LINEST VARS'!$F$66*(8*$DY$104)+'LINEST VARS'!$E$66*(8*0.5)+'LINEST VARS'!$D$66*(8*$DV125)+'LINEST VARS'!$C$66*($DY$104*0.5)+'LINEST VARS'!$B$66*($DY$104*$DV125)+'LINEST VARS'!$A$66*(0.5*$DV125)</f>
        <v>142.40000000000003</v>
      </c>
      <c r="DZ125" s="49">
        <f>'LINEST VARS'!$U$66+'LINEST VARS'!$T$66*(8)+'LINEST VARS'!$S$66*(8)+'LINEST VARS'!$R$66*($DZ$104)+'LINEST VARS'!$Q$66*(0.5)+'LINEST VARS'!$P$66*($DV125)+'LINEST VARS'!$O$66*(8^2)+'LINEST VARS'!$N$66*(8^2)+'LINEST VARS'!$M$66*($DZ$104^2)+'LINEST VARS'!$L$66*(0.5^2)+'LINEST VARS'!$K$66*($DV125^2)+'LINEST VARS'!$J$66*(8*8)+'LINEST VARS'!$I$66*(8*$DZ$104)+'LINEST VARS'!$H$66*(8*0.5)+'LINEST VARS'!$G$66*(8*$DV125)+'LINEST VARS'!$F$66*(8*$DZ$104)+'LINEST VARS'!$E$66*(8*0.5)+'LINEST VARS'!$D$66*(8*$DV125)+'LINEST VARS'!$C$66*($DZ$104*0.5)+'LINEST VARS'!$B$66*($DZ$104*$DV125)+'LINEST VARS'!$A$66*(0.5*$DV125)</f>
        <v>141.60000000000005</v>
      </c>
      <c r="EA125" s="49">
        <f>'LINEST VARS'!$U$66+'LINEST VARS'!$T$66*(8)+'LINEST VARS'!$S$66*(8)+'LINEST VARS'!$R$66*($EA$104)+'LINEST VARS'!$Q$66*(0.5)+'LINEST VARS'!$P$66*($DV125)+'LINEST VARS'!$O$66*(8^2)+'LINEST VARS'!$N$66*(8^2)+'LINEST VARS'!$M$66*($EA$104^2)+'LINEST VARS'!$L$66*(0.5^2)+'LINEST VARS'!$K$66*($DV125^2)+'LINEST VARS'!$J$66*(8*8)+'LINEST VARS'!$I$66*(8*$EA$104)+'LINEST VARS'!$H$66*(8*0.5)+'LINEST VARS'!$G$66*(8*$DV125)+'LINEST VARS'!$F$66*(8*$EA$104)+'LINEST VARS'!$E$66*(8*0.5)+'LINEST VARS'!$D$66*(8*$DV125)+'LINEST VARS'!$C$66*($EA$104*0.5)+'LINEST VARS'!$B$66*($EA$104*$DV125)+'LINEST VARS'!$A$66*(0.5*$DV125)</f>
        <v>140.80000000000004</v>
      </c>
      <c r="EB125" s="49">
        <f>'LINEST VARS'!$U$66+'LINEST VARS'!$T$66*(8)+'LINEST VARS'!$S$66*(8)+'LINEST VARS'!$R$66*($EB$104)+'LINEST VARS'!$Q$66*(0.5)+'LINEST VARS'!$P$66*($DV125)+'LINEST VARS'!$O$66*(8^2)+'LINEST VARS'!$N$66*(8^2)+'LINEST VARS'!$M$66*($EB$104^2)+'LINEST VARS'!$L$66*(0.5^2)+'LINEST VARS'!$K$66*($DV125^2)+'LINEST VARS'!$J$66*(8*8)+'LINEST VARS'!$I$66*(8*$EB$104)+'LINEST VARS'!$H$66*(8*0.5)+'LINEST VARS'!$G$66*(8*$DV125)+'LINEST VARS'!$F$66*(8*$EB$104)+'LINEST VARS'!$E$66*(8*0.5)+'LINEST VARS'!$D$66*(8*$DV125)+'LINEST VARS'!$C$66*($EB$104*0.5)+'LINEST VARS'!$B$66*($EB$104*$DV125)+'LINEST VARS'!$A$66*(0.5*$DV125)</f>
        <v>140.00000000000006</v>
      </c>
      <c r="EC125" s="49">
        <f>'LINEST VARS'!$U$66+'LINEST VARS'!$T$66*(8)+'LINEST VARS'!$S$66*(8)+'LINEST VARS'!$R$66*($EC$104)+'LINEST VARS'!$Q$66*(0.5)+'LINEST VARS'!$P$66*($DV125)+'LINEST VARS'!$O$66*(8^2)+'LINEST VARS'!$N$66*(8^2)+'LINEST VARS'!$M$66*($EC$104^2)+'LINEST VARS'!$L$66*(0.5^2)+'LINEST VARS'!$K$66*($DV125^2)+'LINEST VARS'!$J$66*(8*8)+'LINEST VARS'!$I$66*(8*$EC$104)+'LINEST VARS'!$H$66*(8*0.5)+'LINEST VARS'!$G$66*(8*$DV125)+'LINEST VARS'!$F$66*(8*$EC$104)+'LINEST VARS'!$E$66*(8*0.5)+'LINEST VARS'!$D$66*(8*$DV125)+'LINEST VARS'!$C$66*($EC$104*0.5)+'LINEST VARS'!$B$66*($EC$104*$DV125)+'LINEST VARS'!$A$66*(0.5*$DV125)</f>
        <v>139.20000000000005</v>
      </c>
      <c r="ED125" s="49">
        <f>'LINEST VARS'!$U$66+'LINEST VARS'!$T$66*(8)+'LINEST VARS'!$S$66*(8)+'LINEST VARS'!$R$66*($ED$104)+'LINEST VARS'!$Q$66*(0.5)+'LINEST VARS'!$P$66*($DV125)+'LINEST VARS'!$O$66*(8^2)+'LINEST VARS'!$N$66*(8^2)+'LINEST VARS'!$M$66*($ED$104^2)+'LINEST VARS'!$L$66*(0.5^2)+'LINEST VARS'!$K$66*($DV125^2)+'LINEST VARS'!$J$66*(8*8)+'LINEST VARS'!$I$66*(8*$ED$104)+'LINEST VARS'!$H$66*(8*0.5)+'LINEST VARS'!$G$66*(8*$DV125)+'LINEST VARS'!$F$66*(8*$ED$104)+'LINEST VARS'!$E$66*(8*0.5)+'LINEST VARS'!$D$66*(8*$DV125)+'LINEST VARS'!$C$66*($ED$104*0.5)+'LINEST VARS'!$B$66*($ED$104*$DV125)+'LINEST VARS'!$A$66*(0.5*$DV125)</f>
        <v>138.40000000000006</v>
      </c>
      <c r="EE125" s="49">
        <f>'LINEST VARS'!$U$66+'LINEST VARS'!$T$66*(8)+'LINEST VARS'!$S$66*(8)+'LINEST VARS'!$R$66*($EE$104)+'LINEST VARS'!$Q$66*(0.5)+'LINEST VARS'!$P$66*($DV125)+'LINEST VARS'!$O$66*(8^2)+'LINEST VARS'!$N$66*(8^2)+'LINEST VARS'!$M$66*($EE$104^2)+'LINEST VARS'!$L$66*(0.5^2)+'LINEST VARS'!$K$66*($DV125^2)+'LINEST VARS'!$J$66*(8*8)+'LINEST VARS'!$I$66*(8*$EE$104)+'LINEST VARS'!$H$66*(8*0.5)+'LINEST VARS'!$G$66*(8*$DV125)+'LINEST VARS'!$F$66*(8*$EE$104)+'LINEST VARS'!$E$66*(8*0.5)+'LINEST VARS'!$D$66*(8*$DV125)+'LINEST VARS'!$C$66*($EE$104*0.5)+'LINEST VARS'!$B$66*($EE$104*$DV125)+'LINEST VARS'!$A$66*(0.5*$DV125)</f>
        <v>137.60000000000005</v>
      </c>
      <c r="EF125" s="49">
        <f>'LINEST VARS'!$U$66+'LINEST VARS'!$T$66*(8)+'LINEST VARS'!$S$66*(8)+'LINEST VARS'!$R$66*($EF$104)+'LINEST VARS'!$Q$66*(0.5)+'LINEST VARS'!$P$66*($DV125)+'LINEST VARS'!$O$66*(8^2)+'LINEST VARS'!$N$66*(8^2)+'LINEST VARS'!$M$66*($EF$104^2)+'LINEST VARS'!$L$66*(0.5^2)+'LINEST VARS'!$K$66*($DV125^2)+'LINEST VARS'!$J$66*(8*8)+'LINEST VARS'!$I$66*(8*$EF$104)+'LINEST VARS'!$H$66*(8*0.5)+'LINEST VARS'!$G$66*(8*$DV125)+'LINEST VARS'!$F$66*(8*$EF$104)+'LINEST VARS'!$E$66*(8*0.5)+'LINEST VARS'!$D$66*(8*$DV125)+'LINEST VARS'!$C$66*($EF$104*0.5)+'LINEST VARS'!$B$66*($EF$104*$DV125)+'LINEST VARS'!$A$66*(0.5*$DV125)</f>
        <v>136.80000000000004</v>
      </c>
      <c r="EG125" s="49">
        <f>'LINEST VARS'!$U$66+'LINEST VARS'!$T$66*(8)+'LINEST VARS'!$S$66*(8)+'LINEST VARS'!$R$66*($EG$104)+'LINEST VARS'!$Q$66*(0.5)+'LINEST VARS'!$P$66*($DV125)+'LINEST VARS'!$O$66*(8^2)+'LINEST VARS'!$N$66*(8^2)+'LINEST VARS'!$M$66*($EG$104^2)+'LINEST VARS'!$L$66*(0.5^2)+'LINEST VARS'!$K$66*($DV125^2)+'LINEST VARS'!$J$66*(8*8)+'LINEST VARS'!$I$66*(8*$EG$104)+'LINEST VARS'!$H$66*(8*0.5)+'LINEST VARS'!$G$66*(8*$DV125)+'LINEST VARS'!$F$66*(8*$EG$104)+'LINEST VARS'!$E$66*(8*0.5)+'LINEST VARS'!$D$66*(8*$DV125)+'LINEST VARS'!$C$66*($EG$104*0.5)+'LINEST VARS'!$B$66*($EG$104*$DV125)+'LINEST VARS'!$A$66*(0.5*$DV125)</f>
        <v>136.00000000000003</v>
      </c>
      <c r="EH125" s="49">
        <f>'LINEST VARS'!$U$66+'LINEST VARS'!$T$66*(8)+'LINEST VARS'!$S$66*(8)+'LINEST VARS'!$R$66*($EH$104)+'LINEST VARS'!$Q$66*(0.5)+'LINEST VARS'!$P$66*($DV125)+'LINEST VARS'!$O$66*(8^2)+'LINEST VARS'!$N$66*(8^2)+'LINEST VARS'!$M$66*($EH$104^2)+'LINEST VARS'!$L$66*(0.5^2)+'LINEST VARS'!$K$66*($DV125^2)+'LINEST VARS'!$J$66*(8*8)+'LINEST VARS'!$I$66*(8*$EH$104)+'LINEST VARS'!$H$66*(8*0.5)+'LINEST VARS'!$G$66*(8*$DV125)+'LINEST VARS'!$F$66*(8*$EH$104)+'LINEST VARS'!$E$66*(8*0.5)+'LINEST VARS'!$D$66*(8*$DV125)+'LINEST VARS'!$C$66*($EH$104*0.5)+'LINEST VARS'!$B$66*($EH$104*$DV125)+'LINEST VARS'!$A$66*(0.5*$DV125)</f>
        <v>135.20000000000002</v>
      </c>
      <c r="EI125" s="49">
        <f>'LINEST VARS'!$U$66+'LINEST VARS'!$T$66*(8)+'LINEST VARS'!$S$66*(8)+'LINEST VARS'!$R$66*($EI$104)+'LINEST VARS'!$Q$66*(0.5)+'LINEST VARS'!$P$66*($DV125)+'LINEST VARS'!$O$66*(8^2)+'LINEST VARS'!$N$66*(8^2)+'LINEST VARS'!$M$66*($EI$104^2)+'LINEST VARS'!$L$66*(0.5^2)+'LINEST VARS'!$K$66*($DV125^2)+'LINEST VARS'!$J$66*(8*8)+'LINEST VARS'!$I$66*(8*$EI$104)+'LINEST VARS'!$H$66*(8*0.5)+'LINEST VARS'!$G$66*(8*$DV125)+'LINEST VARS'!$F$66*(8*$EI$104)+'LINEST VARS'!$E$66*(8*0.5)+'LINEST VARS'!$D$66*(8*$DV125)+'LINEST VARS'!$C$66*($EI$104*0.5)+'LINEST VARS'!$B$66*($EI$104*$DV125)+'LINEST VARS'!$A$66*(0.5*$DV125)</f>
        <v>134.4</v>
      </c>
      <c r="EJ125" s="49">
        <f>'LINEST VARS'!$U$66+'LINEST VARS'!$T$66*(8)+'LINEST VARS'!$S$66*(8)+'LINEST VARS'!$R$66*($EJ$104)+'LINEST VARS'!$Q$66*(0.5)+'LINEST VARS'!$P$66*($DV125)+'LINEST VARS'!$O$66*(8^2)+'LINEST VARS'!$N$66*(8^2)+'LINEST VARS'!$M$66*($EJ$104^2)+'LINEST VARS'!$L$66*(0.5^2)+'LINEST VARS'!$K$66*($DV125^2)+'LINEST VARS'!$J$66*(8*8)+'LINEST VARS'!$I$66*(8*$EJ$104)+'LINEST VARS'!$H$66*(8*0.5)+'LINEST VARS'!$G$66*(8*$DV125)+'LINEST VARS'!$F$66*(8*$EJ$104)+'LINEST VARS'!$E$66*(8*0.5)+'LINEST VARS'!$D$66*(8*$DV125)+'LINEST VARS'!$C$66*($EJ$104*0.5)+'LINEST VARS'!$B$66*($EJ$104*$DV125)+'LINEST VARS'!$A$66*(0.5*$DV125)</f>
        <v>133.60000000000002</v>
      </c>
      <c r="EK125" s="49">
        <f>'LINEST VARS'!$U$66+'LINEST VARS'!$T$66*(8)+'LINEST VARS'!$S$66*(8)+'LINEST VARS'!$R$66*($EK$104)+'LINEST VARS'!$Q$66*(0.5)+'LINEST VARS'!$P$66*($DV125)+'LINEST VARS'!$O$66*(8^2)+'LINEST VARS'!$N$66*(8^2)+'LINEST VARS'!$M$66*($EK$104^2)+'LINEST VARS'!$L$66*(0.5^2)+'LINEST VARS'!$K$66*($DV125^2)+'LINEST VARS'!$J$66*(8*8)+'LINEST VARS'!$I$66*(8*$EK$104)+'LINEST VARS'!$H$66*(8*0.5)+'LINEST VARS'!$G$66*(8*$DV125)+'LINEST VARS'!$F$66*(8*$EK$104)+'LINEST VARS'!$E$66*(8*0.5)+'LINEST VARS'!$D$66*(8*$DV125)+'LINEST VARS'!$C$66*($EK$104*0.5)+'LINEST VARS'!$B$66*($EK$104*$DV125)+'LINEST VARS'!$A$66*(0.5*$DV125)</f>
        <v>132.80000000000001</v>
      </c>
      <c r="EL125" s="49">
        <f>'LINEST VARS'!$U$66+'LINEST VARS'!$T$66*(8)+'LINEST VARS'!$S$66*(8)+'LINEST VARS'!$R$66*($EL$104)+'LINEST VARS'!$Q$66*(0.5)+'LINEST VARS'!$P$66*($DV125)+'LINEST VARS'!$O$66*(8^2)+'LINEST VARS'!$N$66*(8^2)+'LINEST VARS'!$M$66*($EL$104^2)+'LINEST VARS'!$L$66*(0.5^2)+'LINEST VARS'!$K$66*($DV125^2)+'LINEST VARS'!$J$66*(8*8)+'LINEST VARS'!$I$66*(8*$EL$104)+'LINEST VARS'!$H$66*(8*0.5)+'LINEST VARS'!$G$66*(8*$DV125)+'LINEST VARS'!$F$66*(8*$EL$104)+'LINEST VARS'!$E$66*(8*0.5)+'LINEST VARS'!$D$66*(8*$DV125)+'LINEST VARS'!$C$66*($EL$104*0.5)+'LINEST VARS'!$B$66*($EL$104*$DV125)+'LINEST VARS'!$A$66*(0.5*$DV125)</f>
        <v>132.00000000000003</v>
      </c>
      <c r="EM125" s="49">
        <f>'LINEST VARS'!$U$66+'LINEST VARS'!$T$66*(8)+'LINEST VARS'!$S$66*(8)+'LINEST VARS'!$R$66*($EM$104)+'LINEST VARS'!$Q$66*(0.5)+'LINEST VARS'!$P$66*($DV125)+'LINEST VARS'!$O$66*(8^2)+'LINEST VARS'!$N$66*(8^2)+'LINEST VARS'!$M$66*($EM$104^2)+'LINEST VARS'!$L$66*(0.5^2)+'LINEST VARS'!$K$66*($DV125^2)+'LINEST VARS'!$J$66*(8*8)+'LINEST VARS'!$I$66*(8*$EM$104)+'LINEST VARS'!$H$66*(8*0.5)+'LINEST VARS'!$G$66*(8*$DV125)+'LINEST VARS'!$F$66*(8*$EM$104)+'LINEST VARS'!$E$66*(8*0.5)+'LINEST VARS'!$D$66*(8*$DV125)+'LINEST VARS'!$C$66*($EM$104*0.5)+'LINEST VARS'!$B$66*($EM$104*$DV125)+'LINEST VARS'!$A$66*(0.5*$DV125)</f>
        <v>131.20000000000002</v>
      </c>
      <c r="EN125" s="49">
        <f>'LINEST VARS'!$U$66+'LINEST VARS'!$T$66*(8)+'LINEST VARS'!$S$66*(8)+'LINEST VARS'!$R$66*($EN$104)+'LINEST VARS'!$Q$66*(0.5)+'LINEST VARS'!$P$66*($DV125)+'LINEST VARS'!$O$66*(8^2)+'LINEST VARS'!$N$66*(8^2)+'LINEST VARS'!$M$66*($EN$104^2)+'LINEST VARS'!$L$66*(0.5^2)+'LINEST VARS'!$K$66*($DV125^2)+'LINEST VARS'!$J$66*(8*8)+'LINEST VARS'!$I$66*(8*$EN$104)+'LINEST VARS'!$H$66*(8*0.5)+'LINEST VARS'!$G$66*(8*$DV125)+'LINEST VARS'!$F$66*(8*$EN$104)+'LINEST VARS'!$E$66*(8*0.5)+'LINEST VARS'!$D$66*(8*$DV125)+'LINEST VARS'!$C$66*($EN$104*0.5)+'LINEST VARS'!$B$66*($EN$104*$DV125)+'LINEST VARS'!$A$66*(0.5*$DV125)</f>
        <v>130.40000000000003</v>
      </c>
      <c r="EO125" s="49">
        <f>'LINEST VARS'!$U$66+'LINEST VARS'!$T$66*(8)+'LINEST VARS'!$S$66*(8)+'LINEST VARS'!$R$66*($EO$104)+'LINEST VARS'!$Q$66*(0.5)+'LINEST VARS'!$P$66*($DV125)+'LINEST VARS'!$O$66*(8^2)+'LINEST VARS'!$N$66*(8^2)+'LINEST VARS'!$M$66*($EO$104^2)+'LINEST VARS'!$L$66*(0.5^2)+'LINEST VARS'!$K$66*($DV125^2)+'LINEST VARS'!$J$66*(8*8)+'LINEST VARS'!$I$66*(8*$EO$104)+'LINEST VARS'!$H$66*(8*0.5)+'LINEST VARS'!$G$66*(8*$DV125)+'LINEST VARS'!$F$66*(8*$EO$104)+'LINEST VARS'!$E$66*(8*0.5)+'LINEST VARS'!$D$66*(8*$DV125)+'LINEST VARS'!$C$66*($EO$104*0.5)+'LINEST VARS'!$B$66*($EO$104*$DV125)+'LINEST VARS'!$A$66*(0.5*$DV125)</f>
        <v>129.60000000000002</v>
      </c>
      <c r="EP125" s="49">
        <f>'LINEST VARS'!$U$66+'LINEST VARS'!$T$66*(8)+'LINEST VARS'!$S$66*(8)+'LINEST VARS'!$R$66*($EP$104)+'LINEST VARS'!$Q$66*(0.5)+'LINEST VARS'!$P$66*($DV125)+'LINEST VARS'!$O$66*(8^2)+'LINEST VARS'!$N$66*(8^2)+'LINEST VARS'!$M$66*($EP$104^2)+'LINEST VARS'!$L$66*(0.5^2)+'LINEST VARS'!$K$66*($DV125^2)+'LINEST VARS'!$J$66*(8*8)+'LINEST VARS'!$I$66*(8*$EP$104)+'LINEST VARS'!$H$66*(8*0.5)+'LINEST VARS'!$G$66*(8*$DV125)+'LINEST VARS'!$F$66*(8*$EP$104)+'LINEST VARS'!$E$66*(8*0.5)+'LINEST VARS'!$D$66*(8*$DV125)+'LINEST VARS'!$C$66*($EP$104*0.5)+'LINEST VARS'!$B$66*($EP$104*$DV125)+'LINEST VARS'!$A$66*(0.5*$DV125)</f>
        <v>128.80000000000004</v>
      </c>
      <c r="EQ125" s="50">
        <f>'LINEST VARS'!$U$66+'LINEST VARS'!$T$66*(8)+'LINEST VARS'!$S$66*(8)+'LINEST VARS'!$R$66*($EQ$104)+'LINEST VARS'!$Q$66*(0.5)+'LINEST VARS'!$P$66*($DV125)+'LINEST VARS'!$O$66*(8^2)+'LINEST VARS'!$N$66*(8^2)+'LINEST VARS'!$M$66*($EQ$104^2)+'LINEST VARS'!$L$66*(0.5^2)+'LINEST VARS'!$K$66*($DV125^2)+'LINEST VARS'!$J$66*(8*8)+'LINEST VARS'!$I$66*(8*$EQ$104)+'LINEST VARS'!$H$66*(8*0.5)+'LINEST VARS'!$G$66*(8*$DV125)+'LINEST VARS'!$F$66*(8*$EQ$104)+'LINEST VARS'!$E$66*(8*0.5)+'LINEST VARS'!$D$66*(8*$DV125)+'LINEST VARS'!$C$66*($EQ$104*0.5)+'LINEST VARS'!$B$66*($EQ$104*$DV125)+'LINEST VARS'!$A$66*(0.5*$DV125)</f>
        <v>128.00000000000003</v>
      </c>
    </row>
    <row r="126" spans="2:147" ht="15" customHeight="1" x14ac:dyDescent="0.25"/>
    <row r="127" spans="2:147" ht="15" customHeight="1" thickBot="1" x14ac:dyDescent="0.3">
      <c r="B127" s="59" t="s">
        <v>14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Z127" s="59" t="s">
        <v>15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Z127" s="59" t="s">
        <v>28</v>
      </c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X127" s="59" t="s">
        <v>29</v>
      </c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X127" s="59" t="s">
        <v>42</v>
      </c>
      <c r="CY127" s="60"/>
      <c r="CZ127" s="60"/>
      <c r="DA127" s="60"/>
      <c r="DB127" s="60"/>
      <c r="DC127" s="60"/>
      <c r="DD127" s="60"/>
      <c r="DE127" s="60"/>
      <c r="DF127" s="60"/>
      <c r="DG127" s="60"/>
      <c r="DH127" s="60"/>
      <c r="DI127" s="60"/>
      <c r="DJ127" s="60"/>
      <c r="DK127" s="60"/>
      <c r="DL127" s="60"/>
      <c r="DM127" s="60"/>
      <c r="DN127" s="60"/>
      <c r="DO127" s="60"/>
      <c r="DP127" s="60"/>
      <c r="DQ127" s="60"/>
      <c r="DR127" s="60"/>
      <c r="DS127" s="60"/>
      <c r="DV127" s="59" t="s">
        <v>43</v>
      </c>
      <c r="DW127" s="60"/>
      <c r="DX127" s="60"/>
      <c r="DY127" s="60"/>
      <c r="DZ127" s="60"/>
      <c r="EA127" s="60"/>
      <c r="EB127" s="60"/>
      <c r="EC127" s="60"/>
      <c r="ED127" s="60"/>
      <c r="EE127" s="60"/>
      <c r="EF127" s="60"/>
      <c r="EG127" s="60"/>
      <c r="EH127" s="60"/>
      <c r="EI127" s="60"/>
      <c r="EJ127" s="60"/>
      <c r="EK127" s="60"/>
      <c r="EL127" s="60"/>
      <c r="EM127" s="60"/>
      <c r="EN127" s="60"/>
      <c r="EO127" s="60"/>
      <c r="EP127" s="60"/>
      <c r="EQ127" s="60"/>
    </row>
    <row r="128" spans="2:147" ht="15" customHeight="1" x14ac:dyDescent="0.25">
      <c r="B128" s="42" t="s">
        <v>5</v>
      </c>
      <c r="C128" s="43">
        <v>7.4</v>
      </c>
      <c r="D128" s="43">
        <v>7.46</v>
      </c>
      <c r="E128" s="43">
        <v>7.52</v>
      </c>
      <c r="F128" s="43">
        <v>7.58</v>
      </c>
      <c r="G128" s="43">
        <v>7.64</v>
      </c>
      <c r="H128" s="43">
        <v>7.7</v>
      </c>
      <c r="I128" s="43">
        <v>7.76</v>
      </c>
      <c r="J128" s="43">
        <v>7.82</v>
      </c>
      <c r="K128" s="43">
        <v>7.88</v>
      </c>
      <c r="L128" s="43">
        <v>7.94</v>
      </c>
      <c r="M128" s="43">
        <v>8</v>
      </c>
      <c r="N128" s="43">
        <v>8.06</v>
      </c>
      <c r="O128" s="43">
        <v>8.1199999999999992</v>
      </c>
      <c r="P128" s="43">
        <v>8.18</v>
      </c>
      <c r="Q128" s="43">
        <v>8.24</v>
      </c>
      <c r="R128" s="43">
        <v>8.3000000000000007</v>
      </c>
      <c r="S128" s="43">
        <v>8.36</v>
      </c>
      <c r="T128" s="43">
        <v>8.42</v>
      </c>
      <c r="U128" s="43">
        <v>8.48</v>
      </c>
      <c r="V128" s="43">
        <v>8.5399999999999991</v>
      </c>
      <c r="W128" s="44">
        <v>8.6</v>
      </c>
      <c r="Z128" s="42" t="s">
        <v>5</v>
      </c>
      <c r="AA128" s="43">
        <v>7.4</v>
      </c>
      <c r="AB128" s="43">
        <v>7.46</v>
      </c>
      <c r="AC128" s="43">
        <v>7.52</v>
      </c>
      <c r="AD128" s="43">
        <v>7.58</v>
      </c>
      <c r="AE128" s="43">
        <v>7.64</v>
      </c>
      <c r="AF128" s="43">
        <v>7.7</v>
      </c>
      <c r="AG128" s="43">
        <v>7.76</v>
      </c>
      <c r="AH128" s="43">
        <v>7.82</v>
      </c>
      <c r="AI128" s="43">
        <v>7.88</v>
      </c>
      <c r="AJ128" s="43">
        <v>7.94</v>
      </c>
      <c r="AK128" s="43">
        <v>8</v>
      </c>
      <c r="AL128" s="43">
        <v>8.06</v>
      </c>
      <c r="AM128" s="43">
        <v>8.1199999999999992</v>
      </c>
      <c r="AN128" s="43">
        <v>8.18</v>
      </c>
      <c r="AO128" s="43">
        <v>8.24</v>
      </c>
      <c r="AP128" s="43">
        <v>8.3000000000000007</v>
      </c>
      <c r="AQ128" s="43">
        <v>8.36</v>
      </c>
      <c r="AR128" s="43">
        <v>8.42</v>
      </c>
      <c r="AS128" s="43">
        <v>8.48</v>
      </c>
      <c r="AT128" s="43">
        <v>8.5399999999999991</v>
      </c>
      <c r="AU128" s="44">
        <v>8.6</v>
      </c>
      <c r="AZ128" s="42" t="s">
        <v>19</v>
      </c>
      <c r="BA128" s="43">
        <v>0</v>
      </c>
      <c r="BB128" s="43">
        <v>0.4</v>
      </c>
      <c r="BC128" s="43">
        <v>0.8</v>
      </c>
      <c r="BD128" s="43">
        <v>1.2</v>
      </c>
      <c r="BE128" s="43">
        <v>1.6</v>
      </c>
      <c r="BF128" s="43">
        <v>2</v>
      </c>
      <c r="BG128" s="43">
        <v>2.4</v>
      </c>
      <c r="BH128" s="43">
        <v>2.8</v>
      </c>
      <c r="BI128" s="43">
        <v>3.2</v>
      </c>
      <c r="BJ128" s="43">
        <v>3.6</v>
      </c>
      <c r="BK128" s="43">
        <v>4</v>
      </c>
      <c r="BL128" s="43">
        <v>4.4000000000000004</v>
      </c>
      <c r="BM128" s="43">
        <v>4.8</v>
      </c>
      <c r="BN128" s="43">
        <v>5.2</v>
      </c>
      <c r="BO128" s="43">
        <v>5.6</v>
      </c>
      <c r="BP128" s="43">
        <v>6</v>
      </c>
      <c r="BQ128" s="43">
        <v>6.4</v>
      </c>
      <c r="BR128" s="43">
        <v>6.8</v>
      </c>
      <c r="BS128" s="43">
        <v>7.2</v>
      </c>
      <c r="BT128" s="43">
        <v>7.6</v>
      </c>
      <c r="BU128" s="44">
        <v>8</v>
      </c>
      <c r="BX128" s="42" t="s">
        <v>19</v>
      </c>
      <c r="BY128" s="43">
        <v>0</v>
      </c>
      <c r="BZ128" s="43">
        <v>0.4</v>
      </c>
      <c r="CA128" s="43">
        <v>0.8</v>
      </c>
      <c r="CB128" s="43">
        <v>1.2</v>
      </c>
      <c r="CC128" s="43">
        <v>1.6</v>
      </c>
      <c r="CD128" s="43">
        <v>2</v>
      </c>
      <c r="CE128" s="43">
        <v>2.4</v>
      </c>
      <c r="CF128" s="43">
        <v>2.8</v>
      </c>
      <c r="CG128" s="43">
        <v>3.2</v>
      </c>
      <c r="CH128" s="43">
        <v>3.6</v>
      </c>
      <c r="CI128" s="43">
        <v>4</v>
      </c>
      <c r="CJ128" s="43">
        <v>4.4000000000000004</v>
      </c>
      <c r="CK128" s="43">
        <v>4.8</v>
      </c>
      <c r="CL128" s="43">
        <v>5.2</v>
      </c>
      <c r="CM128" s="43">
        <v>5.6</v>
      </c>
      <c r="CN128" s="43">
        <v>6</v>
      </c>
      <c r="CO128" s="43">
        <v>6.4</v>
      </c>
      <c r="CP128" s="43">
        <v>6.8</v>
      </c>
      <c r="CQ128" s="43">
        <v>7.2</v>
      </c>
      <c r="CR128" s="43">
        <v>7.6</v>
      </c>
      <c r="CS128" s="44">
        <v>8</v>
      </c>
      <c r="CX128" s="42" t="s">
        <v>33</v>
      </c>
      <c r="CY128" s="43">
        <v>0</v>
      </c>
      <c r="CZ128" s="43">
        <v>0.4</v>
      </c>
      <c r="DA128" s="43">
        <v>0.8</v>
      </c>
      <c r="DB128" s="43">
        <v>1.2</v>
      </c>
      <c r="DC128" s="43">
        <v>1.6</v>
      </c>
      <c r="DD128" s="43">
        <v>2</v>
      </c>
      <c r="DE128" s="43">
        <v>2.4</v>
      </c>
      <c r="DF128" s="43">
        <v>2.8</v>
      </c>
      <c r="DG128" s="43">
        <v>3.2</v>
      </c>
      <c r="DH128" s="43">
        <v>3.6</v>
      </c>
      <c r="DI128" s="43">
        <v>4</v>
      </c>
      <c r="DJ128" s="43">
        <v>4.4000000000000004</v>
      </c>
      <c r="DK128" s="43">
        <v>4.8</v>
      </c>
      <c r="DL128" s="43">
        <v>5.2</v>
      </c>
      <c r="DM128" s="43">
        <v>5.6</v>
      </c>
      <c r="DN128" s="43">
        <v>6</v>
      </c>
      <c r="DO128" s="43">
        <v>6.4</v>
      </c>
      <c r="DP128" s="43">
        <v>6.8</v>
      </c>
      <c r="DQ128" s="43">
        <v>7.2</v>
      </c>
      <c r="DR128" s="43">
        <v>7.6</v>
      </c>
      <c r="DS128" s="44">
        <v>8</v>
      </c>
      <c r="DV128" s="42" t="s">
        <v>33</v>
      </c>
      <c r="DW128" s="43">
        <v>0</v>
      </c>
      <c r="DX128" s="43">
        <v>0.4</v>
      </c>
      <c r="DY128" s="43">
        <v>0.8</v>
      </c>
      <c r="DZ128" s="43">
        <v>1.2</v>
      </c>
      <c r="EA128" s="43">
        <v>1.6</v>
      </c>
      <c r="EB128" s="43">
        <v>2</v>
      </c>
      <c r="EC128" s="43">
        <v>2.4</v>
      </c>
      <c r="ED128" s="43">
        <v>2.8</v>
      </c>
      <c r="EE128" s="43">
        <v>3.2</v>
      </c>
      <c r="EF128" s="43">
        <v>3.6</v>
      </c>
      <c r="EG128" s="43">
        <v>4</v>
      </c>
      <c r="EH128" s="43">
        <v>4.4000000000000004</v>
      </c>
      <c r="EI128" s="43">
        <v>4.8</v>
      </c>
      <c r="EJ128" s="43">
        <v>5.2</v>
      </c>
      <c r="EK128" s="43">
        <v>5.6</v>
      </c>
      <c r="EL128" s="43">
        <v>6</v>
      </c>
      <c r="EM128" s="43">
        <v>6.4</v>
      </c>
      <c r="EN128" s="43">
        <v>6.8</v>
      </c>
      <c r="EO128" s="43">
        <v>7.2</v>
      </c>
      <c r="EP128" s="43">
        <v>7.6</v>
      </c>
      <c r="EQ128" s="44">
        <v>8</v>
      </c>
    </row>
    <row r="129" spans="2:147" ht="15" customHeight="1" x14ac:dyDescent="0.25">
      <c r="B129" s="45">
        <v>7.4</v>
      </c>
      <c r="C129" s="46">
        <f>'LINEST VARS'!$U$68+'LINEST VARS'!$T$68*($C$128)+'LINEST VARS'!$S$68*($B129)+'LINEST VARS'!$R$68*(4)+'LINEST VARS'!$Q$68*(0.5)+'LINEST VARS'!$P$68*(12.73)+'LINEST VARS'!$O$68*($C$128^2)+'LINEST VARS'!$N$68*($B129^2)+'LINEST VARS'!$M$68*(4^2)+'LINEST VARS'!$L$68*(0.5^2)+'LINEST VARS'!$K$68*(12.73^2)+'LINEST VARS'!$J$68*($C$128*$B129)+'LINEST VARS'!$I$68*($C$128*4)+'LINEST VARS'!$H$68*($C$128*0.5)+'LINEST VARS'!$G$68*($C$128*12.73)+'LINEST VARS'!$F$68*($B129*4)+'LINEST VARS'!$E$68*($B129*0.5)+'LINEST VARS'!$D$68*($B129*12.73)+'LINEST VARS'!$C$68*(4*0.5)+'LINEST VARS'!$B$68*(4*12.73)+'LINEST VARS'!$A$68*(0.5*12.73)</f>
        <v>148.99999999999997</v>
      </c>
      <c r="D129" s="46">
        <f>'LINEST VARS'!$U$68+'LINEST VARS'!$T$68*($D$128)+'LINEST VARS'!$S$68*($B129)+'LINEST VARS'!$R$68*(4)+'LINEST VARS'!$Q$68*(0.5)+'LINEST VARS'!$P$68*(12.73)+'LINEST VARS'!$O$68*($D$128^2)+'LINEST VARS'!$N$68*($B129^2)+'LINEST VARS'!$M$68*(4^2)+'LINEST VARS'!$L$68*(0.5^2)+'LINEST VARS'!$K$68*(12.73^2)+'LINEST VARS'!$J$68*($D$128*$B129)+'LINEST VARS'!$I$68*($D$128*4)+'LINEST VARS'!$H$68*($D$128*0.5)+'LINEST VARS'!$G$68*($D$128*12.73)+'LINEST VARS'!$F$68*($B129*4)+'LINEST VARS'!$E$68*($B129*0.5)+'LINEST VARS'!$D$68*($B129*12.73)+'LINEST VARS'!$C$68*(4*0.5)+'LINEST VARS'!$B$68*(4*12.73)+'LINEST VARS'!$A$68*(0.5*12.73)</f>
        <v>148.99999999999997</v>
      </c>
      <c r="E129" s="46">
        <f>'LINEST VARS'!$U$68+'LINEST VARS'!$T$68*($E$128)+'LINEST VARS'!$S$68*($B129)+'LINEST VARS'!$R$68*(4)+'LINEST VARS'!$Q$68*(0.5)+'LINEST VARS'!$P$68*(12.73)+'LINEST VARS'!$O$68*($E$128^2)+'LINEST VARS'!$N$68*($B129^2)+'LINEST VARS'!$M$68*(4^2)+'LINEST VARS'!$L$68*(0.5^2)+'LINEST VARS'!$K$68*(12.73^2)+'LINEST VARS'!$J$68*($E$128*$B129)+'LINEST VARS'!$I$68*($E$128*4)+'LINEST VARS'!$H$68*($E$128*0.5)+'LINEST VARS'!$G$68*($E$128*12.73)+'LINEST VARS'!$F$68*($B129*4)+'LINEST VARS'!$E$68*($B129*0.5)+'LINEST VARS'!$D$68*($B129*12.73)+'LINEST VARS'!$C$68*(4*0.5)+'LINEST VARS'!$B$68*(4*12.73)+'LINEST VARS'!$A$68*(0.5*12.73)</f>
        <v>148.99999999999997</v>
      </c>
      <c r="F129" s="46">
        <f>'LINEST VARS'!$U$68+'LINEST VARS'!$T$68*($F$128)+'LINEST VARS'!$S$68*($B129)+'LINEST VARS'!$R$68*(4)+'LINEST VARS'!$Q$68*(0.5)+'LINEST VARS'!$P$68*(12.73)+'LINEST VARS'!$O$68*($F$128^2)+'LINEST VARS'!$N$68*($B129^2)+'LINEST VARS'!$M$68*(4^2)+'LINEST VARS'!$L$68*(0.5^2)+'LINEST VARS'!$K$68*(12.73^2)+'LINEST VARS'!$J$68*($F$128*$B129)+'LINEST VARS'!$I$68*($F$128*4)+'LINEST VARS'!$H$68*($F$128*0.5)+'LINEST VARS'!$G$68*($F$128*12.73)+'LINEST VARS'!$F$68*($B129*4)+'LINEST VARS'!$E$68*($B129*0.5)+'LINEST VARS'!$D$68*($B129*12.73)+'LINEST VARS'!$C$68*(4*0.5)+'LINEST VARS'!$B$68*(4*12.73)+'LINEST VARS'!$A$68*(0.5*12.73)</f>
        <v>148.99999999999997</v>
      </c>
      <c r="G129" s="46">
        <f>'LINEST VARS'!$U$68+'LINEST VARS'!$T$68*($G$128)+'LINEST VARS'!$S$68*($B129)+'LINEST VARS'!$R$68*(4)+'LINEST VARS'!$Q$68*(0.5)+'LINEST VARS'!$P$68*(12.73)+'LINEST VARS'!$O$68*($G$128^2)+'LINEST VARS'!$N$68*($B129^2)+'LINEST VARS'!$M$68*(4^2)+'LINEST VARS'!$L$68*(0.5^2)+'LINEST VARS'!$K$68*(12.73^2)+'LINEST VARS'!$J$68*($G$128*$B129)+'LINEST VARS'!$I$68*($G$128*4)+'LINEST VARS'!$H$68*($G$128*0.5)+'LINEST VARS'!$G$68*($G$128*12.73)+'LINEST VARS'!$F$68*($B129*4)+'LINEST VARS'!$E$68*($B129*0.5)+'LINEST VARS'!$D$68*($B129*12.73)+'LINEST VARS'!$C$68*(4*0.5)+'LINEST VARS'!$B$68*(4*12.73)+'LINEST VARS'!$A$68*(0.5*12.73)</f>
        <v>148.99999999999997</v>
      </c>
      <c r="H129" s="46">
        <f>'LINEST VARS'!$U$68+'LINEST VARS'!$T$68*($H$128)+'LINEST VARS'!$S$68*($B129)+'LINEST VARS'!$R$68*(4)+'LINEST VARS'!$Q$68*(0.5)+'LINEST VARS'!$P$68*(12.73)+'LINEST VARS'!$O$68*($H$128^2)+'LINEST VARS'!$N$68*($B129^2)+'LINEST VARS'!$M$68*(4^2)+'LINEST VARS'!$L$68*(0.5^2)+'LINEST VARS'!$K$68*(12.73^2)+'LINEST VARS'!$J$68*($H$128*$B129)+'LINEST VARS'!$I$68*($H$128*4)+'LINEST VARS'!$H$68*($H$128*0.5)+'LINEST VARS'!$G$68*($H$128*12.73)+'LINEST VARS'!$F$68*($B129*4)+'LINEST VARS'!$E$68*($B129*0.5)+'LINEST VARS'!$D$68*($B129*12.73)+'LINEST VARS'!$C$68*(4*0.5)+'LINEST VARS'!$B$68*(4*12.73)+'LINEST VARS'!$A$68*(0.5*12.73)</f>
        <v>148.99999999999997</v>
      </c>
      <c r="I129" s="46">
        <f>'LINEST VARS'!$U$68+'LINEST VARS'!$T$68*($I$128)+'LINEST VARS'!$S$68*($B129)+'LINEST VARS'!$R$68*(4)+'LINEST VARS'!$Q$68*(0.5)+'LINEST VARS'!$P$68*(12.73)+'LINEST VARS'!$O$68*($I$128^2)+'LINEST VARS'!$N$68*($B129^2)+'LINEST VARS'!$M$68*(4^2)+'LINEST VARS'!$L$68*(0.5^2)+'LINEST VARS'!$K$68*(12.73^2)+'LINEST VARS'!$J$68*($I$128*$B129)+'LINEST VARS'!$I$68*($I$128*4)+'LINEST VARS'!$H$68*($I$128*0.5)+'LINEST VARS'!$G$68*($I$128*12.73)+'LINEST VARS'!$F$68*($B129*4)+'LINEST VARS'!$E$68*($B129*0.5)+'LINEST VARS'!$D$68*($B129*12.73)+'LINEST VARS'!$C$68*(4*0.5)+'LINEST VARS'!$B$68*(4*12.73)+'LINEST VARS'!$A$68*(0.5*12.73)</f>
        <v>148.99999999999997</v>
      </c>
      <c r="J129" s="46">
        <f>'LINEST VARS'!$U$68+'LINEST VARS'!$T$68*($J$128)+'LINEST VARS'!$S$68*($B129)+'LINEST VARS'!$R$68*(4)+'LINEST VARS'!$Q$68*(0.5)+'LINEST VARS'!$P$68*(12.73)+'LINEST VARS'!$O$68*($J$128^2)+'LINEST VARS'!$N$68*($B129^2)+'LINEST VARS'!$M$68*(4^2)+'LINEST VARS'!$L$68*(0.5^2)+'LINEST VARS'!$K$68*(12.73^2)+'LINEST VARS'!$J$68*($J$128*$B129)+'LINEST VARS'!$I$68*($J$128*4)+'LINEST VARS'!$H$68*($J$128*0.5)+'LINEST VARS'!$G$68*($J$128*12.73)+'LINEST VARS'!$F$68*($B129*4)+'LINEST VARS'!$E$68*($B129*0.5)+'LINEST VARS'!$D$68*($B129*12.73)+'LINEST VARS'!$C$68*(4*0.5)+'LINEST VARS'!$B$68*(4*12.73)+'LINEST VARS'!$A$68*(0.5*12.73)</f>
        <v>148.99999999999997</v>
      </c>
      <c r="K129" s="46">
        <f>'LINEST VARS'!$U$68+'LINEST VARS'!$T$68*($K$128)+'LINEST VARS'!$S$68*($B129)+'LINEST VARS'!$R$68*(4)+'LINEST VARS'!$Q$68*(0.5)+'LINEST VARS'!$P$68*(12.73)+'LINEST VARS'!$O$68*($K$128^2)+'LINEST VARS'!$N$68*($B129^2)+'LINEST VARS'!$M$68*(4^2)+'LINEST VARS'!$L$68*(0.5^2)+'LINEST VARS'!$K$68*(12.73^2)+'LINEST VARS'!$J$68*($K$128*$B129)+'LINEST VARS'!$I$68*($K$128*4)+'LINEST VARS'!$H$68*($K$128*0.5)+'LINEST VARS'!$G$68*($K$128*12.73)+'LINEST VARS'!$F$68*($B129*4)+'LINEST VARS'!$E$68*($B129*0.5)+'LINEST VARS'!$D$68*($B129*12.73)+'LINEST VARS'!$C$68*(4*0.5)+'LINEST VARS'!$B$68*(4*12.73)+'LINEST VARS'!$A$68*(0.5*12.73)</f>
        <v>148.99999999999997</v>
      </c>
      <c r="L129" s="46">
        <f>'LINEST VARS'!$U$68+'LINEST VARS'!$T$68*($L$128)+'LINEST VARS'!$S$68*($B129)+'LINEST VARS'!$R$68*(4)+'LINEST VARS'!$Q$68*(0.5)+'LINEST VARS'!$P$68*(12.73)+'LINEST VARS'!$O$68*($L$128^2)+'LINEST VARS'!$N$68*($B129^2)+'LINEST VARS'!$M$68*(4^2)+'LINEST VARS'!$L$68*(0.5^2)+'LINEST VARS'!$K$68*(12.73^2)+'LINEST VARS'!$J$68*($L$128*$B129)+'LINEST VARS'!$I$68*($L$128*4)+'LINEST VARS'!$H$68*($L$128*0.5)+'LINEST VARS'!$G$68*($L$128*12.73)+'LINEST VARS'!$F$68*($B129*4)+'LINEST VARS'!$E$68*($B129*0.5)+'LINEST VARS'!$D$68*($B129*12.73)+'LINEST VARS'!$C$68*(4*0.5)+'LINEST VARS'!$B$68*(4*12.73)+'LINEST VARS'!$A$68*(0.5*12.73)</f>
        <v>148.99999999999997</v>
      </c>
      <c r="M129" s="46">
        <f>'LINEST VARS'!$U$68+'LINEST VARS'!$T$68*($M$128)+'LINEST VARS'!$S$68*($B129)+'LINEST VARS'!$R$68*(4)+'LINEST VARS'!$Q$68*(0.5)+'LINEST VARS'!$P$68*(12.73)+'LINEST VARS'!$O$68*($M$128^2)+'LINEST VARS'!$N$68*($B129^2)+'LINEST VARS'!$M$68*(4^2)+'LINEST VARS'!$L$68*(0.5^2)+'LINEST VARS'!$K$68*(12.73^2)+'LINEST VARS'!$J$68*($M$128*$B129)+'LINEST VARS'!$I$68*($M$128*4)+'LINEST VARS'!$H$68*($M$128*0.5)+'LINEST VARS'!$G$68*($M$128*12.73)+'LINEST VARS'!$F$68*($B129*4)+'LINEST VARS'!$E$68*($B129*0.5)+'LINEST VARS'!$D$68*($B129*12.73)+'LINEST VARS'!$C$68*(4*0.5)+'LINEST VARS'!$B$68*(4*12.73)+'LINEST VARS'!$A$68*(0.5*12.73)</f>
        <v>148.99999999999997</v>
      </c>
      <c r="N129" s="46">
        <f>'LINEST VARS'!$U$68+'LINEST VARS'!$T$68*($N$128)+'LINEST VARS'!$S$68*($B129)+'LINEST VARS'!$R$68*(4)+'LINEST VARS'!$Q$68*(0.5)+'LINEST VARS'!$P$68*(12.73)+'LINEST VARS'!$O$68*($N$128^2)+'LINEST VARS'!$N$68*($B129^2)+'LINEST VARS'!$M$68*(4^2)+'LINEST VARS'!$L$68*(0.5^2)+'LINEST VARS'!$K$68*(12.73^2)+'LINEST VARS'!$J$68*($N$128*$B129)+'LINEST VARS'!$I$68*($N$128*4)+'LINEST VARS'!$H$68*($N$128*0.5)+'LINEST VARS'!$G$68*($N$128*12.73)+'LINEST VARS'!$F$68*($B129*4)+'LINEST VARS'!$E$68*($B129*0.5)+'LINEST VARS'!$D$68*($B129*12.73)+'LINEST VARS'!$C$68*(4*0.5)+'LINEST VARS'!$B$68*(4*12.73)+'LINEST VARS'!$A$68*(0.5*12.73)</f>
        <v>148.99999999999997</v>
      </c>
      <c r="O129" s="46">
        <f>'LINEST VARS'!$U$68+'LINEST VARS'!$T$68*($O$128)+'LINEST VARS'!$S$68*($B129)+'LINEST VARS'!$R$68*(4)+'LINEST VARS'!$Q$68*(0.5)+'LINEST VARS'!$P$68*(12.73)+'LINEST VARS'!$O$68*($O$128^2)+'LINEST VARS'!$N$68*($B129^2)+'LINEST VARS'!$M$68*(4^2)+'LINEST VARS'!$L$68*(0.5^2)+'LINEST VARS'!$K$68*(12.73^2)+'LINEST VARS'!$J$68*($O$128*$B129)+'LINEST VARS'!$I$68*($O$128*4)+'LINEST VARS'!$H$68*($O$128*0.5)+'LINEST VARS'!$G$68*($O$128*12.73)+'LINEST VARS'!$F$68*($B129*4)+'LINEST VARS'!$E$68*($B129*0.5)+'LINEST VARS'!$D$68*($B129*12.73)+'LINEST VARS'!$C$68*(4*0.5)+'LINEST VARS'!$B$68*(4*12.73)+'LINEST VARS'!$A$68*(0.5*12.73)</f>
        <v>148.99999999999997</v>
      </c>
      <c r="P129" s="46">
        <f>'LINEST VARS'!$U$68+'LINEST VARS'!$T$68*($P$128)+'LINEST VARS'!$S$68*($B129)+'LINEST VARS'!$R$68*(4)+'LINEST VARS'!$Q$68*(0.5)+'LINEST VARS'!$P$68*(12.73)+'LINEST VARS'!$O$68*($P$128^2)+'LINEST VARS'!$N$68*($B129^2)+'LINEST VARS'!$M$68*(4^2)+'LINEST VARS'!$L$68*(0.5^2)+'LINEST VARS'!$K$68*(12.73^2)+'LINEST VARS'!$J$68*($P$128*$B129)+'LINEST VARS'!$I$68*($P$128*4)+'LINEST VARS'!$H$68*($P$128*0.5)+'LINEST VARS'!$G$68*($P$128*12.73)+'LINEST VARS'!$F$68*($B129*4)+'LINEST VARS'!$E$68*($B129*0.5)+'LINEST VARS'!$D$68*($B129*12.73)+'LINEST VARS'!$C$68*(4*0.5)+'LINEST VARS'!$B$68*(4*12.73)+'LINEST VARS'!$A$68*(0.5*12.73)</f>
        <v>148.99999999999997</v>
      </c>
      <c r="Q129" s="46">
        <f>'LINEST VARS'!$U$68+'LINEST VARS'!$T$68*($Q$128)+'LINEST VARS'!$S$68*($B129)+'LINEST VARS'!$R$68*(4)+'LINEST VARS'!$Q$68*(0.5)+'LINEST VARS'!$P$68*(12.73)+'LINEST VARS'!$O$68*($Q$128^2)+'LINEST VARS'!$N$68*($B129^2)+'LINEST VARS'!$M$68*(4^2)+'LINEST VARS'!$L$68*(0.5^2)+'LINEST VARS'!$K$68*(12.73^2)+'LINEST VARS'!$J$68*($Q$128*$B129)+'LINEST VARS'!$I$68*($Q$128*4)+'LINEST VARS'!$H$68*($Q$128*0.5)+'LINEST VARS'!$G$68*($Q$128*12.73)+'LINEST VARS'!$F$68*($B129*4)+'LINEST VARS'!$E$68*($B129*0.5)+'LINEST VARS'!$D$68*($B129*12.73)+'LINEST VARS'!$C$68*(4*0.5)+'LINEST VARS'!$B$68*(4*12.73)+'LINEST VARS'!$A$68*(0.5*12.73)</f>
        <v>148.99999999999997</v>
      </c>
      <c r="R129" s="46">
        <f>'LINEST VARS'!$U$68+'LINEST VARS'!$T$68*($R$128)+'LINEST VARS'!$S$68*($B129)+'LINEST VARS'!$R$68*(4)+'LINEST VARS'!$Q$68*(0.5)+'LINEST VARS'!$P$68*(12.73)+'LINEST VARS'!$O$68*($R$128^2)+'LINEST VARS'!$N$68*($B129^2)+'LINEST VARS'!$M$68*(4^2)+'LINEST VARS'!$L$68*(0.5^2)+'LINEST VARS'!$K$68*(12.73^2)+'LINEST VARS'!$J$68*($R$128*$B129)+'LINEST VARS'!$I$68*($R$128*4)+'LINEST VARS'!$H$68*($R$128*0.5)+'LINEST VARS'!$G$68*($R$128*12.73)+'LINEST VARS'!$F$68*($B129*4)+'LINEST VARS'!$E$68*($B129*0.5)+'LINEST VARS'!$D$68*($B129*12.73)+'LINEST VARS'!$C$68*(4*0.5)+'LINEST VARS'!$B$68*(4*12.73)+'LINEST VARS'!$A$68*(0.5*12.73)</f>
        <v>148.99999999999997</v>
      </c>
      <c r="S129" s="46">
        <f>'LINEST VARS'!$U$68+'LINEST VARS'!$T$68*($S$128)+'LINEST VARS'!$S$68*($B129)+'LINEST VARS'!$R$68*(4)+'LINEST VARS'!$Q$68*(0.5)+'LINEST VARS'!$P$68*(12.73)+'LINEST VARS'!$O$68*($S$128^2)+'LINEST VARS'!$N$68*($B129^2)+'LINEST VARS'!$M$68*(4^2)+'LINEST VARS'!$L$68*(0.5^2)+'LINEST VARS'!$K$68*(12.73^2)+'LINEST VARS'!$J$68*($S$128*$B129)+'LINEST VARS'!$I$68*($S$128*4)+'LINEST VARS'!$H$68*($S$128*0.5)+'LINEST VARS'!$G$68*($S$128*12.73)+'LINEST VARS'!$F$68*($B129*4)+'LINEST VARS'!$E$68*($B129*0.5)+'LINEST VARS'!$D$68*($B129*12.73)+'LINEST VARS'!$C$68*(4*0.5)+'LINEST VARS'!$B$68*(4*12.73)+'LINEST VARS'!$A$68*(0.5*12.73)</f>
        <v>148.99999999999997</v>
      </c>
      <c r="T129" s="46">
        <f>'LINEST VARS'!$U$68+'LINEST VARS'!$T$68*($T$128)+'LINEST VARS'!$S$68*($B129)+'LINEST VARS'!$R$68*(4)+'LINEST VARS'!$Q$68*(0.5)+'LINEST VARS'!$P$68*(12.73)+'LINEST VARS'!$O$68*($T$128^2)+'LINEST VARS'!$N$68*($B129^2)+'LINEST VARS'!$M$68*(4^2)+'LINEST VARS'!$L$68*(0.5^2)+'LINEST VARS'!$K$68*(12.73^2)+'LINEST VARS'!$J$68*($T$128*$B129)+'LINEST VARS'!$I$68*($T$128*4)+'LINEST VARS'!$H$68*($T$128*0.5)+'LINEST VARS'!$G$68*($T$128*12.73)+'LINEST VARS'!$F$68*($B129*4)+'LINEST VARS'!$E$68*($B129*0.5)+'LINEST VARS'!$D$68*($B129*12.73)+'LINEST VARS'!$C$68*(4*0.5)+'LINEST VARS'!$B$68*(4*12.73)+'LINEST VARS'!$A$68*(0.5*12.73)</f>
        <v>148.99999999999997</v>
      </c>
      <c r="U129" s="46">
        <f>'LINEST VARS'!$U$68+'LINEST VARS'!$T$68*($U$128)+'LINEST VARS'!$S$68*($B129)+'LINEST VARS'!$R$68*(4)+'LINEST VARS'!$Q$68*(0.5)+'LINEST VARS'!$P$68*(12.73)+'LINEST VARS'!$O$68*($U$128^2)+'LINEST VARS'!$N$68*($B129^2)+'LINEST VARS'!$M$68*(4^2)+'LINEST VARS'!$L$68*(0.5^2)+'LINEST VARS'!$K$68*(12.73^2)+'LINEST VARS'!$J$68*($U$128*$B129)+'LINEST VARS'!$I$68*($U$128*4)+'LINEST VARS'!$H$68*($U$128*0.5)+'LINEST VARS'!$G$68*($U$128*12.73)+'LINEST VARS'!$F$68*($B129*4)+'LINEST VARS'!$E$68*($B129*0.5)+'LINEST VARS'!$D$68*($B129*12.73)+'LINEST VARS'!$C$68*(4*0.5)+'LINEST VARS'!$B$68*(4*12.73)+'LINEST VARS'!$A$68*(0.5*12.73)</f>
        <v>148.99999999999997</v>
      </c>
      <c r="V129" s="46">
        <f>'LINEST VARS'!$U$68+'LINEST VARS'!$T$68*($V$128)+'LINEST VARS'!$S$68*($B129)+'LINEST VARS'!$R$68*(4)+'LINEST VARS'!$Q$68*(0.5)+'LINEST VARS'!$P$68*(12.73)+'LINEST VARS'!$O$68*($V$128^2)+'LINEST VARS'!$N$68*($B129^2)+'LINEST VARS'!$M$68*(4^2)+'LINEST VARS'!$L$68*(0.5^2)+'LINEST VARS'!$K$68*(12.73^2)+'LINEST VARS'!$J$68*($V$128*$B129)+'LINEST VARS'!$I$68*($V$128*4)+'LINEST VARS'!$H$68*($V$128*0.5)+'LINEST VARS'!$G$68*($V$128*12.73)+'LINEST VARS'!$F$68*($B129*4)+'LINEST VARS'!$E$68*($B129*0.5)+'LINEST VARS'!$D$68*($B129*12.73)+'LINEST VARS'!$C$68*(4*0.5)+'LINEST VARS'!$B$68*(4*12.73)+'LINEST VARS'!$A$68*(0.5*12.73)</f>
        <v>148.99999999999997</v>
      </c>
      <c r="W129" s="47">
        <f>'LINEST VARS'!$U$68+'LINEST VARS'!$T$68*($W$128)+'LINEST VARS'!$S$68*($B129)+'LINEST VARS'!$R$68*(4)+'LINEST VARS'!$Q$68*(0.5)+'LINEST VARS'!$P$68*(12.73)+'LINEST VARS'!$O$68*($W$128^2)+'LINEST VARS'!$N$68*($B129^2)+'LINEST VARS'!$M$68*(4^2)+'LINEST VARS'!$L$68*(0.5^2)+'LINEST VARS'!$K$68*(12.73^2)+'LINEST VARS'!$J$68*($W$128*$B129)+'LINEST VARS'!$I$68*($W$128*4)+'LINEST VARS'!$H$68*($W$128*0.5)+'LINEST VARS'!$G$68*($W$128*12.73)+'LINEST VARS'!$F$68*($B129*4)+'LINEST VARS'!$E$68*($B129*0.5)+'LINEST VARS'!$D$68*($B129*12.73)+'LINEST VARS'!$C$68*(4*0.5)+'LINEST VARS'!$B$68*(4*12.73)+'LINEST VARS'!$A$68*(0.5*12.73)</f>
        <v>148.99999999999997</v>
      </c>
      <c r="Z129" s="45">
        <v>7.4</v>
      </c>
      <c r="AA129" s="46">
        <f>'LINEST VARS'!$U$70+'LINEST VARS'!$T$70*($AA$128)+'LINEST VARS'!$S$70*($Z129)+'LINEST VARS'!$R$70*(4)+'LINEST VARS'!$Q$70*(0.5)+'LINEST VARS'!$P$70*(12.73)+'LINEST VARS'!$O$70*($AA$128^2)+'LINEST VARS'!$N$70*($Z129^2)+'LINEST VARS'!$M$70*(4^2)+'LINEST VARS'!$L$70*(0.5^2)+'LINEST VARS'!$K$70*(12.73^2)+'LINEST VARS'!$J$70*($AA$128*$Z129)+'LINEST VARS'!$I$70*($AA$128*4)+'LINEST VARS'!$H$70*($AA$128*0.5)+'LINEST VARS'!$G$70*($AA$128*12.73)+'LINEST VARS'!$F$70*($Z129*4)+'LINEST VARS'!$E$70*($Z129*0.5)+'LINEST VARS'!$D$70*($Z129*12.73)+'LINEST VARS'!$C$70*(4*0.5)+'LINEST VARS'!$B$70*(4*12.73)+'LINEST VARS'!$A$70*(0.5*12.73)</f>
        <v>87.100000000000037</v>
      </c>
      <c r="AB129" s="46">
        <f>'LINEST VARS'!$U$70+'LINEST VARS'!$T$70*($AB$128)+'LINEST VARS'!$S$70*($Z129)+'LINEST VARS'!$R$70*(4)+'LINEST VARS'!$Q$70*(0.5)+'LINEST VARS'!$P$70*(12.73)+'LINEST VARS'!$O$70*($AB$128^2)+'LINEST VARS'!$N$70*($Z129^2)+'LINEST VARS'!$M$70*(4^2)+'LINEST VARS'!$L$70*(0.5^2)+'LINEST VARS'!$K$70*(12.73^2)+'LINEST VARS'!$J$70*($AB$128*$Z129)+'LINEST VARS'!$I$70*($AB$128*4)+'LINEST VARS'!$H$70*($AB$128*0.5)+'LINEST VARS'!$G$70*($AB$128*12.73)+'LINEST VARS'!$F$70*($Z129*4)+'LINEST VARS'!$E$70*($Z129*0.5)+'LINEST VARS'!$D$70*($Z129*12.73)+'LINEST VARS'!$C$70*(4*0.5)+'LINEST VARS'!$B$70*(4*12.73)+'LINEST VARS'!$A$70*(0.5*12.73)</f>
        <v>87.100000000000037</v>
      </c>
      <c r="AC129" s="46">
        <f>'LINEST VARS'!$U$70+'LINEST VARS'!$T$70*($AC$128)+'LINEST VARS'!$S$70*($Z129)+'LINEST VARS'!$R$70*(4)+'LINEST VARS'!$Q$70*(0.5)+'LINEST VARS'!$P$70*(12.73)+'LINEST VARS'!$O$70*($AC$128^2)+'LINEST VARS'!$N$70*($Z129^2)+'LINEST VARS'!$M$70*(4^2)+'LINEST VARS'!$L$70*(0.5^2)+'LINEST VARS'!$K$70*(12.73^2)+'LINEST VARS'!$J$70*($AC$128*$Z129)+'LINEST VARS'!$I$70*($AC$128*4)+'LINEST VARS'!$H$70*($AC$128*0.5)+'LINEST VARS'!$G$70*($AC$128*12.73)+'LINEST VARS'!$F$70*($Z129*4)+'LINEST VARS'!$E$70*($Z129*0.5)+'LINEST VARS'!$D$70*($Z129*12.73)+'LINEST VARS'!$C$70*(4*0.5)+'LINEST VARS'!$B$70*(4*12.73)+'LINEST VARS'!$A$70*(0.5*12.73)</f>
        <v>87.100000000000037</v>
      </c>
      <c r="AD129" s="46">
        <f>'LINEST VARS'!$U$70+'LINEST VARS'!$T$70*($AD$128)+'LINEST VARS'!$S$70*($Z129)+'LINEST VARS'!$R$70*(4)+'LINEST VARS'!$Q$70*(0.5)+'LINEST VARS'!$P$70*(12.73)+'LINEST VARS'!$O$70*($AD$128^2)+'LINEST VARS'!$N$70*($Z129^2)+'LINEST VARS'!$M$70*(4^2)+'LINEST VARS'!$L$70*(0.5^2)+'LINEST VARS'!$K$70*(12.73^2)+'LINEST VARS'!$J$70*($AD$128*$Z129)+'LINEST VARS'!$I$70*($AD$128*4)+'LINEST VARS'!$H$70*($AD$128*0.5)+'LINEST VARS'!$G$70*($AD$128*12.73)+'LINEST VARS'!$F$70*($Z129*4)+'LINEST VARS'!$E$70*($Z129*0.5)+'LINEST VARS'!$D$70*($Z129*12.73)+'LINEST VARS'!$C$70*(4*0.5)+'LINEST VARS'!$B$70*(4*12.73)+'LINEST VARS'!$A$70*(0.5*12.73)</f>
        <v>87.100000000000037</v>
      </c>
      <c r="AE129" s="46">
        <f>'LINEST VARS'!$U$70+'LINEST VARS'!$T$70*($AE$128)+'LINEST VARS'!$S$70*($Z129)+'LINEST VARS'!$R$70*(4)+'LINEST VARS'!$Q$70*(0.5)+'LINEST VARS'!$P$70*(12.73)+'LINEST VARS'!$O$70*($AE$128^2)+'LINEST VARS'!$N$70*($Z129^2)+'LINEST VARS'!$M$70*(4^2)+'LINEST VARS'!$L$70*(0.5^2)+'LINEST VARS'!$K$70*(12.73^2)+'LINEST VARS'!$J$70*($AE$128*$Z129)+'LINEST VARS'!$I$70*($AE$128*4)+'LINEST VARS'!$H$70*($AE$128*0.5)+'LINEST VARS'!$G$70*($AE$128*12.73)+'LINEST VARS'!$F$70*($Z129*4)+'LINEST VARS'!$E$70*($Z129*0.5)+'LINEST VARS'!$D$70*($Z129*12.73)+'LINEST VARS'!$C$70*(4*0.5)+'LINEST VARS'!$B$70*(4*12.73)+'LINEST VARS'!$A$70*(0.5*12.73)</f>
        <v>87.100000000000037</v>
      </c>
      <c r="AF129" s="46">
        <f>'LINEST VARS'!$U$70+'LINEST VARS'!$T$70*($AF$128)+'LINEST VARS'!$S$70*($Z129)+'LINEST VARS'!$R$70*(4)+'LINEST VARS'!$Q$70*(0.5)+'LINEST VARS'!$P$70*(12.73)+'LINEST VARS'!$O$70*($AF$128^2)+'LINEST VARS'!$N$70*($Z129^2)+'LINEST VARS'!$M$70*(4^2)+'LINEST VARS'!$L$70*(0.5^2)+'LINEST VARS'!$K$70*(12.73^2)+'LINEST VARS'!$J$70*($AF$128*$Z129)+'LINEST VARS'!$I$70*($AF$128*4)+'LINEST VARS'!$H$70*($AF$128*0.5)+'LINEST VARS'!$G$70*($AF$128*12.73)+'LINEST VARS'!$F$70*($Z129*4)+'LINEST VARS'!$E$70*($Z129*0.5)+'LINEST VARS'!$D$70*($Z129*12.73)+'LINEST VARS'!$C$70*(4*0.5)+'LINEST VARS'!$B$70*(4*12.73)+'LINEST VARS'!$A$70*(0.5*12.73)</f>
        <v>87.100000000000009</v>
      </c>
      <c r="AG129" s="46">
        <f>'LINEST VARS'!$U$70+'LINEST VARS'!$T$70*($AG$128)+'LINEST VARS'!$S$70*($Z129)+'LINEST VARS'!$R$70*(4)+'LINEST VARS'!$Q$70*(0.5)+'LINEST VARS'!$P$70*(12.73)+'LINEST VARS'!$O$70*($AG$128^2)+'LINEST VARS'!$N$70*($Z129^2)+'LINEST VARS'!$M$70*(4^2)+'LINEST VARS'!$L$70*(0.5^2)+'LINEST VARS'!$K$70*(12.73^2)+'LINEST VARS'!$J$70*($AG$128*$Z129)+'LINEST VARS'!$I$70*($AG$128*4)+'LINEST VARS'!$H$70*($AG$128*0.5)+'LINEST VARS'!$G$70*($AG$128*12.73)+'LINEST VARS'!$F$70*($Z129*4)+'LINEST VARS'!$E$70*($Z129*0.5)+'LINEST VARS'!$D$70*($Z129*12.73)+'LINEST VARS'!$C$70*(4*0.5)+'LINEST VARS'!$B$70*(4*12.73)+'LINEST VARS'!$A$70*(0.5*12.73)</f>
        <v>87.100000000000009</v>
      </c>
      <c r="AH129" s="46">
        <f>'LINEST VARS'!$U$70+'LINEST VARS'!$T$70*($AH$128)+'LINEST VARS'!$S$70*($Z129)+'LINEST VARS'!$R$70*(4)+'LINEST VARS'!$Q$70*(0.5)+'LINEST VARS'!$P$70*(12.73)+'LINEST VARS'!$O$70*($AH$128^2)+'LINEST VARS'!$N$70*($Z129^2)+'LINEST VARS'!$M$70*(4^2)+'LINEST VARS'!$L$70*(0.5^2)+'LINEST VARS'!$K$70*(12.73^2)+'LINEST VARS'!$J$70*($AH$128*$Z129)+'LINEST VARS'!$I$70*($AH$128*4)+'LINEST VARS'!$H$70*($AH$128*0.5)+'LINEST VARS'!$G$70*($AH$128*12.73)+'LINEST VARS'!$F$70*($Z129*4)+'LINEST VARS'!$E$70*($Z129*0.5)+'LINEST VARS'!$D$70*($Z129*12.73)+'LINEST VARS'!$C$70*(4*0.5)+'LINEST VARS'!$B$70*(4*12.73)+'LINEST VARS'!$A$70*(0.5*12.73)</f>
        <v>87.100000000000009</v>
      </c>
      <c r="AI129" s="46">
        <f>'LINEST VARS'!$U$70+'LINEST VARS'!$T$70*($AI$128)+'LINEST VARS'!$S$70*($Z129)+'LINEST VARS'!$R$70*(4)+'LINEST VARS'!$Q$70*(0.5)+'LINEST VARS'!$P$70*(12.73)+'LINEST VARS'!$O$70*($AI$128^2)+'LINEST VARS'!$N$70*($Z129^2)+'LINEST VARS'!$M$70*(4^2)+'LINEST VARS'!$L$70*(0.5^2)+'LINEST VARS'!$K$70*(12.73^2)+'LINEST VARS'!$J$70*($AI$128*$Z129)+'LINEST VARS'!$I$70*($AI$128*4)+'LINEST VARS'!$H$70*($AI$128*0.5)+'LINEST VARS'!$G$70*($AI$128*12.73)+'LINEST VARS'!$F$70*($Z129*4)+'LINEST VARS'!$E$70*($Z129*0.5)+'LINEST VARS'!$D$70*($Z129*12.73)+'LINEST VARS'!$C$70*(4*0.5)+'LINEST VARS'!$B$70*(4*12.73)+'LINEST VARS'!$A$70*(0.5*12.73)</f>
        <v>87.100000000000009</v>
      </c>
      <c r="AJ129" s="46">
        <f>'LINEST VARS'!$U$70+'LINEST VARS'!$T$70*($AJ$128)+'LINEST VARS'!$S$70*($Z129)+'LINEST VARS'!$R$70*(4)+'LINEST VARS'!$Q$70*(0.5)+'LINEST VARS'!$P$70*(12.73)+'LINEST VARS'!$O$70*($AJ$128^2)+'LINEST VARS'!$N$70*($Z129^2)+'LINEST VARS'!$M$70*(4^2)+'LINEST VARS'!$L$70*(0.5^2)+'LINEST VARS'!$K$70*(12.73^2)+'LINEST VARS'!$J$70*($AJ$128*$Z129)+'LINEST VARS'!$I$70*($AJ$128*4)+'LINEST VARS'!$H$70*($AJ$128*0.5)+'LINEST VARS'!$G$70*($AJ$128*12.73)+'LINEST VARS'!$F$70*($Z129*4)+'LINEST VARS'!$E$70*($Z129*0.5)+'LINEST VARS'!$D$70*($Z129*12.73)+'LINEST VARS'!$C$70*(4*0.5)+'LINEST VARS'!$B$70*(4*12.73)+'LINEST VARS'!$A$70*(0.5*12.73)</f>
        <v>87.100000000000009</v>
      </c>
      <c r="AK129" s="46">
        <f>'LINEST VARS'!$U$70+'LINEST VARS'!$T$70*($AK$128)+'LINEST VARS'!$S$70*($Z129)+'LINEST VARS'!$R$70*(4)+'LINEST VARS'!$Q$70*(0.5)+'LINEST VARS'!$P$70*(12.73)+'LINEST VARS'!$O$70*($AK$128^2)+'LINEST VARS'!$N$70*($Z129^2)+'LINEST VARS'!$M$70*(4^2)+'LINEST VARS'!$L$70*(0.5^2)+'LINEST VARS'!$K$70*(12.73^2)+'LINEST VARS'!$J$70*($AK$128*$Z129)+'LINEST VARS'!$I$70*($AK$128*4)+'LINEST VARS'!$H$70*($AK$128*0.5)+'LINEST VARS'!$G$70*($AK$128*12.73)+'LINEST VARS'!$F$70*($Z129*4)+'LINEST VARS'!$E$70*($Z129*0.5)+'LINEST VARS'!$D$70*($Z129*12.73)+'LINEST VARS'!$C$70*(4*0.5)+'LINEST VARS'!$B$70*(4*12.73)+'LINEST VARS'!$A$70*(0.5*12.73)</f>
        <v>87.100000000000009</v>
      </c>
      <c r="AL129" s="46">
        <f>'LINEST VARS'!$U$70+'LINEST VARS'!$T$70*($AL$128)+'LINEST VARS'!$S$70*($Z129)+'LINEST VARS'!$R$70*(4)+'LINEST VARS'!$Q$70*(0.5)+'LINEST VARS'!$P$70*(12.73)+'LINEST VARS'!$O$70*($AL$128^2)+'LINEST VARS'!$N$70*($Z129^2)+'LINEST VARS'!$M$70*(4^2)+'LINEST VARS'!$L$70*(0.5^2)+'LINEST VARS'!$K$70*(12.73^2)+'LINEST VARS'!$J$70*($AL$128*$Z129)+'LINEST VARS'!$I$70*($AL$128*4)+'LINEST VARS'!$H$70*($AL$128*0.5)+'LINEST VARS'!$G$70*($AL$128*12.73)+'LINEST VARS'!$F$70*($Z129*4)+'LINEST VARS'!$E$70*($Z129*0.5)+'LINEST VARS'!$D$70*($Z129*12.73)+'LINEST VARS'!$C$70*(4*0.5)+'LINEST VARS'!$B$70*(4*12.73)+'LINEST VARS'!$A$70*(0.5*12.73)</f>
        <v>87.100000000000009</v>
      </c>
      <c r="AM129" s="46">
        <f>'LINEST VARS'!$U$70+'LINEST VARS'!$T$70*($AM$128)+'LINEST VARS'!$S$70*($Z129)+'LINEST VARS'!$R$70*(4)+'LINEST VARS'!$Q$70*(0.5)+'LINEST VARS'!$P$70*(12.73)+'LINEST VARS'!$O$70*($AM$128^2)+'LINEST VARS'!$N$70*($Z129^2)+'LINEST VARS'!$M$70*(4^2)+'LINEST VARS'!$L$70*(0.5^2)+'LINEST VARS'!$K$70*(12.73^2)+'LINEST VARS'!$J$70*($AM$128*$Z129)+'LINEST VARS'!$I$70*($AM$128*4)+'LINEST VARS'!$H$70*($AM$128*0.5)+'LINEST VARS'!$G$70*($AM$128*12.73)+'LINEST VARS'!$F$70*($Z129*4)+'LINEST VARS'!$E$70*($Z129*0.5)+'LINEST VARS'!$D$70*($Z129*12.73)+'LINEST VARS'!$C$70*(4*0.5)+'LINEST VARS'!$B$70*(4*12.73)+'LINEST VARS'!$A$70*(0.5*12.73)</f>
        <v>87.100000000000009</v>
      </c>
      <c r="AN129" s="46">
        <f>'LINEST VARS'!$U$70+'LINEST VARS'!$T$70*($AN$128)+'LINEST VARS'!$S$70*($Z129)+'LINEST VARS'!$R$70*(4)+'LINEST VARS'!$Q$70*(0.5)+'LINEST VARS'!$P$70*(12.73)+'LINEST VARS'!$O$70*($AN$128^2)+'LINEST VARS'!$N$70*($Z129^2)+'LINEST VARS'!$M$70*(4^2)+'LINEST VARS'!$L$70*(0.5^2)+'LINEST VARS'!$K$70*(12.73^2)+'LINEST VARS'!$J$70*($AN$128*$Z129)+'LINEST VARS'!$I$70*($AN$128*4)+'LINEST VARS'!$H$70*($AN$128*0.5)+'LINEST VARS'!$G$70*($AN$128*12.73)+'LINEST VARS'!$F$70*($Z129*4)+'LINEST VARS'!$E$70*($Z129*0.5)+'LINEST VARS'!$D$70*($Z129*12.73)+'LINEST VARS'!$C$70*(4*0.5)+'LINEST VARS'!$B$70*(4*12.73)+'LINEST VARS'!$A$70*(0.5*12.73)</f>
        <v>87.100000000000009</v>
      </c>
      <c r="AO129" s="46">
        <f>'LINEST VARS'!$U$70+'LINEST VARS'!$T$70*($AO$128)+'LINEST VARS'!$S$70*($Z129)+'LINEST VARS'!$R$70*(4)+'LINEST VARS'!$Q$70*(0.5)+'LINEST VARS'!$P$70*(12.73)+'LINEST VARS'!$O$70*($AO$128^2)+'LINEST VARS'!$N$70*($Z129^2)+'LINEST VARS'!$M$70*(4^2)+'LINEST VARS'!$L$70*(0.5^2)+'LINEST VARS'!$K$70*(12.73^2)+'LINEST VARS'!$J$70*($AO$128*$Z129)+'LINEST VARS'!$I$70*($AO$128*4)+'LINEST VARS'!$H$70*($AO$128*0.5)+'LINEST VARS'!$G$70*($AO$128*12.73)+'LINEST VARS'!$F$70*($Z129*4)+'LINEST VARS'!$E$70*($Z129*0.5)+'LINEST VARS'!$D$70*($Z129*12.73)+'LINEST VARS'!$C$70*(4*0.5)+'LINEST VARS'!$B$70*(4*12.73)+'LINEST VARS'!$A$70*(0.5*12.73)</f>
        <v>87.100000000000009</v>
      </c>
      <c r="AP129" s="46">
        <f>'LINEST VARS'!$U$70+'LINEST VARS'!$T$70*($AP$128)+'LINEST VARS'!$S$70*($Z129)+'LINEST VARS'!$R$70*(4)+'LINEST VARS'!$Q$70*(0.5)+'LINEST VARS'!$P$70*(12.73)+'LINEST VARS'!$O$70*($AP$128^2)+'LINEST VARS'!$N$70*($Z129^2)+'LINEST VARS'!$M$70*(4^2)+'LINEST VARS'!$L$70*(0.5^2)+'LINEST VARS'!$K$70*(12.73^2)+'LINEST VARS'!$J$70*($AP$128*$Z129)+'LINEST VARS'!$I$70*($AP$128*4)+'LINEST VARS'!$H$70*($AP$128*0.5)+'LINEST VARS'!$G$70*($AP$128*12.73)+'LINEST VARS'!$F$70*($Z129*4)+'LINEST VARS'!$E$70*($Z129*0.5)+'LINEST VARS'!$D$70*($Z129*12.73)+'LINEST VARS'!$C$70*(4*0.5)+'LINEST VARS'!$B$70*(4*12.73)+'LINEST VARS'!$A$70*(0.5*12.73)</f>
        <v>87.100000000000009</v>
      </c>
      <c r="AQ129" s="46">
        <f>'LINEST VARS'!$U$70+'LINEST VARS'!$T$70*($AQ$128)+'LINEST VARS'!$S$70*($Z129)+'LINEST VARS'!$R$70*(4)+'LINEST VARS'!$Q$70*(0.5)+'LINEST VARS'!$P$70*(12.73)+'LINEST VARS'!$O$70*($AQ$128^2)+'LINEST VARS'!$N$70*($Z129^2)+'LINEST VARS'!$M$70*(4^2)+'LINEST VARS'!$L$70*(0.5^2)+'LINEST VARS'!$K$70*(12.73^2)+'LINEST VARS'!$J$70*($AQ$128*$Z129)+'LINEST VARS'!$I$70*($AQ$128*4)+'LINEST VARS'!$H$70*($AQ$128*0.5)+'LINEST VARS'!$G$70*($AQ$128*12.73)+'LINEST VARS'!$F$70*($Z129*4)+'LINEST VARS'!$E$70*($Z129*0.5)+'LINEST VARS'!$D$70*($Z129*12.73)+'LINEST VARS'!$C$70*(4*0.5)+'LINEST VARS'!$B$70*(4*12.73)+'LINEST VARS'!$A$70*(0.5*12.73)</f>
        <v>87.100000000000009</v>
      </c>
      <c r="AR129" s="46">
        <f>'LINEST VARS'!$U$70+'LINEST VARS'!$T$70*($AR$128)+'LINEST VARS'!$S$70*($Z129)+'LINEST VARS'!$R$70*(4)+'LINEST VARS'!$Q$70*(0.5)+'LINEST VARS'!$P$70*(12.73)+'LINEST VARS'!$O$70*($AR$128^2)+'LINEST VARS'!$N$70*($Z129^2)+'LINEST VARS'!$M$70*(4^2)+'LINEST VARS'!$L$70*(0.5^2)+'LINEST VARS'!$K$70*(12.73^2)+'LINEST VARS'!$J$70*($AR$128*$Z129)+'LINEST VARS'!$I$70*($AR$128*4)+'LINEST VARS'!$H$70*($AR$128*0.5)+'LINEST VARS'!$G$70*($AR$128*12.73)+'LINEST VARS'!$F$70*($Z129*4)+'LINEST VARS'!$E$70*($Z129*0.5)+'LINEST VARS'!$D$70*($Z129*12.73)+'LINEST VARS'!$C$70*(4*0.5)+'LINEST VARS'!$B$70*(4*12.73)+'LINEST VARS'!$A$70*(0.5*12.73)</f>
        <v>87.100000000000009</v>
      </c>
      <c r="AS129" s="46">
        <f>'LINEST VARS'!$U$70+'LINEST VARS'!$T$70*($AS$128)+'LINEST VARS'!$S$70*($Z129)+'LINEST VARS'!$R$70*(4)+'LINEST VARS'!$Q$70*(0.5)+'LINEST VARS'!$P$70*(12.73)+'LINEST VARS'!$O$70*($AS$128^2)+'LINEST VARS'!$N$70*($Z129^2)+'LINEST VARS'!$M$70*(4^2)+'LINEST VARS'!$L$70*(0.5^2)+'LINEST VARS'!$K$70*(12.73^2)+'LINEST VARS'!$J$70*($AS$128*$Z129)+'LINEST VARS'!$I$70*($AS$128*4)+'LINEST VARS'!$H$70*($AS$128*0.5)+'LINEST VARS'!$G$70*($AS$128*12.73)+'LINEST VARS'!$F$70*($Z129*4)+'LINEST VARS'!$E$70*($Z129*0.5)+'LINEST VARS'!$D$70*($Z129*12.73)+'LINEST VARS'!$C$70*(4*0.5)+'LINEST VARS'!$B$70*(4*12.73)+'LINEST VARS'!$A$70*(0.5*12.73)</f>
        <v>87.100000000000009</v>
      </c>
      <c r="AT129" s="46">
        <f>'LINEST VARS'!$U$70+'LINEST VARS'!$T$70*($AT$128)+'LINEST VARS'!$S$70*($Z129)+'LINEST VARS'!$R$70*(4)+'LINEST VARS'!$Q$70*(0.5)+'LINEST VARS'!$P$70*(12.73)+'LINEST VARS'!$O$70*($AT$128^2)+'LINEST VARS'!$N$70*($Z129^2)+'LINEST VARS'!$M$70*(4^2)+'LINEST VARS'!$L$70*(0.5^2)+'LINEST VARS'!$K$70*(12.73^2)+'LINEST VARS'!$J$70*($AT$128*$Z129)+'LINEST VARS'!$I$70*($AT$128*4)+'LINEST VARS'!$H$70*($AT$128*0.5)+'LINEST VARS'!$G$70*($AT$128*12.73)+'LINEST VARS'!$F$70*($Z129*4)+'LINEST VARS'!$E$70*($Z129*0.5)+'LINEST VARS'!$D$70*($Z129*12.73)+'LINEST VARS'!$C$70*(4*0.5)+'LINEST VARS'!$B$70*(4*12.73)+'LINEST VARS'!$A$70*(0.5*12.73)</f>
        <v>87.100000000000009</v>
      </c>
      <c r="AU129" s="47">
        <f>'LINEST VARS'!$U$70+'LINEST VARS'!$T$70*($AU$128)+'LINEST VARS'!$S$70*($Z129)+'LINEST VARS'!$R$70*(4)+'LINEST VARS'!$Q$70*(0.5)+'LINEST VARS'!$P$70*(12.73)+'LINEST VARS'!$O$70*($AU$128^2)+'LINEST VARS'!$N$70*($Z129^2)+'LINEST VARS'!$M$70*(4^2)+'LINEST VARS'!$L$70*(0.5^2)+'LINEST VARS'!$K$70*(12.73^2)+'LINEST VARS'!$J$70*($AU$128*$Z129)+'LINEST VARS'!$I$70*($AU$128*4)+'LINEST VARS'!$H$70*($AU$128*0.5)+'LINEST VARS'!$G$70*($AU$128*12.73)+'LINEST VARS'!$F$70*($Z129*4)+'LINEST VARS'!$E$70*($Z129*0.5)+'LINEST VARS'!$D$70*($Z129*12.73)+'LINEST VARS'!$C$70*(4*0.5)+'LINEST VARS'!$B$70*(4*12.73)+'LINEST VARS'!$A$70*(0.5*12.73)</f>
        <v>87.100000000000009</v>
      </c>
      <c r="AZ129" s="45">
        <v>0</v>
      </c>
      <c r="BA129" s="46">
        <f>'LINEST VARS'!$U$68+'LINEST VARS'!$T$68*(8)+'LINEST VARS'!$S$68*(8)+'LINEST VARS'!$R$68*($BA$128)+'LINEST VARS'!$Q$68*($AZ129)+'LINEST VARS'!$P$68*(12.73)+'LINEST VARS'!$O$68*(8^2)+'LINEST VARS'!$N$68*(8^2)+'LINEST VARS'!$M$68*($BA$128^2)+'LINEST VARS'!$L$68*($AZ129^2)+'LINEST VARS'!$K$68*(12.73^2)+'LINEST VARS'!$J$68*(8*8)+'LINEST VARS'!$I$68*(8*$BA$128)+'LINEST VARS'!$H$68*(8*$AZ129)+'LINEST VARS'!$G$68*(8*12.73)+'LINEST VARS'!$F$68*(8*$BA$128)+'LINEST VARS'!$E$68*(8*$AZ129)+'LINEST VARS'!$D$68*(8*12.73)+'LINEST VARS'!$C$68*($BA$128*$AZ129)+'LINEST VARS'!$B$68*($BA$128*12.73)+'LINEST VARS'!$A$68*($AZ129*12.73)</f>
        <v>150</v>
      </c>
      <c r="BB129" s="46">
        <f>'LINEST VARS'!$U$68+'LINEST VARS'!$T$68*(8)+'LINEST VARS'!$S$68*(8)+'LINEST VARS'!$R$68*($BB$128)+'LINEST VARS'!$Q$68*($AZ129)+'LINEST VARS'!$P$68*(12.73)+'LINEST VARS'!$O$68*(8^2)+'LINEST VARS'!$N$68*(8^2)+'LINEST VARS'!$M$68*($BB$128^2)+'LINEST VARS'!$L$68*($AZ129^2)+'LINEST VARS'!$K$68*(12.73^2)+'LINEST VARS'!$J$68*(8*8)+'LINEST VARS'!$I$68*(8*$BB$128)+'LINEST VARS'!$H$68*(8*$AZ129)+'LINEST VARS'!$G$68*(8*12.73)+'LINEST VARS'!$F$68*(8*$BB$128)+'LINEST VARS'!$E$68*(8*$AZ129)+'LINEST VARS'!$D$68*(8*12.73)+'LINEST VARS'!$C$68*($BB$128*$AZ129)+'LINEST VARS'!$B$68*($BB$128*12.73)+'LINEST VARS'!$A$68*($AZ129*12.73)</f>
        <v>150</v>
      </c>
      <c r="BC129" s="46">
        <f>'LINEST VARS'!$U$68+'LINEST VARS'!$T$68*(8)+'LINEST VARS'!$S$68*(8)+'LINEST VARS'!$R$68*($BC$128)+'LINEST VARS'!$Q$68*($AZ129)+'LINEST VARS'!$P$68*(12.73)+'LINEST VARS'!$O$68*(8^2)+'LINEST VARS'!$N$68*(8^2)+'LINEST VARS'!$M$68*($BC$128^2)+'LINEST VARS'!$L$68*($AZ129^2)+'LINEST VARS'!$K$68*(12.73^2)+'LINEST VARS'!$J$68*(8*8)+'LINEST VARS'!$I$68*(8*$BC$128)+'LINEST VARS'!$H$68*(8*$AZ129)+'LINEST VARS'!$G$68*(8*12.73)+'LINEST VARS'!$F$68*(8*$BC$128)+'LINEST VARS'!$E$68*(8*$AZ129)+'LINEST VARS'!$D$68*(8*12.73)+'LINEST VARS'!$C$68*($BC$128*$AZ129)+'LINEST VARS'!$B$68*($BC$128*12.73)+'LINEST VARS'!$A$68*($AZ129*12.73)</f>
        <v>150</v>
      </c>
      <c r="BD129" s="46">
        <f>'LINEST VARS'!$U$68+'LINEST VARS'!$T$68*(8)+'LINEST VARS'!$S$68*(8)+'LINEST VARS'!$R$68*($BD$128)+'LINEST VARS'!$Q$68*($AZ129)+'LINEST VARS'!$P$68*(12.73)+'LINEST VARS'!$O$68*(8^2)+'LINEST VARS'!$N$68*(8^2)+'LINEST VARS'!$M$68*($BD$128^2)+'LINEST VARS'!$L$68*($AZ129^2)+'LINEST VARS'!$K$68*(12.73^2)+'LINEST VARS'!$J$68*(8*8)+'LINEST VARS'!$I$68*(8*$BD$128)+'LINEST VARS'!$H$68*(8*$AZ129)+'LINEST VARS'!$G$68*(8*12.73)+'LINEST VARS'!$F$68*(8*$BD$128)+'LINEST VARS'!$E$68*(8*$AZ129)+'LINEST VARS'!$D$68*(8*12.73)+'LINEST VARS'!$C$68*($BD$128*$AZ129)+'LINEST VARS'!$B$68*($BD$128*12.73)+'LINEST VARS'!$A$68*($AZ129*12.73)</f>
        <v>150</v>
      </c>
      <c r="BE129" s="46">
        <f>'LINEST VARS'!$U$68+'LINEST VARS'!$T$68*(8)+'LINEST VARS'!$S$68*(8)+'LINEST VARS'!$R$68*($BE$128)+'LINEST VARS'!$Q$68*($AZ129)+'LINEST VARS'!$P$68*(12.73)+'LINEST VARS'!$O$68*(8^2)+'LINEST VARS'!$N$68*(8^2)+'LINEST VARS'!$M$68*($BE$128^2)+'LINEST VARS'!$L$68*($AZ129^2)+'LINEST VARS'!$K$68*(12.73^2)+'LINEST VARS'!$J$68*(8*8)+'LINEST VARS'!$I$68*(8*$BE$128)+'LINEST VARS'!$H$68*(8*$AZ129)+'LINEST VARS'!$G$68*(8*12.73)+'LINEST VARS'!$F$68*(8*$BE$128)+'LINEST VARS'!$E$68*(8*$AZ129)+'LINEST VARS'!$D$68*(8*12.73)+'LINEST VARS'!$C$68*($BE$128*$AZ129)+'LINEST VARS'!$B$68*($BE$128*12.73)+'LINEST VARS'!$A$68*($AZ129*12.73)</f>
        <v>150</v>
      </c>
      <c r="BF129" s="46">
        <f>'LINEST VARS'!$U$68+'LINEST VARS'!$T$68*(8)+'LINEST VARS'!$S$68*(8)+'LINEST VARS'!$R$68*($BF$128)+'LINEST VARS'!$Q$68*($AZ129)+'LINEST VARS'!$P$68*(12.73)+'LINEST VARS'!$O$68*(8^2)+'LINEST VARS'!$N$68*(8^2)+'LINEST VARS'!$M$68*($BF$128^2)+'LINEST VARS'!$L$68*($AZ129^2)+'LINEST VARS'!$K$68*(12.73^2)+'LINEST VARS'!$J$68*(8*8)+'LINEST VARS'!$I$68*(8*$BF$128)+'LINEST VARS'!$H$68*(8*$AZ129)+'LINEST VARS'!$G$68*(8*12.73)+'LINEST VARS'!$F$68*(8*$BF$128)+'LINEST VARS'!$E$68*(8*$AZ129)+'LINEST VARS'!$D$68*(8*12.73)+'LINEST VARS'!$C$68*($BF$128*$AZ129)+'LINEST VARS'!$B$68*($BF$128*12.73)+'LINEST VARS'!$A$68*($AZ129*12.73)</f>
        <v>150</v>
      </c>
      <c r="BG129" s="46">
        <f>'LINEST VARS'!$U$68+'LINEST VARS'!$T$68*(8)+'LINEST VARS'!$S$68*(8)+'LINEST VARS'!$R$68*($BG$128)+'LINEST VARS'!$Q$68*($AZ129)+'LINEST VARS'!$P$68*(12.73)+'LINEST VARS'!$O$68*(8^2)+'LINEST VARS'!$N$68*(8^2)+'LINEST VARS'!$M$68*($BG$128^2)+'LINEST VARS'!$L$68*($AZ129^2)+'LINEST VARS'!$K$68*(12.73^2)+'LINEST VARS'!$J$68*(8*8)+'LINEST VARS'!$I$68*(8*$BG$128)+'LINEST VARS'!$H$68*(8*$AZ129)+'LINEST VARS'!$G$68*(8*12.73)+'LINEST VARS'!$F$68*(8*$BG$128)+'LINEST VARS'!$E$68*(8*$AZ129)+'LINEST VARS'!$D$68*(8*12.73)+'LINEST VARS'!$C$68*($BG$128*$AZ129)+'LINEST VARS'!$B$68*($BG$128*12.73)+'LINEST VARS'!$A$68*($AZ129*12.73)</f>
        <v>150</v>
      </c>
      <c r="BH129" s="46">
        <f>'LINEST VARS'!$U$68+'LINEST VARS'!$T$68*(8)+'LINEST VARS'!$S$68*(8)+'LINEST VARS'!$R$68*($BH$128)+'LINEST VARS'!$Q$68*($AZ129)+'LINEST VARS'!$P$68*(12.73)+'LINEST VARS'!$O$68*(8^2)+'LINEST VARS'!$N$68*(8^2)+'LINEST VARS'!$M$68*($BH$128^2)+'LINEST VARS'!$L$68*($AZ129^2)+'LINEST VARS'!$K$68*(12.73^2)+'LINEST VARS'!$J$68*(8*8)+'LINEST VARS'!$I$68*(8*$BH$128)+'LINEST VARS'!$H$68*(8*$AZ129)+'LINEST VARS'!$G$68*(8*12.73)+'LINEST VARS'!$F$68*(8*$BH$128)+'LINEST VARS'!$E$68*(8*$AZ129)+'LINEST VARS'!$D$68*(8*12.73)+'LINEST VARS'!$C$68*($BH$128*$AZ129)+'LINEST VARS'!$B$68*($BH$128*12.73)+'LINEST VARS'!$A$68*($AZ129*12.73)</f>
        <v>150</v>
      </c>
      <c r="BI129" s="46">
        <f>'LINEST VARS'!$U$68+'LINEST VARS'!$T$68*(8)+'LINEST VARS'!$S$68*(8)+'LINEST VARS'!$R$68*($BI$128)+'LINEST VARS'!$Q$68*($AZ129)+'LINEST VARS'!$P$68*(12.73)+'LINEST VARS'!$O$68*(8^2)+'LINEST VARS'!$N$68*(8^2)+'LINEST VARS'!$M$68*($BI$128^2)+'LINEST VARS'!$L$68*($AZ129^2)+'LINEST VARS'!$K$68*(12.73^2)+'LINEST VARS'!$J$68*(8*8)+'LINEST VARS'!$I$68*(8*$BI$128)+'LINEST VARS'!$H$68*(8*$AZ129)+'LINEST VARS'!$G$68*(8*12.73)+'LINEST VARS'!$F$68*(8*$BI$128)+'LINEST VARS'!$E$68*(8*$AZ129)+'LINEST VARS'!$D$68*(8*12.73)+'LINEST VARS'!$C$68*($BI$128*$AZ129)+'LINEST VARS'!$B$68*($BI$128*12.73)+'LINEST VARS'!$A$68*($AZ129*12.73)</f>
        <v>150</v>
      </c>
      <c r="BJ129" s="46">
        <f>'LINEST VARS'!$U$68+'LINEST VARS'!$T$68*(8)+'LINEST VARS'!$S$68*(8)+'LINEST VARS'!$R$68*($BJ$128)+'LINEST VARS'!$Q$68*($AZ129)+'LINEST VARS'!$P$68*(12.73)+'LINEST VARS'!$O$68*(8^2)+'LINEST VARS'!$N$68*(8^2)+'LINEST VARS'!$M$68*($BJ$128^2)+'LINEST VARS'!$L$68*($AZ129^2)+'LINEST VARS'!$K$68*(12.73^2)+'LINEST VARS'!$J$68*(8*8)+'LINEST VARS'!$I$68*(8*$BJ$128)+'LINEST VARS'!$H$68*(8*$AZ129)+'LINEST VARS'!$G$68*(8*12.73)+'LINEST VARS'!$F$68*(8*$BJ$128)+'LINEST VARS'!$E$68*(8*$AZ129)+'LINEST VARS'!$D$68*(8*12.73)+'LINEST VARS'!$C$68*($BJ$128*$AZ129)+'LINEST VARS'!$B$68*($BJ$128*12.73)+'LINEST VARS'!$A$68*($AZ129*12.73)</f>
        <v>150</v>
      </c>
      <c r="BK129" s="46">
        <f>'LINEST VARS'!$U$68+'LINEST VARS'!$T$68*(8)+'LINEST VARS'!$S$68*(8)+'LINEST VARS'!$R$68*($BK$128)+'LINEST VARS'!$Q$68*($AZ129)+'LINEST VARS'!$P$68*(12.73)+'LINEST VARS'!$O$68*(8^2)+'LINEST VARS'!$N$68*(8^2)+'LINEST VARS'!$M$68*($BK$128^2)+'LINEST VARS'!$L$68*($AZ129^2)+'LINEST VARS'!$K$68*(12.73^2)+'LINEST VARS'!$J$68*(8*8)+'LINEST VARS'!$I$68*(8*$BK$128)+'LINEST VARS'!$H$68*(8*$AZ129)+'LINEST VARS'!$G$68*(8*12.73)+'LINEST VARS'!$F$68*(8*$BK$128)+'LINEST VARS'!$E$68*(8*$AZ129)+'LINEST VARS'!$D$68*(8*12.73)+'LINEST VARS'!$C$68*($BK$128*$AZ129)+'LINEST VARS'!$B$68*($BK$128*12.73)+'LINEST VARS'!$A$68*($AZ129*12.73)</f>
        <v>150</v>
      </c>
      <c r="BL129" s="46">
        <f>'LINEST VARS'!$U$68+'LINEST VARS'!$T$68*(8)+'LINEST VARS'!$S$68*(8)+'LINEST VARS'!$R$68*($BL$128)+'LINEST VARS'!$Q$68*($AZ129)+'LINEST VARS'!$P$68*(12.73)+'LINEST VARS'!$O$68*(8^2)+'LINEST VARS'!$N$68*(8^2)+'LINEST VARS'!$M$68*($BL$128^2)+'LINEST VARS'!$L$68*($AZ129^2)+'LINEST VARS'!$K$68*(12.73^2)+'LINEST VARS'!$J$68*(8*8)+'LINEST VARS'!$I$68*(8*$BL$128)+'LINEST VARS'!$H$68*(8*$AZ129)+'LINEST VARS'!$G$68*(8*12.73)+'LINEST VARS'!$F$68*(8*$BL$128)+'LINEST VARS'!$E$68*(8*$AZ129)+'LINEST VARS'!$D$68*(8*12.73)+'LINEST VARS'!$C$68*($BL$128*$AZ129)+'LINEST VARS'!$B$68*($BL$128*12.73)+'LINEST VARS'!$A$68*($AZ129*12.73)</f>
        <v>150</v>
      </c>
      <c r="BM129" s="46">
        <f>'LINEST VARS'!$U$68+'LINEST VARS'!$T$68*(8)+'LINEST VARS'!$S$68*(8)+'LINEST VARS'!$R$68*($BM$128)+'LINEST VARS'!$Q$68*($AZ129)+'LINEST VARS'!$P$68*(12.73)+'LINEST VARS'!$O$68*(8^2)+'LINEST VARS'!$N$68*(8^2)+'LINEST VARS'!$M$68*($BM$128^2)+'LINEST VARS'!$L$68*($AZ129^2)+'LINEST VARS'!$K$68*(12.73^2)+'LINEST VARS'!$J$68*(8*8)+'LINEST VARS'!$I$68*(8*$BM$128)+'LINEST VARS'!$H$68*(8*$AZ129)+'LINEST VARS'!$G$68*(8*12.73)+'LINEST VARS'!$F$68*(8*$BM$128)+'LINEST VARS'!$E$68*(8*$AZ129)+'LINEST VARS'!$D$68*(8*12.73)+'LINEST VARS'!$C$68*($BM$128*$AZ129)+'LINEST VARS'!$B$68*($BM$128*12.73)+'LINEST VARS'!$A$68*($AZ129*12.73)</f>
        <v>150</v>
      </c>
      <c r="BN129" s="46">
        <f>'LINEST VARS'!$U$68+'LINEST VARS'!$T$68*(8)+'LINEST VARS'!$S$68*(8)+'LINEST VARS'!$R$68*($BN$128)+'LINEST VARS'!$Q$68*($AZ129)+'LINEST VARS'!$P$68*(12.73)+'LINEST VARS'!$O$68*(8^2)+'LINEST VARS'!$N$68*(8^2)+'LINEST VARS'!$M$68*($BN$128^2)+'LINEST VARS'!$L$68*($AZ129^2)+'LINEST VARS'!$K$68*(12.73^2)+'LINEST VARS'!$J$68*(8*8)+'LINEST VARS'!$I$68*(8*$BN$128)+'LINEST VARS'!$H$68*(8*$AZ129)+'LINEST VARS'!$G$68*(8*12.73)+'LINEST VARS'!$F$68*(8*$BN$128)+'LINEST VARS'!$E$68*(8*$AZ129)+'LINEST VARS'!$D$68*(8*12.73)+'LINEST VARS'!$C$68*($BN$128*$AZ129)+'LINEST VARS'!$B$68*($BN$128*12.73)+'LINEST VARS'!$A$68*($AZ129*12.73)</f>
        <v>150</v>
      </c>
      <c r="BO129" s="46">
        <f>'LINEST VARS'!$U$68+'LINEST VARS'!$T$68*(8)+'LINEST VARS'!$S$68*(8)+'LINEST VARS'!$R$68*($BO$128)+'LINEST VARS'!$Q$68*($AZ129)+'LINEST VARS'!$P$68*(12.73)+'LINEST VARS'!$O$68*(8^2)+'LINEST VARS'!$N$68*(8^2)+'LINEST VARS'!$M$68*($BO$128^2)+'LINEST VARS'!$L$68*($AZ129^2)+'LINEST VARS'!$K$68*(12.73^2)+'LINEST VARS'!$J$68*(8*8)+'LINEST VARS'!$I$68*(8*$BO$128)+'LINEST VARS'!$H$68*(8*$AZ129)+'LINEST VARS'!$G$68*(8*12.73)+'LINEST VARS'!$F$68*(8*$BO$128)+'LINEST VARS'!$E$68*(8*$AZ129)+'LINEST VARS'!$D$68*(8*12.73)+'LINEST VARS'!$C$68*($BO$128*$AZ129)+'LINEST VARS'!$B$68*($BO$128*12.73)+'LINEST VARS'!$A$68*($AZ129*12.73)</f>
        <v>150</v>
      </c>
      <c r="BP129" s="46">
        <f>'LINEST VARS'!$U$68+'LINEST VARS'!$T$68*(8)+'LINEST VARS'!$S$68*(8)+'LINEST VARS'!$R$68*($BP$128)+'LINEST VARS'!$Q$68*($AZ129)+'LINEST VARS'!$P$68*(12.73)+'LINEST VARS'!$O$68*(8^2)+'LINEST VARS'!$N$68*(8^2)+'LINEST VARS'!$M$68*($BP$128^2)+'LINEST VARS'!$L$68*($AZ129^2)+'LINEST VARS'!$K$68*(12.73^2)+'LINEST VARS'!$J$68*(8*8)+'LINEST VARS'!$I$68*(8*$BP$128)+'LINEST VARS'!$H$68*(8*$AZ129)+'LINEST VARS'!$G$68*(8*12.73)+'LINEST VARS'!$F$68*(8*$BP$128)+'LINEST VARS'!$E$68*(8*$AZ129)+'LINEST VARS'!$D$68*(8*12.73)+'LINEST VARS'!$C$68*($BP$128*$AZ129)+'LINEST VARS'!$B$68*($BP$128*12.73)+'LINEST VARS'!$A$68*($AZ129*12.73)</f>
        <v>150</v>
      </c>
      <c r="BQ129" s="46">
        <f>'LINEST VARS'!$U$68+'LINEST VARS'!$T$68*(8)+'LINEST VARS'!$S$68*(8)+'LINEST VARS'!$R$68*($BQ$128)+'LINEST VARS'!$Q$68*($AZ129)+'LINEST VARS'!$P$68*(12.73)+'LINEST VARS'!$O$68*(8^2)+'LINEST VARS'!$N$68*(8^2)+'LINEST VARS'!$M$68*($BQ$128^2)+'LINEST VARS'!$L$68*($AZ129^2)+'LINEST VARS'!$K$68*(12.73^2)+'LINEST VARS'!$J$68*(8*8)+'LINEST VARS'!$I$68*(8*$BQ$128)+'LINEST VARS'!$H$68*(8*$AZ129)+'LINEST VARS'!$G$68*(8*12.73)+'LINEST VARS'!$F$68*(8*$BQ$128)+'LINEST VARS'!$E$68*(8*$AZ129)+'LINEST VARS'!$D$68*(8*12.73)+'LINEST VARS'!$C$68*($BQ$128*$AZ129)+'LINEST VARS'!$B$68*($BQ$128*12.73)+'LINEST VARS'!$A$68*($AZ129*12.73)</f>
        <v>150</v>
      </c>
      <c r="BR129" s="46">
        <f>'LINEST VARS'!$U$68+'LINEST VARS'!$T$68*(8)+'LINEST VARS'!$S$68*(8)+'LINEST VARS'!$R$68*($BR$128)+'LINEST VARS'!$Q$68*($AZ129)+'LINEST VARS'!$P$68*(12.73)+'LINEST VARS'!$O$68*(8^2)+'LINEST VARS'!$N$68*(8^2)+'LINEST VARS'!$M$68*($BR$128^2)+'LINEST VARS'!$L$68*($AZ129^2)+'LINEST VARS'!$K$68*(12.73^2)+'LINEST VARS'!$J$68*(8*8)+'LINEST VARS'!$I$68*(8*$BR$128)+'LINEST VARS'!$H$68*(8*$AZ129)+'LINEST VARS'!$G$68*(8*12.73)+'LINEST VARS'!$F$68*(8*$BR$128)+'LINEST VARS'!$E$68*(8*$AZ129)+'LINEST VARS'!$D$68*(8*12.73)+'LINEST VARS'!$C$68*($BR$128*$AZ129)+'LINEST VARS'!$B$68*($BR$128*12.73)+'LINEST VARS'!$A$68*($AZ129*12.73)</f>
        <v>150</v>
      </c>
      <c r="BS129" s="46">
        <f>'LINEST VARS'!$U$68+'LINEST VARS'!$T$68*(8)+'LINEST VARS'!$S$68*(8)+'LINEST VARS'!$R$68*($BS$128)+'LINEST VARS'!$Q$68*($AZ129)+'LINEST VARS'!$P$68*(12.73)+'LINEST VARS'!$O$68*(8^2)+'LINEST VARS'!$N$68*(8^2)+'LINEST VARS'!$M$68*($BS$128^2)+'LINEST VARS'!$L$68*($AZ129^2)+'LINEST VARS'!$K$68*(12.73^2)+'LINEST VARS'!$J$68*(8*8)+'LINEST VARS'!$I$68*(8*$BS$128)+'LINEST VARS'!$H$68*(8*$AZ129)+'LINEST VARS'!$G$68*(8*12.73)+'LINEST VARS'!$F$68*(8*$BS$128)+'LINEST VARS'!$E$68*(8*$AZ129)+'LINEST VARS'!$D$68*(8*12.73)+'LINEST VARS'!$C$68*($BS$128*$AZ129)+'LINEST VARS'!$B$68*($BS$128*12.73)+'LINEST VARS'!$A$68*($AZ129*12.73)</f>
        <v>150</v>
      </c>
      <c r="BT129" s="46">
        <f>'LINEST VARS'!$U$68+'LINEST VARS'!$T$68*(8)+'LINEST VARS'!$S$68*(8)+'LINEST VARS'!$R$68*($BT$128)+'LINEST VARS'!$Q$68*($AZ129)+'LINEST VARS'!$P$68*(12.73)+'LINEST VARS'!$O$68*(8^2)+'LINEST VARS'!$N$68*(8^2)+'LINEST VARS'!$M$68*($BT$128^2)+'LINEST VARS'!$L$68*($AZ129^2)+'LINEST VARS'!$K$68*(12.73^2)+'LINEST VARS'!$J$68*(8*8)+'LINEST VARS'!$I$68*(8*$BT$128)+'LINEST VARS'!$H$68*(8*$AZ129)+'LINEST VARS'!$G$68*(8*12.73)+'LINEST VARS'!$F$68*(8*$BT$128)+'LINEST VARS'!$E$68*(8*$AZ129)+'LINEST VARS'!$D$68*(8*12.73)+'LINEST VARS'!$C$68*($BT$128*$AZ129)+'LINEST VARS'!$B$68*($BT$128*12.73)+'LINEST VARS'!$A$68*($AZ129*12.73)</f>
        <v>150</v>
      </c>
      <c r="BU129" s="47">
        <f>'LINEST VARS'!$U$68+'LINEST VARS'!$T$68*(8)+'LINEST VARS'!$S$68*(8)+'LINEST VARS'!$R$68*($BU$128)+'LINEST VARS'!$Q$68*($AZ129)+'LINEST VARS'!$P$68*(12.73)+'LINEST VARS'!$O$68*(8^2)+'LINEST VARS'!$N$68*(8^2)+'LINEST VARS'!$M$68*($BU$128^2)+'LINEST VARS'!$L$68*($AZ129^2)+'LINEST VARS'!$K$68*(12.73^2)+'LINEST VARS'!$J$68*(8*8)+'LINEST VARS'!$I$68*(8*$BU$128)+'LINEST VARS'!$H$68*(8*$AZ129)+'LINEST VARS'!$G$68*(8*12.73)+'LINEST VARS'!$F$68*(8*$BU$128)+'LINEST VARS'!$E$68*(8*$AZ129)+'LINEST VARS'!$D$68*(8*12.73)+'LINEST VARS'!$C$68*($BU$128*$AZ129)+'LINEST VARS'!$B$68*($BU$128*12.73)+'LINEST VARS'!$A$68*($AZ129*12.73)</f>
        <v>150</v>
      </c>
      <c r="BX129" s="45">
        <v>0</v>
      </c>
      <c r="BY129" s="46">
        <f>'LINEST VARS'!$U$70+'LINEST VARS'!$T$70*(8)+'LINEST VARS'!$S$70*(8)+'LINEST VARS'!$R$70*($BY$128)+'LINEST VARS'!$Q$70*($BX129)+'LINEST VARS'!$P$70*(12.73)+'LINEST VARS'!$O$70*(8^2)+'LINEST VARS'!$N$70*(8^2)+'LINEST VARS'!$M$70*($BY$128^2)+'LINEST VARS'!$L$70*($BX129^2)+'LINEST VARS'!$K$70*(12.73^2)+'LINEST VARS'!$J$70*(8*8)+'LINEST VARS'!$I$70*(8*$BY$128)+'LINEST VARS'!$H$70*(8*$BX129)+'LINEST VARS'!$G$70*(8*12.73)+'LINEST VARS'!$F$70*(8*$BY$128)+'LINEST VARS'!$E$70*(8*$BX129)+'LINEST VARS'!$D$70*(8*12.73)+'LINEST VARS'!$C$70*($BY$128*$BX129)+'LINEST VARS'!$B$70*($BY$128*12.73)+'LINEST VARS'!$A$70*($BX129*12.73)</f>
        <v>92.000000000000014</v>
      </c>
      <c r="BZ129" s="46">
        <f>'LINEST VARS'!$U$70+'LINEST VARS'!$T$70*(8)+'LINEST VARS'!$S$70*(8)+'LINEST VARS'!$R$70*($BZ$128)+'LINEST VARS'!$Q$70*($BX129)+'LINEST VARS'!$P$70*(12.73)+'LINEST VARS'!$O$70*(8^2)+'LINEST VARS'!$N$70*(8^2)+'LINEST VARS'!$M$70*($BZ$128^2)+'LINEST VARS'!$L$70*($BX129^2)+'LINEST VARS'!$K$70*(12.73^2)+'LINEST VARS'!$J$70*(8*8)+'LINEST VARS'!$I$70*(8*$BZ$128)+'LINEST VARS'!$H$70*(8*$BX129)+'LINEST VARS'!$G$70*(8*12.73)+'LINEST VARS'!$F$70*(8*$BZ$128)+'LINEST VARS'!$E$70*(8*$BX129)+'LINEST VARS'!$D$70*(8*12.73)+'LINEST VARS'!$C$70*($BZ$128*$BX129)+'LINEST VARS'!$B$70*($BZ$128*12.73)+'LINEST VARS'!$A$70*($BX129*12.73)</f>
        <v>91.600000000000009</v>
      </c>
      <c r="CA129" s="46">
        <f>'LINEST VARS'!$U$70+'LINEST VARS'!$T$70*(8)+'LINEST VARS'!$S$70*(8)+'LINEST VARS'!$R$70*($CA$128)+'LINEST VARS'!$Q$70*($BX129)+'LINEST VARS'!$P$70*(12.73)+'LINEST VARS'!$O$70*(8^2)+'LINEST VARS'!$N$70*(8^2)+'LINEST VARS'!$M$70*($CA$128^2)+'LINEST VARS'!$L$70*($BX129^2)+'LINEST VARS'!$K$70*(12.73^2)+'LINEST VARS'!$J$70*(8*8)+'LINEST VARS'!$I$70*(8*$CA$128)+'LINEST VARS'!$H$70*(8*$BX129)+'LINEST VARS'!$G$70*(8*12.73)+'LINEST VARS'!$F$70*(8*$CA$128)+'LINEST VARS'!$E$70*(8*$BX129)+'LINEST VARS'!$D$70*(8*12.73)+'LINEST VARS'!$C$70*($CA$128*$BX129)+'LINEST VARS'!$B$70*($CA$128*12.73)+'LINEST VARS'!$A$70*($BX129*12.73)</f>
        <v>91.200000000000017</v>
      </c>
      <c r="CB129" s="46">
        <f>'LINEST VARS'!$U$70+'LINEST VARS'!$T$70*(8)+'LINEST VARS'!$S$70*(8)+'LINEST VARS'!$R$70*($CB$128)+'LINEST VARS'!$Q$70*($BX129)+'LINEST VARS'!$P$70*(12.73)+'LINEST VARS'!$O$70*(8^2)+'LINEST VARS'!$N$70*(8^2)+'LINEST VARS'!$M$70*($CB$128^2)+'LINEST VARS'!$L$70*($BX129^2)+'LINEST VARS'!$K$70*(12.73^2)+'LINEST VARS'!$J$70*(8*8)+'LINEST VARS'!$I$70*(8*$CB$128)+'LINEST VARS'!$H$70*(8*$BX129)+'LINEST VARS'!$G$70*(8*12.73)+'LINEST VARS'!$F$70*(8*$CB$128)+'LINEST VARS'!$E$70*(8*$BX129)+'LINEST VARS'!$D$70*(8*12.73)+'LINEST VARS'!$C$70*($CB$128*$BX129)+'LINEST VARS'!$B$70*($CB$128*12.73)+'LINEST VARS'!$A$70*($BX129*12.73)</f>
        <v>90.800000000000011</v>
      </c>
      <c r="CC129" s="46">
        <f>'LINEST VARS'!$U$70+'LINEST VARS'!$T$70*(8)+'LINEST VARS'!$S$70*(8)+'LINEST VARS'!$R$70*($CC$128)+'LINEST VARS'!$Q$70*($BX129)+'LINEST VARS'!$P$70*(12.73)+'LINEST VARS'!$O$70*(8^2)+'LINEST VARS'!$N$70*(8^2)+'LINEST VARS'!$M$70*($CC$128^2)+'LINEST VARS'!$L$70*($BX129^2)+'LINEST VARS'!$K$70*(12.73^2)+'LINEST VARS'!$J$70*(8*8)+'LINEST VARS'!$I$70*(8*$CC$128)+'LINEST VARS'!$H$70*(8*$BX129)+'LINEST VARS'!$G$70*(8*12.73)+'LINEST VARS'!$F$70*(8*$CC$128)+'LINEST VARS'!$E$70*(8*$BX129)+'LINEST VARS'!$D$70*(8*12.73)+'LINEST VARS'!$C$70*($CC$128*$BX129)+'LINEST VARS'!$B$70*($CC$128*12.73)+'LINEST VARS'!$A$70*($BX129*12.73)</f>
        <v>90.40000000000002</v>
      </c>
      <c r="CD129" s="46">
        <f>'LINEST VARS'!$U$70+'LINEST VARS'!$T$70*(8)+'LINEST VARS'!$S$70*(8)+'LINEST VARS'!$R$70*($CD$128)+'LINEST VARS'!$Q$70*($BX129)+'LINEST VARS'!$P$70*(12.73)+'LINEST VARS'!$O$70*(8^2)+'LINEST VARS'!$N$70*(8^2)+'LINEST VARS'!$M$70*($CD$128^2)+'LINEST VARS'!$L$70*($BX129^2)+'LINEST VARS'!$K$70*(12.73^2)+'LINEST VARS'!$J$70*(8*8)+'LINEST VARS'!$I$70*(8*$CD$128)+'LINEST VARS'!$H$70*(8*$BX129)+'LINEST VARS'!$G$70*(8*12.73)+'LINEST VARS'!$F$70*(8*$CD$128)+'LINEST VARS'!$E$70*(8*$BX129)+'LINEST VARS'!$D$70*(8*12.73)+'LINEST VARS'!$C$70*($CD$128*$BX129)+'LINEST VARS'!$B$70*($CD$128*12.73)+'LINEST VARS'!$A$70*($BX129*12.73)</f>
        <v>90.000000000000014</v>
      </c>
      <c r="CE129" s="46">
        <f>'LINEST VARS'!$U$70+'LINEST VARS'!$T$70*(8)+'LINEST VARS'!$S$70*(8)+'LINEST VARS'!$R$70*($CE$128)+'LINEST VARS'!$Q$70*($BX129)+'LINEST VARS'!$P$70*(12.73)+'LINEST VARS'!$O$70*(8^2)+'LINEST VARS'!$N$70*(8^2)+'LINEST VARS'!$M$70*($CE$128^2)+'LINEST VARS'!$L$70*($BX129^2)+'LINEST VARS'!$K$70*(12.73^2)+'LINEST VARS'!$J$70*(8*8)+'LINEST VARS'!$I$70*(8*$CE$128)+'LINEST VARS'!$H$70*(8*$BX129)+'LINEST VARS'!$G$70*(8*12.73)+'LINEST VARS'!$F$70*(8*$CE$128)+'LINEST VARS'!$E$70*(8*$BX129)+'LINEST VARS'!$D$70*(8*12.73)+'LINEST VARS'!$C$70*($CE$128*$BX129)+'LINEST VARS'!$B$70*($CE$128*12.73)+'LINEST VARS'!$A$70*($BX129*12.73)</f>
        <v>89.600000000000023</v>
      </c>
      <c r="CF129" s="46">
        <f>'LINEST VARS'!$U$70+'LINEST VARS'!$T$70*(8)+'LINEST VARS'!$S$70*(8)+'LINEST VARS'!$R$70*($CF$128)+'LINEST VARS'!$Q$70*($BX129)+'LINEST VARS'!$P$70*(12.73)+'LINEST VARS'!$O$70*(8^2)+'LINEST VARS'!$N$70*(8^2)+'LINEST VARS'!$M$70*($CF$128^2)+'LINEST VARS'!$L$70*($BX129^2)+'LINEST VARS'!$K$70*(12.73^2)+'LINEST VARS'!$J$70*(8*8)+'LINEST VARS'!$I$70*(8*$CF$128)+'LINEST VARS'!$H$70*(8*$BX129)+'LINEST VARS'!$G$70*(8*12.73)+'LINEST VARS'!$F$70*(8*$CF$128)+'LINEST VARS'!$E$70*(8*$BX129)+'LINEST VARS'!$D$70*(8*12.73)+'LINEST VARS'!$C$70*($CF$128*$BX129)+'LINEST VARS'!$B$70*($CF$128*12.73)+'LINEST VARS'!$A$70*($BX129*12.73)</f>
        <v>89.200000000000017</v>
      </c>
      <c r="CG129" s="46">
        <f>'LINEST VARS'!$U$70+'LINEST VARS'!$T$70*(8)+'LINEST VARS'!$S$70*(8)+'LINEST VARS'!$R$70*($CG$128)+'LINEST VARS'!$Q$70*($BX129)+'LINEST VARS'!$P$70*(12.73)+'LINEST VARS'!$O$70*(8^2)+'LINEST VARS'!$N$70*(8^2)+'LINEST VARS'!$M$70*($CG$128^2)+'LINEST VARS'!$L$70*($BX129^2)+'LINEST VARS'!$K$70*(12.73^2)+'LINEST VARS'!$J$70*(8*8)+'LINEST VARS'!$I$70*(8*$CG$128)+'LINEST VARS'!$H$70*(8*$BX129)+'LINEST VARS'!$G$70*(8*12.73)+'LINEST VARS'!$F$70*(8*$CG$128)+'LINEST VARS'!$E$70*(8*$BX129)+'LINEST VARS'!$D$70*(8*12.73)+'LINEST VARS'!$C$70*($CG$128*$BX129)+'LINEST VARS'!$B$70*($CG$128*12.73)+'LINEST VARS'!$A$70*($BX129*12.73)</f>
        <v>88.800000000000026</v>
      </c>
      <c r="CH129" s="46">
        <f>'LINEST VARS'!$U$70+'LINEST VARS'!$T$70*(8)+'LINEST VARS'!$S$70*(8)+'LINEST VARS'!$R$70*($CH$128)+'LINEST VARS'!$Q$70*($BX129)+'LINEST VARS'!$P$70*(12.73)+'LINEST VARS'!$O$70*(8^2)+'LINEST VARS'!$N$70*(8^2)+'LINEST VARS'!$M$70*($CH$128^2)+'LINEST VARS'!$L$70*($BX129^2)+'LINEST VARS'!$K$70*(12.73^2)+'LINEST VARS'!$J$70*(8*8)+'LINEST VARS'!$I$70*(8*$CH$128)+'LINEST VARS'!$H$70*(8*$BX129)+'LINEST VARS'!$G$70*(8*12.73)+'LINEST VARS'!$F$70*(8*$CH$128)+'LINEST VARS'!$E$70*(8*$BX129)+'LINEST VARS'!$D$70*(8*12.73)+'LINEST VARS'!$C$70*($CH$128*$BX129)+'LINEST VARS'!$B$70*($CH$128*12.73)+'LINEST VARS'!$A$70*($BX129*12.73)</f>
        <v>88.40000000000002</v>
      </c>
      <c r="CI129" s="46">
        <f>'LINEST VARS'!$U$70+'LINEST VARS'!$T$70*(8)+'LINEST VARS'!$S$70*(8)+'LINEST VARS'!$R$70*($CI$128)+'LINEST VARS'!$Q$70*($BX129)+'LINEST VARS'!$P$70*(12.73)+'LINEST VARS'!$O$70*(8^2)+'LINEST VARS'!$N$70*(8^2)+'LINEST VARS'!$M$70*($CI$128^2)+'LINEST VARS'!$L$70*($BX129^2)+'LINEST VARS'!$K$70*(12.73^2)+'LINEST VARS'!$J$70*(8*8)+'LINEST VARS'!$I$70*(8*$CI$128)+'LINEST VARS'!$H$70*(8*$BX129)+'LINEST VARS'!$G$70*(8*12.73)+'LINEST VARS'!$F$70*(8*$CI$128)+'LINEST VARS'!$E$70*(8*$BX129)+'LINEST VARS'!$D$70*(8*12.73)+'LINEST VARS'!$C$70*($CI$128*$BX129)+'LINEST VARS'!$B$70*($CI$128*12.73)+'LINEST VARS'!$A$70*($BX129*12.73)</f>
        <v>88.000000000000014</v>
      </c>
      <c r="CJ129" s="46">
        <f>'LINEST VARS'!$U$70+'LINEST VARS'!$T$70*(8)+'LINEST VARS'!$S$70*(8)+'LINEST VARS'!$R$70*($CJ$128)+'LINEST VARS'!$Q$70*($BX129)+'LINEST VARS'!$P$70*(12.73)+'LINEST VARS'!$O$70*(8^2)+'LINEST VARS'!$N$70*(8^2)+'LINEST VARS'!$M$70*($CJ$128^2)+'LINEST VARS'!$L$70*($BX129^2)+'LINEST VARS'!$K$70*(12.73^2)+'LINEST VARS'!$J$70*(8*8)+'LINEST VARS'!$I$70*(8*$CJ$128)+'LINEST VARS'!$H$70*(8*$BX129)+'LINEST VARS'!$G$70*(8*12.73)+'LINEST VARS'!$F$70*(8*$CJ$128)+'LINEST VARS'!$E$70*(8*$BX129)+'LINEST VARS'!$D$70*(8*12.73)+'LINEST VARS'!$C$70*($CJ$128*$BX129)+'LINEST VARS'!$B$70*($CJ$128*12.73)+'LINEST VARS'!$A$70*($BX129*12.73)</f>
        <v>87.600000000000023</v>
      </c>
      <c r="CK129" s="46">
        <f>'LINEST VARS'!$U$70+'LINEST VARS'!$T$70*(8)+'LINEST VARS'!$S$70*(8)+'LINEST VARS'!$R$70*($CK$128)+'LINEST VARS'!$Q$70*($BX129)+'LINEST VARS'!$P$70*(12.73)+'LINEST VARS'!$O$70*(8^2)+'LINEST VARS'!$N$70*(8^2)+'LINEST VARS'!$M$70*($CK$128^2)+'LINEST VARS'!$L$70*($BX129^2)+'LINEST VARS'!$K$70*(12.73^2)+'LINEST VARS'!$J$70*(8*8)+'LINEST VARS'!$I$70*(8*$CK$128)+'LINEST VARS'!$H$70*(8*$BX129)+'LINEST VARS'!$G$70*(8*12.73)+'LINEST VARS'!$F$70*(8*$CK$128)+'LINEST VARS'!$E$70*(8*$BX129)+'LINEST VARS'!$D$70*(8*12.73)+'LINEST VARS'!$C$70*($CK$128*$BX129)+'LINEST VARS'!$B$70*($CK$128*12.73)+'LINEST VARS'!$A$70*($BX129*12.73)</f>
        <v>87.200000000000017</v>
      </c>
      <c r="CL129" s="46">
        <f>'LINEST VARS'!$U$70+'LINEST VARS'!$T$70*(8)+'LINEST VARS'!$S$70*(8)+'LINEST VARS'!$R$70*($CL$128)+'LINEST VARS'!$Q$70*($BX129)+'LINEST VARS'!$P$70*(12.73)+'LINEST VARS'!$O$70*(8^2)+'LINEST VARS'!$N$70*(8^2)+'LINEST VARS'!$M$70*($CL$128^2)+'LINEST VARS'!$L$70*($BX129^2)+'LINEST VARS'!$K$70*(12.73^2)+'LINEST VARS'!$J$70*(8*8)+'LINEST VARS'!$I$70*(8*$CL$128)+'LINEST VARS'!$H$70*(8*$BX129)+'LINEST VARS'!$G$70*(8*12.73)+'LINEST VARS'!$F$70*(8*$CL$128)+'LINEST VARS'!$E$70*(8*$BX129)+'LINEST VARS'!$D$70*(8*12.73)+'LINEST VARS'!$C$70*($CL$128*$BX129)+'LINEST VARS'!$B$70*($CL$128*12.73)+'LINEST VARS'!$A$70*($BX129*12.73)</f>
        <v>86.800000000000026</v>
      </c>
      <c r="CM129" s="46">
        <f>'LINEST VARS'!$U$70+'LINEST VARS'!$T$70*(8)+'LINEST VARS'!$S$70*(8)+'LINEST VARS'!$R$70*($CM$128)+'LINEST VARS'!$Q$70*($BX129)+'LINEST VARS'!$P$70*(12.73)+'LINEST VARS'!$O$70*(8^2)+'LINEST VARS'!$N$70*(8^2)+'LINEST VARS'!$M$70*($CM$128^2)+'LINEST VARS'!$L$70*($BX129^2)+'LINEST VARS'!$K$70*(12.73^2)+'LINEST VARS'!$J$70*(8*8)+'LINEST VARS'!$I$70*(8*$CM$128)+'LINEST VARS'!$H$70*(8*$BX129)+'LINEST VARS'!$G$70*(8*12.73)+'LINEST VARS'!$F$70*(8*$CM$128)+'LINEST VARS'!$E$70*(8*$BX129)+'LINEST VARS'!$D$70*(8*12.73)+'LINEST VARS'!$C$70*($CM$128*$BX129)+'LINEST VARS'!$B$70*($CM$128*12.73)+'LINEST VARS'!$A$70*($BX129*12.73)</f>
        <v>86.40000000000002</v>
      </c>
      <c r="CN129" s="46">
        <f>'LINEST VARS'!$U$70+'LINEST VARS'!$T$70*(8)+'LINEST VARS'!$S$70*(8)+'LINEST VARS'!$R$70*($CN$128)+'LINEST VARS'!$Q$70*($BX129)+'LINEST VARS'!$P$70*(12.73)+'LINEST VARS'!$O$70*(8^2)+'LINEST VARS'!$N$70*(8^2)+'LINEST VARS'!$M$70*($CN$128^2)+'LINEST VARS'!$L$70*($BX129^2)+'LINEST VARS'!$K$70*(12.73^2)+'LINEST VARS'!$J$70*(8*8)+'LINEST VARS'!$I$70*(8*$CN$128)+'LINEST VARS'!$H$70*(8*$BX129)+'LINEST VARS'!$G$70*(8*12.73)+'LINEST VARS'!$F$70*(8*$CN$128)+'LINEST VARS'!$E$70*(8*$BX129)+'LINEST VARS'!$D$70*(8*12.73)+'LINEST VARS'!$C$70*($CN$128*$BX129)+'LINEST VARS'!$B$70*($CN$128*12.73)+'LINEST VARS'!$A$70*($BX129*12.73)</f>
        <v>86.000000000000014</v>
      </c>
      <c r="CO129" s="46">
        <f>'LINEST VARS'!$U$70+'LINEST VARS'!$T$70*(8)+'LINEST VARS'!$S$70*(8)+'LINEST VARS'!$R$70*($CO$128)+'LINEST VARS'!$Q$70*($BX129)+'LINEST VARS'!$P$70*(12.73)+'LINEST VARS'!$O$70*(8^2)+'LINEST VARS'!$N$70*(8^2)+'LINEST VARS'!$M$70*($CO$128^2)+'LINEST VARS'!$L$70*($BX129^2)+'LINEST VARS'!$K$70*(12.73^2)+'LINEST VARS'!$J$70*(8*8)+'LINEST VARS'!$I$70*(8*$CO$128)+'LINEST VARS'!$H$70*(8*$BX129)+'LINEST VARS'!$G$70*(8*12.73)+'LINEST VARS'!$F$70*(8*$CO$128)+'LINEST VARS'!$E$70*(8*$BX129)+'LINEST VARS'!$D$70*(8*12.73)+'LINEST VARS'!$C$70*($CO$128*$BX129)+'LINEST VARS'!$B$70*($CO$128*12.73)+'LINEST VARS'!$A$70*($BX129*12.73)</f>
        <v>85.600000000000009</v>
      </c>
      <c r="CP129" s="46">
        <f>'LINEST VARS'!$U$70+'LINEST VARS'!$T$70*(8)+'LINEST VARS'!$S$70*(8)+'LINEST VARS'!$R$70*($CP$128)+'LINEST VARS'!$Q$70*($BX129)+'LINEST VARS'!$P$70*(12.73)+'LINEST VARS'!$O$70*(8^2)+'LINEST VARS'!$N$70*(8^2)+'LINEST VARS'!$M$70*($CP$128^2)+'LINEST VARS'!$L$70*($BX129^2)+'LINEST VARS'!$K$70*(12.73^2)+'LINEST VARS'!$J$70*(8*8)+'LINEST VARS'!$I$70*(8*$CP$128)+'LINEST VARS'!$H$70*(8*$BX129)+'LINEST VARS'!$G$70*(8*12.73)+'LINEST VARS'!$F$70*(8*$CP$128)+'LINEST VARS'!$E$70*(8*$BX129)+'LINEST VARS'!$D$70*(8*12.73)+'LINEST VARS'!$C$70*($CP$128*$BX129)+'LINEST VARS'!$B$70*($CP$128*12.73)+'LINEST VARS'!$A$70*($BX129*12.73)</f>
        <v>85.200000000000017</v>
      </c>
      <c r="CQ129" s="46">
        <f>'LINEST VARS'!$U$70+'LINEST VARS'!$T$70*(8)+'LINEST VARS'!$S$70*(8)+'LINEST VARS'!$R$70*($CQ$128)+'LINEST VARS'!$Q$70*($BX129)+'LINEST VARS'!$P$70*(12.73)+'LINEST VARS'!$O$70*(8^2)+'LINEST VARS'!$N$70*(8^2)+'LINEST VARS'!$M$70*($CQ$128^2)+'LINEST VARS'!$L$70*($BX129^2)+'LINEST VARS'!$K$70*(12.73^2)+'LINEST VARS'!$J$70*(8*8)+'LINEST VARS'!$I$70*(8*$CQ$128)+'LINEST VARS'!$H$70*(8*$BX129)+'LINEST VARS'!$G$70*(8*12.73)+'LINEST VARS'!$F$70*(8*$CQ$128)+'LINEST VARS'!$E$70*(8*$BX129)+'LINEST VARS'!$D$70*(8*12.73)+'LINEST VARS'!$C$70*($CQ$128*$BX129)+'LINEST VARS'!$B$70*($CQ$128*12.73)+'LINEST VARS'!$A$70*($BX129*12.73)</f>
        <v>84.800000000000011</v>
      </c>
      <c r="CR129" s="46">
        <f>'LINEST VARS'!$U$70+'LINEST VARS'!$T$70*(8)+'LINEST VARS'!$S$70*(8)+'LINEST VARS'!$R$70*($CR$128)+'LINEST VARS'!$Q$70*($BX129)+'LINEST VARS'!$P$70*(12.73)+'LINEST VARS'!$O$70*(8^2)+'LINEST VARS'!$N$70*(8^2)+'LINEST VARS'!$M$70*($CR$128^2)+'LINEST VARS'!$L$70*($BX129^2)+'LINEST VARS'!$K$70*(12.73^2)+'LINEST VARS'!$J$70*(8*8)+'LINEST VARS'!$I$70*(8*$CR$128)+'LINEST VARS'!$H$70*(8*$BX129)+'LINEST VARS'!$G$70*(8*12.73)+'LINEST VARS'!$F$70*(8*$CR$128)+'LINEST VARS'!$E$70*(8*$BX129)+'LINEST VARS'!$D$70*(8*12.73)+'LINEST VARS'!$C$70*($CR$128*$BX129)+'LINEST VARS'!$B$70*($CR$128*12.73)+'LINEST VARS'!$A$70*($BX129*12.73)</f>
        <v>84.400000000000034</v>
      </c>
      <c r="CS129" s="47">
        <f>'LINEST VARS'!$U$70+'LINEST VARS'!$T$70*(8)+'LINEST VARS'!$S$70*(8)+'LINEST VARS'!$R$70*($CS$128)+'LINEST VARS'!$Q$70*($BX129)+'LINEST VARS'!$P$70*(12.73)+'LINEST VARS'!$O$70*(8^2)+'LINEST VARS'!$N$70*(8^2)+'LINEST VARS'!$M$70*($CS$128^2)+'LINEST VARS'!$L$70*($BX129^2)+'LINEST VARS'!$K$70*(12.73^2)+'LINEST VARS'!$J$70*(8*8)+'LINEST VARS'!$I$70*(8*$CS$128)+'LINEST VARS'!$H$70*(8*$BX129)+'LINEST VARS'!$G$70*(8*12.73)+'LINEST VARS'!$F$70*(8*$CS$128)+'LINEST VARS'!$E$70*(8*$BX129)+'LINEST VARS'!$D$70*(8*12.73)+'LINEST VARS'!$C$70*($CS$128*$BX129)+'LINEST VARS'!$B$70*($CS$128*12.73)+'LINEST VARS'!$A$70*($BX129*12.73)</f>
        <v>84.000000000000028</v>
      </c>
      <c r="CX129" s="45">
        <v>0</v>
      </c>
      <c r="CY129" s="46">
        <f>'LINEST VARS'!$U$68+'LINEST VARS'!$T$68*(8)+'LINEST VARS'!$S$68*(8)+'LINEST VARS'!$R$68*($CY$128)+'LINEST VARS'!$Q$68*(0.5)+'LINEST VARS'!$P$68*($CX129)+'LINEST VARS'!$O$68*(8^2)+'LINEST VARS'!$N$68*(8^2)+'LINEST VARS'!$M$68*($CY$128^2)+'LINEST VARS'!$L$68*(0.5^2)+'LINEST VARS'!$K$68*($CX129^2)+'LINEST VARS'!$J$68*(8*8)+'LINEST VARS'!$I$68*(8*$CY$128)+'LINEST VARS'!$H$68*(8*0.5)+'LINEST VARS'!$G$68*(8*$CX129)+'LINEST VARS'!$F$68*(8*$CY$128)+'LINEST VARS'!$E$68*(8*0.5)+'LINEST VARS'!$D$68*(8*$CX129)+'LINEST VARS'!$C$68*($CY$128*0.5)+'LINEST VARS'!$B$68*($CY$128*$CX129)+'LINEST VARS'!$A$68*(0.5*$CX129)</f>
        <v>149</v>
      </c>
      <c r="CZ129" s="46">
        <f>'LINEST VARS'!$U$68+'LINEST VARS'!$T$68*(8)+'LINEST VARS'!$S$68*(8)+'LINEST VARS'!$R$68*($CZ$128)+'LINEST VARS'!$Q$68*(0.5)+'LINEST VARS'!$P$68*($CX129)+'LINEST VARS'!$O$68*(8^2)+'LINEST VARS'!$N$68*(8^2)+'LINEST VARS'!$M$68*($CZ$128^2)+'LINEST VARS'!$L$68*(0.5^2)+'LINEST VARS'!$K$68*($CX129^2)+'LINEST VARS'!$J$68*(8*8)+'LINEST VARS'!$I$68*(8*$CZ$128)+'LINEST VARS'!$H$68*(8*0.5)+'LINEST VARS'!$G$68*(8*$CX129)+'LINEST VARS'!$F$68*(8*$CZ$128)+'LINEST VARS'!$E$68*(8*0.5)+'LINEST VARS'!$D$68*(8*$CX129)+'LINEST VARS'!$C$68*($CZ$128*0.5)+'LINEST VARS'!$B$68*($CZ$128*$CX129)+'LINEST VARS'!$A$68*(0.5*$CX129)</f>
        <v>149</v>
      </c>
      <c r="DA129" s="46">
        <f>'LINEST VARS'!$U$68+'LINEST VARS'!$T$68*(8)+'LINEST VARS'!$S$68*(8)+'LINEST VARS'!$R$68*($DA$128)+'LINEST VARS'!$Q$68*(0.5)+'LINEST VARS'!$P$68*($CX129)+'LINEST VARS'!$O$68*(8^2)+'LINEST VARS'!$N$68*(8^2)+'LINEST VARS'!$M$68*($DA$128^2)+'LINEST VARS'!$L$68*(0.5^2)+'LINEST VARS'!$K$68*($CX129^2)+'LINEST VARS'!$J$68*(8*8)+'LINEST VARS'!$I$68*(8*$DA$128)+'LINEST VARS'!$H$68*(8*0.5)+'LINEST VARS'!$G$68*(8*$CX129)+'LINEST VARS'!$F$68*(8*$DA$128)+'LINEST VARS'!$E$68*(8*0.5)+'LINEST VARS'!$D$68*(8*$CX129)+'LINEST VARS'!$C$68*($DA$128*0.5)+'LINEST VARS'!$B$68*($DA$128*$CX129)+'LINEST VARS'!$A$68*(0.5*$CX129)</f>
        <v>149</v>
      </c>
      <c r="DB129" s="46">
        <f>'LINEST VARS'!$U$68+'LINEST VARS'!$T$68*(8)+'LINEST VARS'!$S$68*(8)+'LINEST VARS'!$R$68*($DB$128)+'LINEST VARS'!$Q$68*(0.5)+'LINEST VARS'!$P$68*($CX129)+'LINEST VARS'!$O$68*(8^2)+'LINEST VARS'!$N$68*(8^2)+'LINEST VARS'!$M$68*($DB$128^2)+'LINEST VARS'!$L$68*(0.5^2)+'LINEST VARS'!$K$68*($CX129^2)+'LINEST VARS'!$J$68*(8*8)+'LINEST VARS'!$I$68*(8*$DB$128)+'LINEST VARS'!$H$68*(8*0.5)+'LINEST VARS'!$G$68*(8*$CX129)+'LINEST VARS'!$F$68*(8*$DB$128)+'LINEST VARS'!$E$68*(8*0.5)+'LINEST VARS'!$D$68*(8*$CX129)+'LINEST VARS'!$C$68*($DB$128*0.5)+'LINEST VARS'!$B$68*($DB$128*$CX129)+'LINEST VARS'!$A$68*(0.5*$CX129)</f>
        <v>149</v>
      </c>
      <c r="DC129" s="46">
        <f>'LINEST VARS'!$U$68+'LINEST VARS'!$T$68*(8)+'LINEST VARS'!$S$68*(8)+'LINEST VARS'!$R$68*($DC$128)+'LINEST VARS'!$Q$68*(0.5)+'LINEST VARS'!$P$68*($CX129)+'LINEST VARS'!$O$68*(8^2)+'LINEST VARS'!$N$68*(8^2)+'LINEST VARS'!$M$68*($DC$128^2)+'LINEST VARS'!$L$68*(0.5^2)+'LINEST VARS'!$K$68*($CX129^2)+'LINEST VARS'!$J$68*(8*8)+'LINEST VARS'!$I$68*(8*$DC$128)+'LINEST VARS'!$H$68*(8*0.5)+'LINEST VARS'!$G$68*(8*$CX129)+'LINEST VARS'!$F$68*(8*$DC$128)+'LINEST VARS'!$E$68*(8*0.5)+'LINEST VARS'!$D$68*(8*$CX129)+'LINEST VARS'!$C$68*($DC$128*0.5)+'LINEST VARS'!$B$68*($DC$128*$CX129)+'LINEST VARS'!$A$68*(0.5*$CX129)</f>
        <v>149</v>
      </c>
      <c r="DD129" s="46">
        <f>'LINEST VARS'!$U$68+'LINEST VARS'!$T$68*(8)+'LINEST VARS'!$S$68*(8)+'LINEST VARS'!$R$68*($DD$128)+'LINEST VARS'!$Q$68*(0.5)+'LINEST VARS'!$P$68*($CX129)+'LINEST VARS'!$O$68*(8^2)+'LINEST VARS'!$N$68*(8^2)+'LINEST VARS'!$M$68*($DD$128^2)+'LINEST VARS'!$L$68*(0.5^2)+'LINEST VARS'!$K$68*($CX129^2)+'LINEST VARS'!$J$68*(8*8)+'LINEST VARS'!$I$68*(8*$DD$128)+'LINEST VARS'!$H$68*(8*0.5)+'LINEST VARS'!$G$68*(8*$CX129)+'LINEST VARS'!$F$68*(8*$DD$128)+'LINEST VARS'!$E$68*(8*0.5)+'LINEST VARS'!$D$68*(8*$CX129)+'LINEST VARS'!$C$68*($DD$128*0.5)+'LINEST VARS'!$B$68*($DD$128*$CX129)+'LINEST VARS'!$A$68*(0.5*$CX129)</f>
        <v>149</v>
      </c>
      <c r="DE129" s="46">
        <f>'LINEST VARS'!$U$68+'LINEST VARS'!$T$68*(8)+'LINEST VARS'!$S$68*(8)+'LINEST VARS'!$R$68*($DE$128)+'LINEST VARS'!$Q$68*(0.5)+'LINEST VARS'!$P$68*($CX129)+'LINEST VARS'!$O$68*(8^2)+'LINEST VARS'!$N$68*(8^2)+'LINEST VARS'!$M$68*($DE$128^2)+'LINEST VARS'!$L$68*(0.5^2)+'LINEST VARS'!$K$68*($CX129^2)+'LINEST VARS'!$J$68*(8*8)+'LINEST VARS'!$I$68*(8*$DE$128)+'LINEST VARS'!$H$68*(8*0.5)+'LINEST VARS'!$G$68*(8*$CX129)+'LINEST VARS'!$F$68*(8*$DE$128)+'LINEST VARS'!$E$68*(8*0.5)+'LINEST VARS'!$D$68*(8*$CX129)+'LINEST VARS'!$C$68*($DE$128*0.5)+'LINEST VARS'!$B$68*($DE$128*$CX129)+'LINEST VARS'!$A$68*(0.5*$CX129)</f>
        <v>149</v>
      </c>
      <c r="DF129" s="46">
        <f>'LINEST VARS'!$U$68+'LINEST VARS'!$T$68*(8)+'LINEST VARS'!$S$68*(8)+'LINEST VARS'!$R$68*($DF$128)+'LINEST VARS'!$Q$68*(0.5)+'LINEST VARS'!$P$68*($CX129)+'LINEST VARS'!$O$68*(8^2)+'LINEST VARS'!$N$68*(8^2)+'LINEST VARS'!$M$68*($DF$128^2)+'LINEST VARS'!$L$68*(0.5^2)+'LINEST VARS'!$K$68*($CX129^2)+'LINEST VARS'!$J$68*(8*8)+'LINEST VARS'!$I$68*(8*$DF$128)+'LINEST VARS'!$H$68*(8*0.5)+'LINEST VARS'!$G$68*(8*$CX129)+'LINEST VARS'!$F$68*(8*$DF$128)+'LINEST VARS'!$E$68*(8*0.5)+'LINEST VARS'!$D$68*(8*$CX129)+'LINEST VARS'!$C$68*($DF$128*0.5)+'LINEST VARS'!$B$68*($DF$128*$CX129)+'LINEST VARS'!$A$68*(0.5*$CX129)</f>
        <v>149</v>
      </c>
      <c r="DG129" s="46">
        <f>'LINEST VARS'!$U$68+'LINEST VARS'!$T$68*(8)+'LINEST VARS'!$S$68*(8)+'LINEST VARS'!$R$68*($DG$128)+'LINEST VARS'!$Q$68*(0.5)+'LINEST VARS'!$P$68*($CX129)+'LINEST VARS'!$O$68*(8^2)+'LINEST VARS'!$N$68*(8^2)+'LINEST VARS'!$M$68*($DG$128^2)+'LINEST VARS'!$L$68*(0.5^2)+'LINEST VARS'!$K$68*($CX129^2)+'LINEST VARS'!$J$68*(8*8)+'LINEST VARS'!$I$68*(8*$DG$128)+'LINEST VARS'!$H$68*(8*0.5)+'LINEST VARS'!$G$68*(8*$CX129)+'LINEST VARS'!$F$68*(8*$DG$128)+'LINEST VARS'!$E$68*(8*0.5)+'LINEST VARS'!$D$68*(8*$CX129)+'LINEST VARS'!$C$68*($DG$128*0.5)+'LINEST VARS'!$B$68*($DG$128*$CX129)+'LINEST VARS'!$A$68*(0.5*$CX129)</f>
        <v>149</v>
      </c>
      <c r="DH129" s="46">
        <f>'LINEST VARS'!$U$68+'LINEST VARS'!$T$68*(8)+'LINEST VARS'!$S$68*(8)+'LINEST VARS'!$R$68*($DH$128)+'LINEST VARS'!$Q$68*(0.5)+'LINEST VARS'!$P$68*($CX129)+'LINEST VARS'!$O$68*(8^2)+'LINEST VARS'!$N$68*(8^2)+'LINEST VARS'!$M$68*($DH$128^2)+'LINEST VARS'!$L$68*(0.5^2)+'LINEST VARS'!$K$68*($CX129^2)+'LINEST VARS'!$J$68*(8*8)+'LINEST VARS'!$I$68*(8*$DH$128)+'LINEST VARS'!$H$68*(8*0.5)+'LINEST VARS'!$G$68*(8*$CX129)+'LINEST VARS'!$F$68*(8*$DH$128)+'LINEST VARS'!$E$68*(8*0.5)+'LINEST VARS'!$D$68*(8*$CX129)+'LINEST VARS'!$C$68*($DH$128*0.5)+'LINEST VARS'!$B$68*($DH$128*$CX129)+'LINEST VARS'!$A$68*(0.5*$CX129)</f>
        <v>149</v>
      </c>
      <c r="DI129" s="46">
        <f>'LINEST VARS'!$U$68+'LINEST VARS'!$T$68*(8)+'LINEST VARS'!$S$68*(8)+'LINEST VARS'!$R$68*($DI$128)+'LINEST VARS'!$Q$68*(0.5)+'LINEST VARS'!$P$68*($CX129)+'LINEST VARS'!$O$68*(8^2)+'LINEST VARS'!$N$68*(8^2)+'LINEST VARS'!$M$68*($DI$128^2)+'LINEST VARS'!$L$68*(0.5^2)+'LINEST VARS'!$K$68*($CX129^2)+'LINEST VARS'!$J$68*(8*8)+'LINEST VARS'!$I$68*(8*$DI$128)+'LINEST VARS'!$H$68*(8*0.5)+'LINEST VARS'!$G$68*(8*$CX129)+'LINEST VARS'!$F$68*(8*$DI$128)+'LINEST VARS'!$E$68*(8*0.5)+'LINEST VARS'!$D$68*(8*$CX129)+'LINEST VARS'!$C$68*($DI$128*0.5)+'LINEST VARS'!$B$68*($DI$128*$CX129)+'LINEST VARS'!$A$68*(0.5*$CX129)</f>
        <v>149</v>
      </c>
      <c r="DJ129" s="46">
        <f>'LINEST VARS'!$U$68+'LINEST VARS'!$T$68*(8)+'LINEST VARS'!$S$68*(8)+'LINEST VARS'!$R$68*($DJ$128)+'LINEST VARS'!$Q$68*(0.5)+'LINEST VARS'!$P$68*($CX129)+'LINEST VARS'!$O$68*(8^2)+'LINEST VARS'!$N$68*(8^2)+'LINEST VARS'!$M$68*($DJ$128^2)+'LINEST VARS'!$L$68*(0.5^2)+'LINEST VARS'!$K$68*($CX129^2)+'LINEST VARS'!$J$68*(8*8)+'LINEST VARS'!$I$68*(8*$DJ$128)+'LINEST VARS'!$H$68*(8*0.5)+'LINEST VARS'!$G$68*(8*$CX129)+'LINEST VARS'!$F$68*(8*$DJ$128)+'LINEST VARS'!$E$68*(8*0.5)+'LINEST VARS'!$D$68*(8*$CX129)+'LINEST VARS'!$C$68*($DJ$128*0.5)+'LINEST VARS'!$B$68*($DJ$128*$CX129)+'LINEST VARS'!$A$68*(0.5*$CX129)</f>
        <v>149</v>
      </c>
      <c r="DK129" s="46">
        <f>'LINEST VARS'!$U$68+'LINEST VARS'!$T$68*(8)+'LINEST VARS'!$S$68*(8)+'LINEST VARS'!$R$68*($DK$128)+'LINEST VARS'!$Q$68*(0.5)+'LINEST VARS'!$P$68*($CX129)+'LINEST VARS'!$O$68*(8^2)+'LINEST VARS'!$N$68*(8^2)+'LINEST VARS'!$M$68*($DK$128^2)+'LINEST VARS'!$L$68*(0.5^2)+'LINEST VARS'!$K$68*($CX129^2)+'LINEST VARS'!$J$68*(8*8)+'LINEST VARS'!$I$68*(8*$DK$128)+'LINEST VARS'!$H$68*(8*0.5)+'LINEST VARS'!$G$68*(8*$CX129)+'LINEST VARS'!$F$68*(8*$DK$128)+'LINEST VARS'!$E$68*(8*0.5)+'LINEST VARS'!$D$68*(8*$CX129)+'LINEST VARS'!$C$68*($DK$128*0.5)+'LINEST VARS'!$B$68*($DK$128*$CX129)+'LINEST VARS'!$A$68*(0.5*$CX129)</f>
        <v>149</v>
      </c>
      <c r="DL129" s="46">
        <f>'LINEST VARS'!$U$68+'LINEST VARS'!$T$68*(8)+'LINEST VARS'!$S$68*(8)+'LINEST VARS'!$R$68*($DL$128)+'LINEST VARS'!$Q$68*(0.5)+'LINEST VARS'!$P$68*($CX129)+'LINEST VARS'!$O$68*(8^2)+'LINEST VARS'!$N$68*(8^2)+'LINEST VARS'!$M$68*($DL$128^2)+'LINEST VARS'!$L$68*(0.5^2)+'LINEST VARS'!$K$68*($CX129^2)+'LINEST VARS'!$J$68*(8*8)+'LINEST VARS'!$I$68*(8*$DL$128)+'LINEST VARS'!$H$68*(8*0.5)+'LINEST VARS'!$G$68*(8*$CX129)+'LINEST VARS'!$F$68*(8*$DL$128)+'LINEST VARS'!$E$68*(8*0.5)+'LINEST VARS'!$D$68*(8*$CX129)+'LINEST VARS'!$C$68*($DL$128*0.5)+'LINEST VARS'!$B$68*($DL$128*$CX129)+'LINEST VARS'!$A$68*(0.5*$CX129)</f>
        <v>149</v>
      </c>
      <c r="DM129" s="46">
        <f>'LINEST VARS'!$U$68+'LINEST VARS'!$T$68*(8)+'LINEST VARS'!$S$68*(8)+'LINEST VARS'!$R$68*($DM$128)+'LINEST VARS'!$Q$68*(0.5)+'LINEST VARS'!$P$68*($CX129)+'LINEST VARS'!$O$68*(8^2)+'LINEST VARS'!$N$68*(8^2)+'LINEST VARS'!$M$68*($DM$128^2)+'LINEST VARS'!$L$68*(0.5^2)+'LINEST VARS'!$K$68*($CX129^2)+'LINEST VARS'!$J$68*(8*8)+'LINEST VARS'!$I$68*(8*$DM$128)+'LINEST VARS'!$H$68*(8*0.5)+'LINEST VARS'!$G$68*(8*$CX129)+'LINEST VARS'!$F$68*(8*$DM$128)+'LINEST VARS'!$E$68*(8*0.5)+'LINEST VARS'!$D$68*(8*$CX129)+'LINEST VARS'!$C$68*($DM$128*0.5)+'LINEST VARS'!$B$68*($DM$128*$CX129)+'LINEST VARS'!$A$68*(0.5*$CX129)</f>
        <v>149</v>
      </c>
      <c r="DN129" s="46">
        <f>'LINEST VARS'!$U$68+'LINEST VARS'!$T$68*(8)+'LINEST VARS'!$S$68*(8)+'LINEST VARS'!$R$68*($DN$128)+'LINEST VARS'!$Q$68*(0.5)+'LINEST VARS'!$P$68*($CX129)+'LINEST VARS'!$O$68*(8^2)+'LINEST VARS'!$N$68*(8^2)+'LINEST VARS'!$M$68*($DN$128^2)+'LINEST VARS'!$L$68*(0.5^2)+'LINEST VARS'!$K$68*($CX129^2)+'LINEST VARS'!$J$68*(8*8)+'LINEST VARS'!$I$68*(8*$DN$128)+'LINEST VARS'!$H$68*(8*0.5)+'LINEST VARS'!$G$68*(8*$CX129)+'LINEST VARS'!$F$68*(8*$DN$128)+'LINEST VARS'!$E$68*(8*0.5)+'LINEST VARS'!$D$68*(8*$CX129)+'LINEST VARS'!$C$68*($DN$128*0.5)+'LINEST VARS'!$B$68*($DN$128*$CX129)+'LINEST VARS'!$A$68*(0.5*$CX129)</f>
        <v>149</v>
      </c>
      <c r="DO129" s="46">
        <f>'LINEST VARS'!$U$68+'LINEST VARS'!$T$68*(8)+'LINEST VARS'!$S$68*(8)+'LINEST VARS'!$R$68*($DO$128)+'LINEST VARS'!$Q$68*(0.5)+'LINEST VARS'!$P$68*($CX129)+'LINEST VARS'!$O$68*(8^2)+'LINEST VARS'!$N$68*(8^2)+'LINEST VARS'!$M$68*($DO$128^2)+'LINEST VARS'!$L$68*(0.5^2)+'LINEST VARS'!$K$68*($CX129^2)+'LINEST VARS'!$J$68*(8*8)+'LINEST VARS'!$I$68*(8*$DO$128)+'LINEST VARS'!$H$68*(8*0.5)+'LINEST VARS'!$G$68*(8*$CX129)+'LINEST VARS'!$F$68*(8*$DO$128)+'LINEST VARS'!$E$68*(8*0.5)+'LINEST VARS'!$D$68*(8*$CX129)+'LINEST VARS'!$C$68*($DO$128*0.5)+'LINEST VARS'!$B$68*($DO$128*$CX129)+'LINEST VARS'!$A$68*(0.5*$CX129)</f>
        <v>149</v>
      </c>
      <c r="DP129" s="46">
        <f>'LINEST VARS'!$U$68+'LINEST VARS'!$T$68*(8)+'LINEST VARS'!$S$68*(8)+'LINEST VARS'!$R$68*($DP$128)+'LINEST VARS'!$Q$68*(0.5)+'LINEST VARS'!$P$68*($CX129)+'LINEST VARS'!$O$68*(8^2)+'LINEST VARS'!$N$68*(8^2)+'LINEST VARS'!$M$68*($DP$128^2)+'LINEST VARS'!$L$68*(0.5^2)+'LINEST VARS'!$K$68*($CX129^2)+'LINEST VARS'!$J$68*(8*8)+'LINEST VARS'!$I$68*(8*$DP$128)+'LINEST VARS'!$H$68*(8*0.5)+'LINEST VARS'!$G$68*(8*$CX129)+'LINEST VARS'!$F$68*(8*$DP$128)+'LINEST VARS'!$E$68*(8*0.5)+'LINEST VARS'!$D$68*(8*$CX129)+'LINEST VARS'!$C$68*($DP$128*0.5)+'LINEST VARS'!$B$68*($DP$128*$CX129)+'LINEST VARS'!$A$68*(0.5*$CX129)</f>
        <v>149</v>
      </c>
      <c r="DQ129" s="46">
        <f>'LINEST VARS'!$U$68+'LINEST VARS'!$T$68*(8)+'LINEST VARS'!$S$68*(8)+'LINEST VARS'!$R$68*($DQ$128)+'LINEST VARS'!$Q$68*(0.5)+'LINEST VARS'!$P$68*($CX129)+'LINEST VARS'!$O$68*(8^2)+'LINEST VARS'!$N$68*(8^2)+'LINEST VARS'!$M$68*($DQ$128^2)+'LINEST VARS'!$L$68*(0.5^2)+'LINEST VARS'!$K$68*($CX129^2)+'LINEST VARS'!$J$68*(8*8)+'LINEST VARS'!$I$68*(8*$DQ$128)+'LINEST VARS'!$H$68*(8*0.5)+'LINEST VARS'!$G$68*(8*$CX129)+'LINEST VARS'!$F$68*(8*$DQ$128)+'LINEST VARS'!$E$68*(8*0.5)+'LINEST VARS'!$D$68*(8*$CX129)+'LINEST VARS'!$C$68*($DQ$128*0.5)+'LINEST VARS'!$B$68*($DQ$128*$CX129)+'LINEST VARS'!$A$68*(0.5*$CX129)</f>
        <v>149</v>
      </c>
      <c r="DR129" s="46">
        <f>'LINEST VARS'!$U$68+'LINEST VARS'!$T$68*(8)+'LINEST VARS'!$S$68*(8)+'LINEST VARS'!$R$68*($DR$128)+'LINEST VARS'!$Q$68*(0.5)+'LINEST VARS'!$P$68*($CX129)+'LINEST VARS'!$O$68*(8^2)+'LINEST VARS'!$N$68*(8^2)+'LINEST VARS'!$M$68*($DR$128^2)+'LINEST VARS'!$L$68*(0.5^2)+'LINEST VARS'!$K$68*($CX129^2)+'LINEST VARS'!$J$68*(8*8)+'LINEST VARS'!$I$68*(8*$DR$128)+'LINEST VARS'!$H$68*(8*0.5)+'LINEST VARS'!$G$68*(8*$CX129)+'LINEST VARS'!$F$68*(8*$DR$128)+'LINEST VARS'!$E$68*(8*0.5)+'LINEST VARS'!$D$68*(8*$CX129)+'LINEST VARS'!$C$68*($DR$128*0.5)+'LINEST VARS'!$B$68*($DR$128*$CX129)+'LINEST VARS'!$A$68*(0.5*$CX129)</f>
        <v>149</v>
      </c>
      <c r="DS129" s="47">
        <f>'LINEST VARS'!$U$68+'LINEST VARS'!$T$68*(8)+'LINEST VARS'!$S$68*(8)+'LINEST VARS'!$R$68*($DS$128)+'LINEST VARS'!$Q$68*(0.5)+'LINEST VARS'!$P$68*($CX129)+'LINEST VARS'!$O$68*(8^2)+'LINEST VARS'!$N$68*(8^2)+'LINEST VARS'!$M$68*($DS$128^2)+'LINEST VARS'!$L$68*(0.5^2)+'LINEST VARS'!$K$68*($CX129^2)+'LINEST VARS'!$J$68*(8*8)+'LINEST VARS'!$I$68*(8*$DS$128)+'LINEST VARS'!$H$68*(8*0.5)+'LINEST VARS'!$G$68*(8*$CX129)+'LINEST VARS'!$F$68*(8*$DS$128)+'LINEST VARS'!$E$68*(8*0.5)+'LINEST VARS'!$D$68*(8*$CX129)+'LINEST VARS'!$C$68*($DS$128*0.5)+'LINEST VARS'!$B$68*($DS$128*$CX129)+'LINEST VARS'!$A$68*(0.5*$CX129)</f>
        <v>149</v>
      </c>
      <c r="DV129" s="45">
        <v>0</v>
      </c>
      <c r="DW129" s="46">
        <f>'LINEST VARS'!$U$70+'LINEST VARS'!$T$70*(8)+'LINEST VARS'!$S$70*(8)+'LINEST VARS'!$R$70*($DW$128)+'LINEST VARS'!$Q$70*(0.5)+'LINEST VARS'!$P$70*($DV129)+'LINEST VARS'!$O$70*(8^2)+'LINEST VARS'!$N$70*(8^2)+'LINEST VARS'!$M$70*($DW$128^2)+'LINEST VARS'!$L$70*(0.5^2)+'LINEST VARS'!$K$70*($DV129^2)+'LINEST VARS'!$J$70*(8*8)+'LINEST VARS'!$I$70*(8*$DW$128)+'LINEST VARS'!$H$70*(8*0.5)+'LINEST VARS'!$G$70*(8*$DV129)+'LINEST VARS'!$F$70*(8*$DW$128)+'LINEST VARS'!$E$70*(8*0.5)+'LINEST VARS'!$D$70*(8*$DV129)+'LINEST VARS'!$C$70*($DW$128*0.5)+'LINEST VARS'!$B$70*($DW$128*$DV129)+'LINEST VARS'!$A$70*(0.5*$DV129)</f>
        <v>92.000000000000014</v>
      </c>
      <c r="DX129" s="46">
        <f>'LINEST VARS'!$U$70+'LINEST VARS'!$T$70*(8)+'LINEST VARS'!$S$70*(8)+'LINEST VARS'!$R$70*($DX$128)+'LINEST VARS'!$Q$70*(0.5)+'LINEST VARS'!$P$70*($DV129)+'LINEST VARS'!$O$70*(8^2)+'LINEST VARS'!$N$70*(8^2)+'LINEST VARS'!$M$70*($DX$128^2)+'LINEST VARS'!$L$70*(0.5^2)+'LINEST VARS'!$K$70*($DV129^2)+'LINEST VARS'!$J$70*(8*8)+'LINEST VARS'!$I$70*(8*$DX$128)+'LINEST VARS'!$H$70*(8*0.5)+'LINEST VARS'!$G$70*(8*$DV129)+'LINEST VARS'!$F$70*(8*$DX$128)+'LINEST VARS'!$E$70*(8*0.5)+'LINEST VARS'!$D$70*(8*$DV129)+'LINEST VARS'!$C$70*($DX$128*0.5)+'LINEST VARS'!$B$70*($DX$128*$DV129)+'LINEST VARS'!$A$70*(0.5*$DV129)</f>
        <v>91.600000000000009</v>
      </c>
      <c r="DY129" s="46">
        <f>'LINEST VARS'!$U$70+'LINEST VARS'!$T$70*(8)+'LINEST VARS'!$S$70*(8)+'LINEST VARS'!$R$70*($DY$128)+'LINEST VARS'!$Q$70*(0.5)+'LINEST VARS'!$P$70*($DV129)+'LINEST VARS'!$O$70*(8^2)+'LINEST VARS'!$N$70*(8^2)+'LINEST VARS'!$M$70*($DY$128^2)+'LINEST VARS'!$L$70*(0.5^2)+'LINEST VARS'!$K$70*($DV129^2)+'LINEST VARS'!$J$70*(8*8)+'LINEST VARS'!$I$70*(8*$DY$128)+'LINEST VARS'!$H$70*(8*0.5)+'LINEST VARS'!$G$70*(8*$DV129)+'LINEST VARS'!$F$70*(8*$DY$128)+'LINEST VARS'!$E$70*(8*0.5)+'LINEST VARS'!$D$70*(8*$DV129)+'LINEST VARS'!$C$70*($DY$128*0.5)+'LINEST VARS'!$B$70*($DY$128*$DV129)+'LINEST VARS'!$A$70*(0.5*$DV129)</f>
        <v>91.200000000000017</v>
      </c>
      <c r="DZ129" s="46">
        <f>'LINEST VARS'!$U$70+'LINEST VARS'!$T$70*(8)+'LINEST VARS'!$S$70*(8)+'LINEST VARS'!$R$70*($DZ$128)+'LINEST VARS'!$Q$70*(0.5)+'LINEST VARS'!$P$70*($DV129)+'LINEST VARS'!$O$70*(8^2)+'LINEST VARS'!$N$70*(8^2)+'LINEST VARS'!$M$70*($DZ$128^2)+'LINEST VARS'!$L$70*(0.5^2)+'LINEST VARS'!$K$70*($DV129^2)+'LINEST VARS'!$J$70*(8*8)+'LINEST VARS'!$I$70*(8*$DZ$128)+'LINEST VARS'!$H$70*(8*0.5)+'LINEST VARS'!$G$70*(8*$DV129)+'LINEST VARS'!$F$70*(8*$DZ$128)+'LINEST VARS'!$E$70*(8*0.5)+'LINEST VARS'!$D$70*(8*$DV129)+'LINEST VARS'!$C$70*($DZ$128*0.5)+'LINEST VARS'!$B$70*($DZ$128*$DV129)+'LINEST VARS'!$A$70*(0.5*$DV129)</f>
        <v>90.800000000000011</v>
      </c>
      <c r="EA129" s="46">
        <f>'LINEST VARS'!$U$70+'LINEST VARS'!$T$70*(8)+'LINEST VARS'!$S$70*(8)+'LINEST VARS'!$R$70*($EA$128)+'LINEST VARS'!$Q$70*(0.5)+'LINEST VARS'!$P$70*($DV129)+'LINEST VARS'!$O$70*(8^2)+'LINEST VARS'!$N$70*(8^2)+'LINEST VARS'!$M$70*($EA$128^2)+'LINEST VARS'!$L$70*(0.5^2)+'LINEST VARS'!$K$70*($DV129^2)+'LINEST VARS'!$J$70*(8*8)+'LINEST VARS'!$I$70*(8*$EA$128)+'LINEST VARS'!$H$70*(8*0.5)+'LINEST VARS'!$G$70*(8*$DV129)+'LINEST VARS'!$F$70*(8*$EA$128)+'LINEST VARS'!$E$70*(8*0.5)+'LINEST VARS'!$D$70*(8*$DV129)+'LINEST VARS'!$C$70*($EA$128*0.5)+'LINEST VARS'!$B$70*($EA$128*$DV129)+'LINEST VARS'!$A$70*(0.5*$DV129)</f>
        <v>90.40000000000002</v>
      </c>
      <c r="EB129" s="46">
        <f>'LINEST VARS'!$U$70+'LINEST VARS'!$T$70*(8)+'LINEST VARS'!$S$70*(8)+'LINEST VARS'!$R$70*($EB$128)+'LINEST VARS'!$Q$70*(0.5)+'LINEST VARS'!$P$70*($DV129)+'LINEST VARS'!$O$70*(8^2)+'LINEST VARS'!$N$70*(8^2)+'LINEST VARS'!$M$70*($EB$128^2)+'LINEST VARS'!$L$70*(0.5^2)+'LINEST VARS'!$K$70*($DV129^2)+'LINEST VARS'!$J$70*(8*8)+'LINEST VARS'!$I$70*(8*$EB$128)+'LINEST VARS'!$H$70*(8*0.5)+'LINEST VARS'!$G$70*(8*$DV129)+'LINEST VARS'!$F$70*(8*$EB$128)+'LINEST VARS'!$E$70*(8*0.5)+'LINEST VARS'!$D$70*(8*$DV129)+'LINEST VARS'!$C$70*($EB$128*0.5)+'LINEST VARS'!$B$70*($EB$128*$DV129)+'LINEST VARS'!$A$70*(0.5*$DV129)</f>
        <v>90.000000000000014</v>
      </c>
      <c r="EC129" s="46">
        <f>'LINEST VARS'!$U$70+'LINEST VARS'!$T$70*(8)+'LINEST VARS'!$S$70*(8)+'LINEST VARS'!$R$70*($EC$128)+'LINEST VARS'!$Q$70*(0.5)+'LINEST VARS'!$P$70*($DV129)+'LINEST VARS'!$O$70*(8^2)+'LINEST VARS'!$N$70*(8^2)+'LINEST VARS'!$M$70*($EC$128^2)+'LINEST VARS'!$L$70*(0.5^2)+'LINEST VARS'!$K$70*($DV129^2)+'LINEST VARS'!$J$70*(8*8)+'LINEST VARS'!$I$70*(8*$EC$128)+'LINEST VARS'!$H$70*(8*0.5)+'LINEST VARS'!$G$70*(8*$DV129)+'LINEST VARS'!$F$70*(8*$EC$128)+'LINEST VARS'!$E$70*(8*0.5)+'LINEST VARS'!$D$70*(8*$DV129)+'LINEST VARS'!$C$70*($EC$128*0.5)+'LINEST VARS'!$B$70*($EC$128*$DV129)+'LINEST VARS'!$A$70*(0.5*$DV129)</f>
        <v>89.600000000000023</v>
      </c>
      <c r="ED129" s="46">
        <f>'LINEST VARS'!$U$70+'LINEST VARS'!$T$70*(8)+'LINEST VARS'!$S$70*(8)+'LINEST VARS'!$R$70*($ED$128)+'LINEST VARS'!$Q$70*(0.5)+'LINEST VARS'!$P$70*($DV129)+'LINEST VARS'!$O$70*(8^2)+'LINEST VARS'!$N$70*(8^2)+'LINEST VARS'!$M$70*($ED$128^2)+'LINEST VARS'!$L$70*(0.5^2)+'LINEST VARS'!$K$70*($DV129^2)+'LINEST VARS'!$J$70*(8*8)+'LINEST VARS'!$I$70*(8*$ED$128)+'LINEST VARS'!$H$70*(8*0.5)+'LINEST VARS'!$G$70*(8*$DV129)+'LINEST VARS'!$F$70*(8*$ED$128)+'LINEST VARS'!$E$70*(8*0.5)+'LINEST VARS'!$D$70*(8*$DV129)+'LINEST VARS'!$C$70*($ED$128*0.5)+'LINEST VARS'!$B$70*($ED$128*$DV129)+'LINEST VARS'!$A$70*(0.5*$DV129)</f>
        <v>89.200000000000017</v>
      </c>
      <c r="EE129" s="46">
        <f>'LINEST VARS'!$U$70+'LINEST VARS'!$T$70*(8)+'LINEST VARS'!$S$70*(8)+'LINEST VARS'!$R$70*($EE$128)+'LINEST VARS'!$Q$70*(0.5)+'LINEST VARS'!$P$70*($DV129)+'LINEST VARS'!$O$70*(8^2)+'LINEST VARS'!$N$70*(8^2)+'LINEST VARS'!$M$70*($EE$128^2)+'LINEST VARS'!$L$70*(0.5^2)+'LINEST VARS'!$K$70*($DV129^2)+'LINEST VARS'!$J$70*(8*8)+'LINEST VARS'!$I$70*(8*$EE$128)+'LINEST VARS'!$H$70*(8*0.5)+'LINEST VARS'!$G$70*(8*$DV129)+'LINEST VARS'!$F$70*(8*$EE$128)+'LINEST VARS'!$E$70*(8*0.5)+'LINEST VARS'!$D$70*(8*$DV129)+'LINEST VARS'!$C$70*($EE$128*0.5)+'LINEST VARS'!$B$70*($EE$128*$DV129)+'LINEST VARS'!$A$70*(0.5*$DV129)</f>
        <v>88.800000000000026</v>
      </c>
      <c r="EF129" s="46">
        <f>'LINEST VARS'!$U$70+'LINEST VARS'!$T$70*(8)+'LINEST VARS'!$S$70*(8)+'LINEST VARS'!$R$70*($EF$128)+'LINEST VARS'!$Q$70*(0.5)+'LINEST VARS'!$P$70*($DV129)+'LINEST VARS'!$O$70*(8^2)+'LINEST VARS'!$N$70*(8^2)+'LINEST VARS'!$M$70*($EF$128^2)+'LINEST VARS'!$L$70*(0.5^2)+'LINEST VARS'!$K$70*($DV129^2)+'LINEST VARS'!$J$70*(8*8)+'LINEST VARS'!$I$70*(8*$EF$128)+'LINEST VARS'!$H$70*(8*0.5)+'LINEST VARS'!$G$70*(8*$DV129)+'LINEST VARS'!$F$70*(8*$EF$128)+'LINEST VARS'!$E$70*(8*0.5)+'LINEST VARS'!$D$70*(8*$DV129)+'LINEST VARS'!$C$70*($EF$128*0.5)+'LINEST VARS'!$B$70*($EF$128*$DV129)+'LINEST VARS'!$A$70*(0.5*$DV129)</f>
        <v>88.40000000000002</v>
      </c>
      <c r="EG129" s="46">
        <f>'LINEST VARS'!$U$70+'LINEST VARS'!$T$70*(8)+'LINEST VARS'!$S$70*(8)+'LINEST VARS'!$R$70*($EG$128)+'LINEST VARS'!$Q$70*(0.5)+'LINEST VARS'!$P$70*($DV129)+'LINEST VARS'!$O$70*(8^2)+'LINEST VARS'!$N$70*(8^2)+'LINEST VARS'!$M$70*($EG$128^2)+'LINEST VARS'!$L$70*(0.5^2)+'LINEST VARS'!$K$70*($DV129^2)+'LINEST VARS'!$J$70*(8*8)+'LINEST VARS'!$I$70*(8*$EG$128)+'LINEST VARS'!$H$70*(8*0.5)+'LINEST VARS'!$G$70*(8*$DV129)+'LINEST VARS'!$F$70*(8*$EG$128)+'LINEST VARS'!$E$70*(8*0.5)+'LINEST VARS'!$D$70*(8*$DV129)+'LINEST VARS'!$C$70*($EG$128*0.5)+'LINEST VARS'!$B$70*($EG$128*$DV129)+'LINEST VARS'!$A$70*(0.5*$DV129)</f>
        <v>88.000000000000014</v>
      </c>
      <c r="EH129" s="46">
        <f>'LINEST VARS'!$U$70+'LINEST VARS'!$T$70*(8)+'LINEST VARS'!$S$70*(8)+'LINEST VARS'!$R$70*($EH$128)+'LINEST VARS'!$Q$70*(0.5)+'LINEST VARS'!$P$70*($DV129)+'LINEST VARS'!$O$70*(8^2)+'LINEST VARS'!$N$70*(8^2)+'LINEST VARS'!$M$70*($EH$128^2)+'LINEST VARS'!$L$70*(0.5^2)+'LINEST VARS'!$K$70*($DV129^2)+'LINEST VARS'!$J$70*(8*8)+'LINEST VARS'!$I$70*(8*$EH$128)+'LINEST VARS'!$H$70*(8*0.5)+'LINEST VARS'!$G$70*(8*$DV129)+'LINEST VARS'!$F$70*(8*$EH$128)+'LINEST VARS'!$E$70*(8*0.5)+'LINEST VARS'!$D$70*(8*$DV129)+'LINEST VARS'!$C$70*($EH$128*0.5)+'LINEST VARS'!$B$70*($EH$128*$DV129)+'LINEST VARS'!$A$70*(0.5*$DV129)</f>
        <v>87.600000000000023</v>
      </c>
      <c r="EI129" s="46">
        <f>'LINEST VARS'!$U$70+'LINEST VARS'!$T$70*(8)+'LINEST VARS'!$S$70*(8)+'LINEST VARS'!$R$70*($EI$128)+'LINEST VARS'!$Q$70*(0.5)+'LINEST VARS'!$P$70*($DV129)+'LINEST VARS'!$O$70*(8^2)+'LINEST VARS'!$N$70*(8^2)+'LINEST VARS'!$M$70*($EI$128^2)+'LINEST VARS'!$L$70*(0.5^2)+'LINEST VARS'!$K$70*($DV129^2)+'LINEST VARS'!$J$70*(8*8)+'LINEST VARS'!$I$70*(8*$EI$128)+'LINEST VARS'!$H$70*(8*0.5)+'LINEST VARS'!$G$70*(8*$DV129)+'LINEST VARS'!$F$70*(8*$EI$128)+'LINEST VARS'!$E$70*(8*0.5)+'LINEST VARS'!$D$70*(8*$DV129)+'LINEST VARS'!$C$70*($EI$128*0.5)+'LINEST VARS'!$B$70*($EI$128*$DV129)+'LINEST VARS'!$A$70*(0.5*$DV129)</f>
        <v>87.200000000000017</v>
      </c>
      <c r="EJ129" s="46">
        <f>'LINEST VARS'!$U$70+'LINEST VARS'!$T$70*(8)+'LINEST VARS'!$S$70*(8)+'LINEST VARS'!$R$70*($EJ$128)+'LINEST VARS'!$Q$70*(0.5)+'LINEST VARS'!$P$70*($DV129)+'LINEST VARS'!$O$70*(8^2)+'LINEST VARS'!$N$70*(8^2)+'LINEST VARS'!$M$70*($EJ$128^2)+'LINEST VARS'!$L$70*(0.5^2)+'LINEST VARS'!$K$70*($DV129^2)+'LINEST VARS'!$J$70*(8*8)+'LINEST VARS'!$I$70*(8*$EJ$128)+'LINEST VARS'!$H$70*(8*0.5)+'LINEST VARS'!$G$70*(8*$DV129)+'LINEST VARS'!$F$70*(8*$EJ$128)+'LINEST VARS'!$E$70*(8*0.5)+'LINEST VARS'!$D$70*(8*$DV129)+'LINEST VARS'!$C$70*($EJ$128*0.5)+'LINEST VARS'!$B$70*($EJ$128*$DV129)+'LINEST VARS'!$A$70*(0.5*$DV129)</f>
        <v>86.800000000000026</v>
      </c>
      <c r="EK129" s="46">
        <f>'LINEST VARS'!$U$70+'LINEST VARS'!$T$70*(8)+'LINEST VARS'!$S$70*(8)+'LINEST VARS'!$R$70*($EK$128)+'LINEST VARS'!$Q$70*(0.5)+'LINEST VARS'!$P$70*($DV129)+'LINEST VARS'!$O$70*(8^2)+'LINEST VARS'!$N$70*(8^2)+'LINEST VARS'!$M$70*($EK$128^2)+'LINEST VARS'!$L$70*(0.5^2)+'LINEST VARS'!$K$70*($DV129^2)+'LINEST VARS'!$J$70*(8*8)+'LINEST VARS'!$I$70*(8*$EK$128)+'LINEST VARS'!$H$70*(8*0.5)+'LINEST VARS'!$G$70*(8*$DV129)+'LINEST VARS'!$F$70*(8*$EK$128)+'LINEST VARS'!$E$70*(8*0.5)+'LINEST VARS'!$D$70*(8*$DV129)+'LINEST VARS'!$C$70*($EK$128*0.5)+'LINEST VARS'!$B$70*($EK$128*$DV129)+'LINEST VARS'!$A$70*(0.5*$DV129)</f>
        <v>86.40000000000002</v>
      </c>
      <c r="EL129" s="46">
        <f>'LINEST VARS'!$U$70+'LINEST VARS'!$T$70*(8)+'LINEST VARS'!$S$70*(8)+'LINEST VARS'!$R$70*($EL$128)+'LINEST VARS'!$Q$70*(0.5)+'LINEST VARS'!$P$70*($DV129)+'LINEST VARS'!$O$70*(8^2)+'LINEST VARS'!$N$70*(8^2)+'LINEST VARS'!$M$70*($EL$128^2)+'LINEST VARS'!$L$70*(0.5^2)+'LINEST VARS'!$K$70*($DV129^2)+'LINEST VARS'!$J$70*(8*8)+'LINEST VARS'!$I$70*(8*$EL$128)+'LINEST VARS'!$H$70*(8*0.5)+'LINEST VARS'!$G$70*(8*$DV129)+'LINEST VARS'!$F$70*(8*$EL$128)+'LINEST VARS'!$E$70*(8*0.5)+'LINEST VARS'!$D$70*(8*$DV129)+'LINEST VARS'!$C$70*($EL$128*0.5)+'LINEST VARS'!$B$70*($EL$128*$DV129)+'LINEST VARS'!$A$70*(0.5*$DV129)</f>
        <v>86.000000000000014</v>
      </c>
      <c r="EM129" s="46">
        <f>'LINEST VARS'!$U$70+'LINEST VARS'!$T$70*(8)+'LINEST VARS'!$S$70*(8)+'LINEST VARS'!$R$70*($EM$128)+'LINEST VARS'!$Q$70*(0.5)+'LINEST VARS'!$P$70*($DV129)+'LINEST VARS'!$O$70*(8^2)+'LINEST VARS'!$N$70*(8^2)+'LINEST VARS'!$M$70*($EM$128^2)+'LINEST VARS'!$L$70*(0.5^2)+'LINEST VARS'!$K$70*($DV129^2)+'LINEST VARS'!$J$70*(8*8)+'LINEST VARS'!$I$70*(8*$EM$128)+'LINEST VARS'!$H$70*(8*0.5)+'LINEST VARS'!$G$70*(8*$DV129)+'LINEST VARS'!$F$70*(8*$EM$128)+'LINEST VARS'!$E$70*(8*0.5)+'LINEST VARS'!$D$70*(8*$DV129)+'LINEST VARS'!$C$70*($EM$128*0.5)+'LINEST VARS'!$B$70*($EM$128*$DV129)+'LINEST VARS'!$A$70*(0.5*$DV129)</f>
        <v>85.600000000000009</v>
      </c>
      <c r="EN129" s="46">
        <f>'LINEST VARS'!$U$70+'LINEST VARS'!$T$70*(8)+'LINEST VARS'!$S$70*(8)+'LINEST VARS'!$R$70*($EN$128)+'LINEST VARS'!$Q$70*(0.5)+'LINEST VARS'!$P$70*($DV129)+'LINEST VARS'!$O$70*(8^2)+'LINEST VARS'!$N$70*(8^2)+'LINEST VARS'!$M$70*($EN$128^2)+'LINEST VARS'!$L$70*(0.5^2)+'LINEST VARS'!$K$70*($DV129^2)+'LINEST VARS'!$J$70*(8*8)+'LINEST VARS'!$I$70*(8*$EN$128)+'LINEST VARS'!$H$70*(8*0.5)+'LINEST VARS'!$G$70*(8*$DV129)+'LINEST VARS'!$F$70*(8*$EN$128)+'LINEST VARS'!$E$70*(8*0.5)+'LINEST VARS'!$D$70*(8*$DV129)+'LINEST VARS'!$C$70*($EN$128*0.5)+'LINEST VARS'!$B$70*($EN$128*$DV129)+'LINEST VARS'!$A$70*(0.5*$DV129)</f>
        <v>85.200000000000017</v>
      </c>
      <c r="EO129" s="46">
        <f>'LINEST VARS'!$U$70+'LINEST VARS'!$T$70*(8)+'LINEST VARS'!$S$70*(8)+'LINEST VARS'!$R$70*($EO$128)+'LINEST VARS'!$Q$70*(0.5)+'LINEST VARS'!$P$70*($DV129)+'LINEST VARS'!$O$70*(8^2)+'LINEST VARS'!$N$70*(8^2)+'LINEST VARS'!$M$70*($EO$128^2)+'LINEST VARS'!$L$70*(0.5^2)+'LINEST VARS'!$K$70*($DV129^2)+'LINEST VARS'!$J$70*(8*8)+'LINEST VARS'!$I$70*(8*$EO$128)+'LINEST VARS'!$H$70*(8*0.5)+'LINEST VARS'!$G$70*(8*$DV129)+'LINEST VARS'!$F$70*(8*$EO$128)+'LINEST VARS'!$E$70*(8*0.5)+'LINEST VARS'!$D$70*(8*$DV129)+'LINEST VARS'!$C$70*($EO$128*0.5)+'LINEST VARS'!$B$70*($EO$128*$DV129)+'LINEST VARS'!$A$70*(0.5*$DV129)</f>
        <v>84.800000000000011</v>
      </c>
      <c r="EP129" s="46">
        <f>'LINEST VARS'!$U$70+'LINEST VARS'!$T$70*(8)+'LINEST VARS'!$S$70*(8)+'LINEST VARS'!$R$70*($EP$128)+'LINEST VARS'!$Q$70*(0.5)+'LINEST VARS'!$P$70*($DV129)+'LINEST VARS'!$O$70*(8^2)+'LINEST VARS'!$N$70*(8^2)+'LINEST VARS'!$M$70*($EP$128^2)+'LINEST VARS'!$L$70*(0.5^2)+'LINEST VARS'!$K$70*($DV129^2)+'LINEST VARS'!$J$70*(8*8)+'LINEST VARS'!$I$70*(8*$EP$128)+'LINEST VARS'!$H$70*(8*0.5)+'LINEST VARS'!$G$70*(8*$DV129)+'LINEST VARS'!$F$70*(8*$EP$128)+'LINEST VARS'!$E$70*(8*0.5)+'LINEST VARS'!$D$70*(8*$DV129)+'LINEST VARS'!$C$70*($EP$128*0.5)+'LINEST VARS'!$B$70*($EP$128*$DV129)+'LINEST VARS'!$A$70*(0.5*$DV129)</f>
        <v>84.400000000000034</v>
      </c>
      <c r="EQ129" s="47">
        <f>'LINEST VARS'!$U$70+'LINEST VARS'!$T$70*(8)+'LINEST VARS'!$S$70*(8)+'LINEST VARS'!$R$70*($EQ$128)+'LINEST VARS'!$Q$70*(0.5)+'LINEST VARS'!$P$70*($DV129)+'LINEST VARS'!$O$70*(8^2)+'LINEST VARS'!$N$70*(8^2)+'LINEST VARS'!$M$70*($EQ$128^2)+'LINEST VARS'!$L$70*(0.5^2)+'LINEST VARS'!$K$70*($DV129^2)+'LINEST VARS'!$J$70*(8*8)+'LINEST VARS'!$I$70*(8*$EQ$128)+'LINEST VARS'!$H$70*(8*0.5)+'LINEST VARS'!$G$70*(8*$DV129)+'LINEST VARS'!$F$70*(8*$EQ$128)+'LINEST VARS'!$E$70*(8*0.5)+'LINEST VARS'!$D$70*(8*$DV129)+'LINEST VARS'!$C$70*($EQ$128*0.5)+'LINEST VARS'!$B$70*($EQ$128*$DV129)+'LINEST VARS'!$A$70*(0.5*$DV129)</f>
        <v>84.000000000000028</v>
      </c>
    </row>
    <row r="130" spans="2:147" ht="15" customHeight="1" x14ac:dyDescent="0.25">
      <c r="B130" s="45">
        <v>7.46</v>
      </c>
      <c r="C130" s="46">
        <f>'LINEST VARS'!$U$68+'LINEST VARS'!$T$68*($C$128)+'LINEST VARS'!$S$68*($B130)+'LINEST VARS'!$R$68*(4)+'LINEST VARS'!$Q$68*(0.5)+'LINEST VARS'!$P$68*(12.73)+'LINEST VARS'!$O$68*($C$128^2)+'LINEST VARS'!$N$68*($B130^2)+'LINEST VARS'!$M$68*(4^2)+'LINEST VARS'!$L$68*(0.5^2)+'LINEST VARS'!$K$68*(12.73^2)+'LINEST VARS'!$J$68*($C$128*$B130)+'LINEST VARS'!$I$68*($C$128*4)+'LINEST VARS'!$H$68*($C$128*0.5)+'LINEST VARS'!$G$68*($C$128*12.73)+'LINEST VARS'!$F$68*($B130*4)+'LINEST VARS'!$E$68*($B130*0.5)+'LINEST VARS'!$D$68*($B130*12.73)+'LINEST VARS'!$C$68*(4*0.5)+'LINEST VARS'!$B$68*(4*12.73)+'LINEST VARS'!$A$68*(0.5*12.73)</f>
        <v>148.99999999999997</v>
      </c>
      <c r="D130" s="46">
        <f>'LINEST VARS'!$U$68+'LINEST VARS'!$T$68*($D$128)+'LINEST VARS'!$S$68*($B130)+'LINEST VARS'!$R$68*(4)+'LINEST VARS'!$Q$68*(0.5)+'LINEST VARS'!$P$68*(12.73)+'LINEST VARS'!$O$68*($D$128^2)+'LINEST VARS'!$N$68*($B130^2)+'LINEST VARS'!$M$68*(4^2)+'LINEST VARS'!$L$68*(0.5^2)+'LINEST VARS'!$K$68*(12.73^2)+'LINEST VARS'!$J$68*($D$128*$B130)+'LINEST VARS'!$I$68*($D$128*4)+'LINEST VARS'!$H$68*($D$128*0.5)+'LINEST VARS'!$G$68*($D$128*12.73)+'LINEST VARS'!$F$68*($B130*4)+'LINEST VARS'!$E$68*($B130*0.5)+'LINEST VARS'!$D$68*($B130*12.73)+'LINEST VARS'!$C$68*(4*0.5)+'LINEST VARS'!$B$68*(4*12.73)+'LINEST VARS'!$A$68*(0.5*12.73)</f>
        <v>148.99999999999997</v>
      </c>
      <c r="E130" s="46">
        <f>'LINEST VARS'!$U$68+'LINEST VARS'!$T$68*($E$128)+'LINEST VARS'!$S$68*($B130)+'LINEST VARS'!$R$68*(4)+'LINEST VARS'!$Q$68*(0.5)+'LINEST VARS'!$P$68*(12.73)+'LINEST VARS'!$O$68*($E$128^2)+'LINEST VARS'!$N$68*($B130^2)+'LINEST VARS'!$M$68*(4^2)+'LINEST VARS'!$L$68*(0.5^2)+'LINEST VARS'!$K$68*(12.73^2)+'LINEST VARS'!$J$68*($E$128*$B130)+'LINEST VARS'!$I$68*($E$128*4)+'LINEST VARS'!$H$68*($E$128*0.5)+'LINEST VARS'!$G$68*($E$128*12.73)+'LINEST VARS'!$F$68*($B130*4)+'LINEST VARS'!$E$68*($B130*0.5)+'LINEST VARS'!$D$68*($B130*12.73)+'LINEST VARS'!$C$68*(4*0.5)+'LINEST VARS'!$B$68*(4*12.73)+'LINEST VARS'!$A$68*(0.5*12.73)</f>
        <v>148.99999999999997</v>
      </c>
      <c r="F130" s="46">
        <f>'LINEST VARS'!$U$68+'LINEST VARS'!$T$68*($F$128)+'LINEST VARS'!$S$68*($B130)+'LINEST VARS'!$R$68*(4)+'LINEST VARS'!$Q$68*(0.5)+'LINEST VARS'!$P$68*(12.73)+'LINEST VARS'!$O$68*($F$128^2)+'LINEST VARS'!$N$68*($B130^2)+'LINEST VARS'!$M$68*(4^2)+'LINEST VARS'!$L$68*(0.5^2)+'LINEST VARS'!$K$68*(12.73^2)+'LINEST VARS'!$J$68*($F$128*$B130)+'LINEST VARS'!$I$68*($F$128*4)+'LINEST VARS'!$H$68*($F$128*0.5)+'LINEST VARS'!$G$68*($F$128*12.73)+'LINEST VARS'!$F$68*($B130*4)+'LINEST VARS'!$E$68*($B130*0.5)+'LINEST VARS'!$D$68*($B130*12.73)+'LINEST VARS'!$C$68*(4*0.5)+'LINEST VARS'!$B$68*(4*12.73)+'LINEST VARS'!$A$68*(0.5*12.73)</f>
        <v>148.99999999999997</v>
      </c>
      <c r="G130" s="46">
        <f>'LINEST VARS'!$U$68+'LINEST VARS'!$T$68*($G$128)+'LINEST VARS'!$S$68*($B130)+'LINEST VARS'!$R$68*(4)+'LINEST VARS'!$Q$68*(0.5)+'LINEST VARS'!$P$68*(12.73)+'LINEST VARS'!$O$68*($G$128^2)+'LINEST VARS'!$N$68*($B130^2)+'LINEST VARS'!$M$68*(4^2)+'LINEST VARS'!$L$68*(0.5^2)+'LINEST VARS'!$K$68*(12.73^2)+'LINEST VARS'!$J$68*($G$128*$B130)+'LINEST VARS'!$I$68*($G$128*4)+'LINEST VARS'!$H$68*($G$128*0.5)+'LINEST VARS'!$G$68*($G$128*12.73)+'LINEST VARS'!$F$68*($B130*4)+'LINEST VARS'!$E$68*($B130*0.5)+'LINEST VARS'!$D$68*($B130*12.73)+'LINEST VARS'!$C$68*(4*0.5)+'LINEST VARS'!$B$68*(4*12.73)+'LINEST VARS'!$A$68*(0.5*12.73)</f>
        <v>148.99999999999997</v>
      </c>
      <c r="H130" s="46">
        <f>'LINEST VARS'!$U$68+'LINEST VARS'!$T$68*($H$128)+'LINEST VARS'!$S$68*($B130)+'LINEST VARS'!$R$68*(4)+'LINEST VARS'!$Q$68*(0.5)+'LINEST VARS'!$P$68*(12.73)+'LINEST VARS'!$O$68*($H$128^2)+'LINEST VARS'!$N$68*($B130^2)+'LINEST VARS'!$M$68*(4^2)+'LINEST VARS'!$L$68*(0.5^2)+'LINEST VARS'!$K$68*(12.73^2)+'LINEST VARS'!$J$68*($H$128*$B130)+'LINEST VARS'!$I$68*($H$128*4)+'LINEST VARS'!$H$68*($H$128*0.5)+'LINEST VARS'!$G$68*($H$128*12.73)+'LINEST VARS'!$F$68*($B130*4)+'LINEST VARS'!$E$68*($B130*0.5)+'LINEST VARS'!$D$68*($B130*12.73)+'LINEST VARS'!$C$68*(4*0.5)+'LINEST VARS'!$B$68*(4*12.73)+'LINEST VARS'!$A$68*(0.5*12.73)</f>
        <v>148.99999999999997</v>
      </c>
      <c r="I130" s="46">
        <f>'LINEST VARS'!$U$68+'LINEST VARS'!$T$68*($I$128)+'LINEST VARS'!$S$68*($B130)+'LINEST VARS'!$R$68*(4)+'LINEST VARS'!$Q$68*(0.5)+'LINEST VARS'!$P$68*(12.73)+'LINEST VARS'!$O$68*($I$128^2)+'LINEST VARS'!$N$68*($B130^2)+'LINEST VARS'!$M$68*(4^2)+'LINEST VARS'!$L$68*(0.5^2)+'LINEST VARS'!$K$68*(12.73^2)+'LINEST VARS'!$J$68*($I$128*$B130)+'LINEST VARS'!$I$68*($I$128*4)+'LINEST VARS'!$H$68*($I$128*0.5)+'LINEST VARS'!$G$68*($I$128*12.73)+'LINEST VARS'!$F$68*($B130*4)+'LINEST VARS'!$E$68*($B130*0.5)+'LINEST VARS'!$D$68*($B130*12.73)+'LINEST VARS'!$C$68*(4*0.5)+'LINEST VARS'!$B$68*(4*12.73)+'LINEST VARS'!$A$68*(0.5*12.73)</f>
        <v>148.99999999999997</v>
      </c>
      <c r="J130" s="46">
        <f>'LINEST VARS'!$U$68+'LINEST VARS'!$T$68*($J$128)+'LINEST VARS'!$S$68*($B130)+'LINEST VARS'!$R$68*(4)+'LINEST VARS'!$Q$68*(0.5)+'LINEST VARS'!$P$68*(12.73)+'LINEST VARS'!$O$68*($J$128^2)+'LINEST VARS'!$N$68*($B130^2)+'LINEST VARS'!$M$68*(4^2)+'LINEST VARS'!$L$68*(0.5^2)+'LINEST VARS'!$K$68*(12.73^2)+'LINEST VARS'!$J$68*($J$128*$B130)+'LINEST VARS'!$I$68*($J$128*4)+'LINEST VARS'!$H$68*($J$128*0.5)+'LINEST VARS'!$G$68*($J$128*12.73)+'LINEST VARS'!$F$68*($B130*4)+'LINEST VARS'!$E$68*($B130*0.5)+'LINEST VARS'!$D$68*($B130*12.73)+'LINEST VARS'!$C$68*(4*0.5)+'LINEST VARS'!$B$68*(4*12.73)+'LINEST VARS'!$A$68*(0.5*12.73)</f>
        <v>148.99999999999997</v>
      </c>
      <c r="K130" s="46">
        <f>'LINEST VARS'!$U$68+'LINEST VARS'!$T$68*($K$128)+'LINEST VARS'!$S$68*($B130)+'LINEST VARS'!$R$68*(4)+'LINEST VARS'!$Q$68*(0.5)+'LINEST VARS'!$P$68*(12.73)+'LINEST VARS'!$O$68*($K$128^2)+'LINEST VARS'!$N$68*($B130^2)+'LINEST VARS'!$M$68*(4^2)+'LINEST VARS'!$L$68*(0.5^2)+'LINEST VARS'!$K$68*(12.73^2)+'LINEST VARS'!$J$68*($K$128*$B130)+'LINEST VARS'!$I$68*($K$128*4)+'LINEST VARS'!$H$68*($K$128*0.5)+'LINEST VARS'!$G$68*($K$128*12.73)+'LINEST VARS'!$F$68*($B130*4)+'LINEST VARS'!$E$68*($B130*0.5)+'LINEST VARS'!$D$68*($B130*12.73)+'LINEST VARS'!$C$68*(4*0.5)+'LINEST VARS'!$B$68*(4*12.73)+'LINEST VARS'!$A$68*(0.5*12.73)</f>
        <v>148.99999999999997</v>
      </c>
      <c r="L130" s="46">
        <f>'LINEST VARS'!$U$68+'LINEST VARS'!$T$68*($L$128)+'LINEST VARS'!$S$68*($B130)+'LINEST VARS'!$R$68*(4)+'LINEST VARS'!$Q$68*(0.5)+'LINEST VARS'!$P$68*(12.73)+'LINEST VARS'!$O$68*($L$128^2)+'LINEST VARS'!$N$68*($B130^2)+'LINEST VARS'!$M$68*(4^2)+'LINEST VARS'!$L$68*(0.5^2)+'LINEST VARS'!$K$68*(12.73^2)+'LINEST VARS'!$J$68*($L$128*$B130)+'LINEST VARS'!$I$68*($L$128*4)+'LINEST VARS'!$H$68*($L$128*0.5)+'LINEST VARS'!$G$68*($L$128*12.73)+'LINEST VARS'!$F$68*($B130*4)+'LINEST VARS'!$E$68*($B130*0.5)+'LINEST VARS'!$D$68*($B130*12.73)+'LINEST VARS'!$C$68*(4*0.5)+'LINEST VARS'!$B$68*(4*12.73)+'LINEST VARS'!$A$68*(0.5*12.73)</f>
        <v>148.99999999999997</v>
      </c>
      <c r="M130" s="46">
        <f>'LINEST VARS'!$U$68+'LINEST VARS'!$T$68*($M$128)+'LINEST VARS'!$S$68*($B130)+'LINEST VARS'!$R$68*(4)+'LINEST VARS'!$Q$68*(0.5)+'LINEST VARS'!$P$68*(12.73)+'LINEST VARS'!$O$68*($M$128^2)+'LINEST VARS'!$N$68*($B130^2)+'LINEST VARS'!$M$68*(4^2)+'LINEST VARS'!$L$68*(0.5^2)+'LINEST VARS'!$K$68*(12.73^2)+'LINEST VARS'!$J$68*($M$128*$B130)+'LINEST VARS'!$I$68*($M$128*4)+'LINEST VARS'!$H$68*($M$128*0.5)+'LINEST VARS'!$G$68*($M$128*12.73)+'LINEST VARS'!$F$68*($B130*4)+'LINEST VARS'!$E$68*($B130*0.5)+'LINEST VARS'!$D$68*($B130*12.73)+'LINEST VARS'!$C$68*(4*0.5)+'LINEST VARS'!$B$68*(4*12.73)+'LINEST VARS'!$A$68*(0.5*12.73)</f>
        <v>148.99999999999997</v>
      </c>
      <c r="N130" s="46">
        <f>'LINEST VARS'!$U$68+'LINEST VARS'!$T$68*($N$128)+'LINEST VARS'!$S$68*($B130)+'LINEST VARS'!$R$68*(4)+'LINEST VARS'!$Q$68*(0.5)+'LINEST VARS'!$P$68*(12.73)+'LINEST VARS'!$O$68*($N$128^2)+'LINEST VARS'!$N$68*($B130^2)+'LINEST VARS'!$M$68*(4^2)+'LINEST VARS'!$L$68*(0.5^2)+'LINEST VARS'!$K$68*(12.73^2)+'LINEST VARS'!$J$68*($N$128*$B130)+'LINEST VARS'!$I$68*($N$128*4)+'LINEST VARS'!$H$68*($N$128*0.5)+'LINEST VARS'!$G$68*($N$128*12.73)+'LINEST VARS'!$F$68*($B130*4)+'LINEST VARS'!$E$68*($B130*0.5)+'LINEST VARS'!$D$68*($B130*12.73)+'LINEST VARS'!$C$68*(4*0.5)+'LINEST VARS'!$B$68*(4*12.73)+'LINEST VARS'!$A$68*(0.5*12.73)</f>
        <v>148.99999999999997</v>
      </c>
      <c r="O130" s="46">
        <f>'LINEST VARS'!$U$68+'LINEST VARS'!$T$68*($O$128)+'LINEST VARS'!$S$68*($B130)+'LINEST VARS'!$R$68*(4)+'LINEST VARS'!$Q$68*(0.5)+'LINEST VARS'!$P$68*(12.73)+'LINEST VARS'!$O$68*($O$128^2)+'LINEST VARS'!$N$68*($B130^2)+'LINEST VARS'!$M$68*(4^2)+'LINEST VARS'!$L$68*(0.5^2)+'LINEST VARS'!$K$68*(12.73^2)+'LINEST VARS'!$J$68*($O$128*$B130)+'LINEST VARS'!$I$68*($O$128*4)+'LINEST VARS'!$H$68*($O$128*0.5)+'LINEST VARS'!$G$68*($O$128*12.73)+'LINEST VARS'!$F$68*($B130*4)+'LINEST VARS'!$E$68*($B130*0.5)+'LINEST VARS'!$D$68*($B130*12.73)+'LINEST VARS'!$C$68*(4*0.5)+'LINEST VARS'!$B$68*(4*12.73)+'LINEST VARS'!$A$68*(0.5*12.73)</f>
        <v>148.99999999999997</v>
      </c>
      <c r="P130" s="46">
        <f>'LINEST VARS'!$U$68+'LINEST VARS'!$T$68*($P$128)+'LINEST VARS'!$S$68*($B130)+'LINEST VARS'!$R$68*(4)+'LINEST VARS'!$Q$68*(0.5)+'LINEST VARS'!$P$68*(12.73)+'LINEST VARS'!$O$68*($P$128^2)+'LINEST VARS'!$N$68*($B130^2)+'LINEST VARS'!$M$68*(4^2)+'LINEST VARS'!$L$68*(0.5^2)+'LINEST VARS'!$K$68*(12.73^2)+'LINEST VARS'!$J$68*($P$128*$B130)+'LINEST VARS'!$I$68*($P$128*4)+'LINEST VARS'!$H$68*($P$128*0.5)+'LINEST VARS'!$G$68*($P$128*12.73)+'LINEST VARS'!$F$68*($B130*4)+'LINEST VARS'!$E$68*($B130*0.5)+'LINEST VARS'!$D$68*($B130*12.73)+'LINEST VARS'!$C$68*(4*0.5)+'LINEST VARS'!$B$68*(4*12.73)+'LINEST VARS'!$A$68*(0.5*12.73)</f>
        <v>148.99999999999997</v>
      </c>
      <c r="Q130" s="46">
        <f>'LINEST VARS'!$U$68+'LINEST VARS'!$T$68*($Q$128)+'LINEST VARS'!$S$68*($B130)+'LINEST VARS'!$R$68*(4)+'LINEST VARS'!$Q$68*(0.5)+'LINEST VARS'!$P$68*(12.73)+'LINEST VARS'!$O$68*($Q$128^2)+'LINEST VARS'!$N$68*($B130^2)+'LINEST VARS'!$M$68*(4^2)+'LINEST VARS'!$L$68*(0.5^2)+'LINEST VARS'!$K$68*(12.73^2)+'LINEST VARS'!$J$68*($Q$128*$B130)+'LINEST VARS'!$I$68*($Q$128*4)+'LINEST VARS'!$H$68*($Q$128*0.5)+'LINEST VARS'!$G$68*($Q$128*12.73)+'LINEST VARS'!$F$68*($B130*4)+'LINEST VARS'!$E$68*($B130*0.5)+'LINEST VARS'!$D$68*($B130*12.73)+'LINEST VARS'!$C$68*(4*0.5)+'LINEST VARS'!$B$68*(4*12.73)+'LINEST VARS'!$A$68*(0.5*12.73)</f>
        <v>148.99999999999997</v>
      </c>
      <c r="R130" s="46">
        <f>'LINEST VARS'!$U$68+'LINEST VARS'!$T$68*($R$128)+'LINEST VARS'!$S$68*($B130)+'LINEST VARS'!$R$68*(4)+'LINEST VARS'!$Q$68*(0.5)+'LINEST VARS'!$P$68*(12.73)+'LINEST VARS'!$O$68*($R$128^2)+'LINEST VARS'!$N$68*($B130^2)+'LINEST VARS'!$M$68*(4^2)+'LINEST VARS'!$L$68*(0.5^2)+'LINEST VARS'!$K$68*(12.73^2)+'LINEST VARS'!$J$68*($R$128*$B130)+'LINEST VARS'!$I$68*($R$128*4)+'LINEST VARS'!$H$68*($R$128*0.5)+'LINEST VARS'!$G$68*($R$128*12.73)+'LINEST VARS'!$F$68*($B130*4)+'LINEST VARS'!$E$68*($B130*0.5)+'LINEST VARS'!$D$68*($B130*12.73)+'LINEST VARS'!$C$68*(4*0.5)+'LINEST VARS'!$B$68*(4*12.73)+'LINEST VARS'!$A$68*(0.5*12.73)</f>
        <v>148.99999999999997</v>
      </c>
      <c r="S130" s="46">
        <f>'LINEST VARS'!$U$68+'LINEST VARS'!$T$68*($S$128)+'LINEST VARS'!$S$68*($B130)+'LINEST VARS'!$R$68*(4)+'LINEST VARS'!$Q$68*(0.5)+'LINEST VARS'!$P$68*(12.73)+'LINEST VARS'!$O$68*($S$128^2)+'LINEST VARS'!$N$68*($B130^2)+'LINEST VARS'!$M$68*(4^2)+'LINEST VARS'!$L$68*(0.5^2)+'LINEST VARS'!$K$68*(12.73^2)+'LINEST VARS'!$J$68*($S$128*$B130)+'LINEST VARS'!$I$68*($S$128*4)+'LINEST VARS'!$H$68*($S$128*0.5)+'LINEST VARS'!$G$68*($S$128*12.73)+'LINEST VARS'!$F$68*($B130*4)+'LINEST VARS'!$E$68*($B130*0.5)+'LINEST VARS'!$D$68*($B130*12.73)+'LINEST VARS'!$C$68*(4*0.5)+'LINEST VARS'!$B$68*(4*12.73)+'LINEST VARS'!$A$68*(0.5*12.73)</f>
        <v>148.99999999999997</v>
      </c>
      <c r="T130" s="46">
        <f>'LINEST VARS'!$U$68+'LINEST VARS'!$T$68*($T$128)+'LINEST VARS'!$S$68*($B130)+'LINEST VARS'!$R$68*(4)+'LINEST VARS'!$Q$68*(0.5)+'LINEST VARS'!$P$68*(12.73)+'LINEST VARS'!$O$68*($T$128^2)+'LINEST VARS'!$N$68*($B130^2)+'LINEST VARS'!$M$68*(4^2)+'LINEST VARS'!$L$68*(0.5^2)+'LINEST VARS'!$K$68*(12.73^2)+'LINEST VARS'!$J$68*($T$128*$B130)+'LINEST VARS'!$I$68*($T$128*4)+'LINEST VARS'!$H$68*($T$128*0.5)+'LINEST VARS'!$G$68*($T$128*12.73)+'LINEST VARS'!$F$68*($B130*4)+'LINEST VARS'!$E$68*($B130*0.5)+'LINEST VARS'!$D$68*($B130*12.73)+'LINEST VARS'!$C$68*(4*0.5)+'LINEST VARS'!$B$68*(4*12.73)+'LINEST VARS'!$A$68*(0.5*12.73)</f>
        <v>148.99999999999997</v>
      </c>
      <c r="U130" s="46">
        <f>'LINEST VARS'!$U$68+'LINEST VARS'!$T$68*($U$128)+'LINEST VARS'!$S$68*($B130)+'LINEST VARS'!$R$68*(4)+'LINEST VARS'!$Q$68*(0.5)+'LINEST VARS'!$P$68*(12.73)+'LINEST VARS'!$O$68*($U$128^2)+'LINEST VARS'!$N$68*($B130^2)+'LINEST VARS'!$M$68*(4^2)+'LINEST VARS'!$L$68*(0.5^2)+'LINEST VARS'!$K$68*(12.73^2)+'LINEST VARS'!$J$68*($U$128*$B130)+'LINEST VARS'!$I$68*($U$128*4)+'LINEST VARS'!$H$68*($U$128*0.5)+'LINEST VARS'!$G$68*($U$128*12.73)+'LINEST VARS'!$F$68*($B130*4)+'LINEST VARS'!$E$68*($B130*0.5)+'LINEST VARS'!$D$68*($B130*12.73)+'LINEST VARS'!$C$68*(4*0.5)+'LINEST VARS'!$B$68*(4*12.73)+'LINEST VARS'!$A$68*(0.5*12.73)</f>
        <v>148.99999999999997</v>
      </c>
      <c r="V130" s="46">
        <f>'LINEST VARS'!$U$68+'LINEST VARS'!$T$68*($V$128)+'LINEST VARS'!$S$68*($B130)+'LINEST VARS'!$R$68*(4)+'LINEST VARS'!$Q$68*(0.5)+'LINEST VARS'!$P$68*(12.73)+'LINEST VARS'!$O$68*($V$128^2)+'LINEST VARS'!$N$68*($B130^2)+'LINEST VARS'!$M$68*(4^2)+'LINEST VARS'!$L$68*(0.5^2)+'LINEST VARS'!$K$68*(12.73^2)+'LINEST VARS'!$J$68*($V$128*$B130)+'LINEST VARS'!$I$68*($V$128*4)+'LINEST VARS'!$H$68*($V$128*0.5)+'LINEST VARS'!$G$68*($V$128*12.73)+'LINEST VARS'!$F$68*($B130*4)+'LINEST VARS'!$E$68*($B130*0.5)+'LINEST VARS'!$D$68*($B130*12.73)+'LINEST VARS'!$C$68*(4*0.5)+'LINEST VARS'!$B$68*(4*12.73)+'LINEST VARS'!$A$68*(0.5*12.73)</f>
        <v>148.99999999999997</v>
      </c>
      <c r="W130" s="47">
        <f>'LINEST VARS'!$U$68+'LINEST VARS'!$T$68*($W$128)+'LINEST VARS'!$S$68*($B130)+'LINEST VARS'!$R$68*(4)+'LINEST VARS'!$Q$68*(0.5)+'LINEST VARS'!$P$68*(12.73)+'LINEST VARS'!$O$68*($W$128^2)+'LINEST VARS'!$N$68*($B130^2)+'LINEST VARS'!$M$68*(4^2)+'LINEST VARS'!$L$68*(0.5^2)+'LINEST VARS'!$K$68*(12.73^2)+'LINEST VARS'!$J$68*($W$128*$B130)+'LINEST VARS'!$I$68*($W$128*4)+'LINEST VARS'!$H$68*($W$128*0.5)+'LINEST VARS'!$G$68*($W$128*12.73)+'LINEST VARS'!$F$68*($B130*4)+'LINEST VARS'!$E$68*($B130*0.5)+'LINEST VARS'!$D$68*($B130*12.73)+'LINEST VARS'!$C$68*(4*0.5)+'LINEST VARS'!$B$68*(4*12.73)+'LINEST VARS'!$A$68*(0.5*12.73)</f>
        <v>148.99999999999997</v>
      </c>
      <c r="Z130" s="45">
        <v>7.46</v>
      </c>
      <c r="AA130" s="46">
        <f>'LINEST VARS'!$U$70+'LINEST VARS'!$T$70*($AA$128)+'LINEST VARS'!$S$70*($Z130)+'LINEST VARS'!$R$70*(4)+'LINEST VARS'!$Q$70*(0.5)+'LINEST VARS'!$P$70*(12.73)+'LINEST VARS'!$O$70*($AA$128^2)+'LINEST VARS'!$N$70*($Z130^2)+'LINEST VARS'!$M$70*(4^2)+'LINEST VARS'!$L$70*(0.5^2)+'LINEST VARS'!$K$70*(12.73^2)+'LINEST VARS'!$J$70*($AA$128*$Z130)+'LINEST VARS'!$I$70*($AA$128*4)+'LINEST VARS'!$H$70*($AA$128*0.5)+'LINEST VARS'!$G$70*($AA$128*12.73)+'LINEST VARS'!$F$70*($Z130*4)+'LINEST VARS'!$E$70*($Z130*0.5)+'LINEST VARS'!$D$70*($Z130*12.73)+'LINEST VARS'!$C$70*(4*0.5)+'LINEST VARS'!$B$70*(4*12.73)+'LINEST VARS'!$A$70*(0.5*12.73)</f>
        <v>87.19000000000004</v>
      </c>
      <c r="AB130" s="46">
        <f>'LINEST VARS'!$U$70+'LINEST VARS'!$T$70*($AB$128)+'LINEST VARS'!$S$70*($Z130)+'LINEST VARS'!$R$70*(4)+'LINEST VARS'!$Q$70*(0.5)+'LINEST VARS'!$P$70*(12.73)+'LINEST VARS'!$O$70*($AB$128^2)+'LINEST VARS'!$N$70*($Z130^2)+'LINEST VARS'!$M$70*(4^2)+'LINEST VARS'!$L$70*(0.5^2)+'LINEST VARS'!$K$70*(12.73^2)+'LINEST VARS'!$J$70*($AB$128*$Z130)+'LINEST VARS'!$I$70*($AB$128*4)+'LINEST VARS'!$H$70*($AB$128*0.5)+'LINEST VARS'!$G$70*($AB$128*12.73)+'LINEST VARS'!$F$70*($Z130*4)+'LINEST VARS'!$E$70*($Z130*0.5)+'LINEST VARS'!$D$70*($Z130*12.73)+'LINEST VARS'!$C$70*(4*0.5)+'LINEST VARS'!$B$70*(4*12.73)+'LINEST VARS'!$A$70*(0.5*12.73)</f>
        <v>87.19000000000004</v>
      </c>
      <c r="AC130" s="46">
        <f>'LINEST VARS'!$U$70+'LINEST VARS'!$T$70*($AC$128)+'LINEST VARS'!$S$70*($Z130)+'LINEST VARS'!$R$70*(4)+'LINEST VARS'!$Q$70*(0.5)+'LINEST VARS'!$P$70*(12.73)+'LINEST VARS'!$O$70*($AC$128^2)+'LINEST VARS'!$N$70*($Z130^2)+'LINEST VARS'!$M$70*(4^2)+'LINEST VARS'!$L$70*(0.5^2)+'LINEST VARS'!$K$70*(12.73^2)+'LINEST VARS'!$J$70*($AC$128*$Z130)+'LINEST VARS'!$I$70*($AC$128*4)+'LINEST VARS'!$H$70*($AC$128*0.5)+'LINEST VARS'!$G$70*($AC$128*12.73)+'LINEST VARS'!$F$70*($Z130*4)+'LINEST VARS'!$E$70*($Z130*0.5)+'LINEST VARS'!$D$70*($Z130*12.73)+'LINEST VARS'!$C$70*(4*0.5)+'LINEST VARS'!$B$70*(4*12.73)+'LINEST VARS'!$A$70*(0.5*12.73)</f>
        <v>87.19000000000004</v>
      </c>
      <c r="AD130" s="46">
        <f>'LINEST VARS'!$U$70+'LINEST VARS'!$T$70*($AD$128)+'LINEST VARS'!$S$70*($Z130)+'LINEST VARS'!$R$70*(4)+'LINEST VARS'!$Q$70*(0.5)+'LINEST VARS'!$P$70*(12.73)+'LINEST VARS'!$O$70*($AD$128^2)+'LINEST VARS'!$N$70*($Z130^2)+'LINEST VARS'!$M$70*(4^2)+'LINEST VARS'!$L$70*(0.5^2)+'LINEST VARS'!$K$70*(12.73^2)+'LINEST VARS'!$J$70*($AD$128*$Z130)+'LINEST VARS'!$I$70*($AD$128*4)+'LINEST VARS'!$H$70*($AD$128*0.5)+'LINEST VARS'!$G$70*($AD$128*12.73)+'LINEST VARS'!$F$70*($Z130*4)+'LINEST VARS'!$E$70*($Z130*0.5)+'LINEST VARS'!$D$70*($Z130*12.73)+'LINEST VARS'!$C$70*(4*0.5)+'LINEST VARS'!$B$70*(4*12.73)+'LINEST VARS'!$A$70*(0.5*12.73)</f>
        <v>87.19000000000004</v>
      </c>
      <c r="AE130" s="46">
        <f>'LINEST VARS'!$U$70+'LINEST VARS'!$T$70*($AE$128)+'LINEST VARS'!$S$70*($Z130)+'LINEST VARS'!$R$70*(4)+'LINEST VARS'!$Q$70*(0.5)+'LINEST VARS'!$P$70*(12.73)+'LINEST VARS'!$O$70*($AE$128^2)+'LINEST VARS'!$N$70*($Z130^2)+'LINEST VARS'!$M$70*(4^2)+'LINEST VARS'!$L$70*(0.5^2)+'LINEST VARS'!$K$70*(12.73^2)+'LINEST VARS'!$J$70*($AE$128*$Z130)+'LINEST VARS'!$I$70*($AE$128*4)+'LINEST VARS'!$H$70*($AE$128*0.5)+'LINEST VARS'!$G$70*($AE$128*12.73)+'LINEST VARS'!$F$70*($Z130*4)+'LINEST VARS'!$E$70*($Z130*0.5)+'LINEST VARS'!$D$70*($Z130*12.73)+'LINEST VARS'!$C$70*(4*0.5)+'LINEST VARS'!$B$70*(4*12.73)+'LINEST VARS'!$A$70*(0.5*12.73)</f>
        <v>87.19000000000004</v>
      </c>
      <c r="AF130" s="46">
        <f>'LINEST VARS'!$U$70+'LINEST VARS'!$T$70*($AF$128)+'LINEST VARS'!$S$70*($Z130)+'LINEST VARS'!$R$70*(4)+'LINEST VARS'!$Q$70*(0.5)+'LINEST VARS'!$P$70*(12.73)+'LINEST VARS'!$O$70*($AF$128^2)+'LINEST VARS'!$N$70*($Z130^2)+'LINEST VARS'!$M$70*(4^2)+'LINEST VARS'!$L$70*(0.5^2)+'LINEST VARS'!$K$70*(12.73^2)+'LINEST VARS'!$J$70*($AF$128*$Z130)+'LINEST VARS'!$I$70*($AF$128*4)+'LINEST VARS'!$H$70*($AF$128*0.5)+'LINEST VARS'!$G$70*($AF$128*12.73)+'LINEST VARS'!$F$70*($Z130*4)+'LINEST VARS'!$E$70*($Z130*0.5)+'LINEST VARS'!$D$70*($Z130*12.73)+'LINEST VARS'!$C$70*(4*0.5)+'LINEST VARS'!$B$70*(4*12.73)+'LINEST VARS'!$A$70*(0.5*12.73)</f>
        <v>87.190000000000012</v>
      </c>
      <c r="AG130" s="46">
        <f>'LINEST VARS'!$U$70+'LINEST VARS'!$T$70*($AG$128)+'LINEST VARS'!$S$70*($Z130)+'LINEST VARS'!$R$70*(4)+'LINEST VARS'!$Q$70*(0.5)+'LINEST VARS'!$P$70*(12.73)+'LINEST VARS'!$O$70*($AG$128^2)+'LINEST VARS'!$N$70*($Z130^2)+'LINEST VARS'!$M$70*(4^2)+'LINEST VARS'!$L$70*(0.5^2)+'LINEST VARS'!$K$70*(12.73^2)+'LINEST VARS'!$J$70*($AG$128*$Z130)+'LINEST VARS'!$I$70*($AG$128*4)+'LINEST VARS'!$H$70*($AG$128*0.5)+'LINEST VARS'!$G$70*($AG$128*12.73)+'LINEST VARS'!$F$70*($Z130*4)+'LINEST VARS'!$E$70*($Z130*0.5)+'LINEST VARS'!$D$70*($Z130*12.73)+'LINEST VARS'!$C$70*(4*0.5)+'LINEST VARS'!$B$70*(4*12.73)+'LINEST VARS'!$A$70*(0.5*12.73)</f>
        <v>87.190000000000012</v>
      </c>
      <c r="AH130" s="46">
        <f>'LINEST VARS'!$U$70+'LINEST VARS'!$T$70*($AH$128)+'LINEST VARS'!$S$70*($Z130)+'LINEST VARS'!$R$70*(4)+'LINEST VARS'!$Q$70*(0.5)+'LINEST VARS'!$P$70*(12.73)+'LINEST VARS'!$O$70*($AH$128^2)+'LINEST VARS'!$N$70*($Z130^2)+'LINEST VARS'!$M$70*(4^2)+'LINEST VARS'!$L$70*(0.5^2)+'LINEST VARS'!$K$70*(12.73^2)+'LINEST VARS'!$J$70*($AH$128*$Z130)+'LINEST VARS'!$I$70*($AH$128*4)+'LINEST VARS'!$H$70*($AH$128*0.5)+'LINEST VARS'!$G$70*($AH$128*12.73)+'LINEST VARS'!$F$70*($Z130*4)+'LINEST VARS'!$E$70*($Z130*0.5)+'LINEST VARS'!$D$70*($Z130*12.73)+'LINEST VARS'!$C$70*(4*0.5)+'LINEST VARS'!$B$70*(4*12.73)+'LINEST VARS'!$A$70*(0.5*12.73)</f>
        <v>87.190000000000012</v>
      </c>
      <c r="AI130" s="46">
        <f>'LINEST VARS'!$U$70+'LINEST VARS'!$T$70*($AI$128)+'LINEST VARS'!$S$70*($Z130)+'LINEST VARS'!$R$70*(4)+'LINEST VARS'!$Q$70*(0.5)+'LINEST VARS'!$P$70*(12.73)+'LINEST VARS'!$O$70*($AI$128^2)+'LINEST VARS'!$N$70*($Z130^2)+'LINEST VARS'!$M$70*(4^2)+'LINEST VARS'!$L$70*(0.5^2)+'LINEST VARS'!$K$70*(12.73^2)+'LINEST VARS'!$J$70*($AI$128*$Z130)+'LINEST VARS'!$I$70*($AI$128*4)+'LINEST VARS'!$H$70*($AI$128*0.5)+'LINEST VARS'!$G$70*($AI$128*12.73)+'LINEST VARS'!$F$70*($Z130*4)+'LINEST VARS'!$E$70*($Z130*0.5)+'LINEST VARS'!$D$70*($Z130*12.73)+'LINEST VARS'!$C$70*(4*0.5)+'LINEST VARS'!$B$70*(4*12.73)+'LINEST VARS'!$A$70*(0.5*12.73)</f>
        <v>87.190000000000012</v>
      </c>
      <c r="AJ130" s="46">
        <f>'LINEST VARS'!$U$70+'LINEST VARS'!$T$70*($AJ$128)+'LINEST VARS'!$S$70*($Z130)+'LINEST VARS'!$R$70*(4)+'LINEST VARS'!$Q$70*(0.5)+'LINEST VARS'!$P$70*(12.73)+'LINEST VARS'!$O$70*($AJ$128^2)+'LINEST VARS'!$N$70*($Z130^2)+'LINEST VARS'!$M$70*(4^2)+'LINEST VARS'!$L$70*(0.5^2)+'LINEST VARS'!$K$70*(12.73^2)+'LINEST VARS'!$J$70*($AJ$128*$Z130)+'LINEST VARS'!$I$70*($AJ$128*4)+'LINEST VARS'!$H$70*($AJ$128*0.5)+'LINEST VARS'!$G$70*($AJ$128*12.73)+'LINEST VARS'!$F$70*($Z130*4)+'LINEST VARS'!$E$70*($Z130*0.5)+'LINEST VARS'!$D$70*($Z130*12.73)+'LINEST VARS'!$C$70*(4*0.5)+'LINEST VARS'!$B$70*(4*12.73)+'LINEST VARS'!$A$70*(0.5*12.73)</f>
        <v>87.190000000000012</v>
      </c>
      <c r="AK130" s="46">
        <f>'LINEST VARS'!$U$70+'LINEST VARS'!$T$70*($AK$128)+'LINEST VARS'!$S$70*($Z130)+'LINEST VARS'!$R$70*(4)+'LINEST VARS'!$Q$70*(0.5)+'LINEST VARS'!$P$70*(12.73)+'LINEST VARS'!$O$70*($AK$128^2)+'LINEST VARS'!$N$70*($Z130^2)+'LINEST VARS'!$M$70*(4^2)+'LINEST VARS'!$L$70*(0.5^2)+'LINEST VARS'!$K$70*(12.73^2)+'LINEST VARS'!$J$70*($AK$128*$Z130)+'LINEST VARS'!$I$70*($AK$128*4)+'LINEST VARS'!$H$70*($AK$128*0.5)+'LINEST VARS'!$G$70*($AK$128*12.73)+'LINEST VARS'!$F$70*($Z130*4)+'LINEST VARS'!$E$70*($Z130*0.5)+'LINEST VARS'!$D$70*($Z130*12.73)+'LINEST VARS'!$C$70*(4*0.5)+'LINEST VARS'!$B$70*(4*12.73)+'LINEST VARS'!$A$70*(0.5*12.73)</f>
        <v>87.190000000000012</v>
      </c>
      <c r="AL130" s="46">
        <f>'LINEST VARS'!$U$70+'LINEST VARS'!$T$70*($AL$128)+'LINEST VARS'!$S$70*($Z130)+'LINEST VARS'!$R$70*(4)+'LINEST VARS'!$Q$70*(0.5)+'LINEST VARS'!$P$70*(12.73)+'LINEST VARS'!$O$70*($AL$128^2)+'LINEST VARS'!$N$70*($Z130^2)+'LINEST VARS'!$M$70*(4^2)+'LINEST VARS'!$L$70*(0.5^2)+'LINEST VARS'!$K$70*(12.73^2)+'LINEST VARS'!$J$70*($AL$128*$Z130)+'LINEST VARS'!$I$70*($AL$128*4)+'LINEST VARS'!$H$70*($AL$128*0.5)+'LINEST VARS'!$G$70*($AL$128*12.73)+'LINEST VARS'!$F$70*($Z130*4)+'LINEST VARS'!$E$70*($Z130*0.5)+'LINEST VARS'!$D$70*($Z130*12.73)+'LINEST VARS'!$C$70*(4*0.5)+'LINEST VARS'!$B$70*(4*12.73)+'LINEST VARS'!$A$70*(0.5*12.73)</f>
        <v>87.190000000000012</v>
      </c>
      <c r="AM130" s="46">
        <f>'LINEST VARS'!$U$70+'LINEST VARS'!$T$70*($AM$128)+'LINEST VARS'!$S$70*($Z130)+'LINEST VARS'!$R$70*(4)+'LINEST VARS'!$Q$70*(0.5)+'LINEST VARS'!$P$70*(12.73)+'LINEST VARS'!$O$70*($AM$128^2)+'LINEST VARS'!$N$70*($Z130^2)+'LINEST VARS'!$M$70*(4^2)+'LINEST VARS'!$L$70*(0.5^2)+'LINEST VARS'!$K$70*(12.73^2)+'LINEST VARS'!$J$70*($AM$128*$Z130)+'LINEST VARS'!$I$70*($AM$128*4)+'LINEST VARS'!$H$70*($AM$128*0.5)+'LINEST VARS'!$G$70*($AM$128*12.73)+'LINEST VARS'!$F$70*($Z130*4)+'LINEST VARS'!$E$70*($Z130*0.5)+'LINEST VARS'!$D$70*($Z130*12.73)+'LINEST VARS'!$C$70*(4*0.5)+'LINEST VARS'!$B$70*(4*12.73)+'LINEST VARS'!$A$70*(0.5*12.73)</f>
        <v>87.190000000000012</v>
      </c>
      <c r="AN130" s="46">
        <f>'LINEST VARS'!$U$70+'LINEST VARS'!$T$70*($AN$128)+'LINEST VARS'!$S$70*($Z130)+'LINEST VARS'!$R$70*(4)+'LINEST VARS'!$Q$70*(0.5)+'LINEST VARS'!$P$70*(12.73)+'LINEST VARS'!$O$70*($AN$128^2)+'LINEST VARS'!$N$70*($Z130^2)+'LINEST VARS'!$M$70*(4^2)+'LINEST VARS'!$L$70*(0.5^2)+'LINEST VARS'!$K$70*(12.73^2)+'LINEST VARS'!$J$70*($AN$128*$Z130)+'LINEST VARS'!$I$70*($AN$128*4)+'LINEST VARS'!$H$70*($AN$128*0.5)+'LINEST VARS'!$G$70*($AN$128*12.73)+'LINEST VARS'!$F$70*($Z130*4)+'LINEST VARS'!$E$70*($Z130*0.5)+'LINEST VARS'!$D$70*($Z130*12.73)+'LINEST VARS'!$C$70*(4*0.5)+'LINEST VARS'!$B$70*(4*12.73)+'LINEST VARS'!$A$70*(0.5*12.73)</f>
        <v>87.190000000000012</v>
      </c>
      <c r="AO130" s="46">
        <f>'LINEST VARS'!$U$70+'LINEST VARS'!$T$70*($AO$128)+'LINEST VARS'!$S$70*($Z130)+'LINEST VARS'!$R$70*(4)+'LINEST VARS'!$Q$70*(0.5)+'LINEST VARS'!$P$70*(12.73)+'LINEST VARS'!$O$70*($AO$128^2)+'LINEST VARS'!$N$70*($Z130^2)+'LINEST VARS'!$M$70*(4^2)+'LINEST VARS'!$L$70*(0.5^2)+'LINEST VARS'!$K$70*(12.73^2)+'LINEST VARS'!$J$70*($AO$128*$Z130)+'LINEST VARS'!$I$70*($AO$128*4)+'LINEST VARS'!$H$70*($AO$128*0.5)+'LINEST VARS'!$G$70*($AO$128*12.73)+'LINEST VARS'!$F$70*($Z130*4)+'LINEST VARS'!$E$70*($Z130*0.5)+'LINEST VARS'!$D$70*($Z130*12.73)+'LINEST VARS'!$C$70*(4*0.5)+'LINEST VARS'!$B$70*(4*12.73)+'LINEST VARS'!$A$70*(0.5*12.73)</f>
        <v>87.190000000000012</v>
      </c>
      <c r="AP130" s="46">
        <f>'LINEST VARS'!$U$70+'LINEST VARS'!$T$70*($AP$128)+'LINEST VARS'!$S$70*($Z130)+'LINEST VARS'!$R$70*(4)+'LINEST VARS'!$Q$70*(0.5)+'LINEST VARS'!$P$70*(12.73)+'LINEST VARS'!$O$70*($AP$128^2)+'LINEST VARS'!$N$70*($Z130^2)+'LINEST VARS'!$M$70*(4^2)+'LINEST VARS'!$L$70*(0.5^2)+'LINEST VARS'!$K$70*(12.73^2)+'LINEST VARS'!$J$70*($AP$128*$Z130)+'LINEST VARS'!$I$70*($AP$128*4)+'LINEST VARS'!$H$70*($AP$128*0.5)+'LINEST VARS'!$G$70*($AP$128*12.73)+'LINEST VARS'!$F$70*($Z130*4)+'LINEST VARS'!$E$70*($Z130*0.5)+'LINEST VARS'!$D$70*($Z130*12.73)+'LINEST VARS'!$C$70*(4*0.5)+'LINEST VARS'!$B$70*(4*12.73)+'LINEST VARS'!$A$70*(0.5*12.73)</f>
        <v>87.190000000000012</v>
      </c>
      <c r="AQ130" s="46">
        <f>'LINEST VARS'!$U$70+'LINEST VARS'!$T$70*($AQ$128)+'LINEST VARS'!$S$70*($Z130)+'LINEST VARS'!$R$70*(4)+'LINEST VARS'!$Q$70*(0.5)+'LINEST VARS'!$P$70*(12.73)+'LINEST VARS'!$O$70*($AQ$128^2)+'LINEST VARS'!$N$70*($Z130^2)+'LINEST VARS'!$M$70*(4^2)+'LINEST VARS'!$L$70*(0.5^2)+'LINEST VARS'!$K$70*(12.73^2)+'LINEST VARS'!$J$70*($AQ$128*$Z130)+'LINEST VARS'!$I$70*($AQ$128*4)+'LINEST VARS'!$H$70*($AQ$128*0.5)+'LINEST VARS'!$G$70*($AQ$128*12.73)+'LINEST VARS'!$F$70*($Z130*4)+'LINEST VARS'!$E$70*($Z130*0.5)+'LINEST VARS'!$D$70*($Z130*12.73)+'LINEST VARS'!$C$70*(4*0.5)+'LINEST VARS'!$B$70*(4*12.73)+'LINEST VARS'!$A$70*(0.5*12.73)</f>
        <v>87.190000000000012</v>
      </c>
      <c r="AR130" s="46">
        <f>'LINEST VARS'!$U$70+'LINEST VARS'!$T$70*($AR$128)+'LINEST VARS'!$S$70*($Z130)+'LINEST VARS'!$R$70*(4)+'LINEST VARS'!$Q$70*(0.5)+'LINEST VARS'!$P$70*(12.73)+'LINEST VARS'!$O$70*($AR$128^2)+'LINEST VARS'!$N$70*($Z130^2)+'LINEST VARS'!$M$70*(4^2)+'LINEST VARS'!$L$70*(0.5^2)+'LINEST VARS'!$K$70*(12.73^2)+'LINEST VARS'!$J$70*($AR$128*$Z130)+'LINEST VARS'!$I$70*($AR$128*4)+'LINEST VARS'!$H$70*($AR$128*0.5)+'LINEST VARS'!$G$70*($AR$128*12.73)+'LINEST VARS'!$F$70*($Z130*4)+'LINEST VARS'!$E$70*($Z130*0.5)+'LINEST VARS'!$D$70*($Z130*12.73)+'LINEST VARS'!$C$70*(4*0.5)+'LINEST VARS'!$B$70*(4*12.73)+'LINEST VARS'!$A$70*(0.5*12.73)</f>
        <v>87.190000000000012</v>
      </c>
      <c r="AS130" s="46">
        <f>'LINEST VARS'!$U$70+'LINEST VARS'!$T$70*($AS$128)+'LINEST VARS'!$S$70*($Z130)+'LINEST VARS'!$R$70*(4)+'LINEST VARS'!$Q$70*(0.5)+'LINEST VARS'!$P$70*(12.73)+'LINEST VARS'!$O$70*($AS$128^2)+'LINEST VARS'!$N$70*($Z130^2)+'LINEST VARS'!$M$70*(4^2)+'LINEST VARS'!$L$70*(0.5^2)+'LINEST VARS'!$K$70*(12.73^2)+'LINEST VARS'!$J$70*($AS$128*$Z130)+'LINEST VARS'!$I$70*($AS$128*4)+'LINEST VARS'!$H$70*($AS$128*0.5)+'LINEST VARS'!$G$70*($AS$128*12.73)+'LINEST VARS'!$F$70*($Z130*4)+'LINEST VARS'!$E$70*($Z130*0.5)+'LINEST VARS'!$D$70*($Z130*12.73)+'LINEST VARS'!$C$70*(4*0.5)+'LINEST VARS'!$B$70*(4*12.73)+'LINEST VARS'!$A$70*(0.5*12.73)</f>
        <v>87.190000000000012</v>
      </c>
      <c r="AT130" s="46">
        <f>'LINEST VARS'!$U$70+'LINEST VARS'!$T$70*($AT$128)+'LINEST VARS'!$S$70*($Z130)+'LINEST VARS'!$R$70*(4)+'LINEST VARS'!$Q$70*(0.5)+'LINEST VARS'!$P$70*(12.73)+'LINEST VARS'!$O$70*($AT$128^2)+'LINEST VARS'!$N$70*($Z130^2)+'LINEST VARS'!$M$70*(4^2)+'LINEST VARS'!$L$70*(0.5^2)+'LINEST VARS'!$K$70*(12.73^2)+'LINEST VARS'!$J$70*($AT$128*$Z130)+'LINEST VARS'!$I$70*($AT$128*4)+'LINEST VARS'!$H$70*($AT$128*0.5)+'LINEST VARS'!$G$70*($AT$128*12.73)+'LINEST VARS'!$F$70*($Z130*4)+'LINEST VARS'!$E$70*($Z130*0.5)+'LINEST VARS'!$D$70*($Z130*12.73)+'LINEST VARS'!$C$70*(4*0.5)+'LINEST VARS'!$B$70*(4*12.73)+'LINEST VARS'!$A$70*(0.5*12.73)</f>
        <v>87.190000000000012</v>
      </c>
      <c r="AU130" s="47">
        <f>'LINEST VARS'!$U$70+'LINEST VARS'!$T$70*($AU$128)+'LINEST VARS'!$S$70*($Z130)+'LINEST VARS'!$R$70*(4)+'LINEST VARS'!$Q$70*(0.5)+'LINEST VARS'!$P$70*(12.73)+'LINEST VARS'!$O$70*($AU$128^2)+'LINEST VARS'!$N$70*($Z130^2)+'LINEST VARS'!$M$70*(4^2)+'LINEST VARS'!$L$70*(0.5^2)+'LINEST VARS'!$K$70*(12.73^2)+'LINEST VARS'!$J$70*($AU$128*$Z130)+'LINEST VARS'!$I$70*($AU$128*4)+'LINEST VARS'!$H$70*($AU$128*0.5)+'LINEST VARS'!$G$70*($AU$128*12.73)+'LINEST VARS'!$F$70*($Z130*4)+'LINEST VARS'!$E$70*($Z130*0.5)+'LINEST VARS'!$D$70*($Z130*12.73)+'LINEST VARS'!$C$70*(4*0.5)+'LINEST VARS'!$B$70*(4*12.73)+'LINEST VARS'!$A$70*(0.5*12.73)</f>
        <v>87.190000000000012</v>
      </c>
      <c r="AZ130" s="45">
        <v>0.05</v>
      </c>
      <c r="BA130" s="46">
        <f>'LINEST VARS'!$U$68+'LINEST VARS'!$T$68*(8)+'LINEST VARS'!$S$68*(8)+'LINEST VARS'!$R$68*($BA$128)+'LINEST VARS'!$Q$68*($AZ130)+'LINEST VARS'!$P$68*(12.73)+'LINEST VARS'!$O$68*(8^2)+'LINEST VARS'!$N$68*(8^2)+'LINEST VARS'!$M$68*($BA$128^2)+'LINEST VARS'!$L$68*($AZ130^2)+'LINEST VARS'!$K$68*(12.73^2)+'LINEST VARS'!$J$68*(8*8)+'LINEST VARS'!$I$68*(8*$BA$128)+'LINEST VARS'!$H$68*(8*$AZ130)+'LINEST VARS'!$G$68*(8*12.73)+'LINEST VARS'!$F$68*(8*$BA$128)+'LINEST VARS'!$E$68*(8*$AZ130)+'LINEST VARS'!$D$68*(8*12.73)+'LINEST VARS'!$C$68*($BA$128*$AZ130)+'LINEST VARS'!$B$68*($BA$128*12.73)+'LINEST VARS'!$A$68*($AZ130*12.73)</f>
        <v>149.99</v>
      </c>
      <c r="BB130" s="46">
        <f>'LINEST VARS'!$U$68+'LINEST VARS'!$T$68*(8)+'LINEST VARS'!$S$68*(8)+'LINEST VARS'!$R$68*($BB$128)+'LINEST VARS'!$Q$68*($AZ130)+'LINEST VARS'!$P$68*(12.73)+'LINEST VARS'!$O$68*(8^2)+'LINEST VARS'!$N$68*(8^2)+'LINEST VARS'!$M$68*($BB$128^2)+'LINEST VARS'!$L$68*($AZ130^2)+'LINEST VARS'!$K$68*(12.73^2)+'LINEST VARS'!$J$68*(8*8)+'LINEST VARS'!$I$68*(8*$BB$128)+'LINEST VARS'!$H$68*(8*$AZ130)+'LINEST VARS'!$G$68*(8*12.73)+'LINEST VARS'!$F$68*(8*$BB$128)+'LINEST VARS'!$E$68*(8*$AZ130)+'LINEST VARS'!$D$68*(8*12.73)+'LINEST VARS'!$C$68*($BB$128*$AZ130)+'LINEST VARS'!$B$68*($BB$128*12.73)+'LINEST VARS'!$A$68*($AZ130*12.73)</f>
        <v>149.99</v>
      </c>
      <c r="BC130" s="46">
        <f>'LINEST VARS'!$U$68+'LINEST VARS'!$T$68*(8)+'LINEST VARS'!$S$68*(8)+'LINEST VARS'!$R$68*($BC$128)+'LINEST VARS'!$Q$68*($AZ130)+'LINEST VARS'!$P$68*(12.73)+'LINEST VARS'!$O$68*(8^2)+'LINEST VARS'!$N$68*(8^2)+'LINEST VARS'!$M$68*($BC$128^2)+'LINEST VARS'!$L$68*($AZ130^2)+'LINEST VARS'!$K$68*(12.73^2)+'LINEST VARS'!$J$68*(8*8)+'LINEST VARS'!$I$68*(8*$BC$128)+'LINEST VARS'!$H$68*(8*$AZ130)+'LINEST VARS'!$G$68*(8*12.73)+'LINEST VARS'!$F$68*(8*$BC$128)+'LINEST VARS'!$E$68*(8*$AZ130)+'LINEST VARS'!$D$68*(8*12.73)+'LINEST VARS'!$C$68*($BC$128*$AZ130)+'LINEST VARS'!$B$68*($BC$128*12.73)+'LINEST VARS'!$A$68*($AZ130*12.73)</f>
        <v>149.99</v>
      </c>
      <c r="BD130" s="46">
        <f>'LINEST VARS'!$U$68+'LINEST VARS'!$T$68*(8)+'LINEST VARS'!$S$68*(8)+'LINEST VARS'!$R$68*($BD$128)+'LINEST VARS'!$Q$68*($AZ130)+'LINEST VARS'!$P$68*(12.73)+'LINEST VARS'!$O$68*(8^2)+'LINEST VARS'!$N$68*(8^2)+'LINEST VARS'!$M$68*($BD$128^2)+'LINEST VARS'!$L$68*($AZ130^2)+'LINEST VARS'!$K$68*(12.73^2)+'LINEST VARS'!$J$68*(8*8)+'LINEST VARS'!$I$68*(8*$BD$128)+'LINEST VARS'!$H$68*(8*$AZ130)+'LINEST VARS'!$G$68*(8*12.73)+'LINEST VARS'!$F$68*(8*$BD$128)+'LINEST VARS'!$E$68*(8*$AZ130)+'LINEST VARS'!$D$68*(8*12.73)+'LINEST VARS'!$C$68*($BD$128*$AZ130)+'LINEST VARS'!$B$68*($BD$128*12.73)+'LINEST VARS'!$A$68*($AZ130*12.73)</f>
        <v>149.99</v>
      </c>
      <c r="BE130" s="46">
        <f>'LINEST VARS'!$U$68+'LINEST VARS'!$T$68*(8)+'LINEST VARS'!$S$68*(8)+'LINEST VARS'!$R$68*($BE$128)+'LINEST VARS'!$Q$68*($AZ130)+'LINEST VARS'!$P$68*(12.73)+'LINEST VARS'!$O$68*(8^2)+'LINEST VARS'!$N$68*(8^2)+'LINEST VARS'!$M$68*($BE$128^2)+'LINEST VARS'!$L$68*($AZ130^2)+'LINEST VARS'!$K$68*(12.73^2)+'LINEST VARS'!$J$68*(8*8)+'LINEST VARS'!$I$68*(8*$BE$128)+'LINEST VARS'!$H$68*(8*$AZ130)+'LINEST VARS'!$G$68*(8*12.73)+'LINEST VARS'!$F$68*(8*$BE$128)+'LINEST VARS'!$E$68*(8*$AZ130)+'LINEST VARS'!$D$68*(8*12.73)+'LINEST VARS'!$C$68*($BE$128*$AZ130)+'LINEST VARS'!$B$68*($BE$128*12.73)+'LINEST VARS'!$A$68*($AZ130*12.73)</f>
        <v>149.99</v>
      </c>
      <c r="BF130" s="46">
        <f>'LINEST VARS'!$U$68+'LINEST VARS'!$T$68*(8)+'LINEST VARS'!$S$68*(8)+'LINEST VARS'!$R$68*($BF$128)+'LINEST VARS'!$Q$68*($AZ130)+'LINEST VARS'!$P$68*(12.73)+'LINEST VARS'!$O$68*(8^2)+'LINEST VARS'!$N$68*(8^2)+'LINEST VARS'!$M$68*($BF$128^2)+'LINEST VARS'!$L$68*($AZ130^2)+'LINEST VARS'!$K$68*(12.73^2)+'LINEST VARS'!$J$68*(8*8)+'LINEST VARS'!$I$68*(8*$BF$128)+'LINEST VARS'!$H$68*(8*$AZ130)+'LINEST VARS'!$G$68*(8*12.73)+'LINEST VARS'!$F$68*(8*$BF$128)+'LINEST VARS'!$E$68*(8*$AZ130)+'LINEST VARS'!$D$68*(8*12.73)+'LINEST VARS'!$C$68*($BF$128*$AZ130)+'LINEST VARS'!$B$68*($BF$128*12.73)+'LINEST VARS'!$A$68*($AZ130*12.73)</f>
        <v>149.99</v>
      </c>
      <c r="BG130" s="46">
        <f>'LINEST VARS'!$U$68+'LINEST VARS'!$T$68*(8)+'LINEST VARS'!$S$68*(8)+'LINEST VARS'!$R$68*($BG$128)+'LINEST VARS'!$Q$68*($AZ130)+'LINEST VARS'!$P$68*(12.73)+'LINEST VARS'!$O$68*(8^2)+'LINEST VARS'!$N$68*(8^2)+'LINEST VARS'!$M$68*($BG$128^2)+'LINEST VARS'!$L$68*($AZ130^2)+'LINEST VARS'!$K$68*(12.73^2)+'LINEST VARS'!$J$68*(8*8)+'LINEST VARS'!$I$68*(8*$BG$128)+'LINEST VARS'!$H$68*(8*$AZ130)+'LINEST VARS'!$G$68*(8*12.73)+'LINEST VARS'!$F$68*(8*$BG$128)+'LINEST VARS'!$E$68*(8*$AZ130)+'LINEST VARS'!$D$68*(8*12.73)+'LINEST VARS'!$C$68*($BG$128*$AZ130)+'LINEST VARS'!$B$68*($BG$128*12.73)+'LINEST VARS'!$A$68*($AZ130*12.73)</f>
        <v>149.99</v>
      </c>
      <c r="BH130" s="46">
        <f>'LINEST VARS'!$U$68+'LINEST VARS'!$T$68*(8)+'LINEST VARS'!$S$68*(8)+'LINEST VARS'!$R$68*($BH$128)+'LINEST VARS'!$Q$68*($AZ130)+'LINEST VARS'!$P$68*(12.73)+'LINEST VARS'!$O$68*(8^2)+'LINEST VARS'!$N$68*(8^2)+'LINEST VARS'!$M$68*($BH$128^2)+'LINEST VARS'!$L$68*($AZ130^2)+'LINEST VARS'!$K$68*(12.73^2)+'LINEST VARS'!$J$68*(8*8)+'LINEST VARS'!$I$68*(8*$BH$128)+'LINEST VARS'!$H$68*(8*$AZ130)+'LINEST VARS'!$G$68*(8*12.73)+'LINEST VARS'!$F$68*(8*$BH$128)+'LINEST VARS'!$E$68*(8*$AZ130)+'LINEST VARS'!$D$68*(8*12.73)+'LINEST VARS'!$C$68*($BH$128*$AZ130)+'LINEST VARS'!$B$68*($BH$128*12.73)+'LINEST VARS'!$A$68*($AZ130*12.73)</f>
        <v>149.99</v>
      </c>
      <c r="BI130" s="46">
        <f>'LINEST VARS'!$U$68+'LINEST VARS'!$T$68*(8)+'LINEST VARS'!$S$68*(8)+'LINEST VARS'!$R$68*($BI$128)+'LINEST VARS'!$Q$68*($AZ130)+'LINEST VARS'!$P$68*(12.73)+'LINEST VARS'!$O$68*(8^2)+'LINEST VARS'!$N$68*(8^2)+'LINEST VARS'!$M$68*($BI$128^2)+'LINEST VARS'!$L$68*($AZ130^2)+'LINEST VARS'!$K$68*(12.73^2)+'LINEST VARS'!$J$68*(8*8)+'LINEST VARS'!$I$68*(8*$BI$128)+'LINEST VARS'!$H$68*(8*$AZ130)+'LINEST VARS'!$G$68*(8*12.73)+'LINEST VARS'!$F$68*(8*$BI$128)+'LINEST VARS'!$E$68*(8*$AZ130)+'LINEST VARS'!$D$68*(8*12.73)+'LINEST VARS'!$C$68*($BI$128*$AZ130)+'LINEST VARS'!$B$68*($BI$128*12.73)+'LINEST VARS'!$A$68*($AZ130*12.73)</f>
        <v>149.99</v>
      </c>
      <c r="BJ130" s="46">
        <f>'LINEST VARS'!$U$68+'LINEST VARS'!$T$68*(8)+'LINEST VARS'!$S$68*(8)+'LINEST VARS'!$R$68*($BJ$128)+'LINEST VARS'!$Q$68*($AZ130)+'LINEST VARS'!$P$68*(12.73)+'LINEST VARS'!$O$68*(8^2)+'LINEST VARS'!$N$68*(8^2)+'LINEST VARS'!$M$68*($BJ$128^2)+'LINEST VARS'!$L$68*($AZ130^2)+'LINEST VARS'!$K$68*(12.73^2)+'LINEST VARS'!$J$68*(8*8)+'LINEST VARS'!$I$68*(8*$BJ$128)+'LINEST VARS'!$H$68*(8*$AZ130)+'LINEST VARS'!$G$68*(8*12.73)+'LINEST VARS'!$F$68*(8*$BJ$128)+'LINEST VARS'!$E$68*(8*$AZ130)+'LINEST VARS'!$D$68*(8*12.73)+'LINEST VARS'!$C$68*($BJ$128*$AZ130)+'LINEST VARS'!$B$68*($BJ$128*12.73)+'LINEST VARS'!$A$68*($AZ130*12.73)</f>
        <v>149.99</v>
      </c>
      <c r="BK130" s="46">
        <f>'LINEST VARS'!$U$68+'LINEST VARS'!$T$68*(8)+'LINEST VARS'!$S$68*(8)+'LINEST VARS'!$R$68*($BK$128)+'LINEST VARS'!$Q$68*($AZ130)+'LINEST VARS'!$P$68*(12.73)+'LINEST VARS'!$O$68*(8^2)+'LINEST VARS'!$N$68*(8^2)+'LINEST VARS'!$M$68*($BK$128^2)+'LINEST VARS'!$L$68*($AZ130^2)+'LINEST VARS'!$K$68*(12.73^2)+'LINEST VARS'!$J$68*(8*8)+'LINEST VARS'!$I$68*(8*$BK$128)+'LINEST VARS'!$H$68*(8*$AZ130)+'LINEST VARS'!$G$68*(8*12.73)+'LINEST VARS'!$F$68*(8*$BK$128)+'LINEST VARS'!$E$68*(8*$AZ130)+'LINEST VARS'!$D$68*(8*12.73)+'LINEST VARS'!$C$68*($BK$128*$AZ130)+'LINEST VARS'!$B$68*($BK$128*12.73)+'LINEST VARS'!$A$68*($AZ130*12.73)</f>
        <v>149.99</v>
      </c>
      <c r="BL130" s="46">
        <f>'LINEST VARS'!$U$68+'LINEST VARS'!$T$68*(8)+'LINEST VARS'!$S$68*(8)+'LINEST VARS'!$R$68*($BL$128)+'LINEST VARS'!$Q$68*($AZ130)+'LINEST VARS'!$P$68*(12.73)+'LINEST VARS'!$O$68*(8^2)+'LINEST VARS'!$N$68*(8^2)+'LINEST VARS'!$M$68*($BL$128^2)+'LINEST VARS'!$L$68*($AZ130^2)+'LINEST VARS'!$K$68*(12.73^2)+'LINEST VARS'!$J$68*(8*8)+'LINEST VARS'!$I$68*(8*$BL$128)+'LINEST VARS'!$H$68*(8*$AZ130)+'LINEST VARS'!$G$68*(8*12.73)+'LINEST VARS'!$F$68*(8*$BL$128)+'LINEST VARS'!$E$68*(8*$AZ130)+'LINEST VARS'!$D$68*(8*12.73)+'LINEST VARS'!$C$68*($BL$128*$AZ130)+'LINEST VARS'!$B$68*($BL$128*12.73)+'LINEST VARS'!$A$68*($AZ130*12.73)</f>
        <v>149.99</v>
      </c>
      <c r="BM130" s="46">
        <f>'LINEST VARS'!$U$68+'LINEST VARS'!$T$68*(8)+'LINEST VARS'!$S$68*(8)+'LINEST VARS'!$R$68*($BM$128)+'LINEST VARS'!$Q$68*($AZ130)+'LINEST VARS'!$P$68*(12.73)+'LINEST VARS'!$O$68*(8^2)+'LINEST VARS'!$N$68*(8^2)+'LINEST VARS'!$M$68*($BM$128^2)+'LINEST VARS'!$L$68*($AZ130^2)+'LINEST VARS'!$K$68*(12.73^2)+'LINEST VARS'!$J$68*(8*8)+'LINEST VARS'!$I$68*(8*$BM$128)+'LINEST VARS'!$H$68*(8*$AZ130)+'LINEST VARS'!$G$68*(8*12.73)+'LINEST VARS'!$F$68*(8*$BM$128)+'LINEST VARS'!$E$68*(8*$AZ130)+'LINEST VARS'!$D$68*(8*12.73)+'LINEST VARS'!$C$68*($BM$128*$AZ130)+'LINEST VARS'!$B$68*($BM$128*12.73)+'LINEST VARS'!$A$68*($AZ130*12.73)</f>
        <v>149.99</v>
      </c>
      <c r="BN130" s="46">
        <f>'LINEST VARS'!$U$68+'LINEST VARS'!$T$68*(8)+'LINEST VARS'!$S$68*(8)+'LINEST VARS'!$R$68*($BN$128)+'LINEST VARS'!$Q$68*($AZ130)+'LINEST VARS'!$P$68*(12.73)+'LINEST VARS'!$O$68*(8^2)+'LINEST VARS'!$N$68*(8^2)+'LINEST VARS'!$M$68*($BN$128^2)+'LINEST VARS'!$L$68*($AZ130^2)+'LINEST VARS'!$K$68*(12.73^2)+'LINEST VARS'!$J$68*(8*8)+'LINEST VARS'!$I$68*(8*$BN$128)+'LINEST VARS'!$H$68*(8*$AZ130)+'LINEST VARS'!$G$68*(8*12.73)+'LINEST VARS'!$F$68*(8*$BN$128)+'LINEST VARS'!$E$68*(8*$AZ130)+'LINEST VARS'!$D$68*(8*12.73)+'LINEST VARS'!$C$68*($BN$128*$AZ130)+'LINEST VARS'!$B$68*($BN$128*12.73)+'LINEST VARS'!$A$68*($AZ130*12.73)</f>
        <v>149.99</v>
      </c>
      <c r="BO130" s="46">
        <f>'LINEST VARS'!$U$68+'LINEST VARS'!$T$68*(8)+'LINEST VARS'!$S$68*(8)+'LINEST VARS'!$R$68*($BO$128)+'LINEST VARS'!$Q$68*($AZ130)+'LINEST VARS'!$P$68*(12.73)+'LINEST VARS'!$O$68*(8^2)+'LINEST VARS'!$N$68*(8^2)+'LINEST VARS'!$M$68*($BO$128^2)+'LINEST VARS'!$L$68*($AZ130^2)+'LINEST VARS'!$K$68*(12.73^2)+'LINEST VARS'!$J$68*(8*8)+'LINEST VARS'!$I$68*(8*$BO$128)+'LINEST VARS'!$H$68*(8*$AZ130)+'LINEST VARS'!$G$68*(8*12.73)+'LINEST VARS'!$F$68*(8*$BO$128)+'LINEST VARS'!$E$68*(8*$AZ130)+'LINEST VARS'!$D$68*(8*12.73)+'LINEST VARS'!$C$68*($BO$128*$AZ130)+'LINEST VARS'!$B$68*($BO$128*12.73)+'LINEST VARS'!$A$68*($AZ130*12.73)</f>
        <v>149.99</v>
      </c>
      <c r="BP130" s="46">
        <f>'LINEST VARS'!$U$68+'LINEST VARS'!$T$68*(8)+'LINEST VARS'!$S$68*(8)+'LINEST VARS'!$R$68*($BP$128)+'LINEST VARS'!$Q$68*($AZ130)+'LINEST VARS'!$P$68*(12.73)+'LINEST VARS'!$O$68*(8^2)+'LINEST VARS'!$N$68*(8^2)+'LINEST VARS'!$M$68*($BP$128^2)+'LINEST VARS'!$L$68*($AZ130^2)+'LINEST VARS'!$K$68*(12.73^2)+'LINEST VARS'!$J$68*(8*8)+'LINEST VARS'!$I$68*(8*$BP$128)+'LINEST VARS'!$H$68*(8*$AZ130)+'LINEST VARS'!$G$68*(8*12.73)+'LINEST VARS'!$F$68*(8*$BP$128)+'LINEST VARS'!$E$68*(8*$AZ130)+'LINEST VARS'!$D$68*(8*12.73)+'LINEST VARS'!$C$68*($BP$128*$AZ130)+'LINEST VARS'!$B$68*($BP$128*12.73)+'LINEST VARS'!$A$68*($AZ130*12.73)</f>
        <v>149.99</v>
      </c>
      <c r="BQ130" s="46">
        <f>'LINEST VARS'!$U$68+'LINEST VARS'!$T$68*(8)+'LINEST VARS'!$S$68*(8)+'LINEST VARS'!$R$68*($BQ$128)+'LINEST VARS'!$Q$68*($AZ130)+'LINEST VARS'!$P$68*(12.73)+'LINEST VARS'!$O$68*(8^2)+'LINEST VARS'!$N$68*(8^2)+'LINEST VARS'!$M$68*($BQ$128^2)+'LINEST VARS'!$L$68*($AZ130^2)+'LINEST VARS'!$K$68*(12.73^2)+'LINEST VARS'!$J$68*(8*8)+'LINEST VARS'!$I$68*(8*$BQ$128)+'LINEST VARS'!$H$68*(8*$AZ130)+'LINEST VARS'!$G$68*(8*12.73)+'LINEST VARS'!$F$68*(8*$BQ$128)+'LINEST VARS'!$E$68*(8*$AZ130)+'LINEST VARS'!$D$68*(8*12.73)+'LINEST VARS'!$C$68*($BQ$128*$AZ130)+'LINEST VARS'!$B$68*($BQ$128*12.73)+'LINEST VARS'!$A$68*($AZ130*12.73)</f>
        <v>149.99</v>
      </c>
      <c r="BR130" s="46">
        <f>'LINEST VARS'!$U$68+'LINEST VARS'!$T$68*(8)+'LINEST VARS'!$S$68*(8)+'LINEST VARS'!$R$68*($BR$128)+'LINEST VARS'!$Q$68*($AZ130)+'LINEST VARS'!$P$68*(12.73)+'LINEST VARS'!$O$68*(8^2)+'LINEST VARS'!$N$68*(8^2)+'LINEST VARS'!$M$68*($BR$128^2)+'LINEST VARS'!$L$68*($AZ130^2)+'LINEST VARS'!$K$68*(12.73^2)+'LINEST VARS'!$J$68*(8*8)+'LINEST VARS'!$I$68*(8*$BR$128)+'LINEST VARS'!$H$68*(8*$AZ130)+'LINEST VARS'!$G$68*(8*12.73)+'LINEST VARS'!$F$68*(8*$BR$128)+'LINEST VARS'!$E$68*(8*$AZ130)+'LINEST VARS'!$D$68*(8*12.73)+'LINEST VARS'!$C$68*($BR$128*$AZ130)+'LINEST VARS'!$B$68*($BR$128*12.73)+'LINEST VARS'!$A$68*($AZ130*12.73)</f>
        <v>149.99</v>
      </c>
      <c r="BS130" s="46">
        <f>'LINEST VARS'!$U$68+'LINEST VARS'!$T$68*(8)+'LINEST VARS'!$S$68*(8)+'LINEST VARS'!$R$68*($BS$128)+'LINEST VARS'!$Q$68*($AZ130)+'LINEST VARS'!$P$68*(12.73)+'LINEST VARS'!$O$68*(8^2)+'LINEST VARS'!$N$68*(8^2)+'LINEST VARS'!$M$68*($BS$128^2)+'LINEST VARS'!$L$68*($AZ130^2)+'LINEST VARS'!$K$68*(12.73^2)+'LINEST VARS'!$J$68*(8*8)+'LINEST VARS'!$I$68*(8*$BS$128)+'LINEST VARS'!$H$68*(8*$AZ130)+'LINEST VARS'!$G$68*(8*12.73)+'LINEST VARS'!$F$68*(8*$BS$128)+'LINEST VARS'!$E$68*(8*$AZ130)+'LINEST VARS'!$D$68*(8*12.73)+'LINEST VARS'!$C$68*($BS$128*$AZ130)+'LINEST VARS'!$B$68*($BS$128*12.73)+'LINEST VARS'!$A$68*($AZ130*12.73)</f>
        <v>149.99</v>
      </c>
      <c r="BT130" s="46">
        <f>'LINEST VARS'!$U$68+'LINEST VARS'!$T$68*(8)+'LINEST VARS'!$S$68*(8)+'LINEST VARS'!$R$68*($BT$128)+'LINEST VARS'!$Q$68*($AZ130)+'LINEST VARS'!$P$68*(12.73)+'LINEST VARS'!$O$68*(8^2)+'LINEST VARS'!$N$68*(8^2)+'LINEST VARS'!$M$68*($BT$128^2)+'LINEST VARS'!$L$68*($AZ130^2)+'LINEST VARS'!$K$68*(12.73^2)+'LINEST VARS'!$J$68*(8*8)+'LINEST VARS'!$I$68*(8*$BT$128)+'LINEST VARS'!$H$68*(8*$AZ130)+'LINEST VARS'!$G$68*(8*12.73)+'LINEST VARS'!$F$68*(8*$BT$128)+'LINEST VARS'!$E$68*(8*$AZ130)+'LINEST VARS'!$D$68*(8*12.73)+'LINEST VARS'!$C$68*($BT$128*$AZ130)+'LINEST VARS'!$B$68*($BT$128*12.73)+'LINEST VARS'!$A$68*($AZ130*12.73)</f>
        <v>149.99</v>
      </c>
      <c r="BU130" s="47">
        <f>'LINEST VARS'!$U$68+'LINEST VARS'!$T$68*(8)+'LINEST VARS'!$S$68*(8)+'LINEST VARS'!$R$68*($BU$128)+'LINEST VARS'!$Q$68*($AZ130)+'LINEST VARS'!$P$68*(12.73)+'LINEST VARS'!$O$68*(8^2)+'LINEST VARS'!$N$68*(8^2)+'LINEST VARS'!$M$68*($BU$128^2)+'LINEST VARS'!$L$68*($AZ130^2)+'LINEST VARS'!$K$68*(12.73^2)+'LINEST VARS'!$J$68*(8*8)+'LINEST VARS'!$I$68*(8*$BU$128)+'LINEST VARS'!$H$68*(8*$AZ130)+'LINEST VARS'!$G$68*(8*12.73)+'LINEST VARS'!$F$68*(8*$BU$128)+'LINEST VARS'!$E$68*(8*$AZ130)+'LINEST VARS'!$D$68*(8*12.73)+'LINEST VARS'!$C$68*($BU$128*$AZ130)+'LINEST VARS'!$B$68*($BU$128*12.73)+'LINEST VARS'!$A$68*($AZ130*12.73)</f>
        <v>149.99</v>
      </c>
      <c r="BX130" s="45">
        <v>0.05</v>
      </c>
      <c r="BY130" s="46">
        <f>'LINEST VARS'!$U$70+'LINEST VARS'!$T$70*(8)+'LINEST VARS'!$S$70*(8)+'LINEST VARS'!$R$70*($BY$128)+'LINEST VARS'!$Q$70*($BX130)+'LINEST VARS'!$P$70*(12.73)+'LINEST VARS'!$O$70*(8^2)+'LINEST VARS'!$N$70*(8^2)+'LINEST VARS'!$M$70*($BY$128^2)+'LINEST VARS'!$L$70*($BX130^2)+'LINEST VARS'!$K$70*(12.73^2)+'LINEST VARS'!$J$70*(8*8)+'LINEST VARS'!$I$70*(8*$BY$128)+'LINEST VARS'!$H$70*(8*$BX130)+'LINEST VARS'!$G$70*(8*12.73)+'LINEST VARS'!$F$70*(8*$BY$128)+'LINEST VARS'!$E$70*(8*$BX130)+'LINEST VARS'!$D$70*(8*12.73)+'LINEST VARS'!$C$70*($BY$128*$BX130)+'LINEST VARS'!$B$70*($BY$128*12.73)+'LINEST VARS'!$A$70*($BX130*12.73)</f>
        <v>92.000000000000014</v>
      </c>
      <c r="BZ130" s="46">
        <f>'LINEST VARS'!$U$70+'LINEST VARS'!$T$70*(8)+'LINEST VARS'!$S$70*(8)+'LINEST VARS'!$R$70*($BZ$128)+'LINEST VARS'!$Q$70*($BX130)+'LINEST VARS'!$P$70*(12.73)+'LINEST VARS'!$O$70*(8^2)+'LINEST VARS'!$N$70*(8^2)+'LINEST VARS'!$M$70*($BZ$128^2)+'LINEST VARS'!$L$70*($BX130^2)+'LINEST VARS'!$K$70*(12.73^2)+'LINEST VARS'!$J$70*(8*8)+'LINEST VARS'!$I$70*(8*$BZ$128)+'LINEST VARS'!$H$70*(8*$BX130)+'LINEST VARS'!$G$70*(8*12.73)+'LINEST VARS'!$F$70*(8*$BZ$128)+'LINEST VARS'!$E$70*(8*$BX130)+'LINEST VARS'!$D$70*(8*12.73)+'LINEST VARS'!$C$70*($BZ$128*$BX130)+'LINEST VARS'!$B$70*($BZ$128*12.73)+'LINEST VARS'!$A$70*($BX130*12.73)</f>
        <v>91.600000000000009</v>
      </c>
      <c r="CA130" s="46">
        <f>'LINEST VARS'!$U$70+'LINEST VARS'!$T$70*(8)+'LINEST VARS'!$S$70*(8)+'LINEST VARS'!$R$70*($CA$128)+'LINEST VARS'!$Q$70*($BX130)+'LINEST VARS'!$P$70*(12.73)+'LINEST VARS'!$O$70*(8^2)+'LINEST VARS'!$N$70*(8^2)+'LINEST VARS'!$M$70*($CA$128^2)+'LINEST VARS'!$L$70*($BX130^2)+'LINEST VARS'!$K$70*(12.73^2)+'LINEST VARS'!$J$70*(8*8)+'LINEST VARS'!$I$70*(8*$CA$128)+'LINEST VARS'!$H$70*(8*$BX130)+'LINEST VARS'!$G$70*(8*12.73)+'LINEST VARS'!$F$70*(8*$CA$128)+'LINEST VARS'!$E$70*(8*$BX130)+'LINEST VARS'!$D$70*(8*12.73)+'LINEST VARS'!$C$70*($CA$128*$BX130)+'LINEST VARS'!$B$70*($CA$128*12.73)+'LINEST VARS'!$A$70*($BX130*12.73)</f>
        <v>91.200000000000017</v>
      </c>
      <c r="CB130" s="46">
        <f>'LINEST VARS'!$U$70+'LINEST VARS'!$T$70*(8)+'LINEST VARS'!$S$70*(8)+'LINEST VARS'!$R$70*($CB$128)+'LINEST VARS'!$Q$70*($BX130)+'LINEST VARS'!$P$70*(12.73)+'LINEST VARS'!$O$70*(8^2)+'LINEST VARS'!$N$70*(8^2)+'LINEST VARS'!$M$70*($CB$128^2)+'LINEST VARS'!$L$70*($BX130^2)+'LINEST VARS'!$K$70*(12.73^2)+'LINEST VARS'!$J$70*(8*8)+'LINEST VARS'!$I$70*(8*$CB$128)+'LINEST VARS'!$H$70*(8*$BX130)+'LINEST VARS'!$G$70*(8*12.73)+'LINEST VARS'!$F$70*(8*$CB$128)+'LINEST VARS'!$E$70*(8*$BX130)+'LINEST VARS'!$D$70*(8*12.73)+'LINEST VARS'!$C$70*($CB$128*$BX130)+'LINEST VARS'!$B$70*($CB$128*12.73)+'LINEST VARS'!$A$70*($BX130*12.73)</f>
        <v>90.800000000000011</v>
      </c>
      <c r="CC130" s="46">
        <f>'LINEST VARS'!$U$70+'LINEST VARS'!$T$70*(8)+'LINEST VARS'!$S$70*(8)+'LINEST VARS'!$R$70*($CC$128)+'LINEST VARS'!$Q$70*($BX130)+'LINEST VARS'!$P$70*(12.73)+'LINEST VARS'!$O$70*(8^2)+'LINEST VARS'!$N$70*(8^2)+'LINEST VARS'!$M$70*($CC$128^2)+'LINEST VARS'!$L$70*($BX130^2)+'LINEST VARS'!$K$70*(12.73^2)+'LINEST VARS'!$J$70*(8*8)+'LINEST VARS'!$I$70*(8*$CC$128)+'LINEST VARS'!$H$70*(8*$BX130)+'LINEST VARS'!$G$70*(8*12.73)+'LINEST VARS'!$F$70*(8*$CC$128)+'LINEST VARS'!$E$70*(8*$BX130)+'LINEST VARS'!$D$70*(8*12.73)+'LINEST VARS'!$C$70*($CC$128*$BX130)+'LINEST VARS'!$B$70*($CC$128*12.73)+'LINEST VARS'!$A$70*($BX130*12.73)</f>
        <v>90.40000000000002</v>
      </c>
      <c r="CD130" s="46">
        <f>'LINEST VARS'!$U$70+'LINEST VARS'!$T$70*(8)+'LINEST VARS'!$S$70*(8)+'LINEST VARS'!$R$70*($CD$128)+'LINEST VARS'!$Q$70*($BX130)+'LINEST VARS'!$P$70*(12.73)+'LINEST VARS'!$O$70*(8^2)+'LINEST VARS'!$N$70*(8^2)+'LINEST VARS'!$M$70*($CD$128^2)+'LINEST VARS'!$L$70*($BX130^2)+'LINEST VARS'!$K$70*(12.73^2)+'LINEST VARS'!$J$70*(8*8)+'LINEST VARS'!$I$70*(8*$CD$128)+'LINEST VARS'!$H$70*(8*$BX130)+'LINEST VARS'!$G$70*(8*12.73)+'LINEST VARS'!$F$70*(8*$CD$128)+'LINEST VARS'!$E$70*(8*$BX130)+'LINEST VARS'!$D$70*(8*12.73)+'LINEST VARS'!$C$70*($CD$128*$BX130)+'LINEST VARS'!$B$70*($CD$128*12.73)+'LINEST VARS'!$A$70*($BX130*12.73)</f>
        <v>90.000000000000014</v>
      </c>
      <c r="CE130" s="46">
        <f>'LINEST VARS'!$U$70+'LINEST VARS'!$T$70*(8)+'LINEST VARS'!$S$70*(8)+'LINEST VARS'!$R$70*($CE$128)+'LINEST VARS'!$Q$70*($BX130)+'LINEST VARS'!$P$70*(12.73)+'LINEST VARS'!$O$70*(8^2)+'LINEST VARS'!$N$70*(8^2)+'LINEST VARS'!$M$70*($CE$128^2)+'LINEST VARS'!$L$70*($BX130^2)+'LINEST VARS'!$K$70*(12.73^2)+'LINEST VARS'!$J$70*(8*8)+'LINEST VARS'!$I$70*(8*$CE$128)+'LINEST VARS'!$H$70*(8*$BX130)+'LINEST VARS'!$G$70*(8*12.73)+'LINEST VARS'!$F$70*(8*$CE$128)+'LINEST VARS'!$E$70*(8*$BX130)+'LINEST VARS'!$D$70*(8*12.73)+'LINEST VARS'!$C$70*($CE$128*$BX130)+'LINEST VARS'!$B$70*($CE$128*12.73)+'LINEST VARS'!$A$70*($BX130*12.73)</f>
        <v>89.600000000000023</v>
      </c>
      <c r="CF130" s="46">
        <f>'LINEST VARS'!$U$70+'LINEST VARS'!$T$70*(8)+'LINEST VARS'!$S$70*(8)+'LINEST VARS'!$R$70*($CF$128)+'LINEST VARS'!$Q$70*($BX130)+'LINEST VARS'!$P$70*(12.73)+'LINEST VARS'!$O$70*(8^2)+'LINEST VARS'!$N$70*(8^2)+'LINEST VARS'!$M$70*($CF$128^2)+'LINEST VARS'!$L$70*($BX130^2)+'LINEST VARS'!$K$70*(12.73^2)+'LINEST VARS'!$J$70*(8*8)+'LINEST VARS'!$I$70*(8*$CF$128)+'LINEST VARS'!$H$70*(8*$BX130)+'LINEST VARS'!$G$70*(8*12.73)+'LINEST VARS'!$F$70*(8*$CF$128)+'LINEST VARS'!$E$70*(8*$BX130)+'LINEST VARS'!$D$70*(8*12.73)+'LINEST VARS'!$C$70*($CF$128*$BX130)+'LINEST VARS'!$B$70*($CF$128*12.73)+'LINEST VARS'!$A$70*($BX130*12.73)</f>
        <v>89.200000000000017</v>
      </c>
      <c r="CG130" s="46">
        <f>'LINEST VARS'!$U$70+'LINEST VARS'!$T$70*(8)+'LINEST VARS'!$S$70*(8)+'LINEST VARS'!$R$70*($CG$128)+'LINEST VARS'!$Q$70*($BX130)+'LINEST VARS'!$P$70*(12.73)+'LINEST VARS'!$O$70*(8^2)+'LINEST VARS'!$N$70*(8^2)+'LINEST VARS'!$M$70*($CG$128^2)+'LINEST VARS'!$L$70*($BX130^2)+'LINEST VARS'!$K$70*(12.73^2)+'LINEST VARS'!$J$70*(8*8)+'LINEST VARS'!$I$70*(8*$CG$128)+'LINEST VARS'!$H$70*(8*$BX130)+'LINEST VARS'!$G$70*(8*12.73)+'LINEST VARS'!$F$70*(8*$CG$128)+'LINEST VARS'!$E$70*(8*$BX130)+'LINEST VARS'!$D$70*(8*12.73)+'LINEST VARS'!$C$70*($CG$128*$BX130)+'LINEST VARS'!$B$70*($CG$128*12.73)+'LINEST VARS'!$A$70*($BX130*12.73)</f>
        <v>88.800000000000026</v>
      </c>
      <c r="CH130" s="46">
        <f>'LINEST VARS'!$U$70+'LINEST VARS'!$T$70*(8)+'LINEST VARS'!$S$70*(8)+'LINEST VARS'!$R$70*($CH$128)+'LINEST VARS'!$Q$70*($BX130)+'LINEST VARS'!$P$70*(12.73)+'LINEST VARS'!$O$70*(8^2)+'LINEST VARS'!$N$70*(8^2)+'LINEST VARS'!$M$70*($CH$128^2)+'LINEST VARS'!$L$70*($BX130^2)+'LINEST VARS'!$K$70*(12.73^2)+'LINEST VARS'!$J$70*(8*8)+'LINEST VARS'!$I$70*(8*$CH$128)+'LINEST VARS'!$H$70*(8*$BX130)+'LINEST VARS'!$G$70*(8*12.73)+'LINEST VARS'!$F$70*(8*$CH$128)+'LINEST VARS'!$E$70*(8*$BX130)+'LINEST VARS'!$D$70*(8*12.73)+'LINEST VARS'!$C$70*($CH$128*$BX130)+'LINEST VARS'!$B$70*($CH$128*12.73)+'LINEST VARS'!$A$70*($BX130*12.73)</f>
        <v>88.40000000000002</v>
      </c>
      <c r="CI130" s="46">
        <f>'LINEST VARS'!$U$70+'LINEST VARS'!$T$70*(8)+'LINEST VARS'!$S$70*(8)+'LINEST VARS'!$R$70*($CI$128)+'LINEST VARS'!$Q$70*($BX130)+'LINEST VARS'!$P$70*(12.73)+'LINEST VARS'!$O$70*(8^2)+'LINEST VARS'!$N$70*(8^2)+'LINEST VARS'!$M$70*($CI$128^2)+'LINEST VARS'!$L$70*($BX130^2)+'LINEST VARS'!$K$70*(12.73^2)+'LINEST VARS'!$J$70*(8*8)+'LINEST VARS'!$I$70*(8*$CI$128)+'LINEST VARS'!$H$70*(8*$BX130)+'LINEST VARS'!$G$70*(8*12.73)+'LINEST VARS'!$F$70*(8*$CI$128)+'LINEST VARS'!$E$70*(8*$BX130)+'LINEST VARS'!$D$70*(8*12.73)+'LINEST VARS'!$C$70*($CI$128*$BX130)+'LINEST VARS'!$B$70*($CI$128*12.73)+'LINEST VARS'!$A$70*($BX130*12.73)</f>
        <v>88.000000000000014</v>
      </c>
      <c r="CJ130" s="46">
        <f>'LINEST VARS'!$U$70+'LINEST VARS'!$T$70*(8)+'LINEST VARS'!$S$70*(8)+'LINEST VARS'!$R$70*($CJ$128)+'LINEST VARS'!$Q$70*($BX130)+'LINEST VARS'!$P$70*(12.73)+'LINEST VARS'!$O$70*(8^2)+'LINEST VARS'!$N$70*(8^2)+'LINEST VARS'!$M$70*($CJ$128^2)+'LINEST VARS'!$L$70*($BX130^2)+'LINEST VARS'!$K$70*(12.73^2)+'LINEST VARS'!$J$70*(8*8)+'LINEST VARS'!$I$70*(8*$CJ$128)+'LINEST VARS'!$H$70*(8*$BX130)+'LINEST VARS'!$G$70*(8*12.73)+'LINEST VARS'!$F$70*(8*$CJ$128)+'LINEST VARS'!$E$70*(8*$BX130)+'LINEST VARS'!$D$70*(8*12.73)+'LINEST VARS'!$C$70*($CJ$128*$BX130)+'LINEST VARS'!$B$70*($CJ$128*12.73)+'LINEST VARS'!$A$70*($BX130*12.73)</f>
        <v>87.600000000000023</v>
      </c>
      <c r="CK130" s="46">
        <f>'LINEST VARS'!$U$70+'LINEST VARS'!$T$70*(8)+'LINEST VARS'!$S$70*(8)+'LINEST VARS'!$R$70*($CK$128)+'LINEST VARS'!$Q$70*($BX130)+'LINEST VARS'!$P$70*(12.73)+'LINEST VARS'!$O$70*(8^2)+'LINEST VARS'!$N$70*(8^2)+'LINEST VARS'!$M$70*($CK$128^2)+'LINEST VARS'!$L$70*($BX130^2)+'LINEST VARS'!$K$70*(12.73^2)+'LINEST VARS'!$J$70*(8*8)+'LINEST VARS'!$I$70*(8*$CK$128)+'LINEST VARS'!$H$70*(8*$BX130)+'LINEST VARS'!$G$70*(8*12.73)+'LINEST VARS'!$F$70*(8*$CK$128)+'LINEST VARS'!$E$70*(8*$BX130)+'LINEST VARS'!$D$70*(8*12.73)+'LINEST VARS'!$C$70*($CK$128*$BX130)+'LINEST VARS'!$B$70*($CK$128*12.73)+'LINEST VARS'!$A$70*($BX130*12.73)</f>
        <v>87.200000000000017</v>
      </c>
      <c r="CL130" s="46">
        <f>'LINEST VARS'!$U$70+'LINEST VARS'!$T$70*(8)+'LINEST VARS'!$S$70*(8)+'LINEST VARS'!$R$70*($CL$128)+'LINEST VARS'!$Q$70*($BX130)+'LINEST VARS'!$P$70*(12.73)+'LINEST VARS'!$O$70*(8^2)+'LINEST VARS'!$N$70*(8^2)+'LINEST VARS'!$M$70*($CL$128^2)+'LINEST VARS'!$L$70*($BX130^2)+'LINEST VARS'!$K$70*(12.73^2)+'LINEST VARS'!$J$70*(8*8)+'LINEST VARS'!$I$70*(8*$CL$128)+'LINEST VARS'!$H$70*(8*$BX130)+'LINEST VARS'!$G$70*(8*12.73)+'LINEST VARS'!$F$70*(8*$CL$128)+'LINEST VARS'!$E$70*(8*$BX130)+'LINEST VARS'!$D$70*(8*12.73)+'LINEST VARS'!$C$70*($CL$128*$BX130)+'LINEST VARS'!$B$70*($CL$128*12.73)+'LINEST VARS'!$A$70*($BX130*12.73)</f>
        <v>86.800000000000026</v>
      </c>
      <c r="CM130" s="46">
        <f>'LINEST VARS'!$U$70+'LINEST VARS'!$T$70*(8)+'LINEST VARS'!$S$70*(8)+'LINEST VARS'!$R$70*($CM$128)+'LINEST VARS'!$Q$70*($BX130)+'LINEST VARS'!$P$70*(12.73)+'LINEST VARS'!$O$70*(8^2)+'LINEST VARS'!$N$70*(8^2)+'LINEST VARS'!$M$70*($CM$128^2)+'LINEST VARS'!$L$70*($BX130^2)+'LINEST VARS'!$K$70*(12.73^2)+'LINEST VARS'!$J$70*(8*8)+'LINEST VARS'!$I$70*(8*$CM$128)+'LINEST VARS'!$H$70*(8*$BX130)+'LINEST VARS'!$G$70*(8*12.73)+'LINEST VARS'!$F$70*(8*$CM$128)+'LINEST VARS'!$E$70*(8*$BX130)+'LINEST VARS'!$D$70*(8*12.73)+'LINEST VARS'!$C$70*($CM$128*$BX130)+'LINEST VARS'!$B$70*($CM$128*12.73)+'LINEST VARS'!$A$70*($BX130*12.73)</f>
        <v>86.40000000000002</v>
      </c>
      <c r="CN130" s="46">
        <f>'LINEST VARS'!$U$70+'LINEST VARS'!$T$70*(8)+'LINEST VARS'!$S$70*(8)+'LINEST VARS'!$R$70*($CN$128)+'LINEST VARS'!$Q$70*($BX130)+'LINEST VARS'!$P$70*(12.73)+'LINEST VARS'!$O$70*(8^2)+'LINEST VARS'!$N$70*(8^2)+'LINEST VARS'!$M$70*($CN$128^2)+'LINEST VARS'!$L$70*($BX130^2)+'LINEST VARS'!$K$70*(12.73^2)+'LINEST VARS'!$J$70*(8*8)+'LINEST VARS'!$I$70*(8*$CN$128)+'LINEST VARS'!$H$70*(8*$BX130)+'LINEST VARS'!$G$70*(8*12.73)+'LINEST VARS'!$F$70*(8*$CN$128)+'LINEST VARS'!$E$70*(8*$BX130)+'LINEST VARS'!$D$70*(8*12.73)+'LINEST VARS'!$C$70*($CN$128*$BX130)+'LINEST VARS'!$B$70*($CN$128*12.73)+'LINEST VARS'!$A$70*($BX130*12.73)</f>
        <v>86.000000000000014</v>
      </c>
      <c r="CO130" s="46">
        <f>'LINEST VARS'!$U$70+'LINEST VARS'!$T$70*(8)+'LINEST VARS'!$S$70*(8)+'LINEST VARS'!$R$70*($CO$128)+'LINEST VARS'!$Q$70*($BX130)+'LINEST VARS'!$P$70*(12.73)+'LINEST VARS'!$O$70*(8^2)+'LINEST VARS'!$N$70*(8^2)+'LINEST VARS'!$M$70*($CO$128^2)+'LINEST VARS'!$L$70*($BX130^2)+'LINEST VARS'!$K$70*(12.73^2)+'LINEST VARS'!$J$70*(8*8)+'LINEST VARS'!$I$70*(8*$CO$128)+'LINEST VARS'!$H$70*(8*$BX130)+'LINEST VARS'!$G$70*(8*12.73)+'LINEST VARS'!$F$70*(8*$CO$128)+'LINEST VARS'!$E$70*(8*$BX130)+'LINEST VARS'!$D$70*(8*12.73)+'LINEST VARS'!$C$70*($CO$128*$BX130)+'LINEST VARS'!$B$70*($CO$128*12.73)+'LINEST VARS'!$A$70*($BX130*12.73)</f>
        <v>85.600000000000009</v>
      </c>
      <c r="CP130" s="46">
        <f>'LINEST VARS'!$U$70+'LINEST VARS'!$T$70*(8)+'LINEST VARS'!$S$70*(8)+'LINEST VARS'!$R$70*($CP$128)+'LINEST VARS'!$Q$70*($BX130)+'LINEST VARS'!$P$70*(12.73)+'LINEST VARS'!$O$70*(8^2)+'LINEST VARS'!$N$70*(8^2)+'LINEST VARS'!$M$70*($CP$128^2)+'LINEST VARS'!$L$70*($BX130^2)+'LINEST VARS'!$K$70*(12.73^2)+'LINEST VARS'!$J$70*(8*8)+'LINEST VARS'!$I$70*(8*$CP$128)+'LINEST VARS'!$H$70*(8*$BX130)+'LINEST VARS'!$G$70*(8*12.73)+'LINEST VARS'!$F$70*(8*$CP$128)+'LINEST VARS'!$E$70*(8*$BX130)+'LINEST VARS'!$D$70*(8*12.73)+'LINEST VARS'!$C$70*($CP$128*$BX130)+'LINEST VARS'!$B$70*($CP$128*12.73)+'LINEST VARS'!$A$70*($BX130*12.73)</f>
        <v>85.200000000000017</v>
      </c>
      <c r="CQ130" s="46">
        <f>'LINEST VARS'!$U$70+'LINEST VARS'!$T$70*(8)+'LINEST VARS'!$S$70*(8)+'LINEST VARS'!$R$70*($CQ$128)+'LINEST VARS'!$Q$70*($BX130)+'LINEST VARS'!$P$70*(12.73)+'LINEST VARS'!$O$70*(8^2)+'LINEST VARS'!$N$70*(8^2)+'LINEST VARS'!$M$70*($CQ$128^2)+'LINEST VARS'!$L$70*($BX130^2)+'LINEST VARS'!$K$70*(12.73^2)+'LINEST VARS'!$J$70*(8*8)+'LINEST VARS'!$I$70*(8*$CQ$128)+'LINEST VARS'!$H$70*(8*$BX130)+'LINEST VARS'!$G$70*(8*12.73)+'LINEST VARS'!$F$70*(8*$CQ$128)+'LINEST VARS'!$E$70*(8*$BX130)+'LINEST VARS'!$D$70*(8*12.73)+'LINEST VARS'!$C$70*($CQ$128*$BX130)+'LINEST VARS'!$B$70*($CQ$128*12.73)+'LINEST VARS'!$A$70*($BX130*12.73)</f>
        <v>84.800000000000011</v>
      </c>
      <c r="CR130" s="46">
        <f>'LINEST VARS'!$U$70+'LINEST VARS'!$T$70*(8)+'LINEST VARS'!$S$70*(8)+'LINEST VARS'!$R$70*($CR$128)+'LINEST VARS'!$Q$70*($BX130)+'LINEST VARS'!$P$70*(12.73)+'LINEST VARS'!$O$70*(8^2)+'LINEST VARS'!$N$70*(8^2)+'LINEST VARS'!$M$70*($CR$128^2)+'LINEST VARS'!$L$70*($BX130^2)+'LINEST VARS'!$K$70*(12.73^2)+'LINEST VARS'!$J$70*(8*8)+'LINEST VARS'!$I$70*(8*$CR$128)+'LINEST VARS'!$H$70*(8*$BX130)+'LINEST VARS'!$G$70*(8*12.73)+'LINEST VARS'!$F$70*(8*$CR$128)+'LINEST VARS'!$E$70*(8*$BX130)+'LINEST VARS'!$D$70*(8*12.73)+'LINEST VARS'!$C$70*($CR$128*$BX130)+'LINEST VARS'!$B$70*($CR$128*12.73)+'LINEST VARS'!$A$70*($BX130*12.73)</f>
        <v>84.400000000000034</v>
      </c>
      <c r="CS130" s="47">
        <f>'LINEST VARS'!$U$70+'LINEST VARS'!$T$70*(8)+'LINEST VARS'!$S$70*(8)+'LINEST VARS'!$R$70*($CS$128)+'LINEST VARS'!$Q$70*($BX130)+'LINEST VARS'!$P$70*(12.73)+'LINEST VARS'!$O$70*(8^2)+'LINEST VARS'!$N$70*(8^2)+'LINEST VARS'!$M$70*($CS$128^2)+'LINEST VARS'!$L$70*($BX130^2)+'LINEST VARS'!$K$70*(12.73^2)+'LINEST VARS'!$J$70*(8*8)+'LINEST VARS'!$I$70*(8*$CS$128)+'LINEST VARS'!$H$70*(8*$BX130)+'LINEST VARS'!$G$70*(8*12.73)+'LINEST VARS'!$F$70*(8*$CS$128)+'LINEST VARS'!$E$70*(8*$BX130)+'LINEST VARS'!$D$70*(8*12.73)+'LINEST VARS'!$C$70*($CS$128*$BX130)+'LINEST VARS'!$B$70*($CS$128*12.73)+'LINEST VARS'!$A$70*($BX130*12.73)</f>
        <v>84.000000000000028</v>
      </c>
      <c r="CX130" s="45">
        <v>1.2995000000000001</v>
      </c>
      <c r="CY130" s="46">
        <f>'LINEST VARS'!$U$68+'LINEST VARS'!$T$68*(8)+'LINEST VARS'!$S$68*(8)+'LINEST VARS'!$R$68*($CY$128)+'LINEST VARS'!$Q$68*(0.5)+'LINEST VARS'!$P$68*($CX130)+'LINEST VARS'!$O$68*(8^2)+'LINEST VARS'!$N$68*(8^2)+'LINEST VARS'!$M$68*($CY$128^2)+'LINEST VARS'!$L$68*(0.5^2)+'LINEST VARS'!$K$68*($CX130^2)+'LINEST VARS'!$J$68*(8*8)+'LINEST VARS'!$I$68*(8*$CY$128)+'LINEST VARS'!$H$68*(8*0.5)+'LINEST VARS'!$G$68*(8*$CX130)+'LINEST VARS'!$F$68*(8*$CY$128)+'LINEST VARS'!$E$68*(8*0.5)+'LINEST VARS'!$D$68*(8*$CX130)+'LINEST VARS'!$C$68*($CY$128*0.5)+'LINEST VARS'!$B$68*($CY$128*$CX130)+'LINEST VARS'!$A$68*(0.5*$CX130)</f>
        <v>149</v>
      </c>
      <c r="CZ130" s="46">
        <f>'LINEST VARS'!$U$68+'LINEST VARS'!$T$68*(8)+'LINEST VARS'!$S$68*(8)+'LINEST VARS'!$R$68*($CZ$128)+'LINEST VARS'!$Q$68*(0.5)+'LINEST VARS'!$P$68*($CX130)+'LINEST VARS'!$O$68*(8^2)+'LINEST VARS'!$N$68*(8^2)+'LINEST VARS'!$M$68*($CZ$128^2)+'LINEST VARS'!$L$68*(0.5^2)+'LINEST VARS'!$K$68*($CX130^2)+'LINEST VARS'!$J$68*(8*8)+'LINEST VARS'!$I$68*(8*$CZ$128)+'LINEST VARS'!$H$68*(8*0.5)+'LINEST VARS'!$G$68*(8*$CX130)+'LINEST VARS'!$F$68*(8*$CZ$128)+'LINEST VARS'!$E$68*(8*0.5)+'LINEST VARS'!$D$68*(8*$CX130)+'LINEST VARS'!$C$68*($CZ$128*0.5)+'LINEST VARS'!$B$68*($CZ$128*$CX130)+'LINEST VARS'!$A$68*(0.5*$CX130)</f>
        <v>149</v>
      </c>
      <c r="DA130" s="46">
        <f>'LINEST VARS'!$U$68+'LINEST VARS'!$T$68*(8)+'LINEST VARS'!$S$68*(8)+'LINEST VARS'!$R$68*($DA$128)+'LINEST VARS'!$Q$68*(0.5)+'LINEST VARS'!$P$68*($CX130)+'LINEST VARS'!$O$68*(8^2)+'LINEST VARS'!$N$68*(8^2)+'LINEST VARS'!$M$68*($DA$128^2)+'LINEST VARS'!$L$68*(0.5^2)+'LINEST VARS'!$K$68*($CX130^2)+'LINEST VARS'!$J$68*(8*8)+'LINEST VARS'!$I$68*(8*$DA$128)+'LINEST VARS'!$H$68*(8*0.5)+'LINEST VARS'!$G$68*(8*$CX130)+'LINEST VARS'!$F$68*(8*$DA$128)+'LINEST VARS'!$E$68*(8*0.5)+'LINEST VARS'!$D$68*(8*$CX130)+'LINEST VARS'!$C$68*($DA$128*0.5)+'LINEST VARS'!$B$68*($DA$128*$CX130)+'LINEST VARS'!$A$68*(0.5*$CX130)</f>
        <v>149</v>
      </c>
      <c r="DB130" s="46">
        <f>'LINEST VARS'!$U$68+'LINEST VARS'!$T$68*(8)+'LINEST VARS'!$S$68*(8)+'LINEST VARS'!$R$68*($DB$128)+'LINEST VARS'!$Q$68*(0.5)+'LINEST VARS'!$P$68*($CX130)+'LINEST VARS'!$O$68*(8^2)+'LINEST VARS'!$N$68*(8^2)+'LINEST VARS'!$M$68*($DB$128^2)+'LINEST VARS'!$L$68*(0.5^2)+'LINEST VARS'!$K$68*($CX130^2)+'LINEST VARS'!$J$68*(8*8)+'LINEST VARS'!$I$68*(8*$DB$128)+'LINEST VARS'!$H$68*(8*0.5)+'LINEST VARS'!$G$68*(8*$CX130)+'LINEST VARS'!$F$68*(8*$DB$128)+'LINEST VARS'!$E$68*(8*0.5)+'LINEST VARS'!$D$68*(8*$CX130)+'LINEST VARS'!$C$68*($DB$128*0.5)+'LINEST VARS'!$B$68*($DB$128*$CX130)+'LINEST VARS'!$A$68*(0.5*$CX130)</f>
        <v>149</v>
      </c>
      <c r="DC130" s="46">
        <f>'LINEST VARS'!$U$68+'LINEST VARS'!$T$68*(8)+'LINEST VARS'!$S$68*(8)+'LINEST VARS'!$R$68*($DC$128)+'LINEST VARS'!$Q$68*(0.5)+'LINEST VARS'!$P$68*($CX130)+'LINEST VARS'!$O$68*(8^2)+'LINEST VARS'!$N$68*(8^2)+'LINEST VARS'!$M$68*($DC$128^2)+'LINEST VARS'!$L$68*(0.5^2)+'LINEST VARS'!$K$68*($CX130^2)+'LINEST VARS'!$J$68*(8*8)+'LINEST VARS'!$I$68*(8*$DC$128)+'LINEST VARS'!$H$68*(8*0.5)+'LINEST VARS'!$G$68*(8*$CX130)+'LINEST VARS'!$F$68*(8*$DC$128)+'LINEST VARS'!$E$68*(8*0.5)+'LINEST VARS'!$D$68*(8*$CX130)+'LINEST VARS'!$C$68*($DC$128*0.5)+'LINEST VARS'!$B$68*($DC$128*$CX130)+'LINEST VARS'!$A$68*(0.5*$CX130)</f>
        <v>149</v>
      </c>
      <c r="DD130" s="46">
        <f>'LINEST VARS'!$U$68+'LINEST VARS'!$T$68*(8)+'LINEST VARS'!$S$68*(8)+'LINEST VARS'!$R$68*($DD$128)+'LINEST VARS'!$Q$68*(0.5)+'LINEST VARS'!$P$68*($CX130)+'LINEST VARS'!$O$68*(8^2)+'LINEST VARS'!$N$68*(8^2)+'LINEST VARS'!$M$68*($DD$128^2)+'LINEST VARS'!$L$68*(0.5^2)+'LINEST VARS'!$K$68*($CX130^2)+'LINEST VARS'!$J$68*(8*8)+'LINEST VARS'!$I$68*(8*$DD$128)+'LINEST VARS'!$H$68*(8*0.5)+'LINEST VARS'!$G$68*(8*$CX130)+'LINEST VARS'!$F$68*(8*$DD$128)+'LINEST VARS'!$E$68*(8*0.5)+'LINEST VARS'!$D$68*(8*$CX130)+'LINEST VARS'!$C$68*($DD$128*0.5)+'LINEST VARS'!$B$68*($DD$128*$CX130)+'LINEST VARS'!$A$68*(0.5*$CX130)</f>
        <v>149</v>
      </c>
      <c r="DE130" s="46">
        <f>'LINEST VARS'!$U$68+'LINEST VARS'!$T$68*(8)+'LINEST VARS'!$S$68*(8)+'LINEST VARS'!$R$68*($DE$128)+'LINEST VARS'!$Q$68*(0.5)+'LINEST VARS'!$P$68*($CX130)+'LINEST VARS'!$O$68*(8^2)+'LINEST VARS'!$N$68*(8^2)+'LINEST VARS'!$M$68*($DE$128^2)+'LINEST VARS'!$L$68*(0.5^2)+'LINEST VARS'!$K$68*($CX130^2)+'LINEST VARS'!$J$68*(8*8)+'LINEST VARS'!$I$68*(8*$DE$128)+'LINEST VARS'!$H$68*(8*0.5)+'LINEST VARS'!$G$68*(8*$CX130)+'LINEST VARS'!$F$68*(8*$DE$128)+'LINEST VARS'!$E$68*(8*0.5)+'LINEST VARS'!$D$68*(8*$CX130)+'LINEST VARS'!$C$68*($DE$128*0.5)+'LINEST VARS'!$B$68*($DE$128*$CX130)+'LINEST VARS'!$A$68*(0.5*$CX130)</f>
        <v>149</v>
      </c>
      <c r="DF130" s="46">
        <f>'LINEST VARS'!$U$68+'LINEST VARS'!$T$68*(8)+'LINEST VARS'!$S$68*(8)+'LINEST VARS'!$R$68*($DF$128)+'LINEST VARS'!$Q$68*(0.5)+'LINEST VARS'!$P$68*($CX130)+'LINEST VARS'!$O$68*(8^2)+'LINEST VARS'!$N$68*(8^2)+'LINEST VARS'!$M$68*($DF$128^2)+'LINEST VARS'!$L$68*(0.5^2)+'LINEST VARS'!$K$68*($CX130^2)+'LINEST VARS'!$J$68*(8*8)+'LINEST VARS'!$I$68*(8*$DF$128)+'LINEST VARS'!$H$68*(8*0.5)+'LINEST VARS'!$G$68*(8*$CX130)+'LINEST VARS'!$F$68*(8*$DF$128)+'LINEST VARS'!$E$68*(8*0.5)+'LINEST VARS'!$D$68*(8*$CX130)+'LINEST VARS'!$C$68*($DF$128*0.5)+'LINEST VARS'!$B$68*($DF$128*$CX130)+'LINEST VARS'!$A$68*(0.5*$CX130)</f>
        <v>149</v>
      </c>
      <c r="DG130" s="46">
        <f>'LINEST VARS'!$U$68+'LINEST VARS'!$T$68*(8)+'LINEST VARS'!$S$68*(8)+'LINEST VARS'!$R$68*($DG$128)+'LINEST VARS'!$Q$68*(0.5)+'LINEST VARS'!$P$68*($CX130)+'LINEST VARS'!$O$68*(8^2)+'LINEST VARS'!$N$68*(8^2)+'LINEST VARS'!$M$68*($DG$128^2)+'LINEST VARS'!$L$68*(0.5^2)+'LINEST VARS'!$K$68*($CX130^2)+'LINEST VARS'!$J$68*(8*8)+'LINEST VARS'!$I$68*(8*$DG$128)+'LINEST VARS'!$H$68*(8*0.5)+'LINEST VARS'!$G$68*(8*$CX130)+'LINEST VARS'!$F$68*(8*$DG$128)+'LINEST VARS'!$E$68*(8*0.5)+'LINEST VARS'!$D$68*(8*$CX130)+'LINEST VARS'!$C$68*($DG$128*0.5)+'LINEST VARS'!$B$68*($DG$128*$CX130)+'LINEST VARS'!$A$68*(0.5*$CX130)</f>
        <v>149</v>
      </c>
      <c r="DH130" s="46">
        <f>'LINEST VARS'!$U$68+'LINEST VARS'!$T$68*(8)+'LINEST VARS'!$S$68*(8)+'LINEST VARS'!$R$68*($DH$128)+'LINEST VARS'!$Q$68*(0.5)+'LINEST VARS'!$P$68*($CX130)+'LINEST VARS'!$O$68*(8^2)+'LINEST VARS'!$N$68*(8^2)+'LINEST VARS'!$M$68*($DH$128^2)+'LINEST VARS'!$L$68*(0.5^2)+'LINEST VARS'!$K$68*($CX130^2)+'LINEST VARS'!$J$68*(8*8)+'LINEST VARS'!$I$68*(8*$DH$128)+'LINEST VARS'!$H$68*(8*0.5)+'LINEST VARS'!$G$68*(8*$CX130)+'LINEST VARS'!$F$68*(8*$DH$128)+'LINEST VARS'!$E$68*(8*0.5)+'LINEST VARS'!$D$68*(8*$CX130)+'LINEST VARS'!$C$68*($DH$128*0.5)+'LINEST VARS'!$B$68*($DH$128*$CX130)+'LINEST VARS'!$A$68*(0.5*$CX130)</f>
        <v>149</v>
      </c>
      <c r="DI130" s="46">
        <f>'LINEST VARS'!$U$68+'LINEST VARS'!$T$68*(8)+'LINEST VARS'!$S$68*(8)+'LINEST VARS'!$R$68*($DI$128)+'LINEST VARS'!$Q$68*(0.5)+'LINEST VARS'!$P$68*($CX130)+'LINEST VARS'!$O$68*(8^2)+'LINEST VARS'!$N$68*(8^2)+'LINEST VARS'!$M$68*($DI$128^2)+'LINEST VARS'!$L$68*(0.5^2)+'LINEST VARS'!$K$68*($CX130^2)+'LINEST VARS'!$J$68*(8*8)+'LINEST VARS'!$I$68*(8*$DI$128)+'LINEST VARS'!$H$68*(8*0.5)+'LINEST VARS'!$G$68*(8*$CX130)+'LINEST VARS'!$F$68*(8*$DI$128)+'LINEST VARS'!$E$68*(8*0.5)+'LINEST VARS'!$D$68*(8*$CX130)+'LINEST VARS'!$C$68*($DI$128*0.5)+'LINEST VARS'!$B$68*($DI$128*$CX130)+'LINEST VARS'!$A$68*(0.5*$CX130)</f>
        <v>149</v>
      </c>
      <c r="DJ130" s="46">
        <f>'LINEST VARS'!$U$68+'LINEST VARS'!$T$68*(8)+'LINEST VARS'!$S$68*(8)+'LINEST VARS'!$R$68*($DJ$128)+'LINEST VARS'!$Q$68*(0.5)+'LINEST VARS'!$P$68*($CX130)+'LINEST VARS'!$O$68*(8^2)+'LINEST VARS'!$N$68*(8^2)+'LINEST VARS'!$M$68*($DJ$128^2)+'LINEST VARS'!$L$68*(0.5^2)+'LINEST VARS'!$K$68*($CX130^2)+'LINEST VARS'!$J$68*(8*8)+'LINEST VARS'!$I$68*(8*$DJ$128)+'LINEST VARS'!$H$68*(8*0.5)+'LINEST VARS'!$G$68*(8*$CX130)+'LINEST VARS'!$F$68*(8*$DJ$128)+'LINEST VARS'!$E$68*(8*0.5)+'LINEST VARS'!$D$68*(8*$CX130)+'LINEST VARS'!$C$68*($DJ$128*0.5)+'LINEST VARS'!$B$68*($DJ$128*$CX130)+'LINEST VARS'!$A$68*(0.5*$CX130)</f>
        <v>149</v>
      </c>
      <c r="DK130" s="46">
        <f>'LINEST VARS'!$U$68+'LINEST VARS'!$T$68*(8)+'LINEST VARS'!$S$68*(8)+'LINEST VARS'!$R$68*($DK$128)+'LINEST VARS'!$Q$68*(0.5)+'LINEST VARS'!$P$68*($CX130)+'LINEST VARS'!$O$68*(8^2)+'LINEST VARS'!$N$68*(8^2)+'LINEST VARS'!$M$68*($DK$128^2)+'LINEST VARS'!$L$68*(0.5^2)+'LINEST VARS'!$K$68*($CX130^2)+'LINEST VARS'!$J$68*(8*8)+'LINEST VARS'!$I$68*(8*$DK$128)+'LINEST VARS'!$H$68*(8*0.5)+'LINEST VARS'!$G$68*(8*$CX130)+'LINEST VARS'!$F$68*(8*$DK$128)+'LINEST VARS'!$E$68*(8*0.5)+'LINEST VARS'!$D$68*(8*$CX130)+'LINEST VARS'!$C$68*($DK$128*0.5)+'LINEST VARS'!$B$68*($DK$128*$CX130)+'LINEST VARS'!$A$68*(0.5*$CX130)</f>
        <v>149</v>
      </c>
      <c r="DL130" s="46">
        <f>'LINEST VARS'!$U$68+'LINEST VARS'!$T$68*(8)+'LINEST VARS'!$S$68*(8)+'LINEST VARS'!$R$68*($DL$128)+'LINEST VARS'!$Q$68*(0.5)+'LINEST VARS'!$P$68*($CX130)+'LINEST VARS'!$O$68*(8^2)+'LINEST VARS'!$N$68*(8^2)+'LINEST VARS'!$M$68*($DL$128^2)+'LINEST VARS'!$L$68*(0.5^2)+'LINEST VARS'!$K$68*($CX130^2)+'LINEST VARS'!$J$68*(8*8)+'LINEST VARS'!$I$68*(8*$DL$128)+'LINEST VARS'!$H$68*(8*0.5)+'LINEST VARS'!$G$68*(8*$CX130)+'LINEST VARS'!$F$68*(8*$DL$128)+'LINEST VARS'!$E$68*(8*0.5)+'LINEST VARS'!$D$68*(8*$CX130)+'LINEST VARS'!$C$68*($DL$128*0.5)+'LINEST VARS'!$B$68*($DL$128*$CX130)+'LINEST VARS'!$A$68*(0.5*$CX130)</f>
        <v>149</v>
      </c>
      <c r="DM130" s="46">
        <f>'LINEST VARS'!$U$68+'LINEST VARS'!$T$68*(8)+'LINEST VARS'!$S$68*(8)+'LINEST VARS'!$R$68*($DM$128)+'LINEST VARS'!$Q$68*(0.5)+'LINEST VARS'!$P$68*($CX130)+'LINEST VARS'!$O$68*(8^2)+'LINEST VARS'!$N$68*(8^2)+'LINEST VARS'!$M$68*($DM$128^2)+'LINEST VARS'!$L$68*(0.5^2)+'LINEST VARS'!$K$68*($CX130^2)+'LINEST VARS'!$J$68*(8*8)+'LINEST VARS'!$I$68*(8*$DM$128)+'LINEST VARS'!$H$68*(8*0.5)+'LINEST VARS'!$G$68*(8*$CX130)+'LINEST VARS'!$F$68*(8*$DM$128)+'LINEST VARS'!$E$68*(8*0.5)+'LINEST VARS'!$D$68*(8*$CX130)+'LINEST VARS'!$C$68*($DM$128*0.5)+'LINEST VARS'!$B$68*($DM$128*$CX130)+'LINEST VARS'!$A$68*(0.5*$CX130)</f>
        <v>149</v>
      </c>
      <c r="DN130" s="46">
        <f>'LINEST VARS'!$U$68+'LINEST VARS'!$T$68*(8)+'LINEST VARS'!$S$68*(8)+'LINEST VARS'!$R$68*($DN$128)+'LINEST VARS'!$Q$68*(0.5)+'LINEST VARS'!$P$68*($CX130)+'LINEST VARS'!$O$68*(8^2)+'LINEST VARS'!$N$68*(8^2)+'LINEST VARS'!$M$68*($DN$128^2)+'LINEST VARS'!$L$68*(0.5^2)+'LINEST VARS'!$K$68*($CX130^2)+'LINEST VARS'!$J$68*(8*8)+'LINEST VARS'!$I$68*(8*$DN$128)+'LINEST VARS'!$H$68*(8*0.5)+'LINEST VARS'!$G$68*(8*$CX130)+'LINEST VARS'!$F$68*(8*$DN$128)+'LINEST VARS'!$E$68*(8*0.5)+'LINEST VARS'!$D$68*(8*$CX130)+'LINEST VARS'!$C$68*($DN$128*0.5)+'LINEST VARS'!$B$68*($DN$128*$CX130)+'LINEST VARS'!$A$68*(0.5*$CX130)</f>
        <v>149</v>
      </c>
      <c r="DO130" s="46">
        <f>'LINEST VARS'!$U$68+'LINEST VARS'!$T$68*(8)+'LINEST VARS'!$S$68*(8)+'LINEST VARS'!$R$68*($DO$128)+'LINEST VARS'!$Q$68*(0.5)+'LINEST VARS'!$P$68*($CX130)+'LINEST VARS'!$O$68*(8^2)+'LINEST VARS'!$N$68*(8^2)+'LINEST VARS'!$M$68*($DO$128^2)+'LINEST VARS'!$L$68*(0.5^2)+'LINEST VARS'!$K$68*($CX130^2)+'LINEST VARS'!$J$68*(8*8)+'LINEST VARS'!$I$68*(8*$DO$128)+'LINEST VARS'!$H$68*(8*0.5)+'LINEST VARS'!$G$68*(8*$CX130)+'LINEST VARS'!$F$68*(8*$DO$128)+'LINEST VARS'!$E$68*(8*0.5)+'LINEST VARS'!$D$68*(8*$CX130)+'LINEST VARS'!$C$68*($DO$128*0.5)+'LINEST VARS'!$B$68*($DO$128*$CX130)+'LINEST VARS'!$A$68*(0.5*$CX130)</f>
        <v>149</v>
      </c>
      <c r="DP130" s="46">
        <f>'LINEST VARS'!$U$68+'LINEST VARS'!$T$68*(8)+'LINEST VARS'!$S$68*(8)+'LINEST VARS'!$R$68*($DP$128)+'LINEST VARS'!$Q$68*(0.5)+'LINEST VARS'!$P$68*($CX130)+'LINEST VARS'!$O$68*(8^2)+'LINEST VARS'!$N$68*(8^2)+'LINEST VARS'!$M$68*($DP$128^2)+'LINEST VARS'!$L$68*(0.5^2)+'LINEST VARS'!$K$68*($CX130^2)+'LINEST VARS'!$J$68*(8*8)+'LINEST VARS'!$I$68*(8*$DP$128)+'LINEST VARS'!$H$68*(8*0.5)+'LINEST VARS'!$G$68*(8*$CX130)+'LINEST VARS'!$F$68*(8*$DP$128)+'LINEST VARS'!$E$68*(8*0.5)+'LINEST VARS'!$D$68*(8*$CX130)+'LINEST VARS'!$C$68*($DP$128*0.5)+'LINEST VARS'!$B$68*($DP$128*$CX130)+'LINEST VARS'!$A$68*(0.5*$CX130)</f>
        <v>149</v>
      </c>
      <c r="DQ130" s="46">
        <f>'LINEST VARS'!$U$68+'LINEST VARS'!$T$68*(8)+'LINEST VARS'!$S$68*(8)+'LINEST VARS'!$R$68*($DQ$128)+'LINEST VARS'!$Q$68*(0.5)+'LINEST VARS'!$P$68*($CX130)+'LINEST VARS'!$O$68*(8^2)+'LINEST VARS'!$N$68*(8^2)+'LINEST VARS'!$M$68*($DQ$128^2)+'LINEST VARS'!$L$68*(0.5^2)+'LINEST VARS'!$K$68*($CX130^2)+'LINEST VARS'!$J$68*(8*8)+'LINEST VARS'!$I$68*(8*$DQ$128)+'LINEST VARS'!$H$68*(8*0.5)+'LINEST VARS'!$G$68*(8*$CX130)+'LINEST VARS'!$F$68*(8*$DQ$128)+'LINEST VARS'!$E$68*(8*0.5)+'LINEST VARS'!$D$68*(8*$CX130)+'LINEST VARS'!$C$68*($DQ$128*0.5)+'LINEST VARS'!$B$68*($DQ$128*$CX130)+'LINEST VARS'!$A$68*(0.5*$CX130)</f>
        <v>149</v>
      </c>
      <c r="DR130" s="46">
        <f>'LINEST VARS'!$U$68+'LINEST VARS'!$T$68*(8)+'LINEST VARS'!$S$68*(8)+'LINEST VARS'!$R$68*($DR$128)+'LINEST VARS'!$Q$68*(0.5)+'LINEST VARS'!$P$68*($CX130)+'LINEST VARS'!$O$68*(8^2)+'LINEST VARS'!$N$68*(8^2)+'LINEST VARS'!$M$68*($DR$128^2)+'LINEST VARS'!$L$68*(0.5^2)+'LINEST VARS'!$K$68*($CX130^2)+'LINEST VARS'!$J$68*(8*8)+'LINEST VARS'!$I$68*(8*$DR$128)+'LINEST VARS'!$H$68*(8*0.5)+'LINEST VARS'!$G$68*(8*$CX130)+'LINEST VARS'!$F$68*(8*$DR$128)+'LINEST VARS'!$E$68*(8*0.5)+'LINEST VARS'!$D$68*(8*$CX130)+'LINEST VARS'!$C$68*($DR$128*0.5)+'LINEST VARS'!$B$68*($DR$128*$CX130)+'LINEST VARS'!$A$68*(0.5*$CX130)</f>
        <v>149</v>
      </c>
      <c r="DS130" s="47">
        <f>'LINEST VARS'!$U$68+'LINEST VARS'!$T$68*(8)+'LINEST VARS'!$S$68*(8)+'LINEST VARS'!$R$68*($DS$128)+'LINEST VARS'!$Q$68*(0.5)+'LINEST VARS'!$P$68*($CX130)+'LINEST VARS'!$O$68*(8^2)+'LINEST VARS'!$N$68*(8^2)+'LINEST VARS'!$M$68*($DS$128^2)+'LINEST VARS'!$L$68*(0.5^2)+'LINEST VARS'!$K$68*($CX130^2)+'LINEST VARS'!$J$68*(8*8)+'LINEST VARS'!$I$68*(8*$DS$128)+'LINEST VARS'!$H$68*(8*0.5)+'LINEST VARS'!$G$68*(8*$CX130)+'LINEST VARS'!$F$68*(8*$DS$128)+'LINEST VARS'!$E$68*(8*0.5)+'LINEST VARS'!$D$68*(8*$CX130)+'LINEST VARS'!$C$68*($DS$128*0.5)+'LINEST VARS'!$B$68*($DS$128*$CX130)+'LINEST VARS'!$A$68*(0.5*$CX130)</f>
        <v>149</v>
      </c>
      <c r="DV130" s="45">
        <v>1.2995000000000001</v>
      </c>
      <c r="DW130" s="46">
        <f>'LINEST VARS'!$U$70+'LINEST VARS'!$T$70*(8)+'LINEST VARS'!$S$70*(8)+'LINEST VARS'!$R$70*($DW$128)+'LINEST VARS'!$Q$70*(0.5)+'LINEST VARS'!$P$70*($DV130)+'LINEST VARS'!$O$70*(8^2)+'LINEST VARS'!$N$70*(8^2)+'LINEST VARS'!$M$70*($DW$128^2)+'LINEST VARS'!$L$70*(0.5^2)+'LINEST VARS'!$K$70*($DV130^2)+'LINEST VARS'!$J$70*(8*8)+'LINEST VARS'!$I$70*(8*$DW$128)+'LINEST VARS'!$H$70*(8*0.5)+'LINEST VARS'!$G$70*(8*$DV130)+'LINEST VARS'!$F$70*(8*$DW$128)+'LINEST VARS'!$E$70*(8*0.5)+'LINEST VARS'!$D$70*(8*$DV130)+'LINEST VARS'!$C$70*($DW$128*0.5)+'LINEST VARS'!$B$70*($DW$128*$DV130)+'LINEST VARS'!$A$70*(0.5*$DV130)</f>
        <v>92.000000000000014</v>
      </c>
      <c r="DX130" s="46">
        <f>'LINEST VARS'!$U$70+'LINEST VARS'!$T$70*(8)+'LINEST VARS'!$S$70*(8)+'LINEST VARS'!$R$70*($DX$128)+'LINEST VARS'!$Q$70*(0.5)+'LINEST VARS'!$P$70*($DV130)+'LINEST VARS'!$O$70*(8^2)+'LINEST VARS'!$N$70*(8^2)+'LINEST VARS'!$M$70*($DX$128^2)+'LINEST VARS'!$L$70*(0.5^2)+'LINEST VARS'!$K$70*($DV130^2)+'LINEST VARS'!$J$70*(8*8)+'LINEST VARS'!$I$70*(8*$DX$128)+'LINEST VARS'!$H$70*(8*0.5)+'LINEST VARS'!$G$70*(8*$DV130)+'LINEST VARS'!$F$70*(8*$DX$128)+'LINEST VARS'!$E$70*(8*0.5)+'LINEST VARS'!$D$70*(8*$DV130)+'LINEST VARS'!$C$70*($DX$128*0.5)+'LINEST VARS'!$B$70*($DX$128*$DV130)+'LINEST VARS'!$A$70*(0.5*$DV130)</f>
        <v>91.600000000000009</v>
      </c>
      <c r="DY130" s="46">
        <f>'LINEST VARS'!$U$70+'LINEST VARS'!$T$70*(8)+'LINEST VARS'!$S$70*(8)+'LINEST VARS'!$R$70*($DY$128)+'LINEST VARS'!$Q$70*(0.5)+'LINEST VARS'!$P$70*($DV130)+'LINEST VARS'!$O$70*(8^2)+'LINEST VARS'!$N$70*(8^2)+'LINEST VARS'!$M$70*($DY$128^2)+'LINEST VARS'!$L$70*(0.5^2)+'LINEST VARS'!$K$70*($DV130^2)+'LINEST VARS'!$J$70*(8*8)+'LINEST VARS'!$I$70*(8*$DY$128)+'LINEST VARS'!$H$70*(8*0.5)+'LINEST VARS'!$G$70*(8*$DV130)+'LINEST VARS'!$F$70*(8*$DY$128)+'LINEST VARS'!$E$70*(8*0.5)+'LINEST VARS'!$D$70*(8*$DV130)+'LINEST VARS'!$C$70*($DY$128*0.5)+'LINEST VARS'!$B$70*($DY$128*$DV130)+'LINEST VARS'!$A$70*(0.5*$DV130)</f>
        <v>91.200000000000017</v>
      </c>
      <c r="DZ130" s="46">
        <f>'LINEST VARS'!$U$70+'LINEST VARS'!$T$70*(8)+'LINEST VARS'!$S$70*(8)+'LINEST VARS'!$R$70*($DZ$128)+'LINEST VARS'!$Q$70*(0.5)+'LINEST VARS'!$P$70*($DV130)+'LINEST VARS'!$O$70*(8^2)+'LINEST VARS'!$N$70*(8^2)+'LINEST VARS'!$M$70*($DZ$128^2)+'LINEST VARS'!$L$70*(0.5^2)+'LINEST VARS'!$K$70*($DV130^2)+'LINEST VARS'!$J$70*(8*8)+'LINEST VARS'!$I$70*(8*$DZ$128)+'LINEST VARS'!$H$70*(8*0.5)+'LINEST VARS'!$G$70*(8*$DV130)+'LINEST VARS'!$F$70*(8*$DZ$128)+'LINEST VARS'!$E$70*(8*0.5)+'LINEST VARS'!$D$70*(8*$DV130)+'LINEST VARS'!$C$70*($DZ$128*0.5)+'LINEST VARS'!$B$70*($DZ$128*$DV130)+'LINEST VARS'!$A$70*(0.5*$DV130)</f>
        <v>90.800000000000011</v>
      </c>
      <c r="EA130" s="46">
        <f>'LINEST VARS'!$U$70+'LINEST VARS'!$T$70*(8)+'LINEST VARS'!$S$70*(8)+'LINEST VARS'!$R$70*($EA$128)+'LINEST VARS'!$Q$70*(0.5)+'LINEST VARS'!$P$70*($DV130)+'LINEST VARS'!$O$70*(8^2)+'LINEST VARS'!$N$70*(8^2)+'LINEST VARS'!$M$70*($EA$128^2)+'LINEST VARS'!$L$70*(0.5^2)+'LINEST VARS'!$K$70*($DV130^2)+'LINEST VARS'!$J$70*(8*8)+'LINEST VARS'!$I$70*(8*$EA$128)+'LINEST VARS'!$H$70*(8*0.5)+'LINEST VARS'!$G$70*(8*$DV130)+'LINEST VARS'!$F$70*(8*$EA$128)+'LINEST VARS'!$E$70*(8*0.5)+'LINEST VARS'!$D$70*(8*$DV130)+'LINEST VARS'!$C$70*($EA$128*0.5)+'LINEST VARS'!$B$70*($EA$128*$DV130)+'LINEST VARS'!$A$70*(0.5*$DV130)</f>
        <v>90.40000000000002</v>
      </c>
      <c r="EB130" s="46">
        <f>'LINEST VARS'!$U$70+'LINEST VARS'!$T$70*(8)+'LINEST VARS'!$S$70*(8)+'LINEST VARS'!$R$70*($EB$128)+'LINEST VARS'!$Q$70*(0.5)+'LINEST VARS'!$P$70*($DV130)+'LINEST VARS'!$O$70*(8^2)+'LINEST VARS'!$N$70*(8^2)+'LINEST VARS'!$M$70*($EB$128^2)+'LINEST VARS'!$L$70*(0.5^2)+'LINEST VARS'!$K$70*($DV130^2)+'LINEST VARS'!$J$70*(8*8)+'LINEST VARS'!$I$70*(8*$EB$128)+'LINEST VARS'!$H$70*(8*0.5)+'LINEST VARS'!$G$70*(8*$DV130)+'LINEST VARS'!$F$70*(8*$EB$128)+'LINEST VARS'!$E$70*(8*0.5)+'LINEST VARS'!$D$70*(8*$DV130)+'LINEST VARS'!$C$70*($EB$128*0.5)+'LINEST VARS'!$B$70*($EB$128*$DV130)+'LINEST VARS'!$A$70*(0.5*$DV130)</f>
        <v>90.000000000000014</v>
      </c>
      <c r="EC130" s="46">
        <f>'LINEST VARS'!$U$70+'LINEST VARS'!$T$70*(8)+'LINEST VARS'!$S$70*(8)+'LINEST VARS'!$R$70*($EC$128)+'LINEST VARS'!$Q$70*(0.5)+'LINEST VARS'!$P$70*($DV130)+'LINEST VARS'!$O$70*(8^2)+'LINEST VARS'!$N$70*(8^2)+'LINEST VARS'!$M$70*($EC$128^2)+'LINEST VARS'!$L$70*(0.5^2)+'LINEST VARS'!$K$70*($DV130^2)+'LINEST VARS'!$J$70*(8*8)+'LINEST VARS'!$I$70*(8*$EC$128)+'LINEST VARS'!$H$70*(8*0.5)+'LINEST VARS'!$G$70*(8*$DV130)+'LINEST VARS'!$F$70*(8*$EC$128)+'LINEST VARS'!$E$70*(8*0.5)+'LINEST VARS'!$D$70*(8*$DV130)+'LINEST VARS'!$C$70*($EC$128*0.5)+'LINEST VARS'!$B$70*($EC$128*$DV130)+'LINEST VARS'!$A$70*(0.5*$DV130)</f>
        <v>89.600000000000023</v>
      </c>
      <c r="ED130" s="46">
        <f>'LINEST VARS'!$U$70+'LINEST VARS'!$T$70*(8)+'LINEST VARS'!$S$70*(8)+'LINEST VARS'!$R$70*($ED$128)+'LINEST VARS'!$Q$70*(0.5)+'LINEST VARS'!$P$70*($DV130)+'LINEST VARS'!$O$70*(8^2)+'LINEST VARS'!$N$70*(8^2)+'LINEST VARS'!$M$70*($ED$128^2)+'LINEST VARS'!$L$70*(0.5^2)+'LINEST VARS'!$K$70*($DV130^2)+'LINEST VARS'!$J$70*(8*8)+'LINEST VARS'!$I$70*(8*$ED$128)+'LINEST VARS'!$H$70*(8*0.5)+'LINEST VARS'!$G$70*(8*$DV130)+'LINEST VARS'!$F$70*(8*$ED$128)+'LINEST VARS'!$E$70*(8*0.5)+'LINEST VARS'!$D$70*(8*$DV130)+'LINEST VARS'!$C$70*($ED$128*0.5)+'LINEST VARS'!$B$70*($ED$128*$DV130)+'LINEST VARS'!$A$70*(0.5*$DV130)</f>
        <v>89.200000000000017</v>
      </c>
      <c r="EE130" s="46">
        <f>'LINEST VARS'!$U$70+'LINEST VARS'!$T$70*(8)+'LINEST VARS'!$S$70*(8)+'LINEST VARS'!$R$70*($EE$128)+'LINEST VARS'!$Q$70*(0.5)+'LINEST VARS'!$P$70*($DV130)+'LINEST VARS'!$O$70*(8^2)+'LINEST VARS'!$N$70*(8^2)+'LINEST VARS'!$M$70*($EE$128^2)+'LINEST VARS'!$L$70*(0.5^2)+'LINEST VARS'!$K$70*($DV130^2)+'LINEST VARS'!$J$70*(8*8)+'LINEST VARS'!$I$70*(8*$EE$128)+'LINEST VARS'!$H$70*(8*0.5)+'LINEST VARS'!$G$70*(8*$DV130)+'LINEST VARS'!$F$70*(8*$EE$128)+'LINEST VARS'!$E$70*(8*0.5)+'LINEST VARS'!$D$70*(8*$DV130)+'LINEST VARS'!$C$70*($EE$128*0.5)+'LINEST VARS'!$B$70*($EE$128*$DV130)+'LINEST VARS'!$A$70*(0.5*$DV130)</f>
        <v>88.800000000000026</v>
      </c>
      <c r="EF130" s="46">
        <f>'LINEST VARS'!$U$70+'LINEST VARS'!$T$70*(8)+'LINEST VARS'!$S$70*(8)+'LINEST VARS'!$R$70*($EF$128)+'LINEST VARS'!$Q$70*(0.5)+'LINEST VARS'!$P$70*($DV130)+'LINEST VARS'!$O$70*(8^2)+'LINEST VARS'!$N$70*(8^2)+'LINEST VARS'!$M$70*($EF$128^2)+'LINEST VARS'!$L$70*(0.5^2)+'LINEST VARS'!$K$70*($DV130^2)+'LINEST VARS'!$J$70*(8*8)+'LINEST VARS'!$I$70*(8*$EF$128)+'LINEST VARS'!$H$70*(8*0.5)+'LINEST VARS'!$G$70*(8*$DV130)+'LINEST VARS'!$F$70*(8*$EF$128)+'LINEST VARS'!$E$70*(8*0.5)+'LINEST VARS'!$D$70*(8*$DV130)+'LINEST VARS'!$C$70*($EF$128*0.5)+'LINEST VARS'!$B$70*($EF$128*$DV130)+'LINEST VARS'!$A$70*(0.5*$DV130)</f>
        <v>88.40000000000002</v>
      </c>
      <c r="EG130" s="46">
        <f>'LINEST VARS'!$U$70+'LINEST VARS'!$T$70*(8)+'LINEST VARS'!$S$70*(8)+'LINEST VARS'!$R$70*($EG$128)+'LINEST VARS'!$Q$70*(0.5)+'LINEST VARS'!$P$70*($DV130)+'LINEST VARS'!$O$70*(8^2)+'LINEST VARS'!$N$70*(8^2)+'LINEST VARS'!$M$70*($EG$128^2)+'LINEST VARS'!$L$70*(0.5^2)+'LINEST VARS'!$K$70*($DV130^2)+'LINEST VARS'!$J$70*(8*8)+'LINEST VARS'!$I$70*(8*$EG$128)+'LINEST VARS'!$H$70*(8*0.5)+'LINEST VARS'!$G$70*(8*$DV130)+'LINEST VARS'!$F$70*(8*$EG$128)+'LINEST VARS'!$E$70*(8*0.5)+'LINEST VARS'!$D$70*(8*$DV130)+'LINEST VARS'!$C$70*($EG$128*0.5)+'LINEST VARS'!$B$70*($EG$128*$DV130)+'LINEST VARS'!$A$70*(0.5*$DV130)</f>
        <v>88.000000000000014</v>
      </c>
      <c r="EH130" s="46">
        <f>'LINEST VARS'!$U$70+'LINEST VARS'!$T$70*(8)+'LINEST VARS'!$S$70*(8)+'LINEST VARS'!$R$70*($EH$128)+'LINEST VARS'!$Q$70*(0.5)+'LINEST VARS'!$P$70*($DV130)+'LINEST VARS'!$O$70*(8^2)+'LINEST VARS'!$N$70*(8^2)+'LINEST VARS'!$M$70*($EH$128^2)+'LINEST VARS'!$L$70*(0.5^2)+'LINEST VARS'!$K$70*($DV130^2)+'LINEST VARS'!$J$70*(8*8)+'LINEST VARS'!$I$70*(8*$EH$128)+'LINEST VARS'!$H$70*(8*0.5)+'LINEST VARS'!$G$70*(8*$DV130)+'LINEST VARS'!$F$70*(8*$EH$128)+'LINEST VARS'!$E$70*(8*0.5)+'LINEST VARS'!$D$70*(8*$DV130)+'LINEST VARS'!$C$70*($EH$128*0.5)+'LINEST VARS'!$B$70*($EH$128*$DV130)+'LINEST VARS'!$A$70*(0.5*$DV130)</f>
        <v>87.600000000000023</v>
      </c>
      <c r="EI130" s="46">
        <f>'LINEST VARS'!$U$70+'LINEST VARS'!$T$70*(8)+'LINEST VARS'!$S$70*(8)+'LINEST VARS'!$R$70*($EI$128)+'LINEST VARS'!$Q$70*(0.5)+'LINEST VARS'!$P$70*($DV130)+'LINEST VARS'!$O$70*(8^2)+'LINEST VARS'!$N$70*(8^2)+'LINEST VARS'!$M$70*($EI$128^2)+'LINEST VARS'!$L$70*(0.5^2)+'LINEST VARS'!$K$70*($DV130^2)+'LINEST VARS'!$J$70*(8*8)+'LINEST VARS'!$I$70*(8*$EI$128)+'LINEST VARS'!$H$70*(8*0.5)+'LINEST VARS'!$G$70*(8*$DV130)+'LINEST VARS'!$F$70*(8*$EI$128)+'LINEST VARS'!$E$70*(8*0.5)+'LINEST VARS'!$D$70*(8*$DV130)+'LINEST VARS'!$C$70*($EI$128*0.5)+'LINEST VARS'!$B$70*($EI$128*$DV130)+'LINEST VARS'!$A$70*(0.5*$DV130)</f>
        <v>87.200000000000017</v>
      </c>
      <c r="EJ130" s="46">
        <f>'LINEST VARS'!$U$70+'LINEST VARS'!$T$70*(8)+'LINEST VARS'!$S$70*(8)+'LINEST VARS'!$R$70*($EJ$128)+'LINEST VARS'!$Q$70*(0.5)+'LINEST VARS'!$P$70*($DV130)+'LINEST VARS'!$O$70*(8^2)+'LINEST VARS'!$N$70*(8^2)+'LINEST VARS'!$M$70*($EJ$128^2)+'LINEST VARS'!$L$70*(0.5^2)+'LINEST VARS'!$K$70*($DV130^2)+'LINEST VARS'!$J$70*(8*8)+'LINEST VARS'!$I$70*(8*$EJ$128)+'LINEST VARS'!$H$70*(8*0.5)+'LINEST VARS'!$G$70*(8*$DV130)+'LINEST VARS'!$F$70*(8*$EJ$128)+'LINEST VARS'!$E$70*(8*0.5)+'LINEST VARS'!$D$70*(8*$DV130)+'LINEST VARS'!$C$70*($EJ$128*0.5)+'LINEST VARS'!$B$70*($EJ$128*$DV130)+'LINEST VARS'!$A$70*(0.5*$DV130)</f>
        <v>86.800000000000026</v>
      </c>
      <c r="EK130" s="46">
        <f>'LINEST VARS'!$U$70+'LINEST VARS'!$T$70*(8)+'LINEST VARS'!$S$70*(8)+'LINEST VARS'!$R$70*($EK$128)+'LINEST VARS'!$Q$70*(0.5)+'LINEST VARS'!$P$70*($DV130)+'LINEST VARS'!$O$70*(8^2)+'LINEST VARS'!$N$70*(8^2)+'LINEST VARS'!$M$70*($EK$128^2)+'LINEST VARS'!$L$70*(0.5^2)+'LINEST VARS'!$K$70*($DV130^2)+'LINEST VARS'!$J$70*(8*8)+'LINEST VARS'!$I$70*(8*$EK$128)+'LINEST VARS'!$H$70*(8*0.5)+'LINEST VARS'!$G$70*(8*$DV130)+'LINEST VARS'!$F$70*(8*$EK$128)+'LINEST VARS'!$E$70*(8*0.5)+'LINEST VARS'!$D$70*(8*$DV130)+'LINEST VARS'!$C$70*($EK$128*0.5)+'LINEST VARS'!$B$70*($EK$128*$DV130)+'LINEST VARS'!$A$70*(0.5*$DV130)</f>
        <v>86.40000000000002</v>
      </c>
      <c r="EL130" s="46">
        <f>'LINEST VARS'!$U$70+'LINEST VARS'!$T$70*(8)+'LINEST VARS'!$S$70*(8)+'LINEST VARS'!$R$70*($EL$128)+'LINEST VARS'!$Q$70*(0.5)+'LINEST VARS'!$P$70*($DV130)+'LINEST VARS'!$O$70*(8^2)+'LINEST VARS'!$N$70*(8^2)+'LINEST VARS'!$M$70*($EL$128^2)+'LINEST VARS'!$L$70*(0.5^2)+'LINEST VARS'!$K$70*($DV130^2)+'LINEST VARS'!$J$70*(8*8)+'LINEST VARS'!$I$70*(8*$EL$128)+'LINEST VARS'!$H$70*(8*0.5)+'LINEST VARS'!$G$70*(8*$DV130)+'LINEST VARS'!$F$70*(8*$EL$128)+'LINEST VARS'!$E$70*(8*0.5)+'LINEST VARS'!$D$70*(8*$DV130)+'LINEST VARS'!$C$70*($EL$128*0.5)+'LINEST VARS'!$B$70*($EL$128*$DV130)+'LINEST VARS'!$A$70*(0.5*$DV130)</f>
        <v>86.000000000000014</v>
      </c>
      <c r="EM130" s="46">
        <f>'LINEST VARS'!$U$70+'LINEST VARS'!$T$70*(8)+'LINEST VARS'!$S$70*(8)+'LINEST VARS'!$R$70*($EM$128)+'LINEST VARS'!$Q$70*(0.5)+'LINEST VARS'!$P$70*($DV130)+'LINEST VARS'!$O$70*(8^2)+'LINEST VARS'!$N$70*(8^2)+'LINEST VARS'!$M$70*($EM$128^2)+'LINEST VARS'!$L$70*(0.5^2)+'LINEST VARS'!$K$70*($DV130^2)+'LINEST VARS'!$J$70*(8*8)+'LINEST VARS'!$I$70*(8*$EM$128)+'LINEST VARS'!$H$70*(8*0.5)+'LINEST VARS'!$G$70*(8*$DV130)+'LINEST VARS'!$F$70*(8*$EM$128)+'LINEST VARS'!$E$70*(8*0.5)+'LINEST VARS'!$D$70*(8*$DV130)+'LINEST VARS'!$C$70*($EM$128*0.5)+'LINEST VARS'!$B$70*($EM$128*$DV130)+'LINEST VARS'!$A$70*(0.5*$DV130)</f>
        <v>85.600000000000009</v>
      </c>
      <c r="EN130" s="46">
        <f>'LINEST VARS'!$U$70+'LINEST VARS'!$T$70*(8)+'LINEST VARS'!$S$70*(8)+'LINEST VARS'!$R$70*($EN$128)+'LINEST VARS'!$Q$70*(0.5)+'LINEST VARS'!$P$70*($DV130)+'LINEST VARS'!$O$70*(8^2)+'LINEST VARS'!$N$70*(8^2)+'LINEST VARS'!$M$70*($EN$128^2)+'LINEST VARS'!$L$70*(0.5^2)+'LINEST VARS'!$K$70*($DV130^2)+'LINEST VARS'!$J$70*(8*8)+'LINEST VARS'!$I$70*(8*$EN$128)+'LINEST VARS'!$H$70*(8*0.5)+'LINEST VARS'!$G$70*(8*$DV130)+'LINEST VARS'!$F$70*(8*$EN$128)+'LINEST VARS'!$E$70*(8*0.5)+'LINEST VARS'!$D$70*(8*$DV130)+'LINEST VARS'!$C$70*($EN$128*0.5)+'LINEST VARS'!$B$70*($EN$128*$DV130)+'LINEST VARS'!$A$70*(0.5*$DV130)</f>
        <v>85.200000000000017</v>
      </c>
      <c r="EO130" s="46">
        <f>'LINEST VARS'!$U$70+'LINEST VARS'!$T$70*(8)+'LINEST VARS'!$S$70*(8)+'LINEST VARS'!$R$70*($EO$128)+'LINEST VARS'!$Q$70*(0.5)+'LINEST VARS'!$P$70*($DV130)+'LINEST VARS'!$O$70*(8^2)+'LINEST VARS'!$N$70*(8^2)+'LINEST VARS'!$M$70*($EO$128^2)+'LINEST VARS'!$L$70*(0.5^2)+'LINEST VARS'!$K$70*($DV130^2)+'LINEST VARS'!$J$70*(8*8)+'LINEST VARS'!$I$70*(8*$EO$128)+'LINEST VARS'!$H$70*(8*0.5)+'LINEST VARS'!$G$70*(8*$DV130)+'LINEST VARS'!$F$70*(8*$EO$128)+'LINEST VARS'!$E$70*(8*0.5)+'LINEST VARS'!$D$70*(8*$DV130)+'LINEST VARS'!$C$70*($EO$128*0.5)+'LINEST VARS'!$B$70*($EO$128*$DV130)+'LINEST VARS'!$A$70*(0.5*$DV130)</f>
        <v>84.800000000000011</v>
      </c>
      <c r="EP130" s="46">
        <f>'LINEST VARS'!$U$70+'LINEST VARS'!$T$70*(8)+'LINEST VARS'!$S$70*(8)+'LINEST VARS'!$R$70*($EP$128)+'LINEST VARS'!$Q$70*(0.5)+'LINEST VARS'!$P$70*($DV130)+'LINEST VARS'!$O$70*(8^2)+'LINEST VARS'!$N$70*(8^2)+'LINEST VARS'!$M$70*($EP$128^2)+'LINEST VARS'!$L$70*(0.5^2)+'LINEST VARS'!$K$70*($DV130^2)+'LINEST VARS'!$J$70*(8*8)+'LINEST VARS'!$I$70*(8*$EP$128)+'LINEST VARS'!$H$70*(8*0.5)+'LINEST VARS'!$G$70*(8*$DV130)+'LINEST VARS'!$F$70*(8*$EP$128)+'LINEST VARS'!$E$70*(8*0.5)+'LINEST VARS'!$D$70*(8*$DV130)+'LINEST VARS'!$C$70*($EP$128*0.5)+'LINEST VARS'!$B$70*($EP$128*$DV130)+'LINEST VARS'!$A$70*(0.5*$DV130)</f>
        <v>84.400000000000034</v>
      </c>
      <c r="EQ130" s="47">
        <f>'LINEST VARS'!$U$70+'LINEST VARS'!$T$70*(8)+'LINEST VARS'!$S$70*(8)+'LINEST VARS'!$R$70*($EQ$128)+'LINEST VARS'!$Q$70*(0.5)+'LINEST VARS'!$P$70*($DV130)+'LINEST VARS'!$O$70*(8^2)+'LINEST VARS'!$N$70*(8^2)+'LINEST VARS'!$M$70*($EQ$128^2)+'LINEST VARS'!$L$70*(0.5^2)+'LINEST VARS'!$K$70*($DV130^2)+'LINEST VARS'!$J$70*(8*8)+'LINEST VARS'!$I$70*(8*$EQ$128)+'LINEST VARS'!$H$70*(8*0.5)+'LINEST VARS'!$G$70*(8*$DV130)+'LINEST VARS'!$F$70*(8*$EQ$128)+'LINEST VARS'!$E$70*(8*0.5)+'LINEST VARS'!$D$70*(8*$DV130)+'LINEST VARS'!$C$70*($EQ$128*0.5)+'LINEST VARS'!$B$70*($EQ$128*$DV130)+'LINEST VARS'!$A$70*(0.5*$DV130)</f>
        <v>84.000000000000028</v>
      </c>
    </row>
    <row r="131" spans="2:147" ht="15" customHeight="1" x14ac:dyDescent="0.25">
      <c r="B131" s="45">
        <v>7.52</v>
      </c>
      <c r="C131" s="46">
        <f>'LINEST VARS'!$U$68+'LINEST VARS'!$T$68*($C$128)+'LINEST VARS'!$S$68*($B131)+'LINEST VARS'!$R$68*(4)+'LINEST VARS'!$Q$68*(0.5)+'LINEST VARS'!$P$68*(12.73)+'LINEST VARS'!$O$68*($C$128^2)+'LINEST VARS'!$N$68*($B131^2)+'LINEST VARS'!$M$68*(4^2)+'LINEST VARS'!$L$68*(0.5^2)+'LINEST VARS'!$K$68*(12.73^2)+'LINEST VARS'!$J$68*($C$128*$B131)+'LINEST VARS'!$I$68*($C$128*4)+'LINEST VARS'!$H$68*($C$128*0.5)+'LINEST VARS'!$G$68*($C$128*12.73)+'LINEST VARS'!$F$68*($B131*4)+'LINEST VARS'!$E$68*($B131*0.5)+'LINEST VARS'!$D$68*($B131*12.73)+'LINEST VARS'!$C$68*(4*0.5)+'LINEST VARS'!$B$68*(4*12.73)+'LINEST VARS'!$A$68*(0.5*12.73)</f>
        <v>148.99999999999997</v>
      </c>
      <c r="D131" s="46">
        <f>'LINEST VARS'!$U$68+'LINEST VARS'!$T$68*($D$128)+'LINEST VARS'!$S$68*($B131)+'LINEST VARS'!$R$68*(4)+'LINEST VARS'!$Q$68*(0.5)+'LINEST VARS'!$P$68*(12.73)+'LINEST VARS'!$O$68*($D$128^2)+'LINEST VARS'!$N$68*($B131^2)+'LINEST VARS'!$M$68*(4^2)+'LINEST VARS'!$L$68*(0.5^2)+'LINEST VARS'!$K$68*(12.73^2)+'LINEST VARS'!$J$68*($D$128*$B131)+'LINEST VARS'!$I$68*($D$128*4)+'LINEST VARS'!$H$68*($D$128*0.5)+'LINEST VARS'!$G$68*($D$128*12.73)+'LINEST VARS'!$F$68*($B131*4)+'LINEST VARS'!$E$68*($B131*0.5)+'LINEST VARS'!$D$68*($B131*12.73)+'LINEST VARS'!$C$68*(4*0.5)+'LINEST VARS'!$B$68*(4*12.73)+'LINEST VARS'!$A$68*(0.5*12.73)</f>
        <v>148.99999999999997</v>
      </c>
      <c r="E131" s="46">
        <f>'LINEST VARS'!$U$68+'LINEST VARS'!$T$68*($E$128)+'LINEST VARS'!$S$68*($B131)+'LINEST VARS'!$R$68*(4)+'LINEST VARS'!$Q$68*(0.5)+'LINEST VARS'!$P$68*(12.73)+'LINEST VARS'!$O$68*($E$128^2)+'LINEST VARS'!$N$68*($B131^2)+'LINEST VARS'!$M$68*(4^2)+'LINEST VARS'!$L$68*(0.5^2)+'LINEST VARS'!$K$68*(12.73^2)+'LINEST VARS'!$J$68*($E$128*$B131)+'LINEST VARS'!$I$68*($E$128*4)+'LINEST VARS'!$H$68*($E$128*0.5)+'LINEST VARS'!$G$68*($E$128*12.73)+'LINEST VARS'!$F$68*($B131*4)+'LINEST VARS'!$E$68*($B131*0.5)+'LINEST VARS'!$D$68*($B131*12.73)+'LINEST VARS'!$C$68*(4*0.5)+'LINEST VARS'!$B$68*(4*12.73)+'LINEST VARS'!$A$68*(0.5*12.73)</f>
        <v>148.99999999999997</v>
      </c>
      <c r="F131" s="46">
        <f>'LINEST VARS'!$U$68+'LINEST VARS'!$T$68*($F$128)+'LINEST VARS'!$S$68*($B131)+'LINEST VARS'!$R$68*(4)+'LINEST VARS'!$Q$68*(0.5)+'LINEST VARS'!$P$68*(12.73)+'LINEST VARS'!$O$68*($F$128^2)+'LINEST VARS'!$N$68*($B131^2)+'LINEST VARS'!$M$68*(4^2)+'LINEST VARS'!$L$68*(0.5^2)+'LINEST VARS'!$K$68*(12.73^2)+'LINEST VARS'!$J$68*($F$128*$B131)+'LINEST VARS'!$I$68*($F$128*4)+'LINEST VARS'!$H$68*($F$128*0.5)+'LINEST VARS'!$G$68*($F$128*12.73)+'LINEST VARS'!$F$68*($B131*4)+'LINEST VARS'!$E$68*($B131*0.5)+'LINEST VARS'!$D$68*($B131*12.73)+'LINEST VARS'!$C$68*(4*0.5)+'LINEST VARS'!$B$68*(4*12.73)+'LINEST VARS'!$A$68*(0.5*12.73)</f>
        <v>148.99999999999997</v>
      </c>
      <c r="G131" s="46">
        <f>'LINEST VARS'!$U$68+'LINEST VARS'!$T$68*($G$128)+'LINEST VARS'!$S$68*($B131)+'LINEST VARS'!$R$68*(4)+'LINEST VARS'!$Q$68*(0.5)+'LINEST VARS'!$P$68*(12.73)+'LINEST VARS'!$O$68*($G$128^2)+'LINEST VARS'!$N$68*($B131^2)+'LINEST VARS'!$M$68*(4^2)+'LINEST VARS'!$L$68*(0.5^2)+'LINEST VARS'!$K$68*(12.73^2)+'LINEST VARS'!$J$68*($G$128*$B131)+'LINEST VARS'!$I$68*($G$128*4)+'LINEST VARS'!$H$68*($G$128*0.5)+'LINEST VARS'!$G$68*($G$128*12.73)+'LINEST VARS'!$F$68*($B131*4)+'LINEST VARS'!$E$68*($B131*0.5)+'LINEST VARS'!$D$68*($B131*12.73)+'LINEST VARS'!$C$68*(4*0.5)+'LINEST VARS'!$B$68*(4*12.73)+'LINEST VARS'!$A$68*(0.5*12.73)</f>
        <v>148.99999999999997</v>
      </c>
      <c r="H131" s="46">
        <f>'LINEST VARS'!$U$68+'LINEST VARS'!$T$68*($H$128)+'LINEST VARS'!$S$68*($B131)+'LINEST VARS'!$R$68*(4)+'LINEST VARS'!$Q$68*(0.5)+'LINEST VARS'!$P$68*(12.73)+'LINEST VARS'!$O$68*($H$128^2)+'LINEST VARS'!$N$68*($B131^2)+'LINEST VARS'!$M$68*(4^2)+'LINEST VARS'!$L$68*(0.5^2)+'LINEST VARS'!$K$68*(12.73^2)+'LINEST VARS'!$J$68*($H$128*$B131)+'LINEST VARS'!$I$68*($H$128*4)+'LINEST VARS'!$H$68*($H$128*0.5)+'LINEST VARS'!$G$68*($H$128*12.73)+'LINEST VARS'!$F$68*($B131*4)+'LINEST VARS'!$E$68*($B131*0.5)+'LINEST VARS'!$D$68*($B131*12.73)+'LINEST VARS'!$C$68*(4*0.5)+'LINEST VARS'!$B$68*(4*12.73)+'LINEST VARS'!$A$68*(0.5*12.73)</f>
        <v>148.99999999999997</v>
      </c>
      <c r="I131" s="46">
        <f>'LINEST VARS'!$U$68+'LINEST VARS'!$T$68*($I$128)+'LINEST VARS'!$S$68*($B131)+'LINEST VARS'!$R$68*(4)+'LINEST VARS'!$Q$68*(0.5)+'LINEST VARS'!$P$68*(12.73)+'LINEST VARS'!$O$68*($I$128^2)+'LINEST VARS'!$N$68*($B131^2)+'LINEST VARS'!$M$68*(4^2)+'LINEST VARS'!$L$68*(0.5^2)+'LINEST VARS'!$K$68*(12.73^2)+'LINEST VARS'!$J$68*($I$128*$B131)+'LINEST VARS'!$I$68*($I$128*4)+'LINEST VARS'!$H$68*($I$128*0.5)+'LINEST VARS'!$G$68*($I$128*12.73)+'LINEST VARS'!$F$68*($B131*4)+'LINEST VARS'!$E$68*($B131*0.5)+'LINEST VARS'!$D$68*($B131*12.73)+'LINEST VARS'!$C$68*(4*0.5)+'LINEST VARS'!$B$68*(4*12.73)+'LINEST VARS'!$A$68*(0.5*12.73)</f>
        <v>148.99999999999997</v>
      </c>
      <c r="J131" s="46">
        <f>'LINEST VARS'!$U$68+'LINEST VARS'!$T$68*($J$128)+'LINEST VARS'!$S$68*($B131)+'LINEST VARS'!$R$68*(4)+'LINEST VARS'!$Q$68*(0.5)+'LINEST VARS'!$P$68*(12.73)+'LINEST VARS'!$O$68*($J$128^2)+'LINEST VARS'!$N$68*($B131^2)+'LINEST VARS'!$M$68*(4^2)+'LINEST VARS'!$L$68*(0.5^2)+'LINEST VARS'!$K$68*(12.73^2)+'LINEST VARS'!$J$68*($J$128*$B131)+'LINEST VARS'!$I$68*($J$128*4)+'LINEST VARS'!$H$68*($J$128*0.5)+'LINEST VARS'!$G$68*($J$128*12.73)+'LINEST VARS'!$F$68*($B131*4)+'LINEST VARS'!$E$68*($B131*0.5)+'LINEST VARS'!$D$68*($B131*12.73)+'LINEST VARS'!$C$68*(4*0.5)+'LINEST VARS'!$B$68*(4*12.73)+'LINEST VARS'!$A$68*(0.5*12.73)</f>
        <v>148.99999999999997</v>
      </c>
      <c r="K131" s="46">
        <f>'LINEST VARS'!$U$68+'LINEST VARS'!$T$68*($K$128)+'LINEST VARS'!$S$68*($B131)+'LINEST VARS'!$R$68*(4)+'LINEST VARS'!$Q$68*(0.5)+'LINEST VARS'!$P$68*(12.73)+'LINEST VARS'!$O$68*($K$128^2)+'LINEST VARS'!$N$68*($B131^2)+'LINEST VARS'!$M$68*(4^2)+'LINEST VARS'!$L$68*(0.5^2)+'LINEST VARS'!$K$68*(12.73^2)+'LINEST VARS'!$J$68*($K$128*$B131)+'LINEST VARS'!$I$68*($K$128*4)+'LINEST VARS'!$H$68*($K$128*0.5)+'LINEST VARS'!$G$68*($K$128*12.73)+'LINEST VARS'!$F$68*($B131*4)+'LINEST VARS'!$E$68*($B131*0.5)+'LINEST VARS'!$D$68*($B131*12.73)+'LINEST VARS'!$C$68*(4*0.5)+'LINEST VARS'!$B$68*(4*12.73)+'LINEST VARS'!$A$68*(0.5*12.73)</f>
        <v>148.99999999999997</v>
      </c>
      <c r="L131" s="46">
        <f>'LINEST VARS'!$U$68+'LINEST VARS'!$T$68*($L$128)+'LINEST VARS'!$S$68*($B131)+'LINEST VARS'!$R$68*(4)+'LINEST VARS'!$Q$68*(0.5)+'LINEST VARS'!$P$68*(12.73)+'LINEST VARS'!$O$68*($L$128^2)+'LINEST VARS'!$N$68*($B131^2)+'LINEST VARS'!$M$68*(4^2)+'LINEST VARS'!$L$68*(0.5^2)+'LINEST VARS'!$K$68*(12.73^2)+'LINEST VARS'!$J$68*($L$128*$B131)+'LINEST VARS'!$I$68*($L$128*4)+'LINEST VARS'!$H$68*($L$128*0.5)+'LINEST VARS'!$G$68*($L$128*12.73)+'LINEST VARS'!$F$68*($B131*4)+'LINEST VARS'!$E$68*($B131*0.5)+'LINEST VARS'!$D$68*($B131*12.73)+'LINEST VARS'!$C$68*(4*0.5)+'LINEST VARS'!$B$68*(4*12.73)+'LINEST VARS'!$A$68*(0.5*12.73)</f>
        <v>148.99999999999997</v>
      </c>
      <c r="M131" s="46">
        <f>'LINEST VARS'!$U$68+'LINEST VARS'!$T$68*($M$128)+'LINEST VARS'!$S$68*($B131)+'LINEST VARS'!$R$68*(4)+'LINEST VARS'!$Q$68*(0.5)+'LINEST VARS'!$P$68*(12.73)+'LINEST VARS'!$O$68*($M$128^2)+'LINEST VARS'!$N$68*($B131^2)+'LINEST VARS'!$M$68*(4^2)+'LINEST VARS'!$L$68*(0.5^2)+'LINEST VARS'!$K$68*(12.73^2)+'LINEST VARS'!$J$68*($M$128*$B131)+'LINEST VARS'!$I$68*($M$128*4)+'LINEST VARS'!$H$68*($M$128*0.5)+'LINEST VARS'!$G$68*($M$128*12.73)+'LINEST VARS'!$F$68*($B131*4)+'LINEST VARS'!$E$68*($B131*0.5)+'LINEST VARS'!$D$68*($B131*12.73)+'LINEST VARS'!$C$68*(4*0.5)+'LINEST VARS'!$B$68*(4*12.73)+'LINEST VARS'!$A$68*(0.5*12.73)</f>
        <v>148.99999999999997</v>
      </c>
      <c r="N131" s="46">
        <f>'LINEST VARS'!$U$68+'LINEST VARS'!$T$68*($N$128)+'LINEST VARS'!$S$68*($B131)+'LINEST VARS'!$R$68*(4)+'LINEST VARS'!$Q$68*(0.5)+'LINEST VARS'!$P$68*(12.73)+'LINEST VARS'!$O$68*($N$128^2)+'LINEST VARS'!$N$68*($B131^2)+'LINEST VARS'!$M$68*(4^2)+'LINEST VARS'!$L$68*(0.5^2)+'LINEST VARS'!$K$68*(12.73^2)+'LINEST VARS'!$J$68*($N$128*$B131)+'LINEST VARS'!$I$68*($N$128*4)+'LINEST VARS'!$H$68*($N$128*0.5)+'LINEST VARS'!$G$68*($N$128*12.73)+'LINEST VARS'!$F$68*($B131*4)+'LINEST VARS'!$E$68*($B131*0.5)+'LINEST VARS'!$D$68*($B131*12.73)+'LINEST VARS'!$C$68*(4*0.5)+'LINEST VARS'!$B$68*(4*12.73)+'LINEST VARS'!$A$68*(0.5*12.73)</f>
        <v>148.99999999999997</v>
      </c>
      <c r="O131" s="46">
        <f>'LINEST VARS'!$U$68+'LINEST VARS'!$T$68*($O$128)+'LINEST VARS'!$S$68*($B131)+'LINEST VARS'!$R$68*(4)+'LINEST VARS'!$Q$68*(0.5)+'LINEST VARS'!$P$68*(12.73)+'LINEST VARS'!$O$68*($O$128^2)+'LINEST VARS'!$N$68*($B131^2)+'LINEST VARS'!$M$68*(4^2)+'LINEST VARS'!$L$68*(0.5^2)+'LINEST VARS'!$K$68*(12.73^2)+'LINEST VARS'!$J$68*($O$128*$B131)+'LINEST VARS'!$I$68*($O$128*4)+'LINEST VARS'!$H$68*($O$128*0.5)+'LINEST VARS'!$G$68*($O$128*12.73)+'LINEST VARS'!$F$68*($B131*4)+'LINEST VARS'!$E$68*($B131*0.5)+'LINEST VARS'!$D$68*($B131*12.73)+'LINEST VARS'!$C$68*(4*0.5)+'LINEST VARS'!$B$68*(4*12.73)+'LINEST VARS'!$A$68*(0.5*12.73)</f>
        <v>148.99999999999997</v>
      </c>
      <c r="P131" s="46">
        <f>'LINEST VARS'!$U$68+'LINEST VARS'!$T$68*($P$128)+'LINEST VARS'!$S$68*($B131)+'LINEST VARS'!$R$68*(4)+'LINEST VARS'!$Q$68*(0.5)+'LINEST VARS'!$P$68*(12.73)+'LINEST VARS'!$O$68*($P$128^2)+'LINEST VARS'!$N$68*($B131^2)+'LINEST VARS'!$M$68*(4^2)+'LINEST VARS'!$L$68*(0.5^2)+'LINEST VARS'!$K$68*(12.73^2)+'LINEST VARS'!$J$68*($P$128*$B131)+'LINEST VARS'!$I$68*($P$128*4)+'LINEST VARS'!$H$68*($P$128*0.5)+'LINEST VARS'!$G$68*($P$128*12.73)+'LINEST VARS'!$F$68*($B131*4)+'LINEST VARS'!$E$68*($B131*0.5)+'LINEST VARS'!$D$68*($B131*12.73)+'LINEST VARS'!$C$68*(4*0.5)+'LINEST VARS'!$B$68*(4*12.73)+'LINEST VARS'!$A$68*(0.5*12.73)</f>
        <v>148.99999999999997</v>
      </c>
      <c r="Q131" s="46">
        <f>'LINEST VARS'!$U$68+'LINEST VARS'!$T$68*($Q$128)+'LINEST VARS'!$S$68*($B131)+'LINEST VARS'!$R$68*(4)+'LINEST VARS'!$Q$68*(0.5)+'LINEST VARS'!$P$68*(12.73)+'LINEST VARS'!$O$68*($Q$128^2)+'LINEST VARS'!$N$68*($B131^2)+'LINEST VARS'!$M$68*(4^2)+'LINEST VARS'!$L$68*(0.5^2)+'LINEST VARS'!$K$68*(12.73^2)+'LINEST VARS'!$J$68*($Q$128*$B131)+'LINEST VARS'!$I$68*($Q$128*4)+'LINEST VARS'!$H$68*($Q$128*0.5)+'LINEST VARS'!$G$68*($Q$128*12.73)+'LINEST VARS'!$F$68*($B131*4)+'LINEST VARS'!$E$68*($B131*0.5)+'LINEST VARS'!$D$68*($B131*12.73)+'LINEST VARS'!$C$68*(4*0.5)+'LINEST VARS'!$B$68*(4*12.73)+'LINEST VARS'!$A$68*(0.5*12.73)</f>
        <v>148.99999999999997</v>
      </c>
      <c r="R131" s="46">
        <f>'LINEST VARS'!$U$68+'LINEST VARS'!$T$68*($R$128)+'LINEST VARS'!$S$68*($B131)+'LINEST VARS'!$R$68*(4)+'LINEST VARS'!$Q$68*(0.5)+'LINEST VARS'!$P$68*(12.73)+'LINEST VARS'!$O$68*($R$128^2)+'LINEST VARS'!$N$68*($B131^2)+'LINEST VARS'!$M$68*(4^2)+'LINEST VARS'!$L$68*(0.5^2)+'LINEST VARS'!$K$68*(12.73^2)+'LINEST VARS'!$J$68*($R$128*$B131)+'LINEST VARS'!$I$68*($R$128*4)+'LINEST VARS'!$H$68*($R$128*0.5)+'LINEST VARS'!$G$68*($R$128*12.73)+'LINEST VARS'!$F$68*($B131*4)+'LINEST VARS'!$E$68*($B131*0.5)+'LINEST VARS'!$D$68*($B131*12.73)+'LINEST VARS'!$C$68*(4*0.5)+'LINEST VARS'!$B$68*(4*12.73)+'LINEST VARS'!$A$68*(0.5*12.73)</f>
        <v>148.99999999999997</v>
      </c>
      <c r="S131" s="46">
        <f>'LINEST VARS'!$U$68+'LINEST VARS'!$T$68*($S$128)+'LINEST VARS'!$S$68*($B131)+'LINEST VARS'!$R$68*(4)+'LINEST VARS'!$Q$68*(0.5)+'LINEST VARS'!$P$68*(12.73)+'LINEST VARS'!$O$68*($S$128^2)+'LINEST VARS'!$N$68*($B131^2)+'LINEST VARS'!$M$68*(4^2)+'LINEST VARS'!$L$68*(0.5^2)+'LINEST VARS'!$K$68*(12.73^2)+'LINEST VARS'!$J$68*($S$128*$B131)+'LINEST VARS'!$I$68*($S$128*4)+'LINEST VARS'!$H$68*($S$128*0.5)+'LINEST VARS'!$G$68*($S$128*12.73)+'LINEST VARS'!$F$68*($B131*4)+'LINEST VARS'!$E$68*($B131*0.5)+'LINEST VARS'!$D$68*($B131*12.73)+'LINEST VARS'!$C$68*(4*0.5)+'LINEST VARS'!$B$68*(4*12.73)+'LINEST VARS'!$A$68*(0.5*12.73)</f>
        <v>148.99999999999997</v>
      </c>
      <c r="T131" s="46">
        <f>'LINEST VARS'!$U$68+'LINEST VARS'!$T$68*($T$128)+'LINEST VARS'!$S$68*($B131)+'LINEST VARS'!$R$68*(4)+'LINEST VARS'!$Q$68*(0.5)+'LINEST VARS'!$P$68*(12.73)+'LINEST VARS'!$O$68*($T$128^2)+'LINEST VARS'!$N$68*($B131^2)+'LINEST VARS'!$M$68*(4^2)+'LINEST VARS'!$L$68*(0.5^2)+'LINEST VARS'!$K$68*(12.73^2)+'LINEST VARS'!$J$68*($T$128*$B131)+'LINEST VARS'!$I$68*($T$128*4)+'LINEST VARS'!$H$68*($T$128*0.5)+'LINEST VARS'!$G$68*($T$128*12.73)+'LINEST VARS'!$F$68*($B131*4)+'LINEST VARS'!$E$68*($B131*0.5)+'LINEST VARS'!$D$68*($B131*12.73)+'LINEST VARS'!$C$68*(4*0.5)+'LINEST VARS'!$B$68*(4*12.73)+'LINEST VARS'!$A$68*(0.5*12.73)</f>
        <v>148.99999999999997</v>
      </c>
      <c r="U131" s="46">
        <f>'LINEST VARS'!$U$68+'LINEST VARS'!$T$68*($U$128)+'LINEST VARS'!$S$68*($B131)+'LINEST VARS'!$R$68*(4)+'LINEST VARS'!$Q$68*(0.5)+'LINEST VARS'!$P$68*(12.73)+'LINEST VARS'!$O$68*($U$128^2)+'LINEST VARS'!$N$68*($B131^2)+'LINEST VARS'!$M$68*(4^2)+'LINEST VARS'!$L$68*(0.5^2)+'LINEST VARS'!$K$68*(12.73^2)+'LINEST VARS'!$J$68*($U$128*$B131)+'LINEST VARS'!$I$68*($U$128*4)+'LINEST VARS'!$H$68*($U$128*0.5)+'LINEST VARS'!$G$68*($U$128*12.73)+'LINEST VARS'!$F$68*($B131*4)+'LINEST VARS'!$E$68*($B131*0.5)+'LINEST VARS'!$D$68*($B131*12.73)+'LINEST VARS'!$C$68*(4*0.5)+'LINEST VARS'!$B$68*(4*12.73)+'LINEST VARS'!$A$68*(0.5*12.73)</f>
        <v>148.99999999999997</v>
      </c>
      <c r="V131" s="46">
        <f>'LINEST VARS'!$U$68+'LINEST VARS'!$T$68*($V$128)+'LINEST VARS'!$S$68*($B131)+'LINEST VARS'!$R$68*(4)+'LINEST VARS'!$Q$68*(0.5)+'LINEST VARS'!$P$68*(12.73)+'LINEST VARS'!$O$68*($V$128^2)+'LINEST VARS'!$N$68*($B131^2)+'LINEST VARS'!$M$68*(4^2)+'LINEST VARS'!$L$68*(0.5^2)+'LINEST VARS'!$K$68*(12.73^2)+'LINEST VARS'!$J$68*($V$128*$B131)+'LINEST VARS'!$I$68*($V$128*4)+'LINEST VARS'!$H$68*($V$128*0.5)+'LINEST VARS'!$G$68*($V$128*12.73)+'LINEST VARS'!$F$68*($B131*4)+'LINEST VARS'!$E$68*($B131*0.5)+'LINEST VARS'!$D$68*($B131*12.73)+'LINEST VARS'!$C$68*(4*0.5)+'LINEST VARS'!$B$68*(4*12.73)+'LINEST VARS'!$A$68*(0.5*12.73)</f>
        <v>148.99999999999997</v>
      </c>
      <c r="W131" s="47">
        <f>'LINEST VARS'!$U$68+'LINEST VARS'!$T$68*($W$128)+'LINEST VARS'!$S$68*($B131)+'LINEST VARS'!$R$68*(4)+'LINEST VARS'!$Q$68*(0.5)+'LINEST VARS'!$P$68*(12.73)+'LINEST VARS'!$O$68*($W$128^2)+'LINEST VARS'!$N$68*($B131^2)+'LINEST VARS'!$M$68*(4^2)+'LINEST VARS'!$L$68*(0.5^2)+'LINEST VARS'!$K$68*(12.73^2)+'LINEST VARS'!$J$68*($W$128*$B131)+'LINEST VARS'!$I$68*($W$128*4)+'LINEST VARS'!$H$68*($W$128*0.5)+'LINEST VARS'!$G$68*($W$128*12.73)+'LINEST VARS'!$F$68*($B131*4)+'LINEST VARS'!$E$68*($B131*0.5)+'LINEST VARS'!$D$68*($B131*12.73)+'LINEST VARS'!$C$68*(4*0.5)+'LINEST VARS'!$B$68*(4*12.73)+'LINEST VARS'!$A$68*(0.5*12.73)</f>
        <v>148.99999999999997</v>
      </c>
      <c r="Z131" s="45">
        <v>7.52</v>
      </c>
      <c r="AA131" s="46">
        <f>'LINEST VARS'!$U$70+'LINEST VARS'!$T$70*($AA$128)+'LINEST VARS'!$S$70*($Z131)+'LINEST VARS'!$R$70*(4)+'LINEST VARS'!$Q$70*(0.5)+'LINEST VARS'!$P$70*(12.73)+'LINEST VARS'!$O$70*($AA$128^2)+'LINEST VARS'!$N$70*($Z131^2)+'LINEST VARS'!$M$70*(4^2)+'LINEST VARS'!$L$70*(0.5^2)+'LINEST VARS'!$K$70*(12.73^2)+'LINEST VARS'!$J$70*($AA$128*$Z131)+'LINEST VARS'!$I$70*($AA$128*4)+'LINEST VARS'!$H$70*($AA$128*0.5)+'LINEST VARS'!$G$70*($AA$128*12.73)+'LINEST VARS'!$F$70*($Z131*4)+'LINEST VARS'!$E$70*($Z131*0.5)+'LINEST VARS'!$D$70*($Z131*12.73)+'LINEST VARS'!$C$70*(4*0.5)+'LINEST VARS'!$B$70*(4*12.73)+'LINEST VARS'!$A$70*(0.5*12.73)</f>
        <v>87.280000000000015</v>
      </c>
      <c r="AB131" s="46">
        <f>'LINEST VARS'!$U$70+'LINEST VARS'!$T$70*($AB$128)+'LINEST VARS'!$S$70*($Z131)+'LINEST VARS'!$R$70*(4)+'LINEST VARS'!$Q$70*(0.5)+'LINEST VARS'!$P$70*(12.73)+'LINEST VARS'!$O$70*($AB$128^2)+'LINEST VARS'!$N$70*($Z131^2)+'LINEST VARS'!$M$70*(4^2)+'LINEST VARS'!$L$70*(0.5^2)+'LINEST VARS'!$K$70*(12.73^2)+'LINEST VARS'!$J$70*($AB$128*$Z131)+'LINEST VARS'!$I$70*($AB$128*4)+'LINEST VARS'!$H$70*($AB$128*0.5)+'LINEST VARS'!$G$70*($AB$128*12.73)+'LINEST VARS'!$F$70*($Z131*4)+'LINEST VARS'!$E$70*($Z131*0.5)+'LINEST VARS'!$D$70*($Z131*12.73)+'LINEST VARS'!$C$70*(4*0.5)+'LINEST VARS'!$B$70*(4*12.73)+'LINEST VARS'!$A$70*(0.5*12.73)</f>
        <v>87.280000000000015</v>
      </c>
      <c r="AC131" s="46">
        <f>'LINEST VARS'!$U$70+'LINEST VARS'!$T$70*($AC$128)+'LINEST VARS'!$S$70*($Z131)+'LINEST VARS'!$R$70*(4)+'LINEST VARS'!$Q$70*(0.5)+'LINEST VARS'!$P$70*(12.73)+'LINEST VARS'!$O$70*($AC$128^2)+'LINEST VARS'!$N$70*($Z131^2)+'LINEST VARS'!$M$70*(4^2)+'LINEST VARS'!$L$70*(0.5^2)+'LINEST VARS'!$K$70*(12.73^2)+'LINEST VARS'!$J$70*($AC$128*$Z131)+'LINEST VARS'!$I$70*($AC$128*4)+'LINEST VARS'!$H$70*($AC$128*0.5)+'LINEST VARS'!$G$70*($AC$128*12.73)+'LINEST VARS'!$F$70*($Z131*4)+'LINEST VARS'!$E$70*($Z131*0.5)+'LINEST VARS'!$D$70*($Z131*12.73)+'LINEST VARS'!$C$70*(4*0.5)+'LINEST VARS'!$B$70*(4*12.73)+'LINEST VARS'!$A$70*(0.5*12.73)</f>
        <v>87.280000000000015</v>
      </c>
      <c r="AD131" s="46">
        <f>'LINEST VARS'!$U$70+'LINEST VARS'!$T$70*($AD$128)+'LINEST VARS'!$S$70*($Z131)+'LINEST VARS'!$R$70*(4)+'LINEST VARS'!$Q$70*(0.5)+'LINEST VARS'!$P$70*(12.73)+'LINEST VARS'!$O$70*($AD$128^2)+'LINEST VARS'!$N$70*($Z131^2)+'LINEST VARS'!$M$70*(4^2)+'LINEST VARS'!$L$70*(0.5^2)+'LINEST VARS'!$K$70*(12.73^2)+'LINEST VARS'!$J$70*($AD$128*$Z131)+'LINEST VARS'!$I$70*($AD$128*4)+'LINEST VARS'!$H$70*($AD$128*0.5)+'LINEST VARS'!$G$70*($AD$128*12.73)+'LINEST VARS'!$F$70*($Z131*4)+'LINEST VARS'!$E$70*($Z131*0.5)+'LINEST VARS'!$D$70*($Z131*12.73)+'LINEST VARS'!$C$70*(4*0.5)+'LINEST VARS'!$B$70*(4*12.73)+'LINEST VARS'!$A$70*(0.5*12.73)</f>
        <v>87.280000000000015</v>
      </c>
      <c r="AE131" s="46">
        <f>'LINEST VARS'!$U$70+'LINEST VARS'!$T$70*($AE$128)+'LINEST VARS'!$S$70*($Z131)+'LINEST VARS'!$R$70*(4)+'LINEST VARS'!$Q$70*(0.5)+'LINEST VARS'!$P$70*(12.73)+'LINEST VARS'!$O$70*($AE$128^2)+'LINEST VARS'!$N$70*($Z131^2)+'LINEST VARS'!$M$70*(4^2)+'LINEST VARS'!$L$70*(0.5^2)+'LINEST VARS'!$K$70*(12.73^2)+'LINEST VARS'!$J$70*($AE$128*$Z131)+'LINEST VARS'!$I$70*($AE$128*4)+'LINEST VARS'!$H$70*($AE$128*0.5)+'LINEST VARS'!$G$70*($AE$128*12.73)+'LINEST VARS'!$F$70*($Z131*4)+'LINEST VARS'!$E$70*($Z131*0.5)+'LINEST VARS'!$D$70*($Z131*12.73)+'LINEST VARS'!$C$70*(4*0.5)+'LINEST VARS'!$B$70*(4*12.73)+'LINEST VARS'!$A$70*(0.5*12.73)</f>
        <v>87.280000000000015</v>
      </c>
      <c r="AF131" s="46">
        <f>'LINEST VARS'!$U$70+'LINEST VARS'!$T$70*($AF$128)+'LINEST VARS'!$S$70*($Z131)+'LINEST VARS'!$R$70*(4)+'LINEST VARS'!$Q$70*(0.5)+'LINEST VARS'!$P$70*(12.73)+'LINEST VARS'!$O$70*($AF$128^2)+'LINEST VARS'!$N$70*($Z131^2)+'LINEST VARS'!$M$70*(4^2)+'LINEST VARS'!$L$70*(0.5^2)+'LINEST VARS'!$K$70*(12.73^2)+'LINEST VARS'!$J$70*($AF$128*$Z131)+'LINEST VARS'!$I$70*($AF$128*4)+'LINEST VARS'!$H$70*($AF$128*0.5)+'LINEST VARS'!$G$70*($AF$128*12.73)+'LINEST VARS'!$F$70*($Z131*4)+'LINEST VARS'!$E$70*($Z131*0.5)+'LINEST VARS'!$D$70*($Z131*12.73)+'LINEST VARS'!$C$70*(4*0.5)+'LINEST VARS'!$B$70*(4*12.73)+'LINEST VARS'!$A$70*(0.5*12.73)</f>
        <v>87.280000000000015</v>
      </c>
      <c r="AG131" s="46">
        <f>'LINEST VARS'!$U$70+'LINEST VARS'!$T$70*($AG$128)+'LINEST VARS'!$S$70*($Z131)+'LINEST VARS'!$R$70*(4)+'LINEST VARS'!$Q$70*(0.5)+'LINEST VARS'!$P$70*(12.73)+'LINEST VARS'!$O$70*($AG$128^2)+'LINEST VARS'!$N$70*($Z131^2)+'LINEST VARS'!$M$70*(4^2)+'LINEST VARS'!$L$70*(0.5^2)+'LINEST VARS'!$K$70*(12.73^2)+'LINEST VARS'!$J$70*($AG$128*$Z131)+'LINEST VARS'!$I$70*($AG$128*4)+'LINEST VARS'!$H$70*($AG$128*0.5)+'LINEST VARS'!$G$70*($AG$128*12.73)+'LINEST VARS'!$F$70*($Z131*4)+'LINEST VARS'!$E$70*($Z131*0.5)+'LINEST VARS'!$D$70*($Z131*12.73)+'LINEST VARS'!$C$70*(4*0.5)+'LINEST VARS'!$B$70*(4*12.73)+'LINEST VARS'!$A$70*(0.5*12.73)</f>
        <v>87.280000000000015</v>
      </c>
      <c r="AH131" s="46">
        <f>'LINEST VARS'!$U$70+'LINEST VARS'!$T$70*($AH$128)+'LINEST VARS'!$S$70*($Z131)+'LINEST VARS'!$R$70*(4)+'LINEST VARS'!$Q$70*(0.5)+'LINEST VARS'!$P$70*(12.73)+'LINEST VARS'!$O$70*($AH$128^2)+'LINEST VARS'!$N$70*($Z131^2)+'LINEST VARS'!$M$70*(4^2)+'LINEST VARS'!$L$70*(0.5^2)+'LINEST VARS'!$K$70*(12.73^2)+'LINEST VARS'!$J$70*($AH$128*$Z131)+'LINEST VARS'!$I$70*($AH$128*4)+'LINEST VARS'!$H$70*($AH$128*0.5)+'LINEST VARS'!$G$70*($AH$128*12.73)+'LINEST VARS'!$F$70*($Z131*4)+'LINEST VARS'!$E$70*($Z131*0.5)+'LINEST VARS'!$D$70*($Z131*12.73)+'LINEST VARS'!$C$70*(4*0.5)+'LINEST VARS'!$B$70*(4*12.73)+'LINEST VARS'!$A$70*(0.5*12.73)</f>
        <v>87.280000000000015</v>
      </c>
      <c r="AI131" s="46">
        <f>'LINEST VARS'!$U$70+'LINEST VARS'!$T$70*($AI$128)+'LINEST VARS'!$S$70*($Z131)+'LINEST VARS'!$R$70*(4)+'LINEST VARS'!$Q$70*(0.5)+'LINEST VARS'!$P$70*(12.73)+'LINEST VARS'!$O$70*($AI$128^2)+'LINEST VARS'!$N$70*($Z131^2)+'LINEST VARS'!$M$70*(4^2)+'LINEST VARS'!$L$70*(0.5^2)+'LINEST VARS'!$K$70*(12.73^2)+'LINEST VARS'!$J$70*($AI$128*$Z131)+'LINEST VARS'!$I$70*($AI$128*4)+'LINEST VARS'!$H$70*($AI$128*0.5)+'LINEST VARS'!$G$70*($AI$128*12.73)+'LINEST VARS'!$F$70*($Z131*4)+'LINEST VARS'!$E$70*($Z131*0.5)+'LINEST VARS'!$D$70*($Z131*12.73)+'LINEST VARS'!$C$70*(4*0.5)+'LINEST VARS'!$B$70*(4*12.73)+'LINEST VARS'!$A$70*(0.5*12.73)</f>
        <v>87.280000000000015</v>
      </c>
      <c r="AJ131" s="46">
        <f>'LINEST VARS'!$U$70+'LINEST VARS'!$T$70*($AJ$128)+'LINEST VARS'!$S$70*($Z131)+'LINEST VARS'!$R$70*(4)+'LINEST VARS'!$Q$70*(0.5)+'LINEST VARS'!$P$70*(12.73)+'LINEST VARS'!$O$70*($AJ$128^2)+'LINEST VARS'!$N$70*($Z131^2)+'LINEST VARS'!$M$70*(4^2)+'LINEST VARS'!$L$70*(0.5^2)+'LINEST VARS'!$K$70*(12.73^2)+'LINEST VARS'!$J$70*($AJ$128*$Z131)+'LINEST VARS'!$I$70*($AJ$128*4)+'LINEST VARS'!$H$70*($AJ$128*0.5)+'LINEST VARS'!$G$70*($AJ$128*12.73)+'LINEST VARS'!$F$70*($Z131*4)+'LINEST VARS'!$E$70*($Z131*0.5)+'LINEST VARS'!$D$70*($Z131*12.73)+'LINEST VARS'!$C$70*(4*0.5)+'LINEST VARS'!$B$70*(4*12.73)+'LINEST VARS'!$A$70*(0.5*12.73)</f>
        <v>87.280000000000015</v>
      </c>
      <c r="AK131" s="46">
        <f>'LINEST VARS'!$U$70+'LINEST VARS'!$T$70*($AK$128)+'LINEST VARS'!$S$70*($Z131)+'LINEST VARS'!$R$70*(4)+'LINEST VARS'!$Q$70*(0.5)+'LINEST VARS'!$P$70*(12.73)+'LINEST VARS'!$O$70*($AK$128^2)+'LINEST VARS'!$N$70*($Z131^2)+'LINEST VARS'!$M$70*(4^2)+'LINEST VARS'!$L$70*(0.5^2)+'LINEST VARS'!$K$70*(12.73^2)+'LINEST VARS'!$J$70*($AK$128*$Z131)+'LINEST VARS'!$I$70*($AK$128*4)+'LINEST VARS'!$H$70*($AK$128*0.5)+'LINEST VARS'!$G$70*($AK$128*12.73)+'LINEST VARS'!$F$70*($Z131*4)+'LINEST VARS'!$E$70*($Z131*0.5)+'LINEST VARS'!$D$70*($Z131*12.73)+'LINEST VARS'!$C$70*(4*0.5)+'LINEST VARS'!$B$70*(4*12.73)+'LINEST VARS'!$A$70*(0.5*12.73)</f>
        <v>87.280000000000015</v>
      </c>
      <c r="AL131" s="46">
        <f>'LINEST VARS'!$U$70+'LINEST VARS'!$T$70*($AL$128)+'LINEST VARS'!$S$70*($Z131)+'LINEST VARS'!$R$70*(4)+'LINEST VARS'!$Q$70*(0.5)+'LINEST VARS'!$P$70*(12.73)+'LINEST VARS'!$O$70*($AL$128^2)+'LINEST VARS'!$N$70*($Z131^2)+'LINEST VARS'!$M$70*(4^2)+'LINEST VARS'!$L$70*(0.5^2)+'LINEST VARS'!$K$70*(12.73^2)+'LINEST VARS'!$J$70*($AL$128*$Z131)+'LINEST VARS'!$I$70*($AL$128*4)+'LINEST VARS'!$H$70*($AL$128*0.5)+'LINEST VARS'!$G$70*($AL$128*12.73)+'LINEST VARS'!$F$70*($Z131*4)+'LINEST VARS'!$E$70*($Z131*0.5)+'LINEST VARS'!$D$70*($Z131*12.73)+'LINEST VARS'!$C$70*(4*0.5)+'LINEST VARS'!$B$70*(4*12.73)+'LINEST VARS'!$A$70*(0.5*12.73)</f>
        <v>87.280000000000015</v>
      </c>
      <c r="AM131" s="46">
        <f>'LINEST VARS'!$U$70+'LINEST VARS'!$T$70*($AM$128)+'LINEST VARS'!$S$70*($Z131)+'LINEST VARS'!$R$70*(4)+'LINEST VARS'!$Q$70*(0.5)+'LINEST VARS'!$P$70*(12.73)+'LINEST VARS'!$O$70*($AM$128^2)+'LINEST VARS'!$N$70*($Z131^2)+'LINEST VARS'!$M$70*(4^2)+'LINEST VARS'!$L$70*(0.5^2)+'LINEST VARS'!$K$70*(12.73^2)+'LINEST VARS'!$J$70*($AM$128*$Z131)+'LINEST VARS'!$I$70*($AM$128*4)+'LINEST VARS'!$H$70*($AM$128*0.5)+'LINEST VARS'!$G$70*($AM$128*12.73)+'LINEST VARS'!$F$70*($Z131*4)+'LINEST VARS'!$E$70*($Z131*0.5)+'LINEST VARS'!$D$70*($Z131*12.73)+'LINEST VARS'!$C$70*(4*0.5)+'LINEST VARS'!$B$70*(4*12.73)+'LINEST VARS'!$A$70*(0.5*12.73)</f>
        <v>87.280000000000015</v>
      </c>
      <c r="AN131" s="46">
        <f>'LINEST VARS'!$U$70+'LINEST VARS'!$T$70*($AN$128)+'LINEST VARS'!$S$70*($Z131)+'LINEST VARS'!$R$70*(4)+'LINEST VARS'!$Q$70*(0.5)+'LINEST VARS'!$P$70*(12.73)+'LINEST VARS'!$O$70*($AN$128^2)+'LINEST VARS'!$N$70*($Z131^2)+'LINEST VARS'!$M$70*(4^2)+'LINEST VARS'!$L$70*(0.5^2)+'LINEST VARS'!$K$70*(12.73^2)+'LINEST VARS'!$J$70*($AN$128*$Z131)+'LINEST VARS'!$I$70*($AN$128*4)+'LINEST VARS'!$H$70*($AN$128*0.5)+'LINEST VARS'!$G$70*($AN$128*12.73)+'LINEST VARS'!$F$70*($Z131*4)+'LINEST VARS'!$E$70*($Z131*0.5)+'LINEST VARS'!$D$70*($Z131*12.73)+'LINEST VARS'!$C$70*(4*0.5)+'LINEST VARS'!$B$70*(4*12.73)+'LINEST VARS'!$A$70*(0.5*12.73)</f>
        <v>87.280000000000015</v>
      </c>
      <c r="AO131" s="46">
        <f>'LINEST VARS'!$U$70+'LINEST VARS'!$T$70*($AO$128)+'LINEST VARS'!$S$70*($Z131)+'LINEST VARS'!$R$70*(4)+'LINEST VARS'!$Q$70*(0.5)+'LINEST VARS'!$P$70*(12.73)+'LINEST VARS'!$O$70*($AO$128^2)+'LINEST VARS'!$N$70*($Z131^2)+'LINEST VARS'!$M$70*(4^2)+'LINEST VARS'!$L$70*(0.5^2)+'LINEST VARS'!$K$70*(12.73^2)+'LINEST VARS'!$J$70*($AO$128*$Z131)+'LINEST VARS'!$I$70*($AO$128*4)+'LINEST VARS'!$H$70*($AO$128*0.5)+'LINEST VARS'!$G$70*($AO$128*12.73)+'LINEST VARS'!$F$70*($Z131*4)+'LINEST VARS'!$E$70*($Z131*0.5)+'LINEST VARS'!$D$70*($Z131*12.73)+'LINEST VARS'!$C$70*(4*0.5)+'LINEST VARS'!$B$70*(4*12.73)+'LINEST VARS'!$A$70*(0.5*12.73)</f>
        <v>87.280000000000015</v>
      </c>
      <c r="AP131" s="46">
        <f>'LINEST VARS'!$U$70+'LINEST VARS'!$T$70*($AP$128)+'LINEST VARS'!$S$70*($Z131)+'LINEST VARS'!$R$70*(4)+'LINEST VARS'!$Q$70*(0.5)+'LINEST VARS'!$P$70*(12.73)+'LINEST VARS'!$O$70*($AP$128^2)+'LINEST VARS'!$N$70*($Z131^2)+'LINEST VARS'!$M$70*(4^2)+'LINEST VARS'!$L$70*(0.5^2)+'LINEST VARS'!$K$70*(12.73^2)+'LINEST VARS'!$J$70*($AP$128*$Z131)+'LINEST VARS'!$I$70*($AP$128*4)+'LINEST VARS'!$H$70*($AP$128*0.5)+'LINEST VARS'!$G$70*($AP$128*12.73)+'LINEST VARS'!$F$70*($Z131*4)+'LINEST VARS'!$E$70*($Z131*0.5)+'LINEST VARS'!$D$70*($Z131*12.73)+'LINEST VARS'!$C$70*(4*0.5)+'LINEST VARS'!$B$70*(4*12.73)+'LINEST VARS'!$A$70*(0.5*12.73)</f>
        <v>87.280000000000015</v>
      </c>
      <c r="AQ131" s="46">
        <f>'LINEST VARS'!$U$70+'LINEST VARS'!$T$70*($AQ$128)+'LINEST VARS'!$S$70*($Z131)+'LINEST VARS'!$R$70*(4)+'LINEST VARS'!$Q$70*(0.5)+'LINEST VARS'!$P$70*(12.73)+'LINEST VARS'!$O$70*($AQ$128^2)+'LINEST VARS'!$N$70*($Z131^2)+'LINEST VARS'!$M$70*(4^2)+'LINEST VARS'!$L$70*(0.5^2)+'LINEST VARS'!$K$70*(12.73^2)+'LINEST VARS'!$J$70*($AQ$128*$Z131)+'LINEST VARS'!$I$70*($AQ$128*4)+'LINEST VARS'!$H$70*($AQ$128*0.5)+'LINEST VARS'!$G$70*($AQ$128*12.73)+'LINEST VARS'!$F$70*($Z131*4)+'LINEST VARS'!$E$70*($Z131*0.5)+'LINEST VARS'!$D$70*($Z131*12.73)+'LINEST VARS'!$C$70*(4*0.5)+'LINEST VARS'!$B$70*(4*12.73)+'LINEST VARS'!$A$70*(0.5*12.73)</f>
        <v>87.280000000000015</v>
      </c>
      <c r="AR131" s="46">
        <f>'LINEST VARS'!$U$70+'LINEST VARS'!$T$70*($AR$128)+'LINEST VARS'!$S$70*($Z131)+'LINEST VARS'!$R$70*(4)+'LINEST VARS'!$Q$70*(0.5)+'LINEST VARS'!$P$70*(12.73)+'LINEST VARS'!$O$70*($AR$128^2)+'LINEST VARS'!$N$70*($Z131^2)+'LINEST VARS'!$M$70*(4^2)+'LINEST VARS'!$L$70*(0.5^2)+'LINEST VARS'!$K$70*(12.73^2)+'LINEST VARS'!$J$70*($AR$128*$Z131)+'LINEST VARS'!$I$70*($AR$128*4)+'LINEST VARS'!$H$70*($AR$128*0.5)+'LINEST VARS'!$G$70*($AR$128*12.73)+'LINEST VARS'!$F$70*($Z131*4)+'LINEST VARS'!$E$70*($Z131*0.5)+'LINEST VARS'!$D$70*($Z131*12.73)+'LINEST VARS'!$C$70*(4*0.5)+'LINEST VARS'!$B$70*(4*12.73)+'LINEST VARS'!$A$70*(0.5*12.73)</f>
        <v>87.280000000000015</v>
      </c>
      <c r="AS131" s="46">
        <f>'LINEST VARS'!$U$70+'LINEST VARS'!$T$70*($AS$128)+'LINEST VARS'!$S$70*($Z131)+'LINEST VARS'!$R$70*(4)+'LINEST VARS'!$Q$70*(0.5)+'LINEST VARS'!$P$70*(12.73)+'LINEST VARS'!$O$70*($AS$128^2)+'LINEST VARS'!$N$70*($Z131^2)+'LINEST VARS'!$M$70*(4^2)+'LINEST VARS'!$L$70*(0.5^2)+'LINEST VARS'!$K$70*(12.73^2)+'LINEST VARS'!$J$70*($AS$128*$Z131)+'LINEST VARS'!$I$70*($AS$128*4)+'LINEST VARS'!$H$70*($AS$128*0.5)+'LINEST VARS'!$G$70*($AS$128*12.73)+'LINEST VARS'!$F$70*($Z131*4)+'LINEST VARS'!$E$70*($Z131*0.5)+'LINEST VARS'!$D$70*($Z131*12.73)+'LINEST VARS'!$C$70*(4*0.5)+'LINEST VARS'!$B$70*(4*12.73)+'LINEST VARS'!$A$70*(0.5*12.73)</f>
        <v>87.280000000000015</v>
      </c>
      <c r="AT131" s="46">
        <f>'LINEST VARS'!$U$70+'LINEST VARS'!$T$70*($AT$128)+'LINEST VARS'!$S$70*($Z131)+'LINEST VARS'!$R$70*(4)+'LINEST VARS'!$Q$70*(0.5)+'LINEST VARS'!$P$70*(12.73)+'LINEST VARS'!$O$70*($AT$128^2)+'LINEST VARS'!$N$70*($Z131^2)+'LINEST VARS'!$M$70*(4^2)+'LINEST VARS'!$L$70*(0.5^2)+'LINEST VARS'!$K$70*(12.73^2)+'LINEST VARS'!$J$70*($AT$128*$Z131)+'LINEST VARS'!$I$70*($AT$128*4)+'LINEST VARS'!$H$70*($AT$128*0.5)+'LINEST VARS'!$G$70*($AT$128*12.73)+'LINEST VARS'!$F$70*($Z131*4)+'LINEST VARS'!$E$70*($Z131*0.5)+'LINEST VARS'!$D$70*($Z131*12.73)+'LINEST VARS'!$C$70*(4*0.5)+'LINEST VARS'!$B$70*(4*12.73)+'LINEST VARS'!$A$70*(0.5*12.73)</f>
        <v>87.280000000000015</v>
      </c>
      <c r="AU131" s="47">
        <f>'LINEST VARS'!$U$70+'LINEST VARS'!$T$70*($AU$128)+'LINEST VARS'!$S$70*($Z131)+'LINEST VARS'!$R$70*(4)+'LINEST VARS'!$Q$70*(0.5)+'LINEST VARS'!$P$70*(12.73)+'LINEST VARS'!$O$70*($AU$128^2)+'LINEST VARS'!$N$70*($Z131^2)+'LINEST VARS'!$M$70*(4^2)+'LINEST VARS'!$L$70*(0.5^2)+'LINEST VARS'!$K$70*(12.73^2)+'LINEST VARS'!$J$70*($AU$128*$Z131)+'LINEST VARS'!$I$70*($AU$128*4)+'LINEST VARS'!$H$70*($AU$128*0.5)+'LINEST VARS'!$G$70*($AU$128*12.73)+'LINEST VARS'!$F$70*($Z131*4)+'LINEST VARS'!$E$70*($Z131*0.5)+'LINEST VARS'!$D$70*($Z131*12.73)+'LINEST VARS'!$C$70*(4*0.5)+'LINEST VARS'!$B$70*(4*12.73)+'LINEST VARS'!$A$70*(0.5*12.73)</f>
        <v>87.280000000000015</v>
      </c>
      <c r="AZ131" s="45">
        <v>0.1</v>
      </c>
      <c r="BA131" s="46">
        <f>'LINEST VARS'!$U$68+'LINEST VARS'!$T$68*(8)+'LINEST VARS'!$S$68*(8)+'LINEST VARS'!$R$68*($BA$128)+'LINEST VARS'!$Q$68*($AZ131)+'LINEST VARS'!$P$68*(12.73)+'LINEST VARS'!$O$68*(8^2)+'LINEST VARS'!$N$68*(8^2)+'LINEST VARS'!$M$68*($BA$128^2)+'LINEST VARS'!$L$68*($AZ131^2)+'LINEST VARS'!$K$68*(12.73^2)+'LINEST VARS'!$J$68*(8*8)+'LINEST VARS'!$I$68*(8*$BA$128)+'LINEST VARS'!$H$68*(8*$AZ131)+'LINEST VARS'!$G$68*(8*12.73)+'LINEST VARS'!$F$68*(8*$BA$128)+'LINEST VARS'!$E$68*(8*$AZ131)+'LINEST VARS'!$D$68*(8*12.73)+'LINEST VARS'!$C$68*($BA$128*$AZ131)+'LINEST VARS'!$B$68*($BA$128*12.73)+'LINEST VARS'!$A$68*($AZ131*12.73)</f>
        <v>149.96</v>
      </c>
      <c r="BB131" s="46">
        <f>'LINEST VARS'!$U$68+'LINEST VARS'!$T$68*(8)+'LINEST VARS'!$S$68*(8)+'LINEST VARS'!$R$68*($BB$128)+'LINEST VARS'!$Q$68*($AZ131)+'LINEST VARS'!$P$68*(12.73)+'LINEST VARS'!$O$68*(8^2)+'LINEST VARS'!$N$68*(8^2)+'LINEST VARS'!$M$68*($BB$128^2)+'LINEST VARS'!$L$68*($AZ131^2)+'LINEST VARS'!$K$68*(12.73^2)+'LINEST VARS'!$J$68*(8*8)+'LINEST VARS'!$I$68*(8*$BB$128)+'LINEST VARS'!$H$68*(8*$AZ131)+'LINEST VARS'!$G$68*(8*12.73)+'LINEST VARS'!$F$68*(8*$BB$128)+'LINEST VARS'!$E$68*(8*$AZ131)+'LINEST VARS'!$D$68*(8*12.73)+'LINEST VARS'!$C$68*($BB$128*$AZ131)+'LINEST VARS'!$B$68*($BB$128*12.73)+'LINEST VARS'!$A$68*($AZ131*12.73)</f>
        <v>149.96</v>
      </c>
      <c r="BC131" s="46">
        <f>'LINEST VARS'!$U$68+'LINEST VARS'!$T$68*(8)+'LINEST VARS'!$S$68*(8)+'LINEST VARS'!$R$68*($BC$128)+'LINEST VARS'!$Q$68*($AZ131)+'LINEST VARS'!$P$68*(12.73)+'LINEST VARS'!$O$68*(8^2)+'LINEST VARS'!$N$68*(8^2)+'LINEST VARS'!$M$68*($BC$128^2)+'LINEST VARS'!$L$68*($AZ131^2)+'LINEST VARS'!$K$68*(12.73^2)+'LINEST VARS'!$J$68*(8*8)+'LINEST VARS'!$I$68*(8*$BC$128)+'LINEST VARS'!$H$68*(8*$AZ131)+'LINEST VARS'!$G$68*(8*12.73)+'LINEST VARS'!$F$68*(8*$BC$128)+'LINEST VARS'!$E$68*(8*$AZ131)+'LINEST VARS'!$D$68*(8*12.73)+'LINEST VARS'!$C$68*($BC$128*$AZ131)+'LINEST VARS'!$B$68*($BC$128*12.73)+'LINEST VARS'!$A$68*($AZ131*12.73)</f>
        <v>149.96</v>
      </c>
      <c r="BD131" s="46">
        <f>'LINEST VARS'!$U$68+'LINEST VARS'!$T$68*(8)+'LINEST VARS'!$S$68*(8)+'LINEST VARS'!$R$68*($BD$128)+'LINEST VARS'!$Q$68*($AZ131)+'LINEST VARS'!$P$68*(12.73)+'LINEST VARS'!$O$68*(8^2)+'LINEST VARS'!$N$68*(8^2)+'LINEST VARS'!$M$68*($BD$128^2)+'LINEST VARS'!$L$68*($AZ131^2)+'LINEST VARS'!$K$68*(12.73^2)+'LINEST VARS'!$J$68*(8*8)+'LINEST VARS'!$I$68*(8*$BD$128)+'LINEST VARS'!$H$68*(8*$AZ131)+'LINEST VARS'!$G$68*(8*12.73)+'LINEST VARS'!$F$68*(8*$BD$128)+'LINEST VARS'!$E$68*(8*$AZ131)+'LINEST VARS'!$D$68*(8*12.73)+'LINEST VARS'!$C$68*($BD$128*$AZ131)+'LINEST VARS'!$B$68*($BD$128*12.73)+'LINEST VARS'!$A$68*($AZ131*12.73)</f>
        <v>149.96</v>
      </c>
      <c r="BE131" s="46">
        <f>'LINEST VARS'!$U$68+'LINEST VARS'!$T$68*(8)+'LINEST VARS'!$S$68*(8)+'LINEST VARS'!$R$68*($BE$128)+'LINEST VARS'!$Q$68*($AZ131)+'LINEST VARS'!$P$68*(12.73)+'LINEST VARS'!$O$68*(8^2)+'LINEST VARS'!$N$68*(8^2)+'LINEST VARS'!$M$68*($BE$128^2)+'LINEST VARS'!$L$68*($AZ131^2)+'LINEST VARS'!$K$68*(12.73^2)+'LINEST VARS'!$J$68*(8*8)+'LINEST VARS'!$I$68*(8*$BE$128)+'LINEST VARS'!$H$68*(8*$AZ131)+'LINEST VARS'!$G$68*(8*12.73)+'LINEST VARS'!$F$68*(8*$BE$128)+'LINEST VARS'!$E$68*(8*$AZ131)+'LINEST VARS'!$D$68*(8*12.73)+'LINEST VARS'!$C$68*($BE$128*$AZ131)+'LINEST VARS'!$B$68*($BE$128*12.73)+'LINEST VARS'!$A$68*($AZ131*12.73)</f>
        <v>149.96</v>
      </c>
      <c r="BF131" s="46">
        <f>'LINEST VARS'!$U$68+'LINEST VARS'!$T$68*(8)+'LINEST VARS'!$S$68*(8)+'LINEST VARS'!$R$68*($BF$128)+'LINEST VARS'!$Q$68*($AZ131)+'LINEST VARS'!$P$68*(12.73)+'LINEST VARS'!$O$68*(8^2)+'LINEST VARS'!$N$68*(8^2)+'LINEST VARS'!$M$68*($BF$128^2)+'LINEST VARS'!$L$68*($AZ131^2)+'LINEST VARS'!$K$68*(12.73^2)+'LINEST VARS'!$J$68*(8*8)+'LINEST VARS'!$I$68*(8*$BF$128)+'LINEST VARS'!$H$68*(8*$AZ131)+'LINEST VARS'!$G$68*(8*12.73)+'LINEST VARS'!$F$68*(8*$BF$128)+'LINEST VARS'!$E$68*(8*$AZ131)+'LINEST VARS'!$D$68*(8*12.73)+'LINEST VARS'!$C$68*($BF$128*$AZ131)+'LINEST VARS'!$B$68*($BF$128*12.73)+'LINEST VARS'!$A$68*($AZ131*12.73)</f>
        <v>149.96</v>
      </c>
      <c r="BG131" s="46">
        <f>'LINEST VARS'!$U$68+'LINEST VARS'!$T$68*(8)+'LINEST VARS'!$S$68*(8)+'LINEST VARS'!$R$68*($BG$128)+'LINEST VARS'!$Q$68*($AZ131)+'LINEST VARS'!$P$68*(12.73)+'LINEST VARS'!$O$68*(8^2)+'LINEST VARS'!$N$68*(8^2)+'LINEST VARS'!$M$68*($BG$128^2)+'LINEST VARS'!$L$68*($AZ131^2)+'LINEST VARS'!$K$68*(12.73^2)+'LINEST VARS'!$J$68*(8*8)+'LINEST VARS'!$I$68*(8*$BG$128)+'LINEST VARS'!$H$68*(8*$AZ131)+'LINEST VARS'!$G$68*(8*12.73)+'LINEST VARS'!$F$68*(8*$BG$128)+'LINEST VARS'!$E$68*(8*$AZ131)+'LINEST VARS'!$D$68*(8*12.73)+'LINEST VARS'!$C$68*($BG$128*$AZ131)+'LINEST VARS'!$B$68*($BG$128*12.73)+'LINEST VARS'!$A$68*($AZ131*12.73)</f>
        <v>149.96</v>
      </c>
      <c r="BH131" s="46">
        <f>'LINEST VARS'!$U$68+'LINEST VARS'!$T$68*(8)+'LINEST VARS'!$S$68*(8)+'LINEST VARS'!$R$68*($BH$128)+'LINEST VARS'!$Q$68*($AZ131)+'LINEST VARS'!$P$68*(12.73)+'LINEST VARS'!$O$68*(8^2)+'LINEST VARS'!$N$68*(8^2)+'LINEST VARS'!$M$68*($BH$128^2)+'LINEST VARS'!$L$68*($AZ131^2)+'LINEST VARS'!$K$68*(12.73^2)+'LINEST VARS'!$J$68*(8*8)+'LINEST VARS'!$I$68*(8*$BH$128)+'LINEST VARS'!$H$68*(8*$AZ131)+'LINEST VARS'!$G$68*(8*12.73)+'LINEST VARS'!$F$68*(8*$BH$128)+'LINEST VARS'!$E$68*(8*$AZ131)+'LINEST VARS'!$D$68*(8*12.73)+'LINEST VARS'!$C$68*($BH$128*$AZ131)+'LINEST VARS'!$B$68*($BH$128*12.73)+'LINEST VARS'!$A$68*($AZ131*12.73)</f>
        <v>149.96</v>
      </c>
      <c r="BI131" s="46">
        <f>'LINEST VARS'!$U$68+'LINEST VARS'!$T$68*(8)+'LINEST VARS'!$S$68*(8)+'LINEST VARS'!$R$68*($BI$128)+'LINEST VARS'!$Q$68*($AZ131)+'LINEST VARS'!$P$68*(12.73)+'LINEST VARS'!$O$68*(8^2)+'LINEST VARS'!$N$68*(8^2)+'LINEST VARS'!$M$68*($BI$128^2)+'LINEST VARS'!$L$68*($AZ131^2)+'LINEST VARS'!$K$68*(12.73^2)+'LINEST VARS'!$J$68*(8*8)+'LINEST VARS'!$I$68*(8*$BI$128)+'LINEST VARS'!$H$68*(8*$AZ131)+'LINEST VARS'!$G$68*(8*12.73)+'LINEST VARS'!$F$68*(8*$BI$128)+'LINEST VARS'!$E$68*(8*$AZ131)+'LINEST VARS'!$D$68*(8*12.73)+'LINEST VARS'!$C$68*($BI$128*$AZ131)+'LINEST VARS'!$B$68*($BI$128*12.73)+'LINEST VARS'!$A$68*($AZ131*12.73)</f>
        <v>149.96</v>
      </c>
      <c r="BJ131" s="46">
        <f>'LINEST VARS'!$U$68+'LINEST VARS'!$T$68*(8)+'LINEST VARS'!$S$68*(8)+'LINEST VARS'!$R$68*($BJ$128)+'LINEST VARS'!$Q$68*($AZ131)+'LINEST VARS'!$P$68*(12.73)+'LINEST VARS'!$O$68*(8^2)+'LINEST VARS'!$N$68*(8^2)+'LINEST VARS'!$M$68*($BJ$128^2)+'LINEST VARS'!$L$68*($AZ131^2)+'LINEST VARS'!$K$68*(12.73^2)+'LINEST VARS'!$J$68*(8*8)+'LINEST VARS'!$I$68*(8*$BJ$128)+'LINEST VARS'!$H$68*(8*$AZ131)+'LINEST VARS'!$G$68*(8*12.73)+'LINEST VARS'!$F$68*(8*$BJ$128)+'LINEST VARS'!$E$68*(8*$AZ131)+'LINEST VARS'!$D$68*(8*12.73)+'LINEST VARS'!$C$68*($BJ$128*$AZ131)+'LINEST VARS'!$B$68*($BJ$128*12.73)+'LINEST VARS'!$A$68*($AZ131*12.73)</f>
        <v>149.96</v>
      </c>
      <c r="BK131" s="46">
        <f>'LINEST VARS'!$U$68+'LINEST VARS'!$T$68*(8)+'LINEST VARS'!$S$68*(8)+'LINEST VARS'!$R$68*($BK$128)+'LINEST VARS'!$Q$68*($AZ131)+'LINEST VARS'!$P$68*(12.73)+'LINEST VARS'!$O$68*(8^2)+'LINEST VARS'!$N$68*(8^2)+'LINEST VARS'!$M$68*($BK$128^2)+'LINEST VARS'!$L$68*($AZ131^2)+'LINEST VARS'!$K$68*(12.73^2)+'LINEST VARS'!$J$68*(8*8)+'LINEST VARS'!$I$68*(8*$BK$128)+'LINEST VARS'!$H$68*(8*$AZ131)+'LINEST VARS'!$G$68*(8*12.73)+'LINEST VARS'!$F$68*(8*$BK$128)+'LINEST VARS'!$E$68*(8*$AZ131)+'LINEST VARS'!$D$68*(8*12.73)+'LINEST VARS'!$C$68*($BK$128*$AZ131)+'LINEST VARS'!$B$68*($BK$128*12.73)+'LINEST VARS'!$A$68*($AZ131*12.73)</f>
        <v>149.96</v>
      </c>
      <c r="BL131" s="46">
        <f>'LINEST VARS'!$U$68+'LINEST VARS'!$T$68*(8)+'LINEST VARS'!$S$68*(8)+'LINEST VARS'!$R$68*($BL$128)+'LINEST VARS'!$Q$68*($AZ131)+'LINEST VARS'!$P$68*(12.73)+'LINEST VARS'!$O$68*(8^2)+'LINEST VARS'!$N$68*(8^2)+'LINEST VARS'!$M$68*($BL$128^2)+'LINEST VARS'!$L$68*($AZ131^2)+'LINEST VARS'!$K$68*(12.73^2)+'LINEST VARS'!$J$68*(8*8)+'LINEST VARS'!$I$68*(8*$BL$128)+'LINEST VARS'!$H$68*(8*$AZ131)+'LINEST VARS'!$G$68*(8*12.73)+'LINEST VARS'!$F$68*(8*$BL$128)+'LINEST VARS'!$E$68*(8*$AZ131)+'LINEST VARS'!$D$68*(8*12.73)+'LINEST VARS'!$C$68*($BL$128*$AZ131)+'LINEST VARS'!$B$68*($BL$128*12.73)+'LINEST VARS'!$A$68*($AZ131*12.73)</f>
        <v>149.96</v>
      </c>
      <c r="BM131" s="46">
        <f>'LINEST VARS'!$U$68+'LINEST VARS'!$T$68*(8)+'LINEST VARS'!$S$68*(8)+'LINEST VARS'!$R$68*($BM$128)+'LINEST VARS'!$Q$68*($AZ131)+'LINEST VARS'!$P$68*(12.73)+'LINEST VARS'!$O$68*(8^2)+'LINEST VARS'!$N$68*(8^2)+'LINEST VARS'!$M$68*($BM$128^2)+'LINEST VARS'!$L$68*($AZ131^2)+'LINEST VARS'!$K$68*(12.73^2)+'LINEST VARS'!$J$68*(8*8)+'LINEST VARS'!$I$68*(8*$BM$128)+'LINEST VARS'!$H$68*(8*$AZ131)+'LINEST VARS'!$G$68*(8*12.73)+'LINEST VARS'!$F$68*(8*$BM$128)+'LINEST VARS'!$E$68*(8*$AZ131)+'LINEST VARS'!$D$68*(8*12.73)+'LINEST VARS'!$C$68*($BM$128*$AZ131)+'LINEST VARS'!$B$68*($BM$128*12.73)+'LINEST VARS'!$A$68*($AZ131*12.73)</f>
        <v>149.96</v>
      </c>
      <c r="BN131" s="46">
        <f>'LINEST VARS'!$U$68+'LINEST VARS'!$T$68*(8)+'LINEST VARS'!$S$68*(8)+'LINEST VARS'!$R$68*($BN$128)+'LINEST VARS'!$Q$68*($AZ131)+'LINEST VARS'!$P$68*(12.73)+'LINEST VARS'!$O$68*(8^2)+'LINEST VARS'!$N$68*(8^2)+'LINEST VARS'!$M$68*($BN$128^2)+'LINEST VARS'!$L$68*($AZ131^2)+'LINEST VARS'!$K$68*(12.73^2)+'LINEST VARS'!$J$68*(8*8)+'LINEST VARS'!$I$68*(8*$BN$128)+'LINEST VARS'!$H$68*(8*$AZ131)+'LINEST VARS'!$G$68*(8*12.73)+'LINEST VARS'!$F$68*(8*$BN$128)+'LINEST VARS'!$E$68*(8*$AZ131)+'LINEST VARS'!$D$68*(8*12.73)+'LINEST VARS'!$C$68*($BN$128*$AZ131)+'LINEST VARS'!$B$68*($BN$128*12.73)+'LINEST VARS'!$A$68*($AZ131*12.73)</f>
        <v>149.96</v>
      </c>
      <c r="BO131" s="46">
        <f>'LINEST VARS'!$U$68+'LINEST VARS'!$T$68*(8)+'LINEST VARS'!$S$68*(8)+'LINEST VARS'!$R$68*($BO$128)+'LINEST VARS'!$Q$68*($AZ131)+'LINEST VARS'!$P$68*(12.73)+'LINEST VARS'!$O$68*(8^2)+'LINEST VARS'!$N$68*(8^2)+'LINEST VARS'!$M$68*($BO$128^2)+'LINEST VARS'!$L$68*($AZ131^2)+'LINEST VARS'!$K$68*(12.73^2)+'LINEST VARS'!$J$68*(8*8)+'LINEST VARS'!$I$68*(8*$BO$128)+'LINEST VARS'!$H$68*(8*$AZ131)+'LINEST VARS'!$G$68*(8*12.73)+'LINEST VARS'!$F$68*(8*$BO$128)+'LINEST VARS'!$E$68*(8*$AZ131)+'LINEST VARS'!$D$68*(8*12.73)+'LINEST VARS'!$C$68*($BO$128*$AZ131)+'LINEST VARS'!$B$68*($BO$128*12.73)+'LINEST VARS'!$A$68*($AZ131*12.73)</f>
        <v>149.96</v>
      </c>
      <c r="BP131" s="46">
        <f>'LINEST VARS'!$U$68+'LINEST VARS'!$T$68*(8)+'LINEST VARS'!$S$68*(8)+'LINEST VARS'!$R$68*($BP$128)+'LINEST VARS'!$Q$68*($AZ131)+'LINEST VARS'!$P$68*(12.73)+'LINEST VARS'!$O$68*(8^2)+'LINEST VARS'!$N$68*(8^2)+'LINEST VARS'!$M$68*($BP$128^2)+'LINEST VARS'!$L$68*($AZ131^2)+'LINEST VARS'!$K$68*(12.73^2)+'LINEST VARS'!$J$68*(8*8)+'LINEST VARS'!$I$68*(8*$BP$128)+'LINEST VARS'!$H$68*(8*$AZ131)+'LINEST VARS'!$G$68*(8*12.73)+'LINEST VARS'!$F$68*(8*$BP$128)+'LINEST VARS'!$E$68*(8*$AZ131)+'LINEST VARS'!$D$68*(8*12.73)+'LINEST VARS'!$C$68*($BP$128*$AZ131)+'LINEST VARS'!$B$68*($BP$128*12.73)+'LINEST VARS'!$A$68*($AZ131*12.73)</f>
        <v>149.96</v>
      </c>
      <c r="BQ131" s="46">
        <f>'LINEST VARS'!$U$68+'LINEST VARS'!$T$68*(8)+'LINEST VARS'!$S$68*(8)+'LINEST VARS'!$R$68*($BQ$128)+'LINEST VARS'!$Q$68*($AZ131)+'LINEST VARS'!$P$68*(12.73)+'LINEST VARS'!$O$68*(8^2)+'LINEST VARS'!$N$68*(8^2)+'LINEST VARS'!$M$68*($BQ$128^2)+'LINEST VARS'!$L$68*($AZ131^2)+'LINEST VARS'!$K$68*(12.73^2)+'LINEST VARS'!$J$68*(8*8)+'LINEST VARS'!$I$68*(8*$BQ$128)+'LINEST VARS'!$H$68*(8*$AZ131)+'LINEST VARS'!$G$68*(8*12.73)+'LINEST VARS'!$F$68*(8*$BQ$128)+'LINEST VARS'!$E$68*(8*$AZ131)+'LINEST VARS'!$D$68*(8*12.73)+'LINEST VARS'!$C$68*($BQ$128*$AZ131)+'LINEST VARS'!$B$68*($BQ$128*12.73)+'LINEST VARS'!$A$68*($AZ131*12.73)</f>
        <v>149.96</v>
      </c>
      <c r="BR131" s="46">
        <f>'LINEST VARS'!$U$68+'LINEST VARS'!$T$68*(8)+'LINEST VARS'!$S$68*(8)+'LINEST VARS'!$R$68*($BR$128)+'LINEST VARS'!$Q$68*($AZ131)+'LINEST VARS'!$P$68*(12.73)+'LINEST VARS'!$O$68*(8^2)+'LINEST VARS'!$N$68*(8^2)+'LINEST VARS'!$M$68*($BR$128^2)+'LINEST VARS'!$L$68*($AZ131^2)+'LINEST VARS'!$K$68*(12.73^2)+'LINEST VARS'!$J$68*(8*8)+'LINEST VARS'!$I$68*(8*$BR$128)+'LINEST VARS'!$H$68*(8*$AZ131)+'LINEST VARS'!$G$68*(8*12.73)+'LINEST VARS'!$F$68*(8*$BR$128)+'LINEST VARS'!$E$68*(8*$AZ131)+'LINEST VARS'!$D$68*(8*12.73)+'LINEST VARS'!$C$68*($BR$128*$AZ131)+'LINEST VARS'!$B$68*($BR$128*12.73)+'LINEST VARS'!$A$68*($AZ131*12.73)</f>
        <v>149.96</v>
      </c>
      <c r="BS131" s="46">
        <f>'LINEST VARS'!$U$68+'LINEST VARS'!$T$68*(8)+'LINEST VARS'!$S$68*(8)+'LINEST VARS'!$R$68*($BS$128)+'LINEST VARS'!$Q$68*($AZ131)+'LINEST VARS'!$P$68*(12.73)+'LINEST VARS'!$O$68*(8^2)+'LINEST VARS'!$N$68*(8^2)+'LINEST VARS'!$M$68*($BS$128^2)+'LINEST VARS'!$L$68*($AZ131^2)+'LINEST VARS'!$K$68*(12.73^2)+'LINEST VARS'!$J$68*(8*8)+'LINEST VARS'!$I$68*(8*$BS$128)+'LINEST VARS'!$H$68*(8*$AZ131)+'LINEST VARS'!$G$68*(8*12.73)+'LINEST VARS'!$F$68*(8*$BS$128)+'LINEST VARS'!$E$68*(8*$AZ131)+'LINEST VARS'!$D$68*(8*12.73)+'LINEST VARS'!$C$68*($BS$128*$AZ131)+'LINEST VARS'!$B$68*($BS$128*12.73)+'LINEST VARS'!$A$68*($AZ131*12.73)</f>
        <v>149.96</v>
      </c>
      <c r="BT131" s="46">
        <f>'LINEST VARS'!$U$68+'LINEST VARS'!$T$68*(8)+'LINEST VARS'!$S$68*(8)+'LINEST VARS'!$R$68*($BT$128)+'LINEST VARS'!$Q$68*($AZ131)+'LINEST VARS'!$P$68*(12.73)+'LINEST VARS'!$O$68*(8^2)+'LINEST VARS'!$N$68*(8^2)+'LINEST VARS'!$M$68*($BT$128^2)+'LINEST VARS'!$L$68*($AZ131^2)+'LINEST VARS'!$K$68*(12.73^2)+'LINEST VARS'!$J$68*(8*8)+'LINEST VARS'!$I$68*(8*$BT$128)+'LINEST VARS'!$H$68*(8*$AZ131)+'LINEST VARS'!$G$68*(8*12.73)+'LINEST VARS'!$F$68*(8*$BT$128)+'LINEST VARS'!$E$68*(8*$AZ131)+'LINEST VARS'!$D$68*(8*12.73)+'LINEST VARS'!$C$68*($BT$128*$AZ131)+'LINEST VARS'!$B$68*($BT$128*12.73)+'LINEST VARS'!$A$68*($AZ131*12.73)</f>
        <v>149.96</v>
      </c>
      <c r="BU131" s="47">
        <f>'LINEST VARS'!$U$68+'LINEST VARS'!$T$68*(8)+'LINEST VARS'!$S$68*(8)+'LINEST VARS'!$R$68*($BU$128)+'LINEST VARS'!$Q$68*($AZ131)+'LINEST VARS'!$P$68*(12.73)+'LINEST VARS'!$O$68*(8^2)+'LINEST VARS'!$N$68*(8^2)+'LINEST VARS'!$M$68*($BU$128^2)+'LINEST VARS'!$L$68*($AZ131^2)+'LINEST VARS'!$K$68*(12.73^2)+'LINEST VARS'!$J$68*(8*8)+'LINEST VARS'!$I$68*(8*$BU$128)+'LINEST VARS'!$H$68*(8*$AZ131)+'LINEST VARS'!$G$68*(8*12.73)+'LINEST VARS'!$F$68*(8*$BU$128)+'LINEST VARS'!$E$68*(8*$AZ131)+'LINEST VARS'!$D$68*(8*12.73)+'LINEST VARS'!$C$68*($BU$128*$AZ131)+'LINEST VARS'!$B$68*($BU$128*12.73)+'LINEST VARS'!$A$68*($AZ131*12.73)</f>
        <v>149.96</v>
      </c>
      <c r="BX131" s="45">
        <v>0.1</v>
      </c>
      <c r="BY131" s="46">
        <f>'LINEST VARS'!$U$70+'LINEST VARS'!$T$70*(8)+'LINEST VARS'!$S$70*(8)+'LINEST VARS'!$R$70*($BY$128)+'LINEST VARS'!$Q$70*($BX131)+'LINEST VARS'!$P$70*(12.73)+'LINEST VARS'!$O$70*(8^2)+'LINEST VARS'!$N$70*(8^2)+'LINEST VARS'!$M$70*($BY$128^2)+'LINEST VARS'!$L$70*($BX131^2)+'LINEST VARS'!$K$70*(12.73^2)+'LINEST VARS'!$J$70*(8*8)+'LINEST VARS'!$I$70*(8*$BY$128)+'LINEST VARS'!$H$70*(8*$BX131)+'LINEST VARS'!$G$70*(8*12.73)+'LINEST VARS'!$F$70*(8*$BY$128)+'LINEST VARS'!$E$70*(8*$BX131)+'LINEST VARS'!$D$70*(8*12.73)+'LINEST VARS'!$C$70*($BY$128*$BX131)+'LINEST VARS'!$B$70*($BY$128*12.73)+'LINEST VARS'!$A$70*($BX131*12.73)</f>
        <v>92.000000000000014</v>
      </c>
      <c r="BZ131" s="46">
        <f>'LINEST VARS'!$U$70+'LINEST VARS'!$T$70*(8)+'LINEST VARS'!$S$70*(8)+'LINEST VARS'!$R$70*($BZ$128)+'LINEST VARS'!$Q$70*($BX131)+'LINEST VARS'!$P$70*(12.73)+'LINEST VARS'!$O$70*(8^2)+'LINEST VARS'!$N$70*(8^2)+'LINEST VARS'!$M$70*($BZ$128^2)+'LINEST VARS'!$L$70*($BX131^2)+'LINEST VARS'!$K$70*(12.73^2)+'LINEST VARS'!$J$70*(8*8)+'LINEST VARS'!$I$70*(8*$BZ$128)+'LINEST VARS'!$H$70*(8*$BX131)+'LINEST VARS'!$G$70*(8*12.73)+'LINEST VARS'!$F$70*(8*$BZ$128)+'LINEST VARS'!$E$70*(8*$BX131)+'LINEST VARS'!$D$70*(8*12.73)+'LINEST VARS'!$C$70*($BZ$128*$BX131)+'LINEST VARS'!$B$70*($BZ$128*12.73)+'LINEST VARS'!$A$70*($BX131*12.73)</f>
        <v>91.600000000000009</v>
      </c>
      <c r="CA131" s="46">
        <f>'LINEST VARS'!$U$70+'LINEST VARS'!$T$70*(8)+'LINEST VARS'!$S$70*(8)+'LINEST VARS'!$R$70*($CA$128)+'LINEST VARS'!$Q$70*($BX131)+'LINEST VARS'!$P$70*(12.73)+'LINEST VARS'!$O$70*(8^2)+'LINEST VARS'!$N$70*(8^2)+'LINEST VARS'!$M$70*($CA$128^2)+'LINEST VARS'!$L$70*($BX131^2)+'LINEST VARS'!$K$70*(12.73^2)+'LINEST VARS'!$J$70*(8*8)+'LINEST VARS'!$I$70*(8*$CA$128)+'LINEST VARS'!$H$70*(8*$BX131)+'LINEST VARS'!$G$70*(8*12.73)+'LINEST VARS'!$F$70*(8*$CA$128)+'LINEST VARS'!$E$70*(8*$BX131)+'LINEST VARS'!$D$70*(8*12.73)+'LINEST VARS'!$C$70*($CA$128*$BX131)+'LINEST VARS'!$B$70*($CA$128*12.73)+'LINEST VARS'!$A$70*($BX131*12.73)</f>
        <v>91.200000000000017</v>
      </c>
      <c r="CB131" s="46">
        <f>'LINEST VARS'!$U$70+'LINEST VARS'!$T$70*(8)+'LINEST VARS'!$S$70*(8)+'LINEST VARS'!$R$70*($CB$128)+'LINEST VARS'!$Q$70*($BX131)+'LINEST VARS'!$P$70*(12.73)+'LINEST VARS'!$O$70*(8^2)+'LINEST VARS'!$N$70*(8^2)+'LINEST VARS'!$M$70*($CB$128^2)+'LINEST VARS'!$L$70*($BX131^2)+'LINEST VARS'!$K$70*(12.73^2)+'LINEST VARS'!$J$70*(8*8)+'LINEST VARS'!$I$70*(8*$CB$128)+'LINEST VARS'!$H$70*(8*$BX131)+'LINEST VARS'!$G$70*(8*12.73)+'LINEST VARS'!$F$70*(8*$CB$128)+'LINEST VARS'!$E$70*(8*$BX131)+'LINEST VARS'!$D$70*(8*12.73)+'LINEST VARS'!$C$70*($CB$128*$BX131)+'LINEST VARS'!$B$70*($CB$128*12.73)+'LINEST VARS'!$A$70*($BX131*12.73)</f>
        <v>90.800000000000011</v>
      </c>
      <c r="CC131" s="46">
        <f>'LINEST VARS'!$U$70+'LINEST VARS'!$T$70*(8)+'LINEST VARS'!$S$70*(8)+'LINEST VARS'!$R$70*($CC$128)+'LINEST VARS'!$Q$70*($BX131)+'LINEST VARS'!$P$70*(12.73)+'LINEST VARS'!$O$70*(8^2)+'LINEST VARS'!$N$70*(8^2)+'LINEST VARS'!$M$70*($CC$128^2)+'LINEST VARS'!$L$70*($BX131^2)+'LINEST VARS'!$K$70*(12.73^2)+'LINEST VARS'!$J$70*(8*8)+'LINEST VARS'!$I$70*(8*$CC$128)+'LINEST VARS'!$H$70*(8*$BX131)+'LINEST VARS'!$G$70*(8*12.73)+'LINEST VARS'!$F$70*(8*$CC$128)+'LINEST VARS'!$E$70*(8*$BX131)+'LINEST VARS'!$D$70*(8*12.73)+'LINEST VARS'!$C$70*($CC$128*$BX131)+'LINEST VARS'!$B$70*($CC$128*12.73)+'LINEST VARS'!$A$70*($BX131*12.73)</f>
        <v>90.40000000000002</v>
      </c>
      <c r="CD131" s="46">
        <f>'LINEST VARS'!$U$70+'LINEST VARS'!$T$70*(8)+'LINEST VARS'!$S$70*(8)+'LINEST VARS'!$R$70*($CD$128)+'LINEST VARS'!$Q$70*($BX131)+'LINEST VARS'!$P$70*(12.73)+'LINEST VARS'!$O$70*(8^2)+'LINEST VARS'!$N$70*(8^2)+'LINEST VARS'!$M$70*($CD$128^2)+'LINEST VARS'!$L$70*($BX131^2)+'LINEST VARS'!$K$70*(12.73^2)+'LINEST VARS'!$J$70*(8*8)+'LINEST VARS'!$I$70*(8*$CD$128)+'LINEST VARS'!$H$70*(8*$BX131)+'LINEST VARS'!$G$70*(8*12.73)+'LINEST VARS'!$F$70*(8*$CD$128)+'LINEST VARS'!$E$70*(8*$BX131)+'LINEST VARS'!$D$70*(8*12.73)+'LINEST VARS'!$C$70*($CD$128*$BX131)+'LINEST VARS'!$B$70*($CD$128*12.73)+'LINEST VARS'!$A$70*($BX131*12.73)</f>
        <v>90.000000000000014</v>
      </c>
      <c r="CE131" s="46">
        <f>'LINEST VARS'!$U$70+'LINEST VARS'!$T$70*(8)+'LINEST VARS'!$S$70*(8)+'LINEST VARS'!$R$70*($CE$128)+'LINEST VARS'!$Q$70*($BX131)+'LINEST VARS'!$P$70*(12.73)+'LINEST VARS'!$O$70*(8^2)+'LINEST VARS'!$N$70*(8^2)+'LINEST VARS'!$M$70*($CE$128^2)+'LINEST VARS'!$L$70*($BX131^2)+'LINEST VARS'!$K$70*(12.73^2)+'LINEST VARS'!$J$70*(8*8)+'LINEST VARS'!$I$70*(8*$CE$128)+'LINEST VARS'!$H$70*(8*$BX131)+'LINEST VARS'!$G$70*(8*12.73)+'LINEST VARS'!$F$70*(8*$CE$128)+'LINEST VARS'!$E$70*(8*$BX131)+'LINEST VARS'!$D$70*(8*12.73)+'LINEST VARS'!$C$70*($CE$128*$BX131)+'LINEST VARS'!$B$70*($CE$128*12.73)+'LINEST VARS'!$A$70*($BX131*12.73)</f>
        <v>89.600000000000023</v>
      </c>
      <c r="CF131" s="46">
        <f>'LINEST VARS'!$U$70+'LINEST VARS'!$T$70*(8)+'LINEST VARS'!$S$70*(8)+'LINEST VARS'!$R$70*($CF$128)+'LINEST VARS'!$Q$70*($BX131)+'LINEST VARS'!$P$70*(12.73)+'LINEST VARS'!$O$70*(8^2)+'LINEST VARS'!$N$70*(8^2)+'LINEST VARS'!$M$70*($CF$128^2)+'LINEST VARS'!$L$70*($BX131^2)+'LINEST VARS'!$K$70*(12.73^2)+'LINEST VARS'!$J$70*(8*8)+'LINEST VARS'!$I$70*(8*$CF$128)+'LINEST VARS'!$H$70*(8*$BX131)+'LINEST VARS'!$G$70*(8*12.73)+'LINEST VARS'!$F$70*(8*$CF$128)+'LINEST VARS'!$E$70*(8*$BX131)+'LINEST VARS'!$D$70*(8*12.73)+'LINEST VARS'!$C$70*($CF$128*$BX131)+'LINEST VARS'!$B$70*($CF$128*12.73)+'LINEST VARS'!$A$70*($BX131*12.73)</f>
        <v>89.200000000000017</v>
      </c>
      <c r="CG131" s="46">
        <f>'LINEST VARS'!$U$70+'LINEST VARS'!$T$70*(8)+'LINEST VARS'!$S$70*(8)+'LINEST VARS'!$R$70*($CG$128)+'LINEST VARS'!$Q$70*($BX131)+'LINEST VARS'!$P$70*(12.73)+'LINEST VARS'!$O$70*(8^2)+'LINEST VARS'!$N$70*(8^2)+'LINEST VARS'!$M$70*($CG$128^2)+'LINEST VARS'!$L$70*($BX131^2)+'LINEST VARS'!$K$70*(12.73^2)+'LINEST VARS'!$J$70*(8*8)+'LINEST VARS'!$I$70*(8*$CG$128)+'LINEST VARS'!$H$70*(8*$BX131)+'LINEST VARS'!$G$70*(8*12.73)+'LINEST VARS'!$F$70*(8*$CG$128)+'LINEST VARS'!$E$70*(8*$BX131)+'LINEST VARS'!$D$70*(8*12.73)+'LINEST VARS'!$C$70*($CG$128*$BX131)+'LINEST VARS'!$B$70*($CG$128*12.73)+'LINEST VARS'!$A$70*($BX131*12.73)</f>
        <v>88.800000000000026</v>
      </c>
      <c r="CH131" s="46">
        <f>'LINEST VARS'!$U$70+'LINEST VARS'!$T$70*(8)+'LINEST VARS'!$S$70*(8)+'LINEST VARS'!$R$70*($CH$128)+'LINEST VARS'!$Q$70*($BX131)+'LINEST VARS'!$P$70*(12.73)+'LINEST VARS'!$O$70*(8^2)+'LINEST VARS'!$N$70*(8^2)+'LINEST VARS'!$M$70*($CH$128^2)+'LINEST VARS'!$L$70*($BX131^2)+'LINEST VARS'!$K$70*(12.73^2)+'LINEST VARS'!$J$70*(8*8)+'LINEST VARS'!$I$70*(8*$CH$128)+'LINEST VARS'!$H$70*(8*$BX131)+'LINEST VARS'!$G$70*(8*12.73)+'LINEST VARS'!$F$70*(8*$CH$128)+'LINEST VARS'!$E$70*(8*$BX131)+'LINEST VARS'!$D$70*(8*12.73)+'LINEST VARS'!$C$70*($CH$128*$BX131)+'LINEST VARS'!$B$70*($CH$128*12.73)+'LINEST VARS'!$A$70*($BX131*12.73)</f>
        <v>88.40000000000002</v>
      </c>
      <c r="CI131" s="46">
        <f>'LINEST VARS'!$U$70+'LINEST VARS'!$T$70*(8)+'LINEST VARS'!$S$70*(8)+'LINEST VARS'!$R$70*($CI$128)+'LINEST VARS'!$Q$70*($BX131)+'LINEST VARS'!$P$70*(12.73)+'LINEST VARS'!$O$70*(8^2)+'LINEST VARS'!$N$70*(8^2)+'LINEST VARS'!$M$70*($CI$128^2)+'LINEST VARS'!$L$70*($BX131^2)+'LINEST VARS'!$K$70*(12.73^2)+'LINEST VARS'!$J$70*(8*8)+'LINEST VARS'!$I$70*(8*$CI$128)+'LINEST VARS'!$H$70*(8*$BX131)+'LINEST VARS'!$G$70*(8*12.73)+'LINEST VARS'!$F$70*(8*$CI$128)+'LINEST VARS'!$E$70*(8*$BX131)+'LINEST VARS'!$D$70*(8*12.73)+'LINEST VARS'!$C$70*($CI$128*$BX131)+'LINEST VARS'!$B$70*($CI$128*12.73)+'LINEST VARS'!$A$70*($BX131*12.73)</f>
        <v>88.000000000000014</v>
      </c>
      <c r="CJ131" s="46">
        <f>'LINEST VARS'!$U$70+'LINEST VARS'!$T$70*(8)+'LINEST VARS'!$S$70*(8)+'LINEST VARS'!$R$70*($CJ$128)+'LINEST VARS'!$Q$70*($BX131)+'LINEST VARS'!$P$70*(12.73)+'LINEST VARS'!$O$70*(8^2)+'LINEST VARS'!$N$70*(8^2)+'LINEST VARS'!$M$70*($CJ$128^2)+'LINEST VARS'!$L$70*($BX131^2)+'LINEST VARS'!$K$70*(12.73^2)+'LINEST VARS'!$J$70*(8*8)+'LINEST VARS'!$I$70*(8*$CJ$128)+'LINEST VARS'!$H$70*(8*$BX131)+'LINEST VARS'!$G$70*(8*12.73)+'LINEST VARS'!$F$70*(8*$CJ$128)+'LINEST VARS'!$E$70*(8*$BX131)+'LINEST VARS'!$D$70*(8*12.73)+'LINEST VARS'!$C$70*($CJ$128*$BX131)+'LINEST VARS'!$B$70*($CJ$128*12.73)+'LINEST VARS'!$A$70*($BX131*12.73)</f>
        <v>87.600000000000023</v>
      </c>
      <c r="CK131" s="46">
        <f>'LINEST VARS'!$U$70+'LINEST VARS'!$T$70*(8)+'LINEST VARS'!$S$70*(8)+'LINEST VARS'!$R$70*($CK$128)+'LINEST VARS'!$Q$70*($BX131)+'LINEST VARS'!$P$70*(12.73)+'LINEST VARS'!$O$70*(8^2)+'LINEST VARS'!$N$70*(8^2)+'LINEST VARS'!$M$70*($CK$128^2)+'LINEST VARS'!$L$70*($BX131^2)+'LINEST VARS'!$K$70*(12.73^2)+'LINEST VARS'!$J$70*(8*8)+'LINEST VARS'!$I$70*(8*$CK$128)+'LINEST VARS'!$H$70*(8*$BX131)+'LINEST VARS'!$G$70*(8*12.73)+'LINEST VARS'!$F$70*(8*$CK$128)+'LINEST VARS'!$E$70*(8*$BX131)+'LINEST VARS'!$D$70*(8*12.73)+'LINEST VARS'!$C$70*($CK$128*$BX131)+'LINEST VARS'!$B$70*($CK$128*12.73)+'LINEST VARS'!$A$70*($BX131*12.73)</f>
        <v>87.200000000000017</v>
      </c>
      <c r="CL131" s="46">
        <f>'LINEST VARS'!$U$70+'LINEST VARS'!$T$70*(8)+'LINEST VARS'!$S$70*(8)+'LINEST VARS'!$R$70*($CL$128)+'LINEST VARS'!$Q$70*($BX131)+'LINEST VARS'!$P$70*(12.73)+'LINEST VARS'!$O$70*(8^2)+'LINEST VARS'!$N$70*(8^2)+'LINEST VARS'!$M$70*($CL$128^2)+'LINEST VARS'!$L$70*($BX131^2)+'LINEST VARS'!$K$70*(12.73^2)+'LINEST VARS'!$J$70*(8*8)+'LINEST VARS'!$I$70*(8*$CL$128)+'LINEST VARS'!$H$70*(8*$BX131)+'LINEST VARS'!$G$70*(8*12.73)+'LINEST VARS'!$F$70*(8*$CL$128)+'LINEST VARS'!$E$70*(8*$BX131)+'LINEST VARS'!$D$70*(8*12.73)+'LINEST VARS'!$C$70*($CL$128*$BX131)+'LINEST VARS'!$B$70*($CL$128*12.73)+'LINEST VARS'!$A$70*($BX131*12.73)</f>
        <v>86.800000000000026</v>
      </c>
      <c r="CM131" s="46">
        <f>'LINEST VARS'!$U$70+'LINEST VARS'!$T$70*(8)+'LINEST VARS'!$S$70*(8)+'LINEST VARS'!$R$70*($CM$128)+'LINEST VARS'!$Q$70*($BX131)+'LINEST VARS'!$P$70*(12.73)+'LINEST VARS'!$O$70*(8^2)+'LINEST VARS'!$N$70*(8^2)+'LINEST VARS'!$M$70*($CM$128^2)+'LINEST VARS'!$L$70*($BX131^2)+'LINEST VARS'!$K$70*(12.73^2)+'LINEST VARS'!$J$70*(8*8)+'LINEST VARS'!$I$70*(8*$CM$128)+'LINEST VARS'!$H$70*(8*$BX131)+'LINEST VARS'!$G$70*(8*12.73)+'LINEST VARS'!$F$70*(8*$CM$128)+'LINEST VARS'!$E$70*(8*$BX131)+'LINEST VARS'!$D$70*(8*12.73)+'LINEST VARS'!$C$70*($CM$128*$BX131)+'LINEST VARS'!$B$70*($CM$128*12.73)+'LINEST VARS'!$A$70*($BX131*12.73)</f>
        <v>86.40000000000002</v>
      </c>
      <c r="CN131" s="46">
        <f>'LINEST VARS'!$U$70+'LINEST VARS'!$T$70*(8)+'LINEST VARS'!$S$70*(8)+'LINEST VARS'!$R$70*($CN$128)+'LINEST VARS'!$Q$70*($BX131)+'LINEST VARS'!$P$70*(12.73)+'LINEST VARS'!$O$70*(8^2)+'LINEST VARS'!$N$70*(8^2)+'LINEST VARS'!$M$70*($CN$128^2)+'LINEST VARS'!$L$70*($BX131^2)+'LINEST VARS'!$K$70*(12.73^2)+'LINEST VARS'!$J$70*(8*8)+'LINEST VARS'!$I$70*(8*$CN$128)+'LINEST VARS'!$H$70*(8*$BX131)+'LINEST VARS'!$G$70*(8*12.73)+'LINEST VARS'!$F$70*(8*$CN$128)+'LINEST VARS'!$E$70*(8*$BX131)+'LINEST VARS'!$D$70*(8*12.73)+'LINEST VARS'!$C$70*($CN$128*$BX131)+'LINEST VARS'!$B$70*($CN$128*12.73)+'LINEST VARS'!$A$70*($BX131*12.73)</f>
        <v>86.000000000000014</v>
      </c>
      <c r="CO131" s="46">
        <f>'LINEST VARS'!$U$70+'LINEST VARS'!$T$70*(8)+'LINEST VARS'!$S$70*(8)+'LINEST VARS'!$R$70*($CO$128)+'LINEST VARS'!$Q$70*($BX131)+'LINEST VARS'!$P$70*(12.73)+'LINEST VARS'!$O$70*(8^2)+'LINEST VARS'!$N$70*(8^2)+'LINEST VARS'!$M$70*($CO$128^2)+'LINEST VARS'!$L$70*($BX131^2)+'LINEST VARS'!$K$70*(12.73^2)+'LINEST VARS'!$J$70*(8*8)+'LINEST VARS'!$I$70*(8*$CO$128)+'LINEST VARS'!$H$70*(8*$BX131)+'LINEST VARS'!$G$70*(8*12.73)+'LINEST VARS'!$F$70*(8*$CO$128)+'LINEST VARS'!$E$70*(8*$BX131)+'LINEST VARS'!$D$70*(8*12.73)+'LINEST VARS'!$C$70*($CO$128*$BX131)+'LINEST VARS'!$B$70*($CO$128*12.73)+'LINEST VARS'!$A$70*($BX131*12.73)</f>
        <v>85.600000000000009</v>
      </c>
      <c r="CP131" s="46">
        <f>'LINEST VARS'!$U$70+'LINEST VARS'!$T$70*(8)+'LINEST VARS'!$S$70*(8)+'LINEST VARS'!$R$70*($CP$128)+'LINEST VARS'!$Q$70*($BX131)+'LINEST VARS'!$P$70*(12.73)+'LINEST VARS'!$O$70*(8^2)+'LINEST VARS'!$N$70*(8^2)+'LINEST VARS'!$M$70*($CP$128^2)+'LINEST VARS'!$L$70*($BX131^2)+'LINEST VARS'!$K$70*(12.73^2)+'LINEST VARS'!$J$70*(8*8)+'LINEST VARS'!$I$70*(8*$CP$128)+'LINEST VARS'!$H$70*(8*$BX131)+'LINEST VARS'!$G$70*(8*12.73)+'LINEST VARS'!$F$70*(8*$CP$128)+'LINEST VARS'!$E$70*(8*$BX131)+'LINEST VARS'!$D$70*(8*12.73)+'LINEST VARS'!$C$70*($CP$128*$BX131)+'LINEST VARS'!$B$70*($CP$128*12.73)+'LINEST VARS'!$A$70*($BX131*12.73)</f>
        <v>85.200000000000017</v>
      </c>
      <c r="CQ131" s="46">
        <f>'LINEST VARS'!$U$70+'LINEST VARS'!$T$70*(8)+'LINEST VARS'!$S$70*(8)+'LINEST VARS'!$R$70*($CQ$128)+'LINEST VARS'!$Q$70*($BX131)+'LINEST VARS'!$P$70*(12.73)+'LINEST VARS'!$O$70*(8^2)+'LINEST VARS'!$N$70*(8^2)+'LINEST VARS'!$M$70*($CQ$128^2)+'LINEST VARS'!$L$70*($BX131^2)+'LINEST VARS'!$K$70*(12.73^2)+'LINEST VARS'!$J$70*(8*8)+'LINEST VARS'!$I$70*(8*$CQ$128)+'LINEST VARS'!$H$70*(8*$BX131)+'LINEST VARS'!$G$70*(8*12.73)+'LINEST VARS'!$F$70*(8*$CQ$128)+'LINEST VARS'!$E$70*(8*$BX131)+'LINEST VARS'!$D$70*(8*12.73)+'LINEST VARS'!$C$70*($CQ$128*$BX131)+'LINEST VARS'!$B$70*($CQ$128*12.73)+'LINEST VARS'!$A$70*($BX131*12.73)</f>
        <v>84.800000000000011</v>
      </c>
      <c r="CR131" s="46">
        <f>'LINEST VARS'!$U$70+'LINEST VARS'!$T$70*(8)+'LINEST VARS'!$S$70*(8)+'LINEST VARS'!$R$70*($CR$128)+'LINEST VARS'!$Q$70*($BX131)+'LINEST VARS'!$P$70*(12.73)+'LINEST VARS'!$O$70*(8^2)+'LINEST VARS'!$N$70*(8^2)+'LINEST VARS'!$M$70*($CR$128^2)+'LINEST VARS'!$L$70*($BX131^2)+'LINEST VARS'!$K$70*(12.73^2)+'LINEST VARS'!$J$70*(8*8)+'LINEST VARS'!$I$70*(8*$CR$128)+'LINEST VARS'!$H$70*(8*$BX131)+'LINEST VARS'!$G$70*(8*12.73)+'LINEST VARS'!$F$70*(8*$CR$128)+'LINEST VARS'!$E$70*(8*$BX131)+'LINEST VARS'!$D$70*(8*12.73)+'LINEST VARS'!$C$70*($CR$128*$BX131)+'LINEST VARS'!$B$70*($CR$128*12.73)+'LINEST VARS'!$A$70*($BX131*12.73)</f>
        <v>84.400000000000034</v>
      </c>
      <c r="CS131" s="47">
        <f>'LINEST VARS'!$U$70+'LINEST VARS'!$T$70*(8)+'LINEST VARS'!$S$70*(8)+'LINEST VARS'!$R$70*($CS$128)+'LINEST VARS'!$Q$70*($BX131)+'LINEST VARS'!$P$70*(12.73)+'LINEST VARS'!$O$70*(8^2)+'LINEST VARS'!$N$70*(8^2)+'LINEST VARS'!$M$70*($CS$128^2)+'LINEST VARS'!$L$70*($BX131^2)+'LINEST VARS'!$K$70*(12.73^2)+'LINEST VARS'!$J$70*(8*8)+'LINEST VARS'!$I$70*(8*$CS$128)+'LINEST VARS'!$H$70*(8*$BX131)+'LINEST VARS'!$G$70*(8*12.73)+'LINEST VARS'!$F$70*(8*$CS$128)+'LINEST VARS'!$E$70*(8*$BX131)+'LINEST VARS'!$D$70*(8*12.73)+'LINEST VARS'!$C$70*($CS$128*$BX131)+'LINEST VARS'!$B$70*($CS$128*12.73)+'LINEST VARS'!$A$70*($BX131*12.73)</f>
        <v>84.000000000000028</v>
      </c>
      <c r="CX131" s="45">
        <v>2.5990000000000002</v>
      </c>
      <c r="CY131" s="46">
        <f>'LINEST VARS'!$U$68+'LINEST VARS'!$T$68*(8)+'LINEST VARS'!$S$68*(8)+'LINEST VARS'!$R$68*($CY$128)+'LINEST VARS'!$Q$68*(0.5)+'LINEST VARS'!$P$68*($CX131)+'LINEST VARS'!$O$68*(8^2)+'LINEST VARS'!$N$68*(8^2)+'LINEST VARS'!$M$68*($CY$128^2)+'LINEST VARS'!$L$68*(0.5^2)+'LINEST VARS'!$K$68*($CX131^2)+'LINEST VARS'!$J$68*(8*8)+'LINEST VARS'!$I$68*(8*$CY$128)+'LINEST VARS'!$H$68*(8*0.5)+'LINEST VARS'!$G$68*(8*$CX131)+'LINEST VARS'!$F$68*(8*$CY$128)+'LINEST VARS'!$E$68*(8*0.5)+'LINEST VARS'!$D$68*(8*$CX131)+'LINEST VARS'!$C$68*($CY$128*0.5)+'LINEST VARS'!$B$68*($CY$128*$CX131)+'LINEST VARS'!$A$68*(0.5*$CX131)</f>
        <v>149</v>
      </c>
      <c r="CZ131" s="46">
        <f>'LINEST VARS'!$U$68+'LINEST VARS'!$T$68*(8)+'LINEST VARS'!$S$68*(8)+'LINEST VARS'!$R$68*($CZ$128)+'LINEST VARS'!$Q$68*(0.5)+'LINEST VARS'!$P$68*($CX131)+'LINEST VARS'!$O$68*(8^2)+'LINEST VARS'!$N$68*(8^2)+'LINEST VARS'!$M$68*($CZ$128^2)+'LINEST VARS'!$L$68*(0.5^2)+'LINEST VARS'!$K$68*($CX131^2)+'LINEST VARS'!$J$68*(8*8)+'LINEST VARS'!$I$68*(8*$CZ$128)+'LINEST VARS'!$H$68*(8*0.5)+'LINEST VARS'!$G$68*(8*$CX131)+'LINEST VARS'!$F$68*(8*$CZ$128)+'LINEST VARS'!$E$68*(8*0.5)+'LINEST VARS'!$D$68*(8*$CX131)+'LINEST VARS'!$C$68*($CZ$128*0.5)+'LINEST VARS'!$B$68*($CZ$128*$CX131)+'LINEST VARS'!$A$68*(0.5*$CX131)</f>
        <v>149</v>
      </c>
      <c r="DA131" s="46">
        <f>'LINEST VARS'!$U$68+'LINEST VARS'!$T$68*(8)+'LINEST VARS'!$S$68*(8)+'LINEST VARS'!$R$68*($DA$128)+'LINEST VARS'!$Q$68*(0.5)+'LINEST VARS'!$P$68*($CX131)+'LINEST VARS'!$O$68*(8^2)+'LINEST VARS'!$N$68*(8^2)+'LINEST VARS'!$M$68*($DA$128^2)+'LINEST VARS'!$L$68*(0.5^2)+'LINEST VARS'!$K$68*($CX131^2)+'LINEST VARS'!$J$68*(8*8)+'LINEST VARS'!$I$68*(8*$DA$128)+'LINEST VARS'!$H$68*(8*0.5)+'LINEST VARS'!$G$68*(8*$CX131)+'LINEST VARS'!$F$68*(8*$DA$128)+'LINEST VARS'!$E$68*(8*0.5)+'LINEST VARS'!$D$68*(8*$CX131)+'LINEST VARS'!$C$68*($DA$128*0.5)+'LINEST VARS'!$B$68*($DA$128*$CX131)+'LINEST VARS'!$A$68*(0.5*$CX131)</f>
        <v>149</v>
      </c>
      <c r="DB131" s="46">
        <f>'LINEST VARS'!$U$68+'LINEST VARS'!$T$68*(8)+'LINEST VARS'!$S$68*(8)+'LINEST VARS'!$R$68*($DB$128)+'LINEST VARS'!$Q$68*(0.5)+'LINEST VARS'!$P$68*($CX131)+'LINEST VARS'!$O$68*(8^2)+'LINEST VARS'!$N$68*(8^2)+'LINEST VARS'!$M$68*($DB$128^2)+'LINEST VARS'!$L$68*(0.5^2)+'LINEST VARS'!$K$68*($CX131^2)+'LINEST VARS'!$J$68*(8*8)+'LINEST VARS'!$I$68*(8*$DB$128)+'LINEST VARS'!$H$68*(8*0.5)+'LINEST VARS'!$G$68*(8*$CX131)+'LINEST VARS'!$F$68*(8*$DB$128)+'LINEST VARS'!$E$68*(8*0.5)+'LINEST VARS'!$D$68*(8*$CX131)+'LINEST VARS'!$C$68*($DB$128*0.5)+'LINEST VARS'!$B$68*($DB$128*$CX131)+'LINEST VARS'!$A$68*(0.5*$CX131)</f>
        <v>149</v>
      </c>
      <c r="DC131" s="46">
        <f>'LINEST VARS'!$U$68+'LINEST VARS'!$T$68*(8)+'LINEST VARS'!$S$68*(8)+'LINEST VARS'!$R$68*($DC$128)+'LINEST VARS'!$Q$68*(0.5)+'LINEST VARS'!$P$68*($CX131)+'LINEST VARS'!$O$68*(8^2)+'LINEST VARS'!$N$68*(8^2)+'LINEST VARS'!$M$68*($DC$128^2)+'LINEST VARS'!$L$68*(0.5^2)+'LINEST VARS'!$K$68*($CX131^2)+'LINEST VARS'!$J$68*(8*8)+'LINEST VARS'!$I$68*(8*$DC$128)+'LINEST VARS'!$H$68*(8*0.5)+'LINEST VARS'!$G$68*(8*$CX131)+'LINEST VARS'!$F$68*(8*$DC$128)+'LINEST VARS'!$E$68*(8*0.5)+'LINEST VARS'!$D$68*(8*$CX131)+'LINEST VARS'!$C$68*($DC$128*0.5)+'LINEST VARS'!$B$68*($DC$128*$CX131)+'LINEST VARS'!$A$68*(0.5*$CX131)</f>
        <v>149</v>
      </c>
      <c r="DD131" s="46">
        <f>'LINEST VARS'!$U$68+'LINEST VARS'!$T$68*(8)+'LINEST VARS'!$S$68*(8)+'LINEST VARS'!$R$68*($DD$128)+'LINEST VARS'!$Q$68*(0.5)+'LINEST VARS'!$P$68*($CX131)+'LINEST VARS'!$O$68*(8^2)+'LINEST VARS'!$N$68*(8^2)+'LINEST VARS'!$M$68*($DD$128^2)+'LINEST VARS'!$L$68*(0.5^2)+'LINEST VARS'!$K$68*($CX131^2)+'LINEST VARS'!$J$68*(8*8)+'LINEST VARS'!$I$68*(8*$DD$128)+'LINEST VARS'!$H$68*(8*0.5)+'LINEST VARS'!$G$68*(8*$CX131)+'LINEST VARS'!$F$68*(8*$DD$128)+'LINEST VARS'!$E$68*(8*0.5)+'LINEST VARS'!$D$68*(8*$CX131)+'LINEST VARS'!$C$68*($DD$128*0.5)+'LINEST VARS'!$B$68*($DD$128*$CX131)+'LINEST VARS'!$A$68*(0.5*$CX131)</f>
        <v>149</v>
      </c>
      <c r="DE131" s="46">
        <f>'LINEST VARS'!$U$68+'LINEST VARS'!$T$68*(8)+'LINEST VARS'!$S$68*(8)+'LINEST VARS'!$R$68*($DE$128)+'LINEST VARS'!$Q$68*(0.5)+'LINEST VARS'!$P$68*($CX131)+'LINEST VARS'!$O$68*(8^2)+'LINEST VARS'!$N$68*(8^2)+'LINEST VARS'!$M$68*($DE$128^2)+'LINEST VARS'!$L$68*(0.5^2)+'LINEST VARS'!$K$68*($CX131^2)+'LINEST VARS'!$J$68*(8*8)+'LINEST VARS'!$I$68*(8*$DE$128)+'LINEST VARS'!$H$68*(8*0.5)+'LINEST VARS'!$G$68*(8*$CX131)+'LINEST VARS'!$F$68*(8*$DE$128)+'LINEST VARS'!$E$68*(8*0.5)+'LINEST VARS'!$D$68*(8*$CX131)+'LINEST VARS'!$C$68*($DE$128*0.5)+'LINEST VARS'!$B$68*($DE$128*$CX131)+'LINEST VARS'!$A$68*(0.5*$CX131)</f>
        <v>149</v>
      </c>
      <c r="DF131" s="46">
        <f>'LINEST VARS'!$U$68+'LINEST VARS'!$T$68*(8)+'LINEST VARS'!$S$68*(8)+'LINEST VARS'!$R$68*($DF$128)+'LINEST VARS'!$Q$68*(0.5)+'LINEST VARS'!$P$68*($CX131)+'LINEST VARS'!$O$68*(8^2)+'LINEST VARS'!$N$68*(8^2)+'LINEST VARS'!$M$68*($DF$128^2)+'LINEST VARS'!$L$68*(0.5^2)+'LINEST VARS'!$K$68*($CX131^2)+'LINEST VARS'!$J$68*(8*8)+'LINEST VARS'!$I$68*(8*$DF$128)+'LINEST VARS'!$H$68*(8*0.5)+'LINEST VARS'!$G$68*(8*$CX131)+'LINEST VARS'!$F$68*(8*$DF$128)+'LINEST VARS'!$E$68*(8*0.5)+'LINEST VARS'!$D$68*(8*$CX131)+'LINEST VARS'!$C$68*($DF$128*0.5)+'LINEST VARS'!$B$68*($DF$128*$CX131)+'LINEST VARS'!$A$68*(0.5*$CX131)</f>
        <v>149</v>
      </c>
      <c r="DG131" s="46">
        <f>'LINEST VARS'!$U$68+'LINEST VARS'!$T$68*(8)+'LINEST VARS'!$S$68*(8)+'LINEST VARS'!$R$68*($DG$128)+'LINEST VARS'!$Q$68*(0.5)+'LINEST VARS'!$P$68*($CX131)+'LINEST VARS'!$O$68*(8^2)+'LINEST VARS'!$N$68*(8^2)+'LINEST VARS'!$M$68*($DG$128^2)+'LINEST VARS'!$L$68*(0.5^2)+'LINEST VARS'!$K$68*($CX131^2)+'LINEST VARS'!$J$68*(8*8)+'LINEST VARS'!$I$68*(8*$DG$128)+'LINEST VARS'!$H$68*(8*0.5)+'LINEST VARS'!$G$68*(8*$CX131)+'LINEST VARS'!$F$68*(8*$DG$128)+'LINEST VARS'!$E$68*(8*0.5)+'LINEST VARS'!$D$68*(8*$CX131)+'LINEST VARS'!$C$68*($DG$128*0.5)+'LINEST VARS'!$B$68*($DG$128*$CX131)+'LINEST VARS'!$A$68*(0.5*$CX131)</f>
        <v>149</v>
      </c>
      <c r="DH131" s="46">
        <f>'LINEST VARS'!$U$68+'LINEST VARS'!$T$68*(8)+'LINEST VARS'!$S$68*(8)+'LINEST VARS'!$R$68*($DH$128)+'LINEST VARS'!$Q$68*(0.5)+'LINEST VARS'!$P$68*($CX131)+'LINEST VARS'!$O$68*(8^2)+'LINEST VARS'!$N$68*(8^2)+'LINEST VARS'!$M$68*($DH$128^2)+'LINEST VARS'!$L$68*(0.5^2)+'LINEST VARS'!$K$68*($CX131^2)+'LINEST VARS'!$J$68*(8*8)+'LINEST VARS'!$I$68*(8*$DH$128)+'LINEST VARS'!$H$68*(8*0.5)+'LINEST VARS'!$G$68*(8*$CX131)+'LINEST VARS'!$F$68*(8*$DH$128)+'LINEST VARS'!$E$68*(8*0.5)+'LINEST VARS'!$D$68*(8*$CX131)+'LINEST VARS'!$C$68*($DH$128*0.5)+'LINEST VARS'!$B$68*($DH$128*$CX131)+'LINEST VARS'!$A$68*(0.5*$CX131)</f>
        <v>149</v>
      </c>
      <c r="DI131" s="46">
        <f>'LINEST VARS'!$U$68+'LINEST VARS'!$T$68*(8)+'LINEST VARS'!$S$68*(8)+'LINEST VARS'!$R$68*($DI$128)+'LINEST VARS'!$Q$68*(0.5)+'LINEST VARS'!$P$68*($CX131)+'LINEST VARS'!$O$68*(8^2)+'LINEST VARS'!$N$68*(8^2)+'LINEST VARS'!$M$68*($DI$128^2)+'LINEST VARS'!$L$68*(0.5^2)+'LINEST VARS'!$K$68*($CX131^2)+'LINEST VARS'!$J$68*(8*8)+'LINEST VARS'!$I$68*(8*$DI$128)+'LINEST VARS'!$H$68*(8*0.5)+'LINEST VARS'!$G$68*(8*$CX131)+'LINEST VARS'!$F$68*(8*$DI$128)+'LINEST VARS'!$E$68*(8*0.5)+'LINEST VARS'!$D$68*(8*$CX131)+'LINEST VARS'!$C$68*($DI$128*0.5)+'LINEST VARS'!$B$68*($DI$128*$CX131)+'LINEST VARS'!$A$68*(0.5*$CX131)</f>
        <v>149</v>
      </c>
      <c r="DJ131" s="46">
        <f>'LINEST VARS'!$U$68+'LINEST VARS'!$T$68*(8)+'LINEST VARS'!$S$68*(8)+'LINEST VARS'!$R$68*($DJ$128)+'LINEST VARS'!$Q$68*(0.5)+'LINEST VARS'!$P$68*($CX131)+'LINEST VARS'!$O$68*(8^2)+'LINEST VARS'!$N$68*(8^2)+'LINEST VARS'!$M$68*($DJ$128^2)+'LINEST VARS'!$L$68*(0.5^2)+'LINEST VARS'!$K$68*($CX131^2)+'LINEST VARS'!$J$68*(8*8)+'LINEST VARS'!$I$68*(8*$DJ$128)+'LINEST VARS'!$H$68*(8*0.5)+'LINEST VARS'!$G$68*(8*$CX131)+'LINEST VARS'!$F$68*(8*$DJ$128)+'LINEST VARS'!$E$68*(8*0.5)+'LINEST VARS'!$D$68*(8*$CX131)+'LINEST VARS'!$C$68*($DJ$128*0.5)+'LINEST VARS'!$B$68*($DJ$128*$CX131)+'LINEST VARS'!$A$68*(0.5*$CX131)</f>
        <v>149</v>
      </c>
      <c r="DK131" s="46">
        <f>'LINEST VARS'!$U$68+'LINEST VARS'!$T$68*(8)+'LINEST VARS'!$S$68*(8)+'LINEST VARS'!$R$68*($DK$128)+'LINEST VARS'!$Q$68*(0.5)+'LINEST VARS'!$P$68*($CX131)+'LINEST VARS'!$O$68*(8^2)+'LINEST VARS'!$N$68*(8^2)+'LINEST VARS'!$M$68*($DK$128^2)+'LINEST VARS'!$L$68*(0.5^2)+'LINEST VARS'!$K$68*($CX131^2)+'LINEST VARS'!$J$68*(8*8)+'LINEST VARS'!$I$68*(8*$DK$128)+'LINEST VARS'!$H$68*(8*0.5)+'LINEST VARS'!$G$68*(8*$CX131)+'LINEST VARS'!$F$68*(8*$DK$128)+'LINEST VARS'!$E$68*(8*0.5)+'LINEST VARS'!$D$68*(8*$CX131)+'LINEST VARS'!$C$68*($DK$128*0.5)+'LINEST VARS'!$B$68*($DK$128*$CX131)+'LINEST VARS'!$A$68*(0.5*$CX131)</f>
        <v>149</v>
      </c>
      <c r="DL131" s="46">
        <f>'LINEST VARS'!$U$68+'LINEST VARS'!$T$68*(8)+'LINEST VARS'!$S$68*(8)+'LINEST VARS'!$R$68*($DL$128)+'LINEST VARS'!$Q$68*(0.5)+'LINEST VARS'!$P$68*($CX131)+'LINEST VARS'!$O$68*(8^2)+'LINEST VARS'!$N$68*(8^2)+'LINEST VARS'!$M$68*($DL$128^2)+'LINEST VARS'!$L$68*(0.5^2)+'LINEST VARS'!$K$68*($CX131^2)+'LINEST VARS'!$J$68*(8*8)+'LINEST VARS'!$I$68*(8*$DL$128)+'LINEST VARS'!$H$68*(8*0.5)+'LINEST VARS'!$G$68*(8*$CX131)+'LINEST VARS'!$F$68*(8*$DL$128)+'LINEST VARS'!$E$68*(8*0.5)+'LINEST VARS'!$D$68*(8*$CX131)+'LINEST VARS'!$C$68*($DL$128*0.5)+'LINEST VARS'!$B$68*($DL$128*$CX131)+'LINEST VARS'!$A$68*(0.5*$CX131)</f>
        <v>149</v>
      </c>
      <c r="DM131" s="46">
        <f>'LINEST VARS'!$U$68+'LINEST VARS'!$T$68*(8)+'LINEST VARS'!$S$68*(8)+'LINEST VARS'!$R$68*($DM$128)+'LINEST VARS'!$Q$68*(0.5)+'LINEST VARS'!$P$68*($CX131)+'LINEST VARS'!$O$68*(8^2)+'LINEST VARS'!$N$68*(8^2)+'LINEST VARS'!$M$68*($DM$128^2)+'LINEST VARS'!$L$68*(0.5^2)+'LINEST VARS'!$K$68*($CX131^2)+'LINEST VARS'!$J$68*(8*8)+'LINEST VARS'!$I$68*(8*$DM$128)+'LINEST VARS'!$H$68*(8*0.5)+'LINEST VARS'!$G$68*(8*$CX131)+'LINEST VARS'!$F$68*(8*$DM$128)+'LINEST VARS'!$E$68*(8*0.5)+'LINEST VARS'!$D$68*(8*$CX131)+'LINEST VARS'!$C$68*($DM$128*0.5)+'LINEST VARS'!$B$68*($DM$128*$CX131)+'LINEST VARS'!$A$68*(0.5*$CX131)</f>
        <v>149</v>
      </c>
      <c r="DN131" s="46">
        <f>'LINEST VARS'!$U$68+'LINEST VARS'!$T$68*(8)+'LINEST VARS'!$S$68*(8)+'LINEST VARS'!$R$68*($DN$128)+'LINEST VARS'!$Q$68*(0.5)+'LINEST VARS'!$P$68*($CX131)+'LINEST VARS'!$O$68*(8^2)+'LINEST VARS'!$N$68*(8^2)+'LINEST VARS'!$M$68*($DN$128^2)+'LINEST VARS'!$L$68*(0.5^2)+'LINEST VARS'!$K$68*($CX131^2)+'LINEST VARS'!$J$68*(8*8)+'LINEST VARS'!$I$68*(8*$DN$128)+'LINEST VARS'!$H$68*(8*0.5)+'LINEST VARS'!$G$68*(8*$CX131)+'LINEST VARS'!$F$68*(8*$DN$128)+'LINEST VARS'!$E$68*(8*0.5)+'LINEST VARS'!$D$68*(8*$CX131)+'LINEST VARS'!$C$68*($DN$128*0.5)+'LINEST VARS'!$B$68*($DN$128*$CX131)+'LINEST VARS'!$A$68*(0.5*$CX131)</f>
        <v>149</v>
      </c>
      <c r="DO131" s="46">
        <f>'LINEST VARS'!$U$68+'LINEST VARS'!$T$68*(8)+'LINEST VARS'!$S$68*(8)+'LINEST VARS'!$R$68*($DO$128)+'LINEST VARS'!$Q$68*(0.5)+'LINEST VARS'!$P$68*($CX131)+'LINEST VARS'!$O$68*(8^2)+'LINEST VARS'!$N$68*(8^2)+'LINEST VARS'!$M$68*($DO$128^2)+'LINEST VARS'!$L$68*(0.5^2)+'LINEST VARS'!$K$68*($CX131^2)+'LINEST VARS'!$J$68*(8*8)+'LINEST VARS'!$I$68*(8*$DO$128)+'LINEST VARS'!$H$68*(8*0.5)+'LINEST VARS'!$G$68*(8*$CX131)+'LINEST VARS'!$F$68*(8*$DO$128)+'LINEST VARS'!$E$68*(8*0.5)+'LINEST VARS'!$D$68*(8*$CX131)+'LINEST VARS'!$C$68*($DO$128*0.5)+'LINEST VARS'!$B$68*($DO$128*$CX131)+'LINEST VARS'!$A$68*(0.5*$CX131)</f>
        <v>149</v>
      </c>
      <c r="DP131" s="46">
        <f>'LINEST VARS'!$U$68+'LINEST VARS'!$T$68*(8)+'LINEST VARS'!$S$68*(8)+'LINEST VARS'!$R$68*($DP$128)+'LINEST VARS'!$Q$68*(0.5)+'LINEST VARS'!$P$68*($CX131)+'LINEST VARS'!$O$68*(8^2)+'LINEST VARS'!$N$68*(8^2)+'LINEST VARS'!$M$68*($DP$128^2)+'LINEST VARS'!$L$68*(0.5^2)+'LINEST VARS'!$K$68*($CX131^2)+'LINEST VARS'!$J$68*(8*8)+'LINEST VARS'!$I$68*(8*$DP$128)+'LINEST VARS'!$H$68*(8*0.5)+'LINEST VARS'!$G$68*(8*$CX131)+'LINEST VARS'!$F$68*(8*$DP$128)+'LINEST VARS'!$E$68*(8*0.5)+'LINEST VARS'!$D$68*(8*$CX131)+'LINEST VARS'!$C$68*($DP$128*0.5)+'LINEST VARS'!$B$68*($DP$128*$CX131)+'LINEST VARS'!$A$68*(0.5*$CX131)</f>
        <v>149</v>
      </c>
      <c r="DQ131" s="46">
        <f>'LINEST VARS'!$U$68+'LINEST VARS'!$T$68*(8)+'LINEST VARS'!$S$68*(8)+'LINEST VARS'!$R$68*($DQ$128)+'LINEST VARS'!$Q$68*(0.5)+'LINEST VARS'!$P$68*($CX131)+'LINEST VARS'!$O$68*(8^2)+'LINEST VARS'!$N$68*(8^2)+'LINEST VARS'!$M$68*($DQ$128^2)+'LINEST VARS'!$L$68*(0.5^2)+'LINEST VARS'!$K$68*($CX131^2)+'LINEST VARS'!$J$68*(8*8)+'LINEST VARS'!$I$68*(8*$DQ$128)+'LINEST VARS'!$H$68*(8*0.5)+'LINEST VARS'!$G$68*(8*$CX131)+'LINEST VARS'!$F$68*(8*$DQ$128)+'LINEST VARS'!$E$68*(8*0.5)+'LINEST VARS'!$D$68*(8*$CX131)+'LINEST VARS'!$C$68*($DQ$128*0.5)+'LINEST VARS'!$B$68*($DQ$128*$CX131)+'LINEST VARS'!$A$68*(0.5*$CX131)</f>
        <v>149</v>
      </c>
      <c r="DR131" s="46">
        <f>'LINEST VARS'!$U$68+'LINEST VARS'!$T$68*(8)+'LINEST VARS'!$S$68*(8)+'LINEST VARS'!$R$68*($DR$128)+'LINEST VARS'!$Q$68*(0.5)+'LINEST VARS'!$P$68*($CX131)+'LINEST VARS'!$O$68*(8^2)+'LINEST VARS'!$N$68*(8^2)+'LINEST VARS'!$M$68*($DR$128^2)+'LINEST VARS'!$L$68*(0.5^2)+'LINEST VARS'!$K$68*($CX131^2)+'LINEST VARS'!$J$68*(8*8)+'LINEST VARS'!$I$68*(8*$DR$128)+'LINEST VARS'!$H$68*(8*0.5)+'LINEST VARS'!$G$68*(8*$CX131)+'LINEST VARS'!$F$68*(8*$DR$128)+'LINEST VARS'!$E$68*(8*0.5)+'LINEST VARS'!$D$68*(8*$CX131)+'LINEST VARS'!$C$68*($DR$128*0.5)+'LINEST VARS'!$B$68*($DR$128*$CX131)+'LINEST VARS'!$A$68*(0.5*$CX131)</f>
        <v>149</v>
      </c>
      <c r="DS131" s="47">
        <f>'LINEST VARS'!$U$68+'LINEST VARS'!$T$68*(8)+'LINEST VARS'!$S$68*(8)+'LINEST VARS'!$R$68*($DS$128)+'LINEST VARS'!$Q$68*(0.5)+'LINEST VARS'!$P$68*($CX131)+'LINEST VARS'!$O$68*(8^2)+'LINEST VARS'!$N$68*(8^2)+'LINEST VARS'!$M$68*($DS$128^2)+'LINEST VARS'!$L$68*(0.5^2)+'LINEST VARS'!$K$68*($CX131^2)+'LINEST VARS'!$J$68*(8*8)+'LINEST VARS'!$I$68*(8*$DS$128)+'LINEST VARS'!$H$68*(8*0.5)+'LINEST VARS'!$G$68*(8*$CX131)+'LINEST VARS'!$F$68*(8*$DS$128)+'LINEST VARS'!$E$68*(8*0.5)+'LINEST VARS'!$D$68*(8*$CX131)+'LINEST VARS'!$C$68*($DS$128*0.5)+'LINEST VARS'!$B$68*($DS$128*$CX131)+'LINEST VARS'!$A$68*(0.5*$CX131)</f>
        <v>149</v>
      </c>
      <c r="DV131" s="45">
        <v>2.5990000000000002</v>
      </c>
      <c r="DW131" s="46">
        <f>'LINEST VARS'!$U$70+'LINEST VARS'!$T$70*(8)+'LINEST VARS'!$S$70*(8)+'LINEST VARS'!$R$70*($DW$128)+'LINEST VARS'!$Q$70*(0.5)+'LINEST VARS'!$P$70*($DV131)+'LINEST VARS'!$O$70*(8^2)+'LINEST VARS'!$N$70*(8^2)+'LINEST VARS'!$M$70*($DW$128^2)+'LINEST VARS'!$L$70*(0.5^2)+'LINEST VARS'!$K$70*($DV131^2)+'LINEST VARS'!$J$70*(8*8)+'LINEST VARS'!$I$70*(8*$DW$128)+'LINEST VARS'!$H$70*(8*0.5)+'LINEST VARS'!$G$70*(8*$DV131)+'LINEST VARS'!$F$70*(8*$DW$128)+'LINEST VARS'!$E$70*(8*0.5)+'LINEST VARS'!$D$70*(8*$DV131)+'LINEST VARS'!$C$70*($DW$128*0.5)+'LINEST VARS'!$B$70*($DW$128*$DV131)+'LINEST VARS'!$A$70*(0.5*$DV131)</f>
        <v>92.000000000000014</v>
      </c>
      <c r="DX131" s="46">
        <f>'LINEST VARS'!$U$70+'LINEST VARS'!$T$70*(8)+'LINEST VARS'!$S$70*(8)+'LINEST VARS'!$R$70*($DX$128)+'LINEST VARS'!$Q$70*(0.5)+'LINEST VARS'!$P$70*($DV131)+'LINEST VARS'!$O$70*(8^2)+'LINEST VARS'!$N$70*(8^2)+'LINEST VARS'!$M$70*($DX$128^2)+'LINEST VARS'!$L$70*(0.5^2)+'LINEST VARS'!$K$70*($DV131^2)+'LINEST VARS'!$J$70*(8*8)+'LINEST VARS'!$I$70*(8*$DX$128)+'LINEST VARS'!$H$70*(8*0.5)+'LINEST VARS'!$G$70*(8*$DV131)+'LINEST VARS'!$F$70*(8*$DX$128)+'LINEST VARS'!$E$70*(8*0.5)+'LINEST VARS'!$D$70*(8*$DV131)+'LINEST VARS'!$C$70*($DX$128*0.5)+'LINEST VARS'!$B$70*($DX$128*$DV131)+'LINEST VARS'!$A$70*(0.5*$DV131)</f>
        <v>91.600000000000009</v>
      </c>
      <c r="DY131" s="46">
        <f>'LINEST VARS'!$U$70+'LINEST VARS'!$T$70*(8)+'LINEST VARS'!$S$70*(8)+'LINEST VARS'!$R$70*($DY$128)+'LINEST VARS'!$Q$70*(0.5)+'LINEST VARS'!$P$70*($DV131)+'LINEST VARS'!$O$70*(8^2)+'LINEST VARS'!$N$70*(8^2)+'LINEST VARS'!$M$70*($DY$128^2)+'LINEST VARS'!$L$70*(0.5^2)+'LINEST VARS'!$K$70*($DV131^2)+'LINEST VARS'!$J$70*(8*8)+'LINEST VARS'!$I$70*(8*$DY$128)+'LINEST VARS'!$H$70*(8*0.5)+'LINEST VARS'!$G$70*(8*$DV131)+'LINEST VARS'!$F$70*(8*$DY$128)+'LINEST VARS'!$E$70*(8*0.5)+'LINEST VARS'!$D$70*(8*$DV131)+'LINEST VARS'!$C$70*($DY$128*0.5)+'LINEST VARS'!$B$70*($DY$128*$DV131)+'LINEST VARS'!$A$70*(0.5*$DV131)</f>
        <v>91.200000000000017</v>
      </c>
      <c r="DZ131" s="46">
        <f>'LINEST VARS'!$U$70+'LINEST VARS'!$T$70*(8)+'LINEST VARS'!$S$70*(8)+'LINEST VARS'!$R$70*($DZ$128)+'LINEST VARS'!$Q$70*(0.5)+'LINEST VARS'!$P$70*($DV131)+'LINEST VARS'!$O$70*(8^2)+'LINEST VARS'!$N$70*(8^2)+'LINEST VARS'!$M$70*($DZ$128^2)+'LINEST VARS'!$L$70*(0.5^2)+'LINEST VARS'!$K$70*($DV131^2)+'LINEST VARS'!$J$70*(8*8)+'LINEST VARS'!$I$70*(8*$DZ$128)+'LINEST VARS'!$H$70*(8*0.5)+'LINEST VARS'!$G$70*(8*$DV131)+'LINEST VARS'!$F$70*(8*$DZ$128)+'LINEST VARS'!$E$70*(8*0.5)+'LINEST VARS'!$D$70*(8*$DV131)+'LINEST VARS'!$C$70*($DZ$128*0.5)+'LINEST VARS'!$B$70*($DZ$128*$DV131)+'LINEST VARS'!$A$70*(0.5*$DV131)</f>
        <v>90.800000000000011</v>
      </c>
      <c r="EA131" s="46">
        <f>'LINEST VARS'!$U$70+'LINEST VARS'!$T$70*(8)+'LINEST VARS'!$S$70*(8)+'LINEST VARS'!$R$70*($EA$128)+'LINEST VARS'!$Q$70*(0.5)+'LINEST VARS'!$P$70*($DV131)+'LINEST VARS'!$O$70*(8^2)+'LINEST VARS'!$N$70*(8^2)+'LINEST VARS'!$M$70*($EA$128^2)+'LINEST VARS'!$L$70*(0.5^2)+'LINEST VARS'!$K$70*($DV131^2)+'LINEST VARS'!$J$70*(8*8)+'LINEST VARS'!$I$70*(8*$EA$128)+'LINEST VARS'!$H$70*(8*0.5)+'LINEST VARS'!$G$70*(8*$DV131)+'LINEST VARS'!$F$70*(8*$EA$128)+'LINEST VARS'!$E$70*(8*0.5)+'LINEST VARS'!$D$70*(8*$DV131)+'LINEST VARS'!$C$70*($EA$128*0.5)+'LINEST VARS'!$B$70*($EA$128*$DV131)+'LINEST VARS'!$A$70*(0.5*$DV131)</f>
        <v>90.40000000000002</v>
      </c>
      <c r="EB131" s="46">
        <f>'LINEST VARS'!$U$70+'LINEST VARS'!$T$70*(8)+'LINEST VARS'!$S$70*(8)+'LINEST VARS'!$R$70*($EB$128)+'LINEST VARS'!$Q$70*(0.5)+'LINEST VARS'!$P$70*($DV131)+'LINEST VARS'!$O$70*(8^2)+'LINEST VARS'!$N$70*(8^2)+'LINEST VARS'!$M$70*($EB$128^2)+'LINEST VARS'!$L$70*(0.5^2)+'LINEST VARS'!$K$70*($DV131^2)+'LINEST VARS'!$J$70*(8*8)+'LINEST VARS'!$I$70*(8*$EB$128)+'LINEST VARS'!$H$70*(8*0.5)+'LINEST VARS'!$G$70*(8*$DV131)+'LINEST VARS'!$F$70*(8*$EB$128)+'LINEST VARS'!$E$70*(8*0.5)+'LINEST VARS'!$D$70*(8*$DV131)+'LINEST VARS'!$C$70*($EB$128*0.5)+'LINEST VARS'!$B$70*($EB$128*$DV131)+'LINEST VARS'!$A$70*(0.5*$DV131)</f>
        <v>90.000000000000014</v>
      </c>
      <c r="EC131" s="46">
        <f>'LINEST VARS'!$U$70+'LINEST VARS'!$T$70*(8)+'LINEST VARS'!$S$70*(8)+'LINEST VARS'!$R$70*($EC$128)+'LINEST VARS'!$Q$70*(0.5)+'LINEST VARS'!$P$70*($DV131)+'LINEST VARS'!$O$70*(8^2)+'LINEST VARS'!$N$70*(8^2)+'LINEST VARS'!$M$70*($EC$128^2)+'LINEST VARS'!$L$70*(0.5^2)+'LINEST VARS'!$K$70*($DV131^2)+'LINEST VARS'!$J$70*(8*8)+'LINEST VARS'!$I$70*(8*$EC$128)+'LINEST VARS'!$H$70*(8*0.5)+'LINEST VARS'!$G$70*(8*$DV131)+'LINEST VARS'!$F$70*(8*$EC$128)+'LINEST VARS'!$E$70*(8*0.5)+'LINEST VARS'!$D$70*(8*$DV131)+'LINEST VARS'!$C$70*($EC$128*0.5)+'LINEST VARS'!$B$70*($EC$128*$DV131)+'LINEST VARS'!$A$70*(0.5*$DV131)</f>
        <v>89.600000000000023</v>
      </c>
      <c r="ED131" s="46">
        <f>'LINEST VARS'!$U$70+'LINEST VARS'!$T$70*(8)+'LINEST VARS'!$S$70*(8)+'LINEST VARS'!$R$70*($ED$128)+'LINEST VARS'!$Q$70*(0.5)+'LINEST VARS'!$P$70*($DV131)+'LINEST VARS'!$O$70*(8^2)+'LINEST VARS'!$N$70*(8^2)+'LINEST VARS'!$M$70*($ED$128^2)+'LINEST VARS'!$L$70*(0.5^2)+'LINEST VARS'!$K$70*($DV131^2)+'LINEST VARS'!$J$70*(8*8)+'LINEST VARS'!$I$70*(8*$ED$128)+'LINEST VARS'!$H$70*(8*0.5)+'LINEST VARS'!$G$70*(8*$DV131)+'LINEST VARS'!$F$70*(8*$ED$128)+'LINEST VARS'!$E$70*(8*0.5)+'LINEST VARS'!$D$70*(8*$DV131)+'LINEST VARS'!$C$70*($ED$128*0.5)+'LINEST VARS'!$B$70*($ED$128*$DV131)+'LINEST VARS'!$A$70*(0.5*$DV131)</f>
        <v>89.200000000000017</v>
      </c>
      <c r="EE131" s="46">
        <f>'LINEST VARS'!$U$70+'LINEST VARS'!$T$70*(8)+'LINEST VARS'!$S$70*(8)+'LINEST VARS'!$R$70*($EE$128)+'LINEST VARS'!$Q$70*(0.5)+'LINEST VARS'!$P$70*($DV131)+'LINEST VARS'!$O$70*(8^2)+'LINEST VARS'!$N$70*(8^2)+'LINEST VARS'!$M$70*($EE$128^2)+'LINEST VARS'!$L$70*(0.5^2)+'LINEST VARS'!$K$70*($DV131^2)+'LINEST VARS'!$J$70*(8*8)+'LINEST VARS'!$I$70*(8*$EE$128)+'LINEST VARS'!$H$70*(8*0.5)+'LINEST VARS'!$G$70*(8*$DV131)+'LINEST VARS'!$F$70*(8*$EE$128)+'LINEST VARS'!$E$70*(8*0.5)+'LINEST VARS'!$D$70*(8*$DV131)+'LINEST VARS'!$C$70*($EE$128*0.5)+'LINEST VARS'!$B$70*($EE$128*$DV131)+'LINEST VARS'!$A$70*(0.5*$DV131)</f>
        <v>88.800000000000026</v>
      </c>
      <c r="EF131" s="46">
        <f>'LINEST VARS'!$U$70+'LINEST VARS'!$T$70*(8)+'LINEST VARS'!$S$70*(8)+'LINEST VARS'!$R$70*($EF$128)+'LINEST VARS'!$Q$70*(0.5)+'LINEST VARS'!$P$70*($DV131)+'LINEST VARS'!$O$70*(8^2)+'LINEST VARS'!$N$70*(8^2)+'LINEST VARS'!$M$70*($EF$128^2)+'LINEST VARS'!$L$70*(0.5^2)+'LINEST VARS'!$K$70*($DV131^2)+'LINEST VARS'!$J$70*(8*8)+'LINEST VARS'!$I$70*(8*$EF$128)+'LINEST VARS'!$H$70*(8*0.5)+'LINEST VARS'!$G$70*(8*$DV131)+'LINEST VARS'!$F$70*(8*$EF$128)+'LINEST VARS'!$E$70*(8*0.5)+'LINEST VARS'!$D$70*(8*$DV131)+'LINEST VARS'!$C$70*($EF$128*0.5)+'LINEST VARS'!$B$70*($EF$128*$DV131)+'LINEST VARS'!$A$70*(0.5*$DV131)</f>
        <v>88.40000000000002</v>
      </c>
      <c r="EG131" s="46">
        <f>'LINEST VARS'!$U$70+'LINEST VARS'!$T$70*(8)+'LINEST VARS'!$S$70*(8)+'LINEST VARS'!$R$70*($EG$128)+'LINEST VARS'!$Q$70*(0.5)+'LINEST VARS'!$P$70*($DV131)+'LINEST VARS'!$O$70*(8^2)+'LINEST VARS'!$N$70*(8^2)+'LINEST VARS'!$M$70*($EG$128^2)+'LINEST VARS'!$L$70*(0.5^2)+'LINEST VARS'!$K$70*($DV131^2)+'LINEST VARS'!$J$70*(8*8)+'LINEST VARS'!$I$70*(8*$EG$128)+'LINEST VARS'!$H$70*(8*0.5)+'LINEST VARS'!$G$70*(8*$DV131)+'LINEST VARS'!$F$70*(8*$EG$128)+'LINEST VARS'!$E$70*(8*0.5)+'LINEST VARS'!$D$70*(8*$DV131)+'LINEST VARS'!$C$70*($EG$128*0.5)+'LINEST VARS'!$B$70*($EG$128*$DV131)+'LINEST VARS'!$A$70*(0.5*$DV131)</f>
        <v>88.000000000000014</v>
      </c>
      <c r="EH131" s="46">
        <f>'LINEST VARS'!$U$70+'LINEST VARS'!$T$70*(8)+'LINEST VARS'!$S$70*(8)+'LINEST VARS'!$R$70*($EH$128)+'LINEST VARS'!$Q$70*(0.5)+'LINEST VARS'!$P$70*($DV131)+'LINEST VARS'!$O$70*(8^2)+'LINEST VARS'!$N$70*(8^2)+'LINEST VARS'!$M$70*($EH$128^2)+'LINEST VARS'!$L$70*(0.5^2)+'LINEST VARS'!$K$70*($DV131^2)+'LINEST VARS'!$J$70*(8*8)+'LINEST VARS'!$I$70*(8*$EH$128)+'LINEST VARS'!$H$70*(8*0.5)+'LINEST VARS'!$G$70*(8*$DV131)+'LINEST VARS'!$F$70*(8*$EH$128)+'LINEST VARS'!$E$70*(8*0.5)+'LINEST VARS'!$D$70*(8*$DV131)+'LINEST VARS'!$C$70*($EH$128*0.5)+'LINEST VARS'!$B$70*($EH$128*$DV131)+'LINEST VARS'!$A$70*(0.5*$DV131)</f>
        <v>87.600000000000023</v>
      </c>
      <c r="EI131" s="46">
        <f>'LINEST VARS'!$U$70+'LINEST VARS'!$T$70*(8)+'LINEST VARS'!$S$70*(8)+'LINEST VARS'!$R$70*($EI$128)+'LINEST VARS'!$Q$70*(0.5)+'LINEST VARS'!$P$70*($DV131)+'LINEST VARS'!$O$70*(8^2)+'LINEST VARS'!$N$70*(8^2)+'LINEST VARS'!$M$70*($EI$128^2)+'LINEST VARS'!$L$70*(0.5^2)+'LINEST VARS'!$K$70*($DV131^2)+'LINEST VARS'!$J$70*(8*8)+'LINEST VARS'!$I$70*(8*$EI$128)+'LINEST VARS'!$H$70*(8*0.5)+'LINEST VARS'!$G$70*(8*$DV131)+'LINEST VARS'!$F$70*(8*$EI$128)+'LINEST VARS'!$E$70*(8*0.5)+'LINEST VARS'!$D$70*(8*$DV131)+'LINEST VARS'!$C$70*($EI$128*0.5)+'LINEST VARS'!$B$70*($EI$128*$DV131)+'LINEST VARS'!$A$70*(0.5*$DV131)</f>
        <v>87.200000000000017</v>
      </c>
      <c r="EJ131" s="46">
        <f>'LINEST VARS'!$U$70+'LINEST VARS'!$T$70*(8)+'LINEST VARS'!$S$70*(8)+'LINEST VARS'!$R$70*($EJ$128)+'LINEST VARS'!$Q$70*(0.5)+'LINEST VARS'!$P$70*($DV131)+'LINEST VARS'!$O$70*(8^2)+'LINEST VARS'!$N$70*(8^2)+'LINEST VARS'!$M$70*($EJ$128^2)+'LINEST VARS'!$L$70*(0.5^2)+'LINEST VARS'!$K$70*($DV131^2)+'LINEST VARS'!$J$70*(8*8)+'LINEST VARS'!$I$70*(8*$EJ$128)+'LINEST VARS'!$H$70*(8*0.5)+'LINEST VARS'!$G$70*(8*$DV131)+'LINEST VARS'!$F$70*(8*$EJ$128)+'LINEST VARS'!$E$70*(8*0.5)+'LINEST VARS'!$D$70*(8*$DV131)+'LINEST VARS'!$C$70*($EJ$128*0.5)+'LINEST VARS'!$B$70*($EJ$128*$DV131)+'LINEST VARS'!$A$70*(0.5*$DV131)</f>
        <v>86.800000000000026</v>
      </c>
      <c r="EK131" s="46">
        <f>'LINEST VARS'!$U$70+'LINEST VARS'!$T$70*(8)+'LINEST VARS'!$S$70*(8)+'LINEST VARS'!$R$70*($EK$128)+'LINEST VARS'!$Q$70*(0.5)+'LINEST VARS'!$P$70*($DV131)+'LINEST VARS'!$O$70*(8^2)+'LINEST VARS'!$N$70*(8^2)+'LINEST VARS'!$M$70*($EK$128^2)+'LINEST VARS'!$L$70*(0.5^2)+'LINEST VARS'!$K$70*($DV131^2)+'LINEST VARS'!$J$70*(8*8)+'LINEST VARS'!$I$70*(8*$EK$128)+'LINEST VARS'!$H$70*(8*0.5)+'LINEST VARS'!$G$70*(8*$DV131)+'LINEST VARS'!$F$70*(8*$EK$128)+'LINEST VARS'!$E$70*(8*0.5)+'LINEST VARS'!$D$70*(8*$DV131)+'LINEST VARS'!$C$70*($EK$128*0.5)+'LINEST VARS'!$B$70*($EK$128*$DV131)+'LINEST VARS'!$A$70*(0.5*$DV131)</f>
        <v>86.40000000000002</v>
      </c>
      <c r="EL131" s="46">
        <f>'LINEST VARS'!$U$70+'LINEST VARS'!$T$70*(8)+'LINEST VARS'!$S$70*(8)+'LINEST VARS'!$R$70*($EL$128)+'LINEST VARS'!$Q$70*(0.5)+'LINEST VARS'!$P$70*($DV131)+'LINEST VARS'!$O$70*(8^2)+'LINEST VARS'!$N$70*(8^2)+'LINEST VARS'!$M$70*($EL$128^2)+'LINEST VARS'!$L$70*(0.5^2)+'LINEST VARS'!$K$70*($DV131^2)+'LINEST VARS'!$J$70*(8*8)+'LINEST VARS'!$I$70*(8*$EL$128)+'LINEST VARS'!$H$70*(8*0.5)+'LINEST VARS'!$G$70*(8*$DV131)+'LINEST VARS'!$F$70*(8*$EL$128)+'LINEST VARS'!$E$70*(8*0.5)+'LINEST VARS'!$D$70*(8*$DV131)+'LINEST VARS'!$C$70*($EL$128*0.5)+'LINEST VARS'!$B$70*($EL$128*$DV131)+'LINEST VARS'!$A$70*(0.5*$DV131)</f>
        <v>86.000000000000014</v>
      </c>
      <c r="EM131" s="46">
        <f>'LINEST VARS'!$U$70+'LINEST VARS'!$T$70*(8)+'LINEST VARS'!$S$70*(8)+'LINEST VARS'!$R$70*($EM$128)+'LINEST VARS'!$Q$70*(0.5)+'LINEST VARS'!$P$70*($DV131)+'LINEST VARS'!$O$70*(8^2)+'LINEST VARS'!$N$70*(8^2)+'LINEST VARS'!$M$70*($EM$128^2)+'LINEST VARS'!$L$70*(0.5^2)+'LINEST VARS'!$K$70*($DV131^2)+'LINEST VARS'!$J$70*(8*8)+'LINEST VARS'!$I$70*(8*$EM$128)+'LINEST VARS'!$H$70*(8*0.5)+'LINEST VARS'!$G$70*(8*$DV131)+'LINEST VARS'!$F$70*(8*$EM$128)+'LINEST VARS'!$E$70*(8*0.5)+'LINEST VARS'!$D$70*(8*$DV131)+'LINEST VARS'!$C$70*($EM$128*0.5)+'LINEST VARS'!$B$70*($EM$128*$DV131)+'LINEST VARS'!$A$70*(0.5*$DV131)</f>
        <v>85.600000000000009</v>
      </c>
      <c r="EN131" s="46">
        <f>'LINEST VARS'!$U$70+'LINEST VARS'!$T$70*(8)+'LINEST VARS'!$S$70*(8)+'LINEST VARS'!$R$70*($EN$128)+'LINEST VARS'!$Q$70*(0.5)+'LINEST VARS'!$P$70*($DV131)+'LINEST VARS'!$O$70*(8^2)+'LINEST VARS'!$N$70*(8^2)+'LINEST VARS'!$M$70*($EN$128^2)+'LINEST VARS'!$L$70*(0.5^2)+'LINEST VARS'!$K$70*($DV131^2)+'LINEST VARS'!$J$70*(8*8)+'LINEST VARS'!$I$70*(8*$EN$128)+'LINEST VARS'!$H$70*(8*0.5)+'LINEST VARS'!$G$70*(8*$DV131)+'LINEST VARS'!$F$70*(8*$EN$128)+'LINEST VARS'!$E$70*(8*0.5)+'LINEST VARS'!$D$70*(8*$DV131)+'LINEST VARS'!$C$70*($EN$128*0.5)+'LINEST VARS'!$B$70*($EN$128*$DV131)+'LINEST VARS'!$A$70*(0.5*$DV131)</f>
        <v>85.200000000000017</v>
      </c>
      <c r="EO131" s="46">
        <f>'LINEST VARS'!$U$70+'LINEST VARS'!$T$70*(8)+'LINEST VARS'!$S$70*(8)+'LINEST VARS'!$R$70*($EO$128)+'LINEST VARS'!$Q$70*(0.5)+'LINEST VARS'!$P$70*($DV131)+'LINEST VARS'!$O$70*(8^2)+'LINEST VARS'!$N$70*(8^2)+'LINEST VARS'!$M$70*($EO$128^2)+'LINEST VARS'!$L$70*(0.5^2)+'LINEST VARS'!$K$70*($DV131^2)+'LINEST VARS'!$J$70*(8*8)+'LINEST VARS'!$I$70*(8*$EO$128)+'LINEST VARS'!$H$70*(8*0.5)+'LINEST VARS'!$G$70*(8*$DV131)+'LINEST VARS'!$F$70*(8*$EO$128)+'LINEST VARS'!$E$70*(8*0.5)+'LINEST VARS'!$D$70*(8*$DV131)+'LINEST VARS'!$C$70*($EO$128*0.5)+'LINEST VARS'!$B$70*($EO$128*$DV131)+'LINEST VARS'!$A$70*(0.5*$DV131)</f>
        <v>84.800000000000011</v>
      </c>
      <c r="EP131" s="46">
        <f>'LINEST VARS'!$U$70+'LINEST VARS'!$T$70*(8)+'LINEST VARS'!$S$70*(8)+'LINEST VARS'!$R$70*($EP$128)+'LINEST VARS'!$Q$70*(0.5)+'LINEST VARS'!$P$70*($DV131)+'LINEST VARS'!$O$70*(8^2)+'LINEST VARS'!$N$70*(8^2)+'LINEST VARS'!$M$70*($EP$128^2)+'LINEST VARS'!$L$70*(0.5^2)+'LINEST VARS'!$K$70*($DV131^2)+'LINEST VARS'!$J$70*(8*8)+'LINEST VARS'!$I$70*(8*$EP$128)+'LINEST VARS'!$H$70*(8*0.5)+'LINEST VARS'!$G$70*(8*$DV131)+'LINEST VARS'!$F$70*(8*$EP$128)+'LINEST VARS'!$E$70*(8*0.5)+'LINEST VARS'!$D$70*(8*$DV131)+'LINEST VARS'!$C$70*($EP$128*0.5)+'LINEST VARS'!$B$70*($EP$128*$DV131)+'LINEST VARS'!$A$70*(0.5*$DV131)</f>
        <v>84.400000000000034</v>
      </c>
      <c r="EQ131" s="47">
        <f>'LINEST VARS'!$U$70+'LINEST VARS'!$T$70*(8)+'LINEST VARS'!$S$70*(8)+'LINEST VARS'!$R$70*($EQ$128)+'LINEST VARS'!$Q$70*(0.5)+'LINEST VARS'!$P$70*($DV131)+'LINEST VARS'!$O$70*(8^2)+'LINEST VARS'!$N$70*(8^2)+'LINEST VARS'!$M$70*($EQ$128^2)+'LINEST VARS'!$L$70*(0.5^2)+'LINEST VARS'!$K$70*($DV131^2)+'LINEST VARS'!$J$70*(8*8)+'LINEST VARS'!$I$70*(8*$EQ$128)+'LINEST VARS'!$H$70*(8*0.5)+'LINEST VARS'!$G$70*(8*$DV131)+'LINEST VARS'!$F$70*(8*$EQ$128)+'LINEST VARS'!$E$70*(8*0.5)+'LINEST VARS'!$D$70*(8*$DV131)+'LINEST VARS'!$C$70*($EQ$128*0.5)+'LINEST VARS'!$B$70*($EQ$128*$DV131)+'LINEST VARS'!$A$70*(0.5*$DV131)</f>
        <v>84.000000000000028</v>
      </c>
    </row>
    <row r="132" spans="2:147" ht="15" customHeight="1" x14ac:dyDescent="0.25">
      <c r="B132" s="45">
        <v>7.58</v>
      </c>
      <c r="C132" s="46">
        <f>'LINEST VARS'!$U$68+'LINEST VARS'!$T$68*($C$128)+'LINEST VARS'!$S$68*($B132)+'LINEST VARS'!$R$68*(4)+'LINEST VARS'!$Q$68*(0.5)+'LINEST VARS'!$P$68*(12.73)+'LINEST VARS'!$O$68*($C$128^2)+'LINEST VARS'!$N$68*($B132^2)+'LINEST VARS'!$M$68*(4^2)+'LINEST VARS'!$L$68*(0.5^2)+'LINEST VARS'!$K$68*(12.73^2)+'LINEST VARS'!$J$68*($C$128*$B132)+'LINEST VARS'!$I$68*($C$128*4)+'LINEST VARS'!$H$68*($C$128*0.5)+'LINEST VARS'!$G$68*($C$128*12.73)+'LINEST VARS'!$F$68*($B132*4)+'LINEST VARS'!$E$68*($B132*0.5)+'LINEST VARS'!$D$68*($B132*12.73)+'LINEST VARS'!$C$68*(4*0.5)+'LINEST VARS'!$B$68*(4*12.73)+'LINEST VARS'!$A$68*(0.5*12.73)</f>
        <v>148.99999999999997</v>
      </c>
      <c r="D132" s="46">
        <f>'LINEST VARS'!$U$68+'LINEST VARS'!$T$68*($D$128)+'LINEST VARS'!$S$68*($B132)+'LINEST VARS'!$R$68*(4)+'LINEST VARS'!$Q$68*(0.5)+'LINEST VARS'!$P$68*(12.73)+'LINEST VARS'!$O$68*($D$128^2)+'LINEST VARS'!$N$68*($B132^2)+'LINEST VARS'!$M$68*(4^2)+'LINEST VARS'!$L$68*(0.5^2)+'LINEST VARS'!$K$68*(12.73^2)+'LINEST VARS'!$J$68*($D$128*$B132)+'LINEST VARS'!$I$68*($D$128*4)+'LINEST VARS'!$H$68*($D$128*0.5)+'LINEST VARS'!$G$68*($D$128*12.73)+'LINEST VARS'!$F$68*($B132*4)+'LINEST VARS'!$E$68*($B132*0.5)+'LINEST VARS'!$D$68*($B132*12.73)+'LINEST VARS'!$C$68*(4*0.5)+'LINEST VARS'!$B$68*(4*12.73)+'LINEST VARS'!$A$68*(0.5*12.73)</f>
        <v>148.99999999999997</v>
      </c>
      <c r="E132" s="46">
        <f>'LINEST VARS'!$U$68+'LINEST VARS'!$T$68*($E$128)+'LINEST VARS'!$S$68*($B132)+'LINEST VARS'!$R$68*(4)+'LINEST VARS'!$Q$68*(0.5)+'LINEST VARS'!$P$68*(12.73)+'LINEST VARS'!$O$68*($E$128^2)+'LINEST VARS'!$N$68*($B132^2)+'LINEST VARS'!$M$68*(4^2)+'LINEST VARS'!$L$68*(0.5^2)+'LINEST VARS'!$K$68*(12.73^2)+'LINEST VARS'!$J$68*($E$128*$B132)+'LINEST VARS'!$I$68*($E$128*4)+'LINEST VARS'!$H$68*($E$128*0.5)+'LINEST VARS'!$G$68*($E$128*12.73)+'LINEST VARS'!$F$68*($B132*4)+'LINEST VARS'!$E$68*($B132*0.5)+'LINEST VARS'!$D$68*($B132*12.73)+'LINEST VARS'!$C$68*(4*0.5)+'LINEST VARS'!$B$68*(4*12.73)+'LINEST VARS'!$A$68*(0.5*12.73)</f>
        <v>148.99999999999997</v>
      </c>
      <c r="F132" s="46">
        <f>'LINEST VARS'!$U$68+'LINEST VARS'!$T$68*($F$128)+'LINEST VARS'!$S$68*($B132)+'LINEST VARS'!$R$68*(4)+'LINEST VARS'!$Q$68*(0.5)+'LINEST VARS'!$P$68*(12.73)+'LINEST VARS'!$O$68*($F$128^2)+'LINEST VARS'!$N$68*($B132^2)+'LINEST VARS'!$M$68*(4^2)+'LINEST VARS'!$L$68*(0.5^2)+'LINEST VARS'!$K$68*(12.73^2)+'LINEST VARS'!$J$68*($F$128*$B132)+'LINEST VARS'!$I$68*($F$128*4)+'LINEST VARS'!$H$68*($F$128*0.5)+'LINEST VARS'!$G$68*($F$128*12.73)+'LINEST VARS'!$F$68*($B132*4)+'LINEST VARS'!$E$68*($B132*0.5)+'LINEST VARS'!$D$68*($B132*12.73)+'LINEST VARS'!$C$68*(4*0.5)+'LINEST VARS'!$B$68*(4*12.73)+'LINEST VARS'!$A$68*(0.5*12.73)</f>
        <v>148.99999999999997</v>
      </c>
      <c r="G132" s="46">
        <f>'LINEST VARS'!$U$68+'LINEST VARS'!$T$68*($G$128)+'LINEST VARS'!$S$68*($B132)+'LINEST VARS'!$R$68*(4)+'LINEST VARS'!$Q$68*(0.5)+'LINEST VARS'!$P$68*(12.73)+'LINEST VARS'!$O$68*($G$128^2)+'LINEST VARS'!$N$68*($B132^2)+'LINEST VARS'!$M$68*(4^2)+'LINEST VARS'!$L$68*(0.5^2)+'LINEST VARS'!$K$68*(12.73^2)+'LINEST VARS'!$J$68*($G$128*$B132)+'LINEST VARS'!$I$68*($G$128*4)+'LINEST VARS'!$H$68*($G$128*0.5)+'LINEST VARS'!$G$68*($G$128*12.73)+'LINEST VARS'!$F$68*($B132*4)+'LINEST VARS'!$E$68*($B132*0.5)+'LINEST VARS'!$D$68*($B132*12.73)+'LINEST VARS'!$C$68*(4*0.5)+'LINEST VARS'!$B$68*(4*12.73)+'LINEST VARS'!$A$68*(0.5*12.73)</f>
        <v>148.99999999999997</v>
      </c>
      <c r="H132" s="46">
        <f>'LINEST VARS'!$U$68+'LINEST VARS'!$T$68*($H$128)+'LINEST VARS'!$S$68*($B132)+'LINEST VARS'!$R$68*(4)+'LINEST VARS'!$Q$68*(0.5)+'LINEST VARS'!$P$68*(12.73)+'LINEST VARS'!$O$68*($H$128^2)+'LINEST VARS'!$N$68*($B132^2)+'LINEST VARS'!$M$68*(4^2)+'LINEST VARS'!$L$68*(0.5^2)+'LINEST VARS'!$K$68*(12.73^2)+'LINEST VARS'!$J$68*($H$128*$B132)+'LINEST VARS'!$I$68*($H$128*4)+'LINEST VARS'!$H$68*($H$128*0.5)+'LINEST VARS'!$G$68*($H$128*12.73)+'LINEST VARS'!$F$68*($B132*4)+'LINEST VARS'!$E$68*($B132*0.5)+'LINEST VARS'!$D$68*($B132*12.73)+'LINEST VARS'!$C$68*(4*0.5)+'LINEST VARS'!$B$68*(4*12.73)+'LINEST VARS'!$A$68*(0.5*12.73)</f>
        <v>148.99999999999997</v>
      </c>
      <c r="I132" s="46">
        <f>'LINEST VARS'!$U$68+'LINEST VARS'!$T$68*($I$128)+'LINEST VARS'!$S$68*($B132)+'LINEST VARS'!$R$68*(4)+'LINEST VARS'!$Q$68*(0.5)+'LINEST VARS'!$P$68*(12.73)+'LINEST VARS'!$O$68*($I$128^2)+'LINEST VARS'!$N$68*($B132^2)+'LINEST VARS'!$M$68*(4^2)+'LINEST VARS'!$L$68*(0.5^2)+'LINEST VARS'!$K$68*(12.73^2)+'LINEST VARS'!$J$68*($I$128*$B132)+'LINEST VARS'!$I$68*($I$128*4)+'LINEST VARS'!$H$68*($I$128*0.5)+'LINEST VARS'!$G$68*($I$128*12.73)+'LINEST VARS'!$F$68*($B132*4)+'LINEST VARS'!$E$68*($B132*0.5)+'LINEST VARS'!$D$68*($B132*12.73)+'LINEST VARS'!$C$68*(4*0.5)+'LINEST VARS'!$B$68*(4*12.73)+'LINEST VARS'!$A$68*(0.5*12.73)</f>
        <v>148.99999999999997</v>
      </c>
      <c r="J132" s="46">
        <f>'LINEST VARS'!$U$68+'LINEST VARS'!$T$68*($J$128)+'LINEST VARS'!$S$68*($B132)+'LINEST VARS'!$R$68*(4)+'LINEST VARS'!$Q$68*(0.5)+'LINEST VARS'!$P$68*(12.73)+'LINEST VARS'!$O$68*($J$128^2)+'LINEST VARS'!$N$68*($B132^2)+'LINEST VARS'!$M$68*(4^2)+'LINEST VARS'!$L$68*(0.5^2)+'LINEST VARS'!$K$68*(12.73^2)+'LINEST VARS'!$J$68*($J$128*$B132)+'LINEST VARS'!$I$68*($J$128*4)+'LINEST VARS'!$H$68*($J$128*0.5)+'LINEST VARS'!$G$68*($J$128*12.73)+'LINEST VARS'!$F$68*($B132*4)+'LINEST VARS'!$E$68*($B132*0.5)+'LINEST VARS'!$D$68*($B132*12.73)+'LINEST VARS'!$C$68*(4*0.5)+'LINEST VARS'!$B$68*(4*12.73)+'LINEST VARS'!$A$68*(0.5*12.73)</f>
        <v>148.99999999999997</v>
      </c>
      <c r="K132" s="46">
        <f>'LINEST VARS'!$U$68+'LINEST VARS'!$T$68*($K$128)+'LINEST VARS'!$S$68*($B132)+'LINEST VARS'!$R$68*(4)+'LINEST VARS'!$Q$68*(0.5)+'LINEST VARS'!$P$68*(12.73)+'LINEST VARS'!$O$68*($K$128^2)+'LINEST VARS'!$N$68*($B132^2)+'LINEST VARS'!$M$68*(4^2)+'LINEST VARS'!$L$68*(0.5^2)+'LINEST VARS'!$K$68*(12.73^2)+'LINEST VARS'!$J$68*($K$128*$B132)+'LINEST VARS'!$I$68*($K$128*4)+'LINEST VARS'!$H$68*($K$128*0.5)+'LINEST VARS'!$G$68*($K$128*12.73)+'LINEST VARS'!$F$68*($B132*4)+'LINEST VARS'!$E$68*($B132*0.5)+'LINEST VARS'!$D$68*($B132*12.73)+'LINEST VARS'!$C$68*(4*0.5)+'LINEST VARS'!$B$68*(4*12.73)+'LINEST VARS'!$A$68*(0.5*12.73)</f>
        <v>148.99999999999997</v>
      </c>
      <c r="L132" s="46">
        <f>'LINEST VARS'!$U$68+'LINEST VARS'!$T$68*($L$128)+'LINEST VARS'!$S$68*($B132)+'LINEST VARS'!$R$68*(4)+'LINEST VARS'!$Q$68*(0.5)+'LINEST VARS'!$P$68*(12.73)+'LINEST VARS'!$O$68*($L$128^2)+'LINEST VARS'!$N$68*($B132^2)+'LINEST VARS'!$M$68*(4^2)+'LINEST VARS'!$L$68*(0.5^2)+'LINEST VARS'!$K$68*(12.73^2)+'LINEST VARS'!$J$68*($L$128*$B132)+'LINEST VARS'!$I$68*($L$128*4)+'LINEST VARS'!$H$68*($L$128*0.5)+'LINEST VARS'!$G$68*($L$128*12.73)+'LINEST VARS'!$F$68*($B132*4)+'LINEST VARS'!$E$68*($B132*0.5)+'LINEST VARS'!$D$68*($B132*12.73)+'LINEST VARS'!$C$68*(4*0.5)+'LINEST VARS'!$B$68*(4*12.73)+'LINEST VARS'!$A$68*(0.5*12.73)</f>
        <v>148.99999999999997</v>
      </c>
      <c r="M132" s="46">
        <f>'LINEST VARS'!$U$68+'LINEST VARS'!$T$68*($M$128)+'LINEST VARS'!$S$68*($B132)+'LINEST VARS'!$R$68*(4)+'LINEST VARS'!$Q$68*(0.5)+'LINEST VARS'!$P$68*(12.73)+'LINEST VARS'!$O$68*($M$128^2)+'LINEST VARS'!$N$68*($B132^2)+'LINEST VARS'!$M$68*(4^2)+'LINEST VARS'!$L$68*(0.5^2)+'LINEST VARS'!$K$68*(12.73^2)+'LINEST VARS'!$J$68*($M$128*$B132)+'LINEST VARS'!$I$68*($M$128*4)+'LINEST VARS'!$H$68*($M$128*0.5)+'LINEST VARS'!$G$68*($M$128*12.73)+'LINEST VARS'!$F$68*($B132*4)+'LINEST VARS'!$E$68*($B132*0.5)+'LINEST VARS'!$D$68*($B132*12.73)+'LINEST VARS'!$C$68*(4*0.5)+'LINEST VARS'!$B$68*(4*12.73)+'LINEST VARS'!$A$68*(0.5*12.73)</f>
        <v>148.99999999999997</v>
      </c>
      <c r="N132" s="46">
        <f>'LINEST VARS'!$U$68+'LINEST VARS'!$T$68*($N$128)+'LINEST VARS'!$S$68*($B132)+'LINEST VARS'!$R$68*(4)+'LINEST VARS'!$Q$68*(0.5)+'LINEST VARS'!$P$68*(12.73)+'LINEST VARS'!$O$68*($N$128^2)+'LINEST VARS'!$N$68*($B132^2)+'LINEST VARS'!$M$68*(4^2)+'LINEST VARS'!$L$68*(0.5^2)+'LINEST VARS'!$K$68*(12.73^2)+'LINEST VARS'!$J$68*($N$128*$B132)+'LINEST VARS'!$I$68*($N$128*4)+'LINEST VARS'!$H$68*($N$128*0.5)+'LINEST VARS'!$G$68*($N$128*12.73)+'LINEST VARS'!$F$68*($B132*4)+'LINEST VARS'!$E$68*($B132*0.5)+'LINEST VARS'!$D$68*($B132*12.73)+'LINEST VARS'!$C$68*(4*0.5)+'LINEST VARS'!$B$68*(4*12.73)+'LINEST VARS'!$A$68*(0.5*12.73)</f>
        <v>148.99999999999997</v>
      </c>
      <c r="O132" s="46">
        <f>'LINEST VARS'!$U$68+'LINEST VARS'!$T$68*($O$128)+'LINEST VARS'!$S$68*($B132)+'LINEST VARS'!$R$68*(4)+'LINEST VARS'!$Q$68*(0.5)+'LINEST VARS'!$P$68*(12.73)+'LINEST VARS'!$O$68*($O$128^2)+'LINEST VARS'!$N$68*($B132^2)+'LINEST VARS'!$M$68*(4^2)+'LINEST VARS'!$L$68*(0.5^2)+'LINEST VARS'!$K$68*(12.73^2)+'LINEST VARS'!$J$68*($O$128*$B132)+'LINEST VARS'!$I$68*($O$128*4)+'LINEST VARS'!$H$68*($O$128*0.5)+'LINEST VARS'!$G$68*($O$128*12.73)+'LINEST VARS'!$F$68*($B132*4)+'LINEST VARS'!$E$68*($B132*0.5)+'LINEST VARS'!$D$68*($B132*12.73)+'LINEST VARS'!$C$68*(4*0.5)+'LINEST VARS'!$B$68*(4*12.73)+'LINEST VARS'!$A$68*(0.5*12.73)</f>
        <v>148.99999999999997</v>
      </c>
      <c r="P132" s="46">
        <f>'LINEST VARS'!$U$68+'LINEST VARS'!$T$68*($P$128)+'LINEST VARS'!$S$68*($B132)+'LINEST VARS'!$R$68*(4)+'LINEST VARS'!$Q$68*(0.5)+'LINEST VARS'!$P$68*(12.73)+'LINEST VARS'!$O$68*($P$128^2)+'LINEST VARS'!$N$68*($B132^2)+'LINEST VARS'!$M$68*(4^2)+'LINEST VARS'!$L$68*(0.5^2)+'LINEST VARS'!$K$68*(12.73^2)+'LINEST VARS'!$J$68*($P$128*$B132)+'LINEST VARS'!$I$68*($P$128*4)+'LINEST VARS'!$H$68*($P$128*0.5)+'LINEST VARS'!$G$68*($P$128*12.73)+'LINEST VARS'!$F$68*($B132*4)+'LINEST VARS'!$E$68*($B132*0.5)+'LINEST VARS'!$D$68*($B132*12.73)+'LINEST VARS'!$C$68*(4*0.5)+'LINEST VARS'!$B$68*(4*12.73)+'LINEST VARS'!$A$68*(0.5*12.73)</f>
        <v>148.99999999999997</v>
      </c>
      <c r="Q132" s="46">
        <f>'LINEST VARS'!$U$68+'LINEST VARS'!$T$68*($Q$128)+'LINEST VARS'!$S$68*($B132)+'LINEST VARS'!$R$68*(4)+'LINEST VARS'!$Q$68*(0.5)+'LINEST VARS'!$P$68*(12.73)+'LINEST VARS'!$O$68*($Q$128^2)+'LINEST VARS'!$N$68*($B132^2)+'LINEST VARS'!$M$68*(4^2)+'LINEST VARS'!$L$68*(0.5^2)+'LINEST VARS'!$K$68*(12.73^2)+'LINEST VARS'!$J$68*($Q$128*$B132)+'LINEST VARS'!$I$68*($Q$128*4)+'LINEST VARS'!$H$68*($Q$128*0.5)+'LINEST VARS'!$G$68*($Q$128*12.73)+'LINEST VARS'!$F$68*($B132*4)+'LINEST VARS'!$E$68*($B132*0.5)+'LINEST VARS'!$D$68*($B132*12.73)+'LINEST VARS'!$C$68*(4*0.5)+'LINEST VARS'!$B$68*(4*12.73)+'LINEST VARS'!$A$68*(0.5*12.73)</f>
        <v>148.99999999999997</v>
      </c>
      <c r="R132" s="46">
        <f>'LINEST VARS'!$U$68+'LINEST VARS'!$T$68*($R$128)+'LINEST VARS'!$S$68*($B132)+'LINEST VARS'!$R$68*(4)+'LINEST VARS'!$Q$68*(0.5)+'LINEST VARS'!$P$68*(12.73)+'LINEST VARS'!$O$68*($R$128^2)+'LINEST VARS'!$N$68*($B132^2)+'LINEST VARS'!$M$68*(4^2)+'LINEST VARS'!$L$68*(0.5^2)+'LINEST VARS'!$K$68*(12.73^2)+'LINEST VARS'!$J$68*($R$128*$B132)+'LINEST VARS'!$I$68*($R$128*4)+'LINEST VARS'!$H$68*($R$128*0.5)+'LINEST VARS'!$G$68*($R$128*12.73)+'LINEST VARS'!$F$68*($B132*4)+'LINEST VARS'!$E$68*($B132*0.5)+'LINEST VARS'!$D$68*($B132*12.73)+'LINEST VARS'!$C$68*(4*0.5)+'LINEST VARS'!$B$68*(4*12.73)+'LINEST VARS'!$A$68*(0.5*12.73)</f>
        <v>148.99999999999997</v>
      </c>
      <c r="S132" s="46">
        <f>'LINEST VARS'!$U$68+'LINEST VARS'!$T$68*($S$128)+'LINEST VARS'!$S$68*($B132)+'LINEST VARS'!$R$68*(4)+'LINEST VARS'!$Q$68*(0.5)+'LINEST VARS'!$P$68*(12.73)+'LINEST VARS'!$O$68*($S$128^2)+'LINEST VARS'!$N$68*($B132^2)+'LINEST VARS'!$M$68*(4^2)+'LINEST VARS'!$L$68*(0.5^2)+'LINEST VARS'!$K$68*(12.73^2)+'LINEST VARS'!$J$68*($S$128*$B132)+'LINEST VARS'!$I$68*($S$128*4)+'LINEST VARS'!$H$68*($S$128*0.5)+'LINEST VARS'!$G$68*($S$128*12.73)+'LINEST VARS'!$F$68*($B132*4)+'LINEST VARS'!$E$68*($B132*0.5)+'LINEST VARS'!$D$68*($B132*12.73)+'LINEST VARS'!$C$68*(4*0.5)+'LINEST VARS'!$B$68*(4*12.73)+'LINEST VARS'!$A$68*(0.5*12.73)</f>
        <v>148.99999999999997</v>
      </c>
      <c r="T132" s="46">
        <f>'LINEST VARS'!$U$68+'LINEST VARS'!$T$68*($T$128)+'LINEST VARS'!$S$68*($B132)+'LINEST VARS'!$R$68*(4)+'LINEST VARS'!$Q$68*(0.5)+'LINEST VARS'!$P$68*(12.73)+'LINEST VARS'!$O$68*($T$128^2)+'LINEST VARS'!$N$68*($B132^2)+'LINEST VARS'!$M$68*(4^2)+'LINEST VARS'!$L$68*(0.5^2)+'LINEST VARS'!$K$68*(12.73^2)+'LINEST VARS'!$J$68*($T$128*$B132)+'LINEST VARS'!$I$68*($T$128*4)+'LINEST VARS'!$H$68*($T$128*0.5)+'LINEST VARS'!$G$68*($T$128*12.73)+'LINEST VARS'!$F$68*($B132*4)+'LINEST VARS'!$E$68*($B132*0.5)+'LINEST VARS'!$D$68*($B132*12.73)+'LINEST VARS'!$C$68*(4*0.5)+'LINEST VARS'!$B$68*(4*12.73)+'LINEST VARS'!$A$68*(0.5*12.73)</f>
        <v>148.99999999999997</v>
      </c>
      <c r="U132" s="46">
        <f>'LINEST VARS'!$U$68+'LINEST VARS'!$T$68*($U$128)+'LINEST VARS'!$S$68*($B132)+'LINEST VARS'!$R$68*(4)+'LINEST VARS'!$Q$68*(0.5)+'LINEST VARS'!$P$68*(12.73)+'LINEST VARS'!$O$68*($U$128^2)+'LINEST VARS'!$N$68*($B132^2)+'LINEST VARS'!$M$68*(4^2)+'LINEST VARS'!$L$68*(0.5^2)+'LINEST VARS'!$K$68*(12.73^2)+'LINEST VARS'!$J$68*($U$128*$B132)+'LINEST VARS'!$I$68*($U$128*4)+'LINEST VARS'!$H$68*($U$128*0.5)+'LINEST VARS'!$G$68*($U$128*12.73)+'LINEST VARS'!$F$68*($B132*4)+'LINEST VARS'!$E$68*($B132*0.5)+'LINEST VARS'!$D$68*($B132*12.73)+'LINEST VARS'!$C$68*(4*0.5)+'LINEST VARS'!$B$68*(4*12.73)+'LINEST VARS'!$A$68*(0.5*12.73)</f>
        <v>148.99999999999997</v>
      </c>
      <c r="V132" s="46">
        <f>'LINEST VARS'!$U$68+'LINEST VARS'!$T$68*($V$128)+'LINEST VARS'!$S$68*($B132)+'LINEST VARS'!$R$68*(4)+'LINEST VARS'!$Q$68*(0.5)+'LINEST VARS'!$P$68*(12.73)+'LINEST VARS'!$O$68*($V$128^2)+'LINEST VARS'!$N$68*($B132^2)+'LINEST VARS'!$M$68*(4^2)+'LINEST VARS'!$L$68*(0.5^2)+'LINEST VARS'!$K$68*(12.73^2)+'LINEST VARS'!$J$68*($V$128*$B132)+'LINEST VARS'!$I$68*($V$128*4)+'LINEST VARS'!$H$68*($V$128*0.5)+'LINEST VARS'!$G$68*($V$128*12.73)+'LINEST VARS'!$F$68*($B132*4)+'LINEST VARS'!$E$68*($B132*0.5)+'LINEST VARS'!$D$68*($B132*12.73)+'LINEST VARS'!$C$68*(4*0.5)+'LINEST VARS'!$B$68*(4*12.73)+'LINEST VARS'!$A$68*(0.5*12.73)</f>
        <v>148.99999999999997</v>
      </c>
      <c r="W132" s="47">
        <f>'LINEST VARS'!$U$68+'LINEST VARS'!$T$68*($W$128)+'LINEST VARS'!$S$68*($B132)+'LINEST VARS'!$R$68*(4)+'LINEST VARS'!$Q$68*(0.5)+'LINEST VARS'!$P$68*(12.73)+'LINEST VARS'!$O$68*($W$128^2)+'LINEST VARS'!$N$68*($B132^2)+'LINEST VARS'!$M$68*(4^2)+'LINEST VARS'!$L$68*(0.5^2)+'LINEST VARS'!$K$68*(12.73^2)+'LINEST VARS'!$J$68*($W$128*$B132)+'LINEST VARS'!$I$68*($W$128*4)+'LINEST VARS'!$H$68*($W$128*0.5)+'LINEST VARS'!$G$68*($W$128*12.73)+'LINEST VARS'!$F$68*($B132*4)+'LINEST VARS'!$E$68*($B132*0.5)+'LINEST VARS'!$D$68*($B132*12.73)+'LINEST VARS'!$C$68*(4*0.5)+'LINEST VARS'!$B$68*(4*12.73)+'LINEST VARS'!$A$68*(0.5*12.73)</f>
        <v>148.99999999999997</v>
      </c>
      <c r="Z132" s="45">
        <v>7.58</v>
      </c>
      <c r="AA132" s="46">
        <f>'LINEST VARS'!$U$70+'LINEST VARS'!$T$70*($AA$128)+'LINEST VARS'!$S$70*($Z132)+'LINEST VARS'!$R$70*(4)+'LINEST VARS'!$Q$70*(0.5)+'LINEST VARS'!$P$70*(12.73)+'LINEST VARS'!$O$70*($AA$128^2)+'LINEST VARS'!$N$70*($Z132^2)+'LINEST VARS'!$M$70*(4^2)+'LINEST VARS'!$L$70*(0.5^2)+'LINEST VARS'!$K$70*(12.73^2)+'LINEST VARS'!$J$70*($AA$128*$Z132)+'LINEST VARS'!$I$70*($AA$128*4)+'LINEST VARS'!$H$70*($AA$128*0.5)+'LINEST VARS'!$G$70*($AA$128*12.73)+'LINEST VARS'!$F$70*($Z132*4)+'LINEST VARS'!$E$70*($Z132*0.5)+'LINEST VARS'!$D$70*($Z132*12.73)+'LINEST VARS'!$C$70*(4*0.5)+'LINEST VARS'!$B$70*(4*12.73)+'LINEST VARS'!$A$70*(0.5*12.73)</f>
        <v>87.370000000000019</v>
      </c>
      <c r="AB132" s="46">
        <f>'LINEST VARS'!$U$70+'LINEST VARS'!$T$70*($AB$128)+'LINEST VARS'!$S$70*($Z132)+'LINEST VARS'!$R$70*(4)+'LINEST VARS'!$Q$70*(0.5)+'LINEST VARS'!$P$70*(12.73)+'LINEST VARS'!$O$70*($AB$128^2)+'LINEST VARS'!$N$70*($Z132^2)+'LINEST VARS'!$M$70*(4^2)+'LINEST VARS'!$L$70*(0.5^2)+'LINEST VARS'!$K$70*(12.73^2)+'LINEST VARS'!$J$70*($AB$128*$Z132)+'LINEST VARS'!$I$70*($AB$128*4)+'LINEST VARS'!$H$70*($AB$128*0.5)+'LINEST VARS'!$G$70*($AB$128*12.73)+'LINEST VARS'!$F$70*($Z132*4)+'LINEST VARS'!$E$70*($Z132*0.5)+'LINEST VARS'!$D$70*($Z132*12.73)+'LINEST VARS'!$C$70*(4*0.5)+'LINEST VARS'!$B$70*(4*12.73)+'LINEST VARS'!$A$70*(0.5*12.73)</f>
        <v>87.370000000000019</v>
      </c>
      <c r="AC132" s="46">
        <f>'LINEST VARS'!$U$70+'LINEST VARS'!$T$70*($AC$128)+'LINEST VARS'!$S$70*($Z132)+'LINEST VARS'!$R$70*(4)+'LINEST VARS'!$Q$70*(0.5)+'LINEST VARS'!$P$70*(12.73)+'LINEST VARS'!$O$70*($AC$128^2)+'LINEST VARS'!$N$70*($Z132^2)+'LINEST VARS'!$M$70*(4^2)+'LINEST VARS'!$L$70*(0.5^2)+'LINEST VARS'!$K$70*(12.73^2)+'LINEST VARS'!$J$70*($AC$128*$Z132)+'LINEST VARS'!$I$70*($AC$128*4)+'LINEST VARS'!$H$70*($AC$128*0.5)+'LINEST VARS'!$G$70*($AC$128*12.73)+'LINEST VARS'!$F$70*($Z132*4)+'LINEST VARS'!$E$70*($Z132*0.5)+'LINEST VARS'!$D$70*($Z132*12.73)+'LINEST VARS'!$C$70*(4*0.5)+'LINEST VARS'!$B$70*(4*12.73)+'LINEST VARS'!$A$70*(0.5*12.73)</f>
        <v>87.370000000000019</v>
      </c>
      <c r="AD132" s="46">
        <f>'LINEST VARS'!$U$70+'LINEST VARS'!$T$70*($AD$128)+'LINEST VARS'!$S$70*($Z132)+'LINEST VARS'!$R$70*(4)+'LINEST VARS'!$Q$70*(0.5)+'LINEST VARS'!$P$70*(12.73)+'LINEST VARS'!$O$70*($AD$128^2)+'LINEST VARS'!$N$70*($Z132^2)+'LINEST VARS'!$M$70*(4^2)+'LINEST VARS'!$L$70*(0.5^2)+'LINEST VARS'!$K$70*(12.73^2)+'LINEST VARS'!$J$70*($AD$128*$Z132)+'LINEST VARS'!$I$70*($AD$128*4)+'LINEST VARS'!$H$70*($AD$128*0.5)+'LINEST VARS'!$G$70*($AD$128*12.73)+'LINEST VARS'!$F$70*($Z132*4)+'LINEST VARS'!$E$70*($Z132*0.5)+'LINEST VARS'!$D$70*($Z132*12.73)+'LINEST VARS'!$C$70*(4*0.5)+'LINEST VARS'!$B$70*(4*12.73)+'LINEST VARS'!$A$70*(0.5*12.73)</f>
        <v>87.370000000000019</v>
      </c>
      <c r="AE132" s="46">
        <f>'LINEST VARS'!$U$70+'LINEST VARS'!$T$70*($AE$128)+'LINEST VARS'!$S$70*($Z132)+'LINEST VARS'!$R$70*(4)+'LINEST VARS'!$Q$70*(0.5)+'LINEST VARS'!$P$70*(12.73)+'LINEST VARS'!$O$70*($AE$128^2)+'LINEST VARS'!$N$70*($Z132^2)+'LINEST VARS'!$M$70*(4^2)+'LINEST VARS'!$L$70*(0.5^2)+'LINEST VARS'!$K$70*(12.73^2)+'LINEST VARS'!$J$70*($AE$128*$Z132)+'LINEST VARS'!$I$70*($AE$128*4)+'LINEST VARS'!$H$70*($AE$128*0.5)+'LINEST VARS'!$G$70*($AE$128*12.73)+'LINEST VARS'!$F$70*($Z132*4)+'LINEST VARS'!$E$70*($Z132*0.5)+'LINEST VARS'!$D$70*($Z132*12.73)+'LINEST VARS'!$C$70*(4*0.5)+'LINEST VARS'!$B$70*(4*12.73)+'LINEST VARS'!$A$70*(0.5*12.73)</f>
        <v>87.370000000000019</v>
      </c>
      <c r="AF132" s="46">
        <f>'LINEST VARS'!$U$70+'LINEST VARS'!$T$70*($AF$128)+'LINEST VARS'!$S$70*($Z132)+'LINEST VARS'!$R$70*(4)+'LINEST VARS'!$Q$70*(0.5)+'LINEST VARS'!$P$70*(12.73)+'LINEST VARS'!$O$70*($AF$128^2)+'LINEST VARS'!$N$70*($Z132^2)+'LINEST VARS'!$M$70*(4^2)+'LINEST VARS'!$L$70*(0.5^2)+'LINEST VARS'!$K$70*(12.73^2)+'LINEST VARS'!$J$70*($AF$128*$Z132)+'LINEST VARS'!$I$70*($AF$128*4)+'LINEST VARS'!$H$70*($AF$128*0.5)+'LINEST VARS'!$G$70*($AF$128*12.73)+'LINEST VARS'!$F$70*($Z132*4)+'LINEST VARS'!$E$70*($Z132*0.5)+'LINEST VARS'!$D$70*($Z132*12.73)+'LINEST VARS'!$C$70*(4*0.5)+'LINEST VARS'!$B$70*(4*12.73)+'LINEST VARS'!$A$70*(0.5*12.73)</f>
        <v>87.370000000000019</v>
      </c>
      <c r="AG132" s="46">
        <f>'LINEST VARS'!$U$70+'LINEST VARS'!$T$70*($AG$128)+'LINEST VARS'!$S$70*($Z132)+'LINEST VARS'!$R$70*(4)+'LINEST VARS'!$Q$70*(0.5)+'LINEST VARS'!$P$70*(12.73)+'LINEST VARS'!$O$70*($AG$128^2)+'LINEST VARS'!$N$70*($Z132^2)+'LINEST VARS'!$M$70*(4^2)+'LINEST VARS'!$L$70*(0.5^2)+'LINEST VARS'!$K$70*(12.73^2)+'LINEST VARS'!$J$70*($AG$128*$Z132)+'LINEST VARS'!$I$70*($AG$128*4)+'LINEST VARS'!$H$70*($AG$128*0.5)+'LINEST VARS'!$G$70*($AG$128*12.73)+'LINEST VARS'!$F$70*($Z132*4)+'LINEST VARS'!$E$70*($Z132*0.5)+'LINEST VARS'!$D$70*($Z132*12.73)+'LINEST VARS'!$C$70*(4*0.5)+'LINEST VARS'!$B$70*(4*12.73)+'LINEST VARS'!$A$70*(0.5*12.73)</f>
        <v>87.370000000000019</v>
      </c>
      <c r="AH132" s="46">
        <f>'LINEST VARS'!$U$70+'LINEST VARS'!$T$70*($AH$128)+'LINEST VARS'!$S$70*($Z132)+'LINEST VARS'!$R$70*(4)+'LINEST VARS'!$Q$70*(0.5)+'LINEST VARS'!$P$70*(12.73)+'LINEST VARS'!$O$70*($AH$128^2)+'LINEST VARS'!$N$70*($Z132^2)+'LINEST VARS'!$M$70*(4^2)+'LINEST VARS'!$L$70*(0.5^2)+'LINEST VARS'!$K$70*(12.73^2)+'LINEST VARS'!$J$70*($AH$128*$Z132)+'LINEST VARS'!$I$70*($AH$128*4)+'LINEST VARS'!$H$70*($AH$128*0.5)+'LINEST VARS'!$G$70*($AH$128*12.73)+'LINEST VARS'!$F$70*($Z132*4)+'LINEST VARS'!$E$70*($Z132*0.5)+'LINEST VARS'!$D$70*($Z132*12.73)+'LINEST VARS'!$C$70*(4*0.5)+'LINEST VARS'!$B$70*(4*12.73)+'LINEST VARS'!$A$70*(0.5*12.73)</f>
        <v>87.370000000000019</v>
      </c>
      <c r="AI132" s="46">
        <f>'LINEST VARS'!$U$70+'LINEST VARS'!$T$70*($AI$128)+'LINEST VARS'!$S$70*($Z132)+'LINEST VARS'!$R$70*(4)+'LINEST VARS'!$Q$70*(0.5)+'LINEST VARS'!$P$70*(12.73)+'LINEST VARS'!$O$70*($AI$128^2)+'LINEST VARS'!$N$70*($Z132^2)+'LINEST VARS'!$M$70*(4^2)+'LINEST VARS'!$L$70*(0.5^2)+'LINEST VARS'!$K$70*(12.73^2)+'LINEST VARS'!$J$70*($AI$128*$Z132)+'LINEST VARS'!$I$70*($AI$128*4)+'LINEST VARS'!$H$70*($AI$128*0.5)+'LINEST VARS'!$G$70*($AI$128*12.73)+'LINEST VARS'!$F$70*($Z132*4)+'LINEST VARS'!$E$70*($Z132*0.5)+'LINEST VARS'!$D$70*($Z132*12.73)+'LINEST VARS'!$C$70*(4*0.5)+'LINEST VARS'!$B$70*(4*12.73)+'LINEST VARS'!$A$70*(0.5*12.73)</f>
        <v>87.370000000000019</v>
      </c>
      <c r="AJ132" s="46">
        <f>'LINEST VARS'!$U$70+'LINEST VARS'!$T$70*($AJ$128)+'LINEST VARS'!$S$70*($Z132)+'LINEST VARS'!$R$70*(4)+'LINEST VARS'!$Q$70*(0.5)+'LINEST VARS'!$P$70*(12.73)+'LINEST VARS'!$O$70*($AJ$128^2)+'LINEST VARS'!$N$70*($Z132^2)+'LINEST VARS'!$M$70*(4^2)+'LINEST VARS'!$L$70*(0.5^2)+'LINEST VARS'!$K$70*(12.73^2)+'LINEST VARS'!$J$70*($AJ$128*$Z132)+'LINEST VARS'!$I$70*($AJ$128*4)+'LINEST VARS'!$H$70*($AJ$128*0.5)+'LINEST VARS'!$G$70*($AJ$128*12.73)+'LINEST VARS'!$F$70*($Z132*4)+'LINEST VARS'!$E$70*($Z132*0.5)+'LINEST VARS'!$D$70*($Z132*12.73)+'LINEST VARS'!$C$70*(4*0.5)+'LINEST VARS'!$B$70*(4*12.73)+'LINEST VARS'!$A$70*(0.5*12.73)</f>
        <v>87.370000000000019</v>
      </c>
      <c r="AK132" s="46">
        <f>'LINEST VARS'!$U$70+'LINEST VARS'!$T$70*($AK$128)+'LINEST VARS'!$S$70*($Z132)+'LINEST VARS'!$R$70*(4)+'LINEST VARS'!$Q$70*(0.5)+'LINEST VARS'!$P$70*(12.73)+'LINEST VARS'!$O$70*($AK$128^2)+'LINEST VARS'!$N$70*($Z132^2)+'LINEST VARS'!$M$70*(4^2)+'LINEST VARS'!$L$70*(0.5^2)+'LINEST VARS'!$K$70*(12.73^2)+'LINEST VARS'!$J$70*($AK$128*$Z132)+'LINEST VARS'!$I$70*($AK$128*4)+'LINEST VARS'!$H$70*($AK$128*0.5)+'LINEST VARS'!$G$70*($AK$128*12.73)+'LINEST VARS'!$F$70*($Z132*4)+'LINEST VARS'!$E$70*($Z132*0.5)+'LINEST VARS'!$D$70*($Z132*12.73)+'LINEST VARS'!$C$70*(4*0.5)+'LINEST VARS'!$B$70*(4*12.73)+'LINEST VARS'!$A$70*(0.5*12.73)</f>
        <v>87.370000000000019</v>
      </c>
      <c r="AL132" s="46">
        <f>'LINEST VARS'!$U$70+'LINEST VARS'!$T$70*($AL$128)+'LINEST VARS'!$S$70*($Z132)+'LINEST VARS'!$R$70*(4)+'LINEST VARS'!$Q$70*(0.5)+'LINEST VARS'!$P$70*(12.73)+'LINEST VARS'!$O$70*($AL$128^2)+'LINEST VARS'!$N$70*($Z132^2)+'LINEST VARS'!$M$70*(4^2)+'LINEST VARS'!$L$70*(0.5^2)+'LINEST VARS'!$K$70*(12.73^2)+'LINEST VARS'!$J$70*($AL$128*$Z132)+'LINEST VARS'!$I$70*($AL$128*4)+'LINEST VARS'!$H$70*($AL$128*0.5)+'LINEST VARS'!$G$70*($AL$128*12.73)+'LINEST VARS'!$F$70*($Z132*4)+'LINEST VARS'!$E$70*($Z132*0.5)+'LINEST VARS'!$D$70*($Z132*12.73)+'LINEST VARS'!$C$70*(4*0.5)+'LINEST VARS'!$B$70*(4*12.73)+'LINEST VARS'!$A$70*(0.5*12.73)</f>
        <v>87.370000000000019</v>
      </c>
      <c r="AM132" s="46">
        <f>'LINEST VARS'!$U$70+'LINEST VARS'!$T$70*($AM$128)+'LINEST VARS'!$S$70*($Z132)+'LINEST VARS'!$R$70*(4)+'LINEST VARS'!$Q$70*(0.5)+'LINEST VARS'!$P$70*(12.73)+'LINEST VARS'!$O$70*($AM$128^2)+'LINEST VARS'!$N$70*($Z132^2)+'LINEST VARS'!$M$70*(4^2)+'LINEST VARS'!$L$70*(0.5^2)+'LINEST VARS'!$K$70*(12.73^2)+'LINEST VARS'!$J$70*($AM$128*$Z132)+'LINEST VARS'!$I$70*($AM$128*4)+'LINEST VARS'!$H$70*($AM$128*0.5)+'LINEST VARS'!$G$70*($AM$128*12.73)+'LINEST VARS'!$F$70*($Z132*4)+'LINEST VARS'!$E$70*($Z132*0.5)+'LINEST VARS'!$D$70*($Z132*12.73)+'LINEST VARS'!$C$70*(4*0.5)+'LINEST VARS'!$B$70*(4*12.73)+'LINEST VARS'!$A$70*(0.5*12.73)</f>
        <v>87.370000000000019</v>
      </c>
      <c r="AN132" s="46">
        <f>'LINEST VARS'!$U$70+'LINEST VARS'!$T$70*($AN$128)+'LINEST VARS'!$S$70*($Z132)+'LINEST VARS'!$R$70*(4)+'LINEST VARS'!$Q$70*(0.5)+'LINEST VARS'!$P$70*(12.73)+'LINEST VARS'!$O$70*($AN$128^2)+'LINEST VARS'!$N$70*($Z132^2)+'LINEST VARS'!$M$70*(4^2)+'LINEST VARS'!$L$70*(0.5^2)+'LINEST VARS'!$K$70*(12.73^2)+'LINEST VARS'!$J$70*($AN$128*$Z132)+'LINEST VARS'!$I$70*($AN$128*4)+'LINEST VARS'!$H$70*($AN$128*0.5)+'LINEST VARS'!$G$70*($AN$128*12.73)+'LINEST VARS'!$F$70*($Z132*4)+'LINEST VARS'!$E$70*($Z132*0.5)+'LINEST VARS'!$D$70*($Z132*12.73)+'LINEST VARS'!$C$70*(4*0.5)+'LINEST VARS'!$B$70*(4*12.73)+'LINEST VARS'!$A$70*(0.5*12.73)</f>
        <v>87.370000000000019</v>
      </c>
      <c r="AO132" s="46">
        <f>'LINEST VARS'!$U$70+'LINEST VARS'!$T$70*($AO$128)+'LINEST VARS'!$S$70*($Z132)+'LINEST VARS'!$R$70*(4)+'LINEST VARS'!$Q$70*(0.5)+'LINEST VARS'!$P$70*(12.73)+'LINEST VARS'!$O$70*($AO$128^2)+'LINEST VARS'!$N$70*($Z132^2)+'LINEST VARS'!$M$70*(4^2)+'LINEST VARS'!$L$70*(0.5^2)+'LINEST VARS'!$K$70*(12.73^2)+'LINEST VARS'!$J$70*($AO$128*$Z132)+'LINEST VARS'!$I$70*($AO$128*4)+'LINEST VARS'!$H$70*($AO$128*0.5)+'LINEST VARS'!$G$70*($AO$128*12.73)+'LINEST VARS'!$F$70*($Z132*4)+'LINEST VARS'!$E$70*($Z132*0.5)+'LINEST VARS'!$D$70*($Z132*12.73)+'LINEST VARS'!$C$70*(4*0.5)+'LINEST VARS'!$B$70*(4*12.73)+'LINEST VARS'!$A$70*(0.5*12.73)</f>
        <v>87.370000000000019</v>
      </c>
      <c r="AP132" s="46">
        <f>'LINEST VARS'!$U$70+'LINEST VARS'!$T$70*($AP$128)+'LINEST VARS'!$S$70*($Z132)+'LINEST VARS'!$R$70*(4)+'LINEST VARS'!$Q$70*(0.5)+'LINEST VARS'!$P$70*(12.73)+'LINEST VARS'!$O$70*($AP$128^2)+'LINEST VARS'!$N$70*($Z132^2)+'LINEST VARS'!$M$70*(4^2)+'LINEST VARS'!$L$70*(0.5^2)+'LINEST VARS'!$K$70*(12.73^2)+'LINEST VARS'!$J$70*($AP$128*$Z132)+'LINEST VARS'!$I$70*($AP$128*4)+'LINEST VARS'!$H$70*($AP$128*0.5)+'LINEST VARS'!$G$70*($AP$128*12.73)+'LINEST VARS'!$F$70*($Z132*4)+'LINEST VARS'!$E$70*($Z132*0.5)+'LINEST VARS'!$D$70*($Z132*12.73)+'LINEST VARS'!$C$70*(4*0.5)+'LINEST VARS'!$B$70*(4*12.73)+'LINEST VARS'!$A$70*(0.5*12.73)</f>
        <v>87.370000000000019</v>
      </c>
      <c r="AQ132" s="46">
        <f>'LINEST VARS'!$U$70+'LINEST VARS'!$T$70*($AQ$128)+'LINEST VARS'!$S$70*($Z132)+'LINEST VARS'!$R$70*(4)+'LINEST VARS'!$Q$70*(0.5)+'LINEST VARS'!$P$70*(12.73)+'LINEST VARS'!$O$70*($AQ$128^2)+'LINEST VARS'!$N$70*($Z132^2)+'LINEST VARS'!$M$70*(4^2)+'LINEST VARS'!$L$70*(0.5^2)+'LINEST VARS'!$K$70*(12.73^2)+'LINEST VARS'!$J$70*($AQ$128*$Z132)+'LINEST VARS'!$I$70*($AQ$128*4)+'LINEST VARS'!$H$70*($AQ$128*0.5)+'LINEST VARS'!$G$70*($AQ$128*12.73)+'LINEST VARS'!$F$70*($Z132*4)+'LINEST VARS'!$E$70*($Z132*0.5)+'LINEST VARS'!$D$70*($Z132*12.73)+'LINEST VARS'!$C$70*(4*0.5)+'LINEST VARS'!$B$70*(4*12.73)+'LINEST VARS'!$A$70*(0.5*12.73)</f>
        <v>87.370000000000019</v>
      </c>
      <c r="AR132" s="46">
        <f>'LINEST VARS'!$U$70+'LINEST VARS'!$T$70*($AR$128)+'LINEST VARS'!$S$70*($Z132)+'LINEST VARS'!$R$70*(4)+'LINEST VARS'!$Q$70*(0.5)+'LINEST VARS'!$P$70*(12.73)+'LINEST VARS'!$O$70*($AR$128^2)+'LINEST VARS'!$N$70*($Z132^2)+'LINEST VARS'!$M$70*(4^2)+'LINEST VARS'!$L$70*(0.5^2)+'LINEST VARS'!$K$70*(12.73^2)+'LINEST VARS'!$J$70*($AR$128*$Z132)+'LINEST VARS'!$I$70*($AR$128*4)+'LINEST VARS'!$H$70*($AR$128*0.5)+'LINEST VARS'!$G$70*($AR$128*12.73)+'LINEST VARS'!$F$70*($Z132*4)+'LINEST VARS'!$E$70*($Z132*0.5)+'LINEST VARS'!$D$70*($Z132*12.73)+'LINEST VARS'!$C$70*(4*0.5)+'LINEST VARS'!$B$70*(4*12.73)+'LINEST VARS'!$A$70*(0.5*12.73)</f>
        <v>87.370000000000019</v>
      </c>
      <c r="AS132" s="46">
        <f>'LINEST VARS'!$U$70+'LINEST VARS'!$T$70*($AS$128)+'LINEST VARS'!$S$70*($Z132)+'LINEST VARS'!$R$70*(4)+'LINEST VARS'!$Q$70*(0.5)+'LINEST VARS'!$P$70*(12.73)+'LINEST VARS'!$O$70*($AS$128^2)+'LINEST VARS'!$N$70*($Z132^2)+'LINEST VARS'!$M$70*(4^2)+'LINEST VARS'!$L$70*(0.5^2)+'LINEST VARS'!$K$70*(12.73^2)+'LINEST VARS'!$J$70*($AS$128*$Z132)+'LINEST VARS'!$I$70*($AS$128*4)+'LINEST VARS'!$H$70*($AS$128*0.5)+'LINEST VARS'!$G$70*($AS$128*12.73)+'LINEST VARS'!$F$70*($Z132*4)+'LINEST VARS'!$E$70*($Z132*0.5)+'LINEST VARS'!$D$70*($Z132*12.73)+'LINEST VARS'!$C$70*(4*0.5)+'LINEST VARS'!$B$70*(4*12.73)+'LINEST VARS'!$A$70*(0.5*12.73)</f>
        <v>87.370000000000019</v>
      </c>
      <c r="AT132" s="46">
        <f>'LINEST VARS'!$U$70+'LINEST VARS'!$T$70*($AT$128)+'LINEST VARS'!$S$70*($Z132)+'LINEST VARS'!$R$70*(4)+'LINEST VARS'!$Q$70*(0.5)+'LINEST VARS'!$P$70*(12.73)+'LINEST VARS'!$O$70*($AT$128^2)+'LINEST VARS'!$N$70*($Z132^2)+'LINEST VARS'!$M$70*(4^2)+'LINEST VARS'!$L$70*(0.5^2)+'LINEST VARS'!$K$70*(12.73^2)+'LINEST VARS'!$J$70*($AT$128*$Z132)+'LINEST VARS'!$I$70*($AT$128*4)+'LINEST VARS'!$H$70*($AT$128*0.5)+'LINEST VARS'!$G$70*($AT$128*12.73)+'LINEST VARS'!$F$70*($Z132*4)+'LINEST VARS'!$E$70*($Z132*0.5)+'LINEST VARS'!$D$70*($Z132*12.73)+'LINEST VARS'!$C$70*(4*0.5)+'LINEST VARS'!$B$70*(4*12.73)+'LINEST VARS'!$A$70*(0.5*12.73)</f>
        <v>87.370000000000019</v>
      </c>
      <c r="AU132" s="47">
        <f>'LINEST VARS'!$U$70+'LINEST VARS'!$T$70*($AU$128)+'LINEST VARS'!$S$70*($Z132)+'LINEST VARS'!$R$70*(4)+'LINEST VARS'!$Q$70*(0.5)+'LINEST VARS'!$P$70*(12.73)+'LINEST VARS'!$O$70*($AU$128^2)+'LINEST VARS'!$N$70*($Z132^2)+'LINEST VARS'!$M$70*(4^2)+'LINEST VARS'!$L$70*(0.5^2)+'LINEST VARS'!$K$70*(12.73^2)+'LINEST VARS'!$J$70*($AU$128*$Z132)+'LINEST VARS'!$I$70*($AU$128*4)+'LINEST VARS'!$H$70*($AU$128*0.5)+'LINEST VARS'!$G$70*($AU$128*12.73)+'LINEST VARS'!$F$70*($Z132*4)+'LINEST VARS'!$E$70*($Z132*0.5)+'LINEST VARS'!$D$70*($Z132*12.73)+'LINEST VARS'!$C$70*(4*0.5)+'LINEST VARS'!$B$70*(4*12.73)+'LINEST VARS'!$A$70*(0.5*12.73)</f>
        <v>87.370000000000019</v>
      </c>
      <c r="AZ132" s="45">
        <v>0.15</v>
      </c>
      <c r="BA132" s="46">
        <f>'LINEST VARS'!$U$68+'LINEST VARS'!$T$68*(8)+'LINEST VARS'!$S$68*(8)+'LINEST VARS'!$R$68*($BA$128)+'LINEST VARS'!$Q$68*($AZ132)+'LINEST VARS'!$P$68*(12.73)+'LINEST VARS'!$O$68*(8^2)+'LINEST VARS'!$N$68*(8^2)+'LINEST VARS'!$M$68*($BA$128^2)+'LINEST VARS'!$L$68*($AZ132^2)+'LINEST VARS'!$K$68*(12.73^2)+'LINEST VARS'!$J$68*(8*8)+'LINEST VARS'!$I$68*(8*$BA$128)+'LINEST VARS'!$H$68*(8*$AZ132)+'LINEST VARS'!$G$68*(8*12.73)+'LINEST VARS'!$F$68*(8*$BA$128)+'LINEST VARS'!$E$68*(8*$AZ132)+'LINEST VARS'!$D$68*(8*12.73)+'LINEST VARS'!$C$68*($BA$128*$AZ132)+'LINEST VARS'!$B$68*($BA$128*12.73)+'LINEST VARS'!$A$68*($AZ132*12.73)</f>
        <v>149.91</v>
      </c>
      <c r="BB132" s="46">
        <f>'LINEST VARS'!$U$68+'LINEST VARS'!$T$68*(8)+'LINEST VARS'!$S$68*(8)+'LINEST VARS'!$R$68*($BB$128)+'LINEST VARS'!$Q$68*($AZ132)+'LINEST VARS'!$P$68*(12.73)+'LINEST VARS'!$O$68*(8^2)+'LINEST VARS'!$N$68*(8^2)+'LINEST VARS'!$M$68*($BB$128^2)+'LINEST VARS'!$L$68*($AZ132^2)+'LINEST VARS'!$K$68*(12.73^2)+'LINEST VARS'!$J$68*(8*8)+'LINEST VARS'!$I$68*(8*$BB$128)+'LINEST VARS'!$H$68*(8*$AZ132)+'LINEST VARS'!$G$68*(8*12.73)+'LINEST VARS'!$F$68*(8*$BB$128)+'LINEST VARS'!$E$68*(8*$AZ132)+'LINEST VARS'!$D$68*(8*12.73)+'LINEST VARS'!$C$68*($BB$128*$AZ132)+'LINEST VARS'!$B$68*($BB$128*12.73)+'LINEST VARS'!$A$68*($AZ132*12.73)</f>
        <v>149.91</v>
      </c>
      <c r="BC132" s="46">
        <f>'LINEST VARS'!$U$68+'LINEST VARS'!$T$68*(8)+'LINEST VARS'!$S$68*(8)+'LINEST VARS'!$R$68*($BC$128)+'LINEST VARS'!$Q$68*($AZ132)+'LINEST VARS'!$P$68*(12.73)+'LINEST VARS'!$O$68*(8^2)+'LINEST VARS'!$N$68*(8^2)+'LINEST VARS'!$M$68*($BC$128^2)+'LINEST VARS'!$L$68*($AZ132^2)+'LINEST VARS'!$K$68*(12.73^2)+'LINEST VARS'!$J$68*(8*8)+'LINEST VARS'!$I$68*(8*$BC$128)+'LINEST VARS'!$H$68*(8*$AZ132)+'LINEST VARS'!$G$68*(8*12.73)+'LINEST VARS'!$F$68*(8*$BC$128)+'LINEST VARS'!$E$68*(8*$AZ132)+'LINEST VARS'!$D$68*(8*12.73)+'LINEST VARS'!$C$68*($BC$128*$AZ132)+'LINEST VARS'!$B$68*($BC$128*12.73)+'LINEST VARS'!$A$68*($AZ132*12.73)</f>
        <v>149.91</v>
      </c>
      <c r="BD132" s="46">
        <f>'LINEST VARS'!$U$68+'LINEST VARS'!$T$68*(8)+'LINEST VARS'!$S$68*(8)+'LINEST VARS'!$R$68*($BD$128)+'LINEST VARS'!$Q$68*($AZ132)+'LINEST VARS'!$P$68*(12.73)+'LINEST VARS'!$O$68*(8^2)+'LINEST VARS'!$N$68*(8^2)+'LINEST VARS'!$M$68*($BD$128^2)+'LINEST VARS'!$L$68*($AZ132^2)+'LINEST VARS'!$K$68*(12.73^2)+'LINEST VARS'!$J$68*(8*8)+'LINEST VARS'!$I$68*(8*$BD$128)+'LINEST VARS'!$H$68*(8*$AZ132)+'LINEST VARS'!$G$68*(8*12.73)+'LINEST VARS'!$F$68*(8*$BD$128)+'LINEST VARS'!$E$68*(8*$AZ132)+'LINEST VARS'!$D$68*(8*12.73)+'LINEST VARS'!$C$68*($BD$128*$AZ132)+'LINEST VARS'!$B$68*($BD$128*12.73)+'LINEST VARS'!$A$68*($AZ132*12.73)</f>
        <v>149.91</v>
      </c>
      <c r="BE132" s="46">
        <f>'LINEST VARS'!$U$68+'LINEST VARS'!$T$68*(8)+'LINEST VARS'!$S$68*(8)+'LINEST VARS'!$R$68*($BE$128)+'LINEST VARS'!$Q$68*($AZ132)+'LINEST VARS'!$P$68*(12.73)+'LINEST VARS'!$O$68*(8^2)+'LINEST VARS'!$N$68*(8^2)+'LINEST VARS'!$M$68*($BE$128^2)+'LINEST VARS'!$L$68*($AZ132^2)+'LINEST VARS'!$K$68*(12.73^2)+'LINEST VARS'!$J$68*(8*8)+'LINEST VARS'!$I$68*(8*$BE$128)+'LINEST VARS'!$H$68*(8*$AZ132)+'LINEST VARS'!$G$68*(8*12.73)+'LINEST VARS'!$F$68*(8*$BE$128)+'LINEST VARS'!$E$68*(8*$AZ132)+'LINEST VARS'!$D$68*(8*12.73)+'LINEST VARS'!$C$68*($BE$128*$AZ132)+'LINEST VARS'!$B$68*($BE$128*12.73)+'LINEST VARS'!$A$68*($AZ132*12.73)</f>
        <v>149.91</v>
      </c>
      <c r="BF132" s="46">
        <f>'LINEST VARS'!$U$68+'LINEST VARS'!$T$68*(8)+'LINEST VARS'!$S$68*(8)+'LINEST VARS'!$R$68*($BF$128)+'LINEST VARS'!$Q$68*($AZ132)+'LINEST VARS'!$P$68*(12.73)+'LINEST VARS'!$O$68*(8^2)+'LINEST VARS'!$N$68*(8^2)+'LINEST VARS'!$M$68*($BF$128^2)+'LINEST VARS'!$L$68*($AZ132^2)+'LINEST VARS'!$K$68*(12.73^2)+'LINEST VARS'!$J$68*(8*8)+'LINEST VARS'!$I$68*(8*$BF$128)+'LINEST VARS'!$H$68*(8*$AZ132)+'LINEST VARS'!$G$68*(8*12.73)+'LINEST VARS'!$F$68*(8*$BF$128)+'LINEST VARS'!$E$68*(8*$AZ132)+'LINEST VARS'!$D$68*(8*12.73)+'LINEST VARS'!$C$68*($BF$128*$AZ132)+'LINEST VARS'!$B$68*($BF$128*12.73)+'LINEST VARS'!$A$68*($AZ132*12.73)</f>
        <v>149.91</v>
      </c>
      <c r="BG132" s="46">
        <f>'LINEST VARS'!$U$68+'LINEST VARS'!$T$68*(8)+'LINEST VARS'!$S$68*(8)+'LINEST VARS'!$R$68*($BG$128)+'LINEST VARS'!$Q$68*($AZ132)+'LINEST VARS'!$P$68*(12.73)+'LINEST VARS'!$O$68*(8^2)+'LINEST VARS'!$N$68*(8^2)+'LINEST VARS'!$M$68*($BG$128^2)+'LINEST VARS'!$L$68*($AZ132^2)+'LINEST VARS'!$K$68*(12.73^2)+'LINEST VARS'!$J$68*(8*8)+'LINEST VARS'!$I$68*(8*$BG$128)+'LINEST VARS'!$H$68*(8*$AZ132)+'LINEST VARS'!$G$68*(8*12.73)+'LINEST VARS'!$F$68*(8*$BG$128)+'LINEST VARS'!$E$68*(8*$AZ132)+'LINEST VARS'!$D$68*(8*12.73)+'LINEST VARS'!$C$68*($BG$128*$AZ132)+'LINEST VARS'!$B$68*($BG$128*12.73)+'LINEST VARS'!$A$68*($AZ132*12.73)</f>
        <v>149.91</v>
      </c>
      <c r="BH132" s="46">
        <f>'LINEST VARS'!$U$68+'LINEST VARS'!$T$68*(8)+'LINEST VARS'!$S$68*(8)+'LINEST VARS'!$R$68*($BH$128)+'LINEST VARS'!$Q$68*($AZ132)+'LINEST VARS'!$P$68*(12.73)+'LINEST VARS'!$O$68*(8^2)+'LINEST VARS'!$N$68*(8^2)+'LINEST VARS'!$M$68*($BH$128^2)+'LINEST VARS'!$L$68*($AZ132^2)+'LINEST VARS'!$K$68*(12.73^2)+'LINEST VARS'!$J$68*(8*8)+'LINEST VARS'!$I$68*(8*$BH$128)+'LINEST VARS'!$H$68*(8*$AZ132)+'LINEST VARS'!$G$68*(8*12.73)+'LINEST VARS'!$F$68*(8*$BH$128)+'LINEST VARS'!$E$68*(8*$AZ132)+'LINEST VARS'!$D$68*(8*12.73)+'LINEST VARS'!$C$68*($BH$128*$AZ132)+'LINEST VARS'!$B$68*($BH$128*12.73)+'LINEST VARS'!$A$68*($AZ132*12.73)</f>
        <v>149.91</v>
      </c>
      <c r="BI132" s="46">
        <f>'LINEST VARS'!$U$68+'LINEST VARS'!$T$68*(8)+'LINEST VARS'!$S$68*(8)+'LINEST VARS'!$R$68*($BI$128)+'LINEST VARS'!$Q$68*($AZ132)+'LINEST VARS'!$P$68*(12.73)+'LINEST VARS'!$O$68*(8^2)+'LINEST VARS'!$N$68*(8^2)+'LINEST VARS'!$M$68*($BI$128^2)+'LINEST VARS'!$L$68*($AZ132^2)+'LINEST VARS'!$K$68*(12.73^2)+'LINEST VARS'!$J$68*(8*8)+'LINEST VARS'!$I$68*(8*$BI$128)+'LINEST VARS'!$H$68*(8*$AZ132)+'LINEST VARS'!$G$68*(8*12.73)+'LINEST VARS'!$F$68*(8*$BI$128)+'LINEST VARS'!$E$68*(8*$AZ132)+'LINEST VARS'!$D$68*(8*12.73)+'LINEST VARS'!$C$68*($BI$128*$AZ132)+'LINEST VARS'!$B$68*($BI$128*12.73)+'LINEST VARS'!$A$68*($AZ132*12.73)</f>
        <v>149.91</v>
      </c>
      <c r="BJ132" s="46">
        <f>'LINEST VARS'!$U$68+'LINEST VARS'!$T$68*(8)+'LINEST VARS'!$S$68*(8)+'LINEST VARS'!$R$68*($BJ$128)+'LINEST VARS'!$Q$68*($AZ132)+'LINEST VARS'!$P$68*(12.73)+'LINEST VARS'!$O$68*(8^2)+'LINEST VARS'!$N$68*(8^2)+'LINEST VARS'!$M$68*($BJ$128^2)+'LINEST VARS'!$L$68*($AZ132^2)+'LINEST VARS'!$K$68*(12.73^2)+'LINEST VARS'!$J$68*(8*8)+'LINEST VARS'!$I$68*(8*$BJ$128)+'LINEST VARS'!$H$68*(8*$AZ132)+'LINEST VARS'!$G$68*(8*12.73)+'LINEST VARS'!$F$68*(8*$BJ$128)+'LINEST VARS'!$E$68*(8*$AZ132)+'LINEST VARS'!$D$68*(8*12.73)+'LINEST VARS'!$C$68*($BJ$128*$AZ132)+'LINEST VARS'!$B$68*($BJ$128*12.73)+'LINEST VARS'!$A$68*($AZ132*12.73)</f>
        <v>149.91</v>
      </c>
      <c r="BK132" s="46">
        <f>'LINEST VARS'!$U$68+'LINEST VARS'!$T$68*(8)+'LINEST VARS'!$S$68*(8)+'LINEST VARS'!$R$68*($BK$128)+'LINEST VARS'!$Q$68*($AZ132)+'LINEST VARS'!$P$68*(12.73)+'LINEST VARS'!$O$68*(8^2)+'LINEST VARS'!$N$68*(8^2)+'LINEST VARS'!$M$68*($BK$128^2)+'LINEST VARS'!$L$68*($AZ132^2)+'LINEST VARS'!$K$68*(12.73^2)+'LINEST VARS'!$J$68*(8*8)+'LINEST VARS'!$I$68*(8*$BK$128)+'LINEST VARS'!$H$68*(8*$AZ132)+'LINEST VARS'!$G$68*(8*12.73)+'LINEST VARS'!$F$68*(8*$BK$128)+'LINEST VARS'!$E$68*(8*$AZ132)+'LINEST VARS'!$D$68*(8*12.73)+'LINEST VARS'!$C$68*($BK$128*$AZ132)+'LINEST VARS'!$B$68*($BK$128*12.73)+'LINEST VARS'!$A$68*($AZ132*12.73)</f>
        <v>149.91</v>
      </c>
      <c r="BL132" s="46">
        <f>'LINEST VARS'!$U$68+'LINEST VARS'!$T$68*(8)+'LINEST VARS'!$S$68*(8)+'LINEST VARS'!$R$68*($BL$128)+'LINEST VARS'!$Q$68*($AZ132)+'LINEST VARS'!$P$68*(12.73)+'LINEST VARS'!$O$68*(8^2)+'LINEST VARS'!$N$68*(8^2)+'LINEST VARS'!$M$68*($BL$128^2)+'LINEST VARS'!$L$68*($AZ132^2)+'LINEST VARS'!$K$68*(12.73^2)+'LINEST VARS'!$J$68*(8*8)+'LINEST VARS'!$I$68*(8*$BL$128)+'LINEST VARS'!$H$68*(8*$AZ132)+'LINEST VARS'!$G$68*(8*12.73)+'LINEST VARS'!$F$68*(8*$BL$128)+'LINEST VARS'!$E$68*(8*$AZ132)+'LINEST VARS'!$D$68*(8*12.73)+'LINEST VARS'!$C$68*($BL$128*$AZ132)+'LINEST VARS'!$B$68*($BL$128*12.73)+'LINEST VARS'!$A$68*($AZ132*12.73)</f>
        <v>149.91</v>
      </c>
      <c r="BM132" s="46">
        <f>'LINEST VARS'!$U$68+'LINEST VARS'!$T$68*(8)+'LINEST VARS'!$S$68*(8)+'LINEST VARS'!$R$68*($BM$128)+'LINEST VARS'!$Q$68*($AZ132)+'LINEST VARS'!$P$68*(12.73)+'LINEST VARS'!$O$68*(8^2)+'LINEST VARS'!$N$68*(8^2)+'LINEST VARS'!$M$68*($BM$128^2)+'LINEST VARS'!$L$68*($AZ132^2)+'LINEST VARS'!$K$68*(12.73^2)+'LINEST VARS'!$J$68*(8*8)+'LINEST VARS'!$I$68*(8*$BM$128)+'LINEST VARS'!$H$68*(8*$AZ132)+'LINEST VARS'!$G$68*(8*12.73)+'LINEST VARS'!$F$68*(8*$BM$128)+'LINEST VARS'!$E$68*(8*$AZ132)+'LINEST VARS'!$D$68*(8*12.73)+'LINEST VARS'!$C$68*($BM$128*$AZ132)+'LINEST VARS'!$B$68*($BM$128*12.73)+'LINEST VARS'!$A$68*($AZ132*12.73)</f>
        <v>149.91</v>
      </c>
      <c r="BN132" s="46">
        <f>'LINEST VARS'!$U$68+'LINEST VARS'!$T$68*(8)+'LINEST VARS'!$S$68*(8)+'LINEST VARS'!$R$68*($BN$128)+'LINEST VARS'!$Q$68*($AZ132)+'LINEST VARS'!$P$68*(12.73)+'LINEST VARS'!$O$68*(8^2)+'LINEST VARS'!$N$68*(8^2)+'LINEST VARS'!$M$68*($BN$128^2)+'LINEST VARS'!$L$68*($AZ132^2)+'LINEST VARS'!$K$68*(12.73^2)+'LINEST VARS'!$J$68*(8*8)+'LINEST VARS'!$I$68*(8*$BN$128)+'LINEST VARS'!$H$68*(8*$AZ132)+'LINEST VARS'!$G$68*(8*12.73)+'LINEST VARS'!$F$68*(8*$BN$128)+'LINEST VARS'!$E$68*(8*$AZ132)+'LINEST VARS'!$D$68*(8*12.73)+'LINEST VARS'!$C$68*($BN$128*$AZ132)+'LINEST VARS'!$B$68*($BN$128*12.73)+'LINEST VARS'!$A$68*($AZ132*12.73)</f>
        <v>149.91</v>
      </c>
      <c r="BO132" s="46">
        <f>'LINEST VARS'!$U$68+'LINEST VARS'!$T$68*(8)+'LINEST VARS'!$S$68*(8)+'LINEST VARS'!$R$68*($BO$128)+'LINEST VARS'!$Q$68*($AZ132)+'LINEST VARS'!$P$68*(12.73)+'LINEST VARS'!$O$68*(8^2)+'LINEST VARS'!$N$68*(8^2)+'LINEST VARS'!$M$68*($BO$128^2)+'LINEST VARS'!$L$68*($AZ132^2)+'LINEST VARS'!$K$68*(12.73^2)+'LINEST VARS'!$J$68*(8*8)+'LINEST VARS'!$I$68*(8*$BO$128)+'LINEST VARS'!$H$68*(8*$AZ132)+'LINEST VARS'!$G$68*(8*12.73)+'LINEST VARS'!$F$68*(8*$BO$128)+'LINEST VARS'!$E$68*(8*$AZ132)+'LINEST VARS'!$D$68*(8*12.73)+'LINEST VARS'!$C$68*($BO$128*$AZ132)+'LINEST VARS'!$B$68*($BO$128*12.73)+'LINEST VARS'!$A$68*($AZ132*12.73)</f>
        <v>149.91</v>
      </c>
      <c r="BP132" s="46">
        <f>'LINEST VARS'!$U$68+'LINEST VARS'!$T$68*(8)+'LINEST VARS'!$S$68*(8)+'LINEST VARS'!$R$68*($BP$128)+'LINEST VARS'!$Q$68*($AZ132)+'LINEST VARS'!$P$68*(12.73)+'LINEST VARS'!$O$68*(8^2)+'LINEST VARS'!$N$68*(8^2)+'LINEST VARS'!$M$68*($BP$128^2)+'LINEST VARS'!$L$68*($AZ132^2)+'LINEST VARS'!$K$68*(12.73^2)+'LINEST VARS'!$J$68*(8*8)+'LINEST VARS'!$I$68*(8*$BP$128)+'LINEST VARS'!$H$68*(8*$AZ132)+'LINEST VARS'!$G$68*(8*12.73)+'LINEST VARS'!$F$68*(8*$BP$128)+'LINEST VARS'!$E$68*(8*$AZ132)+'LINEST VARS'!$D$68*(8*12.73)+'LINEST VARS'!$C$68*($BP$128*$AZ132)+'LINEST VARS'!$B$68*($BP$128*12.73)+'LINEST VARS'!$A$68*($AZ132*12.73)</f>
        <v>149.91</v>
      </c>
      <c r="BQ132" s="46">
        <f>'LINEST VARS'!$U$68+'LINEST VARS'!$T$68*(8)+'LINEST VARS'!$S$68*(8)+'LINEST VARS'!$R$68*($BQ$128)+'LINEST VARS'!$Q$68*($AZ132)+'LINEST VARS'!$P$68*(12.73)+'LINEST VARS'!$O$68*(8^2)+'LINEST VARS'!$N$68*(8^2)+'LINEST VARS'!$M$68*($BQ$128^2)+'LINEST VARS'!$L$68*($AZ132^2)+'LINEST VARS'!$K$68*(12.73^2)+'LINEST VARS'!$J$68*(8*8)+'LINEST VARS'!$I$68*(8*$BQ$128)+'LINEST VARS'!$H$68*(8*$AZ132)+'LINEST VARS'!$G$68*(8*12.73)+'LINEST VARS'!$F$68*(8*$BQ$128)+'LINEST VARS'!$E$68*(8*$AZ132)+'LINEST VARS'!$D$68*(8*12.73)+'LINEST VARS'!$C$68*($BQ$128*$AZ132)+'LINEST VARS'!$B$68*($BQ$128*12.73)+'LINEST VARS'!$A$68*($AZ132*12.73)</f>
        <v>149.91</v>
      </c>
      <c r="BR132" s="46">
        <f>'LINEST VARS'!$U$68+'LINEST VARS'!$T$68*(8)+'LINEST VARS'!$S$68*(8)+'LINEST VARS'!$R$68*($BR$128)+'LINEST VARS'!$Q$68*($AZ132)+'LINEST VARS'!$P$68*(12.73)+'LINEST VARS'!$O$68*(8^2)+'LINEST VARS'!$N$68*(8^2)+'LINEST VARS'!$M$68*($BR$128^2)+'LINEST VARS'!$L$68*($AZ132^2)+'LINEST VARS'!$K$68*(12.73^2)+'LINEST VARS'!$J$68*(8*8)+'LINEST VARS'!$I$68*(8*$BR$128)+'LINEST VARS'!$H$68*(8*$AZ132)+'LINEST VARS'!$G$68*(8*12.73)+'LINEST VARS'!$F$68*(8*$BR$128)+'LINEST VARS'!$E$68*(8*$AZ132)+'LINEST VARS'!$D$68*(8*12.73)+'LINEST VARS'!$C$68*($BR$128*$AZ132)+'LINEST VARS'!$B$68*($BR$128*12.73)+'LINEST VARS'!$A$68*($AZ132*12.73)</f>
        <v>149.91</v>
      </c>
      <c r="BS132" s="46">
        <f>'LINEST VARS'!$U$68+'LINEST VARS'!$T$68*(8)+'LINEST VARS'!$S$68*(8)+'LINEST VARS'!$R$68*($BS$128)+'LINEST VARS'!$Q$68*($AZ132)+'LINEST VARS'!$P$68*(12.73)+'LINEST VARS'!$O$68*(8^2)+'LINEST VARS'!$N$68*(8^2)+'LINEST VARS'!$M$68*($BS$128^2)+'LINEST VARS'!$L$68*($AZ132^2)+'LINEST VARS'!$K$68*(12.73^2)+'LINEST VARS'!$J$68*(8*8)+'LINEST VARS'!$I$68*(8*$BS$128)+'LINEST VARS'!$H$68*(8*$AZ132)+'LINEST VARS'!$G$68*(8*12.73)+'LINEST VARS'!$F$68*(8*$BS$128)+'LINEST VARS'!$E$68*(8*$AZ132)+'LINEST VARS'!$D$68*(8*12.73)+'LINEST VARS'!$C$68*($BS$128*$AZ132)+'LINEST VARS'!$B$68*($BS$128*12.73)+'LINEST VARS'!$A$68*($AZ132*12.73)</f>
        <v>149.91</v>
      </c>
      <c r="BT132" s="46">
        <f>'LINEST VARS'!$U$68+'LINEST VARS'!$T$68*(8)+'LINEST VARS'!$S$68*(8)+'LINEST VARS'!$R$68*($BT$128)+'LINEST VARS'!$Q$68*($AZ132)+'LINEST VARS'!$P$68*(12.73)+'LINEST VARS'!$O$68*(8^2)+'LINEST VARS'!$N$68*(8^2)+'LINEST VARS'!$M$68*($BT$128^2)+'LINEST VARS'!$L$68*($AZ132^2)+'LINEST VARS'!$K$68*(12.73^2)+'LINEST VARS'!$J$68*(8*8)+'LINEST VARS'!$I$68*(8*$BT$128)+'LINEST VARS'!$H$68*(8*$AZ132)+'LINEST VARS'!$G$68*(8*12.73)+'LINEST VARS'!$F$68*(8*$BT$128)+'LINEST VARS'!$E$68*(8*$AZ132)+'LINEST VARS'!$D$68*(8*12.73)+'LINEST VARS'!$C$68*($BT$128*$AZ132)+'LINEST VARS'!$B$68*($BT$128*12.73)+'LINEST VARS'!$A$68*($AZ132*12.73)</f>
        <v>149.91</v>
      </c>
      <c r="BU132" s="47">
        <f>'LINEST VARS'!$U$68+'LINEST VARS'!$T$68*(8)+'LINEST VARS'!$S$68*(8)+'LINEST VARS'!$R$68*($BU$128)+'LINEST VARS'!$Q$68*($AZ132)+'LINEST VARS'!$P$68*(12.73)+'LINEST VARS'!$O$68*(8^2)+'LINEST VARS'!$N$68*(8^2)+'LINEST VARS'!$M$68*($BU$128^2)+'LINEST VARS'!$L$68*($AZ132^2)+'LINEST VARS'!$K$68*(12.73^2)+'LINEST VARS'!$J$68*(8*8)+'LINEST VARS'!$I$68*(8*$BU$128)+'LINEST VARS'!$H$68*(8*$AZ132)+'LINEST VARS'!$G$68*(8*12.73)+'LINEST VARS'!$F$68*(8*$BU$128)+'LINEST VARS'!$E$68*(8*$AZ132)+'LINEST VARS'!$D$68*(8*12.73)+'LINEST VARS'!$C$68*($BU$128*$AZ132)+'LINEST VARS'!$B$68*($BU$128*12.73)+'LINEST VARS'!$A$68*($AZ132*12.73)</f>
        <v>149.91</v>
      </c>
      <c r="BX132" s="45">
        <v>0.15</v>
      </c>
      <c r="BY132" s="46">
        <f>'LINEST VARS'!$U$70+'LINEST VARS'!$T$70*(8)+'LINEST VARS'!$S$70*(8)+'LINEST VARS'!$R$70*($BY$128)+'LINEST VARS'!$Q$70*($BX132)+'LINEST VARS'!$P$70*(12.73)+'LINEST VARS'!$O$70*(8^2)+'LINEST VARS'!$N$70*(8^2)+'LINEST VARS'!$M$70*($BY$128^2)+'LINEST VARS'!$L$70*($BX132^2)+'LINEST VARS'!$K$70*(12.73^2)+'LINEST VARS'!$J$70*(8*8)+'LINEST VARS'!$I$70*(8*$BY$128)+'LINEST VARS'!$H$70*(8*$BX132)+'LINEST VARS'!$G$70*(8*12.73)+'LINEST VARS'!$F$70*(8*$BY$128)+'LINEST VARS'!$E$70*(8*$BX132)+'LINEST VARS'!$D$70*(8*12.73)+'LINEST VARS'!$C$70*($BY$128*$BX132)+'LINEST VARS'!$B$70*($BY$128*12.73)+'LINEST VARS'!$A$70*($BX132*12.73)</f>
        <v>92.000000000000014</v>
      </c>
      <c r="BZ132" s="46">
        <f>'LINEST VARS'!$U$70+'LINEST VARS'!$T$70*(8)+'LINEST VARS'!$S$70*(8)+'LINEST VARS'!$R$70*($BZ$128)+'LINEST VARS'!$Q$70*($BX132)+'LINEST VARS'!$P$70*(12.73)+'LINEST VARS'!$O$70*(8^2)+'LINEST VARS'!$N$70*(8^2)+'LINEST VARS'!$M$70*($BZ$128^2)+'LINEST VARS'!$L$70*($BX132^2)+'LINEST VARS'!$K$70*(12.73^2)+'LINEST VARS'!$J$70*(8*8)+'LINEST VARS'!$I$70*(8*$BZ$128)+'LINEST VARS'!$H$70*(8*$BX132)+'LINEST VARS'!$G$70*(8*12.73)+'LINEST VARS'!$F$70*(8*$BZ$128)+'LINEST VARS'!$E$70*(8*$BX132)+'LINEST VARS'!$D$70*(8*12.73)+'LINEST VARS'!$C$70*($BZ$128*$BX132)+'LINEST VARS'!$B$70*($BZ$128*12.73)+'LINEST VARS'!$A$70*($BX132*12.73)</f>
        <v>91.600000000000009</v>
      </c>
      <c r="CA132" s="46">
        <f>'LINEST VARS'!$U$70+'LINEST VARS'!$T$70*(8)+'LINEST VARS'!$S$70*(8)+'LINEST VARS'!$R$70*($CA$128)+'LINEST VARS'!$Q$70*($BX132)+'LINEST VARS'!$P$70*(12.73)+'LINEST VARS'!$O$70*(8^2)+'LINEST VARS'!$N$70*(8^2)+'LINEST VARS'!$M$70*($CA$128^2)+'LINEST VARS'!$L$70*($BX132^2)+'LINEST VARS'!$K$70*(12.73^2)+'LINEST VARS'!$J$70*(8*8)+'LINEST VARS'!$I$70*(8*$CA$128)+'LINEST VARS'!$H$70*(8*$BX132)+'LINEST VARS'!$G$70*(8*12.73)+'LINEST VARS'!$F$70*(8*$CA$128)+'LINEST VARS'!$E$70*(8*$BX132)+'LINEST VARS'!$D$70*(8*12.73)+'LINEST VARS'!$C$70*($CA$128*$BX132)+'LINEST VARS'!$B$70*($CA$128*12.73)+'LINEST VARS'!$A$70*($BX132*12.73)</f>
        <v>91.200000000000017</v>
      </c>
      <c r="CB132" s="46">
        <f>'LINEST VARS'!$U$70+'LINEST VARS'!$T$70*(8)+'LINEST VARS'!$S$70*(8)+'LINEST VARS'!$R$70*($CB$128)+'LINEST VARS'!$Q$70*($BX132)+'LINEST VARS'!$P$70*(12.73)+'LINEST VARS'!$O$70*(8^2)+'LINEST VARS'!$N$70*(8^2)+'LINEST VARS'!$M$70*($CB$128^2)+'LINEST VARS'!$L$70*($BX132^2)+'LINEST VARS'!$K$70*(12.73^2)+'LINEST VARS'!$J$70*(8*8)+'LINEST VARS'!$I$70*(8*$CB$128)+'LINEST VARS'!$H$70*(8*$BX132)+'LINEST VARS'!$G$70*(8*12.73)+'LINEST VARS'!$F$70*(8*$CB$128)+'LINEST VARS'!$E$70*(8*$BX132)+'LINEST VARS'!$D$70*(8*12.73)+'LINEST VARS'!$C$70*($CB$128*$BX132)+'LINEST VARS'!$B$70*($CB$128*12.73)+'LINEST VARS'!$A$70*($BX132*12.73)</f>
        <v>90.800000000000011</v>
      </c>
      <c r="CC132" s="46">
        <f>'LINEST VARS'!$U$70+'LINEST VARS'!$T$70*(8)+'LINEST VARS'!$S$70*(8)+'LINEST VARS'!$R$70*($CC$128)+'LINEST VARS'!$Q$70*($BX132)+'LINEST VARS'!$P$70*(12.73)+'LINEST VARS'!$O$70*(8^2)+'LINEST VARS'!$N$70*(8^2)+'LINEST VARS'!$M$70*($CC$128^2)+'LINEST VARS'!$L$70*($BX132^2)+'LINEST VARS'!$K$70*(12.73^2)+'LINEST VARS'!$J$70*(8*8)+'LINEST VARS'!$I$70*(8*$CC$128)+'LINEST VARS'!$H$70*(8*$BX132)+'LINEST VARS'!$G$70*(8*12.73)+'LINEST VARS'!$F$70*(8*$CC$128)+'LINEST VARS'!$E$70*(8*$BX132)+'LINEST VARS'!$D$70*(8*12.73)+'LINEST VARS'!$C$70*($CC$128*$BX132)+'LINEST VARS'!$B$70*($CC$128*12.73)+'LINEST VARS'!$A$70*($BX132*12.73)</f>
        <v>90.40000000000002</v>
      </c>
      <c r="CD132" s="46">
        <f>'LINEST VARS'!$U$70+'LINEST VARS'!$T$70*(8)+'LINEST VARS'!$S$70*(8)+'LINEST VARS'!$R$70*($CD$128)+'LINEST VARS'!$Q$70*($BX132)+'LINEST VARS'!$P$70*(12.73)+'LINEST VARS'!$O$70*(8^2)+'LINEST VARS'!$N$70*(8^2)+'LINEST VARS'!$M$70*($CD$128^2)+'LINEST VARS'!$L$70*($BX132^2)+'LINEST VARS'!$K$70*(12.73^2)+'LINEST VARS'!$J$70*(8*8)+'LINEST VARS'!$I$70*(8*$CD$128)+'LINEST VARS'!$H$70*(8*$BX132)+'LINEST VARS'!$G$70*(8*12.73)+'LINEST VARS'!$F$70*(8*$CD$128)+'LINEST VARS'!$E$70*(8*$BX132)+'LINEST VARS'!$D$70*(8*12.73)+'LINEST VARS'!$C$70*($CD$128*$BX132)+'LINEST VARS'!$B$70*($CD$128*12.73)+'LINEST VARS'!$A$70*($BX132*12.73)</f>
        <v>90.000000000000014</v>
      </c>
      <c r="CE132" s="46">
        <f>'LINEST VARS'!$U$70+'LINEST VARS'!$T$70*(8)+'LINEST VARS'!$S$70*(8)+'LINEST VARS'!$R$70*($CE$128)+'LINEST VARS'!$Q$70*($BX132)+'LINEST VARS'!$P$70*(12.73)+'LINEST VARS'!$O$70*(8^2)+'LINEST VARS'!$N$70*(8^2)+'LINEST VARS'!$M$70*($CE$128^2)+'LINEST VARS'!$L$70*($BX132^2)+'LINEST VARS'!$K$70*(12.73^2)+'LINEST VARS'!$J$70*(8*8)+'LINEST VARS'!$I$70*(8*$CE$128)+'LINEST VARS'!$H$70*(8*$BX132)+'LINEST VARS'!$G$70*(8*12.73)+'LINEST VARS'!$F$70*(8*$CE$128)+'LINEST VARS'!$E$70*(8*$BX132)+'LINEST VARS'!$D$70*(8*12.73)+'LINEST VARS'!$C$70*($CE$128*$BX132)+'LINEST VARS'!$B$70*($CE$128*12.73)+'LINEST VARS'!$A$70*($BX132*12.73)</f>
        <v>89.600000000000023</v>
      </c>
      <c r="CF132" s="46">
        <f>'LINEST VARS'!$U$70+'LINEST VARS'!$T$70*(8)+'LINEST VARS'!$S$70*(8)+'LINEST VARS'!$R$70*($CF$128)+'LINEST VARS'!$Q$70*($BX132)+'LINEST VARS'!$P$70*(12.73)+'LINEST VARS'!$O$70*(8^2)+'LINEST VARS'!$N$70*(8^2)+'LINEST VARS'!$M$70*($CF$128^2)+'LINEST VARS'!$L$70*($BX132^2)+'LINEST VARS'!$K$70*(12.73^2)+'LINEST VARS'!$J$70*(8*8)+'LINEST VARS'!$I$70*(8*$CF$128)+'LINEST VARS'!$H$70*(8*$BX132)+'LINEST VARS'!$G$70*(8*12.73)+'LINEST VARS'!$F$70*(8*$CF$128)+'LINEST VARS'!$E$70*(8*$BX132)+'LINEST VARS'!$D$70*(8*12.73)+'LINEST VARS'!$C$70*($CF$128*$BX132)+'LINEST VARS'!$B$70*($CF$128*12.73)+'LINEST VARS'!$A$70*($BX132*12.73)</f>
        <v>89.200000000000017</v>
      </c>
      <c r="CG132" s="46">
        <f>'LINEST VARS'!$U$70+'LINEST VARS'!$T$70*(8)+'LINEST VARS'!$S$70*(8)+'LINEST VARS'!$R$70*($CG$128)+'LINEST VARS'!$Q$70*($BX132)+'LINEST VARS'!$P$70*(12.73)+'LINEST VARS'!$O$70*(8^2)+'LINEST VARS'!$N$70*(8^2)+'LINEST VARS'!$M$70*($CG$128^2)+'LINEST VARS'!$L$70*($BX132^2)+'LINEST VARS'!$K$70*(12.73^2)+'LINEST VARS'!$J$70*(8*8)+'LINEST VARS'!$I$70*(8*$CG$128)+'LINEST VARS'!$H$70*(8*$BX132)+'LINEST VARS'!$G$70*(8*12.73)+'LINEST VARS'!$F$70*(8*$CG$128)+'LINEST VARS'!$E$70*(8*$BX132)+'LINEST VARS'!$D$70*(8*12.73)+'LINEST VARS'!$C$70*($CG$128*$BX132)+'LINEST VARS'!$B$70*($CG$128*12.73)+'LINEST VARS'!$A$70*($BX132*12.73)</f>
        <v>88.800000000000026</v>
      </c>
      <c r="CH132" s="46">
        <f>'LINEST VARS'!$U$70+'LINEST VARS'!$T$70*(8)+'LINEST VARS'!$S$70*(8)+'LINEST VARS'!$R$70*($CH$128)+'LINEST VARS'!$Q$70*($BX132)+'LINEST VARS'!$P$70*(12.73)+'LINEST VARS'!$O$70*(8^2)+'LINEST VARS'!$N$70*(8^2)+'LINEST VARS'!$M$70*($CH$128^2)+'LINEST VARS'!$L$70*($BX132^2)+'LINEST VARS'!$K$70*(12.73^2)+'LINEST VARS'!$J$70*(8*8)+'LINEST VARS'!$I$70*(8*$CH$128)+'LINEST VARS'!$H$70*(8*$BX132)+'LINEST VARS'!$G$70*(8*12.73)+'LINEST VARS'!$F$70*(8*$CH$128)+'LINEST VARS'!$E$70*(8*$BX132)+'LINEST VARS'!$D$70*(8*12.73)+'LINEST VARS'!$C$70*($CH$128*$BX132)+'LINEST VARS'!$B$70*($CH$128*12.73)+'LINEST VARS'!$A$70*($BX132*12.73)</f>
        <v>88.40000000000002</v>
      </c>
      <c r="CI132" s="46">
        <f>'LINEST VARS'!$U$70+'LINEST VARS'!$T$70*(8)+'LINEST VARS'!$S$70*(8)+'LINEST VARS'!$R$70*($CI$128)+'LINEST VARS'!$Q$70*($BX132)+'LINEST VARS'!$P$70*(12.73)+'LINEST VARS'!$O$70*(8^2)+'LINEST VARS'!$N$70*(8^2)+'LINEST VARS'!$M$70*($CI$128^2)+'LINEST VARS'!$L$70*($BX132^2)+'LINEST VARS'!$K$70*(12.73^2)+'LINEST VARS'!$J$70*(8*8)+'LINEST VARS'!$I$70*(8*$CI$128)+'LINEST VARS'!$H$70*(8*$BX132)+'LINEST VARS'!$G$70*(8*12.73)+'LINEST VARS'!$F$70*(8*$CI$128)+'LINEST VARS'!$E$70*(8*$BX132)+'LINEST VARS'!$D$70*(8*12.73)+'LINEST VARS'!$C$70*($CI$128*$BX132)+'LINEST VARS'!$B$70*($CI$128*12.73)+'LINEST VARS'!$A$70*($BX132*12.73)</f>
        <v>88.000000000000014</v>
      </c>
      <c r="CJ132" s="46">
        <f>'LINEST VARS'!$U$70+'LINEST VARS'!$T$70*(8)+'LINEST VARS'!$S$70*(8)+'LINEST VARS'!$R$70*($CJ$128)+'LINEST VARS'!$Q$70*($BX132)+'LINEST VARS'!$P$70*(12.73)+'LINEST VARS'!$O$70*(8^2)+'LINEST VARS'!$N$70*(8^2)+'LINEST VARS'!$M$70*($CJ$128^2)+'LINEST VARS'!$L$70*($BX132^2)+'LINEST VARS'!$K$70*(12.73^2)+'LINEST VARS'!$J$70*(8*8)+'LINEST VARS'!$I$70*(8*$CJ$128)+'LINEST VARS'!$H$70*(8*$BX132)+'LINEST VARS'!$G$70*(8*12.73)+'LINEST VARS'!$F$70*(8*$CJ$128)+'LINEST VARS'!$E$70*(8*$BX132)+'LINEST VARS'!$D$70*(8*12.73)+'LINEST VARS'!$C$70*($CJ$128*$BX132)+'LINEST VARS'!$B$70*($CJ$128*12.73)+'LINEST VARS'!$A$70*($BX132*12.73)</f>
        <v>87.600000000000023</v>
      </c>
      <c r="CK132" s="46">
        <f>'LINEST VARS'!$U$70+'LINEST VARS'!$T$70*(8)+'LINEST VARS'!$S$70*(8)+'LINEST VARS'!$R$70*($CK$128)+'LINEST VARS'!$Q$70*($BX132)+'LINEST VARS'!$P$70*(12.73)+'LINEST VARS'!$O$70*(8^2)+'LINEST VARS'!$N$70*(8^2)+'LINEST VARS'!$M$70*($CK$128^2)+'LINEST VARS'!$L$70*($BX132^2)+'LINEST VARS'!$K$70*(12.73^2)+'LINEST VARS'!$J$70*(8*8)+'LINEST VARS'!$I$70*(8*$CK$128)+'LINEST VARS'!$H$70*(8*$BX132)+'LINEST VARS'!$G$70*(8*12.73)+'LINEST VARS'!$F$70*(8*$CK$128)+'LINEST VARS'!$E$70*(8*$BX132)+'LINEST VARS'!$D$70*(8*12.73)+'LINEST VARS'!$C$70*($CK$128*$BX132)+'LINEST VARS'!$B$70*($CK$128*12.73)+'LINEST VARS'!$A$70*($BX132*12.73)</f>
        <v>87.200000000000017</v>
      </c>
      <c r="CL132" s="46">
        <f>'LINEST VARS'!$U$70+'LINEST VARS'!$T$70*(8)+'LINEST VARS'!$S$70*(8)+'LINEST VARS'!$R$70*($CL$128)+'LINEST VARS'!$Q$70*($BX132)+'LINEST VARS'!$P$70*(12.73)+'LINEST VARS'!$O$70*(8^2)+'LINEST VARS'!$N$70*(8^2)+'LINEST VARS'!$M$70*($CL$128^2)+'LINEST VARS'!$L$70*($BX132^2)+'LINEST VARS'!$K$70*(12.73^2)+'LINEST VARS'!$J$70*(8*8)+'LINEST VARS'!$I$70*(8*$CL$128)+'LINEST VARS'!$H$70*(8*$BX132)+'LINEST VARS'!$G$70*(8*12.73)+'LINEST VARS'!$F$70*(8*$CL$128)+'LINEST VARS'!$E$70*(8*$BX132)+'LINEST VARS'!$D$70*(8*12.73)+'LINEST VARS'!$C$70*($CL$128*$BX132)+'LINEST VARS'!$B$70*($CL$128*12.73)+'LINEST VARS'!$A$70*($BX132*12.73)</f>
        <v>86.800000000000026</v>
      </c>
      <c r="CM132" s="46">
        <f>'LINEST VARS'!$U$70+'LINEST VARS'!$T$70*(8)+'LINEST VARS'!$S$70*(8)+'LINEST VARS'!$R$70*($CM$128)+'LINEST VARS'!$Q$70*($BX132)+'LINEST VARS'!$P$70*(12.73)+'LINEST VARS'!$O$70*(8^2)+'LINEST VARS'!$N$70*(8^2)+'LINEST VARS'!$M$70*($CM$128^2)+'LINEST VARS'!$L$70*($BX132^2)+'LINEST VARS'!$K$70*(12.73^2)+'LINEST VARS'!$J$70*(8*8)+'LINEST VARS'!$I$70*(8*$CM$128)+'LINEST VARS'!$H$70*(8*$BX132)+'LINEST VARS'!$G$70*(8*12.73)+'LINEST VARS'!$F$70*(8*$CM$128)+'LINEST VARS'!$E$70*(8*$BX132)+'LINEST VARS'!$D$70*(8*12.73)+'LINEST VARS'!$C$70*($CM$128*$BX132)+'LINEST VARS'!$B$70*($CM$128*12.73)+'LINEST VARS'!$A$70*($BX132*12.73)</f>
        <v>86.40000000000002</v>
      </c>
      <c r="CN132" s="46">
        <f>'LINEST VARS'!$U$70+'LINEST VARS'!$T$70*(8)+'LINEST VARS'!$S$70*(8)+'LINEST VARS'!$R$70*($CN$128)+'LINEST VARS'!$Q$70*($BX132)+'LINEST VARS'!$P$70*(12.73)+'LINEST VARS'!$O$70*(8^2)+'LINEST VARS'!$N$70*(8^2)+'LINEST VARS'!$M$70*($CN$128^2)+'LINEST VARS'!$L$70*($BX132^2)+'LINEST VARS'!$K$70*(12.73^2)+'LINEST VARS'!$J$70*(8*8)+'LINEST VARS'!$I$70*(8*$CN$128)+'LINEST VARS'!$H$70*(8*$BX132)+'LINEST VARS'!$G$70*(8*12.73)+'LINEST VARS'!$F$70*(8*$CN$128)+'LINEST VARS'!$E$70*(8*$BX132)+'LINEST VARS'!$D$70*(8*12.73)+'LINEST VARS'!$C$70*($CN$128*$BX132)+'LINEST VARS'!$B$70*($CN$128*12.73)+'LINEST VARS'!$A$70*($BX132*12.73)</f>
        <v>86.000000000000014</v>
      </c>
      <c r="CO132" s="46">
        <f>'LINEST VARS'!$U$70+'LINEST VARS'!$T$70*(8)+'LINEST VARS'!$S$70*(8)+'LINEST VARS'!$R$70*($CO$128)+'LINEST VARS'!$Q$70*($BX132)+'LINEST VARS'!$P$70*(12.73)+'LINEST VARS'!$O$70*(8^2)+'LINEST VARS'!$N$70*(8^2)+'LINEST VARS'!$M$70*($CO$128^2)+'LINEST VARS'!$L$70*($BX132^2)+'LINEST VARS'!$K$70*(12.73^2)+'LINEST VARS'!$J$70*(8*8)+'LINEST VARS'!$I$70*(8*$CO$128)+'LINEST VARS'!$H$70*(8*$BX132)+'LINEST VARS'!$G$70*(8*12.73)+'LINEST VARS'!$F$70*(8*$CO$128)+'LINEST VARS'!$E$70*(8*$BX132)+'LINEST VARS'!$D$70*(8*12.73)+'LINEST VARS'!$C$70*($CO$128*$BX132)+'LINEST VARS'!$B$70*($CO$128*12.73)+'LINEST VARS'!$A$70*($BX132*12.73)</f>
        <v>85.600000000000009</v>
      </c>
      <c r="CP132" s="46">
        <f>'LINEST VARS'!$U$70+'LINEST VARS'!$T$70*(8)+'LINEST VARS'!$S$70*(8)+'LINEST VARS'!$R$70*($CP$128)+'LINEST VARS'!$Q$70*($BX132)+'LINEST VARS'!$P$70*(12.73)+'LINEST VARS'!$O$70*(8^2)+'LINEST VARS'!$N$70*(8^2)+'LINEST VARS'!$M$70*($CP$128^2)+'LINEST VARS'!$L$70*($BX132^2)+'LINEST VARS'!$K$70*(12.73^2)+'LINEST VARS'!$J$70*(8*8)+'LINEST VARS'!$I$70*(8*$CP$128)+'LINEST VARS'!$H$70*(8*$BX132)+'LINEST VARS'!$G$70*(8*12.73)+'LINEST VARS'!$F$70*(8*$CP$128)+'LINEST VARS'!$E$70*(8*$BX132)+'LINEST VARS'!$D$70*(8*12.73)+'LINEST VARS'!$C$70*($CP$128*$BX132)+'LINEST VARS'!$B$70*($CP$128*12.73)+'LINEST VARS'!$A$70*($BX132*12.73)</f>
        <v>85.200000000000017</v>
      </c>
      <c r="CQ132" s="46">
        <f>'LINEST VARS'!$U$70+'LINEST VARS'!$T$70*(8)+'LINEST VARS'!$S$70*(8)+'LINEST VARS'!$R$70*($CQ$128)+'LINEST VARS'!$Q$70*($BX132)+'LINEST VARS'!$P$70*(12.73)+'LINEST VARS'!$O$70*(8^2)+'LINEST VARS'!$N$70*(8^2)+'LINEST VARS'!$M$70*($CQ$128^2)+'LINEST VARS'!$L$70*($BX132^2)+'LINEST VARS'!$K$70*(12.73^2)+'LINEST VARS'!$J$70*(8*8)+'LINEST VARS'!$I$70*(8*$CQ$128)+'LINEST VARS'!$H$70*(8*$BX132)+'LINEST VARS'!$G$70*(8*12.73)+'LINEST VARS'!$F$70*(8*$CQ$128)+'LINEST VARS'!$E$70*(8*$BX132)+'LINEST VARS'!$D$70*(8*12.73)+'LINEST VARS'!$C$70*($CQ$128*$BX132)+'LINEST VARS'!$B$70*($CQ$128*12.73)+'LINEST VARS'!$A$70*($BX132*12.73)</f>
        <v>84.800000000000011</v>
      </c>
      <c r="CR132" s="46">
        <f>'LINEST VARS'!$U$70+'LINEST VARS'!$T$70*(8)+'LINEST VARS'!$S$70*(8)+'LINEST VARS'!$R$70*($CR$128)+'LINEST VARS'!$Q$70*($BX132)+'LINEST VARS'!$P$70*(12.73)+'LINEST VARS'!$O$70*(8^2)+'LINEST VARS'!$N$70*(8^2)+'LINEST VARS'!$M$70*($CR$128^2)+'LINEST VARS'!$L$70*($BX132^2)+'LINEST VARS'!$K$70*(12.73^2)+'LINEST VARS'!$J$70*(8*8)+'LINEST VARS'!$I$70*(8*$CR$128)+'LINEST VARS'!$H$70*(8*$BX132)+'LINEST VARS'!$G$70*(8*12.73)+'LINEST VARS'!$F$70*(8*$CR$128)+'LINEST VARS'!$E$70*(8*$BX132)+'LINEST VARS'!$D$70*(8*12.73)+'LINEST VARS'!$C$70*($CR$128*$BX132)+'LINEST VARS'!$B$70*($CR$128*12.73)+'LINEST VARS'!$A$70*($BX132*12.73)</f>
        <v>84.400000000000034</v>
      </c>
      <c r="CS132" s="47">
        <f>'LINEST VARS'!$U$70+'LINEST VARS'!$T$70*(8)+'LINEST VARS'!$S$70*(8)+'LINEST VARS'!$R$70*($CS$128)+'LINEST VARS'!$Q$70*($BX132)+'LINEST VARS'!$P$70*(12.73)+'LINEST VARS'!$O$70*(8^2)+'LINEST VARS'!$N$70*(8^2)+'LINEST VARS'!$M$70*($CS$128^2)+'LINEST VARS'!$L$70*($BX132^2)+'LINEST VARS'!$K$70*(12.73^2)+'LINEST VARS'!$J$70*(8*8)+'LINEST VARS'!$I$70*(8*$CS$128)+'LINEST VARS'!$H$70*(8*$BX132)+'LINEST VARS'!$G$70*(8*12.73)+'LINEST VARS'!$F$70*(8*$CS$128)+'LINEST VARS'!$E$70*(8*$BX132)+'LINEST VARS'!$D$70*(8*12.73)+'LINEST VARS'!$C$70*($CS$128*$BX132)+'LINEST VARS'!$B$70*($CS$128*12.73)+'LINEST VARS'!$A$70*($BX132*12.73)</f>
        <v>84.000000000000028</v>
      </c>
      <c r="CX132" s="45">
        <v>3.8984999999999999</v>
      </c>
      <c r="CY132" s="46">
        <f>'LINEST VARS'!$U$68+'LINEST VARS'!$T$68*(8)+'LINEST VARS'!$S$68*(8)+'LINEST VARS'!$R$68*($CY$128)+'LINEST VARS'!$Q$68*(0.5)+'LINEST VARS'!$P$68*($CX132)+'LINEST VARS'!$O$68*(8^2)+'LINEST VARS'!$N$68*(8^2)+'LINEST VARS'!$M$68*($CY$128^2)+'LINEST VARS'!$L$68*(0.5^2)+'LINEST VARS'!$K$68*($CX132^2)+'LINEST VARS'!$J$68*(8*8)+'LINEST VARS'!$I$68*(8*$CY$128)+'LINEST VARS'!$H$68*(8*0.5)+'LINEST VARS'!$G$68*(8*$CX132)+'LINEST VARS'!$F$68*(8*$CY$128)+'LINEST VARS'!$E$68*(8*0.5)+'LINEST VARS'!$D$68*(8*$CX132)+'LINEST VARS'!$C$68*($CY$128*0.5)+'LINEST VARS'!$B$68*($CY$128*$CX132)+'LINEST VARS'!$A$68*(0.5*$CX132)</f>
        <v>149</v>
      </c>
      <c r="CZ132" s="46">
        <f>'LINEST VARS'!$U$68+'LINEST VARS'!$T$68*(8)+'LINEST VARS'!$S$68*(8)+'LINEST VARS'!$R$68*($CZ$128)+'LINEST VARS'!$Q$68*(0.5)+'LINEST VARS'!$P$68*($CX132)+'LINEST VARS'!$O$68*(8^2)+'LINEST VARS'!$N$68*(8^2)+'LINEST VARS'!$M$68*($CZ$128^2)+'LINEST VARS'!$L$68*(0.5^2)+'LINEST VARS'!$K$68*($CX132^2)+'LINEST VARS'!$J$68*(8*8)+'LINEST VARS'!$I$68*(8*$CZ$128)+'LINEST VARS'!$H$68*(8*0.5)+'LINEST VARS'!$G$68*(8*$CX132)+'LINEST VARS'!$F$68*(8*$CZ$128)+'LINEST VARS'!$E$68*(8*0.5)+'LINEST VARS'!$D$68*(8*$CX132)+'LINEST VARS'!$C$68*($CZ$128*0.5)+'LINEST VARS'!$B$68*($CZ$128*$CX132)+'LINEST VARS'!$A$68*(0.5*$CX132)</f>
        <v>149</v>
      </c>
      <c r="DA132" s="46">
        <f>'LINEST VARS'!$U$68+'LINEST VARS'!$T$68*(8)+'LINEST VARS'!$S$68*(8)+'LINEST VARS'!$R$68*($DA$128)+'LINEST VARS'!$Q$68*(0.5)+'LINEST VARS'!$P$68*($CX132)+'LINEST VARS'!$O$68*(8^2)+'LINEST VARS'!$N$68*(8^2)+'LINEST VARS'!$M$68*($DA$128^2)+'LINEST VARS'!$L$68*(0.5^2)+'LINEST VARS'!$K$68*($CX132^2)+'LINEST VARS'!$J$68*(8*8)+'LINEST VARS'!$I$68*(8*$DA$128)+'LINEST VARS'!$H$68*(8*0.5)+'LINEST VARS'!$G$68*(8*$CX132)+'LINEST VARS'!$F$68*(8*$DA$128)+'LINEST VARS'!$E$68*(8*0.5)+'LINEST VARS'!$D$68*(8*$CX132)+'LINEST VARS'!$C$68*($DA$128*0.5)+'LINEST VARS'!$B$68*($DA$128*$CX132)+'LINEST VARS'!$A$68*(0.5*$CX132)</f>
        <v>149</v>
      </c>
      <c r="DB132" s="46">
        <f>'LINEST VARS'!$U$68+'LINEST VARS'!$T$68*(8)+'LINEST VARS'!$S$68*(8)+'LINEST VARS'!$R$68*($DB$128)+'LINEST VARS'!$Q$68*(0.5)+'LINEST VARS'!$P$68*($CX132)+'LINEST VARS'!$O$68*(8^2)+'LINEST VARS'!$N$68*(8^2)+'LINEST VARS'!$M$68*($DB$128^2)+'LINEST VARS'!$L$68*(0.5^2)+'LINEST VARS'!$K$68*($CX132^2)+'LINEST VARS'!$J$68*(8*8)+'LINEST VARS'!$I$68*(8*$DB$128)+'LINEST VARS'!$H$68*(8*0.5)+'LINEST VARS'!$G$68*(8*$CX132)+'LINEST VARS'!$F$68*(8*$DB$128)+'LINEST VARS'!$E$68*(8*0.5)+'LINEST VARS'!$D$68*(8*$CX132)+'LINEST VARS'!$C$68*($DB$128*0.5)+'LINEST VARS'!$B$68*($DB$128*$CX132)+'LINEST VARS'!$A$68*(0.5*$CX132)</f>
        <v>149</v>
      </c>
      <c r="DC132" s="46">
        <f>'LINEST VARS'!$U$68+'LINEST VARS'!$T$68*(8)+'LINEST VARS'!$S$68*(8)+'LINEST VARS'!$R$68*($DC$128)+'LINEST VARS'!$Q$68*(0.5)+'LINEST VARS'!$P$68*($CX132)+'LINEST VARS'!$O$68*(8^2)+'LINEST VARS'!$N$68*(8^2)+'LINEST VARS'!$M$68*($DC$128^2)+'LINEST VARS'!$L$68*(0.5^2)+'LINEST VARS'!$K$68*($CX132^2)+'LINEST VARS'!$J$68*(8*8)+'LINEST VARS'!$I$68*(8*$DC$128)+'LINEST VARS'!$H$68*(8*0.5)+'LINEST VARS'!$G$68*(8*$CX132)+'LINEST VARS'!$F$68*(8*$DC$128)+'LINEST VARS'!$E$68*(8*0.5)+'LINEST VARS'!$D$68*(8*$CX132)+'LINEST VARS'!$C$68*($DC$128*0.5)+'LINEST VARS'!$B$68*($DC$128*$CX132)+'LINEST VARS'!$A$68*(0.5*$CX132)</f>
        <v>149</v>
      </c>
      <c r="DD132" s="46">
        <f>'LINEST VARS'!$U$68+'LINEST VARS'!$T$68*(8)+'LINEST VARS'!$S$68*(8)+'LINEST VARS'!$R$68*($DD$128)+'LINEST VARS'!$Q$68*(0.5)+'LINEST VARS'!$P$68*($CX132)+'LINEST VARS'!$O$68*(8^2)+'LINEST VARS'!$N$68*(8^2)+'LINEST VARS'!$M$68*($DD$128^2)+'LINEST VARS'!$L$68*(0.5^2)+'LINEST VARS'!$K$68*($CX132^2)+'LINEST VARS'!$J$68*(8*8)+'LINEST VARS'!$I$68*(8*$DD$128)+'LINEST VARS'!$H$68*(8*0.5)+'LINEST VARS'!$G$68*(8*$CX132)+'LINEST VARS'!$F$68*(8*$DD$128)+'LINEST VARS'!$E$68*(8*0.5)+'LINEST VARS'!$D$68*(8*$CX132)+'LINEST VARS'!$C$68*($DD$128*0.5)+'LINEST VARS'!$B$68*($DD$128*$CX132)+'LINEST VARS'!$A$68*(0.5*$CX132)</f>
        <v>149</v>
      </c>
      <c r="DE132" s="46">
        <f>'LINEST VARS'!$U$68+'LINEST VARS'!$T$68*(8)+'LINEST VARS'!$S$68*(8)+'LINEST VARS'!$R$68*($DE$128)+'LINEST VARS'!$Q$68*(0.5)+'LINEST VARS'!$P$68*($CX132)+'LINEST VARS'!$O$68*(8^2)+'LINEST VARS'!$N$68*(8^2)+'LINEST VARS'!$M$68*($DE$128^2)+'LINEST VARS'!$L$68*(0.5^2)+'LINEST VARS'!$K$68*($CX132^2)+'LINEST VARS'!$J$68*(8*8)+'LINEST VARS'!$I$68*(8*$DE$128)+'LINEST VARS'!$H$68*(8*0.5)+'LINEST VARS'!$G$68*(8*$CX132)+'LINEST VARS'!$F$68*(8*$DE$128)+'LINEST VARS'!$E$68*(8*0.5)+'LINEST VARS'!$D$68*(8*$CX132)+'LINEST VARS'!$C$68*($DE$128*0.5)+'LINEST VARS'!$B$68*($DE$128*$CX132)+'LINEST VARS'!$A$68*(0.5*$CX132)</f>
        <v>149</v>
      </c>
      <c r="DF132" s="46">
        <f>'LINEST VARS'!$U$68+'LINEST VARS'!$T$68*(8)+'LINEST VARS'!$S$68*(8)+'LINEST VARS'!$R$68*($DF$128)+'LINEST VARS'!$Q$68*(0.5)+'LINEST VARS'!$P$68*($CX132)+'LINEST VARS'!$O$68*(8^2)+'LINEST VARS'!$N$68*(8^2)+'LINEST VARS'!$M$68*($DF$128^2)+'LINEST VARS'!$L$68*(0.5^2)+'LINEST VARS'!$K$68*($CX132^2)+'LINEST VARS'!$J$68*(8*8)+'LINEST VARS'!$I$68*(8*$DF$128)+'LINEST VARS'!$H$68*(8*0.5)+'LINEST VARS'!$G$68*(8*$CX132)+'LINEST VARS'!$F$68*(8*$DF$128)+'LINEST VARS'!$E$68*(8*0.5)+'LINEST VARS'!$D$68*(8*$CX132)+'LINEST VARS'!$C$68*($DF$128*0.5)+'LINEST VARS'!$B$68*($DF$128*$CX132)+'LINEST VARS'!$A$68*(0.5*$CX132)</f>
        <v>149</v>
      </c>
      <c r="DG132" s="46">
        <f>'LINEST VARS'!$U$68+'LINEST VARS'!$T$68*(8)+'LINEST VARS'!$S$68*(8)+'LINEST VARS'!$R$68*($DG$128)+'LINEST VARS'!$Q$68*(0.5)+'LINEST VARS'!$P$68*($CX132)+'LINEST VARS'!$O$68*(8^2)+'LINEST VARS'!$N$68*(8^2)+'LINEST VARS'!$M$68*($DG$128^2)+'LINEST VARS'!$L$68*(0.5^2)+'LINEST VARS'!$K$68*($CX132^2)+'LINEST VARS'!$J$68*(8*8)+'LINEST VARS'!$I$68*(8*$DG$128)+'LINEST VARS'!$H$68*(8*0.5)+'LINEST VARS'!$G$68*(8*$CX132)+'LINEST VARS'!$F$68*(8*$DG$128)+'LINEST VARS'!$E$68*(8*0.5)+'LINEST VARS'!$D$68*(8*$CX132)+'LINEST VARS'!$C$68*($DG$128*0.5)+'LINEST VARS'!$B$68*($DG$128*$CX132)+'LINEST VARS'!$A$68*(0.5*$CX132)</f>
        <v>149</v>
      </c>
      <c r="DH132" s="46">
        <f>'LINEST VARS'!$U$68+'LINEST VARS'!$T$68*(8)+'LINEST VARS'!$S$68*(8)+'LINEST VARS'!$R$68*($DH$128)+'LINEST VARS'!$Q$68*(0.5)+'LINEST VARS'!$P$68*($CX132)+'LINEST VARS'!$O$68*(8^2)+'LINEST VARS'!$N$68*(8^2)+'LINEST VARS'!$M$68*($DH$128^2)+'LINEST VARS'!$L$68*(0.5^2)+'LINEST VARS'!$K$68*($CX132^2)+'LINEST VARS'!$J$68*(8*8)+'LINEST VARS'!$I$68*(8*$DH$128)+'LINEST VARS'!$H$68*(8*0.5)+'LINEST VARS'!$G$68*(8*$CX132)+'LINEST VARS'!$F$68*(8*$DH$128)+'LINEST VARS'!$E$68*(8*0.5)+'LINEST VARS'!$D$68*(8*$CX132)+'LINEST VARS'!$C$68*($DH$128*0.5)+'LINEST VARS'!$B$68*($DH$128*$CX132)+'LINEST VARS'!$A$68*(0.5*$CX132)</f>
        <v>149</v>
      </c>
      <c r="DI132" s="46">
        <f>'LINEST VARS'!$U$68+'LINEST VARS'!$T$68*(8)+'LINEST VARS'!$S$68*(8)+'LINEST VARS'!$R$68*($DI$128)+'LINEST VARS'!$Q$68*(0.5)+'LINEST VARS'!$P$68*($CX132)+'LINEST VARS'!$O$68*(8^2)+'LINEST VARS'!$N$68*(8^2)+'LINEST VARS'!$M$68*($DI$128^2)+'LINEST VARS'!$L$68*(0.5^2)+'LINEST VARS'!$K$68*($CX132^2)+'LINEST VARS'!$J$68*(8*8)+'LINEST VARS'!$I$68*(8*$DI$128)+'LINEST VARS'!$H$68*(8*0.5)+'LINEST VARS'!$G$68*(8*$CX132)+'LINEST VARS'!$F$68*(8*$DI$128)+'LINEST VARS'!$E$68*(8*0.5)+'LINEST VARS'!$D$68*(8*$CX132)+'LINEST VARS'!$C$68*($DI$128*0.5)+'LINEST VARS'!$B$68*($DI$128*$CX132)+'LINEST VARS'!$A$68*(0.5*$CX132)</f>
        <v>149</v>
      </c>
      <c r="DJ132" s="46">
        <f>'LINEST VARS'!$U$68+'LINEST VARS'!$T$68*(8)+'LINEST VARS'!$S$68*(8)+'LINEST VARS'!$R$68*($DJ$128)+'LINEST VARS'!$Q$68*(0.5)+'LINEST VARS'!$P$68*($CX132)+'LINEST VARS'!$O$68*(8^2)+'LINEST VARS'!$N$68*(8^2)+'LINEST VARS'!$M$68*($DJ$128^2)+'LINEST VARS'!$L$68*(0.5^2)+'LINEST VARS'!$K$68*($CX132^2)+'LINEST VARS'!$J$68*(8*8)+'LINEST VARS'!$I$68*(8*$DJ$128)+'LINEST VARS'!$H$68*(8*0.5)+'LINEST VARS'!$G$68*(8*$CX132)+'LINEST VARS'!$F$68*(8*$DJ$128)+'LINEST VARS'!$E$68*(8*0.5)+'LINEST VARS'!$D$68*(8*$CX132)+'LINEST VARS'!$C$68*($DJ$128*0.5)+'LINEST VARS'!$B$68*($DJ$128*$CX132)+'LINEST VARS'!$A$68*(0.5*$CX132)</f>
        <v>149</v>
      </c>
      <c r="DK132" s="46">
        <f>'LINEST VARS'!$U$68+'LINEST VARS'!$T$68*(8)+'LINEST VARS'!$S$68*(8)+'LINEST VARS'!$R$68*($DK$128)+'LINEST VARS'!$Q$68*(0.5)+'LINEST VARS'!$P$68*($CX132)+'LINEST VARS'!$O$68*(8^2)+'LINEST VARS'!$N$68*(8^2)+'LINEST VARS'!$M$68*($DK$128^2)+'LINEST VARS'!$L$68*(0.5^2)+'LINEST VARS'!$K$68*($CX132^2)+'LINEST VARS'!$J$68*(8*8)+'LINEST VARS'!$I$68*(8*$DK$128)+'LINEST VARS'!$H$68*(8*0.5)+'LINEST VARS'!$G$68*(8*$CX132)+'LINEST VARS'!$F$68*(8*$DK$128)+'LINEST VARS'!$E$68*(8*0.5)+'LINEST VARS'!$D$68*(8*$CX132)+'LINEST VARS'!$C$68*($DK$128*0.5)+'LINEST VARS'!$B$68*($DK$128*$CX132)+'LINEST VARS'!$A$68*(0.5*$CX132)</f>
        <v>149</v>
      </c>
      <c r="DL132" s="46">
        <f>'LINEST VARS'!$U$68+'LINEST VARS'!$T$68*(8)+'LINEST VARS'!$S$68*(8)+'LINEST VARS'!$R$68*($DL$128)+'LINEST VARS'!$Q$68*(0.5)+'LINEST VARS'!$P$68*($CX132)+'LINEST VARS'!$O$68*(8^2)+'LINEST VARS'!$N$68*(8^2)+'LINEST VARS'!$M$68*($DL$128^2)+'LINEST VARS'!$L$68*(0.5^2)+'LINEST VARS'!$K$68*($CX132^2)+'LINEST VARS'!$J$68*(8*8)+'LINEST VARS'!$I$68*(8*$DL$128)+'LINEST VARS'!$H$68*(8*0.5)+'LINEST VARS'!$G$68*(8*$CX132)+'LINEST VARS'!$F$68*(8*$DL$128)+'LINEST VARS'!$E$68*(8*0.5)+'LINEST VARS'!$D$68*(8*$CX132)+'LINEST VARS'!$C$68*($DL$128*0.5)+'LINEST VARS'!$B$68*($DL$128*$CX132)+'LINEST VARS'!$A$68*(0.5*$CX132)</f>
        <v>149</v>
      </c>
      <c r="DM132" s="46">
        <f>'LINEST VARS'!$U$68+'LINEST VARS'!$T$68*(8)+'LINEST VARS'!$S$68*(8)+'LINEST VARS'!$R$68*($DM$128)+'LINEST VARS'!$Q$68*(0.5)+'LINEST VARS'!$P$68*($CX132)+'LINEST VARS'!$O$68*(8^2)+'LINEST VARS'!$N$68*(8^2)+'LINEST VARS'!$M$68*($DM$128^2)+'LINEST VARS'!$L$68*(0.5^2)+'LINEST VARS'!$K$68*($CX132^2)+'LINEST VARS'!$J$68*(8*8)+'LINEST VARS'!$I$68*(8*$DM$128)+'LINEST VARS'!$H$68*(8*0.5)+'LINEST VARS'!$G$68*(8*$CX132)+'LINEST VARS'!$F$68*(8*$DM$128)+'LINEST VARS'!$E$68*(8*0.5)+'LINEST VARS'!$D$68*(8*$CX132)+'LINEST VARS'!$C$68*($DM$128*0.5)+'LINEST VARS'!$B$68*($DM$128*$CX132)+'LINEST VARS'!$A$68*(0.5*$CX132)</f>
        <v>149</v>
      </c>
      <c r="DN132" s="46">
        <f>'LINEST VARS'!$U$68+'LINEST VARS'!$T$68*(8)+'LINEST VARS'!$S$68*(8)+'LINEST VARS'!$R$68*($DN$128)+'LINEST VARS'!$Q$68*(0.5)+'LINEST VARS'!$P$68*($CX132)+'LINEST VARS'!$O$68*(8^2)+'LINEST VARS'!$N$68*(8^2)+'LINEST VARS'!$M$68*($DN$128^2)+'LINEST VARS'!$L$68*(0.5^2)+'LINEST VARS'!$K$68*($CX132^2)+'LINEST VARS'!$J$68*(8*8)+'LINEST VARS'!$I$68*(8*$DN$128)+'LINEST VARS'!$H$68*(8*0.5)+'LINEST VARS'!$G$68*(8*$CX132)+'LINEST VARS'!$F$68*(8*$DN$128)+'LINEST VARS'!$E$68*(8*0.5)+'LINEST VARS'!$D$68*(8*$CX132)+'LINEST VARS'!$C$68*($DN$128*0.5)+'LINEST VARS'!$B$68*($DN$128*$CX132)+'LINEST VARS'!$A$68*(0.5*$CX132)</f>
        <v>149</v>
      </c>
      <c r="DO132" s="46">
        <f>'LINEST VARS'!$U$68+'LINEST VARS'!$T$68*(8)+'LINEST VARS'!$S$68*(8)+'LINEST VARS'!$R$68*($DO$128)+'LINEST VARS'!$Q$68*(0.5)+'LINEST VARS'!$P$68*($CX132)+'LINEST VARS'!$O$68*(8^2)+'LINEST VARS'!$N$68*(8^2)+'LINEST VARS'!$M$68*($DO$128^2)+'LINEST VARS'!$L$68*(0.5^2)+'LINEST VARS'!$K$68*($CX132^2)+'LINEST VARS'!$J$68*(8*8)+'LINEST VARS'!$I$68*(8*$DO$128)+'LINEST VARS'!$H$68*(8*0.5)+'LINEST VARS'!$G$68*(8*$CX132)+'LINEST VARS'!$F$68*(8*$DO$128)+'LINEST VARS'!$E$68*(8*0.5)+'LINEST VARS'!$D$68*(8*$CX132)+'LINEST VARS'!$C$68*($DO$128*0.5)+'LINEST VARS'!$B$68*($DO$128*$CX132)+'LINEST VARS'!$A$68*(0.5*$CX132)</f>
        <v>149</v>
      </c>
      <c r="DP132" s="46">
        <f>'LINEST VARS'!$U$68+'LINEST VARS'!$T$68*(8)+'LINEST VARS'!$S$68*(8)+'LINEST VARS'!$R$68*($DP$128)+'LINEST VARS'!$Q$68*(0.5)+'LINEST VARS'!$P$68*($CX132)+'LINEST VARS'!$O$68*(8^2)+'LINEST VARS'!$N$68*(8^2)+'LINEST VARS'!$M$68*($DP$128^2)+'LINEST VARS'!$L$68*(0.5^2)+'LINEST VARS'!$K$68*($CX132^2)+'LINEST VARS'!$J$68*(8*8)+'LINEST VARS'!$I$68*(8*$DP$128)+'LINEST VARS'!$H$68*(8*0.5)+'LINEST VARS'!$G$68*(8*$CX132)+'LINEST VARS'!$F$68*(8*$DP$128)+'LINEST VARS'!$E$68*(8*0.5)+'LINEST VARS'!$D$68*(8*$CX132)+'LINEST VARS'!$C$68*($DP$128*0.5)+'LINEST VARS'!$B$68*($DP$128*$CX132)+'LINEST VARS'!$A$68*(0.5*$CX132)</f>
        <v>149</v>
      </c>
      <c r="DQ132" s="46">
        <f>'LINEST VARS'!$U$68+'LINEST VARS'!$T$68*(8)+'LINEST VARS'!$S$68*(8)+'LINEST VARS'!$R$68*($DQ$128)+'LINEST VARS'!$Q$68*(0.5)+'LINEST VARS'!$P$68*($CX132)+'LINEST VARS'!$O$68*(8^2)+'LINEST VARS'!$N$68*(8^2)+'LINEST VARS'!$M$68*($DQ$128^2)+'LINEST VARS'!$L$68*(0.5^2)+'LINEST VARS'!$K$68*($CX132^2)+'LINEST VARS'!$J$68*(8*8)+'LINEST VARS'!$I$68*(8*$DQ$128)+'LINEST VARS'!$H$68*(8*0.5)+'LINEST VARS'!$G$68*(8*$CX132)+'LINEST VARS'!$F$68*(8*$DQ$128)+'LINEST VARS'!$E$68*(8*0.5)+'LINEST VARS'!$D$68*(8*$CX132)+'LINEST VARS'!$C$68*($DQ$128*0.5)+'LINEST VARS'!$B$68*($DQ$128*$CX132)+'LINEST VARS'!$A$68*(0.5*$CX132)</f>
        <v>149</v>
      </c>
      <c r="DR132" s="46">
        <f>'LINEST VARS'!$U$68+'LINEST VARS'!$T$68*(8)+'LINEST VARS'!$S$68*(8)+'LINEST VARS'!$R$68*($DR$128)+'LINEST VARS'!$Q$68*(0.5)+'LINEST VARS'!$P$68*($CX132)+'LINEST VARS'!$O$68*(8^2)+'LINEST VARS'!$N$68*(8^2)+'LINEST VARS'!$M$68*($DR$128^2)+'LINEST VARS'!$L$68*(0.5^2)+'LINEST VARS'!$K$68*($CX132^2)+'LINEST VARS'!$J$68*(8*8)+'LINEST VARS'!$I$68*(8*$DR$128)+'LINEST VARS'!$H$68*(8*0.5)+'LINEST VARS'!$G$68*(8*$CX132)+'LINEST VARS'!$F$68*(8*$DR$128)+'LINEST VARS'!$E$68*(8*0.5)+'LINEST VARS'!$D$68*(8*$CX132)+'LINEST VARS'!$C$68*($DR$128*0.5)+'LINEST VARS'!$B$68*($DR$128*$CX132)+'LINEST VARS'!$A$68*(0.5*$CX132)</f>
        <v>149</v>
      </c>
      <c r="DS132" s="47">
        <f>'LINEST VARS'!$U$68+'LINEST VARS'!$T$68*(8)+'LINEST VARS'!$S$68*(8)+'LINEST VARS'!$R$68*($DS$128)+'LINEST VARS'!$Q$68*(0.5)+'LINEST VARS'!$P$68*($CX132)+'LINEST VARS'!$O$68*(8^2)+'LINEST VARS'!$N$68*(8^2)+'LINEST VARS'!$M$68*($DS$128^2)+'LINEST VARS'!$L$68*(0.5^2)+'LINEST VARS'!$K$68*($CX132^2)+'LINEST VARS'!$J$68*(8*8)+'LINEST VARS'!$I$68*(8*$DS$128)+'LINEST VARS'!$H$68*(8*0.5)+'LINEST VARS'!$G$68*(8*$CX132)+'LINEST VARS'!$F$68*(8*$DS$128)+'LINEST VARS'!$E$68*(8*0.5)+'LINEST VARS'!$D$68*(8*$CX132)+'LINEST VARS'!$C$68*($DS$128*0.5)+'LINEST VARS'!$B$68*($DS$128*$CX132)+'LINEST VARS'!$A$68*(0.5*$CX132)</f>
        <v>149</v>
      </c>
      <c r="DV132" s="45">
        <v>3.8984999999999999</v>
      </c>
      <c r="DW132" s="46">
        <f>'LINEST VARS'!$U$70+'LINEST VARS'!$T$70*(8)+'LINEST VARS'!$S$70*(8)+'LINEST VARS'!$R$70*($DW$128)+'LINEST VARS'!$Q$70*(0.5)+'LINEST VARS'!$P$70*($DV132)+'LINEST VARS'!$O$70*(8^2)+'LINEST VARS'!$N$70*(8^2)+'LINEST VARS'!$M$70*($DW$128^2)+'LINEST VARS'!$L$70*(0.5^2)+'LINEST VARS'!$K$70*($DV132^2)+'LINEST VARS'!$J$70*(8*8)+'LINEST VARS'!$I$70*(8*$DW$128)+'LINEST VARS'!$H$70*(8*0.5)+'LINEST VARS'!$G$70*(8*$DV132)+'LINEST VARS'!$F$70*(8*$DW$128)+'LINEST VARS'!$E$70*(8*0.5)+'LINEST VARS'!$D$70*(8*$DV132)+'LINEST VARS'!$C$70*($DW$128*0.5)+'LINEST VARS'!$B$70*($DW$128*$DV132)+'LINEST VARS'!$A$70*(0.5*$DV132)</f>
        <v>92.000000000000014</v>
      </c>
      <c r="DX132" s="46">
        <f>'LINEST VARS'!$U$70+'LINEST VARS'!$T$70*(8)+'LINEST VARS'!$S$70*(8)+'LINEST VARS'!$R$70*($DX$128)+'LINEST VARS'!$Q$70*(0.5)+'LINEST VARS'!$P$70*($DV132)+'LINEST VARS'!$O$70*(8^2)+'LINEST VARS'!$N$70*(8^2)+'LINEST VARS'!$M$70*($DX$128^2)+'LINEST VARS'!$L$70*(0.5^2)+'LINEST VARS'!$K$70*($DV132^2)+'LINEST VARS'!$J$70*(8*8)+'LINEST VARS'!$I$70*(8*$DX$128)+'LINEST VARS'!$H$70*(8*0.5)+'LINEST VARS'!$G$70*(8*$DV132)+'LINEST VARS'!$F$70*(8*$DX$128)+'LINEST VARS'!$E$70*(8*0.5)+'LINEST VARS'!$D$70*(8*$DV132)+'LINEST VARS'!$C$70*($DX$128*0.5)+'LINEST VARS'!$B$70*($DX$128*$DV132)+'LINEST VARS'!$A$70*(0.5*$DV132)</f>
        <v>91.600000000000009</v>
      </c>
      <c r="DY132" s="46">
        <f>'LINEST VARS'!$U$70+'LINEST VARS'!$T$70*(8)+'LINEST VARS'!$S$70*(8)+'LINEST VARS'!$R$70*($DY$128)+'LINEST VARS'!$Q$70*(0.5)+'LINEST VARS'!$P$70*($DV132)+'LINEST VARS'!$O$70*(8^2)+'LINEST VARS'!$N$70*(8^2)+'LINEST VARS'!$M$70*($DY$128^2)+'LINEST VARS'!$L$70*(0.5^2)+'LINEST VARS'!$K$70*($DV132^2)+'LINEST VARS'!$J$70*(8*8)+'LINEST VARS'!$I$70*(8*$DY$128)+'LINEST VARS'!$H$70*(8*0.5)+'LINEST VARS'!$G$70*(8*$DV132)+'LINEST VARS'!$F$70*(8*$DY$128)+'LINEST VARS'!$E$70*(8*0.5)+'LINEST VARS'!$D$70*(8*$DV132)+'LINEST VARS'!$C$70*($DY$128*0.5)+'LINEST VARS'!$B$70*($DY$128*$DV132)+'LINEST VARS'!$A$70*(0.5*$DV132)</f>
        <v>91.200000000000017</v>
      </c>
      <c r="DZ132" s="46">
        <f>'LINEST VARS'!$U$70+'LINEST VARS'!$T$70*(8)+'LINEST VARS'!$S$70*(8)+'LINEST VARS'!$R$70*($DZ$128)+'LINEST VARS'!$Q$70*(0.5)+'LINEST VARS'!$P$70*($DV132)+'LINEST VARS'!$O$70*(8^2)+'LINEST VARS'!$N$70*(8^2)+'LINEST VARS'!$M$70*($DZ$128^2)+'LINEST VARS'!$L$70*(0.5^2)+'LINEST VARS'!$K$70*($DV132^2)+'LINEST VARS'!$J$70*(8*8)+'LINEST VARS'!$I$70*(8*$DZ$128)+'LINEST VARS'!$H$70*(8*0.5)+'LINEST VARS'!$G$70*(8*$DV132)+'LINEST VARS'!$F$70*(8*$DZ$128)+'LINEST VARS'!$E$70*(8*0.5)+'LINEST VARS'!$D$70*(8*$DV132)+'LINEST VARS'!$C$70*($DZ$128*0.5)+'LINEST VARS'!$B$70*($DZ$128*$DV132)+'LINEST VARS'!$A$70*(0.5*$DV132)</f>
        <v>90.800000000000011</v>
      </c>
      <c r="EA132" s="46">
        <f>'LINEST VARS'!$U$70+'LINEST VARS'!$T$70*(8)+'LINEST VARS'!$S$70*(8)+'LINEST VARS'!$R$70*($EA$128)+'LINEST VARS'!$Q$70*(0.5)+'LINEST VARS'!$P$70*($DV132)+'LINEST VARS'!$O$70*(8^2)+'LINEST VARS'!$N$70*(8^2)+'LINEST VARS'!$M$70*($EA$128^2)+'LINEST VARS'!$L$70*(0.5^2)+'LINEST VARS'!$K$70*($DV132^2)+'LINEST VARS'!$J$70*(8*8)+'LINEST VARS'!$I$70*(8*$EA$128)+'LINEST VARS'!$H$70*(8*0.5)+'LINEST VARS'!$G$70*(8*$DV132)+'LINEST VARS'!$F$70*(8*$EA$128)+'LINEST VARS'!$E$70*(8*0.5)+'LINEST VARS'!$D$70*(8*$DV132)+'LINEST VARS'!$C$70*($EA$128*0.5)+'LINEST VARS'!$B$70*($EA$128*$DV132)+'LINEST VARS'!$A$70*(0.5*$DV132)</f>
        <v>90.40000000000002</v>
      </c>
      <c r="EB132" s="46">
        <f>'LINEST VARS'!$U$70+'LINEST VARS'!$T$70*(8)+'LINEST VARS'!$S$70*(8)+'LINEST VARS'!$R$70*($EB$128)+'LINEST VARS'!$Q$70*(0.5)+'LINEST VARS'!$P$70*($DV132)+'LINEST VARS'!$O$70*(8^2)+'LINEST VARS'!$N$70*(8^2)+'LINEST VARS'!$M$70*($EB$128^2)+'LINEST VARS'!$L$70*(0.5^2)+'LINEST VARS'!$K$70*($DV132^2)+'LINEST VARS'!$J$70*(8*8)+'LINEST VARS'!$I$70*(8*$EB$128)+'LINEST VARS'!$H$70*(8*0.5)+'LINEST VARS'!$G$70*(8*$DV132)+'LINEST VARS'!$F$70*(8*$EB$128)+'LINEST VARS'!$E$70*(8*0.5)+'LINEST VARS'!$D$70*(8*$DV132)+'LINEST VARS'!$C$70*($EB$128*0.5)+'LINEST VARS'!$B$70*($EB$128*$DV132)+'LINEST VARS'!$A$70*(0.5*$DV132)</f>
        <v>90.000000000000014</v>
      </c>
      <c r="EC132" s="46">
        <f>'LINEST VARS'!$U$70+'LINEST VARS'!$T$70*(8)+'LINEST VARS'!$S$70*(8)+'LINEST VARS'!$R$70*($EC$128)+'LINEST VARS'!$Q$70*(0.5)+'LINEST VARS'!$P$70*($DV132)+'LINEST VARS'!$O$70*(8^2)+'LINEST VARS'!$N$70*(8^2)+'LINEST VARS'!$M$70*($EC$128^2)+'LINEST VARS'!$L$70*(0.5^2)+'LINEST VARS'!$K$70*($DV132^2)+'LINEST VARS'!$J$70*(8*8)+'LINEST VARS'!$I$70*(8*$EC$128)+'LINEST VARS'!$H$70*(8*0.5)+'LINEST VARS'!$G$70*(8*$DV132)+'LINEST VARS'!$F$70*(8*$EC$128)+'LINEST VARS'!$E$70*(8*0.5)+'LINEST VARS'!$D$70*(8*$DV132)+'LINEST VARS'!$C$70*($EC$128*0.5)+'LINEST VARS'!$B$70*($EC$128*$DV132)+'LINEST VARS'!$A$70*(0.5*$DV132)</f>
        <v>89.600000000000023</v>
      </c>
      <c r="ED132" s="46">
        <f>'LINEST VARS'!$U$70+'LINEST VARS'!$T$70*(8)+'LINEST VARS'!$S$70*(8)+'LINEST VARS'!$R$70*($ED$128)+'LINEST VARS'!$Q$70*(0.5)+'LINEST VARS'!$P$70*($DV132)+'LINEST VARS'!$O$70*(8^2)+'LINEST VARS'!$N$70*(8^2)+'LINEST VARS'!$M$70*($ED$128^2)+'LINEST VARS'!$L$70*(0.5^2)+'LINEST VARS'!$K$70*($DV132^2)+'LINEST VARS'!$J$70*(8*8)+'LINEST VARS'!$I$70*(8*$ED$128)+'LINEST VARS'!$H$70*(8*0.5)+'LINEST VARS'!$G$70*(8*$DV132)+'LINEST VARS'!$F$70*(8*$ED$128)+'LINEST VARS'!$E$70*(8*0.5)+'LINEST VARS'!$D$70*(8*$DV132)+'LINEST VARS'!$C$70*($ED$128*0.5)+'LINEST VARS'!$B$70*($ED$128*$DV132)+'LINEST VARS'!$A$70*(0.5*$DV132)</f>
        <v>89.200000000000017</v>
      </c>
      <c r="EE132" s="46">
        <f>'LINEST VARS'!$U$70+'LINEST VARS'!$T$70*(8)+'LINEST VARS'!$S$70*(8)+'LINEST VARS'!$R$70*($EE$128)+'LINEST VARS'!$Q$70*(0.5)+'LINEST VARS'!$P$70*($DV132)+'LINEST VARS'!$O$70*(8^2)+'LINEST VARS'!$N$70*(8^2)+'LINEST VARS'!$M$70*($EE$128^2)+'LINEST VARS'!$L$70*(0.5^2)+'LINEST VARS'!$K$70*($DV132^2)+'LINEST VARS'!$J$70*(8*8)+'LINEST VARS'!$I$70*(8*$EE$128)+'LINEST VARS'!$H$70*(8*0.5)+'LINEST VARS'!$G$70*(8*$DV132)+'LINEST VARS'!$F$70*(8*$EE$128)+'LINEST VARS'!$E$70*(8*0.5)+'LINEST VARS'!$D$70*(8*$DV132)+'LINEST VARS'!$C$70*($EE$128*0.5)+'LINEST VARS'!$B$70*($EE$128*$DV132)+'LINEST VARS'!$A$70*(0.5*$DV132)</f>
        <v>88.800000000000026</v>
      </c>
      <c r="EF132" s="46">
        <f>'LINEST VARS'!$U$70+'LINEST VARS'!$T$70*(8)+'LINEST VARS'!$S$70*(8)+'LINEST VARS'!$R$70*($EF$128)+'LINEST VARS'!$Q$70*(0.5)+'LINEST VARS'!$P$70*($DV132)+'LINEST VARS'!$O$70*(8^2)+'LINEST VARS'!$N$70*(8^2)+'LINEST VARS'!$M$70*($EF$128^2)+'LINEST VARS'!$L$70*(0.5^2)+'LINEST VARS'!$K$70*($DV132^2)+'LINEST VARS'!$J$70*(8*8)+'LINEST VARS'!$I$70*(8*$EF$128)+'LINEST VARS'!$H$70*(8*0.5)+'LINEST VARS'!$G$70*(8*$DV132)+'LINEST VARS'!$F$70*(8*$EF$128)+'LINEST VARS'!$E$70*(8*0.5)+'LINEST VARS'!$D$70*(8*$DV132)+'LINEST VARS'!$C$70*($EF$128*0.5)+'LINEST VARS'!$B$70*($EF$128*$DV132)+'LINEST VARS'!$A$70*(0.5*$DV132)</f>
        <v>88.40000000000002</v>
      </c>
      <c r="EG132" s="46">
        <f>'LINEST VARS'!$U$70+'LINEST VARS'!$T$70*(8)+'LINEST VARS'!$S$70*(8)+'LINEST VARS'!$R$70*($EG$128)+'LINEST VARS'!$Q$70*(0.5)+'LINEST VARS'!$P$70*($DV132)+'LINEST VARS'!$O$70*(8^2)+'LINEST VARS'!$N$70*(8^2)+'LINEST VARS'!$M$70*($EG$128^2)+'LINEST VARS'!$L$70*(0.5^2)+'LINEST VARS'!$K$70*($DV132^2)+'LINEST VARS'!$J$70*(8*8)+'LINEST VARS'!$I$70*(8*$EG$128)+'LINEST VARS'!$H$70*(8*0.5)+'LINEST VARS'!$G$70*(8*$DV132)+'LINEST VARS'!$F$70*(8*$EG$128)+'LINEST VARS'!$E$70*(8*0.5)+'LINEST VARS'!$D$70*(8*$DV132)+'LINEST VARS'!$C$70*($EG$128*0.5)+'LINEST VARS'!$B$70*($EG$128*$DV132)+'LINEST VARS'!$A$70*(0.5*$DV132)</f>
        <v>88.000000000000014</v>
      </c>
      <c r="EH132" s="46">
        <f>'LINEST VARS'!$U$70+'LINEST VARS'!$T$70*(8)+'LINEST VARS'!$S$70*(8)+'LINEST VARS'!$R$70*($EH$128)+'LINEST VARS'!$Q$70*(0.5)+'LINEST VARS'!$P$70*($DV132)+'LINEST VARS'!$O$70*(8^2)+'LINEST VARS'!$N$70*(8^2)+'LINEST VARS'!$M$70*($EH$128^2)+'LINEST VARS'!$L$70*(0.5^2)+'LINEST VARS'!$K$70*($DV132^2)+'LINEST VARS'!$J$70*(8*8)+'LINEST VARS'!$I$70*(8*$EH$128)+'LINEST VARS'!$H$70*(8*0.5)+'LINEST VARS'!$G$70*(8*$DV132)+'LINEST VARS'!$F$70*(8*$EH$128)+'LINEST VARS'!$E$70*(8*0.5)+'LINEST VARS'!$D$70*(8*$DV132)+'LINEST VARS'!$C$70*($EH$128*0.5)+'LINEST VARS'!$B$70*($EH$128*$DV132)+'LINEST VARS'!$A$70*(0.5*$DV132)</f>
        <v>87.600000000000023</v>
      </c>
      <c r="EI132" s="46">
        <f>'LINEST VARS'!$U$70+'LINEST VARS'!$T$70*(8)+'LINEST VARS'!$S$70*(8)+'LINEST VARS'!$R$70*($EI$128)+'LINEST VARS'!$Q$70*(0.5)+'LINEST VARS'!$P$70*($DV132)+'LINEST VARS'!$O$70*(8^2)+'LINEST VARS'!$N$70*(8^2)+'LINEST VARS'!$M$70*($EI$128^2)+'LINEST VARS'!$L$70*(0.5^2)+'LINEST VARS'!$K$70*($DV132^2)+'LINEST VARS'!$J$70*(8*8)+'LINEST VARS'!$I$70*(8*$EI$128)+'LINEST VARS'!$H$70*(8*0.5)+'LINEST VARS'!$G$70*(8*$DV132)+'LINEST VARS'!$F$70*(8*$EI$128)+'LINEST VARS'!$E$70*(8*0.5)+'LINEST VARS'!$D$70*(8*$DV132)+'LINEST VARS'!$C$70*($EI$128*0.5)+'LINEST VARS'!$B$70*($EI$128*$DV132)+'LINEST VARS'!$A$70*(0.5*$DV132)</f>
        <v>87.200000000000017</v>
      </c>
      <c r="EJ132" s="46">
        <f>'LINEST VARS'!$U$70+'LINEST VARS'!$T$70*(8)+'LINEST VARS'!$S$70*(8)+'LINEST VARS'!$R$70*($EJ$128)+'LINEST VARS'!$Q$70*(0.5)+'LINEST VARS'!$P$70*($DV132)+'LINEST VARS'!$O$70*(8^2)+'LINEST VARS'!$N$70*(8^2)+'LINEST VARS'!$M$70*($EJ$128^2)+'LINEST VARS'!$L$70*(0.5^2)+'LINEST VARS'!$K$70*($DV132^2)+'LINEST VARS'!$J$70*(8*8)+'LINEST VARS'!$I$70*(8*$EJ$128)+'LINEST VARS'!$H$70*(8*0.5)+'LINEST VARS'!$G$70*(8*$DV132)+'LINEST VARS'!$F$70*(8*$EJ$128)+'LINEST VARS'!$E$70*(8*0.5)+'LINEST VARS'!$D$70*(8*$DV132)+'LINEST VARS'!$C$70*($EJ$128*0.5)+'LINEST VARS'!$B$70*($EJ$128*$DV132)+'LINEST VARS'!$A$70*(0.5*$DV132)</f>
        <v>86.800000000000026</v>
      </c>
      <c r="EK132" s="46">
        <f>'LINEST VARS'!$U$70+'LINEST VARS'!$T$70*(8)+'LINEST VARS'!$S$70*(8)+'LINEST VARS'!$R$70*($EK$128)+'LINEST VARS'!$Q$70*(0.5)+'LINEST VARS'!$P$70*($DV132)+'LINEST VARS'!$O$70*(8^2)+'LINEST VARS'!$N$70*(8^2)+'LINEST VARS'!$M$70*($EK$128^2)+'LINEST VARS'!$L$70*(0.5^2)+'LINEST VARS'!$K$70*($DV132^2)+'LINEST VARS'!$J$70*(8*8)+'LINEST VARS'!$I$70*(8*$EK$128)+'LINEST VARS'!$H$70*(8*0.5)+'LINEST VARS'!$G$70*(8*$DV132)+'LINEST VARS'!$F$70*(8*$EK$128)+'LINEST VARS'!$E$70*(8*0.5)+'LINEST VARS'!$D$70*(8*$DV132)+'LINEST VARS'!$C$70*($EK$128*0.5)+'LINEST VARS'!$B$70*($EK$128*$DV132)+'LINEST VARS'!$A$70*(0.5*$DV132)</f>
        <v>86.40000000000002</v>
      </c>
      <c r="EL132" s="46">
        <f>'LINEST VARS'!$U$70+'LINEST VARS'!$T$70*(8)+'LINEST VARS'!$S$70*(8)+'LINEST VARS'!$R$70*($EL$128)+'LINEST VARS'!$Q$70*(0.5)+'LINEST VARS'!$P$70*($DV132)+'LINEST VARS'!$O$70*(8^2)+'LINEST VARS'!$N$70*(8^2)+'LINEST VARS'!$M$70*($EL$128^2)+'LINEST VARS'!$L$70*(0.5^2)+'LINEST VARS'!$K$70*($DV132^2)+'LINEST VARS'!$J$70*(8*8)+'LINEST VARS'!$I$70*(8*$EL$128)+'LINEST VARS'!$H$70*(8*0.5)+'LINEST VARS'!$G$70*(8*$DV132)+'LINEST VARS'!$F$70*(8*$EL$128)+'LINEST VARS'!$E$70*(8*0.5)+'LINEST VARS'!$D$70*(8*$DV132)+'LINEST VARS'!$C$70*($EL$128*0.5)+'LINEST VARS'!$B$70*($EL$128*$DV132)+'LINEST VARS'!$A$70*(0.5*$DV132)</f>
        <v>86.000000000000014</v>
      </c>
      <c r="EM132" s="46">
        <f>'LINEST VARS'!$U$70+'LINEST VARS'!$T$70*(8)+'LINEST VARS'!$S$70*(8)+'LINEST VARS'!$R$70*($EM$128)+'LINEST VARS'!$Q$70*(0.5)+'LINEST VARS'!$P$70*($DV132)+'LINEST VARS'!$O$70*(8^2)+'LINEST VARS'!$N$70*(8^2)+'LINEST VARS'!$M$70*($EM$128^2)+'LINEST VARS'!$L$70*(0.5^2)+'LINEST VARS'!$K$70*($DV132^2)+'LINEST VARS'!$J$70*(8*8)+'LINEST VARS'!$I$70*(8*$EM$128)+'LINEST VARS'!$H$70*(8*0.5)+'LINEST VARS'!$G$70*(8*$DV132)+'LINEST VARS'!$F$70*(8*$EM$128)+'LINEST VARS'!$E$70*(8*0.5)+'LINEST VARS'!$D$70*(8*$DV132)+'LINEST VARS'!$C$70*($EM$128*0.5)+'LINEST VARS'!$B$70*($EM$128*$DV132)+'LINEST VARS'!$A$70*(0.5*$DV132)</f>
        <v>85.600000000000009</v>
      </c>
      <c r="EN132" s="46">
        <f>'LINEST VARS'!$U$70+'LINEST VARS'!$T$70*(8)+'LINEST VARS'!$S$70*(8)+'LINEST VARS'!$R$70*($EN$128)+'LINEST VARS'!$Q$70*(0.5)+'LINEST VARS'!$P$70*($DV132)+'LINEST VARS'!$O$70*(8^2)+'LINEST VARS'!$N$70*(8^2)+'LINEST VARS'!$M$70*($EN$128^2)+'LINEST VARS'!$L$70*(0.5^2)+'LINEST VARS'!$K$70*($DV132^2)+'LINEST VARS'!$J$70*(8*8)+'LINEST VARS'!$I$70*(8*$EN$128)+'LINEST VARS'!$H$70*(8*0.5)+'LINEST VARS'!$G$70*(8*$DV132)+'LINEST VARS'!$F$70*(8*$EN$128)+'LINEST VARS'!$E$70*(8*0.5)+'LINEST VARS'!$D$70*(8*$DV132)+'LINEST VARS'!$C$70*($EN$128*0.5)+'LINEST VARS'!$B$70*($EN$128*$DV132)+'LINEST VARS'!$A$70*(0.5*$DV132)</f>
        <v>85.200000000000017</v>
      </c>
      <c r="EO132" s="46">
        <f>'LINEST VARS'!$U$70+'LINEST VARS'!$T$70*(8)+'LINEST VARS'!$S$70*(8)+'LINEST VARS'!$R$70*($EO$128)+'LINEST VARS'!$Q$70*(0.5)+'LINEST VARS'!$P$70*($DV132)+'LINEST VARS'!$O$70*(8^2)+'LINEST VARS'!$N$70*(8^2)+'LINEST VARS'!$M$70*($EO$128^2)+'LINEST VARS'!$L$70*(0.5^2)+'LINEST VARS'!$K$70*($DV132^2)+'LINEST VARS'!$J$70*(8*8)+'LINEST VARS'!$I$70*(8*$EO$128)+'LINEST VARS'!$H$70*(8*0.5)+'LINEST VARS'!$G$70*(8*$DV132)+'LINEST VARS'!$F$70*(8*$EO$128)+'LINEST VARS'!$E$70*(8*0.5)+'LINEST VARS'!$D$70*(8*$DV132)+'LINEST VARS'!$C$70*($EO$128*0.5)+'LINEST VARS'!$B$70*($EO$128*$DV132)+'LINEST VARS'!$A$70*(0.5*$DV132)</f>
        <v>84.800000000000011</v>
      </c>
      <c r="EP132" s="46">
        <f>'LINEST VARS'!$U$70+'LINEST VARS'!$T$70*(8)+'LINEST VARS'!$S$70*(8)+'LINEST VARS'!$R$70*($EP$128)+'LINEST VARS'!$Q$70*(0.5)+'LINEST VARS'!$P$70*($DV132)+'LINEST VARS'!$O$70*(8^2)+'LINEST VARS'!$N$70*(8^2)+'LINEST VARS'!$M$70*($EP$128^2)+'LINEST VARS'!$L$70*(0.5^2)+'LINEST VARS'!$K$70*($DV132^2)+'LINEST VARS'!$J$70*(8*8)+'LINEST VARS'!$I$70*(8*$EP$128)+'LINEST VARS'!$H$70*(8*0.5)+'LINEST VARS'!$G$70*(8*$DV132)+'LINEST VARS'!$F$70*(8*$EP$128)+'LINEST VARS'!$E$70*(8*0.5)+'LINEST VARS'!$D$70*(8*$DV132)+'LINEST VARS'!$C$70*($EP$128*0.5)+'LINEST VARS'!$B$70*($EP$128*$DV132)+'LINEST VARS'!$A$70*(0.5*$DV132)</f>
        <v>84.400000000000034</v>
      </c>
      <c r="EQ132" s="47">
        <f>'LINEST VARS'!$U$70+'LINEST VARS'!$T$70*(8)+'LINEST VARS'!$S$70*(8)+'LINEST VARS'!$R$70*($EQ$128)+'LINEST VARS'!$Q$70*(0.5)+'LINEST VARS'!$P$70*($DV132)+'LINEST VARS'!$O$70*(8^2)+'LINEST VARS'!$N$70*(8^2)+'LINEST VARS'!$M$70*($EQ$128^2)+'LINEST VARS'!$L$70*(0.5^2)+'LINEST VARS'!$K$70*($DV132^2)+'LINEST VARS'!$J$70*(8*8)+'LINEST VARS'!$I$70*(8*$EQ$128)+'LINEST VARS'!$H$70*(8*0.5)+'LINEST VARS'!$G$70*(8*$DV132)+'LINEST VARS'!$F$70*(8*$EQ$128)+'LINEST VARS'!$E$70*(8*0.5)+'LINEST VARS'!$D$70*(8*$DV132)+'LINEST VARS'!$C$70*($EQ$128*0.5)+'LINEST VARS'!$B$70*($EQ$128*$DV132)+'LINEST VARS'!$A$70*(0.5*$DV132)</f>
        <v>84.000000000000028</v>
      </c>
    </row>
    <row r="133" spans="2:147" ht="15" customHeight="1" x14ac:dyDescent="0.25">
      <c r="B133" s="45">
        <v>7.64</v>
      </c>
      <c r="C133" s="46">
        <f>'LINEST VARS'!$U$68+'LINEST VARS'!$T$68*($C$128)+'LINEST VARS'!$S$68*($B133)+'LINEST VARS'!$R$68*(4)+'LINEST VARS'!$Q$68*(0.5)+'LINEST VARS'!$P$68*(12.73)+'LINEST VARS'!$O$68*($C$128^2)+'LINEST VARS'!$N$68*($B133^2)+'LINEST VARS'!$M$68*(4^2)+'LINEST VARS'!$L$68*(0.5^2)+'LINEST VARS'!$K$68*(12.73^2)+'LINEST VARS'!$J$68*($C$128*$B133)+'LINEST VARS'!$I$68*($C$128*4)+'LINEST VARS'!$H$68*($C$128*0.5)+'LINEST VARS'!$G$68*($C$128*12.73)+'LINEST VARS'!$F$68*($B133*4)+'LINEST VARS'!$E$68*($B133*0.5)+'LINEST VARS'!$D$68*($B133*12.73)+'LINEST VARS'!$C$68*(4*0.5)+'LINEST VARS'!$B$68*(4*12.73)+'LINEST VARS'!$A$68*(0.5*12.73)</f>
        <v>148.99999999999997</v>
      </c>
      <c r="D133" s="46">
        <f>'LINEST VARS'!$U$68+'LINEST VARS'!$T$68*($D$128)+'LINEST VARS'!$S$68*($B133)+'LINEST VARS'!$R$68*(4)+'LINEST VARS'!$Q$68*(0.5)+'LINEST VARS'!$P$68*(12.73)+'LINEST VARS'!$O$68*($D$128^2)+'LINEST VARS'!$N$68*($B133^2)+'LINEST VARS'!$M$68*(4^2)+'LINEST VARS'!$L$68*(0.5^2)+'LINEST VARS'!$K$68*(12.73^2)+'LINEST VARS'!$J$68*($D$128*$B133)+'LINEST VARS'!$I$68*($D$128*4)+'LINEST VARS'!$H$68*($D$128*0.5)+'LINEST VARS'!$G$68*($D$128*12.73)+'LINEST VARS'!$F$68*($B133*4)+'LINEST VARS'!$E$68*($B133*0.5)+'LINEST VARS'!$D$68*($B133*12.73)+'LINEST VARS'!$C$68*(4*0.5)+'LINEST VARS'!$B$68*(4*12.73)+'LINEST VARS'!$A$68*(0.5*12.73)</f>
        <v>148.99999999999997</v>
      </c>
      <c r="E133" s="46">
        <f>'LINEST VARS'!$U$68+'LINEST VARS'!$T$68*($E$128)+'LINEST VARS'!$S$68*($B133)+'LINEST VARS'!$R$68*(4)+'LINEST VARS'!$Q$68*(0.5)+'LINEST VARS'!$P$68*(12.73)+'LINEST VARS'!$O$68*($E$128^2)+'LINEST VARS'!$N$68*($B133^2)+'LINEST VARS'!$M$68*(4^2)+'LINEST VARS'!$L$68*(0.5^2)+'LINEST VARS'!$K$68*(12.73^2)+'LINEST VARS'!$J$68*($E$128*$B133)+'LINEST VARS'!$I$68*($E$128*4)+'LINEST VARS'!$H$68*($E$128*0.5)+'LINEST VARS'!$G$68*($E$128*12.73)+'LINEST VARS'!$F$68*($B133*4)+'LINEST VARS'!$E$68*($B133*0.5)+'LINEST VARS'!$D$68*($B133*12.73)+'LINEST VARS'!$C$68*(4*0.5)+'LINEST VARS'!$B$68*(4*12.73)+'LINEST VARS'!$A$68*(0.5*12.73)</f>
        <v>148.99999999999997</v>
      </c>
      <c r="F133" s="46">
        <f>'LINEST VARS'!$U$68+'LINEST VARS'!$T$68*($F$128)+'LINEST VARS'!$S$68*($B133)+'LINEST VARS'!$R$68*(4)+'LINEST VARS'!$Q$68*(0.5)+'LINEST VARS'!$P$68*(12.73)+'LINEST VARS'!$O$68*($F$128^2)+'LINEST VARS'!$N$68*($B133^2)+'LINEST VARS'!$M$68*(4^2)+'LINEST VARS'!$L$68*(0.5^2)+'LINEST VARS'!$K$68*(12.73^2)+'LINEST VARS'!$J$68*($F$128*$B133)+'LINEST VARS'!$I$68*($F$128*4)+'LINEST VARS'!$H$68*($F$128*0.5)+'LINEST VARS'!$G$68*($F$128*12.73)+'LINEST VARS'!$F$68*($B133*4)+'LINEST VARS'!$E$68*($B133*0.5)+'LINEST VARS'!$D$68*($B133*12.73)+'LINEST VARS'!$C$68*(4*0.5)+'LINEST VARS'!$B$68*(4*12.73)+'LINEST VARS'!$A$68*(0.5*12.73)</f>
        <v>148.99999999999997</v>
      </c>
      <c r="G133" s="46">
        <f>'LINEST VARS'!$U$68+'LINEST VARS'!$T$68*($G$128)+'LINEST VARS'!$S$68*($B133)+'LINEST VARS'!$R$68*(4)+'LINEST VARS'!$Q$68*(0.5)+'LINEST VARS'!$P$68*(12.73)+'LINEST VARS'!$O$68*($G$128^2)+'LINEST VARS'!$N$68*($B133^2)+'LINEST VARS'!$M$68*(4^2)+'LINEST VARS'!$L$68*(0.5^2)+'LINEST VARS'!$K$68*(12.73^2)+'LINEST VARS'!$J$68*($G$128*$B133)+'LINEST VARS'!$I$68*($G$128*4)+'LINEST VARS'!$H$68*($G$128*0.5)+'LINEST VARS'!$G$68*($G$128*12.73)+'LINEST VARS'!$F$68*($B133*4)+'LINEST VARS'!$E$68*($B133*0.5)+'LINEST VARS'!$D$68*($B133*12.73)+'LINEST VARS'!$C$68*(4*0.5)+'LINEST VARS'!$B$68*(4*12.73)+'LINEST VARS'!$A$68*(0.5*12.73)</f>
        <v>148.99999999999997</v>
      </c>
      <c r="H133" s="46">
        <f>'LINEST VARS'!$U$68+'LINEST VARS'!$T$68*($H$128)+'LINEST VARS'!$S$68*($B133)+'LINEST VARS'!$R$68*(4)+'LINEST VARS'!$Q$68*(0.5)+'LINEST VARS'!$P$68*(12.73)+'LINEST VARS'!$O$68*($H$128^2)+'LINEST VARS'!$N$68*($B133^2)+'LINEST VARS'!$M$68*(4^2)+'LINEST VARS'!$L$68*(0.5^2)+'LINEST VARS'!$K$68*(12.73^2)+'LINEST VARS'!$J$68*($H$128*$B133)+'LINEST VARS'!$I$68*($H$128*4)+'LINEST VARS'!$H$68*($H$128*0.5)+'LINEST VARS'!$G$68*($H$128*12.73)+'LINEST VARS'!$F$68*($B133*4)+'LINEST VARS'!$E$68*($B133*0.5)+'LINEST VARS'!$D$68*($B133*12.73)+'LINEST VARS'!$C$68*(4*0.5)+'LINEST VARS'!$B$68*(4*12.73)+'LINEST VARS'!$A$68*(0.5*12.73)</f>
        <v>148.99999999999997</v>
      </c>
      <c r="I133" s="46">
        <f>'LINEST VARS'!$U$68+'LINEST VARS'!$T$68*($I$128)+'LINEST VARS'!$S$68*($B133)+'LINEST VARS'!$R$68*(4)+'LINEST VARS'!$Q$68*(0.5)+'LINEST VARS'!$P$68*(12.73)+'LINEST VARS'!$O$68*($I$128^2)+'LINEST VARS'!$N$68*($B133^2)+'LINEST VARS'!$M$68*(4^2)+'LINEST VARS'!$L$68*(0.5^2)+'LINEST VARS'!$K$68*(12.73^2)+'LINEST VARS'!$J$68*($I$128*$B133)+'LINEST VARS'!$I$68*($I$128*4)+'LINEST VARS'!$H$68*($I$128*0.5)+'LINEST VARS'!$G$68*($I$128*12.73)+'LINEST VARS'!$F$68*($B133*4)+'LINEST VARS'!$E$68*($B133*0.5)+'LINEST VARS'!$D$68*($B133*12.73)+'LINEST VARS'!$C$68*(4*0.5)+'LINEST VARS'!$B$68*(4*12.73)+'LINEST VARS'!$A$68*(0.5*12.73)</f>
        <v>148.99999999999997</v>
      </c>
      <c r="J133" s="46">
        <f>'LINEST VARS'!$U$68+'LINEST VARS'!$T$68*($J$128)+'LINEST VARS'!$S$68*($B133)+'LINEST VARS'!$R$68*(4)+'LINEST VARS'!$Q$68*(0.5)+'LINEST VARS'!$P$68*(12.73)+'LINEST VARS'!$O$68*($J$128^2)+'LINEST VARS'!$N$68*($B133^2)+'LINEST VARS'!$M$68*(4^2)+'LINEST VARS'!$L$68*(0.5^2)+'LINEST VARS'!$K$68*(12.73^2)+'LINEST VARS'!$J$68*($J$128*$B133)+'LINEST VARS'!$I$68*($J$128*4)+'LINEST VARS'!$H$68*($J$128*0.5)+'LINEST VARS'!$G$68*($J$128*12.73)+'LINEST VARS'!$F$68*($B133*4)+'LINEST VARS'!$E$68*($B133*0.5)+'LINEST VARS'!$D$68*($B133*12.73)+'LINEST VARS'!$C$68*(4*0.5)+'LINEST VARS'!$B$68*(4*12.73)+'LINEST VARS'!$A$68*(0.5*12.73)</f>
        <v>148.99999999999997</v>
      </c>
      <c r="K133" s="46">
        <f>'LINEST VARS'!$U$68+'LINEST VARS'!$T$68*($K$128)+'LINEST VARS'!$S$68*($B133)+'LINEST VARS'!$R$68*(4)+'LINEST VARS'!$Q$68*(0.5)+'LINEST VARS'!$P$68*(12.73)+'LINEST VARS'!$O$68*($K$128^2)+'LINEST VARS'!$N$68*($B133^2)+'LINEST VARS'!$M$68*(4^2)+'LINEST VARS'!$L$68*(0.5^2)+'LINEST VARS'!$K$68*(12.73^2)+'LINEST VARS'!$J$68*($K$128*$B133)+'LINEST VARS'!$I$68*($K$128*4)+'LINEST VARS'!$H$68*($K$128*0.5)+'LINEST VARS'!$G$68*($K$128*12.73)+'LINEST VARS'!$F$68*($B133*4)+'LINEST VARS'!$E$68*($B133*0.5)+'LINEST VARS'!$D$68*($B133*12.73)+'LINEST VARS'!$C$68*(4*0.5)+'LINEST VARS'!$B$68*(4*12.73)+'LINEST VARS'!$A$68*(0.5*12.73)</f>
        <v>148.99999999999997</v>
      </c>
      <c r="L133" s="46">
        <f>'LINEST VARS'!$U$68+'LINEST VARS'!$T$68*($L$128)+'LINEST VARS'!$S$68*($B133)+'LINEST VARS'!$R$68*(4)+'LINEST VARS'!$Q$68*(0.5)+'LINEST VARS'!$P$68*(12.73)+'LINEST VARS'!$O$68*($L$128^2)+'LINEST VARS'!$N$68*($B133^2)+'LINEST VARS'!$M$68*(4^2)+'LINEST VARS'!$L$68*(0.5^2)+'LINEST VARS'!$K$68*(12.73^2)+'LINEST VARS'!$J$68*($L$128*$B133)+'LINEST VARS'!$I$68*($L$128*4)+'LINEST VARS'!$H$68*($L$128*0.5)+'LINEST VARS'!$G$68*($L$128*12.73)+'LINEST VARS'!$F$68*($B133*4)+'LINEST VARS'!$E$68*($B133*0.5)+'LINEST VARS'!$D$68*($B133*12.73)+'LINEST VARS'!$C$68*(4*0.5)+'LINEST VARS'!$B$68*(4*12.73)+'LINEST VARS'!$A$68*(0.5*12.73)</f>
        <v>148.99999999999997</v>
      </c>
      <c r="M133" s="46">
        <f>'LINEST VARS'!$U$68+'LINEST VARS'!$T$68*($M$128)+'LINEST VARS'!$S$68*($B133)+'LINEST VARS'!$R$68*(4)+'LINEST VARS'!$Q$68*(0.5)+'LINEST VARS'!$P$68*(12.73)+'LINEST VARS'!$O$68*($M$128^2)+'LINEST VARS'!$N$68*($B133^2)+'LINEST VARS'!$M$68*(4^2)+'LINEST VARS'!$L$68*(0.5^2)+'LINEST VARS'!$K$68*(12.73^2)+'LINEST VARS'!$J$68*($M$128*$B133)+'LINEST VARS'!$I$68*($M$128*4)+'LINEST VARS'!$H$68*($M$128*0.5)+'LINEST VARS'!$G$68*($M$128*12.73)+'LINEST VARS'!$F$68*($B133*4)+'LINEST VARS'!$E$68*($B133*0.5)+'LINEST VARS'!$D$68*($B133*12.73)+'LINEST VARS'!$C$68*(4*0.5)+'LINEST VARS'!$B$68*(4*12.73)+'LINEST VARS'!$A$68*(0.5*12.73)</f>
        <v>148.99999999999997</v>
      </c>
      <c r="N133" s="46">
        <f>'LINEST VARS'!$U$68+'LINEST VARS'!$T$68*($N$128)+'LINEST VARS'!$S$68*($B133)+'LINEST VARS'!$R$68*(4)+'LINEST VARS'!$Q$68*(0.5)+'LINEST VARS'!$P$68*(12.73)+'LINEST VARS'!$O$68*($N$128^2)+'LINEST VARS'!$N$68*($B133^2)+'LINEST VARS'!$M$68*(4^2)+'LINEST VARS'!$L$68*(0.5^2)+'LINEST VARS'!$K$68*(12.73^2)+'LINEST VARS'!$J$68*($N$128*$B133)+'LINEST VARS'!$I$68*($N$128*4)+'LINEST VARS'!$H$68*($N$128*0.5)+'LINEST VARS'!$G$68*($N$128*12.73)+'LINEST VARS'!$F$68*($B133*4)+'LINEST VARS'!$E$68*($B133*0.5)+'LINEST VARS'!$D$68*($B133*12.73)+'LINEST VARS'!$C$68*(4*0.5)+'LINEST VARS'!$B$68*(4*12.73)+'LINEST VARS'!$A$68*(0.5*12.73)</f>
        <v>148.99999999999997</v>
      </c>
      <c r="O133" s="46">
        <f>'LINEST VARS'!$U$68+'LINEST VARS'!$T$68*($O$128)+'LINEST VARS'!$S$68*($B133)+'LINEST VARS'!$R$68*(4)+'LINEST VARS'!$Q$68*(0.5)+'LINEST VARS'!$P$68*(12.73)+'LINEST VARS'!$O$68*($O$128^2)+'LINEST VARS'!$N$68*($B133^2)+'LINEST VARS'!$M$68*(4^2)+'LINEST VARS'!$L$68*(0.5^2)+'LINEST VARS'!$K$68*(12.73^2)+'LINEST VARS'!$J$68*($O$128*$B133)+'LINEST VARS'!$I$68*($O$128*4)+'LINEST VARS'!$H$68*($O$128*0.5)+'LINEST VARS'!$G$68*($O$128*12.73)+'LINEST VARS'!$F$68*($B133*4)+'LINEST VARS'!$E$68*($B133*0.5)+'LINEST VARS'!$D$68*($B133*12.73)+'LINEST VARS'!$C$68*(4*0.5)+'LINEST VARS'!$B$68*(4*12.73)+'LINEST VARS'!$A$68*(0.5*12.73)</f>
        <v>148.99999999999997</v>
      </c>
      <c r="P133" s="46">
        <f>'LINEST VARS'!$U$68+'LINEST VARS'!$T$68*($P$128)+'LINEST VARS'!$S$68*($B133)+'LINEST VARS'!$R$68*(4)+'LINEST VARS'!$Q$68*(0.5)+'LINEST VARS'!$P$68*(12.73)+'LINEST VARS'!$O$68*($P$128^2)+'LINEST VARS'!$N$68*($B133^2)+'LINEST VARS'!$M$68*(4^2)+'LINEST VARS'!$L$68*(0.5^2)+'LINEST VARS'!$K$68*(12.73^2)+'LINEST VARS'!$J$68*($P$128*$B133)+'LINEST VARS'!$I$68*($P$128*4)+'LINEST VARS'!$H$68*($P$128*0.5)+'LINEST VARS'!$G$68*($P$128*12.73)+'LINEST VARS'!$F$68*($B133*4)+'LINEST VARS'!$E$68*($B133*0.5)+'LINEST VARS'!$D$68*($B133*12.73)+'LINEST VARS'!$C$68*(4*0.5)+'LINEST VARS'!$B$68*(4*12.73)+'LINEST VARS'!$A$68*(0.5*12.73)</f>
        <v>148.99999999999997</v>
      </c>
      <c r="Q133" s="46">
        <f>'LINEST VARS'!$U$68+'LINEST VARS'!$T$68*($Q$128)+'LINEST VARS'!$S$68*($B133)+'LINEST VARS'!$R$68*(4)+'LINEST VARS'!$Q$68*(0.5)+'LINEST VARS'!$P$68*(12.73)+'LINEST VARS'!$O$68*($Q$128^2)+'LINEST VARS'!$N$68*($B133^2)+'LINEST VARS'!$M$68*(4^2)+'LINEST VARS'!$L$68*(0.5^2)+'LINEST VARS'!$K$68*(12.73^2)+'LINEST VARS'!$J$68*($Q$128*$B133)+'LINEST VARS'!$I$68*($Q$128*4)+'LINEST VARS'!$H$68*($Q$128*0.5)+'LINEST VARS'!$G$68*($Q$128*12.73)+'LINEST VARS'!$F$68*($B133*4)+'LINEST VARS'!$E$68*($B133*0.5)+'LINEST VARS'!$D$68*($B133*12.73)+'LINEST VARS'!$C$68*(4*0.5)+'LINEST VARS'!$B$68*(4*12.73)+'LINEST VARS'!$A$68*(0.5*12.73)</f>
        <v>148.99999999999997</v>
      </c>
      <c r="R133" s="46">
        <f>'LINEST VARS'!$U$68+'LINEST VARS'!$T$68*($R$128)+'LINEST VARS'!$S$68*($B133)+'LINEST VARS'!$R$68*(4)+'LINEST VARS'!$Q$68*(0.5)+'LINEST VARS'!$P$68*(12.73)+'LINEST VARS'!$O$68*($R$128^2)+'LINEST VARS'!$N$68*($B133^2)+'LINEST VARS'!$M$68*(4^2)+'LINEST VARS'!$L$68*(0.5^2)+'LINEST VARS'!$K$68*(12.73^2)+'LINEST VARS'!$J$68*($R$128*$B133)+'LINEST VARS'!$I$68*($R$128*4)+'LINEST VARS'!$H$68*($R$128*0.5)+'LINEST VARS'!$G$68*($R$128*12.73)+'LINEST VARS'!$F$68*($B133*4)+'LINEST VARS'!$E$68*($B133*0.5)+'LINEST VARS'!$D$68*($B133*12.73)+'LINEST VARS'!$C$68*(4*0.5)+'LINEST VARS'!$B$68*(4*12.73)+'LINEST VARS'!$A$68*(0.5*12.73)</f>
        <v>148.99999999999997</v>
      </c>
      <c r="S133" s="46">
        <f>'LINEST VARS'!$U$68+'LINEST VARS'!$T$68*($S$128)+'LINEST VARS'!$S$68*($B133)+'LINEST VARS'!$R$68*(4)+'LINEST VARS'!$Q$68*(0.5)+'LINEST VARS'!$P$68*(12.73)+'LINEST VARS'!$O$68*($S$128^2)+'LINEST VARS'!$N$68*($B133^2)+'LINEST VARS'!$M$68*(4^2)+'LINEST VARS'!$L$68*(0.5^2)+'LINEST VARS'!$K$68*(12.73^2)+'LINEST VARS'!$J$68*($S$128*$B133)+'LINEST VARS'!$I$68*($S$128*4)+'LINEST VARS'!$H$68*($S$128*0.5)+'LINEST VARS'!$G$68*($S$128*12.73)+'LINEST VARS'!$F$68*($B133*4)+'LINEST VARS'!$E$68*($B133*0.5)+'LINEST VARS'!$D$68*($B133*12.73)+'LINEST VARS'!$C$68*(4*0.5)+'LINEST VARS'!$B$68*(4*12.73)+'LINEST VARS'!$A$68*(0.5*12.73)</f>
        <v>148.99999999999997</v>
      </c>
      <c r="T133" s="46">
        <f>'LINEST VARS'!$U$68+'LINEST VARS'!$T$68*($T$128)+'LINEST VARS'!$S$68*($B133)+'LINEST VARS'!$R$68*(4)+'LINEST VARS'!$Q$68*(0.5)+'LINEST VARS'!$P$68*(12.73)+'LINEST VARS'!$O$68*($T$128^2)+'LINEST VARS'!$N$68*($B133^2)+'LINEST VARS'!$M$68*(4^2)+'LINEST VARS'!$L$68*(0.5^2)+'LINEST VARS'!$K$68*(12.73^2)+'LINEST VARS'!$J$68*($T$128*$B133)+'LINEST VARS'!$I$68*($T$128*4)+'LINEST VARS'!$H$68*($T$128*0.5)+'LINEST VARS'!$G$68*($T$128*12.73)+'LINEST VARS'!$F$68*($B133*4)+'LINEST VARS'!$E$68*($B133*0.5)+'LINEST VARS'!$D$68*($B133*12.73)+'LINEST VARS'!$C$68*(4*0.5)+'LINEST VARS'!$B$68*(4*12.73)+'LINEST VARS'!$A$68*(0.5*12.73)</f>
        <v>148.99999999999997</v>
      </c>
      <c r="U133" s="46">
        <f>'LINEST VARS'!$U$68+'LINEST VARS'!$T$68*($U$128)+'LINEST VARS'!$S$68*($B133)+'LINEST VARS'!$R$68*(4)+'LINEST VARS'!$Q$68*(0.5)+'LINEST VARS'!$P$68*(12.73)+'LINEST VARS'!$O$68*($U$128^2)+'LINEST VARS'!$N$68*($B133^2)+'LINEST VARS'!$M$68*(4^2)+'LINEST VARS'!$L$68*(0.5^2)+'LINEST VARS'!$K$68*(12.73^2)+'LINEST VARS'!$J$68*($U$128*$B133)+'LINEST VARS'!$I$68*($U$128*4)+'LINEST VARS'!$H$68*($U$128*0.5)+'LINEST VARS'!$G$68*($U$128*12.73)+'LINEST VARS'!$F$68*($B133*4)+'LINEST VARS'!$E$68*($B133*0.5)+'LINEST VARS'!$D$68*($B133*12.73)+'LINEST VARS'!$C$68*(4*0.5)+'LINEST VARS'!$B$68*(4*12.73)+'LINEST VARS'!$A$68*(0.5*12.73)</f>
        <v>148.99999999999997</v>
      </c>
      <c r="V133" s="46">
        <f>'LINEST VARS'!$U$68+'LINEST VARS'!$T$68*($V$128)+'LINEST VARS'!$S$68*($B133)+'LINEST VARS'!$R$68*(4)+'LINEST VARS'!$Q$68*(0.5)+'LINEST VARS'!$P$68*(12.73)+'LINEST VARS'!$O$68*($V$128^2)+'LINEST VARS'!$N$68*($B133^2)+'LINEST VARS'!$M$68*(4^2)+'LINEST VARS'!$L$68*(0.5^2)+'LINEST VARS'!$K$68*(12.73^2)+'LINEST VARS'!$J$68*($V$128*$B133)+'LINEST VARS'!$I$68*($V$128*4)+'LINEST VARS'!$H$68*($V$128*0.5)+'LINEST VARS'!$G$68*($V$128*12.73)+'LINEST VARS'!$F$68*($B133*4)+'LINEST VARS'!$E$68*($B133*0.5)+'LINEST VARS'!$D$68*($B133*12.73)+'LINEST VARS'!$C$68*(4*0.5)+'LINEST VARS'!$B$68*(4*12.73)+'LINEST VARS'!$A$68*(0.5*12.73)</f>
        <v>148.99999999999997</v>
      </c>
      <c r="W133" s="47">
        <f>'LINEST VARS'!$U$68+'LINEST VARS'!$T$68*($W$128)+'LINEST VARS'!$S$68*($B133)+'LINEST VARS'!$R$68*(4)+'LINEST VARS'!$Q$68*(0.5)+'LINEST VARS'!$P$68*(12.73)+'LINEST VARS'!$O$68*($W$128^2)+'LINEST VARS'!$N$68*($B133^2)+'LINEST VARS'!$M$68*(4^2)+'LINEST VARS'!$L$68*(0.5^2)+'LINEST VARS'!$K$68*(12.73^2)+'LINEST VARS'!$J$68*($W$128*$B133)+'LINEST VARS'!$I$68*($W$128*4)+'LINEST VARS'!$H$68*($W$128*0.5)+'LINEST VARS'!$G$68*($W$128*12.73)+'LINEST VARS'!$F$68*($B133*4)+'LINEST VARS'!$E$68*($B133*0.5)+'LINEST VARS'!$D$68*($B133*12.73)+'LINEST VARS'!$C$68*(4*0.5)+'LINEST VARS'!$B$68*(4*12.73)+'LINEST VARS'!$A$68*(0.5*12.73)</f>
        <v>148.99999999999997</v>
      </c>
      <c r="Z133" s="45">
        <v>7.64</v>
      </c>
      <c r="AA133" s="46">
        <f>'LINEST VARS'!$U$70+'LINEST VARS'!$T$70*($AA$128)+'LINEST VARS'!$S$70*($Z133)+'LINEST VARS'!$R$70*(4)+'LINEST VARS'!$Q$70*(0.5)+'LINEST VARS'!$P$70*(12.73)+'LINEST VARS'!$O$70*($AA$128^2)+'LINEST VARS'!$N$70*($Z133^2)+'LINEST VARS'!$M$70*(4^2)+'LINEST VARS'!$L$70*(0.5^2)+'LINEST VARS'!$K$70*(12.73^2)+'LINEST VARS'!$J$70*($AA$128*$Z133)+'LINEST VARS'!$I$70*($AA$128*4)+'LINEST VARS'!$H$70*($AA$128*0.5)+'LINEST VARS'!$G$70*($AA$128*12.73)+'LINEST VARS'!$F$70*($Z133*4)+'LINEST VARS'!$E$70*($Z133*0.5)+'LINEST VARS'!$D$70*($Z133*12.73)+'LINEST VARS'!$C$70*(4*0.5)+'LINEST VARS'!$B$70*(4*12.73)+'LINEST VARS'!$A$70*(0.5*12.73)</f>
        <v>87.460000000000022</v>
      </c>
      <c r="AB133" s="46">
        <f>'LINEST VARS'!$U$70+'LINEST VARS'!$T$70*($AB$128)+'LINEST VARS'!$S$70*($Z133)+'LINEST VARS'!$R$70*(4)+'LINEST VARS'!$Q$70*(0.5)+'LINEST VARS'!$P$70*(12.73)+'LINEST VARS'!$O$70*($AB$128^2)+'LINEST VARS'!$N$70*($Z133^2)+'LINEST VARS'!$M$70*(4^2)+'LINEST VARS'!$L$70*(0.5^2)+'LINEST VARS'!$K$70*(12.73^2)+'LINEST VARS'!$J$70*($AB$128*$Z133)+'LINEST VARS'!$I$70*($AB$128*4)+'LINEST VARS'!$H$70*($AB$128*0.5)+'LINEST VARS'!$G$70*($AB$128*12.73)+'LINEST VARS'!$F$70*($Z133*4)+'LINEST VARS'!$E$70*($Z133*0.5)+'LINEST VARS'!$D$70*($Z133*12.73)+'LINEST VARS'!$C$70*(4*0.5)+'LINEST VARS'!$B$70*(4*12.73)+'LINEST VARS'!$A$70*(0.5*12.73)</f>
        <v>87.460000000000022</v>
      </c>
      <c r="AC133" s="46">
        <f>'LINEST VARS'!$U$70+'LINEST VARS'!$T$70*($AC$128)+'LINEST VARS'!$S$70*($Z133)+'LINEST VARS'!$R$70*(4)+'LINEST VARS'!$Q$70*(0.5)+'LINEST VARS'!$P$70*(12.73)+'LINEST VARS'!$O$70*($AC$128^2)+'LINEST VARS'!$N$70*($Z133^2)+'LINEST VARS'!$M$70*(4^2)+'LINEST VARS'!$L$70*(0.5^2)+'LINEST VARS'!$K$70*(12.73^2)+'LINEST VARS'!$J$70*($AC$128*$Z133)+'LINEST VARS'!$I$70*($AC$128*4)+'LINEST VARS'!$H$70*($AC$128*0.5)+'LINEST VARS'!$G$70*($AC$128*12.73)+'LINEST VARS'!$F$70*($Z133*4)+'LINEST VARS'!$E$70*($Z133*0.5)+'LINEST VARS'!$D$70*($Z133*12.73)+'LINEST VARS'!$C$70*(4*0.5)+'LINEST VARS'!$B$70*(4*12.73)+'LINEST VARS'!$A$70*(0.5*12.73)</f>
        <v>87.460000000000022</v>
      </c>
      <c r="AD133" s="46">
        <f>'LINEST VARS'!$U$70+'LINEST VARS'!$T$70*($AD$128)+'LINEST VARS'!$S$70*($Z133)+'LINEST VARS'!$R$70*(4)+'LINEST VARS'!$Q$70*(0.5)+'LINEST VARS'!$P$70*(12.73)+'LINEST VARS'!$O$70*($AD$128^2)+'LINEST VARS'!$N$70*($Z133^2)+'LINEST VARS'!$M$70*(4^2)+'LINEST VARS'!$L$70*(0.5^2)+'LINEST VARS'!$K$70*(12.73^2)+'LINEST VARS'!$J$70*($AD$128*$Z133)+'LINEST VARS'!$I$70*($AD$128*4)+'LINEST VARS'!$H$70*($AD$128*0.5)+'LINEST VARS'!$G$70*($AD$128*12.73)+'LINEST VARS'!$F$70*($Z133*4)+'LINEST VARS'!$E$70*($Z133*0.5)+'LINEST VARS'!$D$70*($Z133*12.73)+'LINEST VARS'!$C$70*(4*0.5)+'LINEST VARS'!$B$70*(4*12.73)+'LINEST VARS'!$A$70*(0.5*12.73)</f>
        <v>87.460000000000022</v>
      </c>
      <c r="AE133" s="46">
        <f>'LINEST VARS'!$U$70+'LINEST VARS'!$T$70*($AE$128)+'LINEST VARS'!$S$70*($Z133)+'LINEST VARS'!$R$70*(4)+'LINEST VARS'!$Q$70*(0.5)+'LINEST VARS'!$P$70*(12.73)+'LINEST VARS'!$O$70*($AE$128^2)+'LINEST VARS'!$N$70*($Z133^2)+'LINEST VARS'!$M$70*(4^2)+'LINEST VARS'!$L$70*(0.5^2)+'LINEST VARS'!$K$70*(12.73^2)+'LINEST VARS'!$J$70*($AE$128*$Z133)+'LINEST VARS'!$I$70*($AE$128*4)+'LINEST VARS'!$H$70*($AE$128*0.5)+'LINEST VARS'!$G$70*($AE$128*12.73)+'LINEST VARS'!$F$70*($Z133*4)+'LINEST VARS'!$E$70*($Z133*0.5)+'LINEST VARS'!$D$70*($Z133*12.73)+'LINEST VARS'!$C$70*(4*0.5)+'LINEST VARS'!$B$70*(4*12.73)+'LINEST VARS'!$A$70*(0.5*12.73)</f>
        <v>87.460000000000022</v>
      </c>
      <c r="AF133" s="46">
        <f>'LINEST VARS'!$U$70+'LINEST VARS'!$T$70*($AF$128)+'LINEST VARS'!$S$70*($Z133)+'LINEST VARS'!$R$70*(4)+'LINEST VARS'!$Q$70*(0.5)+'LINEST VARS'!$P$70*(12.73)+'LINEST VARS'!$O$70*($AF$128^2)+'LINEST VARS'!$N$70*($Z133^2)+'LINEST VARS'!$M$70*(4^2)+'LINEST VARS'!$L$70*(0.5^2)+'LINEST VARS'!$K$70*(12.73^2)+'LINEST VARS'!$J$70*($AF$128*$Z133)+'LINEST VARS'!$I$70*($AF$128*4)+'LINEST VARS'!$H$70*($AF$128*0.5)+'LINEST VARS'!$G$70*($AF$128*12.73)+'LINEST VARS'!$F$70*($Z133*4)+'LINEST VARS'!$E$70*($Z133*0.5)+'LINEST VARS'!$D$70*($Z133*12.73)+'LINEST VARS'!$C$70*(4*0.5)+'LINEST VARS'!$B$70*(4*12.73)+'LINEST VARS'!$A$70*(0.5*12.73)</f>
        <v>87.460000000000022</v>
      </c>
      <c r="AG133" s="46">
        <f>'LINEST VARS'!$U$70+'LINEST VARS'!$T$70*($AG$128)+'LINEST VARS'!$S$70*($Z133)+'LINEST VARS'!$R$70*(4)+'LINEST VARS'!$Q$70*(0.5)+'LINEST VARS'!$P$70*(12.73)+'LINEST VARS'!$O$70*($AG$128^2)+'LINEST VARS'!$N$70*($Z133^2)+'LINEST VARS'!$M$70*(4^2)+'LINEST VARS'!$L$70*(0.5^2)+'LINEST VARS'!$K$70*(12.73^2)+'LINEST VARS'!$J$70*($AG$128*$Z133)+'LINEST VARS'!$I$70*($AG$128*4)+'LINEST VARS'!$H$70*($AG$128*0.5)+'LINEST VARS'!$G$70*($AG$128*12.73)+'LINEST VARS'!$F$70*($Z133*4)+'LINEST VARS'!$E$70*($Z133*0.5)+'LINEST VARS'!$D$70*($Z133*12.73)+'LINEST VARS'!$C$70*(4*0.5)+'LINEST VARS'!$B$70*(4*12.73)+'LINEST VARS'!$A$70*(0.5*12.73)</f>
        <v>87.460000000000022</v>
      </c>
      <c r="AH133" s="46">
        <f>'LINEST VARS'!$U$70+'LINEST VARS'!$T$70*($AH$128)+'LINEST VARS'!$S$70*($Z133)+'LINEST VARS'!$R$70*(4)+'LINEST VARS'!$Q$70*(0.5)+'LINEST VARS'!$P$70*(12.73)+'LINEST VARS'!$O$70*($AH$128^2)+'LINEST VARS'!$N$70*($Z133^2)+'LINEST VARS'!$M$70*(4^2)+'LINEST VARS'!$L$70*(0.5^2)+'LINEST VARS'!$K$70*(12.73^2)+'LINEST VARS'!$J$70*($AH$128*$Z133)+'LINEST VARS'!$I$70*($AH$128*4)+'LINEST VARS'!$H$70*($AH$128*0.5)+'LINEST VARS'!$G$70*($AH$128*12.73)+'LINEST VARS'!$F$70*($Z133*4)+'LINEST VARS'!$E$70*($Z133*0.5)+'LINEST VARS'!$D$70*($Z133*12.73)+'LINEST VARS'!$C$70*(4*0.5)+'LINEST VARS'!$B$70*(4*12.73)+'LINEST VARS'!$A$70*(0.5*12.73)</f>
        <v>87.460000000000022</v>
      </c>
      <c r="AI133" s="46">
        <f>'LINEST VARS'!$U$70+'LINEST VARS'!$T$70*($AI$128)+'LINEST VARS'!$S$70*($Z133)+'LINEST VARS'!$R$70*(4)+'LINEST VARS'!$Q$70*(0.5)+'LINEST VARS'!$P$70*(12.73)+'LINEST VARS'!$O$70*($AI$128^2)+'LINEST VARS'!$N$70*($Z133^2)+'LINEST VARS'!$M$70*(4^2)+'LINEST VARS'!$L$70*(0.5^2)+'LINEST VARS'!$K$70*(12.73^2)+'LINEST VARS'!$J$70*($AI$128*$Z133)+'LINEST VARS'!$I$70*($AI$128*4)+'LINEST VARS'!$H$70*($AI$128*0.5)+'LINEST VARS'!$G$70*($AI$128*12.73)+'LINEST VARS'!$F$70*($Z133*4)+'LINEST VARS'!$E$70*($Z133*0.5)+'LINEST VARS'!$D$70*($Z133*12.73)+'LINEST VARS'!$C$70*(4*0.5)+'LINEST VARS'!$B$70*(4*12.73)+'LINEST VARS'!$A$70*(0.5*12.73)</f>
        <v>87.460000000000022</v>
      </c>
      <c r="AJ133" s="46">
        <f>'LINEST VARS'!$U$70+'LINEST VARS'!$T$70*($AJ$128)+'LINEST VARS'!$S$70*($Z133)+'LINEST VARS'!$R$70*(4)+'LINEST VARS'!$Q$70*(0.5)+'LINEST VARS'!$P$70*(12.73)+'LINEST VARS'!$O$70*($AJ$128^2)+'LINEST VARS'!$N$70*($Z133^2)+'LINEST VARS'!$M$70*(4^2)+'LINEST VARS'!$L$70*(0.5^2)+'LINEST VARS'!$K$70*(12.73^2)+'LINEST VARS'!$J$70*($AJ$128*$Z133)+'LINEST VARS'!$I$70*($AJ$128*4)+'LINEST VARS'!$H$70*($AJ$128*0.5)+'LINEST VARS'!$G$70*($AJ$128*12.73)+'LINEST VARS'!$F$70*($Z133*4)+'LINEST VARS'!$E$70*($Z133*0.5)+'LINEST VARS'!$D$70*($Z133*12.73)+'LINEST VARS'!$C$70*(4*0.5)+'LINEST VARS'!$B$70*(4*12.73)+'LINEST VARS'!$A$70*(0.5*12.73)</f>
        <v>87.460000000000022</v>
      </c>
      <c r="AK133" s="46">
        <f>'LINEST VARS'!$U$70+'LINEST VARS'!$T$70*($AK$128)+'LINEST VARS'!$S$70*($Z133)+'LINEST VARS'!$R$70*(4)+'LINEST VARS'!$Q$70*(0.5)+'LINEST VARS'!$P$70*(12.73)+'LINEST VARS'!$O$70*($AK$128^2)+'LINEST VARS'!$N$70*($Z133^2)+'LINEST VARS'!$M$70*(4^2)+'LINEST VARS'!$L$70*(0.5^2)+'LINEST VARS'!$K$70*(12.73^2)+'LINEST VARS'!$J$70*($AK$128*$Z133)+'LINEST VARS'!$I$70*($AK$128*4)+'LINEST VARS'!$H$70*($AK$128*0.5)+'LINEST VARS'!$G$70*($AK$128*12.73)+'LINEST VARS'!$F$70*($Z133*4)+'LINEST VARS'!$E$70*($Z133*0.5)+'LINEST VARS'!$D$70*($Z133*12.73)+'LINEST VARS'!$C$70*(4*0.5)+'LINEST VARS'!$B$70*(4*12.73)+'LINEST VARS'!$A$70*(0.5*12.73)</f>
        <v>87.460000000000022</v>
      </c>
      <c r="AL133" s="46">
        <f>'LINEST VARS'!$U$70+'LINEST VARS'!$T$70*($AL$128)+'LINEST VARS'!$S$70*($Z133)+'LINEST VARS'!$R$70*(4)+'LINEST VARS'!$Q$70*(0.5)+'LINEST VARS'!$P$70*(12.73)+'LINEST VARS'!$O$70*($AL$128^2)+'LINEST VARS'!$N$70*($Z133^2)+'LINEST VARS'!$M$70*(4^2)+'LINEST VARS'!$L$70*(0.5^2)+'LINEST VARS'!$K$70*(12.73^2)+'LINEST VARS'!$J$70*($AL$128*$Z133)+'LINEST VARS'!$I$70*($AL$128*4)+'LINEST VARS'!$H$70*($AL$128*0.5)+'LINEST VARS'!$G$70*($AL$128*12.73)+'LINEST VARS'!$F$70*($Z133*4)+'LINEST VARS'!$E$70*($Z133*0.5)+'LINEST VARS'!$D$70*($Z133*12.73)+'LINEST VARS'!$C$70*(4*0.5)+'LINEST VARS'!$B$70*(4*12.73)+'LINEST VARS'!$A$70*(0.5*12.73)</f>
        <v>87.460000000000022</v>
      </c>
      <c r="AM133" s="46">
        <f>'LINEST VARS'!$U$70+'LINEST VARS'!$T$70*($AM$128)+'LINEST VARS'!$S$70*($Z133)+'LINEST VARS'!$R$70*(4)+'LINEST VARS'!$Q$70*(0.5)+'LINEST VARS'!$P$70*(12.73)+'LINEST VARS'!$O$70*($AM$128^2)+'LINEST VARS'!$N$70*($Z133^2)+'LINEST VARS'!$M$70*(4^2)+'LINEST VARS'!$L$70*(0.5^2)+'LINEST VARS'!$K$70*(12.73^2)+'LINEST VARS'!$J$70*($AM$128*$Z133)+'LINEST VARS'!$I$70*($AM$128*4)+'LINEST VARS'!$H$70*($AM$128*0.5)+'LINEST VARS'!$G$70*($AM$128*12.73)+'LINEST VARS'!$F$70*($Z133*4)+'LINEST VARS'!$E$70*($Z133*0.5)+'LINEST VARS'!$D$70*($Z133*12.73)+'LINEST VARS'!$C$70*(4*0.5)+'LINEST VARS'!$B$70*(4*12.73)+'LINEST VARS'!$A$70*(0.5*12.73)</f>
        <v>87.460000000000022</v>
      </c>
      <c r="AN133" s="46">
        <f>'LINEST VARS'!$U$70+'LINEST VARS'!$T$70*($AN$128)+'LINEST VARS'!$S$70*($Z133)+'LINEST VARS'!$R$70*(4)+'LINEST VARS'!$Q$70*(0.5)+'LINEST VARS'!$P$70*(12.73)+'LINEST VARS'!$O$70*($AN$128^2)+'LINEST VARS'!$N$70*($Z133^2)+'LINEST VARS'!$M$70*(4^2)+'LINEST VARS'!$L$70*(0.5^2)+'LINEST VARS'!$K$70*(12.73^2)+'LINEST VARS'!$J$70*($AN$128*$Z133)+'LINEST VARS'!$I$70*($AN$128*4)+'LINEST VARS'!$H$70*($AN$128*0.5)+'LINEST VARS'!$G$70*($AN$128*12.73)+'LINEST VARS'!$F$70*($Z133*4)+'LINEST VARS'!$E$70*($Z133*0.5)+'LINEST VARS'!$D$70*($Z133*12.73)+'LINEST VARS'!$C$70*(4*0.5)+'LINEST VARS'!$B$70*(4*12.73)+'LINEST VARS'!$A$70*(0.5*12.73)</f>
        <v>87.460000000000022</v>
      </c>
      <c r="AO133" s="46">
        <f>'LINEST VARS'!$U$70+'LINEST VARS'!$T$70*($AO$128)+'LINEST VARS'!$S$70*($Z133)+'LINEST VARS'!$R$70*(4)+'LINEST VARS'!$Q$70*(0.5)+'LINEST VARS'!$P$70*(12.73)+'LINEST VARS'!$O$70*($AO$128^2)+'LINEST VARS'!$N$70*($Z133^2)+'LINEST VARS'!$M$70*(4^2)+'LINEST VARS'!$L$70*(0.5^2)+'LINEST VARS'!$K$70*(12.73^2)+'LINEST VARS'!$J$70*($AO$128*$Z133)+'LINEST VARS'!$I$70*($AO$128*4)+'LINEST VARS'!$H$70*($AO$128*0.5)+'LINEST VARS'!$G$70*($AO$128*12.73)+'LINEST VARS'!$F$70*($Z133*4)+'LINEST VARS'!$E$70*($Z133*0.5)+'LINEST VARS'!$D$70*($Z133*12.73)+'LINEST VARS'!$C$70*(4*0.5)+'LINEST VARS'!$B$70*(4*12.73)+'LINEST VARS'!$A$70*(0.5*12.73)</f>
        <v>87.460000000000022</v>
      </c>
      <c r="AP133" s="46">
        <f>'LINEST VARS'!$U$70+'LINEST VARS'!$T$70*($AP$128)+'LINEST VARS'!$S$70*($Z133)+'LINEST VARS'!$R$70*(4)+'LINEST VARS'!$Q$70*(0.5)+'LINEST VARS'!$P$70*(12.73)+'LINEST VARS'!$O$70*($AP$128^2)+'LINEST VARS'!$N$70*($Z133^2)+'LINEST VARS'!$M$70*(4^2)+'LINEST VARS'!$L$70*(0.5^2)+'LINEST VARS'!$K$70*(12.73^2)+'LINEST VARS'!$J$70*($AP$128*$Z133)+'LINEST VARS'!$I$70*($AP$128*4)+'LINEST VARS'!$H$70*($AP$128*0.5)+'LINEST VARS'!$G$70*($AP$128*12.73)+'LINEST VARS'!$F$70*($Z133*4)+'LINEST VARS'!$E$70*($Z133*0.5)+'LINEST VARS'!$D$70*($Z133*12.73)+'LINEST VARS'!$C$70*(4*0.5)+'LINEST VARS'!$B$70*(4*12.73)+'LINEST VARS'!$A$70*(0.5*12.73)</f>
        <v>87.460000000000022</v>
      </c>
      <c r="AQ133" s="46">
        <f>'LINEST VARS'!$U$70+'LINEST VARS'!$T$70*($AQ$128)+'LINEST VARS'!$S$70*($Z133)+'LINEST VARS'!$R$70*(4)+'LINEST VARS'!$Q$70*(0.5)+'LINEST VARS'!$P$70*(12.73)+'LINEST VARS'!$O$70*($AQ$128^2)+'LINEST VARS'!$N$70*($Z133^2)+'LINEST VARS'!$M$70*(4^2)+'LINEST VARS'!$L$70*(0.5^2)+'LINEST VARS'!$K$70*(12.73^2)+'LINEST VARS'!$J$70*($AQ$128*$Z133)+'LINEST VARS'!$I$70*($AQ$128*4)+'LINEST VARS'!$H$70*($AQ$128*0.5)+'LINEST VARS'!$G$70*($AQ$128*12.73)+'LINEST VARS'!$F$70*($Z133*4)+'LINEST VARS'!$E$70*($Z133*0.5)+'LINEST VARS'!$D$70*($Z133*12.73)+'LINEST VARS'!$C$70*(4*0.5)+'LINEST VARS'!$B$70*(4*12.73)+'LINEST VARS'!$A$70*(0.5*12.73)</f>
        <v>87.460000000000022</v>
      </c>
      <c r="AR133" s="46">
        <f>'LINEST VARS'!$U$70+'LINEST VARS'!$T$70*($AR$128)+'LINEST VARS'!$S$70*($Z133)+'LINEST VARS'!$R$70*(4)+'LINEST VARS'!$Q$70*(0.5)+'LINEST VARS'!$P$70*(12.73)+'LINEST VARS'!$O$70*($AR$128^2)+'LINEST VARS'!$N$70*($Z133^2)+'LINEST VARS'!$M$70*(4^2)+'LINEST VARS'!$L$70*(0.5^2)+'LINEST VARS'!$K$70*(12.73^2)+'LINEST VARS'!$J$70*($AR$128*$Z133)+'LINEST VARS'!$I$70*($AR$128*4)+'LINEST VARS'!$H$70*($AR$128*0.5)+'LINEST VARS'!$G$70*($AR$128*12.73)+'LINEST VARS'!$F$70*($Z133*4)+'LINEST VARS'!$E$70*($Z133*0.5)+'LINEST VARS'!$D$70*($Z133*12.73)+'LINEST VARS'!$C$70*(4*0.5)+'LINEST VARS'!$B$70*(4*12.73)+'LINEST VARS'!$A$70*(0.5*12.73)</f>
        <v>87.460000000000022</v>
      </c>
      <c r="AS133" s="46">
        <f>'LINEST VARS'!$U$70+'LINEST VARS'!$T$70*($AS$128)+'LINEST VARS'!$S$70*($Z133)+'LINEST VARS'!$R$70*(4)+'LINEST VARS'!$Q$70*(0.5)+'LINEST VARS'!$P$70*(12.73)+'LINEST VARS'!$O$70*($AS$128^2)+'LINEST VARS'!$N$70*($Z133^2)+'LINEST VARS'!$M$70*(4^2)+'LINEST VARS'!$L$70*(0.5^2)+'LINEST VARS'!$K$70*(12.73^2)+'LINEST VARS'!$J$70*($AS$128*$Z133)+'LINEST VARS'!$I$70*($AS$128*4)+'LINEST VARS'!$H$70*($AS$128*0.5)+'LINEST VARS'!$G$70*($AS$128*12.73)+'LINEST VARS'!$F$70*($Z133*4)+'LINEST VARS'!$E$70*($Z133*0.5)+'LINEST VARS'!$D$70*($Z133*12.73)+'LINEST VARS'!$C$70*(4*0.5)+'LINEST VARS'!$B$70*(4*12.73)+'LINEST VARS'!$A$70*(0.5*12.73)</f>
        <v>87.460000000000022</v>
      </c>
      <c r="AT133" s="46">
        <f>'LINEST VARS'!$U$70+'LINEST VARS'!$T$70*($AT$128)+'LINEST VARS'!$S$70*($Z133)+'LINEST VARS'!$R$70*(4)+'LINEST VARS'!$Q$70*(0.5)+'LINEST VARS'!$P$70*(12.73)+'LINEST VARS'!$O$70*($AT$128^2)+'LINEST VARS'!$N$70*($Z133^2)+'LINEST VARS'!$M$70*(4^2)+'LINEST VARS'!$L$70*(0.5^2)+'LINEST VARS'!$K$70*(12.73^2)+'LINEST VARS'!$J$70*($AT$128*$Z133)+'LINEST VARS'!$I$70*($AT$128*4)+'LINEST VARS'!$H$70*($AT$128*0.5)+'LINEST VARS'!$G$70*($AT$128*12.73)+'LINEST VARS'!$F$70*($Z133*4)+'LINEST VARS'!$E$70*($Z133*0.5)+'LINEST VARS'!$D$70*($Z133*12.73)+'LINEST VARS'!$C$70*(4*0.5)+'LINEST VARS'!$B$70*(4*12.73)+'LINEST VARS'!$A$70*(0.5*12.73)</f>
        <v>87.460000000000022</v>
      </c>
      <c r="AU133" s="47">
        <f>'LINEST VARS'!$U$70+'LINEST VARS'!$T$70*($AU$128)+'LINEST VARS'!$S$70*($Z133)+'LINEST VARS'!$R$70*(4)+'LINEST VARS'!$Q$70*(0.5)+'LINEST VARS'!$P$70*(12.73)+'LINEST VARS'!$O$70*($AU$128^2)+'LINEST VARS'!$N$70*($Z133^2)+'LINEST VARS'!$M$70*(4^2)+'LINEST VARS'!$L$70*(0.5^2)+'LINEST VARS'!$K$70*(12.73^2)+'LINEST VARS'!$J$70*($AU$128*$Z133)+'LINEST VARS'!$I$70*($AU$128*4)+'LINEST VARS'!$H$70*($AU$128*0.5)+'LINEST VARS'!$G$70*($AU$128*12.73)+'LINEST VARS'!$F$70*($Z133*4)+'LINEST VARS'!$E$70*($Z133*0.5)+'LINEST VARS'!$D$70*($Z133*12.73)+'LINEST VARS'!$C$70*(4*0.5)+'LINEST VARS'!$B$70*(4*12.73)+'LINEST VARS'!$A$70*(0.5*12.73)</f>
        <v>87.460000000000022</v>
      </c>
      <c r="AZ133" s="45">
        <v>0.2</v>
      </c>
      <c r="BA133" s="46">
        <f>'LINEST VARS'!$U$68+'LINEST VARS'!$T$68*(8)+'LINEST VARS'!$S$68*(8)+'LINEST VARS'!$R$68*($BA$128)+'LINEST VARS'!$Q$68*($AZ133)+'LINEST VARS'!$P$68*(12.73)+'LINEST VARS'!$O$68*(8^2)+'LINEST VARS'!$N$68*(8^2)+'LINEST VARS'!$M$68*($BA$128^2)+'LINEST VARS'!$L$68*($AZ133^2)+'LINEST VARS'!$K$68*(12.73^2)+'LINEST VARS'!$J$68*(8*8)+'LINEST VARS'!$I$68*(8*$BA$128)+'LINEST VARS'!$H$68*(8*$AZ133)+'LINEST VARS'!$G$68*(8*12.73)+'LINEST VARS'!$F$68*(8*$BA$128)+'LINEST VARS'!$E$68*(8*$AZ133)+'LINEST VARS'!$D$68*(8*12.73)+'LINEST VARS'!$C$68*($BA$128*$AZ133)+'LINEST VARS'!$B$68*($BA$128*12.73)+'LINEST VARS'!$A$68*($AZ133*12.73)</f>
        <v>149.84</v>
      </c>
      <c r="BB133" s="46">
        <f>'LINEST VARS'!$U$68+'LINEST VARS'!$T$68*(8)+'LINEST VARS'!$S$68*(8)+'LINEST VARS'!$R$68*($BB$128)+'LINEST VARS'!$Q$68*($AZ133)+'LINEST VARS'!$P$68*(12.73)+'LINEST VARS'!$O$68*(8^2)+'LINEST VARS'!$N$68*(8^2)+'LINEST VARS'!$M$68*($BB$128^2)+'LINEST VARS'!$L$68*($AZ133^2)+'LINEST VARS'!$K$68*(12.73^2)+'LINEST VARS'!$J$68*(8*8)+'LINEST VARS'!$I$68*(8*$BB$128)+'LINEST VARS'!$H$68*(8*$AZ133)+'LINEST VARS'!$G$68*(8*12.73)+'LINEST VARS'!$F$68*(8*$BB$128)+'LINEST VARS'!$E$68*(8*$AZ133)+'LINEST VARS'!$D$68*(8*12.73)+'LINEST VARS'!$C$68*($BB$128*$AZ133)+'LINEST VARS'!$B$68*($BB$128*12.73)+'LINEST VARS'!$A$68*($AZ133*12.73)</f>
        <v>149.84</v>
      </c>
      <c r="BC133" s="46">
        <f>'LINEST VARS'!$U$68+'LINEST VARS'!$T$68*(8)+'LINEST VARS'!$S$68*(8)+'LINEST VARS'!$R$68*($BC$128)+'LINEST VARS'!$Q$68*($AZ133)+'LINEST VARS'!$P$68*(12.73)+'LINEST VARS'!$O$68*(8^2)+'LINEST VARS'!$N$68*(8^2)+'LINEST VARS'!$M$68*($BC$128^2)+'LINEST VARS'!$L$68*($AZ133^2)+'LINEST VARS'!$K$68*(12.73^2)+'LINEST VARS'!$J$68*(8*8)+'LINEST VARS'!$I$68*(8*$BC$128)+'LINEST VARS'!$H$68*(8*$AZ133)+'LINEST VARS'!$G$68*(8*12.73)+'LINEST VARS'!$F$68*(8*$BC$128)+'LINEST VARS'!$E$68*(8*$AZ133)+'LINEST VARS'!$D$68*(8*12.73)+'LINEST VARS'!$C$68*($BC$128*$AZ133)+'LINEST VARS'!$B$68*($BC$128*12.73)+'LINEST VARS'!$A$68*($AZ133*12.73)</f>
        <v>149.84</v>
      </c>
      <c r="BD133" s="46">
        <f>'LINEST VARS'!$U$68+'LINEST VARS'!$T$68*(8)+'LINEST VARS'!$S$68*(8)+'LINEST VARS'!$R$68*($BD$128)+'LINEST VARS'!$Q$68*($AZ133)+'LINEST VARS'!$P$68*(12.73)+'LINEST VARS'!$O$68*(8^2)+'LINEST VARS'!$N$68*(8^2)+'LINEST VARS'!$M$68*($BD$128^2)+'LINEST VARS'!$L$68*($AZ133^2)+'LINEST VARS'!$K$68*(12.73^2)+'LINEST VARS'!$J$68*(8*8)+'LINEST VARS'!$I$68*(8*$BD$128)+'LINEST VARS'!$H$68*(8*$AZ133)+'LINEST VARS'!$G$68*(8*12.73)+'LINEST VARS'!$F$68*(8*$BD$128)+'LINEST VARS'!$E$68*(8*$AZ133)+'LINEST VARS'!$D$68*(8*12.73)+'LINEST VARS'!$C$68*($BD$128*$AZ133)+'LINEST VARS'!$B$68*($BD$128*12.73)+'LINEST VARS'!$A$68*($AZ133*12.73)</f>
        <v>149.84</v>
      </c>
      <c r="BE133" s="46">
        <f>'LINEST VARS'!$U$68+'LINEST VARS'!$T$68*(8)+'LINEST VARS'!$S$68*(8)+'LINEST VARS'!$R$68*($BE$128)+'LINEST VARS'!$Q$68*($AZ133)+'LINEST VARS'!$P$68*(12.73)+'LINEST VARS'!$O$68*(8^2)+'LINEST VARS'!$N$68*(8^2)+'LINEST VARS'!$M$68*($BE$128^2)+'LINEST VARS'!$L$68*($AZ133^2)+'LINEST VARS'!$K$68*(12.73^2)+'LINEST VARS'!$J$68*(8*8)+'LINEST VARS'!$I$68*(8*$BE$128)+'LINEST VARS'!$H$68*(8*$AZ133)+'LINEST VARS'!$G$68*(8*12.73)+'LINEST VARS'!$F$68*(8*$BE$128)+'LINEST VARS'!$E$68*(8*$AZ133)+'LINEST VARS'!$D$68*(8*12.73)+'LINEST VARS'!$C$68*($BE$128*$AZ133)+'LINEST VARS'!$B$68*($BE$128*12.73)+'LINEST VARS'!$A$68*($AZ133*12.73)</f>
        <v>149.84</v>
      </c>
      <c r="BF133" s="46">
        <f>'LINEST VARS'!$U$68+'LINEST VARS'!$T$68*(8)+'LINEST VARS'!$S$68*(8)+'LINEST VARS'!$R$68*($BF$128)+'LINEST VARS'!$Q$68*($AZ133)+'LINEST VARS'!$P$68*(12.73)+'LINEST VARS'!$O$68*(8^2)+'LINEST VARS'!$N$68*(8^2)+'LINEST VARS'!$M$68*($BF$128^2)+'LINEST VARS'!$L$68*($AZ133^2)+'LINEST VARS'!$K$68*(12.73^2)+'LINEST VARS'!$J$68*(8*8)+'LINEST VARS'!$I$68*(8*$BF$128)+'LINEST VARS'!$H$68*(8*$AZ133)+'LINEST VARS'!$G$68*(8*12.73)+'LINEST VARS'!$F$68*(8*$BF$128)+'LINEST VARS'!$E$68*(8*$AZ133)+'LINEST VARS'!$D$68*(8*12.73)+'LINEST VARS'!$C$68*($BF$128*$AZ133)+'LINEST VARS'!$B$68*($BF$128*12.73)+'LINEST VARS'!$A$68*($AZ133*12.73)</f>
        <v>149.84</v>
      </c>
      <c r="BG133" s="46">
        <f>'LINEST VARS'!$U$68+'LINEST VARS'!$T$68*(8)+'LINEST VARS'!$S$68*(8)+'LINEST VARS'!$R$68*($BG$128)+'LINEST VARS'!$Q$68*($AZ133)+'LINEST VARS'!$P$68*(12.73)+'LINEST VARS'!$O$68*(8^2)+'LINEST VARS'!$N$68*(8^2)+'LINEST VARS'!$M$68*($BG$128^2)+'LINEST VARS'!$L$68*($AZ133^2)+'LINEST VARS'!$K$68*(12.73^2)+'LINEST VARS'!$J$68*(8*8)+'LINEST VARS'!$I$68*(8*$BG$128)+'LINEST VARS'!$H$68*(8*$AZ133)+'LINEST VARS'!$G$68*(8*12.73)+'LINEST VARS'!$F$68*(8*$BG$128)+'LINEST VARS'!$E$68*(8*$AZ133)+'LINEST VARS'!$D$68*(8*12.73)+'LINEST VARS'!$C$68*($BG$128*$AZ133)+'LINEST VARS'!$B$68*($BG$128*12.73)+'LINEST VARS'!$A$68*($AZ133*12.73)</f>
        <v>149.84</v>
      </c>
      <c r="BH133" s="46">
        <f>'LINEST VARS'!$U$68+'LINEST VARS'!$T$68*(8)+'LINEST VARS'!$S$68*(8)+'LINEST VARS'!$R$68*($BH$128)+'LINEST VARS'!$Q$68*($AZ133)+'LINEST VARS'!$P$68*(12.73)+'LINEST VARS'!$O$68*(8^2)+'LINEST VARS'!$N$68*(8^2)+'LINEST VARS'!$M$68*($BH$128^2)+'LINEST VARS'!$L$68*($AZ133^2)+'LINEST VARS'!$K$68*(12.73^2)+'LINEST VARS'!$J$68*(8*8)+'LINEST VARS'!$I$68*(8*$BH$128)+'LINEST VARS'!$H$68*(8*$AZ133)+'LINEST VARS'!$G$68*(8*12.73)+'LINEST VARS'!$F$68*(8*$BH$128)+'LINEST VARS'!$E$68*(8*$AZ133)+'LINEST VARS'!$D$68*(8*12.73)+'LINEST VARS'!$C$68*($BH$128*$AZ133)+'LINEST VARS'!$B$68*($BH$128*12.73)+'LINEST VARS'!$A$68*($AZ133*12.73)</f>
        <v>149.84</v>
      </c>
      <c r="BI133" s="46">
        <f>'LINEST VARS'!$U$68+'LINEST VARS'!$T$68*(8)+'LINEST VARS'!$S$68*(8)+'LINEST VARS'!$R$68*($BI$128)+'LINEST VARS'!$Q$68*($AZ133)+'LINEST VARS'!$P$68*(12.73)+'LINEST VARS'!$O$68*(8^2)+'LINEST VARS'!$N$68*(8^2)+'LINEST VARS'!$M$68*($BI$128^2)+'LINEST VARS'!$L$68*($AZ133^2)+'LINEST VARS'!$K$68*(12.73^2)+'LINEST VARS'!$J$68*(8*8)+'LINEST VARS'!$I$68*(8*$BI$128)+'LINEST VARS'!$H$68*(8*$AZ133)+'LINEST VARS'!$G$68*(8*12.73)+'LINEST VARS'!$F$68*(8*$BI$128)+'LINEST VARS'!$E$68*(8*$AZ133)+'LINEST VARS'!$D$68*(8*12.73)+'LINEST VARS'!$C$68*($BI$128*$AZ133)+'LINEST VARS'!$B$68*($BI$128*12.73)+'LINEST VARS'!$A$68*($AZ133*12.73)</f>
        <v>149.84</v>
      </c>
      <c r="BJ133" s="46">
        <f>'LINEST VARS'!$U$68+'LINEST VARS'!$T$68*(8)+'LINEST VARS'!$S$68*(8)+'LINEST VARS'!$R$68*($BJ$128)+'LINEST VARS'!$Q$68*($AZ133)+'LINEST VARS'!$P$68*(12.73)+'LINEST VARS'!$O$68*(8^2)+'LINEST VARS'!$N$68*(8^2)+'LINEST VARS'!$M$68*($BJ$128^2)+'LINEST VARS'!$L$68*($AZ133^2)+'LINEST VARS'!$K$68*(12.73^2)+'LINEST VARS'!$J$68*(8*8)+'LINEST VARS'!$I$68*(8*$BJ$128)+'LINEST VARS'!$H$68*(8*$AZ133)+'LINEST VARS'!$G$68*(8*12.73)+'LINEST VARS'!$F$68*(8*$BJ$128)+'LINEST VARS'!$E$68*(8*$AZ133)+'LINEST VARS'!$D$68*(8*12.73)+'LINEST VARS'!$C$68*($BJ$128*$AZ133)+'LINEST VARS'!$B$68*($BJ$128*12.73)+'LINEST VARS'!$A$68*($AZ133*12.73)</f>
        <v>149.84</v>
      </c>
      <c r="BK133" s="46">
        <f>'LINEST VARS'!$U$68+'LINEST VARS'!$T$68*(8)+'LINEST VARS'!$S$68*(8)+'LINEST VARS'!$R$68*($BK$128)+'LINEST VARS'!$Q$68*($AZ133)+'LINEST VARS'!$P$68*(12.73)+'LINEST VARS'!$O$68*(8^2)+'LINEST VARS'!$N$68*(8^2)+'LINEST VARS'!$M$68*($BK$128^2)+'LINEST VARS'!$L$68*($AZ133^2)+'LINEST VARS'!$K$68*(12.73^2)+'LINEST VARS'!$J$68*(8*8)+'LINEST VARS'!$I$68*(8*$BK$128)+'LINEST VARS'!$H$68*(8*$AZ133)+'LINEST VARS'!$G$68*(8*12.73)+'LINEST VARS'!$F$68*(8*$BK$128)+'LINEST VARS'!$E$68*(8*$AZ133)+'LINEST VARS'!$D$68*(8*12.73)+'LINEST VARS'!$C$68*($BK$128*$AZ133)+'LINEST VARS'!$B$68*($BK$128*12.73)+'LINEST VARS'!$A$68*($AZ133*12.73)</f>
        <v>149.84</v>
      </c>
      <c r="BL133" s="46">
        <f>'LINEST VARS'!$U$68+'LINEST VARS'!$T$68*(8)+'LINEST VARS'!$S$68*(8)+'LINEST VARS'!$R$68*($BL$128)+'LINEST VARS'!$Q$68*($AZ133)+'LINEST VARS'!$P$68*(12.73)+'LINEST VARS'!$O$68*(8^2)+'LINEST VARS'!$N$68*(8^2)+'LINEST VARS'!$M$68*($BL$128^2)+'LINEST VARS'!$L$68*($AZ133^2)+'LINEST VARS'!$K$68*(12.73^2)+'LINEST VARS'!$J$68*(8*8)+'LINEST VARS'!$I$68*(8*$BL$128)+'LINEST VARS'!$H$68*(8*$AZ133)+'LINEST VARS'!$G$68*(8*12.73)+'LINEST VARS'!$F$68*(8*$BL$128)+'LINEST VARS'!$E$68*(8*$AZ133)+'LINEST VARS'!$D$68*(8*12.73)+'LINEST VARS'!$C$68*($BL$128*$AZ133)+'LINEST VARS'!$B$68*($BL$128*12.73)+'LINEST VARS'!$A$68*($AZ133*12.73)</f>
        <v>149.84</v>
      </c>
      <c r="BM133" s="46">
        <f>'LINEST VARS'!$U$68+'LINEST VARS'!$T$68*(8)+'LINEST VARS'!$S$68*(8)+'LINEST VARS'!$R$68*($BM$128)+'LINEST VARS'!$Q$68*($AZ133)+'LINEST VARS'!$P$68*(12.73)+'LINEST VARS'!$O$68*(8^2)+'LINEST VARS'!$N$68*(8^2)+'LINEST VARS'!$M$68*($BM$128^2)+'LINEST VARS'!$L$68*($AZ133^2)+'LINEST VARS'!$K$68*(12.73^2)+'LINEST VARS'!$J$68*(8*8)+'LINEST VARS'!$I$68*(8*$BM$128)+'LINEST VARS'!$H$68*(8*$AZ133)+'LINEST VARS'!$G$68*(8*12.73)+'LINEST VARS'!$F$68*(8*$BM$128)+'LINEST VARS'!$E$68*(8*$AZ133)+'LINEST VARS'!$D$68*(8*12.73)+'LINEST VARS'!$C$68*($BM$128*$AZ133)+'LINEST VARS'!$B$68*($BM$128*12.73)+'LINEST VARS'!$A$68*($AZ133*12.73)</f>
        <v>149.84</v>
      </c>
      <c r="BN133" s="46">
        <f>'LINEST VARS'!$U$68+'LINEST VARS'!$T$68*(8)+'LINEST VARS'!$S$68*(8)+'LINEST VARS'!$R$68*($BN$128)+'LINEST VARS'!$Q$68*($AZ133)+'LINEST VARS'!$P$68*(12.73)+'LINEST VARS'!$O$68*(8^2)+'LINEST VARS'!$N$68*(8^2)+'LINEST VARS'!$M$68*($BN$128^2)+'LINEST VARS'!$L$68*($AZ133^2)+'LINEST VARS'!$K$68*(12.73^2)+'LINEST VARS'!$J$68*(8*8)+'LINEST VARS'!$I$68*(8*$BN$128)+'LINEST VARS'!$H$68*(8*$AZ133)+'LINEST VARS'!$G$68*(8*12.73)+'LINEST VARS'!$F$68*(8*$BN$128)+'LINEST VARS'!$E$68*(8*$AZ133)+'LINEST VARS'!$D$68*(8*12.73)+'LINEST VARS'!$C$68*($BN$128*$AZ133)+'LINEST VARS'!$B$68*($BN$128*12.73)+'LINEST VARS'!$A$68*($AZ133*12.73)</f>
        <v>149.84</v>
      </c>
      <c r="BO133" s="46">
        <f>'LINEST VARS'!$U$68+'LINEST VARS'!$T$68*(8)+'LINEST VARS'!$S$68*(8)+'LINEST VARS'!$R$68*($BO$128)+'LINEST VARS'!$Q$68*($AZ133)+'LINEST VARS'!$P$68*(12.73)+'LINEST VARS'!$O$68*(8^2)+'LINEST VARS'!$N$68*(8^2)+'LINEST VARS'!$M$68*($BO$128^2)+'LINEST VARS'!$L$68*($AZ133^2)+'LINEST VARS'!$K$68*(12.73^2)+'LINEST VARS'!$J$68*(8*8)+'LINEST VARS'!$I$68*(8*$BO$128)+'LINEST VARS'!$H$68*(8*$AZ133)+'LINEST VARS'!$G$68*(8*12.73)+'LINEST VARS'!$F$68*(8*$BO$128)+'LINEST VARS'!$E$68*(8*$AZ133)+'LINEST VARS'!$D$68*(8*12.73)+'LINEST VARS'!$C$68*($BO$128*$AZ133)+'LINEST VARS'!$B$68*($BO$128*12.73)+'LINEST VARS'!$A$68*($AZ133*12.73)</f>
        <v>149.84</v>
      </c>
      <c r="BP133" s="46">
        <f>'LINEST VARS'!$U$68+'LINEST VARS'!$T$68*(8)+'LINEST VARS'!$S$68*(8)+'LINEST VARS'!$R$68*($BP$128)+'LINEST VARS'!$Q$68*($AZ133)+'LINEST VARS'!$P$68*(12.73)+'LINEST VARS'!$O$68*(8^2)+'LINEST VARS'!$N$68*(8^2)+'LINEST VARS'!$M$68*($BP$128^2)+'LINEST VARS'!$L$68*($AZ133^2)+'LINEST VARS'!$K$68*(12.73^2)+'LINEST VARS'!$J$68*(8*8)+'LINEST VARS'!$I$68*(8*$BP$128)+'LINEST VARS'!$H$68*(8*$AZ133)+'LINEST VARS'!$G$68*(8*12.73)+'LINEST VARS'!$F$68*(8*$BP$128)+'LINEST VARS'!$E$68*(8*$AZ133)+'LINEST VARS'!$D$68*(8*12.73)+'LINEST VARS'!$C$68*($BP$128*$AZ133)+'LINEST VARS'!$B$68*($BP$128*12.73)+'LINEST VARS'!$A$68*($AZ133*12.73)</f>
        <v>149.84</v>
      </c>
      <c r="BQ133" s="46">
        <f>'LINEST VARS'!$U$68+'LINEST VARS'!$T$68*(8)+'LINEST VARS'!$S$68*(8)+'LINEST VARS'!$R$68*($BQ$128)+'LINEST VARS'!$Q$68*($AZ133)+'LINEST VARS'!$P$68*(12.73)+'LINEST VARS'!$O$68*(8^2)+'LINEST VARS'!$N$68*(8^2)+'LINEST VARS'!$M$68*($BQ$128^2)+'LINEST VARS'!$L$68*($AZ133^2)+'LINEST VARS'!$K$68*(12.73^2)+'LINEST VARS'!$J$68*(8*8)+'LINEST VARS'!$I$68*(8*$BQ$128)+'LINEST VARS'!$H$68*(8*$AZ133)+'LINEST VARS'!$G$68*(8*12.73)+'LINEST VARS'!$F$68*(8*$BQ$128)+'LINEST VARS'!$E$68*(8*$AZ133)+'LINEST VARS'!$D$68*(8*12.73)+'LINEST VARS'!$C$68*($BQ$128*$AZ133)+'LINEST VARS'!$B$68*($BQ$128*12.73)+'LINEST VARS'!$A$68*($AZ133*12.73)</f>
        <v>149.84</v>
      </c>
      <c r="BR133" s="46">
        <f>'LINEST VARS'!$U$68+'LINEST VARS'!$T$68*(8)+'LINEST VARS'!$S$68*(8)+'LINEST VARS'!$R$68*($BR$128)+'LINEST VARS'!$Q$68*($AZ133)+'LINEST VARS'!$P$68*(12.73)+'LINEST VARS'!$O$68*(8^2)+'LINEST VARS'!$N$68*(8^2)+'LINEST VARS'!$M$68*($BR$128^2)+'LINEST VARS'!$L$68*($AZ133^2)+'LINEST VARS'!$K$68*(12.73^2)+'LINEST VARS'!$J$68*(8*8)+'LINEST VARS'!$I$68*(8*$BR$128)+'LINEST VARS'!$H$68*(8*$AZ133)+'LINEST VARS'!$G$68*(8*12.73)+'LINEST VARS'!$F$68*(8*$BR$128)+'LINEST VARS'!$E$68*(8*$AZ133)+'LINEST VARS'!$D$68*(8*12.73)+'LINEST VARS'!$C$68*($BR$128*$AZ133)+'LINEST VARS'!$B$68*($BR$128*12.73)+'LINEST VARS'!$A$68*($AZ133*12.73)</f>
        <v>149.84</v>
      </c>
      <c r="BS133" s="46">
        <f>'LINEST VARS'!$U$68+'LINEST VARS'!$T$68*(8)+'LINEST VARS'!$S$68*(8)+'LINEST VARS'!$R$68*($BS$128)+'LINEST VARS'!$Q$68*($AZ133)+'LINEST VARS'!$P$68*(12.73)+'LINEST VARS'!$O$68*(8^2)+'LINEST VARS'!$N$68*(8^2)+'LINEST VARS'!$M$68*($BS$128^2)+'LINEST VARS'!$L$68*($AZ133^2)+'LINEST VARS'!$K$68*(12.73^2)+'LINEST VARS'!$J$68*(8*8)+'LINEST VARS'!$I$68*(8*$BS$128)+'LINEST VARS'!$H$68*(8*$AZ133)+'LINEST VARS'!$G$68*(8*12.73)+'LINEST VARS'!$F$68*(8*$BS$128)+'LINEST VARS'!$E$68*(8*$AZ133)+'LINEST VARS'!$D$68*(8*12.73)+'LINEST VARS'!$C$68*($BS$128*$AZ133)+'LINEST VARS'!$B$68*($BS$128*12.73)+'LINEST VARS'!$A$68*($AZ133*12.73)</f>
        <v>149.84</v>
      </c>
      <c r="BT133" s="46">
        <f>'LINEST VARS'!$U$68+'LINEST VARS'!$T$68*(8)+'LINEST VARS'!$S$68*(8)+'LINEST VARS'!$R$68*($BT$128)+'LINEST VARS'!$Q$68*($AZ133)+'LINEST VARS'!$P$68*(12.73)+'LINEST VARS'!$O$68*(8^2)+'LINEST VARS'!$N$68*(8^2)+'LINEST VARS'!$M$68*($BT$128^2)+'LINEST VARS'!$L$68*($AZ133^2)+'LINEST VARS'!$K$68*(12.73^2)+'LINEST VARS'!$J$68*(8*8)+'LINEST VARS'!$I$68*(8*$BT$128)+'LINEST VARS'!$H$68*(8*$AZ133)+'LINEST VARS'!$G$68*(8*12.73)+'LINEST VARS'!$F$68*(8*$BT$128)+'LINEST VARS'!$E$68*(8*$AZ133)+'LINEST VARS'!$D$68*(8*12.73)+'LINEST VARS'!$C$68*($BT$128*$AZ133)+'LINEST VARS'!$B$68*($BT$128*12.73)+'LINEST VARS'!$A$68*($AZ133*12.73)</f>
        <v>149.84</v>
      </c>
      <c r="BU133" s="47">
        <f>'LINEST VARS'!$U$68+'LINEST VARS'!$T$68*(8)+'LINEST VARS'!$S$68*(8)+'LINEST VARS'!$R$68*($BU$128)+'LINEST VARS'!$Q$68*($AZ133)+'LINEST VARS'!$P$68*(12.73)+'LINEST VARS'!$O$68*(8^2)+'LINEST VARS'!$N$68*(8^2)+'LINEST VARS'!$M$68*($BU$128^2)+'LINEST VARS'!$L$68*($AZ133^2)+'LINEST VARS'!$K$68*(12.73^2)+'LINEST VARS'!$J$68*(8*8)+'LINEST VARS'!$I$68*(8*$BU$128)+'LINEST VARS'!$H$68*(8*$AZ133)+'LINEST VARS'!$G$68*(8*12.73)+'LINEST VARS'!$F$68*(8*$BU$128)+'LINEST VARS'!$E$68*(8*$AZ133)+'LINEST VARS'!$D$68*(8*12.73)+'LINEST VARS'!$C$68*($BU$128*$AZ133)+'LINEST VARS'!$B$68*($BU$128*12.73)+'LINEST VARS'!$A$68*($AZ133*12.73)</f>
        <v>149.84</v>
      </c>
      <c r="BX133" s="45">
        <v>0.2</v>
      </c>
      <c r="BY133" s="46">
        <f>'LINEST VARS'!$U$70+'LINEST VARS'!$T$70*(8)+'LINEST VARS'!$S$70*(8)+'LINEST VARS'!$R$70*($BY$128)+'LINEST VARS'!$Q$70*($BX133)+'LINEST VARS'!$P$70*(12.73)+'LINEST VARS'!$O$70*(8^2)+'LINEST VARS'!$N$70*(8^2)+'LINEST VARS'!$M$70*($BY$128^2)+'LINEST VARS'!$L$70*($BX133^2)+'LINEST VARS'!$K$70*(12.73^2)+'LINEST VARS'!$J$70*(8*8)+'LINEST VARS'!$I$70*(8*$BY$128)+'LINEST VARS'!$H$70*(8*$BX133)+'LINEST VARS'!$G$70*(8*12.73)+'LINEST VARS'!$F$70*(8*$BY$128)+'LINEST VARS'!$E$70*(8*$BX133)+'LINEST VARS'!$D$70*(8*12.73)+'LINEST VARS'!$C$70*($BY$128*$BX133)+'LINEST VARS'!$B$70*($BY$128*12.73)+'LINEST VARS'!$A$70*($BX133*12.73)</f>
        <v>92.000000000000014</v>
      </c>
      <c r="BZ133" s="46">
        <f>'LINEST VARS'!$U$70+'LINEST VARS'!$T$70*(8)+'LINEST VARS'!$S$70*(8)+'LINEST VARS'!$R$70*($BZ$128)+'LINEST VARS'!$Q$70*($BX133)+'LINEST VARS'!$P$70*(12.73)+'LINEST VARS'!$O$70*(8^2)+'LINEST VARS'!$N$70*(8^2)+'LINEST VARS'!$M$70*($BZ$128^2)+'LINEST VARS'!$L$70*($BX133^2)+'LINEST VARS'!$K$70*(12.73^2)+'LINEST VARS'!$J$70*(8*8)+'LINEST VARS'!$I$70*(8*$BZ$128)+'LINEST VARS'!$H$70*(8*$BX133)+'LINEST VARS'!$G$70*(8*12.73)+'LINEST VARS'!$F$70*(8*$BZ$128)+'LINEST VARS'!$E$70*(8*$BX133)+'LINEST VARS'!$D$70*(8*12.73)+'LINEST VARS'!$C$70*($BZ$128*$BX133)+'LINEST VARS'!$B$70*($BZ$128*12.73)+'LINEST VARS'!$A$70*($BX133*12.73)</f>
        <v>91.600000000000009</v>
      </c>
      <c r="CA133" s="46">
        <f>'LINEST VARS'!$U$70+'LINEST VARS'!$T$70*(8)+'LINEST VARS'!$S$70*(8)+'LINEST VARS'!$R$70*($CA$128)+'LINEST VARS'!$Q$70*($BX133)+'LINEST VARS'!$P$70*(12.73)+'LINEST VARS'!$O$70*(8^2)+'LINEST VARS'!$N$70*(8^2)+'LINEST VARS'!$M$70*($CA$128^2)+'LINEST VARS'!$L$70*($BX133^2)+'LINEST VARS'!$K$70*(12.73^2)+'LINEST VARS'!$J$70*(8*8)+'LINEST VARS'!$I$70*(8*$CA$128)+'LINEST VARS'!$H$70*(8*$BX133)+'LINEST VARS'!$G$70*(8*12.73)+'LINEST VARS'!$F$70*(8*$CA$128)+'LINEST VARS'!$E$70*(8*$BX133)+'LINEST VARS'!$D$70*(8*12.73)+'LINEST VARS'!$C$70*($CA$128*$BX133)+'LINEST VARS'!$B$70*($CA$128*12.73)+'LINEST VARS'!$A$70*($BX133*12.73)</f>
        <v>91.200000000000017</v>
      </c>
      <c r="CB133" s="46">
        <f>'LINEST VARS'!$U$70+'LINEST VARS'!$T$70*(8)+'LINEST VARS'!$S$70*(8)+'LINEST VARS'!$R$70*($CB$128)+'LINEST VARS'!$Q$70*($BX133)+'LINEST VARS'!$P$70*(12.73)+'LINEST VARS'!$O$70*(8^2)+'LINEST VARS'!$N$70*(8^2)+'LINEST VARS'!$M$70*($CB$128^2)+'LINEST VARS'!$L$70*($BX133^2)+'LINEST VARS'!$K$70*(12.73^2)+'LINEST VARS'!$J$70*(8*8)+'LINEST VARS'!$I$70*(8*$CB$128)+'LINEST VARS'!$H$70*(8*$BX133)+'LINEST VARS'!$G$70*(8*12.73)+'LINEST VARS'!$F$70*(8*$CB$128)+'LINEST VARS'!$E$70*(8*$BX133)+'LINEST VARS'!$D$70*(8*12.73)+'LINEST VARS'!$C$70*($CB$128*$BX133)+'LINEST VARS'!$B$70*($CB$128*12.73)+'LINEST VARS'!$A$70*($BX133*12.73)</f>
        <v>90.800000000000011</v>
      </c>
      <c r="CC133" s="46">
        <f>'LINEST VARS'!$U$70+'LINEST VARS'!$T$70*(8)+'LINEST VARS'!$S$70*(8)+'LINEST VARS'!$R$70*($CC$128)+'LINEST VARS'!$Q$70*($BX133)+'LINEST VARS'!$P$70*(12.73)+'LINEST VARS'!$O$70*(8^2)+'LINEST VARS'!$N$70*(8^2)+'LINEST VARS'!$M$70*($CC$128^2)+'LINEST VARS'!$L$70*($BX133^2)+'LINEST VARS'!$K$70*(12.73^2)+'LINEST VARS'!$J$70*(8*8)+'LINEST VARS'!$I$70*(8*$CC$128)+'LINEST VARS'!$H$70*(8*$BX133)+'LINEST VARS'!$G$70*(8*12.73)+'LINEST VARS'!$F$70*(8*$CC$128)+'LINEST VARS'!$E$70*(8*$BX133)+'LINEST VARS'!$D$70*(8*12.73)+'LINEST VARS'!$C$70*($CC$128*$BX133)+'LINEST VARS'!$B$70*($CC$128*12.73)+'LINEST VARS'!$A$70*($BX133*12.73)</f>
        <v>90.40000000000002</v>
      </c>
      <c r="CD133" s="46">
        <f>'LINEST VARS'!$U$70+'LINEST VARS'!$T$70*(8)+'LINEST VARS'!$S$70*(8)+'LINEST VARS'!$R$70*($CD$128)+'LINEST VARS'!$Q$70*($BX133)+'LINEST VARS'!$P$70*(12.73)+'LINEST VARS'!$O$70*(8^2)+'LINEST VARS'!$N$70*(8^2)+'LINEST VARS'!$M$70*($CD$128^2)+'LINEST VARS'!$L$70*($BX133^2)+'LINEST VARS'!$K$70*(12.73^2)+'LINEST VARS'!$J$70*(8*8)+'LINEST VARS'!$I$70*(8*$CD$128)+'LINEST VARS'!$H$70*(8*$BX133)+'LINEST VARS'!$G$70*(8*12.73)+'LINEST VARS'!$F$70*(8*$CD$128)+'LINEST VARS'!$E$70*(8*$BX133)+'LINEST VARS'!$D$70*(8*12.73)+'LINEST VARS'!$C$70*($CD$128*$BX133)+'LINEST VARS'!$B$70*($CD$128*12.73)+'LINEST VARS'!$A$70*($BX133*12.73)</f>
        <v>90.000000000000014</v>
      </c>
      <c r="CE133" s="46">
        <f>'LINEST VARS'!$U$70+'LINEST VARS'!$T$70*(8)+'LINEST VARS'!$S$70*(8)+'LINEST VARS'!$R$70*($CE$128)+'LINEST VARS'!$Q$70*($BX133)+'LINEST VARS'!$P$70*(12.73)+'LINEST VARS'!$O$70*(8^2)+'LINEST VARS'!$N$70*(8^2)+'LINEST VARS'!$M$70*($CE$128^2)+'LINEST VARS'!$L$70*($BX133^2)+'LINEST VARS'!$K$70*(12.73^2)+'LINEST VARS'!$J$70*(8*8)+'LINEST VARS'!$I$70*(8*$CE$128)+'LINEST VARS'!$H$70*(8*$BX133)+'LINEST VARS'!$G$70*(8*12.73)+'LINEST VARS'!$F$70*(8*$CE$128)+'LINEST VARS'!$E$70*(8*$BX133)+'LINEST VARS'!$D$70*(8*12.73)+'LINEST VARS'!$C$70*($CE$128*$BX133)+'LINEST VARS'!$B$70*($CE$128*12.73)+'LINEST VARS'!$A$70*($BX133*12.73)</f>
        <v>89.600000000000023</v>
      </c>
      <c r="CF133" s="46">
        <f>'LINEST VARS'!$U$70+'LINEST VARS'!$T$70*(8)+'LINEST VARS'!$S$70*(8)+'LINEST VARS'!$R$70*($CF$128)+'LINEST VARS'!$Q$70*($BX133)+'LINEST VARS'!$P$70*(12.73)+'LINEST VARS'!$O$70*(8^2)+'LINEST VARS'!$N$70*(8^2)+'LINEST VARS'!$M$70*($CF$128^2)+'LINEST VARS'!$L$70*($BX133^2)+'LINEST VARS'!$K$70*(12.73^2)+'LINEST VARS'!$J$70*(8*8)+'LINEST VARS'!$I$70*(8*$CF$128)+'LINEST VARS'!$H$70*(8*$BX133)+'LINEST VARS'!$G$70*(8*12.73)+'LINEST VARS'!$F$70*(8*$CF$128)+'LINEST VARS'!$E$70*(8*$BX133)+'LINEST VARS'!$D$70*(8*12.73)+'LINEST VARS'!$C$70*($CF$128*$BX133)+'LINEST VARS'!$B$70*($CF$128*12.73)+'LINEST VARS'!$A$70*($BX133*12.73)</f>
        <v>89.200000000000017</v>
      </c>
      <c r="CG133" s="46">
        <f>'LINEST VARS'!$U$70+'LINEST VARS'!$T$70*(8)+'LINEST VARS'!$S$70*(8)+'LINEST VARS'!$R$70*($CG$128)+'LINEST VARS'!$Q$70*($BX133)+'LINEST VARS'!$P$70*(12.73)+'LINEST VARS'!$O$70*(8^2)+'LINEST VARS'!$N$70*(8^2)+'LINEST VARS'!$M$70*($CG$128^2)+'LINEST VARS'!$L$70*($BX133^2)+'LINEST VARS'!$K$70*(12.73^2)+'LINEST VARS'!$J$70*(8*8)+'LINEST VARS'!$I$70*(8*$CG$128)+'LINEST VARS'!$H$70*(8*$BX133)+'LINEST VARS'!$G$70*(8*12.73)+'LINEST VARS'!$F$70*(8*$CG$128)+'LINEST VARS'!$E$70*(8*$BX133)+'LINEST VARS'!$D$70*(8*12.73)+'LINEST VARS'!$C$70*($CG$128*$BX133)+'LINEST VARS'!$B$70*($CG$128*12.73)+'LINEST VARS'!$A$70*($BX133*12.73)</f>
        <v>88.800000000000026</v>
      </c>
      <c r="CH133" s="46">
        <f>'LINEST VARS'!$U$70+'LINEST VARS'!$T$70*(8)+'LINEST VARS'!$S$70*(8)+'LINEST VARS'!$R$70*($CH$128)+'LINEST VARS'!$Q$70*($BX133)+'LINEST VARS'!$P$70*(12.73)+'LINEST VARS'!$O$70*(8^2)+'LINEST VARS'!$N$70*(8^2)+'LINEST VARS'!$M$70*($CH$128^2)+'LINEST VARS'!$L$70*($BX133^2)+'LINEST VARS'!$K$70*(12.73^2)+'LINEST VARS'!$J$70*(8*8)+'LINEST VARS'!$I$70*(8*$CH$128)+'LINEST VARS'!$H$70*(8*$BX133)+'LINEST VARS'!$G$70*(8*12.73)+'LINEST VARS'!$F$70*(8*$CH$128)+'LINEST VARS'!$E$70*(8*$BX133)+'LINEST VARS'!$D$70*(8*12.73)+'LINEST VARS'!$C$70*($CH$128*$BX133)+'LINEST VARS'!$B$70*($CH$128*12.73)+'LINEST VARS'!$A$70*($BX133*12.73)</f>
        <v>88.40000000000002</v>
      </c>
      <c r="CI133" s="46">
        <f>'LINEST VARS'!$U$70+'LINEST VARS'!$T$70*(8)+'LINEST VARS'!$S$70*(8)+'LINEST VARS'!$R$70*($CI$128)+'LINEST VARS'!$Q$70*($BX133)+'LINEST VARS'!$P$70*(12.73)+'LINEST VARS'!$O$70*(8^2)+'LINEST VARS'!$N$70*(8^2)+'LINEST VARS'!$M$70*($CI$128^2)+'LINEST VARS'!$L$70*($BX133^2)+'LINEST VARS'!$K$70*(12.73^2)+'LINEST VARS'!$J$70*(8*8)+'LINEST VARS'!$I$70*(8*$CI$128)+'LINEST VARS'!$H$70*(8*$BX133)+'LINEST VARS'!$G$70*(8*12.73)+'LINEST VARS'!$F$70*(8*$CI$128)+'LINEST VARS'!$E$70*(8*$BX133)+'LINEST VARS'!$D$70*(8*12.73)+'LINEST VARS'!$C$70*($CI$128*$BX133)+'LINEST VARS'!$B$70*($CI$128*12.73)+'LINEST VARS'!$A$70*($BX133*12.73)</f>
        <v>88.000000000000014</v>
      </c>
      <c r="CJ133" s="46">
        <f>'LINEST VARS'!$U$70+'LINEST VARS'!$T$70*(8)+'LINEST VARS'!$S$70*(8)+'LINEST VARS'!$R$70*($CJ$128)+'LINEST VARS'!$Q$70*($BX133)+'LINEST VARS'!$P$70*(12.73)+'LINEST VARS'!$O$70*(8^2)+'LINEST VARS'!$N$70*(8^2)+'LINEST VARS'!$M$70*($CJ$128^2)+'LINEST VARS'!$L$70*($BX133^2)+'LINEST VARS'!$K$70*(12.73^2)+'LINEST VARS'!$J$70*(8*8)+'LINEST VARS'!$I$70*(8*$CJ$128)+'LINEST VARS'!$H$70*(8*$BX133)+'LINEST VARS'!$G$70*(8*12.73)+'LINEST VARS'!$F$70*(8*$CJ$128)+'LINEST VARS'!$E$70*(8*$BX133)+'LINEST VARS'!$D$70*(8*12.73)+'LINEST VARS'!$C$70*($CJ$128*$BX133)+'LINEST VARS'!$B$70*($CJ$128*12.73)+'LINEST VARS'!$A$70*($BX133*12.73)</f>
        <v>87.600000000000023</v>
      </c>
      <c r="CK133" s="46">
        <f>'LINEST VARS'!$U$70+'LINEST VARS'!$T$70*(8)+'LINEST VARS'!$S$70*(8)+'LINEST VARS'!$R$70*($CK$128)+'LINEST VARS'!$Q$70*($BX133)+'LINEST VARS'!$P$70*(12.73)+'LINEST VARS'!$O$70*(8^2)+'LINEST VARS'!$N$70*(8^2)+'LINEST VARS'!$M$70*($CK$128^2)+'LINEST VARS'!$L$70*($BX133^2)+'LINEST VARS'!$K$70*(12.73^2)+'LINEST VARS'!$J$70*(8*8)+'LINEST VARS'!$I$70*(8*$CK$128)+'LINEST VARS'!$H$70*(8*$BX133)+'LINEST VARS'!$G$70*(8*12.73)+'LINEST VARS'!$F$70*(8*$CK$128)+'LINEST VARS'!$E$70*(8*$BX133)+'LINEST VARS'!$D$70*(8*12.73)+'LINEST VARS'!$C$70*($CK$128*$BX133)+'LINEST VARS'!$B$70*($CK$128*12.73)+'LINEST VARS'!$A$70*($BX133*12.73)</f>
        <v>87.200000000000017</v>
      </c>
      <c r="CL133" s="46">
        <f>'LINEST VARS'!$U$70+'LINEST VARS'!$T$70*(8)+'LINEST VARS'!$S$70*(8)+'LINEST VARS'!$R$70*($CL$128)+'LINEST VARS'!$Q$70*($BX133)+'LINEST VARS'!$P$70*(12.73)+'LINEST VARS'!$O$70*(8^2)+'LINEST VARS'!$N$70*(8^2)+'LINEST VARS'!$M$70*($CL$128^2)+'LINEST VARS'!$L$70*($BX133^2)+'LINEST VARS'!$K$70*(12.73^2)+'LINEST VARS'!$J$70*(8*8)+'LINEST VARS'!$I$70*(8*$CL$128)+'LINEST VARS'!$H$70*(8*$BX133)+'LINEST VARS'!$G$70*(8*12.73)+'LINEST VARS'!$F$70*(8*$CL$128)+'LINEST VARS'!$E$70*(8*$BX133)+'LINEST VARS'!$D$70*(8*12.73)+'LINEST VARS'!$C$70*($CL$128*$BX133)+'LINEST VARS'!$B$70*($CL$128*12.73)+'LINEST VARS'!$A$70*($BX133*12.73)</f>
        <v>86.800000000000026</v>
      </c>
      <c r="CM133" s="46">
        <f>'LINEST VARS'!$U$70+'LINEST VARS'!$T$70*(8)+'LINEST VARS'!$S$70*(8)+'LINEST VARS'!$R$70*($CM$128)+'LINEST VARS'!$Q$70*($BX133)+'LINEST VARS'!$P$70*(12.73)+'LINEST VARS'!$O$70*(8^2)+'LINEST VARS'!$N$70*(8^2)+'LINEST VARS'!$M$70*($CM$128^2)+'LINEST VARS'!$L$70*($BX133^2)+'LINEST VARS'!$K$70*(12.73^2)+'LINEST VARS'!$J$70*(8*8)+'LINEST VARS'!$I$70*(8*$CM$128)+'LINEST VARS'!$H$70*(8*$BX133)+'LINEST VARS'!$G$70*(8*12.73)+'LINEST VARS'!$F$70*(8*$CM$128)+'LINEST VARS'!$E$70*(8*$BX133)+'LINEST VARS'!$D$70*(8*12.73)+'LINEST VARS'!$C$70*($CM$128*$BX133)+'LINEST VARS'!$B$70*($CM$128*12.73)+'LINEST VARS'!$A$70*($BX133*12.73)</f>
        <v>86.40000000000002</v>
      </c>
      <c r="CN133" s="46">
        <f>'LINEST VARS'!$U$70+'LINEST VARS'!$T$70*(8)+'LINEST VARS'!$S$70*(8)+'LINEST VARS'!$R$70*($CN$128)+'LINEST VARS'!$Q$70*($BX133)+'LINEST VARS'!$P$70*(12.73)+'LINEST VARS'!$O$70*(8^2)+'LINEST VARS'!$N$70*(8^2)+'LINEST VARS'!$M$70*($CN$128^2)+'LINEST VARS'!$L$70*($BX133^2)+'LINEST VARS'!$K$70*(12.73^2)+'LINEST VARS'!$J$70*(8*8)+'LINEST VARS'!$I$70*(8*$CN$128)+'LINEST VARS'!$H$70*(8*$BX133)+'LINEST VARS'!$G$70*(8*12.73)+'LINEST VARS'!$F$70*(8*$CN$128)+'LINEST VARS'!$E$70*(8*$BX133)+'LINEST VARS'!$D$70*(8*12.73)+'LINEST VARS'!$C$70*($CN$128*$BX133)+'LINEST VARS'!$B$70*($CN$128*12.73)+'LINEST VARS'!$A$70*($BX133*12.73)</f>
        <v>86.000000000000014</v>
      </c>
      <c r="CO133" s="46">
        <f>'LINEST VARS'!$U$70+'LINEST VARS'!$T$70*(8)+'LINEST VARS'!$S$70*(8)+'LINEST VARS'!$R$70*($CO$128)+'LINEST VARS'!$Q$70*($BX133)+'LINEST VARS'!$P$70*(12.73)+'LINEST VARS'!$O$70*(8^2)+'LINEST VARS'!$N$70*(8^2)+'LINEST VARS'!$M$70*($CO$128^2)+'LINEST VARS'!$L$70*($BX133^2)+'LINEST VARS'!$K$70*(12.73^2)+'LINEST VARS'!$J$70*(8*8)+'LINEST VARS'!$I$70*(8*$CO$128)+'LINEST VARS'!$H$70*(8*$BX133)+'LINEST VARS'!$G$70*(8*12.73)+'LINEST VARS'!$F$70*(8*$CO$128)+'LINEST VARS'!$E$70*(8*$BX133)+'LINEST VARS'!$D$70*(8*12.73)+'LINEST VARS'!$C$70*($CO$128*$BX133)+'LINEST VARS'!$B$70*($CO$128*12.73)+'LINEST VARS'!$A$70*($BX133*12.73)</f>
        <v>85.600000000000009</v>
      </c>
      <c r="CP133" s="46">
        <f>'LINEST VARS'!$U$70+'LINEST VARS'!$T$70*(8)+'LINEST VARS'!$S$70*(8)+'LINEST VARS'!$R$70*($CP$128)+'LINEST VARS'!$Q$70*($BX133)+'LINEST VARS'!$P$70*(12.73)+'LINEST VARS'!$O$70*(8^2)+'LINEST VARS'!$N$70*(8^2)+'LINEST VARS'!$M$70*($CP$128^2)+'LINEST VARS'!$L$70*($BX133^2)+'LINEST VARS'!$K$70*(12.73^2)+'LINEST VARS'!$J$70*(8*8)+'LINEST VARS'!$I$70*(8*$CP$128)+'LINEST VARS'!$H$70*(8*$BX133)+'LINEST VARS'!$G$70*(8*12.73)+'LINEST VARS'!$F$70*(8*$CP$128)+'LINEST VARS'!$E$70*(8*$BX133)+'LINEST VARS'!$D$70*(8*12.73)+'LINEST VARS'!$C$70*($CP$128*$BX133)+'LINEST VARS'!$B$70*($CP$128*12.73)+'LINEST VARS'!$A$70*($BX133*12.73)</f>
        <v>85.200000000000017</v>
      </c>
      <c r="CQ133" s="46">
        <f>'LINEST VARS'!$U$70+'LINEST VARS'!$T$70*(8)+'LINEST VARS'!$S$70*(8)+'LINEST VARS'!$R$70*($CQ$128)+'LINEST VARS'!$Q$70*($BX133)+'LINEST VARS'!$P$70*(12.73)+'LINEST VARS'!$O$70*(8^2)+'LINEST VARS'!$N$70*(8^2)+'LINEST VARS'!$M$70*($CQ$128^2)+'LINEST VARS'!$L$70*($BX133^2)+'LINEST VARS'!$K$70*(12.73^2)+'LINEST VARS'!$J$70*(8*8)+'LINEST VARS'!$I$70*(8*$CQ$128)+'LINEST VARS'!$H$70*(8*$BX133)+'LINEST VARS'!$G$70*(8*12.73)+'LINEST VARS'!$F$70*(8*$CQ$128)+'LINEST VARS'!$E$70*(8*$BX133)+'LINEST VARS'!$D$70*(8*12.73)+'LINEST VARS'!$C$70*($CQ$128*$BX133)+'LINEST VARS'!$B$70*($CQ$128*12.73)+'LINEST VARS'!$A$70*($BX133*12.73)</f>
        <v>84.800000000000011</v>
      </c>
      <c r="CR133" s="46">
        <f>'LINEST VARS'!$U$70+'LINEST VARS'!$T$70*(8)+'LINEST VARS'!$S$70*(8)+'LINEST VARS'!$R$70*($CR$128)+'LINEST VARS'!$Q$70*($BX133)+'LINEST VARS'!$P$70*(12.73)+'LINEST VARS'!$O$70*(8^2)+'LINEST VARS'!$N$70*(8^2)+'LINEST VARS'!$M$70*($CR$128^2)+'LINEST VARS'!$L$70*($BX133^2)+'LINEST VARS'!$K$70*(12.73^2)+'LINEST VARS'!$J$70*(8*8)+'LINEST VARS'!$I$70*(8*$CR$128)+'LINEST VARS'!$H$70*(8*$BX133)+'LINEST VARS'!$G$70*(8*12.73)+'LINEST VARS'!$F$70*(8*$CR$128)+'LINEST VARS'!$E$70*(8*$BX133)+'LINEST VARS'!$D$70*(8*12.73)+'LINEST VARS'!$C$70*($CR$128*$BX133)+'LINEST VARS'!$B$70*($CR$128*12.73)+'LINEST VARS'!$A$70*($BX133*12.73)</f>
        <v>84.400000000000034</v>
      </c>
      <c r="CS133" s="47">
        <f>'LINEST VARS'!$U$70+'LINEST VARS'!$T$70*(8)+'LINEST VARS'!$S$70*(8)+'LINEST VARS'!$R$70*($CS$128)+'LINEST VARS'!$Q$70*($BX133)+'LINEST VARS'!$P$70*(12.73)+'LINEST VARS'!$O$70*(8^2)+'LINEST VARS'!$N$70*(8^2)+'LINEST VARS'!$M$70*($CS$128^2)+'LINEST VARS'!$L$70*($BX133^2)+'LINEST VARS'!$K$70*(12.73^2)+'LINEST VARS'!$J$70*(8*8)+'LINEST VARS'!$I$70*(8*$CS$128)+'LINEST VARS'!$H$70*(8*$BX133)+'LINEST VARS'!$G$70*(8*12.73)+'LINEST VARS'!$F$70*(8*$CS$128)+'LINEST VARS'!$E$70*(8*$BX133)+'LINEST VARS'!$D$70*(8*12.73)+'LINEST VARS'!$C$70*($CS$128*$BX133)+'LINEST VARS'!$B$70*($CS$128*12.73)+'LINEST VARS'!$A$70*($BX133*12.73)</f>
        <v>84.000000000000028</v>
      </c>
      <c r="CX133" s="45">
        <v>5.1980000000000004</v>
      </c>
      <c r="CY133" s="46">
        <f>'LINEST VARS'!$U$68+'LINEST VARS'!$T$68*(8)+'LINEST VARS'!$S$68*(8)+'LINEST VARS'!$R$68*($CY$128)+'LINEST VARS'!$Q$68*(0.5)+'LINEST VARS'!$P$68*($CX133)+'LINEST VARS'!$O$68*(8^2)+'LINEST VARS'!$N$68*(8^2)+'LINEST VARS'!$M$68*($CY$128^2)+'LINEST VARS'!$L$68*(0.5^2)+'LINEST VARS'!$K$68*($CX133^2)+'LINEST VARS'!$J$68*(8*8)+'LINEST VARS'!$I$68*(8*$CY$128)+'LINEST VARS'!$H$68*(8*0.5)+'LINEST VARS'!$G$68*(8*$CX133)+'LINEST VARS'!$F$68*(8*$CY$128)+'LINEST VARS'!$E$68*(8*0.5)+'LINEST VARS'!$D$68*(8*$CX133)+'LINEST VARS'!$C$68*($CY$128*0.5)+'LINEST VARS'!$B$68*($CY$128*$CX133)+'LINEST VARS'!$A$68*(0.5*$CX133)</f>
        <v>149</v>
      </c>
      <c r="CZ133" s="46">
        <f>'LINEST VARS'!$U$68+'LINEST VARS'!$T$68*(8)+'LINEST VARS'!$S$68*(8)+'LINEST VARS'!$R$68*($CZ$128)+'LINEST VARS'!$Q$68*(0.5)+'LINEST VARS'!$P$68*($CX133)+'LINEST VARS'!$O$68*(8^2)+'LINEST VARS'!$N$68*(8^2)+'LINEST VARS'!$M$68*($CZ$128^2)+'LINEST VARS'!$L$68*(0.5^2)+'LINEST VARS'!$K$68*($CX133^2)+'LINEST VARS'!$J$68*(8*8)+'LINEST VARS'!$I$68*(8*$CZ$128)+'LINEST VARS'!$H$68*(8*0.5)+'LINEST VARS'!$G$68*(8*$CX133)+'LINEST VARS'!$F$68*(8*$CZ$128)+'LINEST VARS'!$E$68*(8*0.5)+'LINEST VARS'!$D$68*(8*$CX133)+'LINEST VARS'!$C$68*($CZ$128*0.5)+'LINEST VARS'!$B$68*($CZ$128*$CX133)+'LINEST VARS'!$A$68*(0.5*$CX133)</f>
        <v>149</v>
      </c>
      <c r="DA133" s="46">
        <f>'LINEST VARS'!$U$68+'LINEST VARS'!$T$68*(8)+'LINEST VARS'!$S$68*(8)+'LINEST VARS'!$R$68*($DA$128)+'LINEST VARS'!$Q$68*(0.5)+'LINEST VARS'!$P$68*($CX133)+'LINEST VARS'!$O$68*(8^2)+'LINEST VARS'!$N$68*(8^2)+'LINEST VARS'!$M$68*($DA$128^2)+'LINEST VARS'!$L$68*(0.5^2)+'LINEST VARS'!$K$68*($CX133^2)+'LINEST VARS'!$J$68*(8*8)+'LINEST VARS'!$I$68*(8*$DA$128)+'LINEST VARS'!$H$68*(8*0.5)+'LINEST VARS'!$G$68*(8*$CX133)+'LINEST VARS'!$F$68*(8*$DA$128)+'LINEST VARS'!$E$68*(8*0.5)+'LINEST VARS'!$D$68*(8*$CX133)+'LINEST VARS'!$C$68*($DA$128*0.5)+'LINEST VARS'!$B$68*($DA$128*$CX133)+'LINEST VARS'!$A$68*(0.5*$CX133)</f>
        <v>149</v>
      </c>
      <c r="DB133" s="46">
        <f>'LINEST VARS'!$U$68+'LINEST VARS'!$T$68*(8)+'LINEST VARS'!$S$68*(8)+'LINEST VARS'!$R$68*($DB$128)+'LINEST VARS'!$Q$68*(0.5)+'LINEST VARS'!$P$68*($CX133)+'LINEST VARS'!$O$68*(8^2)+'LINEST VARS'!$N$68*(8^2)+'LINEST VARS'!$M$68*($DB$128^2)+'LINEST VARS'!$L$68*(0.5^2)+'LINEST VARS'!$K$68*($CX133^2)+'LINEST VARS'!$J$68*(8*8)+'LINEST VARS'!$I$68*(8*$DB$128)+'LINEST VARS'!$H$68*(8*0.5)+'LINEST VARS'!$G$68*(8*$CX133)+'LINEST VARS'!$F$68*(8*$DB$128)+'LINEST VARS'!$E$68*(8*0.5)+'LINEST VARS'!$D$68*(8*$CX133)+'LINEST VARS'!$C$68*($DB$128*0.5)+'LINEST VARS'!$B$68*($DB$128*$CX133)+'LINEST VARS'!$A$68*(0.5*$CX133)</f>
        <v>149</v>
      </c>
      <c r="DC133" s="46">
        <f>'LINEST VARS'!$U$68+'LINEST VARS'!$T$68*(8)+'LINEST VARS'!$S$68*(8)+'LINEST VARS'!$R$68*($DC$128)+'LINEST VARS'!$Q$68*(0.5)+'LINEST VARS'!$P$68*($CX133)+'LINEST VARS'!$O$68*(8^2)+'LINEST VARS'!$N$68*(8^2)+'LINEST VARS'!$M$68*($DC$128^2)+'LINEST VARS'!$L$68*(0.5^2)+'LINEST VARS'!$K$68*($CX133^2)+'LINEST VARS'!$J$68*(8*8)+'LINEST VARS'!$I$68*(8*$DC$128)+'LINEST VARS'!$H$68*(8*0.5)+'LINEST VARS'!$G$68*(8*$CX133)+'LINEST VARS'!$F$68*(8*$DC$128)+'LINEST VARS'!$E$68*(8*0.5)+'LINEST VARS'!$D$68*(8*$CX133)+'LINEST VARS'!$C$68*($DC$128*0.5)+'LINEST VARS'!$B$68*($DC$128*$CX133)+'LINEST VARS'!$A$68*(0.5*$CX133)</f>
        <v>149</v>
      </c>
      <c r="DD133" s="46">
        <f>'LINEST VARS'!$U$68+'LINEST VARS'!$T$68*(8)+'LINEST VARS'!$S$68*(8)+'LINEST VARS'!$R$68*($DD$128)+'LINEST VARS'!$Q$68*(0.5)+'LINEST VARS'!$P$68*($CX133)+'LINEST VARS'!$O$68*(8^2)+'LINEST VARS'!$N$68*(8^2)+'LINEST VARS'!$M$68*($DD$128^2)+'LINEST VARS'!$L$68*(0.5^2)+'LINEST VARS'!$K$68*($CX133^2)+'LINEST VARS'!$J$68*(8*8)+'LINEST VARS'!$I$68*(8*$DD$128)+'LINEST VARS'!$H$68*(8*0.5)+'LINEST VARS'!$G$68*(8*$CX133)+'LINEST VARS'!$F$68*(8*$DD$128)+'LINEST VARS'!$E$68*(8*0.5)+'LINEST VARS'!$D$68*(8*$CX133)+'LINEST VARS'!$C$68*($DD$128*0.5)+'LINEST VARS'!$B$68*($DD$128*$CX133)+'LINEST VARS'!$A$68*(0.5*$CX133)</f>
        <v>149</v>
      </c>
      <c r="DE133" s="46">
        <f>'LINEST VARS'!$U$68+'LINEST VARS'!$T$68*(8)+'LINEST VARS'!$S$68*(8)+'LINEST VARS'!$R$68*($DE$128)+'LINEST VARS'!$Q$68*(0.5)+'LINEST VARS'!$P$68*($CX133)+'LINEST VARS'!$O$68*(8^2)+'LINEST VARS'!$N$68*(8^2)+'LINEST VARS'!$M$68*($DE$128^2)+'LINEST VARS'!$L$68*(0.5^2)+'LINEST VARS'!$K$68*($CX133^2)+'LINEST VARS'!$J$68*(8*8)+'LINEST VARS'!$I$68*(8*$DE$128)+'LINEST VARS'!$H$68*(8*0.5)+'LINEST VARS'!$G$68*(8*$CX133)+'LINEST VARS'!$F$68*(8*$DE$128)+'LINEST VARS'!$E$68*(8*0.5)+'LINEST VARS'!$D$68*(8*$CX133)+'LINEST VARS'!$C$68*($DE$128*0.5)+'LINEST VARS'!$B$68*($DE$128*$CX133)+'LINEST VARS'!$A$68*(0.5*$CX133)</f>
        <v>149</v>
      </c>
      <c r="DF133" s="46">
        <f>'LINEST VARS'!$U$68+'LINEST VARS'!$T$68*(8)+'LINEST VARS'!$S$68*(8)+'LINEST VARS'!$R$68*($DF$128)+'LINEST VARS'!$Q$68*(0.5)+'LINEST VARS'!$P$68*($CX133)+'LINEST VARS'!$O$68*(8^2)+'LINEST VARS'!$N$68*(8^2)+'LINEST VARS'!$M$68*($DF$128^2)+'LINEST VARS'!$L$68*(0.5^2)+'LINEST VARS'!$K$68*($CX133^2)+'LINEST VARS'!$J$68*(8*8)+'LINEST VARS'!$I$68*(8*$DF$128)+'LINEST VARS'!$H$68*(8*0.5)+'LINEST VARS'!$G$68*(8*$CX133)+'LINEST VARS'!$F$68*(8*$DF$128)+'LINEST VARS'!$E$68*(8*0.5)+'LINEST VARS'!$D$68*(8*$CX133)+'LINEST VARS'!$C$68*($DF$128*0.5)+'LINEST VARS'!$B$68*($DF$128*$CX133)+'LINEST VARS'!$A$68*(0.5*$CX133)</f>
        <v>149</v>
      </c>
      <c r="DG133" s="46">
        <f>'LINEST VARS'!$U$68+'LINEST VARS'!$T$68*(8)+'LINEST VARS'!$S$68*(8)+'LINEST VARS'!$R$68*($DG$128)+'LINEST VARS'!$Q$68*(0.5)+'LINEST VARS'!$P$68*($CX133)+'LINEST VARS'!$O$68*(8^2)+'LINEST VARS'!$N$68*(8^2)+'LINEST VARS'!$M$68*($DG$128^2)+'LINEST VARS'!$L$68*(0.5^2)+'LINEST VARS'!$K$68*($CX133^2)+'LINEST VARS'!$J$68*(8*8)+'LINEST VARS'!$I$68*(8*$DG$128)+'LINEST VARS'!$H$68*(8*0.5)+'LINEST VARS'!$G$68*(8*$CX133)+'LINEST VARS'!$F$68*(8*$DG$128)+'LINEST VARS'!$E$68*(8*0.5)+'LINEST VARS'!$D$68*(8*$CX133)+'LINEST VARS'!$C$68*($DG$128*0.5)+'LINEST VARS'!$B$68*($DG$128*$CX133)+'LINEST VARS'!$A$68*(0.5*$CX133)</f>
        <v>149</v>
      </c>
      <c r="DH133" s="46">
        <f>'LINEST VARS'!$U$68+'LINEST VARS'!$T$68*(8)+'LINEST VARS'!$S$68*(8)+'LINEST VARS'!$R$68*($DH$128)+'LINEST VARS'!$Q$68*(0.5)+'LINEST VARS'!$P$68*($CX133)+'LINEST VARS'!$O$68*(8^2)+'LINEST VARS'!$N$68*(8^2)+'LINEST VARS'!$M$68*($DH$128^2)+'LINEST VARS'!$L$68*(0.5^2)+'LINEST VARS'!$K$68*($CX133^2)+'LINEST VARS'!$J$68*(8*8)+'LINEST VARS'!$I$68*(8*$DH$128)+'LINEST VARS'!$H$68*(8*0.5)+'LINEST VARS'!$G$68*(8*$CX133)+'LINEST VARS'!$F$68*(8*$DH$128)+'LINEST VARS'!$E$68*(8*0.5)+'LINEST VARS'!$D$68*(8*$CX133)+'LINEST VARS'!$C$68*($DH$128*0.5)+'LINEST VARS'!$B$68*($DH$128*$CX133)+'LINEST VARS'!$A$68*(0.5*$CX133)</f>
        <v>149</v>
      </c>
      <c r="DI133" s="46">
        <f>'LINEST VARS'!$U$68+'LINEST VARS'!$T$68*(8)+'LINEST VARS'!$S$68*(8)+'LINEST VARS'!$R$68*($DI$128)+'LINEST VARS'!$Q$68*(0.5)+'LINEST VARS'!$P$68*($CX133)+'LINEST VARS'!$O$68*(8^2)+'LINEST VARS'!$N$68*(8^2)+'LINEST VARS'!$M$68*($DI$128^2)+'LINEST VARS'!$L$68*(0.5^2)+'LINEST VARS'!$K$68*($CX133^2)+'LINEST VARS'!$J$68*(8*8)+'LINEST VARS'!$I$68*(8*$DI$128)+'LINEST VARS'!$H$68*(8*0.5)+'LINEST VARS'!$G$68*(8*$CX133)+'LINEST VARS'!$F$68*(8*$DI$128)+'LINEST VARS'!$E$68*(8*0.5)+'LINEST VARS'!$D$68*(8*$CX133)+'LINEST VARS'!$C$68*($DI$128*0.5)+'LINEST VARS'!$B$68*($DI$128*$CX133)+'LINEST VARS'!$A$68*(0.5*$CX133)</f>
        <v>149</v>
      </c>
      <c r="DJ133" s="46">
        <f>'LINEST VARS'!$U$68+'LINEST VARS'!$T$68*(8)+'LINEST VARS'!$S$68*(8)+'LINEST VARS'!$R$68*($DJ$128)+'LINEST VARS'!$Q$68*(0.5)+'LINEST VARS'!$P$68*($CX133)+'LINEST VARS'!$O$68*(8^2)+'LINEST VARS'!$N$68*(8^2)+'LINEST VARS'!$M$68*($DJ$128^2)+'LINEST VARS'!$L$68*(0.5^2)+'LINEST VARS'!$K$68*($CX133^2)+'LINEST VARS'!$J$68*(8*8)+'LINEST VARS'!$I$68*(8*$DJ$128)+'LINEST VARS'!$H$68*(8*0.5)+'LINEST VARS'!$G$68*(8*$CX133)+'LINEST VARS'!$F$68*(8*$DJ$128)+'LINEST VARS'!$E$68*(8*0.5)+'LINEST VARS'!$D$68*(8*$CX133)+'LINEST VARS'!$C$68*($DJ$128*0.5)+'LINEST VARS'!$B$68*($DJ$128*$CX133)+'LINEST VARS'!$A$68*(0.5*$CX133)</f>
        <v>149</v>
      </c>
      <c r="DK133" s="46">
        <f>'LINEST VARS'!$U$68+'LINEST VARS'!$T$68*(8)+'LINEST VARS'!$S$68*(8)+'LINEST VARS'!$R$68*($DK$128)+'LINEST VARS'!$Q$68*(0.5)+'LINEST VARS'!$P$68*($CX133)+'LINEST VARS'!$O$68*(8^2)+'LINEST VARS'!$N$68*(8^2)+'LINEST VARS'!$M$68*($DK$128^2)+'LINEST VARS'!$L$68*(0.5^2)+'LINEST VARS'!$K$68*($CX133^2)+'LINEST VARS'!$J$68*(8*8)+'LINEST VARS'!$I$68*(8*$DK$128)+'LINEST VARS'!$H$68*(8*0.5)+'LINEST VARS'!$G$68*(8*$CX133)+'LINEST VARS'!$F$68*(8*$DK$128)+'LINEST VARS'!$E$68*(8*0.5)+'LINEST VARS'!$D$68*(8*$CX133)+'LINEST VARS'!$C$68*($DK$128*0.5)+'LINEST VARS'!$B$68*($DK$128*$CX133)+'LINEST VARS'!$A$68*(0.5*$CX133)</f>
        <v>149</v>
      </c>
      <c r="DL133" s="46">
        <f>'LINEST VARS'!$U$68+'LINEST VARS'!$T$68*(8)+'LINEST VARS'!$S$68*(8)+'LINEST VARS'!$R$68*($DL$128)+'LINEST VARS'!$Q$68*(0.5)+'LINEST VARS'!$P$68*($CX133)+'LINEST VARS'!$O$68*(8^2)+'LINEST VARS'!$N$68*(8^2)+'LINEST VARS'!$M$68*($DL$128^2)+'LINEST VARS'!$L$68*(0.5^2)+'LINEST VARS'!$K$68*($CX133^2)+'LINEST VARS'!$J$68*(8*8)+'LINEST VARS'!$I$68*(8*$DL$128)+'LINEST VARS'!$H$68*(8*0.5)+'LINEST VARS'!$G$68*(8*$CX133)+'LINEST VARS'!$F$68*(8*$DL$128)+'LINEST VARS'!$E$68*(8*0.5)+'LINEST VARS'!$D$68*(8*$CX133)+'LINEST VARS'!$C$68*($DL$128*0.5)+'LINEST VARS'!$B$68*($DL$128*$CX133)+'LINEST VARS'!$A$68*(0.5*$CX133)</f>
        <v>149</v>
      </c>
      <c r="DM133" s="46">
        <f>'LINEST VARS'!$U$68+'LINEST VARS'!$T$68*(8)+'LINEST VARS'!$S$68*(8)+'LINEST VARS'!$R$68*($DM$128)+'LINEST VARS'!$Q$68*(0.5)+'LINEST VARS'!$P$68*($CX133)+'LINEST VARS'!$O$68*(8^2)+'LINEST VARS'!$N$68*(8^2)+'LINEST VARS'!$M$68*($DM$128^2)+'LINEST VARS'!$L$68*(0.5^2)+'LINEST VARS'!$K$68*($CX133^2)+'LINEST VARS'!$J$68*(8*8)+'LINEST VARS'!$I$68*(8*$DM$128)+'LINEST VARS'!$H$68*(8*0.5)+'LINEST VARS'!$G$68*(8*$CX133)+'LINEST VARS'!$F$68*(8*$DM$128)+'LINEST VARS'!$E$68*(8*0.5)+'LINEST VARS'!$D$68*(8*$CX133)+'LINEST VARS'!$C$68*($DM$128*0.5)+'LINEST VARS'!$B$68*($DM$128*$CX133)+'LINEST VARS'!$A$68*(0.5*$CX133)</f>
        <v>149</v>
      </c>
      <c r="DN133" s="46">
        <f>'LINEST VARS'!$U$68+'LINEST VARS'!$T$68*(8)+'LINEST VARS'!$S$68*(8)+'LINEST VARS'!$R$68*($DN$128)+'LINEST VARS'!$Q$68*(0.5)+'LINEST VARS'!$P$68*($CX133)+'LINEST VARS'!$O$68*(8^2)+'LINEST VARS'!$N$68*(8^2)+'LINEST VARS'!$M$68*($DN$128^2)+'LINEST VARS'!$L$68*(0.5^2)+'LINEST VARS'!$K$68*($CX133^2)+'LINEST VARS'!$J$68*(8*8)+'LINEST VARS'!$I$68*(8*$DN$128)+'LINEST VARS'!$H$68*(8*0.5)+'LINEST VARS'!$G$68*(8*$CX133)+'LINEST VARS'!$F$68*(8*$DN$128)+'LINEST VARS'!$E$68*(8*0.5)+'LINEST VARS'!$D$68*(8*$CX133)+'LINEST VARS'!$C$68*($DN$128*0.5)+'LINEST VARS'!$B$68*($DN$128*$CX133)+'LINEST VARS'!$A$68*(0.5*$CX133)</f>
        <v>149</v>
      </c>
      <c r="DO133" s="46">
        <f>'LINEST VARS'!$U$68+'LINEST VARS'!$T$68*(8)+'LINEST VARS'!$S$68*(8)+'LINEST VARS'!$R$68*($DO$128)+'LINEST VARS'!$Q$68*(0.5)+'LINEST VARS'!$P$68*($CX133)+'LINEST VARS'!$O$68*(8^2)+'LINEST VARS'!$N$68*(8^2)+'LINEST VARS'!$M$68*($DO$128^2)+'LINEST VARS'!$L$68*(0.5^2)+'LINEST VARS'!$K$68*($CX133^2)+'LINEST VARS'!$J$68*(8*8)+'LINEST VARS'!$I$68*(8*$DO$128)+'LINEST VARS'!$H$68*(8*0.5)+'LINEST VARS'!$G$68*(8*$CX133)+'LINEST VARS'!$F$68*(8*$DO$128)+'LINEST VARS'!$E$68*(8*0.5)+'LINEST VARS'!$D$68*(8*$CX133)+'LINEST VARS'!$C$68*($DO$128*0.5)+'LINEST VARS'!$B$68*($DO$128*$CX133)+'LINEST VARS'!$A$68*(0.5*$CX133)</f>
        <v>149</v>
      </c>
      <c r="DP133" s="46">
        <f>'LINEST VARS'!$U$68+'LINEST VARS'!$T$68*(8)+'LINEST VARS'!$S$68*(8)+'LINEST VARS'!$R$68*($DP$128)+'LINEST VARS'!$Q$68*(0.5)+'LINEST VARS'!$P$68*($CX133)+'LINEST VARS'!$O$68*(8^2)+'LINEST VARS'!$N$68*(8^2)+'LINEST VARS'!$M$68*($DP$128^2)+'LINEST VARS'!$L$68*(0.5^2)+'LINEST VARS'!$K$68*($CX133^2)+'LINEST VARS'!$J$68*(8*8)+'LINEST VARS'!$I$68*(8*$DP$128)+'LINEST VARS'!$H$68*(8*0.5)+'LINEST VARS'!$G$68*(8*$CX133)+'LINEST VARS'!$F$68*(8*$DP$128)+'LINEST VARS'!$E$68*(8*0.5)+'LINEST VARS'!$D$68*(8*$CX133)+'LINEST VARS'!$C$68*($DP$128*0.5)+'LINEST VARS'!$B$68*($DP$128*$CX133)+'LINEST VARS'!$A$68*(0.5*$CX133)</f>
        <v>149</v>
      </c>
      <c r="DQ133" s="46">
        <f>'LINEST VARS'!$U$68+'LINEST VARS'!$T$68*(8)+'LINEST VARS'!$S$68*(8)+'LINEST VARS'!$R$68*($DQ$128)+'LINEST VARS'!$Q$68*(0.5)+'LINEST VARS'!$P$68*($CX133)+'LINEST VARS'!$O$68*(8^2)+'LINEST VARS'!$N$68*(8^2)+'LINEST VARS'!$M$68*($DQ$128^2)+'LINEST VARS'!$L$68*(0.5^2)+'LINEST VARS'!$K$68*($CX133^2)+'LINEST VARS'!$J$68*(8*8)+'LINEST VARS'!$I$68*(8*$DQ$128)+'LINEST VARS'!$H$68*(8*0.5)+'LINEST VARS'!$G$68*(8*$CX133)+'LINEST VARS'!$F$68*(8*$DQ$128)+'LINEST VARS'!$E$68*(8*0.5)+'LINEST VARS'!$D$68*(8*$CX133)+'LINEST VARS'!$C$68*($DQ$128*0.5)+'LINEST VARS'!$B$68*($DQ$128*$CX133)+'LINEST VARS'!$A$68*(0.5*$CX133)</f>
        <v>149</v>
      </c>
      <c r="DR133" s="46">
        <f>'LINEST VARS'!$U$68+'LINEST VARS'!$T$68*(8)+'LINEST VARS'!$S$68*(8)+'LINEST VARS'!$R$68*($DR$128)+'LINEST VARS'!$Q$68*(0.5)+'LINEST VARS'!$P$68*($CX133)+'LINEST VARS'!$O$68*(8^2)+'LINEST VARS'!$N$68*(8^2)+'LINEST VARS'!$M$68*($DR$128^2)+'LINEST VARS'!$L$68*(0.5^2)+'LINEST VARS'!$K$68*($CX133^2)+'LINEST VARS'!$J$68*(8*8)+'LINEST VARS'!$I$68*(8*$DR$128)+'LINEST VARS'!$H$68*(8*0.5)+'LINEST VARS'!$G$68*(8*$CX133)+'LINEST VARS'!$F$68*(8*$DR$128)+'LINEST VARS'!$E$68*(8*0.5)+'LINEST VARS'!$D$68*(8*$CX133)+'LINEST VARS'!$C$68*($DR$128*0.5)+'LINEST VARS'!$B$68*($DR$128*$CX133)+'LINEST VARS'!$A$68*(0.5*$CX133)</f>
        <v>149</v>
      </c>
      <c r="DS133" s="47">
        <f>'LINEST VARS'!$U$68+'LINEST VARS'!$T$68*(8)+'LINEST VARS'!$S$68*(8)+'LINEST VARS'!$R$68*($DS$128)+'LINEST VARS'!$Q$68*(0.5)+'LINEST VARS'!$P$68*($CX133)+'LINEST VARS'!$O$68*(8^2)+'LINEST VARS'!$N$68*(8^2)+'LINEST VARS'!$M$68*($DS$128^2)+'LINEST VARS'!$L$68*(0.5^2)+'LINEST VARS'!$K$68*($CX133^2)+'LINEST VARS'!$J$68*(8*8)+'LINEST VARS'!$I$68*(8*$DS$128)+'LINEST VARS'!$H$68*(8*0.5)+'LINEST VARS'!$G$68*(8*$CX133)+'LINEST VARS'!$F$68*(8*$DS$128)+'LINEST VARS'!$E$68*(8*0.5)+'LINEST VARS'!$D$68*(8*$CX133)+'LINEST VARS'!$C$68*($DS$128*0.5)+'LINEST VARS'!$B$68*($DS$128*$CX133)+'LINEST VARS'!$A$68*(0.5*$CX133)</f>
        <v>149</v>
      </c>
      <c r="DV133" s="45">
        <v>5.1980000000000004</v>
      </c>
      <c r="DW133" s="46">
        <f>'LINEST VARS'!$U$70+'LINEST VARS'!$T$70*(8)+'LINEST VARS'!$S$70*(8)+'LINEST VARS'!$R$70*($DW$128)+'LINEST VARS'!$Q$70*(0.5)+'LINEST VARS'!$P$70*($DV133)+'LINEST VARS'!$O$70*(8^2)+'LINEST VARS'!$N$70*(8^2)+'LINEST VARS'!$M$70*($DW$128^2)+'LINEST VARS'!$L$70*(0.5^2)+'LINEST VARS'!$K$70*($DV133^2)+'LINEST VARS'!$J$70*(8*8)+'LINEST VARS'!$I$70*(8*$DW$128)+'LINEST VARS'!$H$70*(8*0.5)+'LINEST VARS'!$G$70*(8*$DV133)+'LINEST VARS'!$F$70*(8*$DW$128)+'LINEST VARS'!$E$70*(8*0.5)+'LINEST VARS'!$D$70*(8*$DV133)+'LINEST VARS'!$C$70*($DW$128*0.5)+'LINEST VARS'!$B$70*($DW$128*$DV133)+'LINEST VARS'!$A$70*(0.5*$DV133)</f>
        <v>92.000000000000014</v>
      </c>
      <c r="DX133" s="46">
        <f>'LINEST VARS'!$U$70+'LINEST VARS'!$T$70*(8)+'LINEST VARS'!$S$70*(8)+'LINEST VARS'!$R$70*($DX$128)+'LINEST VARS'!$Q$70*(0.5)+'LINEST VARS'!$P$70*($DV133)+'LINEST VARS'!$O$70*(8^2)+'LINEST VARS'!$N$70*(8^2)+'LINEST VARS'!$M$70*($DX$128^2)+'LINEST VARS'!$L$70*(0.5^2)+'LINEST VARS'!$K$70*($DV133^2)+'LINEST VARS'!$J$70*(8*8)+'LINEST VARS'!$I$70*(8*$DX$128)+'LINEST VARS'!$H$70*(8*0.5)+'LINEST VARS'!$G$70*(8*$DV133)+'LINEST VARS'!$F$70*(8*$DX$128)+'LINEST VARS'!$E$70*(8*0.5)+'LINEST VARS'!$D$70*(8*$DV133)+'LINEST VARS'!$C$70*($DX$128*0.5)+'LINEST VARS'!$B$70*($DX$128*$DV133)+'LINEST VARS'!$A$70*(0.5*$DV133)</f>
        <v>91.600000000000009</v>
      </c>
      <c r="DY133" s="46">
        <f>'LINEST VARS'!$U$70+'LINEST VARS'!$T$70*(8)+'LINEST VARS'!$S$70*(8)+'LINEST VARS'!$R$70*($DY$128)+'LINEST VARS'!$Q$70*(0.5)+'LINEST VARS'!$P$70*($DV133)+'LINEST VARS'!$O$70*(8^2)+'LINEST VARS'!$N$70*(8^2)+'LINEST VARS'!$M$70*($DY$128^2)+'LINEST VARS'!$L$70*(0.5^2)+'LINEST VARS'!$K$70*($DV133^2)+'LINEST VARS'!$J$70*(8*8)+'LINEST VARS'!$I$70*(8*$DY$128)+'LINEST VARS'!$H$70*(8*0.5)+'LINEST VARS'!$G$70*(8*$DV133)+'LINEST VARS'!$F$70*(8*$DY$128)+'LINEST VARS'!$E$70*(8*0.5)+'LINEST VARS'!$D$70*(8*$DV133)+'LINEST VARS'!$C$70*($DY$128*0.5)+'LINEST VARS'!$B$70*($DY$128*$DV133)+'LINEST VARS'!$A$70*(0.5*$DV133)</f>
        <v>91.200000000000017</v>
      </c>
      <c r="DZ133" s="46">
        <f>'LINEST VARS'!$U$70+'LINEST VARS'!$T$70*(8)+'LINEST VARS'!$S$70*(8)+'LINEST VARS'!$R$70*($DZ$128)+'LINEST VARS'!$Q$70*(0.5)+'LINEST VARS'!$P$70*($DV133)+'LINEST VARS'!$O$70*(8^2)+'LINEST VARS'!$N$70*(8^2)+'LINEST VARS'!$M$70*($DZ$128^2)+'LINEST VARS'!$L$70*(0.5^2)+'LINEST VARS'!$K$70*($DV133^2)+'LINEST VARS'!$J$70*(8*8)+'LINEST VARS'!$I$70*(8*$DZ$128)+'LINEST VARS'!$H$70*(8*0.5)+'LINEST VARS'!$G$70*(8*$DV133)+'LINEST VARS'!$F$70*(8*$DZ$128)+'LINEST VARS'!$E$70*(8*0.5)+'LINEST VARS'!$D$70*(8*$DV133)+'LINEST VARS'!$C$70*($DZ$128*0.5)+'LINEST VARS'!$B$70*($DZ$128*$DV133)+'LINEST VARS'!$A$70*(0.5*$DV133)</f>
        <v>90.800000000000011</v>
      </c>
      <c r="EA133" s="46">
        <f>'LINEST VARS'!$U$70+'LINEST VARS'!$T$70*(8)+'LINEST VARS'!$S$70*(8)+'LINEST VARS'!$R$70*($EA$128)+'LINEST VARS'!$Q$70*(0.5)+'LINEST VARS'!$P$70*($DV133)+'LINEST VARS'!$O$70*(8^2)+'LINEST VARS'!$N$70*(8^2)+'LINEST VARS'!$M$70*($EA$128^2)+'LINEST VARS'!$L$70*(0.5^2)+'LINEST VARS'!$K$70*($DV133^2)+'LINEST VARS'!$J$70*(8*8)+'LINEST VARS'!$I$70*(8*$EA$128)+'LINEST VARS'!$H$70*(8*0.5)+'LINEST VARS'!$G$70*(8*$DV133)+'LINEST VARS'!$F$70*(8*$EA$128)+'LINEST VARS'!$E$70*(8*0.5)+'LINEST VARS'!$D$70*(8*$DV133)+'LINEST VARS'!$C$70*($EA$128*0.5)+'LINEST VARS'!$B$70*($EA$128*$DV133)+'LINEST VARS'!$A$70*(0.5*$DV133)</f>
        <v>90.40000000000002</v>
      </c>
      <c r="EB133" s="46">
        <f>'LINEST VARS'!$U$70+'LINEST VARS'!$T$70*(8)+'LINEST VARS'!$S$70*(8)+'LINEST VARS'!$R$70*($EB$128)+'LINEST VARS'!$Q$70*(0.5)+'LINEST VARS'!$P$70*($DV133)+'LINEST VARS'!$O$70*(8^2)+'LINEST VARS'!$N$70*(8^2)+'LINEST VARS'!$M$70*($EB$128^2)+'LINEST VARS'!$L$70*(0.5^2)+'LINEST VARS'!$K$70*($DV133^2)+'LINEST VARS'!$J$70*(8*8)+'LINEST VARS'!$I$70*(8*$EB$128)+'LINEST VARS'!$H$70*(8*0.5)+'LINEST VARS'!$G$70*(8*$DV133)+'LINEST VARS'!$F$70*(8*$EB$128)+'LINEST VARS'!$E$70*(8*0.5)+'LINEST VARS'!$D$70*(8*$DV133)+'LINEST VARS'!$C$70*($EB$128*0.5)+'LINEST VARS'!$B$70*($EB$128*$DV133)+'LINEST VARS'!$A$70*(0.5*$DV133)</f>
        <v>90.000000000000014</v>
      </c>
      <c r="EC133" s="46">
        <f>'LINEST VARS'!$U$70+'LINEST VARS'!$T$70*(8)+'LINEST VARS'!$S$70*(8)+'LINEST VARS'!$R$70*($EC$128)+'LINEST VARS'!$Q$70*(0.5)+'LINEST VARS'!$P$70*($DV133)+'LINEST VARS'!$O$70*(8^2)+'LINEST VARS'!$N$70*(8^2)+'LINEST VARS'!$M$70*($EC$128^2)+'LINEST VARS'!$L$70*(0.5^2)+'LINEST VARS'!$K$70*($DV133^2)+'LINEST VARS'!$J$70*(8*8)+'LINEST VARS'!$I$70*(8*$EC$128)+'LINEST VARS'!$H$70*(8*0.5)+'LINEST VARS'!$G$70*(8*$DV133)+'LINEST VARS'!$F$70*(8*$EC$128)+'LINEST VARS'!$E$70*(8*0.5)+'LINEST VARS'!$D$70*(8*$DV133)+'LINEST VARS'!$C$70*($EC$128*0.5)+'LINEST VARS'!$B$70*($EC$128*$DV133)+'LINEST VARS'!$A$70*(0.5*$DV133)</f>
        <v>89.600000000000023</v>
      </c>
      <c r="ED133" s="46">
        <f>'LINEST VARS'!$U$70+'LINEST VARS'!$T$70*(8)+'LINEST VARS'!$S$70*(8)+'LINEST VARS'!$R$70*($ED$128)+'LINEST VARS'!$Q$70*(0.5)+'LINEST VARS'!$P$70*($DV133)+'LINEST VARS'!$O$70*(8^2)+'LINEST VARS'!$N$70*(8^2)+'LINEST VARS'!$M$70*($ED$128^2)+'LINEST VARS'!$L$70*(0.5^2)+'LINEST VARS'!$K$70*($DV133^2)+'LINEST VARS'!$J$70*(8*8)+'LINEST VARS'!$I$70*(8*$ED$128)+'LINEST VARS'!$H$70*(8*0.5)+'LINEST VARS'!$G$70*(8*$DV133)+'LINEST VARS'!$F$70*(8*$ED$128)+'LINEST VARS'!$E$70*(8*0.5)+'LINEST VARS'!$D$70*(8*$DV133)+'LINEST VARS'!$C$70*($ED$128*0.5)+'LINEST VARS'!$B$70*($ED$128*$DV133)+'LINEST VARS'!$A$70*(0.5*$DV133)</f>
        <v>89.200000000000017</v>
      </c>
      <c r="EE133" s="46">
        <f>'LINEST VARS'!$U$70+'LINEST VARS'!$T$70*(8)+'LINEST VARS'!$S$70*(8)+'LINEST VARS'!$R$70*($EE$128)+'LINEST VARS'!$Q$70*(0.5)+'LINEST VARS'!$P$70*($DV133)+'LINEST VARS'!$O$70*(8^2)+'LINEST VARS'!$N$70*(8^2)+'LINEST VARS'!$M$70*($EE$128^2)+'LINEST VARS'!$L$70*(0.5^2)+'LINEST VARS'!$K$70*($DV133^2)+'LINEST VARS'!$J$70*(8*8)+'LINEST VARS'!$I$70*(8*$EE$128)+'LINEST VARS'!$H$70*(8*0.5)+'LINEST VARS'!$G$70*(8*$DV133)+'LINEST VARS'!$F$70*(8*$EE$128)+'LINEST VARS'!$E$70*(8*0.5)+'LINEST VARS'!$D$70*(8*$DV133)+'LINEST VARS'!$C$70*($EE$128*0.5)+'LINEST VARS'!$B$70*($EE$128*$DV133)+'LINEST VARS'!$A$70*(0.5*$DV133)</f>
        <v>88.800000000000026</v>
      </c>
      <c r="EF133" s="46">
        <f>'LINEST VARS'!$U$70+'LINEST VARS'!$T$70*(8)+'LINEST VARS'!$S$70*(8)+'LINEST VARS'!$R$70*($EF$128)+'LINEST VARS'!$Q$70*(0.5)+'LINEST VARS'!$P$70*($DV133)+'LINEST VARS'!$O$70*(8^2)+'LINEST VARS'!$N$70*(8^2)+'LINEST VARS'!$M$70*($EF$128^2)+'LINEST VARS'!$L$70*(0.5^2)+'LINEST VARS'!$K$70*($DV133^2)+'LINEST VARS'!$J$70*(8*8)+'LINEST VARS'!$I$70*(8*$EF$128)+'LINEST VARS'!$H$70*(8*0.5)+'LINEST VARS'!$G$70*(8*$DV133)+'LINEST VARS'!$F$70*(8*$EF$128)+'LINEST VARS'!$E$70*(8*0.5)+'LINEST VARS'!$D$70*(8*$DV133)+'LINEST VARS'!$C$70*($EF$128*0.5)+'LINEST VARS'!$B$70*($EF$128*$DV133)+'LINEST VARS'!$A$70*(0.5*$DV133)</f>
        <v>88.40000000000002</v>
      </c>
      <c r="EG133" s="46">
        <f>'LINEST VARS'!$U$70+'LINEST VARS'!$T$70*(8)+'LINEST VARS'!$S$70*(8)+'LINEST VARS'!$R$70*($EG$128)+'LINEST VARS'!$Q$70*(0.5)+'LINEST VARS'!$P$70*($DV133)+'LINEST VARS'!$O$70*(8^2)+'LINEST VARS'!$N$70*(8^2)+'LINEST VARS'!$M$70*($EG$128^2)+'LINEST VARS'!$L$70*(0.5^2)+'LINEST VARS'!$K$70*($DV133^2)+'LINEST VARS'!$J$70*(8*8)+'LINEST VARS'!$I$70*(8*$EG$128)+'LINEST VARS'!$H$70*(8*0.5)+'LINEST VARS'!$G$70*(8*$DV133)+'LINEST VARS'!$F$70*(8*$EG$128)+'LINEST VARS'!$E$70*(8*0.5)+'LINEST VARS'!$D$70*(8*$DV133)+'LINEST VARS'!$C$70*($EG$128*0.5)+'LINEST VARS'!$B$70*($EG$128*$DV133)+'LINEST VARS'!$A$70*(0.5*$DV133)</f>
        <v>88.000000000000014</v>
      </c>
      <c r="EH133" s="46">
        <f>'LINEST VARS'!$U$70+'LINEST VARS'!$T$70*(8)+'LINEST VARS'!$S$70*(8)+'LINEST VARS'!$R$70*($EH$128)+'LINEST VARS'!$Q$70*(0.5)+'LINEST VARS'!$P$70*($DV133)+'LINEST VARS'!$O$70*(8^2)+'LINEST VARS'!$N$70*(8^2)+'LINEST VARS'!$M$70*($EH$128^2)+'LINEST VARS'!$L$70*(0.5^2)+'LINEST VARS'!$K$70*($DV133^2)+'LINEST VARS'!$J$70*(8*8)+'LINEST VARS'!$I$70*(8*$EH$128)+'LINEST VARS'!$H$70*(8*0.5)+'LINEST VARS'!$G$70*(8*$DV133)+'LINEST VARS'!$F$70*(8*$EH$128)+'LINEST VARS'!$E$70*(8*0.5)+'LINEST VARS'!$D$70*(8*$DV133)+'LINEST VARS'!$C$70*($EH$128*0.5)+'LINEST VARS'!$B$70*($EH$128*$DV133)+'LINEST VARS'!$A$70*(0.5*$DV133)</f>
        <v>87.600000000000023</v>
      </c>
      <c r="EI133" s="46">
        <f>'LINEST VARS'!$U$70+'LINEST VARS'!$T$70*(8)+'LINEST VARS'!$S$70*(8)+'LINEST VARS'!$R$70*($EI$128)+'LINEST VARS'!$Q$70*(0.5)+'LINEST VARS'!$P$70*($DV133)+'LINEST VARS'!$O$70*(8^2)+'LINEST VARS'!$N$70*(8^2)+'LINEST VARS'!$M$70*($EI$128^2)+'LINEST VARS'!$L$70*(0.5^2)+'LINEST VARS'!$K$70*($DV133^2)+'LINEST VARS'!$J$70*(8*8)+'LINEST VARS'!$I$70*(8*$EI$128)+'LINEST VARS'!$H$70*(8*0.5)+'LINEST VARS'!$G$70*(8*$DV133)+'LINEST VARS'!$F$70*(8*$EI$128)+'LINEST VARS'!$E$70*(8*0.5)+'LINEST VARS'!$D$70*(8*$DV133)+'LINEST VARS'!$C$70*($EI$128*0.5)+'LINEST VARS'!$B$70*($EI$128*$DV133)+'LINEST VARS'!$A$70*(0.5*$DV133)</f>
        <v>87.200000000000017</v>
      </c>
      <c r="EJ133" s="46">
        <f>'LINEST VARS'!$U$70+'LINEST VARS'!$T$70*(8)+'LINEST VARS'!$S$70*(8)+'LINEST VARS'!$R$70*($EJ$128)+'LINEST VARS'!$Q$70*(0.5)+'LINEST VARS'!$P$70*($DV133)+'LINEST VARS'!$O$70*(8^2)+'LINEST VARS'!$N$70*(8^2)+'LINEST VARS'!$M$70*($EJ$128^2)+'LINEST VARS'!$L$70*(0.5^2)+'LINEST VARS'!$K$70*($DV133^2)+'LINEST VARS'!$J$70*(8*8)+'LINEST VARS'!$I$70*(8*$EJ$128)+'LINEST VARS'!$H$70*(8*0.5)+'LINEST VARS'!$G$70*(8*$DV133)+'LINEST VARS'!$F$70*(8*$EJ$128)+'LINEST VARS'!$E$70*(8*0.5)+'LINEST VARS'!$D$70*(8*$DV133)+'LINEST VARS'!$C$70*($EJ$128*0.5)+'LINEST VARS'!$B$70*($EJ$128*$DV133)+'LINEST VARS'!$A$70*(0.5*$DV133)</f>
        <v>86.800000000000026</v>
      </c>
      <c r="EK133" s="46">
        <f>'LINEST VARS'!$U$70+'LINEST VARS'!$T$70*(8)+'LINEST VARS'!$S$70*(8)+'LINEST VARS'!$R$70*($EK$128)+'LINEST VARS'!$Q$70*(0.5)+'LINEST VARS'!$P$70*($DV133)+'LINEST VARS'!$O$70*(8^2)+'LINEST VARS'!$N$70*(8^2)+'LINEST VARS'!$M$70*($EK$128^2)+'LINEST VARS'!$L$70*(0.5^2)+'LINEST VARS'!$K$70*($DV133^2)+'LINEST VARS'!$J$70*(8*8)+'LINEST VARS'!$I$70*(8*$EK$128)+'LINEST VARS'!$H$70*(8*0.5)+'LINEST VARS'!$G$70*(8*$DV133)+'LINEST VARS'!$F$70*(8*$EK$128)+'LINEST VARS'!$E$70*(8*0.5)+'LINEST VARS'!$D$70*(8*$DV133)+'LINEST VARS'!$C$70*($EK$128*0.5)+'LINEST VARS'!$B$70*($EK$128*$DV133)+'LINEST VARS'!$A$70*(0.5*$DV133)</f>
        <v>86.40000000000002</v>
      </c>
      <c r="EL133" s="46">
        <f>'LINEST VARS'!$U$70+'LINEST VARS'!$T$70*(8)+'LINEST VARS'!$S$70*(8)+'LINEST VARS'!$R$70*($EL$128)+'LINEST VARS'!$Q$70*(0.5)+'LINEST VARS'!$P$70*($DV133)+'LINEST VARS'!$O$70*(8^2)+'LINEST VARS'!$N$70*(8^2)+'LINEST VARS'!$M$70*($EL$128^2)+'LINEST VARS'!$L$70*(0.5^2)+'LINEST VARS'!$K$70*($DV133^2)+'LINEST VARS'!$J$70*(8*8)+'LINEST VARS'!$I$70*(8*$EL$128)+'LINEST VARS'!$H$70*(8*0.5)+'LINEST VARS'!$G$70*(8*$DV133)+'LINEST VARS'!$F$70*(8*$EL$128)+'LINEST VARS'!$E$70*(8*0.5)+'LINEST VARS'!$D$70*(8*$DV133)+'LINEST VARS'!$C$70*($EL$128*0.5)+'LINEST VARS'!$B$70*($EL$128*$DV133)+'LINEST VARS'!$A$70*(0.5*$DV133)</f>
        <v>86.000000000000014</v>
      </c>
      <c r="EM133" s="46">
        <f>'LINEST VARS'!$U$70+'LINEST VARS'!$T$70*(8)+'LINEST VARS'!$S$70*(8)+'LINEST VARS'!$R$70*($EM$128)+'LINEST VARS'!$Q$70*(0.5)+'LINEST VARS'!$P$70*($DV133)+'LINEST VARS'!$O$70*(8^2)+'LINEST VARS'!$N$70*(8^2)+'LINEST VARS'!$M$70*($EM$128^2)+'LINEST VARS'!$L$70*(0.5^2)+'LINEST VARS'!$K$70*($DV133^2)+'LINEST VARS'!$J$70*(8*8)+'LINEST VARS'!$I$70*(8*$EM$128)+'LINEST VARS'!$H$70*(8*0.5)+'LINEST VARS'!$G$70*(8*$DV133)+'LINEST VARS'!$F$70*(8*$EM$128)+'LINEST VARS'!$E$70*(8*0.5)+'LINEST VARS'!$D$70*(8*$DV133)+'LINEST VARS'!$C$70*($EM$128*0.5)+'LINEST VARS'!$B$70*($EM$128*$DV133)+'LINEST VARS'!$A$70*(0.5*$DV133)</f>
        <v>85.600000000000009</v>
      </c>
      <c r="EN133" s="46">
        <f>'LINEST VARS'!$U$70+'LINEST VARS'!$T$70*(8)+'LINEST VARS'!$S$70*(8)+'LINEST VARS'!$R$70*($EN$128)+'LINEST VARS'!$Q$70*(0.5)+'LINEST VARS'!$P$70*($DV133)+'LINEST VARS'!$O$70*(8^2)+'LINEST VARS'!$N$70*(8^2)+'LINEST VARS'!$M$70*($EN$128^2)+'LINEST VARS'!$L$70*(0.5^2)+'LINEST VARS'!$K$70*($DV133^2)+'LINEST VARS'!$J$70*(8*8)+'LINEST VARS'!$I$70*(8*$EN$128)+'LINEST VARS'!$H$70*(8*0.5)+'LINEST VARS'!$G$70*(8*$DV133)+'LINEST VARS'!$F$70*(8*$EN$128)+'LINEST VARS'!$E$70*(8*0.5)+'LINEST VARS'!$D$70*(8*$DV133)+'LINEST VARS'!$C$70*($EN$128*0.5)+'LINEST VARS'!$B$70*($EN$128*$DV133)+'LINEST VARS'!$A$70*(0.5*$DV133)</f>
        <v>85.200000000000017</v>
      </c>
      <c r="EO133" s="46">
        <f>'LINEST VARS'!$U$70+'LINEST VARS'!$T$70*(8)+'LINEST VARS'!$S$70*(8)+'LINEST VARS'!$R$70*($EO$128)+'LINEST VARS'!$Q$70*(0.5)+'LINEST VARS'!$P$70*($DV133)+'LINEST VARS'!$O$70*(8^2)+'LINEST VARS'!$N$70*(8^2)+'LINEST VARS'!$M$70*($EO$128^2)+'LINEST VARS'!$L$70*(0.5^2)+'LINEST VARS'!$K$70*($DV133^2)+'LINEST VARS'!$J$70*(8*8)+'LINEST VARS'!$I$70*(8*$EO$128)+'LINEST VARS'!$H$70*(8*0.5)+'LINEST VARS'!$G$70*(8*$DV133)+'LINEST VARS'!$F$70*(8*$EO$128)+'LINEST VARS'!$E$70*(8*0.5)+'LINEST VARS'!$D$70*(8*$DV133)+'LINEST VARS'!$C$70*($EO$128*0.5)+'LINEST VARS'!$B$70*($EO$128*$DV133)+'LINEST VARS'!$A$70*(0.5*$DV133)</f>
        <v>84.800000000000011</v>
      </c>
      <c r="EP133" s="46">
        <f>'LINEST VARS'!$U$70+'LINEST VARS'!$T$70*(8)+'LINEST VARS'!$S$70*(8)+'LINEST VARS'!$R$70*($EP$128)+'LINEST VARS'!$Q$70*(0.5)+'LINEST VARS'!$P$70*($DV133)+'LINEST VARS'!$O$70*(8^2)+'LINEST VARS'!$N$70*(8^2)+'LINEST VARS'!$M$70*($EP$128^2)+'LINEST VARS'!$L$70*(0.5^2)+'LINEST VARS'!$K$70*($DV133^2)+'LINEST VARS'!$J$70*(8*8)+'LINEST VARS'!$I$70*(8*$EP$128)+'LINEST VARS'!$H$70*(8*0.5)+'LINEST VARS'!$G$70*(8*$DV133)+'LINEST VARS'!$F$70*(8*$EP$128)+'LINEST VARS'!$E$70*(8*0.5)+'LINEST VARS'!$D$70*(8*$DV133)+'LINEST VARS'!$C$70*($EP$128*0.5)+'LINEST VARS'!$B$70*($EP$128*$DV133)+'LINEST VARS'!$A$70*(0.5*$DV133)</f>
        <v>84.400000000000034</v>
      </c>
      <c r="EQ133" s="47">
        <f>'LINEST VARS'!$U$70+'LINEST VARS'!$T$70*(8)+'LINEST VARS'!$S$70*(8)+'LINEST VARS'!$R$70*($EQ$128)+'LINEST VARS'!$Q$70*(0.5)+'LINEST VARS'!$P$70*($DV133)+'LINEST VARS'!$O$70*(8^2)+'LINEST VARS'!$N$70*(8^2)+'LINEST VARS'!$M$70*($EQ$128^2)+'LINEST VARS'!$L$70*(0.5^2)+'LINEST VARS'!$K$70*($DV133^2)+'LINEST VARS'!$J$70*(8*8)+'LINEST VARS'!$I$70*(8*$EQ$128)+'LINEST VARS'!$H$70*(8*0.5)+'LINEST VARS'!$G$70*(8*$DV133)+'LINEST VARS'!$F$70*(8*$EQ$128)+'LINEST VARS'!$E$70*(8*0.5)+'LINEST VARS'!$D$70*(8*$DV133)+'LINEST VARS'!$C$70*($EQ$128*0.5)+'LINEST VARS'!$B$70*($EQ$128*$DV133)+'LINEST VARS'!$A$70*(0.5*$DV133)</f>
        <v>84.000000000000028</v>
      </c>
    </row>
    <row r="134" spans="2:147" ht="15" customHeight="1" x14ac:dyDescent="0.25">
      <c r="B134" s="45">
        <v>7.7</v>
      </c>
      <c r="C134" s="46">
        <f>'LINEST VARS'!$U$68+'LINEST VARS'!$T$68*($C$128)+'LINEST VARS'!$S$68*($B134)+'LINEST VARS'!$R$68*(4)+'LINEST VARS'!$Q$68*(0.5)+'LINEST VARS'!$P$68*(12.73)+'LINEST VARS'!$O$68*($C$128^2)+'LINEST VARS'!$N$68*($B134^2)+'LINEST VARS'!$M$68*(4^2)+'LINEST VARS'!$L$68*(0.5^2)+'LINEST VARS'!$K$68*(12.73^2)+'LINEST VARS'!$J$68*($C$128*$B134)+'LINEST VARS'!$I$68*($C$128*4)+'LINEST VARS'!$H$68*($C$128*0.5)+'LINEST VARS'!$G$68*($C$128*12.73)+'LINEST VARS'!$F$68*($B134*4)+'LINEST VARS'!$E$68*($B134*0.5)+'LINEST VARS'!$D$68*($B134*12.73)+'LINEST VARS'!$C$68*(4*0.5)+'LINEST VARS'!$B$68*(4*12.73)+'LINEST VARS'!$A$68*(0.5*12.73)</f>
        <v>148.99999999999997</v>
      </c>
      <c r="D134" s="46">
        <f>'LINEST VARS'!$U$68+'LINEST VARS'!$T$68*($D$128)+'LINEST VARS'!$S$68*($B134)+'LINEST VARS'!$R$68*(4)+'LINEST VARS'!$Q$68*(0.5)+'LINEST VARS'!$P$68*(12.73)+'LINEST VARS'!$O$68*($D$128^2)+'LINEST VARS'!$N$68*($B134^2)+'LINEST VARS'!$M$68*(4^2)+'LINEST VARS'!$L$68*(0.5^2)+'LINEST VARS'!$K$68*(12.73^2)+'LINEST VARS'!$J$68*($D$128*$B134)+'LINEST VARS'!$I$68*($D$128*4)+'LINEST VARS'!$H$68*($D$128*0.5)+'LINEST VARS'!$G$68*($D$128*12.73)+'LINEST VARS'!$F$68*($B134*4)+'LINEST VARS'!$E$68*($B134*0.5)+'LINEST VARS'!$D$68*($B134*12.73)+'LINEST VARS'!$C$68*(4*0.5)+'LINEST VARS'!$B$68*(4*12.73)+'LINEST VARS'!$A$68*(0.5*12.73)</f>
        <v>148.99999999999997</v>
      </c>
      <c r="E134" s="46">
        <f>'LINEST VARS'!$U$68+'LINEST VARS'!$T$68*($E$128)+'LINEST VARS'!$S$68*($B134)+'LINEST VARS'!$R$68*(4)+'LINEST VARS'!$Q$68*(0.5)+'LINEST VARS'!$P$68*(12.73)+'LINEST VARS'!$O$68*($E$128^2)+'LINEST VARS'!$N$68*($B134^2)+'LINEST VARS'!$M$68*(4^2)+'LINEST VARS'!$L$68*(0.5^2)+'LINEST VARS'!$K$68*(12.73^2)+'LINEST VARS'!$J$68*($E$128*$B134)+'LINEST VARS'!$I$68*($E$128*4)+'LINEST VARS'!$H$68*($E$128*0.5)+'LINEST VARS'!$G$68*($E$128*12.73)+'LINEST VARS'!$F$68*($B134*4)+'LINEST VARS'!$E$68*($B134*0.5)+'LINEST VARS'!$D$68*($B134*12.73)+'LINEST VARS'!$C$68*(4*0.5)+'LINEST VARS'!$B$68*(4*12.73)+'LINEST VARS'!$A$68*(0.5*12.73)</f>
        <v>148.99999999999997</v>
      </c>
      <c r="F134" s="46">
        <f>'LINEST VARS'!$U$68+'LINEST VARS'!$T$68*($F$128)+'LINEST VARS'!$S$68*($B134)+'LINEST VARS'!$R$68*(4)+'LINEST VARS'!$Q$68*(0.5)+'LINEST VARS'!$P$68*(12.73)+'LINEST VARS'!$O$68*($F$128^2)+'LINEST VARS'!$N$68*($B134^2)+'LINEST VARS'!$M$68*(4^2)+'LINEST VARS'!$L$68*(0.5^2)+'LINEST VARS'!$K$68*(12.73^2)+'LINEST VARS'!$J$68*($F$128*$B134)+'LINEST VARS'!$I$68*($F$128*4)+'LINEST VARS'!$H$68*($F$128*0.5)+'LINEST VARS'!$G$68*($F$128*12.73)+'LINEST VARS'!$F$68*($B134*4)+'LINEST VARS'!$E$68*($B134*0.5)+'LINEST VARS'!$D$68*($B134*12.73)+'LINEST VARS'!$C$68*(4*0.5)+'LINEST VARS'!$B$68*(4*12.73)+'LINEST VARS'!$A$68*(0.5*12.73)</f>
        <v>148.99999999999997</v>
      </c>
      <c r="G134" s="46">
        <f>'LINEST VARS'!$U$68+'LINEST VARS'!$T$68*($G$128)+'LINEST VARS'!$S$68*($B134)+'LINEST VARS'!$R$68*(4)+'LINEST VARS'!$Q$68*(0.5)+'LINEST VARS'!$P$68*(12.73)+'LINEST VARS'!$O$68*($G$128^2)+'LINEST VARS'!$N$68*($B134^2)+'LINEST VARS'!$M$68*(4^2)+'LINEST VARS'!$L$68*(0.5^2)+'LINEST VARS'!$K$68*(12.73^2)+'LINEST VARS'!$J$68*($G$128*$B134)+'LINEST VARS'!$I$68*($G$128*4)+'LINEST VARS'!$H$68*($G$128*0.5)+'LINEST VARS'!$G$68*($G$128*12.73)+'LINEST VARS'!$F$68*($B134*4)+'LINEST VARS'!$E$68*($B134*0.5)+'LINEST VARS'!$D$68*($B134*12.73)+'LINEST VARS'!$C$68*(4*0.5)+'LINEST VARS'!$B$68*(4*12.73)+'LINEST VARS'!$A$68*(0.5*12.73)</f>
        <v>148.99999999999997</v>
      </c>
      <c r="H134" s="46">
        <f>'LINEST VARS'!$U$68+'LINEST VARS'!$T$68*($H$128)+'LINEST VARS'!$S$68*($B134)+'LINEST VARS'!$R$68*(4)+'LINEST VARS'!$Q$68*(0.5)+'LINEST VARS'!$P$68*(12.73)+'LINEST VARS'!$O$68*($H$128^2)+'LINEST VARS'!$N$68*($B134^2)+'LINEST VARS'!$M$68*(4^2)+'LINEST VARS'!$L$68*(0.5^2)+'LINEST VARS'!$K$68*(12.73^2)+'LINEST VARS'!$J$68*($H$128*$B134)+'LINEST VARS'!$I$68*($H$128*4)+'LINEST VARS'!$H$68*($H$128*0.5)+'LINEST VARS'!$G$68*($H$128*12.73)+'LINEST VARS'!$F$68*($B134*4)+'LINEST VARS'!$E$68*($B134*0.5)+'LINEST VARS'!$D$68*($B134*12.73)+'LINEST VARS'!$C$68*(4*0.5)+'LINEST VARS'!$B$68*(4*12.73)+'LINEST VARS'!$A$68*(0.5*12.73)</f>
        <v>148.99999999999997</v>
      </c>
      <c r="I134" s="46">
        <f>'LINEST VARS'!$U$68+'LINEST VARS'!$T$68*($I$128)+'LINEST VARS'!$S$68*($B134)+'LINEST VARS'!$R$68*(4)+'LINEST VARS'!$Q$68*(0.5)+'LINEST VARS'!$P$68*(12.73)+'LINEST VARS'!$O$68*($I$128^2)+'LINEST VARS'!$N$68*($B134^2)+'LINEST VARS'!$M$68*(4^2)+'LINEST VARS'!$L$68*(0.5^2)+'LINEST VARS'!$K$68*(12.73^2)+'LINEST VARS'!$J$68*($I$128*$B134)+'LINEST VARS'!$I$68*($I$128*4)+'LINEST VARS'!$H$68*($I$128*0.5)+'LINEST VARS'!$G$68*($I$128*12.73)+'LINEST VARS'!$F$68*($B134*4)+'LINEST VARS'!$E$68*($B134*0.5)+'LINEST VARS'!$D$68*($B134*12.73)+'LINEST VARS'!$C$68*(4*0.5)+'LINEST VARS'!$B$68*(4*12.73)+'LINEST VARS'!$A$68*(0.5*12.73)</f>
        <v>148.99999999999997</v>
      </c>
      <c r="J134" s="46">
        <f>'LINEST VARS'!$U$68+'LINEST VARS'!$T$68*($J$128)+'LINEST VARS'!$S$68*($B134)+'LINEST VARS'!$R$68*(4)+'LINEST VARS'!$Q$68*(0.5)+'LINEST VARS'!$P$68*(12.73)+'LINEST VARS'!$O$68*($J$128^2)+'LINEST VARS'!$N$68*($B134^2)+'LINEST VARS'!$M$68*(4^2)+'LINEST VARS'!$L$68*(0.5^2)+'LINEST VARS'!$K$68*(12.73^2)+'LINEST VARS'!$J$68*($J$128*$B134)+'LINEST VARS'!$I$68*($J$128*4)+'LINEST VARS'!$H$68*($J$128*0.5)+'LINEST VARS'!$G$68*($J$128*12.73)+'LINEST VARS'!$F$68*($B134*4)+'LINEST VARS'!$E$68*($B134*0.5)+'LINEST VARS'!$D$68*($B134*12.73)+'LINEST VARS'!$C$68*(4*0.5)+'LINEST VARS'!$B$68*(4*12.73)+'LINEST VARS'!$A$68*(0.5*12.73)</f>
        <v>148.99999999999997</v>
      </c>
      <c r="K134" s="46">
        <f>'LINEST VARS'!$U$68+'LINEST VARS'!$T$68*($K$128)+'LINEST VARS'!$S$68*($B134)+'LINEST VARS'!$R$68*(4)+'LINEST VARS'!$Q$68*(0.5)+'LINEST VARS'!$P$68*(12.73)+'LINEST VARS'!$O$68*($K$128^2)+'LINEST VARS'!$N$68*($B134^2)+'LINEST VARS'!$M$68*(4^2)+'LINEST VARS'!$L$68*(0.5^2)+'LINEST VARS'!$K$68*(12.73^2)+'LINEST VARS'!$J$68*($K$128*$B134)+'LINEST VARS'!$I$68*($K$128*4)+'LINEST VARS'!$H$68*($K$128*0.5)+'LINEST VARS'!$G$68*($K$128*12.73)+'LINEST VARS'!$F$68*($B134*4)+'LINEST VARS'!$E$68*($B134*0.5)+'LINEST VARS'!$D$68*($B134*12.73)+'LINEST VARS'!$C$68*(4*0.5)+'LINEST VARS'!$B$68*(4*12.73)+'LINEST VARS'!$A$68*(0.5*12.73)</f>
        <v>148.99999999999997</v>
      </c>
      <c r="L134" s="46">
        <f>'LINEST VARS'!$U$68+'LINEST VARS'!$T$68*($L$128)+'LINEST VARS'!$S$68*($B134)+'LINEST VARS'!$R$68*(4)+'LINEST VARS'!$Q$68*(0.5)+'LINEST VARS'!$P$68*(12.73)+'LINEST VARS'!$O$68*($L$128^2)+'LINEST VARS'!$N$68*($B134^2)+'LINEST VARS'!$M$68*(4^2)+'LINEST VARS'!$L$68*(0.5^2)+'LINEST VARS'!$K$68*(12.73^2)+'LINEST VARS'!$J$68*($L$128*$B134)+'LINEST VARS'!$I$68*($L$128*4)+'LINEST VARS'!$H$68*($L$128*0.5)+'LINEST VARS'!$G$68*($L$128*12.73)+'LINEST VARS'!$F$68*($B134*4)+'LINEST VARS'!$E$68*($B134*0.5)+'LINEST VARS'!$D$68*($B134*12.73)+'LINEST VARS'!$C$68*(4*0.5)+'LINEST VARS'!$B$68*(4*12.73)+'LINEST VARS'!$A$68*(0.5*12.73)</f>
        <v>148.99999999999997</v>
      </c>
      <c r="M134" s="46">
        <f>'LINEST VARS'!$U$68+'LINEST VARS'!$T$68*($M$128)+'LINEST VARS'!$S$68*($B134)+'LINEST VARS'!$R$68*(4)+'LINEST VARS'!$Q$68*(0.5)+'LINEST VARS'!$P$68*(12.73)+'LINEST VARS'!$O$68*($M$128^2)+'LINEST VARS'!$N$68*($B134^2)+'LINEST VARS'!$M$68*(4^2)+'LINEST VARS'!$L$68*(0.5^2)+'LINEST VARS'!$K$68*(12.73^2)+'LINEST VARS'!$J$68*($M$128*$B134)+'LINEST VARS'!$I$68*($M$128*4)+'LINEST VARS'!$H$68*($M$128*0.5)+'LINEST VARS'!$G$68*($M$128*12.73)+'LINEST VARS'!$F$68*($B134*4)+'LINEST VARS'!$E$68*($B134*0.5)+'LINEST VARS'!$D$68*($B134*12.73)+'LINEST VARS'!$C$68*(4*0.5)+'LINEST VARS'!$B$68*(4*12.73)+'LINEST VARS'!$A$68*(0.5*12.73)</f>
        <v>148.99999999999997</v>
      </c>
      <c r="N134" s="46">
        <f>'LINEST VARS'!$U$68+'LINEST VARS'!$T$68*($N$128)+'LINEST VARS'!$S$68*($B134)+'LINEST VARS'!$R$68*(4)+'LINEST VARS'!$Q$68*(0.5)+'LINEST VARS'!$P$68*(12.73)+'LINEST VARS'!$O$68*($N$128^2)+'LINEST VARS'!$N$68*($B134^2)+'LINEST VARS'!$M$68*(4^2)+'LINEST VARS'!$L$68*(0.5^2)+'LINEST VARS'!$K$68*(12.73^2)+'LINEST VARS'!$J$68*($N$128*$B134)+'LINEST VARS'!$I$68*($N$128*4)+'LINEST VARS'!$H$68*($N$128*0.5)+'LINEST VARS'!$G$68*($N$128*12.73)+'LINEST VARS'!$F$68*($B134*4)+'LINEST VARS'!$E$68*($B134*0.5)+'LINEST VARS'!$D$68*($B134*12.73)+'LINEST VARS'!$C$68*(4*0.5)+'LINEST VARS'!$B$68*(4*12.73)+'LINEST VARS'!$A$68*(0.5*12.73)</f>
        <v>148.99999999999997</v>
      </c>
      <c r="O134" s="46">
        <f>'LINEST VARS'!$U$68+'LINEST VARS'!$T$68*($O$128)+'LINEST VARS'!$S$68*($B134)+'LINEST VARS'!$R$68*(4)+'LINEST VARS'!$Q$68*(0.5)+'LINEST VARS'!$P$68*(12.73)+'LINEST VARS'!$O$68*($O$128^2)+'LINEST VARS'!$N$68*($B134^2)+'LINEST VARS'!$M$68*(4^2)+'LINEST VARS'!$L$68*(0.5^2)+'LINEST VARS'!$K$68*(12.73^2)+'LINEST VARS'!$J$68*($O$128*$B134)+'LINEST VARS'!$I$68*($O$128*4)+'LINEST VARS'!$H$68*($O$128*0.5)+'LINEST VARS'!$G$68*($O$128*12.73)+'LINEST VARS'!$F$68*($B134*4)+'LINEST VARS'!$E$68*($B134*0.5)+'LINEST VARS'!$D$68*($B134*12.73)+'LINEST VARS'!$C$68*(4*0.5)+'LINEST VARS'!$B$68*(4*12.73)+'LINEST VARS'!$A$68*(0.5*12.73)</f>
        <v>148.99999999999997</v>
      </c>
      <c r="P134" s="46">
        <f>'LINEST VARS'!$U$68+'LINEST VARS'!$T$68*($P$128)+'LINEST VARS'!$S$68*($B134)+'LINEST VARS'!$R$68*(4)+'LINEST VARS'!$Q$68*(0.5)+'LINEST VARS'!$P$68*(12.73)+'LINEST VARS'!$O$68*($P$128^2)+'LINEST VARS'!$N$68*($B134^2)+'LINEST VARS'!$M$68*(4^2)+'LINEST VARS'!$L$68*(0.5^2)+'LINEST VARS'!$K$68*(12.73^2)+'LINEST VARS'!$J$68*($P$128*$B134)+'LINEST VARS'!$I$68*($P$128*4)+'LINEST VARS'!$H$68*($P$128*0.5)+'LINEST VARS'!$G$68*($P$128*12.73)+'LINEST VARS'!$F$68*($B134*4)+'LINEST VARS'!$E$68*($B134*0.5)+'LINEST VARS'!$D$68*($B134*12.73)+'LINEST VARS'!$C$68*(4*0.5)+'LINEST VARS'!$B$68*(4*12.73)+'LINEST VARS'!$A$68*(0.5*12.73)</f>
        <v>148.99999999999997</v>
      </c>
      <c r="Q134" s="46">
        <f>'LINEST VARS'!$U$68+'LINEST VARS'!$T$68*($Q$128)+'LINEST VARS'!$S$68*($B134)+'LINEST VARS'!$R$68*(4)+'LINEST VARS'!$Q$68*(0.5)+'LINEST VARS'!$P$68*(12.73)+'LINEST VARS'!$O$68*($Q$128^2)+'LINEST VARS'!$N$68*($B134^2)+'LINEST VARS'!$M$68*(4^2)+'LINEST VARS'!$L$68*(0.5^2)+'LINEST VARS'!$K$68*(12.73^2)+'LINEST VARS'!$J$68*($Q$128*$B134)+'LINEST VARS'!$I$68*($Q$128*4)+'LINEST VARS'!$H$68*($Q$128*0.5)+'LINEST VARS'!$G$68*($Q$128*12.73)+'LINEST VARS'!$F$68*($B134*4)+'LINEST VARS'!$E$68*($B134*0.5)+'LINEST VARS'!$D$68*($B134*12.73)+'LINEST VARS'!$C$68*(4*0.5)+'LINEST VARS'!$B$68*(4*12.73)+'LINEST VARS'!$A$68*(0.5*12.73)</f>
        <v>148.99999999999997</v>
      </c>
      <c r="R134" s="46">
        <f>'LINEST VARS'!$U$68+'LINEST VARS'!$T$68*($R$128)+'LINEST VARS'!$S$68*($B134)+'LINEST VARS'!$R$68*(4)+'LINEST VARS'!$Q$68*(0.5)+'LINEST VARS'!$P$68*(12.73)+'LINEST VARS'!$O$68*($R$128^2)+'LINEST VARS'!$N$68*($B134^2)+'LINEST VARS'!$M$68*(4^2)+'LINEST VARS'!$L$68*(0.5^2)+'LINEST VARS'!$K$68*(12.73^2)+'LINEST VARS'!$J$68*($R$128*$B134)+'LINEST VARS'!$I$68*($R$128*4)+'LINEST VARS'!$H$68*($R$128*0.5)+'LINEST VARS'!$G$68*($R$128*12.73)+'LINEST VARS'!$F$68*($B134*4)+'LINEST VARS'!$E$68*($B134*0.5)+'LINEST VARS'!$D$68*($B134*12.73)+'LINEST VARS'!$C$68*(4*0.5)+'LINEST VARS'!$B$68*(4*12.73)+'LINEST VARS'!$A$68*(0.5*12.73)</f>
        <v>148.99999999999997</v>
      </c>
      <c r="S134" s="46">
        <f>'LINEST VARS'!$U$68+'LINEST VARS'!$T$68*($S$128)+'LINEST VARS'!$S$68*($B134)+'LINEST VARS'!$R$68*(4)+'LINEST VARS'!$Q$68*(0.5)+'LINEST VARS'!$P$68*(12.73)+'LINEST VARS'!$O$68*($S$128^2)+'LINEST VARS'!$N$68*($B134^2)+'LINEST VARS'!$M$68*(4^2)+'LINEST VARS'!$L$68*(0.5^2)+'LINEST VARS'!$K$68*(12.73^2)+'LINEST VARS'!$J$68*($S$128*$B134)+'LINEST VARS'!$I$68*($S$128*4)+'LINEST VARS'!$H$68*($S$128*0.5)+'LINEST VARS'!$G$68*($S$128*12.73)+'LINEST VARS'!$F$68*($B134*4)+'LINEST VARS'!$E$68*($B134*0.5)+'LINEST VARS'!$D$68*($B134*12.73)+'LINEST VARS'!$C$68*(4*0.5)+'LINEST VARS'!$B$68*(4*12.73)+'LINEST VARS'!$A$68*(0.5*12.73)</f>
        <v>148.99999999999997</v>
      </c>
      <c r="T134" s="46">
        <f>'LINEST VARS'!$U$68+'LINEST VARS'!$T$68*($T$128)+'LINEST VARS'!$S$68*($B134)+'LINEST VARS'!$R$68*(4)+'LINEST VARS'!$Q$68*(0.5)+'LINEST VARS'!$P$68*(12.73)+'LINEST VARS'!$O$68*($T$128^2)+'LINEST VARS'!$N$68*($B134^2)+'LINEST VARS'!$M$68*(4^2)+'LINEST VARS'!$L$68*(0.5^2)+'LINEST VARS'!$K$68*(12.73^2)+'LINEST VARS'!$J$68*($T$128*$B134)+'LINEST VARS'!$I$68*($T$128*4)+'LINEST VARS'!$H$68*($T$128*0.5)+'LINEST VARS'!$G$68*($T$128*12.73)+'LINEST VARS'!$F$68*($B134*4)+'LINEST VARS'!$E$68*($B134*0.5)+'LINEST VARS'!$D$68*($B134*12.73)+'LINEST VARS'!$C$68*(4*0.5)+'LINEST VARS'!$B$68*(4*12.73)+'LINEST VARS'!$A$68*(0.5*12.73)</f>
        <v>148.99999999999997</v>
      </c>
      <c r="U134" s="46">
        <f>'LINEST VARS'!$U$68+'LINEST VARS'!$T$68*($U$128)+'LINEST VARS'!$S$68*($B134)+'LINEST VARS'!$R$68*(4)+'LINEST VARS'!$Q$68*(0.5)+'LINEST VARS'!$P$68*(12.73)+'LINEST VARS'!$O$68*($U$128^2)+'LINEST VARS'!$N$68*($B134^2)+'LINEST VARS'!$M$68*(4^2)+'LINEST VARS'!$L$68*(0.5^2)+'LINEST VARS'!$K$68*(12.73^2)+'LINEST VARS'!$J$68*($U$128*$B134)+'LINEST VARS'!$I$68*($U$128*4)+'LINEST VARS'!$H$68*($U$128*0.5)+'LINEST VARS'!$G$68*($U$128*12.73)+'LINEST VARS'!$F$68*($B134*4)+'LINEST VARS'!$E$68*($B134*0.5)+'LINEST VARS'!$D$68*($B134*12.73)+'LINEST VARS'!$C$68*(4*0.5)+'LINEST VARS'!$B$68*(4*12.73)+'LINEST VARS'!$A$68*(0.5*12.73)</f>
        <v>148.99999999999997</v>
      </c>
      <c r="V134" s="46">
        <f>'LINEST VARS'!$U$68+'LINEST VARS'!$T$68*($V$128)+'LINEST VARS'!$S$68*($B134)+'LINEST VARS'!$R$68*(4)+'LINEST VARS'!$Q$68*(0.5)+'LINEST VARS'!$P$68*(12.73)+'LINEST VARS'!$O$68*($V$128^2)+'LINEST VARS'!$N$68*($B134^2)+'LINEST VARS'!$M$68*(4^2)+'LINEST VARS'!$L$68*(0.5^2)+'LINEST VARS'!$K$68*(12.73^2)+'LINEST VARS'!$J$68*($V$128*$B134)+'LINEST VARS'!$I$68*($V$128*4)+'LINEST VARS'!$H$68*($V$128*0.5)+'LINEST VARS'!$G$68*($V$128*12.73)+'LINEST VARS'!$F$68*($B134*4)+'LINEST VARS'!$E$68*($B134*0.5)+'LINEST VARS'!$D$68*($B134*12.73)+'LINEST VARS'!$C$68*(4*0.5)+'LINEST VARS'!$B$68*(4*12.73)+'LINEST VARS'!$A$68*(0.5*12.73)</f>
        <v>148.99999999999997</v>
      </c>
      <c r="W134" s="47">
        <f>'LINEST VARS'!$U$68+'LINEST VARS'!$T$68*($W$128)+'LINEST VARS'!$S$68*($B134)+'LINEST VARS'!$R$68*(4)+'LINEST VARS'!$Q$68*(0.5)+'LINEST VARS'!$P$68*(12.73)+'LINEST VARS'!$O$68*($W$128^2)+'LINEST VARS'!$N$68*($B134^2)+'LINEST VARS'!$M$68*(4^2)+'LINEST VARS'!$L$68*(0.5^2)+'LINEST VARS'!$K$68*(12.73^2)+'LINEST VARS'!$J$68*($W$128*$B134)+'LINEST VARS'!$I$68*($W$128*4)+'LINEST VARS'!$H$68*($W$128*0.5)+'LINEST VARS'!$G$68*($W$128*12.73)+'LINEST VARS'!$F$68*($B134*4)+'LINEST VARS'!$E$68*($B134*0.5)+'LINEST VARS'!$D$68*($B134*12.73)+'LINEST VARS'!$C$68*(4*0.5)+'LINEST VARS'!$B$68*(4*12.73)+'LINEST VARS'!$A$68*(0.5*12.73)</f>
        <v>148.99999999999997</v>
      </c>
      <c r="Z134" s="45">
        <v>7.7</v>
      </c>
      <c r="AA134" s="46">
        <f>'LINEST VARS'!$U$70+'LINEST VARS'!$T$70*($AA$128)+'LINEST VARS'!$S$70*($Z134)+'LINEST VARS'!$R$70*(4)+'LINEST VARS'!$Q$70*(0.5)+'LINEST VARS'!$P$70*(12.73)+'LINEST VARS'!$O$70*($AA$128^2)+'LINEST VARS'!$N$70*($Z134^2)+'LINEST VARS'!$M$70*(4^2)+'LINEST VARS'!$L$70*(0.5^2)+'LINEST VARS'!$K$70*(12.73^2)+'LINEST VARS'!$J$70*($AA$128*$Z134)+'LINEST VARS'!$I$70*($AA$128*4)+'LINEST VARS'!$H$70*($AA$128*0.5)+'LINEST VARS'!$G$70*($AA$128*12.73)+'LINEST VARS'!$F$70*($Z134*4)+'LINEST VARS'!$E$70*($Z134*0.5)+'LINEST VARS'!$D$70*($Z134*12.73)+'LINEST VARS'!$C$70*(4*0.5)+'LINEST VARS'!$B$70*(4*12.73)+'LINEST VARS'!$A$70*(0.5*12.73)</f>
        <v>87.550000000000026</v>
      </c>
      <c r="AB134" s="46">
        <f>'LINEST VARS'!$U$70+'LINEST VARS'!$T$70*($AB$128)+'LINEST VARS'!$S$70*($Z134)+'LINEST VARS'!$R$70*(4)+'LINEST VARS'!$Q$70*(0.5)+'LINEST VARS'!$P$70*(12.73)+'LINEST VARS'!$O$70*($AB$128^2)+'LINEST VARS'!$N$70*($Z134^2)+'LINEST VARS'!$M$70*(4^2)+'LINEST VARS'!$L$70*(0.5^2)+'LINEST VARS'!$K$70*(12.73^2)+'LINEST VARS'!$J$70*($AB$128*$Z134)+'LINEST VARS'!$I$70*($AB$128*4)+'LINEST VARS'!$H$70*($AB$128*0.5)+'LINEST VARS'!$G$70*($AB$128*12.73)+'LINEST VARS'!$F$70*($Z134*4)+'LINEST VARS'!$E$70*($Z134*0.5)+'LINEST VARS'!$D$70*($Z134*12.73)+'LINEST VARS'!$C$70*(4*0.5)+'LINEST VARS'!$B$70*(4*12.73)+'LINEST VARS'!$A$70*(0.5*12.73)</f>
        <v>87.550000000000026</v>
      </c>
      <c r="AC134" s="46">
        <f>'LINEST VARS'!$U$70+'LINEST VARS'!$T$70*($AC$128)+'LINEST VARS'!$S$70*($Z134)+'LINEST VARS'!$R$70*(4)+'LINEST VARS'!$Q$70*(0.5)+'LINEST VARS'!$P$70*(12.73)+'LINEST VARS'!$O$70*($AC$128^2)+'LINEST VARS'!$N$70*($Z134^2)+'LINEST VARS'!$M$70*(4^2)+'LINEST VARS'!$L$70*(0.5^2)+'LINEST VARS'!$K$70*(12.73^2)+'LINEST VARS'!$J$70*($AC$128*$Z134)+'LINEST VARS'!$I$70*($AC$128*4)+'LINEST VARS'!$H$70*($AC$128*0.5)+'LINEST VARS'!$G$70*($AC$128*12.73)+'LINEST VARS'!$F$70*($Z134*4)+'LINEST VARS'!$E$70*($Z134*0.5)+'LINEST VARS'!$D$70*($Z134*12.73)+'LINEST VARS'!$C$70*(4*0.5)+'LINEST VARS'!$B$70*(4*12.73)+'LINEST VARS'!$A$70*(0.5*12.73)</f>
        <v>87.550000000000026</v>
      </c>
      <c r="AD134" s="46">
        <f>'LINEST VARS'!$U$70+'LINEST VARS'!$T$70*($AD$128)+'LINEST VARS'!$S$70*($Z134)+'LINEST VARS'!$R$70*(4)+'LINEST VARS'!$Q$70*(0.5)+'LINEST VARS'!$P$70*(12.73)+'LINEST VARS'!$O$70*($AD$128^2)+'LINEST VARS'!$N$70*($Z134^2)+'LINEST VARS'!$M$70*(4^2)+'LINEST VARS'!$L$70*(0.5^2)+'LINEST VARS'!$K$70*(12.73^2)+'LINEST VARS'!$J$70*($AD$128*$Z134)+'LINEST VARS'!$I$70*($AD$128*4)+'LINEST VARS'!$H$70*($AD$128*0.5)+'LINEST VARS'!$G$70*($AD$128*12.73)+'LINEST VARS'!$F$70*($Z134*4)+'LINEST VARS'!$E$70*($Z134*0.5)+'LINEST VARS'!$D$70*($Z134*12.73)+'LINEST VARS'!$C$70*(4*0.5)+'LINEST VARS'!$B$70*(4*12.73)+'LINEST VARS'!$A$70*(0.5*12.73)</f>
        <v>87.550000000000026</v>
      </c>
      <c r="AE134" s="46">
        <f>'LINEST VARS'!$U$70+'LINEST VARS'!$T$70*($AE$128)+'LINEST VARS'!$S$70*($Z134)+'LINEST VARS'!$R$70*(4)+'LINEST VARS'!$Q$70*(0.5)+'LINEST VARS'!$P$70*(12.73)+'LINEST VARS'!$O$70*($AE$128^2)+'LINEST VARS'!$N$70*($Z134^2)+'LINEST VARS'!$M$70*(4^2)+'LINEST VARS'!$L$70*(0.5^2)+'LINEST VARS'!$K$70*(12.73^2)+'LINEST VARS'!$J$70*($AE$128*$Z134)+'LINEST VARS'!$I$70*($AE$128*4)+'LINEST VARS'!$H$70*($AE$128*0.5)+'LINEST VARS'!$G$70*($AE$128*12.73)+'LINEST VARS'!$F$70*($Z134*4)+'LINEST VARS'!$E$70*($Z134*0.5)+'LINEST VARS'!$D$70*($Z134*12.73)+'LINEST VARS'!$C$70*(4*0.5)+'LINEST VARS'!$B$70*(4*12.73)+'LINEST VARS'!$A$70*(0.5*12.73)</f>
        <v>87.550000000000026</v>
      </c>
      <c r="AF134" s="46">
        <f>'LINEST VARS'!$U$70+'LINEST VARS'!$T$70*($AF$128)+'LINEST VARS'!$S$70*($Z134)+'LINEST VARS'!$R$70*(4)+'LINEST VARS'!$Q$70*(0.5)+'LINEST VARS'!$P$70*(12.73)+'LINEST VARS'!$O$70*($AF$128^2)+'LINEST VARS'!$N$70*($Z134^2)+'LINEST VARS'!$M$70*(4^2)+'LINEST VARS'!$L$70*(0.5^2)+'LINEST VARS'!$K$70*(12.73^2)+'LINEST VARS'!$J$70*($AF$128*$Z134)+'LINEST VARS'!$I$70*($AF$128*4)+'LINEST VARS'!$H$70*($AF$128*0.5)+'LINEST VARS'!$G$70*($AF$128*12.73)+'LINEST VARS'!$F$70*($Z134*4)+'LINEST VARS'!$E$70*($Z134*0.5)+'LINEST VARS'!$D$70*($Z134*12.73)+'LINEST VARS'!$C$70*(4*0.5)+'LINEST VARS'!$B$70*(4*12.73)+'LINEST VARS'!$A$70*(0.5*12.73)</f>
        <v>87.550000000000026</v>
      </c>
      <c r="AG134" s="46">
        <f>'LINEST VARS'!$U$70+'LINEST VARS'!$T$70*($AG$128)+'LINEST VARS'!$S$70*($Z134)+'LINEST VARS'!$R$70*(4)+'LINEST VARS'!$Q$70*(0.5)+'LINEST VARS'!$P$70*(12.73)+'LINEST VARS'!$O$70*($AG$128^2)+'LINEST VARS'!$N$70*($Z134^2)+'LINEST VARS'!$M$70*(4^2)+'LINEST VARS'!$L$70*(0.5^2)+'LINEST VARS'!$K$70*(12.73^2)+'LINEST VARS'!$J$70*($AG$128*$Z134)+'LINEST VARS'!$I$70*($AG$128*4)+'LINEST VARS'!$H$70*($AG$128*0.5)+'LINEST VARS'!$G$70*($AG$128*12.73)+'LINEST VARS'!$F$70*($Z134*4)+'LINEST VARS'!$E$70*($Z134*0.5)+'LINEST VARS'!$D$70*($Z134*12.73)+'LINEST VARS'!$C$70*(4*0.5)+'LINEST VARS'!$B$70*(4*12.73)+'LINEST VARS'!$A$70*(0.5*12.73)</f>
        <v>87.550000000000026</v>
      </c>
      <c r="AH134" s="46">
        <f>'LINEST VARS'!$U$70+'LINEST VARS'!$T$70*($AH$128)+'LINEST VARS'!$S$70*($Z134)+'LINEST VARS'!$R$70*(4)+'LINEST VARS'!$Q$70*(0.5)+'LINEST VARS'!$P$70*(12.73)+'LINEST VARS'!$O$70*($AH$128^2)+'LINEST VARS'!$N$70*($Z134^2)+'LINEST VARS'!$M$70*(4^2)+'LINEST VARS'!$L$70*(0.5^2)+'LINEST VARS'!$K$70*(12.73^2)+'LINEST VARS'!$J$70*($AH$128*$Z134)+'LINEST VARS'!$I$70*($AH$128*4)+'LINEST VARS'!$H$70*($AH$128*0.5)+'LINEST VARS'!$G$70*($AH$128*12.73)+'LINEST VARS'!$F$70*($Z134*4)+'LINEST VARS'!$E$70*($Z134*0.5)+'LINEST VARS'!$D$70*($Z134*12.73)+'LINEST VARS'!$C$70*(4*0.5)+'LINEST VARS'!$B$70*(4*12.73)+'LINEST VARS'!$A$70*(0.5*12.73)</f>
        <v>87.550000000000026</v>
      </c>
      <c r="AI134" s="46">
        <f>'LINEST VARS'!$U$70+'LINEST VARS'!$T$70*($AI$128)+'LINEST VARS'!$S$70*($Z134)+'LINEST VARS'!$R$70*(4)+'LINEST VARS'!$Q$70*(0.5)+'LINEST VARS'!$P$70*(12.73)+'LINEST VARS'!$O$70*($AI$128^2)+'LINEST VARS'!$N$70*($Z134^2)+'LINEST VARS'!$M$70*(4^2)+'LINEST VARS'!$L$70*(0.5^2)+'LINEST VARS'!$K$70*(12.73^2)+'LINEST VARS'!$J$70*($AI$128*$Z134)+'LINEST VARS'!$I$70*($AI$128*4)+'LINEST VARS'!$H$70*($AI$128*0.5)+'LINEST VARS'!$G$70*($AI$128*12.73)+'LINEST VARS'!$F$70*($Z134*4)+'LINEST VARS'!$E$70*($Z134*0.5)+'LINEST VARS'!$D$70*($Z134*12.73)+'LINEST VARS'!$C$70*(4*0.5)+'LINEST VARS'!$B$70*(4*12.73)+'LINEST VARS'!$A$70*(0.5*12.73)</f>
        <v>87.550000000000026</v>
      </c>
      <c r="AJ134" s="46">
        <f>'LINEST VARS'!$U$70+'LINEST VARS'!$T$70*($AJ$128)+'LINEST VARS'!$S$70*($Z134)+'LINEST VARS'!$R$70*(4)+'LINEST VARS'!$Q$70*(0.5)+'LINEST VARS'!$P$70*(12.73)+'LINEST VARS'!$O$70*($AJ$128^2)+'LINEST VARS'!$N$70*($Z134^2)+'LINEST VARS'!$M$70*(4^2)+'LINEST VARS'!$L$70*(0.5^2)+'LINEST VARS'!$K$70*(12.73^2)+'LINEST VARS'!$J$70*($AJ$128*$Z134)+'LINEST VARS'!$I$70*($AJ$128*4)+'LINEST VARS'!$H$70*($AJ$128*0.5)+'LINEST VARS'!$G$70*($AJ$128*12.73)+'LINEST VARS'!$F$70*($Z134*4)+'LINEST VARS'!$E$70*($Z134*0.5)+'LINEST VARS'!$D$70*($Z134*12.73)+'LINEST VARS'!$C$70*(4*0.5)+'LINEST VARS'!$B$70*(4*12.73)+'LINEST VARS'!$A$70*(0.5*12.73)</f>
        <v>87.550000000000026</v>
      </c>
      <c r="AK134" s="46">
        <f>'LINEST VARS'!$U$70+'LINEST VARS'!$T$70*($AK$128)+'LINEST VARS'!$S$70*($Z134)+'LINEST VARS'!$R$70*(4)+'LINEST VARS'!$Q$70*(0.5)+'LINEST VARS'!$P$70*(12.73)+'LINEST VARS'!$O$70*($AK$128^2)+'LINEST VARS'!$N$70*($Z134^2)+'LINEST VARS'!$M$70*(4^2)+'LINEST VARS'!$L$70*(0.5^2)+'LINEST VARS'!$K$70*(12.73^2)+'LINEST VARS'!$J$70*($AK$128*$Z134)+'LINEST VARS'!$I$70*($AK$128*4)+'LINEST VARS'!$H$70*($AK$128*0.5)+'LINEST VARS'!$G$70*($AK$128*12.73)+'LINEST VARS'!$F$70*($Z134*4)+'LINEST VARS'!$E$70*($Z134*0.5)+'LINEST VARS'!$D$70*($Z134*12.73)+'LINEST VARS'!$C$70*(4*0.5)+'LINEST VARS'!$B$70*(4*12.73)+'LINEST VARS'!$A$70*(0.5*12.73)</f>
        <v>87.550000000000026</v>
      </c>
      <c r="AL134" s="46">
        <f>'LINEST VARS'!$U$70+'LINEST VARS'!$T$70*($AL$128)+'LINEST VARS'!$S$70*($Z134)+'LINEST VARS'!$R$70*(4)+'LINEST VARS'!$Q$70*(0.5)+'LINEST VARS'!$P$70*(12.73)+'LINEST VARS'!$O$70*($AL$128^2)+'LINEST VARS'!$N$70*($Z134^2)+'LINEST VARS'!$M$70*(4^2)+'LINEST VARS'!$L$70*(0.5^2)+'LINEST VARS'!$K$70*(12.73^2)+'LINEST VARS'!$J$70*($AL$128*$Z134)+'LINEST VARS'!$I$70*($AL$128*4)+'LINEST VARS'!$H$70*($AL$128*0.5)+'LINEST VARS'!$G$70*($AL$128*12.73)+'LINEST VARS'!$F$70*($Z134*4)+'LINEST VARS'!$E$70*($Z134*0.5)+'LINEST VARS'!$D$70*($Z134*12.73)+'LINEST VARS'!$C$70*(4*0.5)+'LINEST VARS'!$B$70*(4*12.73)+'LINEST VARS'!$A$70*(0.5*12.73)</f>
        <v>87.550000000000026</v>
      </c>
      <c r="AM134" s="46">
        <f>'LINEST VARS'!$U$70+'LINEST VARS'!$T$70*($AM$128)+'LINEST VARS'!$S$70*($Z134)+'LINEST VARS'!$R$70*(4)+'LINEST VARS'!$Q$70*(0.5)+'LINEST VARS'!$P$70*(12.73)+'LINEST VARS'!$O$70*($AM$128^2)+'LINEST VARS'!$N$70*($Z134^2)+'LINEST VARS'!$M$70*(4^2)+'LINEST VARS'!$L$70*(0.5^2)+'LINEST VARS'!$K$70*(12.73^2)+'LINEST VARS'!$J$70*($AM$128*$Z134)+'LINEST VARS'!$I$70*($AM$128*4)+'LINEST VARS'!$H$70*($AM$128*0.5)+'LINEST VARS'!$G$70*($AM$128*12.73)+'LINEST VARS'!$F$70*($Z134*4)+'LINEST VARS'!$E$70*($Z134*0.5)+'LINEST VARS'!$D$70*($Z134*12.73)+'LINEST VARS'!$C$70*(4*0.5)+'LINEST VARS'!$B$70*(4*12.73)+'LINEST VARS'!$A$70*(0.5*12.73)</f>
        <v>87.550000000000026</v>
      </c>
      <c r="AN134" s="46">
        <f>'LINEST VARS'!$U$70+'LINEST VARS'!$T$70*($AN$128)+'LINEST VARS'!$S$70*($Z134)+'LINEST VARS'!$R$70*(4)+'LINEST VARS'!$Q$70*(0.5)+'LINEST VARS'!$P$70*(12.73)+'LINEST VARS'!$O$70*($AN$128^2)+'LINEST VARS'!$N$70*($Z134^2)+'LINEST VARS'!$M$70*(4^2)+'LINEST VARS'!$L$70*(0.5^2)+'LINEST VARS'!$K$70*(12.73^2)+'LINEST VARS'!$J$70*($AN$128*$Z134)+'LINEST VARS'!$I$70*($AN$128*4)+'LINEST VARS'!$H$70*($AN$128*0.5)+'LINEST VARS'!$G$70*($AN$128*12.73)+'LINEST VARS'!$F$70*($Z134*4)+'LINEST VARS'!$E$70*($Z134*0.5)+'LINEST VARS'!$D$70*($Z134*12.73)+'LINEST VARS'!$C$70*(4*0.5)+'LINEST VARS'!$B$70*(4*12.73)+'LINEST VARS'!$A$70*(0.5*12.73)</f>
        <v>87.550000000000026</v>
      </c>
      <c r="AO134" s="46">
        <f>'LINEST VARS'!$U$70+'LINEST VARS'!$T$70*($AO$128)+'LINEST VARS'!$S$70*($Z134)+'LINEST VARS'!$R$70*(4)+'LINEST VARS'!$Q$70*(0.5)+'LINEST VARS'!$P$70*(12.73)+'LINEST VARS'!$O$70*($AO$128^2)+'LINEST VARS'!$N$70*($Z134^2)+'LINEST VARS'!$M$70*(4^2)+'LINEST VARS'!$L$70*(0.5^2)+'LINEST VARS'!$K$70*(12.73^2)+'LINEST VARS'!$J$70*($AO$128*$Z134)+'LINEST VARS'!$I$70*($AO$128*4)+'LINEST VARS'!$H$70*($AO$128*0.5)+'LINEST VARS'!$G$70*($AO$128*12.73)+'LINEST VARS'!$F$70*($Z134*4)+'LINEST VARS'!$E$70*($Z134*0.5)+'LINEST VARS'!$D$70*($Z134*12.73)+'LINEST VARS'!$C$70*(4*0.5)+'LINEST VARS'!$B$70*(4*12.73)+'LINEST VARS'!$A$70*(0.5*12.73)</f>
        <v>87.550000000000026</v>
      </c>
      <c r="AP134" s="46">
        <f>'LINEST VARS'!$U$70+'LINEST VARS'!$T$70*($AP$128)+'LINEST VARS'!$S$70*($Z134)+'LINEST VARS'!$R$70*(4)+'LINEST VARS'!$Q$70*(0.5)+'LINEST VARS'!$P$70*(12.73)+'LINEST VARS'!$O$70*($AP$128^2)+'LINEST VARS'!$N$70*($Z134^2)+'LINEST VARS'!$M$70*(4^2)+'LINEST VARS'!$L$70*(0.5^2)+'LINEST VARS'!$K$70*(12.73^2)+'LINEST VARS'!$J$70*($AP$128*$Z134)+'LINEST VARS'!$I$70*($AP$128*4)+'LINEST VARS'!$H$70*($AP$128*0.5)+'LINEST VARS'!$G$70*($AP$128*12.73)+'LINEST VARS'!$F$70*($Z134*4)+'LINEST VARS'!$E$70*($Z134*0.5)+'LINEST VARS'!$D$70*($Z134*12.73)+'LINEST VARS'!$C$70*(4*0.5)+'LINEST VARS'!$B$70*(4*12.73)+'LINEST VARS'!$A$70*(0.5*12.73)</f>
        <v>87.550000000000026</v>
      </c>
      <c r="AQ134" s="46">
        <f>'LINEST VARS'!$U$70+'LINEST VARS'!$T$70*($AQ$128)+'LINEST VARS'!$S$70*($Z134)+'LINEST VARS'!$R$70*(4)+'LINEST VARS'!$Q$70*(0.5)+'LINEST VARS'!$P$70*(12.73)+'LINEST VARS'!$O$70*($AQ$128^2)+'LINEST VARS'!$N$70*($Z134^2)+'LINEST VARS'!$M$70*(4^2)+'LINEST VARS'!$L$70*(0.5^2)+'LINEST VARS'!$K$70*(12.73^2)+'LINEST VARS'!$J$70*($AQ$128*$Z134)+'LINEST VARS'!$I$70*($AQ$128*4)+'LINEST VARS'!$H$70*($AQ$128*0.5)+'LINEST VARS'!$G$70*($AQ$128*12.73)+'LINEST VARS'!$F$70*($Z134*4)+'LINEST VARS'!$E$70*($Z134*0.5)+'LINEST VARS'!$D$70*($Z134*12.73)+'LINEST VARS'!$C$70*(4*0.5)+'LINEST VARS'!$B$70*(4*12.73)+'LINEST VARS'!$A$70*(0.5*12.73)</f>
        <v>87.550000000000026</v>
      </c>
      <c r="AR134" s="46">
        <f>'LINEST VARS'!$U$70+'LINEST VARS'!$T$70*($AR$128)+'LINEST VARS'!$S$70*($Z134)+'LINEST VARS'!$R$70*(4)+'LINEST VARS'!$Q$70*(0.5)+'LINEST VARS'!$P$70*(12.73)+'LINEST VARS'!$O$70*($AR$128^2)+'LINEST VARS'!$N$70*($Z134^2)+'LINEST VARS'!$M$70*(4^2)+'LINEST VARS'!$L$70*(0.5^2)+'LINEST VARS'!$K$70*(12.73^2)+'LINEST VARS'!$J$70*($AR$128*$Z134)+'LINEST VARS'!$I$70*($AR$128*4)+'LINEST VARS'!$H$70*($AR$128*0.5)+'LINEST VARS'!$G$70*($AR$128*12.73)+'LINEST VARS'!$F$70*($Z134*4)+'LINEST VARS'!$E$70*($Z134*0.5)+'LINEST VARS'!$D$70*($Z134*12.73)+'LINEST VARS'!$C$70*(4*0.5)+'LINEST VARS'!$B$70*(4*12.73)+'LINEST VARS'!$A$70*(0.5*12.73)</f>
        <v>87.550000000000026</v>
      </c>
      <c r="AS134" s="46">
        <f>'LINEST VARS'!$U$70+'LINEST VARS'!$T$70*($AS$128)+'LINEST VARS'!$S$70*($Z134)+'LINEST VARS'!$R$70*(4)+'LINEST VARS'!$Q$70*(0.5)+'LINEST VARS'!$P$70*(12.73)+'LINEST VARS'!$O$70*($AS$128^2)+'LINEST VARS'!$N$70*($Z134^2)+'LINEST VARS'!$M$70*(4^2)+'LINEST VARS'!$L$70*(0.5^2)+'LINEST VARS'!$K$70*(12.73^2)+'LINEST VARS'!$J$70*($AS$128*$Z134)+'LINEST VARS'!$I$70*($AS$128*4)+'LINEST VARS'!$H$70*($AS$128*0.5)+'LINEST VARS'!$G$70*($AS$128*12.73)+'LINEST VARS'!$F$70*($Z134*4)+'LINEST VARS'!$E$70*($Z134*0.5)+'LINEST VARS'!$D$70*($Z134*12.73)+'LINEST VARS'!$C$70*(4*0.5)+'LINEST VARS'!$B$70*(4*12.73)+'LINEST VARS'!$A$70*(0.5*12.73)</f>
        <v>87.550000000000026</v>
      </c>
      <c r="AT134" s="46">
        <f>'LINEST VARS'!$U$70+'LINEST VARS'!$T$70*($AT$128)+'LINEST VARS'!$S$70*($Z134)+'LINEST VARS'!$R$70*(4)+'LINEST VARS'!$Q$70*(0.5)+'LINEST VARS'!$P$70*(12.73)+'LINEST VARS'!$O$70*($AT$128^2)+'LINEST VARS'!$N$70*($Z134^2)+'LINEST VARS'!$M$70*(4^2)+'LINEST VARS'!$L$70*(0.5^2)+'LINEST VARS'!$K$70*(12.73^2)+'LINEST VARS'!$J$70*($AT$128*$Z134)+'LINEST VARS'!$I$70*($AT$128*4)+'LINEST VARS'!$H$70*($AT$128*0.5)+'LINEST VARS'!$G$70*($AT$128*12.73)+'LINEST VARS'!$F$70*($Z134*4)+'LINEST VARS'!$E$70*($Z134*0.5)+'LINEST VARS'!$D$70*($Z134*12.73)+'LINEST VARS'!$C$70*(4*0.5)+'LINEST VARS'!$B$70*(4*12.73)+'LINEST VARS'!$A$70*(0.5*12.73)</f>
        <v>87.550000000000026</v>
      </c>
      <c r="AU134" s="47">
        <f>'LINEST VARS'!$U$70+'LINEST VARS'!$T$70*($AU$128)+'LINEST VARS'!$S$70*($Z134)+'LINEST VARS'!$R$70*(4)+'LINEST VARS'!$Q$70*(0.5)+'LINEST VARS'!$P$70*(12.73)+'LINEST VARS'!$O$70*($AU$128^2)+'LINEST VARS'!$N$70*($Z134^2)+'LINEST VARS'!$M$70*(4^2)+'LINEST VARS'!$L$70*(0.5^2)+'LINEST VARS'!$K$70*(12.73^2)+'LINEST VARS'!$J$70*($AU$128*$Z134)+'LINEST VARS'!$I$70*($AU$128*4)+'LINEST VARS'!$H$70*($AU$128*0.5)+'LINEST VARS'!$G$70*($AU$128*12.73)+'LINEST VARS'!$F$70*($Z134*4)+'LINEST VARS'!$E$70*($Z134*0.5)+'LINEST VARS'!$D$70*($Z134*12.73)+'LINEST VARS'!$C$70*(4*0.5)+'LINEST VARS'!$B$70*(4*12.73)+'LINEST VARS'!$A$70*(0.5*12.73)</f>
        <v>87.550000000000026</v>
      </c>
      <c r="AZ134" s="45">
        <v>0.25</v>
      </c>
      <c r="BA134" s="46">
        <f>'LINEST VARS'!$U$68+'LINEST VARS'!$T$68*(8)+'LINEST VARS'!$S$68*(8)+'LINEST VARS'!$R$68*($BA$128)+'LINEST VARS'!$Q$68*($AZ134)+'LINEST VARS'!$P$68*(12.73)+'LINEST VARS'!$O$68*(8^2)+'LINEST VARS'!$N$68*(8^2)+'LINEST VARS'!$M$68*($BA$128^2)+'LINEST VARS'!$L$68*($AZ134^2)+'LINEST VARS'!$K$68*(12.73^2)+'LINEST VARS'!$J$68*(8*8)+'LINEST VARS'!$I$68*(8*$BA$128)+'LINEST VARS'!$H$68*(8*$AZ134)+'LINEST VARS'!$G$68*(8*12.73)+'LINEST VARS'!$F$68*(8*$BA$128)+'LINEST VARS'!$E$68*(8*$AZ134)+'LINEST VARS'!$D$68*(8*12.73)+'LINEST VARS'!$C$68*($BA$128*$AZ134)+'LINEST VARS'!$B$68*($BA$128*12.73)+'LINEST VARS'!$A$68*($AZ134*12.73)</f>
        <v>149.75</v>
      </c>
      <c r="BB134" s="46">
        <f>'LINEST VARS'!$U$68+'LINEST VARS'!$T$68*(8)+'LINEST VARS'!$S$68*(8)+'LINEST VARS'!$R$68*($BB$128)+'LINEST VARS'!$Q$68*($AZ134)+'LINEST VARS'!$P$68*(12.73)+'LINEST VARS'!$O$68*(8^2)+'LINEST VARS'!$N$68*(8^2)+'LINEST VARS'!$M$68*($BB$128^2)+'LINEST VARS'!$L$68*($AZ134^2)+'LINEST VARS'!$K$68*(12.73^2)+'LINEST VARS'!$J$68*(8*8)+'LINEST VARS'!$I$68*(8*$BB$128)+'LINEST VARS'!$H$68*(8*$AZ134)+'LINEST VARS'!$G$68*(8*12.73)+'LINEST VARS'!$F$68*(8*$BB$128)+'LINEST VARS'!$E$68*(8*$AZ134)+'LINEST VARS'!$D$68*(8*12.73)+'LINEST VARS'!$C$68*($BB$128*$AZ134)+'LINEST VARS'!$B$68*($BB$128*12.73)+'LINEST VARS'!$A$68*($AZ134*12.73)</f>
        <v>149.75</v>
      </c>
      <c r="BC134" s="46">
        <f>'LINEST VARS'!$U$68+'LINEST VARS'!$T$68*(8)+'LINEST VARS'!$S$68*(8)+'LINEST VARS'!$R$68*($BC$128)+'LINEST VARS'!$Q$68*($AZ134)+'LINEST VARS'!$P$68*(12.73)+'LINEST VARS'!$O$68*(8^2)+'LINEST VARS'!$N$68*(8^2)+'LINEST VARS'!$M$68*($BC$128^2)+'LINEST VARS'!$L$68*($AZ134^2)+'LINEST VARS'!$K$68*(12.73^2)+'LINEST VARS'!$J$68*(8*8)+'LINEST VARS'!$I$68*(8*$BC$128)+'LINEST VARS'!$H$68*(8*$AZ134)+'LINEST VARS'!$G$68*(8*12.73)+'LINEST VARS'!$F$68*(8*$BC$128)+'LINEST VARS'!$E$68*(8*$AZ134)+'LINEST VARS'!$D$68*(8*12.73)+'LINEST VARS'!$C$68*($BC$128*$AZ134)+'LINEST VARS'!$B$68*($BC$128*12.73)+'LINEST VARS'!$A$68*($AZ134*12.73)</f>
        <v>149.75</v>
      </c>
      <c r="BD134" s="46">
        <f>'LINEST VARS'!$U$68+'LINEST VARS'!$T$68*(8)+'LINEST VARS'!$S$68*(8)+'LINEST VARS'!$R$68*($BD$128)+'LINEST VARS'!$Q$68*($AZ134)+'LINEST VARS'!$P$68*(12.73)+'LINEST VARS'!$O$68*(8^2)+'LINEST VARS'!$N$68*(8^2)+'LINEST VARS'!$M$68*($BD$128^2)+'LINEST VARS'!$L$68*($AZ134^2)+'LINEST VARS'!$K$68*(12.73^2)+'LINEST VARS'!$J$68*(8*8)+'LINEST VARS'!$I$68*(8*$BD$128)+'LINEST VARS'!$H$68*(8*$AZ134)+'LINEST VARS'!$G$68*(8*12.73)+'LINEST VARS'!$F$68*(8*$BD$128)+'LINEST VARS'!$E$68*(8*$AZ134)+'LINEST VARS'!$D$68*(8*12.73)+'LINEST VARS'!$C$68*($BD$128*$AZ134)+'LINEST VARS'!$B$68*($BD$128*12.73)+'LINEST VARS'!$A$68*($AZ134*12.73)</f>
        <v>149.75</v>
      </c>
      <c r="BE134" s="46">
        <f>'LINEST VARS'!$U$68+'LINEST VARS'!$T$68*(8)+'LINEST VARS'!$S$68*(8)+'LINEST VARS'!$R$68*($BE$128)+'LINEST VARS'!$Q$68*($AZ134)+'LINEST VARS'!$P$68*(12.73)+'LINEST VARS'!$O$68*(8^2)+'LINEST VARS'!$N$68*(8^2)+'LINEST VARS'!$M$68*($BE$128^2)+'LINEST VARS'!$L$68*($AZ134^2)+'LINEST VARS'!$K$68*(12.73^2)+'LINEST VARS'!$J$68*(8*8)+'LINEST VARS'!$I$68*(8*$BE$128)+'LINEST VARS'!$H$68*(8*$AZ134)+'LINEST VARS'!$G$68*(8*12.73)+'LINEST VARS'!$F$68*(8*$BE$128)+'LINEST VARS'!$E$68*(8*$AZ134)+'LINEST VARS'!$D$68*(8*12.73)+'LINEST VARS'!$C$68*($BE$128*$AZ134)+'LINEST VARS'!$B$68*($BE$128*12.73)+'LINEST VARS'!$A$68*($AZ134*12.73)</f>
        <v>149.75</v>
      </c>
      <c r="BF134" s="46">
        <f>'LINEST VARS'!$U$68+'LINEST VARS'!$T$68*(8)+'LINEST VARS'!$S$68*(8)+'LINEST VARS'!$R$68*($BF$128)+'LINEST VARS'!$Q$68*($AZ134)+'LINEST VARS'!$P$68*(12.73)+'LINEST VARS'!$O$68*(8^2)+'LINEST VARS'!$N$68*(8^2)+'LINEST VARS'!$M$68*($BF$128^2)+'LINEST VARS'!$L$68*($AZ134^2)+'LINEST VARS'!$K$68*(12.73^2)+'LINEST VARS'!$J$68*(8*8)+'LINEST VARS'!$I$68*(8*$BF$128)+'LINEST VARS'!$H$68*(8*$AZ134)+'LINEST VARS'!$G$68*(8*12.73)+'LINEST VARS'!$F$68*(8*$BF$128)+'LINEST VARS'!$E$68*(8*$AZ134)+'LINEST VARS'!$D$68*(8*12.73)+'LINEST VARS'!$C$68*($BF$128*$AZ134)+'LINEST VARS'!$B$68*($BF$128*12.73)+'LINEST VARS'!$A$68*($AZ134*12.73)</f>
        <v>149.75</v>
      </c>
      <c r="BG134" s="46">
        <f>'LINEST VARS'!$U$68+'LINEST VARS'!$T$68*(8)+'LINEST VARS'!$S$68*(8)+'LINEST VARS'!$R$68*($BG$128)+'LINEST VARS'!$Q$68*($AZ134)+'LINEST VARS'!$P$68*(12.73)+'LINEST VARS'!$O$68*(8^2)+'LINEST VARS'!$N$68*(8^2)+'LINEST VARS'!$M$68*($BG$128^2)+'LINEST VARS'!$L$68*($AZ134^2)+'LINEST VARS'!$K$68*(12.73^2)+'LINEST VARS'!$J$68*(8*8)+'LINEST VARS'!$I$68*(8*$BG$128)+'LINEST VARS'!$H$68*(8*$AZ134)+'LINEST VARS'!$G$68*(8*12.73)+'LINEST VARS'!$F$68*(8*$BG$128)+'LINEST VARS'!$E$68*(8*$AZ134)+'LINEST VARS'!$D$68*(8*12.73)+'LINEST VARS'!$C$68*($BG$128*$AZ134)+'LINEST VARS'!$B$68*($BG$128*12.73)+'LINEST VARS'!$A$68*($AZ134*12.73)</f>
        <v>149.75</v>
      </c>
      <c r="BH134" s="46">
        <f>'LINEST VARS'!$U$68+'LINEST VARS'!$T$68*(8)+'LINEST VARS'!$S$68*(8)+'LINEST VARS'!$R$68*($BH$128)+'LINEST VARS'!$Q$68*($AZ134)+'LINEST VARS'!$P$68*(12.73)+'LINEST VARS'!$O$68*(8^2)+'LINEST VARS'!$N$68*(8^2)+'LINEST VARS'!$M$68*($BH$128^2)+'LINEST VARS'!$L$68*($AZ134^2)+'LINEST VARS'!$K$68*(12.73^2)+'LINEST VARS'!$J$68*(8*8)+'LINEST VARS'!$I$68*(8*$BH$128)+'LINEST VARS'!$H$68*(8*$AZ134)+'LINEST VARS'!$G$68*(8*12.73)+'LINEST VARS'!$F$68*(8*$BH$128)+'LINEST VARS'!$E$68*(8*$AZ134)+'LINEST VARS'!$D$68*(8*12.73)+'LINEST VARS'!$C$68*($BH$128*$AZ134)+'LINEST VARS'!$B$68*($BH$128*12.73)+'LINEST VARS'!$A$68*($AZ134*12.73)</f>
        <v>149.75</v>
      </c>
      <c r="BI134" s="46">
        <f>'LINEST VARS'!$U$68+'LINEST VARS'!$T$68*(8)+'LINEST VARS'!$S$68*(8)+'LINEST VARS'!$R$68*($BI$128)+'LINEST VARS'!$Q$68*($AZ134)+'LINEST VARS'!$P$68*(12.73)+'LINEST VARS'!$O$68*(8^2)+'LINEST VARS'!$N$68*(8^2)+'LINEST VARS'!$M$68*($BI$128^2)+'LINEST VARS'!$L$68*($AZ134^2)+'LINEST VARS'!$K$68*(12.73^2)+'LINEST VARS'!$J$68*(8*8)+'LINEST VARS'!$I$68*(8*$BI$128)+'LINEST VARS'!$H$68*(8*$AZ134)+'LINEST VARS'!$G$68*(8*12.73)+'LINEST VARS'!$F$68*(8*$BI$128)+'LINEST VARS'!$E$68*(8*$AZ134)+'LINEST VARS'!$D$68*(8*12.73)+'LINEST VARS'!$C$68*($BI$128*$AZ134)+'LINEST VARS'!$B$68*($BI$128*12.73)+'LINEST VARS'!$A$68*($AZ134*12.73)</f>
        <v>149.75</v>
      </c>
      <c r="BJ134" s="46">
        <f>'LINEST VARS'!$U$68+'LINEST VARS'!$T$68*(8)+'LINEST VARS'!$S$68*(8)+'LINEST VARS'!$R$68*($BJ$128)+'LINEST VARS'!$Q$68*($AZ134)+'LINEST VARS'!$P$68*(12.73)+'LINEST VARS'!$O$68*(8^2)+'LINEST VARS'!$N$68*(8^2)+'LINEST VARS'!$M$68*($BJ$128^2)+'LINEST VARS'!$L$68*($AZ134^2)+'LINEST VARS'!$K$68*(12.73^2)+'LINEST VARS'!$J$68*(8*8)+'LINEST VARS'!$I$68*(8*$BJ$128)+'LINEST VARS'!$H$68*(8*$AZ134)+'LINEST VARS'!$G$68*(8*12.73)+'LINEST VARS'!$F$68*(8*$BJ$128)+'LINEST VARS'!$E$68*(8*$AZ134)+'LINEST VARS'!$D$68*(8*12.73)+'LINEST VARS'!$C$68*($BJ$128*$AZ134)+'LINEST VARS'!$B$68*($BJ$128*12.73)+'LINEST VARS'!$A$68*($AZ134*12.73)</f>
        <v>149.75</v>
      </c>
      <c r="BK134" s="46">
        <f>'LINEST VARS'!$U$68+'LINEST VARS'!$T$68*(8)+'LINEST VARS'!$S$68*(8)+'LINEST VARS'!$R$68*($BK$128)+'LINEST VARS'!$Q$68*($AZ134)+'LINEST VARS'!$P$68*(12.73)+'LINEST VARS'!$O$68*(8^2)+'LINEST VARS'!$N$68*(8^2)+'LINEST VARS'!$M$68*($BK$128^2)+'LINEST VARS'!$L$68*($AZ134^2)+'LINEST VARS'!$K$68*(12.73^2)+'LINEST VARS'!$J$68*(8*8)+'LINEST VARS'!$I$68*(8*$BK$128)+'LINEST VARS'!$H$68*(8*$AZ134)+'LINEST VARS'!$G$68*(8*12.73)+'LINEST VARS'!$F$68*(8*$BK$128)+'LINEST VARS'!$E$68*(8*$AZ134)+'LINEST VARS'!$D$68*(8*12.73)+'LINEST VARS'!$C$68*($BK$128*$AZ134)+'LINEST VARS'!$B$68*($BK$128*12.73)+'LINEST VARS'!$A$68*($AZ134*12.73)</f>
        <v>149.75</v>
      </c>
      <c r="BL134" s="46">
        <f>'LINEST VARS'!$U$68+'LINEST VARS'!$T$68*(8)+'LINEST VARS'!$S$68*(8)+'LINEST VARS'!$R$68*($BL$128)+'LINEST VARS'!$Q$68*($AZ134)+'LINEST VARS'!$P$68*(12.73)+'LINEST VARS'!$O$68*(8^2)+'LINEST VARS'!$N$68*(8^2)+'LINEST VARS'!$M$68*($BL$128^2)+'LINEST VARS'!$L$68*($AZ134^2)+'LINEST VARS'!$K$68*(12.73^2)+'LINEST VARS'!$J$68*(8*8)+'LINEST VARS'!$I$68*(8*$BL$128)+'LINEST VARS'!$H$68*(8*$AZ134)+'LINEST VARS'!$G$68*(8*12.73)+'LINEST VARS'!$F$68*(8*$BL$128)+'LINEST VARS'!$E$68*(8*$AZ134)+'LINEST VARS'!$D$68*(8*12.73)+'LINEST VARS'!$C$68*($BL$128*$AZ134)+'LINEST VARS'!$B$68*($BL$128*12.73)+'LINEST VARS'!$A$68*($AZ134*12.73)</f>
        <v>149.75</v>
      </c>
      <c r="BM134" s="46">
        <f>'LINEST VARS'!$U$68+'LINEST VARS'!$T$68*(8)+'LINEST VARS'!$S$68*(8)+'LINEST VARS'!$R$68*($BM$128)+'LINEST VARS'!$Q$68*($AZ134)+'LINEST VARS'!$P$68*(12.73)+'LINEST VARS'!$O$68*(8^2)+'LINEST VARS'!$N$68*(8^2)+'LINEST VARS'!$M$68*($BM$128^2)+'LINEST VARS'!$L$68*($AZ134^2)+'LINEST VARS'!$K$68*(12.73^2)+'LINEST VARS'!$J$68*(8*8)+'LINEST VARS'!$I$68*(8*$BM$128)+'LINEST VARS'!$H$68*(8*$AZ134)+'LINEST VARS'!$G$68*(8*12.73)+'LINEST VARS'!$F$68*(8*$BM$128)+'LINEST VARS'!$E$68*(8*$AZ134)+'LINEST VARS'!$D$68*(8*12.73)+'LINEST VARS'!$C$68*($BM$128*$AZ134)+'LINEST VARS'!$B$68*($BM$128*12.73)+'LINEST VARS'!$A$68*($AZ134*12.73)</f>
        <v>149.75</v>
      </c>
      <c r="BN134" s="46">
        <f>'LINEST VARS'!$U$68+'LINEST VARS'!$T$68*(8)+'LINEST VARS'!$S$68*(8)+'LINEST VARS'!$R$68*($BN$128)+'LINEST VARS'!$Q$68*($AZ134)+'LINEST VARS'!$P$68*(12.73)+'LINEST VARS'!$O$68*(8^2)+'LINEST VARS'!$N$68*(8^2)+'LINEST VARS'!$M$68*($BN$128^2)+'LINEST VARS'!$L$68*($AZ134^2)+'LINEST VARS'!$K$68*(12.73^2)+'LINEST VARS'!$J$68*(8*8)+'LINEST VARS'!$I$68*(8*$BN$128)+'LINEST VARS'!$H$68*(8*$AZ134)+'LINEST VARS'!$G$68*(8*12.73)+'LINEST VARS'!$F$68*(8*$BN$128)+'LINEST VARS'!$E$68*(8*$AZ134)+'LINEST VARS'!$D$68*(8*12.73)+'LINEST VARS'!$C$68*($BN$128*$AZ134)+'LINEST VARS'!$B$68*($BN$128*12.73)+'LINEST VARS'!$A$68*($AZ134*12.73)</f>
        <v>149.75</v>
      </c>
      <c r="BO134" s="46">
        <f>'LINEST VARS'!$U$68+'LINEST VARS'!$T$68*(8)+'LINEST VARS'!$S$68*(8)+'LINEST VARS'!$R$68*($BO$128)+'LINEST VARS'!$Q$68*($AZ134)+'LINEST VARS'!$P$68*(12.73)+'LINEST VARS'!$O$68*(8^2)+'LINEST VARS'!$N$68*(8^2)+'LINEST VARS'!$M$68*($BO$128^2)+'LINEST VARS'!$L$68*($AZ134^2)+'LINEST VARS'!$K$68*(12.73^2)+'LINEST VARS'!$J$68*(8*8)+'LINEST VARS'!$I$68*(8*$BO$128)+'LINEST VARS'!$H$68*(8*$AZ134)+'LINEST VARS'!$G$68*(8*12.73)+'LINEST VARS'!$F$68*(8*$BO$128)+'LINEST VARS'!$E$68*(8*$AZ134)+'LINEST VARS'!$D$68*(8*12.73)+'LINEST VARS'!$C$68*($BO$128*$AZ134)+'LINEST VARS'!$B$68*($BO$128*12.73)+'LINEST VARS'!$A$68*($AZ134*12.73)</f>
        <v>149.75</v>
      </c>
      <c r="BP134" s="46">
        <f>'LINEST VARS'!$U$68+'LINEST VARS'!$T$68*(8)+'LINEST VARS'!$S$68*(8)+'LINEST VARS'!$R$68*($BP$128)+'LINEST VARS'!$Q$68*($AZ134)+'LINEST VARS'!$P$68*(12.73)+'LINEST VARS'!$O$68*(8^2)+'LINEST VARS'!$N$68*(8^2)+'LINEST VARS'!$M$68*($BP$128^2)+'LINEST VARS'!$L$68*($AZ134^2)+'LINEST VARS'!$K$68*(12.73^2)+'LINEST VARS'!$J$68*(8*8)+'LINEST VARS'!$I$68*(8*$BP$128)+'LINEST VARS'!$H$68*(8*$AZ134)+'LINEST VARS'!$G$68*(8*12.73)+'LINEST VARS'!$F$68*(8*$BP$128)+'LINEST VARS'!$E$68*(8*$AZ134)+'LINEST VARS'!$D$68*(8*12.73)+'LINEST VARS'!$C$68*($BP$128*$AZ134)+'LINEST VARS'!$B$68*($BP$128*12.73)+'LINEST VARS'!$A$68*($AZ134*12.73)</f>
        <v>149.75</v>
      </c>
      <c r="BQ134" s="46">
        <f>'LINEST VARS'!$U$68+'LINEST VARS'!$T$68*(8)+'LINEST VARS'!$S$68*(8)+'LINEST VARS'!$R$68*($BQ$128)+'LINEST VARS'!$Q$68*($AZ134)+'LINEST VARS'!$P$68*(12.73)+'LINEST VARS'!$O$68*(8^2)+'LINEST VARS'!$N$68*(8^2)+'LINEST VARS'!$M$68*($BQ$128^2)+'LINEST VARS'!$L$68*($AZ134^2)+'LINEST VARS'!$K$68*(12.73^2)+'LINEST VARS'!$J$68*(8*8)+'LINEST VARS'!$I$68*(8*$BQ$128)+'LINEST VARS'!$H$68*(8*$AZ134)+'LINEST VARS'!$G$68*(8*12.73)+'LINEST VARS'!$F$68*(8*$BQ$128)+'LINEST VARS'!$E$68*(8*$AZ134)+'LINEST VARS'!$D$68*(8*12.73)+'LINEST VARS'!$C$68*($BQ$128*$AZ134)+'LINEST VARS'!$B$68*($BQ$128*12.73)+'LINEST VARS'!$A$68*($AZ134*12.73)</f>
        <v>149.75</v>
      </c>
      <c r="BR134" s="46">
        <f>'LINEST VARS'!$U$68+'LINEST VARS'!$T$68*(8)+'LINEST VARS'!$S$68*(8)+'LINEST VARS'!$R$68*($BR$128)+'LINEST VARS'!$Q$68*($AZ134)+'LINEST VARS'!$P$68*(12.73)+'LINEST VARS'!$O$68*(8^2)+'LINEST VARS'!$N$68*(8^2)+'LINEST VARS'!$M$68*($BR$128^2)+'LINEST VARS'!$L$68*($AZ134^2)+'LINEST VARS'!$K$68*(12.73^2)+'LINEST VARS'!$J$68*(8*8)+'LINEST VARS'!$I$68*(8*$BR$128)+'LINEST VARS'!$H$68*(8*$AZ134)+'LINEST VARS'!$G$68*(8*12.73)+'LINEST VARS'!$F$68*(8*$BR$128)+'LINEST VARS'!$E$68*(8*$AZ134)+'LINEST VARS'!$D$68*(8*12.73)+'LINEST VARS'!$C$68*($BR$128*$AZ134)+'LINEST VARS'!$B$68*($BR$128*12.73)+'LINEST VARS'!$A$68*($AZ134*12.73)</f>
        <v>149.75</v>
      </c>
      <c r="BS134" s="46">
        <f>'LINEST VARS'!$U$68+'LINEST VARS'!$T$68*(8)+'LINEST VARS'!$S$68*(8)+'LINEST VARS'!$R$68*($BS$128)+'LINEST VARS'!$Q$68*($AZ134)+'LINEST VARS'!$P$68*(12.73)+'LINEST VARS'!$O$68*(8^2)+'LINEST VARS'!$N$68*(8^2)+'LINEST VARS'!$M$68*($BS$128^2)+'LINEST VARS'!$L$68*($AZ134^2)+'LINEST VARS'!$K$68*(12.73^2)+'LINEST VARS'!$J$68*(8*8)+'LINEST VARS'!$I$68*(8*$BS$128)+'LINEST VARS'!$H$68*(8*$AZ134)+'LINEST VARS'!$G$68*(8*12.73)+'LINEST VARS'!$F$68*(8*$BS$128)+'LINEST VARS'!$E$68*(8*$AZ134)+'LINEST VARS'!$D$68*(8*12.73)+'LINEST VARS'!$C$68*($BS$128*$AZ134)+'LINEST VARS'!$B$68*($BS$128*12.73)+'LINEST VARS'!$A$68*($AZ134*12.73)</f>
        <v>149.75</v>
      </c>
      <c r="BT134" s="46">
        <f>'LINEST VARS'!$U$68+'LINEST VARS'!$T$68*(8)+'LINEST VARS'!$S$68*(8)+'LINEST VARS'!$R$68*($BT$128)+'LINEST VARS'!$Q$68*($AZ134)+'LINEST VARS'!$P$68*(12.73)+'LINEST VARS'!$O$68*(8^2)+'LINEST VARS'!$N$68*(8^2)+'LINEST VARS'!$M$68*($BT$128^2)+'LINEST VARS'!$L$68*($AZ134^2)+'LINEST VARS'!$K$68*(12.73^2)+'LINEST VARS'!$J$68*(8*8)+'LINEST VARS'!$I$68*(8*$BT$128)+'LINEST VARS'!$H$68*(8*$AZ134)+'LINEST VARS'!$G$68*(8*12.73)+'LINEST VARS'!$F$68*(8*$BT$128)+'LINEST VARS'!$E$68*(8*$AZ134)+'LINEST VARS'!$D$68*(8*12.73)+'LINEST VARS'!$C$68*($BT$128*$AZ134)+'LINEST VARS'!$B$68*($BT$128*12.73)+'LINEST VARS'!$A$68*($AZ134*12.73)</f>
        <v>149.75</v>
      </c>
      <c r="BU134" s="47">
        <f>'LINEST VARS'!$U$68+'LINEST VARS'!$T$68*(8)+'LINEST VARS'!$S$68*(8)+'LINEST VARS'!$R$68*($BU$128)+'LINEST VARS'!$Q$68*($AZ134)+'LINEST VARS'!$P$68*(12.73)+'LINEST VARS'!$O$68*(8^2)+'LINEST VARS'!$N$68*(8^2)+'LINEST VARS'!$M$68*($BU$128^2)+'LINEST VARS'!$L$68*($AZ134^2)+'LINEST VARS'!$K$68*(12.73^2)+'LINEST VARS'!$J$68*(8*8)+'LINEST VARS'!$I$68*(8*$BU$128)+'LINEST VARS'!$H$68*(8*$AZ134)+'LINEST VARS'!$G$68*(8*12.73)+'LINEST VARS'!$F$68*(8*$BU$128)+'LINEST VARS'!$E$68*(8*$AZ134)+'LINEST VARS'!$D$68*(8*12.73)+'LINEST VARS'!$C$68*($BU$128*$AZ134)+'LINEST VARS'!$B$68*($BU$128*12.73)+'LINEST VARS'!$A$68*($AZ134*12.73)</f>
        <v>149.75</v>
      </c>
      <c r="BX134" s="45">
        <v>0.25</v>
      </c>
      <c r="BY134" s="46">
        <f>'LINEST VARS'!$U$70+'LINEST VARS'!$T$70*(8)+'LINEST VARS'!$S$70*(8)+'LINEST VARS'!$R$70*($BY$128)+'LINEST VARS'!$Q$70*($BX134)+'LINEST VARS'!$P$70*(12.73)+'LINEST VARS'!$O$70*(8^2)+'LINEST VARS'!$N$70*(8^2)+'LINEST VARS'!$M$70*($BY$128^2)+'LINEST VARS'!$L$70*($BX134^2)+'LINEST VARS'!$K$70*(12.73^2)+'LINEST VARS'!$J$70*(8*8)+'LINEST VARS'!$I$70*(8*$BY$128)+'LINEST VARS'!$H$70*(8*$BX134)+'LINEST VARS'!$G$70*(8*12.73)+'LINEST VARS'!$F$70*(8*$BY$128)+'LINEST VARS'!$E$70*(8*$BX134)+'LINEST VARS'!$D$70*(8*12.73)+'LINEST VARS'!$C$70*($BY$128*$BX134)+'LINEST VARS'!$B$70*($BY$128*12.73)+'LINEST VARS'!$A$70*($BX134*12.73)</f>
        <v>92.000000000000014</v>
      </c>
      <c r="BZ134" s="46">
        <f>'LINEST VARS'!$U$70+'LINEST VARS'!$T$70*(8)+'LINEST VARS'!$S$70*(8)+'LINEST VARS'!$R$70*($BZ$128)+'LINEST VARS'!$Q$70*($BX134)+'LINEST VARS'!$P$70*(12.73)+'LINEST VARS'!$O$70*(8^2)+'LINEST VARS'!$N$70*(8^2)+'LINEST VARS'!$M$70*($BZ$128^2)+'LINEST VARS'!$L$70*($BX134^2)+'LINEST VARS'!$K$70*(12.73^2)+'LINEST VARS'!$J$70*(8*8)+'LINEST VARS'!$I$70*(8*$BZ$128)+'LINEST VARS'!$H$70*(8*$BX134)+'LINEST VARS'!$G$70*(8*12.73)+'LINEST VARS'!$F$70*(8*$BZ$128)+'LINEST VARS'!$E$70*(8*$BX134)+'LINEST VARS'!$D$70*(8*12.73)+'LINEST VARS'!$C$70*($BZ$128*$BX134)+'LINEST VARS'!$B$70*($BZ$128*12.73)+'LINEST VARS'!$A$70*($BX134*12.73)</f>
        <v>91.600000000000009</v>
      </c>
      <c r="CA134" s="46">
        <f>'LINEST VARS'!$U$70+'LINEST VARS'!$T$70*(8)+'LINEST VARS'!$S$70*(8)+'LINEST VARS'!$R$70*($CA$128)+'LINEST VARS'!$Q$70*($BX134)+'LINEST VARS'!$P$70*(12.73)+'LINEST VARS'!$O$70*(8^2)+'LINEST VARS'!$N$70*(8^2)+'LINEST VARS'!$M$70*($CA$128^2)+'LINEST VARS'!$L$70*($BX134^2)+'LINEST VARS'!$K$70*(12.73^2)+'LINEST VARS'!$J$70*(8*8)+'LINEST VARS'!$I$70*(8*$CA$128)+'LINEST VARS'!$H$70*(8*$BX134)+'LINEST VARS'!$G$70*(8*12.73)+'LINEST VARS'!$F$70*(8*$CA$128)+'LINEST VARS'!$E$70*(8*$BX134)+'LINEST VARS'!$D$70*(8*12.73)+'LINEST VARS'!$C$70*($CA$128*$BX134)+'LINEST VARS'!$B$70*($CA$128*12.73)+'LINEST VARS'!$A$70*($BX134*12.73)</f>
        <v>91.200000000000017</v>
      </c>
      <c r="CB134" s="46">
        <f>'LINEST VARS'!$U$70+'LINEST VARS'!$T$70*(8)+'LINEST VARS'!$S$70*(8)+'LINEST VARS'!$R$70*($CB$128)+'LINEST VARS'!$Q$70*($BX134)+'LINEST VARS'!$P$70*(12.73)+'LINEST VARS'!$O$70*(8^2)+'LINEST VARS'!$N$70*(8^2)+'LINEST VARS'!$M$70*($CB$128^2)+'LINEST VARS'!$L$70*($BX134^2)+'LINEST VARS'!$K$70*(12.73^2)+'LINEST VARS'!$J$70*(8*8)+'LINEST VARS'!$I$70*(8*$CB$128)+'LINEST VARS'!$H$70*(8*$BX134)+'LINEST VARS'!$G$70*(8*12.73)+'LINEST VARS'!$F$70*(8*$CB$128)+'LINEST VARS'!$E$70*(8*$BX134)+'LINEST VARS'!$D$70*(8*12.73)+'LINEST VARS'!$C$70*($CB$128*$BX134)+'LINEST VARS'!$B$70*($CB$128*12.73)+'LINEST VARS'!$A$70*($BX134*12.73)</f>
        <v>90.800000000000011</v>
      </c>
      <c r="CC134" s="46">
        <f>'LINEST VARS'!$U$70+'LINEST VARS'!$T$70*(8)+'LINEST VARS'!$S$70*(8)+'LINEST VARS'!$R$70*($CC$128)+'LINEST VARS'!$Q$70*($BX134)+'LINEST VARS'!$P$70*(12.73)+'LINEST VARS'!$O$70*(8^2)+'LINEST VARS'!$N$70*(8^2)+'LINEST VARS'!$M$70*($CC$128^2)+'LINEST VARS'!$L$70*($BX134^2)+'LINEST VARS'!$K$70*(12.73^2)+'LINEST VARS'!$J$70*(8*8)+'LINEST VARS'!$I$70*(8*$CC$128)+'LINEST VARS'!$H$70*(8*$BX134)+'LINEST VARS'!$G$70*(8*12.73)+'LINEST VARS'!$F$70*(8*$CC$128)+'LINEST VARS'!$E$70*(8*$BX134)+'LINEST VARS'!$D$70*(8*12.73)+'LINEST VARS'!$C$70*($CC$128*$BX134)+'LINEST VARS'!$B$70*($CC$128*12.73)+'LINEST VARS'!$A$70*($BX134*12.73)</f>
        <v>90.40000000000002</v>
      </c>
      <c r="CD134" s="46">
        <f>'LINEST VARS'!$U$70+'LINEST VARS'!$T$70*(8)+'LINEST VARS'!$S$70*(8)+'LINEST VARS'!$R$70*($CD$128)+'LINEST VARS'!$Q$70*($BX134)+'LINEST VARS'!$P$70*(12.73)+'LINEST VARS'!$O$70*(8^2)+'LINEST VARS'!$N$70*(8^2)+'LINEST VARS'!$M$70*($CD$128^2)+'LINEST VARS'!$L$70*($BX134^2)+'LINEST VARS'!$K$70*(12.73^2)+'LINEST VARS'!$J$70*(8*8)+'LINEST VARS'!$I$70*(8*$CD$128)+'LINEST VARS'!$H$70*(8*$BX134)+'LINEST VARS'!$G$70*(8*12.73)+'LINEST VARS'!$F$70*(8*$CD$128)+'LINEST VARS'!$E$70*(8*$BX134)+'LINEST VARS'!$D$70*(8*12.73)+'LINEST VARS'!$C$70*($CD$128*$BX134)+'LINEST VARS'!$B$70*($CD$128*12.73)+'LINEST VARS'!$A$70*($BX134*12.73)</f>
        <v>90.000000000000014</v>
      </c>
      <c r="CE134" s="46">
        <f>'LINEST VARS'!$U$70+'LINEST VARS'!$T$70*(8)+'LINEST VARS'!$S$70*(8)+'LINEST VARS'!$R$70*($CE$128)+'LINEST VARS'!$Q$70*($BX134)+'LINEST VARS'!$P$70*(12.73)+'LINEST VARS'!$O$70*(8^2)+'LINEST VARS'!$N$70*(8^2)+'LINEST VARS'!$M$70*($CE$128^2)+'LINEST VARS'!$L$70*($BX134^2)+'LINEST VARS'!$K$70*(12.73^2)+'LINEST VARS'!$J$70*(8*8)+'LINEST VARS'!$I$70*(8*$CE$128)+'LINEST VARS'!$H$70*(8*$BX134)+'LINEST VARS'!$G$70*(8*12.73)+'LINEST VARS'!$F$70*(8*$CE$128)+'LINEST VARS'!$E$70*(8*$BX134)+'LINEST VARS'!$D$70*(8*12.73)+'LINEST VARS'!$C$70*($CE$128*$BX134)+'LINEST VARS'!$B$70*($CE$128*12.73)+'LINEST VARS'!$A$70*($BX134*12.73)</f>
        <v>89.600000000000023</v>
      </c>
      <c r="CF134" s="46">
        <f>'LINEST VARS'!$U$70+'LINEST VARS'!$T$70*(8)+'LINEST VARS'!$S$70*(8)+'LINEST VARS'!$R$70*($CF$128)+'LINEST VARS'!$Q$70*($BX134)+'LINEST VARS'!$P$70*(12.73)+'LINEST VARS'!$O$70*(8^2)+'LINEST VARS'!$N$70*(8^2)+'LINEST VARS'!$M$70*($CF$128^2)+'LINEST VARS'!$L$70*($BX134^2)+'LINEST VARS'!$K$70*(12.73^2)+'LINEST VARS'!$J$70*(8*8)+'LINEST VARS'!$I$70*(8*$CF$128)+'LINEST VARS'!$H$70*(8*$BX134)+'LINEST VARS'!$G$70*(8*12.73)+'LINEST VARS'!$F$70*(8*$CF$128)+'LINEST VARS'!$E$70*(8*$BX134)+'LINEST VARS'!$D$70*(8*12.73)+'LINEST VARS'!$C$70*($CF$128*$BX134)+'LINEST VARS'!$B$70*($CF$128*12.73)+'LINEST VARS'!$A$70*($BX134*12.73)</f>
        <v>89.200000000000017</v>
      </c>
      <c r="CG134" s="46">
        <f>'LINEST VARS'!$U$70+'LINEST VARS'!$T$70*(8)+'LINEST VARS'!$S$70*(8)+'LINEST VARS'!$R$70*($CG$128)+'LINEST VARS'!$Q$70*($BX134)+'LINEST VARS'!$P$70*(12.73)+'LINEST VARS'!$O$70*(8^2)+'LINEST VARS'!$N$70*(8^2)+'LINEST VARS'!$M$70*($CG$128^2)+'LINEST VARS'!$L$70*($BX134^2)+'LINEST VARS'!$K$70*(12.73^2)+'LINEST VARS'!$J$70*(8*8)+'LINEST VARS'!$I$70*(8*$CG$128)+'LINEST VARS'!$H$70*(8*$BX134)+'LINEST VARS'!$G$70*(8*12.73)+'LINEST VARS'!$F$70*(8*$CG$128)+'LINEST VARS'!$E$70*(8*$BX134)+'LINEST VARS'!$D$70*(8*12.73)+'LINEST VARS'!$C$70*($CG$128*$BX134)+'LINEST VARS'!$B$70*($CG$128*12.73)+'LINEST VARS'!$A$70*($BX134*12.73)</f>
        <v>88.800000000000026</v>
      </c>
      <c r="CH134" s="46">
        <f>'LINEST VARS'!$U$70+'LINEST VARS'!$T$70*(8)+'LINEST VARS'!$S$70*(8)+'LINEST VARS'!$R$70*($CH$128)+'LINEST VARS'!$Q$70*($BX134)+'LINEST VARS'!$P$70*(12.73)+'LINEST VARS'!$O$70*(8^2)+'LINEST VARS'!$N$70*(8^2)+'LINEST VARS'!$M$70*($CH$128^2)+'LINEST VARS'!$L$70*($BX134^2)+'LINEST VARS'!$K$70*(12.73^2)+'LINEST VARS'!$J$70*(8*8)+'LINEST VARS'!$I$70*(8*$CH$128)+'LINEST VARS'!$H$70*(8*$BX134)+'LINEST VARS'!$G$70*(8*12.73)+'LINEST VARS'!$F$70*(8*$CH$128)+'LINEST VARS'!$E$70*(8*$BX134)+'LINEST VARS'!$D$70*(8*12.73)+'LINEST VARS'!$C$70*($CH$128*$BX134)+'LINEST VARS'!$B$70*($CH$128*12.73)+'LINEST VARS'!$A$70*($BX134*12.73)</f>
        <v>88.40000000000002</v>
      </c>
      <c r="CI134" s="46">
        <f>'LINEST VARS'!$U$70+'LINEST VARS'!$T$70*(8)+'LINEST VARS'!$S$70*(8)+'LINEST VARS'!$R$70*($CI$128)+'LINEST VARS'!$Q$70*($BX134)+'LINEST VARS'!$P$70*(12.73)+'LINEST VARS'!$O$70*(8^2)+'LINEST VARS'!$N$70*(8^2)+'LINEST VARS'!$M$70*($CI$128^2)+'LINEST VARS'!$L$70*($BX134^2)+'LINEST VARS'!$K$70*(12.73^2)+'LINEST VARS'!$J$70*(8*8)+'LINEST VARS'!$I$70*(8*$CI$128)+'LINEST VARS'!$H$70*(8*$BX134)+'LINEST VARS'!$G$70*(8*12.73)+'LINEST VARS'!$F$70*(8*$CI$128)+'LINEST VARS'!$E$70*(8*$BX134)+'LINEST VARS'!$D$70*(8*12.73)+'LINEST VARS'!$C$70*($CI$128*$BX134)+'LINEST VARS'!$B$70*($CI$128*12.73)+'LINEST VARS'!$A$70*($BX134*12.73)</f>
        <v>88.000000000000014</v>
      </c>
      <c r="CJ134" s="46">
        <f>'LINEST VARS'!$U$70+'LINEST VARS'!$T$70*(8)+'LINEST VARS'!$S$70*(8)+'LINEST VARS'!$R$70*($CJ$128)+'LINEST VARS'!$Q$70*($BX134)+'LINEST VARS'!$P$70*(12.73)+'LINEST VARS'!$O$70*(8^2)+'LINEST VARS'!$N$70*(8^2)+'LINEST VARS'!$M$70*($CJ$128^2)+'LINEST VARS'!$L$70*($BX134^2)+'LINEST VARS'!$K$70*(12.73^2)+'LINEST VARS'!$J$70*(8*8)+'LINEST VARS'!$I$70*(8*$CJ$128)+'LINEST VARS'!$H$70*(8*$BX134)+'LINEST VARS'!$G$70*(8*12.73)+'LINEST VARS'!$F$70*(8*$CJ$128)+'LINEST VARS'!$E$70*(8*$BX134)+'LINEST VARS'!$D$70*(8*12.73)+'LINEST VARS'!$C$70*($CJ$128*$BX134)+'LINEST VARS'!$B$70*($CJ$128*12.73)+'LINEST VARS'!$A$70*($BX134*12.73)</f>
        <v>87.600000000000023</v>
      </c>
      <c r="CK134" s="46">
        <f>'LINEST VARS'!$U$70+'LINEST VARS'!$T$70*(8)+'LINEST VARS'!$S$70*(8)+'LINEST VARS'!$R$70*($CK$128)+'LINEST VARS'!$Q$70*($BX134)+'LINEST VARS'!$P$70*(12.73)+'LINEST VARS'!$O$70*(8^2)+'LINEST VARS'!$N$70*(8^2)+'LINEST VARS'!$M$70*($CK$128^2)+'LINEST VARS'!$L$70*($BX134^2)+'LINEST VARS'!$K$70*(12.73^2)+'LINEST VARS'!$J$70*(8*8)+'LINEST VARS'!$I$70*(8*$CK$128)+'LINEST VARS'!$H$70*(8*$BX134)+'LINEST VARS'!$G$70*(8*12.73)+'LINEST VARS'!$F$70*(8*$CK$128)+'LINEST VARS'!$E$70*(8*$BX134)+'LINEST VARS'!$D$70*(8*12.73)+'LINEST VARS'!$C$70*($CK$128*$BX134)+'LINEST VARS'!$B$70*($CK$128*12.73)+'LINEST VARS'!$A$70*($BX134*12.73)</f>
        <v>87.200000000000017</v>
      </c>
      <c r="CL134" s="46">
        <f>'LINEST VARS'!$U$70+'LINEST VARS'!$T$70*(8)+'LINEST VARS'!$S$70*(8)+'LINEST VARS'!$R$70*($CL$128)+'LINEST VARS'!$Q$70*($BX134)+'LINEST VARS'!$P$70*(12.73)+'LINEST VARS'!$O$70*(8^2)+'LINEST VARS'!$N$70*(8^2)+'LINEST VARS'!$M$70*($CL$128^2)+'LINEST VARS'!$L$70*($BX134^2)+'LINEST VARS'!$K$70*(12.73^2)+'LINEST VARS'!$J$70*(8*8)+'LINEST VARS'!$I$70*(8*$CL$128)+'LINEST VARS'!$H$70*(8*$BX134)+'LINEST VARS'!$G$70*(8*12.73)+'LINEST VARS'!$F$70*(8*$CL$128)+'LINEST VARS'!$E$70*(8*$BX134)+'LINEST VARS'!$D$70*(8*12.73)+'LINEST VARS'!$C$70*($CL$128*$BX134)+'LINEST VARS'!$B$70*($CL$128*12.73)+'LINEST VARS'!$A$70*($BX134*12.73)</f>
        <v>86.800000000000026</v>
      </c>
      <c r="CM134" s="46">
        <f>'LINEST VARS'!$U$70+'LINEST VARS'!$T$70*(8)+'LINEST VARS'!$S$70*(8)+'LINEST VARS'!$R$70*($CM$128)+'LINEST VARS'!$Q$70*($BX134)+'LINEST VARS'!$P$70*(12.73)+'LINEST VARS'!$O$70*(8^2)+'LINEST VARS'!$N$70*(8^2)+'LINEST VARS'!$M$70*($CM$128^2)+'LINEST VARS'!$L$70*($BX134^2)+'LINEST VARS'!$K$70*(12.73^2)+'LINEST VARS'!$J$70*(8*8)+'LINEST VARS'!$I$70*(8*$CM$128)+'LINEST VARS'!$H$70*(8*$BX134)+'LINEST VARS'!$G$70*(8*12.73)+'LINEST VARS'!$F$70*(8*$CM$128)+'LINEST VARS'!$E$70*(8*$BX134)+'LINEST VARS'!$D$70*(8*12.73)+'LINEST VARS'!$C$70*($CM$128*$BX134)+'LINEST VARS'!$B$70*($CM$128*12.73)+'LINEST VARS'!$A$70*($BX134*12.73)</f>
        <v>86.40000000000002</v>
      </c>
      <c r="CN134" s="46">
        <f>'LINEST VARS'!$U$70+'LINEST VARS'!$T$70*(8)+'LINEST VARS'!$S$70*(8)+'LINEST VARS'!$R$70*($CN$128)+'LINEST VARS'!$Q$70*($BX134)+'LINEST VARS'!$P$70*(12.73)+'LINEST VARS'!$O$70*(8^2)+'LINEST VARS'!$N$70*(8^2)+'LINEST VARS'!$M$70*($CN$128^2)+'LINEST VARS'!$L$70*($BX134^2)+'LINEST VARS'!$K$70*(12.73^2)+'LINEST VARS'!$J$70*(8*8)+'LINEST VARS'!$I$70*(8*$CN$128)+'LINEST VARS'!$H$70*(8*$BX134)+'LINEST VARS'!$G$70*(8*12.73)+'LINEST VARS'!$F$70*(8*$CN$128)+'LINEST VARS'!$E$70*(8*$BX134)+'LINEST VARS'!$D$70*(8*12.73)+'LINEST VARS'!$C$70*($CN$128*$BX134)+'LINEST VARS'!$B$70*($CN$128*12.73)+'LINEST VARS'!$A$70*($BX134*12.73)</f>
        <v>86.000000000000014</v>
      </c>
      <c r="CO134" s="46">
        <f>'LINEST VARS'!$U$70+'LINEST VARS'!$T$70*(8)+'LINEST VARS'!$S$70*(8)+'LINEST VARS'!$R$70*($CO$128)+'LINEST VARS'!$Q$70*($BX134)+'LINEST VARS'!$P$70*(12.73)+'LINEST VARS'!$O$70*(8^2)+'LINEST VARS'!$N$70*(8^2)+'LINEST VARS'!$M$70*($CO$128^2)+'LINEST VARS'!$L$70*($BX134^2)+'LINEST VARS'!$K$70*(12.73^2)+'LINEST VARS'!$J$70*(8*8)+'LINEST VARS'!$I$70*(8*$CO$128)+'LINEST VARS'!$H$70*(8*$BX134)+'LINEST VARS'!$G$70*(8*12.73)+'LINEST VARS'!$F$70*(8*$CO$128)+'LINEST VARS'!$E$70*(8*$BX134)+'LINEST VARS'!$D$70*(8*12.73)+'LINEST VARS'!$C$70*($CO$128*$BX134)+'LINEST VARS'!$B$70*($CO$128*12.73)+'LINEST VARS'!$A$70*($BX134*12.73)</f>
        <v>85.600000000000009</v>
      </c>
      <c r="CP134" s="46">
        <f>'LINEST VARS'!$U$70+'LINEST VARS'!$T$70*(8)+'LINEST VARS'!$S$70*(8)+'LINEST VARS'!$R$70*($CP$128)+'LINEST VARS'!$Q$70*($BX134)+'LINEST VARS'!$P$70*(12.73)+'LINEST VARS'!$O$70*(8^2)+'LINEST VARS'!$N$70*(8^2)+'LINEST VARS'!$M$70*($CP$128^2)+'LINEST VARS'!$L$70*($BX134^2)+'LINEST VARS'!$K$70*(12.73^2)+'LINEST VARS'!$J$70*(8*8)+'LINEST VARS'!$I$70*(8*$CP$128)+'LINEST VARS'!$H$70*(8*$BX134)+'LINEST VARS'!$G$70*(8*12.73)+'LINEST VARS'!$F$70*(8*$CP$128)+'LINEST VARS'!$E$70*(8*$BX134)+'LINEST VARS'!$D$70*(8*12.73)+'LINEST VARS'!$C$70*($CP$128*$BX134)+'LINEST VARS'!$B$70*($CP$128*12.73)+'LINEST VARS'!$A$70*($BX134*12.73)</f>
        <v>85.200000000000017</v>
      </c>
      <c r="CQ134" s="46">
        <f>'LINEST VARS'!$U$70+'LINEST VARS'!$T$70*(8)+'LINEST VARS'!$S$70*(8)+'LINEST VARS'!$R$70*($CQ$128)+'LINEST VARS'!$Q$70*($BX134)+'LINEST VARS'!$P$70*(12.73)+'LINEST VARS'!$O$70*(8^2)+'LINEST VARS'!$N$70*(8^2)+'LINEST VARS'!$M$70*($CQ$128^2)+'LINEST VARS'!$L$70*($BX134^2)+'LINEST VARS'!$K$70*(12.73^2)+'LINEST VARS'!$J$70*(8*8)+'LINEST VARS'!$I$70*(8*$CQ$128)+'LINEST VARS'!$H$70*(8*$BX134)+'LINEST VARS'!$G$70*(8*12.73)+'LINEST VARS'!$F$70*(8*$CQ$128)+'LINEST VARS'!$E$70*(8*$BX134)+'LINEST VARS'!$D$70*(8*12.73)+'LINEST VARS'!$C$70*($CQ$128*$BX134)+'LINEST VARS'!$B$70*($CQ$128*12.73)+'LINEST VARS'!$A$70*($BX134*12.73)</f>
        <v>84.800000000000011</v>
      </c>
      <c r="CR134" s="46">
        <f>'LINEST VARS'!$U$70+'LINEST VARS'!$T$70*(8)+'LINEST VARS'!$S$70*(8)+'LINEST VARS'!$R$70*($CR$128)+'LINEST VARS'!$Q$70*($BX134)+'LINEST VARS'!$P$70*(12.73)+'LINEST VARS'!$O$70*(8^2)+'LINEST VARS'!$N$70*(8^2)+'LINEST VARS'!$M$70*($CR$128^2)+'LINEST VARS'!$L$70*($BX134^2)+'LINEST VARS'!$K$70*(12.73^2)+'LINEST VARS'!$J$70*(8*8)+'LINEST VARS'!$I$70*(8*$CR$128)+'LINEST VARS'!$H$70*(8*$BX134)+'LINEST VARS'!$G$70*(8*12.73)+'LINEST VARS'!$F$70*(8*$CR$128)+'LINEST VARS'!$E$70*(8*$BX134)+'LINEST VARS'!$D$70*(8*12.73)+'LINEST VARS'!$C$70*($CR$128*$BX134)+'LINEST VARS'!$B$70*($CR$128*12.73)+'LINEST VARS'!$A$70*($BX134*12.73)</f>
        <v>84.400000000000034</v>
      </c>
      <c r="CS134" s="47">
        <f>'LINEST VARS'!$U$70+'LINEST VARS'!$T$70*(8)+'LINEST VARS'!$S$70*(8)+'LINEST VARS'!$R$70*($CS$128)+'LINEST VARS'!$Q$70*($BX134)+'LINEST VARS'!$P$70*(12.73)+'LINEST VARS'!$O$70*(8^2)+'LINEST VARS'!$N$70*(8^2)+'LINEST VARS'!$M$70*($CS$128^2)+'LINEST VARS'!$L$70*($BX134^2)+'LINEST VARS'!$K$70*(12.73^2)+'LINEST VARS'!$J$70*(8*8)+'LINEST VARS'!$I$70*(8*$CS$128)+'LINEST VARS'!$H$70*(8*$BX134)+'LINEST VARS'!$G$70*(8*12.73)+'LINEST VARS'!$F$70*(8*$CS$128)+'LINEST VARS'!$E$70*(8*$BX134)+'LINEST VARS'!$D$70*(8*12.73)+'LINEST VARS'!$C$70*($CS$128*$BX134)+'LINEST VARS'!$B$70*($CS$128*12.73)+'LINEST VARS'!$A$70*($BX134*12.73)</f>
        <v>84.000000000000028</v>
      </c>
      <c r="CX134" s="45">
        <v>6.4974999999999996</v>
      </c>
      <c r="CY134" s="46">
        <f>'LINEST VARS'!$U$68+'LINEST VARS'!$T$68*(8)+'LINEST VARS'!$S$68*(8)+'LINEST VARS'!$R$68*($CY$128)+'LINEST VARS'!$Q$68*(0.5)+'LINEST VARS'!$P$68*($CX134)+'LINEST VARS'!$O$68*(8^2)+'LINEST VARS'!$N$68*(8^2)+'LINEST VARS'!$M$68*($CY$128^2)+'LINEST VARS'!$L$68*(0.5^2)+'LINEST VARS'!$K$68*($CX134^2)+'LINEST VARS'!$J$68*(8*8)+'LINEST VARS'!$I$68*(8*$CY$128)+'LINEST VARS'!$H$68*(8*0.5)+'LINEST VARS'!$G$68*(8*$CX134)+'LINEST VARS'!$F$68*(8*$CY$128)+'LINEST VARS'!$E$68*(8*0.5)+'LINEST VARS'!$D$68*(8*$CX134)+'LINEST VARS'!$C$68*($CY$128*0.5)+'LINEST VARS'!$B$68*($CY$128*$CX134)+'LINEST VARS'!$A$68*(0.5*$CX134)</f>
        <v>149</v>
      </c>
      <c r="CZ134" s="46">
        <f>'LINEST VARS'!$U$68+'LINEST VARS'!$T$68*(8)+'LINEST VARS'!$S$68*(8)+'LINEST VARS'!$R$68*($CZ$128)+'LINEST VARS'!$Q$68*(0.5)+'LINEST VARS'!$P$68*($CX134)+'LINEST VARS'!$O$68*(8^2)+'LINEST VARS'!$N$68*(8^2)+'LINEST VARS'!$M$68*($CZ$128^2)+'LINEST VARS'!$L$68*(0.5^2)+'LINEST VARS'!$K$68*($CX134^2)+'LINEST VARS'!$J$68*(8*8)+'LINEST VARS'!$I$68*(8*$CZ$128)+'LINEST VARS'!$H$68*(8*0.5)+'LINEST VARS'!$G$68*(8*$CX134)+'LINEST VARS'!$F$68*(8*$CZ$128)+'LINEST VARS'!$E$68*(8*0.5)+'LINEST VARS'!$D$68*(8*$CX134)+'LINEST VARS'!$C$68*($CZ$128*0.5)+'LINEST VARS'!$B$68*($CZ$128*$CX134)+'LINEST VARS'!$A$68*(0.5*$CX134)</f>
        <v>149</v>
      </c>
      <c r="DA134" s="46">
        <f>'LINEST VARS'!$U$68+'LINEST VARS'!$T$68*(8)+'LINEST VARS'!$S$68*(8)+'LINEST VARS'!$R$68*($DA$128)+'LINEST VARS'!$Q$68*(0.5)+'LINEST VARS'!$P$68*($CX134)+'LINEST VARS'!$O$68*(8^2)+'LINEST VARS'!$N$68*(8^2)+'LINEST VARS'!$M$68*($DA$128^2)+'LINEST VARS'!$L$68*(0.5^2)+'LINEST VARS'!$K$68*($CX134^2)+'LINEST VARS'!$J$68*(8*8)+'LINEST VARS'!$I$68*(8*$DA$128)+'LINEST VARS'!$H$68*(8*0.5)+'LINEST VARS'!$G$68*(8*$CX134)+'LINEST VARS'!$F$68*(8*$DA$128)+'LINEST VARS'!$E$68*(8*0.5)+'LINEST VARS'!$D$68*(8*$CX134)+'LINEST VARS'!$C$68*($DA$128*0.5)+'LINEST VARS'!$B$68*($DA$128*$CX134)+'LINEST VARS'!$A$68*(0.5*$CX134)</f>
        <v>149</v>
      </c>
      <c r="DB134" s="46">
        <f>'LINEST VARS'!$U$68+'LINEST VARS'!$T$68*(8)+'LINEST VARS'!$S$68*(8)+'LINEST VARS'!$R$68*($DB$128)+'LINEST VARS'!$Q$68*(0.5)+'LINEST VARS'!$P$68*($CX134)+'LINEST VARS'!$O$68*(8^2)+'LINEST VARS'!$N$68*(8^2)+'LINEST VARS'!$M$68*($DB$128^2)+'LINEST VARS'!$L$68*(0.5^2)+'LINEST VARS'!$K$68*($CX134^2)+'LINEST VARS'!$J$68*(8*8)+'LINEST VARS'!$I$68*(8*$DB$128)+'LINEST VARS'!$H$68*(8*0.5)+'LINEST VARS'!$G$68*(8*$CX134)+'LINEST VARS'!$F$68*(8*$DB$128)+'LINEST VARS'!$E$68*(8*0.5)+'LINEST VARS'!$D$68*(8*$CX134)+'LINEST VARS'!$C$68*($DB$128*0.5)+'LINEST VARS'!$B$68*($DB$128*$CX134)+'LINEST VARS'!$A$68*(0.5*$CX134)</f>
        <v>149</v>
      </c>
      <c r="DC134" s="46">
        <f>'LINEST VARS'!$U$68+'LINEST VARS'!$T$68*(8)+'LINEST VARS'!$S$68*(8)+'LINEST VARS'!$R$68*($DC$128)+'LINEST VARS'!$Q$68*(0.5)+'LINEST VARS'!$P$68*($CX134)+'LINEST VARS'!$O$68*(8^2)+'LINEST VARS'!$N$68*(8^2)+'LINEST VARS'!$M$68*($DC$128^2)+'LINEST VARS'!$L$68*(0.5^2)+'LINEST VARS'!$K$68*($CX134^2)+'LINEST VARS'!$J$68*(8*8)+'LINEST VARS'!$I$68*(8*$DC$128)+'LINEST VARS'!$H$68*(8*0.5)+'LINEST VARS'!$G$68*(8*$CX134)+'LINEST VARS'!$F$68*(8*$DC$128)+'LINEST VARS'!$E$68*(8*0.5)+'LINEST VARS'!$D$68*(8*$CX134)+'LINEST VARS'!$C$68*($DC$128*0.5)+'LINEST VARS'!$B$68*($DC$128*$CX134)+'LINEST VARS'!$A$68*(0.5*$CX134)</f>
        <v>149</v>
      </c>
      <c r="DD134" s="46">
        <f>'LINEST VARS'!$U$68+'LINEST VARS'!$T$68*(8)+'LINEST VARS'!$S$68*(8)+'LINEST VARS'!$R$68*($DD$128)+'LINEST VARS'!$Q$68*(0.5)+'LINEST VARS'!$P$68*($CX134)+'LINEST VARS'!$O$68*(8^2)+'LINEST VARS'!$N$68*(8^2)+'LINEST VARS'!$M$68*($DD$128^2)+'LINEST VARS'!$L$68*(0.5^2)+'LINEST VARS'!$K$68*($CX134^2)+'LINEST VARS'!$J$68*(8*8)+'LINEST VARS'!$I$68*(8*$DD$128)+'LINEST VARS'!$H$68*(8*0.5)+'LINEST VARS'!$G$68*(8*$CX134)+'LINEST VARS'!$F$68*(8*$DD$128)+'LINEST VARS'!$E$68*(8*0.5)+'LINEST VARS'!$D$68*(8*$CX134)+'LINEST VARS'!$C$68*($DD$128*0.5)+'LINEST VARS'!$B$68*($DD$128*$CX134)+'LINEST VARS'!$A$68*(0.5*$CX134)</f>
        <v>149</v>
      </c>
      <c r="DE134" s="46">
        <f>'LINEST VARS'!$U$68+'LINEST VARS'!$T$68*(8)+'LINEST VARS'!$S$68*(8)+'LINEST VARS'!$R$68*($DE$128)+'LINEST VARS'!$Q$68*(0.5)+'LINEST VARS'!$P$68*($CX134)+'LINEST VARS'!$O$68*(8^2)+'LINEST VARS'!$N$68*(8^2)+'LINEST VARS'!$M$68*($DE$128^2)+'LINEST VARS'!$L$68*(0.5^2)+'LINEST VARS'!$K$68*($CX134^2)+'LINEST VARS'!$J$68*(8*8)+'LINEST VARS'!$I$68*(8*$DE$128)+'LINEST VARS'!$H$68*(8*0.5)+'LINEST VARS'!$G$68*(8*$CX134)+'LINEST VARS'!$F$68*(8*$DE$128)+'LINEST VARS'!$E$68*(8*0.5)+'LINEST VARS'!$D$68*(8*$CX134)+'LINEST VARS'!$C$68*($DE$128*0.5)+'LINEST VARS'!$B$68*($DE$128*$CX134)+'LINEST VARS'!$A$68*(0.5*$CX134)</f>
        <v>149</v>
      </c>
      <c r="DF134" s="46">
        <f>'LINEST VARS'!$U$68+'LINEST VARS'!$T$68*(8)+'LINEST VARS'!$S$68*(8)+'LINEST VARS'!$R$68*($DF$128)+'LINEST VARS'!$Q$68*(0.5)+'LINEST VARS'!$P$68*($CX134)+'LINEST VARS'!$O$68*(8^2)+'LINEST VARS'!$N$68*(8^2)+'LINEST VARS'!$M$68*($DF$128^2)+'LINEST VARS'!$L$68*(0.5^2)+'LINEST VARS'!$K$68*($CX134^2)+'LINEST VARS'!$J$68*(8*8)+'LINEST VARS'!$I$68*(8*$DF$128)+'LINEST VARS'!$H$68*(8*0.5)+'LINEST VARS'!$G$68*(8*$CX134)+'LINEST VARS'!$F$68*(8*$DF$128)+'LINEST VARS'!$E$68*(8*0.5)+'LINEST VARS'!$D$68*(8*$CX134)+'LINEST VARS'!$C$68*($DF$128*0.5)+'LINEST VARS'!$B$68*($DF$128*$CX134)+'LINEST VARS'!$A$68*(0.5*$CX134)</f>
        <v>149</v>
      </c>
      <c r="DG134" s="46">
        <f>'LINEST VARS'!$U$68+'LINEST VARS'!$T$68*(8)+'LINEST VARS'!$S$68*(8)+'LINEST VARS'!$R$68*($DG$128)+'LINEST VARS'!$Q$68*(0.5)+'LINEST VARS'!$P$68*($CX134)+'LINEST VARS'!$O$68*(8^2)+'LINEST VARS'!$N$68*(8^2)+'LINEST VARS'!$M$68*($DG$128^2)+'LINEST VARS'!$L$68*(0.5^2)+'LINEST VARS'!$K$68*($CX134^2)+'LINEST VARS'!$J$68*(8*8)+'LINEST VARS'!$I$68*(8*$DG$128)+'LINEST VARS'!$H$68*(8*0.5)+'LINEST VARS'!$G$68*(8*$CX134)+'LINEST VARS'!$F$68*(8*$DG$128)+'LINEST VARS'!$E$68*(8*0.5)+'LINEST VARS'!$D$68*(8*$CX134)+'LINEST VARS'!$C$68*($DG$128*0.5)+'LINEST VARS'!$B$68*($DG$128*$CX134)+'LINEST VARS'!$A$68*(0.5*$CX134)</f>
        <v>149</v>
      </c>
      <c r="DH134" s="46">
        <f>'LINEST VARS'!$U$68+'LINEST VARS'!$T$68*(8)+'LINEST VARS'!$S$68*(8)+'LINEST VARS'!$R$68*($DH$128)+'LINEST VARS'!$Q$68*(0.5)+'LINEST VARS'!$P$68*($CX134)+'LINEST VARS'!$O$68*(8^2)+'LINEST VARS'!$N$68*(8^2)+'LINEST VARS'!$M$68*($DH$128^2)+'LINEST VARS'!$L$68*(0.5^2)+'LINEST VARS'!$K$68*($CX134^2)+'LINEST VARS'!$J$68*(8*8)+'LINEST VARS'!$I$68*(8*$DH$128)+'LINEST VARS'!$H$68*(8*0.5)+'LINEST VARS'!$G$68*(8*$CX134)+'LINEST VARS'!$F$68*(8*$DH$128)+'LINEST VARS'!$E$68*(8*0.5)+'LINEST VARS'!$D$68*(8*$CX134)+'LINEST VARS'!$C$68*($DH$128*0.5)+'LINEST VARS'!$B$68*($DH$128*$CX134)+'LINEST VARS'!$A$68*(0.5*$CX134)</f>
        <v>149</v>
      </c>
      <c r="DI134" s="46">
        <f>'LINEST VARS'!$U$68+'LINEST VARS'!$T$68*(8)+'LINEST VARS'!$S$68*(8)+'LINEST VARS'!$R$68*($DI$128)+'LINEST VARS'!$Q$68*(0.5)+'LINEST VARS'!$P$68*($CX134)+'LINEST VARS'!$O$68*(8^2)+'LINEST VARS'!$N$68*(8^2)+'LINEST VARS'!$M$68*($DI$128^2)+'LINEST VARS'!$L$68*(0.5^2)+'LINEST VARS'!$K$68*($CX134^2)+'LINEST VARS'!$J$68*(8*8)+'LINEST VARS'!$I$68*(8*$DI$128)+'LINEST VARS'!$H$68*(8*0.5)+'LINEST VARS'!$G$68*(8*$CX134)+'LINEST VARS'!$F$68*(8*$DI$128)+'LINEST VARS'!$E$68*(8*0.5)+'LINEST VARS'!$D$68*(8*$CX134)+'LINEST VARS'!$C$68*($DI$128*0.5)+'LINEST VARS'!$B$68*($DI$128*$CX134)+'LINEST VARS'!$A$68*(0.5*$CX134)</f>
        <v>149</v>
      </c>
      <c r="DJ134" s="46">
        <f>'LINEST VARS'!$U$68+'LINEST VARS'!$T$68*(8)+'LINEST VARS'!$S$68*(8)+'LINEST VARS'!$R$68*($DJ$128)+'LINEST VARS'!$Q$68*(0.5)+'LINEST VARS'!$P$68*($CX134)+'LINEST VARS'!$O$68*(8^2)+'LINEST VARS'!$N$68*(8^2)+'LINEST VARS'!$M$68*($DJ$128^2)+'LINEST VARS'!$L$68*(0.5^2)+'LINEST VARS'!$K$68*($CX134^2)+'LINEST VARS'!$J$68*(8*8)+'LINEST VARS'!$I$68*(8*$DJ$128)+'LINEST VARS'!$H$68*(8*0.5)+'LINEST VARS'!$G$68*(8*$CX134)+'LINEST VARS'!$F$68*(8*$DJ$128)+'LINEST VARS'!$E$68*(8*0.5)+'LINEST VARS'!$D$68*(8*$CX134)+'LINEST VARS'!$C$68*($DJ$128*0.5)+'LINEST VARS'!$B$68*($DJ$128*$CX134)+'LINEST VARS'!$A$68*(0.5*$CX134)</f>
        <v>149</v>
      </c>
      <c r="DK134" s="46">
        <f>'LINEST VARS'!$U$68+'LINEST VARS'!$T$68*(8)+'LINEST VARS'!$S$68*(8)+'LINEST VARS'!$R$68*($DK$128)+'LINEST VARS'!$Q$68*(0.5)+'LINEST VARS'!$P$68*($CX134)+'LINEST VARS'!$O$68*(8^2)+'LINEST VARS'!$N$68*(8^2)+'LINEST VARS'!$M$68*($DK$128^2)+'LINEST VARS'!$L$68*(0.5^2)+'LINEST VARS'!$K$68*($CX134^2)+'LINEST VARS'!$J$68*(8*8)+'LINEST VARS'!$I$68*(8*$DK$128)+'LINEST VARS'!$H$68*(8*0.5)+'LINEST VARS'!$G$68*(8*$CX134)+'LINEST VARS'!$F$68*(8*$DK$128)+'LINEST VARS'!$E$68*(8*0.5)+'LINEST VARS'!$D$68*(8*$CX134)+'LINEST VARS'!$C$68*($DK$128*0.5)+'LINEST VARS'!$B$68*($DK$128*$CX134)+'LINEST VARS'!$A$68*(0.5*$CX134)</f>
        <v>149</v>
      </c>
      <c r="DL134" s="46">
        <f>'LINEST VARS'!$U$68+'LINEST VARS'!$T$68*(8)+'LINEST VARS'!$S$68*(8)+'LINEST VARS'!$R$68*($DL$128)+'LINEST VARS'!$Q$68*(0.5)+'LINEST VARS'!$P$68*($CX134)+'LINEST VARS'!$O$68*(8^2)+'LINEST VARS'!$N$68*(8^2)+'LINEST VARS'!$M$68*($DL$128^2)+'LINEST VARS'!$L$68*(0.5^2)+'LINEST VARS'!$K$68*($CX134^2)+'LINEST VARS'!$J$68*(8*8)+'LINEST VARS'!$I$68*(8*$DL$128)+'LINEST VARS'!$H$68*(8*0.5)+'LINEST VARS'!$G$68*(8*$CX134)+'LINEST VARS'!$F$68*(8*$DL$128)+'LINEST VARS'!$E$68*(8*0.5)+'LINEST VARS'!$D$68*(8*$CX134)+'LINEST VARS'!$C$68*($DL$128*0.5)+'LINEST VARS'!$B$68*($DL$128*$CX134)+'LINEST VARS'!$A$68*(0.5*$CX134)</f>
        <v>149</v>
      </c>
      <c r="DM134" s="46">
        <f>'LINEST VARS'!$U$68+'LINEST VARS'!$T$68*(8)+'LINEST VARS'!$S$68*(8)+'LINEST VARS'!$R$68*($DM$128)+'LINEST VARS'!$Q$68*(0.5)+'LINEST VARS'!$P$68*($CX134)+'LINEST VARS'!$O$68*(8^2)+'LINEST VARS'!$N$68*(8^2)+'LINEST VARS'!$M$68*($DM$128^2)+'LINEST VARS'!$L$68*(0.5^2)+'LINEST VARS'!$K$68*($CX134^2)+'LINEST VARS'!$J$68*(8*8)+'LINEST VARS'!$I$68*(8*$DM$128)+'LINEST VARS'!$H$68*(8*0.5)+'LINEST VARS'!$G$68*(8*$CX134)+'LINEST VARS'!$F$68*(8*$DM$128)+'LINEST VARS'!$E$68*(8*0.5)+'LINEST VARS'!$D$68*(8*$CX134)+'LINEST VARS'!$C$68*($DM$128*0.5)+'LINEST VARS'!$B$68*($DM$128*$CX134)+'LINEST VARS'!$A$68*(0.5*$CX134)</f>
        <v>149</v>
      </c>
      <c r="DN134" s="46">
        <f>'LINEST VARS'!$U$68+'LINEST VARS'!$T$68*(8)+'LINEST VARS'!$S$68*(8)+'LINEST VARS'!$R$68*($DN$128)+'LINEST VARS'!$Q$68*(0.5)+'LINEST VARS'!$P$68*($CX134)+'LINEST VARS'!$O$68*(8^2)+'LINEST VARS'!$N$68*(8^2)+'LINEST VARS'!$M$68*($DN$128^2)+'LINEST VARS'!$L$68*(0.5^2)+'LINEST VARS'!$K$68*($CX134^2)+'LINEST VARS'!$J$68*(8*8)+'LINEST VARS'!$I$68*(8*$DN$128)+'LINEST VARS'!$H$68*(8*0.5)+'LINEST VARS'!$G$68*(8*$CX134)+'LINEST VARS'!$F$68*(8*$DN$128)+'LINEST VARS'!$E$68*(8*0.5)+'LINEST VARS'!$D$68*(8*$CX134)+'LINEST VARS'!$C$68*($DN$128*0.5)+'LINEST VARS'!$B$68*($DN$128*$CX134)+'LINEST VARS'!$A$68*(0.5*$CX134)</f>
        <v>149</v>
      </c>
      <c r="DO134" s="46">
        <f>'LINEST VARS'!$U$68+'LINEST VARS'!$T$68*(8)+'LINEST VARS'!$S$68*(8)+'LINEST VARS'!$R$68*($DO$128)+'LINEST VARS'!$Q$68*(0.5)+'LINEST VARS'!$P$68*($CX134)+'LINEST VARS'!$O$68*(8^2)+'LINEST VARS'!$N$68*(8^2)+'LINEST VARS'!$M$68*($DO$128^2)+'LINEST VARS'!$L$68*(0.5^2)+'LINEST VARS'!$K$68*($CX134^2)+'LINEST VARS'!$J$68*(8*8)+'LINEST VARS'!$I$68*(8*$DO$128)+'LINEST VARS'!$H$68*(8*0.5)+'LINEST VARS'!$G$68*(8*$CX134)+'LINEST VARS'!$F$68*(8*$DO$128)+'LINEST VARS'!$E$68*(8*0.5)+'LINEST VARS'!$D$68*(8*$CX134)+'LINEST VARS'!$C$68*($DO$128*0.5)+'LINEST VARS'!$B$68*($DO$128*$CX134)+'LINEST VARS'!$A$68*(0.5*$CX134)</f>
        <v>149</v>
      </c>
      <c r="DP134" s="46">
        <f>'LINEST VARS'!$U$68+'LINEST VARS'!$T$68*(8)+'LINEST VARS'!$S$68*(8)+'LINEST VARS'!$R$68*($DP$128)+'LINEST VARS'!$Q$68*(0.5)+'LINEST VARS'!$P$68*($CX134)+'LINEST VARS'!$O$68*(8^2)+'LINEST VARS'!$N$68*(8^2)+'LINEST VARS'!$M$68*($DP$128^2)+'LINEST VARS'!$L$68*(0.5^2)+'LINEST VARS'!$K$68*($CX134^2)+'LINEST VARS'!$J$68*(8*8)+'LINEST VARS'!$I$68*(8*$DP$128)+'LINEST VARS'!$H$68*(8*0.5)+'LINEST VARS'!$G$68*(8*$CX134)+'LINEST VARS'!$F$68*(8*$DP$128)+'LINEST VARS'!$E$68*(8*0.5)+'LINEST VARS'!$D$68*(8*$CX134)+'LINEST VARS'!$C$68*($DP$128*0.5)+'LINEST VARS'!$B$68*($DP$128*$CX134)+'LINEST VARS'!$A$68*(0.5*$CX134)</f>
        <v>149</v>
      </c>
      <c r="DQ134" s="46">
        <f>'LINEST VARS'!$U$68+'LINEST VARS'!$T$68*(8)+'LINEST VARS'!$S$68*(8)+'LINEST VARS'!$R$68*($DQ$128)+'LINEST VARS'!$Q$68*(0.5)+'LINEST VARS'!$P$68*($CX134)+'LINEST VARS'!$O$68*(8^2)+'LINEST VARS'!$N$68*(8^2)+'LINEST VARS'!$M$68*($DQ$128^2)+'LINEST VARS'!$L$68*(0.5^2)+'LINEST VARS'!$K$68*($CX134^2)+'LINEST VARS'!$J$68*(8*8)+'LINEST VARS'!$I$68*(8*$DQ$128)+'LINEST VARS'!$H$68*(8*0.5)+'LINEST VARS'!$G$68*(8*$CX134)+'LINEST VARS'!$F$68*(8*$DQ$128)+'LINEST VARS'!$E$68*(8*0.5)+'LINEST VARS'!$D$68*(8*$CX134)+'LINEST VARS'!$C$68*($DQ$128*0.5)+'LINEST VARS'!$B$68*($DQ$128*$CX134)+'LINEST VARS'!$A$68*(0.5*$CX134)</f>
        <v>149</v>
      </c>
      <c r="DR134" s="46">
        <f>'LINEST VARS'!$U$68+'LINEST VARS'!$T$68*(8)+'LINEST VARS'!$S$68*(8)+'LINEST VARS'!$R$68*($DR$128)+'LINEST VARS'!$Q$68*(0.5)+'LINEST VARS'!$P$68*($CX134)+'LINEST VARS'!$O$68*(8^2)+'LINEST VARS'!$N$68*(8^2)+'LINEST VARS'!$M$68*($DR$128^2)+'LINEST VARS'!$L$68*(0.5^2)+'LINEST VARS'!$K$68*($CX134^2)+'LINEST VARS'!$J$68*(8*8)+'LINEST VARS'!$I$68*(8*$DR$128)+'LINEST VARS'!$H$68*(8*0.5)+'LINEST VARS'!$G$68*(8*$CX134)+'LINEST VARS'!$F$68*(8*$DR$128)+'LINEST VARS'!$E$68*(8*0.5)+'LINEST VARS'!$D$68*(8*$CX134)+'LINEST VARS'!$C$68*($DR$128*0.5)+'LINEST VARS'!$B$68*($DR$128*$CX134)+'LINEST VARS'!$A$68*(0.5*$CX134)</f>
        <v>149</v>
      </c>
      <c r="DS134" s="47">
        <f>'LINEST VARS'!$U$68+'LINEST VARS'!$T$68*(8)+'LINEST VARS'!$S$68*(8)+'LINEST VARS'!$R$68*($DS$128)+'LINEST VARS'!$Q$68*(0.5)+'LINEST VARS'!$P$68*($CX134)+'LINEST VARS'!$O$68*(8^2)+'LINEST VARS'!$N$68*(8^2)+'LINEST VARS'!$M$68*($DS$128^2)+'LINEST VARS'!$L$68*(0.5^2)+'LINEST VARS'!$K$68*($CX134^2)+'LINEST VARS'!$J$68*(8*8)+'LINEST VARS'!$I$68*(8*$DS$128)+'LINEST VARS'!$H$68*(8*0.5)+'LINEST VARS'!$G$68*(8*$CX134)+'LINEST VARS'!$F$68*(8*$DS$128)+'LINEST VARS'!$E$68*(8*0.5)+'LINEST VARS'!$D$68*(8*$CX134)+'LINEST VARS'!$C$68*($DS$128*0.5)+'LINEST VARS'!$B$68*($DS$128*$CX134)+'LINEST VARS'!$A$68*(0.5*$CX134)</f>
        <v>149</v>
      </c>
      <c r="DV134" s="45">
        <v>6.4974999999999996</v>
      </c>
      <c r="DW134" s="46">
        <f>'LINEST VARS'!$U$70+'LINEST VARS'!$T$70*(8)+'LINEST VARS'!$S$70*(8)+'LINEST VARS'!$R$70*($DW$128)+'LINEST VARS'!$Q$70*(0.5)+'LINEST VARS'!$P$70*($DV134)+'LINEST VARS'!$O$70*(8^2)+'LINEST VARS'!$N$70*(8^2)+'LINEST VARS'!$M$70*($DW$128^2)+'LINEST VARS'!$L$70*(0.5^2)+'LINEST VARS'!$K$70*($DV134^2)+'LINEST VARS'!$J$70*(8*8)+'LINEST VARS'!$I$70*(8*$DW$128)+'LINEST VARS'!$H$70*(8*0.5)+'LINEST VARS'!$G$70*(8*$DV134)+'LINEST VARS'!$F$70*(8*$DW$128)+'LINEST VARS'!$E$70*(8*0.5)+'LINEST VARS'!$D$70*(8*$DV134)+'LINEST VARS'!$C$70*($DW$128*0.5)+'LINEST VARS'!$B$70*($DW$128*$DV134)+'LINEST VARS'!$A$70*(0.5*$DV134)</f>
        <v>92.000000000000014</v>
      </c>
      <c r="DX134" s="46">
        <f>'LINEST VARS'!$U$70+'LINEST VARS'!$T$70*(8)+'LINEST VARS'!$S$70*(8)+'LINEST VARS'!$R$70*($DX$128)+'LINEST VARS'!$Q$70*(0.5)+'LINEST VARS'!$P$70*($DV134)+'LINEST VARS'!$O$70*(8^2)+'LINEST VARS'!$N$70*(8^2)+'LINEST VARS'!$M$70*($DX$128^2)+'LINEST VARS'!$L$70*(0.5^2)+'LINEST VARS'!$K$70*($DV134^2)+'LINEST VARS'!$J$70*(8*8)+'LINEST VARS'!$I$70*(8*$DX$128)+'LINEST VARS'!$H$70*(8*0.5)+'LINEST VARS'!$G$70*(8*$DV134)+'LINEST VARS'!$F$70*(8*$DX$128)+'LINEST VARS'!$E$70*(8*0.5)+'LINEST VARS'!$D$70*(8*$DV134)+'LINEST VARS'!$C$70*($DX$128*0.5)+'LINEST VARS'!$B$70*($DX$128*$DV134)+'LINEST VARS'!$A$70*(0.5*$DV134)</f>
        <v>91.600000000000009</v>
      </c>
      <c r="DY134" s="46">
        <f>'LINEST VARS'!$U$70+'LINEST VARS'!$T$70*(8)+'LINEST VARS'!$S$70*(8)+'LINEST VARS'!$R$70*($DY$128)+'LINEST VARS'!$Q$70*(0.5)+'LINEST VARS'!$P$70*($DV134)+'LINEST VARS'!$O$70*(8^2)+'LINEST VARS'!$N$70*(8^2)+'LINEST VARS'!$M$70*($DY$128^2)+'LINEST VARS'!$L$70*(0.5^2)+'LINEST VARS'!$K$70*($DV134^2)+'LINEST VARS'!$J$70*(8*8)+'LINEST VARS'!$I$70*(8*$DY$128)+'LINEST VARS'!$H$70*(8*0.5)+'LINEST VARS'!$G$70*(8*$DV134)+'LINEST VARS'!$F$70*(8*$DY$128)+'LINEST VARS'!$E$70*(8*0.5)+'LINEST VARS'!$D$70*(8*$DV134)+'LINEST VARS'!$C$70*($DY$128*0.5)+'LINEST VARS'!$B$70*($DY$128*$DV134)+'LINEST VARS'!$A$70*(0.5*$DV134)</f>
        <v>91.200000000000017</v>
      </c>
      <c r="DZ134" s="46">
        <f>'LINEST VARS'!$U$70+'LINEST VARS'!$T$70*(8)+'LINEST VARS'!$S$70*(8)+'LINEST VARS'!$R$70*($DZ$128)+'LINEST VARS'!$Q$70*(0.5)+'LINEST VARS'!$P$70*($DV134)+'LINEST VARS'!$O$70*(8^2)+'LINEST VARS'!$N$70*(8^2)+'LINEST VARS'!$M$70*($DZ$128^2)+'LINEST VARS'!$L$70*(0.5^2)+'LINEST VARS'!$K$70*($DV134^2)+'LINEST VARS'!$J$70*(8*8)+'LINEST VARS'!$I$70*(8*$DZ$128)+'LINEST VARS'!$H$70*(8*0.5)+'LINEST VARS'!$G$70*(8*$DV134)+'LINEST VARS'!$F$70*(8*$DZ$128)+'LINEST VARS'!$E$70*(8*0.5)+'LINEST VARS'!$D$70*(8*$DV134)+'LINEST VARS'!$C$70*($DZ$128*0.5)+'LINEST VARS'!$B$70*($DZ$128*$DV134)+'LINEST VARS'!$A$70*(0.5*$DV134)</f>
        <v>90.800000000000011</v>
      </c>
      <c r="EA134" s="46">
        <f>'LINEST VARS'!$U$70+'LINEST VARS'!$T$70*(8)+'LINEST VARS'!$S$70*(8)+'LINEST VARS'!$R$70*($EA$128)+'LINEST VARS'!$Q$70*(0.5)+'LINEST VARS'!$P$70*($DV134)+'LINEST VARS'!$O$70*(8^2)+'LINEST VARS'!$N$70*(8^2)+'LINEST VARS'!$M$70*($EA$128^2)+'LINEST VARS'!$L$70*(0.5^2)+'LINEST VARS'!$K$70*($DV134^2)+'LINEST VARS'!$J$70*(8*8)+'LINEST VARS'!$I$70*(8*$EA$128)+'LINEST VARS'!$H$70*(8*0.5)+'LINEST VARS'!$G$70*(8*$DV134)+'LINEST VARS'!$F$70*(8*$EA$128)+'LINEST VARS'!$E$70*(8*0.5)+'LINEST VARS'!$D$70*(8*$DV134)+'LINEST VARS'!$C$70*($EA$128*0.5)+'LINEST VARS'!$B$70*($EA$128*$DV134)+'LINEST VARS'!$A$70*(0.5*$DV134)</f>
        <v>90.40000000000002</v>
      </c>
      <c r="EB134" s="46">
        <f>'LINEST VARS'!$U$70+'LINEST VARS'!$T$70*(8)+'LINEST VARS'!$S$70*(8)+'LINEST VARS'!$R$70*($EB$128)+'LINEST VARS'!$Q$70*(0.5)+'LINEST VARS'!$P$70*($DV134)+'LINEST VARS'!$O$70*(8^2)+'LINEST VARS'!$N$70*(8^2)+'LINEST VARS'!$M$70*($EB$128^2)+'LINEST VARS'!$L$70*(0.5^2)+'LINEST VARS'!$K$70*($DV134^2)+'LINEST VARS'!$J$70*(8*8)+'LINEST VARS'!$I$70*(8*$EB$128)+'LINEST VARS'!$H$70*(8*0.5)+'LINEST VARS'!$G$70*(8*$DV134)+'LINEST VARS'!$F$70*(8*$EB$128)+'LINEST VARS'!$E$70*(8*0.5)+'LINEST VARS'!$D$70*(8*$DV134)+'LINEST VARS'!$C$70*($EB$128*0.5)+'LINEST VARS'!$B$70*($EB$128*$DV134)+'LINEST VARS'!$A$70*(0.5*$DV134)</f>
        <v>90.000000000000014</v>
      </c>
      <c r="EC134" s="46">
        <f>'LINEST VARS'!$U$70+'LINEST VARS'!$T$70*(8)+'LINEST VARS'!$S$70*(8)+'LINEST VARS'!$R$70*($EC$128)+'LINEST VARS'!$Q$70*(0.5)+'LINEST VARS'!$P$70*($DV134)+'LINEST VARS'!$O$70*(8^2)+'LINEST VARS'!$N$70*(8^2)+'LINEST VARS'!$M$70*($EC$128^2)+'LINEST VARS'!$L$70*(0.5^2)+'LINEST VARS'!$K$70*($DV134^2)+'LINEST VARS'!$J$70*(8*8)+'LINEST VARS'!$I$70*(8*$EC$128)+'LINEST VARS'!$H$70*(8*0.5)+'LINEST VARS'!$G$70*(8*$DV134)+'LINEST VARS'!$F$70*(8*$EC$128)+'LINEST VARS'!$E$70*(8*0.5)+'LINEST VARS'!$D$70*(8*$DV134)+'LINEST VARS'!$C$70*($EC$128*0.5)+'LINEST VARS'!$B$70*($EC$128*$DV134)+'LINEST VARS'!$A$70*(0.5*$DV134)</f>
        <v>89.600000000000023</v>
      </c>
      <c r="ED134" s="46">
        <f>'LINEST VARS'!$U$70+'LINEST VARS'!$T$70*(8)+'LINEST VARS'!$S$70*(8)+'LINEST VARS'!$R$70*($ED$128)+'LINEST VARS'!$Q$70*(0.5)+'LINEST VARS'!$P$70*($DV134)+'LINEST VARS'!$O$70*(8^2)+'LINEST VARS'!$N$70*(8^2)+'LINEST VARS'!$M$70*($ED$128^2)+'LINEST VARS'!$L$70*(0.5^2)+'LINEST VARS'!$K$70*($DV134^2)+'LINEST VARS'!$J$70*(8*8)+'LINEST VARS'!$I$70*(8*$ED$128)+'LINEST VARS'!$H$70*(8*0.5)+'LINEST VARS'!$G$70*(8*$DV134)+'LINEST VARS'!$F$70*(8*$ED$128)+'LINEST VARS'!$E$70*(8*0.5)+'LINEST VARS'!$D$70*(8*$DV134)+'LINEST VARS'!$C$70*($ED$128*0.5)+'LINEST VARS'!$B$70*($ED$128*$DV134)+'LINEST VARS'!$A$70*(0.5*$DV134)</f>
        <v>89.200000000000017</v>
      </c>
      <c r="EE134" s="46">
        <f>'LINEST VARS'!$U$70+'LINEST VARS'!$T$70*(8)+'LINEST VARS'!$S$70*(8)+'LINEST VARS'!$R$70*($EE$128)+'LINEST VARS'!$Q$70*(0.5)+'LINEST VARS'!$P$70*($DV134)+'LINEST VARS'!$O$70*(8^2)+'LINEST VARS'!$N$70*(8^2)+'LINEST VARS'!$M$70*($EE$128^2)+'LINEST VARS'!$L$70*(0.5^2)+'LINEST VARS'!$K$70*($DV134^2)+'LINEST VARS'!$J$70*(8*8)+'LINEST VARS'!$I$70*(8*$EE$128)+'LINEST VARS'!$H$70*(8*0.5)+'LINEST VARS'!$G$70*(8*$DV134)+'LINEST VARS'!$F$70*(8*$EE$128)+'LINEST VARS'!$E$70*(8*0.5)+'LINEST VARS'!$D$70*(8*$DV134)+'LINEST VARS'!$C$70*($EE$128*0.5)+'LINEST VARS'!$B$70*($EE$128*$DV134)+'LINEST VARS'!$A$70*(0.5*$DV134)</f>
        <v>88.800000000000026</v>
      </c>
      <c r="EF134" s="46">
        <f>'LINEST VARS'!$U$70+'LINEST VARS'!$T$70*(8)+'LINEST VARS'!$S$70*(8)+'LINEST VARS'!$R$70*($EF$128)+'LINEST VARS'!$Q$70*(0.5)+'LINEST VARS'!$P$70*($DV134)+'LINEST VARS'!$O$70*(8^2)+'LINEST VARS'!$N$70*(8^2)+'LINEST VARS'!$M$70*($EF$128^2)+'LINEST VARS'!$L$70*(0.5^2)+'LINEST VARS'!$K$70*($DV134^2)+'LINEST VARS'!$J$70*(8*8)+'LINEST VARS'!$I$70*(8*$EF$128)+'LINEST VARS'!$H$70*(8*0.5)+'LINEST VARS'!$G$70*(8*$DV134)+'LINEST VARS'!$F$70*(8*$EF$128)+'LINEST VARS'!$E$70*(8*0.5)+'LINEST VARS'!$D$70*(8*$DV134)+'LINEST VARS'!$C$70*($EF$128*0.5)+'LINEST VARS'!$B$70*($EF$128*$DV134)+'LINEST VARS'!$A$70*(0.5*$DV134)</f>
        <v>88.40000000000002</v>
      </c>
      <c r="EG134" s="46">
        <f>'LINEST VARS'!$U$70+'LINEST VARS'!$T$70*(8)+'LINEST VARS'!$S$70*(8)+'LINEST VARS'!$R$70*($EG$128)+'LINEST VARS'!$Q$70*(0.5)+'LINEST VARS'!$P$70*($DV134)+'LINEST VARS'!$O$70*(8^2)+'LINEST VARS'!$N$70*(8^2)+'LINEST VARS'!$M$70*($EG$128^2)+'LINEST VARS'!$L$70*(0.5^2)+'LINEST VARS'!$K$70*($DV134^2)+'LINEST VARS'!$J$70*(8*8)+'LINEST VARS'!$I$70*(8*$EG$128)+'LINEST VARS'!$H$70*(8*0.5)+'LINEST VARS'!$G$70*(8*$DV134)+'LINEST VARS'!$F$70*(8*$EG$128)+'LINEST VARS'!$E$70*(8*0.5)+'LINEST VARS'!$D$70*(8*$DV134)+'LINEST VARS'!$C$70*($EG$128*0.5)+'LINEST VARS'!$B$70*($EG$128*$DV134)+'LINEST VARS'!$A$70*(0.5*$DV134)</f>
        <v>88.000000000000014</v>
      </c>
      <c r="EH134" s="46">
        <f>'LINEST VARS'!$U$70+'LINEST VARS'!$T$70*(8)+'LINEST VARS'!$S$70*(8)+'LINEST VARS'!$R$70*($EH$128)+'LINEST VARS'!$Q$70*(0.5)+'LINEST VARS'!$P$70*($DV134)+'LINEST VARS'!$O$70*(8^2)+'LINEST VARS'!$N$70*(8^2)+'LINEST VARS'!$M$70*($EH$128^2)+'LINEST VARS'!$L$70*(0.5^2)+'LINEST VARS'!$K$70*($DV134^2)+'LINEST VARS'!$J$70*(8*8)+'LINEST VARS'!$I$70*(8*$EH$128)+'LINEST VARS'!$H$70*(8*0.5)+'LINEST VARS'!$G$70*(8*$DV134)+'LINEST VARS'!$F$70*(8*$EH$128)+'LINEST VARS'!$E$70*(8*0.5)+'LINEST VARS'!$D$70*(8*$DV134)+'LINEST VARS'!$C$70*($EH$128*0.5)+'LINEST VARS'!$B$70*($EH$128*$DV134)+'LINEST VARS'!$A$70*(0.5*$DV134)</f>
        <v>87.600000000000023</v>
      </c>
      <c r="EI134" s="46">
        <f>'LINEST VARS'!$U$70+'LINEST VARS'!$T$70*(8)+'LINEST VARS'!$S$70*(8)+'LINEST VARS'!$R$70*($EI$128)+'LINEST VARS'!$Q$70*(0.5)+'LINEST VARS'!$P$70*($DV134)+'LINEST VARS'!$O$70*(8^2)+'LINEST VARS'!$N$70*(8^2)+'LINEST VARS'!$M$70*($EI$128^2)+'LINEST VARS'!$L$70*(0.5^2)+'LINEST VARS'!$K$70*($DV134^2)+'LINEST VARS'!$J$70*(8*8)+'LINEST VARS'!$I$70*(8*$EI$128)+'LINEST VARS'!$H$70*(8*0.5)+'LINEST VARS'!$G$70*(8*$DV134)+'LINEST VARS'!$F$70*(8*$EI$128)+'LINEST VARS'!$E$70*(8*0.5)+'LINEST VARS'!$D$70*(8*$DV134)+'LINEST VARS'!$C$70*($EI$128*0.5)+'LINEST VARS'!$B$70*($EI$128*$DV134)+'LINEST VARS'!$A$70*(0.5*$DV134)</f>
        <v>87.200000000000017</v>
      </c>
      <c r="EJ134" s="46">
        <f>'LINEST VARS'!$U$70+'LINEST VARS'!$T$70*(8)+'LINEST VARS'!$S$70*(8)+'LINEST VARS'!$R$70*($EJ$128)+'LINEST VARS'!$Q$70*(0.5)+'LINEST VARS'!$P$70*($DV134)+'LINEST VARS'!$O$70*(8^2)+'LINEST VARS'!$N$70*(8^2)+'LINEST VARS'!$M$70*($EJ$128^2)+'LINEST VARS'!$L$70*(0.5^2)+'LINEST VARS'!$K$70*($DV134^2)+'LINEST VARS'!$J$70*(8*8)+'LINEST VARS'!$I$70*(8*$EJ$128)+'LINEST VARS'!$H$70*(8*0.5)+'LINEST VARS'!$G$70*(8*$DV134)+'LINEST VARS'!$F$70*(8*$EJ$128)+'LINEST VARS'!$E$70*(8*0.5)+'LINEST VARS'!$D$70*(8*$DV134)+'LINEST VARS'!$C$70*($EJ$128*0.5)+'LINEST VARS'!$B$70*($EJ$128*$DV134)+'LINEST VARS'!$A$70*(0.5*$DV134)</f>
        <v>86.800000000000026</v>
      </c>
      <c r="EK134" s="46">
        <f>'LINEST VARS'!$U$70+'LINEST VARS'!$T$70*(8)+'LINEST VARS'!$S$70*(8)+'LINEST VARS'!$R$70*($EK$128)+'LINEST VARS'!$Q$70*(0.5)+'LINEST VARS'!$P$70*($DV134)+'LINEST VARS'!$O$70*(8^2)+'LINEST VARS'!$N$70*(8^2)+'LINEST VARS'!$M$70*($EK$128^2)+'LINEST VARS'!$L$70*(0.5^2)+'LINEST VARS'!$K$70*($DV134^2)+'LINEST VARS'!$J$70*(8*8)+'LINEST VARS'!$I$70*(8*$EK$128)+'LINEST VARS'!$H$70*(8*0.5)+'LINEST VARS'!$G$70*(8*$DV134)+'LINEST VARS'!$F$70*(8*$EK$128)+'LINEST VARS'!$E$70*(8*0.5)+'LINEST VARS'!$D$70*(8*$DV134)+'LINEST VARS'!$C$70*($EK$128*0.5)+'LINEST VARS'!$B$70*($EK$128*$DV134)+'LINEST VARS'!$A$70*(0.5*$DV134)</f>
        <v>86.40000000000002</v>
      </c>
      <c r="EL134" s="46">
        <f>'LINEST VARS'!$U$70+'LINEST VARS'!$T$70*(8)+'LINEST VARS'!$S$70*(8)+'LINEST VARS'!$R$70*($EL$128)+'LINEST VARS'!$Q$70*(0.5)+'LINEST VARS'!$P$70*($DV134)+'LINEST VARS'!$O$70*(8^2)+'LINEST VARS'!$N$70*(8^2)+'LINEST VARS'!$M$70*($EL$128^2)+'LINEST VARS'!$L$70*(0.5^2)+'LINEST VARS'!$K$70*($DV134^2)+'LINEST VARS'!$J$70*(8*8)+'LINEST VARS'!$I$70*(8*$EL$128)+'LINEST VARS'!$H$70*(8*0.5)+'LINEST VARS'!$G$70*(8*$DV134)+'LINEST VARS'!$F$70*(8*$EL$128)+'LINEST VARS'!$E$70*(8*0.5)+'LINEST VARS'!$D$70*(8*$DV134)+'LINEST VARS'!$C$70*($EL$128*0.5)+'LINEST VARS'!$B$70*($EL$128*$DV134)+'LINEST VARS'!$A$70*(0.5*$DV134)</f>
        <v>86.000000000000014</v>
      </c>
      <c r="EM134" s="46">
        <f>'LINEST VARS'!$U$70+'LINEST VARS'!$T$70*(8)+'LINEST VARS'!$S$70*(8)+'LINEST VARS'!$R$70*($EM$128)+'LINEST VARS'!$Q$70*(0.5)+'LINEST VARS'!$P$70*($DV134)+'LINEST VARS'!$O$70*(8^2)+'LINEST VARS'!$N$70*(8^2)+'LINEST VARS'!$M$70*($EM$128^2)+'LINEST VARS'!$L$70*(0.5^2)+'LINEST VARS'!$K$70*($DV134^2)+'LINEST VARS'!$J$70*(8*8)+'LINEST VARS'!$I$70*(8*$EM$128)+'LINEST VARS'!$H$70*(8*0.5)+'LINEST VARS'!$G$70*(8*$DV134)+'LINEST VARS'!$F$70*(8*$EM$128)+'LINEST VARS'!$E$70*(8*0.5)+'LINEST VARS'!$D$70*(8*$DV134)+'LINEST VARS'!$C$70*($EM$128*0.5)+'LINEST VARS'!$B$70*($EM$128*$DV134)+'LINEST VARS'!$A$70*(0.5*$DV134)</f>
        <v>85.600000000000009</v>
      </c>
      <c r="EN134" s="46">
        <f>'LINEST VARS'!$U$70+'LINEST VARS'!$T$70*(8)+'LINEST VARS'!$S$70*(8)+'LINEST VARS'!$R$70*($EN$128)+'LINEST VARS'!$Q$70*(0.5)+'LINEST VARS'!$P$70*($DV134)+'LINEST VARS'!$O$70*(8^2)+'LINEST VARS'!$N$70*(8^2)+'LINEST VARS'!$M$70*($EN$128^2)+'LINEST VARS'!$L$70*(0.5^2)+'LINEST VARS'!$K$70*($DV134^2)+'LINEST VARS'!$J$70*(8*8)+'LINEST VARS'!$I$70*(8*$EN$128)+'LINEST VARS'!$H$70*(8*0.5)+'LINEST VARS'!$G$70*(8*$DV134)+'LINEST VARS'!$F$70*(8*$EN$128)+'LINEST VARS'!$E$70*(8*0.5)+'LINEST VARS'!$D$70*(8*$DV134)+'LINEST VARS'!$C$70*($EN$128*0.5)+'LINEST VARS'!$B$70*($EN$128*$DV134)+'LINEST VARS'!$A$70*(0.5*$DV134)</f>
        <v>85.200000000000017</v>
      </c>
      <c r="EO134" s="46">
        <f>'LINEST VARS'!$U$70+'LINEST VARS'!$T$70*(8)+'LINEST VARS'!$S$70*(8)+'LINEST VARS'!$R$70*($EO$128)+'LINEST VARS'!$Q$70*(0.5)+'LINEST VARS'!$P$70*($DV134)+'LINEST VARS'!$O$70*(8^2)+'LINEST VARS'!$N$70*(8^2)+'LINEST VARS'!$M$70*($EO$128^2)+'LINEST VARS'!$L$70*(0.5^2)+'LINEST VARS'!$K$70*($DV134^2)+'LINEST VARS'!$J$70*(8*8)+'LINEST VARS'!$I$70*(8*$EO$128)+'LINEST VARS'!$H$70*(8*0.5)+'LINEST VARS'!$G$70*(8*$DV134)+'LINEST VARS'!$F$70*(8*$EO$128)+'LINEST VARS'!$E$70*(8*0.5)+'LINEST VARS'!$D$70*(8*$DV134)+'LINEST VARS'!$C$70*($EO$128*0.5)+'LINEST VARS'!$B$70*($EO$128*$DV134)+'LINEST VARS'!$A$70*(0.5*$DV134)</f>
        <v>84.800000000000011</v>
      </c>
      <c r="EP134" s="46">
        <f>'LINEST VARS'!$U$70+'LINEST VARS'!$T$70*(8)+'LINEST VARS'!$S$70*(8)+'LINEST VARS'!$R$70*($EP$128)+'LINEST VARS'!$Q$70*(0.5)+'LINEST VARS'!$P$70*($DV134)+'LINEST VARS'!$O$70*(8^2)+'LINEST VARS'!$N$70*(8^2)+'LINEST VARS'!$M$70*($EP$128^2)+'LINEST VARS'!$L$70*(0.5^2)+'LINEST VARS'!$K$70*($DV134^2)+'LINEST VARS'!$J$70*(8*8)+'LINEST VARS'!$I$70*(8*$EP$128)+'LINEST VARS'!$H$70*(8*0.5)+'LINEST VARS'!$G$70*(8*$DV134)+'LINEST VARS'!$F$70*(8*$EP$128)+'LINEST VARS'!$E$70*(8*0.5)+'LINEST VARS'!$D$70*(8*$DV134)+'LINEST VARS'!$C$70*($EP$128*0.5)+'LINEST VARS'!$B$70*($EP$128*$DV134)+'LINEST VARS'!$A$70*(0.5*$DV134)</f>
        <v>84.400000000000034</v>
      </c>
      <c r="EQ134" s="47">
        <f>'LINEST VARS'!$U$70+'LINEST VARS'!$T$70*(8)+'LINEST VARS'!$S$70*(8)+'LINEST VARS'!$R$70*($EQ$128)+'LINEST VARS'!$Q$70*(0.5)+'LINEST VARS'!$P$70*($DV134)+'LINEST VARS'!$O$70*(8^2)+'LINEST VARS'!$N$70*(8^2)+'LINEST VARS'!$M$70*($EQ$128^2)+'LINEST VARS'!$L$70*(0.5^2)+'LINEST VARS'!$K$70*($DV134^2)+'LINEST VARS'!$J$70*(8*8)+'LINEST VARS'!$I$70*(8*$EQ$128)+'LINEST VARS'!$H$70*(8*0.5)+'LINEST VARS'!$G$70*(8*$DV134)+'LINEST VARS'!$F$70*(8*$EQ$128)+'LINEST VARS'!$E$70*(8*0.5)+'LINEST VARS'!$D$70*(8*$DV134)+'LINEST VARS'!$C$70*($EQ$128*0.5)+'LINEST VARS'!$B$70*($EQ$128*$DV134)+'LINEST VARS'!$A$70*(0.5*$DV134)</f>
        <v>84.000000000000028</v>
      </c>
    </row>
    <row r="135" spans="2:147" ht="15" customHeight="1" x14ac:dyDescent="0.25">
      <c r="B135" s="45">
        <v>7.76</v>
      </c>
      <c r="C135" s="46">
        <f>'LINEST VARS'!$U$68+'LINEST VARS'!$T$68*($C$128)+'LINEST VARS'!$S$68*($B135)+'LINEST VARS'!$R$68*(4)+'LINEST VARS'!$Q$68*(0.5)+'LINEST VARS'!$P$68*(12.73)+'LINEST VARS'!$O$68*($C$128^2)+'LINEST VARS'!$N$68*($B135^2)+'LINEST VARS'!$M$68*(4^2)+'LINEST VARS'!$L$68*(0.5^2)+'LINEST VARS'!$K$68*(12.73^2)+'LINEST VARS'!$J$68*($C$128*$B135)+'LINEST VARS'!$I$68*($C$128*4)+'LINEST VARS'!$H$68*($C$128*0.5)+'LINEST VARS'!$G$68*($C$128*12.73)+'LINEST VARS'!$F$68*($B135*4)+'LINEST VARS'!$E$68*($B135*0.5)+'LINEST VARS'!$D$68*($B135*12.73)+'LINEST VARS'!$C$68*(4*0.5)+'LINEST VARS'!$B$68*(4*12.73)+'LINEST VARS'!$A$68*(0.5*12.73)</f>
        <v>148.99999999999997</v>
      </c>
      <c r="D135" s="46">
        <f>'LINEST VARS'!$U$68+'LINEST VARS'!$T$68*($D$128)+'LINEST VARS'!$S$68*($B135)+'LINEST VARS'!$R$68*(4)+'LINEST VARS'!$Q$68*(0.5)+'LINEST VARS'!$P$68*(12.73)+'LINEST VARS'!$O$68*($D$128^2)+'LINEST VARS'!$N$68*($B135^2)+'LINEST VARS'!$M$68*(4^2)+'LINEST VARS'!$L$68*(0.5^2)+'LINEST VARS'!$K$68*(12.73^2)+'LINEST VARS'!$J$68*($D$128*$B135)+'LINEST VARS'!$I$68*($D$128*4)+'LINEST VARS'!$H$68*($D$128*0.5)+'LINEST VARS'!$G$68*($D$128*12.73)+'LINEST VARS'!$F$68*($B135*4)+'LINEST VARS'!$E$68*($B135*0.5)+'LINEST VARS'!$D$68*($B135*12.73)+'LINEST VARS'!$C$68*(4*0.5)+'LINEST VARS'!$B$68*(4*12.73)+'LINEST VARS'!$A$68*(0.5*12.73)</f>
        <v>148.99999999999997</v>
      </c>
      <c r="E135" s="46">
        <f>'LINEST VARS'!$U$68+'LINEST VARS'!$T$68*($E$128)+'LINEST VARS'!$S$68*($B135)+'LINEST VARS'!$R$68*(4)+'LINEST VARS'!$Q$68*(0.5)+'LINEST VARS'!$P$68*(12.73)+'LINEST VARS'!$O$68*($E$128^2)+'LINEST VARS'!$N$68*($B135^2)+'LINEST VARS'!$M$68*(4^2)+'LINEST VARS'!$L$68*(0.5^2)+'LINEST VARS'!$K$68*(12.73^2)+'LINEST VARS'!$J$68*($E$128*$B135)+'LINEST VARS'!$I$68*($E$128*4)+'LINEST VARS'!$H$68*($E$128*0.5)+'LINEST VARS'!$G$68*($E$128*12.73)+'LINEST VARS'!$F$68*($B135*4)+'LINEST VARS'!$E$68*($B135*0.5)+'LINEST VARS'!$D$68*($B135*12.73)+'LINEST VARS'!$C$68*(4*0.5)+'LINEST VARS'!$B$68*(4*12.73)+'LINEST VARS'!$A$68*(0.5*12.73)</f>
        <v>148.99999999999997</v>
      </c>
      <c r="F135" s="46">
        <f>'LINEST VARS'!$U$68+'LINEST VARS'!$T$68*($F$128)+'LINEST VARS'!$S$68*($B135)+'LINEST VARS'!$R$68*(4)+'LINEST VARS'!$Q$68*(0.5)+'LINEST VARS'!$P$68*(12.73)+'LINEST VARS'!$O$68*($F$128^2)+'LINEST VARS'!$N$68*($B135^2)+'LINEST VARS'!$M$68*(4^2)+'LINEST VARS'!$L$68*(0.5^2)+'LINEST VARS'!$K$68*(12.73^2)+'LINEST VARS'!$J$68*($F$128*$B135)+'LINEST VARS'!$I$68*($F$128*4)+'LINEST VARS'!$H$68*($F$128*0.5)+'LINEST VARS'!$G$68*($F$128*12.73)+'LINEST VARS'!$F$68*($B135*4)+'LINEST VARS'!$E$68*($B135*0.5)+'LINEST VARS'!$D$68*($B135*12.73)+'LINEST VARS'!$C$68*(4*0.5)+'LINEST VARS'!$B$68*(4*12.73)+'LINEST VARS'!$A$68*(0.5*12.73)</f>
        <v>148.99999999999997</v>
      </c>
      <c r="G135" s="46">
        <f>'LINEST VARS'!$U$68+'LINEST VARS'!$T$68*($G$128)+'LINEST VARS'!$S$68*($B135)+'LINEST VARS'!$R$68*(4)+'LINEST VARS'!$Q$68*(0.5)+'LINEST VARS'!$P$68*(12.73)+'LINEST VARS'!$O$68*($G$128^2)+'LINEST VARS'!$N$68*($B135^2)+'LINEST VARS'!$M$68*(4^2)+'LINEST VARS'!$L$68*(0.5^2)+'LINEST VARS'!$K$68*(12.73^2)+'LINEST VARS'!$J$68*($G$128*$B135)+'LINEST VARS'!$I$68*($G$128*4)+'LINEST VARS'!$H$68*($G$128*0.5)+'LINEST VARS'!$G$68*($G$128*12.73)+'LINEST VARS'!$F$68*($B135*4)+'LINEST VARS'!$E$68*($B135*0.5)+'LINEST VARS'!$D$68*($B135*12.73)+'LINEST VARS'!$C$68*(4*0.5)+'LINEST VARS'!$B$68*(4*12.73)+'LINEST VARS'!$A$68*(0.5*12.73)</f>
        <v>148.99999999999997</v>
      </c>
      <c r="H135" s="46">
        <f>'LINEST VARS'!$U$68+'LINEST VARS'!$T$68*($H$128)+'LINEST VARS'!$S$68*($B135)+'LINEST VARS'!$R$68*(4)+'LINEST VARS'!$Q$68*(0.5)+'LINEST VARS'!$P$68*(12.73)+'LINEST VARS'!$O$68*($H$128^2)+'LINEST VARS'!$N$68*($B135^2)+'LINEST VARS'!$M$68*(4^2)+'LINEST VARS'!$L$68*(0.5^2)+'LINEST VARS'!$K$68*(12.73^2)+'LINEST VARS'!$J$68*($H$128*$B135)+'LINEST VARS'!$I$68*($H$128*4)+'LINEST VARS'!$H$68*($H$128*0.5)+'LINEST VARS'!$G$68*($H$128*12.73)+'LINEST VARS'!$F$68*($B135*4)+'LINEST VARS'!$E$68*($B135*0.5)+'LINEST VARS'!$D$68*($B135*12.73)+'LINEST VARS'!$C$68*(4*0.5)+'LINEST VARS'!$B$68*(4*12.73)+'LINEST VARS'!$A$68*(0.5*12.73)</f>
        <v>148.99999999999997</v>
      </c>
      <c r="I135" s="46">
        <f>'LINEST VARS'!$U$68+'LINEST VARS'!$T$68*($I$128)+'LINEST VARS'!$S$68*($B135)+'LINEST VARS'!$R$68*(4)+'LINEST VARS'!$Q$68*(0.5)+'LINEST VARS'!$P$68*(12.73)+'LINEST VARS'!$O$68*($I$128^2)+'LINEST VARS'!$N$68*($B135^2)+'LINEST VARS'!$M$68*(4^2)+'LINEST VARS'!$L$68*(0.5^2)+'LINEST VARS'!$K$68*(12.73^2)+'LINEST VARS'!$J$68*($I$128*$B135)+'LINEST VARS'!$I$68*($I$128*4)+'LINEST VARS'!$H$68*($I$128*0.5)+'LINEST VARS'!$G$68*($I$128*12.73)+'LINEST VARS'!$F$68*($B135*4)+'LINEST VARS'!$E$68*($B135*0.5)+'LINEST VARS'!$D$68*($B135*12.73)+'LINEST VARS'!$C$68*(4*0.5)+'LINEST VARS'!$B$68*(4*12.73)+'LINEST VARS'!$A$68*(0.5*12.73)</f>
        <v>148.99999999999997</v>
      </c>
      <c r="J135" s="46">
        <f>'LINEST VARS'!$U$68+'LINEST VARS'!$T$68*($J$128)+'LINEST VARS'!$S$68*($B135)+'LINEST VARS'!$R$68*(4)+'LINEST VARS'!$Q$68*(0.5)+'LINEST VARS'!$P$68*(12.73)+'LINEST VARS'!$O$68*($J$128^2)+'LINEST VARS'!$N$68*($B135^2)+'LINEST VARS'!$M$68*(4^2)+'LINEST VARS'!$L$68*(0.5^2)+'LINEST VARS'!$K$68*(12.73^2)+'LINEST VARS'!$J$68*($J$128*$B135)+'LINEST VARS'!$I$68*($J$128*4)+'LINEST VARS'!$H$68*($J$128*0.5)+'LINEST VARS'!$G$68*($J$128*12.73)+'LINEST VARS'!$F$68*($B135*4)+'LINEST VARS'!$E$68*($B135*0.5)+'LINEST VARS'!$D$68*($B135*12.73)+'LINEST VARS'!$C$68*(4*0.5)+'LINEST VARS'!$B$68*(4*12.73)+'LINEST VARS'!$A$68*(0.5*12.73)</f>
        <v>148.99999999999997</v>
      </c>
      <c r="K135" s="46">
        <f>'LINEST VARS'!$U$68+'LINEST VARS'!$T$68*($K$128)+'LINEST VARS'!$S$68*($B135)+'LINEST VARS'!$R$68*(4)+'LINEST VARS'!$Q$68*(0.5)+'LINEST VARS'!$P$68*(12.73)+'LINEST VARS'!$O$68*($K$128^2)+'LINEST VARS'!$N$68*($B135^2)+'LINEST VARS'!$M$68*(4^2)+'LINEST VARS'!$L$68*(0.5^2)+'LINEST VARS'!$K$68*(12.73^2)+'LINEST VARS'!$J$68*($K$128*$B135)+'LINEST VARS'!$I$68*($K$128*4)+'LINEST VARS'!$H$68*($K$128*0.5)+'LINEST VARS'!$G$68*($K$128*12.73)+'LINEST VARS'!$F$68*($B135*4)+'LINEST VARS'!$E$68*($B135*0.5)+'LINEST VARS'!$D$68*($B135*12.73)+'LINEST VARS'!$C$68*(4*0.5)+'LINEST VARS'!$B$68*(4*12.73)+'LINEST VARS'!$A$68*(0.5*12.73)</f>
        <v>148.99999999999997</v>
      </c>
      <c r="L135" s="46">
        <f>'LINEST VARS'!$U$68+'LINEST VARS'!$T$68*($L$128)+'LINEST VARS'!$S$68*($B135)+'LINEST VARS'!$R$68*(4)+'LINEST VARS'!$Q$68*(0.5)+'LINEST VARS'!$P$68*(12.73)+'LINEST VARS'!$O$68*($L$128^2)+'LINEST VARS'!$N$68*($B135^2)+'LINEST VARS'!$M$68*(4^2)+'LINEST VARS'!$L$68*(0.5^2)+'LINEST VARS'!$K$68*(12.73^2)+'LINEST VARS'!$J$68*($L$128*$B135)+'LINEST VARS'!$I$68*($L$128*4)+'LINEST VARS'!$H$68*($L$128*0.5)+'LINEST VARS'!$G$68*($L$128*12.73)+'LINEST VARS'!$F$68*($B135*4)+'LINEST VARS'!$E$68*($B135*0.5)+'LINEST VARS'!$D$68*($B135*12.73)+'LINEST VARS'!$C$68*(4*0.5)+'LINEST VARS'!$B$68*(4*12.73)+'LINEST VARS'!$A$68*(0.5*12.73)</f>
        <v>148.99999999999997</v>
      </c>
      <c r="M135" s="46">
        <f>'LINEST VARS'!$U$68+'LINEST VARS'!$T$68*($M$128)+'LINEST VARS'!$S$68*($B135)+'LINEST VARS'!$R$68*(4)+'LINEST VARS'!$Q$68*(0.5)+'LINEST VARS'!$P$68*(12.73)+'LINEST VARS'!$O$68*($M$128^2)+'LINEST VARS'!$N$68*($B135^2)+'LINEST VARS'!$M$68*(4^2)+'LINEST VARS'!$L$68*(0.5^2)+'LINEST VARS'!$K$68*(12.73^2)+'LINEST VARS'!$J$68*($M$128*$B135)+'LINEST VARS'!$I$68*($M$128*4)+'LINEST VARS'!$H$68*($M$128*0.5)+'LINEST VARS'!$G$68*($M$128*12.73)+'LINEST VARS'!$F$68*($B135*4)+'LINEST VARS'!$E$68*($B135*0.5)+'LINEST VARS'!$D$68*($B135*12.73)+'LINEST VARS'!$C$68*(4*0.5)+'LINEST VARS'!$B$68*(4*12.73)+'LINEST VARS'!$A$68*(0.5*12.73)</f>
        <v>148.99999999999997</v>
      </c>
      <c r="N135" s="46">
        <f>'LINEST VARS'!$U$68+'LINEST VARS'!$T$68*($N$128)+'LINEST VARS'!$S$68*($B135)+'LINEST VARS'!$R$68*(4)+'LINEST VARS'!$Q$68*(0.5)+'LINEST VARS'!$P$68*(12.73)+'LINEST VARS'!$O$68*($N$128^2)+'LINEST VARS'!$N$68*($B135^2)+'LINEST VARS'!$M$68*(4^2)+'LINEST VARS'!$L$68*(0.5^2)+'LINEST VARS'!$K$68*(12.73^2)+'LINEST VARS'!$J$68*($N$128*$B135)+'LINEST VARS'!$I$68*($N$128*4)+'LINEST VARS'!$H$68*($N$128*0.5)+'LINEST VARS'!$G$68*($N$128*12.73)+'LINEST VARS'!$F$68*($B135*4)+'LINEST VARS'!$E$68*($B135*0.5)+'LINEST VARS'!$D$68*($B135*12.73)+'LINEST VARS'!$C$68*(4*0.5)+'LINEST VARS'!$B$68*(4*12.73)+'LINEST VARS'!$A$68*(0.5*12.73)</f>
        <v>148.99999999999997</v>
      </c>
      <c r="O135" s="46">
        <f>'LINEST VARS'!$U$68+'LINEST VARS'!$T$68*($O$128)+'LINEST VARS'!$S$68*($B135)+'LINEST VARS'!$R$68*(4)+'LINEST VARS'!$Q$68*(0.5)+'LINEST VARS'!$P$68*(12.73)+'LINEST VARS'!$O$68*($O$128^2)+'LINEST VARS'!$N$68*($B135^2)+'LINEST VARS'!$M$68*(4^2)+'LINEST VARS'!$L$68*(0.5^2)+'LINEST VARS'!$K$68*(12.73^2)+'LINEST VARS'!$J$68*($O$128*$B135)+'LINEST VARS'!$I$68*($O$128*4)+'LINEST VARS'!$H$68*($O$128*0.5)+'LINEST VARS'!$G$68*($O$128*12.73)+'LINEST VARS'!$F$68*($B135*4)+'LINEST VARS'!$E$68*($B135*0.5)+'LINEST VARS'!$D$68*($B135*12.73)+'LINEST VARS'!$C$68*(4*0.5)+'LINEST VARS'!$B$68*(4*12.73)+'LINEST VARS'!$A$68*(0.5*12.73)</f>
        <v>148.99999999999997</v>
      </c>
      <c r="P135" s="46">
        <f>'LINEST VARS'!$U$68+'LINEST VARS'!$T$68*($P$128)+'LINEST VARS'!$S$68*($B135)+'LINEST VARS'!$R$68*(4)+'LINEST VARS'!$Q$68*(0.5)+'LINEST VARS'!$P$68*(12.73)+'LINEST VARS'!$O$68*($P$128^2)+'LINEST VARS'!$N$68*($B135^2)+'LINEST VARS'!$M$68*(4^2)+'LINEST VARS'!$L$68*(0.5^2)+'LINEST VARS'!$K$68*(12.73^2)+'LINEST VARS'!$J$68*($P$128*$B135)+'LINEST VARS'!$I$68*($P$128*4)+'LINEST VARS'!$H$68*($P$128*0.5)+'LINEST VARS'!$G$68*($P$128*12.73)+'LINEST VARS'!$F$68*($B135*4)+'LINEST VARS'!$E$68*($B135*0.5)+'LINEST VARS'!$D$68*($B135*12.73)+'LINEST VARS'!$C$68*(4*0.5)+'LINEST VARS'!$B$68*(4*12.73)+'LINEST VARS'!$A$68*(0.5*12.73)</f>
        <v>148.99999999999997</v>
      </c>
      <c r="Q135" s="46">
        <f>'LINEST VARS'!$U$68+'LINEST VARS'!$T$68*($Q$128)+'LINEST VARS'!$S$68*($B135)+'LINEST VARS'!$R$68*(4)+'LINEST VARS'!$Q$68*(0.5)+'LINEST VARS'!$P$68*(12.73)+'LINEST VARS'!$O$68*($Q$128^2)+'LINEST VARS'!$N$68*($B135^2)+'LINEST VARS'!$M$68*(4^2)+'LINEST VARS'!$L$68*(0.5^2)+'LINEST VARS'!$K$68*(12.73^2)+'LINEST VARS'!$J$68*($Q$128*$B135)+'LINEST VARS'!$I$68*($Q$128*4)+'LINEST VARS'!$H$68*($Q$128*0.5)+'LINEST VARS'!$G$68*($Q$128*12.73)+'LINEST VARS'!$F$68*($B135*4)+'LINEST VARS'!$E$68*($B135*0.5)+'LINEST VARS'!$D$68*($B135*12.73)+'LINEST VARS'!$C$68*(4*0.5)+'LINEST VARS'!$B$68*(4*12.73)+'LINEST VARS'!$A$68*(0.5*12.73)</f>
        <v>148.99999999999997</v>
      </c>
      <c r="R135" s="46">
        <f>'LINEST VARS'!$U$68+'LINEST VARS'!$T$68*($R$128)+'LINEST VARS'!$S$68*($B135)+'LINEST VARS'!$R$68*(4)+'LINEST VARS'!$Q$68*(0.5)+'LINEST VARS'!$P$68*(12.73)+'LINEST VARS'!$O$68*($R$128^2)+'LINEST VARS'!$N$68*($B135^2)+'LINEST VARS'!$M$68*(4^2)+'LINEST VARS'!$L$68*(0.5^2)+'LINEST VARS'!$K$68*(12.73^2)+'LINEST VARS'!$J$68*($R$128*$B135)+'LINEST VARS'!$I$68*($R$128*4)+'LINEST VARS'!$H$68*($R$128*0.5)+'LINEST VARS'!$G$68*($R$128*12.73)+'LINEST VARS'!$F$68*($B135*4)+'LINEST VARS'!$E$68*($B135*0.5)+'LINEST VARS'!$D$68*($B135*12.73)+'LINEST VARS'!$C$68*(4*0.5)+'LINEST VARS'!$B$68*(4*12.73)+'LINEST VARS'!$A$68*(0.5*12.73)</f>
        <v>148.99999999999997</v>
      </c>
      <c r="S135" s="46">
        <f>'LINEST VARS'!$U$68+'LINEST VARS'!$T$68*($S$128)+'LINEST VARS'!$S$68*($B135)+'LINEST VARS'!$R$68*(4)+'LINEST VARS'!$Q$68*(0.5)+'LINEST VARS'!$P$68*(12.73)+'LINEST VARS'!$O$68*($S$128^2)+'LINEST VARS'!$N$68*($B135^2)+'LINEST VARS'!$M$68*(4^2)+'LINEST VARS'!$L$68*(0.5^2)+'LINEST VARS'!$K$68*(12.73^2)+'LINEST VARS'!$J$68*($S$128*$B135)+'LINEST VARS'!$I$68*($S$128*4)+'LINEST VARS'!$H$68*($S$128*0.5)+'LINEST VARS'!$G$68*($S$128*12.73)+'LINEST VARS'!$F$68*($B135*4)+'LINEST VARS'!$E$68*($B135*0.5)+'LINEST VARS'!$D$68*($B135*12.73)+'LINEST VARS'!$C$68*(4*0.5)+'LINEST VARS'!$B$68*(4*12.73)+'LINEST VARS'!$A$68*(0.5*12.73)</f>
        <v>148.99999999999997</v>
      </c>
      <c r="T135" s="46">
        <f>'LINEST VARS'!$U$68+'LINEST VARS'!$T$68*($T$128)+'LINEST VARS'!$S$68*($B135)+'LINEST VARS'!$R$68*(4)+'LINEST VARS'!$Q$68*(0.5)+'LINEST VARS'!$P$68*(12.73)+'LINEST VARS'!$O$68*($T$128^2)+'LINEST VARS'!$N$68*($B135^2)+'LINEST VARS'!$M$68*(4^2)+'LINEST VARS'!$L$68*(0.5^2)+'LINEST VARS'!$K$68*(12.73^2)+'LINEST VARS'!$J$68*($T$128*$B135)+'LINEST VARS'!$I$68*($T$128*4)+'LINEST VARS'!$H$68*($T$128*0.5)+'LINEST VARS'!$G$68*($T$128*12.73)+'LINEST VARS'!$F$68*($B135*4)+'LINEST VARS'!$E$68*($B135*0.5)+'LINEST VARS'!$D$68*($B135*12.73)+'LINEST VARS'!$C$68*(4*0.5)+'LINEST VARS'!$B$68*(4*12.73)+'LINEST VARS'!$A$68*(0.5*12.73)</f>
        <v>148.99999999999997</v>
      </c>
      <c r="U135" s="46">
        <f>'LINEST VARS'!$U$68+'LINEST VARS'!$T$68*($U$128)+'LINEST VARS'!$S$68*($B135)+'LINEST VARS'!$R$68*(4)+'LINEST VARS'!$Q$68*(0.5)+'LINEST VARS'!$P$68*(12.73)+'LINEST VARS'!$O$68*($U$128^2)+'LINEST VARS'!$N$68*($B135^2)+'LINEST VARS'!$M$68*(4^2)+'LINEST VARS'!$L$68*(0.5^2)+'LINEST VARS'!$K$68*(12.73^2)+'LINEST VARS'!$J$68*($U$128*$B135)+'LINEST VARS'!$I$68*($U$128*4)+'LINEST VARS'!$H$68*($U$128*0.5)+'LINEST VARS'!$G$68*($U$128*12.73)+'LINEST VARS'!$F$68*($B135*4)+'LINEST VARS'!$E$68*($B135*0.5)+'LINEST VARS'!$D$68*($B135*12.73)+'LINEST VARS'!$C$68*(4*0.5)+'LINEST VARS'!$B$68*(4*12.73)+'LINEST VARS'!$A$68*(0.5*12.73)</f>
        <v>148.99999999999997</v>
      </c>
      <c r="V135" s="46">
        <f>'LINEST VARS'!$U$68+'LINEST VARS'!$T$68*($V$128)+'LINEST VARS'!$S$68*($B135)+'LINEST VARS'!$R$68*(4)+'LINEST VARS'!$Q$68*(0.5)+'LINEST VARS'!$P$68*(12.73)+'LINEST VARS'!$O$68*($V$128^2)+'LINEST VARS'!$N$68*($B135^2)+'LINEST VARS'!$M$68*(4^2)+'LINEST VARS'!$L$68*(0.5^2)+'LINEST VARS'!$K$68*(12.73^2)+'LINEST VARS'!$J$68*($V$128*$B135)+'LINEST VARS'!$I$68*($V$128*4)+'LINEST VARS'!$H$68*($V$128*0.5)+'LINEST VARS'!$G$68*($V$128*12.73)+'LINEST VARS'!$F$68*($B135*4)+'LINEST VARS'!$E$68*($B135*0.5)+'LINEST VARS'!$D$68*($B135*12.73)+'LINEST VARS'!$C$68*(4*0.5)+'LINEST VARS'!$B$68*(4*12.73)+'LINEST VARS'!$A$68*(0.5*12.73)</f>
        <v>148.99999999999997</v>
      </c>
      <c r="W135" s="47">
        <f>'LINEST VARS'!$U$68+'LINEST VARS'!$T$68*($W$128)+'LINEST VARS'!$S$68*($B135)+'LINEST VARS'!$R$68*(4)+'LINEST VARS'!$Q$68*(0.5)+'LINEST VARS'!$P$68*(12.73)+'LINEST VARS'!$O$68*($W$128^2)+'LINEST VARS'!$N$68*($B135^2)+'LINEST VARS'!$M$68*(4^2)+'LINEST VARS'!$L$68*(0.5^2)+'LINEST VARS'!$K$68*(12.73^2)+'LINEST VARS'!$J$68*($W$128*$B135)+'LINEST VARS'!$I$68*($W$128*4)+'LINEST VARS'!$H$68*($W$128*0.5)+'LINEST VARS'!$G$68*($W$128*12.73)+'LINEST VARS'!$F$68*($B135*4)+'LINEST VARS'!$E$68*($B135*0.5)+'LINEST VARS'!$D$68*($B135*12.73)+'LINEST VARS'!$C$68*(4*0.5)+'LINEST VARS'!$B$68*(4*12.73)+'LINEST VARS'!$A$68*(0.5*12.73)</f>
        <v>148.99999999999997</v>
      </c>
      <c r="Z135" s="45">
        <v>7.76</v>
      </c>
      <c r="AA135" s="46">
        <f>'LINEST VARS'!$U$70+'LINEST VARS'!$T$70*($AA$128)+'LINEST VARS'!$S$70*($Z135)+'LINEST VARS'!$R$70*(4)+'LINEST VARS'!$Q$70*(0.5)+'LINEST VARS'!$P$70*(12.73)+'LINEST VARS'!$O$70*($AA$128^2)+'LINEST VARS'!$N$70*($Z135^2)+'LINEST VARS'!$M$70*(4^2)+'LINEST VARS'!$L$70*(0.5^2)+'LINEST VARS'!$K$70*(12.73^2)+'LINEST VARS'!$J$70*($AA$128*$Z135)+'LINEST VARS'!$I$70*($AA$128*4)+'LINEST VARS'!$H$70*($AA$128*0.5)+'LINEST VARS'!$G$70*($AA$128*12.73)+'LINEST VARS'!$F$70*($Z135*4)+'LINEST VARS'!$E$70*($Z135*0.5)+'LINEST VARS'!$D$70*($Z135*12.73)+'LINEST VARS'!$C$70*(4*0.5)+'LINEST VARS'!$B$70*(4*12.73)+'LINEST VARS'!$A$70*(0.5*12.73)</f>
        <v>87.640000000000029</v>
      </c>
      <c r="AB135" s="46">
        <f>'LINEST VARS'!$U$70+'LINEST VARS'!$T$70*($AB$128)+'LINEST VARS'!$S$70*($Z135)+'LINEST VARS'!$R$70*(4)+'LINEST VARS'!$Q$70*(0.5)+'LINEST VARS'!$P$70*(12.73)+'LINEST VARS'!$O$70*($AB$128^2)+'LINEST VARS'!$N$70*($Z135^2)+'LINEST VARS'!$M$70*(4^2)+'LINEST VARS'!$L$70*(0.5^2)+'LINEST VARS'!$K$70*(12.73^2)+'LINEST VARS'!$J$70*($AB$128*$Z135)+'LINEST VARS'!$I$70*($AB$128*4)+'LINEST VARS'!$H$70*($AB$128*0.5)+'LINEST VARS'!$G$70*($AB$128*12.73)+'LINEST VARS'!$F$70*($Z135*4)+'LINEST VARS'!$E$70*($Z135*0.5)+'LINEST VARS'!$D$70*($Z135*12.73)+'LINEST VARS'!$C$70*(4*0.5)+'LINEST VARS'!$B$70*(4*12.73)+'LINEST VARS'!$A$70*(0.5*12.73)</f>
        <v>87.640000000000029</v>
      </c>
      <c r="AC135" s="46">
        <f>'LINEST VARS'!$U$70+'LINEST VARS'!$T$70*($AC$128)+'LINEST VARS'!$S$70*($Z135)+'LINEST VARS'!$R$70*(4)+'LINEST VARS'!$Q$70*(0.5)+'LINEST VARS'!$P$70*(12.73)+'LINEST VARS'!$O$70*($AC$128^2)+'LINEST VARS'!$N$70*($Z135^2)+'LINEST VARS'!$M$70*(4^2)+'LINEST VARS'!$L$70*(0.5^2)+'LINEST VARS'!$K$70*(12.73^2)+'LINEST VARS'!$J$70*($AC$128*$Z135)+'LINEST VARS'!$I$70*($AC$128*4)+'LINEST VARS'!$H$70*($AC$128*0.5)+'LINEST VARS'!$G$70*($AC$128*12.73)+'LINEST VARS'!$F$70*($Z135*4)+'LINEST VARS'!$E$70*($Z135*0.5)+'LINEST VARS'!$D$70*($Z135*12.73)+'LINEST VARS'!$C$70*(4*0.5)+'LINEST VARS'!$B$70*(4*12.73)+'LINEST VARS'!$A$70*(0.5*12.73)</f>
        <v>87.640000000000029</v>
      </c>
      <c r="AD135" s="46">
        <f>'LINEST VARS'!$U$70+'LINEST VARS'!$T$70*($AD$128)+'LINEST VARS'!$S$70*($Z135)+'LINEST VARS'!$R$70*(4)+'LINEST VARS'!$Q$70*(0.5)+'LINEST VARS'!$P$70*(12.73)+'LINEST VARS'!$O$70*($AD$128^2)+'LINEST VARS'!$N$70*($Z135^2)+'LINEST VARS'!$M$70*(4^2)+'LINEST VARS'!$L$70*(0.5^2)+'LINEST VARS'!$K$70*(12.73^2)+'LINEST VARS'!$J$70*($AD$128*$Z135)+'LINEST VARS'!$I$70*($AD$128*4)+'LINEST VARS'!$H$70*($AD$128*0.5)+'LINEST VARS'!$G$70*($AD$128*12.73)+'LINEST VARS'!$F$70*($Z135*4)+'LINEST VARS'!$E$70*($Z135*0.5)+'LINEST VARS'!$D$70*($Z135*12.73)+'LINEST VARS'!$C$70*(4*0.5)+'LINEST VARS'!$B$70*(4*12.73)+'LINEST VARS'!$A$70*(0.5*12.73)</f>
        <v>87.640000000000029</v>
      </c>
      <c r="AE135" s="46">
        <f>'LINEST VARS'!$U$70+'LINEST VARS'!$T$70*($AE$128)+'LINEST VARS'!$S$70*($Z135)+'LINEST VARS'!$R$70*(4)+'LINEST VARS'!$Q$70*(0.5)+'LINEST VARS'!$P$70*(12.73)+'LINEST VARS'!$O$70*($AE$128^2)+'LINEST VARS'!$N$70*($Z135^2)+'LINEST VARS'!$M$70*(4^2)+'LINEST VARS'!$L$70*(0.5^2)+'LINEST VARS'!$K$70*(12.73^2)+'LINEST VARS'!$J$70*($AE$128*$Z135)+'LINEST VARS'!$I$70*($AE$128*4)+'LINEST VARS'!$H$70*($AE$128*0.5)+'LINEST VARS'!$G$70*($AE$128*12.73)+'LINEST VARS'!$F$70*($Z135*4)+'LINEST VARS'!$E$70*($Z135*0.5)+'LINEST VARS'!$D$70*($Z135*12.73)+'LINEST VARS'!$C$70*(4*0.5)+'LINEST VARS'!$B$70*(4*12.73)+'LINEST VARS'!$A$70*(0.5*12.73)</f>
        <v>87.640000000000029</v>
      </c>
      <c r="AF135" s="46">
        <f>'LINEST VARS'!$U$70+'LINEST VARS'!$T$70*($AF$128)+'LINEST VARS'!$S$70*($Z135)+'LINEST VARS'!$R$70*(4)+'LINEST VARS'!$Q$70*(0.5)+'LINEST VARS'!$P$70*(12.73)+'LINEST VARS'!$O$70*($AF$128^2)+'LINEST VARS'!$N$70*($Z135^2)+'LINEST VARS'!$M$70*(4^2)+'LINEST VARS'!$L$70*(0.5^2)+'LINEST VARS'!$K$70*(12.73^2)+'LINEST VARS'!$J$70*($AF$128*$Z135)+'LINEST VARS'!$I$70*($AF$128*4)+'LINEST VARS'!$H$70*($AF$128*0.5)+'LINEST VARS'!$G$70*($AF$128*12.73)+'LINEST VARS'!$F$70*($Z135*4)+'LINEST VARS'!$E$70*($Z135*0.5)+'LINEST VARS'!$D$70*($Z135*12.73)+'LINEST VARS'!$C$70*(4*0.5)+'LINEST VARS'!$B$70*(4*12.73)+'LINEST VARS'!$A$70*(0.5*12.73)</f>
        <v>87.640000000000029</v>
      </c>
      <c r="AG135" s="46">
        <f>'LINEST VARS'!$U$70+'LINEST VARS'!$T$70*($AG$128)+'LINEST VARS'!$S$70*($Z135)+'LINEST VARS'!$R$70*(4)+'LINEST VARS'!$Q$70*(0.5)+'LINEST VARS'!$P$70*(12.73)+'LINEST VARS'!$O$70*($AG$128^2)+'LINEST VARS'!$N$70*($Z135^2)+'LINEST VARS'!$M$70*(4^2)+'LINEST VARS'!$L$70*(0.5^2)+'LINEST VARS'!$K$70*(12.73^2)+'LINEST VARS'!$J$70*($AG$128*$Z135)+'LINEST VARS'!$I$70*($AG$128*4)+'LINEST VARS'!$H$70*($AG$128*0.5)+'LINEST VARS'!$G$70*($AG$128*12.73)+'LINEST VARS'!$F$70*($Z135*4)+'LINEST VARS'!$E$70*($Z135*0.5)+'LINEST VARS'!$D$70*($Z135*12.73)+'LINEST VARS'!$C$70*(4*0.5)+'LINEST VARS'!$B$70*(4*12.73)+'LINEST VARS'!$A$70*(0.5*12.73)</f>
        <v>87.640000000000029</v>
      </c>
      <c r="AH135" s="46">
        <f>'LINEST VARS'!$U$70+'LINEST VARS'!$T$70*($AH$128)+'LINEST VARS'!$S$70*($Z135)+'LINEST VARS'!$R$70*(4)+'LINEST VARS'!$Q$70*(0.5)+'LINEST VARS'!$P$70*(12.73)+'LINEST VARS'!$O$70*($AH$128^2)+'LINEST VARS'!$N$70*($Z135^2)+'LINEST VARS'!$M$70*(4^2)+'LINEST VARS'!$L$70*(0.5^2)+'LINEST VARS'!$K$70*(12.73^2)+'LINEST VARS'!$J$70*($AH$128*$Z135)+'LINEST VARS'!$I$70*($AH$128*4)+'LINEST VARS'!$H$70*($AH$128*0.5)+'LINEST VARS'!$G$70*($AH$128*12.73)+'LINEST VARS'!$F$70*($Z135*4)+'LINEST VARS'!$E$70*($Z135*0.5)+'LINEST VARS'!$D$70*($Z135*12.73)+'LINEST VARS'!$C$70*(4*0.5)+'LINEST VARS'!$B$70*(4*12.73)+'LINEST VARS'!$A$70*(0.5*12.73)</f>
        <v>87.640000000000029</v>
      </c>
      <c r="AI135" s="46">
        <f>'LINEST VARS'!$U$70+'LINEST VARS'!$T$70*($AI$128)+'LINEST VARS'!$S$70*($Z135)+'LINEST VARS'!$R$70*(4)+'LINEST VARS'!$Q$70*(0.5)+'LINEST VARS'!$P$70*(12.73)+'LINEST VARS'!$O$70*($AI$128^2)+'LINEST VARS'!$N$70*($Z135^2)+'LINEST VARS'!$M$70*(4^2)+'LINEST VARS'!$L$70*(0.5^2)+'LINEST VARS'!$K$70*(12.73^2)+'LINEST VARS'!$J$70*($AI$128*$Z135)+'LINEST VARS'!$I$70*($AI$128*4)+'LINEST VARS'!$H$70*($AI$128*0.5)+'LINEST VARS'!$G$70*($AI$128*12.73)+'LINEST VARS'!$F$70*($Z135*4)+'LINEST VARS'!$E$70*($Z135*0.5)+'LINEST VARS'!$D$70*($Z135*12.73)+'LINEST VARS'!$C$70*(4*0.5)+'LINEST VARS'!$B$70*(4*12.73)+'LINEST VARS'!$A$70*(0.5*12.73)</f>
        <v>87.640000000000029</v>
      </c>
      <c r="AJ135" s="46">
        <f>'LINEST VARS'!$U$70+'LINEST VARS'!$T$70*($AJ$128)+'LINEST VARS'!$S$70*($Z135)+'LINEST VARS'!$R$70*(4)+'LINEST VARS'!$Q$70*(0.5)+'LINEST VARS'!$P$70*(12.73)+'LINEST VARS'!$O$70*($AJ$128^2)+'LINEST VARS'!$N$70*($Z135^2)+'LINEST VARS'!$M$70*(4^2)+'LINEST VARS'!$L$70*(0.5^2)+'LINEST VARS'!$K$70*(12.73^2)+'LINEST VARS'!$J$70*($AJ$128*$Z135)+'LINEST VARS'!$I$70*($AJ$128*4)+'LINEST VARS'!$H$70*($AJ$128*0.5)+'LINEST VARS'!$G$70*($AJ$128*12.73)+'LINEST VARS'!$F$70*($Z135*4)+'LINEST VARS'!$E$70*($Z135*0.5)+'LINEST VARS'!$D$70*($Z135*12.73)+'LINEST VARS'!$C$70*(4*0.5)+'LINEST VARS'!$B$70*(4*12.73)+'LINEST VARS'!$A$70*(0.5*12.73)</f>
        <v>87.640000000000029</v>
      </c>
      <c r="AK135" s="46">
        <f>'LINEST VARS'!$U$70+'LINEST VARS'!$T$70*($AK$128)+'LINEST VARS'!$S$70*($Z135)+'LINEST VARS'!$R$70*(4)+'LINEST VARS'!$Q$70*(0.5)+'LINEST VARS'!$P$70*(12.73)+'LINEST VARS'!$O$70*($AK$128^2)+'LINEST VARS'!$N$70*($Z135^2)+'LINEST VARS'!$M$70*(4^2)+'LINEST VARS'!$L$70*(0.5^2)+'LINEST VARS'!$K$70*(12.73^2)+'LINEST VARS'!$J$70*($AK$128*$Z135)+'LINEST VARS'!$I$70*($AK$128*4)+'LINEST VARS'!$H$70*($AK$128*0.5)+'LINEST VARS'!$G$70*($AK$128*12.73)+'LINEST VARS'!$F$70*($Z135*4)+'LINEST VARS'!$E$70*($Z135*0.5)+'LINEST VARS'!$D$70*($Z135*12.73)+'LINEST VARS'!$C$70*(4*0.5)+'LINEST VARS'!$B$70*(4*12.73)+'LINEST VARS'!$A$70*(0.5*12.73)</f>
        <v>87.640000000000029</v>
      </c>
      <c r="AL135" s="46">
        <f>'LINEST VARS'!$U$70+'LINEST VARS'!$T$70*($AL$128)+'LINEST VARS'!$S$70*($Z135)+'LINEST VARS'!$R$70*(4)+'LINEST VARS'!$Q$70*(0.5)+'LINEST VARS'!$P$70*(12.73)+'LINEST VARS'!$O$70*($AL$128^2)+'LINEST VARS'!$N$70*($Z135^2)+'LINEST VARS'!$M$70*(4^2)+'LINEST VARS'!$L$70*(0.5^2)+'LINEST VARS'!$K$70*(12.73^2)+'LINEST VARS'!$J$70*($AL$128*$Z135)+'LINEST VARS'!$I$70*($AL$128*4)+'LINEST VARS'!$H$70*($AL$128*0.5)+'LINEST VARS'!$G$70*($AL$128*12.73)+'LINEST VARS'!$F$70*($Z135*4)+'LINEST VARS'!$E$70*($Z135*0.5)+'LINEST VARS'!$D$70*($Z135*12.73)+'LINEST VARS'!$C$70*(4*0.5)+'LINEST VARS'!$B$70*(4*12.73)+'LINEST VARS'!$A$70*(0.5*12.73)</f>
        <v>87.640000000000029</v>
      </c>
      <c r="AM135" s="46">
        <f>'LINEST VARS'!$U$70+'LINEST VARS'!$T$70*($AM$128)+'LINEST VARS'!$S$70*($Z135)+'LINEST VARS'!$R$70*(4)+'LINEST VARS'!$Q$70*(0.5)+'LINEST VARS'!$P$70*(12.73)+'LINEST VARS'!$O$70*($AM$128^2)+'LINEST VARS'!$N$70*($Z135^2)+'LINEST VARS'!$M$70*(4^2)+'LINEST VARS'!$L$70*(0.5^2)+'LINEST VARS'!$K$70*(12.73^2)+'LINEST VARS'!$J$70*($AM$128*$Z135)+'LINEST VARS'!$I$70*($AM$128*4)+'LINEST VARS'!$H$70*($AM$128*0.5)+'LINEST VARS'!$G$70*($AM$128*12.73)+'LINEST VARS'!$F$70*($Z135*4)+'LINEST VARS'!$E$70*($Z135*0.5)+'LINEST VARS'!$D$70*($Z135*12.73)+'LINEST VARS'!$C$70*(4*0.5)+'LINEST VARS'!$B$70*(4*12.73)+'LINEST VARS'!$A$70*(0.5*12.73)</f>
        <v>87.640000000000029</v>
      </c>
      <c r="AN135" s="46">
        <f>'LINEST VARS'!$U$70+'LINEST VARS'!$T$70*($AN$128)+'LINEST VARS'!$S$70*($Z135)+'LINEST VARS'!$R$70*(4)+'LINEST VARS'!$Q$70*(0.5)+'LINEST VARS'!$P$70*(12.73)+'LINEST VARS'!$O$70*($AN$128^2)+'LINEST VARS'!$N$70*($Z135^2)+'LINEST VARS'!$M$70*(4^2)+'LINEST VARS'!$L$70*(0.5^2)+'LINEST VARS'!$K$70*(12.73^2)+'LINEST VARS'!$J$70*($AN$128*$Z135)+'LINEST VARS'!$I$70*($AN$128*4)+'LINEST VARS'!$H$70*($AN$128*0.5)+'LINEST VARS'!$G$70*($AN$128*12.73)+'LINEST VARS'!$F$70*($Z135*4)+'LINEST VARS'!$E$70*($Z135*0.5)+'LINEST VARS'!$D$70*($Z135*12.73)+'LINEST VARS'!$C$70*(4*0.5)+'LINEST VARS'!$B$70*(4*12.73)+'LINEST VARS'!$A$70*(0.5*12.73)</f>
        <v>87.640000000000029</v>
      </c>
      <c r="AO135" s="46">
        <f>'LINEST VARS'!$U$70+'LINEST VARS'!$T$70*($AO$128)+'LINEST VARS'!$S$70*($Z135)+'LINEST VARS'!$R$70*(4)+'LINEST VARS'!$Q$70*(0.5)+'LINEST VARS'!$P$70*(12.73)+'LINEST VARS'!$O$70*($AO$128^2)+'LINEST VARS'!$N$70*($Z135^2)+'LINEST VARS'!$M$70*(4^2)+'LINEST VARS'!$L$70*(0.5^2)+'LINEST VARS'!$K$70*(12.73^2)+'LINEST VARS'!$J$70*($AO$128*$Z135)+'LINEST VARS'!$I$70*($AO$128*4)+'LINEST VARS'!$H$70*($AO$128*0.5)+'LINEST VARS'!$G$70*($AO$128*12.73)+'LINEST VARS'!$F$70*($Z135*4)+'LINEST VARS'!$E$70*($Z135*0.5)+'LINEST VARS'!$D$70*($Z135*12.73)+'LINEST VARS'!$C$70*(4*0.5)+'LINEST VARS'!$B$70*(4*12.73)+'LINEST VARS'!$A$70*(0.5*12.73)</f>
        <v>87.640000000000029</v>
      </c>
      <c r="AP135" s="46">
        <f>'LINEST VARS'!$U$70+'LINEST VARS'!$T$70*($AP$128)+'LINEST VARS'!$S$70*($Z135)+'LINEST VARS'!$R$70*(4)+'LINEST VARS'!$Q$70*(0.5)+'LINEST VARS'!$P$70*(12.73)+'LINEST VARS'!$O$70*($AP$128^2)+'LINEST VARS'!$N$70*($Z135^2)+'LINEST VARS'!$M$70*(4^2)+'LINEST VARS'!$L$70*(0.5^2)+'LINEST VARS'!$K$70*(12.73^2)+'LINEST VARS'!$J$70*($AP$128*$Z135)+'LINEST VARS'!$I$70*($AP$128*4)+'LINEST VARS'!$H$70*($AP$128*0.5)+'LINEST VARS'!$G$70*($AP$128*12.73)+'LINEST VARS'!$F$70*($Z135*4)+'LINEST VARS'!$E$70*($Z135*0.5)+'LINEST VARS'!$D$70*($Z135*12.73)+'LINEST VARS'!$C$70*(4*0.5)+'LINEST VARS'!$B$70*(4*12.73)+'LINEST VARS'!$A$70*(0.5*12.73)</f>
        <v>87.640000000000029</v>
      </c>
      <c r="AQ135" s="46">
        <f>'LINEST VARS'!$U$70+'LINEST VARS'!$T$70*($AQ$128)+'LINEST VARS'!$S$70*($Z135)+'LINEST VARS'!$R$70*(4)+'LINEST VARS'!$Q$70*(0.5)+'LINEST VARS'!$P$70*(12.73)+'LINEST VARS'!$O$70*($AQ$128^2)+'LINEST VARS'!$N$70*($Z135^2)+'LINEST VARS'!$M$70*(4^2)+'LINEST VARS'!$L$70*(0.5^2)+'LINEST VARS'!$K$70*(12.73^2)+'LINEST VARS'!$J$70*($AQ$128*$Z135)+'LINEST VARS'!$I$70*($AQ$128*4)+'LINEST VARS'!$H$70*($AQ$128*0.5)+'LINEST VARS'!$G$70*($AQ$128*12.73)+'LINEST VARS'!$F$70*($Z135*4)+'LINEST VARS'!$E$70*($Z135*0.5)+'LINEST VARS'!$D$70*($Z135*12.73)+'LINEST VARS'!$C$70*(4*0.5)+'LINEST VARS'!$B$70*(4*12.73)+'LINEST VARS'!$A$70*(0.5*12.73)</f>
        <v>87.640000000000029</v>
      </c>
      <c r="AR135" s="46">
        <f>'LINEST VARS'!$U$70+'LINEST VARS'!$T$70*($AR$128)+'LINEST VARS'!$S$70*($Z135)+'LINEST VARS'!$R$70*(4)+'LINEST VARS'!$Q$70*(0.5)+'LINEST VARS'!$P$70*(12.73)+'LINEST VARS'!$O$70*($AR$128^2)+'LINEST VARS'!$N$70*($Z135^2)+'LINEST VARS'!$M$70*(4^2)+'LINEST VARS'!$L$70*(0.5^2)+'LINEST VARS'!$K$70*(12.73^2)+'LINEST VARS'!$J$70*($AR$128*$Z135)+'LINEST VARS'!$I$70*($AR$128*4)+'LINEST VARS'!$H$70*($AR$128*0.5)+'LINEST VARS'!$G$70*($AR$128*12.73)+'LINEST VARS'!$F$70*($Z135*4)+'LINEST VARS'!$E$70*($Z135*0.5)+'LINEST VARS'!$D$70*($Z135*12.73)+'LINEST VARS'!$C$70*(4*0.5)+'LINEST VARS'!$B$70*(4*12.73)+'LINEST VARS'!$A$70*(0.5*12.73)</f>
        <v>87.640000000000029</v>
      </c>
      <c r="AS135" s="46">
        <f>'LINEST VARS'!$U$70+'LINEST VARS'!$T$70*($AS$128)+'LINEST VARS'!$S$70*($Z135)+'LINEST VARS'!$R$70*(4)+'LINEST VARS'!$Q$70*(0.5)+'LINEST VARS'!$P$70*(12.73)+'LINEST VARS'!$O$70*($AS$128^2)+'LINEST VARS'!$N$70*($Z135^2)+'LINEST VARS'!$M$70*(4^2)+'LINEST VARS'!$L$70*(0.5^2)+'LINEST VARS'!$K$70*(12.73^2)+'LINEST VARS'!$J$70*($AS$128*$Z135)+'LINEST VARS'!$I$70*($AS$128*4)+'LINEST VARS'!$H$70*($AS$128*0.5)+'LINEST VARS'!$G$70*($AS$128*12.73)+'LINEST VARS'!$F$70*($Z135*4)+'LINEST VARS'!$E$70*($Z135*0.5)+'LINEST VARS'!$D$70*($Z135*12.73)+'LINEST VARS'!$C$70*(4*0.5)+'LINEST VARS'!$B$70*(4*12.73)+'LINEST VARS'!$A$70*(0.5*12.73)</f>
        <v>87.640000000000029</v>
      </c>
      <c r="AT135" s="46">
        <f>'LINEST VARS'!$U$70+'LINEST VARS'!$T$70*($AT$128)+'LINEST VARS'!$S$70*($Z135)+'LINEST VARS'!$R$70*(4)+'LINEST VARS'!$Q$70*(0.5)+'LINEST VARS'!$P$70*(12.73)+'LINEST VARS'!$O$70*($AT$128^2)+'LINEST VARS'!$N$70*($Z135^2)+'LINEST VARS'!$M$70*(4^2)+'LINEST VARS'!$L$70*(0.5^2)+'LINEST VARS'!$K$70*(12.73^2)+'LINEST VARS'!$J$70*($AT$128*$Z135)+'LINEST VARS'!$I$70*($AT$128*4)+'LINEST VARS'!$H$70*($AT$128*0.5)+'LINEST VARS'!$G$70*($AT$128*12.73)+'LINEST VARS'!$F$70*($Z135*4)+'LINEST VARS'!$E$70*($Z135*0.5)+'LINEST VARS'!$D$70*($Z135*12.73)+'LINEST VARS'!$C$70*(4*0.5)+'LINEST VARS'!$B$70*(4*12.73)+'LINEST VARS'!$A$70*(0.5*12.73)</f>
        <v>87.640000000000029</v>
      </c>
      <c r="AU135" s="47">
        <f>'LINEST VARS'!$U$70+'LINEST VARS'!$T$70*($AU$128)+'LINEST VARS'!$S$70*($Z135)+'LINEST VARS'!$R$70*(4)+'LINEST VARS'!$Q$70*(0.5)+'LINEST VARS'!$P$70*(12.73)+'LINEST VARS'!$O$70*($AU$128^2)+'LINEST VARS'!$N$70*($Z135^2)+'LINEST VARS'!$M$70*(4^2)+'LINEST VARS'!$L$70*(0.5^2)+'LINEST VARS'!$K$70*(12.73^2)+'LINEST VARS'!$J$70*($AU$128*$Z135)+'LINEST VARS'!$I$70*($AU$128*4)+'LINEST VARS'!$H$70*($AU$128*0.5)+'LINEST VARS'!$G$70*($AU$128*12.73)+'LINEST VARS'!$F$70*($Z135*4)+'LINEST VARS'!$E$70*($Z135*0.5)+'LINEST VARS'!$D$70*($Z135*12.73)+'LINEST VARS'!$C$70*(4*0.5)+'LINEST VARS'!$B$70*(4*12.73)+'LINEST VARS'!$A$70*(0.5*12.73)</f>
        <v>87.640000000000029</v>
      </c>
      <c r="AZ135" s="45">
        <v>0.3</v>
      </c>
      <c r="BA135" s="46">
        <f>'LINEST VARS'!$U$68+'LINEST VARS'!$T$68*(8)+'LINEST VARS'!$S$68*(8)+'LINEST VARS'!$R$68*($BA$128)+'LINEST VARS'!$Q$68*($AZ135)+'LINEST VARS'!$P$68*(12.73)+'LINEST VARS'!$O$68*(8^2)+'LINEST VARS'!$N$68*(8^2)+'LINEST VARS'!$M$68*($BA$128^2)+'LINEST VARS'!$L$68*($AZ135^2)+'LINEST VARS'!$K$68*(12.73^2)+'LINEST VARS'!$J$68*(8*8)+'LINEST VARS'!$I$68*(8*$BA$128)+'LINEST VARS'!$H$68*(8*$AZ135)+'LINEST VARS'!$G$68*(8*12.73)+'LINEST VARS'!$F$68*(8*$BA$128)+'LINEST VARS'!$E$68*(8*$AZ135)+'LINEST VARS'!$D$68*(8*12.73)+'LINEST VARS'!$C$68*($BA$128*$AZ135)+'LINEST VARS'!$B$68*($BA$128*12.73)+'LINEST VARS'!$A$68*($AZ135*12.73)</f>
        <v>149.63999999999999</v>
      </c>
      <c r="BB135" s="46">
        <f>'LINEST VARS'!$U$68+'LINEST VARS'!$T$68*(8)+'LINEST VARS'!$S$68*(8)+'LINEST VARS'!$R$68*($BB$128)+'LINEST VARS'!$Q$68*($AZ135)+'LINEST VARS'!$P$68*(12.73)+'LINEST VARS'!$O$68*(8^2)+'LINEST VARS'!$N$68*(8^2)+'LINEST VARS'!$M$68*($BB$128^2)+'LINEST VARS'!$L$68*($AZ135^2)+'LINEST VARS'!$K$68*(12.73^2)+'LINEST VARS'!$J$68*(8*8)+'LINEST VARS'!$I$68*(8*$BB$128)+'LINEST VARS'!$H$68*(8*$AZ135)+'LINEST VARS'!$G$68*(8*12.73)+'LINEST VARS'!$F$68*(8*$BB$128)+'LINEST VARS'!$E$68*(8*$AZ135)+'LINEST VARS'!$D$68*(8*12.73)+'LINEST VARS'!$C$68*($BB$128*$AZ135)+'LINEST VARS'!$B$68*($BB$128*12.73)+'LINEST VARS'!$A$68*($AZ135*12.73)</f>
        <v>149.63999999999999</v>
      </c>
      <c r="BC135" s="46">
        <f>'LINEST VARS'!$U$68+'LINEST VARS'!$T$68*(8)+'LINEST VARS'!$S$68*(8)+'LINEST VARS'!$R$68*($BC$128)+'LINEST VARS'!$Q$68*($AZ135)+'LINEST VARS'!$P$68*(12.73)+'LINEST VARS'!$O$68*(8^2)+'LINEST VARS'!$N$68*(8^2)+'LINEST VARS'!$M$68*($BC$128^2)+'LINEST VARS'!$L$68*($AZ135^2)+'LINEST VARS'!$K$68*(12.73^2)+'LINEST VARS'!$J$68*(8*8)+'LINEST VARS'!$I$68*(8*$BC$128)+'LINEST VARS'!$H$68*(8*$AZ135)+'LINEST VARS'!$G$68*(8*12.73)+'LINEST VARS'!$F$68*(8*$BC$128)+'LINEST VARS'!$E$68*(8*$AZ135)+'LINEST VARS'!$D$68*(8*12.73)+'LINEST VARS'!$C$68*($BC$128*$AZ135)+'LINEST VARS'!$B$68*($BC$128*12.73)+'LINEST VARS'!$A$68*($AZ135*12.73)</f>
        <v>149.63999999999999</v>
      </c>
      <c r="BD135" s="46">
        <f>'LINEST VARS'!$U$68+'LINEST VARS'!$T$68*(8)+'LINEST VARS'!$S$68*(8)+'LINEST VARS'!$R$68*($BD$128)+'LINEST VARS'!$Q$68*($AZ135)+'LINEST VARS'!$P$68*(12.73)+'LINEST VARS'!$O$68*(8^2)+'LINEST VARS'!$N$68*(8^2)+'LINEST VARS'!$M$68*($BD$128^2)+'LINEST VARS'!$L$68*($AZ135^2)+'LINEST VARS'!$K$68*(12.73^2)+'LINEST VARS'!$J$68*(8*8)+'LINEST VARS'!$I$68*(8*$BD$128)+'LINEST VARS'!$H$68*(8*$AZ135)+'LINEST VARS'!$G$68*(8*12.73)+'LINEST VARS'!$F$68*(8*$BD$128)+'LINEST VARS'!$E$68*(8*$AZ135)+'LINEST VARS'!$D$68*(8*12.73)+'LINEST VARS'!$C$68*($BD$128*$AZ135)+'LINEST VARS'!$B$68*($BD$128*12.73)+'LINEST VARS'!$A$68*($AZ135*12.73)</f>
        <v>149.63999999999999</v>
      </c>
      <c r="BE135" s="46">
        <f>'LINEST VARS'!$U$68+'LINEST VARS'!$T$68*(8)+'LINEST VARS'!$S$68*(8)+'LINEST VARS'!$R$68*($BE$128)+'LINEST VARS'!$Q$68*($AZ135)+'LINEST VARS'!$P$68*(12.73)+'LINEST VARS'!$O$68*(8^2)+'LINEST VARS'!$N$68*(8^2)+'LINEST VARS'!$M$68*($BE$128^2)+'LINEST VARS'!$L$68*($AZ135^2)+'LINEST VARS'!$K$68*(12.73^2)+'LINEST VARS'!$J$68*(8*8)+'LINEST VARS'!$I$68*(8*$BE$128)+'LINEST VARS'!$H$68*(8*$AZ135)+'LINEST VARS'!$G$68*(8*12.73)+'LINEST VARS'!$F$68*(8*$BE$128)+'LINEST VARS'!$E$68*(8*$AZ135)+'LINEST VARS'!$D$68*(8*12.73)+'LINEST VARS'!$C$68*($BE$128*$AZ135)+'LINEST VARS'!$B$68*($BE$128*12.73)+'LINEST VARS'!$A$68*($AZ135*12.73)</f>
        <v>149.63999999999999</v>
      </c>
      <c r="BF135" s="46">
        <f>'LINEST VARS'!$U$68+'LINEST VARS'!$T$68*(8)+'LINEST VARS'!$S$68*(8)+'LINEST VARS'!$R$68*($BF$128)+'LINEST VARS'!$Q$68*($AZ135)+'LINEST VARS'!$P$68*(12.73)+'LINEST VARS'!$O$68*(8^2)+'LINEST VARS'!$N$68*(8^2)+'LINEST VARS'!$M$68*($BF$128^2)+'LINEST VARS'!$L$68*($AZ135^2)+'LINEST VARS'!$K$68*(12.73^2)+'LINEST VARS'!$J$68*(8*8)+'LINEST VARS'!$I$68*(8*$BF$128)+'LINEST VARS'!$H$68*(8*$AZ135)+'LINEST VARS'!$G$68*(8*12.73)+'LINEST VARS'!$F$68*(8*$BF$128)+'LINEST VARS'!$E$68*(8*$AZ135)+'LINEST VARS'!$D$68*(8*12.73)+'LINEST VARS'!$C$68*($BF$128*$AZ135)+'LINEST VARS'!$B$68*($BF$128*12.73)+'LINEST VARS'!$A$68*($AZ135*12.73)</f>
        <v>149.63999999999999</v>
      </c>
      <c r="BG135" s="46">
        <f>'LINEST VARS'!$U$68+'LINEST VARS'!$T$68*(8)+'LINEST VARS'!$S$68*(8)+'LINEST VARS'!$R$68*($BG$128)+'LINEST VARS'!$Q$68*($AZ135)+'LINEST VARS'!$P$68*(12.73)+'LINEST VARS'!$O$68*(8^2)+'LINEST VARS'!$N$68*(8^2)+'LINEST VARS'!$M$68*($BG$128^2)+'LINEST VARS'!$L$68*($AZ135^2)+'LINEST VARS'!$K$68*(12.73^2)+'LINEST VARS'!$J$68*(8*8)+'LINEST VARS'!$I$68*(8*$BG$128)+'LINEST VARS'!$H$68*(8*$AZ135)+'LINEST VARS'!$G$68*(8*12.73)+'LINEST VARS'!$F$68*(8*$BG$128)+'LINEST VARS'!$E$68*(8*$AZ135)+'LINEST VARS'!$D$68*(8*12.73)+'LINEST VARS'!$C$68*($BG$128*$AZ135)+'LINEST VARS'!$B$68*($BG$128*12.73)+'LINEST VARS'!$A$68*($AZ135*12.73)</f>
        <v>149.63999999999999</v>
      </c>
      <c r="BH135" s="46">
        <f>'LINEST VARS'!$U$68+'LINEST VARS'!$T$68*(8)+'LINEST VARS'!$S$68*(8)+'LINEST VARS'!$R$68*($BH$128)+'LINEST VARS'!$Q$68*($AZ135)+'LINEST VARS'!$P$68*(12.73)+'LINEST VARS'!$O$68*(8^2)+'LINEST VARS'!$N$68*(8^2)+'LINEST VARS'!$M$68*($BH$128^2)+'LINEST VARS'!$L$68*($AZ135^2)+'LINEST VARS'!$K$68*(12.73^2)+'LINEST VARS'!$J$68*(8*8)+'LINEST VARS'!$I$68*(8*$BH$128)+'LINEST VARS'!$H$68*(8*$AZ135)+'LINEST VARS'!$G$68*(8*12.73)+'LINEST VARS'!$F$68*(8*$BH$128)+'LINEST VARS'!$E$68*(8*$AZ135)+'LINEST VARS'!$D$68*(8*12.73)+'LINEST VARS'!$C$68*($BH$128*$AZ135)+'LINEST VARS'!$B$68*($BH$128*12.73)+'LINEST VARS'!$A$68*($AZ135*12.73)</f>
        <v>149.63999999999999</v>
      </c>
      <c r="BI135" s="46">
        <f>'LINEST VARS'!$U$68+'LINEST VARS'!$T$68*(8)+'LINEST VARS'!$S$68*(8)+'LINEST VARS'!$R$68*($BI$128)+'LINEST VARS'!$Q$68*($AZ135)+'LINEST VARS'!$P$68*(12.73)+'LINEST VARS'!$O$68*(8^2)+'LINEST VARS'!$N$68*(8^2)+'LINEST VARS'!$M$68*($BI$128^2)+'LINEST VARS'!$L$68*($AZ135^2)+'LINEST VARS'!$K$68*(12.73^2)+'LINEST VARS'!$J$68*(8*8)+'LINEST VARS'!$I$68*(8*$BI$128)+'LINEST VARS'!$H$68*(8*$AZ135)+'LINEST VARS'!$G$68*(8*12.73)+'LINEST VARS'!$F$68*(8*$BI$128)+'LINEST VARS'!$E$68*(8*$AZ135)+'LINEST VARS'!$D$68*(8*12.73)+'LINEST VARS'!$C$68*($BI$128*$AZ135)+'LINEST VARS'!$B$68*($BI$128*12.73)+'LINEST VARS'!$A$68*($AZ135*12.73)</f>
        <v>149.63999999999999</v>
      </c>
      <c r="BJ135" s="46">
        <f>'LINEST VARS'!$U$68+'LINEST VARS'!$T$68*(8)+'LINEST VARS'!$S$68*(8)+'LINEST VARS'!$R$68*($BJ$128)+'LINEST VARS'!$Q$68*($AZ135)+'LINEST VARS'!$P$68*(12.73)+'LINEST VARS'!$O$68*(8^2)+'LINEST VARS'!$N$68*(8^2)+'LINEST VARS'!$M$68*($BJ$128^2)+'LINEST VARS'!$L$68*($AZ135^2)+'LINEST VARS'!$K$68*(12.73^2)+'LINEST VARS'!$J$68*(8*8)+'LINEST VARS'!$I$68*(8*$BJ$128)+'LINEST VARS'!$H$68*(8*$AZ135)+'LINEST VARS'!$G$68*(8*12.73)+'LINEST VARS'!$F$68*(8*$BJ$128)+'LINEST VARS'!$E$68*(8*$AZ135)+'LINEST VARS'!$D$68*(8*12.73)+'LINEST VARS'!$C$68*($BJ$128*$AZ135)+'LINEST VARS'!$B$68*($BJ$128*12.73)+'LINEST VARS'!$A$68*($AZ135*12.73)</f>
        <v>149.63999999999999</v>
      </c>
      <c r="BK135" s="46">
        <f>'LINEST VARS'!$U$68+'LINEST VARS'!$T$68*(8)+'LINEST VARS'!$S$68*(8)+'LINEST VARS'!$R$68*($BK$128)+'LINEST VARS'!$Q$68*($AZ135)+'LINEST VARS'!$P$68*(12.73)+'LINEST VARS'!$O$68*(8^2)+'LINEST VARS'!$N$68*(8^2)+'LINEST VARS'!$M$68*($BK$128^2)+'LINEST VARS'!$L$68*($AZ135^2)+'LINEST VARS'!$K$68*(12.73^2)+'LINEST VARS'!$J$68*(8*8)+'LINEST VARS'!$I$68*(8*$BK$128)+'LINEST VARS'!$H$68*(8*$AZ135)+'LINEST VARS'!$G$68*(8*12.73)+'LINEST VARS'!$F$68*(8*$BK$128)+'LINEST VARS'!$E$68*(8*$AZ135)+'LINEST VARS'!$D$68*(8*12.73)+'LINEST VARS'!$C$68*($BK$128*$AZ135)+'LINEST VARS'!$B$68*($BK$128*12.73)+'LINEST VARS'!$A$68*($AZ135*12.73)</f>
        <v>149.63999999999999</v>
      </c>
      <c r="BL135" s="46">
        <f>'LINEST VARS'!$U$68+'LINEST VARS'!$T$68*(8)+'LINEST VARS'!$S$68*(8)+'LINEST VARS'!$R$68*($BL$128)+'LINEST VARS'!$Q$68*($AZ135)+'LINEST VARS'!$P$68*(12.73)+'LINEST VARS'!$O$68*(8^2)+'LINEST VARS'!$N$68*(8^2)+'LINEST VARS'!$M$68*($BL$128^2)+'LINEST VARS'!$L$68*($AZ135^2)+'LINEST VARS'!$K$68*(12.73^2)+'LINEST VARS'!$J$68*(8*8)+'LINEST VARS'!$I$68*(8*$BL$128)+'LINEST VARS'!$H$68*(8*$AZ135)+'LINEST VARS'!$G$68*(8*12.73)+'LINEST VARS'!$F$68*(8*$BL$128)+'LINEST VARS'!$E$68*(8*$AZ135)+'LINEST VARS'!$D$68*(8*12.73)+'LINEST VARS'!$C$68*($BL$128*$AZ135)+'LINEST VARS'!$B$68*($BL$128*12.73)+'LINEST VARS'!$A$68*($AZ135*12.73)</f>
        <v>149.63999999999999</v>
      </c>
      <c r="BM135" s="46">
        <f>'LINEST VARS'!$U$68+'LINEST VARS'!$T$68*(8)+'LINEST VARS'!$S$68*(8)+'LINEST VARS'!$R$68*($BM$128)+'LINEST VARS'!$Q$68*($AZ135)+'LINEST VARS'!$P$68*(12.73)+'LINEST VARS'!$O$68*(8^2)+'LINEST VARS'!$N$68*(8^2)+'LINEST VARS'!$M$68*($BM$128^2)+'LINEST VARS'!$L$68*($AZ135^2)+'LINEST VARS'!$K$68*(12.73^2)+'LINEST VARS'!$J$68*(8*8)+'LINEST VARS'!$I$68*(8*$BM$128)+'LINEST VARS'!$H$68*(8*$AZ135)+'LINEST VARS'!$G$68*(8*12.73)+'LINEST VARS'!$F$68*(8*$BM$128)+'LINEST VARS'!$E$68*(8*$AZ135)+'LINEST VARS'!$D$68*(8*12.73)+'LINEST VARS'!$C$68*($BM$128*$AZ135)+'LINEST VARS'!$B$68*($BM$128*12.73)+'LINEST VARS'!$A$68*($AZ135*12.73)</f>
        <v>149.63999999999999</v>
      </c>
      <c r="BN135" s="46">
        <f>'LINEST VARS'!$U$68+'LINEST VARS'!$T$68*(8)+'LINEST VARS'!$S$68*(8)+'LINEST VARS'!$R$68*($BN$128)+'LINEST VARS'!$Q$68*($AZ135)+'LINEST VARS'!$P$68*(12.73)+'LINEST VARS'!$O$68*(8^2)+'LINEST VARS'!$N$68*(8^2)+'LINEST VARS'!$M$68*($BN$128^2)+'LINEST VARS'!$L$68*($AZ135^2)+'LINEST VARS'!$K$68*(12.73^2)+'LINEST VARS'!$J$68*(8*8)+'LINEST VARS'!$I$68*(8*$BN$128)+'LINEST VARS'!$H$68*(8*$AZ135)+'LINEST VARS'!$G$68*(8*12.73)+'LINEST VARS'!$F$68*(8*$BN$128)+'LINEST VARS'!$E$68*(8*$AZ135)+'LINEST VARS'!$D$68*(8*12.73)+'LINEST VARS'!$C$68*($BN$128*$AZ135)+'LINEST VARS'!$B$68*($BN$128*12.73)+'LINEST VARS'!$A$68*($AZ135*12.73)</f>
        <v>149.63999999999999</v>
      </c>
      <c r="BO135" s="46">
        <f>'LINEST VARS'!$U$68+'LINEST VARS'!$T$68*(8)+'LINEST VARS'!$S$68*(8)+'LINEST VARS'!$R$68*($BO$128)+'LINEST VARS'!$Q$68*($AZ135)+'LINEST VARS'!$P$68*(12.73)+'LINEST VARS'!$O$68*(8^2)+'LINEST VARS'!$N$68*(8^2)+'LINEST VARS'!$M$68*($BO$128^2)+'LINEST VARS'!$L$68*($AZ135^2)+'LINEST VARS'!$K$68*(12.73^2)+'LINEST VARS'!$J$68*(8*8)+'LINEST VARS'!$I$68*(8*$BO$128)+'LINEST VARS'!$H$68*(8*$AZ135)+'LINEST VARS'!$G$68*(8*12.73)+'LINEST VARS'!$F$68*(8*$BO$128)+'LINEST VARS'!$E$68*(8*$AZ135)+'LINEST VARS'!$D$68*(8*12.73)+'LINEST VARS'!$C$68*($BO$128*$AZ135)+'LINEST VARS'!$B$68*($BO$128*12.73)+'LINEST VARS'!$A$68*($AZ135*12.73)</f>
        <v>149.63999999999999</v>
      </c>
      <c r="BP135" s="46">
        <f>'LINEST VARS'!$U$68+'LINEST VARS'!$T$68*(8)+'LINEST VARS'!$S$68*(8)+'LINEST VARS'!$R$68*($BP$128)+'LINEST VARS'!$Q$68*($AZ135)+'LINEST VARS'!$P$68*(12.73)+'LINEST VARS'!$O$68*(8^2)+'LINEST VARS'!$N$68*(8^2)+'LINEST VARS'!$M$68*($BP$128^2)+'LINEST VARS'!$L$68*($AZ135^2)+'LINEST VARS'!$K$68*(12.73^2)+'LINEST VARS'!$J$68*(8*8)+'LINEST VARS'!$I$68*(8*$BP$128)+'LINEST VARS'!$H$68*(8*$AZ135)+'LINEST VARS'!$G$68*(8*12.73)+'LINEST VARS'!$F$68*(8*$BP$128)+'LINEST VARS'!$E$68*(8*$AZ135)+'LINEST VARS'!$D$68*(8*12.73)+'LINEST VARS'!$C$68*($BP$128*$AZ135)+'LINEST VARS'!$B$68*($BP$128*12.73)+'LINEST VARS'!$A$68*($AZ135*12.73)</f>
        <v>149.63999999999999</v>
      </c>
      <c r="BQ135" s="46">
        <f>'LINEST VARS'!$U$68+'LINEST VARS'!$T$68*(8)+'LINEST VARS'!$S$68*(8)+'LINEST VARS'!$R$68*($BQ$128)+'LINEST VARS'!$Q$68*($AZ135)+'LINEST VARS'!$P$68*(12.73)+'LINEST VARS'!$O$68*(8^2)+'LINEST VARS'!$N$68*(8^2)+'LINEST VARS'!$M$68*($BQ$128^2)+'LINEST VARS'!$L$68*($AZ135^2)+'LINEST VARS'!$K$68*(12.73^2)+'LINEST VARS'!$J$68*(8*8)+'LINEST VARS'!$I$68*(8*$BQ$128)+'LINEST VARS'!$H$68*(8*$AZ135)+'LINEST VARS'!$G$68*(8*12.73)+'LINEST VARS'!$F$68*(8*$BQ$128)+'LINEST VARS'!$E$68*(8*$AZ135)+'LINEST VARS'!$D$68*(8*12.73)+'LINEST VARS'!$C$68*($BQ$128*$AZ135)+'LINEST VARS'!$B$68*($BQ$128*12.73)+'LINEST VARS'!$A$68*($AZ135*12.73)</f>
        <v>149.63999999999999</v>
      </c>
      <c r="BR135" s="46">
        <f>'LINEST VARS'!$U$68+'LINEST VARS'!$T$68*(8)+'LINEST VARS'!$S$68*(8)+'LINEST VARS'!$R$68*($BR$128)+'LINEST VARS'!$Q$68*($AZ135)+'LINEST VARS'!$P$68*(12.73)+'LINEST VARS'!$O$68*(8^2)+'LINEST VARS'!$N$68*(8^2)+'LINEST VARS'!$M$68*($BR$128^2)+'LINEST VARS'!$L$68*($AZ135^2)+'LINEST VARS'!$K$68*(12.73^2)+'LINEST VARS'!$J$68*(8*8)+'LINEST VARS'!$I$68*(8*$BR$128)+'LINEST VARS'!$H$68*(8*$AZ135)+'LINEST VARS'!$G$68*(8*12.73)+'LINEST VARS'!$F$68*(8*$BR$128)+'LINEST VARS'!$E$68*(8*$AZ135)+'LINEST VARS'!$D$68*(8*12.73)+'LINEST VARS'!$C$68*($BR$128*$AZ135)+'LINEST VARS'!$B$68*($BR$128*12.73)+'LINEST VARS'!$A$68*($AZ135*12.73)</f>
        <v>149.63999999999999</v>
      </c>
      <c r="BS135" s="46">
        <f>'LINEST VARS'!$U$68+'LINEST VARS'!$T$68*(8)+'LINEST VARS'!$S$68*(8)+'LINEST VARS'!$R$68*($BS$128)+'LINEST VARS'!$Q$68*($AZ135)+'LINEST VARS'!$P$68*(12.73)+'LINEST VARS'!$O$68*(8^2)+'LINEST VARS'!$N$68*(8^2)+'LINEST VARS'!$M$68*($BS$128^2)+'LINEST VARS'!$L$68*($AZ135^2)+'LINEST VARS'!$K$68*(12.73^2)+'LINEST VARS'!$J$68*(8*8)+'LINEST VARS'!$I$68*(8*$BS$128)+'LINEST VARS'!$H$68*(8*$AZ135)+'LINEST VARS'!$G$68*(8*12.73)+'LINEST VARS'!$F$68*(8*$BS$128)+'LINEST VARS'!$E$68*(8*$AZ135)+'LINEST VARS'!$D$68*(8*12.73)+'LINEST VARS'!$C$68*($BS$128*$AZ135)+'LINEST VARS'!$B$68*($BS$128*12.73)+'LINEST VARS'!$A$68*($AZ135*12.73)</f>
        <v>149.63999999999999</v>
      </c>
      <c r="BT135" s="46">
        <f>'LINEST VARS'!$U$68+'LINEST VARS'!$T$68*(8)+'LINEST VARS'!$S$68*(8)+'LINEST VARS'!$R$68*($BT$128)+'LINEST VARS'!$Q$68*($AZ135)+'LINEST VARS'!$P$68*(12.73)+'LINEST VARS'!$O$68*(8^2)+'LINEST VARS'!$N$68*(8^2)+'LINEST VARS'!$M$68*($BT$128^2)+'LINEST VARS'!$L$68*($AZ135^2)+'LINEST VARS'!$K$68*(12.73^2)+'LINEST VARS'!$J$68*(8*8)+'LINEST VARS'!$I$68*(8*$BT$128)+'LINEST VARS'!$H$68*(8*$AZ135)+'LINEST VARS'!$G$68*(8*12.73)+'LINEST VARS'!$F$68*(8*$BT$128)+'LINEST VARS'!$E$68*(8*$AZ135)+'LINEST VARS'!$D$68*(8*12.73)+'LINEST VARS'!$C$68*($BT$128*$AZ135)+'LINEST VARS'!$B$68*($BT$128*12.73)+'LINEST VARS'!$A$68*($AZ135*12.73)</f>
        <v>149.63999999999999</v>
      </c>
      <c r="BU135" s="47">
        <f>'LINEST VARS'!$U$68+'LINEST VARS'!$T$68*(8)+'LINEST VARS'!$S$68*(8)+'LINEST VARS'!$R$68*($BU$128)+'LINEST VARS'!$Q$68*($AZ135)+'LINEST VARS'!$P$68*(12.73)+'LINEST VARS'!$O$68*(8^2)+'LINEST VARS'!$N$68*(8^2)+'LINEST VARS'!$M$68*($BU$128^2)+'LINEST VARS'!$L$68*($AZ135^2)+'LINEST VARS'!$K$68*(12.73^2)+'LINEST VARS'!$J$68*(8*8)+'LINEST VARS'!$I$68*(8*$BU$128)+'LINEST VARS'!$H$68*(8*$AZ135)+'LINEST VARS'!$G$68*(8*12.73)+'LINEST VARS'!$F$68*(8*$BU$128)+'LINEST VARS'!$E$68*(8*$AZ135)+'LINEST VARS'!$D$68*(8*12.73)+'LINEST VARS'!$C$68*($BU$128*$AZ135)+'LINEST VARS'!$B$68*($BU$128*12.73)+'LINEST VARS'!$A$68*($AZ135*12.73)</f>
        <v>149.63999999999999</v>
      </c>
      <c r="BX135" s="45">
        <v>0.3</v>
      </c>
      <c r="BY135" s="46">
        <f>'LINEST VARS'!$U$70+'LINEST VARS'!$T$70*(8)+'LINEST VARS'!$S$70*(8)+'LINEST VARS'!$R$70*($BY$128)+'LINEST VARS'!$Q$70*($BX135)+'LINEST VARS'!$P$70*(12.73)+'LINEST VARS'!$O$70*(8^2)+'LINEST VARS'!$N$70*(8^2)+'LINEST VARS'!$M$70*($BY$128^2)+'LINEST VARS'!$L$70*($BX135^2)+'LINEST VARS'!$K$70*(12.73^2)+'LINEST VARS'!$J$70*(8*8)+'LINEST VARS'!$I$70*(8*$BY$128)+'LINEST VARS'!$H$70*(8*$BX135)+'LINEST VARS'!$G$70*(8*12.73)+'LINEST VARS'!$F$70*(8*$BY$128)+'LINEST VARS'!$E$70*(8*$BX135)+'LINEST VARS'!$D$70*(8*12.73)+'LINEST VARS'!$C$70*($BY$128*$BX135)+'LINEST VARS'!$B$70*($BY$128*12.73)+'LINEST VARS'!$A$70*($BX135*12.73)</f>
        <v>92.000000000000014</v>
      </c>
      <c r="BZ135" s="46">
        <f>'LINEST VARS'!$U$70+'LINEST VARS'!$T$70*(8)+'LINEST VARS'!$S$70*(8)+'LINEST VARS'!$R$70*($BZ$128)+'LINEST VARS'!$Q$70*($BX135)+'LINEST VARS'!$P$70*(12.73)+'LINEST VARS'!$O$70*(8^2)+'LINEST VARS'!$N$70*(8^2)+'LINEST VARS'!$M$70*($BZ$128^2)+'LINEST VARS'!$L$70*($BX135^2)+'LINEST VARS'!$K$70*(12.73^2)+'LINEST VARS'!$J$70*(8*8)+'LINEST VARS'!$I$70*(8*$BZ$128)+'LINEST VARS'!$H$70*(8*$BX135)+'LINEST VARS'!$G$70*(8*12.73)+'LINEST VARS'!$F$70*(8*$BZ$128)+'LINEST VARS'!$E$70*(8*$BX135)+'LINEST VARS'!$D$70*(8*12.73)+'LINEST VARS'!$C$70*($BZ$128*$BX135)+'LINEST VARS'!$B$70*($BZ$128*12.73)+'LINEST VARS'!$A$70*($BX135*12.73)</f>
        <v>91.600000000000009</v>
      </c>
      <c r="CA135" s="46">
        <f>'LINEST VARS'!$U$70+'LINEST VARS'!$T$70*(8)+'LINEST VARS'!$S$70*(8)+'LINEST VARS'!$R$70*($CA$128)+'LINEST VARS'!$Q$70*($BX135)+'LINEST VARS'!$P$70*(12.73)+'LINEST VARS'!$O$70*(8^2)+'LINEST VARS'!$N$70*(8^2)+'LINEST VARS'!$M$70*($CA$128^2)+'LINEST VARS'!$L$70*($BX135^2)+'LINEST VARS'!$K$70*(12.73^2)+'LINEST VARS'!$J$70*(8*8)+'LINEST VARS'!$I$70*(8*$CA$128)+'LINEST VARS'!$H$70*(8*$BX135)+'LINEST VARS'!$G$70*(8*12.73)+'LINEST VARS'!$F$70*(8*$CA$128)+'LINEST VARS'!$E$70*(8*$BX135)+'LINEST VARS'!$D$70*(8*12.73)+'LINEST VARS'!$C$70*($CA$128*$BX135)+'LINEST VARS'!$B$70*($CA$128*12.73)+'LINEST VARS'!$A$70*($BX135*12.73)</f>
        <v>91.200000000000017</v>
      </c>
      <c r="CB135" s="46">
        <f>'LINEST VARS'!$U$70+'LINEST VARS'!$T$70*(8)+'LINEST VARS'!$S$70*(8)+'LINEST VARS'!$R$70*($CB$128)+'LINEST VARS'!$Q$70*($BX135)+'LINEST VARS'!$P$70*(12.73)+'LINEST VARS'!$O$70*(8^2)+'LINEST VARS'!$N$70*(8^2)+'LINEST VARS'!$M$70*($CB$128^2)+'LINEST VARS'!$L$70*($BX135^2)+'LINEST VARS'!$K$70*(12.73^2)+'LINEST VARS'!$J$70*(8*8)+'LINEST VARS'!$I$70*(8*$CB$128)+'LINEST VARS'!$H$70*(8*$BX135)+'LINEST VARS'!$G$70*(8*12.73)+'LINEST VARS'!$F$70*(8*$CB$128)+'LINEST VARS'!$E$70*(8*$BX135)+'LINEST VARS'!$D$70*(8*12.73)+'LINEST VARS'!$C$70*($CB$128*$BX135)+'LINEST VARS'!$B$70*($CB$128*12.73)+'LINEST VARS'!$A$70*($BX135*12.73)</f>
        <v>90.800000000000011</v>
      </c>
      <c r="CC135" s="46">
        <f>'LINEST VARS'!$U$70+'LINEST VARS'!$T$70*(8)+'LINEST VARS'!$S$70*(8)+'LINEST VARS'!$R$70*($CC$128)+'LINEST VARS'!$Q$70*($BX135)+'LINEST VARS'!$P$70*(12.73)+'LINEST VARS'!$O$70*(8^2)+'LINEST VARS'!$N$70*(8^2)+'LINEST VARS'!$M$70*($CC$128^2)+'LINEST VARS'!$L$70*($BX135^2)+'LINEST VARS'!$K$70*(12.73^2)+'LINEST VARS'!$J$70*(8*8)+'LINEST VARS'!$I$70*(8*$CC$128)+'LINEST VARS'!$H$70*(8*$BX135)+'LINEST VARS'!$G$70*(8*12.73)+'LINEST VARS'!$F$70*(8*$CC$128)+'LINEST VARS'!$E$70*(8*$BX135)+'LINEST VARS'!$D$70*(8*12.73)+'LINEST VARS'!$C$70*($CC$128*$BX135)+'LINEST VARS'!$B$70*($CC$128*12.73)+'LINEST VARS'!$A$70*($BX135*12.73)</f>
        <v>90.40000000000002</v>
      </c>
      <c r="CD135" s="46">
        <f>'LINEST VARS'!$U$70+'LINEST VARS'!$T$70*(8)+'LINEST VARS'!$S$70*(8)+'LINEST VARS'!$R$70*($CD$128)+'LINEST VARS'!$Q$70*($BX135)+'LINEST VARS'!$P$70*(12.73)+'LINEST VARS'!$O$70*(8^2)+'LINEST VARS'!$N$70*(8^2)+'LINEST VARS'!$M$70*($CD$128^2)+'LINEST VARS'!$L$70*($BX135^2)+'LINEST VARS'!$K$70*(12.73^2)+'LINEST VARS'!$J$70*(8*8)+'LINEST VARS'!$I$70*(8*$CD$128)+'LINEST VARS'!$H$70*(8*$BX135)+'LINEST VARS'!$G$70*(8*12.73)+'LINEST VARS'!$F$70*(8*$CD$128)+'LINEST VARS'!$E$70*(8*$BX135)+'LINEST VARS'!$D$70*(8*12.73)+'LINEST VARS'!$C$70*($CD$128*$BX135)+'LINEST VARS'!$B$70*($CD$128*12.73)+'LINEST VARS'!$A$70*($BX135*12.73)</f>
        <v>90.000000000000014</v>
      </c>
      <c r="CE135" s="46">
        <f>'LINEST VARS'!$U$70+'LINEST VARS'!$T$70*(8)+'LINEST VARS'!$S$70*(8)+'LINEST VARS'!$R$70*($CE$128)+'LINEST VARS'!$Q$70*($BX135)+'LINEST VARS'!$P$70*(12.73)+'LINEST VARS'!$O$70*(8^2)+'LINEST VARS'!$N$70*(8^2)+'LINEST VARS'!$M$70*($CE$128^2)+'LINEST VARS'!$L$70*($BX135^2)+'LINEST VARS'!$K$70*(12.73^2)+'LINEST VARS'!$J$70*(8*8)+'LINEST VARS'!$I$70*(8*$CE$128)+'LINEST VARS'!$H$70*(8*$BX135)+'LINEST VARS'!$G$70*(8*12.73)+'LINEST VARS'!$F$70*(8*$CE$128)+'LINEST VARS'!$E$70*(8*$BX135)+'LINEST VARS'!$D$70*(8*12.73)+'LINEST VARS'!$C$70*($CE$128*$BX135)+'LINEST VARS'!$B$70*($CE$128*12.73)+'LINEST VARS'!$A$70*($BX135*12.73)</f>
        <v>89.600000000000023</v>
      </c>
      <c r="CF135" s="46">
        <f>'LINEST VARS'!$U$70+'LINEST VARS'!$T$70*(8)+'LINEST VARS'!$S$70*(8)+'LINEST VARS'!$R$70*($CF$128)+'LINEST VARS'!$Q$70*($BX135)+'LINEST VARS'!$P$70*(12.73)+'LINEST VARS'!$O$70*(8^2)+'LINEST VARS'!$N$70*(8^2)+'LINEST VARS'!$M$70*($CF$128^2)+'LINEST VARS'!$L$70*($BX135^2)+'LINEST VARS'!$K$70*(12.73^2)+'LINEST VARS'!$J$70*(8*8)+'LINEST VARS'!$I$70*(8*$CF$128)+'LINEST VARS'!$H$70*(8*$BX135)+'LINEST VARS'!$G$70*(8*12.73)+'LINEST VARS'!$F$70*(8*$CF$128)+'LINEST VARS'!$E$70*(8*$BX135)+'LINEST VARS'!$D$70*(8*12.73)+'LINEST VARS'!$C$70*($CF$128*$BX135)+'LINEST VARS'!$B$70*($CF$128*12.73)+'LINEST VARS'!$A$70*($BX135*12.73)</f>
        <v>89.200000000000017</v>
      </c>
      <c r="CG135" s="46">
        <f>'LINEST VARS'!$U$70+'LINEST VARS'!$T$70*(8)+'LINEST VARS'!$S$70*(8)+'LINEST VARS'!$R$70*($CG$128)+'LINEST VARS'!$Q$70*($BX135)+'LINEST VARS'!$P$70*(12.73)+'LINEST VARS'!$O$70*(8^2)+'LINEST VARS'!$N$70*(8^2)+'LINEST VARS'!$M$70*($CG$128^2)+'LINEST VARS'!$L$70*($BX135^2)+'LINEST VARS'!$K$70*(12.73^2)+'LINEST VARS'!$J$70*(8*8)+'LINEST VARS'!$I$70*(8*$CG$128)+'LINEST VARS'!$H$70*(8*$BX135)+'LINEST VARS'!$G$70*(8*12.73)+'LINEST VARS'!$F$70*(8*$CG$128)+'LINEST VARS'!$E$70*(8*$BX135)+'LINEST VARS'!$D$70*(8*12.73)+'LINEST VARS'!$C$70*($CG$128*$BX135)+'LINEST VARS'!$B$70*($CG$128*12.73)+'LINEST VARS'!$A$70*($BX135*12.73)</f>
        <v>88.800000000000026</v>
      </c>
      <c r="CH135" s="46">
        <f>'LINEST VARS'!$U$70+'LINEST VARS'!$T$70*(8)+'LINEST VARS'!$S$70*(8)+'LINEST VARS'!$R$70*($CH$128)+'LINEST VARS'!$Q$70*($BX135)+'LINEST VARS'!$P$70*(12.73)+'LINEST VARS'!$O$70*(8^2)+'LINEST VARS'!$N$70*(8^2)+'LINEST VARS'!$M$70*($CH$128^2)+'LINEST VARS'!$L$70*($BX135^2)+'LINEST VARS'!$K$70*(12.73^2)+'LINEST VARS'!$J$70*(8*8)+'LINEST VARS'!$I$70*(8*$CH$128)+'LINEST VARS'!$H$70*(8*$BX135)+'LINEST VARS'!$G$70*(8*12.73)+'LINEST VARS'!$F$70*(8*$CH$128)+'LINEST VARS'!$E$70*(8*$BX135)+'LINEST VARS'!$D$70*(8*12.73)+'LINEST VARS'!$C$70*($CH$128*$BX135)+'LINEST VARS'!$B$70*($CH$128*12.73)+'LINEST VARS'!$A$70*($BX135*12.73)</f>
        <v>88.40000000000002</v>
      </c>
      <c r="CI135" s="46">
        <f>'LINEST VARS'!$U$70+'LINEST VARS'!$T$70*(8)+'LINEST VARS'!$S$70*(8)+'LINEST VARS'!$R$70*($CI$128)+'LINEST VARS'!$Q$70*($BX135)+'LINEST VARS'!$P$70*(12.73)+'LINEST VARS'!$O$70*(8^2)+'LINEST VARS'!$N$70*(8^2)+'LINEST VARS'!$M$70*($CI$128^2)+'LINEST VARS'!$L$70*($BX135^2)+'LINEST VARS'!$K$70*(12.73^2)+'LINEST VARS'!$J$70*(8*8)+'LINEST VARS'!$I$70*(8*$CI$128)+'LINEST VARS'!$H$70*(8*$BX135)+'LINEST VARS'!$G$70*(8*12.73)+'LINEST VARS'!$F$70*(8*$CI$128)+'LINEST VARS'!$E$70*(8*$BX135)+'LINEST VARS'!$D$70*(8*12.73)+'LINEST VARS'!$C$70*($CI$128*$BX135)+'LINEST VARS'!$B$70*($CI$128*12.73)+'LINEST VARS'!$A$70*($BX135*12.73)</f>
        <v>88.000000000000014</v>
      </c>
      <c r="CJ135" s="46">
        <f>'LINEST VARS'!$U$70+'LINEST VARS'!$T$70*(8)+'LINEST VARS'!$S$70*(8)+'LINEST VARS'!$R$70*($CJ$128)+'LINEST VARS'!$Q$70*($BX135)+'LINEST VARS'!$P$70*(12.73)+'LINEST VARS'!$O$70*(8^2)+'LINEST VARS'!$N$70*(8^2)+'LINEST VARS'!$M$70*($CJ$128^2)+'LINEST VARS'!$L$70*($BX135^2)+'LINEST VARS'!$K$70*(12.73^2)+'LINEST VARS'!$J$70*(8*8)+'LINEST VARS'!$I$70*(8*$CJ$128)+'LINEST VARS'!$H$70*(8*$BX135)+'LINEST VARS'!$G$70*(8*12.73)+'LINEST VARS'!$F$70*(8*$CJ$128)+'LINEST VARS'!$E$70*(8*$BX135)+'LINEST VARS'!$D$70*(8*12.73)+'LINEST VARS'!$C$70*($CJ$128*$BX135)+'LINEST VARS'!$B$70*($CJ$128*12.73)+'LINEST VARS'!$A$70*($BX135*12.73)</f>
        <v>87.600000000000023</v>
      </c>
      <c r="CK135" s="46">
        <f>'LINEST VARS'!$U$70+'LINEST VARS'!$T$70*(8)+'LINEST VARS'!$S$70*(8)+'LINEST VARS'!$R$70*($CK$128)+'LINEST VARS'!$Q$70*($BX135)+'LINEST VARS'!$P$70*(12.73)+'LINEST VARS'!$O$70*(8^2)+'LINEST VARS'!$N$70*(8^2)+'LINEST VARS'!$M$70*($CK$128^2)+'LINEST VARS'!$L$70*($BX135^2)+'LINEST VARS'!$K$70*(12.73^2)+'LINEST VARS'!$J$70*(8*8)+'LINEST VARS'!$I$70*(8*$CK$128)+'LINEST VARS'!$H$70*(8*$BX135)+'LINEST VARS'!$G$70*(8*12.73)+'LINEST VARS'!$F$70*(8*$CK$128)+'LINEST VARS'!$E$70*(8*$BX135)+'LINEST VARS'!$D$70*(8*12.73)+'LINEST VARS'!$C$70*($CK$128*$BX135)+'LINEST VARS'!$B$70*($CK$128*12.73)+'LINEST VARS'!$A$70*($BX135*12.73)</f>
        <v>87.200000000000017</v>
      </c>
      <c r="CL135" s="46">
        <f>'LINEST VARS'!$U$70+'LINEST VARS'!$T$70*(8)+'LINEST VARS'!$S$70*(8)+'LINEST VARS'!$R$70*($CL$128)+'LINEST VARS'!$Q$70*($BX135)+'LINEST VARS'!$P$70*(12.73)+'LINEST VARS'!$O$70*(8^2)+'LINEST VARS'!$N$70*(8^2)+'LINEST VARS'!$M$70*($CL$128^2)+'LINEST VARS'!$L$70*($BX135^2)+'LINEST VARS'!$K$70*(12.73^2)+'LINEST VARS'!$J$70*(8*8)+'LINEST VARS'!$I$70*(8*$CL$128)+'LINEST VARS'!$H$70*(8*$BX135)+'LINEST VARS'!$G$70*(8*12.73)+'LINEST VARS'!$F$70*(8*$CL$128)+'LINEST VARS'!$E$70*(8*$BX135)+'LINEST VARS'!$D$70*(8*12.73)+'LINEST VARS'!$C$70*($CL$128*$BX135)+'LINEST VARS'!$B$70*($CL$128*12.73)+'LINEST VARS'!$A$70*($BX135*12.73)</f>
        <v>86.800000000000026</v>
      </c>
      <c r="CM135" s="46">
        <f>'LINEST VARS'!$U$70+'LINEST VARS'!$T$70*(8)+'LINEST VARS'!$S$70*(8)+'LINEST VARS'!$R$70*($CM$128)+'LINEST VARS'!$Q$70*($BX135)+'LINEST VARS'!$P$70*(12.73)+'LINEST VARS'!$O$70*(8^2)+'LINEST VARS'!$N$70*(8^2)+'LINEST VARS'!$M$70*($CM$128^2)+'LINEST VARS'!$L$70*($BX135^2)+'LINEST VARS'!$K$70*(12.73^2)+'LINEST VARS'!$J$70*(8*8)+'LINEST VARS'!$I$70*(8*$CM$128)+'LINEST VARS'!$H$70*(8*$BX135)+'LINEST VARS'!$G$70*(8*12.73)+'LINEST VARS'!$F$70*(8*$CM$128)+'LINEST VARS'!$E$70*(8*$BX135)+'LINEST VARS'!$D$70*(8*12.73)+'LINEST VARS'!$C$70*($CM$128*$BX135)+'LINEST VARS'!$B$70*($CM$128*12.73)+'LINEST VARS'!$A$70*($BX135*12.73)</f>
        <v>86.40000000000002</v>
      </c>
      <c r="CN135" s="46">
        <f>'LINEST VARS'!$U$70+'LINEST VARS'!$T$70*(8)+'LINEST VARS'!$S$70*(8)+'LINEST VARS'!$R$70*($CN$128)+'LINEST VARS'!$Q$70*($BX135)+'LINEST VARS'!$P$70*(12.73)+'LINEST VARS'!$O$70*(8^2)+'LINEST VARS'!$N$70*(8^2)+'LINEST VARS'!$M$70*($CN$128^2)+'LINEST VARS'!$L$70*($BX135^2)+'LINEST VARS'!$K$70*(12.73^2)+'LINEST VARS'!$J$70*(8*8)+'LINEST VARS'!$I$70*(8*$CN$128)+'LINEST VARS'!$H$70*(8*$BX135)+'LINEST VARS'!$G$70*(8*12.73)+'LINEST VARS'!$F$70*(8*$CN$128)+'LINEST VARS'!$E$70*(8*$BX135)+'LINEST VARS'!$D$70*(8*12.73)+'LINEST VARS'!$C$70*($CN$128*$BX135)+'LINEST VARS'!$B$70*($CN$128*12.73)+'LINEST VARS'!$A$70*($BX135*12.73)</f>
        <v>86.000000000000014</v>
      </c>
      <c r="CO135" s="46">
        <f>'LINEST VARS'!$U$70+'LINEST VARS'!$T$70*(8)+'LINEST VARS'!$S$70*(8)+'LINEST VARS'!$R$70*($CO$128)+'LINEST VARS'!$Q$70*($BX135)+'LINEST VARS'!$P$70*(12.73)+'LINEST VARS'!$O$70*(8^2)+'LINEST VARS'!$N$70*(8^2)+'LINEST VARS'!$M$70*($CO$128^2)+'LINEST VARS'!$L$70*($BX135^2)+'LINEST VARS'!$K$70*(12.73^2)+'LINEST VARS'!$J$70*(8*8)+'LINEST VARS'!$I$70*(8*$CO$128)+'LINEST VARS'!$H$70*(8*$BX135)+'LINEST VARS'!$G$70*(8*12.73)+'LINEST VARS'!$F$70*(8*$CO$128)+'LINEST VARS'!$E$70*(8*$BX135)+'LINEST VARS'!$D$70*(8*12.73)+'LINEST VARS'!$C$70*($CO$128*$BX135)+'LINEST VARS'!$B$70*($CO$128*12.73)+'LINEST VARS'!$A$70*($BX135*12.73)</f>
        <v>85.600000000000009</v>
      </c>
      <c r="CP135" s="46">
        <f>'LINEST VARS'!$U$70+'LINEST VARS'!$T$70*(8)+'LINEST VARS'!$S$70*(8)+'LINEST VARS'!$R$70*($CP$128)+'LINEST VARS'!$Q$70*($BX135)+'LINEST VARS'!$P$70*(12.73)+'LINEST VARS'!$O$70*(8^2)+'LINEST VARS'!$N$70*(8^2)+'LINEST VARS'!$M$70*($CP$128^2)+'LINEST VARS'!$L$70*($BX135^2)+'LINEST VARS'!$K$70*(12.73^2)+'LINEST VARS'!$J$70*(8*8)+'LINEST VARS'!$I$70*(8*$CP$128)+'LINEST VARS'!$H$70*(8*$BX135)+'LINEST VARS'!$G$70*(8*12.73)+'LINEST VARS'!$F$70*(8*$CP$128)+'LINEST VARS'!$E$70*(8*$BX135)+'LINEST VARS'!$D$70*(8*12.73)+'LINEST VARS'!$C$70*($CP$128*$BX135)+'LINEST VARS'!$B$70*($CP$128*12.73)+'LINEST VARS'!$A$70*($BX135*12.73)</f>
        <v>85.200000000000017</v>
      </c>
      <c r="CQ135" s="46">
        <f>'LINEST VARS'!$U$70+'LINEST VARS'!$T$70*(8)+'LINEST VARS'!$S$70*(8)+'LINEST VARS'!$R$70*($CQ$128)+'LINEST VARS'!$Q$70*($BX135)+'LINEST VARS'!$P$70*(12.73)+'LINEST VARS'!$O$70*(8^2)+'LINEST VARS'!$N$70*(8^2)+'LINEST VARS'!$M$70*($CQ$128^2)+'LINEST VARS'!$L$70*($BX135^2)+'LINEST VARS'!$K$70*(12.73^2)+'LINEST VARS'!$J$70*(8*8)+'LINEST VARS'!$I$70*(8*$CQ$128)+'LINEST VARS'!$H$70*(8*$BX135)+'LINEST VARS'!$G$70*(8*12.73)+'LINEST VARS'!$F$70*(8*$CQ$128)+'LINEST VARS'!$E$70*(8*$BX135)+'LINEST VARS'!$D$70*(8*12.73)+'LINEST VARS'!$C$70*($CQ$128*$BX135)+'LINEST VARS'!$B$70*($CQ$128*12.73)+'LINEST VARS'!$A$70*($BX135*12.73)</f>
        <v>84.800000000000011</v>
      </c>
      <c r="CR135" s="46">
        <f>'LINEST VARS'!$U$70+'LINEST VARS'!$T$70*(8)+'LINEST VARS'!$S$70*(8)+'LINEST VARS'!$R$70*($CR$128)+'LINEST VARS'!$Q$70*($BX135)+'LINEST VARS'!$P$70*(12.73)+'LINEST VARS'!$O$70*(8^2)+'LINEST VARS'!$N$70*(8^2)+'LINEST VARS'!$M$70*($CR$128^2)+'LINEST VARS'!$L$70*($BX135^2)+'LINEST VARS'!$K$70*(12.73^2)+'LINEST VARS'!$J$70*(8*8)+'LINEST VARS'!$I$70*(8*$CR$128)+'LINEST VARS'!$H$70*(8*$BX135)+'LINEST VARS'!$G$70*(8*12.73)+'LINEST VARS'!$F$70*(8*$CR$128)+'LINEST VARS'!$E$70*(8*$BX135)+'LINEST VARS'!$D$70*(8*12.73)+'LINEST VARS'!$C$70*($CR$128*$BX135)+'LINEST VARS'!$B$70*($CR$128*12.73)+'LINEST VARS'!$A$70*($BX135*12.73)</f>
        <v>84.400000000000034</v>
      </c>
      <c r="CS135" s="47">
        <f>'LINEST VARS'!$U$70+'LINEST VARS'!$T$70*(8)+'LINEST VARS'!$S$70*(8)+'LINEST VARS'!$R$70*($CS$128)+'LINEST VARS'!$Q$70*($BX135)+'LINEST VARS'!$P$70*(12.73)+'LINEST VARS'!$O$70*(8^2)+'LINEST VARS'!$N$70*(8^2)+'LINEST VARS'!$M$70*($CS$128^2)+'LINEST VARS'!$L$70*($BX135^2)+'LINEST VARS'!$K$70*(12.73^2)+'LINEST VARS'!$J$70*(8*8)+'LINEST VARS'!$I$70*(8*$CS$128)+'LINEST VARS'!$H$70*(8*$BX135)+'LINEST VARS'!$G$70*(8*12.73)+'LINEST VARS'!$F$70*(8*$CS$128)+'LINEST VARS'!$E$70*(8*$BX135)+'LINEST VARS'!$D$70*(8*12.73)+'LINEST VARS'!$C$70*($CS$128*$BX135)+'LINEST VARS'!$B$70*($CS$128*12.73)+'LINEST VARS'!$A$70*($BX135*12.73)</f>
        <v>84.000000000000028</v>
      </c>
      <c r="CX135" s="45">
        <v>7.7969999999999997</v>
      </c>
      <c r="CY135" s="46">
        <f>'LINEST VARS'!$U$68+'LINEST VARS'!$T$68*(8)+'LINEST VARS'!$S$68*(8)+'LINEST VARS'!$R$68*($CY$128)+'LINEST VARS'!$Q$68*(0.5)+'LINEST VARS'!$P$68*($CX135)+'LINEST VARS'!$O$68*(8^2)+'LINEST VARS'!$N$68*(8^2)+'LINEST VARS'!$M$68*($CY$128^2)+'LINEST VARS'!$L$68*(0.5^2)+'LINEST VARS'!$K$68*($CX135^2)+'LINEST VARS'!$J$68*(8*8)+'LINEST VARS'!$I$68*(8*$CY$128)+'LINEST VARS'!$H$68*(8*0.5)+'LINEST VARS'!$G$68*(8*$CX135)+'LINEST VARS'!$F$68*(8*$CY$128)+'LINEST VARS'!$E$68*(8*0.5)+'LINEST VARS'!$D$68*(8*$CX135)+'LINEST VARS'!$C$68*($CY$128*0.5)+'LINEST VARS'!$B$68*($CY$128*$CX135)+'LINEST VARS'!$A$68*(0.5*$CX135)</f>
        <v>149</v>
      </c>
      <c r="CZ135" s="46">
        <f>'LINEST VARS'!$U$68+'LINEST VARS'!$T$68*(8)+'LINEST VARS'!$S$68*(8)+'LINEST VARS'!$R$68*($CZ$128)+'LINEST VARS'!$Q$68*(0.5)+'LINEST VARS'!$P$68*($CX135)+'LINEST VARS'!$O$68*(8^2)+'LINEST VARS'!$N$68*(8^2)+'LINEST VARS'!$M$68*($CZ$128^2)+'LINEST VARS'!$L$68*(0.5^2)+'LINEST VARS'!$K$68*($CX135^2)+'LINEST VARS'!$J$68*(8*8)+'LINEST VARS'!$I$68*(8*$CZ$128)+'LINEST VARS'!$H$68*(8*0.5)+'LINEST VARS'!$G$68*(8*$CX135)+'LINEST VARS'!$F$68*(8*$CZ$128)+'LINEST VARS'!$E$68*(8*0.5)+'LINEST VARS'!$D$68*(8*$CX135)+'LINEST VARS'!$C$68*($CZ$128*0.5)+'LINEST VARS'!$B$68*($CZ$128*$CX135)+'LINEST VARS'!$A$68*(0.5*$CX135)</f>
        <v>149</v>
      </c>
      <c r="DA135" s="46">
        <f>'LINEST VARS'!$U$68+'LINEST VARS'!$T$68*(8)+'LINEST VARS'!$S$68*(8)+'LINEST VARS'!$R$68*($DA$128)+'LINEST VARS'!$Q$68*(0.5)+'LINEST VARS'!$P$68*($CX135)+'LINEST VARS'!$O$68*(8^2)+'LINEST VARS'!$N$68*(8^2)+'LINEST VARS'!$M$68*($DA$128^2)+'LINEST VARS'!$L$68*(0.5^2)+'LINEST VARS'!$K$68*($CX135^2)+'LINEST VARS'!$J$68*(8*8)+'LINEST VARS'!$I$68*(8*$DA$128)+'LINEST VARS'!$H$68*(8*0.5)+'LINEST VARS'!$G$68*(8*$CX135)+'LINEST VARS'!$F$68*(8*$DA$128)+'LINEST VARS'!$E$68*(8*0.5)+'LINEST VARS'!$D$68*(8*$CX135)+'LINEST VARS'!$C$68*($DA$128*0.5)+'LINEST VARS'!$B$68*($DA$128*$CX135)+'LINEST VARS'!$A$68*(0.5*$CX135)</f>
        <v>149</v>
      </c>
      <c r="DB135" s="46">
        <f>'LINEST VARS'!$U$68+'LINEST VARS'!$T$68*(8)+'LINEST VARS'!$S$68*(8)+'LINEST VARS'!$R$68*($DB$128)+'LINEST VARS'!$Q$68*(0.5)+'LINEST VARS'!$P$68*($CX135)+'LINEST VARS'!$O$68*(8^2)+'LINEST VARS'!$N$68*(8^2)+'LINEST VARS'!$M$68*($DB$128^2)+'LINEST VARS'!$L$68*(0.5^2)+'LINEST VARS'!$K$68*($CX135^2)+'LINEST VARS'!$J$68*(8*8)+'LINEST VARS'!$I$68*(8*$DB$128)+'LINEST VARS'!$H$68*(8*0.5)+'LINEST VARS'!$G$68*(8*$CX135)+'LINEST VARS'!$F$68*(8*$DB$128)+'LINEST VARS'!$E$68*(8*0.5)+'LINEST VARS'!$D$68*(8*$CX135)+'LINEST VARS'!$C$68*($DB$128*0.5)+'LINEST VARS'!$B$68*($DB$128*$CX135)+'LINEST VARS'!$A$68*(0.5*$CX135)</f>
        <v>149</v>
      </c>
      <c r="DC135" s="46">
        <f>'LINEST VARS'!$U$68+'LINEST VARS'!$T$68*(8)+'LINEST VARS'!$S$68*(8)+'LINEST VARS'!$R$68*($DC$128)+'LINEST VARS'!$Q$68*(0.5)+'LINEST VARS'!$P$68*($CX135)+'LINEST VARS'!$O$68*(8^2)+'LINEST VARS'!$N$68*(8^2)+'LINEST VARS'!$M$68*($DC$128^2)+'LINEST VARS'!$L$68*(0.5^2)+'LINEST VARS'!$K$68*($CX135^2)+'LINEST VARS'!$J$68*(8*8)+'LINEST VARS'!$I$68*(8*$DC$128)+'LINEST VARS'!$H$68*(8*0.5)+'LINEST VARS'!$G$68*(8*$CX135)+'LINEST VARS'!$F$68*(8*$DC$128)+'LINEST VARS'!$E$68*(8*0.5)+'LINEST VARS'!$D$68*(8*$CX135)+'LINEST VARS'!$C$68*($DC$128*0.5)+'LINEST VARS'!$B$68*($DC$128*$CX135)+'LINEST VARS'!$A$68*(0.5*$CX135)</f>
        <v>149</v>
      </c>
      <c r="DD135" s="46">
        <f>'LINEST VARS'!$U$68+'LINEST VARS'!$T$68*(8)+'LINEST VARS'!$S$68*(8)+'LINEST VARS'!$R$68*($DD$128)+'LINEST VARS'!$Q$68*(0.5)+'LINEST VARS'!$P$68*($CX135)+'LINEST VARS'!$O$68*(8^2)+'LINEST VARS'!$N$68*(8^2)+'LINEST VARS'!$M$68*($DD$128^2)+'LINEST VARS'!$L$68*(0.5^2)+'LINEST VARS'!$K$68*($CX135^2)+'LINEST VARS'!$J$68*(8*8)+'LINEST VARS'!$I$68*(8*$DD$128)+'LINEST VARS'!$H$68*(8*0.5)+'LINEST VARS'!$G$68*(8*$CX135)+'LINEST VARS'!$F$68*(8*$DD$128)+'LINEST VARS'!$E$68*(8*0.5)+'LINEST VARS'!$D$68*(8*$CX135)+'LINEST VARS'!$C$68*($DD$128*0.5)+'LINEST VARS'!$B$68*($DD$128*$CX135)+'LINEST VARS'!$A$68*(0.5*$CX135)</f>
        <v>149</v>
      </c>
      <c r="DE135" s="46">
        <f>'LINEST VARS'!$U$68+'LINEST VARS'!$T$68*(8)+'LINEST VARS'!$S$68*(8)+'LINEST VARS'!$R$68*($DE$128)+'LINEST VARS'!$Q$68*(0.5)+'LINEST VARS'!$P$68*($CX135)+'LINEST VARS'!$O$68*(8^2)+'LINEST VARS'!$N$68*(8^2)+'LINEST VARS'!$M$68*($DE$128^2)+'LINEST VARS'!$L$68*(0.5^2)+'LINEST VARS'!$K$68*($CX135^2)+'LINEST VARS'!$J$68*(8*8)+'LINEST VARS'!$I$68*(8*$DE$128)+'LINEST VARS'!$H$68*(8*0.5)+'LINEST VARS'!$G$68*(8*$CX135)+'LINEST VARS'!$F$68*(8*$DE$128)+'LINEST VARS'!$E$68*(8*0.5)+'LINEST VARS'!$D$68*(8*$CX135)+'LINEST VARS'!$C$68*($DE$128*0.5)+'LINEST VARS'!$B$68*($DE$128*$CX135)+'LINEST VARS'!$A$68*(0.5*$CX135)</f>
        <v>149</v>
      </c>
      <c r="DF135" s="46">
        <f>'LINEST VARS'!$U$68+'LINEST VARS'!$T$68*(8)+'LINEST VARS'!$S$68*(8)+'LINEST VARS'!$R$68*($DF$128)+'LINEST VARS'!$Q$68*(0.5)+'LINEST VARS'!$P$68*($CX135)+'LINEST VARS'!$O$68*(8^2)+'LINEST VARS'!$N$68*(8^2)+'LINEST VARS'!$M$68*($DF$128^2)+'LINEST VARS'!$L$68*(0.5^2)+'LINEST VARS'!$K$68*($CX135^2)+'LINEST VARS'!$J$68*(8*8)+'LINEST VARS'!$I$68*(8*$DF$128)+'LINEST VARS'!$H$68*(8*0.5)+'LINEST VARS'!$G$68*(8*$CX135)+'LINEST VARS'!$F$68*(8*$DF$128)+'LINEST VARS'!$E$68*(8*0.5)+'LINEST VARS'!$D$68*(8*$CX135)+'LINEST VARS'!$C$68*($DF$128*0.5)+'LINEST VARS'!$B$68*($DF$128*$CX135)+'LINEST VARS'!$A$68*(0.5*$CX135)</f>
        <v>149</v>
      </c>
      <c r="DG135" s="46">
        <f>'LINEST VARS'!$U$68+'LINEST VARS'!$T$68*(8)+'LINEST VARS'!$S$68*(8)+'LINEST VARS'!$R$68*($DG$128)+'LINEST VARS'!$Q$68*(0.5)+'LINEST VARS'!$P$68*($CX135)+'LINEST VARS'!$O$68*(8^2)+'LINEST VARS'!$N$68*(8^2)+'LINEST VARS'!$M$68*($DG$128^2)+'LINEST VARS'!$L$68*(0.5^2)+'LINEST VARS'!$K$68*($CX135^2)+'LINEST VARS'!$J$68*(8*8)+'LINEST VARS'!$I$68*(8*$DG$128)+'LINEST VARS'!$H$68*(8*0.5)+'LINEST VARS'!$G$68*(8*$CX135)+'LINEST VARS'!$F$68*(8*$DG$128)+'LINEST VARS'!$E$68*(8*0.5)+'LINEST VARS'!$D$68*(8*$CX135)+'LINEST VARS'!$C$68*($DG$128*0.5)+'LINEST VARS'!$B$68*($DG$128*$CX135)+'LINEST VARS'!$A$68*(0.5*$CX135)</f>
        <v>149</v>
      </c>
      <c r="DH135" s="46">
        <f>'LINEST VARS'!$U$68+'LINEST VARS'!$T$68*(8)+'LINEST VARS'!$S$68*(8)+'LINEST VARS'!$R$68*($DH$128)+'LINEST VARS'!$Q$68*(0.5)+'LINEST VARS'!$P$68*($CX135)+'LINEST VARS'!$O$68*(8^2)+'LINEST VARS'!$N$68*(8^2)+'LINEST VARS'!$M$68*($DH$128^2)+'LINEST VARS'!$L$68*(0.5^2)+'LINEST VARS'!$K$68*($CX135^2)+'LINEST VARS'!$J$68*(8*8)+'LINEST VARS'!$I$68*(8*$DH$128)+'LINEST VARS'!$H$68*(8*0.5)+'LINEST VARS'!$G$68*(8*$CX135)+'LINEST VARS'!$F$68*(8*$DH$128)+'LINEST VARS'!$E$68*(8*0.5)+'LINEST VARS'!$D$68*(8*$CX135)+'LINEST VARS'!$C$68*($DH$128*0.5)+'LINEST VARS'!$B$68*($DH$128*$CX135)+'LINEST VARS'!$A$68*(0.5*$CX135)</f>
        <v>149</v>
      </c>
      <c r="DI135" s="46">
        <f>'LINEST VARS'!$U$68+'LINEST VARS'!$T$68*(8)+'LINEST VARS'!$S$68*(8)+'LINEST VARS'!$R$68*($DI$128)+'LINEST VARS'!$Q$68*(0.5)+'LINEST VARS'!$P$68*($CX135)+'LINEST VARS'!$O$68*(8^2)+'LINEST VARS'!$N$68*(8^2)+'LINEST VARS'!$M$68*($DI$128^2)+'LINEST VARS'!$L$68*(0.5^2)+'LINEST VARS'!$K$68*($CX135^2)+'LINEST VARS'!$J$68*(8*8)+'LINEST VARS'!$I$68*(8*$DI$128)+'LINEST VARS'!$H$68*(8*0.5)+'LINEST VARS'!$G$68*(8*$CX135)+'LINEST VARS'!$F$68*(8*$DI$128)+'LINEST VARS'!$E$68*(8*0.5)+'LINEST VARS'!$D$68*(8*$CX135)+'LINEST VARS'!$C$68*($DI$128*0.5)+'LINEST VARS'!$B$68*($DI$128*$CX135)+'LINEST VARS'!$A$68*(0.5*$CX135)</f>
        <v>149</v>
      </c>
      <c r="DJ135" s="46">
        <f>'LINEST VARS'!$U$68+'LINEST VARS'!$T$68*(8)+'LINEST VARS'!$S$68*(8)+'LINEST VARS'!$R$68*($DJ$128)+'LINEST VARS'!$Q$68*(0.5)+'LINEST VARS'!$P$68*($CX135)+'LINEST VARS'!$O$68*(8^2)+'LINEST VARS'!$N$68*(8^2)+'LINEST VARS'!$M$68*($DJ$128^2)+'LINEST VARS'!$L$68*(0.5^2)+'LINEST VARS'!$K$68*($CX135^2)+'LINEST VARS'!$J$68*(8*8)+'LINEST VARS'!$I$68*(8*$DJ$128)+'LINEST VARS'!$H$68*(8*0.5)+'LINEST VARS'!$G$68*(8*$CX135)+'LINEST VARS'!$F$68*(8*$DJ$128)+'LINEST VARS'!$E$68*(8*0.5)+'LINEST VARS'!$D$68*(8*$CX135)+'LINEST VARS'!$C$68*($DJ$128*0.5)+'LINEST VARS'!$B$68*($DJ$128*$CX135)+'LINEST VARS'!$A$68*(0.5*$CX135)</f>
        <v>149</v>
      </c>
      <c r="DK135" s="46">
        <f>'LINEST VARS'!$U$68+'LINEST VARS'!$T$68*(8)+'LINEST VARS'!$S$68*(8)+'LINEST VARS'!$R$68*($DK$128)+'LINEST VARS'!$Q$68*(0.5)+'LINEST VARS'!$P$68*($CX135)+'LINEST VARS'!$O$68*(8^2)+'LINEST VARS'!$N$68*(8^2)+'LINEST VARS'!$M$68*($DK$128^2)+'LINEST VARS'!$L$68*(0.5^2)+'LINEST VARS'!$K$68*($CX135^2)+'LINEST VARS'!$J$68*(8*8)+'LINEST VARS'!$I$68*(8*$DK$128)+'LINEST VARS'!$H$68*(8*0.5)+'LINEST VARS'!$G$68*(8*$CX135)+'LINEST VARS'!$F$68*(8*$DK$128)+'LINEST VARS'!$E$68*(8*0.5)+'LINEST VARS'!$D$68*(8*$CX135)+'LINEST VARS'!$C$68*($DK$128*0.5)+'LINEST VARS'!$B$68*($DK$128*$CX135)+'LINEST VARS'!$A$68*(0.5*$CX135)</f>
        <v>149</v>
      </c>
      <c r="DL135" s="46">
        <f>'LINEST VARS'!$U$68+'LINEST VARS'!$T$68*(8)+'LINEST VARS'!$S$68*(8)+'LINEST VARS'!$R$68*($DL$128)+'LINEST VARS'!$Q$68*(0.5)+'LINEST VARS'!$P$68*($CX135)+'LINEST VARS'!$O$68*(8^2)+'LINEST VARS'!$N$68*(8^2)+'LINEST VARS'!$M$68*($DL$128^2)+'LINEST VARS'!$L$68*(0.5^2)+'LINEST VARS'!$K$68*($CX135^2)+'LINEST VARS'!$J$68*(8*8)+'LINEST VARS'!$I$68*(8*$DL$128)+'LINEST VARS'!$H$68*(8*0.5)+'LINEST VARS'!$G$68*(8*$CX135)+'LINEST VARS'!$F$68*(8*$DL$128)+'LINEST VARS'!$E$68*(8*0.5)+'LINEST VARS'!$D$68*(8*$CX135)+'LINEST VARS'!$C$68*($DL$128*0.5)+'LINEST VARS'!$B$68*($DL$128*$CX135)+'LINEST VARS'!$A$68*(0.5*$CX135)</f>
        <v>149</v>
      </c>
      <c r="DM135" s="46">
        <f>'LINEST VARS'!$U$68+'LINEST VARS'!$T$68*(8)+'LINEST VARS'!$S$68*(8)+'LINEST VARS'!$R$68*($DM$128)+'LINEST VARS'!$Q$68*(0.5)+'LINEST VARS'!$P$68*($CX135)+'LINEST VARS'!$O$68*(8^2)+'LINEST VARS'!$N$68*(8^2)+'LINEST VARS'!$M$68*($DM$128^2)+'LINEST VARS'!$L$68*(0.5^2)+'LINEST VARS'!$K$68*($CX135^2)+'LINEST VARS'!$J$68*(8*8)+'LINEST VARS'!$I$68*(8*$DM$128)+'LINEST VARS'!$H$68*(8*0.5)+'LINEST VARS'!$G$68*(8*$CX135)+'LINEST VARS'!$F$68*(8*$DM$128)+'LINEST VARS'!$E$68*(8*0.5)+'LINEST VARS'!$D$68*(8*$CX135)+'LINEST VARS'!$C$68*($DM$128*0.5)+'LINEST VARS'!$B$68*($DM$128*$CX135)+'LINEST VARS'!$A$68*(0.5*$CX135)</f>
        <v>149</v>
      </c>
      <c r="DN135" s="46">
        <f>'LINEST VARS'!$U$68+'LINEST VARS'!$T$68*(8)+'LINEST VARS'!$S$68*(8)+'LINEST VARS'!$R$68*($DN$128)+'LINEST VARS'!$Q$68*(0.5)+'LINEST VARS'!$P$68*($CX135)+'LINEST VARS'!$O$68*(8^2)+'LINEST VARS'!$N$68*(8^2)+'LINEST VARS'!$M$68*($DN$128^2)+'LINEST VARS'!$L$68*(0.5^2)+'LINEST VARS'!$K$68*($CX135^2)+'LINEST VARS'!$J$68*(8*8)+'LINEST VARS'!$I$68*(8*$DN$128)+'LINEST VARS'!$H$68*(8*0.5)+'LINEST VARS'!$G$68*(8*$CX135)+'LINEST VARS'!$F$68*(8*$DN$128)+'LINEST VARS'!$E$68*(8*0.5)+'LINEST VARS'!$D$68*(8*$CX135)+'LINEST VARS'!$C$68*($DN$128*0.5)+'LINEST VARS'!$B$68*($DN$128*$CX135)+'LINEST VARS'!$A$68*(0.5*$CX135)</f>
        <v>149</v>
      </c>
      <c r="DO135" s="46">
        <f>'LINEST VARS'!$U$68+'LINEST VARS'!$T$68*(8)+'LINEST VARS'!$S$68*(8)+'LINEST VARS'!$R$68*($DO$128)+'LINEST VARS'!$Q$68*(0.5)+'LINEST VARS'!$P$68*($CX135)+'LINEST VARS'!$O$68*(8^2)+'LINEST VARS'!$N$68*(8^2)+'LINEST VARS'!$M$68*($DO$128^2)+'LINEST VARS'!$L$68*(0.5^2)+'LINEST VARS'!$K$68*($CX135^2)+'LINEST VARS'!$J$68*(8*8)+'LINEST VARS'!$I$68*(8*$DO$128)+'LINEST VARS'!$H$68*(8*0.5)+'LINEST VARS'!$G$68*(8*$CX135)+'LINEST VARS'!$F$68*(8*$DO$128)+'LINEST VARS'!$E$68*(8*0.5)+'LINEST VARS'!$D$68*(8*$CX135)+'LINEST VARS'!$C$68*($DO$128*0.5)+'LINEST VARS'!$B$68*($DO$128*$CX135)+'LINEST VARS'!$A$68*(0.5*$CX135)</f>
        <v>149</v>
      </c>
      <c r="DP135" s="46">
        <f>'LINEST VARS'!$U$68+'LINEST VARS'!$T$68*(8)+'LINEST VARS'!$S$68*(8)+'LINEST VARS'!$R$68*($DP$128)+'LINEST VARS'!$Q$68*(0.5)+'LINEST VARS'!$P$68*($CX135)+'LINEST VARS'!$O$68*(8^2)+'LINEST VARS'!$N$68*(8^2)+'LINEST VARS'!$M$68*($DP$128^2)+'LINEST VARS'!$L$68*(0.5^2)+'LINEST VARS'!$K$68*($CX135^2)+'LINEST VARS'!$J$68*(8*8)+'LINEST VARS'!$I$68*(8*$DP$128)+'LINEST VARS'!$H$68*(8*0.5)+'LINEST VARS'!$G$68*(8*$CX135)+'LINEST VARS'!$F$68*(8*$DP$128)+'LINEST VARS'!$E$68*(8*0.5)+'LINEST VARS'!$D$68*(8*$CX135)+'LINEST VARS'!$C$68*($DP$128*0.5)+'LINEST VARS'!$B$68*($DP$128*$CX135)+'LINEST VARS'!$A$68*(0.5*$CX135)</f>
        <v>149</v>
      </c>
      <c r="DQ135" s="46">
        <f>'LINEST VARS'!$U$68+'LINEST VARS'!$T$68*(8)+'LINEST VARS'!$S$68*(8)+'LINEST VARS'!$R$68*($DQ$128)+'LINEST VARS'!$Q$68*(0.5)+'LINEST VARS'!$P$68*($CX135)+'LINEST VARS'!$O$68*(8^2)+'LINEST VARS'!$N$68*(8^2)+'LINEST VARS'!$M$68*($DQ$128^2)+'LINEST VARS'!$L$68*(0.5^2)+'LINEST VARS'!$K$68*($CX135^2)+'LINEST VARS'!$J$68*(8*8)+'LINEST VARS'!$I$68*(8*$DQ$128)+'LINEST VARS'!$H$68*(8*0.5)+'LINEST VARS'!$G$68*(8*$CX135)+'LINEST VARS'!$F$68*(8*$DQ$128)+'LINEST VARS'!$E$68*(8*0.5)+'LINEST VARS'!$D$68*(8*$CX135)+'LINEST VARS'!$C$68*($DQ$128*0.5)+'LINEST VARS'!$B$68*($DQ$128*$CX135)+'LINEST VARS'!$A$68*(0.5*$CX135)</f>
        <v>149</v>
      </c>
      <c r="DR135" s="46">
        <f>'LINEST VARS'!$U$68+'LINEST VARS'!$T$68*(8)+'LINEST VARS'!$S$68*(8)+'LINEST VARS'!$R$68*($DR$128)+'LINEST VARS'!$Q$68*(0.5)+'LINEST VARS'!$P$68*($CX135)+'LINEST VARS'!$O$68*(8^2)+'LINEST VARS'!$N$68*(8^2)+'LINEST VARS'!$M$68*($DR$128^2)+'LINEST VARS'!$L$68*(0.5^2)+'LINEST VARS'!$K$68*($CX135^2)+'LINEST VARS'!$J$68*(8*8)+'LINEST VARS'!$I$68*(8*$DR$128)+'LINEST VARS'!$H$68*(8*0.5)+'LINEST VARS'!$G$68*(8*$CX135)+'LINEST VARS'!$F$68*(8*$DR$128)+'LINEST VARS'!$E$68*(8*0.5)+'LINEST VARS'!$D$68*(8*$CX135)+'LINEST VARS'!$C$68*($DR$128*0.5)+'LINEST VARS'!$B$68*($DR$128*$CX135)+'LINEST VARS'!$A$68*(0.5*$CX135)</f>
        <v>149</v>
      </c>
      <c r="DS135" s="47">
        <f>'LINEST VARS'!$U$68+'LINEST VARS'!$T$68*(8)+'LINEST VARS'!$S$68*(8)+'LINEST VARS'!$R$68*($DS$128)+'LINEST VARS'!$Q$68*(0.5)+'LINEST VARS'!$P$68*($CX135)+'LINEST VARS'!$O$68*(8^2)+'LINEST VARS'!$N$68*(8^2)+'LINEST VARS'!$M$68*($DS$128^2)+'LINEST VARS'!$L$68*(0.5^2)+'LINEST VARS'!$K$68*($CX135^2)+'LINEST VARS'!$J$68*(8*8)+'LINEST VARS'!$I$68*(8*$DS$128)+'LINEST VARS'!$H$68*(8*0.5)+'LINEST VARS'!$G$68*(8*$CX135)+'LINEST VARS'!$F$68*(8*$DS$128)+'LINEST VARS'!$E$68*(8*0.5)+'LINEST VARS'!$D$68*(8*$CX135)+'LINEST VARS'!$C$68*($DS$128*0.5)+'LINEST VARS'!$B$68*($DS$128*$CX135)+'LINEST VARS'!$A$68*(0.5*$CX135)</f>
        <v>149</v>
      </c>
      <c r="DV135" s="45">
        <v>7.7969999999999997</v>
      </c>
      <c r="DW135" s="46">
        <f>'LINEST VARS'!$U$70+'LINEST VARS'!$T$70*(8)+'LINEST VARS'!$S$70*(8)+'LINEST VARS'!$R$70*($DW$128)+'LINEST VARS'!$Q$70*(0.5)+'LINEST VARS'!$P$70*($DV135)+'LINEST VARS'!$O$70*(8^2)+'LINEST VARS'!$N$70*(8^2)+'LINEST VARS'!$M$70*($DW$128^2)+'LINEST VARS'!$L$70*(0.5^2)+'LINEST VARS'!$K$70*($DV135^2)+'LINEST VARS'!$J$70*(8*8)+'LINEST VARS'!$I$70*(8*$DW$128)+'LINEST VARS'!$H$70*(8*0.5)+'LINEST VARS'!$G$70*(8*$DV135)+'LINEST VARS'!$F$70*(8*$DW$128)+'LINEST VARS'!$E$70*(8*0.5)+'LINEST VARS'!$D$70*(8*$DV135)+'LINEST VARS'!$C$70*($DW$128*0.5)+'LINEST VARS'!$B$70*($DW$128*$DV135)+'LINEST VARS'!$A$70*(0.5*$DV135)</f>
        <v>92.000000000000014</v>
      </c>
      <c r="DX135" s="46">
        <f>'LINEST VARS'!$U$70+'LINEST VARS'!$T$70*(8)+'LINEST VARS'!$S$70*(8)+'LINEST VARS'!$R$70*($DX$128)+'LINEST VARS'!$Q$70*(0.5)+'LINEST VARS'!$P$70*($DV135)+'LINEST VARS'!$O$70*(8^2)+'LINEST VARS'!$N$70*(8^2)+'LINEST VARS'!$M$70*($DX$128^2)+'LINEST VARS'!$L$70*(0.5^2)+'LINEST VARS'!$K$70*($DV135^2)+'LINEST VARS'!$J$70*(8*8)+'LINEST VARS'!$I$70*(8*$DX$128)+'LINEST VARS'!$H$70*(8*0.5)+'LINEST VARS'!$G$70*(8*$DV135)+'LINEST VARS'!$F$70*(8*$DX$128)+'LINEST VARS'!$E$70*(8*0.5)+'LINEST VARS'!$D$70*(8*$DV135)+'LINEST VARS'!$C$70*($DX$128*0.5)+'LINEST VARS'!$B$70*($DX$128*$DV135)+'LINEST VARS'!$A$70*(0.5*$DV135)</f>
        <v>91.600000000000009</v>
      </c>
      <c r="DY135" s="46">
        <f>'LINEST VARS'!$U$70+'LINEST VARS'!$T$70*(8)+'LINEST VARS'!$S$70*(8)+'LINEST VARS'!$R$70*($DY$128)+'LINEST VARS'!$Q$70*(0.5)+'LINEST VARS'!$P$70*($DV135)+'LINEST VARS'!$O$70*(8^2)+'LINEST VARS'!$N$70*(8^2)+'LINEST VARS'!$M$70*($DY$128^2)+'LINEST VARS'!$L$70*(0.5^2)+'LINEST VARS'!$K$70*($DV135^2)+'LINEST VARS'!$J$70*(8*8)+'LINEST VARS'!$I$70*(8*$DY$128)+'LINEST VARS'!$H$70*(8*0.5)+'LINEST VARS'!$G$70*(8*$DV135)+'LINEST VARS'!$F$70*(8*$DY$128)+'LINEST VARS'!$E$70*(8*0.5)+'LINEST VARS'!$D$70*(8*$DV135)+'LINEST VARS'!$C$70*($DY$128*0.5)+'LINEST VARS'!$B$70*($DY$128*$DV135)+'LINEST VARS'!$A$70*(0.5*$DV135)</f>
        <v>91.200000000000017</v>
      </c>
      <c r="DZ135" s="46">
        <f>'LINEST VARS'!$U$70+'LINEST VARS'!$T$70*(8)+'LINEST VARS'!$S$70*(8)+'LINEST VARS'!$R$70*($DZ$128)+'LINEST VARS'!$Q$70*(0.5)+'LINEST VARS'!$P$70*($DV135)+'LINEST VARS'!$O$70*(8^2)+'LINEST VARS'!$N$70*(8^2)+'LINEST VARS'!$M$70*($DZ$128^2)+'LINEST VARS'!$L$70*(0.5^2)+'LINEST VARS'!$K$70*($DV135^2)+'LINEST VARS'!$J$70*(8*8)+'LINEST VARS'!$I$70*(8*$DZ$128)+'LINEST VARS'!$H$70*(8*0.5)+'LINEST VARS'!$G$70*(8*$DV135)+'LINEST VARS'!$F$70*(8*$DZ$128)+'LINEST VARS'!$E$70*(8*0.5)+'LINEST VARS'!$D$70*(8*$DV135)+'LINEST VARS'!$C$70*($DZ$128*0.5)+'LINEST VARS'!$B$70*($DZ$128*$DV135)+'LINEST VARS'!$A$70*(0.5*$DV135)</f>
        <v>90.800000000000011</v>
      </c>
      <c r="EA135" s="46">
        <f>'LINEST VARS'!$U$70+'LINEST VARS'!$T$70*(8)+'LINEST VARS'!$S$70*(8)+'LINEST VARS'!$R$70*($EA$128)+'LINEST VARS'!$Q$70*(0.5)+'LINEST VARS'!$P$70*($DV135)+'LINEST VARS'!$O$70*(8^2)+'LINEST VARS'!$N$70*(8^2)+'LINEST VARS'!$M$70*($EA$128^2)+'LINEST VARS'!$L$70*(0.5^2)+'LINEST VARS'!$K$70*($DV135^2)+'LINEST VARS'!$J$70*(8*8)+'LINEST VARS'!$I$70*(8*$EA$128)+'LINEST VARS'!$H$70*(8*0.5)+'LINEST VARS'!$G$70*(8*$DV135)+'LINEST VARS'!$F$70*(8*$EA$128)+'LINEST VARS'!$E$70*(8*0.5)+'LINEST VARS'!$D$70*(8*$DV135)+'LINEST VARS'!$C$70*($EA$128*0.5)+'LINEST VARS'!$B$70*($EA$128*$DV135)+'LINEST VARS'!$A$70*(0.5*$DV135)</f>
        <v>90.40000000000002</v>
      </c>
      <c r="EB135" s="46">
        <f>'LINEST VARS'!$U$70+'LINEST VARS'!$T$70*(8)+'LINEST VARS'!$S$70*(8)+'LINEST VARS'!$R$70*($EB$128)+'LINEST VARS'!$Q$70*(0.5)+'LINEST VARS'!$P$70*($DV135)+'LINEST VARS'!$O$70*(8^2)+'LINEST VARS'!$N$70*(8^2)+'LINEST VARS'!$M$70*($EB$128^2)+'LINEST VARS'!$L$70*(0.5^2)+'LINEST VARS'!$K$70*($DV135^2)+'LINEST VARS'!$J$70*(8*8)+'LINEST VARS'!$I$70*(8*$EB$128)+'LINEST VARS'!$H$70*(8*0.5)+'LINEST VARS'!$G$70*(8*$DV135)+'LINEST VARS'!$F$70*(8*$EB$128)+'LINEST VARS'!$E$70*(8*0.5)+'LINEST VARS'!$D$70*(8*$DV135)+'LINEST VARS'!$C$70*($EB$128*0.5)+'LINEST VARS'!$B$70*($EB$128*$DV135)+'LINEST VARS'!$A$70*(0.5*$DV135)</f>
        <v>90.000000000000014</v>
      </c>
      <c r="EC135" s="46">
        <f>'LINEST VARS'!$U$70+'LINEST VARS'!$T$70*(8)+'LINEST VARS'!$S$70*(8)+'LINEST VARS'!$R$70*($EC$128)+'LINEST VARS'!$Q$70*(0.5)+'LINEST VARS'!$P$70*($DV135)+'LINEST VARS'!$O$70*(8^2)+'LINEST VARS'!$N$70*(8^2)+'LINEST VARS'!$M$70*($EC$128^2)+'LINEST VARS'!$L$70*(0.5^2)+'LINEST VARS'!$K$70*($DV135^2)+'LINEST VARS'!$J$70*(8*8)+'LINEST VARS'!$I$70*(8*$EC$128)+'LINEST VARS'!$H$70*(8*0.5)+'LINEST VARS'!$G$70*(8*$DV135)+'LINEST VARS'!$F$70*(8*$EC$128)+'LINEST VARS'!$E$70*(8*0.5)+'LINEST VARS'!$D$70*(8*$DV135)+'LINEST VARS'!$C$70*($EC$128*0.5)+'LINEST VARS'!$B$70*($EC$128*$DV135)+'LINEST VARS'!$A$70*(0.5*$DV135)</f>
        <v>89.600000000000023</v>
      </c>
      <c r="ED135" s="46">
        <f>'LINEST VARS'!$U$70+'LINEST VARS'!$T$70*(8)+'LINEST VARS'!$S$70*(8)+'LINEST VARS'!$R$70*($ED$128)+'LINEST VARS'!$Q$70*(0.5)+'LINEST VARS'!$P$70*($DV135)+'LINEST VARS'!$O$70*(8^2)+'LINEST VARS'!$N$70*(8^2)+'LINEST VARS'!$M$70*($ED$128^2)+'LINEST VARS'!$L$70*(0.5^2)+'LINEST VARS'!$K$70*($DV135^2)+'LINEST VARS'!$J$70*(8*8)+'LINEST VARS'!$I$70*(8*$ED$128)+'LINEST VARS'!$H$70*(8*0.5)+'LINEST VARS'!$G$70*(8*$DV135)+'LINEST VARS'!$F$70*(8*$ED$128)+'LINEST VARS'!$E$70*(8*0.5)+'LINEST VARS'!$D$70*(8*$DV135)+'LINEST VARS'!$C$70*($ED$128*0.5)+'LINEST VARS'!$B$70*($ED$128*$DV135)+'LINEST VARS'!$A$70*(0.5*$DV135)</f>
        <v>89.200000000000017</v>
      </c>
      <c r="EE135" s="46">
        <f>'LINEST VARS'!$U$70+'LINEST VARS'!$T$70*(8)+'LINEST VARS'!$S$70*(8)+'LINEST VARS'!$R$70*($EE$128)+'LINEST VARS'!$Q$70*(0.5)+'LINEST VARS'!$P$70*($DV135)+'LINEST VARS'!$O$70*(8^2)+'LINEST VARS'!$N$70*(8^2)+'LINEST VARS'!$M$70*($EE$128^2)+'LINEST VARS'!$L$70*(0.5^2)+'LINEST VARS'!$K$70*($DV135^2)+'LINEST VARS'!$J$70*(8*8)+'LINEST VARS'!$I$70*(8*$EE$128)+'LINEST VARS'!$H$70*(8*0.5)+'LINEST VARS'!$G$70*(8*$DV135)+'LINEST VARS'!$F$70*(8*$EE$128)+'LINEST VARS'!$E$70*(8*0.5)+'LINEST VARS'!$D$70*(8*$DV135)+'LINEST VARS'!$C$70*($EE$128*0.5)+'LINEST VARS'!$B$70*($EE$128*$DV135)+'LINEST VARS'!$A$70*(0.5*$DV135)</f>
        <v>88.800000000000026</v>
      </c>
      <c r="EF135" s="46">
        <f>'LINEST VARS'!$U$70+'LINEST VARS'!$T$70*(8)+'LINEST VARS'!$S$70*(8)+'LINEST VARS'!$R$70*($EF$128)+'LINEST VARS'!$Q$70*(0.5)+'LINEST VARS'!$P$70*($DV135)+'LINEST VARS'!$O$70*(8^2)+'LINEST VARS'!$N$70*(8^2)+'LINEST VARS'!$M$70*($EF$128^2)+'LINEST VARS'!$L$70*(0.5^2)+'LINEST VARS'!$K$70*($DV135^2)+'LINEST VARS'!$J$70*(8*8)+'LINEST VARS'!$I$70*(8*$EF$128)+'LINEST VARS'!$H$70*(8*0.5)+'LINEST VARS'!$G$70*(8*$DV135)+'LINEST VARS'!$F$70*(8*$EF$128)+'LINEST VARS'!$E$70*(8*0.5)+'LINEST VARS'!$D$70*(8*$DV135)+'LINEST VARS'!$C$70*($EF$128*0.5)+'LINEST VARS'!$B$70*($EF$128*$DV135)+'LINEST VARS'!$A$70*(0.5*$DV135)</f>
        <v>88.40000000000002</v>
      </c>
      <c r="EG135" s="46">
        <f>'LINEST VARS'!$U$70+'LINEST VARS'!$T$70*(8)+'LINEST VARS'!$S$70*(8)+'LINEST VARS'!$R$70*($EG$128)+'LINEST VARS'!$Q$70*(0.5)+'LINEST VARS'!$P$70*($DV135)+'LINEST VARS'!$O$70*(8^2)+'LINEST VARS'!$N$70*(8^2)+'LINEST VARS'!$M$70*($EG$128^2)+'LINEST VARS'!$L$70*(0.5^2)+'LINEST VARS'!$K$70*($DV135^2)+'LINEST VARS'!$J$70*(8*8)+'LINEST VARS'!$I$70*(8*$EG$128)+'LINEST VARS'!$H$70*(8*0.5)+'LINEST VARS'!$G$70*(8*$DV135)+'LINEST VARS'!$F$70*(8*$EG$128)+'LINEST VARS'!$E$70*(8*0.5)+'LINEST VARS'!$D$70*(8*$DV135)+'LINEST VARS'!$C$70*($EG$128*0.5)+'LINEST VARS'!$B$70*($EG$128*$DV135)+'LINEST VARS'!$A$70*(0.5*$DV135)</f>
        <v>88.000000000000014</v>
      </c>
      <c r="EH135" s="46">
        <f>'LINEST VARS'!$U$70+'LINEST VARS'!$T$70*(8)+'LINEST VARS'!$S$70*(8)+'LINEST VARS'!$R$70*($EH$128)+'LINEST VARS'!$Q$70*(0.5)+'LINEST VARS'!$P$70*($DV135)+'LINEST VARS'!$O$70*(8^2)+'LINEST VARS'!$N$70*(8^2)+'LINEST VARS'!$M$70*($EH$128^2)+'LINEST VARS'!$L$70*(0.5^2)+'LINEST VARS'!$K$70*($DV135^2)+'LINEST VARS'!$J$70*(8*8)+'LINEST VARS'!$I$70*(8*$EH$128)+'LINEST VARS'!$H$70*(8*0.5)+'LINEST VARS'!$G$70*(8*$DV135)+'LINEST VARS'!$F$70*(8*$EH$128)+'LINEST VARS'!$E$70*(8*0.5)+'LINEST VARS'!$D$70*(8*$DV135)+'LINEST VARS'!$C$70*($EH$128*0.5)+'LINEST VARS'!$B$70*($EH$128*$DV135)+'LINEST VARS'!$A$70*(0.5*$DV135)</f>
        <v>87.600000000000023</v>
      </c>
      <c r="EI135" s="46">
        <f>'LINEST VARS'!$U$70+'LINEST VARS'!$T$70*(8)+'LINEST VARS'!$S$70*(8)+'LINEST VARS'!$R$70*($EI$128)+'LINEST VARS'!$Q$70*(0.5)+'LINEST VARS'!$P$70*($DV135)+'LINEST VARS'!$O$70*(8^2)+'LINEST VARS'!$N$70*(8^2)+'LINEST VARS'!$M$70*($EI$128^2)+'LINEST VARS'!$L$70*(0.5^2)+'LINEST VARS'!$K$70*($DV135^2)+'LINEST VARS'!$J$70*(8*8)+'LINEST VARS'!$I$70*(8*$EI$128)+'LINEST VARS'!$H$70*(8*0.5)+'LINEST VARS'!$G$70*(8*$DV135)+'LINEST VARS'!$F$70*(8*$EI$128)+'LINEST VARS'!$E$70*(8*0.5)+'LINEST VARS'!$D$70*(8*$DV135)+'LINEST VARS'!$C$70*($EI$128*0.5)+'LINEST VARS'!$B$70*($EI$128*$DV135)+'LINEST VARS'!$A$70*(0.5*$DV135)</f>
        <v>87.200000000000017</v>
      </c>
      <c r="EJ135" s="46">
        <f>'LINEST VARS'!$U$70+'LINEST VARS'!$T$70*(8)+'LINEST VARS'!$S$70*(8)+'LINEST VARS'!$R$70*($EJ$128)+'LINEST VARS'!$Q$70*(0.5)+'LINEST VARS'!$P$70*($DV135)+'LINEST VARS'!$O$70*(8^2)+'LINEST VARS'!$N$70*(8^2)+'LINEST VARS'!$M$70*($EJ$128^2)+'LINEST VARS'!$L$70*(0.5^2)+'LINEST VARS'!$K$70*($DV135^2)+'LINEST VARS'!$J$70*(8*8)+'LINEST VARS'!$I$70*(8*$EJ$128)+'LINEST VARS'!$H$70*(8*0.5)+'LINEST VARS'!$G$70*(8*$DV135)+'LINEST VARS'!$F$70*(8*$EJ$128)+'LINEST VARS'!$E$70*(8*0.5)+'LINEST VARS'!$D$70*(8*$DV135)+'LINEST VARS'!$C$70*($EJ$128*0.5)+'LINEST VARS'!$B$70*($EJ$128*$DV135)+'LINEST VARS'!$A$70*(0.5*$DV135)</f>
        <v>86.800000000000026</v>
      </c>
      <c r="EK135" s="46">
        <f>'LINEST VARS'!$U$70+'LINEST VARS'!$T$70*(8)+'LINEST VARS'!$S$70*(8)+'LINEST VARS'!$R$70*($EK$128)+'LINEST VARS'!$Q$70*(0.5)+'LINEST VARS'!$P$70*($DV135)+'LINEST VARS'!$O$70*(8^2)+'LINEST VARS'!$N$70*(8^2)+'LINEST VARS'!$M$70*($EK$128^2)+'LINEST VARS'!$L$70*(0.5^2)+'LINEST VARS'!$K$70*($DV135^2)+'LINEST VARS'!$J$70*(8*8)+'LINEST VARS'!$I$70*(8*$EK$128)+'LINEST VARS'!$H$70*(8*0.5)+'LINEST VARS'!$G$70*(8*$DV135)+'LINEST VARS'!$F$70*(8*$EK$128)+'LINEST VARS'!$E$70*(8*0.5)+'LINEST VARS'!$D$70*(8*$DV135)+'LINEST VARS'!$C$70*($EK$128*0.5)+'LINEST VARS'!$B$70*($EK$128*$DV135)+'LINEST VARS'!$A$70*(0.5*$DV135)</f>
        <v>86.40000000000002</v>
      </c>
      <c r="EL135" s="46">
        <f>'LINEST VARS'!$U$70+'LINEST VARS'!$T$70*(8)+'LINEST VARS'!$S$70*(8)+'LINEST VARS'!$R$70*($EL$128)+'LINEST VARS'!$Q$70*(0.5)+'LINEST VARS'!$P$70*($DV135)+'LINEST VARS'!$O$70*(8^2)+'LINEST VARS'!$N$70*(8^2)+'LINEST VARS'!$M$70*($EL$128^2)+'LINEST VARS'!$L$70*(0.5^2)+'LINEST VARS'!$K$70*($DV135^2)+'LINEST VARS'!$J$70*(8*8)+'LINEST VARS'!$I$70*(8*$EL$128)+'LINEST VARS'!$H$70*(8*0.5)+'LINEST VARS'!$G$70*(8*$DV135)+'LINEST VARS'!$F$70*(8*$EL$128)+'LINEST VARS'!$E$70*(8*0.5)+'LINEST VARS'!$D$70*(8*$DV135)+'LINEST VARS'!$C$70*($EL$128*0.5)+'LINEST VARS'!$B$70*($EL$128*$DV135)+'LINEST VARS'!$A$70*(0.5*$DV135)</f>
        <v>86.000000000000014</v>
      </c>
      <c r="EM135" s="46">
        <f>'LINEST VARS'!$U$70+'LINEST VARS'!$T$70*(8)+'LINEST VARS'!$S$70*(8)+'LINEST VARS'!$R$70*($EM$128)+'LINEST VARS'!$Q$70*(0.5)+'LINEST VARS'!$P$70*($DV135)+'LINEST VARS'!$O$70*(8^2)+'LINEST VARS'!$N$70*(8^2)+'LINEST VARS'!$M$70*($EM$128^2)+'LINEST VARS'!$L$70*(0.5^2)+'LINEST VARS'!$K$70*($DV135^2)+'LINEST VARS'!$J$70*(8*8)+'LINEST VARS'!$I$70*(8*$EM$128)+'LINEST VARS'!$H$70*(8*0.5)+'LINEST VARS'!$G$70*(8*$DV135)+'LINEST VARS'!$F$70*(8*$EM$128)+'LINEST VARS'!$E$70*(8*0.5)+'LINEST VARS'!$D$70*(8*$DV135)+'LINEST VARS'!$C$70*($EM$128*0.5)+'LINEST VARS'!$B$70*($EM$128*$DV135)+'LINEST VARS'!$A$70*(0.5*$DV135)</f>
        <v>85.600000000000009</v>
      </c>
      <c r="EN135" s="46">
        <f>'LINEST VARS'!$U$70+'LINEST VARS'!$T$70*(8)+'LINEST VARS'!$S$70*(8)+'LINEST VARS'!$R$70*($EN$128)+'LINEST VARS'!$Q$70*(0.5)+'LINEST VARS'!$P$70*($DV135)+'LINEST VARS'!$O$70*(8^2)+'LINEST VARS'!$N$70*(8^2)+'LINEST VARS'!$M$70*($EN$128^2)+'LINEST VARS'!$L$70*(0.5^2)+'LINEST VARS'!$K$70*($DV135^2)+'LINEST VARS'!$J$70*(8*8)+'LINEST VARS'!$I$70*(8*$EN$128)+'LINEST VARS'!$H$70*(8*0.5)+'LINEST VARS'!$G$70*(8*$DV135)+'LINEST VARS'!$F$70*(8*$EN$128)+'LINEST VARS'!$E$70*(8*0.5)+'LINEST VARS'!$D$70*(8*$DV135)+'LINEST VARS'!$C$70*($EN$128*0.5)+'LINEST VARS'!$B$70*($EN$128*$DV135)+'LINEST VARS'!$A$70*(0.5*$DV135)</f>
        <v>85.200000000000017</v>
      </c>
      <c r="EO135" s="46">
        <f>'LINEST VARS'!$U$70+'LINEST VARS'!$T$70*(8)+'LINEST VARS'!$S$70*(8)+'LINEST VARS'!$R$70*($EO$128)+'LINEST VARS'!$Q$70*(0.5)+'LINEST VARS'!$P$70*($DV135)+'LINEST VARS'!$O$70*(8^2)+'LINEST VARS'!$N$70*(8^2)+'LINEST VARS'!$M$70*($EO$128^2)+'LINEST VARS'!$L$70*(0.5^2)+'LINEST VARS'!$K$70*($DV135^2)+'LINEST VARS'!$J$70*(8*8)+'LINEST VARS'!$I$70*(8*$EO$128)+'LINEST VARS'!$H$70*(8*0.5)+'LINEST VARS'!$G$70*(8*$DV135)+'LINEST VARS'!$F$70*(8*$EO$128)+'LINEST VARS'!$E$70*(8*0.5)+'LINEST VARS'!$D$70*(8*$DV135)+'LINEST VARS'!$C$70*($EO$128*0.5)+'LINEST VARS'!$B$70*($EO$128*$DV135)+'LINEST VARS'!$A$70*(0.5*$DV135)</f>
        <v>84.800000000000011</v>
      </c>
      <c r="EP135" s="46">
        <f>'LINEST VARS'!$U$70+'LINEST VARS'!$T$70*(8)+'LINEST VARS'!$S$70*(8)+'LINEST VARS'!$R$70*($EP$128)+'LINEST VARS'!$Q$70*(0.5)+'LINEST VARS'!$P$70*($DV135)+'LINEST VARS'!$O$70*(8^2)+'LINEST VARS'!$N$70*(8^2)+'LINEST VARS'!$M$70*($EP$128^2)+'LINEST VARS'!$L$70*(0.5^2)+'LINEST VARS'!$K$70*($DV135^2)+'LINEST VARS'!$J$70*(8*8)+'LINEST VARS'!$I$70*(8*$EP$128)+'LINEST VARS'!$H$70*(8*0.5)+'LINEST VARS'!$G$70*(8*$DV135)+'LINEST VARS'!$F$70*(8*$EP$128)+'LINEST VARS'!$E$70*(8*0.5)+'LINEST VARS'!$D$70*(8*$DV135)+'LINEST VARS'!$C$70*($EP$128*0.5)+'LINEST VARS'!$B$70*($EP$128*$DV135)+'LINEST VARS'!$A$70*(0.5*$DV135)</f>
        <v>84.400000000000034</v>
      </c>
      <c r="EQ135" s="47">
        <f>'LINEST VARS'!$U$70+'LINEST VARS'!$T$70*(8)+'LINEST VARS'!$S$70*(8)+'LINEST VARS'!$R$70*($EQ$128)+'LINEST VARS'!$Q$70*(0.5)+'LINEST VARS'!$P$70*($DV135)+'LINEST VARS'!$O$70*(8^2)+'LINEST VARS'!$N$70*(8^2)+'LINEST VARS'!$M$70*($EQ$128^2)+'LINEST VARS'!$L$70*(0.5^2)+'LINEST VARS'!$K$70*($DV135^2)+'LINEST VARS'!$J$70*(8*8)+'LINEST VARS'!$I$70*(8*$EQ$128)+'LINEST VARS'!$H$70*(8*0.5)+'LINEST VARS'!$G$70*(8*$DV135)+'LINEST VARS'!$F$70*(8*$EQ$128)+'LINEST VARS'!$E$70*(8*0.5)+'LINEST VARS'!$D$70*(8*$DV135)+'LINEST VARS'!$C$70*($EQ$128*0.5)+'LINEST VARS'!$B$70*($EQ$128*$DV135)+'LINEST VARS'!$A$70*(0.5*$DV135)</f>
        <v>84.000000000000028</v>
      </c>
    </row>
    <row r="136" spans="2:147" ht="15" customHeight="1" x14ac:dyDescent="0.25">
      <c r="B136" s="45">
        <v>7.82</v>
      </c>
      <c r="C136" s="46">
        <f>'LINEST VARS'!$U$68+'LINEST VARS'!$T$68*($C$128)+'LINEST VARS'!$S$68*($B136)+'LINEST VARS'!$R$68*(4)+'LINEST VARS'!$Q$68*(0.5)+'LINEST VARS'!$P$68*(12.73)+'LINEST VARS'!$O$68*($C$128^2)+'LINEST VARS'!$N$68*($B136^2)+'LINEST VARS'!$M$68*(4^2)+'LINEST VARS'!$L$68*(0.5^2)+'LINEST VARS'!$K$68*(12.73^2)+'LINEST VARS'!$J$68*($C$128*$B136)+'LINEST VARS'!$I$68*($C$128*4)+'LINEST VARS'!$H$68*($C$128*0.5)+'LINEST VARS'!$G$68*($C$128*12.73)+'LINEST VARS'!$F$68*($B136*4)+'LINEST VARS'!$E$68*($B136*0.5)+'LINEST VARS'!$D$68*($B136*12.73)+'LINEST VARS'!$C$68*(4*0.5)+'LINEST VARS'!$B$68*(4*12.73)+'LINEST VARS'!$A$68*(0.5*12.73)</f>
        <v>148.99999999999997</v>
      </c>
      <c r="D136" s="46">
        <f>'LINEST VARS'!$U$68+'LINEST VARS'!$T$68*($D$128)+'LINEST VARS'!$S$68*($B136)+'LINEST VARS'!$R$68*(4)+'LINEST VARS'!$Q$68*(0.5)+'LINEST VARS'!$P$68*(12.73)+'LINEST VARS'!$O$68*($D$128^2)+'LINEST VARS'!$N$68*($B136^2)+'LINEST VARS'!$M$68*(4^2)+'LINEST VARS'!$L$68*(0.5^2)+'LINEST VARS'!$K$68*(12.73^2)+'LINEST VARS'!$J$68*($D$128*$B136)+'LINEST VARS'!$I$68*($D$128*4)+'LINEST VARS'!$H$68*($D$128*0.5)+'LINEST VARS'!$G$68*($D$128*12.73)+'LINEST VARS'!$F$68*($B136*4)+'LINEST VARS'!$E$68*($B136*0.5)+'LINEST VARS'!$D$68*($B136*12.73)+'LINEST VARS'!$C$68*(4*0.5)+'LINEST VARS'!$B$68*(4*12.73)+'LINEST VARS'!$A$68*(0.5*12.73)</f>
        <v>148.99999999999997</v>
      </c>
      <c r="E136" s="46">
        <f>'LINEST VARS'!$U$68+'LINEST VARS'!$T$68*($E$128)+'LINEST VARS'!$S$68*($B136)+'LINEST VARS'!$R$68*(4)+'LINEST VARS'!$Q$68*(0.5)+'LINEST VARS'!$P$68*(12.73)+'LINEST VARS'!$O$68*($E$128^2)+'LINEST VARS'!$N$68*($B136^2)+'LINEST VARS'!$M$68*(4^2)+'LINEST VARS'!$L$68*(0.5^2)+'LINEST VARS'!$K$68*(12.73^2)+'LINEST VARS'!$J$68*($E$128*$B136)+'LINEST VARS'!$I$68*($E$128*4)+'LINEST VARS'!$H$68*($E$128*0.5)+'LINEST VARS'!$G$68*($E$128*12.73)+'LINEST VARS'!$F$68*($B136*4)+'LINEST VARS'!$E$68*($B136*0.5)+'LINEST VARS'!$D$68*($B136*12.73)+'LINEST VARS'!$C$68*(4*0.5)+'LINEST VARS'!$B$68*(4*12.73)+'LINEST VARS'!$A$68*(0.5*12.73)</f>
        <v>148.99999999999997</v>
      </c>
      <c r="F136" s="46">
        <f>'LINEST VARS'!$U$68+'LINEST VARS'!$T$68*($F$128)+'LINEST VARS'!$S$68*($B136)+'LINEST VARS'!$R$68*(4)+'LINEST VARS'!$Q$68*(0.5)+'LINEST VARS'!$P$68*(12.73)+'LINEST VARS'!$O$68*($F$128^2)+'LINEST VARS'!$N$68*($B136^2)+'LINEST VARS'!$M$68*(4^2)+'LINEST VARS'!$L$68*(0.5^2)+'LINEST VARS'!$K$68*(12.73^2)+'LINEST VARS'!$J$68*($F$128*$B136)+'LINEST VARS'!$I$68*($F$128*4)+'LINEST VARS'!$H$68*($F$128*0.5)+'LINEST VARS'!$G$68*($F$128*12.73)+'LINEST VARS'!$F$68*($B136*4)+'LINEST VARS'!$E$68*($B136*0.5)+'LINEST VARS'!$D$68*($B136*12.73)+'LINEST VARS'!$C$68*(4*0.5)+'LINEST VARS'!$B$68*(4*12.73)+'LINEST VARS'!$A$68*(0.5*12.73)</f>
        <v>148.99999999999997</v>
      </c>
      <c r="G136" s="46">
        <f>'LINEST VARS'!$U$68+'LINEST VARS'!$T$68*($G$128)+'LINEST VARS'!$S$68*($B136)+'LINEST VARS'!$R$68*(4)+'LINEST VARS'!$Q$68*(0.5)+'LINEST VARS'!$P$68*(12.73)+'LINEST VARS'!$O$68*($G$128^2)+'LINEST VARS'!$N$68*($B136^2)+'LINEST VARS'!$M$68*(4^2)+'LINEST VARS'!$L$68*(0.5^2)+'LINEST VARS'!$K$68*(12.73^2)+'LINEST VARS'!$J$68*($G$128*$B136)+'LINEST VARS'!$I$68*($G$128*4)+'LINEST VARS'!$H$68*($G$128*0.5)+'LINEST VARS'!$G$68*($G$128*12.73)+'LINEST VARS'!$F$68*($B136*4)+'LINEST VARS'!$E$68*($B136*0.5)+'LINEST VARS'!$D$68*($B136*12.73)+'LINEST VARS'!$C$68*(4*0.5)+'LINEST VARS'!$B$68*(4*12.73)+'LINEST VARS'!$A$68*(0.5*12.73)</f>
        <v>148.99999999999997</v>
      </c>
      <c r="H136" s="46">
        <f>'LINEST VARS'!$U$68+'LINEST VARS'!$T$68*($H$128)+'LINEST VARS'!$S$68*($B136)+'LINEST VARS'!$R$68*(4)+'LINEST VARS'!$Q$68*(0.5)+'LINEST VARS'!$P$68*(12.73)+'LINEST VARS'!$O$68*($H$128^2)+'LINEST VARS'!$N$68*($B136^2)+'LINEST VARS'!$M$68*(4^2)+'LINEST VARS'!$L$68*(0.5^2)+'LINEST VARS'!$K$68*(12.73^2)+'LINEST VARS'!$J$68*($H$128*$B136)+'LINEST VARS'!$I$68*($H$128*4)+'LINEST VARS'!$H$68*($H$128*0.5)+'LINEST VARS'!$G$68*($H$128*12.73)+'LINEST VARS'!$F$68*($B136*4)+'LINEST VARS'!$E$68*($B136*0.5)+'LINEST VARS'!$D$68*($B136*12.73)+'LINEST VARS'!$C$68*(4*0.5)+'LINEST VARS'!$B$68*(4*12.73)+'LINEST VARS'!$A$68*(0.5*12.73)</f>
        <v>148.99999999999997</v>
      </c>
      <c r="I136" s="46">
        <f>'LINEST VARS'!$U$68+'LINEST VARS'!$T$68*($I$128)+'LINEST VARS'!$S$68*($B136)+'LINEST VARS'!$R$68*(4)+'LINEST VARS'!$Q$68*(0.5)+'LINEST VARS'!$P$68*(12.73)+'LINEST VARS'!$O$68*($I$128^2)+'LINEST VARS'!$N$68*($B136^2)+'LINEST VARS'!$M$68*(4^2)+'LINEST VARS'!$L$68*(0.5^2)+'LINEST VARS'!$K$68*(12.73^2)+'LINEST VARS'!$J$68*($I$128*$B136)+'LINEST VARS'!$I$68*($I$128*4)+'LINEST VARS'!$H$68*($I$128*0.5)+'LINEST VARS'!$G$68*($I$128*12.73)+'LINEST VARS'!$F$68*($B136*4)+'LINEST VARS'!$E$68*($B136*0.5)+'LINEST VARS'!$D$68*($B136*12.73)+'LINEST VARS'!$C$68*(4*0.5)+'LINEST VARS'!$B$68*(4*12.73)+'LINEST VARS'!$A$68*(0.5*12.73)</f>
        <v>148.99999999999997</v>
      </c>
      <c r="J136" s="46">
        <f>'LINEST VARS'!$U$68+'LINEST VARS'!$T$68*($J$128)+'LINEST VARS'!$S$68*($B136)+'LINEST VARS'!$R$68*(4)+'LINEST VARS'!$Q$68*(0.5)+'LINEST VARS'!$P$68*(12.73)+'LINEST VARS'!$O$68*($J$128^2)+'LINEST VARS'!$N$68*($B136^2)+'LINEST VARS'!$M$68*(4^2)+'LINEST VARS'!$L$68*(0.5^2)+'LINEST VARS'!$K$68*(12.73^2)+'LINEST VARS'!$J$68*($J$128*$B136)+'LINEST VARS'!$I$68*($J$128*4)+'LINEST VARS'!$H$68*($J$128*0.5)+'LINEST VARS'!$G$68*($J$128*12.73)+'LINEST VARS'!$F$68*($B136*4)+'LINEST VARS'!$E$68*($B136*0.5)+'LINEST VARS'!$D$68*($B136*12.73)+'LINEST VARS'!$C$68*(4*0.5)+'LINEST VARS'!$B$68*(4*12.73)+'LINEST VARS'!$A$68*(0.5*12.73)</f>
        <v>148.99999999999997</v>
      </c>
      <c r="K136" s="46">
        <f>'LINEST VARS'!$U$68+'LINEST VARS'!$T$68*($K$128)+'LINEST VARS'!$S$68*($B136)+'LINEST VARS'!$R$68*(4)+'LINEST VARS'!$Q$68*(0.5)+'LINEST VARS'!$P$68*(12.73)+'LINEST VARS'!$O$68*($K$128^2)+'LINEST VARS'!$N$68*($B136^2)+'LINEST VARS'!$M$68*(4^2)+'LINEST VARS'!$L$68*(0.5^2)+'LINEST VARS'!$K$68*(12.73^2)+'LINEST VARS'!$J$68*($K$128*$B136)+'LINEST VARS'!$I$68*($K$128*4)+'LINEST VARS'!$H$68*($K$128*0.5)+'LINEST VARS'!$G$68*($K$128*12.73)+'LINEST VARS'!$F$68*($B136*4)+'LINEST VARS'!$E$68*($B136*0.5)+'LINEST VARS'!$D$68*($B136*12.73)+'LINEST VARS'!$C$68*(4*0.5)+'LINEST VARS'!$B$68*(4*12.73)+'LINEST VARS'!$A$68*(0.5*12.73)</f>
        <v>148.99999999999997</v>
      </c>
      <c r="L136" s="46">
        <f>'LINEST VARS'!$U$68+'LINEST VARS'!$T$68*($L$128)+'LINEST VARS'!$S$68*($B136)+'LINEST VARS'!$R$68*(4)+'LINEST VARS'!$Q$68*(0.5)+'LINEST VARS'!$P$68*(12.73)+'LINEST VARS'!$O$68*($L$128^2)+'LINEST VARS'!$N$68*($B136^2)+'LINEST VARS'!$M$68*(4^2)+'LINEST VARS'!$L$68*(0.5^2)+'LINEST VARS'!$K$68*(12.73^2)+'LINEST VARS'!$J$68*($L$128*$B136)+'LINEST VARS'!$I$68*($L$128*4)+'LINEST VARS'!$H$68*($L$128*0.5)+'LINEST VARS'!$G$68*($L$128*12.73)+'LINEST VARS'!$F$68*($B136*4)+'LINEST VARS'!$E$68*($B136*0.5)+'LINEST VARS'!$D$68*($B136*12.73)+'LINEST VARS'!$C$68*(4*0.5)+'LINEST VARS'!$B$68*(4*12.73)+'LINEST VARS'!$A$68*(0.5*12.73)</f>
        <v>148.99999999999997</v>
      </c>
      <c r="M136" s="46">
        <f>'LINEST VARS'!$U$68+'LINEST VARS'!$T$68*($M$128)+'LINEST VARS'!$S$68*($B136)+'LINEST VARS'!$R$68*(4)+'LINEST VARS'!$Q$68*(0.5)+'LINEST VARS'!$P$68*(12.73)+'LINEST VARS'!$O$68*($M$128^2)+'LINEST VARS'!$N$68*($B136^2)+'LINEST VARS'!$M$68*(4^2)+'LINEST VARS'!$L$68*(0.5^2)+'LINEST VARS'!$K$68*(12.73^2)+'LINEST VARS'!$J$68*($M$128*$B136)+'LINEST VARS'!$I$68*($M$128*4)+'LINEST VARS'!$H$68*($M$128*0.5)+'LINEST VARS'!$G$68*($M$128*12.73)+'LINEST VARS'!$F$68*($B136*4)+'LINEST VARS'!$E$68*($B136*0.5)+'LINEST VARS'!$D$68*($B136*12.73)+'LINEST VARS'!$C$68*(4*0.5)+'LINEST VARS'!$B$68*(4*12.73)+'LINEST VARS'!$A$68*(0.5*12.73)</f>
        <v>148.99999999999997</v>
      </c>
      <c r="N136" s="46">
        <f>'LINEST VARS'!$U$68+'LINEST VARS'!$T$68*($N$128)+'LINEST VARS'!$S$68*($B136)+'LINEST VARS'!$R$68*(4)+'LINEST VARS'!$Q$68*(0.5)+'LINEST VARS'!$P$68*(12.73)+'LINEST VARS'!$O$68*($N$128^2)+'LINEST VARS'!$N$68*($B136^2)+'LINEST VARS'!$M$68*(4^2)+'LINEST VARS'!$L$68*(0.5^2)+'LINEST VARS'!$K$68*(12.73^2)+'LINEST VARS'!$J$68*($N$128*$B136)+'LINEST VARS'!$I$68*($N$128*4)+'LINEST VARS'!$H$68*($N$128*0.5)+'LINEST VARS'!$G$68*($N$128*12.73)+'LINEST VARS'!$F$68*($B136*4)+'LINEST VARS'!$E$68*($B136*0.5)+'LINEST VARS'!$D$68*($B136*12.73)+'LINEST VARS'!$C$68*(4*0.5)+'LINEST VARS'!$B$68*(4*12.73)+'LINEST VARS'!$A$68*(0.5*12.73)</f>
        <v>148.99999999999997</v>
      </c>
      <c r="O136" s="46">
        <f>'LINEST VARS'!$U$68+'LINEST VARS'!$T$68*($O$128)+'LINEST VARS'!$S$68*($B136)+'LINEST VARS'!$R$68*(4)+'LINEST VARS'!$Q$68*(0.5)+'LINEST VARS'!$P$68*(12.73)+'LINEST VARS'!$O$68*($O$128^2)+'LINEST VARS'!$N$68*($B136^2)+'LINEST VARS'!$M$68*(4^2)+'LINEST VARS'!$L$68*(0.5^2)+'LINEST VARS'!$K$68*(12.73^2)+'LINEST VARS'!$J$68*($O$128*$B136)+'LINEST VARS'!$I$68*($O$128*4)+'LINEST VARS'!$H$68*($O$128*0.5)+'LINEST VARS'!$G$68*($O$128*12.73)+'LINEST VARS'!$F$68*($B136*4)+'LINEST VARS'!$E$68*($B136*0.5)+'LINEST VARS'!$D$68*($B136*12.73)+'LINEST VARS'!$C$68*(4*0.5)+'LINEST VARS'!$B$68*(4*12.73)+'LINEST VARS'!$A$68*(0.5*12.73)</f>
        <v>148.99999999999997</v>
      </c>
      <c r="P136" s="46">
        <f>'LINEST VARS'!$U$68+'LINEST VARS'!$T$68*($P$128)+'LINEST VARS'!$S$68*($B136)+'LINEST VARS'!$R$68*(4)+'LINEST VARS'!$Q$68*(0.5)+'LINEST VARS'!$P$68*(12.73)+'LINEST VARS'!$O$68*($P$128^2)+'LINEST VARS'!$N$68*($B136^2)+'LINEST VARS'!$M$68*(4^2)+'LINEST VARS'!$L$68*(0.5^2)+'LINEST VARS'!$K$68*(12.73^2)+'LINEST VARS'!$J$68*($P$128*$B136)+'LINEST VARS'!$I$68*($P$128*4)+'LINEST VARS'!$H$68*($P$128*0.5)+'LINEST VARS'!$G$68*($P$128*12.73)+'LINEST VARS'!$F$68*($B136*4)+'LINEST VARS'!$E$68*($B136*0.5)+'LINEST VARS'!$D$68*($B136*12.73)+'LINEST VARS'!$C$68*(4*0.5)+'LINEST VARS'!$B$68*(4*12.73)+'LINEST VARS'!$A$68*(0.5*12.73)</f>
        <v>148.99999999999997</v>
      </c>
      <c r="Q136" s="46">
        <f>'LINEST VARS'!$U$68+'LINEST VARS'!$T$68*($Q$128)+'LINEST VARS'!$S$68*($B136)+'LINEST VARS'!$R$68*(4)+'LINEST VARS'!$Q$68*(0.5)+'LINEST VARS'!$P$68*(12.73)+'LINEST VARS'!$O$68*($Q$128^2)+'LINEST VARS'!$N$68*($B136^2)+'LINEST VARS'!$M$68*(4^2)+'LINEST VARS'!$L$68*(0.5^2)+'LINEST VARS'!$K$68*(12.73^2)+'LINEST VARS'!$J$68*($Q$128*$B136)+'LINEST VARS'!$I$68*($Q$128*4)+'LINEST VARS'!$H$68*($Q$128*0.5)+'LINEST VARS'!$G$68*($Q$128*12.73)+'LINEST VARS'!$F$68*($B136*4)+'LINEST VARS'!$E$68*($B136*0.5)+'LINEST VARS'!$D$68*($B136*12.73)+'LINEST VARS'!$C$68*(4*0.5)+'LINEST VARS'!$B$68*(4*12.73)+'LINEST VARS'!$A$68*(0.5*12.73)</f>
        <v>148.99999999999997</v>
      </c>
      <c r="R136" s="46">
        <f>'LINEST VARS'!$U$68+'LINEST VARS'!$T$68*($R$128)+'LINEST VARS'!$S$68*($B136)+'LINEST VARS'!$R$68*(4)+'LINEST VARS'!$Q$68*(0.5)+'LINEST VARS'!$P$68*(12.73)+'LINEST VARS'!$O$68*($R$128^2)+'LINEST VARS'!$N$68*($B136^2)+'LINEST VARS'!$M$68*(4^2)+'LINEST VARS'!$L$68*(0.5^2)+'LINEST VARS'!$K$68*(12.73^2)+'LINEST VARS'!$J$68*($R$128*$B136)+'LINEST VARS'!$I$68*($R$128*4)+'LINEST VARS'!$H$68*($R$128*0.5)+'LINEST VARS'!$G$68*($R$128*12.73)+'LINEST VARS'!$F$68*($B136*4)+'LINEST VARS'!$E$68*($B136*0.5)+'LINEST VARS'!$D$68*($B136*12.73)+'LINEST VARS'!$C$68*(4*0.5)+'LINEST VARS'!$B$68*(4*12.73)+'LINEST VARS'!$A$68*(0.5*12.73)</f>
        <v>148.99999999999997</v>
      </c>
      <c r="S136" s="46">
        <f>'LINEST VARS'!$U$68+'LINEST VARS'!$T$68*($S$128)+'LINEST VARS'!$S$68*($B136)+'LINEST VARS'!$R$68*(4)+'LINEST VARS'!$Q$68*(0.5)+'LINEST VARS'!$P$68*(12.73)+'LINEST VARS'!$O$68*($S$128^2)+'LINEST VARS'!$N$68*($B136^2)+'LINEST VARS'!$M$68*(4^2)+'LINEST VARS'!$L$68*(0.5^2)+'LINEST VARS'!$K$68*(12.73^2)+'LINEST VARS'!$J$68*($S$128*$B136)+'LINEST VARS'!$I$68*($S$128*4)+'LINEST VARS'!$H$68*($S$128*0.5)+'LINEST VARS'!$G$68*($S$128*12.73)+'LINEST VARS'!$F$68*($B136*4)+'LINEST VARS'!$E$68*($B136*0.5)+'LINEST VARS'!$D$68*($B136*12.73)+'LINEST VARS'!$C$68*(4*0.5)+'LINEST VARS'!$B$68*(4*12.73)+'LINEST VARS'!$A$68*(0.5*12.73)</f>
        <v>148.99999999999997</v>
      </c>
      <c r="T136" s="46">
        <f>'LINEST VARS'!$U$68+'LINEST VARS'!$T$68*($T$128)+'LINEST VARS'!$S$68*($B136)+'LINEST VARS'!$R$68*(4)+'LINEST VARS'!$Q$68*(0.5)+'LINEST VARS'!$P$68*(12.73)+'LINEST VARS'!$O$68*($T$128^2)+'LINEST VARS'!$N$68*($B136^2)+'LINEST VARS'!$M$68*(4^2)+'LINEST VARS'!$L$68*(0.5^2)+'LINEST VARS'!$K$68*(12.73^2)+'LINEST VARS'!$J$68*($T$128*$B136)+'LINEST VARS'!$I$68*($T$128*4)+'LINEST VARS'!$H$68*($T$128*0.5)+'LINEST VARS'!$G$68*($T$128*12.73)+'LINEST VARS'!$F$68*($B136*4)+'LINEST VARS'!$E$68*($B136*0.5)+'LINEST VARS'!$D$68*($B136*12.73)+'LINEST VARS'!$C$68*(4*0.5)+'LINEST VARS'!$B$68*(4*12.73)+'LINEST VARS'!$A$68*(0.5*12.73)</f>
        <v>148.99999999999997</v>
      </c>
      <c r="U136" s="46">
        <f>'LINEST VARS'!$U$68+'LINEST VARS'!$T$68*($U$128)+'LINEST VARS'!$S$68*($B136)+'LINEST VARS'!$R$68*(4)+'LINEST VARS'!$Q$68*(0.5)+'LINEST VARS'!$P$68*(12.73)+'LINEST VARS'!$O$68*($U$128^2)+'LINEST VARS'!$N$68*($B136^2)+'LINEST VARS'!$M$68*(4^2)+'LINEST VARS'!$L$68*(0.5^2)+'LINEST VARS'!$K$68*(12.73^2)+'LINEST VARS'!$J$68*($U$128*$B136)+'LINEST VARS'!$I$68*($U$128*4)+'LINEST VARS'!$H$68*($U$128*0.5)+'LINEST VARS'!$G$68*($U$128*12.73)+'LINEST VARS'!$F$68*($B136*4)+'LINEST VARS'!$E$68*($B136*0.5)+'LINEST VARS'!$D$68*($B136*12.73)+'LINEST VARS'!$C$68*(4*0.5)+'LINEST VARS'!$B$68*(4*12.73)+'LINEST VARS'!$A$68*(0.5*12.73)</f>
        <v>148.99999999999997</v>
      </c>
      <c r="V136" s="46">
        <f>'LINEST VARS'!$U$68+'LINEST VARS'!$T$68*($V$128)+'LINEST VARS'!$S$68*($B136)+'LINEST VARS'!$R$68*(4)+'LINEST VARS'!$Q$68*(0.5)+'LINEST VARS'!$P$68*(12.73)+'LINEST VARS'!$O$68*($V$128^2)+'LINEST VARS'!$N$68*($B136^2)+'LINEST VARS'!$M$68*(4^2)+'LINEST VARS'!$L$68*(0.5^2)+'LINEST VARS'!$K$68*(12.73^2)+'LINEST VARS'!$J$68*($V$128*$B136)+'LINEST VARS'!$I$68*($V$128*4)+'LINEST VARS'!$H$68*($V$128*0.5)+'LINEST VARS'!$G$68*($V$128*12.73)+'LINEST VARS'!$F$68*($B136*4)+'LINEST VARS'!$E$68*($B136*0.5)+'LINEST VARS'!$D$68*($B136*12.73)+'LINEST VARS'!$C$68*(4*0.5)+'LINEST VARS'!$B$68*(4*12.73)+'LINEST VARS'!$A$68*(0.5*12.73)</f>
        <v>148.99999999999997</v>
      </c>
      <c r="W136" s="47">
        <f>'LINEST VARS'!$U$68+'LINEST VARS'!$T$68*($W$128)+'LINEST VARS'!$S$68*($B136)+'LINEST VARS'!$R$68*(4)+'LINEST VARS'!$Q$68*(0.5)+'LINEST VARS'!$P$68*(12.73)+'LINEST VARS'!$O$68*($W$128^2)+'LINEST VARS'!$N$68*($B136^2)+'LINEST VARS'!$M$68*(4^2)+'LINEST VARS'!$L$68*(0.5^2)+'LINEST VARS'!$K$68*(12.73^2)+'LINEST VARS'!$J$68*($W$128*$B136)+'LINEST VARS'!$I$68*($W$128*4)+'LINEST VARS'!$H$68*($W$128*0.5)+'LINEST VARS'!$G$68*($W$128*12.73)+'LINEST VARS'!$F$68*($B136*4)+'LINEST VARS'!$E$68*($B136*0.5)+'LINEST VARS'!$D$68*($B136*12.73)+'LINEST VARS'!$C$68*(4*0.5)+'LINEST VARS'!$B$68*(4*12.73)+'LINEST VARS'!$A$68*(0.5*12.73)</f>
        <v>148.99999999999997</v>
      </c>
      <c r="Z136" s="45">
        <v>7.82</v>
      </c>
      <c r="AA136" s="46">
        <f>'LINEST VARS'!$U$70+'LINEST VARS'!$T$70*($AA$128)+'LINEST VARS'!$S$70*($Z136)+'LINEST VARS'!$R$70*(4)+'LINEST VARS'!$Q$70*(0.5)+'LINEST VARS'!$P$70*(12.73)+'LINEST VARS'!$O$70*($AA$128^2)+'LINEST VARS'!$N$70*($Z136^2)+'LINEST VARS'!$M$70*(4^2)+'LINEST VARS'!$L$70*(0.5^2)+'LINEST VARS'!$K$70*(12.73^2)+'LINEST VARS'!$J$70*($AA$128*$Z136)+'LINEST VARS'!$I$70*($AA$128*4)+'LINEST VARS'!$H$70*($AA$128*0.5)+'LINEST VARS'!$G$70*($AA$128*12.73)+'LINEST VARS'!$F$70*($Z136*4)+'LINEST VARS'!$E$70*($Z136*0.5)+'LINEST VARS'!$D$70*($Z136*12.73)+'LINEST VARS'!$C$70*(4*0.5)+'LINEST VARS'!$B$70*(4*12.73)+'LINEST VARS'!$A$70*(0.5*12.73)</f>
        <v>87.730000000000032</v>
      </c>
      <c r="AB136" s="46">
        <f>'LINEST VARS'!$U$70+'LINEST VARS'!$T$70*($AB$128)+'LINEST VARS'!$S$70*($Z136)+'LINEST VARS'!$R$70*(4)+'LINEST VARS'!$Q$70*(0.5)+'LINEST VARS'!$P$70*(12.73)+'LINEST VARS'!$O$70*($AB$128^2)+'LINEST VARS'!$N$70*($Z136^2)+'LINEST VARS'!$M$70*(4^2)+'LINEST VARS'!$L$70*(0.5^2)+'LINEST VARS'!$K$70*(12.73^2)+'LINEST VARS'!$J$70*($AB$128*$Z136)+'LINEST VARS'!$I$70*($AB$128*4)+'LINEST VARS'!$H$70*($AB$128*0.5)+'LINEST VARS'!$G$70*($AB$128*12.73)+'LINEST VARS'!$F$70*($Z136*4)+'LINEST VARS'!$E$70*($Z136*0.5)+'LINEST VARS'!$D$70*($Z136*12.73)+'LINEST VARS'!$C$70*(4*0.5)+'LINEST VARS'!$B$70*(4*12.73)+'LINEST VARS'!$A$70*(0.5*12.73)</f>
        <v>87.730000000000032</v>
      </c>
      <c r="AC136" s="46">
        <f>'LINEST VARS'!$U$70+'LINEST VARS'!$T$70*($AC$128)+'LINEST VARS'!$S$70*($Z136)+'LINEST VARS'!$R$70*(4)+'LINEST VARS'!$Q$70*(0.5)+'LINEST VARS'!$P$70*(12.73)+'LINEST VARS'!$O$70*($AC$128^2)+'LINEST VARS'!$N$70*($Z136^2)+'LINEST VARS'!$M$70*(4^2)+'LINEST VARS'!$L$70*(0.5^2)+'LINEST VARS'!$K$70*(12.73^2)+'LINEST VARS'!$J$70*($AC$128*$Z136)+'LINEST VARS'!$I$70*($AC$128*4)+'LINEST VARS'!$H$70*($AC$128*0.5)+'LINEST VARS'!$G$70*($AC$128*12.73)+'LINEST VARS'!$F$70*($Z136*4)+'LINEST VARS'!$E$70*($Z136*0.5)+'LINEST VARS'!$D$70*($Z136*12.73)+'LINEST VARS'!$C$70*(4*0.5)+'LINEST VARS'!$B$70*(4*12.73)+'LINEST VARS'!$A$70*(0.5*12.73)</f>
        <v>87.730000000000032</v>
      </c>
      <c r="AD136" s="46">
        <f>'LINEST VARS'!$U$70+'LINEST VARS'!$T$70*($AD$128)+'LINEST VARS'!$S$70*($Z136)+'LINEST VARS'!$R$70*(4)+'LINEST VARS'!$Q$70*(0.5)+'LINEST VARS'!$P$70*(12.73)+'LINEST VARS'!$O$70*($AD$128^2)+'LINEST VARS'!$N$70*($Z136^2)+'LINEST VARS'!$M$70*(4^2)+'LINEST VARS'!$L$70*(0.5^2)+'LINEST VARS'!$K$70*(12.73^2)+'LINEST VARS'!$J$70*($AD$128*$Z136)+'LINEST VARS'!$I$70*($AD$128*4)+'LINEST VARS'!$H$70*($AD$128*0.5)+'LINEST VARS'!$G$70*($AD$128*12.73)+'LINEST VARS'!$F$70*($Z136*4)+'LINEST VARS'!$E$70*($Z136*0.5)+'LINEST VARS'!$D$70*($Z136*12.73)+'LINEST VARS'!$C$70*(4*0.5)+'LINEST VARS'!$B$70*(4*12.73)+'LINEST VARS'!$A$70*(0.5*12.73)</f>
        <v>87.730000000000032</v>
      </c>
      <c r="AE136" s="46">
        <f>'LINEST VARS'!$U$70+'LINEST VARS'!$T$70*($AE$128)+'LINEST VARS'!$S$70*($Z136)+'LINEST VARS'!$R$70*(4)+'LINEST VARS'!$Q$70*(0.5)+'LINEST VARS'!$P$70*(12.73)+'LINEST VARS'!$O$70*($AE$128^2)+'LINEST VARS'!$N$70*($Z136^2)+'LINEST VARS'!$M$70*(4^2)+'LINEST VARS'!$L$70*(0.5^2)+'LINEST VARS'!$K$70*(12.73^2)+'LINEST VARS'!$J$70*($AE$128*$Z136)+'LINEST VARS'!$I$70*($AE$128*4)+'LINEST VARS'!$H$70*($AE$128*0.5)+'LINEST VARS'!$G$70*($AE$128*12.73)+'LINEST VARS'!$F$70*($Z136*4)+'LINEST VARS'!$E$70*($Z136*0.5)+'LINEST VARS'!$D$70*($Z136*12.73)+'LINEST VARS'!$C$70*(4*0.5)+'LINEST VARS'!$B$70*(4*12.73)+'LINEST VARS'!$A$70*(0.5*12.73)</f>
        <v>87.730000000000032</v>
      </c>
      <c r="AF136" s="46">
        <f>'LINEST VARS'!$U$70+'LINEST VARS'!$T$70*($AF$128)+'LINEST VARS'!$S$70*($Z136)+'LINEST VARS'!$R$70*(4)+'LINEST VARS'!$Q$70*(0.5)+'LINEST VARS'!$P$70*(12.73)+'LINEST VARS'!$O$70*($AF$128^2)+'LINEST VARS'!$N$70*($Z136^2)+'LINEST VARS'!$M$70*(4^2)+'LINEST VARS'!$L$70*(0.5^2)+'LINEST VARS'!$K$70*(12.73^2)+'LINEST VARS'!$J$70*($AF$128*$Z136)+'LINEST VARS'!$I$70*($AF$128*4)+'LINEST VARS'!$H$70*($AF$128*0.5)+'LINEST VARS'!$G$70*($AF$128*12.73)+'LINEST VARS'!$F$70*($Z136*4)+'LINEST VARS'!$E$70*($Z136*0.5)+'LINEST VARS'!$D$70*($Z136*12.73)+'LINEST VARS'!$C$70*(4*0.5)+'LINEST VARS'!$B$70*(4*12.73)+'LINEST VARS'!$A$70*(0.5*12.73)</f>
        <v>87.73</v>
      </c>
      <c r="AG136" s="46">
        <f>'LINEST VARS'!$U$70+'LINEST VARS'!$T$70*($AG$128)+'LINEST VARS'!$S$70*($Z136)+'LINEST VARS'!$R$70*(4)+'LINEST VARS'!$Q$70*(0.5)+'LINEST VARS'!$P$70*(12.73)+'LINEST VARS'!$O$70*($AG$128^2)+'LINEST VARS'!$N$70*($Z136^2)+'LINEST VARS'!$M$70*(4^2)+'LINEST VARS'!$L$70*(0.5^2)+'LINEST VARS'!$K$70*(12.73^2)+'LINEST VARS'!$J$70*($AG$128*$Z136)+'LINEST VARS'!$I$70*($AG$128*4)+'LINEST VARS'!$H$70*($AG$128*0.5)+'LINEST VARS'!$G$70*($AG$128*12.73)+'LINEST VARS'!$F$70*($Z136*4)+'LINEST VARS'!$E$70*($Z136*0.5)+'LINEST VARS'!$D$70*($Z136*12.73)+'LINEST VARS'!$C$70*(4*0.5)+'LINEST VARS'!$B$70*(4*12.73)+'LINEST VARS'!$A$70*(0.5*12.73)</f>
        <v>87.73</v>
      </c>
      <c r="AH136" s="46">
        <f>'LINEST VARS'!$U$70+'LINEST VARS'!$T$70*($AH$128)+'LINEST VARS'!$S$70*($Z136)+'LINEST VARS'!$R$70*(4)+'LINEST VARS'!$Q$70*(0.5)+'LINEST VARS'!$P$70*(12.73)+'LINEST VARS'!$O$70*($AH$128^2)+'LINEST VARS'!$N$70*($Z136^2)+'LINEST VARS'!$M$70*(4^2)+'LINEST VARS'!$L$70*(0.5^2)+'LINEST VARS'!$K$70*(12.73^2)+'LINEST VARS'!$J$70*($AH$128*$Z136)+'LINEST VARS'!$I$70*($AH$128*4)+'LINEST VARS'!$H$70*($AH$128*0.5)+'LINEST VARS'!$G$70*($AH$128*12.73)+'LINEST VARS'!$F$70*($Z136*4)+'LINEST VARS'!$E$70*($Z136*0.5)+'LINEST VARS'!$D$70*($Z136*12.73)+'LINEST VARS'!$C$70*(4*0.5)+'LINEST VARS'!$B$70*(4*12.73)+'LINEST VARS'!$A$70*(0.5*12.73)</f>
        <v>87.73</v>
      </c>
      <c r="AI136" s="46">
        <f>'LINEST VARS'!$U$70+'LINEST VARS'!$T$70*($AI$128)+'LINEST VARS'!$S$70*($Z136)+'LINEST VARS'!$R$70*(4)+'LINEST VARS'!$Q$70*(0.5)+'LINEST VARS'!$P$70*(12.73)+'LINEST VARS'!$O$70*($AI$128^2)+'LINEST VARS'!$N$70*($Z136^2)+'LINEST VARS'!$M$70*(4^2)+'LINEST VARS'!$L$70*(0.5^2)+'LINEST VARS'!$K$70*(12.73^2)+'LINEST VARS'!$J$70*($AI$128*$Z136)+'LINEST VARS'!$I$70*($AI$128*4)+'LINEST VARS'!$H$70*($AI$128*0.5)+'LINEST VARS'!$G$70*($AI$128*12.73)+'LINEST VARS'!$F$70*($Z136*4)+'LINEST VARS'!$E$70*($Z136*0.5)+'LINEST VARS'!$D$70*($Z136*12.73)+'LINEST VARS'!$C$70*(4*0.5)+'LINEST VARS'!$B$70*(4*12.73)+'LINEST VARS'!$A$70*(0.5*12.73)</f>
        <v>87.73</v>
      </c>
      <c r="AJ136" s="46">
        <f>'LINEST VARS'!$U$70+'LINEST VARS'!$T$70*($AJ$128)+'LINEST VARS'!$S$70*($Z136)+'LINEST VARS'!$R$70*(4)+'LINEST VARS'!$Q$70*(0.5)+'LINEST VARS'!$P$70*(12.73)+'LINEST VARS'!$O$70*($AJ$128^2)+'LINEST VARS'!$N$70*($Z136^2)+'LINEST VARS'!$M$70*(4^2)+'LINEST VARS'!$L$70*(0.5^2)+'LINEST VARS'!$K$70*(12.73^2)+'LINEST VARS'!$J$70*($AJ$128*$Z136)+'LINEST VARS'!$I$70*($AJ$128*4)+'LINEST VARS'!$H$70*($AJ$128*0.5)+'LINEST VARS'!$G$70*($AJ$128*12.73)+'LINEST VARS'!$F$70*($Z136*4)+'LINEST VARS'!$E$70*($Z136*0.5)+'LINEST VARS'!$D$70*($Z136*12.73)+'LINEST VARS'!$C$70*(4*0.5)+'LINEST VARS'!$B$70*(4*12.73)+'LINEST VARS'!$A$70*(0.5*12.73)</f>
        <v>87.73</v>
      </c>
      <c r="AK136" s="46">
        <f>'LINEST VARS'!$U$70+'LINEST VARS'!$T$70*($AK$128)+'LINEST VARS'!$S$70*($Z136)+'LINEST VARS'!$R$70*(4)+'LINEST VARS'!$Q$70*(0.5)+'LINEST VARS'!$P$70*(12.73)+'LINEST VARS'!$O$70*($AK$128^2)+'LINEST VARS'!$N$70*($Z136^2)+'LINEST VARS'!$M$70*(4^2)+'LINEST VARS'!$L$70*(0.5^2)+'LINEST VARS'!$K$70*(12.73^2)+'LINEST VARS'!$J$70*($AK$128*$Z136)+'LINEST VARS'!$I$70*($AK$128*4)+'LINEST VARS'!$H$70*($AK$128*0.5)+'LINEST VARS'!$G$70*($AK$128*12.73)+'LINEST VARS'!$F$70*($Z136*4)+'LINEST VARS'!$E$70*($Z136*0.5)+'LINEST VARS'!$D$70*($Z136*12.73)+'LINEST VARS'!$C$70*(4*0.5)+'LINEST VARS'!$B$70*(4*12.73)+'LINEST VARS'!$A$70*(0.5*12.73)</f>
        <v>87.73</v>
      </c>
      <c r="AL136" s="46">
        <f>'LINEST VARS'!$U$70+'LINEST VARS'!$T$70*($AL$128)+'LINEST VARS'!$S$70*($Z136)+'LINEST VARS'!$R$70*(4)+'LINEST VARS'!$Q$70*(0.5)+'LINEST VARS'!$P$70*(12.73)+'LINEST VARS'!$O$70*($AL$128^2)+'LINEST VARS'!$N$70*($Z136^2)+'LINEST VARS'!$M$70*(4^2)+'LINEST VARS'!$L$70*(0.5^2)+'LINEST VARS'!$K$70*(12.73^2)+'LINEST VARS'!$J$70*($AL$128*$Z136)+'LINEST VARS'!$I$70*($AL$128*4)+'LINEST VARS'!$H$70*($AL$128*0.5)+'LINEST VARS'!$G$70*($AL$128*12.73)+'LINEST VARS'!$F$70*($Z136*4)+'LINEST VARS'!$E$70*($Z136*0.5)+'LINEST VARS'!$D$70*($Z136*12.73)+'LINEST VARS'!$C$70*(4*0.5)+'LINEST VARS'!$B$70*(4*12.73)+'LINEST VARS'!$A$70*(0.5*12.73)</f>
        <v>87.73</v>
      </c>
      <c r="AM136" s="46">
        <f>'LINEST VARS'!$U$70+'LINEST VARS'!$T$70*($AM$128)+'LINEST VARS'!$S$70*($Z136)+'LINEST VARS'!$R$70*(4)+'LINEST VARS'!$Q$70*(0.5)+'LINEST VARS'!$P$70*(12.73)+'LINEST VARS'!$O$70*($AM$128^2)+'LINEST VARS'!$N$70*($Z136^2)+'LINEST VARS'!$M$70*(4^2)+'LINEST VARS'!$L$70*(0.5^2)+'LINEST VARS'!$K$70*(12.73^2)+'LINEST VARS'!$J$70*($AM$128*$Z136)+'LINEST VARS'!$I$70*($AM$128*4)+'LINEST VARS'!$H$70*($AM$128*0.5)+'LINEST VARS'!$G$70*($AM$128*12.73)+'LINEST VARS'!$F$70*($Z136*4)+'LINEST VARS'!$E$70*($Z136*0.5)+'LINEST VARS'!$D$70*($Z136*12.73)+'LINEST VARS'!$C$70*(4*0.5)+'LINEST VARS'!$B$70*(4*12.73)+'LINEST VARS'!$A$70*(0.5*12.73)</f>
        <v>87.73</v>
      </c>
      <c r="AN136" s="46">
        <f>'LINEST VARS'!$U$70+'LINEST VARS'!$T$70*($AN$128)+'LINEST VARS'!$S$70*($Z136)+'LINEST VARS'!$R$70*(4)+'LINEST VARS'!$Q$70*(0.5)+'LINEST VARS'!$P$70*(12.73)+'LINEST VARS'!$O$70*($AN$128^2)+'LINEST VARS'!$N$70*($Z136^2)+'LINEST VARS'!$M$70*(4^2)+'LINEST VARS'!$L$70*(0.5^2)+'LINEST VARS'!$K$70*(12.73^2)+'LINEST VARS'!$J$70*($AN$128*$Z136)+'LINEST VARS'!$I$70*($AN$128*4)+'LINEST VARS'!$H$70*($AN$128*0.5)+'LINEST VARS'!$G$70*($AN$128*12.73)+'LINEST VARS'!$F$70*($Z136*4)+'LINEST VARS'!$E$70*($Z136*0.5)+'LINEST VARS'!$D$70*($Z136*12.73)+'LINEST VARS'!$C$70*(4*0.5)+'LINEST VARS'!$B$70*(4*12.73)+'LINEST VARS'!$A$70*(0.5*12.73)</f>
        <v>87.73</v>
      </c>
      <c r="AO136" s="46">
        <f>'LINEST VARS'!$U$70+'LINEST VARS'!$T$70*($AO$128)+'LINEST VARS'!$S$70*($Z136)+'LINEST VARS'!$R$70*(4)+'LINEST VARS'!$Q$70*(0.5)+'LINEST VARS'!$P$70*(12.73)+'LINEST VARS'!$O$70*($AO$128^2)+'LINEST VARS'!$N$70*($Z136^2)+'LINEST VARS'!$M$70*(4^2)+'LINEST VARS'!$L$70*(0.5^2)+'LINEST VARS'!$K$70*(12.73^2)+'LINEST VARS'!$J$70*($AO$128*$Z136)+'LINEST VARS'!$I$70*($AO$128*4)+'LINEST VARS'!$H$70*($AO$128*0.5)+'LINEST VARS'!$G$70*($AO$128*12.73)+'LINEST VARS'!$F$70*($Z136*4)+'LINEST VARS'!$E$70*($Z136*0.5)+'LINEST VARS'!$D$70*($Z136*12.73)+'LINEST VARS'!$C$70*(4*0.5)+'LINEST VARS'!$B$70*(4*12.73)+'LINEST VARS'!$A$70*(0.5*12.73)</f>
        <v>87.73</v>
      </c>
      <c r="AP136" s="46">
        <f>'LINEST VARS'!$U$70+'LINEST VARS'!$T$70*($AP$128)+'LINEST VARS'!$S$70*($Z136)+'LINEST VARS'!$R$70*(4)+'LINEST VARS'!$Q$70*(0.5)+'LINEST VARS'!$P$70*(12.73)+'LINEST VARS'!$O$70*($AP$128^2)+'LINEST VARS'!$N$70*($Z136^2)+'LINEST VARS'!$M$70*(4^2)+'LINEST VARS'!$L$70*(0.5^2)+'LINEST VARS'!$K$70*(12.73^2)+'LINEST VARS'!$J$70*($AP$128*$Z136)+'LINEST VARS'!$I$70*($AP$128*4)+'LINEST VARS'!$H$70*($AP$128*0.5)+'LINEST VARS'!$G$70*($AP$128*12.73)+'LINEST VARS'!$F$70*($Z136*4)+'LINEST VARS'!$E$70*($Z136*0.5)+'LINEST VARS'!$D$70*($Z136*12.73)+'LINEST VARS'!$C$70*(4*0.5)+'LINEST VARS'!$B$70*(4*12.73)+'LINEST VARS'!$A$70*(0.5*12.73)</f>
        <v>87.73</v>
      </c>
      <c r="AQ136" s="46">
        <f>'LINEST VARS'!$U$70+'LINEST VARS'!$T$70*($AQ$128)+'LINEST VARS'!$S$70*($Z136)+'LINEST VARS'!$R$70*(4)+'LINEST VARS'!$Q$70*(0.5)+'LINEST VARS'!$P$70*(12.73)+'LINEST VARS'!$O$70*($AQ$128^2)+'LINEST VARS'!$N$70*($Z136^2)+'LINEST VARS'!$M$70*(4^2)+'LINEST VARS'!$L$70*(0.5^2)+'LINEST VARS'!$K$70*(12.73^2)+'LINEST VARS'!$J$70*($AQ$128*$Z136)+'LINEST VARS'!$I$70*($AQ$128*4)+'LINEST VARS'!$H$70*($AQ$128*0.5)+'LINEST VARS'!$G$70*($AQ$128*12.73)+'LINEST VARS'!$F$70*($Z136*4)+'LINEST VARS'!$E$70*($Z136*0.5)+'LINEST VARS'!$D$70*($Z136*12.73)+'LINEST VARS'!$C$70*(4*0.5)+'LINEST VARS'!$B$70*(4*12.73)+'LINEST VARS'!$A$70*(0.5*12.73)</f>
        <v>87.73</v>
      </c>
      <c r="AR136" s="46">
        <f>'LINEST VARS'!$U$70+'LINEST VARS'!$T$70*($AR$128)+'LINEST VARS'!$S$70*($Z136)+'LINEST VARS'!$R$70*(4)+'LINEST VARS'!$Q$70*(0.5)+'LINEST VARS'!$P$70*(12.73)+'LINEST VARS'!$O$70*($AR$128^2)+'LINEST VARS'!$N$70*($Z136^2)+'LINEST VARS'!$M$70*(4^2)+'LINEST VARS'!$L$70*(0.5^2)+'LINEST VARS'!$K$70*(12.73^2)+'LINEST VARS'!$J$70*($AR$128*$Z136)+'LINEST VARS'!$I$70*($AR$128*4)+'LINEST VARS'!$H$70*($AR$128*0.5)+'LINEST VARS'!$G$70*($AR$128*12.73)+'LINEST VARS'!$F$70*($Z136*4)+'LINEST VARS'!$E$70*($Z136*0.5)+'LINEST VARS'!$D$70*($Z136*12.73)+'LINEST VARS'!$C$70*(4*0.5)+'LINEST VARS'!$B$70*(4*12.73)+'LINEST VARS'!$A$70*(0.5*12.73)</f>
        <v>87.73</v>
      </c>
      <c r="AS136" s="46">
        <f>'LINEST VARS'!$U$70+'LINEST VARS'!$T$70*($AS$128)+'LINEST VARS'!$S$70*($Z136)+'LINEST VARS'!$R$70*(4)+'LINEST VARS'!$Q$70*(0.5)+'LINEST VARS'!$P$70*(12.73)+'LINEST VARS'!$O$70*($AS$128^2)+'LINEST VARS'!$N$70*($Z136^2)+'LINEST VARS'!$M$70*(4^2)+'LINEST VARS'!$L$70*(0.5^2)+'LINEST VARS'!$K$70*(12.73^2)+'LINEST VARS'!$J$70*($AS$128*$Z136)+'LINEST VARS'!$I$70*($AS$128*4)+'LINEST VARS'!$H$70*($AS$128*0.5)+'LINEST VARS'!$G$70*($AS$128*12.73)+'LINEST VARS'!$F$70*($Z136*4)+'LINEST VARS'!$E$70*($Z136*0.5)+'LINEST VARS'!$D$70*($Z136*12.73)+'LINEST VARS'!$C$70*(4*0.5)+'LINEST VARS'!$B$70*(4*12.73)+'LINEST VARS'!$A$70*(0.5*12.73)</f>
        <v>87.73</v>
      </c>
      <c r="AT136" s="46">
        <f>'LINEST VARS'!$U$70+'LINEST VARS'!$T$70*($AT$128)+'LINEST VARS'!$S$70*($Z136)+'LINEST VARS'!$R$70*(4)+'LINEST VARS'!$Q$70*(0.5)+'LINEST VARS'!$P$70*(12.73)+'LINEST VARS'!$O$70*($AT$128^2)+'LINEST VARS'!$N$70*($Z136^2)+'LINEST VARS'!$M$70*(4^2)+'LINEST VARS'!$L$70*(0.5^2)+'LINEST VARS'!$K$70*(12.73^2)+'LINEST VARS'!$J$70*($AT$128*$Z136)+'LINEST VARS'!$I$70*($AT$128*4)+'LINEST VARS'!$H$70*($AT$128*0.5)+'LINEST VARS'!$G$70*($AT$128*12.73)+'LINEST VARS'!$F$70*($Z136*4)+'LINEST VARS'!$E$70*($Z136*0.5)+'LINEST VARS'!$D$70*($Z136*12.73)+'LINEST VARS'!$C$70*(4*0.5)+'LINEST VARS'!$B$70*(4*12.73)+'LINEST VARS'!$A$70*(0.5*12.73)</f>
        <v>87.73</v>
      </c>
      <c r="AU136" s="47">
        <f>'LINEST VARS'!$U$70+'LINEST VARS'!$T$70*($AU$128)+'LINEST VARS'!$S$70*($Z136)+'LINEST VARS'!$R$70*(4)+'LINEST VARS'!$Q$70*(0.5)+'LINEST VARS'!$P$70*(12.73)+'LINEST VARS'!$O$70*($AU$128^2)+'LINEST VARS'!$N$70*($Z136^2)+'LINEST VARS'!$M$70*(4^2)+'LINEST VARS'!$L$70*(0.5^2)+'LINEST VARS'!$K$70*(12.73^2)+'LINEST VARS'!$J$70*($AU$128*$Z136)+'LINEST VARS'!$I$70*($AU$128*4)+'LINEST VARS'!$H$70*($AU$128*0.5)+'LINEST VARS'!$G$70*($AU$128*12.73)+'LINEST VARS'!$F$70*($Z136*4)+'LINEST VARS'!$E$70*($Z136*0.5)+'LINEST VARS'!$D$70*($Z136*12.73)+'LINEST VARS'!$C$70*(4*0.5)+'LINEST VARS'!$B$70*(4*12.73)+'LINEST VARS'!$A$70*(0.5*12.73)</f>
        <v>87.73</v>
      </c>
      <c r="AZ136" s="45">
        <v>0.35</v>
      </c>
      <c r="BA136" s="46">
        <f>'LINEST VARS'!$U$68+'LINEST VARS'!$T$68*(8)+'LINEST VARS'!$S$68*(8)+'LINEST VARS'!$R$68*($BA$128)+'LINEST VARS'!$Q$68*($AZ136)+'LINEST VARS'!$P$68*(12.73)+'LINEST VARS'!$O$68*(8^2)+'LINEST VARS'!$N$68*(8^2)+'LINEST VARS'!$M$68*($BA$128^2)+'LINEST VARS'!$L$68*($AZ136^2)+'LINEST VARS'!$K$68*(12.73^2)+'LINEST VARS'!$J$68*(8*8)+'LINEST VARS'!$I$68*(8*$BA$128)+'LINEST VARS'!$H$68*(8*$AZ136)+'LINEST VARS'!$G$68*(8*12.73)+'LINEST VARS'!$F$68*(8*$BA$128)+'LINEST VARS'!$E$68*(8*$AZ136)+'LINEST VARS'!$D$68*(8*12.73)+'LINEST VARS'!$C$68*($BA$128*$AZ136)+'LINEST VARS'!$B$68*($BA$128*12.73)+'LINEST VARS'!$A$68*($AZ136*12.73)</f>
        <v>149.51</v>
      </c>
      <c r="BB136" s="46">
        <f>'LINEST VARS'!$U$68+'LINEST VARS'!$T$68*(8)+'LINEST VARS'!$S$68*(8)+'LINEST VARS'!$R$68*($BB$128)+'LINEST VARS'!$Q$68*($AZ136)+'LINEST VARS'!$P$68*(12.73)+'LINEST VARS'!$O$68*(8^2)+'LINEST VARS'!$N$68*(8^2)+'LINEST VARS'!$M$68*($BB$128^2)+'LINEST VARS'!$L$68*($AZ136^2)+'LINEST VARS'!$K$68*(12.73^2)+'LINEST VARS'!$J$68*(8*8)+'LINEST VARS'!$I$68*(8*$BB$128)+'LINEST VARS'!$H$68*(8*$AZ136)+'LINEST VARS'!$G$68*(8*12.73)+'LINEST VARS'!$F$68*(8*$BB$128)+'LINEST VARS'!$E$68*(8*$AZ136)+'LINEST VARS'!$D$68*(8*12.73)+'LINEST VARS'!$C$68*($BB$128*$AZ136)+'LINEST VARS'!$B$68*($BB$128*12.73)+'LINEST VARS'!$A$68*($AZ136*12.73)</f>
        <v>149.51</v>
      </c>
      <c r="BC136" s="46">
        <f>'LINEST VARS'!$U$68+'LINEST VARS'!$T$68*(8)+'LINEST VARS'!$S$68*(8)+'LINEST VARS'!$R$68*($BC$128)+'LINEST VARS'!$Q$68*($AZ136)+'LINEST VARS'!$P$68*(12.73)+'LINEST VARS'!$O$68*(8^2)+'LINEST VARS'!$N$68*(8^2)+'LINEST VARS'!$M$68*($BC$128^2)+'LINEST VARS'!$L$68*($AZ136^2)+'LINEST VARS'!$K$68*(12.73^2)+'LINEST VARS'!$J$68*(8*8)+'LINEST VARS'!$I$68*(8*$BC$128)+'LINEST VARS'!$H$68*(8*$AZ136)+'LINEST VARS'!$G$68*(8*12.73)+'LINEST VARS'!$F$68*(8*$BC$128)+'LINEST VARS'!$E$68*(8*$AZ136)+'LINEST VARS'!$D$68*(8*12.73)+'LINEST VARS'!$C$68*($BC$128*$AZ136)+'LINEST VARS'!$B$68*($BC$128*12.73)+'LINEST VARS'!$A$68*($AZ136*12.73)</f>
        <v>149.51</v>
      </c>
      <c r="BD136" s="46">
        <f>'LINEST VARS'!$U$68+'LINEST VARS'!$T$68*(8)+'LINEST VARS'!$S$68*(8)+'LINEST VARS'!$R$68*($BD$128)+'LINEST VARS'!$Q$68*($AZ136)+'LINEST VARS'!$P$68*(12.73)+'LINEST VARS'!$O$68*(8^2)+'LINEST VARS'!$N$68*(8^2)+'LINEST VARS'!$M$68*($BD$128^2)+'LINEST VARS'!$L$68*($AZ136^2)+'LINEST VARS'!$K$68*(12.73^2)+'LINEST VARS'!$J$68*(8*8)+'LINEST VARS'!$I$68*(8*$BD$128)+'LINEST VARS'!$H$68*(8*$AZ136)+'LINEST VARS'!$G$68*(8*12.73)+'LINEST VARS'!$F$68*(8*$BD$128)+'LINEST VARS'!$E$68*(8*$AZ136)+'LINEST VARS'!$D$68*(8*12.73)+'LINEST VARS'!$C$68*($BD$128*$AZ136)+'LINEST VARS'!$B$68*($BD$128*12.73)+'LINEST VARS'!$A$68*($AZ136*12.73)</f>
        <v>149.51</v>
      </c>
      <c r="BE136" s="46">
        <f>'LINEST VARS'!$U$68+'LINEST VARS'!$T$68*(8)+'LINEST VARS'!$S$68*(8)+'LINEST VARS'!$R$68*($BE$128)+'LINEST VARS'!$Q$68*($AZ136)+'LINEST VARS'!$P$68*(12.73)+'LINEST VARS'!$O$68*(8^2)+'LINEST VARS'!$N$68*(8^2)+'LINEST VARS'!$M$68*($BE$128^2)+'LINEST VARS'!$L$68*($AZ136^2)+'LINEST VARS'!$K$68*(12.73^2)+'LINEST VARS'!$J$68*(8*8)+'LINEST VARS'!$I$68*(8*$BE$128)+'LINEST VARS'!$H$68*(8*$AZ136)+'LINEST VARS'!$G$68*(8*12.73)+'LINEST VARS'!$F$68*(8*$BE$128)+'LINEST VARS'!$E$68*(8*$AZ136)+'LINEST VARS'!$D$68*(8*12.73)+'LINEST VARS'!$C$68*($BE$128*$AZ136)+'LINEST VARS'!$B$68*($BE$128*12.73)+'LINEST VARS'!$A$68*($AZ136*12.73)</f>
        <v>149.51</v>
      </c>
      <c r="BF136" s="46">
        <f>'LINEST VARS'!$U$68+'LINEST VARS'!$T$68*(8)+'LINEST VARS'!$S$68*(8)+'LINEST VARS'!$R$68*($BF$128)+'LINEST VARS'!$Q$68*($AZ136)+'LINEST VARS'!$P$68*(12.73)+'LINEST VARS'!$O$68*(8^2)+'LINEST VARS'!$N$68*(8^2)+'LINEST VARS'!$M$68*($BF$128^2)+'LINEST VARS'!$L$68*($AZ136^2)+'LINEST VARS'!$K$68*(12.73^2)+'LINEST VARS'!$J$68*(8*8)+'LINEST VARS'!$I$68*(8*$BF$128)+'LINEST VARS'!$H$68*(8*$AZ136)+'LINEST VARS'!$G$68*(8*12.73)+'LINEST VARS'!$F$68*(8*$BF$128)+'LINEST VARS'!$E$68*(8*$AZ136)+'LINEST VARS'!$D$68*(8*12.73)+'LINEST VARS'!$C$68*($BF$128*$AZ136)+'LINEST VARS'!$B$68*($BF$128*12.73)+'LINEST VARS'!$A$68*($AZ136*12.73)</f>
        <v>149.51</v>
      </c>
      <c r="BG136" s="46">
        <f>'LINEST VARS'!$U$68+'LINEST VARS'!$T$68*(8)+'LINEST VARS'!$S$68*(8)+'LINEST VARS'!$R$68*($BG$128)+'LINEST VARS'!$Q$68*($AZ136)+'LINEST VARS'!$P$68*(12.73)+'LINEST VARS'!$O$68*(8^2)+'LINEST VARS'!$N$68*(8^2)+'LINEST VARS'!$M$68*($BG$128^2)+'LINEST VARS'!$L$68*($AZ136^2)+'LINEST VARS'!$K$68*(12.73^2)+'LINEST VARS'!$J$68*(8*8)+'LINEST VARS'!$I$68*(8*$BG$128)+'LINEST VARS'!$H$68*(8*$AZ136)+'LINEST VARS'!$G$68*(8*12.73)+'LINEST VARS'!$F$68*(8*$BG$128)+'LINEST VARS'!$E$68*(8*$AZ136)+'LINEST VARS'!$D$68*(8*12.73)+'LINEST VARS'!$C$68*($BG$128*$AZ136)+'LINEST VARS'!$B$68*($BG$128*12.73)+'LINEST VARS'!$A$68*($AZ136*12.73)</f>
        <v>149.51</v>
      </c>
      <c r="BH136" s="46">
        <f>'LINEST VARS'!$U$68+'LINEST VARS'!$T$68*(8)+'LINEST VARS'!$S$68*(8)+'LINEST VARS'!$R$68*($BH$128)+'LINEST VARS'!$Q$68*($AZ136)+'LINEST VARS'!$P$68*(12.73)+'LINEST VARS'!$O$68*(8^2)+'LINEST VARS'!$N$68*(8^2)+'LINEST VARS'!$M$68*($BH$128^2)+'LINEST VARS'!$L$68*($AZ136^2)+'LINEST VARS'!$K$68*(12.73^2)+'LINEST VARS'!$J$68*(8*8)+'LINEST VARS'!$I$68*(8*$BH$128)+'LINEST VARS'!$H$68*(8*$AZ136)+'LINEST VARS'!$G$68*(8*12.73)+'LINEST VARS'!$F$68*(8*$BH$128)+'LINEST VARS'!$E$68*(8*$AZ136)+'LINEST VARS'!$D$68*(8*12.73)+'LINEST VARS'!$C$68*($BH$128*$AZ136)+'LINEST VARS'!$B$68*($BH$128*12.73)+'LINEST VARS'!$A$68*($AZ136*12.73)</f>
        <v>149.51</v>
      </c>
      <c r="BI136" s="46">
        <f>'LINEST VARS'!$U$68+'LINEST VARS'!$T$68*(8)+'LINEST VARS'!$S$68*(8)+'LINEST VARS'!$R$68*($BI$128)+'LINEST VARS'!$Q$68*($AZ136)+'LINEST VARS'!$P$68*(12.73)+'LINEST VARS'!$O$68*(8^2)+'LINEST VARS'!$N$68*(8^2)+'LINEST VARS'!$M$68*($BI$128^2)+'LINEST VARS'!$L$68*($AZ136^2)+'LINEST VARS'!$K$68*(12.73^2)+'LINEST VARS'!$J$68*(8*8)+'LINEST VARS'!$I$68*(8*$BI$128)+'LINEST VARS'!$H$68*(8*$AZ136)+'LINEST VARS'!$G$68*(8*12.73)+'LINEST VARS'!$F$68*(8*$BI$128)+'LINEST VARS'!$E$68*(8*$AZ136)+'LINEST VARS'!$D$68*(8*12.73)+'LINEST VARS'!$C$68*($BI$128*$AZ136)+'LINEST VARS'!$B$68*($BI$128*12.73)+'LINEST VARS'!$A$68*($AZ136*12.73)</f>
        <v>149.51</v>
      </c>
      <c r="BJ136" s="46">
        <f>'LINEST VARS'!$U$68+'LINEST VARS'!$T$68*(8)+'LINEST VARS'!$S$68*(8)+'LINEST VARS'!$R$68*($BJ$128)+'LINEST VARS'!$Q$68*($AZ136)+'LINEST VARS'!$P$68*(12.73)+'LINEST VARS'!$O$68*(8^2)+'LINEST VARS'!$N$68*(8^2)+'LINEST VARS'!$M$68*($BJ$128^2)+'LINEST VARS'!$L$68*($AZ136^2)+'LINEST VARS'!$K$68*(12.73^2)+'LINEST VARS'!$J$68*(8*8)+'LINEST VARS'!$I$68*(8*$BJ$128)+'LINEST VARS'!$H$68*(8*$AZ136)+'LINEST VARS'!$G$68*(8*12.73)+'LINEST VARS'!$F$68*(8*$BJ$128)+'LINEST VARS'!$E$68*(8*$AZ136)+'LINEST VARS'!$D$68*(8*12.73)+'LINEST VARS'!$C$68*($BJ$128*$AZ136)+'LINEST VARS'!$B$68*($BJ$128*12.73)+'LINEST VARS'!$A$68*($AZ136*12.73)</f>
        <v>149.51</v>
      </c>
      <c r="BK136" s="46">
        <f>'LINEST VARS'!$U$68+'LINEST VARS'!$T$68*(8)+'LINEST VARS'!$S$68*(8)+'LINEST VARS'!$R$68*($BK$128)+'LINEST VARS'!$Q$68*($AZ136)+'LINEST VARS'!$P$68*(12.73)+'LINEST VARS'!$O$68*(8^2)+'LINEST VARS'!$N$68*(8^2)+'LINEST VARS'!$M$68*($BK$128^2)+'LINEST VARS'!$L$68*($AZ136^2)+'LINEST VARS'!$K$68*(12.73^2)+'LINEST VARS'!$J$68*(8*8)+'LINEST VARS'!$I$68*(8*$BK$128)+'LINEST VARS'!$H$68*(8*$AZ136)+'LINEST VARS'!$G$68*(8*12.73)+'LINEST VARS'!$F$68*(8*$BK$128)+'LINEST VARS'!$E$68*(8*$AZ136)+'LINEST VARS'!$D$68*(8*12.73)+'LINEST VARS'!$C$68*($BK$128*$AZ136)+'LINEST VARS'!$B$68*($BK$128*12.73)+'LINEST VARS'!$A$68*($AZ136*12.73)</f>
        <v>149.51</v>
      </c>
      <c r="BL136" s="46">
        <f>'LINEST VARS'!$U$68+'LINEST VARS'!$T$68*(8)+'LINEST VARS'!$S$68*(8)+'LINEST VARS'!$R$68*($BL$128)+'LINEST VARS'!$Q$68*($AZ136)+'LINEST VARS'!$P$68*(12.73)+'LINEST VARS'!$O$68*(8^2)+'LINEST VARS'!$N$68*(8^2)+'LINEST VARS'!$M$68*($BL$128^2)+'LINEST VARS'!$L$68*($AZ136^2)+'LINEST VARS'!$K$68*(12.73^2)+'LINEST VARS'!$J$68*(8*8)+'LINEST VARS'!$I$68*(8*$BL$128)+'LINEST VARS'!$H$68*(8*$AZ136)+'LINEST VARS'!$G$68*(8*12.73)+'LINEST VARS'!$F$68*(8*$BL$128)+'LINEST VARS'!$E$68*(8*$AZ136)+'LINEST VARS'!$D$68*(8*12.73)+'LINEST VARS'!$C$68*($BL$128*$AZ136)+'LINEST VARS'!$B$68*($BL$128*12.73)+'LINEST VARS'!$A$68*($AZ136*12.73)</f>
        <v>149.51</v>
      </c>
      <c r="BM136" s="46">
        <f>'LINEST VARS'!$U$68+'LINEST VARS'!$T$68*(8)+'LINEST VARS'!$S$68*(8)+'LINEST VARS'!$R$68*($BM$128)+'LINEST VARS'!$Q$68*($AZ136)+'LINEST VARS'!$P$68*(12.73)+'LINEST VARS'!$O$68*(8^2)+'LINEST VARS'!$N$68*(8^2)+'LINEST VARS'!$M$68*($BM$128^2)+'LINEST VARS'!$L$68*($AZ136^2)+'LINEST VARS'!$K$68*(12.73^2)+'LINEST VARS'!$J$68*(8*8)+'LINEST VARS'!$I$68*(8*$BM$128)+'LINEST VARS'!$H$68*(8*$AZ136)+'LINEST VARS'!$G$68*(8*12.73)+'LINEST VARS'!$F$68*(8*$BM$128)+'LINEST VARS'!$E$68*(8*$AZ136)+'LINEST VARS'!$D$68*(8*12.73)+'LINEST VARS'!$C$68*($BM$128*$AZ136)+'LINEST VARS'!$B$68*($BM$128*12.73)+'LINEST VARS'!$A$68*($AZ136*12.73)</f>
        <v>149.51</v>
      </c>
      <c r="BN136" s="46">
        <f>'LINEST VARS'!$U$68+'LINEST VARS'!$T$68*(8)+'LINEST VARS'!$S$68*(8)+'LINEST VARS'!$R$68*($BN$128)+'LINEST VARS'!$Q$68*($AZ136)+'LINEST VARS'!$P$68*(12.73)+'LINEST VARS'!$O$68*(8^2)+'LINEST VARS'!$N$68*(8^2)+'LINEST VARS'!$M$68*($BN$128^2)+'LINEST VARS'!$L$68*($AZ136^2)+'LINEST VARS'!$K$68*(12.73^2)+'LINEST VARS'!$J$68*(8*8)+'LINEST VARS'!$I$68*(8*$BN$128)+'LINEST VARS'!$H$68*(8*$AZ136)+'LINEST VARS'!$G$68*(8*12.73)+'LINEST VARS'!$F$68*(8*$BN$128)+'LINEST VARS'!$E$68*(8*$AZ136)+'LINEST VARS'!$D$68*(8*12.73)+'LINEST VARS'!$C$68*($BN$128*$AZ136)+'LINEST VARS'!$B$68*($BN$128*12.73)+'LINEST VARS'!$A$68*($AZ136*12.73)</f>
        <v>149.51</v>
      </c>
      <c r="BO136" s="46">
        <f>'LINEST VARS'!$U$68+'LINEST VARS'!$T$68*(8)+'LINEST VARS'!$S$68*(8)+'LINEST VARS'!$R$68*($BO$128)+'LINEST VARS'!$Q$68*($AZ136)+'LINEST VARS'!$P$68*(12.73)+'LINEST VARS'!$O$68*(8^2)+'LINEST VARS'!$N$68*(8^2)+'LINEST VARS'!$M$68*($BO$128^2)+'LINEST VARS'!$L$68*($AZ136^2)+'LINEST VARS'!$K$68*(12.73^2)+'LINEST VARS'!$J$68*(8*8)+'LINEST VARS'!$I$68*(8*$BO$128)+'LINEST VARS'!$H$68*(8*$AZ136)+'LINEST VARS'!$G$68*(8*12.73)+'LINEST VARS'!$F$68*(8*$BO$128)+'LINEST VARS'!$E$68*(8*$AZ136)+'LINEST VARS'!$D$68*(8*12.73)+'LINEST VARS'!$C$68*($BO$128*$AZ136)+'LINEST VARS'!$B$68*($BO$128*12.73)+'LINEST VARS'!$A$68*($AZ136*12.73)</f>
        <v>149.51</v>
      </c>
      <c r="BP136" s="46">
        <f>'LINEST VARS'!$U$68+'LINEST VARS'!$T$68*(8)+'LINEST VARS'!$S$68*(8)+'LINEST VARS'!$R$68*($BP$128)+'LINEST VARS'!$Q$68*($AZ136)+'LINEST VARS'!$P$68*(12.73)+'LINEST VARS'!$O$68*(8^2)+'LINEST VARS'!$N$68*(8^2)+'LINEST VARS'!$M$68*($BP$128^2)+'LINEST VARS'!$L$68*($AZ136^2)+'LINEST VARS'!$K$68*(12.73^2)+'LINEST VARS'!$J$68*(8*8)+'LINEST VARS'!$I$68*(8*$BP$128)+'LINEST VARS'!$H$68*(8*$AZ136)+'LINEST VARS'!$G$68*(8*12.73)+'LINEST VARS'!$F$68*(8*$BP$128)+'LINEST VARS'!$E$68*(8*$AZ136)+'LINEST VARS'!$D$68*(8*12.73)+'LINEST VARS'!$C$68*($BP$128*$AZ136)+'LINEST VARS'!$B$68*($BP$128*12.73)+'LINEST VARS'!$A$68*($AZ136*12.73)</f>
        <v>149.51</v>
      </c>
      <c r="BQ136" s="46">
        <f>'LINEST VARS'!$U$68+'LINEST VARS'!$T$68*(8)+'LINEST VARS'!$S$68*(8)+'LINEST VARS'!$R$68*($BQ$128)+'LINEST VARS'!$Q$68*($AZ136)+'LINEST VARS'!$P$68*(12.73)+'LINEST VARS'!$O$68*(8^2)+'LINEST VARS'!$N$68*(8^2)+'LINEST VARS'!$M$68*($BQ$128^2)+'LINEST VARS'!$L$68*($AZ136^2)+'LINEST VARS'!$K$68*(12.73^2)+'LINEST VARS'!$J$68*(8*8)+'LINEST VARS'!$I$68*(8*$BQ$128)+'LINEST VARS'!$H$68*(8*$AZ136)+'LINEST VARS'!$G$68*(8*12.73)+'LINEST VARS'!$F$68*(8*$BQ$128)+'LINEST VARS'!$E$68*(8*$AZ136)+'LINEST VARS'!$D$68*(8*12.73)+'LINEST VARS'!$C$68*($BQ$128*$AZ136)+'LINEST VARS'!$B$68*($BQ$128*12.73)+'LINEST VARS'!$A$68*($AZ136*12.73)</f>
        <v>149.51</v>
      </c>
      <c r="BR136" s="46">
        <f>'LINEST VARS'!$U$68+'LINEST VARS'!$T$68*(8)+'LINEST VARS'!$S$68*(8)+'LINEST VARS'!$R$68*($BR$128)+'LINEST VARS'!$Q$68*($AZ136)+'LINEST VARS'!$P$68*(12.73)+'LINEST VARS'!$O$68*(8^2)+'LINEST VARS'!$N$68*(8^2)+'LINEST VARS'!$M$68*($BR$128^2)+'LINEST VARS'!$L$68*($AZ136^2)+'LINEST VARS'!$K$68*(12.73^2)+'LINEST VARS'!$J$68*(8*8)+'LINEST VARS'!$I$68*(8*$BR$128)+'LINEST VARS'!$H$68*(8*$AZ136)+'LINEST VARS'!$G$68*(8*12.73)+'LINEST VARS'!$F$68*(8*$BR$128)+'LINEST VARS'!$E$68*(8*$AZ136)+'LINEST VARS'!$D$68*(8*12.73)+'LINEST VARS'!$C$68*($BR$128*$AZ136)+'LINEST VARS'!$B$68*($BR$128*12.73)+'LINEST VARS'!$A$68*($AZ136*12.73)</f>
        <v>149.51</v>
      </c>
      <c r="BS136" s="46">
        <f>'LINEST VARS'!$U$68+'LINEST VARS'!$T$68*(8)+'LINEST VARS'!$S$68*(8)+'LINEST VARS'!$R$68*($BS$128)+'LINEST VARS'!$Q$68*($AZ136)+'LINEST VARS'!$P$68*(12.73)+'LINEST VARS'!$O$68*(8^2)+'LINEST VARS'!$N$68*(8^2)+'LINEST VARS'!$M$68*($BS$128^2)+'LINEST VARS'!$L$68*($AZ136^2)+'LINEST VARS'!$K$68*(12.73^2)+'LINEST VARS'!$J$68*(8*8)+'LINEST VARS'!$I$68*(8*$BS$128)+'LINEST VARS'!$H$68*(8*$AZ136)+'LINEST VARS'!$G$68*(8*12.73)+'LINEST VARS'!$F$68*(8*$BS$128)+'LINEST VARS'!$E$68*(8*$AZ136)+'LINEST VARS'!$D$68*(8*12.73)+'LINEST VARS'!$C$68*($BS$128*$AZ136)+'LINEST VARS'!$B$68*($BS$128*12.73)+'LINEST VARS'!$A$68*($AZ136*12.73)</f>
        <v>149.51</v>
      </c>
      <c r="BT136" s="46">
        <f>'LINEST VARS'!$U$68+'LINEST VARS'!$T$68*(8)+'LINEST VARS'!$S$68*(8)+'LINEST VARS'!$R$68*($BT$128)+'LINEST VARS'!$Q$68*($AZ136)+'LINEST VARS'!$P$68*(12.73)+'LINEST VARS'!$O$68*(8^2)+'LINEST VARS'!$N$68*(8^2)+'LINEST VARS'!$M$68*($BT$128^2)+'LINEST VARS'!$L$68*($AZ136^2)+'LINEST VARS'!$K$68*(12.73^2)+'LINEST VARS'!$J$68*(8*8)+'LINEST VARS'!$I$68*(8*$BT$128)+'LINEST VARS'!$H$68*(8*$AZ136)+'LINEST VARS'!$G$68*(8*12.73)+'LINEST VARS'!$F$68*(8*$BT$128)+'LINEST VARS'!$E$68*(8*$AZ136)+'LINEST VARS'!$D$68*(8*12.73)+'LINEST VARS'!$C$68*($BT$128*$AZ136)+'LINEST VARS'!$B$68*($BT$128*12.73)+'LINEST VARS'!$A$68*($AZ136*12.73)</f>
        <v>149.51</v>
      </c>
      <c r="BU136" s="47">
        <f>'LINEST VARS'!$U$68+'LINEST VARS'!$T$68*(8)+'LINEST VARS'!$S$68*(8)+'LINEST VARS'!$R$68*($BU$128)+'LINEST VARS'!$Q$68*($AZ136)+'LINEST VARS'!$P$68*(12.73)+'LINEST VARS'!$O$68*(8^2)+'LINEST VARS'!$N$68*(8^2)+'LINEST VARS'!$M$68*($BU$128^2)+'LINEST VARS'!$L$68*($AZ136^2)+'LINEST VARS'!$K$68*(12.73^2)+'LINEST VARS'!$J$68*(8*8)+'LINEST VARS'!$I$68*(8*$BU$128)+'LINEST VARS'!$H$68*(8*$AZ136)+'LINEST VARS'!$G$68*(8*12.73)+'LINEST VARS'!$F$68*(8*$BU$128)+'LINEST VARS'!$E$68*(8*$AZ136)+'LINEST VARS'!$D$68*(8*12.73)+'LINEST VARS'!$C$68*($BU$128*$AZ136)+'LINEST VARS'!$B$68*($BU$128*12.73)+'LINEST VARS'!$A$68*($AZ136*12.73)</f>
        <v>149.51</v>
      </c>
      <c r="BX136" s="45">
        <v>0.35</v>
      </c>
      <c r="BY136" s="46">
        <f>'LINEST VARS'!$U$70+'LINEST VARS'!$T$70*(8)+'LINEST VARS'!$S$70*(8)+'LINEST VARS'!$R$70*($BY$128)+'LINEST VARS'!$Q$70*($BX136)+'LINEST VARS'!$P$70*(12.73)+'LINEST VARS'!$O$70*(8^2)+'LINEST VARS'!$N$70*(8^2)+'LINEST VARS'!$M$70*($BY$128^2)+'LINEST VARS'!$L$70*($BX136^2)+'LINEST VARS'!$K$70*(12.73^2)+'LINEST VARS'!$J$70*(8*8)+'LINEST VARS'!$I$70*(8*$BY$128)+'LINEST VARS'!$H$70*(8*$BX136)+'LINEST VARS'!$G$70*(8*12.73)+'LINEST VARS'!$F$70*(8*$BY$128)+'LINEST VARS'!$E$70*(8*$BX136)+'LINEST VARS'!$D$70*(8*12.73)+'LINEST VARS'!$C$70*($BY$128*$BX136)+'LINEST VARS'!$B$70*($BY$128*12.73)+'LINEST VARS'!$A$70*($BX136*12.73)</f>
        <v>92.000000000000014</v>
      </c>
      <c r="BZ136" s="46">
        <f>'LINEST VARS'!$U$70+'LINEST VARS'!$T$70*(8)+'LINEST VARS'!$S$70*(8)+'LINEST VARS'!$R$70*($BZ$128)+'LINEST VARS'!$Q$70*($BX136)+'LINEST VARS'!$P$70*(12.73)+'LINEST VARS'!$O$70*(8^2)+'LINEST VARS'!$N$70*(8^2)+'LINEST VARS'!$M$70*($BZ$128^2)+'LINEST VARS'!$L$70*($BX136^2)+'LINEST VARS'!$K$70*(12.73^2)+'LINEST VARS'!$J$70*(8*8)+'LINEST VARS'!$I$70*(8*$BZ$128)+'LINEST VARS'!$H$70*(8*$BX136)+'LINEST VARS'!$G$70*(8*12.73)+'LINEST VARS'!$F$70*(8*$BZ$128)+'LINEST VARS'!$E$70*(8*$BX136)+'LINEST VARS'!$D$70*(8*12.73)+'LINEST VARS'!$C$70*($BZ$128*$BX136)+'LINEST VARS'!$B$70*($BZ$128*12.73)+'LINEST VARS'!$A$70*($BX136*12.73)</f>
        <v>91.600000000000009</v>
      </c>
      <c r="CA136" s="46">
        <f>'LINEST VARS'!$U$70+'LINEST VARS'!$T$70*(8)+'LINEST VARS'!$S$70*(8)+'LINEST VARS'!$R$70*($CA$128)+'LINEST VARS'!$Q$70*($BX136)+'LINEST VARS'!$P$70*(12.73)+'LINEST VARS'!$O$70*(8^2)+'LINEST VARS'!$N$70*(8^2)+'LINEST VARS'!$M$70*($CA$128^2)+'LINEST VARS'!$L$70*($BX136^2)+'LINEST VARS'!$K$70*(12.73^2)+'LINEST VARS'!$J$70*(8*8)+'LINEST VARS'!$I$70*(8*$CA$128)+'LINEST VARS'!$H$70*(8*$BX136)+'LINEST VARS'!$G$70*(8*12.73)+'LINEST VARS'!$F$70*(8*$CA$128)+'LINEST VARS'!$E$70*(8*$BX136)+'LINEST VARS'!$D$70*(8*12.73)+'LINEST VARS'!$C$70*($CA$128*$BX136)+'LINEST VARS'!$B$70*($CA$128*12.73)+'LINEST VARS'!$A$70*($BX136*12.73)</f>
        <v>91.200000000000017</v>
      </c>
      <c r="CB136" s="46">
        <f>'LINEST VARS'!$U$70+'LINEST VARS'!$T$70*(8)+'LINEST VARS'!$S$70*(8)+'LINEST VARS'!$R$70*($CB$128)+'LINEST VARS'!$Q$70*($BX136)+'LINEST VARS'!$P$70*(12.73)+'LINEST VARS'!$O$70*(8^2)+'LINEST VARS'!$N$70*(8^2)+'LINEST VARS'!$M$70*($CB$128^2)+'LINEST VARS'!$L$70*($BX136^2)+'LINEST VARS'!$K$70*(12.73^2)+'LINEST VARS'!$J$70*(8*8)+'LINEST VARS'!$I$70*(8*$CB$128)+'LINEST VARS'!$H$70*(8*$BX136)+'LINEST VARS'!$G$70*(8*12.73)+'LINEST VARS'!$F$70*(8*$CB$128)+'LINEST VARS'!$E$70*(8*$BX136)+'LINEST VARS'!$D$70*(8*12.73)+'LINEST VARS'!$C$70*($CB$128*$BX136)+'LINEST VARS'!$B$70*($CB$128*12.73)+'LINEST VARS'!$A$70*($BX136*12.73)</f>
        <v>90.800000000000011</v>
      </c>
      <c r="CC136" s="46">
        <f>'LINEST VARS'!$U$70+'LINEST VARS'!$T$70*(8)+'LINEST VARS'!$S$70*(8)+'LINEST VARS'!$R$70*($CC$128)+'LINEST VARS'!$Q$70*($BX136)+'LINEST VARS'!$P$70*(12.73)+'LINEST VARS'!$O$70*(8^2)+'LINEST VARS'!$N$70*(8^2)+'LINEST VARS'!$M$70*($CC$128^2)+'LINEST VARS'!$L$70*($BX136^2)+'LINEST VARS'!$K$70*(12.73^2)+'LINEST VARS'!$J$70*(8*8)+'LINEST VARS'!$I$70*(8*$CC$128)+'LINEST VARS'!$H$70*(8*$BX136)+'LINEST VARS'!$G$70*(8*12.73)+'LINEST VARS'!$F$70*(8*$CC$128)+'LINEST VARS'!$E$70*(8*$BX136)+'LINEST VARS'!$D$70*(8*12.73)+'LINEST VARS'!$C$70*($CC$128*$BX136)+'LINEST VARS'!$B$70*($CC$128*12.73)+'LINEST VARS'!$A$70*($BX136*12.73)</f>
        <v>90.40000000000002</v>
      </c>
      <c r="CD136" s="46">
        <f>'LINEST VARS'!$U$70+'LINEST VARS'!$T$70*(8)+'LINEST VARS'!$S$70*(8)+'LINEST VARS'!$R$70*($CD$128)+'LINEST VARS'!$Q$70*($BX136)+'LINEST VARS'!$P$70*(12.73)+'LINEST VARS'!$O$70*(8^2)+'LINEST VARS'!$N$70*(8^2)+'LINEST VARS'!$M$70*($CD$128^2)+'LINEST VARS'!$L$70*($BX136^2)+'LINEST VARS'!$K$70*(12.73^2)+'LINEST VARS'!$J$70*(8*8)+'LINEST VARS'!$I$70*(8*$CD$128)+'LINEST VARS'!$H$70*(8*$BX136)+'LINEST VARS'!$G$70*(8*12.73)+'LINEST VARS'!$F$70*(8*$CD$128)+'LINEST VARS'!$E$70*(8*$BX136)+'LINEST VARS'!$D$70*(8*12.73)+'LINEST VARS'!$C$70*($CD$128*$BX136)+'LINEST VARS'!$B$70*($CD$128*12.73)+'LINEST VARS'!$A$70*($BX136*12.73)</f>
        <v>90.000000000000014</v>
      </c>
      <c r="CE136" s="46">
        <f>'LINEST VARS'!$U$70+'LINEST VARS'!$T$70*(8)+'LINEST VARS'!$S$70*(8)+'LINEST VARS'!$R$70*($CE$128)+'LINEST VARS'!$Q$70*($BX136)+'LINEST VARS'!$P$70*(12.73)+'LINEST VARS'!$O$70*(8^2)+'LINEST VARS'!$N$70*(8^2)+'LINEST VARS'!$M$70*($CE$128^2)+'LINEST VARS'!$L$70*($BX136^2)+'LINEST VARS'!$K$70*(12.73^2)+'LINEST VARS'!$J$70*(8*8)+'LINEST VARS'!$I$70*(8*$CE$128)+'LINEST VARS'!$H$70*(8*$BX136)+'LINEST VARS'!$G$70*(8*12.73)+'LINEST VARS'!$F$70*(8*$CE$128)+'LINEST VARS'!$E$70*(8*$BX136)+'LINEST VARS'!$D$70*(8*12.73)+'LINEST VARS'!$C$70*($CE$128*$BX136)+'LINEST VARS'!$B$70*($CE$128*12.73)+'LINEST VARS'!$A$70*($BX136*12.73)</f>
        <v>89.600000000000023</v>
      </c>
      <c r="CF136" s="46">
        <f>'LINEST VARS'!$U$70+'LINEST VARS'!$T$70*(8)+'LINEST VARS'!$S$70*(8)+'LINEST VARS'!$R$70*($CF$128)+'LINEST VARS'!$Q$70*($BX136)+'LINEST VARS'!$P$70*(12.73)+'LINEST VARS'!$O$70*(8^2)+'LINEST VARS'!$N$70*(8^2)+'LINEST VARS'!$M$70*($CF$128^2)+'LINEST VARS'!$L$70*($BX136^2)+'LINEST VARS'!$K$70*(12.73^2)+'LINEST VARS'!$J$70*(8*8)+'LINEST VARS'!$I$70*(8*$CF$128)+'LINEST VARS'!$H$70*(8*$BX136)+'LINEST VARS'!$G$70*(8*12.73)+'LINEST VARS'!$F$70*(8*$CF$128)+'LINEST VARS'!$E$70*(8*$BX136)+'LINEST VARS'!$D$70*(8*12.73)+'LINEST VARS'!$C$70*($CF$128*$BX136)+'LINEST VARS'!$B$70*($CF$128*12.73)+'LINEST VARS'!$A$70*($BX136*12.73)</f>
        <v>89.200000000000017</v>
      </c>
      <c r="CG136" s="46">
        <f>'LINEST VARS'!$U$70+'LINEST VARS'!$T$70*(8)+'LINEST VARS'!$S$70*(8)+'LINEST VARS'!$R$70*($CG$128)+'LINEST VARS'!$Q$70*($BX136)+'LINEST VARS'!$P$70*(12.73)+'LINEST VARS'!$O$70*(8^2)+'LINEST VARS'!$N$70*(8^2)+'LINEST VARS'!$M$70*($CG$128^2)+'LINEST VARS'!$L$70*($BX136^2)+'LINEST VARS'!$K$70*(12.73^2)+'LINEST VARS'!$J$70*(8*8)+'LINEST VARS'!$I$70*(8*$CG$128)+'LINEST VARS'!$H$70*(8*$BX136)+'LINEST VARS'!$G$70*(8*12.73)+'LINEST VARS'!$F$70*(8*$CG$128)+'LINEST VARS'!$E$70*(8*$BX136)+'LINEST VARS'!$D$70*(8*12.73)+'LINEST VARS'!$C$70*($CG$128*$BX136)+'LINEST VARS'!$B$70*($CG$128*12.73)+'LINEST VARS'!$A$70*($BX136*12.73)</f>
        <v>88.800000000000026</v>
      </c>
      <c r="CH136" s="46">
        <f>'LINEST VARS'!$U$70+'LINEST VARS'!$T$70*(8)+'LINEST VARS'!$S$70*(8)+'LINEST VARS'!$R$70*($CH$128)+'LINEST VARS'!$Q$70*($BX136)+'LINEST VARS'!$P$70*(12.73)+'LINEST VARS'!$O$70*(8^2)+'LINEST VARS'!$N$70*(8^2)+'LINEST VARS'!$M$70*($CH$128^2)+'LINEST VARS'!$L$70*($BX136^2)+'LINEST VARS'!$K$70*(12.73^2)+'LINEST VARS'!$J$70*(8*8)+'LINEST VARS'!$I$70*(8*$CH$128)+'LINEST VARS'!$H$70*(8*$BX136)+'LINEST VARS'!$G$70*(8*12.73)+'LINEST VARS'!$F$70*(8*$CH$128)+'LINEST VARS'!$E$70*(8*$BX136)+'LINEST VARS'!$D$70*(8*12.73)+'LINEST VARS'!$C$70*($CH$128*$BX136)+'LINEST VARS'!$B$70*($CH$128*12.73)+'LINEST VARS'!$A$70*($BX136*12.73)</f>
        <v>88.40000000000002</v>
      </c>
      <c r="CI136" s="46">
        <f>'LINEST VARS'!$U$70+'LINEST VARS'!$T$70*(8)+'LINEST VARS'!$S$70*(8)+'LINEST VARS'!$R$70*($CI$128)+'LINEST VARS'!$Q$70*($BX136)+'LINEST VARS'!$P$70*(12.73)+'LINEST VARS'!$O$70*(8^2)+'LINEST VARS'!$N$70*(8^2)+'LINEST VARS'!$M$70*($CI$128^2)+'LINEST VARS'!$L$70*($BX136^2)+'LINEST VARS'!$K$70*(12.73^2)+'LINEST VARS'!$J$70*(8*8)+'LINEST VARS'!$I$70*(8*$CI$128)+'LINEST VARS'!$H$70*(8*$BX136)+'LINEST VARS'!$G$70*(8*12.73)+'LINEST VARS'!$F$70*(8*$CI$128)+'LINEST VARS'!$E$70*(8*$BX136)+'LINEST VARS'!$D$70*(8*12.73)+'LINEST VARS'!$C$70*($CI$128*$BX136)+'LINEST VARS'!$B$70*($CI$128*12.73)+'LINEST VARS'!$A$70*($BX136*12.73)</f>
        <v>88.000000000000014</v>
      </c>
      <c r="CJ136" s="46">
        <f>'LINEST VARS'!$U$70+'LINEST VARS'!$T$70*(8)+'LINEST VARS'!$S$70*(8)+'LINEST VARS'!$R$70*($CJ$128)+'LINEST VARS'!$Q$70*($BX136)+'LINEST VARS'!$P$70*(12.73)+'LINEST VARS'!$O$70*(8^2)+'LINEST VARS'!$N$70*(8^2)+'LINEST VARS'!$M$70*($CJ$128^2)+'LINEST VARS'!$L$70*($BX136^2)+'LINEST VARS'!$K$70*(12.73^2)+'LINEST VARS'!$J$70*(8*8)+'LINEST VARS'!$I$70*(8*$CJ$128)+'LINEST VARS'!$H$70*(8*$BX136)+'LINEST VARS'!$G$70*(8*12.73)+'LINEST VARS'!$F$70*(8*$CJ$128)+'LINEST VARS'!$E$70*(8*$BX136)+'LINEST VARS'!$D$70*(8*12.73)+'LINEST VARS'!$C$70*($CJ$128*$BX136)+'LINEST VARS'!$B$70*($CJ$128*12.73)+'LINEST VARS'!$A$70*($BX136*12.73)</f>
        <v>87.600000000000023</v>
      </c>
      <c r="CK136" s="46">
        <f>'LINEST VARS'!$U$70+'LINEST VARS'!$T$70*(8)+'LINEST VARS'!$S$70*(8)+'LINEST VARS'!$R$70*($CK$128)+'LINEST VARS'!$Q$70*($BX136)+'LINEST VARS'!$P$70*(12.73)+'LINEST VARS'!$O$70*(8^2)+'LINEST VARS'!$N$70*(8^2)+'LINEST VARS'!$M$70*($CK$128^2)+'LINEST VARS'!$L$70*($BX136^2)+'LINEST VARS'!$K$70*(12.73^2)+'LINEST VARS'!$J$70*(8*8)+'LINEST VARS'!$I$70*(8*$CK$128)+'LINEST VARS'!$H$70*(8*$BX136)+'LINEST VARS'!$G$70*(8*12.73)+'LINEST VARS'!$F$70*(8*$CK$128)+'LINEST VARS'!$E$70*(8*$BX136)+'LINEST VARS'!$D$70*(8*12.73)+'LINEST VARS'!$C$70*($CK$128*$BX136)+'LINEST VARS'!$B$70*($CK$128*12.73)+'LINEST VARS'!$A$70*($BX136*12.73)</f>
        <v>87.200000000000017</v>
      </c>
      <c r="CL136" s="46">
        <f>'LINEST VARS'!$U$70+'LINEST VARS'!$T$70*(8)+'LINEST VARS'!$S$70*(8)+'LINEST VARS'!$R$70*($CL$128)+'LINEST VARS'!$Q$70*($BX136)+'LINEST VARS'!$P$70*(12.73)+'LINEST VARS'!$O$70*(8^2)+'LINEST VARS'!$N$70*(8^2)+'LINEST VARS'!$M$70*($CL$128^2)+'LINEST VARS'!$L$70*($BX136^2)+'LINEST VARS'!$K$70*(12.73^2)+'LINEST VARS'!$J$70*(8*8)+'LINEST VARS'!$I$70*(8*$CL$128)+'LINEST VARS'!$H$70*(8*$BX136)+'LINEST VARS'!$G$70*(8*12.73)+'LINEST VARS'!$F$70*(8*$CL$128)+'LINEST VARS'!$E$70*(8*$BX136)+'LINEST VARS'!$D$70*(8*12.73)+'LINEST VARS'!$C$70*($CL$128*$BX136)+'LINEST VARS'!$B$70*($CL$128*12.73)+'LINEST VARS'!$A$70*($BX136*12.73)</f>
        <v>86.800000000000026</v>
      </c>
      <c r="CM136" s="46">
        <f>'LINEST VARS'!$U$70+'LINEST VARS'!$T$70*(8)+'LINEST VARS'!$S$70*(8)+'LINEST VARS'!$R$70*($CM$128)+'LINEST VARS'!$Q$70*($BX136)+'LINEST VARS'!$P$70*(12.73)+'LINEST VARS'!$O$70*(8^2)+'LINEST VARS'!$N$70*(8^2)+'LINEST VARS'!$M$70*($CM$128^2)+'LINEST VARS'!$L$70*($BX136^2)+'LINEST VARS'!$K$70*(12.73^2)+'LINEST VARS'!$J$70*(8*8)+'LINEST VARS'!$I$70*(8*$CM$128)+'LINEST VARS'!$H$70*(8*$BX136)+'LINEST VARS'!$G$70*(8*12.73)+'LINEST VARS'!$F$70*(8*$CM$128)+'LINEST VARS'!$E$70*(8*$BX136)+'LINEST VARS'!$D$70*(8*12.73)+'LINEST VARS'!$C$70*($CM$128*$BX136)+'LINEST VARS'!$B$70*($CM$128*12.73)+'LINEST VARS'!$A$70*($BX136*12.73)</f>
        <v>86.40000000000002</v>
      </c>
      <c r="CN136" s="46">
        <f>'LINEST VARS'!$U$70+'LINEST VARS'!$T$70*(8)+'LINEST VARS'!$S$70*(8)+'LINEST VARS'!$R$70*($CN$128)+'LINEST VARS'!$Q$70*($BX136)+'LINEST VARS'!$P$70*(12.73)+'LINEST VARS'!$O$70*(8^2)+'LINEST VARS'!$N$70*(8^2)+'LINEST VARS'!$M$70*($CN$128^2)+'LINEST VARS'!$L$70*($BX136^2)+'LINEST VARS'!$K$70*(12.73^2)+'LINEST VARS'!$J$70*(8*8)+'LINEST VARS'!$I$70*(8*$CN$128)+'LINEST VARS'!$H$70*(8*$BX136)+'LINEST VARS'!$G$70*(8*12.73)+'LINEST VARS'!$F$70*(8*$CN$128)+'LINEST VARS'!$E$70*(8*$BX136)+'LINEST VARS'!$D$70*(8*12.73)+'LINEST VARS'!$C$70*($CN$128*$BX136)+'LINEST VARS'!$B$70*($CN$128*12.73)+'LINEST VARS'!$A$70*($BX136*12.73)</f>
        <v>86.000000000000014</v>
      </c>
      <c r="CO136" s="46">
        <f>'LINEST VARS'!$U$70+'LINEST VARS'!$T$70*(8)+'LINEST VARS'!$S$70*(8)+'LINEST VARS'!$R$70*($CO$128)+'LINEST VARS'!$Q$70*($BX136)+'LINEST VARS'!$P$70*(12.73)+'LINEST VARS'!$O$70*(8^2)+'LINEST VARS'!$N$70*(8^2)+'LINEST VARS'!$M$70*($CO$128^2)+'LINEST VARS'!$L$70*($BX136^2)+'LINEST VARS'!$K$70*(12.73^2)+'LINEST VARS'!$J$70*(8*8)+'LINEST VARS'!$I$70*(8*$CO$128)+'LINEST VARS'!$H$70*(8*$BX136)+'LINEST VARS'!$G$70*(8*12.73)+'LINEST VARS'!$F$70*(8*$CO$128)+'LINEST VARS'!$E$70*(8*$BX136)+'LINEST VARS'!$D$70*(8*12.73)+'LINEST VARS'!$C$70*($CO$128*$BX136)+'LINEST VARS'!$B$70*($CO$128*12.73)+'LINEST VARS'!$A$70*($BX136*12.73)</f>
        <v>85.600000000000009</v>
      </c>
      <c r="CP136" s="46">
        <f>'LINEST VARS'!$U$70+'LINEST VARS'!$T$70*(8)+'LINEST VARS'!$S$70*(8)+'LINEST VARS'!$R$70*($CP$128)+'LINEST VARS'!$Q$70*($BX136)+'LINEST VARS'!$P$70*(12.73)+'LINEST VARS'!$O$70*(8^2)+'LINEST VARS'!$N$70*(8^2)+'LINEST VARS'!$M$70*($CP$128^2)+'LINEST VARS'!$L$70*($BX136^2)+'LINEST VARS'!$K$70*(12.73^2)+'LINEST VARS'!$J$70*(8*8)+'LINEST VARS'!$I$70*(8*$CP$128)+'LINEST VARS'!$H$70*(8*$BX136)+'LINEST VARS'!$G$70*(8*12.73)+'LINEST VARS'!$F$70*(8*$CP$128)+'LINEST VARS'!$E$70*(8*$BX136)+'LINEST VARS'!$D$70*(8*12.73)+'LINEST VARS'!$C$70*($CP$128*$BX136)+'LINEST VARS'!$B$70*($CP$128*12.73)+'LINEST VARS'!$A$70*($BX136*12.73)</f>
        <v>85.200000000000017</v>
      </c>
      <c r="CQ136" s="46">
        <f>'LINEST VARS'!$U$70+'LINEST VARS'!$T$70*(8)+'LINEST VARS'!$S$70*(8)+'LINEST VARS'!$R$70*($CQ$128)+'LINEST VARS'!$Q$70*($BX136)+'LINEST VARS'!$P$70*(12.73)+'LINEST VARS'!$O$70*(8^2)+'LINEST VARS'!$N$70*(8^2)+'LINEST VARS'!$M$70*($CQ$128^2)+'LINEST VARS'!$L$70*($BX136^2)+'LINEST VARS'!$K$70*(12.73^2)+'LINEST VARS'!$J$70*(8*8)+'LINEST VARS'!$I$70*(8*$CQ$128)+'LINEST VARS'!$H$70*(8*$BX136)+'LINEST VARS'!$G$70*(8*12.73)+'LINEST VARS'!$F$70*(8*$CQ$128)+'LINEST VARS'!$E$70*(8*$BX136)+'LINEST VARS'!$D$70*(8*12.73)+'LINEST VARS'!$C$70*($CQ$128*$BX136)+'LINEST VARS'!$B$70*($CQ$128*12.73)+'LINEST VARS'!$A$70*($BX136*12.73)</f>
        <v>84.800000000000011</v>
      </c>
      <c r="CR136" s="46">
        <f>'LINEST VARS'!$U$70+'LINEST VARS'!$T$70*(8)+'LINEST VARS'!$S$70*(8)+'LINEST VARS'!$R$70*($CR$128)+'LINEST VARS'!$Q$70*($BX136)+'LINEST VARS'!$P$70*(12.73)+'LINEST VARS'!$O$70*(8^2)+'LINEST VARS'!$N$70*(8^2)+'LINEST VARS'!$M$70*($CR$128^2)+'LINEST VARS'!$L$70*($BX136^2)+'LINEST VARS'!$K$70*(12.73^2)+'LINEST VARS'!$J$70*(8*8)+'LINEST VARS'!$I$70*(8*$CR$128)+'LINEST VARS'!$H$70*(8*$BX136)+'LINEST VARS'!$G$70*(8*12.73)+'LINEST VARS'!$F$70*(8*$CR$128)+'LINEST VARS'!$E$70*(8*$BX136)+'LINEST VARS'!$D$70*(8*12.73)+'LINEST VARS'!$C$70*($CR$128*$BX136)+'LINEST VARS'!$B$70*($CR$128*12.73)+'LINEST VARS'!$A$70*($BX136*12.73)</f>
        <v>84.400000000000034</v>
      </c>
      <c r="CS136" s="47">
        <f>'LINEST VARS'!$U$70+'LINEST VARS'!$T$70*(8)+'LINEST VARS'!$S$70*(8)+'LINEST VARS'!$R$70*($CS$128)+'LINEST VARS'!$Q$70*($BX136)+'LINEST VARS'!$P$70*(12.73)+'LINEST VARS'!$O$70*(8^2)+'LINEST VARS'!$N$70*(8^2)+'LINEST VARS'!$M$70*($CS$128^2)+'LINEST VARS'!$L$70*($BX136^2)+'LINEST VARS'!$K$70*(12.73^2)+'LINEST VARS'!$J$70*(8*8)+'LINEST VARS'!$I$70*(8*$CS$128)+'LINEST VARS'!$H$70*(8*$BX136)+'LINEST VARS'!$G$70*(8*12.73)+'LINEST VARS'!$F$70*(8*$CS$128)+'LINEST VARS'!$E$70*(8*$BX136)+'LINEST VARS'!$D$70*(8*12.73)+'LINEST VARS'!$C$70*($CS$128*$BX136)+'LINEST VARS'!$B$70*($CS$128*12.73)+'LINEST VARS'!$A$70*($BX136*12.73)</f>
        <v>84.000000000000028</v>
      </c>
      <c r="CX136" s="45">
        <v>9.0965000000000007</v>
      </c>
      <c r="CY136" s="46">
        <f>'LINEST VARS'!$U$68+'LINEST VARS'!$T$68*(8)+'LINEST VARS'!$S$68*(8)+'LINEST VARS'!$R$68*($CY$128)+'LINEST VARS'!$Q$68*(0.5)+'LINEST VARS'!$P$68*($CX136)+'LINEST VARS'!$O$68*(8^2)+'LINEST VARS'!$N$68*(8^2)+'LINEST VARS'!$M$68*($CY$128^2)+'LINEST VARS'!$L$68*(0.5^2)+'LINEST VARS'!$K$68*($CX136^2)+'LINEST VARS'!$J$68*(8*8)+'LINEST VARS'!$I$68*(8*$CY$128)+'LINEST VARS'!$H$68*(8*0.5)+'LINEST VARS'!$G$68*(8*$CX136)+'LINEST VARS'!$F$68*(8*$CY$128)+'LINEST VARS'!$E$68*(8*0.5)+'LINEST VARS'!$D$68*(8*$CX136)+'LINEST VARS'!$C$68*($CY$128*0.5)+'LINEST VARS'!$B$68*($CY$128*$CX136)+'LINEST VARS'!$A$68*(0.5*$CX136)</f>
        <v>149</v>
      </c>
      <c r="CZ136" s="46">
        <f>'LINEST VARS'!$U$68+'LINEST VARS'!$T$68*(8)+'LINEST VARS'!$S$68*(8)+'LINEST VARS'!$R$68*($CZ$128)+'LINEST VARS'!$Q$68*(0.5)+'LINEST VARS'!$P$68*($CX136)+'LINEST VARS'!$O$68*(8^2)+'LINEST VARS'!$N$68*(8^2)+'LINEST VARS'!$M$68*($CZ$128^2)+'LINEST VARS'!$L$68*(0.5^2)+'LINEST VARS'!$K$68*($CX136^2)+'LINEST VARS'!$J$68*(8*8)+'LINEST VARS'!$I$68*(8*$CZ$128)+'LINEST VARS'!$H$68*(8*0.5)+'LINEST VARS'!$G$68*(8*$CX136)+'LINEST VARS'!$F$68*(8*$CZ$128)+'LINEST VARS'!$E$68*(8*0.5)+'LINEST VARS'!$D$68*(8*$CX136)+'LINEST VARS'!$C$68*($CZ$128*0.5)+'LINEST VARS'!$B$68*($CZ$128*$CX136)+'LINEST VARS'!$A$68*(0.5*$CX136)</f>
        <v>149</v>
      </c>
      <c r="DA136" s="46">
        <f>'LINEST VARS'!$U$68+'LINEST VARS'!$T$68*(8)+'LINEST VARS'!$S$68*(8)+'LINEST VARS'!$R$68*($DA$128)+'LINEST VARS'!$Q$68*(0.5)+'LINEST VARS'!$P$68*($CX136)+'LINEST VARS'!$O$68*(8^2)+'LINEST VARS'!$N$68*(8^2)+'LINEST VARS'!$M$68*($DA$128^2)+'LINEST VARS'!$L$68*(0.5^2)+'LINEST VARS'!$K$68*($CX136^2)+'LINEST VARS'!$J$68*(8*8)+'LINEST VARS'!$I$68*(8*$DA$128)+'LINEST VARS'!$H$68*(8*0.5)+'LINEST VARS'!$G$68*(8*$CX136)+'LINEST VARS'!$F$68*(8*$DA$128)+'LINEST VARS'!$E$68*(8*0.5)+'LINEST VARS'!$D$68*(8*$CX136)+'LINEST VARS'!$C$68*($DA$128*0.5)+'LINEST VARS'!$B$68*($DA$128*$CX136)+'LINEST VARS'!$A$68*(0.5*$CX136)</f>
        <v>149</v>
      </c>
      <c r="DB136" s="46">
        <f>'LINEST VARS'!$U$68+'LINEST VARS'!$T$68*(8)+'LINEST VARS'!$S$68*(8)+'LINEST VARS'!$R$68*($DB$128)+'LINEST VARS'!$Q$68*(0.5)+'LINEST VARS'!$P$68*($CX136)+'LINEST VARS'!$O$68*(8^2)+'LINEST VARS'!$N$68*(8^2)+'LINEST VARS'!$M$68*($DB$128^2)+'LINEST VARS'!$L$68*(0.5^2)+'LINEST VARS'!$K$68*($CX136^2)+'LINEST VARS'!$J$68*(8*8)+'LINEST VARS'!$I$68*(8*$DB$128)+'LINEST VARS'!$H$68*(8*0.5)+'LINEST VARS'!$G$68*(8*$CX136)+'LINEST VARS'!$F$68*(8*$DB$128)+'LINEST VARS'!$E$68*(8*0.5)+'LINEST VARS'!$D$68*(8*$CX136)+'LINEST VARS'!$C$68*($DB$128*0.5)+'LINEST VARS'!$B$68*($DB$128*$CX136)+'LINEST VARS'!$A$68*(0.5*$CX136)</f>
        <v>149</v>
      </c>
      <c r="DC136" s="46">
        <f>'LINEST VARS'!$U$68+'LINEST VARS'!$T$68*(8)+'LINEST VARS'!$S$68*(8)+'LINEST VARS'!$R$68*($DC$128)+'LINEST VARS'!$Q$68*(0.5)+'LINEST VARS'!$P$68*($CX136)+'LINEST VARS'!$O$68*(8^2)+'LINEST VARS'!$N$68*(8^2)+'LINEST VARS'!$M$68*($DC$128^2)+'LINEST VARS'!$L$68*(0.5^2)+'LINEST VARS'!$K$68*($CX136^2)+'LINEST VARS'!$J$68*(8*8)+'LINEST VARS'!$I$68*(8*$DC$128)+'LINEST VARS'!$H$68*(8*0.5)+'LINEST VARS'!$G$68*(8*$CX136)+'LINEST VARS'!$F$68*(8*$DC$128)+'LINEST VARS'!$E$68*(8*0.5)+'LINEST VARS'!$D$68*(8*$CX136)+'LINEST VARS'!$C$68*($DC$128*0.5)+'LINEST VARS'!$B$68*($DC$128*$CX136)+'LINEST VARS'!$A$68*(0.5*$CX136)</f>
        <v>149</v>
      </c>
      <c r="DD136" s="46">
        <f>'LINEST VARS'!$U$68+'LINEST VARS'!$T$68*(8)+'LINEST VARS'!$S$68*(8)+'LINEST VARS'!$R$68*($DD$128)+'LINEST VARS'!$Q$68*(0.5)+'LINEST VARS'!$P$68*($CX136)+'LINEST VARS'!$O$68*(8^2)+'LINEST VARS'!$N$68*(8^2)+'LINEST VARS'!$M$68*($DD$128^2)+'LINEST VARS'!$L$68*(0.5^2)+'LINEST VARS'!$K$68*($CX136^2)+'LINEST VARS'!$J$68*(8*8)+'LINEST VARS'!$I$68*(8*$DD$128)+'LINEST VARS'!$H$68*(8*0.5)+'LINEST VARS'!$G$68*(8*$CX136)+'LINEST VARS'!$F$68*(8*$DD$128)+'LINEST VARS'!$E$68*(8*0.5)+'LINEST VARS'!$D$68*(8*$CX136)+'LINEST VARS'!$C$68*($DD$128*0.5)+'LINEST VARS'!$B$68*($DD$128*$CX136)+'LINEST VARS'!$A$68*(0.5*$CX136)</f>
        <v>149</v>
      </c>
      <c r="DE136" s="46">
        <f>'LINEST VARS'!$U$68+'LINEST VARS'!$T$68*(8)+'LINEST VARS'!$S$68*(8)+'LINEST VARS'!$R$68*($DE$128)+'LINEST VARS'!$Q$68*(0.5)+'LINEST VARS'!$P$68*($CX136)+'LINEST VARS'!$O$68*(8^2)+'LINEST VARS'!$N$68*(8^2)+'LINEST VARS'!$M$68*($DE$128^2)+'LINEST VARS'!$L$68*(0.5^2)+'LINEST VARS'!$K$68*($CX136^2)+'LINEST VARS'!$J$68*(8*8)+'LINEST VARS'!$I$68*(8*$DE$128)+'LINEST VARS'!$H$68*(8*0.5)+'LINEST VARS'!$G$68*(8*$CX136)+'LINEST VARS'!$F$68*(8*$DE$128)+'LINEST VARS'!$E$68*(8*0.5)+'LINEST VARS'!$D$68*(8*$CX136)+'LINEST VARS'!$C$68*($DE$128*0.5)+'LINEST VARS'!$B$68*($DE$128*$CX136)+'LINEST VARS'!$A$68*(0.5*$CX136)</f>
        <v>149</v>
      </c>
      <c r="DF136" s="46">
        <f>'LINEST VARS'!$U$68+'LINEST VARS'!$T$68*(8)+'LINEST VARS'!$S$68*(8)+'LINEST VARS'!$R$68*($DF$128)+'LINEST VARS'!$Q$68*(0.5)+'LINEST VARS'!$P$68*($CX136)+'LINEST VARS'!$O$68*(8^2)+'LINEST VARS'!$N$68*(8^2)+'LINEST VARS'!$M$68*($DF$128^2)+'LINEST VARS'!$L$68*(0.5^2)+'LINEST VARS'!$K$68*($CX136^2)+'LINEST VARS'!$J$68*(8*8)+'LINEST VARS'!$I$68*(8*$DF$128)+'LINEST VARS'!$H$68*(8*0.5)+'LINEST VARS'!$G$68*(8*$CX136)+'LINEST VARS'!$F$68*(8*$DF$128)+'LINEST VARS'!$E$68*(8*0.5)+'LINEST VARS'!$D$68*(8*$CX136)+'LINEST VARS'!$C$68*($DF$128*0.5)+'LINEST VARS'!$B$68*($DF$128*$CX136)+'LINEST VARS'!$A$68*(0.5*$CX136)</f>
        <v>149</v>
      </c>
      <c r="DG136" s="46">
        <f>'LINEST VARS'!$U$68+'LINEST VARS'!$T$68*(8)+'LINEST VARS'!$S$68*(8)+'LINEST VARS'!$R$68*($DG$128)+'LINEST VARS'!$Q$68*(0.5)+'LINEST VARS'!$P$68*($CX136)+'LINEST VARS'!$O$68*(8^2)+'LINEST VARS'!$N$68*(8^2)+'LINEST VARS'!$M$68*($DG$128^2)+'LINEST VARS'!$L$68*(0.5^2)+'LINEST VARS'!$K$68*($CX136^2)+'LINEST VARS'!$J$68*(8*8)+'LINEST VARS'!$I$68*(8*$DG$128)+'LINEST VARS'!$H$68*(8*0.5)+'LINEST VARS'!$G$68*(8*$CX136)+'LINEST VARS'!$F$68*(8*$DG$128)+'LINEST VARS'!$E$68*(8*0.5)+'LINEST VARS'!$D$68*(8*$CX136)+'LINEST VARS'!$C$68*($DG$128*0.5)+'LINEST VARS'!$B$68*($DG$128*$CX136)+'LINEST VARS'!$A$68*(0.5*$CX136)</f>
        <v>149</v>
      </c>
      <c r="DH136" s="46">
        <f>'LINEST VARS'!$U$68+'LINEST VARS'!$T$68*(8)+'LINEST VARS'!$S$68*(8)+'LINEST VARS'!$R$68*($DH$128)+'LINEST VARS'!$Q$68*(0.5)+'LINEST VARS'!$P$68*($CX136)+'LINEST VARS'!$O$68*(8^2)+'LINEST VARS'!$N$68*(8^2)+'LINEST VARS'!$M$68*($DH$128^2)+'LINEST VARS'!$L$68*(0.5^2)+'LINEST VARS'!$K$68*($CX136^2)+'LINEST VARS'!$J$68*(8*8)+'LINEST VARS'!$I$68*(8*$DH$128)+'LINEST VARS'!$H$68*(8*0.5)+'LINEST VARS'!$G$68*(8*$CX136)+'LINEST VARS'!$F$68*(8*$DH$128)+'LINEST VARS'!$E$68*(8*0.5)+'LINEST VARS'!$D$68*(8*$CX136)+'LINEST VARS'!$C$68*($DH$128*0.5)+'LINEST VARS'!$B$68*($DH$128*$CX136)+'LINEST VARS'!$A$68*(0.5*$CX136)</f>
        <v>149</v>
      </c>
      <c r="DI136" s="46">
        <f>'LINEST VARS'!$U$68+'LINEST VARS'!$T$68*(8)+'LINEST VARS'!$S$68*(8)+'LINEST VARS'!$R$68*($DI$128)+'LINEST VARS'!$Q$68*(0.5)+'LINEST VARS'!$P$68*($CX136)+'LINEST VARS'!$O$68*(8^2)+'LINEST VARS'!$N$68*(8^2)+'LINEST VARS'!$M$68*($DI$128^2)+'LINEST VARS'!$L$68*(0.5^2)+'LINEST VARS'!$K$68*($CX136^2)+'LINEST VARS'!$J$68*(8*8)+'LINEST VARS'!$I$68*(8*$DI$128)+'LINEST VARS'!$H$68*(8*0.5)+'LINEST VARS'!$G$68*(8*$CX136)+'LINEST VARS'!$F$68*(8*$DI$128)+'LINEST VARS'!$E$68*(8*0.5)+'LINEST VARS'!$D$68*(8*$CX136)+'LINEST VARS'!$C$68*($DI$128*0.5)+'LINEST VARS'!$B$68*($DI$128*$CX136)+'LINEST VARS'!$A$68*(0.5*$CX136)</f>
        <v>149</v>
      </c>
      <c r="DJ136" s="46">
        <f>'LINEST VARS'!$U$68+'LINEST VARS'!$T$68*(8)+'LINEST VARS'!$S$68*(8)+'LINEST VARS'!$R$68*($DJ$128)+'LINEST VARS'!$Q$68*(0.5)+'LINEST VARS'!$P$68*($CX136)+'LINEST VARS'!$O$68*(8^2)+'LINEST VARS'!$N$68*(8^2)+'LINEST VARS'!$M$68*($DJ$128^2)+'LINEST VARS'!$L$68*(0.5^2)+'LINEST VARS'!$K$68*($CX136^2)+'LINEST VARS'!$J$68*(8*8)+'LINEST VARS'!$I$68*(8*$DJ$128)+'LINEST VARS'!$H$68*(8*0.5)+'LINEST VARS'!$G$68*(8*$CX136)+'LINEST VARS'!$F$68*(8*$DJ$128)+'LINEST VARS'!$E$68*(8*0.5)+'LINEST VARS'!$D$68*(8*$CX136)+'LINEST VARS'!$C$68*($DJ$128*0.5)+'LINEST VARS'!$B$68*($DJ$128*$CX136)+'LINEST VARS'!$A$68*(0.5*$CX136)</f>
        <v>149</v>
      </c>
      <c r="DK136" s="46">
        <f>'LINEST VARS'!$U$68+'LINEST VARS'!$T$68*(8)+'LINEST VARS'!$S$68*(8)+'LINEST VARS'!$R$68*($DK$128)+'LINEST VARS'!$Q$68*(0.5)+'LINEST VARS'!$P$68*($CX136)+'LINEST VARS'!$O$68*(8^2)+'LINEST VARS'!$N$68*(8^2)+'LINEST VARS'!$M$68*($DK$128^2)+'LINEST VARS'!$L$68*(0.5^2)+'LINEST VARS'!$K$68*($CX136^2)+'LINEST VARS'!$J$68*(8*8)+'LINEST VARS'!$I$68*(8*$DK$128)+'LINEST VARS'!$H$68*(8*0.5)+'LINEST VARS'!$G$68*(8*$CX136)+'LINEST VARS'!$F$68*(8*$DK$128)+'LINEST VARS'!$E$68*(8*0.5)+'LINEST VARS'!$D$68*(8*$CX136)+'LINEST VARS'!$C$68*($DK$128*0.5)+'LINEST VARS'!$B$68*($DK$128*$CX136)+'LINEST VARS'!$A$68*(0.5*$CX136)</f>
        <v>149</v>
      </c>
      <c r="DL136" s="46">
        <f>'LINEST VARS'!$U$68+'LINEST VARS'!$T$68*(8)+'LINEST VARS'!$S$68*(8)+'LINEST VARS'!$R$68*($DL$128)+'LINEST VARS'!$Q$68*(0.5)+'LINEST VARS'!$P$68*($CX136)+'LINEST VARS'!$O$68*(8^2)+'LINEST VARS'!$N$68*(8^2)+'LINEST VARS'!$M$68*($DL$128^2)+'LINEST VARS'!$L$68*(0.5^2)+'LINEST VARS'!$K$68*($CX136^2)+'LINEST VARS'!$J$68*(8*8)+'LINEST VARS'!$I$68*(8*$DL$128)+'LINEST VARS'!$H$68*(8*0.5)+'LINEST VARS'!$G$68*(8*$CX136)+'LINEST VARS'!$F$68*(8*$DL$128)+'LINEST VARS'!$E$68*(8*0.5)+'LINEST VARS'!$D$68*(8*$CX136)+'LINEST VARS'!$C$68*($DL$128*0.5)+'LINEST VARS'!$B$68*($DL$128*$CX136)+'LINEST VARS'!$A$68*(0.5*$CX136)</f>
        <v>149</v>
      </c>
      <c r="DM136" s="46">
        <f>'LINEST VARS'!$U$68+'LINEST VARS'!$T$68*(8)+'LINEST VARS'!$S$68*(8)+'LINEST VARS'!$R$68*($DM$128)+'LINEST VARS'!$Q$68*(0.5)+'LINEST VARS'!$P$68*($CX136)+'LINEST VARS'!$O$68*(8^2)+'LINEST VARS'!$N$68*(8^2)+'LINEST VARS'!$M$68*($DM$128^2)+'LINEST VARS'!$L$68*(0.5^2)+'LINEST VARS'!$K$68*($CX136^2)+'LINEST VARS'!$J$68*(8*8)+'LINEST VARS'!$I$68*(8*$DM$128)+'LINEST VARS'!$H$68*(8*0.5)+'LINEST VARS'!$G$68*(8*$CX136)+'LINEST VARS'!$F$68*(8*$DM$128)+'LINEST VARS'!$E$68*(8*0.5)+'LINEST VARS'!$D$68*(8*$CX136)+'LINEST VARS'!$C$68*($DM$128*0.5)+'LINEST VARS'!$B$68*($DM$128*$CX136)+'LINEST VARS'!$A$68*(0.5*$CX136)</f>
        <v>149</v>
      </c>
      <c r="DN136" s="46">
        <f>'LINEST VARS'!$U$68+'LINEST VARS'!$T$68*(8)+'LINEST VARS'!$S$68*(8)+'LINEST VARS'!$R$68*($DN$128)+'LINEST VARS'!$Q$68*(0.5)+'LINEST VARS'!$P$68*($CX136)+'LINEST VARS'!$O$68*(8^2)+'LINEST VARS'!$N$68*(8^2)+'LINEST VARS'!$M$68*($DN$128^2)+'LINEST VARS'!$L$68*(0.5^2)+'LINEST VARS'!$K$68*($CX136^2)+'LINEST VARS'!$J$68*(8*8)+'LINEST VARS'!$I$68*(8*$DN$128)+'LINEST VARS'!$H$68*(8*0.5)+'LINEST VARS'!$G$68*(8*$CX136)+'LINEST VARS'!$F$68*(8*$DN$128)+'LINEST VARS'!$E$68*(8*0.5)+'LINEST VARS'!$D$68*(8*$CX136)+'LINEST VARS'!$C$68*($DN$128*0.5)+'LINEST VARS'!$B$68*($DN$128*$CX136)+'LINEST VARS'!$A$68*(0.5*$CX136)</f>
        <v>149</v>
      </c>
      <c r="DO136" s="46">
        <f>'LINEST VARS'!$U$68+'LINEST VARS'!$T$68*(8)+'LINEST VARS'!$S$68*(8)+'LINEST VARS'!$R$68*($DO$128)+'LINEST VARS'!$Q$68*(0.5)+'LINEST VARS'!$P$68*($CX136)+'LINEST VARS'!$O$68*(8^2)+'LINEST VARS'!$N$68*(8^2)+'LINEST VARS'!$M$68*($DO$128^2)+'LINEST VARS'!$L$68*(0.5^2)+'LINEST VARS'!$K$68*($CX136^2)+'LINEST VARS'!$J$68*(8*8)+'LINEST VARS'!$I$68*(8*$DO$128)+'LINEST VARS'!$H$68*(8*0.5)+'LINEST VARS'!$G$68*(8*$CX136)+'LINEST VARS'!$F$68*(8*$DO$128)+'LINEST VARS'!$E$68*(8*0.5)+'LINEST VARS'!$D$68*(8*$CX136)+'LINEST VARS'!$C$68*($DO$128*0.5)+'LINEST VARS'!$B$68*($DO$128*$CX136)+'LINEST VARS'!$A$68*(0.5*$CX136)</f>
        <v>149</v>
      </c>
      <c r="DP136" s="46">
        <f>'LINEST VARS'!$U$68+'LINEST VARS'!$T$68*(8)+'LINEST VARS'!$S$68*(8)+'LINEST VARS'!$R$68*($DP$128)+'LINEST VARS'!$Q$68*(0.5)+'LINEST VARS'!$P$68*($CX136)+'LINEST VARS'!$O$68*(8^2)+'LINEST VARS'!$N$68*(8^2)+'LINEST VARS'!$M$68*($DP$128^2)+'LINEST VARS'!$L$68*(0.5^2)+'LINEST VARS'!$K$68*($CX136^2)+'LINEST VARS'!$J$68*(8*8)+'LINEST VARS'!$I$68*(8*$DP$128)+'LINEST VARS'!$H$68*(8*0.5)+'LINEST VARS'!$G$68*(8*$CX136)+'LINEST VARS'!$F$68*(8*$DP$128)+'LINEST VARS'!$E$68*(8*0.5)+'LINEST VARS'!$D$68*(8*$CX136)+'LINEST VARS'!$C$68*($DP$128*0.5)+'LINEST VARS'!$B$68*($DP$128*$CX136)+'LINEST VARS'!$A$68*(0.5*$CX136)</f>
        <v>149</v>
      </c>
      <c r="DQ136" s="46">
        <f>'LINEST VARS'!$U$68+'LINEST VARS'!$T$68*(8)+'LINEST VARS'!$S$68*(8)+'LINEST VARS'!$R$68*($DQ$128)+'LINEST VARS'!$Q$68*(0.5)+'LINEST VARS'!$P$68*($CX136)+'LINEST VARS'!$O$68*(8^2)+'LINEST VARS'!$N$68*(8^2)+'LINEST VARS'!$M$68*($DQ$128^2)+'LINEST VARS'!$L$68*(0.5^2)+'LINEST VARS'!$K$68*($CX136^2)+'LINEST VARS'!$J$68*(8*8)+'LINEST VARS'!$I$68*(8*$DQ$128)+'LINEST VARS'!$H$68*(8*0.5)+'LINEST VARS'!$G$68*(8*$CX136)+'LINEST VARS'!$F$68*(8*$DQ$128)+'LINEST VARS'!$E$68*(8*0.5)+'LINEST VARS'!$D$68*(8*$CX136)+'LINEST VARS'!$C$68*($DQ$128*0.5)+'LINEST VARS'!$B$68*($DQ$128*$CX136)+'LINEST VARS'!$A$68*(0.5*$CX136)</f>
        <v>149</v>
      </c>
      <c r="DR136" s="46">
        <f>'LINEST VARS'!$U$68+'LINEST VARS'!$T$68*(8)+'LINEST VARS'!$S$68*(8)+'LINEST VARS'!$R$68*($DR$128)+'LINEST VARS'!$Q$68*(0.5)+'LINEST VARS'!$P$68*($CX136)+'LINEST VARS'!$O$68*(8^2)+'LINEST VARS'!$N$68*(8^2)+'LINEST VARS'!$M$68*($DR$128^2)+'LINEST VARS'!$L$68*(0.5^2)+'LINEST VARS'!$K$68*($CX136^2)+'LINEST VARS'!$J$68*(8*8)+'LINEST VARS'!$I$68*(8*$DR$128)+'LINEST VARS'!$H$68*(8*0.5)+'LINEST VARS'!$G$68*(8*$CX136)+'LINEST VARS'!$F$68*(8*$DR$128)+'LINEST VARS'!$E$68*(8*0.5)+'LINEST VARS'!$D$68*(8*$CX136)+'LINEST VARS'!$C$68*($DR$128*0.5)+'LINEST VARS'!$B$68*($DR$128*$CX136)+'LINEST VARS'!$A$68*(0.5*$CX136)</f>
        <v>149</v>
      </c>
      <c r="DS136" s="47">
        <f>'LINEST VARS'!$U$68+'LINEST VARS'!$T$68*(8)+'LINEST VARS'!$S$68*(8)+'LINEST VARS'!$R$68*($DS$128)+'LINEST VARS'!$Q$68*(0.5)+'LINEST VARS'!$P$68*($CX136)+'LINEST VARS'!$O$68*(8^2)+'LINEST VARS'!$N$68*(8^2)+'LINEST VARS'!$M$68*($DS$128^2)+'LINEST VARS'!$L$68*(0.5^2)+'LINEST VARS'!$K$68*($CX136^2)+'LINEST VARS'!$J$68*(8*8)+'LINEST VARS'!$I$68*(8*$DS$128)+'LINEST VARS'!$H$68*(8*0.5)+'LINEST VARS'!$G$68*(8*$CX136)+'LINEST VARS'!$F$68*(8*$DS$128)+'LINEST VARS'!$E$68*(8*0.5)+'LINEST VARS'!$D$68*(8*$CX136)+'LINEST VARS'!$C$68*($DS$128*0.5)+'LINEST VARS'!$B$68*($DS$128*$CX136)+'LINEST VARS'!$A$68*(0.5*$CX136)</f>
        <v>149</v>
      </c>
      <c r="DV136" s="45">
        <v>9.0965000000000007</v>
      </c>
      <c r="DW136" s="46">
        <f>'LINEST VARS'!$U$70+'LINEST VARS'!$T$70*(8)+'LINEST VARS'!$S$70*(8)+'LINEST VARS'!$R$70*($DW$128)+'LINEST VARS'!$Q$70*(0.5)+'LINEST VARS'!$P$70*($DV136)+'LINEST VARS'!$O$70*(8^2)+'LINEST VARS'!$N$70*(8^2)+'LINEST VARS'!$M$70*($DW$128^2)+'LINEST VARS'!$L$70*(0.5^2)+'LINEST VARS'!$K$70*($DV136^2)+'LINEST VARS'!$J$70*(8*8)+'LINEST VARS'!$I$70*(8*$DW$128)+'LINEST VARS'!$H$70*(8*0.5)+'LINEST VARS'!$G$70*(8*$DV136)+'LINEST VARS'!$F$70*(8*$DW$128)+'LINEST VARS'!$E$70*(8*0.5)+'LINEST VARS'!$D$70*(8*$DV136)+'LINEST VARS'!$C$70*($DW$128*0.5)+'LINEST VARS'!$B$70*($DW$128*$DV136)+'LINEST VARS'!$A$70*(0.5*$DV136)</f>
        <v>92.000000000000014</v>
      </c>
      <c r="DX136" s="46">
        <f>'LINEST VARS'!$U$70+'LINEST VARS'!$T$70*(8)+'LINEST VARS'!$S$70*(8)+'LINEST VARS'!$R$70*($DX$128)+'LINEST VARS'!$Q$70*(0.5)+'LINEST VARS'!$P$70*($DV136)+'LINEST VARS'!$O$70*(8^2)+'LINEST VARS'!$N$70*(8^2)+'LINEST VARS'!$M$70*($DX$128^2)+'LINEST VARS'!$L$70*(0.5^2)+'LINEST VARS'!$K$70*($DV136^2)+'LINEST VARS'!$J$70*(8*8)+'LINEST VARS'!$I$70*(8*$DX$128)+'LINEST VARS'!$H$70*(8*0.5)+'LINEST VARS'!$G$70*(8*$DV136)+'LINEST VARS'!$F$70*(8*$DX$128)+'LINEST VARS'!$E$70*(8*0.5)+'LINEST VARS'!$D$70*(8*$DV136)+'LINEST VARS'!$C$70*($DX$128*0.5)+'LINEST VARS'!$B$70*($DX$128*$DV136)+'LINEST VARS'!$A$70*(0.5*$DV136)</f>
        <v>91.600000000000009</v>
      </c>
      <c r="DY136" s="46">
        <f>'LINEST VARS'!$U$70+'LINEST VARS'!$T$70*(8)+'LINEST VARS'!$S$70*(8)+'LINEST VARS'!$R$70*($DY$128)+'LINEST VARS'!$Q$70*(0.5)+'LINEST VARS'!$P$70*($DV136)+'LINEST VARS'!$O$70*(8^2)+'LINEST VARS'!$N$70*(8^2)+'LINEST VARS'!$M$70*($DY$128^2)+'LINEST VARS'!$L$70*(0.5^2)+'LINEST VARS'!$K$70*($DV136^2)+'LINEST VARS'!$J$70*(8*8)+'LINEST VARS'!$I$70*(8*$DY$128)+'LINEST VARS'!$H$70*(8*0.5)+'LINEST VARS'!$G$70*(8*$DV136)+'LINEST VARS'!$F$70*(8*$DY$128)+'LINEST VARS'!$E$70*(8*0.5)+'LINEST VARS'!$D$70*(8*$DV136)+'LINEST VARS'!$C$70*($DY$128*0.5)+'LINEST VARS'!$B$70*($DY$128*$DV136)+'LINEST VARS'!$A$70*(0.5*$DV136)</f>
        <v>91.200000000000017</v>
      </c>
      <c r="DZ136" s="46">
        <f>'LINEST VARS'!$U$70+'LINEST VARS'!$T$70*(8)+'LINEST VARS'!$S$70*(8)+'LINEST VARS'!$R$70*($DZ$128)+'LINEST VARS'!$Q$70*(0.5)+'LINEST VARS'!$P$70*($DV136)+'LINEST VARS'!$O$70*(8^2)+'LINEST VARS'!$N$70*(8^2)+'LINEST VARS'!$M$70*($DZ$128^2)+'LINEST VARS'!$L$70*(0.5^2)+'LINEST VARS'!$K$70*($DV136^2)+'LINEST VARS'!$J$70*(8*8)+'LINEST VARS'!$I$70*(8*$DZ$128)+'LINEST VARS'!$H$70*(8*0.5)+'LINEST VARS'!$G$70*(8*$DV136)+'LINEST VARS'!$F$70*(8*$DZ$128)+'LINEST VARS'!$E$70*(8*0.5)+'LINEST VARS'!$D$70*(8*$DV136)+'LINEST VARS'!$C$70*($DZ$128*0.5)+'LINEST VARS'!$B$70*($DZ$128*$DV136)+'LINEST VARS'!$A$70*(0.5*$DV136)</f>
        <v>90.800000000000011</v>
      </c>
      <c r="EA136" s="46">
        <f>'LINEST VARS'!$U$70+'LINEST VARS'!$T$70*(8)+'LINEST VARS'!$S$70*(8)+'LINEST VARS'!$R$70*($EA$128)+'LINEST VARS'!$Q$70*(0.5)+'LINEST VARS'!$P$70*($DV136)+'LINEST VARS'!$O$70*(8^2)+'LINEST VARS'!$N$70*(8^2)+'LINEST VARS'!$M$70*($EA$128^2)+'LINEST VARS'!$L$70*(0.5^2)+'LINEST VARS'!$K$70*($DV136^2)+'LINEST VARS'!$J$70*(8*8)+'LINEST VARS'!$I$70*(8*$EA$128)+'LINEST VARS'!$H$70*(8*0.5)+'LINEST VARS'!$G$70*(8*$DV136)+'LINEST VARS'!$F$70*(8*$EA$128)+'LINEST VARS'!$E$70*(8*0.5)+'LINEST VARS'!$D$70*(8*$DV136)+'LINEST VARS'!$C$70*($EA$128*0.5)+'LINEST VARS'!$B$70*($EA$128*$DV136)+'LINEST VARS'!$A$70*(0.5*$DV136)</f>
        <v>90.40000000000002</v>
      </c>
      <c r="EB136" s="46">
        <f>'LINEST VARS'!$U$70+'LINEST VARS'!$T$70*(8)+'LINEST VARS'!$S$70*(8)+'LINEST VARS'!$R$70*($EB$128)+'LINEST VARS'!$Q$70*(0.5)+'LINEST VARS'!$P$70*($DV136)+'LINEST VARS'!$O$70*(8^2)+'LINEST VARS'!$N$70*(8^2)+'LINEST VARS'!$M$70*($EB$128^2)+'LINEST VARS'!$L$70*(0.5^2)+'LINEST VARS'!$K$70*($DV136^2)+'LINEST VARS'!$J$70*(8*8)+'LINEST VARS'!$I$70*(8*$EB$128)+'LINEST VARS'!$H$70*(8*0.5)+'LINEST VARS'!$G$70*(8*$DV136)+'LINEST VARS'!$F$70*(8*$EB$128)+'LINEST VARS'!$E$70*(8*0.5)+'LINEST VARS'!$D$70*(8*$DV136)+'LINEST VARS'!$C$70*($EB$128*0.5)+'LINEST VARS'!$B$70*($EB$128*$DV136)+'LINEST VARS'!$A$70*(0.5*$DV136)</f>
        <v>90.000000000000014</v>
      </c>
      <c r="EC136" s="46">
        <f>'LINEST VARS'!$U$70+'LINEST VARS'!$T$70*(8)+'LINEST VARS'!$S$70*(8)+'LINEST VARS'!$R$70*($EC$128)+'LINEST VARS'!$Q$70*(0.5)+'LINEST VARS'!$P$70*($DV136)+'LINEST VARS'!$O$70*(8^2)+'LINEST VARS'!$N$70*(8^2)+'LINEST VARS'!$M$70*($EC$128^2)+'LINEST VARS'!$L$70*(0.5^2)+'LINEST VARS'!$K$70*($DV136^2)+'LINEST VARS'!$J$70*(8*8)+'LINEST VARS'!$I$70*(8*$EC$128)+'LINEST VARS'!$H$70*(8*0.5)+'LINEST VARS'!$G$70*(8*$DV136)+'LINEST VARS'!$F$70*(8*$EC$128)+'LINEST VARS'!$E$70*(8*0.5)+'LINEST VARS'!$D$70*(8*$DV136)+'LINEST VARS'!$C$70*($EC$128*0.5)+'LINEST VARS'!$B$70*($EC$128*$DV136)+'LINEST VARS'!$A$70*(0.5*$DV136)</f>
        <v>89.600000000000023</v>
      </c>
      <c r="ED136" s="46">
        <f>'LINEST VARS'!$U$70+'LINEST VARS'!$T$70*(8)+'LINEST VARS'!$S$70*(8)+'LINEST VARS'!$R$70*($ED$128)+'LINEST VARS'!$Q$70*(0.5)+'LINEST VARS'!$P$70*($DV136)+'LINEST VARS'!$O$70*(8^2)+'LINEST VARS'!$N$70*(8^2)+'LINEST VARS'!$M$70*($ED$128^2)+'LINEST VARS'!$L$70*(0.5^2)+'LINEST VARS'!$K$70*($DV136^2)+'LINEST VARS'!$J$70*(8*8)+'LINEST VARS'!$I$70*(8*$ED$128)+'LINEST VARS'!$H$70*(8*0.5)+'LINEST VARS'!$G$70*(8*$DV136)+'LINEST VARS'!$F$70*(8*$ED$128)+'LINEST VARS'!$E$70*(8*0.5)+'LINEST VARS'!$D$70*(8*$DV136)+'LINEST VARS'!$C$70*($ED$128*0.5)+'LINEST VARS'!$B$70*($ED$128*$DV136)+'LINEST VARS'!$A$70*(0.5*$DV136)</f>
        <v>89.200000000000017</v>
      </c>
      <c r="EE136" s="46">
        <f>'LINEST VARS'!$U$70+'LINEST VARS'!$T$70*(8)+'LINEST VARS'!$S$70*(8)+'LINEST VARS'!$R$70*($EE$128)+'LINEST VARS'!$Q$70*(0.5)+'LINEST VARS'!$P$70*($DV136)+'LINEST VARS'!$O$70*(8^2)+'LINEST VARS'!$N$70*(8^2)+'LINEST VARS'!$M$70*($EE$128^2)+'LINEST VARS'!$L$70*(0.5^2)+'LINEST VARS'!$K$70*($DV136^2)+'LINEST VARS'!$J$70*(8*8)+'LINEST VARS'!$I$70*(8*$EE$128)+'LINEST VARS'!$H$70*(8*0.5)+'LINEST VARS'!$G$70*(8*$DV136)+'LINEST VARS'!$F$70*(8*$EE$128)+'LINEST VARS'!$E$70*(8*0.5)+'LINEST VARS'!$D$70*(8*$DV136)+'LINEST VARS'!$C$70*($EE$128*0.5)+'LINEST VARS'!$B$70*($EE$128*$DV136)+'LINEST VARS'!$A$70*(0.5*$DV136)</f>
        <v>88.800000000000026</v>
      </c>
      <c r="EF136" s="46">
        <f>'LINEST VARS'!$U$70+'LINEST VARS'!$T$70*(8)+'LINEST VARS'!$S$70*(8)+'LINEST VARS'!$R$70*($EF$128)+'LINEST VARS'!$Q$70*(0.5)+'LINEST VARS'!$P$70*($DV136)+'LINEST VARS'!$O$70*(8^2)+'LINEST VARS'!$N$70*(8^2)+'LINEST VARS'!$M$70*($EF$128^2)+'LINEST VARS'!$L$70*(0.5^2)+'LINEST VARS'!$K$70*($DV136^2)+'LINEST VARS'!$J$70*(8*8)+'LINEST VARS'!$I$70*(8*$EF$128)+'LINEST VARS'!$H$70*(8*0.5)+'LINEST VARS'!$G$70*(8*$DV136)+'LINEST VARS'!$F$70*(8*$EF$128)+'LINEST VARS'!$E$70*(8*0.5)+'LINEST VARS'!$D$70*(8*$DV136)+'LINEST VARS'!$C$70*($EF$128*0.5)+'LINEST VARS'!$B$70*($EF$128*$DV136)+'LINEST VARS'!$A$70*(0.5*$DV136)</f>
        <v>88.40000000000002</v>
      </c>
      <c r="EG136" s="46">
        <f>'LINEST VARS'!$U$70+'LINEST VARS'!$T$70*(8)+'LINEST VARS'!$S$70*(8)+'LINEST VARS'!$R$70*($EG$128)+'LINEST VARS'!$Q$70*(0.5)+'LINEST VARS'!$P$70*($DV136)+'LINEST VARS'!$O$70*(8^2)+'LINEST VARS'!$N$70*(8^2)+'LINEST VARS'!$M$70*($EG$128^2)+'LINEST VARS'!$L$70*(0.5^2)+'LINEST VARS'!$K$70*($DV136^2)+'LINEST VARS'!$J$70*(8*8)+'LINEST VARS'!$I$70*(8*$EG$128)+'LINEST VARS'!$H$70*(8*0.5)+'LINEST VARS'!$G$70*(8*$DV136)+'LINEST VARS'!$F$70*(8*$EG$128)+'LINEST VARS'!$E$70*(8*0.5)+'LINEST VARS'!$D$70*(8*$DV136)+'LINEST VARS'!$C$70*($EG$128*0.5)+'LINEST VARS'!$B$70*($EG$128*$DV136)+'LINEST VARS'!$A$70*(0.5*$DV136)</f>
        <v>88.000000000000014</v>
      </c>
      <c r="EH136" s="46">
        <f>'LINEST VARS'!$U$70+'LINEST VARS'!$T$70*(8)+'LINEST VARS'!$S$70*(8)+'LINEST VARS'!$R$70*($EH$128)+'LINEST VARS'!$Q$70*(0.5)+'LINEST VARS'!$P$70*($DV136)+'LINEST VARS'!$O$70*(8^2)+'LINEST VARS'!$N$70*(8^2)+'LINEST VARS'!$M$70*($EH$128^2)+'LINEST VARS'!$L$70*(0.5^2)+'LINEST VARS'!$K$70*($DV136^2)+'LINEST VARS'!$J$70*(8*8)+'LINEST VARS'!$I$70*(8*$EH$128)+'LINEST VARS'!$H$70*(8*0.5)+'LINEST VARS'!$G$70*(8*$DV136)+'LINEST VARS'!$F$70*(8*$EH$128)+'LINEST VARS'!$E$70*(8*0.5)+'LINEST VARS'!$D$70*(8*$DV136)+'LINEST VARS'!$C$70*($EH$128*0.5)+'LINEST VARS'!$B$70*($EH$128*$DV136)+'LINEST VARS'!$A$70*(0.5*$DV136)</f>
        <v>87.600000000000023</v>
      </c>
      <c r="EI136" s="46">
        <f>'LINEST VARS'!$U$70+'LINEST VARS'!$T$70*(8)+'LINEST VARS'!$S$70*(8)+'LINEST VARS'!$R$70*($EI$128)+'LINEST VARS'!$Q$70*(0.5)+'LINEST VARS'!$P$70*($DV136)+'LINEST VARS'!$O$70*(8^2)+'LINEST VARS'!$N$70*(8^2)+'LINEST VARS'!$M$70*($EI$128^2)+'LINEST VARS'!$L$70*(0.5^2)+'LINEST VARS'!$K$70*($DV136^2)+'LINEST VARS'!$J$70*(8*8)+'LINEST VARS'!$I$70*(8*$EI$128)+'LINEST VARS'!$H$70*(8*0.5)+'LINEST VARS'!$G$70*(8*$DV136)+'LINEST VARS'!$F$70*(8*$EI$128)+'LINEST VARS'!$E$70*(8*0.5)+'LINEST VARS'!$D$70*(8*$DV136)+'LINEST VARS'!$C$70*($EI$128*0.5)+'LINEST VARS'!$B$70*($EI$128*$DV136)+'LINEST VARS'!$A$70*(0.5*$DV136)</f>
        <v>87.200000000000017</v>
      </c>
      <c r="EJ136" s="46">
        <f>'LINEST VARS'!$U$70+'LINEST VARS'!$T$70*(8)+'LINEST VARS'!$S$70*(8)+'LINEST VARS'!$R$70*($EJ$128)+'LINEST VARS'!$Q$70*(0.5)+'LINEST VARS'!$P$70*($DV136)+'LINEST VARS'!$O$70*(8^2)+'LINEST VARS'!$N$70*(8^2)+'LINEST VARS'!$M$70*($EJ$128^2)+'LINEST VARS'!$L$70*(0.5^2)+'LINEST VARS'!$K$70*($DV136^2)+'LINEST VARS'!$J$70*(8*8)+'LINEST VARS'!$I$70*(8*$EJ$128)+'LINEST VARS'!$H$70*(8*0.5)+'LINEST VARS'!$G$70*(8*$DV136)+'LINEST VARS'!$F$70*(8*$EJ$128)+'LINEST VARS'!$E$70*(8*0.5)+'LINEST VARS'!$D$70*(8*$DV136)+'LINEST VARS'!$C$70*($EJ$128*0.5)+'LINEST VARS'!$B$70*($EJ$128*$DV136)+'LINEST VARS'!$A$70*(0.5*$DV136)</f>
        <v>86.800000000000026</v>
      </c>
      <c r="EK136" s="46">
        <f>'LINEST VARS'!$U$70+'LINEST VARS'!$T$70*(8)+'LINEST VARS'!$S$70*(8)+'LINEST VARS'!$R$70*($EK$128)+'LINEST VARS'!$Q$70*(0.5)+'LINEST VARS'!$P$70*($DV136)+'LINEST VARS'!$O$70*(8^2)+'LINEST VARS'!$N$70*(8^2)+'LINEST VARS'!$M$70*($EK$128^2)+'LINEST VARS'!$L$70*(0.5^2)+'LINEST VARS'!$K$70*($DV136^2)+'LINEST VARS'!$J$70*(8*8)+'LINEST VARS'!$I$70*(8*$EK$128)+'LINEST VARS'!$H$70*(8*0.5)+'LINEST VARS'!$G$70*(8*$DV136)+'LINEST VARS'!$F$70*(8*$EK$128)+'LINEST VARS'!$E$70*(8*0.5)+'LINEST VARS'!$D$70*(8*$DV136)+'LINEST VARS'!$C$70*($EK$128*0.5)+'LINEST VARS'!$B$70*($EK$128*$DV136)+'LINEST VARS'!$A$70*(0.5*$DV136)</f>
        <v>86.40000000000002</v>
      </c>
      <c r="EL136" s="46">
        <f>'LINEST VARS'!$U$70+'LINEST VARS'!$T$70*(8)+'LINEST VARS'!$S$70*(8)+'LINEST VARS'!$R$70*($EL$128)+'LINEST VARS'!$Q$70*(0.5)+'LINEST VARS'!$P$70*($DV136)+'LINEST VARS'!$O$70*(8^2)+'LINEST VARS'!$N$70*(8^2)+'LINEST VARS'!$M$70*($EL$128^2)+'LINEST VARS'!$L$70*(0.5^2)+'LINEST VARS'!$K$70*($DV136^2)+'LINEST VARS'!$J$70*(8*8)+'LINEST VARS'!$I$70*(8*$EL$128)+'LINEST VARS'!$H$70*(8*0.5)+'LINEST VARS'!$G$70*(8*$DV136)+'LINEST VARS'!$F$70*(8*$EL$128)+'LINEST VARS'!$E$70*(8*0.5)+'LINEST VARS'!$D$70*(8*$DV136)+'LINEST VARS'!$C$70*($EL$128*0.5)+'LINEST VARS'!$B$70*($EL$128*$DV136)+'LINEST VARS'!$A$70*(0.5*$DV136)</f>
        <v>86.000000000000014</v>
      </c>
      <c r="EM136" s="46">
        <f>'LINEST VARS'!$U$70+'LINEST VARS'!$T$70*(8)+'LINEST VARS'!$S$70*(8)+'LINEST VARS'!$R$70*($EM$128)+'LINEST VARS'!$Q$70*(0.5)+'LINEST VARS'!$P$70*($DV136)+'LINEST VARS'!$O$70*(8^2)+'LINEST VARS'!$N$70*(8^2)+'LINEST VARS'!$M$70*($EM$128^2)+'LINEST VARS'!$L$70*(0.5^2)+'LINEST VARS'!$K$70*($DV136^2)+'LINEST VARS'!$J$70*(8*8)+'LINEST VARS'!$I$70*(8*$EM$128)+'LINEST VARS'!$H$70*(8*0.5)+'LINEST VARS'!$G$70*(8*$DV136)+'LINEST VARS'!$F$70*(8*$EM$128)+'LINEST VARS'!$E$70*(8*0.5)+'LINEST VARS'!$D$70*(8*$DV136)+'LINEST VARS'!$C$70*($EM$128*0.5)+'LINEST VARS'!$B$70*($EM$128*$DV136)+'LINEST VARS'!$A$70*(0.5*$DV136)</f>
        <v>85.600000000000009</v>
      </c>
      <c r="EN136" s="46">
        <f>'LINEST VARS'!$U$70+'LINEST VARS'!$T$70*(8)+'LINEST VARS'!$S$70*(8)+'LINEST VARS'!$R$70*($EN$128)+'LINEST VARS'!$Q$70*(0.5)+'LINEST VARS'!$P$70*($DV136)+'LINEST VARS'!$O$70*(8^2)+'LINEST VARS'!$N$70*(8^2)+'LINEST VARS'!$M$70*($EN$128^2)+'LINEST VARS'!$L$70*(0.5^2)+'LINEST VARS'!$K$70*($DV136^2)+'LINEST VARS'!$J$70*(8*8)+'LINEST VARS'!$I$70*(8*$EN$128)+'LINEST VARS'!$H$70*(8*0.5)+'LINEST VARS'!$G$70*(8*$DV136)+'LINEST VARS'!$F$70*(8*$EN$128)+'LINEST VARS'!$E$70*(8*0.5)+'LINEST VARS'!$D$70*(8*$DV136)+'LINEST VARS'!$C$70*($EN$128*0.5)+'LINEST VARS'!$B$70*($EN$128*$DV136)+'LINEST VARS'!$A$70*(0.5*$DV136)</f>
        <v>85.200000000000017</v>
      </c>
      <c r="EO136" s="46">
        <f>'LINEST VARS'!$U$70+'LINEST VARS'!$T$70*(8)+'LINEST VARS'!$S$70*(8)+'LINEST VARS'!$R$70*($EO$128)+'LINEST VARS'!$Q$70*(0.5)+'LINEST VARS'!$P$70*($DV136)+'LINEST VARS'!$O$70*(8^2)+'LINEST VARS'!$N$70*(8^2)+'LINEST VARS'!$M$70*($EO$128^2)+'LINEST VARS'!$L$70*(0.5^2)+'LINEST VARS'!$K$70*($DV136^2)+'LINEST VARS'!$J$70*(8*8)+'LINEST VARS'!$I$70*(8*$EO$128)+'LINEST VARS'!$H$70*(8*0.5)+'LINEST VARS'!$G$70*(8*$DV136)+'LINEST VARS'!$F$70*(8*$EO$128)+'LINEST VARS'!$E$70*(8*0.5)+'LINEST VARS'!$D$70*(8*$DV136)+'LINEST VARS'!$C$70*($EO$128*0.5)+'LINEST VARS'!$B$70*($EO$128*$DV136)+'LINEST VARS'!$A$70*(0.5*$DV136)</f>
        <v>84.800000000000011</v>
      </c>
      <c r="EP136" s="46">
        <f>'LINEST VARS'!$U$70+'LINEST VARS'!$T$70*(8)+'LINEST VARS'!$S$70*(8)+'LINEST VARS'!$R$70*($EP$128)+'LINEST VARS'!$Q$70*(0.5)+'LINEST VARS'!$P$70*($DV136)+'LINEST VARS'!$O$70*(8^2)+'LINEST VARS'!$N$70*(8^2)+'LINEST VARS'!$M$70*($EP$128^2)+'LINEST VARS'!$L$70*(0.5^2)+'LINEST VARS'!$K$70*($DV136^2)+'LINEST VARS'!$J$70*(8*8)+'LINEST VARS'!$I$70*(8*$EP$128)+'LINEST VARS'!$H$70*(8*0.5)+'LINEST VARS'!$G$70*(8*$DV136)+'LINEST VARS'!$F$70*(8*$EP$128)+'LINEST VARS'!$E$70*(8*0.5)+'LINEST VARS'!$D$70*(8*$DV136)+'LINEST VARS'!$C$70*($EP$128*0.5)+'LINEST VARS'!$B$70*($EP$128*$DV136)+'LINEST VARS'!$A$70*(0.5*$DV136)</f>
        <v>84.400000000000034</v>
      </c>
      <c r="EQ136" s="47">
        <f>'LINEST VARS'!$U$70+'LINEST VARS'!$T$70*(8)+'LINEST VARS'!$S$70*(8)+'LINEST VARS'!$R$70*($EQ$128)+'LINEST VARS'!$Q$70*(0.5)+'LINEST VARS'!$P$70*($DV136)+'LINEST VARS'!$O$70*(8^2)+'LINEST VARS'!$N$70*(8^2)+'LINEST VARS'!$M$70*($EQ$128^2)+'LINEST VARS'!$L$70*(0.5^2)+'LINEST VARS'!$K$70*($DV136^2)+'LINEST VARS'!$J$70*(8*8)+'LINEST VARS'!$I$70*(8*$EQ$128)+'LINEST VARS'!$H$70*(8*0.5)+'LINEST VARS'!$G$70*(8*$DV136)+'LINEST VARS'!$F$70*(8*$EQ$128)+'LINEST VARS'!$E$70*(8*0.5)+'LINEST VARS'!$D$70*(8*$DV136)+'LINEST VARS'!$C$70*($EQ$128*0.5)+'LINEST VARS'!$B$70*($EQ$128*$DV136)+'LINEST VARS'!$A$70*(0.5*$DV136)</f>
        <v>84.000000000000028</v>
      </c>
    </row>
    <row r="137" spans="2:147" ht="15" customHeight="1" x14ac:dyDescent="0.25">
      <c r="B137" s="45">
        <v>7.88</v>
      </c>
      <c r="C137" s="46">
        <f>'LINEST VARS'!$U$68+'LINEST VARS'!$T$68*($C$128)+'LINEST VARS'!$S$68*($B137)+'LINEST VARS'!$R$68*(4)+'LINEST VARS'!$Q$68*(0.5)+'LINEST VARS'!$P$68*(12.73)+'LINEST VARS'!$O$68*($C$128^2)+'LINEST VARS'!$N$68*($B137^2)+'LINEST VARS'!$M$68*(4^2)+'LINEST VARS'!$L$68*(0.5^2)+'LINEST VARS'!$K$68*(12.73^2)+'LINEST VARS'!$J$68*($C$128*$B137)+'LINEST VARS'!$I$68*($C$128*4)+'LINEST VARS'!$H$68*($C$128*0.5)+'LINEST VARS'!$G$68*($C$128*12.73)+'LINEST VARS'!$F$68*($B137*4)+'LINEST VARS'!$E$68*($B137*0.5)+'LINEST VARS'!$D$68*($B137*12.73)+'LINEST VARS'!$C$68*(4*0.5)+'LINEST VARS'!$B$68*(4*12.73)+'LINEST VARS'!$A$68*(0.5*12.73)</f>
        <v>149</v>
      </c>
      <c r="D137" s="46">
        <f>'LINEST VARS'!$U$68+'LINEST VARS'!$T$68*($D$128)+'LINEST VARS'!$S$68*($B137)+'LINEST VARS'!$R$68*(4)+'LINEST VARS'!$Q$68*(0.5)+'LINEST VARS'!$P$68*(12.73)+'LINEST VARS'!$O$68*($D$128^2)+'LINEST VARS'!$N$68*($B137^2)+'LINEST VARS'!$M$68*(4^2)+'LINEST VARS'!$L$68*(0.5^2)+'LINEST VARS'!$K$68*(12.73^2)+'LINEST VARS'!$J$68*($D$128*$B137)+'LINEST VARS'!$I$68*($D$128*4)+'LINEST VARS'!$H$68*($D$128*0.5)+'LINEST VARS'!$G$68*($D$128*12.73)+'LINEST VARS'!$F$68*($B137*4)+'LINEST VARS'!$E$68*($B137*0.5)+'LINEST VARS'!$D$68*($B137*12.73)+'LINEST VARS'!$C$68*(4*0.5)+'LINEST VARS'!$B$68*(4*12.73)+'LINEST VARS'!$A$68*(0.5*12.73)</f>
        <v>149</v>
      </c>
      <c r="E137" s="46">
        <f>'LINEST VARS'!$U$68+'LINEST VARS'!$T$68*($E$128)+'LINEST VARS'!$S$68*($B137)+'LINEST VARS'!$R$68*(4)+'LINEST VARS'!$Q$68*(0.5)+'LINEST VARS'!$P$68*(12.73)+'LINEST VARS'!$O$68*($E$128^2)+'LINEST VARS'!$N$68*($B137^2)+'LINEST VARS'!$M$68*(4^2)+'LINEST VARS'!$L$68*(0.5^2)+'LINEST VARS'!$K$68*(12.73^2)+'LINEST VARS'!$J$68*($E$128*$B137)+'LINEST VARS'!$I$68*($E$128*4)+'LINEST VARS'!$H$68*($E$128*0.5)+'LINEST VARS'!$G$68*($E$128*12.73)+'LINEST VARS'!$F$68*($B137*4)+'LINEST VARS'!$E$68*($B137*0.5)+'LINEST VARS'!$D$68*($B137*12.73)+'LINEST VARS'!$C$68*(4*0.5)+'LINEST VARS'!$B$68*(4*12.73)+'LINEST VARS'!$A$68*(0.5*12.73)</f>
        <v>149</v>
      </c>
      <c r="F137" s="46">
        <f>'LINEST VARS'!$U$68+'LINEST VARS'!$T$68*($F$128)+'LINEST VARS'!$S$68*($B137)+'LINEST VARS'!$R$68*(4)+'LINEST VARS'!$Q$68*(0.5)+'LINEST VARS'!$P$68*(12.73)+'LINEST VARS'!$O$68*($F$128^2)+'LINEST VARS'!$N$68*($B137^2)+'LINEST VARS'!$M$68*(4^2)+'LINEST VARS'!$L$68*(0.5^2)+'LINEST VARS'!$K$68*(12.73^2)+'LINEST VARS'!$J$68*($F$128*$B137)+'LINEST VARS'!$I$68*($F$128*4)+'LINEST VARS'!$H$68*($F$128*0.5)+'LINEST VARS'!$G$68*($F$128*12.73)+'LINEST VARS'!$F$68*($B137*4)+'LINEST VARS'!$E$68*($B137*0.5)+'LINEST VARS'!$D$68*($B137*12.73)+'LINEST VARS'!$C$68*(4*0.5)+'LINEST VARS'!$B$68*(4*12.73)+'LINEST VARS'!$A$68*(0.5*12.73)</f>
        <v>149</v>
      </c>
      <c r="G137" s="46">
        <f>'LINEST VARS'!$U$68+'LINEST VARS'!$T$68*($G$128)+'LINEST VARS'!$S$68*($B137)+'LINEST VARS'!$R$68*(4)+'LINEST VARS'!$Q$68*(0.5)+'LINEST VARS'!$P$68*(12.73)+'LINEST VARS'!$O$68*($G$128^2)+'LINEST VARS'!$N$68*($B137^2)+'LINEST VARS'!$M$68*(4^2)+'LINEST VARS'!$L$68*(0.5^2)+'LINEST VARS'!$K$68*(12.73^2)+'LINEST VARS'!$J$68*($G$128*$B137)+'LINEST VARS'!$I$68*($G$128*4)+'LINEST VARS'!$H$68*($G$128*0.5)+'LINEST VARS'!$G$68*($G$128*12.73)+'LINEST VARS'!$F$68*($B137*4)+'LINEST VARS'!$E$68*($B137*0.5)+'LINEST VARS'!$D$68*($B137*12.73)+'LINEST VARS'!$C$68*(4*0.5)+'LINEST VARS'!$B$68*(4*12.73)+'LINEST VARS'!$A$68*(0.5*12.73)</f>
        <v>149</v>
      </c>
      <c r="H137" s="46">
        <f>'LINEST VARS'!$U$68+'LINEST VARS'!$T$68*($H$128)+'LINEST VARS'!$S$68*($B137)+'LINEST VARS'!$R$68*(4)+'LINEST VARS'!$Q$68*(0.5)+'LINEST VARS'!$P$68*(12.73)+'LINEST VARS'!$O$68*($H$128^2)+'LINEST VARS'!$N$68*($B137^2)+'LINEST VARS'!$M$68*(4^2)+'LINEST VARS'!$L$68*(0.5^2)+'LINEST VARS'!$K$68*(12.73^2)+'LINEST VARS'!$J$68*($H$128*$B137)+'LINEST VARS'!$I$68*($H$128*4)+'LINEST VARS'!$H$68*($H$128*0.5)+'LINEST VARS'!$G$68*($H$128*12.73)+'LINEST VARS'!$F$68*($B137*4)+'LINEST VARS'!$E$68*($B137*0.5)+'LINEST VARS'!$D$68*($B137*12.73)+'LINEST VARS'!$C$68*(4*0.5)+'LINEST VARS'!$B$68*(4*12.73)+'LINEST VARS'!$A$68*(0.5*12.73)</f>
        <v>149</v>
      </c>
      <c r="I137" s="46">
        <f>'LINEST VARS'!$U$68+'LINEST VARS'!$T$68*($I$128)+'LINEST VARS'!$S$68*($B137)+'LINEST VARS'!$R$68*(4)+'LINEST VARS'!$Q$68*(0.5)+'LINEST VARS'!$P$68*(12.73)+'LINEST VARS'!$O$68*($I$128^2)+'LINEST VARS'!$N$68*($B137^2)+'LINEST VARS'!$M$68*(4^2)+'LINEST VARS'!$L$68*(0.5^2)+'LINEST VARS'!$K$68*(12.73^2)+'LINEST VARS'!$J$68*($I$128*$B137)+'LINEST VARS'!$I$68*($I$128*4)+'LINEST VARS'!$H$68*($I$128*0.5)+'LINEST VARS'!$G$68*($I$128*12.73)+'LINEST VARS'!$F$68*($B137*4)+'LINEST VARS'!$E$68*($B137*0.5)+'LINEST VARS'!$D$68*($B137*12.73)+'LINEST VARS'!$C$68*(4*0.5)+'LINEST VARS'!$B$68*(4*12.73)+'LINEST VARS'!$A$68*(0.5*12.73)</f>
        <v>149</v>
      </c>
      <c r="J137" s="46">
        <f>'LINEST VARS'!$U$68+'LINEST VARS'!$T$68*($J$128)+'LINEST VARS'!$S$68*($B137)+'LINEST VARS'!$R$68*(4)+'LINEST VARS'!$Q$68*(0.5)+'LINEST VARS'!$P$68*(12.73)+'LINEST VARS'!$O$68*($J$128^2)+'LINEST VARS'!$N$68*($B137^2)+'LINEST VARS'!$M$68*(4^2)+'LINEST VARS'!$L$68*(0.5^2)+'LINEST VARS'!$K$68*(12.73^2)+'LINEST VARS'!$J$68*($J$128*$B137)+'LINEST VARS'!$I$68*($J$128*4)+'LINEST VARS'!$H$68*($J$128*0.5)+'LINEST VARS'!$G$68*($J$128*12.73)+'LINEST VARS'!$F$68*($B137*4)+'LINEST VARS'!$E$68*($B137*0.5)+'LINEST VARS'!$D$68*($B137*12.73)+'LINEST VARS'!$C$68*(4*0.5)+'LINEST VARS'!$B$68*(4*12.73)+'LINEST VARS'!$A$68*(0.5*12.73)</f>
        <v>149</v>
      </c>
      <c r="K137" s="46">
        <f>'LINEST VARS'!$U$68+'LINEST VARS'!$T$68*($K$128)+'LINEST VARS'!$S$68*($B137)+'LINEST VARS'!$R$68*(4)+'LINEST VARS'!$Q$68*(0.5)+'LINEST VARS'!$P$68*(12.73)+'LINEST VARS'!$O$68*($K$128^2)+'LINEST VARS'!$N$68*($B137^2)+'LINEST VARS'!$M$68*(4^2)+'LINEST VARS'!$L$68*(0.5^2)+'LINEST VARS'!$K$68*(12.73^2)+'LINEST VARS'!$J$68*($K$128*$B137)+'LINEST VARS'!$I$68*($K$128*4)+'LINEST VARS'!$H$68*($K$128*0.5)+'LINEST VARS'!$G$68*($K$128*12.73)+'LINEST VARS'!$F$68*($B137*4)+'LINEST VARS'!$E$68*($B137*0.5)+'LINEST VARS'!$D$68*($B137*12.73)+'LINEST VARS'!$C$68*(4*0.5)+'LINEST VARS'!$B$68*(4*12.73)+'LINEST VARS'!$A$68*(0.5*12.73)</f>
        <v>149</v>
      </c>
      <c r="L137" s="46">
        <f>'LINEST VARS'!$U$68+'LINEST VARS'!$T$68*($L$128)+'LINEST VARS'!$S$68*($B137)+'LINEST VARS'!$R$68*(4)+'LINEST VARS'!$Q$68*(0.5)+'LINEST VARS'!$P$68*(12.73)+'LINEST VARS'!$O$68*($L$128^2)+'LINEST VARS'!$N$68*($B137^2)+'LINEST VARS'!$M$68*(4^2)+'LINEST VARS'!$L$68*(0.5^2)+'LINEST VARS'!$K$68*(12.73^2)+'LINEST VARS'!$J$68*($L$128*$B137)+'LINEST VARS'!$I$68*($L$128*4)+'LINEST VARS'!$H$68*($L$128*0.5)+'LINEST VARS'!$G$68*($L$128*12.73)+'LINEST VARS'!$F$68*($B137*4)+'LINEST VARS'!$E$68*($B137*0.5)+'LINEST VARS'!$D$68*($B137*12.73)+'LINEST VARS'!$C$68*(4*0.5)+'LINEST VARS'!$B$68*(4*12.73)+'LINEST VARS'!$A$68*(0.5*12.73)</f>
        <v>149</v>
      </c>
      <c r="M137" s="46">
        <f>'LINEST VARS'!$U$68+'LINEST VARS'!$T$68*($M$128)+'LINEST VARS'!$S$68*($B137)+'LINEST VARS'!$R$68*(4)+'LINEST VARS'!$Q$68*(0.5)+'LINEST VARS'!$P$68*(12.73)+'LINEST VARS'!$O$68*($M$128^2)+'LINEST VARS'!$N$68*($B137^2)+'LINEST VARS'!$M$68*(4^2)+'LINEST VARS'!$L$68*(0.5^2)+'LINEST VARS'!$K$68*(12.73^2)+'LINEST VARS'!$J$68*($M$128*$B137)+'LINEST VARS'!$I$68*($M$128*4)+'LINEST VARS'!$H$68*($M$128*0.5)+'LINEST VARS'!$G$68*($M$128*12.73)+'LINEST VARS'!$F$68*($B137*4)+'LINEST VARS'!$E$68*($B137*0.5)+'LINEST VARS'!$D$68*($B137*12.73)+'LINEST VARS'!$C$68*(4*0.5)+'LINEST VARS'!$B$68*(4*12.73)+'LINEST VARS'!$A$68*(0.5*12.73)</f>
        <v>149</v>
      </c>
      <c r="N137" s="46">
        <f>'LINEST VARS'!$U$68+'LINEST VARS'!$T$68*($N$128)+'LINEST VARS'!$S$68*($B137)+'LINEST VARS'!$R$68*(4)+'LINEST VARS'!$Q$68*(0.5)+'LINEST VARS'!$P$68*(12.73)+'LINEST VARS'!$O$68*($N$128^2)+'LINEST VARS'!$N$68*($B137^2)+'LINEST VARS'!$M$68*(4^2)+'LINEST VARS'!$L$68*(0.5^2)+'LINEST VARS'!$K$68*(12.73^2)+'LINEST VARS'!$J$68*($N$128*$B137)+'LINEST VARS'!$I$68*($N$128*4)+'LINEST VARS'!$H$68*($N$128*0.5)+'LINEST VARS'!$G$68*($N$128*12.73)+'LINEST VARS'!$F$68*($B137*4)+'LINEST VARS'!$E$68*($B137*0.5)+'LINEST VARS'!$D$68*($B137*12.73)+'LINEST VARS'!$C$68*(4*0.5)+'LINEST VARS'!$B$68*(4*12.73)+'LINEST VARS'!$A$68*(0.5*12.73)</f>
        <v>149</v>
      </c>
      <c r="O137" s="46">
        <f>'LINEST VARS'!$U$68+'LINEST VARS'!$T$68*($O$128)+'LINEST VARS'!$S$68*($B137)+'LINEST VARS'!$R$68*(4)+'LINEST VARS'!$Q$68*(0.5)+'LINEST VARS'!$P$68*(12.73)+'LINEST VARS'!$O$68*($O$128^2)+'LINEST VARS'!$N$68*($B137^2)+'LINEST VARS'!$M$68*(4^2)+'LINEST VARS'!$L$68*(0.5^2)+'LINEST VARS'!$K$68*(12.73^2)+'LINEST VARS'!$J$68*($O$128*$B137)+'LINEST VARS'!$I$68*($O$128*4)+'LINEST VARS'!$H$68*($O$128*0.5)+'LINEST VARS'!$G$68*($O$128*12.73)+'LINEST VARS'!$F$68*($B137*4)+'LINEST VARS'!$E$68*($B137*0.5)+'LINEST VARS'!$D$68*($B137*12.73)+'LINEST VARS'!$C$68*(4*0.5)+'LINEST VARS'!$B$68*(4*12.73)+'LINEST VARS'!$A$68*(0.5*12.73)</f>
        <v>149</v>
      </c>
      <c r="P137" s="46">
        <f>'LINEST VARS'!$U$68+'LINEST VARS'!$T$68*($P$128)+'LINEST VARS'!$S$68*($B137)+'LINEST VARS'!$R$68*(4)+'LINEST VARS'!$Q$68*(0.5)+'LINEST VARS'!$P$68*(12.73)+'LINEST VARS'!$O$68*($P$128^2)+'LINEST VARS'!$N$68*($B137^2)+'LINEST VARS'!$M$68*(4^2)+'LINEST VARS'!$L$68*(0.5^2)+'LINEST VARS'!$K$68*(12.73^2)+'LINEST VARS'!$J$68*($P$128*$B137)+'LINEST VARS'!$I$68*($P$128*4)+'LINEST VARS'!$H$68*($P$128*0.5)+'LINEST VARS'!$G$68*($P$128*12.73)+'LINEST VARS'!$F$68*($B137*4)+'LINEST VARS'!$E$68*($B137*0.5)+'LINEST VARS'!$D$68*($B137*12.73)+'LINEST VARS'!$C$68*(4*0.5)+'LINEST VARS'!$B$68*(4*12.73)+'LINEST VARS'!$A$68*(0.5*12.73)</f>
        <v>149</v>
      </c>
      <c r="Q137" s="46">
        <f>'LINEST VARS'!$U$68+'LINEST VARS'!$T$68*($Q$128)+'LINEST VARS'!$S$68*($B137)+'LINEST VARS'!$R$68*(4)+'LINEST VARS'!$Q$68*(0.5)+'LINEST VARS'!$P$68*(12.73)+'LINEST VARS'!$O$68*($Q$128^2)+'LINEST VARS'!$N$68*($B137^2)+'LINEST VARS'!$M$68*(4^2)+'LINEST VARS'!$L$68*(0.5^2)+'LINEST VARS'!$K$68*(12.73^2)+'LINEST VARS'!$J$68*($Q$128*$B137)+'LINEST VARS'!$I$68*($Q$128*4)+'LINEST VARS'!$H$68*($Q$128*0.5)+'LINEST VARS'!$G$68*($Q$128*12.73)+'LINEST VARS'!$F$68*($B137*4)+'LINEST VARS'!$E$68*($B137*0.5)+'LINEST VARS'!$D$68*($B137*12.73)+'LINEST VARS'!$C$68*(4*0.5)+'LINEST VARS'!$B$68*(4*12.73)+'LINEST VARS'!$A$68*(0.5*12.73)</f>
        <v>149</v>
      </c>
      <c r="R137" s="46">
        <f>'LINEST VARS'!$U$68+'LINEST VARS'!$T$68*($R$128)+'LINEST VARS'!$S$68*($B137)+'LINEST VARS'!$R$68*(4)+'LINEST VARS'!$Q$68*(0.5)+'LINEST VARS'!$P$68*(12.73)+'LINEST VARS'!$O$68*($R$128^2)+'LINEST VARS'!$N$68*($B137^2)+'LINEST VARS'!$M$68*(4^2)+'LINEST VARS'!$L$68*(0.5^2)+'LINEST VARS'!$K$68*(12.73^2)+'LINEST VARS'!$J$68*($R$128*$B137)+'LINEST VARS'!$I$68*($R$128*4)+'LINEST VARS'!$H$68*($R$128*0.5)+'LINEST VARS'!$G$68*($R$128*12.73)+'LINEST VARS'!$F$68*($B137*4)+'LINEST VARS'!$E$68*($B137*0.5)+'LINEST VARS'!$D$68*($B137*12.73)+'LINEST VARS'!$C$68*(4*0.5)+'LINEST VARS'!$B$68*(4*12.73)+'LINEST VARS'!$A$68*(0.5*12.73)</f>
        <v>149</v>
      </c>
      <c r="S137" s="46">
        <f>'LINEST VARS'!$U$68+'LINEST VARS'!$T$68*($S$128)+'LINEST VARS'!$S$68*($B137)+'LINEST VARS'!$R$68*(4)+'LINEST VARS'!$Q$68*(0.5)+'LINEST VARS'!$P$68*(12.73)+'LINEST VARS'!$O$68*($S$128^2)+'LINEST VARS'!$N$68*($B137^2)+'LINEST VARS'!$M$68*(4^2)+'LINEST VARS'!$L$68*(0.5^2)+'LINEST VARS'!$K$68*(12.73^2)+'LINEST VARS'!$J$68*($S$128*$B137)+'LINEST VARS'!$I$68*($S$128*4)+'LINEST VARS'!$H$68*($S$128*0.5)+'LINEST VARS'!$G$68*($S$128*12.73)+'LINEST VARS'!$F$68*($B137*4)+'LINEST VARS'!$E$68*($B137*0.5)+'LINEST VARS'!$D$68*($B137*12.73)+'LINEST VARS'!$C$68*(4*0.5)+'LINEST VARS'!$B$68*(4*12.73)+'LINEST VARS'!$A$68*(0.5*12.73)</f>
        <v>149</v>
      </c>
      <c r="T137" s="46">
        <f>'LINEST VARS'!$U$68+'LINEST VARS'!$T$68*($T$128)+'LINEST VARS'!$S$68*($B137)+'LINEST VARS'!$R$68*(4)+'LINEST VARS'!$Q$68*(0.5)+'LINEST VARS'!$P$68*(12.73)+'LINEST VARS'!$O$68*($T$128^2)+'LINEST VARS'!$N$68*($B137^2)+'LINEST VARS'!$M$68*(4^2)+'LINEST VARS'!$L$68*(0.5^2)+'LINEST VARS'!$K$68*(12.73^2)+'LINEST VARS'!$J$68*($T$128*$B137)+'LINEST VARS'!$I$68*($T$128*4)+'LINEST VARS'!$H$68*($T$128*0.5)+'LINEST VARS'!$G$68*($T$128*12.73)+'LINEST VARS'!$F$68*($B137*4)+'LINEST VARS'!$E$68*($B137*0.5)+'LINEST VARS'!$D$68*($B137*12.73)+'LINEST VARS'!$C$68*(4*0.5)+'LINEST VARS'!$B$68*(4*12.73)+'LINEST VARS'!$A$68*(0.5*12.73)</f>
        <v>149</v>
      </c>
      <c r="U137" s="46">
        <f>'LINEST VARS'!$U$68+'LINEST VARS'!$T$68*($U$128)+'LINEST VARS'!$S$68*($B137)+'LINEST VARS'!$R$68*(4)+'LINEST VARS'!$Q$68*(0.5)+'LINEST VARS'!$P$68*(12.73)+'LINEST VARS'!$O$68*($U$128^2)+'LINEST VARS'!$N$68*($B137^2)+'LINEST VARS'!$M$68*(4^2)+'LINEST VARS'!$L$68*(0.5^2)+'LINEST VARS'!$K$68*(12.73^2)+'LINEST VARS'!$J$68*($U$128*$B137)+'LINEST VARS'!$I$68*($U$128*4)+'LINEST VARS'!$H$68*($U$128*0.5)+'LINEST VARS'!$G$68*($U$128*12.73)+'LINEST VARS'!$F$68*($B137*4)+'LINEST VARS'!$E$68*($B137*0.5)+'LINEST VARS'!$D$68*($B137*12.73)+'LINEST VARS'!$C$68*(4*0.5)+'LINEST VARS'!$B$68*(4*12.73)+'LINEST VARS'!$A$68*(0.5*12.73)</f>
        <v>149</v>
      </c>
      <c r="V137" s="46">
        <f>'LINEST VARS'!$U$68+'LINEST VARS'!$T$68*($V$128)+'LINEST VARS'!$S$68*($B137)+'LINEST VARS'!$R$68*(4)+'LINEST VARS'!$Q$68*(0.5)+'LINEST VARS'!$P$68*(12.73)+'LINEST VARS'!$O$68*($V$128^2)+'LINEST VARS'!$N$68*($B137^2)+'LINEST VARS'!$M$68*(4^2)+'LINEST VARS'!$L$68*(0.5^2)+'LINEST VARS'!$K$68*(12.73^2)+'LINEST VARS'!$J$68*($V$128*$B137)+'LINEST VARS'!$I$68*($V$128*4)+'LINEST VARS'!$H$68*($V$128*0.5)+'LINEST VARS'!$G$68*($V$128*12.73)+'LINEST VARS'!$F$68*($B137*4)+'LINEST VARS'!$E$68*($B137*0.5)+'LINEST VARS'!$D$68*($B137*12.73)+'LINEST VARS'!$C$68*(4*0.5)+'LINEST VARS'!$B$68*(4*12.73)+'LINEST VARS'!$A$68*(0.5*12.73)</f>
        <v>149</v>
      </c>
      <c r="W137" s="47">
        <f>'LINEST VARS'!$U$68+'LINEST VARS'!$T$68*($W$128)+'LINEST VARS'!$S$68*($B137)+'LINEST VARS'!$R$68*(4)+'LINEST VARS'!$Q$68*(0.5)+'LINEST VARS'!$P$68*(12.73)+'LINEST VARS'!$O$68*($W$128^2)+'LINEST VARS'!$N$68*($B137^2)+'LINEST VARS'!$M$68*(4^2)+'LINEST VARS'!$L$68*(0.5^2)+'LINEST VARS'!$K$68*(12.73^2)+'LINEST VARS'!$J$68*($W$128*$B137)+'LINEST VARS'!$I$68*($W$128*4)+'LINEST VARS'!$H$68*($W$128*0.5)+'LINEST VARS'!$G$68*($W$128*12.73)+'LINEST VARS'!$F$68*($B137*4)+'LINEST VARS'!$E$68*($B137*0.5)+'LINEST VARS'!$D$68*($B137*12.73)+'LINEST VARS'!$C$68*(4*0.5)+'LINEST VARS'!$B$68*(4*12.73)+'LINEST VARS'!$A$68*(0.5*12.73)</f>
        <v>149</v>
      </c>
      <c r="Z137" s="45">
        <v>7.88</v>
      </c>
      <c r="AA137" s="46">
        <f>'LINEST VARS'!$U$70+'LINEST VARS'!$T$70*($AA$128)+'LINEST VARS'!$S$70*($Z137)+'LINEST VARS'!$R$70*(4)+'LINEST VARS'!$Q$70*(0.5)+'LINEST VARS'!$P$70*(12.73)+'LINEST VARS'!$O$70*($AA$128^2)+'LINEST VARS'!$N$70*($Z137^2)+'LINEST VARS'!$M$70*(4^2)+'LINEST VARS'!$L$70*(0.5^2)+'LINEST VARS'!$K$70*(12.73^2)+'LINEST VARS'!$J$70*($AA$128*$Z137)+'LINEST VARS'!$I$70*($AA$128*4)+'LINEST VARS'!$H$70*($AA$128*0.5)+'LINEST VARS'!$G$70*($AA$128*12.73)+'LINEST VARS'!$F$70*($Z137*4)+'LINEST VARS'!$E$70*($Z137*0.5)+'LINEST VARS'!$D$70*($Z137*12.73)+'LINEST VARS'!$C$70*(4*0.5)+'LINEST VARS'!$B$70*(4*12.73)+'LINEST VARS'!$A$70*(0.5*12.73)</f>
        <v>87.820000000000036</v>
      </c>
      <c r="AB137" s="46">
        <f>'LINEST VARS'!$U$70+'LINEST VARS'!$T$70*($AB$128)+'LINEST VARS'!$S$70*($Z137)+'LINEST VARS'!$R$70*(4)+'LINEST VARS'!$Q$70*(0.5)+'LINEST VARS'!$P$70*(12.73)+'LINEST VARS'!$O$70*($AB$128^2)+'LINEST VARS'!$N$70*($Z137^2)+'LINEST VARS'!$M$70*(4^2)+'LINEST VARS'!$L$70*(0.5^2)+'LINEST VARS'!$K$70*(12.73^2)+'LINEST VARS'!$J$70*($AB$128*$Z137)+'LINEST VARS'!$I$70*($AB$128*4)+'LINEST VARS'!$H$70*($AB$128*0.5)+'LINEST VARS'!$G$70*($AB$128*12.73)+'LINEST VARS'!$F$70*($Z137*4)+'LINEST VARS'!$E$70*($Z137*0.5)+'LINEST VARS'!$D$70*($Z137*12.73)+'LINEST VARS'!$C$70*(4*0.5)+'LINEST VARS'!$B$70*(4*12.73)+'LINEST VARS'!$A$70*(0.5*12.73)</f>
        <v>87.820000000000036</v>
      </c>
      <c r="AC137" s="46">
        <f>'LINEST VARS'!$U$70+'LINEST VARS'!$T$70*($AC$128)+'LINEST VARS'!$S$70*($Z137)+'LINEST VARS'!$R$70*(4)+'LINEST VARS'!$Q$70*(0.5)+'LINEST VARS'!$P$70*(12.73)+'LINEST VARS'!$O$70*($AC$128^2)+'LINEST VARS'!$N$70*($Z137^2)+'LINEST VARS'!$M$70*(4^2)+'LINEST VARS'!$L$70*(0.5^2)+'LINEST VARS'!$K$70*(12.73^2)+'LINEST VARS'!$J$70*($AC$128*$Z137)+'LINEST VARS'!$I$70*($AC$128*4)+'LINEST VARS'!$H$70*($AC$128*0.5)+'LINEST VARS'!$G$70*($AC$128*12.73)+'LINEST VARS'!$F$70*($Z137*4)+'LINEST VARS'!$E$70*($Z137*0.5)+'LINEST VARS'!$D$70*($Z137*12.73)+'LINEST VARS'!$C$70*(4*0.5)+'LINEST VARS'!$B$70*(4*12.73)+'LINEST VARS'!$A$70*(0.5*12.73)</f>
        <v>87.820000000000036</v>
      </c>
      <c r="AD137" s="46">
        <f>'LINEST VARS'!$U$70+'LINEST VARS'!$T$70*($AD$128)+'LINEST VARS'!$S$70*($Z137)+'LINEST VARS'!$R$70*(4)+'LINEST VARS'!$Q$70*(0.5)+'LINEST VARS'!$P$70*(12.73)+'LINEST VARS'!$O$70*($AD$128^2)+'LINEST VARS'!$N$70*($Z137^2)+'LINEST VARS'!$M$70*(4^2)+'LINEST VARS'!$L$70*(0.5^2)+'LINEST VARS'!$K$70*(12.73^2)+'LINEST VARS'!$J$70*($AD$128*$Z137)+'LINEST VARS'!$I$70*($AD$128*4)+'LINEST VARS'!$H$70*($AD$128*0.5)+'LINEST VARS'!$G$70*($AD$128*12.73)+'LINEST VARS'!$F$70*($Z137*4)+'LINEST VARS'!$E$70*($Z137*0.5)+'LINEST VARS'!$D$70*($Z137*12.73)+'LINEST VARS'!$C$70*(4*0.5)+'LINEST VARS'!$B$70*(4*12.73)+'LINEST VARS'!$A$70*(0.5*12.73)</f>
        <v>87.820000000000036</v>
      </c>
      <c r="AE137" s="46">
        <f>'LINEST VARS'!$U$70+'LINEST VARS'!$T$70*($AE$128)+'LINEST VARS'!$S$70*($Z137)+'LINEST VARS'!$R$70*(4)+'LINEST VARS'!$Q$70*(0.5)+'LINEST VARS'!$P$70*(12.73)+'LINEST VARS'!$O$70*($AE$128^2)+'LINEST VARS'!$N$70*($Z137^2)+'LINEST VARS'!$M$70*(4^2)+'LINEST VARS'!$L$70*(0.5^2)+'LINEST VARS'!$K$70*(12.73^2)+'LINEST VARS'!$J$70*($AE$128*$Z137)+'LINEST VARS'!$I$70*($AE$128*4)+'LINEST VARS'!$H$70*($AE$128*0.5)+'LINEST VARS'!$G$70*($AE$128*12.73)+'LINEST VARS'!$F$70*($Z137*4)+'LINEST VARS'!$E$70*($Z137*0.5)+'LINEST VARS'!$D$70*($Z137*12.73)+'LINEST VARS'!$C$70*(4*0.5)+'LINEST VARS'!$B$70*(4*12.73)+'LINEST VARS'!$A$70*(0.5*12.73)</f>
        <v>87.820000000000036</v>
      </c>
      <c r="AF137" s="46">
        <f>'LINEST VARS'!$U$70+'LINEST VARS'!$T$70*($AF$128)+'LINEST VARS'!$S$70*($Z137)+'LINEST VARS'!$R$70*(4)+'LINEST VARS'!$Q$70*(0.5)+'LINEST VARS'!$P$70*(12.73)+'LINEST VARS'!$O$70*($AF$128^2)+'LINEST VARS'!$N$70*($Z137^2)+'LINEST VARS'!$M$70*(4^2)+'LINEST VARS'!$L$70*(0.5^2)+'LINEST VARS'!$K$70*(12.73^2)+'LINEST VARS'!$J$70*($AF$128*$Z137)+'LINEST VARS'!$I$70*($AF$128*4)+'LINEST VARS'!$H$70*($AF$128*0.5)+'LINEST VARS'!$G$70*($AF$128*12.73)+'LINEST VARS'!$F$70*($Z137*4)+'LINEST VARS'!$E$70*($Z137*0.5)+'LINEST VARS'!$D$70*($Z137*12.73)+'LINEST VARS'!$C$70*(4*0.5)+'LINEST VARS'!$B$70*(4*12.73)+'LINEST VARS'!$A$70*(0.5*12.73)</f>
        <v>87.820000000000007</v>
      </c>
      <c r="AG137" s="46">
        <f>'LINEST VARS'!$U$70+'LINEST VARS'!$T$70*($AG$128)+'LINEST VARS'!$S$70*($Z137)+'LINEST VARS'!$R$70*(4)+'LINEST VARS'!$Q$70*(0.5)+'LINEST VARS'!$P$70*(12.73)+'LINEST VARS'!$O$70*($AG$128^2)+'LINEST VARS'!$N$70*($Z137^2)+'LINEST VARS'!$M$70*(4^2)+'LINEST VARS'!$L$70*(0.5^2)+'LINEST VARS'!$K$70*(12.73^2)+'LINEST VARS'!$J$70*($AG$128*$Z137)+'LINEST VARS'!$I$70*($AG$128*4)+'LINEST VARS'!$H$70*($AG$128*0.5)+'LINEST VARS'!$G$70*($AG$128*12.73)+'LINEST VARS'!$F$70*($Z137*4)+'LINEST VARS'!$E$70*($Z137*0.5)+'LINEST VARS'!$D$70*($Z137*12.73)+'LINEST VARS'!$C$70*(4*0.5)+'LINEST VARS'!$B$70*(4*12.73)+'LINEST VARS'!$A$70*(0.5*12.73)</f>
        <v>87.820000000000007</v>
      </c>
      <c r="AH137" s="46">
        <f>'LINEST VARS'!$U$70+'LINEST VARS'!$T$70*($AH$128)+'LINEST VARS'!$S$70*($Z137)+'LINEST VARS'!$R$70*(4)+'LINEST VARS'!$Q$70*(0.5)+'LINEST VARS'!$P$70*(12.73)+'LINEST VARS'!$O$70*($AH$128^2)+'LINEST VARS'!$N$70*($Z137^2)+'LINEST VARS'!$M$70*(4^2)+'LINEST VARS'!$L$70*(0.5^2)+'LINEST VARS'!$K$70*(12.73^2)+'LINEST VARS'!$J$70*($AH$128*$Z137)+'LINEST VARS'!$I$70*($AH$128*4)+'LINEST VARS'!$H$70*($AH$128*0.5)+'LINEST VARS'!$G$70*($AH$128*12.73)+'LINEST VARS'!$F$70*($Z137*4)+'LINEST VARS'!$E$70*($Z137*0.5)+'LINEST VARS'!$D$70*($Z137*12.73)+'LINEST VARS'!$C$70*(4*0.5)+'LINEST VARS'!$B$70*(4*12.73)+'LINEST VARS'!$A$70*(0.5*12.73)</f>
        <v>87.820000000000007</v>
      </c>
      <c r="AI137" s="46">
        <f>'LINEST VARS'!$U$70+'LINEST VARS'!$T$70*($AI$128)+'LINEST VARS'!$S$70*($Z137)+'LINEST VARS'!$R$70*(4)+'LINEST VARS'!$Q$70*(0.5)+'LINEST VARS'!$P$70*(12.73)+'LINEST VARS'!$O$70*($AI$128^2)+'LINEST VARS'!$N$70*($Z137^2)+'LINEST VARS'!$M$70*(4^2)+'LINEST VARS'!$L$70*(0.5^2)+'LINEST VARS'!$K$70*(12.73^2)+'LINEST VARS'!$J$70*($AI$128*$Z137)+'LINEST VARS'!$I$70*($AI$128*4)+'LINEST VARS'!$H$70*($AI$128*0.5)+'LINEST VARS'!$G$70*($AI$128*12.73)+'LINEST VARS'!$F$70*($Z137*4)+'LINEST VARS'!$E$70*($Z137*0.5)+'LINEST VARS'!$D$70*($Z137*12.73)+'LINEST VARS'!$C$70*(4*0.5)+'LINEST VARS'!$B$70*(4*12.73)+'LINEST VARS'!$A$70*(0.5*12.73)</f>
        <v>87.820000000000007</v>
      </c>
      <c r="AJ137" s="46">
        <f>'LINEST VARS'!$U$70+'LINEST VARS'!$T$70*($AJ$128)+'LINEST VARS'!$S$70*($Z137)+'LINEST VARS'!$R$70*(4)+'LINEST VARS'!$Q$70*(0.5)+'LINEST VARS'!$P$70*(12.73)+'LINEST VARS'!$O$70*($AJ$128^2)+'LINEST VARS'!$N$70*($Z137^2)+'LINEST VARS'!$M$70*(4^2)+'LINEST VARS'!$L$70*(0.5^2)+'LINEST VARS'!$K$70*(12.73^2)+'LINEST VARS'!$J$70*($AJ$128*$Z137)+'LINEST VARS'!$I$70*($AJ$128*4)+'LINEST VARS'!$H$70*($AJ$128*0.5)+'LINEST VARS'!$G$70*($AJ$128*12.73)+'LINEST VARS'!$F$70*($Z137*4)+'LINEST VARS'!$E$70*($Z137*0.5)+'LINEST VARS'!$D$70*($Z137*12.73)+'LINEST VARS'!$C$70*(4*0.5)+'LINEST VARS'!$B$70*(4*12.73)+'LINEST VARS'!$A$70*(0.5*12.73)</f>
        <v>87.820000000000007</v>
      </c>
      <c r="AK137" s="46">
        <f>'LINEST VARS'!$U$70+'LINEST VARS'!$T$70*($AK$128)+'LINEST VARS'!$S$70*($Z137)+'LINEST VARS'!$R$70*(4)+'LINEST VARS'!$Q$70*(0.5)+'LINEST VARS'!$P$70*(12.73)+'LINEST VARS'!$O$70*($AK$128^2)+'LINEST VARS'!$N$70*($Z137^2)+'LINEST VARS'!$M$70*(4^2)+'LINEST VARS'!$L$70*(0.5^2)+'LINEST VARS'!$K$70*(12.73^2)+'LINEST VARS'!$J$70*($AK$128*$Z137)+'LINEST VARS'!$I$70*($AK$128*4)+'LINEST VARS'!$H$70*($AK$128*0.5)+'LINEST VARS'!$G$70*($AK$128*12.73)+'LINEST VARS'!$F$70*($Z137*4)+'LINEST VARS'!$E$70*($Z137*0.5)+'LINEST VARS'!$D$70*($Z137*12.73)+'LINEST VARS'!$C$70*(4*0.5)+'LINEST VARS'!$B$70*(4*12.73)+'LINEST VARS'!$A$70*(0.5*12.73)</f>
        <v>87.820000000000007</v>
      </c>
      <c r="AL137" s="46">
        <f>'LINEST VARS'!$U$70+'LINEST VARS'!$T$70*($AL$128)+'LINEST VARS'!$S$70*($Z137)+'LINEST VARS'!$R$70*(4)+'LINEST VARS'!$Q$70*(0.5)+'LINEST VARS'!$P$70*(12.73)+'LINEST VARS'!$O$70*($AL$128^2)+'LINEST VARS'!$N$70*($Z137^2)+'LINEST VARS'!$M$70*(4^2)+'LINEST VARS'!$L$70*(0.5^2)+'LINEST VARS'!$K$70*(12.73^2)+'LINEST VARS'!$J$70*($AL$128*$Z137)+'LINEST VARS'!$I$70*($AL$128*4)+'LINEST VARS'!$H$70*($AL$128*0.5)+'LINEST VARS'!$G$70*($AL$128*12.73)+'LINEST VARS'!$F$70*($Z137*4)+'LINEST VARS'!$E$70*($Z137*0.5)+'LINEST VARS'!$D$70*($Z137*12.73)+'LINEST VARS'!$C$70*(4*0.5)+'LINEST VARS'!$B$70*(4*12.73)+'LINEST VARS'!$A$70*(0.5*12.73)</f>
        <v>87.820000000000007</v>
      </c>
      <c r="AM137" s="46">
        <f>'LINEST VARS'!$U$70+'LINEST VARS'!$T$70*($AM$128)+'LINEST VARS'!$S$70*($Z137)+'LINEST VARS'!$R$70*(4)+'LINEST VARS'!$Q$70*(0.5)+'LINEST VARS'!$P$70*(12.73)+'LINEST VARS'!$O$70*($AM$128^2)+'LINEST VARS'!$N$70*($Z137^2)+'LINEST VARS'!$M$70*(4^2)+'LINEST VARS'!$L$70*(0.5^2)+'LINEST VARS'!$K$70*(12.73^2)+'LINEST VARS'!$J$70*($AM$128*$Z137)+'LINEST VARS'!$I$70*($AM$128*4)+'LINEST VARS'!$H$70*($AM$128*0.5)+'LINEST VARS'!$G$70*($AM$128*12.73)+'LINEST VARS'!$F$70*($Z137*4)+'LINEST VARS'!$E$70*($Z137*0.5)+'LINEST VARS'!$D$70*($Z137*12.73)+'LINEST VARS'!$C$70*(4*0.5)+'LINEST VARS'!$B$70*(4*12.73)+'LINEST VARS'!$A$70*(0.5*12.73)</f>
        <v>87.820000000000007</v>
      </c>
      <c r="AN137" s="46">
        <f>'LINEST VARS'!$U$70+'LINEST VARS'!$T$70*($AN$128)+'LINEST VARS'!$S$70*($Z137)+'LINEST VARS'!$R$70*(4)+'LINEST VARS'!$Q$70*(0.5)+'LINEST VARS'!$P$70*(12.73)+'LINEST VARS'!$O$70*($AN$128^2)+'LINEST VARS'!$N$70*($Z137^2)+'LINEST VARS'!$M$70*(4^2)+'LINEST VARS'!$L$70*(0.5^2)+'LINEST VARS'!$K$70*(12.73^2)+'LINEST VARS'!$J$70*($AN$128*$Z137)+'LINEST VARS'!$I$70*($AN$128*4)+'LINEST VARS'!$H$70*($AN$128*0.5)+'LINEST VARS'!$G$70*($AN$128*12.73)+'LINEST VARS'!$F$70*($Z137*4)+'LINEST VARS'!$E$70*($Z137*0.5)+'LINEST VARS'!$D$70*($Z137*12.73)+'LINEST VARS'!$C$70*(4*0.5)+'LINEST VARS'!$B$70*(4*12.73)+'LINEST VARS'!$A$70*(0.5*12.73)</f>
        <v>87.820000000000007</v>
      </c>
      <c r="AO137" s="46">
        <f>'LINEST VARS'!$U$70+'LINEST VARS'!$T$70*($AO$128)+'LINEST VARS'!$S$70*($Z137)+'LINEST VARS'!$R$70*(4)+'LINEST VARS'!$Q$70*(0.5)+'LINEST VARS'!$P$70*(12.73)+'LINEST VARS'!$O$70*($AO$128^2)+'LINEST VARS'!$N$70*($Z137^2)+'LINEST VARS'!$M$70*(4^2)+'LINEST VARS'!$L$70*(0.5^2)+'LINEST VARS'!$K$70*(12.73^2)+'LINEST VARS'!$J$70*($AO$128*$Z137)+'LINEST VARS'!$I$70*($AO$128*4)+'LINEST VARS'!$H$70*($AO$128*0.5)+'LINEST VARS'!$G$70*($AO$128*12.73)+'LINEST VARS'!$F$70*($Z137*4)+'LINEST VARS'!$E$70*($Z137*0.5)+'LINEST VARS'!$D$70*($Z137*12.73)+'LINEST VARS'!$C$70*(4*0.5)+'LINEST VARS'!$B$70*(4*12.73)+'LINEST VARS'!$A$70*(0.5*12.73)</f>
        <v>87.820000000000007</v>
      </c>
      <c r="AP137" s="46">
        <f>'LINEST VARS'!$U$70+'LINEST VARS'!$T$70*($AP$128)+'LINEST VARS'!$S$70*($Z137)+'LINEST VARS'!$R$70*(4)+'LINEST VARS'!$Q$70*(0.5)+'LINEST VARS'!$P$70*(12.73)+'LINEST VARS'!$O$70*($AP$128^2)+'LINEST VARS'!$N$70*($Z137^2)+'LINEST VARS'!$M$70*(4^2)+'LINEST VARS'!$L$70*(0.5^2)+'LINEST VARS'!$K$70*(12.73^2)+'LINEST VARS'!$J$70*($AP$128*$Z137)+'LINEST VARS'!$I$70*($AP$128*4)+'LINEST VARS'!$H$70*($AP$128*0.5)+'LINEST VARS'!$G$70*($AP$128*12.73)+'LINEST VARS'!$F$70*($Z137*4)+'LINEST VARS'!$E$70*($Z137*0.5)+'LINEST VARS'!$D$70*($Z137*12.73)+'LINEST VARS'!$C$70*(4*0.5)+'LINEST VARS'!$B$70*(4*12.73)+'LINEST VARS'!$A$70*(0.5*12.73)</f>
        <v>87.820000000000007</v>
      </c>
      <c r="AQ137" s="46">
        <f>'LINEST VARS'!$U$70+'LINEST VARS'!$T$70*($AQ$128)+'LINEST VARS'!$S$70*($Z137)+'LINEST VARS'!$R$70*(4)+'LINEST VARS'!$Q$70*(0.5)+'LINEST VARS'!$P$70*(12.73)+'LINEST VARS'!$O$70*($AQ$128^2)+'LINEST VARS'!$N$70*($Z137^2)+'LINEST VARS'!$M$70*(4^2)+'LINEST VARS'!$L$70*(0.5^2)+'LINEST VARS'!$K$70*(12.73^2)+'LINEST VARS'!$J$70*($AQ$128*$Z137)+'LINEST VARS'!$I$70*($AQ$128*4)+'LINEST VARS'!$H$70*($AQ$128*0.5)+'LINEST VARS'!$G$70*($AQ$128*12.73)+'LINEST VARS'!$F$70*($Z137*4)+'LINEST VARS'!$E$70*($Z137*0.5)+'LINEST VARS'!$D$70*($Z137*12.73)+'LINEST VARS'!$C$70*(4*0.5)+'LINEST VARS'!$B$70*(4*12.73)+'LINEST VARS'!$A$70*(0.5*12.73)</f>
        <v>87.820000000000007</v>
      </c>
      <c r="AR137" s="46">
        <f>'LINEST VARS'!$U$70+'LINEST VARS'!$T$70*($AR$128)+'LINEST VARS'!$S$70*($Z137)+'LINEST VARS'!$R$70*(4)+'LINEST VARS'!$Q$70*(0.5)+'LINEST VARS'!$P$70*(12.73)+'LINEST VARS'!$O$70*($AR$128^2)+'LINEST VARS'!$N$70*($Z137^2)+'LINEST VARS'!$M$70*(4^2)+'LINEST VARS'!$L$70*(0.5^2)+'LINEST VARS'!$K$70*(12.73^2)+'LINEST VARS'!$J$70*($AR$128*$Z137)+'LINEST VARS'!$I$70*($AR$128*4)+'LINEST VARS'!$H$70*($AR$128*0.5)+'LINEST VARS'!$G$70*($AR$128*12.73)+'LINEST VARS'!$F$70*($Z137*4)+'LINEST VARS'!$E$70*($Z137*0.5)+'LINEST VARS'!$D$70*($Z137*12.73)+'LINEST VARS'!$C$70*(4*0.5)+'LINEST VARS'!$B$70*(4*12.73)+'LINEST VARS'!$A$70*(0.5*12.73)</f>
        <v>87.820000000000007</v>
      </c>
      <c r="AS137" s="46">
        <f>'LINEST VARS'!$U$70+'LINEST VARS'!$T$70*($AS$128)+'LINEST VARS'!$S$70*($Z137)+'LINEST VARS'!$R$70*(4)+'LINEST VARS'!$Q$70*(0.5)+'LINEST VARS'!$P$70*(12.73)+'LINEST VARS'!$O$70*($AS$128^2)+'LINEST VARS'!$N$70*($Z137^2)+'LINEST VARS'!$M$70*(4^2)+'LINEST VARS'!$L$70*(0.5^2)+'LINEST VARS'!$K$70*(12.73^2)+'LINEST VARS'!$J$70*($AS$128*$Z137)+'LINEST VARS'!$I$70*($AS$128*4)+'LINEST VARS'!$H$70*($AS$128*0.5)+'LINEST VARS'!$G$70*($AS$128*12.73)+'LINEST VARS'!$F$70*($Z137*4)+'LINEST VARS'!$E$70*($Z137*0.5)+'LINEST VARS'!$D$70*($Z137*12.73)+'LINEST VARS'!$C$70*(4*0.5)+'LINEST VARS'!$B$70*(4*12.73)+'LINEST VARS'!$A$70*(0.5*12.73)</f>
        <v>87.820000000000007</v>
      </c>
      <c r="AT137" s="46">
        <f>'LINEST VARS'!$U$70+'LINEST VARS'!$T$70*($AT$128)+'LINEST VARS'!$S$70*($Z137)+'LINEST VARS'!$R$70*(4)+'LINEST VARS'!$Q$70*(0.5)+'LINEST VARS'!$P$70*(12.73)+'LINEST VARS'!$O$70*($AT$128^2)+'LINEST VARS'!$N$70*($Z137^2)+'LINEST VARS'!$M$70*(4^2)+'LINEST VARS'!$L$70*(0.5^2)+'LINEST VARS'!$K$70*(12.73^2)+'LINEST VARS'!$J$70*($AT$128*$Z137)+'LINEST VARS'!$I$70*($AT$128*4)+'LINEST VARS'!$H$70*($AT$128*0.5)+'LINEST VARS'!$G$70*($AT$128*12.73)+'LINEST VARS'!$F$70*($Z137*4)+'LINEST VARS'!$E$70*($Z137*0.5)+'LINEST VARS'!$D$70*($Z137*12.73)+'LINEST VARS'!$C$70*(4*0.5)+'LINEST VARS'!$B$70*(4*12.73)+'LINEST VARS'!$A$70*(0.5*12.73)</f>
        <v>87.820000000000007</v>
      </c>
      <c r="AU137" s="47">
        <f>'LINEST VARS'!$U$70+'LINEST VARS'!$T$70*($AU$128)+'LINEST VARS'!$S$70*($Z137)+'LINEST VARS'!$R$70*(4)+'LINEST VARS'!$Q$70*(0.5)+'LINEST VARS'!$P$70*(12.73)+'LINEST VARS'!$O$70*($AU$128^2)+'LINEST VARS'!$N$70*($Z137^2)+'LINEST VARS'!$M$70*(4^2)+'LINEST VARS'!$L$70*(0.5^2)+'LINEST VARS'!$K$70*(12.73^2)+'LINEST VARS'!$J$70*($AU$128*$Z137)+'LINEST VARS'!$I$70*($AU$128*4)+'LINEST VARS'!$H$70*($AU$128*0.5)+'LINEST VARS'!$G$70*($AU$128*12.73)+'LINEST VARS'!$F$70*($Z137*4)+'LINEST VARS'!$E$70*($Z137*0.5)+'LINEST VARS'!$D$70*($Z137*12.73)+'LINEST VARS'!$C$70*(4*0.5)+'LINEST VARS'!$B$70*(4*12.73)+'LINEST VARS'!$A$70*(0.5*12.73)</f>
        <v>87.820000000000007</v>
      </c>
      <c r="AZ137" s="45">
        <v>0.4</v>
      </c>
      <c r="BA137" s="46">
        <f>'LINEST VARS'!$U$68+'LINEST VARS'!$T$68*(8)+'LINEST VARS'!$S$68*(8)+'LINEST VARS'!$R$68*($BA$128)+'LINEST VARS'!$Q$68*($AZ137)+'LINEST VARS'!$P$68*(12.73)+'LINEST VARS'!$O$68*(8^2)+'LINEST VARS'!$N$68*(8^2)+'LINEST VARS'!$M$68*($BA$128^2)+'LINEST VARS'!$L$68*($AZ137^2)+'LINEST VARS'!$K$68*(12.73^2)+'LINEST VARS'!$J$68*(8*8)+'LINEST VARS'!$I$68*(8*$BA$128)+'LINEST VARS'!$H$68*(8*$AZ137)+'LINEST VARS'!$G$68*(8*12.73)+'LINEST VARS'!$F$68*(8*$BA$128)+'LINEST VARS'!$E$68*(8*$AZ137)+'LINEST VARS'!$D$68*(8*12.73)+'LINEST VARS'!$C$68*($BA$128*$AZ137)+'LINEST VARS'!$B$68*($BA$128*12.73)+'LINEST VARS'!$A$68*($AZ137*12.73)</f>
        <v>149.36000000000001</v>
      </c>
      <c r="BB137" s="46">
        <f>'LINEST VARS'!$U$68+'LINEST VARS'!$T$68*(8)+'LINEST VARS'!$S$68*(8)+'LINEST VARS'!$R$68*($BB$128)+'LINEST VARS'!$Q$68*($AZ137)+'LINEST VARS'!$P$68*(12.73)+'LINEST VARS'!$O$68*(8^2)+'LINEST VARS'!$N$68*(8^2)+'LINEST VARS'!$M$68*($BB$128^2)+'LINEST VARS'!$L$68*($AZ137^2)+'LINEST VARS'!$K$68*(12.73^2)+'LINEST VARS'!$J$68*(8*8)+'LINEST VARS'!$I$68*(8*$BB$128)+'LINEST VARS'!$H$68*(8*$AZ137)+'LINEST VARS'!$G$68*(8*12.73)+'LINEST VARS'!$F$68*(8*$BB$128)+'LINEST VARS'!$E$68*(8*$AZ137)+'LINEST VARS'!$D$68*(8*12.73)+'LINEST VARS'!$C$68*($BB$128*$AZ137)+'LINEST VARS'!$B$68*($BB$128*12.73)+'LINEST VARS'!$A$68*($AZ137*12.73)</f>
        <v>149.36000000000001</v>
      </c>
      <c r="BC137" s="46">
        <f>'LINEST VARS'!$U$68+'LINEST VARS'!$T$68*(8)+'LINEST VARS'!$S$68*(8)+'LINEST VARS'!$R$68*($BC$128)+'LINEST VARS'!$Q$68*($AZ137)+'LINEST VARS'!$P$68*(12.73)+'LINEST VARS'!$O$68*(8^2)+'LINEST VARS'!$N$68*(8^2)+'LINEST VARS'!$M$68*($BC$128^2)+'LINEST VARS'!$L$68*($AZ137^2)+'LINEST VARS'!$K$68*(12.73^2)+'LINEST VARS'!$J$68*(8*8)+'LINEST VARS'!$I$68*(8*$BC$128)+'LINEST VARS'!$H$68*(8*$AZ137)+'LINEST VARS'!$G$68*(8*12.73)+'LINEST VARS'!$F$68*(8*$BC$128)+'LINEST VARS'!$E$68*(8*$AZ137)+'LINEST VARS'!$D$68*(8*12.73)+'LINEST VARS'!$C$68*($BC$128*$AZ137)+'LINEST VARS'!$B$68*($BC$128*12.73)+'LINEST VARS'!$A$68*($AZ137*12.73)</f>
        <v>149.36000000000001</v>
      </c>
      <c r="BD137" s="46">
        <f>'LINEST VARS'!$U$68+'LINEST VARS'!$T$68*(8)+'LINEST VARS'!$S$68*(8)+'LINEST VARS'!$R$68*($BD$128)+'LINEST VARS'!$Q$68*($AZ137)+'LINEST VARS'!$P$68*(12.73)+'LINEST VARS'!$O$68*(8^2)+'LINEST VARS'!$N$68*(8^2)+'LINEST VARS'!$M$68*($BD$128^2)+'LINEST VARS'!$L$68*($AZ137^2)+'LINEST VARS'!$K$68*(12.73^2)+'LINEST VARS'!$J$68*(8*8)+'LINEST VARS'!$I$68*(8*$BD$128)+'LINEST VARS'!$H$68*(8*$AZ137)+'LINEST VARS'!$G$68*(8*12.73)+'LINEST VARS'!$F$68*(8*$BD$128)+'LINEST VARS'!$E$68*(8*$AZ137)+'LINEST VARS'!$D$68*(8*12.73)+'LINEST VARS'!$C$68*($BD$128*$AZ137)+'LINEST VARS'!$B$68*($BD$128*12.73)+'LINEST VARS'!$A$68*($AZ137*12.73)</f>
        <v>149.36000000000001</v>
      </c>
      <c r="BE137" s="46">
        <f>'LINEST VARS'!$U$68+'LINEST VARS'!$T$68*(8)+'LINEST VARS'!$S$68*(8)+'LINEST VARS'!$R$68*($BE$128)+'LINEST VARS'!$Q$68*($AZ137)+'LINEST VARS'!$P$68*(12.73)+'LINEST VARS'!$O$68*(8^2)+'LINEST VARS'!$N$68*(8^2)+'LINEST VARS'!$M$68*($BE$128^2)+'LINEST VARS'!$L$68*($AZ137^2)+'LINEST VARS'!$K$68*(12.73^2)+'LINEST VARS'!$J$68*(8*8)+'LINEST VARS'!$I$68*(8*$BE$128)+'LINEST VARS'!$H$68*(8*$AZ137)+'LINEST VARS'!$G$68*(8*12.73)+'LINEST VARS'!$F$68*(8*$BE$128)+'LINEST VARS'!$E$68*(8*$AZ137)+'LINEST VARS'!$D$68*(8*12.73)+'LINEST VARS'!$C$68*($BE$128*$AZ137)+'LINEST VARS'!$B$68*($BE$128*12.73)+'LINEST VARS'!$A$68*($AZ137*12.73)</f>
        <v>149.36000000000001</v>
      </c>
      <c r="BF137" s="46">
        <f>'LINEST VARS'!$U$68+'LINEST VARS'!$T$68*(8)+'LINEST VARS'!$S$68*(8)+'LINEST VARS'!$R$68*($BF$128)+'LINEST VARS'!$Q$68*($AZ137)+'LINEST VARS'!$P$68*(12.73)+'LINEST VARS'!$O$68*(8^2)+'LINEST VARS'!$N$68*(8^2)+'LINEST VARS'!$M$68*($BF$128^2)+'LINEST VARS'!$L$68*($AZ137^2)+'LINEST VARS'!$K$68*(12.73^2)+'LINEST VARS'!$J$68*(8*8)+'LINEST VARS'!$I$68*(8*$BF$128)+'LINEST VARS'!$H$68*(8*$AZ137)+'LINEST VARS'!$G$68*(8*12.73)+'LINEST VARS'!$F$68*(8*$BF$128)+'LINEST VARS'!$E$68*(8*$AZ137)+'LINEST VARS'!$D$68*(8*12.73)+'LINEST VARS'!$C$68*($BF$128*$AZ137)+'LINEST VARS'!$B$68*($BF$128*12.73)+'LINEST VARS'!$A$68*($AZ137*12.73)</f>
        <v>149.36000000000001</v>
      </c>
      <c r="BG137" s="46">
        <f>'LINEST VARS'!$U$68+'LINEST VARS'!$T$68*(8)+'LINEST VARS'!$S$68*(8)+'LINEST VARS'!$R$68*($BG$128)+'LINEST VARS'!$Q$68*($AZ137)+'LINEST VARS'!$P$68*(12.73)+'LINEST VARS'!$O$68*(8^2)+'LINEST VARS'!$N$68*(8^2)+'LINEST VARS'!$M$68*($BG$128^2)+'LINEST VARS'!$L$68*($AZ137^2)+'LINEST VARS'!$K$68*(12.73^2)+'LINEST VARS'!$J$68*(8*8)+'LINEST VARS'!$I$68*(8*$BG$128)+'LINEST VARS'!$H$68*(8*$AZ137)+'LINEST VARS'!$G$68*(8*12.73)+'LINEST VARS'!$F$68*(8*$BG$128)+'LINEST VARS'!$E$68*(8*$AZ137)+'LINEST VARS'!$D$68*(8*12.73)+'LINEST VARS'!$C$68*($BG$128*$AZ137)+'LINEST VARS'!$B$68*($BG$128*12.73)+'LINEST VARS'!$A$68*($AZ137*12.73)</f>
        <v>149.36000000000001</v>
      </c>
      <c r="BH137" s="46">
        <f>'LINEST VARS'!$U$68+'LINEST VARS'!$T$68*(8)+'LINEST VARS'!$S$68*(8)+'LINEST VARS'!$R$68*($BH$128)+'LINEST VARS'!$Q$68*($AZ137)+'LINEST VARS'!$P$68*(12.73)+'LINEST VARS'!$O$68*(8^2)+'LINEST VARS'!$N$68*(8^2)+'LINEST VARS'!$M$68*($BH$128^2)+'LINEST VARS'!$L$68*($AZ137^2)+'LINEST VARS'!$K$68*(12.73^2)+'LINEST VARS'!$J$68*(8*8)+'LINEST VARS'!$I$68*(8*$BH$128)+'LINEST VARS'!$H$68*(8*$AZ137)+'LINEST VARS'!$G$68*(8*12.73)+'LINEST VARS'!$F$68*(8*$BH$128)+'LINEST VARS'!$E$68*(8*$AZ137)+'LINEST VARS'!$D$68*(8*12.73)+'LINEST VARS'!$C$68*($BH$128*$AZ137)+'LINEST VARS'!$B$68*($BH$128*12.73)+'LINEST VARS'!$A$68*($AZ137*12.73)</f>
        <v>149.36000000000001</v>
      </c>
      <c r="BI137" s="46">
        <f>'LINEST VARS'!$U$68+'LINEST VARS'!$T$68*(8)+'LINEST VARS'!$S$68*(8)+'LINEST VARS'!$R$68*($BI$128)+'LINEST VARS'!$Q$68*($AZ137)+'LINEST VARS'!$P$68*(12.73)+'LINEST VARS'!$O$68*(8^2)+'LINEST VARS'!$N$68*(8^2)+'LINEST VARS'!$M$68*($BI$128^2)+'LINEST VARS'!$L$68*($AZ137^2)+'LINEST VARS'!$K$68*(12.73^2)+'LINEST VARS'!$J$68*(8*8)+'LINEST VARS'!$I$68*(8*$BI$128)+'LINEST VARS'!$H$68*(8*$AZ137)+'LINEST VARS'!$G$68*(8*12.73)+'LINEST VARS'!$F$68*(8*$BI$128)+'LINEST VARS'!$E$68*(8*$AZ137)+'LINEST VARS'!$D$68*(8*12.73)+'LINEST VARS'!$C$68*($BI$128*$AZ137)+'LINEST VARS'!$B$68*($BI$128*12.73)+'LINEST VARS'!$A$68*($AZ137*12.73)</f>
        <v>149.36000000000001</v>
      </c>
      <c r="BJ137" s="46">
        <f>'LINEST VARS'!$U$68+'LINEST VARS'!$T$68*(8)+'LINEST VARS'!$S$68*(8)+'LINEST VARS'!$R$68*($BJ$128)+'LINEST VARS'!$Q$68*($AZ137)+'LINEST VARS'!$P$68*(12.73)+'LINEST VARS'!$O$68*(8^2)+'LINEST VARS'!$N$68*(8^2)+'LINEST VARS'!$M$68*($BJ$128^2)+'LINEST VARS'!$L$68*($AZ137^2)+'LINEST VARS'!$K$68*(12.73^2)+'LINEST VARS'!$J$68*(8*8)+'LINEST VARS'!$I$68*(8*$BJ$128)+'LINEST VARS'!$H$68*(8*$AZ137)+'LINEST VARS'!$G$68*(8*12.73)+'LINEST VARS'!$F$68*(8*$BJ$128)+'LINEST VARS'!$E$68*(8*$AZ137)+'LINEST VARS'!$D$68*(8*12.73)+'LINEST VARS'!$C$68*($BJ$128*$AZ137)+'LINEST VARS'!$B$68*($BJ$128*12.73)+'LINEST VARS'!$A$68*($AZ137*12.73)</f>
        <v>149.36000000000001</v>
      </c>
      <c r="BK137" s="46">
        <f>'LINEST VARS'!$U$68+'LINEST VARS'!$T$68*(8)+'LINEST VARS'!$S$68*(8)+'LINEST VARS'!$R$68*($BK$128)+'LINEST VARS'!$Q$68*($AZ137)+'LINEST VARS'!$P$68*(12.73)+'LINEST VARS'!$O$68*(8^2)+'LINEST VARS'!$N$68*(8^2)+'LINEST VARS'!$M$68*($BK$128^2)+'LINEST VARS'!$L$68*($AZ137^2)+'LINEST VARS'!$K$68*(12.73^2)+'LINEST VARS'!$J$68*(8*8)+'LINEST VARS'!$I$68*(8*$BK$128)+'LINEST VARS'!$H$68*(8*$AZ137)+'LINEST VARS'!$G$68*(8*12.73)+'LINEST VARS'!$F$68*(8*$BK$128)+'LINEST VARS'!$E$68*(8*$AZ137)+'LINEST VARS'!$D$68*(8*12.73)+'LINEST VARS'!$C$68*($BK$128*$AZ137)+'LINEST VARS'!$B$68*($BK$128*12.73)+'LINEST VARS'!$A$68*($AZ137*12.73)</f>
        <v>149.36000000000001</v>
      </c>
      <c r="BL137" s="46">
        <f>'LINEST VARS'!$U$68+'LINEST VARS'!$T$68*(8)+'LINEST VARS'!$S$68*(8)+'LINEST VARS'!$R$68*($BL$128)+'LINEST VARS'!$Q$68*($AZ137)+'LINEST VARS'!$P$68*(12.73)+'LINEST VARS'!$O$68*(8^2)+'LINEST VARS'!$N$68*(8^2)+'LINEST VARS'!$M$68*($BL$128^2)+'LINEST VARS'!$L$68*($AZ137^2)+'LINEST VARS'!$K$68*(12.73^2)+'LINEST VARS'!$J$68*(8*8)+'LINEST VARS'!$I$68*(8*$BL$128)+'LINEST VARS'!$H$68*(8*$AZ137)+'LINEST VARS'!$G$68*(8*12.73)+'LINEST VARS'!$F$68*(8*$BL$128)+'LINEST VARS'!$E$68*(8*$AZ137)+'LINEST VARS'!$D$68*(8*12.73)+'LINEST VARS'!$C$68*($BL$128*$AZ137)+'LINEST VARS'!$B$68*($BL$128*12.73)+'LINEST VARS'!$A$68*($AZ137*12.73)</f>
        <v>149.36000000000001</v>
      </c>
      <c r="BM137" s="46">
        <f>'LINEST VARS'!$U$68+'LINEST VARS'!$T$68*(8)+'LINEST VARS'!$S$68*(8)+'LINEST VARS'!$R$68*($BM$128)+'LINEST VARS'!$Q$68*($AZ137)+'LINEST VARS'!$P$68*(12.73)+'LINEST VARS'!$O$68*(8^2)+'LINEST VARS'!$N$68*(8^2)+'LINEST VARS'!$M$68*($BM$128^2)+'LINEST VARS'!$L$68*($AZ137^2)+'LINEST VARS'!$K$68*(12.73^2)+'LINEST VARS'!$J$68*(8*8)+'LINEST VARS'!$I$68*(8*$BM$128)+'LINEST VARS'!$H$68*(8*$AZ137)+'LINEST VARS'!$G$68*(8*12.73)+'LINEST VARS'!$F$68*(8*$BM$128)+'LINEST VARS'!$E$68*(8*$AZ137)+'LINEST VARS'!$D$68*(8*12.73)+'LINEST VARS'!$C$68*($BM$128*$AZ137)+'LINEST VARS'!$B$68*($BM$128*12.73)+'LINEST VARS'!$A$68*($AZ137*12.73)</f>
        <v>149.36000000000001</v>
      </c>
      <c r="BN137" s="46">
        <f>'LINEST VARS'!$U$68+'LINEST VARS'!$T$68*(8)+'LINEST VARS'!$S$68*(8)+'LINEST VARS'!$R$68*($BN$128)+'LINEST VARS'!$Q$68*($AZ137)+'LINEST VARS'!$P$68*(12.73)+'LINEST VARS'!$O$68*(8^2)+'LINEST VARS'!$N$68*(8^2)+'LINEST VARS'!$M$68*($BN$128^2)+'LINEST VARS'!$L$68*($AZ137^2)+'LINEST VARS'!$K$68*(12.73^2)+'LINEST VARS'!$J$68*(8*8)+'LINEST VARS'!$I$68*(8*$BN$128)+'LINEST VARS'!$H$68*(8*$AZ137)+'LINEST VARS'!$G$68*(8*12.73)+'LINEST VARS'!$F$68*(8*$BN$128)+'LINEST VARS'!$E$68*(8*$AZ137)+'LINEST VARS'!$D$68*(8*12.73)+'LINEST VARS'!$C$68*($BN$128*$AZ137)+'LINEST VARS'!$B$68*($BN$128*12.73)+'LINEST VARS'!$A$68*($AZ137*12.73)</f>
        <v>149.36000000000001</v>
      </c>
      <c r="BO137" s="46">
        <f>'LINEST VARS'!$U$68+'LINEST VARS'!$T$68*(8)+'LINEST VARS'!$S$68*(8)+'LINEST VARS'!$R$68*($BO$128)+'LINEST VARS'!$Q$68*($AZ137)+'LINEST VARS'!$P$68*(12.73)+'LINEST VARS'!$O$68*(8^2)+'LINEST VARS'!$N$68*(8^2)+'LINEST VARS'!$M$68*($BO$128^2)+'LINEST VARS'!$L$68*($AZ137^2)+'LINEST VARS'!$K$68*(12.73^2)+'LINEST VARS'!$J$68*(8*8)+'LINEST VARS'!$I$68*(8*$BO$128)+'LINEST VARS'!$H$68*(8*$AZ137)+'LINEST VARS'!$G$68*(8*12.73)+'LINEST VARS'!$F$68*(8*$BO$128)+'LINEST VARS'!$E$68*(8*$AZ137)+'LINEST VARS'!$D$68*(8*12.73)+'LINEST VARS'!$C$68*($BO$128*$AZ137)+'LINEST VARS'!$B$68*($BO$128*12.73)+'LINEST VARS'!$A$68*($AZ137*12.73)</f>
        <v>149.36000000000001</v>
      </c>
      <c r="BP137" s="46">
        <f>'LINEST VARS'!$U$68+'LINEST VARS'!$T$68*(8)+'LINEST VARS'!$S$68*(8)+'LINEST VARS'!$R$68*($BP$128)+'LINEST VARS'!$Q$68*($AZ137)+'LINEST VARS'!$P$68*(12.73)+'LINEST VARS'!$O$68*(8^2)+'LINEST VARS'!$N$68*(8^2)+'LINEST VARS'!$M$68*($BP$128^2)+'LINEST VARS'!$L$68*($AZ137^2)+'LINEST VARS'!$K$68*(12.73^2)+'LINEST VARS'!$J$68*(8*8)+'LINEST VARS'!$I$68*(8*$BP$128)+'LINEST VARS'!$H$68*(8*$AZ137)+'LINEST VARS'!$G$68*(8*12.73)+'LINEST VARS'!$F$68*(8*$BP$128)+'LINEST VARS'!$E$68*(8*$AZ137)+'LINEST VARS'!$D$68*(8*12.73)+'LINEST VARS'!$C$68*($BP$128*$AZ137)+'LINEST VARS'!$B$68*($BP$128*12.73)+'LINEST VARS'!$A$68*($AZ137*12.73)</f>
        <v>149.36000000000001</v>
      </c>
      <c r="BQ137" s="46">
        <f>'LINEST VARS'!$U$68+'LINEST VARS'!$T$68*(8)+'LINEST VARS'!$S$68*(8)+'LINEST VARS'!$R$68*($BQ$128)+'LINEST VARS'!$Q$68*($AZ137)+'LINEST VARS'!$P$68*(12.73)+'LINEST VARS'!$O$68*(8^2)+'LINEST VARS'!$N$68*(8^2)+'LINEST VARS'!$M$68*($BQ$128^2)+'LINEST VARS'!$L$68*($AZ137^2)+'LINEST VARS'!$K$68*(12.73^2)+'LINEST VARS'!$J$68*(8*8)+'LINEST VARS'!$I$68*(8*$BQ$128)+'LINEST VARS'!$H$68*(8*$AZ137)+'LINEST VARS'!$G$68*(8*12.73)+'LINEST VARS'!$F$68*(8*$BQ$128)+'LINEST VARS'!$E$68*(8*$AZ137)+'LINEST VARS'!$D$68*(8*12.73)+'LINEST VARS'!$C$68*($BQ$128*$AZ137)+'LINEST VARS'!$B$68*($BQ$128*12.73)+'LINEST VARS'!$A$68*($AZ137*12.73)</f>
        <v>149.36000000000001</v>
      </c>
      <c r="BR137" s="46">
        <f>'LINEST VARS'!$U$68+'LINEST VARS'!$T$68*(8)+'LINEST VARS'!$S$68*(8)+'LINEST VARS'!$R$68*($BR$128)+'LINEST VARS'!$Q$68*($AZ137)+'LINEST VARS'!$P$68*(12.73)+'LINEST VARS'!$O$68*(8^2)+'LINEST VARS'!$N$68*(8^2)+'LINEST VARS'!$M$68*($BR$128^2)+'LINEST VARS'!$L$68*($AZ137^2)+'LINEST VARS'!$K$68*(12.73^2)+'LINEST VARS'!$J$68*(8*8)+'LINEST VARS'!$I$68*(8*$BR$128)+'LINEST VARS'!$H$68*(8*$AZ137)+'LINEST VARS'!$G$68*(8*12.73)+'LINEST VARS'!$F$68*(8*$BR$128)+'LINEST VARS'!$E$68*(8*$AZ137)+'LINEST VARS'!$D$68*(8*12.73)+'LINEST VARS'!$C$68*($BR$128*$AZ137)+'LINEST VARS'!$B$68*($BR$128*12.73)+'LINEST VARS'!$A$68*($AZ137*12.73)</f>
        <v>149.36000000000001</v>
      </c>
      <c r="BS137" s="46">
        <f>'LINEST VARS'!$U$68+'LINEST VARS'!$T$68*(8)+'LINEST VARS'!$S$68*(8)+'LINEST VARS'!$R$68*($BS$128)+'LINEST VARS'!$Q$68*($AZ137)+'LINEST VARS'!$P$68*(12.73)+'LINEST VARS'!$O$68*(8^2)+'LINEST VARS'!$N$68*(8^2)+'LINEST VARS'!$M$68*($BS$128^2)+'LINEST VARS'!$L$68*($AZ137^2)+'LINEST VARS'!$K$68*(12.73^2)+'LINEST VARS'!$J$68*(8*8)+'LINEST VARS'!$I$68*(8*$BS$128)+'LINEST VARS'!$H$68*(8*$AZ137)+'LINEST VARS'!$G$68*(8*12.73)+'LINEST VARS'!$F$68*(8*$BS$128)+'LINEST VARS'!$E$68*(8*$AZ137)+'LINEST VARS'!$D$68*(8*12.73)+'LINEST VARS'!$C$68*($BS$128*$AZ137)+'LINEST VARS'!$B$68*($BS$128*12.73)+'LINEST VARS'!$A$68*($AZ137*12.73)</f>
        <v>149.36000000000001</v>
      </c>
      <c r="BT137" s="46">
        <f>'LINEST VARS'!$U$68+'LINEST VARS'!$T$68*(8)+'LINEST VARS'!$S$68*(8)+'LINEST VARS'!$R$68*($BT$128)+'LINEST VARS'!$Q$68*($AZ137)+'LINEST VARS'!$P$68*(12.73)+'LINEST VARS'!$O$68*(8^2)+'LINEST VARS'!$N$68*(8^2)+'LINEST VARS'!$M$68*($BT$128^2)+'LINEST VARS'!$L$68*($AZ137^2)+'LINEST VARS'!$K$68*(12.73^2)+'LINEST VARS'!$J$68*(8*8)+'LINEST VARS'!$I$68*(8*$BT$128)+'LINEST VARS'!$H$68*(8*$AZ137)+'LINEST VARS'!$G$68*(8*12.73)+'LINEST VARS'!$F$68*(8*$BT$128)+'LINEST VARS'!$E$68*(8*$AZ137)+'LINEST VARS'!$D$68*(8*12.73)+'LINEST VARS'!$C$68*($BT$128*$AZ137)+'LINEST VARS'!$B$68*($BT$128*12.73)+'LINEST VARS'!$A$68*($AZ137*12.73)</f>
        <v>149.36000000000001</v>
      </c>
      <c r="BU137" s="47">
        <f>'LINEST VARS'!$U$68+'LINEST VARS'!$T$68*(8)+'LINEST VARS'!$S$68*(8)+'LINEST VARS'!$R$68*($BU$128)+'LINEST VARS'!$Q$68*($AZ137)+'LINEST VARS'!$P$68*(12.73)+'LINEST VARS'!$O$68*(8^2)+'LINEST VARS'!$N$68*(8^2)+'LINEST VARS'!$M$68*($BU$128^2)+'LINEST VARS'!$L$68*($AZ137^2)+'LINEST VARS'!$K$68*(12.73^2)+'LINEST VARS'!$J$68*(8*8)+'LINEST VARS'!$I$68*(8*$BU$128)+'LINEST VARS'!$H$68*(8*$AZ137)+'LINEST VARS'!$G$68*(8*12.73)+'LINEST VARS'!$F$68*(8*$BU$128)+'LINEST VARS'!$E$68*(8*$AZ137)+'LINEST VARS'!$D$68*(8*12.73)+'LINEST VARS'!$C$68*($BU$128*$AZ137)+'LINEST VARS'!$B$68*($BU$128*12.73)+'LINEST VARS'!$A$68*($AZ137*12.73)</f>
        <v>149.36000000000001</v>
      </c>
      <c r="BX137" s="45">
        <v>0.4</v>
      </c>
      <c r="BY137" s="46">
        <f>'LINEST VARS'!$U$70+'LINEST VARS'!$T$70*(8)+'LINEST VARS'!$S$70*(8)+'LINEST VARS'!$R$70*($BY$128)+'LINEST VARS'!$Q$70*($BX137)+'LINEST VARS'!$P$70*(12.73)+'LINEST VARS'!$O$70*(8^2)+'LINEST VARS'!$N$70*(8^2)+'LINEST VARS'!$M$70*($BY$128^2)+'LINEST VARS'!$L$70*($BX137^2)+'LINEST VARS'!$K$70*(12.73^2)+'LINEST VARS'!$J$70*(8*8)+'LINEST VARS'!$I$70*(8*$BY$128)+'LINEST VARS'!$H$70*(8*$BX137)+'LINEST VARS'!$G$70*(8*12.73)+'LINEST VARS'!$F$70*(8*$BY$128)+'LINEST VARS'!$E$70*(8*$BX137)+'LINEST VARS'!$D$70*(8*12.73)+'LINEST VARS'!$C$70*($BY$128*$BX137)+'LINEST VARS'!$B$70*($BY$128*12.73)+'LINEST VARS'!$A$70*($BX137*12.73)</f>
        <v>92.000000000000014</v>
      </c>
      <c r="BZ137" s="46">
        <f>'LINEST VARS'!$U$70+'LINEST VARS'!$T$70*(8)+'LINEST VARS'!$S$70*(8)+'LINEST VARS'!$R$70*($BZ$128)+'LINEST VARS'!$Q$70*($BX137)+'LINEST VARS'!$P$70*(12.73)+'LINEST VARS'!$O$70*(8^2)+'LINEST VARS'!$N$70*(8^2)+'LINEST VARS'!$M$70*($BZ$128^2)+'LINEST VARS'!$L$70*($BX137^2)+'LINEST VARS'!$K$70*(12.73^2)+'LINEST VARS'!$J$70*(8*8)+'LINEST VARS'!$I$70*(8*$BZ$128)+'LINEST VARS'!$H$70*(8*$BX137)+'LINEST VARS'!$G$70*(8*12.73)+'LINEST VARS'!$F$70*(8*$BZ$128)+'LINEST VARS'!$E$70*(8*$BX137)+'LINEST VARS'!$D$70*(8*12.73)+'LINEST VARS'!$C$70*($BZ$128*$BX137)+'LINEST VARS'!$B$70*($BZ$128*12.73)+'LINEST VARS'!$A$70*($BX137*12.73)</f>
        <v>91.600000000000009</v>
      </c>
      <c r="CA137" s="46">
        <f>'LINEST VARS'!$U$70+'LINEST VARS'!$T$70*(8)+'LINEST VARS'!$S$70*(8)+'LINEST VARS'!$R$70*($CA$128)+'LINEST VARS'!$Q$70*($BX137)+'LINEST VARS'!$P$70*(12.73)+'LINEST VARS'!$O$70*(8^2)+'LINEST VARS'!$N$70*(8^2)+'LINEST VARS'!$M$70*($CA$128^2)+'LINEST VARS'!$L$70*($BX137^2)+'LINEST VARS'!$K$70*(12.73^2)+'LINEST VARS'!$J$70*(8*8)+'LINEST VARS'!$I$70*(8*$CA$128)+'LINEST VARS'!$H$70*(8*$BX137)+'LINEST VARS'!$G$70*(8*12.73)+'LINEST VARS'!$F$70*(8*$CA$128)+'LINEST VARS'!$E$70*(8*$BX137)+'LINEST VARS'!$D$70*(8*12.73)+'LINEST VARS'!$C$70*($CA$128*$BX137)+'LINEST VARS'!$B$70*($CA$128*12.73)+'LINEST VARS'!$A$70*($BX137*12.73)</f>
        <v>91.200000000000017</v>
      </c>
      <c r="CB137" s="46">
        <f>'LINEST VARS'!$U$70+'LINEST VARS'!$T$70*(8)+'LINEST VARS'!$S$70*(8)+'LINEST VARS'!$R$70*($CB$128)+'LINEST VARS'!$Q$70*($BX137)+'LINEST VARS'!$P$70*(12.73)+'LINEST VARS'!$O$70*(8^2)+'LINEST VARS'!$N$70*(8^2)+'LINEST VARS'!$M$70*($CB$128^2)+'LINEST VARS'!$L$70*($BX137^2)+'LINEST VARS'!$K$70*(12.73^2)+'LINEST VARS'!$J$70*(8*8)+'LINEST VARS'!$I$70*(8*$CB$128)+'LINEST VARS'!$H$70*(8*$BX137)+'LINEST VARS'!$G$70*(8*12.73)+'LINEST VARS'!$F$70*(8*$CB$128)+'LINEST VARS'!$E$70*(8*$BX137)+'LINEST VARS'!$D$70*(8*12.73)+'LINEST VARS'!$C$70*($CB$128*$BX137)+'LINEST VARS'!$B$70*($CB$128*12.73)+'LINEST VARS'!$A$70*($BX137*12.73)</f>
        <v>90.800000000000011</v>
      </c>
      <c r="CC137" s="46">
        <f>'LINEST VARS'!$U$70+'LINEST VARS'!$T$70*(8)+'LINEST VARS'!$S$70*(8)+'LINEST VARS'!$R$70*($CC$128)+'LINEST VARS'!$Q$70*($BX137)+'LINEST VARS'!$P$70*(12.73)+'LINEST VARS'!$O$70*(8^2)+'LINEST VARS'!$N$70*(8^2)+'LINEST VARS'!$M$70*($CC$128^2)+'LINEST VARS'!$L$70*($BX137^2)+'LINEST VARS'!$K$70*(12.73^2)+'LINEST VARS'!$J$70*(8*8)+'LINEST VARS'!$I$70*(8*$CC$128)+'LINEST VARS'!$H$70*(8*$BX137)+'LINEST VARS'!$G$70*(8*12.73)+'LINEST VARS'!$F$70*(8*$CC$128)+'LINEST VARS'!$E$70*(8*$BX137)+'LINEST VARS'!$D$70*(8*12.73)+'LINEST VARS'!$C$70*($CC$128*$BX137)+'LINEST VARS'!$B$70*($CC$128*12.73)+'LINEST VARS'!$A$70*($BX137*12.73)</f>
        <v>90.40000000000002</v>
      </c>
      <c r="CD137" s="46">
        <f>'LINEST VARS'!$U$70+'LINEST VARS'!$T$70*(8)+'LINEST VARS'!$S$70*(8)+'LINEST VARS'!$R$70*($CD$128)+'LINEST VARS'!$Q$70*($BX137)+'LINEST VARS'!$P$70*(12.73)+'LINEST VARS'!$O$70*(8^2)+'LINEST VARS'!$N$70*(8^2)+'LINEST VARS'!$M$70*($CD$128^2)+'LINEST VARS'!$L$70*($BX137^2)+'LINEST VARS'!$K$70*(12.73^2)+'LINEST VARS'!$J$70*(8*8)+'LINEST VARS'!$I$70*(8*$CD$128)+'LINEST VARS'!$H$70*(8*$BX137)+'LINEST VARS'!$G$70*(8*12.73)+'LINEST VARS'!$F$70*(8*$CD$128)+'LINEST VARS'!$E$70*(8*$BX137)+'LINEST VARS'!$D$70*(8*12.73)+'LINEST VARS'!$C$70*($CD$128*$BX137)+'LINEST VARS'!$B$70*($CD$128*12.73)+'LINEST VARS'!$A$70*($BX137*12.73)</f>
        <v>90.000000000000014</v>
      </c>
      <c r="CE137" s="46">
        <f>'LINEST VARS'!$U$70+'LINEST VARS'!$T$70*(8)+'LINEST VARS'!$S$70*(8)+'LINEST VARS'!$R$70*($CE$128)+'LINEST VARS'!$Q$70*($BX137)+'LINEST VARS'!$P$70*(12.73)+'LINEST VARS'!$O$70*(8^2)+'LINEST VARS'!$N$70*(8^2)+'LINEST VARS'!$M$70*($CE$128^2)+'LINEST VARS'!$L$70*($BX137^2)+'LINEST VARS'!$K$70*(12.73^2)+'LINEST VARS'!$J$70*(8*8)+'LINEST VARS'!$I$70*(8*$CE$128)+'LINEST VARS'!$H$70*(8*$BX137)+'LINEST VARS'!$G$70*(8*12.73)+'LINEST VARS'!$F$70*(8*$CE$128)+'LINEST VARS'!$E$70*(8*$BX137)+'LINEST VARS'!$D$70*(8*12.73)+'LINEST VARS'!$C$70*($CE$128*$BX137)+'LINEST VARS'!$B$70*($CE$128*12.73)+'LINEST VARS'!$A$70*($BX137*12.73)</f>
        <v>89.600000000000023</v>
      </c>
      <c r="CF137" s="46">
        <f>'LINEST VARS'!$U$70+'LINEST VARS'!$T$70*(8)+'LINEST VARS'!$S$70*(8)+'LINEST VARS'!$R$70*($CF$128)+'LINEST VARS'!$Q$70*($BX137)+'LINEST VARS'!$P$70*(12.73)+'LINEST VARS'!$O$70*(8^2)+'LINEST VARS'!$N$70*(8^2)+'LINEST VARS'!$M$70*($CF$128^2)+'LINEST VARS'!$L$70*($BX137^2)+'LINEST VARS'!$K$70*(12.73^2)+'LINEST VARS'!$J$70*(8*8)+'LINEST VARS'!$I$70*(8*$CF$128)+'LINEST VARS'!$H$70*(8*$BX137)+'LINEST VARS'!$G$70*(8*12.73)+'LINEST VARS'!$F$70*(8*$CF$128)+'LINEST VARS'!$E$70*(8*$BX137)+'LINEST VARS'!$D$70*(8*12.73)+'LINEST VARS'!$C$70*($CF$128*$BX137)+'LINEST VARS'!$B$70*($CF$128*12.73)+'LINEST VARS'!$A$70*($BX137*12.73)</f>
        <v>89.200000000000017</v>
      </c>
      <c r="CG137" s="46">
        <f>'LINEST VARS'!$U$70+'LINEST VARS'!$T$70*(8)+'LINEST VARS'!$S$70*(8)+'LINEST VARS'!$R$70*($CG$128)+'LINEST VARS'!$Q$70*($BX137)+'LINEST VARS'!$P$70*(12.73)+'LINEST VARS'!$O$70*(8^2)+'LINEST VARS'!$N$70*(8^2)+'LINEST VARS'!$M$70*($CG$128^2)+'LINEST VARS'!$L$70*($BX137^2)+'LINEST VARS'!$K$70*(12.73^2)+'LINEST VARS'!$J$70*(8*8)+'LINEST VARS'!$I$70*(8*$CG$128)+'LINEST VARS'!$H$70*(8*$BX137)+'LINEST VARS'!$G$70*(8*12.73)+'LINEST VARS'!$F$70*(8*$CG$128)+'LINEST VARS'!$E$70*(8*$BX137)+'LINEST VARS'!$D$70*(8*12.73)+'LINEST VARS'!$C$70*($CG$128*$BX137)+'LINEST VARS'!$B$70*($CG$128*12.73)+'LINEST VARS'!$A$70*($BX137*12.73)</f>
        <v>88.800000000000026</v>
      </c>
      <c r="CH137" s="46">
        <f>'LINEST VARS'!$U$70+'LINEST VARS'!$T$70*(8)+'LINEST VARS'!$S$70*(8)+'LINEST VARS'!$R$70*($CH$128)+'LINEST VARS'!$Q$70*($BX137)+'LINEST VARS'!$P$70*(12.73)+'LINEST VARS'!$O$70*(8^2)+'LINEST VARS'!$N$70*(8^2)+'LINEST VARS'!$M$70*($CH$128^2)+'LINEST VARS'!$L$70*($BX137^2)+'LINEST VARS'!$K$70*(12.73^2)+'LINEST VARS'!$J$70*(8*8)+'LINEST VARS'!$I$70*(8*$CH$128)+'LINEST VARS'!$H$70*(8*$BX137)+'LINEST VARS'!$G$70*(8*12.73)+'LINEST VARS'!$F$70*(8*$CH$128)+'LINEST VARS'!$E$70*(8*$BX137)+'LINEST VARS'!$D$70*(8*12.73)+'LINEST VARS'!$C$70*($CH$128*$BX137)+'LINEST VARS'!$B$70*($CH$128*12.73)+'LINEST VARS'!$A$70*($BX137*12.73)</f>
        <v>88.40000000000002</v>
      </c>
      <c r="CI137" s="46">
        <f>'LINEST VARS'!$U$70+'LINEST VARS'!$T$70*(8)+'LINEST VARS'!$S$70*(8)+'LINEST VARS'!$R$70*($CI$128)+'LINEST VARS'!$Q$70*($BX137)+'LINEST VARS'!$P$70*(12.73)+'LINEST VARS'!$O$70*(8^2)+'LINEST VARS'!$N$70*(8^2)+'LINEST VARS'!$M$70*($CI$128^2)+'LINEST VARS'!$L$70*($BX137^2)+'LINEST VARS'!$K$70*(12.73^2)+'LINEST VARS'!$J$70*(8*8)+'LINEST VARS'!$I$70*(8*$CI$128)+'LINEST VARS'!$H$70*(8*$BX137)+'LINEST VARS'!$G$70*(8*12.73)+'LINEST VARS'!$F$70*(8*$CI$128)+'LINEST VARS'!$E$70*(8*$BX137)+'LINEST VARS'!$D$70*(8*12.73)+'LINEST VARS'!$C$70*($CI$128*$BX137)+'LINEST VARS'!$B$70*($CI$128*12.73)+'LINEST VARS'!$A$70*($BX137*12.73)</f>
        <v>88.000000000000014</v>
      </c>
      <c r="CJ137" s="46">
        <f>'LINEST VARS'!$U$70+'LINEST VARS'!$T$70*(8)+'LINEST VARS'!$S$70*(8)+'LINEST VARS'!$R$70*($CJ$128)+'LINEST VARS'!$Q$70*($BX137)+'LINEST VARS'!$P$70*(12.73)+'LINEST VARS'!$O$70*(8^2)+'LINEST VARS'!$N$70*(8^2)+'LINEST VARS'!$M$70*($CJ$128^2)+'LINEST VARS'!$L$70*($BX137^2)+'LINEST VARS'!$K$70*(12.73^2)+'LINEST VARS'!$J$70*(8*8)+'LINEST VARS'!$I$70*(8*$CJ$128)+'LINEST VARS'!$H$70*(8*$BX137)+'LINEST VARS'!$G$70*(8*12.73)+'LINEST VARS'!$F$70*(8*$CJ$128)+'LINEST VARS'!$E$70*(8*$BX137)+'LINEST VARS'!$D$70*(8*12.73)+'LINEST VARS'!$C$70*($CJ$128*$BX137)+'LINEST VARS'!$B$70*($CJ$128*12.73)+'LINEST VARS'!$A$70*($BX137*12.73)</f>
        <v>87.600000000000023</v>
      </c>
      <c r="CK137" s="46">
        <f>'LINEST VARS'!$U$70+'LINEST VARS'!$T$70*(8)+'LINEST VARS'!$S$70*(8)+'LINEST VARS'!$R$70*($CK$128)+'LINEST VARS'!$Q$70*($BX137)+'LINEST VARS'!$P$70*(12.73)+'LINEST VARS'!$O$70*(8^2)+'LINEST VARS'!$N$70*(8^2)+'LINEST VARS'!$M$70*($CK$128^2)+'LINEST VARS'!$L$70*($BX137^2)+'LINEST VARS'!$K$70*(12.73^2)+'LINEST VARS'!$J$70*(8*8)+'LINEST VARS'!$I$70*(8*$CK$128)+'LINEST VARS'!$H$70*(8*$BX137)+'LINEST VARS'!$G$70*(8*12.73)+'LINEST VARS'!$F$70*(8*$CK$128)+'LINEST VARS'!$E$70*(8*$BX137)+'LINEST VARS'!$D$70*(8*12.73)+'LINEST VARS'!$C$70*($CK$128*$BX137)+'LINEST VARS'!$B$70*($CK$128*12.73)+'LINEST VARS'!$A$70*($BX137*12.73)</f>
        <v>87.200000000000017</v>
      </c>
      <c r="CL137" s="46">
        <f>'LINEST VARS'!$U$70+'LINEST VARS'!$T$70*(8)+'LINEST VARS'!$S$70*(8)+'LINEST VARS'!$R$70*($CL$128)+'LINEST VARS'!$Q$70*($BX137)+'LINEST VARS'!$P$70*(12.73)+'LINEST VARS'!$O$70*(8^2)+'LINEST VARS'!$N$70*(8^2)+'LINEST VARS'!$M$70*($CL$128^2)+'LINEST VARS'!$L$70*($BX137^2)+'LINEST VARS'!$K$70*(12.73^2)+'LINEST VARS'!$J$70*(8*8)+'LINEST VARS'!$I$70*(8*$CL$128)+'LINEST VARS'!$H$70*(8*$BX137)+'LINEST VARS'!$G$70*(8*12.73)+'LINEST VARS'!$F$70*(8*$CL$128)+'LINEST VARS'!$E$70*(8*$BX137)+'LINEST VARS'!$D$70*(8*12.73)+'LINEST VARS'!$C$70*($CL$128*$BX137)+'LINEST VARS'!$B$70*($CL$128*12.73)+'LINEST VARS'!$A$70*($BX137*12.73)</f>
        <v>86.800000000000026</v>
      </c>
      <c r="CM137" s="46">
        <f>'LINEST VARS'!$U$70+'LINEST VARS'!$T$70*(8)+'LINEST VARS'!$S$70*(8)+'LINEST VARS'!$R$70*($CM$128)+'LINEST VARS'!$Q$70*($BX137)+'LINEST VARS'!$P$70*(12.73)+'LINEST VARS'!$O$70*(8^2)+'LINEST VARS'!$N$70*(8^2)+'LINEST VARS'!$M$70*($CM$128^2)+'LINEST VARS'!$L$70*($BX137^2)+'LINEST VARS'!$K$70*(12.73^2)+'LINEST VARS'!$J$70*(8*8)+'LINEST VARS'!$I$70*(8*$CM$128)+'LINEST VARS'!$H$70*(8*$BX137)+'LINEST VARS'!$G$70*(8*12.73)+'LINEST VARS'!$F$70*(8*$CM$128)+'LINEST VARS'!$E$70*(8*$BX137)+'LINEST VARS'!$D$70*(8*12.73)+'LINEST VARS'!$C$70*($CM$128*$BX137)+'LINEST VARS'!$B$70*($CM$128*12.73)+'LINEST VARS'!$A$70*($BX137*12.73)</f>
        <v>86.40000000000002</v>
      </c>
      <c r="CN137" s="46">
        <f>'LINEST VARS'!$U$70+'LINEST VARS'!$T$70*(8)+'LINEST VARS'!$S$70*(8)+'LINEST VARS'!$R$70*($CN$128)+'LINEST VARS'!$Q$70*($BX137)+'LINEST VARS'!$P$70*(12.73)+'LINEST VARS'!$O$70*(8^2)+'LINEST VARS'!$N$70*(8^2)+'LINEST VARS'!$M$70*($CN$128^2)+'LINEST VARS'!$L$70*($BX137^2)+'LINEST VARS'!$K$70*(12.73^2)+'LINEST VARS'!$J$70*(8*8)+'LINEST VARS'!$I$70*(8*$CN$128)+'LINEST VARS'!$H$70*(8*$BX137)+'LINEST VARS'!$G$70*(8*12.73)+'LINEST VARS'!$F$70*(8*$CN$128)+'LINEST VARS'!$E$70*(8*$BX137)+'LINEST VARS'!$D$70*(8*12.73)+'LINEST VARS'!$C$70*($CN$128*$BX137)+'LINEST VARS'!$B$70*($CN$128*12.73)+'LINEST VARS'!$A$70*($BX137*12.73)</f>
        <v>86.000000000000014</v>
      </c>
      <c r="CO137" s="46">
        <f>'LINEST VARS'!$U$70+'LINEST VARS'!$T$70*(8)+'LINEST VARS'!$S$70*(8)+'LINEST VARS'!$R$70*($CO$128)+'LINEST VARS'!$Q$70*($BX137)+'LINEST VARS'!$P$70*(12.73)+'LINEST VARS'!$O$70*(8^2)+'LINEST VARS'!$N$70*(8^2)+'LINEST VARS'!$M$70*($CO$128^2)+'LINEST VARS'!$L$70*($BX137^2)+'LINEST VARS'!$K$70*(12.73^2)+'LINEST VARS'!$J$70*(8*8)+'LINEST VARS'!$I$70*(8*$CO$128)+'LINEST VARS'!$H$70*(8*$BX137)+'LINEST VARS'!$G$70*(8*12.73)+'LINEST VARS'!$F$70*(8*$CO$128)+'LINEST VARS'!$E$70*(8*$BX137)+'LINEST VARS'!$D$70*(8*12.73)+'LINEST VARS'!$C$70*($CO$128*$BX137)+'LINEST VARS'!$B$70*($CO$128*12.73)+'LINEST VARS'!$A$70*($BX137*12.73)</f>
        <v>85.600000000000009</v>
      </c>
      <c r="CP137" s="46">
        <f>'LINEST VARS'!$U$70+'LINEST VARS'!$T$70*(8)+'LINEST VARS'!$S$70*(8)+'LINEST VARS'!$R$70*($CP$128)+'LINEST VARS'!$Q$70*($BX137)+'LINEST VARS'!$P$70*(12.73)+'LINEST VARS'!$O$70*(8^2)+'LINEST VARS'!$N$70*(8^2)+'LINEST VARS'!$M$70*($CP$128^2)+'LINEST VARS'!$L$70*($BX137^2)+'LINEST VARS'!$K$70*(12.73^2)+'LINEST VARS'!$J$70*(8*8)+'LINEST VARS'!$I$70*(8*$CP$128)+'LINEST VARS'!$H$70*(8*$BX137)+'LINEST VARS'!$G$70*(8*12.73)+'LINEST VARS'!$F$70*(8*$CP$128)+'LINEST VARS'!$E$70*(8*$BX137)+'LINEST VARS'!$D$70*(8*12.73)+'LINEST VARS'!$C$70*($CP$128*$BX137)+'LINEST VARS'!$B$70*($CP$128*12.73)+'LINEST VARS'!$A$70*($BX137*12.73)</f>
        <v>85.200000000000017</v>
      </c>
      <c r="CQ137" s="46">
        <f>'LINEST VARS'!$U$70+'LINEST VARS'!$T$70*(8)+'LINEST VARS'!$S$70*(8)+'LINEST VARS'!$R$70*($CQ$128)+'LINEST VARS'!$Q$70*($BX137)+'LINEST VARS'!$P$70*(12.73)+'LINEST VARS'!$O$70*(8^2)+'LINEST VARS'!$N$70*(8^2)+'LINEST VARS'!$M$70*($CQ$128^2)+'LINEST VARS'!$L$70*($BX137^2)+'LINEST VARS'!$K$70*(12.73^2)+'LINEST VARS'!$J$70*(8*8)+'LINEST VARS'!$I$70*(8*$CQ$128)+'LINEST VARS'!$H$70*(8*$BX137)+'LINEST VARS'!$G$70*(8*12.73)+'LINEST VARS'!$F$70*(8*$CQ$128)+'LINEST VARS'!$E$70*(8*$BX137)+'LINEST VARS'!$D$70*(8*12.73)+'LINEST VARS'!$C$70*($CQ$128*$BX137)+'LINEST VARS'!$B$70*($CQ$128*12.73)+'LINEST VARS'!$A$70*($BX137*12.73)</f>
        <v>84.800000000000011</v>
      </c>
      <c r="CR137" s="46">
        <f>'LINEST VARS'!$U$70+'LINEST VARS'!$T$70*(8)+'LINEST VARS'!$S$70*(8)+'LINEST VARS'!$R$70*($CR$128)+'LINEST VARS'!$Q$70*($BX137)+'LINEST VARS'!$P$70*(12.73)+'LINEST VARS'!$O$70*(8^2)+'LINEST VARS'!$N$70*(8^2)+'LINEST VARS'!$M$70*($CR$128^2)+'LINEST VARS'!$L$70*($BX137^2)+'LINEST VARS'!$K$70*(12.73^2)+'LINEST VARS'!$J$70*(8*8)+'LINEST VARS'!$I$70*(8*$CR$128)+'LINEST VARS'!$H$70*(8*$BX137)+'LINEST VARS'!$G$70*(8*12.73)+'LINEST VARS'!$F$70*(8*$CR$128)+'LINEST VARS'!$E$70*(8*$BX137)+'LINEST VARS'!$D$70*(8*12.73)+'LINEST VARS'!$C$70*($CR$128*$BX137)+'LINEST VARS'!$B$70*($CR$128*12.73)+'LINEST VARS'!$A$70*($BX137*12.73)</f>
        <v>84.400000000000034</v>
      </c>
      <c r="CS137" s="47">
        <f>'LINEST VARS'!$U$70+'LINEST VARS'!$T$70*(8)+'LINEST VARS'!$S$70*(8)+'LINEST VARS'!$R$70*($CS$128)+'LINEST VARS'!$Q$70*($BX137)+'LINEST VARS'!$P$70*(12.73)+'LINEST VARS'!$O$70*(8^2)+'LINEST VARS'!$N$70*(8^2)+'LINEST VARS'!$M$70*($CS$128^2)+'LINEST VARS'!$L$70*($BX137^2)+'LINEST VARS'!$K$70*(12.73^2)+'LINEST VARS'!$J$70*(8*8)+'LINEST VARS'!$I$70*(8*$CS$128)+'LINEST VARS'!$H$70*(8*$BX137)+'LINEST VARS'!$G$70*(8*12.73)+'LINEST VARS'!$F$70*(8*$CS$128)+'LINEST VARS'!$E$70*(8*$BX137)+'LINEST VARS'!$D$70*(8*12.73)+'LINEST VARS'!$C$70*($CS$128*$BX137)+'LINEST VARS'!$B$70*($CS$128*12.73)+'LINEST VARS'!$A$70*($BX137*12.73)</f>
        <v>84.000000000000028</v>
      </c>
      <c r="CX137" s="45">
        <v>10.396000000000001</v>
      </c>
      <c r="CY137" s="46">
        <f>'LINEST VARS'!$U$68+'LINEST VARS'!$T$68*(8)+'LINEST VARS'!$S$68*(8)+'LINEST VARS'!$R$68*($CY$128)+'LINEST VARS'!$Q$68*(0.5)+'LINEST VARS'!$P$68*($CX137)+'LINEST VARS'!$O$68*(8^2)+'LINEST VARS'!$N$68*(8^2)+'LINEST VARS'!$M$68*($CY$128^2)+'LINEST VARS'!$L$68*(0.5^2)+'LINEST VARS'!$K$68*($CX137^2)+'LINEST VARS'!$J$68*(8*8)+'LINEST VARS'!$I$68*(8*$CY$128)+'LINEST VARS'!$H$68*(8*0.5)+'LINEST VARS'!$G$68*(8*$CX137)+'LINEST VARS'!$F$68*(8*$CY$128)+'LINEST VARS'!$E$68*(8*0.5)+'LINEST VARS'!$D$68*(8*$CX137)+'LINEST VARS'!$C$68*($CY$128*0.5)+'LINEST VARS'!$B$68*($CY$128*$CX137)+'LINEST VARS'!$A$68*(0.5*$CX137)</f>
        <v>149</v>
      </c>
      <c r="CZ137" s="46">
        <f>'LINEST VARS'!$U$68+'LINEST VARS'!$T$68*(8)+'LINEST VARS'!$S$68*(8)+'LINEST VARS'!$R$68*($CZ$128)+'LINEST VARS'!$Q$68*(0.5)+'LINEST VARS'!$P$68*($CX137)+'LINEST VARS'!$O$68*(8^2)+'LINEST VARS'!$N$68*(8^2)+'LINEST VARS'!$M$68*($CZ$128^2)+'LINEST VARS'!$L$68*(0.5^2)+'LINEST VARS'!$K$68*($CX137^2)+'LINEST VARS'!$J$68*(8*8)+'LINEST VARS'!$I$68*(8*$CZ$128)+'LINEST VARS'!$H$68*(8*0.5)+'LINEST VARS'!$G$68*(8*$CX137)+'LINEST VARS'!$F$68*(8*$CZ$128)+'LINEST VARS'!$E$68*(8*0.5)+'LINEST VARS'!$D$68*(8*$CX137)+'LINEST VARS'!$C$68*($CZ$128*0.5)+'LINEST VARS'!$B$68*($CZ$128*$CX137)+'LINEST VARS'!$A$68*(0.5*$CX137)</f>
        <v>149</v>
      </c>
      <c r="DA137" s="46">
        <f>'LINEST VARS'!$U$68+'LINEST VARS'!$T$68*(8)+'LINEST VARS'!$S$68*(8)+'LINEST VARS'!$R$68*($DA$128)+'LINEST VARS'!$Q$68*(0.5)+'LINEST VARS'!$P$68*($CX137)+'LINEST VARS'!$O$68*(8^2)+'LINEST VARS'!$N$68*(8^2)+'LINEST VARS'!$M$68*($DA$128^2)+'LINEST VARS'!$L$68*(0.5^2)+'LINEST VARS'!$K$68*($CX137^2)+'LINEST VARS'!$J$68*(8*8)+'LINEST VARS'!$I$68*(8*$DA$128)+'LINEST VARS'!$H$68*(8*0.5)+'LINEST VARS'!$G$68*(8*$CX137)+'LINEST VARS'!$F$68*(8*$DA$128)+'LINEST VARS'!$E$68*(8*0.5)+'LINEST VARS'!$D$68*(8*$CX137)+'LINEST VARS'!$C$68*($DA$128*0.5)+'LINEST VARS'!$B$68*($DA$128*$CX137)+'LINEST VARS'!$A$68*(0.5*$CX137)</f>
        <v>149</v>
      </c>
      <c r="DB137" s="46">
        <f>'LINEST VARS'!$U$68+'LINEST VARS'!$T$68*(8)+'LINEST VARS'!$S$68*(8)+'LINEST VARS'!$R$68*($DB$128)+'LINEST VARS'!$Q$68*(0.5)+'LINEST VARS'!$P$68*($CX137)+'LINEST VARS'!$O$68*(8^2)+'LINEST VARS'!$N$68*(8^2)+'LINEST VARS'!$M$68*($DB$128^2)+'LINEST VARS'!$L$68*(0.5^2)+'LINEST VARS'!$K$68*($CX137^2)+'LINEST VARS'!$J$68*(8*8)+'LINEST VARS'!$I$68*(8*$DB$128)+'LINEST VARS'!$H$68*(8*0.5)+'LINEST VARS'!$G$68*(8*$CX137)+'LINEST VARS'!$F$68*(8*$DB$128)+'LINEST VARS'!$E$68*(8*0.5)+'LINEST VARS'!$D$68*(8*$CX137)+'LINEST VARS'!$C$68*($DB$128*0.5)+'LINEST VARS'!$B$68*($DB$128*$CX137)+'LINEST VARS'!$A$68*(0.5*$CX137)</f>
        <v>149</v>
      </c>
      <c r="DC137" s="46">
        <f>'LINEST VARS'!$U$68+'LINEST VARS'!$T$68*(8)+'LINEST VARS'!$S$68*(8)+'LINEST VARS'!$R$68*($DC$128)+'LINEST VARS'!$Q$68*(0.5)+'LINEST VARS'!$P$68*($CX137)+'LINEST VARS'!$O$68*(8^2)+'LINEST VARS'!$N$68*(8^2)+'LINEST VARS'!$M$68*($DC$128^2)+'LINEST VARS'!$L$68*(0.5^2)+'LINEST VARS'!$K$68*($CX137^2)+'LINEST VARS'!$J$68*(8*8)+'LINEST VARS'!$I$68*(8*$DC$128)+'LINEST VARS'!$H$68*(8*0.5)+'LINEST VARS'!$G$68*(8*$CX137)+'LINEST VARS'!$F$68*(8*$DC$128)+'LINEST VARS'!$E$68*(8*0.5)+'LINEST VARS'!$D$68*(8*$CX137)+'LINEST VARS'!$C$68*($DC$128*0.5)+'LINEST VARS'!$B$68*($DC$128*$CX137)+'LINEST VARS'!$A$68*(0.5*$CX137)</f>
        <v>149</v>
      </c>
      <c r="DD137" s="46">
        <f>'LINEST VARS'!$U$68+'LINEST VARS'!$T$68*(8)+'LINEST VARS'!$S$68*(8)+'LINEST VARS'!$R$68*($DD$128)+'LINEST VARS'!$Q$68*(0.5)+'LINEST VARS'!$P$68*($CX137)+'LINEST VARS'!$O$68*(8^2)+'LINEST VARS'!$N$68*(8^2)+'LINEST VARS'!$M$68*($DD$128^2)+'LINEST VARS'!$L$68*(0.5^2)+'LINEST VARS'!$K$68*($CX137^2)+'LINEST VARS'!$J$68*(8*8)+'LINEST VARS'!$I$68*(8*$DD$128)+'LINEST VARS'!$H$68*(8*0.5)+'LINEST VARS'!$G$68*(8*$CX137)+'LINEST VARS'!$F$68*(8*$DD$128)+'LINEST VARS'!$E$68*(8*0.5)+'LINEST VARS'!$D$68*(8*$CX137)+'LINEST VARS'!$C$68*($DD$128*0.5)+'LINEST VARS'!$B$68*($DD$128*$CX137)+'LINEST VARS'!$A$68*(0.5*$CX137)</f>
        <v>149</v>
      </c>
      <c r="DE137" s="46">
        <f>'LINEST VARS'!$U$68+'LINEST VARS'!$T$68*(8)+'LINEST VARS'!$S$68*(8)+'LINEST VARS'!$R$68*($DE$128)+'LINEST VARS'!$Q$68*(0.5)+'LINEST VARS'!$P$68*($CX137)+'LINEST VARS'!$O$68*(8^2)+'LINEST VARS'!$N$68*(8^2)+'LINEST VARS'!$M$68*($DE$128^2)+'LINEST VARS'!$L$68*(0.5^2)+'LINEST VARS'!$K$68*($CX137^2)+'LINEST VARS'!$J$68*(8*8)+'LINEST VARS'!$I$68*(8*$DE$128)+'LINEST VARS'!$H$68*(8*0.5)+'LINEST VARS'!$G$68*(8*$CX137)+'LINEST VARS'!$F$68*(8*$DE$128)+'LINEST VARS'!$E$68*(8*0.5)+'LINEST VARS'!$D$68*(8*$CX137)+'LINEST VARS'!$C$68*($DE$128*0.5)+'LINEST VARS'!$B$68*($DE$128*$CX137)+'LINEST VARS'!$A$68*(0.5*$CX137)</f>
        <v>149</v>
      </c>
      <c r="DF137" s="46">
        <f>'LINEST VARS'!$U$68+'LINEST VARS'!$T$68*(8)+'LINEST VARS'!$S$68*(8)+'LINEST VARS'!$R$68*($DF$128)+'LINEST VARS'!$Q$68*(0.5)+'LINEST VARS'!$P$68*($CX137)+'LINEST VARS'!$O$68*(8^2)+'LINEST VARS'!$N$68*(8^2)+'LINEST VARS'!$M$68*($DF$128^2)+'LINEST VARS'!$L$68*(0.5^2)+'LINEST VARS'!$K$68*($CX137^2)+'LINEST VARS'!$J$68*(8*8)+'LINEST VARS'!$I$68*(8*$DF$128)+'LINEST VARS'!$H$68*(8*0.5)+'LINEST VARS'!$G$68*(8*$CX137)+'LINEST VARS'!$F$68*(8*$DF$128)+'LINEST VARS'!$E$68*(8*0.5)+'LINEST VARS'!$D$68*(8*$CX137)+'LINEST VARS'!$C$68*($DF$128*0.5)+'LINEST VARS'!$B$68*($DF$128*$CX137)+'LINEST VARS'!$A$68*(0.5*$CX137)</f>
        <v>149</v>
      </c>
      <c r="DG137" s="46">
        <f>'LINEST VARS'!$U$68+'LINEST VARS'!$T$68*(8)+'LINEST VARS'!$S$68*(8)+'LINEST VARS'!$R$68*($DG$128)+'LINEST VARS'!$Q$68*(0.5)+'LINEST VARS'!$P$68*($CX137)+'LINEST VARS'!$O$68*(8^2)+'LINEST VARS'!$N$68*(8^2)+'LINEST VARS'!$M$68*($DG$128^2)+'LINEST VARS'!$L$68*(0.5^2)+'LINEST VARS'!$K$68*($CX137^2)+'LINEST VARS'!$J$68*(8*8)+'LINEST VARS'!$I$68*(8*$DG$128)+'LINEST VARS'!$H$68*(8*0.5)+'LINEST VARS'!$G$68*(8*$CX137)+'LINEST VARS'!$F$68*(8*$DG$128)+'LINEST VARS'!$E$68*(8*0.5)+'LINEST VARS'!$D$68*(8*$CX137)+'LINEST VARS'!$C$68*($DG$128*0.5)+'LINEST VARS'!$B$68*($DG$128*$CX137)+'LINEST VARS'!$A$68*(0.5*$CX137)</f>
        <v>149</v>
      </c>
      <c r="DH137" s="46">
        <f>'LINEST VARS'!$U$68+'LINEST VARS'!$T$68*(8)+'LINEST VARS'!$S$68*(8)+'LINEST VARS'!$R$68*($DH$128)+'LINEST VARS'!$Q$68*(0.5)+'LINEST VARS'!$P$68*($CX137)+'LINEST VARS'!$O$68*(8^2)+'LINEST VARS'!$N$68*(8^2)+'LINEST VARS'!$M$68*($DH$128^2)+'LINEST VARS'!$L$68*(0.5^2)+'LINEST VARS'!$K$68*($CX137^2)+'LINEST VARS'!$J$68*(8*8)+'LINEST VARS'!$I$68*(8*$DH$128)+'LINEST VARS'!$H$68*(8*0.5)+'LINEST VARS'!$G$68*(8*$CX137)+'LINEST VARS'!$F$68*(8*$DH$128)+'LINEST VARS'!$E$68*(8*0.5)+'LINEST VARS'!$D$68*(8*$CX137)+'LINEST VARS'!$C$68*($DH$128*0.5)+'LINEST VARS'!$B$68*($DH$128*$CX137)+'LINEST VARS'!$A$68*(0.5*$CX137)</f>
        <v>149</v>
      </c>
      <c r="DI137" s="46">
        <f>'LINEST VARS'!$U$68+'LINEST VARS'!$T$68*(8)+'LINEST VARS'!$S$68*(8)+'LINEST VARS'!$R$68*($DI$128)+'LINEST VARS'!$Q$68*(0.5)+'LINEST VARS'!$P$68*($CX137)+'LINEST VARS'!$O$68*(8^2)+'LINEST VARS'!$N$68*(8^2)+'LINEST VARS'!$M$68*($DI$128^2)+'LINEST VARS'!$L$68*(0.5^2)+'LINEST VARS'!$K$68*($CX137^2)+'LINEST VARS'!$J$68*(8*8)+'LINEST VARS'!$I$68*(8*$DI$128)+'LINEST VARS'!$H$68*(8*0.5)+'LINEST VARS'!$G$68*(8*$CX137)+'LINEST VARS'!$F$68*(8*$DI$128)+'LINEST VARS'!$E$68*(8*0.5)+'LINEST VARS'!$D$68*(8*$CX137)+'LINEST VARS'!$C$68*($DI$128*0.5)+'LINEST VARS'!$B$68*($DI$128*$CX137)+'LINEST VARS'!$A$68*(0.5*$CX137)</f>
        <v>149</v>
      </c>
      <c r="DJ137" s="46">
        <f>'LINEST VARS'!$U$68+'LINEST VARS'!$T$68*(8)+'LINEST VARS'!$S$68*(8)+'LINEST VARS'!$R$68*($DJ$128)+'LINEST VARS'!$Q$68*(0.5)+'LINEST VARS'!$P$68*($CX137)+'LINEST VARS'!$O$68*(8^2)+'LINEST VARS'!$N$68*(8^2)+'LINEST VARS'!$M$68*($DJ$128^2)+'LINEST VARS'!$L$68*(0.5^2)+'LINEST VARS'!$K$68*($CX137^2)+'LINEST VARS'!$J$68*(8*8)+'LINEST VARS'!$I$68*(8*$DJ$128)+'LINEST VARS'!$H$68*(8*0.5)+'LINEST VARS'!$G$68*(8*$CX137)+'LINEST VARS'!$F$68*(8*$DJ$128)+'LINEST VARS'!$E$68*(8*0.5)+'LINEST VARS'!$D$68*(8*$CX137)+'LINEST VARS'!$C$68*($DJ$128*0.5)+'LINEST VARS'!$B$68*($DJ$128*$CX137)+'LINEST VARS'!$A$68*(0.5*$CX137)</f>
        <v>149</v>
      </c>
      <c r="DK137" s="46">
        <f>'LINEST VARS'!$U$68+'LINEST VARS'!$T$68*(8)+'LINEST VARS'!$S$68*(8)+'LINEST VARS'!$R$68*($DK$128)+'LINEST VARS'!$Q$68*(0.5)+'LINEST VARS'!$P$68*($CX137)+'LINEST VARS'!$O$68*(8^2)+'LINEST VARS'!$N$68*(8^2)+'LINEST VARS'!$M$68*($DK$128^2)+'LINEST VARS'!$L$68*(0.5^2)+'LINEST VARS'!$K$68*($CX137^2)+'LINEST VARS'!$J$68*(8*8)+'LINEST VARS'!$I$68*(8*$DK$128)+'LINEST VARS'!$H$68*(8*0.5)+'LINEST VARS'!$G$68*(8*$CX137)+'LINEST VARS'!$F$68*(8*$DK$128)+'LINEST VARS'!$E$68*(8*0.5)+'LINEST VARS'!$D$68*(8*$CX137)+'LINEST VARS'!$C$68*($DK$128*0.5)+'LINEST VARS'!$B$68*($DK$128*$CX137)+'LINEST VARS'!$A$68*(0.5*$CX137)</f>
        <v>149</v>
      </c>
      <c r="DL137" s="46">
        <f>'LINEST VARS'!$U$68+'LINEST VARS'!$T$68*(8)+'LINEST VARS'!$S$68*(8)+'LINEST VARS'!$R$68*($DL$128)+'LINEST VARS'!$Q$68*(0.5)+'LINEST VARS'!$P$68*($CX137)+'LINEST VARS'!$O$68*(8^2)+'LINEST VARS'!$N$68*(8^2)+'LINEST VARS'!$M$68*($DL$128^2)+'LINEST VARS'!$L$68*(0.5^2)+'LINEST VARS'!$K$68*($CX137^2)+'LINEST VARS'!$J$68*(8*8)+'LINEST VARS'!$I$68*(8*$DL$128)+'LINEST VARS'!$H$68*(8*0.5)+'LINEST VARS'!$G$68*(8*$CX137)+'LINEST VARS'!$F$68*(8*$DL$128)+'LINEST VARS'!$E$68*(8*0.5)+'LINEST VARS'!$D$68*(8*$CX137)+'LINEST VARS'!$C$68*($DL$128*0.5)+'LINEST VARS'!$B$68*($DL$128*$CX137)+'LINEST VARS'!$A$68*(0.5*$CX137)</f>
        <v>149</v>
      </c>
      <c r="DM137" s="46">
        <f>'LINEST VARS'!$U$68+'LINEST VARS'!$T$68*(8)+'LINEST VARS'!$S$68*(8)+'LINEST VARS'!$R$68*($DM$128)+'LINEST VARS'!$Q$68*(0.5)+'LINEST VARS'!$P$68*($CX137)+'LINEST VARS'!$O$68*(8^2)+'LINEST VARS'!$N$68*(8^2)+'LINEST VARS'!$M$68*($DM$128^2)+'LINEST VARS'!$L$68*(0.5^2)+'LINEST VARS'!$K$68*($CX137^2)+'LINEST VARS'!$J$68*(8*8)+'LINEST VARS'!$I$68*(8*$DM$128)+'LINEST VARS'!$H$68*(8*0.5)+'LINEST VARS'!$G$68*(8*$CX137)+'LINEST VARS'!$F$68*(8*$DM$128)+'LINEST VARS'!$E$68*(8*0.5)+'LINEST VARS'!$D$68*(8*$CX137)+'LINEST VARS'!$C$68*($DM$128*0.5)+'LINEST VARS'!$B$68*($DM$128*$CX137)+'LINEST VARS'!$A$68*(0.5*$CX137)</f>
        <v>149</v>
      </c>
      <c r="DN137" s="46">
        <f>'LINEST VARS'!$U$68+'LINEST VARS'!$T$68*(8)+'LINEST VARS'!$S$68*(8)+'LINEST VARS'!$R$68*($DN$128)+'LINEST VARS'!$Q$68*(0.5)+'LINEST VARS'!$P$68*($CX137)+'LINEST VARS'!$O$68*(8^2)+'LINEST VARS'!$N$68*(8^2)+'LINEST VARS'!$M$68*($DN$128^2)+'LINEST VARS'!$L$68*(0.5^2)+'LINEST VARS'!$K$68*($CX137^2)+'LINEST VARS'!$J$68*(8*8)+'LINEST VARS'!$I$68*(8*$DN$128)+'LINEST VARS'!$H$68*(8*0.5)+'LINEST VARS'!$G$68*(8*$CX137)+'LINEST VARS'!$F$68*(8*$DN$128)+'LINEST VARS'!$E$68*(8*0.5)+'LINEST VARS'!$D$68*(8*$CX137)+'LINEST VARS'!$C$68*($DN$128*0.5)+'LINEST VARS'!$B$68*($DN$128*$CX137)+'LINEST VARS'!$A$68*(0.5*$CX137)</f>
        <v>149</v>
      </c>
      <c r="DO137" s="46">
        <f>'LINEST VARS'!$U$68+'LINEST VARS'!$T$68*(8)+'LINEST VARS'!$S$68*(8)+'LINEST VARS'!$R$68*($DO$128)+'LINEST VARS'!$Q$68*(0.5)+'LINEST VARS'!$P$68*($CX137)+'LINEST VARS'!$O$68*(8^2)+'LINEST VARS'!$N$68*(8^2)+'LINEST VARS'!$M$68*($DO$128^2)+'LINEST VARS'!$L$68*(0.5^2)+'LINEST VARS'!$K$68*($CX137^2)+'LINEST VARS'!$J$68*(8*8)+'LINEST VARS'!$I$68*(8*$DO$128)+'LINEST VARS'!$H$68*(8*0.5)+'LINEST VARS'!$G$68*(8*$CX137)+'LINEST VARS'!$F$68*(8*$DO$128)+'LINEST VARS'!$E$68*(8*0.5)+'LINEST VARS'!$D$68*(8*$CX137)+'LINEST VARS'!$C$68*($DO$128*0.5)+'LINEST VARS'!$B$68*($DO$128*$CX137)+'LINEST VARS'!$A$68*(0.5*$CX137)</f>
        <v>149</v>
      </c>
      <c r="DP137" s="46">
        <f>'LINEST VARS'!$U$68+'LINEST VARS'!$T$68*(8)+'LINEST VARS'!$S$68*(8)+'LINEST VARS'!$R$68*($DP$128)+'LINEST VARS'!$Q$68*(0.5)+'LINEST VARS'!$P$68*($CX137)+'LINEST VARS'!$O$68*(8^2)+'LINEST VARS'!$N$68*(8^2)+'LINEST VARS'!$M$68*($DP$128^2)+'LINEST VARS'!$L$68*(0.5^2)+'LINEST VARS'!$K$68*($CX137^2)+'LINEST VARS'!$J$68*(8*8)+'LINEST VARS'!$I$68*(8*$DP$128)+'LINEST VARS'!$H$68*(8*0.5)+'LINEST VARS'!$G$68*(8*$CX137)+'LINEST VARS'!$F$68*(8*$DP$128)+'LINEST VARS'!$E$68*(8*0.5)+'LINEST VARS'!$D$68*(8*$CX137)+'LINEST VARS'!$C$68*($DP$128*0.5)+'LINEST VARS'!$B$68*($DP$128*$CX137)+'LINEST VARS'!$A$68*(0.5*$CX137)</f>
        <v>149</v>
      </c>
      <c r="DQ137" s="46">
        <f>'LINEST VARS'!$U$68+'LINEST VARS'!$T$68*(8)+'LINEST VARS'!$S$68*(8)+'LINEST VARS'!$R$68*($DQ$128)+'LINEST VARS'!$Q$68*(0.5)+'LINEST VARS'!$P$68*($CX137)+'LINEST VARS'!$O$68*(8^2)+'LINEST VARS'!$N$68*(8^2)+'LINEST VARS'!$M$68*($DQ$128^2)+'LINEST VARS'!$L$68*(0.5^2)+'LINEST VARS'!$K$68*($CX137^2)+'LINEST VARS'!$J$68*(8*8)+'LINEST VARS'!$I$68*(8*$DQ$128)+'LINEST VARS'!$H$68*(8*0.5)+'LINEST VARS'!$G$68*(8*$CX137)+'LINEST VARS'!$F$68*(8*$DQ$128)+'LINEST VARS'!$E$68*(8*0.5)+'LINEST VARS'!$D$68*(8*$CX137)+'LINEST VARS'!$C$68*($DQ$128*0.5)+'LINEST VARS'!$B$68*($DQ$128*$CX137)+'LINEST VARS'!$A$68*(0.5*$CX137)</f>
        <v>149</v>
      </c>
      <c r="DR137" s="46">
        <f>'LINEST VARS'!$U$68+'LINEST VARS'!$T$68*(8)+'LINEST VARS'!$S$68*(8)+'LINEST VARS'!$R$68*($DR$128)+'LINEST VARS'!$Q$68*(0.5)+'LINEST VARS'!$P$68*($CX137)+'LINEST VARS'!$O$68*(8^2)+'LINEST VARS'!$N$68*(8^2)+'LINEST VARS'!$M$68*($DR$128^2)+'LINEST VARS'!$L$68*(0.5^2)+'LINEST VARS'!$K$68*($CX137^2)+'LINEST VARS'!$J$68*(8*8)+'LINEST VARS'!$I$68*(8*$DR$128)+'LINEST VARS'!$H$68*(8*0.5)+'LINEST VARS'!$G$68*(8*$CX137)+'LINEST VARS'!$F$68*(8*$DR$128)+'LINEST VARS'!$E$68*(8*0.5)+'LINEST VARS'!$D$68*(8*$CX137)+'LINEST VARS'!$C$68*($DR$128*0.5)+'LINEST VARS'!$B$68*($DR$128*$CX137)+'LINEST VARS'!$A$68*(0.5*$CX137)</f>
        <v>149</v>
      </c>
      <c r="DS137" s="47">
        <f>'LINEST VARS'!$U$68+'LINEST VARS'!$T$68*(8)+'LINEST VARS'!$S$68*(8)+'LINEST VARS'!$R$68*($DS$128)+'LINEST VARS'!$Q$68*(0.5)+'LINEST VARS'!$P$68*($CX137)+'LINEST VARS'!$O$68*(8^2)+'LINEST VARS'!$N$68*(8^2)+'LINEST VARS'!$M$68*($DS$128^2)+'LINEST VARS'!$L$68*(0.5^2)+'LINEST VARS'!$K$68*($CX137^2)+'LINEST VARS'!$J$68*(8*8)+'LINEST VARS'!$I$68*(8*$DS$128)+'LINEST VARS'!$H$68*(8*0.5)+'LINEST VARS'!$G$68*(8*$CX137)+'LINEST VARS'!$F$68*(8*$DS$128)+'LINEST VARS'!$E$68*(8*0.5)+'LINEST VARS'!$D$68*(8*$CX137)+'LINEST VARS'!$C$68*($DS$128*0.5)+'LINEST VARS'!$B$68*($DS$128*$CX137)+'LINEST VARS'!$A$68*(0.5*$CX137)</f>
        <v>149</v>
      </c>
      <c r="DV137" s="45">
        <v>10.396000000000001</v>
      </c>
      <c r="DW137" s="46">
        <f>'LINEST VARS'!$U$70+'LINEST VARS'!$T$70*(8)+'LINEST VARS'!$S$70*(8)+'LINEST VARS'!$R$70*($DW$128)+'LINEST VARS'!$Q$70*(0.5)+'LINEST VARS'!$P$70*($DV137)+'LINEST VARS'!$O$70*(8^2)+'LINEST VARS'!$N$70*(8^2)+'LINEST VARS'!$M$70*($DW$128^2)+'LINEST VARS'!$L$70*(0.5^2)+'LINEST VARS'!$K$70*($DV137^2)+'LINEST VARS'!$J$70*(8*8)+'LINEST VARS'!$I$70*(8*$DW$128)+'LINEST VARS'!$H$70*(8*0.5)+'LINEST VARS'!$G$70*(8*$DV137)+'LINEST VARS'!$F$70*(8*$DW$128)+'LINEST VARS'!$E$70*(8*0.5)+'LINEST VARS'!$D$70*(8*$DV137)+'LINEST VARS'!$C$70*($DW$128*0.5)+'LINEST VARS'!$B$70*($DW$128*$DV137)+'LINEST VARS'!$A$70*(0.5*$DV137)</f>
        <v>92.000000000000014</v>
      </c>
      <c r="DX137" s="46">
        <f>'LINEST VARS'!$U$70+'LINEST VARS'!$T$70*(8)+'LINEST VARS'!$S$70*(8)+'LINEST VARS'!$R$70*($DX$128)+'LINEST VARS'!$Q$70*(0.5)+'LINEST VARS'!$P$70*($DV137)+'LINEST VARS'!$O$70*(8^2)+'LINEST VARS'!$N$70*(8^2)+'LINEST VARS'!$M$70*($DX$128^2)+'LINEST VARS'!$L$70*(0.5^2)+'LINEST VARS'!$K$70*($DV137^2)+'LINEST VARS'!$J$70*(8*8)+'LINEST VARS'!$I$70*(8*$DX$128)+'LINEST VARS'!$H$70*(8*0.5)+'LINEST VARS'!$G$70*(8*$DV137)+'LINEST VARS'!$F$70*(8*$DX$128)+'LINEST VARS'!$E$70*(8*0.5)+'LINEST VARS'!$D$70*(8*$DV137)+'LINEST VARS'!$C$70*($DX$128*0.5)+'LINEST VARS'!$B$70*($DX$128*$DV137)+'LINEST VARS'!$A$70*(0.5*$DV137)</f>
        <v>91.600000000000009</v>
      </c>
      <c r="DY137" s="46">
        <f>'LINEST VARS'!$U$70+'LINEST VARS'!$T$70*(8)+'LINEST VARS'!$S$70*(8)+'LINEST VARS'!$R$70*($DY$128)+'LINEST VARS'!$Q$70*(0.5)+'LINEST VARS'!$P$70*($DV137)+'LINEST VARS'!$O$70*(8^2)+'LINEST VARS'!$N$70*(8^2)+'LINEST VARS'!$M$70*($DY$128^2)+'LINEST VARS'!$L$70*(0.5^2)+'LINEST VARS'!$K$70*($DV137^2)+'LINEST VARS'!$J$70*(8*8)+'LINEST VARS'!$I$70*(8*$DY$128)+'LINEST VARS'!$H$70*(8*0.5)+'LINEST VARS'!$G$70*(8*$DV137)+'LINEST VARS'!$F$70*(8*$DY$128)+'LINEST VARS'!$E$70*(8*0.5)+'LINEST VARS'!$D$70*(8*$DV137)+'LINEST VARS'!$C$70*($DY$128*0.5)+'LINEST VARS'!$B$70*($DY$128*$DV137)+'LINEST VARS'!$A$70*(0.5*$DV137)</f>
        <v>91.200000000000017</v>
      </c>
      <c r="DZ137" s="46">
        <f>'LINEST VARS'!$U$70+'LINEST VARS'!$T$70*(8)+'LINEST VARS'!$S$70*(8)+'LINEST VARS'!$R$70*($DZ$128)+'LINEST VARS'!$Q$70*(0.5)+'LINEST VARS'!$P$70*($DV137)+'LINEST VARS'!$O$70*(8^2)+'LINEST VARS'!$N$70*(8^2)+'LINEST VARS'!$M$70*($DZ$128^2)+'LINEST VARS'!$L$70*(0.5^2)+'LINEST VARS'!$K$70*($DV137^2)+'LINEST VARS'!$J$70*(8*8)+'LINEST VARS'!$I$70*(8*$DZ$128)+'LINEST VARS'!$H$70*(8*0.5)+'LINEST VARS'!$G$70*(8*$DV137)+'LINEST VARS'!$F$70*(8*$DZ$128)+'LINEST VARS'!$E$70*(8*0.5)+'LINEST VARS'!$D$70*(8*$DV137)+'LINEST VARS'!$C$70*($DZ$128*0.5)+'LINEST VARS'!$B$70*($DZ$128*$DV137)+'LINEST VARS'!$A$70*(0.5*$DV137)</f>
        <v>90.800000000000011</v>
      </c>
      <c r="EA137" s="46">
        <f>'LINEST VARS'!$U$70+'LINEST VARS'!$T$70*(8)+'LINEST VARS'!$S$70*(8)+'LINEST VARS'!$R$70*($EA$128)+'LINEST VARS'!$Q$70*(0.5)+'LINEST VARS'!$P$70*($DV137)+'LINEST VARS'!$O$70*(8^2)+'LINEST VARS'!$N$70*(8^2)+'LINEST VARS'!$M$70*($EA$128^2)+'LINEST VARS'!$L$70*(0.5^2)+'LINEST VARS'!$K$70*($DV137^2)+'LINEST VARS'!$J$70*(8*8)+'LINEST VARS'!$I$70*(8*$EA$128)+'LINEST VARS'!$H$70*(8*0.5)+'LINEST VARS'!$G$70*(8*$DV137)+'LINEST VARS'!$F$70*(8*$EA$128)+'LINEST VARS'!$E$70*(8*0.5)+'LINEST VARS'!$D$70*(8*$DV137)+'LINEST VARS'!$C$70*($EA$128*0.5)+'LINEST VARS'!$B$70*($EA$128*$DV137)+'LINEST VARS'!$A$70*(0.5*$DV137)</f>
        <v>90.40000000000002</v>
      </c>
      <c r="EB137" s="46">
        <f>'LINEST VARS'!$U$70+'LINEST VARS'!$T$70*(8)+'LINEST VARS'!$S$70*(8)+'LINEST VARS'!$R$70*($EB$128)+'LINEST VARS'!$Q$70*(0.5)+'LINEST VARS'!$P$70*($DV137)+'LINEST VARS'!$O$70*(8^2)+'LINEST VARS'!$N$70*(8^2)+'LINEST VARS'!$M$70*($EB$128^2)+'LINEST VARS'!$L$70*(0.5^2)+'LINEST VARS'!$K$70*($DV137^2)+'LINEST VARS'!$J$70*(8*8)+'LINEST VARS'!$I$70*(8*$EB$128)+'LINEST VARS'!$H$70*(8*0.5)+'LINEST VARS'!$G$70*(8*$DV137)+'LINEST VARS'!$F$70*(8*$EB$128)+'LINEST VARS'!$E$70*(8*0.5)+'LINEST VARS'!$D$70*(8*$DV137)+'LINEST VARS'!$C$70*($EB$128*0.5)+'LINEST VARS'!$B$70*($EB$128*$DV137)+'LINEST VARS'!$A$70*(0.5*$DV137)</f>
        <v>90.000000000000014</v>
      </c>
      <c r="EC137" s="46">
        <f>'LINEST VARS'!$U$70+'LINEST VARS'!$T$70*(8)+'LINEST VARS'!$S$70*(8)+'LINEST VARS'!$R$70*($EC$128)+'LINEST VARS'!$Q$70*(0.5)+'LINEST VARS'!$P$70*($DV137)+'LINEST VARS'!$O$70*(8^2)+'LINEST VARS'!$N$70*(8^2)+'LINEST VARS'!$M$70*($EC$128^2)+'LINEST VARS'!$L$70*(0.5^2)+'LINEST VARS'!$K$70*($DV137^2)+'LINEST VARS'!$J$70*(8*8)+'LINEST VARS'!$I$70*(8*$EC$128)+'LINEST VARS'!$H$70*(8*0.5)+'LINEST VARS'!$G$70*(8*$DV137)+'LINEST VARS'!$F$70*(8*$EC$128)+'LINEST VARS'!$E$70*(8*0.5)+'LINEST VARS'!$D$70*(8*$DV137)+'LINEST VARS'!$C$70*($EC$128*0.5)+'LINEST VARS'!$B$70*($EC$128*$DV137)+'LINEST VARS'!$A$70*(0.5*$DV137)</f>
        <v>89.600000000000023</v>
      </c>
      <c r="ED137" s="46">
        <f>'LINEST VARS'!$U$70+'LINEST VARS'!$T$70*(8)+'LINEST VARS'!$S$70*(8)+'LINEST VARS'!$R$70*($ED$128)+'LINEST VARS'!$Q$70*(0.5)+'LINEST VARS'!$P$70*($DV137)+'LINEST VARS'!$O$70*(8^2)+'LINEST VARS'!$N$70*(8^2)+'LINEST VARS'!$M$70*($ED$128^2)+'LINEST VARS'!$L$70*(0.5^2)+'LINEST VARS'!$K$70*($DV137^2)+'LINEST VARS'!$J$70*(8*8)+'LINEST VARS'!$I$70*(8*$ED$128)+'LINEST VARS'!$H$70*(8*0.5)+'LINEST VARS'!$G$70*(8*$DV137)+'LINEST VARS'!$F$70*(8*$ED$128)+'LINEST VARS'!$E$70*(8*0.5)+'LINEST VARS'!$D$70*(8*$DV137)+'LINEST VARS'!$C$70*($ED$128*0.5)+'LINEST VARS'!$B$70*($ED$128*$DV137)+'LINEST VARS'!$A$70*(0.5*$DV137)</f>
        <v>89.200000000000017</v>
      </c>
      <c r="EE137" s="46">
        <f>'LINEST VARS'!$U$70+'LINEST VARS'!$T$70*(8)+'LINEST VARS'!$S$70*(8)+'LINEST VARS'!$R$70*($EE$128)+'LINEST VARS'!$Q$70*(0.5)+'LINEST VARS'!$P$70*($DV137)+'LINEST VARS'!$O$70*(8^2)+'LINEST VARS'!$N$70*(8^2)+'LINEST VARS'!$M$70*($EE$128^2)+'LINEST VARS'!$L$70*(0.5^2)+'LINEST VARS'!$K$70*($DV137^2)+'LINEST VARS'!$J$70*(8*8)+'LINEST VARS'!$I$70*(8*$EE$128)+'LINEST VARS'!$H$70*(8*0.5)+'LINEST VARS'!$G$70*(8*$DV137)+'LINEST VARS'!$F$70*(8*$EE$128)+'LINEST VARS'!$E$70*(8*0.5)+'LINEST VARS'!$D$70*(8*$DV137)+'LINEST VARS'!$C$70*($EE$128*0.5)+'LINEST VARS'!$B$70*($EE$128*$DV137)+'LINEST VARS'!$A$70*(0.5*$DV137)</f>
        <v>88.800000000000026</v>
      </c>
      <c r="EF137" s="46">
        <f>'LINEST VARS'!$U$70+'LINEST VARS'!$T$70*(8)+'LINEST VARS'!$S$70*(8)+'LINEST VARS'!$R$70*($EF$128)+'LINEST VARS'!$Q$70*(0.5)+'LINEST VARS'!$P$70*($DV137)+'LINEST VARS'!$O$70*(8^2)+'LINEST VARS'!$N$70*(8^2)+'LINEST VARS'!$M$70*($EF$128^2)+'LINEST VARS'!$L$70*(0.5^2)+'LINEST VARS'!$K$70*($DV137^2)+'LINEST VARS'!$J$70*(8*8)+'LINEST VARS'!$I$70*(8*$EF$128)+'LINEST VARS'!$H$70*(8*0.5)+'LINEST VARS'!$G$70*(8*$DV137)+'LINEST VARS'!$F$70*(8*$EF$128)+'LINEST VARS'!$E$70*(8*0.5)+'LINEST VARS'!$D$70*(8*$DV137)+'LINEST VARS'!$C$70*($EF$128*0.5)+'LINEST VARS'!$B$70*($EF$128*$DV137)+'LINEST VARS'!$A$70*(0.5*$DV137)</f>
        <v>88.40000000000002</v>
      </c>
      <c r="EG137" s="46">
        <f>'LINEST VARS'!$U$70+'LINEST VARS'!$T$70*(8)+'LINEST VARS'!$S$70*(8)+'LINEST VARS'!$R$70*($EG$128)+'LINEST VARS'!$Q$70*(0.5)+'LINEST VARS'!$P$70*($DV137)+'LINEST VARS'!$O$70*(8^2)+'LINEST VARS'!$N$70*(8^2)+'LINEST VARS'!$M$70*($EG$128^2)+'LINEST VARS'!$L$70*(0.5^2)+'LINEST VARS'!$K$70*($DV137^2)+'LINEST VARS'!$J$70*(8*8)+'LINEST VARS'!$I$70*(8*$EG$128)+'LINEST VARS'!$H$70*(8*0.5)+'LINEST VARS'!$G$70*(8*$DV137)+'LINEST VARS'!$F$70*(8*$EG$128)+'LINEST VARS'!$E$70*(8*0.5)+'LINEST VARS'!$D$70*(8*$DV137)+'LINEST VARS'!$C$70*($EG$128*0.5)+'LINEST VARS'!$B$70*($EG$128*$DV137)+'LINEST VARS'!$A$70*(0.5*$DV137)</f>
        <v>88.000000000000014</v>
      </c>
      <c r="EH137" s="46">
        <f>'LINEST VARS'!$U$70+'LINEST VARS'!$T$70*(8)+'LINEST VARS'!$S$70*(8)+'LINEST VARS'!$R$70*($EH$128)+'LINEST VARS'!$Q$70*(0.5)+'LINEST VARS'!$P$70*($DV137)+'LINEST VARS'!$O$70*(8^2)+'LINEST VARS'!$N$70*(8^2)+'LINEST VARS'!$M$70*($EH$128^2)+'LINEST VARS'!$L$70*(0.5^2)+'LINEST VARS'!$K$70*($DV137^2)+'LINEST VARS'!$J$70*(8*8)+'LINEST VARS'!$I$70*(8*$EH$128)+'LINEST VARS'!$H$70*(8*0.5)+'LINEST VARS'!$G$70*(8*$DV137)+'LINEST VARS'!$F$70*(8*$EH$128)+'LINEST VARS'!$E$70*(8*0.5)+'LINEST VARS'!$D$70*(8*$DV137)+'LINEST VARS'!$C$70*($EH$128*0.5)+'LINEST VARS'!$B$70*($EH$128*$DV137)+'LINEST VARS'!$A$70*(0.5*$DV137)</f>
        <v>87.600000000000023</v>
      </c>
      <c r="EI137" s="46">
        <f>'LINEST VARS'!$U$70+'LINEST VARS'!$T$70*(8)+'LINEST VARS'!$S$70*(8)+'LINEST VARS'!$R$70*($EI$128)+'LINEST VARS'!$Q$70*(0.5)+'LINEST VARS'!$P$70*($DV137)+'LINEST VARS'!$O$70*(8^2)+'LINEST VARS'!$N$70*(8^2)+'LINEST VARS'!$M$70*($EI$128^2)+'LINEST VARS'!$L$70*(0.5^2)+'LINEST VARS'!$K$70*($DV137^2)+'LINEST VARS'!$J$70*(8*8)+'LINEST VARS'!$I$70*(8*$EI$128)+'LINEST VARS'!$H$70*(8*0.5)+'LINEST VARS'!$G$70*(8*$DV137)+'LINEST VARS'!$F$70*(8*$EI$128)+'LINEST VARS'!$E$70*(8*0.5)+'LINEST VARS'!$D$70*(8*$DV137)+'LINEST VARS'!$C$70*($EI$128*0.5)+'LINEST VARS'!$B$70*($EI$128*$DV137)+'LINEST VARS'!$A$70*(0.5*$DV137)</f>
        <v>87.200000000000017</v>
      </c>
      <c r="EJ137" s="46">
        <f>'LINEST VARS'!$U$70+'LINEST VARS'!$T$70*(8)+'LINEST VARS'!$S$70*(8)+'LINEST VARS'!$R$70*($EJ$128)+'LINEST VARS'!$Q$70*(0.5)+'LINEST VARS'!$P$70*($DV137)+'LINEST VARS'!$O$70*(8^2)+'LINEST VARS'!$N$70*(8^2)+'LINEST VARS'!$M$70*($EJ$128^2)+'LINEST VARS'!$L$70*(0.5^2)+'LINEST VARS'!$K$70*($DV137^2)+'LINEST VARS'!$J$70*(8*8)+'LINEST VARS'!$I$70*(8*$EJ$128)+'LINEST VARS'!$H$70*(8*0.5)+'LINEST VARS'!$G$70*(8*$DV137)+'LINEST VARS'!$F$70*(8*$EJ$128)+'LINEST VARS'!$E$70*(8*0.5)+'LINEST VARS'!$D$70*(8*$DV137)+'LINEST VARS'!$C$70*($EJ$128*0.5)+'LINEST VARS'!$B$70*($EJ$128*$DV137)+'LINEST VARS'!$A$70*(0.5*$DV137)</f>
        <v>86.800000000000026</v>
      </c>
      <c r="EK137" s="46">
        <f>'LINEST VARS'!$U$70+'LINEST VARS'!$T$70*(8)+'LINEST VARS'!$S$70*(8)+'LINEST VARS'!$R$70*($EK$128)+'LINEST VARS'!$Q$70*(0.5)+'LINEST VARS'!$P$70*($DV137)+'LINEST VARS'!$O$70*(8^2)+'LINEST VARS'!$N$70*(8^2)+'LINEST VARS'!$M$70*($EK$128^2)+'LINEST VARS'!$L$70*(0.5^2)+'LINEST VARS'!$K$70*($DV137^2)+'LINEST VARS'!$J$70*(8*8)+'LINEST VARS'!$I$70*(8*$EK$128)+'LINEST VARS'!$H$70*(8*0.5)+'LINEST VARS'!$G$70*(8*$DV137)+'LINEST VARS'!$F$70*(8*$EK$128)+'LINEST VARS'!$E$70*(8*0.5)+'LINEST VARS'!$D$70*(8*$DV137)+'LINEST VARS'!$C$70*($EK$128*0.5)+'LINEST VARS'!$B$70*($EK$128*$DV137)+'LINEST VARS'!$A$70*(0.5*$DV137)</f>
        <v>86.40000000000002</v>
      </c>
      <c r="EL137" s="46">
        <f>'LINEST VARS'!$U$70+'LINEST VARS'!$T$70*(8)+'LINEST VARS'!$S$70*(8)+'LINEST VARS'!$R$70*($EL$128)+'LINEST VARS'!$Q$70*(0.5)+'LINEST VARS'!$P$70*($DV137)+'LINEST VARS'!$O$70*(8^2)+'LINEST VARS'!$N$70*(8^2)+'LINEST VARS'!$M$70*($EL$128^2)+'LINEST VARS'!$L$70*(0.5^2)+'LINEST VARS'!$K$70*($DV137^2)+'LINEST VARS'!$J$70*(8*8)+'LINEST VARS'!$I$70*(8*$EL$128)+'LINEST VARS'!$H$70*(8*0.5)+'LINEST VARS'!$G$70*(8*$DV137)+'LINEST VARS'!$F$70*(8*$EL$128)+'LINEST VARS'!$E$70*(8*0.5)+'LINEST VARS'!$D$70*(8*$DV137)+'LINEST VARS'!$C$70*($EL$128*0.5)+'LINEST VARS'!$B$70*($EL$128*$DV137)+'LINEST VARS'!$A$70*(0.5*$DV137)</f>
        <v>86.000000000000014</v>
      </c>
      <c r="EM137" s="46">
        <f>'LINEST VARS'!$U$70+'LINEST VARS'!$T$70*(8)+'LINEST VARS'!$S$70*(8)+'LINEST VARS'!$R$70*($EM$128)+'LINEST VARS'!$Q$70*(0.5)+'LINEST VARS'!$P$70*($DV137)+'LINEST VARS'!$O$70*(8^2)+'LINEST VARS'!$N$70*(8^2)+'LINEST VARS'!$M$70*($EM$128^2)+'LINEST VARS'!$L$70*(0.5^2)+'LINEST VARS'!$K$70*($DV137^2)+'LINEST VARS'!$J$70*(8*8)+'LINEST VARS'!$I$70*(8*$EM$128)+'LINEST VARS'!$H$70*(8*0.5)+'LINEST VARS'!$G$70*(8*$DV137)+'LINEST VARS'!$F$70*(8*$EM$128)+'LINEST VARS'!$E$70*(8*0.5)+'LINEST VARS'!$D$70*(8*$DV137)+'LINEST VARS'!$C$70*($EM$128*0.5)+'LINEST VARS'!$B$70*($EM$128*$DV137)+'LINEST VARS'!$A$70*(0.5*$DV137)</f>
        <v>85.600000000000009</v>
      </c>
      <c r="EN137" s="46">
        <f>'LINEST VARS'!$U$70+'LINEST VARS'!$T$70*(8)+'LINEST VARS'!$S$70*(8)+'LINEST VARS'!$R$70*($EN$128)+'LINEST VARS'!$Q$70*(0.5)+'LINEST VARS'!$P$70*($DV137)+'LINEST VARS'!$O$70*(8^2)+'LINEST VARS'!$N$70*(8^2)+'LINEST VARS'!$M$70*($EN$128^2)+'LINEST VARS'!$L$70*(0.5^2)+'LINEST VARS'!$K$70*($DV137^2)+'LINEST VARS'!$J$70*(8*8)+'LINEST VARS'!$I$70*(8*$EN$128)+'LINEST VARS'!$H$70*(8*0.5)+'LINEST VARS'!$G$70*(8*$DV137)+'LINEST VARS'!$F$70*(8*$EN$128)+'LINEST VARS'!$E$70*(8*0.5)+'LINEST VARS'!$D$70*(8*$DV137)+'LINEST VARS'!$C$70*($EN$128*0.5)+'LINEST VARS'!$B$70*($EN$128*$DV137)+'LINEST VARS'!$A$70*(0.5*$DV137)</f>
        <v>85.200000000000017</v>
      </c>
      <c r="EO137" s="46">
        <f>'LINEST VARS'!$U$70+'LINEST VARS'!$T$70*(8)+'LINEST VARS'!$S$70*(8)+'LINEST VARS'!$R$70*($EO$128)+'LINEST VARS'!$Q$70*(0.5)+'LINEST VARS'!$P$70*($DV137)+'LINEST VARS'!$O$70*(8^2)+'LINEST VARS'!$N$70*(8^2)+'LINEST VARS'!$M$70*($EO$128^2)+'LINEST VARS'!$L$70*(0.5^2)+'LINEST VARS'!$K$70*($DV137^2)+'LINEST VARS'!$J$70*(8*8)+'LINEST VARS'!$I$70*(8*$EO$128)+'LINEST VARS'!$H$70*(8*0.5)+'LINEST VARS'!$G$70*(8*$DV137)+'LINEST VARS'!$F$70*(8*$EO$128)+'LINEST VARS'!$E$70*(8*0.5)+'LINEST VARS'!$D$70*(8*$DV137)+'LINEST VARS'!$C$70*($EO$128*0.5)+'LINEST VARS'!$B$70*($EO$128*$DV137)+'LINEST VARS'!$A$70*(0.5*$DV137)</f>
        <v>84.800000000000011</v>
      </c>
      <c r="EP137" s="46">
        <f>'LINEST VARS'!$U$70+'LINEST VARS'!$T$70*(8)+'LINEST VARS'!$S$70*(8)+'LINEST VARS'!$R$70*($EP$128)+'LINEST VARS'!$Q$70*(0.5)+'LINEST VARS'!$P$70*($DV137)+'LINEST VARS'!$O$70*(8^2)+'LINEST VARS'!$N$70*(8^2)+'LINEST VARS'!$M$70*($EP$128^2)+'LINEST VARS'!$L$70*(0.5^2)+'LINEST VARS'!$K$70*($DV137^2)+'LINEST VARS'!$J$70*(8*8)+'LINEST VARS'!$I$70*(8*$EP$128)+'LINEST VARS'!$H$70*(8*0.5)+'LINEST VARS'!$G$70*(8*$DV137)+'LINEST VARS'!$F$70*(8*$EP$128)+'LINEST VARS'!$E$70*(8*0.5)+'LINEST VARS'!$D$70*(8*$DV137)+'LINEST VARS'!$C$70*($EP$128*0.5)+'LINEST VARS'!$B$70*($EP$128*$DV137)+'LINEST VARS'!$A$70*(0.5*$DV137)</f>
        <v>84.400000000000034</v>
      </c>
      <c r="EQ137" s="47">
        <f>'LINEST VARS'!$U$70+'LINEST VARS'!$T$70*(8)+'LINEST VARS'!$S$70*(8)+'LINEST VARS'!$R$70*($EQ$128)+'LINEST VARS'!$Q$70*(0.5)+'LINEST VARS'!$P$70*($DV137)+'LINEST VARS'!$O$70*(8^2)+'LINEST VARS'!$N$70*(8^2)+'LINEST VARS'!$M$70*($EQ$128^2)+'LINEST VARS'!$L$70*(0.5^2)+'LINEST VARS'!$K$70*($DV137^2)+'LINEST VARS'!$J$70*(8*8)+'LINEST VARS'!$I$70*(8*$EQ$128)+'LINEST VARS'!$H$70*(8*0.5)+'LINEST VARS'!$G$70*(8*$DV137)+'LINEST VARS'!$F$70*(8*$EQ$128)+'LINEST VARS'!$E$70*(8*0.5)+'LINEST VARS'!$D$70*(8*$DV137)+'LINEST VARS'!$C$70*($EQ$128*0.5)+'LINEST VARS'!$B$70*($EQ$128*$DV137)+'LINEST VARS'!$A$70*(0.5*$DV137)</f>
        <v>84.000000000000028</v>
      </c>
    </row>
    <row r="138" spans="2:147" ht="15" customHeight="1" x14ac:dyDescent="0.25">
      <c r="B138" s="45">
        <v>7.94</v>
      </c>
      <c r="C138" s="46">
        <f>'LINEST VARS'!$U$68+'LINEST VARS'!$T$68*($C$128)+'LINEST VARS'!$S$68*($B138)+'LINEST VARS'!$R$68*(4)+'LINEST VARS'!$Q$68*(0.5)+'LINEST VARS'!$P$68*(12.73)+'LINEST VARS'!$O$68*($C$128^2)+'LINEST VARS'!$N$68*($B138^2)+'LINEST VARS'!$M$68*(4^2)+'LINEST VARS'!$L$68*(0.5^2)+'LINEST VARS'!$K$68*(12.73^2)+'LINEST VARS'!$J$68*($C$128*$B138)+'LINEST VARS'!$I$68*($C$128*4)+'LINEST VARS'!$H$68*($C$128*0.5)+'LINEST VARS'!$G$68*($C$128*12.73)+'LINEST VARS'!$F$68*($B138*4)+'LINEST VARS'!$E$68*($B138*0.5)+'LINEST VARS'!$D$68*($B138*12.73)+'LINEST VARS'!$C$68*(4*0.5)+'LINEST VARS'!$B$68*(4*12.73)+'LINEST VARS'!$A$68*(0.5*12.73)</f>
        <v>149</v>
      </c>
      <c r="D138" s="46">
        <f>'LINEST VARS'!$U$68+'LINEST VARS'!$T$68*($D$128)+'LINEST VARS'!$S$68*($B138)+'LINEST VARS'!$R$68*(4)+'LINEST VARS'!$Q$68*(0.5)+'LINEST VARS'!$P$68*(12.73)+'LINEST VARS'!$O$68*($D$128^2)+'LINEST VARS'!$N$68*($B138^2)+'LINEST VARS'!$M$68*(4^2)+'LINEST VARS'!$L$68*(0.5^2)+'LINEST VARS'!$K$68*(12.73^2)+'LINEST VARS'!$J$68*($D$128*$B138)+'LINEST VARS'!$I$68*($D$128*4)+'LINEST VARS'!$H$68*($D$128*0.5)+'LINEST VARS'!$G$68*($D$128*12.73)+'LINEST VARS'!$F$68*($B138*4)+'LINEST VARS'!$E$68*($B138*0.5)+'LINEST VARS'!$D$68*($B138*12.73)+'LINEST VARS'!$C$68*(4*0.5)+'LINEST VARS'!$B$68*(4*12.73)+'LINEST VARS'!$A$68*(0.5*12.73)</f>
        <v>149</v>
      </c>
      <c r="E138" s="46">
        <f>'LINEST VARS'!$U$68+'LINEST VARS'!$T$68*($E$128)+'LINEST VARS'!$S$68*($B138)+'LINEST VARS'!$R$68*(4)+'LINEST VARS'!$Q$68*(0.5)+'LINEST VARS'!$P$68*(12.73)+'LINEST VARS'!$O$68*($E$128^2)+'LINEST VARS'!$N$68*($B138^2)+'LINEST VARS'!$M$68*(4^2)+'LINEST VARS'!$L$68*(0.5^2)+'LINEST VARS'!$K$68*(12.73^2)+'LINEST VARS'!$J$68*($E$128*$B138)+'LINEST VARS'!$I$68*($E$128*4)+'LINEST VARS'!$H$68*($E$128*0.5)+'LINEST VARS'!$G$68*($E$128*12.73)+'LINEST VARS'!$F$68*($B138*4)+'LINEST VARS'!$E$68*($B138*0.5)+'LINEST VARS'!$D$68*($B138*12.73)+'LINEST VARS'!$C$68*(4*0.5)+'LINEST VARS'!$B$68*(4*12.73)+'LINEST VARS'!$A$68*(0.5*12.73)</f>
        <v>149</v>
      </c>
      <c r="F138" s="46">
        <f>'LINEST VARS'!$U$68+'LINEST VARS'!$T$68*($F$128)+'LINEST VARS'!$S$68*($B138)+'LINEST VARS'!$R$68*(4)+'LINEST VARS'!$Q$68*(0.5)+'LINEST VARS'!$P$68*(12.73)+'LINEST VARS'!$O$68*($F$128^2)+'LINEST VARS'!$N$68*($B138^2)+'LINEST VARS'!$M$68*(4^2)+'LINEST VARS'!$L$68*(0.5^2)+'LINEST VARS'!$K$68*(12.73^2)+'LINEST VARS'!$J$68*($F$128*$B138)+'LINEST VARS'!$I$68*($F$128*4)+'LINEST VARS'!$H$68*($F$128*0.5)+'LINEST VARS'!$G$68*($F$128*12.73)+'LINEST VARS'!$F$68*($B138*4)+'LINEST VARS'!$E$68*($B138*0.5)+'LINEST VARS'!$D$68*($B138*12.73)+'LINEST VARS'!$C$68*(4*0.5)+'LINEST VARS'!$B$68*(4*12.73)+'LINEST VARS'!$A$68*(0.5*12.73)</f>
        <v>149</v>
      </c>
      <c r="G138" s="46">
        <f>'LINEST VARS'!$U$68+'LINEST VARS'!$T$68*($G$128)+'LINEST VARS'!$S$68*($B138)+'LINEST VARS'!$R$68*(4)+'LINEST VARS'!$Q$68*(0.5)+'LINEST VARS'!$P$68*(12.73)+'LINEST VARS'!$O$68*($G$128^2)+'LINEST VARS'!$N$68*($B138^2)+'LINEST VARS'!$M$68*(4^2)+'LINEST VARS'!$L$68*(0.5^2)+'LINEST VARS'!$K$68*(12.73^2)+'LINEST VARS'!$J$68*($G$128*$B138)+'LINEST VARS'!$I$68*($G$128*4)+'LINEST VARS'!$H$68*($G$128*0.5)+'LINEST VARS'!$G$68*($G$128*12.73)+'LINEST VARS'!$F$68*($B138*4)+'LINEST VARS'!$E$68*($B138*0.5)+'LINEST VARS'!$D$68*($B138*12.73)+'LINEST VARS'!$C$68*(4*0.5)+'LINEST VARS'!$B$68*(4*12.73)+'LINEST VARS'!$A$68*(0.5*12.73)</f>
        <v>149</v>
      </c>
      <c r="H138" s="46">
        <f>'LINEST VARS'!$U$68+'LINEST VARS'!$T$68*($H$128)+'LINEST VARS'!$S$68*($B138)+'LINEST VARS'!$R$68*(4)+'LINEST VARS'!$Q$68*(0.5)+'LINEST VARS'!$P$68*(12.73)+'LINEST VARS'!$O$68*($H$128^2)+'LINEST VARS'!$N$68*($B138^2)+'LINEST VARS'!$M$68*(4^2)+'LINEST VARS'!$L$68*(0.5^2)+'LINEST VARS'!$K$68*(12.73^2)+'LINEST VARS'!$J$68*($H$128*$B138)+'LINEST VARS'!$I$68*($H$128*4)+'LINEST VARS'!$H$68*($H$128*0.5)+'LINEST VARS'!$G$68*($H$128*12.73)+'LINEST VARS'!$F$68*($B138*4)+'LINEST VARS'!$E$68*($B138*0.5)+'LINEST VARS'!$D$68*($B138*12.73)+'LINEST VARS'!$C$68*(4*0.5)+'LINEST VARS'!$B$68*(4*12.73)+'LINEST VARS'!$A$68*(0.5*12.73)</f>
        <v>149</v>
      </c>
      <c r="I138" s="46">
        <f>'LINEST VARS'!$U$68+'LINEST VARS'!$T$68*($I$128)+'LINEST VARS'!$S$68*($B138)+'LINEST VARS'!$R$68*(4)+'LINEST VARS'!$Q$68*(0.5)+'LINEST VARS'!$P$68*(12.73)+'LINEST VARS'!$O$68*($I$128^2)+'LINEST VARS'!$N$68*($B138^2)+'LINEST VARS'!$M$68*(4^2)+'LINEST VARS'!$L$68*(0.5^2)+'LINEST VARS'!$K$68*(12.73^2)+'LINEST VARS'!$J$68*($I$128*$B138)+'LINEST VARS'!$I$68*($I$128*4)+'LINEST VARS'!$H$68*($I$128*0.5)+'LINEST VARS'!$G$68*($I$128*12.73)+'LINEST VARS'!$F$68*($B138*4)+'LINEST VARS'!$E$68*($B138*0.5)+'LINEST VARS'!$D$68*($B138*12.73)+'LINEST VARS'!$C$68*(4*0.5)+'LINEST VARS'!$B$68*(4*12.73)+'LINEST VARS'!$A$68*(0.5*12.73)</f>
        <v>149</v>
      </c>
      <c r="J138" s="46">
        <f>'LINEST VARS'!$U$68+'LINEST VARS'!$T$68*($J$128)+'LINEST VARS'!$S$68*($B138)+'LINEST VARS'!$R$68*(4)+'LINEST VARS'!$Q$68*(0.5)+'LINEST VARS'!$P$68*(12.73)+'LINEST VARS'!$O$68*($J$128^2)+'LINEST VARS'!$N$68*($B138^2)+'LINEST VARS'!$M$68*(4^2)+'LINEST VARS'!$L$68*(0.5^2)+'LINEST VARS'!$K$68*(12.73^2)+'LINEST VARS'!$J$68*($J$128*$B138)+'LINEST VARS'!$I$68*($J$128*4)+'LINEST VARS'!$H$68*($J$128*0.5)+'LINEST VARS'!$G$68*($J$128*12.73)+'LINEST VARS'!$F$68*($B138*4)+'LINEST VARS'!$E$68*($B138*0.5)+'LINEST VARS'!$D$68*($B138*12.73)+'LINEST VARS'!$C$68*(4*0.5)+'LINEST VARS'!$B$68*(4*12.73)+'LINEST VARS'!$A$68*(0.5*12.73)</f>
        <v>149</v>
      </c>
      <c r="K138" s="46">
        <f>'LINEST VARS'!$U$68+'LINEST VARS'!$T$68*($K$128)+'LINEST VARS'!$S$68*($B138)+'LINEST VARS'!$R$68*(4)+'LINEST VARS'!$Q$68*(0.5)+'LINEST VARS'!$P$68*(12.73)+'LINEST VARS'!$O$68*($K$128^2)+'LINEST VARS'!$N$68*($B138^2)+'LINEST VARS'!$M$68*(4^2)+'LINEST VARS'!$L$68*(0.5^2)+'LINEST VARS'!$K$68*(12.73^2)+'LINEST VARS'!$J$68*($K$128*$B138)+'LINEST VARS'!$I$68*($K$128*4)+'LINEST VARS'!$H$68*($K$128*0.5)+'LINEST VARS'!$G$68*($K$128*12.73)+'LINEST VARS'!$F$68*($B138*4)+'LINEST VARS'!$E$68*($B138*0.5)+'LINEST VARS'!$D$68*($B138*12.73)+'LINEST VARS'!$C$68*(4*0.5)+'LINEST VARS'!$B$68*(4*12.73)+'LINEST VARS'!$A$68*(0.5*12.73)</f>
        <v>149</v>
      </c>
      <c r="L138" s="46">
        <f>'LINEST VARS'!$U$68+'LINEST VARS'!$T$68*($L$128)+'LINEST VARS'!$S$68*($B138)+'LINEST VARS'!$R$68*(4)+'LINEST VARS'!$Q$68*(0.5)+'LINEST VARS'!$P$68*(12.73)+'LINEST VARS'!$O$68*($L$128^2)+'LINEST VARS'!$N$68*($B138^2)+'LINEST VARS'!$M$68*(4^2)+'LINEST VARS'!$L$68*(0.5^2)+'LINEST VARS'!$K$68*(12.73^2)+'LINEST VARS'!$J$68*($L$128*$B138)+'LINEST VARS'!$I$68*($L$128*4)+'LINEST VARS'!$H$68*($L$128*0.5)+'LINEST VARS'!$G$68*($L$128*12.73)+'LINEST VARS'!$F$68*($B138*4)+'LINEST VARS'!$E$68*($B138*0.5)+'LINEST VARS'!$D$68*($B138*12.73)+'LINEST VARS'!$C$68*(4*0.5)+'LINEST VARS'!$B$68*(4*12.73)+'LINEST VARS'!$A$68*(0.5*12.73)</f>
        <v>149</v>
      </c>
      <c r="M138" s="46">
        <f>'LINEST VARS'!$U$68+'LINEST VARS'!$T$68*($M$128)+'LINEST VARS'!$S$68*($B138)+'LINEST VARS'!$R$68*(4)+'LINEST VARS'!$Q$68*(0.5)+'LINEST VARS'!$P$68*(12.73)+'LINEST VARS'!$O$68*($M$128^2)+'LINEST VARS'!$N$68*($B138^2)+'LINEST VARS'!$M$68*(4^2)+'LINEST VARS'!$L$68*(0.5^2)+'LINEST VARS'!$K$68*(12.73^2)+'LINEST VARS'!$J$68*($M$128*$B138)+'LINEST VARS'!$I$68*($M$128*4)+'LINEST VARS'!$H$68*($M$128*0.5)+'LINEST VARS'!$G$68*($M$128*12.73)+'LINEST VARS'!$F$68*($B138*4)+'LINEST VARS'!$E$68*($B138*0.5)+'LINEST VARS'!$D$68*($B138*12.73)+'LINEST VARS'!$C$68*(4*0.5)+'LINEST VARS'!$B$68*(4*12.73)+'LINEST VARS'!$A$68*(0.5*12.73)</f>
        <v>149</v>
      </c>
      <c r="N138" s="46">
        <f>'LINEST VARS'!$U$68+'LINEST VARS'!$T$68*($N$128)+'LINEST VARS'!$S$68*($B138)+'LINEST VARS'!$R$68*(4)+'LINEST VARS'!$Q$68*(0.5)+'LINEST VARS'!$P$68*(12.73)+'LINEST VARS'!$O$68*($N$128^2)+'LINEST VARS'!$N$68*($B138^2)+'LINEST VARS'!$M$68*(4^2)+'LINEST VARS'!$L$68*(0.5^2)+'LINEST VARS'!$K$68*(12.73^2)+'LINEST VARS'!$J$68*($N$128*$B138)+'LINEST VARS'!$I$68*($N$128*4)+'LINEST VARS'!$H$68*($N$128*0.5)+'LINEST VARS'!$G$68*($N$128*12.73)+'LINEST VARS'!$F$68*($B138*4)+'LINEST VARS'!$E$68*($B138*0.5)+'LINEST VARS'!$D$68*($B138*12.73)+'LINEST VARS'!$C$68*(4*0.5)+'LINEST VARS'!$B$68*(4*12.73)+'LINEST VARS'!$A$68*(0.5*12.73)</f>
        <v>149</v>
      </c>
      <c r="O138" s="46">
        <f>'LINEST VARS'!$U$68+'LINEST VARS'!$T$68*($O$128)+'LINEST VARS'!$S$68*($B138)+'LINEST VARS'!$R$68*(4)+'LINEST VARS'!$Q$68*(0.5)+'LINEST VARS'!$P$68*(12.73)+'LINEST VARS'!$O$68*($O$128^2)+'LINEST VARS'!$N$68*($B138^2)+'LINEST VARS'!$M$68*(4^2)+'LINEST VARS'!$L$68*(0.5^2)+'LINEST VARS'!$K$68*(12.73^2)+'LINEST VARS'!$J$68*($O$128*$B138)+'LINEST VARS'!$I$68*($O$128*4)+'LINEST VARS'!$H$68*($O$128*0.5)+'LINEST VARS'!$G$68*($O$128*12.73)+'LINEST VARS'!$F$68*($B138*4)+'LINEST VARS'!$E$68*($B138*0.5)+'LINEST VARS'!$D$68*($B138*12.73)+'LINEST VARS'!$C$68*(4*0.5)+'LINEST VARS'!$B$68*(4*12.73)+'LINEST VARS'!$A$68*(0.5*12.73)</f>
        <v>149</v>
      </c>
      <c r="P138" s="46">
        <f>'LINEST VARS'!$U$68+'LINEST VARS'!$T$68*($P$128)+'LINEST VARS'!$S$68*($B138)+'LINEST VARS'!$R$68*(4)+'LINEST VARS'!$Q$68*(0.5)+'LINEST VARS'!$P$68*(12.73)+'LINEST VARS'!$O$68*($P$128^2)+'LINEST VARS'!$N$68*($B138^2)+'LINEST VARS'!$M$68*(4^2)+'LINEST VARS'!$L$68*(0.5^2)+'LINEST VARS'!$K$68*(12.73^2)+'LINEST VARS'!$J$68*($P$128*$B138)+'LINEST VARS'!$I$68*($P$128*4)+'LINEST VARS'!$H$68*($P$128*0.5)+'LINEST VARS'!$G$68*($P$128*12.73)+'LINEST VARS'!$F$68*($B138*4)+'LINEST VARS'!$E$68*($B138*0.5)+'LINEST VARS'!$D$68*($B138*12.73)+'LINEST VARS'!$C$68*(4*0.5)+'LINEST VARS'!$B$68*(4*12.73)+'LINEST VARS'!$A$68*(0.5*12.73)</f>
        <v>149</v>
      </c>
      <c r="Q138" s="46">
        <f>'LINEST VARS'!$U$68+'LINEST VARS'!$T$68*($Q$128)+'LINEST VARS'!$S$68*($B138)+'LINEST VARS'!$R$68*(4)+'LINEST VARS'!$Q$68*(0.5)+'LINEST VARS'!$P$68*(12.73)+'LINEST VARS'!$O$68*($Q$128^2)+'LINEST VARS'!$N$68*($B138^2)+'LINEST VARS'!$M$68*(4^2)+'LINEST VARS'!$L$68*(0.5^2)+'LINEST VARS'!$K$68*(12.73^2)+'LINEST VARS'!$J$68*($Q$128*$B138)+'LINEST VARS'!$I$68*($Q$128*4)+'LINEST VARS'!$H$68*($Q$128*0.5)+'LINEST VARS'!$G$68*($Q$128*12.73)+'LINEST VARS'!$F$68*($B138*4)+'LINEST VARS'!$E$68*($B138*0.5)+'LINEST VARS'!$D$68*($B138*12.73)+'LINEST VARS'!$C$68*(4*0.5)+'LINEST VARS'!$B$68*(4*12.73)+'LINEST VARS'!$A$68*(0.5*12.73)</f>
        <v>149</v>
      </c>
      <c r="R138" s="46">
        <f>'LINEST VARS'!$U$68+'LINEST VARS'!$T$68*($R$128)+'LINEST VARS'!$S$68*($B138)+'LINEST VARS'!$R$68*(4)+'LINEST VARS'!$Q$68*(0.5)+'LINEST VARS'!$P$68*(12.73)+'LINEST VARS'!$O$68*($R$128^2)+'LINEST VARS'!$N$68*($B138^2)+'LINEST VARS'!$M$68*(4^2)+'LINEST VARS'!$L$68*(0.5^2)+'LINEST VARS'!$K$68*(12.73^2)+'LINEST VARS'!$J$68*($R$128*$B138)+'LINEST VARS'!$I$68*($R$128*4)+'LINEST VARS'!$H$68*($R$128*0.5)+'LINEST VARS'!$G$68*($R$128*12.73)+'LINEST VARS'!$F$68*($B138*4)+'LINEST VARS'!$E$68*($B138*0.5)+'LINEST VARS'!$D$68*($B138*12.73)+'LINEST VARS'!$C$68*(4*0.5)+'LINEST VARS'!$B$68*(4*12.73)+'LINEST VARS'!$A$68*(0.5*12.73)</f>
        <v>149</v>
      </c>
      <c r="S138" s="46">
        <f>'LINEST VARS'!$U$68+'LINEST VARS'!$T$68*($S$128)+'LINEST VARS'!$S$68*($B138)+'LINEST VARS'!$R$68*(4)+'LINEST VARS'!$Q$68*(0.5)+'LINEST VARS'!$P$68*(12.73)+'LINEST VARS'!$O$68*($S$128^2)+'LINEST VARS'!$N$68*($B138^2)+'LINEST VARS'!$M$68*(4^2)+'LINEST VARS'!$L$68*(0.5^2)+'LINEST VARS'!$K$68*(12.73^2)+'LINEST VARS'!$J$68*($S$128*$B138)+'LINEST VARS'!$I$68*($S$128*4)+'LINEST VARS'!$H$68*($S$128*0.5)+'LINEST VARS'!$G$68*($S$128*12.73)+'LINEST VARS'!$F$68*($B138*4)+'LINEST VARS'!$E$68*($B138*0.5)+'LINEST VARS'!$D$68*($B138*12.73)+'LINEST VARS'!$C$68*(4*0.5)+'LINEST VARS'!$B$68*(4*12.73)+'LINEST VARS'!$A$68*(0.5*12.73)</f>
        <v>149</v>
      </c>
      <c r="T138" s="46">
        <f>'LINEST VARS'!$U$68+'LINEST VARS'!$T$68*($T$128)+'LINEST VARS'!$S$68*($B138)+'LINEST VARS'!$R$68*(4)+'LINEST VARS'!$Q$68*(0.5)+'LINEST VARS'!$P$68*(12.73)+'LINEST VARS'!$O$68*($T$128^2)+'LINEST VARS'!$N$68*($B138^2)+'LINEST VARS'!$M$68*(4^2)+'LINEST VARS'!$L$68*(0.5^2)+'LINEST VARS'!$K$68*(12.73^2)+'LINEST VARS'!$J$68*($T$128*$B138)+'LINEST VARS'!$I$68*($T$128*4)+'LINEST VARS'!$H$68*($T$128*0.5)+'LINEST VARS'!$G$68*($T$128*12.73)+'LINEST VARS'!$F$68*($B138*4)+'LINEST VARS'!$E$68*($B138*0.5)+'LINEST VARS'!$D$68*($B138*12.73)+'LINEST VARS'!$C$68*(4*0.5)+'LINEST VARS'!$B$68*(4*12.73)+'LINEST VARS'!$A$68*(0.5*12.73)</f>
        <v>149</v>
      </c>
      <c r="U138" s="46">
        <f>'LINEST VARS'!$U$68+'LINEST VARS'!$T$68*($U$128)+'LINEST VARS'!$S$68*($B138)+'LINEST VARS'!$R$68*(4)+'LINEST VARS'!$Q$68*(0.5)+'LINEST VARS'!$P$68*(12.73)+'LINEST VARS'!$O$68*($U$128^2)+'LINEST VARS'!$N$68*($B138^2)+'LINEST VARS'!$M$68*(4^2)+'LINEST VARS'!$L$68*(0.5^2)+'LINEST VARS'!$K$68*(12.73^2)+'LINEST VARS'!$J$68*($U$128*$B138)+'LINEST VARS'!$I$68*($U$128*4)+'LINEST VARS'!$H$68*($U$128*0.5)+'LINEST VARS'!$G$68*($U$128*12.73)+'LINEST VARS'!$F$68*($B138*4)+'LINEST VARS'!$E$68*($B138*0.5)+'LINEST VARS'!$D$68*($B138*12.73)+'LINEST VARS'!$C$68*(4*0.5)+'LINEST VARS'!$B$68*(4*12.73)+'LINEST VARS'!$A$68*(0.5*12.73)</f>
        <v>149</v>
      </c>
      <c r="V138" s="46">
        <f>'LINEST VARS'!$U$68+'LINEST VARS'!$T$68*($V$128)+'LINEST VARS'!$S$68*($B138)+'LINEST VARS'!$R$68*(4)+'LINEST VARS'!$Q$68*(0.5)+'LINEST VARS'!$P$68*(12.73)+'LINEST VARS'!$O$68*($V$128^2)+'LINEST VARS'!$N$68*($B138^2)+'LINEST VARS'!$M$68*(4^2)+'LINEST VARS'!$L$68*(0.5^2)+'LINEST VARS'!$K$68*(12.73^2)+'LINEST VARS'!$J$68*($V$128*$B138)+'LINEST VARS'!$I$68*($V$128*4)+'LINEST VARS'!$H$68*($V$128*0.5)+'LINEST VARS'!$G$68*($V$128*12.73)+'LINEST VARS'!$F$68*($B138*4)+'LINEST VARS'!$E$68*($B138*0.5)+'LINEST VARS'!$D$68*($B138*12.73)+'LINEST VARS'!$C$68*(4*0.5)+'LINEST VARS'!$B$68*(4*12.73)+'LINEST VARS'!$A$68*(0.5*12.73)</f>
        <v>149</v>
      </c>
      <c r="W138" s="47">
        <f>'LINEST VARS'!$U$68+'LINEST VARS'!$T$68*($W$128)+'LINEST VARS'!$S$68*($B138)+'LINEST VARS'!$R$68*(4)+'LINEST VARS'!$Q$68*(0.5)+'LINEST VARS'!$P$68*(12.73)+'LINEST VARS'!$O$68*($W$128^2)+'LINEST VARS'!$N$68*($B138^2)+'LINEST VARS'!$M$68*(4^2)+'LINEST VARS'!$L$68*(0.5^2)+'LINEST VARS'!$K$68*(12.73^2)+'LINEST VARS'!$J$68*($W$128*$B138)+'LINEST VARS'!$I$68*($W$128*4)+'LINEST VARS'!$H$68*($W$128*0.5)+'LINEST VARS'!$G$68*($W$128*12.73)+'LINEST VARS'!$F$68*($B138*4)+'LINEST VARS'!$E$68*($B138*0.5)+'LINEST VARS'!$D$68*($B138*12.73)+'LINEST VARS'!$C$68*(4*0.5)+'LINEST VARS'!$B$68*(4*12.73)+'LINEST VARS'!$A$68*(0.5*12.73)</f>
        <v>149</v>
      </c>
      <c r="Z138" s="45">
        <v>7.94</v>
      </c>
      <c r="AA138" s="46">
        <f>'LINEST VARS'!$U$70+'LINEST VARS'!$T$70*($AA$128)+'LINEST VARS'!$S$70*($Z138)+'LINEST VARS'!$R$70*(4)+'LINEST VARS'!$Q$70*(0.5)+'LINEST VARS'!$P$70*(12.73)+'LINEST VARS'!$O$70*($AA$128^2)+'LINEST VARS'!$N$70*($Z138^2)+'LINEST VARS'!$M$70*(4^2)+'LINEST VARS'!$L$70*(0.5^2)+'LINEST VARS'!$K$70*(12.73^2)+'LINEST VARS'!$J$70*($AA$128*$Z138)+'LINEST VARS'!$I$70*($AA$128*4)+'LINEST VARS'!$H$70*($AA$128*0.5)+'LINEST VARS'!$G$70*($AA$128*12.73)+'LINEST VARS'!$F$70*($Z138*4)+'LINEST VARS'!$E$70*($Z138*0.5)+'LINEST VARS'!$D$70*($Z138*12.73)+'LINEST VARS'!$C$70*(4*0.5)+'LINEST VARS'!$B$70*(4*12.73)+'LINEST VARS'!$A$70*(0.5*12.73)</f>
        <v>87.910000000000039</v>
      </c>
      <c r="AB138" s="46">
        <f>'LINEST VARS'!$U$70+'LINEST VARS'!$T$70*($AB$128)+'LINEST VARS'!$S$70*($Z138)+'LINEST VARS'!$R$70*(4)+'LINEST VARS'!$Q$70*(0.5)+'LINEST VARS'!$P$70*(12.73)+'LINEST VARS'!$O$70*($AB$128^2)+'LINEST VARS'!$N$70*($Z138^2)+'LINEST VARS'!$M$70*(4^2)+'LINEST VARS'!$L$70*(0.5^2)+'LINEST VARS'!$K$70*(12.73^2)+'LINEST VARS'!$J$70*($AB$128*$Z138)+'LINEST VARS'!$I$70*($AB$128*4)+'LINEST VARS'!$H$70*($AB$128*0.5)+'LINEST VARS'!$G$70*($AB$128*12.73)+'LINEST VARS'!$F$70*($Z138*4)+'LINEST VARS'!$E$70*($Z138*0.5)+'LINEST VARS'!$D$70*($Z138*12.73)+'LINEST VARS'!$C$70*(4*0.5)+'LINEST VARS'!$B$70*(4*12.73)+'LINEST VARS'!$A$70*(0.5*12.73)</f>
        <v>87.910000000000039</v>
      </c>
      <c r="AC138" s="46">
        <f>'LINEST VARS'!$U$70+'LINEST VARS'!$T$70*($AC$128)+'LINEST VARS'!$S$70*($Z138)+'LINEST VARS'!$R$70*(4)+'LINEST VARS'!$Q$70*(0.5)+'LINEST VARS'!$P$70*(12.73)+'LINEST VARS'!$O$70*($AC$128^2)+'LINEST VARS'!$N$70*($Z138^2)+'LINEST VARS'!$M$70*(4^2)+'LINEST VARS'!$L$70*(0.5^2)+'LINEST VARS'!$K$70*(12.73^2)+'LINEST VARS'!$J$70*($AC$128*$Z138)+'LINEST VARS'!$I$70*($AC$128*4)+'LINEST VARS'!$H$70*($AC$128*0.5)+'LINEST VARS'!$G$70*($AC$128*12.73)+'LINEST VARS'!$F$70*($Z138*4)+'LINEST VARS'!$E$70*($Z138*0.5)+'LINEST VARS'!$D$70*($Z138*12.73)+'LINEST VARS'!$C$70*(4*0.5)+'LINEST VARS'!$B$70*(4*12.73)+'LINEST VARS'!$A$70*(0.5*12.73)</f>
        <v>87.910000000000039</v>
      </c>
      <c r="AD138" s="46">
        <f>'LINEST VARS'!$U$70+'LINEST VARS'!$T$70*($AD$128)+'LINEST VARS'!$S$70*($Z138)+'LINEST VARS'!$R$70*(4)+'LINEST VARS'!$Q$70*(0.5)+'LINEST VARS'!$P$70*(12.73)+'LINEST VARS'!$O$70*($AD$128^2)+'LINEST VARS'!$N$70*($Z138^2)+'LINEST VARS'!$M$70*(4^2)+'LINEST VARS'!$L$70*(0.5^2)+'LINEST VARS'!$K$70*(12.73^2)+'LINEST VARS'!$J$70*($AD$128*$Z138)+'LINEST VARS'!$I$70*($AD$128*4)+'LINEST VARS'!$H$70*($AD$128*0.5)+'LINEST VARS'!$G$70*($AD$128*12.73)+'LINEST VARS'!$F$70*($Z138*4)+'LINEST VARS'!$E$70*($Z138*0.5)+'LINEST VARS'!$D$70*($Z138*12.73)+'LINEST VARS'!$C$70*(4*0.5)+'LINEST VARS'!$B$70*(4*12.73)+'LINEST VARS'!$A$70*(0.5*12.73)</f>
        <v>87.910000000000039</v>
      </c>
      <c r="AE138" s="46">
        <f>'LINEST VARS'!$U$70+'LINEST VARS'!$T$70*($AE$128)+'LINEST VARS'!$S$70*($Z138)+'LINEST VARS'!$R$70*(4)+'LINEST VARS'!$Q$70*(0.5)+'LINEST VARS'!$P$70*(12.73)+'LINEST VARS'!$O$70*($AE$128^2)+'LINEST VARS'!$N$70*($Z138^2)+'LINEST VARS'!$M$70*(4^2)+'LINEST VARS'!$L$70*(0.5^2)+'LINEST VARS'!$K$70*(12.73^2)+'LINEST VARS'!$J$70*($AE$128*$Z138)+'LINEST VARS'!$I$70*($AE$128*4)+'LINEST VARS'!$H$70*($AE$128*0.5)+'LINEST VARS'!$G$70*($AE$128*12.73)+'LINEST VARS'!$F$70*($Z138*4)+'LINEST VARS'!$E$70*($Z138*0.5)+'LINEST VARS'!$D$70*($Z138*12.73)+'LINEST VARS'!$C$70*(4*0.5)+'LINEST VARS'!$B$70*(4*12.73)+'LINEST VARS'!$A$70*(0.5*12.73)</f>
        <v>87.910000000000039</v>
      </c>
      <c r="AF138" s="46">
        <f>'LINEST VARS'!$U$70+'LINEST VARS'!$T$70*($AF$128)+'LINEST VARS'!$S$70*($Z138)+'LINEST VARS'!$R$70*(4)+'LINEST VARS'!$Q$70*(0.5)+'LINEST VARS'!$P$70*(12.73)+'LINEST VARS'!$O$70*($AF$128^2)+'LINEST VARS'!$N$70*($Z138^2)+'LINEST VARS'!$M$70*(4^2)+'LINEST VARS'!$L$70*(0.5^2)+'LINEST VARS'!$K$70*(12.73^2)+'LINEST VARS'!$J$70*($AF$128*$Z138)+'LINEST VARS'!$I$70*($AF$128*4)+'LINEST VARS'!$H$70*($AF$128*0.5)+'LINEST VARS'!$G$70*($AF$128*12.73)+'LINEST VARS'!$F$70*($Z138*4)+'LINEST VARS'!$E$70*($Z138*0.5)+'LINEST VARS'!$D$70*($Z138*12.73)+'LINEST VARS'!$C$70*(4*0.5)+'LINEST VARS'!$B$70*(4*12.73)+'LINEST VARS'!$A$70*(0.5*12.73)</f>
        <v>87.910000000000011</v>
      </c>
      <c r="AG138" s="46">
        <f>'LINEST VARS'!$U$70+'LINEST VARS'!$T$70*($AG$128)+'LINEST VARS'!$S$70*($Z138)+'LINEST VARS'!$R$70*(4)+'LINEST VARS'!$Q$70*(0.5)+'LINEST VARS'!$P$70*(12.73)+'LINEST VARS'!$O$70*($AG$128^2)+'LINEST VARS'!$N$70*($Z138^2)+'LINEST VARS'!$M$70*(4^2)+'LINEST VARS'!$L$70*(0.5^2)+'LINEST VARS'!$K$70*(12.73^2)+'LINEST VARS'!$J$70*($AG$128*$Z138)+'LINEST VARS'!$I$70*($AG$128*4)+'LINEST VARS'!$H$70*($AG$128*0.5)+'LINEST VARS'!$G$70*($AG$128*12.73)+'LINEST VARS'!$F$70*($Z138*4)+'LINEST VARS'!$E$70*($Z138*0.5)+'LINEST VARS'!$D$70*($Z138*12.73)+'LINEST VARS'!$C$70*(4*0.5)+'LINEST VARS'!$B$70*(4*12.73)+'LINEST VARS'!$A$70*(0.5*12.73)</f>
        <v>87.910000000000011</v>
      </c>
      <c r="AH138" s="46">
        <f>'LINEST VARS'!$U$70+'LINEST VARS'!$T$70*($AH$128)+'LINEST VARS'!$S$70*($Z138)+'LINEST VARS'!$R$70*(4)+'LINEST VARS'!$Q$70*(0.5)+'LINEST VARS'!$P$70*(12.73)+'LINEST VARS'!$O$70*($AH$128^2)+'LINEST VARS'!$N$70*($Z138^2)+'LINEST VARS'!$M$70*(4^2)+'LINEST VARS'!$L$70*(0.5^2)+'LINEST VARS'!$K$70*(12.73^2)+'LINEST VARS'!$J$70*($AH$128*$Z138)+'LINEST VARS'!$I$70*($AH$128*4)+'LINEST VARS'!$H$70*($AH$128*0.5)+'LINEST VARS'!$G$70*($AH$128*12.73)+'LINEST VARS'!$F$70*($Z138*4)+'LINEST VARS'!$E$70*($Z138*0.5)+'LINEST VARS'!$D$70*($Z138*12.73)+'LINEST VARS'!$C$70*(4*0.5)+'LINEST VARS'!$B$70*(4*12.73)+'LINEST VARS'!$A$70*(0.5*12.73)</f>
        <v>87.910000000000011</v>
      </c>
      <c r="AI138" s="46">
        <f>'LINEST VARS'!$U$70+'LINEST VARS'!$T$70*($AI$128)+'LINEST VARS'!$S$70*($Z138)+'LINEST VARS'!$R$70*(4)+'LINEST VARS'!$Q$70*(0.5)+'LINEST VARS'!$P$70*(12.73)+'LINEST VARS'!$O$70*($AI$128^2)+'LINEST VARS'!$N$70*($Z138^2)+'LINEST VARS'!$M$70*(4^2)+'LINEST VARS'!$L$70*(0.5^2)+'LINEST VARS'!$K$70*(12.73^2)+'LINEST VARS'!$J$70*($AI$128*$Z138)+'LINEST VARS'!$I$70*($AI$128*4)+'LINEST VARS'!$H$70*($AI$128*0.5)+'LINEST VARS'!$G$70*($AI$128*12.73)+'LINEST VARS'!$F$70*($Z138*4)+'LINEST VARS'!$E$70*($Z138*0.5)+'LINEST VARS'!$D$70*($Z138*12.73)+'LINEST VARS'!$C$70*(4*0.5)+'LINEST VARS'!$B$70*(4*12.73)+'LINEST VARS'!$A$70*(0.5*12.73)</f>
        <v>87.910000000000011</v>
      </c>
      <c r="AJ138" s="46">
        <f>'LINEST VARS'!$U$70+'LINEST VARS'!$T$70*($AJ$128)+'LINEST VARS'!$S$70*($Z138)+'LINEST VARS'!$R$70*(4)+'LINEST VARS'!$Q$70*(0.5)+'LINEST VARS'!$P$70*(12.73)+'LINEST VARS'!$O$70*($AJ$128^2)+'LINEST VARS'!$N$70*($Z138^2)+'LINEST VARS'!$M$70*(4^2)+'LINEST VARS'!$L$70*(0.5^2)+'LINEST VARS'!$K$70*(12.73^2)+'LINEST VARS'!$J$70*($AJ$128*$Z138)+'LINEST VARS'!$I$70*($AJ$128*4)+'LINEST VARS'!$H$70*($AJ$128*0.5)+'LINEST VARS'!$G$70*($AJ$128*12.73)+'LINEST VARS'!$F$70*($Z138*4)+'LINEST VARS'!$E$70*($Z138*0.5)+'LINEST VARS'!$D$70*($Z138*12.73)+'LINEST VARS'!$C$70*(4*0.5)+'LINEST VARS'!$B$70*(4*12.73)+'LINEST VARS'!$A$70*(0.5*12.73)</f>
        <v>87.910000000000011</v>
      </c>
      <c r="AK138" s="46">
        <f>'LINEST VARS'!$U$70+'LINEST VARS'!$T$70*($AK$128)+'LINEST VARS'!$S$70*($Z138)+'LINEST VARS'!$R$70*(4)+'LINEST VARS'!$Q$70*(0.5)+'LINEST VARS'!$P$70*(12.73)+'LINEST VARS'!$O$70*($AK$128^2)+'LINEST VARS'!$N$70*($Z138^2)+'LINEST VARS'!$M$70*(4^2)+'LINEST VARS'!$L$70*(0.5^2)+'LINEST VARS'!$K$70*(12.73^2)+'LINEST VARS'!$J$70*($AK$128*$Z138)+'LINEST VARS'!$I$70*($AK$128*4)+'LINEST VARS'!$H$70*($AK$128*0.5)+'LINEST VARS'!$G$70*($AK$128*12.73)+'LINEST VARS'!$F$70*($Z138*4)+'LINEST VARS'!$E$70*($Z138*0.5)+'LINEST VARS'!$D$70*($Z138*12.73)+'LINEST VARS'!$C$70*(4*0.5)+'LINEST VARS'!$B$70*(4*12.73)+'LINEST VARS'!$A$70*(0.5*12.73)</f>
        <v>87.910000000000011</v>
      </c>
      <c r="AL138" s="46">
        <f>'LINEST VARS'!$U$70+'LINEST VARS'!$T$70*($AL$128)+'LINEST VARS'!$S$70*($Z138)+'LINEST VARS'!$R$70*(4)+'LINEST VARS'!$Q$70*(0.5)+'LINEST VARS'!$P$70*(12.73)+'LINEST VARS'!$O$70*($AL$128^2)+'LINEST VARS'!$N$70*($Z138^2)+'LINEST VARS'!$M$70*(4^2)+'LINEST VARS'!$L$70*(0.5^2)+'LINEST VARS'!$K$70*(12.73^2)+'LINEST VARS'!$J$70*($AL$128*$Z138)+'LINEST VARS'!$I$70*($AL$128*4)+'LINEST VARS'!$H$70*($AL$128*0.5)+'LINEST VARS'!$G$70*($AL$128*12.73)+'LINEST VARS'!$F$70*($Z138*4)+'LINEST VARS'!$E$70*($Z138*0.5)+'LINEST VARS'!$D$70*($Z138*12.73)+'LINEST VARS'!$C$70*(4*0.5)+'LINEST VARS'!$B$70*(4*12.73)+'LINEST VARS'!$A$70*(0.5*12.73)</f>
        <v>87.910000000000011</v>
      </c>
      <c r="AM138" s="46">
        <f>'LINEST VARS'!$U$70+'LINEST VARS'!$T$70*($AM$128)+'LINEST VARS'!$S$70*($Z138)+'LINEST VARS'!$R$70*(4)+'LINEST VARS'!$Q$70*(0.5)+'LINEST VARS'!$P$70*(12.73)+'LINEST VARS'!$O$70*($AM$128^2)+'LINEST VARS'!$N$70*($Z138^2)+'LINEST VARS'!$M$70*(4^2)+'LINEST VARS'!$L$70*(0.5^2)+'LINEST VARS'!$K$70*(12.73^2)+'LINEST VARS'!$J$70*($AM$128*$Z138)+'LINEST VARS'!$I$70*($AM$128*4)+'LINEST VARS'!$H$70*($AM$128*0.5)+'LINEST VARS'!$G$70*($AM$128*12.73)+'LINEST VARS'!$F$70*($Z138*4)+'LINEST VARS'!$E$70*($Z138*0.5)+'LINEST VARS'!$D$70*($Z138*12.73)+'LINEST VARS'!$C$70*(4*0.5)+'LINEST VARS'!$B$70*(4*12.73)+'LINEST VARS'!$A$70*(0.5*12.73)</f>
        <v>87.910000000000011</v>
      </c>
      <c r="AN138" s="46">
        <f>'LINEST VARS'!$U$70+'LINEST VARS'!$T$70*($AN$128)+'LINEST VARS'!$S$70*($Z138)+'LINEST VARS'!$R$70*(4)+'LINEST VARS'!$Q$70*(0.5)+'LINEST VARS'!$P$70*(12.73)+'LINEST VARS'!$O$70*($AN$128^2)+'LINEST VARS'!$N$70*($Z138^2)+'LINEST VARS'!$M$70*(4^2)+'LINEST VARS'!$L$70*(0.5^2)+'LINEST VARS'!$K$70*(12.73^2)+'LINEST VARS'!$J$70*($AN$128*$Z138)+'LINEST VARS'!$I$70*($AN$128*4)+'LINEST VARS'!$H$70*($AN$128*0.5)+'LINEST VARS'!$G$70*($AN$128*12.73)+'LINEST VARS'!$F$70*($Z138*4)+'LINEST VARS'!$E$70*($Z138*0.5)+'LINEST VARS'!$D$70*($Z138*12.73)+'LINEST VARS'!$C$70*(4*0.5)+'LINEST VARS'!$B$70*(4*12.73)+'LINEST VARS'!$A$70*(0.5*12.73)</f>
        <v>87.910000000000011</v>
      </c>
      <c r="AO138" s="46">
        <f>'LINEST VARS'!$U$70+'LINEST VARS'!$T$70*($AO$128)+'LINEST VARS'!$S$70*($Z138)+'LINEST VARS'!$R$70*(4)+'LINEST VARS'!$Q$70*(0.5)+'LINEST VARS'!$P$70*(12.73)+'LINEST VARS'!$O$70*($AO$128^2)+'LINEST VARS'!$N$70*($Z138^2)+'LINEST VARS'!$M$70*(4^2)+'LINEST VARS'!$L$70*(0.5^2)+'LINEST VARS'!$K$70*(12.73^2)+'LINEST VARS'!$J$70*($AO$128*$Z138)+'LINEST VARS'!$I$70*($AO$128*4)+'LINEST VARS'!$H$70*($AO$128*0.5)+'LINEST VARS'!$G$70*($AO$128*12.73)+'LINEST VARS'!$F$70*($Z138*4)+'LINEST VARS'!$E$70*($Z138*0.5)+'LINEST VARS'!$D$70*($Z138*12.73)+'LINEST VARS'!$C$70*(4*0.5)+'LINEST VARS'!$B$70*(4*12.73)+'LINEST VARS'!$A$70*(0.5*12.73)</f>
        <v>87.910000000000011</v>
      </c>
      <c r="AP138" s="46">
        <f>'LINEST VARS'!$U$70+'LINEST VARS'!$T$70*($AP$128)+'LINEST VARS'!$S$70*($Z138)+'LINEST VARS'!$R$70*(4)+'LINEST VARS'!$Q$70*(0.5)+'LINEST VARS'!$P$70*(12.73)+'LINEST VARS'!$O$70*($AP$128^2)+'LINEST VARS'!$N$70*($Z138^2)+'LINEST VARS'!$M$70*(4^2)+'LINEST VARS'!$L$70*(0.5^2)+'LINEST VARS'!$K$70*(12.73^2)+'LINEST VARS'!$J$70*($AP$128*$Z138)+'LINEST VARS'!$I$70*($AP$128*4)+'LINEST VARS'!$H$70*($AP$128*0.5)+'LINEST VARS'!$G$70*($AP$128*12.73)+'LINEST VARS'!$F$70*($Z138*4)+'LINEST VARS'!$E$70*($Z138*0.5)+'LINEST VARS'!$D$70*($Z138*12.73)+'LINEST VARS'!$C$70*(4*0.5)+'LINEST VARS'!$B$70*(4*12.73)+'LINEST VARS'!$A$70*(0.5*12.73)</f>
        <v>87.910000000000011</v>
      </c>
      <c r="AQ138" s="46">
        <f>'LINEST VARS'!$U$70+'LINEST VARS'!$T$70*($AQ$128)+'LINEST VARS'!$S$70*($Z138)+'LINEST VARS'!$R$70*(4)+'LINEST VARS'!$Q$70*(0.5)+'LINEST VARS'!$P$70*(12.73)+'LINEST VARS'!$O$70*($AQ$128^2)+'LINEST VARS'!$N$70*($Z138^2)+'LINEST VARS'!$M$70*(4^2)+'LINEST VARS'!$L$70*(0.5^2)+'LINEST VARS'!$K$70*(12.73^2)+'LINEST VARS'!$J$70*($AQ$128*$Z138)+'LINEST VARS'!$I$70*($AQ$128*4)+'LINEST VARS'!$H$70*($AQ$128*0.5)+'LINEST VARS'!$G$70*($AQ$128*12.73)+'LINEST VARS'!$F$70*($Z138*4)+'LINEST VARS'!$E$70*($Z138*0.5)+'LINEST VARS'!$D$70*($Z138*12.73)+'LINEST VARS'!$C$70*(4*0.5)+'LINEST VARS'!$B$70*(4*12.73)+'LINEST VARS'!$A$70*(0.5*12.73)</f>
        <v>87.910000000000011</v>
      </c>
      <c r="AR138" s="46">
        <f>'LINEST VARS'!$U$70+'LINEST VARS'!$T$70*($AR$128)+'LINEST VARS'!$S$70*($Z138)+'LINEST VARS'!$R$70*(4)+'LINEST VARS'!$Q$70*(0.5)+'LINEST VARS'!$P$70*(12.73)+'LINEST VARS'!$O$70*($AR$128^2)+'LINEST VARS'!$N$70*($Z138^2)+'LINEST VARS'!$M$70*(4^2)+'LINEST VARS'!$L$70*(0.5^2)+'LINEST VARS'!$K$70*(12.73^2)+'LINEST VARS'!$J$70*($AR$128*$Z138)+'LINEST VARS'!$I$70*($AR$128*4)+'LINEST VARS'!$H$70*($AR$128*0.5)+'LINEST VARS'!$G$70*($AR$128*12.73)+'LINEST VARS'!$F$70*($Z138*4)+'LINEST VARS'!$E$70*($Z138*0.5)+'LINEST VARS'!$D$70*($Z138*12.73)+'LINEST VARS'!$C$70*(4*0.5)+'LINEST VARS'!$B$70*(4*12.73)+'LINEST VARS'!$A$70*(0.5*12.73)</f>
        <v>87.910000000000011</v>
      </c>
      <c r="AS138" s="46">
        <f>'LINEST VARS'!$U$70+'LINEST VARS'!$T$70*($AS$128)+'LINEST VARS'!$S$70*($Z138)+'LINEST VARS'!$R$70*(4)+'LINEST VARS'!$Q$70*(0.5)+'LINEST VARS'!$P$70*(12.73)+'LINEST VARS'!$O$70*($AS$128^2)+'LINEST VARS'!$N$70*($Z138^2)+'LINEST VARS'!$M$70*(4^2)+'LINEST VARS'!$L$70*(0.5^2)+'LINEST VARS'!$K$70*(12.73^2)+'LINEST VARS'!$J$70*($AS$128*$Z138)+'LINEST VARS'!$I$70*($AS$128*4)+'LINEST VARS'!$H$70*($AS$128*0.5)+'LINEST VARS'!$G$70*($AS$128*12.73)+'LINEST VARS'!$F$70*($Z138*4)+'LINEST VARS'!$E$70*($Z138*0.5)+'LINEST VARS'!$D$70*($Z138*12.73)+'LINEST VARS'!$C$70*(4*0.5)+'LINEST VARS'!$B$70*(4*12.73)+'LINEST VARS'!$A$70*(0.5*12.73)</f>
        <v>87.910000000000011</v>
      </c>
      <c r="AT138" s="46">
        <f>'LINEST VARS'!$U$70+'LINEST VARS'!$T$70*($AT$128)+'LINEST VARS'!$S$70*($Z138)+'LINEST VARS'!$R$70*(4)+'LINEST VARS'!$Q$70*(0.5)+'LINEST VARS'!$P$70*(12.73)+'LINEST VARS'!$O$70*($AT$128^2)+'LINEST VARS'!$N$70*($Z138^2)+'LINEST VARS'!$M$70*(4^2)+'LINEST VARS'!$L$70*(0.5^2)+'LINEST VARS'!$K$70*(12.73^2)+'LINEST VARS'!$J$70*($AT$128*$Z138)+'LINEST VARS'!$I$70*($AT$128*4)+'LINEST VARS'!$H$70*($AT$128*0.5)+'LINEST VARS'!$G$70*($AT$128*12.73)+'LINEST VARS'!$F$70*($Z138*4)+'LINEST VARS'!$E$70*($Z138*0.5)+'LINEST VARS'!$D$70*($Z138*12.73)+'LINEST VARS'!$C$70*(4*0.5)+'LINEST VARS'!$B$70*(4*12.73)+'LINEST VARS'!$A$70*(0.5*12.73)</f>
        <v>87.910000000000011</v>
      </c>
      <c r="AU138" s="47">
        <f>'LINEST VARS'!$U$70+'LINEST VARS'!$T$70*($AU$128)+'LINEST VARS'!$S$70*($Z138)+'LINEST VARS'!$R$70*(4)+'LINEST VARS'!$Q$70*(0.5)+'LINEST VARS'!$P$70*(12.73)+'LINEST VARS'!$O$70*($AU$128^2)+'LINEST VARS'!$N$70*($Z138^2)+'LINEST VARS'!$M$70*(4^2)+'LINEST VARS'!$L$70*(0.5^2)+'LINEST VARS'!$K$70*(12.73^2)+'LINEST VARS'!$J$70*($AU$128*$Z138)+'LINEST VARS'!$I$70*($AU$128*4)+'LINEST VARS'!$H$70*($AU$128*0.5)+'LINEST VARS'!$G$70*($AU$128*12.73)+'LINEST VARS'!$F$70*($Z138*4)+'LINEST VARS'!$E$70*($Z138*0.5)+'LINEST VARS'!$D$70*($Z138*12.73)+'LINEST VARS'!$C$70*(4*0.5)+'LINEST VARS'!$B$70*(4*12.73)+'LINEST VARS'!$A$70*(0.5*12.73)</f>
        <v>87.910000000000011</v>
      </c>
      <c r="AZ138" s="45">
        <v>0.45</v>
      </c>
      <c r="BA138" s="46">
        <f>'LINEST VARS'!$U$68+'LINEST VARS'!$T$68*(8)+'LINEST VARS'!$S$68*(8)+'LINEST VARS'!$R$68*($BA$128)+'LINEST VARS'!$Q$68*($AZ138)+'LINEST VARS'!$P$68*(12.73)+'LINEST VARS'!$O$68*(8^2)+'LINEST VARS'!$N$68*(8^2)+'LINEST VARS'!$M$68*($BA$128^2)+'LINEST VARS'!$L$68*($AZ138^2)+'LINEST VARS'!$K$68*(12.73^2)+'LINEST VARS'!$J$68*(8*8)+'LINEST VARS'!$I$68*(8*$BA$128)+'LINEST VARS'!$H$68*(8*$AZ138)+'LINEST VARS'!$G$68*(8*12.73)+'LINEST VARS'!$F$68*(8*$BA$128)+'LINEST VARS'!$E$68*(8*$AZ138)+'LINEST VARS'!$D$68*(8*12.73)+'LINEST VARS'!$C$68*($BA$128*$AZ138)+'LINEST VARS'!$B$68*($BA$128*12.73)+'LINEST VARS'!$A$68*($AZ138*12.73)</f>
        <v>149.19</v>
      </c>
      <c r="BB138" s="46">
        <f>'LINEST VARS'!$U$68+'LINEST VARS'!$T$68*(8)+'LINEST VARS'!$S$68*(8)+'LINEST VARS'!$R$68*($BB$128)+'LINEST VARS'!$Q$68*($AZ138)+'LINEST VARS'!$P$68*(12.73)+'LINEST VARS'!$O$68*(8^2)+'LINEST VARS'!$N$68*(8^2)+'LINEST VARS'!$M$68*($BB$128^2)+'LINEST VARS'!$L$68*($AZ138^2)+'LINEST VARS'!$K$68*(12.73^2)+'LINEST VARS'!$J$68*(8*8)+'LINEST VARS'!$I$68*(8*$BB$128)+'LINEST VARS'!$H$68*(8*$AZ138)+'LINEST VARS'!$G$68*(8*12.73)+'LINEST VARS'!$F$68*(8*$BB$128)+'LINEST VARS'!$E$68*(8*$AZ138)+'LINEST VARS'!$D$68*(8*12.73)+'LINEST VARS'!$C$68*($BB$128*$AZ138)+'LINEST VARS'!$B$68*($BB$128*12.73)+'LINEST VARS'!$A$68*($AZ138*12.73)</f>
        <v>149.19</v>
      </c>
      <c r="BC138" s="46">
        <f>'LINEST VARS'!$U$68+'LINEST VARS'!$T$68*(8)+'LINEST VARS'!$S$68*(8)+'LINEST VARS'!$R$68*($BC$128)+'LINEST VARS'!$Q$68*($AZ138)+'LINEST VARS'!$P$68*(12.73)+'LINEST VARS'!$O$68*(8^2)+'LINEST VARS'!$N$68*(8^2)+'LINEST VARS'!$M$68*($BC$128^2)+'LINEST VARS'!$L$68*($AZ138^2)+'LINEST VARS'!$K$68*(12.73^2)+'LINEST VARS'!$J$68*(8*8)+'LINEST VARS'!$I$68*(8*$BC$128)+'LINEST VARS'!$H$68*(8*$AZ138)+'LINEST VARS'!$G$68*(8*12.73)+'LINEST VARS'!$F$68*(8*$BC$128)+'LINEST VARS'!$E$68*(8*$AZ138)+'LINEST VARS'!$D$68*(8*12.73)+'LINEST VARS'!$C$68*($BC$128*$AZ138)+'LINEST VARS'!$B$68*($BC$128*12.73)+'LINEST VARS'!$A$68*($AZ138*12.73)</f>
        <v>149.19</v>
      </c>
      <c r="BD138" s="46">
        <f>'LINEST VARS'!$U$68+'LINEST VARS'!$T$68*(8)+'LINEST VARS'!$S$68*(8)+'LINEST VARS'!$R$68*($BD$128)+'LINEST VARS'!$Q$68*($AZ138)+'LINEST VARS'!$P$68*(12.73)+'LINEST VARS'!$O$68*(8^2)+'LINEST VARS'!$N$68*(8^2)+'LINEST VARS'!$M$68*($BD$128^2)+'LINEST VARS'!$L$68*($AZ138^2)+'LINEST VARS'!$K$68*(12.73^2)+'LINEST VARS'!$J$68*(8*8)+'LINEST VARS'!$I$68*(8*$BD$128)+'LINEST VARS'!$H$68*(8*$AZ138)+'LINEST VARS'!$G$68*(8*12.73)+'LINEST VARS'!$F$68*(8*$BD$128)+'LINEST VARS'!$E$68*(8*$AZ138)+'LINEST VARS'!$D$68*(8*12.73)+'LINEST VARS'!$C$68*($BD$128*$AZ138)+'LINEST VARS'!$B$68*($BD$128*12.73)+'LINEST VARS'!$A$68*($AZ138*12.73)</f>
        <v>149.19</v>
      </c>
      <c r="BE138" s="46">
        <f>'LINEST VARS'!$U$68+'LINEST VARS'!$T$68*(8)+'LINEST VARS'!$S$68*(8)+'LINEST VARS'!$R$68*($BE$128)+'LINEST VARS'!$Q$68*($AZ138)+'LINEST VARS'!$P$68*(12.73)+'LINEST VARS'!$O$68*(8^2)+'LINEST VARS'!$N$68*(8^2)+'LINEST VARS'!$M$68*($BE$128^2)+'LINEST VARS'!$L$68*($AZ138^2)+'LINEST VARS'!$K$68*(12.73^2)+'LINEST VARS'!$J$68*(8*8)+'LINEST VARS'!$I$68*(8*$BE$128)+'LINEST VARS'!$H$68*(8*$AZ138)+'LINEST VARS'!$G$68*(8*12.73)+'LINEST VARS'!$F$68*(8*$BE$128)+'LINEST VARS'!$E$68*(8*$AZ138)+'LINEST VARS'!$D$68*(8*12.73)+'LINEST VARS'!$C$68*($BE$128*$AZ138)+'LINEST VARS'!$B$68*($BE$128*12.73)+'LINEST VARS'!$A$68*($AZ138*12.73)</f>
        <v>149.19</v>
      </c>
      <c r="BF138" s="46">
        <f>'LINEST VARS'!$U$68+'LINEST VARS'!$T$68*(8)+'LINEST VARS'!$S$68*(8)+'LINEST VARS'!$R$68*($BF$128)+'LINEST VARS'!$Q$68*($AZ138)+'LINEST VARS'!$P$68*(12.73)+'LINEST VARS'!$O$68*(8^2)+'LINEST VARS'!$N$68*(8^2)+'LINEST VARS'!$M$68*($BF$128^2)+'LINEST VARS'!$L$68*($AZ138^2)+'LINEST VARS'!$K$68*(12.73^2)+'LINEST VARS'!$J$68*(8*8)+'LINEST VARS'!$I$68*(8*$BF$128)+'LINEST VARS'!$H$68*(8*$AZ138)+'LINEST VARS'!$G$68*(8*12.73)+'LINEST VARS'!$F$68*(8*$BF$128)+'LINEST VARS'!$E$68*(8*$AZ138)+'LINEST VARS'!$D$68*(8*12.73)+'LINEST VARS'!$C$68*($BF$128*$AZ138)+'LINEST VARS'!$B$68*($BF$128*12.73)+'LINEST VARS'!$A$68*($AZ138*12.73)</f>
        <v>149.19</v>
      </c>
      <c r="BG138" s="46">
        <f>'LINEST VARS'!$U$68+'LINEST VARS'!$T$68*(8)+'LINEST VARS'!$S$68*(8)+'LINEST VARS'!$R$68*($BG$128)+'LINEST VARS'!$Q$68*($AZ138)+'LINEST VARS'!$P$68*(12.73)+'LINEST VARS'!$O$68*(8^2)+'LINEST VARS'!$N$68*(8^2)+'LINEST VARS'!$M$68*($BG$128^2)+'LINEST VARS'!$L$68*($AZ138^2)+'LINEST VARS'!$K$68*(12.73^2)+'LINEST VARS'!$J$68*(8*8)+'LINEST VARS'!$I$68*(8*$BG$128)+'LINEST VARS'!$H$68*(8*$AZ138)+'LINEST VARS'!$G$68*(8*12.73)+'LINEST VARS'!$F$68*(8*$BG$128)+'LINEST VARS'!$E$68*(8*$AZ138)+'LINEST VARS'!$D$68*(8*12.73)+'LINEST VARS'!$C$68*($BG$128*$AZ138)+'LINEST VARS'!$B$68*($BG$128*12.73)+'LINEST VARS'!$A$68*($AZ138*12.73)</f>
        <v>149.19</v>
      </c>
      <c r="BH138" s="46">
        <f>'LINEST VARS'!$U$68+'LINEST VARS'!$T$68*(8)+'LINEST VARS'!$S$68*(8)+'LINEST VARS'!$R$68*($BH$128)+'LINEST VARS'!$Q$68*($AZ138)+'LINEST VARS'!$P$68*(12.73)+'LINEST VARS'!$O$68*(8^2)+'LINEST VARS'!$N$68*(8^2)+'LINEST VARS'!$M$68*($BH$128^2)+'LINEST VARS'!$L$68*($AZ138^2)+'LINEST VARS'!$K$68*(12.73^2)+'LINEST VARS'!$J$68*(8*8)+'LINEST VARS'!$I$68*(8*$BH$128)+'LINEST VARS'!$H$68*(8*$AZ138)+'LINEST VARS'!$G$68*(8*12.73)+'LINEST VARS'!$F$68*(8*$BH$128)+'LINEST VARS'!$E$68*(8*$AZ138)+'LINEST VARS'!$D$68*(8*12.73)+'LINEST VARS'!$C$68*($BH$128*$AZ138)+'LINEST VARS'!$B$68*($BH$128*12.73)+'LINEST VARS'!$A$68*($AZ138*12.73)</f>
        <v>149.19</v>
      </c>
      <c r="BI138" s="46">
        <f>'LINEST VARS'!$U$68+'LINEST VARS'!$T$68*(8)+'LINEST VARS'!$S$68*(8)+'LINEST VARS'!$R$68*($BI$128)+'LINEST VARS'!$Q$68*($AZ138)+'LINEST VARS'!$P$68*(12.73)+'LINEST VARS'!$O$68*(8^2)+'LINEST VARS'!$N$68*(8^2)+'LINEST VARS'!$M$68*($BI$128^2)+'LINEST VARS'!$L$68*($AZ138^2)+'LINEST VARS'!$K$68*(12.73^2)+'LINEST VARS'!$J$68*(8*8)+'LINEST VARS'!$I$68*(8*$BI$128)+'LINEST VARS'!$H$68*(8*$AZ138)+'LINEST VARS'!$G$68*(8*12.73)+'LINEST VARS'!$F$68*(8*$BI$128)+'LINEST VARS'!$E$68*(8*$AZ138)+'LINEST VARS'!$D$68*(8*12.73)+'LINEST VARS'!$C$68*($BI$128*$AZ138)+'LINEST VARS'!$B$68*($BI$128*12.73)+'LINEST VARS'!$A$68*($AZ138*12.73)</f>
        <v>149.19</v>
      </c>
      <c r="BJ138" s="46">
        <f>'LINEST VARS'!$U$68+'LINEST VARS'!$T$68*(8)+'LINEST VARS'!$S$68*(8)+'LINEST VARS'!$R$68*($BJ$128)+'LINEST VARS'!$Q$68*($AZ138)+'LINEST VARS'!$P$68*(12.73)+'LINEST VARS'!$O$68*(8^2)+'LINEST VARS'!$N$68*(8^2)+'LINEST VARS'!$M$68*($BJ$128^2)+'LINEST VARS'!$L$68*($AZ138^2)+'LINEST VARS'!$K$68*(12.73^2)+'LINEST VARS'!$J$68*(8*8)+'LINEST VARS'!$I$68*(8*$BJ$128)+'LINEST VARS'!$H$68*(8*$AZ138)+'LINEST VARS'!$G$68*(8*12.73)+'LINEST VARS'!$F$68*(8*$BJ$128)+'LINEST VARS'!$E$68*(8*$AZ138)+'LINEST VARS'!$D$68*(8*12.73)+'LINEST VARS'!$C$68*($BJ$128*$AZ138)+'LINEST VARS'!$B$68*($BJ$128*12.73)+'LINEST VARS'!$A$68*($AZ138*12.73)</f>
        <v>149.19</v>
      </c>
      <c r="BK138" s="46">
        <f>'LINEST VARS'!$U$68+'LINEST VARS'!$T$68*(8)+'LINEST VARS'!$S$68*(8)+'LINEST VARS'!$R$68*($BK$128)+'LINEST VARS'!$Q$68*($AZ138)+'LINEST VARS'!$P$68*(12.73)+'LINEST VARS'!$O$68*(8^2)+'LINEST VARS'!$N$68*(8^2)+'LINEST VARS'!$M$68*($BK$128^2)+'LINEST VARS'!$L$68*($AZ138^2)+'LINEST VARS'!$K$68*(12.73^2)+'LINEST VARS'!$J$68*(8*8)+'LINEST VARS'!$I$68*(8*$BK$128)+'LINEST VARS'!$H$68*(8*$AZ138)+'LINEST VARS'!$G$68*(8*12.73)+'LINEST VARS'!$F$68*(8*$BK$128)+'LINEST VARS'!$E$68*(8*$AZ138)+'LINEST VARS'!$D$68*(8*12.73)+'LINEST VARS'!$C$68*($BK$128*$AZ138)+'LINEST VARS'!$B$68*($BK$128*12.73)+'LINEST VARS'!$A$68*($AZ138*12.73)</f>
        <v>149.19</v>
      </c>
      <c r="BL138" s="46">
        <f>'LINEST VARS'!$U$68+'LINEST VARS'!$T$68*(8)+'LINEST VARS'!$S$68*(8)+'LINEST VARS'!$R$68*($BL$128)+'LINEST VARS'!$Q$68*($AZ138)+'LINEST VARS'!$P$68*(12.73)+'LINEST VARS'!$O$68*(8^2)+'LINEST VARS'!$N$68*(8^2)+'LINEST VARS'!$M$68*($BL$128^2)+'LINEST VARS'!$L$68*($AZ138^2)+'LINEST VARS'!$K$68*(12.73^2)+'LINEST VARS'!$J$68*(8*8)+'LINEST VARS'!$I$68*(8*$BL$128)+'LINEST VARS'!$H$68*(8*$AZ138)+'LINEST VARS'!$G$68*(8*12.73)+'LINEST VARS'!$F$68*(8*$BL$128)+'LINEST VARS'!$E$68*(8*$AZ138)+'LINEST VARS'!$D$68*(8*12.73)+'LINEST VARS'!$C$68*($BL$128*$AZ138)+'LINEST VARS'!$B$68*($BL$128*12.73)+'LINEST VARS'!$A$68*($AZ138*12.73)</f>
        <v>149.19</v>
      </c>
      <c r="BM138" s="46">
        <f>'LINEST VARS'!$U$68+'LINEST VARS'!$T$68*(8)+'LINEST VARS'!$S$68*(8)+'LINEST VARS'!$R$68*($BM$128)+'LINEST VARS'!$Q$68*($AZ138)+'LINEST VARS'!$P$68*(12.73)+'LINEST VARS'!$O$68*(8^2)+'LINEST VARS'!$N$68*(8^2)+'LINEST VARS'!$M$68*($BM$128^2)+'LINEST VARS'!$L$68*($AZ138^2)+'LINEST VARS'!$K$68*(12.73^2)+'LINEST VARS'!$J$68*(8*8)+'LINEST VARS'!$I$68*(8*$BM$128)+'LINEST VARS'!$H$68*(8*$AZ138)+'LINEST VARS'!$G$68*(8*12.73)+'LINEST VARS'!$F$68*(8*$BM$128)+'LINEST VARS'!$E$68*(8*$AZ138)+'LINEST VARS'!$D$68*(8*12.73)+'LINEST VARS'!$C$68*($BM$128*$AZ138)+'LINEST VARS'!$B$68*($BM$128*12.73)+'LINEST VARS'!$A$68*($AZ138*12.73)</f>
        <v>149.19</v>
      </c>
      <c r="BN138" s="46">
        <f>'LINEST VARS'!$U$68+'LINEST VARS'!$T$68*(8)+'LINEST VARS'!$S$68*(8)+'LINEST VARS'!$R$68*($BN$128)+'LINEST VARS'!$Q$68*($AZ138)+'LINEST VARS'!$P$68*(12.73)+'LINEST VARS'!$O$68*(8^2)+'LINEST VARS'!$N$68*(8^2)+'LINEST VARS'!$M$68*($BN$128^2)+'LINEST VARS'!$L$68*($AZ138^2)+'LINEST VARS'!$K$68*(12.73^2)+'LINEST VARS'!$J$68*(8*8)+'LINEST VARS'!$I$68*(8*$BN$128)+'LINEST VARS'!$H$68*(8*$AZ138)+'LINEST VARS'!$G$68*(8*12.73)+'LINEST VARS'!$F$68*(8*$BN$128)+'LINEST VARS'!$E$68*(8*$AZ138)+'LINEST VARS'!$D$68*(8*12.73)+'LINEST VARS'!$C$68*($BN$128*$AZ138)+'LINEST VARS'!$B$68*($BN$128*12.73)+'LINEST VARS'!$A$68*($AZ138*12.73)</f>
        <v>149.19</v>
      </c>
      <c r="BO138" s="46">
        <f>'LINEST VARS'!$U$68+'LINEST VARS'!$T$68*(8)+'LINEST VARS'!$S$68*(8)+'LINEST VARS'!$R$68*($BO$128)+'LINEST VARS'!$Q$68*($AZ138)+'LINEST VARS'!$P$68*(12.73)+'LINEST VARS'!$O$68*(8^2)+'LINEST VARS'!$N$68*(8^2)+'LINEST VARS'!$M$68*($BO$128^2)+'LINEST VARS'!$L$68*($AZ138^2)+'LINEST VARS'!$K$68*(12.73^2)+'LINEST VARS'!$J$68*(8*8)+'LINEST VARS'!$I$68*(8*$BO$128)+'LINEST VARS'!$H$68*(8*$AZ138)+'LINEST VARS'!$G$68*(8*12.73)+'LINEST VARS'!$F$68*(8*$BO$128)+'LINEST VARS'!$E$68*(8*$AZ138)+'LINEST VARS'!$D$68*(8*12.73)+'LINEST VARS'!$C$68*($BO$128*$AZ138)+'LINEST VARS'!$B$68*($BO$128*12.73)+'LINEST VARS'!$A$68*($AZ138*12.73)</f>
        <v>149.19</v>
      </c>
      <c r="BP138" s="46">
        <f>'LINEST VARS'!$U$68+'LINEST VARS'!$T$68*(8)+'LINEST VARS'!$S$68*(8)+'LINEST VARS'!$R$68*($BP$128)+'LINEST VARS'!$Q$68*($AZ138)+'LINEST VARS'!$P$68*(12.73)+'LINEST VARS'!$O$68*(8^2)+'LINEST VARS'!$N$68*(8^2)+'LINEST VARS'!$M$68*($BP$128^2)+'LINEST VARS'!$L$68*($AZ138^2)+'LINEST VARS'!$K$68*(12.73^2)+'LINEST VARS'!$J$68*(8*8)+'LINEST VARS'!$I$68*(8*$BP$128)+'LINEST VARS'!$H$68*(8*$AZ138)+'LINEST VARS'!$G$68*(8*12.73)+'LINEST VARS'!$F$68*(8*$BP$128)+'LINEST VARS'!$E$68*(8*$AZ138)+'LINEST VARS'!$D$68*(8*12.73)+'LINEST VARS'!$C$68*($BP$128*$AZ138)+'LINEST VARS'!$B$68*($BP$128*12.73)+'LINEST VARS'!$A$68*($AZ138*12.73)</f>
        <v>149.19</v>
      </c>
      <c r="BQ138" s="46">
        <f>'LINEST VARS'!$U$68+'LINEST VARS'!$T$68*(8)+'LINEST VARS'!$S$68*(8)+'LINEST VARS'!$R$68*($BQ$128)+'LINEST VARS'!$Q$68*($AZ138)+'LINEST VARS'!$P$68*(12.73)+'LINEST VARS'!$O$68*(8^2)+'LINEST VARS'!$N$68*(8^2)+'LINEST VARS'!$M$68*($BQ$128^2)+'LINEST VARS'!$L$68*($AZ138^2)+'LINEST VARS'!$K$68*(12.73^2)+'LINEST VARS'!$J$68*(8*8)+'LINEST VARS'!$I$68*(8*$BQ$128)+'LINEST VARS'!$H$68*(8*$AZ138)+'LINEST VARS'!$G$68*(8*12.73)+'LINEST VARS'!$F$68*(8*$BQ$128)+'LINEST VARS'!$E$68*(8*$AZ138)+'LINEST VARS'!$D$68*(8*12.73)+'LINEST VARS'!$C$68*($BQ$128*$AZ138)+'LINEST VARS'!$B$68*($BQ$128*12.73)+'LINEST VARS'!$A$68*($AZ138*12.73)</f>
        <v>149.19</v>
      </c>
      <c r="BR138" s="46">
        <f>'LINEST VARS'!$U$68+'LINEST VARS'!$T$68*(8)+'LINEST VARS'!$S$68*(8)+'LINEST VARS'!$R$68*($BR$128)+'LINEST VARS'!$Q$68*($AZ138)+'LINEST VARS'!$P$68*(12.73)+'LINEST VARS'!$O$68*(8^2)+'LINEST VARS'!$N$68*(8^2)+'LINEST VARS'!$M$68*($BR$128^2)+'LINEST VARS'!$L$68*($AZ138^2)+'LINEST VARS'!$K$68*(12.73^2)+'LINEST VARS'!$J$68*(8*8)+'LINEST VARS'!$I$68*(8*$BR$128)+'LINEST VARS'!$H$68*(8*$AZ138)+'LINEST VARS'!$G$68*(8*12.73)+'LINEST VARS'!$F$68*(8*$BR$128)+'LINEST VARS'!$E$68*(8*$AZ138)+'LINEST VARS'!$D$68*(8*12.73)+'LINEST VARS'!$C$68*($BR$128*$AZ138)+'LINEST VARS'!$B$68*($BR$128*12.73)+'LINEST VARS'!$A$68*($AZ138*12.73)</f>
        <v>149.19</v>
      </c>
      <c r="BS138" s="46">
        <f>'LINEST VARS'!$U$68+'LINEST VARS'!$T$68*(8)+'LINEST VARS'!$S$68*(8)+'LINEST VARS'!$R$68*($BS$128)+'LINEST VARS'!$Q$68*($AZ138)+'LINEST VARS'!$P$68*(12.73)+'LINEST VARS'!$O$68*(8^2)+'LINEST VARS'!$N$68*(8^2)+'LINEST VARS'!$M$68*($BS$128^2)+'LINEST VARS'!$L$68*($AZ138^2)+'LINEST VARS'!$K$68*(12.73^2)+'LINEST VARS'!$J$68*(8*8)+'LINEST VARS'!$I$68*(8*$BS$128)+'LINEST VARS'!$H$68*(8*$AZ138)+'LINEST VARS'!$G$68*(8*12.73)+'LINEST VARS'!$F$68*(8*$BS$128)+'LINEST VARS'!$E$68*(8*$AZ138)+'LINEST VARS'!$D$68*(8*12.73)+'LINEST VARS'!$C$68*($BS$128*$AZ138)+'LINEST VARS'!$B$68*($BS$128*12.73)+'LINEST VARS'!$A$68*($AZ138*12.73)</f>
        <v>149.19</v>
      </c>
      <c r="BT138" s="46">
        <f>'LINEST VARS'!$U$68+'LINEST VARS'!$T$68*(8)+'LINEST VARS'!$S$68*(8)+'LINEST VARS'!$R$68*($BT$128)+'LINEST VARS'!$Q$68*($AZ138)+'LINEST VARS'!$P$68*(12.73)+'LINEST VARS'!$O$68*(8^2)+'LINEST VARS'!$N$68*(8^2)+'LINEST VARS'!$M$68*($BT$128^2)+'LINEST VARS'!$L$68*($AZ138^2)+'LINEST VARS'!$K$68*(12.73^2)+'LINEST VARS'!$J$68*(8*8)+'LINEST VARS'!$I$68*(8*$BT$128)+'LINEST VARS'!$H$68*(8*$AZ138)+'LINEST VARS'!$G$68*(8*12.73)+'LINEST VARS'!$F$68*(8*$BT$128)+'LINEST VARS'!$E$68*(8*$AZ138)+'LINEST VARS'!$D$68*(8*12.73)+'LINEST VARS'!$C$68*($BT$128*$AZ138)+'LINEST VARS'!$B$68*($BT$128*12.73)+'LINEST VARS'!$A$68*($AZ138*12.73)</f>
        <v>149.19</v>
      </c>
      <c r="BU138" s="47">
        <f>'LINEST VARS'!$U$68+'LINEST VARS'!$T$68*(8)+'LINEST VARS'!$S$68*(8)+'LINEST VARS'!$R$68*($BU$128)+'LINEST VARS'!$Q$68*($AZ138)+'LINEST VARS'!$P$68*(12.73)+'LINEST VARS'!$O$68*(8^2)+'LINEST VARS'!$N$68*(8^2)+'LINEST VARS'!$M$68*($BU$128^2)+'LINEST VARS'!$L$68*($AZ138^2)+'LINEST VARS'!$K$68*(12.73^2)+'LINEST VARS'!$J$68*(8*8)+'LINEST VARS'!$I$68*(8*$BU$128)+'LINEST VARS'!$H$68*(8*$AZ138)+'LINEST VARS'!$G$68*(8*12.73)+'LINEST VARS'!$F$68*(8*$BU$128)+'LINEST VARS'!$E$68*(8*$AZ138)+'LINEST VARS'!$D$68*(8*12.73)+'LINEST VARS'!$C$68*($BU$128*$AZ138)+'LINEST VARS'!$B$68*($BU$128*12.73)+'LINEST VARS'!$A$68*($AZ138*12.73)</f>
        <v>149.19</v>
      </c>
      <c r="BX138" s="45">
        <v>0.45</v>
      </c>
      <c r="BY138" s="46">
        <f>'LINEST VARS'!$U$70+'LINEST VARS'!$T$70*(8)+'LINEST VARS'!$S$70*(8)+'LINEST VARS'!$R$70*($BY$128)+'LINEST VARS'!$Q$70*($BX138)+'LINEST VARS'!$P$70*(12.73)+'LINEST VARS'!$O$70*(8^2)+'LINEST VARS'!$N$70*(8^2)+'LINEST VARS'!$M$70*($BY$128^2)+'LINEST VARS'!$L$70*($BX138^2)+'LINEST VARS'!$K$70*(12.73^2)+'LINEST VARS'!$J$70*(8*8)+'LINEST VARS'!$I$70*(8*$BY$128)+'LINEST VARS'!$H$70*(8*$BX138)+'LINEST VARS'!$G$70*(8*12.73)+'LINEST VARS'!$F$70*(8*$BY$128)+'LINEST VARS'!$E$70*(8*$BX138)+'LINEST VARS'!$D$70*(8*12.73)+'LINEST VARS'!$C$70*($BY$128*$BX138)+'LINEST VARS'!$B$70*($BY$128*12.73)+'LINEST VARS'!$A$70*($BX138*12.73)</f>
        <v>92.000000000000014</v>
      </c>
      <c r="BZ138" s="46">
        <f>'LINEST VARS'!$U$70+'LINEST VARS'!$T$70*(8)+'LINEST VARS'!$S$70*(8)+'LINEST VARS'!$R$70*($BZ$128)+'LINEST VARS'!$Q$70*($BX138)+'LINEST VARS'!$P$70*(12.73)+'LINEST VARS'!$O$70*(8^2)+'LINEST VARS'!$N$70*(8^2)+'LINEST VARS'!$M$70*($BZ$128^2)+'LINEST VARS'!$L$70*($BX138^2)+'LINEST VARS'!$K$70*(12.73^2)+'LINEST VARS'!$J$70*(8*8)+'LINEST VARS'!$I$70*(8*$BZ$128)+'LINEST VARS'!$H$70*(8*$BX138)+'LINEST VARS'!$G$70*(8*12.73)+'LINEST VARS'!$F$70*(8*$BZ$128)+'LINEST VARS'!$E$70*(8*$BX138)+'LINEST VARS'!$D$70*(8*12.73)+'LINEST VARS'!$C$70*($BZ$128*$BX138)+'LINEST VARS'!$B$70*($BZ$128*12.73)+'LINEST VARS'!$A$70*($BX138*12.73)</f>
        <v>91.600000000000009</v>
      </c>
      <c r="CA138" s="46">
        <f>'LINEST VARS'!$U$70+'LINEST VARS'!$T$70*(8)+'LINEST VARS'!$S$70*(8)+'LINEST VARS'!$R$70*($CA$128)+'LINEST VARS'!$Q$70*($BX138)+'LINEST VARS'!$P$70*(12.73)+'LINEST VARS'!$O$70*(8^2)+'LINEST VARS'!$N$70*(8^2)+'LINEST VARS'!$M$70*($CA$128^2)+'LINEST VARS'!$L$70*($BX138^2)+'LINEST VARS'!$K$70*(12.73^2)+'LINEST VARS'!$J$70*(8*8)+'LINEST VARS'!$I$70*(8*$CA$128)+'LINEST VARS'!$H$70*(8*$BX138)+'LINEST VARS'!$G$70*(8*12.73)+'LINEST VARS'!$F$70*(8*$CA$128)+'LINEST VARS'!$E$70*(8*$BX138)+'LINEST VARS'!$D$70*(8*12.73)+'LINEST VARS'!$C$70*($CA$128*$BX138)+'LINEST VARS'!$B$70*($CA$128*12.73)+'LINEST VARS'!$A$70*($BX138*12.73)</f>
        <v>91.200000000000017</v>
      </c>
      <c r="CB138" s="46">
        <f>'LINEST VARS'!$U$70+'LINEST VARS'!$T$70*(8)+'LINEST VARS'!$S$70*(8)+'LINEST VARS'!$R$70*($CB$128)+'LINEST VARS'!$Q$70*($BX138)+'LINEST VARS'!$P$70*(12.73)+'LINEST VARS'!$O$70*(8^2)+'LINEST VARS'!$N$70*(8^2)+'LINEST VARS'!$M$70*($CB$128^2)+'LINEST VARS'!$L$70*($BX138^2)+'LINEST VARS'!$K$70*(12.73^2)+'LINEST VARS'!$J$70*(8*8)+'LINEST VARS'!$I$70*(8*$CB$128)+'LINEST VARS'!$H$70*(8*$BX138)+'LINEST VARS'!$G$70*(8*12.73)+'LINEST VARS'!$F$70*(8*$CB$128)+'LINEST VARS'!$E$70*(8*$BX138)+'LINEST VARS'!$D$70*(8*12.73)+'LINEST VARS'!$C$70*($CB$128*$BX138)+'LINEST VARS'!$B$70*($CB$128*12.73)+'LINEST VARS'!$A$70*($BX138*12.73)</f>
        <v>90.800000000000011</v>
      </c>
      <c r="CC138" s="46">
        <f>'LINEST VARS'!$U$70+'LINEST VARS'!$T$70*(8)+'LINEST VARS'!$S$70*(8)+'LINEST VARS'!$R$70*($CC$128)+'LINEST VARS'!$Q$70*($BX138)+'LINEST VARS'!$P$70*(12.73)+'LINEST VARS'!$O$70*(8^2)+'LINEST VARS'!$N$70*(8^2)+'LINEST VARS'!$M$70*($CC$128^2)+'LINEST VARS'!$L$70*($BX138^2)+'LINEST VARS'!$K$70*(12.73^2)+'LINEST VARS'!$J$70*(8*8)+'LINEST VARS'!$I$70*(8*$CC$128)+'LINEST VARS'!$H$70*(8*$BX138)+'LINEST VARS'!$G$70*(8*12.73)+'LINEST VARS'!$F$70*(8*$CC$128)+'LINEST VARS'!$E$70*(8*$BX138)+'LINEST VARS'!$D$70*(8*12.73)+'LINEST VARS'!$C$70*($CC$128*$BX138)+'LINEST VARS'!$B$70*($CC$128*12.73)+'LINEST VARS'!$A$70*($BX138*12.73)</f>
        <v>90.40000000000002</v>
      </c>
      <c r="CD138" s="46">
        <f>'LINEST VARS'!$U$70+'LINEST VARS'!$T$70*(8)+'LINEST VARS'!$S$70*(8)+'LINEST VARS'!$R$70*($CD$128)+'LINEST VARS'!$Q$70*($BX138)+'LINEST VARS'!$P$70*(12.73)+'LINEST VARS'!$O$70*(8^2)+'LINEST VARS'!$N$70*(8^2)+'LINEST VARS'!$M$70*($CD$128^2)+'LINEST VARS'!$L$70*($BX138^2)+'LINEST VARS'!$K$70*(12.73^2)+'LINEST VARS'!$J$70*(8*8)+'LINEST VARS'!$I$70*(8*$CD$128)+'LINEST VARS'!$H$70*(8*$BX138)+'LINEST VARS'!$G$70*(8*12.73)+'LINEST VARS'!$F$70*(8*$CD$128)+'LINEST VARS'!$E$70*(8*$BX138)+'LINEST VARS'!$D$70*(8*12.73)+'LINEST VARS'!$C$70*($CD$128*$BX138)+'LINEST VARS'!$B$70*($CD$128*12.73)+'LINEST VARS'!$A$70*($BX138*12.73)</f>
        <v>90.000000000000014</v>
      </c>
      <c r="CE138" s="46">
        <f>'LINEST VARS'!$U$70+'LINEST VARS'!$T$70*(8)+'LINEST VARS'!$S$70*(8)+'LINEST VARS'!$R$70*($CE$128)+'LINEST VARS'!$Q$70*($BX138)+'LINEST VARS'!$P$70*(12.73)+'LINEST VARS'!$O$70*(8^2)+'LINEST VARS'!$N$70*(8^2)+'LINEST VARS'!$M$70*($CE$128^2)+'LINEST VARS'!$L$70*($BX138^2)+'LINEST VARS'!$K$70*(12.73^2)+'LINEST VARS'!$J$70*(8*8)+'LINEST VARS'!$I$70*(8*$CE$128)+'LINEST VARS'!$H$70*(8*$BX138)+'LINEST VARS'!$G$70*(8*12.73)+'LINEST VARS'!$F$70*(8*$CE$128)+'LINEST VARS'!$E$70*(8*$BX138)+'LINEST VARS'!$D$70*(8*12.73)+'LINEST VARS'!$C$70*($CE$128*$BX138)+'LINEST VARS'!$B$70*($CE$128*12.73)+'LINEST VARS'!$A$70*($BX138*12.73)</f>
        <v>89.600000000000023</v>
      </c>
      <c r="CF138" s="46">
        <f>'LINEST VARS'!$U$70+'LINEST VARS'!$T$70*(8)+'LINEST VARS'!$S$70*(8)+'LINEST VARS'!$R$70*($CF$128)+'LINEST VARS'!$Q$70*($BX138)+'LINEST VARS'!$P$70*(12.73)+'LINEST VARS'!$O$70*(8^2)+'LINEST VARS'!$N$70*(8^2)+'LINEST VARS'!$M$70*($CF$128^2)+'LINEST VARS'!$L$70*($BX138^2)+'LINEST VARS'!$K$70*(12.73^2)+'LINEST VARS'!$J$70*(8*8)+'LINEST VARS'!$I$70*(8*$CF$128)+'LINEST VARS'!$H$70*(8*$BX138)+'LINEST VARS'!$G$70*(8*12.73)+'LINEST VARS'!$F$70*(8*$CF$128)+'LINEST VARS'!$E$70*(8*$BX138)+'LINEST VARS'!$D$70*(8*12.73)+'LINEST VARS'!$C$70*($CF$128*$BX138)+'LINEST VARS'!$B$70*($CF$128*12.73)+'LINEST VARS'!$A$70*($BX138*12.73)</f>
        <v>89.200000000000017</v>
      </c>
      <c r="CG138" s="46">
        <f>'LINEST VARS'!$U$70+'LINEST VARS'!$T$70*(8)+'LINEST VARS'!$S$70*(8)+'LINEST VARS'!$R$70*($CG$128)+'LINEST VARS'!$Q$70*($BX138)+'LINEST VARS'!$P$70*(12.73)+'LINEST VARS'!$O$70*(8^2)+'LINEST VARS'!$N$70*(8^2)+'LINEST VARS'!$M$70*($CG$128^2)+'LINEST VARS'!$L$70*($BX138^2)+'LINEST VARS'!$K$70*(12.73^2)+'LINEST VARS'!$J$70*(8*8)+'LINEST VARS'!$I$70*(8*$CG$128)+'LINEST VARS'!$H$70*(8*$BX138)+'LINEST VARS'!$G$70*(8*12.73)+'LINEST VARS'!$F$70*(8*$CG$128)+'LINEST VARS'!$E$70*(8*$BX138)+'LINEST VARS'!$D$70*(8*12.73)+'LINEST VARS'!$C$70*($CG$128*$BX138)+'LINEST VARS'!$B$70*($CG$128*12.73)+'LINEST VARS'!$A$70*($BX138*12.73)</f>
        <v>88.800000000000026</v>
      </c>
      <c r="CH138" s="46">
        <f>'LINEST VARS'!$U$70+'LINEST VARS'!$T$70*(8)+'LINEST VARS'!$S$70*(8)+'LINEST VARS'!$R$70*($CH$128)+'LINEST VARS'!$Q$70*($BX138)+'LINEST VARS'!$P$70*(12.73)+'LINEST VARS'!$O$70*(8^2)+'LINEST VARS'!$N$70*(8^2)+'LINEST VARS'!$M$70*($CH$128^2)+'LINEST VARS'!$L$70*($BX138^2)+'LINEST VARS'!$K$70*(12.73^2)+'LINEST VARS'!$J$70*(8*8)+'LINEST VARS'!$I$70*(8*$CH$128)+'LINEST VARS'!$H$70*(8*$BX138)+'LINEST VARS'!$G$70*(8*12.73)+'LINEST VARS'!$F$70*(8*$CH$128)+'LINEST VARS'!$E$70*(8*$BX138)+'LINEST VARS'!$D$70*(8*12.73)+'LINEST VARS'!$C$70*($CH$128*$BX138)+'LINEST VARS'!$B$70*($CH$128*12.73)+'LINEST VARS'!$A$70*($BX138*12.73)</f>
        <v>88.40000000000002</v>
      </c>
      <c r="CI138" s="46">
        <f>'LINEST VARS'!$U$70+'LINEST VARS'!$T$70*(8)+'LINEST VARS'!$S$70*(8)+'LINEST VARS'!$R$70*($CI$128)+'LINEST VARS'!$Q$70*($BX138)+'LINEST VARS'!$P$70*(12.73)+'LINEST VARS'!$O$70*(8^2)+'LINEST VARS'!$N$70*(8^2)+'LINEST VARS'!$M$70*($CI$128^2)+'LINEST VARS'!$L$70*($BX138^2)+'LINEST VARS'!$K$70*(12.73^2)+'LINEST VARS'!$J$70*(8*8)+'LINEST VARS'!$I$70*(8*$CI$128)+'LINEST VARS'!$H$70*(8*$BX138)+'LINEST VARS'!$G$70*(8*12.73)+'LINEST VARS'!$F$70*(8*$CI$128)+'LINEST VARS'!$E$70*(8*$BX138)+'LINEST VARS'!$D$70*(8*12.73)+'LINEST VARS'!$C$70*($CI$128*$BX138)+'LINEST VARS'!$B$70*($CI$128*12.73)+'LINEST VARS'!$A$70*($BX138*12.73)</f>
        <v>88.000000000000014</v>
      </c>
      <c r="CJ138" s="46">
        <f>'LINEST VARS'!$U$70+'LINEST VARS'!$T$70*(8)+'LINEST VARS'!$S$70*(8)+'LINEST VARS'!$R$70*($CJ$128)+'LINEST VARS'!$Q$70*($BX138)+'LINEST VARS'!$P$70*(12.73)+'LINEST VARS'!$O$70*(8^2)+'LINEST VARS'!$N$70*(8^2)+'LINEST VARS'!$M$70*($CJ$128^2)+'LINEST VARS'!$L$70*($BX138^2)+'LINEST VARS'!$K$70*(12.73^2)+'LINEST VARS'!$J$70*(8*8)+'LINEST VARS'!$I$70*(8*$CJ$128)+'LINEST VARS'!$H$70*(8*$BX138)+'LINEST VARS'!$G$70*(8*12.73)+'LINEST VARS'!$F$70*(8*$CJ$128)+'LINEST VARS'!$E$70*(8*$BX138)+'LINEST VARS'!$D$70*(8*12.73)+'LINEST VARS'!$C$70*($CJ$128*$BX138)+'LINEST VARS'!$B$70*($CJ$128*12.73)+'LINEST VARS'!$A$70*($BX138*12.73)</f>
        <v>87.600000000000023</v>
      </c>
      <c r="CK138" s="46">
        <f>'LINEST VARS'!$U$70+'LINEST VARS'!$T$70*(8)+'LINEST VARS'!$S$70*(8)+'LINEST VARS'!$R$70*($CK$128)+'LINEST VARS'!$Q$70*($BX138)+'LINEST VARS'!$P$70*(12.73)+'LINEST VARS'!$O$70*(8^2)+'LINEST VARS'!$N$70*(8^2)+'LINEST VARS'!$M$70*($CK$128^2)+'LINEST VARS'!$L$70*($BX138^2)+'LINEST VARS'!$K$70*(12.73^2)+'LINEST VARS'!$J$70*(8*8)+'LINEST VARS'!$I$70*(8*$CK$128)+'LINEST VARS'!$H$70*(8*$BX138)+'LINEST VARS'!$G$70*(8*12.73)+'LINEST VARS'!$F$70*(8*$CK$128)+'LINEST VARS'!$E$70*(8*$BX138)+'LINEST VARS'!$D$70*(8*12.73)+'LINEST VARS'!$C$70*($CK$128*$BX138)+'LINEST VARS'!$B$70*($CK$128*12.73)+'LINEST VARS'!$A$70*($BX138*12.73)</f>
        <v>87.200000000000017</v>
      </c>
      <c r="CL138" s="46">
        <f>'LINEST VARS'!$U$70+'LINEST VARS'!$T$70*(8)+'LINEST VARS'!$S$70*(8)+'LINEST VARS'!$R$70*($CL$128)+'LINEST VARS'!$Q$70*($BX138)+'LINEST VARS'!$P$70*(12.73)+'LINEST VARS'!$O$70*(8^2)+'LINEST VARS'!$N$70*(8^2)+'LINEST VARS'!$M$70*($CL$128^2)+'LINEST VARS'!$L$70*($BX138^2)+'LINEST VARS'!$K$70*(12.73^2)+'LINEST VARS'!$J$70*(8*8)+'LINEST VARS'!$I$70*(8*$CL$128)+'LINEST VARS'!$H$70*(8*$BX138)+'LINEST VARS'!$G$70*(8*12.73)+'LINEST VARS'!$F$70*(8*$CL$128)+'LINEST VARS'!$E$70*(8*$BX138)+'LINEST VARS'!$D$70*(8*12.73)+'LINEST VARS'!$C$70*($CL$128*$BX138)+'LINEST VARS'!$B$70*($CL$128*12.73)+'LINEST VARS'!$A$70*($BX138*12.73)</f>
        <v>86.800000000000026</v>
      </c>
      <c r="CM138" s="46">
        <f>'LINEST VARS'!$U$70+'LINEST VARS'!$T$70*(8)+'LINEST VARS'!$S$70*(8)+'LINEST VARS'!$R$70*($CM$128)+'LINEST VARS'!$Q$70*($BX138)+'LINEST VARS'!$P$70*(12.73)+'LINEST VARS'!$O$70*(8^2)+'LINEST VARS'!$N$70*(8^2)+'LINEST VARS'!$M$70*($CM$128^2)+'LINEST VARS'!$L$70*($BX138^2)+'LINEST VARS'!$K$70*(12.73^2)+'LINEST VARS'!$J$70*(8*8)+'LINEST VARS'!$I$70*(8*$CM$128)+'LINEST VARS'!$H$70*(8*$BX138)+'LINEST VARS'!$G$70*(8*12.73)+'LINEST VARS'!$F$70*(8*$CM$128)+'LINEST VARS'!$E$70*(8*$BX138)+'LINEST VARS'!$D$70*(8*12.73)+'LINEST VARS'!$C$70*($CM$128*$BX138)+'LINEST VARS'!$B$70*($CM$128*12.73)+'LINEST VARS'!$A$70*($BX138*12.73)</f>
        <v>86.40000000000002</v>
      </c>
      <c r="CN138" s="46">
        <f>'LINEST VARS'!$U$70+'LINEST VARS'!$T$70*(8)+'LINEST VARS'!$S$70*(8)+'LINEST VARS'!$R$70*($CN$128)+'LINEST VARS'!$Q$70*($BX138)+'LINEST VARS'!$P$70*(12.73)+'LINEST VARS'!$O$70*(8^2)+'LINEST VARS'!$N$70*(8^2)+'LINEST VARS'!$M$70*($CN$128^2)+'LINEST VARS'!$L$70*($BX138^2)+'LINEST VARS'!$K$70*(12.73^2)+'LINEST VARS'!$J$70*(8*8)+'LINEST VARS'!$I$70*(8*$CN$128)+'LINEST VARS'!$H$70*(8*$BX138)+'LINEST VARS'!$G$70*(8*12.73)+'LINEST VARS'!$F$70*(8*$CN$128)+'LINEST VARS'!$E$70*(8*$BX138)+'LINEST VARS'!$D$70*(8*12.73)+'LINEST VARS'!$C$70*($CN$128*$BX138)+'LINEST VARS'!$B$70*($CN$128*12.73)+'LINEST VARS'!$A$70*($BX138*12.73)</f>
        <v>86.000000000000014</v>
      </c>
      <c r="CO138" s="46">
        <f>'LINEST VARS'!$U$70+'LINEST VARS'!$T$70*(8)+'LINEST VARS'!$S$70*(8)+'LINEST VARS'!$R$70*($CO$128)+'LINEST VARS'!$Q$70*($BX138)+'LINEST VARS'!$P$70*(12.73)+'LINEST VARS'!$O$70*(8^2)+'LINEST VARS'!$N$70*(8^2)+'LINEST VARS'!$M$70*($CO$128^2)+'LINEST VARS'!$L$70*($BX138^2)+'LINEST VARS'!$K$70*(12.73^2)+'LINEST VARS'!$J$70*(8*8)+'LINEST VARS'!$I$70*(8*$CO$128)+'LINEST VARS'!$H$70*(8*$BX138)+'LINEST VARS'!$G$70*(8*12.73)+'LINEST VARS'!$F$70*(8*$CO$128)+'LINEST VARS'!$E$70*(8*$BX138)+'LINEST VARS'!$D$70*(8*12.73)+'LINEST VARS'!$C$70*($CO$128*$BX138)+'LINEST VARS'!$B$70*($CO$128*12.73)+'LINEST VARS'!$A$70*($BX138*12.73)</f>
        <v>85.600000000000009</v>
      </c>
      <c r="CP138" s="46">
        <f>'LINEST VARS'!$U$70+'LINEST VARS'!$T$70*(8)+'LINEST VARS'!$S$70*(8)+'LINEST VARS'!$R$70*($CP$128)+'LINEST VARS'!$Q$70*($BX138)+'LINEST VARS'!$P$70*(12.73)+'LINEST VARS'!$O$70*(8^2)+'LINEST VARS'!$N$70*(8^2)+'LINEST VARS'!$M$70*($CP$128^2)+'LINEST VARS'!$L$70*($BX138^2)+'LINEST VARS'!$K$70*(12.73^2)+'LINEST VARS'!$J$70*(8*8)+'LINEST VARS'!$I$70*(8*$CP$128)+'LINEST VARS'!$H$70*(8*$BX138)+'LINEST VARS'!$G$70*(8*12.73)+'LINEST VARS'!$F$70*(8*$CP$128)+'LINEST VARS'!$E$70*(8*$BX138)+'LINEST VARS'!$D$70*(8*12.73)+'LINEST VARS'!$C$70*($CP$128*$BX138)+'LINEST VARS'!$B$70*($CP$128*12.73)+'LINEST VARS'!$A$70*($BX138*12.73)</f>
        <v>85.200000000000017</v>
      </c>
      <c r="CQ138" s="46">
        <f>'LINEST VARS'!$U$70+'LINEST VARS'!$T$70*(8)+'LINEST VARS'!$S$70*(8)+'LINEST VARS'!$R$70*($CQ$128)+'LINEST VARS'!$Q$70*($BX138)+'LINEST VARS'!$P$70*(12.73)+'LINEST VARS'!$O$70*(8^2)+'LINEST VARS'!$N$70*(8^2)+'LINEST VARS'!$M$70*($CQ$128^2)+'LINEST VARS'!$L$70*($BX138^2)+'LINEST VARS'!$K$70*(12.73^2)+'LINEST VARS'!$J$70*(8*8)+'LINEST VARS'!$I$70*(8*$CQ$128)+'LINEST VARS'!$H$70*(8*$BX138)+'LINEST VARS'!$G$70*(8*12.73)+'LINEST VARS'!$F$70*(8*$CQ$128)+'LINEST VARS'!$E$70*(8*$BX138)+'LINEST VARS'!$D$70*(8*12.73)+'LINEST VARS'!$C$70*($CQ$128*$BX138)+'LINEST VARS'!$B$70*($CQ$128*12.73)+'LINEST VARS'!$A$70*($BX138*12.73)</f>
        <v>84.800000000000011</v>
      </c>
      <c r="CR138" s="46">
        <f>'LINEST VARS'!$U$70+'LINEST VARS'!$T$70*(8)+'LINEST VARS'!$S$70*(8)+'LINEST VARS'!$R$70*($CR$128)+'LINEST VARS'!$Q$70*($BX138)+'LINEST VARS'!$P$70*(12.73)+'LINEST VARS'!$O$70*(8^2)+'LINEST VARS'!$N$70*(8^2)+'LINEST VARS'!$M$70*($CR$128^2)+'LINEST VARS'!$L$70*($BX138^2)+'LINEST VARS'!$K$70*(12.73^2)+'LINEST VARS'!$J$70*(8*8)+'LINEST VARS'!$I$70*(8*$CR$128)+'LINEST VARS'!$H$70*(8*$BX138)+'LINEST VARS'!$G$70*(8*12.73)+'LINEST VARS'!$F$70*(8*$CR$128)+'LINEST VARS'!$E$70*(8*$BX138)+'LINEST VARS'!$D$70*(8*12.73)+'LINEST VARS'!$C$70*($CR$128*$BX138)+'LINEST VARS'!$B$70*($CR$128*12.73)+'LINEST VARS'!$A$70*($BX138*12.73)</f>
        <v>84.400000000000034</v>
      </c>
      <c r="CS138" s="47">
        <f>'LINEST VARS'!$U$70+'LINEST VARS'!$T$70*(8)+'LINEST VARS'!$S$70*(8)+'LINEST VARS'!$R$70*($CS$128)+'LINEST VARS'!$Q$70*($BX138)+'LINEST VARS'!$P$70*(12.73)+'LINEST VARS'!$O$70*(8^2)+'LINEST VARS'!$N$70*(8^2)+'LINEST VARS'!$M$70*($CS$128^2)+'LINEST VARS'!$L$70*($BX138^2)+'LINEST VARS'!$K$70*(12.73^2)+'LINEST VARS'!$J$70*(8*8)+'LINEST VARS'!$I$70*(8*$CS$128)+'LINEST VARS'!$H$70*(8*$BX138)+'LINEST VARS'!$G$70*(8*12.73)+'LINEST VARS'!$F$70*(8*$CS$128)+'LINEST VARS'!$E$70*(8*$BX138)+'LINEST VARS'!$D$70*(8*12.73)+'LINEST VARS'!$C$70*($CS$128*$BX138)+'LINEST VARS'!$B$70*($CS$128*12.73)+'LINEST VARS'!$A$70*($BX138*12.73)</f>
        <v>84.000000000000028</v>
      </c>
      <c r="CX138" s="45">
        <v>11.695499999999999</v>
      </c>
      <c r="CY138" s="46">
        <f>'LINEST VARS'!$U$68+'LINEST VARS'!$T$68*(8)+'LINEST VARS'!$S$68*(8)+'LINEST VARS'!$R$68*($CY$128)+'LINEST VARS'!$Q$68*(0.5)+'LINEST VARS'!$P$68*($CX138)+'LINEST VARS'!$O$68*(8^2)+'LINEST VARS'!$N$68*(8^2)+'LINEST VARS'!$M$68*($CY$128^2)+'LINEST VARS'!$L$68*(0.5^2)+'LINEST VARS'!$K$68*($CX138^2)+'LINEST VARS'!$J$68*(8*8)+'LINEST VARS'!$I$68*(8*$CY$128)+'LINEST VARS'!$H$68*(8*0.5)+'LINEST VARS'!$G$68*(8*$CX138)+'LINEST VARS'!$F$68*(8*$CY$128)+'LINEST VARS'!$E$68*(8*0.5)+'LINEST VARS'!$D$68*(8*$CX138)+'LINEST VARS'!$C$68*($CY$128*0.5)+'LINEST VARS'!$B$68*($CY$128*$CX138)+'LINEST VARS'!$A$68*(0.5*$CX138)</f>
        <v>149</v>
      </c>
      <c r="CZ138" s="46">
        <f>'LINEST VARS'!$U$68+'LINEST VARS'!$T$68*(8)+'LINEST VARS'!$S$68*(8)+'LINEST VARS'!$R$68*($CZ$128)+'LINEST VARS'!$Q$68*(0.5)+'LINEST VARS'!$P$68*($CX138)+'LINEST VARS'!$O$68*(8^2)+'LINEST VARS'!$N$68*(8^2)+'LINEST VARS'!$M$68*($CZ$128^2)+'LINEST VARS'!$L$68*(0.5^2)+'LINEST VARS'!$K$68*($CX138^2)+'LINEST VARS'!$J$68*(8*8)+'LINEST VARS'!$I$68*(8*$CZ$128)+'LINEST VARS'!$H$68*(8*0.5)+'LINEST VARS'!$G$68*(8*$CX138)+'LINEST VARS'!$F$68*(8*$CZ$128)+'LINEST VARS'!$E$68*(8*0.5)+'LINEST VARS'!$D$68*(8*$CX138)+'LINEST VARS'!$C$68*($CZ$128*0.5)+'LINEST VARS'!$B$68*($CZ$128*$CX138)+'LINEST VARS'!$A$68*(0.5*$CX138)</f>
        <v>149</v>
      </c>
      <c r="DA138" s="46">
        <f>'LINEST VARS'!$U$68+'LINEST VARS'!$T$68*(8)+'LINEST VARS'!$S$68*(8)+'LINEST VARS'!$R$68*($DA$128)+'LINEST VARS'!$Q$68*(0.5)+'LINEST VARS'!$P$68*($CX138)+'LINEST VARS'!$O$68*(8^2)+'LINEST VARS'!$N$68*(8^2)+'LINEST VARS'!$M$68*($DA$128^2)+'LINEST VARS'!$L$68*(0.5^2)+'LINEST VARS'!$K$68*($CX138^2)+'LINEST VARS'!$J$68*(8*8)+'LINEST VARS'!$I$68*(8*$DA$128)+'LINEST VARS'!$H$68*(8*0.5)+'LINEST VARS'!$G$68*(8*$CX138)+'LINEST VARS'!$F$68*(8*$DA$128)+'LINEST VARS'!$E$68*(8*0.5)+'LINEST VARS'!$D$68*(8*$CX138)+'LINEST VARS'!$C$68*($DA$128*0.5)+'LINEST VARS'!$B$68*($DA$128*$CX138)+'LINEST VARS'!$A$68*(0.5*$CX138)</f>
        <v>149</v>
      </c>
      <c r="DB138" s="46">
        <f>'LINEST VARS'!$U$68+'LINEST VARS'!$T$68*(8)+'LINEST VARS'!$S$68*(8)+'LINEST VARS'!$R$68*($DB$128)+'LINEST VARS'!$Q$68*(0.5)+'LINEST VARS'!$P$68*($CX138)+'LINEST VARS'!$O$68*(8^2)+'LINEST VARS'!$N$68*(8^2)+'LINEST VARS'!$M$68*($DB$128^2)+'LINEST VARS'!$L$68*(0.5^2)+'LINEST VARS'!$K$68*($CX138^2)+'LINEST VARS'!$J$68*(8*8)+'LINEST VARS'!$I$68*(8*$DB$128)+'LINEST VARS'!$H$68*(8*0.5)+'LINEST VARS'!$G$68*(8*$CX138)+'LINEST VARS'!$F$68*(8*$DB$128)+'LINEST VARS'!$E$68*(8*0.5)+'LINEST VARS'!$D$68*(8*$CX138)+'LINEST VARS'!$C$68*($DB$128*0.5)+'LINEST VARS'!$B$68*($DB$128*$CX138)+'LINEST VARS'!$A$68*(0.5*$CX138)</f>
        <v>149</v>
      </c>
      <c r="DC138" s="46">
        <f>'LINEST VARS'!$U$68+'LINEST VARS'!$T$68*(8)+'LINEST VARS'!$S$68*(8)+'LINEST VARS'!$R$68*($DC$128)+'LINEST VARS'!$Q$68*(0.5)+'LINEST VARS'!$P$68*($CX138)+'LINEST VARS'!$O$68*(8^2)+'LINEST VARS'!$N$68*(8^2)+'LINEST VARS'!$M$68*($DC$128^2)+'LINEST VARS'!$L$68*(0.5^2)+'LINEST VARS'!$K$68*($CX138^2)+'LINEST VARS'!$J$68*(8*8)+'LINEST VARS'!$I$68*(8*$DC$128)+'LINEST VARS'!$H$68*(8*0.5)+'LINEST VARS'!$G$68*(8*$CX138)+'LINEST VARS'!$F$68*(8*$DC$128)+'LINEST VARS'!$E$68*(8*0.5)+'LINEST VARS'!$D$68*(8*$CX138)+'LINEST VARS'!$C$68*($DC$128*0.5)+'LINEST VARS'!$B$68*($DC$128*$CX138)+'LINEST VARS'!$A$68*(0.5*$CX138)</f>
        <v>149</v>
      </c>
      <c r="DD138" s="46">
        <f>'LINEST VARS'!$U$68+'LINEST VARS'!$T$68*(8)+'LINEST VARS'!$S$68*(8)+'LINEST VARS'!$R$68*($DD$128)+'LINEST VARS'!$Q$68*(0.5)+'LINEST VARS'!$P$68*($CX138)+'LINEST VARS'!$O$68*(8^2)+'LINEST VARS'!$N$68*(8^2)+'LINEST VARS'!$M$68*($DD$128^2)+'LINEST VARS'!$L$68*(0.5^2)+'LINEST VARS'!$K$68*($CX138^2)+'LINEST VARS'!$J$68*(8*8)+'LINEST VARS'!$I$68*(8*$DD$128)+'LINEST VARS'!$H$68*(8*0.5)+'LINEST VARS'!$G$68*(8*$CX138)+'LINEST VARS'!$F$68*(8*$DD$128)+'LINEST VARS'!$E$68*(8*0.5)+'LINEST VARS'!$D$68*(8*$CX138)+'LINEST VARS'!$C$68*($DD$128*0.5)+'LINEST VARS'!$B$68*($DD$128*$CX138)+'LINEST VARS'!$A$68*(0.5*$CX138)</f>
        <v>149</v>
      </c>
      <c r="DE138" s="46">
        <f>'LINEST VARS'!$U$68+'LINEST VARS'!$T$68*(8)+'LINEST VARS'!$S$68*(8)+'LINEST VARS'!$R$68*($DE$128)+'LINEST VARS'!$Q$68*(0.5)+'LINEST VARS'!$P$68*($CX138)+'LINEST VARS'!$O$68*(8^2)+'LINEST VARS'!$N$68*(8^2)+'LINEST VARS'!$M$68*($DE$128^2)+'LINEST VARS'!$L$68*(0.5^2)+'LINEST VARS'!$K$68*($CX138^2)+'LINEST VARS'!$J$68*(8*8)+'LINEST VARS'!$I$68*(8*$DE$128)+'LINEST VARS'!$H$68*(8*0.5)+'LINEST VARS'!$G$68*(8*$CX138)+'LINEST VARS'!$F$68*(8*$DE$128)+'LINEST VARS'!$E$68*(8*0.5)+'LINEST VARS'!$D$68*(8*$CX138)+'LINEST VARS'!$C$68*($DE$128*0.5)+'LINEST VARS'!$B$68*($DE$128*$CX138)+'LINEST VARS'!$A$68*(0.5*$CX138)</f>
        <v>149</v>
      </c>
      <c r="DF138" s="46">
        <f>'LINEST VARS'!$U$68+'LINEST VARS'!$T$68*(8)+'LINEST VARS'!$S$68*(8)+'LINEST VARS'!$R$68*($DF$128)+'LINEST VARS'!$Q$68*(0.5)+'LINEST VARS'!$P$68*($CX138)+'LINEST VARS'!$O$68*(8^2)+'LINEST VARS'!$N$68*(8^2)+'LINEST VARS'!$M$68*($DF$128^2)+'LINEST VARS'!$L$68*(0.5^2)+'LINEST VARS'!$K$68*($CX138^2)+'LINEST VARS'!$J$68*(8*8)+'LINEST VARS'!$I$68*(8*$DF$128)+'LINEST VARS'!$H$68*(8*0.5)+'LINEST VARS'!$G$68*(8*$CX138)+'LINEST VARS'!$F$68*(8*$DF$128)+'LINEST VARS'!$E$68*(8*0.5)+'LINEST VARS'!$D$68*(8*$CX138)+'LINEST VARS'!$C$68*($DF$128*0.5)+'LINEST VARS'!$B$68*($DF$128*$CX138)+'LINEST VARS'!$A$68*(0.5*$CX138)</f>
        <v>149</v>
      </c>
      <c r="DG138" s="46">
        <f>'LINEST VARS'!$U$68+'LINEST VARS'!$T$68*(8)+'LINEST VARS'!$S$68*(8)+'LINEST VARS'!$R$68*($DG$128)+'LINEST VARS'!$Q$68*(0.5)+'LINEST VARS'!$P$68*($CX138)+'LINEST VARS'!$O$68*(8^2)+'LINEST VARS'!$N$68*(8^2)+'LINEST VARS'!$M$68*($DG$128^2)+'LINEST VARS'!$L$68*(0.5^2)+'LINEST VARS'!$K$68*($CX138^2)+'LINEST VARS'!$J$68*(8*8)+'LINEST VARS'!$I$68*(8*$DG$128)+'LINEST VARS'!$H$68*(8*0.5)+'LINEST VARS'!$G$68*(8*$CX138)+'LINEST VARS'!$F$68*(8*$DG$128)+'LINEST VARS'!$E$68*(8*0.5)+'LINEST VARS'!$D$68*(8*$CX138)+'LINEST VARS'!$C$68*($DG$128*0.5)+'LINEST VARS'!$B$68*($DG$128*$CX138)+'LINEST VARS'!$A$68*(0.5*$CX138)</f>
        <v>149</v>
      </c>
      <c r="DH138" s="46">
        <f>'LINEST VARS'!$U$68+'LINEST VARS'!$T$68*(8)+'LINEST VARS'!$S$68*(8)+'LINEST VARS'!$R$68*($DH$128)+'LINEST VARS'!$Q$68*(0.5)+'LINEST VARS'!$P$68*($CX138)+'LINEST VARS'!$O$68*(8^2)+'LINEST VARS'!$N$68*(8^2)+'LINEST VARS'!$M$68*($DH$128^2)+'LINEST VARS'!$L$68*(0.5^2)+'LINEST VARS'!$K$68*($CX138^2)+'LINEST VARS'!$J$68*(8*8)+'LINEST VARS'!$I$68*(8*$DH$128)+'LINEST VARS'!$H$68*(8*0.5)+'LINEST VARS'!$G$68*(8*$CX138)+'LINEST VARS'!$F$68*(8*$DH$128)+'LINEST VARS'!$E$68*(8*0.5)+'LINEST VARS'!$D$68*(8*$CX138)+'LINEST VARS'!$C$68*($DH$128*0.5)+'LINEST VARS'!$B$68*($DH$128*$CX138)+'LINEST VARS'!$A$68*(0.5*$CX138)</f>
        <v>149</v>
      </c>
      <c r="DI138" s="46">
        <f>'LINEST VARS'!$U$68+'LINEST VARS'!$T$68*(8)+'LINEST VARS'!$S$68*(8)+'LINEST VARS'!$R$68*($DI$128)+'LINEST VARS'!$Q$68*(0.5)+'LINEST VARS'!$P$68*($CX138)+'LINEST VARS'!$O$68*(8^2)+'LINEST VARS'!$N$68*(8^2)+'LINEST VARS'!$M$68*($DI$128^2)+'LINEST VARS'!$L$68*(0.5^2)+'LINEST VARS'!$K$68*($CX138^2)+'LINEST VARS'!$J$68*(8*8)+'LINEST VARS'!$I$68*(8*$DI$128)+'LINEST VARS'!$H$68*(8*0.5)+'LINEST VARS'!$G$68*(8*$CX138)+'LINEST VARS'!$F$68*(8*$DI$128)+'LINEST VARS'!$E$68*(8*0.5)+'LINEST VARS'!$D$68*(8*$CX138)+'LINEST VARS'!$C$68*($DI$128*0.5)+'LINEST VARS'!$B$68*($DI$128*$CX138)+'LINEST VARS'!$A$68*(0.5*$CX138)</f>
        <v>149</v>
      </c>
      <c r="DJ138" s="46">
        <f>'LINEST VARS'!$U$68+'LINEST VARS'!$T$68*(8)+'LINEST VARS'!$S$68*(8)+'LINEST VARS'!$R$68*($DJ$128)+'LINEST VARS'!$Q$68*(0.5)+'LINEST VARS'!$P$68*($CX138)+'LINEST VARS'!$O$68*(8^2)+'LINEST VARS'!$N$68*(8^2)+'LINEST VARS'!$M$68*($DJ$128^2)+'LINEST VARS'!$L$68*(0.5^2)+'LINEST VARS'!$K$68*($CX138^2)+'LINEST VARS'!$J$68*(8*8)+'LINEST VARS'!$I$68*(8*$DJ$128)+'LINEST VARS'!$H$68*(8*0.5)+'LINEST VARS'!$G$68*(8*$CX138)+'LINEST VARS'!$F$68*(8*$DJ$128)+'LINEST VARS'!$E$68*(8*0.5)+'LINEST VARS'!$D$68*(8*$CX138)+'LINEST VARS'!$C$68*($DJ$128*0.5)+'LINEST VARS'!$B$68*($DJ$128*$CX138)+'LINEST VARS'!$A$68*(0.5*$CX138)</f>
        <v>149</v>
      </c>
      <c r="DK138" s="46">
        <f>'LINEST VARS'!$U$68+'LINEST VARS'!$T$68*(8)+'LINEST VARS'!$S$68*(8)+'LINEST VARS'!$R$68*($DK$128)+'LINEST VARS'!$Q$68*(0.5)+'LINEST VARS'!$P$68*($CX138)+'LINEST VARS'!$O$68*(8^2)+'LINEST VARS'!$N$68*(8^2)+'LINEST VARS'!$M$68*($DK$128^2)+'LINEST VARS'!$L$68*(0.5^2)+'LINEST VARS'!$K$68*($CX138^2)+'LINEST VARS'!$J$68*(8*8)+'LINEST VARS'!$I$68*(8*$DK$128)+'LINEST VARS'!$H$68*(8*0.5)+'LINEST VARS'!$G$68*(8*$CX138)+'LINEST VARS'!$F$68*(8*$DK$128)+'LINEST VARS'!$E$68*(8*0.5)+'LINEST VARS'!$D$68*(8*$CX138)+'LINEST VARS'!$C$68*($DK$128*0.5)+'LINEST VARS'!$B$68*($DK$128*$CX138)+'LINEST VARS'!$A$68*(0.5*$CX138)</f>
        <v>149</v>
      </c>
      <c r="DL138" s="46">
        <f>'LINEST VARS'!$U$68+'LINEST VARS'!$T$68*(8)+'LINEST VARS'!$S$68*(8)+'LINEST VARS'!$R$68*($DL$128)+'LINEST VARS'!$Q$68*(0.5)+'LINEST VARS'!$P$68*($CX138)+'LINEST VARS'!$O$68*(8^2)+'LINEST VARS'!$N$68*(8^2)+'LINEST VARS'!$M$68*($DL$128^2)+'LINEST VARS'!$L$68*(0.5^2)+'LINEST VARS'!$K$68*($CX138^2)+'LINEST VARS'!$J$68*(8*8)+'LINEST VARS'!$I$68*(8*$DL$128)+'LINEST VARS'!$H$68*(8*0.5)+'LINEST VARS'!$G$68*(8*$CX138)+'LINEST VARS'!$F$68*(8*$DL$128)+'LINEST VARS'!$E$68*(8*0.5)+'LINEST VARS'!$D$68*(8*$CX138)+'LINEST VARS'!$C$68*($DL$128*0.5)+'LINEST VARS'!$B$68*($DL$128*$CX138)+'LINEST VARS'!$A$68*(0.5*$CX138)</f>
        <v>149</v>
      </c>
      <c r="DM138" s="46">
        <f>'LINEST VARS'!$U$68+'LINEST VARS'!$T$68*(8)+'LINEST VARS'!$S$68*(8)+'LINEST VARS'!$R$68*($DM$128)+'LINEST VARS'!$Q$68*(0.5)+'LINEST VARS'!$P$68*($CX138)+'LINEST VARS'!$O$68*(8^2)+'LINEST VARS'!$N$68*(8^2)+'LINEST VARS'!$M$68*($DM$128^2)+'LINEST VARS'!$L$68*(0.5^2)+'LINEST VARS'!$K$68*($CX138^2)+'LINEST VARS'!$J$68*(8*8)+'LINEST VARS'!$I$68*(8*$DM$128)+'LINEST VARS'!$H$68*(8*0.5)+'LINEST VARS'!$G$68*(8*$CX138)+'LINEST VARS'!$F$68*(8*$DM$128)+'LINEST VARS'!$E$68*(8*0.5)+'LINEST VARS'!$D$68*(8*$CX138)+'LINEST VARS'!$C$68*($DM$128*0.5)+'LINEST VARS'!$B$68*($DM$128*$CX138)+'LINEST VARS'!$A$68*(0.5*$CX138)</f>
        <v>149</v>
      </c>
      <c r="DN138" s="46">
        <f>'LINEST VARS'!$U$68+'LINEST VARS'!$T$68*(8)+'LINEST VARS'!$S$68*(8)+'LINEST VARS'!$R$68*($DN$128)+'LINEST VARS'!$Q$68*(0.5)+'LINEST VARS'!$P$68*($CX138)+'LINEST VARS'!$O$68*(8^2)+'LINEST VARS'!$N$68*(8^2)+'LINEST VARS'!$M$68*($DN$128^2)+'LINEST VARS'!$L$68*(0.5^2)+'LINEST VARS'!$K$68*($CX138^2)+'LINEST VARS'!$J$68*(8*8)+'LINEST VARS'!$I$68*(8*$DN$128)+'LINEST VARS'!$H$68*(8*0.5)+'LINEST VARS'!$G$68*(8*$CX138)+'LINEST VARS'!$F$68*(8*$DN$128)+'LINEST VARS'!$E$68*(8*0.5)+'LINEST VARS'!$D$68*(8*$CX138)+'LINEST VARS'!$C$68*($DN$128*0.5)+'LINEST VARS'!$B$68*($DN$128*$CX138)+'LINEST VARS'!$A$68*(0.5*$CX138)</f>
        <v>149</v>
      </c>
      <c r="DO138" s="46">
        <f>'LINEST VARS'!$U$68+'LINEST VARS'!$T$68*(8)+'LINEST VARS'!$S$68*(8)+'LINEST VARS'!$R$68*($DO$128)+'LINEST VARS'!$Q$68*(0.5)+'LINEST VARS'!$P$68*($CX138)+'LINEST VARS'!$O$68*(8^2)+'LINEST VARS'!$N$68*(8^2)+'LINEST VARS'!$M$68*($DO$128^2)+'LINEST VARS'!$L$68*(0.5^2)+'LINEST VARS'!$K$68*($CX138^2)+'LINEST VARS'!$J$68*(8*8)+'LINEST VARS'!$I$68*(8*$DO$128)+'LINEST VARS'!$H$68*(8*0.5)+'LINEST VARS'!$G$68*(8*$CX138)+'LINEST VARS'!$F$68*(8*$DO$128)+'LINEST VARS'!$E$68*(8*0.5)+'LINEST VARS'!$D$68*(8*$CX138)+'LINEST VARS'!$C$68*($DO$128*0.5)+'LINEST VARS'!$B$68*($DO$128*$CX138)+'LINEST VARS'!$A$68*(0.5*$CX138)</f>
        <v>149</v>
      </c>
      <c r="DP138" s="46">
        <f>'LINEST VARS'!$U$68+'LINEST VARS'!$T$68*(8)+'LINEST VARS'!$S$68*(8)+'LINEST VARS'!$R$68*($DP$128)+'LINEST VARS'!$Q$68*(0.5)+'LINEST VARS'!$P$68*($CX138)+'LINEST VARS'!$O$68*(8^2)+'LINEST VARS'!$N$68*(8^2)+'LINEST VARS'!$M$68*($DP$128^2)+'LINEST VARS'!$L$68*(0.5^2)+'LINEST VARS'!$K$68*($CX138^2)+'LINEST VARS'!$J$68*(8*8)+'LINEST VARS'!$I$68*(8*$DP$128)+'LINEST VARS'!$H$68*(8*0.5)+'LINEST VARS'!$G$68*(8*$CX138)+'LINEST VARS'!$F$68*(8*$DP$128)+'LINEST VARS'!$E$68*(8*0.5)+'LINEST VARS'!$D$68*(8*$CX138)+'LINEST VARS'!$C$68*($DP$128*0.5)+'LINEST VARS'!$B$68*($DP$128*$CX138)+'LINEST VARS'!$A$68*(0.5*$CX138)</f>
        <v>149</v>
      </c>
      <c r="DQ138" s="46">
        <f>'LINEST VARS'!$U$68+'LINEST VARS'!$T$68*(8)+'LINEST VARS'!$S$68*(8)+'LINEST VARS'!$R$68*($DQ$128)+'LINEST VARS'!$Q$68*(0.5)+'LINEST VARS'!$P$68*($CX138)+'LINEST VARS'!$O$68*(8^2)+'LINEST VARS'!$N$68*(8^2)+'LINEST VARS'!$M$68*($DQ$128^2)+'LINEST VARS'!$L$68*(0.5^2)+'LINEST VARS'!$K$68*($CX138^2)+'LINEST VARS'!$J$68*(8*8)+'LINEST VARS'!$I$68*(8*$DQ$128)+'LINEST VARS'!$H$68*(8*0.5)+'LINEST VARS'!$G$68*(8*$CX138)+'LINEST VARS'!$F$68*(8*$DQ$128)+'LINEST VARS'!$E$68*(8*0.5)+'LINEST VARS'!$D$68*(8*$CX138)+'LINEST VARS'!$C$68*($DQ$128*0.5)+'LINEST VARS'!$B$68*($DQ$128*$CX138)+'LINEST VARS'!$A$68*(0.5*$CX138)</f>
        <v>149</v>
      </c>
      <c r="DR138" s="46">
        <f>'LINEST VARS'!$U$68+'LINEST VARS'!$T$68*(8)+'LINEST VARS'!$S$68*(8)+'LINEST VARS'!$R$68*($DR$128)+'LINEST VARS'!$Q$68*(0.5)+'LINEST VARS'!$P$68*($CX138)+'LINEST VARS'!$O$68*(8^2)+'LINEST VARS'!$N$68*(8^2)+'LINEST VARS'!$M$68*($DR$128^2)+'LINEST VARS'!$L$68*(0.5^2)+'LINEST VARS'!$K$68*($CX138^2)+'LINEST VARS'!$J$68*(8*8)+'LINEST VARS'!$I$68*(8*$DR$128)+'LINEST VARS'!$H$68*(8*0.5)+'LINEST VARS'!$G$68*(8*$CX138)+'LINEST VARS'!$F$68*(8*$DR$128)+'LINEST VARS'!$E$68*(8*0.5)+'LINEST VARS'!$D$68*(8*$CX138)+'LINEST VARS'!$C$68*($DR$128*0.5)+'LINEST VARS'!$B$68*($DR$128*$CX138)+'LINEST VARS'!$A$68*(0.5*$CX138)</f>
        <v>149</v>
      </c>
      <c r="DS138" s="47">
        <f>'LINEST VARS'!$U$68+'LINEST VARS'!$T$68*(8)+'LINEST VARS'!$S$68*(8)+'LINEST VARS'!$R$68*($DS$128)+'LINEST VARS'!$Q$68*(0.5)+'LINEST VARS'!$P$68*($CX138)+'LINEST VARS'!$O$68*(8^2)+'LINEST VARS'!$N$68*(8^2)+'LINEST VARS'!$M$68*($DS$128^2)+'LINEST VARS'!$L$68*(0.5^2)+'LINEST VARS'!$K$68*($CX138^2)+'LINEST VARS'!$J$68*(8*8)+'LINEST VARS'!$I$68*(8*$DS$128)+'LINEST VARS'!$H$68*(8*0.5)+'LINEST VARS'!$G$68*(8*$CX138)+'LINEST VARS'!$F$68*(8*$DS$128)+'LINEST VARS'!$E$68*(8*0.5)+'LINEST VARS'!$D$68*(8*$CX138)+'LINEST VARS'!$C$68*($DS$128*0.5)+'LINEST VARS'!$B$68*($DS$128*$CX138)+'LINEST VARS'!$A$68*(0.5*$CX138)</f>
        <v>149</v>
      </c>
      <c r="DV138" s="45">
        <v>11.695499999999999</v>
      </c>
      <c r="DW138" s="46">
        <f>'LINEST VARS'!$U$70+'LINEST VARS'!$T$70*(8)+'LINEST VARS'!$S$70*(8)+'LINEST VARS'!$R$70*($DW$128)+'LINEST VARS'!$Q$70*(0.5)+'LINEST VARS'!$P$70*($DV138)+'LINEST VARS'!$O$70*(8^2)+'LINEST VARS'!$N$70*(8^2)+'LINEST VARS'!$M$70*($DW$128^2)+'LINEST VARS'!$L$70*(0.5^2)+'LINEST VARS'!$K$70*($DV138^2)+'LINEST VARS'!$J$70*(8*8)+'LINEST VARS'!$I$70*(8*$DW$128)+'LINEST VARS'!$H$70*(8*0.5)+'LINEST VARS'!$G$70*(8*$DV138)+'LINEST VARS'!$F$70*(8*$DW$128)+'LINEST VARS'!$E$70*(8*0.5)+'LINEST VARS'!$D$70*(8*$DV138)+'LINEST VARS'!$C$70*($DW$128*0.5)+'LINEST VARS'!$B$70*($DW$128*$DV138)+'LINEST VARS'!$A$70*(0.5*$DV138)</f>
        <v>92.000000000000014</v>
      </c>
      <c r="DX138" s="46">
        <f>'LINEST VARS'!$U$70+'LINEST VARS'!$T$70*(8)+'LINEST VARS'!$S$70*(8)+'LINEST VARS'!$R$70*($DX$128)+'LINEST VARS'!$Q$70*(0.5)+'LINEST VARS'!$P$70*($DV138)+'LINEST VARS'!$O$70*(8^2)+'LINEST VARS'!$N$70*(8^2)+'LINEST VARS'!$M$70*($DX$128^2)+'LINEST VARS'!$L$70*(0.5^2)+'LINEST VARS'!$K$70*($DV138^2)+'LINEST VARS'!$J$70*(8*8)+'LINEST VARS'!$I$70*(8*$DX$128)+'LINEST VARS'!$H$70*(8*0.5)+'LINEST VARS'!$G$70*(8*$DV138)+'LINEST VARS'!$F$70*(8*$DX$128)+'LINEST VARS'!$E$70*(8*0.5)+'LINEST VARS'!$D$70*(8*$DV138)+'LINEST VARS'!$C$70*($DX$128*0.5)+'LINEST VARS'!$B$70*($DX$128*$DV138)+'LINEST VARS'!$A$70*(0.5*$DV138)</f>
        <v>91.600000000000009</v>
      </c>
      <c r="DY138" s="46">
        <f>'LINEST VARS'!$U$70+'LINEST VARS'!$T$70*(8)+'LINEST VARS'!$S$70*(8)+'LINEST VARS'!$R$70*($DY$128)+'LINEST VARS'!$Q$70*(0.5)+'LINEST VARS'!$P$70*($DV138)+'LINEST VARS'!$O$70*(8^2)+'LINEST VARS'!$N$70*(8^2)+'LINEST VARS'!$M$70*($DY$128^2)+'LINEST VARS'!$L$70*(0.5^2)+'LINEST VARS'!$K$70*($DV138^2)+'LINEST VARS'!$J$70*(8*8)+'LINEST VARS'!$I$70*(8*$DY$128)+'LINEST VARS'!$H$70*(8*0.5)+'LINEST VARS'!$G$70*(8*$DV138)+'LINEST VARS'!$F$70*(8*$DY$128)+'LINEST VARS'!$E$70*(8*0.5)+'LINEST VARS'!$D$70*(8*$DV138)+'LINEST VARS'!$C$70*($DY$128*0.5)+'LINEST VARS'!$B$70*($DY$128*$DV138)+'LINEST VARS'!$A$70*(0.5*$DV138)</f>
        <v>91.200000000000017</v>
      </c>
      <c r="DZ138" s="46">
        <f>'LINEST VARS'!$U$70+'LINEST VARS'!$T$70*(8)+'LINEST VARS'!$S$70*(8)+'LINEST VARS'!$R$70*($DZ$128)+'LINEST VARS'!$Q$70*(0.5)+'LINEST VARS'!$P$70*($DV138)+'LINEST VARS'!$O$70*(8^2)+'LINEST VARS'!$N$70*(8^2)+'LINEST VARS'!$M$70*($DZ$128^2)+'LINEST VARS'!$L$70*(0.5^2)+'LINEST VARS'!$K$70*($DV138^2)+'LINEST VARS'!$J$70*(8*8)+'LINEST VARS'!$I$70*(8*$DZ$128)+'LINEST VARS'!$H$70*(8*0.5)+'LINEST VARS'!$G$70*(8*$DV138)+'LINEST VARS'!$F$70*(8*$DZ$128)+'LINEST VARS'!$E$70*(8*0.5)+'LINEST VARS'!$D$70*(8*$DV138)+'LINEST VARS'!$C$70*($DZ$128*0.5)+'LINEST VARS'!$B$70*($DZ$128*$DV138)+'LINEST VARS'!$A$70*(0.5*$DV138)</f>
        <v>90.800000000000011</v>
      </c>
      <c r="EA138" s="46">
        <f>'LINEST VARS'!$U$70+'LINEST VARS'!$T$70*(8)+'LINEST VARS'!$S$70*(8)+'LINEST VARS'!$R$70*($EA$128)+'LINEST VARS'!$Q$70*(0.5)+'LINEST VARS'!$P$70*($DV138)+'LINEST VARS'!$O$70*(8^2)+'LINEST VARS'!$N$70*(8^2)+'LINEST VARS'!$M$70*($EA$128^2)+'LINEST VARS'!$L$70*(0.5^2)+'LINEST VARS'!$K$70*($DV138^2)+'LINEST VARS'!$J$70*(8*8)+'LINEST VARS'!$I$70*(8*$EA$128)+'LINEST VARS'!$H$70*(8*0.5)+'LINEST VARS'!$G$70*(8*$DV138)+'LINEST VARS'!$F$70*(8*$EA$128)+'LINEST VARS'!$E$70*(8*0.5)+'LINEST VARS'!$D$70*(8*$DV138)+'LINEST VARS'!$C$70*($EA$128*0.5)+'LINEST VARS'!$B$70*($EA$128*$DV138)+'LINEST VARS'!$A$70*(0.5*$DV138)</f>
        <v>90.40000000000002</v>
      </c>
      <c r="EB138" s="46">
        <f>'LINEST VARS'!$U$70+'LINEST VARS'!$T$70*(8)+'LINEST VARS'!$S$70*(8)+'LINEST VARS'!$R$70*($EB$128)+'LINEST VARS'!$Q$70*(0.5)+'LINEST VARS'!$P$70*($DV138)+'LINEST VARS'!$O$70*(8^2)+'LINEST VARS'!$N$70*(8^2)+'LINEST VARS'!$M$70*($EB$128^2)+'LINEST VARS'!$L$70*(0.5^2)+'LINEST VARS'!$K$70*($DV138^2)+'LINEST VARS'!$J$70*(8*8)+'LINEST VARS'!$I$70*(8*$EB$128)+'LINEST VARS'!$H$70*(8*0.5)+'LINEST VARS'!$G$70*(8*$DV138)+'LINEST VARS'!$F$70*(8*$EB$128)+'LINEST VARS'!$E$70*(8*0.5)+'LINEST VARS'!$D$70*(8*$DV138)+'LINEST VARS'!$C$70*($EB$128*0.5)+'LINEST VARS'!$B$70*($EB$128*$DV138)+'LINEST VARS'!$A$70*(0.5*$DV138)</f>
        <v>90.000000000000014</v>
      </c>
      <c r="EC138" s="46">
        <f>'LINEST VARS'!$U$70+'LINEST VARS'!$T$70*(8)+'LINEST VARS'!$S$70*(8)+'LINEST VARS'!$R$70*($EC$128)+'LINEST VARS'!$Q$70*(0.5)+'LINEST VARS'!$P$70*($DV138)+'LINEST VARS'!$O$70*(8^2)+'LINEST VARS'!$N$70*(8^2)+'LINEST VARS'!$M$70*($EC$128^2)+'LINEST VARS'!$L$70*(0.5^2)+'LINEST VARS'!$K$70*($DV138^2)+'LINEST VARS'!$J$70*(8*8)+'LINEST VARS'!$I$70*(8*$EC$128)+'LINEST VARS'!$H$70*(8*0.5)+'LINEST VARS'!$G$70*(8*$DV138)+'LINEST VARS'!$F$70*(8*$EC$128)+'LINEST VARS'!$E$70*(8*0.5)+'LINEST VARS'!$D$70*(8*$DV138)+'LINEST VARS'!$C$70*($EC$128*0.5)+'LINEST VARS'!$B$70*($EC$128*$DV138)+'LINEST VARS'!$A$70*(0.5*$DV138)</f>
        <v>89.600000000000023</v>
      </c>
      <c r="ED138" s="46">
        <f>'LINEST VARS'!$U$70+'LINEST VARS'!$T$70*(8)+'LINEST VARS'!$S$70*(8)+'LINEST VARS'!$R$70*($ED$128)+'LINEST VARS'!$Q$70*(0.5)+'LINEST VARS'!$P$70*($DV138)+'LINEST VARS'!$O$70*(8^2)+'LINEST VARS'!$N$70*(8^2)+'LINEST VARS'!$M$70*($ED$128^2)+'LINEST VARS'!$L$70*(0.5^2)+'LINEST VARS'!$K$70*($DV138^2)+'LINEST VARS'!$J$70*(8*8)+'LINEST VARS'!$I$70*(8*$ED$128)+'LINEST VARS'!$H$70*(8*0.5)+'LINEST VARS'!$G$70*(8*$DV138)+'LINEST VARS'!$F$70*(8*$ED$128)+'LINEST VARS'!$E$70*(8*0.5)+'LINEST VARS'!$D$70*(8*$DV138)+'LINEST VARS'!$C$70*($ED$128*0.5)+'LINEST VARS'!$B$70*($ED$128*$DV138)+'LINEST VARS'!$A$70*(0.5*$DV138)</f>
        <v>89.200000000000017</v>
      </c>
      <c r="EE138" s="46">
        <f>'LINEST VARS'!$U$70+'LINEST VARS'!$T$70*(8)+'LINEST VARS'!$S$70*(8)+'LINEST VARS'!$R$70*($EE$128)+'LINEST VARS'!$Q$70*(0.5)+'LINEST VARS'!$P$70*($DV138)+'LINEST VARS'!$O$70*(8^2)+'LINEST VARS'!$N$70*(8^2)+'LINEST VARS'!$M$70*($EE$128^2)+'LINEST VARS'!$L$70*(0.5^2)+'LINEST VARS'!$K$70*($DV138^2)+'LINEST VARS'!$J$70*(8*8)+'LINEST VARS'!$I$70*(8*$EE$128)+'LINEST VARS'!$H$70*(8*0.5)+'LINEST VARS'!$G$70*(8*$DV138)+'LINEST VARS'!$F$70*(8*$EE$128)+'LINEST VARS'!$E$70*(8*0.5)+'LINEST VARS'!$D$70*(8*$DV138)+'LINEST VARS'!$C$70*($EE$128*0.5)+'LINEST VARS'!$B$70*($EE$128*$DV138)+'LINEST VARS'!$A$70*(0.5*$DV138)</f>
        <v>88.800000000000026</v>
      </c>
      <c r="EF138" s="46">
        <f>'LINEST VARS'!$U$70+'LINEST VARS'!$T$70*(8)+'LINEST VARS'!$S$70*(8)+'LINEST VARS'!$R$70*($EF$128)+'LINEST VARS'!$Q$70*(0.5)+'LINEST VARS'!$P$70*($DV138)+'LINEST VARS'!$O$70*(8^2)+'LINEST VARS'!$N$70*(8^2)+'LINEST VARS'!$M$70*($EF$128^2)+'LINEST VARS'!$L$70*(0.5^2)+'LINEST VARS'!$K$70*($DV138^2)+'LINEST VARS'!$J$70*(8*8)+'LINEST VARS'!$I$70*(8*$EF$128)+'LINEST VARS'!$H$70*(8*0.5)+'LINEST VARS'!$G$70*(8*$DV138)+'LINEST VARS'!$F$70*(8*$EF$128)+'LINEST VARS'!$E$70*(8*0.5)+'LINEST VARS'!$D$70*(8*$DV138)+'LINEST VARS'!$C$70*($EF$128*0.5)+'LINEST VARS'!$B$70*($EF$128*$DV138)+'LINEST VARS'!$A$70*(0.5*$DV138)</f>
        <v>88.40000000000002</v>
      </c>
      <c r="EG138" s="46">
        <f>'LINEST VARS'!$U$70+'LINEST VARS'!$T$70*(8)+'LINEST VARS'!$S$70*(8)+'LINEST VARS'!$R$70*($EG$128)+'LINEST VARS'!$Q$70*(0.5)+'LINEST VARS'!$P$70*($DV138)+'LINEST VARS'!$O$70*(8^2)+'LINEST VARS'!$N$70*(8^2)+'LINEST VARS'!$M$70*($EG$128^2)+'LINEST VARS'!$L$70*(0.5^2)+'LINEST VARS'!$K$70*($DV138^2)+'LINEST VARS'!$J$70*(8*8)+'LINEST VARS'!$I$70*(8*$EG$128)+'LINEST VARS'!$H$70*(8*0.5)+'LINEST VARS'!$G$70*(8*$DV138)+'LINEST VARS'!$F$70*(8*$EG$128)+'LINEST VARS'!$E$70*(8*0.5)+'LINEST VARS'!$D$70*(8*$DV138)+'LINEST VARS'!$C$70*($EG$128*0.5)+'LINEST VARS'!$B$70*($EG$128*$DV138)+'LINEST VARS'!$A$70*(0.5*$DV138)</f>
        <v>88.000000000000014</v>
      </c>
      <c r="EH138" s="46">
        <f>'LINEST VARS'!$U$70+'LINEST VARS'!$T$70*(8)+'LINEST VARS'!$S$70*(8)+'LINEST VARS'!$R$70*($EH$128)+'LINEST VARS'!$Q$70*(0.5)+'LINEST VARS'!$P$70*($DV138)+'LINEST VARS'!$O$70*(8^2)+'LINEST VARS'!$N$70*(8^2)+'LINEST VARS'!$M$70*($EH$128^2)+'LINEST VARS'!$L$70*(0.5^2)+'LINEST VARS'!$K$70*($DV138^2)+'LINEST VARS'!$J$70*(8*8)+'LINEST VARS'!$I$70*(8*$EH$128)+'LINEST VARS'!$H$70*(8*0.5)+'LINEST VARS'!$G$70*(8*$DV138)+'LINEST VARS'!$F$70*(8*$EH$128)+'LINEST VARS'!$E$70*(8*0.5)+'LINEST VARS'!$D$70*(8*$DV138)+'LINEST VARS'!$C$70*($EH$128*0.5)+'LINEST VARS'!$B$70*($EH$128*$DV138)+'LINEST VARS'!$A$70*(0.5*$DV138)</f>
        <v>87.600000000000023</v>
      </c>
      <c r="EI138" s="46">
        <f>'LINEST VARS'!$U$70+'LINEST VARS'!$T$70*(8)+'LINEST VARS'!$S$70*(8)+'LINEST VARS'!$R$70*($EI$128)+'LINEST VARS'!$Q$70*(0.5)+'LINEST VARS'!$P$70*($DV138)+'LINEST VARS'!$O$70*(8^2)+'LINEST VARS'!$N$70*(8^2)+'LINEST VARS'!$M$70*($EI$128^2)+'LINEST VARS'!$L$70*(0.5^2)+'LINEST VARS'!$K$70*($DV138^2)+'LINEST VARS'!$J$70*(8*8)+'LINEST VARS'!$I$70*(8*$EI$128)+'LINEST VARS'!$H$70*(8*0.5)+'LINEST VARS'!$G$70*(8*$DV138)+'LINEST VARS'!$F$70*(8*$EI$128)+'LINEST VARS'!$E$70*(8*0.5)+'LINEST VARS'!$D$70*(8*$DV138)+'LINEST VARS'!$C$70*($EI$128*0.5)+'LINEST VARS'!$B$70*($EI$128*$DV138)+'LINEST VARS'!$A$70*(0.5*$DV138)</f>
        <v>87.200000000000017</v>
      </c>
      <c r="EJ138" s="46">
        <f>'LINEST VARS'!$U$70+'LINEST VARS'!$T$70*(8)+'LINEST VARS'!$S$70*(8)+'LINEST VARS'!$R$70*($EJ$128)+'LINEST VARS'!$Q$70*(0.5)+'LINEST VARS'!$P$70*($DV138)+'LINEST VARS'!$O$70*(8^2)+'LINEST VARS'!$N$70*(8^2)+'LINEST VARS'!$M$70*($EJ$128^2)+'LINEST VARS'!$L$70*(0.5^2)+'LINEST VARS'!$K$70*($DV138^2)+'LINEST VARS'!$J$70*(8*8)+'LINEST VARS'!$I$70*(8*$EJ$128)+'LINEST VARS'!$H$70*(8*0.5)+'LINEST VARS'!$G$70*(8*$DV138)+'LINEST VARS'!$F$70*(8*$EJ$128)+'LINEST VARS'!$E$70*(8*0.5)+'LINEST VARS'!$D$70*(8*$DV138)+'LINEST VARS'!$C$70*($EJ$128*0.5)+'LINEST VARS'!$B$70*($EJ$128*$DV138)+'LINEST VARS'!$A$70*(0.5*$DV138)</f>
        <v>86.800000000000026</v>
      </c>
      <c r="EK138" s="46">
        <f>'LINEST VARS'!$U$70+'LINEST VARS'!$T$70*(8)+'LINEST VARS'!$S$70*(8)+'LINEST VARS'!$R$70*($EK$128)+'LINEST VARS'!$Q$70*(0.5)+'LINEST VARS'!$P$70*($DV138)+'LINEST VARS'!$O$70*(8^2)+'LINEST VARS'!$N$70*(8^2)+'LINEST VARS'!$M$70*($EK$128^2)+'LINEST VARS'!$L$70*(0.5^2)+'LINEST VARS'!$K$70*($DV138^2)+'LINEST VARS'!$J$70*(8*8)+'LINEST VARS'!$I$70*(8*$EK$128)+'LINEST VARS'!$H$70*(8*0.5)+'LINEST VARS'!$G$70*(8*$DV138)+'LINEST VARS'!$F$70*(8*$EK$128)+'LINEST VARS'!$E$70*(8*0.5)+'LINEST VARS'!$D$70*(8*$DV138)+'LINEST VARS'!$C$70*($EK$128*0.5)+'LINEST VARS'!$B$70*($EK$128*$DV138)+'LINEST VARS'!$A$70*(0.5*$DV138)</f>
        <v>86.40000000000002</v>
      </c>
      <c r="EL138" s="46">
        <f>'LINEST VARS'!$U$70+'LINEST VARS'!$T$70*(8)+'LINEST VARS'!$S$70*(8)+'LINEST VARS'!$R$70*($EL$128)+'LINEST VARS'!$Q$70*(0.5)+'LINEST VARS'!$P$70*($DV138)+'LINEST VARS'!$O$70*(8^2)+'LINEST VARS'!$N$70*(8^2)+'LINEST VARS'!$M$70*($EL$128^2)+'LINEST VARS'!$L$70*(0.5^2)+'LINEST VARS'!$K$70*($DV138^2)+'LINEST VARS'!$J$70*(8*8)+'LINEST VARS'!$I$70*(8*$EL$128)+'LINEST VARS'!$H$70*(8*0.5)+'LINEST VARS'!$G$70*(8*$DV138)+'LINEST VARS'!$F$70*(8*$EL$128)+'LINEST VARS'!$E$70*(8*0.5)+'LINEST VARS'!$D$70*(8*$DV138)+'LINEST VARS'!$C$70*($EL$128*0.5)+'LINEST VARS'!$B$70*($EL$128*$DV138)+'LINEST VARS'!$A$70*(0.5*$DV138)</f>
        <v>86.000000000000014</v>
      </c>
      <c r="EM138" s="46">
        <f>'LINEST VARS'!$U$70+'LINEST VARS'!$T$70*(8)+'LINEST VARS'!$S$70*(8)+'LINEST VARS'!$R$70*($EM$128)+'LINEST VARS'!$Q$70*(0.5)+'LINEST VARS'!$P$70*($DV138)+'LINEST VARS'!$O$70*(8^2)+'LINEST VARS'!$N$70*(8^2)+'LINEST VARS'!$M$70*($EM$128^2)+'LINEST VARS'!$L$70*(0.5^2)+'LINEST VARS'!$K$70*($DV138^2)+'LINEST VARS'!$J$70*(8*8)+'LINEST VARS'!$I$70*(8*$EM$128)+'LINEST VARS'!$H$70*(8*0.5)+'LINEST VARS'!$G$70*(8*$DV138)+'LINEST VARS'!$F$70*(8*$EM$128)+'LINEST VARS'!$E$70*(8*0.5)+'LINEST VARS'!$D$70*(8*$DV138)+'LINEST VARS'!$C$70*($EM$128*0.5)+'LINEST VARS'!$B$70*($EM$128*$DV138)+'LINEST VARS'!$A$70*(0.5*$DV138)</f>
        <v>85.600000000000009</v>
      </c>
      <c r="EN138" s="46">
        <f>'LINEST VARS'!$U$70+'LINEST VARS'!$T$70*(8)+'LINEST VARS'!$S$70*(8)+'LINEST VARS'!$R$70*($EN$128)+'LINEST VARS'!$Q$70*(0.5)+'LINEST VARS'!$P$70*($DV138)+'LINEST VARS'!$O$70*(8^2)+'LINEST VARS'!$N$70*(8^2)+'LINEST VARS'!$M$70*($EN$128^2)+'LINEST VARS'!$L$70*(0.5^2)+'LINEST VARS'!$K$70*($DV138^2)+'LINEST VARS'!$J$70*(8*8)+'LINEST VARS'!$I$70*(8*$EN$128)+'LINEST VARS'!$H$70*(8*0.5)+'LINEST VARS'!$G$70*(8*$DV138)+'LINEST VARS'!$F$70*(8*$EN$128)+'LINEST VARS'!$E$70*(8*0.5)+'LINEST VARS'!$D$70*(8*$DV138)+'LINEST VARS'!$C$70*($EN$128*0.5)+'LINEST VARS'!$B$70*($EN$128*$DV138)+'LINEST VARS'!$A$70*(0.5*$DV138)</f>
        <v>85.200000000000017</v>
      </c>
      <c r="EO138" s="46">
        <f>'LINEST VARS'!$U$70+'LINEST VARS'!$T$70*(8)+'LINEST VARS'!$S$70*(8)+'LINEST VARS'!$R$70*($EO$128)+'LINEST VARS'!$Q$70*(0.5)+'LINEST VARS'!$P$70*($DV138)+'LINEST VARS'!$O$70*(8^2)+'LINEST VARS'!$N$70*(8^2)+'LINEST VARS'!$M$70*($EO$128^2)+'LINEST VARS'!$L$70*(0.5^2)+'LINEST VARS'!$K$70*($DV138^2)+'LINEST VARS'!$J$70*(8*8)+'LINEST VARS'!$I$70*(8*$EO$128)+'LINEST VARS'!$H$70*(8*0.5)+'LINEST VARS'!$G$70*(8*$DV138)+'LINEST VARS'!$F$70*(8*$EO$128)+'LINEST VARS'!$E$70*(8*0.5)+'LINEST VARS'!$D$70*(8*$DV138)+'LINEST VARS'!$C$70*($EO$128*0.5)+'LINEST VARS'!$B$70*($EO$128*$DV138)+'LINEST VARS'!$A$70*(0.5*$DV138)</f>
        <v>84.800000000000011</v>
      </c>
      <c r="EP138" s="46">
        <f>'LINEST VARS'!$U$70+'LINEST VARS'!$T$70*(8)+'LINEST VARS'!$S$70*(8)+'LINEST VARS'!$R$70*($EP$128)+'LINEST VARS'!$Q$70*(0.5)+'LINEST VARS'!$P$70*($DV138)+'LINEST VARS'!$O$70*(8^2)+'LINEST VARS'!$N$70*(8^2)+'LINEST VARS'!$M$70*($EP$128^2)+'LINEST VARS'!$L$70*(0.5^2)+'LINEST VARS'!$K$70*($DV138^2)+'LINEST VARS'!$J$70*(8*8)+'LINEST VARS'!$I$70*(8*$EP$128)+'LINEST VARS'!$H$70*(8*0.5)+'LINEST VARS'!$G$70*(8*$DV138)+'LINEST VARS'!$F$70*(8*$EP$128)+'LINEST VARS'!$E$70*(8*0.5)+'LINEST VARS'!$D$70*(8*$DV138)+'LINEST VARS'!$C$70*($EP$128*0.5)+'LINEST VARS'!$B$70*($EP$128*$DV138)+'LINEST VARS'!$A$70*(0.5*$DV138)</f>
        <v>84.400000000000034</v>
      </c>
      <c r="EQ138" s="47">
        <f>'LINEST VARS'!$U$70+'LINEST VARS'!$T$70*(8)+'LINEST VARS'!$S$70*(8)+'LINEST VARS'!$R$70*($EQ$128)+'LINEST VARS'!$Q$70*(0.5)+'LINEST VARS'!$P$70*($DV138)+'LINEST VARS'!$O$70*(8^2)+'LINEST VARS'!$N$70*(8^2)+'LINEST VARS'!$M$70*($EQ$128^2)+'LINEST VARS'!$L$70*(0.5^2)+'LINEST VARS'!$K$70*($DV138^2)+'LINEST VARS'!$J$70*(8*8)+'LINEST VARS'!$I$70*(8*$EQ$128)+'LINEST VARS'!$H$70*(8*0.5)+'LINEST VARS'!$G$70*(8*$DV138)+'LINEST VARS'!$F$70*(8*$EQ$128)+'LINEST VARS'!$E$70*(8*0.5)+'LINEST VARS'!$D$70*(8*$DV138)+'LINEST VARS'!$C$70*($EQ$128*0.5)+'LINEST VARS'!$B$70*($EQ$128*$DV138)+'LINEST VARS'!$A$70*(0.5*$DV138)</f>
        <v>84.000000000000028</v>
      </c>
    </row>
    <row r="139" spans="2:147" ht="15" customHeight="1" x14ac:dyDescent="0.25">
      <c r="B139" s="45">
        <v>8</v>
      </c>
      <c r="C139" s="46">
        <f>'LINEST VARS'!$U$68+'LINEST VARS'!$T$68*($C$128)+'LINEST VARS'!$S$68*($B139)+'LINEST VARS'!$R$68*(4)+'LINEST VARS'!$Q$68*(0.5)+'LINEST VARS'!$P$68*(12.73)+'LINEST VARS'!$O$68*($C$128^2)+'LINEST VARS'!$N$68*($B139^2)+'LINEST VARS'!$M$68*(4^2)+'LINEST VARS'!$L$68*(0.5^2)+'LINEST VARS'!$K$68*(12.73^2)+'LINEST VARS'!$J$68*($C$128*$B139)+'LINEST VARS'!$I$68*($C$128*4)+'LINEST VARS'!$H$68*($C$128*0.5)+'LINEST VARS'!$G$68*($C$128*12.73)+'LINEST VARS'!$F$68*($B139*4)+'LINEST VARS'!$E$68*($B139*0.5)+'LINEST VARS'!$D$68*($B139*12.73)+'LINEST VARS'!$C$68*(4*0.5)+'LINEST VARS'!$B$68*(4*12.73)+'LINEST VARS'!$A$68*(0.5*12.73)</f>
        <v>149</v>
      </c>
      <c r="D139" s="46">
        <f>'LINEST VARS'!$U$68+'LINEST VARS'!$T$68*($D$128)+'LINEST VARS'!$S$68*($B139)+'LINEST VARS'!$R$68*(4)+'LINEST VARS'!$Q$68*(0.5)+'LINEST VARS'!$P$68*(12.73)+'LINEST VARS'!$O$68*($D$128^2)+'LINEST VARS'!$N$68*($B139^2)+'LINEST VARS'!$M$68*(4^2)+'LINEST VARS'!$L$68*(0.5^2)+'LINEST VARS'!$K$68*(12.73^2)+'LINEST VARS'!$J$68*($D$128*$B139)+'LINEST VARS'!$I$68*($D$128*4)+'LINEST VARS'!$H$68*($D$128*0.5)+'LINEST VARS'!$G$68*($D$128*12.73)+'LINEST VARS'!$F$68*($B139*4)+'LINEST VARS'!$E$68*($B139*0.5)+'LINEST VARS'!$D$68*($B139*12.73)+'LINEST VARS'!$C$68*(4*0.5)+'LINEST VARS'!$B$68*(4*12.73)+'LINEST VARS'!$A$68*(0.5*12.73)</f>
        <v>149</v>
      </c>
      <c r="E139" s="46">
        <f>'LINEST VARS'!$U$68+'LINEST VARS'!$T$68*($E$128)+'LINEST VARS'!$S$68*($B139)+'LINEST VARS'!$R$68*(4)+'LINEST VARS'!$Q$68*(0.5)+'LINEST VARS'!$P$68*(12.73)+'LINEST VARS'!$O$68*($E$128^2)+'LINEST VARS'!$N$68*($B139^2)+'LINEST VARS'!$M$68*(4^2)+'LINEST VARS'!$L$68*(0.5^2)+'LINEST VARS'!$K$68*(12.73^2)+'LINEST VARS'!$J$68*($E$128*$B139)+'LINEST VARS'!$I$68*($E$128*4)+'LINEST VARS'!$H$68*($E$128*0.5)+'LINEST VARS'!$G$68*($E$128*12.73)+'LINEST VARS'!$F$68*($B139*4)+'LINEST VARS'!$E$68*($B139*0.5)+'LINEST VARS'!$D$68*($B139*12.73)+'LINEST VARS'!$C$68*(4*0.5)+'LINEST VARS'!$B$68*(4*12.73)+'LINEST VARS'!$A$68*(0.5*12.73)</f>
        <v>149</v>
      </c>
      <c r="F139" s="46">
        <f>'LINEST VARS'!$U$68+'LINEST VARS'!$T$68*($F$128)+'LINEST VARS'!$S$68*($B139)+'LINEST VARS'!$R$68*(4)+'LINEST VARS'!$Q$68*(0.5)+'LINEST VARS'!$P$68*(12.73)+'LINEST VARS'!$O$68*($F$128^2)+'LINEST VARS'!$N$68*($B139^2)+'LINEST VARS'!$M$68*(4^2)+'LINEST VARS'!$L$68*(0.5^2)+'LINEST VARS'!$K$68*(12.73^2)+'LINEST VARS'!$J$68*($F$128*$B139)+'LINEST VARS'!$I$68*($F$128*4)+'LINEST VARS'!$H$68*($F$128*0.5)+'LINEST VARS'!$G$68*($F$128*12.73)+'LINEST VARS'!$F$68*($B139*4)+'LINEST VARS'!$E$68*($B139*0.5)+'LINEST VARS'!$D$68*($B139*12.73)+'LINEST VARS'!$C$68*(4*0.5)+'LINEST VARS'!$B$68*(4*12.73)+'LINEST VARS'!$A$68*(0.5*12.73)</f>
        <v>149</v>
      </c>
      <c r="G139" s="46">
        <f>'LINEST VARS'!$U$68+'LINEST VARS'!$T$68*($G$128)+'LINEST VARS'!$S$68*($B139)+'LINEST VARS'!$R$68*(4)+'LINEST VARS'!$Q$68*(0.5)+'LINEST VARS'!$P$68*(12.73)+'LINEST VARS'!$O$68*($G$128^2)+'LINEST VARS'!$N$68*($B139^2)+'LINEST VARS'!$M$68*(4^2)+'LINEST VARS'!$L$68*(0.5^2)+'LINEST VARS'!$K$68*(12.73^2)+'LINEST VARS'!$J$68*($G$128*$B139)+'LINEST VARS'!$I$68*($G$128*4)+'LINEST VARS'!$H$68*($G$128*0.5)+'LINEST VARS'!$G$68*($G$128*12.73)+'LINEST VARS'!$F$68*($B139*4)+'LINEST VARS'!$E$68*($B139*0.5)+'LINEST VARS'!$D$68*($B139*12.73)+'LINEST VARS'!$C$68*(4*0.5)+'LINEST VARS'!$B$68*(4*12.73)+'LINEST VARS'!$A$68*(0.5*12.73)</f>
        <v>149</v>
      </c>
      <c r="H139" s="46">
        <f>'LINEST VARS'!$U$68+'LINEST VARS'!$T$68*($H$128)+'LINEST VARS'!$S$68*($B139)+'LINEST VARS'!$R$68*(4)+'LINEST VARS'!$Q$68*(0.5)+'LINEST VARS'!$P$68*(12.73)+'LINEST VARS'!$O$68*($H$128^2)+'LINEST VARS'!$N$68*($B139^2)+'LINEST VARS'!$M$68*(4^2)+'LINEST VARS'!$L$68*(0.5^2)+'LINEST VARS'!$K$68*(12.73^2)+'LINEST VARS'!$J$68*($H$128*$B139)+'LINEST VARS'!$I$68*($H$128*4)+'LINEST VARS'!$H$68*($H$128*0.5)+'LINEST VARS'!$G$68*($H$128*12.73)+'LINEST VARS'!$F$68*($B139*4)+'LINEST VARS'!$E$68*($B139*0.5)+'LINEST VARS'!$D$68*($B139*12.73)+'LINEST VARS'!$C$68*(4*0.5)+'LINEST VARS'!$B$68*(4*12.73)+'LINEST VARS'!$A$68*(0.5*12.73)</f>
        <v>149</v>
      </c>
      <c r="I139" s="46">
        <f>'LINEST VARS'!$U$68+'LINEST VARS'!$T$68*($I$128)+'LINEST VARS'!$S$68*($B139)+'LINEST VARS'!$R$68*(4)+'LINEST VARS'!$Q$68*(0.5)+'LINEST VARS'!$P$68*(12.73)+'LINEST VARS'!$O$68*($I$128^2)+'LINEST VARS'!$N$68*($B139^2)+'LINEST VARS'!$M$68*(4^2)+'LINEST VARS'!$L$68*(0.5^2)+'LINEST VARS'!$K$68*(12.73^2)+'LINEST VARS'!$J$68*($I$128*$B139)+'LINEST VARS'!$I$68*($I$128*4)+'LINEST VARS'!$H$68*($I$128*0.5)+'LINEST VARS'!$G$68*($I$128*12.73)+'LINEST VARS'!$F$68*($B139*4)+'LINEST VARS'!$E$68*($B139*0.5)+'LINEST VARS'!$D$68*($B139*12.73)+'LINEST VARS'!$C$68*(4*0.5)+'LINEST VARS'!$B$68*(4*12.73)+'LINEST VARS'!$A$68*(0.5*12.73)</f>
        <v>149</v>
      </c>
      <c r="J139" s="46">
        <f>'LINEST VARS'!$U$68+'LINEST VARS'!$T$68*($J$128)+'LINEST VARS'!$S$68*($B139)+'LINEST VARS'!$R$68*(4)+'LINEST VARS'!$Q$68*(0.5)+'LINEST VARS'!$P$68*(12.73)+'LINEST VARS'!$O$68*($J$128^2)+'LINEST VARS'!$N$68*($B139^2)+'LINEST VARS'!$M$68*(4^2)+'LINEST VARS'!$L$68*(0.5^2)+'LINEST VARS'!$K$68*(12.73^2)+'LINEST VARS'!$J$68*($J$128*$B139)+'LINEST VARS'!$I$68*($J$128*4)+'LINEST VARS'!$H$68*($J$128*0.5)+'LINEST VARS'!$G$68*($J$128*12.73)+'LINEST VARS'!$F$68*($B139*4)+'LINEST VARS'!$E$68*($B139*0.5)+'LINEST VARS'!$D$68*($B139*12.73)+'LINEST VARS'!$C$68*(4*0.5)+'LINEST VARS'!$B$68*(4*12.73)+'LINEST VARS'!$A$68*(0.5*12.73)</f>
        <v>149</v>
      </c>
      <c r="K139" s="46">
        <f>'LINEST VARS'!$U$68+'LINEST VARS'!$T$68*($K$128)+'LINEST VARS'!$S$68*($B139)+'LINEST VARS'!$R$68*(4)+'LINEST VARS'!$Q$68*(0.5)+'LINEST VARS'!$P$68*(12.73)+'LINEST VARS'!$O$68*($K$128^2)+'LINEST VARS'!$N$68*($B139^2)+'LINEST VARS'!$M$68*(4^2)+'LINEST VARS'!$L$68*(0.5^2)+'LINEST VARS'!$K$68*(12.73^2)+'LINEST VARS'!$J$68*($K$128*$B139)+'LINEST VARS'!$I$68*($K$128*4)+'LINEST VARS'!$H$68*($K$128*0.5)+'LINEST VARS'!$G$68*($K$128*12.73)+'LINEST VARS'!$F$68*($B139*4)+'LINEST VARS'!$E$68*($B139*0.5)+'LINEST VARS'!$D$68*($B139*12.73)+'LINEST VARS'!$C$68*(4*0.5)+'LINEST VARS'!$B$68*(4*12.73)+'LINEST VARS'!$A$68*(0.5*12.73)</f>
        <v>149</v>
      </c>
      <c r="L139" s="46">
        <f>'LINEST VARS'!$U$68+'LINEST VARS'!$T$68*($L$128)+'LINEST VARS'!$S$68*($B139)+'LINEST VARS'!$R$68*(4)+'LINEST VARS'!$Q$68*(0.5)+'LINEST VARS'!$P$68*(12.73)+'LINEST VARS'!$O$68*($L$128^2)+'LINEST VARS'!$N$68*($B139^2)+'LINEST VARS'!$M$68*(4^2)+'LINEST VARS'!$L$68*(0.5^2)+'LINEST VARS'!$K$68*(12.73^2)+'LINEST VARS'!$J$68*($L$128*$B139)+'LINEST VARS'!$I$68*($L$128*4)+'LINEST VARS'!$H$68*($L$128*0.5)+'LINEST VARS'!$G$68*($L$128*12.73)+'LINEST VARS'!$F$68*($B139*4)+'LINEST VARS'!$E$68*($B139*0.5)+'LINEST VARS'!$D$68*($B139*12.73)+'LINEST VARS'!$C$68*(4*0.5)+'LINEST VARS'!$B$68*(4*12.73)+'LINEST VARS'!$A$68*(0.5*12.73)</f>
        <v>149</v>
      </c>
      <c r="M139" s="46">
        <f>'LINEST VARS'!$U$68+'LINEST VARS'!$T$68*($M$128)+'LINEST VARS'!$S$68*($B139)+'LINEST VARS'!$R$68*(4)+'LINEST VARS'!$Q$68*(0.5)+'LINEST VARS'!$P$68*(12.73)+'LINEST VARS'!$O$68*($M$128^2)+'LINEST VARS'!$N$68*($B139^2)+'LINEST VARS'!$M$68*(4^2)+'LINEST VARS'!$L$68*(0.5^2)+'LINEST VARS'!$K$68*(12.73^2)+'LINEST VARS'!$J$68*($M$128*$B139)+'LINEST VARS'!$I$68*($M$128*4)+'LINEST VARS'!$H$68*($M$128*0.5)+'LINEST VARS'!$G$68*($M$128*12.73)+'LINEST VARS'!$F$68*($B139*4)+'LINEST VARS'!$E$68*($B139*0.5)+'LINEST VARS'!$D$68*($B139*12.73)+'LINEST VARS'!$C$68*(4*0.5)+'LINEST VARS'!$B$68*(4*12.73)+'LINEST VARS'!$A$68*(0.5*12.73)</f>
        <v>149</v>
      </c>
      <c r="N139" s="46">
        <f>'LINEST VARS'!$U$68+'LINEST VARS'!$T$68*($N$128)+'LINEST VARS'!$S$68*($B139)+'LINEST VARS'!$R$68*(4)+'LINEST VARS'!$Q$68*(0.5)+'LINEST VARS'!$P$68*(12.73)+'LINEST VARS'!$O$68*($N$128^2)+'LINEST VARS'!$N$68*($B139^2)+'LINEST VARS'!$M$68*(4^2)+'LINEST VARS'!$L$68*(0.5^2)+'LINEST VARS'!$K$68*(12.73^2)+'LINEST VARS'!$J$68*($N$128*$B139)+'LINEST VARS'!$I$68*($N$128*4)+'LINEST VARS'!$H$68*($N$128*0.5)+'LINEST VARS'!$G$68*($N$128*12.73)+'LINEST VARS'!$F$68*($B139*4)+'LINEST VARS'!$E$68*($B139*0.5)+'LINEST VARS'!$D$68*($B139*12.73)+'LINEST VARS'!$C$68*(4*0.5)+'LINEST VARS'!$B$68*(4*12.73)+'LINEST VARS'!$A$68*(0.5*12.73)</f>
        <v>149</v>
      </c>
      <c r="O139" s="46">
        <f>'LINEST VARS'!$U$68+'LINEST VARS'!$T$68*($O$128)+'LINEST VARS'!$S$68*($B139)+'LINEST VARS'!$R$68*(4)+'LINEST VARS'!$Q$68*(0.5)+'LINEST VARS'!$P$68*(12.73)+'LINEST VARS'!$O$68*($O$128^2)+'LINEST VARS'!$N$68*($B139^2)+'LINEST VARS'!$M$68*(4^2)+'LINEST VARS'!$L$68*(0.5^2)+'LINEST VARS'!$K$68*(12.73^2)+'LINEST VARS'!$J$68*($O$128*$B139)+'LINEST VARS'!$I$68*($O$128*4)+'LINEST VARS'!$H$68*($O$128*0.5)+'LINEST VARS'!$G$68*($O$128*12.73)+'LINEST VARS'!$F$68*($B139*4)+'LINEST VARS'!$E$68*($B139*0.5)+'LINEST VARS'!$D$68*($B139*12.73)+'LINEST VARS'!$C$68*(4*0.5)+'LINEST VARS'!$B$68*(4*12.73)+'LINEST VARS'!$A$68*(0.5*12.73)</f>
        <v>149</v>
      </c>
      <c r="P139" s="46">
        <f>'LINEST VARS'!$U$68+'LINEST VARS'!$T$68*($P$128)+'LINEST VARS'!$S$68*($B139)+'LINEST VARS'!$R$68*(4)+'LINEST VARS'!$Q$68*(0.5)+'LINEST VARS'!$P$68*(12.73)+'LINEST VARS'!$O$68*($P$128^2)+'LINEST VARS'!$N$68*($B139^2)+'LINEST VARS'!$M$68*(4^2)+'LINEST VARS'!$L$68*(0.5^2)+'LINEST VARS'!$K$68*(12.73^2)+'LINEST VARS'!$J$68*($P$128*$B139)+'LINEST VARS'!$I$68*($P$128*4)+'LINEST VARS'!$H$68*($P$128*0.5)+'LINEST VARS'!$G$68*($P$128*12.73)+'LINEST VARS'!$F$68*($B139*4)+'LINEST VARS'!$E$68*($B139*0.5)+'LINEST VARS'!$D$68*($B139*12.73)+'LINEST VARS'!$C$68*(4*0.5)+'LINEST VARS'!$B$68*(4*12.73)+'LINEST VARS'!$A$68*(0.5*12.73)</f>
        <v>149</v>
      </c>
      <c r="Q139" s="46">
        <f>'LINEST VARS'!$U$68+'LINEST VARS'!$T$68*($Q$128)+'LINEST VARS'!$S$68*($B139)+'LINEST VARS'!$R$68*(4)+'LINEST VARS'!$Q$68*(0.5)+'LINEST VARS'!$P$68*(12.73)+'LINEST VARS'!$O$68*($Q$128^2)+'LINEST VARS'!$N$68*($B139^2)+'LINEST VARS'!$M$68*(4^2)+'LINEST VARS'!$L$68*(0.5^2)+'LINEST VARS'!$K$68*(12.73^2)+'LINEST VARS'!$J$68*($Q$128*$B139)+'LINEST VARS'!$I$68*($Q$128*4)+'LINEST VARS'!$H$68*($Q$128*0.5)+'LINEST VARS'!$G$68*($Q$128*12.73)+'LINEST VARS'!$F$68*($B139*4)+'LINEST VARS'!$E$68*($B139*0.5)+'LINEST VARS'!$D$68*($B139*12.73)+'LINEST VARS'!$C$68*(4*0.5)+'LINEST VARS'!$B$68*(4*12.73)+'LINEST VARS'!$A$68*(0.5*12.73)</f>
        <v>149</v>
      </c>
      <c r="R139" s="46">
        <f>'LINEST VARS'!$U$68+'LINEST VARS'!$T$68*($R$128)+'LINEST VARS'!$S$68*($B139)+'LINEST VARS'!$R$68*(4)+'LINEST VARS'!$Q$68*(0.5)+'LINEST VARS'!$P$68*(12.73)+'LINEST VARS'!$O$68*($R$128^2)+'LINEST VARS'!$N$68*($B139^2)+'LINEST VARS'!$M$68*(4^2)+'LINEST VARS'!$L$68*(0.5^2)+'LINEST VARS'!$K$68*(12.73^2)+'LINEST VARS'!$J$68*($R$128*$B139)+'LINEST VARS'!$I$68*($R$128*4)+'LINEST VARS'!$H$68*($R$128*0.5)+'LINEST VARS'!$G$68*($R$128*12.73)+'LINEST VARS'!$F$68*($B139*4)+'LINEST VARS'!$E$68*($B139*0.5)+'LINEST VARS'!$D$68*($B139*12.73)+'LINEST VARS'!$C$68*(4*0.5)+'LINEST VARS'!$B$68*(4*12.73)+'LINEST VARS'!$A$68*(0.5*12.73)</f>
        <v>149</v>
      </c>
      <c r="S139" s="46">
        <f>'LINEST VARS'!$U$68+'LINEST VARS'!$T$68*($S$128)+'LINEST VARS'!$S$68*($B139)+'LINEST VARS'!$R$68*(4)+'LINEST VARS'!$Q$68*(0.5)+'LINEST VARS'!$P$68*(12.73)+'LINEST VARS'!$O$68*($S$128^2)+'LINEST VARS'!$N$68*($B139^2)+'LINEST VARS'!$M$68*(4^2)+'LINEST VARS'!$L$68*(0.5^2)+'LINEST VARS'!$K$68*(12.73^2)+'LINEST VARS'!$J$68*($S$128*$B139)+'LINEST VARS'!$I$68*($S$128*4)+'LINEST VARS'!$H$68*($S$128*0.5)+'LINEST VARS'!$G$68*($S$128*12.73)+'LINEST VARS'!$F$68*($B139*4)+'LINEST VARS'!$E$68*($B139*0.5)+'LINEST VARS'!$D$68*($B139*12.73)+'LINEST VARS'!$C$68*(4*0.5)+'LINEST VARS'!$B$68*(4*12.73)+'LINEST VARS'!$A$68*(0.5*12.73)</f>
        <v>149</v>
      </c>
      <c r="T139" s="46">
        <f>'LINEST VARS'!$U$68+'LINEST VARS'!$T$68*($T$128)+'LINEST VARS'!$S$68*($B139)+'LINEST VARS'!$R$68*(4)+'LINEST VARS'!$Q$68*(0.5)+'LINEST VARS'!$P$68*(12.73)+'LINEST VARS'!$O$68*($T$128^2)+'LINEST VARS'!$N$68*($B139^2)+'LINEST VARS'!$M$68*(4^2)+'LINEST VARS'!$L$68*(0.5^2)+'LINEST VARS'!$K$68*(12.73^2)+'LINEST VARS'!$J$68*($T$128*$B139)+'LINEST VARS'!$I$68*($T$128*4)+'LINEST VARS'!$H$68*($T$128*0.5)+'LINEST VARS'!$G$68*($T$128*12.73)+'LINEST VARS'!$F$68*($B139*4)+'LINEST VARS'!$E$68*($B139*0.5)+'LINEST VARS'!$D$68*($B139*12.73)+'LINEST VARS'!$C$68*(4*0.5)+'LINEST VARS'!$B$68*(4*12.73)+'LINEST VARS'!$A$68*(0.5*12.73)</f>
        <v>149</v>
      </c>
      <c r="U139" s="46">
        <f>'LINEST VARS'!$U$68+'LINEST VARS'!$T$68*($U$128)+'LINEST VARS'!$S$68*($B139)+'LINEST VARS'!$R$68*(4)+'LINEST VARS'!$Q$68*(0.5)+'LINEST VARS'!$P$68*(12.73)+'LINEST VARS'!$O$68*($U$128^2)+'LINEST VARS'!$N$68*($B139^2)+'LINEST VARS'!$M$68*(4^2)+'LINEST VARS'!$L$68*(0.5^2)+'LINEST VARS'!$K$68*(12.73^2)+'LINEST VARS'!$J$68*($U$128*$B139)+'LINEST VARS'!$I$68*($U$128*4)+'LINEST VARS'!$H$68*($U$128*0.5)+'LINEST VARS'!$G$68*($U$128*12.73)+'LINEST VARS'!$F$68*($B139*4)+'LINEST VARS'!$E$68*($B139*0.5)+'LINEST VARS'!$D$68*($B139*12.73)+'LINEST VARS'!$C$68*(4*0.5)+'LINEST VARS'!$B$68*(4*12.73)+'LINEST VARS'!$A$68*(0.5*12.73)</f>
        <v>149</v>
      </c>
      <c r="V139" s="46">
        <f>'LINEST VARS'!$U$68+'LINEST VARS'!$T$68*($V$128)+'LINEST VARS'!$S$68*($B139)+'LINEST VARS'!$R$68*(4)+'LINEST VARS'!$Q$68*(0.5)+'LINEST VARS'!$P$68*(12.73)+'LINEST VARS'!$O$68*($V$128^2)+'LINEST VARS'!$N$68*($B139^2)+'LINEST VARS'!$M$68*(4^2)+'LINEST VARS'!$L$68*(0.5^2)+'LINEST VARS'!$K$68*(12.73^2)+'LINEST VARS'!$J$68*($V$128*$B139)+'LINEST VARS'!$I$68*($V$128*4)+'LINEST VARS'!$H$68*($V$128*0.5)+'LINEST VARS'!$G$68*($V$128*12.73)+'LINEST VARS'!$F$68*($B139*4)+'LINEST VARS'!$E$68*($B139*0.5)+'LINEST VARS'!$D$68*($B139*12.73)+'LINEST VARS'!$C$68*(4*0.5)+'LINEST VARS'!$B$68*(4*12.73)+'LINEST VARS'!$A$68*(0.5*12.73)</f>
        <v>149</v>
      </c>
      <c r="W139" s="47">
        <f>'LINEST VARS'!$U$68+'LINEST VARS'!$T$68*($W$128)+'LINEST VARS'!$S$68*($B139)+'LINEST VARS'!$R$68*(4)+'LINEST VARS'!$Q$68*(0.5)+'LINEST VARS'!$P$68*(12.73)+'LINEST VARS'!$O$68*($W$128^2)+'LINEST VARS'!$N$68*($B139^2)+'LINEST VARS'!$M$68*(4^2)+'LINEST VARS'!$L$68*(0.5^2)+'LINEST VARS'!$K$68*(12.73^2)+'LINEST VARS'!$J$68*($W$128*$B139)+'LINEST VARS'!$I$68*($W$128*4)+'LINEST VARS'!$H$68*($W$128*0.5)+'LINEST VARS'!$G$68*($W$128*12.73)+'LINEST VARS'!$F$68*($B139*4)+'LINEST VARS'!$E$68*($B139*0.5)+'LINEST VARS'!$D$68*($B139*12.73)+'LINEST VARS'!$C$68*(4*0.5)+'LINEST VARS'!$B$68*(4*12.73)+'LINEST VARS'!$A$68*(0.5*12.73)</f>
        <v>149</v>
      </c>
      <c r="Z139" s="45">
        <v>8</v>
      </c>
      <c r="AA139" s="46">
        <f>'LINEST VARS'!$U$70+'LINEST VARS'!$T$70*($AA$128)+'LINEST VARS'!$S$70*($Z139)+'LINEST VARS'!$R$70*(4)+'LINEST VARS'!$Q$70*(0.5)+'LINEST VARS'!$P$70*(12.73)+'LINEST VARS'!$O$70*($AA$128^2)+'LINEST VARS'!$N$70*($Z139^2)+'LINEST VARS'!$M$70*(4^2)+'LINEST VARS'!$L$70*(0.5^2)+'LINEST VARS'!$K$70*(12.73^2)+'LINEST VARS'!$J$70*($AA$128*$Z139)+'LINEST VARS'!$I$70*($AA$128*4)+'LINEST VARS'!$H$70*($AA$128*0.5)+'LINEST VARS'!$G$70*($AA$128*12.73)+'LINEST VARS'!$F$70*($Z139*4)+'LINEST VARS'!$E$70*($Z139*0.5)+'LINEST VARS'!$D$70*($Z139*12.73)+'LINEST VARS'!$C$70*(4*0.5)+'LINEST VARS'!$B$70*(4*12.73)+'LINEST VARS'!$A$70*(0.5*12.73)</f>
        <v>88.000000000000043</v>
      </c>
      <c r="AB139" s="46">
        <f>'LINEST VARS'!$U$70+'LINEST VARS'!$T$70*($AB$128)+'LINEST VARS'!$S$70*($Z139)+'LINEST VARS'!$R$70*(4)+'LINEST VARS'!$Q$70*(0.5)+'LINEST VARS'!$P$70*(12.73)+'LINEST VARS'!$O$70*($AB$128^2)+'LINEST VARS'!$N$70*($Z139^2)+'LINEST VARS'!$M$70*(4^2)+'LINEST VARS'!$L$70*(0.5^2)+'LINEST VARS'!$K$70*(12.73^2)+'LINEST VARS'!$J$70*($AB$128*$Z139)+'LINEST VARS'!$I$70*($AB$128*4)+'LINEST VARS'!$H$70*($AB$128*0.5)+'LINEST VARS'!$G$70*($AB$128*12.73)+'LINEST VARS'!$F$70*($Z139*4)+'LINEST VARS'!$E$70*($Z139*0.5)+'LINEST VARS'!$D$70*($Z139*12.73)+'LINEST VARS'!$C$70*(4*0.5)+'LINEST VARS'!$B$70*(4*12.73)+'LINEST VARS'!$A$70*(0.5*12.73)</f>
        <v>88.000000000000043</v>
      </c>
      <c r="AC139" s="46">
        <f>'LINEST VARS'!$U$70+'LINEST VARS'!$T$70*($AC$128)+'LINEST VARS'!$S$70*($Z139)+'LINEST VARS'!$R$70*(4)+'LINEST VARS'!$Q$70*(0.5)+'LINEST VARS'!$P$70*(12.73)+'LINEST VARS'!$O$70*($AC$128^2)+'LINEST VARS'!$N$70*($Z139^2)+'LINEST VARS'!$M$70*(4^2)+'LINEST VARS'!$L$70*(0.5^2)+'LINEST VARS'!$K$70*(12.73^2)+'LINEST VARS'!$J$70*($AC$128*$Z139)+'LINEST VARS'!$I$70*($AC$128*4)+'LINEST VARS'!$H$70*($AC$128*0.5)+'LINEST VARS'!$G$70*($AC$128*12.73)+'LINEST VARS'!$F$70*($Z139*4)+'LINEST VARS'!$E$70*($Z139*0.5)+'LINEST VARS'!$D$70*($Z139*12.73)+'LINEST VARS'!$C$70*(4*0.5)+'LINEST VARS'!$B$70*(4*12.73)+'LINEST VARS'!$A$70*(0.5*12.73)</f>
        <v>88.000000000000043</v>
      </c>
      <c r="AD139" s="46">
        <f>'LINEST VARS'!$U$70+'LINEST VARS'!$T$70*($AD$128)+'LINEST VARS'!$S$70*($Z139)+'LINEST VARS'!$R$70*(4)+'LINEST VARS'!$Q$70*(0.5)+'LINEST VARS'!$P$70*(12.73)+'LINEST VARS'!$O$70*($AD$128^2)+'LINEST VARS'!$N$70*($Z139^2)+'LINEST VARS'!$M$70*(4^2)+'LINEST VARS'!$L$70*(0.5^2)+'LINEST VARS'!$K$70*(12.73^2)+'LINEST VARS'!$J$70*($AD$128*$Z139)+'LINEST VARS'!$I$70*($AD$128*4)+'LINEST VARS'!$H$70*($AD$128*0.5)+'LINEST VARS'!$G$70*($AD$128*12.73)+'LINEST VARS'!$F$70*($Z139*4)+'LINEST VARS'!$E$70*($Z139*0.5)+'LINEST VARS'!$D$70*($Z139*12.73)+'LINEST VARS'!$C$70*(4*0.5)+'LINEST VARS'!$B$70*(4*12.73)+'LINEST VARS'!$A$70*(0.5*12.73)</f>
        <v>88.000000000000043</v>
      </c>
      <c r="AE139" s="46">
        <f>'LINEST VARS'!$U$70+'LINEST VARS'!$T$70*($AE$128)+'LINEST VARS'!$S$70*($Z139)+'LINEST VARS'!$R$70*(4)+'LINEST VARS'!$Q$70*(0.5)+'LINEST VARS'!$P$70*(12.73)+'LINEST VARS'!$O$70*($AE$128^2)+'LINEST VARS'!$N$70*($Z139^2)+'LINEST VARS'!$M$70*(4^2)+'LINEST VARS'!$L$70*(0.5^2)+'LINEST VARS'!$K$70*(12.73^2)+'LINEST VARS'!$J$70*($AE$128*$Z139)+'LINEST VARS'!$I$70*($AE$128*4)+'LINEST VARS'!$H$70*($AE$128*0.5)+'LINEST VARS'!$G$70*($AE$128*12.73)+'LINEST VARS'!$F$70*($Z139*4)+'LINEST VARS'!$E$70*($Z139*0.5)+'LINEST VARS'!$D$70*($Z139*12.73)+'LINEST VARS'!$C$70*(4*0.5)+'LINEST VARS'!$B$70*(4*12.73)+'LINEST VARS'!$A$70*(0.5*12.73)</f>
        <v>88.000000000000043</v>
      </c>
      <c r="AF139" s="46">
        <f>'LINEST VARS'!$U$70+'LINEST VARS'!$T$70*($AF$128)+'LINEST VARS'!$S$70*($Z139)+'LINEST VARS'!$R$70*(4)+'LINEST VARS'!$Q$70*(0.5)+'LINEST VARS'!$P$70*(12.73)+'LINEST VARS'!$O$70*($AF$128^2)+'LINEST VARS'!$N$70*($Z139^2)+'LINEST VARS'!$M$70*(4^2)+'LINEST VARS'!$L$70*(0.5^2)+'LINEST VARS'!$K$70*(12.73^2)+'LINEST VARS'!$J$70*($AF$128*$Z139)+'LINEST VARS'!$I$70*($AF$128*4)+'LINEST VARS'!$H$70*($AF$128*0.5)+'LINEST VARS'!$G$70*($AF$128*12.73)+'LINEST VARS'!$F$70*($Z139*4)+'LINEST VARS'!$E$70*($Z139*0.5)+'LINEST VARS'!$D$70*($Z139*12.73)+'LINEST VARS'!$C$70*(4*0.5)+'LINEST VARS'!$B$70*(4*12.73)+'LINEST VARS'!$A$70*(0.5*12.73)</f>
        <v>88.000000000000014</v>
      </c>
      <c r="AG139" s="46">
        <f>'LINEST VARS'!$U$70+'LINEST VARS'!$T$70*($AG$128)+'LINEST VARS'!$S$70*($Z139)+'LINEST VARS'!$R$70*(4)+'LINEST VARS'!$Q$70*(0.5)+'LINEST VARS'!$P$70*(12.73)+'LINEST VARS'!$O$70*($AG$128^2)+'LINEST VARS'!$N$70*($Z139^2)+'LINEST VARS'!$M$70*(4^2)+'LINEST VARS'!$L$70*(0.5^2)+'LINEST VARS'!$K$70*(12.73^2)+'LINEST VARS'!$J$70*($AG$128*$Z139)+'LINEST VARS'!$I$70*($AG$128*4)+'LINEST VARS'!$H$70*($AG$128*0.5)+'LINEST VARS'!$G$70*($AG$128*12.73)+'LINEST VARS'!$F$70*($Z139*4)+'LINEST VARS'!$E$70*($Z139*0.5)+'LINEST VARS'!$D$70*($Z139*12.73)+'LINEST VARS'!$C$70*(4*0.5)+'LINEST VARS'!$B$70*(4*12.73)+'LINEST VARS'!$A$70*(0.5*12.73)</f>
        <v>88.000000000000014</v>
      </c>
      <c r="AH139" s="46">
        <f>'LINEST VARS'!$U$70+'LINEST VARS'!$T$70*($AH$128)+'LINEST VARS'!$S$70*($Z139)+'LINEST VARS'!$R$70*(4)+'LINEST VARS'!$Q$70*(0.5)+'LINEST VARS'!$P$70*(12.73)+'LINEST VARS'!$O$70*($AH$128^2)+'LINEST VARS'!$N$70*($Z139^2)+'LINEST VARS'!$M$70*(4^2)+'LINEST VARS'!$L$70*(0.5^2)+'LINEST VARS'!$K$70*(12.73^2)+'LINEST VARS'!$J$70*($AH$128*$Z139)+'LINEST VARS'!$I$70*($AH$128*4)+'LINEST VARS'!$H$70*($AH$128*0.5)+'LINEST VARS'!$G$70*($AH$128*12.73)+'LINEST VARS'!$F$70*($Z139*4)+'LINEST VARS'!$E$70*($Z139*0.5)+'LINEST VARS'!$D$70*($Z139*12.73)+'LINEST VARS'!$C$70*(4*0.5)+'LINEST VARS'!$B$70*(4*12.73)+'LINEST VARS'!$A$70*(0.5*12.73)</f>
        <v>88.000000000000014</v>
      </c>
      <c r="AI139" s="46">
        <f>'LINEST VARS'!$U$70+'LINEST VARS'!$T$70*($AI$128)+'LINEST VARS'!$S$70*($Z139)+'LINEST VARS'!$R$70*(4)+'LINEST VARS'!$Q$70*(0.5)+'LINEST VARS'!$P$70*(12.73)+'LINEST VARS'!$O$70*($AI$128^2)+'LINEST VARS'!$N$70*($Z139^2)+'LINEST VARS'!$M$70*(4^2)+'LINEST VARS'!$L$70*(0.5^2)+'LINEST VARS'!$K$70*(12.73^2)+'LINEST VARS'!$J$70*($AI$128*$Z139)+'LINEST VARS'!$I$70*($AI$128*4)+'LINEST VARS'!$H$70*($AI$128*0.5)+'LINEST VARS'!$G$70*($AI$128*12.73)+'LINEST VARS'!$F$70*($Z139*4)+'LINEST VARS'!$E$70*($Z139*0.5)+'LINEST VARS'!$D$70*($Z139*12.73)+'LINEST VARS'!$C$70*(4*0.5)+'LINEST VARS'!$B$70*(4*12.73)+'LINEST VARS'!$A$70*(0.5*12.73)</f>
        <v>88.000000000000014</v>
      </c>
      <c r="AJ139" s="46">
        <f>'LINEST VARS'!$U$70+'LINEST VARS'!$T$70*($AJ$128)+'LINEST VARS'!$S$70*($Z139)+'LINEST VARS'!$R$70*(4)+'LINEST VARS'!$Q$70*(0.5)+'LINEST VARS'!$P$70*(12.73)+'LINEST VARS'!$O$70*($AJ$128^2)+'LINEST VARS'!$N$70*($Z139^2)+'LINEST VARS'!$M$70*(4^2)+'LINEST VARS'!$L$70*(0.5^2)+'LINEST VARS'!$K$70*(12.73^2)+'LINEST VARS'!$J$70*($AJ$128*$Z139)+'LINEST VARS'!$I$70*($AJ$128*4)+'LINEST VARS'!$H$70*($AJ$128*0.5)+'LINEST VARS'!$G$70*($AJ$128*12.73)+'LINEST VARS'!$F$70*($Z139*4)+'LINEST VARS'!$E$70*($Z139*0.5)+'LINEST VARS'!$D$70*($Z139*12.73)+'LINEST VARS'!$C$70*(4*0.5)+'LINEST VARS'!$B$70*(4*12.73)+'LINEST VARS'!$A$70*(0.5*12.73)</f>
        <v>88.000000000000014</v>
      </c>
      <c r="AK139" s="46">
        <f>'LINEST VARS'!$U$70+'LINEST VARS'!$T$70*($AK$128)+'LINEST VARS'!$S$70*($Z139)+'LINEST VARS'!$R$70*(4)+'LINEST VARS'!$Q$70*(0.5)+'LINEST VARS'!$P$70*(12.73)+'LINEST VARS'!$O$70*($AK$128^2)+'LINEST VARS'!$N$70*($Z139^2)+'LINEST VARS'!$M$70*(4^2)+'LINEST VARS'!$L$70*(0.5^2)+'LINEST VARS'!$K$70*(12.73^2)+'LINEST VARS'!$J$70*($AK$128*$Z139)+'LINEST VARS'!$I$70*($AK$128*4)+'LINEST VARS'!$H$70*($AK$128*0.5)+'LINEST VARS'!$G$70*($AK$128*12.73)+'LINEST VARS'!$F$70*($Z139*4)+'LINEST VARS'!$E$70*($Z139*0.5)+'LINEST VARS'!$D$70*($Z139*12.73)+'LINEST VARS'!$C$70*(4*0.5)+'LINEST VARS'!$B$70*(4*12.73)+'LINEST VARS'!$A$70*(0.5*12.73)</f>
        <v>88.000000000000014</v>
      </c>
      <c r="AL139" s="46">
        <f>'LINEST VARS'!$U$70+'LINEST VARS'!$T$70*($AL$128)+'LINEST VARS'!$S$70*($Z139)+'LINEST VARS'!$R$70*(4)+'LINEST VARS'!$Q$70*(0.5)+'LINEST VARS'!$P$70*(12.73)+'LINEST VARS'!$O$70*($AL$128^2)+'LINEST VARS'!$N$70*($Z139^2)+'LINEST VARS'!$M$70*(4^2)+'LINEST VARS'!$L$70*(0.5^2)+'LINEST VARS'!$K$70*(12.73^2)+'LINEST VARS'!$J$70*($AL$128*$Z139)+'LINEST VARS'!$I$70*($AL$128*4)+'LINEST VARS'!$H$70*($AL$128*0.5)+'LINEST VARS'!$G$70*($AL$128*12.73)+'LINEST VARS'!$F$70*($Z139*4)+'LINEST VARS'!$E$70*($Z139*0.5)+'LINEST VARS'!$D$70*($Z139*12.73)+'LINEST VARS'!$C$70*(4*0.5)+'LINEST VARS'!$B$70*(4*12.73)+'LINEST VARS'!$A$70*(0.5*12.73)</f>
        <v>88.000000000000014</v>
      </c>
      <c r="AM139" s="46">
        <f>'LINEST VARS'!$U$70+'LINEST VARS'!$T$70*($AM$128)+'LINEST VARS'!$S$70*($Z139)+'LINEST VARS'!$R$70*(4)+'LINEST VARS'!$Q$70*(0.5)+'LINEST VARS'!$P$70*(12.73)+'LINEST VARS'!$O$70*($AM$128^2)+'LINEST VARS'!$N$70*($Z139^2)+'LINEST VARS'!$M$70*(4^2)+'LINEST VARS'!$L$70*(0.5^2)+'LINEST VARS'!$K$70*(12.73^2)+'LINEST VARS'!$J$70*($AM$128*$Z139)+'LINEST VARS'!$I$70*($AM$128*4)+'LINEST VARS'!$H$70*($AM$128*0.5)+'LINEST VARS'!$G$70*($AM$128*12.73)+'LINEST VARS'!$F$70*($Z139*4)+'LINEST VARS'!$E$70*($Z139*0.5)+'LINEST VARS'!$D$70*($Z139*12.73)+'LINEST VARS'!$C$70*(4*0.5)+'LINEST VARS'!$B$70*(4*12.73)+'LINEST VARS'!$A$70*(0.5*12.73)</f>
        <v>88.000000000000014</v>
      </c>
      <c r="AN139" s="46">
        <f>'LINEST VARS'!$U$70+'LINEST VARS'!$T$70*($AN$128)+'LINEST VARS'!$S$70*($Z139)+'LINEST VARS'!$R$70*(4)+'LINEST VARS'!$Q$70*(0.5)+'LINEST VARS'!$P$70*(12.73)+'LINEST VARS'!$O$70*($AN$128^2)+'LINEST VARS'!$N$70*($Z139^2)+'LINEST VARS'!$M$70*(4^2)+'LINEST VARS'!$L$70*(0.5^2)+'LINEST VARS'!$K$70*(12.73^2)+'LINEST VARS'!$J$70*($AN$128*$Z139)+'LINEST VARS'!$I$70*($AN$128*4)+'LINEST VARS'!$H$70*($AN$128*0.5)+'LINEST VARS'!$G$70*($AN$128*12.73)+'LINEST VARS'!$F$70*($Z139*4)+'LINEST VARS'!$E$70*($Z139*0.5)+'LINEST VARS'!$D$70*($Z139*12.73)+'LINEST VARS'!$C$70*(4*0.5)+'LINEST VARS'!$B$70*(4*12.73)+'LINEST VARS'!$A$70*(0.5*12.73)</f>
        <v>88.000000000000014</v>
      </c>
      <c r="AO139" s="46">
        <f>'LINEST VARS'!$U$70+'LINEST VARS'!$T$70*($AO$128)+'LINEST VARS'!$S$70*($Z139)+'LINEST VARS'!$R$70*(4)+'LINEST VARS'!$Q$70*(0.5)+'LINEST VARS'!$P$70*(12.73)+'LINEST VARS'!$O$70*($AO$128^2)+'LINEST VARS'!$N$70*($Z139^2)+'LINEST VARS'!$M$70*(4^2)+'LINEST VARS'!$L$70*(0.5^2)+'LINEST VARS'!$K$70*(12.73^2)+'LINEST VARS'!$J$70*($AO$128*$Z139)+'LINEST VARS'!$I$70*($AO$128*4)+'LINEST VARS'!$H$70*($AO$128*0.5)+'LINEST VARS'!$G$70*($AO$128*12.73)+'LINEST VARS'!$F$70*($Z139*4)+'LINEST VARS'!$E$70*($Z139*0.5)+'LINEST VARS'!$D$70*($Z139*12.73)+'LINEST VARS'!$C$70*(4*0.5)+'LINEST VARS'!$B$70*(4*12.73)+'LINEST VARS'!$A$70*(0.5*12.73)</f>
        <v>88.000000000000014</v>
      </c>
      <c r="AP139" s="46">
        <f>'LINEST VARS'!$U$70+'LINEST VARS'!$T$70*($AP$128)+'LINEST VARS'!$S$70*($Z139)+'LINEST VARS'!$R$70*(4)+'LINEST VARS'!$Q$70*(0.5)+'LINEST VARS'!$P$70*(12.73)+'LINEST VARS'!$O$70*($AP$128^2)+'LINEST VARS'!$N$70*($Z139^2)+'LINEST VARS'!$M$70*(4^2)+'LINEST VARS'!$L$70*(0.5^2)+'LINEST VARS'!$K$70*(12.73^2)+'LINEST VARS'!$J$70*($AP$128*$Z139)+'LINEST VARS'!$I$70*($AP$128*4)+'LINEST VARS'!$H$70*($AP$128*0.5)+'LINEST VARS'!$G$70*($AP$128*12.73)+'LINEST VARS'!$F$70*($Z139*4)+'LINEST VARS'!$E$70*($Z139*0.5)+'LINEST VARS'!$D$70*($Z139*12.73)+'LINEST VARS'!$C$70*(4*0.5)+'LINEST VARS'!$B$70*(4*12.73)+'LINEST VARS'!$A$70*(0.5*12.73)</f>
        <v>88.000000000000014</v>
      </c>
      <c r="AQ139" s="46">
        <f>'LINEST VARS'!$U$70+'LINEST VARS'!$T$70*($AQ$128)+'LINEST VARS'!$S$70*($Z139)+'LINEST VARS'!$R$70*(4)+'LINEST VARS'!$Q$70*(0.5)+'LINEST VARS'!$P$70*(12.73)+'LINEST VARS'!$O$70*($AQ$128^2)+'LINEST VARS'!$N$70*($Z139^2)+'LINEST VARS'!$M$70*(4^2)+'LINEST VARS'!$L$70*(0.5^2)+'LINEST VARS'!$K$70*(12.73^2)+'LINEST VARS'!$J$70*($AQ$128*$Z139)+'LINEST VARS'!$I$70*($AQ$128*4)+'LINEST VARS'!$H$70*($AQ$128*0.5)+'LINEST VARS'!$G$70*($AQ$128*12.73)+'LINEST VARS'!$F$70*($Z139*4)+'LINEST VARS'!$E$70*($Z139*0.5)+'LINEST VARS'!$D$70*($Z139*12.73)+'LINEST VARS'!$C$70*(4*0.5)+'LINEST VARS'!$B$70*(4*12.73)+'LINEST VARS'!$A$70*(0.5*12.73)</f>
        <v>88.000000000000014</v>
      </c>
      <c r="AR139" s="46">
        <f>'LINEST VARS'!$U$70+'LINEST VARS'!$T$70*($AR$128)+'LINEST VARS'!$S$70*($Z139)+'LINEST VARS'!$R$70*(4)+'LINEST VARS'!$Q$70*(0.5)+'LINEST VARS'!$P$70*(12.73)+'LINEST VARS'!$O$70*($AR$128^2)+'LINEST VARS'!$N$70*($Z139^2)+'LINEST VARS'!$M$70*(4^2)+'LINEST VARS'!$L$70*(0.5^2)+'LINEST VARS'!$K$70*(12.73^2)+'LINEST VARS'!$J$70*($AR$128*$Z139)+'LINEST VARS'!$I$70*($AR$128*4)+'LINEST VARS'!$H$70*($AR$128*0.5)+'LINEST VARS'!$G$70*($AR$128*12.73)+'LINEST VARS'!$F$70*($Z139*4)+'LINEST VARS'!$E$70*($Z139*0.5)+'LINEST VARS'!$D$70*($Z139*12.73)+'LINEST VARS'!$C$70*(4*0.5)+'LINEST VARS'!$B$70*(4*12.73)+'LINEST VARS'!$A$70*(0.5*12.73)</f>
        <v>88.000000000000014</v>
      </c>
      <c r="AS139" s="46">
        <f>'LINEST VARS'!$U$70+'LINEST VARS'!$T$70*($AS$128)+'LINEST VARS'!$S$70*($Z139)+'LINEST VARS'!$R$70*(4)+'LINEST VARS'!$Q$70*(0.5)+'LINEST VARS'!$P$70*(12.73)+'LINEST VARS'!$O$70*($AS$128^2)+'LINEST VARS'!$N$70*($Z139^2)+'LINEST VARS'!$M$70*(4^2)+'LINEST VARS'!$L$70*(0.5^2)+'LINEST VARS'!$K$70*(12.73^2)+'LINEST VARS'!$J$70*($AS$128*$Z139)+'LINEST VARS'!$I$70*($AS$128*4)+'LINEST VARS'!$H$70*($AS$128*0.5)+'LINEST VARS'!$G$70*($AS$128*12.73)+'LINEST VARS'!$F$70*($Z139*4)+'LINEST VARS'!$E$70*($Z139*0.5)+'LINEST VARS'!$D$70*($Z139*12.73)+'LINEST VARS'!$C$70*(4*0.5)+'LINEST VARS'!$B$70*(4*12.73)+'LINEST VARS'!$A$70*(0.5*12.73)</f>
        <v>88.000000000000014</v>
      </c>
      <c r="AT139" s="46">
        <f>'LINEST VARS'!$U$70+'LINEST VARS'!$T$70*($AT$128)+'LINEST VARS'!$S$70*($Z139)+'LINEST VARS'!$R$70*(4)+'LINEST VARS'!$Q$70*(0.5)+'LINEST VARS'!$P$70*(12.73)+'LINEST VARS'!$O$70*($AT$128^2)+'LINEST VARS'!$N$70*($Z139^2)+'LINEST VARS'!$M$70*(4^2)+'LINEST VARS'!$L$70*(0.5^2)+'LINEST VARS'!$K$70*(12.73^2)+'LINEST VARS'!$J$70*($AT$128*$Z139)+'LINEST VARS'!$I$70*($AT$128*4)+'LINEST VARS'!$H$70*($AT$128*0.5)+'LINEST VARS'!$G$70*($AT$128*12.73)+'LINEST VARS'!$F$70*($Z139*4)+'LINEST VARS'!$E$70*($Z139*0.5)+'LINEST VARS'!$D$70*($Z139*12.73)+'LINEST VARS'!$C$70*(4*0.5)+'LINEST VARS'!$B$70*(4*12.73)+'LINEST VARS'!$A$70*(0.5*12.73)</f>
        <v>88.000000000000014</v>
      </c>
      <c r="AU139" s="47">
        <f>'LINEST VARS'!$U$70+'LINEST VARS'!$T$70*($AU$128)+'LINEST VARS'!$S$70*($Z139)+'LINEST VARS'!$R$70*(4)+'LINEST VARS'!$Q$70*(0.5)+'LINEST VARS'!$P$70*(12.73)+'LINEST VARS'!$O$70*($AU$128^2)+'LINEST VARS'!$N$70*($Z139^2)+'LINEST VARS'!$M$70*(4^2)+'LINEST VARS'!$L$70*(0.5^2)+'LINEST VARS'!$K$70*(12.73^2)+'LINEST VARS'!$J$70*($AU$128*$Z139)+'LINEST VARS'!$I$70*($AU$128*4)+'LINEST VARS'!$H$70*($AU$128*0.5)+'LINEST VARS'!$G$70*($AU$128*12.73)+'LINEST VARS'!$F$70*($Z139*4)+'LINEST VARS'!$E$70*($Z139*0.5)+'LINEST VARS'!$D$70*($Z139*12.73)+'LINEST VARS'!$C$70*(4*0.5)+'LINEST VARS'!$B$70*(4*12.73)+'LINEST VARS'!$A$70*(0.5*12.73)</f>
        <v>88.000000000000014</v>
      </c>
      <c r="AZ139" s="45">
        <v>0.5</v>
      </c>
      <c r="BA139" s="46">
        <f>'LINEST VARS'!$U$68+'LINEST VARS'!$T$68*(8)+'LINEST VARS'!$S$68*(8)+'LINEST VARS'!$R$68*($BA$128)+'LINEST VARS'!$Q$68*($AZ139)+'LINEST VARS'!$P$68*(12.73)+'LINEST VARS'!$O$68*(8^2)+'LINEST VARS'!$N$68*(8^2)+'LINEST VARS'!$M$68*($BA$128^2)+'LINEST VARS'!$L$68*($AZ139^2)+'LINEST VARS'!$K$68*(12.73^2)+'LINEST VARS'!$J$68*(8*8)+'LINEST VARS'!$I$68*(8*$BA$128)+'LINEST VARS'!$H$68*(8*$AZ139)+'LINEST VARS'!$G$68*(8*12.73)+'LINEST VARS'!$F$68*(8*$BA$128)+'LINEST VARS'!$E$68*(8*$AZ139)+'LINEST VARS'!$D$68*(8*12.73)+'LINEST VARS'!$C$68*($BA$128*$AZ139)+'LINEST VARS'!$B$68*($BA$128*12.73)+'LINEST VARS'!$A$68*($AZ139*12.73)</f>
        <v>149</v>
      </c>
      <c r="BB139" s="46">
        <f>'LINEST VARS'!$U$68+'LINEST VARS'!$T$68*(8)+'LINEST VARS'!$S$68*(8)+'LINEST VARS'!$R$68*($BB$128)+'LINEST VARS'!$Q$68*($AZ139)+'LINEST VARS'!$P$68*(12.73)+'LINEST VARS'!$O$68*(8^2)+'LINEST VARS'!$N$68*(8^2)+'LINEST VARS'!$M$68*($BB$128^2)+'LINEST VARS'!$L$68*($AZ139^2)+'LINEST VARS'!$K$68*(12.73^2)+'LINEST VARS'!$J$68*(8*8)+'LINEST VARS'!$I$68*(8*$BB$128)+'LINEST VARS'!$H$68*(8*$AZ139)+'LINEST VARS'!$G$68*(8*12.73)+'LINEST VARS'!$F$68*(8*$BB$128)+'LINEST VARS'!$E$68*(8*$AZ139)+'LINEST VARS'!$D$68*(8*12.73)+'LINEST VARS'!$C$68*($BB$128*$AZ139)+'LINEST VARS'!$B$68*($BB$128*12.73)+'LINEST VARS'!$A$68*($AZ139*12.73)</f>
        <v>149</v>
      </c>
      <c r="BC139" s="46">
        <f>'LINEST VARS'!$U$68+'LINEST VARS'!$T$68*(8)+'LINEST VARS'!$S$68*(8)+'LINEST VARS'!$R$68*($BC$128)+'LINEST VARS'!$Q$68*($AZ139)+'LINEST VARS'!$P$68*(12.73)+'LINEST VARS'!$O$68*(8^2)+'LINEST VARS'!$N$68*(8^2)+'LINEST VARS'!$M$68*($BC$128^2)+'LINEST VARS'!$L$68*($AZ139^2)+'LINEST VARS'!$K$68*(12.73^2)+'LINEST VARS'!$J$68*(8*8)+'LINEST VARS'!$I$68*(8*$BC$128)+'LINEST VARS'!$H$68*(8*$AZ139)+'LINEST VARS'!$G$68*(8*12.73)+'LINEST VARS'!$F$68*(8*$BC$128)+'LINEST VARS'!$E$68*(8*$AZ139)+'LINEST VARS'!$D$68*(8*12.73)+'LINEST VARS'!$C$68*($BC$128*$AZ139)+'LINEST VARS'!$B$68*($BC$128*12.73)+'LINEST VARS'!$A$68*($AZ139*12.73)</f>
        <v>149</v>
      </c>
      <c r="BD139" s="46">
        <f>'LINEST VARS'!$U$68+'LINEST VARS'!$T$68*(8)+'LINEST VARS'!$S$68*(8)+'LINEST VARS'!$R$68*($BD$128)+'LINEST VARS'!$Q$68*($AZ139)+'LINEST VARS'!$P$68*(12.73)+'LINEST VARS'!$O$68*(8^2)+'LINEST VARS'!$N$68*(8^2)+'LINEST VARS'!$M$68*($BD$128^2)+'LINEST VARS'!$L$68*($AZ139^2)+'LINEST VARS'!$K$68*(12.73^2)+'LINEST VARS'!$J$68*(8*8)+'LINEST VARS'!$I$68*(8*$BD$128)+'LINEST VARS'!$H$68*(8*$AZ139)+'LINEST VARS'!$G$68*(8*12.73)+'LINEST VARS'!$F$68*(8*$BD$128)+'LINEST VARS'!$E$68*(8*$AZ139)+'LINEST VARS'!$D$68*(8*12.73)+'LINEST VARS'!$C$68*($BD$128*$AZ139)+'LINEST VARS'!$B$68*($BD$128*12.73)+'LINEST VARS'!$A$68*($AZ139*12.73)</f>
        <v>149</v>
      </c>
      <c r="BE139" s="46">
        <f>'LINEST VARS'!$U$68+'LINEST VARS'!$T$68*(8)+'LINEST VARS'!$S$68*(8)+'LINEST VARS'!$R$68*($BE$128)+'LINEST VARS'!$Q$68*($AZ139)+'LINEST VARS'!$P$68*(12.73)+'LINEST VARS'!$O$68*(8^2)+'LINEST VARS'!$N$68*(8^2)+'LINEST VARS'!$M$68*($BE$128^2)+'LINEST VARS'!$L$68*($AZ139^2)+'LINEST VARS'!$K$68*(12.73^2)+'LINEST VARS'!$J$68*(8*8)+'LINEST VARS'!$I$68*(8*$BE$128)+'LINEST VARS'!$H$68*(8*$AZ139)+'LINEST VARS'!$G$68*(8*12.73)+'LINEST VARS'!$F$68*(8*$BE$128)+'LINEST VARS'!$E$68*(8*$AZ139)+'LINEST VARS'!$D$68*(8*12.73)+'LINEST VARS'!$C$68*($BE$128*$AZ139)+'LINEST VARS'!$B$68*($BE$128*12.73)+'LINEST VARS'!$A$68*($AZ139*12.73)</f>
        <v>149</v>
      </c>
      <c r="BF139" s="46">
        <f>'LINEST VARS'!$U$68+'LINEST VARS'!$T$68*(8)+'LINEST VARS'!$S$68*(8)+'LINEST VARS'!$R$68*($BF$128)+'LINEST VARS'!$Q$68*($AZ139)+'LINEST VARS'!$P$68*(12.73)+'LINEST VARS'!$O$68*(8^2)+'LINEST VARS'!$N$68*(8^2)+'LINEST VARS'!$M$68*($BF$128^2)+'LINEST VARS'!$L$68*($AZ139^2)+'LINEST VARS'!$K$68*(12.73^2)+'LINEST VARS'!$J$68*(8*8)+'LINEST VARS'!$I$68*(8*$BF$128)+'LINEST VARS'!$H$68*(8*$AZ139)+'LINEST VARS'!$G$68*(8*12.73)+'LINEST VARS'!$F$68*(8*$BF$128)+'LINEST VARS'!$E$68*(8*$AZ139)+'LINEST VARS'!$D$68*(8*12.73)+'LINEST VARS'!$C$68*($BF$128*$AZ139)+'LINEST VARS'!$B$68*($BF$128*12.73)+'LINEST VARS'!$A$68*($AZ139*12.73)</f>
        <v>149</v>
      </c>
      <c r="BG139" s="46">
        <f>'LINEST VARS'!$U$68+'LINEST VARS'!$T$68*(8)+'LINEST VARS'!$S$68*(8)+'LINEST VARS'!$R$68*($BG$128)+'LINEST VARS'!$Q$68*($AZ139)+'LINEST VARS'!$P$68*(12.73)+'LINEST VARS'!$O$68*(8^2)+'LINEST VARS'!$N$68*(8^2)+'LINEST VARS'!$M$68*($BG$128^2)+'LINEST VARS'!$L$68*($AZ139^2)+'LINEST VARS'!$K$68*(12.73^2)+'LINEST VARS'!$J$68*(8*8)+'LINEST VARS'!$I$68*(8*$BG$128)+'LINEST VARS'!$H$68*(8*$AZ139)+'LINEST VARS'!$G$68*(8*12.73)+'LINEST VARS'!$F$68*(8*$BG$128)+'LINEST VARS'!$E$68*(8*$AZ139)+'LINEST VARS'!$D$68*(8*12.73)+'LINEST VARS'!$C$68*($BG$128*$AZ139)+'LINEST VARS'!$B$68*($BG$128*12.73)+'LINEST VARS'!$A$68*($AZ139*12.73)</f>
        <v>149</v>
      </c>
      <c r="BH139" s="46">
        <f>'LINEST VARS'!$U$68+'LINEST VARS'!$T$68*(8)+'LINEST VARS'!$S$68*(8)+'LINEST VARS'!$R$68*($BH$128)+'LINEST VARS'!$Q$68*($AZ139)+'LINEST VARS'!$P$68*(12.73)+'LINEST VARS'!$O$68*(8^2)+'LINEST VARS'!$N$68*(8^2)+'LINEST VARS'!$M$68*($BH$128^2)+'LINEST VARS'!$L$68*($AZ139^2)+'LINEST VARS'!$K$68*(12.73^2)+'LINEST VARS'!$J$68*(8*8)+'LINEST VARS'!$I$68*(8*$BH$128)+'LINEST VARS'!$H$68*(8*$AZ139)+'LINEST VARS'!$G$68*(8*12.73)+'LINEST VARS'!$F$68*(8*$BH$128)+'LINEST VARS'!$E$68*(8*$AZ139)+'LINEST VARS'!$D$68*(8*12.73)+'LINEST VARS'!$C$68*($BH$128*$AZ139)+'LINEST VARS'!$B$68*($BH$128*12.73)+'LINEST VARS'!$A$68*($AZ139*12.73)</f>
        <v>149</v>
      </c>
      <c r="BI139" s="46">
        <f>'LINEST VARS'!$U$68+'LINEST VARS'!$T$68*(8)+'LINEST VARS'!$S$68*(8)+'LINEST VARS'!$R$68*($BI$128)+'LINEST VARS'!$Q$68*($AZ139)+'LINEST VARS'!$P$68*(12.73)+'LINEST VARS'!$O$68*(8^2)+'LINEST VARS'!$N$68*(8^2)+'LINEST VARS'!$M$68*($BI$128^2)+'LINEST VARS'!$L$68*($AZ139^2)+'LINEST VARS'!$K$68*(12.73^2)+'LINEST VARS'!$J$68*(8*8)+'LINEST VARS'!$I$68*(8*$BI$128)+'LINEST VARS'!$H$68*(8*$AZ139)+'LINEST VARS'!$G$68*(8*12.73)+'LINEST VARS'!$F$68*(8*$BI$128)+'LINEST VARS'!$E$68*(8*$AZ139)+'LINEST VARS'!$D$68*(8*12.73)+'LINEST VARS'!$C$68*($BI$128*$AZ139)+'LINEST VARS'!$B$68*($BI$128*12.73)+'LINEST VARS'!$A$68*($AZ139*12.73)</f>
        <v>149</v>
      </c>
      <c r="BJ139" s="46">
        <f>'LINEST VARS'!$U$68+'LINEST VARS'!$T$68*(8)+'LINEST VARS'!$S$68*(8)+'LINEST VARS'!$R$68*($BJ$128)+'LINEST VARS'!$Q$68*($AZ139)+'LINEST VARS'!$P$68*(12.73)+'LINEST VARS'!$O$68*(8^2)+'LINEST VARS'!$N$68*(8^2)+'LINEST VARS'!$M$68*($BJ$128^2)+'LINEST VARS'!$L$68*($AZ139^2)+'LINEST VARS'!$K$68*(12.73^2)+'LINEST VARS'!$J$68*(8*8)+'LINEST VARS'!$I$68*(8*$BJ$128)+'LINEST VARS'!$H$68*(8*$AZ139)+'LINEST VARS'!$G$68*(8*12.73)+'LINEST VARS'!$F$68*(8*$BJ$128)+'LINEST VARS'!$E$68*(8*$AZ139)+'LINEST VARS'!$D$68*(8*12.73)+'LINEST VARS'!$C$68*($BJ$128*$AZ139)+'LINEST VARS'!$B$68*($BJ$128*12.73)+'LINEST VARS'!$A$68*($AZ139*12.73)</f>
        <v>149</v>
      </c>
      <c r="BK139" s="46">
        <f>'LINEST VARS'!$U$68+'LINEST VARS'!$T$68*(8)+'LINEST VARS'!$S$68*(8)+'LINEST VARS'!$R$68*($BK$128)+'LINEST VARS'!$Q$68*($AZ139)+'LINEST VARS'!$P$68*(12.73)+'LINEST VARS'!$O$68*(8^2)+'LINEST VARS'!$N$68*(8^2)+'LINEST VARS'!$M$68*($BK$128^2)+'LINEST VARS'!$L$68*($AZ139^2)+'LINEST VARS'!$K$68*(12.73^2)+'LINEST VARS'!$J$68*(8*8)+'LINEST VARS'!$I$68*(8*$BK$128)+'LINEST VARS'!$H$68*(8*$AZ139)+'LINEST VARS'!$G$68*(8*12.73)+'LINEST VARS'!$F$68*(8*$BK$128)+'LINEST VARS'!$E$68*(8*$AZ139)+'LINEST VARS'!$D$68*(8*12.73)+'LINEST VARS'!$C$68*($BK$128*$AZ139)+'LINEST VARS'!$B$68*($BK$128*12.73)+'LINEST VARS'!$A$68*($AZ139*12.73)</f>
        <v>149</v>
      </c>
      <c r="BL139" s="46">
        <f>'LINEST VARS'!$U$68+'LINEST VARS'!$T$68*(8)+'LINEST VARS'!$S$68*(8)+'LINEST VARS'!$R$68*($BL$128)+'LINEST VARS'!$Q$68*($AZ139)+'LINEST VARS'!$P$68*(12.73)+'LINEST VARS'!$O$68*(8^2)+'LINEST VARS'!$N$68*(8^2)+'LINEST VARS'!$M$68*($BL$128^2)+'LINEST VARS'!$L$68*($AZ139^2)+'LINEST VARS'!$K$68*(12.73^2)+'LINEST VARS'!$J$68*(8*8)+'LINEST VARS'!$I$68*(8*$BL$128)+'LINEST VARS'!$H$68*(8*$AZ139)+'LINEST VARS'!$G$68*(8*12.73)+'LINEST VARS'!$F$68*(8*$BL$128)+'LINEST VARS'!$E$68*(8*$AZ139)+'LINEST VARS'!$D$68*(8*12.73)+'LINEST VARS'!$C$68*($BL$128*$AZ139)+'LINEST VARS'!$B$68*($BL$128*12.73)+'LINEST VARS'!$A$68*($AZ139*12.73)</f>
        <v>149</v>
      </c>
      <c r="BM139" s="46">
        <f>'LINEST VARS'!$U$68+'LINEST VARS'!$T$68*(8)+'LINEST VARS'!$S$68*(8)+'LINEST VARS'!$R$68*($BM$128)+'LINEST VARS'!$Q$68*($AZ139)+'LINEST VARS'!$P$68*(12.73)+'LINEST VARS'!$O$68*(8^2)+'LINEST VARS'!$N$68*(8^2)+'LINEST VARS'!$M$68*($BM$128^2)+'LINEST VARS'!$L$68*($AZ139^2)+'LINEST VARS'!$K$68*(12.73^2)+'LINEST VARS'!$J$68*(8*8)+'LINEST VARS'!$I$68*(8*$BM$128)+'LINEST VARS'!$H$68*(8*$AZ139)+'LINEST VARS'!$G$68*(8*12.73)+'LINEST VARS'!$F$68*(8*$BM$128)+'LINEST VARS'!$E$68*(8*$AZ139)+'LINEST VARS'!$D$68*(8*12.73)+'LINEST VARS'!$C$68*($BM$128*$AZ139)+'LINEST VARS'!$B$68*($BM$128*12.73)+'LINEST VARS'!$A$68*($AZ139*12.73)</f>
        <v>149</v>
      </c>
      <c r="BN139" s="46">
        <f>'LINEST VARS'!$U$68+'LINEST VARS'!$T$68*(8)+'LINEST VARS'!$S$68*(8)+'LINEST VARS'!$R$68*($BN$128)+'LINEST VARS'!$Q$68*($AZ139)+'LINEST VARS'!$P$68*(12.73)+'LINEST VARS'!$O$68*(8^2)+'LINEST VARS'!$N$68*(8^2)+'LINEST VARS'!$M$68*($BN$128^2)+'LINEST VARS'!$L$68*($AZ139^2)+'LINEST VARS'!$K$68*(12.73^2)+'LINEST VARS'!$J$68*(8*8)+'LINEST VARS'!$I$68*(8*$BN$128)+'LINEST VARS'!$H$68*(8*$AZ139)+'LINEST VARS'!$G$68*(8*12.73)+'LINEST VARS'!$F$68*(8*$BN$128)+'LINEST VARS'!$E$68*(8*$AZ139)+'LINEST VARS'!$D$68*(8*12.73)+'LINEST VARS'!$C$68*($BN$128*$AZ139)+'LINEST VARS'!$B$68*($BN$128*12.73)+'LINEST VARS'!$A$68*($AZ139*12.73)</f>
        <v>149</v>
      </c>
      <c r="BO139" s="46">
        <f>'LINEST VARS'!$U$68+'LINEST VARS'!$T$68*(8)+'LINEST VARS'!$S$68*(8)+'LINEST VARS'!$R$68*($BO$128)+'LINEST VARS'!$Q$68*($AZ139)+'LINEST VARS'!$P$68*(12.73)+'LINEST VARS'!$O$68*(8^2)+'LINEST VARS'!$N$68*(8^2)+'LINEST VARS'!$M$68*($BO$128^2)+'LINEST VARS'!$L$68*($AZ139^2)+'LINEST VARS'!$K$68*(12.73^2)+'LINEST VARS'!$J$68*(8*8)+'LINEST VARS'!$I$68*(8*$BO$128)+'LINEST VARS'!$H$68*(8*$AZ139)+'LINEST VARS'!$G$68*(8*12.73)+'LINEST VARS'!$F$68*(8*$BO$128)+'LINEST VARS'!$E$68*(8*$AZ139)+'LINEST VARS'!$D$68*(8*12.73)+'LINEST VARS'!$C$68*($BO$128*$AZ139)+'LINEST VARS'!$B$68*($BO$128*12.73)+'LINEST VARS'!$A$68*($AZ139*12.73)</f>
        <v>149</v>
      </c>
      <c r="BP139" s="46">
        <f>'LINEST VARS'!$U$68+'LINEST VARS'!$T$68*(8)+'LINEST VARS'!$S$68*(8)+'LINEST VARS'!$R$68*($BP$128)+'LINEST VARS'!$Q$68*($AZ139)+'LINEST VARS'!$P$68*(12.73)+'LINEST VARS'!$O$68*(8^2)+'LINEST VARS'!$N$68*(8^2)+'LINEST VARS'!$M$68*($BP$128^2)+'LINEST VARS'!$L$68*($AZ139^2)+'LINEST VARS'!$K$68*(12.73^2)+'LINEST VARS'!$J$68*(8*8)+'LINEST VARS'!$I$68*(8*$BP$128)+'LINEST VARS'!$H$68*(8*$AZ139)+'LINEST VARS'!$G$68*(8*12.73)+'LINEST VARS'!$F$68*(8*$BP$128)+'LINEST VARS'!$E$68*(8*$AZ139)+'LINEST VARS'!$D$68*(8*12.73)+'LINEST VARS'!$C$68*($BP$128*$AZ139)+'LINEST VARS'!$B$68*($BP$128*12.73)+'LINEST VARS'!$A$68*($AZ139*12.73)</f>
        <v>149</v>
      </c>
      <c r="BQ139" s="46">
        <f>'LINEST VARS'!$U$68+'LINEST VARS'!$T$68*(8)+'LINEST VARS'!$S$68*(8)+'LINEST VARS'!$R$68*($BQ$128)+'LINEST VARS'!$Q$68*($AZ139)+'LINEST VARS'!$P$68*(12.73)+'LINEST VARS'!$O$68*(8^2)+'LINEST VARS'!$N$68*(8^2)+'LINEST VARS'!$M$68*($BQ$128^2)+'LINEST VARS'!$L$68*($AZ139^2)+'LINEST VARS'!$K$68*(12.73^2)+'LINEST VARS'!$J$68*(8*8)+'LINEST VARS'!$I$68*(8*$BQ$128)+'LINEST VARS'!$H$68*(8*$AZ139)+'LINEST VARS'!$G$68*(8*12.73)+'LINEST VARS'!$F$68*(8*$BQ$128)+'LINEST VARS'!$E$68*(8*$AZ139)+'LINEST VARS'!$D$68*(8*12.73)+'LINEST VARS'!$C$68*($BQ$128*$AZ139)+'LINEST VARS'!$B$68*($BQ$128*12.73)+'LINEST VARS'!$A$68*($AZ139*12.73)</f>
        <v>149</v>
      </c>
      <c r="BR139" s="46">
        <f>'LINEST VARS'!$U$68+'LINEST VARS'!$T$68*(8)+'LINEST VARS'!$S$68*(8)+'LINEST VARS'!$R$68*($BR$128)+'LINEST VARS'!$Q$68*($AZ139)+'LINEST VARS'!$P$68*(12.73)+'LINEST VARS'!$O$68*(8^2)+'LINEST VARS'!$N$68*(8^2)+'LINEST VARS'!$M$68*($BR$128^2)+'LINEST VARS'!$L$68*($AZ139^2)+'LINEST VARS'!$K$68*(12.73^2)+'LINEST VARS'!$J$68*(8*8)+'LINEST VARS'!$I$68*(8*$BR$128)+'LINEST VARS'!$H$68*(8*$AZ139)+'LINEST VARS'!$G$68*(8*12.73)+'LINEST VARS'!$F$68*(8*$BR$128)+'LINEST VARS'!$E$68*(8*$AZ139)+'LINEST VARS'!$D$68*(8*12.73)+'LINEST VARS'!$C$68*($BR$128*$AZ139)+'LINEST VARS'!$B$68*($BR$128*12.73)+'LINEST VARS'!$A$68*($AZ139*12.73)</f>
        <v>149</v>
      </c>
      <c r="BS139" s="46">
        <f>'LINEST VARS'!$U$68+'LINEST VARS'!$T$68*(8)+'LINEST VARS'!$S$68*(8)+'LINEST VARS'!$R$68*($BS$128)+'LINEST VARS'!$Q$68*($AZ139)+'LINEST VARS'!$P$68*(12.73)+'LINEST VARS'!$O$68*(8^2)+'LINEST VARS'!$N$68*(8^2)+'LINEST VARS'!$M$68*($BS$128^2)+'LINEST VARS'!$L$68*($AZ139^2)+'LINEST VARS'!$K$68*(12.73^2)+'LINEST VARS'!$J$68*(8*8)+'LINEST VARS'!$I$68*(8*$BS$128)+'LINEST VARS'!$H$68*(8*$AZ139)+'LINEST VARS'!$G$68*(8*12.73)+'LINEST VARS'!$F$68*(8*$BS$128)+'LINEST VARS'!$E$68*(8*$AZ139)+'LINEST VARS'!$D$68*(8*12.73)+'LINEST VARS'!$C$68*($BS$128*$AZ139)+'LINEST VARS'!$B$68*($BS$128*12.73)+'LINEST VARS'!$A$68*($AZ139*12.73)</f>
        <v>149</v>
      </c>
      <c r="BT139" s="46">
        <f>'LINEST VARS'!$U$68+'LINEST VARS'!$T$68*(8)+'LINEST VARS'!$S$68*(8)+'LINEST VARS'!$R$68*($BT$128)+'LINEST VARS'!$Q$68*($AZ139)+'LINEST VARS'!$P$68*(12.73)+'LINEST VARS'!$O$68*(8^2)+'LINEST VARS'!$N$68*(8^2)+'LINEST VARS'!$M$68*($BT$128^2)+'LINEST VARS'!$L$68*($AZ139^2)+'LINEST VARS'!$K$68*(12.73^2)+'LINEST VARS'!$J$68*(8*8)+'LINEST VARS'!$I$68*(8*$BT$128)+'LINEST VARS'!$H$68*(8*$AZ139)+'LINEST VARS'!$G$68*(8*12.73)+'LINEST VARS'!$F$68*(8*$BT$128)+'LINEST VARS'!$E$68*(8*$AZ139)+'LINEST VARS'!$D$68*(8*12.73)+'LINEST VARS'!$C$68*($BT$128*$AZ139)+'LINEST VARS'!$B$68*($BT$128*12.73)+'LINEST VARS'!$A$68*($AZ139*12.73)</f>
        <v>149</v>
      </c>
      <c r="BU139" s="47">
        <f>'LINEST VARS'!$U$68+'LINEST VARS'!$T$68*(8)+'LINEST VARS'!$S$68*(8)+'LINEST VARS'!$R$68*($BU$128)+'LINEST VARS'!$Q$68*($AZ139)+'LINEST VARS'!$P$68*(12.73)+'LINEST VARS'!$O$68*(8^2)+'LINEST VARS'!$N$68*(8^2)+'LINEST VARS'!$M$68*($BU$128^2)+'LINEST VARS'!$L$68*($AZ139^2)+'LINEST VARS'!$K$68*(12.73^2)+'LINEST VARS'!$J$68*(8*8)+'LINEST VARS'!$I$68*(8*$BU$128)+'LINEST VARS'!$H$68*(8*$AZ139)+'LINEST VARS'!$G$68*(8*12.73)+'LINEST VARS'!$F$68*(8*$BU$128)+'LINEST VARS'!$E$68*(8*$AZ139)+'LINEST VARS'!$D$68*(8*12.73)+'LINEST VARS'!$C$68*($BU$128*$AZ139)+'LINEST VARS'!$B$68*($BU$128*12.73)+'LINEST VARS'!$A$68*($AZ139*12.73)</f>
        <v>149</v>
      </c>
      <c r="BX139" s="45">
        <v>0.5</v>
      </c>
      <c r="BY139" s="46">
        <f>'LINEST VARS'!$U$70+'LINEST VARS'!$T$70*(8)+'LINEST VARS'!$S$70*(8)+'LINEST VARS'!$R$70*($BY$128)+'LINEST VARS'!$Q$70*($BX139)+'LINEST VARS'!$P$70*(12.73)+'LINEST VARS'!$O$70*(8^2)+'LINEST VARS'!$N$70*(8^2)+'LINEST VARS'!$M$70*($BY$128^2)+'LINEST VARS'!$L$70*($BX139^2)+'LINEST VARS'!$K$70*(12.73^2)+'LINEST VARS'!$J$70*(8*8)+'LINEST VARS'!$I$70*(8*$BY$128)+'LINEST VARS'!$H$70*(8*$BX139)+'LINEST VARS'!$G$70*(8*12.73)+'LINEST VARS'!$F$70*(8*$BY$128)+'LINEST VARS'!$E$70*(8*$BX139)+'LINEST VARS'!$D$70*(8*12.73)+'LINEST VARS'!$C$70*($BY$128*$BX139)+'LINEST VARS'!$B$70*($BY$128*12.73)+'LINEST VARS'!$A$70*($BX139*12.73)</f>
        <v>92.000000000000014</v>
      </c>
      <c r="BZ139" s="46">
        <f>'LINEST VARS'!$U$70+'LINEST VARS'!$T$70*(8)+'LINEST VARS'!$S$70*(8)+'LINEST VARS'!$R$70*($BZ$128)+'LINEST VARS'!$Q$70*($BX139)+'LINEST VARS'!$P$70*(12.73)+'LINEST VARS'!$O$70*(8^2)+'LINEST VARS'!$N$70*(8^2)+'LINEST VARS'!$M$70*($BZ$128^2)+'LINEST VARS'!$L$70*($BX139^2)+'LINEST VARS'!$K$70*(12.73^2)+'LINEST VARS'!$J$70*(8*8)+'LINEST VARS'!$I$70*(8*$BZ$128)+'LINEST VARS'!$H$70*(8*$BX139)+'LINEST VARS'!$G$70*(8*12.73)+'LINEST VARS'!$F$70*(8*$BZ$128)+'LINEST VARS'!$E$70*(8*$BX139)+'LINEST VARS'!$D$70*(8*12.73)+'LINEST VARS'!$C$70*($BZ$128*$BX139)+'LINEST VARS'!$B$70*($BZ$128*12.73)+'LINEST VARS'!$A$70*($BX139*12.73)</f>
        <v>91.600000000000009</v>
      </c>
      <c r="CA139" s="46">
        <f>'LINEST VARS'!$U$70+'LINEST VARS'!$T$70*(8)+'LINEST VARS'!$S$70*(8)+'LINEST VARS'!$R$70*($CA$128)+'LINEST VARS'!$Q$70*($BX139)+'LINEST VARS'!$P$70*(12.73)+'LINEST VARS'!$O$70*(8^2)+'LINEST VARS'!$N$70*(8^2)+'LINEST VARS'!$M$70*($CA$128^2)+'LINEST VARS'!$L$70*($BX139^2)+'LINEST VARS'!$K$70*(12.73^2)+'LINEST VARS'!$J$70*(8*8)+'LINEST VARS'!$I$70*(8*$CA$128)+'LINEST VARS'!$H$70*(8*$BX139)+'LINEST VARS'!$G$70*(8*12.73)+'LINEST VARS'!$F$70*(8*$CA$128)+'LINEST VARS'!$E$70*(8*$BX139)+'LINEST VARS'!$D$70*(8*12.73)+'LINEST VARS'!$C$70*($CA$128*$BX139)+'LINEST VARS'!$B$70*($CA$128*12.73)+'LINEST VARS'!$A$70*($BX139*12.73)</f>
        <v>91.200000000000017</v>
      </c>
      <c r="CB139" s="46">
        <f>'LINEST VARS'!$U$70+'LINEST VARS'!$T$70*(8)+'LINEST VARS'!$S$70*(8)+'LINEST VARS'!$R$70*($CB$128)+'LINEST VARS'!$Q$70*($BX139)+'LINEST VARS'!$P$70*(12.73)+'LINEST VARS'!$O$70*(8^2)+'LINEST VARS'!$N$70*(8^2)+'LINEST VARS'!$M$70*($CB$128^2)+'LINEST VARS'!$L$70*($BX139^2)+'LINEST VARS'!$K$70*(12.73^2)+'LINEST VARS'!$J$70*(8*8)+'LINEST VARS'!$I$70*(8*$CB$128)+'LINEST VARS'!$H$70*(8*$BX139)+'LINEST VARS'!$G$70*(8*12.73)+'LINEST VARS'!$F$70*(8*$CB$128)+'LINEST VARS'!$E$70*(8*$BX139)+'LINEST VARS'!$D$70*(8*12.73)+'LINEST VARS'!$C$70*($CB$128*$BX139)+'LINEST VARS'!$B$70*($CB$128*12.73)+'LINEST VARS'!$A$70*($BX139*12.73)</f>
        <v>90.800000000000011</v>
      </c>
      <c r="CC139" s="46">
        <f>'LINEST VARS'!$U$70+'LINEST VARS'!$T$70*(8)+'LINEST VARS'!$S$70*(8)+'LINEST VARS'!$R$70*($CC$128)+'LINEST VARS'!$Q$70*($BX139)+'LINEST VARS'!$P$70*(12.73)+'LINEST VARS'!$O$70*(8^2)+'LINEST VARS'!$N$70*(8^2)+'LINEST VARS'!$M$70*($CC$128^2)+'LINEST VARS'!$L$70*($BX139^2)+'LINEST VARS'!$K$70*(12.73^2)+'LINEST VARS'!$J$70*(8*8)+'LINEST VARS'!$I$70*(8*$CC$128)+'LINEST VARS'!$H$70*(8*$BX139)+'LINEST VARS'!$G$70*(8*12.73)+'LINEST VARS'!$F$70*(8*$CC$128)+'LINEST VARS'!$E$70*(8*$BX139)+'LINEST VARS'!$D$70*(8*12.73)+'LINEST VARS'!$C$70*($CC$128*$BX139)+'LINEST VARS'!$B$70*($CC$128*12.73)+'LINEST VARS'!$A$70*($BX139*12.73)</f>
        <v>90.40000000000002</v>
      </c>
      <c r="CD139" s="46">
        <f>'LINEST VARS'!$U$70+'LINEST VARS'!$T$70*(8)+'LINEST VARS'!$S$70*(8)+'LINEST VARS'!$R$70*($CD$128)+'LINEST VARS'!$Q$70*($BX139)+'LINEST VARS'!$P$70*(12.73)+'LINEST VARS'!$O$70*(8^2)+'LINEST VARS'!$N$70*(8^2)+'LINEST VARS'!$M$70*($CD$128^2)+'LINEST VARS'!$L$70*($BX139^2)+'LINEST VARS'!$K$70*(12.73^2)+'LINEST VARS'!$J$70*(8*8)+'LINEST VARS'!$I$70*(8*$CD$128)+'LINEST VARS'!$H$70*(8*$BX139)+'LINEST VARS'!$G$70*(8*12.73)+'LINEST VARS'!$F$70*(8*$CD$128)+'LINEST VARS'!$E$70*(8*$BX139)+'LINEST VARS'!$D$70*(8*12.73)+'LINEST VARS'!$C$70*($CD$128*$BX139)+'LINEST VARS'!$B$70*($CD$128*12.73)+'LINEST VARS'!$A$70*($BX139*12.73)</f>
        <v>90.000000000000014</v>
      </c>
      <c r="CE139" s="46">
        <f>'LINEST VARS'!$U$70+'LINEST VARS'!$T$70*(8)+'LINEST VARS'!$S$70*(8)+'LINEST VARS'!$R$70*($CE$128)+'LINEST VARS'!$Q$70*($BX139)+'LINEST VARS'!$P$70*(12.73)+'LINEST VARS'!$O$70*(8^2)+'LINEST VARS'!$N$70*(8^2)+'LINEST VARS'!$M$70*($CE$128^2)+'LINEST VARS'!$L$70*($BX139^2)+'LINEST VARS'!$K$70*(12.73^2)+'LINEST VARS'!$J$70*(8*8)+'LINEST VARS'!$I$70*(8*$CE$128)+'LINEST VARS'!$H$70*(8*$BX139)+'LINEST VARS'!$G$70*(8*12.73)+'LINEST VARS'!$F$70*(8*$CE$128)+'LINEST VARS'!$E$70*(8*$BX139)+'LINEST VARS'!$D$70*(8*12.73)+'LINEST VARS'!$C$70*($CE$128*$BX139)+'LINEST VARS'!$B$70*($CE$128*12.73)+'LINEST VARS'!$A$70*($BX139*12.73)</f>
        <v>89.600000000000023</v>
      </c>
      <c r="CF139" s="46">
        <f>'LINEST VARS'!$U$70+'LINEST VARS'!$T$70*(8)+'LINEST VARS'!$S$70*(8)+'LINEST VARS'!$R$70*($CF$128)+'LINEST VARS'!$Q$70*($BX139)+'LINEST VARS'!$P$70*(12.73)+'LINEST VARS'!$O$70*(8^2)+'LINEST VARS'!$N$70*(8^2)+'LINEST VARS'!$M$70*($CF$128^2)+'LINEST VARS'!$L$70*($BX139^2)+'LINEST VARS'!$K$70*(12.73^2)+'LINEST VARS'!$J$70*(8*8)+'LINEST VARS'!$I$70*(8*$CF$128)+'LINEST VARS'!$H$70*(8*$BX139)+'LINEST VARS'!$G$70*(8*12.73)+'LINEST VARS'!$F$70*(8*$CF$128)+'LINEST VARS'!$E$70*(8*$BX139)+'LINEST VARS'!$D$70*(8*12.73)+'LINEST VARS'!$C$70*($CF$128*$BX139)+'LINEST VARS'!$B$70*($CF$128*12.73)+'LINEST VARS'!$A$70*($BX139*12.73)</f>
        <v>89.200000000000017</v>
      </c>
      <c r="CG139" s="46">
        <f>'LINEST VARS'!$U$70+'LINEST VARS'!$T$70*(8)+'LINEST VARS'!$S$70*(8)+'LINEST VARS'!$R$70*($CG$128)+'LINEST VARS'!$Q$70*($BX139)+'LINEST VARS'!$P$70*(12.73)+'LINEST VARS'!$O$70*(8^2)+'LINEST VARS'!$N$70*(8^2)+'LINEST VARS'!$M$70*($CG$128^2)+'LINEST VARS'!$L$70*($BX139^2)+'LINEST VARS'!$K$70*(12.73^2)+'LINEST VARS'!$J$70*(8*8)+'LINEST VARS'!$I$70*(8*$CG$128)+'LINEST VARS'!$H$70*(8*$BX139)+'LINEST VARS'!$G$70*(8*12.73)+'LINEST VARS'!$F$70*(8*$CG$128)+'LINEST VARS'!$E$70*(8*$BX139)+'LINEST VARS'!$D$70*(8*12.73)+'LINEST VARS'!$C$70*($CG$128*$BX139)+'LINEST VARS'!$B$70*($CG$128*12.73)+'LINEST VARS'!$A$70*($BX139*12.73)</f>
        <v>88.800000000000026</v>
      </c>
      <c r="CH139" s="46">
        <f>'LINEST VARS'!$U$70+'LINEST VARS'!$T$70*(8)+'LINEST VARS'!$S$70*(8)+'LINEST VARS'!$R$70*($CH$128)+'LINEST VARS'!$Q$70*($BX139)+'LINEST VARS'!$P$70*(12.73)+'LINEST VARS'!$O$70*(8^2)+'LINEST VARS'!$N$70*(8^2)+'LINEST VARS'!$M$70*($CH$128^2)+'LINEST VARS'!$L$70*($BX139^2)+'LINEST VARS'!$K$70*(12.73^2)+'LINEST VARS'!$J$70*(8*8)+'LINEST VARS'!$I$70*(8*$CH$128)+'LINEST VARS'!$H$70*(8*$BX139)+'LINEST VARS'!$G$70*(8*12.73)+'LINEST VARS'!$F$70*(8*$CH$128)+'LINEST VARS'!$E$70*(8*$BX139)+'LINEST VARS'!$D$70*(8*12.73)+'LINEST VARS'!$C$70*($CH$128*$BX139)+'LINEST VARS'!$B$70*($CH$128*12.73)+'LINEST VARS'!$A$70*($BX139*12.73)</f>
        <v>88.40000000000002</v>
      </c>
      <c r="CI139" s="46">
        <f>'LINEST VARS'!$U$70+'LINEST VARS'!$T$70*(8)+'LINEST VARS'!$S$70*(8)+'LINEST VARS'!$R$70*($CI$128)+'LINEST VARS'!$Q$70*($BX139)+'LINEST VARS'!$P$70*(12.73)+'LINEST VARS'!$O$70*(8^2)+'LINEST VARS'!$N$70*(8^2)+'LINEST VARS'!$M$70*($CI$128^2)+'LINEST VARS'!$L$70*($BX139^2)+'LINEST VARS'!$K$70*(12.73^2)+'LINEST VARS'!$J$70*(8*8)+'LINEST VARS'!$I$70*(8*$CI$128)+'LINEST VARS'!$H$70*(8*$BX139)+'LINEST VARS'!$G$70*(8*12.73)+'LINEST VARS'!$F$70*(8*$CI$128)+'LINEST VARS'!$E$70*(8*$BX139)+'LINEST VARS'!$D$70*(8*12.73)+'LINEST VARS'!$C$70*($CI$128*$BX139)+'LINEST VARS'!$B$70*($CI$128*12.73)+'LINEST VARS'!$A$70*($BX139*12.73)</f>
        <v>88.000000000000014</v>
      </c>
      <c r="CJ139" s="46">
        <f>'LINEST VARS'!$U$70+'LINEST VARS'!$T$70*(8)+'LINEST VARS'!$S$70*(8)+'LINEST VARS'!$R$70*($CJ$128)+'LINEST VARS'!$Q$70*($BX139)+'LINEST VARS'!$P$70*(12.73)+'LINEST VARS'!$O$70*(8^2)+'LINEST VARS'!$N$70*(8^2)+'LINEST VARS'!$M$70*($CJ$128^2)+'LINEST VARS'!$L$70*($BX139^2)+'LINEST VARS'!$K$70*(12.73^2)+'LINEST VARS'!$J$70*(8*8)+'LINEST VARS'!$I$70*(8*$CJ$128)+'LINEST VARS'!$H$70*(8*$BX139)+'LINEST VARS'!$G$70*(8*12.73)+'LINEST VARS'!$F$70*(8*$CJ$128)+'LINEST VARS'!$E$70*(8*$BX139)+'LINEST VARS'!$D$70*(8*12.73)+'LINEST VARS'!$C$70*($CJ$128*$BX139)+'LINEST VARS'!$B$70*($CJ$128*12.73)+'LINEST VARS'!$A$70*($BX139*12.73)</f>
        <v>87.600000000000023</v>
      </c>
      <c r="CK139" s="46">
        <f>'LINEST VARS'!$U$70+'LINEST VARS'!$T$70*(8)+'LINEST VARS'!$S$70*(8)+'LINEST VARS'!$R$70*($CK$128)+'LINEST VARS'!$Q$70*($BX139)+'LINEST VARS'!$P$70*(12.73)+'LINEST VARS'!$O$70*(8^2)+'LINEST VARS'!$N$70*(8^2)+'LINEST VARS'!$M$70*($CK$128^2)+'LINEST VARS'!$L$70*($BX139^2)+'LINEST VARS'!$K$70*(12.73^2)+'LINEST VARS'!$J$70*(8*8)+'LINEST VARS'!$I$70*(8*$CK$128)+'LINEST VARS'!$H$70*(8*$BX139)+'LINEST VARS'!$G$70*(8*12.73)+'LINEST VARS'!$F$70*(8*$CK$128)+'LINEST VARS'!$E$70*(8*$BX139)+'LINEST VARS'!$D$70*(8*12.73)+'LINEST VARS'!$C$70*($CK$128*$BX139)+'LINEST VARS'!$B$70*($CK$128*12.73)+'LINEST VARS'!$A$70*($BX139*12.73)</f>
        <v>87.200000000000017</v>
      </c>
      <c r="CL139" s="46">
        <f>'LINEST VARS'!$U$70+'LINEST VARS'!$T$70*(8)+'LINEST VARS'!$S$70*(8)+'LINEST VARS'!$R$70*($CL$128)+'LINEST VARS'!$Q$70*($BX139)+'LINEST VARS'!$P$70*(12.73)+'LINEST VARS'!$O$70*(8^2)+'LINEST VARS'!$N$70*(8^2)+'LINEST VARS'!$M$70*($CL$128^2)+'LINEST VARS'!$L$70*($BX139^2)+'LINEST VARS'!$K$70*(12.73^2)+'LINEST VARS'!$J$70*(8*8)+'LINEST VARS'!$I$70*(8*$CL$128)+'LINEST VARS'!$H$70*(8*$BX139)+'LINEST VARS'!$G$70*(8*12.73)+'LINEST VARS'!$F$70*(8*$CL$128)+'LINEST VARS'!$E$70*(8*$BX139)+'LINEST VARS'!$D$70*(8*12.73)+'LINEST VARS'!$C$70*($CL$128*$BX139)+'LINEST VARS'!$B$70*($CL$128*12.73)+'LINEST VARS'!$A$70*($BX139*12.73)</f>
        <v>86.800000000000026</v>
      </c>
      <c r="CM139" s="46">
        <f>'LINEST VARS'!$U$70+'LINEST VARS'!$T$70*(8)+'LINEST VARS'!$S$70*(8)+'LINEST VARS'!$R$70*($CM$128)+'LINEST VARS'!$Q$70*($BX139)+'LINEST VARS'!$P$70*(12.73)+'LINEST VARS'!$O$70*(8^2)+'LINEST VARS'!$N$70*(8^2)+'LINEST VARS'!$M$70*($CM$128^2)+'LINEST VARS'!$L$70*($BX139^2)+'LINEST VARS'!$K$70*(12.73^2)+'LINEST VARS'!$J$70*(8*8)+'LINEST VARS'!$I$70*(8*$CM$128)+'LINEST VARS'!$H$70*(8*$BX139)+'LINEST VARS'!$G$70*(8*12.73)+'LINEST VARS'!$F$70*(8*$CM$128)+'LINEST VARS'!$E$70*(8*$BX139)+'LINEST VARS'!$D$70*(8*12.73)+'LINEST VARS'!$C$70*($CM$128*$BX139)+'LINEST VARS'!$B$70*($CM$128*12.73)+'LINEST VARS'!$A$70*($BX139*12.73)</f>
        <v>86.40000000000002</v>
      </c>
      <c r="CN139" s="46">
        <f>'LINEST VARS'!$U$70+'LINEST VARS'!$T$70*(8)+'LINEST VARS'!$S$70*(8)+'LINEST VARS'!$R$70*($CN$128)+'LINEST VARS'!$Q$70*($BX139)+'LINEST VARS'!$P$70*(12.73)+'LINEST VARS'!$O$70*(8^2)+'LINEST VARS'!$N$70*(8^2)+'LINEST VARS'!$M$70*($CN$128^2)+'LINEST VARS'!$L$70*($BX139^2)+'LINEST VARS'!$K$70*(12.73^2)+'LINEST VARS'!$J$70*(8*8)+'LINEST VARS'!$I$70*(8*$CN$128)+'LINEST VARS'!$H$70*(8*$BX139)+'LINEST VARS'!$G$70*(8*12.73)+'LINEST VARS'!$F$70*(8*$CN$128)+'LINEST VARS'!$E$70*(8*$BX139)+'LINEST VARS'!$D$70*(8*12.73)+'LINEST VARS'!$C$70*($CN$128*$BX139)+'LINEST VARS'!$B$70*($CN$128*12.73)+'LINEST VARS'!$A$70*($BX139*12.73)</f>
        <v>86.000000000000014</v>
      </c>
      <c r="CO139" s="46">
        <f>'LINEST VARS'!$U$70+'LINEST VARS'!$T$70*(8)+'LINEST VARS'!$S$70*(8)+'LINEST VARS'!$R$70*($CO$128)+'LINEST VARS'!$Q$70*($BX139)+'LINEST VARS'!$P$70*(12.73)+'LINEST VARS'!$O$70*(8^2)+'LINEST VARS'!$N$70*(8^2)+'LINEST VARS'!$M$70*($CO$128^2)+'LINEST VARS'!$L$70*($BX139^2)+'LINEST VARS'!$K$70*(12.73^2)+'LINEST VARS'!$J$70*(8*8)+'LINEST VARS'!$I$70*(8*$CO$128)+'LINEST VARS'!$H$70*(8*$BX139)+'LINEST VARS'!$G$70*(8*12.73)+'LINEST VARS'!$F$70*(8*$CO$128)+'LINEST VARS'!$E$70*(8*$BX139)+'LINEST VARS'!$D$70*(8*12.73)+'LINEST VARS'!$C$70*($CO$128*$BX139)+'LINEST VARS'!$B$70*($CO$128*12.73)+'LINEST VARS'!$A$70*($BX139*12.73)</f>
        <v>85.600000000000009</v>
      </c>
      <c r="CP139" s="46">
        <f>'LINEST VARS'!$U$70+'LINEST VARS'!$T$70*(8)+'LINEST VARS'!$S$70*(8)+'LINEST VARS'!$R$70*($CP$128)+'LINEST VARS'!$Q$70*($BX139)+'LINEST VARS'!$P$70*(12.73)+'LINEST VARS'!$O$70*(8^2)+'LINEST VARS'!$N$70*(8^2)+'LINEST VARS'!$M$70*($CP$128^2)+'LINEST VARS'!$L$70*($BX139^2)+'LINEST VARS'!$K$70*(12.73^2)+'LINEST VARS'!$J$70*(8*8)+'LINEST VARS'!$I$70*(8*$CP$128)+'LINEST VARS'!$H$70*(8*$BX139)+'LINEST VARS'!$G$70*(8*12.73)+'LINEST VARS'!$F$70*(8*$CP$128)+'LINEST VARS'!$E$70*(8*$BX139)+'LINEST VARS'!$D$70*(8*12.73)+'LINEST VARS'!$C$70*($CP$128*$BX139)+'LINEST VARS'!$B$70*($CP$128*12.73)+'LINEST VARS'!$A$70*($BX139*12.73)</f>
        <v>85.200000000000017</v>
      </c>
      <c r="CQ139" s="46">
        <f>'LINEST VARS'!$U$70+'LINEST VARS'!$T$70*(8)+'LINEST VARS'!$S$70*(8)+'LINEST VARS'!$R$70*($CQ$128)+'LINEST VARS'!$Q$70*($BX139)+'LINEST VARS'!$P$70*(12.73)+'LINEST VARS'!$O$70*(8^2)+'LINEST VARS'!$N$70*(8^2)+'LINEST VARS'!$M$70*($CQ$128^2)+'LINEST VARS'!$L$70*($BX139^2)+'LINEST VARS'!$K$70*(12.73^2)+'LINEST VARS'!$J$70*(8*8)+'LINEST VARS'!$I$70*(8*$CQ$128)+'LINEST VARS'!$H$70*(8*$BX139)+'LINEST VARS'!$G$70*(8*12.73)+'LINEST VARS'!$F$70*(8*$CQ$128)+'LINEST VARS'!$E$70*(8*$BX139)+'LINEST VARS'!$D$70*(8*12.73)+'LINEST VARS'!$C$70*($CQ$128*$BX139)+'LINEST VARS'!$B$70*($CQ$128*12.73)+'LINEST VARS'!$A$70*($BX139*12.73)</f>
        <v>84.800000000000011</v>
      </c>
      <c r="CR139" s="46">
        <f>'LINEST VARS'!$U$70+'LINEST VARS'!$T$70*(8)+'LINEST VARS'!$S$70*(8)+'LINEST VARS'!$R$70*($CR$128)+'LINEST VARS'!$Q$70*($BX139)+'LINEST VARS'!$P$70*(12.73)+'LINEST VARS'!$O$70*(8^2)+'LINEST VARS'!$N$70*(8^2)+'LINEST VARS'!$M$70*($CR$128^2)+'LINEST VARS'!$L$70*($BX139^2)+'LINEST VARS'!$K$70*(12.73^2)+'LINEST VARS'!$J$70*(8*8)+'LINEST VARS'!$I$70*(8*$CR$128)+'LINEST VARS'!$H$70*(8*$BX139)+'LINEST VARS'!$G$70*(8*12.73)+'LINEST VARS'!$F$70*(8*$CR$128)+'LINEST VARS'!$E$70*(8*$BX139)+'LINEST VARS'!$D$70*(8*12.73)+'LINEST VARS'!$C$70*($CR$128*$BX139)+'LINEST VARS'!$B$70*($CR$128*12.73)+'LINEST VARS'!$A$70*($BX139*12.73)</f>
        <v>84.400000000000034</v>
      </c>
      <c r="CS139" s="47">
        <f>'LINEST VARS'!$U$70+'LINEST VARS'!$T$70*(8)+'LINEST VARS'!$S$70*(8)+'LINEST VARS'!$R$70*($CS$128)+'LINEST VARS'!$Q$70*($BX139)+'LINEST VARS'!$P$70*(12.73)+'LINEST VARS'!$O$70*(8^2)+'LINEST VARS'!$N$70*(8^2)+'LINEST VARS'!$M$70*($CS$128^2)+'LINEST VARS'!$L$70*($BX139^2)+'LINEST VARS'!$K$70*(12.73^2)+'LINEST VARS'!$J$70*(8*8)+'LINEST VARS'!$I$70*(8*$CS$128)+'LINEST VARS'!$H$70*(8*$BX139)+'LINEST VARS'!$G$70*(8*12.73)+'LINEST VARS'!$F$70*(8*$CS$128)+'LINEST VARS'!$E$70*(8*$BX139)+'LINEST VARS'!$D$70*(8*12.73)+'LINEST VARS'!$C$70*($CS$128*$BX139)+'LINEST VARS'!$B$70*($CS$128*12.73)+'LINEST VARS'!$A$70*($BX139*12.73)</f>
        <v>84.000000000000028</v>
      </c>
      <c r="CX139" s="45">
        <v>12.994999999999999</v>
      </c>
      <c r="CY139" s="46">
        <f>'LINEST VARS'!$U$68+'LINEST VARS'!$T$68*(8)+'LINEST VARS'!$S$68*(8)+'LINEST VARS'!$R$68*($CY$128)+'LINEST VARS'!$Q$68*(0.5)+'LINEST VARS'!$P$68*($CX139)+'LINEST VARS'!$O$68*(8^2)+'LINEST VARS'!$N$68*(8^2)+'LINEST VARS'!$M$68*($CY$128^2)+'LINEST VARS'!$L$68*(0.5^2)+'LINEST VARS'!$K$68*($CX139^2)+'LINEST VARS'!$J$68*(8*8)+'LINEST VARS'!$I$68*(8*$CY$128)+'LINEST VARS'!$H$68*(8*0.5)+'LINEST VARS'!$G$68*(8*$CX139)+'LINEST VARS'!$F$68*(8*$CY$128)+'LINEST VARS'!$E$68*(8*0.5)+'LINEST VARS'!$D$68*(8*$CX139)+'LINEST VARS'!$C$68*($CY$128*0.5)+'LINEST VARS'!$B$68*($CY$128*$CX139)+'LINEST VARS'!$A$68*(0.5*$CX139)</f>
        <v>149</v>
      </c>
      <c r="CZ139" s="46">
        <f>'LINEST VARS'!$U$68+'LINEST VARS'!$T$68*(8)+'LINEST VARS'!$S$68*(8)+'LINEST VARS'!$R$68*($CZ$128)+'LINEST VARS'!$Q$68*(0.5)+'LINEST VARS'!$P$68*($CX139)+'LINEST VARS'!$O$68*(8^2)+'LINEST VARS'!$N$68*(8^2)+'LINEST VARS'!$M$68*($CZ$128^2)+'LINEST VARS'!$L$68*(0.5^2)+'LINEST VARS'!$K$68*($CX139^2)+'LINEST VARS'!$J$68*(8*8)+'LINEST VARS'!$I$68*(8*$CZ$128)+'LINEST VARS'!$H$68*(8*0.5)+'LINEST VARS'!$G$68*(8*$CX139)+'LINEST VARS'!$F$68*(8*$CZ$128)+'LINEST VARS'!$E$68*(8*0.5)+'LINEST VARS'!$D$68*(8*$CX139)+'LINEST VARS'!$C$68*($CZ$128*0.5)+'LINEST VARS'!$B$68*($CZ$128*$CX139)+'LINEST VARS'!$A$68*(0.5*$CX139)</f>
        <v>149</v>
      </c>
      <c r="DA139" s="46">
        <f>'LINEST VARS'!$U$68+'LINEST VARS'!$T$68*(8)+'LINEST VARS'!$S$68*(8)+'LINEST VARS'!$R$68*($DA$128)+'LINEST VARS'!$Q$68*(0.5)+'LINEST VARS'!$P$68*($CX139)+'LINEST VARS'!$O$68*(8^2)+'LINEST VARS'!$N$68*(8^2)+'LINEST VARS'!$M$68*($DA$128^2)+'LINEST VARS'!$L$68*(0.5^2)+'LINEST VARS'!$K$68*($CX139^2)+'LINEST VARS'!$J$68*(8*8)+'LINEST VARS'!$I$68*(8*$DA$128)+'LINEST VARS'!$H$68*(8*0.5)+'LINEST VARS'!$G$68*(8*$CX139)+'LINEST VARS'!$F$68*(8*$DA$128)+'LINEST VARS'!$E$68*(8*0.5)+'LINEST VARS'!$D$68*(8*$CX139)+'LINEST VARS'!$C$68*($DA$128*0.5)+'LINEST VARS'!$B$68*($DA$128*$CX139)+'LINEST VARS'!$A$68*(0.5*$CX139)</f>
        <v>149</v>
      </c>
      <c r="DB139" s="46">
        <f>'LINEST VARS'!$U$68+'LINEST VARS'!$T$68*(8)+'LINEST VARS'!$S$68*(8)+'LINEST VARS'!$R$68*($DB$128)+'LINEST VARS'!$Q$68*(0.5)+'LINEST VARS'!$P$68*($CX139)+'LINEST VARS'!$O$68*(8^2)+'LINEST VARS'!$N$68*(8^2)+'LINEST VARS'!$M$68*($DB$128^2)+'LINEST VARS'!$L$68*(0.5^2)+'LINEST VARS'!$K$68*($CX139^2)+'LINEST VARS'!$J$68*(8*8)+'LINEST VARS'!$I$68*(8*$DB$128)+'LINEST VARS'!$H$68*(8*0.5)+'LINEST VARS'!$G$68*(8*$CX139)+'LINEST VARS'!$F$68*(8*$DB$128)+'LINEST VARS'!$E$68*(8*0.5)+'LINEST VARS'!$D$68*(8*$CX139)+'LINEST VARS'!$C$68*($DB$128*0.5)+'LINEST VARS'!$B$68*($DB$128*$CX139)+'LINEST VARS'!$A$68*(0.5*$CX139)</f>
        <v>149</v>
      </c>
      <c r="DC139" s="46">
        <f>'LINEST VARS'!$U$68+'LINEST VARS'!$T$68*(8)+'LINEST VARS'!$S$68*(8)+'LINEST VARS'!$R$68*($DC$128)+'LINEST VARS'!$Q$68*(0.5)+'LINEST VARS'!$P$68*($CX139)+'LINEST VARS'!$O$68*(8^2)+'LINEST VARS'!$N$68*(8^2)+'LINEST VARS'!$M$68*($DC$128^2)+'LINEST VARS'!$L$68*(0.5^2)+'LINEST VARS'!$K$68*($CX139^2)+'LINEST VARS'!$J$68*(8*8)+'LINEST VARS'!$I$68*(8*$DC$128)+'LINEST VARS'!$H$68*(8*0.5)+'LINEST VARS'!$G$68*(8*$CX139)+'LINEST VARS'!$F$68*(8*$DC$128)+'LINEST VARS'!$E$68*(8*0.5)+'LINEST VARS'!$D$68*(8*$CX139)+'LINEST VARS'!$C$68*($DC$128*0.5)+'LINEST VARS'!$B$68*($DC$128*$CX139)+'LINEST VARS'!$A$68*(0.5*$CX139)</f>
        <v>149</v>
      </c>
      <c r="DD139" s="46">
        <f>'LINEST VARS'!$U$68+'LINEST VARS'!$T$68*(8)+'LINEST VARS'!$S$68*(8)+'LINEST VARS'!$R$68*($DD$128)+'LINEST VARS'!$Q$68*(0.5)+'LINEST VARS'!$P$68*($CX139)+'LINEST VARS'!$O$68*(8^2)+'LINEST VARS'!$N$68*(8^2)+'LINEST VARS'!$M$68*($DD$128^2)+'LINEST VARS'!$L$68*(0.5^2)+'LINEST VARS'!$K$68*($CX139^2)+'LINEST VARS'!$J$68*(8*8)+'LINEST VARS'!$I$68*(8*$DD$128)+'LINEST VARS'!$H$68*(8*0.5)+'LINEST VARS'!$G$68*(8*$CX139)+'LINEST VARS'!$F$68*(8*$DD$128)+'LINEST VARS'!$E$68*(8*0.5)+'LINEST VARS'!$D$68*(8*$CX139)+'LINEST VARS'!$C$68*($DD$128*0.5)+'LINEST VARS'!$B$68*($DD$128*$CX139)+'LINEST VARS'!$A$68*(0.5*$CX139)</f>
        <v>149</v>
      </c>
      <c r="DE139" s="46">
        <f>'LINEST VARS'!$U$68+'LINEST VARS'!$T$68*(8)+'LINEST VARS'!$S$68*(8)+'LINEST VARS'!$R$68*($DE$128)+'LINEST VARS'!$Q$68*(0.5)+'LINEST VARS'!$P$68*($CX139)+'LINEST VARS'!$O$68*(8^2)+'LINEST VARS'!$N$68*(8^2)+'LINEST VARS'!$M$68*($DE$128^2)+'LINEST VARS'!$L$68*(0.5^2)+'LINEST VARS'!$K$68*($CX139^2)+'LINEST VARS'!$J$68*(8*8)+'LINEST VARS'!$I$68*(8*$DE$128)+'LINEST VARS'!$H$68*(8*0.5)+'LINEST VARS'!$G$68*(8*$CX139)+'LINEST VARS'!$F$68*(8*$DE$128)+'LINEST VARS'!$E$68*(8*0.5)+'LINEST VARS'!$D$68*(8*$CX139)+'LINEST VARS'!$C$68*($DE$128*0.5)+'LINEST VARS'!$B$68*($DE$128*$CX139)+'LINEST VARS'!$A$68*(0.5*$CX139)</f>
        <v>149</v>
      </c>
      <c r="DF139" s="46">
        <f>'LINEST VARS'!$U$68+'LINEST VARS'!$T$68*(8)+'LINEST VARS'!$S$68*(8)+'LINEST VARS'!$R$68*($DF$128)+'LINEST VARS'!$Q$68*(0.5)+'LINEST VARS'!$P$68*($CX139)+'LINEST VARS'!$O$68*(8^2)+'LINEST VARS'!$N$68*(8^2)+'LINEST VARS'!$M$68*($DF$128^2)+'LINEST VARS'!$L$68*(0.5^2)+'LINEST VARS'!$K$68*($CX139^2)+'LINEST VARS'!$J$68*(8*8)+'LINEST VARS'!$I$68*(8*$DF$128)+'LINEST VARS'!$H$68*(8*0.5)+'LINEST VARS'!$G$68*(8*$CX139)+'LINEST VARS'!$F$68*(8*$DF$128)+'LINEST VARS'!$E$68*(8*0.5)+'LINEST VARS'!$D$68*(8*$CX139)+'LINEST VARS'!$C$68*($DF$128*0.5)+'LINEST VARS'!$B$68*($DF$128*$CX139)+'LINEST VARS'!$A$68*(0.5*$CX139)</f>
        <v>149</v>
      </c>
      <c r="DG139" s="46">
        <f>'LINEST VARS'!$U$68+'LINEST VARS'!$T$68*(8)+'LINEST VARS'!$S$68*(8)+'LINEST VARS'!$R$68*($DG$128)+'LINEST VARS'!$Q$68*(0.5)+'LINEST VARS'!$P$68*($CX139)+'LINEST VARS'!$O$68*(8^2)+'LINEST VARS'!$N$68*(8^2)+'LINEST VARS'!$M$68*($DG$128^2)+'LINEST VARS'!$L$68*(0.5^2)+'LINEST VARS'!$K$68*($CX139^2)+'LINEST VARS'!$J$68*(8*8)+'LINEST VARS'!$I$68*(8*$DG$128)+'LINEST VARS'!$H$68*(8*0.5)+'LINEST VARS'!$G$68*(8*$CX139)+'LINEST VARS'!$F$68*(8*$DG$128)+'LINEST VARS'!$E$68*(8*0.5)+'LINEST VARS'!$D$68*(8*$CX139)+'LINEST VARS'!$C$68*($DG$128*0.5)+'LINEST VARS'!$B$68*($DG$128*$CX139)+'LINEST VARS'!$A$68*(0.5*$CX139)</f>
        <v>149</v>
      </c>
      <c r="DH139" s="46">
        <f>'LINEST VARS'!$U$68+'LINEST VARS'!$T$68*(8)+'LINEST VARS'!$S$68*(8)+'LINEST VARS'!$R$68*($DH$128)+'LINEST VARS'!$Q$68*(0.5)+'LINEST VARS'!$P$68*($CX139)+'LINEST VARS'!$O$68*(8^2)+'LINEST VARS'!$N$68*(8^2)+'LINEST VARS'!$M$68*($DH$128^2)+'LINEST VARS'!$L$68*(0.5^2)+'LINEST VARS'!$K$68*($CX139^2)+'LINEST VARS'!$J$68*(8*8)+'LINEST VARS'!$I$68*(8*$DH$128)+'LINEST VARS'!$H$68*(8*0.5)+'LINEST VARS'!$G$68*(8*$CX139)+'LINEST VARS'!$F$68*(8*$DH$128)+'LINEST VARS'!$E$68*(8*0.5)+'LINEST VARS'!$D$68*(8*$CX139)+'LINEST VARS'!$C$68*($DH$128*0.5)+'LINEST VARS'!$B$68*($DH$128*$CX139)+'LINEST VARS'!$A$68*(0.5*$CX139)</f>
        <v>149</v>
      </c>
      <c r="DI139" s="46">
        <f>'LINEST VARS'!$U$68+'LINEST VARS'!$T$68*(8)+'LINEST VARS'!$S$68*(8)+'LINEST VARS'!$R$68*($DI$128)+'LINEST VARS'!$Q$68*(0.5)+'LINEST VARS'!$P$68*($CX139)+'LINEST VARS'!$O$68*(8^2)+'LINEST VARS'!$N$68*(8^2)+'LINEST VARS'!$M$68*($DI$128^2)+'LINEST VARS'!$L$68*(0.5^2)+'LINEST VARS'!$K$68*($CX139^2)+'LINEST VARS'!$J$68*(8*8)+'LINEST VARS'!$I$68*(8*$DI$128)+'LINEST VARS'!$H$68*(8*0.5)+'LINEST VARS'!$G$68*(8*$CX139)+'LINEST VARS'!$F$68*(8*$DI$128)+'LINEST VARS'!$E$68*(8*0.5)+'LINEST VARS'!$D$68*(8*$CX139)+'LINEST VARS'!$C$68*($DI$128*0.5)+'LINEST VARS'!$B$68*($DI$128*$CX139)+'LINEST VARS'!$A$68*(0.5*$CX139)</f>
        <v>149</v>
      </c>
      <c r="DJ139" s="46">
        <f>'LINEST VARS'!$U$68+'LINEST VARS'!$T$68*(8)+'LINEST VARS'!$S$68*(8)+'LINEST VARS'!$R$68*($DJ$128)+'LINEST VARS'!$Q$68*(0.5)+'LINEST VARS'!$P$68*($CX139)+'LINEST VARS'!$O$68*(8^2)+'LINEST VARS'!$N$68*(8^2)+'LINEST VARS'!$M$68*($DJ$128^2)+'LINEST VARS'!$L$68*(0.5^2)+'LINEST VARS'!$K$68*($CX139^2)+'LINEST VARS'!$J$68*(8*8)+'LINEST VARS'!$I$68*(8*$DJ$128)+'LINEST VARS'!$H$68*(8*0.5)+'LINEST VARS'!$G$68*(8*$CX139)+'LINEST VARS'!$F$68*(8*$DJ$128)+'LINEST VARS'!$E$68*(8*0.5)+'LINEST VARS'!$D$68*(8*$CX139)+'LINEST VARS'!$C$68*($DJ$128*0.5)+'LINEST VARS'!$B$68*($DJ$128*$CX139)+'LINEST VARS'!$A$68*(0.5*$CX139)</f>
        <v>149</v>
      </c>
      <c r="DK139" s="46">
        <f>'LINEST VARS'!$U$68+'LINEST VARS'!$T$68*(8)+'LINEST VARS'!$S$68*(8)+'LINEST VARS'!$R$68*($DK$128)+'LINEST VARS'!$Q$68*(0.5)+'LINEST VARS'!$P$68*($CX139)+'LINEST VARS'!$O$68*(8^2)+'LINEST VARS'!$N$68*(8^2)+'LINEST VARS'!$M$68*($DK$128^2)+'LINEST VARS'!$L$68*(0.5^2)+'LINEST VARS'!$K$68*($CX139^2)+'LINEST VARS'!$J$68*(8*8)+'LINEST VARS'!$I$68*(8*$DK$128)+'LINEST VARS'!$H$68*(8*0.5)+'LINEST VARS'!$G$68*(8*$CX139)+'LINEST VARS'!$F$68*(8*$DK$128)+'LINEST VARS'!$E$68*(8*0.5)+'LINEST VARS'!$D$68*(8*$CX139)+'LINEST VARS'!$C$68*($DK$128*0.5)+'LINEST VARS'!$B$68*($DK$128*$CX139)+'LINEST VARS'!$A$68*(0.5*$CX139)</f>
        <v>149</v>
      </c>
      <c r="DL139" s="46">
        <f>'LINEST VARS'!$U$68+'LINEST VARS'!$T$68*(8)+'LINEST VARS'!$S$68*(8)+'LINEST VARS'!$R$68*($DL$128)+'LINEST VARS'!$Q$68*(0.5)+'LINEST VARS'!$P$68*($CX139)+'LINEST VARS'!$O$68*(8^2)+'LINEST VARS'!$N$68*(8^2)+'LINEST VARS'!$M$68*($DL$128^2)+'LINEST VARS'!$L$68*(0.5^2)+'LINEST VARS'!$K$68*($CX139^2)+'LINEST VARS'!$J$68*(8*8)+'LINEST VARS'!$I$68*(8*$DL$128)+'LINEST VARS'!$H$68*(8*0.5)+'LINEST VARS'!$G$68*(8*$CX139)+'LINEST VARS'!$F$68*(8*$DL$128)+'LINEST VARS'!$E$68*(8*0.5)+'LINEST VARS'!$D$68*(8*$CX139)+'LINEST VARS'!$C$68*($DL$128*0.5)+'LINEST VARS'!$B$68*($DL$128*$CX139)+'LINEST VARS'!$A$68*(0.5*$CX139)</f>
        <v>149</v>
      </c>
      <c r="DM139" s="46">
        <f>'LINEST VARS'!$U$68+'LINEST VARS'!$T$68*(8)+'LINEST VARS'!$S$68*(8)+'LINEST VARS'!$R$68*($DM$128)+'LINEST VARS'!$Q$68*(0.5)+'LINEST VARS'!$P$68*($CX139)+'LINEST VARS'!$O$68*(8^2)+'LINEST VARS'!$N$68*(8^2)+'LINEST VARS'!$M$68*($DM$128^2)+'LINEST VARS'!$L$68*(0.5^2)+'LINEST VARS'!$K$68*($CX139^2)+'LINEST VARS'!$J$68*(8*8)+'LINEST VARS'!$I$68*(8*$DM$128)+'LINEST VARS'!$H$68*(8*0.5)+'LINEST VARS'!$G$68*(8*$CX139)+'LINEST VARS'!$F$68*(8*$DM$128)+'LINEST VARS'!$E$68*(8*0.5)+'LINEST VARS'!$D$68*(8*$CX139)+'LINEST VARS'!$C$68*($DM$128*0.5)+'LINEST VARS'!$B$68*($DM$128*$CX139)+'LINEST VARS'!$A$68*(0.5*$CX139)</f>
        <v>149</v>
      </c>
      <c r="DN139" s="46">
        <f>'LINEST VARS'!$U$68+'LINEST VARS'!$T$68*(8)+'LINEST VARS'!$S$68*(8)+'LINEST VARS'!$R$68*($DN$128)+'LINEST VARS'!$Q$68*(0.5)+'LINEST VARS'!$P$68*($CX139)+'LINEST VARS'!$O$68*(8^2)+'LINEST VARS'!$N$68*(8^2)+'LINEST VARS'!$M$68*($DN$128^2)+'LINEST VARS'!$L$68*(0.5^2)+'LINEST VARS'!$K$68*($CX139^2)+'LINEST VARS'!$J$68*(8*8)+'LINEST VARS'!$I$68*(8*$DN$128)+'LINEST VARS'!$H$68*(8*0.5)+'LINEST VARS'!$G$68*(8*$CX139)+'LINEST VARS'!$F$68*(8*$DN$128)+'LINEST VARS'!$E$68*(8*0.5)+'LINEST VARS'!$D$68*(8*$CX139)+'LINEST VARS'!$C$68*($DN$128*0.5)+'LINEST VARS'!$B$68*($DN$128*$CX139)+'LINEST VARS'!$A$68*(0.5*$CX139)</f>
        <v>149</v>
      </c>
      <c r="DO139" s="46">
        <f>'LINEST VARS'!$U$68+'LINEST VARS'!$T$68*(8)+'LINEST VARS'!$S$68*(8)+'LINEST VARS'!$R$68*($DO$128)+'LINEST VARS'!$Q$68*(0.5)+'LINEST VARS'!$P$68*($CX139)+'LINEST VARS'!$O$68*(8^2)+'LINEST VARS'!$N$68*(8^2)+'LINEST VARS'!$M$68*($DO$128^2)+'LINEST VARS'!$L$68*(0.5^2)+'LINEST VARS'!$K$68*($CX139^2)+'LINEST VARS'!$J$68*(8*8)+'LINEST VARS'!$I$68*(8*$DO$128)+'LINEST VARS'!$H$68*(8*0.5)+'LINEST VARS'!$G$68*(8*$CX139)+'LINEST VARS'!$F$68*(8*$DO$128)+'LINEST VARS'!$E$68*(8*0.5)+'LINEST VARS'!$D$68*(8*$CX139)+'LINEST VARS'!$C$68*($DO$128*0.5)+'LINEST VARS'!$B$68*($DO$128*$CX139)+'LINEST VARS'!$A$68*(0.5*$CX139)</f>
        <v>149</v>
      </c>
      <c r="DP139" s="46">
        <f>'LINEST VARS'!$U$68+'LINEST VARS'!$T$68*(8)+'LINEST VARS'!$S$68*(8)+'LINEST VARS'!$R$68*($DP$128)+'LINEST VARS'!$Q$68*(0.5)+'LINEST VARS'!$P$68*($CX139)+'LINEST VARS'!$O$68*(8^2)+'LINEST VARS'!$N$68*(8^2)+'LINEST VARS'!$M$68*($DP$128^2)+'LINEST VARS'!$L$68*(0.5^2)+'LINEST VARS'!$K$68*($CX139^2)+'LINEST VARS'!$J$68*(8*8)+'LINEST VARS'!$I$68*(8*$DP$128)+'LINEST VARS'!$H$68*(8*0.5)+'LINEST VARS'!$G$68*(8*$CX139)+'LINEST VARS'!$F$68*(8*$DP$128)+'LINEST VARS'!$E$68*(8*0.5)+'LINEST VARS'!$D$68*(8*$CX139)+'LINEST VARS'!$C$68*($DP$128*0.5)+'LINEST VARS'!$B$68*($DP$128*$CX139)+'LINEST VARS'!$A$68*(0.5*$CX139)</f>
        <v>149</v>
      </c>
      <c r="DQ139" s="46">
        <f>'LINEST VARS'!$U$68+'LINEST VARS'!$T$68*(8)+'LINEST VARS'!$S$68*(8)+'LINEST VARS'!$R$68*($DQ$128)+'LINEST VARS'!$Q$68*(0.5)+'LINEST VARS'!$P$68*($CX139)+'LINEST VARS'!$O$68*(8^2)+'LINEST VARS'!$N$68*(8^2)+'LINEST VARS'!$M$68*($DQ$128^2)+'LINEST VARS'!$L$68*(0.5^2)+'LINEST VARS'!$K$68*($CX139^2)+'LINEST VARS'!$J$68*(8*8)+'LINEST VARS'!$I$68*(8*$DQ$128)+'LINEST VARS'!$H$68*(8*0.5)+'LINEST VARS'!$G$68*(8*$CX139)+'LINEST VARS'!$F$68*(8*$DQ$128)+'LINEST VARS'!$E$68*(8*0.5)+'LINEST VARS'!$D$68*(8*$CX139)+'LINEST VARS'!$C$68*($DQ$128*0.5)+'LINEST VARS'!$B$68*($DQ$128*$CX139)+'LINEST VARS'!$A$68*(0.5*$CX139)</f>
        <v>149</v>
      </c>
      <c r="DR139" s="46">
        <f>'LINEST VARS'!$U$68+'LINEST VARS'!$T$68*(8)+'LINEST VARS'!$S$68*(8)+'LINEST VARS'!$R$68*($DR$128)+'LINEST VARS'!$Q$68*(0.5)+'LINEST VARS'!$P$68*($CX139)+'LINEST VARS'!$O$68*(8^2)+'LINEST VARS'!$N$68*(8^2)+'LINEST VARS'!$M$68*($DR$128^2)+'LINEST VARS'!$L$68*(0.5^2)+'LINEST VARS'!$K$68*($CX139^2)+'LINEST VARS'!$J$68*(8*8)+'LINEST VARS'!$I$68*(8*$DR$128)+'LINEST VARS'!$H$68*(8*0.5)+'LINEST VARS'!$G$68*(8*$CX139)+'LINEST VARS'!$F$68*(8*$DR$128)+'LINEST VARS'!$E$68*(8*0.5)+'LINEST VARS'!$D$68*(8*$CX139)+'LINEST VARS'!$C$68*($DR$128*0.5)+'LINEST VARS'!$B$68*($DR$128*$CX139)+'LINEST VARS'!$A$68*(0.5*$CX139)</f>
        <v>149</v>
      </c>
      <c r="DS139" s="47">
        <f>'LINEST VARS'!$U$68+'LINEST VARS'!$T$68*(8)+'LINEST VARS'!$S$68*(8)+'LINEST VARS'!$R$68*($DS$128)+'LINEST VARS'!$Q$68*(0.5)+'LINEST VARS'!$P$68*($CX139)+'LINEST VARS'!$O$68*(8^2)+'LINEST VARS'!$N$68*(8^2)+'LINEST VARS'!$M$68*($DS$128^2)+'LINEST VARS'!$L$68*(0.5^2)+'LINEST VARS'!$K$68*($CX139^2)+'LINEST VARS'!$J$68*(8*8)+'LINEST VARS'!$I$68*(8*$DS$128)+'LINEST VARS'!$H$68*(8*0.5)+'LINEST VARS'!$G$68*(8*$CX139)+'LINEST VARS'!$F$68*(8*$DS$128)+'LINEST VARS'!$E$68*(8*0.5)+'LINEST VARS'!$D$68*(8*$CX139)+'LINEST VARS'!$C$68*($DS$128*0.5)+'LINEST VARS'!$B$68*($DS$128*$CX139)+'LINEST VARS'!$A$68*(0.5*$CX139)</f>
        <v>149</v>
      </c>
      <c r="DV139" s="45">
        <v>12.994999999999999</v>
      </c>
      <c r="DW139" s="46">
        <f>'LINEST VARS'!$U$70+'LINEST VARS'!$T$70*(8)+'LINEST VARS'!$S$70*(8)+'LINEST VARS'!$R$70*($DW$128)+'LINEST VARS'!$Q$70*(0.5)+'LINEST VARS'!$P$70*($DV139)+'LINEST VARS'!$O$70*(8^2)+'LINEST VARS'!$N$70*(8^2)+'LINEST VARS'!$M$70*($DW$128^2)+'LINEST VARS'!$L$70*(0.5^2)+'LINEST VARS'!$K$70*($DV139^2)+'LINEST VARS'!$J$70*(8*8)+'LINEST VARS'!$I$70*(8*$DW$128)+'LINEST VARS'!$H$70*(8*0.5)+'LINEST VARS'!$G$70*(8*$DV139)+'LINEST VARS'!$F$70*(8*$DW$128)+'LINEST VARS'!$E$70*(8*0.5)+'LINEST VARS'!$D$70*(8*$DV139)+'LINEST VARS'!$C$70*($DW$128*0.5)+'LINEST VARS'!$B$70*($DW$128*$DV139)+'LINEST VARS'!$A$70*(0.5*$DV139)</f>
        <v>92.000000000000014</v>
      </c>
      <c r="DX139" s="46">
        <f>'LINEST VARS'!$U$70+'LINEST VARS'!$T$70*(8)+'LINEST VARS'!$S$70*(8)+'LINEST VARS'!$R$70*($DX$128)+'LINEST VARS'!$Q$70*(0.5)+'LINEST VARS'!$P$70*($DV139)+'LINEST VARS'!$O$70*(8^2)+'LINEST VARS'!$N$70*(8^2)+'LINEST VARS'!$M$70*($DX$128^2)+'LINEST VARS'!$L$70*(0.5^2)+'LINEST VARS'!$K$70*($DV139^2)+'LINEST VARS'!$J$70*(8*8)+'LINEST VARS'!$I$70*(8*$DX$128)+'LINEST VARS'!$H$70*(8*0.5)+'LINEST VARS'!$G$70*(8*$DV139)+'LINEST VARS'!$F$70*(8*$DX$128)+'LINEST VARS'!$E$70*(8*0.5)+'LINEST VARS'!$D$70*(8*$DV139)+'LINEST VARS'!$C$70*($DX$128*0.5)+'LINEST VARS'!$B$70*($DX$128*$DV139)+'LINEST VARS'!$A$70*(0.5*$DV139)</f>
        <v>91.600000000000009</v>
      </c>
      <c r="DY139" s="46">
        <f>'LINEST VARS'!$U$70+'LINEST VARS'!$T$70*(8)+'LINEST VARS'!$S$70*(8)+'LINEST VARS'!$R$70*($DY$128)+'LINEST VARS'!$Q$70*(0.5)+'LINEST VARS'!$P$70*($DV139)+'LINEST VARS'!$O$70*(8^2)+'LINEST VARS'!$N$70*(8^2)+'LINEST VARS'!$M$70*($DY$128^2)+'LINEST VARS'!$L$70*(0.5^2)+'LINEST VARS'!$K$70*($DV139^2)+'LINEST VARS'!$J$70*(8*8)+'LINEST VARS'!$I$70*(8*$DY$128)+'LINEST VARS'!$H$70*(8*0.5)+'LINEST VARS'!$G$70*(8*$DV139)+'LINEST VARS'!$F$70*(8*$DY$128)+'LINEST VARS'!$E$70*(8*0.5)+'LINEST VARS'!$D$70*(8*$DV139)+'LINEST VARS'!$C$70*($DY$128*0.5)+'LINEST VARS'!$B$70*($DY$128*$DV139)+'LINEST VARS'!$A$70*(0.5*$DV139)</f>
        <v>91.200000000000017</v>
      </c>
      <c r="DZ139" s="46">
        <f>'LINEST VARS'!$U$70+'LINEST VARS'!$T$70*(8)+'LINEST VARS'!$S$70*(8)+'LINEST VARS'!$R$70*($DZ$128)+'LINEST VARS'!$Q$70*(0.5)+'LINEST VARS'!$P$70*($DV139)+'LINEST VARS'!$O$70*(8^2)+'LINEST VARS'!$N$70*(8^2)+'LINEST VARS'!$M$70*($DZ$128^2)+'LINEST VARS'!$L$70*(0.5^2)+'LINEST VARS'!$K$70*($DV139^2)+'LINEST VARS'!$J$70*(8*8)+'LINEST VARS'!$I$70*(8*$DZ$128)+'LINEST VARS'!$H$70*(8*0.5)+'LINEST VARS'!$G$70*(8*$DV139)+'LINEST VARS'!$F$70*(8*$DZ$128)+'LINEST VARS'!$E$70*(8*0.5)+'LINEST VARS'!$D$70*(8*$DV139)+'LINEST VARS'!$C$70*($DZ$128*0.5)+'LINEST VARS'!$B$70*($DZ$128*$DV139)+'LINEST VARS'!$A$70*(0.5*$DV139)</f>
        <v>90.800000000000011</v>
      </c>
      <c r="EA139" s="46">
        <f>'LINEST VARS'!$U$70+'LINEST VARS'!$T$70*(8)+'LINEST VARS'!$S$70*(8)+'LINEST VARS'!$R$70*($EA$128)+'LINEST VARS'!$Q$70*(0.5)+'LINEST VARS'!$P$70*($DV139)+'LINEST VARS'!$O$70*(8^2)+'LINEST VARS'!$N$70*(8^2)+'LINEST VARS'!$M$70*($EA$128^2)+'LINEST VARS'!$L$70*(0.5^2)+'LINEST VARS'!$K$70*($DV139^2)+'LINEST VARS'!$J$70*(8*8)+'LINEST VARS'!$I$70*(8*$EA$128)+'LINEST VARS'!$H$70*(8*0.5)+'LINEST VARS'!$G$70*(8*$DV139)+'LINEST VARS'!$F$70*(8*$EA$128)+'LINEST VARS'!$E$70*(8*0.5)+'LINEST VARS'!$D$70*(8*$DV139)+'LINEST VARS'!$C$70*($EA$128*0.5)+'LINEST VARS'!$B$70*($EA$128*$DV139)+'LINEST VARS'!$A$70*(0.5*$DV139)</f>
        <v>90.40000000000002</v>
      </c>
      <c r="EB139" s="46">
        <f>'LINEST VARS'!$U$70+'LINEST VARS'!$T$70*(8)+'LINEST VARS'!$S$70*(8)+'LINEST VARS'!$R$70*($EB$128)+'LINEST VARS'!$Q$70*(0.5)+'LINEST VARS'!$P$70*($DV139)+'LINEST VARS'!$O$70*(8^2)+'LINEST VARS'!$N$70*(8^2)+'LINEST VARS'!$M$70*($EB$128^2)+'LINEST VARS'!$L$70*(0.5^2)+'LINEST VARS'!$K$70*($DV139^2)+'LINEST VARS'!$J$70*(8*8)+'LINEST VARS'!$I$70*(8*$EB$128)+'LINEST VARS'!$H$70*(8*0.5)+'LINEST VARS'!$G$70*(8*$DV139)+'LINEST VARS'!$F$70*(8*$EB$128)+'LINEST VARS'!$E$70*(8*0.5)+'LINEST VARS'!$D$70*(8*$DV139)+'LINEST VARS'!$C$70*($EB$128*0.5)+'LINEST VARS'!$B$70*($EB$128*$DV139)+'LINEST VARS'!$A$70*(0.5*$DV139)</f>
        <v>90.000000000000014</v>
      </c>
      <c r="EC139" s="46">
        <f>'LINEST VARS'!$U$70+'LINEST VARS'!$T$70*(8)+'LINEST VARS'!$S$70*(8)+'LINEST VARS'!$R$70*($EC$128)+'LINEST VARS'!$Q$70*(0.5)+'LINEST VARS'!$P$70*($DV139)+'LINEST VARS'!$O$70*(8^2)+'LINEST VARS'!$N$70*(8^2)+'LINEST VARS'!$M$70*($EC$128^2)+'LINEST VARS'!$L$70*(0.5^2)+'LINEST VARS'!$K$70*($DV139^2)+'LINEST VARS'!$J$70*(8*8)+'LINEST VARS'!$I$70*(8*$EC$128)+'LINEST VARS'!$H$70*(8*0.5)+'LINEST VARS'!$G$70*(8*$DV139)+'LINEST VARS'!$F$70*(8*$EC$128)+'LINEST VARS'!$E$70*(8*0.5)+'LINEST VARS'!$D$70*(8*$DV139)+'LINEST VARS'!$C$70*($EC$128*0.5)+'LINEST VARS'!$B$70*($EC$128*$DV139)+'LINEST VARS'!$A$70*(0.5*$DV139)</f>
        <v>89.600000000000023</v>
      </c>
      <c r="ED139" s="46">
        <f>'LINEST VARS'!$U$70+'LINEST VARS'!$T$70*(8)+'LINEST VARS'!$S$70*(8)+'LINEST VARS'!$R$70*($ED$128)+'LINEST VARS'!$Q$70*(0.5)+'LINEST VARS'!$P$70*($DV139)+'LINEST VARS'!$O$70*(8^2)+'LINEST VARS'!$N$70*(8^2)+'LINEST VARS'!$M$70*($ED$128^2)+'LINEST VARS'!$L$70*(0.5^2)+'LINEST VARS'!$K$70*($DV139^2)+'LINEST VARS'!$J$70*(8*8)+'LINEST VARS'!$I$70*(8*$ED$128)+'LINEST VARS'!$H$70*(8*0.5)+'LINEST VARS'!$G$70*(8*$DV139)+'LINEST VARS'!$F$70*(8*$ED$128)+'LINEST VARS'!$E$70*(8*0.5)+'LINEST VARS'!$D$70*(8*$DV139)+'LINEST VARS'!$C$70*($ED$128*0.5)+'LINEST VARS'!$B$70*($ED$128*$DV139)+'LINEST VARS'!$A$70*(0.5*$DV139)</f>
        <v>89.200000000000017</v>
      </c>
      <c r="EE139" s="46">
        <f>'LINEST VARS'!$U$70+'LINEST VARS'!$T$70*(8)+'LINEST VARS'!$S$70*(8)+'LINEST VARS'!$R$70*($EE$128)+'LINEST VARS'!$Q$70*(0.5)+'LINEST VARS'!$P$70*($DV139)+'LINEST VARS'!$O$70*(8^2)+'LINEST VARS'!$N$70*(8^2)+'LINEST VARS'!$M$70*($EE$128^2)+'LINEST VARS'!$L$70*(0.5^2)+'LINEST VARS'!$K$70*($DV139^2)+'LINEST VARS'!$J$70*(8*8)+'LINEST VARS'!$I$70*(8*$EE$128)+'LINEST VARS'!$H$70*(8*0.5)+'LINEST VARS'!$G$70*(8*$DV139)+'LINEST VARS'!$F$70*(8*$EE$128)+'LINEST VARS'!$E$70*(8*0.5)+'LINEST VARS'!$D$70*(8*$DV139)+'LINEST VARS'!$C$70*($EE$128*0.5)+'LINEST VARS'!$B$70*($EE$128*$DV139)+'LINEST VARS'!$A$70*(0.5*$DV139)</f>
        <v>88.800000000000026</v>
      </c>
      <c r="EF139" s="46">
        <f>'LINEST VARS'!$U$70+'LINEST VARS'!$T$70*(8)+'LINEST VARS'!$S$70*(8)+'LINEST VARS'!$R$70*($EF$128)+'LINEST VARS'!$Q$70*(0.5)+'LINEST VARS'!$P$70*($DV139)+'LINEST VARS'!$O$70*(8^2)+'LINEST VARS'!$N$70*(8^2)+'LINEST VARS'!$M$70*($EF$128^2)+'LINEST VARS'!$L$70*(0.5^2)+'LINEST VARS'!$K$70*($DV139^2)+'LINEST VARS'!$J$70*(8*8)+'LINEST VARS'!$I$70*(8*$EF$128)+'LINEST VARS'!$H$70*(8*0.5)+'LINEST VARS'!$G$70*(8*$DV139)+'LINEST VARS'!$F$70*(8*$EF$128)+'LINEST VARS'!$E$70*(8*0.5)+'LINEST VARS'!$D$70*(8*$DV139)+'LINEST VARS'!$C$70*($EF$128*0.5)+'LINEST VARS'!$B$70*($EF$128*$DV139)+'LINEST VARS'!$A$70*(0.5*$DV139)</f>
        <v>88.40000000000002</v>
      </c>
      <c r="EG139" s="46">
        <f>'LINEST VARS'!$U$70+'LINEST VARS'!$T$70*(8)+'LINEST VARS'!$S$70*(8)+'LINEST VARS'!$R$70*($EG$128)+'LINEST VARS'!$Q$70*(0.5)+'LINEST VARS'!$P$70*($DV139)+'LINEST VARS'!$O$70*(8^2)+'LINEST VARS'!$N$70*(8^2)+'LINEST VARS'!$M$70*($EG$128^2)+'LINEST VARS'!$L$70*(0.5^2)+'LINEST VARS'!$K$70*($DV139^2)+'LINEST VARS'!$J$70*(8*8)+'LINEST VARS'!$I$70*(8*$EG$128)+'LINEST VARS'!$H$70*(8*0.5)+'LINEST VARS'!$G$70*(8*$DV139)+'LINEST VARS'!$F$70*(8*$EG$128)+'LINEST VARS'!$E$70*(8*0.5)+'LINEST VARS'!$D$70*(8*$DV139)+'LINEST VARS'!$C$70*($EG$128*0.5)+'LINEST VARS'!$B$70*($EG$128*$DV139)+'LINEST VARS'!$A$70*(0.5*$DV139)</f>
        <v>88.000000000000014</v>
      </c>
      <c r="EH139" s="46">
        <f>'LINEST VARS'!$U$70+'LINEST VARS'!$T$70*(8)+'LINEST VARS'!$S$70*(8)+'LINEST VARS'!$R$70*($EH$128)+'LINEST VARS'!$Q$70*(0.5)+'LINEST VARS'!$P$70*($DV139)+'LINEST VARS'!$O$70*(8^2)+'LINEST VARS'!$N$70*(8^2)+'LINEST VARS'!$M$70*($EH$128^2)+'LINEST VARS'!$L$70*(0.5^2)+'LINEST VARS'!$K$70*($DV139^2)+'LINEST VARS'!$J$70*(8*8)+'LINEST VARS'!$I$70*(8*$EH$128)+'LINEST VARS'!$H$70*(8*0.5)+'LINEST VARS'!$G$70*(8*$DV139)+'LINEST VARS'!$F$70*(8*$EH$128)+'LINEST VARS'!$E$70*(8*0.5)+'LINEST VARS'!$D$70*(8*$DV139)+'LINEST VARS'!$C$70*($EH$128*0.5)+'LINEST VARS'!$B$70*($EH$128*$DV139)+'LINEST VARS'!$A$70*(0.5*$DV139)</f>
        <v>87.600000000000023</v>
      </c>
      <c r="EI139" s="46">
        <f>'LINEST VARS'!$U$70+'LINEST VARS'!$T$70*(8)+'LINEST VARS'!$S$70*(8)+'LINEST VARS'!$R$70*($EI$128)+'LINEST VARS'!$Q$70*(0.5)+'LINEST VARS'!$P$70*($DV139)+'LINEST VARS'!$O$70*(8^2)+'LINEST VARS'!$N$70*(8^2)+'LINEST VARS'!$M$70*($EI$128^2)+'LINEST VARS'!$L$70*(0.5^2)+'LINEST VARS'!$K$70*($DV139^2)+'LINEST VARS'!$J$70*(8*8)+'LINEST VARS'!$I$70*(8*$EI$128)+'LINEST VARS'!$H$70*(8*0.5)+'LINEST VARS'!$G$70*(8*$DV139)+'LINEST VARS'!$F$70*(8*$EI$128)+'LINEST VARS'!$E$70*(8*0.5)+'LINEST VARS'!$D$70*(8*$DV139)+'LINEST VARS'!$C$70*($EI$128*0.5)+'LINEST VARS'!$B$70*($EI$128*$DV139)+'LINEST VARS'!$A$70*(0.5*$DV139)</f>
        <v>87.200000000000017</v>
      </c>
      <c r="EJ139" s="46">
        <f>'LINEST VARS'!$U$70+'LINEST VARS'!$T$70*(8)+'LINEST VARS'!$S$70*(8)+'LINEST VARS'!$R$70*($EJ$128)+'LINEST VARS'!$Q$70*(0.5)+'LINEST VARS'!$P$70*($DV139)+'LINEST VARS'!$O$70*(8^2)+'LINEST VARS'!$N$70*(8^2)+'LINEST VARS'!$M$70*($EJ$128^2)+'LINEST VARS'!$L$70*(0.5^2)+'LINEST VARS'!$K$70*($DV139^2)+'LINEST VARS'!$J$70*(8*8)+'LINEST VARS'!$I$70*(8*$EJ$128)+'LINEST VARS'!$H$70*(8*0.5)+'LINEST VARS'!$G$70*(8*$DV139)+'LINEST VARS'!$F$70*(8*$EJ$128)+'LINEST VARS'!$E$70*(8*0.5)+'LINEST VARS'!$D$70*(8*$DV139)+'LINEST VARS'!$C$70*($EJ$128*0.5)+'LINEST VARS'!$B$70*($EJ$128*$DV139)+'LINEST VARS'!$A$70*(0.5*$DV139)</f>
        <v>86.800000000000026</v>
      </c>
      <c r="EK139" s="46">
        <f>'LINEST VARS'!$U$70+'LINEST VARS'!$T$70*(8)+'LINEST VARS'!$S$70*(8)+'LINEST VARS'!$R$70*($EK$128)+'LINEST VARS'!$Q$70*(0.5)+'LINEST VARS'!$P$70*($DV139)+'LINEST VARS'!$O$70*(8^2)+'LINEST VARS'!$N$70*(8^2)+'LINEST VARS'!$M$70*($EK$128^2)+'LINEST VARS'!$L$70*(0.5^2)+'LINEST VARS'!$K$70*($DV139^2)+'LINEST VARS'!$J$70*(8*8)+'LINEST VARS'!$I$70*(8*$EK$128)+'LINEST VARS'!$H$70*(8*0.5)+'LINEST VARS'!$G$70*(8*$DV139)+'LINEST VARS'!$F$70*(8*$EK$128)+'LINEST VARS'!$E$70*(8*0.5)+'LINEST VARS'!$D$70*(8*$DV139)+'LINEST VARS'!$C$70*($EK$128*0.5)+'LINEST VARS'!$B$70*($EK$128*$DV139)+'LINEST VARS'!$A$70*(0.5*$DV139)</f>
        <v>86.40000000000002</v>
      </c>
      <c r="EL139" s="46">
        <f>'LINEST VARS'!$U$70+'LINEST VARS'!$T$70*(8)+'LINEST VARS'!$S$70*(8)+'LINEST VARS'!$R$70*($EL$128)+'LINEST VARS'!$Q$70*(0.5)+'LINEST VARS'!$P$70*($DV139)+'LINEST VARS'!$O$70*(8^2)+'LINEST VARS'!$N$70*(8^2)+'LINEST VARS'!$M$70*($EL$128^2)+'LINEST VARS'!$L$70*(0.5^2)+'LINEST VARS'!$K$70*($DV139^2)+'LINEST VARS'!$J$70*(8*8)+'LINEST VARS'!$I$70*(8*$EL$128)+'LINEST VARS'!$H$70*(8*0.5)+'LINEST VARS'!$G$70*(8*$DV139)+'LINEST VARS'!$F$70*(8*$EL$128)+'LINEST VARS'!$E$70*(8*0.5)+'LINEST VARS'!$D$70*(8*$DV139)+'LINEST VARS'!$C$70*($EL$128*0.5)+'LINEST VARS'!$B$70*($EL$128*$DV139)+'LINEST VARS'!$A$70*(0.5*$DV139)</f>
        <v>86.000000000000014</v>
      </c>
      <c r="EM139" s="46">
        <f>'LINEST VARS'!$U$70+'LINEST VARS'!$T$70*(8)+'LINEST VARS'!$S$70*(8)+'LINEST VARS'!$R$70*($EM$128)+'LINEST VARS'!$Q$70*(0.5)+'LINEST VARS'!$P$70*($DV139)+'LINEST VARS'!$O$70*(8^2)+'LINEST VARS'!$N$70*(8^2)+'LINEST VARS'!$M$70*($EM$128^2)+'LINEST VARS'!$L$70*(0.5^2)+'LINEST VARS'!$K$70*($DV139^2)+'LINEST VARS'!$J$70*(8*8)+'LINEST VARS'!$I$70*(8*$EM$128)+'LINEST VARS'!$H$70*(8*0.5)+'LINEST VARS'!$G$70*(8*$DV139)+'LINEST VARS'!$F$70*(8*$EM$128)+'LINEST VARS'!$E$70*(8*0.5)+'LINEST VARS'!$D$70*(8*$DV139)+'LINEST VARS'!$C$70*($EM$128*0.5)+'LINEST VARS'!$B$70*($EM$128*$DV139)+'LINEST VARS'!$A$70*(0.5*$DV139)</f>
        <v>85.600000000000009</v>
      </c>
      <c r="EN139" s="46">
        <f>'LINEST VARS'!$U$70+'LINEST VARS'!$T$70*(8)+'LINEST VARS'!$S$70*(8)+'LINEST VARS'!$R$70*($EN$128)+'LINEST VARS'!$Q$70*(0.5)+'LINEST VARS'!$P$70*($DV139)+'LINEST VARS'!$O$70*(8^2)+'LINEST VARS'!$N$70*(8^2)+'LINEST VARS'!$M$70*($EN$128^2)+'LINEST VARS'!$L$70*(0.5^2)+'LINEST VARS'!$K$70*($DV139^2)+'LINEST VARS'!$J$70*(8*8)+'LINEST VARS'!$I$70*(8*$EN$128)+'LINEST VARS'!$H$70*(8*0.5)+'LINEST VARS'!$G$70*(8*$DV139)+'LINEST VARS'!$F$70*(8*$EN$128)+'LINEST VARS'!$E$70*(8*0.5)+'LINEST VARS'!$D$70*(8*$DV139)+'LINEST VARS'!$C$70*($EN$128*0.5)+'LINEST VARS'!$B$70*($EN$128*$DV139)+'LINEST VARS'!$A$70*(0.5*$DV139)</f>
        <v>85.200000000000017</v>
      </c>
      <c r="EO139" s="46">
        <f>'LINEST VARS'!$U$70+'LINEST VARS'!$T$70*(8)+'LINEST VARS'!$S$70*(8)+'LINEST VARS'!$R$70*($EO$128)+'LINEST VARS'!$Q$70*(0.5)+'LINEST VARS'!$P$70*($DV139)+'LINEST VARS'!$O$70*(8^2)+'LINEST VARS'!$N$70*(8^2)+'LINEST VARS'!$M$70*($EO$128^2)+'LINEST VARS'!$L$70*(0.5^2)+'LINEST VARS'!$K$70*($DV139^2)+'LINEST VARS'!$J$70*(8*8)+'LINEST VARS'!$I$70*(8*$EO$128)+'LINEST VARS'!$H$70*(8*0.5)+'LINEST VARS'!$G$70*(8*$DV139)+'LINEST VARS'!$F$70*(8*$EO$128)+'LINEST VARS'!$E$70*(8*0.5)+'LINEST VARS'!$D$70*(8*$DV139)+'LINEST VARS'!$C$70*($EO$128*0.5)+'LINEST VARS'!$B$70*($EO$128*$DV139)+'LINEST VARS'!$A$70*(0.5*$DV139)</f>
        <v>84.800000000000011</v>
      </c>
      <c r="EP139" s="46">
        <f>'LINEST VARS'!$U$70+'LINEST VARS'!$T$70*(8)+'LINEST VARS'!$S$70*(8)+'LINEST VARS'!$R$70*($EP$128)+'LINEST VARS'!$Q$70*(0.5)+'LINEST VARS'!$P$70*($DV139)+'LINEST VARS'!$O$70*(8^2)+'LINEST VARS'!$N$70*(8^2)+'LINEST VARS'!$M$70*($EP$128^2)+'LINEST VARS'!$L$70*(0.5^2)+'LINEST VARS'!$K$70*($DV139^2)+'LINEST VARS'!$J$70*(8*8)+'LINEST VARS'!$I$70*(8*$EP$128)+'LINEST VARS'!$H$70*(8*0.5)+'LINEST VARS'!$G$70*(8*$DV139)+'LINEST VARS'!$F$70*(8*$EP$128)+'LINEST VARS'!$E$70*(8*0.5)+'LINEST VARS'!$D$70*(8*$DV139)+'LINEST VARS'!$C$70*($EP$128*0.5)+'LINEST VARS'!$B$70*($EP$128*$DV139)+'LINEST VARS'!$A$70*(0.5*$DV139)</f>
        <v>84.400000000000034</v>
      </c>
      <c r="EQ139" s="47">
        <f>'LINEST VARS'!$U$70+'LINEST VARS'!$T$70*(8)+'LINEST VARS'!$S$70*(8)+'LINEST VARS'!$R$70*($EQ$128)+'LINEST VARS'!$Q$70*(0.5)+'LINEST VARS'!$P$70*($DV139)+'LINEST VARS'!$O$70*(8^2)+'LINEST VARS'!$N$70*(8^2)+'LINEST VARS'!$M$70*($EQ$128^2)+'LINEST VARS'!$L$70*(0.5^2)+'LINEST VARS'!$K$70*($DV139^2)+'LINEST VARS'!$J$70*(8*8)+'LINEST VARS'!$I$70*(8*$EQ$128)+'LINEST VARS'!$H$70*(8*0.5)+'LINEST VARS'!$G$70*(8*$DV139)+'LINEST VARS'!$F$70*(8*$EQ$128)+'LINEST VARS'!$E$70*(8*0.5)+'LINEST VARS'!$D$70*(8*$DV139)+'LINEST VARS'!$C$70*($EQ$128*0.5)+'LINEST VARS'!$B$70*($EQ$128*$DV139)+'LINEST VARS'!$A$70*(0.5*$DV139)</f>
        <v>84.000000000000028</v>
      </c>
    </row>
    <row r="140" spans="2:147" ht="15" customHeight="1" x14ac:dyDescent="0.25">
      <c r="B140" s="45">
        <v>8.06</v>
      </c>
      <c r="C140" s="46">
        <f>'LINEST VARS'!$U$68+'LINEST VARS'!$T$68*($C$128)+'LINEST VARS'!$S$68*($B140)+'LINEST VARS'!$R$68*(4)+'LINEST VARS'!$Q$68*(0.5)+'LINEST VARS'!$P$68*(12.73)+'LINEST VARS'!$O$68*($C$128^2)+'LINEST VARS'!$N$68*($B140^2)+'LINEST VARS'!$M$68*(4^2)+'LINEST VARS'!$L$68*(0.5^2)+'LINEST VARS'!$K$68*(12.73^2)+'LINEST VARS'!$J$68*($C$128*$B140)+'LINEST VARS'!$I$68*($C$128*4)+'LINEST VARS'!$H$68*($C$128*0.5)+'LINEST VARS'!$G$68*($C$128*12.73)+'LINEST VARS'!$F$68*($B140*4)+'LINEST VARS'!$E$68*($B140*0.5)+'LINEST VARS'!$D$68*($B140*12.73)+'LINEST VARS'!$C$68*(4*0.5)+'LINEST VARS'!$B$68*(4*12.73)+'LINEST VARS'!$A$68*(0.5*12.73)</f>
        <v>149</v>
      </c>
      <c r="D140" s="46">
        <f>'LINEST VARS'!$U$68+'LINEST VARS'!$T$68*($D$128)+'LINEST VARS'!$S$68*($B140)+'LINEST VARS'!$R$68*(4)+'LINEST VARS'!$Q$68*(0.5)+'LINEST VARS'!$P$68*(12.73)+'LINEST VARS'!$O$68*($D$128^2)+'LINEST VARS'!$N$68*($B140^2)+'LINEST VARS'!$M$68*(4^2)+'LINEST VARS'!$L$68*(0.5^2)+'LINEST VARS'!$K$68*(12.73^2)+'LINEST VARS'!$J$68*($D$128*$B140)+'LINEST VARS'!$I$68*($D$128*4)+'LINEST VARS'!$H$68*($D$128*0.5)+'LINEST VARS'!$G$68*($D$128*12.73)+'LINEST VARS'!$F$68*($B140*4)+'LINEST VARS'!$E$68*($B140*0.5)+'LINEST VARS'!$D$68*($B140*12.73)+'LINEST VARS'!$C$68*(4*0.5)+'LINEST VARS'!$B$68*(4*12.73)+'LINEST VARS'!$A$68*(0.5*12.73)</f>
        <v>149</v>
      </c>
      <c r="E140" s="46">
        <f>'LINEST VARS'!$U$68+'LINEST VARS'!$T$68*($E$128)+'LINEST VARS'!$S$68*($B140)+'LINEST VARS'!$R$68*(4)+'LINEST VARS'!$Q$68*(0.5)+'LINEST VARS'!$P$68*(12.73)+'LINEST VARS'!$O$68*($E$128^2)+'LINEST VARS'!$N$68*($B140^2)+'LINEST VARS'!$M$68*(4^2)+'LINEST VARS'!$L$68*(0.5^2)+'LINEST VARS'!$K$68*(12.73^2)+'LINEST VARS'!$J$68*($E$128*$B140)+'LINEST VARS'!$I$68*($E$128*4)+'LINEST VARS'!$H$68*($E$128*0.5)+'LINEST VARS'!$G$68*($E$128*12.73)+'LINEST VARS'!$F$68*($B140*4)+'LINEST VARS'!$E$68*($B140*0.5)+'LINEST VARS'!$D$68*($B140*12.73)+'LINEST VARS'!$C$68*(4*0.5)+'LINEST VARS'!$B$68*(4*12.73)+'LINEST VARS'!$A$68*(0.5*12.73)</f>
        <v>149</v>
      </c>
      <c r="F140" s="46">
        <f>'LINEST VARS'!$U$68+'LINEST VARS'!$T$68*($F$128)+'LINEST VARS'!$S$68*($B140)+'LINEST VARS'!$R$68*(4)+'LINEST VARS'!$Q$68*(0.5)+'LINEST VARS'!$P$68*(12.73)+'LINEST VARS'!$O$68*($F$128^2)+'LINEST VARS'!$N$68*($B140^2)+'LINEST VARS'!$M$68*(4^2)+'LINEST VARS'!$L$68*(0.5^2)+'LINEST VARS'!$K$68*(12.73^2)+'LINEST VARS'!$J$68*($F$128*$B140)+'LINEST VARS'!$I$68*($F$128*4)+'LINEST VARS'!$H$68*($F$128*0.5)+'LINEST VARS'!$G$68*($F$128*12.73)+'LINEST VARS'!$F$68*($B140*4)+'LINEST VARS'!$E$68*($B140*0.5)+'LINEST VARS'!$D$68*($B140*12.73)+'LINEST VARS'!$C$68*(4*0.5)+'LINEST VARS'!$B$68*(4*12.73)+'LINEST VARS'!$A$68*(0.5*12.73)</f>
        <v>149</v>
      </c>
      <c r="G140" s="46">
        <f>'LINEST VARS'!$U$68+'LINEST VARS'!$T$68*($G$128)+'LINEST VARS'!$S$68*($B140)+'LINEST VARS'!$R$68*(4)+'LINEST VARS'!$Q$68*(0.5)+'LINEST VARS'!$P$68*(12.73)+'LINEST VARS'!$O$68*($G$128^2)+'LINEST VARS'!$N$68*($B140^2)+'LINEST VARS'!$M$68*(4^2)+'LINEST VARS'!$L$68*(0.5^2)+'LINEST VARS'!$K$68*(12.73^2)+'LINEST VARS'!$J$68*($G$128*$B140)+'LINEST VARS'!$I$68*($G$128*4)+'LINEST VARS'!$H$68*($G$128*0.5)+'LINEST VARS'!$G$68*($G$128*12.73)+'LINEST VARS'!$F$68*($B140*4)+'LINEST VARS'!$E$68*($B140*0.5)+'LINEST VARS'!$D$68*($B140*12.73)+'LINEST VARS'!$C$68*(4*0.5)+'LINEST VARS'!$B$68*(4*12.73)+'LINEST VARS'!$A$68*(0.5*12.73)</f>
        <v>149</v>
      </c>
      <c r="H140" s="46">
        <f>'LINEST VARS'!$U$68+'LINEST VARS'!$T$68*($H$128)+'LINEST VARS'!$S$68*($B140)+'LINEST VARS'!$R$68*(4)+'LINEST VARS'!$Q$68*(0.5)+'LINEST VARS'!$P$68*(12.73)+'LINEST VARS'!$O$68*($H$128^2)+'LINEST VARS'!$N$68*($B140^2)+'LINEST VARS'!$M$68*(4^2)+'LINEST VARS'!$L$68*(0.5^2)+'LINEST VARS'!$K$68*(12.73^2)+'LINEST VARS'!$J$68*($H$128*$B140)+'LINEST VARS'!$I$68*($H$128*4)+'LINEST VARS'!$H$68*($H$128*0.5)+'LINEST VARS'!$G$68*($H$128*12.73)+'LINEST VARS'!$F$68*($B140*4)+'LINEST VARS'!$E$68*($B140*0.5)+'LINEST VARS'!$D$68*($B140*12.73)+'LINEST VARS'!$C$68*(4*0.5)+'LINEST VARS'!$B$68*(4*12.73)+'LINEST VARS'!$A$68*(0.5*12.73)</f>
        <v>149</v>
      </c>
      <c r="I140" s="46">
        <f>'LINEST VARS'!$U$68+'LINEST VARS'!$T$68*($I$128)+'LINEST VARS'!$S$68*($B140)+'LINEST VARS'!$R$68*(4)+'LINEST VARS'!$Q$68*(0.5)+'LINEST VARS'!$P$68*(12.73)+'LINEST VARS'!$O$68*($I$128^2)+'LINEST VARS'!$N$68*($B140^2)+'LINEST VARS'!$M$68*(4^2)+'LINEST VARS'!$L$68*(0.5^2)+'LINEST VARS'!$K$68*(12.73^2)+'LINEST VARS'!$J$68*($I$128*$B140)+'LINEST VARS'!$I$68*($I$128*4)+'LINEST VARS'!$H$68*($I$128*0.5)+'LINEST VARS'!$G$68*($I$128*12.73)+'LINEST VARS'!$F$68*($B140*4)+'LINEST VARS'!$E$68*($B140*0.5)+'LINEST VARS'!$D$68*($B140*12.73)+'LINEST VARS'!$C$68*(4*0.5)+'LINEST VARS'!$B$68*(4*12.73)+'LINEST VARS'!$A$68*(0.5*12.73)</f>
        <v>149</v>
      </c>
      <c r="J140" s="46">
        <f>'LINEST VARS'!$U$68+'LINEST VARS'!$T$68*($J$128)+'LINEST VARS'!$S$68*($B140)+'LINEST VARS'!$R$68*(4)+'LINEST VARS'!$Q$68*(0.5)+'LINEST VARS'!$P$68*(12.73)+'LINEST VARS'!$O$68*($J$128^2)+'LINEST VARS'!$N$68*($B140^2)+'LINEST VARS'!$M$68*(4^2)+'LINEST VARS'!$L$68*(0.5^2)+'LINEST VARS'!$K$68*(12.73^2)+'LINEST VARS'!$J$68*($J$128*$B140)+'LINEST VARS'!$I$68*($J$128*4)+'LINEST VARS'!$H$68*($J$128*0.5)+'LINEST VARS'!$G$68*($J$128*12.73)+'LINEST VARS'!$F$68*($B140*4)+'LINEST VARS'!$E$68*($B140*0.5)+'LINEST VARS'!$D$68*($B140*12.73)+'LINEST VARS'!$C$68*(4*0.5)+'LINEST VARS'!$B$68*(4*12.73)+'LINEST VARS'!$A$68*(0.5*12.73)</f>
        <v>149</v>
      </c>
      <c r="K140" s="46">
        <f>'LINEST VARS'!$U$68+'LINEST VARS'!$T$68*($K$128)+'LINEST VARS'!$S$68*($B140)+'LINEST VARS'!$R$68*(4)+'LINEST VARS'!$Q$68*(0.5)+'LINEST VARS'!$P$68*(12.73)+'LINEST VARS'!$O$68*($K$128^2)+'LINEST VARS'!$N$68*($B140^2)+'LINEST VARS'!$M$68*(4^2)+'LINEST VARS'!$L$68*(0.5^2)+'LINEST VARS'!$K$68*(12.73^2)+'LINEST VARS'!$J$68*($K$128*$B140)+'LINEST VARS'!$I$68*($K$128*4)+'LINEST VARS'!$H$68*($K$128*0.5)+'LINEST VARS'!$G$68*($K$128*12.73)+'LINEST VARS'!$F$68*($B140*4)+'LINEST VARS'!$E$68*($B140*0.5)+'LINEST VARS'!$D$68*($B140*12.73)+'LINEST VARS'!$C$68*(4*0.5)+'LINEST VARS'!$B$68*(4*12.73)+'LINEST VARS'!$A$68*(0.5*12.73)</f>
        <v>149</v>
      </c>
      <c r="L140" s="46">
        <f>'LINEST VARS'!$U$68+'LINEST VARS'!$T$68*($L$128)+'LINEST VARS'!$S$68*($B140)+'LINEST VARS'!$R$68*(4)+'LINEST VARS'!$Q$68*(0.5)+'LINEST VARS'!$P$68*(12.73)+'LINEST VARS'!$O$68*($L$128^2)+'LINEST VARS'!$N$68*($B140^2)+'LINEST VARS'!$M$68*(4^2)+'LINEST VARS'!$L$68*(0.5^2)+'LINEST VARS'!$K$68*(12.73^2)+'LINEST VARS'!$J$68*($L$128*$B140)+'LINEST VARS'!$I$68*($L$128*4)+'LINEST VARS'!$H$68*($L$128*0.5)+'LINEST VARS'!$G$68*($L$128*12.73)+'LINEST VARS'!$F$68*($B140*4)+'LINEST VARS'!$E$68*($B140*0.5)+'LINEST VARS'!$D$68*($B140*12.73)+'LINEST VARS'!$C$68*(4*0.5)+'LINEST VARS'!$B$68*(4*12.73)+'LINEST VARS'!$A$68*(0.5*12.73)</f>
        <v>149</v>
      </c>
      <c r="M140" s="46">
        <f>'LINEST VARS'!$U$68+'LINEST VARS'!$T$68*($M$128)+'LINEST VARS'!$S$68*($B140)+'LINEST VARS'!$R$68*(4)+'LINEST VARS'!$Q$68*(0.5)+'LINEST VARS'!$P$68*(12.73)+'LINEST VARS'!$O$68*($M$128^2)+'LINEST VARS'!$N$68*($B140^2)+'LINEST VARS'!$M$68*(4^2)+'LINEST VARS'!$L$68*(0.5^2)+'LINEST VARS'!$K$68*(12.73^2)+'LINEST VARS'!$J$68*($M$128*$B140)+'LINEST VARS'!$I$68*($M$128*4)+'LINEST VARS'!$H$68*($M$128*0.5)+'LINEST VARS'!$G$68*($M$128*12.73)+'LINEST VARS'!$F$68*($B140*4)+'LINEST VARS'!$E$68*($B140*0.5)+'LINEST VARS'!$D$68*($B140*12.73)+'LINEST VARS'!$C$68*(4*0.5)+'LINEST VARS'!$B$68*(4*12.73)+'LINEST VARS'!$A$68*(0.5*12.73)</f>
        <v>149</v>
      </c>
      <c r="N140" s="46">
        <f>'LINEST VARS'!$U$68+'LINEST VARS'!$T$68*($N$128)+'LINEST VARS'!$S$68*($B140)+'LINEST VARS'!$R$68*(4)+'LINEST VARS'!$Q$68*(0.5)+'LINEST VARS'!$P$68*(12.73)+'LINEST VARS'!$O$68*($N$128^2)+'LINEST VARS'!$N$68*($B140^2)+'LINEST VARS'!$M$68*(4^2)+'LINEST VARS'!$L$68*(0.5^2)+'LINEST VARS'!$K$68*(12.73^2)+'LINEST VARS'!$J$68*($N$128*$B140)+'LINEST VARS'!$I$68*($N$128*4)+'LINEST VARS'!$H$68*($N$128*0.5)+'LINEST VARS'!$G$68*($N$128*12.73)+'LINEST VARS'!$F$68*($B140*4)+'LINEST VARS'!$E$68*($B140*0.5)+'LINEST VARS'!$D$68*($B140*12.73)+'LINEST VARS'!$C$68*(4*0.5)+'LINEST VARS'!$B$68*(4*12.73)+'LINEST VARS'!$A$68*(0.5*12.73)</f>
        <v>149</v>
      </c>
      <c r="O140" s="46">
        <f>'LINEST VARS'!$U$68+'LINEST VARS'!$T$68*($O$128)+'LINEST VARS'!$S$68*($B140)+'LINEST VARS'!$R$68*(4)+'LINEST VARS'!$Q$68*(0.5)+'LINEST VARS'!$P$68*(12.73)+'LINEST VARS'!$O$68*($O$128^2)+'LINEST VARS'!$N$68*($B140^2)+'LINEST VARS'!$M$68*(4^2)+'LINEST VARS'!$L$68*(0.5^2)+'LINEST VARS'!$K$68*(12.73^2)+'LINEST VARS'!$J$68*($O$128*$B140)+'LINEST VARS'!$I$68*($O$128*4)+'LINEST VARS'!$H$68*($O$128*0.5)+'LINEST VARS'!$G$68*($O$128*12.73)+'LINEST VARS'!$F$68*($B140*4)+'LINEST VARS'!$E$68*($B140*0.5)+'LINEST VARS'!$D$68*($B140*12.73)+'LINEST VARS'!$C$68*(4*0.5)+'LINEST VARS'!$B$68*(4*12.73)+'LINEST VARS'!$A$68*(0.5*12.73)</f>
        <v>149</v>
      </c>
      <c r="P140" s="46">
        <f>'LINEST VARS'!$U$68+'LINEST VARS'!$T$68*($P$128)+'LINEST VARS'!$S$68*($B140)+'LINEST VARS'!$R$68*(4)+'LINEST VARS'!$Q$68*(0.5)+'LINEST VARS'!$P$68*(12.73)+'LINEST VARS'!$O$68*($P$128^2)+'LINEST VARS'!$N$68*($B140^2)+'LINEST VARS'!$M$68*(4^2)+'LINEST VARS'!$L$68*(0.5^2)+'LINEST VARS'!$K$68*(12.73^2)+'LINEST VARS'!$J$68*($P$128*$B140)+'LINEST VARS'!$I$68*($P$128*4)+'LINEST VARS'!$H$68*($P$128*0.5)+'LINEST VARS'!$G$68*($P$128*12.73)+'LINEST VARS'!$F$68*($B140*4)+'LINEST VARS'!$E$68*($B140*0.5)+'LINEST VARS'!$D$68*($B140*12.73)+'LINEST VARS'!$C$68*(4*0.5)+'LINEST VARS'!$B$68*(4*12.73)+'LINEST VARS'!$A$68*(0.5*12.73)</f>
        <v>149</v>
      </c>
      <c r="Q140" s="46">
        <f>'LINEST VARS'!$U$68+'LINEST VARS'!$T$68*($Q$128)+'LINEST VARS'!$S$68*($B140)+'LINEST VARS'!$R$68*(4)+'LINEST VARS'!$Q$68*(0.5)+'LINEST VARS'!$P$68*(12.73)+'LINEST VARS'!$O$68*($Q$128^2)+'LINEST VARS'!$N$68*($B140^2)+'LINEST VARS'!$M$68*(4^2)+'LINEST VARS'!$L$68*(0.5^2)+'LINEST VARS'!$K$68*(12.73^2)+'LINEST VARS'!$J$68*($Q$128*$B140)+'LINEST VARS'!$I$68*($Q$128*4)+'LINEST VARS'!$H$68*($Q$128*0.5)+'LINEST VARS'!$G$68*($Q$128*12.73)+'LINEST VARS'!$F$68*($B140*4)+'LINEST VARS'!$E$68*($B140*0.5)+'LINEST VARS'!$D$68*($B140*12.73)+'LINEST VARS'!$C$68*(4*0.5)+'LINEST VARS'!$B$68*(4*12.73)+'LINEST VARS'!$A$68*(0.5*12.73)</f>
        <v>149</v>
      </c>
      <c r="R140" s="46">
        <f>'LINEST VARS'!$U$68+'LINEST VARS'!$T$68*($R$128)+'LINEST VARS'!$S$68*($B140)+'LINEST VARS'!$R$68*(4)+'LINEST VARS'!$Q$68*(0.5)+'LINEST VARS'!$P$68*(12.73)+'LINEST VARS'!$O$68*($R$128^2)+'LINEST VARS'!$N$68*($B140^2)+'LINEST VARS'!$M$68*(4^2)+'LINEST VARS'!$L$68*(0.5^2)+'LINEST VARS'!$K$68*(12.73^2)+'LINEST VARS'!$J$68*($R$128*$B140)+'LINEST VARS'!$I$68*($R$128*4)+'LINEST VARS'!$H$68*($R$128*0.5)+'LINEST VARS'!$G$68*($R$128*12.73)+'LINEST VARS'!$F$68*($B140*4)+'LINEST VARS'!$E$68*($B140*0.5)+'LINEST VARS'!$D$68*($B140*12.73)+'LINEST VARS'!$C$68*(4*0.5)+'LINEST VARS'!$B$68*(4*12.73)+'LINEST VARS'!$A$68*(0.5*12.73)</f>
        <v>149</v>
      </c>
      <c r="S140" s="46">
        <f>'LINEST VARS'!$U$68+'LINEST VARS'!$T$68*($S$128)+'LINEST VARS'!$S$68*($B140)+'LINEST VARS'!$R$68*(4)+'LINEST VARS'!$Q$68*(0.5)+'LINEST VARS'!$P$68*(12.73)+'LINEST VARS'!$O$68*($S$128^2)+'LINEST VARS'!$N$68*($B140^2)+'LINEST VARS'!$M$68*(4^2)+'LINEST VARS'!$L$68*(0.5^2)+'LINEST VARS'!$K$68*(12.73^2)+'LINEST VARS'!$J$68*($S$128*$B140)+'LINEST VARS'!$I$68*($S$128*4)+'LINEST VARS'!$H$68*($S$128*0.5)+'LINEST VARS'!$G$68*($S$128*12.73)+'LINEST VARS'!$F$68*($B140*4)+'LINEST VARS'!$E$68*($B140*0.5)+'LINEST VARS'!$D$68*($B140*12.73)+'LINEST VARS'!$C$68*(4*0.5)+'LINEST VARS'!$B$68*(4*12.73)+'LINEST VARS'!$A$68*(0.5*12.73)</f>
        <v>149</v>
      </c>
      <c r="T140" s="46">
        <f>'LINEST VARS'!$U$68+'LINEST VARS'!$T$68*($T$128)+'LINEST VARS'!$S$68*($B140)+'LINEST VARS'!$R$68*(4)+'LINEST VARS'!$Q$68*(0.5)+'LINEST VARS'!$P$68*(12.73)+'LINEST VARS'!$O$68*($T$128^2)+'LINEST VARS'!$N$68*($B140^2)+'LINEST VARS'!$M$68*(4^2)+'LINEST VARS'!$L$68*(0.5^2)+'LINEST VARS'!$K$68*(12.73^2)+'LINEST VARS'!$J$68*($T$128*$B140)+'LINEST VARS'!$I$68*($T$128*4)+'LINEST VARS'!$H$68*($T$128*0.5)+'LINEST VARS'!$G$68*($T$128*12.73)+'LINEST VARS'!$F$68*($B140*4)+'LINEST VARS'!$E$68*($B140*0.5)+'LINEST VARS'!$D$68*($B140*12.73)+'LINEST VARS'!$C$68*(4*0.5)+'LINEST VARS'!$B$68*(4*12.73)+'LINEST VARS'!$A$68*(0.5*12.73)</f>
        <v>149</v>
      </c>
      <c r="U140" s="46">
        <f>'LINEST VARS'!$U$68+'LINEST VARS'!$T$68*($U$128)+'LINEST VARS'!$S$68*($B140)+'LINEST VARS'!$R$68*(4)+'LINEST VARS'!$Q$68*(0.5)+'LINEST VARS'!$P$68*(12.73)+'LINEST VARS'!$O$68*($U$128^2)+'LINEST VARS'!$N$68*($B140^2)+'LINEST VARS'!$M$68*(4^2)+'LINEST VARS'!$L$68*(0.5^2)+'LINEST VARS'!$K$68*(12.73^2)+'LINEST VARS'!$J$68*($U$128*$B140)+'LINEST VARS'!$I$68*($U$128*4)+'LINEST VARS'!$H$68*($U$128*0.5)+'LINEST VARS'!$G$68*($U$128*12.73)+'LINEST VARS'!$F$68*($B140*4)+'LINEST VARS'!$E$68*($B140*0.5)+'LINEST VARS'!$D$68*($B140*12.73)+'LINEST VARS'!$C$68*(4*0.5)+'LINEST VARS'!$B$68*(4*12.73)+'LINEST VARS'!$A$68*(0.5*12.73)</f>
        <v>149</v>
      </c>
      <c r="V140" s="46">
        <f>'LINEST VARS'!$U$68+'LINEST VARS'!$T$68*($V$128)+'LINEST VARS'!$S$68*($B140)+'LINEST VARS'!$R$68*(4)+'LINEST VARS'!$Q$68*(0.5)+'LINEST VARS'!$P$68*(12.73)+'LINEST VARS'!$O$68*($V$128^2)+'LINEST VARS'!$N$68*($B140^2)+'LINEST VARS'!$M$68*(4^2)+'LINEST VARS'!$L$68*(0.5^2)+'LINEST VARS'!$K$68*(12.73^2)+'LINEST VARS'!$J$68*($V$128*$B140)+'LINEST VARS'!$I$68*($V$128*4)+'LINEST VARS'!$H$68*($V$128*0.5)+'LINEST VARS'!$G$68*($V$128*12.73)+'LINEST VARS'!$F$68*($B140*4)+'LINEST VARS'!$E$68*($B140*0.5)+'LINEST VARS'!$D$68*($B140*12.73)+'LINEST VARS'!$C$68*(4*0.5)+'LINEST VARS'!$B$68*(4*12.73)+'LINEST VARS'!$A$68*(0.5*12.73)</f>
        <v>149</v>
      </c>
      <c r="W140" s="47">
        <f>'LINEST VARS'!$U$68+'LINEST VARS'!$T$68*($W$128)+'LINEST VARS'!$S$68*($B140)+'LINEST VARS'!$R$68*(4)+'LINEST VARS'!$Q$68*(0.5)+'LINEST VARS'!$P$68*(12.73)+'LINEST VARS'!$O$68*($W$128^2)+'LINEST VARS'!$N$68*($B140^2)+'LINEST VARS'!$M$68*(4^2)+'LINEST VARS'!$L$68*(0.5^2)+'LINEST VARS'!$K$68*(12.73^2)+'LINEST VARS'!$J$68*($W$128*$B140)+'LINEST VARS'!$I$68*($W$128*4)+'LINEST VARS'!$H$68*($W$128*0.5)+'LINEST VARS'!$G$68*($W$128*12.73)+'LINEST VARS'!$F$68*($B140*4)+'LINEST VARS'!$E$68*($B140*0.5)+'LINEST VARS'!$D$68*($B140*12.73)+'LINEST VARS'!$C$68*(4*0.5)+'LINEST VARS'!$B$68*(4*12.73)+'LINEST VARS'!$A$68*(0.5*12.73)</f>
        <v>149</v>
      </c>
      <c r="Z140" s="45">
        <v>8.06</v>
      </c>
      <c r="AA140" s="46">
        <f>'LINEST VARS'!$U$70+'LINEST VARS'!$T$70*($AA$128)+'LINEST VARS'!$S$70*($Z140)+'LINEST VARS'!$R$70*(4)+'LINEST VARS'!$Q$70*(0.5)+'LINEST VARS'!$P$70*(12.73)+'LINEST VARS'!$O$70*($AA$128^2)+'LINEST VARS'!$N$70*($Z140^2)+'LINEST VARS'!$M$70*(4^2)+'LINEST VARS'!$L$70*(0.5^2)+'LINEST VARS'!$K$70*(12.73^2)+'LINEST VARS'!$J$70*($AA$128*$Z140)+'LINEST VARS'!$I$70*($AA$128*4)+'LINEST VARS'!$H$70*($AA$128*0.5)+'LINEST VARS'!$G$70*($AA$128*12.73)+'LINEST VARS'!$F$70*($Z140*4)+'LINEST VARS'!$E$70*($Z140*0.5)+'LINEST VARS'!$D$70*($Z140*12.73)+'LINEST VARS'!$C$70*(4*0.5)+'LINEST VARS'!$B$70*(4*12.73)+'LINEST VARS'!$A$70*(0.5*12.73)</f>
        <v>88.090000000000046</v>
      </c>
      <c r="AB140" s="46">
        <f>'LINEST VARS'!$U$70+'LINEST VARS'!$T$70*($AB$128)+'LINEST VARS'!$S$70*($Z140)+'LINEST VARS'!$R$70*(4)+'LINEST VARS'!$Q$70*(0.5)+'LINEST VARS'!$P$70*(12.73)+'LINEST VARS'!$O$70*($AB$128^2)+'LINEST VARS'!$N$70*($Z140^2)+'LINEST VARS'!$M$70*(4^2)+'LINEST VARS'!$L$70*(0.5^2)+'LINEST VARS'!$K$70*(12.73^2)+'LINEST VARS'!$J$70*($AB$128*$Z140)+'LINEST VARS'!$I$70*($AB$128*4)+'LINEST VARS'!$H$70*($AB$128*0.5)+'LINEST VARS'!$G$70*($AB$128*12.73)+'LINEST VARS'!$F$70*($Z140*4)+'LINEST VARS'!$E$70*($Z140*0.5)+'LINEST VARS'!$D$70*($Z140*12.73)+'LINEST VARS'!$C$70*(4*0.5)+'LINEST VARS'!$B$70*(4*12.73)+'LINEST VARS'!$A$70*(0.5*12.73)</f>
        <v>88.090000000000046</v>
      </c>
      <c r="AC140" s="46">
        <f>'LINEST VARS'!$U$70+'LINEST VARS'!$T$70*($AC$128)+'LINEST VARS'!$S$70*($Z140)+'LINEST VARS'!$R$70*(4)+'LINEST VARS'!$Q$70*(0.5)+'LINEST VARS'!$P$70*(12.73)+'LINEST VARS'!$O$70*($AC$128^2)+'LINEST VARS'!$N$70*($Z140^2)+'LINEST VARS'!$M$70*(4^2)+'LINEST VARS'!$L$70*(0.5^2)+'LINEST VARS'!$K$70*(12.73^2)+'LINEST VARS'!$J$70*($AC$128*$Z140)+'LINEST VARS'!$I$70*($AC$128*4)+'LINEST VARS'!$H$70*($AC$128*0.5)+'LINEST VARS'!$G$70*($AC$128*12.73)+'LINEST VARS'!$F$70*($Z140*4)+'LINEST VARS'!$E$70*($Z140*0.5)+'LINEST VARS'!$D$70*($Z140*12.73)+'LINEST VARS'!$C$70*(4*0.5)+'LINEST VARS'!$B$70*(4*12.73)+'LINEST VARS'!$A$70*(0.5*12.73)</f>
        <v>88.090000000000046</v>
      </c>
      <c r="AD140" s="46">
        <f>'LINEST VARS'!$U$70+'LINEST VARS'!$T$70*($AD$128)+'LINEST VARS'!$S$70*($Z140)+'LINEST VARS'!$R$70*(4)+'LINEST VARS'!$Q$70*(0.5)+'LINEST VARS'!$P$70*(12.73)+'LINEST VARS'!$O$70*($AD$128^2)+'LINEST VARS'!$N$70*($Z140^2)+'LINEST VARS'!$M$70*(4^2)+'LINEST VARS'!$L$70*(0.5^2)+'LINEST VARS'!$K$70*(12.73^2)+'LINEST VARS'!$J$70*($AD$128*$Z140)+'LINEST VARS'!$I$70*($AD$128*4)+'LINEST VARS'!$H$70*($AD$128*0.5)+'LINEST VARS'!$G$70*($AD$128*12.73)+'LINEST VARS'!$F$70*($Z140*4)+'LINEST VARS'!$E$70*($Z140*0.5)+'LINEST VARS'!$D$70*($Z140*12.73)+'LINEST VARS'!$C$70*(4*0.5)+'LINEST VARS'!$B$70*(4*12.73)+'LINEST VARS'!$A$70*(0.5*12.73)</f>
        <v>88.090000000000046</v>
      </c>
      <c r="AE140" s="46">
        <f>'LINEST VARS'!$U$70+'LINEST VARS'!$T$70*($AE$128)+'LINEST VARS'!$S$70*($Z140)+'LINEST VARS'!$R$70*(4)+'LINEST VARS'!$Q$70*(0.5)+'LINEST VARS'!$P$70*(12.73)+'LINEST VARS'!$O$70*($AE$128^2)+'LINEST VARS'!$N$70*($Z140^2)+'LINEST VARS'!$M$70*(4^2)+'LINEST VARS'!$L$70*(0.5^2)+'LINEST VARS'!$K$70*(12.73^2)+'LINEST VARS'!$J$70*($AE$128*$Z140)+'LINEST VARS'!$I$70*($AE$128*4)+'LINEST VARS'!$H$70*($AE$128*0.5)+'LINEST VARS'!$G$70*($AE$128*12.73)+'LINEST VARS'!$F$70*($Z140*4)+'LINEST VARS'!$E$70*($Z140*0.5)+'LINEST VARS'!$D$70*($Z140*12.73)+'LINEST VARS'!$C$70*(4*0.5)+'LINEST VARS'!$B$70*(4*12.73)+'LINEST VARS'!$A$70*(0.5*12.73)</f>
        <v>88.090000000000046</v>
      </c>
      <c r="AF140" s="46">
        <f>'LINEST VARS'!$U$70+'LINEST VARS'!$T$70*($AF$128)+'LINEST VARS'!$S$70*($Z140)+'LINEST VARS'!$R$70*(4)+'LINEST VARS'!$Q$70*(0.5)+'LINEST VARS'!$P$70*(12.73)+'LINEST VARS'!$O$70*($AF$128^2)+'LINEST VARS'!$N$70*($Z140^2)+'LINEST VARS'!$M$70*(4^2)+'LINEST VARS'!$L$70*(0.5^2)+'LINEST VARS'!$K$70*(12.73^2)+'LINEST VARS'!$J$70*($AF$128*$Z140)+'LINEST VARS'!$I$70*($AF$128*4)+'LINEST VARS'!$H$70*($AF$128*0.5)+'LINEST VARS'!$G$70*($AF$128*12.73)+'LINEST VARS'!$F$70*($Z140*4)+'LINEST VARS'!$E$70*($Z140*0.5)+'LINEST VARS'!$D$70*($Z140*12.73)+'LINEST VARS'!$C$70*(4*0.5)+'LINEST VARS'!$B$70*(4*12.73)+'LINEST VARS'!$A$70*(0.5*12.73)</f>
        <v>88.090000000000018</v>
      </c>
      <c r="AG140" s="46">
        <f>'LINEST VARS'!$U$70+'LINEST VARS'!$T$70*($AG$128)+'LINEST VARS'!$S$70*($Z140)+'LINEST VARS'!$R$70*(4)+'LINEST VARS'!$Q$70*(0.5)+'LINEST VARS'!$P$70*(12.73)+'LINEST VARS'!$O$70*($AG$128^2)+'LINEST VARS'!$N$70*($Z140^2)+'LINEST VARS'!$M$70*(4^2)+'LINEST VARS'!$L$70*(0.5^2)+'LINEST VARS'!$K$70*(12.73^2)+'LINEST VARS'!$J$70*($AG$128*$Z140)+'LINEST VARS'!$I$70*($AG$128*4)+'LINEST VARS'!$H$70*($AG$128*0.5)+'LINEST VARS'!$G$70*($AG$128*12.73)+'LINEST VARS'!$F$70*($Z140*4)+'LINEST VARS'!$E$70*($Z140*0.5)+'LINEST VARS'!$D$70*($Z140*12.73)+'LINEST VARS'!$C$70*(4*0.5)+'LINEST VARS'!$B$70*(4*12.73)+'LINEST VARS'!$A$70*(0.5*12.73)</f>
        <v>88.090000000000018</v>
      </c>
      <c r="AH140" s="46">
        <f>'LINEST VARS'!$U$70+'LINEST VARS'!$T$70*($AH$128)+'LINEST VARS'!$S$70*($Z140)+'LINEST VARS'!$R$70*(4)+'LINEST VARS'!$Q$70*(0.5)+'LINEST VARS'!$P$70*(12.73)+'LINEST VARS'!$O$70*($AH$128^2)+'LINEST VARS'!$N$70*($Z140^2)+'LINEST VARS'!$M$70*(4^2)+'LINEST VARS'!$L$70*(0.5^2)+'LINEST VARS'!$K$70*(12.73^2)+'LINEST VARS'!$J$70*($AH$128*$Z140)+'LINEST VARS'!$I$70*($AH$128*4)+'LINEST VARS'!$H$70*($AH$128*0.5)+'LINEST VARS'!$G$70*($AH$128*12.73)+'LINEST VARS'!$F$70*($Z140*4)+'LINEST VARS'!$E$70*($Z140*0.5)+'LINEST VARS'!$D$70*($Z140*12.73)+'LINEST VARS'!$C$70*(4*0.5)+'LINEST VARS'!$B$70*(4*12.73)+'LINEST VARS'!$A$70*(0.5*12.73)</f>
        <v>88.090000000000018</v>
      </c>
      <c r="AI140" s="46">
        <f>'LINEST VARS'!$U$70+'LINEST VARS'!$T$70*($AI$128)+'LINEST VARS'!$S$70*($Z140)+'LINEST VARS'!$R$70*(4)+'LINEST VARS'!$Q$70*(0.5)+'LINEST VARS'!$P$70*(12.73)+'LINEST VARS'!$O$70*($AI$128^2)+'LINEST VARS'!$N$70*($Z140^2)+'LINEST VARS'!$M$70*(4^2)+'LINEST VARS'!$L$70*(0.5^2)+'LINEST VARS'!$K$70*(12.73^2)+'LINEST VARS'!$J$70*($AI$128*$Z140)+'LINEST VARS'!$I$70*($AI$128*4)+'LINEST VARS'!$H$70*($AI$128*0.5)+'LINEST VARS'!$G$70*($AI$128*12.73)+'LINEST VARS'!$F$70*($Z140*4)+'LINEST VARS'!$E$70*($Z140*0.5)+'LINEST VARS'!$D$70*($Z140*12.73)+'LINEST VARS'!$C$70*(4*0.5)+'LINEST VARS'!$B$70*(4*12.73)+'LINEST VARS'!$A$70*(0.5*12.73)</f>
        <v>88.090000000000018</v>
      </c>
      <c r="AJ140" s="46">
        <f>'LINEST VARS'!$U$70+'LINEST VARS'!$T$70*($AJ$128)+'LINEST VARS'!$S$70*($Z140)+'LINEST VARS'!$R$70*(4)+'LINEST VARS'!$Q$70*(0.5)+'LINEST VARS'!$P$70*(12.73)+'LINEST VARS'!$O$70*($AJ$128^2)+'LINEST VARS'!$N$70*($Z140^2)+'LINEST VARS'!$M$70*(4^2)+'LINEST VARS'!$L$70*(0.5^2)+'LINEST VARS'!$K$70*(12.73^2)+'LINEST VARS'!$J$70*($AJ$128*$Z140)+'LINEST VARS'!$I$70*($AJ$128*4)+'LINEST VARS'!$H$70*($AJ$128*0.5)+'LINEST VARS'!$G$70*($AJ$128*12.73)+'LINEST VARS'!$F$70*($Z140*4)+'LINEST VARS'!$E$70*($Z140*0.5)+'LINEST VARS'!$D$70*($Z140*12.73)+'LINEST VARS'!$C$70*(4*0.5)+'LINEST VARS'!$B$70*(4*12.73)+'LINEST VARS'!$A$70*(0.5*12.73)</f>
        <v>88.090000000000018</v>
      </c>
      <c r="AK140" s="46">
        <f>'LINEST VARS'!$U$70+'LINEST VARS'!$T$70*($AK$128)+'LINEST VARS'!$S$70*($Z140)+'LINEST VARS'!$R$70*(4)+'LINEST VARS'!$Q$70*(0.5)+'LINEST VARS'!$P$70*(12.73)+'LINEST VARS'!$O$70*($AK$128^2)+'LINEST VARS'!$N$70*($Z140^2)+'LINEST VARS'!$M$70*(4^2)+'LINEST VARS'!$L$70*(0.5^2)+'LINEST VARS'!$K$70*(12.73^2)+'LINEST VARS'!$J$70*($AK$128*$Z140)+'LINEST VARS'!$I$70*($AK$128*4)+'LINEST VARS'!$H$70*($AK$128*0.5)+'LINEST VARS'!$G$70*($AK$128*12.73)+'LINEST VARS'!$F$70*($Z140*4)+'LINEST VARS'!$E$70*($Z140*0.5)+'LINEST VARS'!$D$70*($Z140*12.73)+'LINEST VARS'!$C$70*(4*0.5)+'LINEST VARS'!$B$70*(4*12.73)+'LINEST VARS'!$A$70*(0.5*12.73)</f>
        <v>88.090000000000018</v>
      </c>
      <c r="AL140" s="46">
        <f>'LINEST VARS'!$U$70+'LINEST VARS'!$T$70*($AL$128)+'LINEST VARS'!$S$70*($Z140)+'LINEST VARS'!$R$70*(4)+'LINEST VARS'!$Q$70*(0.5)+'LINEST VARS'!$P$70*(12.73)+'LINEST VARS'!$O$70*($AL$128^2)+'LINEST VARS'!$N$70*($Z140^2)+'LINEST VARS'!$M$70*(4^2)+'LINEST VARS'!$L$70*(0.5^2)+'LINEST VARS'!$K$70*(12.73^2)+'LINEST VARS'!$J$70*($AL$128*$Z140)+'LINEST VARS'!$I$70*($AL$128*4)+'LINEST VARS'!$H$70*($AL$128*0.5)+'LINEST VARS'!$G$70*($AL$128*12.73)+'LINEST VARS'!$F$70*($Z140*4)+'LINEST VARS'!$E$70*($Z140*0.5)+'LINEST VARS'!$D$70*($Z140*12.73)+'LINEST VARS'!$C$70*(4*0.5)+'LINEST VARS'!$B$70*(4*12.73)+'LINEST VARS'!$A$70*(0.5*12.73)</f>
        <v>88.090000000000018</v>
      </c>
      <c r="AM140" s="46">
        <f>'LINEST VARS'!$U$70+'LINEST VARS'!$T$70*($AM$128)+'LINEST VARS'!$S$70*($Z140)+'LINEST VARS'!$R$70*(4)+'LINEST VARS'!$Q$70*(0.5)+'LINEST VARS'!$P$70*(12.73)+'LINEST VARS'!$O$70*($AM$128^2)+'LINEST VARS'!$N$70*($Z140^2)+'LINEST VARS'!$M$70*(4^2)+'LINEST VARS'!$L$70*(0.5^2)+'LINEST VARS'!$K$70*(12.73^2)+'LINEST VARS'!$J$70*($AM$128*$Z140)+'LINEST VARS'!$I$70*($AM$128*4)+'LINEST VARS'!$H$70*($AM$128*0.5)+'LINEST VARS'!$G$70*($AM$128*12.73)+'LINEST VARS'!$F$70*($Z140*4)+'LINEST VARS'!$E$70*($Z140*0.5)+'LINEST VARS'!$D$70*($Z140*12.73)+'LINEST VARS'!$C$70*(4*0.5)+'LINEST VARS'!$B$70*(4*12.73)+'LINEST VARS'!$A$70*(0.5*12.73)</f>
        <v>88.090000000000018</v>
      </c>
      <c r="AN140" s="46">
        <f>'LINEST VARS'!$U$70+'LINEST VARS'!$T$70*($AN$128)+'LINEST VARS'!$S$70*($Z140)+'LINEST VARS'!$R$70*(4)+'LINEST VARS'!$Q$70*(0.5)+'LINEST VARS'!$P$70*(12.73)+'LINEST VARS'!$O$70*($AN$128^2)+'LINEST VARS'!$N$70*($Z140^2)+'LINEST VARS'!$M$70*(4^2)+'LINEST VARS'!$L$70*(0.5^2)+'LINEST VARS'!$K$70*(12.73^2)+'LINEST VARS'!$J$70*($AN$128*$Z140)+'LINEST VARS'!$I$70*($AN$128*4)+'LINEST VARS'!$H$70*($AN$128*0.5)+'LINEST VARS'!$G$70*($AN$128*12.73)+'LINEST VARS'!$F$70*($Z140*4)+'LINEST VARS'!$E$70*($Z140*0.5)+'LINEST VARS'!$D$70*($Z140*12.73)+'LINEST VARS'!$C$70*(4*0.5)+'LINEST VARS'!$B$70*(4*12.73)+'LINEST VARS'!$A$70*(0.5*12.73)</f>
        <v>88.090000000000018</v>
      </c>
      <c r="AO140" s="46">
        <f>'LINEST VARS'!$U$70+'LINEST VARS'!$T$70*($AO$128)+'LINEST VARS'!$S$70*($Z140)+'LINEST VARS'!$R$70*(4)+'LINEST VARS'!$Q$70*(0.5)+'LINEST VARS'!$P$70*(12.73)+'LINEST VARS'!$O$70*($AO$128^2)+'LINEST VARS'!$N$70*($Z140^2)+'LINEST VARS'!$M$70*(4^2)+'LINEST VARS'!$L$70*(0.5^2)+'LINEST VARS'!$K$70*(12.73^2)+'LINEST VARS'!$J$70*($AO$128*$Z140)+'LINEST VARS'!$I$70*($AO$128*4)+'LINEST VARS'!$H$70*($AO$128*0.5)+'LINEST VARS'!$G$70*($AO$128*12.73)+'LINEST VARS'!$F$70*($Z140*4)+'LINEST VARS'!$E$70*($Z140*0.5)+'LINEST VARS'!$D$70*($Z140*12.73)+'LINEST VARS'!$C$70*(4*0.5)+'LINEST VARS'!$B$70*(4*12.73)+'LINEST VARS'!$A$70*(0.5*12.73)</f>
        <v>88.090000000000018</v>
      </c>
      <c r="AP140" s="46">
        <f>'LINEST VARS'!$U$70+'LINEST VARS'!$T$70*($AP$128)+'LINEST VARS'!$S$70*($Z140)+'LINEST VARS'!$R$70*(4)+'LINEST VARS'!$Q$70*(0.5)+'LINEST VARS'!$P$70*(12.73)+'LINEST VARS'!$O$70*($AP$128^2)+'LINEST VARS'!$N$70*($Z140^2)+'LINEST VARS'!$M$70*(4^2)+'LINEST VARS'!$L$70*(0.5^2)+'LINEST VARS'!$K$70*(12.73^2)+'LINEST VARS'!$J$70*($AP$128*$Z140)+'LINEST VARS'!$I$70*($AP$128*4)+'LINEST VARS'!$H$70*($AP$128*0.5)+'LINEST VARS'!$G$70*($AP$128*12.73)+'LINEST VARS'!$F$70*($Z140*4)+'LINEST VARS'!$E$70*($Z140*0.5)+'LINEST VARS'!$D$70*($Z140*12.73)+'LINEST VARS'!$C$70*(4*0.5)+'LINEST VARS'!$B$70*(4*12.73)+'LINEST VARS'!$A$70*(0.5*12.73)</f>
        <v>88.090000000000018</v>
      </c>
      <c r="AQ140" s="46">
        <f>'LINEST VARS'!$U$70+'LINEST VARS'!$T$70*($AQ$128)+'LINEST VARS'!$S$70*($Z140)+'LINEST VARS'!$R$70*(4)+'LINEST VARS'!$Q$70*(0.5)+'LINEST VARS'!$P$70*(12.73)+'LINEST VARS'!$O$70*($AQ$128^2)+'LINEST VARS'!$N$70*($Z140^2)+'LINEST VARS'!$M$70*(4^2)+'LINEST VARS'!$L$70*(0.5^2)+'LINEST VARS'!$K$70*(12.73^2)+'LINEST VARS'!$J$70*($AQ$128*$Z140)+'LINEST VARS'!$I$70*($AQ$128*4)+'LINEST VARS'!$H$70*($AQ$128*0.5)+'LINEST VARS'!$G$70*($AQ$128*12.73)+'LINEST VARS'!$F$70*($Z140*4)+'LINEST VARS'!$E$70*($Z140*0.5)+'LINEST VARS'!$D$70*($Z140*12.73)+'LINEST VARS'!$C$70*(4*0.5)+'LINEST VARS'!$B$70*(4*12.73)+'LINEST VARS'!$A$70*(0.5*12.73)</f>
        <v>88.090000000000018</v>
      </c>
      <c r="AR140" s="46">
        <f>'LINEST VARS'!$U$70+'LINEST VARS'!$T$70*($AR$128)+'LINEST VARS'!$S$70*($Z140)+'LINEST VARS'!$R$70*(4)+'LINEST VARS'!$Q$70*(0.5)+'LINEST VARS'!$P$70*(12.73)+'LINEST VARS'!$O$70*($AR$128^2)+'LINEST VARS'!$N$70*($Z140^2)+'LINEST VARS'!$M$70*(4^2)+'LINEST VARS'!$L$70*(0.5^2)+'LINEST VARS'!$K$70*(12.73^2)+'LINEST VARS'!$J$70*($AR$128*$Z140)+'LINEST VARS'!$I$70*($AR$128*4)+'LINEST VARS'!$H$70*($AR$128*0.5)+'LINEST VARS'!$G$70*($AR$128*12.73)+'LINEST VARS'!$F$70*($Z140*4)+'LINEST VARS'!$E$70*($Z140*0.5)+'LINEST VARS'!$D$70*($Z140*12.73)+'LINEST VARS'!$C$70*(4*0.5)+'LINEST VARS'!$B$70*(4*12.73)+'LINEST VARS'!$A$70*(0.5*12.73)</f>
        <v>88.090000000000018</v>
      </c>
      <c r="AS140" s="46">
        <f>'LINEST VARS'!$U$70+'LINEST VARS'!$T$70*($AS$128)+'LINEST VARS'!$S$70*($Z140)+'LINEST VARS'!$R$70*(4)+'LINEST VARS'!$Q$70*(0.5)+'LINEST VARS'!$P$70*(12.73)+'LINEST VARS'!$O$70*($AS$128^2)+'LINEST VARS'!$N$70*($Z140^2)+'LINEST VARS'!$M$70*(4^2)+'LINEST VARS'!$L$70*(0.5^2)+'LINEST VARS'!$K$70*(12.73^2)+'LINEST VARS'!$J$70*($AS$128*$Z140)+'LINEST VARS'!$I$70*($AS$128*4)+'LINEST VARS'!$H$70*($AS$128*0.5)+'LINEST VARS'!$G$70*($AS$128*12.73)+'LINEST VARS'!$F$70*($Z140*4)+'LINEST VARS'!$E$70*($Z140*0.5)+'LINEST VARS'!$D$70*($Z140*12.73)+'LINEST VARS'!$C$70*(4*0.5)+'LINEST VARS'!$B$70*(4*12.73)+'LINEST VARS'!$A$70*(0.5*12.73)</f>
        <v>88.090000000000018</v>
      </c>
      <c r="AT140" s="46">
        <f>'LINEST VARS'!$U$70+'LINEST VARS'!$T$70*($AT$128)+'LINEST VARS'!$S$70*($Z140)+'LINEST VARS'!$R$70*(4)+'LINEST VARS'!$Q$70*(0.5)+'LINEST VARS'!$P$70*(12.73)+'LINEST VARS'!$O$70*($AT$128^2)+'LINEST VARS'!$N$70*($Z140^2)+'LINEST VARS'!$M$70*(4^2)+'LINEST VARS'!$L$70*(0.5^2)+'LINEST VARS'!$K$70*(12.73^2)+'LINEST VARS'!$J$70*($AT$128*$Z140)+'LINEST VARS'!$I$70*($AT$128*4)+'LINEST VARS'!$H$70*($AT$128*0.5)+'LINEST VARS'!$G$70*($AT$128*12.73)+'LINEST VARS'!$F$70*($Z140*4)+'LINEST VARS'!$E$70*($Z140*0.5)+'LINEST VARS'!$D$70*($Z140*12.73)+'LINEST VARS'!$C$70*(4*0.5)+'LINEST VARS'!$B$70*(4*12.73)+'LINEST VARS'!$A$70*(0.5*12.73)</f>
        <v>88.090000000000018</v>
      </c>
      <c r="AU140" s="47">
        <f>'LINEST VARS'!$U$70+'LINEST VARS'!$T$70*($AU$128)+'LINEST VARS'!$S$70*($Z140)+'LINEST VARS'!$R$70*(4)+'LINEST VARS'!$Q$70*(0.5)+'LINEST VARS'!$P$70*(12.73)+'LINEST VARS'!$O$70*($AU$128^2)+'LINEST VARS'!$N$70*($Z140^2)+'LINEST VARS'!$M$70*(4^2)+'LINEST VARS'!$L$70*(0.5^2)+'LINEST VARS'!$K$70*(12.73^2)+'LINEST VARS'!$J$70*($AU$128*$Z140)+'LINEST VARS'!$I$70*($AU$128*4)+'LINEST VARS'!$H$70*($AU$128*0.5)+'LINEST VARS'!$G$70*($AU$128*12.73)+'LINEST VARS'!$F$70*($Z140*4)+'LINEST VARS'!$E$70*($Z140*0.5)+'LINEST VARS'!$D$70*($Z140*12.73)+'LINEST VARS'!$C$70*(4*0.5)+'LINEST VARS'!$B$70*(4*12.73)+'LINEST VARS'!$A$70*(0.5*12.73)</f>
        <v>88.090000000000018</v>
      </c>
      <c r="AZ140" s="45">
        <v>0.55000000000000004</v>
      </c>
      <c r="BA140" s="46">
        <f>'LINEST VARS'!$U$68+'LINEST VARS'!$T$68*(8)+'LINEST VARS'!$S$68*(8)+'LINEST VARS'!$R$68*($BA$128)+'LINEST VARS'!$Q$68*($AZ140)+'LINEST VARS'!$P$68*(12.73)+'LINEST VARS'!$O$68*(8^2)+'LINEST VARS'!$N$68*(8^2)+'LINEST VARS'!$M$68*($BA$128^2)+'LINEST VARS'!$L$68*($AZ140^2)+'LINEST VARS'!$K$68*(12.73^2)+'LINEST VARS'!$J$68*(8*8)+'LINEST VARS'!$I$68*(8*$BA$128)+'LINEST VARS'!$H$68*(8*$AZ140)+'LINEST VARS'!$G$68*(8*12.73)+'LINEST VARS'!$F$68*(8*$BA$128)+'LINEST VARS'!$E$68*(8*$AZ140)+'LINEST VARS'!$D$68*(8*12.73)+'LINEST VARS'!$C$68*($BA$128*$AZ140)+'LINEST VARS'!$B$68*($BA$128*12.73)+'LINEST VARS'!$A$68*($AZ140*12.73)</f>
        <v>148.79</v>
      </c>
      <c r="BB140" s="46">
        <f>'LINEST VARS'!$U$68+'LINEST VARS'!$T$68*(8)+'LINEST VARS'!$S$68*(8)+'LINEST VARS'!$R$68*($BB$128)+'LINEST VARS'!$Q$68*($AZ140)+'LINEST VARS'!$P$68*(12.73)+'LINEST VARS'!$O$68*(8^2)+'LINEST VARS'!$N$68*(8^2)+'LINEST VARS'!$M$68*($BB$128^2)+'LINEST VARS'!$L$68*($AZ140^2)+'LINEST VARS'!$K$68*(12.73^2)+'LINEST VARS'!$J$68*(8*8)+'LINEST VARS'!$I$68*(8*$BB$128)+'LINEST VARS'!$H$68*(8*$AZ140)+'LINEST VARS'!$G$68*(8*12.73)+'LINEST VARS'!$F$68*(8*$BB$128)+'LINEST VARS'!$E$68*(8*$AZ140)+'LINEST VARS'!$D$68*(8*12.73)+'LINEST VARS'!$C$68*($BB$128*$AZ140)+'LINEST VARS'!$B$68*($BB$128*12.73)+'LINEST VARS'!$A$68*($AZ140*12.73)</f>
        <v>148.79</v>
      </c>
      <c r="BC140" s="46">
        <f>'LINEST VARS'!$U$68+'LINEST VARS'!$T$68*(8)+'LINEST VARS'!$S$68*(8)+'LINEST VARS'!$R$68*($BC$128)+'LINEST VARS'!$Q$68*($AZ140)+'LINEST VARS'!$P$68*(12.73)+'LINEST VARS'!$O$68*(8^2)+'LINEST VARS'!$N$68*(8^2)+'LINEST VARS'!$M$68*($BC$128^2)+'LINEST VARS'!$L$68*($AZ140^2)+'LINEST VARS'!$K$68*(12.73^2)+'LINEST VARS'!$J$68*(8*8)+'LINEST VARS'!$I$68*(8*$BC$128)+'LINEST VARS'!$H$68*(8*$AZ140)+'LINEST VARS'!$G$68*(8*12.73)+'LINEST VARS'!$F$68*(8*$BC$128)+'LINEST VARS'!$E$68*(8*$AZ140)+'LINEST VARS'!$D$68*(8*12.73)+'LINEST VARS'!$C$68*($BC$128*$AZ140)+'LINEST VARS'!$B$68*($BC$128*12.73)+'LINEST VARS'!$A$68*($AZ140*12.73)</f>
        <v>148.79</v>
      </c>
      <c r="BD140" s="46">
        <f>'LINEST VARS'!$U$68+'LINEST VARS'!$T$68*(8)+'LINEST VARS'!$S$68*(8)+'LINEST VARS'!$R$68*($BD$128)+'LINEST VARS'!$Q$68*($AZ140)+'LINEST VARS'!$P$68*(12.73)+'LINEST VARS'!$O$68*(8^2)+'LINEST VARS'!$N$68*(8^2)+'LINEST VARS'!$M$68*($BD$128^2)+'LINEST VARS'!$L$68*($AZ140^2)+'LINEST VARS'!$K$68*(12.73^2)+'LINEST VARS'!$J$68*(8*8)+'LINEST VARS'!$I$68*(8*$BD$128)+'LINEST VARS'!$H$68*(8*$AZ140)+'LINEST VARS'!$G$68*(8*12.73)+'LINEST VARS'!$F$68*(8*$BD$128)+'LINEST VARS'!$E$68*(8*$AZ140)+'LINEST VARS'!$D$68*(8*12.73)+'LINEST VARS'!$C$68*($BD$128*$AZ140)+'LINEST VARS'!$B$68*($BD$128*12.73)+'LINEST VARS'!$A$68*($AZ140*12.73)</f>
        <v>148.79</v>
      </c>
      <c r="BE140" s="46">
        <f>'LINEST VARS'!$U$68+'LINEST VARS'!$T$68*(8)+'LINEST VARS'!$S$68*(8)+'LINEST VARS'!$R$68*($BE$128)+'LINEST VARS'!$Q$68*($AZ140)+'LINEST VARS'!$P$68*(12.73)+'LINEST VARS'!$O$68*(8^2)+'LINEST VARS'!$N$68*(8^2)+'LINEST VARS'!$M$68*($BE$128^2)+'LINEST VARS'!$L$68*($AZ140^2)+'LINEST VARS'!$K$68*(12.73^2)+'LINEST VARS'!$J$68*(8*8)+'LINEST VARS'!$I$68*(8*$BE$128)+'LINEST VARS'!$H$68*(8*$AZ140)+'LINEST VARS'!$G$68*(8*12.73)+'LINEST VARS'!$F$68*(8*$BE$128)+'LINEST VARS'!$E$68*(8*$AZ140)+'LINEST VARS'!$D$68*(8*12.73)+'LINEST VARS'!$C$68*($BE$128*$AZ140)+'LINEST VARS'!$B$68*($BE$128*12.73)+'LINEST VARS'!$A$68*($AZ140*12.73)</f>
        <v>148.79</v>
      </c>
      <c r="BF140" s="46">
        <f>'LINEST VARS'!$U$68+'LINEST VARS'!$T$68*(8)+'LINEST VARS'!$S$68*(8)+'LINEST VARS'!$R$68*($BF$128)+'LINEST VARS'!$Q$68*($AZ140)+'LINEST VARS'!$P$68*(12.73)+'LINEST VARS'!$O$68*(8^2)+'LINEST VARS'!$N$68*(8^2)+'LINEST VARS'!$M$68*($BF$128^2)+'LINEST VARS'!$L$68*($AZ140^2)+'LINEST VARS'!$K$68*(12.73^2)+'LINEST VARS'!$J$68*(8*8)+'LINEST VARS'!$I$68*(8*$BF$128)+'LINEST VARS'!$H$68*(8*$AZ140)+'LINEST VARS'!$G$68*(8*12.73)+'LINEST VARS'!$F$68*(8*$BF$128)+'LINEST VARS'!$E$68*(8*$AZ140)+'LINEST VARS'!$D$68*(8*12.73)+'LINEST VARS'!$C$68*($BF$128*$AZ140)+'LINEST VARS'!$B$68*($BF$128*12.73)+'LINEST VARS'!$A$68*($AZ140*12.73)</f>
        <v>148.79</v>
      </c>
      <c r="BG140" s="46">
        <f>'LINEST VARS'!$U$68+'LINEST VARS'!$T$68*(8)+'LINEST VARS'!$S$68*(8)+'LINEST VARS'!$R$68*($BG$128)+'LINEST VARS'!$Q$68*($AZ140)+'LINEST VARS'!$P$68*(12.73)+'LINEST VARS'!$O$68*(8^2)+'LINEST VARS'!$N$68*(8^2)+'LINEST VARS'!$M$68*($BG$128^2)+'LINEST VARS'!$L$68*($AZ140^2)+'LINEST VARS'!$K$68*(12.73^2)+'LINEST VARS'!$J$68*(8*8)+'LINEST VARS'!$I$68*(8*$BG$128)+'LINEST VARS'!$H$68*(8*$AZ140)+'LINEST VARS'!$G$68*(8*12.73)+'LINEST VARS'!$F$68*(8*$BG$128)+'LINEST VARS'!$E$68*(8*$AZ140)+'LINEST VARS'!$D$68*(8*12.73)+'LINEST VARS'!$C$68*($BG$128*$AZ140)+'LINEST VARS'!$B$68*($BG$128*12.73)+'LINEST VARS'!$A$68*($AZ140*12.73)</f>
        <v>148.79</v>
      </c>
      <c r="BH140" s="46">
        <f>'LINEST VARS'!$U$68+'LINEST VARS'!$T$68*(8)+'LINEST VARS'!$S$68*(8)+'LINEST VARS'!$R$68*($BH$128)+'LINEST VARS'!$Q$68*($AZ140)+'LINEST VARS'!$P$68*(12.73)+'LINEST VARS'!$O$68*(8^2)+'LINEST VARS'!$N$68*(8^2)+'LINEST VARS'!$M$68*($BH$128^2)+'LINEST VARS'!$L$68*($AZ140^2)+'LINEST VARS'!$K$68*(12.73^2)+'LINEST VARS'!$J$68*(8*8)+'LINEST VARS'!$I$68*(8*$BH$128)+'LINEST VARS'!$H$68*(8*$AZ140)+'LINEST VARS'!$G$68*(8*12.73)+'LINEST VARS'!$F$68*(8*$BH$128)+'LINEST VARS'!$E$68*(8*$AZ140)+'LINEST VARS'!$D$68*(8*12.73)+'LINEST VARS'!$C$68*($BH$128*$AZ140)+'LINEST VARS'!$B$68*($BH$128*12.73)+'LINEST VARS'!$A$68*($AZ140*12.73)</f>
        <v>148.79</v>
      </c>
      <c r="BI140" s="46">
        <f>'LINEST VARS'!$U$68+'LINEST VARS'!$T$68*(8)+'LINEST VARS'!$S$68*(8)+'LINEST VARS'!$R$68*($BI$128)+'LINEST VARS'!$Q$68*($AZ140)+'LINEST VARS'!$P$68*(12.73)+'LINEST VARS'!$O$68*(8^2)+'LINEST VARS'!$N$68*(8^2)+'LINEST VARS'!$M$68*($BI$128^2)+'LINEST VARS'!$L$68*($AZ140^2)+'LINEST VARS'!$K$68*(12.73^2)+'LINEST VARS'!$J$68*(8*8)+'LINEST VARS'!$I$68*(8*$BI$128)+'LINEST VARS'!$H$68*(8*$AZ140)+'LINEST VARS'!$G$68*(8*12.73)+'LINEST VARS'!$F$68*(8*$BI$128)+'LINEST VARS'!$E$68*(8*$AZ140)+'LINEST VARS'!$D$68*(8*12.73)+'LINEST VARS'!$C$68*($BI$128*$AZ140)+'LINEST VARS'!$B$68*($BI$128*12.73)+'LINEST VARS'!$A$68*($AZ140*12.73)</f>
        <v>148.79</v>
      </c>
      <c r="BJ140" s="46">
        <f>'LINEST VARS'!$U$68+'LINEST VARS'!$T$68*(8)+'LINEST VARS'!$S$68*(8)+'LINEST VARS'!$R$68*($BJ$128)+'LINEST VARS'!$Q$68*($AZ140)+'LINEST VARS'!$P$68*(12.73)+'LINEST VARS'!$O$68*(8^2)+'LINEST VARS'!$N$68*(8^2)+'LINEST VARS'!$M$68*($BJ$128^2)+'LINEST VARS'!$L$68*($AZ140^2)+'LINEST VARS'!$K$68*(12.73^2)+'LINEST VARS'!$J$68*(8*8)+'LINEST VARS'!$I$68*(8*$BJ$128)+'LINEST VARS'!$H$68*(8*$AZ140)+'LINEST VARS'!$G$68*(8*12.73)+'LINEST VARS'!$F$68*(8*$BJ$128)+'LINEST VARS'!$E$68*(8*$AZ140)+'LINEST VARS'!$D$68*(8*12.73)+'LINEST VARS'!$C$68*($BJ$128*$AZ140)+'LINEST VARS'!$B$68*($BJ$128*12.73)+'LINEST VARS'!$A$68*($AZ140*12.73)</f>
        <v>148.79</v>
      </c>
      <c r="BK140" s="46">
        <f>'LINEST VARS'!$U$68+'LINEST VARS'!$T$68*(8)+'LINEST VARS'!$S$68*(8)+'LINEST VARS'!$R$68*($BK$128)+'LINEST VARS'!$Q$68*($AZ140)+'LINEST VARS'!$P$68*(12.73)+'LINEST VARS'!$O$68*(8^2)+'LINEST VARS'!$N$68*(8^2)+'LINEST VARS'!$M$68*($BK$128^2)+'LINEST VARS'!$L$68*($AZ140^2)+'LINEST VARS'!$K$68*(12.73^2)+'LINEST VARS'!$J$68*(8*8)+'LINEST VARS'!$I$68*(8*$BK$128)+'LINEST VARS'!$H$68*(8*$AZ140)+'LINEST VARS'!$G$68*(8*12.73)+'LINEST VARS'!$F$68*(8*$BK$128)+'LINEST VARS'!$E$68*(8*$AZ140)+'LINEST VARS'!$D$68*(8*12.73)+'LINEST VARS'!$C$68*($BK$128*$AZ140)+'LINEST VARS'!$B$68*($BK$128*12.73)+'LINEST VARS'!$A$68*($AZ140*12.73)</f>
        <v>148.79</v>
      </c>
      <c r="BL140" s="46">
        <f>'LINEST VARS'!$U$68+'LINEST VARS'!$T$68*(8)+'LINEST VARS'!$S$68*(8)+'LINEST VARS'!$R$68*($BL$128)+'LINEST VARS'!$Q$68*($AZ140)+'LINEST VARS'!$P$68*(12.73)+'LINEST VARS'!$O$68*(8^2)+'LINEST VARS'!$N$68*(8^2)+'LINEST VARS'!$M$68*($BL$128^2)+'LINEST VARS'!$L$68*($AZ140^2)+'LINEST VARS'!$K$68*(12.73^2)+'LINEST VARS'!$J$68*(8*8)+'LINEST VARS'!$I$68*(8*$BL$128)+'LINEST VARS'!$H$68*(8*$AZ140)+'LINEST VARS'!$G$68*(8*12.73)+'LINEST VARS'!$F$68*(8*$BL$128)+'LINEST VARS'!$E$68*(8*$AZ140)+'LINEST VARS'!$D$68*(8*12.73)+'LINEST VARS'!$C$68*($BL$128*$AZ140)+'LINEST VARS'!$B$68*($BL$128*12.73)+'LINEST VARS'!$A$68*($AZ140*12.73)</f>
        <v>148.79</v>
      </c>
      <c r="BM140" s="46">
        <f>'LINEST VARS'!$U$68+'LINEST VARS'!$T$68*(8)+'LINEST VARS'!$S$68*(8)+'LINEST VARS'!$R$68*($BM$128)+'LINEST VARS'!$Q$68*($AZ140)+'LINEST VARS'!$P$68*(12.73)+'LINEST VARS'!$O$68*(8^2)+'LINEST VARS'!$N$68*(8^2)+'LINEST VARS'!$M$68*($BM$128^2)+'LINEST VARS'!$L$68*($AZ140^2)+'LINEST VARS'!$K$68*(12.73^2)+'LINEST VARS'!$J$68*(8*8)+'LINEST VARS'!$I$68*(8*$BM$128)+'LINEST VARS'!$H$68*(8*$AZ140)+'LINEST VARS'!$G$68*(8*12.73)+'LINEST VARS'!$F$68*(8*$BM$128)+'LINEST VARS'!$E$68*(8*$AZ140)+'LINEST VARS'!$D$68*(8*12.73)+'LINEST VARS'!$C$68*($BM$128*$AZ140)+'LINEST VARS'!$B$68*($BM$128*12.73)+'LINEST VARS'!$A$68*($AZ140*12.73)</f>
        <v>148.79</v>
      </c>
      <c r="BN140" s="46">
        <f>'LINEST VARS'!$U$68+'LINEST VARS'!$T$68*(8)+'LINEST VARS'!$S$68*(8)+'LINEST VARS'!$R$68*($BN$128)+'LINEST VARS'!$Q$68*($AZ140)+'LINEST VARS'!$P$68*(12.73)+'LINEST VARS'!$O$68*(8^2)+'LINEST VARS'!$N$68*(8^2)+'LINEST VARS'!$M$68*($BN$128^2)+'LINEST VARS'!$L$68*($AZ140^2)+'LINEST VARS'!$K$68*(12.73^2)+'LINEST VARS'!$J$68*(8*8)+'LINEST VARS'!$I$68*(8*$BN$128)+'LINEST VARS'!$H$68*(8*$AZ140)+'LINEST VARS'!$G$68*(8*12.73)+'LINEST VARS'!$F$68*(8*$BN$128)+'LINEST VARS'!$E$68*(8*$AZ140)+'LINEST VARS'!$D$68*(8*12.73)+'LINEST VARS'!$C$68*($BN$128*$AZ140)+'LINEST VARS'!$B$68*($BN$128*12.73)+'LINEST VARS'!$A$68*($AZ140*12.73)</f>
        <v>148.79</v>
      </c>
      <c r="BO140" s="46">
        <f>'LINEST VARS'!$U$68+'LINEST VARS'!$T$68*(8)+'LINEST VARS'!$S$68*(8)+'LINEST VARS'!$R$68*($BO$128)+'LINEST VARS'!$Q$68*($AZ140)+'LINEST VARS'!$P$68*(12.73)+'LINEST VARS'!$O$68*(8^2)+'LINEST VARS'!$N$68*(8^2)+'LINEST VARS'!$M$68*($BO$128^2)+'LINEST VARS'!$L$68*($AZ140^2)+'LINEST VARS'!$K$68*(12.73^2)+'LINEST VARS'!$J$68*(8*8)+'LINEST VARS'!$I$68*(8*$BO$128)+'LINEST VARS'!$H$68*(8*$AZ140)+'LINEST VARS'!$G$68*(8*12.73)+'LINEST VARS'!$F$68*(8*$BO$128)+'LINEST VARS'!$E$68*(8*$AZ140)+'LINEST VARS'!$D$68*(8*12.73)+'LINEST VARS'!$C$68*($BO$128*$AZ140)+'LINEST VARS'!$B$68*($BO$128*12.73)+'LINEST VARS'!$A$68*($AZ140*12.73)</f>
        <v>148.79</v>
      </c>
      <c r="BP140" s="46">
        <f>'LINEST VARS'!$U$68+'LINEST VARS'!$T$68*(8)+'LINEST VARS'!$S$68*(8)+'LINEST VARS'!$R$68*($BP$128)+'LINEST VARS'!$Q$68*($AZ140)+'LINEST VARS'!$P$68*(12.73)+'LINEST VARS'!$O$68*(8^2)+'LINEST VARS'!$N$68*(8^2)+'LINEST VARS'!$M$68*($BP$128^2)+'LINEST VARS'!$L$68*($AZ140^2)+'LINEST VARS'!$K$68*(12.73^2)+'LINEST VARS'!$J$68*(8*8)+'LINEST VARS'!$I$68*(8*$BP$128)+'LINEST VARS'!$H$68*(8*$AZ140)+'LINEST VARS'!$G$68*(8*12.73)+'LINEST VARS'!$F$68*(8*$BP$128)+'LINEST VARS'!$E$68*(8*$AZ140)+'LINEST VARS'!$D$68*(8*12.73)+'LINEST VARS'!$C$68*($BP$128*$AZ140)+'LINEST VARS'!$B$68*($BP$128*12.73)+'LINEST VARS'!$A$68*($AZ140*12.73)</f>
        <v>148.79</v>
      </c>
      <c r="BQ140" s="46">
        <f>'LINEST VARS'!$U$68+'LINEST VARS'!$T$68*(8)+'LINEST VARS'!$S$68*(8)+'LINEST VARS'!$R$68*($BQ$128)+'LINEST VARS'!$Q$68*($AZ140)+'LINEST VARS'!$P$68*(12.73)+'LINEST VARS'!$O$68*(8^2)+'LINEST VARS'!$N$68*(8^2)+'LINEST VARS'!$M$68*($BQ$128^2)+'LINEST VARS'!$L$68*($AZ140^2)+'LINEST VARS'!$K$68*(12.73^2)+'LINEST VARS'!$J$68*(8*8)+'LINEST VARS'!$I$68*(8*$BQ$128)+'LINEST VARS'!$H$68*(8*$AZ140)+'LINEST VARS'!$G$68*(8*12.73)+'LINEST VARS'!$F$68*(8*$BQ$128)+'LINEST VARS'!$E$68*(8*$AZ140)+'LINEST VARS'!$D$68*(8*12.73)+'LINEST VARS'!$C$68*($BQ$128*$AZ140)+'LINEST VARS'!$B$68*($BQ$128*12.73)+'LINEST VARS'!$A$68*($AZ140*12.73)</f>
        <v>148.79</v>
      </c>
      <c r="BR140" s="46">
        <f>'LINEST VARS'!$U$68+'LINEST VARS'!$T$68*(8)+'LINEST VARS'!$S$68*(8)+'LINEST VARS'!$R$68*($BR$128)+'LINEST VARS'!$Q$68*($AZ140)+'LINEST VARS'!$P$68*(12.73)+'LINEST VARS'!$O$68*(8^2)+'LINEST VARS'!$N$68*(8^2)+'LINEST VARS'!$M$68*($BR$128^2)+'LINEST VARS'!$L$68*($AZ140^2)+'LINEST VARS'!$K$68*(12.73^2)+'LINEST VARS'!$J$68*(8*8)+'LINEST VARS'!$I$68*(8*$BR$128)+'LINEST VARS'!$H$68*(8*$AZ140)+'LINEST VARS'!$G$68*(8*12.73)+'LINEST VARS'!$F$68*(8*$BR$128)+'LINEST VARS'!$E$68*(8*$AZ140)+'LINEST VARS'!$D$68*(8*12.73)+'LINEST VARS'!$C$68*($BR$128*$AZ140)+'LINEST VARS'!$B$68*($BR$128*12.73)+'LINEST VARS'!$A$68*($AZ140*12.73)</f>
        <v>148.79</v>
      </c>
      <c r="BS140" s="46">
        <f>'LINEST VARS'!$U$68+'LINEST VARS'!$T$68*(8)+'LINEST VARS'!$S$68*(8)+'LINEST VARS'!$R$68*($BS$128)+'LINEST VARS'!$Q$68*($AZ140)+'LINEST VARS'!$P$68*(12.73)+'LINEST VARS'!$O$68*(8^2)+'LINEST VARS'!$N$68*(8^2)+'LINEST VARS'!$M$68*($BS$128^2)+'LINEST VARS'!$L$68*($AZ140^2)+'LINEST VARS'!$K$68*(12.73^2)+'LINEST VARS'!$J$68*(8*8)+'LINEST VARS'!$I$68*(8*$BS$128)+'LINEST VARS'!$H$68*(8*$AZ140)+'LINEST VARS'!$G$68*(8*12.73)+'LINEST VARS'!$F$68*(8*$BS$128)+'LINEST VARS'!$E$68*(8*$AZ140)+'LINEST VARS'!$D$68*(8*12.73)+'LINEST VARS'!$C$68*($BS$128*$AZ140)+'LINEST VARS'!$B$68*($BS$128*12.73)+'LINEST VARS'!$A$68*($AZ140*12.73)</f>
        <v>148.79</v>
      </c>
      <c r="BT140" s="46">
        <f>'LINEST VARS'!$U$68+'LINEST VARS'!$T$68*(8)+'LINEST VARS'!$S$68*(8)+'LINEST VARS'!$R$68*($BT$128)+'LINEST VARS'!$Q$68*($AZ140)+'LINEST VARS'!$P$68*(12.73)+'LINEST VARS'!$O$68*(8^2)+'LINEST VARS'!$N$68*(8^2)+'LINEST VARS'!$M$68*($BT$128^2)+'LINEST VARS'!$L$68*($AZ140^2)+'LINEST VARS'!$K$68*(12.73^2)+'LINEST VARS'!$J$68*(8*8)+'LINEST VARS'!$I$68*(8*$BT$128)+'LINEST VARS'!$H$68*(8*$AZ140)+'LINEST VARS'!$G$68*(8*12.73)+'LINEST VARS'!$F$68*(8*$BT$128)+'LINEST VARS'!$E$68*(8*$AZ140)+'LINEST VARS'!$D$68*(8*12.73)+'LINEST VARS'!$C$68*($BT$128*$AZ140)+'LINEST VARS'!$B$68*($BT$128*12.73)+'LINEST VARS'!$A$68*($AZ140*12.73)</f>
        <v>148.79</v>
      </c>
      <c r="BU140" s="47">
        <f>'LINEST VARS'!$U$68+'LINEST VARS'!$T$68*(8)+'LINEST VARS'!$S$68*(8)+'LINEST VARS'!$R$68*($BU$128)+'LINEST VARS'!$Q$68*($AZ140)+'LINEST VARS'!$P$68*(12.73)+'LINEST VARS'!$O$68*(8^2)+'LINEST VARS'!$N$68*(8^2)+'LINEST VARS'!$M$68*($BU$128^2)+'LINEST VARS'!$L$68*($AZ140^2)+'LINEST VARS'!$K$68*(12.73^2)+'LINEST VARS'!$J$68*(8*8)+'LINEST VARS'!$I$68*(8*$BU$128)+'LINEST VARS'!$H$68*(8*$AZ140)+'LINEST VARS'!$G$68*(8*12.73)+'LINEST VARS'!$F$68*(8*$BU$128)+'LINEST VARS'!$E$68*(8*$AZ140)+'LINEST VARS'!$D$68*(8*12.73)+'LINEST VARS'!$C$68*($BU$128*$AZ140)+'LINEST VARS'!$B$68*($BU$128*12.73)+'LINEST VARS'!$A$68*($AZ140*12.73)</f>
        <v>148.79</v>
      </c>
      <c r="BX140" s="45">
        <v>0.55000000000000004</v>
      </c>
      <c r="BY140" s="46">
        <f>'LINEST VARS'!$U$70+'LINEST VARS'!$T$70*(8)+'LINEST VARS'!$S$70*(8)+'LINEST VARS'!$R$70*($BY$128)+'LINEST VARS'!$Q$70*($BX140)+'LINEST VARS'!$P$70*(12.73)+'LINEST VARS'!$O$70*(8^2)+'LINEST VARS'!$N$70*(8^2)+'LINEST VARS'!$M$70*($BY$128^2)+'LINEST VARS'!$L$70*($BX140^2)+'LINEST VARS'!$K$70*(12.73^2)+'LINEST VARS'!$J$70*(8*8)+'LINEST VARS'!$I$70*(8*$BY$128)+'LINEST VARS'!$H$70*(8*$BX140)+'LINEST VARS'!$G$70*(8*12.73)+'LINEST VARS'!$F$70*(8*$BY$128)+'LINEST VARS'!$E$70*(8*$BX140)+'LINEST VARS'!$D$70*(8*12.73)+'LINEST VARS'!$C$70*($BY$128*$BX140)+'LINEST VARS'!$B$70*($BY$128*12.73)+'LINEST VARS'!$A$70*($BX140*12.73)</f>
        <v>92.000000000000014</v>
      </c>
      <c r="BZ140" s="46">
        <f>'LINEST VARS'!$U$70+'LINEST VARS'!$T$70*(8)+'LINEST VARS'!$S$70*(8)+'LINEST VARS'!$R$70*($BZ$128)+'LINEST VARS'!$Q$70*($BX140)+'LINEST VARS'!$P$70*(12.73)+'LINEST VARS'!$O$70*(8^2)+'LINEST VARS'!$N$70*(8^2)+'LINEST VARS'!$M$70*($BZ$128^2)+'LINEST VARS'!$L$70*($BX140^2)+'LINEST VARS'!$K$70*(12.73^2)+'LINEST VARS'!$J$70*(8*8)+'LINEST VARS'!$I$70*(8*$BZ$128)+'LINEST VARS'!$H$70*(8*$BX140)+'LINEST VARS'!$G$70*(8*12.73)+'LINEST VARS'!$F$70*(8*$BZ$128)+'LINEST VARS'!$E$70*(8*$BX140)+'LINEST VARS'!$D$70*(8*12.73)+'LINEST VARS'!$C$70*($BZ$128*$BX140)+'LINEST VARS'!$B$70*($BZ$128*12.73)+'LINEST VARS'!$A$70*($BX140*12.73)</f>
        <v>91.600000000000009</v>
      </c>
      <c r="CA140" s="46">
        <f>'LINEST VARS'!$U$70+'LINEST VARS'!$T$70*(8)+'LINEST VARS'!$S$70*(8)+'LINEST VARS'!$R$70*($CA$128)+'LINEST VARS'!$Q$70*($BX140)+'LINEST VARS'!$P$70*(12.73)+'LINEST VARS'!$O$70*(8^2)+'LINEST VARS'!$N$70*(8^2)+'LINEST VARS'!$M$70*($CA$128^2)+'LINEST VARS'!$L$70*($BX140^2)+'LINEST VARS'!$K$70*(12.73^2)+'LINEST VARS'!$J$70*(8*8)+'LINEST VARS'!$I$70*(8*$CA$128)+'LINEST VARS'!$H$70*(8*$BX140)+'LINEST VARS'!$G$70*(8*12.73)+'LINEST VARS'!$F$70*(8*$CA$128)+'LINEST VARS'!$E$70*(8*$BX140)+'LINEST VARS'!$D$70*(8*12.73)+'LINEST VARS'!$C$70*($CA$128*$BX140)+'LINEST VARS'!$B$70*($CA$128*12.73)+'LINEST VARS'!$A$70*($BX140*12.73)</f>
        <v>91.200000000000017</v>
      </c>
      <c r="CB140" s="46">
        <f>'LINEST VARS'!$U$70+'LINEST VARS'!$T$70*(8)+'LINEST VARS'!$S$70*(8)+'LINEST VARS'!$R$70*($CB$128)+'LINEST VARS'!$Q$70*($BX140)+'LINEST VARS'!$P$70*(12.73)+'LINEST VARS'!$O$70*(8^2)+'LINEST VARS'!$N$70*(8^2)+'LINEST VARS'!$M$70*($CB$128^2)+'LINEST VARS'!$L$70*($BX140^2)+'LINEST VARS'!$K$70*(12.73^2)+'LINEST VARS'!$J$70*(8*8)+'LINEST VARS'!$I$70*(8*$CB$128)+'LINEST VARS'!$H$70*(8*$BX140)+'LINEST VARS'!$G$70*(8*12.73)+'LINEST VARS'!$F$70*(8*$CB$128)+'LINEST VARS'!$E$70*(8*$BX140)+'LINEST VARS'!$D$70*(8*12.73)+'LINEST VARS'!$C$70*($CB$128*$BX140)+'LINEST VARS'!$B$70*($CB$128*12.73)+'LINEST VARS'!$A$70*($BX140*12.73)</f>
        <v>90.800000000000011</v>
      </c>
      <c r="CC140" s="46">
        <f>'LINEST VARS'!$U$70+'LINEST VARS'!$T$70*(8)+'LINEST VARS'!$S$70*(8)+'LINEST VARS'!$R$70*($CC$128)+'LINEST VARS'!$Q$70*($BX140)+'LINEST VARS'!$P$70*(12.73)+'LINEST VARS'!$O$70*(8^2)+'LINEST VARS'!$N$70*(8^2)+'LINEST VARS'!$M$70*($CC$128^2)+'LINEST VARS'!$L$70*($BX140^2)+'LINEST VARS'!$K$70*(12.73^2)+'LINEST VARS'!$J$70*(8*8)+'LINEST VARS'!$I$70*(8*$CC$128)+'LINEST VARS'!$H$70*(8*$BX140)+'LINEST VARS'!$G$70*(8*12.73)+'LINEST VARS'!$F$70*(8*$CC$128)+'LINEST VARS'!$E$70*(8*$BX140)+'LINEST VARS'!$D$70*(8*12.73)+'LINEST VARS'!$C$70*($CC$128*$BX140)+'LINEST VARS'!$B$70*($CC$128*12.73)+'LINEST VARS'!$A$70*($BX140*12.73)</f>
        <v>90.40000000000002</v>
      </c>
      <c r="CD140" s="46">
        <f>'LINEST VARS'!$U$70+'LINEST VARS'!$T$70*(8)+'LINEST VARS'!$S$70*(8)+'LINEST VARS'!$R$70*($CD$128)+'LINEST VARS'!$Q$70*($BX140)+'LINEST VARS'!$P$70*(12.73)+'LINEST VARS'!$O$70*(8^2)+'LINEST VARS'!$N$70*(8^2)+'LINEST VARS'!$M$70*($CD$128^2)+'LINEST VARS'!$L$70*($BX140^2)+'LINEST VARS'!$K$70*(12.73^2)+'LINEST VARS'!$J$70*(8*8)+'LINEST VARS'!$I$70*(8*$CD$128)+'LINEST VARS'!$H$70*(8*$BX140)+'LINEST VARS'!$G$70*(8*12.73)+'LINEST VARS'!$F$70*(8*$CD$128)+'LINEST VARS'!$E$70*(8*$BX140)+'LINEST VARS'!$D$70*(8*12.73)+'LINEST VARS'!$C$70*($CD$128*$BX140)+'LINEST VARS'!$B$70*($CD$128*12.73)+'LINEST VARS'!$A$70*($BX140*12.73)</f>
        <v>90.000000000000014</v>
      </c>
      <c r="CE140" s="46">
        <f>'LINEST VARS'!$U$70+'LINEST VARS'!$T$70*(8)+'LINEST VARS'!$S$70*(8)+'LINEST VARS'!$R$70*($CE$128)+'LINEST VARS'!$Q$70*($BX140)+'LINEST VARS'!$P$70*(12.73)+'LINEST VARS'!$O$70*(8^2)+'LINEST VARS'!$N$70*(8^2)+'LINEST VARS'!$M$70*($CE$128^2)+'LINEST VARS'!$L$70*($BX140^2)+'LINEST VARS'!$K$70*(12.73^2)+'LINEST VARS'!$J$70*(8*8)+'LINEST VARS'!$I$70*(8*$CE$128)+'LINEST VARS'!$H$70*(8*$BX140)+'LINEST VARS'!$G$70*(8*12.73)+'LINEST VARS'!$F$70*(8*$CE$128)+'LINEST VARS'!$E$70*(8*$BX140)+'LINEST VARS'!$D$70*(8*12.73)+'LINEST VARS'!$C$70*($CE$128*$BX140)+'LINEST VARS'!$B$70*($CE$128*12.73)+'LINEST VARS'!$A$70*($BX140*12.73)</f>
        <v>89.600000000000023</v>
      </c>
      <c r="CF140" s="46">
        <f>'LINEST VARS'!$U$70+'LINEST VARS'!$T$70*(8)+'LINEST VARS'!$S$70*(8)+'LINEST VARS'!$R$70*($CF$128)+'LINEST VARS'!$Q$70*($BX140)+'LINEST VARS'!$P$70*(12.73)+'LINEST VARS'!$O$70*(8^2)+'LINEST VARS'!$N$70*(8^2)+'LINEST VARS'!$M$70*($CF$128^2)+'LINEST VARS'!$L$70*($BX140^2)+'LINEST VARS'!$K$70*(12.73^2)+'LINEST VARS'!$J$70*(8*8)+'LINEST VARS'!$I$70*(8*$CF$128)+'LINEST VARS'!$H$70*(8*$BX140)+'LINEST VARS'!$G$70*(8*12.73)+'LINEST VARS'!$F$70*(8*$CF$128)+'LINEST VARS'!$E$70*(8*$BX140)+'LINEST VARS'!$D$70*(8*12.73)+'LINEST VARS'!$C$70*($CF$128*$BX140)+'LINEST VARS'!$B$70*($CF$128*12.73)+'LINEST VARS'!$A$70*($BX140*12.73)</f>
        <v>89.200000000000017</v>
      </c>
      <c r="CG140" s="46">
        <f>'LINEST VARS'!$U$70+'LINEST VARS'!$T$70*(8)+'LINEST VARS'!$S$70*(8)+'LINEST VARS'!$R$70*($CG$128)+'LINEST VARS'!$Q$70*($BX140)+'LINEST VARS'!$P$70*(12.73)+'LINEST VARS'!$O$70*(8^2)+'LINEST VARS'!$N$70*(8^2)+'LINEST VARS'!$M$70*($CG$128^2)+'LINEST VARS'!$L$70*($BX140^2)+'LINEST VARS'!$K$70*(12.73^2)+'LINEST VARS'!$J$70*(8*8)+'LINEST VARS'!$I$70*(8*$CG$128)+'LINEST VARS'!$H$70*(8*$BX140)+'LINEST VARS'!$G$70*(8*12.73)+'LINEST VARS'!$F$70*(8*$CG$128)+'LINEST VARS'!$E$70*(8*$BX140)+'LINEST VARS'!$D$70*(8*12.73)+'LINEST VARS'!$C$70*($CG$128*$BX140)+'LINEST VARS'!$B$70*($CG$128*12.73)+'LINEST VARS'!$A$70*($BX140*12.73)</f>
        <v>88.800000000000026</v>
      </c>
      <c r="CH140" s="46">
        <f>'LINEST VARS'!$U$70+'LINEST VARS'!$T$70*(8)+'LINEST VARS'!$S$70*(8)+'LINEST VARS'!$R$70*($CH$128)+'LINEST VARS'!$Q$70*($BX140)+'LINEST VARS'!$P$70*(12.73)+'LINEST VARS'!$O$70*(8^2)+'LINEST VARS'!$N$70*(8^2)+'LINEST VARS'!$M$70*($CH$128^2)+'LINEST VARS'!$L$70*($BX140^2)+'LINEST VARS'!$K$70*(12.73^2)+'LINEST VARS'!$J$70*(8*8)+'LINEST VARS'!$I$70*(8*$CH$128)+'LINEST VARS'!$H$70*(8*$BX140)+'LINEST VARS'!$G$70*(8*12.73)+'LINEST VARS'!$F$70*(8*$CH$128)+'LINEST VARS'!$E$70*(8*$BX140)+'LINEST VARS'!$D$70*(8*12.73)+'LINEST VARS'!$C$70*($CH$128*$BX140)+'LINEST VARS'!$B$70*($CH$128*12.73)+'LINEST VARS'!$A$70*($BX140*12.73)</f>
        <v>88.40000000000002</v>
      </c>
      <c r="CI140" s="46">
        <f>'LINEST VARS'!$U$70+'LINEST VARS'!$T$70*(8)+'LINEST VARS'!$S$70*(8)+'LINEST VARS'!$R$70*($CI$128)+'LINEST VARS'!$Q$70*($BX140)+'LINEST VARS'!$P$70*(12.73)+'LINEST VARS'!$O$70*(8^2)+'LINEST VARS'!$N$70*(8^2)+'LINEST VARS'!$M$70*($CI$128^2)+'LINEST VARS'!$L$70*($BX140^2)+'LINEST VARS'!$K$70*(12.73^2)+'LINEST VARS'!$J$70*(8*8)+'LINEST VARS'!$I$70*(8*$CI$128)+'LINEST VARS'!$H$70*(8*$BX140)+'LINEST VARS'!$G$70*(8*12.73)+'LINEST VARS'!$F$70*(8*$CI$128)+'LINEST VARS'!$E$70*(8*$BX140)+'LINEST VARS'!$D$70*(8*12.73)+'LINEST VARS'!$C$70*($CI$128*$BX140)+'LINEST VARS'!$B$70*($CI$128*12.73)+'LINEST VARS'!$A$70*($BX140*12.73)</f>
        <v>88.000000000000014</v>
      </c>
      <c r="CJ140" s="46">
        <f>'LINEST VARS'!$U$70+'LINEST VARS'!$T$70*(8)+'LINEST VARS'!$S$70*(8)+'LINEST VARS'!$R$70*($CJ$128)+'LINEST VARS'!$Q$70*($BX140)+'LINEST VARS'!$P$70*(12.73)+'LINEST VARS'!$O$70*(8^2)+'LINEST VARS'!$N$70*(8^2)+'LINEST VARS'!$M$70*($CJ$128^2)+'LINEST VARS'!$L$70*($BX140^2)+'LINEST VARS'!$K$70*(12.73^2)+'LINEST VARS'!$J$70*(8*8)+'LINEST VARS'!$I$70*(8*$CJ$128)+'LINEST VARS'!$H$70*(8*$BX140)+'LINEST VARS'!$G$70*(8*12.73)+'LINEST VARS'!$F$70*(8*$CJ$128)+'LINEST VARS'!$E$70*(8*$BX140)+'LINEST VARS'!$D$70*(8*12.73)+'LINEST VARS'!$C$70*($CJ$128*$BX140)+'LINEST VARS'!$B$70*($CJ$128*12.73)+'LINEST VARS'!$A$70*($BX140*12.73)</f>
        <v>87.600000000000023</v>
      </c>
      <c r="CK140" s="46">
        <f>'LINEST VARS'!$U$70+'LINEST VARS'!$T$70*(8)+'LINEST VARS'!$S$70*(8)+'LINEST VARS'!$R$70*($CK$128)+'LINEST VARS'!$Q$70*($BX140)+'LINEST VARS'!$P$70*(12.73)+'LINEST VARS'!$O$70*(8^2)+'LINEST VARS'!$N$70*(8^2)+'LINEST VARS'!$M$70*($CK$128^2)+'LINEST VARS'!$L$70*($BX140^2)+'LINEST VARS'!$K$70*(12.73^2)+'LINEST VARS'!$J$70*(8*8)+'LINEST VARS'!$I$70*(8*$CK$128)+'LINEST VARS'!$H$70*(8*$BX140)+'LINEST VARS'!$G$70*(8*12.73)+'LINEST VARS'!$F$70*(8*$CK$128)+'LINEST VARS'!$E$70*(8*$BX140)+'LINEST VARS'!$D$70*(8*12.73)+'LINEST VARS'!$C$70*($CK$128*$BX140)+'LINEST VARS'!$B$70*($CK$128*12.73)+'LINEST VARS'!$A$70*($BX140*12.73)</f>
        <v>87.200000000000017</v>
      </c>
      <c r="CL140" s="46">
        <f>'LINEST VARS'!$U$70+'LINEST VARS'!$T$70*(8)+'LINEST VARS'!$S$70*(8)+'LINEST VARS'!$R$70*($CL$128)+'LINEST VARS'!$Q$70*($BX140)+'LINEST VARS'!$P$70*(12.73)+'LINEST VARS'!$O$70*(8^2)+'LINEST VARS'!$N$70*(8^2)+'LINEST VARS'!$M$70*($CL$128^2)+'LINEST VARS'!$L$70*($BX140^2)+'LINEST VARS'!$K$70*(12.73^2)+'LINEST VARS'!$J$70*(8*8)+'LINEST VARS'!$I$70*(8*$CL$128)+'LINEST VARS'!$H$70*(8*$BX140)+'LINEST VARS'!$G$70*(8*12.73)+'LINEST VARS'!$F$70*(8*$CL$128)+'LINEST VARS'!$E$70*(8*$BX140)+'LINEST VARS'!$D$70*(8*12.73)+'LINEST VARS'!$C$70*($CL$128*$BX140)+'LINEST VARS'!$B$70*($CL$128*12.73)+'LINEST VARS'!$A$70*($BX140*12.73)</f>
        <v>86.800000000000026</v>
      </c>
      <c r="CM140" s="46">
        <f>'LINEST VARS'!$U$70+'LINEST VARS'!$T$70*(8)+'LINEST VARS'!$S$70*(8)+'LINEST VARS'!$R$70*($CM$128)+'LINEST VARS'!$Q$70*($BX140)+'LINEST VARS'!$P$70*(12.73)+'LINEST VARS'!$O$70*(8^2)+'LINEST VARS'!$N$70*(8^2)+'LINEST VARS'!$M$70*($CM$128^2)+'LINEST VARS'!$L$70*($BX140^2)+'LINEST VARS'!$K$70*(12.73^2)+'LINEST VARS'!$J$70*(8*8)+'LINEST VARS'!$I$70*(8*$CM$128)+'LINEST VARS'!$H$70*(8*$BX140)+'LINEST VARS'!$G$70*(8*12.73)+'LINEST VARS'!$F$70*(8*$CM$128)+'LINEST VARS'!$E$70*(8*$BX140)+'LINEST VARS'!$D$70*(8*12.73)+'LINEST VARS'!$C$70*($CM$128*$BX140)+'LINEST VARS'!$B$70*($CM$128*12.73)+'LINEST VARS'!$A$70*($BX140*12.73)</f>
        <v>86.40000000000002</v>
      </c>
      <c r="CN140" s="46">
        <f>'LINEST VARS'!$U$70+'LINEST VARS'!$T$70*(8)+'LINEST VARS'!$S$70*(8)+'LINEST VARS'!$R$70*($CN$128)+'LINEST VARS'!$Q$70*($BX140)+'LINEST VARS'!$P$70*(12.73)+'LINEST VARS'!$O$70*(8^2)+'LINEST VARS'!$N$70*(8^2)+'LINEST VARS'!$M$70*($CN$128^2)+'LINEST VARS'!$L$70*($BX140^2)+'LINEST VARS'!$K$70*(12.73^2)+'LINEST VARS'!$J$70*(8*8)+'LINEST VARS'!$I$70*(8*$CN$128)+'LINEST VARS'!$H$70*(8*$BX140)+'LINEST VARS'!$G$70*(8*12.73)+'LINEST VARS'!$F$70*(8*$CN$128)+'LINEST VARS'!$E$70*(8*$BX140)+'LINEST VARS'!$D$70*(8*12.73)+'LINEST VARS'!$C$70*($CN$128*$BX140)+'LINEST VARS'!$B$70*($CN$128*12.73)+'LINEST VARS'!$A$70*($BX140*12.73)</f>
        <v>86.000000000000014</v>
      </c>
      <c r="CO140" s="46">
        <f>'LINEST VARS'!$U$70+'LINEST VARS'!$T$70*(8)+'LINEST VARS'!$S$70*(8)+'LINEST VARS'!$R$70*($CO$128)+'LINEST VARS'!$Q$70*($BX140)+'LINEST VARS'!$P$70*(12.73)+'LINEST VARS'!$O$70*(8^2)+'LINEST VARS'!$N$70*(8^2)+'LINEST VARS'!$M$70*($CO$128^2)+'LINEST VARS'!$L$70*($BX140^2)+'LINEST VARS'!$K$70*(12.73^2)+'LINEST VARS'!$J$70*(8*8)+'LINEST VARS'!$I$70*(8*$CO$128)+'LINEST VARS'!$H$70*(8*$BX140)+'LINEST VARS'!$G$70*(8*12.73)+'LINEST VARS'!$F$70*(8*$CO$128)+'LINEST VARS'!$E$70*(8*$BX140)+'LINEST VARS'!$D$70*(8*12.73)+'LINEST VARS'!$C$70*($CO$128*$BX140)+'LINEST VARS'!$B$70*($CO$128*12.73)+'LINEST VARS'!$A$70*($BX140*12.73)</f>
        <v>85.600000000000009</v>
      </c>
      <c r="CP140" s="46">
        <f>'LINEST VARS'!$U$70+'LINEST VARS'!$T$70*(8)+'LINEST VARS'!$S$70*(8)+'LINEST VARS'!$R$70*($CP$128)+'LINEST VARS'!$Q$70*($BX140)+'LINEST VARS'!$P$70*(12.73)+'LINEST VARS'!$O$70*(8^2)+'LINEST VARS'!$N$70*(8^2)+'LINEST VARS'!$M$70*($CP$128^2)+'LINEST VARS'!$L$70*($BX140^2)+'LINEST VARS'!$K$70*(12.73^2)+'LINEST VARS'!$J$70*(8*8)+'LINEST VARS'!$I$70*(8*$CP$128)+'LINEST VARS'!$H$70*(8*$BX140)+'LINEST VARS'!$G$70*(8*12.73)+'LINEST VARS'!$F$70*(8*$CP$128)+'LINEST VARS'!$E$70*(8*$BX140)+'LINEST VARS'!$D$70*(8*12.73)+'LINEST VARS'!$C$70*($CP$128*$BX140)+'LINEST VARS'!$B$70*($CP$128*12.73)+'LINEST VARS'!$A$70*($BX140*12.73)</f>
        <v>85.200000000000017</v>
      </c>
      <c r="CQ140" s="46">
        <f>'LINEST VARS'!$U$70+'LINEST VARS'!$T$70*(8)+'LINEST VARS'!$S$70*(8)+'LINEST VARS'!$R$70*($CQ$128)+'LINEST VARS'!$Q$70*($BX140)+'LINEST VARS'!$P$70*(12.73)+'LINEST VARS'!$O$70*(8^2)+'LINEST VARS'!$N$70*(8^2)+'LINEST VARS'!$M$70*($CQ$128^2)+'LINEST VARS'!$L$70*($BX140^2)+'LINEST VARS'!$K$70*(12.73^2)+'LINEST VARS'!$J$70*(8*8)+'LINEST VARS'!$I$70*(8*$CQ$128)+'LINEST VARS'!$H$70*(8*$BX140)+'LINEST VARS'!$G$70*(8*12.73)+'LINEST VARS'!$F$70*(8*$CQ$128)+'LINEST VARS'!$E$70*(8*$BX140)+'LINEST VARS'!$D$70*(8*12.73)+'LINEST VARS'!$C$70*($CQ$128*$BX140)+'LINEST VARS'!$B$70*($CQ$128*12.73)+'LINEST VARS'!$A$70*($BX140*12.73)</f>
        <v>84.800000000000011</v>
      </c>
      <c r="CR140" s="46">
        <f>'LINEST VARS'!$U$70+'LINEST VARS'!$T$70*(8)+'LINEST VARS'!$S$70*(8)+'LINEST VARS'!$R$70*($CR$128)+'LINEST VARS'!$Q$70*($BX140)+'LINEST VARS'!$P$70*(12.73)+'LINEST VARS'!$O$70*(8^2)+'LINEST VARS'!$N$70*(8^2)+'LINEST VARS'!$M$70*($CR$128^2)+'LINEST VARS'!$L$70*($BX140^2)+'LINEST VARS'!$K$70*(12.73^2)+'LINEST VARS'!$J$70*(8*8)+'LINEST VARS'!$I$70*(8*$CR$128)+'LINEST VARS'!$H$70*(8*$BX140)+'LINEST VARS'!$G$70*(8*12.73)+'LINEST VARS'!$F$70*(8*$CR$128)+'LINEST VARS'!$E$70*(8*$BX140)+'LINEST VARS'!$D$70*(8*12.73)+'LINEST VARS'!$C$70*($CR$128*$BX140)+'LINEST VARS'!$B$70*($CR$128*12.73)+'LINEST VARS'!$A$70*($BX140*12.73)</f>
        <v>84.400000000000034</v>
      </c>
      <c r="CS140" s="47">
        <f>'LINEST VARS'!$U$70+'LINEST VARS'!$T$70*(8)+'LINEST VARS'!$S$70*(8)+'LINEST VARS'!$R$70*($CS$128)+'LINEST VARS'!$Q$70*($BX140)+'LINEST VARS'!$P$70*(12.73)+'LINEST VARS'!$O$70*(8^2)+'LINEST VARS'!$N$70*(8^2)+'LINEST VARS'!$M$70*($CS$128^2)+'LINEST VARS'!$L$70*($BX140^2)+'LINEST VARS'!$K$70*(12.73^2)+'LINEST VARS'!$J$70*(8*8)+'LINEST VARS'!$I$70*(8*$CS$128)+'LINEST VARS'!$H$70*(8*$BX140)+'LINEST VARS'!$G$70*(8*12.73)+'LINEST VARS'!$F$70*(8*$CS$128)+'LINEST VARS'!$E$70*(8*$BX140)+'LINEST VARS'!$D$70*(8*12.73)+'LINEST VARS'!$C$70*($CS$128*$BX140)+'LINEST VARS'!$B$70*($CS$128*12.73)+'LINEST VARS'!$A$70*($BX140*12.73)</f>
        <v>84.000000000000028</v>
      </c>
      <c r="CX140" s="45">
        <v>14.294499999999999</v>
      </c>
      <c r="CY140" s="46">
        <f>'LINEST VARS'!$U$68+'LINEST VARS'!$T$68*(8)+'LINEST VARS'!$S$68*(8)+'LINEST VARS'!$R$68*($CY$128)+'LINEST VARS'!$Q$68*(0.5)+'LINEST VARS'!$P$68*($CX140)+'LINEST VARS'!$O$68*(8^2)+'LINEST VARS'!$N$68*(8^2)+'LINEST VARS'!$M$68*($CY$128^2)+'LINEST VARS'!$L$68*(0.5^2)+'LINEST VARS'!$K$68*($CX140^2)+'LINEST VARS'!$J$68*(8*8)+'LINEST VARS'!$I$68*(8*$CY$128)+'LINEST VARS'!$H$68*(8*0.5)+'LINEST VARS'!$G$68*(8*$CX140)+'LINEST VARS'!$F$68*(8*$CY$128)+'LINEST VARS'!$E$68*(8*0.5)+'LINEST VARS'!$D$68*(8*$CX140)+'LINEST VARS'!$C$68*($CY$128*0.5)+'LINEST VARS'!$B$68*($CY$128*$CX140)+'LINEST VARS'!$A$68*(0.5*$CX140)</f>
        <v>149</v>
      </c>
      <c r="CZ140" s="46">
        <f>'LINEST VARS'!$U$68+'LINEST VARS'!$T$68*(8)+'LINEST VARS'!$S$68*(8)+'LINEST VARS'!$R$68*($CZ$128)+'LINEST VARS'!$Q$68*(0.5)+'LINEST VARS'!$P$68*($CX140)+'LINEST VARS'!$O$68*(8^2)+'LINEST VARS'!$N$68*(8^2)+'LINEST VARS'!$M$68*($CZ$128^2)+'LINEST VARS'!$L$68*(0.5^2)+'LINEST VARS'!$K$68*($CX140^2)+'LINEST VARS'!$J$68*(8*8)+'LINEST VARS'!$I$68*(8*$CZ$128)+'LINEST VARS'!$H$68*(8*0.5)+'LINEST VARS'!$G$68*(8*$CX140)+'LINEST VARS'!$F$68*(8*$CZ$128)+'LINEST VARS'!$E$68*(8*0.5)+'LINEST VARS'!$D$68*(8*$CX140)+'LINEST VARS'!$C$68*($CZ$128*0.5)+'LINEST VARS'!$B$68*($CZ$128*$CX140)+'LINEST VARS'!$A$68*(0.5*$CX140)</f>
        <v>149</v>
      </c>
      <c r="DA140" s="46">
        <f>'LINEST VARS'!$U$68+'LINEST VARS'!$T$68*(8)+'LINEST VARS'!$S$68*(8)+'LINEST VARS'!$R$68*($DA$128)+'LINEST VARS'!$Q$68*(0.5)+'LINEST VARS'!$P$68*($CX140)+'LINEST VARS'!$O$68*(8^2)+'LINEST VARS'!$N$68*(8^2)+'LINEST VARS'!$M$68*($DA$128^2)+'LINEST VARS'!$L$68*(0.5^2)+'LINEST VARS'!$K$68*($CX140^2)+'LINEST VARS'!$J$68*(8*8)+'LINEST VARS'!$I$68*(8*$DA$128)+'LINEST VARS'!$H$68*(8*0.5)+'LINEST VARS'!$G$68*(8*$CX140)+'LINEST VARS'!$F$68*(8*$DA$128)+'LINEST VARS'!$E$68*(8*0.5)+'LINEST VARS'!$D$68*(8*$CX140)+'LINEST VARS'!$C$68*($DA$128*0.5)+'LINEST VARS'!$B$68*($DA$128*$CX140)+'LINEST VARS'!$A$68*(0.5*$CX140)</f>
        <v>149</v>
      </c>
      <c r="DB140" s="46">
        <f>'LINEST VARS'!$U$68+'LINEST VARS'!$T$68*(8)+'LINEST VARS'!$S$68*(8)+'LINEST VARS'!$R$68*($DB$128)+'LINEST VARS'!$Q$68*(0.5)+'LINEST VARS'!$P$68*($CX140)+'LINEST VARS'!$O$68*(8^2)+'LINEST VARS'!$N$68*(8^2)+'LINEST VARS'!$M$68*($DB$128^2)+'LINEST VARS'!$L$68*(0.5^2)+'LINEST VARS'!$K$68*($CX140^2)+'LINEST VARS'!$J$68*(8*8)+'LINEST VARS'!$I$68*(8*$DB$128)+'LINEST VARS'!$H$68*(8*0.5)+'LINEST VARS'!$G$68*(8*$CX140)+'LINEST VARS'!$F$68*(8*$DB$128)+'LINEST VARS'!$E$68*(8*0.5)+'LINEST VARS'!$D$68*(8*$CX140)+'LINEST VARS'!$C$68*($DB$128*0.5)+'LINEST VARS'!$B$68*($DB$128*$CX140)+'LINEST VARS'!$A$68*(0.5*$CX140)</f>
        <v>149</v>
      </c>
      <c r="DC140" s="46">
        <f>'LINEST VARS'!$U$68+'LINEST VARS'!$T$68*(8)+'LINEST VARS'!$S$68*(8)+'LINEST VARS'!$R$68*($DC$128)+'LINEST VARS'!$Q$68*(0.5)+'LINEST VARS'!$P$68*($CX140)+'LINEST VARS'!$O$68*(8^2)+'LINEST VARS'!$N$68*(8^2)+'LINEST VARS'!$M$68*($DC$128^2)+'LINEST VARS'!$L$68*(0.5^2)+'LINEST VARS'!$K$68*($CX140^2)+'LINEST VARS'!$J$68*(8*8)+'LINEST VARS'!$I$68*(8*$DC$128)+'LINEST VARS'!$H$68*(8*0.5)+'LINEST VARS'!$G$68*(8*$CX140)+'LINEST VARS'!$F$68*(8*$DC$128)+'LINEST VARS'!$E$68*(8*0.5)+'LINEST VARS'!$D$68*(8*$CX140)+'LINEST VARS'!$C$68*($DC$128*0.5)+'LINEST VARS'!$B$68*($DC$128*$CX140)+'LINEST VARS'!$A$68*(0.5*$CX140)</f>
        <v>149</v>
      </c>
      <c r="DD140" s="46">
        <f>'LINEST VARS'!$U$68+'LINEST VARS'!$T$68*(8)+'LINEST VARS'!$S$68*(8)+'LINEST VARS'!$R$68*($DD$128)+'LINEST VARS'!$Q$68*(0.5)+'LINEST VARS'!$P$68*($CX140)+'LINEST VARS'!$O$68*(8^2)+'LINEST VARS'!$N$68*(8^2)+'LINEST VARS'!$M$68*($DD$128^2)+'LINEST VARS'!$L$68*(0.5^2)+'LINEST VARS'!$K$68*($CX140^2)+'LINEST VARS'!$J$68*(8*8)+'LINEST VARS'!$I$68*(8*$DD$128)+'LINEST VARS'!$H$68*(8*0.5)+'LINEST VARS'!$G$68*(8*$CX140)+'LINEST VARS'!$F$68*(8*$DD$128)+'LINEST VARS'!$E$68*(8*0.5)+'LINEST VARS'!$D$68*(8*$CX140)+'LINEST VARS'!$C$68*($DD$128*0.5)+'LINEST VARS'!$B$68*($DD$128*$CX140)+'LINEST VARS'!$A$68*(0.5*$CX140)</f>
        <v>149</v>
      </c>
      <c r="DE140" s="46">
        <f>'LINEST VARS'!$U$68+'LINEST VARS'!$T$68*(8)+'LINEST VARS'!$S$68*(8)+'LINEST VARS'!$R$68*($DE$128)+'LINEST VARS'!$Q$68*(0.5)+'LINEST VARS'!$P$68*($CX140)+'LINEST VARS'!$O$68*(8^2)+'LINEST VARS'!$N$68*(8^2)+'LINEST VARS'!$M$68*($DE$128^2)+'LINEST VARS'!$L$68*(0.5^2)+'LINEST VARS'!$K$68*($CX140^2)+'LINEST VARS'!$J$68*(8*8)+'LINEST VARS'!$I$68*(8*$DE$128)+'LINEST VARS'!$H$68*(8*0.5)+'LINEST VARS'!$G$68*(8*$CX140)+'LINEST VARS'!$F$68*(8*$DE$128)+'LINEST VARS'!$E$68*(8*0.5)+'LINEST VARS'!$D$68*(8*$CX140)+'LINEST VARS'!$C$68*($DE$128*0.5)+'LINEST VARS'!$B$68*($DE$128*$CX140)+'LINEST VARS'!$A$68*(0.5*$CX140)</f>
        <v>149</v>
      </c>
      <c r="DF140" s="46">
        <f>'LINEST VARS'!$U$68+'LINEST VARS'!$T$68*(8)+'LINEST VARS'!$S$68*(8)+'LINEST VARS'!$R$68*($DF$128)+'LINEST VARS'!$Q$68*(0.5)+'LINEST VARS'!$P$68*($CX140)+'LINEST VARS'!$O$68*(8^2)+'LINEST VARS'!$N$68*(8^2)+'LINEST VARS'!$M$68*($DF$128^2)+'LINEST VARS'!$L$68*(0.5^2)+'LINEST VARS'!$K$68*($CX140^2)+'LINEST VARS'!$J$68*(8*8)+'LINEST VARS'!$I$68*(8*$DF$128)+'LINEST VARS'!$H$68*(8*0.5)+'LINEST VARS'!$G$68*(8*$CX140)+'LINEST VARS'!$F$68*(8*$DF$128)+'LINEST VARS'!$E$68*(8*0.5)+'LINEST VARS'!$D$68*(8*$CX140)+'LINEST VARS'!$C$68*($DF$128*0.5)+'LINEST VARS'!$B$68*($DF$128*$CX140)+'LINEST VARS'!$A$68*(0.5*$CX140)</f>
        <v>149</v>
      </c>
      <c r="DG140" s="46">
        <f>'LINEST VARS'!$U$68+'LINEST VARS'!$T$68*(8)+'LINEST VARS'!$S$68*(8)+'LINEST VARS'!$R$68*($DG$128)+'LINEST VARS'!$Q$68*(0.5)+'LINEST VARS'!$P$68*($CX140)+'LINEST VARS'!$O$68*(8^2)+'LINEST VARS'!$N$68*(8^2)+'LINEST VARS'!$M$68*($DG$128^2)+'LINEST VARS'!$L$68*(0.5^2)+'LINEST VARS'!$K$68*($CX140^2)+'LINEST VARS'!$J$68*(8*8)+'LINEST VARS'!$I$68*(8*$DG$128)+'LINEST VARS'!$H$68*(8*0.5)+'LINEST VARS'!$G$68*(8*$CX140)+'LINEST VARS'!$F$68*(8*$DG$128)+'LINEST VARS'!$E$68*(8*0.5)+'LINEST VARS'!$D$68*(8*$CX140)+'LINEST VARS'!$C$68*($DG$128*0.5)+'LINEST VARS'!$B$68*($DG$128*$CX140)+'LINEST VARS'!$A$68*(0.5*$CX140)</f>
        <v>149</v>
      </c>
      <c r="DH140" s="46">
        <f>'LINEST VARS'!$U$68+'LINEST VARS'!$T$68*(8)+'LINEST VARS'!$S$68*(8)+'LINEST VARS'!$R$68*($DH$128)+'LINEST VARS'!$Q$68*(0.5)+'LINEST VARS'!$P$68*($CX140)+'LINEST VARS'!$O$68*(8^2)+'LINEST VARS'!$N$68*(8^2)+'LINEST VARS'!$M$68*($DH$128^2)+'LINEST VARS'!$L$68*(0.5^2)+'LINEST VARS'!$K$68*($CX140^2)+'LINEST VARS'!$J$68*(8*8)+'LINEST VARS'!$I$68*(8*$DH$128)+'LINEST VARS'!$H$68*(8*0.5)+'LINEST VARS'!$G$68*(8*$CX140)+'LINEST VARS'!$F$68*(8*$DH$128)+'LINEST VARS'!$E$68*(8*0.5)+'LINEST VARS'!$D$68*(8*$CX140)+'LINEST VARS'!$C$68*($DH$128*0.5)+'LINEST VARS'!$B$68*($DH$128*$CX140)+'LINEST VARS'!$A$68*(0.5*$CX140)</f>
        <v>149</v>
      </c>
      <c r="DI140" s="46">
        <f>'LINEST VARS'!$U$68+'LINEST VARS'!$T$68*(8)+'LINEST VARS'!$S$68*(8)+'LINEST VARS'!$R$68*($DI$128)+'LINEST VARS'!$Q$68*(0.5)+'LINEST VARS'!$P$68*($CX140)+'LINEST VARS'!$O$68*(8^2)+'LINEST VARS'!$N$68*(8^2)+'LINEST VARS'!$M$68*($DI$128^2)+'LINEST VARS'!$L$68*(0.5^2)+'LINEST VARS'!$K$68*($CX140^2)+'LINEST VARS'!$J$68*(8*8)+'LINEST VARS'!$I$68*(8*$DI$128)+'LINEST VARS'!$H$68*(8*0.5)+'LINEST VARS'!$G$68*(8*$CX140)+'LINEST VARS'!$F$68*(8*$DI$128)+'LINEST VARS'!$E$68*(8*0.5)+'LINEST VARS'!$D$68*(8*$CX140)+'LINEST VARS'!$C$68*($DI$128*0.5)+'LINEST VARS'!$B$68*($DI$128*$CX140)+'LINEST VARS'!$A$68*(0.5*$CX140)</f>
        <v>149</v>
      </c>
      <c r="DJ140" s="46">
        <f>'LINEST VARS'!$U$68+'LINEST VARS'!$T$68*(8)+'LINEST VARS'!$S$68*(8)+'LINEST VARS'!$R$68*($DJ$128)+'LINEST VARS'!$Q$68*(0.5)+'LINEST VARS'!$P$68*($CX140)+'LINEST VARS'!$O$68*(8^2)+'LINEST VARS'!$N$68*(8^2)+'LINEST VARS'!$M$68*($DJ$128^2)+'LINEST VARS'!$L$68*(0.5^2)+'LINEST VARS'!$K$68*($CX140^2)+'LINEST VARS'!$J$68*(8*8)+'LINEST VARS'!$I$68*(8*$DJ$128)+'LINEST VARS'!$H$68*(8*0.5)+'LINEST VARS'!$G$68*(8*$CX140)+'LINEST VARS'!$F$68*(8*$DJ$128)+'LINEST VARS'!$E$68*(8*0.5)+'LINEST VARS'!$D$68*(8*$CX140)+'LINEST VARS'!$C$68*($DJ$128*0.5)+'LINEST VARS'!$B$68*($DJ$128*$CX140)+'LINEST VARS'!$A$68*(0.5*$CX140)</f>
        <v>149</v>
      </c>
      <c r="DK140" s="46">
        <f>'LINEST VARS'!$U$68+'LINEST VARS'!$T$68*(8)+'LINEST VARS'!$S$68*(8)+'LINEST VARS'!$R$68*($DK$128)+'LINEST VARS'!$Q$68*(0.5)+'LINEST VARS'!$P$68*($CX140)+'LINEST VARS'!$O$68*(8^2)+'LINEST VARS'!$N$68*(8^2)+'LINEST VARS'!$M$68*($DK$128^2)+'LINEST VARS'!$L$68*(0.5^2)+'LINEST VARS'!$K$68*($CX140^2)+'LINEST VARS'!$J$68*(8*8)+'LINEST VARS'!$I$68*(8*$DK$128)+'LINEST VARS'!$H$68*(8*0.5)+'LINEST VARS'!$G$68*(8*$CX140)+'LINEST VARS'!$F$68*(8*$DK$128)+'LINEST VARS'!$E$68*(8*0.5)+'LINEST VARS'!$D$68*(8*$CX140)+'LINEST VARS'!$C$68*($DK$128*0.5)+'LINEST VARS'!$B$68*($DK$128*$CX140)+'LINEST VARS'!$A$68*(0.5*$CX140)</f>
        <v>149</v>
      </c>
      <c r="DL140" s="46">
        <f>'LINEST VARS'!$U$68+'LINEST VARS'!$T$68*(8)+'LINEST VARS'!$S$68*(8)+'LINEST VARS'!$R$68*($DL$128)+'LINEST VARS'!$Q$68*(0.5)+'LINEST VARS'!$P$68*($CX140)+'LINEST VARS'!$O$68*(8^2)+'LINEST VARS'!$N$68*(8^2)+'LINEST VARS'!$M$68*($DL$128^2)+'LINEST VARS'!$L$68*(0.5^2)+'LINEST VARS'!$K$68*($CX140^2)+'LINEST VARS'!$J$68*(8*8)+'LINEST VARS'!$I$68*(8*$DL$128)+'LINEST VARS'!$H$68*(8*0.5)+'LINEST VARS'!$G$68*(8*$CX140)+'LINEST VARS'!$F$68*(8*$DL$128)+'LINEST VARS'!$E$68*(8*0.5)+'LINEST VARS'!$D$68*(8*$CX140)+'LINEST VARS'!$C$68*($DL$128*0.5)+'LINEST VARS'!$B$68*($DL$128*$CX140)+'LINEST VARS'!$A$68*(0.5*$CX140)</f>
        <v>149</v>
      </c>
      <c r="DM140" s="46">
        <f>'LINEST VARS'!$U$68+'LINEST VARS'!$T$68*(8)+'LINEST VARS'!$S$68*(8)+'LINEST VARS'!$R$68*($DM$128)+'LINEST VARS'!$Q$68*(0.5)+'LINEST VARS'!$P$68*($CX140)+'LINEST VARS'!$O$68*(8^2)+'LINEST VARS'!$N$68*(8^2)+'LINEST VARS'!$M$68*($DM$128^2)+'LINEST VARS'!$L$68*(0.5^2)+'LINEST VARS'!$K$68*($CX140^2)+'LINEST VARS'!$J$68*(8*8)+'LINEST VARS'!$I$68*(8*$DM$128)+'LINEST VARS'!$H$68*(8*0.5)+'LINEST VARS'!$G$68*(8*$CX140)+'LINEST VARS'!$F$68*(8*$DM$128)+'LINEST VARS'!$E$68*(8*0.5)+'LINEST VARS'!$D$68*(8*$CX140)+'LINEST VARS'!$C$68*($DM$128*0.5)+'LINEST VARS'!$B$68*($DM$128*$CX140)+'LINEST VARS'!$A$68*(0.5*$CX140)</f>
        <v>149</v>
      </c>
      <c r="DN140" s="46">
        <f>'LINEST VARS'!$U$68+'LINEST VARS'!$T$68*(8)+'LINEST VARS'!$S$68*(8)+'LINEST VARS'!$R$68*($DN$128)+'LINEST VARS'!$Q$68*(0.5)+'LINEST VARS'!$P$68*($CX140)+'LINEST VARS'!$O$68*(8^2)+'LINEST VARS'!$N$68*(8^2)+'LINEST VARS'!$M$68*($DN$128^2)+'LINEST VARS'!$L$68*(0.5^2)+'LINEST VARS'!$K$68*($CX140^2)+'LINEST VARS'!$J$68*(8*8)+'LINEST VARS'!$I$68*(8*$DN$128)+'LINEST VARS'!$H$68*(8*0.5)+'LINEST VARS'!$G$68*(8*$CX140)+'LINEST VARS'!$F$68*(8*$DN$128)+'LINEST VARS'!$E$68*(8*0.5)+'LINEST VARS'!$D$68*(8*$CX140)+'LINEST VARS'!$C$68*($DN$128*0.5)+'LINEST VARS'!$B$68*($DN$128*$CX140)+'LINEST VARS'!$A$68*(0.5*$CX140)</f>
        <v>149</v>
      </c>
      <c r="DO140" s="46">
        <f>'LINEST VARS'!$U$68+'LINEST VARS'!$T$68*(8)+'LINEST VARS'!$S$68*(8)+'LINEST VARS'!$R$68*($DO$128)+'LINEST VARS'!$Q$68*(0.5)+'LINEST VARS'!$P$68*($CX140)+'LINEST VARS'!$O$68*(8^2)+'LINEST VARS'!$N$68*(8^2)+'LINEST VARS'!$M$68*($DO$128^2)+'LINEST VARS'!$L$68*(0.5^2)+'LINEST VARS'!$K$68*($CX140^2)+'LINEST VARS'!$J$68*(8*8)+'LINEST VARS'!$I$68*(8*$DO$128)+'LINEST VARS'!$H$68*(8*0.5)+'LINEST VARS'!$G$68*(8*$CX140)+'LINEST VARS'!$F$68*(8*$DO$128)+'LINEST VARS'!$E$68*(8*0.5)+'LINEST VARS'!$D$68*(8*$CX140)+'LINEST VARS'!$C$68*($DO$128*0.5)+'LINEST VARS'!$B$68*($DO$128*$CX140)+'LINEST VARS'!$A$68*(0.5*$CX140)</f>
        <v>149</v>
      </c>
      <c r="DP140" s="46">
        <f>'LINEST VARS'!$U$68+'LINEST VARS'!$T$68*(8)+'LINEST VARS'!$S$68*(8)+'LINEST VARS'!$R$68*($DP$128)+'LINEST VARS'!$Q$68*(0.5)+'LINEST VARS'!$P$68*($CX140)+'LINEST VARS'!$O$68*(8^2)+'LINEST VARS'!$N$68*(8^2)+'LINEST VARS'!$M$68*($DP$128^2)+'LINEST VARS'!$L$68*(0.5^2)+'LINEST VARS'!$K$68*($CX140^2)+'LINEST VARS'!$J$68*(8*8)+'LINEST VARS'!$I$68*(8*$DP$128)+'LINEST VARS'!$H$68*(8*0.5)+'LINEST VARS'!$G$68*(8*$CX140)+'LINEST VARS'!$F$68*(8*$DP$128)+'LINEST VARS'!$E$68*(8*0.5)+'LINEST VARS'!$D$68*(8*$CX140)+'LINEST VARS'!$C$68*($DP$128*0.5)+'LINEST VARS'!$B$68*($DP$128*$CX140)+'LINEST VARS'!$A$68*(0.5*$CX140)</f>
        <v>149</v>
      </c>
      <c r="DQ140" s="46">
        <f>'LINEST VARS'!$U$68+'LINEST VARS'!$T$68*(8)+'LINEST VARS'!$S$68*(8)+'LINEST VARS'!$R$68*($DQ$128)+'LINEST VARS'!$Q$68*(0.5)+'LINEST VARS'!$P$68*($CX140)+'LINEST VARS'!$O$68*(8^2)+'LINEST VARS'!$N$68*(8^2)+'LINEST VARS'!$M$68*($DQ$128^2)+'LINEST VARS'!$L$68*(0.5^2)+'LINEST VARS'!$K$68*($CX140^2)+'LINEST VARS'!$J$68*(8*8)+'LINEST VARS'!$I$68*(8*$DQ$128)+'LINEST VARS'!$H$68*(8*0.5)+'LINEST VARS'!$G$68*(8*$CX140)+'LINEST VARS'!$F$68*(8*$DQ$128)+'LINEST VARS'!$E$68*(8*0.5)+'LINEST VARS'!$D$68*(8*$CX140)+'LINEST VARS'!$C$68*($DQ$128*0.5)+'LINEST VARS'!$B$68*($DQ$128*$CX140)+'LINEST VARS'!$A$68*(0.5*$CX140)</f>
        <v>149</v>
      </c>
      <c r="DR140" s="46">
        <f>'LINEST VARS'!$U$68+'LINEST VARS'!$T$68*(8)+'LINEST VARS'!$S$68*(8)+'LINEST VARS'!$R$68*($DR$128)+'LINEST VARS'!$Q$68*(0.5)+'LINEST VARS'!$P$68*($CX140)+'LINEST VARS'!$O$68*(8^2)+'LINEST VARS'!$N$68*(8^2)+'LINEST VARS'!$M$68*($DR$128^2)+'LINEST VARS'!$L$68*(0.5^2)+'LINEST VARS'!$K$68*($CX140^2)+'LINEST VARS'!$J$68*(8*8)+'LINEST VARS'!$I$68*(8*$DR$128)+'LINEST VARS'!$H$68*(8*0.5)+'LINEST VARS'!$G$68*(8*$CX140)+'LINEST VARS'!$F$68*(8*$DR$128)+'LINEST VARS'!$E$68*(8*0.5)+'LINEST VARS'!$D$68*(8*$CX140)+'LINEST VARS'!$C$68*($DR$128*0.5)+'LINEST VARS'!$B$68*($DR$128*$CX140)+'LINEST VARS'!$A$68*(0.5*$CX140)</f>
        <v>149</v>
      </c>
      <c r="DS140" s="47">
        <f>'LINEST VARS'!$U$68+'LINEST VARS'!$T$68*(8)+'LINEST VARS'!$S$68*(8)+'LINEST VARS'!$R$68*($DS$128)+'LINEST VARS'!$Q$68*(0.5)+'LINEST VARS'!$P$68*($CX140)+'LINEST VARS'!$O$68*(8^2)+'LINEST VARS'!$N$68*(8^2)+'LINEST VARS'!$M$68*($DS$128^2)+'LINEST VARS'!$L$68*(0.5^2)+'LINEST VARS'!$K$68*($CX140^2)+'LINEST VARS'!$J$68*(8*8)+'LINEST VARS'!$I$68*(8*$DS$128)+'LINEST VARS'!$H$68*(8*0.5)+'LINEST VARS'!$G$68*(8*$CX140)+'LINEST VARS'!$F$68*(8*$DS$128)+'LINEST VARS'!$E$68*(8*0.5)+'LINEST VARS'!$D$68*(8*$CX140)+'LINEST VARS'!$C$68*($DS$128*0.5)+'LINEST VARS'!$B$68*($DS$128*$CX140)+'LINEST VARS'!$A$68*(0.5*$CX140)</f>
        <v>149</v>
      </c>
      <c r="DV140" s="45">
        <v>14.294499999999999</v>
      </c>
      <c r="DW140" s="46">
        <f>'LINEST VARS'!$U$70+'LINEST VARS'!$T$70*(8)+'LINEST VARS'!$S$70*(8)+'LINEST VARS'!$R$70*($DW$128)+'LINEST VARS'!$Q$70*(0.5)+'LINEST VARS'!$P$70*($DV140)+'LINEST VARS'!$O$70*(8^2)+'LINEST VARS'!$N$70*(8^2)+'LINEST VARS'!$M$70*($DW$128^2)+'LINEST VARS'!$L$70*(0.5^2)+'LINEST VARS'!$K$70*($DV140^2)+'LINEST VARS'!$J$70*(8*8)+'LINEST VARS'!$I$70*(8*$DW$128)+'LINEST VARS'!$H$70*(8*0.5)+'LINEST VARS'!$G$70*(8*$DV140)+'LINEST VARS'!$F$70*(8*$DW$128)+'LINEST VARS'!$E$70*(8*0.5)+'LINEST VARS'!$D$70*(8*$DV140)+'LINEST VARS'!$C$70*($DW$128*0.5)+'LINEST VARS'!$B$70*($DW$128*$DV140)+'LINEST VARS'!$A$70*(0.5*$DV140)</f>
        <v>92</v>
      </c>
      <c r="DX140" s="46">
        <f>'LINEST VARS'!$U$70+'LINEST VARS'!$T$70*(8)+'LINEST VARS'!$S$70*(8)+'LINEST VARS'!$R$70*($DX$128)+'LINEST VARS'!$Q$70*(0.5)+'LINEST VARS'!$P$70*($DV140)+'LINEST VARS'!$O$70*(8^2)+'LINEST VARS'!$N$70*(8^2)+'LINEST VARS'!$M$70*($DX$128^2)+'LINEST VARS'!$L$70*(0.5^2)+'LINEST VARS'!$K$70*($DV140^2)+'LINEST VARS'!$J$70*(8*8)+'LINEST VARS'!$I$70*(8*$DX$128)+'LINEST VARS'!$H$70*(8*0.5)+'LINEST VARS'!$G$70*(8*$DV140)+'LINEST VARS'!$F$70*(8*$DX$128)+'LINEST VARS'!$E$70*(8*0.5)+'LINEST VARS'!$D$70*(8*$DV140)+'LINEST VARS'!$C$70*($DX$128*0.5)+'LINEST VARS'!$B$70*($DX$128*$DV140)+'LINEST VARS'!$A$70*(0.5*$DV140)</f>
        <v>91.6</v>
      </c>
      <c r="DY140" s="46">
        <f>'LINEST VARS'!$U$70+'LINEST VARS'!$T$70*(8)+'LINEST VARS'!$S$70*(8)+'LINEST VARS'!$R$70*($DY$128)+'LINEST VARS'!$Q$70*(0.5)+'LINEST VARS'!$P$70*($DV140)+'LINEST VARS'!$O$70*(8^2)+'LINEST VARS'!$N$70*(8^2)+'LINEST VARS'!$M$70*($DY$128^2)+'LINEST VARS'!$L$70*(0.5^2)+'LINEST VARS'!$K$70*($DV140^2)+'LINEST VARS'!$J$70*(8*8)+'LINEST VARS'!$I$70*(8*$DY$128)+'LINEST VARS'!$H$70*(8*0.5)+'LINEST VARS'!$G$70*(8*$DV140)+'LINEST VARS'!$F$70*(8*$DY$128)+'LINEST VARS'!$E$70*(8*0.5)+'LINEST VARS'!$D$70*(8*$DV140)+'LINEST VARS'!$C$70*($DY$128*0.5)+'LINEST VARS'!$B$70*($DY$128*$DV140)+'LINEST VARS'!$A$70*(0.5*$DV140)</f>
        <v>91.2</v>
      </c>
      <c r="DZ140" s="46">
        <f>'LINEST VARS'!$U$70+'LINEST VARS'!$T$70*(8)+'LINEST VARS'!$S$70*(8)+'LINEST VARS'!$R$70*($DZ$128)+'LINEST VARS'!$Q$70*(0.5)+'LINEST VARS'!$P$70*($DV140)+'LINEST VARS'!$O$70*(8^2)+'LINEST VARS'!$N$70*(8^2)+'LINEST VARS'!$M$70*($DZ$128^2)+'LINEST VARS'!$L$70*(0.5^2)+'LINEST VARS'!$K$70*($DV140^2)+'LINEST VARS'!$J$70*(8*8)+'LINEST VARS'!$I$70*(8*$DZ$128)+'LINEST VARS'!$H$70*(8*0.5)+'LINEST VARS'!$G$70*(8*$DV140)+'LINEST VARS'!$F$70*(8*$DZ$128)+'LINEST VARS'!$E$70*(8*0.5)+'LINEST VARS'!$D$70*(8*$DV140)+'LINEST VARS'!$C$70*($DZ$128*0.5)+'LINEST VARS'!$B$70*($DZ$128*$DV140)+'LINEST VARS'!$A$70*(0.5*$DV140)</f>
        <v>90.8</v>
      </c>
      <c r="EA140" s="46">
        <f>'LINEST VARS'!$U$70+'LINEST VARS'!$T$70*(8)+'LINEST VARS'!$S$70*(8)+'LINEST VARS'!$R$70*($EA$128)+'LINEST VARS'!$Q$70*(0.5)+'LINEST VARS'!$P$70*($DV140)+'LINEST VARS'!$O$70*(8^2)+'LINEST VARS'!$N$70*(8^2)+'LINEST VARS'!$M$70*($EA$128^2)+'LINEST VARS'!$L$70*(0.5^2)+'LINEST VARS'!$K$70*($DV140^2)+'LINEST VARS'!$J$70*(8*8)+'LINEST VARS'!$I$70*(8*$EA$128)+'LINEST VARS'!$H$70*(8*0.5)+'LINEST VARS'!$G$70*(8*$DV140)+'LINEST VARS'!$F$70*(8*$EA$128)+'LINEST VARS'!$E$70*(8*0.5)+'LINEST VARS'!$D$70*(8*$DV140)+'LINEST VARS'!$C$70*($EA$128*0.5)+'LINEST VARS'!$B$70*($EA$128*$DV140)+'LINEST VARS'!$A$70*(0.5*$DV140)</f>
        <v>90.4</v>
      </c>
      <c r="EB140" s="46">
        <f>'LINEST VARS'!$U$70+'LINEST VARS'!$T$70*(8)+'LINEST VARS'!$S$70*(8)+'LINEST VARS'!$R$70*($EB$128)+'LINEST VARS'!$Q$70*(0.5)+'LINEST VARS'!$P$70*($DV140)+'LINEST VARS'!$O$70*(8^2)+'LINEST VARS'!$N$70*(8^2)+'LINEST VARS'!$M$70*($EB$128^2)+'LINEST VARS'!$L$70*(0.5^2)+'LINEST VARS'!$K$70*($DV140^2)+'LINEST VARS'!$J$70*(8*8)+'LINEST VARS'!$I$70*(8*$EB$128)+'LINEST VARS'!$H$70*(8*0.5)+'LINEST VARS'!$G$70*(8*$DV140)+'LINEST VARS'!$F$70*(8*$EB$128)+'LINEST VARS'!$E$70*(8*0.5)+'LINEST VARS'!$D$70*(8*$DV140)+'LINEST VARS'!$C$70*($EB$128*0.5)+'LINEST VARS'!$B$70*($EB$128*$DV140)+'LINEST VARS'!$A$70*(0.5*$DV140)</f>
        <v>90</v>
      </c>
      <c r="EC140" s="46">
        <f>'LINEST VARS'!$U$70+'LINEST VARS'!$T$70*(8)+'LINEST VARS'!$S$70*(8)+'LINEST VARS'!$R$70*($EC$128)+'LINEST VARS'!$Q$70*(0.5)+'LINEST VARS'!$P$70*($DV140)+'LINEST VARS'!$O$70*(8^2)+'LINEST VARS'!$N$70*(8^2)+'LINEST VARS'!$M$70*($EC$128^2)+'LINEST VARS'!$L$70*(0.5^2)+'LINEST VARS'!$K$70*($DV140^2)+'LINEST VARS'!$J$70*(8*8)+'LINEST VARS'!$I$70*(8*$EC$128)+'LINEST VARS'!$H$70*(8*0.5)+'LINEST VARS'!$G$70*(8*$DV140)+'LINEST VARS'!$F$70*(8*$EC$128)+'LINEST VARS'!$E$70*(8*0.5)+'LINEST VARS'!$D$70*(8*$DV140)+'LINEST VARS'!$C$70*($EC$128*0.5)+'LINEST VARS'!$B$70*($EC$128*$DV140)+'LINEST VARS'!$A$70*(0.5*$DV140)</f>
        <v>89.600000000000009</v>
      </c>
      <c r="ED140" s="46">
        <f>'LINEST VARS'!$U$70+'LINEST VARS'!$T$70*(8)+'LINEST VARS'!$S$70*(8)+'LINEST VARS'!$R$70*($ED$128)+'LINEST VARS'!$Q$70*(0.5)+'LINEST VARS'!$P$70*($DV140)+'LINEST VARS'!$O$70*(8^2)+'LINEST VARS'!$N$70*(8^2)+'LINEST VARS'!$M$70*($ED$128^2)+'LINEST VARS'!$L$70*(0.5^2)+'LINEST VARS'!$K$70*($DV140^2)+'LINEST VARS'!$J$70*(8*8)+'LINEST VARS'!$I$70*(8*$ED$128)+'LINEST VARS'!$H$70*(8*0.5)+'LINEST VARS'!$G$70*(8*$DV140)+'LINEST VARS'!$F$70*(8*$ED$128)+'LINEST VARS'!$E$70*(8*0.5)+'LINEST VARS'!$D$70*(8*$DV140)+'LINEST VARS'!$C$70*($ED$128*0.5)+'LINEST VARS'!$B$70*($ED$128*$DV140)+'LINEST VARS'!$A$70*(0.5*$DV140)</f>
        <v>89.2</v>
      </c>
      <c r="EE140" s="46">
        <f>'LINEST VARS'!$U$70+'LINEST VARS'!$T$70*(8)+'LINEST VARS'!$S$70*(8)+'LINEST VARS'!$R$70*($EE$128)+'LINEST VARS'!$Q$70*(0.5)+'LINEST VARS'!$P$70*($DV140)+'LINEST VARS'!$O$70*(8^2)+'LINEST VARS'!$N$70*(8^2)+'LINEST VARS'!$M$70*($EE$128^2)+'LINEST VARS'!$L$70*(0.5^2)+'LINEST VARS'!$K$70*($DV140^2)+'LINEST VARS'!$J$70*(8*8)+'LINEST VARS'!$I$70*(8*$EE$128)+'LINEST VARS'!$H$70*(8*0.5)+'LINEST VARS'!$G$70*(8*$DV140)+'LINEST VARS'!$F$70*(8*$EE$128)+'LINEST VARS'!$E$70*(8*0.5)+'LINEST VARS'!$D$70*(8*$DV140)+'LINEST VARS'!$C$70*($EE$128*0.5)+'LINEST VARS'!$B$70*($EE$128*$DV140)+'LINEST VARS'!$A$70*(0.5*$DV140)</f>
        <v>88.800000000000011</v>
      </c>
      <c r="EF140" s="46">
        <f>'LINEST VARS'!$U$70+'LINEST VARS'!$T$70*(8)+'LINEST VARS'!$S$70*(8)+'LINEST VARS'!$R$70*($EF$128)+'LINEST VARS'!$Q$70*(0.5)+'LINEST VARS'!$P$70*($DV140)+'LINEST VARS'!$O$70*(8^2)+'LINEST VARS'!$N$70*(8^2)+'LINEST VARS'!$M$70*($EF$128^2)+'LINEST VARS'!$L$70*(0.5^2)+'LINEST VARS'!$K$70*($DV140^2)+'LINEST VARS'!$J$70*(8*8)+'LINEST VARS'!$I$70*(8*$EF$128)+'LINEST VARS'!$H$70*(8*0.5)+'LINEST VARS'!$G$70*(8*$DV140)+'LINEST VARS'!$F$70*(8*$EF$128)+'LINEST VARS'!$E$70*(8*0.5)+'LINEST VARS'!$D$70*(8*$DV140)+'LINEST VARS'!$C$70*($EF$128*0.5)+'LINEST VARS'!$B$70*($EF$128*$DV140)+'LINEST VARS'!$A$70*(0.5*$DV140)</f>
        <v>88.4</v>
      </c>
      <c r="EG140" s="46">
        <f>'LINEST VARS'!$U$70+'LINEST VARS'!$T$70*(8)+'LINEST VARS'!$S$70*(8)+'LINEST VARS'!$R$70*($EG$128)+'LINEST VARS'!$Q$70*(0.5)+'LINEST VARS'!$P$70*($DV140)+'LINEST VARS'!$O$70*(8^2)+'LINEST VARS'!$N$70*(8^2)+'LINEST VARS'!$M$70*($EG$128^2)+'LINEST VARS'!$L$70*(0.5^2)+'LINEST VARS'!$K$70*($DV140^2)+'LINEST VARS'!$J$70*(8*8)+'LINEST VARS'!$I$70*(8*$EG$128)+'LINEST VARS'!$H$70*(8*0.5)+'LINEST VARS'!$G$70*(8*$DV140)+'LINEST VARS'!$F$70*(8*$EG$128)+'LINEST VARS'!$E$70*(8*0.5)+'LINEST VARS'!$D$70*(8*$DV140)+'LINEST VARS'!$C$70*($EG$128*0.5)+'LINEST VARS'!$B$70*($EG$128*$DV140)+'LINEST VARS'!$A$70*(0.5*$DV140)</f>
        <v>88</v>
      </c>
      <c r="EH140" s="46">
        <f>'LINEST VARS'!$U$70+'LINEST VARS'!$T$70*(8)+'LINEST VARS'!$S$70*(8)+'LINEST VARS'!$R$70*($EH$128)+'LINEST VARS'!$Q$70*(0.5)+'LINEST VARS'!$P$70*($DV140)+'LINEST VARS'!$O$70*(8^2)+'LINEST VARS'!$N$70*(8^2)+'LINEST VARS'!$M$70*($EH$128^2)+'LINEST VARS'!$L$70*(0.5^2)+'LINEST VARS'!$K$70*($DV140^2)+'LINEST VARS'!$J$70*(8*8)+'LINEST VARS'!$I$70*(8*$EH$128)+'LINEST VARS'!$H$70*(8*0.5)+'LINEST VARS'!$G$70*(8*$DV140)+'LINEST VARS'!$F$70*(8*$EH$128)+'LINEST VARS'!$E$70*(8*0.5)+'LINEST VARS'!$D$70*(8*$DV140)+'LINEST VARS'!$C$70*($EH$128*0.5)+'LINEST VARS'!$B$70*($EH$128*$DV140)+'LINEST VARS'!$A$70*(0.5*$DV140)</f>
        <v>87.600000000000009</v>
      </c>
      <c r="EI140" s="46">
        <f>'LINEST VARS'!$U$70+'LINEST VARS'!$T$70*(8)+'LINEST VARS'!$S$70*(8)+'LINEST VARS'!$R$70*($EI$128)+'LINEST VARS'!$Q$70*(0.5)+'LINEST VARS'!$P$70*($DV140)+'LINEST VARS'!$O$70*(8^2)+'LINEST VARS'!$N$70*(8^2)+'LINEST VARS'!$M$70*($EI$128^2)+'LINEST VARS'!$L$70*(0.5^2)+'LINEST VARS'!$K$70*($DV140^2)+'LINEST VARS'!$J$70*(8*8)+'LINEST VARS'!$I$70*(8*$EI$128)+'LINEST VARS'!$H$70*(8*0.5)+'LINEST VARS'!$G$70*(8*$DV140)+'LINEST VARS'!$F$70*(8*$EI$128)+'LINEST VARS'!$E$70*(8*0.5)+'LINEST VARS'!$D$70*(8*$DV140)+'LINEST VARS'!$C$70*($EI$128*0.5)+'LINEST VARS'!$B$70*($EI$128*$DV140)+'LINEST VARS'!$A$70*(0.5*$DV140)</f>
        <v>87.2</v>
      </c>
      <c r="EJ140" s="46">
        <f>'LINEST VARS'!$U$70+'LINEST VARS'!$T$70*(8)+'LINEST VARS'!$S$70*(8)+'LINEST VARS'!$R$70*($EJ$128)+'LINEST VARS'!$Q$70*(0.5)+'LINEST VARS'!$P$70*($DV140)+'LINEST VARS'!$O$70*(8^2)+'LINEST VARS'!$N$70*(8^2)+'LINEST VARS'!$M$70*($EJ$128^2)+'LINEST VARS'!$L$70*(0.5^2)+'LINEST VARS'!$K$70*($DV140^2)+'LINEST VARS'!$J$70*(8*8)+'LINEST VARS'!$I$70*(8*$EJ$128)+'LINEST VARS'!$H$70*(8*0.5)+'LINEST VARS'!$G$70*(8*$DV140)+'LINEST VARS'!$F$70*(8*$EJ$128)+'LINEST VARS'!$E$70*(8*0.5)+'LINEST VARS'!$D$70*(8*$DV140)+'LINEST VARS'!$C$70*($EJ$128*0.5)+'LINEST VARS'!$B$70*($EJ$128*$DV140)+'LINEST VARS'!$A$70*(0.5*$DV140)</f>
        <v>86.800000000000011</v>
      </c>
      <c r="EK140" s="46">
        <f>'LINEST VARS'!$U$70+'LINEST VARS'!$T$70*(8)+'LINEST VARS'!$S$70*(8)+'LINEST VARS'!$R$70*($EK$128)+'LINEST VARS'!$Q$70*(0.5)+'LINEST VARS'!$P$70*($DV140)+'LINEST VARS'!$O$70*(8^2)+'LINEST VARS'!$N$70*(8^2)+'LINEST VARS'!$M$70*($EK$128^2)+'LINEST VARS'!$L$70*(0.5^2)+'LINEST VARS'!$K$70*($DV140^2)+'LINEST VARS'!$J$70*(8*8)+'LINEST VARS'!$I$70*(8*$EK$128)+'LINEST VARS'!$H$70*(8*0.5)+'LINEST VARS'!$G$70*(8*$DV140)+'LINEST VARS'!$F$70*(8*$EK$128)+'LINEST VARS'!$E$70*(8*0.5)+'LINEST VARS'!$D$70*(8*$DV140)+'LINEST VARS'!$C$70*($EK$128*0.5)+'LINEST VARS'!$B$70*($EK$128*$DV140)+'LINEST VARS'!$A$70*(0.5*$DV140)</f>
        <v>86.4</v>
      </c>
      <c r="EL140" s="46">
        <f>'LINEST VARS'!$U$70+'LINEST VARS'!$T$70*(8)+'LINEST VARS'!$S$70*(8)+'LINEST VARS'!$R$70*($EL$128)+'LINEST VARS'!$Q$70*(0.5)+'LINEST VARS'!$P$70*($DV140)+'LINEST VARS'!$O$70*(8^2)+'LINEST VARS'!$N$70*(8^2)+'LINEST VARS'!$M$70*($EL$128^2)+'LINEST VARS'!$L$70*(0.5^2)+'LINEST VARS'!$K$70*($DV140^2)+'LINEST VARS'!$J$70*(8*8)+'LINEST VARS'!$I$70*(8*$EL$128)+'LINEST VARS'!$H$70*(8*0.5)+'LINEST VARS'!$G$70*(8*$DV140)+'LINEST VARS'!$F$70*(8*$EL$128)+'LINEST VARS'!$E$70*(8*0.5)+'LINEST VARS'!$D$70*(8*$DV140)+'LINEST VARS'!$C$70*($EL$128*0.5)+'LINEST VARS'!$B$70*($EL$128*$DV140)+'LINEST VARS'!$A$70*(0.5*$DV140)</f>
        <v>86</v>
      </c>
      <c r="EM140" s="46">
        <f>'LINEST VARS'!$U$70+'LINEST VARS'!$T$70*(8)+'LINEST VARS'!$S$70*(8)+'LINEST VARS'!$R$70*($EM$128)+'LINEST VARS'!$Q$70*(0.5)+'LINEST VARS'!$P$70*($DV140)+'LINEST VARS'!$O$70*(8^2)+'LINEST VARS'!$N$70*(8^2)+'LINEST VARS'!$M$70*($EM$128^2)+'LINEST VARS'!$L$70*(0.5^2)+'LINEST VARS'!$K$70*($DV140^2)+'LINEST VARS'!$J$70*(8*8)+'LINEST VARS'!$I$70*(8*$EM$128)+'LINEST VARS'!$H$70*(8*0.5)+'LINEST VARS'!$G$70*(8*$DV140)+'LINEST VARS'!$F$70*(8*$EM$128)+'LINEST VARS'!$E$70*(8*0.5)+'LINEST VARS'!$D$70*(8*$DV140)+'LINEST VARS'!$C$70*($EM$128*0.5)+'LINEST VARS'!$B$70*($EM$128*$DV140)+'LINEST VARS'!$A$70*(0.5*$DV140)</f>
        <v>85.6</v>
      </c>
      <c r="EN140" s="46">
        <f>'LINEST VARS'!$U$70+'LINEST VARS'!$T$70*(8)+'LINEST VARS'!$S$70*(8)+'LINEST VARS'!$R$70*($EN$128)+'LINEST VARS'!$Q$70*(0.5)+'LINEST VARS'!$P$70*($DV140)+'LINEST VARS'!$O$70*(8^2)+'LINEST VARS'!$N$70*(8^2)+'LINEST VARS'!$M$70*($EN$128^2)+'LINEST VARS'!$L$70*(0.5^2)+'LINEST VARS'!$K$70*($DV140^2)+'LINEST VARS'!$J$70*(8*8)+'LINEST VARS'!$I$70*(8*$EN$128)+'LINEST VARS'!$H$70*(8*0.5)+'LINEST VARS'!$G$70*(8*$DV140)+'LINEST VARS'!$F$70*(8*$EN$128)+'LINEST VARS'!$E$70*(8*0.5)+'LINEST VARS'!$D$70*(8*$DV140)+'LINEST VARS'!$C$70*($EN$128*0.5)+'LINEST VARS'!$B$70*($EN$128*$DV140)+'LINEST VARS'!$A$70*(0.5*$DV140)</f>
        <v>85.2</v>
      </c>
      <c r="EO140" s="46">
        <f>'LINEST VARS'!$U$70+'LINEST VARS'!$T$70*(8)+'LINEST VARS'!$S$70*(8)+'LINEST VARS'!$R$70*($EO$128)+'LINEST VARS'!$Q$70*(0.5)+'LINEST VARS'!$P$70*($DV140)+'LINEST VARS'!$O$70*(8^2)+'LINEST VARS'!$N$70*(8^2)+'LINEST VARS'!$M$70*($EO$128^2)+'LINEST VARS'!$L$70*(0.5^2)+'LINEST VARS'!$K$70*($DV140^2)+'LINEST VARS'!$J$70*(8*8)+'LINEST VARS'!$I$70*(8*$EO$128)+'LINEST VARS'!$H$70*(8*0.5)+'LINEST VARS'!$G$70*(8*$DV140)+'LINEST VARS'!$F$70*(8*$EO$128)+'LINEST VARS'!$E$70*(8*0.5)+'LINEST VARS'!$D$70*(8*$DV140)+'LINEST VARS'!$C$70*($EO$128*0.5)+'LINEST VARS'!$B$70*($EO$128*$DV140)+'LINEST VARS'!$A$70*(0.5*$DV140)</f>
        <v>84.8</v>
      </c>
      <c r="EP140" s="46">
        <f>'LINEST VARS'!$U$70+'LINEST VARS'!$T$70*(8)+'LINEST VARS'!$S$70*(8)+'LINEST VARS'!$R$70*($EP$128)+'LINEST VARS'!$Q$70*(0.5)+'LINEST VARS'!$P$70*($DV140)+'LINEST VARS'!$O$70*(8^2)+'LINEST VARS'!$N$70*(8^2)+'LINEST VARS'!$M$70*($EP$128^2)+'LINEST VARS'!$L$70*(0.5^2)+'LINEST VARS'!$K$70*($DV140^2)+'LINEST VARS'!$J$70*(8*8)+'LINEST VARS'!$I$70*(8*$EP$128)+'LINEST VARS'!$H$70*(8*0.5)+'LINEST VARS'!$G$70*(8*$DV140)+'LINEST VARS'!$F$70*(8*$EP$128)+'LINEST VARS'!$E$70*(8*0.5)+'LINEST VARS'!$D$70*(8*$DV140)+'LINEST VARS'!$C$70*($EP$128*0.5)+'LINEST VARS'!$B$70*($EP$128*$DV140)+'LINEST VARS'!$A$70*(0.5*$DV140)</f>
        <v>84.40000000000002</v>
      </c>
      <c r="EQ140" s="47">
        <f>'LINEST VARS'!$U$70+'LINEST VARS'!$T$70*(8)+'LINEST VARS'!$S$70*(8)+'LINEST VARS'!$R$70*($EQ$128)+'LINEST VARS'!$Q$70*(0.5)+'LINEST VARS'!$P$70*($DV140)+'LINEST VARS'!$O$70*(8^2)+'LINEST VARS'!$N$70*(8^2)+'LINEST VARS'!$M$70*($EQ$128^2)+'LINEST VARS'!$L$70*(0.5^2)+'LINEST VARS'!$K$70*($DV140^2)+'LINEST VARS'!$J$70*(8*8)+'LINEST VARS'!$I$70*(8*$EQ$128)+'LINEST VARS'!$H$70*(8*0.5)+'LINEST VARS'!$G$70*(8*$DV140)+'LINEST VARS'!$F$70*(8*$EQ$128)+'LINEST VARS'!$E$70*(8*0.5)+'LINEST VARS'!$D$70*(8*$DV140)+'LINEST VARS'!$C$70*($EQ$128*0.5)+'LINEST VARS'!$B$70*($EQ$128*$DV140)+'LINEST VARS'!$A$70*(0.5*$DV140)</f>
        <v>84.000000000000014</v>
      </c>
    </row>
    <row r="141" spans="2:147" ht="15" customHeight="1" x14ac:dyDescent="0.25">
      <c r="B141" s="45">
        <v>8.1199999999999992</v>
      </c>
      <c r="C141" s="46">
        <f>'LINEST VARS'!$U$68+'LINEST VARS'!$T$68*($C$128)+'LINEST VARS'!$S$68*($B141)+'LINEST VARS'!$R$68*(4)+'LINEST VARS'!$Q$68*(0.5)+'LINEST VARS'!$P$68*(12.73)+'LINEST VARS'!$O$68*($C$128^2)+'LINEST VARS'!$N$68*($B141^2)+'LINEST VARS'!$M$68*(4^2)+'LINEST VARS'!$L$68*(0.5^2)+'LINEST VARS'!$K$68*(12.73^2)+'LINEST VARS'!$J$68*($C$128*$B141)+'LINEST VARS'!$I$68*($C$128*4)+'LINEST VARS'!$H$68*($C$128*0.5)+'LINEST VARS'!$G$68*($C$128*12.73)+'LINEST VARS'!$F$68*($B141*4)+'LINEST VARS'!$E$68*($B141*0.5)+'LINEST VARS'!$D$68*($B141*12.73)+'LINEST VARS'!$C$68*(4*0.5)+'LINEST VARS'!$B$68*(4*12.73)+'LINEST VARS'!$A$68*(0.5*12.73)</f>
        <v>149</v>
      </c>
      <c r="D141" s="46">
        <f>'LINEST VARS'!$U$68+'LINEST VARS'!$T$68*($D$128)+'LINEST VARS'!$S$68*($B141)+'LINEST VARS'!$R$68*(4)+'LINEST VARS'!$Q$68*(0.5)+'LINEST VARS'!$P$68*(12.73)+'LINEST VARS'!$O$68*($D$128^2)+'LINEST VARS'!$N$68*($B141^2)+'LINEST VARS'!$M$68*(4^2)+'LINEST VARS'!$L$68*(0.5^2)+'LINEST VARS'!$K$68*(12.73^2)+'LINEST VARS'!$J$68*($D$128*$B141)+'LINEST VARS'!$I$68*($D$128*4)+'LINEST VARS'!$H$68*($D$128*0.5)+'LINEST VARS'!$G$68*($D$128*12.73)+'LINEST VARS'!$F$68*($B141*4)+'LINEST VARS'!$E$68*($B141*0.5)+'LINEST VARS'!$D$68*($B141*12.73)+'LINEST VARS'!$C$68*(4*0.5)+'LINEST VARS'!$B$68*(4*12.73)+'LINEST VARS'!$A$68*(0.5*12.73)</f>
        <v>149</v>
      </c>
      <c r="E141" s="46">
        <f>'LINEST VARS'!$U$68+'LINEST VARS'!$T$68*($E$128)+'LINEST VARS'!$S$68*($B141)+'LINEST VARS'!$R$68*(4)+'LINEST VARS'!$Q$68*(0.5)+'LINEST VARS'!$P$68*(12.73)+'LINEST VARS'!$O$68*($E$128^2)+'LINEST VARS'!$N$68*($B141^2)+'LINEST VARS'!$M$68*(4^2)+'LINEST VARS'!$L$68*(0.5^2)+'LINEST VARS'!$K$68*(12.73^2)+'LINEST VARS'!$J$68*($E$128*$B141)+'LINEST VARS'!$I$68*($E$128*4)+'LINEST VARS'!$H$68*($E$128*0.5)+'LINEST VARS'!$G$68*($E$128*12.73)+'LINEST VARS'!$F$68*($B141*4)+'LINEST VARS'!$E$68*($B141*0.5)+'LINEST VARS'!$D$68*($B141*12.73)+'LINEST VARS'!$C$68*(4*0.5)+'LINEST VARS'!$B$68*(4*12.73)+'LINEST VARS'!$A$68*(0.5*12.73)</f>
        <v>149</v>
      </c>
      <c r="F141" s="46">
        <f>'LINEST VARS'!$U$68+'LINEST VARS'!$T$68*($F$128)+'LINEST VARS'!$S$68*($B141)+'LINEST VARS'!$R$68*(4)+'LINEST VARS'!$Q$68*(0.5)+'LINEST VARS'!$P$68*(12.73)+'LINEST VARS'!$O$68*($F$128^2)+'LINEST VARS'!$N$68*($B141^2)+'LINEST VARS'!$M$68*(4^2)+'LINEST VARS'!$L$68*(0.5^2)+'LINEST VARS'!$K$68*(12.73^2)+'LINEST VARS'!$J$68*($F$128*$B141)+'LINEST VARS'!$I$68*($F$128*4)+'LINEST VARS'!$H$68*($F$128*0.5)+'LINEST VARS'!$G$68*($F$128*12.73)+'LINEST VARS'!$F$68*($B141*4)+'LINEST VARS'!$E$68*($B141*0.5)+'LINEST VARS'!$D$68*($B141*12.73)+'LINEST VARS'!$C$68*(4*0.5)+'LINEST VARS'!$B$68*(4*12.73)+'LINEST VARS'!$A$68*(0.5*12.73)</f>
        <v>149</v>
      </c>
      <c r="G141" s="46">
        <f>'LINEST VARS'!$U$68+'LINEST VARS'!$T$68*($G$128)+'LINEST VARS'!$S$68*($B141)+'LINEST VARS'!$R$68*(4)+'LINEST VARS'!$Q$68*(0.5)+'LINEST VARS'!$P$68*(12.73)+'LINEST VARS'!$O$68*($G$128^2)+'LINEST VARS'!$N$68*($B141^2)+'LINEST VARS'!$M$68*(4^2)+'LINEST VARS'!$L$68*(0.5^2)+'LINEST VARS'!$K$68*(12.73^2)+'LINEST VARS'!$J$68*($G$128*$B141)+'LINEST VARS'!$I$68*($G$128*4)+'LINEST VARS'!$H$68*($G$128*0.5)+'LINEST VARS'!$G$68*($G$128*12.73)+'LINEST VARS'!$F$68*($B141*4)+'LINEST VARS'!$E$68*($B141*0.5)+'LINEST VARS'!$D$68*($B141*12.73)+'LINEST VARS'!$C$68*(4*0.5)+'LINEST VARS'!$B$68*(4*12.73)+'LINEST VARS'!$A$68*(0.5*12.73)</f>
        <v>149</v>
      </c>
      <c r="H141" s="46">
        <f>'LINEST VARS'!$U$68+'LINEST VARS'!$T$68*($H$128)+'LINEST VARS'!$S$68*($B141)+'LINEST VARS'!$R$68*(4)+'LINEST VARS'!$Q$68*(0.5)+'LINEST VARS'!$P$68*(12.73)+'LINEST VARS'!$O$68*($H$128^2)+'LINEST VARS'!$N$68*($B141^2)+'LINEST VARS'!$M$68*(4^2)+'LINEST VARS'!$L$68*(0.5^2)+'LINEST VARS'!$K$68*(12.73^2)+'LINEST VARS'!$J$68*($H$128*$B141)+'LINEST VARS'!$I$68*($H$128*4)+'LINEST VARS'!$H$68*($H$128*0.5)+'LINEST VARS'!$G$68*($H$128*12.73)+'LINEST VARS'!$F$68*($B141*4)+'LINEST VARS'!$E$68*($B141*0.5)+'LINEST VARS'!$D$68*($B141*12.73)+'LINEST VARS'!$C$68*(4*0.5)+'LINEST VARS'!$B$68*(4*12.73)+'LINEST VARS'!$A$68*(0.5*12.73)</f>
        <v>149</v>
      </c>
      <c r="I141" s="46">
        <f>'LINEST VARS'!$U$68+'LINEST VARS'!$T$68*($I$128)+'LINEST VARS'!$S$68*($B141)+'LINEST VARS'!$R$68*(4)+'LINEST VARS'!$Q$68*(0.5)+'LINEST VARS'!$P$68*(12.73)+'LINEST VARS'!$O$68*($I$128^2)+'LINEST VARS'!$N$68*($B141^2)+'LINEST VARS'!$M$68*(4^2)+'LINEST VARS'!$L$68*(0.5^2)+'LINEST VARS'!$K$68*(12.73^2)+'LINEST VARS'!$J$68*($I$128*$B141)+'LINEST VARS'!$I$68*($I$128*4)+'LINEST VARS'!$H$68*($I$128*0.5)+'LINEST VARS'!$G$68*($I$128*12.73)+'LINEST VARS'!$F$68*($B141*4)+'LINEST VARS'!$E$68*($B141*0.5)+'LINEST VARS'!$D$68*($B141*12.73)+'LINEST VARS'!$C$68*(4*0.5)+'LINEST VARS'!$B$68*(4*12.73)+'LINEST VARS'!$A$68*(0.5*12.73)</f>
        <v>149</v>
      </c>
      <c r="J141" s="46">
        <f>'LINEST VARS'!$U$68+'LINEST VARS'!$T$68*($J$128)+'LINEST VARS'!$S$68*($B141)+'LINEST VARS'!$R$68*(4)+'LINEST VARS'!$Q$68*(0.5)+'LINEST VARS'!$P$68*(12.73)+'LINEST VARS'!$O$68*($J$128^2)+'LINEST VARS'!$N$68*($B141^2)+'LINEST VARS'!$M$68*(4^2)+'LINEST VARS'!$L$68*(0.5^2)+'LINEST VARS'!$K$68*(12.73^2)+'LINEST VARS'!$J$68*($J$128*$B141)+'LINEST VARS'!$I$68*($J$128*4)+'LINEST VARS'!$H$68*($J$128*0.5)+'LINEST VARS'!$G$68*($J$128*12.73)+'LINEST VARS'!$F$68*($B141*4)+'LINEST VARS'!$E$68*($B141*0.5)+'LINEST VARS'!$D$68*($B141*12.73)+'LINEST VARS'!$C$68*(4*0.5)+'LINEST VARS'!$B$68*(4*12.73)+'LINEST VARS'!$A$68*(0.5*12.73)</f>
        <v>149</v>
      </c>
      <c r="K141" s="46">
        <f>'LINEST VARS'!$U$68+'LINEST VARS'!$T$68*($K$128)+'LINEST VARS'!$S$68*($B141)+'LINEST VARS'!$R$68*(4)+'LINEST VARS'!$Q$68*(0.5)+'LINEST VARS'!$P$68*(12.73)+'LINEST VARS'!$O$68*($K$128^2)+'LINEST VARS'!$N$68*($B141^2)+'LINEST VARS'!$M$68*(4^2)+'LINEST VARS'!$L$68*(0.5^2)+'LINEST VARS'!$K$68*(12.73^2)+'LINEST VARS'!$J$68*($K$128*$B141)+'LINEST VARS'!$I$68*($K$128*4)+'LINEST VARS'!$H$68*($K$128*0.5)+'LINEST VARS'!$G$68*($K$128*12.73)+'LINEST VARS'!$F$68*($B141*4)+'LINEST VARS'!$E$68*($B141*0.5)+'LINEST VARS'!$D$68*($B141*12.73)+'LINEST VARS'!$C$68*(4*0.5)+'LINEST VARS'!$B$68*(4*12.73)+'LINEST VARS'!$A$68*(0.5*12.73)</f>
        <v>149</v>
      </c>
      <c r="L141" s="46">
        <f>'LINEST VARS'!$U$68+'LINEST VARS'!$T$68*($L$128)+'LINEST VARS'!$S$68*($B141)+'LINEST VARS'!$R$68*(4)+'LINEST VARS'!$Q$68*(0.5)+'LINEST VARS'!$P$68*(12.73)+'LINEST VARS'!$O$68*($L$128^2)+'LINEST VARS'!$N$68*($B141^2)+'LINEST VARS'!$M$68*(4^2)+'LINEST VARS'!$L$68*(0.5^2)+'LINEST VARS'!$K$68*(12.73^2)+'LINEST VARS'!$J$68*($L$128*$B141)+'LINEST VARS'!$I$68*($L$128*4)+'LINEST VARS'!$H$68*($L$128*0.5)+'LINEST VARS'!$G$68*($L$128*12.73)+'LINEST VARS'!$F$68*($B141*4)+'LINEST VARS'!$E$68*($B141*0.5)+'LINEST VARS'!$D$68*($B141*12.73)+'LINEST VARS'!$C$68*(4*0.5)+'LINEST VARS'!$B$68*(4*12.73)+'LINEST VARS'!$A$68*(0.5*12.73)</f>
        <v>149</v>
      </c>
      <c r="M141" s="46">
        <f>'LINEST VARS'!$U$68+'LINEST VARS'!$T$68*($M$128)+'LINEST VARS'!$S$68*($B141)+'LINEST VARS'!$R$68*(4)+'LINEST VARS'!$Q$68*(0.5)+'LINEST VARS'!$P$68*(12.73)+'LINEST VARS'!$O$68*($M$128^2)+'LINEST VARS'!$N$68*($B141^2)+'LINEST VARS'!$M$68*(4^2)+'LINEST VARS'!$L$68*(0.5^2)+'LINEST VARS'!$K$68*(12.73^2)+'LINEST VARS'!$J$68*($M$128*$B141)+'LINEST VARS'!$I$68*($M$128*4)+'LINEST VARS'!$H$68*($M$128*0.5)+'LINEST VARS'!$G$68*($M$128*12.73)+'LINEST VARS'!$F$68*($B141*4)+'LINEST VARS'!$E$68*($B141*0.5)+'LINEST VARS'!$D$68*($B141*12.73)+'LINEST VARS'!$C$68*(4*0.5)+'LINEST VARS'!$B$68*(4*12.73)+'LINEST VARS'!$A$68*(0.5*12.73)</f>
        <v>149</v>
      </c>
      <c r="N141" s="46">
        <f>'LINEST VARS'!$U$68+'LINEST VARS'!$T$68*($N$128)+'LINEST VARS'!$S$68*($B141)+'LINEST VARS'!$R$68*(4)+'LINEST VARS'!$Q$68*(0.5)+'LINEST VARS'!$P$68*(12.73)+'LINEST VARS'!$O$68*($N$128^2)+'LINEST VARS'!$N$68*($B141^2)+'LINEST VARS'!$M$68*(4^2)+'LINEST VARS'!$L$68*(0.5^2)+'LINEST VARS'!$K$68*(12.73^2)+'LINEST VARS'!$J$68*($N$128*$B141)+'LINEST VARS'!$I$68*($N$128*4)+'LINEST VARS'!$H$68*($N$128*0.5)+'LINEST VARS'!$G$68*($N$128*12.73)+'LINEST VARS'!$F$68*($B141*4)+'LINEST VARS'!$E$68*($B141*0.5)+'LINEST VARS'!$D$68*($B141*12.73)+'LINEST VARS'!$C$68*(4*0.5)+'LINEST VARS'!$B$68*(4*12.73)+'LINEST VARS'!$A$68*(0.5*12.73)</f>
        <v>149</v>
      </c>
      <c r="O141" s="46">
        <f>'LINEST VARS'!$U$68+'LINEST VARS'!$T$68*($O$128)+'LINEST VARS'!$S$68*($B141)+'LINEST VARS'!$R$68*(4)+'LINEST VARS'!$Q$68*(0.5)+'LINEST VARS'!$P$68*(12.73)+'LINEST VARS'!$O$68*($O$128^2)+'LINEST VARS'!$N$68*($B141^2)+'LINEST VARS'!$M$68*(4^2)+'LINEST VARS'!$L$68*(0.5^2)+'LINEST VARS'!$K$68*(12.73^2)+'LINEST VARS'!$J$68*($O$128*$B141)+'LINEST VARS'!$I$68*($O$128*4)+'LINEST VARS'!$H$68*($O$128*0.5)+'LINEST VARS'!$G$68*($O$128*12.73)+'LINEST VARS'!$F$68*($B141*4)+'LINEST VARS'!$E$68*($B141*0.5)+'LINEST VARS'!$D$68*($B141*12.73)+'LINEST VARS'!$C$68*(4*0.5)+'LINEST VARS'!$B$68*(4*12.73)+'LINEST VARS'!$A$68*(0.5*12.73)</f>
        <v>149</v>
      </c>
      <c r="P141" s="46">
        <f>'LINEST VARS'!$U$68+'LINEST VARS'!$T$68*($P$128)+'LINEST VARS'!$S$68*($B141)+'LINEST VARS'!$R$68*(4)+'LINEST VARS'!$Q$68*(0.5)+'LINEST VARS'!$P$68*(12.73)+'LINEST VARS'!$O$68*($P$128^2)+'LINEST VARS'!$N$68*($B141^2)+'LINEST VARS'!$M$68*(4^2)+'LINEST VARS'!$L$68*(0.5^2)+'LINEST VARS'!$K$68*(12.73^2)+'LINEST VARS'!$J$68*($P$128*$B141)+'LINEST VARS'!$I$68*($P$128*4)+'LINEST VARS'!$H$68*($P$128*0.5)+'LINEST VARS'!$G$68*($P$128*12.73)+'LINEST VARS'!$F$68*($B141*4)+'LINEST VARS'!$E$68*($B141*0.5)+'LINEST VARS'!$D$68*($B141*12.73)+'LINEST VARS'!$C$68*(4*0.5)+'LINEST VARS'!$B$68*(4*12.73)+'LINEST VARS'!$A$68*(0.5*12.73)</f>
        <v>149</v>
      </c>
      <c r="Q141" s="46">
        <f>'LINEST VARS'!$U$68+'LINEST VARS'!$T$68*($Q$128)+'LINEST VARS'!$S$68*($B141)+'LINEST VARS'!$R$68*(4)+'LINEST VARS'!$Q$68*(0.5)+'LINEST VARS'!$P$68*(12.73)+'LINEST VARS'!$O$68*($Q$128^2)+'LINEST VARS'!$N$68*($B141^2)+'LINEST VARS'!$M$68*(4^2)+'LINEST VARS'!$L$68*(0.5^2)+'LINEST VARS'!$K$68*(12.73^2)+'LINEST VARS'!$J$68*($Q$128*$B141)+'LINEST VARS'!$I$68*($Q$128*4)+'LINEST VARS'!$H$68*($Q$128*0.5)+'LINEST VARS'!$G$68*($Q$128*12.73)+'LINEST VARS'!$F$68*($B141*4)+'LINEST VARS'!$E$68*($B141*0.5)+'LINEST VARS'!$D$68*($B141*12.73)+'LINEST VARS'!$C$68*(4*0.5)+'LINEST VARS'!$B$68*(4*12.73)+'LINEST VARS'!$A$68*(0.5*12.73)</f>
        <v>149</v>
      </c>
      <c r="R141" s="46">
        <f>'LINEST VARS'!$U$68+'LINEST VARS'!$T$68*($R$128)+'LINEST VARS'!$S$68*($B141)+'LINEST VARS'!$R$68*(4)+'LINEST VARS'!$Q$68*(0.5)+'LINEST VARS'!$P$68*(12.73)+'LINEST VARS'!$O$68*($R$128^2)+'LINEST VARS'!$N$68*($B141^2)+'LINEST VARS'!$M$68*(4^2)+'LINEST VARS'!$L$68*(0.5^2)+'LINEST VARS'!$K$68*(12.73^2)+'LINEST VARS'!$J$68*($R$128*$B141)+'LINEST VARS'!$I$68*($R$128*4)+'LINEST VARS'!$H$68*($R$128*0.5)+'LINEST VARS'!$G$68*($R$128*12.73)+'LINEST VARS'!$F$68*($B141*4)+'LINEST VARS'!$E$68*($B141*0.5)+'LINEST VARS'!$D$68*($B141*12.73)+'LINEST VARS'!$C$68*(4*0.5)+'LINEST VARS'!$B$68*(4*12.73)+'LINEST VARS'!$A$68*(0.5*12.73)</f>
        <v>149</v>
      </c>
      <c r="S141" s="46">
        <f>'LINEST VARS'!$U$68+'LINEST VARS'!$T$68*($S$128)+'LINEST VARS'!$S$68*($B141)+'LINEST VARS'!$R$68*(4)+'LINEST VARS'!$Q$68*(0.5)+'LINEST VARS'!$P$68*(12.73)+'LINEST VARS'!$O$68*($S$128^2)+'LINEST VARS'!$N$68*($B141^2)+'LINEST VARS'!$M$68*(4^2)+'LINEST VARS'!$L$68*(0.5^2)+'LINEST VARS'!$K$68*(12.73^2)+'LINEST VARS'!$J$68*($S$128*$B141)+'LINEST VARS'!$I$68*($S$128*4)+'LINEST VARS'!$H$68*($S$128*0.5)+'LINEST VARS'!$G$68*($S$128*12.73)+'LINEST VARS'!$F$68*($B141*4)+'LINEST VARS'!$E$68*($B141*0.5)+'LINEST VARS'!$D$68*($B141*12.73)+'LINEST VARS'!$C$68*(4*0.5)+'LINEST VARS'!$B$68*(4*12.73)+'LINEST VARS'!$A$68*(0.5*12.73)</f>
        <v>149</v>
      </c>
      <c r="T141" s="46">
        <f>'LINEST VARS'!$U$68+'LINEST VARS'!$T$68*($T$128)+'LINEST VARS'!$S$68*($B141)+'LINEST VARS'!$R$68*(4)+'LINEST VARS'!$Q$68*(0.5)+'LINEST VARS'!$P$68*(12.73)+'LINEST VARS'!$O$68*($T$128^2)+'LINEST VARS'!$N$68*($B141^2)+'LINEST VARS'!$M$68*(4^2)+'LINEST VARS'!$L$68*(0.5^2)+'LINEST VARS'!$K$68*(12.73^2)+'LINEST VARS'!$J$68*($T$128*$B141)+'LINEST VARS'!$I$68*($T$128*4)+'LINEST VARS'!$H$68*($T$128*0.5)+'LINEST VARS'!$G$68*($T$128*12.73)+'LINEST VARS'!$F$68*($B141*4)+'LINEST VARS'!$E$68*($B141*0.5)+'LINEST VARS'!$D$68*($B141*12.73)+'LINEST VARS'!$C$68*(4*0.5)+'LINEST VARS'!$B$68*(4*12.73)+'LINEST VARS'!$A$68*(0.5*12.73)</f>
        <v>149</v>
      </c>
      <c r="U141" s="46">
        <f>'LINEST VARS'!$U$68+'LINEST VARS'!$T$68*($U$128)+'LINEST VARS'!$S$68*($B141)+'LINEST VARS'!$R$68*(4)+'LINEST VARS'!$Q$68*(0.5)+'LINEST VARS'!$P$68*(12.73)+'LINEST VARS'!$O$68*($U$128^2)+'LINEST VARS'!$N$68*($B141^2)+'LINEST VARS'!$M$68*(4^2)+'LINEST VARS'!$L$68*(0.5^2)+'LINEST VARS'!$K$68*(12.73^2)+'LINEST VARS'!$J$68*($U$128*$B141)+'LINEST VARS'!$I$68*($U$128*4)+'LINEST VARS'!$H$68*($U$128*0.5)+'LINEST VARS'!$G$68*($U$128*12.73)+'LINEST VARS'!$F$68*($B141*4)+'LINEST VARS'!$E$68*($B141*0.5)+'LINEST VARS'!$D$68*($B141*12.73)+'LINEST VARS'!$C$68*(4*0.5)+'LINEST VARS'!$B$68*(4*12.73)+'LINEST VARS'!$A$68*(0.5*12.73)</f>
        <v>149</v>
      </c>
      <c r="V141" s="46">
        <f>'LINEST VARS'!$U$68+'LINEST VARS'!$T$68*($V$128)+'LINEST VARS'!$S$68*($B141)+'LINEST VARS'!$R$68*(4)+'LINEST VARS'!$Q$68*(0.5)+'LINEST VARS'!$P$68*(12.73)+'LINEST VARS'!$O$68*($V$128^2)+'LINEST VARS'!$N$68*($B141^2)+'LINEST VARS'!$M$68*(4^2)+'LINEST VARS'!$L$68*(0.5^2)+'LINEST VARS'!$K$68*(12.73^2)+'LINEST VARS'!$J$68*($V$128*$B141)+'LINEST VARS'!$I$68*($V$128*4)+'LINEST VARS'!$H$68*($V$128*0.5)+'LINEST VARS'!$G$68*($V$128*12.73)+'LINEST VARS'!$F$68*($B141*4)+'LINEST VARS'!$E$68*($B141*0.5)+'LINEST VARS'!$D$68*($B141*12.73)+'LINEST VARS'!$C$68*(4*0.5)+'LINEST VARS'!$B$68*(4*12.73)+'LINEST VARS'!$A$68*(0.5*12.73)</f>
        <v>149</v>
      </c>
      <c r="W141" s="47">
        <f>'LINEST VARS'!$U$68+'LINEST VARS'!$T$68*($W$128)+'LINEST VARS'!$S$68*($B141)+'LINEST VARS'!$R$68*(4)+'LINEST VARS'!$Q$68*(0.5)+'LINEST VARS'!$P$68*(12.73)+'LINEST VARS'!$O$68*($W$128^2)+'LINEST VARS'!$N$68*($B141^2)+'LINEST VARS'!$M$68*(4^2)+'LINEST VARS'!$L$68*(0.5^2)+'LINEST VARS'!$K$68*(12.73^2)+'LINEST VARS'!$J$68*($W$128*$B141)+'LINEST VARS'!$I$68*($W$128*4)+'LINEST VARS'!$H$68*($W$128*0.5)+'LINEST VARS'!$G$68*($W$128*12.73)+'LINEST VARS'!$F$68*($B141*4)+'LINEST VARS'!$E$68*($B141*0.5)+'LINEST VARS'!$D$68*($B141*12.73)+'LINEST VARS'!$C$68*(4*0.5)+'LINEST VARS'!$B$68*(4*12.73)+'LINEST VARS'!$A$68*(0.5*12.73)</f>
        <v>149</v>
      </c>
      <c r="Z141" s="45">
        <v>8.1199999999999992</v>
      </c>
      <c r="AA141" s="46">
        <f>'LINEST VARS'!$U$70+'LINEST VARS'!$T$70*($AA$128)+'LINEST VARS'!$S$70*($Z141)+'LINEST VARS'!$R$70*(4)+'LINEST VARS'!$Q$70*(0.5)+'LINEST VARS'!$P$70*(12.73)+'LINEST VARS'!$O$70*($AA$128^2)+'LINEST VARS'!$N$70*($Z141^2)+'LINEST VARS'!$M$70*(4^2)+'LINEST VARS'!$L$70*(0.5^2)+'LINEST VARS'!$K$70*(12.73^2)+'LINEST VARS'!$J$70*($AA$128*$Z141)+'LINEST VARS'!$I$70*($AA$128*4)+'LINEST VARS'!$H$70*($AA$128*0.5)+'LINEST VARS'!$G$70*($AA$128*12.73)+'LINEST VARS'!$F$70*($Z141*4)+'LINEST VARS'!$E$70*($Z141*0.5)+'LINEST VARS'!$D$70*($Z141*12.73)+'LINEST VARS'!$C$70*(4*0.5)+'LINEST VARS'!$B$70*(4*12.73)+'LINEST VARS'!$A$70*(0.5*12.73)</f>
        <v>88.180000000000021</v>
      </c>
      <c r="AB141" s="46">
        <f>'LINEST VARS'!$U$70+'LINEST VARS'!$T$70*($AB$128)+'LINEST VARS'!$S$70*($Z141)+'LINEST VARS'!$R$70*(4)+'LINEST VARS'!$Q$70*(0.5)+'LINEST VARS'!$P$70*(12.73)+'LINEST VARS'!$O$70*($AB$128^2)+'LINEST VARS'!$N$70*($Z141^2)+'LINEST VARS'!$M$70*(4^2)+'LINEST VARS'!$L$70*(0.5^2)+'LINEST VARS'!$K$70*(12.73^2)+'LINEST VARS'!$J$70*($AB$128*$Z141)+'LINEST VARS'!$I$70*($AB$128*4)+'LINEST VARS'!$H$70*($AB$128*0.5)+'LINEST VARS'!$G$70*($AB$128*12.73)+'LINEST VARS'!$F$70*($Z141*4)+'LINEST VARS'!$E$70*($Z141*0.5)+'LINEST VARS'!$D$70*($Z141*12.73)+'LINEST VARS'!$C$70*(4*0.5)+'LINEST VARS'!$B$70*(4*12.73)+'LINEST VARS'!$A$70*(0.5*12.73)</f>
        <v>88.180000000000021</v>
      </c>
      <c r="AC141" s="46">
        <f>'LINEST VARS'!$U$70+'LINEST VARS'!$T$70*($AC$128)+'LINEST VARS'!$S$70*($Z141)+'LINEST VARS'!$R$70*(4)+'LINEST VARS'!$Q$70*(0.5)+'LINEST VARS'!$P$70*(12.73)+'LINEST VARS'!$O$70*($AC$128^2)+'LINEST VARS'!$N$70*($Z141^2)+'LINEST VARS'!$M$70*(4^2)+'LINEST VARS'!$L$70*(0.5^2)+'LINEST VARS'!$K$70*(12.73^2)+'LINEST VARS'!$J$70*($AC$128*$Z141)+'LINEST VARS'!$I$70*($AC$128*4)+'LINEST VARS'!$H$70*($AC$128*0.5)+'LINEST VARS'!$G$70*($AC$128*12.73)+'LINEST VARS'!$F$70*($Z141*4)+'LINEST VARS'!$E$70*($Z141*0.5)+'LINEST VARS'!$D$70*($Z141*12.73)+'LINEST VARS'!$C$70*(4*0.5)+'LINEST VARS'!$B$70*(4*12.73)+'LINEST VARS'!$A$70*(0.5*12.73)</f>
        <v>88.180000000000021</v>
      </c>
      <c r="AD141" s="46">
        <f>'LINEST VARS'!$U$70+'LINEST VARS'!$T$70*($AD$128)+'LINEST VARS'!$S$70*($Z141)+'LINEST VARS'!$R$70*(4)+'LINEST VARS'!$Q$70*(0.5)+'LINEST VARS'!$P$70*(12.73)+'LINEST VARS'!$O$70*($AD$128^2)+'LINEST VARS'!$N$70*($Z141^2)+'LINEST VARS'!$M$70*(4^2)+'LINEST VARS'!$L$70*(0.5^2)+'LINEST VARS'!$K$70*(12.73^2)+'LINEST VARS'!$J$70*($AD$128*$Z141)+'LINEST VARS'!$I$70*($AD$128*4)+'LINEST VARS'!$H$70*($AD$128*0.5)+'LINEST VARS'!$G$70*($AD$128*12.73)+'LINEST VARS'!$F$70*($Z141*4)+'LINEST VARS'!$E$70*($Z141*0.5)+'LINEST VARS'!$D$70*($Z141*12.73)+'LINEST VARS'!$C$70*(4*0.5)+'LINEST VARS'!$B$70*(4*12.73)+'LINEST VARS'!$A$70*(0.5*12.73)</f>
        <v>88.180000000000021</v>
      </c>
      <c r="AE141" s="46">
        <f>'LINEST VARS'!$U$70+'LINEST VARS'!$T$70*($AE$128)+'LINEST VARS'!$S$70*($Z141)+'LINEST VARS'!$R$70*(4)+'LINEST VARS'!$Q$70*(0.5)+'LINEST VARS'!$P$70*(12.73)+'LINEST VARS'!$O$70*($AE$128^2)+'LINEST VARS'!$N$70*($Z141^2)+'LINEST VARS'!$M$70*(4^2)+'LINEST VARS'!$L$70*(0.5^2)+'LINEST VARS'!$K$70*(12.73^2)+'LINEST VARS'!$J$70*($AE$128*$Z141)+'LINEST VARS'!$I$70*($AE$128*4)+'LINEST VARS'!$H$70*($AE$128*0.5)+'LINEST VARS'!$G$70*($AE$128*12.73)+'LINEST VARS'!$F$70*($Z141*4)+'LINEST VARS'!$E$70*($Z141*0.5)+'LINEST VARS'!$D$70*($Z141*12.73)+'LINEST VARS'!$C$70*(4*0.5)+'LINEST VARS'!$B$70*(4*12.73)+'LINEST VARS'!$A$70*(0.5*12.73)</f>
        <v>88.180000000000021</v>
      </c>
      <c r="AF141" s="46">
        <f>'LINEST VARS'!$U$70+'LINEST VARS'!$T$70*($AF$128)+'LINEST VARS'!$S$70*($Z141)+'LINEST VARS'!$R$70*(4)+'LINEST VARS'!$Q$70*(0.5)+'LINEST VARS'!$P$70*(12.73)+'LINEST VARS'!$O$70*($AF$128^2)+'LINEST VARS'!$N$70*($Z141^2)+'LINEST VARS'!$M$70*(4^2)+'LINEST VARS'!$L$70*(0.5^2)+'LINEST VARS'!$K$70*(12.73^2)+'LINEST VARS'!$J$70*($AF$128*$Z141)+'LINEST VARS'!$I$70*($AF$128*4)+'LINEST VARS'!$H$70*($AF$128*0.5)+'LINEST VARS'!$G$70*($AF$128*12.73)+'LINEST VARS'!$F$70*($Z141*4)+'LINEST VARS'!$E$70*($Z141*0.5)+'LINEST VARS'!$D$70*($Z141*12.73)+'LINEST VARS'!$C$70*(4*0.5)+'LINEST VARS'!$B$70*(4*12.73)+'LINEST VARS'!$A$70*(0.5*12.73)</f>
        <v>88.180000000000021</v>
      </c>
      <c r="AG141" s="46">
        <f>'LINEST VARS'!$U$70+'LINEST VARS'!$T$70*($AG$128)+'LINEST VARS'!$S$70*($Z141)+'LINEST VARS'!$R$70*(4)+'LINEST VARS'!$Q$70*(0.5)+'LINEST VARS'!$P$70*(12.73)+'LINEST VARS'!$O$70*($AG$128^2)+'LINEST VARS'!$N$70*($Z141^2)+'LINEST VARS'!$M$70*(4^2)+'LINEST VARS'!$L$70*(0.5^2)+'LINEST VARS'!$K$70*(12.73^2)+'LINEST VARS'!$J$70*($AG$128*$Z141)+'LINEST VARS'!$I$70*($AG$128*4)+'LINEST VARS'!$H$70*($AG$128*0.5)+'LINEST VARS'!$G$70*($AG$128*12.73)+'LINEST VARS'!$F$70*($Z141*4)+'LINEST VARS'!$E$70*($Z141*0.5)+'LINEST VARS'!$D$70*($Z141*12.73)+'LINEST VARS'!$C$70*(4*0.5)+'LINEST VARS'!$B$70*(4*12.73)+'LINEST VARS'!$A$70*(0.5*12.73)</f>
        <v>88.180000000000021</v>
      </c>
      <c r="AH141" s="46">
        <f>'LINEST VARS'!$U$70+'LINEST VARS'!$T$70*($AH$128)+'LINEST VARS'!$S$70*($Z141)+'LINEST VARS'!$R$70*(4)+'LINEST VARS'!$Q$70*(0.5)+'LINEST VARS'!$P$70*(12.73)+'LINEST VARS'!$O$70*($AH$128^2)+'LINEST VARS'!$N$70*($Z141^2)+'LINEST VARS'!$M$70*(4^2)+'LINEST VARS'!$L$70*(0.5^2)+'LINEST VARS'!$K$70*(12.73^2)+'LINEST VARS'!$J$70*($AH$128*$Z141)+'LINEST VARS'!$I$70*($AH$128*4)+'LINEST VARS'!$H$70*($AH$128*0.5)+'LINEST VARS'!$G$70*($AH$128*12.73)+'LINEST VARS'!$F$70*($Z141*4)+'LINEST VARS'!$E$70*($Z141*0.5)+'LINEST VARS'!$D$70*($Z141*12.73)+'LINEST VARS'!$C$70*(4*0.5)+'LINEST VARS'!$B$70*(4*12.73)+'LINEST VARS'!$A$70*(0.5*12.73)</f>
        <v>88.180000000000021</v>
      </c>
      <c r="AI141" s="46">
        <f>'LINEST VARS'!$U$70+'LINEST VARS'!$T$70*($AI$128)+'LINEST VARS'!$S$70*($Z141)+'LINEST VARS'!$R$70*(4)+'LINEST VARS'!$Q$70*(0.5)+'LINEST VARS'!$P$70*(12.73)+'LINEST VARS'!$O$70*($AI$128^2)+'LINEST VARS'!$N$70*($Z141^2)+'LINEST VARS'!$M$70*(4^2)+'LINEST VARS'!$L$70*(0.5^2)+'LINEST VARS'!$K$70*(12.73^2)+'LINEST VARS'!$J$70*($AI$128*$Z141)+'LINEST VARS'!$I$70*($AI$128*4)+'LINEST VARS'!$H$70*($AI$128*0.5)+'LINEST VARS'!$G$70*($AI$128*12.73)+'LINEST VARS'!$F$70*($Z141*4)+'LINEST VARS'!$E$70*($Z141*0.5)+'LINEST VARS'!$D$70*($Z141*12.73)+'LINEST VARS'!$C$70*(4*0.5)+'LINEST VARS'!$B$70*(4*12.73)+'LINEST VARS'!$A$70*(0.5*12.73)</f>
        <v>88.180000000000021</v>
      </c>
      <c r="AJ141" s="46">
        <f>'LINEST VARS'!$U$70+'LINEST VARS'!$T$70*($AJ$128)+'LINEST VARS'!$S$70*($Z141)+'LINEST VARS'!$R$70*(4)+'LINEST VARS'!$Q$70*(0.5)+'LINEST VARS'!$P$70*(12.73)+'LINEST VARS'!$O$70*($AJ$128^2)+'LINEST VARS'!$N$70*($Z141^2)+'LINEST VARS'!$M$70*(4^2)+'LINEST VARS'!$L$70*(0.5^2)+'LINEST VARS'!$K$70*(12.73^2)+'LINEST VARS'!$J$70*($AJ$128*$Z141)+'LINEST VARS'!$I$70*($AJ$128*4)+'LINEST VARS'!$H$70*($AJ$128*0.5)+'LINEST VARS'!$G$70*($AJ$128*12.73)+'LINEST VARS'!$F$70*($Z141*4)+'LINEST VARS'!$E$70*($Z141*0.5)+'LINEST VARS'!$D$70*($Z141*12.73)+'LINEST VARS'!$C$70*(4*0.5)+'LINEST VARS'!$B$70*(4*12.73)+'LINEST VARS'!$A$70*(0.5*12.73)</f>
        <v>88.180000000000021</v>
      </c>
      <c r="AK141" s="46">
        <f>'LINEST VARS'!$U$70+'LINEST VARS'!$T$70*($AK$128)+'LINEST VARS'!$S$70*($Z141)+'LINEST VARS'!$R$70*(4)+'LINEST VARS'!$Q$70*(0.5)+'LINEST VARS'!$P$70*(12.73)+'LINEST VARS'!$O$70*($AK$128^2)+'LINEST VARS'!$N$70*($Z141^2)+'LINEST VARS'!$M$70*(4^2)+'LINEST VARS'!$L$70*(0.5^2)+'LINEST VARS'!$K$70*(12.73^2)+'LINEST VARS'!$J$70*($AK$128*$Z141)+'LINEST VARS'!$I$70*($AK$128*4)+'LINEST VARS'!$H$70*($AK$128*0.5)+'LINEST VARS'!$G$70*($AK$128*12.73)+'LINEST VARS'!$F$70*($Z141*4)+'LINEST VARS'!$E$70*($Z141*0.5)+'LINEST VARS'!$D$70*($Z141*12.73)+'LINEST VARS'!$C$70*(4*0.5)+'LINEST VARS'!$B$70*(4*12.73)+'LINEST VARS'!$A$70*(0.5*12.73)</f>
        <v>88.180000000000021</v>
      </c>
      <c r="AL141" s="46">
        <f>'LINEST VARS'!$U$70+'LINEST VARS'!$T$70*($AL$128)+'LINEST VARS'!$S$70*($Z141)+'LINEST VARS'!$R$70*(4)+'LINEST VARS'!$Q$70*(0.5)+'LINEST VARS'!$P$70*(12.73)+'LINEST VARS'!$O$70*($AL$128^2)+'LINEST VARS'!$N$70*($Z141^2)+'LINEST VARS'!$M$70*(4^2)+'LINEST VARS'!$L$70*(0.5^2)+'LINEST VARS'!$K$70*(12.73^2)+'LINEST VARS'!$J$70*($AL$128*$Z141)+'LINEST VARS'!$I$70*($AL$128*4)+'LINEST VARS'!$H$70*($AL$128*0.5)+'LINEST VARS'!$G$70*($AL$128*12.73)+'LINEST VARS'!$F$70*($Z141*4)+'LINEST VARS'!$E$70*($Z141*0.5)+'LINEST VARS'!$D$70*($Z141*12.73)+'LINEST VARS'!$C$70*(4*0.5)+'LINEST VARS'!$B$70*(4*12.73)+'LINEST VARS'!$A$70*(0.5*12.73)</f>
        <v>88.180000000000021</v>
      </c>
      <c r="AM141" s="46">
        <f>'LINEST VARS'!$U$70+'LINEST VARS'!$T$70*($AM$128)+'LINEST VARS'!$S$70*($Z141)+'LINEST VARS'!$R$70*(4)+'LINEST VARS'!$Q$70*(0.5)+'LINEST VARS'!$P$70*(12.73)+'LINEST VARS'!$O$70*($AM$128^2)+'LINEST VARS'!$N$70*($Z141^2)+'LINEST VARS'!$M$70*(4^2)+'LINEST VARS'!$L$70*(0.5^2)+'LINEST VARS'!$K$70*(12.73^2)+'LINEST VARS'!$J$70*($AM$128*$Z141)+'LINEST VARS'!$I$70*($AM$128*4)+'LINEST VARS'!$H$70*($AM$128*0.5)+'LINEST VARS'!$G$70*($AM$128*12.73)+'LINEST VARS'!$F$70*($Z141*4)+'LINEST VARS'!$E$70*($Z141*0.5)+'LINEST VARS'!$D$70*($Z141*12.73)+'LINEST VARS'!$C$70*(4*0.5)+'LINEST VARS'!$B$70*(4*12.73)+'LINEST VARS'!$A$70*(0.5*12.73)</f>
        <v>88.180000000000021</v>
      </c>
      <c r="AN141" s="46">
        <f>'LINEST VARS'!$U$70+'LINEST VARS'!$T$70*($AN$128)+'LINEST VARS'!$S$70*($Z141)+'LINEST VARS'!$R$70*(4)+'LINEST VARS'!$Q$70*(0.5)+'LINEST VARS'!$P$70*(12.73)+'LINEST VARS'!$O$70*($AN$128^2)+'LINEST VARS'!$N$70*($Z141^2)+'LINEST VARS'!$M$70*(4^2)+'LINEST VARS'!$L$70*(0.5^2)+'LINEST VARS'!$K$70*(12.73^2)+'LINEST VARS'!$J$70*($AN$128*$Z141)+'LINEST VARS'!$I$70*($AN$128*4)+'LINEST VARS'!$H$70*($AN$128*0.5)+'LINEST VARS'!$G$70*($AN$128*12.73)+'LINEST VARS'!$F$70*($Z141*4)+'LINEST VARS'!$E$70*($Z141*0.5)+'LINEST VARS'!$D$70*($Z141*12.73)+'LINEST VARS'!$C$70*(4*0.5)+'LINEST VARS'!$B$70*(4*12.73)+'LINEST VARS'!$A$70*(0.5*12.73)</f>
        <v>88.180000000000021</v>
      </c>
      <c r="AO141" s="46">
        <f>'LINEST VARS'!$U$70+'LINEST VARS'!$T$70*($AO$128)+'LINEST VARS'!$S$70*($Z141)+'LINEST VARS'!$R$70*(4)+'LINEST VARS'!$Q$70*(0.5)+'LINEST VARS'!$P$70*(12.73)+'LINEST VARS'!$O$70*($AO$128^2)+'LINEST VARS'!$N$70*($Z141^2)+'LINEST VARS'!$M$70*(4^2)+'LINEST VARS'!$L$70*(0.5^2)+'LINEST VARS'!$K$70*(12.73^2)+'LINEST VARS'!$J$70*($AO$128*$Z141)+'LINEST VARS'!$I$70*($AO$128*4)+'LINEST VARS'!$H$70*($AO$128*0.5)+'LINEST VARS'!$G$70*($AO$128*12.73)+'LINEST VARS'!$F$70*($Z141*4)+'LINEST VARS'!$E$70*($Z141*0.5)+'LINEST VARS'!$D$70*($Z141*12.73)+'LINEST VARS'!$C$70*(4*0.5)+'LINEST VARS'!$B$70*(4*12.73)+'LINEST VARS'!$A$70*(0.5*12.73)</f>
        <v>88.180000000000021</v>
      </c>
      <c r="AP141" s="46">
        <f>'LINEST VARS'!$U$70+'LINEST VARS'!$T$70*($AP$128)+'LINEST VARS'!$S$70*($Z141)+'LINEST VARS'!$R$70*(4)+'LINEST VARS'!$Q$70*(0.5)+'LINEST VARS'!$P$70*(12.73)+'LINEST VARS'!$O$70*($AP$128^2)+'LINEST VARS'!$N$70*($Z141^2)+'LINEST VARS'!$M$70*(4^2)+'LINEST VARS'!$L$70*(0.5^2)+'LINEST VARS'!$K$70*(12.73^2)+'LINEST VARS'!$J$70*($AP$128*$Z141)+'LINEST VARS'!$I$70*($AP$128*4)+'LINEST VARS'!$H$70*($AP$128*0.5)+'LINEST VARS'!$G$70*($AP$128*12.73)+'LINEST VARS'!$F$70*($Z141*4)+'LINEST VARS'!$E$70*($Z141*0.5)+'LINEST VARS'!$D$70*($Z141*12.73)+'LINEST VARS'!$C$70*(4*0.5)+'LINEST VARS'!$B$70*(4*12.73)+'LINEST VARS'!$A$70*(0.5*12.73)</f>
        <v>88.180000000000021</v>
      </c>
      <c r="AQ141" s="46">
        <f>'LINEST VARS'!$U$70+'LINEST VARS'!$T$70*($AQ$128)+'LINEST VARS'!$S$70*($Z141)+'LINEST VARS'!$R$70*(4)+'LINEST VARS'!$Q$70*(0.5)+'LINEST VARS'!$P$70*(12.73)+'LINEST VARS'!$O$70*($AQ$128^2)+'LINEST VARS'!$N$70*($Z141^2)+'LINEST VARS'!$M$70*(4^2)+'LINEST VARS'!$L$70*(0.5^2)+'LINEST VARS'!$K$70*(12.73^2)+'LINEST VARS'!$J$70*($AQ$128*$Z141)+'LINEST VARS'!$I$70*($AQ$128*4)+'LINEST VARS'!$H$70*($AQ$128*0.5)+'LINEST VARS'!$G$70*($AQ$128*12.73)+'LINEST VARS'!$F$70*($Z141*4)+'LINEST VARS'!$E$70*($Z141*0.5)+'LINEST VARS'!$D$70*($Z141*12.73)+'LINEST VARS'!$C$70*(4*0.5)+'LINEST VARS'!$B$70*(4*12.73)+'LINEST VARS'!$A$70*(0.5*12.73)</f>
        <v>88.180000000000021</v>
      </c>
      <c r="AR141" s="46">
        <f>'LINEST VARS'!$U$70+'LINEST VARS'!$T$70*($AR$128)+'LINEST VARS'!$S$70*($Z141)+'LINEST VARS'!$R$70*(4)+'LINEST VARS'!$Q$70*(0.5)+'LINEST VARS'!$P$70*(12.73)+'LINEST VARS'!$O$70*($AR$128^2)+'LINEST VARS'!$N$70*($Z141^2)+'LINEST VARS'!$M$70*(4^2)+'LINEST VARS'!$L$70*(0.5^2)+'LINEST VARS'!$K$70*(12.73^2)+'LINEST VARS'!$J$70*($AR$128*$Z141)+'LINEST VARS'!$I$70*($AR$128*4)+'LINEST VARS'!$H$70*($AR$128*0.5)+'LINEST VARS'!$G$70*($AR$128*12.73)+'LINEST VARS'!$F$70*($Z141*4)+'LINEST VARS'!$E$70*($Z141*0.5)+'LINEST VARS'!$D$70*($Z141*12.73)+'LINEST VARS'!$C$70*(4*0.5)+'LINEST VARS'!$B$70*(4*12.73)+'LINEST VARS'!$A$70*(0.5*12.73)</f>
        <v>88.180000000000021</v>
      </c>
      <c r="AS141" s="46">
        <f>'LINEST VARS'!$U$70+'LINEST VARS'!$T$70*($AS$128)+'LINEST VARS'!$S$70*($Z141)+'LINEST VARS'!$R$70*(4)+'LINEST VARS'!$Q$70*(0.5)+'LINEST VARS'!$P$70*(12.73)+'LINEST VARS'!$O$70*($AS$128^2)+'LINEST VARS'!$N$70*($Z141^2)+'LINEST VARS'!$M$70*(4^2)+'LINEST VARS'!$L$70*(0.5^2)+'LINEST VARS'!$K$70*(12.73^2)+'LINEST VARS'!$J$70*($AS$128*$Z141)+'LINEST VARS'!$I$70*($AS$128*4)+'LINEST VARS'!$H$70*($AS$128*0.5)+'LINEST VARS'!$G$70*($AS$128*12.73)+'LINEST VARS'!$F$70*($Z141*4)+'LINEST VARS'!$E$70*($Z141*0.5)+'LINEST VARS'!$D$70*($Z141*12.73)+'LINEST VARS'!$C$70*(4*0.5)+'LINEST VARS'!$B$70*(4*12.73)+'LINEST VARS'!$A$70*(0.5*12.73)</f>
        <v>88.180000000000021</v>
      </c>
      <c r="AT141" s="46">
        <f>'LINEST VARS'!$U$70+'LINEST VARS'!$T$70*($AT$128)+'LINEST VARS'!$S$70*($Z141)+'LINEST VARS'!$R$70*(4)+'LINEST VARS'!$Q$70*(0.5)+'LINEST VARS'!$P$70*(12.73)+'LINEST VARS'!$O$70*($AT$128^2)+'LINEST VARS'!$N$70*($Z141^2)+'LINEST VARS'!$M$70*(4^2)+'LINEST VARS'!$L$70*(0.5^2)+'LINEST VARS'!$K$70*(12.73^2)+'LINEST VARS'!$J$70*($AT$128*$Z141)+'LINEST VARS'!$I$70*($AT$128*4)+'LINEST VARS'!$H$70*($AT$128*0.5)+'LINEST VARS'!$G$70*($AT$128*12.73)+'LINEST VARS'!$F$70*($Z141*4)+'LINEST VARS'!$E$70*($Z141*0.5)+'LINEST VARS'!$D$70*($Z141*12.73)+'LINEST VARS'!$C$70*(4*0.5)+'LINEST VARS'!$B$70*(4*12.73)+'LINEST VARS'!$A$70*(0.5*12.73)</f>
        <v>88.180000000000021</v>
      </c>
      <c r="AU141" s="47">
        <f>'LINEST VARS'!$U$70+'LINEST VARS'!$T$70*($AU$128)+'LINEST VARS'!$S$70*($Z141)+'LINEST VARS'!$R$70*(4)+'LINEST VARS'!$Q$70*(0.5)+'LINEST VARS'!$P$70*(12.73)+'LINEST VARS'!$O$70*($AU$128^2)+'LINEST VARS'!$N$70*($Z141^2)+'LINEST VARS'!$M$70*(4^2)+'LINEST VARS'!$L$70*(0.5^2)+'LINEST VARS'!$K$70*(12.73^2)+'LINEST VARS'!$J$70*($AU$128*$Z141)+'LINEST VARS'!$I$70*($AU$128*4)+'LINEST VARS'!$H$70*($AU$128*0.5)+'LINEST VARS'!$G$70*($AU$128*12.73)+'LINEST VARS'!$F$70*($Z141*4)+'LINEST VARS'!$E$70*($Z141*0.5)+'LINEST VARS'!$D$70*($Z141*12.73)+'LINEST VARS'!$C$70*(4*0.5)+'LINEST VARS'!$B$70*(4*12.73)+'LINEST VARS'!$A$70*(0.5*12.73)</f>
        <v>88.180000000000021</v>
      </c>
      <c r="AZ141" s="45">
        <v>0.6</v>
      </c>
      <c r="BA141" s="46">
        <f>'LINEST VARS'!$U$68+'LINEST VARS'!$T$68*(8)+'LINEST VARS'!$S$68*(8)+'LINEST VARS'!$R$68*($BA$128)+'LINEST VARS'!$Q$68*($AZ141)+'LINEST VARS'!$P$68*(12.73)+'LINEST VARS'!$O$68*(8^2)+'LINEST VARS'!$N$68*(8^2)+'LINEST VARS'!$M$68*($BA$128^2)+'LINEST VARS'!$L$68*($AZ141^2)+'LINEST VARS'!$K$68*(12.73^2)+'LINEST VARS'!$J$68*(8*8)+'LINEST VARS'!$I$68*(8*$BA$128)+'LINEST VARS'!$H$68*(8*$AZ141)+'LINEST VARS'!$G$68*(8*12.73)+'LINEST VARS'!$F$68*(8*$BA$128)+'LINEST VARS'!$E$68*(8*$AZ141)+'LINEST VARS'!$D$68*(8*12.73)+'LINEST VARS'!$C$68*($BA$128*$AZ141)+'LINEST VARS'!$B$68*($BA$128*12.73)+'LINEST VARS'!$A$68*($AZ141*12.73)</f>
        <v>148.56</v>
      </c>
      <c r="BB141" s="46">
        <f>'LINEST VARS'!$U$68+'LINEST VARS'!$T$68*(8)+'LINEST VARS'!$S$68*(8)+'LINEST VARS'!$R$68*($BB$128)+'LINEST VARS'!$Q$68*($AZ141)+'LINEST VARS'!$P$68*(12.73)+'LINEST VARS'!$O$68*(8^2)+'LINEST VARS'!$N$68*(8^2)+'LINEST VARS'!$M$68*($BB$128^2)+'LINEST VARS'!$L$68*($AZ141^2)+'LINEST VARS'!$K$68*(12.73^2)+'LINEST VARS'!$J$68*(8*8)+'LINEST VARS'!$I$68*(8*$BB$128)+'LINEST VARS'!$H$68*(8*$AZ141)+'LINEST VARS'!$G$68*(8*12.73)+'LINEST VARS'!$F$68*(8*$BB$128)+'LINEST VARS'!$E$68*(8*$AZ141)+'LINEST VARS'!$D$68*(8*12.73)+'LINEST VARS'!$C$68*($BB$128*$AZ141)+'LINEST VARS'!$B$68*($BB$128*12.73)+'LINEST VARS'!$A$68*($AZ141*12.73)</f>
        <v>148.56</v>
      </c>
      <c r="BC141" s="46">
        <f>'LINEST VARS'!$U$68+'LINEST VARS'!$T$68*(8)+'LINEST VARS'!$S$68*(8)+'LINEST VARS'!$R$68*($BC$128)+'LINEST VARS'!$Q$68*($AZ141)+'LINEST VARS'!$P$68*(12.73)+'LINEST VARS'!$O$68*(8^2)+'LINEST VARS'!$N$68*(8^2)+'LINEST VARS'!$M$68*($BC$128^2)+'LINEST VARS'!$L$68*($AZ141^2)+'LINEST VARS'!$K$68*(12.73^2)+'LINEST VARS'!$J$68*(8*8)+'LINEST VARS'!$I$68*(8*$BC$128)+'LINEST VARS'!$H$68*(8*$AZ141)+'LINEST VARS'!$G$68*(8*12.73)+'LINEST VARS'!$F$68*(8*$BC$128)+'LINEST VARS'!$E$68*(8*$AZ141)+'LINEST VARS'!$D$68*(8*12.73)+'LINEST VARS'!$C$68*($BC$128*$AZ141)+'LINEST VARS'!$B$68*($BC$128*12.73)+'LINEST VARS'!$A$68*($AZ141*12.73)</f>
        <v>148.56</v>
      </c>
      <c r="BD141" s="46">
        <f>'LINEST VARS'!$U$68+'LINEST VARS'!$T$68*(8)+'LINEST VARS'!$S$68*(8)+'LINEST VARS'!$R$68*($BD$128)+'LINEST VARS'!$Q$68*($AZ141)+'LINEST VARS'!$P$68*(12.73)+'LINEST VARS'!$O$68*(8^2)+'LINEST VARS'!$N$68*(8^2)+'LINEST VARS'!$M$68*($BD$128^2)+'LINEST VARS'!$L$68*($AZ141^2)+'LINEST VARS'!$K$68*(12.73^2)+'LINEST VARS'!$J$68*(8*8)+'LINEST VARS'!$I$68*(8*$BD$128)+'LINEST VARS'!$H$68*(8*$AZ141)+'LINEST VARS'!$G$68*(8*12.73)+'LINEST VARS'!$F$68*(8*$BD$128)+'LINEST VARS'!$E$68*(8*$AZ141)+'LINEST VARS'!$D$68*(8*12.73)+'LINEST VARS'!$C$68*($BD$128*$AZ141)+'LINEST VARS'!$B$68*($BD$128*12.73)+'LINEST VARS'!$A$68*($AZ141*12.73)</f>
        <v>148.56</v>
      </c>
      <c r="BE141" s="46">
        <f>'LINEST VARS'!$U$68+'LINEST VARS'!$T$68*(8)+'LINEST VARS'!$S$68*(8)+'LINEST VARS'!$R$68*($BE$128)+'LINEST VARS'!$Q$68*($AZ141)+'LINEST VARS'!$P$68*(12.73)+'LINEST VARS'!$O$68*(8^2)+'LINEST VARS'!$N$68*(8^2)+'LINEST VARS'!$M$68*($BE$128^2)+'LINEST VARS'!$L$68*($AZ141^2)+'LINEST VARS'!$K$68*(12.73^2)+'LINEST VARS'!$J$68*(8*8)+'LINEST VARS'!$I$68*(8*$BE$128)+'LINEST VARS'!$H$68*(8*$AZ141)+'LINEST VARS'!$G$68*(8*12.73)+'LINEST VARS'!$F$68*(8*$BE$128)+'LINEST VARS'!$E$68*(8*$AZ141)+'LINEST VARS'!$D$68*(8*12.73)+'LINEST VARS'!$C$68*($BE$128*$AZ141)+'LINEST VARS'!$B$68*($BE$128*12.73)+'LINEST VARS'!$A$68*($AZ141*12.73)</f>
        <v>148.56</v>
      </c>
      <c r="BF141" s="46">
        <f>'LINEST VARS'!$U$68+'LINEST VARS'!$T$68*(8)+'LINEST VARS'!$S$68*(8)+'LINEST VARS'!$R$68*($BF$128)+'LINEST VARS'!$Q$68*($AZ141)+'LINEST VARS'!$P$68*(12.73)+'LINEST VARS'!$O$68*(8^2)+'LINEST VARS'!$N$68*(8^2)+'LINEST VARS'!$M$68*($BF$128^2)+'LINEST VARS'!$L$68*($AZ141^2)+'LINEST VARS'!$K$68*(12.73^2)+'LINEST VARS'!$J$68*(8*8)+'LINEST VARS'!$I$68*(8*$BF$128)+'LINEST VARS'!$H$68*(8*$AZ141)+'LINEST VARS'!$G$68*(8*12.73)+'LINEST VARS'!$F$68*(8*$BF$128)+'LINEST VARS'!$E$68*(8*$AZ141)+'LINEST VARS'!$D$68*(8*12.73)+'LINEST VARS'!$C$68*($BF$128*$AZ141)+'LINEST VARS'!$B$68*($BF$128*12.73)+'LINEST VARS'!$A$68*($AZ141*12.73)</f>
        <v>148.56</v>
      </c>
      <c r="BG141" s="46">
        <f>'LINEST VARS'!$U$68+'LINEST VARS'!$T$68*(8)+'LINEST VARS'!$S$68*(8)+'LINEST VARS'!$R$68*($BG$128)+'LINEST VARS'!$Q$68*($AZ141)+'LINEST VARS'!$P$68*(12.73)+'LINEST VARS'!$O$68*(8^2)+'LINEST VARS'!$N$68*(8^2)+'LINEST VARS'!$M$68*($BG$128^2)+'LINEST VARS'!$L$68*($AZ141^2)+'LINEST VARS'!$K$68*(12.73^2)+'LINEST VARS'!$J$68*(8*8)+'LINEST VARS'!$I$68*(8*$BG$128)+'LINEST VARS'!$H$68*(8*$AZ141)+'LINEST VARS'!$G$68*(8*12.73)+'LINEST VARS'!$F$68*(8*$BG$128)+'LINEST VARS'!$E$68*(8*$AZ141)+'LINEST VARS'!$D$68*(8*12.73)+'LINEST VARS'!$C$68*($BG$128*$AZ141)+'LINEST VARS'!$B$68*($BG$128*12.73)+'LINEST VARS'!$A$68*($AZ141*12.73)</f>
        <v>148.56</v>
      </c>
      <c r="BH141" s="46">
        <f>'LINEST VARS'!$U$68+'LINEST VARS'!$T$68*(8)+'LINEST VARS'!$S$68*(8)+'LINEST VARS'!$R$68*($BH$128)+'LINEST VARS'!$Q$68*($AZ141)+'LINEST VARS'!$P$68*(12.73)+'LINEST VARS'!$O$68*(8^2)+'LINEST VARS'!$N$68*(8^2)+'LINEST VARS'!$M$68*($BH$128^2)+'LINEST VARS'!$L$68*($AZ141^2)+'LINEST VARS'!$K$68*(12.73^2)+'LINEST VARS'!$J$68*(8*8)+'LINEST VARS'!$I$68*(8*$BH$128)+'LINEST VARS'!$H$68*(8*$AZ141)+'LINEST VARS'!$G$68*(8*12.73)+'LINEST VARS'!$F$68*(8*$BH$128)+'LINEST VARS'!$E$68*(8*$AZ141)+'LINEST VARS'!$D$68*(8*12.73)+'LINEST VARS'!$C$68*($BH$128*$AZ141)+'LINEST VARS'!$B$68*($BH$128*12.73)+'LINEST VARS'!$A$68*($AZ141*12.73)</f>
        <v>148.56</v>
      </c>
      <c r="BI141" s="46">
        <f>'LINEST VARS'!$U$68+'LINEST VARS'!$T$68*(8)+'LINEST VARS'!$S$68*(8)+'LINEST VARS'!$R$68*($BI$128)+'LINEST VARS'!$Q$68*($AZ141)+'LINEST VARS'!$P$68*(12.73)+'LINEST VARS'!$O$68*(8^2)+'LINEST VARS'!$N$68*(8^2)+'LINEST VARS'!$M$68*($BI$128^2)+'LINEST VARS'!$L$68*($AZ141^2)+'LINEST VARS'!$K$68*(12.73^2)+'LINEST VARS'!$J$68*(8*8)+'LINEST VARS'!$I$68*(8*$BI$128)+'LINEST VARS'!$H$68*(8*$AZ141)+'LINEST VARS'!$G$68*(8*12.73)+'LINEST VARS'!$F$68*(8*$BI$128)+'LINEST VARS'!$E$68*(8*$AZ141)+'LINEST VARS'!$D$68*(8*12.73)+'LINEST VARS'!$C$68*($BI$128*$AZ141)+'LINEST VARS'!$B$68*($BI$128*12.73)+'LINEST VARS'!$A$68*($AZ141*12.73)</f>
        <v>148.56</v>
      </c>
      <c r="BJ141" s="46">
        <f>'LINEST VARS'!$U$68+'LINEST VARS'!$T$68*(8)+'LINEST VARS'!$S$68*(8)+'LINEST VARS'!$R$68*($BJ$128)+'LINEST VARS'!$Q$68*($AZ141)+'LINEST VARS'!$P$68*(12.73)+'LINEST VARS'!$O$68*(8^2)+'LINEST VARS'!$N$68*(8^2)+'LINEST VARS'!$M$68*($BJ$128^2)+'LINEST VARS'!$L$68*($AZ141^2)+'LINEST VARS'!$K$68*(12.73^2)+'LINEST VARS'!$J$68*(8*8)+'LINEST VARS'!$I$68*(8*$BJ$128)+'LINEST VARS'!$H$68*(8*$AZ141)+'LINEST VARS'!$G$68*(8*12.73)+'LINEST VARS'!$F$68*(8*$BJ$128)+'LINEST VARS'!$E$68*(8*$AZ141)+'LINEST VARS'!$D$68*(8*12.73)+'LINEST VARS'!$C$68*($BJ$128*$AZ141)+'LINEST VARS'!$B$68*($BJ$128*12.73)+'LINEST VARS'!$A$68*($AZ141*12.73)</f>
        <v>148.56</v>
      </c>
      <c r="BK141" s="46">
        <f>'LINEST VARS'!$U$68+'LINEST VARS'!$T$68*(8)+'LINEST VARS'!$S$68*(8)+'LINEST VARS'!$R$68*($BK$128)+'LINEST VARS'!$Q$68*($AZ141)+'LINEST VARS'!$P$68*(12.73)+'LINEST VARS'!$O$68*(8^2)+'LINEST VARS'!$N$68*(8^2)+'LINEST VARS'!$M$68*($BK$128^2)+'LINEST VARS'!$L$68*($AZ141^2)+'LINEST VARS'!$K$68*(12.73^2)+'LINEST VARS'!$J$68*(8*8)+'LINEST VARS'!$I$68*(8*$BK$128)+'LINEST VARS'!$H$68*(8*$AZ141)+'LINEST VARS'!$G$68*(8*12.73)+'LINEST VARS'!$F$68*(8*$BK$128)+'LINEST VARS'!$E$68*(8*$AZ141)+'LINEST VARS'!$D$68*(8*12.73)+'LINEST VARS'!$C$68*($BK$128*$AZ141)+'LINEST VARS'!$B$68*($BK$128*12.73)+'LINEST VARS'!$A$68*($AZ141*12.73)</f>
        <v>148.56</v>
      </c>
      <c r="BL141" s="46">
        <f>'LINEST VARS'!$U$68+'LINEST VARS'!$T$68*(8)+'LINEST VARS'!$S$68*(8)+'LINEST VARS'!$R$68*($BL$128)+'LINEST VARS'!$Q$68*($AZ141)+'LINEST VARS'!$P$68*(12.73)+'LINEST VARS'!$O$68*(8^2)+'LINEST VARS'!$N$68*(8^2)+'LINEST VARS'!$M$68*($BL$128^2)+'LINEST VARS'!$L$68*($AZ141^2)+'LINEST VARS'!$K$68*(12.73^2)+'LINEST VARS'!$J$68*(8*8)+'LINEST VARS'!$I$68*(8*$BL$128)+'LINEST VARS'!$H$68*(8*$AZ141)+'LINEST VARS'!$G$68*(8*12.73)+'LINEST VARS'!$F$68*(8*$BL$128)+'LINEST VARS'!$E$68*(8*$AZ141)+'LINEST VARS'!$D$68*(8*12.73)+'LINEST VARS'!$C$68*($BL$128*$AZ141)+'LINEST VARS'!$B$68*($BL$128*12.73)+'LINEST VARS'!$A$68*($AZ141*12.73)</f>
        <v>148.56</v>
      </c>
      <c r="BM141" s="46">
        <f>'LINEST VARS'!$U$68+'LINEST VARS'!$T$68*(8)+'LINEST VARS'!$S$68*(8)+'LINEST VARS'!$R$68*($BM$128)+'LINEST VARS'!$Q$68*($AZ141)+'LINEST VARS'!$P$68*(12.73)+'LINEST VARS'!$O$68*(8^2)+'LINEST VARS'!$N$68*(8^2)+'LINEST VARS'!$M$68*($BM$128^2)+'LINEST VARS'!$L$68*($AZ141^2)+'LINEST VARS'!$K$68*(12.73^2)+'LINEST VARS'!$J$68*(8*8)+'LINEST VARS'!$I$68*(8*$BM$128)+'LINEST VARS'!$H$68*(8*$AZ141)+'LINEST VARS'!$G$68*(8*12.73)+'LINEST VARS'!$F$68*(8*$BM$128)+'LINEST VARS'!$E$68*(8*$AZ141)+'LINEST VARS'!$D$68*(8*12.73)+'LINEST VARS'!$C$68*($BM$128*$AZ141)+'LINEST VARS'!$B$68*($BM$128*12.73)+'LINEST VARS'!$A$68*($AZ141*12.73)</f>
        <v>148.56</v>
      </c>
      <c r="BN141" s="46">
        <f>'LINEST VARS'!$U$68+'LINEST VARS'!$T$68*(8)+'LINEST VARS'!$S$68*(8)+'LINEST VARS'!$R$68*($BN$128)+'LINEST VARS'!$Q$68*($AZ141)+'LINEST VARS'!$P$68*(12.73)+'LINEST VARS'!$O$68*(8^2)+'LINEST VARS'!$N$68*(8^2)+'LINEST VARS'!$M$68*($BN$128^2)+'LINEST VARS'!$L$68*($AZ141^2)+'LINEST VARS'!$K$68*(12.73^2)+'LINEST VARS'!$J$68*(8*8)+'LINEST VARS'!$I$68*(8*$BN$128)+'LINEST VARS'!$H$68*(8*$AZ141)+'LINEST VARS'!$G$68*(8*12.73)+'LINEST VARS'!$F$68*(8*$BN$128)+'LINEST VARS'!$E$68*(8*$AZ141)+'LINEST VARS'!$D$68*(8*12.73)+'LINEST VARS'!$C$68*($BN$128*$AZ141)+'LINEST VARS'!$B$68*($BN$128*12.73)+'LINEST VARS'!$A$68*($AZ141*12.73)</f>
        <v>148.56</v>
      </c>
      <c r="BO141" s="46">
        <f>'LINEST VARS'!$U$68+'LINEST VARS'!$T$68*(8)+'LINEST VARS'!$S$68*(8)+'LINEST VARS'!$R$68*($BO$128)+'LINEST VARS'!$Q$68*($AZ141)+'LINEST VARS'!$P$68*(12.73)+'LINEST VARS'!$O$68*(8^2)+'LINEST VARS'!$N$68*(8^2)+'LINEST VARS'!$M$68*($BO$128^2)+'LINEST VARS'!$L$68*($AZ141^2)+'LINEST VARS'!$K$68*(12.73^2)+'LINEST VARS'!$J$68*(8*8)+'LINEST VARS'!$I$68*(8*$BO$128)+'LINEST VARS'!$H$68*(8*$AZ141)+'LINEST VARS'!$G$68*(8*12.73)+'LINEST VARS'!$F$68*(8*$BO$128)+'LINEST VARS'!$E$68*(8*$AZ141)+'LINEST VARS'!$D$68*(8*12.73)+'LINEST VARS'!$C$68*($BO$128*$AZ141)+'LINEST VARS'!$B$68*($BO$128*12.73)+'LINEST VARS'!$A$68*($AZ141*12.73)</f>
        <v>148.56</v>
      </c>
      <c r="BP141" s="46">
        <f>'LINEST VARS'!$U$68+'LINEST VARS'!$T$68*(8)+'LINEST VARS'!$S$68*(8)+'LINEST VARS'!$R$68*($BP$128)+'LINEST VARS'!$Q$68*($AZ141)+'LINEST VARS'!$P$68*(12.73)+'LINEST VARS'!$O$68*(8^2)+'LINEST VARS'!$N$68*(8^2)+'LINEST VARS'!$M$68*($BP$128^2)+'LINEST VARS'!$L$68*($AZ141^2)+'LINEST VARS'!$K$68*(12.73^2)+'LINEST VARS'!$J$68*(8*8)+'LINEST VARS'!$I$68*(8*$BP$128)+'LINEST VARS'!$H$68*(8*$AZ141)+'LINEST VARS'!$G$68*(8*12.73)+'LINEST VARS'!$F$68*(8*$BP$128)+'LINEST VARS'!$E$68*(8*$AZ141)+'LINEST VARS'!$D$68*(8*12.73)+'LINEST VARS'!$C$68*($BP$128*$AZ141)+'LINEST VARS'!$B$68*($BP$128*12.73)+'LINEST VARS'!$A$68*($AZ141*12.73)</f>
        <v>148.56</v>
      </c>
      <c r="BQ141" s="46">
        <f>'LINEST VARS'!$U$68+'LINEST VARS'!$T$68*(8)+'LINEST VARS'!$S$68*(8)+'LINEST VARS'!$R$68*($BQ$128)+'LINEST VARS'!$Q$68*($AZ141)+'LINEST VARS'!$P$68*(12.73)+'LINEST VARS'!$O$68*(8^2)+'LINEST VARS'!$N$68*(8^2)+'LINEST VARS'!$M$68*($BQ$128^2)+'LINEST VARS'!$L$68*($AZ141^2)+'LINEST VARS'!$K$68*(12.73^2)+'LINEST VARS'!$J$68*(8*8)+'LINEST VARS'!$I$68*(8*$BQ$128)+'LINEST VARS'!$H$68*(8*$AZ141)+'LINEST VARS'!$G$68*(8*12.73)+'LINEST VARS'!$F$68*(8*$BQ$128)+'LINEST VARS'!$E$68*(8*$AZ141)+'LINEST VARS'!$D$68*(8*12.73)+'LINEST VARS'!$C$68*($BQ$128*$AZ141)+'LINEST VARS'!$B$68*($BQ$128*12.73)+'LINEST VARS'!$A$68*($AZ141*12.73)</f>
        <v>148.56</v>
      </c>
      <c r="BR141" s="46">
        <f>'LINEST VARS'!$U$68+'LINEST VARS'!$T$68*(8)+'LINEST VARS'!$S$68*(8)+'LINEST VARS'!$R$68*($BR$128)+'LINEST VARS'!$Q$68*($AZ141)+'LINEST VARS'!$P$68*(12.73)+'LINEST VARS'!$O$68*(8^2)+'LINEST VARS'!$N$68*(8^2)+'LINEST VARS'!$M$68*($BR$128^2)+'LINEST VARS'!$L$68*($AZ141^2)+'LINEST VARS'!$K$68*(12.73^2)+'LINEST VARS'!$J$68*(8*8)+'LINEST VARS'!$I$68*(8*$BR$128)+'LINEST VARS'!$H$68*(8*$AZ141)+'LINEST VARS'!$G$68*(8*12.73)+'LINEST VARS'!$F$68*(8*$BR$128)+'LINEST VARS'!$E$68*(8*$AZ141)+'LINEST VARS'!$D$68*(8*12.73)+'LINEST VARS'!$C$68*($BR$128*$AZ141)+'LINEST VARS'!$B$68*($BR$128*12.73)+'LINEST VARS'!$A$68*($AZ141*12.73)</f>
        <v>148.56</v>
      </c>
      <c r="BS141" s="46">
        <f>'LINEST VARS'!$U$68+'LINEST VARS'!$T$68*(8)+'LINEST VARS'!$S$68*(8)+'LINEST VARS'!$R$68*($BS$128)+'LINEST VARS'!$Q$68*($AZ141)+'LINEST VARS'!$P$68*(12.73)+'LINEST VARS'!$O$68*(8^2)+'LINEST VARS'!$N$68*(8^2)+'LINEST VARS'!$M$68*($BS$128^2)+'LINEST VARS'!$L$68*($AZ141^2)+'LINEST VARS'!$K$68*(12.73^2)+'LINEST VARS'!$J$68*(8*8)+'LINEST VARS'!$I$68*(8*$BS$128)+'LINEST VARS'!$H$68*(8*$AZ141)+'LINEST VARS'!$G$68*(8*12.73)+'LINEST VARS'!$F$68*(8*$BS$128)+'LINEST VARS'!$E$68*(8*$AZ141)+'LINEST VARS'!$D$68*(8*12.73)+'LINEST VARS'!$C$68*($BS$128*$AZ141)+'LINEST VARS'!$B$68*($BS$128*12.73)+'LINEST VARS'!$A$68*($AZ141*12.73)</f>
        <v>148.56</v>
      </c>
      <c r="BT141" s="46">
        <f>'LINEST VARS'!$U$68+'LINEST VARS'!$T$68*(8)+'LINEST VARS'!$S$68*(8)+'LINEST VARS'!$R$68*($BT$128)+'LINEST VARS'!$Q$68*($AZ141)+'LINEST VARS'!$P$68*(12.73)+'LINEST VARS'!$O$68*(8^2)+'LINEST VARS'!$N$68*(8^2)+'LINEST VARS'!$M$68*($BT$128^2)+'LINEST VARS'!$L$68*($AZ141^2)+'LINEST VARS'!$K$68*(12.73^2)+'LINEST VARS'!$J$68*(8*8)+'LINEST VARS'!$I$68*(8*$BT$128)+'LINEST VARS'!$H$68*(8*$AZ141)+'LINEST VARS'!$G$68*(8*12.73)+'LINEST VARS'!$F$68*(8*$BT$128)+'LINEST VARS'!$E$68*(8*$AZ141)+'LINEST VARS'!$D$68*(8*12.73)+'LINEST VARS'!$C$68*($BT$128*$AZ141)+'LINEST VARS'!$B$68*($BT$128*12.73)+'LINEST VARS'!$A$68*($AZ141*12.73)</f>
        <v>148.56</v>
      </c>
      <c r="BU141" s="47">
        <f>'LINEST VARS'!$U$68+'LINEST VARS'!$T$68*(8)+'LINEST VARS'!$S$68*(8)+'LINEST VARS'!$R$68*($BU$128)+'LINEST VARS'!$Q$68*($AZ141)+'LINEST VARS'!$P$68*(12.73)+'LINEST VARS'!$O$68*(8^2)+'LINEST VARS'!$N$68*(8^2)+'LINEST VARS'!$M$68*($BU$128^2)+'LINEST VARS'!$L$68*($AZ141^2)+'LINEST VARS'!$K$68*(12.73^2)+'LINEST VARS'!$J$68*(8*8)+'LINEST VARS'!$I$68*(8*$BU$128)+'LINEST VARS'!$H$68*(8*$AZ141)+'LINEST VARS'!$G$68*(8*12.73)+'LINEST VARS'!$F$68*(8*$BU$128)+'LINEST VARS'!$E$68*(8*$AZ141)+'LINEST VARS'!$D$68*(8*12.73)+'LINEST VARS'!$C$68*($BU$128*$AZ141)+'LINEST VARS'!$B$68*($BU$128*12.73)+'LINEST VARS'!$A$68*($AZ141*12.73)</f>
        <v>148.56</v>
      </c>
      <c r="BX141" s="45">
        <v>0.6</v>
      </c>
      <c r="BY141" s="46">
        <f>'LINEST VARS'!$U$70+'LINEST VARS'!$T$70*(8)+'LINEST VARS'!$S$70*(8)+'LINEST VARS'!$R$70*($BY$128)+'LINEST VARS'!$Q$70*($BX141)+'LINEST VARS'!$P$70*(12.73)+'LINEST VARS'!$O$70*(8^2)+'LINEST VARS'!$N$70*(8^2)+'LINEST VARS'!$M$70*($BY$128^2)+'LINEST VARS'!$L$70*($BX141^2)+'LINEST VARS'!$K$70*(12.73^2)+'LINEST VARS'!$J$70*(8*8)+'LINEST VARS'!$I$70*(8*$BY$128)+'LINEST VARS'!$H$70*(8*$BX141)+'LINEST VARS'!$G$70*(8*12.73)+'LINEST VARS'!$F$70*(8*$BY$128)+'LINEST VARS'!$E$70*(8*$BX141)+'LINEST VARS'!$D$70*(8*12.73)+'LINEST VARS'!$C$70*($BY$128*$BX141)+'LINEST VARS'!$B$70*($BY$128*12.73)+'LINEST VARS'!$A$70*($BX141*12.73)</f>
        <v>92.000000000000014</v>
      </c>
      <c r="BZ141" s="46">
        <f>'LINEST VARS'!$U$70+'LINEST VARS'!$T$70*(8)+'LINEST VARS'!$S$70*(8)+'LINEST VARS'!$R$70*($BZ$128)+'LINEST VARS'!$Q$70*($BX141)+'LINEST VARS'!$P$70*(12.73)+'LINEST VARS'!$O$70*(8^2)+'LINEST VARS'!$N$70*(8^2)+'LINEST VARS'!$M$70*($BZ$128^2)+'LINEST VARS'!$L$70*($BX141^2)+'LINEST VARS'!$K$70*(12.73^2)+'LINEST VARS'!$J$70*(8*8)+'LINEST VARS'!$I$70*(8*$BZ$128)+'LINEST VARS'!$H$70*(8*$BX141)+'LINEST VARS'!$G$70*(8*12.73)+'LINEST VARS'!$F$70*(8*$BZ$128)+'LINEST VARS'!$E$70*(8*$BX141)+'LINEST VARS'!$D$70*(8*12.73)+'LINEST VARS'!$C$70*($BZ$128*$BX141)+'LINEST VARS'!$B$70*($BZ$128*12.73)+'LINEST VARS'!$A$70*($BX141*12.73)</f>
        <v>91.600000000000009</v>
      </c>
      <c r="CA141" s="46">
        <f>'LINEST VARS'!$U$70+'LINEST VARS'!$T$70*(8)+'LINEST VARS'!$S$70*(8)+'LINEST VARS'!$R$70*($CA$128)+'LINEST VARS'!$Q$70*($BX141)+'LINEST VARS'!$P$70*(12.73)+'LINEST VARS'!$O$70*(8^2)+'LINEST VARS'!$N$70*(8^2)+'LINEST VARS'!$M$70*($CA$128^2)+'LINEST VARS'!$L$70*($BX141^2)+'LINEST VARS'!$K$70*(12.73^2)+'LINEST VARS'!$J$70*(8*8)+'LINEST VARS'!$I$70*(8*$CA$128)+'LINEST VARS'!$H$70*(8*$BX141)+'LINEST VARS'!$G$70*(8*12.73)+'LINEST VARS'!$F$70*(8*$CA$128)+'LINEST VARS'!$E$70*(8*$BX141)+'LINEST VARS'!$D$70*(8*12.73)+'LINEST VARS'!$C$70*($CA$128*$BX141)+'LINEST VARS'!$B$70*($CA$128*12.73)+'LINEST VARS'!$A$70*($BX141*12.73)</f>
        <v>91.200000000000017</v>
      </c>
      <c r="CB141" s="46">
        <f>'LINEST VARS'!$U$70+'LINEST VARS'!$T$70*(8)+'LINEST VARS'!$S$70*(8)+'LINEST VARS'!$R$70*($CB$128)+'LINEST VARS'!$Q$70*($BX141)+'LINEST VARS'!$P$70*(12.73)+'LINEST VARS'!$O$70*(8^2)+'LINEST VARS'!$N$70*(8^2)+'LINEST VARS'!$M$70*($CB$128^2)+'LINEST VARS'!$L$70*($BX141^2)+'LINEST VARS'!$K$70*(12.73^2)+'LINEST VARS'!$J$70*(8*8)+'LINEST VARS'!$I$70*(8*$CB$128)+'LINEST VARS'!$H$70*(8*$BX141)+'LINEST VARS'!$G$70*(8*12.73)+'LINEST VARS'!$F$70*(8*$CB$128)+'LINEST VARS'!$E$70*(8*$BX141)+'LINEST VARS'!$D$70*(8*12.73)+'LINEST VARS'!$C$70*($CB$128*$BX141)+'LINEST VARS'!$B$70*($CB$128*12.73)+'LINEST VARS'!$A$70*($BX141*12.73)</f>
        <v>90.800000000000011</v>
      </c>
      <c r="CC141" s="46">
        <f>'LINEST VARS'!$U$70+'LINEST VARS'!$T$70*(8)+'LINEST VARS'!$S$70*(8)+'LINEST VARS'!$R$70*($CC$128)+'LINEST VARS'!$Q$70*($BX141)+'LINEST VARS'!$P$70*(12.73)+'LINEST VARS'!$O$70*(8^2)+'LINEST VARS'!$N$70*(8^2)+'LINEST VARS'!$M$70*($CC$128^2)+'LINEST VARS'!$L$70*($BX141^2)+'LINEST VARS'!$K$70*(12.73^2)+'LINEST VARS'!$J$70*(8*8)+'LINEST VARS'!$I$70*(8*$CC$128)+'LINEST VARS'!$H$70*(8*$BX141)+'LINEST VARS'!$G$70*(8*12.73)+'LINEST VARS'!$F$70*(8*$CC$128)+'LINEST VARS'!$E$70*(8*$BX141)+'LINEST VARS'!$D$70*(8*12.73)+'LINEST VARS'!$C$70*($CC$128*$BX141)+'LINEST VARS'!$B$70*($CC$128*12.73)+'LINEST VARS'!$A$70*($BX141*12.73)</f>
        <v>90.40000000000002</v>
      </c>
      <c r="CD141" s="46">
        <f>'LINEST VARS'!$U$70+'LINEST VARS'!$T$70*(8)+'LINEST VARS'!$S$70*(8)+'LINEST VARS'!$R$70*($CD$128)+'LINEST VARS'!$Q$70*($BX141)+'LINEST VARS'!$P$70*(12.73)+'LINEST VARS'!$O$70*(8^2)+'LINEST VARS'!$N$70*(8^2)+'LINEST VARS'!$M$70*($CD$128^2)+'LINEST VARS'!$L$70*($BX141^2)+'LINEST VARS'!$K$70*(12.73^2)+'LINEST VARS'!$J$70*(8*8)+'LINEST VARS'!$I$70*(8*$CD$128)+'LINEST VARS'!$H$70*(8*$BX141)+'LINEST VARS'!$G$70*(8*12.73)+'LINEST VARS'!$F$70*(8*$CD$128)+'LINEST VARS'!$E$70*(8*$BX141)+'LINEST VARS'!$D$70*(8*12.73)+'LINEST VARS'!$C$70*($CD$128*$BX141)+'LINEST VARS'!$B$70*($CD$128*12.73)+'LINEST VARS'!$A$70*($BX141*12.73)</f>
        <v>90.000000000000014</v>
      </c>
      <c r="CE141" s="46">
        <f>'LINEST VARS'!$U$70+'LINEST VARS'!$T$70*(8)+'LINEST VARS'!$S$70*(8)+'LINEST VARS'!$R$70*($CE$128)+'LINEST VARS'!$Q$70*($BX141)+'LINEST VARS'!$P$70*(12.73)+'LINEST VARS'!$O$70*(8^2)+'LINEST VARS'!$N$70*(8^2)+'LINEST VARS'!$M$70*($CE$128^2)+'LINEST VARS'!$L$70*($BX141^2)+'LINEST VARS'!$K$70*(12.73^2)+'LINEST VARS'!$J$70*(8*8)+'LINEST VARS'!$I$70*(8*$CE$128)+'LINEST VARS'!$H$70*(8*$BX141)+'LINEST VARS'!$G$70*(8*12.73)+'LINEST VARS'!$F$70*(8*$CE$128)+'LINEST VARS'!$E$70*(8*$BX141)+'LINEST VARS'!$D$70*(8*12.73)+'LINEST VARS'!$C$70*($CE$128*$BX141)+'LINEST VARS'!$B$70*($CE$128*12.73)+'LINEST VARS'!$A$70*($BX141*12.73)</f>
        <v>89.600000000000023</v>
      </c>
      <c r="CF141" s="46">
        <f>'LINEST VARS'!$U$70+'LINEST VARS'!$T$70*(8)+'LINEST VARS'!$S$70*(8)+'LINEST VARS'!$R$70*($CF$128)+'LINEST VARS'!$Q$70*($BX141)+'LINEST VARS'!$P$70*(12.73)+'LINEST VARS'!$O$70*(8^2)+'LINEST VARS'!$N$70*(8^2)+'LINEST VARS'!$M$70*($CF$128^2)+'LINEST VARS'!$L$70*($BX141^2)+'LINEST VARS'!$K$70*(12.73^2)+'LINEST VARS'!$J$70*(8*8)+'LINEST VARS'!$I$70*(8*$CF$128)+'LINEST VARS'!$H$70*(8*$BX141)+'LINEST VARS'!$G$70*(8*12.73)+'LINEST VARS'!$F$70*(8*$CF$128)+'LINEST VARS'!$E$70*(8*$BX141)+'LINEST VARS'!$D$70*(8*12.73)+'LINEST VARS'!$C$70*($CF$128*$BX141)+'LINEST VARS'!$B$70*($CF$128*12.73)+'LINEST VARS'!$A$70*($BX141*12.73)</f>
        <v>89.200000000000017</v>
      </c>
      <c r="CG141" s="46">
        <f>'LINEST VARS'!$U$70+'LINEST VARS'!$T$70*(8)+'LINEST VARS'!$S$70*(8)+'LINEST VARS'!$R$70*($CG$128)+'LINEST VARS'!$Q$70*($BX141)+'LINEST VARS'!$P$70*(12.73)+'LINEST VARS'!$O$70*(8^2)+'LINEST VARS'!$N$70*(8^2)+'LINEST VARS'!$M$70*($CG$128^2)+'LINEST VARS'!$L$70*($BX141^2)+'LINEST VARS'!$K$70*(12.73^2)+'LINEST VARS'!$J$70*(8*8)+'LINEST VARS'!$I$70*(8*$CG$128)+'LINEST VARS'!$H$70*(8*$BX141)+'LINEST VARS'!$G$70*(8*12.73)+'LINEST VARS'!$F$70*(8*$CG$128)+'LINEST VARS'!$E$70*(8*$BX141)+'LINEST VARS'!$D$70*(8*12.73)+'LINEST VARS'!$C$70*($CG$128*$BX141)+'LINEST VARS'!$B$70*($CG$128*12.73)+'LINEST VARS'!$A$70*($BX141*12.73)</f>
        <v>88.800000000000026</v>
      </c>
      <c r="CH141" s="46">
        <f>'LINEST VARS'!$U$70+'LINEST VARS'!$T$70*(8)+'LINEST VARS'!$S$70*(8)+'LINEST VARS'!$R$70*($CH$128)+'LINEST VARS'!$Q$70*($BX141)+'LINEST VARS'!$P$70*(12.73)+'LINEST VARS'!$O$70*(8^2)+'LINEST VARS'!$N$70*(8^2)+'LINEST VARS'!$M$70*($CH$128^2)+'LINEST VARS'!$L$70*($BX141^2)+'LINEST VARS'!$K$70*(12.73^2)+'LINEST VARS'!$J$70*(8*8)+'LINEST VARS'!$I$70*(8*$CH$128)+'LINEST VARS'!$H$70*(8*$BX141)+'LINEST VARS'!$G$70*(8*12.73)+'LINEST VARS'!$F$70*(8*$CH$128)+'LINEST VARS'!$E$70*(8*$BX141)+'LINEST VARS'!$D$70*(8*12.73)+'LINEST VARS'!$C$70*($CH$128*$BX141)+'LINEST VARS'!$B$70*($CH$128*12.73)+'LINEST VARS'!$A$70*($BX141*12.73)</f>
        <v>88.40000000000002</v>
      </c>
      <c r="CI141" s="46">
        <f>'LINEST VARS'!$U$70+'LINEST VARS'!$T$70*(8)+'LINEST VARS'!$S$70*(8)+'LINEST VARS'!$R$70*($CI$128)+'LINEST VARS'!$Q$70*($BX141)+'LINEST VARS'!$P$70*(12.73)+'LINEST VARS'!$O$70*(8^2)+'LINEST VARS'!$N$70*(8^2)+'LINEST VARS'!$M$70*($CI$128^2)+'LINEST VARS'!$L$70*($BX141^2)+'LINEST VARS'!$K$70*(12.73^2)+'LINEST VARS'!$J$70*(8*8)+'LINEST VARS'!$I$70*(8*$CI$128)+'LINEST VARS'!$H$70*(8*$BX141)+'LINEST VARS'!$G$70*(8*12.73)+'LINEST VARS'!$F$70*(8*$CI$128)+'LINEST VARS'!$E$70*(8*$BX141)+'LINEST VARS'!$D$70*(8*12.73)+'LINEST VARS'!$C$70*($CI$128*$BX141)+'LINEST VARS'!$B$70*($CI$128*12.73)+'LINEST VARS'!$A$70*($BX141*12.73)</f>
        <v>88.000000000000014</v>
      </c>
      <c r="CJ141" s="46">
        <f>'LINEST VARS'!$U$70+'LINEST VARS'!$T$70*(8)+'LINEST VARS'!$S$70*(8)+'LINEST VARS'!$R$70*($CJ$128)+'LINEST VARS'!$Q$70*($BX141)+'LINEST VARS'!$P$70*(12.73)+'LINEST VARS'!$O$70*(8^2)+'LINEST VARS'!$N$70*(8^2)+'LINEST VARS'!$M$70*($CJ$128^2)+'LINEST VARS'!$L$70*($BX141^2)+'LINEST VARS'!$K$70*(12.73^2)+'LINEST VARS'!$J$70*(8*8)+'LINEST VARS'!$I$70*(8*$CJ$128)+'LINEST VARS'!$H$70*(8*$BX141)+'LINEST VARS'!$G$70*(8*12.73)+'LINEST VARS'!$F$70*(8*$CJ$128)+'LINEST VARS'!$E$70*(8*$BX141)+'LINEST VARS'!$D$70*(8*12.73)+'LINEST VARS'!$C$70*($CJ$128*$BX141)+'LINEST VARS'!$B$70*($CJ$128*12.73)+'LINEST VARS'!$A$70*($BX141*12.73)</f>
        <v>87.600000000000023</v>
      </c>
      <c r="CK141" s="46">
        <f>'LINEST VARS'!$U$70+'LINEST VARS'!$T$70*(8)+'LINEST VARS'!$S$70*(8)+'LINEST VARS'!$R$70*($CK$128)+'LINEST VARS'!$Q$70*($BX141)+'LINEST VARS'!$P$70*(12.73)+'LINEST VARS'!$O$70*(8^2)+'LINEST VARS'!$N$70*(8^2)+'LINEST VARS'!$M$70*($CK$128^2)+'LINEST VARS'!$L$70*($BX141^2)+'LINEST VARS'!$K$70*(12.73^2)+'LINEST VARS'!$J$70*(8*8)+'LINEST VARS'!$I$70*(8*$CK$128)+'LINEST VARS'!$H$70*(8*$BX141)+'LINEST VARS'!$G$70*(8*12.73)+'LINEST VARS'!$F$70*(8*$CK$128)+'LINEST VARS'!$E$70*(8*$BX141)+'LINEST VARS'!$D$70*(8*12.73)+'LINEST VARS'!$C$70*($CK$128*$BX141)+'LINEST VARS'!$B$70*($CK$128*12.73)+'LINEST VARS'!$A$70*($BX141*12.73)</f>
        <v>87.200000000000017</v>
      </c>
      <c r="CL141" s="46">
        <f>'LINEST VARS'!$U$70+'LINEST VARS'!$T$70*(8)+'LINEST VARS'!$S$70*(8)+'LINEST VARS'!$R$70*($CL$128)+'LINEST VARS'!$Q$70*($BX141)+'LINEST VARS'!$P$70*(12.73)+'LINEST VARS'!$O$70*(8^2)+'LINEST VARS'!$N$70*(8^2)+'LINEST VARS'!$M$70*($CL$128^2)+'LINEST VARS'!$L$70*($BX141^2)+'LINEST VARS'!$K$70*(12.73^2)+'LINEST VARS'!$J$70*(8*8)+'LINEST VARS'!$I$70*(8*$CL$128)+'LINEST VARS'!$H$70*(8*$BX141)+'LINEST VARS'!$G$70*(8*12.73)+'LINEST VARS'!$F$70*(8*$CL$128)+'LINEST VARS'!$E$70*(8*$BX141)+'LINEST VARS'!$D$70*(8*12.73)+'LINEST VARS'!$C$70*($CL$128*$BX141)+'LINEST VARS'!$B$70*($CL$128*12.73)+'LINEST VARS'!$A$70*($BX141*12.73)</f>
        <v>86.800000000000026</v>
      </c>
      <c r="CM141" s="46">
        <f>'LINEST VARS'!$U$70+'LINEST VARS'!$T$70*(8)+'LINEST VARS'!$S$70*(8)+'LINEST VARS'!$R$70*($CM$128)+'LINEST VARS'!$Q$70*($BX141)+'LINEST VARS'!$P$70*(12.73)+'LINEST VARS'!$O$70*(8^2)+'LINEST VARS'!$N$70*(8^2)+'LINEST VARS'!$M$70*($CM$128^2)+'LINEST VARS'!$L$70*($BX141^2)+'LINEST VARS'!$K$70*(12.73^2)+'LINEST VARS'!$J$70*(8*8)+'LINEST VARS'!$I$70*(8*$CM$128)+'LINEST VARS'!$H$70*(8*$BX141)+'LINEST VARS'!$G$70*(8*12.73)+'LINEST VARS'!$F$70*(8*$CM$128)+'LINEST VARS'!$E$70*(8*$BX141)+'LINEST VARS'!$D$70*(8*12.73)+'LINEST VARS'!$C$70*($CM$128*$BX141)+'LINEST VARS'!$B$70*($CM$128*12.73)+'LINEST VARS'!$A$70*($BX141*12.73)</f>
        <v>86.40000000000002</v>
      </c>
      <c r="CN141" s="46">
        <f>'LINEST VARS'!$U$70+'LINEST VARS'!$T$70*(8)+'LINEST VARS'!$S$70*(8)+'LINEST VARS'!$R$70*($CN$128)+'LINEST VARS'!$Q$70*($BX141)+'LINEST VARS'!$P$70*(12.73)+'LINEST VARS'!$O$70*(8^2)+'LINEST VARS'!$N$70*(8^2)+'LINEST VARS'!$M$70*($CN$128^2)+'LINEST VARS'!$L$70*($BX141^2)+'LINEST VARS'!$K$70*(12.73^2)+'LINEST VARS'!$J$70*(8*8)+'LINEST VARS'!$I$70*(8*$CN$128)+'LINEST VARS'!$H$70*(8*$BX141)+'LINEST VARS'!$G$70*(8*12.73)+'LINEST VARS'!$F$70*(8*$CN$128)+'LINEST VARS'!$E$70*(8*$BX141)+'LINEST VARS'!$D$70*(8*12.73)+'LINEST VARS'!$C$70*($CN$128*$BX141)+'LINEST VARS'!$B$70*($CN$128*12.73)+'LINEST VARS'!$A$70*($BX141*12.73)</f>
        <v>86.000000000000014</v>
      </c>
      <c r="CO141" s="46">
        <f>'LINEST VARS'!$U$70+'LINEST VARS'!$T$70*(8)+'LINEST VARS'!$S$70*(8)+'LINEST VARS'!$R$70*($CO$128)+'LINEST VARS'!$Q$70*($BX141)+'LINEST VARS'!$P$70*(12.73)+'LINEST VARS'!$O$70*(8^2)+'LINEST VARS'!$N$70*(8^2)+'LINEST VARS'!$M$70*($CO$128^2)+'LINEST VARS'!$L$70*($BX141^2)+'LINEST VARS'!$K$70*(12.73^2)+'LINEST VARS'!$J$70*(8*8)+'LINEST VARS'!$I$70*(8*$CO$128)+'LINEST VARS'!$H$70*(8*$BX141)+'LINEST VARS'!$G$70*(8*12.73)+'LINEST VARS'!$F$70*(8*$CO$128)+'LINEST VARS'!$E$70*(8*$BX141)+'LINEST VARS'!$D$70*(8*12.73)+'LINEST VARS'!$C$70*($CO$128*$BX141)+'LINEST VARS'!$B$70*($CO$128*12.73)+'LINEST VARS'!$A$70*($BX141*12.73)</f>
        <v>85.600000000000009</v>
      </c>
      <c r="CP141" s="46">
        <f>'LINEST VARS'!$U$70+'LINEST VARS'!$T$70*(8)+'LINEST VARS'!$S$70*(8)+'LINEST VARS'!$R$70*($CP$128)+'LINEST VARS'!$Q$70*($BX141)+'LINEST VARS'!$P$70*(12.73)+'LINEST VARS'!$O$70*(8^2)+'LINEST VARS'!$N$70*(8^2)+'LINEST VARS'!$M$70*($CP$128^2)+'LINEST VARS'!$L$70*($BX141^2)+'LINEST VARS'!$K$70*(12.73^2)+'LINEST VARS'!$J$70*(8*8)+'LINEST VARS'!$I$70*(8*$CP$128)+'LINEST VARS'!$H$70*(8*$BX141)+'LINEST VARS'!$G$70*(8*12.73)+'LINEST VARS'!$F$70*(8*$CP$128)+'LINEST VARS'!$E$70*(8*$BX141)+'LINEST VARS'!$D$70*(8*12.73)+'LINEST VARS'!$C$70*($CP$128*$BX141)+'LINEST VARS'!$B$70*($CP$128*12.73)+'LINEST VARS'!$A$70*($BX141*12.73)</f>
        <v>85.200000000000017</v>
      </c>
      <c r="CQ141" s="46">
        <f>'LINEST VARS'!$U$70+'LINEST VARS'!$T$70*(8)+'LINEST VARS'!$S$70*(8)+'LINEST VARS'!$R$70*($CQ$128)+'LINEST VARS'!$Q$70*($BX141)+'LINEST VARS'!$P$70*(12.73)+'LINEST VARS'!$O$70*(8^2)+'LINEST VARS'!$N$70*(8^2)+'LINEST VARS'!$M$70*($CQ$128^2)+'LINEST VARS'!$L$70*($BX141^2)+'LINEST VARS'!$K$70*(12.73^2)+'LINEST VARS'!$J$70*(8*8)+'LINEST VARS'!$I$70*(8*$CQ$128)+'LINEST VARS'!$H$70*(8*$BX141)+'LINEST VARS'!$G$70*(8*12.73)+'LINEST VARS'!$F$70*(8*$CQ$128)+'LINEST VARS'!$E$70*(8*$BX141)+'LINEST VARS'!$D$70*(8*12.73)+'LINEST VARS'!$C$70*($CQ$128*$BX141)+'LINEST VARS'!$B$70*($CQ$128*12.73)+'LINEST VARS'!$A$70*($BX141*12.73)</f>
        <v>84.800000000000011</v>
      </c>
      <c r="CR141" s="46">
        <f>'LINEST VARS'!$U$70+'LINEST VARS'!$T$70*(8)+'LINEST VARS'!$S$70*(8)+'LINEST VARS'!$R$70*($CR$128)+'LINEST VARS'!$Q$70*($BX141)+'LINEST VARS'!$P$70*(12.73)+'LINEST VARS'!$O$70*(8^2)+'LINEST VARS'!$N$70*(8^2)+'LINEST VARS'!$M$70*($CR$128^2)+'LINEST VARS'!$L$70*($BX141^2)+'LINEST VARS'!$K$70*(12.73^2)+'LINEST VARS'!$J$70*(8*8)+'LINEST VARS'!$I$70*(8*$CR$128)+'LINEST VARS'!$H$70*(8*$BX141)+'LINEST VARS'!$G$70*(8*12.73)+'LINEST VARS'!$F$70*(8*$CR$128)+'LINEST VARS'!$E$70*(8*$BX141)+'LINEST VARS'!$D$70*(8*12.73)+'LINEST VARS'!$C$70*($CR$128*$BX141)+'LINEST VARS'!$B$70*($CR$128*12.73)+'LINEST VARS'!$A$70*($BX141*12.73)</f>
        <v>84.400000000000034</v>
      </c>
      <c r="CS141" s="47">
        <f>'LINEST VARS'!$U$70+'LINEST VARS'!$T$70*(8)+'LINEST VARS'!$S$70*(8)+'LINEST VARS'!$R$70*($CS$128)+'LINEST VARS'!$Q$70*($BX141)+'LINEST VARS'!$P$70*(12.73)+'LINEST VARS'!$O$70*(8^2)+'LINEST VARS'!$N$70*(8^2)+'LINEST VARS'!$M$70*($CS$128^2)+'LINEST VARS'!$L$70*($BX141^2)+'LINEST VARS'!$K$70*(12.73^2)+'LINEST VARS'!$J$70*(8*8)+'LINEST VARS'!$I$70*(8*$CS$128)+'LINEST VARS'!$H$70*(8*$BX141)+'LINEST VARS'!$G$70*(8*12.73)+'LINEST VARS'!$F$70*(8*$CS$128)+'LINEST VARS'!$E$70*(8*$BX141)+'LINEST VARS'!$D$70*(8*12.73)+'LINEST VARS'!$C$70*($CS$128*$BX141)+'LINEST VARS'!$B$70*($CS$128*12.73)+'LINEST VARS'!$A$70*($BX141*12.73)</f>
        <v>84.000000000000028</v>
      </c>
      <c r="CX141" s="45">
        <v>15.593999999999999</v>
      </c>
      <c r="CY141" s="46">
        <f>'LINEST VARS'!$U$68+'LINEST VARS'!$T$68*(8)+'LINEST VARS'!$S$68*(8)+'LINEST VARS'!$R$68*($CY$128)+'LINEST VARS'!$Q$68*(0.5)+'LINEST VARS'!$P$68*($CX141)+'LINEST VARS'!$O$68*(8^2)+'LINEST VARS'!$N$68*(8^2)+'LINEST VARS'!$M$68*($CY$128^2)+'LINEST VARS'!$L$68*(0.5^2)+'LINEST VARS'!$K$68*($CX141^2)+'LINEST VARS'!$J$68*(8*8)+'LINEST VARS'!$I$68*(8*$CY$128)+'LINEST VARS'!$H$68*(8*0.5)+'LINEST VARS'!$G$68*(8*$CX141)+'LINEST VARS'!$F$68*(8*$CY$128)+'LINEST VARS'!$E$68*(8*0.5)+'LINEST VARS'!$D$68*(8*$CX141)+'LINEST VARS'!$C$68*($CY$128*0.5)+'LINEST VARS'!$B$68*($CY$128*$CX141)+'LINEST VARS'!$A$68*(0.5*$CX141)</f>
        <v>149</v>
      </c>
      <c r="CZ141" s="46">
        <f>'LINEST VARS'!$U$68+'LINEST VARS'!$T$68*(8)+'LINEST VARS'!$S$68*(8)+'LINEST VARS'!$R$68*($CZ$128)+'LINEST VARS'!$Q$68*(0.5)+'LINEST VARS'!$P$68*($CX141)+'LINEST VARS'!$O$68*(8^2)+'LINEST VARS'!$N$68*(8^2)+'LINEST VARS'!$M$68*($CZ$128^2)+'LINEST VARS'!$L$68*(0.5^2)+'LINEST VARS'!$K$68*($CX141^2)+'LINEST VARS'!$J$68*(8*8)+'LINEST VARS'!$I$68*(8*$CZ$128)+'LINEST VARS'!$H$68*(8*0.5)+'LINEST VARS'!$G$68*(8*$CX141)+'LINEST VARS'!$F$68*(8*$CZ$128)+'LINEST VARS'!$E$68*(8*0.5)+'LINEST VARS'!$D$68*(8*$CX141)+'LINEST VARS'!$C$68*($CZ$128*0.5)+'LINEST VARS'!$B$68*($CZ$128*$CX141)+'LINEST VARS'!$A$68*(0.5*$CX141)</f>
        <v>149</v>
      </c>
      <c r="DA141" s="46">
        <f>'LINEST VARS'!$U$68+'LINEST VARS'!$T$68*(8)+'LINEST VARS'!$S$68*(8)+'LINEST VARS'!$R$68*($DA$128)+'LINEST VARS'!$Q$68*(0.5)+'LINEST VARS'!$P$68*($CX141)+'LINEST VARS'!$O$68*(8^2)+'LINEST VARS'!$N$68*(8^2)+'LINEST VARS'!$M$68*($DA$128^2)+'LINEST VARS'!$L$68*(0.5^2)+'LINEST VARS'!$K$68*($CX141^2)+'LINEST VARS'!$J$68*(8*8)+'LINEST VARS'!$I$68*(8*$DA$128)+'LINEST VARS'!$H$68*(8*0.5)+'LINEST VARS'!$G$68*(8*$CX141)+'LINEST VARS'!$F$68*(8*$DA$128)+'LINEST VARS'!$E$68*(8*0.5)+'LINEST VARS'!$D$68*(8*$CX141)+'LINEST VARS'!$C$68*($DA$128*0.5)+'LINEST VARS'!$B$68*($DA$128*$CX141)+'LINEST VARS'!$A$68*(0.5*$CX141)</f>
        <v>149</v>
      </c>
      <c r="DB141" s="46">
        <f>'LINEST VARS'!$U$68+'LINEST VARS'!$T$68*(8)+'LINEST VARS'!$S$68*(8)+'LINEST VARS'!$R$68*($DB$128)+'LINEST VARS'!$Q$68*(0.5)+'LINEST VARS'!$P$68*($CX141)+'LINEST VARS'!$O$68*(8^2)+'LINEST VARS'!$N$68*(8^2)+'LINEST VARS'!$M$68*($DB$128^2)+'LINEST VARS'!$L$68*(0.5^2)+'LINEST VARS'!$K$68*($CX141^2)+'LINEST VARS'!$J$68*(8*8)+'LINEST VARS'!$I$68*(8*$DB$128)+'LINEST VARS'!$H$68*(8*0.5)+'LINEST VARS'!$G$68*(8*$CX141)+'LINEST VARS'!$F$68*(8*$DB$128)+'LINEST VARS'!$E$68*(8*0.5)+'LINEST VARS'!$D$68*(8*$CX141)+'LINEST VARS'!$C$68*($DB$128*0.5)+'LINEST VARS'!$B$68*($DB$128*$CX141)+'LINEST VARS'!$A$68*(0.5*$CX141)</f>
        <v>149</v>
      </c>
      <c r="DC141" s="46">
        <f>'LINEST VARS'!$U$68+'LINEST VARS'!$T$68*(8)+'LINEST VARS'!$S$68*(8)+'LINEST VARS'!$R$68*($DC$128)+'LINEST VARS'!$Q$68*(0.5)+'LINEST VARS'!$P$68*($CX141)+'LINEST VARS'!$O$68*(8^2)+'LINEST VARS'!$N$68*(8^2)+'LINEST VARS'!$M$68*($DC$128^2)+'LINEST VARS'!$L$68*(0.5^2)+'LINEST VARS'!$K$68*($CX141^2)+'LINEST VARS'!$J$68*(8*8)+'LINEST VARS'!$I$68*(8*$DC$128)+'LINEST VARS'!$H$68*(8*0.5)+'LINEST VARS'!$G$68*(8*$CX141)+'LINEST VARS'!$F$68*(8*$DC$128)+'LINEST VARS'!$E$68*(8*0.5)+'LINEST VARS'!$D$68*(8*$CX141)+'LINEST VARS'!$C$68*($DC$128*0.5)+'LINEST VARS'!$B$68*($DC$128*$CX141)+'LINEST VARS'!$A$68*(0.5*$CX141)</f>
        <v>149</v>
      </c>
      <c r="DD141" s="46">
        <f>'LINEST VARS'!$U$68+'LINEST VARS'!$T$68*(8)+'LINEST VARS'!$S$68*(8)+'LINEST VARS'!$R$68*($DD$128)+'LINEST VARS'!$Q$68*(0.5)+'LINEST VARS'!$P$68*($CX141)+'LINEST VARS'!$O$68*(8^2)+'LINEST VARS'!$N$68*(8^2)+'LINEST VARS'!$M$68*($DD$128^2)+'LINEST VARS'!$L$68*(0.5^2)+'LINEST VARS'!$K$68*($CX141^2)+'LINEST VARS'!$J$68*(8*8)+'LINEST VARS'!$I$68*(8*$DD$128)+'LINEST VARS'!$H$68*(8*0.5)+'LINEST VARS'!$G$68*(8*$CX141)+'LINEST VARS'!$F$68*(8*$DD$128)+'LINEST VARS'!$E$68*(8*0.5)+'LINEST VARS'!$D$68*(8*$CX141)+'LINEST VARS'!$C$68*($DD$128*0.5)+'LINEST VARS'!$B$68*($DD$128*$CX141)+'LINEST VARS'!$A$68*(0.5*$CX141)</f>
        <v>149</v>
      </c>
      <c r="DE141" s="46">
        <f>'LINEST VARS'!$U$68+'LINEST VARS'!$T$68*(8)+'LINEST VARS'!$S$68*(8)+'LINEST VARS'!$R$68*($DE$128)+'LINEST VARS'!$Q$68*(0.5)+'LINEST VARS'!$P$68*($CX141)+'LINEST VARS'!$O$68*(8^2)+'LINEST VARS'!$N$68*(8^2)+'LINEST VARS'!$M$68*($DE$128^2)+'LINEST VARS'!$L$68*(0.5^2)+'LINEST VARS'!$K$68*($CX141^2)+'LINEST VARS'!$J$68*(8*8)+'LINEST VARS'!$I$68*(8*$DE$128)+'LINEST VARS'!$H$68*(8*0.5)+'LINEST VARS'!$G$68*(8*$CX141)+'LINEST VARS'!$F$68*(8*$DE$128)+'LINEST VARS'!$E$68*(8*0.5)+'LINEST VARS'!$D$68*(8*$CX141)+'LINEST VARS'!$C$68*($DE$128*0.5)+'LINEST VARS'!$B$68*($DE$128*$CX141)+'LINEST VARS'!$A$68*(0.5*$CX141)</f>
        <v>149</v>
      </c>
      <c r="DF141" s="46">
        <f>'LINEST VARS'!$U$68+'LINEST VARS'!$T$68*(8)+'LINEST VARS'!$S$68*(8)+'LINEST VARS'!$R$68*($DF$128)+'LINEST VARS'!$Q$68*(0.5)+'LINEST VARS'!$P$68*($CX141)+'LINEST VARS'!$O$68*(8^2)+'LINEST VARS'!$N$68*(8^2)+'LINEST VARS'!$M$68*($DF$128^2)+'LINEST VARS'!$L$68*(0.5^2)+'LINEST VARS'!$K$68*($CX141^2)+'LINEST VARS'!$J$68*(8*8)+'LINEST VARS'!$I$68*(8*$DF$128)+'LINEST VARS'!$H$68*(8*0.5)+'LINEST VARS'!$G$68*(8*$CX141)+'LINEST VARS'!$F$68*(8*$DF$128)+'LINEST VARS'!$E$68*(8*0.5)+'LINEST VARS'!$D$68*(8*$CX141)+'LINEST VARS'!$C$68*($DF$128*0.5)+'LINEST VARS'!$B$68*($DF$128*$CX141)+'LINEST VARS'!$A$68*(0.5*$CX141)</f>
        <v>149</v>
      </c>
      <c r="DG141" s="46">
        <f>'LINEST VARS'!$U$68+'LINEST VARS'!$T$68*(8)+'LINEST VARS'!$S$68*(8)+'LINEST VARS'!$R$68*($DG$128)+'LINEST VARS'!$Q$68*(0.5)+'LINEST VARS'!$P$68*($CX141)+'LINEST VARS'!$O$68*(8^2)+'LINEST VARS'!$N$68*(8^2)+'LINEST VARS'!$M$68*($DG$128^2)+'LINEST VARS'!$L$68*(0.5^2)+'LINEST VARS'!$K$68*($CX141^2)+'LINEST VARS'!$J$68*(8*8)+'LINEST VARS'!$I$68*(8*$DG$128)+'LINEST VARS'!$H$68*(8*0.5)+'LINEST VARS'!$G$68*(8*$CX141)+'LINEST VARS'!$F$68*(8*$DG$128)+'LINEST VARS'!$E$68*(8*0.5)+'LINEST VARS'!$D$68*(8*$CX141)+'LINEST VARS'!$C$68*($DG$128*0.5)+'LINEST VARS'!$B$68*($DG$128*$CX141)+'LINEST VARS'!$A$68*(0.5*$CX141)</f>
        <v>149</v>
      </c>
      <c r="DH141" s="46">
        <f>'LINEST VARS'!$U$68+'LINEST VARS'!$T$68*(8)+'LINEST VARS'!$S$68*(8)+'LINEST VARS'!$R$68*($DH$128)+'LINEST VARS'!$Q$68*(0.5)+'LINEST VARS'!$P$68*($CX141)+'LINEST VARS'!$O$68*(8^2)+'LINEST VARS'!$N$68*(8^2)+'LINEST VARS'!$M$68*($DH$128^2)+'LINEST VARS'!$L$68*(0.5^2)+'LINEST VARS'!$K$68*($CX141^2)+'LINEST VARS'!$J$68*(8*8)+'LINEST VARS'!$I$68*(8*$DH$128)+'LINEST VARS'!$H$68*(8*0.5)+'LINEST VARS'!$G$68*(8*$CX141)+'LINEST VARS'!$F$68*(8*$DH$128)+'LINEST VARS'!$E$68*(8*0.5)+'LINEST VARS'!$D$68*(8*$CX141)+'LINEST VARS'!$C$68*($DH$128*0.5)+'LINEST VARS'!$B$68*($DH$128*$CX141)+'LINEST VARS'!$A$68*(0.5*$CX141)</f>
        <v>149</v>
      </c>
      <c r="DI141" s="46">
        <f>'LINEST VARS'!$U$68+'LINEST VARS'!$T$68*(8)+'LINEST VARS'!$S$68*(8)+'LINEST VARS'!$R$68*($DI$128)+'LINEST VARS'!$Q$68*(0.5)+'LINEST VARS'!$P$68*($CX141)+'LINEST VARS'!$O$68*(8^2)+'LINEST VARS'!$N$68*(8^2)+'LINEST VARS'!$M$68*($DI$128^2)+'LINEST VARS'!$L$68*(0.5^2)+'LINEST VARS'!$K$68*($CX141^2)+'LINEST VARS'!$J$68*(8*8)+'LINEST VARS'!$I$68*(8*$DI$128)+'LINEST VARS'!$H$68*(8*0.5)+'LINEST VARS'!$G$68*(8*$CX141)+'LINEST VARS'!$F$68*(8*$DI$128)+'LINEST VARS'!$E$68*(8*0.5)+'LINEST VARS'!$D$68*(8*$CX141)+'LINEST VARS'!$C$68*($DI$128*0.5)+'LINEST VARS'!$B$68*($DI$128*$CX141)+'LINEST VARS'!$A$68*(0.5*$CX141)</f>
        <v>149</v>
      </c>
      <c r="DJ141" s="46">
        <f>'LINEST VARS'!$U$68+'LINEST VARS'!$T$68*(8)+'LINEST VARS'!$S$68*(8)+'LINEST VARS'!$R$68*($DJ$128)+'LINEST VARS'!$Q$68*(0.5)+'LINEST VARS'!$P$68*($CX141)+'LINEST VARS'!$O$68*(8^2)+'LINEST VARS'!$N$68*(8^2)+'LINEST VARS'!$M$68*($DJ$128^2)+'LINEST VARS'!$L$68*(0.5^2)+'LINEST VARS'!$K$68*($CX141^2)+'LINEST VARS'!$J$68*(8*8)+'LINEST VARS'!$I$68*(8*$DJ$128)+'LINEST VARS'!$H$68*(8*0.5)+'LINEST VARS'!$G$68*(8*$CX141)+'LINEST VARS'!$F$68*(8*$DJ$128)+'LINEST VARS'!$E$68*(8*0.5)+'LINEST VARS'!$D$68*(8*$CX141)+'LINEST VARS'!$C$68*($DJ$128*0.5)+'LINEST VARS'!$B$68*($DJ$128*$CX141)+'LINEST VARS'!$A$68*(0.5*$CX141)</f>
        <v>149</v>
      </c>
      <c r="DK141" s="46">
        <f>'LINEST VARS'!$U$68+'LINEST VARS'!$T$68*(8)+'LINEST VARS'!$S$68*(8)+'LINEST VARS'!$R$68*($DK$128)+'LINEST VARS'!$Q$68*(0.5)+'LINEST VARS'!$P$68*($CX141)+'LINEST VARS'!$O$68*(8^2)+'LINEST VARS'!$N$68*(8^2)+'LINEST VARS'!$M$68*($DK$128^2)+'LINEST VARS'!$L$68*(0.5^2)+'LINEST VARS'!$K$68*($CX141^2)+'LINEST VARS'!$J$68*(8*8)+'LINEST VARS'!$I$68*(8*$DK$128)+'LINEST VARS'!$H$68*(8*0.5)+'LINEST VARS'!$G$68*(8*$CX141)+'LINEST VARS'!$F$68*(8*$DK$128)+'LINEST VARS'!$E$68*(8*0.5)+'LINEST VARS'!$D$68*(8*$CX141)+'LINEST VARS'!$C$68*($DK$128*0.5)+'LINEST VARS'!$B$68*($DK$128*$CX141)+'LINEST VARS'!$A$68*(0.5*$CX141)</f>
        <v>149</v>
      </c>
      <c r="DL141" s="46">
        <f>'LINEST VARS'!$U$68+'LINEST VARS'!$T$68*(8)+'LINEST VARS'!$S$68*(8)+'LINEST VARS'!$R$68*($DL$128)+'LINEST VARS'!$Q$68*(0.5)+'LINEST VARS'!$P$68*($CX141)+'LINEST VARS'!$O$68*(8^2)+'LINEST VARS'!$N$68*(8^2)+'LINEST VARS'!$M$68*($DL$128^2)+'LINEST VARS'!$L$68*(0.5^2)+'LINEST VARS'!$K$68*($CX141^2)+'LINEST VARS'!$J$68*(8*8)+'LINEST VARS'!$I$68*(8*$DL$128)+'LINEST VARS'!$H$68*(8*0.5)+'LINEST VARS'!$G$68*(8*$CX141)+'LINEST VARS'!$F$68*(8*$DL$128)+'LINEST VARS'!$E$68*(8*0.5)+'LINEST VARS'!$D$68*(8*$CX141)+'LINEST VARS'!$C$68*($DL$128*0.5)+'LINEST VARS'!$B$68*($DL$128*$CX141)+'LINEST VARS'!$A$68*(0.5*$CX141)</f>
        <v>149</v>
      </c>
      <c r="DM141" s="46">
        <f>'LINEST VARS'!$U$68+'LINEST VARS'!$T$68*(8)+'LINEST VARS'!$S$68*(8)+'LINEST VARS'!$R$68*($DM$128)+'LINEST VARS'!$Q$68*(0.5)+'LINEST VARS'!$P$68*($CX141)+'LINEST VARS'!$O$68*(8^2)+'LINEST VARS'!$N$68*(8^2)+'LINEST VARS'!$M$68*($DM$128^2)+'LINEST VARS'!$L$68*(0.5^2)+'LINEST VARS'!$K$68*($CX141^2)+'LINEST VARS'!$J$68*(8*8)+'LINEST VARS'!$I$68*(8*$DM$128)+'LINEST VARS'!$H$68*(8*0.5)+'LINEST VARS'!$G$68*(8*$CX141)+'LINEST VARS'!$F$68*(8*$DM$128)+'LINEST VARS'!$E$68*(8*0.5)+'LINEST VARS'!$D$68*(8*$CX141)+'LINEST VARS'!$C$68*($DM$128*0.5)+'LINEST VARS'!$B$68*($DM$128*$CX141)+'LINEST VARS'!$A$68*(0.5*$CX141)</f>
        <v>149</v>
      </c>
      <c r="DN141" s="46">
        <f>'LINEST VARS'!$U$68+'LINEST VARS'!$T$68*(8)+'LINEST VARS'!$S$68*(8)+'LINEST VARS'!$R$68*($DN$128)+'LINEST VARS'!$Q$68*(0.5)+'LINEST VARS'!$P$68*($CX141)+'LINEST VARS'!$O$68*(8^2)+'LINEST VARS'!$N$68*(8^2)+'LINEST VARS'!$M$68*($DN$128^2)+'LINEST VARS'!$L$68*(0.5^2)+'LINEST VARS'!$K$68*($CX141^2)+'LINEST VARS'!$J$68*(8*8)+'LINEST VARS'!$I$68*(8*$DN$128)+'LINEST VARS'!$H$68*(8*0.5)+'LINEST VARS'!$G$68*(8*$CX141)+'LINEST VARS'!$F$68*(8*$DN$128)+'LINEST VARS'!$E$68*(8*0.5)+'LINEST VARS'!$D$68*(8*$CX141)+'LINEST VARS'!$C$68*($DN$128*0.5)+'LINEST VARS'!$B$68*($DN$128*$CX141)+'LINEST VARS'!$A$68*(0.5*$CX141)</f>
        <v>149</v>
      </c>
      <c r="DO141" s="46">
        <f>'LINEST VARS'!$U$68+'LINEST VARS'!$T$68*(8)+'LINEST VARS'!$S$68*(8)+'LINEST VARS'!$R$68*($DO$128)+'LINEST VARS'!$Q$68*(0.5)+'LINEST VARS'!$P$68*($CX141)+'LINEST VARS'!$O$68*(8^2)+'LINEST VARS'!$N$68*(8^2)+'LINEST VARS'!$M$68*($DO$128^2)+'LINEST VARS'!$L$68*(0.5^2)+'LINEST VARS'!$K$68*($CX141^2)+'LINEST VARS'!$J$68*(8*8)+'LINEST VARS'!$I$68*(8*$DO$128)+'LINEST VARS'!$H$68*(8*0.5)+'LINEST VARS'!$G$68*(8*$CX141)+'LINEST VARS'!$F$68*(8*$DO$128)+'LINEST VARS'!$E$68*(8*0.5)+'LINEST VARS'!$D$68*(8*$CX141)+'LINEST VARS'!$C$68*($DO$128*0.5)+'LINEST VARS'!$B$68*($DO$128*$CX141)+'LINEST VARS'!$A$68*(0.5*$CX141)</f>
        <v>149</v>
      </c>
      <c r="DP141" s="46">
        <f>'LINEST VARS'!$U$68+'LINEST VARS'!$T$68*(8)+'LINEST VARS'!$S$68*(8)+'LINEST VARS'!$R$68*($DP$128)+'LINEST VARS'!$Q$68*(0.5)+'LINEST VARS'!$P$68*($CX141)+'LINEST VARS'!$O$68*(8^2)+'LINEST VARS'!$N$68*(8^2)+'LINEST VARS'!$M$68*($DP$128^2)+'LINEST VARS'!$L$68*(0.5^2)+'LINEST VARS'!$K$68*($CX141^2)+'LINEST VARS'!$J$68*(8*8)+'LINEST VARS'!$I$68*(8*$DP$128)+'LINEST VARS'!$H$68*(8*0.5)+'LINEST VARS'!$G$68*(8*$CX141)+'LINEST VARS'!$F$68*(8*$DP$128)+'LINEST VARS'!$E$68*(8*0.5)+'LINEST VARS'!$D$68*(8*$CX141)+'LINEST VARS'!$C$68*($DP$128*0.5)+'LINEST VARS'!$B$68*($DP$128*$CX141)+'LINEST VARS'!$A$68*(0.5*$CX141)</f>
        <v>149</v>
      </c>
      <c r="DQ141" s="46">
        <f>'LINEST VARS'!$U$68+'LINEST VARS'!$T$68*(8)+'LINEST VARS'!$S$68*(8)+'LINEST VARS'!$R$68*($DQ$128)+'LINEST VARS'!$Q$68*(0.5)+'LINEST VARS'!$P$68*($CX141)+'LINEST VARS'!$O$68*(8^2)+'LINEST VARS'!$N$68*(8^2)+'LINEST VARS'!$M$68*($DQ$128^2)+'LINEST VARS'!$L$68*(0.5^2)+'LINEST VARS'!$K$68*($CX141^2)+'LINEST VARS'!$J$68*(8*8)+'LINEST VARS'!$I$68*(8*$DQ$128)+'LINEST VARS'!$H$68*(8*0.5)+'LINEST VARS'!$G$68*(8*$CX141)+'LINEST VARS'!$F$68*(8*$DQ$128)+'LINEST VARS'!$E$68*(8*0.5)+'LINEST VARS'!$D$68*(8*$CX141)+'LINEST VARS'!$C$68*($DQ$128*0.5)+'LINEST VARS'!$B$68*($DQ$128*$CX141)+'LINEST VARS'!$A$68*(0.5*$CX141)</f>
        <v>149</v>
      </c>
      <c r="DR141" s="46">
        <f>'LINEST VARS'!$U$68+'LINEST VARS'!$T$68*(8)+'LINEST VARS'!$S$68*(8)+'LINEST VARS'!$R$68*($DR$128)+'LINEST VARS'!$Q$68*(0.5)+'LINEST VARS'!$P$68*($CX141)+'LINEST VARS'!$O$68*(8^2)+'LINEST VARS'!$N$68*(8^2)+'LINEST VARS'!$M$68*($DR$128^2)+'LINEST VARS'!$L$68*(0.5^2)+'LINEST VARS'!$K$68*($CX141^2)+'LINEST VARS'!$J$68*(8*8)+'LINEST VARS'!$I$68*(8*$DR$128)+'LINEST VARS'!$H$68*(8*0.5)+'LINEST VARS'!$G$68*(8*$CX141)+'LINEST VARS'!$F$68*(8*$DR$128)+'LINEST VARS'!$E$68*(8*0.5)+'LINEST VARS'!$D$68*(8*$CX141)+'LINEST VARS'!$C$68*($DR$128*0.5)+'LINEST VARS'!$B$68*($DR$128*$CX141)+'LINEST VARS'!$A$68*(0.5*$CX141)</f>
        <v>149</v>
      </c>
      <c r="DS141" s="47">
        <f>'LINEST VARS'!$U$68+'LINEST VARS'!$T$68*(8)+'LINEST VARS'!$S$68*(8)+'LINEST VARS'!$R$68*($DS$128)+'LINEST VARS'!$Q$68*(0.5)+'LINEST VARS'!$P$68*($CX141)+'LINEST VARS'!$O$68*(8^2)+'LINEST VARS'!$N$68*(8^2)+'LINEST VARS'!$M$68*($DS$128^2)+'LINEST VARS'!$L$68*(0.5^2)+'LINEST VARS'!$K$68*($CX141^2)+'LINEST VARS'!$J$68*(8*8)+'LINEST VARS'!$I$68*(8*$DS$128)+'LINEST VARS'!$H$68*(8*0.5)+'LINEST VARS'!$G$68*(8*$CX141)+'LINEST VARS'!$F$68*(8*$DS$128)+'LINEST VARS'!$E$68*(8*0.5)+'LINEST VARS'!$D$68*(8*$CX141)+'LINEST VARS'!$C$68*($DS$128*0.5)+'LINEST VARS'!$B$68*($DS$128*$CX141)+'LINEST VARS'!$A$68*(0.5*$CX141)</f>
        <v>149</v>
      </c>
      <c r="DV141" s="45">
        <v>15.593999999999999</v>
      </c>
      <c r="DW141" s="46">
        <f>'LINEST VARS'!$U$70+'LINEST VARS'!$T$70*(8)+'LINEST VARS'!$S$70*(8)+'LINEST VARS'!$R$70*($DW$128)+'LINEST VARS'!$Q$70*(0.5)+'LINEST VARS'!$P$70*($DV141)+'LINEST VARS'!$O$70*(8^2)+'LINEST VARS'!$N$70*(8^2)+'LINEST VARS'!$M$70*($DW$128^2)+'LINEST VARS'!$L$70*(0.5^2)+'LINEST VARS'!$K$70*($DV141^2)+'LINEST VARS'!$J$70*(8*8)+'LINEST VARS'!$I$70*(8*$DW$128)+'LINEST VARS'!$H$70*(8*0.5)+'LINEST VARS'!$G$70*(8*$DV141)+'LINEST VARS'!$F$70*(8*$DW$128)+'LINEST VARS'!$E$70*(8*0.5)+'LINEST VARS'!$D$70*(8*$DV141)+'LINEST VARS'!$C$70*($DW$128*0.5)+'LINEST VARS'!$B$70*($DW$128*$DV141)+'LINEST VARS'!$A$70*(0.5*$DV141)</f>
        <v>92.000000000000014</v>
      </c>
      <c r="DX141" s="46">
        <f>'LINEST VARS'!$U$70+'LINEST VARS'!$T$70*(8)+'LINEST VARS'!$S$70*(8)+'LINEST VARS'!$R$70*($DX$128)+'LINEST VARS'!$Q$70*(0.5)+'LINEST VARS'!$P$70*($DV141)+'LINEST VARS'!$O$70*(8^2)+'LINEST VARS'!$N$70*(8^2)+'LINEST VARS'!$M$70*($DX$128^2)+'LINEST VARS'!$L$70*(0.5^2)+'LINEST VARS'!$K$70*($DV141^2)+'LINEST VARS'!$J$70*(8*8)+'LINEST VARS'!$I$70*(8*$DX$128)+'LINEST VARS'!$H$70*(8*0.5)+'LINEST VARS'!$G$70*(8*$DV141)+'LINEST VARS'!$F$70*(8*$DX$128)+'LINEST VARS'!$E$70*(8*0.5)+'LINEST VARS'!$D$70*(8*$DV141)+'LINEST VARS'!$C$70*($DX$128*0.5)+'LINEST VARS'!$B$70*($DX$128*$DV141)+'LINEST VARS'!$A$70*(0.5*$DV141)</f>
        <v>91.600000000000009</v>
      </c>
      <c r="DY141" s="46">
        <f>'LINEST VARS'!$U$70+'LINEST VARS'!$T$70*(8)+'LINEST VARS'!$S$70*(8)+'LINEST VARS'!$R$70*($DY$128)+'LINEST VARS'!$Q$70*(0.5)+'LINEST VARS'!$P$70*($DV141)+'LINEST VARS'!$O$70*(8^2)+'LINEST VARS'!$N$70*(8^2)+'LINEST VARS'!$M$70*($DY$128^2)+'LINEST VARS'!$L$70*(0.5^2)+'LINEST VARS'!$K$70*($DV141^2)+'LINEST VARS'!$J$70*(8*8)+'LINEST VARS'!$I$70*(8*$DY$128)+'LINEST VARS'!$H$70*(8*0.5)+'LINEST VARS'!$G$70*(8*$DV141)+'LINEST VARS'!$F$70*(8*$DY$128)+'LINEST VARS'!$E$70*(8*0.5)+'LINEST VARS'!$D$70*(8*$DV141)+'LINEST VARS'!$C$70*($DY$128*0.5)+'LINEST VARS'!$B$70*($DY$128*$DV141)+'LINEST VARS'!$A$70*(0.5*$DV141)</f>
        <v>91.200000000000017</v>
      </c>
      <c r="DZ141" s="46">
        <f>'LINEST VARS'!$U$70+'LINEST VARS'!$T$70*(8)+'LINEST VARS'!$S$70*(8)+'LINEST VARS'!$R$70*($DZ$128)+'LINEST VARS'!$Q$70*(0.5)+'LINEST VARS'!$P$70*($DV141)+'LINEST VARS'!$O$70*(8^2)+'LINEST VARS'!$N$70*(8^2)+'LINEST VARS'!$M$70*($DZ$128^2)+'LINEST VARS'!$L$70*(0.5^2)+'LINEST VARS'!$K$70*($DV141^2)+'LINEST VARS'!$J$70*(8*8)+'LINEST VARS'!$I$70*(8*$DZ$128)+'LINEST VARS'!$H$70*(8*0.5)+'LINEST VARS'!$G$70*(8*$DV141)+'LINEST VARS'!$F$70*(8*$DZ$128)+'LINEST VARS'!$E$70*(8*0.5)+'LINEST VARS'!$D$70*(8*$DV141)+'LINEST VARS'!$C$70*($DZ$128*0.5)+'LINEST VARS'!$B$70*($DZ$128*$DV141)+'LINEST VARS'!$A$70*(0.5*$DV141)</f>
        <v>90.800000000000011</v>
      </c>
      <c r="EA141" s="46">
        <f>'LINEST VARS'!$U$70+'LINEST VARS'!$T$70*(8)+'LINEST VARS'!$S$70*(8)+'LINEST VARS'!$R$70*($EA$128)+'LINEST VARS'!$Q$70*(0.5)+'LINEST VARS'!$P$70*($DV141)+'LINEST VARS'!$O$70*(8^2)+'LINEST VARS'!$N$70*(8^2)+'LINEST VARS'!$M$70*($EA$128^2)+'LINEST VARS'!$L$70*(0.5^2)+'LINEST VARS'!$K$70*($DV141^2)+'LINEST VARS'!$J$70*(8*8)+'LINEST VARS'!$I$70*(8*$EA$128)+'LINEST VARS'!$H$70*(8*0.5)+'LINEST VARS'!$G$70*(8*$DV141)+'LINEST VARS'!$F$70*(8*$EA$128)+'LINEST VARS'!$E$70*(8*0.5)+'LINEST VARS'!$D$70*(8*$DV141)+'LINEST VARS'!$C$70*($EA$128*0.5)+'LINEST VARS'!$B$70*($EA$128*$DV141)+'LINEST VARS'!$A$70*(0.5*$DV141)</f>
        <v>90.40000000000002</v>
      </c>
      <c r="EB141" s="46">
        <f>'LINEST VARS'!$U$70+'LINEST VARS'!$T$70*(8)+'LINEST VARS'!$S$70*(8)+'LINEST VARS'!$R$70*($EB$128)+'LINEST VARS'!$Q$70*(0.5)+'LINEST VARS'!$P$70*($DV141)+'LINEST VARS'!$O$70*(8^2)+'LINEST VARS'!$N$70*(8^2)+'LINEST VARS'!$M$70*($EB$128^2)+'LINEST VARS'!$L$70*(0.5^2)+'LINEST VARS'!$K$70*($DV141^2)+'LINEST VARS'!$J$70*(8*8)+'LINEST VARS'!$I$70*(8*$EB$128)+'LINEST VARS'!$H$70*(8*0.5)+'LINEST VARS'!$G$70*(8*$DV141)+'LINEST VARS'!$F$70*(8*$EB$128)+'LINEST VARS'!$E$70*(8*0.5)+'LINEST VARS'!$D$70*(8*$DV141)+'LINEST VARS'!$C$70*($EB$128*0.5)+'LINEST VARS'!$B$70*($EB$128*$DV141)+'LINEST VARS'!$A$70*(0.5*$DV141)</f>
        <v>90.000000000000014</v>
      </c>
      <c r="EC141" s="46">
        <f>'LINEST VARS'!$U$70+'LINEST VARS'!$T$70*(8)+'LINEST VARS'!$S$70*(8)+'LINEST VARS'!$R$70*($EC$128)+'LINEST VARS'!$Q$70*(0.5)+'LINEST VARS'!$P$70*($DV141)+'LINEST VARS'!$O$70*(8^2)+'LINEST VARS'!$N$70*(8^2)+'LINEST VARS'!$M$70*($EC$128^2)+'LINEST VARS'!$L$70*(0.5^2)+'LINEST VARS'!$K$70*($DV141^2)+'LINEST VARS'!$J$70*(8*8)+'LINEST VARS'!$I$70*(8*$EC$128)+'LINEST VARS'!$H$70*(8*0.5)+'LINEST VARS'!$G$70*(8*$DV141)+'LINEST VARS'!$F$70*(8*$EC$128)+'LINEST VARS'!$E$70*(8*0.5)+'LINEST VARS'!$D$70*(8*$DV141)+'LINEST VARS'!$C$70*($EC$128*0.5)+'LINEST VARS'!$B$70*($EC$128*$DV141)+'LINEST VARS'!$A$70*(0.5*$DV141)</f>
        <v>89.600000000000023</v>
      </c>
      <c r="ED141" s="46">
        <f>'LINEST VARS'!$U$70+'LINEST VARS'!$T$70*(8)+'LINEST VARS'!$S$70*(8)+'LINEST VARS'!$R$70*($ED$128)+'LINEST VARS'!$Q$70*(0.5)+'LINEST VARS'!$P$70*($DV141)+'LINEST VARS'!$O$70*(8^2)+'LINEST VARS'!$N$70*(8^2)+'LINEST VARS'!$M$70*($ED$128^2)+'LINEST VARS'!$L$70*(0.5^2)+'LINEST VARS'!$K$70*($DV141^2)+'LINEST VARS'!$J$70*(8*8)+'LINEST VARS'!$I$70*(8*$ED$128)+'LINEST VARS'!$H$70*(8*0.5)+'LINEST VARS'!$G$70*(8*$DV141)+'LINEST VARS'!$F$70*(8*$ED$128)+'LINEST VARS'!$E$70*(8*0.5)+'LINEST VARS'!$D$70*(8*$DV141)+'LINEST VARS'!$C$70*($ED$128*0.5)+'LINEST VARS'!$B$70*($ED$128*$DV141)+'LINEST VARS'!$A$70*(0.5*$DV141)</f>
        <v>89.200000000000017</v>
      </c>
      <c r="EE141" s="46">
        <f>'LINEST VARS'!$U$70+'LINEST VARS'!$T$70*(8)+'LINEST VARS'!$S$70*(8)+'LINEST VARS'!$R$70*($EE$128)+'LINEST VARS'!$Q$70*(0.5)+'LINEST VARS'!$P$70*($DV141)+'LINEST VARS'!$O$70*(8^2)+'LINEST VARS'!$N$70*(8^2)+'LINEST VARS'!$M$70*($EE$128^2)+'LINEST VARS'!$L$70*(0.5^2)+'LINEST VARS'!$K$70*($DV141^2)+'LINEST VARS'!$J$70*(8*8)+'LINEST VARS'!$I$70*(8*$EE$128)+'LINEST VARS'!$H$70*(8*0.5)+'LINEST VARS'!$G$70*(8*$DV141)+'LINEST VARS'!$F$70*(8*$EE$128)+'LINEST VARS'!$E$70*(8*0.5)+'LINEST VARS'!$D$70*(8*$DV141)+'LINEST VARS'!$C$70*($EE$128*0.5)+'LINEST VARS'!$B$70*($EE$128*$DV141)+'LINEST VARS'!$A$70*(0.5*$DV141)</f>
        <v>88.800000000000026</v>
      </c>
      <c r="EF141" s="46">
        <f>'LINEST VARS'!$U$70+'LINEST VARS'!$T$70*(8)+'LINEST VARS'!$S$70*(8)+'LINEST VARS'!$R$70*($EF$128)+'LINEST VARS'!$Q$70*(0.5)+'LINEST VARS'!$P$70*($DV141)+'LINEST VARS'!$O$70*(8^2)+'LINEST VARS'!$N$70*(8^2)+'LINEST VARS'!$M$70*($EF$128^2)+'LINEST VARS'!$L$70*(0.5^2)+'LINEST VARS'!$K$70*($DV141^2)+'LINEST VARS'!$J$70*(8*8)+'LINEST VARS'!$I$70*(8*$EF$128)+'LINEST VARS'!$H$70*(8*0.5)+'LINEST VARS'!$G$70*(8*$DV141)+'LINEST VARS'!$F$70*(8*$EF$128)+'LINEST VARS'!$E$70*(8*0.5)+'LINEST VARS'!$D$70*(8*$DV141)+'LINEST VARS'!$C$70*($EF$128*0.5)+'LINEST VARS'!$B$70*($EF$128*$DV141)+'LINEST VARS'!$A$70*(0.5*$DV141)</f>
        <v>88.40000000000002</v>
      </c>
      <c r="EG141" s="46">
        <f>'LINEST VARS'!$U$70+'LINEST VARS'!$T$70*(8)+'LINEST VARS'!$S$70*(8)+'LINEST VARS'!$R$70*($EG$128)+'LINEST VARS'!$Q$70*(0.5)+'LINEST VARS'!$P$70*($DV141)+'LINEST VARS'!$O$70*(8^2)+'LINEST VARS'!$N$70*(8^2)+'LINEST VARS'!$M$70*($EG$128^2)+'LINEST VARS'!$L$70*(0.5^2)+'LINEST VARS'!$K$70*($DV141^2)+'LINEST VARS'!$J$70*(8*8)+'LINEST VARS'!$I$70*(8*$EG$128)+'LINEST VARS'!$H$70*(8*0.5)+'LINEST VARS'!$G$70*(8*$DV141)+'LINEST VARS'!$F$70*(8*$EG$128)+'LINEST VARS'!$E$70*(8*0.5)+'LINEST VARS'!$D$70*(8*$DV141)+'LINEST VARS'!$C$70*($EG$128*0.5)+'LINEST VARS'!$B$70*($EG$128*$DV141)+'LINEST VARS'!$A$70*(0.5*$DV141)</f>
        <v>88.000000000000014</v>
      </c>
      <c r="EH141" s="46">
        <f>'LINEST VARS'!$U$70+'LINEST VARS'!$T$70*(8)+'LINEST VARS'!$S$70*(8)+'LINEST VARS'!$R$70*($EH$128)+'LINEST VARS'!$Q$70*(0.5)+'LINEST VARS'!$P$70*($DV141)+'LINEST VARS'!$O$70*(8^2)+'LINEST VARS'!$N$70*(8^2)+'LINEST VARS'!$M$70*($EH$128^2)+'LINEST VARS'!$L$70*(0.5^2)+'LINEST VARS'!$K$70*($DV141^2)+'LINEST VARS'!$J$70*(8*8)+'LINEST VARS'!$I$70*(8*$EH$128)+'LINEST VARS'!$H$70*(8*0.5)+'LINEST VARS'!$G$70*(8*$DV141)+'LINEST VARS'!$F$70*(8*$EH$128)+'LINEST VARS'!$E$70*(8*0.5)+'LINEST VARS'!$D$70*(8*$DV141)+'LINEST VARS'!$C$70*($EH$128*0.5)+'LINEST VARS'!$B$70*($EH$128*$DV141)+'LINEST VARS'!$A$70*(0.5*$DV141)</f>
        <v>87.600000000000023</v>
      </c>
      <c r="EI141" s="46">
        <f>'LINEST VARS'!$U$70+'LINEST VARS'!$T$70*(8)+'LINEST VARS'!$S$70*(8)+'LINEST VARS'!$R$70*($EI$128)+'LINEST VARS'!$Q$70*(0.5)+'LINEST VARS'!$P$70*($DV141)+'LINEST VARS'!$O$70*(8^2)+'LINEST VARS'!$N$70*(8^2)+'LINEST VARS'!$M$70*($EI$128^2)+'LINEST VARS'!$L$70*(0.5^2)+'LINEST VARS'!$K$70*($DV141^2)+'LINEST VARS'!$J$70*(8*8)+'LINEST VARS'!$I$70*(8*$EI$128)+'LINEST VARS'!$H$70*(8*0.5)+'LINEST VARS'!$G$70*(8*$DV141)+'LINEST VARS'!$F$70*(8*$EI$128)+'LINEST VARS'!$E$70*(8*0.5)+'LINEST VARS'!$D$70*(8*$DV141)+'LINEST VARS'!$C$70*($EI$128*0.5)+'LINEST VARS'!$B$70*($EI$128*$DV141)+'LINEST VARS'!$A$70*(0.5*$DV141)</f>
        <v>87.200000000000017</v>
      </c>
      <c r="EJ141" s="46">
        <f>'LINEST VARS'!$U$70+'LINEST VARS'!$T$70*(8)+'LINEST VARS'!$S$70*(8)+'LINEST VARS'!$R$70*($EJ$128)+'LINEST VARS'!$Q$70*(0.5)+'LINEST VARS'!$P$70*($DV141)+'LINEST VARS'!$O$70*(8^2)+'LINEST VARS'!$N$70*(8^2)+'LINEST VARS'!$M$70*($EJ$128^2)+'LINEST VARS'!$L$70*(0.5^2)+'LINEST VARS'!$K$70*($DV141^2)+'LINEST VARS'!$J$70*(8*8)+'LINEST VARS'!$I$70*(8*$EJ$128)+'LINEST VARS'!$H$70*(8*0.5)+'LINEST VARS'!$G$70*(8*$DV141)+'LINEST VARS'!$F$70*(8*$EJ$128)+'LINEST VARS'!$E$70*(8*0.5)+'LINEST VARS'!$D$70*(8*$DV141)+'LINEST VARS'!$C$70*($EJ$128*0.5)+'LINEST VARS'!$B$70*($EJ$128*$DV141)+'LINEST VARS'!$A$70*(0.5*$DV141)</f>
        <v>86.800000000000026</v>
      </c>
      <c r="EK141" s="46">
        <f>'LINEST VARS'!$U$70+'LINEST VARS'!$T$70*(8)+'LINEST VARS'!$S$70*(8)+'LINEST VARS'!$R$70*($EK$128)+'LINEST VARS'!$Q$70*(0.5)+'LINEST VARS'!$P$70*($DV141)+'LINEST VARS'!$O$70*(8^2)+'LINEST VARS'!$N$70*(8^2)+'LINEST VARS'!$M$70*($EK$128^2)+'LINEST VARS'!$L$70*(0.5^2)+'LINEST VARS'!$K$70*($DV141^2)+'LINEST VARS'!$J$70*(8*8)+'LINEST VARS'!$I$70*(8*$EK$128)+'LINEST VARS'!$H$70*(8*0.5)+'LINEST VARS'!$G$70*(8*$DV141)+'LINEST VARS'!$F$70*(8*$EK$128)+'LINEST VARS'!$E$70*(8*0.5)+'LINEST VARS'!$D$70*(8*$DV141)+'LINEST VARS'!$C$70*($EK$128*0.5)+'LINEST VARS'!$B$70*($EK$128*$DV141)+'LINEST VARS'!$A$70*(0.5*$DV141)</f>
        <v>86.40000000000002</v>
      </c>
      <c r="EL141" s="46">
        <f>'LINEST VARS'!$U$70+'LINEST VARS'!$T$70*(8)+'LINEST VARS'!$S$70*(8)+'LINEST VARS'!$R$70*($EL$128)+'LINEST VARS'!$Q$70*(0.5)+'LINEST VARS'!$P$70*($DV141)+'LINEST VARS'!$O$70*(8^2)+'LINEST VARS'!$N$70*(8^2)+'LINEST VARS'!$M$70*($EL$128^2)+'LINEST VARS'!$L$70*(0.5^2)+'LINEST VARS'!$K$70*($DV141^2)+'LINEST VARS'!$J$70*(8*8)+'LINEST VARS'!$I$70*(8*$EL$128)+'LINEST VARS'!$H$70*(8*0.5)+'LINEST VARS'!$G$70*(8*$DV141)+'LINEST VARS'!$F$70*(8*$EL$128)+'LINEST VARS'!$E$70*(8*0.5)+'LINEST VARS'!$D$70*(8*$DV141)+'LINEST VARS'!$C$70*($EL$128*0.5)+'LINEST VARS'!$B$70*($EL$128*$DV141)+'LINEST VARS'!$A$70*(0.5*$DV141)</f>
        <v>86.000000000000014</v>
      </c>
      <c r="EM141" s="46">
        <f>'LINEST VARS'!$U$70+'LINEST VARS'!$T$70*(8)+'LINEST VARS'!$S$70*(8)+'LINEST VARS'!$R$70*($EM$128)+'LINEST VARS'!$Q$70*(0.5)+'LINEST VARS'!$P$70*($DV141)+'LINEST VARS'!$O$70*(8^2)+'LINEST VARS'!$N$70*(8^2)+'LINEST VARS'!$M$70*($EM$128^2)+'LINEST VARS'!$L$70*(0.5^2)+'LINEST VARS'!$K$70*($DV141^2)+'LINEST VARS'!$J$70*(8*8)+'LINEST VARS'!$I$70*(8*$EM$128)+'LINEST VARS'!$H$70*(8*0.5)+'LINEST VARS'!$G$70*(8*$DV141)+'LINEST VARS'!$F$70*(8*$EM$128)+'LINEST VARS'!$E$70*(8*0.5)+'LINEST VARS'!$D$70*(8*$DV141)+'LINEST VARS'!$C$70*($EM$128*0.5)+'LINEST VARS'!$B$70*($EM$128*$DV141)+'LINEST VARS'!$A$70*(0.5*$DV141)</f>
        <v>85.600000000000009</v>
      </c>
      <c r="EN141" s="46">
        <f>'LINEST VARS'!$U$70+'LINEST VARS'!$T$70*(8)+'LINEST VARS'!$S$70*(8)+'LINEST VARS'!$R$70*($EN$128)+'LINEST VARS'!$Q$70*(0.5)+'LINEST VARS'!$P$70*($DV141)+'LINEST VARS'!$O$70*(8^2)+'LINEST VARS'!$N$70*(8^2)+'LINEST VARS'!$M$70*($EN$128^2)+'LINEST VARS'!$L$70*(0.5^2)+'LINEST VARS'!$K$70*($DV141^2)+'LINEST VARS'!$J$70*(8*8)+'LINEST VARS'!$I$70*(8*$EN$128)+'LINEST VARS'!$H$70*(8*0.5)+'LINEST VARS'!$G$70*(8*$DV141)+'LINEST VARS'!$F$70*(8*$EN$128)+'LINEST VARS'!$E$70*(8*0.5)+'LINEST VARS'!$D$70*(8*$DV141)+'LINEST VARS'!$C$70*($EN$128*0.5)+'LINEST VARS'!$B$70*($EN$128*$DV141)+'LINEST VARS'!$A$70*(0.5*$DV141)</f>
        <v>85.200000000000017</v>
      </c>
      <c r="EO141" s="46">
        <f>'LINEST VARS'!$U$70+'LINEST VARS'!$T$70*(8)+'LINEST VARS'!$S$70*(8)+'LINEST VARS'!$R$70*($EO$128)+'LINEST VARS'!$Q$70*(0.5)+'LINEST VARS'!$P$70*($DV141)+'LINEST VARS'!$O$70*(8^2)+'LINEST VARS'!$N$70*(8^2)+'LINEST VARS'!$M$70*($EO$128^2)+'LINEST VARS'!$L$70*(0.5^2)+'LINEST VARS'!$K$70*($DV141^2)+'LINEST VARS'!$J$70*(8*8)+'LINEST VARS'!$I$70*(8*$EO$128)+'LINEST VARS'!$H$70*(8*0.5)+'LINEST VARS'!$G$70*(8*$DV141)+'LINEST VARS'!$F$70*(8*$EO$128)+'LINEST VARS'!$E$70*(8*0.5)+'LINEST VARS'!$D$70*(8*$DV141)+'LINEST VARS'!$C$70*($EO$128*0.5)+'LINEST VARS'!$B$70*($EO$128*$DV141)+'LINEST VARS'!$A$70*(0.5*$DV141)</f>
        <v>84.800000000000011</v>
      </c>
      <c r="EP141" s="46">
        <f>'LINEST VARS'!$U$70+'LINEST VARS'!$T$70*(8)+'LINEST VARS'!$S$70*(8)+'LINEST VARS'!$R$70*($EP$128)+'LINEST VARS'!$Q$70*(0.5)+'LINEST VARS'!$P$70*($DV141)+'LINEST VARS'!$O$70*(8^2)+'LINEST VARS'!$N$70*(8^2)+'LINEST VARS'!$M$70*($EP$128^2)+'LINEST VARS'!$L$70*(0.5^2)+'LINEST VARS'!$K$70*($DV141^2)+'LINEST VARS'!$J$70*(8*8)+'LINEST VARS'!$I$70*(8*$EP$128)+'LINEST VARS'!$H$70*(8*0.5)+'LINEST VARS'!$G$70*(8*$DV141)+'LINEST VARS'!$F$70*(8*$EP$128)+'LINEST VARS'!$E$70*(8*0.5)+'LINEST VARS'!$D$70*(8*$DV141)+'LINEST VARS'!$C$70*($EP$128*0.5)+'LINEST VARS'!$B$70*($EP$128*$DV141)+'LINEST VARS'!$A$70*(0.5*$DV141)</f>
        <v>84.400000000000034</v>
      </c>
      <c r="EQ141" s="47">
        <f>'LINEST VARS'!$U$70+'LINEST VARS'!$T$70*(8)+'LINEST VARS'!$S$70*(8)+'LINEST VARS'!$R$70*($EQ$128)+'LINEST VARS'!$Q$70*(0.5)+'LINEST VARS'!$P$70*($DV141)+'LINEST VARS'!$O$70*(8^2)+'LINEST VARS'!$N$70*(8^2)+'LINEST VARS'!$M$70*($EQ$128^2)+'LINEST VARS'!$L$70*(0.5^2)+'LINEST VARS'!$K$70*($DV141^2)+'LINEST VARS'!$J$70*(8*8)+'LINEST VARS'!$I$70*(8*$EQ$128)+'LINEST VARS'!$H$70*(8*0.5)+'LINEST VARS'!$G$70*(8*$DV141)+'LINEST VARS'!$F$70*(8*$EQ$128)+'LINEST VARS'!$E$70*(8*0.5)+'LINEST VARS'!$D$70*(8*$DV141)+'LINEST VARS'!$C$70*($EQ$128*0.5)+'LINEST VARS'!$B$70*($EQ$128*$DV141)+'LINEST VARS'!$A$70*(0.5*$DV141)</f>
        <v>84.000000000000028</v>
      </c>
    </row>
    <row r="142" spans="2:147" ht="15" customHeight="1" x14ac:dyDescent="0.25">
      <c r="B142" s="45">
        <v>8.18</v>
      </c>
      <c r="C142" s="46">
        <f>'LINEST VARS'!$U$68+'LINEST VARS'!$T$68*($C$128)+'LINEST VARS'!$S$68*($B142)+'LINEST VARS'!$R$68*(4)+'LINEST VARS'!$Q$68*(0.5)+'LINEST VARS'!$P$68*(12.73)+'LINEST VARS'!$O$68*($C$128^2)+'LINEST VARS'!$N$68*($B142^2)+'LINEST VARS'!$M$68*(4^2)+'LINEST VARS'!$L$68*(0.5^2)+'LINEST VARS'!$K$68*(12.73^2)+'LINEST VARS'!$J$68*($C$128*$B142)+'LINEST VARS'!$I$68*($C$128*4)+'LINEST VARS'!$H$68*($C$128*0.5)+'LINEST VARS'!$G$68*($C$128*12.73)+'LINEST VARS'!$F$68*($B142*4)+'LINEST VARS'!$E$68*($B142*0.5)+'LINEST VARS'!$D$68*($B142*12.73)+'LINEST VARS'!$C$68*(4*0.5)+'LINEST VARS'!$B$68*(4*12.73)+'LINEST VARS'!$A$68*(0.5*12.73)</f>
        <v>149</v>
      </c>
      <c r="D142" s="46">
        <f>'LINEST VARS'!$U$68+'LINEST VARS'!$T$68*($D$128)+'LINEST VARS'!$S$68*($B142)+'LINEST VARS'!$R$68*(4)+'LINEST VARS'!$Q$68*(0.5)+'LINEST VARS'!$P$68*(12.73)+'LINEST VARS'!$O$68*($D$128^2)+'LINEST VARS'!$N$68*($B142^2)+'LINEST VARS'!$M$68*(4^2)+'LINEST VARS'!$L$68*(0.5^2)+'LINEST VARS'!$K$68*(12.73^2)+'LINEST VARS'!$J$68*($D$128*$B142)+'LINEST VARS'!$I$68*($D$128*4)+'LINEST VARS'!$H$68*($D$128*0.5)+'LINEST VARS'!$G$68*($D$128*12.73)+'LINEST VARS'!$F$68*($B142*4)+'LINEST VARS'!$E$68*($B142*0.5)+'LINEST VARS'!$D$68*($B142*12.73)+'LINEST VARS'!$C$68*(4*0.5)+'LINEST VARS'!$B$68*(4*12.73)+'LINEST VARS'!$A$68*(0.5*12.73)</f>
        <v>149</v>
      </c>
      <c r="E142" s="46">
        <f>'LINEST VARS'!$U$68+'LINEST VARS'!$T$68*($E$128)+'LINEST VARS'!$S$68*($B142)+'LINEST VARS'!$R$68*(4)+'LINEST VARS'!$Q$68*(0.5)+'LINEST VARS'!$P$68*(12.73)+'LINEST VARS'!$O$68*($E$128^2)+'LINEST VARS'!$N$68*($B142^2)+'LINEST VARS'!$M$68*(4^2)+'LINEST VARS'!$L$68*(0.5^2)+'LINEST VARS'!$K$68*(12.73^2)+'LINEST VARS'!$J$68*($E$128*$B142)+'LINEST VARS'!$I$68*($E$128*4)+'LINEST VARS'!$H$68*($E$128*0.5)+'LINEST VARS'!$G$68*($E$128*12.73)+'LINEST VARS'!$F$68*($B142*4)+'LINEST VARS'!$E$68*($B142*0.5)+'LINEST VARS'!$D$68*($B142*12.73)+'LINEST VARS'!$C$68*(4*0.5)+'LINEST VARS'!$B$68*(4*12.73)+'LINEST VARS'!$A$68*(0.5*12.73)</f>
        <v>149</v>
      </c>
      <c r="F142" s="46">
        <f>'LINEST VARS'!$U$68+'LINEST VARS'!$T$68*($F$128)+'LINEST VARS'!$S$68*($B142)+'LINEST VARS'!$R$68*(4)+'LINEST VARS'!$Q$68*(0.5)+'LINEST VARS'!$P$68*(12.73)+'LINEST VARS'!$O$68*($F$128^2)+'LINEST VARS'!$N$68*($B142^2)+'LINEST VARS'!$M$68*(4^2)+'LINEST VARS'!$L$68*(0.5^2)+'LINEST VARS'!$K$68*(12.73^2)+'LINEST VARS'!$J$68*($F$128*$B142)+'LINEST VARS'!$I$68*($F$128*4)+'LINEST VARS'!$H$68*($F$128*0.5)+'LINEST VARS'!$G$68*($F$128*12.73)+'LINEST VARS'!$F$68*($B142*4)+'LINEST VARS'!$E$68*($B142*0.5)+'LINEST VARS'!$D$68*($B142*12.73)+'LINEST VARS'!$C$68*(4*0.5)+'LINEST VARS'!$B$68*(4*12.73)+'LINEST VARS'!$A$68*(0.5*12.73)</f>
        <v>149</v>
      </c>
      <c r="G142" s="46">
        <f>'LINEST VARS'!$U$68+'LINEST VARS'!$T$68*($G$128)+'LINEST VARS'!$S$68*($B142)+'LINEST VARS'!$R$68*(4)+'LINEST VARS'!$Q$68*(0.5)+'LINEST VARS'!$P$68*(12.73)+'LINEST VARS'!$O$68*($G$128^2)+'LINEST VARS'!$N$68*($B142^2)+'LINEST VARS'!$M$68*(4^2)+'LINEST VARS'!$L$68*(0.5^2)+'LINEST VARS'!$K$68*(12.73^2)+'LINEST VARS'!$J$68*($G$128*$B142)+'LINEST VARS'!$I$68*($G$128*4)+'LINEST VARS'!$H$68*($G$128*0.5)+'LINEST VARS'!$G$68*($G$128*12.73)+'LINEST VARS'!$F$68*($B142*4)+'LINEST VARS'!$E$68*($B142*0.5)+'LINEST VARS'!$D$68*($B142*12.73)+'LINEST VARS'!$C$68*(4*0.5)+'LINEST VARS'!$B$68*(4*12.73)+'LINEST VARS'!$A$68*(0.5*12.73)</f>
        <v>149</v>
      </c>
      <c r="H142" s="46">
        <f>'LINEST VARS'!$U$68+'LINEST VARS'!$T$68*($H$128)+'LINEST VARS'!$S$68*($B142)+'LINEST VARS'!$R$68*(4)+'LINEST VARS'!$Q$68*(0.5)+'LINEST VARS'!$P$68*(12.73)+'LINEST VARS'!$O$68*($H$128^2)+'LINEST VARS'!$N$68*($B142^2)+'LINEST VARS'!$M$68*(4^2)+'LINEST VARS'!$L$68*(0.5^2)+'LINEST VARS'!$K$68*(12.73^2)+'LINEST VARS'!$J$68*($H$128*$B142)+'LINEST VARS'!$I$68*($H$128*4)+'LINEST VARS'!$H$68*($H$128*0.5)+'LINEST VARS'!$G$68*($H$128*12.73)+'LINEST VARS'!$F$68*($B142*4)+'LINEST VARS'!$E$68*($B142*0.5)+'LINEST VARS'!$D$68*($B142*12.73)+'LINEST VARS'!$C$68*(4*0.5)+'LINEST VARS'!$B$68*(4*12.73)+'LINEST VARS'!$A$68*(0.5*12.73)</f>
        <v>149</v>
      </c>
      <c r="I142" s="46">
        <f>'LINEST VARS'!$U$68+'LINEST VARS'!$T$68*($I$128)+'LINEST VARS'!$S$68*($B142)+'LINEST VARS'!$R$68*(4)+'LINEST VARS'!$Q$68*(0.5)+'LINEST VARS'!$P$68*(12.73)+'LINEST VARS'!$O$68*($I$128^2)+'LINEST VARS'!$N$68*($B142^2)+'LINEST VARS'!$M$68*(4^2)+'LINEST VARS'!$L$68*(0.5^2)+'LINEST VARS'!$K$68*(12.73^2)+'LINEST VARS'!$J$68*($I$128*$B142)+'LINEST VARS'!$I$68*($I$128*4)+'LINEST VARS'!$H$68*($I$128*0.5)+'LINEST VARS'!$G$68*($I$128*12.73)+'LINEST VARS'!$F$68*($B142*4)+'LINEST VARS'!$E$68*($B142*0.5)+'LINEST VARS'!$D$68*($B142*12.73)+'LINEST VARS'!$C$68*(4*0.5)+'LINEST VARS'!$B$68*(4*12.73)+'LINEST VARS'!$A$68*(0.5*12.73)</f>
        <v>149</v>
      </c>
      <c r="J142" s="46">
        <f>'LINEST VARS'!$U$68+'LINEST VARS'!$T$68*($J$128)+'LINEST VARS'!$S$68*($B142)+'LINEST VARS'!$R$68*(4)+'LINEST VARS'!$Q$68*(0.5)+'LINEST VARS'!$P$68*(12.73)+'LINEST VARS'!$O$68*($J$128^2)+'LINEST VARS'!$N$68*($B142^2)+'LINEST VARS'!$M$68*(4^2)+'LINEST VARS'!$L$68*(0.5^2)+'LINEST VARS'!$K$68*(12.73^2)+'LINEST VARS'!$J$68*($J$128*$B142)+'LINEST VARS'!$I$68*($J$128*4)+'LINEST VARS'!$H$68*($J$128*0.5)+'LINEST VARS'!$G$68*($J$128*12.73)+'LINEST VARS'!$F$68*($B142*4)+'LINEST VARS'!$E$68*($B142*0.5)+'LINEST VARS'!$D$68*($B142*12.73)+'LINEST VARS'!$C$68*(4*0.5)+'LINEST VARS'!$B$68*(4*12.73)+'LINEST VARS'!$A$68*(0.5*12.73)</f>
        <v>149</v>
      </c>
      <c r="K142" s="46">
        <f>'LINEST VARS'!$U$68+'LINEST VARS'!$T$68*($K$128)+'LINEST VARS'!$S$68*($B142)+'LINEST VARS'!$R$68*(4)+'LINEST VARS'!$Q$68*(0.5)+'LINEST VARS'!$P$68*(12.73)+'LINEST VARS'!$O$68*($K$128^2)+'LINEST VARS'!$N$68*($B142^2)+'LINEST VARS'!$M$68*(4^2)+'LINEST VARS'!$L$68*(0.5^2)+'LINEST VARS'!$K$68*(12.73^2)+'LINEST VARS'!$J$68*($K$128*$B142)+'LINEST VARS'!$I$68*($K$128*4)+'LINEST VARS'!$H$68*($K$128*0.5)+'LINEST VARS'!$G$68*($K$128*12.73)+'LINEST VARS'!$F$68*($B142*4)+'LINEST VARS'!$E$68*($B142*0.5)+'LINEST VARS'!$D$68*($B142*12.73)+'LINEST VARS'!$C$68*(4*0.5)+'LINEST VARS'!$B$68*(4*12.73)+'LINEST VARS'!$A$68*(0.5*12.73)</f>
        <v>149</v>
      </c>
      <c r="L142" s="46">
        <f>'LINEST VARS'!$U$68+'LINEST VARS'!$T$68*($L$128)+'LINEST VARS'!$S$68*($B142)+'LINEST VARS'!$R$68*(4)+'LINEST VARS'!$Q$68*(0.5)+'LINEST VARS'!$P$68*(12.73)+'LINEST VARS'!$O$68*($L$128^2)+'LINEST VARS'!$N$68*($B142^2)+'LINEST VARS'!$M$68*(4^2)+'LINEST VARS'!$L$68*(0.5^2)+'LINEST VARS'!$K$68*(12.73^2)+'LINEST VARS'!$J$68*($L$128*$B142)+'LINEST VARS'!$I$68*($L$128*4)+'LINEST VARS'!$H$68*($L$128*0.5)+'LINEST VARS'!$G$68*($L$128*12.73)+'LINEST VARS'!$F$68*($B142*4)+'LINEST VARS'!$E$68*($B142*0.5)+'LINEST VARS'!$D$68*($B142*12.73)+'LINEST VARS'!$C$68*(4*0.5)+'LINEST VARS'!$B$68*(4*12.73)+'LINEST VARS'!$A$68*(0.5*12.73)</f>
        <v>149</v>
      </c>
      <c r="M142" s="46">
        <f>'LINEST VARS'!$U$68+'LINEST VARS'!$T$68*($M$128)+'LINEST VARS'!$S$68*($B142)+'LINEST VARS'!$R$68*(4)+'LINEST VARS'!$Q$68*(0.5)+'LINEST VARS'!$P$68*(12.73)+'LINEST VARS'!$O$68*($M$128^2)+'LINEST VARS'!$N$68*($B142^2)+'LINEST VARS'!$M$68*(4^2)+'LINEST VARS'!$L$68*(0.5^2)+'LINEST VARS'!$K$68*(12.73^2)+'LINEST VARS'!$J$68*($M$128*$B142)+'LINEST VARS'!$I$68*($M$128*4)+'LINEST VARS'!$H$68*($M$128*0.5)+'LINEST VARS'!$G$68*($M$128*12.73)+'LINEST VARS'!$F$68*($B142*4)+'LINEST VARS'!$E$68*($B142*0.5)+'LINEST VARS'!$D$68*($B142*12.73)+'LINEST VARS'!$C$68*(4*0.5)+'LINEST VARS'!$B$68*(4*12.73)+'LINEST VARS'!$A$68*(0.5*12.73)</f>
        <v>149</v>
      </c>
      <c r="N142" s="46">
        <f>'LINEST VARS'!$U$68+'LINEST VARS'!$T$68*($N$128)+'LINEST VARS'!$S$68*($B142)+'LINEST VARS'!$R$68*(4)+'LINEST VARS'!$Q$68*(0.5)+'LINEST VARS'!$P$68*(12.73)+'LINEST VARS'!$O$68*($N$128^2)+'LINEST VARS'!$N$68*($B142^2)+'LINEST VARS'!$M$68*(4^2)+'LINEST VARS'!$L$68*(0.5^2)+'LINEST VARS'!$K$68*(12.73^2)+'LINEST VARS'!$J$68*($N$128*$B142)+'LINEST VARS'!$I$68*($N$128*4)+'LINEST VARS'!$H$68*($N$128*0.5)+'LINEST VARS'!$G$68*($N$128*12.73)+'LINEST VARS'!$F$68*($B142*4)+'LINEST VARS'!$E$68*($B142*0.5)+'LINEST VARS'!$D$68*($B142*12.73)+'LINEST VARS'!$C$68*(4*0.5)+'LINEST VARS'!$B$68*(4*12.73)+'LINEST VARS'!$A$68*(0.5*12.73)</f>
        <v>149</v>
      </c>
      <c r="O142" s="46">
        <f>'LINEST VARS'!$U$68+'LINEST VARS'!$T$68*($O$128)+'LINEST VARS'!$S$68*($B142)+'LINEST VARS'!$R$68*(4)+'LINEST VARS'!$Q$68*(0.5)+'LINEST VARS'!$P$68*(12.73)+'LINEST VARS'!$O$68*($O$128^2)+'LINEST VARS'!$N$68*($B142^2)+'LINEST VARS'!$M$68*(4^2)+'LINEST VARS'!$L$68*(0.5^2)+'LINEST VARS'!$K$68*(12.73^2)+'LINEST VARS'!$J$68*($O$128*$B142)+'LINEST VARS'!$I$68*($O$128*4)+'LINEST VARS'!$H$68*($O$128*0.5)+'LINEST VARS'!$G$68*($O$128*12.73)+'LINEST VARS'!$F$68*($B142*4)+'LINEST VARS'!$E$68*($B142*0.5)+'LINEST VARS'!$D$68*($B142*12.73)+'LINEST VARS'!$C$68*(4*0.5)+'LINEST VARS'!$B$68*(4*12.73)+'LINEST VARS'!$A$68*(0.5*12.73)</f>
        <v>149</v>
      </c>
      <c r="P142" s="46">
        <f>'LINEST VARS'!$U$68+'LINEST VARS'!$T$68*($P$128)+'LINEST VARS'!$S$68*($B142)+'LINEST VARS'!$R$68*(4)+'LINEST VARS'!$Q$68*(0.5)+'LINEST VARS'!$P$68*(12.73)+'LINEST VARS'!$O$68*($P$128^2)+'LINEST VARS'!$N$68*($B142^2)+'LINEST VARS'!$M$68*(4^2)+'LINEST VARS'!$L$68*(0.5^2)+'LINEST VARS'!$K$68*(12.73^2)+'LINEST VARS'!$J$68*($P$128*$B142)+'LINEST VARS'!$I$68*($P$128*4)+'LINEST VARS'!$H$68*($P$128*0.5)+'LINEST VARS'!$G$68*($P$128*12.73)+'LINEST VARS'!$F$68*($B142*4)+'LINEST VARS'!$E$68*($B142*0.5)+'LINEST VARS'!$D$68*($B142*12.73)+'LINEST VARS'!$C$68*(4*0.5)+'LINEST VARS'!$B$68*(4*12.73)+'LINEST VARS'!$A$68*(0.5*12.73)</f>
        <v>149</v>
      </c>
      <c r="Q142" s="46">
        <f>'LINEST VARS'!$U$68+'LINEST VARS'!$T$68*($Q$128)+'LINEST VARS'!$S$68*($B142)+'LINEST VARS'!$R$68*(4)+'LINEST VARS'!$Q$68*(0.5)+'LINEST VARS'!$P$68*(12.73)+'LINEST VARS'!$O$68*($Q$128^2)+'LINEST VARS'!$N$68*($B142^2)+'LINEST VARS'!$M$68*(4^2)+'LINEST VARS'!$L$68*(0.5^2)+'LINEST VARS'!$K$68*(12.73^2)+'LINEST VARS'!$J$68*($Q$128*$B142)+'LINEST VARS'!$I$68*($Q$128*4)+'LINEST VARS'!$H$68*($Q$128*0.5)+'LINEST VARS'!$G$68*($Q$128*12.73)+'LINEST VARS'!$F$68*($B142*4)+'LINEST VARS'!$E$68*($B142*0.5)+'LINEST VARS'!$D$68*($B142*12.73)+'LINEST VARS'!$C$68*(4*0.5)+'LINEST VARS'!$B$68*(4*12.73)+'LINEST VARS'!$A$68*(0.5*12.73)</f>
        <v>149</v>
      </c>
      <c r="R142" s="46">
        <f>'LINEST VARS'!$U$68+'LINEST VARS'!$T$68*($R$128)+'LINEST VARS'!$S$68*($B142)+'LINEST VARS'!$R$68*(4)+'LINEST VARS'!$Q$68*(0.5)+'LINEST VARS'!$P$68*(12.73)+'LINEST VARS'!$O$68*($R$128^2)+'LINEST VARS'!$N$68*($B142^2)+'LINEST VARS'!$M$68*(4^2)+'LINEST VARS'!$L$68*(0.5^2)+'LINEST VARS'!$K$68*(12.73^2)+'LINEST VARS'!$J$68*($R$128*$B142)+'LINEST VARS'!$I$68*($R$128*4)+'LINEST VARS'!$H$68*($R$128*0.5)+'LINEST VARS'!$G$68*($R$128*12.73)+'LINEST VARS'!$F$68*($B142*4)+'LINEST VARS'!$E$68*($B142*0.5)+'LINEST VARS'!$D$68*($B142*12.73)+'LINEST VARS'!$C$68*(4*0.5)+'LINEST VARS'!$B$68*(4*12.73)+'LINEST VARS'!$A$68*(0.5*12.73)</f>
        <v>149</v>
      </c>
      <c r="S142" s="46">
        <f>'LINEST VARS'!$U$68+'LINEST VARS'!$T$68*($S$128)+'LINEST VARS'!$S$68*($B142)+'LINEST VARS'!$R$68*(4)+'LINEST VARS'!$Q$68*(0.5)+'LINEST VARS'!$P$68*(12.73)+'LINEST VARS'!$O$68*($S$128^2)+'LINEST VARS'!$N$68*($B142^2)+'LINEST VARS'!$M$68*(4^2)+'LINEST VARS'!$L$68*(0.5^2)+'LINEST VARS'!$K$68*(12.73^2)+'LINEST VARS'!$J$68*($S$128*$B142)+'LINEST VARS'!$I$68*($S$128*4)+'LINEST VARS'!$H$68*($S$128*0.5)+'LINEST VARS'!$G$68*($S$128*12.73)+'LINEST VARS'!$F$68*($B142*4)+'LINEST VARS'!$E$68*($B142*0.5)+'LINEST VARS'!$D$68*($B142*12.73)+'LINEST VARS'!$C$68*(4*0.5)+'LINEST VARS'!$B$68*(4*12.73)+'LINEST VARS'!$A$68*(0.5*12.73)</f>
        <v>149</v>
      </c>
      <c r="T142" s="46">
        <f>'LINEST VARS'!$U$68+'LINEST VARS'!$T$68*($T$128)+'LINEST VARS'!$S$68*($B142)+'LINEST VARS'!$R$68*(4)+'LINEST VARS'!$Q$68*(0.5)+'LINEST VARS'!$P$68*(12.73)+'LINEST VARS'!$O$68*($T$128^2)+'LINEST VARS'!$N$68*($B142^2)+'LINEST VARS'!$M$68*(4^2)+'LINEST VARS'!$L$68*(0.5^2)+'LINEST VARS'!$K$68*(12.73^2)+'LINEST VARS'!$J$68*($T$128*$B142)+'LINEST VARS'!$I$68*($T$128*4)+'LINEST VARS'!$H$68*($T$128*0.5)+'LINEST VARS'!$G$68*($T$128*12.73)+'LINEST VARS'!$F$68*($B142*4)+'LINEST VARS'!$E$68*($B142*0.5)+'LINEST VARS'!$D$68*($B142*12.73)+'LINEST VARS'!$C$68*(4*0.5)+'LINEST VARS'!$B$68*(4*12.73)+'LINEST VARS'!$A$68*(0.5*12.73)</f>
        <v>149</v>
      </c>
      <c r="U142" s="46">
        <f>'LINEST VARS'!$U$68+'LINEST VARS'!$T$68*($U$128)+'LINEST VARS'!$S$68*($B142)+'LINEST VARS'!$R$68*(4)+'LINEST VARS'!$Q$68*(0.5)+'LINEST VARS'!$P$68*(12.73)+'LINEST VARS'!$O$68*($U$128^2)+'LINEST VARS'!$N$68*($B142^2)+'LINEST VARS'!$M$68*(4^2)+'LINEST VARS'!$L$68*(0.5^2)+'LINEST VARS'!$K$68*(12.73^2)+'LINEST VARS'!$J$68*($U$128*$B142)+'LINEST VARS'!$I$68*($U$128*4)+'LINEST VARS'!$H$68*($U$128*0.5)+'LINEST VARS'!$G$68*($U$128*12.73)+'LINEST VARS'!$F$68*($B142*4)+'LINEST VARS'!$E$68*($B142*0.5)+'LINEST VARS'!$D$68*($B142*12.73)+'LINEST VARS'!$C$68*(4*0.5)+'LINEST VARS'!$B$68*(4*12.73)+'LINEST VARS'!$A$68*(0.5*12.73)</f>
        <v>149</v>
      </c>
      <c r="V142" s="46">
        <f>'LINEST VARS'!$U$68+'LINEST VARS'!$T$68*($V$128)+'LINEST VARS'!$S$68*($B142)+'LINEST VARS'!$R$68*(4)+'LINEST VARS'!$Q$68*(0.5)+'LINEST VARS'!$P$68*(12.73)+'LINEST VARS'!$O$68*($V$128^2)+'LINEST VARS'!$N$68*($B142^2)+'LINEST VARS'!$M$68*(4^2)+'LINEST VARS'!$L$68*(0.5^2)+'LINEST VARS'!$K$68*(12.73^2)+'LINEST VARS'!$J$68*($V$128*$B142)+'LINEST VARS'!$I$68*($V$128*4)+'LINEST VARS'!$H$68*($V$128*0.5)+'LINEST VARS'!$G$68*($V$128*12.73)+'LINEST VARS'!$F$68*($B142*4)+'LINEST VARS'!$E$68*($B142*0.5)+'LINEST VARS'!$D$68*($B142*12.73)+'LINEST VARS'!$C$68*(4*0.5)+'LINEST VARS'!$B$68*(4*12.73)+'LINEST VARS'!$A$68*(0.5*12.73)</f>
        <v>149</v>
      </c>
      <c r="W142" s="47">
        <f>'LINEST VARS'!$U$68+'LINEST VARS'!$T$68*($W$128)+'LINEST VARS'!$S$68*($B142)+'LINEST VARS'!$R$68*(4)+'LINEST VARS'!$Q$68*(0.5)+'LINEST VARS'!$P$68*(12.73)+'LINEST VARS'!$O$68*($W$128^2)+'LINEST VARS'!$N$68*($B142^2)+'LINEST VARS'!$M$68*(4^2)+'LINEST VARS'!$L$68*(0.5^2)+'LINEST VARS'!$K$68*(12.73^2)+'LINEST VARS'!$J$68*($W$128*$B142)+'LINEST VARS'!$I$68*($W$128*4)+'LINEST VARS'!$H$68*($W$128*0.5)+'LINEST VARS'!$G$68*($W$128*12.73)+'LINEST VARS'!$F$68*($B142*4)+'LINEST VARS'!$E$68*($B142*0.5)+'LINEST VARS'!$D$68*($B142*12.73)+'LINEST VARS'!$C$68*(4*0.5)+'LINEST VARS'!$B$68*(4*12.73)+'LINEST VARS'!$A$68*(0.5*12.73)</f>
        <v>149</v>
      </c>
      <c r="Z142" s="45">
        <v>8.18</v>
      </c>
      <c r="AA142" s="46">
        <f>'LINEST VARS'!$U$70+'LINEST VARS'!$T$70*($AA$128)+'LINEST VARS'!$S$70*($Z142)+'LINEST VARS'!$R$70*(4)+'LINEST VARS'!$Q$70*(0.5)+'LINEST VARS'!$P$70*(12.73)+'LINEST VARS'!$O$70*($AA$128^2)+'LINEST VARS'!$N$70*($Z142^2)+'LINEST VARS'!$M$70*(4^2)+'LINEST VARS'!$L$70*(0.5^2)+'LINEST VARS'!$K$70*(12.73^2)+'LINEST VARS'!$J$70*($AA$128*$Z142)+'LINEST VARS'!$I$70*($AA$128*4)+'LINEST VARS'!$H$70*($AA$128*0.5)+'LINEST VARS'!$G$70*($AA$128*12.73)+'LINEST VARS'!$F$70*($Z142*4)+'LINEST VARS'!$E$70*($Z142*0.5)+'LINEST VARS'!$D$70*($Z142*12.73)+'LINEST VARS'!$C$70*(4*0.5)+'LINEST VARS'!$B$70*(4*12.73)+'LINEST VARS'!$A$70*(0.5*12.73)</f>
        <v>88.270000000000024</v>
      </c>
      <c r="AB142" s="46">
        <f>'LINEST VARS'!$U$70+'LINEST VARS'!$T$70*($AB$128)+'LINEST VARS'!$S$70*($Z142)+'LINEST VARS'!$R$70*(4)+'LINEST VARS'!$Q$70*(0.5)+'LINEST VARS'!$P$70*(12.73)+'LINEST VARS'!$O$70*($AB$128^2)+'LINEST VARS'!$N$70*($Z142^2)+'LINEST VARS'!$M$70*(4^2)+'LINEST VARS'!$L$70*(0.5^2)+'LINEST VARS'!$K$70*(12.73^2)+'LINEST VARS'!$J$70*($AB$128*$Z142)+'LINEST VARS'!$I$70*($AB$128*4)+'LINEST VARS'!$H$70*($AB$128*0.5)+'LINEST VARS'!$G$70*($AB$128*12.73)+'LINEST VARS'!$F$70*($Z142*4)+'LINEST VARS'!$E$70*($Z142*0.5)+'LINEST VARS'!$D$70*($Z142*12.73)+'LINEST VARS'!$C$70*(4*0.5)+'LINEST VARS'!$B$70*(4*12.73)+'LINEST VARS'!$A$70*(0.5*12.73)</f>
        <v>88.270000000000024</v>
      </c>
      <c r="AC142" s="46">
        <f>'LINEST VARS'!$U$70+'LINEST VARS'!$T$70*($AC$128)+'LINEST VARS'!$S$70*($Z142)+'LINEST VARS'!$R$70*(4)+'LINEST VARS'!$Q$70*(0.5)+'LINEST VARS'!$P$70*(12.73)+'LINEST VARS'!$O$70*($AC$128^2)+'LINEST VARS'!$N$70*($Z142^2)+'LINEST VARS'!$M$70*(4^2)+'LINEST VARS'!$L$70*(0.5^2)+'LINEST VARS'!$K$70*(12.73^2)+'LINEST VARS'!$J$70*($AC$128*$Z142)+'LINEST VARS'!$I$70*($AC$128*4)+'LINEST VARS'!$H$70*($AC$128*0.5)+'LINEST VARS'!$G$70*($AC$128*12.73)+'LINEST VARS'!$F$70*($Z142*4)+'LINEST VARS'!$E$70*($Z142*0.5)+'LINEST VARS'!$D$70*($Z142*12.73)+'LINEST VARS'!$C$70*(4*0.5)+'LINEST VARS'!$B$70*(4*12.73)+'LINEST VARS'!$A$70*(0.5*12.73)</f>
        <v>88.270000000000024</v>
      </c>
      <c r="AD142" s="46">
        <f>'LINEST VARS'!$U$70+'LINEST VARS'!$T$70*($AD$128)+'LINEST VARS'!$S$70*($Z142)+'LINEST VARS'!$R$70*(4)+'LINEST VARS'!$Q$70*(0.5)+'LINEST VARS'!$P$70*(12.73)+'LINEST VARS'!$O$70*($AD$128^2)+'LINEST VARS'!$N$70*($Z142^2)+'LINEST VARS'!$M$70*(4^2)+'LINEST VARS'!$L$70*(0.5^2)+'LINEST VARS'!$K$70*(12.73^2)+'LINEST VARS'!$J$70*($AD$128*$Z142)+'LINEST VARS'!$I$70*($AD$128*4)+'LINEST VARS'!$H$70*($AD$128*0.5)+'LINEST VARS'!$G$70*($AD$128*12.73)+'LINEST VARS'!$F$70*($Z142*4)+'LINEST VARS'!$E$70*($Z142*0.5)+'LINEST VARS'!$D$70*($Z142*12.73)+'LINEST VARS'!$C$70*(4*0.5)+'LINEST VARS'!$B$70*(4*12.73)+'LINEST VARS'!$A$70*(0.5*12.73)</f>
        <v>88.270000000000024</v>
      </c>
      <c r="AE142" s="46">
        <f>'LINEST VARS'!$U$70+'LINEST VARS'!$T$70*($AE$128)+'LINEST VARS'!$S$70*($Z142)+'LINEST VARS'!$R$70*(4)+'LINEST VARS'!$Q$70*(0.5)+'LINEST VARS'!$P$70*(12.73)+'LINEST VARS'!$O$70*($AE$128^2)+'LINEST VARS'!$N$70*($Z142^2)+'LINEST VARS'!$M$70*(4^2)+'LINEST VARS'!$L$70*(0.5^2)+'LINEST VARS'!$K$70*(12.73^2)+'LINEST VARS'!$J$70*($AE$128*$Z142)+'LINEST VARS'!$I$70*($AE$128*4)+'LINEST VARS'!$H$70*($AE$128*0.5)+'LINEST VARS'!$G$70*($AE$128*12.73)+'LINEST VARS'!$F$70*($Z142*4)+'LINEST VARS'!$E$70*($Z142*0.5)+'LINEST VARS'!$D$70*($Z142*12.73)+'LINEST VARS'!$C$70*(4*0.5)+'LINEST VARS'!$B$70*(4*12.73)+'LINEST VARS'!$A$70*(0.5*12.73)</f>
        <v>88.270000000000024</v>
      </c>
      <c r="AF142" s="46">
        <f>'LINEST VARS'!$U$70+'LINEST VARS'!$T$70*($AF$128)+'LINEST VARS'!$S$70*($Z142)+'LINEST VARS'!$R$70*(4)+'LINEST VARS'!$Q$70*(0.5)+'LINEST VARS'!$P$70*(12.73)+'LINEST VARS'!$O$70*($AF$128^2)+'LINEST VARS'!$N$70*($Z142^2)+'LINEST VARS'!$M$70*(4^2)+'LINEST VARS'!$L$70*(0.5^2)+'LINEST VARS'!$K$70*(12.73^2)+'LINEST VARS'!$J$70*($AF$128*$Z142)+'LINEST VARS'!$I$70*($AF$128*4)+'LINEST VARS'!$H$70*($AF$128*0.5)+'LINEST VARS'!$G$70*($AF$128*12.73)+'LINEST VARS'!$F$70*($Z142*4)+'LINEST VARS'!$E$70*($Z142*0.5)+'LINEST VARS'!$D$70*($Z142*12.73)+'LINEST VARS'!$C$70*(4*0.5)+'LINEST VARS'!$B$70*(4*12.73)+'LINEST VARS'!$A$70*(0.5*12.73)</f>
        <v>88.270000000000024</v>
      </c>
      <c r="AG142" s="46">
        <f>'LINEST VARS'!$U$70+'LINEST VARS'!$T$70*($AG$128)+'LINEST VARS'!$S$70*($Z142)+'LINEST VARS'!$R$70*(4)+'LINEST VARS'!$Q$70*(0.5)+'LINEST VARS'!$P$70*(12.73)+'LINEST VARS'!$O$70*($AG$128^2)+'LINEST VARS'!$N$70*($Z142^2)+'LINEST VARS'!$M$70*(4^2)+'LINEST VARS'!$L$70*(0.5^2)+'LINEST VARS'!$K$70*(12.73^2)+'LINEST VARS'!$J$70*($AG$128*$Z142)+'LINEST VARS'!$I$70*($AG$128*4)+'LINEST VARS'!$H$70*($AG$128*0.5)+'LINEST VARS'!$G$70*($AG$128*12.73)+'LINEST VARS'!$F$70*($Z142*4)+'LINEST VARS'!$E$70*($Z142*0.5)+'LINEST VARS'!$D$70*($Z142*12.73)+'LINEST VARS'!$C$70*(4*0.5)+'LINEST VARS'!$B$70*(4*12.73)+'LINEST VARS'!$A$70*(0.5*12.73)</f>
        <v>88.270000000000024</v>
      </c>
      <c r="AH142" s="46">
        <f>'LINEST VARS'!$U$70+'LINEST VARS'!$T$70*($AH$128)+'LINEST VARS'!$S$70*($Z142)+'LINEST VARS'!$R$70*(4)+'LINEST VARS'!$Q$70*(0.5)+'LINEST VARS'!$P$70*(12.73)+'LINEST VARS'!$O$70*($AH$128^2)+'LINEST VARS'!$N$70*($Z142^2)+'LINEST VARS'!$M$70*(4^2)+'LINEST VARS'!$L$70*(0.5^2)+'LINEST VARS'!$K$70*(12.73^2)+'LINEST VARS'!$J$70*($AH$128*$Z142)+'LINEST VARS'!$I$70*($AH$128*4)+'LINEST VARS'!$H$70*($AH$128*0.5)+'LINEST VARS'!$G$70*($AH$128*12.73)+'LINEST VARS'!$F$70*($Z142*4)+'LINEST VARS'!$E$70*($Z142*0.5)+'LINEST VARS'!$D$70*($Z142*12.73)+'LINEST VARS'!$C$70*(4*0.5)+'LINEST VARS'!$B$70*(4*12.73)+'LINEST VARS'!$A$70*(0.5*12.73)</f>
        <v>88.270000000000024</v>
      </c>
      <c r="AI142" s="46">
        <f>'LINEST VARS'!$U$70+'LINEST VARS'!$T$70*($AI$128)+'LINEST VARS'!$S$70*($Z142)+'LINEST VARS'!$R$70*(4)+'LINEST VARS'!$Q$70*(0.5)+'LINEST VARS'!$P$70*(12.73)+'LINEST VARS'!$O$70*($AI$128^2)+'LINEST VARS'!$N$70*($Z142^2)+'LINEST VARS'!$M$70*(4^2)+'LINEST VARS'!$L$70*(0.5^2)+'LINEST VARS'!$K$70*(12.73^2)+'LINEST VARS'!$J$70*($AI$128*$Z142)+'LINEST VARS'!$I$70*($AI$128*4)+'LINEST VARS'!$H$70*($AI$128*0.5)+'LINEST VARS'!$G$70*($AI$128*12.73)+'LINEST VARS'!$F$70*($Z142*4)+'LINEST VARS'!$E$70*($Z142*0.5)+'LINEST VARS'!$D$70*($Z142*12.73)+'LINEST VARS'!$C$70*(4*0.5)+'LINEST VARS'!$B$70*(4*12.73)+'LINEST VARS'!$A$70*(0.5*12.73)</f>
        <v>88.270000000000024</v>
      </c>
      <c r="AJ142" s="46">
        <f>'LINEST VARS'!$U$70+'LINEST VARS'!$T$70*($AJ$128)+'LINEST VARS'!$S$70*($Z142)+'LINEST VARS'!$R$70*(4)+'LINEST VARS'!$Q$70*(0.5)+'LINEST VARS'!$P$70*(12.73)+'LINEST VARS'!$O$70*($AJ$128^2)+'LINEST VARS'!$N$70*($Z142^2)+'LINEST VARS'!$M$70*(4^2)+'LINEST VARS'!$L$70*(0.5^2)+'LINEST VARS'!$K$70*(12.73^2)+'LINEST VARS'!$J$70*($AJ$128*$Z142)+'LINEST VARS'!$I$70*($AJ$128*4)+'LINEST VARS'!$H$70*($AJ$128*0.5)+'LINEST VARS'!$G$70*($AJ$128*12.73)+'LINEST VARS'!$F$70*($Z142*4)+'LINEST VARS'!$E$70*($Z142*0.5)+'LINEST VARS'!$D$70*($Z142*12.73)+'LINEST VARS'!$C$70*(4*0.5)+'LINEST VARS'!$B$70*(4*12.73)+'LINEST VARS'!$A$70*(0.5*12.73)</f>
        <v>88.270000000000024</v>
      </c>
      <c r="AK142" s="46">
        <f>'LINEST VARS'!$U$70+'LINEST VARS'!$T$70*($AK$128)+'LINEST VARS'!$S$70*($Z142)+'LINEST VARS'!$R$70*(4)+'LINEST VARS'!$Q$70*(0.5)+'LINEST VARS'!$P$70*(12.73)+'LINEST VARS'!$O$70*($AK$128^2)+'LINEST VARS'!$N$70*($Z142^2)+'LINEST VARS'!$M$70*(4^2)+'LINEST VARS'!$L$70*(0.5^2)+'LINEST VARS'!$K$70*(12.73^2)+'LINEST VARS'!$J$70*($AK$128*$Z142)+'LINEST VARS'!$I$70*($AK$128*4)+'LINEST VARS'!$H$70*($AK$128*0.5)+'LINEST VARS'!$G$70*($AK$128*12.73)+'LINEST VARS'!$F$70*($Z142*4)+'LINEST VARS'!$E$70*($Z142*0.5)+'LINEST VARS'!$D$70*($Z142*12.73)+'LINEST VARS'!$C$70*(4*0.5)+'LINEST VARS'!$B$70*(4*12.73)+'LINEST VARS'!$A$70*(0.5*12.73)</f>
        <v>88.270000000000024</v>
      </c>
      <c r="AL142" s="46">
        <f>'LINEST VARS'!$U$70+'LINEST VARS'!$T$70*($AL$128)+'LINEST VARS'!$S$70*($Z142)+'LINEST VARS'!$R$70*(4)+'LINEST VARS'!$Q$70*(0.5)+'LINEST VARS'!$P$70*(12.73)+'LINEST VARS'!$O$70*($AL$128^2)+'LINEST VARS'!$N$70*($Z142^2)+'LINEST VARS'!$M$70*(4^2)+'LINEST VARS'!$L$70*(0.5^2)+'LINEST VARS'!$K$70*(12.73^2)+'LINEST VARS'!$J$70*($AL$128*$Z142)+'LINEST VARS'!$I$70*($AL$128*4)+'LINEST VARS'!$H$70*($AL$128*0.5)+'LINEST VARS'!$G$70*($AL$128*12.73)+'LINEST VARS'!$F$70*($Z142*4)+'LINEST VARS'!$E$70*($Z142*0.5)+'LINEST VARS'!$D$70*($Z142*12.73)+'LINEST VARS'!$C$70*(4*0.5)+'LINEST VARS'!$B$70*(4*12.73)+'LINEST VARS'!$A$70*(0.5*12.73)</f>
        <v>88.270000000000024</v>
      </c>
      <c r="AM142" s="46">
        <f>'LINEST VARS'!$U$70+'LINEST VARS'!$T$70*($AM$128)+'LINEST VARS'!$S$70*($Z142)+'LINEST VARS'!$R$70*(4)+'LINEST VARS'!$Q$70*(0.5)+'LINEST VARS'!$P$70*(12.73)+'LINEST VARS'!$O$70*($AM$128^2)+'LINEST VARS'!$N$70*($Z142^2)+'LINEST VARS'!$M$70*(4^2)+'LINEST VARS'!$L$70*(0.5^2)+'LINEST VARS'!$K$70*(12.73^2)+'LINEST VARS'!$J$70*($AM$128*$Z142)+'LINEST VARS'!$I$70*($AM$128*4)+'LINEST VARS'!$H$70*($AM$128*0.5)+'LINEST VARS'!$G$70*($AM$128*12.73)+'LINEST VARS'!$F$70*($Z142*4)+'LINEST VARS'!$E$70*($Z142*0.5)+'LINEST VARS'!$D$70*($Z142*12.73)+'LINEST VARS'!$C$70*(4*0.5)+'LINEST VARS'!$B$70*(4*12.73)+'LINEST VARS'!$A$70*(0.5*12.73)</f>
        <v>88.270000000000024</v>
      </c>
      <c r="AN142" s="46">
        <f>'LINEST VARS'!$U$70+'LINEST VARS'!$T$70*($AN$128)+'LINEST VARS'!$S$70*($Z142)+'LINEST VARS'!$R$70*(4)+'LINEST VARS'!$Q$70*(0.5)+'LINEST VARS'!$P$70*(12.73)+'LINEST VARS'!$O$70*($AN$128^2)+'LINEST VARS'!$N$70*($Z142^2)+'LINEST VARS'!$M$70*(4^2)+'LINEST VARS'!$L$70*(0.5^2)+'LINEST VARS'!$K$70*(12.73^2)+'LINEST VARS'!$J$70*($AN$128*$Z142)+'LINEST VARS'!$I$70*($AN$128*4)+'LINEST VARS'!$H$70*($AN$128*0.5)+'LINEST VARS'!$G$70*($AN$128*12.73)+'LINEST VARS'!$F$70*($Z142*4)+'LINEST VARS'!$E$70*($Z142*0.5)+'LINEST VARS'!$D$70*($Z142*12.73)+'LINEST VARS'!$C$70*(4*0.5)+'LINEST VARS'!$B$70*(4*12.73)+'LINEST VARS'!$A$70*(0.5*12.73)</f>
        <v>88.270000000000024</v>
      </c>
      <c r="AO142" s="46">
        <f>'LINEST VARS'!$U$70+'LINEST VARS'!$T$70*($AO$128)+'LINEST VARS'!$S$70*($Z142)+'LINEST VARS'!$R$70*(4)+'LINEST VARS'!$Q$70*(0.5)+'LINEST VARS'!$P$70*(12.73)+'LINEST VARS'!$O$70*($AO$128^2)+'LINEST VARS'!$N$70*($Z142^2)+'LINEST VARS'!$M$70*(4^2)+'LINEST VARS'!$L$70*(0.5^2)+'LINEST VARS'!$K$70*(12.73^2)+'LINEST VARS'!$J$70*($AO$128*$Z142)+'LINEST VARS'!$I$70*($AO$128*4)+'LINEST VARS'!$H$70*($AO$128*0.5)+'LINEST VARS'!$G$70*($AO$128*12.73)+'LINEST VARS'!$F$70*($Z142*4)+'LINEST VARS'!$E$70*($Z142*0.5)+'LINEST VARS'!$D$70*($Z142*12.73)+'LINEST VARS'!$C$70*(4*0.5)+'LINEST VARS'!$B$70*(4*12.73)+'LINEST VARS'!$A$70*(0.5*12.73)</f>
        <v>88.270000000000024</v>
      </c>
      <c r="AP142" s="46">
        <f>'LINEST VARS'!$U$70+'LINEST VARS'!$T$70*($AP$128)+'LINEST VARS'!$S$70*($Z142)+'LINEST VARS'!$R$70*(4)+'LINEST VARS'!$Q$70*(0.5)+'LINEST VARS'!$P$70*(12.73)+'LINEST VARS'!$O$70*($AP$128^2)+'LINEST VARS'!$N$70*($Z142^2)+'LINEST VARS'!$M$70*(4^2)+'LINEST VARS'!$L$70*(0.5^2)+'LINEST VARS'!$K$70*(12.73^2)+'LINEST VARS'!$J$70*($AP$128*$Z142)+'LINEST VARS'!$I$70*($AP$128*4)+'LINEST VARS'!$H$70*($AP$128*0.5)+'LINEST VARS'!$G$70*($AP$128*12.73)+'LINEST VARS'!$F$70*($Z142*4)+'LINEST VARS'!$E$70*($Z142*0.5)+'LINEST VARS'!$D$70*($Z142*12.73)+'LINEST VARS'!$C$70*(4*0.5)+'LINEST VARS'!$B$70*(4*12.73)+'LINEST VARS'!$A$70*(0.5*12.73)</f>
        <v>88.270000000000024</v>
      </c>
      <c r="AQ142" s="46">
        <f>'LINEST VARS'!$U$70+'LINEST VARS'!$T$70*($AQ$128)+'LINEST VARS'!$S$70*($Z142)+'LINEST VARS'!$R$70*(4)+'LINEST VARS'!$Q$70*(0.5)+'LINEST VARS'!$P$70*(12.73)+'LINEST VARS'!$O$70*($AQ$128^2)+'LINEST VARS'!$N$70*($Z142^2)+'LINEST VARS'!$M$70*(4^2)+'LINEST VARS'!$L$70*(0.5^2)+'LINEST VARS'!$K$70*(12.73^2)+'LINEST VARS'!$J$70*($AQ$128*$Z142)+'LINEST VARS'!$I$70*($AQ$128*4)+'LINEST VARS'!$H$70*($AQ$128*0.5)+'LINEST VARS'!$G$70*($AQ$128*12.73)+'LINEST VARS'!$F$70*($Z142*4)+'LINEST VARS'!$E$70*($Z142*0.5)+'LINEST VARS'!$D$70*($Z142*12.73)+'LINEST VARS'!$C$70*(4*0.5)+'LINEST VARS'!$B$70*(4*12.73)+'LINEST VARS'!$A$70*(0.5*12.73)</f>
        <v>88.270000000000024</v>
      </c>
      <c r="AR142" s="46">
        <f>'LINEST VARS'!$U$70+'LINEST VARS'!$T$70*($AR$128)+'LINEST VARS'!$S$70*($Z142)+'LINEST VARS'!$R$70*(4)+'LINEST VARS'!$Q$70*(0.5)+'LINEST VARS'!$P$70*(12.73)+'LINEST VARS'!$O$70*($AR$128^2)+'LINEST VARS'!$N$70*($Z142^2)+'LINEST VARS'!$M$70*(4^2)+'LINEST VARS'!$L$70*(0.5^2)+'LINEST VARS'!$K$70*(12.73^2)+'LINEST VARS'!$J$70*($AR$128*$Z142)+'LINEST VARS'!$I$70*($AR$128*4)+'LINEST VARS'!$H$70*($AR$128*0.5)+'LINEST VARS'!$G$70*($AR$128*12.73)+'LINEST VARS'!$F$70*($Z142*4)+'LINEST VARS'!$E$70*($Z142*0.5)+'LINEST VARS'!$D$70*($Z142*12.73)+'LINEST VARS'!$C$70*(4*0.5)+'LINEST VARS'!$B$70*(4*12.73)+'LINEST VARS'!$A$70*(0.5*12.73)</f>
        <v>88.270000000000024</v>
      </c>
      <c r="AS142" s="46">
        <f>'LINEST VARS'!$U$70+'LINEST VARS'!$T$70*($AS$128)+'LINEST VARS'!$S$70*($Z142)+'LINEST VARS'!$R$70*(4)+'LINEST VARS'!$Q$70*(0.5)+'LINEST VARS'!$P$70*(12.73)+'LINEST VARS'!$O$70*($AS$128^2)+'LINEST VARS'!$N$70*($Z142^2)+'LINEST VARS'!$M$70*(4^2)+'LINEST VARS'!$L$70*(0.5^2)+'LINEST VARS'!$K$70*(12.73^2)+'LINEST VARS'!$J$70*($AS$128*$Z142)+'LINEST VARS'!$I$70*($AS$128*4)+'LINEST VARS'!$H$70*($AS$128*0.5)+'LINEST VARS'!$G$70*($AS$128*12.73)+'LINEST VARS'!$F$70*($Z142*4)+'LINEST VARS'!$E$70*($Z142*0.5)+'LINEST VARS'!$D$70*($Z142*12.73)+'LINEST VARS'!$C$70*(4*0.5)+'LINEST VARS'!$B$70*(4*12.73)+'LINEST VARS'!$A$70*(0.5*12.73)</f>
        <v>88.270000000000024</v>
      </c>
      <c r="AT142" s="46">
        <f>'LINEST VARS'!$U$70+'LINEST VARS'!$T$70*($AT$128)+'LINEST VARS'!$S$70*($Z142)+'LINEST VARS'!$R$70*(4)+'LINEST VARS'!$Q$70*(0.5)+'LINEST VARS'!$P$70*(12.73)+'LINEST VARS'!$O$70*($AT$128^2)+'LINEST VARS'!$N$70*($Z142^2)+'LINEST VARS'!$M$70*(4^2)+'LINEST VARS'!$L$70*(0.5^2)+'LINEST VARS'!$K$70*(12.73^2)+'LINEST VARS'!$J$70*($AT$128*$Z142)+'LINEST VARS'!$I$70*($AT$128*4)+'LINEST VARS'!$H$70*($AT$128*0.5)+'LINEST VARS'!$G$70*($AT$128*12.73)+'LINEST VARS'!$F$70*($Z142*4)+'LINEST VARS'!$E$70*($Z142*0.5)+'LINEST VARS'!$D$70*($Z142*12.73)+'LINEST VARS'!$C$70*(4*0.5)+'LINEST VARS'!$B$70*(4*12.73)+'LINEST VARS'!$A$70*(0.5*12.73)</f>
        <v>88.270000000000024</v>
      </c>
      <c r="AU142" s="47">
        <f>'LINEST VARS'!$U$70+'LINEST VARS'!$T$70*($AU$128)+'LINEST VARS'!$S$70*($Z142)+'LINEST VARS'!$R$70*(4)+'LINEST VARS'!$Q$70*(0.5)+'LINEST VARS'!$P$70*(12.73)+'LINEST VARS'!$O$70*($AU$128^2)+'LINEST VARS'!$N$70*($Z142^2)+'LINEST VARS'!$M$70*(4^2)+'LINEST VARS'!$L$70*(0.5^2)+'LINEST VARS'!$K$70*(12.73^2)+'LINEST VARS'!$J$70*($AU$128*$Z142)+'LINEST VARS'!$I$70*($AU$128*4)+'LINEST VARS'!$H$70*($AU$128*0.5)+'LINEST VARS'!$G$70*($AU$128*12.73)+'LINEST VARS'!$F$70*($Z142*4)+'LINEST VARS'!$E$70*($Z142*0.5)+'LINEST VARS'!$D$70*($Z142*12.73)+'LINEST VARS'!$C$70*(4*0.5)+'LINEST VARS'!$B$70*(4*12.73)+'LINEST VARS'!$A$70*(0.5*12.73)</f>
        <v>88.270000000000024</v>
      </c>
      <c r="AZ142" s="45">
        <v>0.65</v>
      </c>
      <c r="BA142" s="46">
        <f>'LINEST VARS'!$U$68+'LINEST VARS'!$T$68*(8)+'LINEST VARS'!$S$68*(8)+'LINEST VARS'!$R$68*($BA$128)+'LINEST VARS'!$Q$68*($AZ142)+'LINEST VARS'!$P$68*(12.73)+'LINEST VARS'!$O$68*(8^2)+'LINEST VARS'!$N$68*(8^2)+'LINEST VARS'!$M$68*($BA$128^2)+'LINEST VARS'!$L$68*($AZ142^2)+'LINEST VARS'!$K$68*(12.73^2)+'LINEST VARS'!$J$68*(8*8)+'LINEST VARS'!$I$68*(8*$BA$128)+'LINEST VARS'!$H$68*(8*$AZ142)+'LINEST VARS'!$G$68*(8*12.73)+'LINEST VARS'!$F$68*(8*$BA$128)+'LINEST VARS'!$E$68*(8*$AZ142)+'LINEST VARS'!$D$68*(8*12.73)+'LINEST VARS'!$C$68*($BA$128*$AZ142)+'LINEST VARS'!$B$68*($BA$128*12.73)+'LINEST VARS'!$A$68*($AZ142*12.73)</f>
        <v>148.31</v>
      </c>
      <c r="BB142" s="46">
        <f>'LINEST VARS'!$U$68+'LINEST VARS'!$T$68*(8)+'LINEST VARS'!$S$68*(8)+'LINEST VARS'!$R$68*($BB$128)+'LINEST VARS'!$Q$68*($AZ142)+'LINEST VARS'!$P$68*(12.73)+'LINEST VARS'!$O$68*(8^2)+'LINEST VARS'!$N$68*(8^2)+'LINEST VARS'!$M$68*($BB$128^2)+'LINEST VARS'!$L$68*($AZ142^2)+'LINEST VARS'!$K$68*(12.73^2)+'LINEST VARS'!$J$68*(8*8)+'LINEST VARS'!$I$68*(8*$BB$128)+'LINEST VARS'!$H$68*(8*$AZ142)+'LINEST VARS'!$G$68*(8*12.73)+'LINEST VARS'!$F$68*(8*$BB$128)+'LINEST VARS'!$E$68*(8*$AZ142)+'LINEST VARS'!$D$68*(8*12.73)+'LINEST VARS'!$C$68*($BB$128*$AZ142)+'LINEST VARS'!$B$68*($BB$128*12.73)+'LINEST VARS'!$A$68*($AZ142*12.73)</f>
        <v>148.31</v>
      </c>
      <c r="BC142" s="46">
        <f>'LINEST VARS'!$U$68+'LINEST VARS'!$T$68*(8)+'LINEST VARS'!$S$68*(8)+'LINEST VARS'!$R$68*($BC$128)+'LINEST VARS'!$Q$68*($AZ142)+'LINEST VARS'!$P$68*(12.73)+'LINEST VARS'!$O$68*(8^2)+'LINEST VARS'!$N$68*(8^2)+'LINEST VARS'!$M$68*($BC$128^2)+'LINEST VARS'!$L$68*($AZ142^2)+'LINEST VARS'!$K$68*(12.73^2)+'LINEST VARS'!$J$68*(8*8)+'LINEST VARS'!$I$68*(8*$BC$128)+'LINEST VARS'!$H$68*(8*$AZ142)+'LINEST VARS'!$G$68*(8*12.73)+'LINEST VARS'!$F$68*(8*$BC$128)+'LINEST VARS'!$E$68*(8*$AZ142)+'LINEST VARS'!$D$68*(8*12.73)+'LINEST VARS'!$C$68*($BC$128*$AZ142)+'LINEST VARS'!$B$68*($BC$128*12.73)+'LINEST VARS'!$A$68*($AZ142*12.73)</f>
        <v>148.31</v>
      </c>
      <c r="BD142" s="46">
        <f>'LINEST VARS'!$U$68+'LINEST VARS'!$T$68*(8)+'LINEST VARS'!$S$68*(8)+'LINEST VARS'!$R$68*($BD$128)+'LINEST VARS'!$Q$68*($AZ142)+'LINEST VARS'!$P$68*(12.73)+'LINEST VARS'!$O$68*(8^2)+'LINEST VARS'!$N$68*(8^2)+'LINEST VARS'!$M$68*($BD$128^2)+'LINEST VARS'!$L$68*($AZ142^2)+'LINEST VARS'!$K$68*(12.73^2)+'LINEST VARS'!$J$68*(8*8)+'LINEST VARS'!$I$68*(8*$BD$128)+'LINEST VARS'!$H$68*(8*$AZ142)+'LINEST VARS'!$G$68*(8*12.73)+'LINEST VARS'!$F$68*(8*$BD$128)+'LINEST VARS'!$E$68*(8*$AZ142)+'LINEST VARS'!$D$68*(8*12.73)+'LINEST VARS'!$C$68*($BD$128*$AZ142)+'LINEST VARS'!$B$68*($BD$128*12.73)+'LINEST VARS'!$A$68*($AZ142*12.73)</f>
        <v>148.31</v>
      </c>
      <c r="BE142" s="46">
        <f>'LINEST VARS'!$U$68+'LINEST VARS'!$T$68*(8)+'LINEST VARS'!$S$68*(8)+'LINEST VARS'!$R$68*($BE$128)+'LINEST VARS'!$Q$68*($AZ142)+'LINEST VARS'!$P$68*(12.73)+'LINEST VARS'!$O$68*(8^2)+'LINEST VARS'!$N$68*(8^2)+'LINEST VARS'!$M$68*($BE$128^2)+'LINEST VARS'!$L$68*($AZ142^2)+'LINEST VARS'!$K$68*(12.73^2)+'LINEST VARS'!$J$68*(8*8)+'LINEST VARS'!$I$68*(8*$BE$128)+'LINEST VARS'!$H$68*(8*$AZ142)+'LINEST VARS'!$G$68*(8*12.73)+'LINEST VARS'!$F$68*(8*$BE$128)+'LINEST VARS'!$E$68*(8*$AZ142)+'LINEST VARS'!$D$68*(8*12.73)+'LINEST VARS'!$C$68*($BE$128*$AZ142)+'LINEST VARS'!$B$68*($BE$128*12.73)+'LINEST VARS'!$A$68*($AZ142*12.73)</f>
        <v>148.31</v>
      </c>
      <c r="BF142" s="46">
        <f>'LINEST VARS'!$U$68+'LINEST VARS'!$T$68*(8)+'LINEST VARS'!$S$68*(8)+'LINEST VARS'!$R$68*($BF$128)+'LINEST VARS'!$Q$68*($AZ142)+'LINEST VARS'!$P$68*(12.73)+'LINEST VARS'!$O$68*(8^2)+'LINEST VARS'!$N$68*(8^2)+'LINEST VARS'!$M$68*($BF$128^2)+'LINEST VARS'!$L$68*($AZ142^2)+'LINEST VARS'!$K$68*(12.73^2)+'LINEST VARS'!$J$68*(8*8)+'LINEST VARS'!$I$68*(8*$BF$128)+'LINEST VARS'!$H$68*(8*$AZ142)+'LINEST VARS'!$G$68*(8*12.73)+'LINEST VARS'!$F$68*(8*$BF$128)+'LINEST VARS'!$E$68*(8*$AZ142)+'LINEST VARS'!$D$68*(8*12.73)+'LINEST VARS'!$C$68*($BF$128*$AZ142)+'LINEST VARS'!$B$68*($BF$128*12.73)+'LINEST VARS'!$A$68*($AZ142*12.73)</f>
        <v>148.31</v>
      </c>
      <c r="BG142" s="46">
        <f>'LINEST VARS'!$U$68+'LINEST VARS'!$T$68*(8)+'LINEST VARS'!$S$68*(8)+'LINEST VARS'!$R$68*($BG$128)+'LINEST VARS'!$Q$68*($AZ142)+'LINEST VARS'!$P$68*(12.73)+'LINEST VARS'!$O$68*(8^2)+'LINEST VARS'!$N$68*(8^2)+'LINEST VARS'!$M$68*($BG$128^2)+'LINEST VARS'!$L$68*($AZ142^2)+'LINEST VARS'!$K$68*(12.73^2)+'LINEST VARS'!$J$68*(8*8)+'LINEST VARS'!$I$68*(8*$BG$128)+'LINEST VARS'!$H$68*(8*$AZ142)+'LINEST VARS'!$G$68*(8*12.73)+'LINEST VARS'!$F$68*(8*$BG$128)+'LINEST VARS'!$E$68*(8*$AZ142)+'LINEST VARS'!$D$68*(8*12.73)+'LINEST VARS'!$C$68*($BG$128*$AZ142)+'LINEST VARS'!$B$68*($BG$128*12.73)+'LINEST VARS'!$A$68*($AZ142*12.73)</f>
        <v>148.31</v>
      </c>
      <c r="BH142" s="46">
        <f>'LINEST VARS'!$U$68+'LINEST VARS'!$T$68*(8)+'LINEST VARS'!$S$68*(8)+'LINEST VARS'!$R$68*($BH$128)+'LINEST VARS'!$Q$68*($AZ142)+'LINEST VARS'!$P$68*(12.73)+'LINEST VARS'!$O$68*(8^2)+'LINEST VARS'!$N$68*(8^2)+'LINEST VARS'!$M$68*($BH$128^2)+'LINEST VARS'!$L$68*($AZ142^2)+'LINEST VARS'!$K$68*(12.73^2)+'LINEST VARS'!$J$68*(8*8)+'LINEST VARS'!$I$68*(8*$BH$128)+'LINEST VARS'!$H$68*(8*$AZ142)+'LINEST VARS'!$G$68*(8*12.73)+'LINEST VARS'!$F$68*(8*$BH$128)+'LINEST VARS'!$E$68*(8*$AZ142)+'LINEST VARS'!$D$68*(8*12.73)+'LINEST VARS'!$C$68*($BH$128*$AZ142)+'LINEST VARS'!$B$68*($BH$128*12.73)+'LINEST VARS'!$A$68*($AZ142*12.73)</f>
        <v>148.31</v>
      </c>
      <c r="BI142" s="46">
        <f>'LINEST VARS'!$U$68+'LINEST VARS'!$T$68*(8)+'LINEST VARS'!$S$68*(8)+'LINEST VARS'!$R$68*($BI$128)+'LINEST VARS'!$Q$68*($AZ142)+'LINEST VARS'!$P$68*(12.73)+'LINEST VARS'!$O$68*(8^2)+'LINEST VARS'!$N$68*(8^2)+'LINEST VARS'!$M$68*($BI$128^2)+'LINEST VARS'!$L$68*($AZ142^2)+'LINEST VARS'!$K$68*(12.73^2)+'LINEST VARS'!$J$68*(8*8)+'LINEST VARS'!$I$68*(8*$BI$128)+'LINEST VARS'!$H$68*(8*$AZ142)+'LINEST VARS'!$G$68*(8*12.73)+'LINEST VARS'!$F$68*(8*$BI$128)+'LINEST VARS'!$E$68*(8*$AZ142)+'LINEST VARS'!$D$68*(8*12.73)+'LINEST VARS'!$C$68*($BI$128*$AZ142)+'LINEST VARS'!$B$68*($BI$128*12.73)+'LINEST VARS'!$A$68*($AZ142*12.73)</f>
        <v>148.31</v>
      </c>
      <c r="BJ142" s="46">
        <f>'LINEST VARS'!$U$68+'LINEST VARS'!$T$68*(8)+'LINEST VARS'!$S$68*(8)+'LINEST VARS'!$R$68*($BJ$128)+'LINEST VARS'!$Q$68*($AZ142)+'LINEST VARS'!$P$68*(12.73)+'LINEST VARS'!$O$68*(8^2)+'LINEST VARS'!$N$68*(8^2)+'LINEST VARS'!$M$68*($BJ$128^2)+'LINEST VARS'!$L$68*($AZ142^2)+'LINEST VARS'!$K$68*(12.73^2)+'LINEST VARS'!$J$68*(8*8)+'LINEST VARS'!$I$68*(8*$BJ$128)+'LINEST VARS'!$H$68*(8*$AZ142)+'LINEST VARS'!$G$68*(8*12.73)+'LINEST VARS'!$F$68*(8*$BJ$128)+'LINEST VARS'!$E$68*(8*$AZ142)+'LINEST VARS'!$D$68*(8*12.73)+'LINEST VARS'!$C$68*($BJ$128*$AZ142)+'LINEST VARS'!$B$68*($BJ$128*12.73)+'LINEST VARS'!$A$68*($AZ142*12.73)</f>
        <v>148.31</v>
      </c>
      <c r="BK142" s="46">
        <f>'LINEST VARS'!$U$68+'LINEST VARS'!$T$68*(8)+'LINEST VARS'!$S$68*(8)+'LINEST VARS'!$R$68*($BK$128)+'LINEST VARS'!$Q$68*($AZ142)+'LINEST VARS'!$P$68*(12.73)+'LINEST VARS'!$O$68*(8^2)+'LINEST VARS'!$N$68*(8^2)+'LINEST VARS'!$M$68*($BK$128^2)+'LINEST VARS'!$L$68*($AZ142^2)+'LINEST VARS'!$K$68*(12.73^2)+'LINEST VARS'!$J$68*(8*8)+'LINEST VARS'!$I$68*(8*$BK$128)+'LINEST VARS'!$H$68*(8*$AZ142)+'LINEST VARS'!$G$68*(8*12.73)+'LINEST VARS'!$F$68*(8*$BK$128)+'LINEST VARS'!$E$68*(8*$AZ142)+'LINEST VARS'!$D$68*(8*12.73)+'LINEST VARS'!$C$68*($BK$128*$AZ142)+'LINEST VARS'!$B$68*($BK$128*12.73)+'LINEST VARS'!$A$68*($AZ142*12.73)</f>
        <v>148.31</v>
      </c>
      <c r="BL142" s="46">
        <f>'LINEST VARS'!$U$68+'LINEST VARS'!$T$68*(8)+'LINEST VARS'!$S$68*(8)+'LINEST VARS'!$R$68*($BL$128)+'LINEST VARS'!$Q$68*($AZ142)+'LINEST VARS'!$P$68*(12.73)+'LINEST VARS'!$O$68*(8^2)+'LINEST VARS'!$N$68*(8^2)+'LINEST VARS'!$M$68*($BL$128^2)+'LINEST VARS'!$L$68*($AZ142^2)+'LINEST VARS'!$K$68*(12.73^2)+'LINEST VARS'!$J$68*(8*8)+'LINEST VARS'!$I$68*(8*$BL$128)+'LINEST VARS'!$H$68*(8*$AZ142)+'LINEST VARS'!$G$68*(8*12.73)+'LINEST VARS'!$F$68*(8*$BL$128)+'LINEST VARS'!$E$68*(8*$AZ142)+'LINEST VARS'!$D$68*(8*12.73)+'LINEST VARS'!$C$68*($BL$128*$AZ142)+'LINEST VARS'!$B$68*($BL$128*12.73)+'LINEST VARS'!$A$68*($AZ142*12.73)</f>
        <v>148.31</v>
      </c>
      <c r="BM142" s="46">
        <f>'LINEST VARS'!$U$68+'LINEST VARS'!$T$68*(8)+'LINEST VARS'!$S$68*(8)+'LINEST VARS'!$R$68*($BM$128)+'LINEST VARS'!$Q$68*($AZ142)+'LINEST VARS'!$P$68*(12.73)+'LINEST VARS'!$O$68*(8^2)+'LINEST VARS'!$N$68*(8^2)+'LINEST VARS'!$M$68*($BM$128^2)+'LINEST VARS'!$L$68*($AZ142^2)+'LINEST VARS'!$K$68*(12.73^2)+'LINEST VARS'!$J$68*(8*8)+'LINEST VARS'!$I$68*(8*$BM$128)+'LINEST VARS'!$H$68*(8*$AZ142)+'LINEST VARS'!$G$68*(8*12.73)+'LINEST VARS'!$F$68*(8*$BM$128)+'LINEST VARS'!$E$68*(8*$AZ142)+'LINEST VARS'!$D$68*(8*12.73)+'LINEST VARS'!$C$68*($BM$128*$AZ142)+'LINEST VARS'!$B$68*($BM$128*12.73)+'LINEST VARS'!$A$68*($AZ142*12.73)</f>
        <v>148.31</v>
      </c>
      <c r="BN142" s="46">
        <f>'LINEST VARS'!$U$68+'LINEST VARS'!$T$68*(8)+'LINEST VARS'!$S$68*(8)+'LINEST VARS'!$R$68*($BN$128)+'LINEST VARS'!$Q$68*($AZ142)+'LINEST VARS'!$P$68*(12.73)+'LINEST VARS'!$O$68*(8^2)+'LINEST VARS'!$N$68*(8^2)+'LINEST VARS'!$M$68*($BN$128^2)+'LINEST VARS'!$L$68*($AZ142^2)+'LINEST VARS'!$K$68*(12.73^2)+'LINEST VARS'!$J$68*(8*8)+'LINEST VARS'!$I$68*(8*$BN$128)+'LINEST VARS'!$H$68*(8*$AZ142)+'LINEST VARS'!$G$68*(8*12.73)+'LINEST VARS'!$F$68*(8*$BN$128)+'LINEST VARS'!$E$68*(8*$AZ142)+'LINEST VARS'!$D$68*(8*12.73)+'LINEST VARS'!$C$68*($BN$128*$AZ142)+'LINEST VARS'!$B$68*($BN$128*12.73)+'LINEST VARS'!$A$68*($AZ142*12.73)</f>
        <v>148.31</v>
      </c>
      <c r="BO142" s="46">
        <f>'LINEST VARS'!$U$68+'LINEST VARS'!$T$68*(8)+'LINEST VARS'!$S$68*(8)+'LINEST VARS'!$R$68*($BO$128)+'LINEST VARS'!$Q$68*($AZ142)+'LINEST VARS'!$P$68*(12.73)+'LINEST VARS'!$O$68*(8^2)+'LINEST VARS'!$N$68*(8^2)+'LINEST VARS'!$M$68*($BO$128^2)+'LINEST VARS'!$L$68*($AZ142^2)+'LINEST VARS'!$K$68*(12.73^2)+'LINEST VARS'!$J$68*(8*8)+'LINEST VARS'!$I$68*(8*$BO$128)+'LINEST VARS'!$H$68*(8*$AZ142)+'LINEST VARS'!$G$68*(8*12.73)+'LINEST VARS'!$F$68*(8*$BO$128)+'LINEST VARS'!$E$68*(8*$AZ142)+'LINEST VARS'!$D$68*(8*12.73)+'LINEST VARS'!$C$68*($BO$128*$AZ142)+'LINEST VARS'!$B$68*($BO$128*12.73)+'LINEST VARS'!$A$68*($AZ142*12.73)</f>
        <v>148.31</v>
      </c>
      <c r="BP142" s="46">
        <f>'LINEST VARS'!$U$68+'LINEST VARS'!$T$68*(8)+'LINEST VARS'!$S$68*(8)+'LINEST VARS'!$R$68*($BP$128)+'LINEST VARS'!$Q$68*($AZ142)+'LINEST VARS'!$P$68*(12.73)+'LINEST VARS'!$O$68*(8^2)+'LINEST VARS'!$N$68*(8^2)+'LINEST VARS'!$M$68*($BP$128^2)+'LINEST VARS'!$L$68*($AZ142^2)+'LINEST VARS'!$K$68*(12.73^2)+'LINEST VARS'!$J$68*(8*8)+'LINEST VARS'!$I$68*(8*$BP$128)+'LINEST VARS'!$H$68*(8*$AZ142)+'LINEST VARS'!$G$68*(8*12.73)+'LINEST VARS'!$F$68*(8*$BP$128)+'LINEST VARS'!$E$68*(8*$AZ142)+'LINEST VARS'!$D$68*(8*12.73)+'LINEST VARS'!$C$68*($BP$128*$AZ142)+'LINEST VARS'!$B$68*($BP$128*12.73)+'LINEST VARS'!$A$68*($AZ142*12.73)</f>
        <v>148.31</v>
      </c>
      <c r="BQ142" s="46">
        <f>'LINEST VARS'!$U$68+'LINEST VARS'!$T$68*(8)+'LINEST VARS'!$S$68*(8)+'LINEST VARS'!$R$68*($BQ$128)+'LINEST VARS'!$Q$68*($AZ142)+'LINEST VARS'!$P$68*(12.73)+'LINEST VARS'!$O$68*(8^2)+'LINEST VARS'!$N$68*(8^2)+'LINEST VARS'!$M$68*($BQ$128^2)+'LINEST VARS'!$L$68*($AZ142^2)+'LINEST VARS'!$K$68*(12.73^2)+'LINEST VARS'!$J$68*(8*8)+'LINEST VARS'!$I$68*(8*$BQ$128)+'LINEST VARS'!$H$68*(8*$AZ142)+'LINEST VARS'!$G$68*(8*12.73)+'LINEST VARS'!$F$68*(8*$BQ$128)+'LINEST VARS'!$E$68*(8*$AZ142)+'LINEST VARS'!$D$68*(8*12.73)+'LINEST VARS'!$C$68*($BQ$128*$AZ142)+'LINEST VARS'!$B$68*($BQ$128*12.73)+'LINEST VARS'!$A$68*($AZ142*12.73)</f>
        <v>148.31</v>
      </c>
      <c r="BR142" s="46">
        <f>'LINEST VARS'!$U$68+'LINEST VARS'!$T$68*(8)+'LINEST VARS'!$S$68*(8)+'LINEST VARS'!$R$68*($BR$128)+'LINEST VARS'!$Q$68*($AZ142)+'LINEST VARS'!$P$68*(12.73)+'LINEST VARS'!$O$68*(8^2)+'LINEST VARS'!$N$68*(8^2)+'LINEST VARS'!$M$68*($BR$128^2)+'LINEST VARS'!$L$68*($AZ142^2)+'LINEST VARS'!$K$68*(12.73^2)+'LINEST VARS'!$J$68*(8*8)+'LINEST VARS'!$I$68*(8*$BR$128)+'LINEST VARS'!$H$68*(8*$AZ142)+'LINEST VARS'!$G$68*(8*12.73)+'LINEST VARS'!$F$68*(8*$BR$128)+'LINEST VARS'!$E$68*(8*$AZ142)+'LINEST VARS'!$D$68*(8*12.73)+'LINEST VARS'!$C$68*($BR$128*$AZ142)+'LINEST VARS'!$B$68*($BR$128*12.73)+'LINEST VARS'!$A$68*($AZ142*12.73)</f>
        <v>148.31</v>
      </c>
      <c r="BS142" s="46">
        <f>'LINEST VARS'!$U$68+'LINEST VARS'!$T$68*(8)+'LINEST VARS'!$S$68*(8)+'LINEST VARS'!$R$68*($BS$128)+'LINEST VARS'!$Q$68*($AZ142)+'LINEST VARS'!$P$68*(12.73)+'LINEST VARS'!$O$68*(8^2)+'LINEST VARS'!$N$68*(8^2)+'LINEST VARS'!$M$68*($BS$128^2)+'LINEST VARS'!$L$68*($AZ142^2)+'LINEST VARS'!$K$68*(12.73^2)+'LINEST VARS'!$J$68*(8*8)+'LINEST VARS'!$I$68*(8*$BS$128)+'LINEST VARS'!$H$68*(8*$AZ142)+'LINEST VARS'!$G$68*(8*12.73)+'LINEST VARS'!$F$68*(8*$BS$128)+'LINEST VARS'!$E$68*(8*$AZ142)+'LINEST VARS'!$D$68*(8*12.73)+'LINEST VARS'!$C$68*($BS$128*$AZ142)+'LINEST VARS'!$B$68*($BS$128*12.73)+'LINEST VARS'!$A$68*($AZ142*12.73)</f>
        <v>148.31</v>
      </c>
      <c r="BT142" s="46">
        <f>'LINEST VARS'!$U$68+'LINEST VARS'!$T$68*(8)+'LINEST VARS'!$S$68*(8)+'LINEST VARS'!$R$68*($BT$128)+'LINEST VARS'!$Q$68*($AZ142)+'LINEST VARS'!$P$68*(12.73)+'LINEST VARS'!$O$68*(8^2)+'LINEST VARS'!$N$68*(8^2)+'LINEST VARS'!$M$68*($BT$128^2)+'LINEST VARS'!$L$68*($AZ142^2)+'LINEST VARS'!$K$68*(12.73^2)+'LINEST VARS'!$J$68*(8*8)+'LINEST VARS'!$I$68*(8*$BT$128)+'LINEST VARS'!$H$68*(8*$AZ142)+'LINEST VARS'!$G$68*(8*12.73)+'LINEST VARS'!$F$68*(8*$BT$128)+'LINEST VARS'!$E$68*(8*$AZ142)+'LINEST VARS'!$D$68*(8*12.73)+'LINEST VARS'!$C$68*($BT$128*$AZ142)+'LINEST VARS'!$B$68*($BT$128*12.73)+'LINEST VARS'!$A$68*($AZ142*12.73)</f>
        <v>148.31</v>
      </c>
      <c r="BU142" s="47">
        <f>'LINEST VARS'!$U$68+'LINEST VARS'!$T$68*(8)+'LINEST VARS'!$S$68*(8)+'LINEST VARS'!$R$68*($BU$128)+'LINEST VARS'!$Q$68*($AZ142)+'LINEST VARS'!$P$68*(12.73)+'LINEST VARS'!$O$68*(8^2)+'LINEST VARS'!$N$68*(8^2)+'LINEST VARS'!$M$68*($BU$128^2)+'LINEST VARS'!$L$68*($AZ142^2)+'LINEST VARS'!$K$68*(12.73^2)+'LINEST VARS'!$J$68*(8*8)+'LINEST VARS'!$I$68*(8*$BU$128)+'LINEST VARS'!$H$68*(8*$AZ142)+'LINEST VARS'!$G$68*(8*12.73)+'LINEST VARS'!$F$68*(8*$BU$128)+'LINEST VARS'!$E$68*(8*$AZ142)+'LINEST VARS'!$D$68*(8*12.73)+'LINEST VARS'!$C$68*($BU$128*$AZ142)+'LINEST VARS'!$B$68*($BU$128*12.73)+'LINEST VARS'!$A$68*($AZ142*12.73)</f>
        <v>148.31</v>
      </c>
      <c r="BX142" s="45">
        <v>0.65</v>
      </c>
      <c r="BY142" s="46">
        <f>'LINEST VARS'!$U$70+'LINEST VARS'!$T$70*(8)+'LINEST VARS'!$S$70*(8)+'LINEST VARS'!$R$70*($BY$128)+'LINEST VARS'!$Q$70*($BX142)+'LINEST VARS'!$P$70*(12.73)+'LINEST VARS'!$O$70*(8^2)+'LINEST VARS'!$N$70*(8^2)+'LINEST VARS'!$M$70*($BY$128^2)+'LINEST VARS'!$L$70*($BX142^2)+'LINEST VARS'!$K$70*(12.73^2)+'LINEST VARS'!$J$70*(8*8)+'LINEST VARS'!$I$70*(8*$BY$128)+'LINEST VARS'!$H$70*(8*$BX142)+'LINEST VARS'!$G$70*(8*12.73)+'LINEST VARS'!$F$70*(8*$BY$128)+'LINEST VARS'!$E$70*(8*$BX142)+'LINEST VARS'!$D$70*(8*12.73)+'LINEST VARS'!$C$70*($BY$128*$BX142)+'LINEST VARS'!$B$70*($BY$128*12.73)+'LINEST VARS'!$A$70*($BX142*12.73)</f>
        <v>92.000000000000014</v>
      </c>
      <c r="BZ142" s="46">
        <f>'LINEST VARS'!$U$70+'LINEST VARS'!$T$70*(8)+'LINEST VARS'!$S$70*(8)+'LINEST VARS'!$R$70*($BZ$128)+'LINEST VARS'!$Q$70*($BX142)+'LINEST VARS'!$P$70*(12.73)+'LINEST VARS'!$O$70*(8^2)+'LINEST VARS'!$N$70*(8^2)+'LINEST VARS'!$M$70*($BZ$128^2)+'LINEST VARS'!$L$70*($BX142^2)+'LINEST VARS'!$K$70*(12.73^2)+'LINEST VARS'!$J$70*(8*8)+'LINEST VARS'!$I$70*(8*$BZ$128)+'LINEST VARS'!$H$70*(8*$BX142)+'LINEST VARS'!$G$70*(8*12.73)+'LINEST VARS'!$F$70*(8*$BZ$128)+'LINEST VARS'!$E$70*(8*$BX142)+'LINEST VARS'!$D$70*(8*12.73)+'LINEST VARS'!$C$70*($BZ$128*$BX142)+'LINEST VARS'!$B$70*($BZ$128*12.73)+'LINEST VARS'!$A$70*($BX142*12.73)</f>
        <v>91.600000000000009</v>
      </c>
      <c r="CA142" s="46">
        <f>'LINEST VARS'!$U$70+'LINEST VARS'!$T$70*(8)+'LINEST VARS'!$S$70*(8)+'LINEST VARS'!$R$70*($CA$128)+'LINEST VARS'!$Q$70*($BX142)+'LINEST VARS'!$P$70*(12.73)+'LINEST VARS'!$O$70*(8^2)+'LINEST VARS'!$N$70*(8^2)+'LINEST VARS'!$M$70*($CA$128^2)+'LINEST VARS'!$L$70*($BX142^2)+'LINEST VARS'!$K$70*(12.73^2)+'LINEST VARS'!$J$70*(8*8)+'LINEST VARS'!$I$70*(8*$CA$128)+'LINEST VARS'!$H$70*(8*$BX142)+'LINEST VARS'!$G$70*(8*12.73)+'LINEST VARS'!$F$70*(8*$CA$128)+'LINEST VARS'!$E$70*(8*$BX142)+'LINEST VARS'!$D$70*(8*12.73)+'LINEST VARS'!$C$70*($CA$128*$BX142)+'LINEST VARS'!$B$70*($CA$128*12.73)+'LINEST VARS'!$A$70*($BX142*12.73)</f>
        <v>91.200000000000017</v>
      </c>
      <c r="CB142" s="46">
        <f>'LINEST VARS'!$U$70+'LINEST VARS'!$T$70*(8)+'LINEST VARS'!$S$70*(8)+'LINEST VARS'!$R$70*($CB$128)+'LINEST VARS'!$Q$70*($BX142)+'LINEST VARS'!$P$70*(12.73)+'LINEST VARS'!$O$70*(8^2)+'LINEST VARS'!$N$70*(8^2)+'LINEST VARS'!$M$70*($CB$128^2)+'LINEST VARS'!$L$70*($BX142^2)+'LINEST VARS'!$K$70*(12.73^2)+'LINEST VARS'!$J$70*(8*8)+'LINEST VARS'!$I$70*(8*$CB$128)+'LINEST VARS'!$H$70*(8*$BX142)+'LINEST VARS'!$G$70*(8*12.73)+'LINEST VARS'!$F$70*(8*$CB$128)+'LINEST VARS'!$E$70*(8*$BX142)+'LINEST VARS'!$D$70*(8*12.73)+'LINEST VARS'!$C$70*($CB$128*$BX142)+'LINEST VARS'!$B$70*($CB$128*12.73)+'LINEST VARS'!$A$70*($BX142*12.73)</f>
        <v>90.800000000000011</v>
      </c>
      <c r="CC142" s="46">
        <f>'LINEST VARS'!$U$70+'LINEST VARS'!$T$70*(8)+'LINEST VARS'!$S$70*(8)+'LINEST VARS'!$R$70*($CC$128)+'LINEST VARS'!$Q$70*($BX142)+'LINEST VARS'!$P$70*(12.73)+'LINEST VARS'!$O$70*(8^2)+'LINEST VARS'!$N$70*(8^2)+'LINEST VARS'!$M$70*($CC$128^2)+'LINEST VARS'!$L$70*($BX142^2)+'LINEST VARS'!$K$70*(12.73^2)+'LINEST VARS'!$J$70*(8*8)+'LINEST VARS'!$I$70*(8*$CC$128)+'LINEST VARS'!$H$70*(8*$BX142)+'LINEST VARS'!$G$70*(8*12.73)+'LINEST VARS'!$F$70*(8*$CC$128)+'LINEST VARS'!$E$70*(8*$BX142)+'LINEST VARS'!$D$70*(8*12.73)+'LINEST VARS'!$C$70*($CC$128*$BX142)+'LINEST VARS'!$B$70*($CC$128*12.73)+'LINEST VARS'!$A$70*($BX142*12.73)</f>
        <v>90.40000000000002</v>
      </c>
      <c r="CD142" s="46">
        <f>'LINEST VARS'!$U$70+'LINEST VARS'!$T$70*(8)+'LINEST VARS'!$S$70*(8)+'LINEST VARS'!$R$70*($CD$128)+'LINEST VARS'!$Q$70*($BX142)+'LINEST VARS'!$P$70*(12.73)+'LINEST VARS'!$O$70*(8^2)+'LINEST VARS'!$N$70*(8^2)+'LINEST VARS'!$M$70*($CD$128^2)+'LINEST VARS'!$L$70*($BX142^2)+'LINEST VARS'!$K$70*(12.73^2)+'LINEST VARS'!$J$70*(8*8)+'LINEST VARS'!$I$70*(8*$CD$128)+'LINEST VARS'!$H$70*(8*$BX142)+'LINEST VARS'!$G$70*(8*12.73)+'LINEST VARS'!$F$70*(8*$CD$128)+'LINEST VARS'!$E$70*(8*$BX142)+'LINEST VARS'!$D$70*(8*12.73)+'LINEST VARS'!$C$70*($CD$128*$BX142)+'LINEST VARS'!$B$70*($CD$128*12.73)+'LINEST VARS'!$A$70*($BX142*12.73)</f>
        <v>90.000000000000014</v>
      </c>
      <c r="CE142" s="46">
        <f>'LINEST VARS'!$U$70+'LINEST VARS'!$T$70*(8)+'LINEST VARS'!$S$70*(8)+'LINEST VARS'!$R$70*($CE$128)+'LINEST VARS'!$Q$70*($BX142)+'LINEST VARS'!$P$70*(12.73)+'LINEST VARS'!$O$70*(8^2)+'LINEST VARS'!$N$70*(8^2)+'LINEST VARS'!$M$70*($CE$128^2)+'LINEST VARS'!$L$70*($BX142^2)+'LINEST VARS'!$K$70*(12.73^2)+'LINEST VARS'!$J$70*(8*8)+'LINEST VARS'!$I$70*(8*$CE$128)+'LINEST VARS'!$H$70*(8*$BX142)+'LINEST VARS'!$G$70*(8*12.73)+'LINEST VARS'!$F$70*(8*$CE$128)+'LINEST VARS'!$E$70*(8*$BX142)+'LINEST VARS'!$D$70*(8*12.73)+'LINEST VARS'!$C$70*($CE$128*$BX142)+'LINEST VARS'!$B$70*($CE$128*12.73)+'LINEST VARS'!$A$70*($BX142*12.73)</f>
        <v>89.600000000000023</v>
      </c>
      <c r="CF142" s="46">
        <f>'LINEST VARS'!$U$70+'LINEST VARS'!$T$70*(8)+'LINEST VARS'!$S$70*(8)+'LINEST VARS'!$R$70*($CF$128)+'LINEST VARS'!$Q$70*($BX142)+'LINEST VARS'!$P$70*(12.73)+'LINEST VARS'!$O$70*(8^2)+'LINEST VARS'!$N$70*(8^2)+'LINEST VARS'!$M$70*($CF$128^2)+'LINEST VARS'!$L$70*($BX142^2)+'LINEST VARS'!$K$70*(12.73^2)+'LINEST VARS'!$J$70*(8*8)+'LINEST VARS'!$I$70*(8*$CF$128)+'LINEST VARS'!$H$70*(8*$BX142)+'LINEST VARS'!$G$70*(8*12.73)+'LINEST VARS'!$F$70*(8*$CF$128)+'LINEST VARS'!$E$70*(8*$BX142)+'LINEST VARS'!$D$70*(8*12.73)+'LINEST VARS'!$C$70*($CF$128*$BX142)+'LINEST VARS'!$B$70*($CF$128*12.73)+'LINEST VARS'!$A$70*($BX142*12.73)</f>
        <v>89.200000000000017</v>
      </c>
      <c r="CG142" s="46">
        <f>'LINEST VARS'!$U$70+'LINEST VARS'!$T$70*(8)+'LINEST VARS'!$S$70*(8)+'LINEST VARS'!$R$70*($CG$128)+'LINEST VARS'!$Q$70*($BX142)+'LINEST VARS'!$P$70*(12.73)+'LINEST VARS'!$O$70*(8^2)+'LINEST VARS'!$N$70*(8^2)+'LINEST VARS'!$M$70*($CG$128^2)+'LINEST VARS'!$L$70*($BX142^2)+'LINEST VARS'!$K$70*(12.73^2)+'LINEST VARS'!$J$70*(8*8)+'LINEST VARS'!$I$70*(8*$CG$128)+'LINEST VARS'!$H$70*(8*$BX142)+'LINEST VARS'!$G$70*(8*12.73)+'LINEST VARS'!$F$70*(8*$CG$128)+'LINEST VARS'!$E$70*(8*$BX142)+'LINEST VARS'!$D$70*(8*12.73)+'LINEST VARS'!$C$70*($CG$128*$BX142)+'LINEST VARS'!$B$70*($CG$128*12.73)+'LINEST VARS'!$A$70*($BX142*12.73)</f>
        <v>88.800000000000026</v>
      </c>
      <c r="CH142" s="46">
        <f>'LINEST VARS'!$U$70+'LINEST VARS'!$T$70*(8)+'LINEST VARS'!$S$70*(8)+'LINEST VARS'!$R$70*($CH$128)+'LINEST VARS'!$Q$70*($BX142)+'LINEST VARS'!$P$70*(12.73)+'LINEST VARS'!$O$70*(8^2)+'LINEST VARS'!$N$70*(8^2)+'LINEST VARS'!$M$70*($CH$128^2)+'LINEST VARS'!$L$70*($BX142^2)+'LINEST VARS'!$K$70*(12.73^2)+'LINEST VARS'!$J$70*(8*8)+'LINEST VARS'!$I$70*(8*$CH$128)+'LINEST VARS'!$H$70*(8*$BX142)+'LINEST VARS'!$G$70*(8*12.73)+'LINEST VARS'!$F$70*(8*$CH$128)+'LINEST VARS'!$E$70*(8*$BX142)+'LINEST VARS'!$D$70*(8*12.73)+'LINEST VARS'!$C$70*($CH$128*$BX142)+'LINEST VARS'!$B$70*($CH$128*12.73)+'LINEST VARS'!$A$70*($BX142*12.73)</f>
        <v>88.40000000000002</v>
      </c>
      <c r="CI142" s="46">
        <f>'LINEST VARS'!$U$70+'LINEST VARS'!$T$70*(8)+'LINEST VARS'!$S$70*(8)+'LINEST VARS'!$R$70*($CI$128)+'LINEST VARS'!$Q$70*($BX142)+'LINEST VARS'!$P$70*(12.73)+'LINEST VARS'!$O$70*(8^2)+'LINEST VARS'!$N$70*(8^2)+'LINEST VARS'!$M$70*($CI$128^2)+'LINEST VARS'!$L$70*($BX142^2)+'LINEST VARS'!$K$70*(12.73^2)+'LINEST VARS'!$J$70*(8*8)+'LINEST VARS'!$I$70*(8*$CI$128)+'LINEST VARS'!$H$70*(8*$BX142)+'LINEST VARS'!$G$70*(8*12.73)+'LINEST VARS'!$F$70*(8*$CI$128)+'LINEST VARS'!$E$70*(8*$BX142)+'LINEST VARS'!$D$70*(8*12.73)+'LINEST VARS'!$C$70*($CI$128*$BX142)+'LINEST VARS'!$B$70*($CI$128*12.73)+'LINEST VARS'!$A$70*($BX142*12.73)</f>
        <v>88.000000000000014</v>
      </c>
      <c r="CJ142" s="46">
        <f>'LINEST VARS'!$U$70+'LINEST VARS'!$T$70*(8)+'LINEST VARS'!$S$70*(8)+'LINEST VARS'!$R$70*($CJ$128)+'LINEST VARS'!$Q$70*($BX142)+'LINEST VARS'!$P$70*(12.73)+'LINEST VARS'!$O$70*(8^2)+'LINEST VARS'!$N$70*(8^2)+'LINEST VARS'!$M$70*($CJ$128^2)+'LINEST VARS'!$L$70*($BX142^2)+'LINEST VARS'!$K$70*(12.73^2)+'LINEST VARS'!$J$70*(8*8)+'LINEST VARS'!$I$70*(8*$CJ$128)+'LINEST VARS'!$H$70*(8*$BX142)+'LINEST VARS'!$G$70*(8*12.73)+'LINEST VARS'!$F$70*(8*$CJ$128)+'LINEST VARS'!$E$70*(8*$BX142)+'LINEST VARS'!$D$70*(8*12.73)+'LINEST VARS'!$C$70*($CJ$128*$BX142)+'LINEST VARS'!$B$70*($CJ$128*12.73)+'LINEST VARS'!$A$70*($BX142*12.73)</f>
        <v>87.600000000000023</v>
      </c>
      <c r="CK142" s="46">
        <f>'LINEST VARS'!$U$70+'LINEST VARS'!$T$70*(8)+'LINEST VARS'!$S$70*(8)+'LINEST VARS'!$R$70*($CK$128)+'LINEST VARS'!$Q$70*($BX142)+'LINEST VARS'!$P$70*(12.73)+'LINEST VARS'!$O$70*(8^2)+'LINEST VARS'!$N$70*(8^2)+'LINEST VARS'!$M$70*($CK$128^2)+'LINEST VARS'!$L$70*($BX142^2)+'LINEST VARS'!$K$70*(12.73^2)+'LINEST VARS'!$J$70*(8*8)+'LINEST VARS'!$I$70*(8*$CK$128)+'LINEST VARS'!$H$70*(8*$BX142)+'LINEST VARS'!$G$70*(8*12.73)+'LINEST VARS'!$F$70*(8*$CK$128)+'LINEST VARS'!$E$70*(8*$BX142)+'LINEST VARS'!$D$70*(8*12.73)+'LINEST VARS'!$C$70*($CK$128*$BX142)+'LINEST VARS'!$B$70*($CK$128*12.73)+'LINEST VARS'!$A$70*($BX142*12.73)</f>
        <v>87.200000000000017</v>
      </c>
      <c r="CL142" s="46">
        <f>'LINEST VARS'!$U$70+'LINEST VARS'!$T$70*(8)+'LINEST VARS'!$S$70*(8)+'LINEST VARS'!$R$70*($CL$128)+'LINEST VARS'!$Q$70*($BX142)+'LINEST VARS'!$P$70*(12.73)+'LINEST VARS'!$O$70*(8^2)+'LINEST VARS'!$N$70*(8^2)+'LINEST VARS'!$M$70*($CL$128^2)+'LINEST VARS'!$L$70*($BX142^2)+'LINEST VARS'!$K$70*(12.73^2)+'LINEST VARS'!$J$70*(8*8)+'LINEST VARS'!$I$70*(8*$CL$128)+'LINEST VARS'!$H$70*(8*$BX142)+'LINEST VARS'!$G$70*(8*12.73)+'LINEST VARS'!$F$70*(8*$CL$128)+'LINEST VARS'!$E$70*(8*$BX142)+'LINEST VARS'!$D$70*(8*12.73)+'LINEST VARS'!$C$70*($CL$128*$BX142)+'LINEST VARS'!$B$70*($CL$128*12.73)+'LINEST VARS'!$A$70*($BX142*12.73)</f>
        <v>86.800000000000026</v>
      </c>
      <c r="CM142" s="46">
        <f>'LINEST VARS'!$U$70+'LINEST VARS'!$T$70*(8)+'LINEST VARS'!$S$70*(8)+'LINEST VARS'!$R$70*($CM$128)+'LINEST VARS'!$Q$70*($BX142)+'LINEST VARS'!$P$70*(12.73)+'LINEST VARS'!$O$70*(8^2)+'LINEST VARS'!$N$70*(8^2)+'LINEST VARS'!$M$70*($CM$128^2)+'LINEST VARS'!$L$70*($BX142^2)+'LINEST VARS'!$K$70*(12.73^2)+'LINEST VARS'!$J$70*(8*8)+'LINEST VARS'!$I$70*(8*$CM$128)+'LINEST VARS'!$H$70*(8*$BX142)+'LINEST VARS'!$G$70*(8*12.73)+'LINEST VARS'!$F$70*(8*$CM$128)+'LINEST VARS'!$E$70*(8*$BX142)+'LINEST VARS'!$D$70*(8*12.73)+'LINEST VARS'!$C$70*($CM$128*$BX142)+'LINEST VARS'!$B$70*($CM$128*12.73)+'LINEST VARS'!$A$70*($BX142*12.73)</f>
        <v>86.40000000000002</v>
      </c>
      <c r="CN142" s="46">
        <f>'LINEST VARS'!$U$70+'LINEST VARS'!$T$70*(8)+'LINEST VARS'!$S$70*(8)+'LINEST VARS'!$R$70*($CN$128)+'LINEST VARS'!$Q$70*($BX142)+'LINEST VARS'!$P$70*(12.73)+'LINEST VARS'!$O$70*(8^2)+'LINEST VARS'!$N$70*(8^2)+'LINEST VARS'!$M$70*($CN$128^2)+'LINEST VARS'!$L$70*($BX142^2)+'LINEST VARS'!$K$70*(12.73^2)+'LINEST VARS'!$J$70*(8*8)+'LINEST VARS'!$I$70*(8*$CN$128)+'LINEST VARS'!$H$70*(8*$BX142)+'LINEST VARS'!$G$70*(8*12.73)+'LINEST VARS'!$F$70*(8*$CN$128)+'LINEST VARS'!$E$70*(8*$BX142)+'LINEST VARS'!$D$70*(8*12.73)+'LINEST VARS'!$C$70*($CN$128*$BX142)+'LINEST VARS'!$B$70*($CN$128*12.73)+'LINEST VARS'!$A$70*($BX142*12.73)</f>
        <v>86.000000000000014</v>
      </c>
      <c r="CO142" s="46">
        <f>'LINEST VARS'!$U$70+'LINEST VARS'!$T$70*(8)+'LINEST VARS'!$S$70*(8)+'LINEST VARS'!$R$70*($CO$128)+'LINEST VARS'!$Q$70*($BX142)+'LINEST VARS'!$P$70*(12.73)+'LINEST VARS'!$O$70*(8^2)+'LINEST VARS'!$N$70*(8^2)+'LINEST VARS'!$M$70*($CO$128^2)+'LINEST VARS'!$L$70*($BX142^2)+'LINEST VARS'!$K$70*(12.73^2)+'LINEST VARS'!$J$70*(8*8)+'LINEST VARS'!$I$70*(8*$CO$128)+'LINEST VARS'!$H$70*(8*$BX142)+'LINEST VARS'!$G$70*(8*12.73)+'LINEST VARS'!$F$70*(8*$CO$128)+'LINEST VARS'!$E$70*(8*$BX142)+'LINEST VARS'!$D$70*(8*12.73)+'LINEST VARS'!$C$70*($CO$128*$BX142)+'LINEST VARS'!$B$70*($CO$128*12.73)+'LINEST VARS'!$A$70*($BX142*12.73)</f>
        <v>85.600000000000009</v>
      </c>
      <c r="CP142" s="46">
        <f>'LINEST VARS'!$U$70+'LINEST VARS'!$T$70*(8)+'LINEST VARS'!$S$70*(8)+'LINEST VARS'!$R$70*($CP$128)+'LINEST VARS'!$Q$70*($BX142)+'LINEST VARS'!$P$70*(12.73)+'LINEST VARS'!$O$70*(8^2)+'LINEST VARS'!$N$70*(8^2)+'LINEST VARS'!$M$70*($CP$128^2)+'LINEST VARS'!$L$70*($BX142^2)+'LINEST VARS'!$K$70*(12.73^2)+'LINEST VARS'!$J$70*(8*8)+'LINEST VARS'!$I$70*(8*$CP$128)+'LINEST VARS'!$H$70*(8*$BX142)+'LINEST VARS'!$G$70*(8*12.73)+'LINEST VARS'!$F$70*(8*$CP$128)+'LINEST VARS'!$E$70*(8*$BX142)+'LINEST VARS'!$D$70*(8*12.73)+'LINEST VARS'!$C$70*($CP$128*$BX142)+'LINEST VARS'!$B$70*($CP$128*12.73)+'LINEST VARS'!$A$70*($BX142*12.73)</f>
        <v>85.200000000000017</v>
      </c>
      <c r="CQ142" s="46">
        <f>'LINEST VARS'!$U$70+'LINEST VARS'!$T$70*(8)+'LINEST VARS'!$S$70*(8)+'LINEST VARS'!$R$70*($CQ$128)+'LINEST VARS'!$Q$70*($BX142)+'LINEST VARS'!$P$70*(12.73)+'LINEST VARS'!$O$70*(8^2)+'LINEST VARS'!$N$70*(8^2)+'LINEST VARS'!$M$70*($CQ$128^2)+'LINEST VARS'!$L$70*($BX142^2)+'LINEST VARS'!$K$70*(12.73^2)+'LINEST VARS'!$J$70*(8*8)+'LINEST VARS'!$I$70*(8*$CQ$128)+'LINEST VARS'!$H$70*(8*$BX142)+'LINEST VARS'!$G$70*(8*12.73)+'LINEST VARS'!$F$70*(8*$CQ$128)+'LINEST VARS'!$E$70*(8*$BX142)+'LINEST VARS'!$D$70*(8*12.73)+'LINEST VARS'!$C$70*($CQ$128*$BX142)+'LINEST VARS'!$B$70*($CQ$128*12.73)+'LINEST VARS'!$A$70*($BX142*12.73)</f>
        <v>84.800000000000011</v>
      </c>
      <c r="CR142" s="46">
        <f>'LINEST VARS'!$U$70+'LINEST VARS'!$T$70*(8)+'LINEST VARS'!$S$70*(8)+'LINEST VARS'!$R$70*($CR$128)+'LINEST VARS'!$Q$70*($BX142)+'LINEST VARS'!$P$70*(12.73)+'LINEST VARS'!$O$70*(8^2)+'LINEST VARS'!$N$70*(8^2)+'LINEST VARS'!$M$70*($CR$128^2)+'LINEST VARS'!$L$70*($BX142^2)+'LINEST VARS'!$K$70*(12.73^2)+'LINEST VARS'!$J$70*(8*8)+'LINEST VARS'!$I$70*(8*$CR$128)+'LINEST VARS'!$H$70*(8*$BX142)+'LINEST VARS'!$G$70*(8*12.73)+'LINEST VARS'!$F$70*(8*$CR$128)+'LINEST VARS'!$E$70*(8*$BX142)+'LINEST VARS'!$D$70*(8*12.73)+'LINEST VARS'!$C$70*($CR$128*$BX142)+'LINEST VARS'!$B$70*($CR$128*12.73)+'LINEST VARS'!$A$70*($BX142*12.73)</f>
        <v>84.400000000000034</v>
      </c>
      <c r="CS142" s="47">
        <f>'LINEST VARS'!$U$70+'LINEST VARS'!$T$70*(8)+'LINEST VARS'!$S$70*(8)+'LINEST VARS'!$R$70*($CS$128)+'LINEST VARS'!$Q$70*($BX142)+'LINEST VARS'!$P$70*(12.73)+'LINEST VARS'!$O$70*(8^2)+'LINEST VARS'!$N$70*(8^2)+'LINEST VARS'!$M$70*($CS$128^2)+'LINEST VARS'!$L$70*($BX142^2)+'LINEST VARS'!$K$70*(12.73^2)+'LINEST VARS'!$J$70*(8*8)+'LINEST VARS'!$I$70*(8*$CS$128)+'LINEST VARS'!$H$70*(8*$BX142)+'LINEST VARS'!$G$70*(8*12.73)+'LINEST VARS'!$F$70*(8*$CS$128)+'LINEST VARS'!$E$70*(8*$BX142)+'LINEST VARS'!$D$70*(8*12.73)+'LINEST VARS'!$C$70*($CS$128*$BX142)+'LINEST VARS'!$B$70*($CS$128*12.73)+'LINEST VARS'!$A$70*($BX142*12.73)</f>
        <v>84.000000000000028</v>
      </c>
      <c r="CX142" s="45">
        <v>16.8935</v>
      </c>
      <c r="CY142" s="46">
        <f>'LINEST VARS'!$U$68+'LINEST VARS'!$T$68*(8)+'LINEST VARS'!$S$68*(8)+'LINEST VARS'!$R$68*($CY$128)+'LINEST VARS'!$Q$68*(0.5)+'LINEST VARS'!$P$68*($CX142)+'LINEST VARS'!$O$68*(8^2)+'LINEST VARS'!$N$68*(8^2)+'LINEST VARS'!$M$68*($CY$128^2)+'LINEST VARS'!$L$68*(0.5^2)+'LINEST VARS'!$K$68*($CX142^2)+'LINEST VARS'!$J$68*(8*8)+'LINEST VARS'!$I$68*(8*$CY$128)+'LINEST VARS'!$H$68*(8*0.5)+'LINEST VARS'!$G$68*(8*$CX142)+'LINEST VARS'!$F$68*(8*$CY$128)+'LINEST VARS'!$E$68*(8*0.5)+'LINEST VARS'!$D$68*(8*$CX142)+'LINEST VARS'!$C$68*($CY$128*0.5)+'LINEST VARS'!$B$68*($CY$128*$CX142)+'LINEST VARS'!$A$68*(0.5*$CX142)</f>
        <v>149</v>
      </c>
      <c r="CZ142" s="46">
        <f>'LINEST VARS'!$U$68+'LINEST VARS'!$T$68*(8)+'LINEST VARS'!$S$68*(8)+'LINEST VARS'!$R$68*($CZ$128)+'LINEST VARS'!$Q$68*(0.5)+'LINEST VARS'!$P$68*($CX142)+'LINEST VARS'!$O$68*(8^2)+'LINEST VARS'!$N$68*(8^2)+'LINEST VARS'!$M$68*($CZ$128^2)+'LINEST VARS'!$L$68*(0.5^2)+'LINEST VARS'!$K$68*($CX142^2)+'LINEST VARS'!$J$68*(8*8)+'LINEST VARS'!$I$68*(8*$CZ$128)+'LINEST VARS'!$H$68*(8*0.5)+'LINEST VARS'!$G$68*(8*$CX142)+'LINEST VARS'!$F$68*(8*$CZ$128)+'LINEST VARS'!$E$68*(8*0.5)+'LINEST VARS'!$D$68*(8*$CX142)+'LINEST VARS'!$C$68*($CZ$128*0.5)+'LINEST VARS'!$B$68*($CZ$128*$CX142)+'LINEST VARS'!$A$68*(0.5*$CX142)</f>
        <v>149</v>
      </c>
      <c r="DA142" s="46">
        <f>'LINEST VARS'!$U$68+'LINEST VARS'!$T$68*(8)+'LINEST VARS'!$S$68*(8)+'LINEST VARS'!$R$68*($DA$128)+'LINEST VARS'!$Q$68*(0.5)+'LINEST VARS'!$P$68*($CX142)+'LINEST VARS'!$O$68*(8^2)+'LINEST VARS'!$N$68*(8^2)+'LINEST VARS'!$M$68*($DA$128^2)+'LINEST VARS'!$L$68*(0.5^2)+'LINEST VARS'!$K$68*($CX142^2)+'LINEST VARS'!$J$68*(8*8)+'LINEST VARS'!$I$68*(8*$DA$128)+'LINEST VARS'!$H$68*(8*0.5)+'LINEST VARS'!$G$68*(8*$CX142)+'LINEST VARS'!$F$68*(8*$DA$128)+'LINEST VARS'!$E$68*(8*0.5)+'LINEST VARS'!$D$68*(8*$CX142)+'LINEST VARS'!$C$68*($DA$128*0.5)+'LINEST VARS'!$B$68*($DA$128*$CX142)+'LINEST VARS'!$A$68*(0.5*$CX142)</f>
        <v>149</v>
      </c>
      <c r="DB142" s="46">
        <f>'LINEST VARS'!$U$68+'LINEST VARS'!$T$68*(8)+'LINEST VARS'!$S$68*(8)+'LINEST VARS'!$R$68*($DB$128)+'LINEST VARS'!$Q$68*(0.5)+'LINEST VARS'!$P$68*($CX142)+'LINEST VARS'!$O$68*(8^2)+'LINEST VARS'!$N$68*(8^2)+'LINEST VARS'!$M$68*($DB$128^2)+'LINEST VARS'!$L$68*(0.5^2)+'LINEST VARS'!$K$68*($CX142^2)+'LINEST VARS'!$J$68*(8*8)+'LINEST VARS'!$I$68*(8*$DB$128)+'LINEST VARS'!$H$68*(8*0.5)+'LINEST VARS'!$G$68*(8*$CX142)+'LINEST VARS'!$F$68*(8*$DB$128)+'LINEST VARS'!$E$68*(8*0.5)+'LINEST VARS'!$D$68*(8*$CX142)+'LINEST VARS'!$C$68*($DB$128*0.5)+'LINEST VARS'!$B$68*($DB$128*$CX142)+'LINEST VARS'!$A$68*(0.5*$CX142)</f>
        <v>149</v>
      </c>
      <c r="DC142" s="46">
        <f>'LINEST VARS'!$U$68+'LINEST VARS'!$T$68*(8)+'LINEST VARS'!$S$68*(8)+'LINEST VARS'!$R$68*($DC$128)+'LINEST VARS'!$Q$68*(0.5)+'LINEST VARS'!$P$68*($CX142)+'LINEST VARS'!$O$68*(8^2)+'LINEST VARS'!$N$68*(8^2)+'LINEST VARS'!$M$68*($DC$128^2)+'LINEST VARS'!$L$68*(0.5^2)+'LINEST VARS'!$K$68*($CX142^2)+'LINEST VARS'!$J$68*(8*8)+'LINEST VARS'!$I$68*(8*$DC$128)+'LINEST VARS'!$H$68*(8*0.5)+'LINEST VARS'!$G$68*(8*$CX142)+'LINEST VARS'!$F$68*(8*$DC$128)+'LINEST VARS'!$E$68*(8*0.5)+'LINEST VARS'!$D$68*(8*$CX142)+'LINEST VARS'!$C$68*($DC$128*0.5)+'LINEST VARS'!$B$68*($DC$128*$CX142)+'LINEST VARS'!$A$68*(0.5*$CX142)</f>
        <v>149</v>
      </c>
      <c r="DD142" s="46">
        <f>'LINEST VARS'!$U$68+'LINEST VARS'!$T$68*(8)+'LINEST VARS'!$S$68*(8)+'LINEST VARS'!$R$68*($DD$128)+'LINEST VARS'!$Q$68*(0.5)+'LINEST VARS'!$P$68*($CX142)+'LINEST VARS'!$O$68*(8^2)+'LINEST VARS'!$N$68*(8^2)+'LINEST VARS'!$M$68*($DD$128^2)+'LINEST VARS'!$L$68*(0.5^2)+'LINEST VARS'!$K$68*($CX142^2)+'LINEST VARS'!$J$68*(8*8)+'LINEST VARS'!$I$68*(8*$DD$128)+'LINEST VARS'!$H$68*(8*0.5)+'LINEST VARS'!$G$68*(8*$CX142)+'LINEST VARS'!$F$68*(8*$DD$128)+'LINEST VARS'!$E$68*(8*0.5)+'LINEST VARS'!$D$68*(8*$CX142)+'LINEST VARS'!$C$68*($DD$128*0.5)+'LINEST VARS'!$B$68*($DD$128*$CX142)+'LINEST VARS'!$A$68*(0.5*$CX142)</f>
        <v>149</v>
      </c>
      <c r="DE142" s="46">
        <f>'LINEST VARS'!$U$68+'LINEST VARS'!$T$68*(8)+'LINEST VARS'!$S$68*(8)+'LINEST VARS'!$R$68*($DE$128)+'LINEST VARS'!$Q$68*(0.5)+'LINEST VARS'!$P$68*($CX142)+'LINEST VARS'!$O$68*(8^2)+'LINEST VARS'!$N$68*(8^2)+'LINEST VARS'!$M$68*($DE$128^2)+'LINEST VARS'!$L$68*(0.5^2)+'LINEST VARS'!$K$68*($CX142^2)+'LINEST VARS'!$J$68*(8*8)+'LINEST VARS'!$I$68*(8*$DE$128)+'LINEST VARS'!$H$68*(8*0.5)+'LINEST VARS'!$G$68*(8*$CX142)+'LINEST VARS'!$F$68*(8*$DE$128)+'LINEST VARS'!$E$68*(8*0.5)+'LINEST VARS'!$D$68*(8*$CX142)+'LINEST VARS'!$C$68*($DE$128*0.5)+'LINEST VARS'!$B$68*($DE$128*$CX142)+'LINEST VARS'!$A$68*(0.5*$CX142)</f>
        <v>149</v>
      </c>
      <c r="DF142" s="46">
        <f>'LINEST VARS'!$U$68+'LINEST VARS'!$T$68*(8)+'LINEST VARS'!$S$68*(8)+'LINEST VARS'!$R$68*($DF$128)+'LINEST VARS'!$Q$68*(0.5)+'LINEST VARS'!$P$68*($CX142)+'LINEST VARS'!$O$68*(8^2)+'LINEST VARS'!$N$68*(8^2)+'LINEST VARS'!$M$68*($DF$128^2)+'LINEST VARS'!$L$68*(0.5^2)+'LINEST VARS'!$K$68*($CX142^2)+'LINEST VARS'!$J$68*(8*8)+'LINEST VARS'!$I$68*(8*$DF$128)+'LINEST VARS'!$H$68*(8*0.5)+'LINEST VARS'!$G$68*(8*$CX142)+'LINEST VARS'!$F$68*(8*$DF$128)+'LINEST VARS'!$E$68*(8*0.5)+'LINEST VARS'!$D$68*(8*$CX142)+'LINEST VARS'!$C$68*($DF$128*0.5)+'LINEST VARS'!$B$68*($DF$128*$CX142)+'LINEST VARS'!$A$68*(0.5*$CX142)</f>
        <v>149</v>
      </c>
      <c r="DG142" s="46">
        <f>'LINEST VARS'!$U$68+'LINEST VARS'!$T$68*(8)+'LINEST VARS'!$S$68*(8)+'LINEST VARS'!$R$68*($DG$128)+'LINEST VARS'!$Q$68*(0.5)+'LINEST VARS'!$P$68*($CX142)+'LINEST VARS'!$O$68*(8^2)+'LINEST VARS'!$N$68*(8^2)+'LINEST VARS'!$M$68*($DG$128^2)+'LINEST VARS'!$L$68*(0.5^2)+'LINEST VARS'!$K$68*($CX142^2)+'LINEST VARS'!$J$68*(8*8)+'LINEST VARS'!$I$68*(8*$DG$128)+'LINEST VARS'!$H$68*(8*0.5)+'LINEST VARS'!$G$68*(8*$CX142)+'LINEST VARS'!$F$68*(8*$DG$128)+'LINEST VARS'!$E$68*(8*0.5)+'LINEST VARS'!$D$68*(8*$CX142)+'LINEST VARS'!$C$68*($DG$128*0.5)+'LINEST VARS'!$B$68*($DG$128*$CX142)+'LINEST VARS'!$A$68*(0.5*$CX142)</f>
        <v>149</v>
      </c>
      <c r="DH142" s="46">
        <f>'LINEST VARS'!$U$68+'LINEST VARS'!$T$68*(8)+'LINEST VARS'!$S$68*(8)+'LINEST VARS'!$R$68*($DH$128)+'LINEST VARS'!$Q$68*(0.5)+'LINEST VARS'!$P$68*($CX142)+'LINEST VARS'!$O$68*(8^2)+'LINEST VARS'!$N$68*(8^2)+'LINEST VARS'!$M$68*($DH$128^2)+'LINEST VARS'!$L$68*(0.5^2)+'LINEST VARS'!$K$68*($CX142^2)+'LINEST VARS'!$J$68*(8*8)+'LINEST VARS'!$I$68*(8*$DH$128)+'LINEST VARS'!$H$68*(8*0.5)+'LINEST VARS'!$G$68*(8*$CX142)+'LINEST VARS'!$F$68*(8*$DH$128)+'LINEST VARS'!$E$68*(8*0.5)+'LINEST VARS'!$D$68*(8*$CX142)+'LINEST VARS'!$C$68*($DH$128*0.5)+'LINEST VARS'!$B$68*($DH$128*$CX142)+'LINEST VARS'!$A$68*(0.5*$CX142)</f>
        <v>149</v>
      </c>
      <c r="DI142" s="46">
        <f>'LINEST VARS'!$U$68+'LINEST VARS'!$T$68*(8)+'LINEST VARS'!$S$68*(8)+'LINEST VARS'!$R$68*($DI$128)+'LINEST VARS'!$Q$68*(0.5)+'LINEST VARS'!$P$68*($CX142)+'LINEST VARS'!$O$68*(8^2)+'LINEST VARS'!$N$68*(8^2)+'LINEST VARS'!$M$68*($DI$128^2)+'LINEST VARS'!$L$68*(0.5^2)+'LINEST VARS'!$K$68*($CX142^2)+'LINEST VARS'!$J$68*(8*8)+'LINEST VARS'!$I$68*(8*$DI$128)+'LINEST VARS'!$H$68*(8*0.5)+'LINEST VARS'!$G$68*(8*$CX142)+'LINEST VARS'!$F$68*(8*$DI$128)+'LINEST VARS'!$E$68*(8*0.5)+'LINEST VARS'!$D$68*(8*$CX142)+'LINEST VARS'!$C$68*($DI$128*0.5)+'LINEST VARS'!$B$68*($DI$128*$CX142)+'LINEST VARS'!$A$68*(0.5*$CX142)</f>
        <v>149</v>
      </c>
      <c r="DJ142" s="46">
        <f>'LINEST VARS'!$U$68+'LINEST VARS'!$T$68*(8)+'LINEST VARS'!$S$68*(8)+'LINEST VARS'!$R$68*($DJ$128)+'LINEST VARS'!$Q$68*(0.5)+'LINEST VARS'!$P$68*($CX142)+'LINEST VARS'!$O$68*(8^2)+'LINEST VARS'!$N$68*(8^2)+'LINEST VARS'!$M$68*($DJ$128^2)+'LINEST VARS'!$L$68*(0.5^2)+'LINEST VARS'!$K$68*($CX142^2)+'LINEST VARS'!$J$68*(8*8)+'LINEST VARS'!$I$68*(8*$DJ$128)+'LINEST VARS'!$H$68*(8*0.5)+'LINEST VARS'!$G$68*(8*$CX142)+'LINEST VARS'!$F$68*(8*$DJ$128)+'LINEST VARS'!$E$68*(8*0.5)+'LINEST VARS'!$D$68*(8*$CX142)+'LINEST VARS'!$C$68*($DJ$128*0.5)+'LINEST VARS'!$B$68*($DJ$128*$CX142)+'LINEST VARS'!$A$68*(0.5*$CX142)</f>
        <v>149</v>
      </c>
      <c r="DK142" s="46">
        <f>'LINEST VARS'!$U$68+'LINEST VARS'!$T$68*(8)+'LINEST VARS'!$S$68*(8)+'LINEST VARS'!$R$68*($DK$128)+'LINEST VARS'!$Q$68*(0.5)+'LINEST VARS'!$P$68*($CX142)+'LINEST VARS'!$O$68*(8^2)+'LINEST VARS'!$N$68*(8^2)+'LINEST VARS'!$M$68*($DK$128^2)+'LINEST VARS'!$L$68*(0.5^2)+'LINEST VARS'!$K$68*($CX142^2)+'LINEST VARS'!$J$68*(8*8)+'LINEST VARS'!$I$68*(8*$DK$128)+'LINEST VARS'!$H$68*(8*0.5)+'LINEST VARS'!$G$68*(8*$CX142)+'LINEST VARS'!$F$68*(8*$DK$128)+'LINEST VARS'!$E$68*(8*0.5)+'LINEST VARS'!$D$68*(8*$CX142)+'LINEST VARS'!$C$68*($DK$128*0.5)+'LINEST VARS'!$B$68*($DK$128*$CX142)+'LINEST VARS'!$A$68*(0.5*$CX142)</f>
        <v>149</v>
      </c>
      <c r="DL142" s="46">
        <f>'LINEST VARS'!$U$68+'LINEST VARS'!$T$68*(8)+'LINEST VARS'!$S$68*(8)+'LINEST VARS'!$R$68*($DL$128)+'LINEST VARS'!$Q$68*(0.5)+'LINEST VARS'!$P$68*($CX142)+'LINEST VARS'!$O$68*(8^2)+'LINEST VARS'!$N$68*(8^2)+'LINEST VARS'!$M$68*($DL$128^2)+'LINEST VARS'!$L$68*(0.5^2)+'LINEST VARS'!$K$68*($CX142^2)+'LINEST VARS'!$J$68*(8*8)+'LINEST VARS'!$I$68*(8*$DL$128)+'LINEST VARS'!$H$68*(8*0.5)+'LINEST VARS'!$G$68*(8*$CX142)+'LINEST VARS'!$F$68*(8*$DL$128)+'LINEST VARS'!$E$68*(8*0.5)+'LINEST VARS'!$D$68*(8*$CX142)+'LINEST VARS'!$C$68*($DL$128*0.5)+'LINEST VARS'!$B$68*($DL$128*$CX142)+'LINEST VARS'!$A$68*(0.5*$CX142)</f>
        <v>149</v>
      </c>
      <c r="DM142" s="46">
        <f>'LINEST VARS'!$U$68+'LINEST VARS'!$T$68*(8)+'LINEST VARS'!$S$68*(8)+'LINEST VARS'!$R$68*($DM$128)+'LINEST VARS'!$Q$68*(0.5)+'LINEST VARS'!$P$68*($CX142)+'LINEST VARS'!$O$68*(8^2)+'LINEST VARS'!$N$68*(8^2)+'LINEST VARS'!$M$68*($DM$128^2)+'LINEST VARS'!$L$68*(0.5^2)+'LINEST VARS'!$K$68*($CX142^2)+'LINEST VARS'!$J$68*(8*8)+'LINEST VARS'!$I$68*(8*$DM$128)+'LINEST VARS'!$H$68*(8*0.5)+'LINEST VARS'!$G$68*(8*$CX142)+'LINEST VARS'!$F$68*(8*$DM$128)+'LINEST VARS'!$E$68*(8*0.5)+'LINEST VARS'!$D$68*(8*$CX142)+'LINEST VARS'!$C$68*($DM$128*0.5)+'LINEST VARS'!$B$68*($DM$128*$CX142)+'LINEST VARS'!$A$68*(0.5*$CX142)</f>
        <v>149</v>
      </c>
      <c r="DN142" s="46">
        <f>'LINEST VARS'!$U$68+'LINEST VARS'!$T$68*(8)+'LINEST VARS'!$S$68*(8)+'LINEST VARS'!$R$68*($DN$128)+'LINEST VARS'!$Q$68*(0.5)+'LINEST VARS'!$P$68*($CX142)+'LINEST VARS'!$O$68*(8^2)+'LINEST VARS'!$N$68*(8^2)+'LINEST VARS'!$M$68*($DN$128^2)+'LINEST VARS'!$L$68*(0.5^2)+'LINEST VARS'!$K$68*($CX142^2)+'LINEST VARS'!$J$68*(8*8)+'LINEST VARS'!$I$68*(8*$DN$128)+'LINEST VARS'!$H$68*(8*0.5)+'LINEST VARS'!$G$68*(8*$CX142)+'LINEST VARS'!$F$68*(8*$DN$128)+'LINEST VARS'!$E$68*(8*0.5)+'LINEST VARS'!$D$68*(8*$CX142)+'LINEST VARS'!$C$68*($DN$128*0.5)+'LINEST VARS'!$B$68*($DN$128*$CX142)+'LINEST VARS'!$A$68*(0.5*$CX142)</f>
        <v>149</v>
      </c>
      <c r="DO142" s="46">
        <f>'LINEST VARS'!$U$68+'LINEST VARS'!$T$68*(8)+'LINEST VARS'!$S$68*(8)+'LINEST VARS'!$R$68*($DO$128)+'LINEST VARS'!$Q$68*(0.5)+'LINEST VARS'!$P$68*($CX142)+'LINEST VARS'!$O$68*(8^2)+'LINEST VARS'!$N$68*(8^2)+'LINEST VARS'!$M$68*($DO$128^2)+'LINEST VARS'!$L$68*(0.5^2)+'LINEST VARS'!$K$68*($CX142^2)+'LINEST VARS'!$J$68*(8*8)+'LINEST VARS'!$I$68*(8*$DO$128)+'LINEST VARS'!$H$68*(8*0.5)+'LINEST VARS'!$G$68*(8*$CX142)+'LINEST VARS'!$F$68*(8*$DO$128)+'LINEST VARS'!$E$68*(8*0.5)+'LINEST VARS'!$D$68*(8*$CX142)+'LINEST VARS'!$C$68*($DO$128*0.5)+'LINEST VARS'!$B$68*($DO$128*$CX142)+'LINEST VARS'!$A$68*(0.5*$CX142)</f>
        <v>149</v>
      </c>
      <c r="DP142" s="46">
        <f>'LINEST VARS'!$U$68+'LINEST VARS'!$T$68*(8)+'LINEST VARS'!$S$68*(8)+'LINEST VARS'!$R$68*($DP$128)+'LINEST VARS'!$Q$68*(0.5)+'LINEST VARS'!$P$68*($CX142)+'LINEST VARS'!$O$68*(8^2)+'LINEST VARS'!$N$68*(8^2)+'LINEST VARS'!$M$68*($DP$128^2)+'LINEST VARS'!$L$68*(0.5^2)+'LINEST VARS'!$K$68*($CX142^2)+'LINEST VARS'!$J$68*(8*8)+'LINEST VARS'!$I$68*(8*$DP$128)+'LINEST VARS'!$H$68*(8*0.5)+'LINEST VARS'!$G$68*(8*$CX142)+'LINEST VARS'!$F$68*(8*$DP$128)+'LINEST VARS'!$E$68*(8*0.5)+'LINEST VARS'!$D$68*(8*$CX142)+'LINEST VARS'!$C$68*($DP$128*0.5)+'LINEST VARS'!$B$68*($DP$128*$CX142)+'LINEST VARS'!$A$68*(0.5*$CX142)</f>
        <v>149</v>
      </c>
      <c r="DQ142" s="46">
        <f>'LINEST VARS'!$U$68+'LINEST VARS'!$T$68*(8)+'LINEST VARS'!$S$68*(8)+'LINEST VARS'!$R$68*($DQ$128)+'LINEST VARS'!$Q$68*(0.5)+'LINEST VARS'!$P$68*($CX142)+'LINEST VARS'!$O$68*(8^2)+'LINEST VARS'!$N$68*(8^2)+'LINEST VARS'!$M$68*($DQ$128^2)+'LINEST VARS'!$L$68*(0.5^2)+'LINEST VARS'!$K$68*($CX142^2)+'LINEST VARS'!$J$68*(8*8)+'LINEST VARS'!$I$68*(8*$DQ$128)+'LINEST VARS'!$H$68*(8*0.5)+'LINEST VARS'!$G$68*(8*$CX142)+'LINEST VARS'!$F$68*(8*$DQ$128)+'LINEST VARS'!$E$68*(8*0.5)+'LINEST VARS'!$D$68*(8*$CX142)+'LINEST VARS'!$C$68*($DQ$128*0.5)+'LINEST VARS'!$B$68*($DQ$128*$CX142)+'LINEST VARS'!$A$68*(0.5*$CX142)</f>
        <v>149</v>
      </c>
      <c r="DR142" s="46">
        <f>'LINEST VARS'!$U$68+'LINEST VARS'!$T$68*(8)+'LINEST VARS'!$S$68*(8)+'LINEST VARS'!$R$68*($DR$128)+'LINEST VARS'!$Q$68*(0.5)+'LINEST VARS'!$P$68*($CX142)+'LINEST VARS'!$O$68*(8^2)+'LINEST VARS'!$N$68*(8^2)+'LINEST VARS'!$M$68*($DR$128^2)+'LINEST VARS'!$L$68*(0.5^2)+'LINEST VARS'!$K$68*($CX142^2)+'LINEST VARS'!$J$68*(8*8)+'LINEST VARS'!$I$68*(8*$DR$128)+'LINEST VARS'!$H$68*(8*0.5)+'LINEST VARS'!$G$68*(8*$CX142)+'LINEST VARS'!$F$68*(8*$DR$128)+'LINEST VARS'!$E$68*(8*0.5)+'LINEST VARS'!$D$68*(8*$CX142)+'LINEST VARS'!$C$68*($DR$128*0.5)+'LINEST VARS'!$B$68*($DR$128*$CX142)+'LINEST VARS'!$A$68*(0.5*$CX142)</f>
        <v>149</v>
      </c>
      <c r="DS142" s="47">
        <f>'LINEST VARS'!$U$68+'LINEST VARS'!$T$68*(8)+'LINEST VARS'!$S$68*(8)+'LINEST VARS'!$R$68*($DS$128)+'LINEST VARS'!$Q$68*(0.5)+'LINEST VARS'!$P$68*($CX142)+'LINEST VARS'!$O$68*(8^2)+'LINEST VARS'!$N$68*(8^2)+'LINEST VARS'!$M$68*($DS$128^2)+'LINEST VARS'!$L$68*(0.5^2)+'LINEST VARS'!$K$68*($CX142^2)+'LINEST VARS'!$J$68*(8*8)+'LINEST VARS'!$I$68*(8*$DS$128)+'LINEST VARS'!$H$68*(8*0.5)+'LINEST VARS'!$G$68*(8*$CX142)+'LINEST VARS'!$F$68*(8*$DS$128)+'LINEST VARS'!$E$68*(8*0.5)+'LINEST VARS'!$D$68*(8*$CX142)+'LINEST VARS'!$C$68*($DS$128*0.5)+'LINEST VARS'!$B$68*($DS$128*$CX142)+'LINEST VARS'!$A$68*(0.5*$CX142)</f>
        <v>149</v>
      </c>
      <c r="DV142" s="45">
        <v>16.8935</v>
      </c>
      <c r="DW142" s="46">
        <f>'LINEST VARS'!$U$70+'LINEST VARS'!$T$70*(8)+'LINEST VARS'!$S$70*(8)+'LINEST VARS'!$R$70*($DW$128)+'LINEST VARS'!$Q$70*(0.5)+'LINEST VARS'!$P$70*($DV142)+'LINEST VARS'!$O$70*(8^2)+'LINEST VARS'!$N$70*(8^2)+'LINEST VARS'!$M$70*($DW$128^2)+'LINEST VARS'!$L$70*(0.5^2)+'LINEST VARS'!$K$70*($DV142^2)+'LINEST VARS'!$J$70*(8*8)+'LINEST VARS'!$I$70*(8*$DW$128)+'LINEST VARS'!$H$70*(8*0.5)+'LINEST VARS'!$G$70*(8*$DV142)+'LINEST VARS'!$F$70*(8*$DW$128)+'LINEST VARS'!$E$70*(8*0.5)+'LINEST VARS'!$D$70*(8*$DV142)+'LINEST VARS'!$C$70*($DW$128*0.5)+'LINEST VARS'!$B$70*($DW$128*$DV142)+'LINEST VARS'!$A$70*(0.5*$DV142)</f>
        <v>92.000000000000014</v>
      </c>
      <c r="DX142" s="46">
        <f>'LINEST VARS'!$U$70+'LINEST VARS'!$T$70*(8)+'LINEST VARS'!$S$70*(8)+'LINEST VARS'!$R$70*($DX$128)+'LINEST VARS'!$Q$70*(0.5)+'LINEST VARS'!$P$70*($DV142)+'LINEST VARS'!$O$70*(8^2)+'LINEST VARS'!$N$70*(8^2)+'LINEST VARS'!$M$70*($DX$128^2)+'LINEST VARS'!$L$70*(0.5^2)+'LINEST VARS'!$K$70*($DV142^2)+'LINEST VARS'!$J$70*(8*8)+'LINEST VARS'!$I$70*(8*$DX$128)+'LINEST VARS'!$H$70*(8*0.5)+'LINEST VARS'!$G$70*(8*$DV142)+'LINEST VARS'!$F$70*(8*$DX$128)+'LINEST VARS'!$E$70*(8*0.5)+'LINEST VARS'!$D$70*(8*$DV142)+'LINEST VARS'!$C$70*($DX$128*0.5)+'LINEST VARS'!$B$70*($DX$128*$DV142)+'LINEST VARS'!$A$70*(0.5*$DV142)</f>
        <v>91.600000000000009</v>
      </c>
      <c r="DY142" s="46">
        <f>'LINEST VARS'!$U$70+'LINEST VARS'!$T$70*(8)+'LINEST VARS'!$S$70*(8)+'LINEST VARS'!$R$70*($DY$128)+'LINEST VARS'!$Q$70*(0.5)+'LINEST VARS'!$P$70*($DV142)+'LINEST VARS'!$O$70*(8^2)+'LINEST VARS'!$N$70*(8^2)+'LINEST VARS'!$M$70*($DY$128^2)+'LINEST VARS'!$L$70*(0.5^2)+'LINEST VARS'!$K$70*($DV142^2)+'LINEST VARS'!$J$70*(8*8)+'LINEST VARS'!$I$70*(8*$DY$128)+'LINEST VARS'!$H$70*(8*0.5)+'LINEST VARS'!$G$70*(8*$DV142)+'LINEST VARS'!$F$70*(8*$DY$128)+'LINEST VARS'!$E$70*(8*0.5)+'LINEST VARS'!$D$70*(8*$DV142)+'LINEST VARS'!$C$70*($DY$128*0.5)+'LINEST VARS'!$B$70*($DY$128*$DV142)+'LINEST VARS'!$A$70*(0.5*$DV142)</f>
        <v>91.200000000000017</v>
      </c>
      <c r="DZ142" s="46">
        <f>'LINEST VARS'!$U$70+'LINEST VARS'!$T$70*(8)+'LINEST VARS'!$S$70*(8)+'LINEST VARS'!$R$70*($DZ$128)+'LINEST VARS'!$Q$70*(0.5)+'LINEST VARS'!$P$70*($DV142)+'LINEST VARS'!$O$70*(8^2)+'LINEST VARS'!$N$70*(8^2)+'LINEST VARS'!$M$70*($DZ$128^2)+'LINEST VARS'!$L$70*(0.5^2)+'LINEST VARS'!$K$70*($DV142^2)+'LINEST VARS'!$J$70*(8*8)+'LINEST VARS'!$I$70*(8*$DZ$128)+'LINEST VARS'!$H$70*(8*0.5)+'LINEST VARS'!$G$70*(8*$DV142)+'LINEST VARS'!$F$70*(8*$DZ$128)+'LINEST VARS'!$E$70*(8*0.5)+'LINEST VARS'!$D$70*(8*$DV142)+'LINEST VARS'!$C$70*($DZ$128*0.5)+'LINEST VARS'!$B$70*($DZ$128*$DV142)+'LINEST VARS'!$A$70*(0.5*$DV142)</f>
        <v>90.800000000000011</v>
      </c>
      <c r="EA142" s="46">
        <f>'LINEST VARS'!$U$70+'LINEST VARS'!$T$70*(8)+'LINEST VARS'!$S$70*(8)+'LINEST VARS'!$R$70*($EA$128)+'LINEST VARS'!$Q$70*(0.5)+'LINEST VARS'!$P$70*($DV142)+'LINEST VARS'!$O$70*(8^2)+'LINEST VARS'!$N$70*(8^2)+'LINEST VARS'!$M$70*($EA$128^2)+'LINEST VARS'!$L$70*(0.5^2)+'LINEST VARS'!$K$70*($DV142^2)+'LINEST VARS'!$J$70*(8*8)+'LINEST VARS'!$I$70*(8*$EA$128)+'LINEST VARS'!$H$70*(8*0.5)+'LINEST VARS'!$G$70*(8*$DV142)+'LINEST VARS'!$F$70*(8*$EA$128)+'LINEST VARS'!$E$70*(8*0.5)+'LINEST VARS'!$D$70*(8*$DV142)+'LINEST VARS'!$C$70*($EA$128*0.5)+'LINEST VARS'!$B$70*($EA$128*$DV142)+'LINEST VARS'!$A$70*(0.5*$DV142)</f>
        <v>90.40000000000002</v>
      </c>
      <c r="EB142" s="46">
        <f>'LINEST VARS'!$U$70+'LINEST VARS'!$T$70*(8)+'LINEST VARS'!$S$70*(8)+'LINEST VARS'!$R$70*($EB$128)+'LINEST VARS'!$Q$70*(0.5)+'LINEST VARS'!$P$70*($DV142)+'LINEST VARS'!$O$70*(8^2)+'LINEST VARS'!$N$70*(8^2)+'LINEST VARS'!$M$70*($EB$128^2)+'LINEST VARS'!$L$70*(0.5^2)+'LINEST VARS'!$K$70*($DV142^2)+'LINEST VARS'!$J$70*(8*8)+'LINEST VARS'!$I$70*(8*$EB$128)+'LINEST VARS'!$H$70*(8*0.5)+'LINEST VARS'!$G$70*(8*$DV142)+'LINEST VARS'!$F$70*(8*$EB$128)+'LINEST VARS'!$E$70*(8*0.5)+'LINEST VARS'!$D$70*(8*$DV142)+'LINEST VARS'!$C$70*($EB$128*0.5)+'LINEST VARS'!$B$70*($EB$128*$DV142)+'LINEST VARS'!$A$70*(0.5*$DV142)</f>
        <v>90.000000000000014</v>
      </c>
      <c r="EC142" s="46">
        <f>'LINEST VARS'!$U$70+'LINEST VARS'!$T$70*(8)+'LINEST VARS'!$S$70*(8)+'LINEST VARS'!$R$70*($EC$128)+'LINEST VARS'!$Q$70*(0.5)+'LINEST VARS'!$P$70*($DV142)+'LINEST VARS'!$O$70*(8^2)+'LINEST VARS'!$N$70*(8^2)+'LINEST VARS'!$M$70*($EC$128^2)+'LINEST VARS'!$L$70*(0.5^2)+'LINEST VARS'!$K$70*($DV142^2)+'LINEST VARS'!$J$70*(8*8)+'LINEST VARS'!$I$70*(8*$EC$128)+'LINEST VARS'!$H$70*(8*0.5)+'LINEST VARS'!$G$70*(8*$DV142)+'LINEST VARS'!$F$70*(8*$EC$128)+'LINEST VARS'!$E$70*(8*0.5)+'LINEST VARS'!$D$70*(8*$DV142)+'LINEST VARS'!$C$70*($EC$128*0.5)+'LINEST VARS'!$B$70*($EC$128*$DV142)+'LINEST VARS'!$A$70*(0.5*$DV142)</f>
        <v>89.600000000000023</v>
      </c>
      <c r="ED142" s="46">
        <f>'LINEST VARS'!$U$70+'LINEST VARS'!$T$70*(8)+'LINEST VARS'!$S$70*(8)+'LINEST VARS'!$R$70*($ED$128)+'LINEST VARS'!$Q$70*(0.5)+'LINEST VARS'!$P$70*($DV142)+'LINEST VARS'!$O$70*(8^2)+'LINEST VARS'!$N$70*(8^2)+'LINEST VARS'!$M$70*($ED$128^2)+'LINEST VARS'!$L$70*(0.5^2)+'LINEST VARS'!$K$70*($DV142^2)+'LINEST VARS'!$J$70*(8*8)+'LINEST VARS'!$I$70*(8*$ED$128)+'LINEST VARS'!$H$70*(8*0.5)+'LINEST VARS'!$G$70*(8*$DV142)+'LINEST VARS'!$F$70*(8*$ED$128)+'LINEST VARS'!$E$70*(8*0.5)+'LINEST VARS'!$D$70*(8*$DV142)+'LINEST VARS'!$C$70*($ED$128*0.5)+'LINEST VARS'!$B$70*($ED$128*$DV142)+'LINEST VARS'!$A$70*(0.5*$DV142)</f>
        <v>89.200000000000017</v>
      </c>
      <c r="EE142" s="46">
        <f>'LINEST VARS'!$U$70+'LINEST VARS'!$T$70*(8)+'LINEST VARS'!$S$70*(8)+'LINEST VARS'!$R$70*($EE$128)+'LINEST VARS'!$Q$70*(0.5)+'LINEST VARS'!$P$70*($DV142)+'LINEST VARS'!$O$70*(8^2)+'LINEST VARS'!$N$70*(8^2)+'LINEST VARS'!$M$70*($EE$128^2)+'LINEST VARS'!$L$70*(0.5^2)+'LINEST VARS'!$K$70*($DV142^2)+'LINEST VARS'!$J$70*(8*8)+'LINEST VARS'!$I$70*(8*$EE$128)+'LINEST VARS'!$H$70*(8*0.5)+'LINEST VARS'!$G$70*(8*$DV142)+'LINEST VARS'!$F$70*(8*$EE$128)+'LINEST VARS'!$E$70*(8*0.5)+'LINEST VARS'!$D$70*(8*$DV142)+'LINEST VARS'!$C$70*($EE$128*0.5)+'LINEST VARS'!$B$70*($EE$128*$DV142)+'LINEST VARS'!$A$70*(0.5*$DV142)</f>
        <v>88.800000000000026</v>
      </c>
      <c r="EF142" s="46">
        <f>'LINEST VARS'!$U$70+'LINEST VARS'!$T$70*(8)+'LINEST VARS'!$S$70*(8)+'LINEST VARS'!$R$70*($EF$128)+'LINEST VARS'!$Q$70*(0.5)+'LINEST VARS'!$P$70*($DV142)+'LINEST VARS'!$O$70*(8^2)+'LINEST VARS'!$N$70*(8^2)+'LINEST VARS'!$M$70*($EF$128^2)+'LINEST VARS'!$L$70*(0.5^2)+'LINEST VARS'!$K$70*($DV142^2)+'LINEST VARS'!$J$70*(8*8)+'LINEST VARS'!$I$70*(8*$EF$128)+'LINEST VARS'!$H$70*(8*0.5)+'LINEST VARS'!$G$70*(8*$DV142)+'LINEST VARS'!$F$70*(8*$EF$128)+'LINEST VARS'!$E$70*(8*0.5)+'LINEST VARS'!$D$70*(8*$DV142)+'LINEST VARS'!$C$70*($EF$128*0.5)+'LINEST VARS'!$B$70*($EF$128*$DV142)+'LINEST VARS'!$A$70*(0.5*$DV142)</f>
        <v>88.40000000000002</v>
      </c>
      <c r="EG142" s="46">
        <f>'LINEST VARS'!$U$70+'LINEST VARS'!$T$70*(8)+'LINEST VARS'!$S$70*(8)+'LINEST VARS'!$R$70*($EG$128)+'LINEST VARS'!$Q$70*(0.5)+'LINEST VARS'!$P$70*($DV142)+'LINEST VARS'!$O$70*(8^2)+'LINEST VARS'!$N$70*(8^2)+'LINEST VARS'!$M$70*($EG$128^2)+'LINEST VARS'!$L$70*(0.5^2)+'LINEST VARS'!$K$70*($DV142^2)+'LINEST VARS'!$J$70*(8*8)+'LINEST VARS'!$I$70*(8*$EG$128)+'LINEST VARS'!$H$70*(8*0.5)+'LINEST VARS'!$G$70*(8*$DV142)+'LINEST VARS'!$F$70*(8*$EG$128)+'LINEST VARS'!$E$70*(8*0.5)+'LINEST VARS'!$D$70*(8*$DV142)+'LINEST VARS'!$C$70*($EG$128*0.5)+'LINEST VARS'!$B$70*($EG$128*$DV142)+'LINEST VARS'!$A$70*(0.5*$DV142)</f>
        <v>88.000000000000014</v>
      </c>
      <c r="EH142" s="46">
        <f>'LINEST VARS'!$U$70+'LINEST VARS'!$T$70*(8)+'LINEST VARS'!$S$70*(8)+'LINEST VARS'!$R$70*($EH$128)+'LINEST VARS'!$Q$70*(0.5)+'LINEST VARS'!$P$70*($DV142)+'LINEST VARS'!$O$70*(8^2)+'LINEST VARS'!$N$70*(8^2)+'LINEST VARS'!$M$70*($EH$128^2)+'LINEST VARS'!$L$70*(0.5^2)+'LINEST VARS'!$K$70*($DV142^2)+'LINEST VARS'!$J$70*(8*8)+'LINEST VARS'!$I$70*(8*$EH$128)+'LINEST VARS'!$H$70*(8*0.5)+'LINEST VARS'!$G$70*(8*$DV142)+'LINEST VARS'!$F$70*(8*$EH$128)+'LINEST VARS'!$E$70*(8*0.5)+'LINEST VARS'!$D$70*(8*$DV142)+'LINEST VARS'!$C$70*($EH$128*0.5)+'LINEST VARS'!$B$70*($EH$128*$DV142)+'LINEST VARS'!$A$70*(0.5*$DV142)</f>
        <v>87.600000000000023</v>
      </c>
      <c r="EI142" s="46">
        <f>'LINEST VARS'!$U$70+'LINEST VARS'!$T$70*(8)+'LINEST VARS'!$S$70*(8)+'LINEST VARS'!$R$70*($EI$128)+'LINEST VARS'!$Q$70*(0.5)+'LINEST VARS'!$P$70*($DV142)+'LINEST VARS'!$O$70*(8^2)+'LINEST VARS'!$N$70*(8^2)+'LINEST VARS'!$M$70*($EI$128^2)+'LINEST VARS'!$L$70*(0.5^2)+'LINEST VARS'!$K$70*($DV142^2)+'LINEST VARS'!$J$70*(8*8)+'LINEST VARS'!$I$70*(8*$EI$128)+'LINEST VARS'!$H$70*(8*0.5)+'LINEST VARS'!$G$70*(8*$DV142)+'LINEST VARS'!$F$70*(8*$EI$128)+'LINEST VARS'!$E$70*(8*0.5)+'LINEST VARS'!$D$70*(8*$DV142)+'LINEST VARS'!$C$70*($EI$128*0.5)+'LINEST VARS'!$B$70*($EI$128*$DV142)+'LINEST VARS'!$A$70*(0.5*$DV142)</f>
        <v>87.200000000000017</v>
      </c>
      <c r="EJ142" s="46">
        <f>'LINEST VARS'!$U$70+'LINEST VARS'!$T$70*(8)+'LINEST VARS'!$S$70*(8)+'LINEST VARS'!$R$70*($EJ$128)+'LINEST VARS'!$Q$70*(0.5)+'LINEST VARS'!$P$70*($DV142)+'LINEST VARS'!$O$70*(8^2)+'LINEST VARS'!$N$70*(8^2)+'LINEST VARS'!$M$70*($EJ$128^2)+'LINEST VARS'!$L$70*(0.5^2)+'LINEST VARS'!$K$70*($DV142^2)+'LINEST VARS'!$J$70*(8*8)+'LINEST VARS'!$I$70*(8*$EJ$128)+'LINEST VARS'!$H$70*(8*0.5)+'LINEST VARS'!$G$70*(8*$DV142)+'LINEST VARS'!$F$70*(8*$EJ$128)+'LINEST VARS'!$E$70*(8*0.5)+'LINEST VARS'!$D$70*(8*$DV142)+'LINEST VARS'!$C$70*($EJ$128*0.5)+'LINEST VARS'!$B$70*($EJ$128*$DV142)+'LINEST VARS'!$A$70*(0.5*$DV142)</f>
        <v>86.800000000000026</v>
      </c>
      <c r="EK142" s="46">
        <f>'LINEST VARS'!$U$70+'LINEST VARS'!$T$70*(8)+'LINEST VARS'!$S$70*(8)+'LINEST VARS'!$R$70*($EK$128)+'LINEST VARS'!$Q$70*(0.5)+'LINEST VARS'!$P$70*($DV142)+'LINEST VARS'!$O$70*(8^2)+'LINEST VARS'!$N$70*(8^2)+'LINEST VARS'!$M$70*($EK$128^2)+'LINEST VARS'!$L$70*(0.5^2)+'LINEST VARS'!$K$70*($DV142^2)+'LINEST VARS'!$J$70*(8*8)+'LINEST VARS'!$I$70*(8*$EK$128)+'LINEST VARS'!$H$70*(8*0.5)+'LINEST VARS'!$G$70*(8*$DV142)+'LINEST VARS'!$F$70*(8*$EK$128)+'LINEST VARS'!$E$70*(8*0.5)+'LINEST VARS'!$D$70*(8*$DV142)+'LINEST VARS'!$C$70*($EK$128*0.5)+'LINEST VARS'!$B$70*($EK$128*$DV142)+'LINEST VARS'!$A$70*(0.5*$DV142)</f>
        <v>86.40000000000002</v>
      </c>
      <c r="EL142" s="46">
        <f>'LINEST VARS'!$U$70+'LINEST VARS'!$T$70*(8)+'LINEST VARS'!$S$70*(8)+'LINEST VARS'!$R$70*($EL$128)+'LINEST VARS'!$Q$70*(0.5)+'LINEST VARS'!$P$70*($DV142)+'LINEST VARS'!$O$70*(8^2)+'LINEST VARS'!$N$70*(8^2)+'LINEST VARS'!$M$70*($EL$128^2)+'LINEST VARS'!$L$70*(0.5^2)+'LINEST VARS'!$K$70*($DV142^2)+'LINEST VARS'!$J$70*(8*8)+'LINEST VARS'!$I$70*(8*$EL$128)+'LINEST VARS'!$H$70*(8*0.5)+'LINEST VARS'!$G$70*(8*$DV142)+'LINEST VARS'!$F$70*(8*$EL$128)+'LINEST VARS'!$E$70*(8*0.5)+'LINEST VARS'!$D$70*(8*$DV142)+'LINEST VARS'!$C$70*($EL$128*0.5)+'LINEST VARS'!$B$70*($EL$128*$DV142)+'LINEST VARS'!$A$70*(0.5*$DV142)</f>
        <v>86.000000000000014</v>
      </c>
      <c r="EM142" s="46">
        <f>'LINEST VARS'!$U$70+'LINEST VARS'!$T$70*(8)+'LINEST VARS'!$S$70*(8)+'LINEST VARS'!$R$70*($EM$128)+'LINEST VARS'!$Q$70*(0.5)+'LINEST VARS'!$P$70*($DV142)+'LINEST VARS'!$O$70*(8^2)+'LINEST VARS'!$N$70*(8^2)+'LINEST VARS'!$M$70*($EM$128^2)+'LINEST VARS'!$L$70*(0.5^2)+'LINEST VARS'!$K$70*($DV142^2)+'LINEST VARS'!$J$70*(8*8)+'LINEST VARS'!$I$70*(8*$EM$128)+'LINEST VARS'!$H$70*(8*0.5)+'LINEST VARS'!$G$70*(8*$DV142)+'LINEST VARS'!$F$70*(8*$EM$128)+'LINEST VARS'!$E$70*(8*0.5)+'LINEST VARS'!$D$70*(8*$DV142)+'LINEST VARS'!$C$70*($EM$128*0.5)+'LINEST VARS'!$B$70*($EM$128*$DV142)+'LINEST VARS'!$A$70*(0.5*$DV142)</f>
        <v>85.600000000000009</v>
      </c>
      <c r="EN142" s="46">
        <f>'LINEST VARS'!$U$70+'LINEST VARS'!$T$70*(8)+'LINEST VARS'!$S$70*(8)+'LINEST VARS'!$R$70*($EN$128)+'LINEST VARS'!$Q$70*(0.5)+'LINEST VARS'!$P$70*($DV142)+'LINEST VARS'!$O$70*(8^2)+'LINEST VARS'!$N$70*(8^2)+'LINEST VARS'!$M$70*($EN$128^2)+'LINEST VARS'!$L$70*(0.5^2)+'LINEST VARS'!$K$70*($DV142^2)+'LINEST VARS'!$J$70*(8*8)+'LINEST VARS'!$I$70*(8*$EN$128)+'LINEST VARS'!$H$70*(8*0.5)+'LINEST VARS'!$G$70*(8*$DV142)+'LINEST VARS'!$F$70*(8*$EN$128)+'LINEST VARS'!$E$70*(8*0.5)+'LINEST VARS'!$D$70*(8*$DV142)+'LINEST VARS'!$C$70*($EN$128*0.5)+'LINEST VARS'!$B$70*($EN$128*$DV142)+'LINEST VARS'!$A$70*(0.5*$DV142)</f>
        <v>85.200000000000017</v>
      </c>
      <c r="EO142" s="46">
        <f>'LINEST VARS'!$U$70+'LINEST VARS'!$T$70*(8)+'LINEST VARS'!$S$70*(8)+'LINEST VARS'!$R$70*($EO$128)+'LINEST VARS'!$Q$70*(0.5)+'LINEST VARS'!$P$70*($DV142)+'LINEST VARS'!$O$70*(8^2)+'LINEST VARS'!$N$70*(8^2)+'LINEST VARS'!$M$70*($EO$128^2)+'LINEST VARS'!$L$70*(0.5^2)+'LINEST VARS'!$K$70*($DV142^2)+'LINEST VARS'!$J$70*(8*8)+'LINEST VARS'!$I$70*(8*$EO$128)+'LINEST VARS'!$H$70*(8*0.5)+'LINEST VARS'!$G$70*(8*$DV142)+'LINEST VARS'!$F$70*(8*$EO$128)+'LINEST VARS'!$E$70*(8*0.5)+'LINEST VARS'!$D$70*(8*$DV142)+'LINEST VARS'!$C$70*($EO$128*0.5)+'LINEST VARS'!$B$70*($EO$128*$DV142)+'LINEST VARS'!$A$70*(0.5*$DV142)</f>
        <v>84.800000000000011</v>
      </c>
      <c r="EP142" s="46">
        <f>'LINEST VARS'!$U$70+'LINEST VARS'!$T$70*(8)+'LINEST VARS'!$S$70*(8)+'LINEST VARS'!$R$70*($EP$128)+'LINEST VARS'!$Q$70*(0.5)+'LINEST VARS'!$P$70*($DV142)+'LINEST VARS'!$O$70*(8^2)+'LINEST VARS'!$N$70*(8^2)+'LINEST VARS'!$M$70*($EP$128^2)+'LINEST VARS'!$L$70*(0.5^2)+'LINEST VARS'!$K$70*($DV142^2)+'LINEST VARS'!$J$70*(8*8)+'LINEST VARS'!$I$70*(8*$EP$128)+'LINEST VARS'!$H$70*(8*0.5)+'LINEST VARS'!$G$70*(8*$DV142)+'LINEST VARS'!$F$70*(8*$EP$128)+'LINEST VARS'!$E$70*(8*0.5)+'LINEST VARS'!$D$70*(8*$DV142)+'LINEST VARS'!$C$70*($EP$128*0.5)+'LINEST VARS'!$B$70*($EP$128*$DV142)+'LINEST VARS'!$A$70*(0.5*$DV142)</f>
        <v>84.400000000000034</v>
      </c>
      <c r="EQ142" s="47">
        <f>'LINEST VARS'!$U$70+'LINEST VARS'!$T$70*(8)+'LINEST VARS'!$S$70*(8)+'LINEST VARS'!$R$70*($EQ$128)+'LINEST VARS'!$Q$70*(0.5)+'LINEST VARS'!$P$70*($DV142)+'LINEST VARS'!$O$70*(8^2)+'LINEST VARS'!$N$70*(8^2)+'LINEST VARS'!$M$70*($EQ$128^2)+'LINEST VARS'!$L$70*(0.5^2)+'LINEST VARS'!$K$70*($DV142^2)+'LINEST VARS'!$J$70*(8*8)+'LINEST VARS'!$I$70*(8*$EQ$128)+'LINEST VARS'!$H$70*(8*0.5)+'LINEST VARS'!$G$70*(8*$DV142)+'LINEST VARS'!$F$70*(8*$EQ$128)+'LINEST VARS'!$E$70*(8*0.5)+'LINEST VARS'!$D$70*(8*$DV142)+'LINEST VARS'!$C$70*($EQ$128*0.5)+'LINEST VARS'!$B$70*($EQ$128*$DV142)+'LINEST VARS'!$A$70*(0.5*$DV142)</f>
        <v>84.000000000000028</v>
      </c>
    </row>
    <row r="143" spans="2:147" ht="15" customHeight="1" x14ac:dyDescent="0.25">
      <c r="B143" s="45">
        <v>8.24</v>
      </c>
      <c r="C143" s="46">
        <f>'LINEST VARS'!$U$68+'LINEST VARS'!$T$68*($C$128)+'LINEST VARS'!$S$68*($B143)+'LINEST VARS'!$R$68*(4)+'LINEST VARS'!$Q$68*(0.5)+'LINEST VARS'!$P$68*(12.73)+'LINEST VARS'!$O$68*($C$128^2)+'LINEST VARS'!$N$68*($B143^2)+'LINEST VARS'!$M$68*(4^2)+'LINEST VARS'!$L$68*(0.5^2)+'LINEST VARS'!$K$68*(12.73^2)+'LINEST VARS'!$J$68*($C$128*$B143)+'LINEST VARS'!$I$68*($C$128*4)+'LINEST VARS'!$H$68*($C$128*0.5)+'LINEST VARS'!$G$68*($C$128*12.73)+'LINEST VARS'!$F$68*($B143*4)+'LINEST VARS'!$E$68*($B143*0.5)+'LINEST VARS'!$D$68*($B143*12.73)+'LINEST VARS'!$C$68*(4*0.5)+'LINEST VARS'!$B$68*(4*12.73)+'LINEST VARS'!$A$68*(0.5*12.73)</f>
        <v>149</v>
      </c>
      <c r="D143" s="46">
        <f>'LINEST VARS'!$U$68+'LINEST VARS'!$T$68*($D$128)+'LINEST VARS'!$S$68*($B143)+'LINEST VARS'!$R$68*(4)+'LINEST VARS'!$Q$68*(0.5)+'LINEST VARS'!$P$68*(12.73)+'LINEST VARS'!$O$68*($D$128^2)+'LINEST VARS'!$N$68*($B143^2)+'LINEST VARS'!$M$68*(4^2)+'LINEST VARS'!$L$68*(0.5^2)+'LINEST VARS'!$K$68*(12.73^2)+'LINEST VARS'!$J$68*($D$128*$B143)+'LINEST VARS'!$I$68*($D$128*4)+'LINEST VARS'!$H$68*($D$128*0.5)+'LINEST VARS'!$G$68*($D$128*12.73)+'LINEST VARS'!$F$68*($B143*4)+'LINEST VARS'!$E$68*($B143*0.5)+'LINEST VARS'!$D$68*($B143*12.73)+'LINEST VARS'!$C$68*(4*0.5)+'LINEST VARS'!$B$68*(4*12.73)+'LINEST VARS'!$A$68*(0.5*12.73)</f>
        <v>149</v>
      </c>
      <c r="E143" s="46">
        <f>'LINEST VARS'!$U$68+'LINEST VARS'!$T$68*($E$128)+'LINEST VARS'!$S$68*($B143)+'LINEST VARS'!$R$68*(4)+'LINEST VARS'!$Q$68*(0.5)+'LINEST VARS'!$P$68*(12.73)+'LINEST VARS'!$O$68*($E$128^2)+'LINEST VARS'!$N$68*($B143^2)+'LINEST VARS'!$M$68*(4^2)+'LINEST VARS'!$L$68*(0.5^2)+'LINEST VARS'!$K$68*(12.73^2)+'LINEST VARS'!$J$68*($E$128*$B143)+'LINEST VARS'!$I$68*($E$128*4)+'LINEST VARS'!$H$68*($E$128*0.5)+'LINEST VARS'!$G$68*($E$128*12.73)+'LINEST VARS'!$F$68*($B143*4)+'LINEST VARS'!$E$68*($B143*0.5)+'LINEST VARS'!$D$68*($B143*12.73)+'LINEST VARS'!$C$68*(4*0.5)+'LINEST VARS'!$B$68*(4*12.73)+'LINEST VARS'!$A$68*(0.5*12.73)</f>
        <v>149</v>
      </c>
      <c r="F143" s="46">
        <f>'LINEST VARS'!$U$68+'LINEST VARS'!$T$68*($F$128)+'LINEST VARS'!$S$68*($B143)+'LINEST VARS'!$R$68*(4)+'LINEST VARS'!$Q$68*(0.5)+'LINEST VARS'!$P$68*(12.73)+'LINEST VARS'!$O$68*($F$128^2)+'LINEST VARS'!$N$68*($B143^2)+'LINEST VARS'!$M$68*(4^2)+'LINEST VARS'!$L$68*(0.5^2)+'LINEST VARS'!$K$68*(12.73^2)+'LINEST VARS'!$J$68*($F$128*$B143)+'LINEST VARS'!$I$68*($F$128*4)+'LINEST VARS'!$H$68*($F$128*0.5)+'LINEST VARS'!$G$68*($F$128*12.73)+'LINEST VARS'!$F$68*($B143*4)+'LINEST VARS'!$E$68*($B143*0.5)+'LINEST VARS'!$D$68*($B143*12.73)+'LINEST VARS'!$C$68*(4*0.5)+'LINEST VARS'!$B$68*(4*12.73)+'LINEST VARS'!$A$68*(0.5*12.73)</f>
        <v>149</v>
      </c>
      <c r="G143" s="46">
        <f>'LINEST VARS'!$U$68+'LINEST VARS'!$T$68*($G$128)+'LINEST VARS'!$S$68*($B143)+'LINEST VARS'!$R$68*(4)+'LINEST VARS'!$Q$68*(0.5)+'LINEST VARS'!$P$68*(12.73)+'LINEST VARS'!$O$68*($G$128^2)+'LINEST VARS'!$N$68*($B143^2)+'LINEST VARS'!$M$68*(4^2)+'LINEST VARS'!$L$68*(0.5^2)+'LINEST VARS'!$K$68*(12.73^2)+'LINEST VARS'!$J$68*($G$128*$B143)+'LINEST VARS'!$I$68*($G$128*4)+'LINEST VARS'!$H$68*($G$128*0.5)+'LINEST VARS'!$G$68*($G$128*12.73)+'LINEST VARS'!$F$68*($B143*4)+'LINEST VARS'!$E$68*($B143*0.5)+'LINEST VARS'!$D$68*($B143*12.73)+'LINEST VARS'!$C$68*(4*0.5)+'LINEST VARS'!$B$68*(4*12.73)+'LINEST VARS'!$A$68*(0.5*12.73)</f>
        <v>149</v>
      </c>
      <c r="H143" s="46">
        <f>'LINEST VARS'!$U$68+'LINEST VARS'!$T$68*($H$128)+'LINEST VARS'!$S$68*($B143)+'LINEST VARS'!$R$68*(4)+'LINEST VARS'!$Q$68*(0.5)+'LINEST VARS'!$P$68*(12.73)+'LINEST VARS'!$O$68*($H$128^2)+'LINEST VARS'!$N$68*($B143^2)+'LINEST VARS'!$M$68*(4^2)+'LINEST VARS'!$L$68*(0.5^2)+'LINEST VARS'!$K$68*(12.73^2)+'LINEST VARS'!$J$68*($H$128*$B143)+'LINEST VARS'!$I$68*($H$128*4)+'LINEST VARS'!$H$68*($H$128*0.5)+'LINEST VARS'!$G$68*($H$128*12.73)+'LINEST VARS'!$F$68*($B143*4)+'LINEST VARS'!$E$68*($B143*0.5)+'LINEST VARS'!$D$68*($B143*12.73)+'LINEST VARS'!$C$68*(4*0.5)+'LINEST VARS'!$B$68*(4*12.73)+'LINEST VARS'!$A$68*(0.5*12.73)</f>
        <v>149</v>
      </c>
      <c r="I143" s="46">
        <f>'LINEST VARS'!$U$68+'LINEST VARS'!$T$68*($I$128)+'LINEST VARS'!$S$68*($B143)+'LINEST VARS'!$R$68*(4)+'LINEST VARS'!$Q$68*(0.5)+'LINEST VARS'!$P$68*(12.73)+'LINEST VARS'!$O$68*($I$128^2)+'LINEST VARS'!$N$68*($B143^2)+'LINEST VARS'!$M$68*(4^2)+'LINEST VARS'!$L$68*(0.5^2)+'LINEST VARS'!$K$68*(12.73^2)+'LINEST VARS'!$J$68*($I$128*$B143)+'LINEST VARS'!$I$68*($I$128*4)+'LINEST VARS'!$H$68*($I$128*0.5)+'LINEST VARS'!$G$68*($I$128*12.73)+'LINEST VARS'!$F$68*($B143*4)+'LINEST VARS'!$E$68*($B143*0.5)+'LINEST VARS'!$D$68*($B143*12.73)+'LINEST VARS'!$C$68*(4*0.5)+'LINEST VARS'!$B$68*(4*12.73)+'LINEST VARS'!$A$68*(0.5*12.73)</f>
        <v>149</v>
      </c>
      <c r="J143" s="46">
        <f>'LINEST VARS'!$U$68+'LINEST VARS'!$T$68*($J$128)+'LINEST VARS'!$S$68*($B143)+'LINEST VARS'!$R$68*(4)+'LINEST VARS'!$Q$68*(0.5)+'LINEST VARS'!$P$68*(12.73)+'LINEST VARS'!$O$68*($J$128^2)+'LINEST VARS'!$N$68*($B143^2)+'LINEST VARS'!$M$68*(4^2)+'LINEST VARS'!$L$68*(0.5^2)+'LINEST VARS'!$K$68*(12.73^2)+'LINEST VARS'!$J$68*($J$128*$B143)+'LINEST VARS'!$I$68*($J$128*4)+'LINEST VARS'!$H$68*($J$128*0.5)+'LINEST VARS'!$G$68*($J$128*12.73)+'LINEST VARS'!$F$68*($B143*4)+'LINEST VARS'!$E$68*($B143*0.5)+'LINEST VARS'!$D$68*($B143*12.73)+'LINEST VARS'!$C$68*(4*0.5)+'LINEST VARS'!$B$68*(4*12.73)+'LINEST VARS'!$A$68*(0.5*12.73)</f>
        <v>149</v>
      </c>
      <c r="K143" s="46">
        <f>'LINEST VARS'!$U$68+'LINEST VARS'!$T$68*($K$128)+'LINEST VARS'!$S$68*($B143)+'LINEST VARS'!$R$68*(4)+'LINEST VARS'!$Q$68*(0.5)+'LINEST VARS'!$P$68*(12.73)+'LINEST VARS'!$O$68*($K$128^2)+'LINEST VARS'!$N$68*($B143^2)+'LINEST VARS'!$M$68*(4^2)+'LINEST VARS'!$L$68*(0.5^2)+'LINEST VARS'!$K$68*(12.73^2)+'LINEST VARS'!$J$68*($K$128*$B143)+'LINEST VARS'!$I$68*($K$128*4)+'LINEST VARS'!$H$68*($K$128*0.5)+'LINEST VARS'!$G$68*($K$128*12.73)+'LINEST VARS'!$F$68*($B143*4)+'LINEST VARS'!$E$68*($B143*0.5)+'LINEST VARS'!$D$68*($B143*12.73)+'LINEST VARS'!$C$68*(4*0.5)+'LINEST VARS'!$B$68*(4*12.73)+'LINEST VARS'!$A$68*(0.5*12.73)</f>
        <v>149</v>
      </c>
      <c r="L143" s="46">
        <f>'LINEST VARS'!$U$68+'LINEST VARS'!$T$68*($L$128)+'LINEST VARS'!$S$68*($B143)+'LINEST VARS'!$R$68*(4)+'LINEST VARS'!$Q$68*(0.5)+'LINEST VARS'!$P$68*(12.73)+'LINEST VARS'!$O$68*($L$128^2)+'LINEST VARS'!$N$68*($B143^2)+'LINEST VARS'!$M$68*(4^2)+'LINEST VARS'!$L$68*(0.5^2)+'LINEST VARS'!$K$68*(12.73^2)+'LINEST VARS'!$J$68*($L$128*$B143)+'LINEST VARS'!$I$68*($L$128*4)+'LINEST VARS'!$H$68*($L$128*0.5)+'LINEST VARS'!$G$68*($L$128*12.73)+'LINEST VARS'!$F$68*($B143*4)+'LINEST VARS'!$E$68*($B143*0.5)+'LINEST VARS'!$D$68*($B143*12.73)+'LINEST VARS'!$C$68*(4*0.5)+'LINEST VARS'!$B$68*(4*12.73)+'LINEST VARS'!$A$68*(0.5*12.73)</f>
        <v>149</v>
      </c>
      <c r="M143" s="46">
        <f>'LINEST VARS'!$U$68+'LINEST VARS'!$T$68*($M$128)+'LINEST VARS'!$S$68*($B143)+'LINEST VARS'!$R$68*(4)+'LINEST VARS'!$Q$68*(0.5)+'LINEST VARS'!$P$68*(12.73)+'LINEST VARS'!$O$68*($M$128^2)+'LINEST VARS'!$N$68*($B143^2)+'LINEST VARS'!$M$68*(4^2)+'LINEST VARS'!$L$68*(0.5^2)+'LINEST VARS'!$K$68*(12.73^2)+'LINEST VARS'!$J$68*($M$128*$B143)+'LINEST VARS'!$I$68*($M$128*4)+'LINEST VARS'!$H$68*($M$128*0.5)+'LINEST VARS'!$G$68*($M$128*12.73)+'LINEST VARS'!$F$68*($B143*4)+'LINEST VARS'!$E$68*($B143*0.5)+'LINEST VARS'!$D$68*($B143*12.73)+'LINEST VARS'!$C$68*(4*0.5)+'LINEST VARS'!$B$68*(4*12.73)+'LINEST VARS'!$A$68*(0.5*12.73)</f>
        <v>149</v>
      </c>
      <c r="N143" s="46">
        <f>'LINEST VARS'!$U$68+'LINEST VARS'!$T$68*($N$128)+'LINEST VARS'!$S$68*($B143)+'LINEST VARS'!$R$68*(4)+'LINEST VARS'!$Q$68*(0.5)+'LINEST VARS'!$P$68*(12.73)+'LINEST VARS'!$O$68*($N$128^2)+'LINEST VARS'!$N$68*($B143^2)+'LINEST VARS'!$M$68*(4^2)+'LINEST VARS'!$L$68*(0.5^2)+'LINEST VARS'!$K$68*(12.73^2)+'LINEST VARS'!$J$68*($N$128*$B143)+'LINEST VARS'!$I$68*($N$128*4)+'LINEST VARS'!$H$68*($N$128*0.5)+'LINEST VARS'!$G$68*($N$128*12.73)+'LINEST VARS'!$F$68*($B143*4)+'LINEST VARS'!$E$68*($B143*0.5)+'LINEST VARS'!$D$68*($B143*12.73)+'LINEST VARS'!$C$68*(4*0.5)+'LINEST VARS'!$B$68*(4*12.73)+'LINEST VARS'!$A$68*(0.5*12.73)</f>
        <v>149</v>
      </c>
      <c r="O143" s="46">
        <f>'LINEST VARS'!$U$68+'LINEST VARS'!$T$68*($O$128)+'LINEST VARS'!$S$68*($B143)+'LINEST VARS'!$R$68*(4)+'LINEST VARS'!$Q$68*(0.5)+'LINEST VARS'!$P$68*(12.73)+'LINEST VARS'!$O$68*($O$128^2)+'LINEST VARS'!$N$68*($B143^2)+'LINEST VARS'!$M$68*(4^2)+'LINEST VARS'!$L$68*(0.5^2)+'LINEST VARS'!$K$68*(12.73^2)+'LINEST VARS'!$J$68*($O$128*$B143)+'LINEST VARS'!$I$68*($O$128*4)+'LINEST VARS'!$H$68*($O$128*0.5)+'LINEST VARS'!$G$68*($O$128*12.73)+'LINEST VARS'!$F$68*($B143*4)+'LINEST VARS'!$E$68*($B143*0.5)+'LINEST VARS'!$D$68*($B143*12.73)+'LINEST VARS'!$C$68*(4*0.5)+'LINEST VARS'!$B$68*(4*12.73)+'LINEST VARS'!$A$68*(0.5*12.73)</f>
        <v>149</v>
      </c>
      <c r="P143" s="46">
        <f>'LINEST VARS'!$U$68+'LINEST VARS'!$T$68*($P$128)+'LINEST VARS'!$S$68*($B143)+'LINEST VARS'!$R$68*(4)+'LINEST VARS'!$Q$68*(0.5)+'LINEST VARS'!$P$68*(12.73)+'LINEST VARS'!$O$68*($P$128^2)+'LINEST VARS'!$N$68*($B143^2)+'LINEST VARS'!$M$68*(4^2)+'LINEST VARS'!$L$68*(0.5^2)+'LINEST VARS'!$K$68*(12.73^2)+'LINEST VARS'!$J$68*($P$128*$B143)+'LINEST VARS'!$I$68*($P$128*4)+'LINEST VARS'!$H$68*($P$128*0.5)+'LINEST VARS'!$G$68*($P$128*12.73)+'LINEST VARS'!$F$68*($B143*4)+'LINEST VARS'!$E$68*($B143*0.5)+'LINEST VARS'!$D$68*($B143*12.73)+'LINEST VARS'!$C$68*(4*0.5)+'LINEST VARS'!$B$68*(4*12.73)+'LINEST VARS'!$A$68*(0.5*12.73)</f>
        <v>149</v>
      </c>
      <c r="Q143" s="46">
        <f>'LINEST VARS'!$U$68+'LINEST VARS'!$T$68*($Q$128)+'LINEST VARS'!$S$68*($B143)+'LINEST VARS'!$R$68*(4)+'LINEST VARS'!$Q$68*(0.5)+'LINEST VARS'!$P$68*(12.73)+'LINEST VARS'!$O$68*($Q$128^2)+'LINEST VARS'!$N$68*($B143^2)+'LINEST VARS'!$M$68*(4^2)+'LINEST VARS'!$L$68*(0.5^2)+'LINEST VARS'!$K$68*(12.73^2)+'LINEST VARS'!$J$68*($Q$128*$B143)+'LINEST VARS'!$I$68*($Q$128*4)+'LINEST VARS'!$H$68*($Q$128*0.5)+'LINEST VARS'!$G$68*($Q$128*12.73)+'LINEST VARS'!$F$68*($B143*4)+'LINEST VARS'!$E$68*($B143*0.5)+'LINEST VARS'!$D$68*($B143*12.73)+'LINEST VARS'!$C$68*(4*0.5)+'LINEST VARS'!$B$68*(4*12.73)+'LINEST VARS'!$A$68*(0.5*12.73)</f>
        <v>149</v>
      </c>
      <c r="R143" s="46">
        <f>'LINEST VARS'!$U$68+'LINEST VARS'!$T$68*($R$128)+'LINEST VARS'!$S$68*($B143)+'LINEST VARS'!$R$68*(4)+'LINEST VARS'!$Q$68*(0.5)+'LINEST VARS'!$P$68*(12.73)+'LINEST VARS'!$O$68*($R$128^2)+'LINEST VARS'!$N$68*($B143^2)+'LINEST VARS'!$M$68*(4^2)+'LINEST VARS'!$L$68*(0.5^2)+'LINEST VARS'!$K$68*(12.73^2)+'LINEST VARS'!$J$68*($R$128*$B143)+'LINEST VARS'!$I$68*($R$128*4)+'LINEST VARS'!$H$68*($R$128*0.5)+'LINEST VARS'!$G$68*($R$128*12.73)+'LINEST VARS'!$F$68*($B143*4)+'LINEST VARS'!$E$68*($B143*0.5)+'LINEST VARS'!$D$68*($B143*12.73)+'LINEST VARS'!$C$68*(4*0.5)+'LINEST VARS'!$B$68*(4*12.73)+'LINEST VARS'!$A$68*(0.5*12.73)</f>
        <v>149</v>
      </c>
      <c r="S143" s="46">
        <f>'LINEST VARS'!$U$68+'LINEST VARS'!$T$68*($S$128)+'LINEST VARS'!$S$68*($B143)+'LINEST VARS'!$R$68*(4)+'LINEST VARS'!$Q$68*(0.5)+'LINEST VARS'!$P$68*(12.73)+'LINEST VARS'!$O$68*($S$128^2)+'LINEST VARS'!$N$68*($B143^2)+'LINEST VARS'!$M$68*(4^2)+'LINEST VARS'!$L$68*(0.5^2)+'LINEST VARS'!$K$68*(12.73^2)+'LINEST VARS'!$J$68*($S$128*$B143)+'LINEST VARS'!$I$68*($S$128*4)+'LINEST VARS'!$H$68*($S$128*0.5)+'LINEST VARS'!$G$68*($S$128*12.73)+'LINEST VARS'!$F$68*($B143*4)+'LINEST VARS'!$E$68*($B143*0.5)+'LINEST VARS'!$D$68*($B143*12.73)+'LINEST VARS'!$C$68*(4*0.5)+'LINEST VARS'!$B$68*(4*12.73)+'LINEST VARS'!$A$68*(0.5*12.73)</f>
        <v>149</v>
      </c>
      <c r="T143" s="46">
        <f>'LINEST VARS'!$U$68+'LINEST VARS'!$T$68*($T$128)+'LINEST VARS'!$S$68*($B143)+'LINEST VARS'!$R$68*(4)+'LINEST VARS'!$Q$68*(0.5)+'LINEST VARS'!$P$68*(12.73)+'LINEST VARS'!$O$68*($T$128^2)+'LINEST VARS'!$N$68*($B143^2)+'LINEST VARS'!$M$68*(4^2)+'LINEST VARS'!$L$68*(0.5^2)+'LINEST VARS'!$K$68*(12.73^2)+'LINEST VARS'!$J$68*($T$128*$B143)+'LINEST VARS'!$I$68*($T$128*4)+'LINEST VARS'!$H$68*($T$128*0.5)+'LINEST VARS'!$G$68*($T$128*12.73)+'LINEST VARS'!$F$68*($B143*4)+'LINEST VARS'!$E$68*($B143*0.5)+'LINEST VARS'!$D$68*($B143*12.73)+'LINEST VARS'!$C$68*(4*0.5)+'LINEST VARS'!$B$68*(4*12.73)+'LINEST VARS'!$A$68*(0.5*12.73)</f>
        <v>149</v>
      </c>
      <c r="U143" s="46">
        <f>'LINEST VARS'!$U$68+'LINEST VARS'!$T$68*($U$128)+'LINEST VARS'!$S$68*($B143)+'LINEST VARS'!$R$68*(4)+'LINEST VARS'!$Q$68*(0.5)+'LINEST VARS'!$P$68*(12.73)+'LINEST VARS'!$O$68*($U$128^2)+'LINEST VARS'!$N$68*($B143^2)+'LINEST VARS'!$M$68*(4^2)+'LINEST VARS'!$L$68*(0.5^2)+'LINEST VARS'!$K$68*(12.73^2)+'LINEST VARS'!$J$68*($U$128*$B143)+'LINEST VARS'!$I$68*($U$128*4)+'LINEST VARS'!$H$68*($U$128*0.5)+'LINEST VARS'!$G$68*($U$128*12.73)+'LINEST VARS'!$F$68*($B143*4)+'LINEST VARS'!$E$68*($B143*0.5)+'LINEST VARS'!$D$68*($B143*12.73)+'LINEST VARS'!$C$68*(4*0.5)+'LINEST VARS'!$B$68*(4*12.73)+'LINEST VARS'!$A$68*(0.5*12.73)</f>
        <v>149</v>
      </c>
      <c r="V143" s="46">
        <f>'LINEST VARS'!$U$68+'LINEST VARS'!$T$68*($V$128)+'LINEST VARS'!$S$68*($B143)+'LINEST VARS'!$R$68*(4)+'LINEST VARS'!$Q$68*(0.5)+'LINEST VARS'!$P$68*(12.73)+'LINEST VARS'!$O$68*($V$128^2)+'LINEST VARS'!$N$68*($B143^2)+'LINEST VARS'!$M$68*(4^2)+'LINEST VARS'!$L$68*(0.5^2)+'LINEST VARS'!$K$68*(12.73^2)+'LINEST VARS'!$J$68*($V$128*$B143)+'LINEST VARS'!$I$68*($V$128*4)+'LINEST VARS'!$H$68*($V$128*0.5)+'LINEST VARS'!$G$68*($V$128*12.73)+'LINEST VARS'!$F$68*($B143*4)+'LINEST VARS'!$E$68*($B143*0.5)+'LINEST VARS'!$D$68*($B143*12.73)+'LINEST VARS'!$C$68*(4*0.5)+'LINEST VARS'!$B$68*(4*12.73)+'LINEST VARS'!$A$68*(0.5*12.73)</f>
        <v>149</v>
      </c>
      <c r="W143" s="47">
        <f>'LINEST VARS'!$U$68+'LINEST VARS'!$T$68*($W$128)+'LINEST VARS'!$S$68*($B143)+'LINEST VARS'!$R$68*(4)+'LINEST VARS'!$Q$68*(0.5)+'LINEST VARS'!$P$68*(12.73)+'LINEST VARS'!$O$68*($W$128^2)+'LINEST VARS'!$N$68*($B143^2)+'LINEST VARS'!$M$68*(4^2)+'LINEST VARS'!$L$68*(0.5^2)+'LINEST VARS'!$K$68*(12.73^2)+'LINEST VARS'!$J$68*($W$128*$B143)+'LINEST VARS'!$I$68*($W$128*4)+'LINEST VARS'!$H$68*($W$128*0.5)+'LINEST VARS'!$G$68*($W$128*12.73)+'LINEST VARS'!$F$68*($B143*4)+'LINEST VARS'!$E$68*($B143*0.5)+'LINEST VARS'!$D$68*($B143*12.73)+'LINEST VARS'!$C$68*(4*0.5)+'LINEST VARS'!$B$68*(4*12.73)+'LINEST VARS'!$A$68*(0.5*12.73)</f>
        <v>149</v>
      </c>
      <c r="Z143" s="45">
        <v>8.24</v>
      </c>
      <c r="AA143" s="46">
        <f>'LINEST VARS'!$U$70+'LINEST VARS'!$T$70*($AA$128)+'LINEST VARS'!$S$70*($Z143)+'LINEST VARS'!$R$70*(4)+'LINEST VARS'!$Q$70*(0.5)+'LINEST VARS'!$P$70*(12.73)+'LINEST VARS'!$O$70*($AA$128^2)+'LINEST VARS'!$N$70*($Z143^2)+'LINEST VARS'!$M$70*(4^2)+'LINEST VARS'!$L$70*(0.5^2)+'LINEST VARS'!$K$70*(12.73^2)+'LINEST VARS'!$J$70*($AA$128*$Z143)+'LINEST VARS'!$I$70*($AA$128*4)+'LINEST VARS'!$H$70*($AA$128*0.5)+'LINEST VARS'!$G$70*($AA$128*12.73)+'LINEST VARS'!$F$70*($Z143*4)+'LINEST VARS'!$E$70*($Z143*0.5)+'LINEST VARS'!$D$70*($Z143*12.73)+'LINEST VARS'!$C$70*(4*0.5)+'LINEST VARS'!$B$70*(4*12.73)+'LINEST VARS'!$A$70*(0.5*12.73)</f>
        <v>88.360000000000028</v>
      </c>
      <c r="AB143" s="46">
        <f>'LINEST VARS'!$U$70+'LINEST VARS'!$T$70*($AB$128)+'LINEST VARS'!$S$70*($Z143)+'LINEST VARS'!$R$70*(4)+'LINEST VARS'!$Q$70*(0.5)+'LINEST VARS'!$P$70*(12.73)+'LINEST VARS'!$O$70*($AB$128^2)+'LINEST VARS'!$N$70*($Z143^2)+'LINEST VARS'!$M$70*(4^2)+'LINEST VARS'!$L$70*(0.5^2)+'LINEST VARS'!$K$70*(12.73^2)+'LINEST VARS'!$J$70*($AB$128*$Z143)+'LINEST VARS'!$I$70*($AB$128*4)+'LINEST VARS'!$H$70*($AB$128*0.5)+'LINEST VARS'!$G$70*($AB$128*12.73)+'LINEST VARS'!$F$70*($Z143*4)+'LINEST VARS'!$E$70*($Z143*0.5)+'LINEST VARS'!$D$70*($Z143*12.73)+'LINEST VARS'!$C$70*(4*0.5)+'LINEST VARS'!$B$70*(4*12.73)+'LINEST VARS'!$A$70*(0.5*12.73)</f>
        <v>88.360000000000028</v>
      </c>
      <c r="AC143" s="46">
        <f>'LINEST VARS'!$U$70+'LINEST VARS'!$T$70*($AC$128)+'LINEST VARS'!$S$70*($Z143)+'LINEST VARS'!$R$70*(4)+'LINEST VARS'!$Q$70*(0.5)+'LINEST VARS'!$P$70*(12.73)+'LINEST VARS'!$O$70*($AC$128^2)+'LINEST VARS'!$N$70*($Z143^2)+'LINEST VARS'!$M$70*(4^2)+'LINEST VARS'!$L$70*(0.5^2)+'LINEST VARS'!$K$70*(12.73^2)+'LINEST VARS'!$J$70*($AC$128*$Z143)+'LINEST VARS'!$I$70*($AC$128*4)+'LINEST VARS'!$H$70*($AC$128*0.5)+'LINEST VARS'!$G$70*($AC$128*12.73)+'LINEST VARS'!$F$70*($Z143*4)+'LINEST VARS'!$E$70*($Z143*0.5)+'LINEST VARS'!$D$70*($Z143*12.73)+'LINEST VARS'!$C$70*(4*0.5)+'LINEST VARS'!$B$70*(4*12.73)+'LINEST VARS'!$A$70*(0.5*12.73)</f>
        <v>88.360000000000028</v>
      </c>
      <c r="AD143" s="46">
        <f>'LINEST VARS'!$U$70+'LINEST VARS'!$T$70*($AD$128)+'LINEST VARS'!$S$70*($Z143)+'LINEST VARS'!$R$70*(4)+'LINEST VARS'!$Q$70*(0.5)+'LINEST VARS'!$P$70*(12.73)+'LINEST VARS'!$O$70*($AD$128^2)+'LINEST VARS'!$N$70*($Z143^2)+'LINEST VARS'!$M$70*(4^2)+'LINEST VARS'!$L$70*(0.5^2)+'LINEST VARS'!$K$70*(12.73^2)+'LINEST VARS'!$J$70*($AD$128*$Z143)+'LINEST VARS'!$I$70*($AD$128*4)+'LINEST VARS'!$H$70*($AD$128*0.5)+'LINEST VARS'!$G$70*($AD$128*12.73)+'LINEST VARS'!$F$70*($Z143*4)+'LINEST VARS'!$E$70*($Z143*0.5)+'LINEST VARS'!$D$70*($Z143*12.73)+'LINEST VARS'!$C$70*(4*0.5)+'LINEST VARS'!$B$70*(4*12.73)+'LINEST VARS'!$A$70*(0.5*12.73)</f>
        <v>88.360000000000028</v>
      </c>
      <c r="AE143" s="46">
        <f>'LINEST VARS'!$U$70+'LINEST VARS'!$T$70*($AE$128)+'LINEST VARS'!$S$70*($Z143)+'LINEST VARS'!$R$70*(4)+'LINEST VARS'!$Q$70*(0.5)+'LINEST VARS'!$P$70*(12.73)+'LINEST VARS'!$O$70*($AE$128^2)+'LINEST VARS'!$N$70*($Z143^2)+'LINEST VARS'!$M$70*(4^2)+'LINEST VARS'!$L$70*(0.5^2)+'LINEST VARS'!$K$70*(12.73^2)+'LINEST VARS'!$J$70*($AE$128*$Z143)+'LINEST VARS'!$I$70*($AE$128*4)+'LINEST VARS'!$H$70*($AE$128*0.5)+'LINEST VARS'!$G$70*($AE$128*12.73)+'LINEST VARS'!$F$70*($Z143*4)+'LINEST VARS'!$E$70*($Z143*0.5)+'LINEST VARS'!$D$70*($Z143*12.73)+'LINEST VARS'!$C$70*(4*0.5)+'LINEST VARS'!$B$70*(4*12.73)+'LINEST VARS'!$A$70*(0.5*12.73)</f>
        <v>88.360000000000028</v>
      </c>
      <c r="AF143" s="46">
        <f>'LINEST VARS'!$U$70+'LINEST VARS'!$T$70*($AF$128)+'LINEST VARS'!$S$70*($Z143)+'LINEST VARS'!$R$70*(4)+'LINEST VARS'!$Q$70*(0.5)+'LINEST VARS'!$P$70*(12.73)+'LINEST VARS'!$O$70*($AF$128^2)+'LINEST VARS'!$N$70*($Z143^2)+'LINEST VARS'!$M$70*(4^2)+'LINEST VARS'!$L$70*(0.5^2)+'LINEST VARS'!$K$70*(12.73^2)+'LINEST VARS'!$J$70*($AF$128*$Z143)+'LINEST VARS'!$I$70*($AF$128*4)+'LINEST VARS'!$H$70*($AF$128*0.5)+'LINEST VARS'!$G$70*($AF$128*12.73)+'LINEST VARS'!$F$70*($Z143*4)+'LINEST VARS'!$E$70*($Z143*0.5)+'LINEST VARS'!$D$70*($Z143*12.73)+'LINEST VARS'!$C$70*(4*0.5)+'LINEST VARS'!$B$70*(4*12.73)+'LINEST VARS'!$A$70*(0.5*12.73)</f>
        <v>88.360000000000028</v>
      </c>
      <c r="AG143" s="46">
        <f>'LINEST VARS'!$U$70+'LINEST VARS'!$T$70*($AG$128)+'LINEST VARS'!$S$70*($Z143)+'LINEST VARS'!$R$70*(4)+'LINEST VARS'!$Q$70*(0.5)+'LINEST VARS'!$P$70*(12.73)+'LINEST VARS'!$O$70*($AG$128^2)+'LINEST VARS'!$N$70*($Z143^2)+'LINEST VARS'!$M$70*(4^2)+'LINEST VARS'!$L$70*(0.5^2)+'LINEST VARS'!$K$70*(12.73^2)+'LINEST VARS'!$J$70*($AG$128*$Z143)+'LINEST VARS'!$I$70*($AG$128*4)+'LINEST VARS'!$H$70*($AG$128*0.5)+'LINEST VARS'!$G$70*($AG$128*12.73)+'LINEST VARS'!$F$70*($Z143*4)+'LINEST VARS'!$E$70*($Z143*0.5)+'LINEST VARS'!$D$70*($Z143*12.73)+'LINEST VARS'!$C$70*(4*0.5)+'LINEST VARS'!$B$70*(4*12.73)+'LINEST VARS'!$A$70*(0.5*12.73)</f>
        <v>88.360000000000028</v>
      </c>
      <c r="AH143" s="46">
        <f>'LINEST VARS'!$U$70+'LINEST VARS'!$T$70*($AH$128)+'LINEST VARS'!$S$70*($Z143)+'LINEST VARS'!$R$70*(4)+'LINEST VARS'!$Q$70*(0.5)+'LINEST VARS'!$P$70*(12.73)+'LINEST VARS'!$O$70*($AH$128^2)+'LINEST VARS'!$N$70*($Z143^2)+'LINEST VARS'!$M$70*(4^2)+'LINEST VARS'!$L$70*(0.5^2)+'LINEST VARS'!$K$70*(12.73^2)+'LINEST VARS'!$J$70*($AH$128*$Z143)+'LINEST VARS'!$I$70*($AH$128*4)+'LINEST VARS'!$H$70*($AH$128*0.5)+'LINEST VARS'!$G$70*($AH$128*12.73)+'LINEST VARS'!$F$70*($Z143*4)+'LINEST VARS'!$E$70*($Z143*0.5)+'LINEST VARS'!$D$70*($Z143*12.73)+'LINEST VARS'!$C$70*(4*0.5)+'LINEST VARS'!$B$70*(4*12.73)+'LINEST VARS'!$A$70*(0.5*12.73)</f>
        <v>88.360000000000028</v>
      </c>
      <c r="AI143" s="46">
        <f>'LINEST VARS'!$U$70+'LINEST VARS'!$T$70*($AI$128)+'LINEST VARS'!$S$70*($Z143)+'LINEST VARS'!$R$70*(4)+'LINEST VARS'!$Q$70*(0.5)+'LINEST VARS'!$P$70*(12.73)+'LINEST VARS'!$O$70*($AI$128^2)+'LINEST VARS'!$N$70*($Z143^2)+'LINEST VARS'!$M$70*(4^2)+'LINEST VARS'!$L$70*(0.5^2)+'LINEST VARS'!$K$70*(12.73^2)+'LINEST VARS'!$J$70*($AI$128*$Z143)+'LINEST VARS'!$I$70*($AI$128*4)+'LINEST VARS'!$H$70*($AI$128*0.5)+'LINEST VARS'!$G$70*($AI$128*12.73)+'LINEST VARS'!$F$70*($Z143*4)+'LINEST VARS'!$E$70*($Z143*0.5)+'LINEST VARS'!$D$70*($Z143*12.73)+'LINEST VARS'!$C$70*(4*0.5)+'LINEST VARS'!$B$70*(4*12.73)+'LINEST VARS'!$A$70*(0.5*12.73)</f>
        <v>88.360000000000028</v>
      </c>
      <c r="AJ143" s="46">
        <f>'LINEST VARS'!$U$70+'LINEST VARS'!$T$70*($AJ$128)+'LINEST VARS'!$S$70*($Z143)+'LINEST VARS'!$R$70*(4)+'LINEST VARS'!$Q$70*(0.5)+'LINEST VARS'!$P$70*(12.73)+'LINEST VARS'!$O$70*($AJ$128^2)+'LINEST VARS'!$N$70*($Z143^2)+'LINEST VARS'!$M$70*(4^2)+'LINEST VARS'!$L$70*(0.5^2)+'LINEST VARS'!$K$70*(12.73^2)+'LINEST VARS'!$J$70*($AJ$128*$Z143)+'LINEST VARS'!$I$70*($AJ$128*4)+'LINEST VARS'!$H$70*($AJ$128*0.5)+'LINEST VARS'!$G$70*($AJ$128*12.73)+'LINEST VARS'!$F$70*($Z143*4)+'LINEST VARS'!$E$70*($Z143*0.5)+'LINEST VARS'!$D$70*($Z143*12.73)+'LINEST VARS'!$C$70*(4*0.5)+'LINEST VARS'!$B$70*(4*12.73)+'LINEST VARS'!$A$70*(0.5*12.73)</f>
        <v>88.360000000000028</v>
      </c>
      <c r="AK143" s="46">
        <f>'LINEST VARS'!$U$70+'LINEST VARS'!$T$70*($AK$128)+'LINEST VARS'!$S$70*($Z143)+'LINEST VARS'!$R$70*(4)+'LINEST VARS'!$Q$70*(0.5)+'LINEST VARS'!$P$70*(12.73)+'LINEST VARS'!$O$70*($AK$128^2)+'LINEST VARS'!$N$70*($Z143^2)+'LINEST VARS'!$M$70*(4^2)+'LINEST VARS'!$L$70*(0.5^2)+'LINEST VARS'!$K$70*(12.73^2)+'LINEST VARS'!$J$70*($AK$128*$Z143)+'LINEST VARS'!$I$70*($AK$128*4)+'LINEST VARS'!$H$70*($AK$128*0.5)+'LINEST VARS'!$G$70*($AK$128*12.73)+'LINEST VARS'!$F$70*($Z143*4)+'LINEST VARS'!$E$70*($Z143*0.5)+'LINEST VARS'!$D$70*($Z143*12.73)+'LINEST VARS'!$C$70*(4*0.5)+'LINEST VARS'!$B$70*(4*12.73)+'LINEST VARS'!$A$70*(0.5*12.73)</f>
        <v>88.360000000000028</v>
      </c>
      <c r="AL143" s="46">
        <f>'LINEST VARS'!$U$70+'LINEST VARS'!$T$70*($AL$128)+'LINEST VARS'!$S$70*($Z143)+'LINEST VARS'!$R$70*(4)+'LINEST VARS'!$Q$70*(0.5)+'LINEST VARS'!$P$70*(12.73)+'LINEST VARS'!$O$70*($AL$128^2)+'LINEST VARS'!$N$70*($Z143^2)+'LINEST VARS'!$M$70*(4^2)+'LINEST VARS'!$L$70*(0.5^2)+'LINEST VARS'!$K$70*(12.73^2)+'LINEST VARS'!$J$70*($AL$128*$Z143)+'LINEST VARS'!$I$70*($AL$128*4)+'LINEST VARS'!$H$70*($AL$128*0.5)+'LINEST VARS'!$G$70*($AL$128*12.73)+'LINEST VARS'!$F$70*($Z143*4)+'LINEST VARS'!$E$70*($Z143*0.5)+'LINEST VARS'!$D$70*($Z143*12.73)+'LINEST VARS'!$C$70*(4*0.5)+'LINEST VARS'!$B$70*(4*12.73)+'LINEST VARS'!$A$70*(0.5*12.73)</f>
        <v>88.360000000000028</v>
      </c>
      <c r="AM143" s="46">
        <f>'LINEST VARS'!$U$70+'LINEST VARS'!$T$70*($AM$128)+'LINEST VARS'!$S$70*($Z143)+'LINEST VARS'!$R$70*(4)+'LINEST VARS'!$Q$70*(0.5)+'LINEST VARS'!$P$70*(12.73)+'LINEST VARS'!$O$70*($AM$128^2)+'LINEST VARS'!$N$70*($Z143^2)+'LINEST VARS'!$M$70*(4^2)+'LINEST VARS'!$L$70*(0.5^2)+'LINEST VARS'!$K$70*(12.73^2)+'LINEST VARS'!$J$70*($AM$128*$Z143)+'LINEST VARS'!$I$70*($AM$128*4)+'LINEST VARS'!$H$70*($AM$128*0.5)+'LINEST VARS'!$G$70*($AM$128*12.73)+'LINEST VARS'!$F$70*($Z143*4)+'LINEST VARS'!$E$70*($Z143*0.5)+'LINEST VARS'!$D$70*($Z143*12.73)+'LINEST VARS'!$C$70*(4*0.5)+'LINEST VARS'!$B$70*(4*12.73)+'LINEST VARS'!$A$70*(0.5*12.73)</f>
        <v>88.360000000000028</v>
      </c>
      <c r="AN143" s="46">
        <f>'LINEST VARS'!$U$70+'LINEST VARS'!$T$70*($AN$128)+'LINEST VARS'!$S$70*($Z143)+'LINEST VARS'!$R$70*(4)+'LINEST VARS'!$Q$70*(0.5)+'LINEST VARS'!$P$70*(12.73)+'LINEST VARS'!$O$70*($AN$128^2)+'LINEST VARS'!$N$70*($Z143^2)+'LINEST VARS'!$M$70*(4^2)+'LINEST VARS'!$L$70*(0.5^2)+'LINEST VARS'!$K$70*(12.73^2)+'LINEST VARS'!$J$70*($AN$128*$Z143)+'LINEST VARS'!$I$70*($AN$128*4)+'LINEST VARS'!$H$70*($AN$128*0.5)+'LINEST VARS'!$G$70*($AN$128*12.73)+'LINEST VARS'!$F$70*($Z143*4)+'LINEST VARS'!$E$70*($Z143*0.5)+'LINEST VARS'!$D$70*($Z143*12.73)+'LINEST VARS'!$C$70*(4*0.5)+'LINEST VARS'!$B$70*(4*12.73)+'LINEST VARS'!$A$70*(0.5*12.73)</f>
        <v>88.360000000000028</v>
      </c>
      <c r="AO143" s="46">
        <f>'LINEST VARS'!$U$70+'LINEST VARS'!$T$70*($AO$128)+'LINEST VARS'!$S$70*($Z143)+'LINEST VARS'!$R$70*(4)+'LINEST VARS'!$Q$70*(0.5)+'LINEST VARS'!$P$70*(12.73)+'LINEST VARS'!$O$70*($AO$128^2)+'LINEST VARS'!$N$70*($Z143^2)+'LINEST VARS'!$M$70*(4^2)+'LINEST VARS'!$L$70*(0.5^2)+'LINEST VARS'!$K$70*(12.73^2)+'LINEST VARS'!$J$70*($AO$128*$Z143)+'LINEST VARS'!$I$70*($AO$128*4)+'LINEST VARS'!$H$70*($AO$128*0.5)+'LINEST VARS'!$G$70*($AO$128*12.73)+'LINEST VARS'!$F$70*($Z143*4)+'LINEST VARS'!$E$70*($Z143*0.5)+'LINEST VARS'!$D$70*($Z143*12.73)+'LINEST VARS'!$C$70*(4*0.5)+'LINEST VARS'!$B$70*(4*12.73)+'LINEST VARS'!$A$70*(0.5*12.73)</f>
        <v>88.360000000000028</v>
      </c>
      <c r="AP143" s="46">
        <f>'LINEST VARS'!$U$70+'LINEST VARS'!$T$70*($AP$128)+'LINEST VARS'!$S$70*($Z143)+'LINEST VARS'!$R$70*(4)+'LINEST VARS'!$Q$70*(0.5)+'LINEST VARS'!$P$70*(12.73)+'LINEST VARS'!$O$70*($AP$128^2)+'LINEST VARS'!$N$70*($Z143^2)+'LINEST VARS'!$M$70*(4^2)+'LINEST VARS'!$L$70*(0.5^2)+'LINEST VARS'!$K$70*(12.73^2)+'LINEST VARS'!$J$70*($AP$128*$Z143)+'LINEST VARS'!$I$70*($AP$128*4)+'LINEST VARS'!$H$70*($AP$128*0.5)+'LINEST VARS'!$G$70*($AP$128*12.73)+'LINEST VARS'!$F$70*($Z143*4)+'LINEST VARS'!$E$70*($Z143*0.5)+'LINEST VARS'!$D$70*($Z143*12.73)+'LINEST VARS'!$C$70*(4*0.5)+'LINEST VARS'!$B$70*(4*12.73)+'LINEST VARS'!$A$70*(0.5*12.73)</f>
        <v>88.360000000000028</v>
      </c>
      <c r="AQ143" s="46">
        <f>'LINEST VARS'!$U$70+'LINEST VARS'!$T$70*($AQ$128)+'LINEST VARS'!$S$70*($Z143)+'LINEST VARS'!$R$70*(4)+'LINEST VARS'!$Q$70*(0.5)+'LINEST VARS'!$P$70*(12.73)+'LINEST VARS'!$O$70*($AQ$128^2)+'LINEST VARS'!$N$70*($Z143^2)+'LINEST VARS'!$M$70*(4^2)+'LINEST VARS'!$L$70*(0.5^2)+'LINEST VARS'!$K$70*(12.73^2)+'LINEST VARS'!$J$70*($AQ$128*$Z143)+'LINEST VARS'!$I$70*($AQ$128*4)+'LINEST VARS'!$H$70*($AQ$128*0.5)+'LINEST VARS'!$G$70*($AQ$128*12.73)+'LINEST VARS'!$F$70*($Z143*4)+'LINEST VARS'!$E$70*($Z143*0.5)+'LINEST VARS'!$D$70*($Z143*12.73)+'LINEST VARS'!$C$70*(4*0.5)+'LINEST VARS'!$B$70*(4*12.73)+'LINEST VARS'!$A$70*(0.5*12.73)</f>
        <v>88.360000000000028</v>
      </c>
      <c r="AR143" s="46">
        <f>'LINEST VARS'!$U$70+'LINEST VARS'!$T$70*($AR$128)+'LINEST VARS'!$S$70*($Z143)+'LINEST VARS'!$R$70*(4)+'LINEST VARS'!$Q$70*(0.5)+'LINEST VARS'!$P$70*(12.73)+'LINEST VARS'!$O$70*($AR$128^2)+'LINEST VARS'!$N$70*($Z143^2)+'LINEST VARS'!$M$70*(4^2)+'LINEST VARS'!$L$70*(0.5^2)+'LINEST VARS'!$K$70*(12.73^2)+'LINEST VARS'!$J$70*($AR$128*$Z143)+'LINEST VARS'!$I$70*($AR$128*4)+'LINEST VARS'!$H$70*($AR$128*0.5)+'LINEST VARS'!$G$70*($AR$128*12.73)+'LINEST VARS'!$F$70*($Z143*4)+'LINEST VARS'!$E$70*($Z143*0.5)+'LINEST VARS'!$D$70*($Z143*12.73)+'LINEST VARS'!$C$70*(4*0.5)+'LINEST VARS'!$B$70*(4*12.73)+'LINEST VARS'!$A$70*(0.5*12.73)</f>
        <v>88.360000000000028</v>
      </c>
      <c r="AS143" s="46">
        <f>'LINEST VARS'!$U$70+'LINEST VARS'!$T$70*($AS$128)+'LINEST VARS'!$S$70*($Z143)+'LINEST VARS'!$R$70*(4)+'LINEST VARS'!$Q$70*(0.5)+'LINEST VARS'!$P$70*(12.73)+'LINEST VARS'!$O$70*($AS$128^2)+'LINEST VARS'!$N$70*($Z143^2)+'LINEST VARS'!$M$70*(4^2)+'LINEST VARS'!$L$70*(0.5^2)+'LINEST VARS'!$K$70*(12.73^2)+'LINEST VARS'!$J$70*($AS$128*$Z143)+'LINEST VARS'!$I$70*($AS$128*4)+'LINEST VARS'!$H$70*($AS$128*0.5)+'LINEST VARS'!$G$70*($AS$128*12.73)+'LINEST VARS'!$F$70*($Z143*4)+'LINEST VARS'!$E$70*($Z143*0.5)+'LINEST VARS'!$D$70*($Z143*12.73)+'LINEST VARS'!$C$70*(4*0.5)+'LINEST VARS'!$B$70*(4*12.73)+'LINEST VARS'!$A$70*(0.5*12.73)</f>
        <v>88.360000000000028</v>
      </c>
      <c r="AT143" s="46">
        <f>'LINEST VARS'!$U$70+'LINEST VARS'!$T$70*($AT$128)+'LINEST VARS'!$S$70*($Z143)+'LINEST VARS'!$R$70*(4)+'LINEST VARS'!$Q$70*(0.5)+'LINEST VARS'!$P$70*(12.73)+'LINEST VARS'!$O$70*($AT$128^2)+'LINEST VARS'!$N$70*($Z143^2)+'LINEST VARS'!$M$70*(4^2)+'LINEST VARS'!$L$70*(0.5^2)+'LINEST VARS'!$K$70*(12.73^2)+'LINEST VARS'!$J$70*($AT$128*$Z143)+'LINEST VARS'!$I$70*($AT$128*4)+'LINEST VARS'!$H$70*($AT$128*0.5)+'LINEST VARS'!$G$70*($AT$128*12.73)+'LINEST VARS'!$F$70*($Z143*4)+'LINEST VARS'!$E$70*($Z143*0.5)+'LINEST VARS'!$D$70*($Z143*12.73)+'LINEST VARS'!$C$70*(4*0.5)+'LINEST VARS'!$B$70*(4*12.73)+'LINEST VARS'!$A$70*(0.5*12.73)</f>
        <v>88.360000000000028</v>
      </c>
      <c r="AU143" s="47">
        <f>'LINEST VARS'!$U$70+'LINEST VARS'!$T$70*($AU$128)+'LINEST VARS'!$S$70*($Z143)+'LINEST VARS'!$R$70*(4)+'LINEST VARS'!$Q$70*(0.5)+'LINEST VARS'!$P$70*(12.73)+'LINEST VARS'!$O$70*($AU$128^2)+'LINEST VARS'!$N$70*($Z143^2)+'LINEST VARS'!$M$70*(4^2)+'LINEST VARS'!$L$70*(0.5^2)+'LINEST VARS'!$K$70*(12.73^2)+'LINEST VARS'!$J$70*($AU$128*$Z143)+'LINEST VARS'!$I$70*($AU$128*4)+'LINEST VARS'!$H$70*($AU$128*0.5)+'LINEST VARS'!$G$70*($AU$128*12.73)+'LINEST VARS'!$F$70*($Z143*4)+'LINEST VARS'!$E$70*($Z143*0.5)+'LINEST VARS'!$D$70*($Z143*12.73)+'LINEST VARS'!$C$70*(4*0.5)+'LINEST VARS'!$B$70*(4*12.73)+'LINEST VARS'!$A$70*(0.5*12.73)</f>
        <v>88.360000000000028</v>
      </c>
      <c r="AZ143" s="45">
        <v>0.7</v>
      </c>
      <c r="BA143" s="46">
        <f>'LINEST VARS'!$U$68+'LINEST VARS'!$T$68*(8)+'LINEST VARS'!$S$68*(8)+'LINEST VARS'!$R$68*($BA$128)+'LINEST VARS'!$Q$68*($AZ143)+'LINEST VARS'!$P$68*(12.73)+'LINEST VARS'!$O$68*(8^2)+'LINEST VARS'!$N$68*(8^2)+'LINEST VARS'!$M$68*($BA$128^2)+'LINEST VARS'!$L$68*($AZ143^2)+'LINEST VARS'!$K$68*(12.73^2)+'LINEST VARS'!$J$68*(8*8)+'LINEST VARS'!$I$68*(8*$BA$128)+'LINEST VARS'!$H$68*(8*$AZ143)+'LINEST VARS'!$G$68*(8*12.73)+'LINEST VARS'!$F$68*(8*$BA$128)+'LINEST VARS'!$E$68*(8*$AZ143)+'LINEST VARS'!$D$68*(8*12.73)+'LINEST VARS'!$C$68*($BA$128*$AZ143)+'LINEST VARS'!$B$68*($BA$128*12.73)+'LINEST VARS'!$A$68*($AZ143*12.73)</f>
        <v>148.04</v>
      </c>
      <c r="BB143" s="46">
        <f>'LINEST VARS'!$U$68+'LINEST VARS'!$T$68*(8)+'LINEST VARS'!$S$68*(8)+'LINEST VARS'!$R$68*($BB$128)+'LINEST VARS'!$Q$68*($AZ143)+'LINEST VARS'!$P$68*(12.73)+'LINEST VARS'!$O$68*(8^2)+'LINEST VARS'!$N$68*(8^2)+'LINEST VARS'!$M$68*($BB$128^2)+'LINEST VARS'!$L$68*($AZ143^2)+'LINEST VARS'!$K$68*(12.73^2)+'LINEST VARS'!$J$68*(8*8)+'LINEST VARS'!$I$68*(8*$BB$128)+'LINEST VARS'!$H$68*(8*$AZ143)+'LINEST VARS'!$G$68*(8*12.73)+'LINEST VARS'!$F$68*(8*$BB$128)+'LINEST VARS'!$E$68*(8*$AZ143)+'LINEST VARS'!$D$68*(8*12.73)+'LINEST VARS'!$C$68*($BB$128*$AZ143)+'LINEST VARS'!$B$68*($BB$128*12.73)+'LINEST VARS'!$A$68*($AZ143*12.73)</f>
        <v>148.04</v>
      </c>
      <c r="BC143" s="46">
        <f>'LINEST VARS'!$U$68+'LINEST VARS'!$T$68*(8)+'LINEST VARS'!$S$68*(8)+'LINEST VARS'!$R$68*($BC$128)+'LINEST VARS'!$Q$68*($AZ143)+'LINEST VARS'!$P$68*(12.73)+'LINEST VARS'!$O$68*(8^2)+'LINEST VARS'!$N$68*(8^2)+'LINEST VARS'!$M$68*($BC$128^2)+'LINEST VARS'!$L$68*($AZ143^2)+'LINEST VARS'!$K$68*(12.73^2)+'LINEST VARS'!$J$68*(8*8)+'LINEST VARS'!$I$68*(8*$BC$128)+'LINEST VARS'!$H$68*(8*$AZ143)+'LINEST VARS'!$G$68*(8*12.73)+'LINEST VARS'!$F$68*(8*$BC$128)+'LINEST VARS'!$E$68*(8*$AZ143)+'LINEST VARS'!$D$68*(8*12.73)+'LINEST VARS'!$C$68*($BC$128*$AZ143)+'LINEST VARS'!$B$68*($BC$128*12.73)+'LINEST VARS'!$A$68*($AZ143*12.73)</f>
        <v>148.04</v>
      </c>
      <c r="BD143" s="46">
        <f>'LINEST VARS'!$U$68+'LINEST VARS'!$T$68*(8)+'LINEST VARS'!$S$68*(8)+'LINEST VARS'!$R$68*($BD$128)+'LINEST VARS'!$Q$68*($AZ143)+'LINEST VARS'!$P$68*(12.73)+'LINEST VARS'!$O$68*(8^2)+'LINEST VARS'!$N$68*(8^2)+'LINEST VARS'!$M$68*($BD$128^2)+'LINEST VARS'!$L$68*($AZ143^2)+'LINEST VARS'!$K$68*(12.73^2)+'LINEST VARS'!$J$68*(8*8)+'LINEST VARS'!$I$68*(8*$BD$128)+'LINEST VARS'!$H$68*(8*$AZ143)+'LINEST VARS'!$G$68*(8*12.73)+'LINEST VARS'!$F$68*(8*$BD$128)+'LINEST VARS'!$E$68*(8*$AZ143)+'LINEST VARS'!$D$68*(8*12.73)+'LINEST VARS'!$C$68*($BD$128*$AZ143)+'LINEST VARS'!$B$68*($BD$128*12.73)+'LINEST VARS'!$A$68*($AZ143*12.73)</f>
        <v>148.04</v>
      </c>
      <c r="BE143" s="46">
        <f>'LINEST VARS'!$U$68+'LINEST VARS'!$T$68*(8)+'LINEST VARS'!$S$68*(8)+'LINEST VARS'!$R$68*($BE$128)+'LINEST VARS'!$Q$68*($AZ143)+'LINEST VARS'!$P$68*(12.73)+'LINEST VARS'!$O$68*(8^2)+'LINEST VARS'!$N$68*(8^2)+'LINEST VARS'!$M$68*($BE$128^2)+'LINEST VARS'!$L$68*($AZ143^2)+'LINEST VARS'!$K$68*(12.73^2)+'LINEST VARS'!$J$68*(8*8)+'LINEST VARS'!$I$68*(8*$BE$128)+'LINEST VARS'!$H$68*(8*$AZ143)+'LINEST VARS'!$G$68*(8*12.73)+'LINEST VARS'!$F$68*(8*$BE$128)+'LINEST VARS'!$E$68*(8*$AZ143)+'LINEST VARS'!$D$68*(8*12.73)+'LINEST VARS'!$C$68*($BE$128*$AZ143)+'LINEST VARS'!$B$68*($BE$128*12.73)+'LINEST VARS'!$A$68*($AZ143*12.73)</f>
        <v>148.04</v>
      </c>
      <c r="BF143" s="46">
        <f>'LINEST VARS'!$U$68+'LINEST VARS'!$T$68*(8)+'LINEST VARS'!$S$68*(8)+'LINEST VARS'!$R$68*($BF$128)+'LINEST VARS'!$Q$68*($AZ143)+'LINEST VARS'!$P$68*(12.73)+'LINEST VARS'!$O$68*(8^2)+'LINEST VARS'!$N$68*(8^2)+'LINEST VARS'!$M$68*($BF$128^2)+'LINEST VARS'!$L$68*($AZ143^2)+'LINEST VARS'!$K$68*(12.73^2)+'LINEST VARS'!$J$68*(8*8)+'LINEST VARS'!$I$68*(8*$BF$128)+'LINEST VARS'!$H$68*(8*$AZ143)+'LINEST VARS'!$G$68*(8*12.73)+'LINEST VARS'!$F$68*(8*$BF$128)+'LINEST VARS'!$E$68*(8*$AZ143)+'LINEST VARS'!$D$68*(8*12.73)+'LINEST VARS'!$C$68*($BF$128*$AZ143)+'LINEST VARS'!$B$68*($BF$128*12.73)+'LINEST VARS'!$A$68*($AZ143*12.73)</f>
        <v>148.04</v>
      </c>
      <c r="BG143" s="46">
        <f>'LINEST VARS'!$U$68+'LINEST VARS'!$T$68*(8)+'LINEST VARS'!$S$68*(8)+'LINEST VARS'!$R$68*($BG$128)+'LINEST VARS'!$Q$68*($AZ143)+'LINEST VARS'!$P$68*(12.73)+'LINEST VARS'!$O$68*(8^2)+'LINEST VARS'!$N$68*(8^2)+'LINEST VARS'!$M$68*($BG$128^2)+'LINEST VARS'!$L$68*($AZ143^2)+'LINEST VARS'!$K$68*(12.73^2)+'LINEST VARS'!$J$68*(8*8)+'LINEST VARS'!$I$68*(8*$BG$128)+'LINEST VARS'!$H$68*(8*$AZ143)+'LINEST VARS'!$G$68*(8*12.73)+'LINEST VARS'!$F$68*(8*$BG$128)+'LINEST VARS'!$E$68*(8*$AZ143)+'LINEST VARS'!$D$68*(8*12.73)+'LINEST VARS'!$C$68*($BG$128*$AZ143)+'LINEST VARS'!$B$68*($BG$128*12.73)+'LINEST VARS'!$A$68*($AZ143*12.73)</f>
        <v>148.04</v>
      </c>
      <c r="BH143" s="46">
        <f>'LINEST VARS'!$U$68+'LINEST VARS'!$T$68*(8)+'LINEST VARS'!$S$68*(8)+'LINEST VARS'!$R$68*($BH$128)+'LINEST VARS'!$Q$68*($AZ143)+'LINEST VARS'!$P$68*(12.73)+'LINEST VARS'!$O$68*(8^2)+'LINEST VARS'!$N$68*(8^2)+'LINEST VARS'!$M$68*($BH$128^2)+'LINEST VARS'!$L$68*($AZ143^2)+'LINEST VARS'!$K$68*(12.73^2)+'LINEST VARS'!$J$68*(8*8)+'LINEST VARS'!$I$68*(8*$BH$128)+'LINEST VARS'!$H$68*(8*$AZ143)+'LINEST VARS'!$G$68*(8*12.73)+'LINEST VARS'!$F$68*(8*$BH$128)+'LINEST VARS'!$E$68*(8*$AZ143)+'LINEST VARS'!$D$68*(8*12.73)+'LINEST VARS'!$C$68*($BH$128*$AZ143)+'LINEST VARS'!$B$68*($BH$128*12.73)+'LINEST VARS'!$A$68*($AZ143*12.73)</f>
        <v>148.04</v>
      </c>
      <c r="BI143" s="46">
        <f>'LINEST VARS'!$U$68+'LINEST VARS'!$T$68*(8)+'LINEST VARS'!$S$68*(8)+'LINEST VARS'!$R$68*($BI$128)+'LINEST VARS'!$Q$68*($AZ143)+'LINEST VARS'!$P$68*(12.73)+'LINEST VARS'!$O$68*(8^2)+'LINEST VARS'!$N$68*(8^2)+'LINEST VARS'!$M$68*($BI$128^2)+'LINEST VARS'!$L$68*($AZ143^2)+'LINEST VARS'!$K$68*(12.73^2)+'LINEST VARS'!$J$68*(8*8)+'LINEST VARS'!$I$68*(8*$BI$128)+'LINEST VARS'!$H$68*(8*$AZ143)+'LINEST VARS'!$G$68*(8*12.73)+'LINEST VARS'!$F$68*(8*$BI$128)+'LINEST VARS'!$E$68*(8*$AZ143)+'LINEST VARS'!$D$68*(8*12.73)+'LINEST VARS'!$C$68*($BI$128*$AZ143)+'LINEST VARS'!$B$68*($BI$128*12.73)+'LINEST VARS'!$A$68*($AZ143*12.73)</f>
        <v>148.04</v>
      </c>
      <c r="BJ143" s="46">
        <f>'LINEST VARS'!$U$68+'LINEST VARS'!$T$68*(8)+'LINEST VARS'!$S$68*(8)+'LINEST VARS'!$R$68*($BJ$128)+'LINEST VARS'!$Q$68*($AZ143)+'LINEST VARS'!$P$68*(12.73)+'LINEST VARS'!$O$68*(8^2)+'LINEST VARS'!$N$68*(8^2)+'LINEST VARS'!$M$68*($BJ$128^2)+'LINEST VARS'!$L$68*($AZ143^2)+'LINEST VARS'!$K$68*(12.73^2)+'LINEST VARS'!$J$68*(8*8)+'LINEST VARS'!$I$68*(8*$BJ$128)+'LINEST VARS'!$H$68*(8*$AZ143)+'LINEST VARS'!$G$68*(8*12.73)+'LINEST VARS'!$F$68*(8*$BJ$128)+'LINEST VARS'!$E$68*(8*$AZ143)+'LINEST VARS'!$D$68*(8*12.73)+'LINEST VARS'!$C$68*($BJ$128*$AZ143)+'LINEST VARS'!$B$68*($BJ$128*12.73)+'LINEST VARS'!$A$68*($AZ143*12.73)</f>
        <v>148.04</v>
      </c>
      <c r="BK143" s="46">
        <f>'LINEST VARS'!$U$68+'LINEST VARS'!$T$68*(8)+'LINEST VARS'!$S$68*(8)+'LINEST VARS'!$R$68*($BK$128)+'LINEST VARS'!$Q$68*($AZ143)+'LINEST VARS'!$P$68*(12.73)+'LINEST VARS'!$O$68*(8^2)+'LINEST VARS'!$N$68*(8^2)+'LINEST VARS'!$M$68*($BK$128^2)+'LINEST VARS'!$L$68*($AZ143^2)+'LINEST VARS'!$K$68*(12.73^2)+'LINEST VARS'!$J$68*(8*8)+'LINEST VARS'!$I$68*(8*$BK$128)+'LINEST VARS'!$H$68*(8*$AZ143)+'LINEST VARS'!$G$68*(8*12.73)+'LINEST VARS'!$F$68*(8*$BK$128)+'LINEST VARS'!$E$68*(8*$AZ143)+'LINEST VARS'!$D$68*(8*12.73)+'LINEST VARS'!$C$68*($BK$128*$AZ143)+'LINEST VARS'!$B$68*($BK$128*12.73)+'LINEST VARS'!$A$68*($AZ143*12.73)</f>
        <v>148.04</v>
      </c>
      <c r="BL143" s="46">
        <f>'LINEST VARS'!$U$68+'LINEST VARS'!$T$68*(8)+'LINEST VARS'!$S$68*(8)+'LINEST VARS'!$R$68*($BL$128)+'LINEST VARS'!$Q$68*($AZ143)+'LINEST VARS'!$P$68*(12.73)+'LINEST VARS'!$O$68*(8^2)+'LINEST VARS'!$N$68*(8^2)+'LINEST VARS'!$M$68*($BL$128^2)+'LINEST VARS'!$L$68*($AZ143^2)+'LINEST VARS'!$K$68*(12.73^2)+'LINEST VARS'!$J$68*(8*8)+'LINEST VARS'!$I$68*(8*$BL$128)+'LINEST VARS'!$H$68*(8*$AZ143)+'LINEST VARS'!$G$68*(8*12.73)+'LINEST VARS'!$F$68*(8*$BL$128)+'LINEST VARS'!$E$68*(8*$AZ143)+'LINEST VARS'!$D$68*(8*12.73)+'LINEST VARS'!$C$68*($BL$128*$AZ143)+'LINEST VARS'!$B$68*($BL$128*12.73)+'LINEST VARS'!$A$68*($AZ143*12.73)</f>
        <v>148.04</v>
      </c>
      <c r="BM143" s="46">
        <f>'LINEST VARS'!$U$68+'LINEST VARS'!$T$68*(8)+'LINEST VARS'!$S$68*(8)+'LINEST VARS'!$R$68*($BM$128)+'LINEST VARS'!$Q$68*($AZ143)+'LINEST VARS'!$P$68*(12.73)+'LINEST VARS'!$O$68*(8^2)+'LINEST VARS'!$N$68*(8^2)+'LINEST VARS'!$M$68*($BM$128^2)+'LINEST VARS'!$L$68*($AZ143^2)+'LINEST VARS'!$K$68*(12.73^2)+'LINEST VARS'!$J$68*(8*8)+'LINEST VARS'!$I$68*(8*$BM$128)+'LINEST VARS'!$H$68*(8*$AZ143)+'LINEST VARS'!$G$68*(8*12.73)+'LINEST VARS'!$F$68*(8*$BM$128)+'LINEST VARS'!$E$68*(8*$AZ143)+'LINEST VARS'!$D$68*(8*12.73)+'LINEST VARS'!$C$68*($BM$128*$AZ143)+'LINEST VARS'!$B$68*($BM$128*12.73)+'LINEST VARS'!$A$68*($AZ143*12.73)</f>
        <v>148.04</v>
      </c>
      <c r="BN143" s="46">
        <f>'LINEST VARS'!$U$68+'LINEST VARS'!$T$68*(8)+'LINEST VARS'!$S$68*(8)+'LINEST VARS'!$R$68*($BN$128)+'LINEST VARS'!$Q$68*($AZ143)+'LINEST VARS'!$P$68*(12.73)+'LINEST VARS'!$O$68*(8^2)+'LINEST VARS'!$N$68*(8^2)+'LINEST VARS'!$M$68*($BN$128^2)+'LINEST VARS'!$L$68*($AZ143^2)+'LINEST VARS'!$K$68*(12.73^2)+'LINEST VARS'!$J$68*(8*8)+'LINEST VARS'!$I$68*(8*$BN$128)+'LINEST VARS'!$H$68*(8*$AZ143)+'LINEST VARS'!$G$68*(8*12.73)+'LINEST VARS'!$F$68*(8*$BN$128)+'LINEST VARS'!$E$68*(8*$AZ143)+'LINEST VARS'!$D$68*(8*12.73)+'LINEST VARS'!$C$68*($BN$128*$AZ143)+'LINEST VARS'!$B$68*($BN$128*12.73)+'LINEST VARS'!$A$68*($AZ143*12.73)</f>
        <v>148.04</v>
      </c>
      <c r="BO143" s="46">
        <f>'LINEST VARS'!$U$68+'LINEST VARS'!$T$68*(8)+'LINEST VARS'!$S$68*(8)+'LINEST VARS'!$R$68*($BO$128)+'LINEST VARS'!$Q$68*($AZ143)+'LINEST VARS'!$P$68*(12.73)+'LINEST VARS'!$O$68*(8^2)+'LINEST VARS'!$N$68*(8^2)+'LINEST VARS'!$M$68*($BO$128^2)+'LINEST VARS'!$L$68*($AZ143^2)+'LINEST VARS'!$K$68*(12.73^2)+'LINEST VARS'!$J$68*(8*8)+'LINEST VARS'!$I$68*(8*$BO$128)+'LINEST VARS'!$H$68*(8*$AZ143)+'LINEST VARS'!$G$68*(8*12.73)+'LINEST VARS'!$F$68*(8*$BO$128)+'LINEST VARS'!$E$68*(8*$AZ143)+'LINEST VARS'!$D$68*(8*12.73)+'LINEST VARS'!$C$68*($BO$128*$AZ143)+'LINEST VARS'!$B$68*($BO$128*12.73)+'LINEST VARS'!$A$68*($AZ143*12.73)</f>
        <v>148.04</v>
      </c>
      <c r="BP143" s="46">
        <f>'LINEST VARS'!$U$68+'LINEST VARS'!$T$68*(8)+'LINEST VARS'!$S$68*(8)+'LINEST VARS'!$R$68*($BP$128)+'LINEST VARS'!$Q$68*($AZ143)+'LINEST VARS'!$P$68*(12.73)+'LINEST VARS'!$O$68*(8^2)+'LINEST VARS'!$N$68*(8^2)+'LINEST VARS'!$M$68*($BP$128^2)+'LINEST VARS'!$L$68*($AZ143^2)+'LINEST VARS'!$K$68*(12.73^2)+'LINEST VARS'!$J$68*(8*8)+'LINEST VARS'!$I$68*(8*$BP$128)+'LINEST VARS'!$H$68*(8*$AZ143)+'LINEST VARS'!$G$68*(8*12.73)+'LINEST VARS'!$F$68*(8*$BP$128)+'LINEST VARS'!$E$68*(8*$AZ143)+'LINEST VARS'!$D$68*(8*12.73)+'LINEST VARS'!$C$68*($BP$128*$AZ143)+'LINEST VARS'!$B$68*($BP$128*12.73)+'LINEST VARS'!$A$68*($AZ143*12.73)</f>
        <v>148.04</v>
      </c>
      <c r="BQ143" s="46">
        <f>'LINEST VARS'!$U$68+'LINEST VARS'!$T$68*(8)+'LINEST VARS'!$S$68*(8)+'LINEST VARS'!$R$68*($BQ$128)+'LINEST VARS'!$Q$68*($AZ143)+'LINEST VARS'!$P$68*(12.73)+'LINEST VARS'!$O$68*(8^2)+'LINEST VARS'!$N$68*(8^2)+'LINEST VARS'!$M$68*($BQ$128^2)+'LINEST VARS'!$L$68*($AZ143^2)+'LINEST VARS'!$K$68*(12.73^2)+'LINEST VARS'!$J$68*(8*8)+'LINEST VARS'!$I$68*(8*$BQ$128)+'LINEST VARS'!$H$68*(8*$AZ143)+'LINEST VARS'!$G$68*(8*12.73)+'LINEST VARS'!$F$68*(8*$BQ$128)+'LINEST VARS'!$E$68*(8*$AZ143)+'LINEST VARS'!$D$68*(8*12.73)+'LINEST VARS'!$C$68*($BQ$128*$AZ143)+'LINEST VARS'!$B$68*($BQ$128*12.73)+'LINEST VARS'!$A$68*($AZ143*12.73)</f>
        <v>148.04</v>
      </c>
      <c r="BR143" s="46">
        <f>'LINEST VARS'!$U$68+'LINEST VARS'!$T$68*(8)+'LINEST VARS'!$S$68*(8)+'LINEST VARS'!$R$68*($BR$128)+'LINEST VARS'!$Q$68*($AZ143)+'LINEST VARS'!$P$68*(12.73)+'LINEST VARS'!$O$68*(8^2)+'LINEST VARS'!$N$68*(8^2)+'LINEST VARS'!$M$68*($BR$128^2)+'LINEST VARS'!$L$68*($AZ143^2)+'LINEST VARS'!$K$68*(12.73^2)+'LINEST VARS'!$J$68*(8*8)+'LINEST VARS'!$I$68*(8*$BR$128)+'LINEST VARS'!$H$68*(8*$AZ143)+'LINEST VARS'!$G$68*(8*12.73)+'LINEST VARS'!$F$68*(8*$BR$128)+'LINEST VARS'!$E$68*(8*$AZ143)+'LINEST VARS'!$D$68*(8*12.73)+'LINEST VARS'!$C$68*($BR$128*$AZ143)+'LINEST VARS'!$B$68*($BR$128*12.73)+'LINEST VARS'!$A$68*($AZ143*12.73)</f>
        <v>148.04</v>
      </c>
      <c r="BS143" s="46">
        <f>'LINEST VARS'!$U$68+'LINEST VARS'!$T$68*(8)+'LINEST VARS'!$S$68*(8)+'LINEST VARS'!$R$68*($BS$128)+'LINEST VARS'!$Q$68*($AZ143)+'LINEST VARS'!$P$68*(12.73)+'LINEST VARS'!$O$68*(8^2)+'LINEST VARS'!$N$68*(8^2)+'LINEST VARS'!$M$68*($BS$128^2)+'LINEST VARS'!$L$68*($AZ143^2)+'LINEST VARS'!$K$68*(12.73^2)+'LINEST VARS'!$J$68*(8*8)+'LINEST VARS'!$I$68*(8*$BS$128)+'LINEST VARS'!$H$68*(8*$AZ143)+'LINEST VARS'!$G$68*(8*12.73)+'LINEST VARS'!$F$68*(8*$BS$128)+'LINEST VARS'!$E$68*(8*$AZ143)+'LINEST VARS'!$D$68*(8*12.73)+'LINEST VARS'!$C$68*($BS$128*$AZ143)+'LINEST VARS'!$B$68*($BS$128*12.73)+'LINEST VARS'!$A$68*($AZ143*12.73)</f>
        <v>148.04</v>
      </c>
      <c r="BT143" s="46">
        <f>'LINEST VARS'!$U$68+'LINEST VARS'!$T$68*(8)+'LINEST VARS'!$S$68*(8)+'LINEST VARS'!$R$68*($BT$128)+'LINEST VARS'!$Q$68*($AZ143)+'LINEST VARS'!$P$68*(12.73)+'LINEST VARS'!$O$68*(8^2)+'LINEST VARS'!$N$68*(8^2)+'LINEST VARS'!$M$68*($BT$128^2)+'LINEST VARS'!$L$68*($AZ143^2)+'LINEST VARS'!$K$68*(12.73^2)+'LINEST VARS'!$J$68*(8*8)+'LINEST VARS'!$I$68*(8*$BT$128)+'LINEST VARS'!$H$68*(8*$AZ143)+'LINEST VARS'!$G$68*(8*12.73)+'LINEST VARS'!$F$68*(8*$BT$128)+'LINEST VARS'!$E$68*(8*$AZ143)+'LINEST VARS'!$D$68*(8*12.73)+'LINEST VARS'!$C$68*($BT$128*$AZ143)+'LINEST VARS'!$B$68*($BT$128*12.73)+'LINEST VARS'!$A$68*($AZ143*12.73)</f>
        <v>148.04</v>
      </c>
      <c r="BU143" s="47">
        <f>'LINEST VARS'!$U$68+'LINEST VARS'!$T$68*(8)+'LINEST VARS'!$S$68*(8)+'LINEST VARS'!$R$68*($BU$128)+'LINEST VARS'!$Q$68*($AZ143)+'LINEST VARS'!$P$68*(12.73)+'LINEST VARS'!$O$68*(8^2)+'LINEST VARS'!$N$68*(8^2)+'LINEST VARS'!$M$68*($BU$128^2)+'LINEST VARS'!$L$68*($AZ143^2)+'LINEST VARS'!$K$68*(12.73^2)+'LINEST VARS'!$J$68*(8*8)+'LINEST VARS'!$I$68*(8*$BU$128)+'LINEST VARS'!$H$68*(8*$AZ143)+'LINEST VARS'!$G$68*(8*12.73)+'LINEST VARS'!$F$68*(8*$BU$128)+'LINEST VARS'!$E$68*(8*$AZ143)+'LINEST VARS'!$D$68*(8*12.73)+'LINEST VARS'!$C$68*($BU$128*$AZ143)+'LINEST VARS'!$B$68*($BU$128*12.73)+'LINEST VARS'!$A$68*($AZ143*12.73)</f>
        <v>148.04</v>
      </c>
      <c r="BX143" s="45">
        <v>0.7</v>
      </c>
      <c r="BY143" s="46">
        <f>'LINEST VARS'!$U$70+'LINEST VARS'!$T$70*(8)+'LINEST VARS'!$S$70*(8)+'LINEST VARS'!$R$70*($BY$128)+'LINEST VARS'!$Q$70*($BX143)+'LINEST VARS'!$P$70*(12.73)+'LINEST VARS'!$O$70*(8^2)+'LINEST VARS'!$N$70*(8^2)+'LINEST VARS'!$M$70*($BY$128^2)+'LINEST VARS'!$L$70*($BX143^2)+'LINEST VARS'!$K$70*(12.73^2)+'LINEST VARS'!$J$70*(8*8)+'LINEST VARS'!$I$70*(8*$BY$128)+'LINEST VARS'!$H$70*(8*$BX143)+'LINEST VARS'!$G$70*(8*12.73)+'LINEST VARS'!$F$70*(8*$BY$128)+'LINEST VARS'!$E$70*(8*$BX143)+'LINEST VARS'!$D$70*(8*12.73)+'LINEST VARS'!$C$70*($BY$128*$BX143)+'LINEST VARS'!$B$70*($BY$128*12.73)+'LINEST VARS'!$A$70*($BX143*12.73)</f>
        <v>92.000000000000014</v>
      </c>
      <c r="BZ143" s="46">
        <f>'LINEST VARS'!$U$70+'LINEST VARS'!$T$70*(8)+'LINEST VARS'!$S$70*(8)+'LINEST VARS'!$R$70*($BZ$128)+'LINEST VARS'!$Q$70*($BX143)+'LINEST VARS'!$P$70*(12.73)+'LINEST VARS'!$O$70*(8^2)+'LINEST VARS'!$N$70*(8^2)+'LINEST VARS'!$M$70*($BZ$128^2)+'LINEST VARS'!$L$70*($BX143^2)+'LINEST VARS'!$K$70*(12.73^2)+'LINEST VARS'!$J$70*(8*8)+'LINEST VARS'!$I$70*(8*$BZ$128)+'LINEST VARS'!$H$70*(8*$BX143)+'LINEST VARS'!$G$70*(8*12.73)+'LINEST VARS'!$F$70*(8*$BZ$128)+'LINEST VARS'!$E$70*(8*$BX143)+'LINEST VARS'!$D$70*(8*12.73)+'LINEST VARS'!$C$70*($BZ$128*$BX143)+'LINEST VARS'!$B$70*($BZ$128*12.73)+'LINEST VARS'!$A$70*($BX143*12.73)</f>
        <v>91.600000000000009</v>
      </c>
      <c r="CA143" s="46">
        <f>'LINEST VARS'!$U$70+'LINEST VARS'!$T$70*(8)+'LINEST VARS'!$S$70*(8)+'LINEST VARS'!$R$70*($CA$128)+'LINEST VARS'!$Q$70*($BX143)+'LINEST VARS'!$P$70*(12.73)+'LINEST VARS'!$O$70*(8^2)+'LINEST VARS'!$N$70*(8^2)+'LINEST VARS'!$M$70*($CA$128^2)+'LINEST VARS'!$L$70*($BX143^2)+'LINEST VARS'!$K$70*(12.73^2)+'LINEST VARS'!$J$70*(8*8)+'LINEST VARS'!$I$70*(8*$CA$128)+'LINEST VARS'!$H$70*(8*$BX143)+'LINEST VARS'!$G$70*(8*12.73)+'LINEST VARS'!$F$70*(8*$CA$128)+'LINEST VARS'!$E$70*(8*$BX143)+'LINEST VARS'!$D$70*(8*12.73)+'LINEST VARS'!$C$70*($CA$128*$BX143)+'LINEST VARS'!$B$70*($CA$128*12.73)+'LINEST VARS'!$A$70*($BX143*12.73)</f>
        <v>91.200000000000017</v>
      </c>
      <c r="CB143" s="46">
        <f>'LINEST VARS'!$U$70+'LINEST VARS'!$T$70*(8)+'LINEST VARS'!$S$70*(8)+'LINEST VARS'!$R$70*($CB$128)+'LINEST VARS'!$Q$70*($BX143)+'LINEST VARS'!$P$70*(12.73)+'LINEST VARS'!$O$70*(8^2)+'LINEST VARS'!$N$70*(8^2)+'LINEST VARS'!$M$70*($CB$128^2)+'LINEST VARS'!$L$70*($BX143^2)+'LINEST VARS'!$K$70*(12.73^2)+'LINEST VARS'!$J$70*(8*8)+'LINEST VARS'!$I$70*(8*$CB$128)+'LINEST VARS'!$H$70*(8*$BX143)+'LINEST VARS'!$G$70*(8*12.73)+'LINEST VARS'!$F$70*(8*$CB$128)+'LINEST VARS'!$E$70*(8*$BX143)+'LINEST VARS'!$D$70*(8*12.73)+'LINEST VARS'!$C$70*($CB$128*$BX143)+'LINEST VARS'!$B$70*($CB$128*12.73)+'LINEST VARS'!$A$70*($BX143*12.73)</f>
        <v>90.800000000000011</v>
      </c>
      <c r="CC143" s="46">
        <f>'LINEST VARS'!$U$70+'LINEST VARS'!$T$70*(8)+'LINEST VARS'!$S$70*(8)+'LINEST VARS'!$R$70*($CC$128)+'LINEST VARS'!$Q$70*($BX143)+'LINEST VARS'!$P$70*(12.73)+'LINEST VARS'!$O$70*(8^2)+'LINEST VARS'!$N$70*(8^2)+'LINEST VARS'!$M$70*($CC$128^2)+'LINEST VARS'!$L$70*($BX143^2)+'LINEST VARS'!$K$70*(12.73^2)+'LINEST VARS'!$J$70*(8*8)+'LINEST VARS'!$I$70*(8*$CC$128)+'LINEST VARS'!$H$70*(8*$BX143)+'LINEST VARS'!$G$70*(8*12.73)+'LINEST VARS'!$F$70*(8*$CC$128)+'LINEST VARS'!$E$70*(8*$BX143)+'LINEST VARS'!$D$70*(8*12.73)+'LINEST VARS'!$C$70*($CC$128*$BX143)+'LINEST VARS'!$B$70*($CC$128*12.73)+'LINEST VARS'!$A$70*($BX143*12.73)</f>
        <v>90.40000000000002</v>
      </c>
      <c r="CD143" s="46">
        <f>'LINEST VARS'!$U$70+'LINEST VARS'!$T$70*(8)+'LINEST VARS'!$S$70*(8)+'LINEST VARS'!$R$70*($CD$128)+'LINEST VARS'!$Q$70*($BX143)+'LINEST VARS'!$P$70*(12.73)+'LINEST VARS'!$O$70*(8^2)+'LINEST VARS'!$N$70*(8^2)+'LINEST VARS'!$M$70*($CD$128^2)+'LINEST VARS'!$L$70*($BX143^2)+'LINEST VARS'!$K$70*(12.73^2)+'LINEST VARS'!$J$70*(8*8)+'LINEST VARS'!$I$70*(8*$CD$128)+'LINEST VARS'!$H$70*(8*$BX143)+'LINEST VARS'!$G$70*(8*12.73)+'LINEST VARS'!$F$70*(8*$CD$128)+'LINEST VARS'!$E$70*(8*$BX143)+'LINEST VARS'!$D$70*(8*12.73)+'LINEST VARS'!$C$70*($CD$128*$BX143)+'LINEST VARS'!$B$70*($CD$128*12.73)+'LINEST VARS'!$A$70*($BX143*12.73)</f>
        <v>90.000000000000014</v>
      </c>
      <c r="CE143" s="46">
        <f>'LINEST VARS'!$U$70+'LINEST VARS'!$T$70*(8)+'LINEST VARS'!$S$70*(8)+'LINEST VARS'!$R$70*($CE$128)+'LINEST VARS'!$Q$70*($BX143)+'LINEST VARS'!$P$70*(12.73)+'LINEST VARS'!$O$70*(8^2)+'LINEST VARS'!$N$70*(8^2)+'LINEST VARS'!$M$70*($CE$128^2)+'LINEST VARS'!$L$70*($BX143^2)+'LINEST VARS'!$K$70*(12.73^2)+'LINEST VARS'!$J$70*(8*8)+'LINEST VARS'!$I$70*(8*$CE$128)+'LINEST VARS'!$H$70*(8*$BX143)+'LINEST VARS'!$G$70*(8*12.73)+'LINEST VARS'!$F$70*(8*$CE$128)+'LINEST VARS'!$E$70*(8*$BX143)+'LINEST VARS'!$D$70*(8*12.73)+'LINEST VARS'!$C$70*($CE$128*$BX143)+'LINEST VARS'!$B$70*($CE$128*12.73)+'LINEST VARS'!$A$70*($BX143*12.73)</f>
        <v>89.600000000000023</v>
      </c>
      <c r="CF143" s="46">
        <f>'LINEST VARS'!$U$70+'LINEST VARS'!$T$70*(8)+'LINEST VARS'!$S$70*(8)+'LINEST VARS'!$R$70*($CF$128)+'LINEST VARS'!$Q$70*($BX143)+'LINEST VARS'!$P$70*(12.73)+'LINEST VARS'!$O$70*(8^2)+'LINEST VARS'!$N$70*(8^2)+'LINEST VARS'!$M$70*($CF$128^2)+'LINEST VARS'!$L$70*($BX143^2)+'LINEST VARS'!$K$70*(12.73^2)+'LINEST VARS'!$J$70*(8*8)+'LINEST VARS'!$I$70*(8*$CF$128)+'LINEST VARS'!$H$70*(8*$BX143)+'LINEST VARS'!$G$70*(8*12.73)+'LINEST VARS'!$F$70*(8*$CF$128)+'LINEST VARS'!$E$70*(8*$BX143)+'LINEST VARS'!$D$70*(8*12.73)+'LINEST VARS'!$C$70*($CF$128*$BX143)+'LINEST VARS'!$B$70*($CF$128*12.73)+'LINEST VARS'!$A$70*($BX143*12.73)</f>
        <v>89.200000000000017</v>
      </c>
      <c r="CG143" s="46">
        <f>'LINEST VARS'!$U$70+'LINEST VARS'!$T$70*(8)+'LINEST VARS'!$S$70*(8)+'LINEST VARS'!$R$70*($CG$128)+'LINEST VARS'!$Q$70*($BX143)+'LINEST VARS'!$P$70*(12.73)+'LINEST VARS'!$O$70*(8^2)+'LINEST VARS'!$N$70*(8^2)+'LINEST VARS'!$M$70*($CG$128^2)+'LINEST VARS'!$L$70*($BX143^2)+'LINEST VARS'!$K$70*(12.73^2)+'LINEST VARS'!$J$70*(8*8)+'LINEST VARS'!$I$70*(8*$CG$128)+'LINEST VARS'!$H$70*(8*$BX143)+'LINEST VARS'!$G$70*(8*12.73)+'LINEST VARS'!$F$70*(8*$CG$128)+'LINEST VARS'!$E$70*(8*$BX143)+'LINEST VARS'!$D$70*(8*12.73)+'LINEST VARS'!$C$70*($CG$128*$BX143)+'LINEST VARS'!$B$70*($CG$128*12.73)+'LINEST VARS'!$A$70*($BX143*12.73)</f>
        <v>88.800000000000026</v>
      </c>
      <c r="CH143" s="46">
        <f>'LINEST VARS'!$U$70+'LINEST VARS'!$T$70*(8)+'LINEST VARS'!$S$70*(8)+'LINEST VARS'!$R$70*($CH$128)+'LINEST VARS'!$Q$70*($BX143)+'LINEST VARS'!$P$70*(12.73)+'LINEST VARS'!$O$70*(8^2)+'LINEST VARS'!$N$70*(8^2)+'LINEST VARS'!$M$70*($CH$128^2)+'LINEST VARS'!$L$70*($BX143^2)+'LINEST VARS'!$K$70*(12.73^2)+'LINEST VARS'!$J$70*(8*8)+'LINEST VARS'!$I$70*(8*$CH$128)+'LINEST VARS'!$H$70*(8*$BX143)+'LINEST VARS'!$G$70*(8*12.73)+'LINEST VARS'!$F$70*(8*$CH$128)+'LINEST VARS'!$E$70*(8*$BX143)+'LINEST VARS'!$D$70*(8*12.73)+'LINEST VARS'!$C$70*($CH$128*$BX143)+'LINEST VARS'!$B$70*($CH$128*12.73)+'LINEST VARS'!$A$70*($BX143*12.73)</f>
        <v>88.40000000000002</v>
      </c>
      <c r="CI143" s="46">
        <f>'LINEST VARS'!$U$70+'LINEST VARS'!$T$70*(8)+'LINEST VARS'!$S$70*(8)+'LINEST VARS'!$R$70*($CI$128)+'LINEST VARS'!$Q$70*($BX143)+'LINEST VARS'!$P$70*(12.73)+'LINEST VARS'!$O$70*(8^2)+'LINEST VARS'!$N$70*(8^2)+'LINEST VARS'!$M$70*($CI$128^2)+'LINEST VARS'!$L$70*($BX143^2)+'LINEST VARS'!$K$70*(12.73^2)+'LINEST VARS'!$J$70*(8*8)+'LINEST VARS'!$I$70*(8*$CI$128)+'LINEST VARS'!$H$70*(8*$BX143)+'LINEST VARS'!$G$70*(8*12.73)+'LINEST VARS'!$F$70*(8*$CI$128)+'LINEST VARS'!$E$70*(8*$BX143)+'LINEST VARS'!$D$70*(8*12.73)+'LINEST VARS'!$C$70*($CI$128*$BX143)+'LINEST VARS'!$B$70*($CI$128*12.73)+'LINEST VARS'!$A$70*($BX143*12.73)</f>
        <v>88.000000000000014</v>
      </c>
      <c r="CJ143" s="46">
        <f>'LINEST VARS'!$U$70+'LINEST VARS'!$T$70*(8)+'LINEST VARS'!$S$70*(8)+'LINEST VARS'!$R$70*($CJ$128)+'LINEST VARS'!$Q$70*($BX143)+'LINEST VARS'!$P$70*(12.73)+'LINEST VARS'!$O$70*(8^2)+'LINEST VARS'!$N$70*(8^2)+'LINEST VARS'!$M$70*($CJ$128^2)+'LINEST VARS'!$L$70*($BX143^2)+'LINEST VARS'!$K$70*(12.73^2)+'LINEST VARS'!$J$70*(8*8)+'LINEST VARS'!$I$70*(8*$CJ$128)+'LINEST VARS'!$H$70*(8*$BX143)+'LINEST VARS'!$G$70*(8*12.73)+'LINEST VARS'!$F$70*(8*$CJ$128)+'LINEST VARS'!$E$70*(8*$BX143)+'LINEST VARS'!$D$70*(8*12.73)+'LINEST VARS'!$C$70*($CJ$128*$BX143)+'LINEST VARS'!$B$70*($CJ$128*12.73)+'LINEST VARS'!$A$70*($BX143*12.73)</f>
        <v>87.600000000000023</v>
      </c>
      <c r="CK143" s="46">
        <f>'LINEST VARS'!$U$70+'LINEST VARS'!$T$70*(8)+'LINEST VARS'!$S$70*(8)+'LINEST VARS'!$R$70*($CK$128)+'LINEST VARS'!$Q$70*($BX143)+'LINEST VARS'!$P$70*(12.73)+'LINEST VARS'!$O$70*(8^2)+'LINEST VARS'!$N$70*(8^2)+'LINEST VARS'!$M$70*($CK$128^2)+'LINEST VARS'!$L$70*($BX143^2)+'LINEST VARS'!$K$70*(12.73^2)+'LINEST VARS'!$J$70*(8*8)+'LINEST VARS'!$I$70*(8*$CK$128)+'LINEST VARS'!$H$70*(8*$BX143)+'LINEST VARS'!$G$70*(8*12.73)+'LINEST VARS'!$F$70*(8*$CK$128)+'LINEST VARS'!$E$70*(8*$BX143)+'LINEST VARS'!$D$70*(8*12.73)+'LINEST VARS'!$C$70*($CK$128*$BX143)+'LINEST VARS'!$B$70*($CK$128*12.73)+'LINEST VARS'!$A$70*($BX143*12.73)</f>
        <v>87.200000000000017</v>
      </c>
      <c r="CL143" s="46">
        <f>'LINEST VARS'!$U$70+'LINEST VARS'!$T$70*(8)+'LINEST VARS'!$S$70*(8)+'LINEST VARS'!$R$70*($CL$128)+'LINEST VARS'!$Q$70*($BX143)+'LINEST VARS'!$P$70*(12.73)+'LINEST VARS'!$O$70*(8^2)+'LINEST VARS'!$N$70*(8^2)+'LINEST VARS'!$M$70*($CL$128^2)+'LINEST VARS'!$L$70*($BX143^2)+'LINEST VARS'!$K$70*(12.73^2)+'LINEST VARS'!$J$70*(8*8)+'LINEST VARS'!$I$70*(8*$CL$128)+'LINEST VARS'!$H$70*(8*$BX143)+'LINEST VARS'!$G$70*(8*12.73)+'LINEST VARS'!$F$70*(8*$CL$128)+'LINEST VARS'!$E$70*(8*$BX143)+'LINEST VARS'!$D$70*(8*12.73)+'LINEST VARS'!$C$70*($CL$128*$BX143)+'LINEST VARS'!$B$70*($CL$128*12.73)+'LINEST VARS'!$A$70*($BX143*12.73)</f>
        <v>86.800000000000026</v>
      </c>
      <c r="CM143" s="46">
        <f>'LINEST VARS'!$U$70+'LINEST VARS'!$T$70*(8)+'LINEST VARS'!$S$70*(8)+'LINEST VARS'!$R$70*($CM$128)+'LINEST VARS'!$Q$70*($BX143)+'LINEST VARS'!$P$70*(12.73)+'LINEST VARS'!$O$70*(8^2)+'LINEST VARS'!$N$70*(8^2)+'LINEST VARS'!$M$70*($CM$128^2)+'LINEST VARS'!$L$70*($BX143^2)+'LINEST VARS'!$K$70*(12.73^2)+'LINEST VARS'!$J$70*(8*8)+'LINEST VARS'!$I$70*(8*$CM$128)+'LINEST VARS'!$H$70*(8*$BX143)+'LINEST VARS'!$G$70*(8*12.73)+'LINEST VARS'!$F$70*(8*$CM$128)+'LINEST VARS'!$E$70*(8*$BX143)+'LINEST VARS'!$D$70*(8*12.73)+'LINEST VARS'!$C$70*($CM$128*$BX143)+'LINEST VARS'!$B$70*($CM$128*12.73)+'LINEST VARS'!$A$70*($BX143*12.73)</f>
        <v>86.40000000000002</v>
      </c>
      <c r="CN143" s="46">
        <f>'LINEST VARS'!$U$70+'LINEST VARS'!$T$70*(8)+'LINEST VARS'!$S$70*(8)+'LINEST VARS'!$R$70*($CN$128)+'LINEST VARS'!$Q$70*($BX143)+'LINEST VARS'!$P$70*(12.73)+'LINEST VARS'!$O$70*(8^2)+'LINEST VARS'!$N$70*(8^2)+'LINEST VARS'!$M$70*($CN$128^2)+'LINEST VARS'!$L$70*($BX143^2)+'LINEST VARS'!$K$70*(12.73^2)+'LINEST VARS'!$J$70*(8*8)+'LINEST VARS'!$I$70*(8*$CN$128)+'LINEST VARS'!$H$70*(8*$BX143)+'LINEST VARS'!$G$70*(8*12.73)+'LINEST VARS'!$F$70*(8*$CN$128)+'LINEST VARS'!$E$70*(8*$BX143)+'LINEST VARS'!$D$70*(8*12.73)+'LINEST VARS'!$C$70*($CN$128*$BX143)+'LINEST VARS'!$B$70*($CN$128*12.73)+'LINEST VARS'!$A$70*($BX143*12.73)</f>
        <v>86.000000000000014</v>
      </c>
      <c r="CO143" s="46">
        <f>'LINEST VARS'!$U$70+'LINEST VARS'!$T$70*(8)+'LINEST VARS'!$S$70*(8)+'LINEST VARS'!$R$70*($CO$128)+'LINEST VARS'!$Q$70*($BX143)+'LINEST VARS'!$P$70*(12.73)+'LINEST VARS'!$O$70*(8^2)+'LINEST VARS'!$N$70*(8^2)+'LINEST VARS'!$M$70*($CO$128^2)+'LINEST VARS'!$L$70*($BX143^2)+'LINEST VARS'!$K$70*(12.73^2)+'LINEST VARS'!$J$70*(8*8)+'LINEST VARS'!$I$70*(8*$CO$128)+'LINEST VARS'!$H$70*(8*$BX143)+'LINEST VARS'!$G$70*(8*12.73)+'LINEST VARS'!$F$70*(8*$CO$128)+'LINEST VARS'!$E$70*(8*$BX143)+'LINEST VARS'!$D$70*(8*12.73)+'LINEST VARS'!$C$70*($CO$128*$BX143)+'LINEST VARS'!$B$70*($CO$128*12.73)+'LINEST VARS'!$A$70*($BX143*12.73)</f>
        <v>85.600000000000009</v>
      </c>
      <c r="CP143" s="46">
        <f>'LINEST VARS'!$U$70+'LINEST VARS'!$T$70*(8)+'LINEST VARS'!$S$70*(8)+'LINEST VARS'!$R$70*($CP$128)+'LINEST VARS'!$Q$70*($BX143)+'LINEST VARS'!$P$70*(12.73)+'LINEST VARS'!$O$70*(8^2)+'LINEST VARS'!$N$70*(8^2)+'LINEST VARS'!$M$70*($CP$128^2)+'LINEST VARS'!$L$70*($BX143^2)+'LINEST VARS'!$K$70*(12.73^2)+'LINEST VARS'!$J$70*(8*8)+'LINEST VARS'!$I$70*(8*$CP$128)+'LINEST VARS'!$H$70*(8*$BX143)+'LINEST VARS'!$G$70*(8*12.73)+'LINEST VARS'!$F$70*(8*$CP$128)+'LINEST VARS'!$E$70*(8*$BX143)+'LINEST VARS'!$D$70*(8*12.73)+'LINEST VARS'!$C$70*($CP$128*$BX143)+'LINEST VARS'!$B$70*($CP$128*12.73)+'LINEST VARS'!$A$70*($BX143*12.73)</f>
        <v>85.200000000000017</v>
      </c>
      <c r="CQ143" s="46">
        <f>'LINEST VARS'!$U$70+'LINEST VARS'!$T$70*(8)+'LINEST VARS'!$S$70*(8)+'LINEST VARS'!$R$70*($CQ$128)+'LINEST VARS'!$Q$70*($BX143)+'LINEST VARS'!$P$70*(12.73)+'LINEST VARS'!$O$70*(8^2)+'LINEST VARS'!$N$70*(8^2)+'LINEST VARS'!$M$70*($CQ$128^2)+'LINEST VARS'!$L$70*($BX143^2)+'LINEST VARS'!$K$70*(12.73^2)+'LINEST VARS'!$J$70*(8*8)+'LINEST VARS'!$I$70*(8*$CQ$128)+'LINEST VARS'!$H$70*(8*$BX143)+'LINEST VARS'!$G$70*(8*12.73)+'LINEST VARS'!$F$70*(8*$CQ$128)+'LINEST VARS'!$E$70*(8*$BX143)+'LINEST VARS'!$D$70*(8*12.73)+'LINEST VARS'!$C$70*($CQ$128*$BX143)+'LINEST VARS'!$B$70*($CQ$128*12.73)+'LINEST VARS'!$A$70*($BX143*12.73)</f>
        <v>84.800000000000011</v>
      </c>
      <c r="CR143" s="46">
        <f>'LINEST VARS'!$U$70+'LINEST VARS'!$T$70*(8)+'LINEST VARS'!$S$70*(8)+'LINEST VARS'!$R$70*($CR$128)+'LINEST VARS'!$Q$70*($BX143)+'LINEST VARS'!$P$70*(12.73)+'LINEST VARS'!$O$70*(8^2)+'LINEST VARS'!$N$70*(8^2)+'LINEST VARS'!$M$70*($CR$128^2)+'LINEST VARS'!$L$70*($BX143^2)+'LINEST VARS'!$K$70*(12.73^2)+'LINEST VARS'!$J$70*(8*8)+'LINEST VARS'!$I$70*(8*$CR$128)+'LINEST VARS'!$H$70*(8*$BX143)+'LINEST VARS'!$G$70*(8*12.73)+'LINEST VARS'!$F$70*(8*$CR$128)+'LINEST VARS'!$E$70*(8*$BX143)+'LINEST VARS'!$D$70*(8*12.73)+'LINEST VARS'!$C$70*($CR$128*$BX143)+'LINEST VARS'!$B$70*($CR$128*12.73)+'LINEST VARS'!$A$70*($BX143*12.73)</f>
        <v>84.400000000000034</v>
      </c>
      <c r="CS143" s="47">
        <f>'LINEST VARS'!$U$70+'LINEST VARS'!$T$70*(8)+'LINEST VARS'!$S$70*(8)+'LINEST VARS'!$R$70*($CS$128)+'LINEST VARS'!$Q$70*($BX143)+'LINEST VARS'!$P$70*(12.73)+'LINEST VARS'!$O$70*(8^2)+'LINEST VARS'!$N$70*(8^2)+'LINEST VARS'!$M$70*($CS$128^2)+'LINEST VARS'!$L$70*($BX143^2)+'LINEST VARS'!$K$70*(12.73^2)+'LINEST VARS'!$J$70*(8*8)+'LINEST VARS'!$I$70*(8*$CS$128)+'LINEST VARS'!$H$70*(8*$BX143)+'LINEST VARS'!$G$70*(8*12.73)+'LINEST VARS'!$F$70*(8*$CS$128)+'LINEST VARS'!$E$70*(8*$BX143)+'LINEST VARS'!$D$70*(8*12.73)+'LINEST VARS'!$C$70*($CS$128*$BX143)+'LINEST VARS'!$B$70*($CS$128*12.73)+'LINEST VARS'!$A$70*($BX143*12.73)</f>
        <v>84.000000000000028</v>
      </c>
      <c r="CX143" s="45">
        <v>18.193000000000001</v>
      </c>
      <c r="CY143" s="46">
        <f>'LINEST VARS'!$U$68+'LINEST VARS'!$T$68*(8)+'LINEST VARS'!$S$68*(8)+'LINEST VARS'!$R$68*($CY$128)+'LINEST VARS'!$Q$68*(0.5)+'LINEST VARS'!$P$68*($CX143)+'LINEST VARS'!$O$68*(8^2)+'LINEST VARS'!$N$68*(8^2)+'LINEST VARS'!$M$68*($CY$128^2)+'LINEST VARS'!$L$68*(0.5^2)+'LINEST VARS'!$K$68*($CX143^2)+'LINEST VARS'!$J$68*(8*8)+'LINEST VARS'!$I$68*(8*$CY$128)+'LINEST VARS'!$H$68*(8*0.5)+'LINEST VARS'!$G$68*(8*$CX143)+'LINEST VARS'!$F$68*(8*$CY$128)+'LINEST VARS'!$E$68*(8*0.5)+'LINEST VARS'!$D$68*(8*$CX143)+'LINEST VARS'!$C$68*($CY$128*0.5)+'LINEST VARS'!$B$68*($CY$128*$CX143)+'LINEST VARS'!$A$68*(0.5*$CX143)</f>
        <v>149</v>
      </c>
      <c r="CZ143" s="46">
        <f>'LINEST VARS'!$U$68+'LINEST VARS'!$T$68*(8)+'LINEST VARS'!$S$68*(8)+'LINEST VARS'!$R$68*($CZ$128)+'LINEST VARS'!$Q$68*(0.5)+'LINEST VARS'!$P$68*($CX143)+'LINEST VARS'!$O$68*(8^2)+'LINEST VARS'!$N$68*(8^2)+'LINEST VARS'!$M$68*($CZ$128^2)+'LINEST VARS'!$L$68*(0.5^2)+'LINEST VARS'!$K$68*($CX143^2)+'LINEST VARS'!$J$68*(8*8)+'LINEST VARS'!$I$68*(8*$CZ$128)+'LINEST VARS'!$H$68*(8*0.5)+'LINEST VARS'!$G$68*(8*$CX143)+'LINEST VARS'!$F$68*(8*$CZ$128)+'LINEST VARS'!$E$68*(8*0.5)+'LINEST VARS'!$D$68*(8*$CX143)+'LINEST VARS'!$C$68*($CZ$128*0.5)+'LINEST VARS'!$B$68*($CZ$128*$CX143)+'LINEST VARS'!$A$68*(0.5*$CX143)</f>
        <v>149</v>
      </c>
      <c r="DA143" s="46">
        <f>'LINEST VARS'!$U$68+'LINEST VARS'!$T$68*(8)+'LINEST VARS'!$S$68*(8)+'LINEST VARS'!$R$68*($DA$128)+'LINEST VARS'!$Q$68*(0.5)+'LINEST VARS'!$P$68*($CX143)+'LINEST VARS'!$O$68*(8^2)+'LINEST VARS'!$N$68*(8^2)+'LINEST VARS'!$M$68*($DA$128^2)+'LINEST VARS'!$L$68*(0.5^2)+'LINEST VARS'!$K$68*($CX143^2)+'LINEST VARS'!$J$68*(8*8)+'LINEST VARS'!$I$68*(8*$DA$128)+'LINEST VARS'!$H$68*(8*0.5)+'LINEST VARS'!$G$68*(8*$CX143)+'LINEST VARS'!$F$68*(8*$DA$128)+'LINEST VARS'!$E$68*(8*0.5)+'LINEST VARS'!$D$68*(8*$CX143)+'LINEST VARS'!$C$68*($DA$128*0.5)+'LINEST VARS'!$B$68*($DA$128*$CX143)+'LINEST VARS'!$A$68*(0.5*$CX143)</f>
        <v>149</v>
      </c>
      <c r="DB143" s="46">
        <f>'LINEST VARS'!$U$68+'LINEST VARS'!$T$68*(8)+'LINEST VARS'!$S$68*(8)+'LINEST VARS'!$R$68*($DB$128)+'LINEST VARS'!$Q$68*(0.5)+'LINEST VARS'!$P$68*($CX143)+'LINEST VARS'!$O$68*(8^2)+'LINEST VARS'!$N$68*(8^2)+'LINEST VARS'!$M$68*($DB$128^2)+'LINEST VARS'!$L$68*(0.5^2)+'LINEST VARS'!$K$68*($CX143^2)+'LINEST VARS'!$J$68*(8*8)+'LINEST VARS'!$I$68*(8*$DB$128)+'LINEST VARS'!$H$68*(8*0.5)+'LINEST VARS'!$G$68*(8*$CX143)+'LINEST VARS'!$F$68*(8*$DB$128)+'LINEST VARS'!$E$68*(8*0.5)+'LINEST VARS'!$D$68*(8*$CX143)+'LINEST VARS'!$C$68*($DB$128*0.5)+'LINEST VARS'!$B$68*($DB$128*$CX143)+'LINEST VARS'!$A$68*(0.5*$CX143)</f>
        <v>149</v>
      </c>
      <c r="DC143" s="46">
        <f>'LINEST VARS'!$U$68+'LINEST VARS'!$T$68*(8)+'LINEST VARS'!$S$68*(8)+'LINEST VARS'!$R$68*($DC$128)+'LINEST VARS'!$Q$68*(0.5)+'LINEST VARS'!$P$68*($CX143)+'LINEST VARS'!$O$68*(8^2)+'LINEST VARS'!$N$68*(8^2)+'LINEST VARS'!$M$68*($DC$128^2)+'LINEST VARS'!$L$68*(0.5^2)+'LINEST VARS'!$K$68*($CX143^2)+'LINEST VARS'!$J$68*(8*8)+'LINEST VARS'!$I$68*(8*$DC$128)+'LINEST VARS'!$H$68*(8*0.5)+'LINEST VARS'!$G$68*(8*$CX143)+'LINEST VARS'!$F$68*(8*$DC$128)+'LINEST VARS'!$E$68*(8*0.5)+'LINEST VARS'!$D$68*(8*$CX143)+'LINEST VARS'!$C$68*($DC$128*0.5)+'LINEST VARS'!$B$68*($DC$128*$CX143)+'LINEST VARS'!$A$68*(0.5*$CX143)</f>
        <v>149</v>
      </c>
      <c r="DD143" s="46">
        <f>'LINEST VARS'!$U$68+'LINEST VARS'!$T$68*(8)+'LINEST VARS'!$S$68*(8)+'LINEST VARS'!$R$68*($DD$128)+'LINEST VARS'!$Q$68*(0.5)+'LINEST VARS'!$P$68*($CX143)+'LINEST VARS'!$O$68*(8^2)+'LINEST VARS'!$N$68*(8^2)+'LINEST VARS'!$M$68*($DD$128^2)+'LINEST VARS'!$L$68*(0.5^2)+'LINEST VARS'!$K$68*($CX143^2)+'LINEST VARS'!$J$68*(8*8)+'LINEST VARS'!$I$68*(8*$DD$128)+'LINEST VARS'!$H$68*(8*0.5)+'LINEST VARS'!$G$68*(8*$CX143)+'LINEST VARS'!$F$68*(8*$DD$128)+'LINEST VARS'!$E$68*(8*0.5)+'LINEST VARS'!$D$68*(8*$CX143)+'LINEST VARS'!$C$68*($DD$128*0.5)+'LINEST VARS'!$B$68*($DD$128*$CX143)+'LINEST VARS'!$A$68*(0.5*$CX143)</f>
        <v>149</v>
      </c>
      <c r="DE143" s="46">
        <f>'LINEST VARS'!$U$68+'LINEST VARS'!$T$68*(8)+'LINEST VARS'!$S$68*(8)+'LINEST VARS'!$R$68*($DE$128)+'LINEST VARS'!$Q$68*(0.5)+'LINEST VARS'!$P$68*($CX143)+'LINEST VARS'!$O$68*(8^2)+'LINEST VARS'!$N$68*(8^2)+'LINEST VARS'!$M$68*($DE$128^2)+'LINEST VARS'!$L$68*(0.5^2)+'LINEST VARS'!$K$68*($CX143^2)+'LINEST VARS'!$J$68*(8*8)+'LINEST VARS'!$I$68*(8*$DE$128)+'LINEST VARS'!$H$68*(8*0.5)+'LINEST VARS'!$G$68*(8*$CX143)+'LINEST VARS'!$F$68*(8*$DE$128)+'LINEST VARS'!$E$68*(8*0.5)+'LINEST VARS'!$D$68*(8*$CX143)+'LINEST VARS'!$C$68*($DE$128*0.5)+'LINEST VARS'!$B$68*($DE$128*$CX143)+'LINEST VARS'!$A$68*(0.5*$CX143)</f>
        <v>149</v>
      </c>
      <c r="DF143" s="46">
        <f>'LINEST VARS'!$U$68+'LINEST VARS'!$T$68*(8)+'LINEST VARS'!$S$68*(8)+'LINEST VARS'!$R$68*($DF$128)+'LINEST VARS'!$Q$68*(0.5)+'LINEST VARS'!$P$68*($CX143)+'LINEST VARS'!$O$68*(8^2)+'LINEST VARS'!$N$68*(8^2)+'LINEST VARS'!$M$68*($DF$128^2)+'LINEST VARS'!$L$68*(0.5^2)+'LINEST VARS'!$K$68*($CX143^2)+'LINEST VARS'!$J$68*(8*8)+'LINEST VARS'!$I$68*(8*$DF$128)+'LINEST VARS'!$H$68*(8*0.5)+'LINEST VARS'!$G$68*(8*$CX143)+'LINEST VARS'!$F$68*(8*$DF$128)+'LINEST VARS'!$E$68*(8*0.5)+'LINEST VARS'!$D$68*(8*$CX143)+'LINEST VARS'!$C$68*($DF$128*0.5)+'LINEST VARS'!$B$68*($DF$128*$CX143)+'LINEST VARS'!$A$68*(0.5*$CX143)</f>
        <v>149</v>
      </c>
      <c r="DG143" s="46">
        <f>'LINEST VARS'!$U$68+'LINEST VARS'!$T$68*(8)+'LINEST VARS'!$S$68*(8)+'LINEST VARS'!$R$68*($DG$128)+'LINEST VARS'!$Q$68*(0.5)+'LINEST VARS'!$P$68*($CX143)+'LINEST VARS'!$O$68*(8^2)+'LINEST VARS'!$N$68*(8^2)+'LINEST VARS'!$M$68*($DG$128^2)+'LINEST VARS'!$L$68*(0.5^2)+'LINEST VARS'!$K$68*($CX143^2)+'LINEST VARS'!$J$68*(8*8)+'LINEST VARS'!$I$68*(8*$DG$128)+'LINEST VARS'!$H$68*(8*0.5)+'LINEST VARS'!$G$68*(8*$CX143)+'LINEST VARS'!$F$68*(8*$DG$128)+'LINEST VARS'!$E$68*(8*0.5)+'LINEST VARS'!$D$68*(8*$CX143)+'LINEST VARS'!$C$68*($DG$128*0.5)+'LINEST VARS'!$B$68*($DG$128*$CX143)+'LINEST VARS'!$A$68*(0.5*$CX143)</f>
        <v>149</v>
      </c>
      <c r="DH143" s="46">
        <f>'LINEST VARS'!$U$68+'LINEST VARS'!$T$68*(8)+'LINEST VARS'!$S$68*(8)+'LINEST VARS'!$R$68*($DH$128)+'LINEST VARS'!$Q$68*(0.5)+'LINEST VARS'!$P$68*($CX143)+'LINEST VARS'!$O$68*(8^2)+'LINEST VARS'!$N$68*(8^2)+'LINEST VARS'!$M$68*($DH$128^2)+'LINEST VARS'!$L$68*(0.5^2)+'LINEST VARS'!$K$68*($CX143^2)+'LINEST VARS'!$J$68*(8*8)+'LINEST VARS'!$I$68*(8*$DH$128)+'LINEST VARS'!$H$68*(8*0.5)+'LINEST VARS'!$G$68*(8*$CX143)+'LINEST VARS'!$F$68*(8*$DH$128)+'LINEST VARS'!$E$68*(8*0.5)+'LINEST VARS'!$D$68*(8*$CX143)+'LINEST VARS'!$C$68*($DH$128*0.5)+'LINEST VARS'!$B$68*($DH$128*$CX143)+'LINEST VARS'!$A$68*(0.5*$CX143)</f>
        <v>149</v>
      </c>
      <c r="DI143" s="46">
        <f>'LINEST VARS'!$U$68+'LINEST VARS'!$T$68*(8)+'LINEST VARS'!$S$68*(8)+'LINEST VARS'!$R$68*($DI$128)+'LINEST VARS'!$Q$68*(0.5)+'LINEST VARS'!$P$68*($CX143)+'LINEST VARS'!$O$68*(8^2)+'LINEST VARS'!$N$68*(8^2)+'LINEST VARS'!$M$68*($DI$128^2)+'LINEST VARS'!$L$68*(0.5^2)+'LINEST VARS'!$K$68*($CX143^2)+'LINEST VARS'!$J$68*(8*8)+'LINEST VARS'!$I$68*(8*$DI$128)+'LINEST VARS'!$H$68*(8*0.5)+'LINEST VARS'!$G$68*(8*$CX143)+'LINEST VARS'!$F$68*(8*$DI$128)+'LINEST VARS'!$E$68*(8*0.5)+'LINEST VARS'!$D$68*(8*$CX143)+'LINEST VARS'!$C$68*($DI$128*0.5)+'LINEST VARS'!$B$68*($DI$128*$CX143)+'LINEST VARS'!$A$68*(0.5*$CX143)</f>
        <v>149</v>
      </c>
      <c r="DJ143" s="46">
        <f>'LINEST VARS'!$U$68+'LINEST VARS'!$T$68*(8)+'LINEST VARS'!$S$68*(8)+'LINEST VARS'!$R$68*($DJ$128)+'LINEST VARS'!$Q$68*(0.5)+'LINEST VARS'!$P$68*($CX143)+'LINEST VARS'!$O$68*(8^2)+'LINEST VARS'!$N$68*(8^2)+'LINEST VARS'!$M$68*($DJ$128^2)+'LINEST VARS'!$L$68*(0.5^2)+'LINEST VARS'!$K$68*($CX143^2)+'LINEST VARS'!$J$68*(8*8)+'LINEST VARS'!$I$68*(8*$DJ$128)+'LINEST VARS'!$H$68*(8*0.5)+'LINEST VARS'!$G$68*(8*$CX143)+'LINEST VARS'!$F$68*(8*$DJ$128)+'LINEST VARS'!$E$68*(8*0.5)+'LINEST VARS'!$D$68*(8*$CX143)+'LINEST VARS'!$C$68*($DJ$128*0.5)+'LINEST VARS'!$B$68*($DJ$128*$CX143)+'LINEST VARS'!$A$68*(0.5*$CX143)</f>
        <v>149</v>
      </c>
      <c r="DK143" s="46">
        <f>'LINEST VARS'!$U$68+'LINEST VARS'!$T$68*(8)+'LINEST VARS'!$S$68*(8)+'LINEST VARS'!$R$68*($DK$128)+'LINEST VARS'!$Q$68*(0.5)+'LINEST VARS'!$P$68*($CX143)+'LINEST VARS'!$O$68*(8^2)+'LINEST VARS'!$N$68*(8^2)+'LINEST VARS'!$M$68*($DK$128^2)+'LINEST VARS'!$L$68*(0.5^2)+'LINEST VARS'!$K$68*($CX143^2)+'LINEST VARS'!$J$68*(8*8)+'LINEST VARS'!$I$68*(8*$DK$128)+'LINEST VARS'!$H$68*(8*0.5)+'LINEST VARS'!$G$68*(8*$CX143)+'LINEST VARS'!$F$68*(8*$DK$128)+'LINEST VARS'!$E$68*(8*0.5)+'LINEST VARS'!$D$68*(8*$CX143)+'LINEST VARS'!$C$68*($DK$128*0.5)+'LINEST VARS'!$B$68*($DK$128*$CX143)+'LINEST VARS'!$A$68*(0.5*$CX143)</f>
        <v>149</v>
      </c>
      <c r="DL143" s="46">
        <f>'LINEST VARS'!$U$68+'LINEST VARS'!$T$68*(8)+'LINEST VARS'!$S$68*(8)+'LINEST VARS'!$R$68*($DL$128)+'LINEST VARS'!$Q$68*(0.5)+'LINEST VARS'!$P$68*($CX143)+'LINEST VARS'!$O$68*(8^2)+'LINEST VARS'!$N$68*(8^2)+'LINEST VARS'!$M$68*($DL$128^2)+'LINEST VARS'!$L$68*(0.5^2)+'LINEST VARS'!$K$68*($CX143^2)+'LINEST VARS'!$J$68*(8*8)+'LINEST VARS'!$I$68*(8*$DL$128)+'LINEST VARS'!$H$68*(8*0.5)+'LINEST VARS'!$G$68*(8*$CX143)+'LINEST VARS'!$F$68*(8*$DL$128)+'LINEST VARS'!$E$68*(8*0.5)+'LINEST VARS'!$D$68*(8*$CX143)+'LINEST VARS'!$C$68*($DL$128*0.5)+'LINEST VARS'!$B$68*($DL$128*$CX143)+'LINEST VARS'!$A$68*(0.5*$CX143)</f>
        <v>149</v>
      </c>
      <c r="DM143" s="46">
        <f>'LINEST VARS'!$U$68+'LINEST VARS'!$T$68*(8)+'LINEST VARS'!$S$68*(8)+'LINEST VARS'!$R$68*($DM$128)+'LINEST VARS'!$Q$68*(0.5)+'LINEST VARS'!$P$68*($CX143)+'LINEST VARS'!$O$68*(8^2)+'LINEST VARS'!$N$68*(8^2)+'LINEST VARS'!$M$68*($DM$128^2)+'LINEST VARS'!$L$68*(0.5^2)+'LINEST VARS'!$K$68*($CX143^2)+'LINEST VARS'!$J$68*(8*8)+'LINEST VARS'!$I$68*(8*$DM$128)+'LINEST VARS'!$H$68*(8*0.5)+'LINEST VARS'!$G$68*(8*$CX143)+'LINEST VARS'!$F$68*(8*$DM$128)+'LINEST VARS'!$E$68*(8*0.5)+'LINEST VARS'!$D$68*(8*$CX143)+'LINEST VARS'!$C$68*($DM$128*0.5)+'LINEST VARS'!$B$68*($DM$128*$CX143)+'LINEST VARS'!$A$68*(0.5*$CX143)</f>
        <v>149</v>
      </c>
      <c r="DN143" s="46">
        <f>'LINEST VARS'!$U$68+'LINEST VARS'!$T$68*(8)+'LINEST VARS'!$S$68*(8)+'LINEST VARS'!$R$68*($DN$128)+'LINEST VARS'!$Q$68*(0.5)+'LINEST VARS'!$P$68*($CX143)+'LINEST VARS'!$O$68*(8^2)+'LINEST VARS'!$N$68*(8^2)+'LINEST VARS'!$M$68*($DN$128^2)+'LINEST VARS'!$L$68*(0.5^2)+'LINEST VARS'!$K$68*($CX143^2)+'LINEST VARS'!$J$68*(8*8)+'LINEST VARS'!$I$68*(8*$DN$128)+'LINEST VARS'!$H$68*(8*0.5)+'LINEST VARS'!$G$68*(8*$CX143)+'LINEST VARS'!$F$68*(8*$DN$128)+'LINEST VARS'!$E$68*(8*0.5)+'LINEST VARS'!$D$68*(8*$CX143)+'LINEST VARS'!$C$68*($DN$128*0.5)+'LINEST VARS'!$B$68*($DN$128*$CX143)+'LINEST VARS'!$A$68*(0.5*$CX143)</f>
        <v>149</v>
      </c>
      <c r="DO143" s="46">
        <f>'LINEST VARS'!$U$68+'LINEST VARS'!$T$68*(8)+'LINEST VARS'!$S$68*(8)+'LINEST VARS'!$R$68*($DO$128)+'LINEST VARS'!$Q$68*(0.5)+'LINEST VARS'!$P$68*($CX143)+'LINEST VARS'!$O$68*(8^2)+'LINEST VARS'!$N$68*(8^2)+'LINEST VARS'!$M$68*($DO$128^2)+'LINEST VARS'!$L$68*(0.5^2)+'LINEST VARS'!$K$68*($CX143^2)+'LINEST VARS'!$J$68*(8*8)+'LINEST VARS'!$I$68*(8*$DO$128)+'LINEST VARS'!$H$68*(8*0.5)+'LINEST VARS'!$G$68*(8*$CX143)+'LINEST VARS'!$F$68*(8*$DO$128)+'LINEST VARS'!$E$68*(8*0.5)+'LINEST VARS'!$D$68*(8*$CX143)+'LINEST VARS'!$C$68*($DO$128*0.5)+'LINEST VARS'!$B$68*($DO$128*$CX143)+'LINEST VARS'!$A$68*(0.5*$CX143)</f>
        <v>149</v>
      </c>
      <c r="DP143" s="46">
        <f>'LINEST VARS'!$U$68+'LINEST VARS'!$T$68*(8)+'LINEST VARS'!$S$68*(8)+'LINEST VARS'!$R$68*($DP$128)+'LINEST VARS'!$Q$68*(0.5)+'LINEST VARS'!$P$68*($CX143)+'LINEST VARS'!$O$68*(8^2)+'LINEST VARS'!$N$68*(8^2)+'LINEST VARS'!$M$68*($DP$128^2)+'LINEST VARS'!$L$68*(0.5^2)+'LINEST VARS'!$K$68*($CX143^2)+'LINEST VARS'!$J$68*(8*8)+'LINEST VARS'!$I$68*(8*$DP$128)+'LINEST VARS'!$H$68*(8*0.5)+'LINEST VARS'!$G$68*(8*$CX143)+'LINEST VARS'!$F$68*(8*$DP$128)+'LINEST VARS'!$E$68*(8*0.5)+'LINEST VARS'!$D$68*(8*$CX143)+'LINEST VARS'!$C$68*($DP$128*0.5)+'LINEST VARS'!$B$68*($DP$128*$CX143)+'LINEST VARS'!$A$68*(0.5*$CX143)</f>
        <v>149</v>
      </c>
      <c r="DQ143" s="46">
        <f>'LINEST VARS'!$U$68+'LINEST VARS'!$T$68*(8)+'LINEST VARS'!$S$68*(8)+'LINEST VARS'!$R$68*($DQ$128)+'LINEST VARS'!$Q$68*(0.5)+'LINEST VARS'!$P$68*($CX143)+'LINEST VARS'!$O$68*(8^2)+'LINEST VARS'!$N$68*(8^2)+'LINEST VARS'!$M$68*($DQ$128^2)+'LINEST VARS'!$L$68*(0.5^2)+'LINEST VARS'!$K$68*($CX143^2)+'LINEST VARS'!$J$68*(8*8)+'LINEST VARS'!$I$68*(8*$DQ$128)+'LINEST VARS'!$H$68*(8*0.5)+'LINEST VARS'!$G$68*(8*$CX143)+'LINEST VARS'!$F$68*(8*$DQ$128)+'LINEST VARS'!$E$68*(8*0.5)+'LINEST VARS'!$D$68*(8*$CX143)+'LINEST VARS'!$C$68*($DQ$128*0.5)+'LINEST VARS'!$B$68*($DQ$128*$CX143)+'LINEST VARS'!$A$68*(0.5*$CX143)</f>
        <v>149</v>
      </c>
      <c r="DR143" s="46">
        <f>'LINEST VARS'!$U$68+'LINEST VARS'!$T$68*(8)+'LINEST VARS'!$S$68*(8)+'LINEST VARS'!$R$68*($DR$128)+'LINEST VARS'!$Q$68*(0.5)+'LINEST VARS'!$P$68*($CX143)+'LINEST VARS'!$O$68*(8^2)+'LINEST VARS'!$N$68*(8^2)+'LINEST VARS'!$M$68*($DR$128^2)+'LINEST VARS'!$L$68*(0.5^2)+'LINEST VARS'!$K$68*($CX143^2)+'LINEST VARS'!$J$68*(8*8)+'LINEST VARS'!$I$68*(8*$DR$128)+'LINEST VARS'!$H$68*(8*0.5)+'LINEST VARS'!$G$68*(8*$CX143)+'LINEST VARS'!$F$68*(8*$DR$128)+'LINEST VARS'!$E$68*(8*0.5)+'LINEST VARS'!$D$68*(8*$CX143)+'LINEST VARS'!$C$68*($DR$128*0.5)+'LINEST VARS'!$B$68*($DR$128*$CX143)+'LINEST VARS'!$A$68*(0.5*$CX143)</f>
        <v>149</v>
      </c>
      <c r="DS143" s="47">
        <f>'LINEST VARS'!$U$68+'LINEST VARS'!$T$68*(8)+'LINEST VARS'!$S$68*(8)+'LINEST VARS'!$R$68*($DS$128)+'LINEST VARS'!$Q$68*(0.5)+'LINEST VARS'!$P$68*($CX143)+'LINEST VARS'!$O$68*(8^2)+'LINEST VARS'!$N$68*(8^2)+'LINEST VARS'!$M$68*($DS$128^2)+'LINEST VARS'!$L$68*(0.5^2)+'LINEST VARS'!$K$68*($CX143^2)+'LINEST VARS'!$J$68*(8*8)+'LINEST VARS'!$I$68*(8*$DS$128)+'LINEST VARS'!$H$68*(8*0.5)+'LINEST VARS'!$G$68*(8*$CX143)+'LINEST VARS'!$F$68*(8*$DS$128)+'LINEST VARS'!$E$68*(8*0.5)+'LINEST VARS'!$D$68*(8*$CX143)+'LINEST VARS'!$C$68*($DS$128*0.5)+'LINEST VARS'!$B$68*($DS$128*$CX143)+'LINEST VARS'!$A$68*(0.5*$CX143)</f>
        <v>149</v>
      </c>
      <c r="DV143" s="45">
        <v>18.193000000000001</v>
      </c>
      <c r="DW143" s="46">
        <f>'LINEST VARS'!$U$70+'LINEST VARS'!$T$70*(8)+'LINEST VARS'!$S$70*(8)+'LINEST VARS'!$R$70*($DW$128)+'LINEST VARS'!$Q$70*(0.5)+'LINEST VARS'!$P$70*($DV143)+'LINEST VARS'!$O$70*(8^2)+'LINEST VARS'!$N$70*(8^2)+'LINEST VARS'!$M$70*($DW$128^2)+'LINEST VARS'!$L$70*(0.5^2)+'LINEST VARS'!$K$70*($DV143^2)+'LINEST VARS'!$J$70*(8*8)+'LINEST VARS'!$I$70*(8*$DW$128)+'LINEST VARS'!$H$70*(8*0.5)+'LINEST VARS'!$G$70*(8*$DV143)+'LINEST VARS'!$F$70*(8*$DW$128)+'LINEST VARS'!$E$70*(8*0.5)+'LINEST VARS'!$D$70*(8*$DV143)+'LINEST VARS'!$C$70*($DW$128*0.5)+'LINEST VARS'!$B$70*($DW$128*$DV143)+'LINEST VARS'!$A$70*(0.5*$DV143)</f>
        <v>92.000000000000014</v>
      </c>
      <c r="DX143" s="46">
        <f>'LINEST VARS'!$U$70+'LINEST VARS'!$T$70*(8)+'LINEST VARS'!$S$70*(8)+'LINEST VARS'!$R$70*($DX$128)+'LINEST VARS'!$Q$70*(0.5)+'LINEST VARS'!$P$70*($DV143)+'LINEST VARS'!$O$70*(8^2)+'LINEST VARS'!$N$70*(8^2)+'LINEST VARS'!$M$70*($DX$128^2)+'LINEST VARS'!$L$70*(0.5^2)+'LINEST VARS'!$K$70*($DV143^2)+'LINEST VARS'!$J$70*(8*8)+'LINEST VARS'!$I$70*(8*$DX$128)+'LINEST VARS'!$H$70*(8*0.5)+'LINEST VARS'!$G$70*(8*$DV143)+'LINEST VARS'!$F$70*(8*$DX$128)+'LINEST VARS'!$E$70*(8*0.5)+'LINEST VARS'!$D$70*(8*$DV143)+'LINEST VARS'!$C$70*($DX$128*0.5)+'LINEST VARS'!$B$70*($DX$128*$DV143)+'LINEST VARS'!$A$70*(0.5*$DV143)</f>
        <v>91.600000000000009</v>
      </c>
      <c r="DY143" s="46">
        <f>'LINEST VARS'!$U$70+'LINEST VARS'!$T$70*(8)+'LINEST VARS'!$S$70*(8)+'LINEST VARS'!$R$70*($DY$128)+'LINEST VARS'!$Q$70*(0.5)+'LINEST VARS'!$P$70*($DV143)+'LINEST VARS'!$O$70*(8^2)+'LINEST VARS'!$N$70*(8^2)+'LINEST VARS'!$M$70*($DY$128^2)+'LINEST VARS'!$L$70*(0.5^2)+'LINEST VARS'!$K$70*($DV143^2)+'LINEST VARS'!$J$70*(8*8)+'LINEST VARS'!$I$70*(8*$DY$128)+'LINEST VARS'!$H$70*(8*0.5)+'LINEST VARS'!$G$70*(8*$DV143)+'LINEST VARS'!$F$70*(8*$DY$128)+'LINEST VARS'!$E$70*(8*0.5)+'LINEST VARS'!$D$70*(8*$DV143)+'LINEST VARS'!$C$70*($DY$128*0.5)+'LINEST VARS'!$B$70*($DY$128*$DV143)+'LINEST VARS'!$A$70*(0.5*$DV143)</f>
        <v>91.200000000000017</v>
      </c>
      <c r="DZ143" s="46">
        <f>'LINEST VARS'!$U$70+'LINEST VARS'!$T$70*(8)+'LINEST VARS'!$S$70*(8)+'LINEST VARS'!$R$70*($DZ$128)+'LINEST VARS'!$Q$70*(0.5)+'LINEST VARS'!$P$70*($DV143)+'LINEST VARS'!$O$70*(8^2)+'LINEST VARS'!$N$70*(8^2)+'LINEST VARS'!$M$70*($DZ$128^2)+'LINEST VARS'!$L$70*(0.5^2)+'LINEST VARS'!$K$70*($DV143^2)+'LINEST VARS'!$J$70*(8*8)+'LINEST VARS'!$I$70*(8*$DZ$128)+'LINEST VARS'!$H$70*(8*0.5)+'LINEST VARS'!$G$70*(8*$DV143)+'LINEST VARS'!$F$70*(8*$DZ$128)+'LINEST VARS'!$E$70*(8*0.5)+'LINEST VARS'!$D$70*(8*$DV143)+'LINEST VARS'!$C$70*($DZ$128*0.5)+'LINEST VARS'!$B$70*($DZ$128*$DV143)+'LINEST VARS'!$A$70*(0.5*$DV143)</f>
        <v>90.800000000000011</v>
      </c>
      <c r="EA143" s="46">
        <f>'LINEST VARS'!$U$70+'LINEST VARS'!$T$70*(8)+'LINEST VARS'!$S$70*(8)+'LINEST VARS'!$R$70*($EA$128)+'LINEST VARS'!$Q$70*(0.5)+'LINEST VARS'!$P$70*($DV143)+'LINEST VARS'!$O$70*(8^2)+'LINEST VARS'!$N$70*(8^2)+'LINEST VARS'!$M$70*($EA$128^2)+'LINEST VARS'!$L$70*(0.5^2)+'LINEST VARS'!$K$70*($DV143^2)+'LINEST VARS'!$J$70*(8*8)+'LINEST VARS'!$I$70*(8*$EA$128)+'LINEST VARS'!$H$70*(8*0.5)+'LINEST VARS'!$G$70*(8*$DV143)+'LINEST VARS'!$F$70*(8*$EA$128)+'LINEST VARS'!$E$70*(8*0.5)+'LINEST VARS'!$D$70*(8*$DV143)+'LINEST VARS'!$C$70*($EA$128*0.5)+'LINEST VARS'!$B$70*($EA$128*$DV143)+'LINEST VARS'!$A$70*(0.5*$DV143)</f>
        <v>90.40000000000002</v>
      </c>
      <c r="EB143" s="46">
        <f>'LINEST VARS'!$U$70+'LINEST VARS'!$T$70*(8)+'LINEST VARS'!$S$70*(8)+'LINEST VARS'!$R$70*($EB$128)+'LINEST VARS'!$Q$70*(0.5)+'LINEST VARS'!$P$70*($DV143)+'LINEST VARS'!$O$70*(8^2)+'LINEST VARS'!$N$70*(8^2)+'LINEST VARS'!$M$70*($EB$128^2)+'LINEST VARS'!$L$70*(0.5^2)+'LINEST VARS'!$K$70*($DV143^2)+'LINEST VARS'!$J$70*(8*8)+'LINEST VARS'!$I$70*(8*$EB$128)+'LINEST VARS'!$H$70*(8*0.5)+'LINEST VARS'!$G$70*(8*$DV143)+'LINEST VARS'!$F$70*(8*$EB$128)+'LINEST VARS'!$E$70*(8*0.5)+'LINEST VARS'!$D$70*(8*$DV143)+'LINEST VARS'!$C$70*($EB$128*0.5)+'LINEST VARS'!$B$70*($EB$128*$DV143)+'LINEST VARS'!$A$70*(0.5*$DV143)</f>
        <v>90.000000000000014</v>
      </c>
      <c r="EC143" s="46">
        <f>'LINEST VARS'!$U$70+'LINEST VARS'!$T$70*(8)+'LINEST VARS'!$S$70*(8)+'LINEST VARS'!$R$70*($EC$128)+'LINEST VARS'!$Q$70*(0.5)+'LINEST VARS'!$P$70*($DV143)+'LINEST VARS'!$O$70*(8^2)+'LINEST VARS'!$N$70*(8^2)+'LINEST VARS'!$M$70*($EC$128^2)+'LINEST VARS'!$L$70*(0.5^2)+'LINEST VARS'!$K$70*($DV143^2)+'LINEST VARS'!$J$70*(8*8)+'LINEST VARS'!$I$70*(8*$EC$128)+'LINEST VARS'!$H$70*(8*0.5)+'LINEST VARS'!$G$70*(8*$DV143)+'LINEST VARS'!$F$70*(8*$EC$128)+'LINEST VARS'!$E$70*(8*0.5)+'LINEST VARS'!$D$70*(8*$DV143)+'LINEST VARS'!$C$70*($EC$128*0.5)+'LINEST VARS'!$B$70*($EC$128*$DV143)+'LINEST VARS'!$A$70*(0.5*$DV143)</f>
        <v>89.600000000000023</v>
      </c>
      <c r="ED143" s="46">
        <f>'LINEST VARS'!$U$70+'LINEST VARS'!$T$70*(8)+'LINEST VARS'!$S$70*(8)+'LINEST VARS'!$R$70*($ED$128)+'LINEST VARS'!$Q$70*(0.5)+'LINEST VARS'!$P$70*($DV143)+'LINEST VARS'!$O$70*(8^2)+'LINEST VARS'!$N$70*(8^2)+'LINEST VARS'!$M$70*($ED$128^2)+'LINEST VARS'!$L$70*(0.5^2)+'LINEST VARS'!$K$70*($DV143^2)+'LINEST VARS'!$J$70*(8*8)+'LINEST VARS'!$I$70*(8*$ED$128)+'LINEST VARS'!$H$70*(8*0.5)+'LINEST VARS'!$G$70*(8*$DV143)+'LINEST VARS'!$F$70*(8*$ED$128)+'LINEST VARS'!$E$70*(8*0.5)+'LINEST VARS'!$D$70*(8*$DV143)+'LINEST VARS'!$C$70*($ED$128*0.5)+'LINEST VARS'!$B$70*($ED$128*$DV143)+'LINEST VARS'!$A$70*(0.5*$DV143)</f>
        <v>89.200000000000017</v>
      </c>
      <c r="EE143" s="46">
        <f>'LINEST VARS'!$U$70+'LINEST VARS'!$T$70*(8)+'LINEST VARS'!$S$70*(8)+'LINEST VARS'!$R$70*($EE$128)+'LINEST VARS'!$Q$70*(0.5)+'LINEST VARS'!$P$70*($DV143)+'LINEST VARS'!$O$70*(8^2)+'LINEST VARS'!$N$70*(8^2)+'LINEST VARS'!$M$70*($EE$128^2)+'LINEST VARS'!$L$70*(0.5^2)+'LINEST VARS'!$K$70*($DV143^2)+'LINEST VARS'!$J$70*(8*8)+'LINEST VARS'!$I$70*(8*$EE$128)+'LINEST VARS'!$H$70*(8*0.5)+'LINEST VARS'!$G$70*(8*$DV143)+'LINEST VARS'!$F$70*(8*$EE$128)+'LINEST VARS'!$E$70*(8*0.5)+'LINEST VARS'!$D$70*(8*$DV143)+'LINEST VARS'!$C$70*($EE$128*0.5)+'LINEST VARS'!$B$70*($EE$128*$DV143)+'LINEST VARS'!$A$70*(0.5*$DV143)</f>
        <v>88.800000000000026</v>
      </c>
      <c r="EF143" s="46">
        <f>'LINEST VARS'!$U$70+'LINEST VARS'!$T$70*(8)+'LINEST VARS'!$S$70*(8)+'LINEST VARS'!$R$70*($EF$128)+'LINEST VARS'!$Q$70*(0.5)+'LINEST VARS'!$P$70*($DV143)+'LINEST VARS'!$O$70*(8^2)+'LINEST VARS'!$N$70*(8^2)+'LINEST VARS'!$M$70*($EF$128^2)+'LINEST VARS'!$L$70*(0.5^2)+'LINEST VARS'!$K$70*($DV143^2)+'LINEST VARS'!$J$70*(8*8)+'LINEST VARS'!$I$70*(8*$EF$128)+'LINEST VARS'!$H$70*(8*0.5)+'LINEST VARS'!$G$70*(8*$DV143)+'LINEST VARS'!$F$70*(8*$EF$128)+'LINEST VARS'!$E$70*(8*0.5)+'LINEST VARS'!$D$70*(8*$DV143)+'LINEST VARS'!$C$70*($EF$128*0.5)+'LINEST VARS'!$B$70*($EF$128*$DV143)+'LINEST VARS'!$A$70*(0.5*$DV143)</f>
        <v>88.40000000000002</v>
      </c>
      <c r="EG143" s="46">
        <f>'LINEST VARS'!$U$70+'LINEST VARS'!$T$70*(8)+'LINEST VARS'!$S$70*(8)+'LINEST VARS'!$R$70*($EG$128)+'LINEST VARS'!$Q$70*(0.5)+'LINEST VARS'!$P$70*($DV143)+'LINEST VARS'!$O$70*(8^2)+'LINEST VARS'!$N$70*(8^2)+'LINEST VARS'!$M$70*($EG$128^2)+'LINEST VARS'!$L$70*(0.5^2)+'LINEST VARS'!$K$70*($DV143^2)+'LINEST VARS'!$J$70*(8*8)+'LINEST VARS'!$I$70*(8*$EG$128)+'LINEST VARS'!$H$70*(8*0.5)+'LINEST VARS'!$G$70*(8*$DV143)+'LINEST VARS'!$F$70*(8*$EG$128)+'LINEST VARS'!$E$70*(8*0.5)+'LINEST VARS'!$D$70*(8*$DV143)+'LINEST VARS'!$C$70*($EG$128*0.5)+'LINEST VARS'!$B$70*($EG$128*$DV143)+'LINEST VARS'!$A$70*(0.5*$DV143)</f>
        <v>88.000000000000014</v>
      </c>
      <c r="EH143" s="46">
        <f>'LINEST VARS'!$U$70+'LINEST VARS'!$T$70*(8)+'LINEST VARS'!$S$70*(8)+'LINEST VARS'!$R$70*($EH$128)+'LINEST VARS'!$Q$70*(0.5)+'LINEST VARS'!$P$70*($DV143)+'LINEST VARS'!$O$70*(8^2)+'LINEST VARS'!$N$70*(8^2)+'LINEST VARS'!$M$70*($EH$128^2)+'LINEST VARS'!$L$70*(0.5^2)+'LINEST VARS'!$K$70*($DV143^2)+'LINEST VARS'!$J$70*(8*8)+'LINEST VARS'!$I$70*(8*$EH$128)+'LINEST VARS'!$H$70*(8*0.5)+'LINEST VARS'!$G$70*(8*$DV143)+'LINEST VARS'!$F$70*(8*$EH$128)+'LINEST VARS'!$E$70*(8*0.5)+'LINEST VARS'!$D$70*(8*$DV143)+'LINEST VARS'!$C$70*($EH$128*0.5)+'LINEST VARS'!$B$70*($EH$128*$DV143)+'LINEST VARS'!$A$70*(0.5*$DV143)</f>
        <v>87.600000000000023</v>
      </c>
      <c r="EI143" s="46">
        <f>'LINEST VARS'!$U$70+'LINEST VARS'!$T$70*(8)+'LINEST VARS'!$S$70*(8)+'LINEST VARS'!$R$70*($EI$128)+'LINEST VARS'!$Q$70*(0.5)+'LINEST VARS'!$P$70*($DV143)+'LINEST VARS'!$O$70*(8^2)+'LINEST VARS'!$N$70*(8^2)+'LINEST VARS'!$M$70*($EI$128^2)+'LINEST VARS'!$L$70*(0.5^2)+'LINEST VARS'!$K$70*($DV143^2)+'LINEST VARS'!$J$70*(8*8)+'LINEST VARS'!$I$70*(8*$EI$128)+'LINEST VARS'!$H$70*(8*0.5)+'LINEST VARS'!$G$70*(8*$DV143)+'LINEST VARS'!$F$70*(8*$EI$128)+'LINEST VARS'!$E$70*(8*0.5)+'LINEST VARS'!$D$70*(8*$DV143)+'LINEST VARS'!$C$70*($EI$128*0.5)+'LINEST VARS'!$B$70*($EI$128*$DV143)+'LINEST VARS'!$A$70*(0.5*$DV143)</f>
        <v>87.200000000000017</v>
      </c>
      <c r="EJ143" s="46">
        <f>'LINEST VARS'!$U$70+'LINEST VARS'!$T$70*(8)+'LINEST VARS'!$S$70*(8)+'LINEST VARS'!$R$70*($EJ$128)+'LINEST VARS'!$Q$70*(0.5)+'LINEST VARS'!$P$70*($DV143)+'LINEST VARS'!$O$70*(8^2)+'LINEST VARS'!$N$70*(8^2)+'LINEST VARS'!$M$70*($EJ$128^2)+'LINEST VARS'!$L$70*(0.5^2)+'LINEST VARS'!$K$70*($DV143^2)+'LINEST VARS'!$J$70*(8*8)+'LINEST VARS'!$I$70*(8*$EJ$128)+'LINEST VARS'!$H$70*(8*0.5)+'LINEST VARS'!$G$70*(8*$DV143)+'LINEST VARS'!$F$70*(8*$EJ$128)+'LINEST VARS'!$E$70*(8*0.5)+'LINEST VARS'!$D$70*(8*$DV143)+'LINEST VARS'!$C$70*($EJ$128*0.5)+'LINEST VARS'!$B$70*($EJ$128*$DV143)+'LINEST VARS'!$A$70*(0.5*$DV143)</f>
        <v>86.800000000000026</v>
      </c>
      <c r="EK143" s="46">
        <f>'LINEST VARS'!$U$70+'LINEST VARS'!$T$70*(8)+'LINEST VARS'!$S$70*(8)+'LINEST VARS'!$R$70*($EK$128)+'LINEST VARS'!$Q$70*(0.5)+'LINEST VARS'!$P$70*($DV143)+'LINEST VARS'!$O$70*(8^2)+'LINEST VARS'!$N$70*(8^2)+'LINEST VARS'!$M$70*($EK$128^2)+'LINEST VARS'!$L$70*(0.5^2)+'LINEST VARS'!$K$70*($DV143^2)+'LINEST VARS'!$J$70*(8*8)+'LINEST VARS'!$I$70*(8*$EK$128)+'LINEST VARS'!$H$70*(8*0.5)+'LINEST VARS'!$G$70*(8*$DV143)+'LINEST VARS'!$F$70*(8*$EK$128)+'LINEST VARS'!$E$70*(8*0.5)+'LINEST VARS'!$D$70*(8*$DV143)+'LINEST VARS'!$C$70*($EK$128*0.5)+'LINEST VARS'!$B$70*($EK$128*$DV143)+'LINEST VARS'!$A$70*(0.5*$DV143)</f>
        <v>86.40000000000002</v>
      </c>
      <c r="EL143" s="46">
        <f>'LINEST VARS'!$U$70+'LINEST VARS'!$T$70*(8)+'LINEST VARS'!$S$70*(8)+'LINEST VARS'!$R$70*($EL$128)+'LINEST VARS'!$Q$70*(0.5)+'LINEST VARS'!$P$70*($DV143)+'LINEST VARS'!$O$70*(8^2)+'LINEST VARS'!$N$70*(8^2)+'LINEST VARS'!$M$70*($EL$128^2)+'LINEST VARS'!$L$70*(0.5^2)+'LINEST VARS'!$K$70*($DV143^2)+'LINEST VARS'!$J$70*(8*8)+'LINEST VARS'!$I$70*(8*$EL$128)+'LINEST VARS'!$H$70*(8*0.5)+'LINEST VARS'!$G$70*(8*$DV143)+'LINEST VARS'!$F$70*(8*$EL$128)+'LINEST VARS'!$E$70*(8*0.5)+'LINEST VARS'!$D$70*(8*$DV143)+'LINEST VARS'!$C$70*($EL$128*0.5)+'LINEST VARS'!$B$70*($EL$128*$DV143)+'LINEST VARS'!$A$70*(0.5*$DV143)</f>
        <v>86.000000000000014</v>
      </c>
      <c r="EM143" s="46">
        <f>'LINEST VARS'!$U$70+'LINEST VARS'!$T$70*(8)+'LINEST VARS'!$S$70*(8)+'LINEST VARS'!$R$70*($EM$128)+'LINEST VARS'!$Q$70*(0.5)+'LINEST VARS'!$P$70*($DV143)+'LINEST VARS'!$O$70*(8^2)+'LINEST VARS'!$N$70*(8^2)+'LINEST VARS'!$M$70*($EM$128^2)+'LINEST VARS'!$L$70*(0.5^2)+'LINEST VARS'!$K$70*($DV143^2)+'LINEST VARS'!$J$70*(8*8)+'LINEST VARS'!$I$70*(8*$EM$128)+'LINEST VARS'!$H$70*(8*0.5)+'LINEST VARS'!$G$70*(8*$DV143)+'LINEST VARS'!$F$70*(8*$EM$128)+'LINEST VARS'!$E$70*(8*0.5)+'LINEST VARS'!$D$70*(8*$DV143)+'LINEST VARS'!$C$70*($EM$128*0.5)+'LINEST VARS'!$B$70*($EM$128*$DV143)+'LINEST VARS'!$A$70*(0.5*$DV143)</f>
        <v>85.600000000000009</v>
      </c>
      <c r="EN143" s="46">
        <f>'LINEST VARS'!$U$70+'LINEST VARS'!$T$70*(8)+'LINEST VARS'!$S$70*(8)+'LINEST VARS'!$R$70*($EN$128)+'LINEST VARS'!$Q$70*(0.5)+'LINEST VARS'!$P$70*($DV143)+'LINEST VARS'!$O$70*(8^2)+'LINEST VARS'!$N$70*(8^2)+'LINEST VARS'!$M$70*($EN$128^2)+'LINEST VARS'!$L$70*(0.5^2)+'LINEST VARS'!$K$70*($DV143^2)+'LINEST VARS'!$J$70*(8*8)+'LINEST VARS'!$I$70*(8*$EN$128)+'LINEST VARS'!$H$70*(8*0.5)+'LINEST VARS'!$G$70*(8*$DV143)+'LINEST VARS'!$F$70*(8*$EN$128)+'LINEST VARS'!$E$70*(8*0.5)+'LINEST VARS'!$D$70*(8*$DV143)+'LINEST VARS'!$C$70*($EN$128*0.5)+'LINEST VARS'!$B$70*($EN$128*$DV143)+'LINEST VARS'!$A$70*(0.5*$DV143)</f>
        <v>85.200000000000017</v>
      </c>
      <c r="EO143" s="46">
        <f>'LINEST VARS'!$U$70+'LINEST VARS'!$T$70*(8)+'LINEST VARS'!$S$70*(8)+'LINEST VARS'!$R$70*($EO$128)+'LINEST VARS'!$Q$70*(0.5)+'LINEST VARS'!$P$70*($DV143)+'LINEST VARS'!$O$70*(8^2)+'LINEST VARS'!$N$70*(8^2)+'LINEST VARS'!$M$70*($EO$128^2)+'LINEST VARS'!$L$70*(0.5^2)+'LINEST VARS'!$K$70*($DV143^2)+'LINEST VARS'!$J$70*(8*8)+'LINEST VARS'!$I$70*(8*$EO$128)+'LINEST VARS'!$H$70*(8*0.5)+'LINEST VARS'!$G$70*(8*$DV143)+'LINEST VARS'!$F$70*(8*$EO$128)+'LINEST VARS'!$E$70*(8*0.5)+'LINEST VARS'!$D$70*(8*$DV143)+'LINEST VARS'!$C$70*($EO$128*0.5)+'LINEST VARS'!$B$70*($EO$128*$DV143)+'LINEST VARS'!$A$70*(0.5*$DV143)</f>
        <v>84.800000000000011</v>
      </c>
      <c r="EP143" s="46">
        <f>'LINEST VARS'!$U$70+'LINEST VARS'!$T$70*(8)+'LINEST VARS'!$S$70*(8)+'LINEST VARS'!$R$70*($EP$128)+'LINEST VARS'!$Q$70*(0.5)+'LINEST VARS'!$P$70*($DV143)+'LINEST VARS'!$O$70*(8^2)+'LINEST VARS'!$N$70*(8^2)+'LINEST VARS'!$M$70*($EP$128^2)+'LINEST VARS'!$L$70*(0.5^2)+'LINEST VARS'!$K$70*($DV143^2)+'LINEST VARS'!$J$70*(8*8)+'LINEST VARS'!$I$70*(8*$EP$128)+'LINEST VARS'!$H$70*(8*0.5)+'LINEST VARS'!$G$70*(8*$DV143)+'LINEST VARS'!$F$70*(8*$EP$128)+'LINEST VARS'!$E$70*(8*0.5)+'LINEST VARS'!$D$70*(8*$DV143)+'LINEST VARS'!$C$70*($EP$128*0.5)+'LINEST VARS'!$B$70*($EP$128*$DV143)+'LINEST VARS'!$A$70*(0.5*$DV143)</f>
        <v>84.400000000000034</v>
      </c>
      <c r="EQ143" s="47">
        <f>'LINEST VARS'!$U$70+'LINEST VARS'!$T$70*(8)+'LINEST VARS'!$S$70*(8)+'LINEST VARS'!$R$70*($EQ$128)+'LINEST VARS'!$Q$70*(0.5)+'LINEST VARS'!$P$70*($DV143)+'LINEST VARS'!$O$70*(8^2)+'LINEST VARS'!$N$70*(8^2)+'LINEST VARS'!$M$70*($EQ$128^2)+'LINEST VARS'!$L$70*(0.5^2)+'LINEST VARS'!$K$70*($DV143^2)+'LINEST VARS'!$J$70*(8*8)+'LINEST VARS'!$I$70*(8*$EQ$128)+'LINEST VARS'!$H$70*(8*0.5)+'LINEST VARS'!$G$70*(8*$DV143)+'LINEST VARS'!$F$70*(8*$EQ$128)+'LINEST VARS'!$E$70*(8*0.5)+'LINEST VARS'!$D$70*(8*$DV143)+'LINEST VARS'!$C$70*($EQ$128*0.5)+'LINEST VARS'!$B$70*($EQ$128*$DV143)+'LINEST VARS'!$A$70*(0.5*$DV143)</f>
        <v>84.000000000000028</v>
      </c>
    </row>
    <row r="144" spans="2:147" ht="15" customHeight="1" x14ac:dyDescent="0.25">
      <c r="B144" s="45">
        <v>8.3000000000000007</v>
      </c>
      <c r="C144" s="46">
        <f>'LINEST VARS'!$U$68+'LINEST VARS'!$T$68*($C$128)+'LINEST VARS'!$S$68*($B144)+'LINEST VARS'!$R$68*(4)+'LINEST VARS'!$Q$68*(0.5)+'LINEST VARS'!$P$68*(12.73)+'LINEST VARS'!$O$68*($C$128^2)+'LINEST VARS'!$N$68*($B144^2)+'LINEST VARS'!$M$68*(4^2)+'LINEST VARS'!$L$68*(0.5^2)+'LINEST VARS'!$K$68*(12.73^2)+'LINEST VARS'!$J$68*($C$128*$B144)+'LINEST VARS'!$I$68*($C$128*4)+'LINEST VARS'!$H$68*($C$128*0.5)+'LINEST VARS'!$G$68*($C$128*12.73)+'LINEST VARS'!$F$68*($B144*4)+'LINEST VARS'!$E$68*($B144*0.5)+'LINEST VARS'!$D$68*($B144*12.73)+'LINEST VARS'!$C$68*(4*0.5)+'LINEST VARS'!$B$68*(4*12.73)+'LINEST VARS'!$A$68*(0.5*12.73)</f>
        <v>149</v>
      </c>
      <c r="D144" s="46">
        <f>'LINEST VARS'!$U$68+'LINEST VARS'!$T$68*($D$128)+'LINEST VARS'!$S$68*($B144)+'LINEST VARS'!$R$68*(4)+'LINEST VARS'!$Q$68*(0.5)+'LINEST VARS'!$P$68*(12.73)+'LINEST VARS'!$O$68*($D$128^2)+'LINEST VARS'!$N$68*($B144^2)+'LINEST VARS'!$M$68*(4^2)+'LINEST VARS'!$L$68*(0.5^2)+'LINEST VARS'!$K$68*(12.73^2)+'LINEST VARS'!$J$68*($D$128*$B144)+'LINEST VARS'!$I$68*($D$128*4)+'LINEST VARS'!$H$68*($D$128*0.5)+'LINEST VARS'!$G$68*($D$128*12.73)+'LINEST VARS'!$F$68*($B144*4)+'LINEST VARS'!$E$68*($B144*0.5)+'LINEST VARS'!$D$68*($B144*12.73)+'LINEST VARS'!$C$68*(4*0.5)+'LINEST VARS'!$B$68*(4*12.73)+'LINEST VARS'!$A$68*(0.5*12.73)</f>
        <v>149</v>
      </c>
      <c r="E144" s="46">
        <f>'LINEST VARS'!$U$68+'LINEST VARS'!$T$68*($E$128)+'LINEST VARS'!$S$68*($B144)+'LINEST VARS'!$R$68*(4)+'LINEST VARS'!$Q$68*(0.5)+'LINEST VARS'!$P$68*(12.73)+'LINEST VARS'!$O$68*($E$128^2)+'LINEST VARS'!$N$68*($B144^2)+'LINEST VARS'!$M$68*(4^2)+'LINEST VARS'!$L$68*(0.5^2)+'LINEST VARS'!$K$68*(12.73^2)+'LINEST VARS'!$J$68*($E$128*$B144)+'LINEST VARS'!$I$68*($E$128*4)+'LINEST VARS'!$H$68*($E$128*0.5)+'LINEST VARS'!$G$68*($E$128*12.73)+'LINEST VARS'!$F$68*($B144*4)+'LINEST VARS'!$E$68*($B144*0.5)+'LINEST VARS'!$D$68*($B144*12.73)+'LINEST VARS'!$C$68*(4*0.5)+'LINEST VARS'!$B$68*(4*12.73)+'LINEST VARS'!$A$68*(0.5*12.73)</f>
        <v>149</v>
      </c>
      <c r="F144" s="46">
        <f>'LINEST VARS'!$U$68+'LINEST VARS'!$T$68*($F$128)+'LINEST VARS'!$S$68*($B144)+'LINEST VARS'!$R$68*(4)+'LINEST VARS'!$Q$68*(0.5)+'LINEST VARS'!$P$68*(12.73)+'LINEST VARS'!$O$68*($F$128^2)+'LINEST VARS'!$N$68*($B144^2)+'LINEST VARS'!$M$68*(4^2)+'LINEST VARS'!$L$68*(0.5^2)+'LINEST VARS'!$K$68*(12.73^2)+'LINEST VARS'!$J$68*($F$128*$B144)+'LINEST VARS'!$I$68*($F$128*4)+'LINEST VARS'!$H$68*($F$128*0.5)+'LINEST VARS'!$G$68*($F$128*12.73)+'LINEST VARS'!$F$68*($B144*4)+'LINEST VARS'!$E$68*($B144*0.5)+'LINEST VARS'!$D$68*($B144*12.73)+'LINEST VARS'!$C$68*(4*0.5)+'LINEST VARS'!$B$68*(4*12.73)+'LINEST VARS'!$A$68*(0.5*12.73)</f>
        <v>149</v>
      </c>
      <c r="G144" s="46">
        <f>'LINEST VARS'!$U$68+'LINEST VARS'!$T$68*($G$128)+'LINEST VARS'!$S$68*($B144)+'LINEST VARS'!$R$68*(4)+'LINEST VARS'!$Q$68*(0.5)+'LINEST VARS'!$P$68*(12.73)+'LINEST VARS'!$O$68*($G$128^2)+'LINEST VARS'!$N$68*($B144^2)+'LINEST VARS'!$M$68*(4^2)+'LINEST VARS'!$L$68*(0.5^2)+'LINEST VARS'!$K$68*(12.73^2)+'LINEST VARS'!$J$68*($G$128*$B144)+'LINEST VARS'!$I$68*($G$128*4)+'LINEST VARS'!$H$68*($G$128*0.5)+'LINEST VARS'!$G$68*($G$128*12.73)+'LINEST VARS'!$F$68*($B144*4)+'LINEST VARS'!$E$68*($B144*0.5)+'LINEST VARS'!$D$68*($B144*12.73)+'LINEST VARS'!$C$68*(4*0.5)+'LINEST VARS'!$B$68*(4*12.73)+'LINEST VARS'!$A$68*(0.5*12.73)</f>
        <v>149</v>
      </c>
      <c r="H144" s="46">
        <f>'LINEST VARS'!$U$68+'LINEST VARS'!$T$68*($H$128)+'LINEST VARS'!$S$68*($B144)+'LINEST VARS'!$R$68*(4)+'LINEST VARS'!$Q$68*(0.5)+'LINEST VARS'!$P$68*(12.73)+'LINEST VARS'!$O$68*($H$128^2)+'LINEST VARS'!$N$68*($B144^2)+'LINEST VARS'!$M$68*(4^2)+'LINEST VARS'!$L$68*(0.5^2)+'LINEST VARS'!$K$68*(12.73^2)+'LINEST VARS'!$J$68*($H$128*$B144)+'LINEST VARS'!$I$68*($H$128*4)+'LINEST VARS'!$H$68*($H$128*0.5)+'LINEST VARS'!$G$68*($H$128*12.73)+'LINEST VARS'!$F$68*($B144*4)+'LINEST VARS'!$E$68*($B144*0.5)+'LINEST VARS'!$D$68*($B144*12.73)+'LINEST VARS'!$C$68*(4*0.5)+'LINEST VARS'!$B$68*(4*12.73)+'LINEST VARS'!$A$68*(0.5*12.73)</f>
        <v>149</v>
      </c>
      <c r="I144" s="46">
        <f>'LINEST VARS'!$U$68+'LINEST VARS'!$T$68*($I$128)+'LINEST VARS'!$S$68*($B144)+'LINEST VARS'!$R$68*(4)+'LINEST VARS'!$Q$68*(0.5)+'LINEST VARS'!$P$68*(12.73)+'LINEST VARS'!$O$68*($I$128^2)+'LINEST VARS'!$N$68*($B144^2)+'LINEST VARS'!$M$68*(4^2)+'LINEST VARS'!$L$68*(0.5^2)+'LINEST VARS'!$K$68*(12.73^2)+'LINEST VARS'!$J$68*($I$128*$B144)+'LINEST VARS'!$I$68*($I$128*4)+'LINEST VARS'!$H$68*($I$128*0.5)+'LINEST VARS'!$G$68*($I$128*12.73)+'LINEST VARS'!$F$68*($B144*4)+'LINEST VARS'!$E$68*($B144*0.5)+'LINEST VARS'!$D$68*($B144*12.73)+'LINEST VARS'!$C$68*(4*0.5)+'LINEST VARS'!$B$68*(4*12.73)+'LINEST VARS'!$A$68*(0.5*12.73)</f>
        <v>149</v>
      </c>
      <c r="J144" s="46">
        <f>'LINEST VARS'!$U$68+'LINEST VARS'!$T$68*($J$128)+'LINEST VARS'!$S$68*($B144)+'LINEST VARS'!$R$68*(4)+'LINEST VARS'!$Q$68*(0.5)+'LINEST VARS'!$P$68*(12.73)+'LINEST VARS'!$O$68*($J$128^2)+'LINEST VARS'!$N$68*($B144^2)+'LINEST VARS'!$M$68*(4^2)+'LINEST VARS'!$L$68*(0.5^2)+'LINEST VARS'!$K$68*(12.73^2)+'LINEST VARS'!$J$68*($J$128*$B144)+'LINEST VARS'!$I$68*($J$128*4)+'LINEST VARS'!$H$68*($J$128*0.5)+'LINEST VARS'!$G$68*($J$128*12.73)+'LINEST VARS'!$F$68*($B144*4)+'LINEST VARS'!$E$68*($B144*0.5)+'LINEST VARS'!$D$68*($B144*12.73)+'LINEST VARS'!$C$68*(4*0.5)+'LINEST VARS'!$B$68*(4*12.73)+'LINEST VARS'!$A$68*(0.5*12.73)</f>
        <v>149</v>
      </c>
      <c r="K144" s="46">
        <f>'LINEST VARS'!$U$68+'LINEST VARS'!$T$68*($K$128)+'LINEST VARS'!$S$68*($B144)+'LINEST VARS'!$R$68*(4)+'LINEST VARS'!$Q$68*(0.5)+'LINEST VARS'!$P$68*(12.73)+'LINEST VARS'!$O$68*($K$128^2)+'LINEST VARS'!$N$68*($B144^2)+'LINEST VARS'!$M$68*(4^2)+'LINEST VARS'!$L$68*(0.5^2)+'LINEST VARS'!$K$68*(12.73^2)+'LINEST VARS'!$J$68*($K$128*$B144)+'LINEST VARS'!$I$68*($K$128*4)+'LINEST VARS'!$H$68*($K$128*0.5)+'LINEST VARS'!$G$68*($K$128*12.73)+'LINEST VARS'!$F$68*($B144*4)+'LINEST VARS'!$E$68*($B144*0.5)+'LINEST VARS'!$D$68*($B144*12.73)+'LINEST VARS'!$C$68*(4*0.5)+'LINEST VARS'!$B$68*(4*12.73)+'LINEST VARS'!$A$68*(0.5*12.73)</f>
        <v>149</v>
      </c>
      <c r="L144" s="46">
        <f>'LINEST VARS'!$U$68+'LINEST VARS'!$T$68*($L$128)+'LINEST VARS'!$S$68*($B144)+'LINEST VARS'!$R$68*(4)+'LINEST VARS'!$Q$68*(0.5)+'LINEST VARS'!$P$68*(12.73)+'LINEST VARS'!$O$68*($L$128^2)+'LINEST VARS'!$N$68*($B144^2)+'LINEST VARS'!$M$68*(4^2)+'LINEST VARS'!$L$68*(0.5^2)+'LINEST VARS'!$K$68*(12.73^2)+'LINEST VARS'!$J$68*($L$128*$B144)+'LINEST VARS'!$I$68*($L$128*4)+'LINEST VARS'!$H$68*($L$128*0.5)+'LINEST VARS'!$G$68*($L$128*12.73)+'LINEST VARS'!$F$68*($B144*4)+'LINEST VARS'!$E$68*($B144*0.5)+'LINEST VARS'!$D$68*($B144*12.73)+'LINEST VARS'!$C$68*(4*0.5)+'LINEST VARS'!$B$68*(4*12.73)+'LINEST VARS'!$A$68*(0.5*12.73)</f>
        <v>149</v>
      </c>
      <c r="M144" s="46">
        <f>'LINEST VARS'!$U$68+'LINEST VARS'!$T$68*($M$128)+'LINEST VARS'!$S$68*($B144)+'LINEST VARS'!$R$68*(4)+'LINEST VARS'!$Q$68*(0.5)+'LINEST VARS'!$P$68*(12.73)+'LINEST VARS'!$O$68*($M$128^2)+'LINEST VARS'!$N$68*($B144^2)+'LINEST VARS'!$M$68*(4^2)+'LINEST VARS'!$L$68*(0.5^2)+'LINEST VARS'!$K$68*(12.73^2)+'LINEST VARS'!$J$68*($M$128*$B144)+'LINEST VARS'!$I$68*($M$128*4)+'LINEST VARS'!$H$68*($M$128*0.5)+'LINEST VARS'!$G$68*($M$128*12.73)+'LINEST VARS'!$F$68*($B144*4)+'LINEST VARS'!$E$68*($B144*0.5)+'LINEST VARS'!$D$68*($B144*12.73)+'LINEST VARS'!$C$68*(4*0.5)+'LINEST VARS'!$B$68*(4*12.73)+'LINEST VARS'!$A$68*(0.5*12.73)</f>
        <v>149</v>
      </c>
      <c r="N144" s="46">
        <f>'LINEST VARS'!$U$68+'LINEST VARS'!$T$68*($N$128)+'LINEST VARS'!$S$68*($B144)+'LINEST VARS'!$R$68*(4)+'LINEST VARS'!$Q$68*(0.5)+'LINEST VARS'!$P$68*(12.73)+'LINEST VARS'!$O$68*($N$128^2)+'LINEST VARS'!$N$68*($B144^2)+'LINEST VARS'!$M$68*(4^2)+'LINEST VARS'!$L$68*(0.5^2)+'LINEST VARS'!$K$68*(12.73^2)+'LINEST VARS'!$J$68*($N$128*$B144)+'LINEST VARS'!$I$68*($N$128*4)+'LINEST VARS'!$H$68*($N$128*0.5)+'LINEST VARS'!$G$68*($N$128*12.73)+'LINEST VARS'!$F$68*($B144*4)+'LINEST VARS'!$E$68*($B144*0.5)+'LINEST VARS'!$D$68*($B144*12.73)+'LINEST VARS'!$C$68*(4*0.5)+'LINEST VARS'!$B$68*(4*12.73)+'LINEST VARS'!$A$68*(0.5*12.73)</f>
        <v>149</v>
      </c>
      <c r="O144" s="46">
        <f>'LINEST VARS'!$U$68+'LINEST VARS'!$T$68*($O$128)+'LINEST VARS'!$S$68*($B144)+'LINEST VARS'!$R$68*(4)+'LINEST VARS'!$Q$68*(0.5)+'LINEST VARS'!$P$68*(12.73)+'LINEST VARS'!$O$68*($O$128^2)+'LINEST VARS'!$N$68*($B144^2)+'LINEST VARS'!$M$68*(4^2)+'LINEST VARS'!$L$68*(0.5^2)+'LINEST VARS'!$K$68*(12.73^2)+'LINEST VARS'!$J$68*($O$128*$B144)+'LINEST VARS'!$I$68*($O$128*4)+'LINEST VARS'!$H$68*($O$128*0.5)+'LINEST VARS'!$G$68*($O$128*12.73)+'LINEST VARS'!$F$68*($B144*4)+'LINEST VARS'!$E$68*($B144*0.5)+'LINEST VARS'!$D$68*($B144*12.73)+'LINEST VARS'!$C$68*(4*0.5)+'LINEST VARS'!$B$68*(4*12.73)+'LINEST VARS'!$A$68*(0.5*12.73)</f>
        <v>149</v>
      </c>
      <c r="P144" s="46">
        <f>'LINEST VARS'!$U$68+'LINEST VARS'!$T$68*($P$128)+'LINEST VARS'!$S$68*($B144)+'LINEST VARS'!$R$68*(4)+'LINEST VARS'!$Q$68*(0.5)+'LINEST VARS'!$P$68*(12.73)+'LINEST VARS'!$O$68*($P$128^2)+'LINEST VARS'!$N$68*($B144^2)+'LINEST VARS'!$M$68*(4^2)+'LINEST VARS'!$L$68*(0.5^2)+'LINEST VARS'!$K$68*(12.73^2)+'LINEST VARS'!$J$68*($P$128*$B144)+'LINEST VARS'!$I$68*($P$128*4)+'LINEST VARS'!$H$68*($P$128*0.5)+'LINEST VARS'!$G$68*($P$128*12.73)+'LINEST VARS'!$F$68*($B144*4)+'LINEST VARS'!$E$68*($B144*0.5)+'LINEST VARS'!$D$68*($B144*12.73)+'LINEST VARS'!$C$68*(4*0.5)+'LINEST VARS'!$B$68*(4*12.73)+'LINEST VARS'!$A$68*(0.5*12.73)</f>
        <v>149</v>
      </c>
      <c r="Q144" s="46">
        <f>'LINEST VARS'!$U$68+'LINEST VARS'!$T$68*($Q$128)+'LINEST VARS'!$S$68*($B144)+'LINEST VARS'!$R$68*(4)+'LINEST VARS'!$Q$68*(0.5)+'LINEST VARS'!$P$68*(12.73)+'LINEST VARS'!$O$68*($Q$128^2)+'LINEST VARS'!$N$68*($B144^2)+'LINEST VARS'!$M$68*(4^2)+'LINEST VARS'!$L$68*(0.5^2)+'LINEST VARS'!$K$68*(12.73^2)+'LINEST VARS'!$J$68*($Q$128*$B144)+'LINEST VARS'!$I$68*($Q$128*4)+'LINEST VARS'!$H$68*($Q$128*0.5)+'LINEST VARS'!$G$68*($Q$128*12.73)+'LINEST VARS'!$F$68*($B144*4)+'LINEST VARS'!$E$68*($B144*0.5)+'LINEST VARS'!$D$68*($B144*12.73)+'LINEST VARS'!$C$68*(4*0.5)+'LINEST VARS'!$B$68*(4*12.73)+'LINEST VARS'!$A$68*(0.5*12.73)</f>
        <v>149</v>
      </c>
      <c r="R144" s="46">
        <f>'LINEST VARS'!$U$68+'LINEST VARS'!$T$68*($R$128)+'LINEST VARS'!$S$68*($B144)+'LINEST VARS'!$R$68*(4)+'LINEST VARS'!$Q$68*(0.5)+'LINEST VARS'!$P$68*(12.73)+'LINEST VARS'!$O$68*($R$128^2)+'LINEST VARS'!$N$68*($B144^2)+'LINEST VARS'!$M$68*(4^2)+'LINEST VARS'!$L$68*(0.5^2)+'LINEST VARS'!$K$68*(12.73^2)+'LINEST VARS'!$J$68*($R$128*$B144)+'LINEST VARS'!$I$68*($R$128*4)+'LINEST VARS'!$H$68*($R$128*0.5)+'LINEST VARS'!$G$68*($R$128*12.73)+'LINEST VARS'!$F$68*($B144*4)+'LINEST VARS'!$E$68*($B144*0.5)+'LINEST VARS'!$D$68*($B144*12.73)+'LINEST VARS'!$C$68*(4*0.5)+'LINEST VARS'!$B$68*(4*12.73)+'LINEST VARS'!$A$68*(0.5*12.73)</f>
        <v>149</v>
      </c>
      <c r="S144" s="46">
        <f>'LINEST VARS'!$U$68+'LINEST VARS'!$T$68*($S$128)+'LINEST VARS'!$S$68*($B144)+'LINEST VARS'!$R$68*(4)+'LINEST VARS'!$Q$68*(0.5)+'LINEST VARS'!$P$68*(12.73)+'LINEST VARS'!$O$68*($S$128^2)+'LINEST VARS'!$N$68*($B144^2)+'LINEST VARS'!$M$68*(4^2)+'LINEST VARS'!$L$68*(0.5^2)+'LINEST VARS'!$K$68*(12.73^2)+'LINEST VARS'!$J$68*($S$128*$B144)+'LINEST VARS'!$I$68*($S$128*4)+'LINEST VARS'!$H$68*($S$128*0.5)+'LINEST VARS'!$G$68*($S$128*12.73)+'LINEST VARS'!$F$68*($B144*4)+'LINEST VARS'!$E$68*($B144*0.5)+'LINEST VARS'!$D$68*($B144*12.73)+'LINEST VARS'!$C$68*(4*0.5)+'LINEST VARS'!$B$68*(4*12.73)+'LINEST VARS'!$A$68*(0.5*12.73)</f>
        <v>149</v>
      </c>
      <c r="T144" s="46">
        <f>'LINEST VARS'!$U$68+'LINEST VARS'!$T$68*($T$128)+'LINEST VARS'!$S$68*($B144)+'LINEST VARS'!$R$68*(4)+'LINEST VARS'!$Q$68*(0.5)+'LINEST VARS'!$P$68*(12.73)+'LINEST VARS'!$O$68*($T$128^2)+'LINEST VARS'!$N$68*($B144^2)+'LINEST VARS'!$M$68*(4^2)+'LINEST VARS'!$L$68*(0.5^2)+'LINEST VARS'!$K$68*(12.73^2)+'LINEST VARS'!$J$68*($T$128*$B144)+'LINEST VARS'!$I$68*($T$128*4)+'LINEST VARS'!$H$68*($T$128*0.5)+'LINEST VARS'!$G$68*($T$128*12.73)+'LINEST VARS'!$F$68*($B144*4)+'LINEST VARS'!$E$68*($B144*0.5)+'LINEST VARS'!$D$68*($B144*12.73)+'LINEST VARS'!$C$68*(4*0.5)+'LINEST VARS'!$B$68*(4*12.73)+'LINEST VARS'!$A$68*(0.5*12.73)</f>
        <v>149</v>
      </c>
      <c r="U144" s="46">
        <f>'LINEST VARS'!$U$68+'LINEST VARS'!$T$68*($U$128)+'LINEST VARS'!$S$68*($B144)+'LINEST VARS'!$R$68*(4)+'LINEST VARS'!$Q$68*(0.5)+'LINEST VARS'!$P$68*(12.73)+'LINEST VARS'!$O$68*($U$128^2)+'LINEST VARS'!$N$68*($B144^2)+'LINEST VARS'!$M$68*(4^2)+'LINEST VARS'!$L$68*(0.5^2)+'LINEST VARS'!$K$68*(12.73^2)+'LINEST VARS'!$J$68*($U$128*$B144)+'LINEST VARS'!$I$68*($U$128*4)+'LINEST VARS'!$H$68*($U$128*0.5)+'LINEST VARS'!$G$68*($U$128*12.73)+'LINEST VARS'!$F$68*($B144*4)+'LINEST VARS'!$E$68*($B144*0.5)+'LINEST VARS'!$D$68*($B144*12.73)+'LINEST VARS'!$C$68*(4*0.5)+'LINEST VARS'!$B$68*(4*12.73)+'LINEST VARS'!$A$68*(0.5*12.73)</f>
        <v>149</v>
      </c>
      <c r="V144" s="46">
        <f>'LINEST VARS'!$U$68+'LINEST VARS'!$T$68*($V$128)+'LINEST VARS'!$S$68*($B144)+'LINEST VARS'!$R$68*(4)+'LINEST VARS'!$Q$68*(0.5)+'LINEST VARS'!$P$68*(12.73)+'LINEST VARS'!$O$68*($V$128^2)+'LINEST VARS'!$N$68*($B144^2)+'LINEST VARS'!$M$68*(4^2)+'LINEST VARS'!$L$68*(0.5^2)+'LINEST VARS'!$K$68*(12.73^2)+'LINEST VARS'!$J$68*($V$128*$B144)+'LINEST VARS'!$I$68*($V$128*4)+'LINEST VARS'!$H$68*($V$128*0.5)+'LINEST VARS'!$G$68*($V$128*12.73)+'LINEST VARS'!$F$68*($B144*4)+'LINEST VARS'!$E$68*($B144*0.5)+'LINEST VARS'!$D$68*($B144*12.73)+'LINEST VARS'!$C$68*(4*0.5)+'LINEST VARS'!$B$68*(4*12.73)+'LINEST VARS'!$A$68*(0.5*12.73)</f>
        <v>149</v>
      </c>
      <c r="W144" s="47">
        <f>'LINEST VARS'!$U$68+'LINEST VARS'!$T$68*($W$128)+'LINEST VARS'!$S$68*($B144)+'LINEST VARS'!$R$68*(4)+'LINEST VARS'!$Q$68*(0.5)+'LINEST VARS'!$P$68*(12.73)+'LINEST VARS'!$O$68*($W$128^2)+'LINEST VARS'!$N$68*($B144^2)+'LINEST VARS'!$M$68*(4^2)+'LINEST VARS'!$L$68*(0.5^2)+'LINEST VARS'!$K$68*(12.73^2)+'LINEST VARS'!$J$68*($W$128*$B144)+'LINEST VARS'!$I$68*($W$128*4)+'LINEST VARS'!$H$68*($W$128*0.5)+'LINEST VARS'!$G$68*($W$128*12.73)+'LINEST VARS'!$F$68*($B144*4)+'LINEST VARS'!$E$68*($B144*0.5)+'LINEST VARS'!$D$68*($B144*12.73)+'LINEST VARS'!$C$68*(4*0.5)+'LINEST VARS'!$B$68*(4*12.73)+'LINEST VARS'!$A$68*(0.5*12.73)</f>
        <v>149</v>
      </c>
      <c r="Z144" s="45">
        <v>8.3000000000000007</v>
      </c>
      <c r="AA144" s="46">
        <f>'LINEST VARS'!$U$70+'LINEST VARS'!$T$70*($AA$128)+'LINEST VARS'!$S$70*($Z144)+'LINEST VARS'!$R$70*(4)+'LINEST VARS'!$Q$70*(0.5)+'LINEST VARS'!$P$70*(12.73)+'LINEST VARS'!$O$70*($AA$128^2)+'LINEST VARS'!$N$70*($Z144^2)+'LINEST VARS'!$M$70*(4^2)+'LINEST VARS'!$L$70*(0.5^2)+'LINEST VARS'!$K$70*(12.73^2)+'LINEST VARS'!$J$70*($AA$128*$Z144)+'LINEST VARS'!$I$70*($AA$128*4)+'LINEST VARS'!$H$70*($AA$128*0.5)+'LINEST VARS'!$G$70*($AA$128*12.73)+'LINEST VARS'!$F$70*($Z144*4)+'LINEST VARS'!$E$70*($Z144*0.5)+'LINEST VARS'!$D$70*($Z144*12.73)+'LINEST VARS'!$C$70*(4*0.5)+'LINEST VARS'!$B$70*(4*12.73)+'LINEST VARS'!$A$70*(0.5*12.73)</f>
        <v>88.450000000000031</v>
      </c>
      <c r="AB144" s="46">
        <f>'LINEST VARS'!$U$70+'LINEST VARS'!$T$70*($AB$128)+'LINEST VARS'!$S$70*($Z144)+'LINEST VARS'!$R$70*(4)+'LINEST VARS'!$Q$70*(0.5)+'LINEST VARS'!$P$70*(12.73)+'LINEST VARS'!$O$70*($AB$128^2)+'LINEST VARS'!$N$70*($Z144^2)+'LINEST VARS'!$M$70*(4^2)+'LINEST VARS'!$L$70*(0.5^2)+'LINEST VARS'!$K$70*(12.73^2)+'LINEST VARS'!$J$70*($AB$128*$Z144)+'LINEST VARS'!$I$70*($AB$128*4)+'LINEST VARS'!$H$70*($AB$128*0.5)+'LINEST VARS'!$G$70*($AB$128*12.73)+'LINEST VARS'!$F$70*($Z144*4)+'LINEST VARS'!$E$70*($Z144*0.5)+'LINEST VARS'!$D$70*($Z144*12.73)+'LINEST VARS'!$C$70*(4*0.5)+'LINEST VARS'!$B$70*(4*12.73)+'LINEST VARS'!$A$70*(0.5*12.73)</f>
        <v>88.450000000000031</v>
      </c>
      <c r="AC144" s="46">
        <f>'LINEST VARS'!$U$70+'LINEST VARS'!$T$70*($AC$128)+'LINEST VARS'!$S$70*($Z144)+'LINEST VARS'!$R$70*(4)+'LINEST VARS'!$Q$70*(0.5)+'LINEST VARS'!$P$70*(12.73)+'LINEST VARS'!$O$70*($AC$128^2)+'LINEST VARS'!$N$70*($Z144^2)+'LINEST VARS'!$M$70*(4^2)+'LINEST VARS'!$L$70*(0.5^2)+'LINEST VARS'!$K$70*(12.73^2)+'LINEST VARS'!$J$70*($AC$128*$Z144)+'LINEST VARS'!$I$70*($AC$128*4)+'LINEST VARS'!$H$70*($AC$128*0.5)+'LINEST VARS'!$G$70*($AC$128*12.73)+'LINEST VARS'!$F$70*($Z144*4)+'LINEST VARS'!$E$70*($Z144*0.5)+'LINEST VARS'!$D$70*($Z144*12.73)+'LINEST VARS'!$C$70*(4*0.5)+'LINEST VARS'!$B$70*(4*12.73)+'LINEST VARS'!$A$70*(0.5*12.73)</f>
        <v>88.450000000000031</v>
      </c>
      <c r="AD144" s="46">
        <f>'LINEST VARS'!$U$70+'LINEST VARS'!$T$70*($AD$128)+'LINEST VARS'!$S$70*($Z144)+'LINEST VARS'!$R$70*(4)+'LINEST VARS'!$Q$70*(0.5)+'LINEST VARS'!$P$70*(12.73)+'LINEST VARS'!$O$70*($AD$128^2)+'LINEST VARS'!$N$70*($Z144^2)+'LINEST VARS'!$M$70*(4^2)+'LINEST VARS'!$L$70*(0.5^2)+'LINEST VARS'!$K$70*(12.73^2)+'LINEST VARS'!$J$70*($AD$128*$Z144)+'LINEST VARS'!$I$70*($AD$128*4)+'LINEST VARS'!$H$70*($AD$128*0.5)+'LINEST VARS'!$G$70*($AD$128*12.73)+'LINEST VARS'!$F$70*($Z144*4)+'LINEST VARS'!$E$70*($Z144*0.5)+'LINEST VARS'!$D$70*($Z144*12.73)+'LINEST VARS'!$C$70*(4*0.5)+'LINEST VARS'!$B$70*(4*12.73)+'LINEST VARS'!$A$70*(0.5*12.73)</f>
        <v>88.450000000000031</v>
      </c>
      <c r="AE144" s="46">
        <f>'LINEST VARS'!$U$70+'LINEST VARS'!$T$70*($AE$128)+'LINEST VARS'!$S$70*($Z144)+'LINEST VARS'!$R$70*(4)+'LINEST VARS'!$Q$70*(0.5)+'LINEST VARS'!$P$70*(12.73)+'LINEST VARS'!$O$70*($AE$128^2)+'LINEST VARS'!$N$70*($Z144^2)+'LINEST VARS'!$M$70*(4^2)+'LINEST VARS'!$L$70*(0.5^2)+'LINEST VARS'!$K$70*(12.73^2)+'LINEST VARS'!$J$70*($AE$128*$Z144)+'LINEST VARS'!$I$70*($AE$128*4)+'LINEST VARS'!$H$70*($AE$128*0.5)+'LINEST VARS'!$G$70*($AE$128*12.73)+'LINEST VARS'!$F$70*($Z144*4)+'LINEST VARS'!$E$70*($Z144*0.5)+'LINEST VARS'!$D$70*($Z144*12.73)+'LINEST VARS'!$C$70*(4*0.5)+'LINEST VARS'!$B$70*(4*12.73)+'LINEST VARS'!$A$70*(0.5*12.73)</f>
        <v>88.450000000000031</v>
      </c>
      <c r="AF144" s="46">
        <f>'LINEST VARS'!$U$70+'LINEST VARS'!$T$70*($AF$128)+'LINEST VARS'!$S$70*($Z144)+'LINEST VARS'!$R$70*(4)+'LINEST VARS'!$Q$70*(0.5)+'LINEST VARS'!$P$70*(12.73)+'LINEST VARS'!$O$70*($AF$128^2)+'LINEST VARS'!$N$70*($Z144^2)+'LINEST VARS'!$M$70*(4^2)+'LINEST VARS'!$L$70*(0.5^2)+'LINEST VARS'!$K$70*(12.73^2)+'LINEST VARS'!$J$70*($AF$128*$Z144)+'LINEST VARS'!$I$70*($AF$128*4)+'LINEST VARS'!$H$70*($AF$128*0.5)+'LINEST VARS'!$G$70*($AF$128*12.73)+'LINEST VARS'!$F$70*($Z144*4)+'LINEST VARS'!$E$70*($Z144*0.5)+'LINEST VARS'!$D$70*($Z144*12.73)+'LINEST VARS'!$C$70*(4*0.5)+'LINEST VARS'!$B$70*(4*12.73)+'LINEST VARS'!$A$70*(0.5*12.73)</f>
        <v>88.450000000000031</v>
      </c>
      <c r="AG144" s="46">
        <f>'LINEST VARS'!$U$70+'LINEST VARS'!$T$70*($AG$128)+'LINEST VARS'!$S$70*($Z144)+'LINEST VARS'!$R$70*(4)+'LINEST VARS'!$Q$70*(0.5)+'LINEST VARS'!$P$70*(12.73)+'LINEST VARS'!$O$70*($AG$128^2)+'LINEST VARS'!$N$70*($Z144^2)+'LINEST VARS'!$M$70*(4^2)+'LINEST VARS'!$L$70*(0.5^2)+'LINEST VARS'!$K$70*(12.73^2)+'LINEST VARS'!$J$70*($AG$128*$Z144)+'LINEST VARS'!$I$70*($AG$128*4)+'LINEST VARS'!$H$70*($AG$128*0.5)+'LINEST VARS'!$G$70*($AG$128*12.73)+'LINEST VARS'!$F$70*($Z144*4)+'LINEST VARS'!$E$70*($Z144*0.5)+'LINEST VARS'!$D$70*($Z144*12.73)+'LINEST VARS'!$C$70*(4*0.5)+'LINEST VARS'!$B$70*(4*12.73)+'LINEST VARS'!$A$70*(0.5*12.73)</f>
        <v>88.450000000000031</v>
      </c>
      <c r="AH144" s="46">
        <f>'LINEST VARS'!$U$70+'LINEST VARS'!$T$70*($AH$128)+'LINEST VARS'!$S$70*($Z144)+'LINEST VARS'!$R$70*(4)+'LINEST VARS'!$Q$70*(0.5)+'LINEST VARS'!$P$70*(12.73)+'LINEST VARS'!$O$70*($AH$128^2)+'LINEST VARS'!$N$70*($Z144^2)+'LINEST VARS'!$M$70*(4^2)+'LINEST VARS'!$L$70*(0.5^2)+'LINEST VARS'!$K$70*(12.73^2)+'LINEST VARS'!$J$70*($AH$128*$Z144)+'LINEST VARS'!$I$70*($AH$128*4)+'LINEST VARS'!$H$70*($AH$128*0.5)+'LINEST VARS'!$G$70*($AH$128*12.73)+'LINEST VARS'!$F$70*($Z144*4)+'LINEST VARS'!$E$70*($Z144*0.5)+'LINEST VARS'!$D$70*($Z144*12.73)+'LINEST VARS'!$C$70*(4*0.5)+'LINEST VARS'!$B$70*(4*12.73)+'LINEST VARS'!$A$70*(0.5*12.73)</f>
        <v>88.450000000000031</v>
      </c>
      <c r="AI144" s="46">
        <f>'LINEST VARS'!$U$70+'LINEST VARS'!$T$70*($AI$128)+'LINEST VARS'!$S$70*($Z144)+'LINEST VARS'!$R$70*(4)+'LINEST VARS'!$Q$70*(0.5)+'LINEST VARS'!$P$70*(12.73)+'LINEST VARS'!$O$70*($AI$128^2)+'LINEST VARS'!$N$70*($Z144^2)+'LINEST VARS'!$M$70*(4^2)+'LINEST VARS'!$L$70*(0.5^2)+'LINEST VARS'!$K$70*(12.73^2)+'LINEST VARS'!$J$70*($AI$128*$Z144)+'LINEST VARS'!$I$70*($AI$128*4)+'LINEST VARS'!$H$70*($AI$128*0.5)+'LINEST VARS'!$G$70*($AI$128*12.73)+'LINEST VARS'!$F$70*($Z144*4)+'LINEST VARS'!$E$70*($Z144*0.5)+'LINEST VARS'!$D$70*($Z144*12.73)+'LINEST VARS'!$C$70*(4*0.5)+'LINEST VARS'!$B$70*(4*12.73)+'LINEST VARS'!$A$70*(0.5*12.73)</f>
        <v>88.450000000000031</v>
      </c>
      <c r="AJ144" s="46">
        <f>'LINEST VARS'!$U$70+'LINEST VARS'!$T$70*($AJ$128)+'LINEST VARS'!$S$70*($Z144)+'LINEST VARS'!$R$70*(4)+'LINEST VARS'!$Q$70*(0.5)+'LINEST VARS'!$P$70*(12.73)+'LINEST VARS'!$O$70*($AJ$128^2)+'LINEST VARS'!$N$70*($Z144^2)+'LINEST VARS'!$M$70*(4^2)+'LINEST VARS'!$L$70*(0.5^2)+'LINEST VARS'!$K$70*(12.73^2)+'LINEST VARS'!$J$70*($AJ$128*$Z144)+'LINEST VARS'!$I$70*($AJ$128*4)+'LINEST VARS'!$H$70*($AJ$128*0.5)+'LINEST VARS'!$G$70*($AJ$128*12.73)+'LINEST VARS'!$F$70*($Z144*4)+'LINEST VARS'!$E$70*($Z144*0.5)+'LINEST VARS'!$D$70*($Z144*12.73)+'LINEST VARS'!$C$70*(4*0.5)+'LINEST VARS'!$B$70*(4*12.73)+'LINEST VARS'!$A$70*(0.5*12.73)</f>
        <v>88.450000000000031</v>
      </c>
      <c r="AK144" s="46">
        <f>'LINEST VARS'!$U$70+'LINEST VARS'!$T$70*($AK$128)+'LINEST VARS'!$S$70*($Z144)+'LINEST VARS'!$R$70*(4)+'LINEST VARS'!$Q$70*(0.5)+'LINEST VARS'!$P$70*(12.73)+'LINEST VARS'!$O$70*($AK$128^2)+'LINEST VARS'!$N$70*($Z144^2)+'LINEST VARS'!$M$70*(4^2)+'LINEST VARS'!$L$70*(0.5^2)+'LINEST VARS'!$K$70*(12.73^2)+'LINEST VARS'!$J$70*($AK$128*$Z144)+'LINEST VARS'!$I$70*($AK$128*4)+'LINEST VARS'!$H$70*($AK$128*0.5)+'LINEST VARS'!$G$70*($AK$128*12.73)+'LINEST VARS'!$F$70*($Z144*4)+'LINEST VARS'!$E$70*($Z144*0.5)+'LINEST VARS'!$D$70*($Z144*12.73)+'LINEST VARS'!$C$70*(4*0.5)+'LINEST VARS'!$B$70*(4*12.73)+'LINEST VARS'!$A$70*(0.5*12.73)</f>
        <v>88.450000000000031</v>
      </c>
      <c r="AL144" s="46">
        <f>'LINEST VARS'!$U$70+'LINEST VARS'!$T$70*($AL$128)+'LINEST VARS'!$S$70*($Z144)+'LINEST VARS'!$R$70*(4)+'LINEST VARS'!$Q$70*(0.5)+'LINEST VARS'!$P$70*(12.73)+'LINEST VARS'!$O$70*($AL$128^2)+'LINEST VARS'!$N$70*($Z144^2)+'LINEST VARS'!$M$70*(4^2)+'LINEST VARS'!$L$70*(0.5^2)+'LINEST VARS'!$K$70*(12.73^2)+'LINEST VARS'!$J$70*($AL$128*$Z144)+'LINEST VARS'!$I$70*($AL$128*4)+'LINEST VARS'!$H$70*($AL$128*0.5)+'LINEST VARS'!$G$70*($AL$128*12.73)+'LINEST VARS'!$F$70*($Z144*4)+'LINEST VARS'!$E$70*($Z144*0.5)+'LINEST VARS'!$D$70*($Z144*12.73)+'LINEST VARS'!$C$70*(4*0.5)+'LINEST VARS'!$B$70*(4*12.73)+'LINEST VARS'!$A$70*(0.5*12.73)</f>
        <v>88.450000000000031</v>
      </c>
      <c r="AM144" s="46">
        <f>'LINEST VARS'!$U$70+'LINEST VARS'!$T$70*($AM$128)+'LINEST VARS'!$S$70*($Z144)+'LINEST VARS'!$R$70*(4)+'LINEST VARS'!$Q$70*(0.5)+'LINEST VARS'!$P$70*(12.73)+'LINEST VARS'!$O$70*($AM$128^2)+'LINEST VARS'!$N$70*($Z144^2)+'LINEST VARS'!$M$70*(4^2)+'LINEST VARS'!$L$70*(0.5^2)+'LINEST VARS'!$K$70*(12.73^2)+'LINEST VARS'!$J$70*($AM$128*$Z144)+'LINEST VARS'!$I$70*($AM$128*4)+'LINEST VARS'!$H$70*($AM$128*0.5)+'LINEST VARS'!$G$70*($AM$128*12.73)+'LINEST VARS'!$F$70*($Z144*4)+'LINEST VARS'!$E$70*($Z144*0.5)+'LINEST VARS'!$D$70*($Z144*12.73)+'LINEST VARS'!$C$70*(4*0.5)+'LINEST VARS'!$B$70*(4*12.73)+'LINEST VARS'!$A$70*(0.5*12.73)</f>
        <v>88.450000000000031</v>
      </c>
      <c r="AN144" s="46">
        <f>'LINEST VARS'!$U$70+'LINEST VARS'!$T$70*($AN$128)+'LINEST VARS'!$S$70*($Z144)+'LINEST VARS'!$R$70*(4)+'LINEST VARS'!$Q$70*(0.5)+'LINEST VARS'!$P$70*(12.73)+'LINEST VARS'!$O$70*($AN$128^2)+'LINEST VARS'!$N$70*($Z144^2)+'LINEST VARS'!$M$70*(4^2)+'LINEST VARS'!$L$70*(0.5^2)+'LINEST VARS'!$K$70*(12.73^2)+'LINEST VARS'!$J$70*($AN$128*$Z144)+'LINEST VARS'!$I$70*($AN$128*4)+'LINEST VARS'!$H$70*($AN$128*0.5)+'LINEST VARS'!$G$70*($AN$128*12.73)+'LINEST VARS'!$F$70*($Z144*4)+'LINEST VARS'!$E$70*($Z144*0.5)+'LINEST VARS'!$D$70*($Z144*12.73)+'LINEST VARS'!$C$70*(4*0.5)+'LINEST VARS'!$B$70*(4*12.73)+'LINEST VARS'!$A$70*(0.5*12.73)</f>
        <v>88.450000000000031</v>
      </c>
      <c r="AO144" s="46">
        <f>'LINEST VARS'!$U$70+'LINEST VARS'!$T$70*($AO$128)+'LINEST VARS'!$S$70*($Z144)+'LINEST VARS'!$R$70*(4)+'LINEST VARS'!$Q$70*(0.5)+'LINEST VARS'!$P$70*(12.73)+'LINEST VARS'!$O$70*($AO$128^2)+'LINEST VARS'!$N$70*($Z144^2)+'LINEST VARS'!$M$70*(4^2)+'LINEST VARS'!$L$70*(0.5^2)+'LINEST VARS'!$K$70*(12.73^2)+'LINEST VARS'!$J$70*($AO$128*$Z144)+'LINEST VARS'!$I$70*($AO$128*4)+'LINEST VARS'!$H$70*($AO$128*0.5)+'LINEST VARS'!$G$70*($AO$128*12.73)+'LINEST VARS'!$F$70*($Z144*4)+'LINEST VARS'!$E$70*($Z144*0.5)+'LINEST VARS'!$D$70*($Z144*12.73)+'LINEST VARS'!$C$70*(4*0.5)+'LINEST VARS'!$B$70*(4*12.73)+'LINEST VARS'!$A$70*(0.5*12.73)</f>
        <v>88.450000000000031</v>
      </c>
      <c r="AP144" s="46">
        <f>'LINEST VARS'!$U$70+'LINEST VARS'!$T$70*($AP$128)+'LINEST VARS'!$S$70*($Z144)+'LINEST VARS'!$R$70*(4)+'LINEST VARS'!$Q$70*(0.5)+'LINEST VARS'!$P$70*(12.73)+'LINEST VARS'!$O$70*($AP$128^2)+'LINEST VARS'!$N$70*($Z144^2)+'LINEST VARS'!$M$70*(4^2)+'LINEST VARS'!$L$70*(0.5^2)+'LINEST VARS'!$K$70*(12.73^2)+'LINEST VARS'!$J$70*($AP$128*$Z144)+'LINEST VARS'!$I$70*($AP$128*4)+'LINEST VARS'!$H$70*($AP$128*0.5)+'LINEST VARS'!$G$70*($AP$128*12.73)+'LINEST VARS'!$F$70*($Z144*4)+'LINEST VARS'!$E$70*($Z144*0.5)+'LINEST VARS'!$D$70*($Z144*12.73)+'LINEST VARS'!$C$70*(4*0.5)+'LINEST VARS'!$B$70*(4*12.73)+'LINEST VARS'!$A$70*(0.5*12.73)</f>
        <v>88.450000000000031</v>
      </c>
      <c r="AQ144" s="46">
        <f>'LINEST VARS'!$U$70+'LINEST VARS'!$T$70*($AQ$128)+'LINEST VARS'!$S$70*($Z144)+'LINEST VARS'!$R$70*(4)+'LINEST VARS'!$Q$70*(0.5)+'LINEST VARS'!$P$70*(12.73)+'LINEST VARS'!$O$70*($AQ$128^2)+'LINEST VARS'!$N$70*($Z144^2)+'LINEST VARS'!$M$70*(4^2)+'LINEST VARS'!$L$70*(0.5^2)+'LINEST VARS'!$K$70*(12.73^2)+'LINEST VARS'!$J$70*($AQ$128*$Z144)+'LINEST VARS'!$I$70*($AQ$128*4)+'LINEST VARS'!$H$70*($AQ$128*0.5)+'LINEST VARS'!$G$70*($AQ$128*12.73)+'LINEST VARS'!$F$70*($Z144*4)+'LINEST VARS'!$E$70*($Z144*0.5)+'LINEST VARS'!$D$70*($Z144*12.73)+'LINEST VARS'!$C$70*(4*0.5)+'LINEST VARS'!$B$70*(4*12.73)+'LINEST VARS'!$A$70*(0.5*12.73)</f>
        <v>88.450000000000031</v>
      </c>
      <c r="AR144" s="46">
        <f>'LINEST VARS'!$U$70+'LINEST VARS'!$T$70*($AR$128)+'LINEST VARS'!$S$70*($Z144)+'LINEST VARS'!$R$70*(4)+'LINEST VARS'!$Q$70*(0.5)+'LINEST VARS'!$P$70*(12.73)+'LINEST VARS'!$O$70*($AR$128^2)+'LINEST VARS'!$N$70*($Z144^2)+'LINEST VARS'!$M$70*(4^2)+'LINEST VARS'!$L$70*(0.5^2)+'LINEST VARS'!$K$70*(12.73^2)+'LINEST VARS'!$J$70*($AR$128*$Z144)+'LINEST VARS'!$I$70*($AR$128*4)+'LINEST VARS'!$H$70*($AR$128*0.5)+'LINEST VARS'!$G$70*($AR$128*12.73)+'LINEST VARS'!$F$70*($Z144*4)+'LINEST VARS'!$E$70*($Z144*0.5)+'LINEST VARS'!$D$70*($Z144*12.73)+'LINEST VARS'!$C$70*(4*0.5)+'LINEST VARS'!$B$70*(4*12.73)+'LINEST VARS'!$A$70*(0.5*12.73)</f>
        <v>88.450000000000031</v>
      </c>
      <c r="AS144" s="46">
        <f>'LINEST VARS'!$U$70+'LINEST VARS'!$T$70*($AS$128)+'LINEST VARS'!$S$70*($Z144)+'LINEST VARS'!$R$70*(4)+'LINEST VARS'!$Q$70*(0.5)+'LINEST VARS'!$P$70*(12.73)+'LINEST VARS'!$O$70*($AS$128^2)+'LINEST VARS'!$N$70*($Z144^2)+'LINEST VARS'!$M$70*(4^2)+'LINEST VARS'!$L$70*(0.5^2)+'LINEST VARS'!$K$70*(12.73^2)+'LINEST VARS'!$J$70*($AS$128*$Z144)+'LINEST VARS'!$I$70*($AS$128*4)+'LINEST VARS'!$H$70*($AS$128*0.5)+'LINEST VARS'!$G$70*($AS$128*12.73)+'LINEST VARS'!$F$70*($Z144*4)+'LINEST VARS'!$E$70*($Z144*0.5)+'LINEST VARS'!$D$70*($Z144*12.73)+'LINEST VARS'!$C$70*(4*0.5)+'LINEST VARS'!$B$70*(4*12.73)+'LINEST VARS'!$A$70*(0.5*12.73)</f>
        <v>88.450000000000031</v>
      </c>
      <c r="AT144" s="46">
        <f>'LINEST VARS'!$U$70+'LINEST VARS'!$T$70*($AT$128)+'LINEST VARS'!$S$70*($Z144)+'LINEST VARS'!$R$70*(4)+'LINEST VARS'!$Q$70*(0.5)+'LINEST VARS'!$P$70*(12.73)+'LINEST VARS'!$O$70*($AT$128^2)+'LINEST VARS'!$N$70*($Z144^2)+'LINEST VARS'!$M$70*(4^2)+'LINEST VARS'!$L$70*(0.5^2)+'LINEST VARS'!$K$70*(12.73^2)+'LINEST VARS'!$J$70*($AT$128*$Z144)+'LINEST VARS'!$I$70*($AT$128*4)+'LINEST VARS'!$H$70*($AT$128*0.5)+'LINEST VARS'!$G$70*($AT$128*12.73)+'LINEST VARS'!$F$70*($Z144*4)+'LINEST VARS'!$E$70*($Z144*0.5)+'LINEST VARS'!$D$70*($Z144*12.73)+'LINEST VARS'!$C$70*(4*0.5)+'LINEST VARS'!$B$70*(4*12.73)+'LINEST VARS'!$A$70*(0.5*12.73)</f>
        <v>88.450000000000031</v>
      </c>
      <c r="AU144" s="47">
        <f>'LINEST VARS'!$U$70+'LINEST VARS'!$T$70*($AU$128)+'LINEST VARS'!$S$70*($Z144)+'LINEST VARS'!$R$70*(4)+'LINEST VARS'!$Q$70*(0.5)+'LINEST VARS'!$P$70*(12.73)+'LINEST VARS'!$O$70*($AU$128^2)+'LINEST VARS'!$N$70*($Z144^2)+'LINEST VARS'!$M$70*(4^2)+'LINEST VARS'!$L$70*(0.5^2)+'LINEST VARS'!$K$70*(12.73^2)+'LINEST VARS'!$J$70*($AU$128*$Z144)+'LINEST VARS'!$I$70*($AU$128*4)+'LINEST VARS'!$H$70*($AU$128*0.5)+'LINEST VARS'!$G$70*($AU$128*12.73)+'LINEST VARS'!$F$70*($Z144*4)+'LINEST VARS'!$E$70*($Z144*0.5)+'LINEST VARS'!$D$70*($Z144*12.73)+'LINEST VARS'!$C$70*(4*0.5)+'LINEST VARS'!$B$70*(4*12.73)+'LINEST VARS'!$A$70*(0.5*12.73)</f>
        <v>88.450000000000031</v>
      </c>
      <c r="AZ144" s="45">
        <v>0.75</v>
      </c>
      <c r="BA144" s="46">
        <f>'LINEST VARS'!$U$68+'LINEST VARS'!$T$68*(8)+'LINEST VARS'!$S$68*(8)+'LINEST VARS'!$R$68*($BA$128)+'LINEST VARS'!$Q$68*($AZ144)+'LINEST VARS'!$P$68*(12.73)+'LINEST VARS'!$O$68*(8^2)+'LINEST VARS'!$N$68*(8^2)+'LINEST VARS'!$M$68*($BA$128^2)+'LINEST VARS'!$L$68*($AZ144^2)+'LINEST VARS'!$K$68*(12.73^2)+'LINEST VARS'!$J$68*(8*8)+'LINEST VARS'!$I$68*(8*$BA$128)+'LINEST VARS'!$H$68*(8*$AZ144)+'LINEST VARS'!$G$68*(8*12.73)+'LINEST VARS'!$F$68*(8*$BA$128)+'LINEST VARS'!$E$68*(8*$AZ144)+'LINEST VARS'!$D$68*(8*12.73)+'LINEST VARS'!$C$68*($BA$128*$AZ144)+'LINEST VARS'!$B$68*($BA$128*12.73)+'LINEST VARS'!$A$68*($AZ144*12.73)</f>
        <v>147.75</v>
      </c>
      <c r="BB144" s="46">
        <f>'LINEST VARS'!$U$68+'LINEST VARS'!$T$68*(8)+'LINEST VARS'!$S$68*(8)+'LINEST VARS'!$R$68*($BB$128)+'LINEST VARS'!$Q$68*($AZ144)+'LINEST VARS'!$P$68*(12.73)+'LINEST VARS'!$O$68*(8^2)+'LINEST VARS'!$N$68*(8^2)+'LINEST VARS'!$M$68*($BB$128^2)+'LINEST VARS'!$L$68*($AZ144^2)+'LINEST VARS'!$K$68*(12.73^2)+'LINEST VARS'!$J$68*(8*8)+'LINEST VARS'!$I$68*(8*$BB$128)+'LINEST VARS'!$H$68*(8*$AZ144)+'LINEST VARS'!$G$68*(8*12.73)+'LINEST VARS'!$F$68*(8*$BB$128)+'LINEST VARS'!$E$68*(8*$AZ144)+'LINEST VARS'!$D$68*(8*12.73)+'LINEST VARS'!$C$68*($BB$128*$AZ144)+'LINEST VARS'!$B$68*($BB$128*12.73)+'LINEST VARS'!$A$68*($AZ144*12.73)</f>
        <v>147.75</v>
      </c>
      <c r="BC144" s="46">
        <f>'LINEST VARS'!$U$68+'LINEST VARS'!$T$68*(8)+'LINEST VARS'!$S$68*(8)+'LINEST VARS'!$R$68*($BC$128)+'LINEST VARS'!$Q$68*($AZ144)+'LINEST VARS'!$P$68*(12.73)+'LINEST VARS'!$O$68*(8^2)+'LINEST VARS'!$N$68*(8^2)+'LINEST VARS'!$M$68*($BC$128^2)+'LINEST VARS'!$L$68*($AZ144^2)+'LINEST VARS'!$K$68*(12.73^2)+'LINEST VARS'!$J$68*(8*8)+'LINEST VARS'!$I$68*(8*$BC$128)+'LINEST VARS'!$H$68*(8*$AZ144)+'LINEST VARS'!$G$68*(8*12.73)+'LINEST VARS'!$F$68*(8*$BC$128)+'LINEST VARS'!$E$68*(8*$AZ144)+'LINEST VARS'!$D$68*(8*12.73)+'LINEST VARS'!$C$68*($BC$128*$AZ144)+'LINEST VARS'!$B$68*($BC$128*12.73)+'LINEST VARS'!$A$68*($AZ144*12.73)</f>
        <v>147.75</v>
      </c>
      <c r="BD144" s="46">
        <f>'LINEST VARS'!$U$68+'LINEST VARS'!$T$68*(8)+'LINEST VARS'!$S$68*(8)+'LINEST VARS'!$R$68*($BD$128)+'LINEST VARS'!$Q$68*($AZ144)+'LINEST VARS'!$P$68*(12.73)+'LINEST VARS'!$O$68*(8^2)+'LINEST VARS'!$N$68*(8^2)+'LINEST VARS'!$M$68*($BD$128^2)+'LINEST VARS'!$L$68*($AZ144^2)+'LINEST VARS'!$K$68*(12.73^2)+'LINEST VARS'!$J$68*(8*8)+'LINEST VARS'!$I$68*(8*$BD$128)+'LINEST VARS'!$H$68*(8*$AZ144)+'LINEST VARS'!$G$68*(8*12.73)+'LINEST VARS'!$F$68*(8*$BD$128)+'LINEST VARS'!$E$68*(8*$AZ144)+'LINEST VARS'!$D$68*(8*12.73)+'LINEST VARS'!$C$68*($BD$128*$AZ144)+'LINEST VARS'!$B$68*($BD$128*12.73)+'LINEST VARS'!$A$68*($AZ144*12.73)</f>
        <v>147.75</v>
      </c>
      <c r="BE144" s="46">
        <f>'LINEST VARS'!$U$68+'LINEST VARS'!$T$68*(8)+'LINEST VARS'!$S$68*(8)+'LINEST VARS'!$R$68*($BE$128)+'LINEST VARS'!$Q$68*($AZ144)+'LINEST VARS'!$P$68*(12.73)+'LINEST VARS'!$O$68*(8^2)+'LINEST VARS'!$N$68*(8^2)+'LINEST VARS'!$M$68*($BE$128^2)+'LINEST VARS'!$L$68*($AZ144^2)+'LINEST VARS'!$K$68*(12.73^2)+'LINEST VARS'!$J$68*(8*8)+'LINEST VARS'!$I$68*(8*$BE$128)+'LINEST VARS'!$H$68*(8*$AZ144)+'LINEST VARS'!$G$68*(8*12.73)+'LINEST VARS'!$F$68*(8*$BE$128)+'LINEST VARS'!$E$68*(8*$AZ144)+'LINEST VARS'!$D$68*(8*12.73)+'LINEST VARS'!$C$68*($BE$128*$AZ144)+'LINEST VARS'!$B$68*($BE$128*12.73)+'LINEST VARS'!$A$68*($AZ144*12.73)</f>
        <v>147.75</v>
      </c>
      <c r="BF144" s="46">
        <f>'LINEST VARS'!$U$68+'LINEST VARS'!$T$68*(8)+'LINEST VARS'!$S$68*(8)+'LINEST VARS'!$R$68*($BF$128)+'LINEST VARS'!$Q$68*($AZ144)+'LINEST VARS'!$P$68*(12.73)+'LINEST VARS'!$O$68*(8^2)+'LINEST VARS'!$N$68*(8^2)+'LINEST VARS'!$M$68*($BF$128^2)+'LINEST VARS'!$L$68*($AZ144^2)+'LINEST VARS'!$K$68*(12.73^2)+'LINEST VARS'!$J$68*(8*8)+'LINEST VARS'!$I$68*(8*$BF$128)+'LINEST VARS'!$H$68*(8*$AZ144)+'LINEST VARS'!$G$68*(8*12.73)+'LINEST VARS'!$F$68*(8*$BF$128)+'LINEST VARS'!$E$68*(8*$AZ144)+'LINEST VARS'!$D$68*(8*12.73)+'LINEST VARS'!$C$68*($BF$128*$AZ144)+'LINEST VARS'!$B$68*($BF$128*12.73)+'LINEST VARS'!$A$68*($AZ144*12.73)</f>
        <v>147.75</v>
      </c>
      <c r="BG144" s="46">
        <f>'LINEST VARS'!$U$68+'LINEST VARS'!$T$68*(8)+'LINEST VARS'!$S$68*(8)+'LINEST VARS'!$R$68*($BG$128)+'LINEST VARS'!$Q$68*($AZ144)+'LINEST VARS'!$P$68*(12.73)+'LINEST VARS'!$O$68*(8^2)+'LINEST VARS'!$N$68*(8^2)+'LINEST VARS'!$M$68*($BG$128^2)+'LINEST VARS'!$L$68*($AZ144^2)+'LINEST VARS'!$K$68*(12.73^2)+'LINEST VARS'!$J$68*(8*8)+'LINEST VARS'!$I$68*(8*$BG$128)+'LINEST VARS'!$H$68*(8*$AZ144)+'LINEST VARS'!$G$68*(8*12.73)+'LINEST VARS'!$F$68*(8*$BG$128)+'LINEST VARS'!$E$68*(8*$AZ144)+'LINEST VARS'!$D$68*(8*12.73)+'LINEST VARS'!$C$68*($BG$128*$AZ144)+'LINEST VARS'!$B$68*($BG$128*12.73)+'LINEST VARS'!$A$68*($AZ144*12.73)</f>
        <v>147.75</v>
      </c>
      <c r="BH144" s="46">
        <f>'LINEST VARS'!$U$68+'LINEST VARS'!$T$68*(8)+'LINEST VARS'!$S$68*(8)+'LINEST VARS'!$R$68*($BH$128)+'LINEST VARS'!$Q$68*($AZ144)+'LINEST VARS'!$P$68*(12.73)+'LINEST VARS'!$O$68*(8^2)+'LINEST VARS'!$N$68*(8^2)+'LINEST VARS'!$M$68*($BH$128^2)+'LINEST VARS'!$L$68*($AZ144^2)+'LINEST VARS'!$K$68*(12.73^2)+'LINEST VARS'!$J$68*(8*8)+'LINEST VARS'!$I$68*(8*$BH$128)+'LINEST VARS'!$H$68*(8*$AZ144)+'LINEST VARS'!$G$68*(8*12.73)+'LINEST VARS'!$F$68*(8*$BH$128)+'LINEST VARS'!$E$68*(8*$AZ144)+'LINEST VARS'!$D$68*(8*12.73)+'LINEST VARS'!$C$68*($BH$128*$AZ144)+'LINEST VARS'!$B$68*($BH$128*12.73)+'LINEST VARS'!$A$68*($AZ144*12.73)</f>
        <v>147.75</v>
      </c>
      <c r="BI144" s="46">
        <f>'LINEST VARS'!$U$68+'LINEST VARS'!$T$68*(8)+'LINEST VARS'!$S$68*(8)+'LINEST VARS'!$R$68*($BI$128)+'LINEST VARS'!$Q$68*($AZ144)+'LINEST VARS'!$P$68*(12.73)+'LINEST VARS'!$O$68*(8^2)+'LINEST VARS'!$N$68*(8^2)+'LINEST VARS'!$M$68*($BI$128^2)+'LINEST VARS'!$L$68*($AZ144^2)+'LINEST VARS'!$K$68*(12.73^2)+'LINEST VARS'!$J$68*(8*8)+'LINEST VARS'!$I$68*(8*$BI$128)+'LINEST VARS'!$H$68*(8*$AZ144)+'LINEST VARS'!$G$68*(8*12.73)+'LINEST VARS'!$F$68*(8*$BI$128)+'LINEST VARS'!$E$68*(8*$AZ144)+'LINEST VARS'!$D$68*(8*12.73)+'LINEST VARS'!$C$68*($BI$128*$AZ144)+'LINEST VARS'!$B$68*($BI$128*12.73)+'LINEST VARS'!$A$68*($AZ144*12.73)</f>
        <v>147.75</v>
      </c>
      <c r="BJ144" s="46">
        <f>'LINEST VARS'!$U$68+'LINEST VARS'!$T$68*(8)+'LINEST VARS'!$S$68*(8)+'LINEST VARS'!$R$68*($BJ$128)+'LINEST VARS'!$Q$68*($AZ144)+'LINEST VARS'!$P$68*(12.73)+'LINEST VARS'!$O$68*(8^2)+'LINEST VARS'!$N$68*(8^2)+'LINEST VARS'!$M$68*($BJ$128^2)+'LINEST VARS'!$L$68*($AZ144^2)+'LINEST VARS'!$K$68*(12.73^2)+'LINEST VARS'!$J$68*(8*8)+'LINEST VARS'!$I$68*(8*$BJ$128)+'LINEST VARS'!$H$68*(8*$AZ144)+'LINEST VARS'!$G$68*(8*12.73)+'LINEST VARS'!$F$68*(8*$BJ$128)+'LINEST VARS'!$E$68*(8*$AZ144)+'LINEST VARS'!$D$68*(8*12.73)+'LINEST VARS'!$C$68*($BJ$128*$AZ144)+'LINEST VARS'!$B$68*($BJ$128*12.73)+'LINEST VARS'!$A$68*($AZ144*12.73)</f>
        <v>147.75</v>
      </c>
      <c r="BK144" s="46">
        <f>'LINEST VARS'!$U$68+'LINEST VARS'!$T$68*(8)+'LINEST VARS'!$S$68*(8)+'LINEST VARS'!$R$68*($BK$128)+'LINEST VARS'!$Q$68*($AZ144)+'LINEST VARS'!$P$68*(12.73)+'LINEST VARS'!$O$68*(8^2)+'LINEST VARS'!$N$68*(8^2)+'LINEST VARS'!$M$68*($BK$128^2)+'LINEST VARS'!$L$68*($AZ144^2)+'LINEST VARS'!$K$68*(12.73^2)+'LINEST VARS'!$J$68*(8*8)+'LINEST VARS'!$I$68*(8*$BK$128)+'LINEST VARS'!$H$68*(8*$AZ144)+'LINEST VARS'!$G$68*(8*12.73)+'LINEST VARS'!$F$68*(8*$BK$128)+'LINEST VARS'!$E$68*(8*$AZ144)+'LINEST VARS'!$D$68*(8*12.73)+'LINEST VARS'!$C$68*($BK$128*$AZ144)+'LINEST VARS'!$B$68*($BK$128*12.73)+'LINEST VARS'!$A$68*($AZ144*12.73)</f>
        <v>147.75</v>
      </c>
      <c r="BL144" s="46">
        <f>'LINEST VARS'!$U$68+'LINEST VARS'!$T$68*(8)+'LINEST VARS'!$S$68*(8)+'LINEST VARS'!$R$68*($BL$128)+'LINEST VARS'!$Q$68*($AZ144)+'LINEST VARS'!$P$68*(12.73)+'LINEST VARS'!$O$68*(8^2)+'LINEST VARS'!$N$68*(8^2)+'LINEST VARS'!$M$68*($BL$128^2)+'LINEST VARS'!$L$68*($AZ144^2)+'LINEST VARS'!$K$68*(12.73^2)+'LINEST VARS'!$J$68*(8*8)+'LINEST VARS'!$I$68*(8*$BL$128)+'LINEST VARS'!$H$68*(8*$AZ144)+'LINEST VARS'!$G$68*(8*12.73)+'LINEST VARS'!$F$68*(8*$BL$128)+'LINEST VARS'!$E$68*(8*$AZ144)+'LINEST VARS'!$D$68*(8*12.73)+'LINEST VARS'!$C$68*($BL$128*$AZ144)+'LINEST VARS'!$B$68*($BL$128*12.73)+'LINEST VARS'!$A$68*($AZ144*12.73)</f>
        <v>147.75</v>
      </c>
      <c r="BM144" s="46">
        <f>'LINEST VARS'!$U$68+'LINEST VARS'!$T$68*(8)+'LINEST VARS'!$S$68*(8)+'LINEST VARS'!$R$68*($BM$128)+'LINEST VARS'!$Q$68*($AZ144)+'LINEST VARS'!$P$68*(12.73)+'LINEST VARS'!$O$68*(8^2)+'LINEST VARS'!$N$68*(8^2)+'LINEST VARS'!$M$68*($BM$128^2)+'LINEST VARS'!$L$68*($AZ144^2)+'LINEST VARS'!$K$68*(12.73^2)+'LINEST VARS'!$J$68*(8*8)+'LINEST VARS'!$I$68*(8*$BM$128)+'LINEST VARS'!$H$68*(8*$AZ144)+'LINEST VARS'!$G$68*(8*12.73)+'LINEST VARS'!$F$68*(8*$BM$128)+'LINEST VARS'!$E$68*(8*$AZ144)+'LINEST VARS'!$D$68*(8*12.73)+'LINEST VARS'!$C$68*($BM$128*$AZ144)+'LINEST VARS'!$B$68*($BM$128*12.73)+'LINEST VARS'!$A$68*($AZ144*12.73)</f>
        <v>147.75</v>
      </c>
      <c r="BN144" s="46">
        <f>'LINEST VARS'!$U$68+'LINEST VARS'!$T$68*(8)+'LINEST VARS'!$S$68*(8)+'LINEST VARS'!$R$68*($BN$128)+'LINEST VARS'!$Q$68*($AZ144)+'LINEST VARS'!$P$68*(12.73)+'LINEST VARS'!$O$68*(8^2)+'LINEST VARS'!$N$68*(8^2)+'LINEST VARS'!$M$68*($BN$128^2)+'LINEST VARS'!$L$68*($AZ144^2)+'LINEST VARS'!$K$68*(12.73^2)+'LINEST VARS'!$J$68*(8*8)+'LINEST VARS'!$I$68*(8*$BN$128)+'LINEST VARS'!$H$68*(8*$AZ144)+'LINEST VARS'!$G$68*(8*12.73)+'LINEST VARS'!$F$68*(8*$BN$128)+'LINEST VARS'!$E$68*(8*$AZ144)+'LINEST VARS'!$D$68*(8*12.73)+'LINEST VARS'!$C$68*($BN$128*$AZ144)+'LINEST VARS'!$B$68*($BN$128*12.73)+'LINEST VARS'!$A$68*($AZ144*12.73)</f>
        <v>147.75</v>
      </c>
      <c r="BO144" s="46">
        <f>'LINEST VARS'!$U$68+'LINEST VARS'!$T$68*(8)+'LINEST VARS'!$S$68*(8)+'LINEST VARS'!$R$68*($BO$128)+'LINEST VARS'!$Q$68*($AZ144)+'LINEST VARS'!$P$68*(12.73)+'LINEST VARS'!$O$68*(8^2)+'LINEST VARS'!$N$68*(8^2)+'LINEST VARS'!$M$68*($BO$128^2)+'LINEST VARS'!$L$68*($AZ144^2)+'LINEST VARS'!$K$68*(12.73^2)+'LINEST VARS'!$J$68*(8*8)+'LINEST VARS'!$I$68*(8*$BO$128)+'LINEST VARS'!$H$68*(8*$AZ144)+'LINEST VARS'!$G$68*(8*12.73)+'LINEST VARS'!$F$68*(8*$BO$128)+'LINEST VARS'!$E$68*(8*$AZ144)+'LINEST VARS'!$D$68*(8*12.73)+'LINEST VARS'!$C$68*($BO$128*$AZ144)+'LINEST VARS'!$B$68*($BO$128*12.73)+'LINEST VARS'!$A$68*($AZ144*12.73)</f>
        <v>147.75</v>
      </c>
      <c r="BP144" s="46">
        <f>'LINEST VARS'!$U$68+'LINEST VARS'!$T$68*(8)+'LINEST VARS'!$S$68*(8)+'LINEST VARS'!$R$68*($BP$128)+'LINEST VARS'!$Q$68*($AZ144)+'LINEST VARS'!$P$68*(12.73)+'LINEST VARS'!$O$68*(8^2)+'LINEST VARS'!$N$68*(8^2)+'LINEST VARS'!$M$68*($BP$128^2)+'LINEST VARS'!$L$68*($AZ144^2)+'LINEST VARS'!$K$68*(12.73^2)+'LINEST VARS'!$J$68*(8*8)+'LINEST VARS'!$I$68*(8*$BP$128)+'LINEST VARS'!$H$68*(8*$AZ144)+'LINEST VARS'!$G$68*(8*12.73)+'LINEST VARS'!$F$68*(8*$BP$128)+'LINEST VARS'!$E$68*(8*$AZ144)+'LINEST VARS'!$D$68*(8*12.73)+'LINEST VARS'!$C$68*($BP$128*$AZ144)+'LINEST VARS'!$B$68*($BP$128*12.73)+'LINEST VARS'!$A$68*($AZ144*12.73)</f>
        <v>147.75</v>
      </c>
      <c r="BQ144" s="46">
        <f>'LINEST VARS'!$U$68+'LINEST VARS'!$T$68*(8)+'LINEST VARS'!$S$68*(8)+'LINEST VARS'!$R$68*($BQ$128)+'LINEST VARS'!$Q$68*($AZ144)+'LINEST VARS'!$P$68*(12.73)+'LINEST VARS'!$O$68*(8^2)+'LINEST VARS'!$N$68*(8^2)+'LINEST VARS'!$M$68*($BQ$128^2)+'LINEST VARS'!$L$68*($AZ144^2)+'LINEST VARS'!$K$68*(12.73^2)+'LINEST VARS'!$J$68*(8*8)+'LINEST VARS'!$I$68*(8*$BQ$128)+'LINEST VARS'!$H$68*(8*$AZ144)+'LINEST VARS'!$G$68*(8*12.73)+'LINEST VARS'!$F$68*(8*$BQ$128)+'LINEST VARS'!$E$68*(8*$AZ144)+'LINEST VARS'!$D$68*(8*12.73)+'LINEST VARS'!$C$68*($BQ$128*$AZ144)+'LINEST VARS'!$B$68*($BQ$128*12.73)+'LINEST VARS'!$A$68*($AZ144*12.73)</f>
        <v>147.75</v>
      </c>
      <c r="BR144" s="46">
        <f>'LINEST VARS'!$U$68+'LINEST VARS'!$T$68*(8)+'LINEST VARS'!$S$68*(8)+'LINEST VARS'!$R$68*($BR$128)+'LINEST VARS'!$Q$68*($AZ144)+'LINEST VARS'!$P$68*(12.73)+'LINEST VARS'!$O$68*(8^2)+'LINEST VARS'!$N$68*(8^2)+'LINEST VARS'!$M$68*($BR$128^2)+'LINEST VARS'!$L$68*($AZ144^2)+'LINEST VARS'!$K$68*(12.73^2)+'LINEST VARS'!$J$68*(8*8)+'LINEST VARS'!$I$68*(8*$BR$128)+'LINEST VARS'!$H$68*(8*$AZ144)+'LINEST VARS'!$G$68*(8*12.73)+'LINEST VARS'!$F$68*(8*$BR$128)+'LINEST VARS'!$E$68*(8*$AZ144)+'LINEST VARS'!$D$68*(8*12.73)+'LINEST VARS'!$C$68*($BR$128*$AZ144)+'LINEST VARS'!$B$68*($BR$128*12.73)+'LINEST VARS'!$A$68*($AZ144*12.73)</f>
        <v>147.75</v>
      </c>
      <c r="BS144" s="46">
        <f>'LINEST VARS'!$U$68+'LINEST VARS'!$T$68*(8)+'LINEST VARS'!$S$68*(8)+'LINEST VARS'!$R$68*($BS$128)+'LINEST VARS'!$Q$68*($AZ144)+'LINEST VARS'!$P$68*(12.73)+'LINEST VARS'!$O$68*(8^2)+'LINEST VARS'!$N$68*(8^2)+'LINEST VARS'!$M$68*($BS$128^2)+'LINEST VARS'!$L$68*($AZ144^2)+'LINEST VARS'!$K$68*(12.73^2)+'LINEST VARS'!$J$68*(8*8)+'LINEST VARS'!$I$68*(8*$BS$128)+'LINEST VARS'!$H$68*(8*$AZ144)+'LINEST VARS'!$G$68*(8*12.73)+'LINEST VARS'!$F$68*(8*$BS$128)+'LINEST VARS'!$E$68*(8*$AZ144)+'LINEST VARS'!$D$68*(8*12.73)+'LINEST VARS'!$C$68*($BS$128*$AZ144)+'LINEST VARS'!$B$68*($BS$128*12.73)+'LINEST VARS'!$A$68*($AZ144*12.73)</f>
        <v>147.75</v>
      </c>
      <c r="BT144" s="46">
        <f>'LINEST VARS'!$U$68+'LINEST VARS'!$T$68*(8)+'LINEST VARS'!$S$68*(8)+'LINEST VARS'!$R$68*($BT$128)+'LINEST VARS'!$Q$68*($AZ144)+'LINEST VARS'!$P$68*(12.73)+'LINEST VARS'!$O$68*(8^2)+'LINEST VARS'!$N$68*(8^2)+'LINEST VARS'!$M$68*($BT$128^2)+'LINEST VARS'!$L$68*($AZ144^2)+'LINEST VARS'!$K$68*(12.73^2)+'LINEST VARS'!$J$68*(8*8)+'LINEST VARS'!$I$68*(8*$BT$128)+'LINEST VARS'!$H$68*(8*$AZ144)+'LINEST VARS'!$G$68*(8*12.73)+'LINEST VARS'!$F$68*(8*$BT$128)+'LINEST VARS'!$E$68*(8*$AZ144)+'LINEST VARS'!$D$68*(8*12.73)+'LINEST VARS'!$C$68*($BT$128*$AZ144)+'LINEST VARS'!$B$68*($BT$128*12.73)+'LINEST VARS'!$A$68*($AZ144*12.73)</f>
        <v>147.75</v>
      </c>
      <c r="BU144" s="47">
        <f>'LINEST VARS'!$U$68+'LINEST VARS'!$T$68*(8)+'LINEST VARS'!$S$68*(8)+'LINEST VARS'!$R$68*($BU$128)+'LINEST VARS'!$Q$68*($AZ144)+'LINEST VARS'!$P$68*(12.73)+'LINEST VARS'!$O$68*(8^2)+'LINEST VARS'!$N$68*(8^2)+'LINEST VARS'!$M$68*($BU$128^2)+'LINEST VARS'!$L$68*($AZ144^2)+'LINEST VARS'!$K$68*(12.73^2)+'LINEST VARS'!$J$68*(8*8)+'LINEST VARS'!$I$68*(8*$BU$128)+'LINEST VARS'!$H$68*(8*$AZ144)+'LINEST VARS'!$G$68*(8*12.73)+'LINEST VARS'!$F$68*(8*$BU$128)+'LINEST VARS'!$E$68*(8*$AZ144)+'LINEST VARS'!$D$68*(8*12.73)+'LINEST VARS'!$C$68*($BU$128*$AZ144)+'LINEST VARS'!$B$68*($BU$128*12.73)+'LINEST VARS'!$A$68*($AZ144*12.73)</f>
        <v>147.75</v>
      </c>
      <c r="BX144" s="45">
        <v>0.75</v>
      </c>
      <c r="BY144" s="46">
        <f>'LINEST VARS'!$U$70+'LINEST VARS'!$T$70*(8)+'LINEST VARS'!$S$70*(8)+'LINEST VARS'!$R$70*($BY$128)+'LINEST VARS'!$Q$70*($BX144)+'LINEST VARS'!$P$70*(12.73)+'LINEST VARS'!$O$70*(8^2)+'LINEST VARS'!$N$70*(8^2)+'LINEST VARS'!$M$70*($BY$128^2)+'LINEST VARS'!$L$70*($BX144^2)+'LINEST VARS'!$K$70*(12.73^2)+'LINEST VARS'!$J$70*(8*8)+'LINEST VARS'!$I$70*(8*$BY$128)+'LINEST VARS'!$H$70*(8*$BX144)+'LINEST VARS'!$G$70*(8*12.73)+'LINEST VARS'!$F$70*(8*$BY$128)+'LINEST VARS'!$E$70*(8*$BX144)+'LINEST VARS'!$D$70*(8*12.73)+'LINEST VARS'!$C$70*($BY$128*$BX144)+'LINEST VARS'!$B$70*($BY$128*12.73)+'LINEST VARS'!$A$70*($BX144*12.73)</f>
        <v>92.000000000000014</v>
      </c>
      <c r="BZ144" s="46">
        <f>'LINEST VARS'!$U$70+'LINEST VARS'!$T$70*(8)+'LINEST VARS'!$S$70*(8)+'LINEST VARS'!$R$70*($BZ$128)+'LINEST VARS'!$Q$70*($BX144)+'LINEST VARS'!$P$70*(12.73)+'LINEST VARS'!$O$70*(8^2)+'LINEST VARS'!$N$70*(8^2)+'LINEST VARS'!$M$70*($BZ$128^2)+'LINEST VARS'!$L$70*($BX144^2)+'LINEST VARS'!$K$70*(12.73^2)+'LINEST VARS'!$J$70*(8*8)+'LINEST VARS'!$I$70*(8*$BZ$128)+'LINEST VARS'!$H$70*(8*$BX144)+'LINEST VARS'!$G$70*(8*12.73)+'LINEST VARS'!$F$70*(8*$BZ$128)+'LINEST VARS'!$E$70*(8*$BX144)+'LINEST VARS'!$D$70*(8*12.73)+'LINEST VARS'!$C$70*($BZ$128*$BX144)+'LINEST VARS'!$B$70*($BZ$128*12.73)+'LINEST VARS'!$A$70*($BX144*12.73)</f>
        <v>91.600000000000009</v>
      </c>
      <c r="CA144" s="46">
        <f>'LINEST VARS'!$U$70+'LINEST VARS'!$T$70*(8)+'LINEST VARS'!$S$70*(8)+'LINEST VARS'!$R$70*($CA$128)+'LINEST VARS'!$Q$70*($BX144)+'LINEST VARS'!$P$70*(12.73)+'LINEST VARS'!$O$70*(8^2)+'LINEST VARS'!$N$70*(8^2)+'LINEST VARS'!$M$70*($CA$128^2)+'LINEST VARS'!$L$70*($BX144^2)+'LINEST VARS'!$K$70*(12.73^2)+'LINEST VARS'!$J$70*(8*8)+'LINEST VARS'!$I$70*(8*$CA$128)+'LINEST VARS'!$H$70*(8*$BX144)+'LINEST VARS'!$G$70*(8*12.73)+'LINEST VARS'!$F$70*(8*$CA$128)+'LINEST VARS'!$E$70*(8*$BX144)+'LINEST VARS'!$D$70*(8*12.73)+'LINEST VARS'!$C$70*($CA$128*$BX144)+'LINEST VARS'!$B$70*($CA$128*12.73)+'LINEST VARS'!$A$70*($BX144*12.73)</f>
        <v>91.200000000000017</v>
      </c>
      <c r="CB144" s="46">
        <f>'LINEST VARS'!$U$70+'LINEST VARS'!$T$70*(8)+'LINEST VARS'!$S$70*(8)+'LINEST VARS'!$R$70*($CB$128)+'LINEST VARS'!$Q$70*($BX144)+'LINEST VARS'!$P$70*(12.73)+'LINEST VARS'!$O$70*(8^2)+'LINEST VARS'!$N$70*(8^2)+'LINEST VARS'!$M$70*($CB$128^2)+'LINEST VARS'!$L$70*($BX144^2)+'LINEST VARS'!$K$70*(12.73^2)+'LINEST VARS'!$J$70*(8*8)+'LINEST VARS'!$I$70*(8*$CB$128)+'LINEST VARS'!$H$70*(8*$BX144)+'LINEST VARS'!$G$70*(8*12.73)+'LINEST VARS'!$F$70*(8*$CB$128)+'LINEST VARS'!$E$70*(8*$BX144)+'LINEST VARS'!$D$70*(8*12.73)+'LINEST VARS'!$C$70*($CB$128*$BX144)+'LINEST VARS'!$B$70*($CB$128*12.73)+'LINEST VARS'!$A$70*($BX144*12.73)</f>
        <v>90.800000000000011</v>
      </c>
      <c r="CC144" s="46">
        <f>'LINEST VARS'!$U$70+'LINEST VARS'!$T$70*(8)+'LINEST VARS'!$S$70*(8)+'LINEST VARS'!$R$70*($CC$128)+'LINEST VARS'!$Q$70*($BX144)+'LINEST VARS'!$P$70*(12.73)+'LINEST VARS'!$O$70*(8^2)+'LINEST VARS'!$N$70*(8^2)+'LINEST VARS'!$M$70*($CC$128^2)+'LINEST VARS'!$L$70*($BX144^2)+'LINEST VARS'!$K$70*(12.73^2)+'LINEST VARS'!$J$70*(8*8)+'LINEST VARS'!$I$70*(8*$CC$128)+'LINEST VARS'!$H$70*(8*$BX144)+'LINEST VARS'!$G$70*(8*12.73)+'LINEST VARS'!$F$70*(8*$CC$128)+'LINEST VARS'!$E$70*(8*$BX144)+'LINEST VARS'!$D$70*(8*12.73)+'LINEST VARS'!$C$70*($CC$128*$BX144)+'LINEST VARS'!$B$70*($CC$128*12.73)+'LINEST VARS'!$A$70*($BX144*12.73)</f>
        <v>90.40000000000002</v>
      </c>
      <c r="CD144" s="46">
        <f>'LINEST VARS'!$U$70+'LINEST VARS'!$T$70*(8)+'LINEST VARS'!$S$70*(8)+'LINEST VARS'!$R$70*($CD$128)+'LINEST VARS'!$Q$70*($BX144)+'LINEST VARS'!$P$70*(12.73)+'LINEST VARS'!$O$70*(8^2)+'LINEST VARS'!$N$70*(8^2)+'LINEST VARS'!$M$70*($CD$128^2)+'LINEST VARS'!$L$70*($BX144^2)+'LINEST VARS'!$K$70*(12.73^2)+'LINEST VARS'!$J$70*(8*8)+'LINEST VARS'!$I$70*(8*$CD$128)+'LINEST VARS'!$H$70*(8*$BX144)+'LINEST VARS'!$G$70*(8*12.73)+'LINEST VARS'!$F$70*(8*$CD$128)+'LINEST VARS'!$E$70*(8*$BX144)+'LINEST VARS'!$D$70*(8*12.73)+'LINEST VARS'!$C$70*($CD$128*$BX144)+'LINEST VARS'!$B$70*($CD$128*12.73)+'LINEST VARS'!$A$70*($BX144*12.73)</f>
        <v>90.000000000000014</v>
      </c>
      <c r="CE144" s="46">
        <f>'LINEST VARS'!$U$70+'LINEST VARS'!$T$70*(8)+'LINEST VARS'!$S$70*(8)+'LINEST VARS'!$R$70*($CE$128)+'LINEST VARS'!$Q$70*($BX144)+'LINEST VARS'!$P$70*(12.73)+'LINEST VARS'!$O$70*(8^2)+'LINEST VARS'!$N$70*(8^2)+'LINEST VARS'!$M$70*($CE$128^2)+'LINEST VARS'!$L$70*($BX144^2)+'LINEST VARS'!$K$70*(12.73^2)+'LINEST VARS'!$J$70*(8*8)+'LINEST VARS'!$I$70*(8*$CE$128)+'LINEST VARS'!$H$70*(8*$BX144)+'LINEST VARS'!$G$70*(8*12.73)+'LINEST VARS'!$F$70*(8*$CE$128)+'LINEST VARS'!$E$70*(8*$BX144)+'LINEST VARS'!$D$70*(8*12.73)+'LINEST VARS'!$C$70*($CE$128*$BX144)+'LINEST VARS'!$B$70*($CE$128*12.73)+'LINEST VARS'!$A$70*($BX144*12.73)</f>
        <v>89.600000000000023</v>
      </c>
      <c r="CF144" s="46">
        <f>'LINEST VARS'!$U$70+'LINEST VARS'!$T$70*(8)+'LINEST VARS'!$S$70*(8)+'LINEST VARS'!$R$70*($CF$128)+'LINEST VARS'!$Q$70*($BX144)+'LINEST VARS'!$P$70*(12.73)+'LINEST VARS'!$O$70*(8^2)+'LINEST VARS'!$N$70*(8^2)+'LINEST VARS'!$M$70*($CF$128^2)+'LINEST VARS'!$L$70*($BX144^2)+'LINEST VARS'!$K$70*(12.73^2)+'LINEST VARS'!$J$70*(8*8)+'LINEST VARS'!$I$70*(8*$CF$128)+'LINEST VARS'!$H$70*(8*$BX144)+'LINEST VARS'!$G$70*(8*12.73)+'LINEST VARS'!$F$70*(8*$CF$128)+'LINEST VARS'!$E$70*(8*$BX144)+'LINEST VARS'!$D$70*(8*12.73)+'LINEST VARS'!$C$70*($CF$128*$BX144)+'LINEST VARS'!$B$70*($CF$128*12.73)+'LINEST VARS'!$A$70*($BX144*12.73)</f>
        <v>89.200000000000017</v>
      </c>
      <c r="CG144" s="46">
        <f>'LINEST VARS'!$U$70+'LINEST VARS'!$T$70*(8)+'LINEST VARS'!$S$70*(8)+'LINEST VARS'!$R$70*($CG$128)+'LINEST VARS'!$Q$70*($BX144)+'LINEST VARS'!$P$70*(12.73)+'LINEST VARS'!$O$70*(8^2)+'LINEST VARS'!$N$70*(8^2)+'LINEST VARS'!$M$70*($CG$128^2)+'LINEST VARS'!$L$70*($BX144^2)+'LINEST VARS'!$K$70*(12.73^2)+'LINEST VARS'!$J$70*(8*8)+'LINEST VARS'!$I$70*(8*$CG$128)+'LINEST VARS'!$H$70*(8*$BX144)+'LINEST VARS'!$G$70*(8*12.73)+'LINEST VARS'!$F$70*(8*$CG$128)+'LINEST VARS'!$E$70*(8*$BX144)+'LINEST VARS'!$D$70*(8*12.73)+'LINEST VARS'!$C$70*($CG$128*$BX144)+'LINEST VARS'!$B$70*($CG$128*12.73)+'LINEST VARS'!$A$70*($BX144*12.73)</f>
        <v>88.800000000000026</v>
      </c>
      <c r="CH144" s="46">
        <f>'LINEST VARS'!$U$70+'LINEST VARS'!$T$70*(8)+'LINEST VARS'!$S$70*(8)+'LINEST VARS'!$R$70*($CH$128)+'LINEST VARS'!$Q$70*($BX144)+'LINEST VARS'!$P$70*(12.73)+'LINEST VARS'!$O$70*(8^2)+'LINEST VARS'!$N$70*(8^2)+'LINEST VARS'!$M$70*($CH$128^2)+'LINEST VARS'!$L$70*($BX144^2)+'LINEST VARS'!$K$70*(12.73^2)+'LINEST VARS'!$J$70*(8*8)+'LINEST VARS'!$I$70*(8*$CH$128)+'LINEST VARS'!$H$70*(8*$BX144)+'LINEST VARS'!$G$70*(8*12.73)+'LINEST VARS'!$F$70*(8*$CH$128)+'LINEST VARS'!$E$70*(8*$BX144)+'LINEST VARS'!$D$70*(8*12.73)+'LINEST VARS'!$C$70*($CH$128*$BX144)+'LINEST VARS'!$B$70*($CH$128*12.73)+'LINEST VARS'!$A$70*($BX144*12.73)</f>
        <v>88.40000000000002</v>
      </c>
      <c r="CI144" s="46">
        <f>'LINEST VARS'!$U$70+'LINEST VARS'!$T$70*(8)+'LINEST VARS'!$S$70*(8)+'LINEST VARS'!$R$70*($CI$128)+'LINEST VARS'!$Q$70*($BX144)+'LINEST VARS'!$P$70*(12.73)+'LINEST VARS'!$O$70*(8^2)+'LINEST VARS'!$N$70*(8^2)+'LINEST VARS'!$M$70*($CI$128^2)+'LINEST VARS'!$L$70*($BX144^2)+'LINEST VARS'!$K$70*(12.73^2)+'LINEST VARS'!$J$70*(8*8)+'LINEST VARS'!$I$70*(8*$CI$128)+'LINEST VARS'!$H$70*(8*$BX144)+'LINEST VARS'!$G$70*(8*12.73)+'LINEST VARS'!$F$70*(8*$CI$128)+'LINEST VARS'!$E$70*(8*$BX144)+'LINEST VARS'!$D$70*(8*12.73)+'LINEST VARS'!$C$70*($CI$128*$BX144)+'LINEST VARS'!$B$70*($CI$128*12.73)+'LINEST VARS'!$A$70*($BX144*12.73)</f>
        <v>88.000000000000014</v>
      </c>
      <c r="CJ144" s="46">
        <f>'LINEST VARS'!$U$70+'LINEST VARS'!$T$70*(8)+'LINEST VARS'!$S$70*(8)+'LINEST VARS'!$R$70*($CJ$128)+'LINEST VARS'!$Q$70*($BX144)+'LINEST VARS'!$P$70*(12.73)+'LINEST VARS'!$O$70*(8^2)+'LINEST VARS'!$N$70*(8^2)+'LINEST VARS'!$M$70*($CJ$128^2)+'LINEST VARS'!$L$70*($BX144^2)+'LINEST VARS'!$K$70*(12.73^2)+'LINEST VARS'!$J$70*(8*8)+'LINEST VARS'!$I$70*(8*$CJ$128)+'LINEST VARS'!$H$70*(8*$BX144)+'LINEST VARS'!$G$70*(8*12.73)+'LINEST VARS'!$F$70*(8*$CJ$128)+'LINEST VARS'!$E$70*(8*$BX144)+'LINEST VARS'!$D$70*(8*12.73)+'LINEST VARS'!$C$70*($CJ$128*$BX144)+'LINEST VARS'!$B$70*($CJ$128*12.73)+'LINEST VARS'!$A$70*($BX144*12.73)</f>
        <v>87.600000000000023</v>
      </c>
      <c r="CK144" s="46">
        <f>'LINEST VARS'!$U$70+'LINEST VARS'!$T$70*(8)+'LINEST VARS'!$S$70*(8)+'LINEST VARS'!$R$70*($CK$128)+'LINEST VARS'!$Q$70*($BX144)+'LINEST VARS'!$P$70*(12.73)+'LINEST VARS'!$O$70*(8^2)+'LINEST VARS'!$N$70*(8^2)+'LINEST VARS'!$M$70*($CK$128^2)+'LINEST VARS'!$L$70*($BX144^2)+'LINEST VARS'!$K$70*(12.73^2)+'LINEST VARS'!$J$70*(8*8)+'LINEST VARS'!$I$70*(8*$CK$128)+'LINEST VARS'!$H$70*(8*$BX144)+'LINEST VARS'!$G$70*(8*12.73)+'LINEST VARS'!$F$70*(8*$CK$128)+'LINEST VARS'!$E$70*(8*$BX144)+'LINEST VARS'!$D$70*(8*12.73)+'LINEST VARS'!$C$70*($CK$128*$BX144)+'LINEST VARS'!$B$70*($CK$128*12.73)+'LINEST VARS'!$A$70*($BX144*12.73)</f>
        <v>87.200000000000017</v>
      </c>
      <c r="CL144" s="46">
        <f>'LINEST VARS'!$U$70+'LINEST VARS'!$T$70*(8)+'LINEST VARS'!$S$70*(8)+'LINEST VARS'!$R$70*($CL$128)+'LINEST VARS'!$Q$70*($BX144)+'LINEST VARS'!$P$70*(12.73)+'LINEST VARS'!$O$70*(8^2)+'LINEST VARS'!$N$70*(8^2)+'LINEST VARS'!$M$70*($CL$128^2)+'LINEST VARS'!$L$70*($BX144^2)+'LINEST VARS'!$K$70*(12.73^2)+'LINEST VARS'!$J$70*(8*8)+'LINEST VARS'!$I$70*(8*$CL$128)+'LINEST VARS'!$H$70*(8*$BX144)+'LINEST VARS'!$G$70*(8*12.73)+'LINEST VARS'!$F$70*(8*$CL$128)+'LINEST VARS'!$E$70*(8*$BX144)+'LINEST VARS'!$D$70*(8*12.73)+'LINEST VARS'!$C$70*($CL$128*$BX144)+'LINEST VARS'!$B$70*($CL$128*12.73)+'LINEST VARS'!$A$70*($BX144*12.73)</f>
        <v>86.800000000000026</v>
      </c>
      <c r="CM144" s="46">
        <f>'LINEST VARS'!$U$70+'LINEST VARS'!$T$70*(8)+'LINEST VARS'!$S$70*(8)+'LINEST VARS'!$R$70*($CM$128)+'LINEST VARS'!$Q$70*($BX144)+'LINEST VARS'!$P$70*(12.73)+'LINEST VARS'!$O$70*(8^2)+'LINEST VARS'!$N$70*(8^2)+'LINEST VARS'!$M$70*($CM$128^2)+'LINEST VARS'!$L$70*($BX144^2)+'LINEST VARS'!$K$70*(12.73^2)+'LINEST VARS'!$J$70*(8*8)+'LINEST VARS'!$I$70*(8*$CM$128)+'LINEST VARS'!$H$70*(8*$BX144)+'LINEST VARS'!$G$70*(8*12.73)+'LINEST VARS'!$F$70*(8*$CM$128)+'LINEST VARS'!$E$70*(8*$BX144)+'LINEST VARS'!$D$70*(8*12.73)+'LINEST VARS'!$C$70*($CM$128*$BX144)+'LINEST VARS'!$B$70*($CM$128*12.73)+'LINEST VARS'!$A$70*($BX144*12.73)</f>
        <v>86.40000000000002</v>
      </c>
      <c r="CN144" s="46">
        <f>'LINEST VARS'!$U$70+'LINEST VARS'!$T$70*(8)+'LINEST VARS'!$S$70*(8)+'LINEST VARS'!$R$70*($CN$128)+'LINEST VARS'!$Q$70*($BX144)+'LINEST VARS'!$P$70*(12.73)+'LINEST VARS'!$O$70*(8^2)+'LINEST VARS'!$N$70*(8^2)+'LINEST VARS'!$M$70*($CN$128^2)+'LINEST VARS'!$L$70*($BX144^2)+'LINEST VARS'!$K$70*(12.73^2)+'LINEST VARS'!$J$70*(8*8)+'LINEST VARS'!$I$70*(8*$CN$128)+'LINEST VARS'!$H$70*(8*$BX144)+'LINEST VARS'!$G$70*(8*12.73)+'LINEST VARS'!$F$70*(8*$CN$128)+'LINEST VARS'!$E$70*(8*$BX144)+'LINEST VARS'!$D$70*(8*12.73)+'LINEST VARS'!$C$70*($CN$128*$BX144)+'LINEST VARS'!$B$70*($CN$128*12.73)+'LINEST VARS'!$A$70*($BX144*12.73)</f>
        <v>86.000000000000014</v>
      </c>
      <c r="CO144" s="46">
        <f>'LINEST VARS'!$U$70+'LINEST VARS'!$T$70*(8)+'LINEST VARS'!$S$70*(8)+'LINEST VARS'!$R$70*($CO$128)+'LINEST VARS'!$Q$70*($BX144)+'LINEST VARS'!$P$70*(12.73)+'LINEST VARS'!$O$70*(8^2)+'LINEST VARS'!$N$70*(8^2)+'LINEST VARS'!$M$70*($CO$128^2)+'LINEST VARS'!$L$70*($BX144^2)+'LINEST VARS'!$K$70*(12.73^2)+'LINEST VARS'!$J$70*(8*8)+'LINEST VARS'!$I$70*(8*$CO$128)+'LINEST VARS'!$H$70*(8*$BX144)+'LINEST VARS'!$G$70*(8*12.73)+'LINEST VARS'!$F$70*(8*$CO$128)+'LINEST VARS'!$E$70*(8*$BX144)+'LINEST VARS'!$D$70*(8*12.73)+'LINEST VARS'!$C$70*($CO$128*$BX144)+'LINEST VARS'!$B$70*($CO$128*12.73)+'LINEST VARS'!$A$70*($BX144*12.73)</f>
        <v>85.600000000000009</v>
      </c>
      <c r="CP144" s="46">
        <f>'LINEST VARS'!$U$70+'LINEST VARS'!$T$70*(8)+'LINEST VARS'!$S$70*(8)+'LINEST VARS'!$R$70*($CP$128)+'LINEST VARS'!$Q$70*($BX144)+'LINEST VARS'!$P$70*(12.73)+'LINEST VARS'!$O$70*(8^2)+'LINEST VARS'!$N$70*(8^2)+'LINEST VARS'!$M$70*($CP$128^2)+'LINEST VARS'!$L$70*($BX144^2)+'LINEST VARS'!$K$70*(12.73^2)+'LINEST VARS'!$J$70*(8*8)+'LINEST VARS'!$I$70*(8*$CP$128)+'LINEST VARS'!$H$70*(8*$BX144)+'LINEST VARS'!$G$70*(8*12.73)+'LINEST VARS'!$F$70*(8*$CP$128)+'LINEST VARS'!$E$70*(8*$BX144)+'LINEST VARS'!$D$70*(8*12.73)+'LINEST VARS'!$C$70*($CP$128*$BX144)+'LINEST VARS'!$B$70*($CP$128*12.73)+'LINEST VARS'!$A$70*($BX144*12.73)</f>
        <v>85.200000000000017</v>
      </c>
      <c r="CQ144" s="46">
        <f>'LINEST VARS'!$U$70+'LINEST VARS'!$T$70*(8)+'LINEST VARS'!$S$70*(8)+'LINEST VARS'!$R$70*($CQ$128)+'LINEST VARS'!$Q$70*($BX144)+'LINEST VARS'!$P$70*(12.73)+'LINEST VARS'!$O$70*(8^2)+'LINEST VARS'!$N$70*(8^2)+'LINEST VARS'!$M$70*($CQ$128^2)+'LINEST VARS'!$L$70*($BX144^2)+'LINEST VARS'!$K$70*(12.73^2)+'LINEST VARS'!$J$70*(8*8)+'LINEST VARS'!$I$70*(8*$CQ$128)+'LINEST VARS'!$H$70*(8*$BX144)+'LINEST VARS'!$G$70*(8*12.73)+'LINEST VARS'!$F$70*(8*$CQ$128)+'LINEST VARS'!$E$70*(8*$BX144)+'LINEST VARS'!$D$70*(8*12.73)+'LINEST VARS'!$C$70*($CQ$128*$BX144)+'LINEST VARS'!$B$70*($CQ$128*12.73)+'LINEST VARS'!$A$70*($BX144*12.73)</f>
        <v>84.800000000000011</v>
      </c>
      <c r="CR144" s="46">
        <f>'LINEST VARS'!$U$70+'LINEST VARS'!$T$70*(8)+'LINEST VARS'!$S$70*(8)+'LINEST VARS'!$R$70*($CR$128)+'LINEST VARS'!$Q$70*($BX144)+'LINEST VARS'!$P$70*(12.73)+'LINEST VARS'!$O$70*(8^2)+'LINEST VARS'!$N$70*(8^2)+'LINEST VARS'!$M$70*($CR$128^2)+'LINEST VARS'!$L$70*($BX144^2)+'LINEST VARS'!$K$70*(12.73^2)+'LINEST VARS'!$J$70*(8*8)+'LINEST VARS'!$I$70*(8*$CR$128)+'LINEST VARS'!$H$70*(8*$BX144)+'LINEST VARS'!$G$70*(8*12.73)+'LINEST VARS'!$F$70*(8*$CR$128)+'LINEST VARS'!$E$70*(8*$BX144)+'LINEST VARS'!$D$70*(8*12.73)+'LINEST VARS'!$C$70*($CR$128*$BX144)+'LINEST VARS'!$B$70*($CR$128*12.73)+'LINEST VARS'!$A$70*($BX144*12.73)</f>
        <v>84.400000000000034</v>
      </c>
      <c r="CS144" s="47">
        <f>'LINEST VARS'!$U$70+'LINEST VARS'!$T$70*(8)+'LINEST VARS'!$S$70*(8)+'LINEST VARS'!$R$70*($CS$128)+'LINEST VARS'!$Q$70*($BX144)+'LINEST VARS'!$P$70*(12.73)+'LINEST VARS'!$O$70*(8^2)+'LINEST VARS'!$N$70*(8^2)+'LINEST VARS'!$M$70*($CS$128^2)+'LINEST VARS'!$L$70*($BX144^2)+'LINEST VARS'!$K$70*(12.73^2)+'LINEST VARS'!$J$70*(8*8)+'LINEST VARS'!$I$70*(8*$CS$128)+'LINEST VARS'!$H$70*(8*$BX144)+'LINEST VARS'!$G$70*(8*12.73)+'LINEST VARS'!$F$70*(8*$CS$128)+'LINEST VARS'!$E$70*(8*$BX144)+'LINEST VARS'!$D$70*(8*12.73)+'LINEST VARS'!$C$70*($CS$128*$BX144)+'LINEST VARS'!$B$70*($CS$128*12.73)+'LINEST VARS'!$A$70*($BX144*12.73)</f>
        <v>84.000000000000028</v>
      </c>
      <c r="CX144" s="45">
        <v>19.4925</v>
      </c>
      <c r="CY144" s="46">
        <f>'LINEST VARS'!$U$68+'LINEST VARS'!$T$68*(8)+'LINEST VARS'!$S$68*(8)+'LINEST VARS'!$R$68*($CY$128)+'LINEST VARS'!$Q$68*(0.5)+'LINEST VARS'!$P$68*($CX144)+'LINEST VARS'!$O$68*(8^2)+'LINEST VARS'!$N$68*(8^2)+'LINEST VARS'!$M$68*($CY$128^2)+'LINEST VARS'!$L$68*(0.5^2)+'LINEST VARS'!$K$68*($CX144^2)+'LINEST VARS'!$J$68*(8*8)+'LINEST VARS'!$I$68*(8*$CY$128)+'LINEST VARS'!$H$68*(8*0.5)+'LINEST VARS'!$G$68*(8*$CX144)+'LINEST VARS'!$F$68*(8*$CY$128)+'LINEST VARS'!$E$68*(8*0.5)+'LINEST VARS'!$D$68*(8*$CX144)+'LINEST VARS'!$C$68*($CY$128*0.5)+'LINEST VARS'!$B$68*($CY$128*$CX144)+'LINEST VARS'!$A$68*(0.5*$CX144)</f>
        <v>149</v>
      </c>
      <c r="CZ144" s="46">
        <f>'LINEST VARS'!$U$68+'LINEST VARS'!$T$68*(8)+'LINEST VARS'!$S$68*(8)+'LINEST VARS'!$R$68*($CZ$128)+'LINEST VARS'!$Q$68*(0.5)+'LINEST VARS'!$P$68*($CX144)+'LINEST VARS'!$O$68*(8^2)+'LINEST VARS'!$N$68*(8^2)+'LINEST VARS'!$M$68*($CZ$128^2)+'LINEST VARS'!$L$68*(0.5^2)+'LINEST VARS'!$K$68*($CX144^2)+'LINEST VARS'!$J$68*(8*8)+'LINEST VARS'!$I$68*(8*$CZ$128)+'LINEST VARS'!$H$68*(8*0.5)+'LINEST VARS'!$G$68*(8*$CX144)+'LINEST VARS'!$F$68*(8*$CZ$128)+'LINEST VARS'!$E$68*(8*0.5)+'LINEST VARS'!$D$68*(8*$CX144)+'LINEST VARS'!$C$68*($CZ$128*0.5)+'LINEST VARS'!$B$68*($CZ$128*$CX144)+'LINEST VARS'!$A$68*(0.5*$CX144)</f>
        <v>149</v>
      </c>
      <c r="DA144" s="46">
        <f>'LINEST VARS'!$U$68+'LINEST VARS'!$T$68*(8)+'LINEST VARS'!$S$68*(8)+'LINEST VARS'!$R$68*($DA$128)+'LINEST VARS'!$Q$68*(0.5)+'LINEST VARS'!$P$68*($CX144)+'LINEST VARS'!$O$68*(8^2)+'LINEST VARS'!$N$68*(8^2)+'LINEST VARS'!$M$68*($DA$128^2)+'LINEST VARS'!$L$68*(0.5^2)+'LINEST VARS'!$K$68*($CX144^2)+'LINEST VARS'!$J$68*(8*8)+'LINEST VARS'!$I$68*(8*$DA$128)+'LINEST VARS'!$H$68*(8*0.5)+'LINEST VARS'!$G$68*(8*$CX144)+'LINEST VARS'!$F$68*(8*$DA$128)+'LINEST VARS'!$E$68*(8*0.5)+'LINEST VARS'!$D$68*(8*$CX144)+'LINEST VARS'!$C$68*($DA$128*0.5)+'LINEST VARS'!$B$68*($DA$128*$CX144)+'LINEST VARS'!$A$68*(0.5*$CX144)</f>
        <v>149</v>
      </c>
      <c r="DB144" s="46">
        <f>'LINEST VARS'!$U$68+'LINEST VARS'!$T$68*(8)+'LINEST VARS'!$S$68*(8)+'LINEST VARS'!$R$68*($DB$128)+'LINEST VARS'!$Q$68*(0.5)+'LINEST VARS'!$P$68*($CX144)+'LINEST VARS'!$O$68*(8^2)+'LINEST VARS'!$N$68*(8^2)+'LINEST VARS'!$M$68*($DB$128^2)+'LINEST VARS'!$L$68*(0.5^2)+'LINEST VARS'!$K$68*($CX144^2)+'LINEST VARS'!$J$68*(8*8)+'LINEST VARS'!$I$68*(8*$DB$128)+'LINEST VARS'!$H$68*(8*0.5)+'LINEST VARS'!$G$68*(8*$CX144)+'LINEST VARS'!$F$68*(8*$DB$128)+'LINEST VARS'!$E$68*(8*0.5)+'LINEST VARS'!$D$68*(8*$CX144)+'LINEST VARS'!$C$68*($DB$128*0.5)+'LINEST VARS'!$B$68*($DB$128*$CX144)+'LINEST VARS'!$A$68*(0.5*$CX144)</f>
        <v>149</v>
      </c>
      <c r="DC144" s="46">
        <f>'LINEST VARS'!$U$68+'LINEST VARS'!$T$68*(8)+'LINEST VARS'!$S$68*(8)+'LINEST VARS'!$R$68*($DC$128)+'LINEST VARS'!$Q$68*(0.5)+'LINEST VARS'!$P$68*($CX144)+'LINEST VARS'!$O$68*(8^2)+'LINEST VARS'!$N$68*(8^2)+'LINEST VARS'!$M$68*($DC$128^2)+'LINEST VARS'!$L$68*(0.5^2)+'LINEST VARS'!$K$68*($CX144^2)+'LINEST VARS'!$J$68*(8*8)+'LINEST VARS'!$I$68*(8*$DC$128)+'LINEST VARS'!$H$68*(8*0.5)+'LINEST VARS'!$G$68*(8*$CX144)+'LINEST VARS'!$F$68*(8*$DC$128)+'LINEST VARS'!$E$68*(8*0.5)+'LINEST VARS'!$D$68*(8*$CX144)+'LINEST VARS'!$C$68*($DC$128*0.5)+'LINEST VARS'!$B$68*($DC$128*$CX144)+'LINEST VARS'!$A$68*(0.5*$CX144)</f>
        <v>149</v>
      </c>
      <c r="DD144" s="46">
        <f>'LINEST VARS'!$U$68+'LINEST VARS'!$T$68*(8)+'LINEST VARS'!$S$68*(8)+'LINEST VARS'!$R$68*($DD$128)+'LINEST VARS'!$Q$68*(0.5)+'LINEST VARS'!$P$68*($CX144)+'LINEST VARS'!$O$68*(8^2)+'LINEST VARS'!$N$68*(8^2)+'LINEST VARS'!$M$68*($DD$128^2)+'LINEST VARS'!$L$68*(0.5^2)+'LINEST VARS'!$K$68*($CX144^2)+'LINEST VARS'!$J$68*(8*8)+'LINEST VARS'!$I$68*(8*$DD$128)+'LINEST VARS'!$H$68*(8*0.5)+'LINEST VARS'!$G$68*(8*$CX144)+'LINEST VARS'!$F$68*(8*$DD$128)+'LINEST VARS'!$E$68*(8*0.5)+'LINEST VARS'!$D$68*(8*$CX144)+'LINEST VARS'!$C$68*($DD$128*0.5)+'LINEST VARS'!$B$68*($DD$128*$CX144)+'LINEST VARS'!$A$68*(0.5*$CX144)</f>
        <v>149</v>
      </c>
      <c r="DE144" s="46">
        <f>'LINEST VARS'!$U$68+'LINEST VARS'!$T$68*(8)+'LINEST VARS'!$S$68*(8)+'LINEST VARS'!$R$68*($DE$128)+'LINEST VARS'!$Q$68*(0.5)+'LINEST VARS'!$P$68*($CX144)+'LINEST VARS'!$O$68*(8^2)+'LINEST VARS'!$N$68*(8^2)+'LINEST VARS'!$M$68*($DE$128^2)+'LINEST VARS'!$L$68*(0.5^2)+'LINEST VARS'!$K$68*($CX144^2)+'LINEST VARS'!$J$68*(8*8)+'LINEST VARS'!$I$68*(8*$DE$128)+'LINEST VARS'!$H$68*(8*0.5)+'LINEST VARS'!$G$68*(8*$CX144)+'LINEST VARS'!$F$68*(8*$DE$128)+'LINEST VARS'!$E$68*(8*0.5)+'LINEST VARS'!$D$68*(8*$CX144)+'LINEST VARS'!$C$68*($DE$128*0.5)+'LINEST VARS'!$B$68*($DE$128*$CX144)+'LINEST VARS'!$A$68*(0.5*$CX144)</f>
        <v>149</v>
      </c>
      <c r="DF144" s="46">
        <f>'LINEST VARS'!$U$68+'LINEST VARS'!$T$68*(8)+'LINEST VARS'!$S$68*(8)+'LINEST VARS'!$R$68*($DF$128)+'LINEST VARS'!$Q$68*(0.5)+'LINEST VARS'!$P$68*($CX144)+'LINEST VARS'!$O$68*(8^2)+'LINEST VARS'!$N$68*(8^2)+'LINEST VARS'!$M$68*($DF$128^2)+'LINEST VARS'!$L$68*(0.5^2)+'LINEST VARS'!$K$68*($CX144^2)+'LINEST VARS'!$J$68*(8*8)+'LINEST VARS'!$I$68*(8*$DF$128)+'LINEST VARS'!$H$68*(8*0.5)+'LINEST VARS'!$G$68*(8*$CX144)+'LINEST VARS'!$F$68*(8*$DF$128)+'LINEST VARS'!$E$68*(8*0.5)+'LINEST VARS'!$D$68*(8*$CX144)+'LINEST VARS'!$C$68*($DF$128*0.5)+'LINEST VARS'!$B$68*($DF$128*$CX144)+'LINEST VARS'!$A$68*(0.5*$CX144)</f>
        <v>149</v>
      </c>
      <c r="DG144" s="46">
        <f>'LINEST VARS'!$U$68+'LINEST VARS'!$T$68*(8)+'LINEST VARS'!$S$68*(8)+'LINEST VARS'!$R$68*($DG$128)+'LINEST VARS'!$Q$68*(0.5)+'LINEST VARS'!$P$68*($CX144)+'LINEST VARS'!$O$68*(8^2)+'LINEST VARS'!$N$68*(8^2)+'LINEST VARS'!$M$68*($DG$128^2)+'LINEST VARS'!$L$68*(0.5^2)+'LINEST VARS'!$K$68*($CX144^2)+'LINEST VARS'!$J$68*(8*8)+'LINEST VARS'!$I$68*(8*$DG$128)+'LINEST VARS'!$H$68*(8*0.5)+'LINEST VARS'!$G$68*(8*$CX144)+'LINEST VARS'!$F$68*(8*$DG$128)+'LINEST VARS'!$E$68*(8*0.5)+'LINEST VARS'!$D$68*(8*$CX144)+'LINEST VARS'!$C$68*($DG$128*0.5)+'LINEST VARS'!$B$68*($DG$128*$CX144)+'LINEST VARS'!$A$68*(0.5*$CX144)</f>
        <v>149</v>
      </c>
      <c r="DH144" s="46">
        <f>'LINEST VARS'!$U$68+'LINEST VARS'!$T$68*(8)+'LINEST VARS'!$S$68*(8)+'LINEST VARS'!$R$68*($DH$128)+'LINEST VARS'!$Q$68*(0.5)+'LINEST VARS'!$P$68*($CX144)+'LINEST VARS'!$O$68*(8^2)+'LINEST VARS'!$N$68*(8^2)+'LINEST VARS'!$M$68*($DH$128^2)+'LINEST VARS'!$L$68*(0.5^2)+'LINEST VARS'!$K$68*($CX144^2)+'LINEST VARS'!$J$68*(8*8)+'LINEST VARS'!$I$68*(8*$DH$128)+'LINEST VARS'!$H$68*(8*0.5)+'LINEST VARS'!$G$68*(8*$CX144)+'LINEST VARS'!$F$68*(8*$DH$128)+'LINEST VARS'!$E$68*(8*0.5)+'LINEST VARS'!$D$68*(8*$CX144)+'LINEST VARS'!$C$68*($DH$128*0.5)+'LINEST VARS'!$B$68*($DH$128*$CX144)+'LINEST VARS'!$A$68*(0.5*$CX144)</f>
        <v>149</v>
      </c>
      <c r="DI144" s="46">
        <f>'LINEST VARS'!$U$68+'LINEST VARS'!$T$68*(8)+'LINEST VARS'!$S$68*(8)+'LINEST VARS'!$R$68*($DI$128)+'LINEST VARS'!$Q$68*(0.5)+'LINEST VARS'!$P$68*($CX144)+'LINEST VARS'!$O$68*(8^2)+'LINEST VARS'!$N$68*(8^2)+'LINEST VARS'!$M$68*($DI$128^2)+'LINEST VARS'!$L$68*(0.5^2)+'LINEST VARS'!$K$68*($CX144^2)+'LINEST VARS'!$J$68*(8*8)+'LINEST VARS'!$I$68*(8*$DI$128)+'LINEST VARS'!$H$68*(8*0.5)+'LINEST VARS'!$G$68*(8*$CX144)+'LINEST VARS'!$F$68*(8*$DI$128)+'LINEST VARS'!$E$68*(8*0.5)+'LINEST VARS'!$D$68*(8*$CX144)+'LINEST VARS'!$C$68*($DI$128*0.5)+'LINEST VARS'!$B$68*($DI$128*$CX144)+'LINEST VARS'!$A$68*(0.5*$CX144)</f>
        <v>149</v>
      </c>
      <c r="DJ144" s="46">
        <f>'LINEST VARS'!$U$68+'LINEST VARS'!$T$68*(8)+'LINEST VARS'!$S$68*(8)+'LINEST VARS'!$R$68*($DJ$128)+'LINEST VARS'!$Q$68*(0.5)+'LINEST VARS'!$P$68*($CX144)+'LINEST VARS'!$O$68*(8^2)+'LINEST VARS'!$N$68*(8^2)+'LINEST VARS'!$M$68*($DJ$128^2)+'LINEST VARS'!$L$68*(0.5^2)+'LINEST VARS'!$K$68*($CX144^2)+'LINEST VARS'!$J$68*(8*8)+'LINEST VARS'!$I$68*(8*$DJ$128)+'LINEST VARS'!$H$68*(8*0.5)+'LINEST VARS'!$G$68*(8*$CX144)+'LINEST VARS'!$F$68*(8*$DJ$128)+'LINEST VARS'!$E$68*(8*0.5)+'LINEST VARS'!$D$68*(8*$CX144)+'LINEST VARS'!$C$68*($DJ$128*0.5)+'LINEST VARS'!$B$68*($DJ$128*$CX144)+'LINEST VARS'!$A$68*(0.5*$CX144)</f>
        <v>149</v>
      </c>
      <c r="DK144" s="46">
        <f>'LINEST VARS'!$U$68+'LINEST VARS'!$T$68*(8)+'LINEST VARS'!$S$68*(8)+'LINEST VARS'!$R$68*($DK$128)+'LINEST VARS'!$Q$68*(0.5)+'LINEST VARS'!$P$68*($CX144)+'LINEST VARS'!$O$68*(8^2)+'LINEST VARS'!$N$68*(8^2)+'LINEST VARS'!$M$68*($DK$128^2)+'LINEST VARS'!$L$68*(0.5^2)+'LINEST VARS'!$K$68*($CX144^2)+'LINEST VARS'!$J$68*(8*8)+'LINEST VARS'!$I$68*(8*$DK$128)+'LINEST VARS'!$H$68*(8*0.5)+'LINEST VARS'!$G$68*(8*$CX144)+'LINEST VARS'!$F$68*(8*$DK$128)+'LINEST VARS'!$E$68*(8*0.5)+'LINEST VARS'!$D$68*(8*$CX144)+'LINEST VARS'!$C$68*($DK$128*0.5)+'LINEST VARS'!$B$68*($DK$128*$CX144)+'LINEST VARS'!$A$68*(0.5*$CX144)</f>
        <v>149</v>
      </c>
      <c r="DL144" s="46">
        <f>'LINEST VARS'!$U$68+'LINEST VARS'!$T$68*(8)+'LINEST VARS'!$S$68*(8)+'LINEST VARS'!$R$68*($DL$128)+'LINEST VARS'!$Q$68*(0.5)+'LINEST VARS'!$P$68*($CX144)+'LINEST VARS'!$O$68*(8^2)+'LINEST VARS'!$N$68*(8^2)+'LINEST VARS'!$M$68*($DL$128^2)+'LINEST VARS'!$L$68*(0.5^2)+'LINEST VARS'!$K$68*($CX144^2)+'LINEST VARS'!$J$68*(8*8)+'LINEST VARS'!$I$68*(8*$DL$128)+'LINEST VARS'!$H$68*(8*0.5)+'LINEST VARS'!$G$68*(8*$CX144)+'LINEST VARS'!$F$68*(8*$DL$128)+'LINEST VARS'!$E$68*(8*0.5)+'LINEST VARS'!$D$68*(8*$CX144)+'LINEST VARS'!$C$68*($DL$128*0.5)+'LINEST VARS'!$B$68*($DL$128*$CX144)+'LINEST VARS'!$A$68*(0.5*$CX144)</f>
        <v>149</v>
      </c>
      <c r="DM144" s="46">
        <f>'LINEST VARS'!$U$68+'LINEST VARS'!$T$68*(8)+'LINEST VARS'!$S$68*(8)+'LINEST VARS'!$R$68*($DM$128)+'LINEST VARS'!$Q$68*(0.5)+'LINEST VARS'!$P$68*($CX144)+'LINEST VARS'!$O$68*(8^2)+'LINEST VARS'!$N$68*(8^2)+'LINEST VARS'!$M$68*($DM$128^2)+'LINEST VARS'!$L$68*(0.5^2)+'LINEST VARS'!$K$68*($CX144^2)+'LINEST VARS'!$J$68*(8*8)+'LINEST VARS'!$I$68*(8*$DM$128)+'LINEST VARS'!$H$68*(8*0.5)+'LINEST VARS'!$G$68*(8*$CX144)+'LINEST VARS'!$F$68*(8*$DM$128)+'LINEST VARS'!$E$68*(8*0.5)+'LINEST VARS'!$D$68*(8*$CX144)+'LINEST VARS'!$C$68*($DM$128*0.5)+'LINEST VARS'!$B$68*($DM$128*$CX144)+'LINEST VARS'!$A$68*(0.5*$CX144)</f>
        <v>149</v>
      </c>
      <c r="DN144" s="46">
        <f>'LINEST VARS'!$U$68+'LINEST VARS'!$T$68*(8)+'LINEST VARS'!$S$68*(8)+'LINEST VARS'!$R$68*($DN$128)+'LINEST VARS'!$Q$68*(0.5)+'LINEST VARS'!$P$68*($CX144)+'LINEST VARS'!$O$68*(8^2)+'LINEST VARS'!$N$68*(8^2)+'LINEST VARS'!$M$68*($DN$128^2)+'LINEST VARS'!$L$68*(0.5^2)+'LINEST VARS'!$K$68*($CX144^2)+'LINEST VARS'!$J$68*(8*8)+'LINEST VARS'!$I$68*(8*$DN$128)+'LINEST VARS'!$H$68*(8*0.5)+'LINEST VARS'!$G$68*(8*$CX144)+'LINEST VARS'!$F$68*(8*$DN$128)+'LINEST VARS'!$E$68*(8*0.5)+'LINEST VARS'!$D$68*(8*$CX144)+'LINEST VARS'!$C$68*($DN$128*0.5)+'LINEST VARS'!$B$68*($DN$128*$CX144)+'LINEST VARS'!$A$68*(0.5*$CX144)</f>
        <v>149</v>
      </c>
      <c r="DO144" s="46">
        <f>'LINEST VARS'!$U$68+'LINEST VARS'!$T$68*(8)+'LINEST VARS'!$S$68*(8)+'LINEST VARS'!$R$68*($DO$128)+'LINEST VARS'!$Q$68*(0.5)+'LINEST VARS'!$P$68*($CX144)+'LINEST VARS'!$O$68*(8^2)+'LINEST VARS'!$N$68*(8^2)+'LINEST VARS'!$M$68*($DO$128^2)+'LINEST VARS'!$L$68*(0.5^2)+'LINEST VARS'!$K$68*($CX144^2)+'LINEST VARS'!$J$68*(8*8)+'LINEST VARS'!$I$68*(8*$DO$128)+'LINEST VARS'!$H$68*(8*0.5)+'LINEST VARS'!$G$68*(8*$CX144)+'LINEST VARS'!$F$68*(8*$DO$128)+'LINEST VARS'!$E$68*(8*0.5)+'LINEST VARS'!$D$68*(8*$CX144)+'LINEST VARS'!$C$68*($DO$128*0.5)+'LINEST VARS'!$B$68*($DO$128*$CX144)+'LINEST VARS'!$A$68*(0.5*$CX144)</f>
        <v>149</v>
      </c>
      <c r="DP144" s="46">
        <f>'LINEST VARS'!$U$68+'LINEST VARS'!$T$68*(8)+'LINEST VARS'!$S$68*(8)+'LINEST VARS'!$R$68*($DP$128)+'LINEST VARS'!$Q$68*(0.5)+'LINEST VARS'!$P$68*($CX144)+'LINEST VARS'!$O$68*(8^2)+'LINEST VARS'!$N$68*(8^2)+'LINEST VARS'!$M$68*($DP$128^2)+'LINEST VARS'!$L$68*(0.5^2)+'LINEST VARS'!$K$68*($CX144^2)+'LINEST VARS'!$J$68*(8*8)+'LINEST VARS'!$I$68*(8*$DP$128)+'LINEST VARS'!$H$68*(8*0.5)+'LINEST VARS'!$G$68*(8*$CX144)+'LINEST VARS'!$F$68*(8*$DP$128)+'LINEST VARS'!$E$68*(8*0.5)+'LINEST VARS'!$D$68*(8*$CX144)+'LINEST VARS'!$C$68*($DP$128*0.5)+'LINEST VARS'!$B$68*($DP$128*$CX144)+'LINEST VARS'!$A$68*(0.5*$CX144)</f>
        <v>149</v>
      </c>
      <c r="DQ144" s="46">
        <f>'LINEST VARS'!$U$68+'LINEST VARS'!$T$68*(8)+'LINEST VARS'!$S$68*(8)+'LINEST VARS'!$R$68*($DQ$128)+'LINEST VARS'!$Q$68*(0.5)+'LINEST VARS'!$P$68*($CX144)+'LINEST VARS'!$O$68*(8^2)+'LINEST VARS'!$N$68*(8^2)+'LINEST VARS'!$M$68*($DQ$128^2)+'LINEST VARS'!$L$68*(0.5^2)+'LINEST VARS'!$K$68*($CX144^2)+'LINEST VARS'!$J$68*(8*8)+'LINEST VARS'!$I$68*(8*$DQ$128)+'LINEST VARS'!$H$68*(8*0.5)+'LINEST VARS'!$G$68*(8*$CX144)+'LINEST VARS'!$F$68*(8*$DQ$128)+'LINEST VARS'!$E$68*(8*0.5)+'LINEST VARS'!$D$68*(8*$CX144)+'LINEST VARS'!$C$68*($DQ$128*0.5)+'LINEST VARS'!$B$68*($DQ$128*$CX144)+'LINEST VARS'!$A$68*(0.5*$CX144)</f>
        <v>149</v>
      </c>
      <c r="DR144" s="46">
        <f>'LINEST VARS'!$U$68+'LINEST VARS'!$T$68*(8)+'LINEST VARS'!$S$68*(8)+'LINEST VARS'!$R$68*($DR$128)+'LINEST VARS'!$Q$68*(0.5)+'LINEST VARS'!$P$68*($CX144)+'LINEST VARS'!$O$68*(8^2)+'LINEST VARS'!$N$68*(8^2)+'LINEST VARS'!$M$68*($DR$128^2)+'LINEST VARS'!$L$68*(0.5^2)+'LINEST VARS'!$K$68*($CX144^2)+'LINEST VARS'!$J$68*(8*8)+'LINEST VARS'!$I$68*(8*$DR$128)+'LINEST VARS'!$H$68*(8*0.5)+'LINEST VARS'!$G$68*(8*$CX144)+'LINEST VARS'!$F$68*(8*$DR$128)+'LINEST VARS'!$E$68*(8*0.5)+'LINEST VARS'!$D$68*(8*$CX144)+'LINEST VARS'!$C$68*($DR$128*0.5)+'LINEST VARS'!$B$68*($DR$128*$CX144)+'LINEST VARS'!$A$68*(0.5*$CX144)</f>
        <v>149</v>
      </c>
      <c r="DS144" s="47">
        <f>'LINEST VARS'!$U$68+'LINEST VARS'!$T$68*(8)+'LINEST VARS'!$S$68*(8)+'LINEST VARS'!$R$68*($DS$128)+'LINEST VARS'!$Q$68*(0.5)+'LINEST VARS'!$P$68*($CX144)+'LINEST VARS'!$O$68*(8^2)+'LINEST VARS'!$N$68*(8^2)+'LINEST VARS'!$M$68*($DS$128^2)+'LINEST VARS'!$L$68*(0.5^2)+'LINEST VARS'!$K$68*($CX144^2)+'LINEST VARS'!$J$68*(8*8)+'LINEST VARS'!$I$68*(8*$DS$128)+'LINEST VARS'!$H$68*(8*0.5)+'LINEST VARS'!$G$68*(8*$CX144)+'LINEST VARS'!$F$68*(8*$DS$128)+'LINEST VARS'!$E$68*(8*0.5)+'LINEST VARS'!$D$68*(8*$CX144)+'LINEST VARS'!$C$68*($DS$128*0.5)+'LINEST VARS'!$B$68*($DS$128*$CX144)+'LINEST VARS'!$A$68*(0.5*$CX144)</f>
        <v>149</v>
      </c>
      <c r="DV144" s="45">
        <v>19.4925</v>
      </c>
      <c r="DW144" s="46">
        <f>'LINEST VARS'!$U$70+'LINEST VARS'!$T$70*(8)+'LINEST VARS'!$S$70*(8)+'LINEST VARS'!$R$70*($DW$128)+'LINEST VARS'!$Q$70*(0.5)+'LINEST VARS'!$P$70*($DV144)+'LINEST VARS'!$O$70*(8^2)+'LINEST VARS'!$N$70*(8^2)+'LINEST VARS'!$M$70*($DW$128^2)+'LINEST VARS'!$L$70*(0.5^2)+'LINEST VARS'!$K$70*($DV144^2)+'LINEST VARS'!$J$70*(8*8)+'LINEST VARS'!$I$70*(8*$DW$128)+'LINEST VARS'!$H$70*(8*0.5)+'LINEST VARS'!$G$70*(8*$DV144)+'LINEST VARS'!$F$70*(8*$DW$128)+'LINEST VARS'!$E$70*(8*0.5)+'LINEST VARS'!$D$70*(8*$DV144)+'LINEST VARS'!$C$70*($DW$128*0.5)+'LINEST VARS'!$B$70*($DW$128*$DV144)+'LINEST VARS'!$A$70*(0.5*$DV144)</f>
        <v>92.000000000000014</v>
      </c>
      <c r="DX144" s="46">
        <f>'LINEST VARS'!$U$70+'LINEST VARS'!$T$70*(8)+'LINEST VARS'!$S$70*(8)+'LINEST VARS'!$R$70*($DX$128)+'LINEST VARS'!$Q$70*(0.5)+'LINEST VARS'!$P$70*($DV144)+'LINEST VARS'!$O$70*(8^2)+'LINEST VARS'!$N$70*(8^2)+'LINEST VARS'!$M$70*($DX$128^2)+'LINEST VARS'!$L$70*(0.5^2)+'LINEST VARS'!$K$70*($DV144^2)+'LINEST VARS'!$J$70*(8*8)+'LINEST VARS'!$I$70*(8*$DX$128)+'LINEST VARS'!$H$70*(8*0.5)+'LINEST VARS'!$G$70*(8*$DV144)+'LINEST VARS'!$F$70*(8*$DX$128)+'LINEST VARS'!$E$70*(8*0.5)+'LINEST VARS'!$D$70*(8*$DV144)+'LINEST VARS'!$C$70*($DX$128*0.5)+'LINEST VARS'!$B$70*($DX$128*$DV144)+'LINEST VARS'!$A$70*(0.5*$DV144)</f>
        <v>91.600000000000009</v>
      </c>
      <c r="DY144" s="46">
        <f>'LINEST VARS'!$U$70+'LINEST VARS'!$T$70*(8)+'LINEST VARS'!$S$70*(8)+'LINEST VARS'!$R$70*($DY$128)+'LINEST VARS'!$Q$70*(0.5)+'LINEST VARS'!$P$70*($DV144)+'LINEST VARS'!$O$70*(8^2)+'LINEST VARS'!$N$70*(8^2)+'LINEST VARS'!$M$70*($DY$128^2)+'LINEST VARS'!$L$70*(0.5^2)+'LINEST VARS'!$K$70*($DV144^2)+'LINEST VARS'!$J$70*(8*8)+'LINEST VARS'!$I$70*(8*$DY$128)+'LINEST VARS'!$H$70*(8*0.5)+'LINEST VARS'!$G$70*(8*$DV144)+'LINEST VARS'!$F$70*(8*$DY$128)+'LINEST VARS'!$E$70*(8*0.5)+'LINEST VARS'!$D$70*(8*$DV144)+'LINEST VARS'!$C$70*($DY$128*0.5)+'LINEST VARS'!$B$70*($DY$128*$DV144)+'LINEST VARS'!$A$70*(0.5*$DV144)</f>
        <v>91.200000000000017</v>
      </c>
      <c r="DZ144" s="46">
        <f>'LINEST VARS'!$U$70+'LINEST VARS'!$T$70*(8)+'LINEST VARS'!$S$70*(8)+'LINEST VARS'!$R$70*($DZ$128)+'LINEST VARS'!$Q$70*(0.5)+'LINEST VARS'!$P$70*($DV144)+'LINEST VARS'!$O$70*(8^2)+'LINEST VARS'!$N$70*(8^2)+'LINEST VARS'!$M$70*($DZ$128^2)+'LINEST VARS'!$L$70*(0.5^2)+'LINEST VARS'!$K$70*($DV144^2)+'LINEST VARS'!$J$70*(8*8)+'LINEST VARS'!$I$70*(8*$DZ$128)+'LINEST VARS'!$H$70*(8*0.5)+'LINEST VARS'!$G$70*(8*$DV144)+'LINEST VARS'!$F$70*(8*$DZ$128)+'LINEST VARS'!$E$70*(8*0.5)+'LINEST VARS'!$D$70*(8*$DV144)+'LINEST VARS'!$C$70*($DZ$128*0.5)+'LINEST VARS'!$B$70*($DZ$128*$DV144)+'LINEST VARS'!$A$70*(0.5*$DV144)</f>
        <v>90.800000000000011</v>
      </c>
      <c r="EA144" s="46">
        <f>'LINEST VARS'!$U$70+'LINEST VARS'!$T$70*(8)+'LINEST VARS'!$S$70*(8)+'LINEST VARS'!$R$70*($EA$128)+'LINEST VARS'!$Q$70*(0.5)+'LINEST VARS'!$P$70*($DV144)+'LINEST VARS'!$O$70*(8^2)+'LINEST VARS'!$N$70*(8^2)+'LINEST VARS'!$M$70*($EA$128^2)+'LINEST VARS'!$L$70*(0.5^2)+'LINEST VARS'!$K$70*($DV144^2)+'LINEST VARS'!$J$70*(8*8)+'LINEST VARS'!$I$70*(8*$EA$128)+'LINEST VARS'!$H$70*(8*0.5)+'LINEST VARS'!$G$70*(8*$DV144)+'LINEST VARS'!$F$70*(8*$EA$128)+'LINEST VARS'!$E$70*(8*0.5)+'LINEST VARS'!$D$70*(8*$DV144)+'LINEST VARS'!$C$70*($EA$128*0.5)+'LINEST VARS'!$B$70*($EA$128*$DV144)+'LINEST VARS'!$A$70*(0.5*$DV144)</f>
        <v>90.40000000000002</v>
      </c>
      <c r="EB144" s="46">
        <f>'LINEST VARS'!$U$70+'LINEST VARS'!$T$70*(8)+'LINEST VARS'!$S$70*(8)+'LINEST VARS'!$R$70*($EB$128)+'LINEST VARS'!$Q$70*(0.5)+'LINEST VARS'!$P$70*($DV144)+'LINEST VARS'!$O$70*(8^2)+'LINEST VARS'!$N$70*(8^2)+'LINEST VARS'!$M$70*($EB$128^2)+'LINEST VARS'!$L$70*(0.5^2)+'LINEST VARS'!$K$70*($DV144^2)+'LINEST VARS'!$J$70*(8*8)+'LINEST VARS'!$I$70*(8*$EB$128)+'LINEST VARS'!$H$70*(8*0.5)+'LINEST VARS'!$G$70*(8*$DV144)+'LINEST VARS'!$F$70*(8*$EB$128)+'LINEST VARS'!$E$70*(8*0.5)+'LINEST VARS'!$D$70*(8*$DV144)+'LINEST VARS'!$C$70*($EB$128*0.5)+'LINEST VARS'!$B$70*($EB$128*$DV144)+'LINEST VARS'!$A$70*(0.5*$DV144)</f>
        <v>90.000000000000014</v>
      </c>
      <c r="EC144" s="46">
        <f>'LINEST VARS'!$U$70+'LINEST VARS'!$T$70*(8)+'LINEST VARS'!$S$70*(8)+'LINEST VARS'!$R$70*($EC$128)+'LINEST VARS'!$Q$70*(0.5)+'LINEST VARS'!$P$70*($DV144)+'LINEST VARS'!$O$70*(8^2)+'LINEST VARS'!$N$70*(8^2)+'LINEST VARS'!$M$70*($EC$128^2)+'LINEST VARS'!$L$70*(0.5^2)+'LINEST VARS'!$K$70*($DV144^2)+'LINEST VARS'!$J$70*(8*8)+'LINEST VARS'!$I$70*(8*$EC$128)+'LINEST VARS'!$H$70*(8*0.5)+'LINEST VARS'!$G$70*(8*$DV144)+'LINEST VARS'!$F$70*(8*$EC$128)+'LINEST VARS'!$E$70*(8*0.5)+'LINEST VARS'!$D$70*(8*$DV144)+'LINEST VARS'!$C$70*($EC$128*0.5)+'LINEST VARS'!$B$70*($EC$128*$DV144)+'LINEST VARS'!$A$70*(0.5*$DV144)</f>
        <v>89.600000000000023</v>
      </c>
      <c r="ED144" s="46">
        <f>'LINEST VARS'!$U$70+'LINEST VARS'!$T$70*(8)+'LINEST VARS'!$S$70*(8)+'LINEST VARS'!$R$70*($ED$128)+'LINEST VARS'!$Q$70*(0.5)+'LINEST VARS'!$P$70*($DV144)+'LINEST VARS'!$O$70*(8^2)+'LINEST VARS'!$N$70*(8^2)+'LINEST VARS'!$M$70*($ED$128^2)+'LINEST VARS'!$L$70*(0.5^2)+'LINEST VARS'!$K$70*($DV144^2)+'LINEST VARS'!$J$70*(8*8)+'LINEST VARS'!$I$70*(8*$ED$128)+'LINEST VARS'!$H$70*(8*0.5)+'LINEST VARS'!$G$70*(8*$DV144)+'LINEST VARS'!$F$70*(8*$ED$128)+'LINEST VARS'!$E$70*(8*0.5)+'LINEST VARS'!$D$70*(8*$DV144)+'LINEST VARS'!$C$70*($ED$128*0.5)+'LINEST VARS'!$B$70*($ED$128*$DV144)+'LINEST VARS'!$A$70*(0.5*$DV144)</f>
        <v>89.200000000000017</v>
      </c>
      <c r="EE144" s="46">
        <f>'LINEST VARS'!$U$70+'LINEST VARS'!$T$70*(8)+'LINEST VARS'!$S$70*(8)+'LINEST VARS'!$R$70*($EE$128)+'LINEST VARS'!$Q$70*(0.5)+'LINEST VARS'!$P$70*($DV144)+'LINEST VARS'!$O$70*(8^2)+'LINEST VARS'!$N$70*(8^2)+'LINEST VARS'!$M$70*($EE$128^2)+'LINEST VARS'!$L$70*(0.5^2)+'LINEST VARS'!$K$70*($DV144^2)+'LINEST VARS'!$J$70*(8*8)+'LINEST VARS'!$I$70*(8*$EE$128)+'LINEST VARS'!$H$70*(8*0.5)+'LINEST VARS'!$G$70*(8*$DV144)+'LINEST VARS'!$F$70*(8*$EE$128)+'LINEST VARS'!$E$70*(8*0.5)+'LINEST VARS'!$D$70*(8*$DV144)+'LINEST VARS'!$C$70*($EE$128*0.5)+'LINEST VARS'!$B$70*($EE$128*$DV144)+'LINEST VARS'!$A$70*(0.5*$DV144)</f>
        <v>88.800000000000026</v>
      </c>
      <c r="EF144" s="46">
        <f>'LINEST VARS'!$U$70+'LINEST VARS'!$T$70*(8)+'LINEST VARS'!$S$70*(8)+'LINEST VARS'!$R$70*($EF$128)+'LINEST VARS'!$Q$70*(0.5)+'LINEST VARS'!$P$70*($DV144)+'LINEST VARS'!$O$70*(8^2)+'LINEST VARS'!$N$70*(8^2)+'LINEST VARS'!$M$70*($EF$128^2)+'LINEST VARS'!$L$70*(0.5^2)+'LINEST VARS'!$K$70*($DV144^2)+'LINEST VARS'!$J$70*(8*8)+'LINEST VARS'!$I$70*(8*$EF$128)+'LINEST VARS'!$H$70*(8*0.5)+'LINEST VARS'!$G$70*(8*$DV144)+'LINEST VARS'!$F$70*(8*$EF$128)+'LINEST VARS'!$E$70*(8*0.5)+'LINEST VARS'!$D$70*(8*$DV144)+'LINEST VARS'!$C$70*($EF$128*0.5)+'LINEST VARS'!$B$70*($EF$128*$DV144)+'LINEST VARS'!$A$70*(0.5*$DV144)</f>
        <v>88.40000000000002</v>
      </c>
      <c r="EG144" s="46">
        <f>'LINEST VARS'!$U$70+'LINEST VARS'!$T$70*(8)+'LINEST VARS'!$S$70*(8)+'LINEST VARS'!$R$70*($EG$128)+'LINEST VARS'!$Q$70*(0.5)+'LINEST VARS'!$P$70*($DV144)+'LINEST VARS'!$O$70*(8^2)+'LINEST VARS'!$N$70*(8^2)+'LINEST VARS'!$M$70*($EG$128^2)+'LINEST VARS'!$L$70*(0.5^2)+'LINEST VARS'!$K$70*($DV144^2)+'LINEST VARS'!$J$70*(8*8)+'LINEST VARS'!$I$70*(8*$EG$128)+'LINEST VARS'!$H$70*(8*0.5)+'LINEST VARS'!$G$70*(8*$DV144)+'LINEST VARS'!$F$70*(8*$EG$128)+'LINEST VARS'!$E$70*(8*0.5)+'LINEST VARS'!$D$70*(8*$DV144)+'LINEST VARS'!$C$70*($EG$128*0.5)+'LINEST VARS'!$B$70*($EG$128*$DV144)+'LINEST VARS'!$A$70*(0.5*$DV144)</f>
        <v>88.000000000000014</v>
      </c>
      <c r="EH144" s="46">
        <f>'LINEST VARS'!$U$70+'LINEST VARS'!$T$70*(8)+'LINEST VARS'!$S$70*(8)+'LINEST VARS'!$R$70*($EH$128)+'LINEST VARS'!$Q$70*(0.5)+'LINEST VARS'!$P$70*($DV144)+'LINEST VARS'!$O$70*(8^2)+'LINEST VARS'!$N$70*(8^2)+'LINEST VARS'!$M$70*($EH$128^2)+'LINEST VARS'!$L$70*(0.5^2)+'LINEST VARS'!$K$70*($DV144^2)+'LINEST VARS'!$J$70*(8*8)+'LINEST VARS'!$I$70*(8*$EH$128)+'LINEST VARS'!$H$70*(8*0.5)+'LINEST VARS'!$G$70*(8*$DV144)+'LINEST VARS'!$F$70*(8*$EH$128)+'LINEST VARS'!$E$70*(8*0.5)+'LINEST VARS'!$D$70*(8*$DV144)+'LINEST VARS'!$C$70*($EH$128*0.5)+'LINEST VARS'!$B$70*($EH$128*$DV144)+'LINEST VARS'!$A$70*(0.5*$DV144)</f>
        <v>87.600000000000023</v>
      </c>
      <c r="EI144" s="46">
        <f>'LINEST VARS'!$U$70+'LINEST VARS'!$T$70*(8)+'LINEST VARS'!$S$70*(8)+'LINEST VARS'!$R$70*($EI$128)+'LINEST VARS'!$Q$70*(0.5)+'LINEST VARS'!$P$70*($DV144)+'LINEST VARS'!$O$70*(8^2)+'LINEST VARS'!$N$70*(8^2)+'LINEST VARS'!$M$70*($EI$128^2)+'LINEST VARS'!$L$70*(0.5^2)+'LINEST VARS'!$K$70*($DV144^2)+'LINEST VARS'!$J$70*(8*8)+'LINEST VARS'!$I$70*(8*$EI$128)+'LINEST VARS'!$H$70*(8*0.5)+'LINEST VARS'!$G$70*(8*$DV144)+'LINEST VARS'!$F$70*(8*$EI$128)+'LINEST VARS'!$E$70*(8*0.5)+'LINEST VARS'!$D$70*(8*$DV144)+'LINEST VARS'!$C$70*($EI$128*0.5)+'LINEST VARS'!$B$70*($EI$128*$DV144)+'LINEST VARS'!$A$70*(0.5*$DV144)</f>
        <v>87.200000000000017</v>
      </c>
      <c r="EJ144" s="46">
        <f>'LINEST VARS'!$U$70+'LINEST VARS'!$T$70*(8)+'LINEST VARS'!$S$70*(8)+'LINEST VARS'!$R$70*($EJ$128)+'LINEST VARS'!$Q$70*(0.5)+'LINEST VARS'!$P$70*($DV144)+'LINEST VARS'!$O$70*(8^2)+'LINEST VARS'!$N$70*(8^2)+'LINEST VARS'!$M$70*($EJ$128^2)+'LINEST VARS'!$L$70*(0.5^2)+'LINEST VARS'!$K$70*($DV144^2)+'LINEST VARS'!$J$70*(8*8)+'LINEST VARS'!$I$70*(8*$EJ$128)+'LINEST VARS'!$H$70*(8*0.5)+'LINEST VARS'!$G$70*(8*$DV144)+'LINEST VARS'!$F$70*(8*$EJ$128)+'LINEST VARS'!$E$70*(8*0.5)+'LINEST VARS'!$D$70*(8*$DV144)+'LINEST VARS'!$C$70*($EJ$128*0.5)+'LINEST VARS'!$B$70*($EJ$128*$DV144)+'LINEST VARS'!$A$70*(0.5*$DV144)</f>
        <v>86.800000000000026</v>
      </c>
      <c r="EK144" s="46">
        <f>'LINEST VARS'!$U$70+'LINEST VARS'!$T$70*(8)+'LINEST VARS'!$S$70*(8)+'LINEST VARS'!$R$70*($EK$128)+'LINEST VARS'!$Q$70*(0.5)+'LINEST VARS'!$P$70*($DV144)+'LINEST VARS'!$O$70*(8^2)+'LINEST VARS'!$N$70*(8^2)+'LINEST VARS'!$M$70*($EK$128^2)+'LINEST VARS'!$L$70*(0.5^2)+'LINEST VARS'!$K$70*($DV144^2)+'LINEST VARS'!$J$70*(8*8)+'LINEST VARS'!$I$70*(8*$EK$128)+'LINEST VARS'!$H$70*(8*0.5)+'LINEST VARS'!$G$70*(8*$DV144)+'LINEST VARS'!$F$70*(8*$EK$128)+'LINEST VARS'!$E$70*(8*0.5)+'LINEST VARS'!$D$70*(8*$DV144)+'LINEST VARS'!$C$70*($EK$128*0.5)+'LINEST VARS'!$B$70*($EK$128*$DV144)+'LINEST VARS'!$A$70*(0.5*$DV144)</f>
        <v>86.40000000000002</v>
      </c>
      <c r="EL144" s="46">
        <f>'LINEST VARS'!$U$70+'LINEST VARS'!$T$70*(8)+'LINEST VARS'!$S$70*(8)+'LINEST VARS'!$R$70*($EL$128)+'LINEST VARS'!$Q$70*(0.5)+'LINEST VARS'!$P$70*($DV144)+'LINEST VARS'!$O$70*(8^2)+'LINEST VARS'!$N$70*(8^2)+'LINEST VARS'!$M$70*($EL$128^2)+'LINEST VARS'!$L$70*(0.5^2)+'LINEST VARS'!$K$70*($DV144^2)+'LINEST VARS'!$J$70*(8*8)+'LINEST VARS'!$I$70*(8*$EL$128)+'LINEST VARS'!$H$70*(8*0.5)+'LINEST VARS'!$G$70*(8*$DV144)+'LINEST VARS'!$F$70*(8*$EL$128)+'LINEST VARS'!$E$70*(8*0.5)+'LINEST VARS'!$D$70*(8*$DV144)+'LINEST VARS'!$C$70*($EL$128*0.5)+'LINEST VARS'!$B$70*($EL$128*$DV144)+'LINEST VARS'!$A$70*(0.5*$DV144)</f>
        <v>86.000000000000014</v>
      </c>
      <c r="EM144" s="46">
        <f>'LINEST VARS'!$U$70+'LINEST VARS'!$T$70*(8)+'LINEST VARS'!$S$70*(8)+'LINEST VARS'!$R$70*($EM$128)+'LINEST VARS'!$Q$70*(0.5)+'LINEST VARS'!$P$70*($DV144)+'LINEST VARS'!$O$70*(8^2)+'LINEST VARS'!$N$70*(8^2)+'LINEST VARS'!$M$70*($EM$128^2)+'LINEST VARS'!$L$70*(0.5^2)+'LINEST VARS'!$K$70*($DV144^2)+'LINEST VARS'!$J$70*(8*8)+'LINEST VARS'!$I$70*(8*$EM$128)+'LINEST VARS'!$H$70*(8*0.5)+'LINEST VARS'!$G$70*(8*$DV144)+'LINEST VARS'!$F$70*(8*$EM$128)+'LINEST VARS'!$E$70*(8*0.5)+'LINEST VARS'!$D$70*(8*$DV144)+'LINEST VARS'!$C$70*($EM$128*0.5)+'LINEST VARS'!$B$70*($EM$128*$DV144)+'LINEST VARS'!$A$70*(0.5*$DV144)</f>
        <v>85.600000000000009</v>
      </c>
      <c r="EN144" s="46">
        <f>'LINEST VARS'!$U$70+'LINEST VARS'!$T$70*(8)+'LINEST VARS'!$S$70*(8)+'LINEST VARS'!$R$70*($EN$128)+'LINEST VARS'!$Q$70*(0.5)+'LINEST VARS'!$P$70*($DV144)+'LINEST VARS'!$O$70*(8^2)+'LINEST VARS'!$N$70*(8^2)+'LINEST VARS'!$M$70*($EN$128^2)+'LINEST VARS'!$L$70*(0.5^2)+'LINEST VARS'!$K$70*($DV144^2)+'LINEST VARS'!$J$70*(8*8)+'LINEST VARS'!$I$70*(8*$EN$128)+'LINEST VARS'!$H$70*(8*0.5)+'LINEST VARS'!$G$70*(8*$DV144)+'LINEST VARS'!$F$70*(8*$EN$128)+'LINEST VARS'!$E$70*(8*0.5)+'LINEST VARS'!$D$70*(8*$DV144)+'LINEST VARS'!$C$70*($EN$128*0.5)+'LINEST VARS'!$B$70*($EN$128*$DV144)+'LINEST VARS'!$A$70*(0.5*$DV144)</f>
        <v>85.200000000000017</v>
      </c>
      <c r="EO144" s="46">
        <f>'LINEST VARS'!$U$70+'LINEST VARS'!$T$70*(8)+'LINEST VARS'!$S$70*(8)+'LINEST VARS'!$R$70*($EO$128)+'LINEST VARS'!$Q$70*(0.5)+'LINEST VARS'!$P$70*($DV144)+'LINEST VARS'!$O$70*(8^2)+'LINEST VARS'!$N$70*(8^2)+'LINEST VARS'!$M$70*($EO$128^2)+'LINEST VARS'!$L$70*(0.5^2)+'LINEST VARS'!$K$70*($DV144^2)+'LINEST VARS'!$J$70*(8*8)+'LINEST VARS'!$I$70*(8*$EO$128)+'LINEST VARS'!$H$70*(8*0.5)+'LINEST VARS'!$G$70*(8*$DV144)+'LINEST VARS'!$F$70*(8*$EO$128)+'LINEST VARS'!$E$70*(8*0.5)+'LINEST VARS'!$D$70*(8*$DV144)+'LINEST VARS'!$C$70*($EO$128*0.5)+'LINEST VARS'!$B$70*($EO$128*$DV144)+'LINEST VARS'!$A$70*(0.5*$DV144)</f>
        <v>84.800000000000011</v>
      </c>
      <c r="EP144" s="46">
        <f>'LINEST VARS'!$U$70+'LINEST VARS'!$T$70*(8)+'LINEST VARS'!$S$70*(8)+'LINEST VARS'!$R$70*($EP$128)+'LINEST VARS'!$Q$70*(0.5)+'LINEST VARS'!$P$70*($DV144)+'LINEST VARS'!$O$70*(8^2)+'LINEST VARS'!$N$70*(8^2)+'LINEST VARS'!$M$70*($EP$128^2)+'LINEST VARS'!$L$70*(0.5^2)+'LINEST VARS'!$K$70*($DV144^2)+'LINEST VARS'!$J$70*(8*8)+'LINEST VARS'!$I$70*(8*$EP$128)+'LINEST VARS'!$H$70*(8*0.5)+'LINEST VARS'!$G$70*(8*$DV144)+'LINEST VARS'!$F$70*(8*$EP$128)+'LINEST VARS'!$E$70*(8*0.5)+'LINEST VARS'!$D$70*(8*$DV144)+'LINEST VARS'!$C$70*($EP$128*0.5)+'LINEST VARS'!$B$70*($EP$128*$DV144)+'LINEST VARS'!$A$70*(0.5*$DV144)</f>
        <v>84.400000000000034</v>
      </c>
      <c r="EQ144" s="47">
        <f>'LINEST VARS'!$U$70+'LINEST VARS'!$T$70*(8)+'LINEST VARS'!$S$70*(8)+'LINEST VARS'!$R$70*($EQ$128)+'LINEST VARS'!$Q$70*(0.5)+'LINEST VARS'!$P$70*($DV144)+'LINEST VARS'!$O$70*(8^2)+'LINEST VARS'!$N$70*(8^2)+'LINEST VARS'!$M$70*($EQ$128^2)+'LINEST VARS'!$L$70*(0.5^2)+'LINEST VARS'!$K$70*($DV144^2)+'LINEST VARS'!$J$70*(8*8)+'LINEST VARS'!$I$70*(8*$EQ$128)+'LINEST VARS'!$H$70*(8*0.5)+'LINEST VARS'!$G$70*(8*$DV144)+'LINEST VARS'!$F$70*(8*$EQ$128)+'LINEST VARS'!$E$70*(8*0.5)+'LINEST VARS'!$D$70*(8*$DV144)+'LINEST VARS'!$C$70*($EQ$128*0.5)+'LINEST VARS'!$B$70*($EQ$128*$DV144)+'LINEST VARS'!$A$70*(0.5*$DV144)</f>
        <v>84.000000000000028</v>
      </c>
    </row>
    <row r="145" spans="2:147" ht="15" customHeight="1" x14ac:dyDescent="0.25">
      <c r="B145" s="45">
        <v>8.36</v>
      </c>
      <c r="C145" s="46">
        <f>'LINEST VARS'!$U$68+'LINEST VARS'!$T$68*($C$128)+'LINEST VARS'!$S$68*($B145)+'LINEST VARS'!$R$68*(4)+'LINEST VARS'!$Q$68*(0.5)+'LINEST VARS'!$P$68*(12.73)+'LINEST VARS'!$O$68*($C$128^2)+'LINEST VARS'!$N$68*($B145^2)+'LINEST VARS'!$M$68*(4^2)+'LINEST VARS'!$L$68*(0.5^2)+'LINEST VARS'!$K$68*(12.73^2)+'LINEST VARS'!$J$68*($C$128*$B145)+'LINEST VARS'!$I$68*($C$128*4)+'LINEST VARS'!$H$68*($C$128*0.5)+'LINEST VARS'!$G$68*($C$128*12.73)+'LINEST VARS'!$F$68*($B145*4)+'LINEST VARS'!$E$68*($B145*0.5)+'LINEST VARS'!$D$68*($B145*12.73)+'LINEST VARS'!$C$68*(4*0.5)+'LINEST VARS'!$B$68*(4*12.73)+'LINEST VARS'!$A$68*(0.5*12.73)</f>
        <v>149</v>
      </c>
      <c r="D145" s="46">
        <f>'LINEST VARS'!$U$68+'LINEST VARS'!$T$68*($D$128)+'LINEST VARS'!$S$68*($B145)+'LINEST VARS'!$R$68*(4)+'LINEST VARS'!$Q$68*(0.5)+'LINEST VARS'!$P$68*(12.73)+'LINEST VARS'!$O$68*($D$128^2)+'LINEST VARS'!$N$68*($B145^2)+'LINEST VARS'!$M$68*(4^2)+'LINEST VARS'!$L$68*(0.5^2)+'LINEST VARS'!$K$68*(12.73^2)+'LINEST VARS'!$J$68*($D$128*$B145)+'LINEST VARS'!$I$68*($D$128*4)+'LINEST VARS'!$H$68*($D$128*0.5)+'LINEST VARS'!$G$68*($D$128*12.73)+'LINEST VARS'!$F$68*($B145*4)+'LINEST VARS'!$E$68*($B145*0.5)+'LINEST VARS'!$D$68*($B145*12.73)+'LINEST VARS'!$C$68*(4*0.5)+'LINEST VARS'!$B$68*(4*12.73)+'LINEST VARS'!$A$68*(0.5*12.73)</f>
        <v>149</v>
      </c>
      <c r="E145" s="46">
        <f>'LINEST VARS'!$U$68+'LINEST VARS'!$T$68*($E$128)+'LINEST VARS'!$S$68*($B145)+'LINEST VARS'!$R$68*(4)+'LINEST VARS'!$Q$68*(0.5)+'LINEST VARS'!$P$68*(12.73)+'LINEST VARS'!$O$68*($E$128^2)+'LINEST VARS'!$N$68*($B145^2)+'LINEST VARS'!$M$68*(4^2)+'LINEST VARS'!$L$68*(0.5^2)+'LINEST VARS'!$K$68*(12.73^2)+'LINEST VARS'!$J$68*($E$128*$B145)+'LINEST VARS'!$I$68*($E$128*4)+'LINEST VARS'!$H$68*($E$128*0.5)+'LINEST VARS'!$G$68*($E$128*12.73)+'LINEST VARS'!$F$68*($B145*4)+'LINEST VARS'!$E$68*($B145*0.5)+'LINEST VARS'!$D$68*($B145*12.73)+'LINEST VARS'!$C$68*(4*0.5)+'LINEST VARS'!$B$68*(4*12.73)+'LINEST VARS'!$A$68*(0.5*12.73)</f>
        <v>149</v>
      </c>
      <c r="F145" s="46">
        <f>'LINEST VARS'!$U$68+'LINEST VARS'!$T$68*($F$128)+'LINEST VARS'!$S$68*($B145)+'LINEST VARS'!$R$68*(4)+'LINEST VARS'!$Q$68*(0.5)+'LINEST VARS'!$P$68*(12.73)+'LINEST VARS'!$O$68*($F$128^2)+'LINEST VARS'!$N$68*($B145^2)+'LINEST VARS'!$M$68*(4^2)+'LINEST VARS'!$L$68*(0.5^2)+'LINEST VARS'!$K$68*(12.73^2)+'LINEST VARS'!$J$68*($F$128*$B145)+'LINEST VARS'!$I$68*($F$128*4)+'LINEST VARS'!$H$68*($F$128*0.5)+'LINEST VARS'!$G$68*($F$128*12.73)+'LINEST VARS'!$F$68*($B145*4)+'LINEST VARS'!$E$68*($B145*0.5)+'LINEST VARS'!$D$68*($B145*12.73)+'LINEST VARS'!$C$68*(4*0.5)+'LINEST VARS'!$B$68*(4*12.73)+'LINEST VARS'!$A$68*(0.5*12.73)</f>
        <v>149</v>
      </c>
      <c r="G145" s="46">
        <f>'LINEST VARS'!$U$68+'LINEST VARS'!$T$68*($G$128)+'LINEST VARS'!$S$68*($B145)+'LINEST VARS'!$R$68*(4)+'LINEST VARS'!$Q$68*(0.5)+'LINEST VARS'!$P$68*(12.73)+'LINEST VARS'!$O$68*($G$128^2)+'LINEST VARS'!$N$68*($B145^2)+'LINEST VARS'!$M$68*(4^2)+'LINEST VARS'!$L$68*(0.5^2)+'LINEST VARS'!$K$68*(12.73^2)+'LINEST VARS'!$J$68*($G$128*$B145)+'LINEST VARS'!$I$68*($G$128*4)+'LINEST VARS'!$H$68*($G$128*0.5)+'LINEST VARS'!$G$68*($G$128*12.73)+'LINEST VARS'!$F$68*($B145*4)+'LINEST VARS'!$E$68*($B145*0.5)+'LINEST VARS'!$D$68*($B145*12.73)+'LINEST VARS'!$C$68*(4*0.5)+'LINEST VARS'!$B$68*(4*12.73)+'LINEST VARS'!$A$68*(0.5*12.73)</f>
        <v>149</v>
      </c>
      <c r="H145" s="46">
        <f>'LINEST VARS'!$U$68+'LINEST VARS'!$T$68*($H$128)+'LINEST VARS'!$S$68*($B145)+'LINEST VARS'!$R$68*(4)+'LINEST VARS'!$Q$68*(0.5)+'LINEST VARS'!$P$68*(12.73)+'LINEST VARS'!$O$68*($H$128^2)+'LINEST VARS'!$N$68*($B145^2)+'LINEST VARS'!$M$68*(4^2)+'LINEST VARS'!$L$68*(0.5^2)+'LINEST VARS'!$K$68*(12.73^2)+'LINEST VARS'!$J$68*($H$128*$B145)+'LINEST VARS'!$I$68*($H$128*4)+'LINEST VARS'!$H$68*($H$128*0.5)+'LINEST VARS'!$G$68*($H$128*12.73)+'LINEST VARS'!$F$68*($B145*4)+'LINEST VARS'!$E$68*($B145*0.5)+'LINEST VARS'!$D$68*($B145*12.73)+'LINEST VARS'!$C$68*(4*0.5)+'LINEST VARS'!$B$68*(4*12.73)+'LINEST VARS'!$A$68*(0.5*12.73)</f>
        <v>149</v>
      </c>
      <c r="I145" s="46">
        <f>'LINEST VARS'!$U$68+'LINEST VARS'!$T$68*($I$128)+'LINEST VARS'!$S$68*($B145)+'LINEST VARS'!$R$68*(4)+'LINEST VARS'!$Q$68*(0.5)+'LINEST VARS'!$P$68*(12.73)+'LINEST VARS'!$O$68*($I$128^2)+'LINEST VARS'!$N$68*($B145^2)+'LINEST VARS'!$M$68*(4^2)+'LINEST VARS'!$L$68*(0.5^2)+'LINEST VARS'!$K$68*(12.73^2)+'LINEST VARS'!$J$68*($I$128*$B145)+'LINEST VARS'!$I$68*($I$128*4)+'LINEST VARS'!$H$68*($I$128*0.5)+'LINEST VARS'!$G$68*($I$128*12.73)+'LINEST VARS'!$F$68*($B145*4)+'LINEST VARS'!$E$68*($B145*0.5)+'LINEST VARS'!$D$68*($B145*12.73)+'LINEST VARS'!$C$68*(4*0.5)+'LINEST VARS'!$B$68*(4*12.73)+'LINEST VARS'!$A$68*(0.5*12.73)</f>
        <v>149</v>
      </c>
      <c r="J145" s="46">
        <f>'LINEST VARS'!$U$68+'LINEST VARS'!$T$68*($J$128)+'LINEST VARS'!$S$68*($B145)+'LINEST VARS'!$R$68*(4)+'LINEST VARS'!$Q$68*(0.5)+'LINEST VARS'!$P$68*(12.73)+'LINEST VARS'!$O$68*($J$128^2)+'LINEST VARS'!$N$68*($B145^2)+'LINEST VARS'!$M$68*(4^2)+'LINEST VARS'!$L$68*(0.5^2)+'LINEST VARS'!$K$68*(12.73^2)+'LINEST VARS'!$J$68*($J$128*$B145)+'LINEST VARS'!$I$68*($J$128*4)+'LINEST VARS'!$H$68*($J$128*0.5)+'LINEST VARS'!$G$68*($J$128*12.73)+'LINEST VARS'!$F$68*($B145*4)+'LINEST VARS'!$E$68*($B145*0.5)+'LINEST VARS'!$D$68*($B145*12.73)+'LINEST VARS'!$C$68*(4*0.5)+'LINEST VARS'!$B$68*(4*12.73)+'LINEST VARS'!$A$68*(0.5*12.73)</f>
        <v>149</v>
      </c>
      <c r="K145" s="46">
        <f>'LINEST VARS'!$U$68+'LINEST VARS'!$T$68*($K$128)+'LINEST VARS'!$S$68*($B145)+'LINEST VARS'!$R$68*(4)+'LINEST VARS'!$Q$68*(0.5)+'LINEST VARS'!$P$68*(12.73)+'LINEST VARS'!$O$68*($K$128^2)+'LINEST VARS'!$N$68*($B145^2)+'LINEST VARS'!$M$68*(4^2)+'LINEST VARS'!$L$68*(0.5^2)+'LINEST VARS'!$K$68*(12.73^2)+'LINEST VARS'!$J$68*($K$128*$B145)+'LINEST VARS'!$I$68*($K$128*4)+'LINEST VARS'!$H$68*($K$128*0.5)+'LINEST VARS'!$G$68*($K$128*12.73)+'LINEST VARS'!$F$68*($B145*4)+'LINEST VARS'!$E$68*($B145*0.5)+'LINEST VARS'!$D$68*($B145*12.73)+'LINEST VARS'!$C$68*(4*0.5)+'LINEST VARS'!$B$68*(4*12.73)+'LINEST VARS'!$A$68*(0.5*12.73)</f>
        <v>149</v>
      </c>
      <c r="L145" s="46">
        <f>'LINEST VARS'!$U$68+'LINEST VARS'!$T$68*($L$128)+'LINEST VARS'!$S$68*($B145)+'LINEST VARS'!$R$68*(4)+'LINEST VARS'!$Q$68*(0.5)+'LINEST VARS'!$P$68*(12.73)+'LINEST VARS'!$O$68*($L$128^2)+'LINEST VARS'!$N$68*($B145^2)+'LINEST VARS'!$M$68*(4^2)+'LINEST VARS'!$L$68*(0.5^2)+'LINEST VARS'!$K$68*(12.73^2)+'LINEST VARS'!$J$68*($L$128*$B145)+'LINEST VARS'!$I$68*($L$128*4)+'LINEST VARS'!$H$68*($L$128*0.5)+'LINEST VARS'!$G$68*($L$128*12.73)+'LINEST VARS'!$F$68*($B145*4)+'LINEST VARS'!$E$68*($B145*0.5)+'LINEST VARS'!$D$68*($B145*12.73)+'LINEST VARS'!$C$68*(4*0.5)+'LINEST VARS'!$B$68*(4*12.73)+'LINEST VARS'!$A$68*(0.5*12.73)</f>
        <v>149</v>
      </c>
      <c r="M145" s="46">
        <f>'LINEST VARS'!$U$68+'LINEST VARS'!$T$68*($M$128)+'LINEST VARS'!$S$68*($B145)+'LINEST VARS'!$R$68*(4)+'LINEST VARS'!$Q$68*(0.5)+'LINEST VARS'!$P$68*(12.73)+'LINEST VARS'!$O$68*($M$128^2)+'LINEST VARS'!$N$68*($B145^2)+'LINEST VARS'!$M$68*(4^2)+'LINEST VARS'!$L$68*(0.5^2)+'LINEST VARS'!$K$68*(12.73^2)+'LINEST VARS'!$J$68*($M$128*$B145)+'LINEST VARS'!$I$68*($M$128*4)+'LINEST VARS'!$H$68*($M$128*0.5)+'LINEST VARS'!$G$68*($M$128*12.73)+'LINEST VARS'!$F$68*($B145*4)+'LINEST VARS'!$E$68*($B145*0.5)+'LINEST VARS'!$D$68*($B145*12.73)+'LINEST VARS'!$C$68*(4*0.5)+'LINEST VARS'!$B$68*(4*12.73)+'LINEST VARS'!$A$68*(0.5*12.73)</f>
        <v>149</v>
      </c>
      <c r="N145" s="46">
        <f>'LINEST VARS'!$U$68+'LINEST VARS'!$T$68*($N$128)+'LINEST VARS'!$S$68*($B145)+'LINEST VARS'!$R$68*(4)+'LINEST VARS'!$Q$68*(0.5)+'LINEST VARS'!$P$68*(12.73)+'LINEST VARS'!$O$68*($N$128^2)+'LINEST VARS'!$N$68*($B145^2)+'LINEST VARS'!$M$68*(4^2)+'LINEST VARS'!$L$68*(0.5^2)+'LINEST VARS'!$K$68*(12.73^2)+'LINEST VARS'!$J$68*($N$128*$B145)+'LINEST VARS'!$I$68*($N$128*4)+'LINEST VARS'!$H$68*($N$128*0.5)+'LINEST VARS'!$G$68*($N$128*12.73)+'LINEST VARS'!$F$68*($B145*4)+'LINEST VARS'!$E$68*($B145*0.5)+'LINEST VARS'!$D$68*($B145*12.73)+'LINEST VARS'!$C$68*(4*0.5)+'LINEST VARS'!$B$68*(4*12.73)+'LINEST VARS'!$A$68*(0.5*12.73)</f>
        <v>149</v>
      </c>
      <c r="O145" s="46">
        <f>'LINEST VARS'!$U$68+'LINEST VARS'!$T$68*($O$128)+'LINEST VARS'!$S$68*($B145)+'LINEST VARS'!$R$68*(4)+'LINEST VARS'!$Q$68*(0.5)+'LINEST VARS'!$P$68*(12.73)+'LINEST VARS'!$O$68*($O$128^2)+'LINEST VARS'!$N$68*($B145^2)+'LINEST VARS'!$M$68*(4^2)+'LINEST VARS'!$L$68*(0.5^2)+'LINEST VARS'!$K$68*(12.73^2)+'LINEST VARS'!$J$68*($O$128*$B145)+'LINEST VARS'!$I$68*($O$128*4)+'LINEST VARS'!$H$68*($O$128*0.5)+'LINEST VARS'!$G$68*($O$128*12.73)+'LINEST VARS'!$F$68*($B145*4)+'LINEST VARS'!$E$68*($B145*0.5)+'LINEST VARS'!$D$68*($B145*12.73)+'LINEST VARS'!$C$68*(4*0.5)+'LINEST VARS'!$B$68*(4*12.73)+'LINEST VARS'!$A$68*(0.5*12.73)</f>
        <v>149</v>
      </c>
      <c r="P145" s="46">
        <f>'LINEST VARS'!$U$68+'LINEST VARS'!$T$68*($P$128)+'LINEST VARS'!$S$68*($B145)+'LINEST VARS'!$R$68*(4)+'LINEST VARS'!$Q$68*(0.5)+'LINEST VARS'!$P$68*(12.73)+'LINEST VARS'!$O$68*($P$128^2)+'LINEST VARS'!$N$68*($B145^2)+'LINEST VARS'!$M$68*(4^2)+'LINEST VARS'!$L$68*(0.5^2)+'LINEST VARS'!$K$68*(12.73^2)+'LINEST VARS'!$J$68*($P$128*$B145)+'LINEST VARS'!$I$68*($P$128*4)+'LINEST VARS'!$H$68*($P$128*0.5)+'LINEST VARS'!$G$68*($P$128*12.73)+'LINEST VARS'!$F$68*($B145*4)+'LINEST VARS'!$E$68*($B145*0.5)+'LINEST VARS'!$D$68*($B145*12.73)+'LINEST VARS'!$C$68*(4*0.5)+'LINEST VARS'!$B$68*(4*12.73)+'LINEST VARS'!$A$68*(0.5*12.73)</f>
        <v>149</v>
      </c>
      <c r="Q145" s="46">
        <f>'LINEST VARS'!$U$68+'LINEST VARS'!$T$68*($Q$128)+'LINEST VARS'!$S$68*($B145)+'LINEST VARS'!$R$68*(4)+'LINEST VARS'!$Q$68*(0.5)+'LINEST VARS'!$P$68*(12.73)+'LINEST VARS'!$O$68*($Q$128^2)+'LINEST VARS'!$N$68*($B145^2)+'LINEST VARS'!$M$68*(4^2)+'LINEST VARS'!$L$68*(0.5^2)+'LINEST VARS'!$K$68*(12.73^2)+'LINEST VARS'!$J$68*($Q$128*$B145)+'LINEST VARS'!$I$68*($Q$128*4)+'LINEST VARS'!$H$68*($Q$128*0.5)+'LINEST VARS'!$G$68*($Q$128*12.73)+'LINEST VARS'!$F$68*($B145*4)+'LINEST VARS'!$E$68*($B145*0.5)+'LINEST VARS'!$D$68*($B145*12.73)+'LINEST VARS'!$C$68*(4*0.5)+'LINEST VARS'!$B$68*(4*12.73)+'LINEST VARS'!$A$68*(0.5*12.73)</f>
        <v>149</v>
      </c>
      <c r="R145" s="46">
        <f>'LINEST VARS'!$U$68+'LINEST VARS'!$T$68*($R$128)+'LINEST VARS'!$S$68*($B145)+'LINEST VARS'!$R$68*(4)+'LINEST VARS'!$Q$68*(0.5)+'LINEST VARS'!$P$68*(12.73)+'LINEST VARS'!$O$68*($R$128^2)+'LINEST VARS'!$N$68*($B145^2)+'LINEST VARS'!$M$68*(4^2)+'LINEST VARS'!$L$68*(0.5^2)+'LINEST VARS'!$K$68*(12.73^2)+'LINEST VARS'!$J$68*($R$128*$B145)+'LINEST VARS'!$I$68*($R$128*4)+'LINEST VARS'!$H$68*($R$128*0.5)+'LINEST VARS'!$G$68*($R$128*12.73)+'LINEST VARS'!$F$68*($B145*4)+'LINEST VARS'!$E$68*($B145*0.5)+'LINEST VARS'!$D$68*($B145*12.73)+'LINEST VARS'!$C$68*(4*0.5)+'LINEST VARS'!$B$68*(4*12.73)+'LINEST VARS'!$A$68*(0.5*12.73)</f>
        <v>149</v>
      </c>
      <c r="S145" s="46">
        <f>'LINEST VARS'!$U$68+'LINEST VARS'!$T$68*($S$128)+'LINEST VARS'!$S$68*($B145)+'LINEST VARS'!$R$68*(4)+'LINEST VARS'!$Q$68*(0.5)+'LINEST VARS'!$P$68*(12.73)+'LINEST VARS'!$O$68*($S$128^2)+'LINEST VARS'!$N$68*($B145^2)+'LINEST VARS'!$M$68*(4^2)+'LINEST VARS'!$L$68*(0.5^2)+'LINEST VARS'!$K$68*(12.73^2)+'LINEST VARS'!$J$68*($S$128*$B145)+'LINEST VARS'!$I$68*($S$128*4)+'LINEST VARS'!$H$68*($S$128*0.5)+'LINEST VARS'!$G$68*($S$128*12.73)+'LINEST VARS'!$F$68*($B145*4)+'LINEST VARS'!$E$68*($B145*0.5)+'LINEST VARS'!$D$68*($B145*12.73)+'LINEST VARS'!$C$68*(4*0.5)+'LINEST VARS'!$B$68*(4*12.73)+'LINEST VARS'!$A$68*(0.5*12.73)</f>
        <v>149</v>
      </c>
      <c r="T145" s="46">
        <f>'LINEST VARS'!$U$68+'LINEST VARS'!$T$68*($T$128)+'LINEST VARS'!$S$68*($B145)+'LINEST VARS'!$R$68*(4)+'LINEST VARS'!$Q$68*(0.5)+'LINEST VARS'!$P$68*(12.73)+'LINEST VARS'!$O$68*($T$128^2)+'LINEST VARS'!$N$68*($B145^2)+'LINEST VARS'!$M$68*(4^2)+'LINEST VARS'!$L$68*(0.5^2)+'LINEST VARS'!$K$68*(12.73^2)+'LINEST VARS'!$J$68*($T$128*$B145)+'LINEST VARS'!$I$68*($T$128*4)+'LINEST VARS'!$H$68*($T$128*0.5)+'LINEST VARS'!$G$68*($T$128*12.73)+'LINEST VARS'!$F$68*($B145*4)+'LINEST VARS'!$E$68*($B145*0.5)+'LINEST VARS'!$D$68*($B145*12.73)+'LINEST VARS'!$C$68*(4*0.5)+'LINEST VARS'!$B$68*(4*12.73)+'LINEST VARS'!$A$68*(0.5*12.73)</f>
        <v>149</v>
      </c>
      <c r="U145" s="46">
        <f>'LINEST VARS'!$U$68+'LINEST VARS'!$T$68*($U$128)+'LINEST VARS'!$S$68*($B145)+'LINEST VARS'!$R$68*(4)+'LINEST VARS'!$Q$68*(0.5)+'LINEST VARS'!$P$68*(12.73)+'LINEST VARS'!$O$68*($U$128^2)+'LINEST VARS'!$N$68*($B145^2)+'LINEST VARS'!$M$68*(4^2)+'LINEST VARS'!$L$68*(0.5^2)+'LINEST VARS'!$K$68*(12.73^2)+'LINEST VARS'!$J$68*($U$128*$B145)+'LINEST VARS'!$I$68*($U$128*4)+'LINEST VARS'!$H$68*($U$128*0.5)+'LINEST VARS'!$G$68*($U$128*12.73)+'LINEST VARS'!$F$68*($B145*4)+'LINEST VARS'!$E$68*($B145*0.5)+'LINEST VARS'!$D$68*($B145*12.73)+'LINEST VARS'!$C$68*(4*0.5)+'LINEST VARS'!$B$68*(4*12.73)+'LINEST VARS'!$A$68*(0.5*12.73)</f>
        <v>149</v>
      </c>
      <c r="V145" s="46">
        <f>'LINEST VARS'!$U$68+'LINEST VARS'!$T$68*($V$128)+'LINEST VARS'!$S$68*($B145)+'LINEST VARS'!$R$68*(4)+'LINEST VARS'!$Q$68*(0.5)+'LINEST VARS'!$P$68*(12.73)+'LINEST VARS'!$O$68*($V$128^2)+'LINEST VARS'!$N$68*($B145^2)+'LINEST VARS'!$M$68*(4^2)+'LINEST VARS'!$L$68*(0.5^2)+'LINEST VARS'!$K$68*(12.73^2)+'LINEST VARS'!$J$68*($V$128*$B145)+'LINEST VARS'!$I$68*($V$128*4)+'LINEST VARS'!$H$68*($V$128*0.5)+'LINEST VARS'!$G$68*($V$128*12.73)+'LINEST VARS'!$F$68*($B145*4)+'LINEST VARS'!$E$68*($B145*0.5)+'LINEST VARS'!$D$68*($B145*12.73)+'LINEST VARS'!$C$68*(4*0.5)+'LINEST VARS'!$B$68*(4*12.73)+'LINEST VARS'!$A$68*(0.5*12.73)</f>
        <v>149</v>
      </c>
      <c r="W145" s="47">
        <f>'LINEST VARS'!$U$68+'LINEST VARS'!$T$68*($W$128)+'LINEST VARS'!$S$68*($B145)+'LINEST VARS'!$R$68*(4)+'LINEST VARS'!$Q$68*(0.5)+'LINEST VARS'!$P$68*(12.73)+'LINEST VARS'!$O$68*($W$128^2)+'LINEST VARS'!$N$68*($B145^2)+'LINEST VARS'!$M$68*(4^2)+'LINEST VARS'!$L$68*(0.5^2)+'LINEST VARS'!$K$68*(12.73^2)+'LINEST VARS'!$J$68*($W$128*$B145)+'LINEST VARS'!$I$68*($W$128*4)+'LINEST VARS'!$H$68*($W$128*0.5)+'LINEST VARS'!$G$68*($W$128*12.73)+'LINEST VARS'!$F$68*($B145*4)+'LINEST VARS'!$E$68*($B145*0.5)+'LINEST VARS'!$D$68*($B145*12.73)+'LINEST VARS'!$C$68*(4*0.5)+'LINEST VARS'!$B$68*(4*12.73)+'LINEST VARS'!$A$68*(0.5*12.73)</f>
        <v>149</v>
      </c>
      <c r="Z145" s="45">
        <v>8.36</v>
      </c>
      <c r="AA145" s="46">
        <f>'LINEST VARS'!$U$70+'LINEST VARS'!$T$70*($AA$128)+'LINEST VARS'!$S$70*($Z145)+'LINEST VARS'!$R$70*(4)+'LINEST VARS'!$Q$70*(0.5)+'LINEST VARS'!$P$70*(12.73)+'LINEST VARS'!$O$70*($AA$128^2)+'LINEST VARS'!$N$70*($Z145^2)+'LINEST VARS'!$M$70*(4^2)+'LINEST VARS'!$L$70*(0.5^2)+'LINEST VARS'!$K$70*(12.73^2)+'LINEST VARS'!$J$70*($AA$128*$Z145)+'LINEST VARS'!$I$70*($AA$128*4)+'LINEST VARS'!$H$70*($AA$128*0.5)+'LINEST VARS'!$G$70*($AA$128*12.73)+'LINEST VARS'!$F$70*($Z145*4)+'LINEST VARS'!$E$70*($Z145*0.5)+'LINEST VARS'!$D$70*($Z145*12.73)+'LINEST VARS'!$C$70*(4*0.5)+'LINEST VARS'!$B$70*(4*12.73)+'LINEST VARS'!$A$70*(0.5*12.73)</f>
        <v>88.540000000000035</v>
      </c>
      <c r="AB145" s="46">
        <f>'LINEST VARS'!$U$70+'LINEST VARS'!$T$70*($AB$128)+'LINEST VARS'!$S$70*($Z145)+'LINEST VARS'!$R$70*(4)+'LINEST VARS'!$Q$70*(0.5)+'LINEST VARS'!$P$70*(12.73)+'LINEST VARS'!$O$70*($AB$128^2)+'LINEST VARS'!$N$70*($Z145^2)+'LINEST VARS'!$M$70*(4^2)+'LINEST VARS'!$L$70*(0.5^2)+'LINEST VARS'!$K$70*(12.73^2)+'LINEST VARS'!$J$70*($AB$128*$Z145)+'LINEST VARS'!$I$70*($AB$128*4)+'LINEST VARS'!$H$70*($AB$128*0.5)+'LINEST VARS'!$G$70*($AB$128*12.73)+'LINEST VARS'!$F$70*($Z145*4)+'LINEST VARS'!$E$70*($Z145*0.5)+'LINEST VARS'!$D$70*($Z145*12.73)+'LINEST VARS'!$C$70*(4*0.5)+'LINEST VARS'!$B$70*(4*12.73)+'LINEST VARS'!$A$70*(0.5*12.73)</f>
        <v>88.540000000000035</v>
      </c>
      <c r="AC145" s="46">
        <f>'LINEST VARS'!$U$70+'LINEST VARS'!$T$70*($AC$128)+'LINEST VARS'!$S$70*($Z145)+'LINEST VARS'!$R$70*(4)+'LINEST VARS'!$Q$70*(0.5)+'LINEST VARS'!$P$70*(12.73)+'LINEST VARS'!$O$70*($AC$128^2)+'LINEST VARS'!$N$70*($Z145^2)+'LINEST VARS'!$M$70*(4^2)+'LINEST VARS'!$L$70*(0.5^2)+'LINEST VARS'!$K$70*(12.73^2)+'LINEST VARS'!$J$70*($AC$128*$Z145)+'LINEST VARS'!$I$70*($AC$128*4)+'LINEST VARS'!$H$70*($AC$128*0.5)+'LINEST VARS'!$G$70*($AC$128*12.73)+'LINEST VARS'!$F$70*($Z145*4)+'LINEST VARS'!$E$70*($Z145*0.5)+'LINEST VARS'!$D$70*($Z145*12.73)+'LINEST VARS'!$C$70*(4*0.5)+'LINEST VARS'!$B$70*(4*12.73)+'LINEST VARS'!$A$70*(0.5*12.73)</f>
        <v>88.540000000000035</v>
      </c>
      <c r="AD145" s="46">
        <f>'LINEST VARS'!$U$70+'LINEST VARS'!$T$70*($AD$128)+'LINEST VARS'!$S$70*($Z145)+'LINEST VARS'!$R$70*(4)+'LINEST VARS'!$Q$70*(0.5)+'LINEST VARS'!$P$70*(12.73)+'LINEST VARS'!$O$70*($AD$128^2)+'LINEST VARS'!$N$70*($Z145^2)+'LINEST VARS'!$M$70*(4^2)+'LINEST VARS'!$L$70*(0.5^2)+'LINEST VARS'!$K$70*(12.73^2)+'LINEST VARS'!$J$70*($AD$128*$Z145)+'LINEST VARS'!$I$70*($AD$128*4)+'LINEST VARS'!$H$70*($AD$128*0.5)+'LINEST VARS'!$G$70*($AD$128*12.73)+'LINEST VARS'!$F$70*($Z145*4)+'LINEST VARS'!$E$70*($Z145*0.5)+'LINEST VARS'!$D$70*($Z145*12.73)+'LINEST VARS'!$C$70*(4*0.5)+'LINEST VARS'!$B$70*(4*12.73)+'LINEST VARS'!$A$70*(0.5*12.73)</f>
        <v>88.540000000000035</v>
      </c>
      <c r="AE145" s="46">
        <f>'LINEST VARS'!$U$70+'LINEST VARS'!$T$70*($AE$128)+'LINEST VARS'!$S$70*($Z145)+'LINEST VARS'!$R$70*(4)+'LINEST VARS'!$Q$70*(0.5)+'LINEST VARS'!$P$70*(12.73)+'LINEST VARS'!$O$70*($AE$128^2)+'LINEST VARS'!$N$70*($Z145^2)+'LINEST VARS'!$M$70*(4^2)+'LINEST VARS'!$L$70*(0.5^2)+'LINEST VARS'!$K$70*(12.73^2)+'LINEST VARS'!$J$70*($AE$128*$Z145)+'LINEST VARS'!$I$70*($AE$128*4)+'LINEST VARS'!$H$70*($AE$128*0.5)+'LINEST VARS'!$G$70*($AE$128*12.73)+'LINEST VARS'!$F$70*($Z145*4)+'LINEST VARS'!$E$70*($Z145*0.5)+'LINEST VARS'!$D$70*($Z145*12.73)+'LINEST VARS'!$C$70*(4*0.5)+'LINEST VARS'!$B$70*(4*12.73)+'LINEST VARS'!$A$70*(0.5*12.73)</f>
        <v>88.540000000000035</v>
      </c>
      <c r="AF145" s="46">
        <f>'LINEST VARS'!$U$70+'LINEST VARS'!$T$70*($AF$128)+'LINEST VARS'!$S$70*($Z145)+'LINEST VARS'!$R$70*(4)+'LINEST VARS'!$Q$70*(0.5)+'LINEST VARS'!$P$70*(12.73)+'LINEST VARS'!$O$70*($AF$128^2)+'LINEST VARS'!$N$70*($Z145^2)+'LINEST VARS'!$M$70*(4^2)+'LINEST VARS'!$L$70*(0.5^2)+'LINEST VARS'!$K$70*(12.73^2)+'LINEST VARS'!$J$70*($AF$128*$Z145)+'LINEST VARS'!$I$70*($AF$128*4)+'LINEST VARS'!$H$70*($AF$128*0.5)+'LINEST VARS'!$G$70*($AF$128*12.73)+'LINEST VARS'!$F$70*($Z145*4)+'LINEST VARS'!$E$70*($Z145*0.5)+'LINEST VARS'!$D$70*($Z145*12.73)+'LINEST VARS'!$C$70*(4*0.5)+'LINEST VARS'!$B$70*(4*12.73)+'LINEST VARS'!$A$70*(0.5*12.73)</f>
        <v>88.54</v>
      </c>
      <c r="AG145" s="46">
        <f>'LINEST VARS'!$U$70+'LINEST VARS'!$T$70*($AG$128)+'LINEST VARS'!$S$70*($Z145)+'LINEST VARS'!$R$70*(4)+'LINEST VARS'!$Q$70*(0.5)+'LINEST VARS'!$P$70*(12.73)+'LINEST VARS'!$O$70*($AG$128^2)+'LINEST VARS'!$N$70*($Z145^2)+'LINEST VARS'!$M$70*(4^2)+'LINEST VARS'!$L$70*(0.5^2)+'LINEST VARS'!$K$70*(12.73^2)+'LINEST VARS'!$J$70*($AG$128*$Z145)+'LINEST VARS'!$I$70*($AG$128*4)+'LINEST VARS'!$H$70*($AG$128*0.5)+'LINEST VARS'!$G$70*($AG$128*12.73)+'LINEST VARS'!$F$70*($Z145*4)+'LINEST VARS'!$E$70*($Z145*0.5)+'LINEST VARS'!$D$70*($Z145*12.73)+'LINEST VARS'!$C$70*(4*0.5)+'LINEST VARS'!$B$70*(4*12.73)+'LINEST VARS'!$A$70*(0.5*12.73)</f>
        <v>88.54</v>
      </c>
      <c r="AH145" s="46">
        <f>'LINEST VARS'!$U$70+'LINEST VARS'!$T$70*($AH$128)+'LINEST VARS'!$S$70*($Z145)+'LINEST VARS'!$R$70*(4)+'LINEST VARS'!$Q$70*(0.5)+'LINEST VARS'!$P$70*(12.73)+'LINEST VARS'!$O$70*($AH$128^2)+'LINEST VARS'!$N$70*($Z145^2)+'LINEST VARS'!$M$70*(4^2)+'LINEST VARS'!$L$70*(0.5^2)+'LINEST VARS'!$K$70*(12.73^2)+'LINEST VARS'!$J$70*($AH$128*$Z145)+'LINEST VARS'!$I$70*($AH$128*4)+'LINEST VARS'!$H$70*($AH$128*0.5)+'LINEST VARS'!$G$70*($AH$128*12.73)+'LINEST VARS'!$F$70*($Z145*4)+'LINEST VARS'!$E$70*($Z145*0.5)+'LINEST VARS'!$D$70*($Z145*12.73)+'LINEST VARS'!$C$70*(4*0.5)+'LINEST VARS'!$B$70*(4*12.73)+'LINEST VARS'!$A$70*(0.5*12.73)</f>
        <v>88.54</v>
      </c>
      <c r="AI145" s="46">
        <f>'LINEST VARS'!$U$70+'LINEST VARS'!$T$70*($AI$128)+'LINEST VARS'!$S$70*($Z145)+'LINEST VARS'!$R$70*(4)+'LINEST VARS'!$Q$70*(0.5)+'LINEST VARS'!$P$70*(12.73)+'LINEST VARS'!$O$70*($AI$128^2)+'LINEST VARS'!$N$70*($Z145^2)+'LINEST VARS'!$M$70*(4^2)+'LINEST VARS'!$L$70*(0.5^2)+'LINEST VARS'!$K$70*(12.73^2)+'LINEST VARS'!$J$70*($AI$128*$Z145)+'LINEST VARS'!$I$70*($AI$128*4)+'LINEST VARS'!$H$70*($AI$128*0.5)+'LINEST VARS'!$G$70*($AI$128*12.73)+'LINEST VARS'!$F$70*($Z145*4)+'LINEST VARS'!$E$70*($Z145*0.5)+'LINEST VARS'!$D$70*($Z145*12.73)+'LINEST VARS'!$C$70*(4*0.5)+'LINEST VARS'!$B$70*(4*12.73)+'LINEST VARS'!$A$70*(0.5*12.73)</f>
        <v>88.54</v>
      </c>
      <c r="AJ145" s="46">
        <f>'LINEST VARS'!$U$70+'LINEST VARS'!$T$70*($AJ$128)+'LINEST VARS'!$S$70*($Z145)+'LINEST VARS'!$R$70*(4)+'LINEST VARS'!$Q$70*(0.5)+'LINEST VARS'!$P$70*(12.73)+'LINEST VARS'!$O$70*($AJ$128^2)+'LINEST VARS'!$N$70*($Z145^2)+'LINEST VARS'!$M$70*(4^2)+'LINEST VARS'!$L$70*(0.5^2)+'LINEST VARS'!$K$70*(12.73^2)+'LINEST VARS'!$J$70*($AJ$128*$Z145)+'LINEST VARS'!$I$70*($AJ$128*4)+'LINEST VARS'!$H$70*($AJ$128*0.5)+'LINEST VARS'!$G$70*($AJ$128*12.73)+'LINEST VARS'!$F$70*($Z145*4)+'LINEST VARS'!$E$70*($Z145*0.5)+'LINEST VARS'!$D$70*($Z145*12.73)+'LINEST VARS'!$C$70*(4*0.5)+'LINEST VARS'!$B$70*(4*12.73)+'LINEST VARS'!$A$70*(0.5*12.73)</f>
        <v>88.54</v>
      </c>
      <c r="AK145" s="46">
        <f>'LINEST VARS'!$U$70+'LINEST VARS'!$T$70*($AK$128)+'LINEST VARS'!$S$70*($Z145)+'LINEST VARS'!$R$70*(4)+'LINEST VARS'!$Q$70*(0.5)+'LINEST VARS'!$P$70*(12.73)+'LINEST VARS'!$O$70*($AK$128^2)+'LINEST VARS'!$N$70*($Z145^2)+'LINEST VARS'!$M$70*(4^2)+'LINEST VARS'!$L$70*(0.5^2)+'LINEST VARS'!$K$70*(12.73^2)+'LINEST VARS'!$J$70*($AK$128*$Z145)+'LINEST VARS'!$I$70*($AK$128*4)+'LINEST VARS'!$H$70*($AK$128*0.5)+'LINEST VARS'!$G$70*($AK$128*12.73)+'LINEST VARS'!$F$70*($Z145*4)+'LINEST VARS'!$E$70*($Z145*0.5)+'LINEST VARS'!$D$70*($Z145*12.73)+'LINEST VARS'!$C$70*(4*0.5)+'LINEST VARS'!$B$70*(4*12.73)+'LINEST VARS'!$A$70*(0.5*12.73)</f>
        <v>88.54</v>
      </c>
      <c r="AL145" s="46">
        <f>'LINEST VARS'!$U$70+'LINEST VARS'!$T$70*($AL$128)+'LINEST VARS'!$S$70*($Z145)+'LINEST VARS'!$R$70*(4)+'LINEST VARS'!$Q$70*(0.5)+'LINEST VARS'!$P$70*(12.73)+'LINEST VARS'!$O$70*($AL$128^2)+'LINEST VARS'!$N$70*($Z145^2)+'LINEST VARS'!$M$70*(4^2)+'LINEST VARS'!$L$70*(0.5^2)+'LINEST VARS'!$K$70*(12.73^2)+'LINEST VARS'!$J$70*($AL$128*$Z145)+'LINEST VARS'!$I$70*($AL$128*4)+'LINEST VARS'!$H$70*($AL$128*0.5)+'LINEST VARS'!$G$70*($AL$128*12.73)+'LINEST VARS'!$F$70*($Z145*4)+'LINEST VARS'!$E$70*($Z145*0.5)+'LINEST VARS'!$D$70*($Z145*12.73)+'LINEST VARS'!$C$70*(4*0.5)+'LINEST VARS'!$B$70*(4*12.73)+'LINEST VARS'!$A$70*(0.5*12.73)</f>
        <v>88.54</v>
      </c>
      <c r="AM145" s="46">
        <f>'LINEST VARS'!$U$70+'LINEST VARS'!$T$70*($AM$128)+'LINEST VARS'!$S$70*($Z145)+'LINEST VARS'!$R$70*(4)+'LINEST VARS'!$Q$70*(0.5)+'LINEST VARS'!$P$70*(12.73)+'LINEST VARS'!$O$70*($AM$128^2)+'LINEST VARS'!$N$70*($Z145^2)+'LINEST VARS'!$M$70*(4^2)+'LINEST VARS'!$L$70*(0.5^2)+'LINEST VARS'!$K$70*(12.73^2)+'LINEST VARS'!$J$70*($AM$128*$Z145)+'LINEST VARS'!$I$70*($AM$128*4)+'LINEST VARS'!$H$70*($AM$128*0.5)+'LINEST VARS'!$G$70*($AM$128*12.73)+'LINEST VARS'!$F$70*($Z145*4)+'LINEST VARS'!$E$70*($Z145*0.5)+'LINEST VARS'!$D$70*($Z145*12.73)+'LINEST VARS'!$C$70*(4*0.5)+'LINEST VARS'!$B$70*(4*12.73)+'LINEST VARS'!$A$70*(0.5*12.73)</f>
        <v>88.54</v>
      </c>
      <c r="AN145" s="46">
        <f>'LINEST VARS'!$U$70+'LINEST VARS'!$T$70*($AN$128)+'LINEST VARS'!$S$70*($Z145)+'LINEST VARS'!$R$70*(4)+'LINEST VARS'!$Q$70*(0.5)+'LINEST VARS'!$P$70*(12.73)+'LINEST VARS'!$O$70*($AN$128^2)+'LINEST VARS'!$N$70*($Z145^2)+'LINEST VARS'!$M$70*(4^2)+'LINEST VARS'!$L$70*(0.5^2)+'LINEST VARS'!$K$70*(12.73^2)+'LINEST VARS'!$J$70*($AN$128*$Z145)+'LINEST VARS'!$I$70*($AN$128*4)+'LINEST VARS'!$H$70*($AN$128*0.5)+'LINEST VARS'!$G$70*($AN$128*12.73)+'LINEST VARS'!$F$70*($Z145*4)+'LINEST VARS'!$E$70*($Z145*0.5)+'LINEST VARS'!$D$70*($Z145*12.73)+'LINEST VARS'!$C$70*(4*0.5)+'LINEST VARS'!$B$70*(4*12.73)+'LINEST VARS'!$A$70*(0.5*12.73)</f>
        <v>88.54</v>
      </c>
      <c r="AO145" s="46">
        <f>'LINEST VARS'!$U$70+'LINEST VARS'!$T$70*($AO$128)+'LINEST VARS'!$S$70*($Z145)+'LINEST VARS'!$R$70*(4)+'LINEST VARS'!$Q$70*(0.5)+'LINEST VARS'!$P$70*(12.73)+'LINEST VARS'!$O$70*($AO$128^2)+'LINEST VARS'!$N$70*($Z145^2)+'LINEST VARS'!$M$70*(4^2)+'LINEST VARS'!$L$70*(0.5^2)+'LINEST VARS'!$K$70*(12.73^2)+'LINEST VARS'!$J$70*($AO$128*$Z145)+'LINEST VARS'!$I$70*($AO$128*4)+'LINEST VARS'!$H$70*($AO$128*0.5)+'LINEST VARS'!$G$70*($AO$128*12.73)+'LINEST VARS'!$F$70*($Z145*4)+'LINEST VARS'!$E$70*($Z145*0.5)+'LINEST VARS'!$D$70*($Z145*12.73)+'LINEST VARS'!$C$70*(4*0.5)+'LINEST VARS'!$B$70*(4*12.73)+'LINEST VARS'!$A$70*(0.5*12.73)</f>
        <v>88.54</v>
      </c>
      <c r="AP145" s="46">
        <f>'LINEST VARS'!$U$70+'LINEST VARS'!$T$70*($AP$128)+'LINEST VARS'!$S$70*($Z145)+'LINEST VARS'!$R$70*(4)+'LINEST VARS'!$Q$70*(0.5)+'LINEST VARS'!$P$70*(12.73)+'LINEST VARS'!$O$70*($AP$128^2)+'LINEST VARS'!$N$70*($Z145^2)+'LINEST VARS'!$M$70*(4^2)+'LINEST VARS'!$L$70*(0.5^2)+'LINEST VARS'!$K$70*(12.73^2)+'LINEST VARS'!$J$70*($AP$128*$Z145)+'LINEST VARS'!$I$70*($AP$128*4)+'LINEST VARS'!$H$70*($AP$128*0.5)+'LINEST VARS'!$G$70*($AP$128*12.73)+'LINEST VARS'!$F$70*($Z145*4)+'LINEST VARS'!$E$70*($Z145*0.5)+'LINEST VARS'!$D$70*($Z145*12.73)+'LINEST VARS'!$C$70*(4*0.5)+'LINEST VARS'!$B$70*(4*12.73)+'LINEST VARS'!$A$70*(0.5*12.73)</f>
        <v>88.54</v>
      </c>
      <c r="AQ145" s="46">
        <f>'LINEST VARS'!$U$70+'LINEST VARS'!$T$70*($AQ$128)+'LINEST VARS'!$S$70*($Z145)+'LINEST VARS'!$R$70*(4)+'LINEST VARS'!$Q$70*(0.5)+'LINEST VARS'!$P$70*(12.73)+'LINEST VARS'!$O$70*($AQ$128^2)+'LINEST VARS'!$N$70*($Z145^2)+'LINEST VARS'!$M$70*(4^2)+'LINEST VARS'!$L$70*(0.5^2)+'LINEST VARS'!$K$70*(12.73^2)+'LINEST VARS'!$J$70*($AQ$128*$Z145)+'LINEST VARS'!$I$70*($AQ$128*4)+'LINEST VARS'!$H$70*($AQ$128*0.5)+'LINEST VARS'!$G$70*($AQ$128*12.73)+'LINEST VARS'!$F$70*($Z145*4)+'LINEST VARS'!$E$70*($Z145*0.5)+'LINEST VARS'!$D$70*($Z145*12.73)+'LINEST VARS'!$C$70*(4*0.5)+'LINEST VARS'!$B$70*(4*12.73)+'LINEST VARS'!$A$70*(0.5*12.73)</f>
        <v>88.54</v>
      </c>
      <c r="AR145" s="46">
        <f>'LINEST VARS'!$U$70+'LINEST VARS'!$T$70*($AR$128)+'LINEST VARS'!$S$70*($Z145)+'LINEST VARS'!$R$70*(4)+'LINEST VARS'!$Q$70*(0.5)+'LINEST VARS'!$P$70*(12.73)+'LINEST VARS'!$O$70*($AR$128^2)+'LINEST VARS'!$N$70*($Z145^2)+'LINEST VARS'!$M$70*(4^2)+'LINEST VARS'!$L$70*(0.5^2)+'LINEST VARS'!$K$70*(12.73^2)+'LINEST VARS'!$J$70*($AR$128*$Z145)+'LINEST VARS'!$I$70*($AR$128*4)+'LINEST VARS'!$H$70*($AR$128*0.5)+'LINEST VARS'!$G$70*($AR$128*12.73)+'LINEST VARS'!$F$70*($Z145*4)+'LINEST VARS'!$E$70*($Z145*0.5)+'LINEST VARS'!$D$70*($Z145*12.73)+'LINEST VARS'!$C$70*(4*0.5)+'LINEST VARS'!$B$70*(4*12.73)+'LINEST VARS'!$A$70*(0.5*12.73)</f>
        <v>88.54</v>
      </c>
      <c r="AS145" s="46">
        <f>'LINEST VARS'!$U$70+'LINEST VARS'!$T$70*($AS$128)+'LINEST VARS'!$S$70*($Z145)+'LINEST VARS'!$R$70*(4)+'LINEST VARS'!$Q$70*(0.5)+'LINEST VARS'!$P$70*(12.73)+'LINEST VARS'!$O$70*($AS$128^2)+'LINEST VARS'!$N$70*($Z145^2)+'LINEST VARS'!$M$70*(4^2)+'LINEST VARS'!$L$70*(0.5^2)+'LINEST VARS'!$K$70*(12.73^2)+'LINEST VARS'!$J$70*($AS$128*$Z145)+'LINEST VARS'!$I$70*($AS$128*4)+'LINEST VARS'!$H$70*($AS$128*0.5)+'LINEST VARS'!$G$70*($AS$128*12.73)+'LINEST VARS'!$F$70*($Z145*4)+'LINEST VARS'!$E$70*($Z145*0.5)+'LINEST VARS'!$D$70*($Z145*12.73)+'LINEST VARS'!$C$70*(4*0.5)+'LINEST VARS'!$B$70*(4*12.73)+'LINEST VARS'!$A$70*(0.5*12.73)</f>
        <v>88.54</v>
      </c>
      <c r="AT145" s="46">
        <f>'LINEST VARS'!$U$70+'LINEST VARS'!$T$70*($AT$128)+'LINEST VARS'!$S$70*($Z145)+'LINEST VARS'!$R$70*(4)+'LINEST VARS'!$Q$70*(0.5)+'LINEST VARS'!$P$70*(12.73)+'LINEST VARS'!$O$70*($AT$128^2)+'LINEST VARS'!$N$70*($Z145^2)+'LINEST VARS'!$M$70*(4^2)+'LINEST VARS'!$L$70*(0.5^2)+'LINEST VARS'!$K$70*(12.73^2)+'LINEST VARS'!$J$70*($AT$128*$Z145)+'LINEST VARS'!$I$70*($AT$128*4)+'LINEST VARS'!$H$70*($AT$128*0.5)+'LINEST VARS'!$G$70*($AT$128*12.73)+'LINEST VARS'!$F$70*($Z145*4)+'LINEST VARS'!$E$70*($Z145*0.5)+'LINEST VARS'!$D$70*($Z145*12.73)+'LINEST VARS'!$C$70*(4*0.5)+'LINEST VARS'!$B$70*(4*12.73)+'LINEST VARS'!$A$70*(0.5*12.73)</f>
        <v>88.54</v>
      </c>
      <c r="AU145" s="47">
        <f>'LINEST VARS'!$U$70+'LINEST VARS'!$T$70*($AU$128)+'LINEST VARS'!$S$70*($Z145)+'LINEST VARS'!$R$70*(4)+'LINEST VARS'!$Q$70*(0.5)+'LINEST VARS'!$P$70*(12.73)+'LINEST VARS'!$O$70*($AU$128^2)+'LINEST VARS'!$N$70*($Z145^2)+'LINEST VARS'!$M$70*(4^2)+'LINEST VARS'!$L$70*(0.5^2)+'LINEST VARS'!$K$70*(12.73^2)+'LINEST VARS'!$J$70*($AU$128*$Z145)+'LINEST VARS'!$I$70*($AU$128*4)+'LINEST VARS'!$H$70*($AU$128*0.5)+'LINEST VARS'!$G$70*($AU$128*12.73)+'LINEST VARS'!$F$70*($Z145*4)+'LINEST VARS'!$E$70*($Z145*0.5)+'LINEST VARS'!$D$70*($Z145*12.73)+'LINEST VARS'!$C$70*(4*0.5)+'LINEST VARS'!$B$70*(4*12.73)+'LINEST VARS'!$A$70*(0.5*12.73)</f>
        <v>88.54</v>
      </c>
      <c r="AZ145" s="45">
        <v>0.8</v>
      </c>
      <c r="BA145" s="46">
        <f>'LINEST VARS'!$U$68+'LINEST VARS'!$T$68*(8)+'LINEST VARS'!$S$68*(8)+'LINEST VARS'!$R$68*($BA$128)+'LINEST VARS'!$Q$68*($AZ145)+'LINEST VARS'!$P$68*(12.73)+'LINEST VARS'!$O$68*(8^2)+'LINEST VARS'!$N$68*(8^2)+'LINEST VARS'!$M$68*($BA$128^2)+'LINEST VARS'!$L$68*($AZ145^2)+'LINEST VARS'!$K$68*(12.73^2)+'LINEST VARS'!$J$68*(8*8)+'LINEST VARS'!$I$68*(8*$BA$128)+'LINEST VARS'!$H$68*(8*$AZ145)+'LINEST VARS'!$G$68*(8*12.73)+'LINEST VARS'!$F$68*(8*$BA$128)+'LINEST VARS'!$E$68*(8*$AZ145)+'LINEST VARS'!$D$68*(8*12.73)+'LINEST VARS'!$C$68*($BA$128*$AZ145)+'LINEST VARS'!$B$68*($BA$128*12.73)+'LINEST VARS'!$A$68*($AZ145*12.73)</f>
        <v>147.44</v>
      </c>
      <c r="BB145" s="46">
        <f>'LINEST VARS'!$U$68+'LINEST VARS'!$T$68*(8)+'LINEST VARS'!$S$68*(8)+'LINEST VARS'!$R$68*($BB$128)+'LINEST VARS'!$Q$68*($AZ145)+'LINEST VARS'!$P$68*(12.73)+'LINEST VARS'!$O$68*(8^2)+'LINEST VARS'!$N$68*(8^2)+'LINEST VARS'!$M$68*($BB$128^2)+'LINEST VARS'!$L$68*($AZ145^2)+'LINEST VARS'!$K$68*(12.73^2)+'LINEST VARS'!$J$68*(8*8)+'LINEST VARS'!$I$68*(8*$BB$128)+'LINEST VARS'!$H$68*(8*$AZ145)+'LINEST VARS'!$G$68*(8*12.73)+'LINEST VARS'!$F$68*(8*$BB$128)+'LINEST VARS'!$E$68*(8*$AZ145)+'LINEST VARS'!$D$68*(8*12.73)+'LINEST VARS'!$C$68*($BB$128*$AZ145)+'LINEST VARS'!$B$68*($BB$128*12.73)+'LINEST VARS'!$A$68*($AZ145*12.73)</f>
        <v>147.44</v>
      </c>
      <c r="BC145" s="46">
        <f>'LINEST VARS'!$U$68+'LINEST VARS'!$T$68*(8)+'LINEST VARS'!$S$68*(8)+'LINEST VARS'!$R$68*($BC$128)+'LINEST VARS'!$Q$68*($AZ145)+'LINEST VARS'!$P$68*(12.73)+'LINEST VARS'!$O$68*(8^2)+'LINEST VARS'!$N$68*(8^2)+'LINEST VARS'!$M$68*($BC$128^2)+'LINEST VARS'!$L$68*($AZ145^2)+'LINEST VARS'!$K$68*(12.73^2)+'LINEST VARS'!$J$68*(8*8)+'LINEST VARS'!$I$68*(8*$BC$128)+'LINEST VARS'!$H$68*(8*$AZ145)+'LINEST VARS'!$G$68*(8*12.73)+'LINEST VARS'!$F$68*(8*$BC$128)+'LINEST VARS'!$E$68*(8*$AZ145)+'LINEST VARS'!$D$68*(8*12.73)+'LINEST VARS'!$C$68*($BC$128*$AZ145)+'LINEST VARS'!$B$68*($BC$128*12.73)+'LINEST VARS'!$A$68*($AZ145*12.73)</f>
        <v>147.44</v>
      </c>
      <c r="BD145" s="46">
        <f>'LINEST VARS'!$U$68+'LINEST VARS'!$T$68*(8)+'LINEST VARS'!$S$68*(8)+'LINEST VARS'!$R$68*($BD$128)+'LINEST VARS'!$Q$68*($AZ145)+'LINEST VARS'!$P$68*(12.73)+'LINEST VARS'!$O$68*(8^2)+'LINEST VARS'!$N$68*(8^2)+'LINEST VARS'!$M$68*($BD$128^2)+'LINEST VARS'!$L$68*($AZ145^2)+'LINEST VARS'!$K$68*(12.73^2)+'LINEST VARS'!$J$68*(8*8)+'LINEST VARS'!$I$68*(8*$BD$128)+'LINEST VARS'!$H$68*(8*$AZ145)+'LINEST VARS'!$G$68*(8*12.73)+'LINEST VARS'!$F$68*(8*$BD$128)+'LINEST VARS'!$E$68*(8*$AZ145)+'LINEST VARS'!$D$68*(8*12.73)+'LINEST VARS'!$C$68*($BD$128*$AZ145)+'LINEST VARS'!$B$68*($BD$128*12.73)+'LINEST VARS'!$A$68*($AZ145*12.73)</f>
        <v>147.44</v>
      </c>
      <c r="BE145" s="46">
        <f>'LINEST VARS'!$U$68+'LINEST VARS'!$T$68*(8)+'LINEST VARS'!$S$68*(8)+'LINEST VARS'!$R$68*($BE$128)+'LINEST VARS'!$Q$68*($AZ145)+'LINEST VARS'!$P$68*(12.73)+'LINEST VARS'!$O$68*(8^2)+'LINEST VARS'!$N$68*(8^2)+'LINEST VARS'!$M$68*($BE$128^2)+'LINEST VARS'!$L$68*($AZ145^2)+'LINEST VARS'!$K$68*(12.73^2)+'LINEST VARS'!$J$68*(8*8)+'LINEST VARS'!$I$68*(8*$BE$128)+'LINEST VARS'!$H$68*(8*$AZ145)+'LINEST VARS'!$G$68*(8*12.73)+'LINEST VARS'!$F$68*(8*$BE$128)+'LINEST VARS'!$E$68*(8*$AZ145)+'LINEST VARS'!$D$68*(8*12.73)+'LINEST VARS'!$C$68*($BE$128*$AZ145)+'LINEST VARS'!$B$68*($BE$128*12.73)+'LINEST VARS'!$A$68*($AZ145*12.73)</f>
        <v>147.44</v>
      </c>
      <c r="BF145" s="46">
        <f>'LINEST VARS'!$U$68+'LINEST VARS'!$T$68*(8)+'LINEST VARS'!$S$68*(8)+'LINEST VARS'!$R$68*($BF$128)+'LINEST VARS'!$Q$68*($AZ145)+'LINEST VARS'!$P$68*(12.73)+'LINEST VARS'!$O$68*(8^2)+'LINEST VARS'!$N$68*(8^2)+'LINEST VARS'!$M$68*($BF$128^2)+'LINEST VARS'!$L$68*($AZ145^2)+'LINEST VARS'!$K$68*(12.73^2)+'LINEST VARS'!$J$68*(8*8)+'LINEST VARS'!$I$68*(8*$BF$128)+'LINEST VARS'!$H$68*(8*$AZ145)+'LINEST VARS'!$G$68*(8*12.73)+'LINEST VARS'!$F$68*(8*$BF$128)+'LINEST VARS'!$E$68*(8*$AZ145)+'LINEST VARS'!$D$68*(8*12.73)+'LINEST VARS'!$C$68*($BF$128*$AZ145)+'LINEST VARS'!$B$68*($BF$128*12.73)+'LINEST VARS'!$A$68*($AZ145*12.73)</f>
        <v>147.44</v>
      </c>
      <c r="BG145" s="46">
        <f>'LINEST VARS'!$U$68+'LINEST VARS'!$T$68*(8)+'LINEST VARS'!$S$68*(8)+'LINEST VARS'!$R$68*($BG$128)+'LINEST VARS'!$Q$68*($AZ145)+'LINEST VARS'!$P$68*(12.73)+'LINEST VARS'!$O$68*(8^2)+'LINEST VARS'!$N$68*(8^2)+'LINEST VARS'!$M$68*($BG$128^2)+'LINEST VARS'!$L$68*($AZ145^2)+'LINEST VARS'!$K$68*(12.73^2)+'LINEST VARS'!$J$68*(8*8)+'LINEST VARS'!$I$68*(8*$BG$128)+'LINEST VARS'!$H$68*(8*$AZ145)+'LINEST VARS'!$G$68*(8*12.73)+'LINEST VARS'!$F$68*(8*$BG$128)+'LINEST VARS'!$E$68*(8*$AZ145)+'LINEST VARS'!$D$68*(8*12.73)+'LINEST VARS'!$C$68*($BG$128*$AZ145)+'LINEST VARS'!$B$68*($BG$128*12.73)+'LINEST VARS'!$A$68*($AZ145*12.73)</f>
        <v>147.44</v>
      </c>
      <c r="BH145" s="46">
        <f>'LINEST VARS'!$U$68+'LINEST VARS'!$T$68*(8)+'LINEST VARS'!$S$68*(8)+'LINEST VARS'!$R$68*($BH$128)+'LINEST VARS'!$Q$68*($AZ145)+'LINEST VARS'!$P$68*(12.73)+'LINEST VARS'!$O$68*(8^2)+'LINEST VARS'!$N$68*(8^2)+'LINEST VARS'!$M$68*($BH$128^2)+'LINEST VARS'!$L$68*($AZ145^2)+'LINEST VARS'!$K$68*(12.73^2)+'LINEST VARS'!$J$68*(8*8)+'LINEST VARS'!$I$68*(8*$BH$128)+'LINEST VARS'!$H$68*(8*$AZ145)+'LINEST VARS'!$G$68*(8*12.73)+'LINEST VARS'!$F$68*(8*$BH$128)+'LINEST VARS'!$E$68*(8*$AZ145)+'LINEST VARS'!$D$68*(8*12.73)+'LINEST VARS'!$C$68*($BH$128*$AZ145)+'LINEST VARS'!$B$68*($BH$128*12.73)+'LINEST VARS'!$A$68*($AZ145*12.73)</f>
        <v>147.44</v>
      </c>
      <c r="BI145" s="46">
        <f>'LINEST VARS'!$U$68+'LINEST VARS'!$T$68*(8)+'LINEST VARS'!$S$68*(8)+'LINEST VARS'!$R$68*($BI$128)+'LINEST VARS'!$Q$68*($AZ145)+'LINEST VARS'!$P$68*(12.73)+'LINEST VARS'!$O$68*(8^2)+'LINEST VARS'!$N$68*(8^2)+'LINEST VARS'!$M$68*($BI$128^2)+'LINEST VARS'!$L$68*($AZ145^2)+'LINEST VARS'!$K$68*(12.73^2)+'LINEST VARS'!$J$68*(8*8)+'LINEST VARS'!$I$68*(8*$BI$128)+'LINEST VARS'!$H$68*(8*$AZ145)+'LINEST VARS'!$G$68*(8*12.73)+'LINEST VARS'!$F$68*(8*$BI$128)+'LINEST VARS'!$E$68*(8*$AZ145)+'LINEST VARS'!$D$68*(8*12.73)+'LINEST VARS'!$C$68*($BI$128*$AZ145)+'LINEST VARS'!$B$68*($BI$128*12.73)+'LINEST VARS'!$A$68*($AZ145*12.73)</f>
        <v>147.44</v>
      </c>
      <c r="BJ145" s="46">
        <f>'LINEST VARS'!$U$68+'LINEST VARS'!$T$68*(8)+'LINEST VARS'!$S$68*(8)+'LINEST VARS'!$R$68*($BJ$128)+'LINEST VARS'!$Q$68*($AZ145)+'LINEST VARS'!$P$68*(12.73)+'LINEST VARS'!$O$68*(8^2)+'LINEST VARS'!$N$68*(8^2)+'LINEST VARS'!$M$68*($BJ$128^2)+'LINEST VARS'!$L$68*($AZ145^2)+'LINEST VARS'!$K$68*(12.73^2)+'LINEST VARS'!$J$68*(8*8)+'LINEST VARS'!$I$68*(8*$BJ$128)+'LINEST VARS'!$H$68*(8*$AZ145)+'LINEST VARS'!$G$68*(8*12.73)+'LINEST VARS'!$F$68*(8*$BJ$128)+'LINEST VARS'!$E$68*(8*$AZ145)+'LINEST VARS'!$D$68*(8*12.73)+'LINEST VARS'!$C$68*($BJ$128*$AZ145)+'LINEST VARS'!$B$68*($BJ$128*12.73)+'LINEST VARS'!$A$68*($AZ145*12.73)</f>
        <v>147.44</v>
      </c>
      <c r="BK145" s="46">
        <f>'LINEST VARS'!$U$68+'LINEST VARS'!$T$68*(8)+'LINEST VARS'!$S$68*(8)+'LINEST VARS'!$R$68*($BK$128)+'LINEST VARS'!$Q$68*($AZ145)+'LINEST VARS'!$P$68*(12.73)+'LINEST VARS'!$O$68*(8^2)+'LINEST VARS'!$N$68*(8^2)+'LINEST VARS'!$M$68*($BK$128^2)+'LINEST VARS'!$L$68*($AZ145^2)+'LINEST VARS'!$K$68*(12.73^2)+'LINEST VARS'!$J$68*(8*8)+'LINEST VARS'!$I$68*(8*$BK$128)+'LINEST VARS'!$H$68*(8*$AZ145)+'LINEST VARS'!$G$68*(8*12.73)+'LINEST VARS'!$F$68*(8*$BK$128)+'LINEST VARS'!$E$68*(8*$AZ145)+'LINEST VARS'!$D$68*(8*12.73)+'LINEST VARS'!$C$68*($BK$128*$AZ145)+'LINEST VARS'!$B$68*($BK$128*12.73)+'LINEST VARS'!$A$68*($AZ145*12.73)</f>
        <v>147.44</v>
      </c>
      <c r="BL145" s="46">
        <f>'LINEST VARS'!$U$68+'LINEST VARS'!$T$68*(8)+'LINEST VARS'!$S$68*(8)+'LINEST VARS'!$R$68*($BL$128)+'LINEST VARS'!$Q$68*($AZ145)+'LINEST VARS'!$P$68*(12.73)+'LINEST VARS'!$O$68*(8^2)+'LINEST VARS'!$N$68*(8^2)+'LINEST VARS'!$M$68*($BL$128^2)+'LINEST VARS'!$L$68*($AZ145^2)+'LINEST VARS'!$K$68*(12.73^2)+'LINEST VARS'!$J$68*(8*8)+'LINEST VARS'!$I$68*(8*$BL$128)+'LINEST VARS'!$H$68*(8*$AZ145)+'LINEST VARS'!$G$68*(8*12.73)+'LINEST VARS'!$F$68*(8*$BL$128)+'LINEST VARS'!$E$68*(8*$AZ145)+'LINEST VARS'!$D$68*(8*12.73)+'LINEST VARS'!$C$68*($BL$128*$AZ145)+'LINEST VARS'!$B$68*($BL$128*12.73)+'LINEST VARS'!$A$68*($AZ145*12.73)</f>
        <v>147.44</v>
      </c>
      <c r="BM145" s="46">
        <f>'LINEST VARS'!$U$68+'LINEST VARS'!$T$68*(8)+'LINEST VARS'!$S$68*(8)+'LINEST VARS'!$R$68*($BM$128)+'LINEST VARS'!$Q$68*($AZ145)+'LINEST VARS'!$P$68*(12.73)+'LINEST VARS'!$O$68*(8^2)+'LINEST VARS'!$N$68*(8^2)+'LINEST VARS'!$M$68*($BM$128^2)+'LINEST VARS'!$L$68*($AZ145^2)+'LINEST VARS'!$K$68*(12.73^2)+'LINEST VARS'!$J$68*(8*8)+'LINEST VARS'!$I$68*(8*$BM$128)+'LINEST VARS'!$H$68*(8*$AZ145)+'LINEST VARS'!$G$68*(8*12.73)+'LINEST VARS'!$F$68*(8*$BM$128)+'LINEST VARS'!$E$68*(8*$AZ145)+'LINEST VARS'!$D$68*(8*12.73)+'LINEST VARS'!$C$68*($BM$128*$AZ145)+'LINEST VARS'!$B$68*($BM$128*12.73)+'LINEST VARS'!$A$68*($AZ145*12.73)</f>
        <v>147.44</v>
      </c>
      <c r="BN145" s="46">
        <f>'LINEST VARS'!$U$68+'LINEST VARS'!$T$68*(8)+'LINEST VARS'!$S$68*(8)+'LINEST VARS'!$R$68*($BN$128)+'LINEST VARS'!$Q$68*($AZ145)+'LINEST VARS'!$P$68*(12.73)+'LINEST VARS'!$O$68*(8^2)+'LINEST VARS'!$N$68*(8^2)+'LINEST VARS'!$M$68*($BN$128^2)+'LINEST VARS'!$L$68*($AZ145^2)+'LINEST VARS'!$K$68*(12.73^2)+'LINEST VARS'!$J$68*(8*8)+'LINEST VARS'!$I$68*(8*$BN$128)+'LINEST VARS'!$H$68*(8*$AZ145)+'LINEST VARS'!$G$68*(8*12.73)+'LINEST VARS'!$F$68*(8*$BN$128)+'LINEST VARS'!$E$68*(8*$AZ145)+'LINEST VARS'!$D$68*(8*12.73)+'LINEST VARS'!$C$68*($BN$128*$AZ145)+'LINEST VARS'!$B$68*($BN$128*12.73)+'LINEST VARS'!$A$68*($AZ145*12.73)</f>
        <v>147.44</v>
      </c>
      <c r="BO145" s="46">
        <f>'LINEST VARS'!$U$68+'LINEST VARS'!$T$68*(8)+'LINEST VARS'!$S$68*(8)+'LINEST VARS'!$R$68*($BO$128)+'LINEST VARS'!$Q$68*($AZ145)+'LINEST VARS'!$P$68*(12.73)+'LINEST VARS'!$O$68*(8^2)+'LINEST VARS'!$N$68*(8^2)+'LINEST VARS'!$M$68*($BO$128^2)+'LINEST VARS'!$L$68*($AZ145^2)+'LINEST VARS'!$K$68*(12.73^2)+'LINEST VARS'!$J$68*(8*8)+'LINEST VARS'!$I$68*(8*$BO$128)+'LINEST VARS'!$H$68*(8*$AZ145)+'LINEST VARS'!$G$68*(8*12.73)+'LINEST VARS'!$F$68*(8*$BO$128)+'LINEST VARS'!$E$68*(8*$AZ145)+'LINEST VARS'!$D$68*(8*12.73)+'LINEST VARS'!$C$68*($BO$128*$AZ145)+'LINEST VARS'!$B$68*($BO$128*12.73)+'LINEST VARS'!$A$68*($AZ145*12.73)</f>
        <v>147.44</v>
      </c>
      <c r="BP145" s="46">
        <f>'LINEST VARS'!$U$68+'LINEST VARS'!$T$68*(8)+'LINEST VARS'!$S$68*(8)+'LINEST VARS'!$R$68*($BP$128)+'LINEST VARS'!$Q$68*($AZ145)+'LINEST VARS'!$P$68*(12.73)+'LINEST VARS'!$O$68*(8^2)+'LINEST VARS'!$N$68*(8^2)+'LINEST VARS'!$M$68*($BP$128^2)+'LINEST VARS'!$L$68*($AZ145^2)+'LINEST VARS'!$K$68*(12.73^2)+'LINEST VARS'!$J$68*(8*8)+'LINEST VARS'!$I$68*(8*$BP$128)+'LINEST VARS'!$H$68*(8*$AZ145)+'LINEST VARS'!$G$68*(8*12.73)+'LINEST VARS'!$F$68*(8*$BP$128)+'LINEST VARS'!$E$68*(8*$AZ145)+'LINEST VARS'!$D$68*(8*12.73)+'LINEST VARS'!$C$68*($BP$128*$AZ145)+'LINEST VARS'!$B$68*($BP$128*12.73)+'LINEST VARS'!$A$68*($AZ145*12.73)</f>
        <v>147.44</v>
      </c>
      <c r="BQ145" s="46">
        <f>'LINEST VARS'!$U$68+'LINEST VARS'!$T$68*(8)+'LINEST VARS'!$S$68*(8)+'LINEST VARS'!$R$68*($BQ$128)+'LINEST VARS'!$Q$68*($AZ145)+'LINEST VARS'!$P$68*(12.73)+'LINEST VARS'!$O$68*(8^2)+'LINEST VARS'!$N$68*(8^2)+'LINEST VARS'!$M$68*($BQ$128^2)+'LINEST VARS'!$L$68*($AZ145^2)+'LINEST VARS'!$K$68*(12.73^2)+'LINEST VARS'!$J$68*(8*8)+'LINEST VARS'!$I$68*(8*$BQ$128)+'LINEST VARS'!$H$68*(8*$AZ145)+'LINEST VARS'!$G$68*(8*12.73)+'LINEST VARS'!$F$68*(8*$BQ$128)+'LINEST VARS'!$E$68*(8*$AZ145)+'LINEST VARS'!$D$68*(8*12.73)+'LINEST VARS'!$C$68*($BQ$128*$AZ145)+'LINEST VARS'!$B$68*($BQ$128*12.73)+'LINEST VARS'!$A$68*($AZ145*12.73)</f>
        <v>147.44</v>
      </c>
      <c r="BR145" s="46">
        <f>'LINEST VARS'!$U$68+'LINEST VARS'!$T$68*(8)+'LINEST VARS'!$S$68*(8)+'LINEST VARS'!$R$68*($BR$128)+'LINEST VARS'!$Q$68*($AZ145)+'LINEST VARS'!$P$68*(12.73)+'LINEST VARS'!$O$68*(8^2)+'LINEST VARS'!$N$68*(8^2)+'LINEST VARS'!$M$68*($BR$128^2)+'LINEST VARS'!$L$68*($AZ145^2)+'LINEST VARS'!$K$68*(12.73^2)+'LINEST VARS'!$J$68*(8*8)+'LINEST VARS'!$I$68*(8*$BR$128)+'LINEST VARS'!$H$68*(8*$AZ145)+'LINEST VARS'!$G$68*(8*12.73)+'LINEST VARS'!$F$68*(8*$BR$128)+'LINEST VARS'!$E$68*(8*$AZ145)+'LINEST VARS'!$D$68*(8*12.73)+'LINEST VARS'!$C$68*($BR$128*$AZ145)+'LINEST VARS'!$B$68*($BR$128*12.73)+'LINEST VARS'!$A$68*($AZ145*12.73)</f>
        <v>147.44</v>
      </c>
      <c r="BS145" s="46">
        <f>'LINEST VARS'!$U$68+'LINEST VARS'!$T$68*(8)+'LINEST VARS'!$S$68*(8)+'LINEST VARS'!$R$68*($BS$128)+'LINEST VARS'!$Q$68*($AZ145)+'LINEST VARS'!$P$68*(12.73)+'LINEST VARS'!$O$68*(8^2)+'LINEST VARS'!$N$68*(8^2)+'LINEST VARS'!$M$68*($BS$128^2)+'LINEST VARS'!$L$68*($AZ145^2)+'LINEST VARS'!$K$68*(12.73^2)+'LINEST VARS'!$J$68*(8*8)+'LINEST VARS'!$I$68*(8*$BS$128)+'LINEST VARS'!$H$68*(8*$AZ145)+'LINEST VARS'!$G$68*(8*12.73)+'LINEST VARS'!$F$68*(8*$BS$128)+'LINEST VARS'!$E$68*(8*$AZ145)+'LINEST VARS'!$D$68*(8*12.73)+'LINEST VARS'!$C$68*($BS$128*$AZ145)+'LINEST VARS'!$B$68*($BS$128*12.73)+'LINEST VARS'!$A$68*($AZ145*12.73)</f>
        <v>147.44</v>
      </c>
      <c r="BT145" s="46">
        <f>'LINEST VARS'!$U$68+'LINEST VARS'!$T$68*(8)+'LINEST VARS'!$S$68*(8)+'LINEST VARS'!$R$68*($BT$128)+'LINEST VARS'!$Q$68*($AZ145)+'LINEST VARS'!$P$68*(12.73)+'LINEST VARS'!$O$68*(8^2)+'LINEST VARS'!$N$68*(8^2)+'LINEST VARS'!$M$68*($BT$128^2)+'LINEST VARS'!$L$68*($AZ145^2)+'LINEST VARS'!$K$68*(12.73^2)+'LINEST VARS'!$J$68*(8*8)+'LINEST VARS'!$I$68*(8*$BT$128)+'LINEST VARS'!$H$68*(8*$AZ145)+'LINEST VARS'!$G$68*(8*12.73)+'LINEST VARS'!$F$68*(8*$BT$128)+'LINEST VARS'!$E$68*(8*$AZ145)+'LINEST VARS'!$D$68*(8*12.73)+'LINEST VARS'!$C$68*($BT$128*$AZ145)+'LINEST VARS'!$B$68*($BT$128*12.73)+'LINEST VARS'!$A$68*($AZ145*12.73)</f>
        <v>147.44</v>
      </c>
      <c r="BU145" s="47">
        <f>'LINEST VARS'!$U$68+'LINEST VARS'!$T$68*(8)+'LINEST VARS'!$S$68*(8)+'LINEST VARS'!$R$68*($BU$128)+'LINEST VARS'!$Q$68*($AZ145)+'LINEST VARS'!$P$68*(12.73)+'LINEST VARS'!$O$68*(8^2)+'LINEST VARS'!$N$68*(8^2)+'LINEST VARS'!$M$68*($BU$128^2)+'LINEST VARS'!$L$68*($AZ145^2)+'LINEST VARS'!$K$68*(12.73^2)+'LINEST VARS'!$J$68*(8*8)+'LINEST VARS'!$I$68*(8*$BU$128)+'LINEST VARS'!$H$68*(8*$AZ145)+'LINEST VARS'!$G$68*(8*12.73)+'LINEST VARS'!$F$68*(8*$BU$128)+'LINEST VARS'!$E$68*(8*$AZ145)+'LINEST VARS'!$D$68*(8*12.73)+'LINEST VARS'!$C$68*($BU$128*$AZ145)+'LINEST VARS'!$B$68*($BU$128*12.73)+'LINEST VARS'!$A$68*($AZ145*12.73)</f>
        <v>147.44</v>
      </c>
      <c r="BX145" s="45">
        <v>0.8</v>
      </c>
      <c r="BY145" s="46">
        <f>'LINEST VARS'!$U$70+'LINEST VARS'!$T$70*(8)+'LINEST VARS'!$S$70*(8)+'LINEST VARS'!$R$70*($BY$128)+'LINEST VARS'!$Q$70*($BX145)+'LINEST VARS'!$P$70*(12.73)+'LINEST VARS'!$O$70*(8^2)+'LINEST VARS'!$N$70*(8^2)+'LINEST VARS'!$M$70*($BY$128^2)+'LINEST VARS'!$L$70*($BX145^2)+'LINEST VARS'!$K$70*(12.73^2)+'LINEST VARS'!$J$70*(8*8)+'LINEST VARS'!$I$70*(8*$BY$128)+'LINEST VARS'!$H$70*(8*$BX145)+'LINEST VARS'!$G$70*(8*12.73)+'LINEST VARS'!$F$70*(8*$BY$128)+'LINEST VARS'!$E$70*(8*$BX145)+'LINEST VARS'!$D$70*(8*12.73)+'LINEST VARS'!$C$70*($BY$128*$BX145)+'LINEST VARS'!$B$70*($BY$128*12.73)+'LINEST VARS'!$A$70*($BX145*12.73)</f>
        <v>92.000000000000014</v>
      </c>
      <c r="BZ145" s="46">
        <f>'LINEST VARS'!$U$70+'LINEST VARS'!$T$70*(8)+'LINEST VARS'!$S$70*(8)+'LINEST VARS'!$R$70*($BZ$128)+'LINEST VARS'!$Q$70*($BX145)+'LINEST VARS'!$P$70*(12.73)+'LINEST VARS'!$O$70*(8^2)+'LINEST VARS'!$N$70*(8^2)+'LINEST VARS'!$M$70*($BZ$128^2)+'LINEST VARS'!$L$70*($BX145^2)+'LINEST VARS'!$K$70*(12.73^2)+'LINEST VARS'!$J$70*(8*8)+'LINEST VARS'!$I$70*(8*$BZ$128)+'LINEST VARS'!$H$70*(8*$BX145)+'LINEST VARS'!$G$70*(8*12.73)+'LINEST VARS'!$F$70*(8*$BZ$128)+'LINEST VARS'!$E$70*(8*$BX145)+'LINEST VARS'!$D$70*(8*12.73)+'LINEST VARS'!$C$70*($BZ$128*$BX145)+'LINEST VARS'!$B$70*($BZ$128*12.73)+'LINEST VARS'!$A$70*($BX145*12.73)</f>
        <v>91.600000000000009</v>
      </c>
      <c r="CA145" s="46">
        <f>'LINEST VARS'!$U$70+'LINEST VARS'!$T$70*(8)+'LINEST VARS'!$S$70*(8)+'LINEST VARS'!$R$70*($CA$128)+'LINEST VARS'!$Q$70*($BX145)+'LINEST VARS'!$P$70*(12.73)+'LINEST VARS'!$O$70*(8^2)+'LINEST VARS'!$N$70*(8^2)+'LINEST VARS'!$M$70*($CA$128^2)+'LINEST VARS'!$L$70*($BX145^2)+'LINEST VARS'!$K$70*(12.73^2)+'LINEST VARS'!$J$70*(8*8)+'LINEST VARS'!$I$70*(8*$CA$128)+'LINEST VARS'!$H$70*(8*$BX145)+'LINEST VARS'!$G$70*(8*12.73)+'LINEST VARS'!$F$70*(8*$CA$128)+'LINEST VARS'!$E$70*(8*$BX145)+'LINEST VARS'!$D$70*(8*12.73)+'LINEST VARS'!$C$70*($CA$128*$BX145)+'LINEST VARS'!$B$70*($CA$128*12.73)+'LINEST VARS'!$A$70*($BX145*12.73)</f>
        <v>91.200000000000017</v>
      </c>
      <c r="CB145" s="46">
        <f>'LINEST VARS'!$U$70+'LINEST VARS'!$T$70*(8)+'LINEST VARS'!$S$70*(8)+'LINEST VARS'!$R$70*($CB$128)+'LINEST VARS'!$Q$70*($BX145)+'LINEST VARS'!$P$70*(12.73)+'LINEST VARS'!$O$70*(8^2)+'LINEST VARS'!$N$70*(8^2)+'LINEST VARS'!$M$70*($CB$128^2)+'LINEST VARS'!$L$70*($BX145^2)+'LINEST VARS'!$K$70*(12.73^2)+'LINEST VARS'!$J$70*(8*8)+'LINEST VARS'!$I$70*(8*$CB$128)+'LINEST VARS'!$H$70*(8*$BX145)+'LINEST VARS'!$G$70*(8*12.73)+'LINEST VARS'!$F$70*(8*$CB$128)+'LINEST VARS'!$E$70*(8*$BX145)+'LINEST VARS'!$D$70*(8*12.73)+'LINEST VARS'!$C$70*($CB$128*$BX145)+'LINEST VARS'!$B$70*($CB$128*12.73)+'LINEST VARS'!$A$70*($BX145*12.73)</f>
        <v>90.800000000000011</v>
      </c>
      <c r="CC145" s="46">
        <f>'LINEST VARS'!$U$70+'LINEST VARS'!$T$70*(8)+'LINEST VARS'!$S$70*(8)+'LINEST VARS'!$R$70*($CC$128)+'LINEST VARS'!$Q$70*($BX145)+'LINEST VARS'!$P$70*(12.73)+'LINEST VARS'!$O$70*(8^2)+'LINEST VARS'!$N$70*(8^2)+'LINEST VARS'!$M$70*($CC$128^2)+'LINEST VARS'!$L$70*($BX145^2)+'LINEST VARS'!$K$70*(12.73^2)+'LINEST VARS'!$J$70*(8*8)+'LINEST VARS'!$I$70*(8*$CC$128)+'LINEST VARS'!$H$70*(8*$BX145)+'LINEST VARS'!$G$70*(8*12.73)+'LINEST VARS'!$F$70*(8*$CC$128)+'LINEST VARS'!$E$70*(8*$BX145)+'LINEST VARS'!$D$70*(8*12.73)+'LINEST VARS'!$C$70*($CC$128*$BX145)+'LINEST VARS'!$B$70*($CC$128*12.73)+'LINEST VARS'!$A$70*($BX145*12.73)</f>
        <v>90.40000000000002</v>
      </c>
      <c r="CD145" s="46">
        <f>'LINEST VARS'!$U$70+'LINEST VARS'!$T$70*(8)+'LINEST VARS'!$S$70*(8)+'LINEST VARS'!$R$70*($CD$128)+'LINEST VARS'!$Q$70*($BX145)+'LINEST VARS'!$P$70*(12.73)+'LINEST VARS'!$O$70*(8^2)+'LINEST VARS'!$N$70*(8^2)+'LINEST VARS'!$M$70*($CD$128^2)+'LINEST VARS'!$L$70*($BX145^2)+'LINEST VARS'!$K$70*(12.73^2)+'LINEST VARS'!$J$70*(8*8)+'LINEST VARS'!$I$70*(8*$CD$128)+'LINEST VARS'!$H$70*(8*$BX145)+'LINEST VARS'!$G$70*(8*12.73)+'LINEST VARS'!$F$70*(8*$CD$128)+'LINEST VARS'!$E$70*(8*$BX145)+'LINEST VARS'!$D$70*(8*12.73)+'LINEST VARS'!$C$70*($CD$128*$BX145)+'LINEST VARS'!$B$70*($CD$128*12.73)+'LINEST VARS'!$A$70*($BX145*12.73)</f>
        <v>90.000000000000014</v>
      </c>
      <c r="CE145" s="46">
        <f>'LINEST VARS'!$U$70+'LINEST VARS'!$T$70*(8)+'LINEST VARS'!$S$70*(8)+'LINEST VARS'!$R$70*($CE$128)+'LINEST VARS'!$Q$70*($BX145)+'LINEST VARS'!$P$70*(12.73)+'LINEST VARS'!$O$70*(8^2)+'LINEST VARS'!$N$70*(8^2)+'LINEST VARS'!$M$70*($CE$128^2)+'LINEST VARS'!$L$70*($BX145^2)+'LINEST VARS'!$K$70*(12.73^2)+'LINEST VARS'!$J$70*(8*8)+'LINEST VARS'!$I$70*(8*$CE$128)+'LINEST VARS'!$H$70*(8*$BX145)+'LINEST VARS'!$G$70*(8*12.73)+'LINEST VARS'!$F$70*(8*$CE$128)+'LINEST VARS'!$E$70*(8*$BX145)+'LINEST VARS'!$D$70*(8*12.73)+'LINEST VARS'!$C$70*($CE$128*$BX145)+'LINEST VARS'!$B$70*($CE$128*12.73)+'LINEST VARS'!$A$70*($BX145*12.73)</f>
        <v>89.600000000000023</v>
      </c>
      <c r="CF145" s="46">
        <f>'LINEST VARS'!$U$70+'LINEST VARS'!$T$70*(8)+'LINEST VARS'!$S$70*(8)+'LINEST VARS'!$R$70*($CF$128)+'LINEST VARS'!$Q$70*($BX145)+'LINEST VARS'!$P$70*(12.73)+'LINEST VARS'!$O$70*(8^2)+'LINEST VARS'!$N$70*(8^2)+'LINEST VARS'!$M$70*($CF$128^2)+'LINEST VARS'!$L$70*($BX145^2)+'LINEST VARS'!$K$70*(12.73^2)+'LINEST VARS'!$J$70*(8*8)+'LINEST VARS'!$I$70*(8*$CF$128)+'LINEST VARS'!$H$70*(8*$BX145)+'LINEST VARS'!$G$70*(8*12.73)+'LINEST VARS'!$F$70*(8*$CF$128)+'LINEST VARS'!$E$70*(8*$BX145)+'LINEST VARS'!$D$70*(8*12.73)+'LINEST VARS'!$C$70*($CF$128*$BX145)+'LINEST VARS'!$B$70*($CF$128*12.73)+'LINEST VARS'!$A$70*($BX145*12.73)</f>
        <v>89.200000000000017</v>
      </c>
      <c r="CG145" s="46">
        <f>'LINEST VARS'!$U$70+'LINEST VARS'!$T$70*(8)+'LINEST VARS'!$S$70*(8)+'LINEST VARS'!$R$70*($CG$128)+'LINEST VARS'!$Q$70*($BX145)+'LINEST VARS'!$P$70*(12.73)+'LINEST VARS'!$O$70*(8^2)+'LINEST VARS'!$N$70*(8^2)+'LINEST VARS'!$M$70*($CG$128^2)+'LINEST VARS'!$L$70*($BX145^2)+'LINEST VARS'!$K$70*(12.73^2)+'LINEST VARS'!$J$70*(8*8)+'LINEST VARS'!$I$70*(8*$CG$128)+'LINEST VARS'!$H$70*(8*$BX145)+'LINEST VARS'!$G$70*(8*12.73)+'LINEST VARS'!$F$70*(8*$CG$128)+'LINEST VARS'!$E$70*(8*$BX145)+'LINEST VARS'!$D$70*(8*12.73)+'LINEST VARS'!$C$70*($CG$128*$BX145)+'LINEST VARS'!$B$70*($CG$128*12.73)+'LINEST VARS'!$A$70*($BX145*12.73)</f>
        <v>88.800000000000026</v>
      </c>
      <c r="CH145" s="46">
        <f>'LINEST VARS'!$U$70+'LINEST VARS'!$T$70*(8)+'LINEST VARS'!$S$70*(8)+'LINEST VARS'!$R$70*($CH$128)+'LINEST VARS'!$Q$70*($BX145)+'LINEST VARS'!$P$70*(12.73)+'LINEST VARS'!$O$70*(8^2)+'LINEST VARS'!$N$70*(8^2)+'LINEST VARS'!$M$70*($CH$128^2)+'LINEST VARS'!$L$70*($BX145^2)+'LINEST VARS'!$K$70*(12.73^2)+'LINEST VARS'!$J$70*(8*8)+'LINEST VARS'!$I$70*(8*$CH$128)+'LINEST VARS'!$H$70*(8*$BX145)+'LINEST VARS'!$G$70*(8*12.73)+'LINEST VARS'!$F$70*(8*$CH$128)+'LINEST VARS'!$E$70*(8*$BX145)+'LINEST VARS'!$D$70*(8*12.73)+'LINEST VARS'!$C$70*($CH$128*$BX145)+'LINEST VARS'!$B$70*($CH$128*12.73)+'LINEST VARS'!$A$70*($BX145*12.73)</f>
        <v>88.40000000000002</v>
      </c>
      <c r="CI145" s="46">
        <f>'LINEST VARS'!$U$70+'LINEST VARS'!$T$70*(8)+'LINEST VARS'!$S$70*(8)+'LINEST VARS'!$R$70*($CI$128)+'LINEST VARS'!$Q$70*($BX145)+'LINEST VARS'!$P$70*(12.73)+'LINEST VARS'!$O$70*(8^2)+'LINEST VARS'!$N$70*(8^2)+'LINEST VARS'!$M$70*($CI$128^2)+'LINEST VARS'!$L$70*($BX145^2)+'LINEST VARS'!$K$70*(12.73^2)+'LINEST VARS'!$J$70*(8*8)+'LINEST VARS'!$I$70*(8*$CI$128)+'LINEST VARS'!$H$70*(8*$BX145)+'LINEST VARS'!$G$70*(8*12.73)+'LINEST VARS'!$F$70*(8*$CI$128)+'LINEST VARS'!$E$70*(8*$BX145)+'LINEST VARS'!$D$70*(8*12.73)+'LINEST VARS'!$C$70*($CI$128*$BX145)+'LINEST VARS'!$B$70*($CI$128*12.73)+'LINEST VARS'!$A$70*($BX145*12.73)</f>
        <v>88.000000000000014</v>
      </c>
      <c r="CJ145" s="46">
        <f>'LINEST VARS'!$U$70+'LINEST VARS'!$T$70*(8)+'LINEST VARS'!$S$70*(8)+'LINEST VARS'!$R$70*($CJ$128)+'LINEST VARS'!$Q$70*($BX145)+'LINEST VARS'!$P$70*(12.73)+'LINEST VARS'!$O$70*(8^2)+'LINEST VARS'!$N$70*(8^2)+'LINEST VARS'!$M$70*($CJ$128^2)+'LINEST VARS'!$L$70*($BX145^2)+'LINEST VARS'!$K$70*(12.73^2)+'LINEST VARS'!$J$70*(8*8)+'LINEST VARS'!$I$70*(8*$CJ$128)+'LINEST VARS'!$H$70*(8*$BX145)+'LINEST VARS'!$G$70*(8*12.73)+'LINEST VARS'!$F$70*(8*$CJ$128)+'LINEST VARS'!$E$70*(8*$BX145)+'LINEST VARS'!$D$70*(8*12.73)+'LINEST VARS'!$C$70*($CJ$128*$BX145)+'LINEST VARS'!$B$70*($CJ$128*12.73)+'LINEST VARS'!$A$70*($BX145*12.73)</f>
        <v>87.600000000000023</v>
      </c>
      <c r="CK145" s="46">
        <f>'LINEST VARS'!$U$70+'LINEST VARS'!$T$70*(8)+'LINEST VARS'!$S$70*(8)+'LINEST VARS'!$R$70*($CK$128)+'LINEST VARS'!$Q$70*($BX145)+'LINEST VARS'!$P$70*(12.73)+'LINEST VARS'!$O$70*(8^2)+'LINEST VARS'!$N$70*(8^2)+'LINEST VARS'!$M$70*($CK$128^2)+'LINEST VARS'!$L$70*($BX145^2)+'LINEST VARS'!$K$70*(12.73^2)+'LINEST VARS'!$J$70*(8*8)+'LINEST VARS'!$I$70*(8*$CK$128)+'LINEST VARS'!$H$70*(8*$BX145)+'LINEST VARS'!$G$70*(8*12.73)+'LINEST VARS'!$F$70*(8*$CK$128)+'LINEST VARS'!$E$70*(8*$BX145)+'LINEST VARS'!$D$70*(8*12.73)+'LINEST VARS'!$C$70*($CK$128*$BX145)+'LINEST VARS'!$B$70*($CK$128*12.73)+'LINEST VARS'!$A$70*($BX145*12.73)</f>
        <v>87.200000000000017</v>
      </c>
      <c r="CL145" s="46">
        <f>'LINEST VARS'!$U$70+'LINEST VARS'!$T$70*(8)+'LINEST VARS'!$S$70*(8)+'LINEST VARS'!$R$70*($CL$128)+'LINEST VARS'!$Q$70*($BX145)+'LINEST VARS'!$P$70*(12.73)+'LINEST VARS'!$O$70*(8^2)+'LINEST VARS'!$N$70*(8^2)+'LINEST VARS'!$M$70*($CL$128^2)+'LINEST VARS'!$L$70*($BX145^2)+'LINEST VARS'!$K$70*(12.73^2)+'LINEST VARS'!$J$70*(8*8)+'LINEST VARS'!$I$70*(8*$CL$128)+'LINEST VARS'!$H$70*(8*$BX145)+'LINEST VARS'!$G$70*(8*12.73)+'LINEST VARS'!$F$70*(8*$CL$128)+'LINEST VARS'!$E$70*(8*$BX145)+'LINEST VARS'!$D$70*(8*12.73)+'LINEST VARS'!$C$70*($CL$128*$BX145)+'LINEST VARS'!$B$70*($CL$128*12.73)+'LINEST VARS'!$A$70*($BX145*12.73)</f>
        <v>86.800000000000026</v>
      </c>
      <c r="CM145" s="46">
        <f>'LINEST VARS'!$U$70+'LINEST VARS'!$T$70*(8)+'LINEST VARS'!$S$70*(8)+'LINEST VARS'!$R$70*($CM$128)+'LINEST VARS'!$Q$70*($BX145)+'LINEST VARS'!$P$70*(12.73)+'LINEST VARS'!$O$70*(8^2)+'LINEST VARS'!$N$70*(8^2)+'LINEST VARS'!$M$70*($CM$128^2)+'LINEST VARS'!$L$70*($BX145^2)+'LINEST VARS'!$K$70*(12.73^2)+'LINEST VARS'!$J$70*(8*8)+'LINEST VARS'!$I$70*(8*$CM$128)+'LINEST VARS'!$H$70*(8*$BX145)+'LINEST VARS'!$G$70*(8*12.73)+'LINEST VARS'!$F$70*(8*$CM$128)+'LINEST VARS'!$E$70*(8*$BX145)+'LINEST VARS'!$D$70*(8*12.73)+'LINEST VARS'!$C$70*($CM$128*$BX145)+'LINEST VARS'!$B$70*($CM$128*12.73)+'LINEST VARS'!$A$70*($BX145*12.73)</f>
        <v>86.40000000000002</v>
      </c>
      <c r="CN145" s="46">
        <f>'LINEST VARS'!$U$70+'LINEST VARS'!$T$70*(8)+'LINEST VARS'!$S$70*(8)+'LINEST VARS'!$R$70*($CN$128)+'LINEST VARS'!$Q$70*($BX145)+'LINEST VARS'!$P$70*(12.73)+'LINEST VARS'!$O$70*(8^2)+'LINEST VARS'!$N$70*(8^2)+'LINEST VARS'!$M$70*($CN$128^2)+'LINEST VARS'!$L$70*($BX145^2)+'LINEST VARS'!$K$70*(12.73^2)+'LINEST VARS'!$J$70*(8*8)+'LINEST VARS'!$I$70*(8*$CN$128)+'LINEST VARS'!$H$70*(8*$BX145)+'LINEST VARS'!$G$70*(8*12.73)+'LINEST VARS'!$F$70*(8*$CN$128)+'LINEST VARS'!$E$70*(8*$BX145)+'LINEST VARS'!$D$70*(8*12.73)+'LINEST VARS'!$C$70*($CN$128*$BX145)+'LINEST VARS'!$B$70*($CN$128*12.73)+'LINEST VARS'!$A$70*($BX145*12.73)</f>
        <v>86.000000000000014</v>
      </c>
      <c r="CO145" s="46">
        <f>'LINEST VARS'!$U$70+'LINEST VARS'!$T$70*(8)+'LINEST VARS'!$S$70*(8)+'LINEST VARS'!$R$70*($CO$128)+'LINEST VARS'!$Q$70*($BX145)+'LINEST VARS'!$P$70*(12.73)+'LINEST VARS'!$O$70*(8^2)+'LINEST VARS'!$N$70*(8^2)+'LINEST VARS'!$M$70*($CO$128^2)+'LINEST VARS'!$L$70*($BX145^2)+'LINEST VARS'!$K$70*(12.73^2)+'LINEST VARS'!$J$70*(8*8)+'LINEST VARS'!$I$70*(8*$CO$128)+'LINEST VARS'!$H$70*(8*$BX145)+'LINEST VARS'!$G$70*(8*12.73)+'LINEST VARS'!$F$70*(8*$CO$128)+'LINEST VARS'!$E$70*(8*$BX145)+'LINEST VARS'!$D$70*(8*12.73)+'LINEST VARS'!$C$70*($CO$128*$BX145)+'LINEST VARS'!$B$70*($CO$128*12.73)+'LINEST VARS'!$A$70*($BX145*12.73)</f>
        <v>85.600000000000009</v>
      </c>
      <c r="CP145" s="46">
        <f>'LINEST VARS'!$U$70+'LINEST VARS'!$T$70*(8)+'LINEST VARS'!$S$70*(8)+'LINEST VARS'!$R$70*($CP$128)+'LINEST VARS'!$Q$70*($BX145)+'LINEST VARS'!$P$70*(12.73)+'LINEST VARS'!$O$70*(8^2)+'LINEST VARS'!$N$70*(8^2)+'LINEST VARS'!$M$70*($CP$128^2)+'LINEST VARS'!$L$70*($BX145^2)+'LINEST VARS'!$K$70*(12.73^2)+'LINEST VARS'!$J$70*(8*8)+'LINEST VARS'!$I$70*(8*$CP$128)+'LINEST VARS'!$H$70*(8*$BX145)+'LINEST VARS'!$G$70*(8*12.73)+'LINEST VARS'!$F$70*(8*$CP$128)+'LINEST VARS'!$E$70*(8*$BX145)+'LINEST VARS'!$D$70*(8*12.73)+'LINEST VARS'!$C$70*($CP$128*$BX145)+'LINEST VARS'!$B$70*($CP$128*12.73)+'LINEST VARS'!$A$70*($BX145*12.73)</f>
        <v>85.200000000000017</v>
      </c>
      <c r="CQ145" s="46">
        <f>'LINEST VARS'!$U$70+'LINEST VARS'!$T$70*(8)+'LINEST VARS'!$S$70*(8)+'LINEST VARS'!$R$70*($CQ$128)+'LINEST VARS'!$Q$70*($BX145)+'LINEST VARS'!$P$70*(12.73)+'LINEST VARS'!$O$70*(8^2)+'LINEST VARS'!$N$70*(8^2)+'LINEST VARS'!$M$70*($CQ$128^2)+'LINEST VARS'!$L$70*($BX145^2)+'LINEST VARS'!$K$70*(12.73^2)+'LINEST VARS'!$J$70*(8*8)+'LINEST VARS'!$I$70*(8*$CQ$128)+'LINEST VARS'!$H$70*(8*$BX145)+'LINEST VARS'!$G$70*(8*12.73)+'LINEST VARS'!$F$70*(8*$CQ$128)+'LINEST VARS'!$E$70*(8*$BX145)+'LINEST VARS'!$D$70*(8*12.73)+'LINEST VARS'!$C$70*($CQ$128*$BX145)+'LINEST VARS'!$B$70*($CQ$128*12.73)+'LINEST VARS'!$A$70*($BX145*12.73)</f>
        <v>84.800000000000011</v>
      </c>
      <c r="CR145" s="46">
        <f>'LINEST VARS'!$U$70+'LINEST VARS'!$T$70*(8)+'LINEST VARS'!$S$70*(8)+'LINEST VARS'!$R$70*($CR$128)+'LINEST VARS'!$Q$70*($BX145)+'LINEST VARS'!$P$70*(12.73)+'LINEST VARS'!$O$70*(8^2)+'LINEST VARS'!$N$70*(8^2)+'LINEST VARS'!$M$70*($CR$128^2)+'LINEST VARS'!$L$70*($BX145^2)+'LINEST VARS'!$K$70*(12.73^2)+'LINEST VARS'!$J$70*(8*8)+'LINEST VARS'!$I$70*(8*$CR$128)+'LINEST VARS'!$H$70*(8*$BX145)+'LINEST VARS'!$G$70*(8*12.73)+'LINEST VARS'!$F$70*(8*$CR$128)+'LINEST VARS'!$E$70*(8*$BX145)+'LINEST VARS'!$D$70*(8*12.73)+'LINEST VARS'!$C$70*($CR$128*$BX145)+'LINEST VARS'!$B$70*($CR$128*12.73)+'LINEST VARS'!$A$70*($BX145*12.73)</f>
        <v>84.400000000000034</v>
      </c>
      <c r="CS145" s="47">
        <f>'LINEST VARS'!$U$70+'LINEST VARS'!$T$70*(8)+'LINEST VARS'!$S$70*(8)+'LINEST VARS'!$R$70*($CS$128)+'LINEST VARS'!$Q$70*($BX145)+'LINEST VARS'!$P$70*(12.73)+'LINEST VARS'!$O$70*(8^2)+'LINEST VARS'!$N$70*(8^2)+'LINEST VARS'!$M$70*($CS$128^2)+'LINEST VARS'!$L$70*($BX145^2)+'LINEST VARS'!$K$70*(12.73^2)+'LINEST VARS'!$J$70*(8*8)+'LINEST VARS'!$I$70*(8*$CS$128)+'LINEST VARS'!$H$70*(8*$BX145)+'LINEST VARS'!$G$70*(8*12.73)+'LINEST VARS'!$F$70*(8*$CS$128)+'LINEST VARS'!$E$70*(8*$BX145)+'LINEST VARS'!$D$70*(8*12.73)+'LINEST VARS'!$C$70*($CS$128*$BX145)+'LINEST VARS'!$B$70*($CS$128*12.73)+'LINEST VARS'!$A$70*($BX145*12.73)</f>
        <v>84.000000000000028</v>
      </c>
      <c r="CX145" s="45">
        <v>20.792000000000002</v>
      </c>
      <c r="CY145" s="46">
        <f>'LINEST VARS'!$U$68+'LINEST VARS'!$T$68*(8)+'LINEST VARS'!$S$68*(8)+'LINEST VARS'!$R$68*($CY$128)+'LINEST VARS'!$Q$68*(0.5)+'LINEST VARS'!$P$68*($CX145)+'LINEST VARS'!$O$68*(8^2)+'LINEST VARS'!$N$68*(8^2)+'LINEST VARS'!$M$68*($CY$128^2)+'LINEST VARS'!$L$68*(0.5^2)+'LINEST VARS'!$K$68*($CX145^2)+'LINEST VARS'!$J$68*(8*8)+'LINEST VARS'!$I$68*(8*$CY$128)+'LINEST VARS'!$H$68*(8*0.5)+'LINEST VARS'!$G$68*(8*$CX145)+'LINEST VARS'!$F$68*(8*$CY$128)+'LINEST VARS'!$E$68*(8*0.5)+'LINEST VARS'!$D$68*(8*$CX145)+'LINEST VARS'!$C$68*($CY$128*0.5)+'LINEST VARS'!$B$68*($CY$128*$CX145)+'LINEST VARS'!$A$68*(0.5*$CX145)</f>
        <v>149</v>
      </c>
      <c r="CZ145" s="46">
        <f>'LINEST VARS'!$U$68+'LINEST VARS'!$T$68*(8)+'LINEST VARS'!$S$68*(8)+'LINEST VARS'!$R$68*($CZ$128)+'LINEST VARS'!$Q$68*(0.5)+'LINEST VARS'!$P$68*($CX145)+'LINEST VARS'!$O$68*(8^2)+'LINEST VARS'!$N$68*(8^2)+'LINEST VARS'!$M$68*($CZ$128^2)+'LINEST VARS'!$L$68*(0.5^2)+'LINEST VARS'!$K$68*($CX145^2)+'LINEST VARS'!$J$68*(8*8)+'LINEST VARS'!$I$68*(8*$CZ$128)+'LINEST VARS'!$H$68*(8*0.5)+'LINEST VARS'!$G$68*(8*$CX145)+'LINEST VARS'!$F$68*(8*$CZ$128)+'LINEST VARS'!$E$68*(8*0.5)+'LINEST VARS'!$D$68*(8*$CX145)+'LINEST VARS'!$C$68*($CZ$128*0.5)+'LINEST VARS'!$B$68*($CZ$128*$CX145)+'LINEST VARS'!$A$68*(0.5*$CX145)</f>
        <v>149</v>
      </c>
      <c r="DA145" s="46">
        <f>'LINEST VARS'!$U$68+'LINEST VARS'!$T$68*(8)+'LINEST VARS'!$S$68*(8)+'LINEST VARS'!$R$68*($DA$128)+'LINEST VARS'!$Q$68*(0.5)+'LINEST VARS'!$P$68*($CX145)+'LINEST VARS'!$O$68*(8^2)+'LINEST VARS'!$N$68*(8^2)+'LINEST VARS'!$M$68*($DA$128^2)+'LINEST VARS'!$L$68*(0.5^2)+'LINEST VARS'!$K$68*($CX145^2)+'LINEST VARS'!$J$68*(8*8)+'LINEST VARS'!$I$68*(8*$DA$128)+'LINEST VARS'!$H$68*(8*0.5)+'LINEST VARS'!$G$68*(8*$CX145)+'LINEST VARS'!$F$68*(8*$DA$128)+'LINEST VARS'!$E$68*(8*0.5)+'LINEST VARS'!$D$68*(8*$CX145)+'LINEST VARS'!$C$68*($DA$128*0.5)+'LINEST VARS'!$B$68*($DA$128*$CX145)+'LINEST VARS'!$A$68*(0.5*$CX145)</f>
        <v>149</v>
      </c>
      <c r="DB145" s="46">
        <f>'LINEST VARS'!$U$68+'LINEST VARS'!$T$68*(8)+'LINEST VARS'!$S$68*(8)+'LINEST VARS'!$R$68*($DB$128)+'LINEST VARS'!$Q$68*(0.5)+'LINEST VARS'!$P$68*($CX145)+'LINEST VARS'!$O$68*(8^2)+'LINEST VARS'!$N$68*(8^2)+'LINEST VARS'!$M$68*($DB$128^2)+'LINEST VARS'!$L$68*(0.5^2)+'LINEST VARS'!$K$68*($CX145^2)+'LINEST VARS'!$J$68*(8*8)+'LINEST VARS'!$I$68*(8*$DB$128)+'LINEST VARS'!$H$68*(8*0.5)+'LINEST VARS'!$G$68*(8*$CX145)+'LINEST VARS'!$F$68*(8*$DB$128)+'LINEST VARS'!$E$68*(8*0.5)+'LINEST VARS'!$D$68*(8*$CX145)+'LINEST VARS'!$C$68*($DB$128*0.5)+'LINEST VARS'!$B$68*($DB$128*$CX145)+'LINEST VARS'!$A$68*(0.5*$CX145)</f>
        <v>149</v>
      </c>
      <c r="DC145" s="46">
        <f>'LINEST VARS'!$U$68+'LINEST VARS'!$T$68*(8)+'LINEST VARS'!$S$68*(8)+'LINEST VARS'!$R$68*($DC$128)+'LINEST VARS'!$Q$68*(0.5)+'LINEST VARS'!$P$68*($CX145)+'LINEST VARS'!$O$68*(8^2)+'LINEST VARS'!$N$68*(8^2)+'LINEST VARS'!$M$68*($DC$128^2)+'LINEST VARS'!$L$68*(0.5^2)+'LINEST VARS'!$K$68*($CX145^2)+'LINEST VARS'!$J$68*(8*8)+'LINEST VARS'!$I$68*(8*$DC$128)+'LINEST VARS'!$H$68*(8*0.5)+'LINEST VARS'!$G$68*(8*$CX145)+'LINEST VARS'!$F$68*(8*$DC$128)+'LINEST VARS'!$E$68*(8*0.5)+'LINEST VARS'!$D$68*(8*$CX145)+'LINEST VARS'!$C$68*($DC$128*0.5)+'LINEST VARS'!$B$68*($DC$128*$CX145)+'LINEST VARS'!$A$68*(0.5*$CX145)</f>
        <v>149</v>
      </c>
      <c r="DD145" s="46">
        <f>'LINEST VARS'!$U$68+'LINEST VARS'!$T$68*(8)+'LINEST VARS'!$S$68*(8)+'LINEST VARS'!$R$68*($DD$128)+'LINEST VARS'!$Q$68*(0.5)+'LINEST VARS'!$P$68*($CX145)+'LINEST VARS'!$O$68*(8^2)+'LINEST VARS'!$N$68*(8^2)+'LINEST VARS'!$M$68*($DD$128^2)+'LINEST VARS'!$L$68*(0.5^2)+'LINEST VARS'!$K$68*($CX145^2)+'LINEST VARS'!$J$68*(8*8)+'LINEST VARS'!$I$68*(8*$DD$128)+'LINEST VARS'!$H$68*(8*0.5)+'LINEST VARS'!$G$68*(8*$CX145)+'LINEST VARS'!$F$68*(8*$DD$128)+'LINEST VARS'!$E$68*(8*0.5)+'LINEST VARS'!$D$68*(8*$CX145)+'LINEST VARS'!$C$68*($DD$128*0.5)+'LINEST VARS'!$B$68*($DD$128*$CX145)+'LINEST VARS'!$A$68*(0.5*$CX145)</f>
        <v>149</v>
      </c>
      <c r="DE145" s="46">
        <f>'LINEST VARS'!$U$68+'LINEST VARS'!$T$68*(8)+'LINEST VARS'!$S$68*(8)+'LINEST VARS'!$R$68*($DE$128)+'LINEST VARS'!$Q$68*(0.5)+'LINEST VARS'!$P$68*($CX145)+'LINEST VARS'!$O$68*(8^2)+'LINEST VARS'!$N$68*(8^2)+'LINEST VARS'!$M$68*($DE$128^2)+'LINEST VARS'!$L$68*(0.5^2)+'LINEST VARS'!$K$68*($CX145^2)+'LINEST VARS'!$J$68*(8*8)+'LINEST VARS'!$I$68*(8*$DE$128)+'LINEST VARS'!$H$68*(8*0.5)+'LINEST VARS'!$G$68*(8*$CX145)+'LINEST VARS'!$F$68*(8*$DE$128)+'LINEST VARS'!$E$68*(8*0.5)+'LINEST VARS'!$D$68*(8*$CX145)+'LINEST VARS'!$C$68*($DE$128*0.5)+'LINEST VARS'!$B$68*($DE$128*$CX145)+'LINEST VARS'!$A$68*(0.5*$CX145)</f>
        <v>149</v>
      </c>
      <c r="DF145" s="46">
        <f>'LINEST VARS'!$U$68+'LINEST VARS'!$T$68*(8)+'LINEST VARS'!$S$68*(8)+'LINEST VARS'!$R$68*($DF$128)+'LINEST VARS'!$Q$68*(0.5)+'LINEST VARS'!$P$68*($CX145)+'LINEST VARS'!$O$68*(8^2)+'LINEST VARS'!$N$68*(8^2)+'LINEST VARS'!$M$68*($DF$128^2)+'LINEST VARS'!$L$68*(0.5^2)+'LINEST VARS'!$K$68*($CX145^2)+'LINEST VARS'!$J$68*(8*8)+'LINEST VARS'!$I$68*(8*$DF$128)+'LINEST VARS'!$H$68*(8*0.5)+'LINEST VARS'!$G$68*(8*$CX145)+'LINEST VARS'!$F$68*(8*$DF$128)+'LINEST VARS'!$E$68*(8*0.5)+'LINEST VARS'!$D$68*(8*$CX145)+'LINEST VARS'!$C$68*($DF$128*0.5)+'LINEST VARS'!$B$68*($DF$128*$CX145)+'LINEST VARS'!$A$68*(0.5*$CX145)</f>
        <v>149</v>
      </c>
      <c r="DG145" s="46">
        <f>'LINEST VARS'!$U$68+'LINEST VARS'!$T$68*(8)+'LINEST VARS'!$S$68*(8)+'LINEST VARS'!$R$68*($DG$128)+'LINEST VARS'!$Q$68*(0.5)+'LINEST VARS'!$P$68*($CX145)+'LINEST VARS'!$O$68*(8^2)+'LINEST VARS'!$N$68*(8^2)+'LINEST VARS'!$M$68*($DG$128^2)+'LINEST VARS'!$L$68*(0.5^2)+'LINEST VARS'!$K$68*($CX145^2)+'LINEST VARS'!$J$68*(8*8)+'LINEST VARS'!$I$68*(8*$DG$128)+'LINEST VARS'!$H$68*(8*0.5)+'LINEST VARS'!$G$68*(8*$CX145)+'LINEST VARS'!$F$68*(8*$DG$128)+'LINEST VARS'!$E$68*(8*0.5)+'LINEST VARS'!$D$68*(8*$CX145)+'LINEST VARS'!$C$68*($DG$128*0.5)+'LINEST VARS'!$B$68*($DG$128*$CX145)+'LINEST VARS'!$A$68*(0.5*$CX145)</f>
        <v>149</v>
      </c>
      <c r="DH145" s="46">
        <f>'LINEST VARS'!$U$68+'LINEST VARS'!$T$68*(8)+'LINEST VARS'!$S$68*(8)+'LINEST VARS'!$R$68*($DH$128)+'LINEST VARS'!$Q$68*(0.5)+'LINEST VARS'!$P$68*($CX145)+'LINEST VARS'!$O$68*(8^2)+'LINEST VARS'!$N$68*(8^2)+'LINEST VARS'!$M$68*($DH$128^2)+'LINEST VARS'!$L$68*(0.5^2)+'LINEST VARS'!$K$68*($CX145^2)+'LINEST VARS'!$J$68*(8*8)+'LINEST VARS'!$I$68*(8*$DH$128)+'LINEST VARS'!$H$68*(8*0.5)+'LINEST VARS'!$G$68*(8*$CX145)+'LINEST VARS'!$F$68*(8*$DH$128)+'LINEST VARS'!$E$68*(8*0.5)+'LINEST VARS'!$D$68*(8*$CX145)+'LINEST VARS'!$C$68*($DH$128*0.5)+'LINEST VARS'!$B$68*($DH$128*$CX145)+'LINEST VARS'!$A$68*(0.5*$CX145)</f>
        <v>149</v>
      </c>
      <c r="DI145" s="46">
        <f>'LINEST VARS'!$U$68+'LINEST VARS'!$T$68*(8)+'LINEST VARS'!$S$68*(8)+'LINEST VARS'!$R$68*($DI$128)+'LINEST VARS'!$Q$68*(0.5)+'LINEST VARS'!$P$68*($CX145)+'LINEST VARS'!$O$68*(8^2)+'LINEST VARS'!$N$68*(8^2)+'LINEST VARS'!$M$68*($DI$128^2)+'LINEST VARS'!$L$68*(0.5^2)+'LINEST VARS'!$K$68*($CX145^2)+'LINEST VARS'!$J$68*(8*8)+'LINEST VARS'!$I$68*(8*$DI$128)+'LINEST VARS'!$H$68*(8*0.5)+'LINEST VARS'!$G$68*(8*$CX145)+'LINEST VARS'!$F$68*(8*$DI$128)+'LINEST VARS'!$E$68*(8*0.5)+'LINEST VARS'!$D$68*(8*$CX145)+'LINEST VARS'!$C$68*($DI$128*0.5)+'LINEST VARS'!$B$68*($DI$128*$CX145)+'LINEST VARS'!$A$68*(0.5*$CX145)</f>
        <v>149</v>
      </c>
      <c r="DJ145" s="46">
        <f>'LINEST VARS'!$U$68+'LINEST VARS'!$T$68*(8)+'LINEST VARS'!$S$68*(8)+'LINEST VARS'!$R$68*($DJ$128)+'LINEST VARS'!$Q$68*(0.5)+'LINEST VARS'!$P$68*($CX145)+'LINEST VARS'!$O$68*(8^2)+'LINEST VARS'!$N$68*(8^2)+'LINEST VARS'!$M$68*($DJ$128^2)+'LINEST VARS'!$L$68*(0.5^2)+'LINEST VARS'!$K$68*($CX145^2)+'LINEST VARS'!$J$68*(8*8)+'LINEST VARS'!$I$68*(8*$DJ$128)+'LINEST VARS'!$H$68*(8*0.5)+'LINEST VARS'!$G$68*(8*$CX145)+'LINEST VARS'!$F$68*(8*$DJ$128)+'LINEST VARS'!$E$68*(8*0.5)+'LINEST VARS'!$D$68*(8*$CX145)+'LINEST VARS'!$C$68*($DJ$128*0.5)+'LINEST VARS'!$B$68*($DJ$128*$CX145)+'LINEST VARS'!$A$68*(0.5*$CX145)</f>
        <v>149</v>
      </c>
      <c r="DK145" s="46">
        <f>'LINEST VARS'!$U$68+'LINEST VARS'!$T$68*(8)+'LINEST VARS'!$S$68*(8)+'LINEST VARS'!$R$68*($DK$128)+'LINEST VARS'!$Q$68*(0.5)+'LINEST VARS'!$P$68*($CX145)+'LINEST VARS'!$O$68*(8^2)+'LINEST VARS'!$N$68*(8^2)+'LINEST VARS'!$M$68*($DK$128^2)+'LINEST VARS'!$L$68*(0.5^2)+'LINEST VARS'!$K$68*($CX145^2)+'LINEST VARS'!$J$68*(8*8)+'LINEST VARS'!$I$68*(8*$DK$128)+'LINEST VARS'!$H$68*(8*0.5)+'LINEST VARS'!$G$68*(8*$CX145)+'LINEST VARS'!$F$68*(8*$DK$128)+'LINEST VARS'!$E$68*(8*0.5)+'LINEST VARS'!$D$68*(8*$CX145)+'LINEST VARS'!$C$68*($DK$128*0.5)+'LINEST VARS'!$B$68*($DK$128*$CX145)+'LINEST VARS'!$A$68*(0.5*$CX145)</f>
        <v>149</v>
      </c>
      <c r="DL145" s="46">
        <f>'LINEST VARS'!$U$68+'LINEST VARS'!$T$68*(8)+'LINEST VARS'!$S$68*(8)+'LINEST VARS'!$R$68*($DL$128)+'LINEST VARS'!$Q$68*(0.5)+'LINEST VARS'!$P$68*($CX145)+'LINEST VARS'!$O$68*(8^2)+'LINEST VARS'!$N$68*(8^2)+'LINEST VARS'!$M$68*($DL$128^2)+'LINEST VARS'!$L$68*(0.5^2)+'LINEST VARS'!$K$68*($CX145^2)+'LINEST VARS'!$J$68*(8*8)+'LINEST VARS'!$I$68*(8*$DL$128)+'LINEST VARS'!$H$68*(8*0.5)+'LINEST VARS'!$G$68*(8*$CX145)+'LINEST VARS'!$F$68*(8*$DL$128)+'LINEST VARS'!$E$68*(8*0.5)+'LINEST VARS'!$D$68*(8*$CX145)+'LINEST VARS'!$C$68*($DL$128*0.5)+'LINEST VARS'!$B$68*($DL$128*$CX145)+'LINEST VARS'!$A$68*(0.5*$CX145)</f>
        <v>149</v>
      </c>
      <c r="DM145" s="46">
        <f>'LINEST VARS'!$U$68+'LINEST VARS'!$T$68*(8)+'LINEST VARS'!$S$68*(8)+'LINEST VARS'!$R$68*($DM$128)+'LINEST VARS'!$Q$68*(0.5)+'LINEST VARS'!$P$68*($CX145)+'LINEST VARS'!$O$68*(8^2)+'LINEST VARS'!$N$68*(8^2)+'LINEST VARS'!$M$68*($DM$128^2)+'LINEST VARS'!$L$68*(0.5^2)+'LINEST VARS'!$K$68*($CX145^2)+'LINEST VARS'!$J$68*(8*8)+'LINEST VARS'!$I$68*(8*$DM$128)+'LINEST VARS'!$H$68*(8*0.5)+'LINEST VARS'!$G$68*(8*$CX145)+'LINEST VARS'!$F$68*(8*$DM$128)+'LINEST VARS'!$E$68*(8*0.5)+'LINEST VARS'!$D$68*(8*$CX145)+'LINEST VARS'!$C$68*($DM$128*0.5)+'LINEST VARS'!$B$68*($DM$128*$CX145)+'LINEST VARS'!$A$68*(0.5*$CX145)</f>
        <v>149</v>
      </c>
      <c r="DN145" s="46">
        <f>'LINEST VARS'!$U$68+'LINEST VARS'!$T$68*(8)+'LINEST VARS'!$S$68*(8)+'LINEST VARS'!$R$68*($DN$128)+'LINEST VARS'!$Q$68*(0.5)+'LINEST VARS'!$P$68*($CX145)+'LINEST VARS'!$O$68*(8^2)+'LINEST VARS'!$N$68*(8^2)+'LINEST VARS'!$M$68*($DN$128^2)+'LINEST VARS'!$L$68*(0.5^2)+'LINEST VARS'!$K$68*($CX145^2)+'LINEST VARS'!$J$68*(8*8)+'LINEST VARS'!$I$68*(8*$DN$128)+'LINEST VARS'!$H$68*(8*0.5)+'LINEST VARS'!$G$68*(8*$CX145)+'LINEST VARS'!$F$68*(8*$DN$128)+'LINEST VARS'!$E$68*(8*0.5)+'LINEST VARS'!$D$68*(8*$CX145)+'LINEST VARS'!$C$68*($DN$128*0.5)+'LINEST VARS'!$B$68*($DN$128*$CX145)+'LINEST VARS'!$A$68*(0.5*$CX145)</f>
        <v>149</v>
      </c>
      <c r="DO145" s="46">
        <f>'LINEST VARS'!$U$68+'LINEST VARS'!$T$68*(8)+'LINEST VARS'!$S$68*(8)+'LINEST VARS'!$R$68*($DO$128)+'LINEST VARS'!$Q$68*(0.5)+'LINEST VARS'!$P$68*($CX145)+'LINEST VARS'!$O$68*(8^2)+'LINEST VARS'!$N$68*(8^2)+'LINEST VARS'!$M$68*($DO$128^2)+'LINEST VARS'!$L$68*(0.5^2)+'LINEST VARS'!$K$68*($CX145^2)+'LINEST VARS'!$J$68*(8*8)+'LINEST VARS'!$I$68*(8*$DO$128)+'LINEST VARS'!$H$68*(8*0.5)+'LINEST VARS'!$G$68*(8*$CX145)+'LINEST VARS'!$F$68*(8*$DO$128)+'LINEST VARS'!$E$68*(8*0.5)+'LINEST VARS'!$D$68*(8*$CX145)+'LINEST VARS'!$C$68*($DO$128*0.5)+'LINEST VARS'!$B$68*($DO$128*$CX145)+'LINEST VARS'!$A$68*(0.5*$CX145)</f>
        <v>149</v>
      </c>
      <c r="DP145" s="46">
        <f>'LINEST VARS'!$U$68+'LINEST VARS'!$T$68*(8)+'LINEST VARS'!$S$68*(8)+'LINEST VARS'!$R$68*($DP$128)+'LINEST VARS'!$Q$68*(0.5)+'LINEST VARS'!$P$68*($CX145)+'LINEST VARS'!$O$68*(8^2)+'LINEST VARS'!$N$68*(8^2)+'LINEST VARS'!$M$68*($DP$128^2)+'LINEST VARS'!$L$68*(0.5^2)+'LINEST VARS'!$K$68*($CX145^2)+'LINEST VARS'!$J$68*(8*8)+'LINEST VARS'!$I$68*(8*$DP$128)+'LINEST VARS'!$H$68*(8*0.5)+'LINEST VARS'!$G$68*(8*$CX145)+'LINEST VARS'!$F$68*(8*$DP$128)+'LINEST VARS'!$E$68*(8*0.5)+'LINEST VARS'!$D$68*(8*$CX145)+'LINEST VARS'!$C$68*($DP$128*0.5)+'LINEST VARS'!$B$68*($DP$128*$CX145)+'LINEST VARS'!$A$68*(0.5*$CX145)</f>
        <v>149</v>
      </c>
      <c r="DQ145" s="46">
        <f>'LINEST VARS'!$U$68+'LINEST VARS'!$T$68*(8)+'LINEST VARS'!$S$68*(8)+'LINEST VARS'!$R$68*($DQ$128)+'LINEST VARS'!$Q$68*(0.5)+'LINEST VARS'!$P$68*($CX145)+'LINEST VARS'!$O$68*(8^2)+'LINEST VARS'!$N$68*(8^2)+'LINEST VARS'!$M$68*($DQ$128^2)+'LINEST VARS'!$L$68*(0.5^2)+'LINEST VARS'!$K$68*($CX145^2)+'LINEST VARS'!$J$68*(8*8)+'LINEST VARS'!$I$68*(8*$DQ$128)+'LINEST VARS'!$H$68*(8*0.5)+'LINEST VARS'!$G$68*(8*$CX145)+'LINEST VARS'!$F$68*(8*$DQ$128)+'LINEST VARS'!$E$68*(8*0.5)+'LINEST VARS'!$D$68*(8*$CX145)+'LINEST VARS'!$C$68*($DQ$128*0.5)+'LINEST VARS'!$B$68*($DQ$128*$CX145)+'LINEST VARS'!$A$68*(0.5*$CX145)</f>
        <v>149</v>
      </c>
      <c r="DR145" s="46">
        <f>'LINEST VARS'!$U$68+'LINEST VARS'!$T$68*(8)+'LINEST VARS'!$S$68*(8)+'LINEST VARS'!$R$68*($DR$128)+'LINEST VARS'!$Q$68*(0.5)+'LINEST VARS'!$P$68*($CX145)+'LINEST VARS'!$O$68*(8^2)+'LINEST VARS'!$N$68*(8^2)+'LINEST VARS'!$M$68*($DR$128^2)+'LINEST VARS'!$L$68*(0.5^2)+'LINEST VARS'!$K$68*($CX145^2)+'LINEST VARS'!$J$68*(8*8)+'LINEST VARS'!$I$68*(8*$DR$128)+'LINEST VARS'!$H$68*(8*0.5)+'LINEST VARS'!$G$68*(8*$CX145)+'LINEST VARS'!$F$68*(8*$DR$128)+'LINEST VARS'!$E$68*(8*0.5)+'LINEST VARS'!$D$68*(8*$CX145)+'LINEST VARS'!$C$68*($DR$128*0.5)+'LINEST VARS'!$B$68*($DR$128*$CX145)+'LINEST VARS'!$A$68*(0.5*$CX145)</f>
        <v>149</v>
      </c>
      <c r="DS145" s="47">
        <f>'LINEST VARS'!$U$68+'LINEST VARS'!$T$68*(8)+'LINEST VARS'!$S$68*(8)+'LINEST VARS'!$R$68*($DS$128)+'LINEST VARS'!$Q$68*(0.5)+'LINEST VARS'!$P$68*($CX145)+'LINEST VARS'!$O$68*(8^2)+'LINEST VARS'!$N$68*(8^2)+'LINEST VARS'!$M$68*($DS$128^2)+'LINEST VARS'!$L$68*(0.5^2)+'LINEST VARS'!$K$68*($CX145^2)+'LINEST VARS'!$J$68*(8*8)+'LINEST VARS'!$I$68*(8*$DS$128)+'LINEST VARS'!$H$68*(8*0.5)+'LINEST VARS'!$G$68*(8*$CX145)+'LINEST VARS'!$F$68*(8*$DS$128)+'LINEST VARS'!$E$68*(8*0.5)+'LINEST VARS'!$D$68*(8*$CX145)+'LINEST VARS'!$C$68*($DS$128*0.5)+'LINEST VARS'!$B$68*($DS$128*$CX145)+'LINEST VARS'!$A$68*(0.5*$CX145)</f>
        <v>149</v>
      </c>
      <c r="DV145" s="45">
        <v>20.792000000000002</v>
      </c>
      <c r="DW145" s="46">
        <f>'LINEST VARS'!$U$70+'LINEST VARS'!$T$70*(8)+'LINEST VARS'!$S$70*(8)+'LINEST VARS'!$R$70*($DW$128)+'LINEST VARS'!$Q$70*(0.5)+'LINEST VARS'!$P$70*($DV145)+'LINEST VARS'!$O$70*(8^2)+'LINEST VARS'!$N$70*(8^2)+'LINEST VARS'!$M$70*($DW$128^2)+'LINEST VARS'!$L$70*(0.5^2)+'LINEST VARS'!$K$70*($DV145^2)+'LINEST VARS'!$J$70*(8*8)+'LINEST VARS'!$I$70*(8*$DW$128)+'LINEST VARS'!$H$70*(8*0.5)+'LINEST VARS'!$G$70*(8*$DV145)+'LINEST VARS'!$F$70*(8*$DW$128)+'LINEST VARS'!$E$70*(8*0.5)+'LINEST VARS'!$D$70*(8*$DV145)+'LINEST VARS'!$C$70*($DW$128*0.5)+'LINEST VARS'!$B$70*($DW$128*$DV145)+'LINEST VARS'!$A$70*(0.5*$DV145)</f>
        <v>92.000000000000014</v>
      </c>
      <c r="DX145" s="46">
        <f>'LINEST VARS'!$U$70+'LINEST VARS'!$T$70*(8)+'LINEST VARS'!$S$70*(8)+'LINEST VARS'!$R$70*($DX$128)+'LINEST VARS'!$Q$70*(0.5)+'LINEST VARS'!$P$70*($DV145)+'LINEST VARS'!$O$70*(8^2)+'LINEST VARS'!$N$70*(8^2)+'LINEST VARS'!$M$70*($DX$128^2)+'LINEST VARS'!$L$70*(0.5^2)+'LINEST VARS'!$K$70*($DV145^2)+'LINEST VARS'!$J$70*(8*8)+'LINEST VARS'!$I$70*(8*$DX$128)+'LINEST VARS'!$H$70*(8*0.5)+'LINEST VARS'!$G$70*(8*$DV145)+'LINEST VARS'!$F$70*(8*$DX$128)+'LINEST VARS'!$E$70*(8*0.5)+'LINEST VARS'!$D$70*(8*$DV145)+'LINEST VARS'!$C$70*($DX$128*0.5)+'LINEST VARS'!$B$70*($DX$128*$DV145)+'LINEST VARS'!$A$70*(0.5*$DV145)</f>
        <v>91.600000000000009</v>
      </c>
      <c r="DY145" s="46">
        <f>'LINEST VARS'!$U$70+'LINEST VARS'!$T$70*(8)+'LINEST VARS'!$S$70*(8)+'LINEST VARS'!$R$70*($DY$128)+'LINEST VARS'!$Q$70*(0.5)+'LINEST VARS'!$P$70*($DV145)+'LINEST VARS'!$O$70*(8^2)+'LINEST VARS'!$N$70*(8^2)+'LINEST VARS'!$M$70*($DY$128^2)+'LINEST VARS'!$L$70*(0.5^2)+'LINEST VARS'!$K$70*($DV145^2)+'LINEST VARS'!$J$70*(8*8)+'LINEST VARS'!$I$70*(8*$DY$128)+'LINEST VARS'!$H$70*(8*0.5)+'LINEST VARS'!$G$70*(8*$DV145)+'LINEST VARS'!$F$70*(8*$DY$128)+'LINEST VARS'!$E$70*(8*0.5)+'LINEST VARS'!$D$70*(8*$DV145)+'LINEST VARS'!$C$70*($DY$128*0.5)+'LINEST VARS'!$B$70*($DY$128*$DV145)+'LINEST VARS'!$A$70*(0.5*$DV145)</f>
        <v>91.200000000000017</v>
      </c>
      <c r="DZ145" s="46">
        <f>'LINEST VARS'!$U$70+'LINEST VARS'!$T$70*(8)+'LINEST VARS'!$S$70*(8)+'LINEST VARS'!$R$70*($DZ$128)+'LINEST VARS'!$Q$70*(0.5)+'LINEST VARS'!$P$70*($DV145)+'LINEST VARS'!$O$70*(8^2)+'LINEST VARS'!$N$70*(8^2)+'LINEST VARS'!$M$70*($DZ$128^2)+'LINEST VARS'!$L$70*(0.5^2)+'LINEST VARS'!$K$70*($DV145^2)+'LINEST VARS'!$J$70*(8*8)+'LINEST VARS'!$I$70*(8*$DZ$128)+'LINEST VARS'!$H$70*(8*0.5)+'LINEST VARS'!$G$70*(8*$DV145)+'LINEST VARS'!$F$70*(8*$DZ$128)+'LINEST VARS'!$E$70*(8*0.5)+'LINEST VARS'!$D$70*(8*$DV145)+'LINEST VARS'!$C$70*($DZ$128*0.5)+'LINEST VARS'!$B$70*($DZ$128*$DV145)+'LINEST VARS'!$A$70*(0.5*$DV145)</f>
        <v>90.800000000000011</v>
      </c>
      <c r="EA145" s="46">
        <f>'LINEST VARS'!$U$70+'LINEST VARS'!$T$70*(8)+'LINEST VARS'!$S$70*(8)+'LINEST VARS'!$R$70*($EA$128)+'LINEST VARS'!$Q$70*(0.5)+'LINEST VARS'!$P$70*($DV145)+'LINEST VARS'!$O$70*(8^2)+'LINEST VARS'!$N$70*(8^2)+'LINEST VARS'!$M$70*($EA$128^2)+'LINEST VARS'!$L$70*(0.5^2)+'LINEST VARS'!$K$70*($DV145^2)+'LINEST VARS'!$J$70*(8*8)+'LINEST VARS'!$I$70*(8*$EA$128)+'LINEST VARS'!$H$70*(8*0.5)+'LINEST VARS'!$G$70*(8*$DV145)+'LINEST VARS'!$F$70*(8*$EA$128)+'LINEST VARS'!$E$70*(8*0.5)+'LINEST VARS'!$D$70*(8*$DV145)+'LINEST VARS'!$C$70*($EA$128*0.5)+'LINEST VARS'!$B$70*($EA$128*$DV145)+'LINEST VARS'!$A$70*(0.5*$DV145)</f>
        <v>90.40000000000002</v>
      </c>
      <c r="EB145" s="46">
        <f>'LINEST VARS'!$U$70+'LINEST VARS'!$T$70*(8)+'LINEST VARS'!$S$70*(8)+'LINEST VARS'!$R$70*($EB$128)+'LINEST VARS'!$Q$70*(0.5)+'LINEST VARS'!$P$70*($DV145)+'LINEST VARS'!$O$70*(8^2)+'LINEST VARS'!$N$70*(8^2)+'LINEST VARS'!$M$70*($EB$128^2)+'LINEST VARS'!$L$70*(0.5^2)+'LINEST VARS'!$K$70*($DV145^2)+'LINEST VARS'!$J$70*(8*8)+'LINEST VARS'!$I$70*(8*$EB$128)+'LINEST VARS'!$H$70*(8*0.5)+'LINEST VARS'!$G$70*(8*$DV145)+'LINEST VARS'!$F$70*(8*$EB$128)+'LINEST VARS'!$E$70*(8*0.5)+'LINEST VARS'!$D$70*(8*$DV145)+'LINEST VARS'!$C$70*($EB$128*0.5)+'LINEST VARS'!$B$70*($EB$128*$DV145)+'LINEST VARS'!$A$70*(0.5*$DV145)</f>
        <v>90.000000000000014</v>
      </c>
      <c r="EC145" s="46">
        <f>'LINEST VARS'!$U$70+'LINEST VARS'!$T$70*(8)+'LINEST VARS'!$S$70*(8)+'LINEST VARS'!$R$70*($EC$128)+'LINEST VARS'!$Q$70*(0.5)+'LINEST VARS'!$P$70*($DV145)+'LINEST VARS'!$O$70*(8^2)+'LINEST VARS'!$N$70*(8^2)+'LINEST VARS'!$M$70*($EC$128^2)+'LINEST VARS'!$L$70*(0.5^2)+'LINEST VARS'!$K$70*($DV145^2)+'LINEST VARS'!$J$70*(8*8)+'LINEST VARS'!$I$70*(8*$EC$128)+'LINEST VARS'!$H$70*(8*0.5)+'LINEST VARS'!$G$70*(8*$DV145)+'LINEST VARS'!$F$70*(8*$EC$128)+'LINEST VARS'!$E$70*(8*0.5)+'LINEST VARS'!$D$70*(8*$DV145)+'LINEST VARS'!$C$70*($EC$128*0.5)+'LINEST VARS'!$B$70*($EC$128*$DV145)+'LINEST VARS'!$A$70*(0.5*$DV145)</f>
        <v>89.600000000000023</v>
      </c>
      <c r="ED145" s="46">
        <f>'LINEST VARS'!$U$70+'LINEST VARS'!$T$70*(8)+'LINEST VARS'!$S$70*(8)+'LINEST VARS'!$R$70*($ED$128)+'LINEST VARS'!$Q$70*(0.5)+'LINEST VARS'!$P$70*($DV145)+'LINEST VARS'!$O$70*(8^2)+'LINEST VARS'!$N$70*(8^2)+'LINEST VARS'!$M$70*($ED$128^2)+'LINEST VARS'!$L$70*(0.5^2)+'LINEST VARS'!$K$70*($DV145^2)+'LINEST VARS'!$J$70*(8*8)+'LINEST VARS'!$I$70*(8*$ED$128)+'LINEST VARS'!$H$70*(8*0.5)+'LINEST VARS'!$G$70*(8*$DV145)+'LINEST VARS'!$F$70*(8*$ED$128)+'LINEST VARS'!$E$70*(8*0.5)+'LINEST VARS'!$D$70*(8*$DV145)+'LINEST VARS'!$C$70*($ED$128*0.5)+'LINEST VARS'!$B$70*($ED$128*$DV145)+'LINEST VARS'!$A$70*(0.5*$DV145)</f>
        <v>89.200000000000017</v>
      </c>
      <c r="EE145" s="46">
        <f>'LINEST VARS'!$U$70+'LINEST VARS'!$T$70*(8)+'LINEST VARS'!$S$70*(8)+'LINEST VARS'!$R$70*($EE$128)+'LINEST VARS'!$Q$70*(0.5)+'LINEST VARS'!$P$70*($DV145)+'LINEST VARS'!$O$70*(8^2)+'LINEST VARS'!$N$70*(8^2)+'LINEST VARS'!$M$70*($EE$128^2)+'LINEST VARS'!$L$70*(0.5^2)+'LINEST VARS'!$K$70*($DV145^2)+'LINEST VARS'!$J$70*(8*8)+'LINEST VARS'!$I$70*(8*$EE$128)+'LINEST VARS'!$H$70*(8*0.5)+'LINEST VARS'!$G$70*(8*$DV145)+'LINEST VARS'!$F$70*(8*$EE$128)+'LINEST VARS'!$E$70*(8*0.5)+'LINEST VARS'!$D$70*(8*$DV145)+'LINEST VARS'!$C$70*($EE$128*0.5)+'LINEST VARS'!$B$70*($EE$128*$DV145)+'LINEST VARS'!$A$70*(0.5*$DV145)</f>
        <v>88.800000000000026</v>
      </c>
      <c r="EF145" s="46">
        <f>'LINEST VARS'!$U$70+'LINEST VARS'!$T$70*(8)+'LINEST VARS'!$S$70*(8)+'LINEST VARS'!$R$70*($EF$128)+'LINEST VARS'!$Q$70*(0.5)+'LINEST VARS'!$P$70*($DV145)+'LINEST VARS'!$O$70*(8^2)+'LINEST VARS'!$N$70*(8^2)+'LINEST VARS'!$M$70*($EF$128^2)+'LINEST VARS'!$L$70*(0.5^2)+'LINEST VARS'!$K$70*($DV145^2)+'LINEST VARS'!$J$70*(8*8)+'LINEST VARS'!$I$70*(8*$EF$128)+'LINEST VARS'!$H$70*(8*0.5)+'LINEST VARS'!$G$70*(8*$DV145)+'LINEST VARS'!$F$70*(8*$EF$128)+'LINEST VARS'!$E$70*(8*0.5)+'LINEST VARS'!$D$70*(8*$DV145)+'LINEST VARS'!$C$70*($EF$128*0.5)+'LINEST VARS'!$B$70*($EF$128*$DV145)+'LINEST VARS'!$A$70*(0.5*$DV145)</f>
        <v>88.40000000000002</v>
      </c>
      <c r="EG145" s="46">
        <f>'LINEST VARS'!$U$70+'LINEST VARS'!$T$70*(8)+'LINEST VARS'!$S$70*(8)+'LINEST VARS'!$R$70*($EG$128)+'LINEST VARS'!$Q$70*(0.5)+'LINEST VARS'!$P$70*($DV145)+'LINEST VARS'!$O$70*(8^2)+'LINEST VARS'!$N$70*(8^2)+'LINEST VARS'!$M$70*($EG$128^2)+'LINEST VARS'!$L$70*(0.5^2)+'LINEST VARS'!$K$70*($DV145^2)+'LINEST VARS'!$J$70*(8*8)+'LINEST VARS'!$I$70*(8*$EG$128)+'LINEST VARS'!$H$70*(8*0.5)+'LINEST VARS'!$G$70*(8*$DV145)+'LINEST VARS'!$F$70*(8*$EG$128)+'LINEST VARS'!$E$70*(8*0.5)+'LINEST VARS'!$D$70*(8*$DV145)+'LINEST VARS'!$C$70*($EG$128*0.5)+'LINEST VARS'!$B$70*($EG$128*$DV145)+'LINEST VARS'!$A$70*(0.5*$DV145)</f>
        <v>88.000000000000014</v>
      </c>
      <c r="EH145" s="46">
        <f>'LINEST VARS'!$U$70+'LINEST VARS'!$T$70*(8)+'LINEST VARS'!$S$70*(8)+'LINEST VARS'!$R$70*($EH$128)+'LINEST VARS'!$Q$70*(0.5)+'LINEST VARS'!$P$70*($DV145)+'LINEST VARS'!$O$70*(8^2)+'LINEST VARS'!$N$70*(8^2)+'LINEST VARS'!$M$70*($EH$128^2)+'LINEST VARS'!$L$70*(0.5^2)+'LINEST VARS'!$K$70*($DV145^2)+'LINEST VARS'!$J$70*(8*8)+'LINEST VARS'!$I$70*(8*$EH$128)+'LINEST VARS'!$H$70*(8*0.5)+'LINEST VARS'!$G$70*(8*$DV145)+'LINEST VARS'!$F$70*(8*$EH$128)+'LINEST VARS'!$E$70*(8*0.5)+'LINEST VARS'!$D$70*(8*$DV145)+'LINEST VARS'!$C$70*($EH$128*0.5)+'LINEST VARS'!$B$70*($EH$128*$DV145)+'LINEST VARS'!$A$70*(0.5*$DV145)</f>
        <v>87.600000000000023</v>
      </c>
      <c r="EI145" s="46">
        <f>'LINEST VARS'!$U$70+'LINEST VARS'!$T$70*(8)+'LINEST VARS'!$S$70*(8)+'LINEST VARS'!$R$70*($EI$128)+'LINEST VARS'!$Q$70*(0.5)+'LINEST VARS'!$P$70*($DV145)+'LINEST VARS'!$O$70*(8^2)+'LINEST VARS'!$N$70*(8^2)+'LINEST VARS'!$M$70*($EI$128^2)+'LINEST VARS'!$L$70*(0.5^2)+'LINEST VARS'!$K$70*($DV145^2)+'LINEST VARS'!$J$70*(8*8)+'LINEST VARS'!$I$70*(8*$EI$128)+'LINEST VARS'!$H$70*(8*0.5)+'LINEST VARS'!$G$70*(8*$DV145)+'LINEST VARS'!$F$70*(8*$EI$128)+'LINEST VARS'!$E$70*(8*0.5)+'LINEST VARS'!$D$70*(8*$DV145)+'LINEST VARS'!$C$70*($EI$128*0.5)+'LINEST VARS'!$B$70*($EI$128*$DV145)+'LINEST VARS'!$A$70*(0.5*$DV145)</f>
        <v>87.200000000000017</v>
      </c>
      <c r="EJ145" s="46">
        <f>'LINEST VARS'!$U$70+'LINEST VARS'!$T$70*(8)+'LINEST VARS'!$S$70*(8)+'LINEST VARS'!$R$70*($EJ$128)+'LINEST VARS'!$Q$70*(0.5)+'LINEST VARS'!$P$70*($DV145)+'LINEST VARS'!$O$70*(8^2)+'LINEST VARS'!$N$70*(8^2)+'LINEST VARS'!$M$70*($EJ$128^2)+'LINEST VARS'!$L$70*(0.5^2)+'LINEST VARS'!$K$70*($DV145^2)+'LINEST VARS'!$J$70*(8*8)+'LINEST VARS'!$I$70*(8*$EJ$128)+'LINEST VARS'!$H$70*(8*0.5)+'LINEST VARS'!$G$70*(8*$DV145)+'LINEST VARS'!$F$70*(8*$EJ$128)+'LINEST VARS'!$E$70*(8*0.5)+'LINEST VARS'!$D$70*(8*$DV145)+'LINEST VARS'!$C$70*($EJ$128*0.5)+'LINEST VARS'!$B$70*($EJ$128*$DV145)+'LINEST VARS'!$A$70*(0.5*$DV145)</f>
        <v>86.800000000000026</v>
      </c>
      <c r="EK145" s="46">
        <f>'LINEST VARS'!$U$70+'LINEST VARS'!$T$70*(8)+'LINEST VARS'!$S$70*(8)+'LINEST VARS'!$R$70*($EK$128)+'LINEST VARS'!$Q$70*(0.5)+'LINEST VARS'!$P$70*($DV145)+'LINEST VARS'!$O$70*(8^2)+'LINEST VARS'!$N$70*(8^2)+'LINEST VARS'!$M$70*($EK$128^2)+'LINEST VARS'!$L$70*(0.5^2)+'LINEST VARS'!$K$70*($DV145^2)+'LINEST VARS'!$J$70*(8*8)+'LINEST VARS'!$I$70*(8*$EK$128)+'LINEST VARS'!$H$70*(8*0.5)+'LINEST VARS'!$G$70*(8*$DV145)+'LINEST VARS'!$F$70*(8*$EK$128)+'LINEST VARS'!$E$70*(8*0.5)+'LINEST VARS'!$D$70*(8*$DV145)+'LINEST VARS'!$C$70*($EK$128*0.5)+'LINEST VARS'!$B$70*($EK$128*$DV145)+'LINEST VARS'!$A$70*(0.5*$DV145)</f>
        <v>86.40000000000002</v>
      </c>
      <c r="EL145" s="46">
        <f>'LINEST VARS'!$U$70+'LINEST VARS'!$T$70*(8)+'LINEST VARS'!$S$70*(8)+'LINEST VARS'!$R$70*($EL$128)+'LINEST VARS'!$Q$70*(0.5)+'LINEST VARS'!$P$70*($DV145)+'LINEST VARS'!$O$70*(8^2)+'LINEST VARS'!$N$70*(8^2)+'LINEST VARS'!$M$70*($EL$128^2)+'LINEST VARS'!$L$70*(0.5^2)+'LINEST VARS'!$K$70*($DV145^2)+'LINEST VARS'!$J$70*(8*8)+'LINEST VARS'!$I$70*(8*$EL$128)+'LINEST VARS'!$H$70*(8*0.5)+'LINEST VARS'!$G$70*(8*$DV145)+'LINEST VARS'!$F$70*(8*$EL$128)+'LINEST VARS'!$E$70*(8*0.5)+'LINEST VARS'!$D$70*(8*$DV145)+'LINEST VARS'!$C$70*($EL$128*0.5)+'LINEST VARS'!$B$70*($EL$128*$DV145)+'LINEST VARS'!$A$70*(0.5*$DV145)</f>
        <v>86.000000000000014</v>
      </c>
      <c r="EM145" s="46">
        <f>'LINEST VARS'!$U$70+'LINEST VARS'!$T$70*(8)+'LINEST VARS'!$S$70*(8)+'LINEST VARS'!$R$70*($EM$128)+'LINEST VARS'!$Q$70*(0.5)+'LINEST VARS'!$P$70*($DV145)+'LINEST VARS'!$O$70*(8^2)+'LINEST VARS'!$N$70*(8^2)+'LINEST VARS'!$M$70*($EM$128^2)+'LINEST VARS'!$L$70*(0.5^2)+'LINEST VARS'!$K$70*($DV145^2)+'LINEST VARS'!$J$70*(8*8)+'LINEST VARS'!$I$70*(8*$EM$128)+'LINEST VARS'!$H$70*(8*0.5)+'LINEST VARS'!$G$70*(8*$DV145)+'LINEST VARS'!$F$70*(8*$EM$128)+'LINEST VARS'!$E$70*(8*0.5)+'LINEST VARS'!$D$70*(8*$DV145)+'LINEST VARS'!$C$70*($EM$128*0.5)+'LINEST VARS'!$B$70*($EM$128*$DV145)+'LINEST VARS'!$A$70*(0.5*$DV145)</f>
        <v>85.600000000000009</v>
      </c>
      <c r="EN145" s="46">
        <f>'LINEST VARS'!$U$70+'LINEST VARS'!$T$70*(8)+'LINEST VARS'!$S$70*(8)+'LINEST VARS'!$R$70*($EN$128)+'LINEST VARS'!$Q$70*(0.5)+'LINEST VARS'!$P$70*($DV145)+'LINEST VARS'!$O$70*(8^2)+'LINEST VARS'!$N$70*(8^2)+'LINEST VARS'!$M$70*($EN$128^2)+'LINEST VARS'!$L$70*(0.5^2)+'LINEST VARS'!$K$70*($DV145^2)+'LINEST VARS'!$J$70*(8*8)+'LINEST VARS'!$I$70*(8*$EN$128)+'LINEST VARS'!$H$70*(8*0.5)+'LINEST VARS'!$G$70*(8*$DV145)+'LINEST VARS'!$F$70*(8*$EN$128)+'LINEST VARS'!$E$70*(8*0.5)+'LINEST VARS'!$D$70*(8*$DV145)+'LINEST VARS'!$C$70*($EN$128*0.5)+'LINEST VARS'!$B$70*($EN$128*$DV145)+'LINEST VARS'!$A$70*(0.5*$DV145)</f>
        <v>85.200000000000017</v>
      </c>
      <c r="EO145" s="46">
        <f>'LINEST VARS'!$U$70+'LINEST VARS'!$T$70*(8)+'LINEST VARS'!$S$70*(8)+'LINEST VARS'!$R$70*($EO$128)+'LINEST VARS'!$Q$70*(0.5)+'LINEST VARS'!$P$70*($DV145)+'LINEST VARS'!$O$70*(8^2)+'LINEST VARS'!$N$70*(8^2)+'LINEST VARS'!$M$70*($EO$128^2)+'LINEST VARS'!$L$70*(0.5^2)+'LINEST VARS'!$K$70*($DV145^2)+'LINEST VARS'!$J$70*(8*8)+'LINEST VARS'!$I$70*(8*$EO$128)+'LINEST VARS'!$H$70*(8*0.5)+'LINEST VARS'!$G$70*(8*$DV145)+'LINEST VARS'!$F$70*(8*$EO$128)+'LINEST VARS'!$E$70*(8*0.5)+'LINEST VARS'!$D$70*(8*$DV145)+'LINEST VARS'!$C$70*($EO$128*0.5)+'LINEST VARS'!$B$70*($EO$128*$DV145)+'LINEST VARS'!$A$70*(0.5*$DV145)</f>
        <v>84.800000000000011</v>
      </c>
      <c r="EP145" s="46">
        <f>'LINEST VARS'!$U$70+'LINEST VARS'!$T$70*(8)+'LINEST VARS'!$S$70*(8)+'LINEST VARS'!$R$70*($EP$128)+'LINEST VARS'!$Q$70*(0.5)+'LINEST VARS'!$P$70*($DV145)+'LINEST VARS'!$O$70*(8^2)+'LINEST VARS'!$N$70*(8^2)+'LINEST VARS'!$M$70*($EP$128^2)+'LINEST VARS'!$L$70*(0.5^2)+'LINEST VARS'!$K$70*($DV145^2)+'LINEST VARS'!$J$70*(8*8)+'LINEST VARS'!$I$70*(8*$EP$128)+'LINEST VARS'!$H$70*(8*0.5)+'LINEST VARS'!$G$70*(8*$DV145)+'LINEST VARS'!$F$70*(8*$EP$128)+'LINEST VARS'!$E$70*(8*0.5)+'LINEST VARS'!$D$70*(8*$DV145)+'LINEST VARS'!$C$70*($EP$128*0.5)+'LINEST VARS'!$B$70*($EP$128*$DV145)+'LINEST VARS'!$A$70*(0.5*$DV145)</f>
        <v>84.400000000000034</v>
      </c>
      <c r="EQ145" s="47">
        <f>'LINEST VARS'!$U$70+'LINEST VARS'!$T$70*(8)+'LINEST VARS'!$S$70*(8)+'LINEST VARS'!$R$70*($EQ$128)+'LINEST VARS'!$Q$70*(0.5)+'LINEST VARS'!$P$70*($DV145)+'LINEST VARS'!$O$70*(8^2)+'LINEST VARS'!$N$70*(8^2)+'LINEST VARS'!$M$70*($EQ$128^2)+'LINEST VARS'!$L$70*(0.5^2)+'LINEST VARS'!$K$70*($DV145^2)+'LINEST VARS'!$J$70*(8*8)+'LINEST VARS'!$I$70*(8*$EQ$128)+'LINEST VARS'!$H$70*(8*0.5)+'LINEST VARS'!$G$70*(8*$DV145)+'LINEST VARS'!$F$70*(8*$EQ$128)+'LINEST VARS'!$E$70*(8*0.5)+'LINEST VARS'!$D$70*(8*$DV145)+'LINEST VARS'!$C$70*($EQ$128*0.5)+'LINEST VARS'!$B$70*($EQ$128*$DV145)+'LINEST VARS'!$A$70*(0.5*$DV145)</f>
        <v>84.000000000000028</v>
      </c>
    </row>
    <row r="146" spans="2:147" ht="15" customHeight="1" x14ac:dyDescent="0.25">
      <c r="B146" s="45">
        <v>8.42</v>
      </c>
      <c r="C146" s="46">
        <f>'LINEST VARS'!$U$68+'LINEST VARS'!$T$68*($C$128)+'LINEST VARS'!$S$68*($B146)+'LINEST VARS'!$R$68*(4)+'LINEST VARS'!$Q$68*(0.5)+'LINEST VARS'!$P$68*(12.73)+'LINEST VARS'!$O$68*($C$128^2)+'LINEST VARS'!$N$68*($B146^2)+'LINEST VARS'!$M$68*(4^2)+'LINEST VARS'!$L$68*(0.5^2)+'LINEST VARS'!$K$68*(12.73^2)+'LINEST VARS'!$J$68*($C$128*$B146)+'LINEST VARS'!$I$68*($C$128*4)+'LINEST VARS'!$H$68*($C$128*0.5)+'LINEST VARS'!$G$68*($C$128*12.73)+'LINEST VARS'!$F$68*($B146*4)+'LINEST VARS'!$E$68*($B146*0.5)+'LINEST VARS'!$D$68*($B146*12.73)+'LINEST VARS'!$C$68*(4*0.5)+'LINEST VARS'!$B$68*(4*12.73)+'LINEST VARS'!$A$68*(0.5*12.73)</f>
        <v>149</v>
      </c>
      <c r="D146" s="46">
        <f>'LINEST VARS'!$U$68+'LINEST VARS'!$T$68*($D$128)+'LINEST VARS'!$S$68*($B146)+'LINEST VARS'!$R$68*(4)+'LINEST VARS'!$Q$68*(0.5)+'LINEST VARS'!$P$68*(12.73)+'LINEST VARS'!$O$68*($D$128^2)+'LINEST VARS'!$N$68*($B146^2)+'LINEST VARS'!$M$68*(4^2)+'LINEST VARS'!$L$68*(0.5^2)+'LINEST VARS'!$K$68*(12.73^2)+'LINEST VARS'!$J$68*($D$128*$B146)+'LINEST VARS'!$I$68*($D$128*4)+'LINEST VARS'!$H$68*($D$128*0.5)+'LINEST VARS'!$G$68*($D$128*12.73)+'LINEST VARS'!$F$68*($B146*4)+'LINEST VARS'!$E$68*($B146*0.5)+'LINEST VARS'!$D$68*($B146*12.73)+'LINEST VARS'!$C$68*(4*0.5)+'LINEST VARS'!$B$68*(4*12.73)+'LINEST VARS'!$A$68*(0.5*12.73)</f>
        <v>149</v>
      </c>
      <c r="E146" s="46">
        <f>'LINEST VARS'!$U$68+'LINEST VARS'!$T$68*($E$128)+'LINEST VARS'!$S$68*($B146)+'LINEST VARS'!$R$68*(4)+'LINEST VARS'!$Q$68*(0.5)+'LINEST VARS'!$P$68*(12.73)+'LINEST VARS'!$O$68*($E$128^2)+'LINEST VARS'!$N$68*($B146^2)+'LINEST VARS'!$M$68*(4^2)+'LINEST VARS'!$L$68*(0.5^2)+'LINEST VARS'!$K$68*(12.73^2)+'LINEST VARS'!$J$68*($E$128*$B146)+'LINEST VARS'!$I$68*($E$128*4)+'LINEST VARS'!$H$68*($E$128*0.5)+'LINEST VARS'!$G$68*($E$128*12.73)+'LINEST VARS'!$F$68*($B146*4)+'LINEST VARS'!$E$68*($B146*0.5)+'LINEST VARS'!$D$68*($B146*12.73)+'LINEST VARS'!$C$68*(4*0.5)+'LINEST VARS'!$B$68*(4*12.73)+'LINEST VARS'!$A$68*(0.5*12.73)</f>
        <v>149</v>
      </c>
      <c r="F146" s="46">
        <f>'LINEST VARS'!$U$68+'LINEST VARS'!$T$68*($F$128)+'LINEST VARS'!$S$68*($B146)+'LINEST VARS'!$R$68*(4)+'LINEST VARS'!$Q$68*(0.5)+'LINEST VARS'!$P$68*(12.73)+'LINEST VARS'!$O$68*($F$128^2)+'LINEST VARS'!$N$68*($B146^2)+'LINEST VARS'!$M$68*(4^2)+'LINEST VARS'!$L$68*(0.5^2)+'LINEST VARS'!$K$68*(12.73^2)+'LINEST VARS'!$J$68*($F$128*$B146)+'LINEST VARS'!$I$68*($F$128*4)+'LINEST VARS'!$H$68*($F$128*0.5)+'LINEST VARS'!$G$68*($F$128*12.73)+'LINEST VARS'!$F$68*($B146*4)+'LINEST VARS'!$E$68*($B146*0.5)+'LINEST VARS'!$D$68*($B146*12.73)+'LINEST VARS'!$C$68*(4*0.5)+'LINEST VARS'!$B$68*(4*12.73)+'LINEST VARS'!$A$68*(0.5*12.73)</f>
        <v>149</v>
      </c>
      <c r="G146" s="46">
        <f>'LINEST VARS'!$U$68+'LINEST VARS'!$T$68*($G$128)+'LINEST VARS'!$S$68*($B146)+'LINEST VARS'!$R$68*(4)+'LINEST VARS'!$Q$68*(0.5)+'LINEST VARS'!$P$68*(12.73)+'LINEST VARS'!$O$68*($G$128^2)+'LINEST VARS'!$N$68*($B146^2)+'LINEST VARS'!$M$68*(4^2)+'LINEST VARS'!$L$68*(0.5^2)+'LINEST VARS'!$K$68*(12.73^2)+'LINEST VARS'!$J$68*($G$128*$B146)+'LINEST VARS'!$I$68*($G$128*4)+'LINEST VARS'!$H$68*($G$128*0.5)+'LINEST VARS'!$G$68*($G$128*12.73)+'LINEST VARS'!$F$68*($B146*4)+'LINEST VARS'!$E$68*($B146*0.5)+'LINEST VARS'!$D$68*($B146*12.73)+'LINEST VARS'!$C$68*(4*0.5)+'LINEST VARS'!$B$68*(4*12.73)+'LINEST VARS'!$A$68*(0.5*12.73)</f>
        <v>149</v>
      </c>
      <c r="H146" s="46">
        <f>'LINEST VARS'!$U$68+'LINEST VARS'!$T$68*($H$128)+'LINEST VARS'!$S$68*($B146)+'LINEST VARS'!$R$68*(4)+'LINEST VARS'!$Q$68*(0.5)+'LINEST VARS'!$P$68*(12.73)+'LINEST VARS'!$O$68*($H$128^2)+'LINEST VARS'!$N$68*($B146^2)+'LINEST VARS'!$M$68*(4^2)+'LINEST VARS'!$L$68*(0.5^2)+'LINEST VARS'!$K$68*(12.73^2)+'LINEST VARS'!$J$68*($H$128*$B146)+'LINEST VARS'!$I$68*($H$128*4)+'LINEST VARS'!$H$68*($H$128*0.5)+'LINEST VARS'!$G$68*($H$128*12.73)+'LINEST VARS'!$F$68*($B146*4)+'LINEST VARS'!$E$68*($B146*0.5)+'LINEST VARS'!$D$68*($B146*12.73)+'LINEST VARS'!$C$68*(4*0.5)+'LINEST VARS'!$B$68*(4*12.73)+'LINEST VARS'!$A$68*(0.5*12.73)</f>
        <v>149</v>
      </c>
      <c r="I146" s="46">
        <f>'LINEST VARS'!$U$68+'LINEST VARS'!$T$68*($I$128)+'LINEST VARS'!$S$68*($B146)+'LINEST VARS'!$R$68*(4)+'LINEST VARS'!$Q$68*(0.5)+'LINEST VARS'!$P$68*(12.73)+'LINEST VARS'!$O$68*($I$128^2)+'LINEST VARS'!$N$68*($B146^2)+'LINEST VARS'!$M$68*(4^2)+'LINEST VARS'!$L$68*(0.5^2)+'LINEST VARS'!$K$68*(12.73^2)+'LINEST VARS'!$J$68*($I$128*$B146)+'LINEST VARS'!$I$68*($I$128*4)+'LINEST VARS'!$H$68*($I$128*0.5)+'LINEST VARS'!$G$68*($I$128*12.73)+'LINEST VARS'!$F$68*($B146*4)+'LINEST VARS'!$E$68*($B146*0.5)+'LINEST VARS'!$D$68*($B146*12.73)+'LINEST VARS'!$C$68*(4*0.5)+'LINEST VARS'!$B$68*(4*12.73)+'LINEST VARS'!$A$68*(0.5*12.73)</f>
        <v>149</v>
      </c>
      <c r="J146" s="46">
        <f>'LINEST VARS'!$U$68+'LINEST VARS'!$T$68*($J$128)+'LINEST VARS'!$S$68*($B146)+'LINEST VARS'!$R$68*(4)+'LINEST VARS'!$Q$68*(0.5)+'LINEST VARS'!$P$68*(12.73)+'LINEST VARS'!$O$68*($J$128^2)+'LINEST VARS'!$N$68*($B146^2)+'LINEST VARS'!$M$68*(4^2)+'LINEST VARS'!$L$68*(0.5^2)+'LINEST VARS'!$K$68*(12.73^2)+'LINEST VARS'!$J$68*($J$128*$B146)+'LINEST VARS'!$I$68*($J$128*4)+'LINEST VARS'!$H$68*($J$128*0.5)+'LINEST VARS'!$G$68*($J$128*12.73)+'LINEST VARS'!$F$68*($B146*4)+'LINEST VARS'!$E$68*($B146*0.5)+'LINEST VARS'!$D$68*($B146*12.73)+'LINEST VARS'!$C$68*(4*0.5)+'LINEST VARS'!$B$68*(4*12.73)+'LINEST VARS'!$A$68*(0.5*12.73)</f>
        <v>149</v>
      </c>
      <c r="K146" s="46">
        <f>'LINEST VARS'!$U$68+'LINEST VARS'!$T$68*($K$128)+'LINEST VARS'!$S$68*($B146)+'LINEST VARS'!$R$68*(4)+'LINEST VARS'!$Q$68*(0.5)+'LINEST VARS'!$P$68*(12.73)+'LINEST VARS'!$O$68*($K$128^2)+'LINEST VARS'!$N$68*($B146^2)+'LINEST VARS'!$M$68*(4^2)+'LINEST VARS'!$L$68*(0.5^2)+'LINEST VARS'!$K$68*(12.73^2)+'LINEST VARS'!$J$68*($K$128*$B146)+'LINEST VARS'!$I$68*($K$128*4)+'LINEST VARS'!$H$68*($K$128*0.5)+'LINEST VARS'!$G$68*($K$128*12.73)+'LINEST VARS'!$F$68*($B146*4)+'LINEST VARS'!$E$68*($B146*0.5)+'LINEST VARS'!$D$68*($B146*12.73)+'LINEST VARS'!$C$68*(4*0.5)+'LINEST VARS'!$B$68*(4*12.73)+'LINEST VARS'!$A$68*(0.5*12.73)</f>
        <v>149</v>
      </c>
      <c r="L146" s="46">
        <f>'LINEST VARS'!$U$68+'LINEST VARS'!$T$68*($L$128)+'LINEST VARS'!$S$68*($B146)+'LINEST VARS'!$R$68*(4)+'LINEST VARS'!$Q$68*(0.5)+'LINEST VARS'!$P$68*(12.73)+'LINEST VARS'!$O$68*($L$128^2)+'LINEST VARS'!$N$68*($B146^2)+'LINEST VARS'!$M$68*(4^2)+'LINEST VARS'!$L$68*(0.5^2)+'LINEST VARS'!$K$68*(12.73^2)+'LINEST VARS'!$J$68*($L$128*$B146)+'LINEST VARS'!$I$68*($L$128*4)+'LINEST VARS'!$H$68*($L$128*0.5)+'LINEST VARS'!$G$68*($L$128*12.73)+'LINEST VARS'!$F$68*($B146*4)+'LINEST VARS'!$E$68*($B146*0.5)+'LINEST VARS'!$D$68*($B146*12.73)+'LINEST VARS'!$C$68*(4*0.5)+'LINEST VARS'!$B$68*(4*12.73)+'LINEST VARS'!$A$68*(0.5*12.73)</f>
        <v>149</v>
      </c>
      <c r="M146" s="46">
        <f>'LINEST VARS'!$U$68+'LINEST VARS'!$T$68*($M$128)+'LINEST VARS'!$S$68*($B146)+'LINEST VARS'!$R$68*(4)+'LINEST VARS'!$Q$68*(0.5)+'LINEST VARS'!$P$68*(12.73)+'LINEST VARS'!$O$68*($M$128^2)+'LINEST VARS'!$N$68*($B146^2)+'LINEST VARS'!$M$68*(4^2)+'LINEST VARS'!$L$68*(0.5^2)+'LINEST VARS'!$K$68*(12.73^2)+'LINEST VARS'!$J$68*($M$128*$B146)+'LINEST VARS'!$I$68*($M$128*4)+'LINEST VARS'!$H$68*($M$128*0.5)+'LINEST VARS'!$G$68*($M$128*12.73)+'LINEST VARS'!$F$68*($B146*4)+'LINEST VARS'!$E$68*($B146*0.5)+'LINEST VARS'!$D$68*($B146*12.73)+'LINEST VARS'!$C$68*(4*0.5)+'LINEST VARS'!$B$68*(4*12.73)+'LINEST VARS'!$A$68*(0.5*12.73)</f>
        <v>149</v>
      </c>
      <c r="N146" s="46">
        <f>'LINEST VARS'!$U$68+'LINEST VARS'!$T$68*($N$128)+'LINEST VARS'!$S$68*($B146)+'LINEST VARS'!$R$68*(4)+'LINEST VARS'!$Q$68*(0.5)+'LINEST VARS'!$P$68*(12.73)+'LINEST VARS'!$O$68*($N$128^2)+'LINEST VARS'!$N$68*($B146^2)+'LINEST VARS'!$M$68*(4^2)+'LINEST VARS'!$L$68*(0.5^2)+'LINEST VARS'!$K$68*(12.73^2)+'LINEST VARS'!$J$68*($N$128*$B146)+'LINEST VARS'!$I$68*($N$128*4)+'LINEST VARS'!$H$68*($N$128*0.5)+'LINEST VARS'!$G$68*($N$128*12.73)+'LINEST VARS'!$F$68*($B146*4)+'LINEST VARS'!$E$68*($B146*0.5)+'LINEST VARS'!$D$68*($B146*12.73)+'LINEST VARS'!$C$68*(4*0.5)+'LINEST VARS'!$B$68*(4*12.73)+'LINEST VARS'!$A$68*(0.5*12.73)</f>
        <v>149</v>
      </c>
      <c r="O146" s="46">
        <f>'LINEST VARS'!$U$68+'LINEST VARS'!$T$68*($O$128)+'LINEST VARS'!$S$68*($B146)+'LINEST VARS'!$R$68*(4)+'LINEST VARS'!$Q$68*(0.5)+'LINEST VARS'!$P$68*(12.73)+'LINEST VARS'!$O$68*($O$128^2)+'LINEST VARS'!$N$68*($B146^2)+'LINEST VARS'!$M$68*(4^2)+'LINEST VARS'!$L$68*(0.5^2)+'LINEST VARS'!$K$68*(12.73^2)+'LINEST VARS'!$J$68*($O$128*$B146)+'LINEST VARS'!$I$68*($O$128*4)+'LINEST VARS'!$H$68*($O$128*0.5)+'LINEST VARS'!$G$68*($O$128*12.73)+'LINEST VARS'!$F$68*($B146*4)+'LINEST VARS'!$E$68*($B146*0.5)+'LINEST VARS'!$D$68*($B146*12.73)+'LINEST VARS'!$C$68*(4*0.5)+'LINEST VARS'!$B$68*(4*12.73)+'LINEST VARS'!$A$68*(0.5*12.73)</f>
        <v>149</v>
      </c>
      <c r="P146" s="46">
        <f>'LINEST VARS'!$U$68+'LINEST VARS'!$T$68*($P$128)+'LINEST VARS'!$S$68*($B146)+'LINEST VARS'!$R$68*(4)+'LINEST VARS'!$Q$68*(0.5)+'LINEST VARS'!$P$68*(12.73)+'LINEST VARS'!$O$68*($P$128^2)+'LINEST VARS'!$N$68*($B146^2)+'LINEST VARS'!$M$68*(4^2)+'LINEST VARS'!$L$68*(0.5^2)+'LINEST VARS'!$K$68*(12.73^2)+'LINEST VARS'!$J$68*($P$128*$B146)+'LINEST VARS'!$I$68*($P$128*4)+'LINEST VARS'!$H$68*($P$128*0.5)+'LINEST VARS'!$G$68*($P$128*12.73)+'LINEST VARS'!$F$68*($B146*4)+'LINEST VARS'!$E$68*($B146*0.5)+'LINEST VARS'!$D$68*($B146*12.73)+'LINEST VARS'!$C$68*(4*0.5)+'LINEST VARS'!$B$68*(4*12.73)+'LINEST VARS'!$A$68*(0.5*12.73)</f>
        <v>149</v>
      </c>
      <c r="Q146" s="46">
        <f>'LINEST VARS'!$U$68+'LINEST VARS'!$T$68*($Q$128)+'LINEST VARS'!$S$68*($B146)+'LINEST VARS'!$R$68*(4)+'LINEST VARS'!$Q$68*(0.5)+'LINEST VARS'!$P$68*(12.73)+'LINEST VARS'!$O$68*($Q$128^2)+'LINEST VARS'!$N$68*($B146^2)+'LINEST VARS'!$M$68*(4^2)+'LINEST VARS'!$L$68*(0.5^2)+'LINEST VARS'!$K$68*(12.73^2)+'LINEST VARS'!$J$68*($Q$128*$B146)+'LINEST VARS'!$I$68*($Q$128*4)+'LINEST VARS'!$H$68*($Q$128*0.5)+'LINEST VARS'!$G$68*($Q$128*12.73)+'LINEST VARS'!$F$68*($B146*4)+'LINEST VARS'!$E$68*($B146*0.5)+'LINEST VARS'!$D$68*($B146*12.73)+'LINEST VARS'!$C$68*(4*0.5)+'LINEST VARS'!$B$68*(4*12.73)+'LINEST VARS'!$A$68*(0.5*12.73)</f>
        <v>149</v>
      </c>
      <c r="R146" s="46">
        <f>'LINEST VARS'!$U$68+'LINEST VARS'!$T$68*($R$128)+'LINEST VARS'!$S$68*($B146)+'LINEST VARS'!$R$68*(4)+'LINEST VARS'!$Q$68*(0.5)+'LINEST VARS'!$P$68*(12.73)+'LINEST VARS'!$O$68*($R$128^2)+'LINEST VARS'!$N$68*($B146^2)+'LINEST VARS'!$M$68*(4^2)+'LINEST VARS'!$L$68*(0.5^2)+'LINEST VARS'!$K$68*(12.73^2)+'LINEST VARS'!$J$68*($R$128*$B146)+'LINEST VARS'!$I$68*($R$128*4)+'LINEST VARS'!$H$68*($R$128*0.5)+'LINEST VARS'!$G$68*($R$128*12.73)+'LINEST VARS'!$F$68*($B146*4)+'LINEST VARS'!$E$68*($B146*0.5)+'LINEST VARS'!$D$68*($B146*12.73)+'LINEST VARS'!$C$68*(4*0.5)+'LINEST VARS'!$B$68*(4*12.73)+'LINEST VARS'!$A$68*(0.5*12.73)</f>
        <v>149</v>
      </c>
      <c r="S146" s="46">
        <f>'LINEST VARS'!$U$68+'LINEST VARS'!$T$68*($S$128)+'LINEST VARS'!$S$68*($B146)+'LINEST VARS'!$R$68*(4)+'LINEST VARS'!$Q$68*(0.5)+'LINEST VARS'!$P$68*(12.73)+'LINEST VARS'!$O$68*($S$128^2)+'LINEST VARS'!$N$68*($B146^2)+'LINEST VARS'!$M$68*(4^2)+'LINEST VARS'!$L$68*(0.5^2)+'LINEST VARS'!$K$68*(12.73^2)+'LINEST VARS'!$J$68*($S$128*$B146)+'LINEST VARS'!$I$68*($S$128*4)+'LINEST VARS'!$H$68*($S$128*0.5)+'LINEST VARS'!$G$68*($S$128*12.73)+'LINEST VARS'!$F$68*($B146*4)+'LINEST VARS'!$E$68*($B146*0.5)+'LINEST VARS'!$D$68*($B146*12.73)+'LINEST VARS'!$C$68*(4*0.5)+'LINEST VARS'!$B$68*(4*12.73)+'LINEST VARS'!$A$68*(0.5*12.73)</f>
        <v>149</v>
      </c>
      <c r="T146" s="46">
        <f>'LINEST VARS'!$U$68+'LINEST VARS'!$T$68*($T$128)+'LINEST VARS'!$S$68*($B146)+'LINEST VARS'!$R$68*(4)+'LINEST VARS'!$Q$68*(0.5)+'LINEST VARS'!$P$68*(12.73)+'LINEST VARS'!$O$68*($T$128^2)+'LINEST VARS'!$N$68*($B146^2)+'LINEST VARS'!$M$68*(4^2)+'LINEST VARS'!$L$68*(0.5^2)+'LINEST VARS'!$K$68*(12.73^2)+'LINEST VARS'!$J$68*($T$128*$B146)+'LINEST VARS'!$I$68*($T$128*4)+'LINEST VARS'!$H$68*($T$128*0.5)+'LINEST VARS'!$G$68*($T$128*12.73)+'LINEST VARS'!$F$68*($B146*4)+'LINEST VARS'!$E$68*($B146*0.5)+'LINEST VARS'!$D$68*($B146*12.73)+'LINEST VARS'!$C$68*(4*0.5)+'LINEST VARS'!$B$68*(4*12.73)+'LINEST VARS'!$A$68*(0.5*12.73)</f>
        <v>149</v>
      </c>
      <c r="U146" s="46">
        <f>'LINEST VARS'!$U$68+'LINEST VARS'!$T$68*($U$128)+'LINEST VARS'!$S$68*($B146)+'LINEST VARS'!$R$68*(4)+'LINEST VARS'!$Q$68*(0.5)+'LINEST VARS'!$P$68*(12.73)+'LINEST VARS'!$O$68*($U$128^2)+'LINEST VARS'!$N$68*($B146^2)+'LINEST VARS'!$M$68*(4^2)+'LINEST VARS'!$L$68*(0.5^2)+'LINEST VARS'!$K$68*(12.73^2)+'LINEST VARS'!$J$68*($U$128*$B146)+'LINEST VARS'!$I$68*($U$128*4)+'LINEST VARS'!$H$68*($U$128*0.5)+'LINEST VARS'!$G$68*($U$128*12.73)+'LINEST VARS'!$F$68*($B146*4)+'LINEST VARS'!$E$68*($B146*0.5)+'LINEST VARS'!$D$68*($B146*12.73)+'LINEST VARS'!$C$68*(4*0.5)+'LINEST VARS'!$B$68*(4*12.73)+'LINEST VARS'!$A$68*(0.5*12.73)</f>
        <v>149</v>
      </c>
      <c r="V146" s="46">
        <f>'LINEST VARS'!$U$68+'LINEST VARS'!$T$68*($V$128)+'LINEST VARS'!$S$68*($B146)+'LINEST VARS'!$R$68*(4)+'LINEST VARS'!$Q$68*(0.5)+'LINEST VARS'!$P$68*(12.73)+'LINEST VARS'!$O$68*($V$128^2)+'LINEST VARS'!$N$68*($B146^2)+'LINEST VARS'!$M$68*(4^2)+'LINEST VARS'!$L$68*(0.5^2)+'LINEST VARS'!$K$68*(12.73^2)+'LINEST VARS'!$J$68*($V$128*$B146)+'LINEST VARS'!$I$68*($V$128*4)+'LINEST VARS'!$H$68*($V$128*0.5)+'LINEST VARS'!$G$68*($V$128*12.73)+'LINEST VARS'!$F$68*($B146*4)+'LINEST VARS'!$E$68*($B146*0.5)+'LINEST VARS'!$D$68*($B146*12.73)+'LINEST VARS'!$C$68*(4*0.5)+'LINEST VARS'!$B$68*(4*12.73)+'LINEST VARS'!$A$68*(0.5*12.73)</f>
        <v>149</v>
      </c>
      <c r="W146" s="47">
        <f>'LINEST VARS'!$U$68+'LINEST VARS'!$T$68*($W$128)+'LINEST VARS'!$S$68*($B146)+'LINEST VARS'!$R$68*(4)+'LINEST VARS'!$Q$68*(0.5)+'LINEST VARS'!$P$68*(12.73)+'LINEST VARS'!$O$68*($W$128^2)+'LINEST VARS'!$N$68*($B146^2)+'LINEST VARS'!$M$68*(4^2)+'LINEST VARS'!$L$68*(0.5^2)+'LINEST VARS'!$K$68*(12.73^2)+'LINEST VARS'!$J$68*($W$128*$B146)+'LINEST VARS'!$I$68*($W$128*4)+'LINEST VARS'!$H$68*($W$128*0.5)+'LINEST VARS'!$G$68*($W$128*12.73)+'LINEST VARS'!$F$68*($B146*4)+'LINEST VARS'!$E$68*($B146*0.5)+'LINEST VARS'!$D$68*($B146*12.73)+'LINEST VARS'!$C$68*(4*0.5)+'LINEST VARS'!$B$68*(4*12.73)+'LINEST VARS'!$A$68*(0.5*12.73)</f>
        <v>149</v>
      </c>
      <c r="Z146" s="45">
        <v>8.42</v>
      </c>
      <c r="AA146" s="46">
        <f>'LINEST VARS'!$U$70+'LINEST VARS'!$T$70*($AA$128)+'LINEST VARS'!$S$70*($Z146)+'LINEST VARS'!$R$70*(4)+'LINEST VARS'!$Q$70*(0.5)+'LINEST VARS'!$P$70*(12.73)+'LINEST VARS'!$O$70*($AA$128^2)+'LINEST VARS'!$N$70*($Z146^2)+'LINEST VARS'!$M$70*(4^2)+'LINEST VARS'!$L$70*(0.5^2)+'LINEST VARS'!$K$70*(12.73^2)+'LINEST VARS'!$J$70*($AA$128*$Z146)+'LINEST VARS'!$I$70*($AA$128*4)+'LINEST VARS'!$H$70*($AA$128*0.5)+'LINEST VARS'!$G$70*($AA$128*12.73)+'LINEST VARS'!$F$70*($Z146*4)+'LINEST VARS'!$E$70*($Z146*0.5)+'LINEST VARS'!$D$70*($Z146*12.73)+'LINEST VARS'!$C$70*(4*0.5)+'LINEST VARS'!$B$70*(4*12.73)+'LINEST VARS'!$A$70*(0.5*12.73)</f>
        <v>88.630000000000038</v>
      </c>
      <c r="AB146" s="46">
        <f>'LINEST VARS'!$U$70+'LINEST VARS'!$T$70*($AB$128)+'LINEST VARS'!$S$70*($Z146)+'LINEST VARS'!$R$70*(4)+'LINEST VARS'!$Q$70*(0.5)+'LINEST VARS'!$P$70*(12.73)+'LINEST VARS'!$O$70*($AB$128^2)+'LINEST VARS'!$N$70*($Z146^2)+'LINEST VARS'!$M$70*(4^2)+'LINEST VARS'!$L$70*(0.5^2)+'LINEST VARS'!$K$70*(12.73^2)+'LINEST VARS'!$J$70*($AB$128*$Z146)+'LINEST VARS'!$I$70*($AB$128*4)+'LINEST VARS'!$H$70*($AB$128*0.5)+'LINEST VARS'!$G$70*($AB$128*12.73)+'LINEST VARS'!$F$70*($Z146*4)+'LINEST VARS'!$E$70*($Z146*0.5)+'LINEST VARS'!$D$70*($Z146*12.73)+'LINEST VARS'!$C$70*(4*0.5)+'LINEST VARS'!$B$70*(4*12.73)+'LINEST VARS'!$A$70*(0.5*12.73)</f>
        <v>88.630000000000038</v>
      </c>
      <c r="AC146" s="46">
        <f>'LINEST VARS'!$U$70+'LINEST VARS'!$T$70*($AC$128)+'LINEST VARS'!$S$70*($Z146)+'LINEST VARS'!$R$70*(4)+'LINEST VARS'!$Q$70*(0.5)+'LINEST VARS'!$P$70*(12.73)+'LINEST VARS'!$O$70*($AC$128^2)+'LINEST VARS'!$N$70*($Z146^2)+'LINEST VARS'!$M$70*(4^2)+'LINEST VARS'!$L$70*(0.5^2)+'LINEST VARS'!$K$70*(12.73^2)+'LINEST VARS'!$J$70*($AC$128*$Z146)+'LINEST VARS'!$I$70*($AC$128*4)+'LINEST VARS'!$H$70*($AC$128*0.5)+'LINEST VARS'!$G$70*($AC$128*12.73)+'LINEST VARS'!$F$70*($Z146*4)+'LINEST VARS'!$E$70*($Z146*0.5)+'LINEST VARS'!$D$70*($Z146*12.73)+'LINEST VARS'!$C$70*(4*0.5)+'LINEST VARS'!$B$70*(4*12.73)+'LINEST VARS'!$A$70*(0.5*12.73)</f>
        <v>88.630000000000038</v>
      </c>
      <c r="AD146" s="46">
        <f>'LINEST VARS'!$U$70+'LINEST VARS'!$T$70*($AD$128)+'LINEST VARS'!$S$70*($Z146)+'LINEST VARS'!$R$70*(4)+'LINEST VARS'!$Q$70*(0.5)+'LINEST VARS'!$P$70*(12.73)+'LINEST VARS'!$O$70*($AD$128^2)+'LINEST VARS'!$N$70*($Z146^2)+'LINEST VARS'!$M$70*(4^2)+'LINEST VARS'!$L$70*(0.5^2)+'LINEST VARS'!$K$70*(12.73^2)+'LINEST VARS'!$J$70*($AD$128*$Z146)+'LINEST VARS'!$I$70*($AD$128*4)+'LINEST VARS'!$H$70*($AD$128*0.5)+'LINEST VARS'!$G$70*($AD$128*12.73)+'LINEST VARS'!$F$70*($Z146*4)+'LINEST VARS'!$E$70*($Z146*0.5)+'LINEST VARS'!$D$70*($Z146*12.73)+'LINEST VARS'!$C$70*(4*0.5)+'LINEST VARS'!$B$70*(4*12.73)+'LINEST VARS'!$A$70*(0.5*12.73)</f>
        <v>88.630000000000038</v>
      </c>
      <c r="AE146" s="46">
        <f>'LINEST VARS'!$U$70+'LINEST VARS'!$T$70*($AE$128)+'LINEST VARS'!$S$70*($Z146)+'LINEST VARS'!$R$70*(4)+'LINEST VARS'!$Q$70*(0.5)+'LINEST VARS'!$P$70*(12.73)+'LINEST VARS'!$O$70*($AE$128^2)+'LINEST VARS'!$N$70*($Z146^2)+'LINEST VARS'!$M$70*(4^2)+'LINEST VARS'!$L$70*(0.5^2)+'LINEST VARS'!$K$70*(12.73^2)+'LINEST VARS'!$J$70*($AE$128*$Z146)+'LINEST VARS'!$I$70*($AE$128*4)+'LINEST VARS'!$H$70*($AE$128*0.5)+'LINEST VARS'!$G$70*($AE$128*12.73)+'LINEST VARS'!$F$70*($Z146*4)+'LINEST VARS'!$E$70*($Z146*0.5)+'LINEST VARS'!$D$70*($Z146*12.73)+'LINEST VARS'!$C$70*(4*0.5)+'LINEST VARS'!$B$70*(4*12.73)+'LINEST VARS'!$A$70*(0.5*12.73)</f>
        <v>88.630000000000038</v>
      </c>
      <c r="AF146" s="46">
        <f>'LINEST VARS'!$U$70+'LINEST VARS'!$T$70*($AF$128)+'LINEST VARS'!$S$70*($Z146)+'LINEST VARS'!$R$70*(4)+'LINEST VARS'!$Q$70*(0.5)+'LINEST VARS'!$P$70*(12.73)+'LINEST VARS'!$O$70*($AF$128^2)+'LINEST VARS'!$N$70*($Z146^2)+'LINEST VARS'!$M$70*(4^2)+'LINEST VARS'!$L$70*(0.5^2)+'LINEST VARS'!$K$70*(12.73^2)+'LINEST VARS'!$J$70*($AF$128*$Z146)+'LINEST VARS'!$I$70*($AF$128*4)+'LINEST VARS'!$H$70*($AF$128*0.5)+'LINEST VARS'!$G$70*($AF$128*12.73)+'LINEST VARS'!$F$70*($Z146*4)+'LINEST VARS'!$E$70*($Z146*0.5)+'LINEST VARS'!$D$70*($Z146*12.73)+'LINEST VARS'!$C$70*(4*0.5)+'LINEST VARS'!$B$70*(4*12.73)+'LINEST VARS'!$A$70*(0.5*12.73)</f>
        <v>88.63000000000001</v>
      </c>
      <c r="AG146" s="46">
        <f>'LINEST VARS'!$U$70+'LINEST VARS'!$T$70*($AG$128)+'LINEST VARS'!$S$70*($Z146)+'LINEST VARS'!$R$70*(4)+'LINEST VARS'!$Q$70*(0.5)+'LINEST VARS'!$P$70*(12.73)+'LINEST VARS'!$O$70*($AG$128^2)+'LINEST VARS'!$N$70*($Z146^2)+'LINEST VARS'!$M$70*(4^2)+'LINEST VARS'!$L$70*(0.5^2)+'LINEST VARS'!$K$70*(12.73^2)+'LINEST VARS'!$J$70*($AG$128*$Z146)+'LINEST VARS'!$I$70*($AG$128*4)+'LINEST VARS'!$H$70*($AG$128*0.5)+'LINEST VARS'!$G$70*($AG$128*12.73)+'LINEST VARS'!$F$70*($Z146*4)+'LINEST VARS'!$E$70*($Z146*0.5)+'LINEST VARS'!$D$70*($Z146*12.73)+'LINEST VARS'!$C$70*(4*0.5)+'LINEST VARS'!$B$70*(4*12.73)+'LINEST VARS'!$A$70*(0.5*12.73)</f>
        <v>88.63000000000001</v>
      </c>
      <c r="AH146" s="46">
        <f>'LINEST VARS'!$U$70+'LINEST VARS'!$T$70*($AH$128)+'LINEST VARS'!$S$70*($Z146)+'LINEST VARS'!$R$70*(4)+'LINEST VARS'!$Q$70*(0.5)+'LINEST VARS'!$P$70*(12.73)+'LINEST VARS'!$O$70*($AH$128^2)+'LINEST VARS'!$N$70*($Z146^2)+'LINEST VARS'!$M$70*(4^2)+'LINEST VARS'!$L$70*(0.5^2)+'LINEST VARS'!$K$70*(12.73^2)+'LINEST VARS'!$J$70*($AH$128*$Z146)+'LINEST VARS'!$I$70*($AH$128*4)+'LINEST VARS'!$H$70*($AH$128*0.5)+'LINEST VARS'!$G$70*($AH$128*12.73)+'LINEST VARS'!$F$70*($Z146*4)+'LINEST VARS'!$E$70*($Z146*0.5)+'LINEST VARS'!$D$70*($Z146*12.73)+'LINEST VARS'!$C$70*(4*0.5)+'LINEST VARS'!$B$70*(4*12.73)+'LINEST VARS'!$A$70*(0.5*12.73)</f>
        <v>88.63000000000001</v>
      </c>
      <c r="AI146" s="46">
        <f>'LINEST VARS'!$U$70+'LINEST VARS'!$T$70*($AI$128)+'LINEST VARS'!$S$70*($Z146)+'LINEST VARS'!$R$70*(4)+'LINEST VARS'!$Q$70*(0.5)+'LINEST VARS'!$P$70*(12.73)+'LINEST VARS'!$O$70*($AI$128^2)+'LINEST VARS'!$N$70*($Z146^2)+'LINEST VARS'!$M$70*(4^2)+'LINEST VARS'!$L$70*(0.5^2)+'LINEST VARS'!$K$70*(12.73^2)+'LINEST VARS'!$J$70*($AI$128*$Z146)+'LINEST VARS'!$I$70*($AI$128*4)+'LINEST VARS'!$H$70*($AI$128*0.5)+'LINEST VARS'!$G$70*($AI$128*12.73)+'LINEST VARS'!$F$70*($Z146*4)+'LINEST VARS'!$E$70*($Z146*0.5)+'LINEST VARS'!$D$70*($Z146*12.73)+'LINEST VARS'!$C$70*(4*0.5)+'LINEST VARS'!$B$70*(4*12.73)+'LINEST VARS'!$A$70*(0.5*12.73)</f>
        <v>88.63000000000001</v>
      </c>
      <c r="AJ146" s="46">
        <f>'LINEST VARS'!$U$70+'LINEST VARS'!$T$70*($AJ$128)+'LINEST VARS'!$S$70*($Z146)+'LINEST VARS'!$R$70*(4)+'LINEST VARS'!$Q$70*(0.5)+'LINEST VARS'!$P$70*(12.73)+'LINEST VARS'!$O$70*($AJ$128^2)+'LINEST VARS'!$N$70*($Z146^2)+'LINEST VARS'!$M$70*(4^2)+'LINEST VARS'!$L$70*(0.5^2)+'LINEST VARS'!$K$70*(12.73^2)+'LINEST VARS'!$J$70*($AJ$128*$Z146)+'LINEST VARS'!$I$70*($AJ$128*4)+'LINEST VARS'!$H$70*($AJ$128*0.5)+'LINEST VARS'!$G$70*($AJ$128*12.73)+'LINEST VARS'!$F$70*($Z146*4)+'LINEST VARS'!$E$70*($Z146*0.5)+'LINEST VARS'!$D$70*($Z146*12.73)+'LINEST VARS'!$C$70*(4*0.5)+'LINEST VARS'!$B$70*(4*12.73)+'LINEST VARS'!$A$70*(0.5*12.73)</f>
        <v>88.63000000000001</v>
      </c>
      <c r="AK146" s="46">
        <f>'LINEST VARS'!$U$70+'LINEST VARS'!$T$70*($AK$128)+'LINEST VARS'!$S$70*($Z146)+'LINEST VARS'!$R$70*(4)+'LINEST VARS'!$Q$70*(0.5)+'LINEST VARS'!$P$70*(12.73)+'LINEST VARS'!$O$70*($AK$128^2)+'LINEST VARS'!$N$70*($Z146^2)+'LINEST VARS'!$M$70*(4^2)+'LINEST VARS'!$L$70*(0.5^2)+'LINEST VARS'!$K$70*(12.73^2)+'LINEST VARS'!$J$70*($AK$128*$Z146)+'LINEST VARS'!$I$70*($AK$128*4)+'LINEST VARS'!$H$70*($AK$128*0.5)+'LINEST VARS'!$G$70*($AK$128*12.73)+'LINEST VARS'!$F$70*($Z146*4)+'LINEST VARS'!$E$70*($Z146*0.5)+'LINEST VARS'!$D$70*($Z146*12.73)+'LINEST VARS'!$C$70*(4*0.5)+'LINEST VARS'!$B$70*(4*12.73)+'LINEST VARS'!$A$70*(0.5*12.73)</f>
        <v>88.63000000000001</v>
      </c>
      <c r="AL146" s="46">
        <f>'LINEST VARS'!$U$70+'LINEST VARS'!$T$70*($AL$128)+'LINEST VARS'!$S$70*($Z146)+'LINEST VARS'!$R$70*(4)+'LINEST VARS'!$Q$70*(0.5)+'LINEST VARS'!$P$70*(12.73)+'LINEST VARS'!$O$70*($AL$128^2)+'LINEST VARS'!$N$70*($Z146^2)+'LINEST VARS'!$M$70*(4^2)+'LINEST VARS'!$L$70*(0.5^2)+'LINEST VARS'!$K$70*(12.73^2)+'LINEST VARS'!$J$70*($AL$128*$Z146)+'LINEST VARS'!$I$70*($AL$128*4)+'LINEST VARS'!$H$70*($AL$128*0.5)+'LINEST VARS'!$G$70*($AL$128*12.73)+'LINEST VARS'!$F$70*($Z146*4)+'LINEST VARS'!$E$70*($Z146*0.5)+'LINEST VARS'!$D$70*($Z146*12.73)+'LINEST VARS'!$C$70*(4*0.5)+'LINEST VARS'!$B$70*(4*12.73)+'LINEST VARS'!$A$70*(0.5*12.73)</f>
        <v>88.63000000000001</v>
      </c>
      <c r="AM146" s="46">
        <f>'LINEST VARS'!$U$70+'LINEST VARS'!$T$70*($AM$128)+'LINEST VARS'!$S$70*($Z146)+'LINEST VARS'!$R$70*(4)+'LINEST VARS'!$Q$70*(0.5)+'LINEST VARS'!$P$70*(12.73)+'LINEST VARS'!$O$70*($AM$128^2)+'LINEST VARS'!$N$70*($Z146^2)+'LINEST VARS'!$M$70*(4^2)+'LINEST VARS'!$L$70*(0.5^2)+'LINEST VARS'!$K$70*(12.73^2)+'LINEST VARS'!$J$70*($AM$128*$Z146)+'LINEST VARS'!$I$70*($AM$128*4)+'LINEST VARS'!$H$70*($AM$128*0.5)+'LINEST VARS'!$G$70*($AM$128*12.73)+'LINEST VARS'!$F$70*($Z146*4)+'LINEST VARS'!$E$70*($Z146*0.5)+'LINEST VARS'!$D$70*($Z146*12.73)+'LINEST VARS'!$C$70*(4*0.5)+'LINEST VARS'!$B$70*(4*12.73)+'LINEST VARS'!$A$70*(0.5*12.73)</f>
        <v>88.63000000000001</v>
      </c>
      <c r="AN146" s="46">
        <f>'LINEST VARS'!$U$70+'LINEST VARS'!$T$70*($AN$128)+'LINEST VARS'!$S$70*($Z146)+'LINEST VARS'!$R$70*(4)+'LINEST VARS'!$Q$70*(0.5)+'LINEST VARS'!$P$70*(12.73)+'LINEST VARS'!$O$70*($AN$128^2)+'LINEST VARS'!$N$70*($Z146^2)+'LINEST VARS'!$M$70*(4^2)+'LINEST VARS'!$L$70*(0.5^2)+'LINEST VARS'!$K$70*(12.73^2)+'LINEST VARS'!$J$70*($AN$128*$Z146)+'LINEST VARS'!$I$70*($AN$128*4)+'LINEST VARS'!$H$70*($AN$128*0.5)+'LINEST VARS'!$G$70*($AN$128*12.73)+'LINEST VARS'!$F$70*($Z146*4)+'LINEST VARS'!$E$70*($Z146*0.5)+'LINEST VARS'!$D$70*($Z146*12.73)+'LINEST VARS'!$C$70*(4*0.5)+'LINEST VARS'!$B$70*(4*12.73)+'LINEST VARS'!$A$70*(0.5*12.73)</f>
        <v>88.63000000000001</v>
      </c>
      <c r="AO146" s="46">
        <f>'LINEST VARS'!$U$70+'LINEST VARS'!$T$70*($AO$128)+'LINEST VARS'!$S$70*($Z146)+'LINEST VARS'!$R$70*(4)+'LINEST VARS'!$Q$70*(0.5)+'LINEST VARS'!$P$70*(12.73)+'LINEST VARS'!$O$70*($AO$128^2)+'LINEST VARS'!$N$70*($Z146^2)+'LINEST VARS'!$M$70*(4^2)+'LINEST VARS'!$L$70*(0.5^2)+'LINEST VARS'!$K$70*(12.73^2)+'LINEST VARS'!$J$70*($AO$128*$Z146)+'LINEST VARS'!$I$70*($AO$128*4)+'LINEST VARS'!$H$70*($AO$128*0.5)+'LINEST VARS'!$G$70*($AO$128*12.73)+'LINEST VARS'!$F$70*($Z146*4)+'LINEST VARS'!$E$70*($Z146*0.5)+'LINEST VARS'!$D$70*($Z146*12.73)+'LINEST VARS'!$C$70*(4*0.5)+'LINEST VARS'!$B$70*(4*12.73)+'LINEST VARS'!$A$70*(0.5*12.73)</f>
        <v>88.63000000000001</v>
      </c>
      <c r="AP146" s="46">
        <f>'LINEST VARS'!$U$70+'LINEST VARS'!$T$70*($AP$128)+'LINEST VARS'!$S$70*($Z146)+'LINEST VARS'!$R$70*(4)+'LINEST VARS'!$Q$70*(0.5)+'LINEST VARS'!$P$70*(12.73)+'LINEST VARS'!$O$70*($AP$128^2)+'LINEST VARS'!$N$70*($Z146^2)+'LINEST VARS'!$M$70*(4^2)+'LINEST VARS'!$L$70*(0.5^2)+'LINEST VARS'!$K$70*(12.73^2)+'LINEST VARS'!$J$70*($AP$128*$Z146)+'LINEST VARS'!$I$70*($AP$128*4)+'LINEST VARS'!$H$70*($AP$128*0.5)+'LINEST VARS'!$G$70*($AP$128*12.73)+'LINEST VARS'!$F$70*($Z146*4)+'LINEST VARS'!$E$70*($Z146*0.5)+'LINEST VARS'!$D$70*($Z146*12.73)+'LINEST VARS'!$C$70*(4*0.5)+'LINEST VARS'!$B$70*(4*12.73)+'LINEST VARS'!$A$70*(0.5*12.73)</f>
        <v>88.63000000000001</v>
      </c>
      <c r="AQ146" s="46">
        <f>'LINEST VARS'!$U$70+'LINEST VARS'!$T$70*($AQ$128)+'LINEST VARS'!$S$70*($Z146)+'LINEST VARS'!$R$70*(4)+'LINEST VARS'!$Q$70*(0.5)+'LINEST VARS'!$P$70*(12.73)+'LINEST VARS'!$O$70*($AQ$128^2)+'LINEST VARS'!$N$70*($Z146^2)+'LINEST VARS'!$M$70*(4^2)+'LINEST VARS'!$L$70*(0.5^2)+'LINEST VARS'!$K$70*(12.73^2)+'LINEST VARS'!$J$70*($AQ$128*$Z146)+'LINEST VARS'!$I$70*($AQ$128*4)+'LINEST VARS'!$H$70*($AQ$128*0.5)+'LINEST VARS'!$G$70*($AQ$128*12.73)+'LINEST VARS'!$F$70*($Z146*4)+'LINEST VARS'!$E$70*($Z146*0.5)+'LINEST VARS'!$D$70*($Z146*12.73)+'LINEST VARS'!$C$70*(4*0.5)+'LINEST VARS'!$B$70*(4*12.73)+'LINEST VARS'!$A$70*(0.5*12.73)</f>
        <v>88.63000000000001</v>
      </c>
      <c r="AR146" s="46">
        <f>'LINEST VARS'!$U$70+'LINEST VARS'!$T$70*($AR$128)+'LINEST VARS'!$S$70*($Z146)+'LINEST VARS'!$R$70*(4)+'LINEST VARS'!$Q$70*(0.5)+'LINEST VARS'!$P$70*(12.73)+'LINEST VARS'!$O$70*($AR$128^2)+'LINEST VARS'!$N$70*($Z146^2)+'LINEST VARS'!$M$70*(4^2)+'LINEST VARS'!$L$70*(0.5^2)+'LINEST VARS'!$K$70*(12.73^2)+'LINEST VARS'!$J$70*($AR$128*$Z146)+'LINEST VARS'!$I$70*($AR$128*4)+'LINEST VARS'!$H$70*($AR$128*0.5)+'LINEST VARS'!$G$70*($AR$128*12.73)+'LINEST VARS'!$F$70*($Z146*4)+'LINEST VARS'!$E$70*($Z146*0.5)+'LINEST VARS'!$D$70*($Z146*12.73)+'LINEST VARS'!$C$70*(4*0.5)+'LINEST VARS'!$B$70*(4*12.73)+'LINEST VARS'!$A$70*(0.5*12.73)</f>
        <v>88.63000000000001</v>
      </c>
      <c r="AS146" s="46">
        <f>'LINEST VARS'!$U$70+'LINEST VARS'!$T$70*($AS$128)+'LINEST VARS'!$S$70*($Z146)+'LINEST VARS'!$R$70*(4)+'LINEST VARS'!$Q$70*(0.5)+'LINEST VARS'!$P$70*(12.73)+'LINEST VARS'!$O$70*($AS$128^2)+'LINEST VARS'!$N$70*($Z146^2)+'LINEST VARS'!$M$70*(4^2)+'LINEST VARS'!$L$70*(0.5^2)+'LINEST VARS'!$K$70*(12.73^2)+'LINEST VARS'!$J$70*($AS$128*$Z146)+'LINEST VARS'!$I$70*($AS$128*4)+'LINEST VARS'!$H$70*($AS$128*0.5)+'LINEST VARS'!$G$70*($AS$128*12.73)+'LINEST VARS'!$F$70*($Z146*4)+'LINEST VARS'!$E$70*($Z146*0.5)+'LINEST VARS'!$D$70*($Z146*12.73)+'LINEST VARS'!$C$70*(4*0.5)+'LINEST VARS'!$B$70*(4*12.73)+'LINEST VARS'!$A$70*(0.5*12.73)</f>
        <v>88.63000000000001</v>
      </c>
      <c r="AT146" s="46">
        <f>'LINEST VARS'!$U$70+'LINEST VARS'!$T$70*($AT$128)+'LINEST VARS'!$S$70*($Z146)+'LINEST VARS'!$R$70*(4)+'LINEST VARS'!$Q$70*(0.5)+'LINEST VARS'!$P$70*(12.73)+'LINEST VARS'!$O$70*($AT$128^2)+'LINEST VARS'!$N$70*($Z146^2)+'LINEST VARS'!$M$70*(4^2)+'LINEST VARS'!$L$70*(0.5^2)+'LINEST VARS'!$K$70*(12.73^2)+'LINEST VARS'!$J$70*($AT$128*$Z146)+'LINEST VARS'!$I$70*($AT$128*4)+'LINEST VARS'!$H$70*($AT$128*0.5)+'LINEST VARS'!$G$70*($AT$128*12.73)+'LINEST VARS'!$F$70*($Z146*4)+'LINEST VARS'!$E$70*($Z146*0.5)+'LINEST VARS'!$D$70*($Z146*12.73)+'LINEST VARS'!$C$70*(4*0.5)+'LINEST VARS'!$B$70*(4*12.73)+'LINEST VARS'!$A$70*(0.5*12.73)</f>
        <v>88.63000000000001</v>
      </c>
      <c r="AU146" s="47">
        <f>'LINEST VARS'!$U$70+'LINEST VARS'!$T$70*($AU$128)+'LINEST VARS'!$S$70*($Z146)+'LINEST VARS'!$R$70*(4)+'LINEST VARS'!$Q$70*(0.5)+'LINEST VARS'!$P$70*(12.73)+'LINEST VARS'!$O$70*($AU$128^2)+'LINEST VARS'!$N$70*($Z146^2)+'LINEST VARS'!$M$70*(4^2)+'LINEST VARS'!$L$70*(0.5^2)+'LINEST VARS'!$K$70*(12.73^2)+'LINEST VARS'!$J$70*($AU$128*$Z146)+'LINEST VARS'!$I$70*($AU$128*4)+'LINEST VARS'!$H$70*($AU$128*0.5)+'LINEST VARS'!$G$70*($AU$128*12.73)+'LINEST VARS'!$F$70*($Z146*4)+'LINEST VARS'!$E$70*($Z146*0.5)+'LINEST VARS'!$D$70*($Z146*12.73)+'LINEST VARS'!$C$70*(4*0.5)+'LINEST VARS'!$B$70*(4*12.73)+'LINEST VARS'!$A$70*(0.5*12.73)</f>
        <v>88.63000000000001</v>
      </c>
      <c r="AZ146" s="45">
        <v>0.85</v>
      </c>
      <c r="BA146" s="46">
        <f>'LINEST VARS'!$U$68+'LINEST VARS'!$T$68*(8)+'LINEST VARS'!$S$68*(8)+'LINEST VARS'!$R$68*($BA$128)+'LINEST VARS'!$Q$68*($AZ146)+'LINEST VARS'!$P$68*(12.73)+'LINEST VARS'!$O$68*(8^2)+'LINEST VARS'!$N$68*(8^2)+'LINEST VARS'!$M$68*($BA$128^2)+'LINEST VARS'!$L$68*($AZ146^2)+'LINEST VARS'!$K$68*(12.73^2)+'LINEST VARS'!$J$68*(8*8)+'LINEST VARS'!$I$68*(8*$BA$128)+'LINEST VARS'!$H$68*(8*$AZ146)+'LINEST VARS'!$G$68*(8*12.73)+'LINEST VARS'!$F$68*(8*$BA$128)+'LINEST VARS'!$E$68*(8*$AZ146)+'LINEST VARS'!$D$68*(8*12.73)+'LINEST VARS'!$C$68*($BA$128*$AZ146)+'LINEST VARS'!$B$68*($BA$128*12.73)+'LINEST VARS'!$A$68*($AZ146*12.73)</f>
        <v>147.11000000000001</v>
      </c>
      <c r="BB146" s="46">
        <f>'LINEST VARS'!$U$68+'LINEST VARS'!$T$68*(8)+'LINEST VARS'!$S$68*(8)+'LINEST VARS'!$R$68*($BB$128)+'LINEST VARS'!$Q$68*($AZ146)+'LINEST VARS'!$P$68*(12.73)+'LINEST VARS'!$O$68*(8^2)+'LINEST VARS'!$N$68*(8^2)+'LINEST VARS'!$M$68*($BB$128^2)+'LINEST VARS'!$L$68*($AZ146^2)+'LINEST VARS'!$K$68*(12.73^2)+'LINEST VARS'!$J$68*(8*8)+'LINEST VARS'!$I$68*(8*$BB$128)+'LINEST VARS'!$H$68*(8*$AZ146)+'LINEST VARS'!$G$68*(8*12.73)+'LINEST VARS'!$F$68*(8*$BB$128)+'LINEST VARS'!$E$68*(8*$AZ146)+'LINEST VARS'!$D$68*(8*12.73)+'LINEST VARS'!$C$68*($BB$128*$AZ146)+'LINEST VARS'!$B$68*($BB$128*12.73)+'LINEST VARS'!$A$68*($AZ146*12.73)</f>
        <v>147.11000000000001</v>
      </c>
      <c r="BC146" s="46">
        <f>'LINEST VARS'!$U$68+'LINEST VARS'!$T$68*(8)+'LINEST VARS'!$S$68*(8)+'LINEST VARS'!$R$68*($BC$128)+'LINEST VARS'!$Q$68*($AZ146)+'LINEST VARS'!$P$68*(12.73)+'LINEST VARS'!$O$68*(8^2)+'LINEST VARS'!$N$68*(8^2)+'LINEST VARS'!$M$68*($BC$128^2)+'LINEST VARS'!$L$68*($AZ146^2)+'LINEST VARS'!$K$68*(12.73^2)+'LINEST VARS'!$J$68*(8*8)+'LINEST VARS'!$I$68*(8*$BC$128)+'LINEST VARS'!$H$68*(8*$AZ146)+'LINEST VARS'!$G$68*(8*12.73)+'LINEST VARS'!$F$68*(8*$BC$128)+'LINEST VARS'!$E$68*(8*$AZ146)+'LINEST VARS'!$D$68*(8*12.73)+'LINEST VARS'!$C$68*($BC$128*$AZ146)+'LINEST VARS'!$B$68*($BC$128*12.73)+'LINEST VARS'!$A$68*($AZ146*12.73)</f>
        <v>147.11000000000001</v>
      </c>
      <c r="BD146" s="46">
        <f>'LINEST VARS'!$U$68+'LINEST VARS'!$T$68*(8)+'LINEST VARS'!$S$68*(8)+'LINEST VARS'!$R$68*($BD$128)+'LINEST VARS'!$Q$68*($AZ146)+'LINEST VARS'!$P$68*(12.73)+'LINEST VARS'!$O$68*(8^2)+'LINEST VARS'!$N$68*(8^2)+'LINEST VARS'!$M$68*($BD$128^2)+'LINEST VARS'!$L$68*($AZ146^2)+'LINEST VARS'!$K$68*(12.73^2)+'LINEST VARS'!$J$68*(8*8)+'LINEST VARS'!$I$68*(8*$BD$128)+'LINEST VARS'!$H$68*(8*$AZ146)+'LINEST VARS'!$G$68*(8*12.73)+'LINEST VARS'!$F$68*(8*$BD$128)+'LINEST VARS'!$E$68*(8*$AZ146)+'LINEST VARS'!$D$68*(8*12.73)+'LINEST VARS'!$C$68*($BD$128*$AZ146)+'LINEST VARS'!$B$68*($BD$128*12.73)+'LINEST VARS'!$A$68*($AZ146*12.73)</f>
        <v>147.11000000000001</v>
      </c>
      <c r="BE146" s="46">
        <f>'LINEST VARS'!$U$68+'LINEST VARS'!$T$68*(8)+'LINEST VARS'!$S$68*(8)+'LINEST VARS'!$R$68*($BE$128)+'LINEST VARS'!$Q$68*($AZ146)+'LINEST VARS'!$P$68*(12.73)+'LINEST VARS'!$O$68*(8^2)+'LINEST VARS'!$N$68*(8^2)+'LINEST VARS'!$M$68*($BE$128^2)+'LINEST VARS'!$L$68*($AZ146^2)+'LINEST VARS'!$K$68*(12.73^2)+'LINEST VARS'!$J$68*(8*8)+'LINEST VARS'!$I$68*(8*$BE$128)+'LINEST VARS'!$H$68*(8*$AZ146)+'LINEST VARS'!$G$68*(8*12.73)+'LINEST VARS'!$F$68*(8*$BE$128)+'LINEST VARS'!$E$68*(8*$AZ146)+'LINEST VARS'!$D$68*(8*12.73)+'LINEST VARS'!$C$68*($BE$128*$AZ146)+'LINEST VARS'!$B$68*($BE$128*12.73)+'LINEST VARS'!$A$68*($AZ146*12.73)</f>
        <v>147.11000000000001</v>
      </c>
      <c r="BF146" s="46">
        <f>'LINEST VARS'!$U$68+'LINEST VARS'!$T$68*(8)+'LINEST VARS'!$S$68*(8)+'LINEST VARS'!$R$68*($BF$128)+'LINEST VARS'!$Q$68*($AZ146)+'LINEST VARS'!$P$68*(12.73)+'LINEST VARS'!$O$68*(8^2)+'LINEST VARS'!$N$68*(8^2)+'LINEST VARS'!$M$68*($BF$128^2)+'LINEST VARS'!$L$68*($AZ146^2)+'LINEST VARS'!$K$68*(12.73^2)+'LINEST VARS'!$J$68*(8*8)+'LINEST VARS'!$I$68*(8*$BF$128)+'LINEST VARS'!$H$68*(8*$AZ146)+'LINEST VARS'!$G$68*(8*12.73)+'LINEST VARS'!$F$68*(8*$BF$128)+'LINEST VARS'!$E$68*(8*$AZ146)+'LINEST VARS'!$D$68*(8*12.73)+'LINEST VARS'!$C$68*($BF$128*$AZ146)+'LINEST VARS'!$B$68*($BF$128*12.73)+'LINEST VARS'!$A$68*($AZ146*12.73)</f>
        <v>147.11000000000001</v>
      </c>
      <c r="BG146" s="46">
        <f>'LINEST VARS'!$U$68+'LINEST VARS'!$T$68*(8)+'LINEST VARS'!$S$68*(8)+'LINEST VARS'!$R$68*($BG$128)+'LINEST VARS'!$Q$68*($AZ146)+'LINEST VARS'!$P$68*(12.73)+'LINEST VARS'!$O$68*(8^2)+'LINEST VARS'!$N$68*(8^2)+'LINEST VARS'!$M$68*($BG$128^2)+'LINEST VARS'!$L$68*($AZ146^2)+'LINEST VARS'!$K$68*(12.73^2)+'LINEST VARS'!$J$68*(8*8)+'LINEST VARS'!$I$68*(8*$BG$128)+'LINEST VARS'!$H$68*(8*$AZ146)+'LINEST VARS'!$G$68*(8*12.73)+'LINEST VARS'!$F$68*(8*$BG$128)+'LINEST VARS'!$E$68*(8*$AZ146)+'LINEST VARS'!$D$68*(8*12.73)+'LINEST VARS'!$C$68*($BG$128*$AZ146)+'LINEST VARS'!$B$68*($BG$128*12.73)+'LINEST VARS'!$A$68*($AZ146*12.73)</f>
        <v>147.11000000000001</v>
      </c>
      <c r="BH146" s="46">
        <f>'LINEST VARS'!$U$68+'LINEST VARS'!$T$68*(8)+'LINEST VARS'!$S$68*(8)+'LINEST VARS'!$R$68*($BH$128)+'LINEST VARS'!$Q$68*($AZ146)+'LINEST VARS'!$P$68*(12.73)+'LINEST VARS'!$O$68*(8^2)+'LINEST VARS'!$N$68*(8^2)+'LINEST VARS'!$M$68*($BH$128^2)+'LINEST VARS'!$L$68*($AZ146^2)+'LINEST VARS'!$K$68*(12.73^2)+'LINEST VARS'!$J$68*(8*8)+'LINEST VARS'!$I$68*(8*$BH$128)+'LINEST VARS'!$H$68*(8*$AZ146)+'LINEST VARS'!$G$68*(8*12.73)+'LINEST VARS'!$F$68*(8*$BH$128)+'LINEST VARS'!$E$68*(8*$AZ146)+'LINEST VARS'!$D$68*(8*12.73)+'LINEST VARS'!$C$68*($BH$128*$AZ146)+'LINEST VARS'!$B$68*($BH$128*12.73)+'LINEST VARS'!$A$68*($AZ146*12.73)</f>
        <v>147.11000000000001</v>
      </c>
      <c r="BI146" s="46">
        <f>'LINEST VARS'!$U$68+'LINEST VARS'!$T$68*(8)+'LINEST VARS'!$S$68*(8)+'LINEST VARS'!$R$68*($BI$128)+'LINEST VARS'!$Q$68*($AZ146)+'LINEST VARS'!$P$68*(12.73)+'LINEST VARS'!$O$68*(8^2)+'LINEST VARS'!$N$68*(8^2)+'LINEST VARS'!$M$68*($BI$128^2)+'LINEST VARS'!$L$68*($AZ146^2)+'LINEST VARS'!$K$68*(12.73^2)+'LINEST VARS'!$J$68*(8*8)+'LINEST VARS'!$I$68*(8*$BI$128)+'LINEST VARS'!$H$68*(8*$AZ146)+'LINEST VARS'!$G$68*(8*12.73)+'LINEST VARS'!$F$68*(8*$BI$128)+'LINEST VARS'!$E$68*(8*$AZ146)+'LINEST VARS'!$D$68*(8*12.73)+'LINEST VARS'!$C$68*($BI$128*$AZ146)+'LINEST VARS'!$B$68*($BI$128*12.73)+'LINEST VARS'!$A$68*($AZ146*12.73)</f>
        <v>147.11000000000001</v>
      </c>
      <c r="BJ146" s="46">
        <f>'LINEST VARS'!$U$68+'LINEST VARS'!$T$68*(8)+'LINEST VARS'!$S$68*(8)+'LINEST VARS'!$R$68*($BJ$128)+'LINEST VARS'!$Q$68*($AZ146)+'LINEST VARS'!$P$68*(12.73)+'LINEST VARS'!$O$68*(8^2)+'LINEST VARS'!$N$68*(8^2)+'LINEST VARS'!$M$68*($BJ$128^2)+'LINEST VARS'!$L$68*($AZ146^2)+'LINEST VARS'!$K$68*(12.73^2)+'LINEST VARS'!$J$68*(8*8)+'LINEST VARS'!$I$68*(8*$BJ$128)+'LINEST VARS'!$H$68*(8*$AZ146)+'LINEST VARS'!$G$68*(8*12.73)+'LINEST VARS'!$F$68*(8*$BJ$128)+'LINEST VARS'!$E$68*(8*$AZ146)+'LINEST VARS'!$D$68*(8*12.73)+'LINEST VARS'!$C$68*($BJ$128*$AZ146)+'LINEST VARS'!$B$68*($BJ$128*12.73)+'LINEST VARS'!$A$68*($AZ146*12.73)</f>
        <v>147.11000000000001</v>
      </c>
      <c r="BK146" s="46">
        <f>'LINEST VARS'!$U$68+'LINEST VARS'!$T$68*(8)+'LINEST VARS'!$S$68*(8)+'LINEST VARS'!$R$68*($BK$128)+'LINEST VARS'!$Q$68*($AZ146)+'LINEST VARS'!$P$68*(12.73)+'LINEST VARS'!$O$68*(8^2)+'LINEST VARS'!$N$68*(8^2)+'LINEST VARS'!$M$68*($BK$128^2)+'LINEST VARS'!$L$68*($AZ146^2)+'LINEST VARS'!$K$68*(12.73^2)+'LINEST VARS'!$J$68*(8*8)+'LINEST VARS'!$I$68*(8*$BK$128)+'LINEST VARS'!$H$68*(8*$AZ146)+'LINEST VARS'!$G$68*(8*12.73)+'LINEST VARS'!$F$68*(8*$BK$128)+'LINEST VARS'!$E$68*(8*$AZ146)+'LINEST VARS'!$D$68*(8*12.73)+'LINEST VARS'!$C$68*($BK$128*$AZ146)+'LINEST VARS'!$B$68*($BK$128*12.73)+'LINEST VARS'!$A$68*($AZ146*12.73)</f>
        <v>147.11000000000001</v>
      </c>
      <c r="BL146" s="46">
        <f>'LINEST VARS'!$U$68+'LINEST VARS'!$T$68*(8)+'LINEST VARS'!$S$68*(8)+'LINEST VARS'!$R$68*($BL$128)+'LINEST VARS'!$Q$68*($AZ146)+'LINEST VARS'!$P$68*(12.73)+'LINEST VARS'!$O$68*(8^2)+'LINEST VARS'!$N$68*(8^2)+'LINEST VARS'!$M$68*($BL$128^2)+'LINEST VARS'!$L$68*($AZ146^2)+'LINEST VARS'!$K$68*(12.73^2)+'LINEST VARS'!$J$68*(8*8)+'LINEST VARS'!$I$68*(8*$BL$128)+'LINEST VARS'!$H$68*(8*$AZ146)+'LINEST VARS'!$G$68*(8*12.73)+'LINEST VARS'!$F$68*(8*$BL$128)+'LINEST VARS'!$E$68*(8*$AZ146)+'LINEST VARS'!$D$68*(8*12.73)+'LINEST VARS'!$C$68*($BL$128*$AZ146)+'LINEST VARS'!$B$68*($BL$128*12.73)+'LINEST VARS'!$A$68*($AZ146*12.73)</f>
        <v>147.11000000000001</v>
      </c>
      <c r="BM146" s="46">
        <f>'LINEST VARS'!$U$68+'LINEST VARS'!$T$68*(8)+'LINEST VARS'!$S$68*(8)+'LINEST VARS'!$R$68*($BM$128)+'LINEST VARS'!$Q$68*($AZ146)+'LINEST VARS'!$P$68*(12.73)+'LINEST VARS'!$O$68*(8^2)+'LINEST VARS'!$N$68*(8^2)+'LINEST VARS'!$M$68*($BM$128^2)+'LINEST VARS'!$L$68*($AZ146^2)+'LINEST VARS'!$K$68*(12.73^2)+'LINEST VARS'!$J$68*(8*8)+'LINEST VARS'!$I$68*(8*$BM$128)+'LINEST VARS'!$H$68*(8*$AZ146)+'LINEST VARS'!$G$68*(8*12.73)+'LINEST VARS'!$F$68*(8*$BM$128)+'LINEST VARS'!$E$68*(8*$AZ146)+'LINEST VARS'!$D$68*(8*12.73)+'LINEST VARS'!$C$68*($BM$128*$AZ146)+'LINEST VARS'!$B$68*($BM$128*12.73)+'LINEST VARS'!$A$68*($AZ146*12.73)</f>
        <v>147.11000000000001</v>
      </c>
      <c r="BN146" s="46">
        <f>'LINEST VARS'!$U$68+'LINEST VARS'!$T$68*(8)+'LINEST VARS'!$S$68*(8)+'LINEST VARS'!$R$68*($BN$128)+'LINEST VARS'!$Q$68*($AZ146)+'LINEST VARS'!$P$68*(12.73)+'LINEST VARS'!$O$68*(8^2)+'LINEST VARS'!$N$68*(8^2)+'LINEST VARS'!$M$68*($BN$128^2)+'LINEST VARS'!$L$68*($AZ146^2)+'LINEST VARS'!$K$68*(12.73^2)+'LINEST VARS'!$J$68*(8*8)+'LINEST VARS'!$I$68*(8*$BN$128)+'LINEST VARS'!$H$68*(8*$AZ146)+'LINEST VARS'!$G$68*(8*12.73)+'LINEST VARS'!$F$68*(8*$BN$128)+'LINEST VARS'!$E$68*(8*$AZ146)+'LINEST VARS'!$D$68*(8*12.73)+'LINEST VARS'!$C$68*($BN$128*$AZ146)+'LINEST VARS'!$B$68*($BN$128*12.73)+'LINEST VARS'!$A$68*($AZ146*12.73)</f>
        <v>147.11000000000001</v>
      </c>
      <c r="BO146" s="46">
        <f>'LINEST VARS'!$U$68+'LINEST VARS'!$T$68*(8)+'LINEST VARS'!$S$68*(8)+'LINEST VARS'!$R$68*($BO$128)+'LINEST VARS'!$Q$68*($AZ146)+'LINEST VARS'!$P$68*(12.73)+'LINEST VARS'!$O$68*(8^2)+'LINEST VARS'!$N$68*(8^2)+'LINEST VARS'!$M$68*($BO$128^2)+'LINEST VARS'!$L$68*($AZ146^2)+'LINEST VARS'!$K$68*(12.73^2)+'LINEST VARS'!$J$68*(8*8)+'LINEST VARS'!$I$68*(8*$BO$128)+'LINEST VARS'!$H$68*(8*$AZ146)+'LINEST VARS'!$G$68*(8*12.73)+'LINEST VARS'!$F$68*(8*$BO$128)+'LINEST VARS'!$E$68*(8*$AZ146)+'LINEST VARS'!$D$68*(8*12.73)+'LINEST VARS'!$C$68*($BO$128*$AZ146)+'LINEST VARS'!$B$68*($BO$128*12.73)+'LINEST VARS'!$A$68*($AZ146*12.73)</f>
        <v>147.11000000000001</v>
      </c>
      <c r="BP146" s="46">
        <f>'LINEST VARS'!$U$68+'LINEST VARS'!$T$68*(8)+'LINEST VARS'!$S$68*(8)+'LINEST VARS'!$R$68*($BP$128)+'LINEST VARS'!$Q$68*($AZ146)+'LINEST VARS'!$P$68*(12.73)+'LINEST VARS'!$O$68*(8^2)+'LINEST VARS'!$N$68*(8^2)+'LINEST VARS'!$M$68*($BP$128^2)+'LINEST VARS'!$L$68*($AZ146^2)+'LINEST VARS'!$K$68*(12.73^2)+'LINEST VARS'!$J$68*(8*8)+'LINEST VARS'!$I$68*(8*$BP$128)+'LINEST VARS'!$H$68*(8*$AZ146)+'LINEST VARS'!$G$68*(8*12.73)+'LINEST VARS'!$F$68*(8*$BP$128)+'LINEST VARS'!$E$68*(8*$AZ146)+'LINEST VARS'!$D$68*(8*12.73)+'LINEST VARS'!$C$68*($BP$128*$AZ146)+'LINEST VARS'!$B$68*($BP$128*12.73)+'LINEST VARS'!$A$68*($AZ146*12.73)</f>
        <v>147.11000000000001</v>
      </c>
      <c r="BQ146" s="46">
        <f>'LINEST VARS'!$U$68+'LINEST VARS'!$T$68*(8)+'LINEST VARS'!$S$68*(8)+'LINEST VARS'!$R$68*($BQ$128)+'LINEST VARS'!$Q$68*($AZ146)+'LINEST VARS'!$P$68*(12.73)+'LINEST VARS'!$O$68*(8^2)+'LINEST VARS'!$N$68*(8^2)+'LINEST VARS'!$M$68*($BQ$128^2)+'LINEST VARS'!$L$68*($AZ146^2)+'LINEST VARS'!$K$68*(12.73^2)+'LINEST VARS'!$J$68*(8*8)+'LINEST VARS'!$I$68*(8*$BQ$128)+'LINEST VARS'!$H$68*(8*$AZ146)+'LINEST VARS'!$G$68*(8*12.73)+'LINEST VARS'!$F$68*(8*$BQ$128)+'LINEST VARS'!$E$68*(8*$AZ146)+'LINEST VARS'!$D$68*(8*12.73)+'LINEST VARS'!$C$68*($BQ$128*$AZ146)+'LINEST VARS'!$B$68*($BQ$128*12.73)+'LINEST VARS'!$A$68*($AZ146*12.73)</f>
        <v>147.11000000000001</v>
      </c>
      <c r="BR146" s="46">
        <f>'LINEST VARS'!$U$68+'LINEST VARS'!$T$68*(8)+'LINEST VARS'!$S$68*(8)+'LINEST VARS'!$R$68*($BR$128)+'LINEST VARS'!$Q$68*($AZ146)+'LINEST VARS'!$P$68*(12.73)+'LINEST VARS'!$O$68*(8^2)+'LINEST VARS'!$N$68*(8^2)+'LINEST VARS'!$M$68*($BR$128^2)+'LINEST VARS'!$L$68*($AZ146^2)+'LINEST VARS'!$K$68*(12.73^2)+'LINEST VARS'!$J$68*(8*8)+'LINEST VARS'!$I$68*(8*$BR$128)+'LINEST VARS'!$H$68*(8*$AZ146)+'LINEST VARS'!$G$68*(8*12.73)+'LINEST VARS'!$F$68*(8*$BR$128)+'LINEST VARS'!$E$68*(8*$AZ146)+'LINEST VARS'!$D$68*(8*12.73)+'LINEST VARS'!$C$68*($BR$128*$AZ146)+'LINEST VARS'!$B$68*($BR$128*12.73)+'LINEST VARS'!$A$68*($AZ146*12.73)</f>
        <v>147.11000000000001</v>
      </c>
      <c r="BS146" s="46">
        <f>'LINEST VARS'!$U$68+'LINEST VARS'!$T$68*(8)+'LINEST VARS'!$S$68*(8)+'LINEST VARS'!$R$68*($BS$128)+'LINEST VARS'!$Q$68*($AZ146)+'LINEST VARS'!$P$68*(12.73)+'LINEST VARS'!$O$68*(8^2)+'LINEST VARS'!$N$68*(8^2)+'LINEST VARS'!$M$68*($BS$128^2)+'LINEST VARS'!$L$68*($AZ146^2)+'LINEST VARS'!$K$68*(12.73^2)+'LINEST VARS'!$J$68*(8*8)+'LINEST VARS'!$I$68*(8*$BS$128)+'LINEST VARS'!$H$68*(8*$AZ146)+'LINEST VARS'!$G$68*(8*12.73)+'LINEST VARS'!$F$68*(8*$BS$128)+'LINEST VARS'!$E$68*(8*$AZ146)+'LINEST VARS'!$D$68*(8*12.73)+'LINEST VARS'!$C$68*($BS$128*$AZ146)+'LINEST VARS'!$B$68*($BS$128*12.73)+'LINEST VARS'!$A$68*($AZ146*12.73)</f>
        <v>147.11000000000001</v>
      </c>
      <c r="BT146" s="46">
        <f>'LINEST VARS'!$U$68+'LINEST VARS'!$T$68*(8)+'LINEST VARS'!$S$68*(8)+'LINEST VARS'!$R$68*($BT$128)+'LINEST VARS'!$Q$68*($AZ146)+'LINEST VARS'!$P$68*(12.73)+'LINEST VARS'!$O$68*(8^2)+'LINEST VARS'!$N$68*(8^2)+'LINEST VARS'!$M$68*($BT$128^2)+'LINEST VARS'!$L$68*($AZ146^2)+'LINEST VARS'!$K$68*(12.73^2)+'LINEST VARS'!$J$68*(8*8)+'LINEST VARS'!$I$68*(8*$BT$128)+'LINEST VARS'!$H$68*(8*$AZ146)+'LINEST VARS'!$G$68*(8*12.73)+'LINEST VARS'!$F$68*(8*$BT$128)+'LINEST VARS'!$E$68*(8*$AZ146)+'LINEST VARS'!$D$68*(8*12.73)+'LINEST VARS'!$C$68*($BT$128*$AZ146)+'LINEST VARS'!$B$68*($BT$128*12.73)+'LINEST VARS'!$A$68*($AZ146*12.73)</f>
        <v>147.11000000000001</v>
      </c>
      <c r="BU146" s="47">
        <f>'LINEST VARS'!$U$68+'LINEST VARS'!$T$68*(8)+'LINEST VARS'!$S$68*(8)+'LINEST VARS'!$R$68*($BU$128)+'LINEST VARS'!$Q$68*($AZ146)+'LINEST VARS'!$P$68*(12.73)+'LINEST VARS'!$O$68*(8^2)+'LINEST VARS'!$N$68*(8^2)+'LINEST VARS'!$M$68*($BU$128^2)+'LINEST VARS'!$L$68*($AZ146^2)+'LINEST VARS'!$K$68*(12.73^2)+'LINEST VARS'!$J$68*(8*8)+'LINEST VARS'!$I$68*(8*$BU$128)+'LINEST VARS'!$H$68*(8*$AZ146)+'LINEST VARS'!$G$68*(8*12.73)+'LINEST VARS'!$F$68*(8*$BU$128)+'LINEST VARS'!$E$68*(8*$AZ146)+'LINEST VARS'!$D$68*(8*12.73)+'LINEST VARS'!$C$68*($BU$128*$AZ146)+'LINEST VARS'!$B$68*($BU$128*12.73)+'LINEST VARS'!$A$68*($AZ146*12.73)</f>
        <v>147.11000000000001</v>
      </c>
      <c r="BX146" s="45">
        <v>0.85</v>
      </c>
      <c r="BY146" s="46">
        <f>'LINEST VARS'!$U$70+'LINEST VARS'!$T$70*(8)+'LINEST VARS'!$S$70*(8)+'LINEST VARS'!$R$70*($BY$128)+'LINEST VARS'!$Q$70*($BX146)+'LINEST VARS'!$P$70*(12.73)+'LINEST VARS'!$O$70*(8^2)+'LINEST VARS'!$N$70*(8^2)+'LINEST VARS'!$M$70*($BY$128^2)+'LINEST VARS'!$L$70*($BX146^2)+'LINEST VARS'!$K$70*(12.73^2)+'LINEST VARS'!$J$70*(8*8)+'LINEST VARS'!$I$70*(8*$BY$128)+'LINEST VARS'!$H$70*(8*$BX146)+'LINEST VARS'!$G$70*(8*12.73)+'LINEST VARS'!$F$70*(8*$BY$128)+'LINEST VARS'!$E$70*(8*$BX146)+'LINEST VARS'!$D$70*(8*12.73)+'LINEST VARS'!$C$70*($BY$128*$BX146)+'LINEST VARS'!$B$70*($BY$128*12.73)+'LINEST VARS'!$A$70*($BX146*12.73)</f>
        <v>92.000000000000014</v>
      </c>
      <c r="BZ146" s="46">
        <f>'LINEST VARS'!$U$70+'LINEST VARS'!$T$70*(8)+'LINEST VARS'!$S$70*(8)+'LINEST VARS'!$R$70*($BZ$128)+'LINEST VARS'!$Q$70*($BX146)+'LINEST VARS'!$P$70*(12.73)+'LINEST VARS'!$O$70*(8^2)+'LINEST VARS'!$N$70*(8^2)+'LINEST VARS'!$M$70*($BZ$128^2)+'LINEST VARS'!$L$70*($BX146^2)+'LINEST VARS'!$K$70*(12.73^2)+'LINEST VARS'!$J$70*(8*8)+'LINEST VARS'!$I$70*(8*$BZ$128)+'LINEST VARS'!$H$70*(8*$BX146)+'LINEST VARS'!$G$70*(8*12.73)+'LINEST VARS'!$F$70*(8*$BZ$128)+'LINEST VARS'!$E$70*(8*$BX146)+'LINEST VARS'!$D$70*(8*12.73)+'LINEST VARS'!$C$70*($BZ$128*$BX146)+'LINEST VARS'!$B$70*($BZ$128*12.73)+'LINEST VARS'!$A$70*($BX146*12.73)</f>
        <v>91.600000000000009</v>
      </c>
      <c r="CA146" s="46">
        <f>'LINEST VARS'!$U$70+'LINEST VARS'!$T$70*(8)+'LINEST VARS'!$S$70*(8)+'LINEST VARS'!$R$70*($CA$128)+'LINEST VARS'!$Q$70*($BX146)+'LINEST VARS'!$P$70*(12.73)+'LINEST VARS'!$O$70*(8^2)+'LINEST VARS'!$N$70*(8^2)+'LINEST VARS'!$M$70*($CA$128^2)+'LINEST VARS'!$L$70*($BX146^2)+'LINEST VARS'!$K$70*(12.73^2)+'LINEST VARS'!$J$70*(8*8)+'LINEST VARS'!$I$70*(8*$CA$128)+'LINEST VARS'!$H$70*(8*$BX146)+'LINEST VARS'!$G$70*(8*12.73)+'LINEST VARS'!$F$70*(8*$CA$128)+'LINEST VARS'!$E$70*(8*$BX146)+'LINEST VARS'!$D$70*(8*12.73)+'LINEST VARS'!$C$70*($CA$128*$BX146)+'LINEST VARS'!$B$70*($CA$128*12.73)+'LINEST VARS'!$A$70*($BX146*12.73)</f>
        <v>91.200000000000017</v>
      </c>
      <c r="CB146" s="46">
        <f>'LINEST VARS'!$U$70+'LINEST VARS'!$T$70*(8)+'LINEST VARS'!$S$70*(8)+'LINEST VARS'!$R$70*($CB$128)+'LINEST VARS'!$Q$70*($BX146)+'LINEST VARS'!$P$70*(12.73)+'LINEST VARS'!$O$70*(8^2)+'LINEST VARS'!$N$70*(8^2)+'LINEST VARS'!$M$70*($CB$128^2)+'LINEST VARS'!$L$70*($BX146^2)+'LINEST VARS'!$K$70*(12.73^2)+'LINEST VARS'!$J$70*(8*8)+'LINEST VARS'!$I$70*(8*$CB$128)+'LINEST VARS'!$H$70*(8*$BX146)+'LINEST VARS'!$G$70*(8*12.73)+'LINEST VARS'!$F$70*(8*$CB$128)+'LINEST VARS'!$E$70*(8*$BX146)+'LINEST VARS'!$D$70*(8*12.73)+'LINEST VARS'!$C$70*($CB$128*$BX146)+'LINEST VARS'!$B$70*($CB$128*12.73)+'LINEST VARS'!$A$70*($BX146*12.73)</f>
        <v>90.800000000000011</v>
      </c>
      <c r="CC146" s="46">
        <f>'LINEST VARS'!$U$70+'LINEST VARS'!$T$70*(8)+'LINEST VARS'!$S$70*(8)+'LINEST VARS'!$R$70*($CC$128)+'LINEST VARS'!$Q$70*($BX146)+'LINEST VARS'!$P$70*(12.73)+'LINEST VARS'!$O$70*(8^2)+'LINEST VARS'!$N$70*(8^2)+'LINEST VARS'!$M$70*($CC$128^2)+'LINEST VARS'!$L$70*($BX146^2)+'LINEST VARS'!$K$70*(12.73^2)+'LINEST VARS'!$J$70*(8*8)+'LINEST VARS'!$I$70*(8*$CC$128)+'LINEST VARS'!$H$70*(8*$BX146)+'LINEST VARS'!$G$70*(8*12.73)+'LINEST VARS'!$F$70*(8*$CC$128)+'LINEST VARS'!$E$70*(8*$BX146)+'LINEST VARS'!$D$70*(8*12.73)+'LINEST VARS'!$C$70*($CC$128*$BX146)+'LINEST VARS'!$B$70*($CC$128*12.73)+'LINEST VARS'!$A$70*($BX146*12.73)</f>
        <v>90.40000000000002</v>
      </c>
      <c r="CD146" s="46">
        <f>'LINEST VARS'!$U$70+'LINEST VARS'!$T$70*(8)+'LINEST VARS'!$S$70*(8)+'LINEST VARS'!$R$70*($CD$128)+'LINEST VARS'!$Q$70*($BX146)+'LINEST VARS'!$P$70*(12.73)+'LINEST VARS'!$O$70*(8^2)+'LINEST VARS'!$N$70*(8^2)+'LINEST VARS'!$M$70*($CD$128^2)+'LINEST VARS'!$L$70*($BX146^2)+'LINEST VARS'!$K$70*(12.73^2)+'LINEST VARS'!$J$70*(8*8)+'LINEST VARS'!$I$70*(8*$CD$128)+'LINEST VARS'!$H$70*(8*$BX146)+'LINEST VARS'!$G$70*(8*12.73)+'LINEST VARS'!$F$70*(8*$CD$128)+'LINEST VARS'!$E$70*(8*$BX146)+'LINEST VARS'!$D$70*(8*12.73)+'LINEST VARS'!$C$70*($CD$128*$BX146)+'LINEST VARS'!$B$70*($CD$128*12.73)+'LINEST VARS'!$A$70*($BX146*12.73)</f>
        <v>90.000000000000014</v>
      </c>
      <c r="CE146" s="46">
        <f>'LINEST VARS'!$U$70+'LINEST VARS'!$T$70*(8)+'LINEST VARS'!$S$70*(8)+'LINEST VARS'!$R$70*($CE$128)+'LINEST VARS'!$Q$70*($BX146)+'LINEST VARS'!$P$70*(12.73)+'LINEST VARS'!$O$70*(8^2)+'LINEST VARS'!$N$70*(8^2)+'LINEST VARS'!$M$70*($CE$128^2)+'LINEST VARS'!$L$70*($BX146^2)+'LINEST VARS'!$K$70*(12.73^2)+'LINEST VARS'!$J$70*(8*8)+'LINEST VARS'!$I$70*(8*$CE$128)+'LINEST VARS'!$H$70*(8*$BX146)+'LINEST VARS'!$G$70*(8*12.73)+'LINEST VARS'!$F$70*(8*$CE$128)+'LINEST VARS'!$E$70*(8*$BX146)+'LINEST VARS'!$D$70*(8*12.73)+'LINEST VARS'!$C$70*($CE$128*$BX146)+'LINEST VARS'!$B$70*($CE$128*12.73)+'LINEST VARS'!$A$70*($BX146*12.73)</f>
        <v>89.600000000000023</v>
      </c>
      <c r="CF146" s="46">
        <f>'LINEST VARS'!$U$70+'LINEST VARS'!$T$70*(8)+'LINEST VARS'!$S$70*(8)+'LINEST VARS'!$R$70*($CF$128)+'LINEST VARS'!$Q$70*($BX146)+'LINEST VARS'!$P$70*(12.73)+'LINEST VARS'!$O$70*(8^2)+'LINEST VARS'!$N$70*(8^2)+'LINEST VARS'!$M$70*($CF$128^2)+'LINEST VARS'!$L$70*($BX146^2)+'LINEST VARS'!$K$70*(12.73^2)+'LINEST VARS'!$J$70*(8*8)+'LINEST VARS'!$I$70*(8*$CF$128)+'LINEST VARS'!$H$70*(8*$BX146)+'LINEST VARS'!$G$70*(8*12.73)+'LINEST VARS'!$F$70*(8*$CF$128)+'LINEST VARS'!$E$70*(8*$BX146)+'LINEST VARS'!$D$70*(8*12.73)+'LINEST VARS'!$C$70*($CF$128*$BX146)+'LINEST VARS'!$B$70*($CF$128*12.73)+'LINEST VARS'!$A$70*($BX146*12.73)</f>
        <v>89.200000000000017</v>
      </c>
      <c r="CG146" s="46">
        <f>'LINEST VARS'!$U$70+'LINEST VARS'!$T$70*(8)+'LINEST VARS'!$S$70*(8)+'LINEST VARS'!$R$70*($CG$128)+'LINEST VARS'!$Q$70*($BX146)+'LINEST VARS'!$P$70*(12.73)+'LINEST VARS'!$O$70*(8^2)+'LINEST VARS'!$N$70*(8^2)+'LINEST VARS'!$M$70*($CG$128^2)+'LINEST VARS'!$L$70*($BX146^2)+'LINEST VARS'!$K$70*(12.73^2)+'LINEST VARS'!$J$70*(8*8)+'LINEST VARS'!$I$70*(8*$CG$128)+'LINEST VARS'!$H$70*(8*$BX146)+'LINEST VARS'!$G$70*(8*12.73)+'LINEST VARS'!$F$70*(8*$CG$128)+'LINEST VARS'!$E$70*(8*$BX146)+'LINEST VARS'!$D$70*(8*12.73)+'LINEST VARS'!$C$70*($CG$128*$BX146)+'LINEST VARS'!$B$70*($CG$128*12.73)+'LINEST VARS'!$A$70*($BX146*12.73)</f>
        <v>88.800000000000026</v>
      </c>
      <c r="CH146" s="46">
        <f>'LINEST VARS'!$U$70+'LINEST VARS'!$T$70*(8)+'LINEST VARS'!$S$70*(8)+'LINEST VARS'!$R$70*($CH$128)+'LINEST VARS'!$Q$70*($BX146)+'LINEST VARS'!$P$70*(12.73)+'LINEST VARS'!$O$70*(8^2)+'LINEST VARS'!$N$70*(8^2)+'LINEST VARS'!$M$70*($CH$128^2)+'LINEST VARS'!$L$70*($BX146^2)+'LINEST VARS'!$K$70*(12.73^2)+'LINEST VARS'!$J$70*(8*8)+'LINEST VARS'!$I$70*(8*$CH$128)+'LINEST VARS'!$H$70*(8*$BX146)+'LINEST VARS'!$G$70*(8*12.73)+'LINEST VARS'!$F$70*(8*$CH$128)+'LINEST VARS'!$E$70*(8*$BX146)+'LINEST VARS'!$D$70*(8*12.73)+'LINEST VARS'!$C$70*($CH$128*$BX146)+'LINEST VARS'!$B$70*($CH$128*12.73)+'LINEST VARS'!$A$70*($BX146*12.73)</f>
        <v>88.40000000000002</v>
      </c>
      <c r="CI146" s="46">
        <f>'LINEST VARS'!$U$70+'LINEST VARS'!$T$70*(8)+'LINEST VARS'!$S$70*(8)+'LINEST VARS'!$R$70*($CI$128)+'LINEST VARS'!$Q$70*($BX146)+'LINEST VARS'!$P$70*(12.73)+'LINEST VARS'!$O$70*(8^2)+'LINEST VARS'!$N$70*(8^2)+'LINEST VARS'!$M$70*($CI$128^2)+'LINEST VARS'!$L$70*($BX146^2)+'LINEST VARS'!$K$70*(12.73^2)+'LINEST VARS'!$J$70*(8*8)+'LINEST VARS'!$I$70*(8*$CI$128)+'LINEST VARS'!$H$70*(8*$BX146)+'LINEST VARS'!$G$70*(8*12.73)+'LINEST VARS'!$F$70*(8*$CI$128)+'LINEST VARS'!$E$70*(8*$BX146)+'LINEST VARS'!$D$70*(8*12.73)+'LINEST VARS'!$C$70*($CI$128*$BX146)+'LINEST VARS'!$B$70*($CI$128*12.73)+'LINEST VARS'!$A$70*($BX146*12.73)</f>
        <v>88.000000000000014</v>
      </c>
      <c r="CJ146" s="46">
        <f>'LINEST VARS'!$U$70+'LINEST VARS'!$T$70*(8)+'LINEST VARS'!$S$70*(8)+'LINEST VARS'!$R$70*($CJ$128)+'LINEST VARS'!$Q$70*($BX146)+'LINEST VARS'!$P$70*(12.73)+'LINEST VARS'!$O$70*(8^2)+'LINEST VARS'!$N$70*(8^2)+'LINEST VARS'!$M$70*($CJ$128^2)+'LINEST VARS'!$L$70*($BX146^2)+'LINEST VARS'!$K$70*(12.73^2)+'LINEST VARS'!$J$70*(8*8)+'LINEST VARS'!$I$70*(8*$CJ$128)+'LINEST VARS'!$H$70*(8*$BX146)+'LINEST VARS'!$G$70*(8*12.73)+'LINEST VARS'!$F$70*(8*$CJ$128)+'LINEST VARS'!$E$70*(8*$BX146)+'LINEST VARS'!$D$70*(8*12.73)+'LINEST VARS'!$C$70*($CJ$128*$BX146)+'LINEST VARS'!$B$70*($CJ$128*12.73)+'LINEST VARS'!$A$70*($BX146*12.73)</f>
        <v>87.600000000000023</v>
      </c>
      <c r="CK146" s="46">
        <f>'LINEST VARS'!$U$70+'LINEST VARS'!$T$70*(8)+'LINEST VARS'!$S$70*(8)+'LINEST VARS'!$R$70*($CK$128)+'LINEST VARS'!$Q$70*($BX146)+'LINEST VARS'!$P$70*(12.73)+'LINEST VARS'!$O$70*(8^2)+'LINEST VARS'!$N$70*(8^2)+'LINEST VARS'!$M$70*($CK$128^2)+'LINEST VARS'!$L$70*($BX146^2)+'LINEST VARS'!$K$70*(12.73^2)+'LINEST VARS'!$J$70*(8*8)+'LINEST VARS'!$I$70*(8*$CK$128)+'LINEST VARS'!$H$70*(8*$BX146)+'LINEST VARS'!$G$70*(8*12.73)+'LINEST VARS'!$F$70*(8*$CK$128)+'LINEST VARS'!$E$70*(8*$BX146)+'LINEST VARS'!$D$70*(8*12.73)+'LINEST VARS'!$C$70*($CK$128*$BX146)+'LINEST VARS'!$B$70*($CK$128*12.73)+'LINEST VARS'!$A$70*($BX146*12.73)</f>
        <v>87.200000000000017</v>
      </c>
      <c r="CL146" s="46">
        <f>'LINEST VARS'!$U$70+'LINEST VARS'!$T$70*(8)+'LINEST VARS'!$S$70*(8)+'LINEST VARS'!$R$70*($CL$128)+'LINEST VARS'!$Q$70*($BX146)+'LINEST VARS'!$P$70*(12.73)+'LINEST VARS'!$O$70*(8^2)+'LINEST VARS'!$N$70*(8^2)+'LINEST VARS'!$M$70*($CL$128^2)+'LINEST VARS'!$L$70*($BX146^2)+'LINEST VARS'!$K$70*(12.73^2)+'LINEST VARS'!$J$70*(8*8)+'LINEST VARS'!$I$70*(8*$CL$128)+'LINEST VARS'!$H$70*(8*$BX146)+'LINEST VARS'!$G$70*(8*12.73)+'LINEST VARS'!$F$70*(8*$CL$128)+'LINEST VARS'!$E$70*(8*$BX146)+'LINEST VARS'!$D$70*(8*12.73)+'LINEST VARS'!$C$70*($CL$128*$BX146)+'LINEST VARS'!$B$70*($CL$128*12.73)+'LINEST VARS'!$A$70*($BX146*12.73)</f>
        <v>86.800000000000026</v>
      </c>
      <c r="CM146" s="46">
        <f>'LINEST VARS'!$U$70+'LINEST VARS'!$T$70*(8)+'LINEST VARS'!$S$70*(8)+'LINEST VARS'!$R$70*($CM$128)+'LINEST VARS'!$Q$70*($BX146)+'LINEST VARS'!$P$70*(12.73)+'LINEST VARS'!$O$70*(8^2)+'LINEST VARS'!$N$70*(8^2)+'LINEST VARS'!$M$70*($CM$128^2)+'LINEST VARS'!$L$70*($BX146^2)+'LINEST VARS'!$K$70*(12.73^2)+'LINEST VARS'!$J$70*(8*8)+'LINEST VARS'!$I$70*(8*$CM$128)+'LINEST VARS'!$H$70*(8*$BX146)+'LINEST VARS'!$G$70*(8*12.73)+'LINEST VARS'!$F$70*(8*$CM$128)+'LINEST VARS'!$E$70*(8*$BX146)+'LINEST VARS'!$D$70*(8*12.73)+'LINEST VARS'!$C$70*($CM$128*$BX146)+'LINEST VARS'!$B$70*($CM$128*12.73)+'LINEST VARS'!$A$70*($BX146*12.73)</f>
        <v>86.40000000000002</v>
      </c>
      <c r="CN146" s="46">
        <f>'LINEST VARS'!$U$70+'LINEST VARS'!$T$70*(8)+'LINEST VARS'!$S$70*(8)+'LINEST VARS'!$R$70*($CN$128)+'LINEST VARS'!$Q$70*($BX146)+'LINEST VARS'!$P$70*(12.73)+'LINEST VARS'!$O$70*(8^2)+'LINEST VARS'!$N$70*(8^2)+'LINEST VARS'!$M$70*($CN$128^2)+'LINEST VARS'!$L$70*($BX146^2)+'LINEST VARS'!$K$70*(12.73^2)+'LINEST VARS'!$J$70*(8*8)+'LINEST VARS'!$I$70*(8*$CN$128)+'LINEST VARS'!$H$70*(8*$BX146)+'LINEST VARS'!$G$70*(8*12.73)+'LINEST VARS'!$F$70*(8*$CN$128)+'LINEST VARS'!$E$70*(8*$BX146)+'LINEST VARS'!$D$70*(8*12.73)+'LINEST VARS'!$C$70*($CN$128*$BX146)+'LINEST VARS'!$B$70*($CN$128*12.73)+'LINEST VARS'!$A$70*($BX146*12.73)</f>
        <v>86.000000000000014</v>
      </c>
      <c r="CO146" s="46">
        <f>'LINEST VARS'!$U$70+'LINEST VARS'!$T$70*(8)+'LINEST VARS'!$S$70*(8)+'LINEST VARS'!$R$70*($CO$128)+'LINEST VARS'!$Q$70*($BX146)+'LINEST VARS'!$P$70*(12.73)+'LINEST VARS'!$O$70*(8^2)+'LINEST VARS'!$N$70*(8^2)+'LINEST VARS'!$M$70*($CO$128^2)+'LINEST VARS'!$L$70*($BX146^2)+'LINEST VARS'!$K$70*(12.73^2)+'LINEST VARS'!$J$70*(8*8)+'LINEST VARS'!$I$70*(8*$CO$128)+'LINEST VARS'!$H$70*(8*$BX146)+'LINEST VARS'!$G$70*(8*12.73)+'LINEST VARS'!$F$70*(8*$CO$128)+'LINEST VARS'!$E$70*(8*$BX146)+'LINEST VARS'!$D$70*(8*12.73)+'LINEST VARS'!$C$70*($CO$128*$BX146)+'LINEST VARS'!$B$70*($CO$128*12.73)+'LINEST VARS'!$A$70*($BX146*12.73)</f>
        <v>85.600000000000009</v>
      </c>
      <c r="CP146" s="46">
        <f>'LINEST VARS'!$U$70+'LINEST VARS'!$T$70*(8)+'LINEST VARS'!$S$70*(8)+'LINEST VARS'!$R$70*($CP$128)+'LINEST VARS'!$Q$70*($BX146)+'LINEST VARS'!$P$70*(12.73)+'LINEST VARS'!$O$70*(8^2)+'LINEST VARS'!$N$70*(8^2)+'LINEST VARS'!$M$70*($CP$128^2)+'LINEST VARS'!$L$70*($BX146^2)+'LINEST VARS'!$K$70*(12.73^2)+'LINEST VARS'!$J$70*(8*8)+'LINEST VARS'!$I$70*(8*$CP$128)+'LINEST VARS'!$H$70*(8*$BX146)+'LINEST VARS'!$G$70*(8*12.73)+'LINEST VARS'!$F$70*(8*$CP$128)+'LINEST VARS'!$E$70*(8*$BX146)+'LINEST VARS'!$D$70*(8*12.73)+'LINEST VARS'!$C$70*($CP$128*$BX146)+'LINEST VARS'!$B$70*($CP$128*12.73)+'LINEST VARS'!$A$70*($BX146*12.73)</f>
        <v>85.200000000000017</v>
      </c>
      <c r="CQ146" s="46">
        <f>'LINEST VARS'!$U$70+'LINEST VARS'!$T$70*(8)+'LINEST VARS'!$S$70*(8)+'LINEST VARS'!$R$70*($CQ$128)+'LINEST VARS'!$Q$70*($BX146)+'LINEST VARS'!$P$70*(12.73)+'LINEST VARS'!$O$70*(8^2)+'LINEST VARS'!$N$70*(8^2)+'LINEST VARS'!$M$70*($CQ$128^2)+'LINEST VARS'!$L$70*($BX146^2)+'LINEST VARS'!$K$70*(12.73^2)+'LINEST VARS'!$J$70*(8*8)+'LINEST VARS'!$I$70*(8*$CQ$128)+'LINEST VARS'!$H$70*(8*$BX146)+'LINEST VARS'!$G$70*(8*12.73)+'LINEST VARS'!$F$70*(8*$CQ$128)+'LINEST VARS'!$E$70*(8*$BX146)+'LINEST VARS'!$D$70*(8*12.73)+'LINEST VARS'!$C$70*($CQ$128*$BX146)+'LINEST VARS'!$B$70*($CQ$128*12.73)+'LINEST VARS'!$A$70*($BX146*12.73)</f>
        <v>84.800000000000011</v>
      </c>
      <c r="CR146" s="46">
        <f>'LINEST VARS'!$U$70+'LINEST VARS'!$T$70*(8)+'LINEST VARS'!$S$70*(8)+'LINEST VARS'!$R$70*($CR$128)+'LINEST VARS'!$Q$70*($BX146)+'LINEST VARS'!$P$70*(12.73)+'LINEST VARS'!$O$70*(8^2)+'LINEST VARS'!$N$70*(8^2)+'LINEST VARS'!$M$70*($CR$128^2)+'LINEST VARS'!$L$70*($BX146^2)+'LINEST VARS'!$K$70*(12.73^2)+'LINEST VARS'!$J$70*(8*8)+'LINEST VARS'!$I$70*(8*$CR$128)+'LINEST VARS'!$H$70*(8*$BX146)+'LINEST VARS'!$G$70*(8*12.73)+'LINEST VARS'!$F$70*(8*$CR$128)+'LINEST VARS'!$E$70*(8*$BX146)+'LINEST VARS'!$D$70*(8*12.73)+'LINEST VARS'!$C$70*($CR$128*$BX146)+'LINEST VARS'!$B$70*($CR$128*12.73)+'LINEST VARS'!$A$70*($BX146*12.73)</f>
        <v>84.400000000000034</v>
      </c>
      <c r="CS146" s="47">
        <f>'LINEST VARS'!$U$70+'LINEST VARS'!$T$70*(8)+'LINEST VARS'!$S$70*(8)+'LINEST VARS'!$R$70*($CS$128)+'LINEST VARS'!$Q$70*($BX146)+'LINEST VARS'!$P$70*(12.73)+'LINEST VARS'!$O$70*(8^2)+'LINEST VARS'!$N$70*(8^2)+'LINEST VARS'!$M$70*($CS$128^2)+'LINEST VARS'!$L$70*($BX146^2)+'LINEST VARS'!$K$70*(12.73^2)+'LINEST VARS'!$J$70*(8*8)+'LINEST VARS'!$I$70*(8*$CS$128)+'LINEST VARS'!$H$70*(8*$BX146)+'LINEST VARS'!$G$70*(8*12.73)+'LINEST VARS'!$F$70*(8*$CS$128)+'LINEST VARS'!$E$70*(8*$BX146)+'LINEST VARS'!$D$70*(8*12.73)+'LINEST VARS'!$C$70*($CS$128*$BX146)+'LINEST VARS'!$B$70*($CS$128*12.73)+'LINEST VARS'!$A$70*($BX146*12.73)</f>
        <v>84.000000000000028</v>
      </c>
      <c r="CX146" s="45">
        <v>22.0915</v>
      </c>
      <c r="CY146" s="46">
        <f>'LINEST VARS'!$U$68+'LINEST VARS'!$T$68*(8)+'LINEST VARS'!$S$68*(8)+'LINEST VARS'!$R$68*($CY$128)+'LINEST VARS'!$Q$68*(0.5)+'LINEST VARS'!$P$68*($CX146)+'LINEST VARS'!$O$68*(8^2)+'LINEST VARS'!$N$68*(8^2)+'LINEST VARS'!$M$68*($CY$128^2)+'LINEST VARS'!$L$68*(0.5^2)+'LINEST VARS'!$K$68*($CX146^2)+'LINEST VARS'!$J$68*(8*8)+'LINEST VARS'!$I$68*(8*$CY$128)+'LINEST VARS'!$H$68*(8*0.5)+'LINEST VARS'!$G$68*(8*$CX146)+'LINEST VARS'!$F$68*(8*$CY$128)+'LINEST VARS'!$E$68*(8*0.5)+'LINEST VARS'!$D$68*(8*$CX146)+'LINEST VARS'!$C$68*($CY$128*0.5)+'LINEST VARS'!$B$68*($CY$128*$CX146)+'LINEST VARS'!$A$68*(0.5*$CX146)</f>
        <v>149</v>
      </c>
      <c r="CZ146" s="46">
        <f>'LINEST VARS'!$U$68+'LINEST VARS'!$T$68*(8)+'LINEST VARS'!$S$68*(8)+'LINEST VARS'!$R$68*($CZ$128)+'LINEST VARS'!$Q$68*(0.5)+'LINEST VARS'!$P$68*($CX146)+'LINEST VARS'!$O$68*(8^2)+'LINEST VARS'!$N$68*(8^2)+'LINEST VARS'!$M$68*($CZ$128^2)+'LINEST VARS'!$L$68*(0.5^2)+'LINEST VARS'!$K$68*($CX146^2)+'LINEST VARS'!$J$68*(8*8)+'LINEST VARS'!$I$68*(8*$CZ$128)+'LINEST VARS'!$H$68*(8*0.5)+'LINEST VARS'!$G$68*(8*$CX146)+'LINEST VARS'!$F$68*(8*$CZ$128)+'LINEST VARS'!$E$68*(8*0.5)+'LINEST VARS'!$D$68*(8*$CX146)+'LINEST VARS'!$C$68*($CZ$128*0.5)+'LINEST VARS'!$B$68*($CZ$128*$CX146)+'LINEST VARS'!$A$68*(0.5*$CX146)</f>
        <v>149</v>
      </c>
      <c r="DA146" s="46">
        <f>'LINEST VARS'!$U$68+'LINEST VARS'!$T$68*(8)+'LINEST VARS'!$S$68*(8)+'LINEST VARS'!$R$68*($DA$128)+'LINEST VARS'!$Q$68*(0.5)+'LINEST VARS'!$P$68*($CX146)+'LINEST VARS'!$O$68*(8^2)+'LINEST VARS'!$N$68*(8^2)+'LINEST VARS'!$M$68*($DA$128^2)+'LINEST VARS'!$L$68*(0.5^2)+'LINEST VARS'!$K$68*($CX146^2)+'LINEST VARS'!$J$68*(8*8)+'LINEST VARS'!$I$68*(8*$DA$128)+'LINEST VARS'!$H$68*(8*0.5)+'LINEST VARS'!$G$68*(8*$CX146)+'LINEST VARS'!$F$68*(8*$DA$128)+'LINEST VARS'!$E$68*(8*0.5)+'LINEST VARS'!$D$68*(8*$CX146)+'LINEST VARS'!$C$68*($DA$128*0.5)+'LINEST VARS'!$B$68*($DA$128*$CX146)+'LINEST VARS'!$A$68*(0.5*$CX146)</f>
        <v>149</v>
      </c>
      <c r="DB146" s="46">
        <f>'LINEST VARS'!$U$68+'LINEST VARS'!$T$68*(8)+'LINEST VARS'!$S$68*(8)+'LINEST VARS'!$R$68*($DB$128)+'LINEST VARS'!$Q$68*(0.5)+'LINEST VARS'!$P$68*($CX146)+'LINEST VARS'!$O$68*(8^2)+'LINEST VARS'!$N$68*(8^2)+'LINEST VARS'!$M$68*($DB$128^2)+'LINEST VARS'!$L$68*(0.5^2)+'LINEST VARS'!$K$68*($CX146^2)+'LINEST VARS'!$J$68*(8*8)+'LINEST VARS'!$I$68*(8*$DB$128)+'LINEST VARS'!$H$68*(8*0.5)+'LINEST VARS'!$G$68*(8*$CX146)+'LINEST VARS'!$F$68*(8*$DB$128)+'LINEST VARS'!$E$68*(8*0.5)+'LINEST VARS'!$D$68*(8*$CX146)+'LINEST VARS'!$C$68*($DB$128*0.5)+'LINEST VARS'!$B$68*($DB$128*$CX146)+'LINEST VARS'!$A$68*(0.5*$CX146)</f>
        <v>149</v>
      </c>
      <c r="DC146" s="46">
        <f>'LINEST VARS'!$U$68+'LINEST VARS'!$T$68*(8)+'LINEST VARS'!$S$68*(8)+'LINEST VARS'!$R$68*($DC$128)+'LINEST VARS'!$Q$68*(0.5)+'LINEST VARS'!$P$68*($CX146)+'LINEST VARS'!$O$68*(8^2)+'LINEST VARS'!$N$68*(8^2)+'LINEST VARS'!$M$68*($DC$128^2)+'LINEST VARS'!$L$68*(0.5^2)+'LINEST VARS'!$K$68*($CX146^2)+'LINEST VARS'!$J$68*(8*8)+'LINEST VARS'!$I$68*(8*$DC$128)+'LINEST VARS'!$H$68*(8*0.5)+'LINEST VARS'!$G$68*(8*$CX146)+'LINEST VARS'!$F$68*(8*$DC$128)+'LINEST VARS'!$E$68*(8*0.5)+'LINEST VARS'!$D$68*(8*$CX146)+'LINEST VARS'!$C$68*($DC$128*0.5)+'LINEST VARS'!$B$68*($DC$128*$CX146)+'LINEST VARS'!$A$68*(0.5*$CX146)</f>
        <v>149</v>
      </c>
      <c r="DD146" s="46">
        <f>'LINEST VARS'!$U$68+'LINEST VARS'!$T$68*(8)+'LINEST VARS'!$S$68*(8)+'LINEST VARS'!$R$68*($DD$128)+'LINEST VARS'!$Q$68*(0.5)+'LINEST VARS'!$P$68*($CX146)+'LINEST VARS'!$O$68*(8^2)+'LINEST VARS'!$N$68*(8^2)+'LINEST VARS'!$M$68*($DD$128^2)+'LINEST VARS'!$L$68*(0.5^2)+'LINEST VARS'!$K$68*($CX146^2)+'LINEST VARS'!$J$68*(8*8)+'LINEST VARS'!$I$68*(8*$DD$128)+'LINEST VARS'!$H$68*(8*0.5)+'LINEST VARS'!$G$68*(8*$CX146)+'LINEST VARS'!$F$68*(8*$DD$128)+'LINEST VARS'!$E$68*(8*0.5)+'LINEST VARS'!$D$68*(8*$CX146)+'LINEST VARS'!$C$68*($DD$128*0.5)+'LINEST VARS'!$B$68*($DD$128*$CX146)+'LINEST VARS'!$A$68*(0.5*$CX146)</f>
        <v>149</v>
      </c>
      <c r="DE146" s="46">
        <f>'LINEST VARS'!$U$68+'LINEST VARS'!$T$68*(8)+'LINEST VARS'!$S$68*(8)+'LINEST VARS'!$R$68*($DE$128)+'LINEST VARS'!$Q$68*(0.5)+'LINEST VARS'!$P$68*($CX146)+'LINEST VARS'!$O$68*(8^2)+'LINEST VARS'!$N$68*(8^2)+'LINEST VARS'!$M$68*($DE$128^2)+'LINEST VARS'!$L$68*(0.5^2)+'LINEST VARS'!$K$68*($CX146^2)+'LINEST VARS'!$J$68*(8*8)+'LINEST VARS'!$I$68*(8*$DE$128)+'LINEST VARS'!$H$68*(8*0.5)+'LINEST VARS'!$G$68*(8*$CX146)+'LINEST VARS'!$F$68*(8*$DE$128)+'LINEST VARS'!$E$68*(8*0.5)+'LINEST VARS'!$D$68*(8*$CX146)+'LINEST VARS'!$C$68*($DE$128*0.5)+'LINEST VARS'!$B$68*($DE$128*$CX146)+'LINEST VARS'!$A$68*(0.5*$CX146)</f>
        <v>149</v>
      </c>
      <c r="DF146" s="46">
        <f>'LINEST VARS'!$U$68+'LINEST VARS'!$T$68*(8)+'LINEST VARS'!$S$68*(8)+'LINEST VARS'!$R$68*($DF$128)+'LINEST VARS'!$Q$68*(0.5)+'LINEST VARS'!$P$68*($CX146)+'LINEST VARS'!$O$68*(8^2)+'LINEST VARS'!$N$68*(8^2)+'LINEST VARS'!$M$68*($DF$128^2)+'LINEST VARS'!$L$68*(0.5^2)+'LINEST VARS'!$K$68*($CX146^2)+'LINEST VARS'!$J$68*(8*8)+'LINEST VARS'!$I$68*(8*$DF$128)+'LINEST VARS'!$H$68*(8*0.5)+'LINEST VARS'!$G$68*(8*$CX146)+'LINEST VARS'!$F$68*(8*$DF$128)+'LINEST VARS'!$E$68*(8*0.5)+'LINEST VARS'!$D$68*(8*$CX146)+'LINEST VARS'!$C$68*($DF$128*0.5)+'LINEST VARS'!$B$68*($DF$128*$CX146)+'LINEST VARS'!$A$68*(0.5*$CX146)</f>
        <v>149</v>
      </c>
      <c r="DG146" s="46">
        <f>'LINEST VARS'!$U$68+'LINEST VARS'!$T$68*(8)+'LINEST VARS'!$S$68*(8)+'LINEST VARS'!$R$68*($DG$128)+'LINEST VARS'!$Q$68*(0.5)+'LINEST VARS'!$P$68*($CX146)+'LINEST VARS'!$O$68*(8^2)+'LINEST VARS'!$N$68*(8^2)+'LINEST VARS'!$M$68*($DG$128^2)+'LINEST VARS'!$L$68*(0.5^2)+'LINEST VARS'!$K$68*($CX146^2)+'LINEST VARS'!$J$68*(8*8)+'LINEST VARS'!$I$68*(8*$DG$128)+'LINEST VARS'!$H$68*(8*0.5)+'LINEST VARS'!$G$68*(8*$CX146)+'LINEST VARS'!$F$68*(8*$DG$128)+'LINEST VARS'!$E$68*(8*0.5)+'LINEST VARS'!$D$68*(8*$CX146)+'LINEST VARS'!$C$68*($DG$128*0.5)+'LINEST VARS'!$B$68*($DG$128*$CX146)+'LINEST VARS'!$A$68*(0.5*$CX146)</f>
        <v>149</v>
      </c>
      <c r="DH146" s="46">
        <f>'LINEST VARS'!$U$68+'LINEST VARS'!$T$68*(8)+'LINEST VARS'!$S$68*(8)+'LINEST VARS'!$R$68*($DH$128)+'LINEST VARS'!$Q$68*(0.5)+'LINEST VARS'!$P$68*($CX146)+'LINEST VARS'!$O$68*(8^2)+'LINEST VARS'!$N$68*(8^2)+'LINEST VARS'!$M$68*($DH$128^2)+'LINEST VARS'!$L$68*(0.5^2)+'LINEST VARS'!$K$68*($CX146^2)+'LINEST VARS'!$J$68*(8*8)+'LINEST VARS'!$I$68*(8*$DH$128)+'LINEST VARS'!$H$68*(8*0.5)+'LINEST VARS'!$G$68*(8*$CX146)+'LINEST VARS'!$F$68*(8*$DH$128)+'LINEST VARS'!$E$68*(8*0.5)+'LINEST VARS'!$D$68*(8*$CX146)+'LINEST VARS'!$C$68*($DH$128*0.5)+'LINEST VARS'!$B$68*($DH$128*$CX146)+'LINEST VARS'!$A$68*(0.5*$CX146)</f>
        <v>149</v>
      </c>
      <c r="DI146" s="46">
        <f>'LINEST VARS'!$U$68+'LINEST VARS'!$T$68*(8)+'LINEST VARS'!$S$68*(8)+'LINEST VARS'!$R$68*($DI$128)+'LINEST VARS'!$Q$68*(0.5)+'LINEST VARS'!$P$68*($CX146)+'LINEST VARS'!$O$68*(8^2)+'LINEST VARS'!$N$68*(8^2)+'LINEST VARS'!$M$68*($DI$128^2)+'LINEST VARS'!$L$68*(0.5^2)+'LINEST VARS'!$K$68*($CX146^2)+'LINEST VARS'!$J$68*(8*8)+'LINEST VARS'!$I$68*(8*$DI$128)+'LINEST VARS'!$H$68*(8*0.5)+'LINEST VARS'!$G$68*(8*$CX146)+'LINEST VARS'!$F$68*(8*$DI$128)+'LINEST VARS'!$E$68*(8*0.5)+'LINEST VARS'!$D$68*(8*$CX146)+'LINEST VARS'!$C$68*($DI$128*0.5)+'LINEST VARS'!$B$68*($DI$128*$CX146)+'LINEST VARS'!$A$68*(0.5*$CX146)</f>
        <v>149</v>
      </c>
      <c r="DJ146" s="46">
        <f>'LINEST VARS'!$U$68+'LINEST VARS'!$T$68*(8)+'LINEST VARS'!$S$68*(8)+'LINEST VARS'!$R$68*($DJ$128)+'LINEST VARS'!$Q$68*(0.5)+'LINEST VARS'!$P$68*($CX146)+'LINEST VARS'!$O$68*(8^2)+'LINEST VARS'!$N$68*(8^2)+'LINEST VARS'!$M$68*($DJ$128^2)+'LINEST VARS'!$L$68*(0.5^2)+'LINEST VARS'!$K$68*($CX146^2)+'LINEST VARS'!$J$68*(8*8)+'LINEST VARS'!$I$68*(8*$DJ$128)+'LINEST VARS'!$H$68*(8*0.5)+'LINEST VARS'!$G$68*(8*$CX146)+'LINEST VARS'!$F$68*(8*$DJ$128)+'LINEST VARS'!$E$68*(8*0.5)+'LINEST VARS'!$D$68*(8*$CX146)+'LINEST VARS'!$C$68*($DJ$128*0.5)+'LINEST VARS'!$B$68*($DJ$128*$CX146)+'LINEST VARS'!$A$68*(0.5*$CX146)</f>
        <v>149</v>
      </c>
      <c r="DK146" s="46">
        <f>'LINEST VARS'!$U$68+'LINEST VARS'!$T$68*(8)+'LINEST VARS'!$S$68*(8)+'LINEST VARS'!$R$68*($DK$128)+'LINEST VARS'!$Q$68*(0.5)+'LINEST VARS'!$P$68*($CX146)+'LINEST VARS'!$O$68*(8^2)+'LINEST VARS'!$N$68*(8^2)+'LINEST VARS'!$M$68*($DK$128^2)+'LINEST VARS'!$L$68*(0.5^2)+'LINEST VARS'!$K$68*($CX146^2)+'LINEST VARS'!$J$68*(8*8)+'LINEST VARS'!$I$68*(8*$DK$128)+'LINEST VARS'!$H$68*(8*0.5)+'LINEST VARS'!$G$68*(8*$CX146)+'LINEST VARS'!$F$68*(8*$DK$128)+'LINEST VARS'!$E$68*(8*0.5)+'LINEST VARS'!$D$68*(8*$CX146)+'LINEST VARS'!$C$68*($DK$128*0.5)+'LINEST VARS'!$B$68*($DK$128*$CX146)+'LINEST VARS'!$A$68*(0.5*$CX146)</f>
        <v>149</v>
      </c>
      <c r="DL146" s="46">
        <f>'LINEST VARS'!$U$68+'LINEST VARS'!$T$68*(8)+'LINEST VARS'!$S$68*(8)+'LINEST VARS'!$R$68*($DL$128)+'LINEST VARS'!$Q$68*(0.5)+'LINEST VARS'!$P$68*($CX146)+'LINEST VARS'!$O$68*(8^2)+'LINEST VARS'!$N$68*(8^2)+'LINEST VARS'!$M$68*($DL$128^2)+'LINEST VARS'!$L$68*(0.5^2)+'LINEST VARS'!$K$68*($CX146^2)+'LINEST VARS'!$J$68*(8*8)+'LINEST VARS'!$I$68*(8*$DL$128)+'LINEST VARS'!$H$68*(8*0.5)+'LINEST VARS'!$G$68*(8*$CX146)+'LINEST VARS'!$F$68*(8*$DL$128)+'LINEST VARS'!$E$68*(8*0.5)+'LINEST VARS'!$D$68*(8*$CX146)+'LINEST VARS'!$C$68*($DL$128*0.5)+'LINEST VARS'!$B$68*($DL$128*$CX146)+'LINEST VARS'!$A$68*(0.5*$CX146)</f>
        <v>149</v>
      </c>
      <c r="DM146" s="46">
        <f>'LINEST VARS'!$U$68+'LINEST VARS'!$T$68*(8)+'LINEST VARS'!$S$68*(8)+'LINEST VARS'!$R$68*($DM$128)+'LINEST VARS'!$Q$68*(0.5)+'LINEST VARS'!$P$68*($CX146)+'LINEST VARS'!$O$68*(8^2)+'LINEST VARS'!$N$68*(8^2)+'LINEST VARS'!$M$68*($DM$128^2)+'LINEST VARS'!$L$68*(0.5^2)+'LINEST VARS'!$K$68*($CX146^2)+'LINEST VARS'!$J$68*(8*8)+'LINEST VARS'!$I$68*(8*$DM$128)+'LINEST VARS'!$H$68*(8*0.5)+'LINEST VARS'!$G$68*(8*$CX146)+'LINEST VARS'!$F$68*(8*$DM$128)+'LINEST VARS'!$E$68*(8*0.5)+'LINEST VARS'!$D$68*(8*$CX146)+'LINEST VARS'!$C$68*($DM$128*0.5)+'LINEST VARS'!$B$68*($DM$128*$CX146)+'LINEST VARS'!$A$68*(0.5*$CX146)</f>
        <v>149</v>
      </c>
      <c r="DN146" s="46">
        <f>'LINEST VARS'!$U$68+'LINEST VARS'!$T$68*(8)+'LINEST VARS'!$S$68*(8)+'LINEST VARS'!$R$68*($DN$128)+'LINEST VARS'!$Q$68*(0.5)+'LINEST VARS'!$P$68*($CX146)+'LINEST VARS'!$O$68*(8^2)+'LINEST VARS'!$N$68*(8^2)+'LINEST VARS'!$M$68*($DN$128^2)+'LINEST VARS'!$L$68*(0.5^2)+'LINEST VARS'!$K$68*($CX146^2)+'LINEST VARS'!$J$68*(8*8)+'LINEST VARS'!$I$68*(8*$DN$128)+'LINEST VARS'!$H$68*(8*0.5)+'LINEST VARS'!$G$68*(8*$CX146)+'LINEST VARS'!$F$68*(8*$DN$128)+'LINEST VARS'!$E$68*(8*0.5)+'LINEST VARS'!$D$68*(8*$CX146)+'LINEST VARS'!$C$68*($DN$128*0.5)+'LINEST VARS'!$B$68*($DN$128*$CX146)+'LINEST VARS'!$A$68*(0.5*$CX146)</f>
        <v>149</v>
      </c>
      <c r="DO146" s="46">
        <f>'LINEST VARS'!$U$68+'LINEST VARS'!$T$68*(8)+'LINEST VARS'!$S$68*(8)+'LINEST VARS'!$R$68*($DO$128)+'LINEST VARS'!$Q$68*(0.5)+'LINEST VARS'!$P$68*($CX146)+'LINEST VARS'!$O$68*(8^2)+'LINEST VARS'!$N$68*(8^2)+'LINEST VARS'!$M$68*($DO$128^2)+'LINEST VARS'!$L$68*(0.5^2)+'LINEST VARS'!$K$68*($CX146^2)+'LINEST VARS'!$J$68*(8*8)+'LINEST VARS'!$I$68*(8*$DO$128)+'LINEST VARS'!$H$68*(8*0.5)+'LINEST VARS'!$G$68*(8*$CX146)+'LINEST VARS'!$F$68*(8*$DO$128)+'LINEST VARS'!$E$68*(8*0.5)+'LINEST VARS'!$D$68*(8*$CX146)+'LINEST VARS'!$C$68*($DO$128*0.5)+'LINEST VARS'!$B$68*($DO$128*$CX146)+'LINEST VARS'!$A$68*(0.5*$CX146)</f>
        <v>149</v>
      </c>
      <c r="DP146" s="46">
        <f>'LINEST VARS'!$U$68+'LINEST VARS'!$T$68*(8)+'LINEST VARS'!$S$68*(8)+'LINEST VARS'!$R$68*($DP$128)+'LINEST VARS'!$Q$68*(0.5)+'LINEST VARS'!$P$68*($CX146)+'LINEST VARS'!$O$68*(8^2)+'LINEST VARS'!$N$68*(8^2)+'LINEST VARS'!$M$68*($DP$128^2)+'LINEST VARS'!$L$68*(0.5^2)+'LINEST VARS'!$K$68*($CX146^2)+'LINEST VARS'!$J$68*(8*8)+'LINEST VARS'!$I$68*(8*$DP$128)+'LINEST VARS'!$H$68*(8*0.5)+'LINEST VARS'!$G$68*(8*$CX146)+'LINEST VARS'!$F$68*(8*$DP$128)+'LINEST VARS'!$E$68*(8*0.5)+'LINEST VARS'!$D$68*(8*$CX146)+'LINEST VARS'!$C$68*($DP$128*0.5)+'LINEST VARS'!$B$68*($DP$128*$CX146)+'LINEST VARS'!$A$68*(0.5*$CX146)</f>
        <v>149</v>
      </c>
      <c r="DQ146" s="46">
        <f>'LINEST VARS'!$U$68+'LINEST VARS'!$T$68*(8)+'LINEST VARS'!$S$68*(8)+'LINEST VARS'!$R$68*($DQ$128)+'LINEST VARS'!$Q$68*(0.5)+'LINEST VARS'!$P$68*($CX146)+'LINEST VARS'!$O$68*(8^2)+'LINEST VARS'!$N$68*(8^2)+'LINEST VARS'!$M$68*($DQ$128^2)+'LINEST VARS'!$L$68*(0.5^2)+'LINEST VARS'!$K$68*($CX146^2)+'LINEST VARS'!$J$68*(8*8)+'LINEST VARS'!$I$68*(8*$DQ$128)+'LINEST VARS'!$H$68*(8*0.5)+'LINEST VARS'!$G$68*(8*$CX146)+'LINEST VARS'!$F$68*(8*$DQ$128)+'LINEST VARS'!$E$68*(8*0.5)+'LINEST VARS'!$D$68*(8*$CX146)+'LINEST VARS'!$C$68*($DQ$128*0.5)+'LINEST VARS'!$B$68*($DQ$128*$CX146)+'LINEST VARS'!$A$68*(0.5*$CX146)</f>
        <v>149</v>
      </c>
      <c r="DR146" s="46">
        <f>'LINEST VARS'!$U$68+'LINEST VARS'!$T$68*(8)+'LINEST VARS'!$S$68*(8)+'LINEST VARS'!$R$68*($DR$128)+'LINEST VARS'!$Q$68*(0.5)+'LINEST VARS'!$P$68*($CX146)+'LINEST VARS'!$O$68*(8^2)+'LINEST VARS'!$N$68*(8^2)+'LINEST VARS'!$M$68*($DR$128^2)+'LINEST VARS'!$L$68*(0.5^2)+'LINEST VARS'!$K$68*($CX146^2)+'LINEST VARS'!$J$68*(8*8)+'LINEST VARS'!$I$68*(8*$DR$128)+'LINEST VARS'!$H$68*(8*0.5)+'LINEST VARS'!$G$68*(8*$CX146)+'LINEST VARS'!$F$68*(8*$DR$128)+'LINEST VARS'!$E$68*(8*0.5)+'LINEST VARS'!$D$68*(8*$CX146)+'LINEST VARS'!$C$68*($DR$128*0.5)+'LINEST VARS'!$B$68*($DR$128*$CX146)+'LINEST VARS'!$A$68*(0.5*$CX146)</f>
        <v>149</v>
      </c>
      <c r="DS146" s="47">
        <f>'LINEST VARS'!$U$68+'LINEST VARS'!$T$68*(8)+'LINEST VARS'!$S$68*(8)+'LINEST VARS'!$R$68*($DS$128)+'LINEST VARS'!$Q$68*(0.5)+'LINEST VARS'!$P$68*($CX146)+'LINEST VARS'!$O$68*(8^2)+'LINEST VARS'!$N$68*(8^2)+'LINEST VARS'!$M$68*($DS$128^2)+'LINEST VARS'!$L$68*(0.5^2)+'LINEST VARS'!$K$68*($CX146^2)+'LINEST VARS'!$J$68*(8*8)+'LINEST VARS'!$I$68*(8*$DS$128)+'LINEST VARS'!$H$68*(8*0.5)+'LINEST VARS'!$G$68*(8*$CX146)+'LINEST VARS'!$F$68*(8*$DS$128)+'LINEST VARS'!$E$68*(8*0.5)+'LINEST VARS'!$D$68*(8*$CX146)+'LINEST VARS'!$C$68*($DS$128*0.5)+'LINEST VARS'!$B$68*($DS$128*$CX146)+'LINEST VARS'!$A$68*(0.5*$CX146)</f>
        <v>149</v>
      </c>
      <c r="DV146" s="45">
        <v>22.0915</v>
      </c>
      <c r="DW146" s="46">
        <f>'LINEST VARS'!$U$70+'LINEST VARS'!$T$70*(8)+'LINEST VARS'!$S$70*(8)+'LINEST VARS'!$R$70*($DW$128)+'LINEST VARS'!$Q$70*(0.5)+'LINEST VARS'!$P$70*($DV146)+'LINEST VARS'!$O$70*(8^2)+'LINEST VARS'!$N$70*(8^2)+'LINEST VARS'!$M$70*($DW$128^2)+'LINEST VARS'!$L$70*(0.5^2)+'LINEST VARS'!$K$70*($DV146^2)+'LINEST VARS'!$J$70*(8*8)+'LINEST VARS'!$I$70*(8*$DW$128)+'LINEST VARS'!$H$70*(8*0.5)+'LINEST VARS'!$G$70*(8*$DV146)+'LINEST VARS'!$F$70*(8*$DW$128)+'LINEST VARS'!$E$70*(8*0.5)+'LINEST VARS'!$D$70*(8*$DV146)+'LINEST VARS'!$C$70*($DW$128*0.5)+'LINEST VARS'!$B$70*($DW$128*$DV146)+'LINEST VARS'!$A$70*(0.5*$DV146)</f>
        <v>92.000000000000014</v>
      </c>
      <c r="DX146" s="46">
        <f>'LINEST VARS'!$U$70+'LINEST VARS'!$T$70*(8)+'LINEST VARS'!$S$70*(8)+'LINEST VARS'!$R$70*($DX$128)+'LINEST VARS'!$Q$70*(0.5)+'LINEST VARS'!$P$70*($DV146)+'LINEST VARS'!$O$70*(8^2)+'LINEST VARS'!$N$70*(8^2)+'LINEST VARS'!$M$70*($DX$128^2)+'LINEST VARS'!$L$70*(0.5^2)+'LINEST VARS'!$K$70*($DV146^2)+'LINEST VARS'!$J$70*(8*8)+'LINEST VARS'!$I$70*(8*$DX$128)+'LINEST VARS'!$H$70*(8*0.5)+'LINEST VARS'!$G$70*(8*$DV146)+'LINEST VARS'!$F$70*(8*$DX$128)+'LINEST VARS'!$E$70*(8*0.5)+'LINEST VARS'!$D$70*(8*$DV146)+'LINEST VARS'!$C$70*($DX$128*0.5)+'LINEST VARS'!$B$70*($DX$128*$DV146)+'LINEST VARS'!$A$70*(0.5*$DV146)</f>
        <v>91.600000000000009</v>
      </c>
      <c r="DY146" s="46">
        <f>'LINEST VARS'!$U$70+'LINEST VARS'!$T$70*(8)+'LINEST VARS'!$S$70*(8)+'LINEST VARS'!$R$70*($DY$128)+'LINEST VARS'!$Q$70*(0.5)+'LINEST VARS'!$P$70*($DV146)+'LINEST VARS'!$O$70*(8^2)+'LINEST VARS'!$N$70*(8^2)+'LINEST VARS'!$M$70*($DY$128^2)+'LINEST VARS'!$L$70*(0.5^2)+'LINEST VARS'!$K$70*($DV146^2)+'LINEST VARS'!$J$70*(8*8)+'LINEST VARS'!$I$70*(8*$DY$128)+'LINEST VARS'!$H$70*(8*0.5)+'LINEST VARS'!$G$70*(8*$DV146)+'LINEST VARS'!$F$70*(8*$DY$128)+'LINEST VARS'!$E$70*(8*0.5)+'LINEST VARS'!$D$70*(8*$DV146)+'LINEST VARS'!$C$70*($DY$128*0.5)+'LINEST VARS'!$B$70*($DY$128*$DV146)+'LINEST VARS'!$A$70*(0.5*$DV146)</f>
        <v>91.200000000000017</v>
      </c>
      <c r="DZ146" s="46">
        <f>'LINEST VARS'!$U$70+'LINEST VARS'!$T$70*(8)+'LINEST VARS'!$S$70*(8)+'LINEST VARS'!$R$70*($DZ$128)+'LINEST VARS'!$Q$70*(0.5)+'LINEST VARS'!$P$70*($DV146)+'LINEST VARS'!$O$70*(8^2)+'LINEST VARS'!$N$70*(8^2)+'LINEST VARS'!$M$70*($DZ$128^2)+'LINEST VARS'!$L$70*(0.5^2)+'LINEST VARS'!$K$70*($DV146^2)+'LINEST VARS'!$J$70*(8*8)+'LINEST VARS'!$I$70*(8*$DZ$128)+'LINEST VARS'!$H$70*(8*0.5)+'LINEST VARS'!$G$70*(8*$DV146)+'LINEST VARS'!$F$70*(8*$DZ$128)+'LINEST VARS'!$E$70*(8*0.5)+'LINEST VARS'!$D$70*(8*$DV146)+'LINEST VARS'!$C$70*($DZ$128*0.5)+'LINEST VARS'!$B$70*($DZ$128*$DV146)+'LINEST VARS'!$A$70*(0.5*$DV146)</f>
        <v>90.800000000000011</v>
      </c>
      <c r="EA146" s="46">
        <f>'LINEST VARS'!$U$70+'LINEST VARS'!$T$70*(8)+'LINEST VARS'!$S$70*(8)+'LINEST VARS'!$R$70*($EA$128)+'LINEST VARS'!$Q$70*(0.5)+'LINEST VARS'!$P$70*($DV146)+'LINEST VARS'!$O$70*(8^2)+'LINEST VARS'!$N$70*(8^2)+'LINEST VARS'!$M$70*($EA$128^2)+'LINEST VARS'!$L$70*(0.5^2)+'LINEST VARS'!$K$70*($DV146^2)+'LINEST VARS'!$J$70*(8*8)+'LINEST VARS'!$I$70*(8*$EA$128)+'LINEST VARS'!$H$70*(8*0.5)+'LINEST VARS'!$G$70*(8*$DV146)+'LINEST VARS'!$F$70*(8*$EA$128)+'LINEST VARS'!$E$70*(8*0.5)+'LINEST VARS'!$D$70*(8*$DV146)+'LINEST VARS'!$C$70*($EA$128*0.5)+'LINEST VARS'!$B$70*($EA$128*$DV146)+'LINEST VARS'!$A$70*(0.5*$DV146)</f>
        <v>90.40000000000002</v>
      </c>
      <c r="EB146" s="46">
        <f>'LINEST VARS'!$U$70+'LINEST VARS'!$T$70*(8)+'LINEST VARS'!$S$70*(8)+'LINEST VARS'!$R$70*($EB$128)+'LINEST VARS'!$Q$70*(0.5)+'LINEST VARS'!$P$70*($DV146)+'LINEST VARS'!$O$70*(8^2)+'LINEST VARS'!$N$70*(8^2)+'LINEST VARS'!$M$70*($EB$128^2)+'LINEST VARS'!$L$70*(0.5^2)+'LINEST VARS'!$K$70*($DV146^2)+'LINEST VARS'!$J$70*(8*8)+'LINEST VARS'!$I$70*(8*$EB$128)+'LINEST VARS'!$H$70*(8*0.5)+'LINEST VARS'!$G$70*(8*$DV146)+'LINEST VARS'!$F$70*(8*$EB$128)+'LINEST VARS'!$E$70*(8*0.5)+'LINEST VARS'!$D$70*(8*$DV146)+'LINEST VARS'!$C$70*($EB$128*0.5)+'LINEST VARS'!$B$70*($EB$128*$DV146)+'LINEST VARS'!$A$70*(0.5*$DV146)</f>
        <v>90.000000000000014</v>
      </c>
      <c r="EC146" s="46">
        <f>'LINEST VARS'!$U$70+'LINEST VARS'!$T$70*(8)+'LINEST VARS'!$S$70*(8)+'LINEST VARS'!$R$70*($EC$128)+'LINEST VARS'!$Q$70*(0.5)+'LINEST VARS'!$P$70*($DV146)+'LINEST VARS'!$O$70*(8^2)+'LINEST VARS'!$N$70*(8^2)+'LINEST VARS'!$M$70*($EC$128^2)+'LINEST VARS'!$L$70*(0.5^2)+'LINEST VARS'!$K$70*($DV146^2)+'LINEST VARS'!$J$70*(8*8)+'LINEST VARS'!$I$70*(8*$EC$128)+'LINEST VARS'!$H$70*(8*0.5)+'LINEST VARS'!$G$70*(8*$DV146)+'LINEST VARS'!$F$70*(8*$EC$128)+'LINEST VARS'!$E$70*(8*0.5)+'LINEST VARS'!$D$70*(8*$DV146)+'LINEST VARS'!$C$70*($EC$128*0.5)+'LINEST VARS'!$B$70*($EC$128*$DV146)+'LINEST VARS'!$A$70*(0.5*$DV146)</f>
        <v>89.600000000000023</v>
      </c>
      <c r="ED146" s="46">
        <f>'LINEST VARS'!$U$70+'LINEST VARS'!$T$70*(8)+'LINEST VARS'!$S$70*(8)+'LINEST VARS'!$R$70*($ED$128)+'LINEST VARS'!$Q$70*(0.5)+'LINEST VARS'!$P$70*($DV146)+'LINEST VARS'!$O$70*(8^2)+'LINEST VARS'!$N$70*(8^2)+'LINEST VARS'!$M$70*($ED$128^2)+'LINEST VARS'!$L$70*(0.5^2)+'LINEST VARS'!$K$70*($DV146^2)+'LINEST VARS'!$J$70*(8*8)+'LINEST VARS'!$I$70*(8*$ED$128)+'LINEST VARS'!$H$70*(8*0.5)+'LINEST VARS'!$G$70*(8*$DV146)+'LINEST VARS'!$F$70*(8*$ED$128)+'LINEST VARS'!$E$70*(8*0.5)+'LINEST VARS'!$D$70*(8*$DV146)+'LINEST VARS'!$C$70*($ED$128*0.5)+'LINEST VARS'!$B$70*($ED$128*$DV146)+'LINEST VARS'!$A$70*(0.5*$DV146)</f>
        <v>89.200000000000017</v>
      </c>
      <c r="EE146" s="46">
        <f>'LINEST VARS'!$U$70+'LINEST VARS'!$T$70*(8)+'LINEST VARS'!$S$70*(8)+'LINEST VARS'!$R$70*($EE$128)+'LINEST VARS'!$Q$70*(0.5)+'LINEST VARS'!$P$70*($DV146)+'LINEST VARS'!$O$70*(8^2)+'LINEST VARS'!$N$70*(8^2)+'LINEST VARS'!$M$70*($EE$128^2)+'LINEST VARS'!$L$70*(0.5^2)+'LINEST VARS'!$K$70*($DV146^2)+'LINEST VARS'!$J$70*(8*8)+'LINEST VARS'!$I$70*(8*$EE$128)+'LINEST VARS'!$H$70*(8*0.5)+'LINEST VARS'!$G$70*(8*$DV146)+'LINEST VARS'!$F$70*(8*$EE$128)+'LINEST VARS'!$E$70*(8*0.5)+'LINEST VARS'!$D$70*(8*$DV146)+'LINEST VARS'!$C$70*($EE$128*0.5)+'LINEST VARS'!$B$70*($EE$128*$DV146)+'LINEST VARS'!$A$70*(0.5*$DV146)</f>
        <v>88.800000000000026</v>
      </c>
      <c r="EF146" s="46">
        <f>'LINEST VARS'!$U$70+'LINEST VARS'!$T$70*(8)+'LINEST VARS'!$S$70*(8)+'LINEST VARS'!$R$70*($EF$128)+'LINEST VARS'!$Q$70*(0.5)+'LINEST VARS'!$P$70*($DV146)+'LINEST VARS'!$O$70*(8^2)+'LINEST VARS'!$N$70*(8^2)+'LINEST VARS'!$M$70*($EF$128^2)+'LINEST VARS'!$L$70*(0.5^2)+'LINEST VARS'!$K$70*($DV146^2)+'LINEST VARS'!$J$70*(8*8)+'LINEST VARS'!$I$70*(8*$EF$128)+'LINEST VARS'!$H$70*(8*0.5)+'LINEST VARS'!$G$70*(8*$DV146)+'LINEST VARS'!$F$70*(8*$EF$128)+'LINEST VARS'!$E$70*(8*0.5)+'LINEST VARS'!$D$70*(8*$DV146)+'LINEST VARS'!$C$70*($EF$128*0.5)+'LINEST VARS'!$B$70*($EF$128*$DV146)+'LINEST VARS'!$A$70*(0.5*$DV146)</f>
        <v>88.40000000000002</v>
      </c>
      <c r="EG146" s="46">
        <f>'LINEST VARS'!$U$70+'LINEST VARS'!$T$70*(8)+'LINEST VARS'!$S$70*(8)+'LINEST VARS'!$R$70*($EG$128)+'LINEST VARS'!$Q$70*(0.5)+'LINEST VARS'!$P$70*($DV146)+'LINEST VARS'!$O$70*(8^2)+'LINEST VARS'!$N$70*(8^2)+'LINEST VARS'!$M$70*($EG$128^2)+'LINEST VARS'!$L$70*(0.5^2)+'LINEST VARS'!$K$70*($DV146^2)+'LINEST VARS'!$J$70*(8*8)+'LINEST VARS'!$I$70*(8*$EG$128)+'LINEST VARS'!$H$70*(8*0.5)+'LINEST VARS'!$G$70*(8*$DV146)+'LINEST VARS'!$F$70*(8*$EG$128)+'LINEST VARS'!$E$70*(8*0.5)+'LINEST VARS'!$D$70*(8*$DV146)+'LINEST VARS'!$C$70*($EG$128*0.5)+'LINEST VARS'!$B$70*($EG$128*$DV146)+'LINEST VARS'!$A$70*(0.5*$DV146)</f>
        <v>88.000000000000014</v>
      </c>
      <c r="EH146" s="46">
        <f>'LINEST VARS'!$U$70+'LINEST VARS'!$T$70*(8)+'LINEST VARS'!$S$70*(8)+'LINEST VARS'!$R$70*($EH$128)+'LINEST VARS'!$Q$70*(0.5)+'LINEST VARS'!$P$70*($DV146)+'LINEST VARS'!$O$70*(8^2)+'LINEST VARS'!$N$70*(8^2)+'LINEST VARS'!$M$70*($EH$128^2)+'LINEST VARS'!$L$70*(0.5^2)+'LINEST VARS'!$K$70*($DV146^2)+'LINEST VARS'!$J$70*(8*8)+'LINEST VARS'!$I$70*(8*$EH$128)+'LINEST VARS'!$H$70*(8*0.5)+'LINEST VARS'!$G$70*(8*$DV146)+'LINEST VARS'!$F$70*(8*$EH$128)+'LINEST VARS'!$E$70*(8*0.5)+'LINEST VARS'!$D$70*(8*$DV146)+'LINEST VARS'!$C$70*($EH$128*0.5)+'LINEST VARS'!$B$70*($EH$128*$DV146)+'LINEST VARS'!$A$70*(0.5*$DV146)</f>
        <v>87.600000000000023</v>
      </c>
      <c r="EI146" s="46">
        <f>'LINEST VARS'!$U$70+'LINEST VARS'!$T$70*(8)+'LINEST VARS'!$S$70*(8)+'LINEST VARS'!$R$70*($EI$128)+'LINEST VARS'!$Q$70*(0.5)+'LINEST VARS'!$P$70*($DV146)+'LINEST VARS'!$O$70*(8^2)+'LINEST VARS'!$N$70*(8^2)+'LINEST VARS'!$M$70*($EI$128^2)+'LINEST VARS'!$L$70*(0.5^2)+'LINEST VARS'!$K$70*($DV146^2)+'LINEST VARS'!$J$70*(8*8)+'LINEST VARS'!$I$70*(8*$EI$128)+'LINEST VARS'!$H$70*(8*0.5)+'LINEST VARS'!$G$70*(8*$DV146)+'LINEST VARS'!$F$70*(8*$EI$128)+'LINEST VARS'!$E$70*(8*0.5)+'LINEST VARS'!$D$70*(8*$DV146)+'LINEST VARS'!$C$70*($EI$128*0.5)+'LINEST VARS'!$B$70*($EI$128*$DV146)+'LINEST VARS'!$A$70*(0.5*$DV146)</f>
        <v>87.200000000000017</v>
      </c>
      <c r="EJ146" s="46">
        <f>'LINEST VARS'!$U$70+'LINEST VARS'!$T$70*(8)+'LINEST VARS'!$S$70*(8)+'LINEST VARS'!$R$70*($EJ$128)+'LINEST VARS'!$Q$70*(0.5)+'LINEST VARS'!$P$70*($DV146)+'LINEST VARS'!$O$70*(8^2)+'LINEST VARS'!$N$70*(8^2)+'LINEST VARS'!$M$70*($EJ$128^2)+'LINEST VARS'!$L$70*(0.5^2)+'LINEST VARS'!$K$70*($DV146^2)+'LINEST VARS'!$J$70*(8*8)+'LINEST VARS'!$I$70*(8*$EJ$128)+'LINEST VARS'!$H$70*(8*0.5)+'LINEST VARS'!$G$70*(8*$DV146)+'LINEST VARS'!$F$70*(8*$EJ$128)+'LINEST VARS'!$E$70*(8*0.5)+'LINEST VARS'!$D$70*(8*$DV146)+'LINEST VARS'!$C$70*($EJ$128*0.5)+'LINEST VARS'!$B$70*($EJ$128*$DV146)+'LINEST VARS'!$A$70*(0.5*$DV146)</f>
        <v>86.800000000000026</v>
      </c>
      <c r="EK146" s="46">
        <f>'LINEST VARS'!$U$70+'LINEST VARS'!$T$70*(8)+'LINEST VARS'!$S$70*(8)+'LINEST VARS'!$R$70*($EK$128)+'LINEST VARS'!$Q$70*(0.5)+'LINEST VARS'!$P$70*($DV146)+'LINEST VARS'!$O$70*(8^2)+'LINEST VARS'!$N$70*(8^2)+'LINEST VARS'!$M$70*($EK$128^2)+'LINEST VARS'!$L$70*(0.5^2)+'LINEST VARS'!$K$70*($DV146^2)+'LINEST VARS'!$J$70*(8*8)+'LINEST VARS'!$I$70*(8*$EK$128)+'LINEST VARS'!$H$70*(8*0.5)+'LINEST VARS'!$G$70*(8*$DV146)+'LINEST VARS'!$F$70*(8*$EK$128)+'LINEST VARS'!$E$70*(8*0.5)+'LINEST VARS'!$D$70*(8*$DV146)+'LINEST VARS'!$C$70*($EK$128*0.5)+'LINEST VARS'!$B$70*($EK$128*$DV146)+'LINEST VARS'!$A$70*(0.5*$DV146)</f>
        <v>86.40000000000002</v>
      </c>
      <c r="EL146" s="46">
        <f>'LINEST VARS'!$U$70+'LINEST VARS'!$T$70*(8)+'LINEST VARS'!$S$70*(8)+'LINEST VARS'!$R$70*($EL$128)+'LINEST VARS'!$Q$70*(0.5)+'LINEST VARS'!$P$70*($DV146)+'LINEST VARS'!$O$70*(8^2)+'LINEST VARS'!$N$70*(8^2)+'LINEST VARS'!$M$70*($EL$128^2)+'LINEST VARS'!$L$70*(0.5^2)+'LINEST VARS'!$K$70*($DV146^2)+'LINEST VARS'!$J$70*(8*8)+'LINEST VARS'!$I$70*(8*$EL$128)+'LINEST VARS'!$H$70*(8*0.5)+'LINEST VARS'!$G$70*(8*$DV146)+'LINEST VARS'!$F$70*(8*$EL$128)+'LINEST VARS'!$E$70*(8*0.5)+'LINEST VARS'!$D$70*(8*$DV146)+'LINEST VARS'!$C$70*($EL$128*0.5)+'LINEST VARS'!$B$70*($EL$128*$DV146)+'LINEST VARS'!$A$70*(0.5*$DV146)</f>
        <v>86.000000000000014</v>
      </c>
      <c r="EM146" s="46">
        <f>'LINEST VARS'!$U$70+'LINEST VARS'!$T$70*(8)+'LINEST VARS'!$S$70*(8)+'LINEST VARS'!$R$70*($EM$128)+'LINEST VARS'!$Q$70*(0.5)+'LINEST VARS'!$P$70*($DV146)+'LINEST VARS'!$O$70*(8^2)+'LINEST VARS'!$N$70*(8^2)+'LINEST VARS'!$M$70*($EM$128^2)+'LINEST VARS'!$L$70*(0.5^2)+'LINEST VARS'!$K$70*($DV146^2)+'LINEST VARS'!$J$70*(8*8)+'LINEST VARS'!$I$70*(8*$EM$128)+'LINEST VARS'!$H$70*(8*0.5)+'LINEST VARS'!$G$70*(8*$DV146)+'LINEST VARS'!$F$70*(8*$EM$128)+'LINEST VARS'!$E$70*(8*0.5)+'LINEST VARS'!$D$70*(8*$DV146)+'LINEST VARS'!$C$70*($EM$128*0.5)+'LINEST VARS'!$B$70*($EM$128*$DV146)+'LINEST VARS'!$A$70*(0.5*$DV146)</f>
        <v>85.600000000000009</v>
      </c>
      <c r="EN146" s="46">
        <f>'LINEST VARS'!$U$70+'LINEST VARS'!$T$70*(8)+'LINEST VARS'!$S$70*(8)+'LINEST VARS'!$R$70*($EN$128)+'LINEST VARS'!$Q$70*(0.5)+'LINEST VARS'!$P$70*($DV146)+'LINEST VARS'!$O$70*(8^2)+'LINEST VARS'!$N$70*(8^2)+'LINEST VARS'!$M$70*($EN$128^2)+'LINEST VARS'!$L$70*(0.5^2)+'LINEST VARS'!$K$70*($DV146^2)+'LINEST VARS'!$J$70*(8*8)+'LINEST VARS'!$I$70*(8*$EN$128)+'LINEST VARS'!$H$70*(8*0.5)+'LINEST VARS'!$G$70*(8*$DV146)+'LINEST VARS'!$F$70*(8*$EN$128)+'LINEST VARS'!$E$70*(8*0.5)+'LINEST VARS'!$D$70*(8*$DV146)+'LINEST VARS'!$C$70*($EN$128*0.5)+'LINEST VARS'!$B$70*($EN$128*$DV146)+'LINEST VARS'!$A$70*(0.5*$DV146)</f>
        <v>85.200000000000017</v>
      </c>
      <c r="EO146" s="46">
        <f>'LINEST VARS'!$U$70+'LINEST VARS'!$T$70*(8)+'LINEST VARS'!$S$70*(8)+'LINEST VARS'!$R$70*($EO$128)+'LINEST VARS'!$Q$70*(0.5)+'LINEST VARS'!$P$70*($DV146)+'LINEST VARS'!$O$70*(8^2)+'LINEST VARS'!$N$70*(8^2)+'LINEST VARS'!$M$70*($EO$128^2)+'LINEST VARS'!$L$70*(0.5^2)+'LINEST VARS'!$K$70*($DV146^2)+'LINEST VARS'!$J$70*(8*8)+'LINEST VARS'!$I$70*(8*$EO$128)+'LINEST VARS'!$H$70*(8*0.5)+'LINEST VARS'!$G$70*(8*$DV146)+'LINEST VARS'!$F$70*(8*$EO$128)+'LINEST VARS'!$E$70*(8*0.5)+'LINEST VARS'!$D$70*(8*$DV146)+'LINEST VARS'!$C$70*($EO$128*0.5)+'LINEST VARS'!$B$70*($EO$128*$DV146)+'LINEST VARS'!$A$70*(0.5*$DV146)</f>
        <v>84.800000000000011</v>
      </c>
      <c r="EP146" s="46">
        <f>'LINEST VARS'!$U$70+'LINEST VARS'!$T$70*(8)+'LINEST VARS'!$S$70*(8)+'LINEST VARS'!$R$70*($EP$128)+'LINEST VARS'!$Q$70*(0.5)+'LINEST VARS'!$P$70*($DV146)+'LINEST VARS'!$O$70*(8^2)+'LINEST VARS'!$N$70*(8^2)+'LINEST VARS'!$M$70*($EP$128^2)+'LINEST VARS'!$L$70*(0.5^2)+'LINEST VARS'!$K$70*($DV146^2)+'LINEST VARS'!$J$70*(8*8)+'LINEST VARS'!$I$70*(8*$EP$128)+'LINEST VARS'!$H$70*(8*0.5)+'LINEST VARS'!$G$70*(8*$DV146)+'LINEST VARS'!$F$70*(8*$EP$128)+'LINEST VARS'!$E$70*(8*0.5)+'LINEST VARS'!$D$70*(8*$DV146)+'LINEST VARS'!$C$70*($EP$128*0.5)+'LINEST VARS'!$B$70*($EP$128*$DV146)+'LINEST VARS'!$A$70*(0.5*$DV146)</f>
        <v>84.400000000000034</v>
      </c>
      <c r="EQ146" s="47">
        <f>'LINEST VARS'!$U$70+'LINEST VARS'!$T$70*(8)+'LINEST VARS'!$S$70*(8)+'LINEST VARS'!$R$70*($EQ$128)+'LINEST VARS'!$Q$70*(0.5)+'LINEST VARS'!$P$70*($DV146)+'LINEST VARS'!$O$70*(8^2)+'LINEST VARS'!$N$70*(8^2)+'LINEST VARS'!$M$70*($EQ$128^2)+'LINEST VARS'!$L$70*(0.5^2)+'LINEST VARS'!$K$70*($DV146^2)+'LINEST VARS'!$J$70*(8*8)+'LINEST VARS'!$I$70*(8*$EQ$128)+'LINEST VARS'!$H$70*(8*0.5)+'LINEST VARS'!$G$70*(8*$DV146)+'LINEST VARS'!$F$70*(8*$EQ$128)+'LINEST VARS'!$E$70*(8*0.5)+'LINEST VARS'!$D$70*(8*$DV146)+'LINEST VARS'!$C$70*($EQ$128*0.5)+'LINEST VARS'!$B$70*($EQ$128*$DV146)+'LINEST VARS'!$A$70*(0.5*$DV146)</f>
        <v>84.000000000000028</v>
      </c>
    </row>
    <row r="147" spans="2:147" ht="15" customHeight="1" x14ac:dyDescent="0.25">
      <c r="B147" s="45">
        <v>8.48</v>
      </c>
      <c r="C147" s="46">
        <f>'LINEST VARS'!$U$68+'LINEST VARS'!$T$68*($C$128)+'LINEST VARS'!$S$68*($B147)+'LINEST VARS'!$R$68*(4)+'LINEST VARS'!$Q$68*(0.5)+'LINEST VARS'!$P$68*(12.73)+'LINEST VARS'!$O$68*($C$128^2)+'LINEST VARS'!$N$68*($B147^2)+'LINEST VARS'!$M$68*(4^2)+'LINEST VARS'!$L$68*(0.5^2)+'LINEST VARS'!$K$68*(12.73^2)+'LINEST VARS'!$J$68*($C$128*$B147)+'LINEST VARS'!$I$68*($C$128*4)+'LINEST VARS'!$H$68*($C$128*0.5)+'LINEST VARS'!$G$68*($C$128*12.73)+'LINEST VARS'!$F$68*($B147*4)+'LINEST VARS'!$E$68*($B147*0.5)+'LINEST VARS'!$D$68*($B147*12.73)+'LINEST VARS'!$C$68*(4*0.5)+'LINEST VARS'!$B$68*(4*12.73)+'LINEST VARS'!$A$68*(0.5*12.73)</f>
        <v>149</v>
      </c>
      <c r="D147" s="46">
        <f>'LINEST VARS'!$U$68+'LINEST VARS'!$T$68*($D$128)+'LINEST VARS'!$S$68*($B147)+'LINEST VARS'!$R$68*(4)+'LINEST VARS'!$Q$68*(0.5)+'LINEST VARS'!$P$68*(12.73)+'LINEST VARS'!$O$68*($D$128^2)+'LINEST VARS'!$N$68*($B147^2)+'LINEST VARS'!$M$68*(4^2)+'LINEST VARS'!$L$68*(0.5^2)+'LINEST VARS'!$K$68*(12.73^2)+'LINEST VARS'!$J$68*($D$128*$B147)+'LINEST VARS'!$I$68*($D$128*4)+'LINEST VARS'!$H$68*($D$128*0.5)+'LINEST VARS'!$G$68*($D$128*12.73)+'LINEST VARS'!$F$68*($B147*4)+'LINEST VARS'!$E$68*($B147*0.5)+'LINEST VARS'!$D$68*($B147*12.73)+'LINEST VARS'!$C$68*(4*0.5)+'LINEST VARS'!$B$68*(4*12.73)+'LINEST VARS'!$A$68*(0.5*12.73)</f>
        <v>149</v>
      </c>
      <c r="E147" s="46">
        <f>'LINEST VARS'!$U$68+'LINEST VARS'!$T$68*($E$128)+'LINEST VARS'!$S$68*($B147)+'LINEST VARS'!$R$68*(4)+'LINEST VARS'!$Q$68*(0.5)+'LINEST VARS'!$P$68*(12.73)+'LINEST VARS'!$O$68*($E$128^2)+'LINEST VARS'!$N$68*($B147^2)+'LINEST VARS'!$M$68*(4^2)+'LINEST VARS'!$L$68*(0.5^2)+'LINEST VARS'!$K$68*(12.73^2)+'LINEST VARS'!$J$68*($E$128*$B147)+'LINEST VARS'!$I$68*($E$128*4)+'LINEST VARS'!$H$68*($E$128*0.5)+'LINEST VARS'!$G$68*($E$128*12.73)+'LINEST VARS'!$F$68*($B147*4)+'LINEST VARS'!$E$68*($B147*0.5)+'LINEST VARS'!$D$68*($B147*12.73)+'LINEST VARS'!$C$68*(4*0.5)+'LINEST VARS'!$B$68*(4*12.73)+'LINEST VARS'!$A$68*(0.5*12.73)</f>
        <v>149</v>
      </c>
      <c r="F147" s="46">
        <f>'LINEST VARS'!$U$68+'LINEST VARS'!$T$68*($F$128)+'LINEST VARS'!$S$68*($B147)+'LINEST VARS'!$R$68*(4)+'LINEST VARS'!$Q$68*(0.5)+'LINEST VARS'!$P$68*(12.73)+'LINEST VARS'!$O$68*($F$128^2)+'LINEST VARS'!$N$68*($B147^2)+'LINEST VARS'!$M$68*(4^2)+'LINEST VARS'!$L$68*(0.5^2)+'LINEST VARS'!$K$68*(12.73^2)+'LINEST VARS'!$J$68*($F$128*$B147)+'LINEST VARS'!$I$68*($F$128*4)+'LINEST VARS'!$H$68*($F$128*0.5)+'LINEST VARS'!$G$68*($F$128*12.73)+'LINEST VARS'!$F$68*($B147*4)+'LINEST VARS'!$E$68*($B147*0.5)+'LINEST VARS'!$D$68*($B147*12.73)+'LINEST VARS'!$C$68*(4*0.5)+'LINEST VARS'!$B$68*(4*12.73)+'LINEST VARS'!$A$68*(0.5*12.73)</f>
        <v>149</v>
      </c>
      <c r="G147" s="46">
        <f>'LINEST VARS'!$U$68+'LINEST VARS'!$T$68*($G$128)+'LINEST VARS'!$S$68*($B147)+'LINEST VARS'!$R$68*(4)+'LINEST VARS'!$Q$68*(0.5)+'LINEST VARS'!$P$68*(12.73)+'LINEST VARS'!$O$68*($G$128^2)+'LINEST VARS'!$N$68*($B147^2)+'LINEST VARS'!$M$68*(4^2)+'LINEST VARS'!$L$68*(0.5^2)+'LINEST VARS'!$K$68*(12.73^2)+'LINEST VARS'!$J$68*($G$128*$B147)+'LINEST VARS'!$I$68*($G$128*4)+'LINEST VARS'!$H$68*($G$128*0.5)+'LINEST VARS'!$G$68*($G$128*12.73)+'LINEST VARS'!$F$68*($B147*4)+'LINEST VARS'!$E$68*($B147*0.5)+'LINEST VARS'!$D$68*($B147*12.73)+'LINEST VARS'!$C$68*(4*0.5)+'LINEST VARS'!$B$68*(4*12.73)+'LINEST VARS'!$A$68*(0.5*12.73)</f>
        <v>149</v>
      </c>
      <c r="H147" s="46">
        <f>'LINEST VARS'!$U$68+'LINEST VARS'!$T$68*($H$128)+'LINEST VARS'!$S$68*($B147)+'LINEST VARS'!$R$68*(4)+'LINEST VARS'!$Q$68*(0.5)+'LINEST VARS'!$P$68*(12.73)+'LINEST VARS'!$O$68*($H$128^2)+'LINEST VARS'!$N$68*($B147^2)+'LINEST VARS'!$M$68*(4^2)+'LINEST VARS'!$L$68*(0.5^2)+'LINEST VARS'!$K$68*(12.73^2)+'LINEST VARS'!$J$68*($H$128*$B147)+'LINEST VARS'!$I$68*($H$128*4)+'LINEST VARS'!$H$68*($H$128*0.5)+'LINEST VARS'!$G$68*($H$128*12.73)+'LINEST VARS'!$F$68*($B147*4)+'LINEST VARS'!$E$68*($B147*0.5)+'LINEST VARS'!$D$68*($B147*12.73)+'LINEST VARS'!$C$68*(4*0.5)+'LINEST VARS'!$B$68*(4*12.73)+'LINEST VARS'!$A$68*(0.5*12.73)</f>
        <v>149</v>
      </c>
      <c r="I147" s="46">
        <f>'LINEST VARS'!$U$68+'LINEST VARS'!$T$68*($I$128)+'LINEST VARS'!$S$68*($B147)+'LINEST VARS'!$R$68*(4)+'LINEST VARS'!$Q$68*(0.5)+'LINEST VARS'!$P$68*(12.73)+'LINEST VARS'!$O$68*($I$128^2)+'LINEST VARS'!$N$68*($B147^2)+'LINEST VARS'!$M$68*(4^2)+'LINEST VARS'!$L$68*(0.5^2)+'LINEST VARS'!$K$68*(12.73^2)+'LINEST VARS'!$J$68*($I$128*$B147)+'LINEST VARS'!$I$68*($I$128*4)+'LINEST VARS'!$H$68*($I$128*0.5)+'LINEST VARS'!$G$68*($I$128*12.73)+'LINEST VARS'!$F$68*($B147*4)+'LINEST VARS'!$E$68*($B147*0.5)+'LINEST VARS'!$D$68*($B147*12.73)+'LINEST VARS'!$C$68*(4*0.5)+'LINEST VARS'!$B$68*(4*12.73)+'LINEST VARS'!$A$68*(0.5*12.73)</f>
        <v>149</v>
      </c>
      <c r="J147" s="46">
        <f>'LINEST VARS'!$U$68+'LINEST VARS'!$T$68*($J$128)+'LINEST VARS'!$S$68*($B147)+'LINEST VARS'!$R$68*(4)+'LINEST VARS'!$Q$68*(0.5)+'LINEST VARS'!$P$68*(12.73)+'LINEST VARS'!$O$68*($J$128^2)+'LINEST VARS'!$N$68*($B147^2)+'LINEST VARS'!$M$68*(4^2)+'LINEST VARS'!$L$68*(0.5^2)+'LINEST VARS'!$K$68*(12.73^2)+'LINEST VARS'!$J$68*($J$128*$B147)+'LINEST VARS'!$I$68*($J$128*4)+'LINEST VARS'!$H$68*($J$128*0.5)+'LINEST VARS'!$G$68*($J$128*12.73)+'LINEST VARS'!$F$68*($B147*4)+'LINEST VARS'!$E$68*($B147*0.5)+'LINEST VARS'!$D$68*($B147*12.73)+'LINEST VARS'!$C$68*(4*0.5)+'LINEST VARS'!$B$68*(4*12.73)+'LINEST VARS'!$A$68*(0.5*12.73)</f>
        <v>149</v>
      </c>
      <c r="K147" s="46">
        <f>'LINEST VARS'!$U$68+'LINEST VARS'!$T$68*($K$128)+'LINEST VARS'!$S$68*($B147)+'LINEST VARS'!$R$68*(4)+'LINEST VARS'!$Q$68*(0.5)+'LINEST VARS'!$P$68*(12.73)+'LINEST VARS'!$O$68*($K$128^2)+'LINEST VARS'!$N$68*($B147^2)+'LINEST VARS'!$M$68*(4^2)+'LINEST VARS'!$L$68*(0.5^2)+'LINEST VARS'!$K$68*(12.73^2)+'LINEST VARS'!$J$68*($K$128*$B147)+'LINEST VARS'!$I$68*($K$128*4)+'LINEST VARS'!$H$68*($K$128*0.5)+'LINEST VARS'!$G$68*($K$128*12.73)+'LINEST VARS'!$F$68*($B147*4)+'LINEST VARS'!$E$68*($B147*0.5)+'LINEST VARS'!$D$68*($B147*12.73)+'LINEST VARS'!$C$68*(4*0.5)+'LINEST VARS'!$B$68*(4*12.73)+'LINEST VARS'!$A$68*(0.5*12.73)</f>
        <v>149</v>
      </c>
      <c r="L147" s="46">
        <f>'LINEST VARS'!$U$68+'LINEST VARS'!$T$68*($L$128)+'LINEST VARS'!$S$68*($B147)+'LINEST VARS'!$R$68*(4)+'LINEST VARS'!$Q$68*(0.5)+'LINEST VARS'!$P$68*(12.73)+'LINEST VARS'!$O$68*($L$128^2)+'LINEST VARS'!$N$68*($B147^2)+'LINEST VARS'!$M$68*(4^2)+'LINEST VARS'!$L$68*(0.5^2)+'LINEST VARS'!$K$68*(12.73^2)+'LINEST VARS'!$J$68*($L$128*$B147)+'LINEST VARS'!$I$68*($L$128*4)+'LINEST VARS'!$H$68*($L$128*0.5)+'LINEST VARS'!$G$68*($L$128*12.73)+'LINEST VARS'!$F$68*($B147*4)+'LINEST VARS'!$E$68*($B147*0.5)+'LINEST VARS'!$D$68*($B147*12.73)+'LINEST VARS'!$C$68*(4*0.5)+'LINEST VARS'!$B$68*(4*12.73)+'LINEST VARS'!$A$68*(0.5*12.73)</f>
        <v>149</v>
      </c>
      <c r="M147" s="46">
        <f>'LINEST VARS'!$U$68+'LINEST VARS'!$T$68*($M$128)+'LINEST VARS'!$S$68*($B147)+'LINEST VARS'!$R$68*(4)+'LINEST VARS'!$Q$68*(0.5)+'LINEST VARS'!$P$68*(12.73)+'LINEST VARS'!$O$68*($M$128^2)+'LINEST VARS'!$N$68*($B147^2)+'LINEST VARS'!$M$68*(4^2)+'LINEST VARS'!$L$68*(0.5^2)+'LINEST VARS'!$K$68*(12.73^2)+'LINEST VARS'!$J$68*($M$128*$B147)+'LINEST VARS'!$I$68*($M$128*4)+'LINEST VARS'!$H$68*($M$128*0.5)+'LINEST VARS'!$G$68*($M$128*12.73)+'LINEST VARS'!$F$68*($B147*4)+'LINEST VARS'!$E$68*($B147*0.5)+'LINEST VARS'!$D$68*($B147*12.73)+'LINEST VARS'!$C$68*(4*0.5)+'LINEST VARS'!$B$68*(4*12.73)+'LINEST VARS'!$A$68*(0.5*12.73)</f>
        <v>149</v>
      </c>
      <c r="N147" s="46">
        <f>'LINEST VARS'!$U$68+'LINEST VARS'!$T$68*($N$128)+'LINEST VARS'!$S$68*($B147)+'LINEST VARS'!$R$68*(4)+'LINEST VARS'!$Q$68*(0.5)+'LINEST VARS'!$P$68*(12.73)+'LINEST VARS'!$O$68*($N$128^2)+'LINEST VARS'!$N$68*($B147^2)+'LINEST VARS'!$M$68*(4^2)+'LINEST VARS'!$L$68*(0.5^2)+'LINEST VARS'!$K$68*(12.73^2)+'LINEST VARS'!$J$68*($N$128*$B147)+'LINEST VARS'!$I$68*($N$128*4)+'LINEST VARS'!$H$68*($N$128*0.5)+'LINEST VARS'!$G$68*($N$128*12.73)+'LINEST VARS'!$F$68*($B147*4)+'LINEST VARS'!$E$68*($B147*0.5)+'LINEST VARS'!$D$68*($B147*12.73)+'LINEST VARS'!$C$68*(4*0.5)+'LINEST VARS'!$B$68*(4*12.73)+'LINEST VARS'!$A$68*(0.5*12.73)</f>
        <v>149</v>
      </c>
      <c r="O147" s="46">
        <f>'LINEST VARS'!$U$68+'LINEST VARS'!$T$68*($O$128)+'LINEST VARS'!$S$68*($B147)+'LINEST VARS'!$R$68*(4)+'LINEST VARS'!$Q$68*(0.5)+'LINEST VARS'!$P$68*(12.73)+'LINEST VARS'!$O$68*($O$128^2)+'LINEST VARS'!$N$68*($B147^2)+'LINEST VARS'!$M$68*(4^2)+'LINEST VARS'!$L$68*(0.5^2)+'LINEST VARS'!$K$68*(12.73^2)+'LINEST VARS'!$J$68*($O$128*$B147)+'LINEST VARS'!$I$68*($O$128*4)+'LINEST VARS'!$H$68*($O$128*0.5)+'LINEST VARS'!$G$68*($O$128*12.73)+'LINEST VARS'!$F$68*($B147*4)+'LINEST VARS'!$E$68*($B147*0.5)+'LINEST VARS'!$D$68*($B147*12.73)+'LINEST VARS'!$C$68*(4*0.5)+'LINEST VARS'!$B$68*(4*12.73)+'LINEST VARS'!$A$68*(0.5*12.73)</f>
        <v>149</v>
      </c>
      <c r="P147" s="46">
        <f>'LINEST VARS'!$U$68+'LINEST VARS'!$T$68*($P$128)+'LINEST VARS'!$S$68*($B147)+'LINEST VARS'!$R$68*(4)+'LINEST VARS'!$Q$68*(0.5)+'LINEST VARS'!$P$68*(12.73)+'LINEST VARS'!$O$68*($P$128^2)+'LINEST VARS'!$N$68*($B147^2)+'LINEST VARS'!$M$68*(4^2)+'LINEST VARS'!$L$68*(0.5^2)+'LINEST VARS'!$K$68*(12.73^2)+'LINEST VARS'!$J$68*($P$128*$B147)+'LINEST VARS'!$I$68*($P$128*4)+'LINEST VARS'!$H$68*($P$128*0.5)+'LINEST VARS'!$G$68*($P$128*12.73)+'LINEST VARS'!$F$68*($B147*4)+'LINEST VARS'!$E$68*($B147*0.5)+'LINEST VARS'!$D$68*($B147*12.73)+'LINEST VARS'!$C$68*(4*0.5)+'LINEST VARS'!$B$68*(4*12.73)+'LINEST VARS'!$A$68*(0.5*12.73)</f>
        <v>149</v>
      </c>
      <c r="Q147" s="46">
        <f>'LINEST VARS'!$U$68+'LINEST VARS'!$T$68*($Q$128)+'LINEST VARS'!$S$68*($B147)+'LINEST VARS'!$R$68*(4)+'LINEST VARS'!$Q$68*(0.5)+'LINEST VARS'!$P$68*(12.73)+'LINEST VARS'!$O$68*($Q$128^2)+'LINEST VARS'!$N$68*($B147^2)+'LINEST VARS'!$M$68*(4^2)+'LINEST VARS'!$L$68*(0.5^2)+'LINEST VARS'!$K$68*(12.73^2)+'LINEST VARS'!$J$68*($Q$128*$B147)+'LINEST VARS'!$I$68*($Q$128*4)+'LINEST VARS'!$H$68*($Q$128*0.5)+'LINEST VARS'!$G$68*($Q$128*12.73)+'LINEST VARS'!$F$68*($B147*4)+'LINEST VARS'!$E$68*($B147*0.5)+'LINEST VARS'!$D$68*($B147*12.73)+'LINEST VARS'!$C$68*(4*0.5)+'LINEST VARS'!$B$68*(4*12.73)+'LINEST VARS'!$A$68*(0.5*12.73)</f>
        <v>149</v>
      </c>
      <c r="R147" s="46">
        <f>'LINEST VARS'!$U$68+'LINEST VARS'!$T$68*($R$128)+'LINEST VARS'!$S$68*($B147)+'LINEST VARS'!$R$68*(4)+'LINEST VARS'!$Q$68*(0.5)+'LINEST VARS'!$P$68*(12.73)+'LINEST VARS'!$O$68*($R$128^2)+'LINEST VARS'!$N$68*($B147^2)+'LINEST VARS'!$M$68*(4^2)+'LINEST VARS'!$L$68*(0.5^2)+'LINEST VARS'!$K$68*(12.73^2)+'LINEST VARS'!$J$68*($R$128*$B147)+'LINEST VARS'!$I$68*($R$128*4)+'LINEST VARS'!$H$68*($R$128*0.5)+'LINEST VARS'!$G$68*($R$128*12.73)+'LINEST VARS'!$F$68*($B147*4)+'LINEST VARS'!$E$68*($B147*0.5)+'LINEST VARS'!$D$68*($B147*12.73)+'LINEST VARS'!$C$68*(4*0.5)+'LINEST VARS'!$B$68*(4*12.73)+'LINEST VARS'!$A$68*(0.5*12.73)</f>
        <v>149</v>
      </c>
      <c r="S147" s="46">
        <f>'LINEST VARS'!$U$68+'LINEST VARS'!$T$68*($S$128)+'LINEST VARS'!$S$68*($B147)+'LINEST VARS'!$R$68*(4)+'LINEST VARS'!$Q$68*(0.5)+'LINEST VARS'!$P$68*(12.73)+'LINEST VARS'!$O$68*($S$128^2)+'LINEST VARS'!$N$68*($B147^2)+'LINEST VARS'!$M$68*(4^2)+'LINEST VARS'!$L$68*(0.5^2)+'LINEST VARS'!$K$68*(12.73^2)+'LINEST VARS'!$J$68*($S$128*$B147)+'LINEST VARS'!$I$68*($S$128*4)+'LINEST VARS'!$H$68*($S$128*0.5)+'LINEST VARS'!$G$68*($S$128*12.73)+'LINEST VARS'!$F$68*($B147*4)+'LINEST VARS'!$E$68*($B147*0.5)+'LINEST VARS'!$D$68*($B147*12.73)+'LINEST VARS'!$C$68*(4*0.5)+'LINEST VARS'!$B$68*(4*12.73)+'LINEST VARS'!$A$68*(0.5*12.73)</f>
        <v>149</v>
      </c>
      <c r="T147" s="46">
        <f>'LINEST VARS'!$U$68+'LINEST VARS'!$T$68*($T$128)+'LINEST VARS'!$S$68*($B147)+'LINEST VARS'!$R$68*(4)+'LINEST VARS'!$Q$68*(0.5)+'LINEST VARS'!$P$68*(12.73)+'LINEST VARS'!$O$68*($T$128^2)+'LINEST VARS'!$N$68*($B147^2)+'LINEST VARS'!$M$68*(4^2)+'LINEST VARS'!$L$68*(0.5^2)+'LINEST VARS'!$K$68*(12.73^2)+'LINEST VARS'!$J$68*($T$128*$B147)+'LINEST VARS'!$I$68*($T$128*4)+'LINEST VARS'!$H$68*($T$128*0.5)+'LINEST VARS'!$G$68*($T$128*12.73)+'LINEST VARS'!$F$68*($B147*4)+'LINEST VARS'!$E$68*($B147*0.5)+'LINEST VARS'!$D$68*($B147*12.73)+'LINEST VARS'!$C$68*(4*0.5)+'LINEST VARS'!$B$68*(4*12.73)+'LINEST VARS'!$A$68*(0.5*12.73)</f>
        <v>149</v>
      </c>
      <c r="U147" s="46">
        <f>'LINEST VARS'!$U$68+'LINEST VARS'!$T$68*($U$128)+'LINEST VARS'!$S$68*($B147)+'LINEST VARS'!$R$68*(4)+'LINEST VARS'!$Q$68*(0.5)+'LINEST VARS'!$P$68*(12.73)+'LINEST VARS'!$O$68*($U$128^2)+'LINEST VARS'!$N$68*($B147^2)+'LINEST VARS'!$M$68*(4^2)+'LINEST VARS'!$L$68*(0.5^2)+'LINEST VARS'!$K$68*(12.73^2)+'LINEST VARS'!$J$68*($U$128*$B147)+'LINEST VARS'!$I$68*($U$128*4)+'LINEST VARS'!$H$68*($U$128*0.5)+'LINEST VARS'!$G$68*($U$128*12.73)+'LINEST VARS'!$F$68*($B147*4)+'LINEST VARS'!$E$68*($B147*0.5)+'LINEST VARS'!$D$68*($B147*12.73)+'LINEST VARS'!$C$68*(4*0.5)+'LINEST VARS'!$B$68*(4*12.73)+'LINEST VARS'!$A$68*(0.5*12.73)</f>
        <v>149</v>
      </c>
      <c r="V147" s="46">
        <f>'LINEST VARS'!$U$68+'LINEST VARS'!$T$68*($V$128)+'LINEST VARS'!$S$68*($B147)+'LINEST VARS'!$R$68*(4)+'LINEST VARS'!$Q$68*(0.5)+'LINEST VARS'!$P$68*(12.73)+'LINEST VARS'!$O$68*($V$128^2)+'LINEST VARS'!$N$68*($B147^2)+'LINEST VARS'!$M$68*(4^2)+'LINEST VARS'!$L$68*(0.5^2)+'LINEST VARS'!$K$68*(12.73^2)+'LINEST VARS'!$J$68*($V$128*$B147)+'LINEST VARS'!$I$68*($V$128*4)+'LINEST VARS'!$H$68*($V$128*0.5)+'LINEST VARS'!$G$68*($V$128*12.73)+'LINEST VARS'!$F$68*($B147*4)+'LINEST VARS'!$E$68*($B147*0.5)+'LINEST VARS'!$D$68*($B147*12.73)+'LINEST VARS'!$C$68*(4*0.5)+'LINEST VARS'!$B$68*(4*12.73)+'LINEST VARS'!$A$68*(0.5*12.73)</f>
        <v>149</v>
      </c>
      <c r="W147" s="47">
        <f>'LINEST VARS'!$U$68+'LINEST VARS'!$T$68*($W$128)+'LINEST VARS'!$S$68*($B147)+'LINEST VARS'!$R$68*(4)+'LINEST VARS'!$Q$68*(0.5)+'LINEST VARS'!$P$68*(12.73)+'LINEST VARS'!$O$68*($W$128^2)+'LINEST VARS'!$N$68*($B147^2)+'LINEST VARS'!$M$68*(4^2)+'LINEST VARS'!$L$68*(0.5^2)+'LINEST VARS'!$K$68*(12.73^2)+'LINEST VARS'!$J$68*($W$128*$B147)+'LINEST VARS'!$I$68*($W$128*4)+'LINEST VARS'!$H$68*($W$128*0.5)+'LINEST VARS'!$G$68*($W$128*12.73)+'LINEST VARS'!$F$68*($B147*4)+'LINEST VARS'!$E$68*($B147*0.5)+'LINEST VARS'!$D$68*($B147*12.73)+'LINEST VARS'!$C$68*(4*0.5)+'LINEST VARS'!$B$68*(4*12.73)+'LINEST VARS'!$A$68*(0.5*12.73)</f>
        <v>149</v>
      </c>
      <c r="Z147" s="45">
        <v>8.48</v>
      </c>
      <c r="AA147" s="46">
        <f>'LINEST VARS'!$U$70+'LINEST VARS'!$T$70*($AA$128)+'LINEST VARS'!$S$70*($Z147)+'LINEST VARS'!$R$70*(4)+'LINEST VARS'!$Q$70*(0.5)+'LINEST VARS'!$P$70*(12.73)+'LINEST VARS'!$O$70*($AA$128^2)+'LINEST VARS'!$N$70*($Z147^2)+'LINEST VARS'!$M$70*(4^2)+'LINEST VARS'!$L$70*(0.5^2)+'LINEST VARS'!$K$70*(12.73^2)+'LINEST VARS'!$J$70*($AA$128*$Z147)+'LINEST VARS'!$I$70*($AA$128*4)+'LINEST VARS'!$H$70*($AA$128*0.5)+'LINEST VARS'!$G$70*($AA$128*12.73)+'LINEST VARS'!$F$70*($Z147*4)+'LINEST VARS'!$E$70*($Z147*0.5)+'LINEST VARS'!$D$70*($Z147*12.73)+'LINEST VARS'!$C$70*(4*0.5)+'LINEST VARS'!$B$70*(4*12.73)+'LINEST VARS'!$A$70*(0.5*12.73)</f>
        <v>88.720000000000041</v>
      </c>
      <c r="AB147" s="46">
        <f>'LINEST VARS'!$U$70+'LINEST VARS'!$T$70*($AB$128)+'LINEST VARS'!$S$70*($Z147)+'LINEST VARS'!$R$70*(4)+'LINEST VARS'!$Q$70*(0.5)+'LINEST VARS'!$P$70*(12.73)+'LINEST VARS'!$O$70*($AB$128^2)+'LINEST VARS'!$N$70*($Z147^2)+'LINEST VARS'!$M$70*(4^2)+'LINEST VARS'!$L$70*(0.5^2)+'LINEST VARS'!$K$70*(12.73^2)+'LINEST VARS'!$J$70*($AB$128*$Z147)+'LINEST VARS'!$I$70*($AB$128*4)+'LINEST VARS'!$H$70*($AB$128*0.5)+'LINEST VARS'!$G$70*($AB$128*12.73)+'LINEST VARS'!$F$70*($Z147*4)+'LINEST VARS'!$E$70*($Z147*0.5)+'LINEST VARS'!$D$70*($Z147*12.73)+'LINEST VARS'!$C$70*(4*0.5)+'LINEST VARS'!$B$70*(4*12.73)+'LINEST VARS'!$A$70*(0.5*12.73)</f>
        <v>88.720000000000041</v>
      </c>
      <c r="AC147" s="46">
        <f>'LINEST VARS'!$U$70+'LINEST VARS'!$T$70*($AC$128)+'LINEST VARS'!$S$70*($Z147)+'LINEST VARS'!$R$70*(4)+'LINEST VARS'!$Q$70*(0.5)+'LINEST VARS'!$P$70*(12.73)+'LINEST VARS'!$O$70*($AC$128^2)+'LINEST VARS'!$N$70*($Z147^2)+'LINEST VARS'!$M$70*(4^2)+'LINEST VARS'!$L$70*(0.5^2)+'LINEST VARS'!$K$70*(12.73^2)+'LINEST VARS'!$J$70*($AC$128*$Z147)+'LINEST VARS'!$I$70*($AC$128*4)+'LINEST VARS'!$H$70*($AC$128*0.5)+'LINEST VARS'!$G$70*($AC$128*12.73)+'LINEST VARS'!$F$70*($Z147*4)+'LINEST VARS'!$E$70*($Z147*0.5)+'LINEST VARS'!$D$70*($Z147*12.73)+'LINEST VARS'!$C$70*(4*0.5)+'LINEST VARS'!$B$70*(4*12.73)+'LINEST VARS'!$A$70*(0.5*12.73)</f>
        <v>88.720000000000041</v>
      </c>
      <c r="AD147" s="46">
        <f>'LINEST VARS'!$U$70+'LINEST VARS'!$T$70*($AD$128)+'LINEST VARS'!$S$70*($Z147)+'LINEST VARS'!$R$70*(4)+'LINEST VARS'!$Q$70*(0.5)+'LINEST VARS'!$P$70*(12.73)+'LINEST VARS'!$O$70*($AD$128^2)+'LINEST VARS'!$N$70*($Z147^2)+'LINEST VARS'!$M$70*(4^2)+'LINEST VARS'!$L$70*(0.5^2)+'LINEST VARS'!$K$70*(12.73^2)+'LINEST VARS'!$J$70*($AD$128*$Z147)+'LINEST VARS'!$I$70*($AD$128*4)+'LINEST VARS'!$H$70*($AD$128*0.5)+'LINEST VARS'!$G$70*($AD$128*12.73)+'LINEST VARS'!$F$70*($Z147*4)+'LINEST VARS'!$E$70*($Z147*0.5)+'LINEST VARS'!$D$70*($Z147*12.73)+'LINEST VARS'!$C$70*(4*0.5)+'LINEST VARS'!$B$70*(4*12.73)+'LINEST VARS'!$A$70*(0.5*12.73)</f>
        <v>88.720000000000041</v>
      </c>
      <c r="AE147" s="46">
        <f>'LINEST VARS'!$U$70+'LINEST VARS'!$T$70*($AE$128)+'LINEST VARS'!$S$70*($Z147)+'LINEST VARS'!$R$70*(4)+'LINEST VARS'!$Q$70*(0.5)+'LINEST VARS'!$P$70*(12.73)+'LINEST VARS'!$O$70*($AE$128^2)+'LINEST VARS'!$N$70*($Z147^2)+'LINEST VARS'!$M$70*(4^2)+'LINEST VARS'!$L$70*(0.5^2)+'LINEST VARS'!$K$70*(12.73^2)+'LINEST VARS'!$J$70*($AE$128*$Z147)+'LINEST VARS'!$I$70*($AE$128*4)+'LINEST VARS'!$H$70*($AE$128*0.5)+'LINEST VARS'!$G$70*($AE$128*12.73)+'LINEST VARS'!$F$70*($Z147*4)+'LINEST VARS'!$E$70*($Z147*0.5)+'LINEST VARS'!$D$70*($Z147*12.73)+'LINEST VARS'!$C$70*(4*0.5)+'LINEST VARS'!$B$70*(4*12.73)+'LINEST VARS'!$A$70*(0.5*12.73)</f>
        <v>88.720000000000041</v>
      </c>
      <c r="AF147" s="46">
        <f>'LINEST VARS'!$U$70+'LINEST VARS'!$T$70*($AF$128)+'LINEST VARS'!$S$70*($Z147)+'LINEST VARS'!$R$70*(4)+'LINEST VARS'!$Q$70*(0.5)+'LINEST VARS'!$P$70*(12.73)+'LINEST VARS'!$O$70*($AF$128^2)+'LINEST VARS'!$N$70*($Z147^2)+'LINEST VARS'!$M$70*(4^2)+'LINEST VARS'!$L$70*(0.5^2)+'LINEST VARS'!$K$70*(12.73^2)+'LINEST VARS'!$J$70*($AF$128*$Z147)+'LINEST VARS'!$I$70*($AF$128*4)+'LINEST VARS'!$H$70*($AF$128*0.5)+'LINEST VARS'!$G$70*($AF$128*12.73)+'LINEST VARS'!$F$70*($Z147*4)+'LINEST VARS'!$E$70*($Z147*0.5)+'LINEST VARS'!$D$70*($Z147*12.73)+'LINEST VARS'!$C$70*(4*0.5)+'LINEST VARS'!$B$70*(4*12.73)+'LINEST VARS'!$A$70*(0.5*12.73)</f>
        <v>88.720000000000013</v>
      </c>
      <c r="AG147" s="46">
        <f>'LINEST VARS'!$U$70+'LINEST VARS'!$T$70*($AG$128)+'LINEST VARS'!$S$70*($Z147)+'LINEST VARS'!$R$70*(4)+'LINEST VARS'!$Q$70*(0.5)+'LINEST VARS'!$P$70*(12.73)+'LINEST VARS'!$O$70*($AG$128^2)+'LINEST VARS'!$N$70*($Z147^2)+'LINEST VARS'!$M$70*(4^2)+'LINEST VARS'!$L$70*(0.5^2)+'LINEST VARS'!$K$70*(12.73^2)+'LINEST VARS'!$J$70*($AG$128*$Z147)+'LINEST VARS'!$I$70*($AG$128*4)+'LINEST VARS'!$H$70*($AG$128*0.5)+'LINEST VARS'!$G$70*($AG$128*12.73)+'LINEST VARS'!$F$70*($Z147*4)+'LINEST VARS'!$E$70*($Z147*0.5)+'LINEST VARS'!$D$70*($Z147*12.73)+'LINEST VARS'!$C$70*(4*0.5)+'LINEST VARS'!$B$70*(4*12.73)+'LINEST VARS'!$A$70*(0.5*12.73)</f>
        <v>88.720000000000013</v>
      </c>
      <c r="AH147" s="46">
        <f>'LINEST VARS'!$U$70+'LINEST VARS'!$T$70*($AH$128)+'LINEST VARS'!$S$70*($Z147)+'LINEST VARS'!$R$70*(4)+'LINEST VARS'!$Q$70*(0.5)+'LINEST VARS'!$P$70*(12.73)+'LINEST VARS'!$O$70*($AH$128^2)+'LINEST VARS'!$N$70*($Z147^2)+'LINEST VARS'!$M$70*(4^2)+'LINEST VARS'!$L$70*(0.5^2)+'LINEST VARS'!$K$70*(12.73^2)+'LINEST VARS'!$J$70*($AH$128*$Z147)+'LINEST VARS'!$I$70*($AH$128*4)+'LINEST VARS'!$H$70*($AH$128*0.5)+'LINEST VARS'!$G$70*($AH$128*12.73)+'LINEST VARS'!$F$70*($Z147*4)+'LINEST VARS'!$E$70*($Z147*0.5)+'LINEST VARS'!$D$70*($Z147*12.73)+'LINEST VARS'!$C$70*(4*0.5)+'LINEST VARS'!$B$70*(4*12.73)+'LINEST VARS'!$A$70*(0.5*12.73)</f>
        <v>88.720000000000013</v>
      </c>
      <c r="AI147" s="46">
        <f>'LINEST VARS'!$U$70+'LINEST VARS'!$T$70*($AI$128)+'LINEST VARS'!$S$70*($Z147)+'LINEST VARS'!$R$70*(4)+'LINEST VARS'!$Q$70*(0.5)+'LINEST VARS'!$P$70*(12.73)+'LINEST VARS'!$O$70*($AI$128^2)+'LINEST VARS'!$N$70*($Z147^2)+'LINEST VARS'!$M$70*(4^2)+'LINEST VARS'!$L$70*(0.5^2)+'LINEST VARS'!$K$70*(12.73^2)+'LINEST VARS'!$J$70*($AI$128*$Z147)+'LINEST VARS'!$I$70*($AI$128*4)+'LINEST VARS'!$H$70*($AI$128*0.5)+'LINEST VARS'!$G$70*($AI$128*12.73)+'LINEST VARS'!$F$70*($Z147*4)+'LINEST VARS'!$E$70*($Z147*0.5)+'LINEST VARS'!$D$70*($Z147*12.73)+'LINEST VARS'!$C$70*(4*0.5)+'LINEST VARS'!$B$70*(4*12.73)+'LINEST VARS'!$A$70*(0.5*12.73)</f>
        <v>88.720000000000013</v>
      </c>
      <c r="AJ147" s="46">
        <f>'LINEST VARS'!$U$70+'LINEST VARS'!$T$70*($AJ$128)+'LINEST VARS'!$S$70*($Z147)+'LINEST VARS'!$R$70*(4)+'LINEST VARS'!$Q$70*(0.5)+'LINEST VARS'!$P$70*(12.73)+'LINEST VARS'!$O$70*($AJ$128^2)+'LINEST VARS'!$N$70*($Z147^2)+'LINEST VARS'!$M$70*(4^2)+'LINEST VARS'!$L$70*(0.5^2)+'LINEST VARS'!$K$70*(12.73^2)+'LINEST VARS'!$J$70*($AJ$128*$Z147)+'LINEST VARS'!$I$70*($AJ$128*4)+'LINEST VARS'!$H$70*($AJ$128*0.5)+'LINEST VARS'!$G$70*($AJ$128*12.73)+'LINEST VARS'!$F$70*($Z147*4)+'LINEST VARS'!$E$70*($Z147*0.5)+'LINEST VARS'!$D$70*($Z147*12.73)+'LINEST VARS'!$C$70*(4*0.5)+'LINEST VARS'!$B$70*(4*12.73)+'LINEST VARS'!$A$70*(0.5*12.73)</f>
        <v>88.720000000000013</v>
      </c>
      <c r="AK147" s="46">
        <f>'LINEST VARS'!$U$70+'LINEST VARS'!$T$70*($AK$128)+'LINEST VARS'!$S$70*($Z147)+'LINEST VARS'!$R$70*(4)+'LINEST VARS'!$Q$70*(0.5)+'LINEST VARS'!$P$70*(12.73)+'LINEST VARS'!$O$70*($AK$128^2)+'LINEST VARS'!$N$70*($Z147^2)+'LINEST VARS'!$M$70*(4^2)+'LINEST VARS'!$L$70*(0.5^2)+'LINEST VARS'!$K$70*(12.73^2)+'LINEST VARS'!$J$70*($AK$128*$Z147)+'LINEST VARS'!$I$70*($AK$128*4)+'LINEST VARS'!$H$70*($AK$128*0.5)+'LINEST VARS'!$G$70*($AK$128*12.73)+'LINEST VARS'!$F$70*($Z147*4)+'LINEST VARS'!$E$70*($Z147*0.5)+'LINEST VARS'!$D$70*($Z147*12.73)+'LINEST VARS'!$C$70*(4*0.5)+'LINEST VARS'!$B$70*(4*12.73)+'LINEST VARS'!$A$70*(0.5*12.73)</f>
        <v>88.720000000000013</v>
      </c>
      <c r="AL147" s="46">
        <f>'LINEST VARS'!$U$70+'LINEST VARS'!$T$70*($AL$128)+'LINEST VARS'!$S$70*($Z147)+'LINEST VARS'!$R$70*(4)+'LINEST VARS'!$Q$70*(0.5)+'LINEST VARS'!$P$70*(12.73)+'LINEST VARS'!$O$70*($AL$128^2)+'LINEST VARS'!$N$70*($Z147^2)+'LINEST VARS'!$M$70*(4^2)+'LINEST VARS'!$L$70*(0.5^2)+'LINEST VARS'!$K$70*(12.73^2)+'LINEST VARS'!$J$70*($AL$128*$Z147)+'LINEST VARS'!$I$70*($AL$128*4)+'LINEST VARS'!$H$70*($AL$128*0.5)+'LINEST VARS'!$G$70*($AL$128*12.73)+'LINEST VARS'!$F$70*($Z147*4)+'LINEST VARS'!$E$70*($Z147*0.5)+'LINEST VARS'!$D$70*($Z147*12.73)+'LINEST VARS'!$C$70*(4*0.5)+'LINEST VARS'!$B$70*(4*12.73)+'LINEST VARS'!$A$70*(0.5*12.73)</f>
        <v>88.720000000000013</v>
      </c>
      <c r="AM147" s="46">
        <f>'LINEST VARS'!$U$70+'LINEST VARS'!$T$70*($AM$128)+'LINEST VARS'!$S$70*($Z147)+'LINEST VARS'!$R$70*(4)+'LINEST VARS'!$Q$70*(0.5)+'LINEST VARS'!$P$70*(12.73)+'LINEST VARS'!$O$70*($AM$128^2)+'LINEST VARS'!$N$70*($Z147^2)+'LINEST VARS'!$M$70*(4^2)+'LINEST VARS'!$L$70*(0.5^2)+'LINEST VARS'!$K$70*(12.73^2)+'LINEST VARS'!$J$70*($AM$128*$Z147)+'LINEST VARS'!$I$70*($AM$128*4)+'LINEST VARS'!$H$70*($AM$128*0.5)+'LINEST VARS'!$G$70*($AM$128*12.73)+'LINEST VARS'!$F$70*($Z147*4)+'LINEST VARS'!$E$70*($Z147*0.5)+'LINEST VARS'!$D$70*($Z147*12.73)+'LINEST VARS'!$C$70*(4*0.5)+'LINEST VARS'!$B$70*(4*12.73)+'LINEST VARS'!$A$70*(0.5*12.73)</f>
        <v>88.720000000000013</v>
      </c>
      <c r="AN147" s="46">
        <f>'LINEST VARS'!$U$70+'LINEST VARS'!$T$70*($AN$128)+'LINEST VARS'!$S$70*($Z147)+'LINEST VARS'!$R$70*(4)+'LINEST VARS'!$Q$70*(0.5)+'LINEST VARS'!$P$70*(12.73)+'LINEST VARS'!$O$70*($AN$128^2)+'LINEST VARS'!$N$70*($Z147^2)+'LINEST VARS'!$M$70*(4^2)+'LINEST VARS'!$L$70*(0.5^2)+'LINEST VARS'!$K$70*(12.73^2)+'LINEST VARS'!$J$70*($AN$128*$Z147)+'LINEST VARS'!$I$70*($AN$128*4)+'LINEST VARS'!$H$70*($AN$128*0.5)+'LINEST VARS'!$G$70*($AN$128*12.73)+'LINEST VARS'!$F$70*($Z147*4)+'LINEST VARS'!$E$70*($Z147*0.5)+'LINEST VARS'!$D$70*($Z147*12.73)+'LINEST VARS'!$C$70*(4*0.5)+'LINEST VARS'!$B$70*(4*12.73)+'LINEST VARS'!$A$70*(0.5*12.73)</f>
        <v>88.720000000000013</v>
      </c>
      <c r="AO147" s="46">
        <f>'LINEST VARS'!$U$70+'LINEST VARS'!$T$70*($AO$128)+'LINEST VARS'!$S$70*($Z147)+'LINEST VARS'!$R$70*(4)+'LINEST VARS'!$Q$70*(0.5)+'LINEST VARS'!$P$70*(12.73)+'LINEST VARS'!$O$70*($AO$128^2)+'LINEST VARS'!$N$70*($Z147^2)+'LINEST VARS'!$M$70*(4^2)+'LINEST VARS'!$L$70*(0.5^2)+'LINEST VARS'!$K$70*(12.73^2)+'LINEST VARS'!$J$70*($AO$128*$Z147)+'LINEST VARS'!$I$70*($AO$128*4)+'LINEST VARS'!$H$70*($AO$128*0.5)+'LINEST VARS'!$G$70*($AO$128*12.73)+'LINEST VARS'!$F$70*($Z147*4)+'LINEST VARS'!$E$70*($Z147*0.5)+'LINEST VARS'!$D$70*($Z147*12.73)+'LINEST VARS'!$C$70*(4*0.5)+'LINEST VARS'!$B$70*(4*12.73)+'LINEST VARS'!$A$70*(0.5*12.73)</f>
        <v>88.720000000000013</v>
      </c>
      <c r="AP147" s="46">
        <f>'LINEST VARS'!$U$70+'LINEST VARS'!$T$70*($AP$128)+'LINEST VARS'!$S$70*($Z147)+'LINEST VARS'!$R$70*(4)+'LINEST VARS'!$Q$70*(0.5)+'LINEST VARS'!$P$70*(12.73)+'LINEST VARS'!$O$70*($AP$128^2)+'LINEST VARS'!$N$70*($Z147^2)+'LINEST VARS'!$M$70*(4^2)+'LINEST VARS'!$L$70*(0.5^2)+'LINEST VARS'!$K$70*(12.73^2)+'LINEST VARS'!$J$70*($AP$128*$Z147)+'LINEST VARS'!$I$70*($AP$128*4)+'LINEST VARS'!$H$70*($AP$128*0.5)+'LINEST VARS'!$G$70*($AP$128*12.73)+'LINEST VARS'!$F$70*($Z147*4)+'LINEST VARS'!$E$70*($Z147*0.5)+'LINEST VARS'!$D$70*($Z147*12.73)+'LINEST VARS'!$C$70*(4*0.5)+'LINEST VARS'!$B$70*(4*12.73)+'LINEST VARS'!$A$70*(0.5*12.73)</f>
        <v>88.720000000000013</v>
      </c>
      <c r="AQ147" s="46">
        <f>'LINEST VARS'!$U$70+'LINEST VARS'!$T$70*($AQ$128)+'LINEST VARS'!$S$70*($Z147)+'LINEST VARS'!$R$70*(4)+'LINEST VARS'!$Q$70*(0.5)+'LINEST VARS'!$P$70*(12.73)+'LINEST VARS'!$O$70*($AQ$128^2)+'LINEST VARS'!$N$70*($Z147^2)+'LINEST VARS'!$M$70*(4^2)+'LINEST VARS'!$L$70*(0.5^2)+'LINEST VARS'!$K$70*(12.73^2)+'LINEST VARS'!$J$70*($AQ$128*$Z147)+'LINEST VARS'!$I$70*($AQ$128*4)+'LINEST VARS'!$H$70*($AQ$128*0.5)+'LINEST VARS'!$G$70*($AQ$128*12.73)+'LINEST VARS'!$F$70*($Z147*4)+'LINEST VARS'!$E$70*($Z147*0.5)+'LINEST VARS'!$D$70*($Z147*12.73)+'LINEST VARS'!$C$70*(4*0.5)+'LINEST VARS'!$B$70*(4*12.73)+'LINEST VARS'!$A$70*(0.5*12.73)</f>
        <v>88.720000000000013</v>
      </c>
      <c r="AR147" s="46">
        <f>'LINEST VARS'!$U$70+'LINEST VARS'!$T$70*($AR$128)+'LINEST VARS'!$S$70*($Z147)+'LINEST VARS'!$R$70*(4)+'LINEST VARS'!$Q$70*(0.5)+'LINEST VARS'!$P$70*(12.73)+'LINEST VARS'!$O$70*($AR$128^2)+'LINEST VARS'!$N$70*($Z147^2)+'LINEST VARS'!$M$70*(4^2)+'LINEST VARS'!$L$70*(0.5^2)+'LINEST VARS'!$K$70*(12.73^2)+'LINEST VARS'!$J$70*($AR$128*$Z147)+'LINEST VARS'!$I$70*($AR$128*4)+'LINEST VARS'!$H$70*($AR$128*0.5)+'LINEST VARS'!$G$70*($AR$128*12.73)+'LINEST VARS'!$F$70*($Z147*4)+'LINEST VARS'!$E$70*($Z147*0.5)+'LINEST VARS'!$D$70*($Z147*12.73)+'LINEST VARS'!$C$70*(4*0.5)+'LINEST VARS'!$B$70*(4*12.73)+'LINEST VARS'!$A$70*(0.5*12.73)</f>
        <v>88.720000000000013</v>
      </c>
      <c r="AS147" s="46">
        <f>'LINEST VARS'!$U$70+'LINEST VARS'!$T$70*($AS$128)+'LINEST VARS'!$S$70*($Z147)+'LINEST VARS'!$R$70*(4)+'LINEST VARS'!$Q$70*(0.5)+'LINEST VARS'!$P$70*(12.73)+'LINEST VARS'!$O$70*($AS$128^2)+'LINEST VARS'!$N$70*($Z147^2)+'LINEST VARS'!$M$70*(4^2)+'LINEST VARS'!$L$70*(0.5^2)+'LINEST VARS'!$K$70*(12.73^2)+'LINEST VARS'!$J$70*($AS$128*$Z147)+'LINEST VARS'!$I$70*($AS$128*4)+'LINEST VARS'!$H$70*($AS$128*0.5)+'LINEST VARS'!$G$70*($AS$128*12.73)+'LINEST VARS'!$F$70*($Z147*4)+'LINEST VARS'!$E$70*($Z147*0.5)+'LINEST VARS'!$D$70*($Z147*12.73)+'LINEST VARS'!$C$70*(4*0.5)+'LINEST VARS'!$B$70*(4*12.73)+'LINEST VARS'!$A$70*(0.5*12.73)</f>
        <v>88.720000000000013</v>
      </c>
      <c r="AT147" s="46">
        <f>'LINEST VARS'!$U$70+'LINEST VARS'!$T$70*($AT$128)+'LINEST VARS'!$S$70*($Z147)+'LINEST VARS'!$R$70*(4)+'LINEST VARS'!$Q$70*(0.5)+'LINEST VARS'!$P$70*(12.73)+'LINEST VARS'!$O$70*($AT$128^2)+'LINEST VARS'!$N$70*($Z147^2)+'LINEST VARS'!$M$70*(4^2)+'LINEST VARS'!$L$70*(0.5^2)+'LINEST VARS'!$K$70*(12.73^2)+'LINEST VARS'!$J$70*($AT$128*$Z147)+'LINEST VARS'!$I$70*($AT$128*4)+'LINEST VARS'!$H$70*($AT$128*0.5)+'LINEST VARS'!$G$70*($AT$128*12.73)+'LINEST VARS'!$F$70*($Z147*4)+'LINEST VARS'!$E$70*($Z147*0.5)+'LINEST VARS'!$D$70*($Z147*12.73)+'LINEST VARS'!$C$70*(4*0.5)+'LINEST VARS'!$B$70*(4*12.73)+'LINEST VARS'!$A$70*(0.5*12.73)</f>
        <v>88.720000000000013</v>
      </c>
      <c r="AU147" s="47">
        <f>'LINEST VARS'!$U$70+'LINEST VARS'!$T$70*($AU$128)+'LINEST VARS'!$S$70*($Z147)+'LINEST VARS'!$R$70*(4)+'LINEST VARS'!$Q$70*(0.5)+'LINEST VARS'!$P$70*(12.73)+'LINEST VARS'!$O$70*($AU$128^2)+'LINEST VARS'!$N$70*($Z147^2)+'LINEST VARS'!$M$70*(4^2)+'LINEST VARS'!$L$70*(0.5^2)+'LINEST VARS'!$K$70*(12.73^2)+'LINEST VARS'!$J$70*($AU$128*$Z147)+'LINEST VARS'!$I$70*($AU$128*4)+'LINEST VARS'!$H$70*($AU$128*0.5)+'LINEST VARS'!$G$70*($AU$128*12.73)+'LINEST VARS'!$F$70*($Z147*4)+'LINEST VARS'!$E$70*($Z147*0.5)+'LINEST VARS'!$D$70*($Z147*12.73)+'LINEST VARS'!$C$70*(4*0.5)+'LINEST VARS'!$B$70*(4*12.73)+'LINEST VARS'!$A$70*(0.5*12.73)</f>
        <v>88.720000000000013</v>
      </c>
      <c r="AZ147" s="45">
        <v>0.9</v>
      </c>
      <c r="BA147" s="46">
        <f>'LINEST VARS'!$U$68+'LINEST VARS'!$T$68*(8)+'LINEST VARS'!$S$68*(8)+'LINEST VARS'!$R$68*($BA$128)+'LINEST VARS'!$Q$68*($AZ147)+'LINEST VARS'!$P$68*(12.73)+'LINEST VARS'!$O$68*(8^2)+'LINEST VARS'!$N$68*(8^2)+'LINEST VARS'!$M$68*($BA$128^2)+'LINEST VARS'!$L$68*($AZ147^2)+'LINEST VARS'!$K$68*(12.73^2)+'LINEST VARS'!$J$68*(8*8)+'LINEST VARS'!$I$68*(8*$BA$128)+'LINEST VARS'!$H$68*(8*$AZ147)+'LINEST VARS'!$G$68*(8*12.73)+'LINEST VARS'!$F$68*(8*$BA$128)+'LINEST VARS'!$E$68*(8*$AZ147)+'LINEST VARS'!$D$68*(8*12.73)+'LINEST VARS'!$C$68*($BA$128*$AZ147)+'LINEST VARS'!$B$68*($BA$128*12.73)+'LINEST VARS'!$A$68*($AZ147*12.73)</f>
        <v>146.76</v>
      </c>
      <c r="BB147" s="46">
        <f>'LINEST VARS'!$U$68+'LINEST VARS'!$T$68*(8)+'LINEST VARS'!$S$68*(8)+'LINEST VARS'!$R$68*($BB$128)+'LINEST VARS'!$Q$68*($AZ147)+'LINEST VARS'!$P$68*(12.73)+'LINEST VARS'!$O$68*(8^2)+'LINEST VARS'!$N$68*(8^2)+'LINEST VARS'!$M$68*($BB$128^2)+'LINEST VARS'!$L$68*($AZ147^2)+'LINEST VARS'!$K$68*(12.73^2)+'LINEST VARS'!$J$68*(8*8)+'LINEST VARS'!$I$68*(8*$BB$128)+'LINEST VARS'!$H$68*(8*$AZ147)+'LINEST VARS'!$G$68*(8*12.73)+'LINEST VARS'!$F$68*(8*$BB$128)+'LINEST VARS'!$E$68*(8*$AZ147)+'LINEST VARS'!$D$68*(8*12.73)+'LINEST VARS'!$C$68*($BB$128*$AZ147)+'LINEST VARS'!$B$68*($BB$128*12.73)+'LINEST VARS'!$A$68*($AZ147*12.73)</f>
        <v>146.76</v>
      </c>
      <c r="BC147" s="46">
        <f>'LINEST VARS'!$U$68+'LINEST VARS'!$T$68*(8)+'LINEST VARS'!$S$68*(8)+'LINEST VARS'!$R$68*($BC$128)+'LINEST VARS'!$Q$68*($AZ147)+'LINEST VARS'!$P$68*(12.73)+'LINEST VARS'!$O$68*(8^2)+'LINEST VARS'!$N$68*(8^2)+'LINEST VARS'!$M$68*($BC$128^2)+'LINEST VARS'!$L$68*($AZ147^2)+'LINEST VARS'!$K$68*(12.73^2)+'LINEST VARS'!$J$68*(8*8)+'LINEST VARS'!$I$68*(8*$BC$128)+'LINEST VARS'!$H$68*(8*$AZ147)+'LINEST VARS'!$G$68*(8*12.73)+'LINEST VARS'!$F$68*(8*$BC$128)+'LINEST VARS'!$E$68*(8*$AZ147)+'LINEST VARS'!$D$68*(8*12.73)+'LINEST VARS'!$C$68*($BC$128*$AZ147)+'LINEST VARS'!$B$68*($BC$128*12.73)+'LINEST VARS'!$A$68*($AZ147*12.73)</f>
        <v>146.76</v>
      </c>
      <c r="BD147" s="46">
        <f>'LINEST VARS'!$U$68+'LINEST VARS'!$T$68*(8)+'LINEST VARS'!$S$68*(8)+'LINEST VARS'!$R$68*($BD$128)+'LINEST VARS'!$Q$68*($AZ147)+'LINEST VARS'!$P$68*(12.73)+'LINEST VARS'!$O$68*(8^2)+'LINEST VARS'!$N$68*(8^2)+'LINEST VARS'!$M$68*($BD$128^2)+'LINEST VARS'!$L$68*($AZ147^2)+'LINEST VARS'!$K$68*(12.73^2)+'LINEST VARS'!$J$68*(8*8)+'LINEST VARS'!$I$68*(8*$BD$128)+'LINEST VARS'!$H$68*(8*$AZ147)+'LINEST VARS'!$G$68*(8*12.73)+'LINEST VARS'!$F$68*(8*$BD$128)+'LINEST VARS'!$E$68*(8*$AZ147)+'LINEST VARS'!$D$68*(8*12.73)+'LINEST VARS'!$C$68*($BD$128*$AZ147)+'LINEST VARS'!$B$68*($BD$128*12.73)+'LINEST VARS'!$A$68*($AZ147*12.73)</f>
        <v>146.76</v>
      </c>
      <c r="BE147" s="46">
        <f>'LINEST VARS'!$U$68+'LINEST VARS'!$T$68*(8)+'LINEST VARS'!$S$68*(8)+'LINEST VARS'!$R$68*($BE$128)+'LINEST VARS'!$Q$68*($AZ147)+'LINEST VARS'!$P$68*(12.73)+'LINEST VARS'!$O$68*(8^2)+'LINEST VARS'!$N$68*(8^2)+'LINEST VARS'!$M$68*($BE$128^2)+'LINEST VARS'!$L$68*($AZ147^2)+'LINEST VARS'!$K$68*(12.73^2)+'LINEST VARS'!$J$68*(8*8)+'LINEST VARS'!$I$68*(8*$BE$128)+'LINEST VARS'!$H$68*(8*$AZ147)+'LINEST VARS'!$G$68*(8*12.73)+'LINEST VARS'!$F$68*(8*$BE$128)+'LINEST VARS'!$E$68*(8*$AZ147)+'LINEST VARS'!$D$68*(8*12.73)+'LINEST VARS'!$C$68*($BE$128*$AZ147)+'LINEST VARS'!$B$68*($BE$128*12.73)+'LINEST VARS'!$A$68*($AZ147*12.73)</f>
        <v>146.76</v>
      </c>
      <c r="BF147" s="46">
        <f>'LINEST VARS'!$U$68+'LINEST VARS'!$T$68*(8)+'LINEST VARS'!$S$68*(8)+'LINEST VARS'!$R$68*($BF$128)+'LINEST VARS'!$Q$68*($AZ147)+'LINEST VARS'!$P$68*(12.73)+'LINEST VARS'!$O$68*(8^2)+'LINEST VARS'!$N$68*(8^2)+'LINEST VARS'!$M$68*($BF$128^2)+'LINEST VARS'!$L$68*($AZ147^2)+'LINEST VARS'!$K$68*(12.73^2)+'LINEST VARS'!$J$68*(8*8)+'LINEST VARS'!$I$68*(8*$BF$128)+'LINEST VARS'!$H$68*(8*$AZ147)+'LINEST VARS'!$G$68*(8*12.73)+'LINEST VARS'!$F$68*(8*$BF$128)+'LINEST VARS'!$E$68*(8*$AZ147)+'LINEST VARS'!$D$68*(8*12.73)+'LINEST VARS'!$C$68*($BF$128*$AZ147)+'LINEST VARS'!$B$68*($BF$128*12.73)+'LINEST VARS'!$A$68*($AZ147*12.73)</f>
        <v>146.76</v>
      </c>
      <c r="BG147" s="46">
        <f>'LINEST VARS'!$U$68+'LINEST VARS'!$T$68*(8)+'LINEST VARS'!$S$68*(8)+'LINEST VARS'!$R$68*($BG$128)+'LINEST VARS'!$Q$68*($AZ147)+'LINEST VARS'!$P$68*(12.73)+'LINEST VARS'!$O$68*(8^2)+'LINEST VARS'!$N$68*(8^2)+'LINEST VARS'!$M$68*($BG$128^2)+'LINEST VARS'!$L$68*($AZ147^2)+'LINEST VARS'!$K$68*(12.73^2)+'LINEST VARS'!$J$68*(8*8)+'LINEST VARS'!$I$68*(8*$BG$128)+'LINEST VARS'!$H$68*(8*$AZ147)+'LINEST VARS'!$G$68*(8*12.73)+'LINEST VARS'!$F$68*(8*$BG$128)+'LINEST VARS'!$E$68*(8*$AZ147)+'LINEST VARS'!$D$68*(8*12.73)+'LINEST VARS'!$C$68*($BG$128*$AZ147)+'LINEST VARS'!$B$68*($BG$128*12.73)+'LINEST VARS'!$A$68*($AZ147*12.73)</f>
        <v>146.76</v>
      </c>
      <c r="BH147" s="46">
        <f>'LINEST VARS'!$U$68+'LINEST VARS'!$T$68*(8)+'LINEST VARS'!$S$68*(8)+'LINEST VARS'!$R$68*($BH$128)+'LINEST VARS'!$Q$68*($AZ147)+'LINEST VARS'!$P$68*(12.73)+'LINEST VARS'!$O$68*(8^2)+'LINEST VARS'!$N$68*(8^2)+'LINEST VARS'!$M$68*($BH$128^2)+'LINEST VARS'!$L$68*($AZ147^2)+'LINEST VARS'!$K$68*(12.73^2)+'LINEST VARS'!$J$68*(8*8)+'LINEST VARS'!$I$68*(8*$BH$128)+'LINEST VARS'!$H$68*(8*$AZ147)+'LINEST VARS'!$G$68*(8*12.73)+'LINEST VARS'!$F$68*(8*$BH$128)+'LINEST VARS'!$E$68*(8*$AZ147)+'LINEST VARS'!$D$68*(8*12.73)+'LINEST VARS'!$C$68*($BH$128*$AZ147)+'LINEST VARS'!$B$68*($BH$128*12.73)+'LINEST VARS'!$A$68*($AZ147*12.73)</f>
        <v>146.76</v>
      </c>
      <c r="BI147" s="46">
        <f>'LINEST VARS'!$U$68+'LINEST VARS'!$T$68*(8)+'LINEST VARS'!$S$68*(8)+'LINEST VARS'!$R$68*($BI$128)+'LINEST VARS'!$Q$68*($AZ147)+'LINEST VARS'!$P$68*(12.73)+'LINEST VARS'!$O$68*(8^2)+'LINEST VARS'!$N$68*(8^2)+'LINEST VARS'!$M$68*($BI$128^2)+'LINEST VARS'!$L$68*($AZ147^2)+'LINEST VARS'!$K$68*(12.73^2)+'LINEST VARS'!$J$68*(8*8)+'LINEST VARS'!$I$68*(8*$BI$128)+'LINEST VARS'!$H$68*(8*$AZ147)+'LINEST VARS'!$G$68*(8*12.73)+'LINEST VARS'!$F$68*(8*$BI$128)+'LINEST VARS'!$E$68*(8*$AZ147)+'LINEST VARS'!$D$68*(8*12.73)+'LINEST VARS'!$C$68*($BI$128*$AZ147)+'LINEST VARS'!$B$68*($BI$128*12.73)+'LINEST VARS'!$A$68*($AZ147*12.73)</f>
        <v>146.76</v>
      </c>
      <c r="BJ147" s="46">
        <f>'LINEST VARS'!$U$68+'LINEST VARS'!$T$68*(8)+'LINEST VARS'!$S$68*(8)+'LINEST VARS'!$R$68*($BJ$128)+'LINEST VARS'!$Q$68*($AZ147)+'LINEST VARS'!$P$68*(12.73)+'LINEST VARS'!$O$68*(8^2)+'LINEST VARS'!$N$68*(8^2)+'LINEST VARS'!$M$68*($BJ$128^2)+'LINEST VARS'!$L$68*($AZ147^2)+'LINEST VARS'!$K$68*(12.73^2)+'LINEST VARS'!$J$68*(8*8)+'LINEST VARS'!$I$68*(8*$BJ$128)+'LINEST VARS'!$H$68*(8*$AZ147)+'LINEST VARS'!$G$68*(8*12.73)+'LINEST VARS'!$F$68*(8*$BJ$128)+'LINEST VARS'!$E$68*(8*$AZ147)+'LINEST VARS'!$D$68*(8*12.73)+'LINEST VARS'!$C$68*($BJ$128*$AZ147)+'LINEST VARS'!$B$68*($BJ$128*12.73)+'LINEST VARS'!$A$68*($AZ147*12.73)</f>
        <v>146.76</v>
      </c>
      <c r="BK147" s="46">
        <f>'LINEST VARS'!$U$68+'LINEST VARS'!$T$68*(8)+'LINEST VARS'!$S$68*(8)+'LINEST VARS'!$R$68*($BK$128)+'LINEST VARS'!$Q$68*($AZ147)+'LINEST VARS'!$P$68*(12.73)+'LINEST VARS'!$O$68*(8^2)+'LINEST VARS'!$N$68*(8^2)+'LINEST VARS'!$M$68*($BK$128^2)+'LINEST VARS'!$L$68*($AZ147^2)+'LINEST VARS'!$K$68*(12.73^2)+'LINEST VARS'!$J$68*(8*8)+'LINEST VARS'!$I$68*(8*$BK$128)+'LINEST VARS'!$H$68*(8*$AZ147)+'LINEST VARS'!$G$68*(8*12.73)+'LINEST VARS'!$F$68*(8*$BK$128)+'LINEST VARS'!$E$68*(8*$AZ147)+'LINEST VARS'!$D$68*(8*12.73)+'LINEST VARS'!$C$68*($BK$128*$AZ147)+'LINEST VARS'!$B$68*($BK$128*12.73)+'LINEST VARS'!$A$68*($AZ147*12.73)</f>
        <v>146.76</v>
      </c>
      <c r="BL147" s="46">
        <f>'LINEST VARS'!$U$68+'LINEST VARS'!$T$68*(8)+'LINEST VARS'!$S$68*(8)+'LINEST VARS'!$R$68*($BL$128)+'LINEST VARS'!$Q$68*($AZ147)+'LINEST VARS'!$P$68*(12.73)+'LINEST VARS'!$O$68*(8^2)+'LINEST VARS'!$N$68*(8^2)+'LINEST VARS'!$M$68*($BL$128^2)+'LINEST VARS'!$L$68*($AZ147^2)+'LINEST VARS'!$K$68*(12.73^2)+'LINEST VARS'!$J$68*(8*8)+'LINEST VARS'!$I$68*(8*$BL$128)+'LINEST VARS'!$H$68*(8*$AZ147)+'LINEST VARS'!$G$68*(8*12.73)+'LINEST VARS'!$F$68*(8*$BL$128)+'LINEST VARS'!$E$68*(8*$AZ147)+'LINEST VARS'!$D$68*(8*12.73)+'LINEST VARS'!$C$68*($BL$128*$AZ147)+'LINEST VARS'!$B$68*($BL$128*12.73)+'LINEST VARS'!$A$68*($AZ147*12.73)</f>
        <v>146.76</v>
      </c>
      <c r="BM147" s="46">
        <f>'LINEST VARS'!$U$68+'LINEST VARS'!$T$68*(8)+'LINEST VARS'!$S$68*(8)+'LINEST VARS'!$R$68*($BM$128)+'LINEST VARS'!$Q$68*($AZ147)+'LINEST VARS'!$P$68*(12.73)+'LINEST VARS'!$O$68*(8^2)+'LINEST VARS'!$N$68*(8^2)+'LINEST VARS'!$M$68*($BM$128^2)+'LINEST VARS'!$L$68*($AZ147^2)+'LINEST VARS'!$K$68*(12.73^2)+'LINEST VARS'!$J$68*(8*8)+'LINEST VARS'!$I$68*(8*$BM$128)+'LINEST VARS'!$H$68*(8*$AZ147)+'LINEST VARS'!$G$68*(8*12.73)+'LINEST VARS'!$F$68*(8*$BM$128)+'LINEST VARS'!$E$68*(8*$AZ147)+'LINEST VARS'!$D$68*(8*12.73)+'LINEST VARS'!$C$68*($BM$128*$AZ147)+'LINEST VARS'!$B$68*($BM$128*12.73)+'LINEST VARS'!$A$68*($AZ147*12.73)</f>
        <v>146.76</v>
      </c>
      <c r="BN147" s="46">
        <f>'LINEST VARS'!$U$68+'LINEST VARS'!$T$68*(8)+'LINEST VARS'!$S$68*(8)+'LINEST VARS'!$R$68*($BN$128)+'LINEST VARS'!$Q$68*($AZ147)+'LINEST VARS'!$P$68*(12.73)+'LINEST VARS'!$O$68*(8^2)+'LINEST VARS'!$N$68*(8^2)+'LINEST VARS'!$M$68*($BN$128^2)+'LINEST VARS'!$L$68*($AZ147^2)+'LINEST VARS'!$K$68*(12.73^2)+'LINEST VARS'!$J$68*(8*8)+'LINEST VARS'!$I$68*(8*$BN$128)+'LINEST VARS'!$H$68*(8*$AZ147)+'LINEST VARS'!$G$68*(8*12.73)+'LINEST VARS'!$F$68*(8*$BN$128)+'LINEST VARS'!$E$68*(8*$AZ147)+'LINEST VARS'!$D$68*(8*12.73)+'LINEST VARS'!$C$68*($BN$128*$AZ147)+'LINEST VARS'!$B$68*($BN$128*12.73)+'LINEST VARS'!$A$68*($AZ147*12.73)</f>
        <v>146.76</v>
      </c>
      <c r="BO147" s="46">
        <f>'LINEST VARS'!$U$68+'LINEST VARS'!$T$68*(8)+'LINEST VARS'!$S$68*(8)+'LINEST VARS'!$R$68*($BO$128)+'LINEST VARS'!$Q$68*($AZ147)+'LINEST VARS'!$P$68*(12.73)+'LINEST VARS'!$O$68*(8^2)+'LINEST VARS'!$N$68*(8^2)+'LINEST VARS'!$M$68*($BO$128^2)+'LINEST VARS'!$L$68*($AZ147^2)+'LINEST VARS'!$K$68*(12.73^2)+'LINEST VARS'!$J$68*(8*8)+'LINEST VARS'!$I$68*(8*$BO$128)+'LINEST VARS'!$H$68*(8*$AZ147)+'LINEST VARS'!$G$68*(8*12.73)+'LINEST VARS'!$F$68*(8*$BO$128)+'LINEST VARS'!$E$68*(8*$AZ147)+'LINEST VARS'!$D$68*(8*12.73)+'LINEST VARS'!$C$68*($BO$128*$AZ147)+'LINEST VARS'!$B$68*($BO$128*12.73)+'LINEST VARS'!$A$68*($AZ147*12.73)</f>
        <v>146.76</v>
      </c>
      <c r="BP147" s="46">
        <f>'LINEST VARS'!$U$68+'LINEST VARS'!$T$68*(8)+'LINEST VARS'!$S$68*(8)+'LINEST VARS'!$R$68*($BP$128)+'LINEST VARS'!$Q$68*($AZ147)+'LINEST VARS'!$P$68*(12.73)+'LINEST VARS'!$O$68*(8^2)+'LINEST VARS'!$N$68*(8^2)+'LINEST VARS'!$M$68*($BP$128^2)+'LINEST VARS'!$L$68*($AZ147^2)+'LINEST VARS'!$K$68*(12.73^2)+'LINEST VARS'!$J$68*(8*8)+'LINEST VARS'!$I$68*(8*$BP$128)+'LINEST VARS'!$H$68*(8*$AZ147)+'LINEST VARS'!$G$68*(8*12.73)+'LINEST VARS'!$F$68*(8*$BP$128)+'LINEST VARS'!$E$68*(8*$AZ147)+'LINEST VARS'!$D$68*(8*12.73)+'LINEST VARS'!$C$68*($BP$128*$AZ147)+'LINEST VARS'!$B$68*($BP$128*12.73)+'LINEST VARS'!$A$68*($AZ147*12.73)</f>
        <v>146.76</v>
      </c>
      <c r="BQ147" s="46">
        <f>'LINEST VARS'!$U$68+'LINEST VARS'!$T$68*(8)+'LINEST VARS'!$S$68*(8)+'LINEST VARS'!$R$68*($BQ$128)+'LINEST VARS'!$Q$68*($AZ147)+'LINEST VARS'!$P$68*(12.73)+'LINEST VARS'!$O$68*(8^2)+'LINEST VARS'!$N$68*(8^2)+'LINEST VARS'!$M$68*($BQ$128^2)+'LINEST VARS'!$L$68*($AZ147^2)+'LINEST VARS'!$K$68*(12.73^2)+'LINEST VARS'!$J$68*(8*8)+'LINEST VARS'!$I$68*(8*$BQ$128)+'LINEST VARS'!$H$68*(8*$AZ147)+'LINEST VARS'!$G$68*(8*12.73)+'LINEST VARS'!$F$68*(8*$BQ$128)+'LINEST VARS'!$E$68*(8*$AZ147)+'LINEST VARS'!$D$68*(8*12.73)+'LINEST VARS'!$C$68*($BQ$128*$AZ147)+'LINEST VARS'!$B$68*($BQ$128*12.73)+'LINEST VARS'!$A$68*($AZ147*12.73)</f>
        <v>146.76</v>
      </c>
      <c r="BR147" s="46">
        <f>'LINEST VARS'!$U$68+'LINEST VARS'!$T$68*(8)+'LINEST VARS'!$S$68*(8)+'LINEST VARS'!$R$68*($BR$128)+'LINEST VARS'!$Q$68*($AZ147)+'LINEST VARS'!$P$68*(12.73)+'LINEST VARS'!$O$68*(8^2)+'LINEST VARS'!$N$68*(8^2)+'LINEST VARS'!$M$68*($BR$128^2)+'LINEST VARS'!$L$68*($AZ147^2)+'LINEST VARS'!$K$68*(12.73^2)+'LINEST VARS'!$J$68*(8*8)+'LINEST VARS'!$I$68*(8*$BR$128)+'LINEST VARS'!$H$68*(8*$AZ147)+'LINEST VARS'!$G$68*(8*12.73)+'LINEST VARS'!$F$68*(8*$BR$128)+'LINEST VARS'!$E$68*(8*$AZ147)+'LINEST VARS'!$D$68*(8*12.73)+'LINEST VARS'!$C$68*($BR$128*$AZ147)+'LINEST VARS'!$B$68*($BR$128*12.73)+'LINEST VARS'!$A$68*($AZ147*12.73)</f>
        <v>146.76</v>
      </c>
      <c r="BS147" s="46">
        <f>'LINEST VARS'!$U$68+'LINEST VARS'!$T$68*(8)+'LINEST VARS'!$S$68*(8)+'LINEST VARS'!$R$68*($BS$128)+'LINEST VARS'!$Q$68*($AZ147)+'LINEST VARS'!$P$68*(12.73)+'LINEST VARS'!$O$68*(8^2)+'LINEST VARS'!$N$68*(8^2)+'LINEST VARS'!$M$68*($BS$128^2)+'LINEST VARS'!$L$68*($AZ147^2)+'LINEST VARS'!$K$68*(12.73^2)+'LINEST VARS'!$J$68*(8*8)+'LINEST VARS'!$I$68*(8*$BS$128)+'LINEST VARS'!$H$68*(8*$AZ147)+'LINEST VARS'!$G$68*(8*12.73)+'LINEST VARS'!$F$68*(8*$BS$128)+'LINEST VARS'!$E$68*(8*$AZ147)+'LINEST VARS'!$D$68*(8*12.73)+'LINEST VARS'!$C$68*($BS$128*$AZ147)+'LINEST VARS'!$B$68*($BS$128*12.73)+'LINEST VARS'!$A$68*($AZ147*12.73)</f>
        <v>146.76</v>
      </c>
      <c r="BT147" s="46">
        <f>'LINEST VARS'!$U$68+'LINEST VARS'!$T$68*(8)+'LINEST VARS'!$S$68*(8)+'LINEST VARS'!$R$68*($BT$128)+'LINEST VARS'!$Q$68*($AZ147)+'LINEST VARS'!$P$68*(12.73)+'LINEST VARS'!$O$68*(8^2)+'LINEST VARS'!$N$68*(8^2)+'LINEST VARS'!$M$68*($BT$128^2)+'LINEST VARS'!$L$68*($AZ147^2)+'LINEST VARS'!$K$68*(12.73^2)+'LINEST VARS'!$J$68*(8*8)+'LINEST VARS'!$I$68*(8*$BT$128)+'LINEST VARS'!$H$68*(8*$AZ147)+'LINEST VARS'!$G$68*(8*12.73)+'LINEST VARS'!$F$68*(8*$BT$128)+'LINEST VARS'!$E$68*(8*$AZ147)+'LINEST VARS'!$D$68*(8*12.73)+'LINEST VARS'!$C$68*($BT$128*$AZ147)+'LINEST VARS'!$B$68*($BT$128*12.73)+'LINEST VARS'!$A$68*($AZ147*12.73)</f>
        <v>146.76</v>
      </c>
      <c r="BU147" s="47">
        <f>'LINEST VARS'!$U$68+'LINEST VARS'!$T$68*(8)+'LINEST VARS'!$S$68*(8)+'LINEST VARS'!$R$68*($BU$128)+'LINEST VARS'!$Q$68*($AZ147)+'LINEST VARS'!$P$68*(12.73)+'LINEST VARS'!$O$68*(8^2)+'LINEST VARS'!$N$68*(8^2)+'LINEST VARS'!$M$68*($BU$128^2)+'LINEST VARS'!$L$68*($AZ147^2)+'LINEST VARS'!$K$68*(12.73^2)+'LINEST VARS'!$J$68*(8*8)+'LINEST VARS'!$I$68*(8*$BU$128)+'LINEST VARS'!$H$68*(8*$AZ147)+'LINEST VARS'!$G$68*(8*12.73)+'LINEST VARS'!$F$68*(8*$BU$128)+'LINEST VARS'!$E$68*(8*$AZ147)+'LINEST VARS'!$D$68*(8*12.73)+'LINEST VARS'!$C$68*($BU$128*$AZ147)+'LINEST VARS'!$B$68*($BU$128*12.73)+'LINEST VARS'!$A$68*($AZ147*12.73)</f>
        <v>146.76</v>
      </c>
      <c r="BX147" s="45">
        <v>0.9</v>
      </c>
      <c r="BY147" s="46">
        <f>'LINEST VARS'!$U$70+'LINEST VARS'!$T$70*(8)+'LINEST VARS'!$S$70*(8)+'LINEST VARS'!$R$70*($BY$128)+'LINEST VARS'!$Q$70*($BX147)+'LINEST VARS'!$P$70*(12.73)+'LINEST VARS'!$O$70*(8^2)+'LINEST VARS'!$N$70*(8^2)+'LINEST VARS'!$M$70*($BY$128^2)+'LINEST VARS'!$L$70*($BX147^2)+'LINEST VARS'!$K$70*(12.73^2)+'LINEST VARS'!$J$70*(8*8)+'LINEST VARS'!$I$70*(8*$BY$128)+'LINEST VARS'!$H$70*(8*$BX147)+'LINEST VARS'!$G$70*(8*12.73)+'LINEST VARS'!$F$70*(8*$BY$128)+'LINEST VARS'!$E$70*(8*$BX147)+'LINEST VARS'!$D$70*(8*12.73)+'LINEST VARS'!$C$70*($BY$128*$BX147)+'LINEST VARS'!$B$70*($BY$128*12.73)+'LINEST VARS'!$A$70*($BX147*12.73)</f>
        <v>92.000000000000014</v>
      </c>
      <c r="BZ147" s="46">
        <f>'LINEST VARS'!$U$70+'LINEST VARS'!$T$70*(8)+'LINEST VARS'!$S$70*(8)+'LINEST VARS'!$R$70*($BZ$128)+'LINEST VARS'!$Q$70*($BX147)+'LINEST VARS'!$P$70*(12.73)+'LINEST VARS'!$O$70*(8^2)+'LINEST VARS'!$N$70*(8^2)+'LINEST VARS'!$M$70*($BZ$128^2)+'LINEST VARS'!$L$70*($BX147^2)+'LINEST VARS'!$K$70*(12.73^2)+'LINEST VARS'!$J$70*(8*8)+'LINEST VARS'!$I$70*(8*$BZ$128)+'LINEST VARS'!$H$70*(8*$BX147)+'LINEST VARS'!$G$70*(8*12.73)+'LINEST VARS'!$F$70*(8*$BZ$128)+'LINEST VARS'!$E$70*(8*$BX147)+'LINEST VARS'!$D$70*(8*12.73)+'LINEST VARS'!$C$70*($BZ$128*$BX147)+'LINEST VARS'!$B$70*($BZ$128*12.73)+'LINEST VARS'!$A$70*($BX147*12.73)</f>
        <v>91.600000000000009</v>
      </c>
      <c r="CA147" s="46">
        <f>'LINEST VARS'!$U$70+'LINEST VARS'!$T$70*(8)+'LINEST VARS'!$S$70*(8)+'LINEST VARS'!$R$70*($CA$128)+'LINEST VARS'!$Q$70*($BX147)+'LINEST VARS'!$P$70*(12.73)+'LINEST VARS'!$O$70*(8^2)+'LINEST VARS'!$N$70*(8^2)+'LINEST VARS'!$M$70*($CA$128^2)+'LINEST VARS'!$L$70*($BX147^2)+'LINEST VARS'!$K$70*(12.73^2)+'LINEST VARS'!$J$70*(8*8)+'LINEST VARS'!$I$70*(8*$CA$128)+'LINEST VARS'!$H$70*(8*$BX147)+'LINEST VARS'!$G$70*(8*12.73)+'LINEST VARS'!$F$70*(8*$CA$128)+'LINEST VARS'!$E$70*(8*$BX147)+'LINEST VARS'!$D$70*(8*12.73)+'LINEST VARS'!$C$70*($CA$128*$BX147)+'LINEST VARS'!$B$70*($CA$128*12.73)+'LINEST VARS'!$A$70*($BX147*12.73)</f>
        <v>91.200000000000017</v>
      </c>
      <c r="CB147" s="46">
        <f>'LINEST VARS'!$U$70+'LINEST VARS'!$T$70*(8)+'LINEST VARS'!$S$70*(8)+'LINEST VARS'!$R$70*($CB$128)+'LINEST VARS'!$Q$70*($BX147)+'LINEST VARS'!$P$70*(12.73)+'LINEST VARS'!$O$70*(8^2)+'LINEST VARS'!$N$70*(8^2)+'LINEST VARS'!$M$70*($CB$128^2)+'LINEST VARS'!$L$70*($BX147^2)+'LINEST VARS'!$K$70*(12.73^2)+'LINEST VARS'!$J$70*(8*8)+'LINEST VARS'!$I$70*(8*$CB$128)+'LINEST VARS'!$H$70*(8*$BX147)+'LINEST VARS'!$G$70*(8*12.73)+'LINEST VARS'!$F$70*(8*$CB$128)+'LINEST VARS'!$E$70*(8*$BX147)+'LINEST VARS'!$D$70*(8*12.73)+'LINEST VARS'!$C$70*($CB$128*$BX147)+'LINEST VARS'!$B$70*($CB$128*12.73)+'LINEST VARS'!$A$70*($BX147*12.73)</f>
        <v>90.800000000000011</v>
      </c>
      <c r="CC147" s="46">
        <f>'LINEST VARS'!$U$70+'LINEST VARS'!$T$70*(8)+'LINEST VARS'!$S$70*(8)+'LINEST VARS'!$R$70*($CC$128)+'LINEST VARS'!$Q$70*($BX147)+'LINEST VARS'!$P$70*(12.73)+'LINEST VARS'!$O$70*(8^2)+'LINEST VARS'!$N$70*(8^2)+'LINEST VARS'!$M$70*($CC$128^2)+'LINEST VARS'!$L$70*($BX147^2)+'LINEST VARS'!$K$70*(12.73^2)+'LINEST VARS'!$J$70*(8*8)+'LINEST VARS'!$I$70*(8*$CC$128)+'LINEST VARS'!$H$70*(8*$BX147)+'LINEST VARS'!$G$70*(8*12.73)+'LINEST VARS'!$F$70*(8*$CC$128)+'LINEST VARS'!$E$70*(8*$BX147)+'LINEST VARS'!$D$70*(8*12.73)+'LINEST VARS'!$C$70*($CC$128*$BX147)+'LINEST VARS'!$B$70*($CC$128*12.73)+'LINEST VARS'!$A$70*($BX147*12.73)</f>
        <v>90.40000000000002</v>
      </c>
      <c r="CD147" s="46">
        <f>'LINEST VARS'!$U$70+'LINEST VARS'!$T$70*(8)+'LINEST VARS'!$S$70*(8)+'LINEST VARS'!$R$70*($CD$128)+'LINEST VARS'!$Q$70*($BX147)+'LINEST VARS'!$P$70*(12.73)+'LINEST VARS'!$O$70*(8^2)+'LINEST VARS'!$N$70*(8^2)+'LINEST VARS'!$M$70*($CD$128^2)+'LINEST VARS'!$L$70*($BX147^2)+'LINEST VARS'!$K$70*(12.73^2)+'LINEST VARS'!$J$70*(8*8)+'LINEST VARS'!$I$70*(8*$CD$128)+'LINEST VARS'!$H$70*(8*$BX147)+'LINEST VARS'!$G$70*(8*12.73)+'LINEST VARS'!$F$70*(8*$CD$128)+'LINEST VARS'!$E$70*(8*$BX147)+'LINEST VARS'!$D$70*(8*12.73)+'LINEST VARS'!$C$70*($CD$128*$BX147)+'LINEST VARS'!$B$70*($CD$128*12.73)+'LINEST VARS'!$A$70*($BX147*12.73)</f>
        <v>90.000000000000014</v>
      </c>
      <c r="CE147" s="46">
        <f>'LINEST VARS'!$U$70+'LINEST VARS'!$T$70*(8)+'LINEST VARS'!$S$70*(8)+'LINEST VARS'!$R$70*($CE$128)+'LINEST VARS'!$Q$70*($BX147)+'LINEST VARS'!$P$70*(12.73)+'LINEST VARS'!$O$70*(8^2)+'LINEST VARS'!$N$70*(8^2)+'LINEST VARS'!$M$70*($CE$128^2)+'LINEST VARS'!$L$70*($BX147^2)+'LINEST VARS'!$K$70*(12.73^2)+'LINEST VARS'!$J$70*(8*8)+'LINEST VARS'!$I$70*(8*$CE$128)+'LINEST VARS'!$H$70*(8*$BX147)+'LINEST VARS'!$G$70*(8*12.73)+'LINEST VARS'!$F$70*(8*$CE$128)+'LINEST VARS'!$E$70*(8*$BX147)+'LINEST VARS'!$D$70*(8*12.73)+'LINEST VARS'!$C$70*($CE$128*$BX147)+'LINEST VARS'!$B$70*($CE$128*12.73)+'LINEST VARS'!$A$70*($BX147*12.73)</f>
        <v>89.600000000000023</v>
      </c>
      <c r="CF147" s="46">
        <f>'LINEST VARS'!$U$70+'LINEST VARS'!$T$70*(8)+'LINEST VARS'!$S$70*(8)+'LINEST VARS'!$R$70*($CF$128)+'LINEST VARS'!$Q$70*($BX147)+'LINEST VARS'!$P$70*(12.73)+'LINEST VARS'!$O$70*(8^2)+'LINEST VARS'!$N$70*(8^2)+'LINEST VARS'!$M$70*($CF$128^2)+'LINEST VARS'!$L$70*($BX147^2)+'LINEST VARS'!$K$70*(12.73^2)+'LINEST VARS'!$J$70*(8*8)+'LINEST VARS'!$I$70*(8*$CF$128)+'LINEST VARS'!$H$70*(8*$BX147)+'LINEST VARS'!$G$70*(8*12.73)+'LINEST VARS'!$F$70*(8*$CF$128)+'LINEST VARS'!$E$70*(8*$BX147)+'LINEST VARS'!$D$70*(8*12.73)+'LINEST VARS'!$C$70*($CF$128*$BX147)+'LINEST VARS'!$B$70*($CF$128*12.73)+'LINEST VARS'!$A$70*($BX147*12.73)</f>
        <v>89.200000000000017</v>
      </c>
      <c r="CG147" s="46">
        <f>'LINEST VARS'!$U$70+'LINEST VARS'!$T$70*(8)+'LINEST VARS'!$S$70*(8)+'LINEST VARS'!$R$70*($CG$128)+'LINEST VARS'!$Q$70*($BX147)+'LINEST VARS'!$P$70*(12.73)+'LINEST VARS'!$O$70*(8^2)+'LINEST VARS'!$N$70*(8^2)+'LINEST VARS'!$M$70*($CG$128^2)+'LINEST VARS'!$L$70*($BX147^2)+'LINEST VARS'!$K$70*(12.73^2)+'LINEST VARS'!$J$70*(8*8)+'LINEST VARS'!$I$70*(8*$CG$128)+'LINEST VARS'!$H$70*(8*$BX147)+'LINEST VARS'!$G$70*(8*12.73)+'LINEST VARS'!$F$70*(8*$CG$128)+'LINEST VARS'!$E$70*(8*$BX147)+'LINEST VARS'!$D$70*(8*12.73)+'LINEST VARS'!$C$70*($CG$128*$BX147)+'LINEST VARS'!$B$70*($CG$128*12.73)+'LINEST VARS'!$A$70*($BX147*12.73)</f>
        <v>88.800000000000026</v>
      </c>
      <c r="CH147" s="46">
        <f>'LINEST VARS'!$U$70+'LINEST VARS'!$T$70*(8)+'LINEST VARS'!$S$70*(8)+'LINEST VARS'!$R$70*($CH$128)+'LINEST VARS'!$Q$70*($BX147)+'LINEST VARS'!$P$70*(12.73)+'LINEST VARS'!$O$70*(8^2)+'LINEST VARS'!$N$70*(8^2)+'LINEST VARS'!$M$70*($CH$128^2)+'LINEST VARS'!$L$70*($BX147^2)+'LINEST VARS'!$K$70*(12.73^2)+'LINEST VARS'!$J$70*(8*8)+'LINEST VARS'!$I$70*(8*$CH$128)+'LINEST VARS'!$H$70*(8*$BX147)+'LINEST VARS'!$G$70*(8*12.73)+'LINEST VARS'!$F$70*(8*$CH$128)+'LINEST VARS'!$E$70*(8*$BX147)+'LINEST VARS'!$D$70*(8*12.73)+'LINEST VARS'!$C$70*($CH$128*$BX147)+'LINEST VARS'!$B$70*($CH$128*12.73)+'LINEST VARS'!$A$70*($BX147*12.73)</f>
        <v>88.40000000000002</v>
      </c>
      <c r="CI147" s="46">
        <f>'LINEST VARS'!$U$70+'LINEST VARS'!$T$70*(8)+'LINEST VARS'!$S$70*(8)+'LINEST VARS'!$R$70*($CI$128)+'LINEST VARS'!$Q$70*($BX147)+'LINEST VARS'!$P$70*(12.73)+'LINEST VARS'!$O$70*(8^2)+'LINEST VARS'!$N$70*(8^2)+'LINEST VARS'!$M$70*($CI$128^2)+'LINEST VARS'!$L$70*($BX147^2)+'LINEST VARS'!$K$70*(12.73^2)+'LINEST VARS'!$J$70*(8*8)+'LINEST VARS'!$I$70*(8*$CI$128)+'LINEST VARS'!$H$70*(8*$BX147)+'LINEST VARS'!$G$70*(8*12.73)+'LINEST VARS'!$F$70*(8*$CI$128)+'LINEST VARS'!$E$70*(8*$BX147)+'LINEST VARS'!$D$70*(8*12.73)+'LINEST VARS'!$C$70*($CI$128*$BX147)+'LINEST VARS'!$B$70*($CI$128*12.73)+'LINEST VARS'!$A$70*($BX147*12.73)</f>
        <v>88.000000000000014</v>
      </c>
      <c r="CJ147" s="46">
        <f>'LINEST VARS'!$U$70+'LINEST VARS'!$T$70*(8)+'LINEST VARS'!$S$70*(8)+'LINEST VARS'!$R$70*($CJ$128)+'LINEST VARS'!$Q$70*($BX147)+'LINEST VARS'!$P$70*(12.73)+'LINEST VARS'!$O$70*(8^2)+'LINEST VARS'!$N$70*(8^2)+'LINEST VARS'!$M$70*($CJ$128^2)+'LINEST VARS'!$L$70*($BX147^2)+'LINEST VARS'!$K$70*(12.73^2)+'LINEST VARS'!$J$70*(8*8)+'LINEST VARS'!$I$70*(8*$CJ$128)+'LINEST VARS'!$H$70*(8*$BX147)+'LINEST VARS'!$G$70*(8*12.73)+'LINEST VARS'!$F$70*(8*$CJ$128)+'LINEST VARS'!$E$70*(8*$BX147)+'LINEST VARS'!$D$70*(8*12.73)+'LINEST VARS'!$C$70*($CJ$128*$BX147)+'LINEST VARS'!$B$70*($CJ$128*12.73)+'LINEST VARS'!$A$70*($BX147*12.73)</f>
        <v>87.600000000000023</v>
      </c>
      <c r="CK147" s="46">
        <f>'LINEST VARS'!$U$70+'LINEST VARS'!$T$70*(8)+'LINEST VARS'!$S$70*(8)+'LINEST VARS'!$R$70*($CK$128)+'LINEST VARS'!$Q$70*($BX147)+'LINEST VARS'!$P$70*(12.73)+'LINEST VARS'!$O$70*(8^2)+'LINEST VARS'!$N$70*(8^2)+'LINEST VARS'!$M$70*($CK$128^2)+'LINEST VARS'!$L$70*($BX147^2)+'LINEST VARS'!$K$70*(12.73^2)+'LINEST VARS'!$J$70*(8*8)+'LINEST VARS'!$I$70*(8*$CK$128)+'LINEST VARS'!$H$70*(8*$BX147)+'LINEST VARS'!$G$70*(8*12.73)+'LINEST VARS'!$F$70*(8*$CK$128)+'LINEST VARS'!$E$70*(8*$BX147)+'LINEST VARS'!$D$70*(8*12.73)+'LINEST VARS'!$C$70*($CK$128*$BX147)+'LINEST VARS'!$B$70*($CK$128*12.73)+'LINEST VARS'!$A$70*($BX147*12.73)</f>
        <v>87.200000000000017</v>
      </c>
      <c r="CL147" s="46">
        <f>'LINEST VARS'!$U$70+'LINEST VARS'!$T$70*(8)+'LINEST VARS'!$S$70*(8)+'LINEST VARS'!$R$70*($CL$128)+'LINEST VARS'!$Q$70*($BX147)+'LINEST VARS'!$P$70*(12.73)+'LINEST VARS'!$O$70*(8^2)+'LINEST VARS'!$N$70*(8^2)+'LINEST VARS'!$M$70*($CL$128^2)+'LINEST VARS'!$L$70*($BX147^2)+'LINEST VARS'!$K$70*(12.73^2)+'LINEST VARS'!$J$70*(8*8)+'LINEST VARS'!$I$70*(8*$CL$128)+'LINEST VARS'!$H$70*(8*$BX147)+'LINEST VARS'!$G$70*(8*12.73)+'LINEST VARS'!$F$70*(8*$CL$128)+'LINEST VARS'!$E$70*(8*$BX147)+'LINEST VARS'!$D$70*(8*12.73)+'LINEST VARS'!$C$70*($CL$128*$BX147)+'LINEST VARS'!$B$70*($CL$128*12.73)+'LINEST VARS'!$A$70*($BX147*12.73)</f>
        <v>86.800000000000026</v>
      </c>
      <c r="CM147" s="46">
        <f>'LINEST VARS'!$U$70+'LINEST VARS'!$T$70*(8)+'LINEST VARS'!$S$70*(8)+'LINEST VARS'!$R$70*($CM$128)+'LINEST VARS'!$Q$70*($BX147)+'LINEST VARS'!$P$70*(12.73)+'LINEST VARS'!$O$70*(8^2)+'LINEST VARS'!$N$70*(8^2)+'LINEST VARS'!$M$70*($CM$128^2)+'LINEST VARS'!$L$70*($BX147^2)+'LINEST VARS'!$K$70*(12.73^2)+'LINEST VARS'!$J$70*(8*8)+'LINEST VARS'!$I$70*(8*$CM$128)+'LINEST VARS'!$H$70*(8*$BX147)+'LINEST VARS'!$G$70*(8*12.73)+'LINEST VARS'!$F$70*(8*$CM$128)+'LINEST VARS'!$E$70*(8*$BX147)+'LINEST VARS'!$D$70*(8*12.73)+'LINEST VARS'!$C$70*($CM$128*$BX147)+'LINEST VARS'!$B$70*($CM$128*12.73)+'LINEST VARS'!$A$70*($BX147*12.73)</f>
        <v>86.40000000000002</v>
      </c>
      <c r="CN147" s="46">
        <f>'LINEST VARS'!$U$70+'LINEST VARS'!$T$70*(8)+'LINEST VARS'!$S$70*(8)+'LINEST VARS'!$R$70*($CN$128)+'LINEST VARS'!$Q$70*($BX147)+'LINEST VARS'!$P$70*(12.73)+'LINEST VARS'!$O$70*(8^2)+'LINEST VARS'!$N$70*(8^2)+'LINEST VARS'!$M$70*($CN$128^2)+'LINEST VARS'!$L$70*($BX147^2)+'LINEST VARS'!$K$70*(12.73^2)+'LINEST VARS'!$J$70*(8*8)+'LINEST VARS'!$I$70*(8*$CN$128)+'LINEST VARS'!$H$70*(8*$BX147)+'LINEST VARS'!$G$70*(8*12.73)+'LINEST VARS'!$F$70*(8*$CN$128)+'LINEST VARS'!$E$70*(8*$BX147)+'LINEST VARS'!$D$70*(8*12.73)+'LINEST VARS'!$C$70*($CN$128*$BX147)+'LINEST VARS'!$B$70*($CN$128*12.73)+'LINEST VARS'!$A$70*($BX147*12.73)</f>
        <v>86.000000000000014</v>
      </c>
      <c r="CO147" s="46">
        <f>'LINEST VARS'!$U$70+'LINEST VARS'!$T$70*(8)+'LINEST VARS'!$S$70*(8)+'LINEST VARS'!$R$70*($CO$128)+'LINEST VARS'!$Q$70*($BX147)+'LINEST VARS'!$P$70*(12.73)+'LINEST VARS'!$O$70*(8^2)+'LINEST VARS'!$N$70*(8^2)+'LINEST VARS'!$M$70*($CO$128^2)+'LINEST VARS'!$L$70*($BX147^2)+'LINEST VARS'!$K$70*(12.73^2)+'LINEST VARS'!$J$70*(8*8)+'LINEST VARS'!$I$70*(8*$CO$128)+'LINEST VARS'!$H$70*(8*$BX147)+'LINEST VARS'!$G$70*(8*12.73)+'LINEST VARS'!$F$70*(8*$CO$128)+'LINEST VARS'!$E$70*(8*$BX147)+'LINEST VARS'!$D$70*(8*12.73)+'LINEST VARS'!$C$70*($CO$128*$BX147)+'LINEST VARS'!$B$70*($CO$128*12.73)+'LINEST VARS'!$A$70*($BX147*12.73)</f>
        <v>85.600000000000009</v>
      </c>
      <c r="CP147" s="46">
        <f>'LINEST VARS'!$U$70+'LINEST VARS'!$T$70*(8)+'LINEST VARS'!$S$70*(8)+'LINEST VARS'!$R$70*($CP$128)+'LINEST VARS'!$Q$70*($BX147)+'LINEST VARS'!$P$70*(12.73)+'LINEST VARS'!$O$70*(8^2)+'LINEST VARS'!$N$70*(8^2)+'LINEST VARS'!$M$70*($CP$128^2)+'LINEST VARS'!$L$70*($BX147^2)+'LINEST VARS'!$K$70*(12.73^2)+'LINEST VARS'!$J$70*(8*8)+'LINEST VARS'!$I$70*(8*$CP$128)+'LINEST VARS'!$H$70*(8*$BX147)+'LINEST VARS'!$G$70*(8*12.73)+'LINEST VARS'!$F$70*(8*$CP$128)+'LINEST VARS'!$E$70*(8*$BX147)+'LINEST VARS'!$D$70*(8*12.73)+'LINEST VARS'!$C$70*($CP$128*$BX147)+'LINEST VARS'!$B$70*($CP$128*12.73)+'LINEST VARS'!$A$70*($BX147*12.73)</f>
        <v>85.200000000000017</v>
      </c>
      <c r="CQ147" s="46">
        <f>'LINEST VARS'!$U$70+'LINEST VARS'!$T$70*(8)+'LINEST VARS'!$S$70*(8)+'LINEST VARS'!$R$70*($CQ$128)+'LINEST VARS'!$Q$70*($BX147)+'LINEST VARS'!$P$70*(12.73)+'LINEST VARS'!$O$70*(8^2)+'LINEST VARS'!$N$70*(8^2)+'LINEST VARS'!$M$70*($CQ$128^2)+'LINEST VARS'!$L$70*($BX147^2)+'LINEST VARS'!$K$70*(12.73^2)+'LINEST VARS'!$J$70*(8*8)+'LINEST VARS'!$I$70*(8*$CQ$128)+'LINEST VARS'!$H$70*(8*$BX147)+'LINEST VARS'!$G$70*(8*12.73)+'LINEST VARS'!$F$70*(8*$CQ$128)+'LINEST VARS'!$E$70*(8*$BX147)+'LINEST VARS'!$D$70*(8*12.73)+'LINEST VARS'!$C$70*($CQ$128*$BX147)+'LINEST VARS'!$B$70*($CQ$128*12.73)+'LINEST VARS'!$A$70*($BX147*12.73)</f>
        <v>84.800000000000011</v>
      </c>
      <c r="CR147" s="46">
        <f>'LINEST VARS'!$U$70+'LINEST VARS'!$T$70*(8)+'LINEST VARS'!$S$70*(8)+'LINEST VARS'!$R$70*($CR$128)+'LINEST VARS'!$Q$70*($BX147)+'LINEST VARS'!$P$70*(12.73)+'LINEST VARS'!$O$70*(8^2)+'LINEST VARS'!$N$70*(8^2)+'LINEST VARS'!$M$70*($CR$128^2)+'LINEST VARS'!$L$70*($BX147^2)+'LINEST VARS'!$K$70*(12.73^2)+'LINEST VARS'!$J$70*(8*8)+'LINEST VARS'!$I$70*(8*$CR$128)+'LINEST VARS'!$H$70*(8*$BX147)+'LINEST VARS'!$G$70*(8*12.73)+'LINEST VARS'!$F$70*(8*$CR$128)+'LINEST VARS'!$E$70*(8*$BX147)+'LINEST VARS'!$D$70*(8*12.73)+'LINEST VARS'!$C$70*($CR$128*$BX147)+'LINEST VARS'!$B$70*($CR$128*12.73)+'LINEST VARS'!$A$70*($BX147*12.73)</f>
        <v>84.400000000000034</v>
      </c>
      <c r="CS147" s="47">
        <f>'LINEST VARS'!$U$70+'LINEST VARS'!$T$70*(8)+'LINEST VARS'!$S$70*(8)+'LINEST VARS'!$R$70*($CS$128)+'LINEST VARS'!$Q$70*($BX147)+'LINEST VARS'!$P$70*(12.73)+'LINEST VARS'!$O$70*(8^2)+'LINEST VARS'!$N$70*(8^2)+'LINEST VARS'!$M$70*($CS$128^2)+'LINEST VARS'!$L$70*($BX147^2)+'LINEST VARS'!$K$70*(12.73^2)+'LINEST VARS'!$J$70*(8*8)+'LINEST VARS'!$I$70*(8*$CS$128)+'LINEST VARS'!$H$70*(8*$BX147)+'LINEST VARS'!$G$70*(8*12.73)+'LINEST VARS'!$F$70*(8*$CS$128)+'LINEST VARS'!$E$70*(8*$BX147)+'LINEST VARS'!$D$70*(8*12.73)+'LINEST VARS'!$C$70*($CS$128*$BX147)+'LINEST VARS'!$B$70*($CS$128*12.73)+'LINEST VARS'!$A$70*($BX147*12.73)</f>
        <v>84.000000000000028</v>
      </c>
      <c r="CX147" s="45">
        <v>23.390999999999998</v>
      </c>
      <c r="CY147" s="46">
        <f>'LINEST VARS'!$U$68+'LINEST VARS'!$T$68*(8)+'LINEST VARS'!$S$68*(8)+'LINEST VARS'!$R$68*($CY$128)+'LINEST VARS'!$Q$68*(0.5)+'LINEST VARS'!$P$68*($CX147)+'LINEST VARS'!$O$68*(8^2)+'LINEST VARS'!$N$68*(8^2)+'LINEST VARS'!$M$68*($CY$128^2)+'LINEST VARS'!$L$68*(0.5^2)+'LINEST VARS'!$K$68*($CX147^2)+'LINEST VARS'!$J$68*(8*8)+'LINEST VARS'!$I$68*(8*$CY$128)+'LINEST VARS'!$H$68*(8*0.5)+'LINEST VARS'!$G$68*(8*$CX147)+'LINEST VARS'!$F$68*(8*$CY$128)+'LINEST VARS'!$E$68*(8*0.5)+'LINEST VARS'!$D$68*(8*$CX147)+'LINEST VARS'!$C$68*($CY$128*0.5)+'LINEST VARS'!$B$68*($CY$128*$CX147)+'LINEST VARS'!$A$68*(0.5*$CX147)</f>
        <v>149</v>
      </c>
      <c r="CZ147" s="46">
        <f>'LINEST VARS'!$U$68+'LINEST VARS'!$T$68*(8)+'LINEST VARS'!$S$68*(8)+'LINEST VARS'!$R$68*($CZ$128)+'LINEST VARS'!$Q$68*(0.5)+'LINEST VARS'!$P$68*($CX147)+'LINEST VARS'!$O$68*(8^2)+'LINEST VARS'!$N$68*(8^2)+'LINEST VARS'!$M$68*($CZ$128^2)+'LINEST VARS'!$L$68*(0.5^2)+'LINEST VARS'!$K$68*($CX147^2)+'LINEST VARS'!$J$68*(8*8)+'LINEST VARS'!$I$68*(8*$CZ$128)+'LINEST VARS'!$H$68*(8*0.5)+'LINEST VARS'!$G$68*(8*$CX147)+'LINEST VARS'!$F$68*(8*$CZ$128)+'LINEST VARS'!$E$68*(8*0.5)+'LINEST VARS'!$D$68*(8*$CX147)+'LINEST VARS'!$C$68*($CZ$128*0.5)+'LINEST VARS'!$B$68*($CZ$128*$CX147)+'LINEST VARS'!$A$68*(0.5*$CX147)</f>
        <v>149</v>
      </c>
      <c r="DA147" s="46">
        <f>'LINEST VARS'!$U$68+'LINEST VARS'!$T$68*(8)+'LINEST VARS'!$S$68*(8)+'LINEST VARS'!$R$68*($DA$128)+'LINEST VARS'!$Q$68*(0.5)+'LINEST VARS'!$P$68*($CX147)+'LINEST VARS'!$O$68*(8^2)+'LINEST VARS'!$N$68*(8^2)+'LINEST VARS'!$M$68*($DA$128^2)+'LINEST VARS'!$L$68*(0.5^2)+'LINEST VARS'!$K$68*($CX147^2)+'LINEST VARS'!$J$68*(8*8)+'LINEST VARS'!$I$68*(8*$DA$128)+'LINEST VARS'!$H$68*(8*0.5)+'LINEST VARS'!$G$68*(8*$CX147)+'LINEST VARS'!$F$68*(8*$DA$128)+'LINEST VARS'!$E$68*(8*0.5)+'LINEST VARS'!$D$68*(8*$CX147)+'LINEST VARS'!$C$68*($DA$128*0.5)+'LINEST VARS'!$B$68*($DA$128*$CX147)+'LINEST VARS'!$A$68*(0.5*$CX147)</f>
        <v>149</v>
      </c>
      <c r="DB147" s="46">
        <f>'LINEST VARS'!$U$68+'LINEST VARS'!$T$68*(8)+'LINEST VARS'!$S$68*(8)+'LINEST VARS'!$R$68*($DB$128)+'LINEST VARS'!$Q$68*(0.5)+'LINEST VARS'!$P$68*($CX147)+'LINEST VARS'!$O$68*(8^2)+'LINEST VARS'!$N$68*(8^2)+'LINEST VARS'!$M$68*($DB$128^2)+'LINEST VARS'!$L$68*(0.5^2)+'LINEST VARS'!$K$68*($CX147^2)+'LINEST VARS'!$J$68*(8*8)+'LINEST VARS'!$I$68*(8*$DB$128)+'LINEST VARS'!$H$68*(8*0.5)+'LINEST VARS'!$G$68*(8*$CX147)+'LINEST VARS'!$F$68*(8*$DB$128)+'LINEST VARS'!$E$68*(8*0.5)+'LINEST VARS'!$D$68*(8*$CX147)+'LINEST VARS'!$C$68*($DB$128*0.5)+'LINEST VARS'!$B$68*($DB$128*$CX147)+'LINEST VARS'!$A$68*(0.5*$CX147)</f>
        <v>149</v>
      </c>
      <c r="DC147" s="46">
        <f>'LINEST VARS'!$U$68+'LINEST VARS'!$T$68*(8)+'LINEST VARS'!$S$68*(8)+'LINEST VARS'!$R$68*($DC$128)+'LINEST VARS'!$Q$68*(0.5)+'LINEST VARS'!$P$68*($CX147)+'LINEST VARS'!$O$68*(8^2)+'LINEST VARS'!$N$68*(8^2)+'LINEST VARS'!$M$68*($DC$128^2)+'LINEST VARS'!$L$68*(0.5^2)+'LINEST VARS'!$K$68*($CX147^2)+'LINEST VARS'!$J$68*(8*8)+'LINEST VARS'!$I$68*(8*$DC$128)+'LINEST VARS'!$H$68*(8*0.5)+'LINEST VARS'!$G$68*(8*$CX147)+'LINEST VARS'!$F$68*(8*$DC$128)+'LINEST VARS'!$E$68*(8*0.5)+'LINEST VARS'!$D$68*(8*$CX147)+'LINEST VARS'!$C$68*($DC$128*0.5)+'LINEST VARS'!$B$68*($DC$128*$CX147)+'LINEST VARS'!$A$68*(0.5*$CX147)</f>
        <v>149</v>
      </c>
      <c r="DD147" s="46">
        <f>'LINEST VARS'!$U$68+'LINEST VARS'!$T$68*(8)+'LINEST VARS'!$S$68*(8)+'LINEST VARS'!$R$68*($DD$128)+'LINEST VARS'!$Q$68*(0.5)+'LINEST VARS'!$P$68*($CX147)+'LINEST VARS'!$O$68*(8^2)+'LINEST VARS'!$N$68*(8^2)+'LINEST VARS'!$M$68*($DD$128^2)+'LINEST VARS'!$L$68*(0.5^2)+'LINEST VARS'!$K$68*($CX147^2)+'LINEST VARS'!$J$68*(8*8)+'LINEST VARS'!$I$68*(8*$DD$128)+'LINEST VARS'!$H$68*(8*0.5)+'LINEST VARS'!$G$68*(8*$CX147)+'LINEST VARS'!$F$68*(8*$DD$128)+'LINEST VARS'!$E$68*(8*0.5)+'LINEST VARS'!$D$68*(8*$CX147)+'LINEST VARS'!$C$68*($DD$128*0.5)+'LINEST VARS'!$B$68*($DD$128*$CX147)+'LINEST VARS'!$A$68*(0.5*$CX147)</f>
        <v>149</v>
      </c>
      <c r="DE147" s="46">
        <f>'LINEST VARS'!$U$68+'LINEST VARS'!$T$68*(8)+'LINEST VARS'!$S$68*(8)+'LINEST VARS'!$R$68*($DE$128)+'LINEST VARS'!$Q$68*(0.5)+'LINEST VARS'!$P$68*($CX147)+'LINEST VARS'!$O$68*(8^2)+'LINEST VARS'!$N$68*(8^2)+'LINEST VARS'!$M$68*($DE$128^2)+'LINEST VARS'!$L$68*(0.5^2)+'LINEST VARS'!$K$68*($CX147^2)+'LINEST VARS'!$J$68*(8*8)+'LINEST VARS'!$I$68*(8*$DE$128)+'LINEST VARS'!$H$68*(8*0.5)+'LINEST VARS'!$G$68*(8*$CX147)+'LINEST VARS'!$F$68*(8*$DE$128)+'LINEST VARS'!$E$68*(8*0.5)+'LINEST VARS'!$D$68*(8*$CX147)+'LINEST VARS'!$C$68*($DE$128*0.5)+'LINEST VARS'!$B$68*($DE$128*$CX147)+'LINEST VARS'!$A$68*(0.5*$CX147)</f>
        <v>149</v>
      </c>
      <c r="DF147" s="46">
        <f>'LINEST VARS'!$U$68+'LINEST VARS'!$T$68*(8)+'LINEST VARS'!$S$68*(8)+'LINEST VARS'!$R$68*($DF$128)+'LINEST VARS'!$Q$68*(0.5)+'LINEST VARS'!$P$68*($CX147)+'LINEST VARS'!$O$68*(8^2)+'LINEST VARS'!$N$68*(8^2)+'LINEST VARS'!$M$68*($DF$128^2)+'LINEST VARS'!$L$68*(0.5^2)+'LINEST VARS'!$K$68*($CX147^2)+'LINEST VARS'!$J$68*(8*8)+'LINEST VARS'!$I$68*(8*$DF$128)+'LINEST VARS'!$H$68*(8*0.5)+'LINEST VARS'!$G$68*(8*$CX147)+'LINEST VARS'!$F$68*(8*$DF$128)+'LINEST VARS'!$E$68*(8*0.5)+'LINEST VARS'!$D$68*(8*$CX147)+'LINEST VARS'!$C$68*($DF$128*0.5)+'LINEST VARS'!$B$68*($DF$128*$CX147)+'LINEST VARS'!$A$68*(0.5*$CX147)</f>
        <v>149</v>
      </c>
      <c r="DG147" s="46">
        <f>'LINEST VARS'!$U$68+'LINEST VARS'!$T$68*(8)+'LINEST VARS'!$S$68*(8)+'LINEST VARS'!$R$68*($DG$128)+'LINEST VARS'!$Q$68*(0.5)+'LINEST VARS'!$P$68*($CX147)+'LINEST VARS'!$O$68*(8^2)+'LINEST VARS'!$N$68*(8^2)+'LINEST VARS'!$M$68*($DG$128^2)+'LINEST VARS'!$L$68*(0.5^2)+'LINEST VARS'!$K$68*($CX147^2)+'LINEST VARS'!$J$68*(8*8)+'LINEST VARS'!$I$68*(8*$DG$128)+'LINEST VARS'!$H$68*(8*0.5)+'LINEST VARS'!$G$68*(8*$CX147)+'LINEST VARS'!$F$68*(8*$DG$128)+'LINEST VARS'!$E$68*(8*0.5)+'LINEST VARS'!$D$68*(8*$CX147)+'LINEST VARS'!$C$68*($DG$128*0.5)+'LINEST VARS'!$B$68*($DG$128*$CX147)+'LINEST VARS'!$A$68*(0.5*$CX147)</f>
        <v>149</v>
      </c>
      <c r="DH147" s="46">
        <f>'LINEST VARS'!$U$68+'LINEST VARS'!$T$68*(8)+'LINEST VARS'!$S$68*(8)+'LINEST VARS'!$R$68*($DH$128)+'LINEST VARS'!$Q$68*(0.5)+'LINEST VARS'!$P$68*($CX147)+'LINEST VARS'!$O$68*(8^2)+'LINEST VARS'!$N$68*(8^2)+'LINEST VARS'!$M$68*($DH$128^2)+'LINEST VARS'!$L$68*(0.5^2)+'LINEST VARS'!$K$68*($CX147^2)+'LINEST VARS'!$J$68*(8*8)+'LINEST VARS'!$I$68*(8*$DH$128)+'LINEST VARS'!$H$68*(8*0.5)+'LINEST VARS'!$G$68*(8*$CX147)+'LINEST VARS'!$F$68*(8*$DH$128)+'LINEST VARS'!$E$68*(8*0.5)+'LINEST VARS'!$D$68*(8*$CX147)+'LINEST VARS'!$C$68*($DH$128*0.5)+'LINEST VARS'!$B$68*($DH$128*$CX147)+'LINEST VARS'!$A$68*(0.5*$CX147)</f>
        <v>149</v>
      </c>
      <c r="DI147" s="46">
        <f>'LINEST VARS'!$U$68+'LINEST VARS'!$T$68*(8)+'LINEST VARS'!$S$68*(8)+'LINEST VARS'!$R$68*($DI$128)+'LINEST VARS'!$Q$68*(0.5)+'LINEST VARS'!$P$68*($CX147)+'LINEST VARS'!$O$68*(8^2)+'LINEST VARS'!$N$68*(8^2)+'LINEST VARS'!$M$68*($DI$128^2)+'LINEST VARS'!$L$68*(0.5^2)+'LINEST VARS'!$K$68*($CX147^2)+'LINEST VARS'!$J$68*(8*8)+'LINEST VARS'!$I$68*(8*$DI$128)+'LINEST VARS'!$H$68*(8*0.5)+'LINEST VARS'!$G$68*(8*$CX147)+'LINEST VARS'!$F$68*(8*$DI$128)+'LINEST VARS'!$E$68*(8*0.5)+'LINEST VARS'!$D$68*(8*$CX147)+'LINEST VARS'!$C$68*($DI$128*0.5)+'LINEST VARS'!$B$68*($DI$128*$CX147)+'LINEST VARS'!$A$68*(0.5*$CX147)</f>
        <v>149</v>
      </c>
      <c r="DJ147" s="46">
        <f>'LINEST VARS'!$U$68+'LINEST VARS'!$T$68*(8)+'LINEST VARS'!$S$68*(8)+'LINEST VARS'!$R$68*($DJ$128)+'LINEST VARS'!$Q$68*(0.5)+'LINEST VARS'!$P$68*($CX147)+'LINEST VARS'!$O$68*(8^2)+'LINEST VARS'!$N$68*(8^2)+'LINEST VARS'!$M$68*($DJ$128^2)+'LINEST VARS'!$L$68*(0.5^2)+'LINEST VARS'!$K$68*($CX147^2)+'LINEST VARS'!$J$68*(8*8)+'LINEST VARS'!$I$68*(8*$DJ$128)+'LINEST VARS'!$H$68*(8*0.5)+'LINEST VARS'!$G$68*(8*$CX147)+'LINEST VARS'!$F$68*(8*$DJ$128)+'LINEST VARS'!$E$68*(8*0.5)+'LINEST VARS'!$D$68*(8*$CX147)+'LINEST VARS'!$C$68*($DJ$128*0.5)+'LINEST VARS'!$B$68*($DJ$128*$CX147)+'LINEST VARS'!$A$68*(0.5*$CX147)</f>
        <v>149</v>
      </c>
      <c r="DK147" s="46">
        <f>'LINEST VARS'!$U$68+'LINEST VARS'!$T$68*(8)+'LINEST VARS'!$S$68*(8)+'LINEST VARS'!$R$68*($DK$128)+'LINEST VARS'!$Q$68*(0.5)+'LINEST VARS'!$P$68*($CX147)+'LINEST VARS'!$O$68*(8^2)+'LINEST VARS'!$N$68*(8^2)+'LINEST VARS'!$M$68*($DK$128^2)+'LINEST VARS'!$L$68*(0.5^2)+'LINEST VARS'!$K$68*($CX147^2)+'LINEST VARS'!$J$68*(8*8)+'LINEST VARS'!$I$68*(8*$DK$128)+'LINEST VARS'!$H$68*(8*0.5)+'LINEST VARS'!$G$68*(8*$CX147)+'LINEST VARS'!$F$68*(8*$DK$128)+'LINEST VARS'!$E$68*(8*0.5)+'LINEST VARS'!$D$68*(8*$CX147)+'LINEST VARS'!$C$68*($DK$128*0.5)+'LINEST VARS'!$B$68*($DK$128*$CX147)+'LINEST VARS'!$A$68*(0.5*$CX147)</f>
        <v>149</v>
      </c>
      <c r="DL147" s="46">
        <f>'LINEST VARS'!$U$68+'LINEST VARS'!$T$68*(8)+'LINEST VARS'!$S$68*(8)+'LINEST VARS'!$R$68*($DL$128)+'LINEST VARS'!$Q$68*(0.5)+'LINEST VARS'!$P$68*($CX147)+'LINEST VARS'!$O$68*(8^2)+'LINEST VARS'!$N$68*(8^2)+'LINEST VARS'!$M$68*($DL$128^2)+'LINEST VARS'!$L$68*(0.5^2)+'LINEST VARS'!$K$68*($CX147^2)+'LINEST VARS'!$J$68*(8*8)+'LINEST VARS'!$I$68*(8*$DL$128)+'LINEST VARS'!$H$68*(8*0.5)+'LINEST VARS'!$G$68*(8*$CX147)+'LINEST VARS'!$F$68*(8*$DL$128)+'LINEST VARS'!$E$68*(8*0.5)+'LINEST VARS'!$D$68*(8*$CX147)+'LINEST VARS'!$C$68*($DL$128*0.5)+'LINEST VARS'!$B$68*($DL$128*$CX147)+'LINEST VARS'!$A$68*(0.5*$CX147)</f>
        <v>149</v>
      </c>
      <c r="DM147" s="46">
        <f>'LINEST VARS'!$U$68+'LINEST VARS'!$T$68*(8)+'LINEST VARS'!$S$68*(8)+'LINEST VARS'!$R$68*($DM$128)+'LINEST VARS'!$Q$68*(0.5)+'LINEST VARS'!$P$68*($CX147)+'LINEST VARS'!$O$68*(8^2)+'LINEST VARS'!$N$68*(8^2)+'LINEST VARS'!$M$68*($DM$128^2)+'LINEST VARS'!$L$68*(0.5^2)+'LINEST VARS'!$K$68*($CX147^2)+'LINEST VARS'!$J$68*(8*8)+'LINEST VARS'!$I$68*(8*$DM$128)+'LINEST VARS'!$H$68*(8*0.5)+'LINEST VARS'!$G$68*(8*$CX147)+'LINEST VARS'!$F$68*(8*$DM$128)+'LINEST VARS'!$E$68*(8*0.5)+'LINEST VARS'!$D$68*(8*$CX147)+'LINEST VARS'!$C$68*($DM$128*0.5)+'LINEST VARS'!$B$68*($DM$128*$CX147)+'LINEST VARS'!$A$68*(0.5*$CX147)</f>
        <v>149</v>
      </c>
      <c r="DN147" s="46">
        <f>'LINEST VARS'!$U$68+'LINEST VARS'!$T$68*(8)+'LINEST VARS'!$S$68*(8)+'LINEST VARS'!$R$68*($DN$128)+'LINEST VARS'!$Q$68*(0.5)+'LINEST VARS'!$P$68*($CX147)+'LINEST VARS'!$O$68*(8^2)+'LINEST VARS'!$N$68*(8^2)+'LINEST VARS'!$M$68*($DN$128^2)+'LINEST VARS'!$L$68*(0.5^2)+'LINEST VARS'!$K$68*($CX147^2)+'LINEST VARS'!$J$68*(8*8)+'LINEST VARS'!$I$68*(8*$DN$128)+'LINEST VARS'!$H$68*(8*0.5)+'LINEST VARS'!$G$68*(8*$CX147)+'LINEST VARS'!$F$68*(8*$DN$128)+'LINEST VARS'!$E$68*(8*0.5)+'LINEST VARS'!$D$68*(8*$CX147)+'LINEST VARS'!$C$68*($DN$128*0.5)+'LINEST VARS'!$B$68*($DN$128*$CX147)+'LINEST VARS'!$A$68*(0.5*$CX147)</f>
        <v>149</v>
      </c>
      <c r="DO147" s="46">
        <f>'LINEST VARS'!$U$68+'LINEST VARS'!$T$68*(8)+'LINEST VARS'!$S$68*(8)+'LINEST VARS'!$R$68*($DO$128)+'LINEST VARS'!$Q$68*(0.5)+'LINEST VARS'!$P$68*($CX147)+'LINEST VARS'!$O$68*(8^2)+'LINEST VARS'!$N$68*(8^2)+'LINEST VARS'!$M$68*($DO$128^2)+'LINEST VARS'!$L$68*(0.5^2)+'LINEST VARS'!$K$68*($CX147^2)+'LINEST VARS'!$J$68*(8*8)+'LINEST VARS'!$I$68*(8*$DO$128)+'LINEST VARS'!$H$68*(8*0.5)+'LINEST VARS'!$G$68*(8*$CX147)+'LINEST VARS'!$F$68*(8*$DO$128)+'LINEST VARS'!$E$68*(8*0.5)+'LINEST VARS'!$D$68*(8*$CX147)+'LINEST VARS'!$C$68*($DO$128*0.5)+'LINEST VARS'!$B$68*($DO$128*$CX147)+'LINEST VARS'!$A$68*(0.5*$CX147)</f>
        <v>149</v>
      </c>
      <c r="DP147" s="46">
        <f>'LINEST VARS'!$U$68+'LINEST VARS'!$T$68*(8)+'LINEST VARS'!$S$68*(8)+'LINEST VARS'!$R$68*($DP$128)+'LINEST VARS'!$Q$68*(0.5)+'LINEST VARS'!$P$68*($CX147)+'LINEST VARS'!$O$68*(8^2)+'LINEST VARS'!$N$68*(8^2)+'LINEST VARS'!$M$68*($DP$128^2)+'LINEST VARS'!$L$68*(0.5^2)+'LINEST VARS'!$K$68*($CX147^2)+'LINEST VARS'!$J$68*(8*8)+'LINEST VARS'!$I$68*(8*$DP$128)+'LINEST VARS'!$H$68*(8*0.5)+'LINEST VARS'!$G$68*(8*$CX147)+'LINEST VARS'!$F$68*(8*$DP$128)+'LINEST VARS'!$E$68*(8*0.5)+'LINEST VARS'!$D$68*(8*$CX147)+'LINEST VARS'!$C$68*($DP$128*0.5)+'LINEST VARS'!$B$68*($DP$128*$CX147)+'LINEST VARS'!$A$68*(0.5*$CX147)</f>
        <v>149</v>
      </c>
      <c r="DQ147" s="46">
        <f>'LINEST VARS'!$U$68+'LINEST VARS'!$T$68*(8)+'LINEST VARS'!$S$68*(8)+'LINEST VARS'!$R$68*($DQ$128)+'LINEST VARS'!$Q$68*(0.5)+'LINEST VARS'!$P$68*($CX147)+'LINEST VARS'!$O$68*(8^2)+'LINEST VARS'!$N$68*(8^2)+'LINEST VARS'!$M$68*($DQ$128^2)+'LINEST VARS'!$L$68*(0.5^2)+'LINEST VARS'!$K$68*($CX147^2)+'LINEST VARS'!$J$68*(8*8)+'LINEST VARS'!$I$68*(8*$DQ$128)+'LINEST VARS'!$H$68*(8*0.5)+'LINEST VARS'!$G$68*(8*$CX147)+'LINEST VARS'!$F$68*(8*$DQ$128)+'LINEST VARS'!$E$68*(8*0.5)+'LINEST VARS'!$D$68*(8*$CX147)+'LINEST VARS'!$C$68*($DQ$128*0.5)+'LINEST VARS'!$B$68*($DQ$128*$CX147)+'LINEST VARS'!$A$68*(0.5*$CX147)</f>
        <v>149</v>
      </c>
      <c r="DR147" s="46">
        <f>'LINEST VARS'!$U$68+'LINEST VARS'!$T$68*(8)+'LINEST VARS'!$S$68*(8)+'LINEST VARS'!$R$68*($DR$128)+'LINEST VARS'!$Q$68*(0.5)+'LINEST VARS'!$P$68*($CX147)+'LINEST VARS'!$O$68*(8^2)+'LINEST VARS'!$N$68*(8^2)+'LINEST VARS'!$M$68*($DR$128^2)+'LINEST VARS'!$L$68*(0.5^2)+'LINEST VARS'!$K$68*($CX147^2)+'LINEST VARS'!$J$68*(8*8)+'LINEST VARS'!$I$68*(8*$DR$128)+'LINEST VARS'!$H$68*(8*0.5)+'LINEST VARS'!$G$68*(8*$CX147)+'LINEST VARS'!$F$68*(8*$DR$128)+'LINEST VARS'!$E$68*(8*0.5)+'LINEST VARS'!$D$68*(8*$CX147)+'LINEST VARS'!$C$68*($DR$128*0.5)+'LINEST VARS'!$B$68*($DR$128*$CX147)+'LINEST VARS'!$A$68*(0.5*$CX147)</f>
        <v>149</v>
      </c>
      <c r="DS147" s="47">
        <f>'LINEST VARS'!$U$68+'LINEST VARS'!$T$68*(8)+'LINEST VARS'!$S$68*(8)+'LINEST VARS'!$R$68*($DS$128)+'LINEST VARS'!$Q$68*(0.5)+'LINEST VARS'!$P$68*($CX147)+'LINEST VARS'!$O$68*(8^2)+'LINEST VARS'!$N$68*(8^2)+'LINEST VARS'!$M$68*($DS$128^2)+'LINEST VARS'!$L$68*(0.5^2)+'LINEST VARS'!$K$68*($CX147^2)+'LINEST VARS'!$J$68*(8*8)+'LINEST VARS'!$I$68*(8*$DS$128)+'LINEST VARS'!$H$68*(8*0.5)+'LINEST VARS'!$G$68*(8*$CX147)+'LINEST VARS'!$F$68*(8*$DS$128)+'LINEST VARS'!$E$68*(8*0.5)+'LINEST VARS'!$D$68*(8*$CX147)+'LINEST VARS'!$C$68*($DS$128*0.5)+'LINEST VARS'!$B$68*($DS$128*$CX147)+'LINEST VARS'!$A$68*(0.5*$CX147)</f>
        <v>149</v>
      </c>
      <c r="DV147" s="45">
        <v>23.390999999999998</v>
      </c>
      <c r="DW147" s="46">
        <f>'LINEST VARS'!$U$70+'LINEST VARS'!$T$70*(8)+'LINEST VARS'!$S$70*(8)+'LINEST VARS'!$R$70*($DW$128)+'LINEST VARS'!$Q$70*(0.5)+'LINEST VARS'!$P$70*($DV147)+'LINEST VARS'!$O$70*(8^2)+'LINEST VARS'!$N$70*(8^2)+'LINEST VARS'!$M$70*($DW$128^2)+'LINEST VARS'!$L$70*(0.5^2)+'LINEST VARS'!$K$70*($DV147^2)+'LINEST VARS'!$J$70*(8*8)+'LINEST VARS'!$I$70*(8*$DW$128)+'LINEST VARS'!$H$70*(8*0.5)+'LINEST VARS'!$G$70*(8*$DV147)+'LINEST VARS'!$F$70*(8*$DW$128)+'LINEST VARS'!$E$70*(8*0.5)+'LINEST VARS'!$D$70*(8*$DV147)+'LINEST VARS'!$C$70*($DW$128*0.5)+'LINEST VARS'!$B$70*($DW$128*$DV147)+'LINEST VARS'!$A$70*(0.5*$DV147)</f>
        <v>92.000000000000014</v>
      </c>
      <c r="DX147" s="46">
        <f>'LINEST VARS'!$U$70+'LINEST VARS'!$T$70*(8)+'LINEST VARS'!$S$70*(8)+'LINEST VARS'!$R$70*($DX$128)+'LINEST VARS'!$Q$70*(0.5)+'LINEST VARS'!$P$70*($DV147)+'LINEST VARS'!$O$70*(8^2)+'LINEST VARS'!$N$70*(8^2)+'LINEST VARS'!$M$70*($DX$128^2)+'LINEST VARS'!$L$70*(0.5^2)+'LINEST VARS'!$K$70*($DV147^2)+'LINEST VARS'!$J$70*(8*8)+'LINEST VARS'!$I$70*(8*$DX$128)+'LINEST VARS'!$H$70*(8*0.5)+'LINEST VARS'!$G$70*(8*$DV147)+'LINEST VARS'!$F$70*(8*$DX$128)+'LINEST VARS'!$E$70*(8*0.5)+'LINEST VARS'!$D$70*(8*$DV147)+'LINEST VARS'!$C$70*($DX$128*0.5)+'LINEST VARS'!$B$70*($DX$128*$DV147)+'LINEST VARS'!$A$70*(0.5*$DV147)</f>
        <v>91.600000000000009</v>
      </c>
      <c r="DY147" s="46">
        <f>'LINEST VARS'!$U$70+'LINEST VARS'!$T$70*(8)+'LINEST VARS'!$S$70*(8)+'LINEST VARS'!$R$70*($DY$128)+'LINEST VARS'!$Q$70*(0.5)+'LINEST VARS'!$P$70*($DV147)+'LINEST VARS'!$O$70*(8^2)+'LINEST VARS'!$N$70*(8^2)+'LINEST VARS'!$M$70*($DY$128^2)+'LINEST VARS'!$L$70*(0.5^2)+'LINEST VARS'!$K$70*($DV147^2)+'LINEST VARS'!$J$70*(8*8)+'LINEST VARS'!$I$70*(8*$DY$128)+'LINEST VARS'!$H$70*(8*0.5)+'LINEST VARS'!$G$70*(8*$DV147)+'LINEST VARS'!$F$70*(8*$DY$128)+'LINEST VARS'!$E$70*(8*0.5)+'LINEST VARS'!$D$70*(8*$DV147)+'LINEST VARS'!$C$70*($DY$128*0.5)+'LINEST VARS'!$B$70*($DY$128*$DV147)+'LINEST VARS'!$A$70*(0.5*$DV147)</f>
        <v>91.200000000000017</v>
      </c>
      <c r="DZ147" s="46">
        <f>'LINEST VARS'!$U$70+'LINEST VARS'!$T$70*(8)+'LINEST VARS'!$S$70*(8)+'LINEST VARS'!$R$70*($DZ$128)+'LINEST VARS'!$Q$70*(0.5)+'LINEST VARS'!$P$70*($DV147)+'LINEST VARS'!$O$70*(8^2)+'LINEST VARS'!$N$70*(8^2)+'LINEST VARS'!$M$70*($DZ$128^2)+'LINEST VARS'!$L$70*(0.5^2)+'LINEST VARS'!$K$70*($DV147^2)+'LINEST VARS'!$J$70*(8*8)+'LINEST VARS'!$I$70*(8*$DZ$128)+'LINEST VARS'!$H$70*(8*0.5)+'LINEST VARS'!$G$70*(8*$DV147)+'LINEST VARS'!$F$70*(8*$DZ$128)+'LINEST VARS'!$E$70*(8*0.5)+'LINEST VARS'!$D$70*(8*$DV147)+'LINEST VARS'!$C$70*($DZ$128*0.5)+'LINEST VARS'!$B$70*($DZ$128*$DV147)+'LINEST VARS'!$A$70*(0.5*$DV147)</f>
        <v>90.800000000000011</v>
      </c>
      <c r="EA147" s="46">
        <f>'LINEST VARS'!$U$70+'LINEST VARS'!$T$70*(8)+'LINEST VARS'!$S$70*(8)+'LINEST VARS'!$R$70*($EA$128)+'LINEST VARS'!$Q$70*(0.5)+'LINEST VARS'!$P$70*($DV147)+'LINEST VARS'!$O$70*(8^2)+'LINEST VARS'!$N$70*(8^2)+'LINEST VARS'!$M$70*($EA$128^2)+'LINEST VARS'!$L$70*(0.5^2)+'LINEST VARS'!$K$70*($DV147^2)+'LINEST VARS'!$J$70*(8*8)+'LINEST VARS'!$I$70*(8*$EA$128)+'LINEST VARS'!$H$70*(8*0.5)+'LINEST VARS'!$G$70*(8*$DV147)+'LINEST VARS'!$F$70*(8*$EA$128)+'LINEST VARS'!$E$70*(8*0.5)+'LINEST VARS'!$D$70*(8*$DV147)+'LINEST VARS'!$C$70*($EA$128*0.5)+'LINEST VARS'!$B$70*($EA$128*$DV147)+'LINEST VARS'!$A$70*(0.5*$DV147)</f>
        <v>90.40000000000002</v>
      </c>
      <c r="EB147" s="46">
        <f>'LINEST VARS'!$U$70+'LINEST VARS'!$T$70*(8)+'LINEST VARS'!$S$70*(8)+'LINEST VARS'!$R$70*($EB$128)+'LINEST VARS'!$Q$70*(0.5)+'LINEST VARS'!$P$70*($DV147)+'LINEST VARS'!$O$70*(8^2)+'LINEST VARS'!$N$70*(8^2)+'LINEST VARS'!$M$70*($EB$128^2)+'LINEST VARS'!$L$70*(0.5^2)+'LINEST VARS'!$K$70*($DV147^2)+'LINEST VARS'!$J$70*(8*8)+'LINEST VARS'!$I$70*(8*$EB$128)+'LINEST VARS'!$H$70*(8*0.5)+'LINEST VARS'!$G$70*(8*$DV147)+'LINEST VARS'!$F$70*(8*$EB$128)+'LINEST VARS'!$E$70*(8*0.5)+'LINEST VARS'!$D$70*(8*$DV147)+'LINEST VARS'!$C$70*($EB$128*0.5)+'LINEST VARS'!$B$70*($EB$128*$DV147)+'LINEST VARS'!$A$70*(0.5*$DV147)</f>
        <v>90.000000000000014</v>
      </c>
      <c r="EC147" s="46">
        <f>'LINEST VARS'!$U$70+'LINEST VARS'!$T$70*(8)+'LINEST VARS'!$S$70*(8)+'LINEST VARS'!$R$70*($EC$128)+'LINEST VARS'!$Q$70*(0.5)+'LINEST VARS'!$P$70*($DV147)+'LINEST VARS'!$O$70*(8^2)+'LINEST VARS'!$N$70*(8^2)+'LINEST VARS'!$M$70*($EC$128^2)+'LINEST VARS'!$L$70*(0.5^2)+'LINEST VARS'!$K$70*($DV147^2)+'LINEST VARS'!$J$70*(8*8)+'LINEST VARS'!$I$70*(8*$EC$128)+'LINEST VARS'!$H$70*(8*0.5)+'LINEST VARS'!$G$70*(8*$DV147)+'LINEST VARS'!$F$70*(8*$EC$128)+'LINEST VARS'!$E$70*(8*0.5)+'LINEST VARS'!$D$70*(8*$DV147)+'LINEST VARS'!$C$70*($EC$128*0.5)+'LINEST VARS'!$B$70*($EC$128*$DV147)+'LINEST VARS'!$A$70*(0.5*$DV147)</f>
        <v>89.600000000000023</v>
      </c>
      <c r="ED147" s="46">
        <f>'LINEST VARS'!$U$70+'LINEST VARS'!$T$70*(8)+'LINEST VARS'!$S$70*(8)+'LINEST VARS'!$R$70*($ED$128)+'LINEST VARS'!$Q$70*(0.5)+'LINEST VARS'!$P$70*($DV147)+'LINEST VARS'!$O$70*(8^2)+'LINEST VARS'!$N$70*(8^2)+'LINEST VARS'!$M$70*($ED$128^2)+'LINEST VARS'!$L$70*(0.5^2)+'LINEST VARS'!$K$70*($DV147^2)+'LINEST VARS'!$J$70*(8*8)+'LINEST VARS'!$I$70*(8*$ED$128)+'LINEST VARS'!$H$70*(8*0.5)+'LINEST VARS'!$G$70*(8*$DV147)+'LINEST VARS'!$F$70*(8*$ED$128)+'LINEST VARS'!$E$70*(8*0.5)+'LINEST VARS'!$D$70*(8*$DV147)+'LINEST VARS'!$C$70*($ED$128*0.5)+'LINEST VARS'!$B$70*($ED$128*$DV147)+'LINEST VARS'!$A$70*(0.5*$DV147)</f>
        <v>89.200000000000017</v>
      </c>
      <c r="EE147" s="46">
        <f>'LINEST VARS'!$U$70+'LINEST VARS'!$T$70*(8)+'LINEST VARS'!$S$70*(8)+'LINEST VARS'!$R$70*($EE$128)+'LINEST VARS'!$Q$70*(0.5)+'LINEST VARS'!$P$70*($DV147)+'LINEST VARS'!$O$70*(8^2)+'LINEST VARS'!$N$70*(8^2)+'LINEST VARS'!$M$70*($EE$128^2)+'LINEST VARS'!$L$70*(0.5^2)+'LINEST VARS'!$K$70*($DV147^2)+'LINEST VARS'!$J$70*(8*8)+'LINEST VARS'!$I$70*(8*$EE$128)+'LINEST VARS'!$H$70*(8*0.5)+'LINEST VARS'!$G$70*(8*$DV147)+'LINEST VARS'!$F$70*(8*$EE$128)+'LINEST VARS'!$E$70*(8*0.5)+'LINEST VARS'!$D$70*(8*$DV147)+'LINEST VARS'!$C$70*($EE$128*0.5)+'LINEST VARS'!$B$70*($EE$128*$DV147)+'LINEST VARS'!$A$70*(0.5*$DV147)</f>
        <v>88.800000000000026</v>
      </c>
      <c r="EF147" s="46">
        <f>'LINEST VARS'!$U$70+'LINEST VARS'!$T$70*(8)+'LINEST VARS'!$S$70*(8)+'LINEST VARS'!$R$70*($EF$128)+'LINEST VARS'!$Q$70*(0.5)+'LINEST VARS'!$P$70*($DV147)+'LINEST VARS'!$O$70*(8^2)+'LINEST VARS'!$N$70*(8^2)+'LINEST VARS'!$M$70*($EF$128^2)+'LINEST VARS'!$L$70*(0.5^2)+'LINEST VARS'!$K$70*($DV147^2)+'LINEST VARS'!$J$70*(8*8)+'LINEST VARS'!$I$70*(8*$EF$128)+'LINEST VARS'!$H$70*(8*0.5)+'LINEST VARS'!$G$70*(8*$DV147)+'LINEST VARS'!$F$70*(8*$EF$128)+'LINEST VARS'!$E$70*(8*0.5)+'LINEST VARS'!$D$70*(8*$DV147)+'LINEST VARS'!$C$70*($EF$128*0.5)+'LINEST VARS'!$B$70*($EF$128*$DV147)+'LINEST VARS'!$A$70*(0.5*$DV147)</f>
        <v>88.40000000000002</v>
      </c>
      <c r="EG147" s="46">
        <f>'LINEST VARS'!$U$70+'LINEST VARS'!$T$70*(8)+'LINEST VARS'!$S$70*(8)+'LINEST VARS'!$R$70*($EG$128)+'LINEST VARS'!$Q$70*(0.5)+'LINEST VARS'!$P$70*($DV147)+'LINEST VARS'!$O$70*(8^2)+'LINEST VARS'!$N$70*(8^2)+'LINEST VARS'!$M$70*($EG$128^2)+'LINEST VARS'!$L$70*(0.5^2)+'LINEST VARS'!$K$70*($DV147^2)+'LINEST VARS'!$J$70*(8*8)+'LINEST VARS'!$I$70*(8*$EG$128)+'LINEST VARS'!$H$70*(8*0.5)+'LINEST VARS'!$G$70*(8*$DV147)+'LINEST VARS'!$F$70*(8*$EG$128)+'LINEST VARS'!$E$70*(8*0.5)+'LINEST VARS'!$D$70*(8*$DV147)+'LINEST VARS'!$C$70*($EG$128*0.5)+'LINEST VARS'!$B$70*($EG$128*$DV147)+'LINEST VARS'!$A$70*(0.5*$DV147)</f>
        <v>88.000000000000014</v>
      </c>
      <c r="EH147" s="46">
        <f>'LINEST VARS'!$U$70+'LINEST VARS'!$T$70*(8)+'LINEST VARS'!$S$70*(8)+'LINEST VARS'!$R$70*($EH$128)+'LINEST VARS'!$Q$70*(0.5)+'LINEST VARS'!$P$70*($DV147)+'LINEST VARS'!$O$70*(8^2)+'LINEST VARS'!$N$70*(8^2)+'LINEST VARS'!$M$70*($EH$128^2)+'LINEST VARS'!$L$70*(0.5^2)+'LINEST VARS'!$K$70*($DV147^2)+'LINEST VARS'!$J$70*(8*8)+'LINEST VARS'!$I$70*(8*$EH$128)+'LINEST VARS'!$H$70*(8*0.5)+'LINEST VARS'!$G$70*(8*$DV147)+'LINEST VARS'!$F$70*(8*$EH$128)+'LINEST VARS'!$E$70*(8*0.5)+'LINEST VARS'!$D$70*(8*$DV147)+'LINEST VARS'!$C$70*($EH$128*0.5)+'LINEST VARS'!$B$70*($EH$128*$DV147)+'LINEST VARS'!$A$70*(0.5*$DV147)</f>
        <v>87.600000000000023</v>
      </c>
      <c r="EI147" s="46">
        <f>'LINEST VARS'!$U$70+'LINEST VARS'!$T$70*(8)+'LINEST VARS'!$S$70*(8)+'LINEST VARS'!$R$70*($EI$128)+'LINEST VARS'!$Q$70*(0.5)+'LINEST VARS'!$P$70*($DV147)+'LINEST VARS'!$O$70*(8^2)+'LINEST VARS'!$N$70*(8^2)+'LINEST VARS'!$M$70*($EI$128^2)+'LINEST VARS'!$L$70*(0.5^2)+'LINEST VARS'!$K$70*($DV147^2)+'LINEST VARS'!$J$70*(8*8)+'LINEST VARS'!$I$70*(8*$EI$128)+'LINEST VARS'!$H$70*(8*0.5)+'LINEST VARS'!$G$70*(8*$DV147)+'LINEST VARS'!$F$70*(8*$EI$128)+'LINEST VARS'!$E$70*(8*0.5)+'LINEST VARS'!$D$70*(8*$DV147)+'LINEST VARS'!$C$70*($EI$128*0.5)+'LINEST VARS'!$B$70*($EI$128*$DV147)+'LINEST VARS'!$A$70*(0.5*$DV147)</f>
        <v>87.200000000000017</v>
      </c>
      <c r="EJ147" s="46">
        <f>'LINEST VARS'!$U$70+'LINEST VARS'!$T$70*(8)+'LINEST VARS'!$S$70*(8)+'LINEST VARS'!$R$70*($EJ$128)+'LINEST VARS'!$Q$70*(0.5)+'LINEST VARS'!$P$70*($DV147)+'LINEST VARS'!$O$70*(8^2)+'LINEST VARS'!$N$70*(8^2)+'LINEST VARS'!$M$70*($EJ$128^2)+'LINEST VARS'!$L$70*(0.5^2)+'LINEST VARS'!$K$70*($DV147^2)+'LINEST VARS'!$J$70*(8*8)+'LINEST VARS'!$I$70*(8*$EJ$128)+'LINEST VARS'!$H$70*(8*0.5)+'LINEST VARS'!$G$70*(8*$DV147)+'LINEST VARS'!$F$70*(8*$EJ$128)+'LINEST VARS'!$E$70*(8*0.5)+'LINEST VARS'!$D$70*(8*$DV147)+'LINEST VARS'!$C$70*($EJ$128*0.5)+'LINEST VARS'!$B$70*($EJ$128*$DV147)+'LINEST VARS'!$A$70*(0.5*$DV147)</f>
        <v>86.800000000000026</v>
      </c>
      <c r="EK147" s="46">
        <f>'LINEST VARS'!$U$70+'LINEST VARS'!$T$70*(8)+'LINEST VARS'!$S$70*(8)+'LINEST VARS'!$R$70*($EK$128)+'LINEST VARS'!$Q$70*(0.5)+'LINEST VARS'!$P$70*($DV147)+'LINEST VARS'!$O$70*(8^2)+'LINEST VARS'!$N$70*(8^2)+'LINEST VARS'!$M$70*($EK$128^2)+'LINEST VARS'!$L$70*(0.5^2)+'LINEST VARS'!$K$70*($DV147^2)+'LINEST VARS'!$J$70*(8*8)+'LINEST VARS'!$I$70*(8*$EK$128)+'LINEST VARS'!$H$70*(8*0.5)+'LINEST VARS'!$G$70*(8*$DV147)+'LINEST VARS'!$F$70*(8*$EK$128)+'LINEST VARS'!$E$70*(8*0.5)+'LINEST VARS'!$D$70*(8*$DV147)+'LINEST VARS'!$C$70*($EK$128*0.5)+'LINEST VARS'!$B$70*($EK$128*$DV147)+'LINEST VARS'!$A$70*(0.5*$DV147)</f>
        <v>86.40000000000002</v>
      </c>
      <c r="EL147" s="46">
        <f>'LINEST VARS'!$U$70+'LINEST VARS'!$T$70*(8)+'LINEST VARS'!$S$70*(8)+'LINEST VARS'!$R$70*($EL$128)+'LINEST VARS'!$Q$70*(0.5)+'LINEST VARS'!$P$70*($DV147)+'LINEST VARS'!$O$70*(8^2)+'LINEST VARS'!$N$70*(8^2)+'LINEST VARS'!$M$70*($EL$128^2)+'LINEST VARS'!$L$70*(0.5^2)+'LINEST VARS'!$K$70*($DV147^2)+'LINEST VARS'!$J$70*(8*8)+'LINEST VARS'!$I$70*(8*$EL$128)+'LINEST VARS'!$H$70*(8*0.5)+'LINEST VARS'!$G$70*(8*$DV147)+'LINEST VARS'!$F$70*(8*$EL$128)+'LINEST VARS'!$E$70*(8*0.5)+'LINEST VARS'!$D$70*(8*$DV147)+'LINEST VARS'!$C$70*($EL$128*0.5)+'LINEST VARS'!$B$70*($EL$128*$DV147)+'LINEST VARS'!$A$70*(0.5*$DV147)</f>
        <v>86.000000000000014</v>
      </c>
      <c r="EM147" s="46">
        <f>'LINEST VARS'!$U$70+'LINEST VARS'!$T$70*(8)+'LINEST VARS'!$S$70*(8)+'LINEST VARS'!$R$70*($EM$128)+'LINEST VARS'!$Q$70*(0.5)+'LINEST VARS'!$P$70*($DV147)+'LINEST VARS'!$O$70*(8^2)+'LINEST VARS'!$N$70*(8^2)+'LINEST VARS'!$M$70*($EM$128^2)+'LINEST VARS'!$L$70*(0.5^2)+'LINEST VARS'!$K$70*($DV147^2)+'LINEST VARS'!$J$70*(8*8)+'LINEST VARS'!$I$70*(8*$EM$128)+'LINEST VARS'!$H$70*(8*0.5)+'LINEST VARS'!$G$70*(8*$DV147)+'LINEST VARS'!$F$70*(8*$EM$128)+'LINEST VARS'!$E$70*(8*0.5)+'LINEST VARS'!$D$70*(8*$DV147)+'LINEST VARS'!$C$70*($EM$128*0.5)+'LINEST VARS'!$B$70*($EM$128*$DV147)+'LINEST VARS'!$A$70*(0.5*$DV147)</f>
        <v>85.600000000000009</v>
      </c>
      <c r="EN147" s="46">
        <f>'LINEST VARS'!$U$70+'LINEST VARS'!$T$70*(8)+'LINEST VARS'!$S$70*(8)+'LINEST VARS'!$R$70*($EN$128)+'LINEST VARS'!$Q$70*(0.5)+'LINEST VARS'!$P$70*($DV147)+'LINEST VARS'!$O$70*(8^2)+'LINEST VARS'!$N$70*(8^2)+'LINEST VARS'!$M$70*($EN$128^2)+'LINEST VARS'!$L$70*(0.5^2)+'LINEST VARS'!$K$70*($DV147^2)+'LINEST VARS'!$J$70*(8*8)+'LINEST VARS'!$I$70*(8*$EN$128)+'LINEST VARS'!$H$70*(8*0.5)+'LINEST VARS'!$G$70*(8*$DV147)+'LINEST VARS'!$F$70*(8*$EN$128)+'LINEST VARS'!$E$70*(8*0.5)+'LINEST VARS'!$D$70*(8*$DV147)+'LINEST VARS'!$C$70*($EN$128*0.5)+'LINEST VARS'!$B$70*($EN$128*$DV147)+'LINEST VARS'!$A$70*(0.5*$DV147)</f>
        <v>85.200000000000017</v>
      </c>
      <c r="EO147" s="46">
        <f>'LINEST VARS'!$U$70+'LINEST VARS'!$T$70*(8)+'LINEST VARS'!$S$70*(8)+'LINEST VARS'!$R$70*($EO$128)+'LINEST VARS'!$Q$70*(0.5)+'LINEST VARS'!$P$70*($DV147)+'LINEST VARS'!$O$70*(8^2)+'LINEST VARS'!$N$70*(8^2)+'LINEST VARS'!$M$70*($EO$128^2)+'LINEST VARS'!$L$70*(0.5^2)+'LINEST VARS'!$K$70*($DV147^2)+'LINEST VARS'!$J$70*(8*8)+'LINEST VARS'!$I$70*(8*$EO$128)+'LINEST VARS'!$H$70*(8*0.5)+'LINEST VARS'!$G$70*(8*$DV147)+'LINEST VARS'!$F$70*(8*$EO$128)+'LINEST VARS'!$E$70*(8*0.5)+'LINEST VARS'!$D$70*(8*$DV147)+'LINEST VARS'!$C$70*($EO$128*0.5)+'LINEST VARS'!$B$70*($EO$128*$DV147)+'LINEST VARS'!$A$70*(0.5*$DV147)</f>
        <v>84.800000000000011</v>
      </c>
      <c r="EP147" s="46">
        <f>'LINEST VARS'!$U$70+'LINEST VARS'!$T$70*(8)+'LINEST VARS'!$S$70*(8)+'LINEST VARS'!$R$70*($EP$128)+'LINEST VARS'!$Q$70*(0.5)+'LINEST VARS'!$P$70*($DV147)+'LINEST VARS'!$O$70*(8^2)+'LINEST VARS'!$N$70*(8^2)+'LINEST VARS'!$M$70*($EP$128^2)+'LINEST VARS'!$L$70*(0.5^2)+'LINEST VARS'!$K$70*($DV147^2)+'LINEST VARS'!$J$70*(8*8)+'LINEST VARS'!$I$70*(8*$EP$128)+'LINEST VARS'!$H$70*(8*0.5)+'LINEST VARS'!$G$70*(8*$DV147)+'LINEST VARS'!$F$70*(8*$EP$128)+'LINEST VARS'!$E$70*(8*0.5)+'LINEST VARS'!$D$70*(8*$DV147)+'LINEST VARS'!$C$70*($EP$128*0.5)+'LINEST VARS'!$B$70*($EP$128*$DV147)+'LINEST VARS'!$A$70*(0.5*$DV147)</f>
        <v>84.400000000000034</v>
      </c>
      <c r="EQ147" s="47">
        <f>'LINEST VARS'!$U$70+'LINEST VARS'!$T$70*(8)+'LINEST VARS'!$S$70*(8)+'LINEST VARS'!$R$70*($EQ$128)+'LINEST VARS'!$Q$70*(0.5)+'LINEST VARS'!$P$70*($DV147)+'LINEST VARS'!$O$70*(8^2)+'LINEST VARS'!$N$70*(8^2)+'LINEST VARS'!$M$70*($EQ$128^2)+'LINEST VARS'!$L$70*(0.5^2)+'LINEST VARS'!$K$70*($DV147^2)+'LINEST VARS'!$J$70*(8*8)+'LINEST VARS'!$I$70*(8*$EQ$128)+'LINEST VARS'!$H$70*(8*0.5)+'LINEST VARS'!$G$70*(8*$DV147)+'LINEST VARS'!$F$70*(8*$EQ$128)+'LINEST VARS'!$E$70*(8*0.5)+'LINEST VARS'!$D$70*(8*$DV147)+'LINEST VARS'!$C$70*($EQ$128*0.5)+'LINEST VARS'!$B$70*($EQ$128*$DV147)+'LINEST VARS'!$A$70*(0.5*$DV147)</f>
        <v>84.000000000000028</v>
      </c>
    </row>
    <row r="148" spans="2:147" ht="15" customHeight="1" x14ac:dyDescent="0.25">
      <c r="B148" s="45">
        <v>8.5399999999999991</v>
      </c>
      <c r="C148" s="46">
        <f>'LINEST VARS'!$U$68+'LINEST VARS'!$T$68*($C$128)+'LINEST VARS'!$S$68*($B148)+'LINEST VARS'!$R$68*(4)+'LINEST VARS'!$Q$68*(0.5)+'LINEST VARS'!$P$68*(12.73)+'LINEST VARS'!$O$68*($C$128^2)+'LINEST VARS'!$N$68*($B148^2)+'LINEST VARS'!$M$68*(4^2)+'LINEST VARS'!$L$68*(0.5^2)+'LINEST VARS'!$K$68*(12.73^2)+'LINEST VARS'!$J$68*($C$128*$B148)+'LINEST VARS'!$I$68*($C$128*4)+'LINEST VARS'!$H$68*($C$128*0.5)+'LINEST VARS'!$G$68*($C$128*12.73)+'LINEST VARS'!$F$68*($B148*4)+'LINEST VARS'!$E$68*($B148*0.5)+'LINEST VARS'!$D$68*($B148*12.73)+'LINEST VARS'!$C$68*(4*0.5)+'LINEST VARS'!$B$68*(4*12.73)+'LINEST VARS'!$A$68*(0.5*12.73)</f>
        <v>149</v>
      </c>
      <c r="D148" s="46">
        <f>'LINEST VARS'!$U$68+'LINEST VARS'!$T$68*($D$128)+'LINEST VARS'!$S$68*($B148)+'LINEST VARS'!$R$68*(4)+'LINEST VARS'!$Q$68*(0.5)+'LINEST VARS'!$P$68*(12.73)+'LINEST VARS'!$O$68*($D$128^2)+'LINEST VARS'!$N$68*($B148^2)+'LINEST VARS'!$M$68*(4^2)+'LINEST VARS'!$L$68*(0.5^2)+'LINEST VARS'!$K$68*(12.73^2)+'LINEST VARS'!$J$68*($D$128*$B148)+'LINEST VARS'!$I$68*($D$128*4)+'LINEST VARS'!$H$68*($D$128*0.5)+'LINEST VARS'!$G$68*($D$128*12.73)+'LINEST VARS'!$F$68*($B148*4)+'LINEST VARS'!$E$68*($B148*0.5)+'LINEST VARS'!$D$68*($B148*12.73)+'LINEST VARS'!$C$68*(4*0.5)+'LINEST VARS'!$B$68*(4*12.73)+'LINEST VARS'!$A$68*(0.5*12.73)</f>
        <v>149</v>
      </c>
      <c r="E148" s="46">
        <f>'LINEST VARS'!$U$68+'LINEST VARS'!$T$68*($E$128)+'LINEST VARS'!$S$68*($B148)+'LINEST VARS'!$R$68*(4)+'LINEST VARS'!$Q$68*(0.5)+'LINEST VARS'!$P$68*(12.73)+'LINEST VARS'!$O$68*($E$128^2)+'LINEST VARS'!$N$68*($B148^2)+'LINEST VARS'!$M$68*(4^2)+'LINEST VARS'!$L$68*(0.5^2)+'LINEST VARS'!$K$68*(12.73^2)+'LINEST VARS'!$J$68*($E$128*$B148)+'LINEST VARS'!$I$68*($E$128*4)+'LINEST VARS'!$H$68*($E$128*0.5)+'LINEST VARS'!$G$68*($E$128*12.73)+'LINEST VARS'!$F$68*($B148*4)+'LINEST VARS'!$E$68*($B148*0.5)+'LINEST VARS'!$D$68*($B148*12.73)+'LINEST VARS'!$C$68*(4*0.5)+'LINEST VARS'!$B$68*(4*12.73)+'LINEST VARS'!$A$68*(0.5*12.73)</f>
        <v>149</v>
      </c>
      <c r="F148" s="46">
        <f>'LINEST VARS'!$U$68+'LINEST VARS'!$T$68*($F$128)+'LINEST VARS'!$S$68*($B148)+'LINEST VARS'!$R$68*(4)+'LINEST VARS'!$Q$68*(0.5)+'LINEST VARS'!$P$68*(12.73)+'LINEST VARS'!$O$68*($F$128^2)+'LINEST VARS'!$N$68*($B148^2)+'LINEST VARS'!$M$68*(4^2)+'LINEST VARS'!$L$68*(0.5^2)+'LINEST VARS'!$K$68*(12.73^2)+'LINEST VARS'!$J$68*($F$128*$B148)+'LINEST VARS'!$I$68*($F$128*4)+'LINEST VARS'!$H$68*($F$128*0.5)+'LINEST VARS'!$G$68*($F$128*12.73)+'LINEST VARS'!$F$68*($B148*4)+'LINEST VARS'!$E$68*($B148*0.5)+'LINEST VARS'!$D$68*($B148*12.73)+'LINEST VARS'!$C$68*(4*0.5)+'LINEST VARS'!$B$68*(4*12.73)+'LINEST VARS'!$A$68*(0.5*12.73)</f>
        <v>149</v>
      </c>
      <c r="G148" s="46">
        <f>'LINEST VARS'!$U$68+'LINEST VARS'!$T$68*($G$128)+'LINEST VARS'!$S$68*($B148)+'LINEST VARS'!$R$68*(4)+'LINEST VARS'!$Q$68*(0.5)+'LINEST VARS'!$P$68*(12.73)+'LINEST VARS'!$O$68*($G$128^2)+'LINEST VARS'!$N$68*($B148^2)+'LINEST VARS'!$M$68*(4^2)+'LINEST VARS'!$L$68*(0.5^2)+'LINEST VARS'!$K$68*(12.73^2)+'LINEST VARS'!$J$68*($G$128*$B148)+'LINEST VARS'!$I$68*($G$128*4)+'LINEST VARS'!$H$68*($G$128*0.5)+'LINEST VARS'!$G$68*($G$128*12.73)+'LINEST VARS'!$F$68*($B148*4)+'LINEST VARS'!$E$68*($B148*0.5)+'LINEST VARS'!$D$68*($B148*12.73)+'LINEST VARS'!$C$68*(4*0.5)+'LINEST VARS'!$B$68*(4*12.73)+'LINEST VARS'!$A$68*(0.5*12.73)</f>
        <v>149</v>
      </c>
      <c r="H148" s="46">
        <f>'LINEST VARS'!$U$68+'LINEST VARS'!$T$68*($H$128)+'LINEST VARS'!$S$68*($B148)+'LINEST VARS'!$R$68*(4)+'LINEST VARS'!$Q$68*(0.5)+'LINEST VARS'!$P$68*(12.73)+'LINEST VARS'!$O$68*($H$128^2)+'LINEST VARS'!$N$68*($B148^2)+'LINEST VARS'!$M$68*(4^2)+'LINEST VARS'!$L$68*(0.5^2)+'LINEST VARS'!$K$68*(12.73^2)+'LINEST VARS'!$J$68*($H$128*$B148)+'LINEST VARS'!$I$68*($H$128*4)+'LINEST VARS'!$H$68*($H$128*0.5)+'LINEST VARS'!$G$68*($H$128*12.73)+'LINEST VARS'!$F$68*($B148*4)+'LINEST VARS'!$E$68*($B148*0.5)+'LINEST VARS'!$D$68*($B148*12.73)+'LINEST VARS'!$C$68*(4*0.5)+'LINEST VARS'!$B$68*(4*12.73)+'LINEST VARS'!$A$68*(0.5*12.73)</f>
        <v>149</v>
      </c>
      <c r="I148" s="46">
        <f>'LINEST VARS'!$U$68+'LINEST VARS'!$T$68*($I$128)+'LINEST VARS'!$S$68*($B148)+'LINEST VARS'!$R$68*(4)+'LINEST VARS'!$Q$68*(0.5)+'LINEST VARS'!$P$68*(12.73)+'LINEST VARS'!$O$68*($I$128^2)+'LINEST VARS'!$N$68*($B148^2)+'LINEST VARS'!$M$68*(4^2)+'LINEST VARS'!$L$68*(0.5^2)+'LINEST VARS'!$K$68*(12.73^2)+'LINEST VARS'!$J$68*($I$128*$B148)+'LINEST VARS'!$I$68*($I$128*4)+'LINEST VARS'!$H$68*($I$128*0.5)+'LINEST VARS'!$G$68*($I$128*12.73)+'LINEST VARS'!$F$68*($B148*4)+'LINEST VARS'!$E$68*($B148*0.5)+'LINEST VARS'!$D$68*($B148*12.73)+'LINEST VARS'!$C$68*(4*0.5)+'LINEST VARS'!$B$68*(4*12.73)+'LINEST VARS'!$A$68*(0.5*12.73)</f>
        <v>149</v>
      </c>
      <c r="J148" s="46">
        <f>'LINEST VARS'!$U$68+'LINEST VARS'!$T$68*($J$128)+'LINEST VARS'!$S$68*($B148)+'LINEST VARS'!$R$68*(4)+'LINEST VARS'!$Q$68*(0.5)+'LINEST VARS'!$P$68*(12.73)+'LINEST VARS'!$O$68*($J$128^2)+'LINEST VARS'!$N$68*($B148^2)+'LINEST VARS'!$M$68*(4^2)+'LINEST VARS'!$L$68*(0.5^2)+'LINEST VARS'!$K$68*(12.73^2)+'LINEST VARS'!$J$68*($J$128*$B148)+'LINEST VARS'!$I$68*($J$128*4)+'LINEST VARS'!$H$68*($J$128*0.5)+'LINEST VARS'!$G$68*($J$128*12.73)+'LINEST VARS'!$F$68*($B148*4)+'LINEST VARS'!$E$68*($B148*0.5)+'LINEST VARS'!$D$68*($B148*12.73)+'LINEST VARS'!$C$68*(4*0.5)+'LINEST VARS'!$B$68*(4*12.73)+'LINEST VARS'!$A$68*(0.5*12.73)</f>
        <v>149</v>
      </c>
      <c r="K148" s="46">
        <f>'LINEST VARS'!$U$68+'LINEST VARS'!$T$68*($K$128)+'LINEST VARS'!$S$68*($B148)+'LINEST VARS'!$R$68*(4)+'LINEST VARS'!$Q$68*(0.5)+'LINEST VARS'!$P$68*(12.73)+'LINEST VARS'!$O$68*($K$128^2)+'LINEST VARS'!$N$68*($B148^2)+'LINEST VARS'!$M$68*(4^2)+'LINEST VARS'!$L$68*(0.5^2)+'LINEST VARS'!$K$68*(12.73^2)+'LINEST VARS'!$J$68*($K$128*$B148)+'LINEST VARS'!$I$68*($K$128*4)+'LINEST VARS'!$H$68*($K$128*0.5)+'LINEST VARS'!$G$68*($K$128*12.73)+'LINEST VARS'!$F$68*($B148*4)+'LINEST VARS'!$E$68*($B148*0.5)+'LINEST VARS'!$D$68*($B148*12.73)+'LINEST VARS'!$C$68*(4*0.5)+'LINEST VARS'!$B$68*(4*12.73)+'LINEST VARS'!$A$68*(0.5*12.73)</f>
        <v>149</v>
      </c>
      <c r="L148" s="46">
        <f>'LINEST VARS'!$U$68+'LINEST VARS'!$T$68*($L$128)+'LINEST VARS'!$S$68*($B148)+'LINEST VARS'!$R$68*(4)+'LINEST VARS'!$Q$68*(0.5)+'LINEST VARS'!$P$68*(12.73)+'LINEST VARS'!$O$68*($L$128^2)+'LINEST VARS'!$N$68*($B148^2)+'LINEST VARS'!$M$68*(4^2)+'LINEST VARS'!$L$68*(0.5^2)+'LINEST VARS'!$K$68*(12.73^2)+'LINEST VARS'!$J$68*($L$128*$B148)+'LINEST VARS'!$I$68*($L$128*4)+'LINEST VARS'!$H$68*($L$128*0.5)+'LINEST VARS'!$G$68*($L$128*12.73)+'LINEST VARS'!$F$68*($B148*4)+'LINEST VARS'!$E$68*($B148*0.5)+'LINEST VARS'!$D$68*($B148*12.73)+'LINEST VARS'!$C$68*(4*0.5)+'LINEST VARS'!$B$68*(4*12.73)+'LINEST VARS'!$A$68*(0.5*12.73)</f>
        <v>149</v>
      </c>
      <c r="M148" s="46">
        <f>'LINEST VARS'!$U$68+'LINEST VARS'!$T$68*($M$128)+'LINEST VARS'!$S$68*($B148)+'LINEST VARS'!$R$68*(4)+'LINEST VARS'!$Q$68*(0.5)+'LINEST VARS'!$P$68*(12.73)+'LINEST VARS'!$O$68*($M$128^2)+'LINEST VARS'!$N$68*($B148^2)+'LINEST VARS'!$M$68*(4^2)+'LINEST VARS'!$L$68*(0.5^2)+'LINEST VARS'!$K$68*(12.73^2)+'LINEST VARS'!$J$68*($M$128*$B148)+'LINEST VARS'!$I$68*($M$128*4)+'LINEST VARS'!$H$68*($M$128*0.5)+'LINEST VARS'!$G$68*($M$128*12.73)+'LINEST VARS'!$F$68*($B148*4)+'LINEST VARS'!$E$68*($B148*0.5)+'LINEST VARS'!$D$68*($B148*12.73)+'LINEST VARS'!$C$68*(4*0.5)+'LINEST VARS'!$B$68*(4*12.73)+'LINEST VARS'!$A$68*(0.5*12.73)</f>
        <v>149</v>
      </c>
      <c r="N148" s="46">
        <f>'LINEST VARS'!$U$68+'LINEST VARS'!$T$68*($N$128)+'LINEST VARS'!$S$68*($B148)+'LINEST VARS'!$R$68*(4)+'LINEST VARS'!$Q$68*(0.5)+'LINEST VARS'!$P$68*(12.73)+'LINEST VARS'!$O$68*($N$128^2)+'LINEST VARS'!$N$68*($B148^2)+'LINEST VARS'!$M$68*(4^2)+'LINEST VARS'!$L$68*(0.5^2)+'LINEST VARS'!$K$68*(12.73^2)+'LINEST VARS'!$J$68*($N$128*$B148)+'LINEST VARS'!$I$68*($N$128*4)+'LINEST VARS'!$H$68*($N$128*0.5)+'LINEST VARS'!$G$68*($N$128*12.73)+'LINEST VARS'!$F$68*($B148*4)+'LINEST VARS'!$E$68*($B148*0.5)+'LINEST VARS'!$D$68*($B148*12.73)+'LINEST VARS'!$C$68*(4*0.5)+'LINEST VARS'!$B$68*(4*12.73)+'LINEST VARS'!$A$68*(0.5*12.73)</f>
        <v>149</v>
      </c>
      <c r="O148" s="46">
        <f>'LINEST VARS'!$U$68+'LINEST VARS'!$T$68*($O$128)+'LINEST VARS'!$S$68*($B148)+'LINEST VARS'!$R$68*(4)+'LINEST VARS'!$Q$68*(0.5)+'LINEST VARS'!$P$68*(12.73)+'LINEST VARS'!$O$68*($O$128^2)+'LINEST VARS'!$N$68*($B148^2)+'LINEST VARS'!$M$68*(4^2)+'LINEST VARS'!$L$68*(0.5^2)+'LINEST VARS'!$K$68*(12.73^2)+'LINEST VARS'!$J$68*($O$128*$B148)+'LINEST VARS'!$I$68*($O$128*4)+'LINEST VARS'!$H$68*($O$128*0.5)+'LINEST VARS'!$G$68*($O$128*12.73)+'LINEST VARS'!$F$68*($B148*4)+'LINEST VARS'!$E$68*($B148*0.5)+'LINEST VARS'!$D$68*($B148*12.73)+'LINEST VARS'!$C$68*(4*0.5)+'LINEST VARS'!$B$68*(4*12.73)+'LINEST VARS'!$A$68*(0.5*12.73)</f>
        <v>149</v>
      </c>
      <c r="P148" s="46">
        <f>'LINEST VARS'!$U$68+'LINEST VARS'!$T$68*($P$128)+'LINEST VARS'!$S$68*($B148)+'LINEST VARS'!$R$68*(4)+'LINEST VARS'!$Q$68*(0.5)+'LINEST VARS'!$P$68*(12.73)+'LINEST VARS'!$O$68*($P$128^2)+'LINEST VARS'!$N$68*($B148^2)+'LINEST VARS'!$M$68*(4^2)+'LINEST VARS'!$L$68*(0.5^2)+'LINEST VARS'!$K$68*(12.73^2)+'LINEST VARS'!$J$68*($P$128*$B148)+'LINEST VARS'!$I$68*($P$128*4)+'LINEST VARS'!$H$68*($P$128*0.5)+'LINEST VARS'!$G$68*($P$128*12.73)+'LINEST VARS'!$F$68*($B148*4)+'LINEST VARS'!$E$68*($B148*0.5)+'LINEST VARS'!$D$68*($B148*12.73)+'LINEST VARS'!$C$68*(4*0.5)+'LINEST VARS'!$B$68*(4*12.73)+'LINEST VARS'!$A$68*(0.5*12.73)</f>
        <v>149</v>
      </c>
      <c r="Q148" s="46">
        <f>'LINEST VARS'!$U$68+'LINEST VARS'!$T$68*($Q$128)+'LINEST VARS'!$S$68*($B148)+'LINEST VARS'!$R$68*(4)+'LINEST VARS'!$Q$68*(0.5)+'LINEST VARS'!$P$68*(12.73)+'LINEST VARS'!$O$68*($Q$128^2)+'LINEST VARS'!$N$68*($B148^2)+'LINEST VARS'!$M$68*(4^2)+'LINEST VARS'!$L$68*(0.5^2)+'LINEST VARS'!$K$68*(12.73^2)+'LINEST VARS'!$J$68*($Q$128*$B148)+'LINEST VARS'!$I$68*($Q$128*4)+'LINEST VARS'!$H$68*($Q$128*0.5)+'LINEST VARS'!$G$68*($Q$128*12.73)+'LINEST VARS'!$F$68*($B148*4)+'LINEST VARS'!$E$68*($B148*0.5)+'LINEST VARS'!$D$68*($B148*12.73)+'LINEST VARS'!$C$68*(4*0.5)+'LINEST VARS'!$B$68*(4*12.73)+'LINEST VARS'!$A$68*(0.5*12.73)</f>
        <v>149</v>
      </c>
      <c r="R148" s="46">
        <f>'LINEST VARS'!$U$68+'LINEST VARS'!$T$68*($R$128)+'LINEST VARS'!$S$68*($B148)+'LINEST VARS'!$R$68*(4)+'LINEST VARS'!$Q$68*(0.5)+'LINEST VARS'!$P$68*(12.73)+'LINEST VARS'!$O$68*($R$128^2)+'LINEST VARS'!$N$68*($B148^2)+'LINEST VARS'!$M$68*(4^2)+'LINEST VARS'!$L$68*(0.5^2)+'LINEST VARS'!$K$68*(12.73^2)+'LINEST VARS'!$J$68*($R$128*$B148)+'LINEST VARS'!$I$68*($R$128*4)+'LINEST VARS'!$H$68*($R$128*0.5)+'LINEST VARS'!$G$68*($R$128*12.73)+'LINEST VARS'!$F$68*($B148*4)+'LINEST VARS'!$E$68*($B148*0.5)+'LINEST VARS'!$D$68*($B148*12.73)+'LINEST VARS'!$C$68*(4*0.5)+'LINEST VARS'!$B$68*(4*12.73)+'LINEST VARS'!$A$68*(0.5*12.73)</f>
        <v>149</v>
      </c>
      <c r="S148" s="46">
        <f>'LINEST VARS'!$U$68+'LINEST VARS'!$T$68*($S$128)+'LINEST VARS'!$S$68*($B148)+'LINEST VARS'!$R$68*(4)+'LINEST VARS'!$Q$68*(0.5)+'LINEST VARS'!$P$68*(12.73)+'LINEST VARS'!$O$68*($S$128^2)+'LINEST VARS'!$N$68*($B148^2)+'LINEST VARS'!$M$68*(4^2)+'LINEST VARS'!$L$68*(0.5^2)+'LINEST VARS'!$K$68*(12.73^2)+'LINEST VARS'!$J$68*($S$128*$B148)+'LINEST VARS'!$I$68*($S$128*4)+'LINEST VARS'!$H$68*($S$128*0.5)+'LINEST VARS'!$G$68*($S$128*12.73)+'LINEST VARS'!$F$68*($B148*4)+'LINEST VARS'!$E$68*($B148*0.5)+'LINEST VARS'!$D$68*($B148*12.73)+'LINEST VARS'!$C$68*(4*0.5)+'LINEST VARS'!$B$68*(4*12.73)+'LINEST VARS'!$A$68*(0.5*12.73)</f>
        <v>149</v>
      </c>
      <c r="T148" s="46">
        <f>'LINEST VARS'!$U$68+'LINEST VARS'!$T$68*($T$128)+'LINEST VARS'!$S$68*($B148)+'LINEST VARS'!$R$68*(4)+'LINEST VARS'!$Q$68*(0.5)+'LINEST VARS'!$P$68*(12.73)+'LINEST VARS'!$O$68*($T$128^2)+'LINEST VARS'!$N$68*($B148^2)+'LINEST VARS'!$M$68*(4^2)+'LINEST VARS'!$L$68*(0.5^2)+'LINEST VARS'!$K$68*(12.73^2)+'LINEST VARS'!$J$68*($T$128*$B148)+'LINEST VARS'!$I$68*($T$128*4)+'LINEST VARS'!$H$68*($T$128*0.5)+'LINEST VARS'!$G$68*($T$128*12.73)+'LINEST VARS'!$F$68*($B148*4)+'LINEST VARS'!$E$68*($B148*0.5)+'LINEST VARS'!$D$68*($B148*12.73)+'LINEST VARS'!$C$68*(4*0.5)+'LINEST VARS'!$B$68*(4*12.73)+'LINEST VARS'!$A$68*(0.5*12.73)</f>
        <v>149</v>
      </c>
      <c r="U148" s="46">
        <f>'LINEST VARS'!$U$68+'LINEST VARS'!$T$68*($U$128)+'LINEST VARS'!$S$68*($B148)+'LINEST VARS'!$R$68*(4)+'LINEST VARS'!$Q$68*(0.5)+'LINEST VARS'!$P$68*(12.73)+'LINEST VARS'!$O$68*($U$128^2)+'LINEST VARS'!$N$68*($B148^2)+'LINEST VARS'!$M$68*(4^2)+'LINEST VARS'!$L$68*(0.5^2)+'LINEST VARS'!$K$68*(12.73^2)+'LINEST VARS'!$J$68*($U$128*$B148)+'LINEST VARS'!$I$68*($U$128*4)+'LINEST VARS'!$H$68*($U$128*0.5)+'LINEST VARS'!$G$68*($U$128*12.73)+'LINEST VARS'!$F$68*($B148*4)+'LINEST VARS'!$E$68*($B148*0.5)+'LINEST VARS'!$D$68*($B148*12.73)+'LINEST VARS'!$C$68*(4*0.5)+'LINEST VARS'!$B$68*(4*12.73)+'LINEST VARS'!$A$68*(0.5*12.73)</f>
        <v>149</v>
      </c>
      <c r="V148" s="46">
        <f>'LINEST VARS'!$U$68+'LINEST VARS'!$T$68*($V$128)+'LINEST VARS'!$S$68*($B148)+'LINEST VARS'!$R$68*(4)+'LINEST VARS'!$Q$68*(0.5)+'LINEST VARS'!$P$68*(12.73)+'LINEST VARS'!$O$68*($V$128^2)+'LINEST VARS'!$N$68*($B148^2)+'LINEST VARS'!$M$68*(4^2)+'LINEST VARS'!$L$68*(0.5^2)+'LINEST VARS'!$K$68*(12.73^2)+'LINEST VARS'!$J$68*($V$128*$B148)+'LINEST VARS'!$I$68*($V$128*4)+'LINEST VARS'!$H$68*($V$128*0.5)+'LINEST VARS'!$G$68*($V$128*12.73)+'LINEST VARS'!$F$68*($B148*4)+'LINEST VARS'!$E$68*($B148*0.5)+'LINEST VARS'!$D$68*($B148*12.73)+'LINEST VARS'!$C$68*(4*0.5)+'LINEST VARS'!$B$68*(4*12.73)+'LINEST VARS'!$A$68*(0.5*12.73)</f>
        <v>149</v>
      </c>
      <c r="W148" s="47">
        <f>'LINEST VARS'!$U$68+'LINEST VARS'!$T$68*($W$128)+'LINEST VARS'!$S$68*($B148)+'LINEST VARS'!$R$68*(4)+'LINEST VARS'!$Q$68*(0.5)+'LINEST VARS'!$P$68*(12.73)+'LINEST VARS'!$O$68*($W$128^2)+'LINEST VARS'!$N$68*($B148^2)+'LINEST VARS'!$M$68*(4^2)+'LINEST VARS'!$L$68*(0.5^2)+'LINEST VARS'!$K$68*(12.73^2)+'LINEST VARS'!$J$68*($W$128*$B148)+'LINEST VARS'!$I$68*($W$128*4)+'LINEST VARS'!$H$68*($W$128*0.5)+'LINEST VARS'!$G$68*($W$128*12.73)+'LINEST VARS'!$F$68*($B148*4)+'LINEST VARS'!$E$68*($B148*0.5)+'LINEST VARS'!$D$68*($B148*12.73)+'LINEST VARS'!$C$68*(4*0.5)+'LINEST VARS'!$B$68*(4*12.73)+'LINEST VARS'!$A$68*(0.5*12.73)</f>
        <v>149</v>
      </c>
      <c r="Z148" s="45">
        <v>8.5399999999999991</v>
      </c>
      <c r="AA148" s="46">
        <f>'LINEST VARS'!$U$70+'LINEST VARS'!$T$70*($AA$128)+'LINEST VARS'!$S$70*($Z148)+'LINEST VARS'!$R$70*(4)+'LINEST VARS'!$Q$70*(0.5)+'LINEST VARS'!$P$70*(12.73)+'LINEST VARS'!$O$70*($AA$128^2)+'LINEST VARS'!$N$70*($Z148^2)+'LINEST VARS'!$M$70*(4^2)+'LINEST VARS'!$L$70*(0.5^2)+'LINEST VARS'!$K$70*(12.73^2)+'LINEST VARS'!$J$70*($AA$128*$Z148)+'LINEST VARS'!$I$70*($AA$128*4)+'LINEST VARS'!$H$70*($AA$128*0.5)+'LINEST VARS'!$G$70*($AA$128*12.73)+'LINEST VARS'!$F$70*($Z148*4)+'LINEST VARS'!$E$70*($Z148*0.5)+'LINEST VARS'!$D$70*($Z148*12.73)+'LINEST VARS'!$C$70*(4*0.5)+'LINEST VARS'!$B$70*(4*12.73)+'LINEST VARS'!$A$70*(0.5*12.73)</f>
        <v>88.810000000000045</v>
      </c>
      <c r="AB148" s="46">
        <f>'LINEST VARS'!$U$70+'LINEST VARS'!$T$70*($AB$128)+'LINEST VARS'!$S$70*($Z148)+'LINEST VARS'!$R$70*(4)+'LINEST VARS'!$Q$70*(0.5)+'LINEST VARS'!$P$70*(12.73)+'LINEST VARS'!$O$70*($AB$128^2)+'LINEST VARS'!$N$70*($Z148^2)+'LINEST VARS'!$M$70*(4^2)+'LINEST VARS'!$L$70*(0.5^2)+'LINEST VARS'!$K$70*(12.73^2)+'LINEST VARS'!$J$70*($AB$128*$Z148)+'LINEST VARS'!$I$70*($AB$128*4)+'LINEST VARS'!$H$70*($AB$128*0.5)+'LINEST VARS'!$G$70*($AB$128*12.73)+'LINEST VARS'!$F$70*($Z148*4)+'LINEST VARS'!$E$70*($Z148*0.5)+'LINEST VARS'!$D$70*($Z148*12.73)+'LINEST VARS'!$C$70*(4*0.5)+'LINEST VARS'!$B$70*(4*12.73)+'LINEST VARS'!$A$70*(0.5*12.73)</f>
        <v>88.810000000000045</v>
      </c>
      <c r="AC148" s="46">
        <f>'LINEST VARS'!$U$70+'LINEST VARS'!$T$70*($AC$128)+'LINEST VARS'!$S$70*($Z148)+'LINEST VARS'!$R$70*(4)+'LINEST VARS'!$Q$70*(0.5)+'LINEST VARS'!$P$70*(12.73)+'LINEST VARS'!$O$70*($AC$128^2)+'LINEST VARS'!$N$70*($Z148^2)+'LINEST VARS'!$M$70*(4^2)+'LINEST VARS'!$L$70*(0.5^2)+'LINEST VARS'!$K$70*(12.73^2)+'LINEST VARS'!$J$70*($AC$128*$Z148)+'LINEST VARS'!$I$70*($AC$128*4)+'LINEST VARS'!$H$70*($AC$128*0.5)+'LINEST VARS'!$G$70*($AC$128*12.73)+'LINEST VARS'!$F$70*($Z148*4)+'LINEST VARS'!$E$70*($Z148*0.5)+'LINEST VARS'!$D$70*($Z148*12.73)+'LINEST VARS'!$C$70*(4*0.5)+'LINEST VARS'!$B$70*(4*12.73)+'LINEST VARS'!$A$70*(0.5*12.73)</f>
        <v>88.810000000000045</v>
      </c>
      <c r="AD148" s="46">
        <f>'LINEST VARS'!$U$70+'LINEST VARS'!$T$70*($AD$128)+'LINEST VARS'!$S$70*($Z148)+'LINEST VARS'!$R$70*(4)+'LINEST VARS'!$Q$70*(0.5)+'LINEST VARS'!$P$70*(12.73)+'LINEST VARS'!$O$70*($AD$128^2)+'LINEST VARS'!$N$70*($Z148^2)+'LINEST VARS'!$M$70*(4^2)+'LINEST VARS'!$L$70*(0.5^2)+'LINEST VARS'!$K$70*(12.73^2)+'LINEST VARS'!$J$70*($AD$128*$Z148)+'LINEST VARS'!$I$70*($AD$128*4)+'LINEST VARS'!$H$70*($AD$128*0.5)+'LINEST VARS'!$G$70*($AD$128*12.73)+'LINEST VARS'!$F$70*($Z148*4)+'LINEST VARS'!$E$70*($Z148*0.5)+'LINEST VARS'!$D$70*($Z148*12.73)+'LINEST VARS'!$C$70*(4*0.5)+'LINEST VARS'!$B$70*(4*12.73)+'LINEST VARS'!$A$70*(0.5*12.73)</f>
        <v>88.810000000000045</v>
      </c>
      <c r="AE148" s="46">
        <f>'LINEST VARS'!$U$70+'LINEST VARS'!$T$70*($AE$128)+'LINEST VARS'!$S$70*($Z148)+'LINEST VARS'!$R$70*(4)+'LINEST VARS'!$Q$70*(0.5)+'LINEST VARS'!$P$70*(12.73)+'LINEST VARS'!$O$70*($AE$128^2)+'LINEST VARS'!$N$70*($Z148^2)+'LINEST VARS'!$M$70*(4^2)+'LINEST VARS'!$L$70*(0.5^2)+'LINEST VARS'!$K$70*(12.73^2)+'LINEST VARS'!$J$70*($AE$128*$Z148)+'LINEST VARS'!$I$70*($AE$128*4)+'LINEST VARS'!$H$70*($AE$128*0.5)+'LINEST VARS'!$G$70*($AE$128*12.73)+'LINEST VARS'!$F$70*($Z148*4)+'LINEST VARS'!$E$70*($Z148*0.5)+'LINEST VARS'!$D$70*($Z148*12.73)+'LINEST VARS'!$C$70*(4*0.5)+'LINEST VARS'!$B$70*(4*12.73)+'LINEST VARS'!$A$70*(0.5*12.73)</f>
        <v>88.810000000000045</v>
      </c>
      <c r="AF148" s="46">
        <f>'LINEST VARS'!$U$70+'LINEST VARS'!$T$70*($AF$128)+'LINEST VARS'!$S$70*($Z148)+'LINEST VARS'!$R$70*(4)+'LINEST VARS'!$Q$70*(0.5)+'LINEST VARS'!$P$70*(12.73)+'LINEST VARS'!$O$70*($AF$128^2)+'LINEST VARS'!$N$70*($Z148^2)+'LINEST VARS'!$M$70*(4^2)+'LINEST VARS'!$L$70*(0.5^2)+'LINEST VARS'!$K$70*(12.73^2)+'LINEST VARS'!$J$70*($AF$128*$Z148)+'LINEST VARS'!$I$70*($AF$128*4)+'LINEST VARS'!$H$70*($AF$128*0.5)+'LINEST VARS'!$G$70*($AF$128*12.73)+'LINEST VARS'!$F$70*($Z148*4)+'LINEST VARS'!$E$70*($Z148*0.5)+'LINEST VARS'!$D$70*($Z148*12.73)+'LINEST VARS'!$C$70*(4*0.5)+'LINEST VARS'!$B$70*(4*12.73)+'LINEST VARS'!$A$70*(0.5*12.73)</f>
        <v>88.810000000000016</v>
      </c>
      <c r="AG148" s="46">
        <f>'LINEST VARS'!$U$70+'LINEST VARS'!$T$70*($AG$128)+'LINEST VARS'!$S$70*($Z148)+'LINEST VARS'!$R$70*(4)+'LINEST VARS'!$Q$70*(0.5)+'LINEST VARS'!$P$70*(12.73)+'LINEST VARS'!$O$70*($AG$128^2)+'LINEST VARS'!$N$70*($Z148^2)+'LINEST VARS'!$M$70*(4^2)+'LINEST VARS'!$L$70*(0.5^2)+'LINEST VARS'!$K$70*(12.73^2)+'LINEST VARS'!$J$70*($AG$128*$Z148)+'LINEST VARS'!$I$70*($AG$128*4)+'LINEST VARS'!$H$70*($AG$128*0.5)+'LINEST VARS'!$G$70*($AG$128*12.73)+'LINEST VARS'!$F$70*($Z148*4)+'LINEST VARS'!$E$70*($Z148*0.5)+'LINEST VARS'!$D$70*($Z148*12.73)+'LINEST VARS'!$C$70*(4*0.5)+'LINEST VARS'!$B$70*(4*12.73)+'LINEST VARS'!$A$70*(0.5*12.73)</f>
        <v>88.810000000000016</v>
      </c>
      <c r="AH148" s="46">
        <f>'LINEST VARS'!$U$70+'LINEST VARS'!$T$70*($AH$128)+'LINEST VARS'!$S$70*($Z148)+'LINEST VARS'!$R$70*(4)+'LINEST VARS'!$Q$70*(0.5)+'LINEST VARS'!$P$70*(12.73)+'LINEST VARS'!$O$70*($AH$128^2)+'LINEST VARS'!$N$70*($Z148^2)+'LINEST VARS'!$M$70*(4^2)+'LINEST VARS'!$L$70*(0.5^2)+'LINEST VARS'!$K$70*(12.73^2)+'LINEST VARS'!$J$70*($AH$128*$Z148)+'LINEST VARS'!$I$70*($AH$128*4)+'LINEST VARS'!$H$70*($AH$128*0.5)+'LINEST VARS'!$G$70*($AH$128*12.73)+'LINEST VARS'!$F$70*($Z148*4)+'LINEST VARS'!$E$70*($Z148*0.5)+'LINEST VARS'!$D$70*($Z148*12.73)+'LINEST VARS'!$C$70*(4*0.5)+'LINEST VARS'!$B$70*(4*12.73)+'LINEST VARS'!$A$70*(0.5*12.73)</f>
        <v>88.810000000000016</v>
      </c>
      <c r="AI148" s="46">
        <f>'LINEST VARS'!$U$70+'LINEST VARS'!$T$70*($AI$128)+'LINEST VARS'!$S$70*($Z148)+'LINEST VARS'!$R$70*(4)+'LINEST VARS'!$Q$70*(0.5)+'LINEST VARS'!$P$70*(12.73)+'LINEST VARS'!$O$70*($AI$128^2)+'LINEST VARS'!$N$70*($Z148^2)+'LINEST VARS'!$M$70*(4^2)+'LINEST VARS'!$L$70*(0.5^2)+'LINEST VARS'!$K$70*(12.73^2)+'LINEST VARS'!$J$70*($AI$128*$Z148)+'LINEST VARS'!$I$70*($AI$128*4)+'LINEST VARS'!$H$70*($AI$128*0.5)+'LINEST VARS'!$G$70*($AI$128*12.73)+'LINEST VARS'!$F$70*($Z148*4)+'LINEST VARS'!$E$70*($Z148*0.5)+'LINEST VARS'!$D$70*($Z148*12.73)+'LINEST VARS'!$C$70*(4*0.5)+'LINEST VARS'!$B$70*(4*12.73)+'LINEST VARS'!$A$70*(0.5*12.73)</f>
        <v>88.810000000000016</v>
      </c>
      <c r="AJ148" s="46">
        <f>'LINEST VARS'!$U$70+'LINEST VARS'!$T$70*($AJ$128)+'LINEST VARS'!$S$70*($Z148)+'LINEST VARS'!$R$70*(4)+'LINEST VARS'!$Q$70*(0.5)+'LINEST VARS'!$P$70*(12.73)+'LINEST VARS'!$O$70*($AJ$128^2)+'LINEST VARS'!$N$70*($Z148^2)+'LINEST VARS'!$M$70*(4^2)+'LINEST VARS'!$L$70*(0.5^2)+'LINEST VARS'!$K$70*(12.73^2)+'LINEST VARS'!$J$70*($AJ$128*$Z148)+'LINEST VARS'!$I$70*($AJ$128*4)+'LINEST VARS'!$H$70*($AJ$128*0.5)+'LINEST VARS'!$G$70*($AJ$128*12.73)+'LINEST VARS'!$F$70*($Z148*4)+'LINEST VARS'!$E$70*($Z148*0.5)+'LINEST VARS'!$D$70*($Z148*12.73)+'LINEST VARS'!$C$70*(4*0.5)+'LINEST VARS'!$B$70*(4*12.73)+'LINEST VARS'!$A$70*(0.5*12.73)</f>
        <v>88.810000000000016</v>
      </c>
      <c r="AK148" s="46">
        <f>'LINEST VARS'!$U$70+'LINEST VARS'!$T$70*($AK$128)+'LINEST VARS'!$S$70*($Z148)+'LINEST VARS'!$R$70*(4)+'LINEST VARS'!$Q$70*(0.5)+'LINEST VARS'!$P$70*(12.73)+'LINEST VARS'!$O$70*($AK$128^2)+'LINEST VARS'!$N$70*($Z148^2)+'LINEST VARS'!$M$70*(4^2)+'LINEST VARS'!$L$70*(0.5^2)+'LINEST VARS'!$K$70*(12.73^2)+'LINEST VARS'!$J$70*($AK$128*$Z148)+'LINEST VARS'!$I$70*($AK$128*4)+'LINEST VARS'!$H$70*($AK$128*0.5)+'LINEST VARS'!$G$70*($AK$128*12.73)+'LINEST VARS'!$F$70*($Z148*4)+'LINEST VARS'!$E$70*($Z148*0.5)+'LINEST VARS'!$D$70*($Z148*12.73)+'LINEST VARS'!$C$70*(4*0.5)+'LINEST VARS'!$B$70*(4*12.73)+'LINEST VARS'!$A$70*(0.5*12.73)</f>
        <v>88.810000000000016</v>
      </c>
      <c r="AL148" s="46">
        <f>'LINEST VARS'!$U$70+'LINEST VARS'!$T$70*($AL$128)+'LINEST VARS'!$S$70*($Z148)+'LINEST VARS'!$R$70*(4)+'LINEST VARS'!$Q$70*(0.5)+'LINEST VARS'!$P$70*(12.73)+'LINEST VARS'!$O$70*($AL$128^2)+'LINEST VARS'!$N$70*($Z148^2)+'LINEST VARS'!$M$70*(4^2)+'LINEST VARS'!$L$70*(0.5^2)+'LINEST VARS'!$K$70*(12.73^2)+'LINEST VARS'!$J$70*($AL$128*$Z148)+'LINEST VARS'!$I$70*($AL$128*4)+'LINEST VARS'!$H$70*($AL$128*0.5)+'LINEST VARS'!$G$70*($AL$128*12.73)+'LINEST VARS'!$F$70*($Z148*4)+'LINEST VARS'!$E$70*($Z148*0.5)+'LINEST VARS'!$D$70*($Z148*12.73)+'LINEST VARS'!$C$70*(4*0.5)+'LINEST VARS'!$B$70*(4*12.73)+'LINEST VARS'!$A$70*(0.5*12.73)</f>
        <v>88.810000000000016</v>
      </c>
      <c r="AM148" s="46">
        <f>'LINEST VARS'!$U$70+'LINEST VARS'!$T$70*($AM$128)+'LINEST VARS'!$S$70*($Z148)+'LINEST VARS'!$R$70*(4)+'LINEST VARS'!$Q$70*(0.5)+'LINEST VARS'!$P$70*(12.73)+'LINEST VARS'!$O$70*($AM$128^2)+'LINEST VARS'!$N$70*($Z148^2)+'LINEST VARS'!$M$70*(4^2)+'LINEST VARS'!$L$70*(0.5^2)+'LINEST VARS'!$K$70*(12.73^2)+'LINEST VARS'!$J$70*($AM$128*$Z148)+'LINEST VARS'!$I$70*($AM$128*4)+'LINEST VARS'!$H$70*($AM$128*0.5)+'LINEST VARS'!$G$70*($AM$128*12.73)+'LINEST VARS'!$F$70*($Z148*4)+'LINEST VARS'!$E$70*($Z148*0.5)+'LINEST VARS'!$D$70*($Z148*12.73)+'LINEST VARS'!$C$70*(4*0.5)+'LINEST VARS'!$B$70*(4*12.73)+'LINEST VARS'!$A$70*(0.5*12.73)</f>
        <v>88.810000000000016</v>
      </c>
      <c r="AN148" s="46">
        <f>'LINEST VARS'!$U$70+'LINEST VARS'!$T$70*($AN$128)+'LINEST VARS'!$S$70*($Z148)+'LINEST VARS'!$R$70*(4)+'LINEST VARS'!$Q$70*(0.5)+'LINEST VARS'!$P$70*(12.73)+'LINEST VARS'!$O$70*($AN$128^2)+'LINEST VARS'!$N$70*($Z148^2)+'LINEST VARS'!$M$70*(4^2)+'LINEST VARS'!$L$70*(0.5^2)+'LINEST VARS'!$K$70*(12.73^2)+'LINEST VARS'!$J$70*($AN$128*$Z148)+'LINEST VARS'!$I$70*($AN$128*4)+'LINEST VARS'!$H$70*($AN$128*0.5)+'LINEST VARS'!$G$70*($AN$128*12.73)+'LINEST VARS'!$F$70*($Z148*4)+'LINEST VARS'!$E$70*($Z148*0.5)+'LINEST VARS'!$D$70*($Z148*12.73)+'LINEST VARS'!$C$70*(4*0.5)+'LINEST VARS'!$B$70*(4*12.73)+'LINEST VARS'!$A$70*(0.5*12.73)</f>
        <v>88.810000000000016</v>
      </c>
      <c r="AO148" s="46">
        <f>'LINEST VARS'!$U$70+'LINEST VARS'!$T$70*($AO$128)+'LINEST VARS'!$S$70*($Z148)+'LINEST VARS'!$R$70*(4)+'LINEST VARS'!$Q$70*(0.5)+'LINEST VARS'!$P$70*(12.73)+'LINEST VARS'!$O$70*($AO$128^2)+'LINEST VARS'!$N$70*($Z148^2)+'LINEST VARS'!$M$70*(4^2)+'LINEST VARS'!$L$70*(0.5^2)+'LINEST VARS'!$K$70*(12.73^2)+'LINEST VARS'!$J$70*($AO$128*$Z148)+'LINEST VARS'!$I$70*($AO$128*4)+'LINEST VARS'!$H$70*($AO$128*0.5)+'LINEST VARS'!$G$70*($AO$128*12.73)+'LINEST VARS'!$F$70*($Z148*4)+'LINEST VARS'!$E$70*($Z148*0.5)+'LINEST VARS'!$D$70*($Z148*12.73)+'LINEST VARS'!$C$70*(4*0.5)+'LINEST VARS'!$B$70*(4*12.73)+'LINEST VARS'!$A$70*(0.5*12.73)</f>
        <v>88.810000000000016</v>
      </c>
      <c r="AP148" s="46">
        <f>'LINEST VARS'!$U$70+'LINEST VARS'!$T$70*($AP$128)+'LINEST VARS'!$S$70*($Z148)+'LINEST VARS'!$R$70*(4)+'LINEST VARS'!$Q$70*(0.5)+'LINEST VARS'!$P$70*(12.73)+'LINEST VARS'!$O$70*($AP$128^2)+'LINEST VARS'!$N$70*($Z148^2)+'LINEST VARS'!$M$70*(4^2)+'LINEST VARS'!$L$70*(0.5^2)+'LINEST VARS'!$K$70*(12.73^2)+'LINEST VARS'!$J$70*($AP$128*$Z148)+'LINEST VARS'!$I$70*($AP$128*4)+'LINEST VARS'!$H$70*($AP$128*0.5)+'LINEST VARS'!$G$70*($AP$128*12.73)+'LINEST VARS'!$F$70*($Z148*4)+'LINEST VARS'!$E$70*($Z148*0.5)+'LINEST VARS'!$D$70*($Z148*12.73)+'LINEST VARS'!$C$70*(4*0.5)+'LINEST VARS'!$B$70*(4*12.73)+'LINEST VARS'!$A$70*(0.5*12.73)</f>
        <v>88.810000000000016</v>
      </c>
      <c r="AQ148" s="46">
        <f>'LINEST VARS'!$U$70+'LINEST VARS'!$T$70*($AQ$128)+'LINEST VARS'!$S$70*($Z148)+'LINEST VARS'!$R$70*(4)+'LINEST VARS'!$Q$70*(0.5)+'LINEST VARS'!$P$70*(12.73)+'LINEST VARS'!$O$70*($AQ$128^2)+'LINEST VARS'!$N$70*($Z148^2)+'LINEST VARS'!$M$70*(4^2)+'LINEST VARS'!$L$70*(0.5^2)+'LINEST VARS'!$K$70*(12.73^2)+'LINEST VARS'!$J$70*($AQ$128*$Z148)+'LINEST VARS'!$I$70*($AQ$128*4)+'LINEST VARS'!$H$70*($AQ$128*0.5)+'LINEST VARS'!$G$70*($AQ$128*12.73)+'LINEST VARS'!$F$70*($Z148*4)+'LINEST VARS'!$E$70*($Z148*0.5)+'LINEST VARS'!$D$70*($Z148*12.73)+'LINEST VARS'!$C$70*(4*0.5)+'LINEST VARS'!$B$70*(4*12.73)+'LINEST VARS'!$A$70*(0.5*12.73)</f>
        <v>88.810000000000016</v>
      </c>
      <c r="AR148" s="46">
        <f>'LINEST VARS'!$U$70+'LINEST VARS'!$T$70*($AR$128)+'LINEST VARS'!$S$70*($Z148)+'LINEST VARS'!$R$70*(4)+'LINEST VARS'!$Q$70*(0.5)+'LINEST VARS'!$P$70*(12.73)+'LINEST VARS'!$O$70*($AR$128^2)+'LINEST VARS'!$N$70*($Z148^2)+'LINEST VARS'!$M$70*(4^2)+'LINEST VARS'!$L$70*(0.5^2)+'LINEST VARS'!$K$70*(12.73^2)+'LINEST VARS'!$J$70*($AR$128*$Z148)+'LINEST VARS'!$I$70*($AR$128*4)+'LINEST VARS'!$H$70*($AR$128*0.5)+'LINEST VARS'!$G$70*($AR$128*12.73)+'LINEST VARS'!$F$70*($Z148*4)+'LINEST VARS'!$E$70*($Z148*0.5)+'LINEST VARS'!$D$70*($Z148*12.73)+'LINEST VARS'!$C$70*(4*0.5)+'LINEST VARS'!$B$70*(4*12.73)+'LINEST VARS'!$A$70*(0.5*12.73)</f>
        <v>88.810000000000016</v>
      </c>
      <c r="AS148" s="46">
        <f>'LINEST VARS'!$U$70+'LINEST VARS'!$T$70*($AS$128)+'LINEST VARS'!$S$70*($Z148)+'LINEST VARS'!$R$70*(4)+'LINEST VARS'!$Q$70*(0.5)+'LINEST VARS'!$P$70*(12.73)+'LINEST VARS'!$O$70*($AS$128^2)+'LINEST VARS'!$N$70*($Z148^2)+'LINEST VARS'!$M$70*(4^2)+'LINEST VARS'!$L$70*(0.5^2)+'LINEST VARS'!$K$70*(12.73^2)+'LINEST VARS'!$J$70*($AS$128*$Z148)+'LINEST VARS'!$I$70*($AS$128*4)+'LINEST VARS'!$H$70*($AS$128*0.5)+'LINEST VARS'!$G$70*($AS$128*12.73)+'LINEST VARS'!$F$70*($Z148*4)+'LINEST VARS'!$E$70*($Z148*0.5)+'LINEST VARS'!$D$70*($Z148*12.73)+'LINEST VARS'!$C$70*(4*0.5)+'LINEST VARS'!$B$70*(4*12.73)+'LINEST VARS'!$A$70*(0.5*12.73)</f>
        <v>88.810000000000016</v>
      </c>
      <c r="AT148" s="46">
        <f>'LINEST VARS'!$U$70+'LINEST VARS'!$T$70*($AT$128)+'LINEST VARS'!$S$70*($Z148)+'LINEST VARS'!$R$70*(4)+'LINEST VARS'!$Q$70*(0.5)+'LINEST VARS'!$P$70*(12.73)+'LINEST VARS'!$O$70*($AT$128^2)+'LINEST VARS'!$N$70*($Z148^2)+'LINEST VARS'!$M$70*(4^2)+'LINEST VARS'!$L$70*(0.5^2)+'LINEST VARS'!$K$70*(12.73^2)+'LINEST VARS'!$J$70*($AT$128*$Z148)+'LINEST VARS'!$I$70*($AT$128*4)+'LINEST VARS'!$H$70*($AT$128*0.5)+'LINEST VARS'!$G$70*($AT$128*12.73)+'LINEST VARS'!$F$70*($Z148*4)+'LINEST VARS'!$E$70*($Z148*0.5)+'LINEST VARS'!$D$70*($Z148*12.73)+'LINEST VARS'!$C$70*(4*0.5)+'LINEST VARS'!$B$70*(4*12.73)+'LINEST VARS'!$A$70*(0.5*12.73)</f>
        <v>88.810000000000016</v>
      </c>
      <c r="AU148" s="47">
        <f>'LINEST VARS'!$U$70+'LINEST VARS'!$T$70*($AU$128)+'LINEST VARS'!$S$70*($Z148)+'LINEST VARS'!$R$70*(4)+'LINEST VARS'!$Q$70*(0.5)+'LINEST VARS'!$P$70*(12.73)+'LINEST VARS'!$O$70*($AU$128^2)+'LINEST VARS'!$N$70*($Z148^2)+'LINEST VARS'!$M$70*(4^2)+'LINEST VARS'!$L$70*(0.5^2)+'LINEST VARS'!$K$70*(12.73^2)+'LINEST VARS'!$J$70*($AU$128*$Z148)+'LINEST VARS'!$I$70*($AU$128*4)+'LINEST VARS'!$H$70*($AU$128*0.5)+'LINEST VARS'!$G$70*($AU$128*12.73)+'LINEST VARS'!$F$70*($Z148*4)+'LINEST VARS'!$E$70*($Z148*0.5)+'LINEST VARS'!$D$70*($Z148*12.73)+'LINEST VARS'!$C$70*(4*0.5)+'LINEST VARS'!$B$70*(4*12.73)+'LINEST VARS'!$A$70*(0.5*12.73)</f>
        <v>88.810000000000016</v>
      </c>
      <c r="AZ148" s="45">
        <v>0.95</v>
      </c>
      <c r="BA148" s="46">
        <f>'LINEST VARS'!$U$68+'LINEST VARS'!$T$68*(8)+'LINEST VARS'!$S$68*(8)+'LINEST VARS'!$R$68*($BA$128)+'LINEST VARS'!$Q$68*($AZ148)+'LINEST VARS'!$P$68*(12.73)+'LINEST VARS'!$O$68*(8^2)+'LINEST VARS'!$N$68*(8^2)+'LINEST VARS'!$M$68*($BA$128^2)+'LINEST VARS'!$L$68*($AZ148^2)+'LINEST VARS'!$K$68*(12.73^2)+'LINEST VARS'!$J$68*(8*8)+'LINEST VARS'!$I$68*(8*$BA$128)+'LINEST VARS'!$H$68*(8*$AZ148)+'LINEST VARS'!$G$68*(8*12.73)+'LINEST VARS'!$F$68*(8*$BA$128)+'LINEST VARS'!$E$68*(8*$AZ148)+'LINEST VARS'!$D$68*(8*12.73)+'LINEST VARS'!$C$68*($BA$128*$AZ148)+'LINEST VARS'!$B$68*($BA$128*12.73)+'LINEST VARS'!$A$68*($AZ148*12.73)</f>
        <v>146.39000000000001</v>
      </c>
      <c r="BB148" s="46">
        <f>'LINEST VARS'!$U$68+'LINEST VARS'!$T$68*(8)+'LINEST VARS'!$S$68*(8)+'LINEST VARS'!$R$68*($BB$128)+'LINEST VARS'!$Q$68*($AZ148)+'LINEST VARS'!$P$68*(12.73)+'LINEST VARS'!$O$68*(8^2)+'LINEST VARS'!$N$68*(8^2)+'LINEST VARS'!$M$68*($BB$128^2)+'LINEST VARS'!$L$68*($AZ148^2)+'LINEST VARS'!$K$68*(12.73^2)+'LINEST VARS'!$J$68*(8*8)+'LINEST VARS'!$I$68*(8*$BB$128)+'LINEST VARS'!$H$68*(8*$AZ148)+'LINEST VARS'!$G$68*(8*12.73)+'LINEST VARS'!$F$68*(8*$BB$128)+'LINEST VARS'!$E$68*(8*$AZ148)+'LINEST VARS'!$D$68*(8*12.73)+'LINEST VARS'!$C$68*($BB$128*$AZ148)+'LINEST VARS'!$B$68*($BB$128*12.73)+'LINEST VARS'!$A$68*($AZ148*12.73)</f>
        <v>146.39000000000001</v>
      </c>
      <c r="BC148" s="46">
        <f>'LINEST VARS'!$U$68+'LINEST VARS'!$T$68*(8)+'LINEST VARS'!$S$68*(8)+'LINEST VARS'!$R$68*($BC$128)+'LINEST VARS'!$Q$68*($AZ148)+'LINEST VARS'!$P$68*(12.73)+'LINEST VARS'!$O$68*(8^2)+'LINEST VARS'!$N$68*(8^2)+'LINEST VARS'!$M$68*($BC$128^2)+'LINEST VARS'!$L$68*($AZ148^2)+'LINEST VARS'!$K$68*(12.73^2)+'LINEST VARS'!$J$68*(8*8)+'LINEST VARS'!$I$68*(8*$BC$128)+'LINEST VARS'!$H$68*(8*$AZ148)+'LINEST VARS'!$G$68*(8*12.73)+'LINEST VARS'!$F$68*(8*$BC$128)+'LINEST VARS'!$E$68*(8*$AZ148)+'LINEST VARS'!$D$68*(8*12.73)+'LINEST VARS'!$C$68*($BC$128*$AZ148)+'LINEST VARS'!$B$68*($BC$128*12.73)+'LINEST VARS'!$A$68*($AZ148*12.73)</f>
        <v>146.39000000000001</v>
      </c>
      <c r="BD148" s="46">
        <f>'LINEST VARS'!$U$68+'LINEST VARS'!$T$68*(8)+'LINEST VARS'!$S$68*(8)+'LINEST VARS'!$R$68*($BD$128)+'LINEST VARS'!$Q$68*($AZ148)+'LINEST VARS'!$P$68*(12.73)+'LINEST VARS'!$O$68*(8^2)+'LINEST VARS'!$N$68*(8^2)+'LINEST VARS'!$M$68*($BD$128^2)+'LINEST VARS'!$L$68*($AZ148^2)+'LINEST VARS'!$K$68*(12.73^2)+'LINEST VARS'!$J$68*(8*8)+'LINEST VARS'!$I$68*(8*$BD$128)+'LINEST VARS'!$H$68*(8*$AZ148)+'LINEST VARS'!$G$68*(8*12.73)+'LINEST VARS'!$F$68*(8*$BD$128)+'LINEST VARS'!$E$68*(8*$AZ148)+'LINEST VARS'!$D$68*(8*12.73)+'LINEST VARS'!$C$68*($BD$128*$AZ148)+'LINEST VARS'!$B$68*($BD$128*12.73)+'LINEST VARS'!$A$68*($AZ148*12.73)</f>
        <v>146.39000000000001</v>
      </c>
      <c r="BE148" s="46">
        <f>'LINEST VARS'!$U$68+'LINEST VARS'!$T$68*(8)+'LINEST VARS'!$S$68*(8)+'LINEST VARS'!$R$68*($BE$128)+'LINEST VARS'!$Q$68*($AZ148)+'LINEST VARS'!$P$68*(12.73)+'LINEST VARS'!$O$68*(8^2)+'LINEST VARS'!$N$68*(8^2)+'LINEST VARS'!$M$68*($BE$128^2)+'LINEST VARS'!$L$68*($AZ148^2)+'LINEST VARS'!$K$68*(12.73^2)+'LINEST VARS'!$J$68*(8*8)+'LINEST VARS'!$I$68*(8*$BE$128)+'LINEST VARS'!$H$68*(8*$AZ148)+'LINEST VARS'!$G$68*(8*12.73)+'LINEST VARS'!$F$68*(8*$BE$128)+'LINEST VARS'!$E$68*(8*$AZ148)+'LINEST VARS'!$D$68*(8*12.73)+'LINEST VARS'!$C$68*($BE$128*$AZ148)+'LINEST VARS'!$B$68*($BE$128*12.73)+'LINEST VARS'!$A$68*($AZ148*12.73)</f>
        <v>146.39000000000001</v>
      </c>
      <c r="BF148" s="46">
        <f>'LINEST VARS'!$U$68+'LINEST VARS'!$T$68*(8)+'LINEST VARS'!$S$68*(8)+'LINEST VARS'!$R$68*($BF$128)+'LINEST VARS'!$Q$68*($AZ148)+'LINEST VARS'!$P$68*(12.73)+'LINEST VARS'!$O$68*(8^2)+'LINEST VARS'!$N$68*(8^2)+'LINEST VARS'!$M$68*($BF$128^2)+'LINEST VARS'!$L$68*($AZ148^2)+'LINEST VARS'!$K$68*(12.73^2)+'LINEST VARS'!$J$68*(8*8)+'LINEST VARS'!$I$68*(8*$BF$128)+'LINEST VARS'!$H$68*(8*$AZ148)+'LINEST VARS'!$G$68*(8*12.73)+'LINEST VARS'!$F$68*(8*$BF$128)+'LINEST VARS'!$E$68*(8*$AZ148)+'LINEST VARS'!$D$68*(8*12.73)+'LINEST VARS'!$C$68*($BF$128*$AZ148)+'LINEST VARS'!$B$68*($BF$128*12.73)+'LINEST VARS'!$A$68*($AZ148*12.73)</f>
        <v>146.39000000000001</v>
      </c>
      <c r="BG148" s="46">
        <f>'LINEST VARS'!$U$68+'LINEST VARS'!$T$68*(8)+'LINEST VARS'!$S$68*(8)+'LINEST VARS'!$R$68*($BG$128)+'LINEST VARS'!$Q$68*($AZ148)+'LINEST VARS'!$P$68*(12.73)+'LINEST VARS'!$O$68*(8^2)+'LINEST VARS'!$N$68*(8^2)+'LINEST VARS'!$M$68*($BG$128^2)+'LINEST VARS'!$L$68*($AZ148^2)+'LINEST VARS'!$K$68*(12.73^2)+'LINEST VARS'!$J$68*(8*8)+'LINEST VARS'!$I$68*(8*$BG$128)+'LINEST VARS'!$H$68*(8*$AZ148)+'LINEST VARS'!$G$68*(8*12.73)+'LINEST VARS'!$F$68*(8*$BG$128)+'LINEST VARS'!$E$68*(8*$AZ148)+'LINEST VARS'!$D$68*(8*12.73)+'LINEST VARS'!$C$68*($BG$128*$AZ148)+'LINEST VARS'!$B$68*($BG$128*12.73)+'LINEST VARS'!$A$68*($AZ148*12.73)</f>
        <v>146.39000000000001</v>
      </c>
      <c r="BH148" s="46">
        <f>'LINEST VARS'!$U$68+'LINEST VARS'!$T$68*(8)+'LINEST VARS'!$S$68*(8)+'LINEST VARS'!$R$68*($BH$128)+'LINEST VARS'!$Q$68*($AZ148)+'LINEST VARS'!$P$68*(12.73)+'LINEST VARS'!$O$68*(8^2)+'LINEST VARS'!$N$68*(8^2)+'LINEST VARS'!$M$68*($BH$128^2)+'LINEST VARS'!$L$68*($AZ148^2)+'LINEST VARS'!$K$68*(12.73^2)+'LINEST VARS'!$J$68*(8*8)+'LINEST VARS'!$I$68*(8*$BH$128)+'LINEST VARS'!$H$68*(8*$AZ148)+'LINEST VARS'!$G$68*(8*12.73)+'LINEST VARS'!$F$68*(8*$BH$128)+'LINEST VARS'!$E$68*(8*$AZ148)+'LINEST VARS'!$D$68*(8*12.73)+'LINEST VARS'!$C$68*($BH$128*$AZ148)+'LINEST VARS'!$B$68*($BH$128*12.73)+'LINEST VARS'!$A$68*($AZ148*12.73)</f>
        <v>146.39000000000001</v>
      </c>
      <c r="BI148" s="46">
        <f>'LINEST VARS'!$U$68+'LINEST VARS'!$T$68*(8)+'LINEST VARS'!$S$68*(8)+'LINEST VARS'!$R$68*($BI$128)+'LINEST VARS'!$Q$68*($AZ148)+'LINEST VARS'!$P$68*(12.73)+'LINEST VARS'!$O$68*(8^2)+'LINEST VARS'!$N$68*(8^2)+'LINEST VARS'!$M$68*($BI$128^2)+'LINEST VARS'!$L$68*($AZ148^2)+'LINEST VARS'!$K$68*(12.73^2)+'LINEST VARS'!$J$68*(8*8)+'LINEST VARS'!$I$68*(8*$BI$128)+'LINEST VARS'!$H$68*(8*$AZ148)+'LINEST VARS'!$G$68*(8*12.73)+'LINEST VARS'!$F$68*(8*$BI$128)+'LINEST VARS'!$E$68*(8*$AZ148)+'LINEST VARS'!$D$68*(8*12.73)+'LINEST VARS'!$C$68*($BI$128*$AZ148)+'LINEST VARS'!$B$68*($BI$128*12.73)+'LINEST VARS'!$A$68*($AZ148*12.73)</f>
        <v>146.39000000000001</v>
      </c>
      <c r="BJ148" s="46">
        <f>'LINEST VARS'!$U$68+'LINEST VARS'!$T$68*(8)+'LINEST VARS'!$S$68*(8)+'LINEST VARS'!$R$68*($BJ$128)+'LINEST VARS'!$Q$68*($AZ148)+'LINEST VARS'!$P$68*(12.73)+'LINEST VARS'!$O$68*(8^2)+'LINEST VARS'!$N$68*(8^2)+'LINEST VARS'!$M$68*($BJ$128^2)+'LINEST VARS'!$L$68*($AZ148^2)+'LINEST VARS'!$K$68*(12.73^2)+'LINEST VARS'!$J$68*(8*8)+'LINEST VARS'!$I$68*(8*$BJ$128)+'LINEST VARS'!$H$68*(8*$AZ148)+'LINEST VARS'!$G$68*(8*12.73)+'LINEST VARS'!$F$68*(8*$BJ$128)+'LINEST VARS'!$E$68*(8*$AZ148)+'LINEST VARS'!$D$68*(8*12.73)+'LINEST VARS'!$C$68*($BJ$128*$AZ148)+'LINEST VARS'!$B$68*($BJ$128*12.73)+'LINEST VARS'!$A$68*($AZ148*12.73)</f>
        <v>146.39000000000001</v>
      </c>
      <c r="BK148" s="46">
        <f>'LINEST VARS'!$U$68+'LINEST VARS'!$T$68*(8)+'LINEST VARS'!$S$68*(8)+'LINEST VARS'!$R$68*($BK$128)+'LINEST VARS'!$Q$68*($AZ148)+'LINEST VARS'!$P$68*(12.73)+'LINEST VARS'!$O$68*(8^2)+'LINEST VARS'!$N$68*(8^2)+'LINEST VARS'!$M$68*($BK$128^2)+'LINEST VARS'!$L$68*($AZ148^2)+'LINEST VARS'!$K$68*(12.73^2)+'LINEST VARS'!$J$68*(8*8)+'LINEST VARS'!$I$68*(8*$BK$128)+'LINEST VARS'!$H$68*(8*$AZ148)+'LINEST VARS'!$G$68*(8*12.73)+'LINEST VARS'!$F$68*(8*$BK$128)+'LINEST VARS'!$E$68*(8*$AZ148)+'LINEST VARS'!$D$68*(8*12.73)+'LINEST VARS'!$C$68*($BK$128*$AZ148)+'LINEST VARS'!$B$68*($BK$128*12.73)+'LINEST VARS'!$A$68*($AZ148*12.73)</f>
        <v>146.39000000000001</v>
      </c>
      <c r="BL148" s="46">
        <f>'LINEST VARS'!$U$68+'LINEST VARS'!$T$68*(8)+'LINEST VARS'!$S$68*(8)+'LINEST VARS'!$R$68*($BL$128)+'LINEST VARS'!$Q$68*($AZ148)+'LINEST VARS'!$P$68*(12.73)+'LINEST VARS'!$O$68*(8^2)+'LINEST VARS'!$N$68*(8^2)+'LINEST VARS'!$M$68*($BL$128^2)+'LINEST VARS'!$L$68*($AZ148^2)+'LINEST VARS'!$K$68*(12.73^2)+'LINEST VARS'!$J$68*(8*8)+'LINEST VARS'!$I$68*(8*$BL$128)+'LINEST VARS'!$H$68*(8*$AZ148)+'LINEST VARS'!$G$68*(8*12.73)+'LINEST VARS'!$F$68*(8*$BL$128)+'LINEST VARS'!$E$68*(8*$AZ148)+'LINEST VARS'!$D$68*(8*12.73)+'LINEST VARS'!$C$68*($BL$128*$AZ148)+'LINEST VARS'!$B$68*($BL$128*12.73)+'LINEST VARS'!$A$68*($AZ148*12.73)</f>
        <v>146.39000000000001</v>
      </c>
      <c r="BM148" s="46">
        <f>'LINEST VARS'!$U$68+'LINEST VARS'!$T$68*(8)+'LINEST VARS'!$S$68*(8)+'LINEST VARS'!$R$68*($BM$128)+'LINEST VARS'!$Q$68*($AZ148)+'LINEST VARS'!$P$68*(12.73)+'LINEST VARS'!$O$68*(8^2)+'LINEST VARS'!$N$68*(8^2)+'LINEST VARS'!$M$68*($BM$128^2)+'LINEST VARS'!$L$68*($AZ148^2)+'LINEST VARS'!$K$68*(12.73^2)+'LINEST VARS'!$J$68*(8*8)+'LINEST VARS'!$I$68*(8*$BM$128)+'LINEST VARS'!$H$68*(8*$AZ148)+'LINEST VARS'!$G$68*(8*12.73)+'LINEST VARS'!$F$68*(8*$BM$128)+'LINEST VARS'!$E$68*(8*$AZ148)+'LINEST VARS'!$D$68*(8*12.73)+'LINEST VARS'!$C$68*($BM$128*$AZ148)+'LINEST VARS'!$B$68*($BM$128*12.73)+'LINEST VARS'!$A$68*($AZ148*12.73)</f>
        <v>146.39000000000001</v>
      </c>
      <c r="BN148" s="46">
        <f>'LINEST VARS'!$U$68+'LINEST VARS'!$T$68*(8)+'LINEST VARS'!$S$68*(8)+'LINEST VARS'!$R$68*($BN$128)+'LINEST VARS'!$Q$68*($AZ148)+'LINEST VARS'!$P$68*(12.73)+'LINEST VARS'!$O$68*(8^2)+'LINEST VARS'!$N$68*(8^2)+'LINEST VARS'!$M$68*($BN$128^2)+'LINEST VARS'!$L$68*($AZ148^2)+'LINEST VARS'!$K$68*(12.73^2)+'LINEST VARS'!$J$68*(8*8)+'LINEST VARS'!$I$68*(8*$BN$128)+'LINEST VARS'!$H$68*(8*$AZ148)+'LINEST VARS'!$G$68*(8*12.73)+'LINEST VARS'!$F$68*(8*$BN$128)+'LINEST VARS'!$E$68*(8*$AZ148)+'LINEST VARS'!$D$68*(8*12.73)+'LINEST VARS'!$C$68*($BN$128*$AZ148)+'LINEST VARS'!$B$68*($BN$128*12.73)+'LINEST VARS'!$A$68*($AZ148*12.73)</f>
        <v>146.39000000000001</v>
      </c>
      <c r="BO148" s="46">
        <f>'LINEST VARS'!$U$68+'LINEST VARS'!$T$68*(8)+'LINEST VARS'!$S$68*(8)+'LINEST VARS'!$R$68*($BO$128)+'LINEST VARS'!$Q$68*($AZ148)+'LINEST VARS'!$P$68*(12.73)+'LINEST VARS'!$O$68*(8^2)+'LINEST VARS'!$N$68*(8^2)+'LINEST VARS'!$M$68*($BO$128^2)+'LINEST VARS'!$L$68*($AZ148^2)+'LINEST VARS'!$K$68*(12.73^2)+'LINEST VARS'!$J$68*(8*8)+'LINEST VARS'!$I$68*(8*$BO$128)+'LINEST VARS'!$H$68*(8*$AZ148)+'LINEST VARS'!$G$68*(8*12.73)+'LINEST VARS'!$F$68*(8*$BO$128)+'LINEST VARS'!$E$68*(8*$AZ148)+'LINEST VARS'!$D$68*(8*12.73)+'LINEST VARS'!$C$68*($BO$128*$AZ148)+'LINEST VARS'!$B$68*($BO$128*12.73)+'LINEST VARS'!$A$68*($AZ148*12.73)</f>
        <v>146.39000000000001</v>
      </c>
      <c r="BP148" s="46">
        <f>'LINEST VARS'!$U$68+'LINEST VARS'!$T$68*(8)+'LINEST VARS'!$S$68*(8)+'LINEST VARS'!$R$68*($BP$128)+'LINEST VARS'!$Q$68*($AZ148)+'LINEST VARS'!$P$68*(12.73)+'LINEST VARS'!$O$68*(8^2)+'LINEST VARS'!$N$68*(8^2)+'LINEST VARS'!$M$68*($BP$128^2)+'LINEST VARS'!$L$68*($AZ148^2)+'LINEST VARS'!$K$68*(12.73^2)+'LINEST VARS'!$J$68*(8*8)+'LINEST VARS'!$I$68*(8*$BP$128)+'LINEST VARS'!$H$68*(8*$AZ148)+'LINEST VARS'!$G$68*(8*12.73)+'LINEST VARS'!$F$68*(8*$BP$128)+'LINEST VARS'!$E$68*(8*$AZ148)+'LINEST VARS'!$D$68*(8*12.73)+'LINEST VARS'!$C$68*($BP$128*$AZ148)+'LINEST VARS'!$B$68*($BP$128*12.73)+'LINEST VARS'!$A$68*($AZ148*12.73)</f>
        <v>146.39000000000001</v>
      </c>
      <c r="BQ148" s="46">
        <f>'LINEST VARS'!$U$68+'LINEST VARS'!$T$68*(8)+'LINEST VARS'!$S$68*(8)+'LINEST VARS'!$R$68*($BQ$128)+'LINEST VARS'!$Q$68*($AZ148)+'LINEST VARS'!$P$68*(12.73)+'LINEST VARS'!$O$68*(8^2)+'LINEST VARS'!$N$68*(8^2)+'LINEST VARS'!$M$68*($BQ$128^2)+'LINEST VARS'!$L$68*($AZ148^2)+'LINEST VARS'!$K$68*(12.73^2)+'LINEST VARS'!$J$68*(8*8)+'LINEST VARS'!$I$68*(8*$BQ$128)+'LINEST VARS'!$H$68*(8*$AZ148)+'LINEST VARS'!$G$68*(8*12.73)+'LINEST VARS'!$F$68*(8*$BQ$128)+'LINEST VARS'!$E$68*(8*$AZ148)+'LINEST VARS'!$D$68*(8*12.73)+'LINEST VARS'!$C$68*($BQ$128*$AZ148)+'LINEST VARS'!$B$68*($BQ$128*12.73)+'LINEST VARS'!$A$68*($AZ148*12.73)</f>
        <v>146.39000000000001</v>
      </c>
      <c r="BR148" s="46">
        <f>'LINEST VARS'!$U$68+'LINEST VARS'!$T$68*(8)+'LINEST VARS'!$S$68*(8)+'LINEST VARS'!$R$68*($BR$128)+'LINEST VARS'!$Q$68*($AZ148)+'LINEST VARS'!$P$68*(12.73)+'LINEST VARS'!$O$68*(8^2)+'LINEST VARS'!$N$68*(8^2)+'LINEST VARS'!$M$68*($BR$128^2)+'LINEST VARS'!$L$68*($AZ148^2)+'LINEST VARS'!$K$68*(12.73^2)+'LINEST VARS'!$J$68*(8*8)+'LINEST VARS'!$I$68*(8*$BR$128)+'LINEST VARS'!$H$68*(8*$AZ148)+'LINEST VARS'!$G$68*(8*12.73)+'LINEST VARS'!$F$68*(8*$BR$128)+'LINEST VARS'!$E$68*(8*$AZ148)+'LINEST VARS'!$D$68*(8*12.73)+'LINEST VARS'!$C$68*($BR$128*$AZ148)+'LINEST VARS'!$B$68*($BR$128*12.73)+'LINEST VARS'!$A$68*($AZ148*12.73)</f>
        <v>146.39000000000001</v>
      </c>
      <c r="BS148" s="46">
        <f>'LINEST VARS'!$U$68+'LINEST VARS'!$T$68*(8)+'LINEST VARS'!$S$68*(8)+'LINEST VARS'!$R$68*($BS$128)+'LINEST VARS'!$Q$68*($AZ148)+'LINEST VARS'!$P$68*(12.73)+'LINEST VARS'!$O$68*(8^2)+'LINEST VARS'!$N$68*(8^2)+'LINEST VARS'!$M$68*($BS$128^2)+'LINEST VARS'!$L$68*($AZ148^2)+'LINEST VARS'!$K$68*(12.73^2)+'LINEST VARS'!$J$68*(8*8)+'LINEST VARS'!$I$68*(8*$BS$128)+'LINEST VARS'!$H$68*(8*$AZ148)+'LINEST VARS'!$G$68*(8*12.73)+'LINEST VARS'!$F$68*(8*$BS$128)+'LINEST VARS'!$E$68*(8*$AZ148)+'LINEST VARS'!$D$68*(8*12.73)+'LINEST VARS'!$C$68*($BS$128*$AZ148)+'LINEST VARS'!$B$68*($BS$128*12.73)+'LINEST VARS'!$A$68*($AZ148*12.73)</f>
        <v>146.39000000000001</v>
      </c>
      <c r="BT148" s="46">
        <f>'LINEST VARS'!$U$68+'LINEST VARS'!$T$68*(8)+'LINEST VARS'!$S$68*(8)+'LINEST VARS'!$R$68*($BT$128)+'LINEST VARS'!$Q$68*($AZ148)+'LINEST VARS'!$P$68*(12.73)+'LINEST VARS'!$O$68*(8^2)+'LINEST VARS'!$N$68*(8^2)+'LINEST VARS'!$M$68*($BT$128^2)+'LINEST VARS'!$L$68*($AZ148^2)+'LINEST VARS'!$K$68*(12.73^2)+'LINEST VARS'!$J$68*(8*8)+'LINEST VARS'!$I$68*(8*$BT$128)+'LINEST VARS'!$H$68*(8*$AZ148)+'LINEST VARS'!$G$68*(8*12.73)+'LINEST VARS'!$F$68*(8*$BT$128)+'LINEST VARS'!$E$68*(8*$AZ148)+'LINEST VARS'!$D$68*(8*12.73)+'LINEST VARS'!$C$68*($BT$128*$AZ148)+'LINEST VARS'!$B$68*($BT$128*12.73)+'LINEST VARS'!$A$68*($AZ148*12.73)</f>
        <v>146.39000000000001</v>
      </c>
      <c r="BU148" s="47">
        <f>'LINEST VARS'!$U$68+'LINEST VARS'!$T$68*(8)+'LINEST VARS'!$S$68*(8)+'LINEST VARS'!$R$68*($BU$128)+'LINEST VARS'!$Q$68*($AZ148)+'LINEST VARS'!$P$68*(12.73)+'LINEST VARS'!$O$68*(8^2)+'LINEST VARS'!$N$68*(8^2)+'LINEST VARS'!$M$68*($BU$128^2)+'LINEST VARS'!$L$68*($AZ148^2)+'LINEST VARS'!$K$68*(12.73^2)+'LINEST VARS'!$J$68*(8*8)+'LINEST VARS'!$I$68*(8*$BU$128)+'LINEST VARS'!$H$68*(8*$AZ148)+'LINEST VARS'!$G$68*(8*12.73)+'LINEST VARS'!$F$68*(8*$BU$128)+'LINEST VARS'!$E$68*(8*$AZ148)+'LINEST VARS'!$D$68*(8*12.73)+'LINEST VARS'!$C$68*($BU$128*$AZ148)+'LINEST VARS'!$B$68*($BU$128*12.73)+'LINEST VARS'!$A$68*($AZ148*12.73)</f>
        <v>146.39000000000001</v>
      </c>
      <c r="BX148" s="45">
        <v>0.95</v>
      </c>
      <c r="BY148" s="46">
        <f>'LINEST VARS'!$U$70+'LINEST VARS'!$T$70*(8)+'LINEST VARS'!$S$70*(8)+'LINEST VARS'!$R$70*($BY$128)+'LINEST VARS'!$Q$70*($BX148)+'LINEST VARS'!$P$70*(12.73)+'LINEST VARS'!$O$70*(8^2)+'LINEST VARS'!$N$70*(8^2)+'LINEST VARS'!$M$70*($BY$128^2)+'LINEST VARS'!$L$70*($BX148^2)+'LINEST VARS'!$K$70*(12.73^2)+'LINEST VARS'!$J$70*(8*8)+'LINEST VARS'!$I$70*(8*$BY$128)+'LINEST VARS'!$H$70*(8*$BX148)+'LINEST VARS'!$G$70*(8*12.73)+'LINEST VARS'!$F$70*(8*$BY$128)+'LINEST VARS'!$E$70*(8*$BX148)+'LINEST VARS'!$D$70*(8*12.73)+'LINEST VARS'!$C$70*($BY$128*$BX148)+'LINEST VARS'!$B$70*($BY$128*12.73)+'LINEST VARS'!$A$70*($BX148*12.73)</f>
        <v>92.000000000000014</v>
      </c>
      <c r="BZ148" s="46">
        <f>'LINEST VARS'!$U$70+'LINEST VARS'!$T$70*(8)+'LINEST VARS'!$S$70*(8)+'LINEST VARS'!$R$70*($BZ$128)+'LINEST VARS'!$Q$70*($BX148)+'LINEST VARS'!$P$70*(12.73)+'LINEST VARS'!$O$70*(8^2)+'LINEST VARS'!$N$70*(8^2)+'LINEST VARS'!$M$70*($BZ$128^2)+'LINEST VARS'!$L$70*($BX148^2)+'LINEST VARS'!$K$70*(12.73^2)+'LINEST VARS'!$J$70*(8*8)+'LINEST VARS'!$I$70*(8*$BZ$128)+'LINEST VARS'!$H$70*(8*$BX148)+'LINEST VARS'!$G$70*(8*12.73)+'LINEST VARS'!$F$70*(8*$BZ$128)+'LINEST VARS'!$E$70*(8*$BX148)+'LINEST VARS'!$D$70*(8*12.73)+'LINEST VARS'!$C$70*($BZ$128*$BX148)+'LINEST VARS'!$B$70*($BZ$128*12.73)+'LINEST VARS'!$A$70*($BX148*12.73)</f>
        <v>91.600000000000009</v>
      </c>
      <c r="CA148" s="46">
        <f>'LINEST VARS'!$U$70+'LINEST VARS'!$T$70*(8)+'LINEST VARS'!$S$70*(8)+'LINEST VARS'!$R$70*($CA$128)+'LINEST VARS'!$Q$70*($BX148)+'LINEST VARS'!$P$70*(12.73)+'LINEST VARS'!$O$70*(8^2)+'LINEST VARS'!$N$70*(8^2)+'LINEST VARS'!$M$70*($CA$128^2)+'LINEST VARS'!$L$70*($BX148^2)+'LINEST VARS'!$K$70*(12.73^2)+'LINEST VARS'!$J$70*(8*8)+'LINEST VARS'!$I$70*(8*$CA$128)+'LINEST VARS'!$H$70*(8*$BX148)+'LINEST VARS'!$G$70*(8*12.73)+'LINEST VARS'!$F$70*(8*$CA$128)+'LINEST VARS'!$E$70*(8*$BX148)+'LINEST VARS'!$D$70*(8*12.73)+'LINEST VARS'!$C$70*($CA$128*$BX148)+'LINEST VARS'!$B$70*($CA$128*12.73)+'LINEST VARS'!$A$70*($BX148*12.73)</f>
        <v>91.200000000000017</v>
      </c>
      <c r="CB148" s="46">
        <f>'LINEST VARS'!$U$70+'LINEST VARS'!$T$70*(8)+'LINEST VARS'!$S$70*(8)+'LINEST VARS'!$R$70*($CB$128)+'LINEST VARS'!$Q$70*($BX148)+'LINEST VARS'!$P$70*(12.73)+'LINEST VARS'!$O$70*(8^2)+'LINEST VARS'!$N$70*(8^2)+'LINEST VARS'!$M$70*($CB$128^2)+'LINEST VARS'!$L$70*($BX148^2)+'LINEST VARS'!$K$70*(12.73^2)+'LINEST VARS'!$J$70*(8*8)+'LINEST VARS'!$I$70*(8*$CB$128)+'LINEST VARS'!$H$70*(8*$BX148)+'LINEST VARS'!$G$70*(8*12.73)+'LINEST VARS'!$F$70*(8*$CB$128)+'LINEST VARS'!$E$70*(8*$BX148)+'LINEST VARS'!$D$70*(8*12.73)+'LINEST VARS'!$C$70*($CB$128*$BX148)+'LINEST VARS'!$B$70*($CB$128*12.73)+'LINEST VARS'!$A$70*($BX148*12.73)</f>
        <v>90.800000000000011</v>
      </c>
      <c r="CC148" s="46">
        <f>'LINEST VARS'!$U$70+'LINEST VARS'!$T$70*(8)+'LINEST VARS'!$S$70*(8)+'LINEST VARS'!$R$70*($CC$128)+'LINEST VARS'!$Q$70*($BX148)+'LINEST VARS'!$P$70*(12.73)+'LINEST VARS'!$O$70*(8^2)+'LINEST VARS'!$N$70*(8^2)+'LINEST VARS'!$M$70*($CC$128^2)+'LINEST VARS'!$L$70*($BX148^2)+'LINEST VARS'!$K$70*(12.73^2)+'LINEST VARS'!$J$70*(8*8)+'LINEST VARS'!$I$70*(8*$CC$128)+'LINEST VARS'!$H$70*(8*$BX148)+'LINEST VARS'!$G$70*(8*12.73)+'LINEST VARS'!$F$70*(8*$CC$128)+'LINEST VARS'!$E$70*(8*$BX148)+'LINEST VARS'!$D$70*(8*12.73)+'LINEST VARS'!$C$70*($CC$128*$BX148)+'LINEST VARS'!$B$70*($CC$128*12.73)+'LINEST VARS'!$A$70*($BX148*12.73)</f>
        <v>90.40000000000002</v>
      </c>
      <c r="CD148" s="46">
        <f>'LINEST VARS'!$U$70+'LINEST VARS'!$T$70*(8)+'LINEST VARS'!$S$70*(8)+'LINEST VARS'!$R$70*($CD$128)+'LINEST VARS'!$Q$70*($BX148)+'LINEST VARS'!$P$70*(12.73)+'LINEST VARS'!$O$70*(8^2)+'LINEST VARS'!$N$70*(8^2)+'LINEST VARS'!$M$70*($CD$128^2)+'LINEST VARS'!$L$70*($BX148^2)+'LINEST VARS'!$K$70*(12.73^2)+'LINEST VARS'!$J$70*(8*8)+'LINEST VARS'!$I$70*(8*$CD$128)+'LINEST VARS'!$H$70*(8*$BX148)+'LINEST VARS'!$G$70*(8*12.73)+'LINEST VARS'!$F$70*(8*$CD$128)+'LINEST VARS'!$E$70*(8*$BX148)+'LINEST VARS'!$D$70*(8*12.73)+'LINEST VARS'!$C$70*($CD$128*$BX148)+'LINEST VARS'!$B$70*($CD$128*12.73)+'LINEST VARS'!$A$70*($BX148*12.73)</f>
        <v>90.000000000000014</v>
      </c>
      <c r="CE148" s="46">
        <f>'LINEST VARS'!$U$70+'LINEST VARS'!$T$70*(8)+'LINEST VARS'!$S$70*(8)+'LINEST VARS'!$R$70*($CE$128)+'LINEST VARS'!$Q$70*($BX148)+'LINEST VARS'!$P$70*(12.73)+'LINEST VARS'!$O$70*(8^2)+'LINEST VARS'!$N$70*(8^2)+'LINEST VARS'!$M$70*($CE$128^2)+'LINEST VARS'!$L$70*($BX148^2)+'LINEST VARS'!$K$70*(12.73^2)+'LINEST VARS'!$J$70*(8*8)+'LINEST VARS'!$I$70*(8*$CE$128)+'LINEST VARS'!$H$70*(8*$BX148)+'LINEST VARS'!$G$70*(8*12.73)+'LINEST VARS'!$F$70*(8*$CE$128)+'LINEST VARS'!$E$70*(8*$BX148)+'LINEST VARS'!$D$70*(8*12.73)+'LINEST VARS'!$C$70*($CE$128*$BX148)+'LINEST VARS'!$B$70*($CE$128*12.73)+'LINEST VARS'!$A$70*($BX148*12.73)</f>
        <v>89.600000000000023</v>
      </c>
      <c r="CF148" s="46">
        <f>'LINEST VARS'!$U$70+'LINEST VARS'!$T$70*(8)+'LINEST VARS'!$S$70*(8)+'LINEST VARS'!$R$70*($CF$128)+'LINEST VARS'!$Q$70*($BX148)+'LINEST VARS'!$P$70*(12.73)+'LINEST VARS'!$O$70*(8^2)+'LINEST VARS'!$N$70*(8^2)+'LINEST VARS'!$M$70*($CF$128^2)+'LINEST VARS'!$L$70*($BX148^2)+'LINEST VARS'!$K$70*(12.73^2)+'LINEST VARS'!$J$70*(8*8)+'LINEST VARS'!$I$70*(8*$CF$128)+'LINEST VARS'!$H$70*(8*$BX148)+'LINEST VARS'!$G$70*(8*12.73)+'LINEST VARS'!$F$70*(8*$CF$128)+'LINEST VARS'!$E$70*(8*$BX148)+'LINEST VARS'!$D$70*(8*12.73)+'LINEST VARS'!$C$70*($CF$128*$BX148)+'LINEST VARS'!$B$70*($CF$128*12.73)+'LINEST VARS'!$A$70*($BX148*12.73)</f>
        <v>89.200000000000017</v>
      </c>
      <c r="CG148" s="46">
        <f>'LINEST VARS'!$U$70+'LINEST VARS'!$T$70*(8)+'LINEST VARS'!$S$70*(8)+'LINEST VARS'!$R$70*($CG$128)+'LINEST VARS'!$Q$70*($BX148)+'LINEST VARS'!$P$70*(12.73)+'LINEST VARS'!$O$70*(8^2)+'LINEST VARS'!$N$70*(8^2)+'LINEST VARS'!$M$70*($CG$128^2)+'LINEST VARS'!$L$70*($BX148^2)+'LINEST VARS'!$K$70*(12.73^2)+'LINEST VARS'!$J$70*(8*8)+'LINEST VARS'!$I$70*(8*$CG$128)+'LINEST VARS'!$H$70*(8*$BX148)+'LINEST VARS'!$G$70*(8*12.73)+'LINEST VARS'!$F$70*(8*$CG$128)+'LINEST VARS'!$E$70*(8*$BX148)+'LINEST VARS'!$D$70*(8*12.73)+'LINEST VARS'!$C$70*($CG$128*$BX148)+'LINEST VARS'!$B$70*($CG$128*12.73)+'LINEST VARS'!$A$70*($BX148*12.73)</f>
        <v>88.800000000000026</v>
      </c>
      <c r="CH148" s="46">
        <f>'LINEST VARS'!$U$70+'LINEST VARS'!$T$70*(8)+'LINEST VARS'!$S$70*(8)+'LINEST VARS'!$R$70*($CH$128)+'LINEST VARS'!$Q$70*($BX148)+'LINEST VARS'!$P$70*(12.73)+'LINEST VARS'!$O$70*(8^2)+'LINEST VARS'!$N$70*(8^2)+'LINEST VARS'!$M$70*($CH$128^2)+'LINEST VARS'!$L$70*($BX148^2)+'LINEST VARS'!$K$70*(12.73^2)+'LINEST VARS'!$J$70*(8*8)+'LINEST VARS'!$I$70*(8*$CH$128)+'LINEST VARS'!$H$70*(8*$BX148)+'LINEST VARS'!$G$70*(8*12.73)+'LINEST VARS'!$F$70*(8*$CH$128)+'LINEST VARS'!$E$70*(8*$BX148)+'LINEST VARS'!$D$70*(8*12.73)+'LINEST VARS'!$C$70*($CH$128*$BX148)+'LINEST VARS'!$B$70*($CH$128*12.73)+'LINEST VARS'!$A$70*($BX148*12.73)</f>
        <v>88.40000000000002</v>
      </c>
      <c r="CI148" s="46">
        <f>'LINEST VARS'!$U$70+'LINEST VARS'!$T$70*(8)+'LINEST VARS'!$S$70*(8)+'LINEST VARS'!$R$70*($CI$128)+'LINEST VARS'!$Q$70*($BX148)+'LINEST VARS'!$P$70*(12.73)+'LINEST VARS'!$O$70*(8^2)+'LINEST VARS'!$N$70*(8^2)+'LINEST VARS'!$M$70*($CI$128^2)+'LINEST VARS'!$L$70*($BX148^2)+'LINEST VARS'!$K$70*(12.73^2)+'LINEST VARS'!$J$70*(8*8)+'LINEST VARS'!$I$70*(8*$CI$128)+'LINEST VARS'!$H$70*(8*$BX148)+'LINEST VARS'!$G$70*(8*12.73)+'LINEST VARS'!$F$70*(8*$CI$128)+'LINEST VARS'!$E$70*(8*$BX148)+'LINEST VARS'!$D$70*(8*12.73)+'LINEST VARS'!$C$70*($CI$128*$BX148)+'LINEST VARS'!$B$70*($CI$128*12.73)+'LINEST VARS'!$A$70*($BX148*12.73)</f>
        <v>88.000000000000014</v>
      </c>
      <c r="CJ148" s="46">
        <f>'LINEST VARS'!$U$70+'LINEST VARS'!$T$70*(8)+'LINEST VARS'!$S$70*(8)+'LINEST VARS'!$R$70*($CJ$128)+'LINEST VARS'!$Q$70*($BX148)+'LINEST VARS'!$P$70*(12.73)+'LINEST VARS'!$O$70*(8^2)+'LINEST VARS'!$N$70*(8^2)+'LINEST VARS'!$M$70*($CJ$128^2)+'LINEST VARS'!$L$70*($BX148^2)+'LINEST VARS'!$K$70*(12.73^2)+'LINEST VARS'!$J$70*(8*8)+'LINEST VARS'!$I$70*(8*$CJ$128)+'LINEST VARS'!$H$70*(8*$BX148)+'LINEST VARS'!$G$70*(8*12.73)+'LINEST VARS'!$F$70*(8*$CJ$128)+'LINEST VARS'!$E$70*(8*$BX148)+'LINEST VARS'!$D$70*(8*12.73)+'LINEST VARS'!$C$70*($CJ$128*$BX148)+'LINEST VARS'!$B$70*($CJ$128*12.73)+'LINEST VARS'!$A$70*($BX148*12.73)</f>
        <v>87.600000000000023</v>
      </c>
      <c r="CK148" s="46">
        <f>'LINEST VARS'!$U$70+'LINEST VARS'!$T$70*(8)+'LINEST VARS'!$S$70*(8)+'LINEST VARS'!$R$70*($CK$128)+'LINEST VARS'!$Q$70*($BX148)+'LINEST VARS'!$P$70*(12.73)+'LINEST VARS'!$O$70*(8^2)+'LINEST VARS'!$N$70*(8^2)+'LINEST VARS'!$M$70*($CK$128^2)+'LINEST VARS'!$L$70*($BX148^2)+'LINEST VARS'!$K$70*(12.73^2)+'LINEST VARS'!$J$70*(8*8)+'LINEST VARS'!$I$70*(8*$CK$128)+'LINEST VARS'!$H$70*(8*$BX148)+'LINEST VARS'!$G$70*(8*12.73)+'LINEST VARS'!$F$70*(8*$CK$128)+'LINEST VARS'!$E$70*(8*$BX148)+'LINEST VARS'!$D$70*(8*12.73)+'LINEST VARS'!$C$70*($CK$128*$BX148)+'LINEST VARS'!$B$70*($CK$128*12.73)+'LINEST VARS'!$A$70*($BX148*12.73)</f>
        <v>87.200000000000017</v>
      </c>
      <c r="CL148" s="46">
        <f>'LINEST VARS'!$U$70+'LINEST VARS'!$T$70*(8)+'LINEST VARS'!$S$70*(8)+'LINEST VARS'!$R$70*($CL$128)+'LINEST VARS'!$Q$70*($BX148)+'LINEST VARS'!$P$70*(12.73)+'LINEST VARS'!$O$70*(8^2)+'LINEST VARS'!$N$70*(8^2)+'LINEST VARS'!$M$70*($CL$128^2)+'LINEST VARS'!$L$70*($BX148^2)+'LINEST VARS'!$K$70*(12.73^2)+'LINEST VARS'!$J$70*(8*8)+'LINEST VARS'!$I$70*(8*$CL$128)+'LINEST VARS'!$H$70*(8*$BX148)+'LINEST VARS'!$G$70*(8*12.73)+'LINEST VARS'!$F$70*(8*$CL$128)+'LINEST VARS'!$E$70*(8*$BX148)+'LINEST VARS'!$D$70*(8*12.73)+'LINEST VARS'!$C$70*($CL$128*$BX148)+'LINEST VARS'!$B$70*($CL$128*12.73)+'LINEST VARS'!$A$70*($BX148*12.73)</f>
        <v>86.800000000000026</v>
      </c>
      <c r="CM148" s="46">
        <f>'LINEST VARS'!$U$70+'LINEST VARS'!$T$70*(8)+'LINEST VARS'!$S$70*(8)+'LINEST VARS'!$R$70*($CM$128)+'LINEST VARS'!$Q$70*($BX148)+'LINEST VARS'!$P$70*(12.73)+'LINEST VARS'!$O$70*(8^2)+'LINEST VARS'!$N$70*(8^2)+'LINEST VARS'!$M$70*($CM$128^2)+'LINEST VARS'!$L$70*($BX148^2)+'LINEST VARS'!$K$70*(12.73^2)+'LINEST VARS'!$J$70*(8*8)+'LINEST VARS'!$I$70*(8*$CM$128)+'LINEST VARS'!$H$70*(8*$BX148)+'LINEST VARS'!$G$70*(8*12.73)+'LINEST VARS'!$F$70*(8*$CM$128)+'LINEST VARS'!$E$70*(8*$BX148)+'LINEST VARS'!$D$70*(8*12.73)+'LINEST VARS'!$C$70*($CM$128*$BX148)+'LINEST VARS'!$B$70*($CM$128*12.73)+'LINEST VARS'!$A$70*($BX148*12.73)</f>
        <v>86.40000000000002</v>
      </c>
      <c r="CN148" s="46">
        <f>'LINEST VARS'!$U$70+'LINEST VARS'!$T$70*(8)+'LINEST VARS'!$S$70*(8)+'LINEST VARS'!$R$70*($CN$128)+'LINEST VARS'!$Q$70*($BX148)+'LINEST VARS'!$P$70*(12.73)+'LINEST VARS'!$O$70*(8^2)+'LINEST VARS'!$N$70*(8^2)+'LINEST VARS'!$M$70*($CN$128^2)+'LINEST VARS'!$L$70*($BX148^2)+'LINEST VARS'!$K$70*(12.73^2)+'LINEST VARS'!$J$70*(8*8)+'LINEST VARS'!$I$70*(8*$CN$128)+'LINEST VARS'!$H$70*(8*$BX148)+'LINEST VARS'!$G$70*(8*12.73)+'LINEST VARS'!$F$70*(8*$CN$128)+'LINEST VARS'!$E$70*(8*$BX148)+'LINEST VARS'!$D$70*(8*12.73)+'LINEST VARS'!$C$70*($CN$128*$BX148)+'LINEST VARS'!$B$70*($CN$128*12.73)+'LINEST VARS'!$A$70*($BX148*12.73)</f>
        <v>86.000000000000014</v>
      </c>
      <c r="CO148" s="46">
        <f>'LINEST VARS'!$U$70+'LINEST VARS'!$T$70*(8)+'LINEST VARS'!$S$70*(8)+'LINEST VARS'!$R$70*($CO$128)+'LINEST VARS'!$Q$70*($BX148)+'LINEST VARS'!$P$70*(12.73)+'LINEST VARS'!$O$70*(8^2)+'LINEST VARS'!$N$70*(8^2)+'LINEST VARS'!$M$70*($CO$128^2)+'LINEST VARS'!$L$70*($BX148^2)+'LINEST VARS'!$K$70*(12.73^2)+'LINEST VARS'!$J$70*(8*8)+'LINEST VARS'!$I$70*(8*$CO$128)+'LINEST VARS'!$H$70*(8*$BX148)+'LINEST VARS'!$G$70*(8*12.73)+'LINEST VARS'!$F$70*(8*$CO$128)+'LINEST VARS'!$E$70*(8*$BX148)+'LINEST VARS'!$D$70*(8*12.73)+'LINEST VARS'!$C$70*($CO$128*$BX148)+'LINEST VARS'!$B$70*($CO$128*12.73)+'LINEST VARS'!$A$70*($BX148*12.73)</f>
        <v>85.600000000000009</v>
      </c>
      <c r="CP148" s="46">
        <f>'LINEST VARS'!$U$70+'LINEST VARS'!$T$70*(8)+'LINEST VARS'!$S$70*(8)+'LINEST VARS'!$R$70*($CP$128)+'LINEST VARS'!$Q$70*($BX148)+'LINEST VARS'!$P$70*(12.73)+'LINEST VARS'!$O$70*(8^2)+'LINEST VARS'!$N$70*(8^2)+'LINEST VARS'!$M$70*($CP$128^2)+'LINEST VARS'!$L$70*($BX148^2)+'LINEST VARS'!$K$70*(12.73^2)+'LINEST VARS'!$J$70*(8*8)+'LINEST VARS'!$I$70*(8*$CP$128)+'LINEST VARS'!$H$70*(8*$BX148)+'LINEST VARS'!$G$70*(8*12.73)+'LINEST VARS'!$F$70*(8*$CP$128)+'LINEST VARS'!$E$70*(8*$BX148)+'LINEST VARS'!$D$70*(8*12.73)+'LINEST VARS'!$C$70*($CP$128*$BX148)+'LINEST VARS'!$B$70*($CP$128*12.73)+'LINEST VARS'!$A$70*($BX148*12.73)</f>
        <v>85.200000000000017</v>
      </c>
      <c r="CQ148" s="46">
        <f>'LINEST VARS'!$U$70+'LINEST VARS'!$T$70*(8)+'LINEST VARS'!$S$70*(8)+'LINEST VARS'!$R$70*($CQ$128)+'LINEST VARS'!$Q$70*($BX148)+'LINEST VARS'!$P$70*(12.73)+'LINEST VARS'!$O$70*(8^2)+'LINEST VARS'!$N$70*(8^2)+'LINEST VARS'!$M$70*($CQ$128^2)+'LINEST VARS'!$L$70*($BX148^2)+'LINEST VARS'!$K$70*(12.73^2)+'LINEST VARS'!$J$70*(8*8)+'LINEST VARS'!$I$70*(8*$CQ$128)+'LINEST VARS'!$H$70*(8*$BX148)+'LINEST VARS'!$G$70*(8*12.73)+'LINEST VARS'!$F$70*(8*$CQ$128)+'LINEST VARS'!$E$70*(8*$BX148)+'LINEST VARS'!$D$70*(8*12.73)+'LINEST VARS'!$C$70*($CQ$128*$BX148)+'LINEST VARS'!$B$70*($CQ$128*12.73)+'LINEST VARS'!$A$70*($BX148*12.73)</f>
        <v>84.800000000000011</v>
      </c>
      <c r="CR148" s="46">
        <f>'LINEST VARS'!$U$70+'LINEST VARS'!$T$70*(8)+'LINEST VARS'!$S$70*(8)+'LINEST VARS'!$R$70*($CR$128)+'LINEST VARS'!$Q$70*($BX148)+'LINEST VARS'!$P$70*(12.73)+'LINEST VARS'!$O$70*(8^2)+'LINEST VARS'!$N$70*(8^2)+'LINEST VARS'!$M$70*($CR$128^2)+'LINEST VARS'!$L$70*($BX148^2)+'LINEST VARS'!$K$70*(12.73^2)+'LINEST VARS'!$J$70*(8*8)+'LINEST VARS'!$I$70*(8*$CR$128)+'LINEST VARS'!$H$70*(8*$BX148)+'LINEST VARS'!$G$70*(8*12.73)+'LINEST VARS'!$F$70*(8*$CR$128)+'LINEST VARS'!$E$70*(8*$BX148)+'LINEST VARS'!$D$70*(8*12.73)+'LINEST VARS'!$C$70*($CR$128*$BX148)+'LINEST VARS'!$B$70*($CR$128*12.73)+'LINEST VARS'!$A$70*($BX148*12.73)</f>
        <v>84.400000000000034</v>
      </c>
      <c r="CS148" s="47">
        <f>'LINEST VARS'!$U$70+'LINEST VARS'!$T$70*(8)+'LINEST VARS'!$S$70*(8)+'LINEST VARS'!$R$70*($CS$128)+'LINEST VARS'!$Q$70*($BX148)+'LINEST VARS'!$P$70*(12.73)+'LINEST VARS'!$O$70*(8^2)+'LINEST VARS'!$N$70*(8^2)+'LINEST VARS'!$M$70*($CS$128^2)+'LINEST VARS'!$L$70*($BX148^2)+'LINEST VARS'!$K$70*(12.73^2)+'LINEST VARS'!$J$70*(8*8)+'LINEST VARS'!$I$70*(8*$CS$128)+'LINEST VARS'!$H$70*(8*$BX148)+'LINEST VARS'!$G$70*(8*12.73)+'LINEST VARS'!$F$70*(8*$CS$128)+'LINEST VARS'!$E$70*(8*$BX148)+'LINEST VARS'!$D$70*(8*12.73)+'LINEST VARS'!$C$70*($CS$128*$BX148)+'LINEST VARS'!$B$70*($CS$128*12.73)+'LINEST VARS'!$A$70*($BX148*12.73)</f>
        <v>84.000000000000028</v>
      </c>
      <c r="CX148" s="45">
        <v>24.6905</v>
      </c>
      <c r="CY148" s="46">
        <f>'LINEST VARS'!$U$68+'LINEST VARS'!$T$68*(8)+'LINEST VARS'!$S$68*(8)+'LINEST VARS'!$R$68*($CY$128)+'LINEST VARS'!$Q$68*(0.5)+'LINEST VARS'!$P$68*($CX148)+'LINEST VARS'!$O$68*(8^2)+'LINEST VARS'!$N$68*(8^2)+'LINEST VARS'!$M$68*($CY$128^2)+'LINEST VARS'!$L$68*(0.5^2)+'LINEST VARS'!$K$68*($CX148^2)+'LINEST VARS'!$J$68*(8*8)+'LINEST VARS'!$I$68*(8*$CY$128)+'LINEST VARS'!$H$68*(8*0.5)+'LINEST VARS'!$G$68*(8*$CX148)+'LINEST VARS'!$F$68*(8*$CY$128)+'LINEST VARS'!$E$68*(8*0.5)+'LINEST VARS'!$D$68*(8*$CX148)+'LINEST VARS'!$C$68*($CY$128*0.5)+'LINEST VARS'!$B$68*($CY$128*$CX148)+'LINEST VARS'!$A$68*(0.5*$CX148)</f>
        <v>149</v>
      </c>
      <c r="CZ148" s="46">
        <f>'LINEST VARS'!$U$68+'LINEST VARS'!$T$68*(8)+'LINEST VARS'!$S$68*(8)+'LINEST VARS'!$R$68*($CZ$128)+'LINEST VARS'!$Q$68*(0.5)+'LINEST VARS'!$P$68*($CX148)+'LINEST VARS'!$O$68*(8^2)+'LINEST VARS'!$N$68*(8^2)+'LINEST VARS'!$M$68*($CZ$128^2)+'LINEST VARS'!$L$68*(0.5^2)+'LINEST VARS'!$K$68*($CX148^2)+'LINEST VARS'!$J$68*(8*8)+'LINEST VARS'!$I$68*(8*$CZ$128)+'LINEST VARS'!$H$68*(8*0.5)+'LINEST VARS'!$G$68*(8*$CX148)+'LINEST VARS'!$F$68*(8*$CZ$128)+'LINEST VARS'!$E$68*(8*0.5)+'LINEST VARS'!$D$68*(8*$CX148)+'LINEST VARS'!$C$68*($CZ$128*0.5)+'LINEST VARS'!$B$68*($CZ$128*$CX148)+'LINEST VARS'!$A$68*(0.5*$CX148)</f>
        <v>149</v>
      </c>
      <c r="DA148" s="46">
        <f>'LINEST VARS'!$U$68+'LINEST VARS'!$T$68*(8)+'LINEST VARS'!$S$68*(8)+'LINEST VARS'!$R$68*($DA$128)+'LINEST VARS'!$Q$68*(0.5)+'LINEST VARS'!$P$68*($CX148)+'LINEST VARS'!$O$68*(8^2)+'LINEST VARS'!$N$68*(8^2)+'LINEST VARS'!$M$68*($DA$128^2)+'LINEST VARS'!$L$68*(0.5^2)+'LINEST VARS'!$K$68*($CX148^2)+'LINEST VARS'!$J$68*(8*8)+'LINEST VARS'!$I$68*(8*$DA$128)+'LINEST VARS'!$H$68*(8*0.5)+'LINEST VARS'!$G$68*(8*$CX148)+'LINEST VARS'!$F$68*(8*$DA$128)+'LINEST VARS'!$E$68*(8*0.5)+'LINEST VARS'!$D$68*(8*$CX148)+'LINEST VARS'!$C$68*($DA$128*0.5)+'LINEST VARS'!$B$68*($DA$128*$CX148)+'LINEST VARS'!$A$68*(0.5*$CX148)</f>
        <v>149</v>
      </c>
      <c r="DB148" s="46">
        <f>'LINEST VARS'!$U$68+'LINEST VARS'!$T$68*(8)+'LINEST VARS'!$S$68*(8)+'LINEST VARS'!$R$68*($DB$128)+'LINEST VARS'!$Q$68*(0.5)+'LINEST VARS'!$P$68*($CX148)+'LINEST VARS'!$O$68*(8^2)+'LINEST VARS'!$N$68*(8^2)+'LINEST VARS'!$M$68*($DB$128^2)+'LINEST VARS'!$L$68*(0.5^2)+'LINEST VARS'!$K$68*($CX148^2)+'LINEST VARS'!$J$68*(8*8)+'LINEST VARS'!$I$68*(8*$DB$128)+'LINEST VARS'!$H$68*(8*0.5)+'LINEST VARS'!$G$68*(8*$CX148)+'LINEST VARS'!$F$68*(8*$DB$128)+'LINEST VARS'!$E$68*(8*0.5)+'LINEST VARS'!$D$68*(8*$CX148)+'LINEST VARS'!$C$68*($DB$128*0.5)+'LINEST VARS'!$B$68*($DB$128*$CX148)+'LINEST VARS'!$A$68*(0.5*$CX148)</f>
        <v>149</v>
      </c>
      <c r="DC148" s="46">
        <f>'LINEST VARS'!$U$68+'LINEST VARS'!$T$68*(8)+'LINEST VARS'!$S$68*(8)+'LINEST VARS'!$R$68*($DC$128)+'LINEST VARS'!$Q$68*(0.5)+'LINEST VARS'!$P$68*($CX148)+'LINEST VARS'!$O$68*(8^2)+'LINEST VARS'!$N$68*(8^2)+'LINEST VARS'!$M$68*($DC$128^2)+'LINEST VARS'!$L$68*(0.5^2)+'LINEST VARS'!$K$68*($CX148^2)+'LINEST VARS'!$J$68*(8*8)+'LINEST VARS'!$I$68*(8*$DC$128)+'LINEST VARS'!$H$68*(8*0.5)+'LINEST VARS'!$G$68*(8*$CX148)+'LINEST VARS'!$F$68*(8*$DC$128)+'LINEST VARS'!$E$68*(8*0.5)+'LINEST VARS'!$D$68*(8*$CX148)+'LINEST VARS'!$C$68*($DC$128*0.5)+'LINEST VARS'!$B$68*($DC$128*$CX148)+'LINEST VARS'!$A$68*(0.5*$CX148)</f>
        <v>149</v>
      </c>
      <c r="DD148" s="46">
        <f>'LINEST VARS'!$U$68+'LINEST VARS'!$T$68*(8)+'LINEST VARS'!$S$68*(8)+'LINEST VARS'!$R$68*($DD$128)+'LINEST VARS'!$Q$68*(0.5)+'LINEST VARS'!$P$68*($CX148)+'LINEST VARS'!$O$68*(8^2)+'LINEST VARS'!$N$68*(8^2)+'LINEST VARS'!$M$68*($DD$128^2)+'LINEST VARS'!$L$68*(0.5^2)+'LINEST VARS'!$K$68*($CX148^2)+'LINEST VARS'!$J$68*(8*8)+'LINEST VARS'!$I$68*(8*$DD$128)+'LINEST VARS'!$H$68*(8*0.5)+'LINEST VARS'!$G$68*(8*$CX148)+'LINEST VARS'!$F$68*(8*$DD$128)+'LINEST VARS'!$E$68*(8*0.5)+'LINEST VARS'!$D$68*(8*$CX148)+'LINEST VARS'!$C$68*($DD$128*0.5)+'LINEST VARS'!$B$68*($DD$128*$CX148)+'LINEST VARS'!$A$68*(0.5*$CX148)</f>
        <v>149</v>
      </c>
      <c r="DE148" s="46">
        <f>'LINEST VARS'!$U$68+'LINEST VARS'!$T$68*(8)+'LINEST VARS'!$S$68*(8)+'LINEST VARS'!$R$68*($DE$128)+'LINEST VARS'!$Q$68*(0.5)+'LINEST VARS'!$P$68*($CX148)+'LINEST VARS'!$O$68*(8^2)+'LINEST VARS'!$N$68*(8^2)+'LINEST VARS'!$M$68*($DE$128^2)+'LINEST VARS'!$L$68*(0.5^2)+'LINEST VARS'!$K$68*($CX148^2)+'LINEST VARS'!$J$68*(8*8)+'LINEST VARS'!$I$68*(8*$DE$128)+'LINEST VARS'!$H$68*(8*0.5)+'LINEST VARS'!$G$68*(8*$CX148)+'LINEST VARS'!$F$68*(8*$DE$128)+'LINEST VARS'!$E$68*(8*0.5)+'LINEST VARS'!$D$68*(8*$CX148)+'LINEST VARS'!$C$68*($DE$128*0.5)+'LINEST VARS'!$B$68*($DE$128*$CX148)+'LINEST VARS'!$A$68*(0.5*$CX148)</f>
        <v>149</v>
      </c>
      <c r="DF148" s="46">
        <f>'LINEST VARS'!$U$68+'LINEST VARS'!$T$68*(8)+'LINEST VARS'!$S$68*(8)+'LINEST VARS'!$R$68*($DF$128)+'LINEST VARS'!$Q$68*(0.5)+'LINEST VARS'!$P$68*($CX148)+'LINEST VARS'!$O$68*(8^2)+'LINEST VARS'!$N$68*(8^2)+'LINEST VARS'!$M$68*($DF$128^2)+'LINEST VARS'!$L$68*(0.5^2)+'LINEST VARS'!$K$68*($CX148^2)+'LINEST VARS'!$J$68*(8*8)+'LINEST VARS'!$I$68*(8*$DF$128)+'LINEST VARS'!$H$68*(8*0.5)+'LINEST VARS'!$G$68*(8*$CX148)+'LINEST VARS'!$F$68*(8*$DF$128)+'LINEST VARS'!$E$68*(8*0.5)+'LINEST VARS'!$D$68*(8*$CX148)+'LINEST VARS'!$C$68*($DF$128*0.5)+'LINEST VARS'!$B$68*($DF$128*$CX148)+'LINEST VARS'!$A$68*(0.5*$CX148)</f>
        <v>149</v>
      </c>
      <c r="DG148" s="46">
        <f>'LINEST VARS'!$U$68+'LINEST VARS'!$T$68*(8)+'LINEST VARS'!$S$68*(8)+'LINEST VARS'!$R$68*($DG$128)+'LINEST VARS'!$Q$68*(0.5)+'LINEST VARS'!$P$68*($CX148)+'LINEST VARS'!$O$68*(8^2)+'LINEST VARS'!$N$68*(8^2)+'LINEST VARS'!$M$68*($DG$128^2)+'LINEST VARS'!$L$68*(0.5^2)+'LINEST VARS'!$K$68*($CX148^2)+'LINEST VARS'!$J$68*(8*8)+'LINEST VARS'!$I$68*(8*$DG$128)+'LINEST VARS'!$H$68*(8*0.5)+'LINEST VARS'!$G$68*(8*$CX148)+'LINEST VARS'!$F$68*(8*$DG$128)+'LINEST VARS'!$E$68*(8*0.5)+'LINEST VARS'!$D$68*(8*$CX148)+'LINEST VARS'!$C$68*($DG$128*0.5)+'LINEST VARS'!$B$68*($DG$128*$CX148)+'LINEST VARS'!$A$68*(0.5*$CX148)</f>
        <v>149</v>
      </c>
      <c r="DH148" s="46">
        <f>'LINEST VARS'!$U$68+'LINEST VARS'!$T$68*(8)+'LINEST VARS'!$S$68*(8)+'LINEST VARS'!$R$68*($DH$128)+'LINEST VARS'!$Q$68*(0.5)+'LINEST VARS'!$P$68*($CX148)+'LINEST VARS'!$O$68*(8^2)+'LINEST VARS'!$N$68*(8^2)+'LINEST VARS'!$M$68*($DH$128^2)+'LINEST VARS'!$L$68*(0.5^2)+'LINEST VARS'!$K$68*($CX148^2)+'LINEST VARS'!$J$68*(8*8)+'LINEST VARS'!$I$68*(8*$DH$128)+'LINEST VARS'!$H$68*(8*0.5)+'LINEST VARS'!$G$68*(8*$CX148)+'LINEST VARS'!$F$68*(8*$DH$128)+'LINEST VARS'!$E$68*(8*0.5)+'LINEST VARS'!$D$68*(8*$CX148)+'LINEST VARS'!$C$68*($DH$128*0.5)+'LINEST VARS'!$B$68*($DH$128*$CX148)+'LINEST VARS'!$A$68*(0.5*$CX148)</f>
        <v>149</v>
      </c>
      <c r="DI148" s="46">
        <f>'LINEST VARS'!$U$68+'LINEST VARS'!$T$68*(8)+'LINEST VARS'!$S$68*(8)+'LINEST VARS'!$R$68*($DI$128)+'LINEST VARS'!$Q$68*(0.5)+'LINEST VARS'!$P$68*($CX148)+'LINEST VARS'!$O$68*(8^2)+'LINEST VARS'!$N$68*(8^2)+'LINEST VARS'!$M$68*($DI$128^2)+'LINEST VARS'!$L$68*(0.5^2)+'LINEST VARS'!$K$68*($CX148^2)+'LINEST VARS'!$J$68*(8*8)+'LINEST VARS'!$I$68*(8*$DI$128)+'LINEST VARS'!$H$68*(8*0.5)+'LINEST VARS'!$G$68*(8*$CX148)+'LINEST VARS'!$F$68*(8*$DI$128)+'LINEST VARS'!$E$68*(8*0.5)+'LINEST VARS'!$D$68*(8*$CX148)+'LINEST VARS'!$C$68*($DI$128*0.5)+'LINEST VARS'!$B$68*($DI$128*$CX148)+'LINEST VARS'!$A$68*(0.5*$CX148)</f>
        <v>149</v>
      </c>
      <c r="DJ148" s="46">
        <f>'LINEST VARS'!$U$68+'LINEST VARS'!$T$68*(8)+'LINEST VARS'!$S$68*(8)+'LINEST VARS'!$R$68*($DJ$128)+'LINEST VARS'!$Q$68*(0.5)+'LINEST VARS'!$P$68*($CX148)+'LINEST VARS'!$O$68*(8^2)+'LINEST VARS'!$N$68*(8^2)+'LINEST VARS'!$M$68*($DJ$128^2)+'LINEST VARS'!$L$68*(0.5^2)+'LINEST VARS'!$K$68*($CX148^2)+'LINEST VARS'!$J$68*(8*8)+'LINEST VARS'!$I$68*(8*$DJ$128)+'LINEST VARS'!$H$68*(8*0.5)+'LINEST VARS'!$G$68*(8*$CX148)+'LINEST VARS'!$F$68*(8*$DJ$128)+'LINEST VARS'!$E$68*(8*0.5)+'LINEST VARS'!$D$68*(8*$CX148)+'LINEST VARS'!$C$68*($DJ$128*0.5)+'LINEST VARS'!$B$68*($DJ$128*$CX148)+'LINEST VARS'!$A$68*(0.5*$CX148)</f>
        <v>149</v>
      </c>
      <c r="DK148" s="46">
        <f>'LINEST VARS'!$U$68+'LINEST VARS'!$T$68*(8)+'LINEST VARS'!$S$68*(8)+'LINEST VARS'!$R$68*($DK$128)+'LINEST VARS'!$Q$68*(0.5)+'LINEST VARS'!$P$68*($CX148)+'LINEST VARS'!$O$68*(8^2)+'LINEST VARS'!$N$68*(8^2)+'LINEST VARS'!$M$68*($DK$128^2)+'LINEST VARS'!$L$68*(0.5^2)+'LINEST VARS'!$K$68*($CX148^2)+'LINEST VARS'!$J$68*(8*8)+'LINEST VARS'!$I$68*(8*$DK$128)+'LINEST VARS'!$H$68*(8*0.5)+'LINEST VARS'!$G$68*(8*$CX148)+'LINEST VARS'!$F$68*(8*$DK$128)+'LINEST VARS'!$E$68*(8*0.5)+'LINEST VARS'!$D$68*(8*$CX148)+'LINEST VARS'!$C$68*($DK$128*0.5)+'LINEST VARS'!$B$68*($DK$128*$CX148)+'LINEST VARS'!$A$68*(0.5*$CX148)</f>
        <v>149</v>
      </c>
      <c r="DL148" s="46">
        <f>'LINEST VARS'!$U$68+'LINEST VARS'!$T$68*(8)+'LINEST VARS'!$S$68*(8)+'LINEST VARS'!$R$68*($DL$128)+'LINEST VARS'!$Q$68*(0.5)+'LINEST VARS'!$P$68*($CX148)+'LINEST VARS'!$O$68*(8^2)+'LINEST VARS'!$N$68*(8^2)+'LINEST VARS'!$M$68*($DL$128^2)+'LINEST VARS'!$L$68*(0.5^2)+'LINEST VARS'!$K$68*($CX148^2)+'LINEST VARS'!$J$68*(8*8)+'LINEST VARS'!$I$68*(8*$DL$128)+'LINEST VARS'!$H$68*(8*0.5)+'LINEST VARS'!$G$68*(8*$CX148)+'LINEST VARS'!$F$68*(8*$DL$128)+'LINEST VARS'!$E$68*(8*0.5)+'LINEST VARS'!$D$68*(8*$CX148)+'LINEST VARS'!$C$68*($DL$128*0.5)+'LINEST VARS'!$B$68*($DL$128*$CX148)+'LINEST VARS'!$A$68*(0.5*$CX148)</f>
        <v>149</v>
      </c>
      <c r="DM148" s="46">
        <f>'LINEST VARS'!$U$68+'LINEST VARS'!$T$68*(8)+'LINEST VARS'!$S$68*(8)+'LINEST VARS'!$R$68*($DM$128)+'LINEST VARS'!$Q$68*(0.5)+'LINEST VARS'!$P$68*($CX148)+'LINEST VARS'!$O$68*(8^2)+'LINEST VARS'!$N$68*(8^2)+'LINEST VARS'!$M$68*($DM$128^2)+'LINEST VARS'!$L$68*(0.5^2)+'LINEST VARS'!$K$68*($CX148^2)+'LINEST VARS'!$J$68*(8*8)+'LINEST VARS'!$I$68*(8*$DM$128)+'LINEST VARS'!$H$68*(8*0.5)+'LINEST VARS'!$G$68*(8*$CX148)+'LINEST VARS'!$F$68*(8*$DM$128)+'LINEST VARS'!$E$68*(8*0.5)+'LINEST VARS'!$D$68*(8*$CX148)+'LINEST VARS'!$C$68*($DM$128*0.5)+'LINEST VARS'!$B$68*($DM$128*$CX148)+'LINEST VARS'!$A$68*(0.5*$CX148)</f>
        <v>149</v>
      </c>
      <c r="DN148" s="46">
        <f>'LINEST VARS'!$U$68+'LINEST VARS'!$T$68*(8)+'LINEST VARS'!$S$68*(8)+'LINEST VARS'!$R$68*($DN$128)+'LINEST VARS'!$Q$68*(0.5)+'LINEST VARS'!$P$68*($CX148)+'LINEST VARS'!$O$68*(8^2)+'LINEST VARS'!$N$68*(8^2)+'LINEST VARS'!$M$68*($DN$128^2)+'LINEST VARS'!$L$68*(0.5^2)+'LINEST VARS'!$K$68*($CX148^2)+'LINEST VARS'!$J$68*(8*8)+'LINEST VARS'!$I$68*(8*$DN$128)+'LINEST VARS'!$H$68*(8*0.5)+'LINEST VARS'!$G$68*(8*$CX148)+'LINEST VARS'!$F$68*(8*$DN$128)+'LINEST VARS'!$E$68*(8*0.5)+'LINEST VARS'!$D$68*(8*$CX148)+'LINEST VARS'!$C$68*($DN$128*0.5)+'LINEST VARS'!$B$68*($DN$128*$CX148)+'LINEST VARS'!$A$68*(0.5*$CX148)</f>
        <v>149</v>
      </c>
      <c r="DO148" s="46">
        <f>'LINEST VARS'!$U$68+'LINEST VARS'!$T$68*(8)+'LINEST VARS'!$S$68*(8)+'LINEST VARS'!$R$68*($DO$128)+'LINEST VARS'!$Q$68*(0.5)+'LINEST VARS'!$P$68*($CX148)+'LINEST VARS'!$O$68*(8^2)+'LINEST VARS'!$N$68*(8^2)+'LINEST VARS'!$M$68*($DO$128^2)+'LINEST VARS'!$L$68*(0.5^2)+'LINEST VARS'!$K$68*($CX148^2)+'LINEST VARS'!$J$68*(8*8)+'LINEST VARS'!$I$68*(8*$DO$128)+'LINEST VARS'!$H$68*(8*0.5)+'LINEST VARS'!$G$68*(8*$CX148)+'LINEST VARS'!$F$68*(8*$DO$128)+'LINEST VARS'!$E$68*(8*0.5)+'LINEST VARS'!$D$68*(8*$CX148)+'LINEST VARS'!$C$68*($DO$128*0.5)+'LINEST VARS'!$B$68*($DO$128*$CX148)+'LINEST VARS'!$A$68*(0.5*$CX148)</f>
        <v>149</v>
      </c>
      <c r="DP148" s="46">
        <f>'LINEST VARS'!$U$68+'LINEST VARS'!$T$68*(8)+'LINEST VARS'!$S$68*(8)+'LINEST VARS'!$R$68*($DP$128)+'LINEST VARS'!$Q$68*(0.5)+'LINEST VARS'!$P$68*($CX148)+'LINEST VARS'!$O$68*(8^2)+'LINEST VARS'!$N$68*(8^2)+'LINEST VARS'!$M$68*($DP$128^2)+'LINEST VARS'!$L$68*(0.5^2)+'LINEST VARS'!$K$68*($CX148^2)+'LINEST VARS'!$J$68*(8*8)+'LINEST VARS'!$I$68*(8*$DP$128)+'LINEST VARS'!$H$68*(8*0.5)+'LINEST VARS'!$G$68*(8*$CX148)+'LINEST VARS'!$F$68*(8*$DP$128)+'LINEST VARS'!$E$68*(8*0.5)+'LINEST VARS'!$D$68*(8*$CX148)+'LINEST VARS'!$C$68*($DP$128*0.5)+'LINEST VARS'!$B$68*($DP$128*$CX148)+'LINEST VARS'!$A$68*(0.5*$CX148)</f>
        <v>149</v>
      </c>
      <c r="DQ148" s="46">
        <f>'LINEST VARS'!$U$68+'LINEST VARS'!$T$68*(8)+'LINEST VARS'!$S$68*(8)+'LINEST VARS'!$R$68*($DQ$128)+'LINEST VARS'!$Q$68*(0.5)+'LINEST VARS'!$P$68*($CX148)+'LINEST VARS'!$O$68*(8^2)+'LINEST VARS'!$N$68*(8^2)+'LINEST VARS'!$M$68*($DQ$128^2)+'LINEST VARS'!$L$68*(0.5^2)+'LINEST VARS'!$K$68*($CX148^2)+'LINEST VARS'!$J$68*(8*8)+'LINEST VARS'!$I$68*(8*$DQ$128)+'LINEST VARS'!$H$68*(8*0.5)+'LINEST VARS'!$G$68*(8*$CX148)+'LINEST VARS'!$F$68*(8*$DQ$128)+'LINEST VARS'!$E$68*(8*0.5)+'LINEST VARS'!$D$68*(8*$CX148)+'LINEST VARS'!$C$68*($DQ$128*0.5)+'LINEST VARS'!$B$68*($DQ$128*$CX148)+'LINEST VARS'!$A$68*(0.5*$CX148)</f>
        <v>149</v>
      </c>
      <c r="DR148" s="46">
        <f>'LINEST VARS'!$U$68+'LINEST VARS'!$T$68*(8)+'LINEST VARS'!$S$68*(8)+'LINEST VARS'!$R$68*($DR$128)+'LINEST VARS'!$Q$68*(0.5)+'LINEST VARS'!$P$68*($CX148)+'LINEST VARS'!$O$68*(8^2)+'LINEST VARS'!$N$68*(8^2)+'LINEST VARS'!$M$68*($DR$128^2)+'LINEST VARS'!$L$68*(0.5^2)+'LINEST VARS'!$K$68*($CX148^2)+'LINEST VARS'!$J$68*(8*8)+'LINEST VARS'!$I$68*(8*$DR$128)+'LINEST VARS'!$H$68*(8*0.5)+'LINEST VARS'!$G$68*(8*$CX148)+'LINEST VARS'!$F$68*(8*$DR$128)+'LINEST VARS'!$E$68*(8*0.5)+'LINEST VARS'!$D$68*(8*$CX148)+'LINEST VARS'!$C$68*($DR$128*0.5)+'LINEST VARS'!$B$68*($DR$128*$CX148)+'LINEST VARS'!$A$68*(0.5*$CX148)</f>
        <v>149</v>
      </c>
      <c r="DS148" s="47">
        <f>'LINEST VARS'!$U$68+'LINEST VARS'!$T$68*(8)+'LINEST VARS'!$S$68*(8)+'LINEST VARS'!$R$68*($DS$128)+'LINEST VARS'!$Q$68*(0.5)+'LINEST VARS'!$P$68*($CX148)+'LINEST VARS'!$O$68*(8^2)+'LINEST VARS'!$N$68*(8^2)+'LINEST VARS'!$M$68*($DS$128^2)+'LINEST VARS'!$L$68*(0.5^2)+'LINEST VARS'!$K$68*($CX148^2)+'LINEST VARS'!$J$68*(8*8)+'LINEST VARS'!$I$68*(8*$DS$128)+'LINEST VARS'!$H$68*(8*0.5)+'LINEST VARS'!$G$68*(8*$CX148)+'LINEST VARS'!$F$68*(8*$DS$128)+'LINEST VARS'!$E$68*(8*0.5)+'LINEST VARS'!$D$68*(8*$CX148)+'LINEST VARS'!$C$68*($DS$128*0.5)+'LINEST VARS'!$B$68*($DS$128*$CX148)+'LINEST VARS'!$A$68*(0.5*$CX148)</f>
        <v>149</v>
      </c>
      <c r="DV148" s="45">
        <v>24.6905</v>
      </c>
      <c r="DW148" s="46">
        <f>'LINEST VARS'!$U$70+'LINEST VARS'!$T$70*(8)+'LINEST VARS'!$S$70*(8)+'LINEST VARS'!$R$70*($DW$128)+'LINEST VARS'!$Q$70*(0.5)+'LINEST VARS'!$P$70*($DV148)+'LINEST VARS'!$O$70*(8^2)+'LINEST VARS'!$N$70*(8^2)+'LINEST VARS'!$M$70*($DW$128^2)+'LINEST VARS'!$L$70*(0.5^2)+'LINEST VARS'!$K$70*($DV148^2)+'LINEST VARS'!$J$70*(8*8)+'LINEST VARS'!$I$70*(8*$DW$128)+'LINEST VARS'!$H$70*(8*0.5)+'LINEST VARS'!$G$70*(8*$DV148)+'LINEST VARS'!$F$70*(8*$DW$128)+'LINEST VARS'!$E$70*(8*0.5)+'LINEST VARS'!$D$70*(8*$DV148)+'LINEST VARS'!$C$70*($DW$128*0.5)+'LINEST VARS'!$B$70*($DW$128*$DV148)+'LINEST VARS'!$A$70*(0.5*$DV148)</f>
        <v>92.000000000000014</v>
      </c>
      <c r="DX148" s="46">
        <f>'LINEST VARS'!$U$70+'LINEST VARS'!$T$70*(8)+'LINEST VARS'!$S$70*(8)+'LINEST VARS'!$R$70*($DX$128)+'LINEST VARS'!$Q$70*(0.5)+'LINEST VARS'!$P$70*($DV148)+'LINEST VARS'!$O$70*(8^2)+'LINEST VARS'!$N$70*(8^2)+'LINEST VARS'!$M$70*($DX$128^2)+'LINEST VARS'!$L$70*(0.5^2)+'LINEST VARS'!$K$70*($DV148^2)+'LINEST VARS'!$J$70*(8*8)+'LINEST VARS'!$I$70*(8*$DX$128)+'LINEST VARS'!$H$70*(8*0.5)+'LINEST VARS'!$G$70*(8*$DV148)+'LINEST VARS'!$F$70*(8*$DX$128)+'LINEST VARS'!$E$70*(8*0.5)+'LINEST VARS'!$D$70*(8*$DV148)+'LINEST VARS'!$C$70*($DX$128*0.5)+'LINEST VARS'!$B$70*($DX$128*$DV148)+'LINEST VARS'!$A$70*(0.5*$DV148)</f>
        <v>91.600000000000009</v>
      </c>
      <c r="DY148" s="46">
        <f>'LINEST VARS'!$U$70+'LINEST VARS'!$T$70*(8)+'LINEST VARS'!$S$70*(8)+'LINEST VARS'!$R$70*($DY$128)+'LINEST VARS'!$Q$70*(0.5)+'LINEST VARS'!$P$70*($DV148)+'LINEST VARS'!$O$70*(8^2)+'LINEST VARS'!$N$70*(8^2)+'LINEST VARS'!$M$70*($DY$128^2)+'LINEST VARS'!$L$70*(0.5^2)+'LINEST VARS'!$K$70*($DV148^2)+'LINEST VARS'!$J$70*(8*8)+'LINEST VARS'!$I$70*(8*$DY$128)+'LINEST VARS'!$H$70*(8*0.5)+'LINEST VARS'!$G$70*(8*$DV148)+'LINEST VARS'!$F$70*(8*$DY$128)+'LINEST VARS'!$E$70*(8*0.5)+'LINEST VARS'!$D$70*(8*$DV148)+'LINEST VARS'!$C$70*($DY$128*0.5)+'LINEST VARS'!$B$70*($DY$128*$DV148)+'LINEST VARS'!$A$70*(0.5*$DV148)</f>
        <v>91.200000000000017</v>
      </c>
      <c r="DZ148" s="46">
        <f>'LINEST VARS'!$U$70+'LINEST VARS'!$T$70*(8)+'LINEST VARS'!$S$70*(8)+'LINEST VARS'!$R$70*($DZ$128)+'LINEST VARS'!$Q$70*(0.5)+'LINEST VARS'!$P$70*($DV148)+'LINEST VARS'!$O$70*(8^2)+'LINEST VARS'!$N$70*(8^2)+'LINEST VARS'!$M$70*($DZ$128^2)+'LINEST VARS'!$L$70*(0.5^2)+'LINEST VARS'!$K$70*($DV148^2)+'LINEST VARS'!$J$70*(8*8)+'LINEST VARS'!$I$70*(8*$DZ$128)+'LINEST VARS'!$H$70*(8*0.5)+'LINEST VARS'!$G$70*(8*$DV148)+'LINEST VARS'!$F$70*(8*$DZ$128)+'LINEST VARS'!$E$70*(8*0.5)+'LINEST VARS'!$D$70*(8*$DV148)+'LINEST VARS'!$C$70*($DZ$128*0.5)+'LINEST VARS'!$B$70*($DZ$128*$DV148)+'LINEST VARS'!$A$70*(0.5*$DV148)</f>
        <v>90.800000000000011</v>
      </c>
      <c r="EA148" s="46">
        <f>'LINEST VARS'!$U$70+'LINEST VARS'!$T$70*(8)+'LINEST VARS'!$S$70*(8)+'LINEST VARS'!$R$70*($EA$128)+'LINEST VARS'!$Q$70*(0.5)+'LINEST VARS'!$P$70*($DV148)+'LINEST VARS'!$O$70*(8^2)+'LINEST VARS'!$N$70*(8^2)+'LINEST VARS'!$M$70*($EA$128^2)+'LINEST VARS'!$L$70*(0.5^2)+'LINEST VARS'!$K$70*($DV148^2)+'LINEST VARS'!$J$70*(8*8)+'LINEST VARS'!$I$70*(8*$EA$128)+'LINEST VARS'!$H$70*(8*0.5)+'LINEST VARS'!$G$70*(8*$DV148)+'LINEST VARS'!$F$70*(8*$EA$128)+'LINEST VARS'!$E$70*(8*0.5)+'LINEST VARS'!$D$70*(8*$DV148)+'LINEST VARS'!$C$70*($EA$128*0.5)+'LINEST VARS'!$B$70*($EA$128*$DV148)+'LINEST VARS'!$A$70*(0.5*$DV148)</f>
        <v>90.40000000000002</v>
      </c>
      <c r="EB148" s="46">
        <f>'LINEST VARS'!$U$70+'LINEST VARS'!$T$70*(8)+'LINEST VARS'!$S$70*(8)+'LINEST VARS'!$R$70*($EB$128)+'LINEST VARS'!$Q$70*(0.5)+'LINEST VARS'!$P$70*($DV148)+'LINEST VARS'!$O$70*(8^2)+'LINEST VARS'!$N$70*(8^2)+'LINEST VARS'!$M$70*($EB$128^2)+'LINEST VARS'!$L$70*(0.5^2)+'LINEST VARS'!$K$70*($DV148^2)+'LINEST VARS'!$J$70*(8*8)+'LINEST VARS'!$I$70*(8*$EB$128)+'LINEST VARS'!$H$70*(8*0.5)+'LINEST VARS'!$G$70*(8*$DV148)+'LINEST VARS'!$F$70*(8*$EB$128)+'LINEST VARS'!$E$70*(8*0.5)+'LINEST VARS'!$D$70*(8*$DV148)+'LINEST VARS'!$C$70*($EB$128*0.5)+'LINEST VARS'!$B$70*($EB$128*$DV148)+'LINEST VARS'!$A$70*(0.5*$DV148)</f>
        <v>90.000000000000014</v>
      </c>
      <c r="EC148" s="46">
        <f>'LINEST VARS'!$U$70+'LINEST VARS'!$T$70*(8)+'LINEST VARS'!$S$70*(8)+'LINEST VARS'!$R$70*($EC$128)+'LINEST VARS'!$Q$70*(0.5)+'LINEST VARS'!$P$70*($DV148)+'LINEST VARS'!$O$70*(8^2)+'LINEST VARS'!$N$70*(8^2)+'LINEST VARS'!$M$70*($EC$128^2)+'LINEST VARS'!$L$70*(0.5^2)+'LINEST VARS'!$K$70*($DV148^2)+'LINEST VARS'!$J$70*(8*8)+'LINEST VARS'!$I$70*(8*$EC$128)+'LINEST VARS'!$H$70*(8*0.5)+'LINEST VARS'!$G$70*(8*$DV148)+'LINEST VARS'!$F$70*(8*$EC$128)+'LINEST VARS'!$E$70*(8*0.5)+'LINEST VARS'!$D$70*(8*$DV148)+'LINEST VARS'!$C$70*($EC$128*0.5)+'LINEST VARS'!$B$70*($EC$128*$DV148)+'LINEST VARS'!$A$70*(0.5*$DV148)</f>
        <v>89.600000000000023</v>
      </c>
      <c r="ED148" s="46">
        <f>'LINEST VARS'!$U$70+'LINEST VARS'!$T$70*(8)+'LINEST VARS'!$S$70*(8)+'LINEST VARS'!$R$70*($ED$128)+'LINEST VARS'!$Q$70*(0.5)+'LINEST VARS'!$P$70*($DV148)+'LINEST VARS'!$O$70*(8^2)+'LINEST VARS'!$N$70*(8^2)+'LINEST VARS'!$M$70*($ED$128^2)+'LINEST VARS'!$L$70*(0.5^2)+'LINEST VARS'!$K$70*($DV148^2)+'LINEST VARS'!$J$70*(8*8)+'LINEST VARS'!$I$70*(8*$ED$128)+'LINEST VARS'!$H$70*(8*0.5)+'LINEST VARS'!$G$70*(8*$DV148)+'LINEST VARS'!$F$70*(8*$ED$128)+'LINEST VARS'!$E$70*(8*0.5)+'LINEST VARS'!$D$70*(8*$DV148)+'LINEST VARS'!$C$70*($ED$128*0.5)+'LINEST VARS'!$B$70*($ED$128*$DV148)+'LINEST VARS'!$A$70*(0.5*$DV148)</f>
        <v>89.200000000000017</v>
      </c>
      <c r="EE148" s="46">
        <f>'LINEST VARS'!$U$70+'LINEST VARS'!$T$70*(8)+'LINEST VARS'!$S$70*(8)+'LINEST VARS'!$R$70*($EE$128)+'LINEST VARS'!$Q$70*(0.5)+'LINEST VARS'!$P$70*($DV148)+'LINEST VARS'!$O$70*(8^2)+'LINEST VARS'!$N$70*(8^2)+'LINEST VARS'!$M$70*($EE$128^2)+'LINEST VARS'!$L$70*(0.5^2)+'LINEST VARS'!$K$70*($DV148^2)+'LINEST VARS'!$J$70*(8*8)+'LINEST VARS'!$I$70*(8*$EE$128)+'LINEST VARS'!$H$70*(8*0.5)+'LINEST VARS'!$G$70*(8*$DV148)+'LINEST VARS'!$F$70*(8*$EE$128)+'LINEST VARS'!$E$70*(8*0.5)+'LINEST VARS'!$D$70*(8*$DV148)+'LINEST VARS'!$C$70*($EE$128*0.5)+'LINEST VARS'!$B$70*($EE$128*$DV148)+'LINEST VARS'!$A$70*(0.5*$DV148)</f>
        <v>88.800000000000026</v>
      </c>
      <c r="EF148" s="46">
        <f>'LINEST VARS'!$U$70+'LINEST VARS'!$T$70*(8)+'LINEST VARS'!$S$70*(8)+'LINEST VARS'!$R$70*($EF$128)+'LINEST VARS'!$Q$70*(0.5)+'LINEST VARS'!$P$70*($DV148)+'LINEST VARS'!$O$70*(8^2)+'LINEST VARS'!$N$70*(8^2)+'LINEST VARS'!$M$70*($EF$128^2)+'LINEST VARS'!$L$70*(0.5^2)+'LINEST VARS'!$K$70*($DV148^2)+'LINEST VARS'!$J$70*(8*8)+'LINEST VARS'!$I$70*(8*$EF$128)+'LINEST VARS'!$H$70*(8*0.5)+'LINEST VARS'!$G$70*(8*$DV148)+'LINEST VARS'!$F$70*(8*$EF$128)+'LINEST VARS'!$E$70*(8*0.5)+'LINEST VARS'!$D$70*(8*$DV148)+'LINEST VARS'!$C$70*($EF$128*0.5)+'LINEST VARS'!$B$70*($EF$128*$DV148)+'LINEST VARS'!$A$70*(0.5*$DV148)</f>
        <v>88.40000000000002</v>
      </c>
      <c r="EG148" s="46">
        <f>'LINEST VARS'!$U$70+'LINEST VARS'!$T$70*(8)+'LINEST VARS'!$S$70*(8)+'LINEST VARS'!$R$70*($EG$128)+'LINEST VARS'!$Q$70*(0.5)+'LINEST VARS'!$P$70*($DV148)+'LINEST VARS'!$O$70*(8^2)+'LINEST VARS'!$N$70*(8^2)+'LINEST VARS'!$M$70*($EG$128^2)+'LINEST VARS'!$L$70*(0.5^2)+'LINEST VARS'!$K$70*($DV148^2)+'LINEST VARS'!$J$70*(8*8)+'LINEST VARS'!$I$70*(8*$EG$128)+'LINEST VARS'!$H$70*(8*0.5)+'LINEST VARS'!$G$70*(8*$DV148)+'LINEST VARS'!$F$70*(8*$EG$128)+'LINEST VARS'!$E$70*(8*0.5)+'LINEST VARS'!$D$70*(8*$DV148)+'LINEST VARS'!$C$70*($EG$128*0.5)+'LINEST VARS'!$B$70*($EG$128*$DV148)+'LINEST VARS'!$A$70*(0.5*$DV148)</f>
        <v>88.000000000000014</v>
      </c>
      <c r="EH148" s="46">
        <f>'LINEST VARS'!$U$70+'LINEST VARS'!$T$70*(8)+'LINEST VARS'!$S$70*(8)+'LINEST VARS'!$R$70*($EH$128)+'LINEST VARS'!$Q$70*(0.5)+'LINEST VARS'!$P$70*($DV148)+'LINEST VARS'!$O$70*(8^2)+'LINEST VARS'!$N$70*(8^2)+'LINEST VARS'!$M$70*($EH$128^2)+'LINEST VARS'!$L$70*(0.5^2)+'LINEST VARS'!$K$70*($DV148^2)+'LINEST VARS'!$J$70*(8*8)+'LINEST VARS'!$I$70*(8*$EH$128)+'LINEST VARS'!$H$70*(8*0.5)+'LINEST VARS'!$G$70*(8*$DV148)+'LINEST VARS'!$F$70*(8*$EH$128)+'LINEST VARS'!$E$70*(8*0.5)+'LINEST VARS'!$D$70*(8*$DV148)+'LINEST VARS'!$C$70*($EH$128*0.5)+'LINEST VARS'!$B$70*($EH$128*$DV148)+'LINEST VARS'!$A$70*(0.5*$DV148)</f>
        <v>87.600000000000023</v>
      </c>
      <c r="EI148" s="46">
        <f>'LINEST VARS'!$U$70+'LINEST VARS'!$T$70*(8)+'LINEST VARS'!$S$70*(8)+'LINEST VARS'!$R$70*($EI$128)+'LINEST VARS'!$Q$70*(0.5)+'LINEST VARS'!$P$70*($DV148)+'LINEST VARS'!$O$70*(8^2)+'LINEST VARS'!$N$70*(8^2)+'LINEST VARS'!$M$70*($EI$128^2)+'LINEST VARS'!$L$70*(0.5^2)+'LINEST VARS'!$K$70*($DV148^2)+'LINEST VARS'!$J$70*(8*8)+'LINEST VARS'!$I$70*(8*$EI$128)+'LINEST VARS'!$H$70*(8*0.5)+'LINEST VARS'!$G$70*(8*$DV148)+'LINEST VARS'!$F$70*(8*$EI$128)+'LINEST VARS'!$E$70*(8*0.5)+'LINEST VARS'!$D$70*(8*$DV148)+'LINEST VARS'!$C$70*($EI$128*0.5)+'LINEST VARS'!$B$70*($EI$128*$DV148)+'LINEST VARS'!$A$70*(0.5*$DV148)</f>
        <v>87.200000000000017</v>
      </c>
      <c r="EJ148" s="46">
        <f>'LINEST VARS'!$U$70+'LINEST VARS'!$T$70*(8)+'LINEST VARS'!$S$70*(8)+'LINEST VARS'!$R$70*($EJ$128)+'LINEST VARS'!$Q$70*(0.5)+'LINEST VARS'!$P$70*($DV148)+'LINEST VARS'!$O$70*(8^2)+'LINEST VARS'!$N$70*(8^2)+'LINEST VARS'!$M$70*($EJ$128^2)+'LINEST VARS'!$L$70*(0.5^2)+'LINEST VARS'!$K$70*($DV148^2)+'LINEST VARS'!$J$70*(8*8)+'LINEST VARS'!$I$70*(8*$EJ$128)+'LINEST VARS'!$H$70*(8*0.5)+'LINEST VARS'!$G$70*(8*$DV148)+'LINEST VARS'!$F$70*(8*$EJ$128)+'LINEST VARS'!$E$70*(8*0.5)+'LINEST VARS'!$D$70*(8*$DV148)+'LINEST VARS'!$C$70*($EJ$128*0.5)+'LINEST VARS'!$B$70*($EJ$128*$DV148)+'LINEST VARS'!$A$70*(0.5*$DV148)</f>
        <v>86.800000000000026</v>
      </c>
      <c r="EK148" s="46">
        <f>'LINEST VARS'!$U$70+'LINEST VARS'!$T$70*(8)+'LINEST VARS'!$S$70*(8)+'LINEST VARS'!$R$70*($EK$128)+'LINEST VARS'!$Q$70*(0.5)+'LINEST VARS'!$P$70*($DV148)+'LINEST VARS'!$O$70*(8^2)+'LINEST VARS'!$N$70*(8^2)+'LINEST VARS'!$M$70*($EK$128^2)+'LINEST VARS'!$L$70*(0.5^2)+'LINEST VARS'!$K$70*($DV148^2)+'LINEST VARS'!$J$70*(8*8)+'LINEST VARS'!$I$70*(8*$EK$128)+'LINEST VARS'!$H$70*(8*0.5)+'LINEST VARS'!$G$70*(8*$DV148)+'LINEST VARS'!$F$70*(8*$EK$128)+'LINEST VARS'!$E$70*(8*0.5)+'LINEST VARS'!$D$70*(8*$DV148)+'LINEST VARS'!$C$70*($EK$128*0.5)+'LINEST VARS'!$B$70*($EK$128*$DV148)+'LINEST VARS'!$A$70*(0.5*$DV148)</f>
        <v>86.40000000000002</v>
      </c>
      <c r="EL148" s="46">
        <f>'LINEST VARS'!$U$70+'LINEST VARS'!$T$70*(8)+'LINEST VARS'!$S$70*(8)+'LINEST VARS'!$R$70*($EL$128)+'LINEST VARS'!$Q$70*(0.5)+'LINEST VARS'!$P$70*($DV148)+'LINEST VARS'!$O$70*(8^2)+'LINEST VARS'!$N$70*(8^2)+'LINEST VARS'!$M$70*($EL$128^2)+'LINEST VARS'!$L$70*(0.5^2)+'LINEST VARS'!$K$70*($DV148^2)+'LINEST VARS'!$J$70*(8*8)+'LINEST VARS'!$I$70*(8*$EL$128)+'LINEST VARS'!$H$70*(8*0.5)+'LINEST VARS'!$G$70*(8*$DV148)+'LINEST VARS'!$F$70*(8*$EL$128)+'LINEST VARS'!$E$70*(8*0.5)+'LINEST VARS'!$D$70*(8*$DV148)+'LINEST VARS'!$C$70*($EL$128*0.5)+'LINEST VARS'!$B$70*($EL$128*$DV148)+'LINEST VARS'!$A$70*(0.5*$DV148)</f>
        <v>86.000000000000014</v>
      </c>
      <c r="EM148" s="46">
        <f>'LINEST VARS'!$U$70+'LINEST VARS'!$T$70*(8)+'LINEST VARS'!$S$70*(8)+'LINEST VARS'!$R$70*($EM$128)+'LINEST VARS'!$Q$70*(0.5)+'LINEST VARS'!$P$70*($DV148)+'LINEST VARS'!$O$70*(8^2)+'LINEST VARS'!$N$70*(8^2)+'LINEST VARS'!$M$70*($EM$128^2)+'LINEST VARS'!$L$70*(0.5^2)+'LINEST VARS'!$K$70*($DV148^2)+'LINEST VARS'!$J$70*(8*8)+'LINEST VARS'!$I$70*(8*$EM$128)+'LINEST VARS'!$H$70*(8*0.5)+'LINEST VARS'!$G$70*(8*$DV148)+'LINEST VARS'!$F$70*(8*$EM$128)+'LINEST VARS'!$E$70*(8*0.5)+'LINEST VARS'!$D$70*(8*$DV148)+'LINEST VARS'!$C$70*($EM$128*0.5)+'LINEST VARS'!$B$70*($EM$128*$DV148)+'LINEST VARS'!$A$70*(0.5*$DV148)</f>
        <v>85.600000000000009</v>
      </c>
      <c r="EN148" s="46">
        <f>'LINEST VARS'!$U$70+'LINEST VARS'!$T$70*(8)+'LINEST VARS'!$S$70*(8)+'LINEST VARS'!$R$70*($EN$128)+'LINEST VARS'!$Q$70*(0.5)+'LINEST VARS'!$P$70*($DV148)+'LINEST VARS'!$O$70*(8^2)+'LINEST VARS'!$N$70*(8^2)+'LINEST VARS'!$M$70*($EN$128^2)+'LINEST VARS'!$L$70*(0.5^2)+'LINEST VARS'!$K$70*($DV148^2)+'LINEST VARS'!$J$70*(8*8)+'LINEST VARS'!$I$70*(8*$EN$128)+'LINEST VARS'!$H$70*(8*0.5)+'LINEST VARS'!$G$70*(8*$DV148)+'LINEST VARS'!$F$70*(8*$EN$128)+'LINEST VARS'!$E$70*(8*0.5)+'LINEST VARS'!$D$70*(8*$DV148)+'LINEST VARS'!$C$70*($EN$128*0.5)+'LINEST VARS'!$B$70*($EN$128*$DV148)+'LINEST VARS'!$A$70*(0.5*$DV148)</f>
        <v>85.200000000000017</v>
      </c>
      <c r="EO148" s="46">
        <f>'LINEST VARS'!$U$70+'LINEST VARS'!$T$70*(8)+'LINEST VARS'!$S$70*(8)+'LINEST VARS'!$R$70*($EO$128)+'LINEST VARS'!$Q$70*(0.5)+'LINEST VARS'!$P$70*($DV148)+'LINEST VARS'!$O$70*(8^2)+'LINEST VARS'!$N$70*(8^2)+'LINEST VARS'!$M$70*($EO$128^2)+'LINEST VARS'!$L$70*(0.5^2)+'LINEST VARS'!$K$70*($DV148^2)+'LINEST VARS'!$J$70*(8*8)+'LINEST VARS'!$I$70*(8*$EO$128)+'LINEST VARS'!$H$70*(8*0.5)+'LINEST VARS'!$G$70*(8*$DV148)+'LINEST VARS'!$F$70*(8*$EO$128)+'LINEST VARS'!$E$70*(8*0.5)+'LINEST VARS'!$D$70*(8*$DV148)+'LINEST VARS'!$C$70*($EO$128*0.5)+'LINEST VARS'!$B$70*($EO$128*$DV148)+'LINEST VARS'!$A$70*(0.5*$DV148)</f>
        <v>84.800000000000011</v>
      </c>
      <c r="EP148" s="46">
        <f>'LINEST VARS'!$U$70+'LINEST VARS'!$T$70*(8)+'LINEST VARS'!$S$70*(8)+'LINEST VARS'!$R$70*($EP$128)+'LINEST VARS'!$Q$70*(0.5)+'LINEST VARS'!$P$70*($DV148)+'LINEST VARS'!$O$70*(8^2)+'LINEST VARS'!$N$70*(8^2)+'LINEST VARS'!$M$70*($EP$128^2)+'LINEST VARS'!$L$70*(0.5^2)+'LINEST VARS'!$K$70*($DV148^2)+'LINEST VARS'!$J$70*(8*8)+'LINEST VARS'!$I$70*(8*$EP$128)+'LINEST VARS'!$H$70*(8*0.5)+'LINEST VARS'!$G$70*(8*$DV148)+'LINEST VARS'!$F$70*(8*$EP$128)+'LINEST VARS'!$E$70*(8*0.5)+'LINEST VARS'!$D$70*(8*$DV148)+'LINEST VARS'!$C$70*($EP$128*0.5)+'LINEST VARS'!$B$70*($EP$128*$DV148)+'LINEST VARS'!$A$70*(0.5*$DV148)</f>
        <v>84.400000000000034</v>
      </c>
      <c r="EQ148" s="47">
        <f>'LINEST VARS'!$U$70+'LINEST VARS'!$T$70*(8)+'LINEST VARS'!$S$70*(8)+'LINEST VARS'!$R$70*($EQ$128)+'LINEST VARS'!$Q$70*(0.5)+'LINEST VARS'!$P$70*($DV148)+'LINEST VARS'!$O$70*(8^2)+'LINEST VARS'!$N$70*(8^2)+'LINEST VARS'!$M$70*($EQ$128^2)+'LINEST VARS'!$L$70*(0.5^2)+'LINEST VARS'!$K$70*($DV148^2)+'LINEST VARS'!$J$70*(8*8)+'LINEST VARS'!$I$70*(8*$EQ$128)+'LINEST VARS'!$H$70*(8*0.5)+'LINEST VARS'!$G$70*(8*$DV148)+'LINEST VARS'!$F$70*(8*$EQ$128)+'LINEST VARS'!$E$70*(8*0.5)+'LINEST VARS'!$D$70*(8*$DV148)+'LINEST VARS'!$C$70*($EQ$128*0.5)+'LINEST VARS'!$B$70*($EQ$128*$DV148)+'LINEST VARS'!$A$70*(0.5*$DV148)</f>
        <v>84.000000000000028</v>
      </c>
    </row>
    <row r="149" spans="2:147" ht="15" customHeight="1" thickBot="1" x14ac:dyDescent="0.3">
      <c r="B149" s="48">
        <v>8.6</v>
      </c>
      <c r="C149" s="49">
        <f>'LINEST VARS'!$U$68+'LINEST VARS'!$T$68*($C$128)+'LINEST VARS'!$S$68*($B149)+'LINEST VARS'!$R$68*(4)+'LINEST VARS'!$Q$68*(0.5)+'LINEST VARS'!$P$68*(12.73)+'LINEST VARS'!$O$68*($C$128^2)+'LINEST VARS'!$N$68*($B149^2)+'LINEST VARS'!$M$68*(4^2)+'LINEST VARS'!$L$68*(0.5^2)+'LINEST VARS'!$K$68*(12.73^2)+'LINEST VARS'!$J$68*($C$128*$B149)+'LINEST VARS'!$I$68*($C$128*4)+'LINEST VARS'!$H$68*($C$128*0.5)+'LINEST VARS'!$G$68*($C$128*12.73)+'LINEST VARS'!$F$68*($B149*4)+'LINEST VARS'!$E$68*($B149*0.5)+'LINEST VARS'!$D$68*($B149*12.73)+'LINEST VARS'!$C$68*(4*0.5)+'LINEST VARS'!$B$68*(4*12.73)+'LINEST VARS'!$A$68*(0.5*12.73)</f>
        <v>149</v>
      </c>
      <c r="D149" s="49">
        <f>'LINEST VARS'!$U$68+'LINEST VARS'!$T$68*($D$128)+'LINEST VARS'!$S$68*($B149)+'LINEST VARS'!$R$68*(4)+'LINEST VARS'!$Q$68*(0.5)+'LINEST VARS'!$P$68*(12.73)+'LINEST VARS'!$O$68*($D$128^2)+'LINEST VARS'!$N$68*($B149^2)+'LINEST VARS'!$M$68*(4^2)+'LINEST VARS'!$L$68*(0.5^2)+'LINEST VARS'!$K$68*(12.73^2)+'LINEST VARS'!$J$68*($D$128*$B149)+'LINEST VARS'!$I$68*($D$128*4)+'LINEST VARS'!$H$68*($D$128*0.5)+'LINEST VARS'!$G$68*($D$128*12.73)+'LINEST VARS'!$F$68*($B149*4)+'LINEST VARS'!$E$68*($B149*0.5)+'LINEST VARS'!$D$68*($B149*12.73)+'LINEST VARS'!$C$68*(4*0.5)+'LINEST VARS'!$B$68*(4*12.73)+'LINEST VARS'!$A$68*(0.5*12.73)</f>
        <v>149</v>
      </c>
      <c r="E149" s="49">
        <f>'LINEST VARS'!$U$68+'LINEST VARS'!$T$68*($E$128)+'LINEST VARS'!$S$68*($B149)+'LINEST VARS'!$R$68*(4)+'LINEST VARS'!$Q$68*(0.5)+'LINEST VARS'!$P$68*(12.73)+'LINEST VARS'!$O$68*($E$128^2)+'LINEST VARS'!$N$68*($B149^2)+'LINEST VARS'!$M$68*(4^2)+'LINEST VARS'!$L$68*(0.5^2)+'LINEST VARS'!$K$68*(12.73^2)+'LINEST VARS'!$J$68*($E$128*$B149)+'LINEST VARS'!$I$68*($E$128*4)+'LINEST VARS'!$H$68*($E$128*0.5)+'LINEST VARS'!$G$68*($E$128*12.73)+'LINEST VARS'!$F$68*($B149*4)+'LINEST VARS'!$E$68*($B149*0.5)+'LINEST VARS'!$D$68*($B149*12.73)+'LINEST VARS'!$C$68*(4*0.5)+'LINEST VARS'!$B$68*(4*12.73)+'LINEST VARS'!$A$68*(0.5*12.73)</f>
        <v>149</v>
      </c>
      <c r="F149" s="49">
        <f>'LINEST VARS'!$U$68+'LINEST VARS'!$T$68*($F$128)+'LINEST VARS'!$S$68*($B149)+'LINEST VARS'!$R$68*(4)+'LINEST VARS'!$Q$68*(0.5)+'LINEST VARS'!$P$68*(12.73)+'LINEST VARS'!$O$68*($F$128^2)+'LINEST VARS'!$N$68*($B149^2)+'LINEST VARS'!$M$68*(4^2)+'LINEST VARS'!$L$68*(0.5^2)+'LINEST VARS'!$K$68*(12.73^2)+'LINEST VARS'!$J$68*($F$128*$B149)+'LINEST VARS'!$I$68*($F$128*4)+'LINEST VARS'!$H$68*($F$128*0.5)+'LINEST VARS'!$G$68*($F$128*12.73)+'LINEST VARS'!$F$68*($B149*4)+'LINEST VARS'!$E$68*($B149*0.5)+'LINEST VARS'!$D$68*($B149*12.73)+'LINEST VARS'!$C$68*(4*0.5)+'LINEST VARS'!$B$68*(4*12.73)+'LINEST VARS'!$A$68*(0.5*12.73)</f>
        <v>149</v>
      </c>
      <c r="G149" s="49">
        <f>'LINEST VARS'!$U$68+'LINEST VARS'!$T$68*($G$128)+'LINEST VARS'!$S$68*($B149)+'LINEST VARS'!$R$68*(4)+'LINEST VARS'!$Q$68*(0.5)+'LINEST VARS'!$P$68*(12.73)+'LINEST VARS'!$O$68*($G$128^2)+'LINEST VARS'!$N$68*($B149^2)+'LINEST VARS'!$M$68*(4^2)+'LINEST VARS'!$L$68*(0.5^2)+'LINEST VARS'!$K$68*(12.73^2)+'LINEST VARS'!$J$68*($G$128*$B149)+'LINEST VARS'!$I$68*($G$128*4)+'LINEST VARS'!$H$68*($G$128*0.5)+'LINEST VARS'!$G$68*($G$128*12.73)+'LINEST VARS'!$F$68*($B149*4)+'LINEST VARS'!$E$68*($B149*0.5)+'LINEST VARS'!$D$68*($B149*12.73)+'LINEST VARS'!$C$68*(4*0.5)+'LINEST VARS'!$B$68*(4*12.73)+'LINEST VARS'!$A$68*(0.5*12.73)</f>
        <v>149</v>
      </c>
      <c r="H149" s="49">
        <f>'LINEST VARS'!$U$68+'LINEST VARS'!$T$68*($H$128)+'LINEST VARS'!$S$68*($B149)+'LINEST VARS'!$R$68*(4)+'LINEST VARS'!$Q$68*(0.5)+'LINEST VARS'!$P$68*(12.73)+'LINEST VARS'!$O$68*($H$128^2)+'LINEST VARS'!$N$68*($B149^2)+'LINEST VARS'!$M$68*(4^2)+'LINEST VARS'!$L$68*(0.5^2)+'LINEST VARS'!$K$68*(12.73^2)+'LINEST VARS'!$J$68*($H$128*$B149)+'LINEST VARS'!$I$68*($H$128*4)+'LINEST VARS'!$H$68*($H$128*0.5)+'LINEST VARS'!$G$68*($H$128*12.73)+'LINEST VARS'!$F$68*($B149*4)+'LINEST VARS'!$E$68*($B149*0.5)+'LINEST VARS'!$D$68*($B149*12.73)+'LINEST VARS'!$C$68*(4*0.5)+'LINEST VARS'!$B$68*(4*12.73)+'LINEST VARS'!$A$68*(0.5*12.73)</f>
        <v>149</v>
      </c>
      <c r="I149" s="49">
        <f>'LINEST VARS'!$U$68+'LINEST VARS'!$T$68*($I$128)+'LINEST VARS'!$S$68*($B149)+'LINEST VARS'!$R$68*(4)+'LINEST VARS'!$Q$68*(0.5)+'LINEST VARS'!$P$68*(12.73)+'LINEST VARS'!$O$68*($I$128^2)+'LINEST VARS'!$N$68*($B149^2)+'LINEST VARS'!$M$68*(4^2)+'LINEST VARS'!$L$68*(0.5^2)+'LINEST VARS'!$K$68*(12.73^2)+'LINEST VARS'!$J$68*($I$128*$B149)+'LINEST VARS'!$I$68*($I$128*4)+'LINEST VARS'!$H$68*($I$128*0.5)+'LINEST VARS'!$G$68*($I$128*12.73)+'LINEST VARS'!$F$68*($B149*4)+'LINEST VARS'!$E$68*($B149*0.5)+'LINEST VARS'!$D$68*($B149*12.73)+'LINEST VARS'!$C$68*(4*0.5)+'LINEST VARS'!$B$68*(4*12.73)+'LINEST VARS'!$A$68*(0.5*12.73)</f>
        <v>149</v>
      </c>
      <c r="J149" s="49">
        <f>'LINEST VARS'!$U$68+'LINEST VARS'!$T$68*($J$128)+'LINEST VARS'!$S$68*($B149)+'LINEST VARS'!$R$68*(4)+'LINEST VARS'!$Q$68*(0.5)+'LINEST VARS'!$P$68*(12.73)+'LINEST VARS'!$O$68*($J$128^2)+'LINEST VARS'!$N$68*($B149^2)+'LINEST VARS'!$M$68*(4^2)+'LINEST VARS'!$L$68*(0.5^2)+'LINEST VARS'!$K$68*(12.73^2)+'LINEST VARS'!$J$68*($J$128*$B149)+'LINEST VARS'!$I$68*($J$128*4)+'LINEST VARS'!$H$68*($J$128*0.5)+'LINEST VARS'!$G$68*($J$128*12.73)+'LINEST VARS'!$F$68*($B149*4)+'LINEST VARS'!$E$68*($B149*0.5)+'LINEST VARS'!$D$68*($B149*12.73)+'LINEST VARS'!$C$68*(4*0.5)+'LINEST VARS'!$B$68*(4*12.73)+'LINEST VARS'!$A$68*(0.5*12.73)</f>
        <v>149</v>
      </c>
      <c r="K149" s="49">
        <f>'LINEST VARS'!$U$68+'LINEST VARS'!$T$68*($K$128)+'LINEST VARS'!$S$68*($B149)+'LINEST VARS'!$R$68*(4)+'LINEST VARS'!$Q$68*(0.5)+'LINEST VARS'!$P$68*(12.73)+'LINEST VARS'!$O$68*($K$128^2)+'LINEST VARS'!$N$68*($B149^2)+'LINEST VARS'!$M$68*(4^2)+'LINEST VARS'!$L$68*(0.5^2)+'LINEST VARS'!$K$68*(12.73^2)+'LINEST VARS'!$J$68*($K$128*$B149)+'LINEST VARS'!$I$68*($K$128*4)+'LINEST VARS'!$H$68*($K$128*0.5)+'LINEST VARS'!$G$68*($K$128*12.73)+'LINEST VARS'!$F$68*($B149*4)+'LINEST VARS'!$E$68*($B149*0.5)+'LINEST VARS'!$D$68*($B149*12.73)+'LINEST VARS'!$C$68*(4*0.5)+'LINEST VARS'!$B$68*(4*12.73)+'LINEST VARS'!$A$68*(0.5*12.73)</f>
        <v>149</v>
      </c>
      <c r="L149" s="49">
        <f>'LINEST VARS'!$U$68+'LINEST VARS'!$T$68*($L$128)+'LINEST VARS'!$S$68*($B149)+'LINEST VARS'!$R$68*(4)+'LINEST VARS'!$Q$68*(0.5)+'LINEST VARS'!$P$68*(12.73)+'LINEST VARS'!$O$68*($L$128^2)+'LINEST VARS'!$N$68*($B149^2)+'LINEST VARS'!$M$68*(4^2)+'LINEST VARS'!$L$68*(0.5^2)+'LINEST VARS'!$K$68*(12.73^2)+'LINEST VARS'!$J$68*($L$128*$B149)+'LINEST VARS'!$I$68*($L$128*4)+'LINEST VARS'!$H$68*($L$128*0.5)+'LINEST VARS'!$G$68*($L$128*12.73)+'LINEST VARS'!$F$68*($B149*4)+'LINEST VARS'!$E$68*($B149*0.5)+'LINEST VARS'!$D$68*($B149*12.73)+'LINEST VARS'!$C$68*(4*0.5)+'LINEST VARS'!$B$68*(4*12.73)+'LINEST VARS'!$A$68*(0.5*12.73)</f>
        <v>149</v>
      </c>
      <c r="M149" s="49">
        <f>'LINEST VARS'!$U$68+'LINEST VARS'!$T$68*($M$128)+'LINEST VARS'!$S$68*($B149)+'LINEST VARS'!$R$68*(4)+'LINEST VARS'!$Q$68*(0.5)+'LINEST VARS'!$P$68*(12.73)+'LINEST VARS'!$O$68*($M$128^2)+'LINEST VARS'!$N$68*($B149^2)+'LINEST VARS'!$M$68*(4^2)+'LINEST VARS'!$L$68*(0.5^2)+'LINEST VARS'!$K$68*(12.73^2)+'LINEST VARS'!$J$68*($M$128*$B149)+'LINEST VARS'!$I$68*($M$128*4)+'LINEST VARS'!$H$68*($M$128*0.5)+'LINEST VARS'!$G$68*($M$128*12.73)+'LINEST VARS'!$F$68*($B149*4)+'LINEST VARS'!$E$68*($B149*0.5)+'LINEST VARS'!$D$68*($B149*12.73)+'LINEST VARS'!$C$68*(4*0.5)+'LINEST VARS'!$B$68*(4*12.73)+'LINEST VARS'!$A$68*(0.5*12.73)</f>
        <v>149</v>
      </c>
      <c r="N149" s="49">
        <f>'LINEST VARS'!$U$68+'LINEST VARS'!$T$68*($N$128)+'LINEST VARS'!$S$68*($B149)+'LINEST VARS'!$R$68*(4)+'LINEST VARS'!$Q$68*(0.5)+'LINEST VARS'!$P$68*(12.73)+'LINEST VARS'!$O$68*($N$128^2)+'LINEST VARS'!$N$68*($B149^2)+'LINEST VARS'!$M$68*(4^2)+'LINEST VARS'!$L$68*(0.5^2)+'LINEST VARS'!$K$68*(12.73^2)+'LINEST VARS'!$J$68*($N$128*$B149)+'LINEST VARS'!$I$68*($N$128*4)+'LINEST VARS'!$H$68*($N$128*0.5)+'LINEST VARS'!$G$68*($N$128*12.73)+'LINEST VARS'!$F$68*($B149*4)+'LINEST VARS'!$E$68*($B149*0.5)+'LINEST VARS'!$D$68*($B149*12.73)+'LINEST VARS'!$C$68*(4*0.5)+'LINEST VARS'!$B$68*(4*12.73)+'LINEST VARS'!$A$68*(0.5*12.73)</f>
        <v>149</v>
      </c>
      <c r="O149" s="49">
        <f>'LINEST VARS'!$U$68+'LINEST VARS'!$T$68*($O$128)+'LINEST VARS'!$S$68*($B149)+'LINEST VARS'!$R$68*(4)+'LINEST VARS'!$Q$68*(0.5)+'LINEST VARS'!$P$68*(12.73)+'LINEST VARS'!$O$68*($O$128^2)+'LINEST VARS'!$N$68*($B149^2)+'LINEST VARS'!$M$68*(4^2)+'LINEST VARS'!$L$68*(0.5^2)+'LINEST VARS'!$K$68*(12.73^2)+'LINEST VARS'!$J$68*($O$128*$B149)+'LINEST VARS'!$I$68*($O$128*4)+'LINEST VARS'!$H$68*($O$128*0.5)+'LINEST VARS'!$G$68*($O$128*12.73)+'LINEST VARS'!$F$68*($B149*4)+'LINEST VARS'!$E$68*($B149*0.5)+'LINEST VARS'!$D$68*($B149*12.73)+'LINEST VARS'!$C$68*(4*0.5)+'LINEST VARS'!$B$68*(4*12.73)+'LINEST VARS'!$A$68*(0.5*12.73)</f>
        <v>149</v>
      </c>
      <c r="P149" s="49">
        <f>'LINEST VARS'!$U$68+'LINEST VARS'!$T$68*($P$128)+'LINEST VARS'!$S$68*($B149)+'LINEST VARS'!$R$68*(4)+'LINEST VARS'!$Q$68*(0.5)+'LINEST VARS'!$P$68*(12.73)+'LINEST VARS'!$O$68*($P$128^2)+'LINEST VARS'!$N$68*($B149^2)+'LINEST VARS'!$M$68*(4^2)+'LINEST VARS'!$L$68*(0.5^2)+'LINEST VARS'!$K$68*(12.73^2)+'LINEST VARS'!$J$68*($P$128*$B149)+'LINEST VARS'!$I$68*($P$128*4)+'LINEST VARS'!$H$68*($P$128*0.5)+'LINEST VARS'!$G$68*($P$128*12.73)+'LINEST VARS'!$F$68*($B149*4)+'LINEST VARS'!$E$68*($B149*0.5)+'LINEST VARS'!$D$68*($B149*12.73)+'LINEST VARS'!$C$68*(4*0.5)+'LINEST VARS'!$B$68*(4*12.73)+'LINEST VARS'!$A$68*(0.5*12.73)</f>
        <v>149</v>
      </c>
      <c r="Q149" s="49">
        <f>'LINEST VARS'!$U$68+'LINEST VARS'!$T$68*($Q$128)+'LINEST VARS'!$S$68*($B149)+'LINEST VARS'!$R$68*(4)+'LINEST VARS'!$Q$68*(0.5)+'LINEST VARS'!$P$68*(12.73)+'LINEST VARS'!$O$68*($Q$128^2)+'LINEST VARS'!$N$68*($B149^2)+'LINEST VARS'!$M$68*(4^2)+'LINEST VARS'!$L$68*(0.5^2)+'LINEST VARS'!$K$68*(12.73^2)+'LINEST VARS'!$J$68*($Q$128*$B149)+'LINEST VARS'!$I$68*($Q$128*4)+'LINEST VARS'!$H$68*($Q$128*0.5)+'LINEST VARS'!$G$68*($Q$128*12.73)+'LINEST VARS'!$F$68*($B149*4)+'LINEST VARS'!$E$68*($B149*0.5)+'LINEST VARS'!$D$68*($B149*12.73)+'LINEST VARS'!$C$68*(4*0.5)+'LINEST VARS'!$B$68*(4*12.73)+'LINEST VARS'!$A$68*(0.5*12.73)</f>
        <v>149</v>
      </c>
      <c r="R149" s="49">
        <f>'LINEST VARS'!$U$68+'LINEST VARS'!$T$68*($R$128)+'LINEST VARS'!$S$68*($B149)+'LINEST VARS'!$R$68*(4)+'LINEST VARS'!$Q$68*(0.5)+'LINEST VARS'!$P$68*(12.73)+'LINEST VARS'!$O$68*($R$128^2)+'LINEST VARS'!$N$68*($B149^2)+'LINEST VARS'!$M$68*(4^2)+'LINEST VARS'!$L$68*(0.5^2)+'LINEST VARS'!$K$68*(12.73^2)+'LINEST VARS'!$J$68*($R$128*$B149)+'LINEST VARS'!$I$68*($R$128*4)+'LINEST VARS'!$H$68*($R$128*0.5)+'LINEST VARS'!$G$68*($R$128*12.73)+'LINEST VARS'!$F$68*($B149*4)+'LINEST VARS'!$E$68*($B149*0.5)+'LINEST VARS'!$D$68*($B149*12.73)+'LINEST VARS'!$C$68*(4*0.5)+'LINEST VARS'!$B$68*(4*12.73)+'LINEST VARS'!$A$68*(0.5*12.73)</f>
        <v>149</v>
      </c>
      <c r="S149" s="49">
        <f>'LINEST VARS'!$U$68+'LINEST VARS'!$T$68*($S$128)+'LINEST VARS'!$S$68*($B149)+'LINEST VARS'!$R$68*(4)+'LINEST VARS'!$Q$68*(0.5)+'LINEST VARS'!$P$68*(12.73)+'LINEST VARS'!$O$68*($S$128^2)+'LINEST VARS'!$N$68*($B149^2)+'LINEST VARS'!$M$68*(4^2)+'LINEST VARS'!$L$68*(0.5^2)+'LINEST VARS'!$K$68*(12.73^2)+'LINEST VARS'!$J$68*($S$128*$B149)+'LINEST VARS'!$I$68*($S$128*4)+'LINEST VARS'!$H$68*($S$128*0.5)+'LINEST VARS'!$G$68*($S$128*12.73)+'LINEST VARS'!$F$68*($B149*4)+'LINEST VARS'!$E$68*($B149*0.5)+'LINEST VARS'!$D$68*($B149*12.73)+'LINEST VARS'!$C$68*(4*0.5)+'LINEST VARS'!$B$68*(4*12.73)+'LINEST VARS'!$A$68*(0.5*12.73)</f>
        <v>149</v>
      </c>
      <c r="T149" s="49">
        <f>'LINEST VARS'!$U$68+'LINEST VARS'!$T$68*($T$128)+'LINEST VARS'!$S$68*($B149)+'LINEST VARS'!$R$68*(4)+'LINEST VARS'!$Q$68*(0.5)+'LINEST VARS'!$P$68*(12.73)+'LINEST VARS'!$O$68*($T$128^2)+'LINEST VARS'!$N$68*($B149^2)+'LINEST VARS'!$M$68*(4^2)+'LINEST VARS'!$L$68*(0.5^2)+'LINEST VARS'!$K$68*(12.73^2)+'LINEST VARS'!$J$68*($T$128*$B149)+'LINEST VARS'!$I$68*($T$128*4)+'LINEST VARS'!$H$68*($T$128*0.5)+'LINEST VARS'!$G$68*($T$128*12.73)+'LINEST VARS'!$F$68*($B149*4)+'LINEST VARS'!$E$68*($B149*0.5)+'LINEST VARS'!$D$68*($B149*12.73)+'LINEST VARS'!$C$68*(4*0.5)+'LINEST VARS'!$B$68*(4*12.73)+'LINEST VARS'!$A$68*(0.5*12.73)</f>
        <v>149</v>
      </c>
      <c r="U149" s="49">
        <f>'LINEST VARS'!$U$68+'LINEST VARS'!$T$68*($U$128)+'LINEST VARS'!$S$68*($B149)+'LINEST VARS'!$R$68*(4)+'LINEST VARS'!$Q$68*(0.5)+'LINEST VARS'!$P$68*(12.73)+'LINEST VARS'!$O$68*($U$128^2)+'LINEST VARS'!$N$68*($B149^2)+'LINEST VARS'!$M$68*(4^2)+'LINEST VARS'!$L$68*(0.5^2)+'LINEST VARS'!$K$68*(12.73^2)+'LINEST VARS'!$J$68*($U$128*$B149)+'LINEST VARS'!$I$68*($U$128*4)+'LINEST VARS'!$H$68*($U$128*0.5)+'LINEST VARS'!$G$68*($U$128*12.73)+'LINEST VARS'!$F$68*($B149*4)+'LINEST VARS'!$E$68*($B149*0.5)+'LINEST VARS'!$D$68*($B149*12.73)+'LINEST VARS'!$C$68*(4*0.5)+'LINEST VARS'!$B$68*(4*12.73)+'LINEST VARS'!$A$68*(0.5*12.73)</f>
        <v>149</v>
      </c>
      <c r="V149" s="49">
        <f>'LINEST VARS'!$U$68+'LINEST VARS'!$T$68*($V$128)+'LINEST VARS'!$S$68*($B149)+'LINEST VARS'!$R$68*(4)+'LINEST VARS'!$Q$68*(0.5)+'LINEST VARS'!$P$68*(12.73)+'LINEST VARS'!$O$68*($V$128^2)+'LINEST VARS'!$N$68*($B149^2)+'LINEST VARS'!$M$68*(4^2)+'LINEST VARS'!$L$68*(0.5^2)+'LINEST VARS'!$K$68*(12.73^2)+'LINEST VARS'!$J$68*($V$128*$B149)+'LINEST VARS'!$I$68*($V$128*4)+'LINEST VARS'!$H$68*($V$128*0.5)+'LINEST VARS'!$G$68*($V$128*12.73)+'LINEST VARS'!$F$68*($B149*4)+'LINEST VARS'!$E$68*($B149*0.5)+'LINEST VARS'!$D$68*($B149*12.73)+'LINEST VARS'!$C$68*(4*0.5)+'LINEST VARS'!$B$68*(4*12.73)+'LINEST VARS'!$A$68*(0.5*12.73)</f>
        <v>149</v>
      </c>
      <c r="W149" s="50">
        <f>'LINEST VARS'!$U$68+'LINEST VARS'!$T$68*($W$128)+'LINEST VARS'!$S$68*($B149)+'LINEST VARS'!$R$68*(4)+'LINEST VARS'!$Q$68*(0.5)+'LINEST VARS'!$P$68*(12.73)+'LINEST VARS'!$O$68*($W$128^2)+'LINEST VARS'!$N$68*($B149^2)+'LINEST VARS'!$M$68*(4^2)+'LINEST VARS'!$L$68*(0.5^2)+'LINEST VARS'!$K$68*(12.73^2)+'LINEST VARS'!$J$68*($W$128*$B149)+'LINEST VARS'!$I$68*($W$128*4)+'LINEST VARS'!$H$68*($W$128*0.5)+'LINEST VARS'!$G$68*($W$128*12.73)+'LINEST VARS'!$F$68*($B149*4)+'LINEST VARS'!$E$68*($B149*0.5)+'LINEST VARS'!$D$68*($B149*12.73)+'LINEST VARS'!$C$68*(4*0.5)+'LINEST VARS'!$B$68*(4*12.73)+'LINEST VARS'!$A$68*(0.5*12.73)</f>
        <v>149</v>
      </c>
      <c r="Z149" s="48">
        <v>8.6</v>
      </c>
      <c r="AA149" s="49">
        <f>'LINEST VARS'!$U$70+'LINEST VARS'!$T$70*($AA$128)+'LINEST VARS'!$S$70*($Z149)+'LINEST VARS'!$R$70*(4)+'LINEST VARS'!$Q$70*(0.5)+'LINEST VARS'!$P$70*(12.73)+'LINEST VARS'!$O$70*($AA$128^2)+'LINEST VARS'!$N$70*($Z149^2)+'LINEST VARS'!$M$70*(4^2)+'LINEST VARS'!$L$70*(0.5^2)+'LINEST VARS'!$K$70*(12.73^2)+'LINEST VARS'!$J$70*($AA$128*$Z149)+'LINEST VARS'!$I$70*($AA$128*4)+'LINEST VARS'!$H$70*($AA$128*0.5)+'LINEST VARS'!$G$70*($AA$128*12.73)+'LINEST VARS'!$F$70*($Z149*4)+'LINEST VARS'!$E$70*($Z149*0.5)+'LINEST VARS'!$D$70*($Z149*12.73)+'LINEST VARS'!$C$70*(4*0.5)+'LINEST VARS'!$B$70*(4*12.73)+'LINEST VARS'!$A$70*(0.5*12.73)</f>
        <v>88.900000000000048</v>
      </c>
      <c r="AB149" s="49">
        <f>'LINEST VARS'!$U$70+'LINEST VARS'!$T$70*($AB$128)+'LINEST VARS'!$S$70*($Z149)+'LINEST VARS'!$R$70*(4)+'LINEST VARS'!$Q$70*(0.5)+'LINEST VARS'!$P$70*(12.73)+'LINEST VARS'!$O$70*($AB$128^2)+'LINEST VARS'!$N$70*($Z149^2)+'LINEST VARS'!$M$70*(4^2)+'LINEST VARS'!$L$70*(0.5^2)+'LINEST VARS'!$K$70*(12.73^2)+'LINEST VARS'!$J$70*($AB$128*$Z149)+'LINEST VARS'!$I$70*($AB$128*4)+'LINEST VARS'!$H$70*($AB$128*0.5)+'LINEST VARS'!$G$70*($AB$128*12.73)+'LINEST VARS'!$F$70*($Z149*4)+'LINEST VARS'!$E$70*($Z149*0.5)+'LINEST VARS'!$D$70*($Z149*12.73)+'LINEST VARS'!$C$70*(4*0.5)+'LINEST VARS'!$B$70*(4*12.73)+'LINEST VARS'!$A$70*(0.5*12.73)</f>
        <v>88.900000000000048</v>
      </c>
      <c r="AC149" s="49">
        <f>'LINEST VARS'!$U$70+'LINEST VARS'!$T$70*($AC$128)+'LINEST VARS'!$S$70*($Z149)+'LINEST VARS'!$R$70*(4)+'LINEST VARS'!$Q$70*(0.5)+'LINEST VARS'!$P$70*(12.73)+'LINEST VARS'!$O$70*($AC$128^2)+'LINEST VARS'!$N$70*($Z149^2)+'LINEST VARS'!$M$70*(4^2)+'LINEST VARS'!$L$70*(0.5^2)+'LINEST VARS'!$K$70*(12.73^2)+'LINEST VARS'!$J$70*($AC$128*$Z149)+'LINEST VARS'!$I$70*($AC$128*4)+'LINEST VARS'!$H$70*($AC$128*0.5)+'LINEST VARS'!$G$70*($AC$128*12.73)+'LINEST VARS'!$F$70*($Z149*4)+'LINEST VARS'!$E$70*($Z149*0.5)+'LINEST VARS'!$D$70*($Z149*12.73)+'LINEST VARS'!$C$70*(4*0.5)+'LINEST VARS'!$B$70*(4*12.73)+'LINEST VARS'!$A$70*(0.5*12.73)</f>
        <v>88.900000000000048</v>
      </c>
      <c r="AD149" s="49">
        <f>'LINEST VARS'!$U$70+'LINEST VARS'!$T$70*($AD$128)+'LINEST VARS'!$S$70*($Z149)+'LINEST VARS'!$R$70*(4)+'LINEST VARS'!$Q$70*(0.5)+'LINEST VARS'!$P$70*(12.73)+'LINEST VARS'!$O$70*($AD$128^2)+'LINEST VARS'!$N$70*($Z149^2)+'LINEST VARS'!$M$70*(4^2)+'LINEST VARS'!$L$70*(0.5^2)+'LINEST VARS'!$K$70*(12.73^2)+'LINEST VARS'!$J$70*($AD$128*$Z149)+'LINEST VARS'!$I$70*($AD$128*4)+'LINEST VARS'!$H$70*($AD$128*0.5)+'LINEST VARS'!$G$70*($AD$128*12.73)+'LINEST VARS'!$F$70*($Z149*4)+'LINEST VARS'!$E$70*($Z149*0.5)+'LINEST VARS'!$D$70*($Z149*12.73)+'LINEST VARS'!$C$70*(4*0.5)+'LINEST VARS'!$B$70*(4*12.73)+'LINEST VARS'!$A$70*(0.5*12.73)</f>
        <v>88.900000000000048</v>
      </c>
      <c r="AE149" s="49">
        <f>'LINEST VARS'!$U$70+'LINEST VARS'!$T$70*($AE$128)+'LINEST VARS'!$S$70*($Z149)+'LINEST VARS'!$R$70*(4)+'LINEST VARS'!$Q$70*(0.5)+'LINEST VARS'!$P$70*(12.73)+'LINEST VARS'!$O$70*($AE$128^2)+'LINEST VARS'!$N$70*($Z149^2)+'LINEST VARS'!$M$70*(4^2)+'LINEST VARS'!$L$70*(0.5^2)+'LINEST VARS'!$K$70*(12.73^2)+'LINEST VARS'!$J$70*($AE$128*$Z149)+'LINEST VARS'!$I$70*($AE$128*4)+'LINEST VARS'!$H$70*($AE$128*0.5)+'LINEST VARS'!$G$70*($AE$128*12.73)+'LINEST VARS'!$F$70*($Z149*4)+'LINEST VARS'!$E$70*($Z149*0.5)+'LINEST VARS'!$D$70*($Z149*12.73)+'LINEST VARS'!$C$70*(4*0.5)+'LINEST VARS'!$B$70*(4*12.73)+'LINEST VARS'!$A$70*(0.5*12.73)</f>
        <v>88.900000000000048</v>
      </c>
      <c r="AF149" s="49">
        <f>'LINEST VARS'!$U$70+'LINEST VARS'!$T$70*($AF$128)+'LINEST VARS'!$S$70*($Z149)+'LINEST VARS'!$R$70*(4)+'LINEST VARS'!$Q$70*(0.5)+'LINEST VARS'!$P$70*(12.73)+'LINEST VARS'!$O$70*($AF$128^2)+'LINEST VARS'!$N$70*($Z149^2)+'LINEST VARS'!$M$70*(4^2)+'LINEST VARS'!$L$70*(0.5^2)+'LINEST VARS'!$K$70*(12.73^2)+'LINEST VARS'!$J$70*($AF$128*$Z149)+'LINEST VARS'!$I$70*($AF$128*4)+'LINEST VARS'!$H$70*($AF$128*0.5)+'LINEST VARS'!$G$70*($AF$128*12.73)+'LINEST VARS'!$F$70*($Z149*4)+'LINEST VARS'!$E$70*($Z149*0.5)+'LINEST VARS'!$D$70*($Z149*12.73)+'LINEST VARS'!$C$70*(4*0.5)+'LINEST VARS'!$B$70*(4*12.73)+'LINEST VARS'!$A$70*(0.5*12.73)</f>
        <v>88.90000000000002</v>
      </c>
      <c r="AG149" s="49">
        <f>'LINEST VARS'!$U$70+'LINEST VARS'!$T$70*($AG$128)+'LINEST VARS'!$S$70*($Z149)+'LINEST VARS'!$R$70*(4)+'LINEST VARS'!$Q$70*(0.5)+'LINEST VARS'!$P$70*(12.73)+'LINEST VARS'!$O$70*($AG$128^2)+'LINEST VARS'!$N$70*($Z149^2)+'LINEST VARS'!$M$70*(4^2)+'LINEST VARS'!$L$70*(0.5^2)+'LINEST VARS'!$K$70*(12.73^2)+'LINEST VARS'!$J$70*($AG$128*$Z149)+'LINEST VARS'!$I$70*($AG$128*4)+'LINEST VARS'!$H$70*($AG$128*0.5)+'LINEST VARS'!$G$70*($AG$128*12.73)+'LINEST VARS'!$F$70*($Z149*4)+'LINEST VARS'!$E$70*($Z149*0.5)+'LINEST VARS'!$D$70*($Z149*12.73)+'LINEST VARS'!$C$70*(4*0.5)+'LINEST VARS'!$B$70*(4*12.73)+'LINEST VARS'!$A$70*(0.5*12.73)</f>
        <v>88.90000000000002</v>
      </c>
      <c r="AH149" s="49">
        <f>'LINEST VARS'!$U$70+'LINEST VARS'!$T$70*($AH$128)+'LINEST VARS'!$S$70*($Z149)+'LINEST VARS'!$R$70*(4)+'LINEST VARS'!$Q$70*(0.5)+'LINEST VARS'!$P$70*(12.73)+'LINEST VARS'!$O$70*($AH$128^2)+'LINEST VARS'!$N$70*($Z149^2)+'LINEST VARS'!$M$70*(4^2)+'LINEST VARS'!$L$70*(0.5^2)+'LINEST VARS'!$K$70*(12.73^2)+'LINEST VARS'!$J$70*($AH$128*$Z149)+'LINEST VARS'!$I$70*($AH$128*4)+'LINEST VARS'!$H$70*($AH$128*0.5)+'LINEST VARS'!$G$70*($AH$128*12.73)+'LINEST VARS'!$F$70*($Z149*4)+'LINEST VARS'!$E$70*($Z149*0.5)+'LINEST VARS'!$D$70*($Z149*12.73)+'LINEST VARS'!$C$70*(4*0.5)+'LINEST VARS'!$B$70*(4*12.73)+'LINEST VARS'!$A$70*(0.5*12.73)</f>
        <v>88.90000000000002</v>
      </c>
      <c r="AI149" s="49">
        <f>'LINEST VARS'!$U$70+'LINEST VARS'!$T$70*($AI$128)+'LINEST VARS'!$S$70*($Z149)+'LINEST VARS'!$R$70*(4)+'LINEST VARS'!$Q$70*(0.5)+'LINEST VARS'!$P$70*(12.73)+'LINEST VARS'!$O$70*($AI$128^2)+'LINEST VARS'!$N$70*($Z149^2)+'LINEST VARS'!$M$70*(4^2)+'LINEST VARS'!$L$70*(0.5^2)+'LINEST VARS'!$K$70*(12.73^2)+'LINEST VARS'!$J$70*($AI$128*$Z149)+'LINEST VARS'!$I$70*($AI$128*4)+'LINEST VARS'!$H$70*($AI$128*0.5)+'LINEST VARS'!$G$70*($AI$128*12.73)+'LINEST VARS'!$F$70*($Z149*4)+'LINEST VARS'!$E$70*($Z149*0.5)+'LINEST VARS'!$D$70*($Z149*12.73)+'LINEST VARS'!$C$70*(4*0.5)+'LINEST VARS'!$B$70*(4*12.73)+'LINEST VARS'!$A$70*(0.5*12.73)</f>
        <v>88.90000000000002</v>
      </c>
      <c r="AJ149" s="49">
        <f>'LINEST VARS'!$U$70+'LINEST VARS'!$T$70*($AJ$128)+'LINEST VARS'!$S$70*($Z149)+'LINEST VARS'!$R$70*(4)+'LINEST VARS'!$Q$70*(0.5)+'LINEST VARS'!$P$70*(12.73)+'LINEST VARS'!$O$70*($AJ$128^2)+'LINEST VARS'!$N$70*($Z149^2)+'LINEST VARS'!$M$70*(4^2)+'LINEST VARS'!$L$70*(0.5^2)+'LINEST VARS'!$K$70*(12.73^2)+'LINEST VARS'!$J$70*($AJ$128*$Z149)+'LINEST VARS'!$I$70*($AJ$128*4)+'LINEST VARS'!$H$70*($AJ$128*0.5)+'LINEST VARS'!$G$70*($AJ$128*12.73)+'LINEST VARS'!$F$70*($Z149*4)+'LINEST VARS'!$E$70*($Z149*0.5)+'LINEST VARS'!$D$70*($Z149*12.73)+'LINEST VARS'!$C$70*(4*0.5)+'LINEST VARS'!$B$70*(4*12.73)+'LINEST VARS'!$A$70*(0.5*12.73)</f>
        <v>88.90000000000002</v>
      </c>
      <c r="AK149" s="49">
        <f>'LINEST VARS'!$U$70+'LINEST VARS'!$T$70*($AK$128)+'LINEST VARS'!$S$70*($Z149)+'LINEST VARS'!$R$70*(4)+'LINEST VARS'!$Q$70*(0.5)+'LINEST VARS'!$P$70*(12.73)+'LINEST VARS'!$O$70*($AK$128^2)+'LINEST VARS'!$N$70*($Z149^2)+'LINEST VARS'!$M$70*(4^2)+'LINEST VARS'!$L$70*(0.5^2)+'LINEST VARS'!$K$70*(12.73^2)+'LINEST VARS'!$J$70*($AK$128*$Z149)+'LINEST VARS'!$I$70*($AK$128*4)+'LINEST VARS'!$H$70*($AK$128*0.5)+'LINEST VARS'!$G$70*($AK$128*12.73)+'LINEST VARS'!$F$70*($Z149*4)+'LINEST VARS'!$E$70*($Z149*0.5)+'LINEST VARS'!$D$70*($Z149*12.73)+'LINEST VARS'!$C$70*(4*0.5)+'LINEST VARS'!$B$70*(4*12.73)+'LINEST VARS'!$A$70*(0.5*12.73)</f>
        <v>88.90000000000002</v>
      </c>
      <c r="AL149" s="49">
        <f>'LINEST VARS'!$U$70+'LINEST VARS'!$T$70*($AL$128)+'LINEST VARS'!$S$70*($Z149)+'LINEST VARS'!$R$70*(4)+'LINEST VARS'!$Q$70*(0.5)+'LINEST VARS'!$P$70*(12.73)+'LINEST VARS'!$O$70*($AL$128^2)+'LINEST VARS'!$N$70*($Z149^2)+'LINEST VARS'!$M$70*(4^2)+'LINEST VARS'!$L$70*(0.5^2)+'LINEST VARS'!$K$70*(12.73^2)+'LINEST VARS'!$J$70*($AL$128*$Z149)+'LINEST VARS'!$I$70*($AL$128*4)+'LINEST VARS'!$H$70*($AL$128*0.5)+'LINEST VARS'!$G$70*($AL$128*12.73)+'LINEST VARS'!$F$70*($Z149*4)+'LINEST VARS'!$E$70*($Z149*0.5)+'LINEST VARS'!$D$70*($Z149*12.73)+'LINEST VARS'!$C$70*(4*0.5)+'LINEST VARS'!$B$70*(4*12.73)+'LINEST VARS'!$A$70*(0.5*12.73)</f>
        <v>88.90000000000002</v>
      </c>
      <c r="AM149" s="49">
        <f>'LINEST VARS'!$U$70+'LINEST VARS'!$T$70*($AM$128)+'LINEST VARS'!$S$70*($Z149)+'LINEST VARS'!$R$70*(4)+'LINEST VARS'!$Q$70*(0.5)+'LINEST VARS'!$P$70*(12.73)+'LINEST VARS'!$O$70*($AM$128^2)+'LINEST VARS'!$N$70*($Z149^2)+'LINEST VARS'!$M$70*(4^2)+'LINEST VARS'!$L$70*(0.5^2)+'LINEST VARS'!$K$70*(12.73^2)+'LINEST VARS'!$J$70*($AM$128*$Z149)+'LINEST VARS'!$I$70*($AM$128*4)+'LINEST VARS'!$H$70*($AM$128*0.5)+'LINEST VARS'!$G$70*($AM$128*12.73)+'LINEST VARS'!$F$70*($Z149*4)+'LINEST VARS'!$E$70*($Z149*0.5)+'LINEST VARS'!$D$70*($Z149*12.73)+'LINEST VARS'!$C$70*(4*0.5)+'LINEST VARS'!$B$70*(4*12.73)+'LINEST VARS'!$A$70*(0.5*12.73)</f>
        <v>88.90000000000002</v>
      </c>
      <c r="AN149" s="49">
        <f>'LINEST VARS'!$U$70+'LINEST VARS'!$T$70*($AN$128)+'LINEST VARS'!$S$70*($Z149)+'LINEST VARS'!$R$70*(4)+'LINEST VARS'!$Q$70*(0.5)+'LINEST VARS'!$P$70*(12.73)+'LINEST VARS'!$O$70*($AN$128^2)+'LINEST VARS'!$N$70*($Z149^2)+'LINEST VARS'!$M$70*(4^2)+'LINEST VARS'!$L$70*(0.5^2)+'LINEST VARS'!$K$70*(12.73^2)+'LINEST VARS'!$J$70*($AN$128*$Z149)+'LINEST VARS'!$I$70*($AN$128*4)+'LINEST VARS'!$H$70*($AN$128*0.5)+'LINEST VARS'!$G$70*($AN$128*12.73)+'LINEST VARS'!$F$70*($Z149*4)+'LINEST VARS'!$E$70*($Z149*0.5)+'LINEST VARS'!$D$70*($Z149*12.73)+'LINEST VARS'!$C$70*(4*0.5)+'LINEST VARS'!$B$70*(4*12.73)+'LINEST VARS'!$A$70*(0.5*12.73)</f>
        <v>88.90000000000002</v>
      </c>
      <c r="AO149" s="49">
        <f>'LINEST VARS'!$U$70+'LINEST VARS'!$T$70*($AO$128)+'LINEST VARS'!$S$70*($Z149)+'LINEST VARS'!$R$70*(4)+'LINEST VARS'!$Q$70*(0.5)+'LINEST VARS'!$P$70*(12.73)+'LINEST VARS'!$O$70*($AO$128^2)+'LINEST VARS'!$N$70*($Z149^2)+'LINEST VARS'!$M$70*(4^2)+'LINEST VARS'!$L$70*(0.5^2)+'LINEST VARS'!$K$70*(12.73^2)+'LINEST VARS'!$J$70*($AO$128*$Z149)+'LINEST VARS'!$I$70*($AO$128*4)+'LINEST VARS'!$H$70*($AO$128*0.5)+'LINEST VARS'!$G$70*($AO$128*12.73)+'LINEST VARS'!$F$70*($Z149*4)+'LINEST VARS'!$E$70*($Z149*0.5)+'LINEST VARS'!$D$70*($Z149*12.73)+'LINEST VARS'!$C$70*(4*0.5)+'LINEST VARS'!$B$70*(4*12.73)+'LINEST VARS'!$A$70*(0.5*12.73)</f>
        <v>88.90000000000002</v>
      </c>
      <c r="AP149" s="49">
        <f>'LINEST VARS'!$U$70+'LINEST VARS'!$T$70*($AP$128)+'LINEST VARS'!$S$70*($Z149)+'LINEST VARS'!$R$70*(4)+'LINEST VARS'!$Q$70*(0.5)+'LINEST VARS'!$P$70*(12.73)+'LINEST VARS'!$O$70*($AP$128^2)+'LINEST VARS'!$N$70*($Z149^2)+'LINEST VARS'!$M$70*(4^2)+'LINEST VARS'!$L$70*(0.5^2)+'LINEST VARS'!$K$70*(12.73^2)+'LINEST VARS'!$J$70*($AP$128*$Z149)+'LINEST VARS'!$I$70*($AP$128*4)+'LINEST VARS'!$H$70*($AP$128*0.5)+'LINEST VARS'!$G$70*($AP$128*12.73)+'LINEST VARS'!$F$70*($Z149*4)+'LINEST VARS'!$E$70*($Z149*0.5)+'LINEST VARS'!$D$70*($Z149*12.73)+'LINEST VARS'!$C$70*(4*0.5)+'LINEST VARS'!$B$70*(4*12.73)+'LINEST VARS'!$A$70*(0.5*12.73)</f>
        <v>88.90000000000002</v>
      </c>
      <c r="AQ149" s="49">
        <f>'LINEST VARS'!$U$70+'LINEST VARS'!$T$70*($AQ$128)+'LINEST VARS'!$S$70*($Z149)+'LINEST VARS'!$R$70*(4)+'LINEST VARS'!$Q$70*(0.5)+'LINEST VARS'!$P$70*(12.73)+'LINEST VARS'!$O$70*($AQ$128^2)+'LINEST VARS'!$N$70*($Z149^2)+'LINEST VARS'!$M$70*(4^2)+'LINEST VARS'!$L$70*(0.5^2)+'LINEST VARS'!$K$70*(12.73^2)+'LINEST VARS'!$J$70*($AQ$128*$Z149)+'LINEST VARS'!$I$70*($AQ$128*4)+'LINEST VARS'!$H$70*($AQ$128*0.5)+'LINEST VARS'!$G$70*($AQ$128*12.73)+'LINEST VARS'!$F$70*($Z149*4)+'LINEST VARS'!$E$70*($Z149*0.5)+'LINEST VARS'!$D$70*($Z149*12.73)+'LINEST VARS'!$C$70*(4*0.5)+'LINEST VARS'!$B$70*(4*12.73)+'LINEST VARS'!$A$70*(0.5*12.73)</f>
        <v>88.90000000000002</v>
      </c>
      <c r="AR149" s="49">
        <f>'LINEST VARS'!$U$70+'LINEST VARS'!$T$70*($AR$128)+'LINEST VARS'!$S$70*($Z149)+'LINEST VARS'!$R$70*(4)+'LINEST VARS'!$Q$70*(0.5)+'LINEST VARS'!$P$70*(12.73)+'LINEST VARS'!$O$70*($AR$128^2)+'LINEST VARS'!$N$70*($Z149^2)+'LINEST VARS'!$M$70*(4^2)+'LINEST VARS'!$L$70*(0.5^2)+'LINEST VARS'!$K$70*(12.73^2)+'LINEST VARS'!$J$70*($AR$128*$Z149)+'LINEST VARS'!$I$70*($AR$128*4)+'LINEST VARS'!$H$70*($AR$128*0.5)+'LINEST VARS'!$G$70*($AR$128*12.73)+'LINEST VARS'!$F$70*($Z149*4)+'LINEST VARS'!$E$70*($Z149*0.5)+'LINEST VARS'!$D$70*($Z149*12.73)+'LINEST VARS'!$C$70*(4*0.5)+'LINEST VARS'!$B$70*(4*12.73)+'LINEST VARS'!$A$70*(0.5*12.73)</f>
        <v>88.90000000000002</v>
      </c>
      <c r="AS149" s="49">
        <f>'LINEST VARS'!$U$70+'LINEST VARS'!$T$70*($AS$128)+'LINEST VARS'!$S$70*($Z149)+'LINEST VARS'!$R$70*(4)+'LINEST VARS'!$Q$70*(0.5)+'LINEST VARS'!$P$70*(12.73)+'LINEST VARS'!$O$70*($AS$128^2)+'LINEST VARS'!$N$70*($Z149^2)+'LINEST VARS'!$M$70*(4^2)+'LINEST VARS'!$L$70*(0.5^2)+'LINEST VARS'!$K$70*(12.73^2)+'LINEST VARS'!$J$70*($AS$128*$Z149)+'LINEST VARS'!$I$70*($AS$128*4)+'LINEST VARS'!$H$70*($AS$128*0.5)+'LINEST VARS'!$G$70*($AS$128*12.73)+'LINEST VARS'!$F$70*($Z149*4)+'LINEST VARS'!$E$70*($Z149*0.5)+'LINEST VARS'!$D$70*($Z149*12.73)+'LINEST VARS'!$C$70*(4*0.5)+'LINEST VARS'!$B$70*(4*12.73)+'LINEST VARS'!$A$70*(0.5*12.73)</f>
        <v>88.90000000000002</v>
      </c>
      <c r="AT149" s="49">
        <f>'LINEST VARS'!$U$70+'LINEST VARS'!$T$70*($AT$128)+'LINEST VARS'!$S$70*($Z149)+'LINEST VARS'!$R$70*(4)+'LINEST VARS'!$Q$70*(0.5)+'LINEST VARS'!$P$70*(12.73)+'LINEST VARS'!$O$70*($AT$128^2)+'LINEST VARS'!$N$70*($Z149^2)+'LINEST VARS'!$M$70*(4^2)+'LINEST VARS'!$L$70*(0.5^2)+'LINEST VARS'!$K$70*(12.73^2)+'LINEST VARS'!$J$70*($AT$128*$Z149)+'LINEST VARS'!$I$70*($AT$128*4)+'LINEST VARS'!$H$70*($AT$128*0.5)+'LINEST VARS'!$G$70*($AT$128*12.73)+'LINEST VARS'!$F$70*($Z149*4)+'LINEST VARS'!$E$70*($Z149*0.5)+'LINEST VARS'!$D$70*($Z149*12.73)+'LINEST VARS'!$C$70*(4*0.5)+'LINEST VARS'!$B$70*(4*12.73)+'LINEST VARS'!$A$70*(0.5*12.73)</f>
        <v>88.90000000000002</v>
      </c>
      <c r="AU149" s="50">
        <f>'LINEST VARS'!$U$70+'LINEST VARS'!$T$70*($AU$128)+'LINEST VARS'!$S$70*($Z149)+'LINEST VARS'!$R$70*(4)+'LINEST VARS'!$Q$70*(0.5)+'LINEST VARS'!$P$70*(12.73)+'LINEST VARS'!$O$70*($AU$128^2)+'LINEST VARS'!$N$70*($Z149^2)+'LINEST VARS'!$M$70*(4^2)+'LINEST VARS'!$L$70*(0.5^2)+'LINEST VARS'!$K$70*(12.73^2)+'LINEST VARS'!$J$70*($AU$128*$Z149)+'LINEST VARS'!$I$70*($AU$128*4)+'LINEST VARS'!$H$70*($AU$128*0.5)+'LINEST VARS'!$G$70*($AU$128*12.73)+'LINEST VARS'!$F$70*($Z149*4)+'LINEST VARS'!$E$70*($Z149*0.5)+'LINEST VARS'!$D$70*($Z149*12.73)+'LINEST VARS'!$C$70*(4*0.5)+'LINEST VARS'!$B$70*(4*12.73)+'LINEST VARS'!$A$70*(0.5*12.73)</f>
        <v>88.90000000000002</v>
      </c>
      <c r="AZ149" s="48">
        <v>1</v>
      </c>
      <c r="BA149" s="49">
        <f>'LINEST VARS'!$U$68+'LINEST VARS'!$T$68*(8)+'LINEST VARS'!$S$68*(8)+'LINEST VARS'!$R$68*($BA$128)+'LINEST VARS'!$Q$68*($AZ149)+'LINEST VARS'!$P$68*(12.73)+'LINEST VARS'!$O$68*(8^2)+'LINEST VARS'!$N$68*(8^2)+'LINEST VARS'!$M$68*($BA$128^2)+'LINEST VARS'!$L$68*($AZ149^2)+'LINEST VARS'!$K$68*(12.73^2)+'LINEST VARS'!$J$68*(8*8)+'LINEST VARS'!$I$68*(8*$BA$128)+'LINEST VARS'!$H$68*(8*$AZ149)+'LINEST VARS'!$G$68*(8*12.73)+'LINEST VARS'!$F$68*(8*$BA$128)+'LINEST VARS'!$E$68*(8*$AZ149)+'LINEST VARS'!$D$68*(8*12.73)+'LINEST VARS'!$C$68*($BA$128*$AZ149)+'LINEST VARS'!$B$68*($BA$128*12.73)+'LINEST VARS'!$A$68*($AZ149*12.73)</f>
        <v>146</v>
      </c>
      <c r="BB149" s="49">
        <f>'LINEST VARS'!$U$68+'LINEST VARS'!$T$68*(8)+'LINEST VARS'!$S$68*(8)+'LINEST VARS'!$R$68*($BB$128)+'LINEST VARS'!$Q$68*($AZ149)+'LINEST VARS'!$P$68*(12.73)+'LINEST VARS'!$O$68*(8^2)+'LINEST VARS'!$N$68*(8^2)+'LINEST VARS'!$M$68*($BB$128^2)+'LINEST VARS'!$L$68*($AZ149^2)+'LINEST VARS'!$K$68*(12.73^2)+'LINEST VARS'!$J$68*(8*8)+'LINEST VARS'!$I$68*(8*$BB$128)+'LINEST VARS'!$H$68*(8*$AZ149)+'LINEST VARS'!$G$68*(8*12.73)+'LINEST VARS'!$F$68*(8*$BB$128)+'LINEST VARS'!$E$68*(8*$AZ149)+'LINEST VARS'!$D$68*(8*12.73)+'LINEST VARS'!$C$68*($BB$128*$AZ149)+'LINEST VARS'!$B$68*($BB$128*12.73)+'LINEST VARS'!$A$68*($AZ149*12.73)</f>
        <v>146</v>
      </c>
      <c r="BC149" s="49">
        <f>'LINEST VARS'!$U$68+'LINEST VARS'!$T$68*(8)+'LINEST VARS'!$S$68*(8)+'LINEST VARS'!$R$68*($BC$128)+'LINEST VARS'!$Q$68*($AZ149)+'LINEST VARS'!$P$68*(12.73)+'LINEST VARS'!$O$68*(8^2)+'LINEST VARS'!$N$68*(8^2)+'LINEST VARS'!$M$68*($BC$128^2)+'LINEST VARS'!$L$68*($AZ149^2)+'LINEST VARS'!$K$68*(12.73^2)+'LINEST VARS'!$J$68*(8*8)+'LINEST VARS'!$I$68*(8*$BC$128)+'LINEST VARS'!$H$68*(8*$AZ149)+'LINEST VARS'!$G$68*(8*12.73)+'LINEST VARS'!$F$68*(8*$BC$128)+'LINEST VARS'!$E$68*(8*$AZ149)+'LINEST VARS'!$D$68*(8*12.73)+'LINEST VARS'!$C$68*($BC$128*$AZ149)+'LINEST VARS'!$B$68*($BC$128*12.73)+'LINEST VARS'!$A$68*($AZ149*12.73)</f>
        <v>146</v>
      </c>
      <c r="BD149" s="49">
        <f>'LINEST VARS'!$U$68+'LINEST VARS'!$T$68*(8)+'LINEST VARS'!$S$68*(8)+'LINEST VARS'!$R$68*($BD$128)+'LINEST VARS'!$Q$68*($AZ149)+'LINEST VARS'!$P$68*(12.73)+'LINEST VARS'!$O$68*(8^2)+'LINEST VARS'!$N$68*(8^2)+'LINEST VARS'!$M$68*($BD$128^2)+'LINEST VARS'!$L$68*($AZ149^2)+'LINEST VARS'!$K$68*(12.73^2)+'LINEST VARS'!$J$68*(8*8)+'LINEST VARS'!$I$68*(8*$BD$128)+'LINEST VARS'!$H$68*(8*$AZ149)+'LINEST VARS'!$G$68*(8*12.73)+'LINEST VARS'!$F$68*(8*$BD$128)+'LINEST VARS'!$E$68*(8*$AZ149)+'LINEST VARS'!$D$68*(8*12.73)+'LINEST VARS'!$C$68*($BD$128*$AZ149)+'LINEST VARS'!$B$68*($BD$128*12.73)+'LINEST VARS'!$A$68*($AZ149*12.73)</f>
        <v>146</v>
      </c>
      <c r="BE149" s="49">
        <f>'LINEST VARS'!$U$68+'LINEST VARS'!$T$68*(8)+'LINEST VARS'!$S$68*(8)+'LINEST VARS'!$R$68*($BE$128)+'LINEST VARS'!$Q$68*($AZ149)+'LINEST VARS'!$P$68*(12.73)+'LINEST VARS'!$O$68*(8^2)+'LINEST VARS'!$N$68*(8^2)+'LINEST VARS'!$M$68*($BE$128^2)+'LINEST VARS'!$L$68*($AZ149^2)+'LINEST VARS'!$K$68*(12.73^2)+'LINEST VARS'!$J$68*(8*8)+'LINEST VARS'!$I$68*(8*$BE$128)+'LINEST VARS'!$H$68*(8*$AZ149)+'LINEST VARS'!$G$68*(8*12.73)+'LINEST VARS'!$F$68*(8*$BE$128)+'LINEST VARS'!$E$68*(8*$AZ149)+'LINEST VARS'!$D$68*(8*12.73)+'LINEST VARS'!$C$68*($BE$128*$AZ149)+'LINEST VARS'!$B$68*($BE$128*12.73)+'LINEST VARS'!$A$68*($AZ149*12.73)</f>
        <v>146</v>
      </c>
      <c r="BF149" s="49">
        <f>'LINEST VARS'!$U$68+'LINEST VARS'!$T$68*(8)+'LINEST VARS'!$S$68*(8)+'LINEST VARS'!$R$68*($BF$128)+'LINEST VARS'!$Q$68*($AZ149)+'LINEST VARS'!$P$68*(12.73)+'LINEST VARS'!$O$68*(8^2)+'LINEST VARS'!$N$68*(8^2)+'LINEST VARS'!$M$68*($BF$128^2)+'LINEST VARS'!$L$68*($AZ149^2)+'LINEST VARS'!$K$68*(12.73^2)+'LINEST VARS'!$J$68*(8*8)+'LINEST VARS'!$I$68*(8*$BF$128)+'LINEST VARS'!$H$68*(8*$AZ149)+'LINEST VARS'!$G$68*(8*12.73)+'LINEST VARS'!$F$68*(8*$BF$128)+'LINEST VARS'!$E$68*(8*$AZ149)+'LINEST VARS'!$D$68*(8*12.73)+'LINEST VARS'!$C$68*($BF$128*$AZ149)+'LINEST VARS'!$B$68*($BF$128*12.73)+'LINEST VARS'!$A$68*($AZ149*12.73)</f>
        <v>146</v>
      </c>
      <c r="BG149" s="49">
        <f>'LINEST VARS'!$U$68+'LINEST VARS'!$T$68*(8)+'LINEST VARS'!$S$68*(8)+'LINEST VARS'!$R$68*($BG$128)+'LINEST VARS'!$Q$68*($AZ149)+'LINEST VARS'!$P$68*(12.73)+'LINEST VARS'!$O$68*(8^2)+'LINEST VARS'!$N$68*(8^2)+'LINEST VARS'!$M$68*($BG$128^2)+'LINEST VARS'!$L$68*($AZ149^2)+'LINEST VARS'!$K$68*(12.73^2)+'LINEST VARS'!$J$68*(8*8)+'LINEST VARS'!$I$68*(8*$BG$128)+'LINEST VARS'!$H$68*(8*$AZ149)+'LINEST VARS'!$G$68*(8*12.73)+'LINEST VARS'!$F$68*(8*$BG$128)+'LINEST VARS'!$E$68*(8*$AZ149)+'LINEST VARS'!$D$68*(8*12.73)+'LINEST VARS'!$C$68*($BG$128*$AZ149)+'LINEST VARS'!$B$68*($BG$128*12.73)+'LINEST VARS'!$A$68*($AZ149*12.73)</f>
        <v>146</v>
      </c>
      <c r="BH149" s="49">
        <f>'LINEST VARS'!$U$68+'LINEST VARS'!$T$68*(8)+'LINEST VARS'!$S$68*(8)+'LINEST VARS'!$R$68*($BH$128)+'LINEST VARS'!$Q$68*($AZ149)+'LINEST VARS'!$P$68*(12.73)+'LINEST VARS'!$O$68*(8^2)+'LINEST VARS'!$N$68*(8^2)+'LINEST VARS'!$M$68*($BH$128^2)+'LINEST VARS'!$L$68*($AZ149^2)+'LINEST VARS'!$K$68*(12.73^2)+'LINEST VARS'!$J$68*(8*8)+'LINEST VARS'!$I$68*(8*$BH$128)+'LINEST VARS'!$H$68*(8*$AZ149)+'LINEST VARS'!$G$68*(8*12.73)+'LINEST VARS'!$F$68*(8*$BH$128)+'LINEST VARS'!$E$68*(8*$AZ149)+'LINEST VARS'!$D$68*(8*12.73)+'LINEST VARS'!$C$68*($BH$128*$AZ149)+'LINEST VARS'!$B$68*($BH$128*12.73)+'LINEST VARS'!$A$68*($AZ149*12.73)</f>
        <v>146</v>
      </c>
      <c r="BI149" s="49">
        <f>'LINEST VARS'!$U$68+'LINEST VARS'!$T$68*(8)+'LINEST VARS'!$S$68*(8)+'LINEST VARS'!$R$68*($BI$128)+'LINEST VARS'!$Q$68*($AZ149)+'LINEST VARS'!$P$68*(12.73)+'LINEST VARS'!$O$68*(8^2)+'LINEST VARS'!$N$68*(8^2)+'LINEST VARS'!$M$68*($BI$128^2)+'LINEST VARS'!$L$68*($AZ149^2)+'LINEST VARS'!$K$68*(12.73^2)+'LINEST VARS'!$J$68*(8*8)+'LINEST VARS'!$I$68*(8*$BI$128)+'LINEST VARS'!$H$68*(8*$AZ149)+'LINEST VARS'!$G$68*(8*12.73)+'LINEST VARS'!$F$68*(8*$BI$128)+'LINEST VARS'!$E$68*(8*$AZ149)+'LINEST VARS'!$D$68*(8*12.73)+'LINEST VARS'!$C$68*($BI$128*$AZ149)+'LINEST VARS'!$B$68*($BI$128*12.73)+'LINEST VARS'!$A$68*($AZ149*12.73)</f>
        <v>146</v>
      </c>
      <c r="BJ149" s="49">
        <f>'LINEST VARS'!$U$68+'LINEST VARS'!$T$68*(8)+'LINEST VARS'!$S$68*(8)+'LINEST VARS'!$R$68*($BJ$128)+'LINEST VARS'!$Q$68*($AZ149)+'LINEST VARS'!$P$68*(12.73)+'LINEST VARS'!$O$68*(8^2)+'LINEST VARS'!$N$68*(8^2)+'LINEST VARS'!$M$68*($BJ$128^2)+'LINEST VARS'!$L$68*($AZ149^2)+'LINEST VARS'!$K$68*(12.73^2)+'LINEST VARS'!$J$68*(8*8)+'LINEST VARS'!$I$68*(8*$BJ$128)+'LINEST VARS'!$H$68*(8*$AZ149)+'LINEST VARS'!$G$68*(8*12.73)+'LINEST VARS'!$F$68*(8*$BJ$128)+'LINEST VARS'!$E$68*(8*$AZ149)+'LINEST VARS'!$D$68*(8*12.73)+'LINEST VARS'!$C$68*($BJ$128*$AZ149)+'LINEST VARS'!$B$68*($BJ$128*12.73)+'LINEST VARS'!$A$68*($AZ149*12.73)</f>
        <v>146</v>
      </c>
      <c r="BK149" s="49">
        <f>'LINEST VARS'!$U$68+'LINEST VARS'!$T$68*(8)+'LINEST VARS'!$S$68*(8)+'LINEST VARS'!$R$68*($BK$128)+'LINEST VARS'!$Q$68*($AZ149)+'LINEST VARS'!$P$68*(12.73)+'LINEST VARS'!$O$68*(8^2)+'LINEST VARS'!$N$68*(8^2)+'LINEST VARS'!$M$68*($BK$128^2)+'LINEST VARS'!$L$68*($AZ149^2)+'LINEST VARS'!$K$68*(12.73^2)+'LINEST VARS'!$J$68*(8*8)+'LINEST VARS'!$I$68*(8*$BK$128)+'LINEST VARS'!$H$68*(8*$AZ149)+'LINEST VARS'!$G$68*(8*12.73)+'LINEST VARS'!$F$68*(8*$BK$128)+'LINEST VARS'!$E$68*(8*$AZ149)+'LINEST VARS'!$D$68*(8*12.73)+'LINEST VARS'!$C$68*($BK$128*$AZ149)+'LINEST VARS'!$B$68*($BK$128*12.73)+'LINEST VARS'!$A$68*($AZ149*12.73)</f>
        <v>146</v>
      </c>
      <c r="BL149" s="49">
        <f>'LINEST VARS'!$U$68+'LINEST VARS'!$T$68*(8)+'LINEST VARS'!$S$68*(8)+'LINEST VARS'!$R$68*($BL$128)+'LINEST VARS'!$Q$68*($AZ149)+'LINEST VARS'!$P$68*(12.73)+'LINEST VARS'!$O$68*(8^2)+'LINEST VARS'!$N$68*(8^2)+'LINEST VARS'!$M$68*($BL$128^2)+'LINEST VARS'!$L$68*($AZ149^2)+'LINEST VARS'!$K$68*(12.73^2)+'LINEST VARS'!$J$68*(8*8)+'LINEST VARS'!$I$68*(8*$BL$128)+'LINEST VARS'!$H$68*(8*$AZ149)+'LINEST VARS'!$G$68*(8*12.73)+'LINEST VARS'!$F$68*(8*$BL$128)+'LINEST VARS'!$E$68*(8*$AZ149)+'LINEST VARS'!$D$68*(8*12.73)+'LINEST VARS'!$C$68*($BL$128*$AZ149)+'LINEST VARS'!$B$68*($BL$128*12.73)+'LINEST VARS'!$A$68*($AZ149*12.73)</f>
        <v>146</v>
      </c>
      <c r="BM149" s="49">
        <f>'LINEST VARS'!$U$68+'LINEST VARS'!$T$68*(8)+'LINEST VARS'!$S$68*(8)+'LINEST VARS'!$R$68*($BM$128)+'LINEST VARS'!$Q$68*($AZ149)+'LINEST VARS'!$P$68*(12.73)+'LINEST VARS'!$O$68*(8^2)+'LINEST VARS'!$N$68*(8^2)+'LINEST VARS'!$M$68*($BM$128^2)+'LINEST VARS'!$L$68*($AZ149^2)+'LINEST VARS'!$K$68*(12.73^2)+'LINEST VARS'!$J$68*(8*8)+'LINEST VARS'!$I$68*(8*$BM$128)+'LINEST VARS'!$H$68*(8*$AZ149)+'LINEST VARS'!$G$68*(8*12.73)+'LINEST VARS'!$F$68*(8*$BM$128)+'LINEST VARS'!$E$68*(8*$AZ149)+'LINEST VARS'!$D$68*(8*12.73)+'LINEST VARS'!$C$68*($BM$128*$AZ149)+'LINEST VARS'!$B$68*($BM$128*12.73)+'LINEST VARS'!$A$68*($AZ149*12.73)</f>
        <v>146</v>
      </c>
      <c r="BN149" s="49">
        <f>'LINEST VARS'!$U$68+'LINEST VARS'!$T$68*(8)+'LINEST VARS'!$S$68*(8)+'LINEST VARS'!$R$68*($BN$128)+'LINEST VARS'!$Q$68*($AZ149)+'LINEST VARS'!$P$68*(12.73)+'LINEST VARS'!$O$68*(8^2)+'LINEST VARS'!$N$68*(8^2)+'LINEST VARS'!$M$68*($BN$128^2)+'LINEST VARS'!$L$68*($AZ149^2)+'LINEST VARS'!$K$68*(12.73^2)+'LINEST VARS'!$J$68*(8*8)+'LINEST VARS'!$I$68*(8*$BN$128)+'LINEST VARS'!$H$68*(8*$AZ149)+'LINEST VARS'!$G$68*(8*12.73)+'LINEST VARS'!$F$68*(8*$BN$128)+'LINEST VARS'!$E$68*(8*$AZ149)+'LINEST VARS'!$D$68*(8*12.73)+'LINEST VARS'!$C$68*($BN$128*$AZ149)+'LINEST VARS'!$B$68*($BN$128*12.73)+'LINEST VARS'!$A$68*($AZ149*12.73)</f>
        <v>146</v>
      </c>
      <c r="BO149" s="49">
        <f>'LINEST VARS'!$U$68+'LINEST VARS'!$T$68*(8)+'LINEST VARS'!$S$68*(8)+'LINEST VARS'!$R$68*($BO$128)+'LINEST VARS'!$Q$68*($AZ149)+'LINEST VARS'!$P$68*(12.73)+'LINEST VARS'!$O$68*(8^2)+'LINEST VARS'!$N$68*(8^2)+'LINEST VARS'!$M$68*($BO$128^2)+'LINEST VARS'!$L$68*($AZ149^2)+'LINEST VARS'!$K$68*(12.73^2)+'LINEST VARS'!$J$68*(8*8)+'LINEST VARS'!$I$68*(8*$BO$128)+'LINEST VARS'!$H$68*(8*$AZ149)+'LINEST VARS'!$G$68*(8*12.73)+'LINEST VARS'!$F$68*(8*$BO$128)+'LINEST VARS'!$E$68*(8*$AZ149)+'LINEST VARS'!$D$68*(8*12.73)+'LINEST VARS'!$C$68*($BO$128*$AZ149)+'LINEST VARS'!$B$68*($BO$128*12.73)+'LINEST VARS'!$A$68*($AZ149*12.73)</f>
        <v>146</v>
      </c>
      <c r="BP149" s="49">
        <f>'LINEST VARS'!$U$68+'LINEST VARS'!$T$68*(8)+'LINEST VARS'!$S$68*(8)+'LINEST VARS'!$R$68*($BP$128)+'LINEST VARS'!$Q$68*($AZ149)+'LINEST VARS'!$P$68*(12.73)+'LINEST VARS'!$O$68*(8^2)+'LINEST VARS'!$N$68*(8^2)+'LINEST VARS'!$M$68*($BP$128^2)+'LINEST VARS'!$L$68*($AZ149^2)+'LINEST VARS'!$K$68*(12.73^2)+'LINEST VARS'!$J$68*(8*8)+'LINEST VARS'!$I$68*(8*$BP$128)+'LINEST VARS'!$H$68*(8*$AZ149)+'LINEST VARS'!$G$68*(8*12.73)+'LINEST VARS'!$F$68*(8*$BP$128)+'LINEST VARS'!$E$68*(8*$AZ149)+'LINEST VARS'!$D$68*(8*12.73)+'LINEST VARS'!$C$68*($BP$128*$AZ149)+'LINEST VARS'!$B$68*($BP$128*12.73)+'LINEST VARS'!$A$68*($AZ149*12.73)</f>
        <v>146</v>
      </c>
      <c r="BQ149" s="49">
        <f>'LINEST VARS'!$U$68+'LINEST VARS'!$T$68*(8)+'LINEST VARS'!$S$68*(8)+'LINEST VARS'!$R$68*($BQ$128)+'LINEST VARS'!$Q$68*($AZ149)+'LINEST VARS'!$P$68*(12.73)+'LINEST VARS'!$O$68*(8^2)+'LINEST VARS'!$N$68*(8^2)+'LINEST VARS'!$M$68*($BQ$128^2)+'LINEST VARS'!$L$68*($AZ149^2)+'LINEST VARS'!$K$68*(12.73^2)+'LINEST VARS'!$J$68*(8*8)+'LINEST VARS'!$I$68*(8*$BQ$128)+'LINEST VARS'!$H$68*(8*$AZ149)+'LINEST VARS'!$G$68*(8*12.73)+'LINEST VARS'!$F$68*(8*$BQ$128)+'LINEST VARS'!$E$68*(8*$AZ149)+'LINEST VARS'!$D$68*(8*12.73)+'LINEST VARS'!$C$68*($BQ$128*$AZ149)+'LINEST VARS'!$B$68*($BQ$128*12.73)+'LINEST VARS'!$A$68*($AZ149*12.73)</f>
        <v>146</v>
      </c>
      <c r="BR149" s="49">
        <f>'LINEST VARS'!$U$68+'LINEST VARS'!$T$68*(8)+'LINEST VARS'!$S$68*(8)+'LINEST VARS'!$R$68*($BR$128)+'LINEST VARS'!$Q$68*($AZ149)+'LINEST VARS'!$P$68*(12.73)+'LINEST VARS'!$O$68*(8^2)+'LINEST VARS'!$N$68*(8^2)+'LINEST VARS'!$M$68*($BR$128^2)+'LINEST VARS'!$L$68*($AZ149^2)+'LINEST VARS'!$K$68*(12.73^2)+'LINEST VARS'!$J$68*(8*8)+'LINEST VARS'!$I$68*(8*$BR$128)+'LINEST VARS'!$H$68*(8*$AZ149)+'LINEST VARS'!$G$68*(8*12.73)+'LINEST VARS'!$F$68*(8*$BR$128)+'LINEST VARS'!$E$68*(8*$AZ149)+'LINEST VARS'!$D$68*(8*12.73)+'LINEST VARS'!$C$68*($BR$128*$AZ149)+'LINEST VARS'!$B$68*($BR$128*12.73)+'LINEST VARS'!$A$68*($AZ149*12.73)</f>
        <v>146</v>
      </c>
      <c r="BS149" s="49">
        <f>'LINEST VARS'!$U$68+'LINEST VARS'!$T$68*(8)+'LINEST VARS'!$S$68*(8)+'LINEST VARS'!$R$68*($BS$128)+'LINEST VARS'!$Q$68*($AZ149)+'LINEST VARS'!$P$68*(12.73)+'LINEST VARS'!$O$68*(8^2)+'LINEST VARS'!$N$68*(8^2)+'LINEST VARS'!$M$68*($BS$128^2)+'LINEST VARS'!$L$68*($AZ149^2)+'LINEST VARS'!$K$68*(12.73^2)+'LINEST VARS'!$J$68*(8*8)+'LINEST VARS'!$I$68*(8*$BS$128)+'LINEST VARS'!$H$68*(8*$AZ149)+'LINEST VARS'!$G$68*(8*12.73)+'LINEST VARS'!$F$68*(8*$BS$128)+'LINEST VARS'!$E$68*(8*$AZ149)+'LINEST VARS'!$D$68*(8*12.73)+'LINEST VARS'!$C$68*($BS$128*$AZ149)+'LINEST VARS'!$B$68*($BS$128*12.73)+'LINEST VARS'!$A$68*($AZ149*12.73)</f>
        <v>146</v>
      </c>
      <c r="BT149" s="49">
        <f>'LINEST VARS'!$U$68+'LINEST VARS'!$T$68*(8)+'LINEST VARS'!$S$68*(8)+'LINEST VARS'!$R$68*($BT$128)+'LINEST VARS'!$Q$68*($AZ149)+'LINEST VARS'!$P$68*(12.73)+'LINEST VARS'!$O$68*(8^2)+'LINEST VARS'!$N$68*(8^2)+'LINEST VARS'!$M$68*($BT$128^2)+'LINEST VARS'!$L$68*($AZ149^2)+'LINEST VARS'!$K$68*(12.73^2)+'LINEST VARS'!$J$68*(8*8)+'LINEST VARS'!$I$68*(8*$BT$128)+'LINEST VARS'!$H$68*(8*$AZ149)+'LINEST VARS'!$G$68*(8*12.73)+'LINEST VARS'!$F$68*(8*$BT$128)+'LINEST VARS'!$E$68*(8*$AZ149)+'LINEST VARS'!$D$68*(8*12.73)+'LINEST VARS'!$C$68*($BT$128*$AZ149)+'LINEST VARS'!$B$68*($BT$128*12.73)+'LINEST VARS'!$A$68*($AZ149*12.73)</f>
        <v>146</v>
      </c>
      <c r="BU149" s="50">
        <f>'LINEST VARS'!$U$68+'LINEST VARS'!$T$68*(8)+'LINEST VARS'!$S$68*(8)+'LINEST VARS'!$R$68*($BU$128)+'LINEST VARS'!$Q$68*($AZ149)+'LINEST VARS'!$P$68*(12.73)+'LINEST VARS'!$O$68*(8^2)+'LINEST VARS'!$N$68*(8^2)+'LINEST VARS'!$M$68*($BU$128^2)+'LINEST VARS'!$L$68*($AZ149^2)+'LINEST VARS'!$K$68*(12.73^2)+'LINEST VARS'!$J$68*(8*8)+'LINEST VARS'!$I$68*(8*$BU$128)+'LINEST VARS'!$H$68*(8*$AZ149)+'LINEST VARS'!$G$68*(8*12.73)+'LINEST VARS'!$F$68*(8*$BU$128)+'LINEST VARS'!$E$68*(8*$AZ149)+'LINEST VARS'!$D$68*(8*12.73)+'LINEST VARS'!$C$68*($BU$128*$AZ149)+'LINEST VARS'!$B$68*($BU$128*12.73)+'LINEST VARS'!$A$68*($AZ149*12.73)</f>
        <v>146</v>
      </c>
      <c r="BX149" s="48">
        <v>1</v>
      </c>
      <c r="BY149" s="49">
        <f>'LINEST VARS'!$U$70+'LINEST VARS'!$T$70*(8)+'LINEST VARS'!$S$70*(8)+'LINEST VARS'!$R$70*($BY$128)+'LINEST VARS'!$Q$70*($BX149)+'LINEST VARS'!$P$70*(12.73)+'LINEST VARS'!$O$70*(8^2)+'LINEST VARS'!$N$70*(8^2)+'LINEST VARS'!$M$70*($BY$128^2)+'LINEST VARS'!$L$70*($BX149^2)+'LINEST VARS'!$K$70*(12.73^2)+'LINEST VARS'!$J$70*(8*8)+'LINEST VARS'!$I$70*(8*$BY$128)+'LINEST VARS'!$H$70*(8*$BX149)+'LINEST VARS'!$G$70*(8*12.73)+'LINEST VARS'!$F$70*(8*$BY$128)+'LINEST VARS'!$E$70*(8*$BX149)+'LINEST VARS'!$D$70*(8*12.73)+'LINEST VARS'!$C$70*($BY$128*$BX149)+'LINEST VARS'!$B$70*($BY$128*12.73)+'LINEST VARS'!$A$70*($BX149*12.73)</f>
        <v>92.000000000000014</v>
      </c>
      <c r="BZ149" s="49">
        <f>'LINEST VARS'!$U$70+'LINEST VARS'!$T$70*(8)+'LINEST VARS'!$S$70*(8)+'LINEST VARS'!$R$70*($BZ$128)+'LINEST VARS'!$Q$70*($BX149)+'LINEST VARS'!$P$70*(12.73)+'LINEST VARS'!$O$70*(8^2)+'LINEST VARS'!$N$70*(8^2)+'LINEST VARS'!$M$70*($BZ$128^2)+'LINEST VARS'!$L$70*($BX149^2)+'LINEST VARS'!$K$70*(12.73^2)+'LINEST VARS'!$J$70*(8*8)+'LINEST VARS'!$I$70*(8*$BZ$128)+'LINEST VARS'!$H$70*(8*$BX149)+'LINEST VARS'!$G$70*(8*12.73)+'LINEST VARS'!$F$70*(8*$BZ$128)+'LINEST VARS'!$E$70*(8*$BX149)+'LINEST VARS'!$D$70*(8*12.73)+'LINEST VARS'!$C$70*($BZ$128*$BX149)+'LINEST VARS'!$B$70*($BZ$128*12.73)+'LINEST VARS'!$A$70*($BX149*12.73)</f>
        <v>91.600000000000009</v>
      </c>
      <c r="CA149" s="49">
        <f>'LINEST VARS'!$U$70+'LINEST VARS'!$T$70*(8)+'LINEST VARS'!$S$70*(8)+'LINEST VARS'!$R$70*($CA$128)+'LINEST VARS'!$Q$70*($BX149)+'LINEST VARS'!$P$70*(12.73)+'LINEST VARS'!$O$70*(8^2)+'LINEST VARS'!$N$70*(8^2)+'LINEST VARS'!$M$70*($CA$128^2)+'LINEST VARS'!$L$70*($BX149^2)+'LINEST VARS'!$K$70*(12.73^2)+'LINEST VARS'!$J$70*(8*8)+'LINEST VARS'!$I$70*(8*$CA$128)+'LINEST VARS'!$H$70*(8*$BX149)+'LINEST VARS'!$G$70*(8*12.73)+'LINEST VARS'!$F$70*(8*$CA$128)+'LINEST VARS'!$E$70*(8*$BX149)+'LINEST VARS'!$D$70*(8*12.73)+'LINEST VARS'!$C$70*($CA$128*$BX149)+'LINEST VARS'!$B$70*($CA$128*12.73)+'LINEST VARS'!$A$70*($BX149*12.73)</f>
        <v>91.200000000000017</v>
      </c>
      <c r="CB149" s="49">
        <f>'LINEST VARS'!$U$70+'LINEST VARS'!$T$70*(8)+'LINEST VARS'!$S$70*(8)+'LINEST VARS'!$R$70*($CB$128)+'LINEST VARS'!$Q$70*($BX149)+'LINEST VARS'!$P$70*(12.73)+'LINEST VARS'!$O$70*(8^2)+'LINEST VARS'!$N$70*(8^2)+'LINEST VARS'!$M$70*($CB$128^2)+'LINEST VARS'!$L$70*($BX149^2)+'LINEST VARS'!$K$70*(12.73^2)+'LINEST VARS'!$J$70*(8*8)+'LINEST VARS'!$I$70*(8*$CB$128)+'LINEST VARS'!$H$70*(8*$BX149)+'LINEST VARS'!$G$70*(8*12.73)+'LINEST VARS'!$F$70*(8*$CB$128)+'LINEST VARS'!$E$70*(8*$BX149)+'LINEST VARS'!$D$70*(8*12.73)+'LINEST VARS'!$C$70*($CB$128*$BX149)+'LINEST VARS'!$B$70*($CB$128*12.73)+'LINEST VARS'!$A$70*($BX149*12.73)</f>
        <v>90.800000000000011</v>
      </c>
      <c r="CC149" s="49">
        <f>'LINEST VARS'!$U$70+'LINEST VARS'!$T$70*(8)+'LINEST VARS'!$S$70*(8)+'LINEST VARS'!$R$70*($CC$128)+'LINEST VARS'!$Q$70*($BX149)+'LINEST VARS'!$P$70*(12.73)+'LINEST VARS'!$O$70*(8^2)+'LINEST VARS'!$N$70*(8^2)+'LINEST VARS'!$M$70*($CC$128^2)+'LINEST VARS'!$L$70*($BX149^2)+'LINEST VARS'!$K$70*(12.73^2)+'LINEST VARS'!$J$70*(8*8)+'LINEST VARS'!$I$70*(8*$CC$128)+'LINEST VARS'!$H$70*(8*$BX149)+'LINEST VARS'!$G$70*(8*12.73)+'LINEST VARS'!$F$70*(8*$CC$128)+'LINEST VARS'!$E$70*(8*$BX149)+'LINEST VARS'!$D$70*(8*12.73)+'LINEST VARS'!$C$70*($CC$128*$BX149)+'LINEST VARS'!$B$70*($CC$128*12.73)+'LINEST VARS'!$A$70*($BX149*12.73)</f>
        <v>90.40000000000002</v>
      </c>
      <c r="CD149" s="49">
        <f>'LINEST VARS'!$U$70+'LINEST VARS'!$T$70*(8)+'LINEST VARS'!$S$70*(8)+'LINEST VARS'!$R$70*($CD$128)+'LINEST VARS'!$Q$70*($BX149)+'LINEST VARS'!$P$70*(12.73)+'LINEST VARS'!$O$70*(8^2)+'LINEST VARS'!$N$70*(8^2)+'LINEST VARS'!$M$70*($CD$128^2)+'LINEST VARS'!$L$70*($BX149^2)+'LINEST VARS'!$K$70*(12.73^2)+'LINEST VARS'!$J$70*(8*8)+'LINEST VARS'!$I$70*(8*$CD$128)+'LINEST VARS'!$H$70*(8*$BX149)+'LINEST VARS'!$G$70*(8*12.73)+'LINEST VARS'!$F$70*(8*$CD$128)+'LINEST VARS'!$E$70*(8*$BX149)+'LINEST VARS'!$D$70*(8*12.73)+'LINEST VARS'!$C$70*($CD$128*$BX149)+'LINEST VARS'!$B$70*($CD$128*12.73)+'LINEST VARS'!$A$70*($BX149*12.73)</f>
        <v>90.000000000000014</v>
      </c>
      <c r="CE149" s="49">
        <f>'LINEST VARS'!$U$70+'LINEST VARS'!$T$70*(8)+'LINEST VARS'!$S$70*(8)+'LINEST VARS'!$R$70*($CE$128)+'LINEST VARS'!$Q$70*($BX149)+'LINEST VARS'!$P$70*(12.73)+'LINEST VARS'!$O$70*(8^2)+'LINEST VARS'!$N$70*(8^2)+'LINEST VARS'!$M$70*($CE$128^2)+'LINEST VARS'!$L$70*($BX149^2)+'LINEST VARS'!$K$70*(12.73^2)+'LINEST VARS'!$J$70*(8*8)+'LINEST VARS'!$I$70*(8*$CE$128)+'LINEST VARS'!$H$70*(8*$BX149)+'LINEST VARS'!$G$70*(8*12.73)+'LINEST VARS'!$F$70*(8*$CE$128)+'LINEST VARS'!$E$70*(8*$BX149)+'LINEST VARS'!$D$70*(8*12.73)+'LINEST VARS'!$C$70*($CE$128*$BX149)+'LINEST VARS'!$B$70*($CE$128*12.73)+'LINEST VARS'!$A$70*($BX149*12.73)</f>
        <v>89.600000000000023</v>
      </c>
      <c r="CF149" s="49">
        <f>'LINEST VARS'!$U$70+'LINEST VARS'!$T$70*(8)+'LINEST VARS'!$S$70*(8)+'LINEST VARS'!$R$70*($CF$128)+'LINEST VARS'!$Q$70*($BX149)+'LINEST VARS'!$P$70*(12.73)+'LINEST VARS'!$O$70*(8^2)+'LINEST VARS'!$N$70*(8^2)+'LINEST VARS'!$M$70*($CF$128^2)+'LINEST VARS'!$L$70*($BX149^2)+'LINEST VARS'!$K$70*(12.73^2)+'LINEST VARS'!$J$70*(8*8)+'LINEST VARS'!$I$70*(8*$CF$128)+'LINEST VARS'!$H$70*(8*$BX149)+'LINEST VARS'!$G$70*(8*12.73)+'LINEST VARS'!$F$70*(8*$CF$128)+'LINEST VARS'!$E$70*(8*$BX149)+'LINEST VARS'!$D$70*(8*12.73)+'LINEST VARS'!$C$70*($CF$128*$BX149)+'LINEST VARS'!$B$70*($CF$128*12.73)+'LINEST VARS'!$A$70*($BX149*12.73)</f>
        <v>89.200000000000017</v>
      </c>
      <c r="CG149" s="49">
        <f>'LINEST VARS'!$U$70+'LINEST VARS'!$T$70*(8)+'LINEST VARS'!$S$70*(8)+'LINEST VARS'!$R$70*($CG$128)+'LINEST VARS'!$Q$70*($BX149)+'LINEST VARS'!$P$70*(12.73)+'LINEST VARS'!$O$70*(8^2)+'LINEST VARS'!$N$70*(8^2)+'LINEST VARS'!$M$70*($CG$128^2)+'LINEST VARS'!$L$70*($BX149^2)+'LINEST VARS'!$K$70*(12.73^2)+'LINEST VARS'!$J$70*(8*8)+'LINEST VARS'!$I$70*(8*$CG$128)+'LINEST VARS'!$H$70*(8*$BX149)+'LINEST VARS'!$G$70*(8*12.73)+'LINEST VARS'!$F$70*(8*$CG$128)+'LINEST VARS'!$E$70*(8*$BX149)+'LINEST VARS'!$D$70*(8*12.73)+'LINEST VARS'!$C$70*($CG$128*$BX149)+'LINEST VARS'!$B$70*($CG$128*12.73)+'LINEST VARS'!$A$70*($BX149*12.73)</f>
        <v>88.800000000000026</v>
      </c>
      <c r="CH149" s="49">
        <f>'LINEST VARS'!$U$70+'LINEST VARS'!$T$70*(8)+'LINEST VARS'!$S$70*(8)+'LINEST VARS'!$R$70*($CH$128)+'LINEST VARS'!$Q$70*($BX149)+'LINEST VARS'!$P$70*(12.73)+'LINEST VARS'!$O$70*(8^2)+'LINEST VARS'!$N$70*(8^2)+'LINEST VARS'!$M$70*($CH$128^2)+'LINEST VARS'!$L$70*($BX149^2)+'LINEST VARS'!$K$70*(12.73^2)+'LINEST VARS'!$J$70*(8*8)+'LINEST VARS'!$I$70*(8*$CH$128)+'LINEST VARS'!$H$70*(8*$BX149)+'LINEST VARS'!$G$70*(8*12.73)+'LINEST VARS'!$F$70*(8*$CH$128)+'LINEST VARS'!$E$70*(8*$BX149)+'LINEST VARS'!$D$70*(8*12.73)+'LINEST VARS'!$C$70*($CH$128*$BX149)+'LINEST VARS'!$B$70*($CH$128*12.73)+'LINEST VARS'!$A$70*($BX149*12.73)</f>
        <v>88.40000000000002</v>
      </c>
      <c r="CI149" s="49">
        <f>'LINEST VARS'!$U$70+'LINEST VARS'!$T$70*(8)+'LINEST VARS'!$S$70*(8)+'LINEST VARS'!$R$70*($CI$128)+'LINEST VARS'!$Q$70*($BX149)+'LINEST VARS'!$P$70*(12.73)+'LINEST VARS'!$O$70*(8^2)+'LINEST VARS'!$N$70*(8^2)+'LINEST VARS'!$M$70*($CI$128^2)+'LINEST VARS'!$L$70*($BX149^2)+'LINEST VARS'!$K$70*(12.73^2)+'LINEST VARS'!$J$70*(8*8)+'LINEST VARS'!$I$70*(8*$CI$128)+'LINEST VARS'!$H$70*(8*$BX149)+'LINEST VARS'!$G$70*(8*12.73)+'LINEST VARS'!$F$70*(8*$CI$128)+'LINEST VARS'!$E$70*(8*$BX149)+'LINEST VARS'!$D$70*(8*12.73)+'LINEST VARS'!$C$70*($CI$128*$BX149)+'LINEST VARS'!$B$70*($CI$128*12.73)+'LINEST VARS'!$A$70*($BX149*12.73)</f>
        <v>88.000000000000014</v>
      </c>
      <c r="CJ149" s="49">
        <f>'LINEST VARS'!$U$70+'LINEST VARS'!$T$70*(8)+'LINEST VARS'!$S$70*(8)+'LINEST VARS'!$R$70*($CJ$128)+'LINEST VARS'!$Q$70*($BX149)+'LINEST VARS'!$P$70*(12.73)+'LINEST VARS'!$O$70*(8^2)+'LINEST VARS'!$N$70*(8^2)+'LINEST VARS'!$M$70*($CJ$128^2)+'LINEST VARS'!$L$70*($BX149^2)+'LINEST VARS'!$K$70*(12.73^2)+'LINEST VARS'!$J$70*(8*8)+'LINEST VARS'!$I$70*(8*$CJ$128)+'LINEST VARS'!$H$70*(8*$BX149)+'LINEST VARS'!$G$70*(8*12.73)+'LINEST VARS'!$F$70*(8*$CJ$128)+'LINEST VARS'!$E$70*(8*$BX149)+'LINEST VARS'!$D$70*(8*12.73)+'LINEST VARS'!$C$70*($CJ$128*$BX149)+'LINEST VARS'!$B$70*($CJ$128*12.73)+'LINEST VARS'!$A$70*($BX149*12.73)</f>
        <v>87.600000000000023</v>
      </c>
      <c r="CK149" s="49">
        <f>'LINEST VARS'!$U$70+'LINEST VARS'!$T$70*(8)+'LINEST VARS'!$S$70*(8)+'LINEST VARS'!$R$70*($CK$128)+'LINEST VARS'!$Q$70*($BX149)+'LINEST VARS'!$P$70*(12.73)+'LINEST VARS'!$O$70*(8^2)+'LINEST VARS'!$N$70*(8^2)+'LINEST VARS'!$M$70*($CK$128^2)+'LINEST VARS'!$L$70*($BX149^2)+'LINEST VARS'!$K$70*(12.73^2)+'LINEST VARS'!$J$70*(8*8)+'LINEST VARS'!$I$70*(8*$CK$128)+'LINEST VARS'!$H$70*(8*$BX149)+'LINEST VARS'!$G$70*(8*12.73)+'LINEST VARS'!$F$70*(8*$CK$128)+'LINEST VARS'!$E$70*(8*$BX149)+'LINEST VARS'!$D$70*(8*12.73)+'LINEST VARS'!$C$70*($CK$128*$BX149)+'LINEST VARS'!$B$70*($CK$128*12.73)+'LINEST VARS'!$A$70*($BX149*12.73)</f>
        <v>87.200000000000017</v>
      </c>
      <c r="CL149" s="49">
        <f>'LINEST VARS'!$U$70+'LINEST VARS'!$T$70*(8)+'LINEST VARS'!$S$70*(8)+'LINEST VARS'!$R$70*($CL$128)+'LINEST VARS'!$Q$70*($BX149)+'LINEST VARS'!$P$70*(12.73)+'LINEST VARS'!$O$70*(8^2)+'LINEST VARS'!$N$70*(8^2)+'LINEST VARS'!$M$70*($CL$128^2)+'LINEST VARS'!$L$70*($BX149^2)+'LINEST VARS'!$K$70*(12.73^2)+'LINEST VARS'!$J$70*(8*8)+'LINEST VARS'!$I$70*(8*$CL$128)+'LINEST VARS'!$H$70*(8*$BX149)+'LINEST VARS'!$G$70*(8*12.73)+'LINEST VARS'!$F$70*(8*$CL$128)+'LINEST VARS'!$E$70*(8*$BX149)+'LINEST VARS'!$D$70*(8*12.73)+'LINEST VARS'!$C$70*($CL$128*$BX149)+'LINEST VARS'!$B$70*($CL$128*12.73)+'LINEST VARS'!$A$70*($BX149*12.73)</f>
        <v>86.800000000000026</v>
      </c>
      <c r="CM149" s="49">
        <f>'LINEST VARS'!$U$70+'LINEST VARS'!$T$70*(8)+'LINEST VARS'!$S$70*(8)+'LINEST VARS'!$R$70*($CM$128)+'LINEST VARS'!$Q$70*($BX149)+'LINEST VARS'!$P$70*(12.73)+'LINEST VARS'!$O$70*(8^2)+'LINEST VARS'!$N$70*(8^2)+'LINEST VARS'!$M$70*($CM$128^2)+'LINEST VARS'!$L$70*($BX149^2)+'LINEST VARS'!$K$70*(12.73^2)+'LINEST VARS'!$J$70*(8*8)+'LINEST VARS'!$I$70*(8*$CM$128)+'LINEST VARS'!$H$70*(8*$BX149)+'LINEST VARS'!$G$70*(8*12.73)+'LINEST VARS'!$F$70*(8*$CM$128)+'LINEST VARS'!$E$70*(8*$BX149)+'LINEST VARS'!$D$70*(8*12.73)+'LINEST VARS'!$C$70*($CM$128*$BX149)+'LINEST VARS'!$B$70*($CM$128*12.73)+'LINEST VARS'!$A$70*($BX149*12.73)</f>
        <v>86.40000000000002</v>
      </c>
      <c r="CN149" s="49">
        <f>'LINEST VARS'!$U$70+'LINEST VARS'!$T$70*(8)+'LINEST VARS'!$S$70*(8)+'LINEST VARS'!$R$70*($CN$128)+'LINEST VARS'!$Q$70*($BX149)+'LINEST VARS'!$P$70*(12.73)+'LINEST VARS'!$O$70*(8^2)+'LINEST VARS'!$N$70*(8^2)+'LINEST VARS'!$M$70*($CN$128^2)+'LINEST VARS'!$L$70*($BX149^2)+'LINEST VARS'!$K$70*(12.73^2)+'LINEST VARS'!$J$70*(8*8)+'LINEST VARS'!$I$70*(8*$CN$128)+'LINEST VARS'!$H$70*(8*$BX149)+'LINEST VARS'!$G$70*(8*12.73)+'LINEST VARS'!$F$70*(8*$CN$128)+'LINEST VARS'!$E$70*(8*$BX149)+'LINEST VARS'!$D$70*(8*12.73)+'LINEST VARS'!$C$70*($CN$128*$BX149)+'LINEST VARS'!$B$70*($CN$128*12.73)+'LINEST VARS'!$A$70*($BX149*12.73)</f>
        <v>86.000000000000014</v>
      </c>
      <c r="CO149" s="49">
        <f>'LINEST VARS'!$U$70+'LINEST VARS'!$T$70*(8)+'LINEST VARS'!$S$70*(8)+'LINEST VARS'!$R$70*($CO$128)+'LINEST VARS'!$Q$70*($BX149)+'LINEST VARS'!$P$70*(12.73)+'LINEST VARS'!$O$70*(8^2)+'LINEST VARS'!$N$70*(8^2)+'LINEST VARS'!$M$70*($CO$128^2)+'LINEST VARS'!$L$70*($BX149^2)+'LINEST VARS'!$K$70*(12.73^2)+'LINEST VARS'!$J$70*(8*8)+'LINEST VARS'!$I$70*(8*$CO$128)+'LINEST VARS'!$H$70*(8*$BX149)+'LINEST VARS'!$G$70*(8*12.73)+'LINEST VARS'!$F$70*(8*$CO$128)+'LINEST VARS'!$E$70*(8*$BX149)+'LINEST VARS'!$D$70*(8*12.73)+'LINEST VARS'!$C$70*($CO$128*$BX149)+'LINEST VARS'!$B$70*($CO$128*12.73)+'LINEST VARS'!$A$70*($BX149*12.73)</f>
        <v>85.600000000000009</v>
      </c>
      <c r="CP149" s="49">
        <f>'LINEST VARS'!$U$70+'LINEST VARS'!$T$70*(8)+'LINEST VARS'!$S$70*(8)+'LINEST VARS'!$R$70*($CP$128)+'LINEST VARS'!$Q$70*($BX149)+'LINEST VARS'!$P$70*(12.73)+'LINEST VARS'!$O$70*(8^2)+'LINEST VARS'!$N$70*(8^2)+'LINEST VARS'!$M$70*($CP$128^2)+'LINEST VARS'!$L$70*($BX149^2)+'LINEST VARS'!$K$70*(12.73^2)+'LINEST VARS'!$J$70*(8*8)+'LINEST VARS'!$I$70*(8*$CP$128)+'LINEST VARS'!$H$70*(8*$BX149)+'LINEST VARS'!$G$70*(8*12.73)+'LINEST VARS'!$F$70*(8*$CP$128)+'LINEST VARS'!$E$70*(8*$BX149)+'LINEST VARS'!$D$70*(8*12.73)+'LINEST VARS'!$C$70*($CP$128*$BX149)+'LINEST VARS'!$B$70*($CP$128*12.73)+'LINEST VARS'!$A$70*($BX149*12.73)</f>
        <v>85.200000000000017</v>
      </c>
      <c r="CQ149" s="49">
        <f>'LINEST VARS'!$U$70+'LINEST VARS'!$T$70*(8)+'LINEST VARS'!$S$70*(8)+'LINEST VARS'!$R$70*($CQ$128)+'LINEST VARS'!$Q$70*($BX149)+'LINEST VARS'!$P$70*(12.73)+'LINEST VARS'!$O$70*(8^2)+'LINEST VARS'!$N$70*(8^2)+'LINEST VARS'!$M$70*($CQ$128^2)+'LINEST VARS'!$L$70*($BX149^2)+'LINEST VARS'!$K$70*(12.73^2)+'LINEST VARS'!$J$70*(8*8)+'LINEST VARS'!$I$70*(8*$CQ$128)+'LINEST VARS'!$H$70*(8*$BX149)+'LINEST VARS'!$G$70*(8*12.73)+'LINEST VARS'!$F$70*(8*$CQ$128)+'LINEST VARS'!$E$70*(8*$BX149)+'LINEST VARS'!$D$70*(8*12.73)+'LINEST VARS'!$C$70*($CQ$128*$BX149)+'LINEST VARS'!$B$70*($CQ$128*12.73)+'LINEST VARS'!$A$70*($BX149*12.73)</f>
        <v>84.800000000000011</v>
      </c>
      <c r="CR149" s="49">
        <f>'LINEST VARS'!$U$70+'LINEST VARS'!$T$70*(8)+'LINEST VARS'!$S$70*(8)+'LINEST VARS'!$R$70*($CR$128)+'LINEST VARS'!$Q$70*($BX149)+'LINEST VARS'!$P$70*(12.73)+'LINEST VARS'!$O$70*(8^2)+'LINEST VARS'!$N$70*(8^2)+'LINEST VARS'!$M$70*($CR$128^2)+'LINEST VARS'!$L$70*($BX149^2)+'LINEST VARS'!$K$70*(12.73^2)+'LINEST VARS'!$J$70*(8*8)+'LINEST VARS'!$I$70*(8*$CR$128)+'LINEST VARS'!$H$70*(8*$BX149)+'LINEST VARS'!$G$70*(8*12.73)+'LINEST VARS'!$F$70*(8*$CR$128)+'LINEST VARS'!$E$70*(8*$BX149)+'LINEST VARS'!$D$70*(8*12.73)+'LINEST VARS'!$C$70*($CR$128*$BX149)+'LINEST VARS'!$B$70*($CR$128*12.73)+'LINEST VARS'!$A$70*($BX149*12.73)</f>
        <v>84.400000000000034</v>
      </c>
      <c r="CS149" s="50">
        <f>'LINEST VARS'!$U$70+'LINEST VARS'!$T$70*(8)+'LINEST VARS'!$S$70*(8)+'LINEST VARS'!$R$70*($CS$128)+'LINEST VARS'!$Q$70*($BX149)+'LINEST VARS'!$P$70*(12.73)+'LINEST VARS'!$O$70*(8^2)+'LINEST VARS'!$N$70*(8^2)+'LINEST VARS'!$M$70*($CS$128^2)+'LINEST VARS'!$L$70*($BX149^2)+'LINEST VARS'!$K$70*(12.73^2)+'LINEST VARS'!$J$70*(8*8)+'LINEST VARS'!$I$70*(8*$CS$128)+'LINEST VARS'!$H$70*(8*$BX149)+'LINEST VARS'!$G$70*(8*12.73)+'LINEST VARS'!$F$70*(8*$CS$128)+'LINEST VARS'!$E$70*(8*$BX149)+'LINEST VARS'!$D$70*(8*12.73)+'LINEST VARS'!$C$70*($CS$128*$BX149)+'LINEST VARS'!$B$70*($CS$128*12.73)+'LINEST VARS'!$A$70*($BX149*12.73)</f>
        <v>84.000000000000028</v>
      </c>
      <c r="CX149" s="48">
        <v>25.99</v>
      </c>
      <c r="CY149" s="49">
        <f>'LINEST VARS'!$U$68+'LINEST VARS'!$T$68*(8)+'LINEST VARS'!$S$68*(8)+'LINEST VARS'!$R$68*($CY$128)+'LINEST VARS'!$Q$68*(0.5)+'LINEST VARS'!$P$68*($CX149)+'LINEST VARS'!$O$68*(8^2)+'LINEST VARS'!$N$68*(8^2)+'LINEST VARS'!$M$68*($CY$128^2)+'LINEST VARS'!$L$68*(0.5^2)+'LINEST VARS'!$K$68*($CX149^2)+'LINEST VARS'!$J$68*(8*8)+'LINEST VARS'!$I$68*(8*$CY$128)+'LINEST VARS'!$H$68*(8*0.5)+'LINEST VARS'!$G$68*(8*$CX149)+'LINEST VARS'!$F$68*(8*$CY$128)+'LINEST VARS'!$E$68*(8*0.5)+'LINEST VARS'!$D$68*(8*$CX149)+'LINEST VARS'!$C$68*($CY$128*0.5)+'LINEST VARS'!$B$68*($CY$128*$CX149)+'LINEST VARS'!$A$68*(0.5*$CX149)</f>
        <v>149</v>
      </c>
      <c r="CZ149" s="49">
        <f>'LINEST VARS'!$U$68+'LINEST VARS'!$T$68*(8)+'LINEST VARS'!$S$68*(8)+'LINEST VARS'!$R$68*($CZ$128)+'LINEST VARS'!$Q$68*(0.5)+'LINEST VARS'!$P$68*($CX149)+'LINEST VARS'!$O$68*(8^2)+'LINEST VARS'!$N$68*(8^2)+'LINEST VARS'!$M$68*($CZ$128^2)+'LINEST VARS'!$L$68*(0.5^2)+'LINEST VARS'!$K$68*($CX149^2)+'LINEST VARS'!$J$68*(8*8)+'LINEST VARS'!$I$68*(8*$CZ$128)+'LINEST VARS'!$H$68*(8*0.5)+'LINEST VARS'!$G$68*(8*$CX149)+'LINEST VARS'!$F$68*(8*$CZ$128)+'LINEST VARS'!$E$68*(8*0.5)+'LINEST VARS'!$D$68*(8*$CX149)+'LINEST VARS'!$C$68*($CZ$128*0.5)+'LINEST VARS'!$B$68*($CZ$128*$CX149)+'LINEST VARS'!$A$68*(0.5*$CX149)</f>
        <v>149</v>
      </c>
      <c r="DA149" s="49">
        <f>'LINEST VARS'!$U$68+'LINEST VARS'!$T$68*(8)+'LINEST VARS'!$S$68*(8)+'LINEST VARS'!$R$68*($DA$128)+'LINEST VARS'!$Q$68*(0.5)+'LINEST VARS'!$P$68*($CX149)+'LINEST VARS'!$O$68*(8^2)+'LINEST VARS'!$N$68*(8^2)+'LINEST VARS'!$M$68*($DA$128^2)+'LINEST VARS'!$L$68*(0.5^2)+'LINEST VARS'!$K$68*($CX149^2)+'LINEST VARS'!$J$68*(8*8)+'LINEST VARS'!$I$68*(8*$DA$128)+'LINEST VARS'!$H$68*(8*0.5)+'LINEST VARS'!$G$68*(8*$CX149)+'LINEST VARS'!$F$68*(8*$DA$128)+'LINEST VARS'!$E$68*(8*0.5)+'LINEST VARS'!$D$68*(8*$CX149)+'LINEST VARS'!$C$68*($DA$128*0.5)+'LINEST VARS'!$B$68*($DA$128*$CX149)+'LINEST VARS'!$A$68*(0.5*$CX149)</f>
        <v>149</v>
      </c>
      <c r="DB149" s="49">
        <f>'LINEST VARS'!$U$68+'LINEST VARS'!$T$68*(8)+'LINEST VARS'!$S$68*(8)+'LINEST VARS'!$R$68*($DB$128)+'LINEST VARS'!$Q$68*(0.5)+'LINEST VARS'!$P$68*($CX149)+'LINEST VARS'!$O$68*(8^2)+'LINEST VARS'!$N$68*(8^2)+'LINEST VARS'!$M$68*($DB$128^2)+'LINEST VARS'!$L$68*(0.5^2)+'LINEST VARS'!$K$68*($CX149^2)+'LINEST VARS'!$J$68*(8*8)+'LINEST VARS'!$I$68*(8*$DB$128)+'LINEST VARS'!$H$68*(8*0.5)+'LINEST VARS'!$G$68*(8*$CX149)+'LINEST VARS'!$F$68*(8*$DB$128)+'LINEST VARS'!$E$68*(8*0.5)+'LINEST VARS'!$D$68*(8*$CX149)+'LINEST VARS'!$C$68*($DB$128*0.5)+'LINEST VARS'!$B$68*($DB$128*$CX149)+'LINEST VARS'!$A$68*(0.5*$CX149)</f>
        <v>149</v>
      </c>
      <c r="DC149" s="49">
        <f>'LINEST VARS'!$U$68+'LINEST VARS'!$T$68*(8)+'LINEST VARS'!$S$68*(8)+'LINEST VARS'!$R$68*($DC$128)+'LINEST VARS'!$Q$68*(0.5)+'LINEST VARS'!$P$68*($CX149)+'LINEST VARS'!$O$68*(8^2)+'LINEST VARS'!$N$68*(8^2)+'LINEST VARS'!$M$68*($DC$128^2)+'LINEST VARS'!$L$68*(0.5^2)+'LINEST VARS'!$K$68*($CX149^2)+'LINEST VARS'!$J$68*(8*8)+'LINEST VARS'!$I$68*(8*$DC$128)+'LINEST VARS'!$H$68*(8*0.5)+'LINEST VARS'!$G$68*(8*$CX149)+'LINEST VARS'!$F$68*(8*$DC$128)+'LINEST VARS'!$E$68*(8*0.5)+'LINEST VARS'!$D$68*(8*$CX149)+'LINEST VARS'!$C$68*($DC$128*0.5)+'LINEST VARS'!$B$68*($DC$128*$CX149)+'LINEST VARS'!$A$68*(0.5*$CX149)</f>
        <v>149</v>
      </c>
      <c r="DD149" s="49">
        <f>'LINEST VARS'!$U$68+'LINEST VARS'!$T$68*(8)+'LINEST VARS'!$S$68*(8)+'LINEST VARS'!$R$68*($DD$128)+'LINEST VARS'!$Q$68*(0.5)+'LINEST VARS'!$P$68*($CX149)+'LINEST VARS'!$O$68*(8^2)+'LINEST VARS'!$N$68*(8^2)+'LINEST VARS'!$M$68*($DD$128^2)+'LINEST VARS'!$L$68*(0.5^2)+'LINEST VARS'!$K$68*($CX149^2)+'LINEST VARS'!$J$68*(8*8)+'LINEST VARS'!$I$68*(8*$DD$128)+'LINEST VARS'!$H$68*(8*0.5)+'LINEST VARS'!$G$68*(8*$CX149)+'LINEST VARS'!$F$68*(8*$DD$128)+'LINEST VARS'!$E$68*(8*0.5)+'LINEST VARS'!$D$68*(8*$CX149)+'LINEST VARS'!$C$68*($DD$128*0.5)+'LINEST VARS'!$B$68*($DD$128*$CX149)+'LINEST VARS'!$A$68*(0.5*$CX149)</f>
        <v>149</v>
      </c>
      <c r="DE149" s="49">
        <f>'LINEST VARS'!$U$68+'LINEST VARS'!$T$68*(8)+'LINEST VARS'!$S$68*(8)+'LINEST VARS'!$R$68*($DE$128)+'LINEST VARS'!$Q$68*(0.5)+'LINEST VARS'!$P$68*($CX149)+'LINEST VARS'!$O$68*(8^2)+'LINEST VARS'!$N$68*(8^2)+'LINEST VARS'!$M$68*($DE$128^2)+'LINEST VARS'!$L$68*(0.5^2)+'LINEST VARS'!$K$68*($CX149^2)+'LINEST VARS'!$J$68*(8*8)+'LINEST VARS'!$I$68*(8*$DE$128)+'LINEST VARS'!$H$68*(8*0.5)+'LINEST VARS'!$G$68*(8*$CX149)+'LINEST VARS'!$F$68*(8*$DE$128)+'LINEST VARS'!$E$68*(8*0.5)+'LINEST VARS'!$D$68*(8*$CX149)+'LINEST VARS'!$C$68*($DE$128*0.5)+'LINEST VARS'!$B$68*($DE$128*$CX149)+'LINEST VARS'!$A$68*(0.5*$CX149)</f>
        <v>149</v>
      </c>
      <c r="DF149" s="49">
        <f>'LINEST VARS'!$U$68+'LINEST VARS'!$T$68*(8)+'LINEST VARS'!$S$68*(8)+'LINEST VARS'!$R$68*($DF$128)+'LINEST VARS'!$Q$68*(0.5)+'LINEST VARS'!$P$68*($CX149)+'LINEST VARS'!$O$68*(8^2)+'LINEST VARS'!$N$68*(8^2)+'LINEST VARS'!$M$68*($DF$128^2)+'LINEST VARS'!$L$68*(0.5^2)+'LINEST VARS'!$K$68*($CX149^2)+'LINEST VARS'!$J$68*(8*8)+'LINEST VARS'!$I$68*(8*$DF$128)+'LINEST VARS'!$H$68*(8*0.5)+'LINEST VARS'!$G$68*(8*$CX149)+'LINEST VARS'!$F$68*(8*$DF$128)+'LINEST VARS'!$E$68*(8*0.5)+'LINEST VARS'!$D$68*(8*$CX149)+'LINEST VARS'!$C$68*($DF$128*0.5)+'LINEST VARS'!$B$68*($DF$128*$CX149)+'LINEST VARS'!$A$68*(0.5*$CX149)</f>
        <v>149</v>
      </c>
      <c r="DG149" s="49">
        <f>'LINEST VARS'!$U$68+'LINEST VARS'!$T$68*(8)+'LINEST VARS'!$S$68*(8)+'LINEST VARS'!$R$68*($DG$128)+'LINEST VARS'!$Q$68*(0.5)+'LINEST VARS'!$P$68*($CX149)+'LINEST VARS'!$O$68*(8^2)+'LINEST VARS'!$N$68*(8^2)+'LINEST VARS'!$M$68*($DG$128^2)+'LINEST VARS'!$L$68*(0.5^2)+'LINEST VARS'!$K$68*($CX149^2)+'LINEST VARS'!$J$68*(8*8)+'LINEST VARS'!$I$68*(8*$DG$128)+'LINEST VARS'!$H$68*(8*0.5)+'LINEST VARS'!$G$68*(8*$CX149)+'LINEST VARS'!$F$68*(8*$DG$128)+'LINEST VARS'!$E$68*(8*0.5)+'LINEST VARS'!$D$68*(8*$CX149)+'LINEST VARS'!$C$68*($DG$128*0.5)+'LINEST VARS'!$B$68*($DG$128*$CX149)+'LINEST VARS'!$A$68*(0.5*$CX149)</f>
        <v>149</v>
      </c>
      <c r="DH149" s="49">
        <f>'LINEST VARS'!$U$68+'LINEST VARS'!$T$68*(8)+'LINEST VARS'!$S$68*(8)+'LINEST VARS'!$R$68*($DH$128)+'LINEST VARS'!$Q$68*(0.5)+'LINEST VARS'!$P$68*($CX149)+'LINEST VARS'!$O$68*(8^2)+'LINEST VARS'!$N$68*(8^2)+'LINEST VARS'!$M$68*($DH$128^2)+'LINEST VARS'!$L$68*(0.5^2)+'LINEST VARS'!$K$68*($CX149^2)+'LINEST VARS'!$J$68*(8*8)+'LINEST VARS'!$I$68*(8*$DH$128)+'LINEST VARS'!$H$68*(8*0.5)+'LINEST VARS'!$G$68*(8*$CX149)+'LINEST VARS'!$F$68*(8*$DH$128)+'LINEST VARS'!$E$68*(8*0.5)+'LINEST VARS'!$D$68*(8*$CX149)+'LINEST VARS'!$C$68*($DH$128*0.5)+'LINEST VARS'!$B$68*($DH$128*$CX149)+'LINEST VARS'!$A$68*(0.5*$CX149)</f>
        <v>149</v>
      </c>
      <c r="DI149" s="49">
        <f>'LINEST VARS'!$U$68+'LINEST VARS'!$T$68*(8)+'LINEST VARS'!$S$68*(8)+'LINEST VARS'!$R$68*($DI$128)+'LINEST VARS'!$Q$68*(0.5)+'LINEST VARS'!$P$68*($CX149)+'LINEST VARS'!$O$68*(8^2)+'LINEST VARS'!$N$68*(8^2)+'LINEST VARS'!$M$68*($DI$128^2)+'LINEST VARS'!$L$68*(0.5^2)+'LINEST VARS'!$K$68*($CX149^2)+'LINEST VARS'!$J$68*(8*8)+'LINEST VARS'!$I$68*(8*$DI$128)+'LINEST VARS'!$H$68*(8*0.5)+'LINEST VARS'!$G$68*(8*$CX149)+'LINEST VARS'!$F$68*(8*$DI$128)+'LINEST VARS'!$E$68*(8*0.5)+'LINEST VARS'!$D$68*(8*$CX149)+'LINEST VARS'!$C$68*($DI$128*0.5)+'LINEST VARS'!$B$68*($DI$128*$CX149)+'LINEST VARS'!$A$68*(0.5*$CX149)</f>
        <v>149</v>
      </c>
      <c r="DJ149" s="49">
        <f>'LINEST VARS'!$U$68+'LINEST VARS'!$T$68*(8)+'LINEST VARS'!$S$68*(8)+'LINEST VARS'!$R$68*($DJ$128)+'LINEST VARS'!$Q$68*(0.5)+'LINEST VARS'!$P$68*($CX149)+'LINEST VARS'!$O$68*(8^2)+'LINEST VARS'!$N$68*(8^2)+'LINEST VARS'!$M$68*($DJ$128^2)+'LINEST VARS'!$L$68*(0.5^2)+'LINEST VARS'!$K$68*($CX149^2)+'LINEST VARS'!$J$68*(8*8)+'LINEST VARS'!$I$68*(8*$DJ$128)+'LINEST VARS'!$H$68*(8*0.5)+'LINEST VARS'!$G$68*(8*$CX149)+'LINEST VARS'!$F$68*(8*$DJ$128)+'LINEST VARS'!$E$68*(8*0.5)+'LINEST VARS'!$D$68*(8*$CX149)+'LINEST VARS'!$C$68*($DJ$128*0.5)+'LINEST VARS'!$B$68*($DJ$128*$CX149)+'LINEST VARS'!$A$68*(0.5*$CX149)</f>
        <v>149</v>
      </c>
      <c r="DK149" s="49">
        <f>'LINEST VARS'!$U$68+'LINEST VARS'!$T$68*(8)+'LINEST VARS'!$S$68*(8)+'LINEST VARS'!$R$68*($DK$128)+'LINEST VARS'!$Q$68*(0.5)+'LINEST VARS'!$P$68*($CX149)+'LINEST VARS'!$O$68*(8^2)+'LINEST VARS'!$N$68*(8^2)+'LINEST VARS'!$M$68*($DK$128^2)+'LINEST VARS'!$L$68*(0.5^2)+'LINEST VARS'!$K$68*($CX149^2)+'LINEST VARS'!$J$68*(8*8)+'LINEST VARS'!$I$68*(8*$DK$128)+'LINEST VARS'!$H$68*(8*0.5)+'LINEST VARS'!$G$68*(8*$CX149)+'LINEST VARS'!$F$68*(8*$DK$128)+'LINEST VARS'!$E$68*(8*0.5)+'LINEST VARS'!$D$68*(8*$CX149)+'LINEST VARS'!$C$68*($DK$128*0.5)+'LINEST VARS'!$B$68*($DK$128*$CX149)+'LINEST VARS'!$A$68*(0.5*$CX149)</f>
        <v>149</v>
      </c>
      <c r="DL149" s="49">
        <f>'LINEST VARS'!$U$68+'LINEST VARS'!$T$68*(8)+'LINEST VARS'!$S$68*(8)+'LINEST VARS'!$R$68*($DL$128)+'LINEST VARS'!$Q$68*(0.5)+'LINEST VARS'!$P$68*($CX149)+'LINEST VARS'!$O$68*(8^2)+'LINEST VARS'!$N$68*(8^2)+'LINEST VARS'!$M$68*($DL$128^2)+'LINEST VARS'!$L$68*(0.5^2)+'LINEST VARS'!$K$68*($CX149^2)+'LINEST VARS'!$J$68*(8*8)+'LINEST VARS'!$I$68*(8*$DL$128)+'LINEST VARS'!$H$68*(8*0.5)+'LINEST VARS'!$G$68*(8*$CX149)+'LINEST VARS'!$F$68*(8*$DL$128)+'LINEST VARS'!$E$68*(8*0.5)+'LINEST VARS'!$D$68*(8*$CX149)+'LINEST VARS'!$C$68*($DL$128*0.5)+'LINEST VARS'!$B$68*($DL$128*$CX149)+'LINEST VARS'!$A$68*(0.5*$CX149)</f>
        <v>149</v>
      </c>
      <c r="DM149" s="49">
        <f>'LINEST VARS'!$U$68+'LINEST VARS'!$T$68*(8)+'LINEST VARS'!$S$68*(8)+'LINEST VARS'!$R$68*($DM$128)+'LINEST VARS'!$Q$68*(0.5)+'LINEST VARS'!$P$68*($CX149)+'LINEST VARS'!$O$68*(8^2)+'LINEST VARS'!$N$68*(8^2)+'LINEST VARS'!$M$68*($DM$128^2)+'LINEST VARS'!$L$68*(0.5^2)+'LINEST VARS'!$K$68*($CX149^2)+'LINEST VARS'!$J$68*(8*8)+'LINEST VARS'!$I$68*(8*$DM$128)+'LINEST VARS'!$H$68*(8*0.5)+'LINEST VARS'!$G$68*(8*$CX149)+'LINEST VARS'!$F$68*(8*$DM$128)+'LINEST VARS'!$E$68*(8*0.5)+'LINEST VARS'!$D$68*(8*$CX149)+'LINEST VARS'!$C$68*($DM$128*0.5)+'LINEST VARS'!$B$68*($DM$128*$CX149)+'LINEST VARS'!$A$68*(0.5*$CX149)</f>
        <v>149</v>
      </c>
      <c r="DN149" s="49">
        <f>'LINEST VARS'!$U$68+'LINEST VARS'!$T$68*(8)+'LINEST VARS'!$S$68*(8)+'LINEST VARS'!$R$68*($DN$128)+'LINEST VARS'!$Q$68*(0.5)+'LINEST VARS'!$P$68*($CX149)+'LINEST VARS'!$O$68*(8^2)+'LINEST VARS'!$N$68*(8^2)+'LINEST VARS'!$M$68*($DN$128^2)+'LINEST VARS'!$L$68*(0.5^2)+'LINEST VARS'!$K$68*($CX149^2)+'LINEST VARS'!$J$68*(8*8)+'LINEST VARS'!$I$68*(8*$DN$128)+'LINEST VARS'!$H$68*(8*0.5)+'LINEST VARS'!$G$68*(8*$CX149)+'LINEST VARS'!$F$68*(8*$DN$128)+'LINEST VARS'!$E$68*(8*0.5)+'LINEST VARS'!$D$68*(8*$CX149)+'LINEST VARS'!$C$68*($DN$128*0.5)+'LINEST VARS'!$B$68*($DN$128*$CX149)+'LINEST VARS'!$A$68*(0.5*$CX149)</f>
        <v>149</v>
      </c>
      <c r="DO149" s="49">
        <f>'LINEST VARS'!$U$68+'LINEST VARS'!$T$68*(8)+'LINEST VARS'!$S$68*(8)+'LINEST VARS'!$R$68*($DO$128)+'LINEST VARS'!$Q$68*(0.5)+'LINEST VARS'!$P$68*($CX149)+'LINEST VARS'!$O$68*(8^2)+'LINEST VARS'!$N$68*(8^2)+'LINEST VARS'!$M$68*($DO$128^2)+'LINEST VARS'!$L$68*(0.5^2)+'LINEST VARS'!$K$68*($CX149^2)+'LINEST VARS'!$J$68*(8*8)+'LINEST VARS'!$I$68*(8*$DO$128)+'LINEST VARS'!$H$68*(8*0.5)+'LINEST VARS'!$G$68*(8*$CX149)+'LINEST VARS'!$F$68*(8*$DO$128)+'LINEST VARS'!$E$68*(8*0.5)+'LINEST VARS'!$D$68*(8*$CX149)+'LINEST VARS'!$C$68*($DO$128*0.5)+'LINEST VARS'!$B$68*($DO$128*$CX149)+'LINEST VARS'!$A$68*(0.5*$CX149)</f>
        <v>149</v>
      </c>
      <c r="DP149" s="49">
        <f>'LINEST VARS'!$U$68+'LINEST VARS'!$T$68*(8)+'LINEST VARS'!$S$68*(8)+'LINEST VARS'!$R$68*($DP$128)+'LINEST VARS'!$Q$68*(0.5)+'LINEST VARS'!$P$68*($CX149)+'LINEST VARS'!$O$68*(8^2)+'LINEST VARS'!$N$68*(8^2)+'LINEST VARS'!$M$68*($DP$128^2)+'LINEST VARS'!$L$68*(0.5^2)+'LINEST VARS'!$K$68*($CX149^2)+'LINEST VARS'!$J$68*(8*8)+'LINEST VARS'!$I$68*(8*$DP$128)+'LINEST VARS'!$H$68*(8*0.5)+'LINEST VARS'!$G$68*(8*$CX149)+'LINEST VARS'!$F$68*(8*$DP$128)+'LINEST VARS'!$E$68*(8*0.5)+'LINEST VARS'!$D$68*(8*$CX149)+'LINEST VARS'!$C$68*($DP$128*0.5)+'LINEST VARS'!$B$68*($DP$128*$CX149)+'LINEST VARS'!$A$68*(0.5*$CX149)</f>
        <v>149</v>
      </c>
      <c r="DQ149" s="49">
        <f>'LINEST VARS'!$U$68+'LINEST VARS'!$T$68*(8)+'LINEST VARS'!$S$68*(8)+'LINEST VARS'!$R$68*($DQ$128)+'LINEST VARS'!$Q$68*(0.5)+'LINEST VARS'!$P$68*($CX149)+'LINEST VARS'!$O$68*(8^2)+'LINEST VARS'!$N$68*(8^2)+'LINEST VARS'!$M$68*($DQ$128^2)+'LINEST VARS'!$L$68*(0.5^2)+'LINEST VARS'!$K$68*($CX149^2)+'LINEST VARS'!$J$68*(8*8)+'LINEST VARS'!$I$68*(8*$DQ$128)+'LINEST VARS'!$H$68*(8*0.5)+'LINEST VARS'!$G$68*(8*$CX149)+'LINEST VARS'!$F$68*(8*$DQ$128)+'LINEST VARS'!$E$68*(8*0.5)+'LINEST VARS'!$D$68*(8*$CX149)+'LINEST VARS'!$C$68*($DQ$128*0.5)+'LINEST VARS'!$B$68*($DQ$128*$CX149)+'LINEST VARS'!$A$68*(0.5*$CX149)</f>
        <v>149</v>
      </c>
      <c r="DR149" s="49">
        <f>'LINEST VARS'!$U$68+'LINEST VARS'!$T$68*(8)+'LINEST VARS'!$S$68*(8)+'LINEST VARS'!$R$68*($DR$128)+'LINEST VARS'!$Q$68*(0.5)+'LINEST VARS'!$P$68*($CX149)+'LINEST VARS'!$O$68*(8^2)+'LINEST VARS'!$N$68*(8^2)+'LINEST VARS'!$M$68*($DR$128^2)+'LINEST VARS'!$L$68*(0.5^2)+'LINEST VARS'!$K$68*($CX149^2)+'LINEST VARS'!$J$68*(8*8)+'LINEST VARS'!$I$68*(8*$DR$128)+'LINEST VARS'!$H$68*(8*0.5)+'LINEST VARS'!$G$68*(8*$CX149)+'LINEST VARS'!$F$68*(8*$DR$128)+'LINEST VARS'!$E$68*(8*0.5)+'LINEST VARS'!$D$68*(8*$CX149)+'LINEST VARS'!$C$68*($DR$128*0.5)+'LINEST VARS'!$B$68*($DR$128*$CX149)+'LINEST VARS'!$A$68*(0.5*$CX149)</f>
        <v>149</v>
      </c>
      <c r="DS149" s="50">
        <f>'LINEST VARS'!$U$68+'LINEST VARS'!$T$68*(8)+'LINEST VARS'!$S$68*(8)+'LINEST VARS'!$R$68*($DS$128)+'LINEST VARS'!$Q$68*(0.5)+'LINEST VARS'!$P$68*($CX149)+'LINEST VARS'!$O$68*(8^2)+'LINEST VARS'!$N$68*(8^2)+'LINEST VARS'!$M$68*($DS$128^2)+'LINEST VARS'!$L$68*(0.5^2)+'LINEST VARS'!$K$68*($CX149^2)+'LINEST VARS'!$J$68*(8*8)+'LINEST VARS'!$I$68*(8*$DS$128)+'LINEST VARS'!$H$68*(8*0.5)+'LINEST VARS'!$G$68*(8*$CX149)+'LINEST VARS'!$F$68*(8*$DS$128)+'LINEST VARS'!$E$68*(8*0.5)+'LINEST VARS'!$D$68*(8*$CX149)+'LINEST VARS'!$C$68*($DS$128*0.5)+'LINEST VARS'!$B$68*($DS$128*$CX149)+'LINEST VARS'!$A$68*(0.5*$CX149)</f>
        <v>149</v>
      </c>
      <c r="DV149" s="48">
        <v>25.99</v>
      </c>
      <c r="DW149" s="49">
        <f>'LINEST VARS'!$U$70+'LINEST VARS'!$T$70*(8)+'LINEST VARS'!$S$70*(8)+'LINEST VARS'!$R$70*($DW$128)+'LINEST VARS'!$Q$70*(0.5)+'LINEST VARS'!$P$70*($DV149)+'LINEST VARS'!$O$70*(8^2)+'LINEST VARS'!$N$70*(8^2)+'LINEST VARS'!$M$70*($DW$128^2)+'LINEST VARS'!$L$70*(0.5^2)+'LINEST VARS'!$K$70*($DV149^2)+'LINEST VARS'!$J$70*(8*8)+'LINEST VARS'!$I$70*(8*$DW$128)+'LINEST VARS'!$H$70*(8*0.5)+'LINEST VARS'!$G$70*(8*$DV149)+'LINEST VARS'!$F$70*(8*$DW$128)+'LINEST VARS'!$E$70*(8*0.5)+'LINEST VARS'!$D$70*(8*$DV149)+'LINEST VARS'!$C$70*($DW$128*0.5)+'LINEST VARS'!$B$70*($DW$128*$DV149)+'LINEST VARS'!$A$70*(0.5*$DV149)</f>
        <v>92.000000000000014</v>
      </c>
      <c r="DX149" s="49">
        <f>'LINEST VARS'!$U$70+'LINEST VARS'!$T$70*(8)+'LINEST VARS'!$S$70*(8)+'LINEST VARS'!$R$70*($DX$128)+'LINEST VARS'!$Q$70*(0.5)+'LINEST VARS'!$P$70*($DV149)+'LINEST VARS'!$O$70*(8^2)+'LINEST VARS'!$N$70*(8^2)+'LINEST VARS'!$M$70*($DX$128^2)+'LINEST VARS'!$L$70*(0.5^2)+'LINEST VARS'!$K$70*($DV149^2)+'LINEST VARS'!$J$70*(8*8)+'LINEST VARS'!$I$70*(8*$DX$128)+'LINEST VARS'!$H$70*(8*0.5)+'LINEST VARS'!$G$70*(8*$DV149)+'LINEST VARS'!$F$70*(8*$DX$128)+'LINEST VARS'!$E$70*(8*0.5)+'LINEST VARS'!$D$70*(8*$DV149)+'LINEST VARS'!$C$70*($DX$128*0.5)+'LINEST VARS'!$B$70*($DX$128*$DV149)+'LINEST VARS'!$A$70*(0.5*$DV149)</f>
        <v>91.600000000000009</v>
      </c>
      <c r="DY149" s="49">
        <f>'LINEST VARS'!$U$70+'LINEST VARS'!$T$70*(8)+'LINEST VARS'!$S$70*(8)+'LINEST VARS'!$R$70*($DY$128)+'LINEST VARS'!$Q$70*(0.5)+'LINEST VARS'!$P$70*($DV149)+'LINEST VARS'!$O$70*(8^2)+'LINEST VARS'!$N$70*(8^2)+'LINEST VARS'!$M$70*($DY$128^2)+'LINEST VARS'!$L$70*(0.5^2)+'LINEST VARS'!$K$70*($DV149^2)+'LINEST VARS'!$J$70*(8*8)+'LINEST VARS'!$I$70*(8*$DY$128)+'LINEST VARS'!$H$70*(8*0.5)+'LINEST VARS'!$G$70*(8*$DV149)+'LINEST VARS'!$F$70*(8*$DY$128)+'LINEST VARS'!$E$70*(8*0.5)+'LINEST VARS'!$D$70*(8*$DV149)+'LINEST VARS'!$C$70*($DY$128*0.5)+'LINEST VARS'!$B$70*($DY$128*$DV149)+'LINEST VARS'!$A$70*(0.5*$DV149)</f>
        <v>91.200000000000017</v>
      </c>
      <c r="DZ149" s="49">
        <f>'LINEST VARS'!$U$70+'LINEST VARS'!$T$70*(8)+'LINEST VARS'!$S$70*(8)+'LINEST VARS'!$R$70*($DZ$128)+'LINEST VARS'!$Q$70*(0.5)+'LINEST VARS'!$P$70*($DV149)+'LINEST VARS'!$O$70*(8^2)+'LINEST VARS'!$N$70*(8^2)+'LINEST VARS'!$M$70*($DZ$128^2)+'LINEST VARS'!$L$70*(0.5^2)+'LINEST VARS'!$K$70*($DV149^2)+'LINEST VARS'!$J$70*(8*8)+'LINEST VARS'!$I$70*(8*$DZ$128)+'LINEST VARS'!$H$70*(8*0.5)+'LINEST VARS'!$G$70*(8*$DV149)+'LINEST VARS'!$F$70*(8*$DZ$128)+'LINEST VARS'!$E$70*(8*0.5)+'LINEST VARS'!$D$70*(8*$DV149)+'LINEST VARS'!$C$70*($DZ$128*0.5)+'LINEST VARS'!$B$70*($DZ$128*$DV149)+'LINEST VARS'!$A$70*(0.5*$DV149)</f>
        <v>90.800000000000011</v>
      </c>
      <c r="EA149" s="49">
        <f>'LINEST VARS'!$U$70+'LINEST VARS'!$T$70*(8)+'LINEST VARS'!$S$70*(8)+'LINEST VARS'!$R$70*($EA$128)+'LINEST VARS'!$Q$70*(0.5)+'LINEST VARS'!$P$70*($DV149)+'LINEST VARS'!$O$70*(8^2)+'LINEST VARS'!$N$70*(8^2)+'LINEST VARS'!$M$70*($EA$128^2)+'LINEST VARS'!$L$70*(0.5^2)+'LINEST VARS'!$K$70*($DV149^2)+'LINEST VARS'!$J$70*(8*8)+'LINEST VARS'!$I$70*(8*$EA$128)+'LINEST VARS'!$H$70*(8*0.5)+'LINEST VARS'!$G$70*(8*$DV149)+'LINEST VARS'!$F$70*(8*$EA$128)+'LINEST VARS'!$E$70*(8*0.5)+'LINEST VARS'!$D$70*(8*$DV149)+'LINEST VARS'!$C$70*($EA$128*0.5)+'LINEST VARS'!$B$70*($EA$128*$DV149)+'LINEST VARS'!$A$70*(0.5*$DV149)</f>
        <v>90.40000000000002</v>
      </c>
      <c r="EB149" s="49">
        <f>'LINEST VARS'!$U$70+'LINEST VARS'!$T$70*(8)+'LINEST VARS'!$S$70*(8)+'LINEST VARS'!$R$70*($EB$128)+'LINEST VARS'!$Q$70*(0.5)+'LINEST VARS'!$P$70*($DV149)+'LINEST VARS'!$O$70*(8^2)+'LINEST VARS'!$N$70*(8^2)+'LINEST VARS'!$M$70*($EB$128^2)+'LINEST VARS'!$L$70*(0.5^2)+'LINEST VARS'!$K$70*($DV149^2)+'LINEST VARS'!$J$70*(8*8)+'LINEST VARS'!$I$70*(8*$EB$128)+'LINEST VARS'!$H$70*(8*0.5)+'LINEST VARS'!$G$70*(8*$DV149)+'LINEST VARS'!$F$70*(8*$EB$128)+'LINEST VARS'!$E$70*(8*0.5)+'LINEST VARS'!$D$70*(8*$DV149)+'LINEST VARS'!$C$70*($EB$128*0.5)+'LINEST VARS'!$B$70*($EB$128*$DV149)+'LINEST VARS'!$A$70*(0.5*$DV149)</f>
        <v>90.000000000000014</v>
      </c>
      <c r="EC149" s="49">
        <f>'LINEST VARS'!$U$70+'LINEST VARS'!$T$70*(8)+'LINEST VARS'!$S$70*(8)+'LINEST VARS'!$R$70*($EC$128)+'LINEST VARS'!$Q$70*(0.5)+'LINEST VARS'!$P$70*($DV149)+'LINEST VARS'!$O$70*(8^2)+'LINEST VARS'!$N$70*(8^2)+'LINEST VARS'!$M$70*($EC$128^2)+'LINEST VARS'!$L$70*(0.5^2)+'LINEST VARS'!$K$70*($DV149^2)+'LINEST VARS'!$J$70*(8*8)+'LINEST VARS'!$I$70*(8*$EC$128)+'LINEST VARS'!$H$70*(8*0.5)+'LINEST VARS'!$G$70*(8*$DV149)+'LINEST VARS'!$F$70*(8*$EC$128)+'LINEST VARS'!$E$70*(8*0.5)+'LINEST VARS'!$D$70*(8*$DV149)+'LINEST VARS'!$C$70*($EC$128*0.5)+'LINEST VARS'!$B$70*($EC$128*$DV149)+'LINEST VARS'!$A$70*(0.5*$DV149)</f>
        <v>89.600000000000023</v>
      </c>
      <c r="ED149" s="49">
        <f>'LINEST VARS'!$U$70+'LINEST VARS'!$T$70*(8)+'LINEST VARS'!$S$70*(8)+'LINEST VARS'!$R$70*($ED$128)+'LINEST VARS'!$Q$70*(0.5)+'LINEST VARS'!$P$70*($DV149)+'LINEST VARS'!$O$70*(8^2)+'LINEST VARS'!$N$70*(8^2)+'LINEST VARS'!$M$70*($ED$128^2)+'LINEST VARS'!$L$70*(0.5^2)+'LINEST VARS'!$K$70*($DV149^2)+'LINEST VARS'!$J$70*(8*8)+'LINEST VARS'!$I$70*(8*$ED$128)+'LINEST VARS'!$H$70*(8*0.5)+'LINEST VARS'!$G$70*(8*$DV149)+'LINEST VARS'!$F$70*(8*$ED$128)+'LINEST VARS'!$E$70*(8*0.5)+'LINEST VARS'!$D$70*(8*$DV149)+'LINEST VARS'!$C$70*($ED$128*0.5)+'LINEST VARS'!$B$70*($ED$128*$DV149)+'LINEST VARS'!$A$70*(0.5*$DV149)</f>
        <v>89.200000000000017</v>
      </c>
      <c r="EE149" s="49">
        <f>'LINEST VARS'!$U$70+'LINEST VARS'!$T$70*(8)+'LINEST VARS'!$S$70*(8)+'LINEST VARS'!$R$70*($EE$128)+'LINEST VARS'!$Q$70*(0.5)+'LINEST VARS'!$P$70*($DV149)+'LINEST VARS'!$O$70*(8^2)+'LINEST VARS'!$N$70*(8^2)+'LINEST VARS'!$M$70*($EE$128^2)+'LINEST VARS'!$L$70*(0.5^2)+'LINEST VARS'!$K$70*($DV149^2)+'LINEST VARS'!$J$70*(8*8)+'LINEST VARS'!$I$70*(8*$EE$128)+'LINEST VARS'!$H$70*(8*0.5)+'LINEST VARS'!$G$70*(8*$DV149)+'LINEST VARS'!$F$70*(8*$EE$128)+'LINEST VARS'!$E$70*(8*0.5)+'LINEST VARS'!$D$70*(8*$DV149)+'LINEST VARS'!$C$70*($EE$128*0.5)+'LINEST VARS'!$B$70*($EE$128*$DV149)+'LINEST VARS'!$A$70*(0.5*$DV149)</f>
        <v>88.800000000000026</v>
      </c>
      <c r="EF149" s="49">
        <f>'LINEST VARS'!$U$70+'LINEST VARS'!$T$70*(8)+'LINEST VARS'!$S$70*(8)+'LINEST VARS'!$R$70*($EF$128)+'LINEST VARS'!$Q$70*(0.5)+'LINEST VARS'!$P$70*($DV149)+'LINEST VARS'!$O$70*(8^2)+'LINEST VARS'!$N$70*(8^2)+'LINEST VARS'!$M$70*($EF$128^2)+'LINEST VARS'!$L$70*(0.5^2)+'LINEST VARS'!$K$70*($DV149^2)+'LINEST VARS'!$J$70*(8*8)+'LINEST VARS'!$I$70*(8*$EF$128)+'LINEST VARS'!$H$70*(8*0.5)+'LINEST VARS'!$G$70*(8*$DV149)+'LINEST VARS'!$F$70*(8*$EF$128)+'LINEST VARS'!$E$70*(8*0.5)+'LINEST VARS'!$D$70*(8*$DV149)+'LINEST VARS'!$C$70*($EF$128*0.5)+'LINEST VARS'!$B$70*($EF$128*$DV149)+'LINEST VARS'!$A$70*(0.5*$DV149)</f>
        <v>88.40000000000002</v>
      </c>
      <c r="EG149" s="49">
        <f>'LINEST VARS'!$U$70+'LINEST VARS'!$T$70*(8)+'LINEST VARS'!$S$70*(8)+'LINEST VARS'!$R$70*($EG$128)+'LINEST VARS'!$Q$70*(0.5)+'LINEST VARS'!$P$70*($DV149)+'LINEST VARS'!$O$70*(8^2)+'LINEST VARS'!$N$70*(8^2)+'LINEST VARS'!$M$70*($EG$128^2)+'LINEST VARS'!$L$70*(0.5^2)+'LINEST VARS'!$K$70*($DV149^2)+'LINEST VARS'!$J$70*(8*8)+'LINEST VARS'!$I$70*(8*$EG$128)+'LINEST VARS'!$H$70*(8*0.5)+'LINEST VARS'!$G$70*(8*$DV149)+'LINEST VARS'!$F$70*(8*$EG$128)+'LINEST VARS'!$E$70*(8*0.5)+'LINEST VARS'!$D$70*(8*$DV149)+'LINEST VARS'!$C$70*($EG$128*0.5)+'LINEST VARS'!$B$70*($EG$128*$DV149)+'LINEST VARS'!$A$70*(0.5*$DV149)</f>
        <v>88.000000000000014</v>
      </c>
      <c r="EH149" s="49">
        <f>'LINEST VARS'!$U$70+'LINEST VARS'!$T$70*(8)+'LINEST VARS'!$S$70*(8)+'LINEST VARS'!$R$70*($EH$128)+'LINEST VARS'!$Q$70*(0.5)+'LINEST VARS'!$P$70*($DV149)+'LINEST VARS'!$O$70*(8^2)+'LINEST VARS'!$N$70*(8^2)+'LINEST VARS'!$M$70*($EH$128^2)+'LINEST VARS'!$L$70*(0.5^2)+'LINEST VARS'!$K$70*($DV149^2)+'LINEST VARS'!$J$70*(8*8)+'LINEST VARS'!$I$70*(8*$EH$128)+'LINEST VARS'!$H$70*(8*0.5)+'LINEST VARS'!$G$70*(8*$DV149)+'LINEST VARS'!$F$70*(8*$EH$128)+'LINEST VARS'!$E$70*(8*0.5)+'LINEST VARS'!$D$70*(8*$DV149)+'LINEST VARS'!$C$70*($EH$128*0.5)+'LINEST VARS'!$B$70*($EH$128*$DV149)+'LINEST VARS'!$A$70*(0.5*$DV149)</f>
        <v>87.600000000000023</v>
      </c>
      <c r="EI149" s="49">
        <f>'LINEST VARS'!$U$70+'LINEST VARS'!$T$70*(8)+'LINEST VARS'!$S$70*(8)+'LINEST VARS'!$R$70*($EI$128)+'LINEST VARS'!$Q$70*(0.5)+'LINEST VARS'!$P$70*($DV149)+'LINEST VARS'!$O$70*(8^2)+'LINEST VARS'!$N$70*(8^2)+'LINEST VARS'!$M$70*($EI$128^2)+'LINEST VARS'!$L$70*(0.5^2)+'LINEST VARS'!$K$70*($DV149^2)+'LINEST VARS'!$J$70*(8*8)+'LINEST VARS'!$I$70*(8*$EI$128)+'LINEST VARS'!$H$70*(8*0.5)+'LINEST VARS'!$G$70*(8*$DV149)+'LINEST VARS'!$F$70*(8*$EI$128)+'LINEST VARS'!$E$70*(8*0.5)+'LINEST VARS'!$D$70*(8*$DV149)+'LINEST VARS'!$C$70*($EI$128*0.5)+'LINEST VARS'!$B$70*($EI$128*$DV149)+'LINEST VARS'!$A$70*(0.5*$DV149)</f>
        <v>87.200000000000017</v>
      </c>
      <c r="EJ149" s="49">
        <f>'LINEST VARS'!$U$70+'LINEST VARS'!$T$70*(8)+'LINEST VARS'!$S$70*(8)+'LINEST VARS'!$R$70*($EJ$128)+'LINEST VARS'!$Q$70*(0.5)+'LINEST VARS'!$P$70*($DV149)+'LINEST VARS'!$O$70*(8^2)+'LINEST VARS'!$N$70*(8^2)+'LINEST VARS'!$M$70*($EJ$128^2)+'LINEST VARS'!$L$70*(0.5^2)+'LINEST VARS'!$K$70*($DV149^2)+'LINEST VARS'!$J$70*(8*8)+'LINEST VARS'!$I$70*(8*$EJ$128)+'LINEST VARS'!$H$70*(8*0.5)+'LINEST VARS'!$G$70*(8*$DV149)+'LINEST VARS'!$F$70*(8*$EJ$128)+'LINEST VARS'!$E$70*(8*0.5)+'LINEST VARS'!$D$70*(8*$DV149)+'LINEST VARS'!$C$70*($EJ$128*0.5)+'LINEST VARS'!$B$70*($EJ$128*$DV149)+'LINEST VARS'!$A$70*(0.5*$DV149)</f>
        <v>86.800000000000026</v>
      </c>
      <c r="EK149" s="49">
        <f>'LINEST VARS'!$U$70+'LINEST VARS'!$T$70*(8)+'LINEST VARS'!$S$70*(8)+'LINEST VARS'!$R$70*($EK$128)+'LINEST VARS'!$Q$70*(0.5)+'LINEST VARS'!$P$70*($DV149)+'LINEST VARS'!$O$70*(8^2)+'LINEST VARS'!$N$70*(8^2)+'LINEST VARS'!$M$70*($EK$128^2)+'LINEST VARS'!$L$70*(0.5^2)+'LINEST VARS'!$K$70*($DV149^2)+'LINEST VARS'!$J$70*(8*8)+'LINEST VARS'!$I$70*(8*$EK$128)+'LINEST VARS'!$H$70*(8*0.5)+'LINEST VARS'!$G$70*(8*$DV149)+'LINEST VARS'!$F$70*(8*$EK$128)+'LINEST VARS'!$E$70*(8*0.5)+'LINEST VARS'!$D$70*(8*$DV149)+'LINEST VARS'!$C$70*($EK$128*0.5)+'LINEST VARS'!$B$70*($EK$128*$DV149)+'LINEST VARS'!$A$70*(0.5*$DV149)</f>
        <v>86.40000000000002</v>
      </c>
      <c r="EL149" s="49">
        <f>'LINEST VARS'!$U$70+'LINEST VARS'!$T$70*(8)+'LINEST VARS'!$S$70*(8)+'LINEST VARS'!$R$70*($EL$128)+'LINEST VARS'!$Q$70*(0.5)+'LINEST VARS'!$P$70*($DV149)+'LINEST VARS'!$O$70*(8^2)+'LINEST VARS'!$N$70*(8^2)+'LINEST VARS'!$M$70*($EL$128^2)+'LINEST VARS'!$L$70*(0.5^2)+'LINEST VARS'!$K$70*($DV149^2)+'LINEST VARS'!$J$70*(8*8)+'LINEST VARS'!$I$70*(8*$EL$128)+'LINEST VARS'!$H$70*(8*0.5)+'LINEST VARS'!$G$70*(8*$DV149)+'LINEST VARS'!$F$70*(8*$EL$128)+'LINEST VARS'!$E$70*(8*0.5)+'LINEST VARS'!$D$70*(8*$DV149)+'LINEST VARS'!$C$70*($EL$128*0.5)+'LINEST VARS'!$B$70*($EL$128*$DV149)+'LINEST VARS'!$A$70*(0.5*$DV149)</f>
        <v>86.000000000000014</v>
      </c>
      <c r="EM149" s="49">
        <f>'LINEST VARS'!$U$70+'LINEST VARS'!$T$70*(8)+'LINEST VARS'!$S$70*(8)+'LINEST VARS'!$R$70*($EM$128)+'LINEST VARS'!$Q$70*(0.5)+'LINEST VARS'!$P$70*($DV149)+'LINEST VARS'!$O$70*(8^2)+'LINEST VARS'!$N$70*(8^2)+'LINEST VARS'!$M$70*($EM$128^2)+'LINEST VARS'!$L$70*(0.5^2)+'LINEST VARS'!$K$70*($DV149^2)+'LINEST VARS'!$J$70*(8*8)+'LINEST VARS'!$I$70*(8*$EM$128)+'LINEST VARS'!$H$70*(8*0.5)+'LINEST VARS'!$G$70*(8*$DV149)+'LINEST VARS'!$F$70*(8*$EM$128)+'LINEST VARS'!$E$70*(8*0.5)+'LINEST VARS'!$D$70*(8*$DV149)+'LINEST VARS'!$C$70*($EM$128*0.5)+'LINEST VARS'!$B$70*($EM$128*$DV149)+'LINEST VARS'!$A$70*(0.5*$DV149)</f>
        <v>85.600000000000009</v>
      </c>
      <c r="EN149" s="49">
        <f>'LINEST VARS'!$U$70+'LINEST VARS'!$T$70*(8)+'LINEST VARS'!$S$70*(8)+'LINEST VARS'!$R$70*($EN$128)+'LINEST VARS'!$Q$70*(0.5)+'LINEST VARS'!$P$70*($DV149)+'LINEST VARS'!$O$70*(8^2)+'LINEST VARS'!$N$70*(8^2)+'LINEST VARS'!$M$70*($EN$128^2)+'LINEST VARS'!$L$70*(0.5^2)+'LINEST VARS'!$K$70*($DV149^2)+'LINEST VARS'!$J$70*(8*8)+'LINEST VARS'!$I$70*(8*$EN$128)+'LINEST VARS'!$H$70*(8*0.5)+'LINEST VARS'!$G$70*(8*$DV149)+'LINEST VARS'!$F$70*(8*$EN$128)+'LINEST VARS'!$E$70*(8*0.5)+'LINEST VARS'!$D$70*(8*$DV149)+'LINEST VARS'!$C$70*($EN$128*0.5)+'LINEST VARS'!$B$70*($EN$128*$DV149)+'LINEST VARS'!$A$70*(0.5*$DV149)</f>
        <v>85.200000000000017</v>
      </c>
      <c r="EO149" s="49">
        <f>'LINEST VARS'!$U$70+'LINEST VARS'!$T$70*(8)+'LINEST VARS'!$S$70*(8)+'LINEST VARS'!$R$70*($EO$128)+'LINEST VARS'!$Q$70*(0.5)+'LINEST VARS'!$P$70*($DV149)+'LINEST VARS'!$O$70*(8^2)+'LINEST VARS'!$N$70*(8^2)+'LINEST VARS'!$M$70*($EO$128^2)+'LINEST VARS'!$L$70*(0.5^2)+'LINEST VARS'!$K$70*($DV149^2)+'LINEST VARS'!$J$70*(8*8)+'LINEST VARS'!$I$70*(8*$EO$128)+'LINEST VARS'!$H$70*(8*0.5)+'LINEST VARS'!$G$70*(8*$DV149)+'LINEST VARS'!$F$70*(8*$EO$128)+'LINEST VARS'!$E$70*(8*0.5)+'LINEST VARS'!$D$70*(8*$DV149)+'LINEST VARS'!$C$70*($EO$128*0.5)+'LINEST VARS'!$B$70*($EO$128*$DV149)+'LINEST VARS'!$A$70*(0.5*$DV149)</f>
        <v>84.800000000000011</v>
      </c>
      <c r="EP149" s="49">
        <f>'LINEST VARS'!$U$70+'LINEST VARS'!$T$70*(8)+'LINEST VARS'!$S$70*(8)+'LINEST VARS'!$R$70*($EP$128)+'LINEST VARS'!$Q$70*(0.5)+'LINEST VARS'!$P$70*($DV149)+'LINEST VARS'!$O$70*(8^2)+'LINEST VARS'!$N$70*(8^2)+'LINEST VARS'!$M$70*($EP$128^2)+'LINEST VARS'!$L$70*(0.5^2)+'LINEST VARS'!$K$70*($DV149^2)+'LINEST VARS'!$J$70*(8*8)+'LINEST VARS'!$I$70*(8*$EP$128)+'LINEST VARS'!$H$70*(8*0.5)+'LINEST VARS'!$G$70*(8*$DV149)+'LINEST VARS'!$F$70*(8*$EP$128)+'LINEST VARS'!$E$70*(8*0.5)+'LINEST VARS'!$D$70*(8*$DV149)+'LINEST VARS'!$C$70*($EP$128*0.5)+'LINEST VARS'!$B$70*($EP$128*$DV149)+'LINEST VARS'!$A$70*(0.5*$DV149)</f>
        <v>84.400000000000034</v>
      </c>
      <c r="EQ149" s="50">
        <f>'LINEST VARS'!$U$70+'LINEST VARS'!$T$70*(8)+'LINEST VARS'!$S$70*(8)+'LINEST VARS'!$R$70*($EQ$128)+'LINEST VARS'!$Q$70*(0.5)+'LINEST VARS'!$P$70*($DV149)+'LINEST VARS'!$O$70*(8^2)+'LINEST VARS'!$N$70*(8^2)+'LINEST VARS'!$M$70*($EQ$128^2)+'LINEST VARS'!$L$70*(0.5^2)+'LINEST VARS'!$K$70*($DV149^2)+'LINEST VARS'!$J$70*(8*8)+'LINEST VARS'!$I$70*(8*$EQ$128)+'LINEST VARS'!$H$70*(8*0.5)+'LINEST VARS'!$G$70*(8*$DV149)+'LINEST VARS'!$F$70*(8*$EQ$128)+'LINEST VARS'!$E$70*(8*0.5)+'LINEST VARS'!$D$70*(8*$DV149)+'LINEST VARS'!$C$70*($EQ$128*0.5)+'LINEST VARS'!$B$70*($EQ$128*$DV149)+'LINEST VARS'!$A$70*(0.5*$DV149)</f>
        <v>84.000000000000028</v>
      </c>
    </row>
    <row r="150" spans="2:147" ht="15" customHeight="1" x14ac:dyDescent="0.25"/>
    <row r="151" spans="2:147" ht="15" customHeight="1" x14ac:dyDescent="0.25"/>
    <row r="152" spans="2:147" ht="15" customHeight="1" x14ac:dyDescent="0.25"/>
    <row r="153" spans="2:147" ht="15" customHeight="1" x14ac:dyDescent="0.25"/>
    <row r="154" spans="2:147" ht="15" customHeight="1" x14ac:dyDescent="0.25"/>
    <row r="155" spans="2:147" ht="15" customHeight="1" x14ac:dyDescent="0.25"/>
    <row r="156" spans="2:147" ht="15" customHeight="1" x14ac:dyDescent="0.25"/>
    <row r="157" spans="2:147" ht="15" customHeight="1" x14ac:dyDescent="0.25"/>
    <row r="158" spans="2:147" ht="15" customHeight="1" x14ac:dyDescent="0.25"/>
    <row r="159" spans="2:147" ht="15" customHeight="1" x14ac:dyDescent="0.25"/>
    <row r="160" spans="2:147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</sheetData>
  <mergeCells count="41">
    <mergeCell ref="B2:K2"/>
    <mergeCell ref="CX5:ET5"/>
    <mergeCell ref="CX7:DS7"/>
    <mergeCell ref="DV31:EQ31"/>
    <mergeCell ref="Z7:AU7"/>
    <mergeCell ref="BX79:CS79"/>
    <mergeCell ref="BX7:CS7"/>
    <mergeCell ref="BX103:CS103"/>
    <mergeCell ref="AZ31:BU31"/>
    <mergeCell ref="Z127:AU127"/>
    <mergeCell ref="Z31:AU31"/>
    <mergeCell ref="B5:AX5"/>
    <mergeCell ref="B7:W7"/>
    <mergeCell ref="B3:K3"/>
    <mergeCell ref="AZ79:BU79"/>
    <mergeCell ref="Z55:AU55"/>
    <mergeCell ref="B31:W31"/>
    <mergeCell ref="AZ5:CV5"/>
    <mergeCell ref="AZ7:BU7"/>
    <mergeCell ref="BX31:CS31"/>
    <mergeCell ref="Z79:AU79"/>
    <mergeCell ref="DV103:EQ103"/>
    <mergeCell ref="B55:W55"/>
    <mergeCell ref="AZ127:BU127"/>
    <mergeCell ref="Z103:AU103"/>
    <mergeCell ref="AZ103:BU103"/>
    <mergeCell ref="AZ55:BU55"/>
    <mergeCell ref="B79:W79"/>
    <mergeCell ref="CX103:DS103"/>
    <mergeCell ref="CX55:DS55"/>
    <mergeCell ref="BX127:CS127"/>
    <mergeCell ref="CX31:DS31"/>
    <mergeCell ref="DV79:EQ79"/>
    <mergeCell ref="DV55:EQ55"/>
    <mergeCell ref="B103:W103"/>
    <mergeCell ref="CX127:DS127"/>
    <mergeCell ref="BX55:CS55"/>
    <mergeCell ref="B127:W127"/>
    <mergeCell ref="DV7:EQ7"/>
    <mergeCell ref="CX79:DS79"/>
    <mergeCell ref="DV127:EQ127"/>
  </mergeCells>
  <conditionalFormatting sqref="C9:W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W5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:W7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1:W10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5:W12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9:W14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9:BU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33:BU5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57:BU7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81:BU10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05:BU12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29:BU14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9:DS2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33:DS5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57:DS7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81:DS10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105:DS12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129:DS14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:AU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:AU5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7:AU7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1:AU10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5:AU12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U14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9:CS2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33:CS5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57:CS7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81:CS10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05:CS12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129:CS14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9:EQ2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33:EQ5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57:EQ7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81:EQ10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105:EQ12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W129:EQ14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T46"/>
  <sheetViews>
    <sheetView topLeftCell="C13" workbookViewId="0">
      <selection activeCell="K34" sqref="K34"/>
    </sheetView>
  </sheetViews>
  <sheetFormatPr defaultRowHeight="15" x14ac:dyDescent="0.25"/>
  <cols>
    <col min="1" max="1" width="9.7109375" bestFit="1" customWidth="1"/>
    <col min="3" max="4" width="12.85546875" bestFit="1" customWidth="1"/>
    <col min="5" max="6" width="9.7109375" bestFit="1" customWidth="1"/>
    <col min="7" max="7" width="14.7109375" customWidth="1"/>
    <col min="8" max="8" width="13" customWidth="1"/>
    <col min="9" max="11" width="13.5703125" customWidth="1"/>
    <col min="12" max="12" width="9.85546875" customWidth="1"/>
    <col min="13" max="13" width="10" customWidth="1"/>
    <col min="14" max="14" width="15.28515625" bestFit="1" customWidth="1"/>
    <col min="15" max="15" width="12.7109375" customWidth="1"/>
    <col min="16" max="16" width="15.85546875" bestFit="1" customWidth="1"/>
    <col min="17" max="17" width="17.85546875" bestFit="1" customWidth="1"/>
    <col min="18" max="18" width="13.5703125" customWidth="1"/>
    <col min="19" max="19" width="13.7109375" customWidth="1"/>
    <col min="20" max="20" width="12.7109375" customWidth="1"/>
    <col min="22" max="22" width="10.28515625" customWidth="1"/>
  </cols>
  <sheetData>
    <row r="1" spans="1:20" ht="16.5" customHeight="1" thickBot="1" x14ac:dyDescent="0.3">
      <c r="A1" s="66" t="s">
        <v>93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20" ht="43.5" customHeight="1" x14ac:dyDescent="0.25">
      <c r="A2" s="11" t="s">
        <v>94</v>
      </c>
      <c r="B2" s="12" t="s">
        <v>95</v>
      </c>
      <c r="C2" s="12" t="s">
        <v>50</v>
      </c>
      <c r="D2" s="12" t="s">
        <v>52</v>
      </c>
      <c r="E2" s="12" t="s">
        <v>53</v>
      </c>
      <c r="F2" s="12" t="s">
        <v>55</v>
      </c>
      <c r="G2" s="12" t="s">
        <v>96</v>
      </c>
      <c r="H2" s="13" t="s">
        <v>63</v>
      </c>
      <c r="I2" s="13" t="s">
        <v>65</v>
      </c>
      <c r="J2" s="13" t="s">
        <v>67</v>
      </c>
      <c r="K2" s="13" t="s">
        <v>69</v>
      </c>
      <c r="L2" s="13" t="s">
        <v>71</v>
      </c>
      <c r="M2" s="13" t="s">
        <v>73</v>
      </c>
      <c r="N2" s="13" t="s">
        <v>75</v>
      </c>
      <c r="O2" s="13" t="s">
        <v>77</v>
      </c>
      <c r="P2" s="13" t="s">
        <v>79</v>
      </c>
      <c r="Q2" s="13" t="s">
        <v>81</v>
      </c>
      <c r="R2" s="13" t="s">
        <v>83</v>
      </c>
      <c r="S2" s="13" t="s">
        <v>85</v>
      </c>
      <c r="T2" s="22" t="s">
        <v>87</v>
      </c>
    </row>
    <row r="3" spans="1:20" ht="15.75" customHeight="1" x14ac:dyDescent="0.25">
      <c r="A3" s="14">
        <v>1</v>
      </c>
      <c r="B3" s="15" t="s">
        <v>97</v>
      </c>
      <c r="C3" s="15">
        <v>7.4</v>
      </c>
      <c r="D3" s="15">
        <v>7.4</v>
      </c>
      <c r="E3" s="15">
        <v>0</v>
      </c>
      <c r="F3" s="15">
        <v>0</v>
      </c>
      <c r="G3" s="15">
        <v>0</v>
      </c>
      <c r="H3" s="16">
        <f>(2 * 'LINEST VARS'!A3) + (3 * 'LINEST VARS'!B3) + (5 * 'LINEST VARS'!F3) + 10</f>
        <v>320.8</v>
      </c>
      <c r="I3" s="16">
        <f t="shared" ref="I3:I46" si="0">300 + (1.5 * C3) + (2.5 * D3)</f>
        <v>329.6</v>
      </c>
      <c r="J3" s="16">
        <f t="shared" ref="J3:J46" si="1">4.5 - (0.1 * F3)</f>
        <v>4.5</v>
      </c>
      <c r="K3" s="16">
        <f t="shared" ref="K3:K46" si="2">4 - (0.05 * F3)</f>
        <v>4</v>
      </c>
      <c r="L3" s="16">
        <f t="shared" ref="L3:L46" si="3">2.8 + (0.05 * E3) - (0.01 * E3^2)</f>
        <v>2.8</v>
      </c>
      <c r="M3" s="16">
        <f t="shared" ref="M3:M46" si="4">0.8 + (0.02 * E3) + (0.005 * G3)</f>
        <v>0.8</v>
      </c>
      <c r="N3" s="16">
        <f t="shared" ref="N3:N46" si="5">50 + (15 * F3) + (8 * G3)</f>
        <v>50</v>
      </c>
      <c r="O3" s="16">
        <f t="shared" ref="O3:O46" si="6">15 + (2 * G3)</f>
        <v>15</v>
      </c>
      <c r="P3" s="16">
        <f t="shared" ref="P3:P46" si="7">350 - (5 * E3^2) - (2 * F3^2)</f>
        <v>350</v>
      </c>
      <c r="Q3" s="16">
        <f t="shared" ref="Q3:Q46" si="8">110 + (4 * E3) + (3 * G3)</f>
        <v>110</v>
      </c>
      <c r="R3" s="16">
        <f t="shared" ref="R3:R46" si="9">120 + (3 * C3) - (2 * E3)</f>
        <v>142.19999999999999</v>
      </c>
      <c r="S3" s="16">
        <f t="shared" ref="S3:S46" si="10">150 - (4 * F3^2)</f>
        <v>150</v>
      </c>
      <c r="T3" s="23">
        <f t="shared" ref="T3:T46" si="11">80 + (1.5 * D3) - (1 * E3)</f>
        <v>91.1</v>
      </c>
    </row>
    <row r="4" spans="1:20" ht="15.75" customHeight="1" x14ac:dyDescent="0.25">
      <c r="A4" s="14">
        <v>2</v>
      </c>
      <c r="B4" s="15" t="s">
        <v>97</v>
      </c>
      <c r="C4" s="15">
        <v>7.4</v>
      </c>
      <c r="D4" s="15">
        <v>7.4</v>
      </c>
      <c r="E4" s="15">
        <v>0</v>
      </c>
      <c r="F4" s="15">
        <v>0</v>
      </c>
      <c r="G4" s="15">
        <v>25.99</v>
      </c>
      <c r="H4" s="16">
        <f>(2 * 'LINEST VARS'!A4) + (3 * 'LINEST VARS'!B4) + (5 * 'LINEST VARS'!F4) + 10</f>
        <v>320.8</v>
      </c>
      <c r="I4" s="16">
        <f t="shared" si="0"/>
        <v>329.6</v>
      </c>
      <c r="J4" s="16">
        <f t="shared" si="1"/>
        <v>4.5</v>
      </c>
      <c r="K4" s="16">
        <f t="shared" si="2"/>
        <v>4</v>
      </c>
      <c r="L4" s="16">
        <f t="shared" si="3"/>
        <v>2.8</v>
      </c>
      <c r="M4" s="16">
        <f t="shared" si="4"/>
        <v>0.92995000000000005</v>
      </c>
      <c r="N4" s="16">
        <f t="shared" si="5"/>
        <v>257.91999999999996</v>
      </c>
      <c r="O4" s="16">
        <f t="shared" si="6"/>
        <v>66.97999999999999</v>
      </c>
      <c r="P4" s="16">
        <f t="shared" si="7"/>
        <v>350</v>
      </c>
      <c r="Q4" s="16">
        <f t="shared" si="8"/>
        <v>187.97</v>
      </c>
      <c r="R4" s="16">
        <f t="shared" si="9"/>
        <v>142.19999999999999</v>
      </c>
      <c r="S4" s="16">
        <f t="shared" si="10"/>
        <v>150</v>
      </c>
      <c r="T4" s="23">
        <f t="shared" si="11"/>
        <v>91.1</v>
      </c>
    </row>
    <row r="5" spans="1:20" ht="15.75" customHeight="1" x14ac:dyDescent="0.25">
      <c r="A5" s="14">
        <v>3</v>
      </c>
      <c r="B5" s="15" t="s">
        <v>97</v>
      </c>
      <c r="C5" s="15">
        <v>7.4</v>
      </c>
      <c r="D5" s="15">
        <v>7.4</v>
      </c>
      <c r="E5" s="15">
        <v>0</v>
      </c>
      <c r="F5" s="15">
        <v>1</v>
      </c>
      <c r="G5" s="15">
        <v>0</v>
      </c>
      <c r="H5" s="16">
        <f>(2 * 'LINEST VARS'!A5) + (3 * 'LINEST VARS'!B5) + (5 * 'LINEST VARS'!F5) + 10</f>
        <v>320.8</v>
      </c>
      <c r="I5" s="16">
        <f t="shared" si="0"/>
        <v>329.6</v>
      </c>
      <c r="J5" s="16">
        <f t="shared" si="1"/>
        <v>4.4000000000000004</v>
      </c>
      <c r="K5" s="16">
        <f t="shared" si="2"/>
        <v>3.95</v>
      </c>
      <c r="L5" s="16">
        <f t="shared" si="3"/>
        <v>2.8</v>
      </c>
      <c r="M5" s="16">
        <f t="shared" si="4"/>
        <v>0.8</v>
      </c>
      <c r="N5" s="16">
        <f t="shared" si="5"/>
        <v>65</v>
      </c>
      <c r="O5" s="16">
        <f t="shared" si="6"/>
        <v>15</v>
      </c>
      <c r="P5" s="16">
        <f t="shared" si="7"/>
        <v>348</v>
      </c>
      <c r="Q5" s="16">
        <f t="shared" si="8"/>
        <v>110</v>
      </c>
      <c r="R5" s="16">
        <f t="shared" si="9"/>
        <v>142.19999999999999</v>
      </c>
      <c r="S5" s="16">
        <f t="shared" si="10"/>
        <v>146</v>
      </c>
      <c r="T5" s="23">
        <f t="shared" si="11"/>
        <v>91.1</v>
      </c>
    </row>
    <row r="6" spans="1:20" ht="15.75" customHeight="1" x14ac:dyDescent="0.25">
      <c r="A6" s="14">
        <v>4</v>
      </c>
      <c r="B6" s="15" t="s">
        <v>97</v>
      </c>
      <c r="C6" s="15">
        <v>7.4</v>
      </c>
      <c r="D6" s="15">
        <v>7.4</v>
      </c>
      <c r="E6" s="15">
        <v>0</v>
      </c>
      <c r="F6" s="15">
        <v>1</v>
      </c>
      <c r="G6" s="15">
        <v>25.99</v>
      </c>
      <c r="H6" s="16">
        <f>(2 * 'LINEST VARS'!A6) + (3 * 'LINEST VARS'!B6) + (5 * 'LINEST VARS'!F6) + 10</f>
        <v>320.8</v>
      </c>
      <c r="I6" s="16">
        <f t="shared" si="0"/>
        <v>329.6</v>
      </c>
      <c r="J6" s="16">
        <f t="shared" si="1"/>
        <v>4.4000000000000004</v>
      </c>
      <c r="K6" s="16">
        <f t="shared" si="2"/>
        <v>3.95</v>
      </c>
      <c r="L6" s="16">
        <f t="shared" si="3"/>
        <v>2.8</v>
      </c>
      <c r="M6" s="16">
        <f t="shared" si="4"/>
        <v>0.92995000000000005</v>
      </c>
      <c r="N6" s="16">
        <f t="shared" si="5"/>
        <v>272.91999999999996</v>
      </c>
      <c r="O6" s="16">
        <f t="shared" si="6"/>
        <v>66.97999999999999</v>
      </c>
      <c r="P6" s="16">
        <f t="shared" si="7"/>
        <v>348</v>
      </c>
      <c r="Q6" s="16">
        <f t="shared" si="8"/>
        <v>187.97</v>
      </c>
      <c r="R6" s="16">
        <f t="shared" si="9"/>
        <v>142.19999999999999</v>
      </c>
      <c r="S6" s="16">
        <f t="shared" si="10"/>
        <v>146</v>
      </c>
      <c r="T6" s="23">
        <f t="shared" si="11"/>
        <v>91.1</v>
      </c>
    </row>
    <row r="7" spans="1:20" ht="15.75" customHeight="1" x14ac:dyDescent="0.25">
      <c r="A7" s="14">
        <v>5</v>
      </c>
      <c r="B7" s="15" t="s">
        <v>97</v>
      </c>
      <c r="C7" s="15">
        <v>7.4</v>
      </c>
      <c r="D7" s="15">
        <v>7.4</v>
      </c>
      <c r="E7" s="15">
        <v>8</v>
      </c>
      <c r="F7" s="15">
        <v>0</v>
      </c>
      <c r="G7" s="15">
        <v>0</v>
      </c>
      <c r="H7" s="16">
        <f>(2 * 'LINEST VARS'!A7) + (3 * 'LINEST VARS'!B7) + (5 * 'LINEST VARS'!F7) + 10</f>
        <v>320.8</v>
      </c>
      <c r="I7" s="16">
        <f t="shared" si="0"/>
        <v>329.6</v>
      </c>
      <c r="J7" s="16">
        <f t="shared" si="1"/>
        <v>4.5</v>
      </c>
      <c r="K7" s="16">
        <f t="shared" si="2"/>
        <v>4</v>
      </c>
      <c r="L7" s="16">
        <f t="shared" si="3"/>
        <v>2.5599999999999996</v>
      </c>
      <c r="M7" s="16">
        <f t="shared" si="4"/>
        <v>0.96000000000000008</v>
      </c>
      <c r="N7" s="16">
        <f t="shared" si="5"/>
        <v>50</v>
      </c>
      <c r="O7" s="16">
        <f t="shared" si="6"/>
        <v>15</v>
      </c>
      <c r="P7" s="16">
        <f t="shared" si="7"/>
        <v>30</v>
      </c>
      <c r="Q7" s="16">
        <f t="shared" si="8"/>
        <v>142</v>
      </c>
      <c r="R7" s="16">
        <f t="shared" si="9"/>
        <v>126.19999999999999</v>
      </c>
      <c r="S7" s="16">
        <f t="shared" si="10"/>
        <v>150</v>
      </c>
      <c r="T7" s="23">
        <f t="shared" si="11"/>
        <v>83.1</v>
      </c>
    </row>
    <row r="8" spans="1:20" ht="15.75" customHeight="1" x14ac:dyDescent="0.25">
      <c r="A8" s="14">
        <v>6</v>
      </c>
      <c r="B8" s="15" t="s">
        <v>97</v>
      </c>
      <c r="C8" s="15">
        <v>7.4</v>
      </c>
      <c r="D8" s="15">
        <v>7.4</v>
      </c>
      <c r="E8" s="15">
        <v>8</v>
      </c>
      <c r="F8" s="15">
        <v>0</v>
      </c>
      <c r="G8" s="15">
        <v>25.99</v>
      </c>
      <c r="H8" s="16">
        <f>(2 * 'LINEST VARS'!A8) + (3 * 'LINEST VARS'!B8) + (5 * 'LINEST VARS'!F8) + 10</f>
        <v>320.8</v>
      </c>
      <c r="I8" s="16">
        <f t="shared" si="0"/>
        <v>329.6</v>
      </c>
      <c r="J8" s="16">
        <f t="shared" si="1"/>
        <v>4.5</v>
      </c>
      <c r="K8" s="16">
        <f t="shared" si="2"/>
        <v>4</v>
      </c>
      <c r="L8" s="16">
        <f t="shared" si="3"/>
        <v>2.5599999999999996</v>
      </c>
      <c r="M8" s="16">
        <f t="shared" si="4"/>
        <v>1.08995</v>
      </c>
      <c r="N8" s="16">
        <f t="shared" si="5"/>
        <v>257.91999999999996</v>
      </c>
      <c r="O8" s="16">
        <f t="shared" si="6"/>
        <v>66.97999999999999</v>
      </c>
      <c r="P8" s="16">
        <f t="shared" si="7"/>
        <v>30</v>
      </c>
      <c r="Q8" s="16">
        <f t="shared" si="8"/>
        <v>219.97</v>
      </c>
      <c r="R8" s="16">
        <f t="shared" si="9"/>
        <v>126.19999999999999</v>
      </c>
      <c r="S8" s="16">
        <f t="shared" si="10"/>
        <v>150</v>
      </c>
      <c r="T8" s="23">
        <f t="shared" si="11"/>
        <v>83.1</v>
      </c>
    </row>
    <row r="9" spans="1:20" ht="15.75" customHeight="1" x14ac:dyDescent="0.25">
      <c r="A9" s="14">
        <v>7</v>
      </c>
      <c r="B9" s="15" t="s">
        <v>97</v>
      </c>
      <c r="C9" s="15">
        <v>7.4</v>
      </c>
      <c r="D9" s="15">
        <v>7.4</v>
      </c>
      <c r="E9" s="15">
        <v>8</v>
      </c>
      <c r="F9" s="15">
        <v>1</v>
      </c>
      <c r="G9" s="15">
        <v>0</v>
      </c>
      <c r="H9" s="16">
        <f>(2 * 'LINEST VARS'!A9) + (3 * 'LINEST VARS'!B9) + (5 * 'LINEST VARS'!F9) + 10</f>
        <v>320.8</v>
      </c>
      <c r="I9" s="16">
        <f t="shared" si="0"/>
        <v>329.6</v>
      </c>
      <c r="J9" s="16">
        <f t="shared" si="1"/>
        <v>4.4000000000000004</v>
      </c>
      <c r="K9" s="16">
        <f t="shared" si="2"/>
        <v>3.95</v>
      </c>
      <c r="L9" s="16">
        <f t="shared" si="3"/>
        <v>2.5599999999999996</v>
      </c>
      <c r="M9" s="16">
        <f t="shared" si="4"/>
        <v>0.96000000000000008</v>
      </c>
      <c r="N9" s="16">
        <f t="shared" si="5"/>
        <v>65</v>
      </c>
      <c r="O9" s="16">
        <f t="shared" si="6"/>
        <v>15</v>
      </c>
      <c r="P9" s="16">
        <f t="shared" si="7"/>
        <v>28</v>
      </c>
      <c r="Q9" s="16">
        <f t="shared" si="8"/>
        <v>142</v>
      </c>
      <c r="R9" s="16">
        <f t="shared" si="9"/>
        <v>126.19999999999999</v>
      </c>
      <c r="S9" s="16">
        <f t="shared" si="10"/>
        <v>146</v>
      </c>
      <c r="T9" s="23">
        <f t="shared" si="11"/>
        <v>83.1</v>
      </c>
    </row>
    <row r="10" spans="1:20" ht="15.75" customHeight="1" x14ac:dyDescent="0.25">
      <c r="A10" s="14">
        <v>8</v>
      </c>
      <c r="B10" s="15" t="s">
        <v>97</v>
      </c>
      <c r="C10" s="15">
        <v>7.4</v>
      </c>
      <c r="D10" s="15">
        <v>7.4</v>
      </c>
      <c r="E10" s="15">
        <v>8</v>
      </c>
      <c r="F10" s="15">
        <v>1</v>
      </c>
      <c r="G10" s="15">
        <v>25.99</v>
      </c>
      <c r="H10" s="16">
        <f>(2 * 'LINEST VARS'!A10) + (3 * 'LINEST VARS'!B10) + (5 * 'LINEST VARS'!F10) + 10</f>
        <v>320.8</v>
      </c>
      <c r="I10" s="16">
        <f t="shared" si="0"/>
        <v>329.6</v>
      </c>
      <c r="J10" s="16">
        <f t="shared" si="1"/>
        <v>4.4000000000000004</v>
      </c>
      <c r="K10" s="16">
        <f t="shared" si="2"/>
        <v>3.95</v>
      </c>
      <c r="L10" s="16">
        <f t="shared" si="3"/>
        <v>2.5599999999999996</v>
      </c>
      <c r="M10" s="16">
        <f t="shared" si="4"/>
        <v>1.08995</v>
      </c>
      <c r="N10" s="16">
        <f t="shared" si="5"/>
        <v>272.91999999999996</v>
      </c>
      <c r="O10" s="16">
        <f t="shared" si="6"/>
        <v>66.97999999999999</v>
      </c>
      <c r="P10" s="16">
        <f t="shared" si="7"/>
        <v>28</v>
      </c>
      <c r="Q10" s="16">
        <f t="shared" si="8"/>
        <v>219.97</v>
      </c>
      <c r="R10" s="16">
        <f t="shared" si="9"/>
        <v>126.19999999999999</v>
      </c>
      <c r="S10" s="16">
        <f t="shared" si="10"/>
        <v>146</v>
      </c>
      <c r="T10" s="23">
        <f t="shared" si="11"/>
        <v>83.1</v>
      </c>
    </row>
    <row r="11" spans="1:20" ht="15.75" customHeight="1" x14ac:dyDescent="0.25">
      <c r="A11" s="14">
        <v>9</v>
      </c>
      <c r="B11" s="15" t="s">
        <v>97</v>
      </c>
      <c r="C11" s="15">
        <v>7.4</v>
      </c>
      <c r="D11" s="15">
        <v>8.6</v>
      </c>
      <c r="E11" s="15">
        <v>0</v>
      </c>
      <c r="F11" s="15">
        <v>0</v>
      </c>
      <c r="G11" s="15">
        <v>0</v>
      </c>
      <c r="H11" s="16">
        <f>(2 * 'LINEST VARS'!A11) + (3 * 'LINEST VARS'!B11) + (5 * 'LINEST VARS'!F11) + 10</f>
        <v>324.39999999999998</v>
      </c>
      <c r="I11" s="16">
        <f t="shared" si="0"/>
        <v>332.6</v>
      </c>
      <c r="J11" s="16">
        <f t="shared" si="1"/>
        <v>4.5</v>
      </c>
      <c r="K11" s="16">
        <f t="shared" si="2"/>
        <v>4</v>
      </c>
      <c r="L11" s="16">
        <f t="shared" si="3"/>
        <v>2.8</v>
      </c>
      <c r="M11" s="16">
        <f t="shared" si="4"/>
        <v>0.8</v>
      </c>
      <c r="N11" s="16">
        <f t="shared" si="5"/>
        <v>50</v>
      </c>
      <c r="O11" s="16">
        <f t="shared" si="6"/>
        <v>15</v>
      </c>
      <c r="P11" s="16">
        <f t="shared" si="7"/>
        <v>350</v>
      </c>
      <c r="Q11" s="16">
        <f t="shared" si="8"/>
        <v>110</v>
      </c>
      <c r="R11" s="16">
        <f t="shared" si="9"/>
        <v>142.19999999999999</v>
      </c>
      <c r="S11" s="16">
        <f t="shared" si="10"/>
        <v>150</v>
      </c>
      <c r="T11" s="23">
        <f t="shared" si="11"/>
        <v>92.9</v>
      </c>
    </row>
    <row r="12" spans="1:20" ht="15.75" customHeight="1" x14ac:dyDescent="0.25">
      <c r="A12" s="14">
        <v>10</v>
      </c>
      <c r="B12" s="15" t="s">
        <v>97</v>
      </c>
      <c r="C12" s="15">
        <v>7.4</v>
      </c>
      <c r="D12" s="15">
        <v>8.6</v>
      </c>
      <c r="E12" s="15">
        <v>0</v>
      </c>
      <c r="F12" s="15">
        <v>0</v>
      </c>
      <c r="G12" s="15">
        <v>25.99</v>
      </c>
      <c r="H12" s="16">
        <f>(2 * 'LINEST VARS'!A12) + (3 * 'LINEST VARS'!B12) + (5 * 'LINEST VARS'!F12) + 10</f>
        <v>324.39999999999998</v>
      </c>
      <c r="I12" s="16">
        <f t="shared" si="0"/>
        <v>332.6</v>
      </c>
      <c r="J12" s="16">
        <f t="shared" si="1"/>
        <v>4.5</v>
      </c>
      <c r="K12" s="16">
        <f t="shared" si="2"/>
        <v>4</v>
      </c>
      <c r="L12" s="16">
        <f t="shared" si="3"/>
        <v>2.8</v>
      </c>
      <c r="M12" s="16">
        <f t="shared" si="4"/>
        <v>0.92995000000000005</v>
      </c>
      <c r="N12" s="16">
        <f t="shared" si="5"/>
        <v>257.91999999999996</v>
      </c>
      <c r="O12" s="16">
        <f t="shared" si="6"/>
        <v>66.97999999999999</v>
      </c>
      <c r="P12" s="16">
        <f t="shared" si="7"/>
        <v>350</v>
      </c>
      <c r="Q12" s="16">
        <f t="shared" si="8"/>
        <v>187.97</v>
      </c>
      <c r="R12" s="16">
        <f t="shared" si="9"/>
        <v>142.19999999999999</v>
      </c>
      <c r="S12" s="16">
        <f t="shared" si="10"/>
        <v>150</v>
      </c>
      <c r="T12" s="23">
        <f t="shared" si="11"/>
        <v>92.9</v>
      </c>
    </row>
    <row r="13" spans="1:20" ht="15.75" customHeight="1" x14ac:dyDescent="0.25">
      <c r="A13" s="14">
        <v>11</v>
      </c>
      <c r="B13" s="15" t="s">
        <v>97</v>
      </c>
      <c r="C13" s="15">
        <v>7.4</v>
      </c>
      <c r="D13" s="15">
        <v>8.6</v>
      </c>
      <c r="E13" s="15">
        <v>0</v>
      </c>
      <c r="F13" s="15">
        <v>1</v>
      </c>
      <c r="G13" s="15">
        <v>0</v>
      </c>
      <c r="H13" s="16">
        <f>(2 * 'LINEST VARS'!A13) + (3 * 'LINEST VARS'!B13) + (5 * 'LINEST VARS'!F13) + 10</f>
        <v>324.39999999999998</v>
      </c>
      <c r="I13" s="16">
        <f t="shared" si="0"/>
        <v>332.6</v>
      </c>
      <c r="J13" s="16">
        <f t="shared" si="1"/>
        <v>4.4000000000000004</v>
      </c>
      <c r="K13" s="16">
        <f t="shared" si="2"/>
        <v>3.95</v>
      </c>
      <c r="L13" s="16">
        <f t="shared" si="3"/>
        <v>2.8</v>
      </c>
      <c r="M13" s="16">
        <f t="shared" si="4"/>
        <v>0.8</v>
      </c>
      <c r="N13" s="16">
        <f t="shared" si="5"/>
        <v>65</v>
      </c>
      <c r="O13" s="16">
        <f t="shared" si="6"/>
        <v>15</v>
      </c>
      <c r="P13" s="16">
        <f t="shared" si="7"/>
        <v>348</v>
      </c>
      <c r="Q13" s="16">
        <f t="shared" si="8"/>
        <v>110</v>
      </c>
      <c r="R13" s="16">
        <f t="shared" si="9"/>
        <v>142.19999999999999</v>
      </c>
      <c r="S13" s="16">
        <f t="shared" si="10"/>
        <v>146</v>
      </c>
      <c r="T13" s="23">
        <f t="shared" si="11"/>
        <v>92.9</v>
      </c>
    </row>
    <row r="14" spans="1:20" ht="15.75" customHeight="1" x14ac:dyDescent="0.25">
      <c r="A14" s="14">
        <v>12</v>
      </c>
      <c r="B14" s="15" t="s">
        <v>97</v>
      </c>
      <c r="C14" s="15">
        <v>7.4</v>
      </c>
      <c r="D14" s="15">
        <v>8.6</v>
      </c>
      <c r="E14" s="15">
        <v>0</v>
      </c>
      <c r="F14" s="15">
        <v>1</v>
      </c>
      <c r="G14" s="15">
        <v>25.99</v>
      </c>
      <c r="H14" s="16">
        <f>(2 * 'LINEST VARS'!A14) + (3 * 'LINEST VARS'!B14) + (5 * 'LINEST VARS'!F14) + 10</f>
        <v>324.39999999999998</v>
      </c>
      <c r="I14" s="16">
        <f t="shared" si="0"/>
        <v>332.6</v>
      </c>
      <c r="J14" s="16">
        <f t="shared" si="1"/>
        <v>4.4000000000000004</v>
      </c>
      <c r="K14" s="16">
        <f t="shared" si="2"/>
        <v>3.95</v>
      </c>
      <c r="L14" s="16">
        <f t="shared" si="3"/>
        <v>2.8</v>
      </c>
      <c r="M14" s="16">
        <f t="shared" si="4"/>
        <v>0.92995000000000005</v>
      </c>
      <c r="N14" s="16">
        <f t="shared" si="5"/>
        <v>272.91999999999996</v>
      </c>
      <c r="O14" s="16">
        <f t="shared" si="6"/>
        <v>66.97999999999999</v>
      </c>
      <c r="P14" s="16">
        <f t="shared" si="7"/>
        <v>348</v>
      </c>
      <c r="Q14" s="16">
        <f t="shared" si="8"/>
        <v>187.97</v>
      </c>
      <c r="R14" s="16">
        <f t="shared" si="9"/>
        <v>142.19999999999999</v>
      </c>
      <c r="S14" s="16">
        <f t="shared" si="10"/>
        <v>146</v>
      </c>
      <c r="T14" s="23">
        <f t="shared" si="11"/>
        <v>92.9</v>
      </c>
    </row>
    <row r="15" spans="1:20" ht="15.75" customHeight="1" x14ac:dyDescent="0.25">
      <c r="A15" s="14">
        <v>13</v>
      </c>
      <c r="B15" s="15" t="s">
        <v>97</v>
      </c>
      <c r="C15" s="15">
        <v>7.4</v>
      </c>
      <c r="D15" s="15">
        <v>8.6</v>
      </c>
      <c r="E15" s="15">
        <v>8</v>
      </c>
      <c r="F15" s="15">
        <v>0</v>
      </c>
      <c r="G15" s="15">
        <v>0</v>
      </c>
      <c r="H15" s="16">
        <f>(2 * 'LINEST VARS'!A15) + (3 * 'LINEST VARS'!B15) + (5 * 'LINEST VARS'!F15) + 10</f>
        <v>324.39999999999998</v>
      </c>
      <c r="I15" s="16">
        <f t="shared" si="0"/>
        <v>332.6</v>
      </c>
      <c r="J15" s="16">
        <f t="shared" si="1"/>
        <v>4.5</v>
      </c>
      <c r="K15" s="16">
        <f t="shared" si="2"/>
        <v>4</v>
      </c>
      <c r="L15" s="16">
        <f t="shared" si="3"/>
        <v>2.5599999999999996</v>
      </c>
      <c r="M15" s="16">
        <f t="shared" si="4"/>
        <v>0.96000000000000008</v>
      </c>
      <c r="N15" s="16">
        <f t="shared" si="5"/>
        <v>50</v>
      </c>
      <c r="O15" s="16">
        <f t="shared" si="6"/>
        <v>15</v>
      </c>
      <c r="P15" s="16">
        <f t="shared" si="7"/>
        <v>30</v>
      </c>
      <c r="Q15" s="16">
        <f t="shared" si="8"/>
        <v>142</v>
      </c>
      <c r="R15" s="16">
        <f t="shared" si="9"/>
        <v>126.19999999999999</v>
      </c>
      <c r="S15" s="16">
        <f t="shared" si="10"/>
        <v>150</v>
      </c>
      <c r="T15" s="23">
        <f t="shared" si="11"/>
        <v>84.9</v>
      </c>
    </row>
    <row r="16" spans="1:20" ht="15.75" customHeight="1" x14ac:dyDescent="0.25">
      <c r="A16" s="14">
        <v>14</v>
      </c>
      <c r="B16" s="15" t="s">
        <v>97</v>
      </c>
      <c r="C16" s="15">
        <v>7.4</v>
      </c>
      <c r="D16" s="15">
        <v>8.6</v>
      </c>
      <c r="E16" s="15">
        <v>8</v>
      </c>
      <c r="F16" s="15">
        <v>0</v>
      </c>
      <c r="G16" s="15">
        <v>25.99</v>
      </c>
      <c r="H16" s="16">
        <f>(2 * 'LINEST VARS'!A16) + (3 * 'LINEST VARS'!B16) + (5 * 'LINEST VARS'!F16) + 10</f>
        <v>324.39999999999998</v>
      </c>
      <c r="I16" s="16">
        <f t="shared" si="0"/>
        <v>332.6</v>
      </c>
      <c r="J16" s="16">
        <f t="shared" si="1"/>
        <v>4.5</v>
      </c>
      <c r="K16" s="16">
        <f t="shared" si="2"/>
        <v>4</v>
      </c>
      <c r="L16" s="16">
        <f t="shared" si="3"/>
        <v>2.5599999999999996</v>
      </c>
      <c r="M16" s="16">
        <f t="shared" si="4"/>
        <v>1.08995</v>
      </c>
      <c r="N16" s="16">
        <f t="shared" si="5"/>
        <v>257.91999999999996</v>
      </c>
      <c r="O16" s="16">
        <f t="shared" si="6"/>
        <v>66.97999999999999</v>
      </c>
      <c r="P16" s="16">
        <f t="shared" si="7"/>
        <v>30</v>
      </c>
      <c r="Q16" s="16">
        <f t="shared" si="8"/>
        <v>219.97</v>
      </c>
      <c r="R16" s="16">
        <f t="shared" si="9"/>
        <v>126.19999999999999</v>
      </c>
      <c r="S16" s="16">
        <f t="shared" si="10"/>
        <v>150</v>
      </c>
      <c r="T16" s="23">
        <f t="shared" si="11"/>
        <v>84.9</v>
      </c>
    </row>
    <row r="17" spans="1:20" ht="15.75" customHeight="1" x14ac:dyDescent="0.25">
      <c r="A17" s="14">
        <v>15</v>
      </c>
      <c r="B17" s="15" t="s">
        <v>97</v>
      </c>
      <c r="C17" s="15">
        <v>7.4</v>
      </c>
      <c r="D17" s="15">
        <v>8.6</v>
      </c>
      <c r="E17" s="15">
        <v>8</v>
      </c>
      <c r="F17" s="15">
        <v>1</v>
      </c>
      <c r="G17" s="15">
        <v>0</v>
      </c>
      <c r="H17" s="16">
        <f>(2 * 'LINEST VARS'!A17) + (3 * 'LINEST VARS'!B17) + (5 * 'LINEST VARS'!F17) + 10</f>
        <v>324.39999999999998</v>
      </c>
      <c r="I17" s="16">
        <f t="shared" si="0"/>
        <v>332.6</v>
      </c>
      <c r="J17" s="16">
        <f t="shared" si="1"/>
        <v>4.4000000000000004</v>
      </c>
      <c r="K17" s="16">
        <f t="shared" si="2"/>
        <v>3.95</v>
      </c>
      <c r="L17" s="16">
        <f t="shared" si="3"/>
        <v>2.5599999999999996</v>
      </c>
      <c r="M17" s="16">
        <f t="shared" si="4"/>
        <v>0.96000000000000008</v>
      </c>
      <c r="N17" s="16">
        <f t="shared" si="5"/>
        <v>65</v>
      </c>
      <c r="O17" s="16">
        <f t="shared" si="6"/>
        <v>15</v>
      </c>
      <c r="P17" s="16">
        <f t="shared" si="7"/>
        <v>28</v>
      </c>
      <c r="Q17" s="16">
        <f t="shared" si="8"/>
        <v>142</v>
      </c>
      <c r="R17" s="16">
        <f t="shared" si="9"/>
        <v>126.19999999999999</v>
      </c>
      <c r="S17" s="16">
        <f t="shared" si="10"/>
        <v>146</v>
      </c>
      <c r="T17" s="23">
        <f t="shared" si="11"/>
        <v>84.9</v>
      </c>
    </row>
    <row r="18" spans="1:20" ht="15.75" customHeight="1" x14ac:dyDescent="0.25">
      <c r="A18" s="14">
        <v>16</v>
      </c>
      <c r="B18" s="15" t="s">
        <v>97</v>
      </c>
      <c r="C18" s="15">
        <v>7.4</v>
      </c>
      <c r="D18" s="15">
        <v>8.6</v>
      </c>
      <c r="E18" s="15">
        <v>8</v>
      </c>
      <c r="F18" s="15">
        <v>1</v>
      </c>
      <c r="G18" s="15">
        <v>25.99</v>
      </c>
      <c r="H18" s="16">
        <f>(2 * 'LINEST VARS'!A18) + (3 * 'LINEST VARS'!B18) + (5 * 'LINEST VARS'!F18) + 10</f>
        <v>324.39999999999998</v>
      </c>
      <c r="I18" s="16">
        <f t="shared" si="0"/>
        <v>332.6</v>
      </c>
      <c r="J18" s="16">
        <f t="shared" si="1"/>
        <v>4.4000000000000004</v>
      </c>
      <c r="K18" s="16">
        <f t="shared" si="2"/>
        <v>3.95</v>
      </c>
      <c r="L18" s="16">
        <f t="shared" si="3"/>
        <v>2.5599999999999996</v>
      </c>
      <c r="M18" s="16">
        <f t="shared" si="4"/>
        <v>1.08995</v>
      </c>
      <c r="N18" s="16">
        <f t="shared" si="5"/>
        <v>272.91999999999996</v>
      </c>
      <c r="O18" s="16">
        <f t="shared" si="6"/>
        <v>66.97999999999999</v>
      </c>
      <c r="P18" s="16">
        <f t="shared" si="7"/>
        <v>28</v>
      </c>
      <c r="Q18" s="16">
        <f t="shared" si="8"/>
        <v>219.97</v>
      </c>
      <c r="R18" s="16">
        <f t="shared" si="9"/>
        <v>126.19999999999999</v>
      </c>
      <c r="S18" s="16">
        <f t="shared" si="10"/>
        <v>146</v>
      </c>
      <c r="T18" s="23">
        <f t="shared" si="11"/>
        <v>84.9</v>
      </c>
    </row>
    <row r="19" spans="1:20" ht="15.75" customHeight="1" x14ac:dyDescent="0.25">
      <c r="A19" s="14">
        <v>17</v>
      </c>
      <c r="B19" s="15" t="s">
        <v>97</v>
      </c>
      <c r="C19" s="15">
        <v>8.6</v>
      </c>
      <c r="D19" s="15">
        <v>7.4</v>
      </c>
      <c r="E19" s="15">
        <v>0</v>
      </c>
      <c r="F19" s="15">
        <v>0</v>
      </c>
      <c r="G19" s="15">
        <v>0</v>
      </c>
      <c r="H19" s="16">
        <f>(2 * 'LINEST VARS'!A19) + (3 * 'LINEST VARS'!B19) + (5 * 'LINEST VARS'!F19) + 10</f>
        <v>419.19999999999993</v>
      </c>
      <c r="I19" s="16">
        <f t="shared" si="0"/>
        <v>331.4</v>
      </c>
      <c r="J19" s="16">
        <f t="shared" si="1"/>
        <v>4.5</v>
      </c>
      <c r="K19" s="16">
        <f t="shared" si="2"/>
        <v>4</v>
      </c>
      <c r="L19" s="16">
        <f t="shared" si="3"/>
        <v>2.8</v>
      </c>
      <c r="M19" s="16">
        <f t="shared" si="4"/>
        <v>0.8</v>
      </c>
      <c r="N19" s="16">
        <f t="shared" si="5"/>
        <v>50</v>
      </c>
      <c r="O19" s="16">
        <f t="shared" si="6"/>
        <v>15</v>
      </c>
      <c r="P19" s="16">
        <f t="shared" si="7"/>
        <v>350</v>
      </c>
      <c r="Q19" s="16">
        <f t="shared" si="8"/>
        <v>110</v>
      </c>
      <c r="R19" s="16">
        <f t="shared" si="9"/>
        <v>145.80000000000001</v>
      </c>
      <c r="S19" s="16">
        <f t="shared" si="10"/>
        <v>150</v>
      </c>
      <c r="T19" s="23">
        <f t="shared" si="11"/>
        <v>91.1</v>
      </c>
    </row>
    <row r="20" spans="1:20" ht="15.75" customHeight="1" x14ac:dyDescent="0.25">
      <c r="A20" s="14">
        <v>18</v>
      </c>
      <c r="B20" s="15" t="s">
        <v>97</v>
      </c>
      <c r="C20" s="15">
        <v>8.6</v>
      </c>
      <c r="D20" s="15">
        <v>7.4</v>
      </c>
      <c r="E20" s="15">
        <v>0</v>
      </c>
      <c r="F20" s="15">
        <v>0</v>
      </c>
      <c r="G20" s="15">
        <v>25.99</v>
      </c>
      <c r="H20" s="16">
        <f>(2 * 'LINEST VARS'!A20) + (3 * 'LINEST VARS'!B20) + (5 * 'LINEST VARS'!F20) + 10</f>
        <v>419.19999999999993</v>
      </c>
      <c r="I20" s="16">
        <f t="shared" si="0"/>
        <v>331.4</v>
      </c>
      <c r="J20" s="16">
        <f t="shared" si="1"/>
        <v>4.5</v>
      </c>
      <c r="K20" s="16">
        <f t="shared" si="2"/>
        <v>4</v>
      </c>
      <c r="L20" s="16">
        <f t="shared" si="3"/>
        <v>2.8</v>
      </c>
      <c r="M20" s="16">
        <f t="shared" si="4"/>
        <v>0.92995000000000005</v>
      </c>
      <c r="N20" s="16">
        <f t="shared" si="5"/>
        <v>257.91999999999996</v>
      </c>
      <c r="O20" s="16">
        <f t="shared" si="6"/>
        <v>66.97999999999999</v>
      </c>
      <c r="P20" s="16">
        <f t="shared" si="7"/>
        <v>350</v>
      </c>
      <c r="Q20" s="16">
        <f t="shared" si="8"/>
        <v>187.97</v>
      </c>
      <c r="R20" s="16">
        <f t="shared" si="9"/>
        <v>145.80000000000001</v>
      </c>
      <c r="S20" s="16">
        <f t="shared" si="10"/>
        <v>150</v>
      </c>
      <c r="T20" s="23">
        <f t="shared" si="11"/>
        <v>91.1</v>
      </c>
    </row>
    <row r="21" spans="1:20" ht="15.75" customHeight="1" x14ac:dyDescent="0.25">
      <c r="A21" s="14">
        <v>19</v>
      </c>
      <c r="B21" s="15" t="s">
        <v>97</v>
      </c>
      <c r="C21" s="15">
        <v>8.6</v>
      </c>
      <c r="D21" s="15">
        <v>7.4</v>
      </c>
      <c r="E21" s="15">
        <v>0</v>
      </c>
      <c r="F21" s="15">
        <v>1</v>
      </c>
      <c r="G21" s="15">
        <v>0</v>
      </c>
      <c r="H21" s="16">
        <f>(2 * 'LINEST VARS'!A21) + (3 * 'LINEST VARS'!B21) + (5 * 'LINEST VARS'!F21) + 10</f>
        <v>419.19999999999993</v>
      </c>
      <c r="I21" s="16">
        <f t="shared" si="0"/>
        <v>331.4</v>
      </c>
      <c r="J21" s="16">
        <f t="shared" si="1"/>
        <v>4.4000000000000004</v>
      </c>
      <c r="K21" s="16">
        <f t="shared" si="2"/>
        <v>3.95</v>
      </c>
      <c r="L21" s="16">
        <f t="shared" si="3"/>
        <v>2.8</v>
      </c>
      <c r="M21" s="16">
        <f t="shared" si="4"/>
        <v>0.8</v>
      </c>
      <c r="N21" s="16">
        <f t="shared" si="5"/>
        <v>65</v>
      </c>
      <c r="O21" s="16">
        <f t="shared" si="6"/>
        <v>15</v>
      </c>
      <c r="P21" s="16">
        <f t="shared" si="7"/>
        <v>348</v>
      </c>
      <c r="Q21" s="16">
        <f t="shared" si="8"/>
        <v>110</v>
      </c>
      <c r="R21" s="16">
        <f t="shared" si="9"/>
        <v>145.80000000000001</v>
      </c>
      <c r="S21" s="16">
        <f t="shared" si="10"/>
        <v>146</v>
      </c>
      <c r="T21" s="23">
        <f t="shared" si="11"/>
        <v>91.1</v>
      </c>
    </row>
    <row r="22" spans="1:20" ht="15.75" customHeight="1" x14ac:dyDescent="0.25">
      <c r="A22" s="14">
        <v>20</v>
      </c>
      <c r="B22" s="15" t="s">
        <v>97</v>
      </c>
      <c r="C22" s="15">
        <v>8.6</v>
      </c>
      <c r="D22" s="15">
        <v>7.4</v>
      </c>
      <c r="E22" s="15">
        <v>0</v>
      </c>
      <c r="F22" s="15">
        <v>1</v>
      </c>
      <c r="G22" s="15">
        <v>25.99</v>
      </c>
      <c r="H22" s="16">
        <f>(2 * 'LINEST VARS'!A22) + (3 * 'LINEST VARS'!B22) + (5 * 'LINEST VARS'!F22) + 10</f>
        <v>419.19999999999993</v>
      </c>
      <c r="I22" s="16">
        <f t="shared" si="0"/>
        <v>331.4</v>
      </c>
      <c r="J22" s="16">
        <f t="shared" si="1"/>
        <v>4.4000000000000004</v>
      </c>
      <c r="K22" s="16">
        <f t="shared" si="2"/>
        <v>3.95</v>
      </c>
      <c r="L22" s="16">
        <f t="shared" si="3"/>
        <v>2.8</v>
      </c>
      <c r="M22" s="16">
        <f t="shared" si="4"/>
        <v>0.92995000000000005</v>
      </c>
      <c r="N22" s="16">
        <f t="shared" si="5"/>
        <v>272.91999999999996</v>
      </c>
      <c r="O22" s="16">
        <f t="shared" si="6"/>
        <v>66.97999999999999</v>
      </c>
      <c r="P22" s="16">
        <f t="shared" si="7"/>
        <v>348</v>
      </c>
      <c r="Q22" s="16">
        <f t="shared" si="8"/>
        <v>187.97</v>
      </c>
      <c r="R22" s="16">
        <f t="shared" si="9"/>
        <v>145.80000000000001</v>
      </c>
      <c r="S22" s="16">
        <f t="shared" si="10"/>
        <v>146</v>
      </c>
      <c r="T22" s="23">
        <f t="shared" si="11"/>
        <v>91.1</v>
      </c>
    </row>
    <row r="23" spans="1:20" ht="15.75" customHeight="1" x14ac:dyDescent="0.25">
      <c r="A23" s="14">
        <v>21</v>
      </c>
      <c r="B23" s="15" t="s">
        <v>97</v>
      </c>
      <c r="C23" s="15">
        <v>8.6</v>
      </c>
      <c r="D23" s="15">
        <v>7.4</v>
      </c>
      <c r="E23" s="15">
        <v>8</v>
      </c>
      <c r="F23" s="15">
        <v>0</v>
      </c>
      <c r="G23" s="15">
        <v>0</v>
      </c>
      <c r="H23" s="16">
        <f>(2 * 'LINEST VARS'!A23) + (3 * 'LINEST VARS'!B23) + (5 * 'LINEST VARS'!F23) + 10</f>
        <v>419.19999999999993</v>
      </c>
      <c r="I23" s="16">
        <f t="shared" si="0"/>
        <v>331.4</v>
      </c>
      <c r="J23" s="16">
        <f t="shared" si="1"/>
        <v>4.5</v>
      </c>
      <c r="K23" s="16">
        <f t="shared" si="2"/>
        <v>4</v>
      </c>
      <c r="L23" s="16">
        <f t="shared" si="3"/>
        <v>2.5599999999999996</v>
      </c>
      <c r="M23" s="16">
        <f t="shared" si="4"/>
        <v>0.96000000000000008</v>
      </c>
      <c r="N23" s="16">
        <f t="shared" si="5"/>
        <v>50</v>
      </c>
      <c r="O23" s="16">
        <f t="shared" si="6"/>
        <v>15</v>
      </c>
      <c r="P23" s="16">
        <f t="shared" si="7"/>
        <v>30</v>
      </c>
      <c r="Q23" s="16">
        <f t="shared" si="8"/>
        <v>142</v>
      </c>
      <c r="R23" s="16">
        <f t="shared" si="9"/>
        <v>129.80000000000001</v>
      </c>
      <c r="S23" s="16">
        <f t="shared" si="10"/>
        <v>150</v>
      </c>
      <c r="T23" s="23">
        <f t="shared" si="11"/>
        <v>83.1</v>
      </c>
    </row>
    <row r="24" spans="1:20" ht="15.75" customHeight="1" x14ac:dyDescent="0.25">
      <c r="A24" s="14">
        <v>22</v>
      </c>
      <c r="B24" s="15" t="s">
        <v>97</v>
      </c>
      <c r="C24" s="15">
        <v>8.6</v>
      </c>
      <c r="D24" s="15">
        <v>7.4</v>
      </c>
      <c r="E24" s="15">
        <v>8</v>
      </c>
      <c r="F24" s="15">
        <v>0</v>
      </c>
      <c r="G24" s="15">
        <v>25.99</v>
      </c>
      <c r="H24" s="16">
        <f>(2 * 'LINEST VARS'!A24) + (3 * 'LINEST VARS'!B24) + (5 * 'LINEST VARS'!F24) + 10</f>
        <v>419.19999999999993</v>
      </c>
      <c r="I24" s="16">
        <f t="shared" si="0"/>
        <v>331.4</v>
      </c>
      <c r="J24" s="16">
        <f t="shared" si="1"/>
        <v>4.5</v>
      </c>
      <c r="K24" s="16">
        <f t="shared" si="2"/>
        <v>4</v>
      </c>
      <c r="L24" s="16">
        <f t="shared" si="3"/>
        <v>2.5599999999999996</v>
      </c>
      <c r="M24" s="16">
        <f t="shared" si="4"/>
        <v>1.08995</v>
      </c>
      <c r="N24" s="16">
        <f t="shared" si="5"/>
        <v>257.91999999999996</v>
      </c>
      <c r="O24" s="16">
        <f t="shared" si="6"/>
        <v>66.97999999999999</v>
      </c>
      <c r="P24" s="16">
        <f t="shared" si="7"/>
        <v>30</v>
      </c>
      <c r="Q24" s="16">
        <f t="shared" si="8"/>
        <v>219.97</v>
      </c>
      <c r="R24" s="16">
        <f t="shared" si="9"/>
        <v>129.80000000000001</v>
      </c>
      <c r="S24" s="16">
        <f t="shared" si="10"/>
        <v>150</v>
      </c>
      <c r="T24" s="23">
        <f t="shared" si="11"/>
        <v>83.1</v>
      </c>
    </row>
    <row r="25" spans="1:20" ht="15.75" customHeight="1" x14ac:dyDescent="0.25">
      <c r="A25" s="14">
        <v>23</v>
      </c>
      <c r="B25" s="15" t="s">
        <v>97</v>
      </c>
      <c r="C25" s="15">
        <v>8.6</v>
      </c>
      <c r="D25" s="15">
        <v>7.4</v>
      </c>
      <c r="E25" s="15">
        <v>8</v>
      </c>
      <c r="F25" s="15">
        <v>1</v>
      </c>
      <c r="G25" s="15">
        <v>0</v>
      </c>
      <c r="H25" s="16">
        <f>(2 * 'LINEST VARS'!A25) + (3 * 'LINEST VARS'!B25) + (5 * 'LINEST VARS'!F25) + 10</f>
        <v>419.19999999999993</v>
      </c>
      <c r="I25" s="16">
        <f t="shared" si="0"/>
        <v>331.4</v>
      </c>
      <c r="J25" s="16">
        <f t="shared" si="1"/>
        <v>4.4000000000000004</v>
      </c>
      <c r="K25" s="16">
        <f t="shared" si="2"/>
        <v>3.95</v>
      </c>
      <c r="L25" s="16">
        <f t="shared" si="3"/>
        <v>2.5599999999999996</v>
      </c>
      <c r="M25" s="16">
        <f t="shared" si="4"/>
        <v>0.96000000000000008</v>
      </c>
      <c r="N25" s="16">
        <f t="shared" si="5"/>
        <v>65</v>
      </c>
      <c r="O25" s="16">
        <f t="shared" si="6"/>
        <v>15</v>
      </c>
      <c r="P25" s="16">
        <f t="shared" si="7"/>
        <v>28</v>
      </c>
      <c r="Q25" s="16">
        <f t="shared" si="8"/>
        <v>142</v>
      </c>
      <c r="R25" s="16">
        <f t="shared" si="9"/>
        <v>129.80000000000001</v>
      </c>
      <c r="S25" s="16">
        <f t="shared" si="10"/>
        <v>146</v>
      </c>
      <c r="T25" s="23">
        <f t="shared" si="11"/>
        <v>83.1</v>
      </c>
    </row>
    <row r="26" spans="1:20" ht="15.75" customHeight="1" x14ac:dyDescent="0.25">
      <c r="A26" s="14">
        <v>24</v>
      </c>
      <c r="B26" s="15" t="s">
        <v>97</v>
      </c>
      <c r="C26" s="15">
        <v>8.6</v>
      </c>
      <c r="D26" s="15">
        <v>7.4</v>
      </c>
      <c r="E26" s="15">
        <v>8</v>
      </c>
      <c r="F26" s="15">
        <v>1</v>
      </c>
      <c r="G26" s="15">
        <v>25.99</v>
      </c>
      <c r="H26" s="16">
        <f>(2 * 'LINEST VARS'!A26) + (3 * 'LINEST VARS'!B26) + (5 * 'LINEST VARS'!F26) + 10</f>
        <v>419.19999999999993</v>
      </c>
      <c r="I26" s="16">
        <f t="shared" si="0"/>
        <v>331.4</v>
      </c>
      <c r="J26" s="16">
        <f t="shared" si="1"/>
        <v>4.4000000000000004</v>
      </c>
      <c r="K26" s="16">
        <f t="shared" si="2"/>
        <v>3.95</v>
      </c>
      <c r="L26" s="16">
        <f t="shared" si="3"/>
        <v>2.5599999999999996</v>
      </c>
      <c r="M26" s="16">
        <f t="shared" si="4"/>
        <v>1.08995</v>
      </c>
      <c r="N26" s="16">
        <f t="shared" si="5"/>
        <v>272.91999999999996</v>
      </c>
      <c r="O26" s="16">
        <f t="shared" si="6"/>
        <v>66.97999999999999</v>
      </c>
      <c r="P26" s="16">
        <f t="shared" si="7"/>
        <v>28</v>
      </c>
      <c r="Q26" s="16">
        <f t="shared" si="8"/>
        <v>219.97</v>
      </c>
      <c r="R26" s="16">
        <f t="shared" si="9"/>
        <v>129.80000000000001</v>
      </c>
      <c r="S26" s="16">
        <f t="shared" si="10"/>
        <v>146</v>
      </c>
      <c r="T26" s="23">
        <f t="shared" si="11"/>
        <v>83.1</v>
      </c>
    </row>
    <row r="27" spans="1:20" ht="15.75" customHeight="1" x14ac:dyDescent="0.25">
      <c r="A27" s="14">
        <v>25</v>
      </c>
      <c r="B27" s="15" t="s">
        <v>97</v>
      </c>
      <c r="C27" s="15">
        <v>8.6</v>
      </c>
      <c r="D27" s="15">
        <v>8.6</v>
      </c>
      <c r="E27" s="15">
        <v>0</v>
      </c>
      <c r="F27" s="15">
        <v>0</v>
      </c>
      <c r="G27" s="15">
        <v>0</v>
      </c>
      <c r="H27" s="16">
        <f>(2 * 'LINEST VARS'!A27) + (3 * 'LINEST VARS'!B27) + (5 * 'LINEST VARS'!F27) + 10</f>
        <v>422.79999999999995</v>
      </c>
      <c r="I27" s="16">
        <f t="shared" si="0"/>
        <v>334.4</v>
      </c>
      <c r="J27" s="16">
        <f t="shared" si="1"/>
        <v>4.5</v>
      </c>
      <c r="K27" s="16">
        <f t="shared" si="2"/>
        <v>4</v>
      </c>
      <c r="L27" s="16">
        <f t="shared" si="3"/>
        <v>2.8</v>
      </c>
      <c r="M27" s="16">
        <f t="shared" si="4"/>
        <v>0.8</v>
      </c>
      <c r="N27" s="16">
        <f t="shared" si="5"/>
        <v>50</v>
      </c>
      <c r="O27" s="16">
        <f t="shared" si="6"/>
        <v>15</v>
      </c>
      <c r="P27" s="16">
        <f t="shared" si="7"/>
        <v>350</v>
      </c>
      <c r="Q27" s="16">
        <f t="shared" si="8"/>
        <v>110</v>
      </c>
      <c r="R27" s="16">
        <f t="shared" si="9"/>
        <v>145.80000000000001</v>
      </c>
      <c r="S27" s="16">
        <f t="shared" si="10"/>
        <v>150</v>
      </c>
      <c r="T27" s="23">
        <f t="shared" si="11"/>
        <v>92.9</v>
      </c>
    </row>
    <row r="28" spans="1:20" ht="15.75" customHeight="1" x14ac:dyDescent="0.25">
      <c r="A28" s="14">
        <v>26</v>
      </c>
      <c r="B28" s="15" t="s">
        <v>97</v>
      </c>
      <c r="C28" s="15">
        <v>8.6</v>
      </c>
      <c r="D28" s="15">
        <v>8.6</v>
      </c>
      <c r="E28" s="15">
        <v>0</v>
      </c>
      <c r="F28" s="15">
        <v>0</v>
      </c>
      <c r="G28" s="15">
        <v>25.99</v>
      </c>
      <c r="H28" s="16">
        <f>(2 * 'LINEST VARS'!A28) + (3 * 'LINEST VARS'!B28) + (5 * 'LINEST VARS'!F28) + 10</f>
        <v>422.79999999999995</v>
      </c>
      <c r="I28" s="16">
        <f t="shared" si="0"/>
        <v>334.4</v>
      </c>
      <c r="J28" s="16">
        <f t="shared" si="1"/>
        <v>4.5</v>
      </c>
      <c r="K28" s="16">
        <f t="shared" si="2"/>
        <v>4</v>
      </c>
      <c r="L28" s="16">
        <f t="shared" si="3"/>
        <v>2.8</v>
      </c>
      <c r="M28" s="16">
        <f t="shared" si="4"/>
        <v>0.92995000000000005</v>
      </c>
      <c r="N28" s="16">
        <f t="shared" si="5"/>
        <v>257.91999999999996</v>
      </c>
      <c r="O28" s="16">
        <f t="shared" si="6"/>
        <v>66.97999999999999</v>
      </c>
      <c r="P28" s="16">
        <f t="shared" si="7"/>
        <v>350</v>
      </c>
      <c r="Q28" s="16">
        <f t="shared" si="8"/>
        <v>187.97</v>
      </c>
      <c r="R28" s="16">
        <f t="shared" si="9"/>
        <v>145.80000000000001</v>
      </c>
      <c r="S28" s="16">
        <f t="shared" si="10"/>
        <v>150</v>
      </c>
      <c r="T28" s="23">
        <f t="shared" si="11"/>
        <v>92.9</v>
      </c>
    </row>
    <row r="29" spans="1:20" ht="15.75" customHeight="1" x14ac:dyDescent="0.25">
      <c r="A29" s="14">
        <v>27</v>
      </c>
      <c r="B29" s="15" t="s">
        <v>97</v>
      </c>
      <c r="C29" s="15">
        <v>8.6</v>
      </c>
      <c r="D29" s="15">
        <v>8.6</v>
      </c>
      <c r="E29" s="15">
        <v>0</v>
      </c>
      <c r="F29" s="15">
        <v>1</v>
      </c>
      <c r="G29" s="15">
        <v>0</v>
      </c>
      <c r="H29" s="16">
        <f>(2 * 'LINEST VARS'!A29) + (3 * 'LINEST VARS'!B29) + (5 * 'LINEST VARS'!F29) + 10</f>
        <v>422.79999999999995</v>
      </c>
      <c r="I29" s="16">
        <f t="shared" si="0"/>
        <v>334.4</v>
      </c>
      <c r="J29" s="16">
        <f t="shared" si="1"/>
        <v>4.4000000000000004</v>
      </c>
      <c r="K29" s="16">
        <f t="shared" si="2"/>
        <v>3.95</v>
      </c>
      <c r="L29" s="16">
        <f t="shared" si="3"/>
        <v>2.8</v>
      </c>
      <c r="M29" s="16">
        <f t="shared" si="4"/>
        <v>0.8</v>
      </c>
      <c r="N29" s="16">
        <f t="shared" si="5"/>
        <v>65</v>
      </c>
      <c r="O29" s="16">
        <f t="shared" si="6"/>
        <v>15</v>
      </c>
      <c r="P29" s="16">
        <f t="shared" si="7"/>
        <v>348</v>
      </c>
      <c r="Q29" s="16">
        <f t="shared" si="8"/>
        <v>110</v>
      </c>
      <c r="R29" s="16">
        <f t="shared" si="9"/>
        <v>145.80000000000001</v>
      </c>
      <c r="S29" s="16">
        <f t="shared" si="10"/>
        <v>146</v>
      </c>
      <c r="T29" s="23">
        <f t="shared" si="11"/>
        <v>92.9</v>
      </c>
    </row>
    <row r="30" spans="1:20" ht="15.75" customHeight="1" x14ac:dyDescent="0.25">
      <c r="A30" s="14">
        <v>28</v>
      </c>
      <c r="B30" s="15" t="s">
        <v>97</v>
      </c>
      <c r="C30" s="15">
        <v>8.6</v>
      </c>
      <c r="D30" s="15">
        <v>8.6</v>
      </c>
      <c r="E30" s="15">
        <v>0</v>
      </c>
      <c r="F30" s="15">
        <v>1</v>
      </c>
      <c r="G30" s="15">
        <v>25.99</v>
      </c>
      <c r="H30" s="16">
        <f>(2 * 'LINEST VARS'!A30) + (3 * 'LINEST VARS'!B30) + (5 * 'LINEST VARS'!F30) + 10</f>
        <v>422.79999999999995</v>
      </c>
      <c r="I30" s="16">
        <f t="shared" si="0"/>
        <v>334.4</v>
      </c>
      <c r="J30" s="16">
        <f t="shared" si="1"/>
        <v>4.4000000000000004</v>
      </c>
      <c r="K30" s="16">
        <f t="shared" si="2"/>
        <v>3.95</v>
      </c>
      <c r="L30" s="16">
        <f t="shared" si="3"/>
        <v>2.8</v>
      </c>
      <c r="M30" s="16">
        <f t="shared" si="4"/>
        <v>0.92995000000000005</v>
      </c>
      <c r="N30" s="16">
        <f t="shared" si="5"/>
        <v>272.91999999999996</v>
      </c>
      <c r="O30" s="16">
        <f t="shared" si="6"/>
        <v>66.97999999999999</v>
      </c>
      <c r="P30" s="16">
        <f t="shared" si="7"/>
        <v>348</v>
      </c>
      <c r="Q30" s="16">
        <f t="shared" si="8"/>
        <v>187.97</v>
      </c>
      <c r="R30" s="16">
        <f t="shared" si="9"/>
        <v>145.80000000000001</v>
      </c>
      <c r="S30" s="16">
        <f t="shared" si="10"/>
        <v>146</v>
      </c>
      <c r="T30" s="23">
        <f t="shared" si="11"/>
        <v>92.9</v>
      </c>
    </row>
    <row r="31" spans="1:20" ht="15.75" customHeight="1" x14ac:dyDescent="0.25">
      <c r="A31" s="14">
        <v>29</v>
      </c>
      <c r="B31" s="15" t="s">
        <v>97</v>
      </c>
      <c r="C31" s="15">
        <v>8.6</v>
      </c>
      <c r="D31" s="15">
        <v>8.6</v>
      </c>
      <c r="E31" s="15">
        <v>8</v>
      </c>
      <c r="F31" s="15">
        <v>0</v>
      </c>
      <c r="G31" s="15">
        <v>0</v>
      </c>
      <c r="H31" s="16">
        <f>(2 * 'LINEST VARS'!A31) + (3 * 'LINEST VARS'!B31) + (5 * 'LINEST VARS'!F31) + 10</f>
        <v>422.79999999999995</v>
      </c>
      <c r="I31" s="16">
        <f t="shared" si="0"/>
        <v>334.4</v>
      </c>
      <c r="J31" s="16">
        <f t="shared" si="1"/>
        <v>4.5</v>
      </c>
      <c r="K31" s="16">
        <f t="shared" si="2"/>
        <v>4</v>
      </c>
      <c r="L31" s="16">
        <f t="shared" si="3"/>
        <v>2.5599999999999996</v>
      </c>
      <c r="M31" s="16">
        <f t="shared" si="4"/>
        <v>0.96000000000000008</v>
      </c>
      <c r="N31" s="16">
        <f t="shared" si="5"/>
        <v>50</v>
      </c>
      <c r="O31" s="16">
        <f t="shared" si="6"/>
        <v>15</v>
      </c>
      <c r="P31" s="16">
        <f t="shared" si="7"/>
        <v>30</v>
      </c>
      <c r="Q31" s="16">
        <f t="shared" si="8"/>
        <v>142</v>
      </c>
      <c r="R31" s="16">
        <f t="shared" si="9"/>
        <v>129.80000000000001</v>
      </c>
      <c r="S31" s="16">
        <f t="shared" si="10"/>
        <v>150</v>
      </c>
      <c r="T31" s="23">
        <f t="shared" si="11"/>
        <v>84.9</v>
      </c>
    </row>
    <row r="32" spans="1:20" ht="15.75" customHeight="1" x14ac:dyDescent="0.25">
      <c r="A32" s="14">
        <v>30</v>
      </c>
      <c r="B32" s="15" t="s">
        <v>97</v>
      </c>
      <c r="C32" s="15">
        <v>8.6</v>
      </c>
      <c r="D32" s="15">
        <v>8.6</v>
      </c>
      <c r="E32" s="15">
        <v>8</v>
      </c>
      <c r="F32" s="15">
        <v>0</v>
      </c>
      <c r="G32" s="15">
        <v>25.99</v>
      </c>
      <c r="H32" s="16">
        <f>(2 * 'LINEST VARS'!A32) + (3 * 'LINEST VARS'!B32) + (5 * 'LINEST VARS'!F32) + 10</f>
        <v>422.79999999999995</v>
      </c>
      <c r="I32" s="16">
        <f t="shared" si="0"/>
        <v>334.4</v>
      </c>
      <c r="J32" s="16">
        <f t="shared" si="1"/>
        <v>4.5</v>
      </c>
      <c r="K32" s="16">
        <f t="shared" si="2"/>
        <v>4</v>
      </c>
      <c r="L32" s="16">
        <f t="shared" si="3"/>
        <v>2.5599999999999996</v>
      </c>
      <c r="M32" s="16">
        <f t="shared" si="4"/>
        <v>1.08995</v>
      </c>
      <c r="N32" s="16">
        <f t="shared" si="5"/>
        <v>257.91999999999996</v>
      </c>
      <c r="O32" s="16">
        <f t="shared" si="6"/>
        <v>66.97999999999999</v>
      </c>
      <c r="P32" s="16">
        <f t="shared" si="7"/>
        <v>30</v>
      </c>
      <c r="Q32" s="16">
        <f t="shared" si="8"/>
        <v>219.97</v>
      </c>
      <c r="R32" s="16">
        <f t="shared" si="9"/>
        <v>129.80000000000001</v>
      </c>
      <c r="S32" s="16">
        <f t="shared" si="10"/>
        <v>150</v>
      </c>
      <c r="T32" s="23">
        <f t="shared" si="11"/>
        <v>84.9</v>
      </c>
    </row>
    <row r="33" spans="1:20" ht="15.75" customHeight="1" x14ac:dyDescent="0.25">
      <c r="A33" s="14">
        <v>31</v>
      </c>
      <c r="B33" s="15" t="s">
        <v>97</v>
      </c>
      <c r="C33" s="15">
        <v>8.6</v>
      </c>
      <c r="D33" s="15">
        <v>8.6</v>
      </c>
      <c r="E33" s="15">
        <v>8</v>
      </c>
      <c r="F33" s="15">
        <v>1</v>
      </c>
      <c r="G33" s="15">
        <v>0</v>
      </c>
      <c r="H33" s="16">
        <f>(2 * 'LINEST VARS'!A33) + (3 * 'LINEST VARS'!B33) + (5 * 'LINEST VARS'!F33) + 10</f>
        <v>422.79999999999995</v>
      </c>
      <c r="I33" s="16">
        <f t="shared" si="0"/>
        <v>334.4</v>
      </c>
      <c r="J33" s="16">
        <f t="shared" si="1"/>
        <v>4.4000000000000004</v>
      </c>
      <c r="K33" s="16">
        <f t="shared" si="2"/>
        <v>3.95</v>
      </c>
      <c r="L33" s="16">
        <f t="shared" si="3"/>
        <v>2.5599999999999996</v>
      </c>
      <c r="M33" s="16">
        <f t="shared" si="4"/>
        <v>0.96000000000000008</v>
      </c>
      <c r="N33" s="16">
        <f t="shared" si="5"/>
        <v>65</v>
      </c>
      <c r="O33" s="16">
        <f t="shared" si="6"/>
        <v>15</v>
      </c>
      <c r="P33" s="16">
        <f t="shared" si="7"/>
        <v>28</v>
      </c>
      <c r="Q33" s="16">
        <f t="shared" si="8"/>
        <v>142</v>
      </c>
      <c r="R33" s="16">
        <f t="shared" si="9"/>
        <v>129.80000000000001</v>
      </c>
      <c r="S33" s="16">
        <f t="shared" si="10"/>
        <v>146</v>
      </c>
      <c r="T33" s="23">
        <f t="shared" si="11"/>
        <v>84.9</v>
      </c>
    </row>
    <row r="34" spans="1:20" ht="15.75" customHeight="1" x14ac:dyDescent="0.25">
      <c r="A34" s="14">
        <v>32</v>
      </c>
      <c r="B34" s="15" t="s">
        <v>97</v>
      </c>
      <c r="C34" s="15">
        <v>8.6</v>
      </c>
      <c r="D34" s="15">
        <v>8.6</v>
      </c>
      <c r="E34" s="15">
        <v>8</v>
      </c>
      <c r="F34" s="15">
        <v>1</v>
      </c>
      <c r="G34" s="15">
        <v>25.99</v>
      </c>
      <c r="H34" s="16">
        <f>(2 * 'LINEST VARS'!A34) + (3 * 'LINEST VARS'!B34) + (5 * 'LINEST VARS'!F34) + 10</f>
        <v>422.79999999999995</v>
      </c>
      <c r="I34" s="16">
        <f t="shared" si="0"/>
        <v>334.4</v>
      </c>
      <c r="J34" s="16">
        <f t="shared" si="1"/>
        <v>4.4000000000000004</v>
      </c>
      <c r="K34" s="16">
        <f t="shared" si="2"/>
        <v>3.95</v>
      </c>
      <c r="L34" s="16">
        <f t="shared" si="3"/>
        <v>2.5599999999999996</v>
      </c>
      <c r="M34" s="16">
        <f t="shared" si="4"/>
        <v>1.08995</v>
      </c>
      <c r="N34" s="16">
        <f t="shared" si="5"/>
        <v>272.91999999999996</v>
      </c>
      <c r="O34" s="16">
        <f t="shared" si="6"/>
        <v>66.97999999999999</v>
      </c>
      <c r="P34" s="16">
        <f t="shared" si="7"/>
        <v>28</v>
      </c>
      <c r="Q34" s="16">
        <f t="shared" si="8"/>
        <v>219.97</v>
      </c>
      <c r="R34" s="16">
        <f t="shared" si="9"/>
        <v>129.80000000000001</v>
      </c>
      <c r="S34" s="16">
        <f t="shared" si="10"/>
        <v>146</v>
      </c>
      <c r="T34" s="23">
        <f t="shared" si="11"/>
        <v>84.9</v>
      </c>
    </row>
    <row r="35" spans="1:20" ht="15.75" customHeight="1" x14ac:dyDescent="0.25">
      <c r="A35" s="14">
        <v>33</v>
      </c>
      <c r="B35" s="17" t="s">
        <v>98</v>
      </c>
      <c r="C35" s="15">
        <v>8</v>
      </c>
      <c r="D35" s="15">
        <v>8</v>
      </c>
      <c r="E35" s="15">
        <v>4</v>
      </c>
      <c r="F35" s="15">
        <v>0.5</v>
      </c>
      <c r="G35" s="15">
        <v>12.73</v>
      </c>
      <c r="H35" s="16">
        <f>(2 * 'LINEST VARS'!A35) + (3 * 'LINEST VARS'!B35) + (5 * 'LINEST VARS'!F35) + 10</f>
        <v>370</v>
      </c>
      <c r="I35" s="16">
        <f t="shared" si="0"/>
        <v>332</v>
      </c>
      <c r="J35" s="16">
        <f t="shared" si="1"/>
        <v>4.45</v>
      </c>
      <c r="K35" s="16">
        <f t="shared" si="2"/>
        <v>3.9750000000000001</v>
      </c>
      <c r="L35" s="16">
        <f t="shared" si="3"/>
        <v>2.84</v>
      </c>
      <c r="M35" s="16">
        <f t="shared" si="4"/>
        <v>0.94364999999999999</v>
      </c>
      <c r="N35" s="16">
        <f t="shared" si="5"/>
        <v>159.34</v>
      </c>
      <c r="O35" s="16">
        <f t="shared" si="6"/>
        <v>40.46</v>
      </c>
      <c r="P35" s="16">
        <f t="shared" si="7"/>
        <v>269.5</v>
      </c>
      <c r="Q35" s="16">
        <f t="shared" si="8"/>
        <v>164.19</v>
      </c>
      <c r="R35" s="16">
        <f t="shared" si="9"/>
        <v>136</v>
      </c>
      <c r="S35" s="16">
        <f t="shared" si="10"/>
        <v>149</v>
      </c>
      <c r="T35" s="23">
        <f t="shared" si="11"/>
        <v>88</v>
      </c>
    </row>
    <row r="36" spans="1:20" ht="15.75" customHeight="1" x14ac:dyDescent="0.25">
      <c r="A36" s="14">
        <v>34</v>
      </c>
      <c r="B36" s="15" t="s">
        <v>99</v>
      </c>
      <c r="C36" s="15">
        <v>7.4</v>
      </c>
      <c r="D36" s="15">
        <v>8</v>
      </c>
      <c r="E36" s="15">
        <v>4</v>
      </c>
      <c r="F36" s="15">
        <v>0.5</v>
      </c>
      <c r="G36" s="15">
        <v>12.73</v>
      </c>
      <c r="H36" s="16">
        <f>(2 * 'LINEST VARS'!A36) + (3 * 'LINEST VARS'!B36) + (5 * 'LINEST VARS'!F36) + 10</f>
        <v>322.60000000000002</v>
      </c>
      <c r="I36" s="16">
        <f t="shared" si="0"/>
        <v>331.1</v>
      </c>
      <c r="J36" s="16">
        <f t="shared" si="1"/>
        <v>4.45</v>
      </c>
      <c r="K36" s="16">
        <f t="shared" si="2"/>
        <v>3.9750000000000001</v>
      </c>
      <c r="L36" s="16">
        <f t="shared" si="3"/>
        <v>2.84</v>
      </c>
      <c r="M36" s="16">
        <f t="shared" si="4"/>
        <v>0.94364999999999999</v>
      </c>
      <c r="N36" s="16">
        <f t="shared" si="5"/>
        <v>159.34</v>
      </c>
      <c r="O36" s="16">
        <f t="shared" si="6"/>
        <v>40.46</v>
      </c>
      <c r="P36" s="16">
        <f t="shared" si="7"/>
        <v>269.5</v>
      </c>
      <c r="Q36" s="16">
        <f t="shared" si="8"/>
        <v>164.19</v>
      </c>
      <c r="R36" s="16">
        <f t="shared" si="9"/>
        <v>134.19999999999999</v>
      </c>
      <c r="S36" s="16">
        <f t="shared" si="10"/>
        <v>149</v>
      </c>
      <c r="T36" s="23">
        <f t="shared" si="11"/>
        <v>88</v>
      </c>
    </row>
    <row r="37" spans="1:20" ht="15.75" customHeight="1" x14ac:dyDescent="0.25">
      <c r="A37" s="14">
        <v>35</v>
      </c>
      <c r="B37" s="15" t="s">
        <v>99</v>
      </c>
      <c r="C37" s="15">
        <v>8.6</v>
      </c>
      <c r="D37" s="15">
        <v>8</v>
      </c>
      <c r="E37" s="15">
        <v>4</v>
      </c>
      <c r="F37" s="15">
        <v>0.5</v>
      </c>
      <c r="G37" s="15">
        <v>12.73</v>
      </c>
      <c r="H37" s="16">
        <f>(2 * 'LINEST VARS'!A37) + (3 * 'LINEST VARS'!B37) + (5 * 'LINEST VARS'!F37) + 10</f>
        <v>420.99999999999994</v>
      </c>
      <c r="I37" s="16">
        <f t="shared" si="0"/>
        <v>332.9</v>
      </c>
      <c r="J37" s="16">
        <f t="shared" si="1"/>
        <v>4.45</v>
      </c>
      <c r="K37" s="16">
        <f t="shared" si="2"/>
        <v>3.9750000000000001</v>
      </c>
      <c r="L37" s="16">
        <f t="shared" si="3"/>
        <v>2.84</v>
      </c>
      <c r="M37" s="16">
        <f t="shared" si="4"/>
        <v>0.94364999999999999</v>
      </c>
      <c r="N37" s="16">
        <f t="shared" si="5"/>
        <v>159.34</v>
      </c>
      <c r="O37" s="16">
        <f t="shared" si="6"/>
        <v>40.46</v>
      </c>
      <c r="P37" s="16">
        <f t="shared" si="7"/>
        <v>269.5</v>
      </c>
      <c r="Q37" s="16">
        <f t="shared" si="8"/>
        <v>164.19</v>
      </c>
      <c r="R37" s="16">
        <f t="shared" si="9"/>
        <v>137.80000000000001</v>
      </c>
      <c r="S37" s="16">
        <f t="shared" si="10"/>
        <v>149</v>
      </c>
      <c r="T37" s="23">
        <f t="shared" si="11"/>
        <v>88</v>
      </c>
    </row>
    <row r="38" spans="1:20" ht="15.75" customHeight="1" x14ac:dyDescent="0.25">
      <c r="A38" s="14">
        <v>36</v>
      </c>
      <c r="B38" s="15" t="s">
        <v>99</v>
      </c>
      <c r="C38" s="15">
        <v>8</v>
      </c>
      <c r="D38" s="15">
        <v>7.4</v>
      </c>
      <c r="E38" s="15">
        <v>4</v>
      </c>
      <c r="F38" s="15">
        <v>0.5</v>
      </c>
      <c r="G38" s="15">
        <v>12.73</v>
      </c>
      <c r="H38" s="16">
        <f>(2 * 'LINEST VARS'!A38) + (3 * 'LINEST VARS'!B38) + (5 * 'LINEST VARS'!F38) + 10</f>
        <v>368.2</v>
      </c>
      <c r="I38" s="16">
        <f t="shared" si="0"/>
        <v>330.5</v>
      </c>
      <c r="J38" s="16">
        <f t="shared" si="1"/>
        <v>4.45</v>
      </c>
      <c r="K38" s="16">
        <f t="shared" si="2"/>
        <v>3.9750000000000001</v>
      </c>
      <c r="L38" s="16">
        <f t="shared" si="3"/>
        <v>2.84</v>
      </c>
      <c r="M38" s="16">
        <f t="shared" si="4"/>
        <v>0.94364999999999999</v>
      </c>
      <c r="N38" s="16">
        <f t="shared" si="5"/>
        <v>159.34</v>
      </c>
      <c r="O38" s="16">
        <f t="shared" si="6"/>
        <v>40.46</v>
      </c>
      <c r="P38" s="16">
        <f t="shared" si="7"/>
        <v>269.5</v>
      </c>
      <c r="Q38" s="16">
        <f t="shared" si="8"/>
        <v>164.19</v>
      </c>
      <c r="R38" s="16">
        <f t="shared" si="9"/>
        <v>136</v>
      </c>
      <c r="S38" s="16">
        <f t="shared" si="10"/>
        <v>149</v>
      </c>
      <c r="T38" s="23">
        <f t="shared" si="11"/>
        <v>87.1</v>
      </c>
    </row>
    <row r="39" spans="1:20" ht="15.75" customHeight="1" x14ac:dyDescent="0.25">
      <c r="A39" s="14">
        <v>37</v>
      </c>
      <c r="B39" s="15" t="s">
        <v>99</v>
      </c>
      <c r="C39" s="15">
        <v>8</v>
      </c>
      <c r="D39" s="15">
        <v>8.6</v>
      </c>
      <c r="E39" s="15">
        <v>4</v>
      </c>
      <c r="F39" s="15">
        <v>0.5</v>
      </c>
      <c r="G39" s="15">
        <v>12.73</v>
      </c>
      <c r="H39" s="16">
        <f>(2 * 'LINEST VARS'!A39) + (3 * 'LINEST VARS'!B39) + (5 * 'LINEST VARS'!F39) + 10</f>
        <v>371.8</v>
      </c>
      <c r="I39" s="16">
        <f t="shared" si="0"/>
        <v>333.5</v>
      </c>
      <c r="J39" s="16">
        <f t="shared" si="1"/>
        <v>4.45</v>
      </c>
      <c r="K39" s="16">
        <f t="shared" si="2"/>
        <v>3.9750000000000001</v>
      </c>
      <c r="L39" s="16">
        <f t="shared" si="3"/>
        <v>2.84</v>
      </c>
      <c r="M39" s="16">
        <f t="shared" si="4"/>
        <v>0.94364999999999999</v>
      </c>
      <c r="N39" s="16">
        <f t="shared" si="5"/>
        <v>159.34</v>
      </c>
      <c r="O39" s="16">
        <f t="shared" si="6"/>
        <v>40.46</v>
      </c>
      <c r="P39" s="16">
        <f t="shared" si="7"/>
        <v>269.5</v>
      </c>
      <c r="Q39" s="16">
        <f t="shared" si="8"/>
        <v>164.19</v>
      </c>
      <c r="R39" s="16">
        <f t="shared" si="9"/>
        <v>136</v>
      </c>
      <c r="S39" s="16">
        <f t="shared" si="10"/>
        <v>149</v>
      </c>
      <c r="T39" s="23">
        <f t="shared" si="11"/>
        <v>88.9</v>
      </c>
    </row>
    <row r="40" spans="1:20" ht="15.75" customHeight="1" x14ac:dyDescent="0.25">
      <c r="A40" s="14">
        <v>38</v>
      </c>
      <c r="B40" s="15" t="s">
        <v>99</v>
      </c>
      <c r="C40" s="15">
        <v>8</v>
      </c>
      <c r="D40" s="15">
        <v>8</v>
      </c>
      <c r="E40" s="15">
        <v>0</v>
      </c>
      <c r="F40" s="15">
        <v>0.5</v>
      </c>
      <c r="G40" s="15">
        <v>12.73</v>
      </c>
      <c r="H40" s="16">
        <f>(2 * 'LINEST VARS'!A40) + (3 * 'LINEST VARS'!B40) + (5 * 'LINEST VARS'!F40) + 10</f>
        <v>370</v>
      </c>
      <c r="I40" s="16">
        <f t="shared" si="0"/>
        <v>332</v>
      </c>
      <c r="J40" s="16">
        <f t="shared" si="1"/>
        <v>4.45</v>
      </c>
      <c r="K40" s="16">
        <f t="shared" si="2"/>
        <v>3.9750000000000001</v>
      </c>
      <c r="L40" s="16">
        <f t="shared" si="3"/>
        <v>2.8</v>
      </c>
      <c r="M40" s="16">
        <f t="shared" si="4"/>
        <v>0.86365000000000003</v>
      </c>
      <c r="N40" s="16">
        <f t="shared" si="5"/>
        <v>159.34</v>
      </c>
      <c r="O40" s="16">
        <f t="shared" si="6"/>
        <v>40.46</v>
      </c>
      <c r="P40" s="16">
        <f t="shared" si="7"/>
        <v>349.5</v>
      </c>
      <c r="Q40" s="16">
        <f t="shared" si="8"/>
        <v>148.19</v>
      </c>
      <c r="R40" s="16">
        <f t="shared" si="9"/>
        <v>144</v>
      </c>
      <c r="S40" s="16">
        <f t="shared" si="10"/>
        <v>149</v>
      </c>
      <c r="T40" s="23">
        <f t="shared" si="11"/>
        <v>92</v>
      </c>
    </row>
    <row r="41" spans="1:20" ht="15.75" customHeight="1" x14ac:dyDescent="0.25">
      <c r="A41" s="14">
        <v>39</v>
      </c>
      <c r="B41" s="15" t="s">
        <v>99</v>
      </c>
      <c r="C41" s="15">
        <v>8</v>
      </c>
      <c r="D41" s="15">
        <v>8</v>
      </c>
      <c r="E41" s="15">
        <v>8</v>
      </c>
      <c r="F41" s="15">
        <v>0.5</v>
      </c>
      <c r="G41" s="15">
        <v>12.73</v>
      </c>
      <c r="H41" s="16">
        <f>(2 * 'LINEST VARS'!A41) + (3 * 'LINEST VARS'!B41) + (5 * 'LINEST VARS'!F41) + 10</f>
        <v>370</v>
      </c>
      <c r="I41" s="16">
        <f t="shared" si="0"/>
        <v>332</v>
      </c>
      <c r="J41" s="16">
        <f t="shared" si="1"/>
        <v>4.45</v>
      </c>
      <c r="K41" s="16">
        <f t="shared" si="2"/>
        <v>3.9750000000000001</v>
      </c>
      <c r="L41" s="16">
        <f t="shared" si="3"/>
        <v>2.5599999999999996</v>
      </c>
      <c r="M41" s="16">
        <f t="shared" si="4"/>
        <v>1.0236500000000002</v>
      </c>
      <c r="N41" s="16">
        <f t="shared" si="5"/>
        <v>159.34</v>
      </c>
      <c r="O41" s="16">
        <f t="shared" si="6"/>
        <v>40.46</v>
      </c>
      <c r="P41" s="16">
        <f t="shared" si="7"/>
        <v>29.5</v>
      </c>
      <c r="Q41" s="16">
        <f t="shared" si="8"/>
        <v>180.19</v>
      </c>
      <c r="R41" s="16">
        <f t="shared" si="9"/>
        <v>128</v>
      </c>
      <c r="S41" s="16">
        <f t="shared" si="10"/>
        <v>149</v>
      </c>
      <c r="T41" s="23">
        <f t="shared" si="11"/>
        <v>84</v>
      </c>
    </row>
    <row r="42" spans="1:20" ht="15.75" customHeight="1" x14ac:dyDescent="0.25">
      <c r="A42" s="14">
        <v>40</v>
      </c>
      <c r="B42" s="15" t="s">
        <v>99</v>
      </c>
      <c r="C42" s="15">
        <v>8</v>
      </c>
      <c r="D42" s="15">
        <v>8</v>
      </c>
      <c r="E42" s="15">
        <v>4</v>
      </c>
      <c r="F42" s="15">
        <v>0</v>
      </c>
      <c r="G42" s="15">
        <v>12.73</v>
      </c>
      <c r="H42" s="16">
        <f>(2 * 'LINEST VARS'!A42) + (3 * 'LINEST VARS'!B42) + (5 * 'LINEST VARS'!F42) + 10</f>
        <v>370</v>
      </c>
      <c r="I42" s="16">
        <f t="shared" si="0"/>
        <v>332</v>
      </c>
      <c r="J42" s="16">
        <f t="shared" si="1"/>
        <v>4.5</v>
      </c>
      <c r="K42" s="16">
        <f t="shared" si="2"/>
        <v>4</v>
      </c>
      <c r="L42" s="16">
        <f t="shared" si="3"/>
        <v>2.84</v>
      </c>
      <c r="M42" s="16">
        <f t="shared" si="4"/>
        <v>0.94364999999999999</v>
      </c>
      <c r="N42" s="16">
        <f t="shared" si="5"/>
        <v>151.84</v>
      </c>
      <c r="O42" s="16">
        <f t="shared" si="6"/>
        <v>40.46</v>
      </c>
      <c r="P42" s="16">
        <f t="shared" si="7"/>
        <v>270</v>
      </c>
      <c r="Q42" s="16">
        <f t="shared" si="8"/>
        <v>164.19</v>
      </c>
      <c r="R42" s="16">
        <f t="shared" si="9"/>
        <v>136</v>
      </c>
      <c r="S42" s="16">
        <f t="shared" si="10"/>
        <v>150</v>
      </c>
      <c r="T42" s="23">
        <f t="shared" si="11"/>
        <v>88</v>
      </c>
    </row>
    <row r="43" spans="1:20" ht="15.75" customHeight="1" x14ac:dyDescent="0.25">
      <c r="A43" s="14">
        <v>41</v>
      </c>
      <c r="B43" s="15" t="s">
        <v>99</v>
      </c>
      <c r="C43" s="15">
        <v>8</v>
      </c>
      <c r="D43" s="15">
        <v>8</v>
      </c>
      <c r="E43" s="15">
        <v>4</v>
      </c>
      <c r="F43" s="15">
        <v>1</v>
      </c>
      <c r="G43" s="15">
        <v>12.73</v>
      </c>
      <c r="H43" s="16">
        <f>(2 * 'LINEST VARS'!A43) + (3 * 'LINEST VARS'!B43) + (5 * 'LINEST VARS'!F43) + 10</f>
        <v>370</v>
      </c>
      <c r="I43" s="16">
        <f t="shared" si="0"/>
        <v>332</v>
      </c>
      <c r="J43" s="16">
        <f t="shared" si="1"/>
        <v>4.4000000000000004</v>
      </c>
      <c r="K43" s="16">
        <f t="shared" si="2"/>
        <v>3.95</v>
      </c>
      <c r="L43" s="16">
        <f t="shared" si="3"/>
        <v>2.84</v>
      </c>
      <c r="M43" s="16">
        <f t="shared" si="4"/>
        <v>0.94364999999999999</v>
      </c>
      <c r="N43" s="16">
        <f t="shared" si="5"/>
        <v>166.84</v>
      </c>
      <c r="O43" s="16">
        <f t="shared" si="6"/>
        <v>40.46</v>
      </c>
      <c r="P43" s="16">
        <f t="shared" si="7"/>
        <v>268</v>
      </c>
      <c r="Q43" s="16">
        <f t="shared" si="8"/>
        <v>164.19</v>
      </c>
      <c r="R43" s="16">
        <f t="shared" si="9"/>
        <v>136</v>
      </c>
      <c r="S43" s="16">
        <f t="shared" si="10"/>
        <v>146</v>
      </c>
      <c r="T43" s="23">
        <f t="shared" si="11"/>
        <v>88</v>
      </c>
    </row>
    <row r="44" spans="1:20" ht="15.75" customHeight="1" x14ac:dyDescent="0.25">
      <c r="A44" s="14">
        <v>42</v>
      </c>
      <c r="B44" s="15" t="s">
        <v>99</v>
      </c>
      <c r="C44" s="15">
        <v>8</v>
      </c>
      <c r="D44" s="15">
        <v>8</v>
      </c>
      <c r="E44" s="15">
        <v>4</v>
      </c>
      <c r="F44" s="15">
        <v>0.5</v>
      </c>
      <c r="G44" s="15">
        <v>0</v>
      </c>
      <c r="H44" s="16">
        <f>(2 * 'LINEST VARS'!A44) + (3 * 'LINEST VARS'!B44) + (5 * 'LINEST VARS'!F44) + 10</f>
        <v>370</v>
      </c>
      <c r="I44" s="16">
        <f t="shared" si="0"/>
        <v>332</v>
      </c>
      <c r="J44" s="16">
        <f t="shared" si="1"/>
        <v>4.45</v>
      </c>
      <c r="K44" s="16">
        <f t="shared" si="2"/>
        <v>3.9750000000000001</v>
      </c>
      <c r="L44" s="16">
        <f t="shared" si="3"/>
        <v>2.84</v>
      </c>
      <c r="M44" s="16">
        <f t="shared" si="4"/>
        <v>0.88</v>
      </c>
      <c r="N44" s="16">
        <f t="shared" si="5"/>
        <v>57.5</v>
      </c>
      <c r="O44" s="16">
        <f t="shared" si="6"/>
        <v>15</v>
      </c>
      <c r="P44" s="16">
        <f t="shared" si="7"/>
        <v>269.5</v>
      </c>
      <c r="Q44" s="16">
        <f t="shared" si="8"/>
        <v>126</v>
      </c>
      <c r="R44" s="16">
        <f t="shared" si="9"/>
        <v>136</v>
      </c>
      <c r="S44" s="16">
        <f t="shared" si="10"/>
        <v>149</v>
      </c>
      <c r="T44" s="23">
        <f t="shared" si="11"/>
        <v>88</v>
      </c>
    </row>
    <row r="45" spans="1:20" ht="15.75" customHeight="1" x14ac:dyDescent="0.25">
      <c r="A45" s="14">
        <v>43</v>
      </c>
      <c r="B45" s="15" t="s">
        <v>99</v>
      </c>
      <c r="C45" s="15">
        <v>8</v>
      </c>
      <c r="D45" s="15">
        <v>8</v>
      </c>
      <c r="E45" s="15">
        <v>4</v>
      </c>
      <c r="F45" s="15">
        <v>0.5</v>
      </c>
      <c r="G45" s="15">
        <v>25.99</v>
      </c>
      <c r="H45" s="16">
        <f>(2 * 'LINEST VARS'!A45) + (3 * 'LINEST VARS'!B45) + (5 * 'LINEST VARS'!F45) + 10</f>
        <v>370</v>
      </c>
      <c r="I45" s="16">
        <f t="shared" si="0"/>
        <v>332</v>
      </c>
      <c r="J45" s="16">
        <f t="shared" si="1"/>
        <v>4.45</v>
      </c>
      <c r="K45" s="16">
        <f t="shared" si="2"/>
        <v>3.9750000000000001</v>
      </c>
      <c r="L45" s="16">
        <f t="shared" si="3"/>
        <v>2.84</v>
      </c>
      <c r="M45" s="16">
        <f t="shared" si="4"/>
        <v>1.0099499999999999</v>
      </c>
      <c r="N45" s="16">
        <f t="shared" si="5"/>
        <v>265.41999999999996</v>
      </c>
      <c r="O45" s="16">
        <f t="shared" si="6"/>
        <v>66.97999999999999</v>
      </c>
      <c r="P45" s="16">
        <f t="shared" si="7"/>
        <v>269.5</v>
      </c>
      <c r="Q45" s="16">
        <f t="shared" si="8"/>
        <v>203.97</v>
      </c>
      <c r="R45" s="16">
        <f t="shared" si="9"/>
        <v>136</v>
      </c>
      <c r="S45" s="16">
        <f t="shared" si="10"/>
        <v>149</v>
      </c>
      <c r="T45" s="23">
        <f t="shared" si="11"/>
        <v>88</v>
      </c>
    </row>
    <row r="46" spans="1:20" ht="16.5" customHeight="1" thickBot="1" x14ac:dyDescent="0.3">
      <c r="A46" s="18">
        <v>44</v>
      </c>
      <c r="B46" s="19" t="s">
        <v>98</v>
      </c>
      <c r="C46" s="20">
        <v>8</v>
      </c>
      <c r="D46" s="20">
        <v>8</v>
      </c>
      <c r="E46" s="20">
        <v>4</v>
      </c>
      <c r="F46" s="20">
        <v>0.5</v>
      </c>
      <c r="G46" s="20">
        <v>12.73</v>
      </c>
      <c r="H46" s="21">
        <f>(2 * 'LINEST VARS'!A46) + (3 * 'LINEST VARS'!B46) + (5 * 'LINEST VARS'!F46) + 10</f>
        <v>370</v>
      </c>
      <c r="I46" s="21">
        <f t="shared" si="0"/>
        <v>332</v>
      </c>
      <c r="J46" s="21">
        <f t="shared" si="1"/>
        <v>4.45</v>
      </c>
      <c r="K46" s="21">
        <f t="shared" si="2"/>
        <v>3.9750000000000001</v>
      </c>
      <c r="L46" s="21">
        <f t="shared" si="3"/>
        <v>2.84</v>
      </c>
      <c r="M46" s="21">
        <f t="shared" si="4"/>
        <v>0.94364999999999999</v>
      </c>
      <c r="N46" s="21">
        <f t="shared" si="5"/>
        <v>159.34</v>
      </c>
      <c r="O46" s="21">
        <f t="shared" si="6"/>
        <v>40.46</v>
      </c>
      <c r="P46" s="21">
        <f t="shared" si="7"/>
        <v>269.5</v>
      </c>
      <c r="Q46" s="21">
        <f t="shared" si="8"/>
        <v>164.19</v>
      </c>
      <c r="R46" s="21">
        <f t="shared" si="9"/>
        <v>136</v>
      </c>
      <c r="S46" s="21">
        <f t="shared" si="10"/>
        <v>149</v>
      </c>
      <c r="T46" s="24">
        <f t="shared" si="11"/>
        <v>88</v>
      </c>
    </row>
  </sheetData>
  <autoFilter ref="A2:T2" xr:uid="{00000000-0009-0000-0000-000002000000}">
    <sortState xmlns:xlrd2="http://schemas.microsoft.com/office/spreadsheetml/2017/richdata2" ref="A3:T46">
      <sortCondition ref="A2"/>
    </sortState>
  </autoFilter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U72"/>
  <sheetViews>
    <sheetView topLeftCell="A43" workbookViewId="0">
      <selection activeCell="A72" sqref="A72"/>
    </sheetView>
  </sheetViews>
  <sheetFormatPr defaultRowHeight="15" x14ac:dyDescent="0.25"/>
  <cols>
    <col min="1" max="1" width="13" bestFit="1" customWidth="1"/>
  </cols>
  <sheetData>
    <row r="1" spans="1:21" x14ac:dyDescent="0.25">
      <c r="A1" s="68" t="s">
        <v>100</v>
      </c>
      <c r="B1" s="69"/>
      <c r="C1" s="69"/>
      <c r="D1" s="69"/>
      <c r="E1" s="70"/>
      <c r="F1" s="68" t="s">
        <v>101</v>
      </c>
      <c r="G1" s="69"/>
      <c r="H1" s="69"/>
      <c r="I1" s="69"/>
      <c r="J1" s="70"/>
      <c r="K1" s="68" t="s">
        <v>102</v>
      </c>
      <c r="L1" s="69"/>
      <c r="M1" s="69"/>
      <c r="N1" s="69"/>
      <c r="O1" s="69"/>
      <c r="P1" s="69"/>
      <c r="Q1" s="69"/>
      <c r="R1" s="69"/>
      <c r="S1" s="69"/>
      <c r="T1" s="70"/>
    </row>
    <row r="2" spans="1:21" x14ac:dyDescent="0.25">
      <c r="A2" s="26" t="s">
        <v>103</v>
      </c>
      <c r="B2" s="26" t="s">
        <v>104</v>
      </c>
      <c r="C2" s="26" t="s">
        <v>105</v>
      </c>
      <c r="D2" s="26" t="s">
        <v>106</v>
      </c>
      <c r="E2" s="26" t="s">
        <v>107</v>
      </c>
      <c r="F2" s="26" t="s">
        <v>108</v>
      </c>
      <c r="G2" s="26" t="s">
        <v>109</v>
      </c>
      <c r="H2" s="26" t="s">
        <v>110</v>
      </c>
      <c r="I2" s="26" t="s">
        <v>111</v>
      </c>
      <c r="J2" s="26" t="s">
        <v>112</v>
      </c>
      <c r="K2" s="28" t="s">
        <v>113</v>
      </c>
      <c r="L2" s="26" t="s">
        <v>114</v>
      </c>
      <c r="M2" s="26" t="s">
        <v>115</v>
      </c>
      <c r="N2" s="26" t="s">
        <v>116</v>
      </c>
      <c r="O2" s="26" t="s">
        <v>117</v>
      </c>
      <c r="P2" s="26" t="s">
        <v>118</v>
      </c>
      <c r="Q2" s="26" t="s">
        <v>119</v>
      </c>
      <c r="R2" s="26" t="s">
        <v>120</v>
      </c>
      <c r="S2" s="26" t="s">
        <v>121</v>
      </c>
      <c r="T2" s="26" t="s">
        <v>122</v>
      </c>
      <c r="U2" s="29" t="s">
        <v>123</v>
      </c>
    </row>
    <row r="3" spans="1:21" x14ac:dyDescent="0.25">
      <c r="A3" s="26">
        <f>CCD!C3</f>
        <v>7.4</v>
      </c>
      <c r="B3" s="26">
        <f>CCD!D3</f>
        <v>7.4</v>
      </c>
      <c r="C3" s="26">
        <f>CCD!E3</f>
        <v>0</v>
      </c>
      <c r="D3" s="26">
        <f>CCD!F3</f>
        <v>0</v>
      </c>
      <c r="E3" s="26">
        <f>CCD!G3</f>
        <v>0</v>
      </c>
      <c r="F3" s="26">
        <f t="shared" ref="F3:F46" si="0">(A3)^2</f>
        <v>54.760000000000005</v>
      </c>
      <c r="G3" s="26">
        <f t="shared" ref="G3:G46" si="1">(B3)^2</f>
        <v>54.760000000000005</v>
      </c>
      <c r="H3" s="26">
        <f t="shared" ref="H3:H46" si="2">(C3)^2</f>
        <v>0</v>
      </c>
      <c r="I3" s="26">
        <f t="shared" ref="I3:I46" si="3">(D3)^2</f>
        <v>0</v>
      </c>
      <c r="J3" s="26">
        <f t="shared" ref="J3:J46" si="4">(E3)^2</f>
        <v>0</v>
      </c>
      <c r="K3" s="26">
        <f>$A3*B3</f>
        <v>54.760000000000005</v>
      </c>
      <c r="L3" s="26">
        <f>$A3*C3</f>
        <v>0</v>
      </c>
      <c r="M3" s="26">
        <f>$A3*D3</f>
        <v>0</v>
      </c>
      <c r="N3" s="26">
        <f>$A3*E3</f>
        <v>0</v>
      </c>
      <c r="O3" s="26">
        <f t="shared" ref="O3:O46" si="5">$B3*C3</f>
        <v>0</v>
      </c>
      <c r="P3" s="26">
        <f t="shared" ref="P3:P46" si="6">$B3*D3</f>
        <v>0</v>
      </c>
      <c r="Q3" s="26">
        <f t="shared" ref="Q3:Q46" si="7">$B3*E3</f>
        <v>0</v>
      </c>
      <c r="R3" s="26">
        <f t="shared" ref="R3:R46" si="8">$C3*D3</f>
        <v>0</v>
      </c>
      <c r="S3" s="26">
        <f t="shared" ref="S3:S46" si="9">$C3*E3</f>
        <v>0</v>
      </c>
      <c r="T3" s="26">
        <f t="shared" ref="T3:T46" si="10">$D3*E3</f>
        <v>0</v>
      </c>
      <c r="U3" s="29">
        <v>1</v>
      </c>
    </row>
    <row r="4" spans="1:21" x14ac:dyDescent="0.25">
      <c r="A4" s="26">
        <f>CCD!C4</f>
        <v>7.4</v>
      </c>
      <c r="B4" s="26">
        <f>CCD!D4</f>
        <v>7.4</v>
      </c>
      <c r="C4" s="26">
        <f>CCD!E4</f>
        <v>0</v>
      </c>
      <c r="D4" s="26">
        <f>CCD!F4</f>
        <v>0</v>
      </c>
      <c r="E4" s="26">
        <f>CCD!G4</f>
        <v>25.99</v>
      </c>
      <c r="F4" s="26">
        <f t="shared" si="0"/>
        <v>54.760000000000005</v>
      </c>
      <c r="G4" s="26">
        <f t="shared" si="1"/>
        <v>54.760000000000005</v>
      </c>
      <c r="H4" s="26">
        <f t="shared" si="2"/>
        <v>0</v>
      </c>
      <c r="I4" s="26">
        <f t="shared" si="3"/>
        <v>0</v>
      </c>
      <c r="J4" s="26">
        <f t="shared" si="4"/>
        <v>675.48009999999988</v>
      </c>
      <c r="K4" s="26">
        <f t="shared" ref="K4:K46" si="11">A4*B4</f>
        <v>54.760000000000005</v>
      </c>
      <c r="L4" s="26">
        <f t="shared" ref="L4:L46" si="12">$A4*C4</f>
        <v>0</v>
      </c>
      <c r="M4" s="26">
        <f t="shared" ref="M4:M46" si="13">$A4*D4</f>
        <v>0</v>
      </c>
      <c r="N4" s="26">
        <f t="shared" ref="N4:N46" si="14">$A4*E4</f>
        <v>192.32599999999999</v>
      </c>
      <c r="O4" s="26">
        <f t="shared" si="5"/>
        <v>0</v>
      </c>
      <c r="P4" s="26">
        <f t="shared" si="6"/>
        <v>0</v>
      </c>
      <c r="Q4" s="26">
        <f t="shared" si="7"/>
        <v>192.32599999999999</v>
      </c>
      <c r="R4" s="26">
        <f t="shared" si="8"/>
        <v>0</v>
      </c>
      <c r="S4" s="26">
        <f t="shared" si="9"/>
        <v>0</v>
      </c>
      <c r="T4" s="26">
        <f t="shared" si="10"/>
        <v>0</v>
      </c>
      <c r="U4" s="29">
        <v>2</v>
      </c>
    </row>
    <row r="5" spans="1:21" x14ac:dyDescent="0.25">
      <c r="A5" s="26">
        <f>CCD!C5</f>
        <v>7.4</v>
      </c>
      <c r="B5" s="26">
        <f>CCD!D5</f>
        <v>7.4</v>
      </c>
      <c r="C5" s="26">
        <f>CCD!E5</f>
        <v>0</v>
      </c>
      <c r="D5" s="26">
        <f>CCD!F5</f>
        <v>1</v>
      </c>
      <c r="E5" s="26">
        <f>CCD!G5</f>
        <v>0</v>
      </c>
      <c r="F5" s="26">
        <f t="shared" si="0"/>
        <v>54.760000000000005</v>
      </c>
      <c r="G5" s="26">
        <f t="shared" si="1"/>
        <v>54.760000000000005</v>
      </c>
      <c r="H5" s="26">
        <f t="shared" si="2"/>
        <v>0</v>
      </c>
      <c r="I5" s="26">
        <f t="shared" si="3"/>
        <v>1</v>
      </c>
      <c r="J5" s="26">
        <f t="shared" si="4"/>
        <v>0</v>
      </c>
      <c r="K5" s="26">
        <f t="shared" si="11"/>
        <v>54.760000000000005</v>
      </c>
      <c r="L5" s="26">
        <f t="shared" si="12"/>
        <v>0</v>
      </c>
      <c r="M5" s="26">
        <f t="shared" si="13"/>
        <v>7.4</v>
      </c>
      <c r="N5" s="26">
        <f t="shared" si="14"/>
        <v>0</v>
      </c>
      <c r="O5" s="26">
        <f t="shared" si="5"/>
        <v>0</v>
      </c>
      <c r="P5" s="26">
        <f t="shared" si="6"/>
        <v>7.4</v>
      </c>
      <c r="Q5" s="26">
        <f t="shared" si="7"/>
        <v>0</v>
      </c>
      <c r="R5" s="26">
        <f t="shared" si="8"/>
        <v>0</v>
      </c>
      <c r="S5" s="26">
        <f t="shared" si="9"/>
        <v>0</v>
      </c>
      <c r="T5" s="26">
        <f t="shared" si="10"/>
        <v>0</v>
      </c>
      <c r="U5" s="29">
        <v>3</v>
      </c>
    </row>
    <row r="6" spans="1:21" x14ac:dyDescent="0.25">
      <c r="A6" s="26">
        <f>CCD!C6</f>
        <v>7.4</v>
      </c>
      <c r="B6" s="26">
        <f>CCD!D6</f>
        <v>7.4</v>
      </c>
      <c r="C6" s="26">
        <f>CCD!E6</f>
        <v>0</v>
      </c>
      <c r="D6" s="26">
        <f>CCD!F6</f>
        <v>1</v>
      </c>
      <c r="E6" s="26">
        <f>CCD!G6</f>
        <v>25.99</v>
      </c>
      <c r="F6" s="26">
        <f t="shared" si="0"/>
        <v>54.760000000000005</v>
      </c>
      <c r="G6" s="26">
        <f t="shared" si="1"/>
        <v>54.760000000000005</v>
      </c>
      <c r="H6" s="26">
        <f t="shared" si="2"/>
        <v>0</v>
      </c>
      <c r="I6" s="26">
        <f t="shared" si="3"/>
        <v>1</v>
      </c>
      <c r="J6" s="26">
        <f t="shared" si="4"/>
        <v>675.48009999999988</v>
      </c>
      <c r="K6" s="26">
        <f t="shared" si="11"/>
        <v>54.760000000000005</v>
      </c>
      <c r="L6" s="26">
        <f t="shared" si="12"/>
        <v>0</v>
      </c>
      <c r="M6" s="26">
        <f t="shared" si="13"/>
        <v>7.4</v>
      </c>
      <c r="N6" s="26">
        <f t="shared" si="14"/>
        <v>192.32599999999999</v>
      </c>
      <c r="O6" s="26">
        <f t="shared" si="5"/>
        <v>0</v>
      </c>
      <c r="P6" s="26">
        <f t="shared" si="6"/>
        <v>7.4</v>
      </c>
      <c r="Q6" s="26">
        <f t="shared" si="7"/>
        <v>192.32599999999999</v>
      </c>
      <c r="R6" s="26">
        <f t="shared" si="8"/>
        <v>0</v>
      </c>
      <c r="S6" s="26">
        <f t="shared" si="9"/>
        <v>0</v>
      </c>
      <c r="T6" s="26">
        <f t="shared" si="10"/>
        <v>25.99</v>
      </c>
      <c r="U6" s="29">
        <v>4</v>
      </c>
    </row>
    <row r="7" spans="1:21" x14ac:dyDescent="0.25">
      <c r="A7" s="26">
        <f>CCD!C7</f>
        <v>7.4</v>
      </c>
      <c r="B7" s="26">
        <f>CCD!D7</f>
        <v>7.4</v>
      </c>
      <c r="C7" s="26">
        <f>CCD!E7</f>
        <v>8</v>
      </c>
      <c r="D7" s="26">
        <f>CCD!F7</f>
        <v>0</v>
      </c>
      <c r="E7" s="26">
        <f>CCD!G7</f>
        <v>0</v>
      </c>
      <c r="F7" s="26">
        <f t="shared" si="0"/>
        <v>54.760000000000005</v>
      </c>
      <c r="G7" s="26">
        <f t="shared" si="1"/>
        <v>54.760000000000005</v>
      </c>
      <c r="H7" s="26">
        <f t="shared" si="2"/>
        <v>64</v>
      </c>
      <c r="I7" s="26">
        <f t="shared" si="3"/>
        <v>0</v>
      </c>
      <c r="J7" s="26">
        <f t="shared" si="4"/>
        <v>0</v>
      </c>
      <c r="K7" s="26">
        <f t="shared" si="11"/>
        <v>54.760000000000005</v>
      </c>
      <c r="L7" s="26">
        <f t="shared" si="12"/>
        <v>59.2</v>
      </c>
      <c r="M7" s="26">
        <f t="shared" si="13"/>
        <v>0</v>
      </c>
      <c r="N7" s="26">
        <f t="shared" si="14"/>
        <v>0</v>
      </c>
      <c r="O7" s="26">
        <f t="shared" si="5"/>
        <v>59.2</v>
      </c>
      <c r="P7" s="26">
        <f t="shared" si="6"/>
        <v>0</v>
      </c>
      <c r="Q7" s="26">
        <f t="shared" si="7"/>
        <v>0</v>
      </c>
      <c r="R7" s="26">
        <f t="shared" si="8"/>
        <v>0</v>
      </c>
      <c r="S7" s="26">
        <f t="shared" si="9"/>
        <v>0</v>
      </c>
      <c r="T7" s="26">
        <f t="shared" si="10"/>
        <v>0</v>
      </c>
      <c r="U7" s="29">
        <v>5</v>
      </c>
    </row>
    <row r="8" spans="1:21" x14ac:dyDescent="0.25">
      <c r="A8" s="26">
        <f>CCD!C8</f>
        <v>7.4</v>
      </c>
      <c r="B8" s="26">
        <f>CCD!D8</f>
        <v>7.4</v>
      </c>
      <c r="C8" s="26">
        <f>CCD!E8</f>
        <v>8</v>
      </c>
      <c r="D8" s="26">
        <f>CCD!F8</f>
        <v>0</v>
      </c>
      <c r="E8" s="26">
        <f>CCD!G8</f>
        <v>25.99</v>
      </c>
      <c r="F8" s="26">
        <f t="shared" si="0"/>
        <v>54.760000000000005</v>
      </c>
      <c r="G8" s="26">
        <f t="shared" si="1"/>
        <v>54.760000000000005</v>
      </c>
      <c r="H8" s="26">
        <f t="shared" si="2"/>
        <v>64</v>
      </c>
      <c r="I8" s="26">
        <f t="shared" si="3"/>
        <v>0</v>
      </c>
      <c r="J8" s="26">
        <f t="shared" si="4"/>
        <v>675.48009999999988</v>
      </c>
      <c r="K8" s="26">
        <f t="shared" si="11"/>
        <v>54.760000000000005</v>
      </c>
      <c r="L8" s="26">
        <f t="shared" si="12"/>
        <v>59.2</v>
      </c>
      <c r="M8" s="26">
        <f t="shared" si="13"/>
        <v>0</v>
      </c>
      <c r="N8" s="26">
        <f t="shared" si="14"/>
        <v>192.32599999999999</v>
      </c>
      <c r="O8" s="26">
        <f t="shared" si="5"/>
        <v>59.2</v>
      </c>
      <c r="P8" s="26">
        <f t="shared" si="6"/>
        <v>0</v>
      </c>
      <c r="Q8" s="26">
        <f t="shared" si="7"/>
        <v>192.32599999999999</v>
      </c>
      <c r="R8" s="26">
        <f t="shared" si="8"/>
        <v>0</v>
      </c>
      <c r="S8" s="26">
        <f t="shared" si="9"/>
        <v>207.92</v>
      </c>
      <c r="T8" s="26">
        <f t="shared" si="10"/>
        <v>0</v>
      </c>
      <c r="U8" s="29">
        <v>6</v>
      </c>
    </row>
    <row r="9" spans="1:21" x14ac:dyDescent="0.25">
      <c r="A9" s="26">
        <f>CCD!C9</f>
        <v>7.4</v>
      </c>
      <c r="B9" s="26">
        <f>CCD!D9</f>
        <v>7.4</v>
      </c>
      <c r="C9" s="26">
        <f>CCD!E9</f>
        <v>8</v>
      </c>
      <c r="D9" s="26">
        <f>CCD!F9</f>
        <v>1</v>
      </c>
      <c r="E9" s="26">
        <f>CCD!G9</f>
        <v>0</v>
      </c>
      <c r="F9" s="26">
        <f t="shared" si="0"/>
        <v>54.760000000000005</v>
      </c>
      <c r="G9" s="26">
        <f t="shared" si="1"/>
        <v>54.760000000000005</v>
      </c>
      <c r="H9" s="26">
        <f t="shared" si="2"/>
        <v>64</v>
      </c>
      <c r="I9" s="26">
        <f t="shared" si="3"/>
        <v>1</v>
      </c>
      <c r="J9" s="26">
        <f t="shared" si="4"/>
        <v>0</v>
      </c>
      <c r="K9" s="26">
        <f t="shared" si="11"/>
        <v>54.760000000000005</v>
      </c>
      <c r="L9" s="26">
        <f t="shared" si="12"/>
        <v>59.2</v>
      </c>
      <c r="M9" s="26">
        <f t="shared" si="13"/>
        <v>7.4</v>
      </c>
      <c r="N9" s="26">
        <f t="shared" si="14"/>
        <v>0</v>
      </c>
      <c r="O9" s="26">
        <f t="shared" si="5"/>
        <v>59.2</v>
      </c>
      <c r="P9" s="26">
        <f t="shared" si="6"/>
        <v>7.4</v>
      </c>
      <c r="Q9" s="26">
        <f t="shared" si="7"/>
        <v>0</v>
      </c>
      <c r="R9" s="26">
        <f t="shared" si="8"/>
        <v>8</v>
      </c>
      <c r="S9" s="26">
        <f t="shared" si="9"/>
        <v>0</v>
      </c>
      <c r="T9" s="26">
        <f t="shared" si="10"/>
        <v>0</v>
      </c>
      <c r="U9" s="29">
        <v>7</v>
      </c>
    </row>
    <row r="10" spans="1:21" x14ac:dyDescent="0.25">
      <c r="A10" s="26">
        <f>CCD!C10</f>
        <v>7.4</v>
      </c>
      <c r="B10" s="26">
        <f>CCD!D10</f>
        <v>7.4</v>
      </c>
      <c r="C10" s="26">
        <f>CCD!E10</f>
        <v>8</v>
      </c>
      <c r="D10" s="26">
        <f>CCD!F10</f>
        <v>1</v>
      </c>
      <c r="E10" s="26">
        <f>CCD!G10</f>
        <v>25.99</v>
      </c>
      <c r="F10" s="26">
        <f t="shared" si="0"/>
        <v>54.760000000000005</v>
      </c>
      <c r="G10" s="26">
        <f t="shared" si="1"/>
        <v>54.760000000000005</v>
      </c>
      <c r="H10" s="26">
        <f t="shared" si="2"/>
        <v>64</v>
      </c>
      <c r="I10" s="26">
        <f t="shared" si="3"/>
        <v>1</v>
      </c>
      <c r="J10" s="26">
        <f t="shared" si="4"/>
        <v>675.48009999999988</v>
      </c>
      <c r="K10" s="26">
        <f t="shared" si="11"/>
        <v>54.760000000000005</v>
      </c>
      <c r="L10" s="26">
        <f t="shared" si="12"/>
        <v>59.2</v>
      </c>
      <c r="M10" s="26">
        <f t="shared" si="13"/>
        <v>7.4</v>
      </c>
      <c r="N10" s="26">
        <f t="shared" si="14"/>
        <v>192.32599999999999</v>
      </c>
      <c r="O10" s="26">
        <f t="shared" si="5"/>
        <v>59.2</v>
      </c>
      <c r="P10" s="26">
        <f t="shared" si="6"/>
        <v>7.4</v>
      </c>
      <c r="Q10" s="26">
        <f t="shared" si="7"/>
        <v>192.32599999999999</v>
      </c>
      <c r="R10" s="26">
        <f t="shared" si="8"/>
        <v>8</v>
      </c>
      <c r="S10" s="26">
        <f t="shared" si="9"/>
        <v>207.92</v>
      </c>
      <c r="T10" s="26">
        <f t="shared" si="10"/>
        <v>25.99</v>
      </c>
      <c r="U10" s="29">
        <v>8</v>
      </c>
    </row>
    <row r="11" spans="1:21" x14ac:dyDescent="0.25">
      <c r="A11" s="26">
        <f>CCD!C11</f>
        <v>7.4</v>
      </c>
      <c r="B11" s="26">
        <f>CCD!D11</f>
        <v>8.6</v>
      </c>
      <c r="C11" s="26">
        <f>CCD!E11</f>
        <v>0</v>
      </c>
      <c r="D11" s="26">
        <f>CCD!F11</f>
        <v>0</v>
      </c>
      <c r="E11" s="26">
        <f>CCD!G11</f>
        <v>0</v>
      </c>
      <c r="F11" s="26">
        <f t="shared" si="0"/>
        <v>54.760000000000005</v>
      </c>
      <c r="G11" s="26">
        <f t="shared" si="1"/>
        <v>73.959999999999994</v>
      </c>
      <c r="H11" s="26">
        <f t="shared" si="2"/>
        <v>0</v>
      </c>
      <c r="I11" s="26">
        <f t="shared" si="3"/>
        <v>0</v>
      </c>
      <c r="J11" s="26">
        <f t="shared" si="4"/>
        <v>0</v>
      </c>
      <c r="K11" s="26">
        <f t="shared" si="11"/>
        <v>63.64</v>
      </c>
      <c r="L11" s="26">
        <f t="shared" si="12"/>
        <v>0</v>
      </c>
      <c r="M11" s="26">
        <f t="shared" si="13"/>
        <v>0</v>
      </c>
      <c r="N11" s="26">
        <f t="shared" si="14"/>
        <v>0</v>
      </c>
      <c r="O11" s="26">
        <f t="shared" si="5"/>
        <v>0</v>
      </c>
      <c r="P11" s="26">
        <f t="shared" si="6"/>
        <v>0</v>
      </c>
      <c r="Q11" s="26">
        <f t="shared" si="7"/>
        <v>0</v>
      </c>
      <c r="R11" s="26">
        <f t="shared" si="8"/>
        <v>0</v>
      </c>
      <c r="S11" s="26">
        <f t="shared" si="9"/>
        <v>0</v>
      </c>
      <c r="T11" s="26">
        <f t="shared" si="10"/>
        <v>0</v>
      </c>
      <c r="U11" s="29">
        <v>9</v>
      </c>
    </row>
    <row r="12" spans="1:21" x14ac:dyDescent="0.25">
      <c r="A12" s="26">
        <f>CCD!C12</f>
        <v>7.4</v>
      </c>
      <c r="B12" s="26">
        <f>CCD!D12</f>
        <v>8.6</v>
      </c>
      <c r="C12" s="26">
        <f>CCD!E12</f>
        <v>0</v>
      </c>
      <c r="D12" s="26">
        <f>CCD!F12</f>
        <v>0</v>
      </c>
      <c r="E12" s="26">
        <f>CCD!G12</f>
        <v>25.99</v>
      </c>
      <c r="F12" s="26">
        <f t="shared" si="0"/>
        <v>54.760000000000005</v>
      </c>
      <c r="G12" s="26">
        <f t="shared" si="1"/>
        <v>73.959999999999994</v>
      </c>
      <c r="H12" s="26">
        <f t="shared" si="2"/>
        <v>0</v>
      </c>
      <c r="I12" s="26">
        <f t="shared" si="3"/>
        <v>0</v>
      </c>
      <c r="J12" s="26">
        <f t="shared" si="4"/>
        <v>675.48009999999988</v>
      </c>
      <c r="K12" s="26">
        <f t="shared" si="11"/>
        <v>63.64</v>
      </c>
      <c r="L12" s="26">
        <f t="shared" si="12"/>
        <v>0</v>
      </c>
      <c r="M12" s="26">
        <f t="shared" si="13"/>
        <v>0</v>
      </c>
      <c r="N12" s="26">
        <f t="shared" si="14"/>
        <v>192.32599999999999</v>
      </c>
      <c r="O12" s="26">
        <f t="shared" si="5"/>
        <v>0</v>
      </c>
      <c r="P12" s="26">
        <f t="shared" si="6"/>
        <v>0</v>
      </c>
      <c r="Q12" s="26">
        <f t="shared" si="7"/>
        <v>223.51399999999998</v>
      </c>
      <c r="R12" s="26">
        <f t="shared" si="8"/>
        <v>0</v>
      </c>
      <c r="S12" s="26">
        <f t="shared" si="9"/>
        <v>0</v>
      </c>
      <c r="T12" s="26">
        <f t="shared" si="10"/>
        <v>0</v>
      </c>
      <c r="U12" s="29">
        <v>10</v>
      </c>
    </row>
    <row r="13" spans="1:21" x14ac:dyDescent="0.25">
      <c r="A13" s="26">
        <f>CCD!C13</f>
        <v>7.4</v>
      </c>
      <c r="B13" s="26">
        <f>CCD!D13</f>
        <v>8.6</v>
      </c>
      <c r="C13" s="26">
        <f>CCD!E13</f>
        <v>0</v>
      </c>
      <c r="D13" s="26">
        <f>CCD!F13</f>
        <v>1</v>
      </c>
      <c r="E13" s="26">
        <f>CCD!G13</f>
        <v>0</v>
      </c>
      <c r="F13" s="26">
        <f t="shared" si="0"/>
        <v>54.760000000000005</v>
      </c>
      <c r="G13" s="26">
        <f t="shared" si="1"/>
        <v>73.959999999999994</v>
      </c>
      <c r="H13" s="26">
        <f t="shared" si="2"/>
        <v>0</v>
      </c>
      <c r="I13" s="26">
        <f t="shared" si="3"/>
        <v>1</v>
      </c>
      <c r="J13" s="26">
        <f t="shared" si="4"/>
        <v>0</v>
      </c>
      <c r="K13" s="26">
        <f t="shared" si="11"/>
        <v>63.64</v>
      </c>
      <c r="L13" s="26">
        <f t="shared" si="12"/>
        <v>0</v>
      </c>
      <c r="M13" s="26">
        <f t="shared" si="13"/>
        <v>7.4</v>
      </c>
      <c r="N13" s="26">
        <f t="shared" si="14"/>
        <v>0</v>
      </c>
      <c r="O13" s="26">
        <f t="shared" si="5"/>
        <v>0</v>
      </c>
      <c r="P13" s="26">
        <f t="shared" si="6"/>
        <v>8.6</v>
      </c>
      <c r="Q13" s="26">
        <f t="shared" si="7"/>
        <v>0</v>
      </c>
      <c r="R13" s="26">
        <f t="shared" si="8"/>
        <v>0</v>
      </c>
      <c r="S13" s="26">
        <f t="shared" si="9"/>
        <v>0</v>
      </c>
      <c r="T13" s="26">
        <f t="shared" si="10"/>
        <v>0</v>
      </c>
      <c r="U13" s="29">
        <v>11</v>
      </c>
    </row>
    <row r="14" spans="1:21" x14ac:dyDescent="0.25">
      <c r="A14" s="26">
        <f>CCD!C14</f>
        <v>7.4</v>
      </c>
      <c r="B14" s="26">
        <f>CCD!D14</f>
        <v>8.6</v>
      </c>
      <c r="C14" s="26">
        <f>CCD!E14</f>
        <v>0</v>
      </c>
      <c r="D14" s="26">
        <f>CCD!F14</f>
        <v>1</v>
      </c>
      <c r="E14" s="26">
        <f>CCD!G14</f>
        <v>25.99</v>
      </c>
      <c r="F14" s="26">
        <f t="shared" si="0"/>
        <v>54.760000000000005</v>
      </c>
      <c r="G14" s="26">
        <f t="shared" si="1"/>
        <v>73.959999999999994</v>
      </c>
      <c r="H14" s="26">
        <f t="shared" si="2"/>
        <v>0</v>
      </c>
      <c r="I14" s="26">
        <f t="shared" si="3"/>
        <v>1</v>
      </c>
      <c r="J14" s="26">
        <f t="shared" si="4"/>
        <v>675.48009999999988</v>
      </c>
      <c r="K14" s="26">
        <f t="shared" si="11"/>
        <v>63.64</v>
      </c>
      <c r="L14" s="26">
        <f t="shared" si="12"/>
        <v>0</v>
      </c>
      <c r="M14" s="26">
        <f t="shared" si="13"/>
        <v>7.4</v>
      </c>
      <c r="N14" s="26">
        <f t="shared" si="14"/>
        <v>192.32599999999999</v>
      </c>
      <c r="O14" s="26">
        <f t="shared" si="5"/>
        <v>0</v>
      </c>
      <c r="P14" s="26">
        <f t="shared" si="6"/>
        <v>8.6</v>
      </c>
      <c r="Q14" s="26">
        <f t="shared" si="7"/>
        <v>223.51399999999998</v>
      </c>
      <c r="R14" s="26">
        <f t="shared" si="8"/>
        <v>0</v>
      </c>
      <c r="S14" s="26">
        <f t="shared" si="9"/>
        <v>0</v>
      </c>
      <c r="T14" s="26">
        <f t="shared" si="10"/>
        <v>25.99</v>
      </c>
      <c r="U14" s="29">
        <v>12</v>
      </c>
    </row>
    <row r="15" spans="1:21" x14ac:dyDescent="0.25">
      <c r="A15" s="26">
        <f>CCD!C15</f>
        <v>7.4</v>
      </c>
      <c r="B15" s="26">
        <f>CCD!D15</f>
        <v>8.6</v>
      </c>
      <c r="C15" s="26">
        <f>CCD!E15</f>
        <v>8</v>
      </c>
      <c r="D15" s="26">
        <f>CCD!F15</f>
        <v>0</v>
      </c>
      <c r="E15" s="26">
        <f>CCD!G15</f>
        <v>0</v>
      </c>
      <c r="F15" s="26">
        <f t="shared" si="0"/>
        <v>54.760000000000005</v>
      </c>
      <c r="G15" s="26">
        <f t="shared" si="1"/>
        <v>73.959999999999994</v>
      </c>
      <c r="H15" s="26">
        <f t="shared" si="2"/>
        <v>64</v>
      </c>
      <c r="I15" s="26">
        <f t="shared" si="3"/>
        <v>0</v>
      </c>
      <c r="J15" s="26">
        <f t="shared" si="4"/>
        <v>0</v>
      </c>
      <c r="K15" s="26">
        <f t="shared" si="11"/>
        <v>63.64</v>
      </c>
      <c r="L15" s="26">
        <f t="shared" si="12"/>
        <v>59.2</v>
      </c>
      <c r="M15" s="26">
        <f t="shared" si="13"/>
        <v>0</v>
      </c>
      <c r="N15" s="26">
        <f t="shared" si="14"/>
        <v>0</v>
      </c>
      <c r="O15" s="26">
        <f t="shared" si="5"/>
        <v>68.8</v>
      </c>
      <c r="P15" s="26">
        <f t="shared" si="6"/>
        <v>0</v>
      </c>
      <c r="Q15" s="26">
        <f t="shared" si="7"/>
        <v>0</v>
      </c>
      <c r="R15" s="26">
        <f t="shared" si="8"/>
        <v>0</v>
      </c>
      <c r="S15" s="26">
        <f t="shared" si="9"/>
        <v>0</v>
      </c>
      <c r="T15" s="26">
        <f t="shared" si="10"/>
        <v>0</v>
      </c>
      <c r="U15" s="29">
        <v>13</v>
      </c>
    </row>
    <row r="16" spans="1:21" x14ac:dyDescent="0.25">
      <c r="A16" s="26">
        <f>CCD!C16</f>
        <v>7.4</v>
      </c>
      <c r="B16" s="26">
        <f>CCD!D16</f>
        <v>8.6</v>
      </c>
      <c r="C16" s="26">
        <f>CCD!E16</f>
        <v>8</v>
      </c>
      <c r="D16" s="26">
        <f>CCD!F16</f>
        <v>0</v>
      </c>
      <c r="E16" s="26">
        <f>CCD!G16</f>
        <v>25.99</v>
      </c>
      <c r="F16" s="26">
        <f t="shared" si="0"/>
        <v>54.760000000000005</v>
      </c>
      <c r="G16" s="26">
        <f t="shared" si="1"/>
        <v>73.959999999999994</v>
      </c>
      <c r="H16" s="26">
        <f t="shared" si="2"/>
        <v>64</v>
      </c>
      <c r="I16" s="26">
        <f t="shared" si="3"/>
        <v>0</v>
      </c>
      <c r="J16" s="26">
        <f t="shared" si="4"/>
        <v>675.48009999999988</v>
      </c>
      <c r="K16" s="26">
        <f t="shared" si="11"/>
        <v>63.64</v>
      </c>
      <c r="L16" s="26">
        <f t="shared" si="12"/>
        <v>59.2</v>
      </c>
      <c r="M16" s="26">
        <f t="shared" si="13"/>
        <v>0</v>
      </c>
      <c r="N16" s="26">
        <f t="shared" si="14"/>
        <v>192.32599999999999</v>
      </c>
      <c r="O16" s="26">
        <f t="shared" si="5"/>
        <v>68.8</v>
      </c>
      <c r="P16" s="26">
        <f t="shared" si="6"/>
        <v>0</v>
      </c>
      <c r="Q16" s="26">
        <f t="shared" si="7"/>
        <v>223.51399999999998</v>
      </c>
      <c r="R16" s="26">
        <f t="shared" si="8"/>
        <v>0</v>
      </c>
      <c r="S16" s="26">
        <f t="shared" si="9"/>
        <v>207.92</v>
      </c>
      <c r="T16" s="26">
        <f t="shared" si="10"/>
        <v>0</v>
      </c>
      <c r="U16" s="29">
        <v>14</v>
      </c>
    </row>
    <row r="17" spans="1:21" x14ac:dyDescent="0.25">
      <c r="A17" s="26">
        <f>CCD!C17</f>
        <v>7.4</v>
      </c>
      <c r="B17" s="26">
        <f>CCD!D17</f>
        <v>8.6</v>
      </c>
      <c r="C17" s="26">
        <f>CCD!E17</f>
        <v>8</v>
      </c>
      <c r="D17" s="26">
        <f>CCD!F17</f>
        <v>1</v>
      </c>
      <c r="E17" s="26">
        <f>CCD!G17</f>
        <v>0</v>
      </c>
      <c r="F17" s="26">
        <f t="shared" si="0"/>
        <v>54.760000000000005</v>
      </c>
      <c r="G17" s="26">
        <f t="shared" si="1"/>
        <v>73.959999999999994</v>
      </c>
      <c r="H17" s="26">
        <f t="shared" si="2"/>
        <v>64</v>
      </c>
      <c r="I17" s="26">
        <f t="shared" si="3"/>
        <v>1</v>
      </c>
      <c r="J17" s="26">
        <f t="shared" si="4"/>
        <v>0</v>
      </c>
      <c r="K17" s="26">
        <f t="shared" si="11"/>
        <v>63.64</v>
      </c>
      <c r="L17" s="26">
        <f t="shared" si="12"/>
        <v>59.2</v>
      </c>
      <c r="M17" s="26">
        <f t="shared" si="13"/>
        <v>7.4</v>
      </c>
      <c r="N17" s="26">
        <f t="shared" si="14"/>
        <v>0</v>
      </c>
      <c r="O17" s="26">
        <f t="shared" si="5"/>
        <v>68.8</v>
      </c>
      <c r="P17" s="26">
        <f t="shared" si="6"/>
        <v>8.6</v>
      </c>
      <c r="Q17" s="26">
        <f t="shared" si="7"/>
        <v>0</v>
      </c>
      <c r="R17" s="26">
        <f t="shared" si="8"/>
        <v>8</v>
      </c>
      <c r="S17" s="26">
        <f t="shared" si="9"/>
        <v>0</v>
      </c>
      <c r="T17" s="26">
        <f t="shared" si="10"/>
        <v>0</v>
      </c>
      <c r="U17" s="29">
        <v>15</v>
      </c>
    </row>
    <row r="18" spans="1:21" x14ac:dyDescent="0.25">
      <c r="A18" s="26">
        <f>CCD!C18</f>
        <v>7.4</v>
      </c>
      <c r="B18" s="26">
        <f>CCD!D18</f>
        <v>8.6</v>
      </c>
      <c r="C18" s="26">
        <f>CCD!E18</f>
        <v>8</v>
      </c>
      <c r="D18" s="26">
        <f>CCD!F18</f>
        <v>1</v>
      </c>
      <c r="E18" s="26">
        <f>CCD!G18</f>
        <v>25.99</v>
      </c>
      <c r="F18" s="26">
        <f t="shared" si="0"/>
        <v>54.760000000000005</v>
      </c>
      <c r="G18" s="26">
        <f t="shared" si="1"/>
        <v>73.959999999999994</v>
      </c>
      <c r="H18" s="26">
        <f t="shared" si="2"/>
        <v>64</v>
      </c>
      <c r="I18" s="26">
        <f t="shared" si="3"/>
        <v>1</v>
      </c>
      <c r="J18" s="26">
        <f t="shared" si="4"/>
        <v>675.48009999999988</v>
      </c>
      <c r="K18" s="26">
        <f t="shared" si="11"/>
        <v>63.64</v>
      </c>
      <c r="L18" s="26">
        <f t="shared" si="12"/>
        <v>59.2</v>
      </c>
      <c r="M18" s="26">
        <f t="shared" si="13"/>
        <v>7.4</v>
      </c>
      <c r="N18" s="26">
        <f t="shared" si="14"/>
        <v>192.32599999999999</v>
      </c>
      <c r="O18" s="26">
        <f t="shared" si="5"/>
        <v>68.8</v>
      </c>
      <c r="P18" s="26">
        <f t="shared" si="6"/>
        <v>8.6</v>
      </c>
      <c r="Q18" s="26">
        <f t="shared" si="7"/>
        <v>223.51399999999998</v>
      </c>
      <c r="R18" s="26">
        <f t="shared" si="8"/>
        <v>8</v>
      </c>
      <c r="S18" s="26">
        <f t="shared" si="9"/>
        <v>207.92</v>
      </c>
      <c r="T18" s="26">
        <f t="shared" si="10"/>
        <v>25.99</v>
      </c>
      <c r="U18" s="29">
        <v>16</v>
      </c>
    </row>
    <row r="19" spans="1:21" x14ac:dyDescent="0.25">
      <c r="A19" s="26">
        <f>CCD!C19</f>
        <v>8.6</v>
      </c>
      <c r="B19" s="26">
        <f>CCD!D19</f>
        <v>7.4</v>
      </c>
      <c r="C19" s="26">
        <f>CCD!E19</f>
        <v>0</v>
      </c>
      <c r="D19" s="26">
        <f>CCD!F19</f>
        <v>0</v>
      </c>
      <c r="E19" s="26">
        <f>CCD!G19</f>
        <v>0</v>
      </c>
      <c r="F19" s="26">
        <f t="shared" si="0"/>
        <v>73.959999999999994</v>
      </c>
      <c r="G19" s="26">
        <f t="shared" si="1"/>
        <v>54.760000000000005</v>
      </c>
      <c r="H19" s="26">
        <f t="shared" si="2"/>
        <v>0</v>
      </c>
      <c r="I19" s="26">
        <f t="shared" si="3"/>
        <v>0</v>
      </c>
      <c r="J19" s="26">
        <f t="shared" si="4"/>
        <v>0</v>
      </c>
      <c r="K19" s="26">
        <f t="shared" si="11"/>
        <v>63.64</v>
      </c>
      <c r="L19" s="26">
        <f t="shared" si="12"/>
        <v>0</v>
      </c>
      <c r="M19" s="26">
        <f t="shared" si="13"/>
        <v>0</v>
      </c>
      <c r="N19" s="26">
        <f t="shared" si="14"/>
        <v>0</v>
      </c>
      <c r="O19" s="26">
        <f t="shared" si="5"/>
        <v>0</v>
      </c>
      <c r="P19" s="26">
        <f t="shared" si="6"/>
        <v>0</v>
      </c>
      <c r="Q19" s="26">
        <f t="shared" si="7"/>
        <v>0</v>
      </c>
      <c r="R19" s="26">
        <f t="shared" si="8"/>
        <v>0</v>
      </c>
      <c r="S19" s="26">
        <f t="shared" si="9"/>
        <v>0</v>
      </c>
      <c r="T19" s="26">
        <f t="shared" si="10"/>
        <v>0</v>
      </c>
      <c r="U19" s="29">
        <v>17</v>
      </c>
    </row>
    <row r="20" spans="1:21" x14ac:dyDescent="0.25">
      <c r="A20" s="26">
        <f>CCD!C20</f>
        <v>8.6</v>
      </c>
      <c r="B20" s="26">
        <f>CCD!D20</f>
        <v>7.4</v>
      </c>
      <c r="C20" s="26">
        <f>CCD!E20</f>
        <v>0</v>
      </c>
      <c r="D20" s="26">
        <f>CCD!F20</f>
        <v>0</v>
      </c>
      <c r="E20" s="26">
        <f>CCD!G20</f>
        <v>25.99</v>
      </c>
      <c r="F20" s="26">
        <f t="shared" si="0"/>
        <v>73.959999999999994</v>
      </c>
      <c r="G20" s="26">
        <f t="shared" si="1"/>
        <v>54.760000000000005</v>
      </c>
      <c r="H20" s="26">
        <f t="shared" si="2"/>
        <v>0</v>
      </c>
      <c r="I20" s="26">
        <f t="shared" si="3"/>
        <v>0</v>
      </c>
      <c r="J20" s="26">
        <f t="shared" si="4"/>
        <v>675.48009999999988</v>
      </c>
      <c r="K20" s="26">
        <f t="shared" si="11"/>
        <v>63.64</v>
      </c>
      <c r="L20" s="26">
        <f t="shared" si="12"/>
        <v>0</v>
      </c>
      <c r="M20" s="26">
        <f t="shared" si="13"/>
        <v>0</v>
      </c>
      <c r="N20" s="26">
        <f t="shared" si="14"/>
        <v>223.51399999999998</v>
      </c>
      <c r="O20" s="26">
        <f t="shared" si="5"/>
        <v>0</v>
      </c>
      <c r="P20" s="26">
        <f t="shared" si="6"/>
        <v>0</v>
      </c>
      <c r="Q20" s="26">
        <f t="shared" si="7"/>
        <v>192.32599999999999</v>
      </c>
      <c r="R20" s="26">
        <f t="shared" si="8"/>
        <v>0</v>
      </c>
      <c r="S20" s="26">
        <f t="shared" si="9"/>
        <v>0</v>
      </c>
      <c r="T20" s="26">
        <f t="shared" si="10"/>
        <v>0</v>
      </c>
      <c r="U20" s="29">
        <v>18</v>
      </c>
    </row>
    <row r="21" spans="1:21" x14ac:dyDescent="0.25">
      <c r="A21" s="26">
        <f>CCD!C21</f>
        <v>8.6</v>
      </c>
      <c r="B21" s="26">
        <f>CCD!D21</f>
        <v>7.4</v>
      </c>
      <c r="C21" s="26">
        <f>CCD!E21</f>
        <v>0</v>
      </c>
      <c r="D21" s="26">
        <f>CCD!F21</f>
        <v>1</v>
      </c>
      <c r="E21" s="26">
        <f>CCD!G21</f>
        <v>0</v>
      </c>
      <c r="F21" s="26">
        <f t="shared" si="0"/>
        <v>73.959999999999994</v>
      </c>
      <c r="G21" s="26">
        <f t="shared" si="1"/>
        <v>54.760000000000005</v>
      </c>
      <c r="H21" s="26">
        <f t="shared" si="2"/>
        <v>0</v>
      </c>
      <c r="I21" s="26">
        <f t="shared" si="3"/>
        <v>1</v>
      </c>
      <c r="J21" s="26">
        <f t="shared" si="4"/>
        <v>0</v>
      </c>
      <c r="K21" s="26">
        <f t="shared" si="11"/>
        <v>63.64</v>
      </c>
      <c r="L21" s="26">
        <f t="shared" si="12"/>
        <v>0</v>
      </c>
      <c r="M21" s="26">
        <f t="shared" si="13"/>
        <v>8.6</v>
      </c>
      <c r="N21" s="26">
        <f t="shared" si="14"/>
        <v>0</v>
      </c>
      <c r="O21" s="26">
        <f t="shared" si="5"/>
        <v>0</v>
      </c>
      <c r="P21" s="26">
        <f t="shared" si="6"/>
        <v>7.4</v>
      </c>
      <c r="Q21" s="26">
        <f t="shared" si="7"/>
        <v>0</v>
      </c>
      <c r="R21" s="26">
        <f t="shared" si="8"/>
        <v>0</v>
      </c>
      <c r="S21" s="26">
        <f t="shared" si="9"/>
        <v>0</v>
      </c>
      <c r="T21" s="26">
        <f t="shared" si="10"/>
        <v>0</v>
      </c>
      <c r="U21" s="29">
        <v>19</v>
      </c>
    </row>
    <row r="22" spans="1:21" x14ac:dyDescent="0.25">
      <c r="A22" s="26">
        <f>CCD!C22</f>
        <v>8.6</v>
      </c>
      <c r="B22" s="26">
        <f>CCD!D22</f>
        <v>7.4</v>
      </c>
      <c r="C22" s="26">
        <f>CCD!E22</f>
        <v>0</v>
      </c>
      <c r="D22" s="26">
        <f>CCD!F22</f>
        <v>1</v>
      </c>
      <c r="E22" s="26">
        <f>CCD!G22</f>
        <v>25.99</v>
      </c>
      <c r="F22" s="26">
        <f t="shared" si="0"/>
        <v>73.959999999999994</v>
      </c>
      <c r="G22" s="26">
        <f t="shared" si="1"/>
        <v>54.760000000000005</v>
      </c>
      <c r="H22" s="26">
        <f t="shared" si="2"/>
        <v>0</v>
      </c>
      <c r="I22" s="26">
        <f t="shared" si="3"/>
        <v>1</v>
      </c>
      <c r="J22" s="26">
        <f t="shared" si="4"/>
        <v>675.48009999999988</v>
      </c>
      <c r="K22" s="26">
        <f t="shared" si="11"/>
        <v>63.64</v>
      </c>
      <c r="L22" s="26">
        <f t="shared" si="12"/>
        <v>0</v>
      </c>
      <c r="M22" s="26">
        <f t="shared" si="13"/>
        <v>8.6</v>
      </c>
      <c r="N22" s="26">
        <f t="shared" si="14"/>
        <v>223.51399999999998</v>
      </c>
      <c r="O22" s="26">
        <f t="shared" si="5"/>
        <v>0</v>
      </c>
      <c r="P22" s="26">
        <f t="shared" si="6"/>
        <v>7.4</v>
      </c>
      <c r="Q22" s="26">
        <f t="shared" si="7"/>
        <v>192.32599999999999</v>
      </c>
      <c r="R22" s="26">
        <f t="shared" si="8"/>
        <v>0</v>
      </c>
      <c r="S22" s="26">
        <f t="shared" si="9"/>
        <v>0</v>
      </c>
      <c r="T22" s="26">
        <f t="shared" si="10"/>
        <v>25.99</v>
      </c>
      <c r="U22" s="29">
        <v>20</v>
      </c>
    </row>
    <row r="23" spans="1:21" x14ac:dyDescent="0.25">
      <c r="A23" s="26">
        <f>CCD!C23</f>
        <v>8.6</v>
      </c>
      <c r="B23" s="26">
        <f>CCD!D23</f>
        <v>7.4</v>
      </c>
      <c r="C23" s="26">
        <f>CCD!E23</f>
        <v>8</v>
      </c>
      <c r="D23" s="26">
        <f>CCD!F23</f>
        <v>0</v>
      </c>
      <c r="E23" s="26">
        <f>CCD!G23</f>
        <v>0</v>
      </c>
      <c r="F23" s="26">
        <f t="shared" si="0"/>
        <v>73.959999999999994</v>
      </c>
      <c r="G23" s="26">
        <f t="shared" si="1"/>
        <v>54.760000000000005</v>
      </c>
      <c r="H23" s="26">
        <f t="shared" si="2"/>
        <v>64</v>
      </c>
      <c r="I23" s="26">
        <f t="shared" si="3"/>
        <v>0</v>
      </c>
      <c r="J23" s="26">
        <f t="shared" si="4"/>
        <v>0</v>
      </c>
      <c r="K23" s="26">
        <f t="shared" si="11"/>
        <v>63.64</v>
      </c>
      <c r="L23" s="26">
        <f t="shared" si="12"/>
        <v>68.8</v>
      </c>
      <c r="M23" s="26">
        <f t="shared" si="13"/>
        <v>0</v>
      </c>
      <c r="N23" s="26">
        <f t="shared" si="14"/>
        <v>0</v>
      </c>
      <c r="O23" s="26">
        <f t="shared" si="5"/>
        <v>59.2</v>
      </c>
      <c r="P23" s="26">
        <f t="shared" si="6"/>
        <v>0</v>
      </c>
      <c r="Q23" s="26">
        <f t="shared" si="7"/>
        <v>0</v>
      </c>
      <c r="R23" s="26">
        <f t="shared" si="8"/>
        <v>0</v>
      </c>
      <c r="S23" s="26">
        <f t="shared" si="9"/>
        <v>0</v>
      </c>
      <c r="T23" s="26">
        <f t="shared" si="10"/>
        <v>0</v>
      </c>
      <c r="U23" s="29">
        <v>21</v>
      </c>
    </row>
    <row r="24" spans="1:21" x14ac:dyDescent="0.25">
      <c r="A24" s="26">
        <f>CCD!C24</f>
        <v>8.6</v>
      </c>
      <c r="B24" s="26">
        <f>CCD!D24</f>
        <v>7.4</v>
      </c>
      <c r="C24" s="26">
        <f>CCD!E24</f>
        <v>8</v>
      </c>
      <c r="D24" s="26">
        <f>CCD!F24</f>
        <v>0</v>
      </c>
      <c r="E24" s="26">
        <f>CCD!G24</f>
        <v>25.99</v>
      </c>
      <c r="F24" s="26">
        <f t="shared" si="0"/>
        <v>73.959999999999994</v>
      </c>
      <c r="G24" s="26">
        <f t="shared" si="1"/>
        <v>54.760000000000005</v>
      </c>
      <c r="H24" s="26">
        <f t="shared" si="2"/>
        <v>64</v>
      </c>
      <c r="I24" s="26">
        <f t="shared" si="3"/>
        <v>0</v>
      </c>
      <c r="J24" s="26">
        <f t="shared" si="4"/>
        <v>675.48009999999988</v>
      </c>
      <c r="K24" s="26">
        <f t="shared" si="11"/>
        <v>63.64</v>
      </c>
      <c r="L24" s="26">
        <f t="shared" si="12"/>
        <v>68.8</v>
      </c>
      <c r="M24" s="26">
        <f t="shared" si="13"/>
        <v>0</v>
      </c>
      <c r="N24" s="26">
        <f t="shared" si="14"/>
        <v>223.51399999999998</v>
      </c>
      <c r="O24" s="26">
        <f t="shared" si="5"/>
        <v>59.2</v>
      </c>
      <c r="P24" s="26">
        <f t="shared" si="6"/>
        <v>0</v>
      </c>
      <c r="Q24" s="26">
        <f t="shared" si="7"/>
        <v>192.32599999999999</v>
      </c>
      <c r="R24" s="26">
        <f t="shared" si="8"/>
        <v>0</v>
      </c>
      <c r="S24" s="26">
        <f t="shared" si="9"/>
        <v>207.92</v>
      </c>
      <c r="T24" s="26">
        <f t="shared" si="10"/>
        <v>0</v>
      </c>
      <c r="U24" s="29">
        <v>22</v>
      </c>
    </row>
    <row r="25" spans="1:21" x14ac:dyDescent="0.25">
      <c r="A25" s="26">
        <f>CCD!C25</f>
        <v>8.6</v>
      </c>
      <c r="B25" s="26">
        <f>CCD!D25</f>
        <v>7.4</v>
      </c>
      <c r="C25" s="26">
        <f>CCD!E25</f>
        <v>8</v>
      </c>
      <c r="D25" s="26">
        <f>CCD!F25</f>
        <v>1</v>
      </c>
      <c r="E25" s="26">
        <f>CCD!G25</f>
        <v>0</v>
      </c>
      <c r="F25" s="26">
        <f t="shared" si="0"/>
        <v>73.959999999999994</v>
      </c>
      <c r="G25" s="26">
        <f t="shared" si="1"/>
        <v>54.760000000000005</v>
      </c>
      <c r="H25" s="26">
        <f t="shared" si="2"/>
        <v>64</v>
      </c>
      <c r="I25" s="26">
        <f t="shared" si="3"/>
        <v>1</v>
      </c>
      <c r="J25" s="26">
        <f t="shared" si="4"/>
        <v>0</v>
      </c>
      <c r="K25" s="26">
        <f t="shared" si="11"/>
        <v>63.64</v>
      </c>
      <c r="L25" s="26">
        <f t="shared" si="12"/>
        <v>68.8</v>
      </c>
      <c r="M25" s="26">
        <f t="shared" si="13"/>
        <v>8.6</v>
      </c>
      <c r="N25" s="26">
        <f t="shared" si="14"/>
        <v>0</v>
      </c>
      <c r="O25" s="26">
        <f t="shared" si="5"/>
        <v>59.2</v>
      </c>
      <c r="P25" s="26">
        <f t="shared" si="6"/>
        <v>7.4</v>
      </c>
      <c r="Q25" s="26">
        <f t="shared" si="7"/>
        <v>0</v>
      </c>
      <c r="R25" s="26">
        <f t="shared" si="8"/>
        <v>8</v>
      </c>
      <c r="S25" s="26">
        <f t="shared" si="9"/>
        <v>0</v>
      </c>
      <c r="T25" s="26">
        <f t="shared" si="10"/>
        <v>0</v>
      </c>
      <c r="U25" s="29">
        <v>23</v>
      </c>
    </row>
    <row r="26" spans="1:21" x14ac:dyDescent="0.25">
      <c r="A26" s="26">
        <f>CCD!C26</f>
        <v>8.6</v>
      </c>
      <c r="B26" s="26">
        <f>CCD!D26</f>
        <v>7.4</v>
      </c>
      <c r="C26" s="26">
        <f>CCD!E26</f>
        <v>8</v>
      </c>
      <c r="D26" s="26">
        <f>CCD!F26</f>
        <v>1</v>
      </c>
      <c r="E26" s="26">
        <f>CCD!G26</f>
        <v>25.99</v>
      </c>
      <c r="F26" s="26">
        <f t="shared" si="0"/>
        <v>73.959999999999994</v>
      </c>
      <c r="G26" s="26">
        <f t="shared" si="1"/>
        <v>54.760000000000005</v>
      </c>
      <c r="H26" s="26">
        <f t="shared" si="2"/>
        <v>64</v>
      </c>
      <c r="I26" s="26">
        <f t="shared" si="3"/>
        <v>1</v>
      </c>
      <c r="J26" s="26">
        <f t="shared" si="4"/>
        <v>675.48009999999988</v>
      </c>
      <c r="K26" s="26">
        <f t="shared" si="11"/>
        <v>63.64</v>
      </c>
      <c r="L26" s="26">
        <f t="shared" si="12"/>
        <v>68.8</v>
      </c>
      <c r="M26" s="26">
        <f t="shared" si="13"/>
        <v>8.6</v>
      </c>
      <c r="N26" s="26">
        <f t="shared" si="14"/>
        <v>223.51399999999998</v>
      </c>
      <c r="O26" s="26">
        <f t="shared" si="5"/>
        <v>59.2</v>
      </c>
      <c r="P26" s="26">
        <f t="shared" si="6"/>
        <v>7.4</v>
      </c>
      <c r="Q26" s="26">
        <f t="shared" si="7"/>
        <v>192.32599999999999</v>
      </c>
      <c r="R26" s="26">
        <f t="shared" si="8"/>
        <v>8</v>
      </c>
      <c r="S26" s="26">
        <f t="shared" si="9"/>
        <v>207.92</v>
      </c>
      <c r="T26" s="26">
        <f t="shared" si="10"/>
        <v>25.99</v>
      </c>
      <c r="U26" s="29">
        <v>24</v>
      </c>
    </row>
    <row r="27" spans="1:21" x14ac:dyDescent="0.25">
      <c r="A27" s="26">
        <f>CCD!C27</f>
        <v>8.6</v>
      </c>
      <c r="B27" s="26">
        <f>CCD!D27</f>
        <v>8.6</v>
      </c>
      <c r="C27" s="26">
        <f>CCD!E27</f>
        <v>0</v>
      </c>
      <c r="D27" s="26">
        <f>CCD!F27</f>
        <v>0</v>
      </c>
      <c r="E27" s="26">
        <f>CCD!G27</f>
        <v>0</v>
      </c>
      <c r="F27" s="26">
        <f t="shared" si="0"/>
        <v>73.959999999999994</v>
      </c>
      <c r="G27" s="26">
        <f t="shared" si="1"/>
        <v>73.959999999999994</v>
      </c>
      <c r="H27" s="26">
        <f t="shared" si="2"/>
        <v>0</v>
      </c>
      <c r="I27" s="26">
        <f t="shared" si="3"/>
        <v>0</v>
      </c>
      <c r="J27" s="26">
        <f t="shared" si="4"/>
        <v>0</v>
      </c>
      <c r="K27" s="26">
        <f t="shared" si="11"/>
        <v>73.959999999999994</v>
      </c>
      <c r="L27" s="26">
        <f t="shared" si="12"/>
        <v>0</v>
      </c>
      <c r="M27" s="26">
        <f t="shared" si="13"/>
        <v>0</v>
      </c>
      <c r="N27" s="26">
        <f t="shared" si="14"/>
        <v>0</v>
      </c>
      <c r="O27" s="26">
        <f t="shared" si="5"/>
        <v>0</v>
      </c>
      <c r="P27" s="26">
        <f t="shared" si="6"/>
        <v>0</v>
      </c>
      <c r="Q27" s="26">
        <f t="shared" si="7"/>
        <v>0</v>
      </c>
      <c r="R27" s="26">
        <f t="shared" si="8"/>
        <v>0</v>
      </c>
      <c r="S27" s="26">
        <f t="shared" si="9"/>
        <v>0</v>
      </c>
      <c r="T27" s="26">
        <f t="shared" si="10"/>
        <v>0</v>
      </c>
      <c r="U27" s="29">
        <v>25</v>
      </c>
    </row>
    <row r="28" spans="1:21" x14ac:dyDescent="0.25">
      <c r="A28" s="26">
        <f>CCD!C28</f>
        <v>8.6</v>
      </c>
      <c r="B28" s="26">
        <f>CCD!D28</f>
        <v>8.6</v>
      </c>
      <c r="C28" s="26">
        <f>CCD!E28</f>
        <v>0</v>
      </c>
      <c r="D28" s="26">
        <f>CCD!F28</f>
        <v>0</v>
      </c>
      <c r="E28" s="26">
        <f>CCD!G28</f>
        <v>25.99</v>
      </c>
      <c r="F28" s="26">
        <f t="shared" si="0"/>
        <v>73.959999999999994</v>
      </c>
      <c r="G28" s="26">
        <f t="shared" si="1"/>
        <v>73.959999999999994</v>
      </c>
      <c r="H28" s="26">
        <f t="shared" si="2"/>
        <v>0</v>
      </c>
      <c r="I28" s="26">
        <f t="shared" si="3"/>
        <v>0</v>
      </c>
      <c r="J28" s="26">
        <f t="shared" si="4"/>
        <v>675.48009999999988</v>
      </c>
      <c r="K28" s="26">
        <f t="shared" si="11"/>
        <v>73.959999999999994</v>
      </c>
      <c r="L28" s="26">
        <f t="shared" si="12"/>
        <v>0</v>
      </c>
      <c r="M28" s="26">
        <f t="shared" si="13"/>
        <v>0</v>
      </c>
      <c r="N28" s="26">
        <f t="shared" si="14"/>
        <v>223.51399999999998</v>
      </c>
      <c r="O28" s="26">
        <f t="shared" si="5"/>
        <v>0</v>
      </c>
      <c r="P28" s="26">
        <f t="shared" si="6"/>
        <v>0</v>
      </c>
      <c r="Q28" s="26">
        <f t="shared" si="7"/>
        <v>223.51399999999998</v>
      </c>
      <c r="R28" s="26">
        <f t="shared" si="8"/>
        <v>0</v>
      </c>
      <c r="S28" s="26">
        <f t="shared" si="9"/>
        <v>0</v>
      </c>
      <c r="T28" s="26">
        <f t="shared" si="10"/>
        <v>0</v>
      </c>
      <c r="U28" s="29">
        <v>26</v>
      </c>
    </row>
    <row r="29" spans="1:21" x14ac:dyDescent="0.25">
      <c r="A29" s="26">
        <f>CCD!C29</f>
        <v>8.6</v>
      </c>
      <c r="B29" s="26">
        <f>CCD!D29</f>
        <v>8.6</v>
      </c>
      <c r="C29" s="26">
        <f>CCD!E29</f>
        <v>0</v>
      </c>
      <c r="D29" s="26">
        <f>CCD!F29</f>
        <v>1</v>
      </c>
      <c r="E29" s="26">
        <f>CCD!G29</f>
        <v>0</v>
      </c>
      <c r="F29" s="26">
        <f t="shared" si="0"/>
        <v>73.959999999999994</v>
      </c>
      <c r="G29" s="26">
        <f t="shared" si="1"/>
        <v>73.959999999999994</v>
      </c>
      <c r="H29" s="26">
        <f t="shared" si="2"/>
        <v>0</v>
      </c>
      <c r="I29" s="26">
        <f t="shared" si="3"/>
        <v>1</v>
      </c>
      <c r="J29" s="26">
        <f t="shared" si="4"/>
        <v>0</v>
      </c>
      <c r="K29" s="26">
        <f t="shared" si="11"/>
        <v>73.959999999999994</v>
      </c>
      <c r="L29" s="26">
        <f t="shared" si="12"/>
        <v>0</v>
      </c>
      <c r="M29" s="26">
        <f t="shared" si="13"/>
        <v>8.6</v>
      </c>
      <c r="N29" s="26">
        <f t="shared" si="14"/>
        <v>0</v>
      </c>
      <c r="O29" s="26">
        <f t="shared" si="5"/>
        <v>0</v>
      </c>
      <c r="P29" s="26">
        <f t="shared" si="6"/>
        <v>8.6</v>
      </c>
      <c r="Q29" s="26">
        <f t="shared" si="7"/>
        <v>0</v>
      </c>
      <c r="R29" s="26">
        <f t="shared" si="8"/>
        <v>0</v>
      </c>
      <c r="S29" s="26">
        <f t="shared" si="9"/>
        <v>0</v>
      </c>
      <c r="T29" s="26">
        <f t="shared" si="10"/>
        <v>0</v>
      </c>
      <c r="U29" s="29">
        <v>27</v>
      </c>
    </row>
    <row r="30" spans="1:21" x14ac:dyDescent="0.25">
      <c r="A30" s="26">
        <f>CCD!C30</f>
        <v>8.6</v>
      </c>
      <c r="B30" s="26">
        <f>CCD!D30</f>
        <v>8.6</v>
      </c>
      <c r="C30" s="26">
        <f>CCD!E30</f>
        <v>0</v>
      </c>
      <c r="D30" s="26">
        <f>CCD!F30</f>
        <v>1</v>
      </c>
      <c r="E30" s="26">
        <f>CCD!G30</f>
        <v>25.99</v>
      </c>
      <c r="F30" s="26">
        <f t="shared" si="0"/>
        <v>73.959999999999994</v>
      </c>
      <c r="G30" s="26">
        <f t="shared" si="1"/>
        <v>73.959999999999994</v>
      </c>
      <c r="H30" s="26">
        <f t="shared" si="2"/>
        <v>0</v>
      </c>
      <c r="I30" s="26">
        <f t="shared" si="3"/>
        <v>1</v>
      </c>
      <c r="J30" s="26">
        <f t="shared" si="4"/>
        <v>675.48009999999988</v>
      </c>
      <c r="K30" s="26">
        <f t="shared" si="11"/>
        <v>73.959999999999994</v>
      </c>
      <c r="L30" s="26">
        <f t="shared" si="12"/>
        <v>0</v>
      </c>
      <c r="M30" s="26">
        <f t="shared" si="13"/>
        <v>8.6</v>
      </c>
      <c r="N30" s="26">
        <f t="shared" si="14"/>
        <v>223.51399999999998</v>
      </c>
      <c r="O30" s="26">
        <f t="shared" si="5"/>
        <v>0</v>
      </c>
      <c r="P30" s="26">
        <f t="shared" si="6"/>
        <v>8.6</v>
      </c>
      <c r="Q30" s="26">
        <f t="shared" si="7"/>
        <v>223.51399999999998</v>
      </c>
      <c r="R30" s="26">
        <f t="shared" si="8"/>
        <v>0</v>
      </c>
      <c r="S30" s="26">
        <f t="shared" si="9"/>
        <v>0</v>
      </c>
      <c r="T30" s="26">
        <f t="shared" si="10"/>
        <v>25.99</v>
      </c>
      <c r="U30" s="29">
        <v>28</v>
      </c>
    </row>
    <row r="31" spans="1:21" x14ac:dyDescent="0.25">
      <c r="A31" s="26">
        <f>CCD!C31</f>
        <v>8.6</v>
      </c>
      <c r="B31" s="26">
        <f>CCD!D31</f>
        <v>8.6</v>
      </c>
      <c r="C31" s="26">
        <f>CCD!E31</f>
        <v>8</v>
      </c>
      <c r="D31" s="26">
        <f>CCD!F31</f>
        <v>0</v>
      </c>
      <c r="E31" s="26">
        <f>CCD!G31</f>
        <v>0</v>
      </c>
      <c r="F31" s="26">
        <f t="shared" si="0"/>
        <v>73.959999999999994</v>
      </c>
      <c r="G31" s="26">
        <f t="shared" si="1"/>
        <v>73.959999999999994</v>
      </c>
      <c r="H31" s="26">
        <f t="shared" si="2"/>
        <v>64</v>
      </c>
      <c r="I31" s="26">
        <f t="shared" si="3"/>
        <v>0</v>
      </c>
      <c r="J31" s="26">
        <f t="shared" si="4"/>
        <v>0</v>
      </c>
      <c r="K31" s="26">
        <f t="shared" si="11"/>
        <v>73.959999999999994</v>
      </c>
      <c r="L31" s="26">
        <f t="shared" si="12"/>
        <v>68.8</v>
      </c>
      <c r="M31" s="26">
        <f t="shared" si="13"/>
        <v>0</v>
      </c>
      <c r="N31" s="26">
        <f t="shared" si="14"/>
        <v>0</v>
      </c>
      <c r="O31" s="26">
        <f t="shared" si="5"/>
        <v>68.8</v>
      </c>
      <c r="P31" s="26">
        <f t="shared" si="6"/>
        <v>0</v>
      </c>
      <c r="Q31" s="26">
        <f t="shared" si="7"/>
        <v>0</v>
      </c>
      <c r="R31" s="26">
        <f t="shared" si="8"/>
        <v>0</v>
      </c>
      <c r="S31" s="26">
        <f t="shared" si="9"/>
        <v>0</v>
      </c>
      <c r="T31" s="26">
        <f t="shared" si="10"/>
        <v>0</v>
      </c>
      <c r="U31" s="29">
        <v>29</v>
      </c>
    </row>
    <row r="32" spans="1:21" x14ac:dyDescent="0.25">
      <c r="A32" s="26">
        <f>CCD!C32</f>
        <v>8.6</v>
      </c>
      <c r="B32" s="26">
        <f>CCD!D32</f>
        <v>8.6</v>
      </c>
      <c r="C32" s="26">
        <f>CCD!E32</f>
        <v>8</v>
      </c>
      <c r="D32" s="26">
        <f>CCD!F32</f>
        <v>0</v>
      </c>
      <c r="E32" s="26">
        <f>CCD!G32</f>
        <v>25.99</v>
      </c>
      <c r="F32" s="26">
        <f t="shared" si="0"/>
        <v>73.959999999999994</v>
      </c>
      <c r="G32" s="26">
        <f t="shared" si="1"/>
        <v>73.959999999999994</v>
      </c>
      <c r="H32" s="26">
        <f t="shared" si="2"/>
        <v>64</v>
      </c>
      <c r="I32" s="26">
        <f t="shared" si="3"/>
        <v>0</v>
      </c>
      <c r="J32" s="26">
        <f t="shared" si="4"/>
        <v>675.48009999999988</v>
      </c>
      <c r="K32" s="26">
        <f t="shared" si="11"/>
        <v>73.959999999999994</v>
      </c>
      <c r="L32" s="26">
        <f t="shared" si="12"/>
        <v>68.8</v>
      </c>
      <c r="M32" s="26">
        <f t="shared" si="13"/>
        <v>0</v>
      </c>
      <c r="N32" s="26">
        <f t="shared" si="14"/>
        <v>223.51399999999998</v>
      </c>
      <c r="O32" s="26">
        <f t="shared" si="5"/>
        <v>68.8</v>
      </c>
      <c r="P32" s="26">
        <f t="shared" si="6"/>
        <v>0</v>
      </c>
      <c r="Q32" s="26">
        <f t="shared" si="7"/>
        <v>223.51399999999998</v>
      </c>
      <c r="R32" s="26">
        <f t="shared" si="8"/>
        <v>0</v>
      </c>
      <c r="S32" s="26">
        <f t="shared" si="9"/>
        <v>207.92</v>
      </c>
      <c r="T32" s="26">
        <f t="shared" si="10"/>
        <v>0</v>
      </c>
      <c r="U32" s="29">
        <v>30</v>
      </c>
    </row>
    <row r="33" spans="1:21" x14ac:dyDescent="0.25">
      <c r="A33" s="26">
        <f>CCD!C33</f>
        <v>8.6</v>
      </c>
      <c r="B33" s="26">
        <f>CCD!D33</f>
        <v>8.6</v>
      </c>
      <c r="C33" s="26">
        <f>CCD!E33</f>
        <v>8</v>
      </c>
      <c r="D33" s="26">
        <f>CCD!F33</f>
        <v>1</v>
      </c>
      <c r="E33" s="26">
        <f>CCD!G33</f>
        <v>0</v>
      </c>
      <c r="F33" s="26">
        <f t="shared" si="0"/>
        <v>73.959999999999994</v>
      </c>
      <c r="G33" s="26">
        <f t="shared" si="1"/>
        <v>73.959999999999994</v>
      </c>
      <c r="H33" s="26">
        <f t="shared" si="2"/>
        <v>64</v>
      </c>
      <c r="I33" s="26">
        <f t="shared" si="3"/>
        <v>1</v>
      </c>
      <c r="J33" s="26">
        <f t="shared" si="4"/>
        <v>0</v>
      </c>
      <c r="K33" s="26">
        <f t="shared" si="11"/>
        <v>73.959999999999994</v>
      </c>
      <c r="L33" s="26">
        <f t="shared" si="12"/>
        <v>68.8</v>
      </c>
      <c r="M33" s="26">
        <f t="shared" si="13"/>
        <v>8.6</v>
      </c>
      <c r="N33" s="26">
        <f t="shared" si="14"/>
        <v>0</v>
      </c>
      <c r="O33" s="26">
        <f t="shared" si="5"/>
        <v>68.8</v>
      </c>
      <c r="P33" s="26">
        <f t="shared" si="6"/>
        <v>8.6</v>
      </c>
      <c r="Q33" s="26">
        <f t="shared" si="7"/>
        <v>0</v>
      </c>
      <c r="R33" s="26">
        <f t="shared" si="8"/>
        <v>8</v>
      </c>
      <c r="S33" s="26">
        <f t="shared" si="9"/>
        <v>0</v>
      </c>
      <c r="T33" s="26">
        <f t="shared" si="10"/>
        <v>0</v>
      </c>
      <c r="U33" s="29">
        <v>31</v>
      </c>
    </row>
    <row r="34" spans="1:21" x14ac:dyDescent="0.25">
      <c r="A34" s="26">
        <f>CCD!C34</f>
        <v>8.6</v>
      </c>
      <c r="B34" s="26">
        <f>CCD!D34</f>
        <v>8.6</v>
      </c>
      <c r="C34" s="26">
        <f>CCD!E34</f>
        <v>8</v>
      </c>
      <c r="D34" s="26">
        <f>CCD!F34</f>
        <v>1</v>
      </c>
      <c r="E34" s="26">
        <f>CCD!G34</f>
        <v>25.99</v>
      </c>
      <c r="F34" s="26">
        <f t="shared" si="0"/>
        <v>73.959999999999994</v>
      </c>
      <c r="G34" s="26">
        <f t="shared" si="1"/>
        <v>73.959999999999994</v>
      </c>
      <c r="H34" s="26">
        <f t="shared" si="2"/>
        <v>64</v>
      </c>
      <c r="I34" s="26">
        <f t="shared" si="3"/>
        <v>1</v>
      </c>
      <c r="J34" s="26">
        <f t="shared" si="4"/>
        <v>675.48009999999988</v>
      </c>
      <c r="K34" s="26">
        <f t="shared" si="11"/>
        <v>73.959999999999994</v>
      </c>
      <c r="L34" s="26">
        <f t="shared" si="12"/>
        <v>68.8</v>
      </c>
      <c r="M34" s="26">
        <f t="shared" si="13"/>
        <v>8.6</v>
      </c>
      <c r="N34" s="26">
        <f t="shared" si="14"/>
        <v>223.51399999999998</v>
      </c>
      <c r="O34" s="26">
        <f t="shared" si="5"/>
        <v>68.8</v>
      </c>
      <c r="P34" s="26">
        <f t="shared" si="6"/>
        <v>8.6</v>
      </c>
      <c r="Q34" s="26">
        <f t="shared" si="7"/>
        <v>223.51399999999998</v>
      </c>
      <c r="R34" s="26">
        <f t="shared" si="8"/>
        <v>8</v>
      </c>
      <c r="S34" s="26">
        <f t="shared" si="9"/>
        <v>207.92</v>
      </c>
      <c r="T34" s="26">
        <f t="shared" si="10"/>
        <v>25.99</v>
      </c>
      <c r="U34" s="29">
        <v>32</v>
      </c>
    </row>
    <row r="35" spans="1:21" x14ac:dyDescent="0.25">
      <c r="A35" s="26">
        <f>CCD!C35</f>
        <v>8</v>
      </c>
      <c r="B35" s="26">
        <f>CCD!D35</f>
        <v>8</v>
      </c>
      <c r="C35" s="26">
        <f>CCD!E35</f>
        <v>4</v>
      </c>
      <c r="D35" s="26">
        <f>CCD!F35</f>
        <v>0.5</v>
      </c>
      <c r="E35" s="26">
        <f>CCD!G35</f>
        <v>12.73</v>
      </c>
      <c r="F35" s="26">
        <f t="shared" si="0"/>
        <v>64</v>
      </c>
      <c r="G35" s="26">
        <f t="shared" si="1"/>
        <v>64</v>
      </c>
      <c r="H35" s="26">
        <f t="shared" si="2"/>
        <v>16</v>
      </c>
      <c r="I35" s="26">
        <f t="shared" si="3"/>
        <v>0.25</v>
      </c>
      <c r="J35" s="26">
        <f t="shared" si="4"/>
        <v>162.05290000000002</v>
      </c>
      <c r="K35" s="26">
        <f t="shared" si="11"/>
        <v>64</v>
      </c>
      <c r="L35" s="26">
        <f t="shared" si="12"/>
        <v>32</v>
      </c>
      <c r="M35" s="26">
        <f t="shared" si="13"/>
        <v>4</v>
      </c>
      <c r="N35" s="26">
        <f t="shared" si="14"/>
        <v>101.84</v>
      </c>
      <c r="O35" s="26">
        <f t="shared" si="5"/>
        <v>32</v>
      </c>
      <c r="P35" s="26">
        <f t="shared" si="6"/>
        <v>4</v>
      </c>
      <c r="Q35" s="26">
        <f t="shared" si="7"/>
        <v>101.84</v>
      </c>
      <c r="R35" s="26">
        <f t="shared" si="8"/>
        <v>2</v>
      </c>
      <c r="S35" s="26">
        <f t="shared" si="9"/>
        <v>50.92</v>
      </c>
      <c r="T35" s="26">
        <f t="shared" si="10"/>
        <v>6.3650000000000002</v>
      </c>
      <c r="U35" s="29">
        <v>33</v>
      </c>
    </row>
    <row r="36" spans="1:21" x14ac:dyDescent="0.25">
      <c r="A36" s="26">
        <f>CCD!C36</f>
        <v>7.4</v>
      </c>
      <c r="B36" s="26">
        <f>CCD!D36</f>
        <v>8</v>
      </c>
      <c r="C36" s="26">
        <f>CCD!E36</f>
        <v>4</v>
      </c>
      <c r="D36" s="26">
        <f>CCD!F36</f>
        <v>0.5</v>
      </c>
      <c r="E36" s="26">
        <f>CCD!G36</f>
        <v>12.73</v>
      </c>
      <c r="F36" s="26">
        <f t="shared" si="0"/>
        <v>54.760000000000005</v>
      </c>
      <c r="G36" s="26">
        <f t="shared" si="1"/>
        <v>64</v>
      </c>
      <c r="H36" s="26">
        <f t="shared" si="2"/>
        <v>16</v>
      </c>
      <c r="I36" s="26">
        <f t="shared" si="3"/>
        <v>0.25</v>
      </c>
      <c r="J36" s="26">
        <f t="shared" si="4"/>
        <v>162.05290000000002</v>
      </c>
      <c r="K36" s="26">
        <f t="shared" si="11"/>
        <v>59.2</v>
      </c>
      <c r="L36" s="26">
        <f t="shared" si="12"/>
        <v>29.6</v>
      </c>
      <c r="M36" s="26">
        <f t="shared" si="13"/>
        <v>3.7</v>
      </c>
      <c r="N36" s="26">
        <f t="shared" si="14"/>
        <v>94.202000000000012</v>
      </c>
      <c r="O36" s="26">
        <f t="shared" si="5"/>
        <v>32</v>
      </c>
      <c r="P36" s="26">
        <f t="shared" si="6"/>
        <v>4</v>
      </c>
      <c r="Q36" s="26">
        <f t="shared" si="7"/>
        <v>101.84</v>
      </c>
      <c r="R36" s="26">
        <f t="shared" si="8"/>
        <v>2</v>
      </c>
      <c r="S36" s="26">
        <f t="shared" si="9"/>
        <v>50.92</v>
      </c>
      <c r="T36" s="26">
        <f t="shared" si="10"/>
        <v>6.3650000000000002</v>
      </c>
      <c r="U36" s="29">
        <v>34</v>
      </c>
    </row>
    <row r="37" spans="1:21" x14ac:dyDescent="0.25">
      <c r="A37" s="26">
        <f>CCD!C37</f>
        <v>8.6</v>
      </c>
      <c r="B37" s="26">
        <f>CCD!D37</f>
        <v>8</v>
      </c>
      <c r="C37" s="26">
        <f>CCD!E37</f>
        <v>4</v>
      </c>
      <c r="D37" s="26">
        <f>CCD!F37</f>
        <v>0.5</v>
      </c>
      <c r="E37" s="26">
        <f>CCD!G37</f>
        <v>12.73</v>
      </c>
      <c r="F37" s="26">
        <f t="shared" si="0"/>
        <v>73.959999999999994</v>
      </c>
      <c r="G37" s="26">
        <f t="shared" si="1"/>
        <v>64</v>
      </c>
      <c r="H37" s="26">
        <f t="shared" si="2"/>
        <v>16</v>
      </c>
      <c r="I37" s="26">
        <f t="shared" si="3"/>
        <v>0.25</v>
      </c>
      <c r="J37" s="26">
        <f t="shared" si="4"/>
        <v>162.05290000000002</v>
      </c>
      <c r="K37" s="26">
        <f t="shared" si="11"/>
        <v>68.8</v>
      </c>
      <c r="L37" s="26">
        <f t="shared" si="12"/>
        <v>34.4</v>
      </c>
      <c r="M37" s="26">
        <f t="shared" si="13"/>
        <v>4.3</v>
      </c>
      <c r="N37" s="26">
        <f t="shared" si="14"/>
        <v>109.47799999999999</v>
      </c>
      <c r="O37" s="26">
        <f t="shared" si="5"/>
        <v>32</v>
      </c>
      <c r="P37" s="26">
        <f t="shared" si="6"/>
        <v>4</v>
      </c>
      <c r="Q37" s="26">
        <f t="shared" si="7"/>
        <v>101.84</v>
      </c>
      <c r="R37" s="26">
        <f t="shared" si="8"/>
        <v>2</v>
      </c>
      <c r="S37" s="26">
        <f t="shared" si="9"/>
        <v>50.92</v>
      </c>
      <c r="T37" s="26">
        <f t="shared" si="10"/>
        <v>6.3650000000000002</v>
      </c>
      <c r="U37" s="29">
        <v>35</v>
      </c>
    </row>
    <row r="38" spans="1:21" x14ac:dyDescent="0.25">
      <c r="A38" s="26">
        <f>CCD!C38</f>
        <v>8</v>
      </c>
      <c r="B38" s="26">
        <f>CCD!D38</f>
        <v>7.4</v>
      </c>
      <c r="C38" s="26">
        <f>CCD!E38</f>
        <v>4</v>
      </c>
      <c r="D38" s="26">
        <f>CCD!F38</f>
        <v>0.5</v>
      </c>
      <c r="E38" s="26">
        <f>CCD!G38</f>
        <v>12.73</v>
      </c>
      <c r="F38" s="26">
        <f t="shared" si="0"/>
        <v>64</v>
      </c>
      <c r="G38" s="26">
        <f t="shared" si="1"/>
        <v>54.760000000000005</v>
      </c>
      <c r="H38" s="26">
        <f t="shared" si="2"/>
        <v>16</v>
      </c>
      <c r="I38" s="26">
        <f t="shared" si="3"/>
        <v>0.25</v>
      </c>
      <c r="J38" s="26">
        <f t="shared" si="4"/>
        <v>162.05290000000002</v>
      </c>
      <c r="K38" s="26">
        <f t="shared" si="11"/>
        <v>59.2</v>
      </c>
      <c r="L38" s="26">
        <f t="shared" si="12"/>
        <v>32</v>
      </c>
      <c r="M38" s="26">
        <f t="shared" si="13"/>
        <v>4</v>
      </c>
      <c r="N38" s="26">
        <f t="shared" si="14"/>
        <v>101.84</v>
      </c>
      <c r="O38" s="26">
        <f t="shared" si="5"/>
        <v>29.6</v>
      </c>
      <c r="P38" s="26">
        <f t="shared" si="6"/>
        <v>3.7</v>
      </c>
      <c r="Q38" s="26">
        <f t="shared" si="7"/>
        <v>94.202000000000012</v>
      </c>
      <c r="R38" s="26">
        <f t="shared" si="8"/>
        <v>2</v>
      </c>
      <c r="S38" s="26">
        <f t="shared" si="9"/>
        <v>50.92</v>
      </c>
      <c r="T38" s="26">
        <f t="shared" si="10"/>
        <v>6.3650000000000002</v>
      </c>
      <c r="U38" s="29">
        <v>36</v>
      </c>
    </row>
    <row r="39" spans="1:21" x14ac:dyDescent="0.25">
      <c r="A39" s="26">
        <f>CCD!C39</f>
        <v>8</v>
      </c>
      <c r="B39" s="26">
        <f>CCD!D39</f>
        <v>8.6</v>
      </c>
      <c r="C39" s="26">
        <f>CCD!E39</f>
        <v>4</v>
      </c>
      <c r="D39" s="26">
        <f>CCD!F39</f>
        <v>0.5</v>
      </c>
      <c r="E39" s="26">
        <f>CCD!G39</f>
        <v>12.73</v>
      </c>
      <c r="F39" s="26">
        <f t="shared" si="0"/>
        <v>64</v>
      </c>
      <c r="G39" s="26">
        <f t="shared" si="1"/>
        <v>73.959999999999994</v>
      </c>
      <c r="H39" s="26">
        <f t="shared" si="2"/>
        <v>16</v>
      </c>
      <c r="I39" s="26">
        <f t="shared" si="3"/>
        <v>0.25</v>
      </c>
      <c r="J39" s="26">
        <f t="shared" si="4"/>
        <v>162.05290000000002</v>
      </c>
      <c r="K39" s="26">
        <f t="shared" si="11"/>
        <v>68.8</v>
      </c>
      <c r="L39" s="26">
        <f t="shared" si="12"/>
        <v>32</v>
      </c>
      <c r="M39" s="26">
        <f t="shared" si="13"/>
        <v>4</v>
      </c>
      <c r="N39" s="26">
        <f t="shared" si="14"/>
        <v>101.84</v>
      </c>
      <c r="O39" s="26">
        <f t="shared" si="5"/>
        <v>34.4</v>
      </c>
      <c r="P39" s="26">
        <f t="shared" si="6"/>
        <v>4.3</v>
      </c>
      <c r="Q39" s="26">
        <f t="shared" si="7"/>
        <v>109.47799999999999</v>
      </c>
      <c r="R39" s="26">
        <f t="shared" si="8"/>
        <v>2</v>
      </c>
      <c r="S39" s="26">
        <f t="shared" si="9"/>
        <v>50.92</v>
      </c>
      <c r="T39" s="26">
        <f t="shared" si="10"/>
        <v>6.3650000000000002</v>
      </c>
      <c r="U39" s="29">
        <v>37</v>
      </c>
    </row>
    <row r="40" spans="1:21" x14ac:dyDescent="0.25">
      <c r="A40" s="26">
        <f>CCD!C40</f>
        <v>8</v>
      </c>
      <c r="B40" s="26">
        <f>CCD!D40</f>
        <v>8</v>
      </c>
      <c r="C40" s="26">
        <f>CCD!E40</f>
        <v>0</v>
      </c>
      <c r="D40" s="26">
        <f>CCD!F40</f>
        <v>0.5</v>
      </c>
      <c r="E40" s="26">
        <f>CCD!G40</f>
        <v>12.73</v>
      </c>
      <c r="F40" s="26">
        <f t="shared" si="0"/>
        <v>64</v>
      </c>
      <c r="G40" s="26">
        <f t="shared" si="1"/>
        <v>64</v>
      </c>
      <c r="H40" s="26">
        <f t="shared" si="2"/>
        <v>0</v>
      </c>
      <c r="I40" s="26">
        <f t="shared" si="3"/>
        <v>0.25</v>
      </c>
      <c r="J40" s="26">
        <f t="shared" si="4"/>
        <v>162.05290000000002</v>
      </c>
      <c r="K40" s="26">
        <f t="shared" si="11"/>
        <v>64</v>
      </c>
      <c r="L40" s="26">
        <f t="shared" si="12"/>
        <v>0</v>
      </c>
      <c r="M40" s="26">
        <f t="shared" si="13"/>
        <v>4</v>
      </c>
      <c r="N40" s="26">
        <f t="shared" si="14"/>
        <v>101.84</v>
      </c>
      <c r="O40" s="26">
        <f t="shared" si="5"/>
        <v>0</v>
      </c>
      <c r="P40" s="26">
        <f t="shared" si="6"/>
        <v>4</v>
      </c>
      <c r="Q40" s="26">
        <f t="shared" si="7"/>
        <v>101.84</v>
      </c>
      <c r="R40" s="26">
        <f t="shared" si="8"/>
        <v>0</v>
      </c>
      <c r="S40" s="26">
        <f t="shared" si="9"/>
        <v>0</v>
      </c>
      <c r="T40" s="26">
        <f t="shared" si="10"/>
        <v>6.3650000000000002</v>
      </c>
      <c r="U40" s="29">
        <v>38</v>
      </c>
    </row>
    <row r="41" spans="1:21" x14ac:dyDescent="0.25">
      <c r="A41" s="26">
        <f>CCD!C41</f>
        <v>8</v>
      </c>
      <c r="B41" s="26">
        <f>CCD!D41</f>
        <v>8</v>
      </c>
      <c r="C41" s="26">
        <f>CCD!E41</f>
        <v>8</v>
      </c>
      <c r="D41" s="26">
        <f>CCD!F41</f>
        <v>0.5</v>
      </c>
      <c r="E41" s="26">
        <f>CCD!G41</f>
        <v>12.73</v>
      </c>
      <c r="F41" s="26">
        <f t="shared" si="0"/>
        <v>64</v>
      </c>
      <c r="G41" s="26">
        <f t="shared" si="1"/>
        <v>64</v>
      </c>
      <c r="H41" s="26">
        <f t="shared" si="2"/>
        <v>64</v>
      </c>
      <c r="I41" s="26">
        <f t="shared" si="3"/>
        <v>0.25</v>
      </c>
      <c r="J41" s="26">
        <f t="shared" si="4"/>
        <v>162.05290000000002</v>
      </c>
      <c r="K41" s="26">
        <f t="shared" si="11"/>
        <v>64</v>
      </c>
      <c r="L41" s="26">
        <f t="shared" si="12"/>
        <v>64</v>
      </c>
      <c r="M41" s="26">
        <f t="shared" si="13"/>
        <v>4</v>
      </c>
      <c r="N41" s="26">
        <f t="shared" si="14"/>
        <v>101.84</v>
      </c>
      <c r="O41" s="26">
        <f t="shared" si="5"/>
        <v>64</v>
      </c>
      <c r="P41" s="26">
        <f t="shared" si="6"/>
        <v>4</v>
      </c>
      <c r="Q41" s="26">
        <f t="shared" si="7"/>
        <v>101.84</v>
      </c>
      <c r="R41" s="26">
        <f t="shared" si="8"/>
        <v>4</v>
      </c>
      <c r="S41" s="26">
        <f t="shared" si="9"/>
        <v>101.84</v>
      </c>
      <c r="T41" s="26">
        <f t="shared" si="10"/>
        <v>6.3650000000000002</v>
      </c>
      <c r="U41" s="29">
        <v>39</v>
      </c>
    </row>
    <row r="42" spans="1:21" x14ac:dyDescent="0.25">
      <c r="A42" s="26">
        <f>CCD!C42</f>
        <v>8</v>
      </c>
      <c r="B42" s="26">
        <f>CCD!D42</f>
        <v>8</v>
      </c>
      <c r="C42" s="26">
        <f>CCD!E42</f>
        <v>4</v>
      </c>
      <c r="D42" s="26">
        <f>CCD!F42</f>
        <v>0</v>
      </c>
      <c r="E42" s="26">
        <f>CCD!G42</f>
        <v>12.73</v>
      </c>
      <c r="F42" s="26">
        <f t="shared" si="0"/>
        <v>64</v>
      </c>
      <c r="G42" s="26">
        <f t="shared" si="1"/>
        <v>64</v>
      </c>
      <c r="H42" s="26">
        <f t="shared" si="2"/>
        <v>16</v>
      </c>
      <c r="I42" s="26">
        <f t="shared" si="3"/>
        <v>0</v>
      </c>
      <c r="J42" s="26">
        <f t="shared" si="4"/>
        <v>162.05290000000002</v>
      </c>
      <c r="K42" s="26">
        <f t="shared" si="11"/>
        <v>64</v>
      </c>
      <c r="L42" s="26">
        <f t="shared" si="12"/>
        <v>32</v>
      </c>
      <c r="M42" s="26">
        <f t="shared" si="13"/>
        <v>0</v>
      </c>
      <c r="N42" s="26">
        <f t="shared" si="14"/>
        <v>101.84</v>
      </c>
      <c r="O42" s="26">
        <f t="shared" si="5"/>
        <v>32</v>
      </c>
      <c r="P42" s="26">
        <f t="shared" si="6"/>
        <v>0</v>
      </c>
      <c r="Q42" s="26">
        <f t="shared" si="7"/>
        <v>101.84</v>
      </c>
      <c r="R42" s="26">
        <f t="shared" si="8"/>
        <v>0</v>
      </c>
      <c r="S42" s="26">
        <f t="shared" si="9"/>
        <v>50.92</v>
      </c>
      <c r="T42" s="26">
        <f t="shared" si="10"/>
        <v>0</v>
      </c>
      <c r="U42" s="29">
        <v>40</v>
      </c>
    </row>
    <row r="43" spans="1:21" x14ac:dyDescent="0.25">
      <c r="A43" s="26">
        <f>CCD!C43</f>
        <v>8</v>
      </c>
      <c r="B43" s="26">
        <f>CCD!D43</f>
        <v>8</v>
      </c>
      <c r="C43" s="26">
        <f>CCD!E43</f>
        <v>4</v>
      </c>
      <c r="D43" s="26">
        <f>CCD!F43</f>
        <v>1</v>
      </c>
      <c r="E43" s="26">
        <f>CCD!G43</f>
        <v>12.73</v>
      </c>
      <c r="F43" s="26">
        <f t="shared" si="0"/>
        <v>64</v>
      </c>
      <c r="G43" s="26">
        <f t="shared" si="1"/>
        <v>64</v>
      </c>
      <c r="H43" s="26">
        <f t="shared" si="2"/>
        <v>16</v>
      </c>
      <c r="I43" s="26">
        <f t="shared" si="3"/>
        <v>1</v>
      </c>
      <c r="J43" s="26">
        <f t="shared" si="4"/>
        <v>162.05290000000002</v>
      </c>
      <c r="K43" s="26">
        <f t="shared" si="11"/>
        <v>64</v>
      </c>
      <c r="L43" s="26">
        <f t="shared" si="12"/>
        <v>32</v>
      </c>
      <c r="M43" s="26">
        <f t="shared" si="13"/>
        <v>8</v>
      </c>
      <c r="N43" s="26">
        <f t="shared" si="14"/>
        <v>101.84</v>
      </c>
      <c r="O43" s="26">
        <f t="shared" si="5"/>
        <v>32</v>
      </c>
      <c r="P43" s="26">
        <f t="shared" si="6"/>
        <v>8</v>
      </c>
      <c r="Q43" s="26">
        <f t="shared" si="7"/>
        <v>101.84</v>
      </c>
      <c r="R43" s="26">
        <f t="shared" si="8"/>
        <v>4</v>
      </c>
      <c r="S43" s="26">
        <f t="shared" si="9"/>
        <v>50.92</v>
      </c>
      <c r="T43" s="26">
        <f t="shared" si="10"/>
        <v>12.73</v>
      </c>
      <c r="U43" s="29">
        <v>41</v>
      </c>
    </row>
    <row r="44" spans="1:21" x14ac:dyDescent="0.25">
      <c r="A44" s="26">
        <f>CCD!C44</f>
        <v>8</v>
      </c>
      <c r="B44" s="26">
        <f>CCD!D44</f>
        <v>8</v>
      </c>
      <c r="C44" s="26">
        <f>CCD!E44</f>
        <v>4</v>
      </c>
      <c r="D44" s="26">
        <f>CCD!F44</f>
        <v>0.5</v>
      </c>
      <c r="E44" s="26">
        <f>CCD!G44</f>
        <v>0</v>
      </c>
      <c r="F44" s="26">
        <f t="shared" si="0"/>
        <v>64</v>
      </c>
      <c r="G44" s="26">
        <f t="shared" si="1"/>
        <v>64</v>
      </c>
      <c r="H44" s="26">
        <f t="shared" si="2"/>
        <v>16</v>
      </c>
      <c r="I44" s="26">
        <f t="shared" si="3"/>
        <v>0.25</v>
      </c>
      <c r="J44" s="26">
        <f t="shared" si="4"/>
        <v>0</v>
      </c>
      <c r="K44" s="26">
        <f t="shared" si="11"/>
        <v>64</v>
      </c>
      <c r="L44" s="26">
        <f t="shared" si="12"/>
        <v>32</v>
      </c>
      <c r="M44" s="26">
        <f t="shared" si="13"/>
        <v>4</v>
      </c>
      <c r="N44" s="26">
        <f t="shared" si="14"/>
        <v>0</v>
      </c>
      <c r="O44" s="26">
        <f t="shared" si="5"/>
        <v>32</v>
      </c>
      <c r="P44" s="26">
        <f t="shared" si="6"/>
        <v>4</v>
      </c>
      <c r="Q44" s="26">
        <f t="shared" si="7"/>
        <v>0</v>
      </c>
      <c r="R44" s="26">
        <f t="shared" si="8"/>
        <v>2</v>
      </c>
      <c r="S44" s="26">
        <f t="shared" si="9"/>
        <v>0</v>
      </c>
      <c r="T44" s="26">
        <f t="shared" si="10"/>
        <v>0</v>
      </c>
      <c r="U44" s="29">
        <v>42</v>
      </c>
    </row>
    <row r="45" spans="1:21" x14ac:dyDescent="0.25">
      <c r="A45" s="26">
        <f>CCD!C45</f>
        <v>8</v>
      </c>
      <c r="B45" s="26">
        <f>CCD!D45</f>
        <v>8</v>
      </c>
      <c r="C45" s="26">
        <f>CCD!E45</f>
        <v>4</v>
      </c>
      <c r="D45" s="26">
        <f>CCD!F45</f>
        <v>0.5</v>
      </c>
      <c r="E45" s="26">
        <f>CCD!G45</f>
        <v>25.99</v>
      </c>
      <c r="F45" s="26">
        <f t="shared" si="0"/>
        <v>64</v>
      </c>
      <c r="G45" s="26">
        <f t="shared" si="1"/>
        <v>64</v>
      </c>
      <c r="H45" s="26">
        <f t="shared" si="2"/>
        <v>16</v>
      </c>
      <c r="I45" s="26">
        <f t="shared" si="3"/>
        <v>0.25</v>
      </c>
      <c r="J45" s="26">
        <f t="shared" si="4"/>
        <v>675.48009999999988</v>
      </c>
      <c r="K45" s="26">
        <f t="shared" si="11"/>
        <v>64</v>
      </c>
      <c r="L45" s="26">
        <f t="shared" si="12"/>
        <v>32</v>
      </c>
      <c r="M45" s="26">
        <f t="shared" si="13"/>
        <v>4</v>
      </c>
      <c r="N45" s="26">
        <f t="shared" si="14"/>
        <v>207.92</v>
      </c>
      <c r="O45" s="26">
        <f t="shared" si="5"/>
        <v>32</v>
      </c>
      <c r="P45" s="26">
        <f t="shared" si="6"/>
        <v>4</v>
      </c>
      <c r="Q45" s="26">
        <f t="shared" si="7"/>
        <v>207.92</v>
      </c>
      <c r="R45" s="26">
        <f t="shared" si="8"/>
        <v>2</v>
      </c>
      <c r="S45" s="26">
        <f t="shared" si="9"/>
        <v>103.96</v>
      </c>
      <c r="T45" s="26">
        <f t="shared" si="10"/>
        <v>12.994999999999999</v>
      </c>
      <c r="U45" s="29">
        <v>43</v>
      </c>
    </row>
    <row r="46" spans="1:21" x14ac:dyDescent="0.25">
      <c r="A46" s="26">
        <f>CCD!C46</f>
        <v>8</v>
      </c>
      <c r="B46" s="26">
        <f>CCD!D46</f>
        <v>8</v>
      </c>
      <c r="C46" s="26">
        <f>CCD!E46</f>
        <v>4</v>
      </c>
      <c r="D46" s="26">
        <f>CCD!F46</f>
        <v>0.5</v>
      </c>
      <c r="E46" s="26">
        <f>CCD!G46</f>
        <v>12.73</v>
      </c>
      <c r="F46" s="26">
        <f t="shared" si="0"/>
        <v>64</v>
      </c>
      <c r="G46" s="26">
        <f t="shared" si="1"/>
        <v>64</v>
      </c>
      <c r="H46" s="26">
        <f t="shared" si="2"/>
        <v>16</v>
      </c>
      <c r="I46" s="26">
        <f t="shared" si="3"/>
        <v>0.25</v>
      </c>
      <c r="J46" s="26">
        <f t="shared" si="4"/>
        <v>162.05290000000002</v>
      </c>
      <c r="K46" s="26">
        <f t="shared" si="11"/>
        <v>64</v>
      </c>
      <c r="L46" s="26">
        <f t="shared" si="12"/>
        <v>32</v>
      </c>
      <c r="M46" s="26">
        <f t="shared" si="13"/>
        <v>4</v>
      </c>
      <c r="N46" s="26">
        <f t="shared" si="14"/>
        <v>101.84</v>
      </c>
      <c r="O46" s="26">
        <f t="shared" si="5"/>
        <v>32</v>
      </c>
      <c r="P46" s="26">
        <f t="shared" si="6"/>
        <v>4</v>
      </c>
      <c r="Q46" s="26">
        <f t="shared" si="7"/>
        <v>101.84</v>
      </c>
      <c r="R46" s="26">
        <f t="shared" si="8"/>
        <v>2</v>
      </c>
      <c r="S46" s="26">
        <f t="shared" si="9"/>
        <v>50.92</v>
      </c>
      <c r="T46" s="26">
        <f t="shared" si="10"/>
        <v>6.3650000000000002</v>
      </c>
      <c r="U46" s="29">
        <v>44</v>
      </c>
    </row>
    <row r="48" spans="1:21" x14ac:dyDescent="0.25">
      <c r="A48">
        <f t="array" ref="A48:U48">LINEST(CCD!H$3:H$46, 'LINEST VARS'!$A$3:$T$46, TRUE, FALSE)</f>
        <v>-3.5312074548595732E-16</v>
      </c>
      <c r="B48">
        <v>1.7880436857499298E-16</v>
      </c>
      <c r="C48">
        <v>-2.9500348178887392E-16</v>
      </c>
      <c r="D48">
        <v>1.0027144081356855E-15</v>
      </c>
      <c r="E48">
        <v>3.6503570835627555E-15</v>
      </c>
      <c r="F48">
        <v>7.2668117569251199E-16</v>
      </c>
      <c r="G48">
        <v>-2.8030515958304461E-16</v>
      </c>
      <c r="H48">
        <v>-1.3092144464909406E-14</v>
      </c>
      <c r="I48">
        <v>-5.6227022865055345E-16</v>
      </c>
      <c r="J48">
        <v>3.1150844638423778E-14</v>
      </c>
      <c r="K48">
        <v>-1.0369022034522289E-16</v>
      </c>
      <c r="L48">
        <v>-2.0074996363139344E-14</v>
      </c>
      <c r="M48">
        <v>-4.2032748801917611E-16</v>
      </c>
      <c r="N48">
        <v>-1.5279958928158295E-14</v>
      </c>
      <c r="O48">
        <v>4.9999999999999298</v>
      </c>
      <c r="P48">
        <v>-3.9372722352975337E-15</v>
      </c>
      <c r="Q48">
        <v>1.1234335644699672E-13</v>
      </c>
      <c r="R48">
        <v>-1.4061950130939688E-15</v>
      </c>
      <c r="S48">
        <v>2.9999999999999769</v>
      </c>
      <c r="T48">
        <v>2.0000000000009179</v>
      </c>
      <c r="U48">
        <v>9.9999999999961489</v>
      </c>
    </row>
    <row r="50" spans="1:21" x14ac:dyDescent="0.25">
      <c r="A50">
        <f t="array" ref="A50:U50">LINEST(CCD!$I$3:$I$46, 'LINEST VARS'!$A$3:$T$46, TRUE, FALSE)</f>
        <v>4.2038183986423493E-18</v>
      </c>
      <c r="B50">
        <v>-1.6303517646223693E-18</v>
      </c>
      <c r="C50">
        <v>-6.1123408094213419E-17</v>
      </c>
      <c r="D50">
        <v>0</v>
      </c>
      <c r="E50">
        <v>7.7915529756354608E-16</v>
      </c>
      <c r="F50">
        <v>2.0411330812689545E-17</v>
      </c>
      <c r="G50">
        <v>3.0658376829395505E-17</v>
      </c>
      <c r="H50">
        <v>6.3602244462585233E-16</v>
      </c>
      <c r="I50">
        <v>-4.660868511798107E-18</v>
      </c>
      <c r="J50">
        <v>-1.400298329654969E-15</v>
      </c>
      <c r="K50">
        <v>-4.4739400728873644E-18</v>
      </c>
      <c r="L50">
        <v>-6.210362370654089E-17</v>
      </c>
      <c r="M50">
        <v>-3.2838085001498134E-18</v>
      </c>
      <c r="N50">
        <v>-2.6215615808114723E-16</v>
      </c>
      <c r="O50">
        <v>-2.5728754151219659E-16</v>
      </c>
      <c r="P50">
        <v>-1.1825895152502722E-16</v>
      </c>
      <c r="Q50">
        <v>-1.1118339648368194E-14</v>
      </c>
      <c r="R50">
        <v>3.9740293848307817E-17</v>
      </c>
      <c r="S50">
        <v>2.5000000000000187</v>
      </c>
      <c r="T50">
        <v>1.4999999999999787</v>
      </c>
      <c r="U50">
        <v>300</v>
      </c>
    </row>
    <row r="52" spans="1:21" x14ac:dyDescent="0.25">
      <c r="A52">
        <f t="array" ref="A52:U52">LINEST(CCD!J$3:J$46,'LINEST VARS'!$A$3:$T$46,TRUE,FALSE)</f>
        <v>-2.1019091993211747E-18</v>
      </c>
      <c r="B52">
        <v>1.0936744008824358E-19</v>
      </c>
      <c r="C52">
        <v>5.3449576097375881E-19</v>
      </c>
      <c r="D52">
        <v>-1.1386186768509383E-19</v>
      </c>
      <c r="E52">
        <v>-1.4514477542224633E-18</v>
      </c>
      <c r="F52">
        <v>-2.1173212084343753E-18</v>
      </c>
      <c r="G52">
        <v>-6.690409007335519E-19</v>
      </c>
      <c r="H52">
        <v>3.3952674004904169E-18</v>
      </c>
      <c r="I52">
        <v>-3.3102759316747919E-20</v>
      </c>
      <c r="J52">
        <v>1.1925837900083992E-17</v>
      </c>
      <c r="K52">
        <v>1.148323799245227E-19</v>
      </c>
      <c r="L52">
        <v>-1.7466644167464625E-17</v>
      </c>
      <c r="M52">
        <v>-9.1327699828969322E-20</v>
      </c>
      <c r="N52">
        <v>5.6139746464084961E-18</v>
      </c>
      <c r="O52">
        <v>6.1074867125791858E-18</v>
      </c>
      <c r="P52">
        <v>3.7835825264703653E-18</v>
      </c>
      <c r="Q52">
        <v>-9.9999999999999631E-2</v>
      </c>
      <c r="R52">
        <v>1.7768496768714551E-17</v>
      </c>
      <c r="S52">
        <v>-1.737933993793531E-16</v>
      </c>
      <c r="T52">
        <v>-1.9097902005089635E-16</v>
      </c>
      <c r="U52">
        <v>4.5000000000000009</v>
      </c>
    </row>
    <row r="54" spans="1:21" x14ac:dyDescent="0.25">
      <c r="A54">
        <f t="array" ref="A54:U54">LINEST(CCD!K$3:K$46, 'LINEST VARS'!$A$3:$T$46, TRUE, FALSE)</f>
        <v>-1.0509545996605873E-18</v>
      </c>
      <c r="B54">
        <v>5.4683720044121791E-20</v>
      </c>
      <c r="C54">
        <v>2.6724788048687941E-19</v>
      </c>
      <c r="D54">
        <v>-5.6930933842546913E-20</v>
      </c>
      <c r="E54">
        <v>-7.2572387711123167E-19</v>
      </c>
      <c r="F54">
        <v>-1.0586606042171877E-18</v>
      </c>
      <c r="G54">
        <v>-3.3452045036677595E-19</v>
      </c>
      <c r="H54">
        <v>1.6976337002452084E-18</v>
      </c>
      <c r="I54">
        <v>-1.655137965837396E-20</v>
      </c>
      <c r="J54">
        <v>5.9629189500419959E-18</v>
      </c>
      <c r="K54">
        <v>5.7416189962261348E-20</v>
      </c>
      <c r="L54">
        <v>-8.7333220837323123E-18</v>
      </c>
      <c r="M54">
        <v>-4.5663849914484661E-20</v>
      </c>
      <c r="N54">
        <v>2.806987323204248E-18</v>
      </c>
      <c r="O54">
        <v>3.0537433562895929E-18</v>
      </c>
      <c r="P54">
        <v>1.8917912632351826E-18</v>
      </c>
      <c r="Q54">
        <v>-4.9999999999999815E-2</v>
      </c>
      <c r="R54">
        <v>8.8842483843572756E-18</v>
      </c>
      <c r="S54">
        <v>-8.6896699689676548E-17</v>
      </c>
      <c r="T54">
        <v>-9.5489510025448174E-17</v>
      </c>
      <c r="U54">
        <v>4.0000000000000009</v>
      </c>
    </row>
    <row r="56" spans="1:21" x14ac:dyDescent="0.25">
      <c r="A56">
        <f t="array" ref="A56:U56">LINEST(CCD!L$3:L$46, 'LINEST VARS'!$A$3:$T$46, TRUE, FALSE)</f>
        <v>-2.3810690148560182E-18</v>
      </c>
      <c r="B56">
        <v>-1.8165901016327298E-18</v>
      </c>
      <c r="C56">
        <v>-1.5309485725034092E-17</v>
      </c>
      <c r="D56">
        <v>-4.8960664459750268E-19</v>
      </c>
      <c r="E56">
        <v>-6.2310198511347152E-17</v>
      </c>
      <c r="F56">
        <v>2.267925645854394E-18</v>
      </c>
      <c r="G56">
        <v>-7.2996135308084536E-19</v>
      </c>
      <c r="H56">
        <v>-6.0031411233133911E-17</v>
      </c>
      <c r="I56">
        <v>1.6948612770174935E-18</v>
      </c>
      <c r="J56">
        <v>3.5586777881302405E-17</v>
      </c>
      <c r="K56">
        <v>4.4458207931658888E-19</v>
      </c>
      <c r="L56">
        <v>5.0533677261469899E-17</v>
      </c>
      <c r="M56">
        <v>-1.0000000000000009E-2</v>
      </c>
      <c r="N56">
        <v>6.2905774539560999E-18</v>
      </c>
      <c r="O56">
        <v>1.2601523217093764E-17</v>
      </c>
      <c r="P56">
        <v>8.3297475776556867E-18</v>
      </c>
      <c r="Q56">
        <v>1.0561064331825441E-15</v>
      </c>
      <c r="R56">
        <v>5.0000000000000051E-2</v>
      </c>
      <c r="S56">
        <v>-3.7635679670602851E-16</v>
      </c>
      <c r="T56">
        <v>-4.8151116877640603E-16</v>
      </c>
      <c r="U56">
        <v>2.8000000000000047</v>
      </c>
    </row>
    <row r="58" spans="1:21" x14ac:dyDescent="0.25">
      <c r="A58">
        <f t="array" ref="A58:U58">LINEST(CCD!M$3:M$46, 'LINEST VARS'!$A$3:$T$46, TRUE, FALSE)</f>
        <v>-1.0755863480901322E-18</v>
      </c>
      <c r="B58">
        <v>-5.1902574332363706E-19</v>
      </c>
      <c r="C58">
        <v>1.4125959397163627E-18</v>
      </c>
      <c r="D58">
        <v>-3.2640442973166845E-19</v>
      </c>
      <c r="E58">
        <v>4.873122440446122E-18</v>
      </c>
      <c r="F58">
        <v>3.5908822726027906E-18</v>
      </c>
      <c r="G58">
        <v>-2.2811292283776418E-20</v>
      </c>
      <c r="H58">
        <v>1.4655353427898088E-18</v>
      </c>
      <c r="I58">
        <v>3.3897225540349871E-18</v>
      </c>
      <c r="J58">
        <v>2.5345234246857816E-17</v>
      </c>
      <c r="K58">
        <v>-5.4717794377426328E-20</v>
      </c>
      <c r="L58">
        <v>-5.7214465674714957E-18</v>
      </c>
      <c r="M58">
        <v>5.7466648752621734E-18</v>
      </c>
      <c r="N58">
        <v>-4.0230437205533199E-18</v>
      </c>
      <c r="O58">
        <v>-4.2520477112893069E-18</v>
      </c>
      <c r="P58">
        <v>5.000000000000007E-3</v>
      </c>
      <c r="Q58">
        <v>-3.8203912645663747E-17</v>
      </c>
      <c r="R58">
        <v>1.9999999999999896E-2</v>
      </c>
      <c r="S58">
        <v>-1.6660525196100036E-16</v>
      </c>
      <c r="T58">
        <v>-1.6247973875523437E-16</v>
      </c>
      <c r="U58">
        <v>0.80000000000000171</v>
      </c>
    </row>
    <row r="60" spans="1:21" x14ac:dyDescent="0.25">
      <c r="A60">
        <f t="array" ref="A60:U60">LINEST(CCD!O$3:O$46, 'LINEST VARS'!$A$3:$T$46, TRUE, FALSE)</f>
        <v>4.8343911584387012E-17</v>
      </c>
      <c r="B60">
        <v>0</v>
      </c>
      <c r="C60">
        <v>-5.2166786271038866E-16</v>
      </c>
      <c r="D60">
        <v>-1.0444941751413391E-16</v>
      </c>
      <c r="E60">
        <v>-3.6025377618180727E-15</v>
      </c>
      <c r="F60">
        <v>-3.0843788783619755E-16</v>
      </c>
      <c r="G60">
        <v>-1.1679381649293526E-16</v>
      </c>
      <c r="H60">
        <v>-3.7280036057384779E-15</v>
      </c>
      <c r="I60">
        <v>-2.5761891410665903E-16</v>
      </c>
      <c r="J60">
        <v>-9.6041198881830529E-16</v>
      </c>
      <c r="K60">
        <v>0</v>
      </c>
      <c r="L60">
        <v>-1.3187535333405723E-15</v>
      </c>
      <c r="M60">
        <v>6.5676170002996267E-18</v>
      </c>
      <c r="N60">
        <v>-4.6813599657347723E-16</v>
      </c>
      <c r="O60">
        <v>1.246855008866799E-15</v>
      </c>
      <c r="P60">
        <v>2.0000000000000013</v>
      </c>
      <c r="Q60">
        <v>6.3400546257156553E-14</v>
      </c>
      <c r="R60">
        <v>4.9206521409495428E-15</v>
      </c>
      <c r="S60">
        <v>1.8832194388170068E-14</v>
      </c>
      <c r="T60">
        <v>-8.2694699524306397E-15</v>
      </c>
      <c r="U60">
        <v>14.999999999999936</v>
      </c>
    </row>
    <row r="62" spans="1:21" x14ac:dyDescent="0.25">
      <c r="A62">
        <f t="array" ref="A62:U62">LINEST(CCD!P$3:P$46, 'LINEST VARS'!$A$3:$T$46, TRUE, FALSE)</f>
        <v>3.0267492470224913E-16</v>
      </c>
      <c r="B62">
        <v>-7.9722354174510658E-16</v>
      </c>
      <c r="C62">
        <v>-4.7124200548937863E-15</v>
      </c>
      <c r="D62">
        <v>-6.5280885946333691E-18</v>
      </c>
      <c r="E62">
        <v>4.0454751805688498E-14</v>
      </c>
      <c r="F62">
        <v>-5.2888026061324467E-15</v>
      </c>
      <c r="G62">
        <v>1.3080907447208748E-15</v>
      </c>
      <c r="H62">
        <v>4.0471587413845773E-14</v>
      </c>
      <c r="I62">
        <v>-5.2337316234300197E-15</v>
      </c>
      <c r="J62">
        <v>2.4311562489328825E-14</v>
      </c>
      <c r="K62">
        <v>-1.9961051388885124E-16</v>
      </c>
      <c r="L62">
        <v>-1.9999999999999583</v>
      </c>
      <c r="M62">
        <v>-4.9999999999999973</v>
      </c>
      <c r="N62">
        <v>2.8803237529174621E-14</v>
      </c>
      <c r="O62">
        <v>2.1385789928867148E-14</v>
      </c>
      <c r="P62">
        <v>-1.2238862919732976E-15</v>
      </c>
      <c r="Q62">
        <v>-6.9638025815396808E-13</v>
      </c>
      <c r="R62">
        <v>1.0365491413910934E-13</v>
      </c>
      <c r="S62">
        <v>-6.6814629249284361E-13</v>
      </c>
      <c r="T62">
        <v>-5.4998117647951816E-13</v>
      </c>
      <c r="U62">
        <v>350.00000000000483</v>
      </c>
    </row>
    <row r="64" spans="1:21" x14ac:dyDescent="0.25">
      <c r="A64">
        <f t="array" ref="A64:U64">LINEST(CCD!Q$3:Q$46, 'LINEST VARS'!$A$3:$T$46, TRUE, FALSE)</f>
        <v>4.8764293424251252E-16</v>
      </c>
      <c r="B64">
        <v>9.9652942718138322E-17</v>
      </c>
      <c r="C64">
        <v>9.7247685882311336E-16</v>
      </c>
      <c r="D64">
        <v>2.0889883502826781E-16</v>
      </c>
      <c r="E64">
        <v>1.8890592521205359E-15</v>
      </c>
      <c r="F64">
        <v>-4.838241377822707E-17</v>
      </c>
      <c r="G64">
        <v>-9.3435053194348207E-17</v>
      </c>
      <c r="H64">
        <v>1.2732252751839064E-15</v>
      </c>
      <c r="I64">
        <v>1.0847112172911959E-16</v>
      </c>
      <c r="J64">
        <v>-1.350642360518268E-15</v>
      </c>
      <c r="K64">
        <v>5.6031021442484559E-17</v>
      </c>
      <c r="L64">
        <v>-3.7771201766786574E-15</v>
      </c>
      <c r="M64">
        <v>-4.7286842402157317E-16</v>
      </c>
      <c r="N64">
        <v>-2.0597983849232998E-15</v>
      </c>
      <c r="O64">
        <v>3.2061985942289115E-15</v>
      </c>
      <c r="P64">
        <v>2.9999999999999964</v>
      </c>
      <c r="Q64">
        <v>-3.2784595426498935E-14</v>
      </c>
      <c r="R64">
        <v>4.0000000000000009</v>
      </c>
      <c r="S64">
        <v>3.9129499755871772E-14</v>
      </c>
      <c r="T64">
        <v>-4.1428732482941001E-14</v>
      </c>
      <c r="U64">
        <v>109.99999999999996</v>
      </c>
    </row>
    <row r="66" spans="1:21" x14ac:dyDescent="0.25">
      <c r="A66">
        <f t="array" ref="A66:U66">LINEST(CCD!R$3:R$46, 'LINEST VARS'!$A$3:$T$46, TRUE, FALSE)</f>
        <v>-7.2515867376580527E-17</v>
      </c>
      <c r="B66">
        <v>-8.3044118931781939E-17</v>
      </c>
      <c r="C66">
        <v>-5.2166786271038866E-16</v>
      </c>
      <c r="D66">
        <v>1.2533930101696069E-16</v>
      </c>
      <c r="E66">
        <v>3.7011917732672812E-16</v>
      </c>
      <c r="F66">
        <v>-4.354417240040436E-16</v>
      </c>
      <c r="G66">
        <v>1.5183196144081582E-16</v>
      </c>
      <c r="H66">
        <v>2.350692164308287E-16</v>
      </c>
      <c r="I66">
        <v>-5.4235560864559791E-16</v>
      </c>
      <c r="J66">
        <v>1.1652600757412509E-15</v>
      </c>
      <c r="K66">
        <v>-2.7521291446391015E-17</v>
      </c>
      <c r="L66">
        <v>-1.9407382408294029E-16</v>
      </c>
      <c r="M66">
        <v>3.1524561601438208E-16</v>
      </c>
      <c r="N66">
        <v>8.239193539693199E-16</v>
      </c>
      <c r="O66">
        <v>9.4998476866041817E-16</v>
      </c>
      <c r="P66">
        <v>-1.0887332045161236E-15</v>
      </c>
      <c r="Q66">
        <v>-2.0977999336543764E-15</v>
      </c>
      <c r="R66">
        <v>-1.9999999999999922</v>
      </c>
      <c r="S66">
        <v>-2.3700641934570533E-14</v>
      </c>
      <c r="T66">
        <v>2.999999999999996</v>
      </c>
      <c r="U66">
        <v>120.00000000000007</v>
      </c>
    </row>
    <row r="68" spans="1:21" x14ac:dyDescent="0.25">
      <c r="A68">
        <f t="array" ref="A68:U68">LINEST(CCD!S$3:S$46, 'LINEST VARS'!$A$3:$T$46, TRUE, FALSE)</f>
        <v>6.7261094378277589E-17</v>
      </c>
      <c r="B68">
        <v>-3.373667331603641E-18</v>
      </c>
      <c r="C68">
        <v>-1.4660455158137387E-16</v>
      </c>
      <c r="D68">
        <v>-1.3056177189266738E-18</v>
      </c>
      <c r="E68">
        <v>1.3933898440535647E-16</v>
      </c>
      <c r="F68">
        <v>-8.1645323250758181E-17</v>
      </c>
      <c r="G68">
        <v>-7.2996135308084538E-18</v>
      </c>
      <c r="H68">
        <v>1.0864855681569334E-16</v>
      </c>
      <c r="I68">
        <v>-3.0507502986314883E-17</v>
      </c>
      <c r="J68">
        <v>-4.2373093663318215E-16</v>
      </c>
      <c r="K68">
        <v>-2.1613528779083399E-18</v>
      </c>
      <c r="L68">
        <v>-3.9999999999999991</v>
      </c>
      <c r="M68">
        <v>2.46285637511236E-18</v>
      </c>
      <c r="N68">
        <v>-3.2535451761856666E-16</v>
      </c>
      <c r="O68">
        <v>-4.5025319764634404E-16</v>
      </c>
      <c r="P68">
        <v>1.0511906802224642E-16</v>
      </c>
      <c r="Q68">
        <v>-1.9623572020986472E-15</v>
      </c>
      <c r="R68">
        <v>1.0515893141398376E-15</v>
      </c>
      <c r="S68">
        <v>9.0533056493610585E-15</v>
      </c>
      <c r="T68">
        <v>1.101704394309511E-14</v>
      </c>
      <c r="U68">
        <v>149.99999999999991</v>
      </c>
    </row>
    <row r="70" spans="1:21" x14ac:dyDescent="0.25">
      <c r="A70">
        <f t="array" ref="A70:U70">LINEST(CCD!T$3:T$46, 'LINEST VARS'!$A$3:$T$46, TRUE, FALSE)</f>
        <v>-9.9840686967755795E-18</v>
      </c>
      <c r="B70">
        <v>-1.6608823786356386E-17</v>
      </c>
      <c r="C70">
        <v>-2.5106029458310272E-16</v>
      </c>
      <c r="D70">
        <v>2.6112354378533476E-17</v>
      </c>
      <c r="E70">
        <v>4.9857230357541612E-16</v>
      </c>
      <c r="F70">
        <v>-1.5724284477923796E-16</v>
      </c>
      <c r="G70">
        <v>6.1316753658791011E-17</v>
      </c>
      <c r="H70">
        <v>4.9507242783400897E-16</v>
      </c>
      <c r="I70">
        <v>-1.0847112172911959E-16</v>
      </c>
      <c r="J70">
        <v>1.6220949917989004E-16</v>
      </c>
      <c r="K70">
        <v>-3.9879620696126893E-18</v>
      </c>
      <c r="L70">
        <v>-1.0091838852312894E-16</v>
      </c>
      <c r="M70">
        <v>1.3135234000599253E-16</v>
      </c>
      <c r="N70">
        <v>2.0597983849232998E-16</v>
      </c>
      <c r="O70">
        <v>1.8678085946318118E-16</v>
      </c>
      <c r="P70">
        <v>-5.1057833039376831E-16</v>
      </c>
      <c r="Q70">
        <v>-6.8425297835961861E-15</v>
      </c>
      <c r="R70">
        <v>-0.99999999999999822</v>
      </c>
      <c r="S70">
        <v>1.5000000000000069</v>
      </c>
      <c r="T70">
        <v>-4.6339568815971726E-15</v>
      </c>
      <c r="U70">
        <v>79.999999999999957</v>
      </c>
    </row>
    <row r="72" spans="1:21" x14ac:dyDescent="0.25">
      <c r="A72">
        <f t="array" ref="A72:U72">LINEST(CCD!N$3:N$46, 'LINEST VARS'!$A$3:$T$46, TRUE, FALSE)</f>
        <v>-9.4165532129588612E-16</v>
      </c>
      <c r="B72">
        <v>-1.3287059029085109E-16</v>
      </c>
      <c r="C72">
        <v>1.3634223297067768E-15</v>
      </c>
      <c r="D72">
        <v>-1.420512078192221E-15</v>
      </c>
      <c r="E72">
        <v>1.7463819378804679E-14</v>
      </c>
      <c r="F72">
        <v>1.5240460340141527E-15</v>
      </c>
      <c r="G72">
        <v>-1.2146556915265266E-15</v>
      </c>
      <c r="H72">
        <v>1.3037826817883201E-14</v>
      </c>
      <c r="I72">
        <v>1.1118289977234758E-15</v>
      </c>
      <c r="J72">
        <v>1.6663715642791253E-14</v>
      </c>
      <c r="K72">
        <v>0</v>
      </c>
      <c r="L72">
        <v>2.9809739379139627E-15</v>
      </c>
      <c r="M72">
        <v>1.9702851000898881E-16</v>
      </c>
      <c r="N72">
        <v>1.6478387079386398E-15</v>
      </c>
      <c r="O72">
        <v>7.5207127518949782E-15</v>
      </c>
      <c r="P72">
        <v>8.0000000000000213</v>
      </c>
      <c r="Q72">
        <v>14.999999999999746</v>
      </c>
      <c r="R72">
        <v>-2.2315703468665158E-14</v>
      </c>
      <c r="S72">
        <v>-1.7432165293874065E-13</v>
      </c>
      <c r="T72">
        <v>-2.5827058976405398E-13</v>
      </c>
      <c r="U72">
        <v>50.000000000001833</v>
      </c>
    </row>
  </sheetData>
  <mergeCells count="3">
    <mergeCell ref="F1:J1"/>
    <mergeCell ref="K1:T1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5"/>
  <sheetViews>
    <sheetView workbookViewId="0">
      <selection activeCell="E36" sqref="E36"/>
    </sheetView>
  </sheetViews>
  <sheetFormatPr defaultRowHeight="15" x14ac:dyDescent="0.25"/>
  <cols>
    <col min="1" max="1" width="12.28515625" bestFit="1" customWidth="1"/>
    <col min="2" max="2" width="4.85546875" bestFit="1" customWidth="1"/>
    <col min="7" max="7" width="12.7109375" bestFit="1" customWidth="1"/>
  </cols>
  <sheetData>
    <row r="1" spans="1:6" x14ac:dyDescent="0.25">
      <c r="A1" s="26" t="s">
        <v>124</v>
      </c>
      <c r="B1" s="26">
        <v>27</v>
      </c>
      <c r="C1" s="25" t="s">
        <v>125</v>
      </c>
      <c r="D1" s="25">
        <v>25.99</v>
      </c>
      <c r="E1" s="27" t="s">
        <v>125</v>
      </c>
      <c r="F1" s="27">
        <v>23.99</v>
      </c>
    </row>
    <row r="2" spans="1:6" x14ac:dyDescent="0.25">
      <c r="A2" s="26" t="s">
        <v>126</v>
      </c>
      <c r="B2" s="26">
        <v>12.6</v>
      </c>
      <c r="C2" s="25" t="s">
        <v>127</v>
      </c>
      <c r="D2" s="25">
        <v>25</v>
      </c>
      <c r="E2" s="27" t="s">
        <v>127</v>
      </c>
      <c r="F2" s="27">
        <v>27</v>
      </c>
    </row>
    <row r="3" spans="1:6" ht="57.75" customHeight="1" x14ac:dyDescent="0.25">
      <c r="C3" s="72" t="s">
        <v>128</v>
      </c>
      <c r="D3" s="70"/>
      <c r="E3" s="73" t="s">
        <v>129</v>
      </c>
      <c r="F3" s="70"/>
    </row>
    <row r="4" spans="1:6" x14ac:dyDescent="0.25">
      <c r="A4" s="71" t="s">
        <v>130</v>
      </c>
      <c r="B4" s="60"/>
      <c r="C4" s="25" t="s">
        <v>131</v>
      </c>
      <c r="D4" s="25">
        <v>12.73</v>
      </c>
    </row>
    <row r="5" spans="1:6" x14ac:dyDescent="0.25">
      <c r="A5" t="s">
        <v>132</v>
      </c>
      <c r="C5" s="25" t="s">
        <v>131</v>
      </c>
      <c r="D5" s="25">
        <v>12.5</v>
      </c>
    </row>
  </sheetData>
  <mergeCells count="3">
    <mergeCell ref="A4:B4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1"/>
  <sheetViews>
    <sheetView workbookViewId="0">
      <selection activeCell="P25" sqref="P25"/>
    </sheetView>
  </sheetViews>
  <sheetFormatPr defaultColWidth="9" defaultRowHeight="15.75" x14ac:dyDescent="0.25"/>
  <cols>
    <col min="1" max="1" width="9" style="1" customWidth="1"/>
    <col min="2" max="2" width="23.42578125" style="1" customWidth="1"/>
    <col min="3" max="8" width="9" style="1" customWidth="1"/>
    <col min="9" max="9" width="23.42578125" style="1" bestFit="1" customWidth="1"/>
    <col min="10" max="15" width="9" style="1" customWidth="1"/>
    <col min="16" max="16" width="23.42578125" style="1" customWidth="1"/>
    <col min="17" max="17" width="9" style="1" customWidth="1"/>
    <col min="18" max="16384" width="9" style="1"/>
  </cols>
  <sheetData>
    <row r="1" spans="2:21" ht="16.5" customHeight="1" thickBot="1" x14ac:dyDescent="0.3">
      <c r="B1" s="74" t="s">
        <v>133</v>
      </c>
      <c r="C1" s="75"/>
      <c r="D1" s="75"/>
      <c r="E1" s="75"/>
      <c r="F1" s="75"/>
      <c r="G1" s="76"/>
      <c r="I1" s="74" t="s">
        <v>71</v>
      </c>
      <c r="J1" s="75"/>
      <c r="K1" s="75"/>
      <c r="L1" s="75"/>
      <c r="M1" s="75"/>
      <c r="N1" s="76"/>
      <c r="P1" s="74" t="s">
        <v>73</v>
      </c>
      <c r="Q1" s="75"/>
      <c r="R1" s="75"/>
      <c r="S1" s="75"/>
      <c r="T1" s="75"/>
      <c r="U1" s="76"/>
    </row>
    <row r="2" spans="2:21" ht="47.25" customHeight="1" x14ac:dyDescent="0.25">
      <c r="B2" s="3" t="s">
        <v>134</v>
      </c>
      <c r="C2" s="7">
        <v>7.4</v>
      </c>
      <c r="D2" s="7">
        <v>7.7</v>
      </c>
      <c r="E2" s="7">
        <v>8</v>
      </c>
      <c r="F2" s="7">
        <v>8.3000000000000007</v>
      </c>
      <c r="G2" s="8">
        <v>8.6</v>
      </c>
      <c r="I2" s="3" t="s">
        <v>134</v>
      </c>
      <c r="J2" s="7">
        <v>7.4</v>
      </c>
      <c r="K2" s="7">
        <v>7.7</v>
      </c>
      <c r="L2" s="7">
        <v>8</v>
      </c>
      <c r="M2" s="7">
        <v>8.3000000000000007</v>
      </c>
      <c r="N2" s="8">
        <v>8.6</v>
      </c>
      <c r="P2" s="3" t="s">
        <v>134</v>
      </c>
      <c r="Q2" s="7">
        <v>7.4</v>
      </c>
      <c r="R2" s="7">
        <v>7.7</v>
      </c>
      <c r="S2" s="7">
        <v>8</v>
      </c>
      <c r="T2" s="7">
        <v>8.3000000000000007</v>
      </c>
      <c r="U2" s="8">
        <v>8.6</v>
      </c>
    </row>
    <row r="3" spans="2:21" x14ac:dyDescent="0.25">
      <c r="B3" s="9">
        <v>7.4</v>
      </c>
      <c r="C3" s="2"/>
      <c r="D3" s="2"/>
      <c r="E3" s="2"/>
      <c r="F3" s="2"/>
      <c r="G3" s="4"/>
      <c r="I3" s="9">
        <v>7.4</v>
      </c>
      <c r="J3" s="2"/>
      <c r="K3" s="2"/>
      <c r="L3" s="2"/>
      <c r="M3" s="2"/>
      <c r="N3" s="4"/>
      <c r="P3" s="9">
        <v>7.4</v>
      </c>
      <c r="Q3" s="2"/>
      <c r="R3" s="2"/>
      <c r="S3" s="2"/>
      <c r="T3" s="2"/>
      <c r="U3" s="4"/>
    </row>
    <row r="4" spans="2:21" x14ac:dyDescent="0.25">
      <c r="B4" s="9">
        <v>7.7</v>
      </c>
      <c r="C4" s="2"/>
      <c r="D4" s="2"/>
      <c r="E4" s="2"/>
      <c r="F4" s="2"/>
      <c r="G4" s="4"/>
      <c r="I4" s="9">
        <v>7.7</v>
      </c>
      <c r="J4" s="2"/>
      <c r="K4" s="2"/>
      <c r="L4" s="2"/>
      <c r="M4" s="2"/>
      <c r="N4" s="4"/>
      <c r="P4" s="9">
        <v>7.7</v>
      </c>
      <c r="Q4" s="2"/>
      <c r="R4" s="2"/>
      <c r="S4" s="2"/>
      <c r="T4" s="2"/>
      <c r="U4" s="4"/>
    </row>
    <row r="5" spans="2:21" x14ac:dyDescent="0.25">
      <c r="B5" s="9">
        <v>8</v>
      </c>
      <c r="C5" s="2"/>
      <c r="D5" s="2"/>
      <c r="E5" s="2"/>
      <c r="F5" s="2"/>
      <c r="G5" s="4"/>
      <c r="I5" s="9">
        <v>8</v>
      </c>
      <c r="J5" s="2"/>
      <c r="K5" s="2"/>
      <c r="L5" s="2"/>
      <c r="M5" s="2"/>
      <c r="N5" s="4"/>
      <c r="P5" s="9">
        <v>8</v>
      </c>
      <c r="Q5" s="2"/>
      <c r="R5" s="2"/>
      <c r="S5" s="2"/>
      <c r="T5" s="2"/>
      <c r="U5" s="4"/>
    </row>
    <row r="6" spans="2:21" x14ac:dyDescent="0.25">
      <c r="B6" s="9">
        <v>8.3000000000000007</v>
      </c>
      <c r="C6" s="2"/>
      <c r="D6" s="2"/>
      <c r="E6" s="2"/>
      <c r="F6" s="2"/>
      <c r="G6" s="4"/>
      <c r="I6" s="9">
        <v>8.3000000000000007</v>
      </c>
      <c r="J6" s="2"/>
      <c r="K6" s="2"/>
      <c r="L6" s="2"/>
      <c r="M6" s="2"/>
      <c r="N6" s="4"/>
      <c r="P6" s="9">
        <v>8.3000000000000007</v>
      </c>
      <c r="Q6" s="2"/>
      <c r="R6" s="2"/>
      <c r="S6" s="2"/>
      <c r="T6" s="2"/>
      <c r="U6" s="4"/>
    </row>
    <row r="7" spans="2:21" ht="16.5" customHeight="1" thickBot="1" x14ac:dyDescent="0.3">
      <c r="B7" s="10">
        <v>8.6</v>
      </c>
      <c r="C7" s="5"/>
      <c r="D7" s="5"/>
      <c r="E7" s="5"/>
      <c r="F7" s="5"/>
      <c r="G7" s="6"/>
      <c r="I7" s="10">
        <v>8.6</v>
      </c>
      <c r="J7" s="5"/>
      <c r="K7" s="5"/>
      <c r="L7" s="5"/>
      <c r="M7" s="5"/>
      <c r="N7" s="6"/>
      <c r="P7" s="10">
        <v>8.6</v>
      </c>
      <c r="Q7" s="5"/>
      <c r="R7" s="5"/>
      <c r="S7" s="5"/>
      <c r="T7" s="5"/>
      <c r="U7" s="6"/>
    </row>
    <row r="8" spans="2:21" ht="16.5" customHeight="1" thickBot="1" x14ac:dyDescent="0.3"/>
    <row r="9" spans="2:21" ht="16.5" customHeight="1" thickBot="1" x14ac:dyDescent="0.3">
      <c r="B9" s="74" t="s">
        <v>75</v>
      </c>
      <c r="C9" s="75"/>
      <c r="D9" s="75"/>
      <c r="E9" s="75"/>
      <c r="F9" s="75"/>
      <c r="G9" s="76"/>
      <c r="I9" s="74" t="s">
        <v>135</v>
      </c>
      <c r="J9" s="75"/>
      <c r="K9" s="75"/>
      <c r="L9" s="75"/>
      <c r="M9" s="75"/>
      <c r="N9" s="76"/>
      <c r="P9" s="74" t="s">
        <v>136</v>
      </c>
      <c r="Q9" s="75"/>
      <c r="R9" s="75"/>
      <c r="S9" s="75"/>
      <c r="T9" s="75"/>
      <c r="U9" s="76"/>
    </row>
    <row r="10" spans="2:21" ht="47.25" customHeight="1" x14ac:dyDescent="0.25">
      <c r="B10" s="3" t="s">
        <v>134</v>
      </c>
      <c r="C10" s="7">
        <v>7.4</v>
      </c>
      <c r="D10" s="7">
        <v>7.7</v>
      </c>
      <c r="E10" s="7">
        <v>8</v>
      </c>
      <c r="F10" s="7">
        <v>8.3000000000000007</v>
      </c>
      <c r="G10" s="8">
        <v>8.6</v>
      </c>
      <c r="I10" s="3" t="s">
        <v>134</v>
      </c>
      <c r="J10" s="7">
        <v>7.4</v>
      </c>
      <c r="K10" s="7">
        <v>7.7</v>
      </c>
      <c r="L10" s="7">
        <v>8</v>
      </c>
      <c r="M10" s="7">
        <v>8.3000000000000007</v>
      </c>
      <c r="N10" s="8">
        <v>8.6</v>
      </c>
      <c r="P10" s="3" t="s">
        <v>134</v>
      </c>
      <c r="Q10" s="7">
        <v>7.4</v>
      </c>
      <c r="R10" s="7">
        <v>7.7</v>
      </c>
      <c r="S10" s="7">
        <v>8</v>
      </c>
      <c r="T10" s="7">
        <v>8.3000000000000007</v>
      </c>
      <c r="U10" s="8">
        <v>8.6</v>
      </c>
    </row>
    <row r="11" spans="2:21" x14ac:dyDescent="0.25">
      <c r="B11" s="9">
        <v>7.4</v>
      </c>
      <c r="C11" s="2"/>
      <c r="D11" s="2"/>
      <c r="E11" s="2"/>
      <c r="F11" s="2"/>
      <c r="G11" s="4"/>
      <c r="I11" s="9">
        <v>7.4</v>
      </c>
      <c r="J11" s="2"/>
      <c r="K11" s="2"/>
      <c r="L11" s="2"/>
      <c r="M11" s="2"/>
      <c r="N11" s="4"/>
      <c r="P11" s="9">
        <v>7.4</v>
      </c>
      <c r="Q11" s="2"/>
      <c r="R11" s="2"/>
      <c r="S11" s="2"/>
      <c r="T11" s="2"/>
      <c r="U11" s="4"/>
    </row>
    <row r="12" spans="2:21" x14ac:dyDescent="0.25">
      <c r="B12" s="9">
        <v>7.7</v>
      </c>
      <c r="C12" s="2"/>
      <c r="D12" s="2"/>
      <c r="E12" s="2"/>
      <c r="F12" s="2"/>
      <c r="G12" s="4"/>
      <c r="I12" s="9">
        <v>7.7</v>
      </c>
      <c r="J12" s="2"/>
      <c r="K12" s="2"/>
      <c r="L12" s="2"/>
      <c r="M12" s="2"/>
      <c r="N12" s="4"/>
      <c r="P12" s="9">
        <v>7.7</v>
      </c>
      <c r="Q12" s="2"/>
      <c r="R12" s="2"/>
      <c r="S12" s="2"/>
      <c r="T12" s="2"/>
      <c r="U12" s="4"/>
    </row>
    <row r="13" spans="2:21" x14ac:dyDescent="0.25">
      <c r="B13" s="9">
        <v>8</v>
      </c>
      <c r="C13" s="2"/>
      <c r="D13" s="2"/>
      <c r="E13" s="2"/>
      <c r="F13" s="2"/>
      <c r="G13" s="4"/>
      <c r="I13" s="9">
        <v>8</v>
      </c>
      <c r="J13" s="2"/>
      <c r="K13" s="2"/>
      <c r="L13" s="2"/>
      <c r="M13" s="2"/>
      <c r="N13" s="4"/>
      <c r="P13" s="9">
        <v>8</v>
      </c>
      <c r="Q13" s="2"/>
      <c r="R13" s="2"/>
      <c r="S13" s="2"/>
      <c r="T13" s="2"/>
      <c r="U13" s="4"/>
    </row>
    <row r="14" spans="2:21" x14ac:dyDescent="0.25">
      <c r="B14" s="9">
        <v>8.3000000000000007</v>
      </c>
      <c r="C14" s="2"/>
      <c r="D14" s="2"/>
      <c r="E14" s="2"/>
      <c r="F14" s="2"/>
      <c r="G14" s="4"/>
      <c r="I14" s="9">
        <v>8.3000000000000007</v>
      </c>
      <c r="J14" s="2"/>
      <c r="K14" s="2"/>
      <c r="L14" s="2"/>
      <c r="M14" s="2"/>
      <c r="N14" s="4"/>
      <c r="P14" s="9">
        <v>8.3000000000000007</v>
      </c>
      <c r="Q14" s="2"/>
      <c r="R14" s="2"/>
      <c r="S14" s="2"/>
      <c r="T14" s="2"/>
      <c r="U14" s="4"/>
    </row>
    <row r="15" spans="2:21" ht="16.5" customHeight="1" thickBot="1" x14ac:dyDescent="0.3">
      <c r="B15" s="10">
        <v>8.6</v>
      </c>
      <c r="C15" s="5"/>
      <c r="D15" s="5"/>
      <c r="E15" s="5"/>
      <c r="F15" s="5"/>
      <c r="G15" s="6"/>
      <c r="I15" s="10">
        <v>8.6</v>
      </c>
      <c r="J15" s="5"/>
      <c r="K15" s="5"/>
      <c r="L15" s="5"/>
      <c r="M15" s="5"/>
      <c r="N15" s="6"/>
      <c r="P15" s="10">
        <v>8.6</v>
      </c>
      <c r="Q15" s="5"/>
      <c r="R15" s="5"/>
      <c r="S15" s="5"/>
      <c r="T15" s="5"/>
      <c r="U15" s="6"/>
    </row>
    <row r="16" spans="2:21" ht="16.5" customHeight="1" thickBot="1" x14ac:dyDescent="0.3"/>
    <row r="17" spans="2:21" ht="16.5" customHeight="1" thickBot="1" x14ac:dyDescent="0.3">
      <c r="B17" s="74" t="s">
        <v>83</v>
      </c>
      <c r="C17" s="75"/>
      <c r="D17" s="75"/>
      <c r="E17" s="75"/>
      <c r="F17" s="75"/>
      <c r="G17" s="76"/>
      <c r="I17" s="74" t="s">
        <v>85</v>
      </c>
      <c r="J17" s="75"/>
      <c r="K17" s="75"/>
      <c r="L17" s="75"/>
      <c r="M17" s="75"/>
      <c r="N17" s="76"/>
      <c r="P17" s="74" t="s">
        <v>87</v>
      </c>
      <c r="Q17" s="75"/>
      <c r="R17" s="75"/>
      <c r="S17" s="75"/>
      <c r="T17" s="75"/>
      <c r="U17" s="76"/>
    </row>
    <row r="18" spans="2:21" ht="47.25" customHeight="1" x14ac:dyDescent="0.25">
      <c r="B18" s="3" t="s">
        <v>134</v>
      </c>
      <c r="C18" s="7">
        <v>7.4</v>
      </c>
      <c r="D18" s="7">
        <v>7.7</v>
      </c>
      <c r="E18" s="7">
        <v>8</v>
      </c>
      <c r="F18" s="7">
        <v>8.3000000000000007</v>
      </c>
      <c r="G18" s="8">
        <v>8.6</v>
      </c>
      <c r="I18" s="3" t="s">
        <v>134</v>
      </c>
      <c r="J18" s="7">
        <v>7.4</v>
      </c>
      <c r="K18" s="7">
        <v>7.7</v>
      </c>
      <c r="L18" s="7">
        <v>8</v>
      </c>
      <c r="M18" s="7">
        <v>8.3000000000000007</v>
      </c>
      <c r="N18" s="8">
        <v>8.6</v>
      </c>
      <c r="P18" s="3" t="s">
        <v>134</v>
      </c>
      <c r="Q18" s="7">
        <v>7.4</v>
      </c>
      <c r="R18" s="7">
        <v>7.7</v>
      </c>
      <c r="S18" s="7">
        <v>8</v>
      </c>
      <c r="T18" s="7">
        <v>8.3000000000000007</v>
      </c>
      <c r="U18" s="8">
        <v>8.6</v>
      </c>
    </row>
    <row r="19" spans="2:21" x14ac:dyDescent="0.25">
      <c r="B19" s="9">
        <v>7.4</v>
      </c>
      <c r="C19" s="2"/>
      <c r="D19" s="2"/>
      <c r="E19" s="2"/>
      <c r="F19" s="2"/>
      <c r="G19" s="4"/>
      <c r="I19" s="9">
        <v>7.4</v>
      </c>
      <c r="J19" s="2"/>
      <c r="K19" s="2"/>
      <c r="L19" s="2"/>
      <c r="M19" s="2"/>
      <c r="N19" s="4"/>
      <c r="P19" s="9">
        <v>7.4</v>
      </c>
      <c r="Q19" s="2"/>
      <c r="R19" s="2"/>
      <c r="S19" s="2"/>
      <c r="T19" s="2"/>
      <c r="U19" s="4"/>
    </row>
    <row r="20" spans="2:21" x14ac:dyDescent="0.25">
      <c r="B20" s="9">
        <v>7.7</v>
      </c>
      <c r="C20" s="2"/>
      <c r="D20" s="2"/>
      <c r="E20" s="2"/>
      <c r="F20" s="2"/>
      <c r="G20" s="4"/>
      <c r="I20" s="9">
        <v>7.7</v>
      </c>
      <c r="J20" s="2"/>
      <c r="K20" s="2"/>
      <c r="L20" s="2"/>
      <c r="M20" s="2"/>
      <c r="N20" s="4"/>
      <c r="P20" s="9">
        <v>7.7</v>
      </c>
      <c r="Q20" s="2"/>
      <c r="R20" s="2"/>
      <c r="S20" s="2"/>
      <c r="T20" s="2"/>
      <c r="U20" s="4"/>
    </row>
    <row r="21" spans="2:21" x14ac:dyDescent="0.25">
      <c r="B21" s="9">
        <v>8</v>
      </c>
      <c r="C21" s="2"/>
      <c r="D21" s="2"/>
      <c r="E21" s="2"/>
      <c r="F21" s="2"/>
      <c r="G21" s="4"/>
      <c r="I21" s="9">
        <v>8</v>
      </c>
      <c r="J21" s="2"/>
      <c r="K21" s="2"/>
      <c r="L21" s="2"/>
      <c r="M21" s="2"/>
      <c r="N21" s="4"/>
      <c r="P21" s="9">
        <v>8</v>
      </c>
      <c r="Q21" s="2"/>
      <c r="R21" s="2"/>
      <c r="S21" s="2"/>
      <c r="T21" s="2"/>
      <c r="U21" s="4"/>
    </row>
    <row r="22" spans="2:21" x14ac:dyDescent="0.25">
      <c r="B22" s="9">
        <v>8.3000000000000007</v>
      </c>
      <c r="C22" s="2"/>
      <c r="D22" s="2"/>
      <c r="E22" s="2"/>
      <c r="F22" s="2"/>
      <c r="G22" s="4"/>
      <c r="I22" s="9">
        <v>8.3000000000000007</v>
      </c>
      <c r="J22" s="2"/>
      <c r="K22" s="2"/>
      <c r="L22" s="2"/>
      <c r="M22" s="2"/>
      <c r="N22" s="4"/>
      <c r="P22" s="9">
        <v>8.3000000000000007</v>
      </c>
      <c r="Q22" s="2"/>
      <c r="R22" s="2"/>
      <c r="S22" s="2"/>
      <c r="T22" s="2"/>
      <c r="U22" s="4"/>
    </row>
    <row r="23" spans="2:21" ht="16.5" customHeight="1" thickBot="1" x14ac:dyDescent="0.3">
      <c r="B23" s="10">
        <v>8.6</v>
      </c>
      <c r="C23" s="5"/>
      <c r="D23" s="5"/>
      <c r="E23" s="5"/>
      <c r="F23" s="5"/>
      <c r="G23" s="6"/>
      <c r="I23" s="10">
        <v>8.6</v>
      </c>
      <c r="J23" s="5"/>
      <c r="K23" s="5"/>
      <c r="L23" s="5"/>
      <c r="M23" s="5"/>
      <c r="N23" s="6"/>
      <c r="P23" s="10">
        <v>8.6</v>
      </c>
      <c r="Q23" s="5"/>
      <c r="R23" s="5"/>
      <c r="S23" s="5"/>
      <c r="T23" s="5"/>
      <c r="U23" s="6"/>
    </row>
    <row r="24" spans="2:21" ht="16.5" customHeight="1" thickBot="1" x14ac:dyDescent="0.3"/>
    <row r="25" spans="2:21" ht="16.5" customHeight="1" thickBot="1" x14ac:dyDescent="0.3">
      <c r="B25" s="74" t="s">
        <v>79</v>
      </c>
      <c r="C25" s="75"/>
      <c r="D25" s="75"/>
      <c r="E25" s="75"/>
      <c r="F25" s="75"/>
      <c r="G25" s="76"/>
      <c r="I25" s="74" t="s">
        <v>81</v>
      </c>
      <c r="J25" s="75"/>
      <c r="K25" s="75"/>
      <c r="L25" s="75"/>
      <c r="M25" s="75"/>
      <c r="N25" s="76"/>
    </row>
    <row r="26" spans="2:21" ht="47.25" customHeight="1" x14ac:dyDescent="0.25">
      <c r="B26" s="3" t="s">
        <v>134</v>
      </c>
      <c r="C26" s="7">
        <v>7.4</v>
      </c>
      <c r="D26" s="7">
        <v>7.7</v>
      </c>
      <c r="E26" s="7">
        <v>8</v>
      </c>
      <c r="F26" s="7">
        <v>8.3000000000000007</v>
      </c>
      <c r="G26" s="8">
        <v>8.6</v>
      </c>
      <c r="I26" s="3" t="s">
        <v>134</v>
      </c>
      <c r="J26" s="7">
        <v>7.4</v>
      </c>
      <c r="K26" s="7">
        <v>7.7</v>
      </c>
      <c r="L26" s="7">
        <v>8</v>
      </c>
      <c r="M26" s="7">
        <v>8.3000000000000007</v>
      </c>
      <c r="N26" s="8">
        <v>8.6</v>
      </c>
    </row>
    <row r="27" spans="2:21" x14ac:dyDescent="0.25">
      <c r="B27" s="9">
        <v>7.4</v>
      </c>
      <c r="C27" s="2"/>
      <c r="D27" s="2"/>
      <c r="E27" s="2"/>
      <c r="F27" s="2"/>
      <c r="G27" s="4"/>
      <c r="I27" s="9">
        <v>7.4</v>
      </c>
      <c r="J27" s="2"/>
      <c r="K27" s="2"/>
      <c r="L27" s="2"/>
      <c r="M27" s="2"/>
      <c r="N27" s="4"/>
    </row>
    <row r="28" spans="2:21" x14ac:dyDescent="0.25">
      <c r="B28" s="9">
        <v>7.7</v>
      </c>
      <c r="C28" s="2"/>
      <c r="D28" s="2"/>
      <c r="E28" s="2"/>
      <c r="F28" s="2"/>
      <c r="G28" s="4"/>
      <c r="I28" s="9">
        <v>7.7</v>
      </c>
      <c r="J28" s="2"/>
      <c r="K28" s="2"/>
      <c r="L28" s="2"/>
      <c r="M28" s="2"/>
      <c r="N28" s="4"/>
    </row>
    <row r="29" spans="2:21" x14ac:dyDescent="0.25">
      <c r="B29" s="9">
        <v>8</v>
      </c>
      <c r="C29" s="2"/>
      <c r="D29" s="2"/>
      <c r="E29" s="2"/>
      <c r="F29" s="2"/>
      <c r="G29" s="4"/>
      <c r="I29" s="9">
        <v>8</v>
      </c>
      <c r="J29" s="2"/>
      <c r="K29" s="2"/>
      <c r="L29" s="2"/>
      <c r="M29" s="2"/>
      <c r="N29" s="4"/>
    </row>
    <row r="30" spans="2:21" x14ac:dyDescent="0.25">
      <c r="B30" s="9">
        <v>8.3000000000000007</v>
      </c>
      <c r="C30" s="2"/>
      <c r="D30" s="2"/>
      <c r="E30" s="2"/>
      <c r="F30" s="2"/>
      <c r="G30" s="4"/>
      <c r="I30" s="9">
        <v>8.3000000000000007</v>
      </c>
      <c r="J30" s="2"/>
      <c r="K30" s="2"/>
      <c r="L30" s="2"/>
      <c r="M30" s="2"/>
      <c r="N30" s="4"/>
    </row>
    <row r="31" spans="2:21" ht="16.5" customHeight="1" thickBot="1" x14ac:dyDescent="0.3">
      <c r="B31" s="10">
        <v>8.6</v>
      </c>
      <c r="C31" s="5"/>
      <c r="D31" s="5"/>
      <c r="E31" s="5"/>
      <c r="F31" s="5"/>
      <c r="G31" s="6"/>
      <c r="I31" s="10">
        <v>8.6</v>
      </c>
      <c r="J31" s="5"/>
      <c r="K31" s="5"/>
      <c r="L31" s="5"/>
      <c r="M31" s="5"/>
      <c r="N31" s="6"/>
    </row>
  </sheetData>
  <mergeCells count="11">
    <mergeCell ref="I25:N25"/>
    <mergeCell ref="P1:U1"/>
    <mergeCell ref="B17:G17"/>
    <mergeCell ref="B9:G9"/>
    <mergeCell ref="B1:G1"/>
    <mergeCell ref="I17:N17"/>
    <mergeCell ref="I9:N9"/>
    <mergeCell ref="I1:N1"/>
    <mergeCell ref="P9:U9"/>
    <mergeCell ref="P17:U17"/>
    <mergeCell ref="B25:G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Calculator</vt:lpstr>
      <vt:lpstr>Graphs</vt:lpstr>
      <vt:lpstr>CCD</vt:lpstr>
      <vt:lpstr>LINEST VARS</vt:lpstr>
      <vt:lpstr>Ref Values</vt:lpstr>
      <vt:lpstr>Front &amp; Rear 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Hayes Dodson</dc:creator>
  <cp:lastModifiedBy>Hayes Dodson</cp:lastModifiedBy>
  <dcterms:created xsi:type="dcterms:W3CDTF">2026-05-28T14:30:42Z</dcterms:created>
  <dcterms:modified xsi:type="dcterms:W3CDTF">2026-05-28T19:38:28Z</dcterms:modified>
</cp:coreProperties>
</file>